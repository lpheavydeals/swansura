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Final SEO" sheetId="2" state="visible" r:id="rId2"/>
    <sheet xmlns:r="http://schemas.openxmlformats.org/officeDocument/2006/relationships" name="Insights" sheetId="3" state="visible" r:id="rId3"/>
    <sheet xmlns:r="http://schemas.openxmlformats.org/officeDocument/2006/relationships" name="VD Content" sheetId="4" state="visible" r:id="rId4"/>
    <sheet xmlns:r="http://schemas.openxmlformats.org/officeDocument/2006/relationships" name="Products" sheetId="5" state="visible" r:id="rId5"/>
    <sheet xmlns:r="http://schemas.openxmlformats.org/officeDocument/2006/relationships" name="Keyword List" sheetId="6" state="visible" r:id="rId6"/>
    <sheet xmlns:r="http://schemas.openxmlformats.org/officeDocument/2006/relationships" name="Semrush Batches" sheetId="7" state="visible" r:id="rId7"/>
    <sheet xmlns:r="http://schemas.openxmlformats.org/officeDocument/2006/relationships" name="Semrush Data" sheetId="8" state="visible" r:id="rId8"/>
    <sheet xmlns:r="http://schemas.openxmlformats.org/officeDocument/2006/relationships" name="Google Autocomplete" sheetId="9" state="visible" r:id="rId9"/>
  </sheets>
  <definedNames>
    <definedName name="_xlnm._FilterDatabase" localSheetId="1" hidden="1">'Final SEO'!$A$1:$R$547</definedName>
    <definedName name="_xlnm._FilterDatabase" localSheetId="3" hidden="1">'VD Content'!$A$1:$T$160</definedName>
    <definedName name="_xlnm._FilterDatabase" localSheetId="4" hidden="1">'Products'!$A$1:$AF$547</definedName>
    <definedName name="_xlnm._FilterDatabase" localSheetId="5" hidden="1">'Keyword List'!$A$1:$J$3842</definedName>
    <definedName name="_xlnm._FilterDatabase" localSheetId="7" hidden="1">'Semrush Data'!$A$1:$H$1315</definedName>
    <definedName name="_xlnm._FilterDatabase" localSheetId="8" hidden="1">'Google Autocomplete'!$A$1:$C$3729</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0"/>
    <numFmt numFmtId="165" formatCode="\$0.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10"/>
    </font>
    <font>
      <name val="Arial"/>
      <charset val="1"/>
      <family val="0"/>
      <color rgb="FF008000"/>
      <sz val="10"/>
    </font>
    <font>
      <name val="Arial"/>
      <charset val="1"/>
      <family val="0"/>
      <color rgb="FFA6A6A6"/>
      <sz val="10"/>
    </font>
  </fonts>
  <fills count="6">
    <fill>
      <patternFill/>
    </fill>
    <fill>
      <patternFill patternType="gray125"/>
    </fill>
    <fill>
      <patternFill patternType="solid">
        <fgColor rgb="FF1F3B34"/>
        <bgColor rgb="FF3A2421"/>
      </patternFill>
    </fill>
    <fill>
      <patternFill patternType="solid">
        <fgColor rgb="FF9A7536"/>
        <bgColor rgb="FF808080"/>
      </patternFill>
    </fill>
    <fill>
      <patternFill patternType="solid">
        <fgColor rgb="FFA6A6A6"/>
        <bgColor rgb="FFC0C0C0"/>
      </patternFill>
    </fill>
    <fill>
      <patternFill patternType="solid">
        <fgColor rgb="FF3A2421"/>
        <bgColor rgb="FF1F3B34"/>
      </patternFill>
    </fill>
  </fills>
  <borders count="2">
    <border>
      <left/>
      <right/>
      <top/>
      <bottom/>
      <diagonal/>
    </border>
    <border>
      <left/>
      <right/>
      <top/>
      <bottom style="thin">
        <color rgb="FFE3DAC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xf>
    <xf numFmtId="164" fontId="5" fillId="0" borderId="1" applyAlignment="1" pivotButton="0" quotePrefix="0" xfId="0">
      <alignment horizontal="general" vertical="top"/>
    </xf>
    <xf numFmtId="3" fontId="5" fillId="0" borderId="1" applyAlignment="1" pivotButton="0" quotePrefix="0" xfId="0">
      <alignment horizontal="general" vertical="top"/>
    </xf>
    <xf numFmtId="0" fontId="6" fillId="0" borderId="1" applyAlignment="1" pivotButton="0" quotePrefix="0" xfId="0">
      <alignment horizontal="general" vertical="top"/>
    </xf>
    <xf numFmtId="0" fontId="5" fillId="0" borderId="1" applyAlignment="1" pivotButton="0" quotePrefix="0" xfId="0">
      <alignment horizontal="general" vertical="top"/>
    </xf>
    <xf numFmtId="0" fontId="5" fillId="0" borderId="1" applyAlignment="1" pivotButton="0" quotePrefix="0" xfId="0">
      <alignment horizontal="general" vertical="top" wrapText="1"/>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3"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2" borderId="0" applyAlignment="1" pivotButton="0" quotePrefix="0" xfId="0">
      <alignment horizontal="general" vertical="bottom" wrapText="1"/>
    </xf>
    <xf numFmtId="0" fontId="9" fillId="0" borderId="0" applyAlignment="1" pivotButton="0" quotePrefix="0" xfId="0">
      <alignment horizontal="general" vertical="bottom"/>
    </xf>
    <xf numFmtId="3" fontId="5" fillId="0" borderId="0" applyAlignment="1" pivotButton="0" quotePrefix="0" xfId="0">
      <alignment horizontal="general" vertical="bottom"/>
    </xf>
    <xf numFmtId="165" fontId="5" fillId="0" borderId="0" applyAlignment="1" pivotButton="0" quotePrefix="0" xfId="0">
      <alignment horizontal="general" vertical="bottom"/>
    </xf>
    <xf numFmtId="0" fontId="7" fillId="4" borderId="0" applyAlignment="1" pivotButton="0" quotePrefix="0" xfId="0">
      <alignment horizontal="general" vertical="center" wrapText="1"/>
    </xf>
    <xf numFmtId="0" fontId="5" fillId="0" borderId="1" applyAlignment="1" pivotButton="0" quotePrefix="0" xfId="0">
      <alignment horizontal="general" vertical="bottom"/>
    </xf>
    <xf numFmtId="3" fontId="5" fillId="0" borderId="1" applyAlignment="1" pivotButton="0" quotePrefix="0" xfId="0">
      <alignment horizontal="general" vertical="bottom"/>
    </xf>
    <xf numFmtId="0" fontId="6" fillId="0" borderId="1" applyAlignment="1" pivotButton="0" quotePrefix="0" xfId="0">
      <alignment horizontal="general" vertical="bottom"/>
    </xf>
    <xf numFmtId="165"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2" borderId="0" applyAlignment="1" pivotButton="0" quotePrefix="0" xfId="0">
      <alignment horizontal="general" vertical="bottom"/>
    </xf>
    <xf numFmtId="0" fontId="7" fillId="4" borderId="0" applyAlignment="1" pivotButton="0" quotePrefix="0" xfId="0">
      <alignment horizontal="general" vertical="bottom"/>
    </xf>
    <xf numFmtId="0" fontId="7" fillId="3" borderId="0" applyAlignment="1" pivotButton="0" quotePrefix="0" xfId="0">
      <alignment horizontal="general" vertical="bottom"/>
    </xf>
    <xf numFmtId="0" fontId="7" fillId="5" borderId="0"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xf>
    <xf numFmtId="164" fontId="5" fillId="0" borderId="1" applyAlignment="1" pivotButton="0" quotePrefix="0" xfId="0">
      <alignment horizontal="general" vertical="top"/>
    </xf>
    <xf numFmtId="3" fontId="5" fillId="0" borderId="1" applyAlignment="1" pivotButton="0" quotePrefix="0" xfId="0">
      <alignment horizontal="general" vertical="top"/>
    </xf>
    <xf numFmtId="0" fontId="6" fillId="0" borderId="1" applyAlignment="1" pivotButton="0" quotePrefix="0" xfId="0">
      <alignment horizontal="general" vertical="top"/>
    </xf>
    <xf numFmtId="0" fontId="5" fillId="0" borderId="1" applyAlignment="1" pivotButton="0" quotePrefix="0" xfId="0">
      <alignment horizontal="general" vertical="top" wrapText="1"/>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3" fontId="6" fillId="0" borderId="0" applyAlignment="1" pivotButton="0" quotePrefix="0" xfId="0">
      <alignment horizontal="general" vertical="bottom"/>
    </xf>
    <xf numFmtId="0" fontId="7" fillId="2" borderId="0" applyAlignment="1" pivotButton="0" quotePrefix="0" xfId="0">
      <alignment horizontal="general" vertical="bottom" wrapText="1"/>
    </xf>
    <xf numFmtId="0" fontId="9" fillId="0" borderId="0" applyAlignment="1" pivotButton="0" quotePrefix="0" xfId="0">
      <alignment horizontal="general" vertical="bottom"/>
    </xf>
    <xf numFmtId="3" fontId="5" fillId="0" borderId="0" applyAlignment="1" pivotButton="0" quotePrefix="0" xfId="0">
      <alignment horizontal="general" vertical="bottom"/>
    </xf>
    <xf numFmtId="165" fontId="5" fillId="0" borderId="0" applyAlignment="1" pivotButton="0" quotePrefix="0" xfId="0">
      <alignment horizontal="general" vertical="bottom"/>
    </xf>
    <xf numFmtId="0" fontId="7" fillId="4" borderId="0" applyAlignment="1" pivotButton="0" quotePrefix="0" xfId="0">
      <alignment horizontal="general" vertical="center" wrapText="1"/>
    </xf>
    <xf numFmtId="0" fontId="5" fillId="0" borderId="1" applyAlignment="1" pivotButton="0" quotePrefix="0" xfId="0">
      <alignment horizontal="general" vertical="bottom"/>
    </xf>
    <xf numFmtId="3" fontId="5" fillId="0" borderId="1" applyAlignment="1" pivotButton="0" quotePrefix="0" xfId="0">
      <alignment horizontal="general" vertical="bottom"/>
    </xf>
    <xf numFmtId="0" fontId="6" fillId="0" borderId="1" applyAlignment="1" pivotButton="0" quotePrefix="0" xfId="0">
      <alignment horizontal="general" vertical="bottom"/>
    </xf>
    <xf numFmtId="165" fontId="5" fillId="0" borderId="1" applyAlignment="1" pivotButton="0" quotePrefix="0" xfId="0">
      <alignment horizontal="general" vertical="bottom"/>
    </xf>
    <xf numFmtId="0" fontId="7" fillId="2" borderId="0" applyAlignment="1" pivotButton="0" quotePrefix="0" xfId="0">
      <alignment horizontal="general" vertical="bottom"/>
    </xf>
    <xf numFmtId="0" fontId="7" fillId="4" borderId="0" applyAlignment="1" pivotButton="0" quotePrefix="0" xfId="0">
      <alignment horizontal="general" vertical="bottom"/>
    </xf>
    <xf numFmtId="0" fontId="7" fillId="3" borderId="0" applyAlignment="1" pivotButton="0" quotePrefix="0" xfId="0">
      <alignment horizontal="general" vertical="bottom"/>
    </xf>
    <xf numFmtId="0" fontId="7" fillId="5" borderId="0" applyAlignment="1" pivotButton="0" quotePrefix="0" xfId="0">
      <alignment horizontal="general" vertical="bottom"/>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008000"/>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ont>
        <name val="Arial"/>
        <charset val="1"/>
        <family val="0"/>
        <b val="1"/>
        <color rgb="FF008000"/>
        <sz val="10"/>
      </font>
    </dxf>
    <dxf>
      <fill>
        <patternFill>
          <bgColor rgb="FFFCE4D6"/>
        </patternFill>
      </fill>
    </dxf>
    <dxf>
      <fill>
        <patternFill patternType="solid">
          <fgColor rgb="FFA6A6A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A2421"/>
      <rgbColor rgb="FF993300"/>
      <rgbColor rgb="FF993366"/>
      <rgbColor rgb="FF333399"/>
      <rgbColor rgb="FF1F3B3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36" min="1" max="1"/>
  </cols>
  <sheetData>
    <row r="1" ht="15.75" customHeight="1" s="37">
      <c r="A1" s="38" t="inlineStr">
        <is>
          <t>Swansura keyword research — product pages</t>
        </is>
      </c>
    </row>
    <row r="2" ht="23.25" customHeight="1" s="37">
      <c r="A2" s="39" t="inlineStr">
        <is>
          <t>Built 18 Oct 2026 from "Swansura_Vilvah_Deyga_Fragrance_Data_Sheet" (546 products: 159 Vilvah &amp; Deyga, 387 fragrance). Keywords are generated from each product name plus real Google UK autocomplete suggestions (google.co.uk, en-GB, collected 18 Oct 2026).</t>
        </is>
      </c>
    </row>
    <row r="3" ht="15" customHeight="1" s="37">
      <c r="A3" s="39" t="n"/>
    </row>
    <row r="4" ht="15" customHeight="1" s="37">
      <c r="A4" s="40" t="inlineStr">
        <is>
          <t>How to add search volumes (Semrush)</t>
        </is>
      </c>
    </row>
    <row r="5" ht="15" customHeight="1" s="37">
      <c r="A5" s="39" t="inlineStr">
        <is>
          <t>1. Open the "Semrush Batches" tab. Each column is one batch of up to 100 keywords, in priority order (Tier 1 first).</t>
        </is>
      </c>
    </row>
    <row r="6" ht="15" customHeight="1" s="37">
      <c r="A6" s="39" t="inlineStr">
        <is>
          <t>2. In Semrush go to Keyword Overview, set the database to United Kingdom, paste one batch and click Analyze.</t>
        </is>
      </c>
    </row>
    <row r="7" ht="23.25" customHeight="1" s="37">
      <c r="A7" s="39" t="inlineStr">
        <is>
          <t>3. Export the results (Excel/CSV), then paste the export INCLUDING its header row into the "Semrush Data" tab, starting at cell A1. Add later batches below the previous ones (skip their header rows).</t>
        </is>
      </c>
    </row>
    <row r="8" ht="23.25" customHeight="1" s="37">
      <c r="A8" s="39" t="inlineStr">
        <is>
          <t>4. Volume, Keyword Difficulty, CPC and Intent fill in automatically on "Products" and "Keyword List". "Primary keyword" picks the highest-volume variant for each product.</t>
        </is>
      </c>
    </row>
    <row r="9" ht="15" customHeight="1" s="37">
      <c r="A9" s="39" t="inlineStr">
        <is>
          <t>Tip: Tier 1 alone (batches 1–9) covers every product's core keyword plus brand, category and concern terms — start there.</t>
        </is>
      </c>
    </row>
    <row r="10" ht="15" customHeight="1" s="37">
      <c r="A10" s="39" t="n"/>
    </row>
    <row r="11" ht="15" customHeight="1" s="37">
      <c r="A11" s="40" t="inlineStr">
        <is>
          <t>Tiers</t>
        </is>
      </c>
    </row>
    <row r="12" ht="15" customHeight="1" s="37">
      <c r="A12" s="39" t="inlineStr">
        <is>
          <t>Tier 1 — core product keyword (brand + product), brand terms, category and concern terms (e.g. "face wash for dry skin").</t>
        </is>
      </c>
    </row>
    <row r="13" ht="15" customHeight="1" s="37">
      <c r="A13" s="39" t="inlineStr">
        <is>
          <t>Tier 2 — product + "uk", product + concentration (e.g. "... eau de parfum").</t>
        </is>
      </c>
    </row>
    <row r="14" ht="15" customHeight="1" s="37">
      <c r="A14" s="39" t="inlineStr">
        <is>
          <t>Tier 3 — commercial modifiers ("buy ... online", "... price") and Google autocomplete suggestions.</t>
        </is>
      </c>
    </row>
    <row r="15" ht="15" customHeight="1" s="37">
      <c r="A15" s="39" t="n"/>
    </row>
    <row r="16" ht="15" customHeight="1" s="37">
      <c r="A16" s="40" t="inlineStr">
        <is>
          <t>Where to use the keywords</t>
        </is>
      </c>
    </row>
    <row r="17" ht="23.25" customHeight="1" s="37">
      <c r="A17" s="39" t="inlineStr">
        <is>
          <t>Primary keyword → H1 and the start of the meta title. Product + UK / buy online → meta description and first sentence of the product copy. Category / concern terms → collection pages, product FAQs and internal links. Autocomplete phrases → FAQ questions and "how to use" copy.</t>
        </is>
      </c>
    </row>
    <row r="18" ht="23.25" customHeight="1" s="37">
      <c r="A18" s="39" t="inlineStr">
        <is>
          <t>The draft H1, meta title and meta description columns on "Products" follow the 50–60 / 140–160 character targets in your sheet; length columns turn red when outside the range.</t>
        </is>
      </c>
    </row>
    <row r="19" ht="15" customHeight="1" s="37">
      <c r="A19" s="39" t="n"/>
    </row>
    <row r="20" ht="15" customHeight="1" s="37">
      <c r="A20" s="40" t="inlineStr">
        <is>
          <t>Notes and assumptions</t>
        </is>
      </c>
    </row>
    <row r="21" ht="15" customHeight="1" s="37">
      <c r="A21" s="39" t="inlineStr">
        <is>
          <t>• Keywords are lower-case and accent-free, as people type them. Sizes (100ml), "for women", "luxury" etc. are removed from the core keyword.</t>
        </is>
      </c>
    </row>
    <row r="22" ht="23.25" customHeight="1" s="37">
      <c r="A22" s="39" t="inlineStr">
        <is>
          <t>• "Brand note" flags catalogue issues found while building keywords: products filed under Generic / Swansura - The Body Studio, brand spellings (e.g. Tomford → Tom Ford) and names that mention a different brand than the Brand column.</t>
        </is>
      </c>
    </row>
    <row r="23" ht="15" customHeight="1" s="37">
      <c r="A23" s="39" t="inlineStr">
        <is>
          <t>• Volumes are blank until Semrush data is pasted in. Cells show "" (blank) for keywords Semrush has no data for — treat those as zero/very low volume.</t>
        </is>
      </c>
    </row>
    <row r="24" ht="15" customHeight="1" s="37">
      <c r="A24" s="39" t="inlineStr">
        <is>
          <t>• Meta descriptions use "free UK delivery over £50" and "100% authentic" from the current site; confirm before publishing.</t>
        </is>
      </c>
    </row>
    <row r="26" ht="15" customHeight="1" s="37">
      <c r="A26" s="41" t="inlineStr">
        <is>
          <t>Semrush runs actually used (Oct 2026)</t>
        </is>
      </c>
    </row>
    <row r="27" ht="15" customHeight="1" s="37">
      <c r="A27" s="42" t="inlineStr">
        <is>
          <t>Tier 1 = batches 1–9 (900 keywords). Focused Tier 2 = T2 Batch 1–3 (242). Small Tier 3 = T3 Batch 1–2 (172).</t>
        </is>
      </c>
    </row>
    <row r="28" ht="15" customHeight="1" s="37">
      <c r="A28" s="42" t="inlineStr">
        <is>
          <t>Batches 10–38 were the original full plan and are greyed out as SKIPPED: the 324 useful keywords from them are in T2/T3; the other 2,527 (buy/price/uk/type variants and autocomplete for low-demand products) were left out because even top-100 "+ uk" variants had a median volume of 0.</t>
        </is>
      </c>
    </row>
    <row r="30" ht="15" customHeight="1" s="37">
      <c r="A30" s="41" t="inlineStr">
        <is>
          <t>FINAL copy to upload</t>
        </is>
      </c>
    </row>
    <row r="31" ht="15" customHeight="1" s="37">
      <c r="A31" s="42" t="inlineStr">
        <is>
          <t>The "Final SEO" tab is the master: one row per product (546) with the FINAL H1, meta title and meta description, primary/secondary keyword, volume, KD and ease. Use it for the Shopify upload.</t>
        </is>
      </c>
    </row>
    <row r="32" ht="15" customHeight="1" s="37">
      <c r="A32" s="42" t="inlineStr">
        <is>
          <t>Fragrance rows: brand + product name H1, gender added where two listings share a keyword, price in the description, secondary keyword = the best Semrush variant that matches the product (e.g. "dior sauvage eau de parfum"). Vilvah &amp; Deyga rows: from the VD Content tab (target keyword shared with its collection page).</t>
        </is>
      </c>
    </row>
    <row r="33" ht="15" customHeight="1" s="37">
      <c r="A33" s="42" t="inlineStr">
        <is>
          <t>Notes column (orange) flags listings to fix in the catalogue first: duplicate name/size at different prices, size variants to merge, brand spelling and missing brands.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54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9" customWidth="1" style="36" min="1" max="1"/>
    <col width="15" customWidth="1" style="36" min="2" max="2"/>
    <col width="16" customWidth="1" style="36" min="3" max="3"/>
    <col width="44" customWidth="1" style="36" min="4" max="4"/>
    <col width="8" customWidth="1" style="36" min="5" max="6"/>
    <col width="32" customWidth="1" style="36" min="7" max="7"/>
    <col width="9" customWidth="1" style="36" min="8" max="8"/>
    <col width="8" customWidth="1" style="36" min="9" max="9"/>
    <col width="9" customWidth="1" style="36" min="10" max="10"/>
    <col width="36" customWidth="1" style="36" min="11" max="11"/>
    <col width="9" customWidth="1" style="36" min="12" max="12"/>
    <col width="46" customWidth="1" style="36" min="13" max="13"/>
    <col width="60" customWidth="1" style="36" min="14" max="14"/>
    <col width="7" customWidth="1" style="36" min="15" max="15"/>
    <col width="90" customWidth="1" style="36" min="16" max="16"/>
    <col width="7" customWidth="1" style="36" min="17" max="17"/>
    <col width="50" customWidth="1" style="36" min="18" max="18"/>
  </cols>
  <sheetData>
    <row r="1" ht="30" customHeight="1" s="37">
      <c r="A1" s="43" t="inlineStr">
        <is>
          <t>ID</t>
        </is>
      </c>
      <c r="B1" s="43" t="inlineStr">
        <is>
          <t>Source</t>
        </is>
      </c>
      <c r="C1" s="43" t="inlineStr">
        <is>
          <t>Brand</t>
        </is>
      </c>
      <c r="D1" s="43" t="inlineStr">
        <is>
          <t>Product name (sheet)</t>
        </is>
      </c>
      <c r="E1" s="43" t="inlineStr">
        <is>
          <t>Size</t>
        </is>
      </c>
      <c r="F1" s="43" t="inlineStr">
        <is>
          <t>Price (£)</t>
        </is>
      </c>
      <c r="G1" s="43" t="inlineStr">
        <is>
          <t>Primary keyword</t>
        </is>
      </c>
      <c r="H1" s="44" t="inlineStr">
        <is>
          <t>Primary vol.</t>
        </is>
      </c>
      <c r="I1" s="44" t="inlineStr">
        <is>
          <t>Primary KD</t>
        </is>
      </c>
      <c r="J1" s="44" t="inlineStr">
        <is>
          <t>Ease</t>
        </is>
      </c>
      <c r="K1" s="43" t="inlineStr">
        <is>
          <t>Secondary keyword</t>
        </is>
      </c>
      <c r="L1" s="44" t="inlineStr">
        <is>
          <t>Secondary vol.</t>
        </is>
      </c>
      <c r="M1" s="43" t="inlineStr">
        <is>
          <t>FINAL H1</t>
        </is>
      </c>
      <c r="N1" s="43" t="inlineStr">
        <is>
          <t>FINAL meta title</t>
        </is>
      </c>
      <c r="O1" s="43" t="inlineStr">
        <is>
          <t>Title len</t>
        </is>
      </c>
      <c r="P1" s="43" t="inlineStr">
        <is>
          <t>FINAL meta description</t>
        </is>
      </c>
      <c r="Q1" s="43" t="inlineStr">
        <is>
          <t>Desc len</t>
        </is>
      </c>
      <c r="R1" s="43" t="inlineStr">
        <is>
          <t>Notes</t>
        </is>
      </c>
    </row>
    <row r="2" ht="23.25" customHeight="1" s="37">
      <c r="A2" s="45" t="inlineStr">
        <is>
          <t>VD-001</t>
        </is>
      </c>
      <c r="B2" s="45" t="inlineStr">
        <is>
          <t>Vilvah &amp; Deyga</t>
        </is>
      </c>
      <c r="C2" s="45" t="inlineStr">
        <is>
          <t>Vilvah</t>
        </is>
      </c>
      <c r="D2" s="45" t="inlineStr">
        <is>
          <t>Rosewater Facial Toner</t>
        </is>
      </c>
      <c r="E2" s="45" t="inlineStr">
        <is>
          <t>100 ml</t>
        </is>
      </c>
      <c r="F2" s="46" t="n">
        <v>16.99</v>
      </c>
      <c r="G2" s="45" t="inlineStr">
        <is>
          <t>toner for dry skin</t>
        </is>
      </c>
      <c r="H2" s="47">
        <f>IFERROR(INDEX('Semrush Data'!$C$2:$C$5000,MATCH(G2,'Semrush Data'!$A$2:$A$5000,0)),"")</f>
        <v/>
      </c>
      <c r="I2" s="45">
        <f>IFERROR(INDEX('Semrush Data'!$D$2:$D$5000,MATCH(G2,'Semrush Data'!$A$2:$A$5000,0)),"")</f>
        <v/>
      </c>
      <c r="J2" s="45">
        <f>IF(OR(H2="",H2=0),"No volume",IF(I2&lt;=20,"Easier",IF(I2&lt;=35,"Medium","Hard")))</f>
        <v/>
      </c>
      <c r="K2" s="45" t="inlineStr">
        <is>
          <t>vilvah</t>
        </is>
      </c>
      <c r="L2" s="47">
        <f>IF(K2="","",IFERROR(INDEX('Semrush Data'!$C$2:$C$5000,MATCH(K2,'Semrush Data'!$A$2:$A$5000,0)),""))</f>
        <v/>
      </c>
      <c r="M2" s="48" t="inlineStr">
        <is>
          <t>Vilvah Rosewater Facial Toner</t>
        </is>
      </c>
      <c r="N2" s="45" t="inlineStr">
        <is>
          <t>Vilvah Rosewater Facial Toner | Toner for Dry Skin</t>
        </is>
      </c>
      <c r="O2" s="45">
        <f>LEN(N2)</f>
        <v/>
      </c>
      <c r="P2" s="49" t="inlineStr">
        <is>
          <t>Buy Vilvah Rosewater Facial Toner, a natural toner for dry skin from Vilvah. Official UK partner: 100% authentic, shipped from the UK, free delivery over £50.</t>
        </is>
      </c>
      <c r="Q2" s="45">
        <f>LEN(P2)</f>
        <v/>
      </c>
      <c r="R2" s="49" t="inlineStr">
        <is>
          <t>Target keyword is shared with its collection page (/collections/toner-for-dry-skin)</t>
        </is>
      </c>
    </row>
    <row r="3" ht="34.5" customHeight="1" s="37">
      <c r="A3" s="45" t="inlineStr">
        <is>
          <t>VD-002</t>
        </is>
      </c>
      <c r="B3" s="45" t="inlineStr">
        <is>
          <t>Vilvah &amp; Deyga</t>
        </is>
      </c>
      <c r="C3" s="45" t="inlineStr">
        <is>
          <t>Vilvah</t>
        </is>
      </c>
      <c r="D3" s="45" t="inlineStr">
        <is>
          <t>Hair growth oil</t>
        </is>
      </c>
      <c r="E3" s="45" t="inlineStr">
        <is>
          <t>50 ml</t>
        </is>
      </c>
      <c r="F3" s="46" t="n">
        <v>9.99</v>
      </c>
      <c r="G3" s="45" t="inlineStr">
        <is>
          <t>hair growth oil</t>
        </is>
      </c>
      <c r="H3" s="47">
        <f>IFERROR(INDEX('Semrush Data'!$C$2:$C$5000,MATCH(G3,'Semrush Data'!$A$2:$A$5000,0)),"")</f>
        <v/>
      </c>
      <c r="I3" s="45">
        <f>IFERROR(INDEX('Semrush Data'!$D$2:$D$5000,MATCH(G3,'Semrush Data'!$A$2:$A$5000,0)),"")</f>
        <v/>
      </c>
      <c r="J3" s="45">
        <f>IF(OR(H3="",H3=0),"No volume",IF(I3&lt;=20,"Easier",IF(I3&lt;=35,"Medium","Hard")))</f>
        <v/>
      </c>
      <c r="K3" s="45" t="inlineStr">
        <is>
          <t>vilvah</t>
        </is>
      </c>
      <c r="L3" s="47">
        <f>IF(K3="","",IFERROR(INDEX('Semrush Data'!$C$2:$C$5000,MATCH(K3,'Semrush Data'!$A$2:$A$5000,0)),""))</f>
        <v/>
      </c>
      <c r="M3" s="48" t="inlineStr">
        <is>
          <t>Vilvah Hair Growth Oil 50ml</t>
        </is>
      </c>
      <c r="N3" s="45" t="inlineStr">
        <is>
          <t>Vilvah Hair Growth Oil 50ml | Buy Online UK | Swansura</t>
        </is>
      </c>
      <c r="O3" s="45">
        <f>LEN(N3)</f>
        <v/>
      </c>
      <c r="P3" s="49" t="inlineStr">
        <is>
          <t>Buy Vilvah Hair Growth Oil, a natural hair growth oil from Vilvah. Official UK partner: 100% authentic, shipped from the UK, free delivery over £50.</t>
        </is>
      </c>
      <c r="Q3" s="45">
        <f>LEN(P3)</f>
        <v/>
      </c>
      <c r="R3" s="49" t="inlineStr">
        <is>
          <t>Target keyword is shared with its collection page (/collections/hair-growth-oil); Size variants: merge as variants of one product</t>
        </is>
      </c>
    </row>
    <row r="4" ht="23.25" customHeight="1" s="37">
      <c r="A4" s="45" t="inlineStr">
        <is>
          <t>VD-003</t>
        </is>
      </c>
      <c r="B4" s="45" t="inlineStr">
        <is>
          <t>Vilvah &amp; Deyga</t>
        </is>
      </c>
      <c r="C4" s="45" t="inlineStr">
        <is>
          <t>Vilvah</t>
        </is>
      </c>
      <c r="D4" s="45" t="inlineStr">
        <is>
          <t>Classic Goatmilk Soap</t>
        </is>
      </c>
      <c r="E4" s="45" t="inlineStr">
        <is>
          <t>115 g</t>
        </is>
      </c>
      <c r="F4" s="46" t="n">
        <v>9.99</v>
      </c>
      <c r="G4" s="45" t="inlineStr">
        <is>
          <t>natural body wash</t>
        </is>
      </c>
      <c r="H4" s="47">
        <f>IFERROR(INDEX('Semrush Data'!$C$2:$C$5000,MATCH(G4,'Semrush Data'!$A$2:$A$5000,0)),"")</f>
        <v/>
      </c>
      <c r="I4" s="45">
        <f>IFERROR(INDEX('Semrush Data'!$D$2:$D$5000,MATCH(G4,'Semrush Data'!$A$2:$A$5000,0)),"")</f>
        <v/>
      </c>
      <c r="J4" s="45">
        <f>IF(OR(H4="",H4=0),"No volume",IF(I4&lt;=20,"Easier",IF(I4&lt;=35,"Medium","Hard")))</f>
        <v/>
      </c>
      <c r="K4" s="45" t="inlineStr">
        <is>
          <t>vilvah</t>
        </is>
      </c>
      <c r="L4" s="47">
        <f>IF(K4="","",IFERROR(INDEX('Semrush Data'!$C$2:$C$5000,MATCH(K4,'Semrush Data'!$A$2:$A$5000,0)),""))</f>
        <v/>
      </c>
      <c r="M4" s="48" t="inlineStr">
        <is>
          <t>Vilvah Classic Goatmilk Soap</t>
        </is>
      </c>
      <c r="N4" s="45" t="inlineStr">
        <is>
          <t>Vilvah Classic Goatmilk Soap – Natural Body Wash | Swansura</t>
        </is>
      </c>
      <c r="O4" s="45">
        <f>LEN(N4)</f>
        <v/>
      </c>
      <c r="P4" s="49" t="inlineStr">
        <is>
          <t>Buy Vilvah Classic Goatmilk Soap, a natural body wash from Vilvah. Official UK partner: 100% authentic, shipped from the UK, free delivery over £50.</t>
        </is>
      </c>
      <c r="Q4" s="45">
        <f>LEN(P4)</f>
        <v/>
      </c>
      <c r="R4" s="49" t="inlineStr">
        <is>
          <t>Target keyword is shared with its collection page (/collections/shower-gel-body-wash)</t>
        </is>
      </c>
    </row>
    <row r="5" ht="23.25" customHeight="1" s="37">
      <c r="A5" s="45" t="inlineStr">
        <is>
          <t>VD-004</t>
        </is>
      </c>
      <c r="B5" s="45" t="inlineStr">
        <is>
          <t>Vilvah &amp; Deyga</t>
        </is>
      </c>
      <c r="C5" s="45" t="inlineStr">
        <is>
          <t>Vilvah</t>
        </is>
      </c>
      <c r="D5" s="45" t="inlineStr">
        <is>
          <t>Deo Shot - Rose and Vanilla</t>
        </is>
      </c>
      <c r="E5" s="45" t="inlineStr">
        <is>
          <t>20 g</t>
        </is>
      </c>
      <c r="F5" s="46" t="n">
        <v>9.99</v>
      </c>
      <c r="G5" s="45" t="inlineStr">
        <is>
          <t>natural deodorant</t>
        </is>
      </c>
      <c r="H5" s="47">
        <f>IFERROR(INDEX('Semrush Data'!$C$2:$C$5000,MATCH(G5,'Semrush Data'!$A$2:$A$5000,0)),"")</f>
        <v/>
      </c>
      <c r="I5" s="45">
        <f>IFERROR(INDEX('Semrush Data'!$D$2:$D$5000,MATCH(G5,'Semrush Data'!$A$2:$A$5000,0)),"")</f>
        <v/>
      </c>
      <c r="J5" s="45">
        <f>IF(OR(H5="",H5=0),"No volume",IF(I5&lt;=20,"Easier",IF(I5&lt;=35,"Medium","Hard")))</f>
        <v/>
      </c>
      <c r="K5" s="45" t="inlineStr">
        <is>
          <t>vilvah</t>
        </is>
      </c>
      <c r="L5" s="47">
        <f>IF(K5="","",IFERROR(INDEX('Semrush Data'!$C$2:$C$5000,MATCH(K5,'Semrush Data'!$A$2:$A$5000,0)),""))</f>
        <v/>
      </c>
      <c r="M5" s="48" t="inlineStr">
        <is>
          <t>Vilvah Deo Shot - Rose and Vanilla</t>
        </is>
      </c>
      <c r="N5" s="45" t="inlineStr">
        <is>
          <t>Vilvah Deo Shot - Rose and Vanilla | Natural Deodorant</t>
        </is>
      </c>
      <c r="O5" s="45">
        <f>LEN(N5)</f>
        <v/>
      </c>
      <c r="P5" s="49" t="inlineStr">
        <is>
          <t>Buy Vilvah Deo Shot - Rose and Vanilla, a natural deodorant from Vilvah. Official UK partner: 100% authentic, shipped from the UK, free delivery over £50.</t>
        </is>
      </c>
      <c r="Q5" s="45">
        <f>LEN(P5)</f>
        <v/>
      </c>
      <c r="R5" s="49" t="inlineStr">
        <is>
          <t>Target keyword is shared with its collection page (/collections/deodorant)</t>
        </is>
      </c>
    </row>
    <row r="6" ht="23.25" customHeight="1" s="37">
      <c r="A6" s="45" t="inlineStr">
        <is>
          <t>VD-005</t>
        </is>
      </c>
      <c r="B6" s="45" t="inlineStr">
        <is>
          <t>Vilvah &amp; Deyga</t>
        </is>
      </c>
      <c r="C6" s="45" t="inlineStr">
        <is>
          <t>Vilvah</t>
        </is>
      </c>
      <c r="D6" s="45" t="inlineStr">
        <is>
          <t>Skin finish Sunscreen SPF 50</t>
        </is>
      </c>
      <c r="E6" s="45" t="inlineStr">
        <is>
          <t>50ml</t>
        </is>
      </c>
      <c r="F6" s="46" t="n">
        <v>17.99</v>
      </c>
      <c r="G6" s="45" t="inlineStr">
        <is>
          <t>natural sunscreen</t>
        </is>
      </c>
      <c r="H6" s="47">
        <f>IFERROR(INDEX('Semrush Data'!$C$2:$C$5000,MATCH(G6,'Semrush Data'!$A$2:$A$5000,0)),"")</f>
        <v/>
      </c>
      <c r="I6" s="45">
        <f>IFERROR(INDEX('Semrush Data'!$D$2:$D$5000,MATCH(G6,'Semrush Data'!$A$2:$A$5000,0)),"")</f>
        <v/>
      </c>
      <c r="J6" s="45">
        <f>IF(OR(H6="",H6=0),"No volume",IF(I6&lt;=20,"Easier",IF(I6&lt;=35,"Medium","Hard")))</f>
        <v/>
      </c>
      <c r="K6" s="45" t="inlineStr">
        <is>
          <t>vilvah</t>
        </is>
      </c>
      <c r="L6" s="47">
        <f>IF(K6="","",IFERROR(INDEX('Semrush Data'!$C$2:$C$5000,MATCH(K6,'Semrush Data'!$A$2:$A$5000,0)),""))</f>
        <v/>
      </c>
      <c r="M6" s="48" t="inlineStr">
        <is>
          <t>Vilvah Skin Finish Sunscreen SPF 50</t>
        </is>
      </c>
      <c r="N6" s="45" t="inlineStr">
        <is>
          <t>Vilvah Skin Finish Sunscreen SPF 50 | Vilvah UK | Swansura</t>
        </is>
      </c>
      <c r="O6" s="45">
        <f>LEN(N6)</f>
        <v/>
      </c>
      <c r="P6" s="49" t="inlineStr">
        <is>
          <t>Buy Vilvah Skin Finish Sunscreen SPF 50, a natural sunscreen from Vilvah. Official UK partner: 100% authentic, shipped from the UK, free delivery over £50.</t>
        </is>
      </c>
      <c r="Q6" s="45">
        <f>LEN(P6)</f>
        <v/>
      </c>
      <c r="R6" s="49" t="inlineStr">
        <is>
          <t>Target keyword is shared with its collection page (/collections/natural-sunscreen)</t>
        </is>
      </c>
    </row>
    <row r="7" ht="23.25" customHeight="1" s="37">
      <c r="A7" s="45" t="inlineStr">
        <is>
          <t>VD-006</t>
        </is>
      </c>
      <c r="B7" s="45" t="inlineStr">
        <is>
          <t>Vilvah &amp; Deyga</t>
        </is>
      </c>
      <c r="C7" s="45" t="inlineStr">
        <is>
          <t>Vilvah</t>
        </is>
      </c>
      <c r="D7" s="45" t="inlineStr">
        <is>
          <t>Milk Powder Face Wash</t>
        </is>
      </c>
      <c r="E7" s="45" t="inlineStr">
        <is>
          <t>50 gm</t>
        </is>
      </c>
      <c r="F7" s="46" t="n">
        <v>13.99</v>
      </c>
      <c r="G7" s="45" t="inlineStr">
        <is>
          <t>face wash for oily skin</t>
        </is>
      </c>
      <c r="H7" s="47">
        <f>IFERROR(INDEX('Semrush Data'!$C$2:$C$5000,MATCH(G7,'Semrush Data'!$A$2:$A$5000,0)),"")</f>
        <v/>
      </c>
      <c r="I7" s="45">
        <f>IFERROR(INDEX('Semrush Data'!$D$2:$D$5000,MATCH(G7,'Semrush Data'!$A$2:$A$5000,0)),"")</f>
        <v/>
      </c>
      <c r="J7" s="45">
        <f>IF(OR(H7="",H7=0),"No volume",IF(I7&lt;=20,"Easier",IF(I7&lt;=35,"Medium","Hard")))</f>
        <v/>
      </c>
      <c r="K7" s="45" t="inlineStr">
        <is>
          <t>vilvah</t>
        </is>
      </c>
      <c r="L7" s="47">
        <f>IF(K7="","",IFERROR(INDEX('Semrush Data'!$C$2:$C$5000,MATCH(K7,'Semrush Data'!$A$2:$A$5000,0)),""))</f>
        <v/>
      </c>
      <c r="M7" s="48" t="inlineStr">
        <is>
          <t>Vilvah Milk Powder Face Wash</t>
        </is>
      </c>
      <c r="N7" s="45" t="inlineStr">
        <is>
          <t>Vilvah Milk Powder Face Wash | Face Wash for Oily Skin</t>
        </is>
      </c>
      <c r="O7" s="45">
        <f>LEN(N7)</f>
        <v/>
      </c>
      <c r="P7" s="49" t="inlineStr">
        <is>
          <t>Vilvah Milk Powder Face Wash: a natural face wash for oily skin from Vilvah. Official UK partner: 100% authentic, shipped from the UK, free delivery over £50.</t>
        </is>
      </c>
      <c r="Q7" s="45">
        <f>LEN(P7)</f>
        <v/>
      </c>
      <c r="R7" s="49" t="inlineStr">
        <is>
          <t>Target keyword is shared with its collection page (/collections/face-wash-for-oily-skin)</t>
        </is>
      </c>
    </row>
    <row r="8" ht="23.25" customHeight="1" s="37">
      <c r="A8" s="45" t="inlineStr">
        <is>
          <t>VD-007</t>
        </is>
      </c>
      <c r="B8" s="45" t="inlineStr">
        <is>
          <t>Vilvah &amp; Deyga</t>
        </is>
      </c>
      <c r="C8" s="45" t="inlineStr">
        <is>
          <t>Vilvah</t>
        </is>
      </c>
      <c r="D8" s="45" t="inlineStr">
        <is>
          <t>Ultra Moisturising Cream</t>
        </is>
      </c>
      <c r="E8" s="45" t="inlineStr">
        <is>
          <t>50 ml</t>
        </is>
      </c>
      <c r="F8" s="46" t="n">
        <v>25.99</v>
      </c>
      <c r="G8" s="45" t="inlineStr">
        <is>
          <t>moisturiser for dry skin</t>
        </is>
      </c>
      <c r="H8" s="47">
        <f>IFERROR(INDEX('Semrush Data'!$C$2:$C$5000,MATCH(G8,'Semrush Data'!$A$2:$A$5000,0)),"")</f>
        <v/>
      </c>
      <c r="I8" s="45">
        <f>IFERROR(INDEX('Semrush Data'!$D$2:$D$5000,MATCH(G8,'Semrush Data'!$A$2:$A$5000,0)),"")</f>
        <v/>
      </c>
      <c r="J8" s="45">
        <f>IF(OR(H8="",H8=0),"No volume",IF(I8&lt;=20,"Easier",IF(I8&lt;=35,"Medium","Hard")))</f>
        <v/>
      </c>
      <c r="K8" s="45" t="inlineStr">
        <is>
          <t>vilvah</t>
        </is>
      </c>
      <c r="L8" s="47">
        <f>IF(K8="","",IFERROR(INDEX('Semrush Data'!$C$2:$C$5000,MATCH(K8,'Semrush Data'!$A$2:$A$5000,0)),""))</f>
        <v/>
      </c>
      <c r="M8" s="48" t="inlineStr">
        <is>
          <t>Vilvah Ultra Moisturising Cream</t>
        </is>
      </c>
      <c r="N8" s="45" t="inlineStr">
        <is>
          <t>Vilvah Ultra Moisturising Cream | Moisturiser for Dry Skin</t>
        </is>
      </c>
      <c r="O8" s="45">
        <f>LEN(N8)</f>
        <v/>
      </c>
      <c r="P8" s="49" t="inlineStr">
        <is>
          <t>Buy Vilvah Ultra Moisturising Cream, a natural moisturiser for dry skin from Vilvah. Official UK partner, 100% authentic, free UK delivery over £50.</t>
        </is>
      </c>
      <c r="Q8" s="45">
        <f>LEN(P8)</f>
        <v/>
      </c>
      <c r="R8" s="49" t="inlineStr">
        <is>
          <t>Target keyword is shared with its collection page (/collections/moisturiser-for-dry-skin)</t>
        </is>
      </c>
    </row>
    <row r="9" ht="23.25" customHeight="1" s="37">
      <c r="A9" s="45" t="inlineStr">
        <is>
          <t>VD-008</t>
        </is>
      </c>
      <c r="B9" s="45" t="inlineStr">
        <is>
          <t>Vilvah &amp; Deyga</t>
        </is>
      </c>
      <c r="C9" s="45" t="inlineStr">
        <is>
          <t>Vilvah</t>
        </is>
      </c>
      <c r="D9" s="45" t="inlineStr">
        <is>
          <t>Classic Rose Goatmilk Soap</t>
        </is>
      </c>
      <c r="E9" s="45" t="inlineStr">
        <is>
          <t>115 g</t>
        </is>
      </c>
      <c r="F9" s="46" t="n">
        <v>9.99</v>
      </c>
      <c r="G9" s="45" t="inlineStr">
        <is>
          <t>natural body wash</t>
        </is>
      </c>
      <c r="H9" s="47">
        <f>IFERROR(INDEX('Semrush Data'!$C$2:$C$5000,MATCH(G9,'Semrush Data'!$A$2:$A$5000,0)),"")</f>
        <v/>
      </c>
      <c r="I9" s="45">
        <f>IFERROR(INDEX('Semrush Data'!$D$2:$D$5000,MATCH(G9,'Semrush Data'!$A$2:$A$5000,0)),"")</f>
        <v/>
      </c>
      <c r="J9" s="45">
        <f>IF(OR(H9="",H9=0),"No volume",IF(I9&lt;=20,"Easier",IF(I9&lt;=35,"Medium","Hard")))</f>
        <v/>
      </c>
      <c r="K9" s="45" t="inlineStr">
        <is>
          <t>vilvah</t>
        </is>
      </c>
      <c r="L9" s="47">
        <f>IF(K9="","",IFERROR(INDEX('Semrush Data'!$C$2:$C$5000,MATCH(K9,'Semrush Data'!$A$2:$A$5000,0)),""))</f>
        <v/>
      </c>
      <c r="M9" s="48" t="inlineStr">
        <is>
          <t>Vilvah Classic Rose Goatmilk Soap</t>
        </is>
      </c>
      <c r="N9" s="45" t="inlineStr">
        <is>
          <t>Vilvah Classic Rose Goatmilk Soap | Natural Body Wash</t>
        </is>
      </c>
      <c r="O9" s="45">
        <f>LEN(N9)</f>
        <v/>
      </c>
      <c r="P9" s="49" t="inlineStr">
        <is>
          <t>Buy Vilvah Classic Rose Goatmilk Soap, a natural body wash from Vilvah. Official UK partner: 100% authentic, shipped from the UK, free delivery over £50.</t>
        </is>
      </c>
      <c r="Q9" s="45">
        <f>LEN(P9)</f>
        <v/>
      </c>
      <c r="R9" s="49" t="inlineStr">
        <is>
          <t>Target keyword is shared with its collection page (/collections/shower-gel-body-wash)</t>
        </is>
      </c>
    </row>
    <row r="10" ht="23.25" customHeight="1" s="37">
      <c r="A10" s="45" t="inlineStr">
        <is>
          <t>VD-009</t>
        </is>
      </c>
      <c r="B10" s="45" t="inlineStr">
        <is>
          <t>Vilvah &amp; Deyga</t>
        </is>
      </c>
      <c r="C10" s="45" t="inlineStr">
        <is>
          <t>Vilvah</t>
        </is>
      </c>
      <c r="D10" s="45" t="inlineStr">
        <is>
          <t>Goat Milk Body Wash</t>
        </is>
      </c>
      <c r="E10" s="45" t="inlineStr">
        <is>
          <t>200 ml</t>
        </is>
      </c>
      <c r="F10" s="46" t="n">
        <v>15.99</v>
      </c>
      <c r="G10" s="45" t="inlineStr">
        <is>
          <t>natural body wash</t>
        </is>
      </c>
      <c r="H10" s="47">
        <f>IFERROR(INDEX('Semrush Data'!$C$2:$C$5000,MATCH(G10,'Semrush Data'!$A$2:$A$5000,0)),"")</f>
        <v/>
      </c>
      <c r="I10" s="45">
        <f>IFERROR(INDEX('Semrush Data'!$D$2:$D$5000,MATCH(G10,'Semrush Data'!$A$2:$A$5000,0)),"")</f>
        <v/>
      </c>
      <c r="J10" s="45">
        <f>IF(OR(H10="",H10=0),"No volume",IF(I10&lt;=20,"Easier",IF(I10&lt;=35,"Medium","Hard")))</f>
        <v/>
      </c>
      <c r="K10" s="45" t="inlineStr">
        <is>
          <t>vilvah</t>
        </is>
      </c>
      <c r="L10" s="47">
        <f>IF(K10="","",IFERROR(INDEX('Semrush Data'!$C$2:$C$5000,MATCH(K10,'Semrush Data'!$A$2:$A$5000,0)),""))</f>
        <v/>
      </c>
      <c r="M10" s="48" t="inlineStr">
        <is>
          <t>Vilvah Goat Milk Body Wash</t>
        </is>
      </c>
      <c r="N10" s="45" t="inlineStr">
        <is>
          <t>Vilvah Goat Milk Body Wash | Buy Online UK | Swansura</t>
        </is>
      </c>
      <c r="O10" s="45">
        <f>LEN(N10)</f>
        <v/>
      </c>
      <c r="P10" s="49" t="inlineStr">
        <is>
          <t>Buy Vilvah Goat Milk Body Wash, a natural body wash from Vilvah. Official UK partner: 100% authentic, shipped from the UK, free delivery over £50.</t>
        </is>
      </c>
      <c r="Q10" s="45">
        <f>LEN(P10)</f>
        <v/>
      </c>
      <c r="R10" s="49" t="inlineStr">
        <is>
          <t>Target keyword is shared with its collection page (/collections/shower-gel-body-wash)</t>
        </is>
      </c>
    </row>
    <row r="11" ht="23.25" customHeight="1" s="37">
      <c r="A11" s="45" t="inlineStr">
        <is>
          <t>VD-010</t>
        </is>
      </c>
      <c r="B11" s="45" t="inlineStr">
        <is>
          <t>Vilvah &amp; Deyga</t>
        </is>
      </c>
      <c r="C11" s="45" t="inlineStr">
        <is>
          <t>Vilvah</t>
        </is>
      </c>
      <c r="D11" s="45" t="inlineStr">
        <is>
          <t>Rose Milk Lip Balm</t>
        </is>
      </c>
      <c r="E11" s="45" t="inlineStr">
        <is>
          <t>10 g</t>
        </is>
      </c>
      <c r="F11" s="46" t="n">
        <v>9.99</v>
      </c>
      <c r="G11" s="45" t="inlineStr">
        <is>
          <t>lip balm for dry lips</t>
        </is>
      </c>
      <c r="H11" s="47">
        <f>IFERROR(INDEX('Semrush Data'!$C$2:$C$5000,MATCH(G11,'Semrush Data'!$A$2:$A$5000,0)),"")</f>
        <v/>
      </c>
      <c r="I11" s="45">
        <f>IFERROR(INDEX('Semrush Data'!$D$2:$D$5000,MATCH(G11,'Semrush Data'!$A$2:$A$5000,0)),"")</f>
        <v/>
      </c>
      <c r="J11" s="45">
        <f>IF(OR(H11="",H11=0),"No volume",IF(I11&lt;=20,"Easier",IF(I11&lt;=35,"Medium","Hard")))</f>
        <v/>
      </c>
      <c r="K11" s="45" t="inlineStr">
        <is>
          <t>vilvah</t>
        </is>
      </c>
      <c r="L11" s="47">
        <f>IF(K11="","",IFERROR(INDEX('Semrush Data'!$C$2:$C$5000,MATCH(K11,'Semrush Data'!$A$2:$A$5000,0)),""))</f>
        <v/>
      </c>
      <c r="M11" s="48" t="inlineStr">
        <is>
          <t>Vilvah Rose Milk Lip Balm</t>
        </is>
      </c>
      <c r="N11" s="45" t="inlineStr">
        <is>
          <t>Vilvah Rose Milk Lip Balm – Lip Balm for Dry Lips | Swansura</t>
        </is>
      </c>
      <c r="O11" s="45">
        <f>LEN(N11)</f>
        <v/>
      </c>
      <c r="P11" s="49" t="inlineStr">
        <is>
          <t>Buy Vilvah Rose Milk Lip Balm, a natural lip balm for dry lips from Vilvah. Official UK partner: 100% authentic, shipped from the UK, free delivery over £50.</t>
        </is>
      </c>
      <c r="Q11" s="45">
        <f>LEN(P11)</f>
        <v/>
      </c>
      <c r="R11" s="49" t="inlineStr">
        <is>
          <t>Target keyword is shared with its collection page (/collections/lip-balm-for-dry-lips)</t>
        </is>
      </c>
    </row>
    <row r="12" ht="23.25" customHeight="1" s="37">
      <c r="A12" s="45" t="inlineStr">
        <is>
          <t>VD-011</t>
        </is>
      </c>
      <c r="B12" s="45" t="inlineStr">
        <is>
          <t>Vilvah &amp; Deyga</t>
        </is>
      </c>
      <c r="C12" s="45" t="inlineStr">
        <is>
          <t>Vilvah</t>
        </is>
      </c>
      <c r="D12" s="45" t="inlineStr">
        <is>
          <t>Charcoal Goatmilk Soap</t>
        </is>
      </c>
      <c r="E12" s="45" t="inlineStr">
        <is>
          <t>115 g</t>
        </is>
      </c>
      <c r="F12" s="46" t="n">
        <v>9.99</v>
      </c>
      <c r="G12" s="45" t="inlineStr">
        <is>
          <t>natural body wash</t>
        </is>
      </c>
      <c r="H12" s="47">
        <f>IFERROR(INDEX('Semrush Data'!$C$2:$C$5000,MATCH(G12,'Semrush Data'!$A$2:$A$5000,0)),"")</f>
        <v/>
      </c>
      <c r="I12" s="45">
        <f>IFERROR(INDEX('Semrush Data'!$D$2:$D$5000,MATCH(G12,'Semrush Data'!$A$2:$A$5000,0)),"")</f>
        <v/>
      </c>
      <c r="J12" s="45">
        <f>IF(OR(H12="",H12=0),"No volume",IF(I12&lt;=20,"Easier",IF(I12&lt;=35,"Medium","Hard")))</f>
        <v/>
      </c>
      <c r="K12" s="45" t="inlineStr">
        <is>
          <t>vilvah</t>
        </is>
      </c>
      <c r="L12" s="47">
        <f>IF(K12="","",IFERROR(INDEX('Semrush Data'!$C$2:$C$5000,MATCH(K12,'Semrush Data'!$A$2:$A$5000,0)),""))</f>
        <v/>
      </c>
      <c r="M12" s="48" t="inlineStr">
        <is>
          <t>Vilvah Charcoal Goatmilk Soap</t>
        </is>
      </c>
      <c r="N12" s="45" t="inlineStr">
        <is>
          <t>Vilvah Charcoal Goatmilk Soap – Natural Body Wash | Swansura</t>
        </is>
      </c>
      <c r="O12" s="45">
        <f>LEN(N12)</f>
        <v/>
      </c>
      <c r="P12" s="49" t="inlineStr">
        <is>
          <t>Buy Vilvah Charcoal Goatmilk Soap, a natural body wash from Vilvah. Official UK partner: 100% authentic, shipped from the UK, free delivery over £50.</t>
        </is>
      </c>
      <c r="Q12" s="45">
        <f>LEN(P12)</f>
        <v/>
      </c>
      <c r="R12" s="49" t="inlineStr">
        <is>
          <t>Target keyword is shared with its collection page (/collections/shower-gel-body-wash)</t>
        </is>
      </c>
    </row>
    <row r="13" ht="23.25" customHeight="1" s="37">
      <c r="A13" s="45" t="inlineStr">
        <is>
          <t>VD-012</t>
        </is>
      </c>
      <c r="B13" s="45" t="inlineStr">
        <is>
          <t>Vilvah &amp; Deyga</t>
        </is>
      </c>
      <c r="C13" s="45" t="inlineStr">
        <is>
          <t>Vilvah</t>
        </is>
      </c>
      <c r="D13" s="45" t="inlineStr">
        <is>
          <t>Cream Conditioner</t>
        </is>
      </c>
      <c r="E13" s="45" t="inlineStr">
        <is>
          <t>250 ml</t>
        </is>
      </c>
      <c r="F13" s="46" t="n">
        <v>15.99</v>
      </c>
      <c r="G13" s="45" t="inlineStr">
        <is>
          <t>hair mask for dry hair</t>
        </is>
      </c>
      <c r="H13" s="47">
        <f>IFERROR(INDEX('Semrush Data'!$C$2:$C$5000,MATCH(G13,'Semrush Data'!$A$2:$A$5000,0)),"")</f>
        <v/>
      </c>
      <c r="I13" s="45">
        <f>IFERROR(INDEX('Semrush Data'!$D$2:$D$5000,MATCH(G13,'Semrush Data'!$A$2:$A$5000,0)),"")</f>
        <v/>
      </c>
      <c r="J13" s="45">
        <f>IF(OR(H13="",H13=0),"No volume",IF(I13&lt;=20,"Easier",IF(I13&lt;=35,"Medium","Hard")))</f>
        <v/>
      </c>
      <c r="K13" s="45" t="inlineStr">
        <is>
          <t>vilvah</t>
        </is>
      </c>
      <c r="L13" s="47">
        <f>IF(K13="","",IFERROR(INDEX('Semrush Data'!$C$2:$C$5000,MATCH(K13,'Semrush Data'!$A$2:$A$5000,0)),""))</f>
        <v/>
      </c>
      <c r="M13" s="48" t="inlineStr">
        <is>
          <t>Vilvah Cream Conditioner</t>
        </is>
      </c>
      <c r="N13" s="45" t="inlineStr">
        <is>
          <t>Vilvah Cream Conditioner – Hair Mask for Dry Hair | Swansura</t>
        </is>
      </c>
      <c r="O13" s="45">
        <f>LEN(N13)</f>
        <v/>
      </c>
      <c r="P13" s="49" t="inlineStr">
        <is>
          <t>Buy Vilvah Cream Conditioner, a natural hair mask for dry hair from Vilvah. Official UK partner: 100% authentic, shipped from the UK, free delivery over £50.</t>
        </is>
      </c>
      <c r="Q13" s="45">
        <f>LEN(P13)</f>
        <v/>
      </c>
      <c r="R13" s="49" t="inlineStr">
        <is>
          <t>Target keyword is shared with its collection page (/collections/hair-mask-for-dry-hair)</t>
        </is>
      </c>
    </row>
    <row r="14" ht="23.25" customHeight="1" s="37">
      <c r="A14" s="45" t="inlineStr">
        <is>
          <t>VD-013</t>
        </is>
      </c>
      <c r="B14" s="45" t="inlineStr">
        <is>
          <t>Vilvah &amp; Deyga</t>
        </is>
      </c>
      <c r="C14" s="45" t="inlineStr">
        <is>
          <t>Vilvah</t>
        </is>
      </c>
      <c r="D14" s="45" t="inlineStr">
        <is>
          <t>Goat Milk Shampoo</t>
        </is>
      </c>
      <c r="E14" s="45" t="inlineStr">
        <is>
          <t>250 ml</t>
        </is>
      </c>
      <c r="F14" s="46" t="n">
        <v>15.99</v>
      </c>
      <c r="G14" s="45" t="inlineStr">
        <is>
          <t>natural shampoo</t>
        </is>
      </c>
      <c r="H14" s="47">
        <f>IFERROR(INDEX('Semrush Data'!$C$2:$C$5000,MATCH(G14,'Semrush Data'!$A$2:$A$5000,0)),"")</f>
        <v/>
      </c>
      <c r="I14" s="45">
        <f>IFERROR(INDEX('Semrush Data'!$D$2:$D$5000,MATCH(G14,'Semrush Data'!$A$2:$A$5000,0)),"")</f>
        <v/>
      </c>
      <c r="J14" s="45">
        <f>IF(OR(H14="",H14=0),"No volume",IF(I14&lt;=20,"Easier",IF(I14&lt;=35,"Medium","Hard")))</f>
        <v/>
      </c>
      <c r="K14" s="45" t="inlineStr">
        <is>
          <t>vilvah</t>
        </is>
      </c>
      <c r="L14" s="47">
        <f>IF(K14="","",IFERROR(INDEX('Semrush Data'!$C$2:$C$5000,MATCH(K14,'Semrush Data'!$A$2:$A$5000,0)),""))</f>
        <v/>
      </c>
      <c r="M14" s="48" t="inlineStr">
        <is>
          <t>Vilvah Goat Milk Shampoo</t>
        </is>
      </c>
      <c r="N14" s="45" t="inlineStr">
        <is>
          <t>Vilvah Goat Milk Shampoo | Buy Online UK | Swansura</t>
        </is>
      </c>
      <c r="O14" s="45">
        <f>LEN(N14)</f>
        <v/>
      </c>
      <c r="P14" s="49" t="inlineStr">
        <is>
          <t>Buy Vilvah Goat Milk Shampoo, a natural shampoo from Vilvah. Official UK partner: 100% authentic, shipped from the UK, free delivery over £50.</t>
        </is>
      </c>
      <c r="Q14" s="45">
        <f>LEN(P14)</f>
        <v/>
      </c>
      <c r="R14" s="49" t="inlineStr">
        <is>
          <t>Target keyword is shared with its collection page (/collections/natural-shampoo)</t>
        </is>
      </c>
    </row>
    <row r="15" ht="23.25" customHeight="1" s="37">
      <c r="A15" s="45" t="inlineStr">
        <is>
          <t>VD-014</t>
        </is>
      </c>
      <c r="B15" s="45" t="inlineStr">
        <is>
          <t>Vilvah &amp; Deyga</t>
        </is>
      </c>
      <c r="C15" s="45" t="inlineStr">
        <is>
          <t>Vilvah</t>
        </is>
      </c>
      <c r="D15" s="45" t="inlineStr">
        <is>
          <t>Honey Fix Face Wash</t>
        </is>
      </c>
      <c r="E15" s="45" t="inlineStr">
        <is>
          <t>100 ml</t>
        </is>
      </c>
      <c r="F15" s="46" t="n">
        <v>12.99</v>
      </c>
      <c r="G15" s="45" t="inlineStr">
        <is>
          <t>face wash for oily skin</t>
        </is>
      </c>
      <c r="H15" s="47">
        <f>IFERROR(INDEX('Semrush Data'!$C$2:$C$5000,MATCH(G15,'Semrush Data'!$A$2:$A$5000,0)),"")</f>
        <v/>
      </c>
      <c r="I15" s="45">
        <f>IFERROR(INDEX('Semrush Data'!$D$2:$D$5000,MATCH(G15,'Semrush Data'!$A$2:$A$5000,0)),"")</f>
        <v/>
      </c>
      <c r="J15" s="45">
        <f>IF(OR(H15="",H15=0),"No volume",IF(I15&lt;=20,"Easier",IF(I15&lt;=35,"Medium","Hard")))</f>
        <v/>
      </c>
      <c r="K15" s="45" t="inlineStr">
        <is>
          <t>vilvah</t>
        </is>
      </c>
      <c r="L15" s="47">
        <f>IF(K15="","",IFERROR(INDEX('Semrush Data'!$C$2:$C$5000,MATCH(K15,'Semrush Data'!$A$2:$A$5000,0)),""))</f>
        <v/>
      </c>
      <c r="M15" s="48" t="inlineStr">
        <is>
          <t>Vilvah Honey Fix Face Wash</t>
        </is>
      </c>
      <c r="N15" s="45" t="inlineStr">
        <is>
          <t>Vilvah Honey Fix Face Wash | Face Wash for Oily Skin</t>
        </is>
      </c>
      <c r="O15" s="45">
        <f>LEN(N15)</f>
        <v/>
      </c>
      <c r="P15" s="49" t="inlineStr">
        <is>
          <t>Buy Vilvah Honey Fix Face Wash, a natural face wash for oily skin from Vilvah. Official UK partner: 100% authentic, shipped from the UK, free delivery over £50.</t>
        </is>
      </c>
      <c r="Q15" s="45">
        <f>LEN(P15)</f>
        <v/>
      </c>
      <c r="R15" s="49" t="inlineStr">
        <is>
          <t>Target keyword is shared with its collection page (/collections/face-wash-for-oily-skin)</t>
        </is>
      </c>
    </row>
    <row r="16" ht="23.25" customHeight="1" s="37">
      <c r="A16" s="45" t="inlineStr">
        <is>
          <t>VD-015</t>
        </is>
      </c>
      <c r="B16" s="45" t="inlineStr">
        <is>
          <t>Vilvah &amp; Deyga</t>
        </is>
      </c>
      <c r="C16" s="45" t="inlineStr">
        <is>
          <t>Vilvah</t>
        </is>
      </c>
      <c r="D16" s="45" t="inlineStr">
        <is>
          <t>Lip Balm - Lemon</t>
        </is>
      </c>
      <c r="E16" s="45" t="inlineStr">
        <is>
          <t>10 g</t>
        </is>
      </c>
      <c r="F16" s="46" t="n">
        <v>6.99</v>
      </c>
      <c r="G16" s="45" t="inlineStr">
        <is>
          <t>lip balm for dry lips</t>
        </is>
      </c>
      <c r="H16" s="47">
        <f>IFERROR(INDEX('Semrush Data'!$C$2:$C$5000,MATCH(G16,'Semrush Data'!$A$2:$A$5000,0)),"")</f>
        <v/>
      </c>
      <c r="I16" s="45">
        <f>IFERROR(INDEX('Semrush Data'!$D$2:$D$5000,MATCH(G16,'Semrush Data'!$A$2:$A$5000,0)),"")</f>
        <v/>
      </c>
      <c r="J16" s="45">
        <f>IF(OR(H16="",H16=0),"No volume",IF(I16&lt;=20,"Easier",IF(I16&lt;=35,"Medium","Hard")))</f>
        <v/>
      </c>
      <c r="K16" s="45" t="inlineStr">
        <is>
          <t>vilvah</t>
        </is>
      </c>
      <c r="L16" s="47">
        <f>IF(K16="","",IFERROR(INDEX('Semrush Data'!$C$2:$C$5000,MATCH(K16,'Semrush Data'!$A$2:$A$5000,0)),""))</f>
        <v/>
      </c>
      <c r="M16" s="48" t="inlineStr">
        <is>
          <t>Vilvah Lip Balm - Lemon</t>
        </is>
      </c>
      <c r="N16" s="45" t="inlineStr">
        <is>
          <t>Vilvah Lip Balm - Lemon – Lip Balm for Dry Lips | Swansura</t>
        </is>
      </c>
      <c r="O16" s="45">
        <f>LEN(N16)</f>
        <v/>
      </c>
      <c r="P16" s="49" t="inlineStr">
        <is>
          <t>Buy Vilvah Lip Balm - Lemon, a natural lip balm for dry lips from Vilvah. Official UK partner: 100% authentic, shipped from the UK, free delivery over £50.</t>
        </is>
      </c>
      <c r="Q16" s="45">
        <f>LEN(P16)</f>
        <v/>
      </c>
      <c r="R16" s="49" t="inlineStr">
        <is>
          <t>Target keyword is shared with its collection page (/collections/lip-balm-for-dry-lips)</t>
        </is>
      </c>
    </row>
    <row r="17" ht="23.25" customHeight="1" s="37">
      <c r="A17" s="45" t="inlineStr">
        <is>
          <t>VD-016</t>
        </is>
      </c>
      <c r="B17" s="45" t="inlineStr">
        <is>
          <t>Vilvah &amp; Deyga</t>
        </is>
      </c>
      <c r="C17" s="45" t="inlineStr">
        <is>
          <t>Vilvah</t>
        </is>
      </c>
      <c r="D17" s="45" t="inlineStr">
        <is>
          <t>Milk Body Lotion</t>
        </is>
      </c>
      <c r="E17" s="45" t="inlineStr">
        <is>
          <t>250 ml</t>
        </is>
      </c>
      <c r="F17" s="46" t="n">
        <v>25.99</v>
      </c>
      <c r="G17" s="45" t="inlineStr">
        <is>
          <t>body lotion for dry skin</t>
        </is>
      </c>
      <c r="H17" s="47">
        <f>IFERROR(INDEX('Semrush Data'!$C$2:$C$5000,MATCH(G17,'Semrush Data'!$A$2:$A$5000,0)),"")</f>
        <v/>
      </c>
      <c r="I17" s="45">
        <f>IFERROR(INDEX('Semrush Data'!$D$2:$D$5000,MATCH(G17,'Semrush Data'!$A$2:$A$5000,0)),"")</f>
        <v/>
      </c>
      <c r="J17" s="45">
        <f>IF(OR(H17="",H17=0),"No volume",IF(I17&lt;=20,"Easier",IF(I17&lt;=35,"Medium","Hard")))</f>
        <v/>
      </c>
      <c r="K17" s="45" t="inlineStr">
        <is>
          <t>vilvah</t>
        </is>
      </c>
      <c r="L17" s="47">
        <f>IF(K17="","",IFERROR(INDEX('Semrush Data'!$C$2:$C$5000,MATCH(K17,'Semrush Data'!$A$2:$A$5000,0)),""))</f>
        <v/>
      </c>
      <c r="M17" s="48" t="inlineStr">
        <is>
          <t>Vilvah Milk Body Lotion</t>
        </is>
      </c>
      <c r="N17" s="45" t="inlineStr">
        <is>
          <t>Vilvah Milk Body Lotion | Body Lotion for Dry Skin</t>
        </is>
      </c>
      <c r="O17" s="45">
        <f>LEN(N17)</f>
        <v/>
      </c>
      <c r="P17" s="49" t="inlineStr">
        <is>
          <t>Buy Vilvah Milk Body Lotion, a natural body lotion for dry skin from Vilvah. Official UK partner: 100% authentic, shipped from the UK, free delivery over £50.</t>
        </is>
      </c>
      <c r="Q17" s="45">
        <f>LEN(P17)</f>
        <v/>
      </c>
      <c r="R17" s="49" t="inlineStr">
        <is>
          <t>Target keyword is shared with its collection page (/collections/body-lotion-for-dry-skin)</t>
        </is>
      </c>
    </row>
    <row r="18" ht="23.25" customHeight="1" s="37">
      <c r="A18" s="45" t="inlineStr">
        <is>
          <t>VD-017</t>
        </is>
      </c>
      <c r="B18" s="45" t="inlineStr">
        <is>
          <t>Vilvah &amp; Deyga</t>
        </is>
      </c>
      <c r="C18" s="45" t="inlineStr">
        <is>
          <t>Vilvah</t>
        </is>
      </c>
      <c r="D18" s="45" t="inlineStr">
        <is>
          <t>Milk Face Toner</t>
        </is>
      </c>
      <c r="E18" s="45" t="inlineStr">
        <is>
          <t>100 ml</t>
        </is>
      </c>
      <c r="F18" s="46" t="n">
        <v>19.99</v>
      </c>
      <c r="G18" s="45" t="inlineStr">
        <is>
          <t>toner for dry skin</t>
        </is>
      </c>
      <c r="H18" s="47">
        <f>IFERROR(INDEX('Semrush Data'!$C$2:$C$5000,MATCH(G18,'Semrush Data'!$A$2:$A$5000,0)),"")</f>
        <v/>
      </c>
      <c r="I18" s="45">
        <f>IFERROR(INDEX('Semrush Data'!$D$2:$D$5000,MATCH(G18,'Semrush Data'!$A$2:$A$5000,0)),"")</f>
        <v/>
      </c>
      <c r="J18" s="45">
        <f>IF(OR(H18="",H18=0),"No volume",IF(I18&lt;=20,"Easier",IF(I18&lt;=35,"Medium","Hard")))</f>
        <v/>
      </c>
      <c r="K18" s="45" t="inlineStr">
        <is>
          <t>vilvah</t>
        </is>
      </c>
      <c r="L18" s="47">
        <f>IF(K18="","",IFERROR(INDEX('Semrush Data'!$C$2:$C$5000,MATCH(K18,'Semrush Data'!$A$2:$A$5000,0)),""))</f>
        <v/>
      </c>
      <c r="M18" s="48" t="inlineStr">
        <is>
          <t>Vilvah Milk Face Toner</t>
        </is>
      </c>
      <c r="N18" s="45" t="inlineStr">
        <is>
          <t>Vilvah Milk Face Toner – Toner for Dry Skin | Swansura</t>
        </is>
      </c>
      <c r="O18" s="45">
        <f>LEN(N18)</f>
        <v/>
      </c>
      <c r="P18" s="49" t="inlineStr">
        <is>
          <t>Buy Vilvah Milk Face Toner, a natural toner for dry skin from Vilvah. Official UK partner: 100% authentic, shipped from the UK, free delivery over £50.</t>
        </is>
      </c>
      <c r="Q18" s="45">
        <f>LEN(P18)</f>
        <v/>
      </c>
      <c r="R18" s="49" t="inlineStr">
        <is>
          <t>Target keyword is shared with its collection page (/collections/toner-for-dry-skin)</t>
        </is>
      </c>
    </row>
    <row r="19" ht="23.25" customHeight="1" s="37">
      <c r="A19" s="45" t="inlineStr">
        <is>
          <t>VD-018</t>
        </is>
      </c>
      <c r="B19" s="45" t="inlineStr">
        <is>
          <t>Vilvah &amp; Deyga</t>
        </is>
      </c>
      <c r="C19" s="45" t="inlineStr">
        <is>
          <t>Vilvah</t>
        </is>
      </c>
      <c r="D19" s="45" t="inlineStr">
        <is>
          <t>Milk Mud Mask</t>
        </is>
      </c>
      <c r="E19" s="45" t="inlineStr">
        <is>
          <t>50 ml</t>
        </is>
      </c>
      <c r="F19" s="46" t="n">
        <v>19.99</v>
      </c>
      <c r="G19" s="45" t="inlineStr">
        <is>
          <t>face mask</t>
        </is>
      </c>
      <c r="H19" s="47">
        <f>IFERROR(INDEX('Semrush Data'!$C$2:$C$5000,MATCH(G19,'Semrush Data'!$A$2:$A$5000,0)),"")</f>
        <v/>
      </c>
      <c r="I19" s="45">
        <f>IFERROR(INDEX('Semrush Data'!$D$2:$D$5000,MATCH(G19,'Semrush Data'!$A$2:$A$5000,0)),"")</f>
        <v/>
      </c>
      <c r="J19" s="45">
        <f>IF(OR(H19="",H19=0),"No volume",IF(I19&lt;=20,"Easier",IF(I19&lt;=35,"Medium","Hard")))</f>
        <v/>
      </c>
      <c r="K19" s="45" t="inlineStr">
        <is>
          <t>vilvah</t>
        </is>
      </c>
      <c r="L19" s="47">
        <f>IF(K19="","",IFERROR(INDEX('Semrush Data'!$C$2:$C$5000,MATCH(K19,'Semrush Data'!$A$2:$A$5000,0)),""))</f>
        <v/>
      </c>
      <c r="M19" s="48" t="inlineStr">
        <is>
          <t>Vilvah Milk Mud Mask</t>
        </is>
      </c>
      <c r="N19" s="45" t="inlineStr">
        <is>
          <t>Vilvah Milk Mud Mask | Face Mask</t>
        </is>
      </c>
      <c r="O19" s="45">
        <f>LEN(N19)</f>
        <v/>
      </c>
      <c r="P19" s="49" t="inlineStr">
        <is>
          <t>Buy Vilvah Milk Mud Mask, a natural face mask from Vilvah. Instantly brightens and rejuvenates dull, tanned skin. Free UK delivery over £50.</t>
        </is>
      </c>
      <c r="Q19" s="45">
        <f>LEN(P19)</f>
        <v/>
      </c>
      <c r="R19" s="49" t="inlineStr">
        <is>
          <t>Target keyword is shared with its collection page (/collections/face-mask)</t>
        </is>
      </c>
    </row>
    <row r="20" ht="23.25" customHeight="1" s="37">
      <c r="A20" s="45" t="inlineStr">
        <is>
          <t>VD-019</t>
        </is>
      </c>
      <c r="B20" s="45" t="inlineStr">
        <is>
          <t>Vilvah &amp; Deyga</t>
        </is>
      </c>
      <c r="C20" s="45" t="inlineStr">
        <is>
          <t>Vilvah</t>
        </is>
      </c>
      <c r="D20" s="45" t="inlineStr">
        <is>
          <t>Wild Rose Facemask</t>
        </is>
      </c>
      <c r="E20" s="45" t="inlineStr">
        <is>
          <t>100 g</t>
        </is>
      </c>
      <c r="F20" s="46" t="n">
        <v>11.99</v>
      </c>
      <c r="G20" s="45" t="inlineStr">
        <is>
          <t>face mask</t>
        </is>
      </c>
      <c r="H20" s="47">
        <f>IFERROR(INDEX('Semrush Data'!$C$2:$C$5000,MATCH(G20,'Semrush Data'!$A$2:$A$5000,0)),"")</f>
        <v/>
      </c>
      <c r="I20" s="45">
        <f>IFERROR(INDEX('Semrush Data'!$D$2:$D$5000,MATCH(G20,'Semrush Data'!$A$2:$A$5000,0)),"")</f>
        <v/>
      </c>
      <c r="J20" s="45">
        <f>IF(OR(H20="",H20=0),"No volume",IF(I20&lt;=20,"Easier",IF(I20&lt;=35,"Medium","Hard")))</f>
        <v/>
      </c>
      <c r="K20" s="45" t="inlineStr">
        <is>
          <t>vilvah</t>
        </is>
      </c>
      <c r="L20" s="47">
        <f>IF(K20="","",IFERROR(INDEX('Semrush Data'!$C$2:$C$5000,MATCH(K20,'Semrush Data'!$A$2:$A$5000,0)),""))</f>
        <v/>
      </c>
      <c r="M20" s="48" t="inlineStr">
        <is>
          <t>Vilvah Wild Rose Facemask</t>
        </is>
      </c>
      <c r="N20" s="45" t="inlineStr">
        <is>
          <t>Vilvah Wild Rose Facemask | Face Mask</t>
        </is>
      </c>
      <c r="O20" s="45">
        <f>LEN(N20)</f>
        <v/>
      </c>
      <c r="P20" s="49" t="inlineStr">
        <is>
          <t>Buy Vilvah Wild Rose Facemask, a natural face mask from Vilvah. Official UK partner: 100% authentic, shipped from the UK, free delivery over £50.</t>
        </is>
      </c>
      <c r="Q20" s="45">
        <f>LEN(P20)</f>
        <v/>
      </c>
      <c r="R20" s="49" t="inlineStr">
        <is>
          <t>Target keyword is shared with its collection page (/collections/face-mask)</t>
        </is>
      </c>
    </row>
    <row r="21" ht="23.25" customHeight="1" s="37">
      <c r="A21" s="45" t="inlineStr">
        <is>
          <t>VD-020</t>
        </is>
      </c>
      <c r="B21" s="45" t="inlineStr">
        <is>
          <t>Vilvah &amp; Deyga</t>
        </is>
      </c>
      <c r="C21" s="45" t="inlineStr">
        <is>
          <t>Vilvah</t>
        </is>
      </c>
      <c r="D21" s="45" t="inlineStr">
        <is>
          <t>Aloe Vera Gel</t>
        </is>
      </c>
      <c r="E21" s="45" t="inlineStr">
        <is>
          <t>100 ml</t>
        </is>
      </c>
      <c r="F21" s="46" t="n">
        <v>9.99</v>
      </c>
      <c r="G21" s="45" t="inlineStr">
        <is>
          <t>aloe vera gel</t>
        </is>
      </c>
      <c r="H21" s="47">
        <f>IFERROR(INDEX('Semrush Data'!$C$2:$C$5000,MATCH(G21,'Semrush Data'!$A$2:$A$5000,0)),"")</f>
        <v/>
      </c>
      <c r="I21" s="45">
        <f>IFERROR(INDEX('Semrush Data'!$D$2:$D$5000,MATCH(G21,'Semrush Data'!$A$2:$A$5000,0)),"")</f>
        <v/>
      </c>
      <c r="J21" s="45">
        <f>IF(OR(H21="",H21=0),"No volume",IF(I21&lt;=20,"Easier",IF(I21&lt;=35,"Medium","Hard")))</f>
        <v/>
      </c>
      <c r="K21" s="45" t="inlineStr">
        <is>
          <t>vilvah</t>
        </is>
      </c>
      <c r="L21" s="47">
        <f>IF(K21="","",IFERROR(INDEX('Semrush Data'!$C$2:$C$5000,MATCH(K21,'Semrush Data'!$A$2:$A$5000,0)),""))</f>
        <v/>
      </c>
      <c r="M21" s="48" t="inlineStr">
        <is>
          <t>Vilvah Aloe Vera Gel</t>
        </is>
      </c>
      <c r="N21" s="45" t="inlineStr">
        <is>
          <t>Vilvah Aloe Vera Gel | Buy Online UK | Swansura</t>
        </is>
      </c>
      <c r="O21" s="45">
        <f>LEN(N21)</f>
        <v/>
      </c>
      <c r="P21" s="49" t="inlineStr">
        <is>
          <t>Buy Vilvah Aloe Vera Gel, a natural aloe vera gel from Vilvah. Official UK partner: 100% authentic, shipped from the UK, free delivery over £50.</t>
        </is>
      </c>
      <c r="Q21" s="45">
        <f>LEN(P21)</f>
        <v/>
      </c>
      <c r="R21" s="49" t="inlineStr">
        <is>
          <t>Target keyword is shared with its collection page (/collections/moisturiser-for-dry-skin)</t>
        </is>
      </c>
    </row>
    <row r="22" ht="23.25" customHeight="1" s="37">
      <c r="A22" s="45" t="inlineStr">
        <is>
          <t>VD-021</t>
        </is>
      </c>
      <c r="B22" s="45" t="inlineStr">
        <is>
          <t>Vilvah &amp; Deyga</t>
        </is>
      </c>
      <c r="C22" s="45" t="inlineStr">
        <is>
          <t>Vilvah</t>
        </is>
      </c>
      <c r="D22" s="45" t="inlineStr">
        <is>
          <t>Anti-dandruff Hair oil</t>
        </is>
      </c>
      <c r="E22" s="45" t="inlineStr">
        <is>
          <t>100 ml</t>
        </is>
      </c>
      <c r="F22" s="46" t="n">
        <v>19.99</v>
      </c>
      <c r="G22" s="45" t="inlineStr">
        <is>
          <t>hair growth oil</t>
        </is>
      </c>
      <c r="H22" s="47">
        <f>IFERROR(INDEX('Semrush Data'!$C$2:$C$5000,MATCH(G22,'Semrush Data'!$A$2:$A$5000,0)),"")</f>
        <v/>
      </c>
      <c r="I22" s="45">
        <f>IFERROR(INDEX('Semrush Data'!$D$2:$D$5000,MATCH(G22,'Semrush Data'!$A$2:$A$5000,0)),"")</f>
        <v/>
      </c>
      <c r="J22" s="45">
        <f>IF(OR(H22="",H22=0),"No volume",IF(I22&lt;=20,"Easier",IF(I22&lt;=35,"Medium","Hard")))</f>
        <v/>
      </c>
      <c r="K22" s="45" t="inlineStr">
        <is>
          <t>vilvah</t>
        </is>
      </c>
      <c r="L22" s="47">
        <f>IF(K22="","",IFERROR(INDEX('Semrush Data'!$C$2:$C$5000,MATCH(K22,'Semrush Data'!$A$2:$A$5000,0)),""))</f>
        <v/>
      </c>
      <c r="M22" s="48" t="inlineStr">
        <is>
          <t>Vilvah Anti-dandruff Hair Oil</t>
        </is>
      </c>
      <c r="N22" s="45" t="inlineStr">
        <is>
          <t>Vilvah Anti-dandruff Hair Oil – Hair Growth Oil | Swansura</t>
        </is>
      </c>
      <c r="O22" s="45">
        <f>LEN(N22)</f>
        <v/>
      </c>
      <c r="P22" s="49" t="inlineStr">
        <is>
          <t>Buy Vilvah Anti-dandruff Hair Oil, a natural hair growth oil from Vilvah. Official UK partner: 100% authentic, shipped from the UK, free delivery over £50.</t>
        </is>
      </c>
      <c r="Q22" s="45">
        <f>LEN(P22)</f>
        <v/>
      </c>
      <c r="R22" s="49" t="inlineStr">
        <is>
          <t>Target keyword is shared with its collection page (/collections/hair-growth-oil)</t>
        </is>
      </c>
    </row>
    <row r="23" ht="23.25" customHeight="1" s="37">
      <c r="A23" s="45" t="inlineStr">
        <is>
          <t>VD-022</t>
        </is>
      </c>
      <c r="B23" s="45" t="inlineStr">
        <is>
          <t>Vilvah &amp; Deyga</t>
        </is>
      </c>
      <c r="C23" s="45" t="inlineStr">
        <is>
          <t>Vilvah</t>
        </is>
      </c>
      <c r="D23" s="45" t="inlineStr">
        <is>
          <t>Anti-Frizz Hair Serum</t>
        </is>
      </c>
      <c r="E23" s="45" t="inlineStr">
        <is>
          <t>30 ml</t>
        </is>
      </c>
      <c r="F23" s="46" t="n">
        <v>29.99</v>
      </c>
      <c r="G23" s="45" t="inlineStr">
        <is>
          <t>hair serum for frizzy hair</t>
        </is>
      </c>
      <c r="H23" s="47">
        <f>IFERROR(INDEX('Semrush Data'!$C$2:$C$5000,MATCH(G23,'Semrush Data'!$A$2:$A$5000,0)),"")</f>
        <v/>
      </c>
      <c r="I23" s="45">
        <f>IFERROR(INDEX('Semrush Data'!$D$2:$D$5000,MATCH(G23,'Semrush Data'!$A$2:$A$5000,0)),"")</f>
        <v/>
      </c>
      <c r="J23" s="45">
        <f>IF(OR(H23="",H23=0),"No volume",IF(I23&lt;=20,"Easier",IF(I23&lt;=35,"Medium","Hard")))</f>
        <v/>
      </c>
      <c r="K23" s="45" t="inlineStr">
        <is>
          <t>vilvah</t>
        </is>
      </c>
      <c r="L23" s="47">
        <f>IF(K23="","",IFERROR(INDEX('Semrush Data'!$C$2:$C$5000,MATCH(K23,'Semrush Data'!$A$2:$A$5000,0)),""))</f>
        <v/>
      </c>
      <c r="M23" s="48" t="inlineStr">
        <is>
          <t>Vilvah Anti-Frizz Hair Serum</t>
        </is>
      </c>
      <c r="N23" s="45" t="inlineStr">
        <is>
          <t>Vilvah Anti-Frizz Hair Serum | Hair Serum for Frizzy Hair</t>
        </is>
      </c>
      <c r="O23" s="45">
        <f>LEN(N23)</f>
        <v/>
      </c>
      <c r="P23" s="49" t="inlineStr">
        <is>
          <t>Buy Vilvah Anti-Frizz Hair Serum, a natural hair serum for frizzy hair from Vilvah. Official UK partner, 100% authentic, free UK delivery over £50.</t>
        </is>
      </c>
      <c r="Q23" s="45">
        <f>LEN(P23)</f>
        <v/>
      </c>
      <c r="R23" s="49" t="inlineStr">
        <is>
          <t>Target keyword is shared with its collection page (/collections/hair-serum-for-frizzy-hair)</t>
        </is>
      </c>
    </row>
    <row r="24" ht="23.25" customHeight="1" s="37">
      <c r="A24" s="45" t="inlineStr">
        <is>
          <t>VD-023</t>
        </is>
      </c>
      <c r="B24" s="45" t="inlineStr">
        <is>
          <t>Vilvah &amp; Deyga</t>
        </is>
      </c>
      <c r="C24" s="45" t="inlineStr">
        <is>
          <t>Vilvah</t>
        </is>
      </c>
      <c r="D24" s="45" t="inlineStr">
        <is>
          <t>Better Ageing Serum</t>
        </is>
      </c>
      <c r="E24" s="45" t="inlineStr">
        <is>
          <t>20 ml</t>
        </is>
      </c>
      <c r="F24" s="46" t="n">
        <v>28.99</v>
      </c>
      <c r="G24" s="45" t="inlineStr">
        <is>
          <t>face serum</t>
        </is>
      </c>
      <c r="H24" s="47">
        <f>IFERROR(INDEX('Semrush Data'!$C$2:$C$5000,MATCH(G24,'Semrush Data'!$A$2:$A$5000,0)),"")</f>
        <v/>
      </c>
      <c r="I24" s="45">
        <f>IFERROR(INDEX('Semrush Data'!$D$2:$D$5000,MATCH(G24,'Semrush Data'!$A$2:$A$5000,0)),"")</f>
        <v/>
      </c>
      <c r="J24" s="45">
        <f>IF(OR(H24="",H24=0),"No volume",IF(I24&lt;=20,"Easier",IF(I24&lt;=35,"Medium","Hard")))</f>
        <v/>
      </c>
      <c r="K24" s="45" t="inlineStr">
        <is>
          <t>vilvah</t>
        </is>
      </c>
      <c r="L24" s="47">
        <f>IF(K24="","",IFERROR(INDEX('Semrush Data'!$C$2:$C$5000,MATCH(K24,'Semrush Data'!$A$2:$A$5000,0)),""))</f>
        <v/>
      </c>
      <c r="M24" s="48" t="inlineStr">
        <is>
          <t>Vilvah Better Ageing Serum</t>
        </is>
      </c>
      <c r="N24" s="45" t="inlineStr">
        <is>
          <t>Vilvah Better Ageing Serum – Face Serum | Swansura</t>
        </is>
      </c>
      <c r="O24" s="45">
        <f>LEN(N24)</f>
        <v/>
      </c>
      <c r="P24" s="49" t="inlineStr">
        <is>
          <t>Buy Vilvah Better Ageing Serum, a natural face serum from Vilvah. Official UK partner: 100% authentic, shipped from the UK, free delivery over £50.</t>
        </is>
      </c>
      <c r="Q24" s="45">
        <f>LEN(P24)</f>
        <v/>
      </c>
      <c r="R24" s="49" t="inlineStr">
        <is>
          <t>Target keyword is shared with its collection page (/collections/face-serum)</t>
        </is>
      </c>
    </row>
    <row r="25" ht="23.25" customHeight="1" s="37">
      <c r="A25" s="45" t="inlineStr">
        <is>
          <t>VD-024</t>
        </is>
      </c>
      <c r="B25" s="45" t="inlineStr">
        <is>
          <t>Vilvah &amp; Deyga</t>
        </is>
      </c>
      <c r="C25" s="45" t="inlineStr">
        <is>
          <t>Vilvah</t>
        </is>
      </c>
      <c r="D25" s="45" t="inlineStr">
        <is>
          <t>Charcoal Facemask</t>
        </is>
      </c>
      <c r="E25" s="45" t="inlineStr">
        <is>
          <t>100 ml</t>
        </is>
      </c>
      <c r="F25" s="46" t="n">
        <v>12.99</v>
      </c>
      <c r="G25" s="45" t="inlineStr">
        <is>
          <t>face mask for oily skin</t>
        </is>
      </c>
      <c r="H25" s="47">
        <f>IFERROR(INDEX('Semrush Data'!$C$2:$C$5000,MATCH(G25,'Semrush Data'!$A$2:$A$5000,0)),"")</f>
        <v/>
      </c>
      <c r="I25" s="45">
        <f>IFERROR(INDEX('Semrush Data'!$D$2:$D$5000,MATCH(G25,'Semrush Data'!$A$2:$A$5000,0)),"")</f>
        <v/>
      </c>
      <c r="J25" s="45">
        <f>IF(OR(H25="",H25=0),"No volume",IF(I25&lt;=20,"Easier",IF(I25&lt;=35,"Medium","Hard")))</f>
        <v/>
      </c>
      <c r="K25" s="45" t="inlineStr">
        <is>
          <t>vilvah</t>
        </is>
      </c>
      <c r="L25" s="47">
        <f>IF(K25="","",IFERROR(INDEX('Semrush Data'!$C$2:$C$5000,MATCH(K25,'Semrush Data'!$A$2:$A$5000,0)),""))</f>
        <v/>
      </c>
      <c r="M25" s="48" t="inlineStr">
        <is>
          <t>Vilvah Charcoal Facemask</t>
        </is>
      </c>
      <c r="N25" s="45" t="inlineStr">
        <is>
          <t>Vilvah Charcoal Facemask | Face Mask for Oily Skin</t>
        </is>
      </c>
      <c r="O25" s="45">
        <f>LEN(N25)</f>
        <v/>
      </c>
      <c r="P25" s="49" t="inlineStr">
        <is>
          <t>Buy Vilvah Charcoal Facemask, a natural face mask for oily skin from Vilvah. Official UK partner: 100% authentic, shipped from the UK, free delivery over £50.</t>
        </is>
      </c>
      <c r="Q25" s="45">
        <f>LEN(P25)</f>
        <v/>
      </c>
      <c r="R25" s="49" t="inlineStr">
        <is>
          <t>Target keyword is shared with its collection page (/collections/face-mask-for-oily-skin)</t>
        </is>
      </c>
    </row>
    <row r="26" ht="23.25" customHeight="1" s="37">
      <c r="A26" s="45" t="inlineStr">
        <is>
          <t>VD-025</t>
        </is>
      </c>
      <c r="B26" s="45" t="inlineStr">
        <is>
          <t>Vilvah &amp; Deyga</t>
        </is>
      </c>
      <c r="C26" s="45" t="inlineStr">
        <is>
          <t>Vilvah</t>
        </is>
      </c>
      <c r="D26" s="45" t="inlineStr">
        <is>
          <t>Cookie n Cream Body Mask</t>
        </is>
      </c>
      <c r="E26" s="45" t="inlineStr">
        <is>
          <t>200 ml</t>
        </is>
      </c>
      <c r="F26" s="46" t="n">
        <v>22.99</v>
      </c>
      <c r="G26" s="45" t="inlineStr">
        <is>
          <t>body lotion for dry skin</t>
        </is>
      </c>
      <c r="H26" s="47">
        <f>IFERROR(INDEX('Semrush Data'!$C$2:$C$5000,MATCH(G26,'Semrush Data'!$A$2:$A$5000,0)),"")</f>
        <v/>
      </c>
      <c r="I26" s="45">
        <f>IFERROR(INDEX('Semrush Data'!$D$2:$D$5000,MATCH(G26,'Semrush Data'!$A$2:$A$5000,0)),"")</f>
        <v/>
      </c>
      <c r="J26" s="45">
        <f>IF(OR(H26="",H26=0),"No volume",IF(I26&lt;=20,"Easier",IF(I26&lt;=35,"Medium","Hard")))</f>
        <v/>
      </c>
      <c r="K26" s="45" t="inlineStr">
        <is>
          <t>vilvah</t>
        </is>
      </c>
      <c r="L26" s="47">
        <f>IF(K26="","",IFERROR(INDEX('Semrush Data'!$C$2:$C$5000,MATCH(K26,'Semrush Data'!$A$2:$A$5000,0)),""))</f>
        <v/>
      </c>
      <c r="M26" s="48" t="inlineStr">
        <is>
          <t>Vilvah Cookie N Cream Body Mask</t>
        </is>
      </c>
      <c r="N26" s="45" t="inlineStr">
        <is>
          <t>Vilvah Cookie N Cream Body Mask | Body Lotion for Dry Skin</t>
        </is>
      </c>
      <c r="O26" s="45">
        <f>LEN(N26)</f>
        <v/>
      </c>
      <c r="P26" s="49" t="inlineStr">
        <is>
          <t>Buy Vilvah Cookie N Cream Body Mask, a natural body lotion for dry skin from Vilvah. Official UK partner, 100% authentic, free UK delivery over £50.</t>
        </is>
      </c>
      <c r="Q26" s="45">
        <f>LEN(P26)</f>
        <v/>
      </c>
      <c r="R26" s="49" t="inlineStr">
        <is>
          <t>Target keyword is shared with its collection page (/collections/body-lotion-for-dry-skin)</t>
        </is>
      </c>
    </row>
    <row r="27" ht="23.25" customHeight="1" s="37">
      <c r="A27" s="45" t="inlineStr">
        <is>
          <t>VD-026</t>
        </is>
      </c>
      <c r="B27" s="45" t="inlineStr">
        <is>
          <t>Vilvah &amp; Deyga</t>
        </is>
      </c>
      <c r="C27" s="45" t="inlineStr">
        <is>
          <t>Vilvah</t>
        </is>
      </c>
      <c r="D27" s="45" t="inlineStr">
        <is>
          <t>Cookie n Cream Body Polish</t>
        </is>
      </c>
      <c r="E27" s="45" t="inlineStr">
        <is>
          <t>200 ml</t>
        </is>
      </c>
      <c r="F27" s="46" t="n">
        <v>22.99</v>
      </c>
      <c r="G27" s="45" t="inlineStr">
        <is>
          <t>body scrub</t>
        </is>
      </c>
      <c r="H27" s="47">
        <f>IFERROR(INDEX('Semrush Data'!$C$2:$C$5000,MATCH(G27,'Semrush Data'!$A$2:$A$5000,0)),"")</f>
        <v/>
      </c>
      <c r="I27" s="45">
        <f>IFERROR(INDEX('Semrush Data'!$D$2:$D$5000,MATCH(G27,'Semrush Data'!$A$2:$A$5000,0)),"")</f>
        <v/>
      </c>
      <c r="J27" s="45">
        <f>IF(OR(H27="",H27=0),"No volume",IF(I27&lt;=20,"Easier",IF(I27&lt;=35,"Medium","Hard")))</f>
        <v/>
      </c>
      <c r="K27" s="45" t="inlineStr">
        <is>
          <t>vilvah</t>
        </is>
      </c>
      <c r="L27" s="47">
        <f>IF(K27="","",IFERROR(INDEX('Semrush Data'!$C$2:$C$5000,MATCH(K27,'Semrush Data'!$A$2:$A$5000,0)),""))</f>
        <v/>
      </c>
      <c r="M27" s="48" t="inlineStr">
        <is>
          <t>Vilvah Cookie N Cream Body Polish</t>
        </is>
      </c>
      <c r="N27" s="45" t="inlineStr">
        <is>
          <t>Vilvah Cookie N Cream Body Polish – Body Scrub | Swansura</t>
        </is>
      </c>
      <c r="O27" s="45">
        <f>LEN(N27)</f>
        <v/>
      </c>
      <c r="P27" s="49" t="inlineStr">
        <is>
          <t>Buy Vilvah Cookie N Cream Body Polish, a natural body scrub from Vilvah. Official UK partner: 100% authentic, shipped from the UK, free delivery over £50.</t>
        </is>
      </c>
      <c r="Q27" s="45">
        <f>LEN(P27)</f>
        <v/>
      </c>
      <c r="R27" s="49" t="inlineStr">
        <is>
          <t>Target keyword is shared with its collection page (/collections/body-scrub)</t>
        </is>
      </c>
    </row>
    <row r="28" ht="23.25" customHeight="1" s="37">
      <c r="A28" s="45" t="inlineStr">
        <is>
          <t>VD-027</t>
        </is>
      </c>
      <c r="B28" s="45" t="inlineStr">
        <is>
          <t>Vilvah &amp; Deyga</t>
        </is>
      </c>
      <c r="C28" s="45" t="inlineStr">
        <is>
          <t>Vilvah</t>
        </is>
      </c>
      <c r="D28" s="45" t="inlineStr">
        <is>
          <t>Cream Face Wash (Fragrance free)</t>
        </is>
      </c>
      <c r="E28" s="45" t="inlineStr">
        <is>
          <t>100 ml</t>
        </is>
      </c>
      <c r="F28" s="46" t="n">
        <v>9.99</v>
      </c>
      <c r="G28" s="45" t="inlineStr">
        <is>
          <t>face wash for dry skin</t>
        </is>
      </c>
      <c r="H28" s="47">
        <f>IFERROR(INDEX('Semrush Data'!$C$2:$C$5000,MATCH(G28,'Semrush Data'!$A$2:$A$5000,0)),"")</f>
        <v/>
      </c>
      <c r="I28" s="45">
        <f>IFERROR(INDEX('Semrush Data'!$D$2:$D$5000,MATCH(G28,'Semrush Data'!$A$2:$A$5000,0)),"")</f>
        <v/>
      </c>
      <c r="J28" s="45">
        <f>IF(OR(H28="",H28=0),"No volume",IF(I28&lt;=20,"Easier",IF(I28&lt;=35,"Medium","Hard")))</f>
        <v/>
      </c>
      <c r="K28" s="45" t="inlineStr">
        <is>
          <t>vilvah</t>
        </is>
      </c>
      <c r="L28" s="47">
        <f>IF(K28="","",IFERROR(INDEX('Semrush Data'!$C$2:$C$5000,MATCH(K28,'Semrush Data'!$A$2:$A$5000,0)),""))</f>
        <v/>
      </c>
      <c r="M28" s="48" t="inlineStr">
        <is>
          <t>Vilvah Cream Face Wash (Fragrance Free)</t>
        </is>
      </c>
      <c r="N28" s="45" t="inlineStr">
        <is>
          <t>Vilvah Cream Face Wash (Fragrance Free) | Swansura UK</t>
        </is>
      </c>
      <c r="O28" s="45">
        <f>LEN(N28)</f>
        <v/>
      </c>
      <c r="P28" s="49" t="inlineStr">
        <is>
          <t>Buy Vilvah Cream Face Wash (Fragrance Free), a natural face wash for dry skin from Vilvah. Official UK partner, 100% authentic, free UK delivery over £50.</t>
        </is>
      </c>
      <c r="Q28" s="45">
        <f>LEN(P28)</f>
        <v/>
      </c>
      <c r="R28" s="49" t="inlineStr">
        <is>
          <t>Target keyword is shared with its collection page (/collections/face-wash-for-dry-skin)</t>
        </is>
      </c>
    </row>
    <row r="29" ht="23.25" customHeight="1" s="37">
      <c r="A29" s="45" t="inlineStr">
        <is>
          <t>VD-028</t>
        </is>
      </c>
      <c r="B29" s="45" t="inlineStr">
        <is>
          <t>Vilvah &amp; Deyga</t>
        </is>
      </c>
      <c r="C29" s="45" t="inlineStr">
        <is>
          <t>Vilvah</t>
        </is>
      </c>
      <c r="D29" s="45" t="inlineStr">
        <is>
          <t>Cucumber, Curd &amp; Mint Soap</t>
        </is>
      </c>
      <c r="E29" s="45" t="inlineStr">
        <is>
          <t>115 g</t>
        </is>
      </c>
      <c r="F29" s="46" t="n">
        <v>9.99</v>
      </c>
      <c r="G29" s="45" t="inlineStr">
        <is>
          <t>natural body wash</t>
        </is>
      </c>
      <c r="H29" s="47">
        <f>IFERROR(INDEX('Semrush Data'!$C$2:$C$5000,MATCH(G29,'Semrush Data'!$A$2:$A$5000,0)),"")</f>
        <v/>
      </c>
      <c r="I29" s="45">
        <f>IFERROR(INDEX('Semrush Data'!$D$2:$D$5000,MATCH(G29,'Semrush Data'!$A$2:$A$5000,0)),"")</f>
        <v/>
      </c>
      <c r="J29" s="45">
        <f>IF(OR(H29="",H29=0),"No volume",IF(I29&lt;=20,"Easier",IF(I29&lt;=35,"Medium","Hard")))</f>
        <v/>
      </c>
      <c r="K29" s="45" t="inlineStr">
        <is>
          <t>vilvah</t>
        </is>
      </c>
      <c r="L29" s="47">
        <f>IF(K29="","",IFERROR(INDEX('Semrush Data'!$C$2:$C$5000,MATCH(K29,'Semrush Data'!$A$2:$A$5000,0)),""))</f>
        <v/>
      </c>
      <c r="M29" s="48" t="inlineStr">
        <is>
          <t>Vilvah Cucumber, Curd &amp; Mint Soap</t>
        </is>
      </c>
      <c r="N29" s="45" t="inlineStr">
        <is>
          <t>Vilvah Cucumber, Curd &amp; Mint Soap | Natural Body Wash</t>
        </is>
      </c>
      <c r="O29" s="45">
        <f>LEN(N29)</f>
        <v/>
      </c>
      <c r="P29" s="49" t="inlineStr">
        <is>
          <t>Buy Vilvah Cucumber, Curd &amp; Mint Soap, a natural body wash from Vilvah. Official UK partner: 100% authentic, shipped from the UK, free delivery over £50.</t>
        </is>
      </c>
      <c r="Q29" s="45">
        <f>LEN(P29)</f>
        <v/>
      </c>
      <c r="R29" s="49" t="inlineStr">
        <is>
          <t>Target keyword is shared with its collection page (/collections/shower-gel-body-wash)</t>
        </is>
      </c>
    </row>
    <row r="30" ht="23.25" customHeight="1" s="37">
      <c r="A30" s="45" t="inlineStr">
        <is>
          <t>VD-029</t>
        </is>
      </c>
      <c r="B30" s="45" t="inlineStr">
        <is>
          <t>Vilvah &amp; Deyga</t>
        </is>
      </c>
      <c r="C30" s="45" t="inlineStr">
        <is>
          <t>Vilvah</t>
        </is>
      </c>
      <c r="D30" s="45" t="inlineStr">
        <is>
          <t>Deo shot - Lavender and Sage</t>
        </is>
      </c>
      <c r="E30" s="45" t="inlineStr">
        <is>
          <t>20 g</t>
        </is>
      </c>
      <c r="F30" s="46" t="n">
        <v>9.99</v>
      </c>
      <c r="G30" s="45" t="inlineStr">
        <is>
          <t>natural deodorant</t>
        </is>
      </c>
      <c r="H30" s="47">
        <f>IFERROR(INDEX('Semrush Data'!$C$2:$C$5000,MATCH(G30,'Semrush Data'!$A$2:$A$5000,0)),"")</f>
        <v/>
      </c>
      <c r="I30" s="45">
        <f>IFERROR(INDEX('Semrush Data'!$D$2:$D$5000,MATCH(G30,'Semrush Data'!$A$2:$A$5000,0)),"")</f>
        <v/>
      </c>
      <c r="J30" s="45">
        <f>IF(OR(H30="",H30=0),"No volume",IF(I30&lt;=20,"Easier",IF(I30&lt;=35,"Medium","Hard")))</f>
        <v/>
      </c>
      <c r="K30" s="45" t="inlineStr">
        <is>
          <t>vilvah</t>
        </is>
      </c>
      <c r="L30" s="47">
        <f>IF(K30="","",IFERROR(INDEX('Semrush Data'!$C$2:$C$5000,MATCH(K30,'Semrush Data'!$A$2:$A$5000,0)),""))</f>
        <v/>
      </c>
      <c r="M30" s="48" t="inlineStr">
        <is>
          <t>Vilvah Deo Shot - Lavender and Sage</t>
        </is>
      </c>
      <c r="N30" s="45" t="inlineStr">
        <is>
          <t>Vilvah Deo Shot - Lavender and Sage | Natural Deodorant</t>
        </is>
      </c>
      <c r="O30" s="45">
        <f>LEN(N30)</f>
        <v/>
      </c>
      <c r="P30" s="49" t="inlineStr">
        <is>
          <t>Buy Vilvah Deo Shot - Lavender and Sage, a natural deodorant from Vilvah. Official UK partner: 100% authentic, shipped from the UK, free delivery over £50.</t>
        </is>
      </c>
      <c r="Q30" s="45">
        <f>LEN(P30)</f>
        <v/>
      </c>
      <c r="R30" s="49" t="inlineStr">
        <is>
          <t>Target keyword is shared with its collection page (/collections/deodorant)</t>
        </is>
      </c>
    </row>
    <row r="31" ht="23.25" customHeight="1" s="37">
      <c r="A31" s="45" t="inlineStr">
        <is>
          <t>VD-030</t>
        </is>
      </c>
      <c r="B31" s="45" t="inlineStr">
        <is>
          <t>Vilvah &amp; Deyga</t>
        </is>
      </c>
      <c r="C31" s="45" t="inlineStr">
        <is>
          <t>Vilvah</t>
        </is>
      </c>
      <c r="D31" s="45" t="inlineStr">
        <is>
          <t>Foot Cream</t>
        </is>
      </c>
      <c r="E31" s="45" t="inlineStr">
        <is>
          <t>100 ml</t>
        </is>
      </c>
      <c r="F31" s="46" t="n">
        <v>15.99</v>
      </c>
      <c r="G31" s="45" t="inlineStr">
        <is>
          <t>foot cream</t>
        </is>
      </c>
      <c r="H31" s="47">
        <f>IFERROR(INDEX('Semrush Data'!$C$2:$C$5000,MATCH(G31,'Semrush Data'!$A$2:$A$5000,0)),"")</f>
        <v/>
      </c>
      <c r="I31" s="45">
        <f>IFERROR(INDEX('Semrush Data'!$D$2:$D$5000,MATCH(G31,'Semrush Data'!$A$2:$A$5000,0)),"")</f>
        <v/>
      </c>
      <c r="J31" s="45">
        <f>IF(OR(H31="",H31=0),"No volume",IF(I31&lt;=20,"Easier",IF(I31&lt;=35,"Medium","Hard")))</f>
        <v/>
      </c>
      <c r="K31" s="45" t="inlineStr">
        <is>
          <t>vilvah</t>
        </is>
      </c>
      <c r="L31" s="47">
        <f>IF(K31="","",IFERROR(INDEX('Semrush Data'!$C$2:$C$5000,MATCH(K31,'Semrush Data'!$A$2:$A$5000,0)),""))</f>
        <v/>
      </c>
      <c r="M31" s="48" t="inlineStr">
        <is>
          <t>Vilvah Foot Cream</t>
        </is>
      </c>
      <c r="N31" s="45" t="inlineStr">
        <is>
          <t>Vilvah Foot Cream | Buy Online UK | Swansura</t>
        </is>
      </c>
      <c r="O31" s="45">
        <f>LEN(N31)</f>
        <v/>
      </c>
      <c r="P31" s="49" t="inlineStr">
        <is>
          <t>Buy Vilvah Foot Cream, a natural foot cream from Vilvah. Official UK partner: 100% authentic, shipped from the UK, free delivery over £50.</t>
        </is>
      </c>
      <c r="Q31" s="45">
        <f>LEN(P31)</f>
        <v/>
      </c>
      <c r="R31" s="49" t="inlineStr">
        <is>
          <t>Target keyword is shared with its collection page (/collections/body-lotion-for-dry-skin)</t>
        </is>
      </c>
    </row>
    <row r="32" ht="23.25" customHeight="1" s="37">
      <c r="A32" s="45" t="inlineStr">
        <is>
          <t>VD-031</t>
        </is>
      </c>
      <c r="B32" s="45" t="inlineStr">
        <is>
          <t>Vilvah &amp; Deyga</t>
        </is>
      </c>
      <c r="C32" s="45" t="inlineStr">
        <is>
          <t>Vilvah</t>
        </is>
      </c>
      <c r="D32" s="45" t="inlineStr">
        <is>
          <t>Goat Milk Hair Mask</t>
        </is>
      </c>
      <c r="E32" s="45" t="inlineStr">
        <is>
          <t>200 g</t>
        </is>
      </c>
      <c r="F32" s="46" t="n">
        <v>31.99</v>
      </c>
      <c r="G32" s="45" t="inlineStr">
        <is>
          <t>hair mask for dry hair</t>
        </is>
      </c>
      <c r="H32" s="47">
        <f>IFERROR(INDEX('Semrush Data'!$C$2:$C$5000,MATCH(G32,'Semrush Data'!$A$2:$A$5000,0)),"")</f>
        <v/>
      </c>
      <c r="I32" s="45">
        <f>IFERROR(INDEX('Semrush Data'!$D$2:$D$5000,MATCH(G32,'Semrush Data'!$A$2:$A$5000,0)),"")</f>
        <v/>
      </c>
      <c r="J32" s="45">
        <f>IF(OR(H32="",H32=0),"No volume",IF(I32&lt;=20,"Easier",IF(I32&lt;=35,"Medium","Hard")))</f>
        <v/>
      </c>
      <c r="K32" s="45" t="inlineStr">
        <is>
          <t>vilvah</t>
        </is>
      </c>
      <c r="L32" s="47">
        <f>IF(K32="","",IFERROR(INDEX('Semrush Data'!$C$2:$C$5000,MATCH(K32,'Semrush Data'!$A$2:$A$5000,0)),""))</f>
        <v/>
      </c>
      <c r="M32" s="48" t="inlineStr">
        <is>
          <t>Vilvah Goat Milk Hair Mask</t>
        </is>
      </c>
      <c r="N32" s="45" t="inlineStr">
        <is>
          <t>Vilvah Goat Milk Hair Mask | Hair Mask for Dry Hair</t>
        </is>
      </c>
      <c r="O32" s="45">
        <f>LEN(N32)</f>
        <v/>
      </c>
      <c r="P32" s="49" t="inlineStr">
        <is>
          <t>Buy Vilvah Goat Milk Hair Mask, a natural hair mask for dry hair from Vilvah. Official UK partner: 100% authentic, shipped from the UK, free delivery over £50.</t>
        </is>
      </c>
      <c r="Q32" s="45">
        <f>LEN(P32)</f>
        <v/>
      </c>
      <c r="R32" s="49" t="inlineStr">
        <is>
          <t>Target keyword is shared with its collection page (/collections/hair-mask-for-dry-hair)</t>
        </is>
      </c>
    </row>
    <row r="33" ht="34.5" customHeight="1" s="37">
      <c r="A33" s="45" t="inlineStr">
        <is>
          <t>VD-032</t>
        </is>
      </c>
      <c r="B33" s="45" t="inlineStr">
        <is>
          <t>Vilvah &amp; Deyga</t>
        </is>
      </c>
      <c r="C33" s="45" t="inlineStr">
        <is>
          <t>Vilvah</t>
        </is>
      </c>
      <c r="D33" s="45" t="inlineStr">
        <is>
          <t>Hair growth oil</t>
        </is>
      </c>
      <c r="E33" s="45" t="inlineStr">
        <is>
          <t>100 ml</t>
        </is>
      </c>
      <c r="F33" s="46" t="n">
        <v>19.99</v>
      </c>
      <c r="G33" s="45" t="inlineStr">
        <is>
          <t>hair growth oil</t>
        </is>
      </c>
      <c r="H33" s="47">
        <f>IFERROR(INDEX('Semrush Data'!$C$2:$C$5000,MATCH(G33,'Semrush Data'!$A$2:$A$5000,0)),"")</f>
        <v/>
      </c>
      <c r="I33" s="45">
        <f>IFERROR(INDEX('Semrush Data'!$D$2:$D$5000,MATCH(G33,'Semrush Data'!$A$2:$A$5000,0)),"")</f>
        <v/>
      </c>
      <c r="J33" s="45">
        <f>IF(OR(H33="",H33=0),"No volume",IF(I33&lt;=20,"Easier",IF(I33&lt;=35,"Medium","Hard")))</f>
        <v/>
      </c>
      <c r="K33" s="45" t="inlineStr">
        <is>
          <t>vilvah</t>
        </is>
      </c>
      <c r="L33" s="47">
        <f>IF(K33="","",IFERROR(INDEX('Semrush Data'!$C$2:$C$5000,MATCH(K33,'Semrush Data'!$A$2:$A$5000,0)),""))</f>
        <v/>
      </c>
      <c r="M33" s="48" t="inlineStr">
        <is>
          <t>Vilvah Hair Growth Oil 100ml</t>
        </is>
      </c>
      <c r="N33" s="45" t="inlineStr">
        <is>
          <t>Vilvah Hair Growth Oil 100ml | Buy Online UK | Swansura</t>
        </is>
      </c>
      <c r="O33" s="45">
        <f>LEN(N33)</f>
        <v/>
      </c>
      <c r="P33" s="49" t="inlineStr">
        <is>
          <t>Buy Vilvah Hair Growth Oil, a natural hair growth oil from Vilvah. Official UK partner: 100% authentic, shipped from the UK, free delivery over £50.</t>
        </is>
      </c>
      <c r="Q33" s="45">
        <f>LEN(P33)</f>
        <v/>
      </c>
      <c r="R33" s="49" t="inlineStr">
        <is>
          <t>Target keyword is shared with its collection page (/collections/hair-growth-oil); Size variants: merge as variants of one product</t>
        </is>
      </c>
    </row>
    <row r="34" ht="34.5" customHeight="1" s="37">
      <c r="A34" s="45" t="inlineStr">
        <is>
          <t>VD-033</t>
        </is>
      </c>
      <c r="B34" s="45" t="inlineStr">
        <is>
          <t>Vilvah &amp; Deyga</t>
        </is>
      </c>
      <c r="C34" s="45" t="inlineStr">
        <is>
          <t>Vilvah</t>
        </is>
      </c>
      <c r="D34" s="45" t="inlineStr">
        <is>
          <t>Hair growth oil</t>
        </is>
      </c>
      <c r="E34" s="45" t="inlineStr">
        <is>
          <t>200 ml</t>
        </is>
      </c>
      <c r="F34" s="46" t="n">
        <v>31.99</v>
      </c>
      <c r="G34" s="45" t="inlineStr">
        <is>
          <t>hair growth oil</t>
        </is>
      </c>
      <c r="H34" s="47">
        <f>IFERROR(INDEX('Semrush Data'!$C$2:$C$5000,MATCH(G34,'Semrush Data'!$A$2:$A$5000,0)),"")</f>
        <v/>
      </c>
      <c r="I34" s="45">
        <f>IFERROR(INDEX('Semrush Data'!$D$2:$D$5000,MATCH(G34,'Semrush Data'!$A$2:$A$5000,0)),"")</f>
        <v/>
      </c>
      <c r="J34" s="45">
        <f>IF(OR(H34="",H34=0),"No volume",IF(I34&lt;=20,"Easier",IF(I34&lt;=35,"Medium","Hard")))</f>
        <v/>
      </c>
      <c r="K34" s="45" t="inlineStr">
        <is>
          <t>vilvah</t>
        </is>
      </c>
      <c r="L34" s="47">
        <f>IF(K34="","",IFERROR(INDEX('Semrush Data'!$C$2:$C$5000,MATCH(K34,'Semrush Data'!$A$2:$A$5000,0)),""))</f>
        <v/>
      </c>
      <c r="M34" s="48" t="inlineStr">
        <is>
          <t>Vilvah Hair Growth Oil 200ml</t>
        </is>
      </c>
      <c r="N34" s="45" t="inlineStr">
        <is>
          <t>Vilvah Hair Growth Oil 200ml | Buy Online UK | Swansura</t>
        </is>
      </c>
      <c r="O34" s="45">
        <f>LEN(N34)</f>
        <v/>
      </c>
      <c r="P34" s="49" t="inlineStr">
        <is>
          <t>Buy Vilvah Hair Growth Oil, a natural hair growth oil from Vilvah. Official UK partner: 100% authentic, shipped from the UK, free delivery over £50.</t>
        </is>
      </c>
      <c r="Q34" s="45">
        <f>LEN(P34)</f>
        <v/>
      </c>
      <c r="R34" s="49" t="inlineStr">
        <is>
          <t>Target keyword is shared with its collection page (/collections/hair-growth-oil); Size variants: merge as variants of one product</t>
        </is>
      </c>
    </row>
    <row r="35" ht="23.25" customHeight="1" s="37">
      <c r="A35" s="45" t="inlineStr">
        <is>
          <t>VD-034</t>
        </is>
      </c>
      <c r="B35" s="45" t="inlineStr">
        <is>
          <t>Vilvah &amp; Deyga</t>
        </is>
      </c>
      <c r="C35" s="45" t="inlineStr">
        <is>
          <t>Vilvah</t>
        </is>
      </c>
      <c r="D35" s="45" t="inlineStr">
        <is>
          <t>Herbal Shampoo (Dandruff Control)</t>
        </is>
      </c>
      <c r="E35" s="45" t="inlineStr">
        <is>
          <t>250 ml</t>
        </is>
      </c>
      <c r="F35" s="46" t="n">
        <v>15.99</v>
      </c>
      <c r="G35" s="45" t="inlineStr">
        <is>
          <t>shampoo for dandruff</t>
        </is>
      </c>
      <c r="H35" s="47">
        <f>IFERROR(INDEX('Semrush Data'!$C$2:$C$5000,MATCH(G35,'Semrush Data'!$A$2:$A$5000,0)),"")</f>
        <v/>
      </c>
      <c r="I35" s="45">
        <f>IFERROR(INDEX('Semrush Data'!$D$2:$D$5000,MATCH(G35,'Semrush Data'!$A$2:$A$5000,0)),"")</f>
        <v/>
      </c>
      <c r="J35" s="45">
        <f>IF(OR(H35="",H35=0),"No volume",IF(I35&lt;=20,"Easier",IF(I35&lt;=35,"Medium","Hard")))</f>
        <v/>
      </c>
      <c r="K35" s="45" t="inlineStr">
        <is>
          <t>vilvah</t>
        </is>
      </c>
      <c r="L35" s="47">
        <f>IF(K35="","",IFERROR(INDEX('Semrush Data'!$C$2:$C$5000,MATCH(K35,'Semrush Data'!$A$2:$A$5000,0)),""))</f>
        <v/>
      </c>
      <c r="M35" s="48" t="inlineStr">
        <is>
          <t>Vilvah Herbal Shampoo (Dandruff Control)</t>
        </is>
      </c>
      <c r="N35" s="45" t="inlineStr">
        <is>
          <t>Vilvah Herbal Shampoo (Dandruff Control) | Swansura UK</t>
        </is>
      </c>
      <c r="O35" s="45">
        <f>LEN(N35)</f>
        <v/>
      </c>
      <c r="P35" s="49" t="inlineStr">
        <is>
          <t>Buy Vilvah Herbal Shampoo (Dandruff Control), a natural shampoo for dandruff from Vilvah. Official UK partner, 100% authentic, free UK delivery over £50.</t>
        </is>
      </c>
      <c r="Q35" s="45">
        <f>LEN(P35)</f>
        <v/>
      </c>
      <c r="R35" s="49" t="inlineStr">
        <is>
          <t>Target keyword is shared with its collection page (/collections/shampoo-for-dandruff)</t>
        </is>
      </c>
    </row>
    <row r="36" ht="23.25" customHeight="1" s="37">
      <c r="A36" s="45" t="inlineStr">
        <is>
          <t>VD-035</t>
        </is>
      </c>
      <c r="B36" s="45" t="inlineStr">
        <is>
          <t>Vilvah &amp; Deyga</t>
        </is>
      </c>
      <c r="C36" s="45" t="inlineStr">
        <is>
          <t>Vilvah</t>
        </is>
      </c>
      <c r="D36" s="45" t="inlineStr">
        <is>
          <t>Lip Balm - Grapefruit</t>
        </is>
      </c>
      <c r="E36" s="45" t="inlineStr">
        <is>
          <t>10 g</t>
        </is>
      </c>
      <c r="F36" s="46" t="n">
        <v>6.99</v>
      </c>
      <c r="G36" s="45" t="inlineStr">
        <is>
          <t>lip balm for dry lips</t>
        </is>
      </c>
      <c r="H36" s="47">
        <f>IFERROR(INDEX('Semrush Data'!$C$2:$C$5000,MATCH(G36,'Semrush Data'!$A$2:$A$5000,0)),"")</f>
        <v/>
      </c>
      <c r="I36" s="45">
        <f>IFERROR(INDEX('Semrush Data'!$D$2:$D$5000,MATCH(G36,'Semrush Data'!$A$2:$A$5000,0)),"")</f>
        <v/>
      </c>
      <c r="J36" s="45">
        <f>IF(OR(H36="",H36=0),"No volume",IF(I36&lt;=20,"Easier",IF(I36&lt;=35,"Medium","Hard")))</f>
        <v/>
      </c>
      <c r="K36" s="45" t="inlineStr">
        <is>
          <t>vilvah</t>
        </is>
      </c>
      <c r="L36" s="47">
        <f>IF(K36="","",IFERROR(INDEX('Semrush Data'!$C$2:$C$5000,MATCH(K36,'Semrush Data'!$A$2:$A$5000,0)),""))</f>
        <v/>
      </c>
      <c r="M36" s="48" t="inlineStr">
        <is>
          <t>Vilvah Lip Balm - Grapefruit</t>
        </is>
      </c>
      <c r="N36" s="45" t="inlineStr">
        <is>
          <t>Vilvah Lip Balm - Grapefruit | Lip Balm for Dry Lips</t>
        </is>
      </c>
      <c r="O36" s="45">
        <f>LEN(N36)</f>
        <v/>
      </c>
      <c r="P36" s="49" t="inlineStr">
        <is>
          <t>Buy Vilvah Lip Balm - Grapefruit, a natural lip balm for dry lips from Vilvah. Official UK partner: 100% authentic, shipped from the UK, free delivery over £50.</t>
        </is>
      </c>
      <c r="Q36" s="45">
        <f>LEN(P36)</f>
        <v/>
      </c>
      <c r="R36" s="49" t="inlineStr">
        <is>
          <t>Target keyword is shared with its collection page (/collections/lip-balm-for-dry-lips)</t>
        </is>
      </c>
    </row>
    <row r="37" ht="23.25" customHeight="1" s="37">
      <c r="A37" s="45" t="inlineStr">
        <is>
          <t>VD-036</t>
        </is>
      </c>
      <c r="B37" s="45" t="inlineStr">
        <is>
          <t>Vilvah &amp; Deyga</t>
        </is>
      </c>
      <c r="C37" s="45" t="inlineStr">
        <is>
          <t>Vilvah</t>
        </is>
      </c>
      <c r="D37" s="45" t="inlineStr">
        <is>
          <t>Lip Scrub</t>
        </is>
      </c>
      <c r="E37" s="45" t="inlineStr">
        <is>
          <t>10 g</t>
        </is>
      </c>
      <c r="F37" s="46" t="n">
        <v>6.99</v>
      </c>
      <c r="G37" s="45" t="inlineStr">
        <is>
          <t>lip scrub</t>
        </is>
      </c>
      <c r="H37" s="47">
        <f>IFERROR(INDEX('Semrush Data'!$C$2:$C$5000,MATCH(G37,'Semrush Data'!$A$2:$A$5000,0)),"")</f>
        <v/>
      </c>
      <c r="I37" s="45">
        <f>IFERROR(INDEX('Semrush Data'!$D$2:$D$5000,MATCH(G37,'Semrush Data'!$A$2:$A$5000,0)),"")</f>
        <v/>
      </c>
      <c r="J37" s="45">
        <f>IF(OR(H37="",H37=0),"No volume",IF(I37&lt;=20,"Easier",IF(I37&lt;=35,"Medium","Hard")))</f>
        <v/>
      </c>
      <c r="K37" s="45" t="inlineStr">
        <is>
          <t>vilvah</t>
        </is>
      </c>
      <c r="L37" s="47">
        <f>IF(K37="","",IFERROR(INDEX('Semrush Data'!$C$2:$C$5000,MATCH(K37,'Semrush Data'!$A$2:$A$5000,0)),""))</f>
        <v/>
      </c>
      <c r="M37" s="48" t="inlineStr">
        <is>
          <t>Vilvah Lip Scrub</t>
        </is>
      </c>
      <c r="N37" s="45" t="inlineStr">
        <is>
          <t>Vilvah Lip Scrub | Buy Online UK | Swansura</t>
        </is>
      </c>
      <c r="O37" s="45">
        <f>LEN(N37)</f>
        <v/>
      </c>
      <c r="P37" s="49" t="inlineStr">
        <is>
          <t>Buy Vilvah Lip Scrub, a natural lip scrub from Vilvah. Official UK partner: 100% authentic, shipped from the UK, free delivery over £50.</t>
        </is>
      </c>
      <c r="Q37" s="45">
        <f>LEN(P37)</f>
        <v/>
      </c>
      <c r="R37" s="49" t="inlineStr">
        <is>
          <t>Target keyword is shared with its collection page (/collections/lip-scrub)</t>
        </is>
      </c>
    </row>
    <row r="38" ht="23.25" customHeight="1" s="37">
      <c r="A38" s="45" t="inlineStr">
        <is>
          <t>VD-037</t>
        </is>
      </c>
      <c r="B38" s="45" t="inlineStr">
        <is>
          <t>Vilvah &amp; Deyga</t>
        </is>
      </c>
      <c r="C38" s="45" t="inlineStr">
        <is>
          <t>Vilvah</t>
        </is>
      </c>
      <c r="D38" s="45" t="inlineStr">
        <is>
          <t>Men's Comb / Detangling Comb</t>
        </is>
      </c>
      <c r="E38" s="45" t="inlineStr">
        <is>
          <t>1 Piece</t>
        </is>
      </c>
      <c r="F38" s="46" t="n">
        <v>9.99</v>
      </c>
      <c r="G38" s="45" t="inlineStr">
        <is>
          <t>natural skincare</t>
        </is>
      </c>
      <c r="H38" s="47">
        <f>IFERROR(INDEX('Semrush Data'!$C$2:$C$5000,MATCH(G38,'Semrush Data'!$A$2:$A$5000,0)),"")</f>
        <v/>
      </c>
      <c r="I38" s="45">
        <f>IFERROR(INDEX('Semrush Data'!$D$2:$D$5000,MATCH(G38,'Semrush Data'!$A$2:$A$5000,0)),"")</f>
        <v/>
      </c>
      <c r="J38" s="45">
        <f>IF(OR(H38="",H38=0),"No volume",IF(I38&lt;=20,"Easier",IF(I38&lt;=35,"Medium","Hard")))</f>
        <v/>
      </c>
      <c r="K38" s="45" t="inlineStr">
        <is>
          <t>vilvah</t>
        </is>
      </c>
      <c r="L38" s="47">
        <f>IF(K38="","",IFERROR(INDEX('Semrush Data'!$C$2:$C$5000,MATCH(K38,'Semrush Data'!$A$2:$A$5000,0)),""))</f>
        <v/>
      </c>
      <c r="M38" s="48" t="inlineStr">
        <is>
          <t>Vilvah Men's Comb / Detangling Comb</t>
        </is>
      </c>
      <c r="N38" s="45" t="inlineStr">
        <is>
          <t>Vilvah Men's Comb / Detangling Comb | Natural Skincare</t>
        </is>
      </c>
      <c r="O38" s="45">
        <f>LEN(N38)</f>
        <v/>
      </c>
      <c r="P38" s="49" t="inlineStr">
        <is>
          <t>Buy Vilvah Men's Comb / Detangling Comb, natural skincare from Vilvah. Official UK partner: 100% authentic, shipped from the UK, free delivery over £50.</t>
        </is>
      </c>
      <c r="Q38" s="45">
        <f>LEN(P38)</f>
        <v/>
      </c>
      <c r="R38" s="49" t="inlineStr">
        <is>
          <t>Target keyword is shared with its collection page (/collections/natural-skincare)</t>
        </is>
      </c>
    </row>
    <row r="39" ht="34.5" customHeight="1" s="37">
      <c r="A39" s="45" t="inlineStr">
        <is>
          <t>VD-038</t>
        </is>
      </c>
      <c r="B39" s="45" t="inlineStr">
        <is>
          <t>Vilvah &amp; Deyga</t>
        </is>
      </c>
      <c r="C39" s="45" t="inlineStr">
        <is>
          <t>Vilvah</t>
        </is>
      </c>
      <c r="D39" s="45" t="inlineStr">
        <is>
          <t>Milk Drops Brightening Serum 20ml</t>
        </is>
      </c>
      <c r="E39" s="45" t="inlineStr">
        <is>
          <t>20 ml</t>
        </is>
      </c>
      <c r="F39" s="46" t="n">
        <v>20.99</v>
      </c>
      <c r="G39" s="45" t="inlineStr">
        <is>
          <t>skincare for dull skin</t>
        </is>
      </c>
      <c r="H39" s="47">
        <f>IFERROR(INDEX('Semrush Data'!$C$2:$C$5000,MATCH(G39,'Semrush Data'!$A$2:$A$5000,0)),"")</f>
        <v/>
      </c>
      <c r="I39" s="45">
        <f>IFERROR(INDEX('Semrush Data'!$D$2:$D$5000,MATCH(G39,'Semrush Data'!$A$2:$A$5000,0)),"")</f>
        <v/>
      </c>
      <c r="J39" s="45">
        <f>IF(OR(H39="",H39=0),"No volume",IF(I39&lt;=20,"Easier",IF(I39&lt;=35,"Medium","Hard")))</f>
        <v/>
      </c>
      <c r="K39" s="45" t="inlineStr">
        <is>
          <t>vilvah</t>
        </is>
      </c>
      <c r="L39" s="47">
        <f>IF(K39="","",IFERROR(INDEX('Semrush Data'!$C$2:$C$5000,MATCH(K39,'Semrush Data'!$A$2:$A$5000,0)),""))</f>
        <v/>
      </c>
      <c r="M39" s="48" t="inlineStr">
        <is>
          <t>Vilvah Milk Drops Brightening Serum 20ml</t>
        </is>
      </c>
      <c r="N39" s="45" t="inlineStr">
        <is>
          <t>Vilvah Milk Drops Brightening Serum 20ml | Swansura UK</t>
        </is>
      </c>
      <c r="O39" s="45">
        <f>LEN(N39)</f>
        <v/>
      </c>
      <c r="P39" s="49" t="inlineStr">
        <is>
          <t>Buy Vilvah Milk Drops Brightening Serum, natural skincare for dull skin from Vilvah. Official UK partner, 100% authentic, free UK delivery over £50.</t>
        </is>
      </c>
      <c r="Q39" s="45">
        <f>LEN(P39)</f>
        <v/>
      </c>
      <c r="R39" s="49" t="inlineStr">
        <is>
          <t>Target keyword is shared with its collection page (/collections/dull-skin); Size variants: merge as variants of one product</t>
        </is>
      </c>
    </row>
    <row r="40" ht="34.5" customHeight="1" s="37">
      <c r="A40" s="45" t="inlineStr">
        <is>
          <t>VD-039</t>
        </is>
      </c>
      <c r="B40" s="45" t="inlineStr">
        <is>
          <t>Vilvah &amp; Deyga</t>
        </is>
      </c>
      <c r="C40" s="45" t="inlineStr">
        <is>
          <t>Vilvah</t>
        </is>
      </c>
      <c r="D40" s="45" t="inlineStr">
        <is>
          <t>Milk Drops Brightening Serum 40ml</t>
        </is>
      </c>
      <c r="E40" s="45" t="inlineStr">
        <is>
          <t>40 ml</t>
        </is>
      </c>
      <c r="F40" s="46" t="n">
        <v>29.99</v>
      </c>
      <c r="G40" s="45" t="inlineStr">
        <is>
          <t>skincare for dull skin</t>
        </is>
      </c>
      <c r="H40" s="47">
        <f>IFERROR(INDEX('Semrush Data'!$C$2:$C$5000,MATCH(G40,'Semrush Data'!$A$2:$A$5000,0)),"")</f>
        <v/>
      </c>
      <c r="I40" s="45">
        <f>IFERROR(INDEX('Semrush Data'!$D$2:$D$5000,MATCH(G40,'Semrush Data'!$A$2:$A$5000,0)),"")</f>
        <v/>
      </c>
      <c r="J40" s="45">
        <f>IF(OR(H40="",H40=0),"No volume",IF(I40&lt;=20,"Easier",IF(I40&lt;=35,"Medium","Hard")))</f>
        <v/>
      </c>
      <c r="K40" s="45" t="inlineStr">
        <is>
          <t>vilvah</t>
        </is>
      </c>
      <c r="L40" s="47">
        <f>IF(K40="","",IFERROR(INDEX('Semrush Data'!$C$2:$C$5000,MATCH(K40,'Semrush Data'!$A$2:$A$5000,0)),""))</f>
        <v/>
      </c>
      <c r="M40" s="48" t="inlineStr">
        <is>
          <t>Vilvah Milk Drops Brightening Serum 40ml</t>
        </is>
      </c>
      <c r="N40" s="45" t="inlineStr">
        <is>
          <t>Vilvah Milk Drops Brightening Serum 40ml | Swansura UK</t>
        </is>
      </c>
      <c r="O40" s="45">
        <f>LEN(N40)</f>
        <v/>
      </c>
      <c r="P40" s="49" t="inlineStr">
        <is>
          <t>Buy Vilvah Milk Drops Brightening Serum, natural skincare for dull skin from Vilvah. Official UK partner, 100% authentic, free UK delivery over £50.</t>
        </is>
      </c>
      <c r="Q40" s="45">
        <f>LEN(P40)</f>
        <v/>
      </c>
      <c r="R40" s="49" t="inlineStr">
        <is>
          <t>Target keyword is shared with its collection page (/collections/dull-skin); Size variants: merge as variants of one product</t>
        </is>
      </c>
    </row>
    <row r="41" ht="23.25" customHeight="1" s="37">
      <c r="A41" s="45" t="inlineStr">
        <is>
          <t>VD-040</t>
        </is>
      </c>
      <c r="B41" s="45" t="inlineStr">
        <is>
          <t>Vilvah &amp; Deyga</t>
        </is>
      </c>
      <c r="C41" s="45" t="inlineStr">
        <is>
          <t>Vilvah</t>
        </is>
      </c>
      <c r="D41" s="45" t="inlineStr">
        <is>
          <t>Milk Lip Balm SPF 30 PA+++</t>
        </is>
      </c>
      <c r="E41" s="45" t="inlineStr">
        <is>
          <t>4 g</t>
        </is>
      </c>
      <c r="F41" s="46" t="n">
        <v>9.99</v>
      </c>
      <c r="G41" s="45" t="inlineStr">
        <is>
          <t>spf lip balm</t>
        </is>
      </c>
      <c r="H41" s="47">
        <f>IFERROR(INDEX('Semrush Data'!$C$2:$C$5000,MATCH(G41,'Semrush Data'!$A$2:$A$5000,0)),"")</f>
        <v/>
      </c>
      <c r="I41" s="45">
        <f>IFERROR(INDEX('Semrush Data'!$D$2:$D$5000,MATCH(G41,'Semrush Data'!$A$2:$A$5000,0)),"")</f>
        <v/>
      </c>
      <c r="J41" s="45">
        <f>IF(OR(H41="",H41=0),"No volume",IF(I41&lt;=20,"Easier",IF(I41&lt;=35,"Medium","Hard")))</f>
        <v/>
      </c>
      <c r="K41" s="45" t="inlineStr">
        <is>
          <t>vilvah</t>
        </is>
      </c>
      <c r="L41" s="47">
        <f>IF(K41="","",IFERROR(INDEX('Semrush Data'!$C$2:$C$5000,MATCH(K41,'Semrush Data'!$A$2:$A$5000,0)),""))</f>
        <v/>
      </c>
      <c r="M41" s="48" t="inlineStr">
        <is>
          <t>Vilvah Milk Lip Balm SPF 30 PA</t>
        </is>
      </c>
      <c r="N41" s="45" t="inlineStr">
        <is>
          <t>Vilvah Milk Lip Balm SPF 30 PA | Buy Online UK | Swansura</t>
        </is>
      </c>
      <c r="O41" s="45">
        <f>LEN(N41)</f>
        <v/>
      </c>
      <c r="P41" s="49" t="inlineStr">
        <is>
          <t>Buy Vilvah Milk Lip Balm SPF 30 PA, a natural spf lip balm from Vilvah. Official UK partner: 100% authentic, shipped from the UK, free delivery over £50.</t>
        </is>
      </c>
      <c r="Q41" s="45">
        <f>LEN(P41)</f>
        <v/>
      </c>
      <c r="R41" s="49" t="inlineStr">
        <is>
          <t>Target keyword is shared with its collection page (/collections/lip-balm-for-dry-lips)</t>
        </is>
      </c>
    </row>
    <row r="42" ht="23.25" customHeight="1" s="37">
      <c r="A42" s="45" t="inlineStr">
        <is>
          <t>VD-041</t>
        </is>
      </c>
      <c r="B42" s="45" t="inlineStr">
        <is>
          <t>Vilvah &amp; Deyga</t>
        </is>
      </c>
      <c r="C42" s="45" t="inlineStr">
        <is>
          <t>Vilvah</t>
        </is>
      </c>
      <c r="D42" s="45" t="inlineStr">
        <is>
          <t>Neem Wood Comb (With Handle)</t>
        </is>
      </c>
      <c r="E42" s="45" t="inlineStr">
        <is>
          <t>1 Piece</t>
        </is>
      </c>
      <c r="F42" s="46" t="n">
        <v>9.99</v>
      </c>
      <c r="G42" s="45" t="inlineStr">
        <is>
          <t>natural skincare</t>
        </is>
      </c>
      <c r="H42" s="47">
        <f>IFERROR(INDEX('Semrush Data'!$C$2:$C$5000,MATCH(G42,'Semrush Data'!$A$2:$A$5000,0)),"")</f>
        <v/>
      </c>
      <c r="I42" s="45">
        <f>IFERROR(INDEX('Semrush Data'!$D$2:$D$5000,MATCH(G42,'Semrush Data'!$A$2:$A$5000,0)),"")</f>
        <v/>
      </c>
      <c r="J42" s="45">
        <f>IF(OR(H42="",H42=0),"No volume",IF(I42&lt;=20,"Easier",IF(I42&lt;=35,"Medium","Hard")))</f>
        <v/>
      </c>
      <c r="K42" s="45" t="inlineStr">
        <is>
          <t>vilvah</t>
        </is>
      </c>
      <c r="L42" s="47">
        <f>IF(K42="","",IFERROR(INDEX('Semrush Data'!$C$2:$C$5000,MATCH(K42,'Semrush Data'!$A$2:$A$5000,0)),""))</f>
        <v/>
      </c>
      <c r="M42" s="48" t="inlineStr">
        <is>
          <t>Vilvah Neem Wood Comb (With Handle)</t>
        </is>
      </c>
      <c r="N42" s="45" t="inlineStr">
        <is>
          <t>Vilvah Neem Wood Comb (With Handle) | Natural Skincare</t>
        </is>
      </c>
      <c r="O42" s="45">
        <f>LEN(N42)</f>
        <v/>
      </c>
      <c r="P42" s="49" t="inlineStr">
        <is>
          <t>Buy Vilvah Neem Wood Comb (With Handle), natural skincare from Vilvah. Official UK partner: 100% authentic, shipped from the UK, free delivery over £50.</t>
        </is>
      </c>
      <c r="Q42" s="45">
        <f>LEN(P42)</f>
        <v/>
      </c>
      <c r="R42" s="49" t="inlineStr">
        <is>
          <t>Target keyword is shared with its collection page (/collections/natural-skincare)</t>
        </is>
      </c>
    </row>
    <row r="43" ht="23.25" customHeight="1" s="37">
      <c r="A43" s="45" t="inlineStr">
        <is>
          <t>VD-042</t>
        </is>
      </c>
      <c r="B43" s="45" t="inlineStr">
        <is>
          <t>Vilvah &amp; Deyga</t>
        </is>
      </c>
      <c r="C43" s="45" t="inlineStr">
        <is>
          <t>Vilvah</t>
        </is>
      </c>
      <c r="D43" s="45" t="inlineStr">
        <is>
          <t>Neem Wood Comb(Fine and wide tooth)</t>
        </is>
      </c>
      <c r="E43" s="45" t="inlineStr">
        <is>
          <t>1 Piece</t>
        </is>
      </c>
      <c r="F43" s="46" t="n">
        <v>9.99</v>
      </c>
      <c r="G43" s="45" t="inlineStr">
        <is>
          <t>natural skincare</t>
        </is>
      </c>
      <c r="H43" s="47">
        <f>IFERROR(INDEX('Semrush Data'!$C$2:$C$5000,MATCH(G43,'Semrush Data'!$A$2:$A$5000,0)),"")</f>
        <v/>
      </c>
      <c r="I43" s="45">
        <f>IFERROR(INDEX('Semrush Data'!$D$2:$D$5000,MATCH(G43,'Semrush Data'!$A$2:$A$5000,0)),"")</f>
        <v/>
      </c>
      <c r="J43" s="45">
        <f>IF(OR(H43="",H43=0),"No volume",IF(I43&lt;=20,"Easier",IF(I43&lt;=35,"Medium","Hard")))</f>
        <v/>
      </c>
      <c r="K43" s="45" t="inlineStr">
        <is>
          <t>vilvah</t>
        </is>
      </c>
      <c r="L43" s="47">
        <f>IF(K43="","",IFERROR(INDEX('Semrush Data'!$C$2:$C$5000,MATCH(K43,'Semrush Data'!$A$2:$A$5000,0)),""))</f>
        <v/>
      </c>
      <c r="M43" s="48" t="inlineStr">
        <is>
          <t>Vilvah Neem Wood Comb(Fine and Wide Tooth)</t>
        </is>
      </c>
      <c r="N43" s="45" t="inlineStr">
        <is>
          <t>Vilvah Neem Wood Comb(Fine and Wide Tooth) | Swansura UK</t>
        </is>
      </c>
      <c r="O43" s="45">
        <f>LEN(N43)</f>
        <v/>
      </c>
      <c r="P43" s="49" t="inlineStr">
        <is>
          <t>Buy Vilvah Neem Wood Comb(Fine and Wide Tooth), natural skincare from Vilvah. Official UK partner: 100% authentic, shipped from the UK, free delivery over £50.</t>
        </is>
      </c>
      <c r="Q43" s="45">
        <f>LEN(P43)</f>
        <v/>
      </c>
      <c r="R43" s="49" t="inlineStr">
        <is>
          <t>Target keyword is shared with its collection page (/collections/natural-skincare)</t>
        </is>
      </c>
    </row>
    <row r="44" ht="23.25" customHeight="1" s="37">
      <c r="A44" s="45" t="inlineStr">
        <is>
          <t>VD-043</t>
        </is>
      </c>
      <c r="B44" s="45" t="inlineStr">
        <is>
          <t>Vilvah &amp; Deyga</t>
        </is>
      </c>
      <c r="C44" s="45" t="inlineStr">
        <is>
          <t>Vilvah</t>
        </is>
      </c>
      <c r="D44" s="45" t="inlineStr">
        <is>
          <t>Under Eye Cream (Dark Circles Control)</t>
        </is>
      </c>
      <c r="E44" s="45" t="inlineStr">
        <is>
          <t>20 ml</t>
        </is>
      </c>
      <c r="F44" s="46" t="n">
        <v>19.99</v>
      </c>
      <c r="G44" s="45" t="inlineStr">
        <is>
          <t>moisturiser for dry skin</t>
        </is>
      </c>
      <c r="H44" s="47">
        <f>IFERROR(INDEX('Semrush Data'!$C$2:$C$5000,MATCH(G44,'Semrush Data'!$A$2:$A$5000,0)),"")</f>
        <v/>
      </c>
      <c r="I44" s="45">
        <f>IFERROR(INDEX('Semrush Data'!$D$2:$D$5000,MATCH(G44,'Semrush Data'!$A$2:$A$5000,0)),"")</f>
        <v/>
      </c>
      <c r="J44" s="45">
        <f>IF(OR(H44="",H44=0),"No volume",IF(I44&lt;=20,"Easier",IF(I44&lt;=35,"Medium","Hard")))</f>
        <v/>
      </c>
      <c r="K44" s="45" t="inlineStr">
        <is>
          <t>vilvah</t>
        </is>
      </c>
      <c r="L44" s="47">
        <f>IF(K44="","",IFERROR(INDEX('Semrush Data'!$C$2:$C$5000,MATCH(K44,'Semrush Data'!$A$2:$A$5000,0)),""))</f>
        <v/>
      </c>
      <c r="M44" s="48" t="inlineStr">
        <is>
          <t>Vilvah Under Eye Cream (Dark Circles Control)</t>
        </is>
      </c>
      <c r="N44" s="45" t="inlineStr">
        <is>
          <t>Vilvah Under Eye Cream (Dark Circles Control) | Swansura UK</t>
        </is>
      </c>
      <c r="O44" s="45">
        <f>LEN(N44)</f>
        <v/>
      </c>
      <c r="P44" s="49" t="inlineStr">
        <is>
          <t>Buy Vilvah Under Eye Cream (Dark Circles Control), a natural moisturiser for dry skin from Vilvah. 100% authentic, shipped from the UK, free delivery over £50.</t>
        </is>
      </c>
      <c r="Q44" s="45">
        <f>LEN(P44)</f>
        <v/>
      </c>
      <c r="R44" s="49" t="inlineStr">
        <is>
          <t>Target keyword is shared with its collection page (/collections/moisturiser-for-dry-skin)</t>
        </is>
      </c>
    </row>
    <row r="45" ht="23.25" customHeight="1" s="37">
      <c r="A45" s="45" t="inlineStr">
        <is>
          <t>VD-044</t>
        </is>
      </c>
      <c r="B45" s="45" t="inlineStr">
        <is>
          <t>Vilvah &amp; Deyga</t>
        </is>
      </c>
      <c r="C45" s="45" t="inlineStr">
        <is>
          <t>Vilvah</t>
        </is>
      </c>
      <c r="D45" s="45" t="inlineStr">
        <is>
          <t>Filter Kaapi Lip Balm</t>
        </is>
      </c>
      <c r="E45" s="45" t="inlineStr">
        <is>
          <t>10 g</t>
        </is>
      </c>
      <c r="F45" s="46" t="n">
        <v>9.99</v>
      </c>
      <c r="G45" s="45" t="inlineStr">
        <is>
          <t>lip balm for dry lips</t>
        </is>
      </c>
      <c r="H45" s="47">
        <f>IFERROR(INDEX('Semrush Data'!$C$2:$C$5000,MATCH(G45,'Semrush Data'!$A$2:$A$5000,0)),"")</f>
        <v/>
      </c>
      <c r="I45" s="45">
        <f>IFERROR(INDEX('Semrush Data'!$D$2:$D$5000,MATCH(G45,'Semrush Data'!$A$2:$A$5000,0)),"")</f>
        <v/>
      </c>
      <c r="J45" s="45">
        <f>IF(OR(H45="",H45=0),"No volume",IF(I45&lt;=20,"Easier",IF(I45&lt;=35,"Medium","Hard")))</f>
        <v/>
      </c>
      <c r="K45" s="45" t="inlineStr">
        <is>
          <t>vilvah</t>
        </is>
      </c>
      <c r="L45" s="47">
        <f>IF(K45="","",IFERROR(INDEX('Semrush Data'!$C$2:$C$5000,MATCH(K45,'Semrush Data'!$A$2:$A$5000,0)),""))</f>
        <v/>
      </c>
      <c r="M45" s="48" t="inlineStr">
        <is>
          <t>Vilvah Filter Kaapi Lip Balm</t>
        </is>
      </c>
      <c r="N45" s="45" t="inlineStr">
        <is>
          <t>Vilvah Filter Kaapi Lip Balm | Lip Balm for Dry Lips</t>
        </is>
      </c>
      <c r="O45" s="45">
        <f>LEN(N45)</f>
        <v/>
      </c>
      <c r="P45" s="49" t="inlineStr">
        <is>
          <t>Buy Vilvah Filter Kaapi Lip Balm, a natural lip balm for dry lips from Vilvah. Official UK partner: 100% authentic, shipped from the UK, free delivery over £50.</t>
        </is>
      </c>
      <c r="Q45" s="45">
        <f>LEN(P45)</f>
        <v/>
      </c>
      <c r="R45" s="49" t="inlineStr">
        <is>
          <t>Target keyword is shared with its collection page (/collections/lip-balm-for-dry-lips)</t>
        </is>
      </c>
    </row>
    <row r="46" ht="23.25" customHeight="1" s="37">
      <c r="A46" s="45" t="inlineStr">
        <is>
          <t>VD-045</t>
        </is>
      </c>
      <c r="B46" s="45" t="inlineStr">
        <is>
          <t>Vilvah &amp; Deyga</t>
        </is>
      </c>
      <c r="C46" s="45" t="inlineStr">
        <is>
          <t>Vilvah</t>
        </is>
      </c>
      <c r="D46" s="45" t="inlineStr">
        <is>
          <t>Mango Shake Lip Balm</t>
        </is>
      </c>
      <c r="E46" s="45" t="inlineStr">
        <is>
          <t>10g</t>
        </is>
      </c>
      <c r="F46" s="46" t="n">
        <v>9.99</v>
      </c>
      <c r="G46" s="45" t="inlineStr">
        <is>
          <t>lip balm for dry lips</t>
        </is>
      </c>
      <c r="H46" s="47">
        <f>IFERROR(INDEX('Semrush Data'!$C$2:$C$5000,MATCH(G46,'Semrush Data'!$A$2:$A$5000,0)),"")</f>
        <v/>
      </c>
      <c r="I46" s="45">
        <f>IFERROR(INDEX('Semrush Data'!$D$2:$D$5000,MATCH(G46,'Semrush Data'!$A$2:$A$5000,0)),"")</f>
        <v/>
      </c>
      <c r="J46" s="45">
        <f>IF(OR(H46="",H46=0),"No volume",IF(I46&lt;=20,"Easier",IF(I46&lt;=35,"Medium","Hard")))</f>
        <v/>
      </c>
      <c r="K46" s="45" t="inlineStr">
        <is>
          <t>vilvah</t>
        </is>
      </c>
      <c r="L46" s="47">
        <f>IF(K46="","",IFERROR(INDEX('Semrush Data'!$C$2:$C$5000,MATCH(K46,'Semrush Data'!$A$2:$A$5000,0)),""))</f>
        <v/>
      </c>
      <c r="M46" s="48" t="inlineStr">
        <is>
          <t>Vilvah Mango Shake Lip Balm</t>
        </is>
      </c>
      <c r="N46" s="45" t="inlineStr">
        <is>
          <t>Vilvah Mango Shake Lip Balm | Lip Balm for Dry Lips</t>
        </is>
      </c>
      <c r="O46" s="45">
        <f>LEN(N46)</f>
        <v/>
      </c>
      <c r="P46" s="49" t="inlineStr">
        <is>
          <t>Buy Vilvah Mango Shake Lip Balm, a natural lip balm for dry lips from Vilvah. Official UK partner: 100% authentic, shipped from the UK, free delivery over £50.</t>
        </is>
      </c>
      <c r="Q46" s="45">
        <f>LEN(P46)</f>
        <v/>
      </c>
      <c r="R46" s="49" t="inlineStr">
        <is>
          <t>Target keyword is shared with its collection page (/collections/lip-balm-for-dry-lips)</t>
        </is>
      </c>
    </row>
    <row r="47" ht="23.25" customHeight="1" s="37">
      <c r="A47" s="45" t="inlineStr">
        <is>
          <t>VD-046</t>
        </is>
      </c>
      <c r="B47" s="45" t="inlineStr">
        <is>
          <t>Vilvah &amp; Deyga</t>
        </is>
      </c>
      <c r="C47" s="45" t="inlineStr">
        <is>
          <t>Vilvah</t>
        </is>
      </c>
      <c r="D47" s="45" t="inlineStr">
        <is>
          <t>Cream Bun Lip Balm</t>
        </is>
      </c>
      <c r="E47" s="45" t="inlineStr">
        <is>
          <t>10g</t>
        </is>
      </c>
      <c r="F47" s="46" t="n">
        <v>9.99</v>
      </c>
      <c r="G47" s="45" t="inlineStr">
        <is>
          <t>lip balm for dry lips</t>
        </is>
      </c>
      <c r="H47" s="47">
        <f>IFERROR(INDEX('Semrush Data'!$C$2:$C$5000,MATCH(G47,'Semrush Data'!$A$2:$A$5000,0)),"")</f>
        <v/>
      </c>
      <c r="I47" s="45">
        <f>IFERROR(INDEX('Semrush Data'!$D$2:$D$5000,MATCH(G47,'Semrush Data'!$A$2:$A$5000,0)),"")</f>
        <v/>
      </c>
      <c r="J47" s="45">
        <f>IF(OR(H47="",H47=0),"No volume",IF(I47&lt;=20,"Easier",IF(I47&lt;=35,"Medium","Hard")))</f>
        <v/>
      </c>
      <c r="K47" s="45" t="inlineStr">
        <is>
          <t>vilvah</t>
        </is>
      </c>
      <c r="L47" s="47">
        <f>IF(K47="","",IFERROR(INDEX('Semrush Data'!$C$2:$C$5000,MATCH(K47,'Semrush Data'!$A$2:$A$5000,0)),""))</f>
        <v/>
      </c>
      <c r="M47" s="48" t="inlineStr">
        <is>
          <t>Vilvah Cream Bun Lip Balm</t>
        </is>
      </c>
      <c r="N47" s="45" t="inlineStr">
        <is>
          <t>Vilvah Cream Bun Lip Balm – Lip Balm for Dry Lips | Swansura</t>
        </is>
      </c>
      <c r="O47" s="45">
        <f>LEN(N47)</f>
        <v/>
      </c>
      <c r="P47" s="49" t="inlineStr">
        <is>
          <t>Buy Vilvah Cream Bun Lip Balm, a natural lip balm for dry lips from Vilvah. Official UK partner: 100% authentic, shipped from the UK, free delivery over £50.</t>
        </is>
      </c>
      <c r="Q47" s="45">
        <f>LEN(P47)</f>
        <v/>
      </c>
      <c r="R47" s="49" t="inlineStr">
        <is>
          <t>Target keyword is shared with its collection page (/collections/lip-balm-for-dry-lips)</t>
        </is>
      </c>
    </row>
    <row r="48" ht="23.25" customHeight="1" s="37">
      <c r="A48" s="45" t="inlineStr">
        <is>
          <t>VD-047</t>
        </is>
      </c>
      <c r="B48" s="45" t="inlineStr">
        <is>
          <t>Vilvah &amp; Deyga</t>
        </is>
      </c>
      <c r="C48" s="45" t="inlineStr">
        <is>
          <t>Vilvah</t>
        </is>
      </c>
      <c r="D48" s="45" t="inlineStr">
        <is>
          <t>Vilvah Milk Body Kit</t>
        </is>
      </c>
      <c r="E48" s="45" t="n"/>
      <c r="F48" s="46" t="n">
        <v>44.99</v>
      </c>
      <c r="G48" s="45" t="inlineStr">
        <is>
          <t>skincare for dry skin</t>
        </is>
      </c>
      <c r="H48" s="47">
        <f>IFERROR(INDEX('Semrush Data'!$C$2:$C$5000,MATCH(G48,'Semrush Data'!$A$2:$A$5000,0)),"")</f>
        <v/>
      </c>
      <c r="I48" s="45">
        <f>IFERROR(INDEX('Semrush Data'!$D$2:$D$5000,MATCH(G48,'Semrush Data'!$A$2:$A$5000,0)),"")</f>
        <v/>
      </c>
      <c r="J48" s="45">
        <f>IF(OR(H48="",H48=0),"No volume",IF(I48&lt;=20,"Easier",IF(I48&lt;=35,"Medium","Hard")))</f>
        <v/>
      </c>
      <c r="K48" s="45" t="inlineStr">
        <is>
          <t>vilvah</t>
        </is>
      </c>
      <c r="L48" s="47">
        <f>IF(K48="","",IFERROR(INDEX('Semrush Data'!$C$2:$C$5000,MATCH(K48,'Semrush Data'!$A$2:$A$5000,0)),""))</f>
        <v/>
      </c>
      <c r="M48" s="48" t="inlineStr">
        <is>
          <t>Vilvah Milk Body Kit</t>
        </is>
      </c>
      <c r="N48" s="45" t="inlineStr">
        <is>
          <t>Vilvah Milk Body Kit – Skincare for Dry Skin | Swansura</t>
        </is>
      </c>
      <c r="O48" s="45">
        <f>LEN(N48)</f>
        <v/>
      </c>
      <c r="P48" s="49" t="inlineStr">
        <is>
          <t>Buy Vilvah Milk Body Kit, natural skincare for dry skin from Vilvah. Official UK partner: 100% authentic, shipped from the UK, free delivery over £50.</t>
        </is>
      </c>
      <c r="Q48" s="45">
        <f>LEN(P48)</f>
        <v/>
      </c>
      <c r="R48" s="49" t="inlineStr">
        <is>
          <t>Target keyword is shared with its collection page (/collections/dry-skin)</t>
        </is>
      </c>
    </row>
    <row r="49" ht="23.25" customHeight="1" s="37">
      <c r="A49" s="45" t="inlineStr">
        <is>
          <t>VD-048</t>
        </is>
      </c>
      <c r="B49" s="45" t="inlineStr">
        <is>
          <t>Vilvah &amp; Deyga</t>
        </is>
      </c>
      <c r="C49" s="45" t="inlineStr">
        <is>
          <t>Vilvah</t>
        </is>
      </c>
      <c r="D49" s="45" t="inlineStr">
        <is>
          <t>Vilvah Foot Cream and Body Lotion Kit</t>
        </is>
      </c>
      <c r="E49" s="45" t="n"/>
      <c r="F49" s="46" t="n">
        <v>39.99</v>
      </c>
      <c r="G49" s="45" t="inlineStr">
        <is>
          <t>skincare for dry skin</t>
        </is>
      </c>
      <c r="H49" s="47">
        <f>IFERROR(INDEX('Semrush Data'!$C$2:$C$5000,MATCH(G49,'Semrush Data'!$A$2:$A$5000,0)),"")</f>
        <v/>
      </c>
      <c r="I49" s="45">
        <f>IFERROR(INDEX('Semrush Data'!$D$2:$D$5000,MATCH(G49,'Semrush Data'!$A$2:$A$5000,0)),"")</f>
        <v/>
      </c>
      <c r="J49" s="45">
        <f>IF(OR(H49="",H49=0),"No volume",IF(I49&lt;=20,"Easier",IF(I49&lt;=35,"Medium","Hard")))</f>
        <v/>
      </c>
      <c r="K49" s="45" t="inlineStr">
        <is>
          <t>vilvah</t>
        </is>
      </c>
      <c r="L49" s="47">
        <f>IF(K49="","",IFERROR(INDEX('Semrush Data'!$C$2:$C$5000,MATCH(K49,'Semrush Data'!$A$2:$A$5000,0)),""))</f>
        <v/>
      </c>
      <c r="M49" s="48" t="inlineStr">
        <is>
          <t>Vilvah Foot Cream and Body Lotion Kit</t>
        </is>
      </c>
      <c r="N49" s="45" t="inlineStr">
        <is>
          <t>Vilvah Foot Cream and Body Lotion Kit | Vilvah UK | Swansura</t>
        </is>
      </c>
      <c r="O49" s="45">
        <f>LEN(N49)</f>
        <v/>
      </c>
      <c r="P49" s="49" t="inlineStr">
        <is>
          <t>Buy Vilvah Foot Cream and Body Lotion Kit, natural skincare for dry skin from Vilvah. Official UK partner, 100% authentic, free UK delivery over £50.</t>
        </is>
      </c>
      <c r="Q49" s="45">
        <f>LEN(P49)</f>
        <v/>
      </c>
      <c r="R49" s="49" t="inlineStr">
        <is>
          <t>Target keyword is shared with its collection page (/collections/dry-skin)</t>
        </is>
      </c>
    </row>
    <row r="50" ht="23.25" customHeight="1" s="37">
      <c r="A50" s="45" t="inlineStr">
        <is>
          <t>VD-049</t>
        </is>
      </c>
      <c r="B50" s="45" t="inlineStr">
        <is>
          <t>Vilvah &amp; Deyga</t>
        </is>
      </c>
      <c r="C50" s="45" t="inlineStr">
        <is>
          <t>Vilvah</t>
        </is>
      </c>
      <c r="D50" s="45" t="inlineStr">
        <is>
          <t>Vilvah Milk Face Kit</t>
        </is>
      </c>
      <c r="E50" s="45" t="n"/>
      <c r="F50" s="46" t="n">
        <v>45.99</v>
      </c>
      <c r="G50" s="45" t="inlineStr">
        <is>
          <t>skincare for dry skin</t>
        </is>
      </c>
      <c r="H50" s="47">
        <f>IFERROR(INDEX('Semrush Data'!$C$2:$C$5000,MATCH(G50,'Semrush Data'!$A$2:$A$5000,0)),"")</f>
        <v/>
      </c>
      <c r="I50" s="45">
        <f>IFERROR(INDEX('Semrush Data'!$D$2:$D$5000,MATCH(G50,'Semrush Data'!$A$2:$A$5000,0)),"")</f>
        <v/>
      </c>
      <c r="J50" s="45">
        <f>IF(OR(H50="",H50=0),"No volume",IF(I50&lt;=20,"Easier",IF(I50&lt;=35,"Medium","Hard")))</f>
        <v/>
      </c>
      <c r="K50" s="45" t="inlineStr">
        <is>
          <t>vilvah</t>
        </is>
      </c>
      <c r="L50" s="47">
        <f>IF(K50="","",IFERROR(INDEX('Semrush Data'!$C$2:$C$5000,MATCH(K50,'Semrush Data'!$A$2:$A$5000,0)),""))</f>
        <v/>
      </c>
      <c r="M50" s="48" t="inlineStr">
        <is>
          <t>Vilvah Milk Face Kit</t>
        </is>
      </c>
      <c r="N50" s="45" t="inlineStr">
        <is>
          <t>Vilvah Milk Face Kit – Skincare for Dry Skin | Swansura</t>
        </is>
      </c>
      <c r="O50" s="45">
        <f>LEN(N50)</f>
        <v/>
      </c>
      <c r="P50" s="49" t="inlineStr">
        <is>
          <t>Buy Vilvah Milk Face Kit, natural skincare for dry skin from Vilvah. Milk Mud Mask banishes tan lines and renews complexion. Free UK delivery over £50.</t>
        </is>
      </c>
      <c r="Q50" s="45">
        <f>LEN(P50)</f>
        <v/>
      </c>
      <c r="R50" s="49" t="inlineStr">
        <is>
          <t>Target keyword is shared with its collection page (/collections/dry-skin)</t>
        </is>
      </c>
    </row>
    <row r="51" ht="23.25" customHeight="1" s="37">
      <c r="A51" s="45" t="inlineStr">
        <is>
          <t>VD-050</t>
        </is>
      </c>
      <c r="B51" s="45" t="inlineStr">
        <is>
          <t>Vilvah &amp; Deyga</t>
        </is>
      </c>
      <c r="C51" s="45" t="inlineStr">
        <is>
          <t>Vilvah</t>
        </is>
      </c>
      <c r="D51" s="45" t="inlineStr">
        <is>
          <t>oil control kit</t>
        </is>
      </c>
      <c r="E51" s="45" t="n"/>
      <c r="F51" s="46" t="n">
        <v>32.99</v>
      </c>
      <c r="G51" s="45" t="inlineStr">
        <is>
          <t>face wash for oily skin</t>
        </is>
      </c>
      <c r="H51" s="47">
        <f>IFERROR(INDEX('Semrush Data'!$C$2:$C$5000,MATCH(G51,'Semrush Data'!$A$2:$A$5000,0)),"")</f>
        <v/>
      </c>
      <c r="I51" s="45">
        <f>IFERROR(INDEX('Semrush Data'!$D$2:$D$5000,MATCH(G51,'Semrush Data'!$A$2:$A$5000,0)),"")</f>
        <v/>
      </c>
      <c r="J51" s="45">
        <f>IF(OR(H51="",H51=0),"No volume",IF(I51&lt;=20,"Easier",IF(I51&lt;=35,"Medium","Hard")))</f>
        <v/>
      </c>
      <c r="K51" s="45" t="inlineStr">
        <is>
          <t>vilvah</t>
        </is>
      </c>
      <c r="L51" s="47">
        <f>IF(K51="","",IFERROR(INDEX('Semrush Data'!$C$2:$C$5000,MATCH(K51,'Semrush Data'!$A$2:$A$5000,0)),""))</f>
        <v/>
      </c>
      <c r="M51" s="48" t="inlineStr">
        <is>
          <t>Vilvah Oil Control Kit</t>
        </is>
      </c>
      <c r="N51" s="45" t="inlineStr">
        <is>
          <t>Vilvah Oil Control Kit – Face Wash for Oily Skin | Swansura</t>
        </is>
      </c>
      <c r="O51" s="45">
        <f>LEN(N51)</f>
        <v/>
      </c>
      <c r="P51" s="49" t="inlineStr">
        <is>
          <t>Buy Vilvah Oil Control Kit, a natural face wash for oily skin from Vilvah. Official UK partner: 100% authentic, shipped from the UK, free delivery over £50.</t>
        </is>
      </c>
      <c r="Q51" s="45">
        <f>LEN(P51)</f>
        <v/>
      </c>
      <c r="R51" s="49" t="inlineStr">
        <is>
          <t>Target keyword is shared with its collection page (/collections/face-wash-for-oily-skin)</t>
        </is>
      </c>
    </row>
    <row r="52" ht="23.25" customHeight="1" s="37">
      <c r="A52" s="45" t="inlineStr">
        <is>
          <t>VD-051</t>
        </is>
      </c>
      <c r="B52" s="45" t="inlineStr">
        <is>
          <t>Vilvah &amp; Deyga</t>
        </is>
      </c>
      <c r="C52" s="45" t="inlineStr">
        <is>
          <t>Vilvah</t>
        </is>
      </c>
      <c r="D52" s="45" t="inlineStr">
        <is>
          <t>Vilvah Sensitive Skin Kit</t>
        </is>
      </c>
      <c r="E52" s="45" t="n"/>
      <c r="F52" s="46" t="n">
        <v>24.99</v>
      </c>
      <c r="G52" s="45" t="inlineStr">
        <is>
          <t>skincare gift set</t>
        </is>
      </c>
      <c r="H52" s="47">
        <f>IFERROR(INDEX('Semrush Data'!$C$2:$C$5000,MATCH(G52,'Semrush Data'!$A$2:$A$5000,0)),"")</f>
        <v/>
      </c>
      <c r="I52" s="45">
        <f>IFERROR(INDEX('Semrush Data'!$D$2:$D$5000,MATCH(G52,'Semrush Data'!$A$2:$A$5000,0)),"")</f>
        <v/>
      </c>
      <c r="J52" s="45">
        <f>IF(OR(H52="",H52=0),"No volume",IF(I52&lt;=20,"Easier",IF(I52&lt;=35,"Medium","Hard")))</f>
        <v/>
      </c>
      <c r="K52" s="45" t="inlineStr">
        <is>
          <t>vilvah</t>
        </is>
      </c>
      <c r="L52" s="47">
        <f>IF(K52="","",IFERROR(INDEX('Semrush Data'!$C$2:$C$5000,MATCH(K52,'Semrush Data'!$A$2:$A$5000,0)),""))</f>
        <v/>
      </c>
      <c r="M52" s="48" t="inlineStr">
        <is>
          <t>Vilvah Sensitive Skin Kit</t>
        </is>
      </c>
      <c r="N52" s="45" t="inlineStr">
        <is>
          <t>Vilvah Sensitive Skin Kit – Skincare Gift Set | Swansura</t>
        </is>
      </c>
      <c r="O52" s="45">
        <f>LEN(N52)</f>
        <v/>
      </c>
      <c r="P52" s="49" t="inlineStr">
        <is>
          <t>Buy Vilvah Sensitive Skin Kit, natural skincare gift set from Vilvah. Steam-distilled Rose Toner calms and balances sensitive skin. Free UK delivery over £50.</t>
        </is>
      </c>
      <c r="Q52" s="45">
        <f>LEN(P52)</f>
        <v/>
      </c>
      <c r="R52" s="49" t="inlineStr">
        <is>
          <t>Target keyword is shared with its collection page (/collections/gifts-for-her)</t>
        </is>
      </c>
    </row>
    <row r="53" ht="23.25" customHeight="1" s="37">
      <c r="A53" s="45" t="inlineStr">
        <is>
          <t>VD-052</t>
        </is>
      </c>
      <c r="B53" s="45" t="inlineStr">
        <is>
          <t>Vilvah &amp; Deyga</t>
        </is>
      </c>
      <c r="C53" s="45" t="inlineStr">
        <is>
          <t>Vilvah</t>
        </is>
      </c>
      <c r="D53" s="45" t="inlineStr">
        <is>
          <t>Vilvah Anti‑Acne Kit</t>
        </is>
      </c>
      <c r="E53" s="45" t="n"/>
      <c r="F53" s="46" t="n">
        <v>26.99</v>
      </c>
      <c r="G53" s="45" t="inlineStr">
        <is>
          <t>face wash for oily skin</t>
        </is>
      </c>
      <c r="H53" s="47">
        <f>IFERROR(INDEX('Semrush Data'!$C$2:$C$5000,MATCH(G53,'Semrush Data'!$A$2:$A$5000,0)),"")</f>
        <v/>
      </c>
      <c r="I53" s="45">
        <f>IFERROR(INDEX('Semrush Data'!$D$2:$D$5000,MATCH(G53,'Semrush Data'!$A$2:$A$5000,0)),"")</f>
        <v/>
      </c>
      <c r="J53" s="45">
        <f>IF(OR(H53="",H53=0),"No volume",IF(I53&lt;=20,"Easier",IF(I53&lt;=35,"Medium","Hard")))</f>
        <v/>
      </c>
      <c r="K53" s="45" t="inlineStr">
        <is>
          <t>vilvah</t>
        </is>
      </c>
      <c r="L53" s="47">
        <f>IF(K53="","",IFERROR(INDEX('Semrush Data'!$C$2:$C$5000,MATCH(K53,'Semrush Data'!$A$2:$A$5000,0)),""))</f>
        <v/>
      </c>
      <c r="M53" s="48" t="inlineStr">
        <is>
          <t>Vilvah Anti‑Acne Kit</t>
        </is>
      </c>
      <c r="N53" s="45" t="inlineStr">
        <is>
          <t>Vilvah Anti‑Acne Kit – Face Wash for Oily Skin | Swansura</t>
        </is>
      </c>
      <c r="O53" s="45">
        <f>LEN(N53)</f>
        <v/>
      </c>
      <c r="P53" s="49" t="inlineStr">
        <is>
          <t>Buy Vilvah Anti‑Acne Kit, a natural face wash for oily skin from Vilvah. Official UK partner: 100% authentic, shipped from the UK, free delivery over £50.</t>
        </is>
      </c>
      <c r="Q53" s="45">
        <f>LEN(P53)</f>
        <v/>
      </c>
      <c r="R53" s="49" t="inlineStr">
        <is>
          <t>Target keyword is shared with its collection page (/collections/face-wash-for-oily-skin)</t>
        </is>
      </c>
    </row>
    <row r="54" ht="45.75" customHeight="1" s="37">
      <c r="A54" s="45" t="inlineStr">
        <is>
          <t>VD-053</t>
        </is>
      </c>
      <c r="B54" s="45" t="inlineStr">
        <is>
          <t>Vilvah &amp; Deyga</t>
        </is>
      </c>
      <c r="C54" s="45" t="inlineStr">
        <is>
          <t>Vilvah</t>
        </is>
      </c>
      <c r="D54" s="45" t="inlineStr">
        <is>
          <t>Vilvah Anti‑Dandruff Haircare Kit</t>
        </is>
      </c>
      <c r="E54" s="45" t="n"/>
      <c r="F54" s="46" t="n">
        <v>27.99</v>
      </c>
      <c r="G54" s="45" t="inlineStr">
        <is>
          <t>shampoo for dandruff</t>
        </is>
      </c>
      <c r="H54" s="47">
        <f>IFERROR(INDEX('Semrush Data'!$C$2:$C$5000,MATCH(G54,'Semrush Data'!$A$2:$A$5000,0)),"")</f>
        <v/>
      </c>
      <c r="I54" s="45">
        <f>IFERROR(INDEX('Semrush Data'!$D$2:$D$5000,MATCH(G54,'Semrush Data'!$A$2:$A$5000,0)),"")</f>
        <v/>
      </c>
      <c r="J54" s="45">
        <f>IF(OR(H54="",H54=0),"No volume",IF(I54&lt;=20,"Easier",IF(I54&lt;=35,"Medium","Hard")))</f>
        <v/>
      </c>
      <c r="K54" s="45" t="inlineStr">
        <is>
          <t>vilvah</t>
        </is>
      </c>
      <c r="L54" s="47">
        <f>IF(K54="","",IFERROR(INDEX('Semrush Data'!$C$2:$C$5000,MATCH(K54,'Semrush Data'!$A$2:$A$5000,0)),""))</f>
        <v/>
      </c>
      <c r="M54" s="48" t="inlineStr">
        <is>
          <t>Vilvah Anti‑Dandruff Haircare Kit</t>
        </is>
      </c>
      <c r="N54" s="45" t="inlineStr">
        <is>
          <t>Vilvah Anti‑Dandruff Haircare Kit | Shampoo for Dandruff</t>
        </is>
      </c>
      <c r="O54" s="45">
        <f>LEN(N54)</f>
        <v/>
      </c>
      <c r="P54" s="49" t="inlineStr">
        <is>
          <t>Vilvah Anti‑Dandruff Haircare Kit: a natural shampoo for dandruff from Vilvah. Official UK partner: 100% authentic, shipped from the UK, free delivery over £50.</t>
        </is>
      </c>
      <c r="Q54" s="45">
        <f>LEN(P54)</f>
        <v/>
      </c>
      <c r="R54" s="49" t="inlineStr">
        <is>
          <t>Target keyword is shared with its collection page (/collections/shampoo-for-dandruff); Duplicate listing (same name/size): check the sheet; Size variants: merge as variants of one product</t>
        </is>
      </c>
    </row>
    <row r="55" ht="23.25" customHeight="1" s="37">
      <c r="A55" s="45" t="inlineStr">
        <is>
          <t>VD-054</t>
        </is>
      </c>
      <c r="B55" s="45" t="inlineStr">
        <is>
          <t>Vilvah &amp; Deyga</t>
        </is>
      </c>
      <c r="C55" s="45" t="inlineStr">
        <is>
          <t>Vilvah</t>
        </is>
      </c>
      <c r="D55" s="45" t="inlineStr">
        <is>
          <t>Vilvah Sun Protection Kit</t>
        </is>
      </c>
      <c r="E55" s="45" t="n"/>
      <c r="F55" s="46" t="n">
        <v>34.99</v>
      </c>
      <c r="G55" s="45" t="inlineStr">
        <is>
          <t>natural sunscreen</t>
        </is>
      </c>
      <c r="H55" s="47">
        <f>IFERROR(INDEX('Semrush Data'!$C$2:$C$5000,MATCH(G55,'Semrush Data'!$A$2:$A$5000,0)),"")</f>
        <v/>
      </c>
      <c r="I55" s="45">
        <f>IFERROR(INDEX('Semrush Data'!$D$2:$D$5000,MATCH(G55,'Semrush Data'!$A$2:$A$5000,0)),"")</f>
        <v/>
      </c>
      <c r="J55" s="45">
        <f>IF(OR(H55="",H55=0),"No volume",IF(I55&lt;=20,"Easier",IF(I55&lt;=35,"Medium","Hard")))</f>
        <v/>
      </c>
      <c r="K55" s="45" t="inlineStr">
        <is>
          <t>vilvah</t>
        </is>
      </c>
      <c r="L55" s="47">
        <f>IF(K55="","",IFERROR(INDEX('Semrush Data'!$C$2:$C$5000,MATCH(K55,'Semrush Data'!$A$2:$A$5000,0)),""))</f>
        <v/>
      </c>
      <c r="M55" s="48" t="inlineStr">
        <is>
          <t>Vilvah Sun Protection Kit</t>
        </is>
      </c>
      <c r="N55" s="45" t="inlineStr">
        <is>
          <t>Vilvah Sun Protection Kit – Natural Sunscreen | Swansura</t>
        </is>
      </c>
      <c r="O55" s="45">
        <f>LEN(N55)</f>
        <v/>
      </c>
      <c r="P55" s="49" t="inlineStr">
        <is>
          <t>Buy Vilvah Sun Protection Kit, a natural sunscreen from Vilvah. SPF 50 Face Sunscreen provides broad-spectrum UVA &amp; UVB protection. Free UK delivery over £50.</t>
        </is>
      </c>
      <c r="Q55" s="45">
        <f>LEN(P55)</f>
        <v/>
      </c>
      <c r="R55" s="49" t="inlineStr">
        <is>
          <t>Target keyword is shared with its collection page (/collections/natural-sunscreen)</t>
        </is>
      </c>
    </row>
    <row r="56" ht="23.25" customHeight="1" s="37">
      <c r="A56" s="45" t="inlineStr">
        <is>
          <t>VD-055</t>
        </is>
      </c>
      <c r="B56" s="45" t="inlineStr">
        <is>
          <t>Vilvah &amp; Deyga</t>
        </is>
      </c>
      <c r="C56" s="45" t="inlineStr">
        <is>
          <t>Vilvah</t>
        </is>
      </c>
      <c r="D56" s="45" t="inlineStr">
        <is>
          <t>Vilvah Skin Brightening Kit</t>
        </is>
      </c>
      <c r="E56" s="45" t="n"/>
      <c r="F56" s="46" t="n">
        <v>29.99</v>
      </c>
      <c r="G56" s="45" t="inlineStr">
        <is>
          <t>skincare for dull skin</t>
        </is>
      </c>
      <c r="H56" s="47">
        <f>IFERROR(INDEX('Semrush Data'!$C$2:$C$5000,MATCH(G56,'Semrush Data'!$A$2:$A$5000,0)),"")</f>
        <v/>
      </c>
      <c r="I56" s="45">
        <f>IFERROR(INDEX('Semrush Data'!$D$2:$D$5000,MATCH(G56,'Semrush Data'!$A$2:$A$5000,0)),"")</f>
        <v/>
      </c>
      <c r="J56" s="45">
        <f>IF(OR(H56="",H56=0),"No volume",IF(I56&lt;=20,"Easier",IF(I56&lt;=35,"Medium","Hard")))</f>
        <v/>
      </c>
      <c r="K56" s="45" t="inlineStr">
        <is>
          <t>vilvah</t>
        </is>
      </c>
      <c r="L56" s="47">
        <f>IF(K56="","",IFERROR(INDEX('Semrush Data'!$C$2:$C$5000,MATCH(K56,'Semrush Data'!$A$2:$A$5000,0)),""))</f>
        <v/>
      </c>
      <c r="M56" s="48" t="inlineStr">
        <is>
          <t>Vilvah Skin Brightening Kit</t>
        </is>
      </c>
      <c r="N56" s="45" t="inlineStr">
        <is>
          <t>Vilvah Skin Brightening Kit | Skincare for Dull Skin</t>
        </is>
      </c>
      <c r="O56" s="45">
        <f>LEN(N56)</f>
        <v/>
      </c>
      <c r="P56" s="49" t="inlineStr">
        <is>
          <t>Buy Vilvah Skin Brightening Kit, natural skincare for dull skin from Vilvah. Official UK partner: 100% authentic, shipped from the UK, free delivery over £50.</t>
        </is>
      </c>
      <c r="Q56" s="45">
        <f>LEN(P56)</f>
        <v/>
      </c>
      <c r="R56" s="49" t="inlineStr">
        <is>
          <t>Target keyword is shared with its collection page (/collections/dull-skin)</t>
        </is>
      </c>
    </row>
    <row r="57" ht="23.25" customHeight="1" s="37">
      <c r="A57" s="45" t="inlineStr">
        <is>
          <t>VD-056</t>
        </is>
      </c>
      <c r="B57" s="45" t="inlineStr">
        <is>
          <t>Vilvah &amp; Deyga</t>
        </is>
      </c>
      <c r="C57" s="45" t="inlineStr">
        <is>
          <t>Vilvah</t>
        </is>
      </c>
      <c r="D57" s="45" t="inlineStr">
        <is>
          <t>Vilvah Night Repair Kit</t>
        </is>
      </c>
      <c r="E57" s="45" t="n"/>
      <c r="F57" s="46" t="n">
        <v>39.99</v>
      </c>
      <c r="G57" s="45" t="inlineStr">
        <is>
          <t>skincare gift set</t>
        </is>
      </c>
      <c r="H57" s="47">
        <f>IFERROR(INDEX('Semrush Data'!$C$2:$C$5000,MATCH(G57,'Semrush Data'!$A$2:$A$5000,0)),"")</f>
        <v/>
      </c>
      <c r="I57" s="45">
        <f>IFERROR(INDEX('Semrush Data'!$D$2:$D$5000,MATCH(G57,'Semrush Data'!$A$2:$A$5000,0)),"")</f>
        <v/>
      </c>
      <c r="J57" s="45">
        <f>IF(OR(H57="",H57=0),"No volume",IF(I57&lt;=20,"Easier",IF(I57&lt;=35,"Medium","Hard")))</f>
        <v/>
      </c>
      <c r="K57" s="45" t="inlineStr">
        <is>
          <t>vilvah</t>
        </is>
      </c>
      <c r="L57" s="47">
        <f>IF(K57="","",IFERROR(INDEX('Semrush Data'!$C$2:$C$5000,MATCH(K57,'Semrush Data'!$A$2:$A$5000,0)),""))</f>
        <v/>
      </c>
      <c r="M57" s="48" t="inlineStr">
        <is>
          <t>Vilvah Night Repair Kit</t>
        </is>
      </c>
      <c r="N57" s="45" t="inlineStr">
        <is>
          <t>Vilvah Night Repair Kit – Skincare Gift Set | Swansura</t>
        </is>
      </c>
      <c r="O57" s="45">
        <f>LEN(N57)</f>
        <v/>
      </c>
      <c r="P57" s="49" t="inlineStr">
        <is>
          <t>Buy Vilvah Night Repair Kit, natural skincare gift set from Vilvah. Official UK partner: 100% authentic, shipped from the UK, free delivery over £50.</t>
        </is>
      </c>
      <c r="Q57" s="45">
        <f>LEN(P57)</f>
        <v/>
      </c>
      <c r="R57" s="49" t="inlineStr">
        <is>
          <t>Target keyword is shared with its collection page (/collections/gifts-for-her)</t>
        </is>
      </c>
    </row>
    <row r="58" ht="23.25" customHeight="1" s="37">
      <c r="A58" s="45" t="inlineStr">
        <is>
          <t>VD-057</t>
        </is>
      </c>
      <c r="B58" s="45" t="inlineStr">
        <is>
          <t>Vilvah &amp; Deyga</t>
        </is>
      </c>
      <c r="C58" s="45" t="inlineStr">
        <is>
          <t>Vilvah</t>
        </is>
      </c>
      <c r="D58" s="45" t="inlineStr">
        <is>
          <t>Vilvah AM PM Serum Kit</t>
        </is>
      </c>
      <c r="E58" s="45" t="n"/>
      <c r="F58" s="46" t="n">
        <v>47.99</v>
      </c>
      <c r="G58" s="45" t="inlineStr">
        <is>
          <t>skincare for dull skin</t>
        </is>
      </c>
      <c r="H58" s="47">
        <f>IFERROR(INDEX('Semrush Data'!$C$2:$C$5000,MATCH(G58,'Semrush Data'!$A$2:$A$5000,0)),"")</f>
        <v/>
      </c>
      <c r="I58" s="45">
        <f>IFERROR(INDEX('Semrush Data'!$D$2:$D$5000,MATCH(G58,'Semrush Data'!$A$2:$A$5000,0)),"")</f>
        <v/>
      </c>
      <c r="J58" s="45">
        <f>IF(OR(H58="",H58=0),"No volume",IF(I58&lt;=20,"Easier",IF(I58&lt;=35,"Medium","Hard")))</f>
        <v/>
      </c>
      <c r="K58" s="45" t="inlineStr">
        <is>
          <t>vilvah</t>
        </is>
      </c>
      <c r="L58" s="47">
        <f>IF(K58="","",IFERROR(INDEX('Semrush Data'!$C$2:$C$5000,MATCH(K58,'Semrush Data'!$A$2:$A$5000,0)),""))</f>
        <v/>
      </c>
      <c r="M58" s="48" t="inlineStr">
        <is>
          <t>Vilvah AM PM Serum Kit</t>
        </is>
      </c>
      <c r="N58" s="45" t="inlineStr">
        <is>
          <t>Vilvah AM PM Serum Kit – Skincare for Dull Skin | Swansura</t>
        </is>
      </c>
      <c r="O58" s="45">
        <f>LEN(N58)</f>
        <v/>
      </c>
      <c r="P58" s="49" t="inlineStr">
        <is>
          <t>Buy Vilvah AM PM Serum Kit, natural skincare for dull skin from Vilvah. Official UK partner: 100% authentic, shipped from the UK, free delivery over £50.</t>
        </is>
      </c>
      <c r="Q58" s="45">
        <f>LEN(P58)</f>
        <v/>
      </c>
      <c r="R58" s="49" t="inlineStr">
        <is>
          <t>Target keyword is shared with its collection page (/collections/dull-skin)</t>
        </is>
      </c>
    </row>
    <row r="59" ht="23.25" customHeight="1" s="37">
      <c r="A59" s="45" t="inlineStr">
        <is>
          <t>VD-058</t>
        </is>
      </c>
      <c r="B59" s="45" t="inlineStr">
        <is>
          <t>Vilvah &amp; Deyga</t>
        </is>
      </c>
      <c r="C59" s="45" t="inlineStr">
        <is>
          <t>Vilvah</t>
        </is>
      </c>
      <c r="D59" s="45" t="inlineStr">
        <is>
          <t>Vilvah Better Ageing Kit</t>
        </is>
      </c>
      <c r="E59" s="45" t="n"/>
      <c r="F59" s="46" t="n">
        <v>49.99</v>
      </c>
      <c r="G59" s="45" t="inlineStr">
        <is>
          <t>skincare gift set</t>
        </is>
      </c>
      <c r="H59" s="47">
        <f>IFERROR(INDEX('Semrush Data'!$C$2:$C$5000,MATCH(G59,'Semrush Data'!$A$2:$A$5000,0)),"")</f>
        <v/>
      </c>
      <c r="I59" s="45">
        <f>IFERROR(INDEX('Semrush Data'!$D$2:$D$5000,MATCH(G59,'Semrush Data'!$A$2:$A$5000,0)),"")</f>
        <v/>
      </c>
      <c r="J59" s="45">
        <f>IF(OR(H59="",H59=0),"No volume",IF(I59&lt;=20,"Easier",IF(I59&lt;=35,"Medium","Hard")))</f>
        <v/>
      </c>
      <c r="K59" s="45" t="inlineStr">
        <is>
          <t>vilvah</t>
        </is>
      </c>
      <c r="L59" s="47">
        <f>IF(K59="","",IFERROR(INDEX('Semrush Data'!$C$2:$C$5000,MATCH(K59,'Semrush Data'!$A$2:$A$5000,0)),""))</f>
        <v/>
      </c>
      <c r="M59" s="48" t="inlineStr">
        <is>
          <t>Vilvah Better Ageing Kit</t>
        </is>
      </c>
      <c r="N59" s="45" t="inlineStr">
        <is>
          <t>Vilvah Better Ageing Kit – Skincare Gift Set | Swansura</t>
        </is>
      </c>
      <c r="O59" s="45">
        <f>LEN(N59)</f>
        <v/>
      </c>
      <c r="P59" s="49" t="inlineStr">
        <is>
          <t>Buy Vilvah Better Ageing Kit, natural skincare gift set from Vilvah. Official UK partner: 100% authentic, shipped from the UK, free delivery over £50.</t>
        </is>
      </c>
      <c r="Q59" s="45">
        <f>LEN(P59)</f>
        <v/>
      </c>
      <c r="R59" s="49" t="inlineStr">
        <is>
          <t>Target keyword is shared with its collection page (/collections/gifts-for-her)</t>
        </is>
      </c>
    </row>
    <row r="60" ht="23.25" customHeight="1" s="37">
      <c r="A60" s="45" t="inlineStr">
        <is>
          <t>VD-059</t>
        </is>
      </c>
      <c r="B60" s="45" t="inlineStr">
        <is>
          <t>Vilvah &amp; Deyga</t>
        </is>
      </c>
      <c r="C60" s="45" t="inlineStr">
        <is>
          <t>Vilvah</t>
        </is>
      </c>
      <c r="D60" s="45" t="inlineStr">
        <is>
          <t>Vilvah AM Brightening kit</t>
        </is>
      </c>
      <c r="E60" s="45" t="n"/>
      <c r="F60" s="46" t="n">
        <v>44.99</v>
      </c>
      <c r="G60" s="45" t="inlineStr">
        <is>
          <t>skincare for dull skin</t>
        </is>
      </c>
      <c r="H60" s="47">
        <f>IFERROR(INDEX('Semrush Data'!$C$2:$C$5000,MATCH(G60,'Semrush Data'!$A$2:$A$5000,0)),"")</f>
        <v/>
      </c>
      <c r="I60" s="45">
        <f>IFERROR(INDEX('Semrush Data'!$D$2:$D$5000,MATCH(G60,'Semrush Data'!$A$2:$A$5000,0)),"")</f>
        <v/>
      </c>
      <c r="J60" s="45">
        <f>IF(OR(H60="",H60=0),"No volume",IF(I60&lt;=20,"Easier",IF(I60&lt;=35,"Medium","Hard")))</f>
        <v/>
      </c>
      <c r="K60" s="45" t="inlineStr">
        <is>
          <t>vilvah</t>
        </is>
      </c>
      <c r="L60" s="47">
        <f>IF(K60="","",IFERROR(INDEX('Semrush Data'!$C$2:$C$5000,MATCH(K60,'Semrush Data'!$A$2:$A$5000,0)),""))</f>
        <v/>
      </c>
      <c r="M60" s="48" t="inlineStr">
        <is>
          <t>Vilvah AM Brightening Kit</t>
        </is>
      </c>
      <c r="N60" s="45" t="inlineStr">
        <is>
          <t>Vilvah AM Brightening Kit | Skincare for Dull Skin</t>
        </is>
      </c>
      <c r="O60" s="45">
        <f>LEN(N60)</f>
        <v/>
      </c>
      <c r="P60" s="49" t="inlineStr">
        <is>
          <t>Buy Vilvah AM Brightening Kit, natural skincare for dull skin from Vilvah. Official UK partner: 100% authentic, shipped from the UK, free delivery over £50.</t>
        </is>
      </c>
      <c r="Q60" s="45">
        <f>LEN(P60)</f>
        <v/>
      </c>
      <c r="R60" s="49" t="inlineStr">
        <is>
          <t>Target keyword is shared with its collection page (/collections/dull-skin)</t>
        </is>
      </c>
    </row>
    <row r="61" ht="23.25" customHeight="1" s="37">
      <c r="A61" s="45" t="inlineStr">
        <is>
          <t>VD-060</t>
        </is>
      </c>
      <c r="B61" s="45" t="inlineStr">
        <is>
          <t>Vilvah &amp; Deyga</t>
        </is>
      </c>
      <c r="C61" s="45" t="inlineStr">
        <is>
          <t>Vilvah</t>
        </is>
      </c>
      <c r="D61" s="45" t="inlineStr">
        <is>
          <t>Vilvah Tan Protection kit</t>
        </is>
      </c>
      <c r="E61" s="45" t="n"/>
      <c r="F61" s="46" t="n">
        <v>38.99</v>
      </c>
      <c r="G61" s="45" t="inlineStr">
        <is>
          <t>natural sunscreen</t>
        </is>
      </c>
      <c r="H61" s="47">
        <f>IFERROR(INDEX('Semrush Data'!$C$2:$C$5000,MATCH(G61,'Semrush Data'!$A$2:$A$5000,0)),"")</f>
        <v/>
      </c>
      <c r="I61" s="45">
        <f>IFERROR(INDEX('Semrush Data'!$D$2:$D$5000,MATCH(G61,'Semrush Data'!$A$2:$A$5000,0)),"")</f>
        <v/>
      </c>
      <c r="J61" s="45">
        <f>IF(OR(H61="",H61=0),"No volume",IF(I61&lt;=20,"Easier",IF(I61&lt;=35,"Medium","Hard")))</f>
        <v/>
      </c>
      <c r="K61" s="45" t="inlineStr">
        <is>
          <t>vilvah</t>
        </is>
      </c>
      <c r="L61" s="47">
        <f>IF(K61="","",IFERROR(INDEX('Semrush Data'!$C$2:$C$5000,MATCH(K61,'Semrush Data'!$A$2:$A$5000,0)),""))</f>
        <v/>
      </c>
      <c r="M61" s="48" t="inlineStr">
        <is>
          <t>Vilvah Tan Protection Kit</t>
        </is>
      </c>
      <c r="N61" s="45" t="inlineStr">
        <is>
          <t>Vilvah Tan Protection Kit – Natural Sunscreen | Swansura</t>
        </is>
      </c>
      <c r="O61" s="45">
        <f>LEN(N61)</f>
        <v/>
      </c>
      <c r="P61" s="49" t="inlineStr">
        <is>
          <t>Buy Vilvah Tan Protection Kit, a natural sunscreen from Vilvah. Official UK partner: 100% authentic, shipped from the UK, free delivery over £50.</t>
        </is>
      </c>
      <c r="Q61" s="45">
        <f>LEN(P61)</f>
        <v/>
      </c>
      <c r="R61" s="49" t="inlineStr">
        <is>
          <t>Target keyword is shared with its collection page (/collections/natural-sunscreen)</t>
        </is>
      </c>
    </row>
    <row r="62" ht="23.25" customHeight="1" s="37">
      <c r="A62" s="45" t="inlineStr">
        <is>
          <t>VD-061</t>
        </is>
      </c>
      <c r="B62" s="45" t="inlineStr">
        <is>
          <t>Vilvah &amp; Deyga</t>
        </is>
      </c>
      <c r="C62" s="45" t="inlineStr">
        <is>
          <t>Vilvah</t>
        </is>
      </c>
      <c r="D62" s="45" t="inlineStr">
        <is>
          <t>Vilvah skin radiance kit</t>
        </is>
      </c>
      <c r="E62" s="45" t="n"/>
      <c r="F62" s="46" t="n">
        <v>44.99</v>
      </c>
      <c r="G62" s="45" t="inlineStr">
        <is>
          <t>skincare for dull skin</t>
        </is>
      </c>
      <c r="H62" s="47">
        <f>IFERROR(INDEX('Semrush Data'!$C$2:$C$5000,MATCH(G62,'Semrush Data'!$A$2:$A$5000,0)),"")</f>
        <v/>
      </c>
      <c r="I62" s="45">
        <f>IFERROR(INDEX('Semrush Data'!$D$2:$D$5000,MATCH(G62,'Semrush Data'!$A$2:$A$5000,0)),"")</f>
        <v/>
      </c>
      <c r="J62" s="45">
        <f>IF(OR(H62="",H62=0),"No volume",IF(I62&lt;=20,"Easier",IF(I62&lt;=35,"Medium","Hard")))</f>
        <v/>
      </c>
      <c r="K62" s="45" t="inlineStr">
        <is>
          <t>vilvah</t>
        </is>
      </c>
      <c r="L62" s="47">
        <f>IF(K62="","",IFERROR(INDEX('Semrush Data'!$C$2:$C$5000,MATCH(K62,'Semrush Data'!$A$2:$A$5000,0)),""))</f>
        <v/>
      </c>
      <c r="M62" s="48" t="inlineStr">
        <is>
          <t>Vilvah Skin Radiance Kit</t>
        </is>
      </c>
      <c r="N62" s="45" t="inlineStr">
        <is>
          <t>Vilvah Skin Radiance Kit – Skincare for Dull Skin | Swansura</t>
        </is>
      </c>
      <c r="O62" s="45">
        <f>LEN(N62)</f>
        <v/>
      </c>
      <c r="P62" s="49" t="inlineStr">
        <is>
          <t>Buy Vilvah Skin Radiance Kit, natural skincare for dull skin from Vilvah. Official UK partner: 100% authentic, shipped from the UK, free delivery over £50.</t>
        </is>
      </c>
      <c r="Q62" s="45">
        <f>LEN(P62)</f>
        <v/>
      </c>
      <c r="R62" s="49" t="inlineStr">
        <is>
          <t>Target keyword is shared with its collection page (/collections/dull-skin)</t>
        </is>
      </c>
    </row>
    <row r="63" ht="23.25" customHeight="1" s="37">
      <c r="A63" s="45" t="inlineStr">
        <is>
          <t>VD-062</t>
        </is>
      </c>
      <c r="B63" s="45" t="inlineStr">
        <is>
          <t>Vilvah &amp; Deyga</t>
        </is>
      </c>
      <c r="C63" s="45" t="inlineStr">
        <is>
          <t>Vilvah</t>
        </is>
      </c>
      <c r="D63" s="45" t="inlineStr">
        <is>
          <t>Vilvah Pore Minimising Kit</t>
        </is>
      </c>
      <c r="E63" s="45" t="n"/>
      <c r="F63" s="46" t="n">
        <v>32.99</v>
      </c>
      <c r="G63" s="45" t="inlineStr">
        <is>
          <t>skincare gift set</t>
        </is>
      </c>
      <c r="H63" s="47">
        <f>IFERROR(INDEX('Semrush Data'!$C$2:$C$5000,MATCH(G63,'Semrush Data'!$A$2:$A$5000,0)),"")</f>
        <v/>
      </c>
      <c r="I63" s="45">
        <f>IFERROR(INDEX('Semrush Data'!$D$2:$D$5000,MATCH(G63,'Semrush Data'!$A$2:$A$5000,0)),"")</f>
        <v/>
      </c>
      <c r="J63" s="45">
        <f>IF(OR(H63="",H63=0),"No volume",IF(I63&lt;=20,"Easier",IF(I63&lt;=35,"Medium","Hard")))</f>
        <v/>
      </c>
      <c r="K63" s="45" t="inlineStr">
        <is>
          <t>vilvah</t>
        </is>
      </c>
      <c r="L63" s="47">
        <f>IF(K63="","",IFERROR(INDEX('Semrush Data'!$C$2:$C$5000,MATCH(K63,'Semrush Data'!$A$2:$A$5000,0)),""))</f>
        <v/>
      </c>
      <c r="M63" s="48" t="inlineStr">
        <is>
          <t>Vilvah Pore Minimising Kit</t>
        </is>
      </c>
      <c r="N63" s="45" t="inlineStr">
        <is>
          <t>Vilvah Pore Minimising Kit – Skincare Gift Set | Swansura</t>
        </is>
      </c>
      <c r="O63" s="45">
        <f>LEN(N63)</f>
        <v/>
      </c>
      <c r="P63" s="49" t="inlineStr">
        <is>
          <t>Buy Vilvah Pore Minimising Kit, natural skincare gift set from Vilvah. Official UK partner: 100% authentic, shipped from the UK, free delivery over £50.</t>
        </is>
      </c>
      <c r="Q63" s="45">
        <f>LEN(P63)</f>
        <v/>
      </c>
      <c r="R63" s="49" t="inlineStr">
        <is>
          <t>Target keyword is shared with its collection page (/collections/gifts-for-her)</t>
        </is>
      </c>
    </row>
    <row r="64" ht="23.25" customHeight="1" s="37">
      <c r="A64" s="45" t="inlineStr">
        <is>
          <t>VD-063</t>
        </is>
      </c>
      <c r="B64" s="45" t="inlineStr">
        <is>
          <t>Vilvah &amp; Deyga</t>
        </is>
      </c>
      <c r="C64" s="45" t="inlineStr">
        <is>
          <t>Vilvah</t>
        </is>
      </c>
      <c r="D64" s="45" t="inlineStr">
        <is>
          <t>Vilvah Face Brightening Kit Large</t>
        </is>
      </c>
      <c r="E64" s="45" t="n"/>
      <c r="F64" s="46" t="n">
        <v>42.99</v>
      </c>
      <c r="G64" s="45" t="inlineStr">
        <is>
          <t>skincare for dull skin</t>
        </is>
      </c>
      <c r="H64" s="47">
        <f>IFERROR(INDEX('Semrush Data'!$C$2:$C$5000,MATCH(G64,'Semrush Data'!$A$2:$A$5000,0)),"")</f>
        <v/>
      </c>
      <c r="I64" s="45">
        <f>IFERROR(INDEX('Semrush Data'!$D$2:$D$5000,MATCH(G64,'Semrush Data'!$A$2:$A$5000,0)),"")</f>
        <v/>
      </c>
      <c r="J64" s="45">
        <f>IF(OR(H64="",H64=0),"No volume",IF(I64&lt;=20,"Easier",IF(I64&lt;=35,"Medium","Hard")))</f>
        <v/>
      </c>
      <c r="K64" s="45" t="inlineStr">
        <is>
          <t>vilvah</t>
        </is>
      </c>
      <c r="L64" s="47">
        <f>IF(K64="","",IFERROR(INDEX('Semrush Data'!$C$2:$C$5000,MATCH(K64,'Semrush Data'!$A$2:$A$5000,0)),""))</f>
        <v/>
      </c>
      <c r="M64" s="48" t="inlineStr">
        <is>
          <t>Vilvah Face Brightening Kit Large</t>
        </is>
      </c>
      <c r="N64" s="45" t="inlineStr">
        <is>
          <t>Vilvah Face Brightening Kit Large | Skincare for Dull Skin</t>
        </is>
      </c>
      <c r="O64" s="45">
        <f>LEN(N64)</f>
        <v/>
      </c>
      <c r="P64" s="49" t="inlineStr">
        <is>
          <t>Vilvah Face Brightening Kit Large: natural skincare for dull skin from Vilvah. Official UK partner: 100% authentic, shipped from the UK, free delivery over £50.</t>
        </is>
      </c>
      <c r="Q64" s="45">
        <f>LEN(P64)</f>
        <v/>
      </c>
      <c r="R64" s="49" t="inlineStr">
        <is>
          <t>Target keyword is shared with its collection page (/collections/dull-skin)</t>
        </is>
      </c>
    </row>
    <row r="65" ht="23.25" customHeight="1" s="37">
      <c r="A65" s="45" t="inlineStr">
        <is>
          <t>VD-064</t>
        </is>
      </c>
      <c r="B65" s="45" t="inlineStr">
        <is>
          <t>Vilvah &amp; Deyga</t>
        </is>
      </c>
      <c r="C65" s="45" t="inlineStr">
        <is>
          <t>Vilvah</t>
        </is>
      </c>
      <c r="D65" s="45" t="inlineStr">
        <is>
          <t>Vilvah Face Brightening Kit</t>
        </is>
      </c>
      <c r="E65" s="45" t="n"/>
      <c r="F65" s="46" t="n">
        <v>37.99</v>
      </c>
      <c r="G65" s="45" t="inlineStr">
        <is>
          <t>skincare for dull skin</t>
        </is>
      </c>
      <c r="H65" s="47">
        <f>IFERROR(INDEX('Semrush Data'!$C$2:$C$5000,MATCH(G65,'Semrush Data'!$A$2:$A$5000,0)),"")</f>
        <v/>
      </c>
      <c r="I65" s="45">
        <f>IFERROR(INDEX('Semrush Data'!$D$2:$D$5000,MATCH(G65,'Semrush Data'!$A$2:$A$5000,0)),"")</f>
        <v/>
      </c>
      <c r="J65" s="45">
        <f>IF(OR(H65="",H65=0),"No volume",IF(I65&lt;=20,"Easier",IF(I65&lt;=35,"Medium","Hard")))</f>
        <v/>
      </c>
      <c r="K65" s="45" t="inlineStr">
        <is>
          <t>vilvah</t>
        </is>
      </c>
      <c r="L65" s="47">
        <f>IF(K65="","",IFERROR(INDEX('Semrush Data'!$C$2:$C$5000,MATCH(K65,'Semrush Data'!$A$2:$A$5000,0)),""))</f>
        <v/>
      </c>
      <c r="M65" s="48" t="inlineStr">
        <is>
          <t>Vilvah Face Brightening Kit</t>
        </is>
      </c>
      <c r="N65" s="45" t="inlineStr">
        <is>
          <t>Vilvah Face Brightening Kit | Skincare for Dull Skin</t>
        </is>
      </c>
      <c r="O65" s="45">
        <f>LEN(N65)</f>
        <v/>
      </c>
      <c r="P65" s="49" t="inlineStr">
        <is>
          <t>Buy Vilvah Face Brightening Kit, natural skincare for dull skin from Vilvah. Official UK partner: 100% authentic, shipped from the UK, free delivery over £50.</t>
        </is>
      </c>
      <c r="Q65" s="45">
        <f>LEN(P65)</f>
        <v/>
      </c>
      <c r="R65" s="49" t="inlineStr">
        <is>
          <t>Target keyword is shared with its collection page (/collections/dull-skin)</t>
        </is>
      </c>
    </row>
    <row r="66" ht="23.25" customHeight="1" s="37">
      <c r="A66" s="45" t="inlineStr">
        <is>
          <t>VD-065</t>
        </is>
      </c>
      <c r="B66" s="45" t="inlineStr">
        <is>
          <t>Vilvah &amp; Deyga</t>
        </is>
      </c>
      <c r="C66" s="45" t="inlineStr">
        <is>
          <t>Vilvah</t>
        </is>
      </c>
      <c r="D66" s="45" t="inlineStr">
        <is>
          <t>Vilvah Budget Skincare combo</t>
        </is>
      </c>
      <c r="E66" s="45" t="n"/>
      <c r="F66" s="46" t="n">
        <v>21.99</v>
      </c>
      <c r="G66" s="45" t="inlineStr">
        <is>
          <t>skincare for dry skin</t>
        </is>
      </c>
      <c r="H66" s="47">
        <f>IFERROR(INDEX('Semrush Data'!$C$2:$C$5000,MATCH(G66,'Semrush Data'!$A$2:$A$5000,0)),"")</f>
        <v/>
      </c>
      <c r="I66" s="45">
        <f>IFERROR(INDEX('Semrush Data'!$D$2:$D$5000,MATCH(G66,'Semrush Data'!$A$2:$A$5000,0)),"")</f>
        <v/>
      </c>
      <c r="J66" s="45">
        <f>IF(OR(H66="",H66=0),"No volume",IF(I66&lt;=20,"Easier",IF(I66&lt;=35,"Medium","Hard")))</f>
        <v/>
      </c>
      <c r="K66" s="45" t="inlineStr">
        <is>
          <t>vilvah</t>
        </is>
      </c>
      <c r="L66" s="47">
        <f>IF(K66="","",IFERROR(INDEX('Semrush Data'!$C$2:$C$5000,MATCH(K66,'Semrush Data'!$A$2:$A$5000,0)),""))</f>
        <v/>
      </c>
      <c r="M66" s="48" t="inlineStr">
        <is>
          <t>Vilvah Budget Skincare Combo</t>
        </is>
      </c>
      <c r="N66" s="45" t="inlineStr">
        <is>
          <t>Vilvah Budget Skincare Combo | Skincare for Dry Skin</t>
        </is>
      </c>
      <c r="O66" s="45">
        <f>LEN(N66)</f>
        <v/>
      </c>
      <c r="P66" s="49" t="inlineStr">
        <is>
          <t>Buy Vilvah Budget Skincare Combo, natural skincare for dry skin from Vilvah. Official UK partner: 100% authentic, shipped from the UK, free delivery over £50.</t>
        </is>
      </c>
      <c r="Q66" s="45">
        <f>LEN(P66)</f>
        <v/>
      </c>
      <c r="R66" s="49" t="inlineStr">
        <is>
          <t>Target keyword is shared with its collection page (/collections/dry-skin)</t>
        </is>
      </c>
    </row>
    <row r="67" ht="23.25" customHeight="1" s="37">
      <c r="A67" s="45" t="inlineStr">
        <is>
          <t>VD-066</t>
        </is>
      </c>
      <c r="B67" s="45" t="inlineStr">
        <is>
          <t>Vilvah &amp; Deyga</t>
        </is>
      </c>
      <c r="C67" s="45" t="inlineStr">
        <is>
          <t>Vilvah</t>
        </is>
      </c>
      <c r="D67" s="45" t="inlineStr">
        <is>
          <t>Vilvah Face Lift Kit</t>
        </is>
      </c>
      <c r="E67" s="45" t="n"/>
      <c r="F67" s="46" t="n">
        <v>35.99</v>
      </c>
      <c r="G67" s="45" t="inlineStr">
        <is>
          <t>skincare gift set</t>
        </is>
      </c>
      <c r="H67" s="47">
        <f>IFERROR(INDEX('Semrush Data'!$C$2:$C$5000,MATCH(G67,'Semrush Data'!$A$2:$A$5000,0)),"")</f>
        <v/>
      </c>
      <c r="I67" s="45">
        <f>IFERROR(INDEX('Semrush Data'!$D$2:$D$5000,MATCH(G67,'Semrush Data'!$A$2:$A$5000,0)),"")</f>
        <v/>
      </c>
      <c r="J67" s="45">
        <f>IF(OR(H67="",H67=0),"No volume",IF(I67&lt;=20,"Easier",IF(I67&lt;=35,"Medium","Hard")))</f>
        <v/>
      </c>
      <c r="K67" s="45" t="inlineStr">
        <is>
          <t>vilvah</t>
        </is>
      </c>
      <c r="L67" s="47">
        <f>IF(K67="","",IFERROR(INDEX('Semrush Data'!$C$2:$C$5000,MATCH(K67,'Semrush Data'!$A$2:$A$5000,0)),""))</f>
        <v/>
      </c>
      <c r="M67" s="48" t="inlineStr">
        <is>
          <t>Vilvah Face Lift Kit</t>
        </is>
      </c>
      <c r="N67" s="45" t="inlineStr">
        <is>
          <t>Vilvah Face Lift Kit – Skincare Gift Set | Swansura</t>
        </is>
      </c>
      <c r="O67" s="45">
        <f>LEN(N67)</f>
        <v/>
      </c>
      <c r="P67" s="49" t="inlineStr">
        <is>
          <t>Buy Vilvah Face Lift Kit, natural skincare gift set from Vilvah. Official UK partner: 100% authentic, shipped from the UK, free delivery over £50.</t>
        </is>
      </c>
      <c r="Q67" s="45">
        <f>LEN(P67)</f>
        <v/>
      </c>
      <c r="R67" s="49" t="inlineStr">
        <is>
          <t>Target keyword is shared with its collection page (/collections/gifts-for-her)</t>
        </is>
      </c>
    </row>
    <row r="68" ht="23.25" customHeight="1" s="37">
      <c r="A68" s="45" t="inlineStr">
        <is>
          <t>VD-067</t>
        </is>
      </c>
      <c r="B68" s="45" t="inlineStr">
        <is>
          <t>Vilvah &amp; Deyga</t>
        </is>
      </c>
      <c r="C68" s="45" t="inlineStr">
        <is>
          <t>Vilvah</t>
        </is>
      </c>
      <c r="D68" s="45" t="inlineStr">
        <is>
          <t>Vilvah x Annapoorna Gift Box</t>
        </is>
      </c>
      <c r="E68" s="45" t="n"/>
      <c r="F68" s="46" t="n">
        <v>20.99</v>
      </c>
      <c r="G68" s="45" t="inlineStr">
        <is>
          <t>body lotion for dry skin</t>
        </is>
      </c>
      <c r="H68" s="47">
        <f>IFERROR(INDEX('Semrush Data'!$C$2:$C$5000,MATCH(G68,'Semrush Data'!$A$2:$A$5000,0)),"")</f>
        <v/>
      </c>
      <c r="I68" s="45">
        <f>IFERROR(INDEX('Semrush Data'!$D$2:$D$5000,MATCH(G68,'Semrush Data'!$A$2:$A$5000,0)),"")</f>
        <v/>
      </c>
      <c r="J68" s="45">
        <f>IF(OR(H68="",H68=0),"No volume",IF(I68&lt;=20,"Easier",IF(I68&lt;=35,"Medium","Hard")))</f>
        <v/>
      </c>
      <c r="K68" s="45" t="inlineStr">
        <is>
          <t>vilvah</t>
        </is>
      </c>
      <c r="L68" s="47">
        <f>IF(K68="","",IFERROR(INDEX('Semrush Data'!$C$2:$C$5000,MATCH(K68,'Semrush Data'!$A$2:$A$5000,0)),""))</f>
        <v/>
      </c>
      <c r="M68" s="48" t="inlineStr">
        <is>
          <t>Vilvah X Annapoorna Gift Box</t>
        </is>
      </c>
      <c r="N68" s="45" t="inlineStr">
        <is>
          <t>Vilvah X Annapoorna Gift Box | Body Lotion for Dry Skin</t>
        </is>
      </c>
      <c r="O68" s="45">
        <f>LEN(N68)</f>
        <v/>
      </c>
      <c r="P68" s="49" t="inlineStr">
        <is>
          <t>Vilvah X Annapoorna Gift Box: a natural body lotion for dry skin from Vilvah. Official UK partner: 100% authentic, shipped from the UK, free delivery over £50.</t>
        </is>
      </c>
      <c r="Q68" s="45">
        <f>LEN(P68)</f>
        <v/>
      </c>
      <c r="R68" s="49" t="inlineStr">
        <is>
          <t>Target keyword is shared with its collection page (/collections/body-lotion-for-dry-skin)</t>
        </is>
      </c>
    </row>
    <row r="69" ht="23.25" customHeight="1" s="37">
      <c r="A69" s="45" t="inlineStr">
        <is>
          <t>VD-068</t>
        </is>
      </c>
      <c r="B69" s="45" t="inlineStr">
        <is>
          <t>Vilvah &amp; Deyga</t>
        </is>
      </c>
      <c r="C69" s="45" t="inlineStr">
        <is>
          <t>Vilvah</t>
        </is>
      </c>
      <c r="D69" s="45" t="inlineStr">
        <is>
          <t>tinted lip balm kit</t>
        </is>
      </c>
      <c r="E69" s="45" t="n"/>
      <c r="F69" s="46" t="n">
        <v>16.99</v>
      </c>
      <c r="G69" s="45" t="inlineStr">
        <is>
          <t>lip balm for dry lips</t>
        </is>
      </c>
      <c r="H69" s="47">
        <f>IFERROR(INDEX('Semrush Data'!$C$2:$C$5000,MATCH(G69,'Semrush Data'!$A$2:$A$5000,0)),"")</f>
        <v/>
      </c>
      <c r="I69" s="45">
        <f>IFERROR(INDEX('Semrush Data'!$D$2:$D$5000,MATCH(G69,'Semrush Data'!$A$2:$A$5000,0)),"")</f>
        <v/>
      </c>
      <c r="J69" s="45">
        <f>IF(OR(H69="",H69=0),"No volume",IF(I69&lt;=20,"Easier",IF(I69&lt;=35,"Medium","Hard")))</f>
        <v/>
      </c>
      <c r="K69" s="45" t="inlineStr">
        <is>
          <t>vilvah</t>
        </is>
      </c>
      <c r="L69" s="47">
        <f>IF(K69="","",IFERROR(INDEX('Semrush Data'!$C$2:$C$5000,MATCH(K69,'Semrush Data'!$A$2:$A$5000,0)),""))</f>
        <v/>
      </c>
      <c r="M69" s="48" t="inlineStr">
        <is>
          <t>Vilvah Tinted Lip Balm Kit</t>
        </is>
      </c>
      <c r="N69" s="45" t="inlineStr">
        <is>
          <t>Vilvah Tinted Lip Balm Kit | Lip Balm for Dry Lips</t>
        </is>
      </c>
      <c r="O69" s="45">
        <f>LEN(N69)</f>
        <v/>
      </c>
      <c r="P69" s="49" t="inlineStr">
        <is>
          <t>Buy Vilvah Tinted Lip Balm Kit, a natural lip balm for dry lips from Vilvah. Official UK partner: 100% authentic, shipped from the UK, free delivery over £50.</t>
        </is>
      </c>
      <c r="Q69" s="45">
        <f>LEN(P69)</f>
        <v/>
      </c>
      <c r="R69" s="49" t="inlineStr">
        <is>
          <t>Target keyword is shared with its collection page (/collections/lip-balm-for-dry-lips)</t>
        </is>
      </c>
    </row>
    <row r="70" ht="23.25" customHeight="1" s="37">
      <c r="A70" s="45" t="inlineStr">
        <is>
          <t>VD-069</t>
        </is>
      </c>
      <c r="B70" s="45" t="inlineStr">
        <is>
          <t>Vilvah &amp; Deyga</t>
        </is>
      </c>
      <c r="C70" s="45" t="inlineStr">
        <is>
          <t>Vilvah</t>
        </is>
      </c>
      <c r="D70" s="45" t="inlineStr">
        <is>
          <t>Vilvah Store Frizz Free Hair Combo</t>
        </is>
      </c>
      <c r="E70" s="45" t="n"/>
      <c r="F70" s="46" t="n">
        <v>35.99</v>
      </c>
      <c r="G70" s="45" t="inlineStr">
        <is>
          <t>hair serum for frizzy hair</t>
        </is>
      </c>
      <c r="H70" s="47">
        <f>IFERROR(INDEX('Semrush Data'!$C$2:$C$5000,MATCH(G70,'Semrush Data'!$A$2:$A$5000,0)),"")</f>
        <v/>
      </c>
      <c r="I70" s="45">
        <f>IFERROR(INDEX('Semrush Data'!$D$2:$D$5000,MATCH(G70,'Semrush Data'!$A$2:$A$5000,0)),"")</f>
        <v/>
      </c>
      <c r="J70" s="45">
        <f>IF(OR(H70="",H70=0),"No volume",IF(I70&lt;=20,"Easier",IF(I70&lt;=35,"Medium","Hard")))</f>
        <v/>
      </c>
      <c r="K70" s="45" t="inlineStr">
        <is>
          <t>vilvah</t>
        </is>
      </c>
      <c r="L70" s="47">
        <f>IF(K70="","",IFERROR(INDEX('Semrush Data'!$C$2:$C$5000,MATCH(K70,'Semrush Data'!$A$2:$A$5000,0)),""))</f>
        <v/>
      </c>
      <c r="M70" s="48" t="inlineStr">
        <is>
          <t>Vilvah Store Frizz Free Hair Combo</t>
        </is>
      </c>
      <c r="N70" s="45" t="inlineStr">
        <is>
          <t>Vilvah Store Frizz Free Hair Combo | Vilvah UK | Swansura</t>
        </is>
      </c>
      <c r="O70" s="45">
        <f>LEN(N70)</f>
        <v/>
      </c>
      <c r="P70" s="49" t="inlineStr">
        <is>
          <t>Buy Vilvah Store Frizz Free Hair Combo, a natural hair serum for frizzy hair from Vilvah. Official UK partner, 100% authentic, free UK delivery over £50.</t>
        </is>
      </c>
      <c r="Q70" s="45">
        <f>LEN(P70)</f>
        <v/>
      </c>
      <c r="R70" s="49" t="inlineStr">
        <is>
          <t>Target keyword is shared with its collection page (/collections/hair-serum-for-frizzy-hair)</t>
        </is>
      </c>
    </row>
    <row r="71" ht="23.25" customHeight="1" s="37">
      <c r="A71" s="45" t="inlineStr">
        <is>
          <t>VD-070</t>
        </is>
      </c>
      <c r="B71" s="45" t="inlineStr">
        <is>
          <t>Vilvah &amp; Deyga</t>
        </is>
      </c>
      <c r="C71" s="45" t="inlineStr">
        <is>
          <t>Vilvah</t>
        </is>
      </c>
      <c r="D71" s="45" t="inlineStr">
        <is>
          <t>Vilvah Bestseller Hair Kit</t>
        </is>
      </c>
      <c r="E71" s="45" t="n"/>
      <c r="F71" s="46" t="n">
        <v>27.99</v>
      </c>
      <c r="G71" s="45" t="inlineStr">
        <is>
          <t>hair mask for dry hair</t>
        </is>
      </c>
      <c r="H71" s="47">
        <f>IFERROR(INDEX('Semrush Data'!$C$2:$C$5000,MATCH(G71,'Semrush Data'!$A$2:$A$5000,0)),"")</f>
        <v/>
      </c>
      <c r="I71" s="45">
        <f>IFERROR(INDEX('Semrush Data'!$D$2:$D$5000,MATCH(G71,'Semrush Data'!$A$2:$A$5000,0)),"")</f>
        <v/>
      </c>
      <c r="J71" s="45">
        <f>IF(OR(H71="",H71=0),"No volume",IF(I71&lt;=20,"Easier",IF(I71&lt;=35,"Medium","Hard")))</f>
        <v/>
      </c>
      <c r="K71" s="45" t="inlineStr">
        <is>
          <t>vilvah</t>
        </is>
      </c>
      <c r="L71" s="47">
        <f>IF(K71="","",IFERROR(INDEX('Semrush Data'!$C$2:$C$5000,MATCH(K71,'Semrush Data'!$A$2:$A$5000,0)),""))</f>
        <v/>
      </c>
      <c r="M71" s="48" t="inlineStr">
        <is>
          <t>Vilvah Bestseller Hair Kit</t>
        </is>
      </c>
      <c r="N71" s="45" t="inlineStr">
        <is>
          <t>Vilvah Bestseller Hair Kit | Hair Mask for Dry Hair</t>
        </is>
      </c>
      <c r="O71" s="45">
        <f>LEN(N71)</f>
        <v/>
      </c>
      <c r="P71" s="49" t="inlineStr">
        <is>
          <t>Buy Vilvah Bestseller Hair Kit, a natural hair mask for dry hair from Vilvah. Official UK partner: 100% authentic, shipped from the UK, free delivery over £50.</t>
        </is>
      </c>
      <c r="Q71" s="45">
        <f>LEN(P71)</f>
        <v/>
      </c>
      <c r="R71" s="49" t="inlineStr">
        <is>
          <t>Target keyword is shared with its collection page (/collections/hair-mask-for-dry-hair)</t>
        </is>
      </c>
    </row>
    <row r="72" ht="23.25" customHeight="1" s="37">
      <c r="A72" s="45" t="inlineStr">
        <is>
          <t>VD-071</t>
        </is>
      </c>
      <c r="B72" s="45" t="inlineStr">
        <is>
          <t>Vilvah &amp; Deyga</t>
        </is>
      </c>
      <c r="C72" s="45" t="inlineStr">
        <is>
          <t>Vilvah</t>
        </is>
      </c>
      <c r="D72" s="45" t="inlineStr">
        <is>
          <t>Vilvah Shampoo and Hair Serum Kit</t>
        </is>
      </c>
      <c r="E72" s="45" t="n"/>
      <c r="F72" s="46" t="n">
        <v>25.99</v>
      </c>
      <c r="G72" s="45" t="inlineStr">
        <is>
          <t>hair mask for dry hair</t>
        </is>
      </c>
      <c r="H72" s="47">
        <f>IFERROR(INDEX('Semrush Data'!$C$2:$C$5000,MATCH(G72,'Semrush Data'!$A$2:$A$5000,0)),"")</f>
        <v/>
      </c>
      <c r="I72" s="45">
        <f>IFERROR(INDEX('Semrush Data'!$D$2:$D$5000,MATCH(G72,'Semrush Data'!$A$2:$A$5000,0)),"")</f>
        <v/>
      </c>
      <c r="J72" s="45">
        <f>IF(OR(H72="",H72=0),"No volume",IF(I72&lt;=20,"Easier",IF(I72&lt;=35,"Medium","Hard")))</f>
        <v/>
      </c>
      <c r="K72" s="45" t="inlineStr">
        <is>
          <t>vilvah</t>
        </is>
      </c>
      <c r="L72" s="47">
        <f>IF(K72="","",IFERROR(INDEX('Semrush Data'!$C$2:$C$5000,MATCH(K72,'Semrush Data'!$A$2:$A$5000,0)),""))</f>
        <v/>
      </c>
      <c r="M72" s="48" t="inlineStr">
        <is>
          <t>Vilvah Shampoo and Hair Serum Kit</t>
        </is>
      </c>
      <c r="N72" s="45" t="inlineStr">
        <is>
          <t>Vilvah Shampoo and Hair Serum Kit | Hair Mask for Dry Hair</t>
        </is>
      </c>
      <c r="O72" s="45">
        <f>LEN(N72)</f>
        <v/>
      </c>
      <c r="P72" s="49" t="inlineStr">
        <is>
          <t>Buy Vilvah Shampoo and Hair Serum Kit, a natural hair mask for dry hair from Vilvah. Official UK partner, 100% authentic, free UK delivery over £50.</t>
        </is>
      </c>
      <c r="Q72" s="45">
        <f>LEN(P72)</f>
        <v/>
      </c>
      <c r="R72" s="49" t="inlineStr">
        <is>
          <t>Target keyword is shared with its collection page (/collections/hair-mask-for-dry-hair)</t>
        </is>
      </c>
    </row>
    <row r="73" ht="23.25" customHeight="1" s="37">
      <c r="A73" s="45" t="inlineStr">
        <is>
          <t>VD-072</t>
        </is>
      </c>
      <c r="B73" s="45" t="inlineStr">
        <is>
          <t>Vilvah &amp; Deyga</t>
        </is>
      </c>
      <c r="C73" s="45" t="inlineStr">
        <is>
          <t>Vilvah</t>
        </is>
      </c>
      <c r="D73" s="45" t="inlineStr">
        <is>
          <t>Vilvah Hair Strengthening Kit</t>
        </is>
      </c>
      <c r="E73" s="45" t="n"/>
      <c r="F73" s="46" t="n">
        <v>34.99</v>
      </c>
      <c r="G73" s="45" t="inlineStr">
        <is>
          <t>skincare gift set</t>
        </is>
      </c>
      <c r="H73" s="47">
        <f>IFERROR(INDEX('Semrush Data'!$C$2:$C$5000,MATCH(G73,'Semrush Data'!$A$2:$A$5000,0)),"")</f>
        <v/>
      </c>
      <c r="I73" s="45">
        <f>IFERROR(INDEX('Semrush Data'!$D$2:$D$5000,MATCH(G73,'Semrush Data'!$A$2:$A$5000,0)),"")</f>
        <v/>
      </c>
      <c r="J73" s="45">
        <f>IF(OR(H73="",H73=0),"No volume",IF(I73&lt;=20,"Easier",IF(I73&lt;=35,"Medium","Hard")))</f>
        <v/>
      </c>
      <c r="K73" s="45" t="inlineStr">
        <is>
          <t>vilvah</t>
        </is>
      </c>
      <c r="L73" s="47">
        <f>IF(K73="","",IFERROR(INDEX('Semrush Data'!$C$2:$C$5000,MATCH(K73,'Semrush Data'!$A$2:$A$5000,0)),""))</f>
        <v/>
      </c>
      <c r="M73" s="48" t="inlineStr">
        <is>
          <t>Vilvah Hair Strengthening Kit</t>
        </is>
      </c>
      <c r="N73" s="45" t="inlineStr">
        <is>
          <t>Vilvah Hair Strengthening Kit – Skincare Gift Set | Swansura</t>
        </is>
      </c>
      <c r="O73" s="45">
        <f>LEN(N73)</f>
        <v/>
      </c>
      <c r="P73" s="49" t="inlineStr">
        <is>
          <t>Buy Vilvah Hair Strengthening Kit, natural skincare gift set from Vilvah. Official UK partner: 100% authentic, shipped from the UK, free delivery over £50.</t>
        </is>
      </c>
      <c r="Q73" s="45">
        <f>LEN(P73)</f>
        <v/>
      </c>
      <c r="R73" s="49" t="inlineStr">
        <is>
          <t>Target keyword is shared with its collection page (/collections/gifts-for-her)</t>
        </is>
      </c>
    </row>
    <row r="74" ht="23.25" customHeight="1" s="37">
      <c r="A74" s="45" t="inlineStr">
        <is>
          <t>VD-073</t>
        </is>
      </c>
      <c r="B74" s="45" t="inlineStr">
        <is>
          <t>Vilvah &amp; Deyga</t>
        </is>
      </c>
      <c r="C74" s="45" t="inlineStr">
        <is>
          <t>Vilvah</t>
        </is>
      </c>
      <c r="D74" s="45" t="inlineStr">
        <is>
          <t>Vilvah Lip Lightening Kit</t>
        </is>
      </c>
      <c r="E74" s="45" t="n"/>
      <c r="F74" s="46" t="n">
        <v>12.99</v>
      </c>
      <c r="G74" s="45" t="inlineStr">
        <is>
          <t>skincare gift set</t>
        </is>
      </c>
      <c r="H74" s="47">
        <f>IFERROR(INDEX('Semrush Data'!$C$2:$C$5000,MATCH(G74,'Semrush Data'!$A$2:$A$5000,0)),"")</f>
        <v/>
      </c>
      <c r="I74" s="45">
        <f>IFERROR(INDEX('Semrush Data'!$D$2:$D$5000,MATCH(G74,'Semrush Data'!$A$2:$A$5000,0)),"")</f>
        <v/>
      </c>
      <c r="J74" s="45">
        <f>IF(OR(H74="",H74=0),"No volume",IF(I74&lt;=20,"Easier",IF(I74&lt;=35,"Medium","Hard")))</f>
        <v/>
      </c>
      <c r="K74" s="45" t="inlineStr">
        <is>
          <t>vilvah</t>
        </is>
      </c>
      <c r="L74" s="47">
        <f>IF(K74="","",IFERROR(INDEX('Semrush Data'!$C$2:$C$5000,MATCH(K74,'Semrush Data'!$A$2:$A$5000,0)),""))</f>
        <v/>
      </c>
      <c r="M74" s="48" t="inlineStr">
        <is>
          <t>Vilvah Lip Lightening Kit</t>
        </is>
      </c>
      <c r="N74" s="45" t="inlineStr">
        <is>
          <t>Vilvah Lip Lightening Kit – Skincare Gift Set | Swansura</t>
        </is>
      </c>
      <c r="O74" s="45">
        <f>LEN(N74)</f>
        <v/>
      </c>
      <c r="P74" s="49" t="inlineStr">
        <is>
          <t>Buy Vilvah Lip Lightening Kit, natural skincare gift set from Vilvah. Official UK partner: 100% authentic, shipped from the UK, free delivery over £50.</t>
        </is>
      </c>
      <c r="Q74" s="45">
        <f>LEN(P74)</f>
        <v/>
      </c>
      <c r="R74" s="49" t="inlineStr">
        <is>
          <t>Target keyword is shared with its collection page (/collections/gifts-for-her)</t>
        </is>
      </c>
    </row>
    <row r="75" ht="23.25" customHeight="1" s="37">
      <c r="A75" s="45" t="inlineStr">
        <is>
          <t>VD-074</t>
        </is>
      </c>
      <c r="B75" s="45" t="inlineStr">
        <is>
          <t>Vilvah &amp; Deyga</t>
        </is>
      </c>
      <c r="C75" s="45" t="inlineStr">
        <is>
          <t>Vilvah</t>
        </is>
      </c>
      <c r="D75" s="45" t="inlineStr">
        <is>
          <t>Vilvah Skin Hydration Kit</t>
        </is>
      </c>
      <c r="E75" s="45" t="n"/>
      <c r="F75" s="46" t="n">
        <v>45.99</v>
      </c>
      <c r="G75" s="45" t="inlineStr">
        <is>
          <t>skincare for dry skin</t>
        </is>
      </c>
      <c r="H75" s="47">
        <f>IFERROR(INDEX('Semrush Data'!$C$2:$C$5000,MATCH(G75,'Semrush Data'!$A$2:$A$5000,0)),"")</f>
        <v/>
      </c>
      <c r="I75" s="45">
        <f>IFERROR(INDEX('Semrush Data'!$D$2:$D$5000,MATCH(G75,'Semrush Data'!$A$2:$A$5000,0)),"")</f>
        <v/>
      </c>
      <c r="J75" s="45">
        <f>IF(OR(H75="",H75=0),"No volume",IF(I75&lt;=20,"Easier",IF(I75&lt;=35,"Medium","Hard")))</f>
        <v/>
      </c>
      <c r="K75" s="45" t="inlineStr">
        <is>
          <t>vilvah</t>
        </is>
      </c>
      <c r="L75" s="47">
        <f>IF(K75="","",IFERROR(INDEX('Semrush Data'!$C$2:$C$5000,MATCH(K75,'Semrush Data'!$A$2:$A$5000,0)),""))</f>
        <v/>
      </c>
      <c r="M75" s="48" t="inlineStr">
        <is>
          <t>Vilvah Skin Hydration Kit</t>
        </is>
      </c>
      <c r="N75" s="45" t="inlineStr">
        <is>
          <t>Vilvah Skin Hydration Kit – Skincare for Dry Skin | Swansura</t>
        </is>
      </c>
      <c r="O75" s="45">
        <f>LEN(N75)</f>
        <v/>
      </c>
      <c r="P75" s="49" t="inlineStr">
        <is>
          <t>Buy Vilvah Skin Hydration Kit, natural skincare for dry skin from Vilvah. Official UK partner: 100% authentic, shipped from the UK, free delivery over £50.</t>
        </is>
      </c>
      <c r="Q75" s="45">
        <f>LEN(P75)</f>
        <v/>
      </c>
      <c r="R75" s="49" t="inlineStr">
        <is>
          <t>Target keyword is shared with its collection page (/collections/dry-skin)</t>
        </is>
      </c>
    </row>
    <row r="76" ht="23.25" customHeight="1" s="37">
      <c r="A76" s="45" t="inlineStr">
        <is>
          <t>VD-075</t>
        </is>
      </c>
      <c r="B76" s="45" t="inlineStr">
        <is>
          <t>Vilvah &amp; Deyga</t>
        </is>
      </c>
      <c r="C76" s="45" t="inlineStr">
        <is>
          <t>Vilvah</t>
        </is>
      </c>
      <c r="D76" s="45" t="inlineStr">
        <is>
          <t>Vilvah Anti Frizz Hair Kit</t>
        </is>
      </c>
      <c r="E76" s="45" t="n"/>
      <c r="F76" s="46" t="n">
        <v>35.99</v>
      </c>
      <c r="G76" s="45" t="inlineStr">
        <is>
          <t>hair serum for frizzy hair</t>
        </is>
      </c>
      <c r="H76" s="47">
        <f>IFERROR(INDEX('Semrush Data'!$C$2:$C$5000,MATCH(G76,'Semrush Data'!$A$2:$A$5000,0)),"")</f>
        <v/>
      </c>
      <c r="I76" s="45">
        <f>IFERROR(INDEX('Semrush Data'!$D$2:$D$5000,MATCH(G76,'Semrush Data'!$A$2:$A$5000,0)),"")</f>
        <v/>
      </c>
      <c r="J76" s="45">
        <f>IF(OR(H76="",H76=0),"No volume",IF(I76&lt;=20,"Easier",IF(I76&lt;=35,"Medium","Hard")))</f>
        <v/>
      </c>
      <c r="K76" s="45" t="inlineStr">
        <is>
          <t>vilvah</t>
        </is>
      </c>
      <c r="L76" s="47">
        <f>IF(K76="","",IFERROR(INDEX('Semrush Data'!$C$2:$C$5000,MATCH(K76,'Semrush Data'!$A$2:$A$5000,0)),""))</f>
        <v/>
      </c>
      <c r="M76" s="48" t="inlineStr">
        <is>
          <t>Vilvah Anti Frizz Hair Kit</t>
        </is>
      </c>
      <c r="N76" s="45" t="inlineStr">
        <is>
          <t>Vilvah Anti Frizz Hair Kit | Hair Serum for Frizzy Hair</t>
        </is>
      </c>
      <c r="O76" s="45">
        <f>LEN(N76)</f>
        <v/>
      </c>
      <c r="P76" s="49" t="inlineStr">
        <is>
          <t>Vilvah Anti Frizz Hair Kit: a natural hair serum for frizzy hair from Vilvah. Official UK partner: 100% authentic, shipped from the UK, free delivery over £50.</t>
        </is>
      </c>
      <c r="Q76" s="45">
        <f>LEN(P76)</f>
        <v/>
      </c>
      <c r="R76" s="49" t="inlineStr">
        <is>
          <t>Target keyword is shared with its collection page (/collections/hair-serum-for-frizzy-hair)</t>
        </is>
      </c>
    </row>
    <row r="77" ht="23.25" customHeight="1" s="37">
      <c r="A77" s="45" t="inlineStr">
        <is>
          <t>VD-076</t>
        </is>
      </c>
      <c r="B77" s="45" t="inlineStr">
        <is>
          <t>Vilvah &amp; Deyga</t>
        </is>
      </c>
      <c r="C77" s="45" t="inlineStr">
        <is>
          <t>Vilvah</t>
        </is>
      </c>
      <c r="D77" s="45" t="inlineStr">
        <is>
          <t>Vilvah Body Polishing Kit</t>
        </is>
      </c>
      <c r="E77" s="45" t="n"/>
      <c r="F77" s="46" t="n">
        <v>48.99</v>
      </c>
      <c r="G77" s="45" t="inlineStr">
        <is>
          <t>skincare for dull skin</t>
        </is>
      </c>
      <c r="H77" s="47">
        <f>IFERROR(INDEX('Semrush Data'!$C$2:$C$5000,MATCH(G77,'Semrush Data'!$A$2:$A$5000,0)),"")</f>
        <v/>
      </c>
      <c r="I77" s="45">
        <f>IFERROR(INDEX('Semrush Data'!$D$2:$D$5000,MATCH(G77,'Semrush Data'!$A$2:$A$5000,0)),"")</f>
        <v/>
      </c>
      <c r="J77" s="45">
        <f>IF(OR(H77="",H77=0),"No volume",IF(I77&lt;=20,"Easier",IF(I77&lt;=35,"Medium","Hard")))</f>
        <v/>
      </c>
      <c r="K77" s="45" t="inlineStr">
        <is>
          <t>vilvah</t>
        </is>
      </c>
      <c r="L77" s="47">
        <f>IF(K77="","",IFERROR(INDEX('Semrush Data'!$C$2:$C$5000,MATCH(K77,'Semrush Data'!$A$2:$A$5000,0)),""))</f>
        <v/>
      </c>
      <c r="M77" s="48" t="inlineStr">
        <is>
          <t>Vilvah Body Polishing Kit</t>
        </is>
      </c>
      <c r="N77" s="45" t="inlineStr">
        <is>
          <t>Vilvah Body Polishing Kit | Skincare for Dull Skin</t>
        </is>
      </c>
      <c r="O77" s="45">
        <f>LEN(N77)</f>
        <v/>
      </c>
      <c r="P77" s="49" t="inlineStr">
        <is>
          <t>Vilvah Body Polishing Kit: natural skincare for dull skin from Vilvah. Coffee Scrub gently exfoliates, removes tan and unclogs pores. Free UK delivery over £50.</t>
        </is>
      </c>
      <c r="Q77" s="45">
        <f>LEN(P77)</f>
        <v/>
      </c>
      <c r="R77" s="49" t="inlineStr">
        <is>
          <t>Target keyword is shared with its collection page (/collections/dull-skin)</t>
        </is>
      </c>
    </row>
    <row r="78" ht="23.25" customHeight="1" s="37">
      <c r="A78" s="45" t="inlineStr">
        <is>
          <t>VD-077</t>
        </is>
      </c>
      <c r="B78" s="45" t="inlineStr">
        <is>
          <t>Vilvah &amp; Deyga</t>
        </is>
      </c>
      <c r="C78" s="45" t="inlineStr">
        <is>
          <t>Vilvah</t>
        </is>
      </c>
      <c r="D78" s="45" t="inlineStr">
        <is>
          <t>Vilvah Hairfall Control Kit</t>
        </is>
      </c>
      <c r="E78" s="45" t="n"/>
      <c r="F78" s="46" t="n">
        <v>34.99</v>
      </c>
      <c r="G78" s="45" t="inlineStr">
        <is>
          <t>hair oil for hair loss</t>
        </is>
      </c>
      <c r="H78" s="47">
        <f>IFERROR(INDEX('Semrush Data'!$C$2:$C$5000,MATCH(G78,'Semrush Data'!$A$2:$A$5000,0)),"")</f>
        <v/>
      </c>
      <c r="I78" s="45">
        <f>IFERROR(INDEX('Semrush Data'!$D$2:$D$5000,MATCH(G78,'Semrush Data'!$A$2:$A$5000,0)),"")</f>
        <v/>
      </c>
      <c r="J78" s="45">
        <f>IF(OR(H78="",H78=0),"No volume",IF(I78&lt;=20,"Easier",IF(I78&lt;=35,"Medium","Hard")))</f>
        <v/>
      </c>
      <c r="K78" s="45" t="inlineStr">
        <is>
          <t>vilvah</t>
        </is>
      </c>
      <c r="L78" s="47">
        <f>IF(K78="","",IFERROR(INDEX('Semrush Data'!$C$2:$C$5000,MATCH(K78,'Semrush Data'!$A$2:$A$5000,0)),""))</f>
        <v/>
      </c>
      <c r="M78" s="48" t="inlineStr">
        <is>
          <t>Vilvah Hairfall Control Kit</t>
        </is>
      </c>
      <c r="N78" s="45" t="inlineStr">
        <is>
          <t>Vilvah Hairfall Control Kit | Hair Oil for Hair Loss</t>
        </is>
      </c>
      <c r="O78" s="45">
        <f>LEN(N78)</f>
        <v/>
      </c>
      <c r="P78" s="49" t="inlineStr">
        <is>
          <t>Buy Vilvah Hairfall Control Kit, a natural hair oil for hair loss from Vilvah. Official UK partner: 100% authentic, shipped from the UK, free delivery over £50.</t>
        </is>
      </c>
      <c r="Q78" s="45">
        <f>LEN(P78)</f>
        <v/>
      </c>
      <c r="R78" s="49" t="inlineStr">
        <is>
          <t>Target keyword is shared with its collection page (/collections/hair-oil-for-hair-loss)</t>
        </is>
      </c>
    </row>
    <row r="79" ht="45.75" customHeight="1" s="37">
      <c r="A79" s="45" t="inlineStr">
        <is>
          <t>VD-078</t>
        </is>
      </c>
      <c r="B79" s="45" t="inlineStr">
        <is>
          <t>Vilvah &amp; Deyga</t>
        </is>
      </c>
      <c r="C79" s="45" t="inlineStr">
        <is>
          <t>Vilvah</t>
        </is>
      </c>
      <c r="D79" s="45" t="inlineStr">
        <is>
          <t>Vilvah Anti‑Dandruff Haircare Kit</t>
        </is>
      </c>
      <c r="E79" s="45" t="n"/>
      <c r="F79" s="46" t="n">
        <v>27.99</v>
      </c>
      <c r="G79" s="45" t="inlineStr">
        <is>
          <t>shampoo for dandruff</t>
        </is>
      </c>
      <c r="H79" s="47">
        <f>IFERROR(INDEX('Semrush Data'!$C$2:$C$5000,MATCH(G79,'Semrush Data'!$A$2:$A$5000,0)),"")</f>
        <v/>
      </c>
      <c r="I79" s="45">
        <f>IFERROR(INDEX('Semrush Data'!$D$2:$D$5000,MATCH(G79,'Semrush Data'!$A$2:$A$5000,0)),"")</f>
        <v/>
      </c>
      <c r="J79" s="45">
        <f>IF(OR(H79="",H79=0),"No volume",IF(I79&lt;=20,"Easier",IF(I79&lt;=35,"Medium","Hard")))</f>
        <v/>
      </c>
      <c r="K79" s="45" t="inlineStr">
        <is>
          <t>vilvah</t>
        </is>
      </c>
      <c r="L79" s="47">
        <f>IF(K79="","",IFERROR(INDEX('Semrush Data'!$C$2:$C$5000,MATCH(K79,'Semrush Data'!$A$2:$A$5000,0)),""))</f>
        <v/>
      </c>
      <c r="M79" s="48" t="inlineStr">
        <is>
          <t>Vilvah Anti‑Dandruff Haircare Kit</t>
        </is>
      </c>
      <c r="N79" s="45" t="inlineStr">
        <is>
          <t>Vilvah Anti‑Dandruff Haircare Kit | Shampoo for Dandruff</t>
        </is>
      </c>
      <c r="O79" s="45">
        <f>LEN(N79)</f>
        <v/>
      </c>
      <c r="P79" s="49" t="inlineStr">
        <is>
          <t>Vilvah Anti‑Dandruff Haircare Kit: a natural shampoo for dandruff from Vilvah. Official UK partner: 100% authentic, shipped from the UK, free delivery over £50.</t>
        </is>
      </c>
      <c r="Q79" s="45">
        <f>LEN(P79)</f>
        <v/>
      </c>
      <c r="R79" s="49" t="inlineStr">
        <is>
          <t>Target keyword is shared with its collection page (/collections/shampoo-for-dandruff); Duplicate listing (same name/size): check the sheet; Size variants: merge as variants of one product</t>
        </is>
      </c>
    </row>
    <row r="80" ht="23.25" customHeight="1" s="37">
      <c r="A80" s="45" t="inlineStr">
        <is>
          <t>VD-079</t>
        </is>
      </c>
      <c r="B80" s="45" t="inlineStr">
        <is>
          <t>Vilvah &amp; Deyga</t>
        </is>
      </c>
      <c r="C80" s="45" t="inlineStr">
        <is>
          <t>Vilvah</t>
        </is>
      </c>
      <c r="D80" s="45" t="inlineStr">
        <is>
          <t>Vilvah Goat Milk Hair Kit</t>
        </is>
      </c>
      <c r="E80" s="45" t="n"/>
      <c r="F80" s="46" t="n">
        <v>34.99</v>
      </c>
      <c r="G80" s="45" t="inlineStr">
        <is>
          <t>hair mask for dry hair</t>
        </is>
      </c>
      <c r="H80" s="47">
        <f>IFERROR(INDEX('Semrush Data'!$C$2:$C$5000,MATCH(G80,'Semrush Data'!$A$2:$A$5000,0)),"")</f>
        <v/>
      </c>
      <c r="I80" s="45">
        <f>IFERROR(INDEX('Semrush Data'!$D$2:$D$5000,MATCH(G80,'Semrush Data'!$A$2:$A$5000,0)),"")</f>
        <v/>
      </c>
      <c r="J80" s="45">
        <f>IF(OR(H80="",H80=0),"No volume",IF(I80&lt;=20,"Easier",IF(I80&lt;=35,"Medium","Hard")))</f>
        <v/>
      </c>
      <c r="K80" s="45" t="inlineStr">
        <is>
          <t>vilvah</t>
        </is>
      </c>
      <c r="L80" s="47">
        <f>IF(K80="","",IFERROR(INDEX('Semrush Data'!$C$2:$C$5000,MATCH(K80,'Semrush Data'!$A$2:$A$5000,0)),""))</f>
        <v/>
      </c>
      <c r="M80" s="48" t="inlineStr">
        <is>
          <t>Vilvah Goat Milk Hair Kit</t>
        </is>
      </c>
      <c r="N80" s="45" t="inlineStr">
        <is>
          <t>Vilvah Goat Milk Hair Kit | Hair Mask for Dry Hair</t>
        </is>
      </c>
      <c r="O80" s="45">
        <f>LEN(N80)</f>
        <v/>
      </c>
      <c r="P80" s="49" t="inlineStr">
        <is>
          <t>Buy Vilvah Goat Milk Hair Kit, a natural hair mask for dry hair from Vilvah. Official UK partner: 100% authentic, shipped from the UK, free delivery over £50.</t>
        </is>
      </c>
      <c r="Q80" s="45">
        <f>LEN(P80)</f>
        <v/>
      </c>
      <c r="R80" s="49" t="inlineStr">
        <is>
          <t>Target keyword is shared with its collection page (/collections/hair-mask-for-dry-hair)</t>
        </is>
      </c>
    </row>
    <row r="81" ht="23.25" customHeight="1" s="37">
      <c r="A81" s="45" t="inlineStr">
        <is>
          <t>VD-080</t>
        </is>
      </c>
      <c r="B81" s="45" t="inlineStr">
        <is>
          <t>Vilvah &amp; Deyga</t>
        </is>
      </c>
      <c r="C81" s="45" t="inlineStr">
        <is>
          <t>Vilvah</t>
        </is>
      </c>
      <c r="D81" s="45" t="inlineStr">
        <is>
          <t>Vilvah Everyday Care Milk Kit</t>
        </is>
      </c>
      <c r="E81" s="45" t="n"/>
      <c r="F81" s="46" t="n">
        <v>48.99</v>
      </c>
      <c r="G81" s="45" t="inlineStr">
        <is>
          <t>body lotion for dry skin</t>
        </is>
      </c>
      <c r="H81" s="47">
        <f>IFERROR(INDEX('Semrush Data'!$C$2:$C$5000,MATCH(G81,'Semrush Data'!$A$2:$A$5000,0)),"")</f>
        <v/>
      </c>
      <c r="I81" s="45">
        <f>IFERROR(INDEX('Semrush Data'!$D$2:$D$5000,MATCH(G81,'Semrush Data'!$A$2:$A$5000,0)),"")</f>
        <v/>
      </c>
      <c r="J81" s="45">
        <f>IF(OR(H81="",H81=0),"No volume",IF(I81&lt;=20,"Easier",IF(I81&lt;=35,"Medium","Hard")))</f>
        <v/>
      </c>
      <c r="K81" s="45" t="inlineStr">
        <is>
          <t>vilvah</t>
        </is>
      </c>
      <c r="L81" s="47">
        <f>IF(K81="","",IFERROR(INDEX('Semrush Data'!$C$2:$C$5000,MATCH(K81,'Semrush Data'!$A$2:$A$5000,0)),""))</f>
        <v/>
      </c>
      <c r="M81" s="48" t="inlineStr">
        <is>
          <t>Vilvah Everyday Care Milk Kit</t>
        </is>
      </c>
      <c r="N81" s="45" t="inlineStr">
        <is>
          <t>Vilvah Everyday Care Milk Kit | Body Lotion for Dry Skin</t>
        </is>
      </c>
      <c r="O81" s="45">
        <f>LEN(N81)</f>
        <v/>
      </c>
      <c r="P81" s="49" t="inlineStr">
        <is>
          <t>Vilvah Everyday Care Milk Kit: a natural body lotion for dry skin from Vilvah. Official UK partner: 100% authentic, shipped from the UK, free delivery over £50.</t>
        </is>
      </c>
      <c r="Q81" s="45">
        <f>LEN(P81)</f>
        <v/>
      </c>
      <c r="R81" s="49" t="inlineStr">
        <is>
          <t>Target keyword is shared with its collection page (/collections/body-lotion-for-dry-skin)</t>
        </is>
      </c>
    </row>
    <row r="82" ht="23.25" customHeight="1" s="37">
      <c r="A82" s="45" t="inlineStr">
        <is>
          <t>VD-081</t>
        </is>
      </c>
      <c r="B82" s="45" t="inlineStr">
        <is>
          <t>Vilvah &amp; Deyga</t>
        </is>
      </c>
      <c r="C82" s="45" t="inlineStr">
        <is>
          <t>Vilvah</t>
        </is>
      </c>
      <c r="D82" s="45" t="inlineStr">
        <is>
          <t>Vilvah Lip Nourishing Kit</t>
        </is>
      </c>
      <c r="E82" s="45" t="n"/>
      <c r="F82" s="46" t="n">
        <v>13.99</v>
      </c>
      <c r="G82" s="45" t="inlineStr">
        <is>
          <t>lip balm for dry lips</t>
        </is>
      </c>
      <c r="H82" s="47">
        <f>IFERROR(INDEX('Semrush Data'!$C$2:$C$5000,MATCH(G82,'Semrush Data'!$A$2:$A$5000,0)),"")</f>
        <v/>
      </c>
      <c r="I82" s="45">
        <f>IFERROR(INDEX('Semrush Data'!$D$2:$D$5000,MATCH(G82,'Semrush Data'!$A$2:$A$5000,0)),"")</f>
        <v/>
      </c>
      <c r="J82" s="45">
        <f>IF(OR(H82="",H82=0),"No volume",IF(I82&lt;=20,"Easier",IF(I82&lt;=35,"Medium","Hard")))</f>
        <v/>
      </c>
      <c r="K82" s="45" t="inlineStr">
        <is>
          <t>vilvah</t>
        </is>
      </c>
      <c r="L82" s="47">
        <f>IF(K82="","",IFERROR(INDEX('Semrush Data'!$C$2:$C$5000,MATCH(K82,'Semrush Data'!$A$2:$A$5000,0)),""))</f>
        <v/>
      </c>
      <c r="M82" s="48" t="inlineStr">
        <is>
          <t>Vilvah Lip Nourishing Kit</t>
        </is>
      </c>
      <c r="N82" s="45" t="inlineStr">
        <is>
          <t>Vilvah Lip Nourishing Kit – Lip Balm for Dry Lips | Swansura</t>
        </is>
      </c>
      <c r="O82" s="45">
        <f>LEN(N82)</f>
        <v/>
      </c>
      <c r="P82" s="49" t="inlineStr">
        <is>
          <t>Buy Vilvah Lip Nourishing Kit, a natural lip balm for dry lips from Vilvah. Official UK partner: 100% authentic, shipped from the UK, free delivery over £50.</t>
        </is>
      </c>
      <c r="Q82" s="45">
        <f>LEN(P82)</f>
        <v/>
      </c>
      <c r="R82" s="49" t="inlineStr">
        <is>
          <t>Target keyword is shared with its collection page (/collections/lip-balm-for-dry-lips)</t>
        </is>
      </c>
    </row>
    <row r="83" ht="23.25" customHeight="1" s="37">
      <c r="A83" s="45" t="inlineStr">
        <is>
          <t>VD-082</t>
        </is>
      </c>
      <c r="B83" s="45" t="inlineStr">
        <is>
          <t>Vilvah &amp; Deyga</t>
        </is>
      </c>
      <c r="C83" s="45" t="inlineStr">
        <is>
          <t>Deyga</t>
        </is>
      </c>
      <c r="D83" s="45" t="inlineStr">
        <is>
          <t>Chocolate Body Butter 100G</t>
        </is>
      </c>
      <c r="E83" s="45" t="inlineStr">
        <is>
          <t>100g</t>
        </is>
      </c>
      <c r="F83" s="46" t="n">
        <v>15.99</v>
      </c>
      <c r="G83" s="45" t="inlineStr">
        <is>
          <t>body butter</t>
        </is>
      </c>
      <c r="H83" s="47">
        <f>IFERROR(INDEX('Semrush Data'!$C$2:$C$5000,MATCH(G83,'Semrush Data'!$A$2:$A$5000,0)),"")</f>
        <v/>
      </c>
      <c r="I83" s="45">
        <f>IFERROR(INDEX('Semrush Data'!$D$2:$D$5000,MATCH(G83,'Semrush Data'!$A$2:$A$5000,0)),"")</f>
        <v/>
      </c>
      <c r="J83" s="45">
        <f>IF(OR(H83="",H83=0),"No volume",IF(I83&lt;=20,"Easier",IF(I83&lt;=35,"Medium","Hard")))</f>
        <v/>
      </c>
      <c r="K83" s="45" t="inlineStr">
        <is>
          <t>deyga</t>
        </is>
      </c>
      <c r="L83" s="47">
        <f>IF(K83="","",IFERROR(INDEX('Semrush Data'!$C$2:$C$5000,MATCH(K83,'Semrush Data'!$A$2:$A$5000,0)),""))</f>
        <v/>
      </c>
      <c r="M83" s="48" t="inlineStr">
        <is>
          <t>Deyga Chocolate Body Butter</t>
        </is>
      </c>
      <c r="N83" s="45" t="inlineStr">
        <is>
          <t>Deyga Chocolate Body Butter | Buy Online UK | Swansura</t>
        </is>
      </c>
      <c r="O83" s="45">
        <f>LEN(N83)</f>
        <v/>
      </c>
      <c r="P83" s="49" t="inlineStr">
        <is>
          <t>Buy Deyga Chocolate Body Butter, a natural body butter from Deyga. Official UK partner: 100% authentic, shipped from the UK, free delivery over £50.</t>
        </is>
      </c>
      <c r="Q83" s="45">
        <f>LEN(P83)</f>
        <v/>
      </c>
      <c r="R83" s="49" t="inlineStr">
        <is>
          <t>Target keyword is shared with its collection page (/collections/body-butter)</t>
        </is>
      </c>
    </row>
    <row r="84" ht="23.25" customHeight="1" s="37">
      <c r="A84" s="45" t="inlineStr">
        <is>
          <t>VD-083</t>
        </is>
      </c>
      <c r="B84" s="45" t="inlineStr">
        <is>
          <t>Vilvah &amp; Deyga</t>
        </is>
      </c>
      <c r="C84" s="45" t="inlineStr">
        <is>
          <t>Deyga</t>
        </is>
      </c>
      <c r="D84" s="45" t="inlineStr">
        <is>
          <t>Charcoal Detox Face Mask 100G</t>
        </is>
      </c>
      <c r="E84" s="45" t="inlineStr">
        <is>
          <t>100g</t>
        </is>
      </c>
      <c r="F84" s="46" t="n">
        <v>15.99</v>
      </c>
      <c r="G84" s="45" t="inlineStr">
        <is>
          <t>face mask</t>
        </is>
      </c>
      <c r="H84" s="47">
        <f>IFERROR(INDEX('Semrush Data'!$C$2:$C$5000,MATCH(G84,'Semrush Data'!$A$2:$A$5000,0)),"")</f>
        <v/>
      </c>
      <c r="I84" s="45">
        <f>IFERROR(INDEX('Semrush Data'!$D$2:$D$5000,MATCH(G84,'Semrush Data'!$A$2:$A$5000,0)),"")</f>
        <v/>
      </c>
      <c r="J84" s="45">
        <f>IF(OR(H84="",H84=0),"No volume",IF(I84&lt;=20,"Easier",IF(I84&lt;=35,"Medium","Hard")))</f>
        <v/>
      </c>
      <c r="K84" s="45" t="inlineStr">
        <is>
          <t>deyga</t>
        </is>
      </c>
      <c r="L84" s="47">
        <f>IF(K84="","",IFERROR(INDEX('Semrush Data'!$C$2:$C$5000,MATCH(K84,'Semrush Data'!$A$2:$A$5000,0)),""))</f>
        <v/>
      </c>
      <c r="M84" s="48" t="inlineStr">
        <is>
          <t>Deyga Charcoal Detox Face Mask</t>
        </is>
      </c>
      <c r="N84" s="45" t="inlineStr">
        <is>
          <t>Deyga Charcoal Detox Face Mask | Buy Online UK | Swansura</t>
        </is>
      </c>
      <c r="O84" s="45">
        <f>LEN(N84)</f>
        <v/>
      </c>
      <c r="P84" s="49" t="inlineStr">
        <is>
          <t>Buy Deyga Charcoal Detox Face Mask, a natural face mask from Deyga. Official UK partner: 100% authentic, shipped from the UK, free delivery over £50.</t>
        </is>
      </c>
      <c r="Q84" s="45">
        <f>LEN(P84)</f>
        <v/>
      </c>
      <c r="R84" s="49" t="inlineStr">
        <is>
          <t>Target keyword is shared with its collection page (/collections/face-mask-for-oily-skin)</t>
        </is>
      </c>
    </row>
    <row r="85" ht="23.25" customHeight="1" s="37">
      <c r="A85" s="45" t="inlineStr">
        <is>
          <t>VD-084</t>
        </is>
      </c>
      <c r="B85" s="45" t="inlineStr">
        <is>
          <t>Vilvah &amp; Deyga</t>
        </is>
      </c>
      <c r="C85" s="45" t="inlineStr">
        <is>
          <t>Deyga</t>
        </is>
      </c>
      <c r="D85" s="45" t="inlineStr">
        <is>
          <t>Activated Charcoal Body Wash 220ML</t>
        </is>
      </c>
      <c r="E85" s="45" t="inlineStr">
        <is>
          <t>220ml</t>
        </is>
      </c>
      <c r="F85" s="46" t="n">
        <v>15.99</v>
      </c>
      <c r="G85" s="45" t="inlineStr">
        <is>
          <t>natural body wash</t>
        </is>
      </c>
      <c r="H85" s="47">
        <f>IFERROR(INDEX('Semrush Data'!$C$2:$C$5000,MATCH(G85,'Semrush Data'!$A$2:$A$5000,0)),"")</f>
        <v/>
      </c>
      <c r="I85" s="45">
        <f>IFERROR(INDEX('Semrush Data'!$D$2:$D$5000,MATCH(G85,'Semrush Data'!$A$2:$A$5000,0)),"")</f>
        <v/>
      </c>
      <c r="J85" s="45">
        <f>IF(OR(H85="",H85=0),"No volume",IF(I85&lt;=20,"Easier",IF(I85&lt;=35,"Medium","Hard")))</f>
        <v/>
      </c>
      <c r="K85" s="45" t="inlineStr">
        <is>
          <t>deyga</t>
        </is>
      </c>
      <c r="L85" s="47">
        <f>IF(K85="","",IFERROR(INDEX('Semrush Data'!$C$2:$C$5000,MATCH(K85,'Semrush Data'!$A$2:$A$5000,0)),""))</f>
        <v/>
      </c>
      <c r="M85" s="48" t="inlineStr">
        <is>
          <t>Deyga Activated Charcoal Body Wash</t>
        </is>
      </c>
      <c r="N85" s="45" t="inlineStr">
        <is>
          <t>Deyga Activated Charcoal Body Wash | Deyga UK | Swansura</t>
        </is>
      </c>
      <c r="O85" s="45">
        <f>LEN(N85)</f>
        <v/>
      </c>
      <c r="P85" s="49" t="inlineStr">
        <is>
          <t>Buy Deyga Activated Charcoal Body Wash, a natural body wash from Deyga. Official UK partner: 100% authentic, shipped from the UK, free delivery over £50.</t>
        </is>
      </c>
      <c r="Q85" s="45">
        <f>LEN(P85)</f>
        <v/>
      </c>
      <c r="R85" s="49" t="inlineStr">
        <is>
          <t>Target keyword is shared with its collection page (/collections/shower-gel-body-wash)</t>
        </is>
      </c>
    </row>
    <row r="86" ht="23.25" customHeight="1" s="37">
      <c r="A86" s="45" t="inlineStr">
        <is>
          <t>VD-085</t>
        </is>
      </c>
      <c r="B86" s="45" t="inlineStr">
        <is>
          <t>Vilvah &amp; Deyga</t>
        </is>
      </c>
      <c r="C86" s="45" t="inlineStr">
        <is>
          <t>Deyga</t>
        </is>
      </c>
      <c r="D86" s="45" t="inlineStr">
        <is>
          <t>Body Scrub 100g</t>
        </is>
      </c>
      <c r="E86" s="45" t="inlineStr">
        <is>
          <t>100g</t>
        </is>
      </c>
      <c r="F86" s="46" t="n">
        <v>16.99</v>
      </c>
      <c r="G86" s="45" t="inlineStr">
        <is>
          <t>body scrub</t>
        </is>
      </c>
      <c r="H86" s="47">
        <f>IFERROR(INDEX('Semrush Data'!$C$2:$C$5000,MATCH(G86,'Semrush Data'!$A$2:$A$5000,0)),"")</f>
        <v/>
      </c>
      <c r="I86" s="45">
        <f>IFERROR(INDEX('Semrush Data'!$D$2:$D$5000,MATCH(G86,'Semrush Data'!$A$2:$A$5000,0)),"")</f>
        <v/>
      </c>
      <c r="J86" s="45">
        <f>IF(OR(H86="",H86=0),"No volume",IF(I86&lt;=20,"Easier",IF(I86&lt;=35,"Medium","Hard")))</f>
        <v/>
      </c>
      <c r="K86" s="45" t="inlineStr">
        <is>
          <t>deyga</t>
        </is>
      </c>
      <c r="L86" s="47">
        <f>IF(K86="","",IFERROR(INDEX('Semrush Data'!$C$2:$C$5000,MATCH(K86,'Semrush Data'!$A$2:$A$5000,0)),""))</f>
        <v/>
      </c>
      <c r="M86" s="48" t="inlineStr">
        <is>
          <t>Deyga Body Scrub</t>
        </is>
      </c>
      <c r="N86" s="45" t="inlineStr">
        <is>
          <t>Deyga Body Scrub | Buy Online UK | Swansura</t>
        </is>
      </c>
      <c r="O86" s="45">
        <f>LEN(N86)</f>
        <v/>
      </c>
      <c r="P86" s="49" t="inlineStr">
        <is>
          <t>Buy Deyga Body Scrub, a natural body scrub from Deyga. Official UK partner: 100% authentic, shipped from the UK, free delivery over £50.</t>
        </is>
      </c>
      <c r="Q86" s="45">
        <f>LEN(P86)</f>
        <v/>
      </c>
      <c r="R86" s="49" t="inlineStr">
        <is>
          <t>Target keyword is shared with its collection page (/collections/body-scrub)</t>
        </is>
      </c>
    </row>
    <row r="87" ht="23.25" customHeight="1" s="37">
      <c r="A87" s="45" t="inlineStr">
        <is>
          <t>VD-086</t>
        </is>
      </c>
      <c r="B87" s="45" t="inlineStr">
        <is>
          <t>Vilvah &amp; Deyga</t>
        </is>
      </c>
      <c r="C87" s="45" t="inlineStr">
        <is>
          <t>Deyga</t>
        </is>
      </c>
      <c r="D87" s="45" t="inlineStr">
        <is>
          <t>Deep Moisturising Face Cream 30G</t>
        </is>
      </c>
      <c r="E87" s="45" t="inlineStr">
        <is>
          <t>30g</t>
        </is>
      </c>
      <c r="F87" s="46" t="n">
        <v>18.99</v>
      </c>
      <c r="G87" s="45" t="inlineStr">
        <is>
          <t>moisturiser for dry skin</t>
        </is>
      </c>
      <c r="H87" s="47">
        <f>IFERROR(INDEX('Semrush Data'!$C$2:$C$5000,MATCH(G87,'Semrush Data'!$A$2:$A$5000,0)),"")</f>
        <v/>
      </c>
      <c r="I87" s="45">
        <f>IFERROR(INDEX('Semrush Data'!$D$2:$D$5000,MATCH(G87,'Semrush Data'!$A$2:$A$5000,0)),"")</f>
        <v/>
      </c>
      <c r="J87" s="45">
        <f>IF(OR(H87="",H87=0),"No volume",IF(I87&lt;=20,"Easier",IF(I87&lt;=35,"Medium","Hard")))</f>
        <v/>
      </c>
      <c r="K87" s="45" t="inlineStr">
        <is>
          <t>deyga</t>
        </is>
      </c>
      <c r="L87" s="47">
        <f>IF(K87="","",IFERROR(INDEX('Semrush Data'!$C$2:$C$5000,MATCH(K87,'Semrush Data'!$A$2:$A$5000,0)),""))</f>
        <v/>
      </c>
      <c r="M87" s="48" t="inlineStr">
        <is>
          <t>Deyga Deep Moisturising Face Cream</t>
        </is>
      </c>
      <c r="N87" s="45" t="inlineStr">
        <is>
          <t>Deyga Deep Moisturising Face Cream | Deyga UK | Swansura</t>
        </is>
      </c>
      <c r="O87" s="45">
        <f>LEN(N87)</f>
        <v/>
      </c>
      <c r="P87" s="49" t="inlineStr">
        <is>
          <t>Buy Deyga Deep Moisturising Face Cream, a natural moisturiser for dry skin from Deyga. Official UK partner, 100% authentic, free UK delivery over £50.</t>
        </is>
      </c>
      <c r="Q87" s="45">
        <f>LEN(P87)</f>
        <v/>
      </c>
      <c r="R87" s="49" t="inlineStr">
        <is>
          <t>Target keyword is shared with its collection page (/collections/moisturiser-for-dry-skin)</t>
        </is>
      </c>
    </row>
    <row r="88" ht="23.25" customHeight="1" s="37">
      <c r="A88" s="45" t="inlineStr">
        <is>
          <t>VD-087</t>
        </is>
      </c>
      <c r="B88" s="45" t="inlineStr">
        <is>
          <t>Vilvah &amp; Deyga</t>
        </is>
      </c>
      <c r="C88" s="45" t="inlineStr">
        <is>
          <t>Deyga</t>
        </is>
      </c>
      <c r="D88" s="45" t="inlineStr">
        <is>
          <t>2% Hyaluronic Acid Serum 20ML</t>
        </is>
      </c>
      <c r="E88" s="45" t="inlineStr">
        <is>
          <t>20ml</t>
        </is>
      </c>
      <c r="F88" s="46" t="n">
        <v>22.99</v>
      </c>
      <c r="G88" s="45" t="inlineStr">
        <is>
          <t>skincare for dull skin</t>
        </is>
      </c>
      <c r="H88" s="47">
        <f>IFERROR(INDEX('Semrush Data'!$C$2:$C$5000,MATCH(G88,'Semrush Data'!$A$2:$A$5000,0)),"")</f>
        <v/>
      </c>
      <c r="I88" s="45">
        <f>IFERROR(INDEX('Semrush Data'!$D$2:$D$5000,MATCH(G88,'Semrush Data'!$A$2:$A$5000,0)),"")</f>
        <v/>
      </c>
      <c r="J88" s="45">
        <f>IF(OR(H88="",H88=0),"No volume",IF(I88&lt;=20,"Easier",IF(I88&lt;=35,"Medium","Hard")))</f>
        <v/>
      </c>
      <c r="K88" s="45" t="inlineStr">
        <is>
          <t>deyga</t>
        </is>
      </c>
      <c r="L88" s="47">
        <f>IF(K88="","",IFERROR(INDEX('Semrush Data'!$C$2:$C$5000,MATCH(K88,'Semrush Data'!$A$2:$A$5000,0)),""))</f>
        <v/>
      </c>
      <c r="M88" s="48" t="inlineStr">
        <is>
          <t>Deyga 2% Hyaluronic Acid Serum</t>
        </is>
      </c>
      <c r="N88" s="45" t="inlineStr">
        <is>
          <t>Deyga 2% Hyaluronic Acid Serum | Skincare for Dull Skin</t>
        </is>
      </c>
      <c r="O88" s="45">
        <f>LEN(N88)</f>
        <v/>
      </c>
      <c r="P88" s="49" t="inlineStr">
        <is>
          <t>Buy Deyga 2% Hyaluronic Acid Serum, natural skincare for dull skin from Deyga. Official UK partner: 100% authentic, shipped from the UK, free delivery over £50.</t>
        </is>
      </c>
      <c r="Q88" s="45">
        <f>LEN(P88)</f>
        <v/>
      </c>
      <c r="R88" s="49" t="inlineStr">
        <is>
          <t>Target keyword is shared with its collection page (/collections/dull-skin)</t>
        </is>
      </c>
    </row>
    <row r="89" ht="23.25" customHeight="1" s="37">
      <c r="A89" s="45" t="inlineStr">
        <is>
          <t>VD-088</t>
        </is>
      </c>
      <c r="B89" s="45" t="inlineStr">
        <is>
          <t>Vilvah &amp; Deyga</t>
        </is>
      </c>
      <c r="C89" s="45" t="inlineStr">
        <is>
          <t>Deyga</t>
        </is>
      </c>
      <c r="D89" s="45" t="inlineStr">
        <is>
          <t>Orange &amp; Almond Face Pack Powder 100G</t>
        </is>
      </c>
      <c r="E89" s="45" t="inlineStr">
        <is>
          <t>100g</t>
        </is>
      </c>
      <c r="F89" s="46" t="n">
        <v>19.99</v>
      </c>
      <c r="G89" s="45" t="inlineStr">
        <is>
          <t>face serum</t>
        </is>
      </c>
      <c r="H89" s="47">
        <f>IFERROR(INDEX('Semrush Data'!$C$2:$C$5000,MATCH(G89,'Semrush Data'!$A$2:$A$5000,0)),"")</f>
        <v/>
      </c>
      <c r="I89" s="45">
        <f>IFERROR(INDEX('Semrush Data'!$D$2:$D$5000,MATCH(G89,'Semrush Data'!$A$2:$A$5000,0)),"")</f>
        <v/>
      </c>
      <c r="J89" s="45">
        <f>IF(OR(H89="",H89=0),"No volume",IF(I89&lt;=20,"Easier",IF(I89&lt;=35,"Medium","Hard")))</f>
        <v/>
      </c>
      <c r="K89" s="45" t="inlineStr">
        <is>
          <t>deyga</t>
        </is>
      </c>
      <c r="L89" s="47">
        <f>IF(K89="","",IFERROR(INDEX('Semrush Data'!$C$2:$C$5000,MATCH(K89,'Semrush Data'!$A$2:$A$5000,0)),""))</f>
        <v/>
      </c>
      <c r="M89" s="48" t="inlineStr">
        <is>
          <t>Deyga Orange &amp; Almond Face Pack Powder</t>
        </is>
      </c>
      <c r="N89" s="45" t="inlineStr">
        <is>
          <t>Deyga Orange &amp; Almond Face Pack Powder | Face Serum</t>
        </is>
      </c>
      <c r="O89" s="45">
        <f>LEN(N89)</f>
        <v/>
      </c>
      <c r="P89" s="49" t="inlineStr">
        <is>
          <t>Buy Deyga Orange &amp; Almond Face Pack Powder, a natural face serum from Deyga. Official UK partner: 100% authentic, shipped from the UK, free delivery over £50.</t>
        </is>
      </c>
      <c r="Q89" s="45">
        <f>LEN(P89)</f>
        <v/>
      </c>
      <c r="R89" s="49" t="inlineStr">
        <is>
          <t>Target keyword is shared with its collection page (/collections/face-serum)</t>
        </is>
      </c>
    </row>
    <row r="90" ht="23.25" customHeight="1" s="37">
      <c r="A90" s="45" t="inlineStr">
        <is>
          <t>VD-089</t>
        </is>
      </c>
      <c r="B90" s="45" t="inlineStr">
        <is>
          <t>Vilvah &amp; Deyga</t>
        </is>
      </c>
      <c r="C90" s="45" t="inlineStr">
        <is>
          <t>Deyga</t>
        </is>
      </c>
      <c r="D90" s="45" t="inlineStr">
        <is>
          <t>Premature Greying Hair Oil 100ML</t>
        </is>
      </c>
      <c r="E90" s="45" t="inlineStr">
        <is>
          <t>100ml</t>
        </is>
      </c>
      <c r="F90" s="46" t="n">
        <v>18.99</v>
      </c>
      <c r="G90" s="45" t="inlineStr">
        <is>
          <t>hair growth oil</t>
        </is>
      </c>
      <c r="H90" s="47">
        <f>IFERROR(INDEX('Semrush Data'!$C$2:$C$5000,MATCH(G90,'Semrush Data'!$A$2:$A$5000,0)),"")</f>
        <v/>
      </c>
      <c r="I90" s="45">
        <f>IFERROR(INDEX('Semrush Data'!$D$2:$D$5000,MATCH(G90,'Semrush Data'!$A$2:$A$5000,0)),"")</f>
        <v/>
      </c>
      <c r="J90" s="45">
        <f>IF(OR(H90="",H90=0),"No volume",IF(I90&lt;=20,"Easier",IF(I90&lt;=35,"Medium","Hard")))</f>
        <v/>
      </c>
      <c r="K90" s="45" t="inlineStr">
        <is>
          <t>deyga</t>
        </is>
      </c>
      <c r="L90" s="47">
        <f>IF(K90="","",IFERROR(INDEX('Semrush Data'!$C$2:$C$5000,MATCH(K90,'Semrush Data'!$A$2:$A$5000,0)),""))</f>
        <v/>
      </c>
      <c r="M90" s="48" t="inlineStr">
        <is>
          <t>Deyga Premature Greying Hair Oil</t>
        </is>
      </c>
      <c r="N90" s="45" t="inlineStr">
        <is>
          <t>Deyga Premature Greying Hair Oil | Hair Growth Oil</t>
        </is>
      </c>
      <c r="O90" s="45">
        <f>LEN(N90)</f>
        <v/>
      </c>
      <c r="P90" s="49" t="inlineStr">
        <is>
          <t>Buy Deyga Premature Greying Hair Oil, a natural hair growth oil from Deyga. Official UK partner: 100% authentic, shipped from the UK, free delivery over £50.</t>
        </is>
      </c>
      <c r="Q90" s="45">
        <f>LEN(P90)</f>
        <v/>
      </c>
      <c r="R90" s="49" t="inlineStr">
        <is>
          <t>Target keyword is shared with its collection page (/collections/hair-growth-oil)</t>
        </is>
      </c>
    </row>
    <row r="91" ht="23.25" customHeight="1" s="37">
      <c r="A91" s="45" t="inlineStr">
        <is>
          <t>VD-090</t>
        </is>
      </c>
      <c r="B91" s="45" t="inlineStr">
        <is>
          <t>Vilvah &amp; Deyga</t>
        </is>
      </c>
      <c r="C91" s="45" t="inlineStr">
        <is>
          <t>Deyga</t>
        </is>
      </c>
      <c r="D91" s="45" t="inlineStr">
        <is>
          <t>Anti-dandruff Oil</t>
        </is>
      </c>
      <c r="E91" s="45" t="inlineStr">
        <is>
          <t>100ml</t>
        </is>
      </c>
      <c r="F91" s="46" t="n"/>
      <c r="G91" s="45" t="inlineStr">
        <is>
          <t>deyga anti dandruff oil</t>
        </is>
      </c>
      <c r="H91" s="47">
        <f>IFERROR(INDEX('Semrush Data'!$C$2:$C$5000,MATCH(G91,'Semrush Data'!$A$2:$A$5000,0)),"")</f>
        <v/>
      </c>
      <c r="I91" s="45">
        <f>IFERROR(INDEX('Semrush Data'!$D$2:$D$5000,MATCH(G91,'Semrush Data'!$A$2:$A$5000,0)),"")</f>
        <v/>
      </c>
      <c r="J91" s="45">
        <f>IF(OR(H91="",H91=0),"No volume",IF(I91&lt;=20,"Easier",IF(I91&lt;=35,"Medium","Hard")))</f>
        <v/>
      </c>
      <c r="K91" s="45" t="inlineStr">
        <is>
          <t>deyga</t>
        </is>
      </c>
      <c r="L91" s="47">
        <f>IF(K91="","",IFERROR(INDEX('Semrush Data'!$C$2:$C$5000,MATCH(K91,'Semrush Data'!$A$2:$A$5000,0)),""))</f>
        <v/>
      </c>
      <c r="M91" s="48" t="inlineStr">
        <is>
          <t>Deyga Anti-Dandruff Hair Oil 100ml</t>
        </is>
      </c>
      <c r="N91" s="45" t="inlineStr">
        <is>
          <t>Deyga Anti-Dandruff Hair Oil 100ml – Neem &amp; Amla | Swansura</t>
        </is>
      </c>
      <c r="O91" s="45">
        <f>LEN(N91)</f>
        <v/>
      </c>
      <c r="P91" s="49" t="inlineStr">
        <is>
          <t>Buy Deyga Anti-Dandruff Hair Oil 100ml, a natural scalp oil with neem, amla and fenugreek. Official UK partner: 100% authentic, ships from the UK.</t>
        </is>
      </c>
      <c r="Q91" s="45">
        <f>LEN(P91)</f>
        <v/>
      </c>
      <c r="R91" s="49" t="inlineStr">
        <is>
          <t>Corrected 19 Oct 2026: earlier draft used the wrong concern/product facts. Created in Shopify as a DRAFT (no price yet).</t>
        </is>
      </c>
    </row>
    <row r="92" ht="23.25" customHeight="1" s="37">
      <c r="A92" s="45" t="inlineStr">
        <is>
          <t>VD-091</t>
        </is>
      </c>
      <c r="B92" s="45" t="inlineStr">
        <is>
          <t>Vilvah &amp; Deyga</t>
        </is>
      </c>
      <c r="C92" s="45" t="inlineStr">
        <is>
          <t>Deyga</t>
        </is>
      </c>
      <c r="D92" s="45" t="inlineStr">
        <is>
          <t>Rose &amp; Geranium Body Butter 40G</t>
        </is>
      </c>
      <c r="E92" s="45" t="inlineStr">
        <is>
          <t>40g</t>
        </is>
      </c>
      <c r="F92" s="46" t="n">
        <v>15.99</v>
      </c>
      <c r="G92" s="45" t="inlineStr">
        <is>
          <t>body butter</t>
        </is>
      </c>
      <c r="H92" s="47">
        <f>IFERROR(INDEX('Semrush Data'!$C$2:$C$5000,MATCH(G92,'Semrush Data'!$A$2:$A$5000,0)),"")</f>
        <v/>
      </c>
      <c r="I92" s="45">
        <f>IFERROR(INDEX('Semrush Data'!$D$2:$D$5000,MATCH(G92,'Semrush Data'!$A$2:$A$5000,0)),"")</f>
        <v/>
      </c>
      <c r="J92" s="45">
        <f>IF(OR(H92="",H92=0),"No volume",IF(I92&lt;=20,"Easier",IF(I92&lt;=35,"Medium","Hard")))</f>
        <v/>
      </c>
      <c r="K92" s="45" t="inlineStr">
        <is>
          <t>deyga</t>
        </is>
      </c>
      <c r="L92" s="47">
        <f>IF(K92="","",IFERROR(INDEX('Semrush Data'!$C$2:$C$5000,MATCH(K92,'Semrush Data'!$A$2:$A$5000,0)),""))</f>
        <v/>
      </c>
      <c r="M92" s="48" t="inlineStr">
        <is>
          <t>Deyga Rose &amp; Geranium Body Butter</t>
        </is>
      </c>
      <c r="N92" s="45" t="inlineStr">
        <is>
          <t>Deyga Rose &amp; Geranium Body Butter | Buy Online UK | Swansura</t>
        </is>
      </c>
      <c r="O92" s="45">
        <f>LEN(N92)</f>
        <v/>
      </c>
      <c r="P92" s="49" t="inlineStr">
        <is>
          <t>Buy Deyga Rose &amp; Geranium Body Butter, a natural body butter from Deyga. Official UK partner: 100% authentic, shipped from the UK, free delivery over £50.</t>
        </is>
      </c>
      <c r="Q92" s="45">
        <f>LEN(P92)</f>
        <v/>
      </c>
      <c r="R92" s="49" t="inlineStr">
        <is>
          <t>Target keyword is shared with its collection page (/collections/body-butter)</t>
        </is>
      </c>
    </row>
    <row r="93" ht="23.25" customHeight="1" s="37">
      <c r="A93" s="45" t="inlineStr">
        <is>
          <t>VD-092</t>
        </is>
      </c>
      <c r="B93" s="45" t="inlineStr">
        <is>
          <t>Vilvah &amp; Deyga</t>
        </is>
      </c>
      <c r="C93" s="45" t="inlineStr">
        <is>
          <t>Deyga</t>
        </is>
      </c>
      <c r="D93" s="45" t="inlineStr">
        <is>
          <t>Rose Glow Serum 30ml</t>
        </is>
      </c>
      <c r="E93" s="45" t="inlineStr">
        <is>
          <t>30ml</t>
        </is>
      </c>
      <c r="F93" s="46" t="n">
        <v>17.99</v>
      </c>
      <c r="G93" s="45" t="inlineStr">
        <is>
          <t>skincare for dull skin</t>
        </is>
      </c>
      <c r="H93" s="47">
        <f>IFERROR(INDEX('Semrush Data'!$C$2:$C$5000,MATCH(G93,'Semrush Data'!$A$2:$A$5000,0)),"")</f>
        <v/>
      </c>
      <c r="I93" s="45">
        <f>IFERROR(INDEX('Semrush Data'!$D$2:$D$5000,MATCH(G93,'Semrush Data'!$A$2:$A$5000,0)),"")</f>
        <v/>
      </c>
      <c r="J93" s="45">
        <f>IF(OR(H93="",H93=0),"No volume",IF(I93&lt;=20,"Easier",IF(I93&lt;=35,"Medium","Hard")))</f>
        <v/>
      </c>
      <c r="K93" s="45" t="inlineStr">
        <is>
          <t>deyga</t>
        </is>
      </c>
      <c r="L93" s="47">
        <f>IF(K93="","",IFERROR(INDEX('Semrush Data'!$C$2:$C$5000,MATCH(K93,'Semrush Data'!$A$2:$A$5000,0)),""))</f>
        <v/>
      </c>
      <c r="M93" s="48" t="inlineStr">
        <is>
          <t>Deyga Rose Glow Serum</t>
        </is>
      </c>
      <c r="N93" s="45" t="inlineStr">
        <is>
          <t>Deyga Rose Glow Serum – Skincare for Dull Skin | Swansura</t>
        </is>
      </c>
      <c r="O93" s="45">
        <f>LEN(N93)</f>
        <v/>
      </c>
      <c r="P93" s="49" t="inlineStr">
        <is>
          <t>Buy Deyga Rose Glow Serum, natural skincare for dull skin from Deyga. Official UK partner: 100% authentic, shipped from the UK, free delivery over £50.</t>
        </is>
      </c>
      <c r="Q93" s="45">
        <f>LEN(P93)</f>
        <v/>
      </c>
      <c r="R93" s="49" t="inlineStr">
        <is>
          <t>Target keyword is shared with its collection page (/collections/dull-skin)</t>
        </is>
      </c>
    </row>
    <row r="94" ht="23.25" customHeight="1" s="37">
      <c r="A94" s="45" t="inlineStr">
        <is>
          <t>VD-093</t>
        </is>
      </c>
      <c r="B94" s="45" t="inlineStr">
        <is>
          <t>Vilvah &amp; Deyga</t>
        </is>
      </c>
      <c r="C94" s="45" t="inlineStr">
        <is>
          <t>Deyga</t>
        </is>
      </c>
      <c r="D94" s="45" t="inlineStr">
        <is>
          <t>Light Moisturising Face Cream 30G</t>
        </is>
      </c>
      <c r="E94" s="45" t="inlineStr">
        <is>
          <t>30g</t>
        </is>
      </c>
      <c r="F94" s="46" t="n">
        <v>18.99</v>
      </c>
      <c r="G94" s="45" t="inlineStr">
        <is>
          <t>moisturiser for oily skin</t>
        </is>
      </c>
      <c r="H94" s="47">
        <f>IFERROR(INDEX('Semrush Data'!$C$2:$C$5000,MATCH(G94,'Semrush Data'!$A$2:$A$5000,0)),"")</f>
        <v/>
      </c>
      <c r="I94" s="45">
        <f>IFERROR(INDEX('Semrush Data'!$D$2:$D$5000,MATCH(G94,'Semrush Data'!$A$2:$A$5000,0)),"")</f>
        <v/>
      </c>
      <c r="J94" s="45">
        <f>IF(OR(H94="",H94=0),"No volume",IF(I94&lt;=20,"Easier",IF(I94&lt;=35,"Medium","Hard")))</f>
        <v/>
      </c>
      <c r="K94" s="45" t="inlineStr">
        <is>
          <t>deyga</t>
        </is>
      </c>
      <c r="L94" s="47">
        <f>IF(K94="","",IFERROR(INDEX('Semrush Data'!$C$2:$C$5000,MATCH(K94,'Semrush Data'!$A$2:$A$5000,0)),""))</f>
        <v/>
      </c>
      <c r="M94" s="48" t="inlineStr">
        <is>
          <t>Deyga Light Moisturising Face Cream</t>
        </is>
      </c>
      <c r="N94" s="45" t="inlineStr">
        <is>
          <t>Deyga Light Moisturising Face Cream | Deyga UK | Swansura</t>
        </is>
      </c>
      <c r="O94" s="45">
        <f>LEN(N94)</f>
        <v/>
      </c>
      <c r="P94" s="49" t="inlineStr">
        <is>
          <t>Buy Deyga Light Moisturising Face Cream, a natural moisturiser for oily skin from Deyga. Official UK partner, 100% authentic, free UK delivery over £50.</t>
        </is>
      </c>
      <c r="Q94" s="45">
        <f>LEN(P94)</f>
        <v/>
      </c>
      <c r="R94" s="49" t="inlineStr">
        <is>
          <t>Target keyword is shared with its collection page (/collections/moisturiser)</t>
        </is>
      </c>
    </row>
    <row r="95" ht="23.25" customHeight="1" s="37">
      <c r="A95" s="45" t="inlineStr">
        <is>
          <t>VD-094</t>
        </is>
      </c>
      <c r="B95" s="45" t="inlineStr">
        <is>
          <t>Vilvah &amp; Deyga</t>
        </is>
      </c>
      <c r="C95" s="45" t="inlineStr">
        <is>
          <t>Deyga</t>
        </is>
      </c>
      <c r="D95" s="45" t="inlineStr">
        <is>
          <t>Foot Soak Powder 160G</t>
        </is>
      </c>
      <c r="E95" s="45" t="inlineStr">
        <is>
          <t>160g</t>
        </is>
      </c>
      <c r="F95" s="46" t="n">
        <v>16.99</v>
      </c>
      <c r="G95" s="45" t="inlineStr">
        <is>
          <t>body lotion for dry skin</t>
        </is>
      </c>
      <c r="H95" s="47">
        <f>IFERROR(INDEX('Semrush Data'!$C$2:$C$5000,MATCH(G95,'Semrush Data'!$A$2:$A$5000,0)),"")</f>
        <v/>
      </c>
      <c r="I95" s="45">
        <f>IFERROR(INDEX('Semrush Data'!$D$2:$D$5000,MATCH(G95,'Semrush Data'!$A$2:$A$5000,0)),"")</f>
        <v/>
      </c>
      <c r="J95" s="45">
        <f>IF(OR(H95="",H95=0),"No volume",IF(I95&lt;=20,"Easier",IF(I95&lt;=35,"Medium","Hard")))</f>
        <v/>
      </c>
      <c r="K95" s="45" t="inlineStr">
        <is>
          <t>deyga</t>
        </is>
      </c>
      <c r="L95" s="47">
        <f>IF(K95="","",IFERROR(INDEX('Semrush Data'!$C$2:$C$5000,MATCH(K95,'Semrush Data'!$A$2:$A$5000,0)),""))</f>
        <v/>
      </c>
      <c r="M95" s="48" t="inlineStr">
        <is>
          <t>Deyga Foot Soak Powder</t>
        </is>
      </c>
      <c r="N95" s="45" t="inlineStr">
        <is>
          <t>Deyga Foot Soak Powder – Body Lotion for Dry Skin | Swansura</t>
        </is>
      </c>
      <c r="O95" s="45">
        <f>LEN(N95)</f>
        <v/>
      </c>
      <c r="P95" s="49" t="inlineStr">
        <is>
          <t>Buy Deyga Foot Soak Powder, a natural body lotion for dry skin from Deyga. Official UK partner: 100% authentic, shipped from the UK, free delivery over £50.</t>
        </is>
      </c>
      <c r="Q95" s="45">
        <f>LEN(P95)</f>
        <v/>
      </c>
      <c r="R95" s="49" t="inlineStr">
        <is>
          <t>Target keyword is shared with its collection page (/collections/body-lotion-for-dry-skin)</t>
        </is>
      </c>
    </row>
    <row r="96" ht="23.25" customHeight="1" s="37">
      <c r="A96" s="45" t="inlineStr">
        <is>
          <t>VD-095</t>
        </is>
      </c>
      <c r="B96" s="45" t="inlineStr">
        <is>
          <t>Vilvah &amp; Deyga</t>
        </is>
      </c>
      <c r="C96" s="45" t="inlineStr">
        <is>
          <t>Deyga</t>
        </is>
      </c>
      <c r="D96" s="45" t="inlineStr">
        <is>
          <t>Vitamin C Foaming Face Wash 100ML</t>
        </is>
      </c>
      <c r="E96" s="45" t="inlineStr">
        <is>
          <t>100ml</t>
        </is>
      </c>
      <c r="F96" s="46" t="n">
        <v>15.99</v>
      </c>
      <c r="G96" s="45" t="inlineStr">
        <is>
          <t>face wash for oily skin</t>
        </is>
      </c>
      <c r="H96" s="47">
        <f>IFERROR(INDEX('Semrush Data'!$C$2:$C$5000,MATCH(G96,'Semrush Data'!$A$2:$A$5000,0)),"")</f>
        <v/>
      </c>
      <c r="I96" s="45">
        <f>IFERROR(INDEX('Semrush Data'!$D$2:$D$5000,MATCH(G96,'Semrush Data'!$A$2:$A$5000,0)),"")</f>
        <v/>
      </c>
      <c r="J96" s="45">
        <f>IF(OR(H96="",H96=0),"No volume",IF(I96&lt;=20,"Easier",IF(I96&lt;=35,"Medium","Hard")))</f>
        <v/>
      </c>
      <c r="K96" s="45" t="inlineStr">
        <is>
          <t>deyga</t>
        </is>
      </c>
      <c r="L96" s="47">
        <f>IF(K96="","",IFERROR(INDEX('Semrush Data'!$C$2:$C$5000,MATCH(K96,'Semrush Data'!$A$2:$A$5000,0)),""))</f>
        <v/>
      </c>
      <c r="M96" s="48" t="inlineStr">
        <is>
          <t>Deyga Vitamin C Foaming Face Wash</t>
        </is>
      </c>
      <c r="N96" s="45" t="inlineStr">
        <is>
          <t>Deyga Vitamin C Foaming Face Wash | Face Wash for Oily Skin</t>
        </is>
      </c>
      <c r="O96" s="45">
        <f>LEN(N96)</f>
        <v/>
      </c>
      <c r="P96" s="49" t="inlineStr">
        <is>
          <t>Buy Deyga Vitamin C Foaming Face Wash, a natural face wash for oily skin from Deyga. Official UK partner, 100% authentic, free UK delivery over £50.</t>
        </is>
      </c>
      <c r="Q96" s="45">
        <f>LEN(P96)</f>
        <v/>
      </c>
      <c r="R96" s="49" t="inlineStr">
        <is>
          <t>Target keyword is shared with its collection page (/collections/face-wash-for-oily-skin)</t>
        </is>
      </c>
    </row>
    <row r="97" ht="23.25" customHeight="1" s="37">
      <c r="A97" s="45" t="inlineStr">
        <is>
          <t>VD-096</t>
        </is>
      </c>
      <c r="B97" s="45" t="inlineStr">
        <is>
          <t>Vilvah &amp; Deyga</t>
        </is>
      </c>
      <c r="C97" s="45" t="inlineStr">
        <is>
          <t>Deyga</t>
        </is>
      </c>
      <c r="D97" s="45" t="inlineStr">
        <is>
          <t>Wild Berry Body Wash 220ml</t>
        </is>
      </c>
      <c r="E97" s="45" t="inlineStr">
        <is>
          <t>220ml</t>
        </is>
      </c>
      <c r="F97" s="46" t="n">
        <v>16.99</v>
      </c>
      <c r="G97" s="45" t="inlineStr">
        <is>
          <t>natural body wash</t>
        </is>
      </c>
      <c r="H97" s="47">
        <f>IFERROR(INDEX('Semrush Data'!$C$2:$C$5000,MATCH(G97,'Semrush Data'!$A$2:$A$5000,0)),"")</f>
        <v/>
      </c>
      <c r="I97" s="45">
        <f>IFERROR(INDEX('Semrush Data'!$D$2:$D$5000,MATCH(G97,'Semrush Data'!$A$2:$A$5000,0)),"")</f>
        <v/>
      </c>
      <c r="J97" s="45">
        <f>IF(OR(H97="",H97=0),"No volume",IF(I97&lt;=20,"Easier",IF(I97&lt;=35,"Medium","Hard")))</f>
        <v/>
      </c>
      <c r="K97" s="45" t="inlineStr">
        <is>
          <t>deyga</t>
        </is>
      </c>
      <c r="L97" s="47">
        <f>IF(K97="","",IFERROR(INDEX('Semrush Data'!$C$2:$C$5000,MATCH(K97,'Semrush Data'!$A$2:$A$5000,0)),""))</f>
        <v/>
      </c>
      <c r="M97" s="48" t="inlineStr">
        <is>
          <t>Deyga Wild Berry Body Wash</t>
        </is>
      </c>
      <c r="N97" s="45" t="inlineStr">
        <is>
          <t>Deyga Wild Berry Body Wash | Buy Online UK | Swansura</t>
        </is>
      </c>
      <c r="O97" s="45">
        <f>LEN(N97)</f>
        <v/>
      </c>
      <c r="P97" s="49" t="inlineStr">
        <is>
          <t>Buy Deyga Wild Berry Body Wash, a natural body wash from Deyga. Official UK partner: 100% authentic, shipped from the UK, free delivery over £50.</t>
        </is>
      </c>
      <c r="Q97" s="45">
        <f>LEN(P97)</f>
        <v/>
      </c>
      <c r="R97" s="49" t="inlineStr">
        <is>
          <t>Target keyword is shared with its collection page (/collections/shower-gel-body-wash)</t>
        </is>
      </c>
    </row>
    <row r="98" ht="23.25" customHeight="1" s="37">
      <c r="A98" s="45" t="inlineStr">
        <is>
          <t>VD-097</t>
        </is>
      </c>
      <c r="B98" s="45" t="inlineStr">
        <is>
          <t>Vilvah &amp; Deyga</t>
        </is>
      </c>
      <c r="C98" s="45" t="inlineStr">
        <is>
          <t>Deyga</t>
        </is>
      </c>
      <c r="D98" s="45" t="inlineStr">
        <is>
          <t>Neem Seed Oil 30ML</t>
        </is>
      </c>
      <c r="E98" s="45" t="inlineStr">
        <is>
          <t>30ml</t>
        </is>
      </c>
      <c r="F98" s="46" t="n">
        <v>14.99</v>
      </c>
      <c r="G98" s="45" t="inlineStr">
        <is>
          <t>body lotion for dry skin</t>
        </is>
      </c>
      <c r="H98" s="47">
        <f>IFERROR(INDEX('Semrush Data'!$C$2:$C$5000,MATCH(G98,'Semrush Data'!$A$2:$A$5000,0)),"")</f>
        <v/>
      </c>
      <c r="I98" s="45">
        <f>IFERROR(INDEX('Semrush Data'!$D$2:$D$5000,MATCH(G98,'Semrush Data'!$A$2:$A$5000,0)),"")</f>
        <v/>
      </c>
      <c r="J98" s="45">
        <f>IF(OR(H98="",H98=0),"No volume",IF(I98&lt;=20,"Easier",IF(I98&lt;=35,"Medium","Hard")))</f>
        <v/>
      </c>
      <c r="K98" s="45" t="inlineStr">
        <is>
          <t>deyga</t>
        </is>
      </c>
      <c r="L98" s="47">
        <f>IF(K98="","",IFERROR(INDEX('Semrush Data'!$C$2:$C$5000,MATCH(K98,'Semrush Data'!$A$2:$A$5000,0)),""))</f>
        <v/>
      </c>
      <c r="M98" s="48" t="inlineStr">
        <is>
          <t>Deyga Neem Seed Oil</t>
        </is>
      </c>
      <c r="N98" s="45" t="inlineStr">
        <is>
          <t>Deyga Neem Seed Oil – Body Lotion for Dry Skin | Swansura</t>
        </is>
      </c>
      <c r="O98" s="45">
        <f>LEN(N98)</f>
        <v/>
      </c>
      <c r="P98" s="49" t="inlineStr">
        <is>
          <t>Buy Deyga Neem Seed Oil, a natural body lotion for dry skin from Deyga. Multi-Purpose Skin &amp; Hair Care Oil – Can be used for face. Free UK delivery over £50.</t>
        </is>
      </c>
      <c r="Q98" s="45">
        <f>LEN(P98)</f>
        <v/>
      </c>
      <c r="R98" s="49" t="inlineStr">
        <is>
          <t>Target keyword is shared with its collection page (/collections/body-lotion-for-dry-skin)</t>
        </is>
      </c>
    </row>
    <row r="99" ht="23.25" customHeight="1" s="37">
      <c r="A99" s="45" t="inlineStr">
        <is>
          <t>VD-098</t>
        </is>
      </c>
      <c r="B99" s="45" t="inlineStr">
        <is>
          <t>Vilvah &amp; Deyga</t>
        </is>
      </c>
      <c r="C99" s="45" t="inlineStr">
        <is>
          <t>Deyga</t>
        </is>
      </c>
      <c r="D99" s="45" t="inlineStr">
        <is>
          <t>Under Eye Mask 15G</t>
        </is>
      </c>
      <c r="E99" s="45" t="inlineStr">
        <is>
          <t>15g</t>
        </is>
      </c>
      <c r="F99" s="46" t="n">
        <v>15.99</v>
      </c>
      <c r="G99" s="45" t="inlineStr">
        <is>
          <t>face serum</t>
        </is>
      </c>
      <c r="H99" s="47">
        <f>IFERROR(INDEX('Semrush Data'!$C$2:$C$5000,MATCH(G99,'Semrush Data'!$A$2:$A$5000,0)),"")</f>
        <v/>
      </c>
      <c r="I99" s="45">
        <f>IFERROR(INDEX('Semrush Data'!$D$2:$D$5000,MATCH(G99,'Semrush Data'!$A$2:$A$5000,0)),"")</f>
        <v/>
      </c>
      <c r="J99" s="45">
        <f>IF(OR(H99="",H99=0),"No volume",IF(I99&lt;=20,"Easier",IF(I99&lt;=35,"Medium","Hard")))</f>
        <v/>
      </c>
      <c r="K99" s="45" t="inlineStr">
        <is>
          <t>deyga</t>
        </is>
      </c>
      <c r="L99" s="47">
        <f>IF(K99="","",IFERROR(INDEX('Semrush Data'!$C$2:$C$5000,MATCH(K99,'Semrush Data'!$A$2:$A$5000,0)),""))</f>
        <v/>
      </c>
      <c r="M99" s="48" t="inlineStr">
        <is>
          <t>Deyga Under Eye Mask</t>
        </is>
      </c>
      <c r="N99" s="45" t="inlineStr">
        <is>
          <t>Deyga Under Eye Mask | Face Serum</t>
        </is>
      </c>
      <c r="O99" s="45">
        <f>LEN(N99)</f>
        <v/>
      </c>
      <c r="P99" s="49" t="inlineStr">
        <is>
          <t>Buy Deyga Under Eye Mask, a natural face serum from Deyga. Official UK partner: 100% authentic, shipped from the UK, free delivery over £50.</t>
        </is>
      </c>
      <c r="Q99" s="45">
        <f>LEN(P99)</f>
        <v/>
      </c>
      <c r="R99" s="49" t="inlineStr">
        <is>
          <t>Target keyword is shared with its collection page (/collections/face-serum)</t>
        </is>
      </c>
    </row>
    <row r="100" ht="23.25" customHeight="1" s="37">
      <c r="A100" s="45" t="inlineStr">
        <is>
          <t>VD-099</t>
        </is>
      </c>
      <c r="B100" s="45" t="inlineStr">
        <is>
          <t>Vilvah &amp; Deyga</t>
        </is>
      </c>
      <c r="C100" s="45" t="inlineStr">
        <is>
          <t>Deyga</t>
        </is>
      </c>
      <c r="D100" s="45" t="inlineStr">
        <is>
          <t>Spirulina Matcha Face Pack 150G</t>
        </is>
      </c>
      <c r="E100" s="45" t="inlineStr">
        <is>
          <t>150g</t>
        </is>
      </c>
      <c r="F100" s="46" t="n">
        <v>17.99</v>
      </c>
      <c r="G100" s="45" t="inlineStr">
        <is>
          <t>face serum</t>
        </is>
      </c>
      <c r="H100" s="47">
        <f>IFERROR(INDEX('Semrush Data'!$C$2:$C$5000,MATCH(G100,'Semrush Data'!$A$2:$A$5000,0)),"")</f>
        <v/>
      </c>
      <c r="I100" s="45">
        <f>IFERROR(INDEX('Semrush Data'!$D$2:$D$5000,MATCH(G100,'Semrush Data'!$A$2:$A$5000,0)),"")</f>
        <v/>
      </c>
      <c r="J100" s="45">
        <f>IF(OR(H100="",H100=0),"No volume",IF(I100&lt;=20,"Easier",IF(I100&lt;=35,"Medium","Hard")))</f>
        <v/>
      </c>
      <c r="K100" s="45" t="inlineStr">
        <is>
          <t>deyga</t>
        </is>
      </c>
      <c r="L100" s="47">
        <f>IF(K100="","",IFERROR(INDEX('Semrush Data'!$C$2:$C$5000,MATCH(K100,'Semrush Data'!$A$2:$A$5000,0)),""))</f>
        <v/>
      </c>
      <c r="M100" s="48" t="inlineStr">
        <is>
          <t>Deyga Spirulina Matcha Face Pack</t>
        </is>
      </c>
      <c r="N100" s="45" t="inlineStr">
        <is>
          <t>Deyga Spirulina Matcha Face Pack – Face Serum | Swansura</t>
        </is>
      </c>
      <c r="O100" s="45">
        <f>LEN(N100)</f>
        <v/>
      </c>
      <c r="P100" s="49" t="inlineStr">
        <is>
          <t>Buy Deyga Spirulina Matcha Face Pack, a natural face serum from Deyga. Official UK partner: 100% authentic, shipped from the UK, free delivery over £50.</t>
        </is>
      </c>
      <c r="Q100" s="45">
        <f>LEN(P100)</f>
        <v/>
      </c>
      <c r="R100" s="49" t="inlineStr">
        <is>
          <t>Target keyword is shared with its collection page (/collections/face-serum)</t>
        </is>
      </c>
    </row>
    <row r="101" ht="23.25" customHeight="1" s="37">
      <c r="A101" s="45" t="inlineStr">
        <is>
          <t>VD-100</t>
        </is>
      </c>
      <c r="B101" s="45" t="inlineStr">
        <is>
          <t>Vilvah &amp; Deyga</t>
        </is>
      </c>
      <c r="C101" s="45" t="inlineStr">
        <is>
          <t>Deyga</t>
        </is>
      </c>
      <c r="D101" s="45" t="inlineStr">
        <is>
          <t>Tea Tree Facial Toner 100ML</t>
        </is>
      </c>
      <c r="E101" s="45" t="inlineStr">
        <is>
          <t>100ml</t>
        </is>
      </c>
      <c r="F101" s="46" t="n">
        <v>14.99</v>
      </c>
      <c r="G101" s="45" t="inlineStr">
        <is>
          <t>toner for dry skin</t>
        </is>
      </c>
      <c r="H101" s="47">
        <f>IFERROR(INDEX('Semrush Data'!$C$2:$C$5000,MATCH(G101,'Semrush Data'!$A$2:$A$5000,0)),"")</f>
        <v/>
      </c>
      <c r="I101" s="45">
        <f>IFERROR(INDEX('Semrush Data'!$D$2:$D$5000,MATCH(G101,'Semrush Data'!$A$2:$A$5000,0)),"")</f>
        <v/>
      </c>
      <c r="J101" s="45">
        <f>IF(OR(H101="",H101=0),"No volume",IF(I101&lt;=20,"Easier",IF(I101&lt;=35,"Medium","Hard")))</f>
        <v/>
      </c>
      <c r="K101" s="45" t="inlineStr">
        <is>
          <t>deyga</t>
        </is>
      </c>
      <c r="L101" s="47">
        <f>IF(K101="","",IFERROR(INDEX('Semrush Data'!$C$2:$C$5000,MATCH(K101,'Semrush Data'!$A$2:$A$5000,0)),""))</f>
        <v/>
      </c>
      <c r="M101" s="48" t="inlineStr">
        <is>
          <t>Deyga Tea Tree Facial Toner</t>
        </is>
      </c>
      <c r="N101" s="45" t="inlineStr">
        <is>
          <t>Deyga Tea Tree Facial Toner – Toner for Dry Skin | Swansura</t>
        </is>
      </c>
      <c r="O101" s="45">
        <f>LEN(N101)</f>
        <v/>
      </c>
      <c r="P101" s="49" t="inlineStr">
        <is>
          <t>Buy Deyga Tea Tree Facial Toner, a natural toner for dry skin from Deyga. Official UK partner: 100% authentic, shipped from the UK, free delivery over £50.</t>
        </is>
      </c>
      <c r="Q101" s="45">
        <f>LEN(P101)</f>
        <v/>
      </c>
      <c r="R101" s="49" t="inlineStr">
        <is>
          <t>Target keyword is shared with its collection page (/collections/toner-for-dry-skin)</t>
        </is>
      </c>
    </row>
    <row r="102" ht="23.25" customHeight="1" s="37">
      <c r="A102" s="45" t="inlineStr">
        <is>
          <t>VD-101</t>
        </is>
      </c>
      <c r="B102" s="45" t="inlineStr">
        <is>
          <t>Vilvah &amp; Deyga</t>
        </is>
      </c>
      <c r="C102" s="45" t="inlineStr">
        <is>
          <t>Deyga</t>
        </is>
      </c>
      <c r="D102" s="45" t="inlineStr">
        <is>
          <t>Tangerine Cleansing Balm for Makeup Removal 30g</t>
        </is>
      </c>
      <c r="E102" s="45" t="inlineStr">
        <is>
          <t>30g</t>
        </is>
      </c>
      <c r="F102" s="46" t="n">
        <v>15.99</v>
      </c>
      <c r="G102" s="45" t="inlineStr">
        <is>
          <t>face serum</t>
        </is>
      </c>
      <c r="H102" s="47">
        <f>IFERROR(INDEX('Semrush Data'!$C$2:$C$5000,MATCH(G102,'Semrush Data'!$A$2:$A$5000,0)),"")</f>
        <v/>
      </c>
      <c r="I102" s="45">
        <f>IFERROR(INDEX('Semrush Data'!$D$2:$D$5000,MATCH(G102,'Semrush Data'!$A$2:$A$5000,0)),"")</f>
        <v/>
      </c>
      <c r="J102" s="45">
        <f>IF(OR(H102="",H102=0),"No volume",IF(I102&lt;=20,"Easier",IF(I102&lt;=35,"Medium","Hard")))</f>
        <v/>
      </c>
      <c r="K102" s="45" t="inlineStr">
        <is>
          <t>deyga</t>
        </is>
      </c>
      <c r="L102" s="47">
        <f>IF(K102="","",IFERROR(INDEX('Semrush Data'!$C$2:$C$5000,MATCH(K102,'Semrush Data'!$A$2:$A$5000,0)),""))</f>
        <v/>
      </c>
      <c r="M102" s="48" t="inlineStr">
        <is>
          <t>Deyga Tangerine Cleansing Balm for Makeup Removal</t>
        </is>
      </c>
      <c r="N102" s="45" t="inlineStr">
        <is>
          <t>Deyga Tangerine Cleansing Balm for Makeup Remov | Swansura</t>
        </is>
      </c>
      <c r="O102" s="45">
        <f>LEN(N102)</f>
        <v/>
      </c>
      <c r="P102" s="49" t="inlineStr">
        <is>
          <t>Buy Deyga Tangerine Cleansing Balm for Makeup Removal, a natural face serum from Deyga. Official UK partner, 100% authentic, free UK delivery over £50.</t>
        </is>
      </c>
      <c r="Q102" s="45">
        <f>LEN(P102)</f>
        <v/>
      </c>
      <c r="R102" s="49" t="inlineStr">
        <is>
          <t>Target keyword is shared with its collection page (/collections/face-serum)</t>
        </is>
      </c>
    </row>
    <row r="103" ht="23.25" customHeight="1" s="37">
      <c r="A103" s="45" t="inlineStr">
        <is>
          <t>VD-102</t>
        </is>
      </c>
      <c r="B103" s="45" t="inlineStr">
        <is>
          <t>Vilvah &amp; Deyga</t>
        </is>
      </c>
      <c r="C103" s="45" t="inlineStr">
        <is>
          <t>Deyga</t>
        </is>
      </c>
      <c r="D103" s="45" t="inlineStr">
        <is>
          <t>Organic Loofah for Body Exfoliation</t>
        </is>
      </c>
      <c r="E103" s="45" t="inlineStr">
        <is>
          <t>Pack of 1</t>
        </is>
      </c>
      <c r="F103" s="46" t="n">
        <v>12.99</v>
      </c>
      <c r="G103" s="45" t="inlineStr">
        <is>
          <t>body lotion for dry skin</t>
        </is>
      </c>
      <c r="H103" s="47">
        <f>IFERROR(INDEX('Semrush Data'!$C$2:$C$5000,MATCH(G103,'Semrush Data'!$A$2:$A$5000,0)),"")</f>
        <v/>
      </c>
      <c r="I103" s="45">
        <f>IFERROR(INDEX('Semrush Data'!$D$2:$D$5000,MATCH(G103,'Semrush Data'!$A$2:$A$5000,0)),"")</f>
        <v/>
      </c>
      <c r="J103" s="45">
        <f>IF(OR(H103="",H103=0),"No volume",IF(I103&lt;=20,"Easier",IF(I103&lt;=35,"Medium","Hard")))</f>
        <v/>
      </c>
      <c r="K103" s="45" t="inlineStr">
        <is>
          <t>deyga</t>
        </is>
      </c>
      <c r="L103" s="47">
        <f>IF(K103="","",IFERROR(INDEX('Semrush Data'!$C$2:$C$5000,MATCH(K103,'Semrush Data'!$A$2:$A$5000,0)),""))</f>
        <v/>
      </c>
      <c r="M103" s="48" t="inlineStr">
        <is>
          <t>Deyga Organic Loofah for Body Exfoliation</t>
        </is>
      </c>
      <c r="N103" s="45" t="inlineStr">
        <is>
          <t>Deyga Organic Loofah for Body Exfoliation | Swansura UK</t>
        </is>
      </c>
      <c r="O103" s="45">
        <f>LEN(N103)</f>
        <v/>
      </c>
      <c r="P103" s="49" t="inlineStr">
        <is>
          <t>Buy Deyga Organic Loofah for Body Exfoliation, a natural body lotion for dry skin from Deyga. Official UK partner, 100% authentic, free UK delivery over £50.</t>
        </is>
      </c>
      <c r="Q103" s="45">
        <f>LEN(P103)</f>
        <v/>
      </c>
      <c r="R103" s="49" t="inlineStr">
        <is>
          <t>Target keyword is shared with its collection page (/collections/body-lotion-for-dry-skin)</t>
        </is>
      </c>
    </row>
    <row r="104" ht="23.25" customHeight="1" s="37">
      <c r="A104" s="45" t="inlineStr">
        <is>
          <t>VD-103</t>
        </is>
      </c>
      <c r="B104" s="45" t="inlineStr">
        <is>
          <t>Vilvah &amp; Deyga</t>
        </is>
      </c>
      <c r="C104" s="45" t="inlineStr">
        <is>
          <t>Deyga</t>
        </is>
      </c>
      <c r="D104" s="45" t="inlineStr">
        <is>
          <t>Foot Scrub 100 g</t>
        </is>
      </c>
      <c r="E104" s="45" t="inlineStr">
        <is>
          <t>100g</t>
        </is>
      </c>
      <c r="F104" s="46" t="n">
        <v>17.99</v>
      </c>
      <c r="G104" s="45" t="inlineStr">
        <is>
          <t>body scrub</t>
        </is>
      </c>
      <c r="H104" s="47">
        <f>IFERROR(INDEX('Semrush Data'!$C$2:$C$5000,MATCH(G104,'Semrush Data'!$A$2:$A$5000,0)),"")</f>
        <v/>
      </c>
      <c r="I104" s="45">
        <f>IFERROR(INDEX('Semrush Data'!$D$2:$D$5000,MATCH(G104,'Semrush Data'!$A$2:$A$5000,0)),"")</f>
        <v/>
      </c>
      <c r="J104" s="45">
        <f>IF(OR(H104="",H104=0),"No volume",IF(I104&lt;=20,"Easier",IF(I104&lt;=35,"Medium","Hard")))</f>
        <v/>
      </c>
      <c r="K104" s="45" t="inlineStr">
        <is>
          <t>deyga</t>
        </is>
      </c>
      <c r="L104" s="47">
        <f>IF(K104="","",IFERROR(INDEX('Semrush Data'!$C$2:$C$5000,MATCH(K104,'Semrush Data'!$A$2:$A$5000,0)),""))</f>
        <v/>
      </c>
      <c r="M104" s="48" t="inlineStr">
        <is>
          <t>Deyga Foot Scrub</t>
        </is>
      </c>
      <c r="N104" s="45" t="inlineStr">
        <is>
          <t>Deyga Foot Scrub | Body Scrub</t>
        </is>
      </c>
      <c r="O104" s="45">
        <f>LEN(N104)</f>
        <v/>
      </c>
      <c r="P104" s="49" t="inlineStr">
        <is>
          <t>Buy Deyga Foot Scrub, a natural body scrub from Deyga. Helps soften tough skin and improve texture with regular use. Free UK delivery over £50.</t>
        </is>
      </c>
      <c r="Q104" s="45">
        <f>LEN(P104)</f>
        <v/>
      </c>
      <c r="R104" s="49" t="inlineStr">
        <is>
          <t>Target keyword is shared with its collection page (/collections/body-scrub)</t>
        </is>
      </c>
    </row>
    <row r="105" ht="23.25" customHeight="1" s="37">
      <c r="A105" s="45" t="inlineStr">
        <is>
          <t>VD-104</t>
        </is>
      </c>
      <c r="B105" s="45" t="inlineStr">
        <is>
          <t>Vilvah &amp; Deyga</t>
        </is>
      </c>
      <c r="C105" s="45" t="inlineStr">
        <is>
          <t>Deyga</t>
        </is>
      </c>
      <c r="D105" s="45" t="inlineStr">
        <is>
          <t>Eyebrow Growth Oil 30ml</t>
        </is>
      </c>
      <c r="E105" s="45" t="inlineStr">
        <is>
          <t>30ml</t>
        </is>
      </c>
      <c r="F105" s="46" t="n">
        <v>22.99</v>
      </c>
      <c r="G105" s="45" t="inlineStr">
        <is>
          <t>face serum</t>
        </is>
      </c>
      <c r="H105" s="47">
        <f>IFERROR(INDEX('Semrush Data'!$C$2:$C$5000,MATCH(G105,'Semrush Data'!$A$2:$A$5000,0)),"")</f>
        <v/>
      </c>
      <c r="I105" s="45">
        <f>IFERROR(INDEX('Semrush Data'!$D$2:$D$5000,MATCH(G105,'Semrush Data'!$A$2:$A$5000,0)),"")</f>
        <v/>
      </c>
      <c r="J105" s="45">
        <f>IF(OR(H105="",H105=0),"No volume",IF(I105&lt;=20,"Easier",IF(I105&lt;=35,"Medium","Hard")))</f>
        <v/>
      </c>
      <c r="K105" s="45" t="inlineStr">
        <is>
          <t>deyga</t>
        </is>
      </c>
      <c r="L105" s="47">
        <f>IF(K105="","",IFERROR(INDEX('Semrush Data'!$C$2:$C$5000,MATCH(K105,'Semrush Data'!$A$2:$A$5000,0)),""))</f>
        <v/>
      </c>
      <c r="M105" s="48" t="inlineStr">
        <is>
          <t>Deyga Eyebrow Growth Oil</t>
        </is>
      </c>
      <c r="N105" s="45" t="inlineStr">
        <is>
          <t>Deyga Eyebrow Growth Oil | Face Serum</t>
        </is>
      </c>
      <c r="O105" s="45">
        <f>LEN(N105)</f>
        <v/>
      </c>
      <c r="P105" s="49" t="inlineStr">
        <is>
          <t>Buy Deyga Eyebrow Growth Oil, a natural face serum from Deyga. Official UK partner: 100% authentic, shipped from the UK, free delivery over £50.</t>
        </is>
      </c>
      <c r="Q105" s="45">
        <f>LEN(P105)</f>
        <v/>
      </c>
      <c r="R105" s="49" t="inlineStr">
        <is>
          <t>Target keyword is shared with its collection page (/collections/face-serum)</t>
        </is>
      </c>
    </row>
    <row r="106" ht="23.25" customHeight="1" s="37">
      <c r="A106" s="45" t="inlineStr">
        <is>
          <t>VD-105</t>
        </is>
      </c>
      <c r="B106" s="45" t="inlineStr">
        <is>
          <t>Vilvah &amp; Deyga</t>
        </is>
      </c>
      <c r="C106" s="45" t="inlineStr">
        <is>
          <t>Deyga</t>
        </is>
      </c>
      <c r="D106" s="45" t="inlineStr">
        <is>
          <t>Sunscreen 50ML</t>
        </is>
      </c>
      <c r="E106" s="45" t="inlineStr">
        <is>
          <t>50ml</t>
        </is>
      </c>
      <c r="F106" s="46" t="n">
        <v>16.99</v>
      </c>
      <c r="G106" s="45" t="inlineStr">
        <is>
          <t>natural sunscreen</t>
        </is>
      </c>
      <c r="H106" s="47">
        <f>IFERROR(INDEX('Semrush Data'!$C$2:$C$5000,MATCH(G106,'Semrush Data'!$A$2:$A$5000,0)),"")</f>
        <v/>
      </c>
      <c r="I106" s="45">
        <f>IFERROR(INDEX('Semrush Data'!$D$2:$D$5000,MATCH(G106,'Semrush Data'!$A$2:$A$5000,0)),"")</f>
        <v/>
      </c>
      <c r="J106" s="45">
        <f>IF(OR(H106="",H106=0),"No volume",IF(I106&lt;=20,"Easier",IF(I106&lt;=35,"Medium","Hard")))</f>
        <v/>
      </c>
      <c r="K106" s="45" t="inlineStr">
        <is>
          <t>deyga</t>
        </is>
      </c>
      <c r="L106" s="47">
        <f>IF(K106="","",IFERROR(INDEX('Semrush Data'!$C$2:$C$5000,MATCH(K106,'Semrush Data'!$A$2:$A$5000,0)),""))</f>
        <v/>
      </c>
      <c r="M106" s="48" t="inlineStr">
        <is>
          <t>Deyga Sunscreen</t>
        </is>
      </c>
      <c r="N106" s="45" t="inlineStr">
        <is>
          <t>Deyga Sunscreen | Buy Online UK | Swansura</t>
        </is>
      </c>
      <c r="O106" s="45">
        <f>LEN(N106)</f>
        <v/>
      </c>
      <c r="P106" s="49" t="inlineStr">
        <is>
          <t>Buy Deyga Sunscreen, a natural sunscreen from Deyga. Smooth, breathable texture that blends easily without leaving a white cast or. Free UK delivery over £50.</t>
        </is>
      </c>
      <c r="Q106" s="45">
        <f>LEN(P106)</f>
        <v/>
      </c>
      <c r="R106" s="49" t="inlineStr">
        <is>
          <t>Target keyword is shared with its collection page (/collections/natural-sunscreen)</t>
        </is>
      </c>
    </row>
    <row r="107" ht="23.25" customHeight="1" s="37">
      <c r="A107" s="45" t="inlineStr">
        <is>
          <t>VD-106</t>
        </is>
      </c>
      <c r="B107" s="45" t="inlineStr">
        <is>
          <t>Vilvah &amp; Deyga</t>
        </is>
      </c>
      <c r="C107" s="45" t="inlineStr">
        <is>
          <t>Deyga</t>
        </is>
      </c>
      <c r="D107" s="45" t="inlineStr">
        <is>
          <t>Natural Lip Balm 8G</t>
        </is>
      </c>
      <c r="E107" s="45" t="inlineStr">
        <is>
          <t>8g</t>
        </is>
      </c>
      <c r="F107" s="46" t="n">
        <v>9.99</v>
      </c>
      <c r="G107" s="45" t="inlineStr">
        <is>
          <t>natural lip balm</t>
        </is>
      </c>
      <c r="H107" s="47">
        <f>IFERROR(INDEX('Semrush Data'!$C$2:$C$5000,MATCH(G107,'Semrush Data'!$A$2:$A$5000,0)),"")</f>
        <v/>
      </c>
      <c r="I107" s="45">
        <f>IFERROR(INDEX('Semrush Data'!$D$2:$D$5000,MATCH(G107,'Semrush Data'!$A$2:$A$5000,0)),"")</f>
        <v/>
      </c>
      <c r="J107" s="45">
        <f>IF(OR(H107="",H107=0),"No volume",IF(I107&lt;=20,"Easier",IF(I107&lt;=35,"Medium","Hard")))</f>
        <v/>
      </c>
      <c r="K107" s="45" t="inlineStr">
        <is>
          <t>deyga</t>
        </is>
      </c>
      <c r="L107" s="47">
        <f>IF(K107="","",IFERROR(INDEX('Semrush Data'!$C$2:$C$5000,MATCH(K107,'Semrush Data'!$A$2:$A$5000,0)),""))</f>
        <v/>
      </c>
      <c r="M107" s="48" t="inlineStr">
        <is>
          <t>Deyga Natural Lip Balm</t>
        </is>
      </c>
      <c r="N107" s="45" t="inlineStr">
        <is>
          <t>Deyga Natural Lip Balm | Buy Online UK | Swansura</t>
        </is>
      </c>
      <c r="O107" s="45">
        <f>LEN(N107)</f>
        <v/>
      </c>
      <c r="P107" s="49" t="inlineStr">
        <is>
          <t>Buy Deyga Natural Lip Balm, a natural lip balm from Deyga. Official UK partner: 100% authentic, shipped from the UK, free delivery over £50.</t>
        </is>
      </c>
      <c r="Q107" s="45">
        <f>LEN(P107)</f>
        <v/>
      </c>
      <c r="R107" s="49" t="inlineStr">
        <is>
          <t>Target keyword is shared with its collection page (/collections/lip-balm-for-dry-lips)</t>
        </is>
      </c>
    </row>
    <row r="108" ht="23.25" customHeight="1" s="37">
      <c r="A108" s="45" t="inlineStr">
        <is>
          <t>VD-107</t>
        </is>
      </c>
      <c r="B108" s="45" t="inlineStr">
        <is>
          <t>Vilvah &amp; Deyga</t>
        </is>
      </c>
      <c r="C108" s="45" t="inlineStr">
        <is>
          <t>Deyga</t>
        </is>
      </c>
      <c r="D108" s="45" t="inlineStr">
        <is>
          <t>Spinach &amp; Cucumber Bath Bar 100G</t>
        </is>
      </c>
      <c r="E108" s="45" t="inlineStr">
        <is>
          <t>100g</t>
        </is>
      </c>
      <c r="F108" s="46" t="n">
        <v>14.99</v>
      </c>
      <c r="G108" s="45" t="inlineStr">
        <is>
          <t>body lotion for dry skin</t>
        </is>
      </c>
      <c r="H108" s="47">
        <f>IFERROR(INDEX('Semrush Data'!$C$2:$C$5000,MATCH(G108,'Semrush Data'!$A$2:$A$5000,0)),"")</f>
        <v/>
      </c>
      <c r="I108" s="45">
        <f>IFERROR(INDEX('Semrush Data'!$D$2:$D$5000,MATCH(G108,'Semrush Data'!$A$2:$A$5000,0)),"")</f>
        <v/>
      </c>
      <c r="J108" s="45">
        <f>IF(OR(H108="",H108=0),"No volume",IF(I108&lt;=20,"Easier",IF(I108&lt;=35,"Medium","Hard")))</f>
        <v/>
      </c>
      <c r="K108" s="45" t="inlineStr">
        <is>
          <t>deyga</t>
        </is>
      </c>
      <c r="L108" s="47">
        <f>IF(K108="","",IFERROR(INDEX('Semrush Data'!$C$2:$C$5000,MATCH(K108,'Semrush Data'!$A$2:$A$5000,0)),""))</f>
        <v/>
      </c>
      <c r="M108" s="48" t="inlineStr">
        <is>
          <t>Deyga Spinach &amp; Cucumber Bath Bar</t>
        </is>
      </c>
      <c r="N108" s="45" t="inlineStr">
        <is>
          <t>Deyga Spinach &amp; Cucumber Bath Bar | Body Lotion for Dry Skin</t>
        </is>
      </c>
      <c r="O108" s="45">
        <f>LEN(N108)</f>
        <v/>
      </c>
      <c r="P108" s="49" t="inlineStr">
        <is>
          <t>Buy Deyga Spinach &amp; Cucumber Bath Bar, a natural body lotion for dry skin from Deyga. Official UK partner, 100% authentic, free UK delivery over £50.</t>
        </is>
      </c>
      <c r="Q108" s="45">
        <f>LEN(P108)</f>
        <v/>
      </c>
      <c r="R108" s="49" t="inlineStr">
        <is>
          <t>Target keyword is shared with its collection page (/collections/body-lotion-for-dry-skin)</t>
        </is>
      </c>
    </row>
    <row r="109" ht="23.25" customHeight="1" s="37">
      <c r="A109" s="45" t="inlineStr">
        <is>
          <t>VD-108</t>
        </is>
      </c>
      <c r="B109" s="45" t="inlineStr">
        <is>
          <t>Vilvah &amp; Deyga</t>
        </is>
      </c>
      <c r="C109" s="45" t="inlineStr">
        <is>
          <t>Deyga</t>
        </is>
      </c>
      <c r="D109" s="45" t="inlineStr">
        <is>
          <t>Shea Saffron Bath Bar 100G</t>
        </is>
      </c>
      <c r="E109" s="45" t="inlineStr">
        <is>
          <t>100g</t>
        </is>
      </c>
      <c r="F109" s="46" t="n">
        <v>15.99</v>
      </c>
      <c r="G109" s="45" t="inlineStr">
        <is>
          <t>body lotion for dry skin</t>
        </is>
      </c>
      <c r="H109" s="47">
        <f>IFERROR(INDEX('Semrush Data'!$C$2:$C$5000,MATCH(G109,'Semrush Data'!$A$2:$A$5000,0)),"")</f>
        <v/>
      </c>
      <c r="I109" s="45">
        <f>IFERROR(INDEX('Semrush Data'!$D$2:$D$5000,MATCH(G109,'Semrush Data'!$A$2:$A$5000,0)),"")</f>
        <v/>
      </c>
      <c r="J109" s="45">
        <f>IF(OR(H109="",H109=0),"No volume",IF(I109&lt;=20,"Easier",IF(I109&lt;=35,"Medium","Hard")))</f>
        <v/>
      </c>
      <c r="K109" s="45" t="inlineStr">
        <is>
          <t>deyga</t>
        </is>
      </c>
      <c r="L109" s="47">
        <f>IF(K109="","",IFERROR(INDEX('Semrush Data'!$C$2:$C$5000,MATCH(K109,'Semrush Data'!$A$2:$A$5000,0)),""))</f>
        <v/>
      </c>
      <c r="M109" s="48" t="inlineStr">
        <is>
          <t>Deyga Shea Saffron Bath Bar</t>
        </is>
      </c>
      <c r="N109" s="45" t="inlineStr">
        <is>
          <t>Deyga Shea Saffron Bath Bar | Body Lotion for Dry Skin</t>
        </is>
      </c>
      <c r="O109" s="45">
        <f>LEN(N109)</f>
        <v/>
      </c>
      <c r="P109" s="49" t="inlineStr">
        <is>
          <t>Deyga Shea Saffron Bath Bar: a natural body lotion for dry skin from Deyga. Official UK partner: 100% authentic, shipped from the UK, free delivery over £50.</t>
        </is>
      </c>
      <c r="Q109" s="45">
        <f>LEN(P109)</f>
        <v/>
      </c>
      <c r="R109" s="49" t="inlineStr">
        <is>
          <t>Target keyword is shared with its collection page (/collections/body-lotion-for-dry-skin)</t>
        </is>
      </c>
    </row>
    <row r="110" ht="23.25" customHeight="1" s="37">
      <c r="A110" s="45" t="inlineStr">
        <is>
          <t>VD-109</t>
        </is>
      </c>
      <c r="B110" s="45" t="inlineStr">
        <is>
          <t>Vilvah &amp; Deyga</t>
        </is>
      </c>
      <c r="C110" s="45" t="inlineStr">
        <is>
          <t>Deyga</t>
        </is>
      </c>
      <c r="D110" s="45" t="inlineStr">
        <is>
          <t>Rose Pink Clay Bath Bar 100G</t>
        </is>
      </c>
      <c r="E110" s="45" t="inlineStr">
        <is>
          <t>100g</t>
        </is>
      </c>
      <c r="F110" s="46" t="n">
        <v>14.99</v>
      </c>
      <c r="G110" s="45" t="inlineStr">
        <is>
          <t>body lotion for dry skin</t>
        </is>
      </c>
      <c r="H110" s="47">
        <f>IFERROR(INDEX('Semrush Data'!$C$2:$C$5000,MATCH(G110,'Semrush Data'!$A$2:$A$5000,0)),"")</f>
        <v/>
      </c>
      <c r="I110" s="45">
        <f>IFERROR(INDEX('Semrush Data'!$D$2:$D$5000,MATCH(G110,'Semrush Data'!$A$2:$A$5000,0)),"")</f>
        <v/>
      </c>
      <c r="J110" s="45">
        <f>IF(OR(H110="",H110=0),"No volume",IF(I110&lt;=20,"Easier",IF(I110&lt;=35,"Medium","Hard")))</f>
        <v/>
      </c>
      <c r="K110" s="45" t="inlineStr">
        <is>
          <t>deyga</t>
        </is>
      </c>
      <c r="L110" s="47">
        <f>IF(K110="","",IFERROR(INDEX('Semrush Data'!$C$2:$C$5000,MATCH(K110,'Semrush Data'!$A$2:$A$5000,0)),""))</f>
        <v/>
      </c>
      <c r="M110" s="48" t="inlineStr">
        <is>
          <t>Deyga Rose Pink Clay Bath Bar</t>
        </is>
      </c>
      <c r="N110" s="45" t="inlineStr">
        <is>
          <t>Deyga Rose Pink Clay Bath Bar | Body Lotion for Dry Skin</t>
        </is>
      </c>
      <c r="O110" s="45">
        <f>LEN(N110)</f>
        <v/>
      </c>
      <c r="P110" s="49" t="inlineStr">
        <is>
          <t>Deyga Rose Pink Clay Bath Bar: a natural body lotion for dry skin from Deyga. Official UK partner: 100% authentic, shipped from the UK, free delivery over £50.</t>
        </is>
      </c>
      <c r="Q110" s="45">
        <f>LEN(P110)</f>
        <v/>
      </c>
      <c r="R110" s="49" t="inlineStr">
        <is>
          <t>Target keyword is shared with its collection page (/collections/body-lotion-for-dry-skin)</t>
        </is>
      </c>
    </row>
    <row r="111" ht="23.25" customHeight="1" s="37">
      <c r="A111" s="45" t="inlineStr">
        <is>
          <t>VD-110</t>
        </is>
      </c>
      <c r="B111" s="45" t="inlineStr">
        <is>
          <t>Vilvah &amp; Deyga</t>
        </is>
      </c>
      <c r="C111" s="45" t="inlineStr">
        <is>
          <t>Deyga</t>
        </is>
      </c>
      <c r="D111" s="45" t="inlineStr">
        <is>
          <t>Neem &amp; Turmeric Bath Bar 100G</t>
        </is>
      </c>
      <c r="E111" s="45" t="inlineStr">
        <is>
          <t>100g</t>
        </is>
      </c>
      <c r="F111" s="46" t="n">
        <v>14.99</v>
      </c>
      <c r="G111" s="45" t="inlineStr">
        <is>
          <t>body lotion for dry skin</t>
        </is>
      </c>
      <c r="H111" s="47">
        <f>IFERROR(INDEX('Semrush Data'!$C$2:$C$5000,MATCH(G111,'Semrush Data'!$A$2:$A$5000,0)),"")</f>
        <v/>
      </c>
      <c r="I111" s="45">
        <f>IFERROR(INDEX('Semrush Data'!$D$2:$D$5000,MATCH(G111,'Semrush Data'!$A$2:$A$5000,0)),"")</f>
        <v/>
      </c>
      <c r="J111" s="45">
        <f>IF(OR(H111="",H111=0),"No volume",IF(I111&lt;=20,"Easier",IF(I111&lt;=35,"Medium","Hard")))</f>
        <v/>
      </c>
      <c r="K111" s="45" t="inlineStr">
        <is>
          <t>deyga</t>
        </is>
      </c>
      <c r="L111" s="47">
        <f>IF(K111="","",IFERROR(INDEX('Semrush Data'!$C$2:$C$5000,MATCH(K111,'Semrush Data'!$A$2:$A$5000,0)),""))</f>
        <v/>
      </c>
      <c r="M111" s="48" t="inlineStr">
        <is>
          <t>Deyga Neem &amp; Turmeric Bath Bar</t>
        </is>
      </c>
      <c r="N111" s="45" t="inlineStr">
        <is>
          <t>Deyga Neem &amp; Turmeric Bath Bar | Body Lotion for Dry Skin</t>
        </is>
      </c>
      <c r="O111" s="45">
        <f>LEN(N111)</f>
        <v/>
      </c>
      <c r="P111" s="49" t="inlineStr">
        <is>
          <t>Deyga Neem &amp; Turmeric Bath Bar: a natural body lotion for dry skin from Deyga. Official UK partner: 100% authentic, shipped from the UK, free delivery over £50.</t>
        </is>
      </c>
      <c r="Q111" s="45">
        <f>LEN(P111)</f>
        <v/>
      </c>
      <c r="R111" s="49" t="inlineStr">
        <is>
          <t>Target keyword is shared with its collection page (/collections/body-lotion-for-dry-skin)</t>
        </is>
      </c>
    </row>
    <row r="112" ht="23.25" customHeight="1" s="37">
      <c r="A112" s="45" t="inlineStr">
        <is>
          <t>VD-111</t>
        </is>
      </c>
      <c r="B112" s="45" t="inlineStr">
        <is>
          <t>Vilvah &amp; Deyga</t>
        </is>
      </c>
      <c r="C112" s="45" t="inlineStr">
        <is>
          <t>Deyga</t>
        </is>
      </c>
      <c r="D112" s="45" t="inlineStr">
        <is>
          <t>Mint Lip Scrub 16G</t>
        </is>
      </c>
      <c r="E112" s="45" t="inlineStr">
        <is>
          <t>16g</t>
        </is>
      </c>
      <c r="F112" s="46" t="n">
        <v>12.99</v>
      </c>
      <c r="G112" s="45" t="inlineStr">
        <is>
          <t>lip scrub</t>
        </is>
      </c>
      <c r="H112" s="47">
        <f>IFERROR(INDEX('Semrush Data'!$C$2:$C$5000,MATCH(G112,'Semrush Data'!$A$2:$A$5000,0)),"")</f>
        <v/>
      </c>
      <c r="I112" s="45">
        <f>IFERROR(INDEX('Semrush Data'!$D$2:$D$5000,MATCH(G112,'Semrush Data'!$A$2:$A$5000,0)),"")</f>
        <v/>
      </c>
      <c r="J112" s="45">
        <f>IF(OR(H112="",H112=0),"No volume",IF(I112&lt;=20,"Easier",IF(I112&lt;=35,"Medium","Hard")))</f>
        <v/>
      </c>
      <c r="K112" s="45" t="inlineStr">
        <is>
          <t>deyga</t>
        </is>
      </c>
      <c r="L112" s="47">
        <f>IF(K112="","",IFERROR(INDEX('Semrush Data'!$C$2:$C$5000,MATCH(K112,'Semrush Data'!$A$2:$A$5000,0)),""))</f>
        <v/>
      </c>
      <c r="M112" s="48" t="inlineStr">
        <is>
          <t>Deyga Mint Lip Scrub</t>
        </is>
      </c>
      <c r="N112" s="45" t="inlineStr">
        <is>
          <t>Deyga Mint Lip Scrub | Buy Online UK | Swansura</t>
        </is>
      </c>
      <c r="O112" s="45">
        <f>LEN(N112)</f>
        <v/>
      </c>
      <c r="P112" s="49" t="inlineStr">
        <is>
          <t>Buy Deyga Mint Lip Scrub, a natural lip scrub from Deyga. Official UK partner: 100% authentic, shipped from the UK, free delivery over £50.</t>
        </is>
      </c>
      <c r="Q112" s="45">
        <f>LEN(P112)</f>
        <v/>
      </c>
      <c r="R112" s="49" t="inlineStr">
        <is>
          <t>Target keyword is shared with its collection page (/collections/lip-scrub)</t>
        </is>
      </c>
    </row>
    <row r="113" ht="23.25" customHeight="1" s="37">
      <c r="A113" s="45" t="inlineStr">
        <is>
          <t>VD-112</t>
        </is>
      </c>
      <c r="B113" s="45" t="inlineStr">
        <is>
          <t>Vilvah &amp; Deyga</t>
        </is>
      </c>
      <c r="C113" s="45" t="inlineStr">
        <is>
          <t>Deyga</t>
        </is>
      </c>
      <c r="D113" s="45" t="inlineStr">
        <is>
          <t>Hair Removal Powder 100g</t>
        </is>
      </c>
      <c r="E113" s="45" t="inlineStr">
        <is>
          <t>100g</t>
        </is>
      </c>
      <c r="F113" s="46" t="n">
        <v>13.99</v>
      </c>
      <c r="G113" s="45" t="inlineStr">
        <is>
          <t>hair mask for dry hair</t>
        </is>
      </c>
      <c r="H113" s="47">
        <f>IFERROR(INDEX('Semrush Data'!$C$2:$C$5000,MATCH(G113,'Semrush Data'!$A$2:$A$5000,0)),"")</f>
        <v/>
      </c>
      <c r="I113" s="45">
        <f>IFERROR(INDEX('Semrush Data'!$D$2:$D$5000,MATCH(G113,'Semrush Data'!$A$2:$A$5000,0)),"")</f>
        <v/>
      </c>
      <c r="J113" s="45">
        <f>IF(OR(H113="",H113=0),"No volume",IF(I113&lt;=20,"Easier",IF(I113&lt;=35,"Medium","Hard")))</f>
        <v/>
      </c>
      <c r="K113" s="45" t="inlineStr">
        <is>
          <t>deyga</t>
        </is>
      </c>
      <c r="L113" s="47">
        <f>IF(K113="","",IFERROR(INDEX('Semrush Data'!$C$2:$C$5000,MATCH(K113,'Semrush Data'!$A$2:$A$5000,0)),""))</f>
        <v/>
      </c>
      <c r="M113" s="48" t="inlineStr">
        <is>
          <t>Deyga Hair Removal Powder</t>
        </is>
      </c>
      <c r="N113" s="45" t="inlineStr">
        <is>
          <t>Deyga Hair Removal Powder | Hair Mask for Dry Hair</t>
        </is>
      </c>
      <c r="O113" s="45">
        <f>LEN(N113)</f>
        <v/>
      </c>
      <c r="P113" s="49" t="inlineStr">
        <is>
          <t>Buy Deyga Hair Removal Powder, a natural hair mask for dry hair from Deyga. Official UK partner: 100% authentic, shipped from the UK, free delivery over £50.</t>
        </is>
      </c>
      <c r="Q113" s="45">
        <f>LEN(P113)</f>
        <v/>
      </c>
      <c r="R113" s="49" t="inlineStr">
        <is>
          <t>Target keyword is shared with its collection page (/collections/hair-mask-for-dry-hair)</t>
        </is>
      </c>
    </row>
    <row r="114" ht="23.25" customHeight="1" s="37">
      <c r="A114" s="45" t="inlineStr">
        <is>
          <t>VD-113</t>
        </is>
      </c>
      <c r="B114" s="45" t="inlineStr">
        <is>
          <t>Vilvah &amp; Deyga</t>
        </is>
      </c>
      <c r="C114" s="45" t="inlineStr">
        <is>
          <t>Deyga</t>
        </is>
      </c>
      <c r="D114" s="45" t="inlineStr">
        <is>
          <t>Oat Milk Face Wash 100 ml</t>
        </is>
      </c>
      <c r="E114" s="45" t="inlineStr">
        <is>
          <t>100ml</t>
        </is>
      </c>
      <c r="F114" s="46" t="n">
        <v>12.99</v>
      </c>
      <c r="G114" s="45" t="inlineStr">
        <is>
          <t>face wash for dry skin</t>
        </is>
      </c>
      <c r="H114" s="47">
        <f>IFERROR(INDEX('Semrush Data'!$C$2:$C$5000,MATCH(G114,'Semrush Data'!$A$2:$A$5000,0)),"")</f>
        <v/>
      </c>
      <c r="I114" s="45">
        <f>IFERROR(INDEX('Semrush Data'!$D$2:$D$5000,MATCH(G114,'Semrush Data'!$A$2:$A$5000,0)),"")</f>
        <v/>
      </c>
      <c r="J114" s="45">
        <f>IF(OR(H114="",H114=0),"No volume",IF(I114&lt;=20,"Easier",IF(I114&lt;=35,"Medium","Hard")))</f>
        <v/>
      </c>
      <c r="K114" s="45" t="inlineStr">
        <is>
          <t>deyga</t>
        </is>
      </c>
      <c r="L114" s="47">
        <f>IF(K114="","",IFERROR(INDEX('Semrush Data'!$C$2:$C$5000,MATCH(K114,'Semrush Data'!$A$2:$A$5000,0)),""))</f>
        <v/>
      </c>
      <c r="M114" s="48" t="inlineStr">
        <is>
          <t>Deyga Oat Milk Face Wash</t>
        </is>
      </c>
      <c r="N114" s="45" t="inlineStr">
        <is>
          <t>Deyga Oat Milk Face Wash – Face Wash for Dry Skin | Swansura</t>
        </is>
      </c>
      <c r="O114" s="45">
        <f>LEN(N114)</f>
        <v/>
      </c>
      <c r="P114" s="49" t="inlineStr">
        <is>
          <t>Buy Deyga Oat Milk Face Wash, a natural face wash for dry skin from Deyga. Official UK partner: 100% authentic, shipped from the UK, free delivery over £50.</t>
        </is>
      </c>
      <c r="Q114" s="45">
        <f>LEN(P114)</f>
        <v/>
      </c>
      <c r="R114" s="49" t="inlineStr">
        <is>
          <t>Target keyword is shared with its collection page (/collections/face-wash-for-dry-skin)</t>
        </is>
      </c>
    </row>
    <row r="115" ht="23.25" customHeight="1" s="37">
      <c r="A115" s="45" t="inlineStr">
        <is>
          <t>VD-114</t>
        </is>
      </c>
      <c r="B115" s="45" t="inlineStr">
        <is>
          <t>Vilvah &amp; Deyga</t>
        </is>
      </c>
      <c r="C115" s="45" t="inlineStr">
        <is>
          <t>Deyga</t>
        </is>
      </c>
      <c r="D115" s="45" t="inlineStr">
        <is>
          <t>Almond Milk Body Lotion 100 ml</t>
        </is>
      </c>
      <c r="E115" s="45" t="inlineStr">
        <is>
          <t>100ml</t>
        </is>
      </c>
      <c r="F115" s="46" t="n">
        <v>14.99</v>
      </c>
      <c r="G115" s="45" t="inlineStr">
        <is>
          <t>body lotion for dry skin</t>
        </is>
      </c>
      <c r="H115" s="47">
        <f>IFERROR(INDEX('Semrush Data'!$C$2:$C$5000,MATCH(G115,'Semrush Data'!$A$2:$A$5000,0)),"")</f>
        <v/>
      </c>
      <c r="I115" s="45">
        <f>IFERROR(INDEX('Semrush Data'!$D$2:$D$5000,MATCH(G115,'Semrush Data'!$A$2:$A$5000,0)),"")</f>
        <v/>
      </c>
      <c r="J115" s="45">
        <f>IF(OR(H115="",H115=0),"No volume",IF(I115&lt;=20,"Easier",IF(I115&lt;=35,"Medium","Hard")))</f>
        <v/>
      </c>
      <c r="K115" s="45" t="inlineStr">
        <is>
          <t>deyga</t>
        </is>
      </c>
      <c r="L115" s="47">
        <f>IF(K115="","",IFERROR(INDEX('Semrush Data'!$C$2:$C$5000,MATCH(K115,'Semrush Data'!$A$2:$A$5000,0)),""))</f>
        <v/>
      </c>
      <c r="M115" s="48" t="inlineStr">
        <is>
          <t>Deyga Almond Milk Body Lotion</t>
        </is>
      </c>
      <c r="N115" s="45" t="inlineStr">
        <is>
          <t>Deyga Almond Milk Body Lotion | Body Lotion for Dry Skin</t>
        </is>
      </c>
      <c r="O115" s="45">
        <f>LEN(N115)</f>
        <v/>
      </c>
      <c r="P115" s="49" t="inlineStr">
        <is>
          <t>Deyga Almond Milk Body Lotion: a natural body lotion for dry skin from Deyga. Official UK partner: 100% authentic, shipped from the UK, free delivery over £50.</t>
        </is>
      </c>
      <c r="Q115" s="45">
        <f>LEN(P115)</f>
        <v/>
      </c>
      <c r="R115" s="49" t="inlineStr">
        <is>
          <t>Target keyword is shared with its collection page (/collections/body-lotion-for-dry-skin)</t>
        </is>
      </c>
    </row>
    <row r="116" ht="23.25" customHeight="1" s="37">
      <c r="A116" s="45" t="inlineStr">
        <is>
          <t>VD-115</t>
        </is>
      </c>
      <c r="B116" s="45" t="inlineStr">
        <is>
          <t>Vilvah &amp; Deyga</t>
        </is>
      </c>
      <c r="C116" s="45" t="inlineStr">
        <is>
          <t>Deyga</t>
        </is>
      </c>
      <c r="D116" s="45" t="inlineStr">
        <is>
          <t>Pure Rose Water Toner 100 ml</t>
        </is>
      </c>
      <c r="E116" s="45" t="inlineStr">
        <is>
          <t>100ml</t>
        </is>
      </c>
      <c r="F116" s="46" t="n">
        <v>11.99</v>
      </c>
      <c r="G116" s="45" t="inlineStr">
        <is>
          <t>toner for dry skin</t>
        </is>
      </c>
      <c r="H116" s="47">
        <f>IFERROR(INDEX('Semrush Data'!$C$2:$C$5000,MATCH(G116,'Semrush Data'!$A$2:$A$5000,0)),"")</f>
        <v/>
      </c>
      <c r="I116" s="45">
        <f>IFERROR(INDEX('Semrush Data'!$D$2:$D$5000,MATCH(G116,'Semrush Data'!$A$2:$A$5000,0)),"")</f>
        <v/>
      </c>
      <c r="J116" s="45">
        <f>IF(OR(H116="",H116=0),"No volume",IF(I116&lt;=20,"Easier",IF(I116&lt;=35,"Medium","Hard")))</f>
        <v/>
      </c>
      <c r="K116" s="45" t="inlineStr">
        <is>
          <t>deyga</t>
        </is>
      </c>
      <c r="L116" s="47">
        <f>IF(K116="","",IFERROR(INDEX('Semrush Data'!$C$2:$C$5000,MATCH(K116,'Semrush Data'!$A$2:$A$5000,0)),""))</f>
        <v/>
      </c>
      <c r="M116" s="48" t="inlineStr">
        <is>
          <t>Deyga Pure Rose Water Toner</t>
        </is>
      </c>
      <c r="N116" s="45" t="inlineStr">
        <is>
          <t>Deyga Pure Rose Water Toner – Toner for Dry Skin | Swansura</t>
        </is>
      </c>
      <c r="O116" s="45">
        <f>LEN(N116)</f>
        <v/>
      </c>
      <c r="P116" s="49" t="inlineStr">
        <is>
          <t>Buy Deyga Pure Rose Water Toner, a natural toner for dry skin from Deyga. Official UK partner: 100% authentic, shipped from the UK, free delivery over £50.</t>
        </is>
      </c>
      <c r="Q116" s="45">
        <f>LEN(P116)</f>
        <v/>
      </c>
      <c r="R116" s="49" t="inlineStr">
        <is>
          <t>Target keyword is shared with its collection page (/collections/toner-for-dry-skin)</t>
        </is>
      </c>
    </row>
    <row r="117" ht="45.75" customHeight="1" s="37">
      <c r="A117" s="45" t="inlineStr">
        <is>
          <t>VD-116</t>
        </is>
      </c>
      <c r="B117" s="45" t="inlineStr">
        <is>
          <t>Vilvah &amp; Deyga</t>
        </is>
      </c>
      <c r="C117" s="45" t="inlineStr">
        <is>
          <t>Deyga</t>
        </is>
      </c>
      <c r="D117" s="45" t="inlineStr">
        <is>
          <t>Rose &amp; Mulethi Skin Brightening Pack 50 g</t>
        </is>
      </c>
      <c r="E117" s="45" t="inlineStr">
        <is>
          <t>50g</t>
        </is>
      </c>
      <c r="F117" s="46" t="n">
        <v>15.99</v>
      </c>
      <c r="G117" s="45" t="inlineStr">
        <is>
          <t>skincare for dull skin</t>
        </is>
      </c>
      <c r="H117" s="47">
        <f>IFERROR(INDEX('Semrush Data'!$C$2:$C$5000,MATCH(G117,'Semrush Data'!$A$2:$A$5000,0)),"")</f>
        <v/>
      </c>
      <c r="I117" s="45">
        <f>IFERROR(INDEX('Semrush Data'!$D$2:$D$5000,MATCH(G117,'Semrush Data'!$A$2:$A$5000,0)),"")</f>
        <v/>
      </c>
      <c r="J117" s="45">
        <f>IF(OR(H117="",H117=0),"No volume",IF(I117&lt;=20,"Easier",IF(I117&lt;=35,"Medium","Hard")))</f>
        <v/>
      </c>
      <c r="K117" s="45" t="inlineStr">
        <is>
          <t>deyga</t>
        </is>
      </c>
      <c r="L117" s="47">
        <f>IF(K117="","",IFERROR(INDEX('Semrush Data'!$C$2:$C$5000,MATCH(K117,'Semrush Data'!$A$2:$A$5000,0)),""))</f>
        <v/>
      </c>
      <c r="M117" s="48" t="inlineStr">
        <is>
          <t>Deyga Rose &amp; Mulethi Skin Brightening Pack</t>
        </is>
      </c>
      <c r="N117" s="45" t="inlineStr">
        <is>
          <t>Deyga Rose &amp; Mulethi Skin Brightening Pack | Swansura UK</t>
        </is>
      </c>
      <c r="O117" s="45">
        <f>LEN(N117)</f>
        <v/>
      </c>
      <c r="P117" s="49" t="inlineStr">
        <is>
          <t>Buy Deyga Rose &amp; Mulethi Skin Brightening Pack, natural skincare for dull skin from Deyga. Official UK partner, 100% authentic, free UK delivery over £50.</t>
        </is>
      </c>
      <c r="Q117" s="45">
        <f>LEN(P117)</f>
        <v/>
      </c>
      <c r="R117" s="49" t="inlineStr">
        <is>
          <t>Target keyword is shared with its collection page (/collections/dull-skin); Duplicate listing (same name/size): check the sheet; Size variants: merge as variants of one product</t>
        </is>
      </c>
    </row>
    <row r="118" ht="23.25" customHeight="1" s="37">
      <c r="A118" s="45" t="inlineStr">
        <is>
          <t>VD-117</t>
        </is>
      </c>
      <c r="B118" s="45" t="inlineStr">
        <is>
          <t>Vilvah &amp; Deyga</t>
        </is>
      </c>
      <c r="C118" s="45" t="inlineStr">
        <is>
          <t>Deyga</t>
        </is>
      </c>
      <c r="D118" s="45" t="inlineStr">
        <is>
          <t>Beetroot Lip Balm Stick 5.5 g</t>
        </is>
      </c>
      <c r="E118" s="45" t="inlineStr">
        <is>
          <t>5.5g</t>
        </is>
      </c>
      <c r="F118" s="46" t="n">
        <v>26.99</v>
      </c>
      <c r="G118" s="45" t="inlineStr">
        <is>
          <t>lip balm for dry lips</t>
        </is>
      </c>
      <c r="H118" s="47">
        <f>IFERROR(INDEX('Semrush Data'!$C$2:$C$5000,MATCH(G118,'Semrush Data'!$A$2:$A$5000,0)),"")</f>
        <v/>
      </c>
      <c r="I118" s="45">
        <f>IFERROR(INDEX('Semrush Data'!$D$2:$D$5000,MATCH(G118,'Semrush Data'!$A$2:$A$5000,0)),"")</f>
        <v/>
      </c>
      <c r="J118" s="45">
        <f>IF(OR(H118="",H118=0),"No volume",IF(I118&lt;=20,"Easier",IF(I118&lt;=35,"Medium","Hard")))</f>
        <v/>
      </c>
      <c r="K118" s="45" t="inlineStr">
        <is>
          <t>deyga</t>
        </is>
      </c>
      <c r="L118" s="47">
        <f>IF(K118="","",IFERROR(INDEX('Semrush Data'!$C$2:$C$5000,MATCH(K118,'Semrush Data'!$A$2:$A$5000,0)),""))</f>
        <v/>
      </c>
      <c r="M118" s="48" t="inlineStr">
        <is>
          <t>Deyga Beetroot Lip Balm Stick</t>
        </is>
      </c>
      <c r="N118" s="45" t="inlineStr">
        <is>
          <t>Deyga Beetroot Lip Balm Stick | Lip Balm for Dry Lips</t>
        </is>
      </c>
      <c r="O118" s="45">
        <f>LEN(N118)</f>
        <v/>
      </c>
      <c r="P118" s="49" t="inlineStr">
        <is>
          <t>Buy Deyga Beetroot Lip Balm Stick, a natural lip balm for dry lips from Deyga. Official UK partner: 100% authentic, shipped from the UK, free delivery over £50.</t>
        </is>
      </c>
      <c r="Q118" s="45">
        <f>LEN(P118)</f>
        <v/>
      </c>
      <c r="R118" s="49" t="inlineStr">
        <is>
          <t>Target keyword is shared with its collection page (/collections/lip-balm-for-dry-lips)</t>
        </is>
      </c>
    </row>
    <row r="119" ht="23.25" customHeight="1" s="37">
      <c r="A119" s="45" t="inlineStr">
        <is>
          <t>VD-118</t>
        </is>
      </c>
      <c r="B119" s="45" t="inlineStr">
        <is>
          <t>Vilvah &amp; Deyga</t>
        </is>
      </c>
      <c r="C119" s="45" t="inlineStr">
        <is>
          <t>Deyga</t>
        </is>
      </c>
      <c r="D119" s="45" t="inlineStr">
        <is>
          <t>Face &amp; Body Exfoliator Powder 50 g</t>
        </is>
      </c>
      <c r="E119" s="45" t="inlineStr">
        <is>
          <t>50g</t>
        </is>
      </c>
      <c r="F119" s="46" t="n">
        <v>15.99</v>
      </c>
      <c r="G119" s="45" t="inlineStr">
        <is>
          <t>body lotion for dry skin</t>
        </is>
      </c>
      <c r="H119" s="47">
        <f>IFERROR(INDEX('Semrush Data'!$C$2:$C$5000,MATCH(G119,'Semrush Data'!$A$2:$A$5000,0)),"")</f>
        <v/>
      </c>
      <c r="I119" s="45">
        <f>IFERROR(INDEX('Semrush Data'!$D$2:$D$5000,MATCH(G119,'Semrush Data'!$A$2:$A$5000,0)),"")</f>
        <v/>
      </c>
      <c r="J119" s="45">
        <f>IF(OR(H119="",H119=0),"No volume",IF(I119&lt;=20,"Easier",IF(I119&lt;=35,"Medium","Hard")))</f>
        <v/>
      </c>
      <c r="K119" s="45" t="inlineStr">
        <is>
          <t>deyga</t>
        </is>
      </c>
      <c r="L119" s="47">
        <f>IF(K119="","",IFERROR(INDEX('Semrush Data'!$C$2:$C$5000,MATCH(K119,'Semrush Data'!$A$2:$A$5000,0)),""))</f>
        <v/>
      </c>
      <c r="M119" s="48" t="inlineStr">
        <is>
          <t>Deyga Face &amp; Body Exfoliator Powder</t>
        </is>
      </c>
      <c r="N119" s="45" t="inlineStr">
        <is>
          <t>Deyga Face &amp; Body Exfoliator Powder | Deyga UK | Swansura</t>
        </is>
      </c>
      <c r="O119" s="45">
        <f>LEN(N119)</f>
        <v/>
      </c>
      <c r="P119" s="49" t="inlineStr">
        <is>
          <t>Buy Deyga Face &amp; Body Exfoliator Powder, a natural body lotion for dry skin from Deyga. Official UK partner, 100% authentic, free UK delivery over £50.</t>
        </is>
      </c>
      <c r="Q119" s="45">
        <f>LEN(P119)</f>
        <v/>
      </c>
      <c r="R119" s="49" t="inlineStr">
        <is>
          <t>Target keyword is shared with its collection page (/collections/body-lotion-for-dry-skin)</t>
        </is>
      </c>
    </row>
    <row r="120" ht="45.75" customHeight="1" s="37">
      <c r="A120" s="45" t="inlineStr">
        <is>
          <t>VD-119</t>
        </is>
      </c>
      <c r="B120" s="45" t="inlineStr">
        <is>
          <t>Vilvah &amp; Deyga</t>
        </is>
      </c>
      <c r="C120" s="45" t="inlineStr">
        <is>
          <t>Deyga</t>
        </is>
      </c>
      <c r="D120" s="45" t="inlineStr">
        <is>
          <t>Rose &amp; Mulethi Skin Brightening Pack</t>
        </is>
      </c>
      <c r="E120" s="45" t="inlineStr">
        <is>
          <t>50g</t>
        </is>
      </c>
      <c r="F120" s="46" t="n">
        <v>21.99</v>
      </c>
      <c r="G120" s="45" t="inlineStr">
        <is>
          <t>skincare for dull skin</t>
        </is>
      </c>
      <c r="H120" s="47">
        <f>IFERROR(INDEX('Semrush Data'!$C$2:$C$5000,MATCH(G120,'Semrush Data'!$A$2:$A$5000,0)),"")</f>
        <v/>
      </c>
      <c r="I120" s="45">
        <f>IFERROR(INDEX('Semrush Data'!$D$2:$D$5000,MATCH(G120,'Semrush Data'!$A$2:$A$5000,0)),"")</f>
        <v/>
      </c>
      <c r="J120" s="45">
        <f>IF(OR(H120="",H120=0),"No volume",IF(I120&lt;=20,"Easier",IF(I120&lt;=35,"Medium","Hard")))</f>
        <v/>
      </c>
      <c r="K120" s="45" t="inlineStr">
        <is>
          <t>deyga</t>
        </is>
      </c>
      <c r="L120" s="47">
        <f>IF(K120="","",IFERROR(INDEX('Semrush Data'!$C$2:$C$5000,MATCH(K120,'Semrush Data'!$A$2:$A$5000,0)),""))</f>
        <v/>
      </c>
      <c r="M120" s="48" t="inlineStr">
        <is>
          <t>Deyga Rose &amp; Mulethi Skin Brightening Pack</t>
        </is>
      </c>
      <c r="N120" s="45" t="inlineStr">
        <is>
          <t>Deyga Rose &amp; Mulethi Skin Brightening Pack | Swansura UK</t>
        </is>
      </c>
      <c r="O120" s="45">
        <f>LEN(N120)</f>
        <v/>
      </c>
      <c r="P120" s="49" t="inlineStr">
        <is>
          <t>Buy Deyga Rose &amp; Mulethi Skin Brightening Pack, natural skincare for dull skin from Deyga. Official UK partner, 100% authentic, free UK delivery over £50.</t>
        </is>
      </c>
      <c r="Q120" s="45">
        <f>LEN(P120)</f>
        <v/>
      </c>
      <c r="R120" s="49" t="inlineStr">
        <is>
          <t>Target keyword is shared with its collection page (/collections/dull-skin); Duplicate listing (same name/size): check the sheet; Size variants: merge as variants of one product</t>
        </is>
      </c>
    </row>
    <row r="121" ht="23.25" customHeight="1" s="37">
      <c r="A121" s="45" t="inlineStr">
        <is>
          <t>VD-120</t>
        </is>
      </c>
      <c r="B121" s="45" t="inlineStr">
        <is>
          <t>Vilvah &amp; Deyga</t>
        </is>
      </c>
      <c r="C121" s="45" t="inlineStr">
        <is>
          <t>Deyga</t>
        </is>
      </c>
      <c r="D121" s="45" t="inlineStr">
        <is>
          <t>Beautifying Serum 30 ml</t>
        </is>
      </c>
      <c r="E121" s="45" t="inlineStr">
        <is>
          <t>30ml</t>
        </is>
      </c>
      <c r="F121" s="46" t="n">
        <v>17.99</v>
      </c>
      <c r="G121" s="45" t="inlineStr">
        <is>
          <t>skincare for dull skin</t>
        </is>
      </c>
      <c r="H121" s="47">
        <f>IFERROR(INDEX('Semrush Data'!$C$2:$C$5000,MATCH(G121,'Semrush Data'!$A$2:$A$5000,0)),"")</f>
        <v/>
      </c>
      <c r="I121" s="45">
        <f>IFERROR(INDEX('Semrush Data'!$D$2:$D$5000,MATCH(G121,'Semrush Data'!$A$2:$A$5000,0)),"")</f>
        <v/>
      </c>
      <c r="J121" s="45">
        <f>IF(OR(H121="",H121=0),"No volume",IF(I121&lt;=20,"Easier",IF(I121&lt;=35,"Medium","Hard")))</f>
        <v/>
      </c>
      <c r="K121" s="45" t="inlineStr">
        <is>
          <t>deyga</t>
        </is>
      </c>
      <c r="L121" s="47">
        <f>IF(K121="","",IFERROR(INDEX('Semrush Data'!$C$2:$C$5000,MATCH(K121,'Semrush Data'!$A$2:$A$5000,0)),""))</f>
        <v/>
      </c>
      <c r="M121" s="48" t="inlineStr">
        <is>
          <t>Deyga Beautifying Serum</t>
        </is>
      </c>
      <c r="N121" s="45" t="inlineStr">
        <is>
          <t>Deyga Beautifying Serum – Skincare for Dull Skin | Swansura</t>
        </is>
      </c>
      <c r="O121" s="45">
        <f>LEN(N121)</f>
        <v/>
      </c>
      <c r="P121" s="49" t="inlineStr">
        <is>
          <t>Buy Deyga Beautifying Serum, natural skincare for dull skin from Deyga. Official UK partner: 100% authentic, shipped from the UK, free delivery over £50.</t>
        </is>
      </c>
      <c r="Q121" s="45">
        <f>LEN(P121)</f>
        <v/>
      </c>
      <c r="R121" s="49" t="inlineStr">
        <is>
          <t>Target keyword is shared with its collection page (/collections/dull-skin)</t>
        </is>
      </c>
    </row>
    <row r="122" ht="23.25" customHeight="1" s="37">
      <c r="A122" s="45" t="inlineStr">
        <is>
          <t>VD-121</t>
        </is>
      </c>
      <c r="B122" s="45" t="inlineStr">
        <is>
          <t>Vilvah &amp; Deyga</t>
        </is>
      </c>
      <c r="C122" s="45" t="inlineStr">
        <is>
          <t>Deyga</t>
        </is>
      </c>
      <c r="D122" s="45" t="inlineStr">
        <is>
          <t>Charcoal Bath Bar 130 g</t>
        </is>
      </c>
      <c r="E122" s="45" t="inlineStr">
        <is>
          <t>130g</t>
        </is>
      </c>
      <c r="F122" s="46" t="n">
        <v>10.99</v>
      </c>
      <c r="G122" s="45" t="inlineStr">
        <is>
          <t>body lotion for dry skin</t>
        </is>
      </c>
      <c r="H122" s="47">
        <f>IFERROR(INDEX('Semrush Data'!$C$2:$C$5000,MATCH(G122,'Semrush Data'!$A$2:$A$5000,0)),"")</f>
        <v/>
      </c>
      <c r="I122" s="45">
        <f>IFERROR(INDEX('Semrush Data'!$D$2:$D$5000,MATCH(G122,'Semrush Data'!$A$2:$A$5000,0)),"")</f>
        <v/>
      </c>
      <c r="J122" s="45">
        <f>IF(OR(H122="",H122=0),"No volume",IF(I122&lt;=20,"Easier",IF(I122&lt;=35,"Medium","Hard")))</f>
        <v/>
      </c>
      <c r="K122" s="45" t="inlineStr">
        <is>
          <t>deyga</t>
        </is>
      </c>
      <c r="L122" s="47">
        <f>IF(K122="","",IFERROR(INDEX('Semrush Data'!$C$2:$C$5000,MATCH(K122,'Semrush Data'!$A$2:$A$5000,0)),""))</f>
        <v/>
      </c>
      <c r="M122" s="48" t="inlineStr">
        <is>
          <t>Deyga Charcoal Bath Bar</t>
        </is>
      </c>
      <c r="N122" s="45" t="inlineStr">
        <is>
          <t>Deyga Charcoal Bath Bar | Body Lotion for Dry Skin</t>
        </is>
      </c>
      <c r="O122" s="45">
        <f>LEN(N122)</f>
        <v/>
      </c>
      <c r="P122" s="49" t="inlineStr">
        <is>
          <t>Buy Deyga Charcoal Bath Bar, a natural body lotion for dry skin from Deyga. Official UK partner: 100% authentic, shipped from the UK, free delivery over £50.</t>
        </is>
      </c>
      <c r="Q122" s="45">
        <f>LEN(P122)</f>
        <v/>
      </c>
      <c r="R122" s="49" t="inlineStr">
        <is>
          <t>Target keyword is shared with its collection page (/collections/body-lotion-for-dry-skin)</t>
        </is>
      </c>
    </row>
    <row r="123" ht="23.25" customHeight="1" s="37">
      <c r="A123" s="45" t="inlineStr">
        <is>
          <t>VD-122</t>
        </is>
      </c>
      <c r="B123" s="45" t="inlineStr">
        <is>
          <t>Vilvah &amp; Deyga</t>
        </is>
      </c>
      <c r="C123" s="45" t="inlineStr">
        <is>
          <t>Deyga</t>
        </is>
      </c>
      <c r="D123" s="45" t="inlineStr">
        <is>
          <t>Hair Growth Oil 100 ml</t>
        </is>
      </c>
      <c r="E123" s="45" t="inlineStr">
        <is>
          <t>100ml</t>
        </is>
      </c>
      <c r="F123" s="46" t="n">
        <v>14.99</v>
      </c>
      <c r="G123" s="45" t="inlineStr">
        <is>
          <t>hair growth oil</t>
        </is>
      </c>
      <c r="H123" s="47">
        <f>IFERROR(INDEX('Semrush Data'!$C$2:$C$5000,MATCH(G123,'Semrush Data'!$A$2:$A$5000,0)),"")</f>
        <v/>
      </c>
      <c r="I123" s="45">
        <f>IFERROR(INDEX('Semrush Data'!$D$2:$D$5000,MATCH(G123,'Semrush Data'!$A$2:$A$5000,0)),"")</f>
        <v/>
      </c>
      <c r="J123" s="45">
        <f>IF(OR(H123="",H123=0),"No volume",IF(I123&lt;=20,"Easier",IF(I123&lt;=35,"Medium","Hard")))</f>
        <v/>
      </c>
      <c r="K123" s="45" t="inlineStr">
        <is>
          <t>deyga</t>
        </is>
      </c>
      <c r="L123" s="47">
        <f>IF(K123="","",IFERROR(INDEX('Semrush Data'!$C$2:$C$5000,MATCH(K123,'Semrush Data'!$A$2:$A$5000,0)),""))</f>
        <v/>
      </c>
      <c r="M123" s="48" t="inlineStr">
        <is>
          <t>Deyga Hair Growth Oil</t>
        </is>
      </c>
      <c r="N123" s="45" t="inlineStr">
        <is>
          <t>Deyga Hair Growth Oil | Buy Online UK | Swansura</t>
        </is>
      </c>
      <c r="O123" s="45">
        <f>LEN(N123)</f>
        <v/>
      </c>
      <c r="P123" s="49" t="inlineStr">
        <is>
          <t>Buy Deyga Hair Growth Oil, a natural hair growth oil from Deyga. Official UK partner: 100% authentic, shipped from the UK, free delivery over £50.</t>
        </is>
      </c>
      <c r="Q123" s="45">
        <f>LEN(P123)</f>
        <v/>
      </c>
      <c r="R123" s="49" t="inlineStr">
        <is>
          <t>Target keyword is shared with its collection page (/collections/hair-growth-oil)</t>
        </is>
      </c>
    </row>
    <row r="124" ht="23.25" customHeight="1" s="37">
      <c r="A124" s="45" t="inlineStr">
        <is>
          <t>VD-123</t>
        </is>
      </c>
      <c r="B124" s="45" t="inlineStr">
        <is>
          <t>Vilvah &amp; Deyga</t>
        </is>
      </c>
      <c r="C124" s="45" t="inlineStr">
        <is>
          <t>Deyga</t>
        </is>
      </c>
      <c r="D124" s="45" t="inlineStr">
        <is>
          <t>Charcoal Face Wash 100ml</t>
        </is>
      </c>
      <c r="E124" s="45" t="inlineStr">
        <is>
          <t>100ml</t>
        </is>
      </c>
      <c r="F124" s="46" t="n">
        <v>25.99</v>
      </c>
      <c r="G124" s="45" t="inlineStr">
        <is>
          <t>face wash for oily skin</t>
        </is>
      </c>
      <c r="H124" s="47">
        <f>IFERROR(INDEX('Semrush Data'!$C$2:$C$5000,MATCH(G124,'Semrush Data'!$A$2:$A$5000,0)),"")</f>
        <v/>
      </c>
      <c r="I124" s="45">
        <f>IFERROR(INDEX('Semrush Data'!$D$2:$D$5000,MATCH(G124,'Semrush Data'!$A$2:$A$5000,0)),"")</f>
        <v/>
      </c>
      <c r="J124" s="45">
        <f>IF(OR(H124="",H124=0),"No volume",IF(I124&lt;=20,"Easier",IF(I124&lt;=35,"Medium","Hard")))</f>
        <v/>
      </c>
      <c r="K124" s="45" t="inlineStr">
        <is>
          <t>deyga</t>
        </is>
      </c>
      <c r="L124" s="47">
        <f>IF(K124="","",IFERROR(INDEX('Semrush Data'!$C$2:$C$5000,MATCH(K124,'Semrush Data'!$A$2:$A$5000,0)),""))</f>
        <v/>
      </c>
      <c r="M124" s="48" t="inlineStr">
        <is>
          <t>Deyga Charcoal Face Wash</t>
        </is>
      </c>
      <c r="N124" s="45" t="inlineStr">
        <is>
          <t>Deyga Charcoal Face Wash | Face Wash for Oily Skin</t>
        </is>
      </c>
      <c r="O124" s="45">
        <f>LEN(N124)</f>
        <v/>
      </c>
      <c r="P124" s="49" t="inlineStr">
        <is>
          <t>Buy Deyga Charcoal Face Wash, a natural face wash for oily skin from Deyga. Official UK partner: 100% authentic, shipped from the UK, free delivery over £50.</t>
        </is>
      </c>
      <c r="Q124" s="45">
        <f>LEN(P124)</f>
        <v/>
      </c>
      <c r="R124" s="49" t="inlineStr">
        <is>
          <t>Target keyword is shared with its collection page (/collections/face-wash-for-oily-skin)</t>
        </is>
      </c>
    </row>
    <row r="125" ht="23.25" customHeight="1" s="37">
      <c r="A125" s="45" t="inlineStr">
        <is>
          <t>VD-124</t>
        </is>
      </c>
      <c r="B125" s="45" t="inlineStr">
        <is>
          <t>Vilvah &amp; Deyga</t>
        </is>
      </c>
      <c r="C125" s="45" t="inlineStr">
        <is>
          <t>Deyga</t>
        </is>
      </c>
      <c r="D125" s="45" t="inlineStr">
        <is>
          <t>Pure Aloe Vera Gel 100 g</t>
        </is>
      </c>
      <c r="E125" s="45" t="inlineStr">
        <is>
          <t>100g</t>
        </is>
      </c>
      <c r="F125" s="46" t="n">
        <v>22.99</v>
      </c>
      <c r="G125" s="45" t="inlineStr">
        <is>
          <t>aloe vera gel</t>
        </is>
      </c>
      <c r="H125" s="47">
        <f>IFERROR(INDEX('Semrush Data'!$C$2:$C$5000,MATCH(G125,'Semrush Data'!$A$2:$A$5000,0)),"")</f>
        <v/>
      </c>
      <c r="I125" s="45">
        <f>IFERROR(INDEX('Semrush Data'!$D$2:$D$5000,MATCH(G125,'Semrush Data'!$A$2:$A$5000,0)),"")</f>
        <v/>
      </c>
      <c r="J125" s="45">
        <f>IF(OR(H125="",H125=0),"No volume",IF(I125&lt;=20,"Easier",IF(I125&lt;=35,"Medium","Hard")))</f>
        <v/>
      </c>
      <c r="K125" s="45" t="inlineStr">
        <is>
          <t>deyga</t>
        </is>
      </c>
      <c r="L125" s="47">
        <f>IF(K125="","",IFERROR(INDEX('Semrush Data'!$C$2:$C$5000,MATCH(K125,'Semrush Data'!$A$2:$A$5000,0)),""))</f>
        <v/>
      </c>
      <c r="M125" s="48" t="inlineStr">
        <is>
          <t>Deyga Pure Aloe Vera Gel</t>
        </is>
      </c>
      <c r="N125" s="45" t="inlineStr">
        <is>
          <t>Deyga Pure Aloe Vera Gel | Buy Online UK | Swansura</t>
        </is>
      </c>
      <c r="O125" s="45">
        <f>LEN(N125)</f>
        <v/>
      </c>
      <c r="P125" s="49" t="inlineStr">
        <is>
          <t>Buy Deyga Pure Aloe Vera Gel, a natural aloe vera gel from Deyga. Official UK partner: 100% authentic, shipped from the UK, free delivery over £50.</t>
        </is>
      </c>
      <c r="Q125" s="45">
        <f>LEN(P125)</f>
        <v/>
      </c>
      <c r="R125" s="49" t="inlineStr">
        <is>
          <t>Target keyword is shared with its collection page (/collections/moisturiser-for-dry-skin)</t>
        </is>
      </c>
    </row>
    <row r="126" ht="23.25" customHeight="1" s="37">
      <c r="A126" s="45" t="inlineStr">
        <is>
          <t>VD-125</t>
        </is>
      </c>
      <c r="B126" s="45" t="inlineStr">
        <is>
          <t>Vilvah &amp; Deyga</t>
        </is>
      </c>
      <c r="C126" s="45" t="inlineStr">
        <is>
          <t>Deyga</t>
        </is>
      </c>
      <c r="D126" s="45" t="inlineStr">
        <is>
          <t>Plant Based Hair Color – Black</t>
        </is>
      </c>
      <c r="E126" s="45" t="inlineStr">
        <is>
          <t>Pack of 1</t>
        </is>
      </c>
      <c r="F126" s="46" t="n">
        <v>16.99</v>
      </c>
      <c r="G126" s="45" t="inlineStr">
        <is>
          <t>hair mask for dry hair</t>
        </is>
      </c>
      <c r="H126" s="47">
        <f>IFERROR(INDEX('Semrush Data'!$C$2:$C$5000,MATCH(G126,'Semrush Data'!$A$2:$A$5000,0)),"")</f>
        <v/>
      </c>
      <c r="I126" s="45">
        <f>IFERROR(INDEX('Semrush Data'!$D$2:$D$5000,MATCH(G126,'Semrush Data'!$A$2:$A$5000,0)),"")</f>
        <v/>
      </c>
      <c r="J126" s="45">
        <f>IF(OR(H126="",H126=0),"No volume",IF(I126&lt;=20,"Easier",IF(I126&lt;=35,"Medium","Hard")))</f>
        <v/>
      </c>
      <c r="K126" s="45" t="inlineStr">
        <is>
          <t>deyga</t>
        </is>
      </c>
      <c r="L126" s="47">
        <f>IF(K126="","",IFERROR(INDEX('Semrush Data'!$C$2:$C$5000,MATCH(K126,'Semrush Data'!$A$2:$A$5000,0)),""))</f>
        <v/>
      </c>
      <c r="M126" s="48" t="inlineStr">
        <is>
          <t>Deyga Plant Based Hair Color</t>
        </is>
      </c>
      <c r="N126" s="45" t="inlineStr">
        <is>
          <t>Deyga Plant Based Hair Color | Hair Mask for Dry Hair</t>
        </is>
      </c>
      <c r="O126" s="45">
        <f>LEN(N126)</f>
        <v/>
      </c>
      <c r="P126" s="49" t="inlineStr">
        <is>
          <t>Buy Deyga Plant Based Hair Color, a natural hair mask for dry hair from Deyga. Official UK partner: 100% authentic, shipped from the UK, free delivery over £50.</t>
        </is>
      </c>
      <c r="Q126" s="45">
        <f>LEN(P126)</f>
        <v/>
      </c>
      <c r="R126" s="49" t="inlineStr">
        <is>
          <t>Target keyword is shared with its collection page (/collections/hair-mask-for-dry-hair)</t>
        </is>
      </c>
    </row>
    <row r="127" ht="23.25" customHeight="1" s="37">
      <c r="A127" s="45" t="inlineStr">
        <is>
          <t>VD-126</t>
        </is>
      </c>
      <c r="B127" s="45" t="inlineStr">
        <is>
          <t>Vilvah &amp; Deyga</t>
        </is>
      </c>
      <c r="C127" s="45" t="inlineStr">
        <is>
          <t>Deyga</t>
        </is>
      </c>
      <c r="D127" s="45" t="inlineStr">
        <is>
          <t>Rice Water Shampoo</t>
        </is>
      </c>
      <c r="E127" s="45" t="inlineStr">
        <is>
          <t>220ml</t>
        </is>
      </c>
      <c r="F127" s="46" t="n">
        <v>13.99</v>
      </c>
      <c r="G127" s="45" t="inlineStr">
        <is>
          <t>natural shampoo</t>
        </is>
      </c>
      <c r="H127" s="47">
        <f>IFERROR(INDEX('Semrush Data'!$C$2:$C$5000,MATCH(G127,'Semrush Data'!$A$2:$A$5000,0)),"")</f>
        <v/>
      </c>
      <c r="I127" s="45">
        <f>IFERROR(INDEX('Semrush Data'!$D$2:$D$5000,MATCH(G127,'Semrush Data'!$A$2:$A$5000,0)),"")</f>
        <v/>
      </c>
      <c r="J127" s="45">
        <f>IF(OR(H127="",H127=0),"No volume",IF(I127&lt;=20,"Easier",IF(I127&lt;=35,"Medium","Hard")))</f>
        <v/>
      </c>
      <c r="K127" s="45" t="inlineStr">
        <is>
          <t>deyga</t>
        </is>
      </c>
      <c r="L127" s="47">
        <f>IF(K127="","",IFERROR(INDEX('Semrush Data'!$C$2:$C$5000,MATCH(K127,'Semrush Data'!$A$2:$A$5000,0)),""))</f>
        <v/>
      </c>
      <c r="M127" s="48" t="inlineStr">
        <is>
          <t>Deyga Rice Water Shampoo</t>
        </is>
      </c>
      <c r="N127" s="45" t="inlineStr">
        <is>
          <t>Deyga Rice Water Shampoo | Buy Online UK | Swansura</t>
        </is>
      </c>
      <c r="O127" s="45">
        <f>LEN(N127)</f>
        <v/>
      </c>
      <c r="P127" s="49" t="inlineStr">
        <is>
          <t>Deyga Rice Water Shampoo: a natural shampoo from Deyga. Formulated with rice water extract to enhance hair texture and manageability. Free UK delivery over £50.</t>
        </is>
      </c>
      <c r="Q127" s="45">
        <f>LEN(P127)</f>
        <v/>
      </c>
      <c r="R127" s="49" t="inlineStr">
        <is>
          <t>Target keyword is shared with its collection page (/collections/natural-shampoo)</t>
        </is>
      </c>
    </row>
    <row r="128" ht="23.25" customHeight="1" s="37">
      <c r="A128" s="45" t="inlineStr">
        <is>
          <t>VD-127</t>
        </is>
      </c>
      <c r="B128" s="45" t="inlineStr">
        <is>
          <t>Vilvah &amp; Deyga</t>
        </is>
      </c>
      <c r="C128" s="45" t="inlineStr">
        <is>
          <t>Deyga</t>
        </is>
      </c>
      <c r="D128" s="45" t="inlineStr">
        <is>
          <t>Soy Milk Conditioner</t>
        </is>
      </c>
      <c r="E128" s="45" t="inlineStr">
        <is>
          <t>220ml</t>
        </is>
      </c>
      <c r="F128" s="46" t="n">
        <v>14.99</v>
      </c>
      <c r="G128" s="45" t="inlineStr">
        <is>
          <t>hair mask for dry hair</t>
        </is>
      </c>
      <c r="H128" s="47">
        <f>IFERROR(INDEX('Semrush Data'!$C$2:$C$5000,MATCH(G128,'Semrush Data'!$A$2:$A$5000,0)),"")</f>
        <v/>
      </c>
      <c r="I128" s="45">
        <f>IFERROR(INDEX('Semrush Data'!$D$2:$D$5000,MATCH(G128,'Semrush Data'!$A$2:$A$5000,0)),"")</f>
        <v/>
      </c>
      <c r="J128" s="45">
        <f>IF(OR(H128="",H128=0),"No volume",IF(I128&lt;=20,"Easier",IF(I128&lt;=35,"Medium","Hard")))</f>
        <v/>
      </c>
      <c r="K128" s="45" t="inlineStr">
        <is>
          <t>deyga</t>
        </is>
      </c>
      <c r="L128" s="47">
        <f>IF(K128="","",IFERROR(INDEX('Semrush Data'!$C$2:$C$5000,MATCH(K128,'Semrush Data'!$A$2:$A$5000,0)),""))</f>
        <v/>
      </c>
      <c r="M128" s="48" t="inlineStr">
        <is>
          <t>Deyga Soy Milk Conditioner</t>
        </is>
      </c>
      <c r="N128" s="45" t="inlineStr">
        <is>
          <t>Deyga Soy Milk Conditioner | Hair Mask for Dry Hair</t>
        </is>
      </c>
      <c r="O128" s="45">
        <f>LEN(N128)</f>
        <v/>
      </c>
      <c r="P128" s="49" t="inlineStr">
        <is>
          <t>Buy Deyga Soy Milk Conditioner, a natural hair mask for dry hair from Deyga. Official UK partner: 100% authentic, shipped from the UK, free delivery over £50.</t>
        </is>
      </c>
      <c r="Q128" s="45">
        <f>LEN(P128)</f>
        <v/>
      </c>
      <c r="R128" s="49" t="inlineStr">
        <is>
          <t>Target keyword is shared with its collection page (/collections/hair-mask-for-dry-hair)</t>
        </is>
      </c>
    </row>
    <row r="129" ht="23.25" customHeight="1" s="37">
      <c r="A129" s="45" t="inlineStr">
        <is>
          <t>VD-128</t>
        </is>
      </c>
      <c r="B129" s="45" t="inlineStr">
        <is>
          <t>Vilvah &amp; Deyga</t>
        </is>
      </c>
      <c r="C129" s="45" t="inlineStr">
        <is>
          <t>Deyga</t>
        </is>
      </c>
      <c r="D129" s="45" t="inlineStr">
        <is>
          <t>Foot Butter 40 g</t>
        </is>
      </c>
      <c r="E129" s="45" t="inlineStr">
        <is>
          <t>40g</t>
        </is>
      </c>
      <c r="F129" s="46" t="n">
        <v>12.99</v>
      </c>
      <c r="G129" s="45" t="inlineStr">
        <is>
          <t>body butter</t>
        </is>
      </c>
      <c r="H129" s="47">
        <f>IFERROR(INDEX('Semrush Data'!$C$2:$C$5000,MATCH(G129,'Semrush Data'!$A$2:$A$5000,0)),"")</f>
        <v/>
      </c>
      <c r="I129" s="45">
        <f>IFERROR(INDEX('Semrush Data'!$D$2:$D$5000,MATCH(G129,'Semrush Data'!$A$2:$A$5000,0)),"")</f>
        <v/>
      </c>
      <c r="J129" s="45">
        <f>IF(OR(H129="",H129=0),"No volume",IF(I129&lt;=20,"Easier",IF(I129&lt;=35,"Medium","Hard")))</f>
        <v/>
      </c>
      <c r="K129" s="45" t="inlineStr">
        <is>
          <t>deyga</t>
        </is>
      </c>
      <c r="L129" s="47">
        <f>IF(K129="","",IFERROR(INDEX('Semrush Data'!$C$2:$C$5000,MATCH(K129,'Semrush Data'!$A$2:$A$5000,0)),""))</f>
        <v/>
      </c>
      <c r="M129" s="48" t="inlineStr">
        <is>
          <t>Deyga Foot Butter</t>
        </is>
      </c>
      <c r="N129" s="45" t="inlineStr">
        <is>
          <t>Deyga Foot Butter | Body Butter</t>
        </is>
      </c>
      <c r="O129" s="45">
        <f>LEN(N129)</f>
        <v/>
      </c>
      <c r="P129" s="49" t="inlineStr">
        <is>
          <t>Deyga Foot Butter: a natural body butter from Deyga. Formulated with virgin coconut oil, olive oil, refined beeswax, vitamin E, and. Free UK delivery over £50.</t>
        </is>
      </c>
      <c r="Q129" s="45">
        <f>LEN(P129)</f>
        <v/>
      </c>
      <c r="R129" s="49" t="inlineStr">
        <is>
          <t>Target keyword is shared with its collection page (/collections/body-butter)</t>
        </is>
      </c>
    </row>
    <row r="130" ht="23.25" customHeight="1" s="37">
      <c r="A130" s="45" t="inlineStr">
        <is>
          <t>VD-129</t>
        </is>
      </c>
      <c r="B130" s="45" t="inlineStr">
        <is>
          <t>Vilvah &amp; Deyga</t>
        </is>
      </c>
      <c r="C130" s="45" t="inlineStr">
        <is>
          <t>Deyga</t>
        </is>
      </c>
      <c r="D130" s="45" t="inlineStr">
        <is>
          <t>Baby Bath Bar</t>
        </is>
      </c>
      <c r="E130" s="45" t="inlineStr">
        <is>
          <t>130 g</t>
        </is>
      </c>
      <c r="F130" s="46" t="n"/>
      <c r="G130" s="45" t="inlineStr">
        <is>
          <t>deyga baby soap</t>
        </is>
      </c>
      <c r="H130" s="47">
        <f>IFERROR(INDEX('Semrush Data'!$C$2:$C$5000,MATCH(G130,'Semrush Data'!$A$2:$A$5000,0)),"")</f>
        <v/>
      </c>
      <c r="I130" s="45">
        <f>IFERROR(INDEX('Semrush Data'!$D$2:$D$5000,MATCH(G130,'Semrush Data'!$A$2:$A$5000,0)),"")</f>
        <v/>
      </c>
      <c r="J130" s="45">
        <f>IF(OR(H130="",H130=0),"No volume",IF(I130&lt;=20,"Easier",IF(I130&lt;=35,"Medium","Hard")))</f>
        <v/>
      </c>
      <c r="K130" s="45" t="inlineStr">
        <is>
          <t>deyga</t>
        </is>
      </c>
      <c r="L130" s="47">
        <f>IF(K130="","",IFERROR(INDEX('Semrush Data'!$C$2:$C$5000,MATCH(K130,'Semrush Data'!$A$2:$A$5000,0)),""))</f>
        <v/>
      </c>
      <c r="M130" s="48" t="inlineStr">
        <is>
          <t>Deyga Baby Bath Bar 130g</t>
        </is>
      </c>
      <c r="N130" s="45" t="inlineStr">
        <is>
          <t>Deyga Baby Bath Bar 130g – Gentle Natural Soap | Swansura</t>
        </is>
      </c>
      <c r="O130" s="45">
        <f>LEN(N130)</f>
        <v/>
      </c>
      <c r="P130" s="49" t="inlineStr">
        <is>
          <t>Buy Deyga Baby Bath Bar 130g, a gentle natural bath bar made for delicate skin. Official UK partner of Deyga: 100% authentic, shipped from the UK.</t>
        </is>
      </c>
      <c r="Q130" s="45">
        <f>LEN(P130)</f>
        <v/>
      </c>
      <c r="R130" s="49" t="inlineStr">
        <is>
          <t>Corrected 19 Oct 2026: earlier draft used the wrong concern/product facts. Created in Shopify as a DRAFT (no price yet).</t>
        </is>
      </c>
    </row>
    <row r="131" ht="23.25" customHeight="1" s="37">
      <c r="A131" s="45" t="inlineStr">
        <is>
          <t>VD-130</t>
        </is>
      </c>
      <c r="B131" s="45" t="inlineStr">
        <is>
          <t>Vilvah &amp; Deyga</t>
        </is>
      </c>
      <c r="C131" s="45" t="inlineStr">
        <is>
          <t>Deyga</t>
        </is>
      </c>
      <c r="D131" s="45" t="inlineStr">
        <is>
          <t>Anti Dandruff Shampoo 220ml</t>
        </is>
      </c>
      <c r="E131" s="45" t="inlineStr">
        <is>
          <t>220ml</t>
        </is>
      </c>
      <c r="F131" s="46" t="n">
        <v>14.99</v>
      </c>
      <c r="G131" s="45" t="inlineStr">
        <is>
          <t>shampoo for dandruff</t>
        </is>
      </c>
      <c r="H131" s="47">
        <f>IFERROR(INDEX('Semrush Data'!$C$2:$C$5000,MATCH(G131,'Semrush Data'!$A$2:$A$5000,0)),"")</f>
        <v/>
      </c>
      <c r="I131" s="45">
        <f>IFERROR(INDEX('Semrush Data'!$D$2:$D$5000,MATCH(G131,'Semrush Data'!$A$2:$A$5000,0)),"")</f>
        <v/>
      </c>
      <c r="J131" s="45">
        <f>IF(OR(H131="",H131=0),"No volume",IF(I131&lt;=20,"Easier",IF(I131&lt;=35,"Medium","Hard")))</f>
        <v/>
      </c>
      <c r="K131" s="45" t="inlineStr">
        <is>
          <t>deyga</t>
        </is>
      </c>
      <c r="L131" s="47">
        <f>IF(K131="","",IFERROR(INDEX('Semrush Data'!$C$2:$C$5000,MATCH(K131,'Semrush Data'!$A$2:$A$5000,0)),""))</f>
        <v/>
      </c>
      <c r="M131" s="48" t="inlineStr">
        <is>
          <t>Deyga Anti Dandruff Shampoo</t>
        </is>
      </c>
      <c r="N131" s="45" t="inlineStr">
        <is>
          <t>Deyga Anti Dandruff Shampoo | Buy Online UK | Swansura</t>
        </is>
      </c>
      <c r="O131" s="45">
        <f>LEN(N131)</f>
        <v/>
      </c>
      <c r="P131" s="49" t="inlineStr">
        <is>
          <t>Buy Deyga Anti Dandruff Shampoo, a natural shampoo for dandruff from Deyga. Official UK partner: 100% authentic, shipped from the UK, free delivery over £50.</t>
        </is>
      </c>
      <c r="Q131" s="45">
        <f>LEN(P131)</f>
        <v/>
      </c>
      <c r="R131" s="49" t="inlineStr">
        <is>
          <t>Target keyword is shared with its collection page (/collections/shampoo-for-dandruff)</t>
        </is>
      </c>
    </row>
    <row r="132" ht="23.25" customHeight="1" s="37">
      <c r="A132" s="45" t="inlineStr">
        <is>
          <t>VD-131</t>
        </is>
      </c>
      <c r="B132" s="45" t="inlineStr">
        <is>
          <t>Vilvah &amp; Deyga</t>
        </is>
      </c>
      <c r="C132" s="45" t="inlineStr">
        <is>
          <t>Deyga</t>
        </is>
      </c>
      <c r="D132" s="45" t="inlineStr">
        <is>
          <t>Strawberry Lip Scrub 16g</t>
        </is>
      </c>
      <c r="E132" s="45" t="inlineStr">
        <is>
          <t>16g</t>
        </is>
      </c>
      <c r="F132" s="46" t="n">
        <v>10.99</v>
      </c>
      <c r="G132" s="45" t="inlineStr">
        <is>
          <t>lip scrub</t>
        </is>
      </c>
      <c r="H132" s="47">
        <f>IFERROR(INDEX('Semrush Data'!$C$2:$C$5000,MATCH(G132,'Semrush Data'!$A$2:$A$5000,0)),"")</f>
        <v/>
      </c>
      <c r="I132" s="45">
        <f>IFERROR(INDEX('Semrush Data'!$D$2:$D$5000,MATCH(G132,'Semrush Data'!$A$2:$A$5000,0)),"")</f>
        <v/>
      </c>
      <c r="J132" s="45">
        <f>IF(OR(H132="",H132=0),"No volume",IF(I132&lt;=20,"Easier",IF(I132&lt;=35,"Medium","Hard")))</f>
        <v/>
      </c>
      <c r="K132" s="45" t="inlineStr">
        <is>
          <t>deyga</t>
        </is>
      </c>
      <c r="L132" s="47">
        <f>IF(K132="","",IFERROR(INDEX('Semrush Data'!$C$2:$C$5000,MATCH(K132,'Semrush Data'!$A$2:$A$5000,0)),""))</f>
        <v/>
      </c>
      <c r="M132" s="48" t="inlineStr">
        <is>
          <t>Deyga Strawberry Lip Scrub</t>
        </is>
      </c>
      <c r="N132" s="45" t="inlineStr">
        <is>
          <t>Deyga Strawberry Lip Scrub | Buy Online UK | Swansura</t>
        </is>
      </c>
      <c r="O132" s="45">
        <f>LEN(N132)</f>
        <v/>
      </c>
      <c r="P132" s="49" t="inlineStr">
        <is>
          <t>Buy Deyga Strawberry Lip Scrub, a natural lip scrub from Deyga. Official UK partner: 100% authentic, shipped from the UK, free delivery over £50.</t>
        </is>
      </c>
      <c r="Q132" s="45">
        <f>LEN(P132)</f>
        <v/>
      </c>
      <c r="R132" s="49" t="inlineStr">
        <is>
          <t>Target keyword is shared with its collection page (/collections/lip-scrub)</t>
        </is>
      </c>
    </row>
    <row r="133" ht="23.25" customHeight="1" s="37">
      <c r="A133" s="45" t="inlineStr">
        <is>
          <t>VD-132</t>
        </is>
      </c>
      <c r="B133" s="45" t="inlineStr">
        <is>
          <t>Vilvah &amp; Deyga</t>
        </is>
      </c>
      <c r="C133" s="45" t="inlineStr">
        <is>
          <t>Deyga</t>
        </is>
      </c>
      <c r="D133" s="45" t="inlineStr">
        <is>
          <t>Beetroot Lip Balm Classic 10 g</t>
        </is>
      </c>
      <c r="E133" s="45" t="inlineStr">
        <is>
          <t>10g</t>
        </is>
      </c>
      <c r="F133" s="46" t="n">
        <v>10.99</v>
      </c>
      <c r="G133" s="45" t="inlineStr">
        <is>
          <t>lip balm for dry lips</t>
        </is>
      </c>
      <c r="H133" s="47">
        <f>IFERROR(INDEX('Semrush Data'!$C$2:$C$5000,MATCH(G133,'Semrush Data'!$A$2:$A$5000,0)),"")</f>
        <v/>
      </c>
      <c r="I133" s="45">
        <f>IFERROR(INDEX('Semrush Data'!$D$2:$D$5000,MATCH(G133,'Semrush Data'!$A$2:$A$5000,0)),"")</f>
        <v/>
      </c>
      <c r="J133" s="45">
        <f>IF(OR(H133="",H133=0),"No volume",IF(I133&lt;=20,"Easier",IF(I133&lt;=35,"Medium","Hard")))</f>
        <v/>
      </c>
      <c r="K133" s="45" t="inlineStr">
        <is>
          <t>deyga</t>
        </is>
      </c>
      <c r="L133" s="47">
        <f>IF(K133="","",IFERROR(INDEX('Semrush Data'!$C$2:$C$5000,MATCH(K133,'Semrush Data'!$A$2:$A$5000,0)),""))</f>
        <v/>
      </c>
      <c r="M133" s="48" t="inlineStr">
        <is>
          <t>Deyga Beetroot Lip Balm Classic</t>
        </is>
      </c>
      <c r="N133" s="45" t="inlineStr">
        <is>
          <t>Deyga Beetroot Lip Balm Classic | Lip Balm for Dry Lips</t>
        </is>
      </c>
      <c r="O133" s="45">
        <f>LEN(N133)</f>
        <v/>
      </c>
      <c r="P133" s="49" t="inlineStr">
        <is>
          <t>Deyga Beetroot Lip Balm Classic: a natural lip balm for dry lips from Deyga. Official UK partner: 100% authentic, shipped from the UK, free delivery over £50.</t>
        </is>
      </c>
      <c r="Q133" s="45">
        <f>LEN(P133)</f>
        <v/>
      </c>
      <c r="R133" s="49" t="inlineStr">
        <is>
          <t>Target keyword is shared with its collection page (/collections/lip-balm-for-dry-lips)</t>
        </is>
      </c>
    </row>
    <row r="134" ht="23.25" customHeight="1" s="37">
      <c r="A134" s="45" t="inlineStr">
        <is>
          <t>VD-133</t>
        </is>
      </c>
      <c r="B134" s="45" t="inlineStr">
        <is>
          <t>Vilvah &amp; Deyga</t>
        </is>
      </c>
      <c r="C134" s="45" t="inlineStr">
        <is>
          <t>Deyga</t>
        </is>
      </c>
      <c r="D134" s="45" t="inlineStr">
        <is>
          <t>Under Eye Cream 15 g</t>
        </is>
      </c>
      <c r="E134" s="45" t="inlineStr">
        <is>
          <t>15 g</t>
        </is>
      </c>
      <c r="F134" s="46" t="n">
        <v>45.98</v>
      </c>
      <c r="G134" s="45" t="inlineStr">
        <is>
          <t>moisturiser for dry skin</t>
        </is>
      </c>
      <c r="H134" s="47">
        <f>IFERROR(INDEX('Semrush Data'!$C$2:$C$5000,MATCH(G134,'Semrush Data'!$A$2:$A$5000,0)),"")</f>
        <v/>
      </c>
      <c r="I134" s="45">
        <f>IFERROR(INDEX('Semrush Data'!$D$2:$D$5000,MATCH(G134,'Semrush Data'!$A$2:$A$5000,0)),"")</f>
        <v/>
      </c>
      <c r="J134" s="45">
        <f>IF(OR(H134="",H134=0),"No volume",IF(I134&lt;=20,"Easier",IF(I134&lt;=35,"Medium","Hard")))</f>
        <v/>
      </c>
      <c r="K134" s="45" t="inlineStr">
        <is>
          <t>deyga</t>
        </is>
      </c>
      <c r="L134" s="47">
        <f>IF(K134="","",IFERROR(INDEX('Semrush Data'!$C$2:$C$5000,MATCH(K134,'Semrush Data'!$A$2:$A$5000,0)),""))</f>
        <v/>
      </c>
      <c r="M134" s="48" t="inlineStr">
        <is>
          <t>Deyga Under Eye Cream</t>
        </is>
      </c>
      <c r="N134" s="45" t="inlineStr">
        <is>
          <t>Deyga Under Eye Cream – Moisturiser for Dry Skin | Swansura</t>
        </is>
      </c>
      <c r="O134" s="45">
        <f>LEN(N134)</f>
        <v/>
      </c>
      <c r="P134" s="49" t="inlineStr">
        <is>
          <t>Buy Deyga Under Eye Cream, a natural moisturiser for dry skin from Deyga. Official UK partner: 100% authentic, shipped from the UK, free delivery over £50.</t>
        </is>
      </c>
      <c r="Q134" s="45">
        <f>LEN(P134)</f>
        <v/>
      </c>
      <c r="R134" s="49" t="inlineStr">
        <is>
          <t>Target keyword is shared with its collection page (/collections/moisturiser-for-dry-skin)</t>
        </is>
      </c>
    </row>
    <row r="135" ht="23.25" customHeight="1" s="37">
      <c r="A135" s="45" t="inlineStr">
        <is>
          <t>VD-134</t>
        </is>
      </c>
      <c r="B135" s="45" t="inlineStr">
        <is>
          <t>Vilvah &amp; Deyga</t>
        </is>
      </c>
      <c r="C135" s="45" t="inlineStr">
        <is>
          <t>Deyga</t>
        </is>
      </c>
      <c r="D135" s="45" t="inlineStr">
        <is>
          <t>10% Vitamin C Face Serum 20ml</t>
        </is>
      </c>
      <c r="E135" s="45" t="inlineStr">
        <is>
          <t>20ml</t>
        </is>
      </c>
      <c r="F135" s="46" t="n">
        <v>50.99</v>
      </c>
      <c r="G135" s="45" t="inlineStr">
        <is>
          <t>vitamin c serum</t>
        </is>
      </c>
      <c r="H135" s="47">
        <f>IFERROR(INDEX('Semrush Data'!$C$2:$C$5000,MATCH(G135,'Semrush Data'!$A$2:$A$5000,0)),"")</f>
        <v/>
      </c>
      <c r="I135" s="45">
        <f>IFERROR(INDEX('Semrush Data'!$D$2:$D$5000,MATCH(G135,'Semrush Data'!$A$2:$A$5000,0)),"")</f>
        <v/>
      </c>
      <c r="J135" s="45">
        <f>IF(OR(H135="",H135=0),"No volume",IF(I135&lt;=20,"Easier",IF(I135&lt;=35,"Medium","Hard")))</f>
        <v/>
      </c>
      <c r="K135" s="45" t="inlineStr">
        <is>
          <t>deyga</t>
        </is>
      </c>
      <c r="L135" s="47">
        <f>IF(K135="","",IFERROR(INDEX('Semrush Data'!$C$2:$C$5000,MATCH(K135,'Semrush Data'!$A$2:$A$5000,0)),""))</f>
        <v/>
      </c>
      <c r="M135" s="48" t="inlineStr">
        <is>
          <t>Deyga 10% Vitamin C Face Serum</t>
        </is>
      </c>
      <c r="N135" s="45" t="inlineStr">
        <is>
          <t>Deyga 10% Vitamin C Face Serum | Buy Online UK | Swansura</t>
        </is>
      </c>
      <c r="O135" s="45">
        <f>LEN(N135)</f>
        <v/>
      </c>
      <c r="P135" s="49" t="inlineStr">
        <is>
          <t>Buy Deyga 10% Vitamin C Face Serum, a natural vitamin c serum from Deyga. Official UK partner: 100% authentic, shipped from the UK, free delivery over £50.</t>
        </is>
      </c>
      <c r="Q135" s="45">
        <f>LEN(P135)</f>
        <v/>
      </c>
      <c r="R135" s="49" t="inlineStr">
        <is>
          <t>Target keyword is shared with its collection page (/collections/vitamin-c-serum)</t>
        </is>
      </c>
    </row>
    <row r="136" ht="23.25" customHeight="1" s="37">
      <c r="A136" s="45" t="inlineStr">
        <is>
          <t>VD-135</t>
        </is>
      </c>
      <c r="B136" s="45" t="inlineStr">
        <is>
          <t>Vilvah &amp; Deyga</t>
        </is>
      </c>
      <c r="C136" s="45" t="inlineStr">
        <is>
          <t>Deyga</t>
        </is>
      </c>
      <c r="D136" s="45" t="inlineStr">
        <is>
          <t>Natural Loose Setting Powder 15G</t>
        </is>
      </c>
      <c r="E136" s="45" t="inlineStr">
        <is>
          <t>15G</t>
        </is>
      </c>
      <c r="F136" s="46" t="n">
        <v>19.99</v>
      </c>
      <c r="G136" s="45" t="inlineStr">
        <is>
          <t>face serum</t>
        </is>
      </c>
      <c r="H136" s="47">
        <f>IFERROR(INDEX('Semrush Data'!$C$2:$C$5000,MATCH(G136,'Semrush Data'!$A$2:$A$5000,0)),"")</f>
        <v/>
      </c>
      <c r="I136" s="45">
        <f>IFERROR(INDEX('Semrush Data'!$D$2:$D$5000,MATCH(G136,'Semrush Data'!$A$2:$A$5000,0)),"")</f>
        <v/>
      </c>
      <c r="J136" s="45">
        <f>IF(OR(H136="",H136=0),"No volume",IF(I136&lt;=20,"Easier",IF(I136&lt;=35,"Medium","Hard")))</f>
        <v/>
      </c>
      <c r="K136" s="45" t="inlineStr">
        <is>
          <t>deyga</t>
        </is>
      </c>
      <c r="L136" s="47">
        <f>IF(K136="","",IFERROR(INDEX('Semrush Data'!$C$2:$C$5000,MATCH(K136,'Semrush Data'!$A$2:$A$5000,0)),""))</f>
        <v/>
      </c>
      <c r="M136" s="48" t="inlineStr">
        <is>
          <t>Deyga Natural Loose Setting Powder</t>
        </is>
      </c>
      <c r="N136" s="45" t="inlineStr">
        <is>
          <t>Deyga Natural Loose Setting Powder – Face Serum | Swansura</t>
        </is>
      </c>
      <c r="O136" s="45">
        <f>LEN(N136)</f>
        <v/>
      </c>
      <c r="P136" s="49" t="inlineStr">
        <is>
          <t>Buy Deyga Natural Loose Setting Powder, a natural face serum from Deyga. Official UK partner: 100% authentic, shipped from the UK, free delivery over £50.</t>
        </is>
      </c>
      <c r="Q136" s="45">
        <f>LEN(P136)</f>
        <v/>
      </c>
      <c r="R136" s="49" t="inlineStr">
        <is>
          <t>Target keyword is shared with its collection page (/collections/face-serum)</t>
        </is>
      </c>
    </row>
    <row r="137" ht="23.25" customHeight="1" s="37">
      <c r="A137" s="45" t="inlineStr">
        <is>
          <t>VD-136</t>
        </is>
      </c>
      <c r="B137" s="45" t="inlineStr">
        <is>
          <t>Vilvah &amp; Deyga</t>
        </is>
      </c>
      <c r="C137" s="45" t="inlineStr">
        <is>
          <t>Deyga</t>
        </is>
      </c>
      <c r="D137" s="45" t="inlineStr">
        <is>
          <t>Soft Lip Combo</t>
        </is>
      </c>
      <c r="E137" s="45" t="n"/>
      <c r="F137" s="46" t="n">
        <v>17.99</v>
      </c>
      <c r="G137" s="45" t="inlineStr">
        <is>
          <t>lip balm for dry lips</t>
        </is>
      </c>
      <c r="H137" s="47">
        <f>IFERROR(INDEX('Semrush Data'!$C$2:$C$5000,MATCH(G137,'Semrush Data'!$A$2:$A$5000,0)),"")</f>
        <v/>
      </c>
      <c r="I137" s="45">
        <f>IFERROR(INDEX('Semrush Data'!$D$2:$D$5000,MATCH(G137,'Semrush Data'!$A$2:$A$5000,0)),"")</f>
        <v/>
      </c>
      <c r="J137" s="45">
        <f>IF(OR(H137="",H137=0),"No volume",IF(I137&lt;=20,"Easier",IF(I137&lt;=35,"Medium","Hard")))</f>
        <v/>
      </c>
      <c r="K137" s="45" t="inlineStr">
        <is>
          <t>deyga</t>
        </is>
      </c>
      <c r="L137" s="47">
        <f>IF(K137="","",IFERROR(INDEX('Semrush Data'!$C$2:$C$5000,MATCH(K137,'Semrush Data'!$A$2:$A$5000,0)),""))</f>
        <v/>
      </c>
      <c r="M137" s="48" t="inlineStr">
        <is>
          <t>Deyga Soft Lip Combo</t>
        </is>
      </c>
      <c r="N137" s="45" t="inlineStr">
        <is>
          <t>Deyga Soft Lip Combo – Lip Balm for Dry Lips | Swansura</t>
        </is>
      </c>
      <c r="O137" s="45">
        <f>LEN(N137)</f>
        <v/>
      </c>
      <c r="P137" s="49" t="inlineStr">
        <is>
          <t>Buy Deyga Soft Lip Combo, a natural lip balm for dry lips from Deyga. Official UK partner: 100% authentic, shipped from the UK, free delivery over £50.</t>
        </is>
      </c>
      <c r="Q137" s="45">
        <f>LEN(P137)</f>
        <v/>
      </c>
      <c r="R137" s="49" t="inlineStr">
        <is>
          <t>Target keyword is shared with its collection page (/collections/lip-balm-for-dry-lips)</t>
        </is>
      </c>
    </row>
    <row r="138" ht="23.25" customHeight="1" s="37">
      <c r="A138" s="45" t="inlineStr">
        <is>
          <t>VD-137</t>
        </is>
      </c>
      <c r="B138" s="45" t="inlineStr">
        <is>
          <t>Vilvah &amp; Deyga</t>
        </is>
      </c>
      <c r="C138" s="45" t="inlineStr">
        <is>
          <t>Deyga</t>
        </is>
      </c>
      <c r="D138" s="45" t="inlineStr">
        <is>
          <t>Vitamin C Daily Glow Combo</t>
        </is>
      </c>
      <c r="E138" s="45" t="n"/>
      <c r="F138" s="46" t="n">
        <v>30.99</v>
      </c>
      <c r="G138" s="45" t="inlineStr">
        <is>
          <t>body lotion for dry skin</t>
        </is>
      </c>
      <c r="H138" s="47">
        <f>IFERROR(INDEX('Semrush Data'!$C$2:$C$5000,MATCH(G138,'Semrush Data'!$A$2:$A$5000,0)),"")</f>
        <v/>
      </c>
      <c r="I138" s="45">
        <f>IFERROR(INDEX('Semrush Data'!$D$2:$D$5000,MATCH(G138,'Semrush Data'!$A$2:$A$5000,0)),"")</f>
        <v/>
      </c>
      <c r="J138" s="45">
        <f>IF(OR(H138="",H138=0),"No volume",IF(I138&lt;=20,"Easier",IF(I138&lt;=35,"Medium","Hard")))</f>
        <v/>
      </c>
      <c r="K138" s="45" t="inlineStr">
        <is>
          <t>deyga</t>
        </is>
      </c>
      <c r="L138" s="47">
        <f>IF(K138="","",IFERROR(INDEX('Semrush Data'!$C$2:$C$5000,MATCH(K138,'Semrush Data'!$A$2:$A$5000,0)),""))</f>
        <v/>
      </c>
      <c r="M138" s="48" t="inlineStr">
        <is>
          <t>Deyga Vitamin C Daily Glow Combo</t>
        </is>
      </c>
      <c r="N138" s="45" t="inlineStr">
        <is>
          <t>Deyga Vitamin C Daily Glow Combo | Body Lotion for Dry Skin</t>
        </is>
      </c>
      <c r="O138" s="45">
        <f>LEN(N138)</f>
        <v/>
      </c>
      <c r="P138" s="49" t="inlineStr">
        <is>
          <t>Buy Deyga Vitamin C Daily Glow Combo, a natural body lotion for dry skin from Deyga. Official UK partner, 100% authentic, free UK delivery over £50.</t>
        </is>
      </c>
      <c r="Q138" s="45">
        <f>LEN(P138)</f>
        <v/>
      </c>
      <c r="R138" s="49" t="inlineStr">
        <is>
          <t>Target keyword is shared with its collection page (/collections/body-lotion-for-dry-skin)</t>
        </is>
      </c>
    </row>
    <row r="139" ht="23.25" customHeight="1" s="37">
      <c r="A139" s="45" t="inlineStr">
        <is>
          <t>VD-138</t>
        </is>
      </c>
      <c r="B139" s="45" t="inlineStr">
        <is>
          <t>Vilvah &amp; Deyga</t>
        </is>
      </c>
      <c r="C139" s="45" t="inlineStr">
        <is>
          <t>Deyga</t>
        </is>
      </c>
      <c r="D139" s="45" t="inlineStr">
        <is>
          <t>Acne Relief Combo</t>
        </is>
      </c>
      <c r="E139" s="45" t="n"/>
      <c r="F139" s="46" t="n">
        <v>29.99</v>
      </c>
      <c r="G139" s="45" t="inlineStr">
        <is>
          <t>face wash for oily skin</t>
        </is>
      </c>
      <c r="H139" s="47">
        <f>IFERROR(INDEX('Semrush Data'!$C$2:$C$5000,MATCH(G139,'Semrush Data'!$A$2:$A$5000,0)),"")</f>
        <v/>
      </c>
      <c r="I139" s="45">
        <f>IFERROR(INDEX('Semrush Data'!$D$2:$D$5000,MATCH(G139,'Semrush Data'!$A$2:$A$5000,0)),"")</f>
        <v/>
      </c>
      <c r="J139" s="45">
        <f>IF(OR(H139="",H139=0),"No volume",IF(I139&lt;=20,"Easier",IF(I139&lt;=35,"Medium","Hard")))</f>
        <v/>
      </c>
      <c r="K139" s="45" t="inlineStr">
        <is>
          <t>deyga</t>
        </is>
      </c>
      <c r="L139" s="47">
        <f>IF(K139="","",IFERROR(INDEX('Semrush Data'!$C$2:$C$5000,MATCH(K139,'Semrush Data'!$A$2:$A$5000,0)),""))</f>
        <v/>
      </c>
      <c r="M139" s="48" t="inlineStr">
        <is>
          <t>Deyga Acne Relief Combo</t>
        </is>
      </c>
      <c r="N139" s="45" t="inlineStr">
        <is>
          <t>Deyga Acne Relief Combo – Face Wash for Oily Skin | Swansura</t>
        </is>
      </c>
      <c r="O139" s="45">
        <f>LEN(N139)</f>
        <v/>
      </c>
      <c r="P139" s="49" t="inlineStr">
        <is>
          <t>Buy Deyga Acne Relief Combo, a natural face wash for oily skin from Deyga. Official UK partner: 100% authentic, shipped from the UK, free delivery over £50.</t>
        </is>
      </c>
      <c r="Q139" s="45">
        <f>LEN(P139)</f>
        <v/>
      </c>
      <c r="R139" s="49" t="inlineStr">
        <is>
          <t>Target keyword is shared with its collection page (/collections/face-wash-for-oily-skin)</t>
        </is>
      </c>
    </row>
    <row r="140" ht="23.25" customHeight="1" s="37">
      <c r="A140" s="45" t="inlineStr">
        <is>
          <t>VD-139</t>
        </is>
      </c>
      <c r="B140" s="45" t="inlineStr">
        <is>
          <t>Vilvah &amp; Deyga</t>
        </is>
      </c>
      <c r="C140" s="45" t="inlineStr">
        <is>
          <t>Deyga</t>
        </is>
      </c>
      <c r="D140" s="45" t="inlineStr">
        <is>
          <t>Acne Vanishing Combo</t>
        </is>
      </c>
      <c r="E140" s="45" t="n"/>
      <c r="F140" s="46" t="n">
        <v>34.99</v>
      </c>
      <c r="G140" s="45" t="inlineStr">
        <is>
          <t>face wash for oily skin</t>
        </is>
      </c>
      <c r="H140" s="47">
        <f>IFERROR(INDEX('Semrush Data'!$C$2:$C$5000,MATCH(G140,'Semrush Data'!$A$2:$A$5000,0)),"")</f>
        <v/>
      </c>
      <c r="I140" s="45">
        <f>IFERROR(INDEX('Semrush Data'!$D$2:$D$5000,MATCH(G140,'Semrush Data'!$A$2:$A$5000,0)),"")</f>
        <v/>
      </c>
      <c r="J140" s="45">
        <f>IF(OR(H140="",H140=0),"No volume",IF(I140&lt;=20,"Easier",IF(I140&lt;=35,"Medium","Hard")))</f>
        <v/>
      </c>
      <c r="K140" s="45" t="inlineStr">
        <is>
          <t>deyga</t>
        </is>
      </c>
      <c r="L140" s="47">
        <f>IF(K140="","",IFERROR(INDEX('Semrush Data'!$C$2:$C$5000,MATCH(K140,'Semrush Data'!$A$2:$A$5000,0)),""))</f>
        <v/>
      </c>
      <c r="M140" s="48" t="inlineStr">
        <is>
          <t>Deyga Acne Vanishing Combo</t>
        </is>
      </c>
      <c r="N140" s="45" t="inlineStr">
        <is>
          <t>Deyga Acne Vanishing Combo | Face Wash for Oily Skin</t>
        </is>
      </c>
      <c r="O140" s="45">
        <f>LEN(N140)</f>
        <v/>
      </c>
      <c r="P140" s="49" t="inlineStr">
        <is>
          <t>Buy Deyga Acne Vanishing Combo, a natural face wash for oily skin from Deyga. Official UK partner: 100% authentic, shipped from the UK, free delivery over £50.</t>
        </is>
      </c>
      <c r="Q140" s="45">
        <f>LEN(P140)</f>
        <v/>
      </c>
      <c r="R140" s="49" t="inlineStr">
        <is>
          <t>Target keyword is shared with its collection page (/collections/face-wash-for-oily-skin)</t>
        </is>
      </c>
    </row>
    <row r="141" ht="23.25" customHeight="1" s="37">
      <c r="A141" s="45" t="inlineStr">
        <is>
          <t>VD-140</t>
        </is>
      </c>
      <c r="B141" s="45" t="inlineStr">
        <is>
          <t>Vilvah &amp; Deyga</t>
        </is>
      </c>
      <c r="C141" s="45" t="inlineStr">
        <is>
          <t>Deyga</t>
        </is>
      </c>
      <c r="D141" s="45" t="inlineStr">
        <is>
          <t>Mini Foot Spa Combo</t>
        </is>
      </c>
      <c r="E141" s="45" t="n"/>
      <c r="F141" s="46" t="n">
        <v>37.99</v>
      </c>
      <c r="G141" s="45" t="inlineStr">
        <is>
          <t>skincare for dry skin</t>
        </is>
      </c>
      <c r="H141" s="47">
        <f>IFERROR(INDEX('Semrush Data'!$C$2:$C$5000,MATCH(G141,'Semrush Data'!$A$2:$A$5000,0)),"")</f>
        <v/>
      </c>
      <c r="I141" s="45">
        <f>IFERROR(INDEX('Semrush Data'!$D$2:$D$5000,MATCH(G141,'Semrush Data'!$A$2:$A$5000,0)),"")</f>
        <v/>
      </c>
      <c r="J141" s="45">
        <f>IF(OR(H141="",H141=0),"No volume",IF(I141&lt;=20,"Easier",IF(I141&lt;=35,"Medium","Hard")))</f>
        <v/>
      </c>
      <c r="K141" s="45" t="inlineStr">
        <is>
          <t>deyga</t>
        </is>
      </c>
      <c r="L141" s="47">
        <f>IF(K141="","",IFERROR(INDEX('Semrush Data'!$C$2:$C$5000,MATCH(K141,'Semrush Data'!$A$2:$A$5000,0)),""))</f>
        <v/>
      </c>
      <c r="M141" s="48" t="inlineStr">
        <is>
          <t>Deyga Mini Foot Spa Combo</t>
        </is>
      </c>
      <c r="N141" s="45" t="inlineStr">
        <is>
          <t>Deyga Mini Foot Spa Combo – Skincare for Dry Skin | Swansura</t>
        </is>
      </c>
      <c r="O141" s="45">
        <f>LEN(N141)</f>
        <v/>
      </c>
      <c r="P141" s="49" t="inlineStr">
        <is>
          <t>Buy Deyga Mini Foot Spa Combo, natural skincare for dry skin from Deyga. Official UK partner: 100% authentic, shipped from the UK, free delivery over £50.</t>
        </is>
      </c>
      <c r="Q141" s="45">
        <f>LEN(P141)</f>
        <v/>
      </c>
      <c r="R141" s="49" t="inlineStr">
        <is>
          <t>Target keyword is shared with its collection page (/collections/dry-skin)</t>
        </is>
      </c>
    </row>
    <row r="142" ht="23.25" customHeight="1" s="37">
      <c r="A142" s="45" t="inlineStr">
        <is>
          <t>VD-141</t>
        </is>
      </c>
      <c r="B142" s="45" t="inlineStr">
        <is>
          <t>Vilvah &amp; Deyga</t>
        </is>
      </c>
      <c r="C142" s="45" t="inlineStr">
        <is>
          <t>Deyga</t>
        </is>
      </c>
      <c r="D142" s="45" t="inlineStr">
        <is>
          <t>Daily Essential Kit</t>
        </is>
      </c>
      <c r="E142" s="45" t="n"/>
      <c r="F142" s="46" t="n">
        <v>14.99</v>
      </c>
      <c r="G142" s="45" t="inlineStr">
        <is>
          <t>body lotion for dry skin</t>
        </is>
      </c>
      <c r="H142" s="47">
        <f>IFERROR(INDEX('Semrush Data'!$C$2:$C$5000,MATCH(G142,'Semrush Data'!$A$2:$A$5000,0)),"")</f>
        <v/>
      </c>
      <c r="I142" s="45">
        <f>IFERROR(INDEX('Semrush Data'!$D$2:$D$5000,MATCH(G142,'Semrush Data'!$A$2:$A$5000,0)),"")</f>
        <v/>
      </c>
      <c r="J142" s="45">
        <f>IF(OR(H142="",H142=0),"No volume",IF(I142&lt;=20,"Easier",IF(I142&lt;=35,"Medium","Hard")))</f>
        <v/>
      </c>
      <c r="K142" s="45" t="inlineStr">
        <is>
          <t>deyga</t>
        </is>
      </c>
      <c r="L142" s="47">
        <f>IF(K142="","",IFERROR(INDEX('Semrush Data'!$C$2:$C$5000,MATCH(K142,'Semrush Data'!$A$2:$A$5000,0)),""))</f>
        <v/>
      </c>
      <c r="M142" s="48" t="inlineStr">
        <is>
          <t>Deyga Daily Essential Kit</t>
        </is>
      </c>
      <c r="N142" s="45" t="inlineStr">
        <is>
          <t>Deyga Daily Essential Kit | Body Lotion for Dry Skin</t>
        </is>
      </c>
      <c r="O142" s="45">
        <f>LEN(N142)</f>
        <v/>
      </c>
      <c r="P142" s="49" t="inlineStr">
        <is>
          <t>Buy Deyga Daily Essential Kit, a natural body lotion for dry skin from Deyga. Official UK partner: 100% authentic, shipped from the UK, free delivery over £50.</t>
        </is>
      </c>
      <c r="Q142" s="45">
        <f>LEN(P142)</f>
        <v/>
      </c>
      <c r="R142" s="49" t="inlineStr">
        <is>
          <t>Target keyword is shared with its collection page (/collections/body-lotion-for-dry-skin)</t>
        </is>
      </c>
    </row>
    <row r="143" ht="23.25" customHeight="1" s="37">
      <c r="A143" s="45" t="inlineStr">
        <is>
          <t>VD-142</t>
        </is>
      </c>
      <c r="B143" s="45" t="inlineStr">
        <is>
          <t>Vilvah &amp; Deyga</t>
        </is>
      </c>
      <c r="C143" s="45" t="inlineStr">
        <is>
          <t>Deyga</t>
        </is>
      </c>
      <c r="D143" s="45" t="inlineStr">
        <is>
          <t>Clear Skin Kit</t>
        </is>
      </c>
      <c r="E143" s="45" t="n"/>
      <c r="F143" s="46" t="n">
        <v>14.99</v>
      </c>
      <c r="G143" s="45" t="inlineStr">
        <is>
          <t>skincare for dry skin</t>
        </is>
      </c>
      <c r="H143" s="47">
        <f>IFERROR(INDEX('Semrush Data'!$C$2:$C$5000,MATCH(G143,'Semrush Data'!$A$2:$A$5000,0)),"")</f>
        <v/>
      </c>
      <c r="I143" s="45">
        <f>IFERROR(INDEX('Semrush Data'!$D$2:$D$5000,MATCH(G143,'Semrush Data'!$A$2:$A$5000,0)),"")</f>
        <v/>
      </c>
      <c r="J143" s="45">
        <f>IF(OR(H143="",H143=0),"No volume",IF(I143&lt;=20,"Easier",IF(I143&lt;=35,"Medium","Hard")))</f>
        <v/>
      </c>
      <c r="K143" s="45" t="inlineStr">
        <is>
          <t>deyga</t>
        </is>
      </c>
      <c r="L143" s="47">
        <f>IF(K143="","",IFERROR(INDEX('Semrush Data'!$C$2:$C$5000,MATCH(K143,'Semrush Data'!$A$2:$A$5000,0)),""))</f>
        <v/>
      </c>
      <c r="M143" s="48" t="inlineStr">
        <is>
          <t>Deyga Clear Skin Kit</t>
        </is>
      </c>
      <c r="N143" s="45" t="inlineStr">
        <is>
          <t>Deyga Clear Skin Kit – Skincare for Dry Skin | Swansura</t>
        </is>
      </c>
      <c r="O143" s="45">
        <f>LEN(N143)</f>
        <v/>
      </c>
      <c r="P143" s="49" t="inlineStr">
        <is>
          <t>Buy Deyga Clear Skin Kit, natural skincare for dry skin from Deyga. Official UK partner: 100% authentic, shipped from the UK, free delivery over £50.</t>
        </is>
      </c>
      <c r="Q143" s="45">
        <f>LEN(P143)</f>
        <v/>
      </c>
      <c r="R143" s="49" t="inlineStr">
        <is>
          <t>Target keyword is shared with its collection page (/collections/dry-skin)</t>
        </is>
      </c>
    </row>
    <row r="144" ht="23.25" customHeight="1" s="37">
      <c r="A144" s="45" t="inlineStr">
        <is>
          <t>VD-143</t>
        </is>
      </c>
      <c r="B144" s="45" t="inlineStr">
        <is>
          <t>Vilvah &amp; Deyga</t>
        </is>
      </c>
      <c r="C144" s="45" t="inlineStr">
        <is>
          <t>Deyga</t>
        </is>
      </c>
      <c r="D144" s="45" t="inlineStr">
        <is>
          <t>Best Selling Face Care Kit</t>
        </is>
      </c>
      <c r="E144" s="45" t="n"/>
      <c r="F144" s="46" t="n">
        <v>28.99</v>
      </c>
      <c r="G144" s="45" t="inlineStr">
        <is>
          <t>body lotion for dry skin</t>
        </is>
      </c>
      <c r="H144" s="47">
        <f>IFERROR(INDEX('Semrush Data'!$C$2:$C$5000,MATCH(G144,'Semrush Data'!$A$2:$A$5000,0)),"")</f>
        <v/>
      </c>
      <c r="I144" s="45">
        <f>IFERROR(INDEX('Semrush Data'!$D$2:$D$5000,MATCH(G144,'Semrush Data'!$A$2:$A$5000,0)),"")</f>
        <v/>
      </c>
      <c r="J144" s="45">
        <f>IF(OR(H144="",H144=0),"No volume",IF(I144&lt;=20,"Easier",IF(I144&lt;=35,"Medium","Hard")))</f>
        <v/>
      </c>
      <c r="K144" s="45" t="inlineStr">
        <is>
          <t>deyga</t>
        </is>
      </c>
      <c r="L144" s="47">
        <f>IF(K144="","",IFERROR(INDEX('Semrush Data'!$C$2:$C$5000,MATCH(K144,'Semrush Data'!$A$2:$A$5000,0)),""))</f>
        <v/>
      </c>
      <c r="M144" s="48" t="inlineStr">
        <is>
          <t>Deyga Best Selling Face Care Kit</t>
        </is>
      </c>
      <c r="N144" s="45" t="inlineStr">
        <is>
          <t>Deyga Best Selling Face Care Kit | Body Lotion for Dry Skin</t>
        </is>
      </c>
      <c r="O144" s="45">
        <f>LEN(N144)</f>
        <v/>
      </c>
      <c r="P144" s="49" t="inlineStr">
        <is>
          <t>Buy Deyga Best Selling Face Care Kit, a natural body lotion for dry skin from Deyga. Official UK partner, 100% authentic, free UK delivery over £50.</t>
        </is>
      </c>
      <c r="Q144" s="45">
        <f>LEN(P144)</f>
        <v/>
      </c>
      <c r="R144" s="49" t="inlineStr">
        <is>
          <t>Target keyword is shared with its collection page (/collections/body-lotion-for-dry-skin)</t>
        </is>
      </c>
    </row>
    <row r="145" ht="23.25" customHeight="1" s="37">
      <c r="A145" s="45" t="inlineStr">
        <is>
          <t>VD-144</t>
        </is>
      </c>
      <c r="B145" s="45" t="inlineStr">
        <is>
          <t>Vilvah &amp; Deyga</t>
        </is>
      </c>
      <c r="C145" s="45" t="inlineStr">
        <is>
          <t>Deyga</t>
        </is>
      </c>
      <c r="D145" s="45" t="inlineStr">
        <is>
          <t>Instant Hair Removal Kit</t>
        </is>
      </c>
      <c r="E145" s="45" t="n"/>
      <c r="F145" s="46" t="n">
        <v>16.99</v>
      </c>
      <c r="G145" s="45" t="inlineStr">
        <is>
          <t>hair mask for dry hair</t>
        </is>
      </c>
      <c r="H145" s="47">
        <f>IFERROR(INDEX('Semrush Data'!$C$2:$C$5000,MATCH(G145,'Semrush Data'!$A$2:$A$5000,0)),"")</f>
        <v/>
      </c>
      <c r="I145" s="45">
        <f>IFERROR(INDEX('Semrush Data'!$D$2:$D$5000,MATCH(G145,'Semrush Data'!$A$2:$A$5000,0)),"")</f>
        <v/>
      </c>
      <c r="J145" s="45">
        <f>IF(OR(H145="",H145=0),"No volume",IF(I145&lt;=20,"Easier",IF(I145&lt;=35,"Medium","Hard")))</f>
        <v/>
      </c>
      <c r="K145" s="45" t="inlineStr">
        <is>
          <t>deyga</t>
        </is>
      </c>
      <c r="L145" s="47">
        <f>IF(K145="","",IFERROR(INDEX('Semrush Data'!$C$2:$C$5000,MATCH(K145,'Semrush Data'!$A$2:$A$5000,0)),""))</f>
        <v/>
      </c>
      <c r="M145" s="48" t="inlineStr">
        <is>
          <t>Deyga Instant Hair Removal Kit</t>
        </is>
      </c>
      <c r="N145" s="45" t="inlineStr">
        <is>
          <t>Deyga Instant Hair Removal Kit | Hair Mask for Dry Hair</t>
        </is>
      </c>
      <c r="O145" s="45">
        <f>LEN(N145)</f>
        <v/>
      </c>
      <c r="P145" s="49" t="inlineStr">
        <is>
          <t>Deyga Instant Hair Removal Kit: a natural hair mask for dry hair from Deyga. Official UK partner: 100% authentic, shipped from the UK, free delivery over £50.</t>
        </is>
      </c>
      <c r="Q145" s="45">
        <f>LEN(P145)</f>
        <v/>
      </c>
      <c r="R145" s="49" t="inlineStr">
        <is>
          <t>Target keyword is shared with its collection page (/collections/hair-mask-for-dry-hair)</t>
        </is>
      </c>
    </row>
    <row r="146" ht="23.25" customHeight="1" s="37">
      <c r="A146" s="45" t="inlineStr">
        <is>
          <t>VD-145</t>
        </is>
      </c>
      <c r="B146" s="45" t="inlineStr">
        <is>
          <t>Vilvah &amp; Deyga</t>
        </is>
      </c>
      <c r="C146" s="45" t="inlineStr">
        <is>
          <t>Deyga</t>
        </is>
      </c>
      <c r="D146" s="45" t="inlineStr">
        <is>
          <t>Instant Hair Removal Kit with Toner</t>
        </is>
      </c>
      <c r="E146" s="45" t="n"/>
      <c r="F146" s="46" t="n">
        <v>22.99</v>
      </c>
      <c r="G146" s="45" t="inlineStr">
        <is>
          <t>hair mask for dry hair</t>
        </is>
      </c>
      <c r="H146" s="47">
        <f>IFERROR(INDEX('Semrush Data'!$C$2:$C$5000,MATCH(G146,'Semrush Data'!$A$2:$A$5000,0)),"")</f>
        <v/>
      </c>
      <c r="I146" s="45">
        <f>IFERROR(INDEX('Semrush Data'!$D$2:$D$5000,MATCH(G146,'Semrush Data'!$A$2:$A$5000,0)),"")</f>
        <v/>
      </c>
      <c r="J146" s="45">
        <f>IF(OR(H146="",H146=0),"No volume",IF(I146&lt;=20,"Easier",IF(I146&lt;=35,"Medium","Hard")))</f>
        <v/>
      </c>
      <c r="K146" s="45" t="inlineStr">
        <is>
          <t>deyga</t>
        </is>
      </c>
      <c r="L146" s="47">
        <f>IF(K146="","",IFERROR(INDEX('Semrush Data'!$C$2:$C$5000,MATCH(K146,'Semrush Data'!$A$2:$A$5000,0)),""))</f>
        <v/>
      </c>
      <c r="M146" s="48" t="inlineStr">
        <is>
          <t>Deyga Instant Hair Removal Kit with Toner</t>
        </is>
      </c>
      <c r="N146" s="45" t="inlineStr">
        <is>
          <t>Deyga Instant Hair Removal Kit with Toner | Swansura UK</t>
        </is>
      </c>
      <c r="O146" s="45">
        <f>LEN(N146)</f>
        <v/>
      </c>
      <c r="P146" s="49" t="inlineStr">
        <is>
          <t>Buy Deyga Instant Hair Removal Kit with Toner, a natural hair mask for dry hair from Deyga. Official UK partner, 100% authentic, free UK delivery over £50.</t>
        </is>
      </c>
      <c r="Q146" s="45">
        <f>LEN(P146)</f>
        <v/>
      </c>
      <c r="R146" s="49" t="inlineStr">
        <is>
          <t>Target keyword is shared with its collection page (/collections/hair-mask-for-dry-hair)</t>
        </is>
      </c>
    </row>
    <row r="147" ht="23.25" customHeight="1" s="37">
      <c r="A147" s="45" t="inlineStr">
        <is>
          <t>VD-146</t>
        </is>
      </c>
      <c r="B147" s="45" t="inlineStr">
        <is>
          <t>Vilvah &amp; Deyga</t>
        </is>
      </c>
      <c r="C147" s="45" t="inlineStr">
        <is>
          <t>Deyga</t>
        </is>
      </c>
      <c r="D147" s="45" t="inlineStr">
        <is>
          <t>Healthy Glow Kit</t>
        </is>
      </c>
      <c r="E147" s="45" t="n"/>
      <c r="F147" s="46" t="n">
        <v>19.99</v>
      </c>
      <c r="G147" s="45" t="inlineStr">
        <is>
          <t>body lotion for dry skin</t>
        </is>
      </c>
      <c r="H147" s="47">
        <f>IFERROR(INDEX('Semrush Data'!$C$2:$C$5000,MATCH(G147,'Semrush Data'!$A$2:$A$5000,0)),"")</f>
        <v/>
      </c>
      <c r="I147" s="45">
        <f>IFERROR(INDEX('Semrush Data'!$D$2:$D$5000,MATCH(G147,'Semrush Data'!$A$2:$A$5000,0)),"")</f>
        <v/>
      </c>
      <c r="J147" s="45">
        <f>IF(OR(H147="",H147=0),"No volume",IF(I147&lt;=20,"Easier",IF(I147&lt;=35,"Medium","Hard")))</f>
        <v/>
      </c>
      <c r="K147" s="45" t="inlineStr">
        <is>
          <t>deyga</t>
        </is>
      </c>
      <c r="L147" s="47">
        <f>IF(K147="","",IFERROR(INDEX('Semrush Data'!$C$2:$C$5000,MATCH(K147,'Semrush Data'!$A$2:$A$5000,0)),""))</f>
        <v/>
      </c>
      <c r="M147" s="48" t="inlineStr">
        <is>
          <t>Deyga Healthy Glow Kit</t>
        </is>
      </c>
      <c r="N147" s="45" t="inlineStr">
        <is>
          <t>Deyga Healthy Glow Kit – Body Lotion for Dry Skin | Swansura</t>
        </is>
      </c>
      <c r="O147" s="45">
        <f>LEN(N147)</f>
        <v/>
      </c>
      <c r="P147" s="49" t="inlineStr">
        <is>
          <t>Buy Deyga Healthy Glow Kit, a natural body lotion for dry skin from Deyga. Official UK partner: 100% authentic, shipped from the UK, free delivery over £50.</t>
        </is>
      </c>
      <c r="Q147" s="45">
        <f>LEN(P147)</f>
        <v/>
      </c>
      <c r="R147" s="49" t="inlineStr">
        <is>
          <t>Target keyword is shared with its collection page (/collections/body-lotion-for-dry-skin)</t>
        </is>
      </c>
    </row>
    <row r="148" ht="23.25" customHeight="1" s="37">
      <c r="A148" s="45" t="inlineStr">
        <is>
          <t>VD-147</t>
        </is>
      </c>
      <c r="B148" s="45" t="inlineStr">
        <is>
          <t>Vilvah &amp; Deyga</t>
        </is>
      </c>
      <c r="C148" s="45" t="inlineStr">
        <is>
          <t>Deyga</t>
        </is>
      </c>
      <c r="D148" s="45" t="inlineStr">
        <is>
          <t>Hair Nourishment Kit</t>
        </is>
      </c>
      <c r="E148" s="45" t="n"/>
      <c r="F148" s="46" t="n">
        <v>25.99</v>
      </c>
      <c r="G148" s="45" t="inlineStr">
        <is>
          <t>hair mask for dry hair</t>
        </is>
      </c>
      <c r="H148" s="47">
        <f>IFERROR(INDEX('Semrush Data'!$C$2:$C$5000,MATCH(G148,'Semrush Data'!$A$2:$A$5000,0)),"")</f>
        <v/>
      </c>
      <c r="I148" s="45">
        <f>IFERROR(INDEX('Semrush Data'!$D$2:$D$5000,MATCH(G148,'Semrush Data'!$A$2:$A$5000,0)),"")</f>
        <v/>
      </c>
      <c r="J148" s="45">
        <f>IF(OR(H148="",H148=0),"No volume",IF(I148&lt;=20,"Easier",IF(I148&lt;=35,"Medium","Hard")))</f>
        <v/>
      </c>
      <c r="K148" s="45" t="inlineStr">
        <is>
          <t>deyga</t>
        </is>
      </c>
      <c r="L148" s="47">
        <f>IF(K148="","",IFERROR(INDEX('Semrush Data'!$C$2:$C$5000,MATCH(K148,'Semrush Data'!$A$2:$A$5000,0)),""))</f>
        <v/>
      </c>
      <c r="M148" s="48" t="inlineStr">
        <is>
          <t>Deyga Hair Nourishment Kit</t>
        </is>
      </c>
      <c r="N148" s="45" t="inlineStr">
        <is>
          <t>Deyga Hair Nourishment Kit | Hair Mask for Dry Hair</t>
        </is>
      </c>
      <c r="O148" s="45">
        <f>LEN(N148)</f>
        <v/>
      </c>
      <c r="P148" s="49" t="inlineStr">
        <is>
          <t>Buy Deyga Hair Nourishment Kit, a natural hair mask for dry hair from Deyga. Official UK partner: 100% authentic, shipped from the UK, free delivery over £50.</t>
        </is>
      </c>
      <c r="Q148" s="45">
        <f>LEN(P148)</f>
        <v/>
      </c>
      <c r="R148" s="49" t="inlineStr">
        <is>
          <t>Target keyword is shared with its collection page (/collections/hair-mask-for-dry-hair)</t>
        </is>
      </c>
    </row>
    <row r="149" ht="23.25" customHeight="1" s="37">
      <c r="A149" s="45" t="inlineStr">
        <is>
          <t>VD-148</t>
        </is>
      </c>
      <c r="B149" s="45" t="inlineStr">
        <is>
          <t>Vilvah &amp; Deyga</t>
        </is>
      </c>
      <c r="C149" s="45" t="inlineStr">
        <is>
          <t>Deyga</t>
        </is>
      </c>
      <c r="D149" s="45" t="inlineStr">
        <is>
          <t>Sensitive Skin Kit</t>
        </is>
      </c>
      <c r="E149" s="45" t="n"/>
      <c r="F149" s="46" t="n">
        <v>16.99</v>
      </c>
      <c r="G149" s="45" t="inlineStr">
        <is>
          <t>skincare gift set</t>
        </is>
      </c>
      <c r="H149" s="47">
        <f>IFERROR(INDEX('Semrush Data'!$C$2:$C$5000,MATCH(G149,'Semrush Data'!$A$2:$A$5000,0)),"")</f>
        <v/>
      </c>
      <c r="I149" s="45">
        <f>IFERROR(INDEX('Semrush Data'!$D$2:$D$5000,MATCH(G149,'Semrush Data'!$A$2:$A$5000,0)),"")</f>
        <v/>
      </c>
      <c r="J149" s="45">
        <f>IF(OR(H149="",H149=0),"No volume",IF(I149&lt;=20,"Easier",IF(I149&lt;=35,"Medium","Hard")))</f>
        <v/>
      </c>
      <c r="K149" s="45" t="inlineStr">
        <is>
          <t>deyga</t>
        </is>
      </c>
      <c r="L149" s="47">
        <f>IF(K149="","",IFERROR(INDEX('Semrush Data'!$C$2:$C$5000,MATCH(K149,'Semrush Data'!$A$2:$A$5000,0)),""))</f>
        <v/>
      </c>
      <c r="M149" s="48" t="inlineStr">
        <is>
          <t>Deyga Sensitive Skin Kit</t>
        </is>
      </c>
      <c r="N149" s="45" t="inlineStr">
        <is>
          <t>Deyga Sensitive Skin Kit – Skincare Gift Set | Swansura</t>
        </is>
      </c>
      <c r="O149" s="45">
        <f>LEN(N149)</f>
        <v/>
      </c>
      <c r="P149" s="49" t="inlineStr">
        <is>
          <t>Buy Deyga Sensitive Skin Kit, natural skincare gift set from Deyga. Official UK partner: 100% authentic, shipped from the UK, free delivery over £50.</t>
        </is>
      </c>
      <c r="Q149" s="45">
        <f>LEN(P149)</f>
        <v/>
      </c>
      <c r="R149" s="49" t="inlineStr">
        <is>
          <t>Target keyword is shared with its collection page (/collections/gifts-for-her)</t>
        </is>
      </c>
    </row>
    <row r="150" ht="23.25" customHeight="1" s="37">
      <c r="A150" s="45" t="inlineStr">
        <is>
          <t>VD-149</t>
        </is>
      </c>
      <c r="B150" s="45" t="inlineStr">
        <is>
          <t>Vilvah &amp; Deyga</t>
        </is>
      </c>
      <c r="C150" s="45" t="inlineStr">
        <is>
          <t>Deyga</t>
        </is>
      </c>
      <c r="D150" s="45" t="inlineStr">
        <is>
          <t>ABC Kit</t>
        </is>
      </c>
      <c r="E150" s="45" t="n"/>
      <c r="F150" s="46" t="n">
        <v>22.99</v>
      </c>
      <c r="G150" s="45" t="inlineStr">
        <is>
          <t>body lotion for dry skin</t>
        </is>
      </c>
      <c r="H150" s="47">
        <f>IFERROR(INDEX('Semrush Data'!$C$2:$C$5000,MATCH(G150,'Semrush Data'!$A$2:$A$5000,0)),"")</f>
        <v/>
      </c>
      <c r="I150" s="45">
        <f>IFERROR(INDEX('Semrush Data'!$D$2:$D$5000,MATCH(G150,'Semrush Data'!$A$2:$A$5000,0)),"")</f>
        <v/>
      </c>
      <c r="J150" s="45">
        <f>IF(OR(H150="",H150=0),"No volume",IF(I150&lt;=20,"Easier",IF(I150&lt;=35,"Medium","Hard")))</f>
        <v/>
      </c>
      <c r="K150" s="45" t="inlineStr">
        <is>
          <t>deyga</t>
        </is>
      </c>
      <c r="L150" s="47">
        <f>IF(K150="","",IFERROR(INDEX('Semrush Data'!$C$2:$C$5000,MATCH(K150,'Semrush Data'!$A$2:$A$5000,0)),""))</f>
        <v/>
      </c>
      <c r="M150" s="48" t="inlineStr">
        <is>
          <t>Deyga ABC Kit</t>
        </is>
      </c>
      <c r="N150" s="45" t="inlineStr">
        <is>
          <t>Deyga ABC Kit – Body Lotion for Dry Skin | Swansura</t>
        </is>
      </c>
      <c r="O150" s="45">
        <f>LEN(N150)</f>
        <v/>
      </c>
      <c r="P150" s="49" t="inlineStr">
        <is>
          <t>Buy Deyga ABC Kit, a natural body lotion for dry skin from Deyga. Aloe Vera Gel – deeply hydrates and soothes the skin, leaving it. Free UK delivery over £50.</t>
        </is>
      </c>
      <c r="Q150" s="45">
        <f>LEN(P150)</f>
        <v/>
      </c>
      <c r="R150" s="49" t="inlineStr">
        <is>
          <t>Target keyword is shared with its collection page (/collections/body-lotion-for-dry-skin)</t>
        </is>
      </c>
    </row>
    <row r="151" ht="23.25" customHeight="1" s="37">
      <c r="A151" s="45" t="inlineStr">
        <is>
          <t>VD-150</t>
        </is>
      </c>
      <c r="B151" s="45" t="inlineStr">
        <is>
          <t>Vilvah &amp; Deyga</t>
        </is>
      </c>
      <c r="C151" s="45" t="inlineStr">
        <is>
          <t>Deyga</t>
        </is>
      </c>
      <c r="D151" s="45" t="inlineStr">
        <is>
          <t>Hydro Boosting Skin Care Kit</t>
        </is>
      </c>
      <c r="E151" s="45" t="n"/>
      <c r="F151" s="46" t="n">
        <v>14.99</v>
      </c>
      <c r="G151" s="45" t="inlineStr">
        <is>
          <t>skincare for dry skin</t>
        </is>
      </c>
      <c r="H151" s="47">
        <f>IFERROR(INDEX('Semrush Data'!$C$2:$C$5000,MATCH(G151,'Semrush Data'!$A$2:$A$5000,0)),"")</f>
        <v/>
      </c>
      <c r="I151" s="45">
        <f>IFERROR(INDEX('Semrush Data'!$D$2:$D$5000,MATCH(G151,'Semrush Data'!$A$2:$A$5000,0)),"")</f>
        <v/>
      </c>
      <c r="J151" s="45">
        <f>IF(OR(H151="",H151=0),"No volume",IF(I151&lt;=20,"Easier",IF(I151&lt;=35,"Medium","Hard")))</f>
        <v/>
      </c>
      <c r="K151" s="45" t="inlineStr">
        <is>
          <t>deyga</t>
        </is>
      </c>
      <c r="L151" s="47">
        <f>IF(K151="","",IFERROR(INDEX('Semrush Data'!$C$2:$C$5000,MATCH(K151,'Semrush Data'!$A$2:$A$5000,0)),""))</f>
        <v/>
      </c>
      <c r="M151" s="48" t="inlineStr">
        <is>
          <t>Deyga Hydro Boosting Skin Care Kit</t>
        </is>
      </c>
      <c r="N151" s="45" t="inlineStr">
        <is>
          <t>Deyga Hydro Boosting Skin Care Kit | Skincare for Dry Skin</t>
        </is>
      </c>
      <c r="O151" s="45">
        <f>LEN(N151)</f>
        <v/>
      </c>
      <c r="P151" s="49" t="inlineStr">
        <is>
          <t>Deyga Hydro Boosting Skin Care Kit: natural skincare for dry skin from Deyga. Official UK partner: 100% authentic, shipped from the UK, free delivery over £50.</t>
        </is>
      </c>
      <c r="Q151" s="45">
        <f>LEN(P151)</f>
        <v/>
      </c>
      <c r="R151" s="49" t="inlineStr">
        <is>
          <t>Target keyword is shared with its collection page (/collections/dry-skin)</t>
        </is>
      </c>
    </row>
    <row r="152" ht="23.25" customHeight="1" s="37">
      <c r="A152" s="45" t="inlineStr">
        <is>
          <t>VD-151</t>
        </is>
      </c>
      <c r="B152" s="45" t="inlineStr">
        <is>
          <t>Vilvah &amp; Deyga</t>
        </is>
      </c>
      <c r="C152" s="45" t="inlineStr">
        <is>
          <t>Deyga</t>
        </is>
      </c>
      <c r="D152" s="45" t="inlineStr">
        <is>
          <t>Hair Care Kit</t>
        </is>
      </c>
      <c r="E152" s="45" t="n"/>
      <c r="F152" s="46" t="n">
        <v>18.99</v>
      </c>
      <c r="G152" s="45" t="inlineStr">
        <is>
          <t>hair mask for dry hair</t>
        </is>
      </c>
      <c r="H152" s="47">
        <f>IFERROR(INDEX('Semrush Data'!$C$2:$C$5000,MATCH(G152,'Semrush Data'!$A$2:$A$5000,0)),"")</f>
        <v/>
      </c>
      <c r="I152" s="45">
        <f>IFERROR(INDEX('Semrush Data'!$D$2:$D$5000,MATCH(G152,'Semrush Data'!$A$2:$A$5000,0)),"")</f>
        <v/>
      </c>
      <c r="J152" s="45">
        <f>IF(OR(H152="",H152=0),"No volume",IF(I152&lt;=20,"Easier",IF(I152&lt;=35,"Medium","Hard")))</f>
        <v/>
      </c>
      <c r="K152" s="45" t="inlineStr">
        <is>
          <t>deyga</t>
        </is>
      </c>
      <c r="L152" s="47">
        <f>IF(K152="","",IFERROR(INDEX('Semrush Data'!$C$2:$C$5000,MATCH(K152,'Semrush Data'!$A$2:$A$5000,0)),""))</f>
        <v/>
      </c>
      <c r="M152" s="48" t="inlineStr">
        <is>
          <t>Deyga Hair Care Kit</t>
        </is>
      </c>
      <c r="N152" s="45" t="inlineStr">
        <is>
          <t>Deyga Hair Care Kit – Hair Mask for Dry Hair | Swansura</t>
        </is>
      </c>
      <c r="O152" s="45">
        <f>LEN(N152)</f>
        <v/>
      </c>
      <c r="P152" s="49" t="inlineStr">
        <is>
          <t>Buy Deyga Hair Care Kit, a natural hair mask for dry hair from Deyga. Official UK partner: 100% authentic, shipped from the UK, free delivery over £50.</t>
        </is>
      </c>
      <c r="Q152" s="45">
        <f>LEN(P152)</f>
        <v/>
      </c>
      <c r="R152" s="49" t="inlineStr">
        <is>
          <t>Target keyword is shared with its collection page (/collections/hair-mask-for-dry-hair)</t>
        </is>
      </c>
    </row>
    <row r="153" ht="23.25" customHeight="1" s="37">
      <c r="A153" s="45" t="inlineStr">
        <is>
          <t>VD-152</t>
        </is>
      </c>
      <c r="B153" s="45" t="inlineStr">
        <is>
          <t>Vilvah &amp; Deyga</t>
        </is>
      </c>
      <c r="C153" s="45" t="inlineStr">
        <is>
          <t>Deyga</t>
        </is>
      </c>
      <c r="D153" s="45" t="inlineStr">
        <is>
          <t>Hair Strengthening Kit</t>
        </is>
      </c>
      <c r="E153" s="45" t="n"/>
      <c r="F153" s="46" t="n">
        <v>48.99</v>
      </c>
      <c r="G153" s="45" t="inlineStr">
        <is>
          <t>skincare gift set</t>
        </is>
      </c>
      <c r="H153" s="47">
        <f>IFERROR(INDEX('Semrush Data'!$C$2:$C$5000,MATCH(G153,'Semrush Data'!$A$2:$A$5000,0)),"")</f>
        <v/>
      </c>
      <c r="I153" s="45">
        <f>IFERROR(INDEX('Semrush Data'!$D$2:$D$5000,MATCH(G153,'Semrush Data'!$A$2:$A$5000,0)),"")</f>
        <v/>
      </c>
      <c r="J153" s="45">
        <f>IF(OR(H153="",H153=0),"No volume",IF(I153&lt;=20,"Easier",IF(I153&lt;=35,"Medium","Hard")))</f>
        <v/>
      </c>
      <c r="K153" s="45" t="inlineStr">
        <is>
          <t>deyga</t>
        </is>
      </c>
      <c r="L153" s="47">
        <f>IF(K153="","",IFERROR(INDEX('Semrush Data'!$C$2:$C$5000,MATCH(K153,'Semrush Data'!$A$2:$A$5000,0)),""))</f>
        <v/>
      </c>
      <c r="M153" s="48" t="inlineStr">
        <is>
          <t>Deyga Hair Strengthening Kit</t>
        </is>
      </c>
      <c r="N153" s="45" t="inlineStr">
        <is>
          <t>Deyga Hair Strengthening Kit – Skincare Gift Set | Swansura</t>
        </is>
      </c>
      <c r="O153" s="45">
        <f>LEN(N153)</f>
        <v/>
      </c>
      <c r="P153" s="49" t="inlineStr">
        <is>
          <t>Buy Deyga Hair Strengthening Kit, natural skincare gift set from Deyga. Official UK partner: 100% authentic, shipped from the UK, free delivery over £50.</t>
        </is>
      </c>
      <c r="Q153" s="45">
        <f>LEN(P153)</f>
        <v/>
      </c>
      <c r="R153" s="49" t="inlineStr">
        <is>
          <t>Target keyword is shared with its collection page (/collections/gifts-for-her)</t>
        </is>
      </c>
    </row>
    <row r="154" ht="23.25" customHeight="1" s="37">
      <c r="A154" s="45" t="inlineStr">
        <is>
          <t>VD-153</t>
        </is>
      </c>
      <c r="B154" s="45" t="inlineStr">
        <is>
          <t>Vilvah &amp; Deyga</t>
        </is>
      </c>
      <c r="C154" s="45" t="inlineStr">
        <is>
          <t>Deyga</t>
        </is>
      </c>
      <c r="D154" s="45" t="inlineStr">
        <is>
          <t>Nourished Lip Care Kit</t>
        </is>
      </c>
      <c r="E154" s="45" t="n"/>
      <c r="F154" s="46" t="n">
        <v>25.99</v>
      </c>
      <c r="G154" s="45" t="inlineStr">
        <is>
          <t>lip balm for dry lips</t>
        </is>
      </c>
      <c r="H154" s="47">
        <f>IFERROR(INDEX('Semrush Data'!$C$2:$C$5000,MATCH(G154,'Semrush Data'!$A$2:$A$5000,0)),"")</f>
        <v/>
      </c>
      <c r="I154" s="45">
        <f>IFERROR(INDEX('Semrush Data'!$D$2:$D$5000,MATCH(G154,'Semrush Data'!$A$2:$A$5000,0)),"")</f>
        <v/>
      </c>
      <c r="J154" s="45">
        <f>IF(OR(H154="",H154=0),"No volume",IF(I154&lt;=20,"Easier",IF(I154&lt;=35,"Medium","Hard")))</f>
        <v/>
      </c>
      <c r="K154" s="45" t="inlineStr">
        <is>
          <t>deyga</t>
        </is>
      </c>
      <c r="L154" s="47">
        <f>IF(K154="","",IFERROR(INDEX('Semrush Data'!$C$2:$C$5000,MATCH(K154,'Semrush Data'!$A$2:$A$5000,0)),""))</f>
        <v/>
      </c>
      <c r="M154" s="48" t="inlineStr">
        <is>
          <t>Deyga Nourished Lip Care Kit</t>
        </is>
      </c>
      <c r="N154" s="45" t="inlineStr">
        <is>
          <t>Deyga Nourished Lip Care Kit | Lip Balm for Dry Lips</t>
        </is>
      </c>
      <c r="O154" s="45">
        <f>LEN(N154)</f>
        <v/>
      </c>
      <c r="P154" s="49" t="inlineStr">
        <is>
          <t>Buy Deyga Nourished Lip Care Kit, a natural lip balm for dry lips from Deyga. Official UK partner: 100% authentic, shipped from the UK, free delivery over £50.</t>
        </is>
      </c>
      <c r="Q154" s="45">
        <f>LEN(P154)</f>
        <v/>
      </c>
      <c r="R154" s="49" t="inlineStr">
        <is>
          <t>Target keyword is shared with its collection page (/collections/lip-balm-for-dry-lips)</t>
        </is>
      </c>
    </row>
    <row r="155" ht="23.25" customHeight="1" s="37">
      <c r="A155" s="45" t="inlineStr">
        <is>
          <t>VD-154</t>
        </is>
      </c>
      <c r="B155" s="45" t="inlineStr">
        <is>
          <t>Vilvah &amp; Deyga</t>
        </is>
      </c>
      <c r="C155" s="45" t="inlineStr">
        <is>
          <t>Deyga</t>
        </is>
      </c>
      <c r="D155" s="45" t="inlineStr">
        <is>
          <t>Natural Hair Care Kit</t>
        </is>
      </c>
      <c r="E155" s="45" t="n"/>
      <c r="F155" s="46" t="n">
        <v>24.99</v>
      </c>
      <c r="G155" s="45" t="inlineStr">
        <is>
          <t>hair mask for dry hair</t>
        </is>
      </c>
      <c r="H155" s="47">
        <f>IFERROR(INDEX('Semrush Data'!$C$2:$C$5000,MATCH(G155,'Semrush Data'!$A$2:$A$5000,0)),"")</f>
        <v/>
      </c>
      <c r="I155" s="45">
        <f>IFERROR(INDEX('Semrush Data'!$D$2:$D$5000,MATCH(G155,'Semrush Data'!$A$2:$A$5000,0)),"")</f>
        <v/>
      </c>
      <c r="J155" s="45">
        <f>IF(OR(H155="",H155=0),"No volume",IF(I155&lt;=20,"Easier",IF(I155&lt;=35,"Medium","Hard")))</f>
        <v/>
      </c>
      <c r="K155" s="45" t="inlineStr">
        <is>
          <t>deyga</t>
        </is>
      </c>
      <c r="L155" s="47">
        <f>IF(K155="","",IFERROR(INDEX('Semrush Data'!$C$2:$C$5000,MATCH(K155,'Semrush Data'!$A$2:$A$5000,0)),""))</f>
        <v/>
      </c>
      <c r="M155" s="48" t="inlineStr">
        <is>
          <t>Deyga Natural Hair Care Kit</t>
        </is>
      </c>
      <c r="N155" s="45" t="inlineStr">
        <is>
          <t>Deyga Natural Hair Care Kit | Hair Mask for Dry Hair</t>
        </is>
      </c>
      <c r="O155" s="45">
        <f>LEN(N155)</f>
        <v/>
      </c>
      <c r="P155" s="49" t="inlineStr">
        <is>
          <t>Buy Deyga Natural Hair Care Kit, a natural hair mask for dry hair from Deyga. Official UK partner: 100% authentic, shipped from the UK, free delivery over £50.</t>
        </is>
      </c>
      <c r="Q155" s="45">
        <f>LEN(P155)</f>
        <v/>
      </c>
      <c r="R155" s="49" t="inlineStr">
        <is>
          <t>Target keyword is shared with its collection page (/collections/hair-mask-for-dry-hair)</t>
        </is>
      </c>
    </row>
    <row r="156" ht="23.25" customHeight="1" s="37">
      <c r="A156" s="45" t="inlineStr">
        <is>
          <t>VD-155</t>
        </is>
      </c>
      <c r="B156" s="45" t="inlineStr">
        <is>
          <t>Vilvah &amp; Deyga</t>
        </is>
      </c>
      <c r="C156" s="45" t="inlineStr">
        <is>
          <t>Deyga</t>
        </is>
      </c>
      <c r="D156" s="45" t="inlineStr">
        <is>
          <t>Double Hydration Kit</t>
        </is>
      </c>
      <c r="E156" s="45" t="n"/>
      <c r="F156" s="46" t="n">
        <v>14.99</v>
      </c>
      <c r="G156" s="45" t="inlineStr">
        <is>
          <t>skincare for dry skin</t>
        </is>
      </c>
      <c r="H156" s="47">
        <f>IFERROR(INDEX('Semrush Data'!$C$2:$C$5000,MATCH(G156,'Semrush Data'!$A$2:$A$5000,0)),"")</f>
        <v/>
      </c>
      <c r="I156" s="45">
        <f>IFERROR(INDEX('Semrush Data'!$D$2:$D$5000,MATCH(G156,'Semrush Data'!$A$2:$A$5000,0)),"")</f>
        <v/>
      </c>
      <c r="J156" s="45">
        <f>IF(OR(H156="",H156=0),"No volume",IF(I156&lt;=20,"Easier",IF(I156&lt;=35,"Medium","Hard")))</f>
        <v/>
      </c>
      <c r="K156" s="45" t="inlineStr">
        <is>
          <t>deyga</t>
        </is>
      </c>
      <c r="L156" s="47">
        <f>IF(K156="","",IFERROR(INDEX('Semrush Data'!$C$2:$C$5000,MATCH(K156,'Semrush Data'!$A$2:$A$5000,0)),""))</f>
        <v/>
      </c>
      <c r="M156" s="48" t="inlineStr">
        <is>
          <t>Deyga Double Hydration Kit</t>
        </is>
      </c>
      <c r="N156" s="45" t="inlineStr">
        <is>
          <t>Deyga Double Hydration Kit | Skincare for Dry Skin</t>
        </is>
      </c>
      <c r="O156" s="45">
        <f>LEN(N156)</f>
        <v/>
      </c>
      <c r="P156" s="49" t="inlineStr">
        <is>
          <t>Buy Deyga Double Hydration Kit, natural skincare for dry skin from Deyga. Official UK partner: 100% authentic, shipped from the UK, free delivery over £50.</t>
        </is>
      </c>
      <c r="Q156" s="45">
        <f>LEN(P156)</f>
        <v/>
      </c>
      <c r="R156" s="49" t="inlineStr">
        <is>
          <t>Target keyword is shared with its collection page (/collections/dry-skin)</t>
        </is>
      </c>
    </row>
    <row r="157" ht="23.25" customHeight="1" s="37">
      <c r="A157" s="45" t="inlineStr">
        <is>
          <t>VD-156</t>
        </is>
      </c>
      <c r="B157" s="45" t="inlineStr">
        <is>
          <t>Vilvah &amp; Deyga</t>
        </is>
      </c>
      <c r="C157" s="45" t="inlineStr">
        <is>
          <t>Deyga</t>
        </is>
      </c>
      <c r="D157" s="45" t="inlineStr">
        <is>
          <t>Nourished Lips Stick Kit</t>
        </is>
      </c>
      <c r="E157" s="45" t="n"/>
      <c r="F157" s="46" t="n">
        <v>27.99</v>
      </c>
      <c r="G157" s="45" t="inlineStr">
        <is>
          <t>lip balm for dry lips</t>
        </is>
      </c>
      <c r="H157" s="47">
        <f>IFERROR(INDEX('Semrush Data'!$C$2:$C$5000,MATCH(G157,'Semrush Data'!$A$2:$A$5000,0)),"")</f>
        <v/>
      </c>
      <c r="I157" s="45">
        <f>IFERROR(INDEX('Semrush Data'!$D$2:$D$5000,MATCH(G157,'Semrush Data'!$A$2:$A$5000,0)),"")</f>
        <v/>
      </c>
      <c r="J157" s="45">
        <f>IF(OR(H157="",H157=0),"No volume",IF(I157&lt;=20,"Easier",IF(I157&lt;=35,"Medium","Hard")))</f>
        <v/>
      </c>
      <c r="K157" s="45" t="inlineStr">
        <is>
          <t>deyga</t>
        </is>
      </c>
      <c r="L157" s="47">
        <f>IF(K157="","",IFERROR(INDEX('Semrush Data'!$C$2:$C$5000,MATCH(K157,'Semrush Data'!$A$2:$A$5000,0)),""))</f>
        <v/>
      </c>
      <c r="M157" s="48" t="inlineStr">
        <is>
          <t>Deyga Nourished Lips Stick Kit</t>
        </is>
      </c>
      <c r="N157" s="45" t="inlineStr">
        <is>
          <t>Deyga Nourished Lips Stick Kit | Lip Balm for Dry Lips</t>
        </is>
      </c>
      <c r="O157" s="45">
        <f>LEN(N157)</f>
        <v/>
      </c>
      <c r="P157" s="49" t="inlineStr">
        <is>
          <t>Deyga Nourished Lips Stick Kit: a natural lip balm for dry lips from Deyga. Official UK partner: 100% authentic, shipped from the UK, free delivery over £50.</t>
        </is>
      </c>
      <c r="Q157" s="45">
        <f>LEN(P157)</f>
        <v/>
      </c>
      <c r="R157" s="49" t="inlineStr">
        <is>
          <t>Target keyword is shared with its collection page (/collections/lip-balm-for-dry-lips)</t>
        </is>
      </c>
    </row>
    <row r="158" ht="23.25" customHeight="1" s="37">
      <c r="A158" s="45" t="inlineStr">
        <is>
          <t>VD-157</t>
        </is>
      </c>
      <c r="B158" s="45" t="inlineStr">
        <is>
          <t>Vilvah &amp; Deyga</t>
        </is>
      </c>
      <c r="C158" s="45" t="inlineStr">
        <is>
          <t>Deyga</t>
        </is>
      </c>
      <c r="D158" s="45" t="inlineStr">
        <is>
          <t>De- Tan &amp; Pigmentation Kit</t>
        </is>
      </c>
      <c r="E158" s="45" t="n"/>
      <c r="F158" s="46" t="n">
        <v>34.99</v>
      </c>
      <c r="G158" s="45" t="inlineStr">
        <is>
          <t>natural sunscreen</t>
        </is>
      </c>
      <c r="H158" s="47">
        <f>IFERROR(INDEX('Semrush Data'!$C$2:$C$5000,MATCH(G158,'Semrush Data'!$A$2:$A$5000,0)),"")</f>
        <v/>
      </c>
      <c r="I158" s="45">
        <f>IFERROR(INDEX('Semrush Data'!$D$2:$D$5000,MATCH(G158,'Semrush Data'!$A$2:$A$5000,0)),"")</f>
        <v/>
      </c>
      <c r="J158" s="45">
        <f>IF(OR(H158="",H158=0),"No volume",IF(I158&lt;=20,"Easier",IF(I158&lt;=35,"Medium","Hard")))</f>
        <v/>
      </c>
      <c r="K158" s="45" t="inlineStr">
        <is>
          <t>deyga</t>
        </is>
      </c>
      <c r="L158" s="47">
        <f>IF(K158="","",IFERROR(INDEX('Semrush Data'!$C$2:$C$5000,MATCH(K158,'Semrush Data'!$A$2:$A$5000,0)),""))</f>
        <v/>
      </c>
      <c r="M158" s="48" t="inlineStr">
        <is>
          <t>Deyga De- Tan &amp; Pigmentation Kit</t>
        </is>
      </c>
      <c r="N158" s="45" t="inlineStr">
        <is>
          <t>Deyga De- Tan &amp; Pigmentation Kit | Natural Sunscreen</t>
        </is>
      </c>
      <c r="O158" s="45">
        <f>LEN(N158)</f>
        <v/>
      </c>
      <c r="P158" s="49" t="inlineStr">
        <is>
          <t>Buy Deyga De- Tan &amp; Pigmentation Kit, a natural sunscreen from Deyga. Official UK partner: 100% authentic, shipped from the UK, free delivery over £50.</t>
        </is>
      </c>
      <c r="Q158" s="45">
        <f>LEN(P158)</f>
        <v/>
      </c>
      <c r="R158" s="49" t="inlineStr">
        <is>
          <t>Target keyword is shared with its collection page (/collections/natural-sunscreen)</t>
        </is>
      </c>
    </row>
    <row r="159" ht="23.25" customHeight="1" s="37">
      <c r="A159" s="45" t="inlineStr">
        <is>
          <t>VD-158</t>
        </is>
      </c>
      <c r="B159" s="45" t="inlineStr">
        <is>
          <t>Vilvah &amp; Deyga</t>
        </is>
      </c>
      <c r="C159" s="45" t="inlineStr">
        <is>
          <t>Deyga</t>
        </is>
      </c>
      <c r="D159" s="45" t="inlineStr">
        <is>
          <t>Game Changer Face Care Kit</t>
        </is>
      </c>
      <c r="E159" s="45" t="n"/>
      <c r="F159" s="46" t="n">
        <v>16.99</v>
      </c>
      <c r="G159" s="45" t="inlineStr">
        <is>
          <t>body lotion for dry skin</t>
        </is>
      </c>
      <c r="H159" s="47">
        <f>IFERROR(INDEX('Semrush Data'!$C$2:$C$5000,MATCH(G159,'Semrush Data'!$A$2:$A$5000,0)),"")</f>
        <v/>
      </c>
      <c r="I159" s="45">
        <f>IFERROR(INDEX('Semrush Data'!$D$2:$D$5000,MATCH(G159,'Semrush Data'!$A$2:$A$5000,0)),"")</f>
        <v/>
      </c>
      <c r="J159" s="45">
        <f>IF(OR(H159="",H159=0),"No volume",IF(I159&lt;=20,"Easier",IF(I159&lt;=35,"Medium","Hard")))</f>
        <v/>
      </c>
      <c r="K159" s="45" t="inlineStr">
        <is>
          <t>deyga</t>
        </is>
      </c>
      <c r="L159" s="47">
        <f>IF(K159="","",IFERROR(INDEX('Semrush Data'!$C$2:$C$5000,MATCH(K159,'Semrush Data'!$A$2:$A$5000,0)),""))</f>
        <v/>
      </c>
      <c r="M159" s="48" t="inlineStr">
        <is>
          <t>Deyga Game Changer Face Care Kit</t>
        </is>
      </c>
      <c r="N159" s="45" t="inlineStr">
        <is>
          <t>Deyga Game Changer Face Care Kit | Body Lotion for Dry Skin</t>
        </is>
      </c>
      <c r="O159" s="45">
        <f>LEN(N159)</f>
        <v/>
      </c>
      <c r="P159" s="49" t="inlineStr">
        <is>
          <t>Buy Deyga Game Changer Face Care Kit, a natural body lotion for dry skin from Deyga. Official UK partner, 100% authentic, free UK delivery over £50.</t>
        </is>
      </c>
      <c r="Q159" s="45">
        <f>LEN(P159)</f>
        <v/>
      </c>
      <c r="R159" s="49" t="inlineStr">
        <is>
          <t>Target keyword is shared with its collection page (/collections/body-lotion-for-dry-skin)</t>
        </is>
      </c>
    </row>
    <row r="160" ht="23.25" customHeight="1" s="37">
      <c r="A160" s="45" t="inlineStr">
        <is>
          <t>VD-159</t>
        </is>
      </c>
      <c r="B160" s="45" t="inlineStr">
        <is>
          <t>Vilvah &amp; Deyga</t>
        </is>
      </c>
      <c r="C160" s="45" t="inlineStr">
        <is>
          <t>Deyga</t>
        </is>
      </c>
      <c r="D160" s="45" t="inlineStr">
        <is>
          <t>Daily Use Healthy Hair Kit</t>
        </is>
      </c>
      <c r="E160" s="45" t="n"/>
      <c r="F160" s="46" t="n">
        <v>11.99</v>
      </c>
      <c r="G160" s="45" t="inlineStr">
        <is>
          <t>hair mask for dry hair</t>
        </is>
      </c>
      <c r="H160" s="47">
        <f>IFERROR(INDEX('Semrush Data'!$C$2:$C$5000,MATCH(G160,'Semrush Data'!$A$2:$A$5000,0)),"")</f>
        <v/>
      </c>
      <c r="I160" s="45">
        <f>IFERROR(INDEX('Semrush Data'!$D$2:$D$5000,MATCH(G160,'Semrush Data'!$A$2:$A$5000,0)),"")</f>
        <v/>
      </c>
      <c r="J160" s="45">
        <f>IF(OR(H160="",H160=0),"No volume",IF(I160&lt;=20,"Easier",IF(I160&lt;=35,"Medium","Hard")))</f>
        <v/>
      </c>
      <c r="K160" s="45" t="inlineStr">
        <is>
          <t>deyga</t>
        </is>
      </c>
      <c r="L160" s="47">
        <f>IF(K160="","",IFERROR(INDEX('Semrush Data'!$C$2:$C$5000,MATCH(K160,'Semrush Data'!$A$2:$A$5000,0)),""))</f>
        <v/>
      </c>
      <c r="M160" s="48" t="inlineStr">
        <is>
          <t>Deyga Daily Use Healthy Hair Kit</t>
        </is>
      </c>
      <c r="N160" s="45" t="inlineStr">
        <is>
          <t>Deyga Daily Use Healthy Hair Kit | Hair Mask for Dry Hair</t>
        </is>
      </c>
      <c r="O160" s="45">
        <f>LEN(N160)</f>
        <v/>
      </c>
      <c r="P160" s="49" t="inlineStr">
        <is>
          <t>Deyga Daily Use Healthy Hair Kit: a natural hair mask for dry hair from Deyga. Official UK partner: 100% authentic, shipped from the UK, free delivery over £50.</t>
        </is>
      </c>
      <c r="Q160" s="45">
        <f>LEN(P160)</f>
        <v/>
      </c>
      <c r="R160" s="49" t="inlineStr">
        <is>
          <t>Target keyword is shared with its collection page (/collections/hair-mask-for-dry-hair)</t>
        </is>
      </c>
    </row>
    <row r="161" ht="23.25" customHeight="1" s="37">
      <c r="A161" s="45" t="inlineStr">
        <is>
          <t>FR-001</t>
        </is>
      </c>
      <c r="B161" s="45" t="inlineStr">
        <is>
          <t>Fragrance Catalogue</t>
        </is>
      </c>
      <c r="C161" s="45" t="inlineStr">
        <is>
          <t>Abercrombie&amp; fitch</t>
        </is>
      </c>
      <c r="D161" s="45" t="inlineStr">
        <is>
          <t>Abercrombie &amp; Fitch First Instinct Together Eau de Parfum 100ml – Women's Fruity Floral Fragrance</t>
        </is>
      </c>
      <c r="E161" s="45" t="inlineStr">
        <is>
          <t>100ml</t>
        </is>
      </c>
      <c r="F161" s="46" t="n">
        <v>24.99</v>
      </c>
      <c r="G161" s="45" t="inlineStr">
        <is>
          <t>abercrombie &amp; fitch first instinct together</t>
        </is>
      </c>
      <c r="H161" s="47">
        <f>IFERROR(INDEX('Semrush Data'!$C$2:$C$5000,MATCH(G161,'Semrush Data'!$A$2:$A$5000,0)),"")</f>
        <v/>
      </c>
      <c r="I161" s="45">
        <f>IFERROR(INDEX('Semrush Data'!$D$2:$D$5000,MATCH(G161,'Semrush Data'!$A$2:$A$5000,0)),"")</f>
        <v/>
      </c>
      <c r="J161" s="45">
        <f>IF(OR(H161="",H161=0),"No volume",IF(I161&lt;=20,"Easier",IF(I161&lt;=35,"Medium","Hard")))</f>
        <v/>
      </c>
      <c r="K161" s="45" t="n"/>
      <c r="L161" s="47">
        <f>IF(K161="","",IFERROR(INDEX('Semrush Data'!$C$2:$C$5000,MATCH(K161,'Semrush Data'!$A$2:$A$5000,0)),""))</f>
        <v/>
      </c>
      <c r="M161" s="48" t="inlineStr">
        <is>
          <t>Abercrombie &amp; Fitch First Instinct Together Eau de Parfum</t>
        </is>
      </c>
      <c r="N161" s="45" t="inlineStr">
        <is>
          <t>Abercrombie &amp; Fitch First Instinct Together | Swansura UK</t>
        </is>
      </c>
      <c r="O161" s="45">
        <f>LEN(N161)</f>
        <v/>
      </c>
      <c r="P161" s="49" t="inlineStr">
        <is>
          <t>Abercrombie &amp; Fitch First Instinct Together Eau de Parfum for £24.99 at Swansura UK. A floral women's eau de parfum. 100% authentic, free UK delivery over £50.</t>
        </is>
      </c>
      <c r="Q161" s="45">
        <f>LEN(P161)</f>
        <v/>
      </c>
      <c r="R161" s="49" t="inlineStr">
        <is>
          <t>Spelling: Abercrombie &amp; Fitch</t>
        </is>
      </c>
    </row>
    <row r="162" ht="23.25" customHeight="1" s="37">
      <c r="A162" s="45" t="inlineStr">
        <is>
          <t>FR-002</t>
        </is>
      </c>
      <c r="B162" s="45" t="inlineStr">
        <is>
          <t>Fragrance Catalogue</t>
        </is>
      </c>
      <c r="C162" s="45" t="inlineStr">
        <is>
          <t>Abercrombie&amp; fitch</t>
        </is>
      </c>
      <c r="D162" s="45" t="inlineStr">
        <is>
          <t>Abercrombie &amp; Fitch Naturally Fierce Eau de Parfum 50ml – Women's Floral Woody Fragrance</t>
        </is>
      </c>
      <c r="E162" s="45" t="inlineStr">
        <is>
          <t>50ml</t>
        </is>
      </c>
      <c r="F162" s="46" t="n">
        <v>19.99</v>
      </c>
      <c r="G162" s="45" t="inlineStr">
        <is>
          <t>abercrombie &amp; fitch naturally fierce</t>
        </is>
      </c>
      <c r="H162" s="47">
        <f>IFERROR(INDEX('Semrush Data'!$C$2:$C$5000,MATCH(G162,'Semrush Data'!$A$2:$A$5000,0)),"")</f>
        <v/>
      </c>
      <c r="I162" s="45">
        <f>IFERROR(INDEX('Semrush Data'!$D$2:$D$5000,MATCH(G162,'Semrush Data'!$A$2:$A$5000,0)),"")</f>
        <v/>
      </c>
      <c r="J162" s="45">
        <f>IF(OR(H162="",H162=0),"No volume",IF(I162&lt;=20,"Easier",IF(I162&lt;=35,"Medium","Hard")))</f>
        <v/>
      </c>
      <c r="K162" s="45" t="n"/>
      <c r="L162" s="47">
        <f>IF(K162="","",IFERROR(INDEX('Semrush Data'!$C$2:$C$5000,MATCH(K162,'Semrush Data'!$A$2:$A$5000,0)),""))</f>
        <v/>
      </c>
      <c r="M162" s="48" t="inlineStr">
        <is>
          <t>Abercrombie &amp; Fitch Naturally Fierce Eau de Parfum</t>
        </is>
      </c>
      <c r="N162" s="45" t="inlineStr">
        <is>
          <t>Abercrombie &amp; Fitch Naturally Fierce EDP 50ml | Swansura UK</t>
        </is>
      </c>
      <c r="O162" s="45">
        <f>LEN(N162)</f>
        <v/>
      </c>
      <c r="P162" s="49" t="inlineStr">
        <is>
          <t>Abercrombie &amp; Fitch Naturally Fierce Eau de Parfum for £19.99 at Swansura UK. A floral women's eau de parfum. 100% authentic, fast UK delivery, free over £50.</t>
        </is>
      </c>
      <c r="Q162" s="45">
        <f>LEN(P162)</f>
        <v/>
      </c>
      <c r="R162" s="49" t="inlineStr">
        <is>
          <t>Spelling: Abercrombie &amp; Fitch</t>
        </is>
      </c>
    </row>
    <row r="163" ht="23.25" customHeight="1" s="37">
      <c r="A163" s="45" t="inlineStr">
        <is>
          <t>FR-003</t>
        </is>
      </c>
      <c r="B163" s="45" t="inlineStr">
        <is>
          <t>Fragrance Catalogue</t>
        </is>
      </c>
      <c r="C163" s="45" t="inlineStr">
        <is>
          <t>Acqua di Parma</t>
        </is>
      </c>
      <c r="D163" s="45" t="inlineStr">
        <is>
          <t>Acqua di Parma Colonia Pura Eau de Cologne 20ml Unisex</t>
        </is>
      </c>
      <c r="E163" s="45" t="inlineStr">
        <is>
          <t>20ml</t>
        </is>
      </c>
      <c r="F163" s="46" t="n">
        <v>32.99</v>
      </c>
      <c r="G163" s="45" t="inlineStr">
        <is>
          <t>acqua di parma colonia pura</t>
        </is>
      </c>
      <c r="H163" s="47">
        <f>IFERROR(INDEX('Semrush Data'!$C$2:$C$5000,MATCH(G163,'Semrush Data'!$A$2:$A$5000,0)),"")</f>
        <v/>
      </c>
      <c r="I163" s="45">
        <f>IFERROR(INDEX('Semrush Data'!$D$2:$D$5000,MATCH(G163,'Semrush Data'!$A$2:$A$5000,0)),"")</f>
        <v/>
      </c>
      <c r="J163" s="45">
        <f>IF(OR(H163="",H163=0),"No volume",IF(I163&lt;=20,"Easier",IF(I163&lt;=35,"Medium","Hard")))</f>
        <v/>
      </c>
      <c r="K163" s="45" t="inlineStr">
        <is>
          <t>acqua di parma colonia pura eau de cologne</t>
        </is>
      </c>
      <c r="L163" s="47">
        <f>IF(K163="","",IFERROR(INDEX('Semrush Data'!$C$2:$C$5000,MATCH(K163,'Semrush Data'!$A$2:$A$5000,0)),""))</f>
        <v/>
      </c>
      <c r="M163" s="48" t="inlineStr">
        <is>
          <t>Acqua di Parma Colonia Pura Eau de Cologne Unisex</t>
        </is>
      </c>
      <c r="N163" s="45" t="inlineStr">
        <is>
          <t>Acqua di Parma Colonia Pura Unisex | Swansura UK</t>
        </is>
      </c>
      <c r="O163" s="45">
        <f>LEN(N163)</f>
        <v/>
      </c>
      <c r="P163" s="49" t="inlineStr">
        <is>
          <t>Buy Acqua di Parma Colonia Pura Eau de Cologne Unisex 20ml for £32.99 at Swansura UK. A citrus unisex eau de cologne. 100% authentic, free UK delivery over £50.</t>
        </is>
      </c>
      <c r="Q163" s="45">
        <f>LEN(P163)</f>
        <v/>
      </c>
      <c r="R163" s="49" t="n"/>
    </row>
    <row r="164" ht="23.25" customHeight="1" s="37">
      <c r="A164" s="45" t="inlineStr">
        <is>
          <t>FR-004</t>
        </is>
      </c>
      <c r="B164" s="45" t="inlineStr">
        <is>
          <t>Fragrance Catalogue</t>
        </is>
      </c>
      <c r="C164" s="45" t="inlineStr">
        <is>
          <t>Acqua di Parma</t>
        </is>
      </c>
      <c r="D164" s="45" t="inlineStr">
        <is>
          <t>Acqua di Parma Colonia Essenza Deodorant Stick 75ml</t>
        </is>
      </c>
      <c r="E164" s="45" t="inlineStr">
        <is>
          <t>75ml</t>
        </is>
      </c>
      <c r="F164" s="46" t="n">
        <v>32.99</v>
      </c>
      <c r="G164" s="45" t="inlineStr">
        <is>
          <t>acqua di parma colonia essenza deodorant stick</t>
        </is>
      </c>
      <c r="H164" s="47">
        <f>IFERROR(INDEX('Semrush Data'!$C$2:$C$5000,MATCH(G164,'Semrush Data'!$A$2:$A$5000,0)),"")</f>
        <v/>
      </c>
      <c r="I164" s="45">
        <f>IFERROR(INDEX('Semrush Data'!$D$2:$D$5000,MATCH(G164,'Semrush Data'!$A$2:$A$5000,0)),"")</f>
        <v/>
      </c>
      <c r="J164" s="45">
        <f>IF(OR(H164="",H164=0),"No volume",IF(I164&lt;=20,"Easier",IF(I164&lt;=35,"Medium","Hard")))</f>
        <v/>
      </c>
      <c r="K164" s="45" t="n"/>
      <c r="L164" s="47">
        <f>IF(K164="","",IFERROR(INDEX('Semrush Data'!$C$2:$C$5000,MATCH(K164,'Semrush Data'!$A$2:$A$5000,0)),""))</f>
        <v/>
      </c>
      <c r="M164" s="48" t="inlineStr">
        <is>
          <t>Acqua di Parma Colonia Essenza Deodorant Stick</t>
        </is>
      </c>
      <c r="N164" s="45" t="inlineStr">
        <is>
          <t>Acqua di Parma Colonia Essenza Deodorant Stick | Swansura UK</t>
        </is>
      </c>
      <c r="O164" s="45">
        <f>LEN(N164)</f>
        <v/>
      </c>
      <c r="P164" s="49" t="inlineStr">
        <is>
          <t>Buy Acqua di Parma Colonia Essenza Deodorant Stick 75ml for £32.99 at Swansura UK. A citrus unisex fragrance. 100% authentic, fast UK delivery, free over £50.</t>
        </is>
      </c>
      <c r="Q164" s="45">
        <f>LEN(P164)</f>
        <v/>
      </c>
      <c r="R164" s="49" t="n"/>
    </row>
    <row r="165" ht="23.25" customHeight="1" s="37">
      <c r="A165" s="45" t="inlineStr">
        <is>
          <t>FR-005</t>
        </is>
      </c>
      <c r="B165" s="45" t="inlineStr">
        <is>
          <t>Fragrance Catalogue</t>
        </is>
      </c>
      <c r="C165" s="45" t="inlineStr">
        <is>
          <t>Acqua di Parma</t>
        </is>
      </c>
      <c r="D165" s="45" t="inlineStr">
        <is>
          <t>Acqua di Parma Oud &amp; Spice EDP 20ml for Men</t>
        </is>
      </c>
      <c r="E165" s="45" t="inlineStr">
        <is>
          <t>20ml</t>
        </is>
      </c>
      <c r="F165" s="46" t="n">
        <v>40.99</v>
      </c>
      <c r="G165" s="45" t="inlineStr">
        <is>
          <t>acqua di parma oud &amp; spice</t>
        </is>
      </c>
      <c r="H165" s="47">
        <f>IFERROR(INDEX('Semrush Data'!$C$2:$C$5000,MATCH(G165,'Semrush Data'!$A$2:$A$5000,0)),"")</f>
        <v/>
      </c>
      <c r="I165" s="45">
        <f>IFERROR(INDEX('Semrush Data'!$D$2:$D$5000,MATCH(G165,'Semrush Data'!$A$2:$A$5000,0)),"")</f>
        <v/>
      </c>
      <c r="J165" s="45">
        <f>IF(OR(H165="",H165=0),"No volume",IF(I165&lt;=20,"Easier",IF(I165&lt;=35,"Medium","Hard")))</f>
        <v/>
      </c>
      <c r="K165" s="45" t="n"/>
      <c r="L165" s="47">
        <f>IF(K165="","",IFERROR(INDEX('Semrush Data'!$C$2:$C$5000,MATCH(K165,'Semrush Data'!$A$2:$A$5000,0)),""))</f>
        <v/>
      </c>
      <c r="M165" s="48" t="inlineStr">
        <is>
          <t>Acqua di Parma Oud &amp; Spice EDP for Men</t>
        </is>
      </c>
      <c r="N165" s="45" t="inlineStr">
        <is>
          <t>Acqua di Parma Oud &amp; Spice EDP for Men 20ml | Swansura UK</t>
        </is>
      </c>
      <c r="O165" s="45">
        <f>LEN(N165)</f>
        <v/>
      </c>
      <c r="P165" s="49" t="inlineStr">
        <is>
          <t>Buy Acqua di Parma Oud &amp; Spice EDP for Men 20ml for £40.99 at Swansura UK. An oud men's eau de parfum. 100% authentic, fast UK delivery, free over £50.</t>
        </is>
      </c>
      <c r="Q165" s="45">
        <f>LEN(P165)</f>
        <v/>
      </c>
      <c r="R165" s="49" t="n"/>
    </row>
    <row r="166" ht="23.25" customHeight="1" s="37">
      <c r="A166" s="45" t="inlineStr">
        <is>
          <t>FR-006</t>
        </is>
      </c>
      <c r="B166" s="45" t="inlineStr">
        <is>
          <t>Fragrance Catalogue</t>
        </is>
      </c>
      <c r="C166" s="45" t="inlineStr">
        <is>
          <t>Acqua di Parma</t>
        </is>
      </c>
      <c r="D166" s="45" t="inlineStr">
        <is>
          <t>Acqua di Parma Rosa Nobile EDP 20ml for Women</t>
        </is>
      </c>
      <c r="E166" s="45" t="inlineStr">
        <is>
          <t>20ml</t>
        </is>
      </c>
      <c r="F166" s="46" t="n">
        <v>40.99</v>
      </c>
      <c r="G166" s="45" t="inlineStr">
        <is>
          <t>acqua di parma rosa nobile</t>
        </is>
      </c>
      <c r="H166" s="47">
        <f>IFERROR(INDEX('Semrush Data'!$C$2:$C$5000,MATCH(G166,'Semrush Data'!$A$2:$A$5000,0)),"")</f>
        <v/>
      </c>
      <c r="I166" s="45">
        <f>IFERROR(INDEX('Semrush Data'!$D$2:$D$5000,MATCH(G166,'Semrush Data'!$A$2:$A$5000,0)),"")</f>
        <v/>
      </c>
      <c r="J166" s="45">
        <f>IF(OR(H166="",H166=0),"No volume",IF(I166&lt;=20,"Easier",IF(I166&lt;=35,"Medium","Hard")))</f>
        <v/>
      </c>
      <c r="K166" s="45" t="inlineStr">
        <is>
          <t>acqua di parma rosa nobile edp</t>
        </is>
      </c>
      <c r="L166" s="47">
        <f>IF(K166="","",IFERROR(INDEX('Semrush Data'!$C$2:$C$5000,MATCH(K166,'Semrush Data'!$A$2:$A$5000,0)),""))</f>
        <v/>
      </c>
      <c r="M166" s="48" t="inlineStr">
        <is>
          <t>Acqua di Parma Rosa Nobile EDP for Women</t>
        </is>
      </c>
      <c r="N166" s="45" t="inlineStr">
        <is>
          <t>Acqua di Parma Rosa Nobile EDP for Women 20ml | Swansura UK</t>
        </is>
      </c>
      <c r="O166" s="45">
        <f>LEN(N166)</f>
        <v/>
      </c>
      <c r="P166" s="49" t="inlineStr">
        <is>
          <t>Buy Acqua di Parma Rosa Nobile EDP for Women 20ml for £40.99 at Swansura UK. A woody women's eau de parfum. 100% authentic, fast UK delivery, free over £50.</t>
        </is>
      </c>
      <c r="Q166" s="45">
        <f>LEN(P166)</f>
        <v/>
      </c>
      <c r="R166" s="49" t="n"/>
    </row>
    <row r="167" ht="23.25" customHeight="1" s="37">
      <c r="A167" s="45" t="inlineStr">
        <is>
          <t>FR-007</t>
        </is>
      </c>
      <c r="B167" s="45" t="inlineStr">
        <is>
          <t>Fragrance Catalogue</t>
        </is>
      </c>
      <c r="C167" s="45" t="inlineStr">
        <is>
          <t>Acqua di Parma</t>
        </is>
      </c>
      <c r="D167" s="45" t="inlineStr">
        <is>
          <t>Acqua di Parma Sakura EDP 20ml Unisex Perfume</t>
        </is>
      </c>
      <c r="E167" s="45" t="inlineStr">
        <is>
          <t>20ml</t>
        </is>
      </c>
      <c r="F167" s="46" t="n">
        <v>40.99</v>
      </c>
      <c r="G167" s="45" t="inlineStr">
        <is>
          <t>acqua di parma sakura</t>
        </is>
      </c>
      <c r="H167" s="47">
        <f>IFERROR(INDEX('Semrush Data'!$C$2:$C$5000,MATCH(G167,'Semrush Data'!$A$2:$A$5000,0)),"")</f>
        <v/>
      </c>
      <c r="I167" s="45">
        <f>IFERROR(INDEX('Semrush Data'!$D$2:$D$5000,MATCH(G167,'Semrush Data'!$A$2:$A$5000,0)),"")</f>
        <v/>
      </c>
      <c r="J167" s="45">
        <f>IF(OR(H167="",H167=0),"No volume",IF(I167&lt;=20,"Easier",IF(I167&lt;=35,"Medium","Hard")))</f>
        <v/>
      </c>
      <c r="K167" s="45" t="inlineStr">
        <is>
          <t>acqua di parma sakura edp</t>
        </is>
      </c>
      <c r="L167" s="47">
        <f>IF(K167="","",IFERROR(INDEX('Semrush Data'!$C$2:$C$5000,MATCH(K167,'Semrush Data'!$A$2:$A$5000,0)),""))</f>
        <v/>
      </c>
      <c r="M167" s="48" t="inlineStr">
        <is>
          <t>Acqua di Parma Sakura EDP Unisex Perfume</t>
        </is>
      </c>
      <c r="N167" s="45" t="inlineStr">
        <is>
          <t>Acqua di Parma Sakura EDP Unisex Perfume 20ml | Swansura UK</t>
        </is>
      </c>
      <c r="O167" s="45">
        <f>LEN(N167)</f>
        <v/>
      </c>
      <c r="P167" s="49" t="inlineStr">
        <is>
          <t>Buy Acqua di Parma Sakura EDP Unisex Perfume 20ml for £40.99 at Swansura UK. A floral unisex eau de parfum. 100% authentic, fast UK delivery, free over £50.</t>
        </is>
      </c>
      <c r="Q167" s="45">
        <f>LEN(P167)</f>
        <v/>
      </c>
      <c r="R167" s="49" t="n"/>
    </row>
    <row r="168" ht="23.25" customHeight="1" s="37">
      <c r="A168" s="45" t="inlineStr">
        <is>
          <t>FR-008</t>
        </is>
      </c>
      <c r="B168" s="45" t="inlineStr">
        <is>
          <t>Fragrance Catalogue</t>
        </is>
      </c>
      <c r="C168" s="45" t="inlineStr">
        <is>
          <t>Acqua di Parma</t>
        </is>
      </c>
      <c r="D168" s="45" t="inlineStr">
        <is>
          <t>Acqua di Parma Sandalo EDP 20ml Unisex</t>
        </is>
      </c>
      <c r="E168" s="45" t="inlineStr">
        <is>
          <t>20ml</t>
        </is>
      </c>
      <c r="F168" s="46" t="n">
        <v>40.99</v>
      </c>
      <c r="G168" s="45" t="inlineStr">
        <is>
          <t>acqua di parma sandalo</t>
        </is>
      </c>
      <c r="H168" s="47">
        <f>IFERROR(INDEX('Semrush Data'!$C$2:$C$5000,MATCH(G168,'Semrush Data'!$A$2:$A$5000,0)),"")</f>
        <v/>
      </c>
      <c r="I168" s="45">
        <f>IFERROR(INDEX('Semrush Data'!$D$2:$D$5000,MATCH(G168,'Semrush Data'!$A$2:$A$5000,0)),"")</f>
        <v/>
      </c>
      <c r="J168" s="45">
        <f>IF(OR(H168="",H168=0),"No volume",IF(I168&lt;=20,"Easier",IF(I168&lt;=35,"Medium","Hard")))</f>
        <v/>
      </c>
      <c r="K168" s="45" t="inlineStr">
        <is>
          <t>acqua di parma sandalo edp</t>
        </is>
      </c>
      <c r="L168" s="47">
        <f>IF(K168="","",IFERROR(INDEX('Semrush Data'!$C$2:$C$5000,MATCH(K168,'Semrush Data'!$A$2:$A$5000,0)),""))</f>
        <v/>
      </c>
      <c r="M168" s="48" t="inlineStr">
        <is>
          <t>Acqua di Parma Sandalo EDP Unisex</t>
        </is>
      </c>
      <c r="N168" s="45" t="inlineStr">
        <is>
          <t>Acqua di Parma Sandalo EDP Unisex | Buy Online UK | Swansura</t>
        </is>
      </c>
      <c r="O168" s="45">
        <f>LEN(N168)</f>
        <v/>
      </c>
      <c r="P168" s="49" t="inlineStr">
        <is>
          <t>Buy Acqua di Parma Sandalo EDP Unisex 20ml for £40.99 at Swansura UK. An amber unisex eau de parfum. 100% authentic, fast UK delivery, free over £50.</t>
        </is>
      </c>
      <c r="Q168" s="45">
        <f>LEN(P168)</f>
        <v/>
      </c>
      <c r="R168" s="49" t="n"/>
    </row>
    <row r="169" ht="23.25" customHeight="1" s="37">
      <c r="A169" s="45" t="inlineStr">
        <is>
          <t>FR-009</t>
        </is>
      </c>
      <c r="B169" s="45" t="inlineStr">
        <is>
          <t>Fragrance Catalogue</t>
        </is>
      </c>
      <c r="C169" s="45" t="inlineStr">
        <is>
          <t>Acqua di Parma</t>
        </is>
      </c>
      <c r="D169" s="45" t="inlineStr">
        <is>
          <t>Acqua di Parma Blu Mediterraneo Discovery Set 3x12ml</t>
        </is>
      </c>
      <c r="E169" s="45" t="inlineStr">
        <is>
          <t>3x12ml</t>
        </is>
      </c>
      <c r="F169" s="46" t="n">
        <v>44.99</v>
      </c>
      <c r="G169" s="45" t="inlineStr">
        <is>
          <t>acqua di parma blu mediterraneo discovery set</t>
        </is>
      </c>
      <c r="H169" s="47">
        <f>IFERROR(INDEX('Semrush Data'!$C$2:$C$5000,MATCH(G169,'Semrush Data'!$A$2:$A$5000,0)),"")</f>
        <v/>
      </c>
      <c r="I169" s="45">
        <f>IFERROR(INDEX('Semrush Data'!$D$2:$D$5000,MATCH(G169,'Semrush Data'!$A$2:$A$5000,0)),"")</f>
        <v/>
      </c>
      <c r="J169" s="45">
        <f>IF(OR(H169="",H169=0),"No volume",IF(I169&lt;=20,"Easier",IF(I169&lt;=35,"Medium","Hard")))</f>
        <v/>
      </c>
      <c r="K169" s="45" t="n"/>
      <c r="L169" s="47">
        <f>IF(K169="","",IFERROR(INDEX('Semrush Data'!$C$2:$C$5000,MATCH(K169,'Semrush Data'!$A$2:$A$5000,0)),""))</f>
        <v/>
      </c>
      <c r="M169" s="48" t="inlineStr">
        <is>
          <t>Acqua di Parma Blu Mediterraneo Discovery Set 3x12ml</t>
        </is>
      </c>
      <c r="N169" s="45" t="inlineStr">
        <is>
          <t>Acqua di Parma Blu Mediterraneo Discovery Set 3x12ml | Swans</t>
        </is>
      </c>
      <c r="O169" s="45">
        <f>LEN(N169)</f>
        <v/>
      </c>
      <c r="P169" s="49" t="inlineStr">
        <is>
          <t>Acqua di Parma Blu Mediterraneo Discovery Set 3x12ml for £44.99 at Swansura UK. An amber unisex fragrance gift set. 100% authentic, free UK delivery over £50.</t>
        </is>
      </c>
      <c r="Q169" s="45">
        <f>LEN(P169)</f>
        <v/>
      </c>
      <c r="R169" s="49" t="n"/>
    </row>
    <row r="170" ht="23.25" customHeight="1" s="37">
      <c r="A170" s="45" t="inlineStr">
        <is>
          <t>FR-010</t>
        </is>
      </c>
      <c r="B170" s="45" t="inlineStr">
        <is>
          <t>Fragrance Catalogue</t>
        </is>
      </c>
      <c r="C170" s="45" t="inlineStr">
        <is>
          <t>Acqua di Parma</t>
        </is>
      </c>
      <c r="D170" s="45" t="inlineStr">
        <is>
          <t>Acqua di Parma Holiday Discovery Set EDP 3x12ml</t>
        </is>
      </c>
      <c r="E170" s="45" t="inlineStr">
        <is>
          <t>Not specified</t>
        </is>
      </c>
      <c r="F170" s="46" t="n">
        <v>65.98999999999999</v>
      </c>
      <c r="G170" s="45" t="inlineStr">
        <is>
          <t>acqua di parma holiday discovery set</t>
        </is>
      </c>
      <c r="H170" s="47">
        <f>IFERROR(INDEX('Semrush Data'!$C$2:$C$5000,MATCH(G170,'Semrush Data'!$A$2:$A$5000,0)),"")</f>
        <v/>
      </c>
      <c r="I170" s="45">
        <f>IFERROR(INDEX('Semrush Data'!$D$2:$D$5000,MATCH(G170,'Semrush Data'!$A$2:$A$5000,0)),"")</f>
        <v/>
      </c>
      <c r="J170" s="45">
        <f>IF(OR(H170="",H170=0),"No volume",IF(I170&lt;=20,"Easier",IF(I170&lt;=35,"Medium","Hard")))</f>
        <v/>
      </c>
      <c r="K170" s="45" t="n"/>
      <c r="L170" s="47">
        <f>IF(K170="","",IFERROR(INDEX('Semrush Data'!$C$2:$C$5000,MATCH(K170,'Semrush Data'!$A$2:$A$5000,0)),""))</f>
        <v/>
      </c>
      <c r="M170" s="48" t="inlineStr">
        <is>
          <t>Acqua di Parma Holiday Discovery Set EDP 3x12ml</t>
        </is>
      </c>
      <c r="N170" s="45" t="inlineStr">
        <is>
          <t>Acqua di Parma Holiday Discovery Set 3x12ml | Swansura UK</t>
        </is>
      </c>
      <c r="O170" s="45">
        <f>LEN(N170)</f>
        <v/>
      </c>
      <c r="P170" s="49" t="inlineStr">
        <is>
          <t>Buy Acqua di Parma Holiday Discovery Set EDP 3x12ml for £65.99 at Swansura UK. An amber unisex eau de parfum. 100% authentic, fast UK delivery, free over £50.</t>
        </is>
      </c>
      <c r="Q170" s="45">
        <f>LEN(P170)</f>
        <v/>
      </c>
      <c r="R170" s="49" t="n"/>
    </row>
    <row r="171" ht="23.25" customHeight="1" s="37">
      <c r="A171" s="45" t="inlineStr">
        <is>
          <t>FR-011</t>
        </is>
      </c>
      <c r="B171" s="45" t="inlineStr">
        <is>
          <t>Fragrance Catalogue</t>
        </is>
      </c>
      <c r="C171" s="45" t="inlineStr">
        <is>
          <t>Al Haramain</t>
        </is>
      </c>
      <c r="D171" s="45" t="inlineStr">
        <is>
          <t>Al Haramain Amber Musk Eau de Parfum 100ml – Luxury Unisex Amber Musk Fragrance</t>
        </is>
      </c>
      <c r="E171" s="45" t="inlineStr">
        <is>
          <t>100ml</t>
        </is>
      </c>
      <c r="F171" s="46" t="n">
        <v>39.99</v>
      </c>
      <c r="G171" s="45" t="inlineStr">
        <is>
          <t>al haramain amber musk</t>
        </is>
      </c>
      <c r="H171" s="47">
        <f>IFERROR(INDEX('Semrush Data'!$C$2:$C$5000,MATCH(G171,'Semrush Data'!$A$2:$A$5000,0)),"")</f>
        <v/>
      </c>
      <c r="I171" s="45">
        <f>IFERROR(INDEX('Semrush Data'!$D$2:$D$5000,MATCH(G171,'Semrush Data'!$A$2:$A$5000,0)),"")</f>
        <v/>
      </c>
      <c r="J171" s="45">
        <f>IF(OR(H171="",H171=0),"No volume",IF(I171&lt;=20,"Easier",IF(I171&lt;=35,"Medium","Hard")))</f>
        <v/>
      </c>
      <c r="K171" s="45" t="n"/>
      <c r="L171" s="47">
        <f>IF(K171="","",IFERROR(INDEX('Semrush Data'!$C$2:$C$5000,MATCH(K171,'Semrush Data'!$A$2:$A$5000,0)),""))</f>
        <v/>
      </c>
      <c r="M171" s="48" t="inlineStr">
        <is>
          <t>Al Haramain Amber Musk Eau de Parfum</t>
        </is>
      </c>
      <c r="N171" s="45" t="inlineStr">
        <is>
          <t>Al Haramain Amber Musk Eau de Parfum 100ml | Swansura UK</t>
        </is>
      </c>
      <c r="O171" s="45">
        <f>LEN(N171)</f>
        <v/>
      </c>
      <c r="P171" s="49" t="inlineStr">
        <is>
          <t>Buy Al Haramain Amber Musk Eau de Parfum 100ml for £39.99 at Swansura UK. An amber unisex eau de parfum. 100% authentic, fast UK delivery, free over £50.</t>
        </is>
      </c>
      <c r="Q171" s="45">
        <f>LEN(P171)</f>
        <v/>
      </c>
      <c r="R171" s="49" t="n"/>
    </row>
    <row r="172" ht="23.25" customHeight="1" s="37">
      <c r="A172" s="45" t="inlineStr">
        <is>
          <t>FR-012</t>
        </is>
      </c>
      <c r="B172" s="45" t="inlineStr">
        <is>
          <t>Fragrance Catalogue</t>
        </is>
      </c>
      <c r="C172" s="45" t="inlineStr">
        <is>
          <t>Al Haramain</t>
        </is>
      </c>
      <c r="D172" s="45" t="inlineStr">
        <is>
          <t>Al Haramain Amber Oud Black Edition Eau de Parfum 100ml – Luxury Unisex Woody Amber Fragrance</t>
        </is>
      </c>
      <c r="E172" s="45" t="inlineStr">
        <is>
          <t>100ml</t>
        </is>
      </c>
      <c r="F172" s="46" t="n">
        <v>41.99</v>
      </c>
      <c r="G172" s="45" t="inlineStr">
        <is>
          <t>al haramain amber oud black edition</t>
        </is>
      </c>
      <c r="H172" s="47">
        <f>IFERROR(INDEX('Semrush Data'!$C$2:$C$5000,MATCH(G172,'Semrush Data'!$A$2:$A$5000,0)),"")</f>
        <v/>
      </c>
      <c r="I172" s="45">
        <f>IFERROR(INDEX('Semrush Data'!$D$2:$D$5000,MATCH(G172,'Semrush Data'!$A$2:$A$5000,0)),"")</f>
        <v/>
      </c>
      <c r="J172" s="45">
        <f>IF(OR(H172="",H172=0),"No volume",IF(I172&lt;=20,"Easier",IF(I172&lt;=35,"Medium","Hard")))</f>
        <v/>
      </c>
      <c r="K172" s="45" t="n"/>
      <c r="L172" s="47">
        <f>IF(K172="","",IFERROR(INDEX('Semrush Data'!$C$2:$C$5000,MATCH(K172,'Semrush Data'!$A$2:$A$5000,0)),""))</f>
        <v/>
      </c>
      <c r="M172" s="48" t="inlineStr">
        <is>
          <t>Al Haramain Amber Oud Black Edition Eau de Parfum</t>
        </is>
      </c>
      <c r="N172" s="45" t="inlineStr">
        <is>
          <t>Al Haramain Amber Oud Black Edition EDP 100ml | Swansura UK</t>
        </is>
      </c>
      <c r="O172" s="45">
        <f>LEN(N172)</f>
        <v/>
      </c>
      <c r="P172" s="49" t="inlineStr">
        <is>
          <t>Buy Al Haramain Amber Oud Black Edition Eau de Parfum 100ml for £41.99 at Swansura UK. A woody unisex eau de parfum. 100% authentic, free UK delivery over £50.</t>
        </is>
      </c>
      <c r="Q172" s="45">
        <f>LEN(P172)</f>
        <v/>
      </c>
      <c r="R172" s="49" t="n"/>
    </row>
    <row r="173" ht="23.25" customHeight="1" s="37">
      <c r="A173" s="45" t="inlineStr">
        <is>
          <t>FR-013</t>
        </is>
      </c>
      <c r="B173" s="45" t="inlineStr">
        <is>
          <t>Fragrance Catalogue</t>
        </is>
      </c>
      <c r="C173" s="45" t="inlineStr">
        <is>
          <t>Al Haramain</t>
        </is>
      </c>
      <c r="D173" s="45" t="inlineStr">
        <is>
          <t>Al Haramain Amber Oud Bleu Edition Eau de Parfum – Luxury Unisex Fresh Woody Fragrance</t>
        </is>
      </c>
      <c r="E173" s="45" t="inlineStr">
        <is>
          <t>60ml</t>
        </is>
      </c>
      <c r="F173" s="46" t="n">
        <v>35.99</v>
      </c>
      <c r="G173" s="45" t="inlineStr">
        <is>
          <t>al haramain amber oud bleu edition</t>
        </is>
      </c>
      <c r="H173" s="47">
        <f>IFERROR(INDEX('Semrush Data'!$C$2:$C$5000,MATCH(G173,'Semrush Data'!$A$2:$A$5000,0)),"")</f>
        <v/>
      </c>
      <c r="I173" s="45">
        <f>IFERROR(INDEX('Semrush Data'!$D$2:$D$5000,MATCH(G173,'Semrush Data'!$A$2:$A$5000,0)),"")</f>
        <v/>
      </c>
      <c r="J173" s="45">
        <f>IF(OR(H173="",H173=0),"No volume",IF(I173&lt;=20,"Easier",IF(I173&lt;=35,"Medium","Hard")))</f>
        <v/>
      </c>
      <c r="K173" s="45" t="inlineStr">
        <is>
          <t>al haramain amber oud bleu edition eau de parfum</t>
        </is>
      </c>
      <c r="L173" s="47">
        <f>IF(K173="","",IFERROR(INDEX('Semrush Data'!$C$2:$C$5000,MATCH(K173,'Semrush Data'!$A$2:$A$5000,0)),""))</f>
        <v/>
      </c>
      <c r="M173" s="48" t="inlineStr">
        <is>
          <t>Al Haramain Amber Oud Bleu Edition Eau de Parfum</t>
        </is>
      </c>
      <c r="N173" s="45" t="inlineStr">
        <is>
          <t>Al Haramain Amber Oud Bleu Edition EDP 60ml | Swansura UK</t>
        </is>
      </c>
      <c r="O173" s="45">
        <f>LEN(N173)</f>
        <v/>
      </c>
      <c r="P173" s="49" t="inlineStr">
        <is>
          <t>Buy Al Haramain Amber Oud Bleu Edition Eau de Parfum for £35.99 at Swansura UK. A woody unisex eau de parfum. 100% authentic, fast UK delivery, free over £50.</t>
        </is>
      </c>
      <c r="Q173" s="45">
        <f>LEN(P173)</f>
        <v/>
      </c>
      <c r="R173" s="49" t="n"/>
    </row>
    <row r="174" ht="23.25" customHeight="1" s="37">
      <c r="A174" s="45" t="inlineStr">
        <is>
          <t>FR-014</t>
        </is>
      </c>
      <c r="B174" s="45" t="inlineStr">
        <is>
          <t>Fragrance Catalogue</t>
        </is>
      </c>
      <c r="C174" s="45" t="inlineStr">
        <is>
          <t>Al Haramain</t>
        </is>
      </c>
      <c r="D174" s="45" t="inlineStr">
        <is>
          <t>Al Haramain Amber Oud Carbon Edition Eau de Parfum – Men's Fresh Woody Fragrance</t>
        </is>
      </c>
      <c r="E174" s="45" t="inlineStr">
        <is>
          <t>60ml</t>
        </is>
      </c>
      <c r="F174" s="46" t="n">
        <v>34.99</v>
      </c>
      <c r="G174" s="45" t="inlineStr">
        <is>
          <t>al haramain amber oud carbon edition</t>
        </is>
      </c>
      <c r="H174" s="47">
        <f>IFERROR(INDEX('Semrush Data'!$C$2:$C$5000,MATCH(G174,'Semrush Data'!$A$2:$A$5000,0)),"")</f>
        <v/>
      </c>
      <c r="I174" s="45">
        <f>IFERROR(INDEX('Semrush Data'!$D$2:$D$5000,MATCH(G174,'Semrush Data'!$A$2:$A$5000,0)),"")</f>
        <v/>
      </c>
      <c r="J174" s="45">
        <f>IF(OR(H174="",H174=0),"No volume",IF(I174&lt;=20,"Easier",IF(I174&lt;=35,"Medium","Hard")))</f>
        <v/>
      </c>
      <c r="K174" s="45" t="inlineStr">
        <is>
          <t>al haramain amber oud carbon edition eau de parfum</t>
        </is>
      </c>
      <c r="L174" s="47">
        <f>IF(K174="","",IFERROR(INDEX('Semrush Data'!$C$2:$C$5000,MATCH(K174,'Semrush Data'!$A$2:$A$5000,0)),""))</f>
        <v/>
      </c>
      <c r="M174" s="48" t="inlineStr">
        <is>
          <t>Al Haramain Amber Oud Carbon Edition Eau de Parfum</t>
        </is>
      </c>
      <c r="N174" s="45" t="inlineStr">
        <is>
          <t>Al Haramain Amber Oud Carbon Edition EDP 60ml | Swansura UK</t>
        </is>
      </c>
      <c r="O174" s="45">
        <f>LEN(N174)</f>
        <v/>
      </c>
      <c r="P174" s="49" t="inlineStr">
        <is>
          <t>Buy Al Haramain Amber Oud Carbon Edition Eau de Parfum for £34.99 at Swansura UK. A woody men's eau de parfum. 100% authentic, fast UK delivery, free over £50.</t>
        </is>
      </c>
      <c r="Q174" s="45">
        <f>LEN(P174)</f>
        <v/>
      </c>
      <c r="R174" s="49" t="n"/>
    </row>
    <row r="175" ht="23.25" customHeight="1" s="37">
      <c r="A175" s="45" t="inlineStr">
        <is>
          <t>FR-015</t>
        </is>
      </c>
      <c r="B175" s="45" t="inlineStr">
        <is>
          <t>Fragrance Catalogue</t>
        </is>
      </c>
      <c r="C175" s="45" t="inlineStr">
        <is>
          <t>Al Haramain</t>
        </is>
      </c>
      <c r="D175" s="45" t="inlineStr">
        <is>
          <t>Al Haramain Amber Oud Eau de Parfum 60ml – Luxury Unisex Amber Woody Fragrance</t>
        </is>
      </c>
      <c r="E175" s="45" t="inlineStr">
        <is>
          <t>60ml</t>
        </is>
      </c>
      <c r="F175" s="46" t="n">
        <v>34.99</v>
      </c>
      <c r="G175" s="45" t="inlineStr">
        <is>
          <t>al haramain amber oud</t>
        </is>
      </c>
      <c r="H175" s="47">
        <f>IFERROR(INDEX('Semrush Data'!$C$2:$C$5000,MATCH(G175,'Semrush Data'!$A$2:$A$5000,0)),"")</f>
        <v/>
      </c>
      <c r="I175" s="45">
        <f>IFERROR(INDEX('Semrush Data'!$D$2:$D$5000,MATCH(G175,'Semrush Data'!$A$2:$A$5000,0)),"")</f>
        <v/>
      </c>
      <c r="J175" s="45">
        <f>IF(OR(H175="",H175=0),"No volume",IF(I175&lt;=20,"Easier",IF(I175&lt;=35,"Medium","Hard")))</f>
        <v/>
      </c>
      <c r="K175" s="45" t="inlineStr">
        <is>
          <t>al haramain amber oud eau de parfum</t>
        </is>
      </c>
      <c r="L175" s="47">
        <f>IF(K175="","",IFERROR(INDEX('Semrush Data'!$C$2:$C$5000,MATCH(K175,'Semrush Data'!$A$2:$A$5000,0)),""))</f>
        <v/>
      </c>
      <c r="M175" s="48" t="inlineStr">
        <is>
          <t>Al Haramain Amber Oud Eau de Parfum</t>
        </is>
      </c>
      <c r="N175" s="45" t="inlineStr">
        <is>
          <t>Al Haramain Amber Oud Eau de Parfum 60ml | Swansura UK</t>
        </is>
      </c>
      <c r="O175" s="45">
        <f>LEN(N175)</f>
        <v/>
      </c>
      <c r="P175" s="49" t="inlineStr">
        <is>
          <t>Buy Al Haramain Amber Oud Eau de Parfum 60ml for £34.99 at Swansura UK. A woody unisex eau de parfum. 100% authentic, fast UK delivery, free over £50.</t>
        </is>
      </c>
      <c r="Q175" s="45">
        <f>LEN(P175)</f>
        <v/>
      </c>
      <c r="R175" s="49" t="n"/>
    </row>
    <row r="176" ht="23.25" customHeight="1" s="37">
      <c r="A176" s="45" t="inlineStr">
        <is>
          <t>FR-016</t>
        </is>
      </c>
      <c r="B176" s="45" t="inlineStr">
        <is>
          <t>Fragrance Catalogue</t>
        </is>
      </c>
      <c r="C176" s="45" t="inlineStr">
        <is>
          <t>Al Haramain</t>
        </is>
      </c>
      <c r="D176" s="45" t="inlineStr">
        <is>
          <t>Al Haramain Amber Oud Gold Edition Eau de Parfum – Luxury Unisex Fruity Amber Fragrance</t>
        </is>
      </c>
      <c r="E176" s="45" t="inlineStr">
        <is>
          <t>60ml</t>
        </is>
      </c>
      <c r="F176" s="46" t="n">
        <v>29.99</v>
      </c>
      <c r="G176" s="45" t="inlineStr">
        <is>
          <t>al haramain amber oud gold edition</t>
        </is>
      </c>
      <c r="H176" s="47">
        <f>IFERROR(INDEX('Semrush Data'!$C$2:$C$5000,MATCH(G176,'Semrush Data'!$A$2:$A$5000,0)),"")</f>
        <v/>
      </c>
      <c r="I176" s="45">
        <f>IFERROR(INDEX('Semrush Data'!$D$2:$D$5000,MATCH(G176,'Semrush Data'!$A$2:$A$5000,0)),"")</f>
        <v/>
      </c>
      <c r="J176" s="45">
        <f>IF(OR(H176="",H176=0),"No volume",IF(I176&lt;=20,"Easier",IF(I176&lt;=35,"Medium","Hard")))</f>
        <v/>
      </c>
      <c r="K176" s="45" t="inlineStr">
        <is>
          <t>al haramain amber oud gold edition eau de parfum</t>
        </is>
      </c>
      <c r="L176" s="47">
        <f>IF(K176="","",IFERROR(INDEX('Semrush Data'!$C$2:$C$5000,MATCH(K176,'Semrush Data'!$A$2:$A$5000,0)),""))</f>
        <v/>
      </c>
      <c r="M176" s="48" t="inlineStr">
        <is>
          <t>Al Haramain Amber Oud Gold Edition Eau de Parfum</t>
        </is>
      </c>
      <c r="N176" s="45" t="inlineStr">
        <is>
          <t>Al Haramain Amber Oud Gold Edition EDP 60ml | Swansura UK</t>
        </is>
      </c>
      <c r="O176" s="45">
        <f>LEN(N176)</f>
        <v/>
      </c>
      <c r="P176" s="49" t="inlineStr">
        <is>
          <t>Buy Al Haramain Amber Oud Gold Edition Eau de Parfum for £29.99 at Swansura UK. An amber unisex eau de parfum. 100% authentic, fast UK delivery, free over £50.</t>
        </is>
      </c>
      <c r="Q176" s="45">
        <f>LEN(P176)</f>
        <v/>
      </c>
      <c r="R176" s="49" t="n"/>
    </row>
    <row r="177" ht="23.25" customHeight="1" s="37">
      <c r="A177" s="45" t="inlineStr">
        <is>
          <t>FR-017</t>
        </is>
      </c>
      <c r="B177" s="45" t="inlineStr">
        <is>
          <t>Fragrance Catalogue</t>
        </is>
      </c>
      <c r="C177" s="45" t="inlineStr">
        <is>
          <t>Al Haramain</t>
        </is>
      </c>
      <c r="D177" s="45" t="inlineStr">
        <is>
          <t>Al Haramain Amber Oud Ruby Edition Eau de Parfum – Luxury Unisex Amber Floral Fragrance</t>
        </is>
      </c>
      <c r="E177" s="45" t="inlineStr">
        <is>
          <t>60ml</t>
        </is>
      </c>
      <c r="F177" s="46" t="n">
        <v>41.99</v>
      </c>
      <c r="G177" s="45" t="inlineStr">
        <is>
          <t>al haramain amber oud ruby edition</t>
        </is>
      </c>
      <c r="H177" s="47">
        <f>IFERROR(INDEX('Semrush Data'!$C$2:$C$5000,MATCH(G177,'Semrush Data'!$A$2:$A$5000,0)),"")</f>
        <v/>
      </c>
      <c r="I177" s="45">
        <f>IFERROR(INDEX('Semrush Data'!$D$2:$D$5000,MATCH(G177,'Semrush Data'!$A$2:$A$5000,0)),"")</f>
        <v/>
      </c>
      <c r="J177" s="45">
        <f>IF(OR(H177="",H177=0),"No volume",IF(I177&lt;=20,"Easier",IF(I177&lt;=35,"Medium","Hard")))</f>
        <v/>
      </c>
      <c r="K177" s="45" t="inlineStr">
        <is>
          <t>al haramain amber oud ruby edition eau de parfum</t>
        </is>
      </c>
      <c r="L177" s="47">
        <f>IF(K177="","",IFERROR(INDEX('Semrush Data'!$C$2:$C$5000,MATCH(K177,'Semrush Data'!$A$2:$A$5000,0)),""))</f>
        <v/>
      </c>
      <c r="M177" s="48" t="inlineStr">
        <is>
          <t>Al Haramain Amber Oud Ruby Edition Eau de Parfum</t>
        </is>
      </c>
      <c r="N177" s="45" t="inlineStr">
        <is>
          <t>Al Haramain Amber Oud Ruby Edition EDP 60ml | Swansura UK</t>
        </is>
      </c>
      <c r="O177" s="45">
        <f>LEN(N177)</f>
        <v/>
      </c>
      <c r="P177" s="49" t="inlineStr">
        <is>
          <t>Buy Al Haramain Amber Oud Ruby Edition Eau de Parfum for £41.99 at Swansura UK. A floral unisex eau de parfum. 100% authentic, fast UK delivery, free over £50.</t>
        </is>
      </c>
      <c r="Q177" s="45">
        <f>LEN(P177)</f>
        <v/>
      </c>
      <c r="R177" s="49" t="n"/>
    </row>
    <row r="178" ht="23.25" customHeight="1" s="37">
      <c r="A178" s="45" t="inlineStr">
        <is>
          <t>FR-018</t>
        </is>
      </c>
      <c r="B178" s="45" t="inlineStr">
        <is>
          <t>Fragrance Catalogue</t>
        </is>
      </c>
      <c r="C178" s="45" t="inlineStr">
        <is>
          <t>Al Haramain</t>
        </is>
      </c>
      <c r="D178" s="45" t="inlineStr">
        <is>
          <t>Al Haramain Amber Oud Tobacco Edition Eau de Parfum 60ml – Luxury Unisex Spicy Tobacco Fragrance</t>
        </is>
      </c>
      <c r="E178" s="45" t="inlineStr">
        <is>
          <t>60ml</t>
        </is>
      </c>
      <c r="F178" s="46" t="n">
        <v>34.99</v>
      </c>
      <c r="G178" s="45" t="inlineStr">
        <is>
          <t>al haramain amber oud tobacco edition</t>
        </is>
      </c>
      <c r="H178" s="47">
        <f>IFERROR(INDEX('Semrush Data'!$C$2:$C$5000,MATCH(G178,'Semrush Data'!$A$2:$A$5000,0)),"")</f>
        <v/>
      </c>
      <c r="I178" s="45">
        <f>IFERROR(INDEX('Semrush Data'!$D$2:$D$5000,MATCH(G178,'Semrush Data'!$A$2:$A$5000,0)),"")</f>
        <v/>
      </c>
      <c r="J178" s="45">
        <f>IF(OR(H178="",H178=0),"No volume",IF(I178&lt;=20,"Easier",IF(I178&lt;=35,"Medium","Hard")))</f>
        <v/>
      </c>
      <c r="K178" s="45" t="inlineStr">
        <is>
          <t>al haramain amber oud tobacco edition eau de parfum</t>
        </is>
      </c>
      <c r="L178" s="47">
        <f>IF(K178="","",IFERROR(INDEX('Semrush Data'!$C$2:$C$5000,MATCH(K178,'Semrush Data'!$A$2:$A$5000,0)),""))</f>
        <v/>
      </c>
      <c r="M178" s="48" t="inlineStr">
        <is>
          <t>Al Haramain Amber Oud Tobacco Edition Eau de Parfum</t>
        </is>
      </c>
      <c r="N178" s="45" t="inlineStr">
        <is>
          <t>Al Haramain Amber Oud Tobacco Edition EDP 60ml | Swansura UK</t>
        </is>
      </c>
      <c r="O178" s="45">
        <f>LEN(N178)</f>
        <v/>
      </c>
      <c r="P178" s="49" t="inlineStr">
        <is>
          <t>Al Haramain Amber Oud Tobacco Edition Eau de Parfum for £34.99 at Swansura UK. An amber unisex eau de parfum. 100% authentic, fast UK delivery, free over £50.</t>
        </is>
      </c>
      <c r="Q178" s="45">
        <f>LEN(P178)</f>
        <v/>
      </c>
      <c r="R178" s="49" t="n"/>
    </row>
    <row r="179" ht="23.25" customHeight="1" s="37">
      <c r="A179" s="45" t="inlineStr">
        <is>
          <t>FR-019</t>
        </is>
      </c>
      <c r="B179" s="45" t="inlineStr">
        <is>
          <t>Fragrance Catalogue</t>
        </is>
      </c>
      <c r="C179" s="45" t="inlineStr">
        <is>
          <t>Al Haramain</t>
        </is>
      </c>
      <c r="D179" s="45" t="inlineStr">
        <is>
          <t>Al Haramain Amber Oud White Edition Eau de Parfum – Luxury Women's Floral Oriental Fragrance</t>
        </is>
      </c>
      <c r="E179" s="45" t="inlineStr">
        <is>
          <t>60ml</t>
        </is>
      </c>
      <c r="F179" s="46" t="n">
        <v>34.99</v>
      </c>
      <c r="G179" s="45" t="inlineStr">
        <is>
          <t>al haramain amber oud white edition</t>
        </is>
      </c>
      <c r="H179" s="47">
        <f>IFERROR(INDEX('Semrush Data'!$C$2:$C$5000,MATCH(G179,'Semrush Data'!$A$2:$A$5000,0)),"")</f>
        <v/>
      </c>
      <c r="I179" s="45">
        <f>IFERROR(INDEX('Semrush Data'!$D$2:$D$5000,MATCH(G179,'Semrush Data'!$A$2:$A$5000,0)),"")</f>
        <v/>
      </c>
      <c r="J179" s="45">
        <f>IF(OR(H179="",H179=0),"No volume",IF(I179&lt;=20,"Easier",IF(I179&lt;=35,"Medium","Hard")))</f>
        <v/>
      </c>
      <c r="K179" s="45" t="n"/>
      <c r="L179" s="47">
        <f>IF(K179="","",IFERROR(INDEX('Semrush Data'!$C$2:$C$5000,MATCH(K179,'Semrush Data'!$A$2:$A$5000,0)),""))</f>
        <v/>
      </c>
      <c r="M179" s="48" t="inlineStr">
        <is>
          <t>Al Haramain Amber Oud White Edition Eau de Parfum</t>
        </is>
      </c>
      <c r="N179" s="45" t="inlineStr">
        <is>
          <t>Al Haramain Amber Oud White Edition EDP 60ml | Swansura UK</t>
        </is>
      </c>
      <c r="O179" s="45">
        <f>LEN(N179)</f>
        <v/>
      </c>
      <c r="P179" s="49" t="inlineStr">
        <is>
          <t>Buy Al Haramain Amber Oud White Edition Eau de Parfum 60ml for £34.99 at Swansura UK. A floral women's eau de parfum. 100% authentic, free UK delivery over £50.</t>
        </is>
      </c>
      <c r="Q179" s="45">
        <f>LEN(P179)</f>
        <v/>
      </c>
      <c r="R179" s="49" t="n"/>
    </row>
    <row r="180" ht="23.25" customHeight="1" s="37">
      <c r="A180" s="45" t="inlineStr">
        <is>
          <t>FR-020</t>
        </is>
      </c>
      <c r="B180" s="45" t="inlineStr">
        <is>
          <t>Fragrance Catalogue</t>
        </is>
      </c>
      <c r="C180" s="45" t="inlineStr">
        <is>
          <t>Al Haramain</t>
        </is>
      </c>
      <c r="D180" s="45" t="inlineStr">
        <is>
          <t>Al Haramain Detour Noir Eau de Parfum 100ml – Luxury Unisex Amber Spicy Fragrance</t>
        </is>
      </c>
      <c r="E180" s="45" t="inlineStr">
        <is>
          <t>100ml</t>
        </is>
      </c>
      <c r="F180" s="46" t="n">
        <v>19.99</v>
      </c>
      <c r="G180" s="45" t="inlineStr">
        <is>
          <t>al haramain detour noir</t>
        </is>
      </c>
      <c r="H180" s="47">
        <f>IFERROR(INDEX('Semrush Data'!$C$2:$C$5000,MATCH(G180,'Semrush Data'!$A$2:$A$5000,0)),"")</f>
        <v/>
      </c>
      <c r="I180" s="45">
        <f>IFERROR(INDEX('Semrush Data'!$D$2:$D$5000,MATCH(G180,'Semrush Data'!$A$2:$A$5000,0)),"")</f>
        <v/>
      </c>
      <c r="J180" s="45">
        <f>IF(OR(H180="",H180=0),"No volume",IF(I180&lt;=20,"Easier",IF(I180&lt;=35,"Medium","Hard")))</f>
        <v/>
      </c>
      <c r="K180" s="45" t="inlineStr">
        <is>
          <t>al haramain detour noir eau de parfum</t>
        </is>
      </c>
      <c r="L180" s="47">
        <f>IF(K180="","",IFERROR(INDEX('Semrush Data'!$C$2:$C$5000,MATCH(K180,'Semrush Data'!$A$2:$A$5000,0)),""))</f>
        <v/>
      </c>
      <c r="M180" s="48" t="inlineStr">
        <is>
          <t>Al Haramain Detour Noir Eau de Parfum</t>
        </is>
      </c>
      <c r="N180" s="45" t="inlineStr">
        <is>
          <t>Al Haramain Detour Noir Eau de Parfum 100ml | Swansura UK</t>
        </is>
      </c>
      <c r="O180" s="45">
        <f>LEN(N180)</f>
        <v/>
      </c>
      <c r="P180" s="49" t="inlineStr">
        <is>
          <t>Buy Al Haramain Detour Noir Eau de Parfum 100ml for £19.99 at Swansura UK. An amber unisex eau de parfum. 100% authentic, fast UK delivery, free over £50.</t>
        </is>
      </c>
      <c r="Q180" s="45">
        <f>LEN(P180)</f>
        <v/>
      </c>
      <c r="R180" s="49" t="n"/>
    </row>
    <row r="181" ht="23.25" customHeight="1" s="37">
      <c r="A181" s="45" t="inlineStr">
        <is>
          <t>FR-021</t>
        </is>
      </c>
      <c r="B181" s="45" t="inlineStr">
        <is>
          <t>Fragrance Catalogue</t>
        </is>
      </c>
      <c r="C181" s="45" t="inlineStr">
        <is>
          <t>Al Haramain</t>
        </is>
      </c>
      <c r="D181" s="45" t="inlineStr">
        <is>
          <t>Al Haramain L'Aventure Blanche Eau de Parfum 100ml – Fresh Floral Woody Fragrance</t>
        </is>
      </c>
      <c r="E181" s="45" t="inlineStr">
        <is>
          <t>100ml</t>
        </is>
      </c>
      <c r="F181" s="46" t="n">
        <v>24.99</v>
      </c>
      <c r="G181" s="45" t="inlineStr">
        <is>
          <t>al haramain l'aventure blanche</t>
        </is>
      </c>
      <c r="H181" s="47">
        <f>IFERROR(INDEX('Semrush Data'!$C$2:$C$5000,MATCH(G181,'Semrush Data'!$A$2:$A$5000,0)),"")</f>
        <v/>
      </c>
      <c r="I181" s="45">
        <f>IFERROR(INDEX('Semrush Data'!$D$2:$D$5000,MATCH(G181,'Semrush Data'!$A$2:$A$5000,0)),"")</f>
        <v/>
      </c>
      <c r="J181" s="45">
        <f>IF(OR(H181="",H181=0),"No volume",IF(I181&lt;=20,"Easier",IF(I181&lt;=35,"Medium","Hard")))</f>
        <v/>
      </c>
      <c r="K181" s="45" t="n"/>
      <c r="L181" s="47">
        <f>IF(K181="","",IFERROR(INDEX('Semrush Data'!$C$2:$C$5000,MATCH(K181,'Semrush Data'!$A$2:$A$5000,0)),""))</f>
        <v/>
      </c>
      <c r="M181" s="48" t="inlineStr">
        <is>
          <t>Al Haramain L'Aventure Blanche Eau de Parfum</t>
        </is>
      </c>
      <c r="N181" s="45" t="inlineStr">
        <is>
          <t>Al Haramain L'Aventure Blanche EDP 100ml | Swansura UK</t>
        </is>
      </c>
      <c r="O181" s="45">
        <f>LEN(N181)</f>
        <v/>
      </c>
      <c r="P181" s="49" t="inlineStr">
        <is>
          <t>Buy Al Haramain L'Aventure Blanche Eau de Parfum 100ml for £24.99 at Swansura UK. A floral unisex eau de parfum. 100% authentic, free UK delivery over £50.</t>
        </is>
      </c>
      <c r="Q181" s="45">
        <f>LEN(P181)</f>
        <v/>
      </c>
      <c r="R181" s="49" t="n"/>
    </row>
    <row r="182" ht="23.25" customHeight="1" s="37">
      <c r="A182" s="45" t="inlineStr">
        <is>
          <t>FR-022</t>
        </is>
      </c>
      <c r="B182" s="45" t="inlineStr">
        <is>
          <t>Fragrance Catalogue</t>
        </is>
      </c>
      <c r="C182" s="45" t="inlineStr">
        <is>
          <t>Al Haramain</t>
        </is>
      </c>
      <c r="D182" s="45" t="inlineStr">
        <is>
          <t>Al Haramain L'Aventure Eau de Parfum 100ml – Men's Fresh Woody Longlasting Fragrance</t>
        </is>
      </c>
      <c r="E182" s="45" t="inlineStr">
        <is>
          <t>100ml</t>
        </is>
      </c>
      <c r="F182" s="46" t="n">
        <v>27.99</v>
      </c>
      <c r="G182" s="45" t="inlineStr">
        <is>
          <t>al haramain l'aventure</t>
        </is>
      </c>
      <c r="H182" s="47">
        <f>IFERROR(INDEX('Semrush Data'!$C$2:$C$5000,MATCH(G182,'Semrush Data'!$A$2:$A$5000,0)),"")</f>
        <v/>
      </c>
      <c r="I182" s="45">
        <f>IFERROR(INDEX('Semrush Data'!$D$2:$D$5000,MATCH(G182,'Semrush Data'!$A$2:$A$5000,0)),"")</f>
        <v/>
      </c>
      <c r="J182" s="45">
        <f>IF(OR(H182="",H182=0),"No volume",IF(I182&lt;=20,"Easier",IF(I182&lt;=35,"Medium","Hard")))</f>
        <v/>
      </c>
      <c r="K182" s="45" t="inlineStr">
        <is>
          <t>al haramain l'aventure eau de parfum</t>
        </is>
      </c>
      <c r="L182" s="47">
        <f>IF(K182="","",IFERROR(INDEX('Semrush Data'!$C$2:$C$5000,MATCH(K182,'Semrush Data'!$A$2:$A$5000,0)),""))</f>
        <v/>
      </c>
      <c r="M182" s="48" t="inlineStr">
        <is>
          <t>Al Haramain L'Aventure Eau de Parfum</t>
        </is>
      </c>
      <c r="N182" s="45" t="inlineStr">
        <is>
          <t>Al Haramain L'Aventure Eau de Parfum 100ml | Swansura UK</t>
        </is>
      </c>
      <c r="O182" s="45">
        <f>LEN(N182)</f>
        <v/>
      </c>
      <c r="P182" s="49" t="inlineStr">
        <is>
          <t>Buy Al Haramain L'Aventure Eau de Parfum 100ml for £27.99 at Swansura UK. A woody men's eau de parfum. 100% authentic, fast UK delivery, free over £50.</t>
        </is>
      </c>
      <c r="Q182" s="45">
        <f>LEN(P182)</f>
        <v/>
      </c>
      <c r="R182" s="49" t="n"/>
    </row>
    <row r="183" ht="23.25" customHeight="1" s="37">
      <c r="A183" s="45" t="inlineStr">
        <is>
          <t>FR-023</t>
        </is>
      </c>
      <c r="B183" s="45" t="inlineStr">
        <is>
          <t>Fragrance Catalogue</t>
        </is>
      </c>
      <c r="C183" s="45" t="inlineStr">
        <is>
          <t>Al Haramain</t>
        </is>
      </c>
      <c r="D183" s="45" t="inlineStr">
        <is>
          <t>Al Haramain L'Aventure Femme Eau de Parfum 100ml – Women's Fruity Floral Fragrance</t>
        </is>
      </c>
      <c r="E183" s="45" t="inlineStr">
        <is>
          <t>100ml</t>
        </is>
      </c>
      <c r="F183" s="46" t="n">
        <v>28.99</v>
      </c>
      <c r="G183" s="45" t="inlineStr">
        <is>
          <t>al haramain l'aventure femme</t>
        </is>
      </c>
      <c r="H183" s="47">
        <f>IFERROR(INDEX('Semrush Data'!$C$2:$C$5000,MATCH(G183,'Semrush Data'!$A$2:$A$5000,0)),"")</f>
        <v/>
      </c>
      <c r="I183" s="45">
        <f>IFERROR(INDEX('Semrush Data'!$D$2:$D$5000,MATCH(G183,'Semrush Data'!$A$2:$A$5000,0)),"")</f>
        <v/>
      </c>
      <c r="J183" s="45">
        <f>IF(OR(H183="",H183=0),"No volume",IF(I183&lt;=20,"Easier",IF(I183&lt;=35,"Medium","Hard")))</f>
        <v/>
      </c>
      <c r="K183" s="45" t="n"/>
      <c r="L183" s="47">
        <f>IF(K183="","",IFERROR(INDEX('Semrush Data'!$C$2:$C$5000,MATCH(K183,'Semrush Data'!$A$2:$A$5000,0)),""))</f>
        <v/>
      </c>
      <c r="M183" s="48" t="inlineStr">
        <is>
          <t>Al Haramain L'Aventure Femme Eau de Parfum</t>
        </is>
      </c>
      <c r="N183" s="45" t="inlineStr">
        <is>
          <t>Al Haramain L'Aventure Femme EDP 100ml | Swansura UK</t>
        </is>
      </c>
      <c r="O183" s="45">
        <f>LEN(N183)</f>
        <v/>
      </c>
      <c r="P183" s="49" t="inlineStr">
        <is>
          <t>Buy Al Haramain L'Aventure Femme Eau de Parfum 100ml for £28.99 at Swansura UK. A floral women's eau de parfum. 100% authentic, fast UK delivery, free over £50.</t>
        </is>
      </c>
      <c r="Q183" s="45">
        <f>LEN(P183)</f>
        <v/>
      </c>
      <c r="R183" s="49" t="n"/>
    </row>
    <row r="184" ht="23.25" customHeight="1" s="37">
      <c r="A184" s="45" t="inlineStr">
        <is>
          <t>FR-024</t>
        </is>
      </c>
      <c r="B184" s="45" t="inlineStr">
        <is>
          <t>Fragrance Catalogue</t>
        </is>
      </c>
      <c r="C184" s="45" t="inlineStr">
        <is>
          <t>Al Haramain</t>
        </is>
      </c>
      <c r="D184" s="45" t="inlineStr">
        <is>
          <t>Al Haramain L'Aventure Gold Eau de Parfum 100ml – Women's Floral Fruity Fragrance</t>
        </is>
      </c>
      <c r="E184" s="45" t="inlineStr">
        <is>
          <t>100ml</t>
        </is>
      </c>
      <c r="F184" s="46" t="n">
        <v>28.99</v>
      </c>
      <c r="G184" s="45" t="inlineStr">
        <is>
          <t>al haramain l'aventure gold</t>
        </is>
      </c>
      <c r="H184" s="47">
        <f>IFERROR(INDEX('Semrush Data'!$C$2:$C$5000,MATCH(G184,'Semrush Data'!$A$2:$A$5000,0)),"")</f>
        <v/>
      </c>
      <c r="I184" s="45">
        <f>IFERROR(INDEX('Semrush Data'!$D$2:$D$5000,MATCH(G184,'Semrush Data'!$A$2:$A$5000,0)),"")</f>
        <v/>
      </c>
      <c r="J184" s="45">
        <f>IF(OR(H184="",H184=0),"No volume",IF(I184&lt;=20,"Easier",IF(I184&lt;=35,"Medium","Hard")))</f>
        <v/>
      </c>
      <c r="K184" s="45" t="n"/>
      <c r="L184" s="47">
        <f>IF(K184="","",IFERROR(INDEX('Semrush Data'!$C$2:$C$5000,MATCH(K184,'Semrush Data'!$A$2:$A$5000,0)),""))</f>
        <v/>
      </c>
      <c r="M184" s="48" t="inlineStr">
        <is>
          <t>Al Haramain L'Aventure Gold Eau de Parfum</t>
        </is>
      </c>
      <c r="N184" s="45" t="inlineStr">
        <is>
          <t>Al Haramain L'Aventure Gold EDP 100ml | Swansura UK</t>
        </is>
      </c>
      <c r="O184" s="45">
        <f>LEN(N184)</f>
        <v/>
      </c>
      <c r="P184" s="49" t="inlineStr">
        <is>
          <t>Buy Al Haramain L'Aventure Gold Eau de Parfum 100ml for £28.99 at Swansura UK. A floral women's eau de parfum. 100% authentic, fast UK delivery, free over £50.</t>
        </is>
      </c>
      <c r="Q184" s="45">
        <f>LEN(P184)</f>
        <v/>
      </c>
      <c r="R184" s="49" t="n"/>
    </row>
    <row r="185" ht="23.25" customHeight="1" s="37">
      <c r="A185" s="45" t="inlineStr">
        <is>
          <t>FR-025</t>
        </is>
      </c>
      <c r="B185" s="45" t="inlineStr">
        <is>
          <t>Fragrance Catalogue</t>
        </is>
      </c>
      <c r="C185" s="45" t="inlineStr">
        <is>
          <t>Al Haramain</t>
        </is>
      </c>
      <c r="D185" s="45" t="inlineStr">
        <is>
          <t>Al Haramain L'Aventure Intense Eau de Parfum 100ml – Men's Fresh Woody Fragrance</t>
        </is>
      </c>
      <c r="E185" s="45" t="inlineStr">
        <is>
          <t>100ml</t>
        </is>
      </c>
      <c r="F185" s="46" t="n">
        <v>30.99</v>
      </c>
      <c r="G185" s="45" t="inlineStr">
        <is>
          <t>al haramain l'aventure intense</t>
        </is>
      </c>
      <c r="H185" s="47">
        <f>IFERROR(INDEX('Semrush Data'!$C$2:$C$5000,MATCH(G185,'Semrush Data'!$A$2:$A$5000,0)),"")</f>
        <v/>
      </c>
      <c r="I185" s="45">
        <f>IFERROR(INDEX('Semrush Data'!$D$2:$D$5000,MATCH(G185,'Semrush Data'!$A$2:$A$5000,0)),"")</f>
        <v/>
      </c>
      <c r="J185" s="45">
        <f>IF(OR(H185="",H185=0),"No volume",IF(I185&lt;=20,"Easier",IF(I185&lt;=35,"Medium","Hard")))</f>
        <v/>
      </c>
      <c r="K185" s="45" t="inlineStr">
        <is>
          <t>al haramain l'aventure intense eau de parfum</t>
        </is>
      </c>
      <c r="L185" s="47">
        <f>IF(K185="","",IFERROR(INDEX('Semrush Data'!$C$2:$C$5000,MATCH(K185,'Semrush Data'!$A$2:$A$5000,0)),""))</f>
        <v/>
      </c>
      <c r="M185" s="48" t="inlineStr">
        <is>
          <t>Al Haramain L'Aventure Intense Eau de Parfum</t>
        </is>
      </c>
      <c r="N185" s="45" t="inlineStr">
        <is>
          <t>Al Haramain L'Aventure Intense EDP 100ml | Swansura UK</t>
        </is>
      </c>
      <c r="O185" s="45">
        <f>LEN(N185)</f>
        <v/>
      </c>
      <c r="P185" s="49" t="inlineStr">
        <is>
          <t>Buy Al Haramain L'Aventure Intense Eau de Parfum 100ml for £30.99 at Swansura UK. A woody men's eau de parfum. 100% authentic, fast UK delivery, free over £50.</t>
        </is>
      </c>
      <c r="Q185" s="45">
        <f>LEN(P185)</f>
        <v/>
      </c>
      <c r="R185" s="49" t="n"/>
    </row>
    <row r="186" ht="23.25" customHeight="1" s="37">
      <c r="A186" s="45" t="inlineStr">
        <is>
          <t>FR-026</t>
        </is>
      </c>
      <c r="B186" s="45" t="inlineStr">
        <is>
          <t>Fragrance Catalogue</t>
        </is>
      </c>
      <c r="C186" s="45" t="inlineStr">
        <is>
          <t>Al Haramain</t>
        </is>
      </c>
      <c r="D186" s="45" t="inlineStr">
        <is>
          <t>Al Haramain Amber Oud Extreme Gold Edition Extrait de Parfum – Luxury Unisex Fruity Amber Fragrance</t>
        </is>
      </c>
      <c r="E186" s="45" t="inlineStr">
        <is>
          <t>60ml</t>
        </is>
      </c>
      <c r="F186" s="46" t="n">
        <v>37.99</v>
      </c>
      <c r="G186" s="45" t="inlineStr">
        <is>
          <t>al haramain amber oud extreme gold edition</t>
        </is>
      </c>
      <c r="H186" s="47">
        <f>IFERROR(INDEX('Semrush Data'!$C$2:$C$5000,MATCH(G186,'Semrush Data'!$A$2:$A$5000,0)),"")</f>
        <v/>
      </c>
      <c r="I186" s="45">
        <f>IFERROR(INDEX('Semrush Data'!$D$2:$D$5000,MATCH(G186,'Semrush Data'!$A$2:$A$5000,0)),"")</f>
        <v/>
      </c>
      <c r="J186" s="45">
        <f>IF(OR(H186="",H186=0),"No volume",IF(I186&lt;=20,"Easier",IF(I186&lt;=35,"Medium","Hard")))</f>
        <v/>
      </c>
      <c r="K186" s="45" t="n"/>
      <c r="L186" s="47">
        <f>IF(K186="","",IFERROR(INDEX('Semrush Data'!$C$2:$C$5000,MATCH(K186,'Semrush Data'!$A$2:$A$5000,0)),""))</f>
        <v/>
      </c>
      <c r="M186" s="48" t="inlineStr">
        <is>
          <t>Al Haramain Amber Oud Extreme Gold Edition Extrait de Parfum</t>
        </is>
      </c>
      <c r="N186" s="45" t="inlineStr">
        <is>
          <t>Al Haramain Amber Oud Extreme Gold Edition | Swansura UK</t>
        </is>
      </c>
      <c r="O186" s="45">
        <f>LEN(N186)</f>
        <v/>
      </c>
      <c r="P186" s="49" t="inlineStr">
        <is>
          <t>Buy Al Haramain Amber Oud Extreme Gold Edition Extrait de Parfum 60ml for £37.99 at Swansura UK. An amber unisex extrait de parfum. Free UK delivery over £50.</t>
        </is>
      </c>
      <c r="Q186" s="45">
        <f>LEN(P186)</f>
        <v/>
      </c>
      <c r="R186" s="49" t="n"/>
    </row>
    <row r="187" ht="45.75" customHeight="1" s="37">
      <c r="A187" s="45" t="inlineStr">
        <is>
          <t>FR-027</t>
        </is>
      </c>
      <c r="B187" s="45" t="inlineStr">
        <is>
          <t>Fragrance Catalogue</t>
        </is>
      </c>
      <c r="C187" s="45" t="inlineStr">
        <is>
          <t>anatomē</t>
        </is>
      </c>
      <c r="D187" s="45" t="inlineStr">
        <is>
          <t>Balance Eau de Parfum | Centre the Mind &amp; Restore Calm 100ml</t>
        </is>
      </c>
      <c r="E187" s="45" t="inlineStr">
        <is>
          <t>100ml</t>
        </is>
      </c>
      <c r="F187" s="46" t="n">
        <v>125</v>
      </c>
      <c r="G187" s="45" t="inlineStr">
        <is>
          <t>anatome balance</t>
        </is>
      </c>
      <c r="H187" s="47">
        <f>IFERROR(INDEX('Semrush Data'!$C$2:$C$5000,MATCH(G187,'Semrush Data'!$A$2:$A$5000,0)),"")</f>
        <v/>
      </c>
      <c r="I187" s="45">
        <f>IFERROR(INDEX('Semrush Data'!$D$2:$D$5000,MATCH(G187,'Semrush Data'!$A$2:$A$5000,0)),"")</f>
        <v/>
      </c>
      <c r="J187" s="45">
        <f>IF(OR(H187="",H187=0),"No volume",IF(I187&lt;=20,"Easier",IF(I187&lt;=35,"Medium","Hard")))</f>
        <v/>
      </c>
      <c r="K187" s="45" t="n"/>
      <c r="L187" s="47">
        <f>IF(K187="","",IFERROR(INDEX('Semrush Data'!$C$2:$C$5000,MATCH(K187,'Semrush Data'!$A$2:$A$5000,0)),""))</f>
        <v/>
      </c>
      <c r="M187" s="48" t="inlineStr">
        <is>
          <t>anatomē Balance Eau de Parfum 100ml</t>
        </is>
      </c>
      <c r="N187" s="45" t="inlineStr">
        <is>
          <t>anatomē Balance Eau de Parfum 100ml | Swansura UK</t>
        </is>
      </c>
      <c r="O187" s="45">
        <f>LEN(N187)</f>
        <v/>
      </c>
      <c r="P187" s="49" t="inlineStr">
        <is>
          <t>Buy anatomē Balance Eau de Parfum 100ml for £125.00 at Swansura UK. An amber unisex eau de parfum. 100% authentic, fast UK delivery, free over £50.</t>
        </is>
      </c>
      <c r="Q187" s="45">
        <f>LEN(P187)</f>
        <v/>
      </c>
      <c r="R187" s="49" t="inlineStr">
        <is>
          <t>Shares the keyword "anatome balance" with 2 other listing(s): consider merging sizes as variants of one product; Same name and size listed at different prices (£125, £28, £68): check size/price in the sheet; Check brand</t>
        </is>
      </c>
    </row>
    <row r="188" ht="45.75" customHeight="1" s="37">
      <c r="A188" s="45" t="inlineStr">
        <is>
          <t>FR-028</t>
        </is>
      </c>
      <c r="B188" s="45" t="inlineStr">
        <is>
          <t>Fragrance Catalogue</t>
        </is>
      </c>
      <c r="C188" s="45" t="inlineStr">
        <is>
          <t>anatomē</t>
        </is>
      </c>
      <c r="D188" s="45" t="inlineStr">
        <is>
          <t>Balance Eau de Parfum | Centre the Mind &amp; Restore Calm 100ml</t>
        </is>
      </c>
      <c r="E188" s="45" t="inlineStr">
        <is>
          <t>100ml</t>
        </is>
      </c>
      <c r="F188" s="46" t="n">
        <v>28</v>
      </c>
      <c r="G188" s="45" t="inlineStr">
        <is>
          <t>anatome balance</t>
        </is>
      </c>
      <c r="H188" s="47">
        <f>IFERROR(INDEX('Semrush Data'!$C$2:$C$5000,MATCH(G188,'Semrush Data'!$A$2:$A$5000,0)),"")</f>
        <v/>
      </c>
      <c r="I188" s="45">
        <f>IFERROR(INDEX('Semrush Data'!$D$2:$D$5000,MATCH(G188,'Semrush Data'!$A$2:$A$5000,0)),"")</f>
        <v/>
      </c>
      <c r="J188" s="45">
        <f>IF(OR(H188="",H188=0),"No volume",IF(I188&lt;=20,"Easier",IF(I188&lt;=35,"Medium","Hard")))</f>
        <v/>
      </c>
      <c r="K188" s="45" t="n"/>
      <c r="L188" s="47">
        <f>IF(K188="","",IFERROR(INDEX('Semrush Data'!$C$2:$C$5000,MATCH(K188,'Semrush Data'!$A$2:$A$5000,0)),""))</f>
        <v/>
      </c>
      <c r="M188" s="48" t="inlineStr">
        <is>
          <t>anatomē Balance Eau de Parfum 100ml</t>
        </is>
      </c>
      <c r="N188" s="45" t="inlineStr">
        <is>
          <t>anatomē Balance Eau de Parfum 100ml | Swansura UK</t>
        </is>
      </c>
      <c r="O188" s="45">
        <f>LEN(N188)</f>
        <v/>
      </c>
      <c r="P188" s="49" t="inlineStr">
        <is>
          <t>Buy anatomē Balance Eau de Parfum 100ml for £28.00 at Swansura UK. An amber unisex eau de parfum. 100% authentic, fast UK delivery, free over £50.</t>
        </is>
      </c>
      <c r="Q188" s="45">
        <f>LEN(P188)</f>
        <v/>
      </c>
      <c r="R188" s="49" t="inlineStr">
        <is>
          <t>Shares the keyword "anatome balance" with 2 other listing(s): consider merging sizes as variants of one product; Same name and size listed at different prices (£125, £28, £68): check size/price in the sheet; Check brand</t>
        </is>
      </c>
    </row>
    <row r="189" ht="45.75" customHeight="1" s="37">
      <c r="A189" s="45" t="inlineStr">
        <is>
          <t>FR-029</t>
        </is>
      </c>
      <c r="B189" s="45" t="inlineStr">
        <is>
          <t>Fragrance Catalogue</t>
        </is>
      </c>
      <c r="C189" s="45" t="inlineStr">
        <is>
          <t>anatomē</t>
        </is>
      </c>
      <c r="D189" s="45" t="inlineStr">
        <is>
          <t>Balance Eau de Parfum | Centre the Mind &amp; Restore Calm 100ml</t>
        </is>
      </c>
      <c r="E189" s="45" t="inlineStr">
        <is>
          <t>100ml</t>
        </is>
      </c>
      <c r="F189" s="46" t="n">
        <v>68</v>
      </c>
      <c r="G189" s="45" t="inlineStr">
        <is>
          <t>anatome balance</t>
        </is>
      </c>
      <c r="H189" s="47">
        <f>IFERROR(INDEX('Semrush Data'!$C$2:$C$5000,MATCH(G189,'Semrush Data'!$A$2:$A$5000,0)),"")</f>
        <v/>
      </c>
      <c r="I189" s="45">
        <f>IFERROR(INDEX('Semrush Data'!$D$2:$D$5000,MATCH(G189,'Semrush Data'!$A$2:$A$5000,0)),"")</f>
        <v/>
      </c>
      <c r="J189" s="45">
        <f>IF(OR(H189="",H189=0),"No volume",IF(I189&lt;=20,"Easier",IF(I189&lt;=35,"Medium","Hard")))</f>
        <v/>
      </c>
      <c r="K189" s="45" t="n"/>
      <c r="L189" s="47">
        <f>IF(K189="","",IFERROR(INDEX('Semrush Data'!$C$2:$C$5000,MATCH(K189,'Semrush Data'!$A$2:$A$5000,0)),""))</f>
        <v/>
      </c>
      <c r="M189" s="48" t="inlineStr">
        <is>
          <t>anatomē Balance Eau de Parfum 100ml</t>
        </is>
      </c>
      <c r="N189" s="45" t="inlineStr">
        <is>
          <t>anatomē Balance Eau de Parfum 100ml | Swansura UK</t>
        </is>
      </c>
      <c r="O189" s="45">
        <f>LEN(N189)</f>
        <v/>
      </c>
      <c r="P189" s="49" t="inlineStr">
        <is>
          <t>Buy anatomē Balance Eau de Parfum 100ml for £68.00 at Swansura UK. An amber unisex eau de parfum. 100% authentic, fast UK delivery, free over £50.</t>
        </is>
      </c>
      <c r="Q189" s="45">
        <f>LEN(P189)</f>
        <v/>
      </c>
      <c r="R189" s="49" t="inlineStr">
        <is>
          <t>Shares the keyword "anatome balance" with 2 other listing(s): consider merging sizes as variants of one product; Same name and size listed at different prices (£125, £28, £68): check size/price in the sheet; Check brand</t>
        </is>
      </c>
    </row>
    <row r="190" ht="45.75" customHeight="1" s="37">
      <c r="A190" s="45" t="inlineStr">
        <is>
          <t>FR-030</t>
        </is>
      </c>
      <c r="B190" s="45" t="inlineStr">
        <is>
          <t>Fragrance Catalogue</t>
        </is>
      </c>
      <c r="C190" s="45" t="inlineStr">
        <is>
          <t>anatomē</t>
        </is>
      </c>
      <c r="D190" s="45" t="inlineStr">
        <is>
          <t>Energy Eau de Parfum | Enhance Endurance &amp; Sharpen Clarity 100ml</t>
        </is>
      </c>
      <c r="E190" s="45" t="inlineStr">
        <is>
          <t>100ml</t>
        </is>
      </c>
      <c r="F190" s="46" t="n">
        <v>125</v>
      </c>
      <c r="G190" s="45" t="inlineStr">
        <is>
          <t>anatome energy</t>
        </is>
      </c>
      <c r="H190" s="47">
        <f>IFERROR(INDEX('Semrush Data'!$C$2:$C$5000,MATCH(G190,'Semrush Data'!$A$2:$A$5000,0)),"")</f>
        <v/>
      </c>
      <c r="I190" s="45">
        <f>IFERROR(INDEX('Semrush Data'!$D$2:$D$5000,MATCH(G190,'Semrush Data'!$A$2:$A$5000,0)),"")</f>
        <v/>
      </c>
      <c r="J190" s="45">
        <f>IF(OR(H190="",H190=0),"No volume",IF(I190&lt;=20,"Easier",IF(I190&lt;=35,"Medium","Hard")))</f>
        <v/>
      </c>
      <c r="K190" s="45" t="n"/>
      <c r="L190" s="47">
        <f>IF(K190="","",IFERROR(INDEX('Semrush Data'!$C$2:$C$5000,MATCH(K190,'Semrush Data'!$A$2:$A$5000,0)),""))</f>
        <v/>
      </c>
      <c r="M190" s="48" t="inlineStr">
        <is>
          <t>anatomē Energy Eau de Parfum 100ml</t>
        </is>
      </c>
      <c r="N190" s="45" t="inlineStr">
        <is>
          <t>anatomē Energy Eau de Parfum 100ml | Swansura UK</t>
        </is>
      </c>
      <c r="O190" s="45">
        <f>LEN(N190)</f>
        <v/>
      </c>
      <c r="P190" s="49" t="inlineStr">
        <is>
          <t>Buy anatomē Energy Eau de Parfum 100ml for £125.00 at Swansura UK. An amber unisex eau de parfum. 100% authentic, fast UK delivery, free over £50.</t>
        </is>
      </c>
      <c r="Q190" s="45">
        <f>LEN(P190)</f>
        <v/>
      </c>
      <c r="R190" s="49" t="inlineStr">
        <is>
          <t>Shares the keyword "anatome energy" with 2 other listing(s): consider merging sizes as variants of one product; Same name and size listed at different prices (£125, £28, £68): check size/price in the sheet; Check brand</t>
        </is>
      </c>
    </row>
    <row r="191" ht="45.75" customHeight="1" s="37">
      <c r="A191" s="45" t="inlineStr">
        <is>
          <t>FR-031</t>
        </is>
      </c>
      <c r="B191" s="45" t="inlineStr">
        <is>
          <t>Fragrance Catalogue</t>
        </is>
      </c>
      <c r="C191" s="45" t="inlineStr">
        <is>
          <t>anatomē</t>
        </is>
      </c>
      <c r="D191" s="45" t="inlineStr">
        <is>
          <t>Energy Eau de Parfum | Enhance Endurance &amp; Sharpen Clarity 100ml</t>
        </is>
      </c>
      <c r="E191" s="45" t="inlineStr">
        <is>
          <t>100ml</t>
        </is>
      </c>
      <c r="F191" s="46" t="n">
        <v>28</v>
      </c>
      <c r="G191" s="45" t="inlineStr">
        <is>
          <t>anatome energy</t>
        </is>
      </c>
      <c r="H191" s="47">
        <f>IFERROR(INDEX('Semrush Data'!$C$2:$C$5000,MATCH(G191,'Semrush Data'!$A$2:$A$5000,0)),"")</f>
        <v/>
      </c>
      <c r="I191" s="45">
        <f>IFERROR(INDEX('Semrush Data'!$D$2:$D$5000,MATCH(G191,'Semrush Data'!$A$2:$A$5000,0)),"")</f>
        <v/>
      </c>
      <c r="J191" s="45">
        <f>IF(OR(H191="",H191=0),"No volume",IF(I191&lt;=20,"Easier",IF(I191&lt;=35,"Medium","Hard")))</f>
        <v/>
      </c>
      <c r="K191" s="45" t="n"/>
      <c r="L191" s="47">
        <f>IF(K191="","",IFERROR(INDEX('Semrush Data'!$C$2:$C$5000,MATCH(K191,'Semrush Data'!$A$2:$A$5000,0)),""))</f>
        <v/>
      </c>
      <c r="M191" s="48" t="inlineStr">
        <is>
          <t>anatomē Energy Eau de Parfum 100ml</t>
        </is>
      </c>
      <c r="N191" s="45" t="inlineStr">
        <is>
          <t>anatomē Energy Eau de Parfum 100ml | Swansura UK</t>
        </is>
      </c>
      <c r="O191" s="45">
        <f>LEN(N191)</f>
        <v/>
      </c>
      <c r="P191" s="49" t="inlineStr">
        <is>
          <t>Buy anatomē Energy Eau de Parfum 100ml for £28.00 at Swansura UK. An amber unisex eau de parfum. 100% authentic, fast UK delivery, free over £50.</t>
        </is>
      </c>
      <c r="Q191" s="45">
        <f>LEN(P191)</f>
        <v/>
      </c>
      <c r="R191" s="49" t="inlineStr">
        <is>
          <t>Shares the keyword "anatome energy" with 2 other listing(s): consider merging sizes as variants of one product; Same name and size listed at different prices (£125, £28, £68): check size/price in the sheet; Check brand</t>
        </is>
      </c>
    </row>
    <row r="192" ht="45.75" customHeight="1" s="37">
      <c r="A192" s="45" t="inlineStr">
        <is>
          <t>FR-032</t>
        </is>
      </c>
      <c r="B192" s="45" t="inlineStr">
        <is>
          <t>Fragrance Catalogue</t>
        </is>
      </c>
      <c r="C192" s="45" t="inlineStr">
        <is>
          <t>anatomē</t>
        </is>
      </c>
      <c r="D192" s="45" t="inlineStr">
        <is>
          <t>Energy Eau de Parfum | Enhance Endurance &amp; Sharpen Clarity 100ml</t>
        </is>
      </c>
      <c r="E192" s="45" t="inlineStr">
        <is>
          <t>100ml</t>
        </is>
      </c>
      <c r="F192" s="46" t="n">
        <v>68</v>
      </c>
      <c r="G192" s="45" t="inlineStr">
        <is>
          <t>anatome energy</t>
        </is>
      </c>
      <c r="H192" s="47">
        <f>IFERROR(INDEX('Semrush Data'!$C$2:$C$5000,MATCH(G192,'Semrush Data'!$A$2:$A$5000,0)),"")</f>
        <v/>
      </c>
      <c r="I192" s="45">
        <f>IFERROR(INDEX('Semrush Data'!$D$2:$D$5000,MATCH(G192,'Semrush Data'!$A$2:$A$5000,0)),"")</f>
        <v/>
      </c>
      <c r="J192" s="45">
        <f>IF(OR(H192="",H192=0),"No volume",IF(I192&lt;=20,"Easier",IF(I192&lt;=35,"Medium","Hard")))</f>
        <v/>
      </c>
      <c r="K192" s="45" t="n"/>
      <c r="L192" s="47">
        <f>IF(K192="","",IFERROR(INDEX('Semrush Data'!$C$2:$C$5000,MATCH(K192,'Semrush Data'!$A$2:$A$5000,0)),""))</f>
        <v/>
      </c>
      <c r="M192" s="48" t="inlineStr">
        <is>
          <t>anatomē Energy Eau de Parfum 100ml</t>
        </is>
      </c>
      <c r="N192" s="45" t="inlineStr">
        <is>
          <t>anatomē Energy Eau de Parfum 100ml | Swansura UK</t>
        </is>
      </c>
      <c r="O192" s="45">
        <f>LEN(N192)</f>
        <v/>
      </c>
      <c r="P192" s="49" t="inlineStr">
        <is>
          <t>Buy anatomē Energy Eau de Parfum 100ml for £68.00 at Swansura UK. An amber unisex eau de parfum. 100% authentic, fast UK delivery, free over £50.</t>
        </is>
      </c>
      <c r="Q192" s="45">
        <f>LEN(P192)</f>
        <v/>
      </c>
      <c r="R192" s="49" t="inlineStr">
        <is>
          <t>Shares the keyword "anatome energy" with 2 other listing(s): consider merging sizes as variants of one product; Same name and size listed at different prices (£125, £28, £68): check size/price in the sheet; Check brand</t>
        </is>
      </c>
    </row>
    <row r="193" ht="45.75" customHeight="1" s="37">
      <c r="A193" s="45" t="inlineStr">
        <is>
          <t>FR-033</t>
        </is>
      </c>
      <c r="B193" s="45" t="inlineStr">
        <is>
          <t>Fragrance Catalogue</t>
        </is>
      </c>
      <c r="C193" s="45" t="inlineStr">
        <is>
          <t>anatomē</t>
        </is>
      </c>
      <c r="D193" s="45" t="inlineStr">
        <is>
          <t>Expression Eau de Parfum | Open the Breath &amp; Support Expression 100ml</t>
        </is>
      </c>
      <c r="E193" s="45" t="inlineStr">
        <is>
          <t>100ml</t>
        </is>
      </c>
      <c r="F193" s="46" t="n">
        <v>125</v>
      </c>
      <c r="G193" s="45" t="inlineStr">
        <is>
          <t>anatome expression</t>
        </is>
      </c>
      <c r="H193" s="47">
        <f>IFERROR(INDEX('Semrush Data'!$C$2:$C$5000,MATCH(G193,'Semrush Data'!$A$2:$A$5000,0)),"")</f>
        <v/>
      </c>
      <c r="I193" s="45">
        <f>IFERROR(INDEX('Semrush Data'!$D$2:$D$5000,MATCH(G193,'Semrush Data'!$A$2:$A$5000,0)),"")</f>
        <v/>
      </c>
      <c r="J193" s="45">
        <f>IF(OR(H193="",H193=0),"No volume",IF(I193&lt;=20,"Easier",IF(I193&lt;=35,"Medium","Hard")))</f>
        <v/>
      </c>
      <c r="K193" s="45" t="n"/>
      <c r="L193" s="47">
        <f>IF(K193="","",IFERROR(INDEX('Semrush Data'!$C$2:$C$5000,MATCH(K193,'Semrush Data'!$A$2:$A$5000,0)),""))</f>
        <v/>
      </c>
      <c r="M193" s="48" t="inlineStr">
        <is>
          <t>anatomē Expression Eau de Parfum 100ml</t>
        </is>
      </c>
      <c r="N193" s="45" t="inlineStr">
        <is>
          <t>anatomē Expression Eau de Parfum 100ml | Swansura UK</t>
        </is>
      </c>
      <c r="O193" s="45">
        <f>LEN(N193)</f>
        <v/>
      </c>
      <c r="P193" s="49" t="inlineStr">
        <is>
          <t>Buy anatomē Expression Eau de Parfum 100ml for £125.00 at Swansura UK. An amber unisex eau de parfum. 100% authentic, fast UK delivery, free over £50.</t>
        </is>
      </c>
      <c r="Q193" s="45">
        <f>LEN(P193)</f>
        <v/>
      </c>
      <c r="R193" s="49" t="inlineStr">
        <is>
          <t>Shares the keyword "anatome expression" with 2 other listing(s): consider merging sizes as variants of one product; Same name and size listed at different prices (£125, £28, £68): check size/price in the sheet; Check brand</t>
        </is>
      </c>
    </row>
    <row r="194" ht="45.75" customHeight="1" s="37">
      <c r="A194" s="45" t="inlineStr">
        <is>
          <t>FR-034</t>
        </is>
      </c>
      <c r="B194" s="45" t="inlineStr">
        <is>
          <t>Fragrance Catalogue</t>
        </is>
      </c>
      <c r="C194" s="45" t="inlineStr">
        <is>
          <t>anatomē</t>
        </is>
      </c>
      <c r="D194" s="45" t="inlineStr">
        <is>
          <t>Expression Eau de Parfum | Open the Breath &amp; Support Expression 100ml</t>
        </is>
      </c>
      <c r="E194" s="45" t="inlineStr">
        <is>
          <t>100ml</t>
        </is>
      </c>
      <c r="F194" s="46" t="n">
        <v>28</v>
      </c>
      <c r="G194" s="45" t="inlineStr">
        <is>
          <t>anatome expression</t>
        </is>
      </c>
      <c r="H194" s="47">
        <f>IFERROR(INDEX('Semrush Data'!$C$2:$C$5000,MATCH(G194,'Semrush Data'!$A$2:$A$5000,0)),"")</f>
        <v/>
      </c>
      <c r="I194" s="45">
        <f>IFERROR(INDEX('Semrush Data'!$D$2:$D$5000,MATCH(G194,'Semrush Data'!$A$2:$A$5000,0)),"")</f>
        <v/>
      </c>
      <c r="J194" s="45">
        <f>IF(OR(H194="",H194=0),"No volume",IF(I194&lt;=20,"Easier",IF(I194&lt;=35,"Medium","Hard")))</f>
        <v/>
      </c>
      <c r="K194" s="45" t="n"/>
      <c r="L194" s="47">
        <f>IF(K194="","",IFERROR(INDEX('Semrush Data'!$C$2:$C$5000,MATCH(K194,'Semrush Data'!$A$2:$A$5000,0)),""))</f>
        <v/>
      </c>
      <c r="M194" s="48" t="inlineStr">
        <is>
          <t>anatomē Expression Eau de Parfum 100ml</t>
        </is>
      </c>
      <c r="N194" s="45" t="inlineStr">
        <is>
          <t>anatomē Expression Eau de Parfum 100ml | Swansura UK</t>
        </is>
      </c>
      <c r="O194" s="45">
        <f>LEN(N194)</f>
        <v/>
      </c>
      <c r="P194" s="49" t="inlineStr">
        <is>
          <t>Buy anatomē Expression Eau de Parfum 100ml for £28.00 at Swansura UK. An amber unisex eau de parfum. 100% authentic, fast UK delivery, free over £50.</t>
        </is>
      </c>
      <c r="Q194" s="45">
        <f>LEN(P194)</f>
        <v/>
      </c>
      <c r="R194" s="49" t="inlineStr">
        <is>
          <t>Shares the keyword "anatome expression" with 2 other listing(s): consider merging sizes as variants of one product; Same name and size listed at different prices (£125, £28, £68): check size/price in the sheet; Check brand</t>
        </is>
      </c>
    </row>
    <row r="195" ht="45.75" customHeight="1" s="37">
      <c r="A195" s="45" t="inlineStr">
        <is>
          <t>FR-035</t>
        </is>
      </c>
      <c r="B195" s="45" t="inlineStr">
        <is>
          <t>Fragrance Catalogue</t>
        </is>
      </c>
      <c r="C195" s="45" t="inlineStr">
        <is>
          <t>anatomē</t>
        </is>
      </c>
      <c r="D195" s="45" t="inlineStr">
        <is>
          <t>Expression Eau de Parfum | Open the Breath &amp; Support Expression 100ml</t>
        </is>
      </c>
      <c r="E195" s="45" t="inlineStr">
        <is>
          <t>100ml</t>
        </is>
      </c>
      <c r="F195" s="46" t="n">
        <v>68</v>
      </c>
      <c r="G195" s="45" t="inlineStr">
        <is>
          <t>anatome expression</t>
        </is>
      </c>
      <c r="H195" s="47">
        <f>IFERROR(INDEX('Semrush Data'!$C$2:$C$5000,MATCH(G195,'Semrush Data'!$A$2:$A$5000,0)),"")</f>
        <v/>
      </c>
      <c r="I195" s="45">
        <f>IFERROR(INDEX('Semrush Data'!$D$2:$D$5000,MATCH(G195,'Semrush Data'!$A$2:$A$5000,0)),"")</f>
        <v/>
      </c>
      <c r="J195" s="45">
        <f>IF(OR(H195="",H195=0),"No volume",IF(I195&lt;=20,"Easier",IF(I195&lt;=35,"Medium","Hard")))</f>
        <v/>
      </c>
      <c r="K195" s="45" t="n"/>
      <c r="L195" s="47">
        <f>IF(K195="","",IFERROR(INDEX('Semrush Data'!$C$2:$C$5000,MATCH(K195,'Semrush Data'!$A$2:$A$5000,0)),""))</f>
        <v/>
      </c>
      <c r="M195" s="48" t="inlineStr">
        <is>
          <t>anatomē Expression Eau de Parfum 100ml</t>
        </is>
      </c>
      <c r="N195" s="45" t="inlineStr">
        <is>
          <t>anatomē Expression Eau de Parfum 100ml | Swansura UK</t>
        </is>
      </c>
      <c r="O195" s="45">
        <f>LEN(N195)</f>
        <v/>
      </c>
      <c r="P195" s="49" t="inlineStr">
        <is>
          <t>Buy anatomē Expression Eau de Parfum 100ml for £68.00 at Swansura UK. An amber unisex eau de parfum. 100% authentic, fast UK delivery, free over £50.</t>
        </is>
      </c>
      <c r="Q195" s="45">
        <f>LEN(P195)</f>
        <v/>
      </c>
      <c r="R195" s="49" t="inlineStr">
        <is>
          <t>Shares the keyword "anatome expression" with 2 other listing(s): consider merging sizes as variants of one product; Same name and size listed at different prices (£125, £28, £68): check size/price in the sheet; Check brand</t>
        </is>
      </c>
    </row>
    <row r="196" ht="45.75" customHeight="1" s="37">
      <c r="A196" s="45" t="inlineStr">
        <is>
          <t>FR-036</t>
        </is>
      </c>
      <c r="B196" s="45" t="inlineStr">
        <is>
          <t>Fragrance Catalogue</t>
        </is>
      </c>
      <c r="C196" s="45" t="inlineStr">
        <is>
          <t>anatomē</t>
        </is>
      </c>
      <c r="D196" s="45" t="inlineStr">
        <is>
          <t>Focus Eau de Parfum | Sharpen Focus &amp; Awaken the Senses 100ml</t>
        </is>
      </c>
      <c r="E196" s="45" t="inlineStr">
        <is>
          <t>100ml</t>
        </is>
      </c>
      <c r="F196" s="46" t="n">
        <v>125</v>
      </c>
      <c r="G196" s="45" t="inlineStr">
        <is>
          <t>anatome focus</t>
        </is>
      </c>
      <c r="H196" s="47">
        <f>IFERROR(INDEX('Semrush Data'!$C$2:$C$5000,MATCH(G196,'Semrush Data'!$A$2:$A$5000,0)),"")</f>
        <v/>
      </c>
      <c r="I196" s="45">
        <f>IFERROR(INDEX('Semrush Data'!$D$2:$D$5000,MATCH(G196,'Semrush Data'!$A$2:$A$5000,0)),"")</f>
        <v/>
      </c>
      <c r="J196" s="45">
        <f>IF(OR(H196="",H196=0),"No volume",IF(I196&lt;=20,"Easier",IF(I196&lt;=35,"Medium","Hard")))</f>
        <v/>
      </c>
      <c r="K196" s="45" t="n"/>
      <c r="L196" s="47">
        <f>IF(K196="","",IFERROR(INDEX('Semrush Data'!$C$2:$C$5000,MATCH(K196,'Semrush Data'!$A$2:$A$5000,0)),""))</f>
        <v/>
      </c>
      <c r="M196" s="48" t="inlineStr">
        <is>
          <t>anatomē Focus Eau de Parfum 100ml</t>
        </is>
      </c>
      <c r="N196" s="45" t="inlineStr">
        <is>
          <t>anatomē Focus Eau de Parfum 100ml | Buy Online UK | Swansura</t>
        </is>
      </c>
      <c r="O196" s="45">
        <f>LEN(N196)</f>
        <v/>
      </c>
      <c r="P196" s="49" t="inlineStr">
        <is>
          <t>Buy anatomē Focus Eau de Parfum 100ml for £125.00 at Swansura UK. An amber unisex eau de parfum. 100% authentic, fast UK delivery, free over £50.</t>
        </is>
      </c>
      <c r="Q196" s="45">
        <f>LEN(P196)</f>
        <v/>
      </c>
      <c r="R196" s="49" t="inlineStr">
        <is>
          <t>Shares the keyword "anatome focus" with 2 other listing(s): consider merging sizes as variants of one product; Same name and size listed at different prices (£125, £28, £68): check size/price in the sheet; Check brand</t>
        </is>
      </c>
    </row>
    <row r="197" ht="45.75" customHeight="1" s="37">
      <c r="A197" s="45" t="inlineStr">
        <is>
          <t>FR-037</t>
        </is>
      </c>
      <c r="B197" s="45" t="inlineStr">
        <is>
          <t>Fragrance Catalogue</t>
        </is>
      </c>
      <c r="C197" s="45" t="inlineStr">
        <is>
          <t>anatomē</t>
        </is>
      </c>
      <c r="D197" s="45" t="inlineStr">
        <is>
          <t>Focus Eau de Parfum | Sharpen Focus &amp; Awaken the Senses 100ml</t>
        </is>
      </c>
      <c r="E197" s="45" t="inlineStr">
        <is>
          <t>100ml</t>
        </is>
      </c>
      <c r="F197" s="46" t="n">
        <v>28</v>
      </c>
      <c r="G197" s="45" t="inlineStr">
        <is>
          <t>anatome focus</t>
        </is>
      </c>
      <c r="H197" s="47">
        <f>IFERROR(INDEX('Semrush Data'!$C$2:$C$5000,MATCH(G197,'Semrush Data'!$A$2:$A$5000,0)),"")</f>
        <v/>
      </c>
      <c r="I197" s="45">
        <f>IFERROR(INDEX('Semrush Data'!$D$2:$D$5000,MATCH(G197,'Semrush Data'!$A$2:$A$5000,0)),"")</f>
        <v/>
      </c>
      <c r="J197" s="45">
        <f>IF(OR(H197="",H197=0),"No volume",IF(I197&lt;=20,"Easier",IF(I197&lt;=35,"Medium","Hard")))</f>
        <v/>
      </c>
      <c r="K197" s="45" t="n"/>
      <c r="L197" s="47">
        <f>IF(K197="","",IFERROR(INDEX('Semrush Data'!$C$2:$C$5000,MATCH(K197,'Semrush Data'!$A$2:$A$5000,0)),""))</f>
        <v/>
      </c>
      <c r="M197" s="48" t="inlineStr">
        <is>
          <t>anatomē Focus Eau de Parfum 100ml</t>
        </is>
      </c>
      <c r="N197" s="45" t="inlineStr">
        <is>
          <t>anatomē Focus Eau de Parfum 100ml | Buy Online UK | Swansura</t>
        </is>
      </c>
      <c r="O197" s="45">
        <f>LEN(N197)</f>
        <v/>
      </c>
      <c r="P197" s="49" t="inlineStr">
        <is>
          <t>Buy anatomē Focus Eau de Parfum 100ml for £28.00 at Swansura UK. An amber unisex eau de parfum. 100% authentic, fast UK delivery, free over £50.</t>
        </is>
      </c>
      <c r="Q197" s="45">
        <f>LEN(P197)</f>
        <v/>
      </c>
      <c r="R197" s="49" t="inlineStr">
        <is>
          <t>Shares the keyword "anatome focus" with 2 other listing(s): consider merging sizes as variants of one product; Same name and size listed at different prices (£125, £28, £68): check size/price in the sheet; Check brand</t>
        </is>
      </c>
    </row>
    <row r="198" ht="45.75" customHeight="1" s="37">
      <c r="A198" s="45" t="inlineStr">
        <is>
          <t>FR-038</t>
        </is>
      </c>
      <c r="B198" s="45" t="inlineStr">
        <is>
          <t>Fragrance Catalogue</t>
        </is>
      </c>
      <c r="C198" s="45" t="inlineStr">
        <is>
          <t>anatomē</t>
        </is>
      </c>
      <c r="D198" s="45" t="inlineStr">
        <is>
          <t>Focus Eau de Parfum | Sharpen Focus &amp; Awaken the Senses 100ml</t>
        </is>
      </c>
      <c r="E198" s="45" t="inlineStr">
        <is>
          <t>100ml</t>
        </is>
      </c>
      <c r="F198" s="46" t="n">
        <v>68</v>
      </c>
      <c r="G198" s="45" t="inlineStr">
        <is>
          <t>anatome focus</t>
        </is>
      </c>
      <c r="H198" s="47">
        <f>IFERROR(INDEX('Semrush Data'!$C$2:$C$5000,MATCH(G198,'Semrush Data'!$A$2:$A$5000,0)),"")</f>
        <v/>
      </c>
      <c r="I198" s="45">
        <f>IFERROR(INDEX('Semrush Data'!$D$2:$D$5000,MATCH(G198,'Semrush Data'!$A$2:$A$5000,0)),"")</f>
        <v/>
      </c>
      <c r="J198" s="45">
        <f>IF(OR(H198="",H198=0),"No volume",IF(I198&lt;=20,"Easier",IF(I198&lt;=35,"Medium","Hard")))</f>
        <v/>
      </c>
      <c r="K198" s="45" t="n"/>
      <c r="L198" s="47">
        <f>IF(K198="","",IFERROR(INDEX('Semrush Data'!$C$2:$C$5000,MATCH(K198,'Semrush Data'!$A$2:$A$5000,0)),""))</f>
        <v/>
      </c>
      <c r="M198" s="48" t="inlineStr">
        <is>
          <t>anatomē Focus Eau de Parfum 100ml</t>
        </is>
      </c>
      <c r="N198" s="45" t="inlineStr">
        <is>
          <t>anatomē Focus Eau de Parfum 100ml | Buy Online UK | Swansura</t>
        </is>
      </c>
      <c r="O198" s="45">
        <f>LEN(N198)</f>
        <v/>
      </c>
      <c r="P198" s="49" t="inlineStr">
        <is>
          <t>Buy anatomē Focus Eau de Parfum 100ml for £68.00 at Swansura UK. An amber unisex eau de parfum. 100% authentic, fast UK delivery, free over £50.</t>
        </is>
      </c>
      <c r="Q198" s="45">
        <f>LEN(P198)</f>
        <v/>
      </c>
      <c r="R198" s="49" t="inlineStr">
        <is>
          <t>Shares the keyword "anatome focus" with 2 other listing(s): consider merging sizes as variants of one product; Same name and size listed at different prices (£125, £28, £68): check size/price in the sheet; Check brand</t>
        </is>
      </c>
    </row>
    <row r="199" ht="45.75" customHeight="1" s="37">
      <c r="A199" s="45" t="inlineStr">
        <is>
          <t>FR-039</t>
        </is>
      </c>
      <c r="B199" s="45" t="inlineStr">
        <is>
          <t>Fragrance Catalogue</t>
        </is>
      </c>
      <c r="C199" s="45" t="inlineStr">
        <is>
          <t>anatomē</t>
        </is>
      </c>
      <c r="D199" s="45" t="inlineStr">
        <is>
          <t>Support Eau de Parfum | Protective, herbaceous &amp; restorative</t>
        </is>
      </c>
      <c r="E199" s="45" t="inlineStr">
        <is>
          <t>Not specified</t>
        </is>
      </c>
      <c r="F199" s="46" t="n">
        <v>125</v>
      </c>
      <c r="G199" s="45" t="inlineStr">
        <is>
          <t>anatome support</t>
        </is>
      </c>
      <c r="H199" s="47">
        <f>IFERROR(INDEX('Semrush Data'!$C$2:$C$5000,MATCH(G199,'Semrush Data'!$A$2:$A$5000,0)),"")</f>
        <v/>
      </c>
      <c r="I199" s="45">
        <f>IFERROR(INDEX('Semrush Data'!$D$2:$D$5000,MATCH(G199,'Semrush Data'!$A$2:$A$5000,0)),"")</f>
        <v/>
      </c>
      <c r="J199" s="45">
        <f>IF(OR(H199="",H199=0),"No volume",IF(I199&lt;=20,"Easier",IF(I199&lt;=35,"Medium","Hard")))</f>
        <v/>
      </c>
      <c r="K199" s="45" t="n"/>
      <c r="L199" s="47">
        <f>IF(K199="","",IFERROR(INDEX('Semrush Data'!$C$2:$C$5000,MATCH(K199,'Semrush Data'!$A$2:$A$5000,0)),""))</f>
        <v/>
      </c>
      <c r="M199" s="48" t="inlineStr">
        <is>
          <t>anatomē Support Eau de Parfum</t>
        </is>
      </c>
      <c r="N199" s="45" t="inlineStr">
        <is>
          <t>anatomē Support Eau de Parfum | Buy Online UK | Swansura</t>
        </is>
      </c>
      <c r="O199" s="45">
        <f>LEN(N199)</f>
        <v/>
      </c>
      <c r="P199" s="49" t="inlineStr">
        <is>
          <t>Buy anatomē Support Eau de Parfum for £125.00 at Swansura UK. An amber unisex eau de parfum. 100% authentic, fast UK delivery, free over £50.</t>
        </is>
      </c>
      <c r="Q199" s="45">
        <f>LEN(P199)</f>
        <v/>
      </c>
      <c r="R199" s="49" t="inlineStr">
        <is>
          <t>Shares the keyword "anatome support" with 3 other listing(s): consider merging sizes as variants of one product; Same name and size listed at different prices (£125, £28, £68): check size/price in the sheet; Check brand</t>
        </is>
      </c>
    </row>
    <row r="200" ht="45.75" customHeight="1" s="37">
      <c r="A200" s="45" t="inlineStr">
        <is>
          <t>FR-040</t>
        </is>
      </c>
      <c r="B200" s="45" t="inlineStr">
        <is>
          <t>Fragrance Catalogue</t>
        </is>
      </c>
      <c r="C200" s="45" t="inlineStr">
        <is>
          <t>anatomē</t>
        </is>
      </c>
      <c r="D200" s="45" t="inlineStr">
        <is>
          <t>Support Eau de Parfum | Protective, herbaceous &amp; restorative</t>
        </is>
      </c>
      <c r="E200" s="45" t="inlineStr">
        <is>
          <t>Not specified</t>
        </is>
      </c>
      <c r="F200" s="46" t="n">
        <v>28</v>
      </c>
      <c r="G200" s="45" t="inlineStr">
        <is>
          <t>anatome support</t>
        </is>
      </c>
      <c r="H200" s="47">
        <f>IFERROR(INDEX('Semrush Data'!$C$2:$C$5000,MATCH(G200,'Semrush Data'!$A$2:$A$5000,0)),"")</f>
        <v/>
      </c>
      <c r="I200" s="45">
        <f>IFERROR(INDEX('Semrush Data'!$D$2:$D$5000,MATCH(G200,'Semrush Data'!$A$2:$A$5000,0)),"")</f>
        <v/>
      </c>
      <c r="J200" s="45">
        <f>IF(OR(H200="",H200=0),"No volume",IF(I200&lt;=20,"Easier",IF(I200&lt;=35,"Medium","Hard")))</f>
        <v/>
      </c>
      <c r="K200" s="45" t="n"/>
      <c r="L200" s="47">
        <f>IF(K200="","",IFERROR(INDEX('Semrush Data'!$C$2:$C$5000,MATCH(K200,'Semrush Data'!$A$2:$A$5000,0)),""))</f>
        <v/>
      </c>
      <c r="M200" s="48" t="inlineStr">
        <is>
          <t>anatomē Support Eau de Parfum</t>
        </is>
      </c>
      <c r="N200" s="45" t="inlineStr">
        <is>
          <t>anatomē Support Eau de Parfum | Buy Online UK | Swansura</t>
        </is>
      </c>
      <c r="O200" s="45">
        <f>LEN(N200)</f>
        <v/>
      </c>
      <c r="P200" s="49" t="inlineStr">
        <is>
          <t>Buy anatomē Support Eau de Parfum for £28.00 at Swansura UK. An amber unisex eau de parfum. 100% authentic, fast UK delivery, free over £50.</t>
        </is>
      </c>
      <c r="Q200" s="45">
        <f>LEN(P200)</f>
        <v/>
      </c>
      <c r="R200" s="49" t="inlineStr">
        <is>
          <t>Shares the keyword "anatome support" with 3 other listing(s): consider merging sizes as variants of one product; Same name and size listed at different prices (£125, £28, £68): check size/price in the sheet; Check brand</t>
        </is>
      </c>
    </row>
    <row r="201" ht="45.75" customHeight="1" s="37">
      <c r="A201" s="45" t="inlineStr">
        <is>
          <t>FR-041</t>
        </is>
      </c>
      <c r="B201" s="45" t="inlineStr">
        <is>
          <t>Fragrance Catalogue</t>
        </is>
      </c>
      <c r="C201" s="45" t="inlineStr">
        <is>
          <t>anatomē</t>
        </is>
      </c>
      <c r="D201" s="45" t="inlineStr">
        <is>
          <t>Support Eau de Parfum | Protective, herbaceous &amp; restorative</t>
        </is>
      </c>
      <c r="E201" s="45" t="inlineStr">
        <is>
          <t>Not specified</t>
        </is>
      </c>
      <c r="F201" s="46" t="n">
        <v>68</v>
      </c>
      <c r="G201" s="45" t="inlineStr">
        <is>
          <t>anatome support</t>
        </is>
      </c>
      <c r="H201" s="47">
        <f>IFERROR(INDEX('Semrush Data'!$C$2:$C$5000,MATCH(G201,'Semrush Data'!$A$2:$A$5000,0)),"")</f>
        <v/>
      </c>
      <c r="I201" s="45">
        <f>IFERROR(INDEX('Semrush Data'!$D$2:$D$5000,MATCH(G201,'Semrush Data'!$A$2:$A$5000,0)),"")</f>
        <v/>
      </c>
      <c r="J201" s="45">
        <f>IF(OR(H201="",H201=0),"No volume",IF(I201&lt;=20,"Easier",IF(I201&lt;=35,"Medium","Hard")))</f>
        <v/>
      </c>
      <c r="K201" s="45" t="n"/>
      <c r="L201" s="47">
        <f>IF(K201="","",IFERROR(INDEX('Semrush Data'!$C$2:$C$5000,MATCH(K201,'Semrush Data'!$A$2:$A$5000,0)),""))</f>
        <v/>
      </c>
      <c r="M201" s="48" t="inlineStr">
        <is>
          <t>anatomē Support Eau de Parfum</t>
        </is>
      </c>
      <c r="N201" s="45" t="inlineStr">
        <is>
          <t>anatomē Support Eau de Parfum | Buy Online UK | Swansura</t>
        </is>
      </c>
      <c r="O201" s="45">
        <f>LEN(N201)</f>
        <v/>
      </c>
      <c r="P201" s="49" t="inlineStr">
        <is>
          <t>Buy anatomē Support Eau de Parfum for £68.00 at Swansura UK. An amber unisex eau de parfum. 100% authentic, fast UK delivery, free over £50.</t>
        </is>
      </c>
      <c r="Q201" s="45">
        <f>LEN(P201)</f>
        <v/>
      </c>
      <c r="R201" s="49" t="inlineStr">
        <is>
          <t>Shares the keyword "anatome support" with 3 other listing(s): consider merging sizes as variants of one product; Same name and size listed at different prices (£125, £28, £68): check size/price in the sheet; Check brand</t>
        </is>
      </c>
    </row>
    <row r="202" ht="34.5" customHeight="1" s="37">
      <c r="A202" s="45" t="inlineStr">
        <is>
          <t>FR-042</t>
        </is>
      </c>
      <c r="B202" s="45" t="inlineStr">
        <is>
          <t>Fragrance Catalogue</t>
        </is>
      </c>
      <c r="C202" s="45" t="inlineStr">
        <is>
          <t>anatomē</t>
        </is>
      </c>
      <c r="D202" s="45" t="inlineStr">
        <is>
          <t>Support Eau de Parfum | Travel 10ml</t>
        </is>
      </c>
      <c r="E202" s="45" t="inlineStr">
        <is>
          <t>10ml</t>
        </is>
      </c>
      <c r="F202" s="46" t="n">
        <v>28</v>
      </c>
      <c r="G202" s="45" t="inlineStr">
        <is>
          <t>anatome support</t>
        </is>
      </c>
      <c r="H202" s="47">
        <f>IFERROR(INDEX('Semrush Data'!$C$2:$C$5000,MATCH(G202,'Semrush Data'!$A$2:$A$5000,0)),"")</f>
        <v/>
      </c>
      <c r="I202" s="45">
        <f>IFERROR(INDEX('Semrush Data'!$D$2:$D$5000,MATCH(G202,'Semrush Data'!$A$2:$A$5000,0)),"")</f>
        <v/>
      </c>
      <c r="J202" s="45">
        <f>IF(OR(H202="",H202=0),"No volume",IF(I202&lt;=20,"Easier",IF(I202&lt;=35,"Medium","Hard")))</f>
        <v/>
      </c>
      <c r="K202" s="45" t="n"/>
      <c r="L202" s="47">
        <f>IF(K202="","",IFERROR(INDEX('Semrush Data'!$C$2:$C$5000,MATCH(K202,'Semrush Data'!$A$2:$A$5000,0)),""))</f>
        <v/>
      </c>
      <c r="M202" s="48" t="inlineStr">
        <is>
          <t>anatomē Support Eau de Parfum 10ml</t>
        </is>
      </c>
      <c r="N202" s="45" t="inlineStr">
        <is>
          <t>anatomē Support Eau de Parfum 10ml | Swansura UK</t>
        </is>
      </c>
      <c r="O202" s="45">
        <f>LEN(N202)</f>
        <v/>
      </c>
      <c r="P202" s="49" t="inlineStr">
        <is>
          <t>Buy anatomē Support Eau de Parfum 10ml for £28.00 at Swansura UK. An amber unisex eau de parfum. 100% authentic, fast UK delivery, free over £50.</t>
        </is>
      </c>
      <c r="Q202" s="45">
        <f>LEN(P202)</f>
        <v/>
      </c>
      <c r="R202" s="49" t="inlineStr">
        <is>
          <t>Shares the keyword "anatome support" with 3 other listing(s): consider merging sizes as variants of one product; Check brand</t>
        </is>
      </c>
    </row>
    <row r="203" ht="23.25" customHeight="1" s="37">
      <c r="A203" s="45" t="inlineStr">
        <is>
          <t>FR-043</t>
        </is>
      </c>
      <c r="B203" s="45" t="inlineStr">
        <is>
          <t>Fragrance Catalogue</t>
        </is>
      </c>
      <c r="C203" s="45" t="inlineStr">
        <is>
          <t>anna sui</t>
        </is>
      </c>
      <c r="D203" s="45" t="inlineStr">
        <is>
          <t>Anna Sui Sky Eau de Toilette 30ml – Women's Fruity Floral Gourmand Fragrance</t>
        </is>
      </c>
      <c r="E203" s="45" t="inlineStr">
        <is>
          <t>30ml</t>
        </is>
      </c>
      <c r="F203" s="46" t="n">
        <v>18.99</v>
      </c>
      <c r="G203" s="45" t="inlineStr">
        <is>
          <t>anna sui sky</t>
        </is>
      </c>
      <c r="H203" s="47">
        <f>IFERROR(INDEX('Semrush Data'!$C$2:$C$5000,MATCH(G203,'Semrush Data'!$A$2:$A$5000,0)),"")</f>
        <v/>
      </c>
      <c r="I203" s="45">
        <f>IFERROR(INDEX('Semrush Data'!$D$2:$D$5000,MATCH(G203,'Semrush Data'!$A$2:$A$5000,0)),"")</f>
        <v/>
      </c>
      <c r="J203" s="45">
        <f>IF(OR(H203="",H203=0),"No volume",IF(I203&lt;=20,"Easier",IF(I203&lt;=35,"Medium","Hard")))</f>
        <v/>
      </c>
      <c r="K203" s="45" t="inlineStr">
        <is>
          <t>anna sui sky eau de toilette</t>
        </is>
      </c>
      <c r="L203" s="47">
        <f>IF(K203="","",IFERROR(INDEX('Semrush Data'!$C$2:$C$5000,MATCH(K203,'Semrush Data'!$A$2:$A$5000,0)),""))</f>
        <v/>
      </c>
      <c r="M203" s="48" t="inlineStr">
        <is>
          <t>Anna Sui Sky Eau de Toilette</t>
        </is>
      </c>
      <c r="N203" s="45" t="inlineStr">
        <is>
          <t>Anna Sui Sky Eau de Toilette 30ml | Buy Online UK | Swansura</t>
        </is>
      </c>
      <c r="O203" s="45">
        <f>LEN(N203)</f>
        <v/>
      </c>
      <c r="P203" s="49" t="inlineStr">
        <is>
          <t>Buy Anna Sui Sky Eau de Toilette 30ml for £18.99 at Swansura UK. A floral women's eau de toilette. 100% authentic, fast UK delivery, free over £50.</t>
        </is>
      </c>
      <c r="Q203" s="45">
        <f>LEN(P203)</f>
        <v/>
      </c>
      <c r="R203" s="49" t="n"/>
    </row>
    <row r="204" ht="23.25" customHeight="1" s="37">
      <c r="A204" s="45" t="inlineStr">
        <is>
          <t>FR-044</t>
        </is>
      </c>
      <c r="B204" s="45" t="inlineStr">
        <is>
          <t>Fragrance Catalogue</t>
        </is>
      </c>
      <c r="C204" s="45" t="inlineStr">
        <is>
          <t>antonio</t>
        </is>
      </c>
      <c r="D204" s="45" t="inlineStr">
        <is>
          <t>Boucheron Patchouli d'Angkor Eau de Parfum 125ml – Luxury Unisex Woody Amber Fragrance</t>
        </is>
      </c>
      <c r="E204" s="45" t="inlineStr">
        <is>
          <t>125ml</t>
        </is>
      </c>
      <c r="F204" s="46" t="n">
        <v>63.99</v>
      </c>
      <c r="G204" s="45" t="inlineStr">
        <is>
          <t>antonio banderas boucheron patchouli d'angkor</t>
        </is>
      </c>
      <c r="H204" s="47">
        <f>IFERROR(INDEX('Semrush Data'!$C$2:$C$5000,MATCH(G204,'Semrush Data'!$A$2:$A$5000,0)),"")</f>
        <v/>
      </c>
      <c r="I204" s="45">
        <f>IFERROR(INDEX('Semrush Data'!$D$2:$D$5000,MATCH(G204,'Semrush Data'!$A$2:$A$5000,0)),"")</f>
        <v/>
      </c>
      <c r="J204" s="45">
        <f>IF(OR(H204="",H204=0),"No volume",IF(I204&lt;=20,"Easier",IF(I204&lt;=35,"Medium","Hard")))</f>
        <v/>
      </c>
      <c r="K204" s="45" t="n"/>
      <c r="L204" s="47">
        <f>IF(K204="","",IFERROR(INDEX('Semrush Data'!$C$2:$C$5000,MATCH(K204,'Semrush Data'!$A$2:$A$5000,0)),""))</f>
        <v/>
      </c>
      <c r="M204" s="48" t="inlineStr">
        <is>
          <t>Antonio Banderas Boucheron Patchouli D'Angkor Eau de Parfum</t>
        </is>
      </c>
      <c r="N204" s="45" t="inlineStr">
        <is>
          <t>Antonio Banderas Boucheron Patchouli D'Angkor | Swansura UK</t>
        </is>
      </c>
      <c r="O204" s="45">
        <f>LEN(N204)</f>
        <v/>
      </c>
      <c r="P204" s="49" t="inlineStr">
        <is>
          <t>Antonio Banderas Boucheron Patchouli D'Angkor Eau de Parfum for £63.99 at Swansura UK. A woody unisex eau de parfum. 100% authentic, free UK delivery over £50.</t>
        </is>
      </c>
      <c r="Q204" s="45">
        <f>LEN(P204)</f>
        <v/>
      </c>
      <c r="R204" s="49" t="inlineStr">
        <is>
          <t>Spelling: Antonio Banderas</t>
        </is>
      </c>
    </row>
    <row r="205" ht="23.25" customHeight="1" s="37">
      <c r="A205" s="45" t="inlineStr">
        <is>
          <t>FR-045</t>
        </is>
      </c>
      <c r="B205" s="45" t="inlineStr">
        <is>
          <t>Fragrance Catalogue</t>
        </is>
      </c>
      <c r="C205" s="45" t="inlineStr">
        <is>
          <t>antonio</t>
        </is>
      </c>
      <c r="D205" s="45" t="inlineStr">
        <is>
          <t>Boucheron Rose d'Isparta Eau de Parfum 125ml – Luxury Unisex Rose Amber Fragrance</t>
        </is>
      </c>
      <c r="E205" s="45" t="inlineStr">
        <is>
          <t>125ml</t>
        </is>
      </c>
      <c r="F205" s="46" t="n">
        <v>63.99</v>
      </c>
      <c r="G205" s="45" t="inlineStr">
        <is>
          <t>antonio banderas boucheron rose d'isparta</t>
        </is>
      </c>
      <c r="H205" s="47">
        <f>IFERROR(INDEX('Semrush Data'!$C$2:$C$5000,MATCH(G205,'Semrush Data'!$A$2:$A$5000,0)),"")</f>
        <v/>
      </c>
      <c r="I205" s="45">
        <f>IFERROR(INDEX('Semrush Data'!$D$2:$D$5000,MATCH(G205,'Semrush Data'!$A$2:$A$5000,0)),"")</f>
        <v/>
      </c>
      <c r="J205" s="45">
        <f>IF(OR(H205="",H205=0),"No volume",IF(I205&lt;=20,"Easier",IF(I205&lt;=35,"Medium","Hard")))</f>
        <v/>
      </c>
      <c r="K205" s="45" t="n"/>
      <c r="L205" s="47">
        <f>IF(K205="","",IFERROR(INDEX('Semrush Data'!$C$2:$C$5000,MATCH(K205,'Semrush Data'!$A$2:$A$5000,0)),""))</f>
        <v/>
      </c>
      <c r="M205" s="48" t="inlineStr">
        <is>
          <t>Antonio Banderas Boucheron Rose D'Isparta Eau de Parfum</t>
        </is>
      </c>
      <c r="N205" s="45" t="inlineStr">
        <is>
          <t>Antonio Banderas Boucheron Rose D'Isparta | Swansura UK</t>
        </is>
      </c>
      <c r="O205" s="45">
        <f>LEN(N205)</f>
        <v/>
      </c>
      <c r="P205" s="49" t="inlineStr">
        <is>
          <t>Buy Antonio Banderas Boucheron Rose D'Isparta Eau de Parfum for £63.99 at Swansura UK. An amber unisex eau de parfum. 100% authentic, free UK delivery over £50.</t>
        </is>
      </c>
      <c r="Q205" s="45">
        <f>LEN(P205)</f>
        <v/>
      </c>
      <c r="R205" s="49" t="inlineStr">
        <is>
          <t>Spelling: Antonio Banderas</t>
        </is>
      </c>
    </row>
    <row r="206" ht="23.25" customHeight="1" s="37">
      <c r="A206" s="45" t="inlineStr">
        <is>
          <t>FR-046</t>
        </is>
      </c>
      <c r="B206" s="45" t="inlineStr">
        <is>
          <t>Fragrance Catalogue</t>
        </is>
      </c>
      <c r="C206" s="45" t="inlineStr">
        <is>
          <t>antonio</t>
        </is>
      </c>
      <c r="D206" s="45" t="inlineStr">
        <is>
          <t>Antonio Banderas Diavolo Eau de Toilette – Men's Warm Spicy Woody Fragrance</t>
        </is>
      </c>
      <c r="E206" s="45" t="inlineStr">
        <is>
          <t>100ml</t>
        </is>
      </c>
      <c r="F206" s="46" t="n">
        <v>19.99</v>
      </c>
      <c r="G206" s="45" t="inlineStr">
        <is>
          <t>antonio banderas diavolo</t>
        </is>
      </c>
      <c r="H206" s="47">
        <f>IFERROR(INDEX('Semrush Data'!$C$2:$C$5000,MATCH(G206,'Semrush Data'!$A$2:$A$5000,0)),"")</f>
        <v/>
      </c>
      <c r="I206" s="45">
        <f>IFERROR(INDEX('Semrush Data'!$D$2:$D$5000,MATCH(G206,'Semrush Data'!$A$2:$A$5000,0)),"")</f>
        <v/>
      </c>
      <c r="J206" s="45">
        <f>IF(OR(H206="",H206=0),"No volume",IF(I206&lt;=20,"Easier",IF(I206&lt;=35,"Medium","Hard")))</f>
        <v/>
      </c>
      <c r="K206" s="45" t="n"/>
      <c r="L206" s="47">
        <f>IF(K206="","",IFERROR(INDEX('Semrush Data'!$C$2:$C$5000,MATCH(K206,'Semrush Data'!$A$2:$A$5000,0)),""))</f>
        <v/>
      </c>
      <c r="M206" s="48" t="inlineStr">
        <is>
          <t>Antonio Banderas Diavolo Eau de Toilette</t>
        </is>
      </c>
      <c r="N206" s="45" t="inlineStr">
        <is>
          <t>Antonio Banderas Diavolo Eau de Toilette 100ml | Swansura UK</t>
        </is>
      </c>
      <c r="O206" s="45">
        <f>LEN(N206)</f>
        <v/>
      </c>
      <c r="P206" s="49" t="inlineStr">
        <is>
          <t>Buy Antonio Banderas Diavolo Eau de Toilette 100ml for £19.99 at Swansura UK. A woody men's eau de toilette. 100% authentic, fast UK delivery, free over £50.</t>
        </is>
      </c>
      <c r="Q206" s="45">
        <f>LEN(P206)</f>
        <v/>
      </c>
      <c r="R206" s="49" t="inlineStr">
        <is>
          <t>Spelling: Antonio Banderas</t>
        </is>
      </c>
    </row>
    <row r="207" ht="23.25" customHeight="1" s="37">
      <c r="A207" s="45" t="inlineStr">
        <is>
          <t>FR-047</t>
        </is>
      </c>
      <c r="B207" s="45" t="inlineStr">
        <is>
          <t>Fragrance Catalogue</t>
        </is>
      </c>
      <c r="C207" s="45" t="inlineStr">
        <is>
          <t>antonio</t>
        </is>
      </c>
      <c r="D207" s="45" t="inlineStr">
        <is>
          <t>Antonio Banderas Her Secret Desire Eau de Toilette 80ml – Women's Fruity Floral Gourmand Fragrance</t>
        </is>
      </c>
      <c r="E207" s="45" t="inlineStr">
        <is>
          <t>80ml</t>
        </is>
      </c>
      <c r="F207" s="46" t="n">
        <v>20.99</v>
      </c>
      <c r="G207" s="45" t="inlineStr">
        <is>
          <t>antonio banderas her secret desire</t>
        </is>
      </c>
      <c r="H207" s="47">
        <f>IFERROR(INDEX('Semrush Data'!$C$2:$C$5000,MATCH(G207,'Semrush Data'!$A$2:$A$5000,0)),"")</f>
        <v/>
      </c>
      <c r="I207" s="45">
        <f>IFERROR(INDEX('Semrush Data'!$D$2:$D$5000,MATCH(G207,'Semrush Data'!$A$2:$A$5000,0)),"")</f>
        <v/>
      </c>
      <c r="J207" s="45">
        <f>IF(OR(H207="",H207=0),"No volume",IF(I207&lt;=20,"Easier",IF(I207&lt;=35,"Medium","Hard")))</f>
        <v/>
      </c>
      <c r="K207" s="45" t="n"/>
      <c r="L207" s="47">
        <f>IF(K207="","",IFERROR(INDEX('Semrush Data'!$C$2:$C$5000,MATCH(K207,'Semrush Data'!$A$2:$A$5000,0)),""))</f>
        <v/>
      </c>
      <c r="M207" s="48" t="inlineStr">
        <is>
          <t>Antonio Banderas Her Secret Desire Eau de Toilette</t>
        </is>
      </c>
      <c r="N207" s="45" t="inlineStr">
        <is>
          <t>Antonio Banderas Her Secret Desire EDT 80ml | Swansura UK</t>
        </is>
      </c>
      <c r="O207" s="45">
        <f>LEN(N207)</f>
        <v/>
      </c>
      <c r="P207" s="49" t="inlineStr">
        <is>
          <t>Antonio Banderas Her Secret Desire Eau de Toilette for £20.99 at Swansura UK. A floral women's eau de toilette. 100% authentic, fast UK delivery, free over £50.</t>
        </is>
      </c>
      <c r="Q207" s="45">
        <f>LEN(P207)</f>
        <v/>
      </c>
      <c r="R207" s="49" t="inlineStr">
        <is>
          <t>Spelling: Antonio Banderas</t>
        </is>
      </c>
    </row>
    <row r="208" ht="23.25" customHeight="1" s="37">
      <c r="A208" s="45" t="inlineStr">
        <is>
          <t>FR-048</t>
        </is>
      </c>
      <c r="B208" s="45" t="inlineStr">
        <is>
          <t>Fragrance Catalogue</t>
        </is>
      </c>
      <c r="C208" s="45" t="inlineStr">
        <is>
          <t>antonio</t>
        </is>
      </c>
      <c r="D208" s="45" t="inlineStr">
        <is>
          <t>Antonio Banderas Her Secret Temptation Eau de Toilette 80ml – Women's Floral Gourmand Fragrance</t>
        </is>
      </c>
      <c r="E208" s="45" t="inlineStr">
        <is>
          <t>80ml</t>
        </is>
      </c>
      <c r="F208" s="46" t="n">
        <v>20.99</v>
      </c>
      <c r="G208" s="45" t="inlineStr">
        <is>
          <t>antonio banderas her secret temptation</t>
        </is>
      </c>
      <c r="H208" s="47">
        <f>IFERROR(INDEX('Semrush Data'!$C$2:$C$5000,MATCH(G208,'Semrush Data'!$A$2:$A$5000,0)),"")</f>
        <v/>
      </c>
      <c r="I208" s="45">
        <f>IFERROR(INDEX('Semrush Data'!$D$2:$D$5000,MATCH(G208,'Semrush Data'!$A$2:$A$5000,0)),"")</f>
        <v/>
      </c>
      <c r="J208" s="45">
        <f>IF(OR(H208="",H208=0),"No volume",IF(I208&lt;=20,"Easier",IF(I208&lt;=35,"Medium","Hard")))</f>
        <v/>
      </c>
      <c r="K208" s="45" t="n"/>
      <c r="L208" s="47">
        <f>IF(K208="","",IFERROR(INDEX('Semrush Data'!$C$2:$C$5000,MATCH(K208,'Semrush Data'!$A$2:$A$5000,0)),""))</f>
        <v/>
      </c>
      <c r="M208" s="48" t="inlineStr">
        <is>
          <t>Antonio Banderas Her Secret Temptation Eau de Toilette</t>
        </is>
      </c>
      <c r="N208" s="45" t="inlineStr">
        <is>
          <t>Antonio Banderas Her Secret Temptation | Swansura UK</t>
        </is>
      </c>
      <c r="O208" s="45">
        <f>LEN(N208)</f>
        <v/>
      </c>
      <c r="P208" s="49" t="inlineStr">
        <is>
          <t>Antonio Banderas Her Secret Temptation Eau de Toilette for £20.99 at Swansura UK. A floral women's eau de toilette. 100% authentic, free UK delivery over £50.</t>
        </is>
      </c>
      <c r="Q208" s="45">
        <f>LEN(P208)</f>
        <v/>
      </c>
      <c r="R208" s="49" t="inlineStr">
        <is>
          <t>Spelling: Antonio Banderas</t>
        </is>
      </c>
    </row>
    <row r="209" ht="23.25" customHeight="1" s="37">
      <c r="A209" s="45" t="inlineStr">
        <is>
          <t>FR-049</t>
        </is>
      </c>
      <c r="B209" s="45" t="inlineStr">
        <is>
          <t>Fragrance Catalogue</t>
        </is>
      </c>
      <c r="C209" s="45" t="inlineStr">
        <is>
          <t>antonio</t>
        </is>
      </c>
      <c r="D209" s="45" t="inlineStr">
        <is>
          <t>Antonio Banderas Power of Seduction Eau de Toilette 50ml – Men's Fresh Aromatic Fragrance</t>
        </is>
      </c>
      <c r="E209" s="45" t="inlineStr">
        <is>
          <t>50ml</t>
        </is>
      </c>
      <c r="F209" s="46" t="n">
        <v>16.99</v>
      </c>
      <c r="G209" s="45" t="inlineStr">
        <is>
          <t>antonio banderas power of seduction</t>
        </is>
      </c>
      <c r="H209" s="47">
        <f>IFERROR(INDEX('Semrush Data'!$C$2:$C$5000,MATCH(G209,'Semrush Data'!$A$2:$A$5000,0)),"")</f>
        <v/>
      </c>
      <c r="I209" s="45">
        <f>IFERROR(INDEX('Semrush Data'!$D$2:$D$5000,MATCH(G209,'Semrush Data'!$A$2:$A$5000,0)),"")</f>
        <v/>
      </c>
      <c r="J209" s="45">
        <f>IF(OR(H209="",H209=0),"No volume",IF(I209&lt;=20,"Easier",IF(I209&lt;=35,"Medium","Hard")))</f>
        <v/>
      </c>
      <c r="K209" s="45" t="n"/>
      <c r="L209" s="47">
        <f>IF(K209="","",IFERROR(INDEX('Semrush Data'!$C$2:$C$5000,MATCH(K209,'Semrush Data'!$A$2:$A$5000,0)),""))</f>
        <v/>
      </c>
      <c r="M209" s="48" t="inlineStr">
        <is>
          <t>Antonio Banderas Power of Seduction Eau de Toilette</t>
        </is>
      </c>
      <c r="N209" s="45" t="inlineStr">
        <is>
          <t>Antonio Banderas Power of Seduction EDT 50ml | Swansura UK</t>
        </is>
      </c>
      <c r="O209" s="45">
        <f>LEN(N209)</f>
        <v/>
      </c>
      <c r="P209" s="49" t="inlineStr">
        <is>
          <t>Antonio Banderas Power of Seduction Eau de Toilette for £16.99 at Swansura UK. A fresh men's eau de toilette. 100% authentic, fast UK delivery, free over £50.</t>
        </is>
      </c>
      <c r="Q209" s="45">
        <f>LEN(P209)</f>
        <v/>
      </c>
      <c r="R209" s="49" t="inlineStr">
        <is>
          <t>Spelling: Antonio Banderas</t>
        </is>
      </c>
    </row>
    <row r="210" ht="23.25" customHeight="1" s="37">
      <c r="A210" s="45" t="inlineStr">
        <is>
          <t>FR-050</t>
        </is>
      </c>
      <c r="B210" s="45" t="inlineStr">
        <is>
          <t>Fragrance Catalogue</t>
        </is>
      </c>
      <c r="C210" s="45" t="inlineStr">
        <is>
          <t>ariana grande</t>
        </is>
      </c>
      <c r="D210" s="45" t="inlineStr">
        <is>
          <t>Ariana Grande Thank U, Next Eau de Parfum 100ml – Women's Fruity Floral Gourmand Fragrance</t>
        </is>
      </c>
      <c r="E210" s="45" t="inlineStr">
        <is>
          <t>100ml</t>
        </is>
      </c>
      <c r="F210" s="46" t="n">
        <v>43.99</v>
      </c>
      <c r="G210" s="45" t="inlineStr">
        <is>
          <t>ariana grande thank u, next</t>
        </is>
      </c>
      <c r="H210" s="47">
        <f>IFERROR(INDEX('Semrush Data'!$C$2:$C$5000,MATCH(G210,'Semrush Data'!$A$2:$A$5000,0)),"")</f>
        <v/>
      </c>
      <c r="I210" s="45">
        <f>IFERROR(INDEX('Semrush Data'!$D$2:$D$5000,MATCH(G210,'Semrush Data'!$A$2:$A$5000,0)),"")</f>
        <v/>
      </c>
      <c r="J210" s="45">
        <f>IF(OR(H210="",H210=0),"No volume",IF(I210&lt;=20,"Easier",IF(I210&lt;=35,"Medium","Hard")))</f>
        <v/>
      </c>
      <c r="K210" s="45" t="n"/>
      <c r="L210" s="47">
        <f>IF(K210="","",IFERROR(INDEX('Semrush Data'!$C$2:$C$5000,MATCH(K210,'Semrush Data'!$A$2:$A$5000,0)),""))</f>
        <v/>
      </c>
      <c r="M210" s="48" t="inlineStr">
        <is>
          <t>Ariana Grande Thank U, Next Eau de Parfum</t>
        </is>
      </c>
      <c r="N210" s="45" t="inlineStr">
        <is>
          <t>Ariana Grande Thank U, Next EDP 100ml | Swansura UK</t>
        </is>
      </c>
      <c r="O210" s="45">
        <f>LEN(N210)</f>
        <v/>
      </c>
      <c r="P210" s="49" t="inlineStr">
        <is>
          <t>Buy Ariana Grande Thank U, Next Eau de Parfum 100ml for £43.99 at Swansura UK. A floral women's eau de parfum. 100% authentic, fast UK delivery, free over £50.</t>
        </is>
      </c>
      <c r="Q210" s="45">
        <f>LEN(P210)</f>
        <v/>
      </c>
      <c r="R210" s="49" t="n"/>
    </row>
    <row r="211" ht="23.25" customHeight="1" s="37">
      <c r="A211" s="45" t="inlineStr">
        <is>
          <t>FR-051</t>
        </is>
      </c>
      <c r="B211" s="45" t="inlineStr">
        <is>
          <t>Fragrance Catalogue</t>
        </is>
      </c>
      <c r="C211" s="45" t="inlineStr">
        <is>
          <t>Armaf</t>
        </is>
      </c>
      <c r="D211" s="45" t="inlineStr">
        <is>
          <t>Armaf Hunter Eau de Parfum 100ml – Men's Fresh Woody Aromatic Fragrance</t>
        </is>
      </c>
      <c r="E211" s="45" t="inlineStr">
        <is>
          <t>100ml</t>
        </is>
      </c>
      <c r="F211" s="46" t="n">
        <v>22.99</v>
      </c>
      <c r="G211" s="45" t="inlineStr">
        <is>
          <t>armaf hunter</t>
        </is>
      </c>
      <c r="H211" s="47">
        <f>IFERROR(INDEX('Semrush Data'!$C$2:$C$5000,MATCH(G211,'Semrush Data'!$A$2:$A$5000,0)),"")</f>
        <v/>
      </c>
      <c r="I211" s="45">
        <f>IFERROR(INDEX('Semrush Data'!$D$2:$D$5000,MATCH(G211,'Semrush Data'!$A$2:$A$5000,0)),"")</f>
        <v/>
      </c>
      <c r="J211" s="45">
        <f>IF(OR(H211="",H211=0),"No volume",IF(I211&lt;=20,"Easier",IF(I211&lt;=35,"Medium","Hard")))</f>
        <v/>
      </c>
      <c r="K211" s="45" t="inlineStr">
        <is>
          <t>armaf hunter eau de parfum</t>
        </is>
      </c>
      <c r="L211" s="47">
        <f>IF(K211="","",IFERROR(INDEX('Semrush Data'!$C$2:$C$5000,MATCH(K211,'Semrush Data'!$A$2:$A$5000,0)),""))</f>
        <v/>
      </c>
      <c r="M211" s="48" t="inlineStr">
        <is>
          <t>Armaf Hunter Eau de Parfum</t>
        </is>
      </c>
      <c r="N211" s="45" t="inlineStr">
        <is>
          <t>Armaf Hunter Eau de Parfum 100ml | Buy Online UK | Swansura</t>
        </is>
      </c>
      <c r="O211" s="45">
        <f>LEN(N211)</f>
        <v/>
      </c>
      <c r="P211" s="49" t="inlineStr">
        <is>
          <t>Buy Armaf Hunter Eau de Parfum 100ml for £22.99 at Swansura UK. A woody men's eau de parfum. 100% authentic, fast UK delivery, free over £50.</t>
        </is>
      </c>
      <c r="Q211" s="45">
        <f>LEN(P211)</f>
        <v/>
      </c>
      <c r="R211" s="49" t="n"/>
    </row>
    <row r="212" ht="23.25" customHeight="1" s="37">
      <c r="A212" s="45" t="inlineStr">
        <is>
          <t>FR-052</t>
        </is>
      </c>
      <c r="B212" s="45" t="inlineStr">
        <is>
          <t>Fragrance Catalogue</t>
        </is>
      </c>
      <c r="C212" s="45" t="inlineStr">
        <is>
          <t>Bentley</t>
        </is>
      </c>
      <c r="D212" s="45" t="inlineStr">
        <is>
          <t>Azzaro Pour Homme Deodorant Spray 150ml – Men's Aromatic Fragranced Deodorant</t>
        </is>
      </c>
      <c r="E212" s="45" t="inlineStr">
        <is>
          <t>150ml</t>
        </is>
      </c>
      <c r="F212" s="46" t="n">
        <v>22.99</v>
      </c>
      <c r="G212" s="45" t="inlineStr">
        <is>
          <t>bentley azzaro pour homme deodorant</t>
        </is>
      </c>
      <c r="H212" s="47">
        <f>IFERROR(INDEX('Semrush Data'!$C$2:$C$5000,MATCH(G212,'Semrush Data'!$A$2:$A$5000,0)),"")</f>
        <v/>
      </c>
      <c r="I212" s="45">
        <f>IFERROR(INDEX('Semrush Data'!$D$2:$D$5000,MATCH(G212,'Semrush Data'!$A$2:$A$5000,0)),"")</f>
        <v/>
      </c>
      <c r="J212" s="45">
        <f>IF(OR(H212="",H212=0),"No volume",IF(I212&lt;=20,"Easier",IF(I212&lt;=35,"Medium","Hard")))</f>
        <v/>
      </c>
      <c r="K212" s="45" t="n"/>
      <c r="L212" s="47">
        <f>IF(K212="","",IFERROR(INDEX('Semrush Data'!$C$2:$C$5000,MATCH(K212,'Semrush Data'!$A$2:$A$5000,0)),""))</f>
        <v/>
      </c>
      <c r="M212" s="48" t="inlineStr">
        <is>
          <t>Bentley Azzaro Pour Homme Deodorant Spray</t>
        </is>
      </c>
      <c r="N212" s="45" t="inlineStr">
        <is>
          <t>Bentley Azzaro Pour Homme Deodorant Spray | Swansura UK</t>
        </is>
      </c>
      <c r="O212" s="45">
        <f>LEN(N212)</f>
        <v/>
      </c>
      <c r="P212" s="49" t="inlineStr">
        <is>
          <t>Buy Bentley Azzaro Pour Homme Deodorant Spray 150ml for £22.99 at Swansura UK. An aromatic men's fragrance. 100% authentic, fast UK delivery, free over £50.</t>
        </is>
      </c>
      <c r="Q212" s="45">
        <f>LEN(P212)</f>
        <v/>
      </c>
      <c r="R212" s="49" t="inlineStr">
        <is>
          <t>Name says Azzaro, brand says Bentley</t>
        </is>
      </c>
    </row>
    <row r="213" ht="23.25" customHeight="1" s="37">
      <c r="A213" s="45" t="inlineStr">
        <is>
          <t>FR-053</t>
        </is>
      </c>
      <c r="B213" s="45" t="inlineStr">
        <is>
          <t>Fragrance Catalogue</t>
        </is>
      </c>
      <c r="C213" s="45" t="inlineStr">
        <is>
          <t>Bentley</t>
        </is>
      </c>
      <c r="D213" s="45" t="inlineStr">
        <is>
          <t>Bentley Become Eau de Parfum 100ml – Men's Fresh Woody Aromatic Fragrance</t>
        </is>
      </c>
      <c r="E213" s="45" t="inlineStr">
        <is>
          <t>100ml</t>
        </is>
      </c>
      <c r="F213" s="46" t="n">
        <v>40.99</v>
      </c>
      <c r="G213" s="45" t="inlineStr">
        <is>
          <t>bentley become</t>
        </is>
      </c>
      <c r="H213" s="47">
        <f>IFERROR(INDEX('Semrush Data'!$C$2:$C$5000,MATCH(G213,'Semrush Data'!$A$2:$A$5000,0)),"")</f>
        <v/>
      </c>
      <c r="I213" s="45">
        <f>IFERROR(INDEX('Semrush Data'!$D$2:$D$5000,MATCH(G213,'Semrush Data'!$A$2:$A$5000,0)),"")</f>
        <v/>
      </c>
      <c r="J213" s="45">
        <f>IF(OR(H213="",H213=0),"No volume",IF(I213&lt;=20,"Easier",IF(I213&lt;=35,"Medium","Hard")))</f>
        <v/>
      </c>
      <c r="K213" s="45" t="inlineStr">
        <is>
          <t>bentley become eau de parfum</t>
        </is>
      </c>
      <c r="L213" s="47">
        <f>IF(K213="","",IFERROR(INDEX('Semrush Data'!$C$2:$C$5000,MATCH(K213,'Semrush Data'!$A$2:$A$5000,0)),""))</f>
        <v/>
      </c>
      <c r="M213" s="48" t="inlineStr">
        <is>
          <t>Bentley Become Eau de Parfum</t>
        </is>
      </c>
      <c r="N213" s="45" t="inlineStr">
        <is>
          <t>Bentley Become Eau de Parfum | Buy Online UK | Swansura</t>
        </is>
      </c>
      <c r="O213" s="45">
        <f>LEN(N213)</f>
        <v/>
      </c>
      <c r="P213" s="49" t="inlineStr">
        <is>
          <t>Buy Bentley Become Eau de Parfum 100ml for £40.99 at Swansura UK. A woody men's eau de parfum. 100% authentic, fast UK delivery, free over £50.</t>
        </is>
      </c>
      <c r="Q213" s="45">
        <f>LEN(P213)</f>
        <v/>
      </c>
      <c r="R213" s="49" t="n"/>
    </row>
    <row r="214" ht="23.25" customHeight="1" s="37">
      <c r="A214" s="45" t="inlineStr">
        <is>
          <t>FR-054</t>
        </is>
      </c>
      <c r="B214" s="45" t="inlineStr">
        <is>
          <t>Fragrance Catalogue</t>
        </is>
      </c>
      <c r="C214" s="45" t="inlineStr">
        <is>
          <t>Bentley</t>
        </is>
      </c>
      <c r="D214" s="45" t="inlineStr">
        <is>
          <t>Bentley For Men Absolute Eau de Parfum 100ml – Men's Woody Spicy Fragrance</t>
        </is>
      </c>
      <c r="E214" s="45" t="inlineStr">
        <is>
          <t>100ml</t>
        </is>
      </c>
      <c r="F214" s="46" t="n">
        <v>31.99</v>
      </c>
      <c r="G214" s="45" t="inlineStr">
        <is>
          <t>bentley absolute</t>
        </is>
      </c>
      <c r="H214" s="47">
        <f>IFERROR(INDEX('Semrush Data'!$C$2:$C$5000,MATCH(G214,'Semrush Data'!$A$2:$A$5000,0)),"")</f>
        <v/>
      </c>
      <c r="I214" s="45">
        <f>IFERROR(INDEX('Semrush Data'!$D$2:$D$5000,MATCH(G214,'Semrush Data'!$A$2:$A$5000,0)),"")</f>
        <v/>
      </c>
      <c r="J214" s="45">
        <f>IF(OR(H214="",H214=0),"No volume",IF(I214&lt;=20,"Easier",IF(I214&lt;=35,"Medium","Hard")))</f>
        <v/>
      </c>
      <c r="K214" s="45" t="inlineStr">
        <is>
          <t>bentley absolute eau de parfum</t>
        </is>
      </c>
      <c r="L214" s="47">
        <f>IF(K214="","",IFERROR(INDEX('Semrush Data'!$C$2:$C$5000,MATCH(K214,'Semrush Data'!$A$2:$A$5000,0)),""))</f>
        <v/>
      </c>
      <c r="M214" s="48" t="inlineStr">
        <is>
          <t>Bentley For Men Absolute Eau de Parfum</t>
        </is>
      </c>
      <c r="N214" s="45" t="inlineStr">
        <is>
          <t>Bentley For Men Absolute Eau de Parfum 100ml | Swansura UK</t>
        </is>
      </c>
      <c r="O214" s="45">
        <f>LEN(N214)</f>
        <v/>
      </c>
      <c r="P214" s="49" t="inlineStr">
        <is>
          <t>Buy Bentley For Men Absolute Eau de Parfum 100ml for £31.99 at Swansura UK. A woody men's eau de parfum. 100% authentic, fast UK delivery, free over £50.</t>
        </is>
      </c>
      <c r="Q214" s="45">
        <f>LEN(P214)</f>
        <v/>
      </c>
      <c r="R214" s="49" t="n"/>
    </row>
    <row r="215" ht="23.25" customHeight="1" s="37">
      <c r="A215" s="45" t="inlineStr">
        <is>
          <t>FR-055</t>
        </is>
      </c>
      <c r="B215" s="45" t="inlineStr">
        <is>
          <t>Fragrance Catalogue</t>
        </is>
      </c>
      <c r="C215" s="45" t="inlineStr">
        <is>
          <t>Bentley</t>
        </is>
      </c>
      <c r="D215" s="45" t="inlineStr">
        <is>
          <t>Bentley For Men Silverlake Eau de Parfum 100ml – Men's Fresh Aromatic Woody Fragrance</t>
        </is>
      </c>
      <c r="E215" s="45" t="inlineStr">
        <is>
          <t>100ml</t>
        </is>
      </c>
      <c r="F215" s="46" t="n">
        <v>32.99</v>
      </c>
      <c r="G215" s="45" t="inlineStr">
        <is>
          <t>bentley silverlake</t>
        </is>
      </c>
      <c r="H215" s="47">
        <f>IFERROR(INDEX('Semrush Data'!$C$2:$C$5000,MATCH(G215,'Semrush Data'!$A$2:$A$5000,0)),"")</f>
        <v/>
      </c>
      <c r="I215" s="45">
        <f>IFERROR(INDEX('Semrush Data'!$D$2:$D$5000,MATCH(G215,'Semrush Data'!$A$2:$A$5000,0)),"")</f>
        <v/>
      </c>
      <c r="J215" s="45">
        <f>IF(OR(H215="",H215=0),"No volume",IF(I215&lt;=20,"Easier",IF(I215&lt;=35,"Medium","Hard")))</f>
        <v/>
      </c>
      <c r="K215" s="45" t="inlineStr">
        <is>
          <t>bentley silverlake eau de parfum</t>
        </is>
      </c>
      <c r="L215" s="47">
        <f>IF(K215="","",IFERROR(INDEX('Semrush Data'!$C$2:$C$5000,MATCH(K215,'Semrush Data'!$A$2:$A$5000,0)),""))</f>
        <v/>
      </c>
      <c r="M215" s="48" t="inlineStr">
        <is>
          <t>Bentley For Men Silverlake Eau de Parfum</t>
        </is>
      </c>
      <c r="N215" s="45" t="inlineStr">
        <is>
          <t>Bentley For Men Silverlake Eau de Parfum 100ml | Swansura UK</t>
        </is>
      </c>
      <c r="O215" s="45">
        <f>LEN(N215)</f>
        <v/>
      </c>
      <c r="P215" s="49" t="inlineStr">
        <is>
          <t>Buy Bentley For Men Silverlake Eau de Parfum 100ml for £32.99 at Swansura UK. A woody men's eau de parfum. 100% authentic, fast UK delivery, free over £50.</t>
        </is>
      </c>
      <c r="Q215" s="45">
        <f>LEN(P215)</f>
        <v/>
      </c>
      <c r="R215" s="49" t="n"/>
    </row>
    <row r="216" ht="34.5" customHeight="1" s="37">
      <c r="A216" s="45" t="inlineStr">
        <is>
          <t>FR-056</t>
        </is>
      </c>
      <c r="B216" s="45" t="inlineStr">
        <is>
          <t>Fragrance Catalogue</t>
        </is>
      </c>
      <c r="C216" s="45" t="inlineStr">
        <is>
          <t>Bentley</t>
        </is>
      </c>
      <c r="D216" s="45" t="inlineStr">
        <is>
          <t>Azzaro Chrome Legend Eau de Toilette 125ml – Men's Fresh Aromatic Fragrance</t>
        </is>
      </c>
      <c r="E216" s="45" t="inlineStr">
        <is>
          <t>125ml</t>
        </is>
      </c>
      <c r="F216" s="46" t="n">
        <v>33.99</v>
      </c>
      <c r="G216" s="45" t="inlineStr">
        <is>
          <t>bentley azzaro chrome legend</t>
        </is>
      </c>
      <c r="H216" s="47">
        <f>IFERROR(INDEX('Semrush Data'!$C$2:$C$5000,MATCH(G216,'Semrush Data'!$A$2:$A$5000,0)),"")</f>
        <v/>
      </c>
      <c r="I216" s="45">
        <f>IFERROR(INDEX('Semrush Data'!$D$2:$D$5000,MATCH(G216,'Semrush Data'!$A$2:$A$5000,0)),"")</f>
        <v/>
      </c>
      <c r="J216" s="45">
        <f>IF(OR(H216="",H216=0),"No volume",IF(I216&lt;=20,"Easier",IF(I216&lt;=35,"Medium","Hard")))</f>
        <v/>
      </c>
      <c r="K216" s="45" t="n"/>
      <c r="L216" s="47">
        <f>IF(K216="","",IFERROR(INDEX('Semrush Data'!$C$2:$C$5000,MATCH(K216,'Semrush Data'!$A$2:$A$5000,0)),""))</f>
        <v/>
      </c>
      <c r="M216" s="48" t="inlineStr">
        <is>
          <t>Bentley Azzaro Chrome Legend Eau de Toilette 125ml</t>
        </is>
      </c>
      <c r="N216" s="45" t="inlineStr">
        <is>
          <t>Bentley Azzaro Chrome Legend 125ml EDT | Swansura UK</t>
        </is>
      </c>
      <c r="O216" s="45">
        <f>LEN(N216)</f>
        <v/>
      </c>
      <c r="P216" s="49" t="inlineStr">
        <is>
          <t>Bentley Azzaro Chrome Legend Eau de Toilette 125ml for £33.99 at Swansura UK. A fresh men's eau de toilette. 100% authentic, fast UK delivery, free over £50.</t>
        </is>
      </c>
      <c r="Q216" s="45">
        <f>LEN(P216)</f>
        <v/>
      </c>
      <c r="R216" s="49" t="inlineStr">
        <is>
          <t>Shares the keyword "bentley azzaro chrome legend" with 1 other listing(s): consider merging sizes as variants of one product; Name says Azzaro, brand says Bentley</t>
        </is>
      </c>
    </row>
    <row r="217" ht="34.5" customHeight="1" s="37">
      <c r="A217" s="45" t="inlineStr">
        <is>
          <t>FR-057</t>
        </is>
      </c>
      <c r="B217" s="45" t="inlineStr">
        <is>
          <t>Fragrance Catalogue</t>
        </is>
      </c>
      <c r="C217" s="45" t="inlineStr">
        <is>
          <t>Bentley</t>
        </is>
      </c>
      <c r="D217" s="45" t="inlineStr">
        <is>
          <t>Azzaro Chrome Legend Eau de Toilette 75ml – Men's Fresh Aromatic Fragrance</t>
        </is>
      </c>
      <c r="E217" s="45" t="inlineStr">
        <is>
          <t>75ml</t>
        </is>
      </c>
      <c r="F217" s="46" t="n">
        <v>27.99</v>
      </c>
      <c r="G217" s="45" t="inlineStr">
        <is>
          <t>bentley azzaro chrome legend</t>
        </is>
      </c>
      <c r="H217" s="47">
        <f>IFERROR(INDEX('Semrush Data'!$C$2:$C$5000,MATCH(G217,'Semrush Data'!$A$2:$A$5000,0)),"")</f>
        <v/>
      </c>
      <c r="I217" s="45">
        <f>IFERROR(INDEX('Semrush Data'!$D$2:$D$5000,MATCH(G217,'Semrush Data'!$A$2:$A$5000,0)),"")</f>
        <v/>
      </c>
      <c r="J217" s="45">
        <f>IF(OR(H217="",H217=0),"No volume",IF(I217&lt;=20,"Easier",IF(I217&lt;=35,"Medium","Hard")))</f>
        <v/>
      </c>
      <c r="K217" s="45" t="n"/>
      <c r="L217" s="47">
        <f>IF(K217="","",IFERROR(INDEX('Semrush Data'!$C$2:$C$5000,MATCH(K217,'Semrush Data'!$A$2:$A$5000,0)),""))</f>
        <v/>
      </c>
      <c r="M217" s="48" t="inlineStr">
        <is>
          <t>Bentley Azzaro Chrome Legend Eau de Toilette 75ml</t>
        </is>
      </c>
      <c r="N217" s="45" t="inlineStr">
        <is>
          <t>Bentley Azzaro Chrome Legend 75ml EDT | Swansura UK</t>
        </is>
      </c>
      <c r="O217" s="45">
        <f>LEN(N217)</f>
        <v/>
      </c>
      <c r="P217" s="49" t="inlineStr">
        <is>
          <t>Buy Bentley Azzaro Chrome Legend Eau de Toilette 75ml for £27.99 at Swansura UK. A fresh men's eau de toilette. 100% authentic, fast UK delivery, free over £50.</t>
        </is>
      </c>
      <c r="Q217" s="45">
        <f>LEN(P217)</f>
        <v/>
      </c>
      <c r="R217" s="49" t="inlineStr">
        <is>
          <t>Shares the keyword "bentley azzaro chrome legend" with 1 other listing(s): consider merging sizes as variants of one product; Name says Azzaro, brand says Bentley</t>
        </is>
      </c>
    </row>
    <row r="218" ht="23.25" customHeight="1" s="37">
      <c r="A218" s="45" t="inlineStr">
        <is>
          <t>FR-058</t>
        </is>
      </c>
      <c r="B218" s="45" t="inlineStr">
        <is>
          <t>Fragrance Catalogue</t>
        </is>
      </c>
      <c r="C218" s="45" t="inlineStr">
        <is>
          <t>Bentley</t>
        </is>
      </c>
      <c r="D218" s="45" t="inlineStr">
        <is>
          <t>Bentley For Men Azure Eau de Toilette 100ml – Men's Fresh Aquatic Woody Fragrance</t>
        </is>
      </c>
      <c r="E218" s="45" t="inlineStr">
        <is>
          <t>100ml</t>
        </is>
      </c>
      <c r="F218" s="46" t="n">
        <v>31.99</v>
      </c>
      <c r="G218" s="45" t="inlineStr">
        <is>
          <t>bentley azure</t>
        </is>
      </c>
      <c r="H218" s="47">
        <f>IFERROR(INDEX('Semrush Data'!$C$2:$C$5000,MATCH(G218,'Semrush Data'!$A$2:$A$5000,0)),"")</f>
        <v/>
      </c>
      <c r="I218" s="45">
        <f>IFERROR(INDEX('Semrush Data'!$D$2:$D$5000,MATCH(G218,'Semrush Data'!$A$2:$A$5000,0)),"")</f>
        <v/>
      </c>
      <c r="J218" s="45">
        <f>IF(OR(H218="",H218=0),"No volume",IF(I218&lt;=20,"Easier",IF(I218&lt;=35,"Medium","Hard")))</f>
        <v/>
      </c>
      <c r="K218" s="45" t="inlineStr">
        <is>
          <t>bentley azure eau de toilette</t>
        </is>
      </c>
      <c r="L218" s="47">
        <f>IF(K218="","",IFERROR(INDEX('Semrush Data'!$C$2:$C$5000,MATCH(K218,'Semrush Data'!$A$2:$A$5000,0)),""))</f>
        <v/>
      </c>
      <c r="M218" s="48" t="inlineStr">
        <is>
          <t>Bentley For Men Azure Eau de Toilette</t>
        </is>
      </c>
      <c r="N218" s="45" t="inlineStr">
        <is>
          <t>Bentley For Men Azure Eau de Toilette 100ml | Swansura UK</t>
        </is>
      </c>
      <c r="O218" s="45">
        <f>LEN(N218)</f>
        <v/>
      </c>
      <c r="P218" s="49" t="inlineStr">
        <is>
          <t>Buy Bentley For Men Azure Eau de Toilette 100ml for £31.99 at Swansura UK. A woody men's eau de toilette. 100% authentic, fast UK delivery, free over £50.</t>
        </is>
      </c>
      <c r="Q218" s="45">
        <f>LEN(P218)</f>
        <v/>
      </c>
      <c r="R218" s="49" t="n"/>
    </row>
    <row r="219" ht="23.25" customHeight="1" s="37">
      <c r="A219" s="45" t="inlineStr">
        <is>
          <t>FR-059</t>
        </is>
      </c>
      <c r="B219" s="45" t="inlineStr">
        <is>
          <t>Fragrance Catalogue</t>
        </is>
      </c>
      <c r="C219" s="45" t="inlineStr">
        <is>
          <t>Bentley</t>
        </is>
      </c>
      <c r="D219" s="45" t="inlineStr">
        <is>
          <t>Bentley Infinite Eau de Toilette 100ml – Men's Fresh Woody Aromatic Fragrance</t>
        </is>
      </c>
      <c r="E219" s="45" t="inlineStr">
        <is>
          <t>100ml</t>
        </is>
      </c>
      <c r="F219" s="46" t="n">
        <v>30.99</v>
      </c>
      <c r="G219" s="45" t="inlineStr">
        <is>
          <t>bentley infinite</t>
        </is>
      </c>
      <c r="H219" s="47">
        <f>IFERROR(INDEX('Semrush Data'!$C$2:$C$5000,MATCH(G219,'Semrush Data'!$A$2:$A$5000,0)),"")</f>
        <v/>
      </c>
      <c r="I219" s="45">
        <f>IFERROR(INDEX('Semrush Data'!$D$2:$D$5000,MATCH(G219,'Semrush Data'!$A$2:$A$5000,0)),"")</f>
        <v/>
      </c>
      <c r="J219" s="45">
        <f>IF(OR(H219="",H219=0),"No volume",IF(I219&lt;=20,"Easier",IF(I219&lt;=35,"Medium","Hard")))</f>
        <v/>
      </c>
      <c r="K219" s="45" t="n"/>
      <c r="L219" s="47">
        <f>IF(K219="","",IFERROR(INDEX('Semrush Data'!$C$2:$C$5000,MATCH(K219,'Semrush Data'!$A$2:$A$5000,0)),""))</f>
        <v/>
      </c>
      <c r="M219" s="48" t="inlineStr">
        <is>
          <t>Bentley Infinite Eau de Toilette</t>
        </is>
      </c>
      <c r="N219" s="45" t="inlineStr">
        <is>
          <t>Bentley Infinite Eau de Toilette | Buy Online UK | Swansura</t>
        </is>
      </c>
      <c r="O219" s="45">
        <f>LEN(N219)</f>
        <v/>
      </c>
      <c r="P219" s="49" t="inlineStr">
        <is>
          <t>Buy Bentley Infinite Eau de Toilette 100ml for £30.99 at Swansura UK. A woody men's eau de toilette. 100% authentic, fast UK delivery, free over £50.</t>
        </is>
      </c>
      <c r="Q219" s="45">
        <f>LEN(P219)</f>
        <v/>
      </c>
      <c r="R219" s="49" t="n"/>
    </row>
    <row r="220" ht="23.25" customHeight="1" s="37">
      <c r="A220" s="45" t="inlineStr">
        <is>
          <t>FR-060</t>
        </is>
      </c>
      <c r="B220" s="45" t="inlineStr">
        <is>
          <t>Fragrance Catalogue</t>
        </is>
      </c>
      <c r="C220" s="45" t="inlineStr">
        <is>
          <t>Bentley</t>
        </is>
      </c>
      <c r="D220" s="45" t="inlineStr">
        <is>
          <t>Bentley Momentum Unlimited Eau de Toilette 100ml – Men's Fresh Woody Aromatic Fragrance</t>
        </is>
      </c>
      <c r="E220" s="45" t="inlineStr">
        <is>
          <t>100ml</t>
        </is>
      </c>
      <c r="F220" s="46" t="n">
        <v>31.99</v>
      </c>
      <c r="G220" s="45" t="inlineStr">
        <is>
          <t>bentley momentum unlimited</t>
        </is>
      </c>
      <c r="H220" s="47">
        <f>IFERROR(INDEX('Semrush Data'!$C$2:$C$5000,MATCH(G220,'Semrush Data'!$A$2:$A$5000,0)),"")</f>
        <v/>
      </c>
      <c r="I220" s="45">
        <f>IFERROR(INDEX('Semrush Data'!$D$2:$D$5000,MATCH(G220,'Semrush Data'!$A$2:$A$5000,0)),"")</f>
        <v/>
      </c>
      <c r="J220" s="45">
        <f>IF(OR(H220="",H220=0),"No volume",IF(I220&lt;=20,"Easier",IF(I220&lt;=35,"Medium","Hard")))</f>
        <v/>
      </c>
      <c r="K220" s="45" t="n"/>
      <c r="L220" s="47">
        <f>IF(K220="","",IFERROR(INDEX('Semrush Data'!$C$2:$C$5000,MATCH(K220,'Semrush Data'!$A$2:$A$5000,0)),""))</f>
        <v/>
      </c>
      <c r="M220" s="48" t="inlineStr">
        <is>
          <t>Bentley Momentum Unlimited Eau de Toilette</t>
        </is>
      </c>
      <c r="N220" s="45" t="inlineStr">
        <is>
          <t>Bentley Momentum Unlimited EDT 100ml | Swansura UK</t>
        </is>
      </c>
      <c r="O220" s="45">
        <f>LEN(N220)</f>
        <v/>
      </c>
      <c r="P220" s="49" t="inlineStr">
        <is>
          <t>Buy Bentley Momentum Unlimited Eau de Toilette 100ml for £31.99 at Swansura UK. A woody men's eau de toilette. 100% authentic, fast UK delivery, free over £50.</t>
        </is>
      </c>
      <c r="Q220" s="45">
        <f>LEN(P220)</f>
        <v/>
      </c>
      <c r="R220" s="49" t="n"/>
    </row>
    <row r="221" ht="23.25" customHeight="1" s="37">
      <c r="A221" s="45" t="inlineStr">
        <is>
          <t>FR-061</t>
        </is>
      </c>
      <c r="B221" s="45" t="inlineStr">
        <is>
          <t>Fragrance Catalogue</t>
        </is>
      </c>
      <c r="C221" s="45" t="inlineStr">
        <is>
          <t>Bentley</t>
        </is>
      </c>
      <c r="D221" s="45" t="inlineStr">
        <is>
          <t>Azzaro The Most Wanted Eau de Toilette Intense Gift Set 100ml + 2x10ml – Men's Fragrance Set</t>
        </is>
      </c>
      <c r="E221" s="45" t="inlineStr">
        <is>
          <t>100ml</t>
        </is>
      </c>
      <c r="F221" s="46" t="n">
        <v>68.98999999999999</v>
      </c>
      <c r="G221" s="45" t="inlineStr">
        <is>
          <t>bentley azzaro the most wanted intense gift set</t>
        </is>
      </c>
      <c r="H221" s="47">
        <f>IFERROR(INDEX('Semrush Data'!$C$2:$C$5000,MATCH(G221,'Semrush Data'!$A$2:$A$5000,0)),"")</f>
        <v/>
      </c>
      <c r="I221" s="45">
        <f>IFERROR(INDEX('Semrush Data'!$D$2:$D$5000,MATCH(G221,'Semrush Data'!$A$2:$A$5000,0)),"")</f>
        <v/>
      </c>
      <c r="J221" s="45">
        <f>IF(OR(H221="",H221=0),"No volume",IF(I221&lt;=20,"Easier",IF(I221&lt;=35,"Medium","Hard")))</f>
        <v/>
      </c>
      <c r="K221" s="45" t="n"/>
      <c r="L221" s="47">
        <f>IF(K221="","",IFERROR(INDEX('Semrush Data'!$C$2:$C$5000,MATCH(K221,'Semrush Data'!$A$2:$A$5000,0)),""))</f>
        <v/>
      </c>
      <c r="M221" s="48" t="inlineStr">
        <is>
          <t>Bentley Azzaro The Most Wanted Eau de Toilette Intense Gift Set</t>
        </is>
      </c>
      <c r="N221" s="45" t="inlineStr">
        <is>
          <t>Bentley Azzaro The Most Wanted Intense Gift Set | Swansura U</t>
        </is>
      </c>
      <c r="O221" s="45">
        <f>LEN(N221)</f>
        <v/>
      </c>
      <c r="P221" s="49" t="inlineStr">
        <is>
          <t>Buy Bentley Azzaro The Most Wanted Eau de Toilette Intense Gift Set 100ml for £68.99 at Swansura UK. A woody men's eau de toilette. Free UK delivery over £50.</t>
        </is>
      </c>
      <c r="Q221" s="45">
        <f>LEN(P221)</f>
        <v/>
      </c>
      <c r="R221" s="49" t="inlineStr">
        <is>
          <t>Name says Azzaro, brand says Bentley</t>
        </is>
      </c>
    </row>
    <row r="222" ht="23.25" customHeight="1" s="37">
      <c r="A222" s="45" t="inlineStr">
        <is>
          <t>FR-062</t>
        </is>
      </c>
      <c r="B222" s="45" t="inlineStr">
        <is>
          <t>Fragrance Catalogue</t>
        </is>
      </c>
      <c r="C222" s="45" t="inlineStr">
        <is>
          <t>Bentley</t>
        </is>
      </c>
      <c r="D222" s="45" t="inlineStr">
        <is>
          <t>Azzaro The Most Wanted Parfum 100ml – Men's Warm Spicy Amber Fragrance</t>
        </is>
      </c>
      <c r="E222" s="45" t="inlineStr">
        <is>
          <t>100ml</t>
        </is>
      </c>
      <c r="F222" s="46" t="n">
        <v>60.99</v>
      </c>
      <c r="G222" s="45" t="inlineStr">
        <is>
          <t>bentley azzaro the most wanted</t>
        </is>
      </c>
      <c r="H222" s="47">
        <f>IFERROR(INDEX('Semrush Data'!$C$2:$C$5000,MATCH(G222,'Semrush Data'!$A$2:$A$5000,0)),"")</f>
        <v/>
      </c>
      <c r="I222" s="45">
        <f>IFERROR(INDEX('Semrush Data'!$D$2:$D$5000,MATCH(G222,'Semrush Data'!$A$2:$A$5000,0)),"")</f>
        <v/>
      </c>
      <c r="J222" s="45">
        <f>IF(OR(H222="",H222=0),"No volume",IF(I222&lt;=20,"Easier",IF(I222&lt;=35,"Medium","Hard")))</f>
        <v/>
      </c>
      <c r="K222" s="45" t="n"/>
      <c r="L222" s="47">
        <f>IF(K222="","",IFERROR(INDEX('Semrush Data'!$C$2:$C$5000,MATCH(K222,'Semrush Data'!$A$2:$A$5000,0)),""))</f>
        <v/>
      </c>
      <c r="M222" s="48" t="inlineStr">
        <is>
          <t>Bentley Azzaro The Most Wanted Parfum</t>
        </is>
      </c>
      <c r="N222" s="45" t="inlineStr">
        <is>
          <t>Bentley Azzaro The Most Wanted Parfum 100ml | Swansura UK</t>
        </is>
      </c>
      <c r="O222" s="45">
        <f>LEN(N222)</f>
        <v/>
      </c>
      <c r="P222" s="49" t="inlineStr">
        <is>
          <t>Buy Bentley Azzaro The Most Wanted Parfum 100ml for £60.99 at Swansura UK. An amber men's parfum. 100% authentic, fast UK delivery, free over £50.</t>
        </is>
      </c>
      <c r="Q222" s="45">
        <f>LEN(P222)</f>
        <v/>
      </c>
      <c r="R222" s="49" t="inlineStr">
        <is>
          <t>Name says Azzaro, brand says Bentley</t>
        </is>
      </c>
    </row>
    <row r="223" ht="23.25" customHeight="1" s="37">
      <c r="A223" s="45" t="inlineStr">
        <is>
          <t>FR-063</t>
        </is>
      </c>
      <c r="B223" s="45" t="inlineStr">
        <is>
          <t>Fragrance Catalogue</t>
        </is>
      </c>
      <c r="C223" s="45" t="inlineStr">
        <is>
          <t>Burberry</t>
        </is>
      </c>
      <c r="D223" s="45" t="inlineStr">
        <is>
          <t>Burberry My Burberry Eau de Parfum 50ml – Women's Floral Fragrance</t>
        </is>
      </c>
      <c r="E223" s="45" t="inlineStr">
        <is>
          <t>50ml</t>
        </is>
      </c>
      <c r="F223" s="46" t="n">
        <v>48.99</v>
      </c>
      <c r="G223" s="45" t="inlineStr">
        <is>
          <t>burberry my burberry</t>
        </is>
      </c>
      <c r="H223" s="47">
        <f>IFERROR(INDEX('Semrush Data'!$C$2:$C$5000,MATCH(G223,'Semrush Data'!$A$2:$A$5000,0)),"")</f>
        <v/>
      </c>
      <c r="I223" s="45">
        <f>IFERROR(INDEX('Semrush Data'!$D$2:$D$5000,MATCH(G223,'Semrush Data'!$A$2:$A$5000,0)),"")</f>
        <v/>
      </c>
      <c r="J223" s="45">
        <f>IF(OR(H223="",H223=0),"No volume",IF(I223&lt;=20,"Easier",IF(I223&lt;=35,"Medium","Hard")))</f>
        <v/>
      </c>
      <c r="K223" s="45" t="inlineStr">
        <is>
          <t>burberry my burberry eau de parfum</t>
        </is>
      </c>
      <c r="L223" s="47">
        <f>IF(K223="","",IFERROR(INDEX('Semrush Data'!$C$2:$C$5000,MATCH(K223,'Semrush Data'!$A$2:$A$5000,0)),""))</f>
        <v/>
      </c>
      <c r="M223" s="48" t="inlineStr">
        <is>
          <t>Burberry My Burberry Eau de Parfum 50ml</t>
        </is>
      </c>
      <c r="N223" s="45" t="inlineStr">
        <is>
          <t>Burberry My Burberry Eau de Parfum 50ml | Swansura UK</t>
        </is>
      </c>
      <c r="O223" s="45">
        <f>LEN(N223)</f>
        <v/>
      </c>
      <c r="P223" s="49" t="inlineStr">
        <is>
          <t>Buy Burberry My Burberry Eau de Parfum 50ml for £48.99 at Swansura UK. A floral women's eau de parfum. 100% authentic, fast UK delivery, free over £50.</t>
        </is>
      </c>
      <c r="Q223" s="45">
        <f>LEN(P223)</f>
        <v/>
      </c>
      <c r="R223" s="49" t="inlineStr">
        <is>
          <t>Shares the keyword "burberry my burberry" with 1 other listing(s): consider merging sizes as variants of one product</t>
        </is>
      </c>
    </row>
    <row r="224" ht="23.25" customHeight="1" s="37">
      <c r="A224" s="45" t="inlineStr">
        <is>
          <t>FR-064</t>
        </is>
      </c>
      <c r="B224" s="45" t="inlineStr">
        <is>
          <t>Fragrance Catalogue</t>
        </is>
      </c>
      <c r="C224" s="45" t="inlineStr">
        <is>
          <t>Burberry</t>
        </is>
      </c>
      <c r="D224" s="45" t="inlineStr">
        <is>
          <t>Burberry My Burberry Eau de Parfum 90ml – Women's Floral Fragrance</t>
        </is>
      </c>
      <c r="E224" s="45" t="inlineStr">
        <is>
          <t>90ml</t>
        </is>
      </c>
      <c r="F224" s="46" t="n">
        <v>58.99</v>
      </c>
      <c r="G224" s="45" t="inlineStr">
        <is>
          <t>burberry my burberry</t>
        </is>
      </c>
      <c r="H224" s="47">
        <f>IFERROR(INDEX('Semrush Data'!$C$2:$C$5000,MATCH(G224,'Semrush Data'!$A$2:$A$5000,0)),"")</f>
        <v/>
      </c>
      <c r="I224" s="45">
        <f>IFERROR(INDEX('Semrush Data'!$D$2:$D$5000,MATCH(G224,'Semrush Data'!$A$2:$A$5000,0)),"")</f>
        <v/>
      </c>
      <c r="J224" s="45">
        <f>IF(OR(H224="",H224=0),"No volume",IF(I224&lt;=20,"Easier",IF(I224&lt;=35,"Medium","Hard")))</f>
        <v/>
      </c>
      <c r="K224" s="45" t="inlineStr">
        <is>
          <t>burberry my burberry eau de parfum</t>
        </is>
      </c>
      <c r="L224" s="47">
        <f>IF(K224="","",IFERROR(INDEX('Semrush Data'!$C$2:$C$5000,MATCH(K224,'Semrush Data'!$A$2:$A$5000,0)),""))</f>
        <v/>
      </c>
      <c r="M224" s="48" t="inlineStr">
        <is>
          <t>Burberry My Burberry Eau de Parfum 90ml</t>
        </is>
      </c>
      <c r="N224" s="45" t="inlineStr">
        <is>
          <t>Burberry My Burberry Eau de Parfum 90ml | Swansura UK</t>
        </is>
      </c>
      <c r="O224" s="45">
        <f>LEN(N224)</f>
        <v/>
      </c>
      <c r="P224" s="49" t="inlineStr">
        <is>
          <t>Buy Burberry My Burberry Eau de Parfum 90ml for £58.99 at Swansura UK. A floral women's eau de parfum. 100% authentic, fast UK delivery, free over £50.</t>
        </is>
      </c>
      <c r="Q224" s="45">
        <f>LEN(P224)</f>
        <v/>
      </c>
      <c r="R224" s="49" t="inlineStr">
        <is>
          <t>Shares the keyword "burberry my burberry" with 1 other listing(s): consider merging sizes as variants of one product</t>
        </is>
      </c>
    </row>
    <row r="225" ht="23.25" customHeight="1" s="37">
      <c r="A225" s="45" t="inlineStr">
        <is>
          <t>FR-065</t>
        </is>
      </c>
      <c r="B225" s="45" t="inlineStr">
        <is>
          <t>Fragrance Catalogue</t>
        </is>
      </c>
      <c r="C225" s="45" t="inlineStr">
        <is>
          <t>Burberry</t>
        </is>
      </c>
      <c r="D225" s="45" t="inlineStr">
        <is>
          <t>Burberry Women's Miniature Perfume Set 4x5ml – Her London Dream, Her EDT &amp; Her EDP</t>
        </is>
      </c>
      <c r="E225" s="45" t="inlineStr">
        <is>
          <t>4x5ml</t>
        </is>
      </c>
      <c r="F225" s="46" t="n">
        <v>45.99</v>
      </c>
      <c r="G225" s="45" t="inlineStr">
        <is>
          <t>burberry miniature set</t>
        </is>
      </c>
      <c r="H225" s="47">
        <f>IFERROR(INDEX('Semrush Data'!$C$2:$C$5000,MATCH(G225,'Semrush Data'!$A$2:$A$5000,0)),"")</f>
        <v/>
      </c>
      <c r="I225" s="45">
        <f>IFERROR(INDEX('Semrush Data'!$D$2:$D$5000,MATCH(G225,'Semrush Data'!$A$2:$A$5000,0)),"")</f>
        <v/>
      </c>
      <c r="J225" s="45">
        <f>IF(OR(H225="",H225=0),"No volume",IF(I225&lt;=20,"Easier",IF(I225&lt;=35,"Medium","Hard")))</f>
        <v/>
      </c>
      <c r="K225" s="45" t="n"/>
      <c r="L225" s="47">
        <f>IF(K225="","",IFERROR(INDEX('Semrush Data'!$C$2:$C$5000,MATCH(K225,'Semrush Data'!$A$2:$A$5000,0)),""))</f>
        <v/>
      </c>
      <c r="M225" s="48" t="inlineStr">
        <is>
          <t>Burberry Women's Miniature Perfume Set 4x5ml</t>
        </is>
      </c>
      <c r="N225" s="45" t="inlineStr">
        <is>
          <t>Burberry Women's Miniature Perfume Set 4x5ml | Swansura UK</t>
        </is>
      </c>
      <c r="O225" s="45">
        <f>LEN(N225)</f>
        <v/>
      </c>
      <c r="P225" s="49" t="inlineStr">
        <is>
          <t>Buy Burberry Women's Miniature Perfume Set 4x5ml for £45.99 at Swansura UK. A woody women's eau de parfum. 100% authentic, fast UK delivery, free over £50.</t>
        </is>
      </c>
      <c r="Q225" s="45">
        <f>LEN(P225)</f>
        <v/>
      </c>
      <c r="R225" s="49" t="n"/>
    </row>
    <row r="226" ht="23.25" customHeight="1" s="37">
      <c r="A226" s="45" t="inlineStr">
        <is>
          <t>FR-066</t>
        </is>
      </c>
      <c r="B226" s="45" t="inlineStr">
        <is>
          <t>Fragrance Catalogue</t>
        </is>
      </c>
      <c r="C226" s="45" t="inlineStr">
        <is>
          <t>Burberry</t>
        </is>
      </c>
      <c r="D226" s="45" t="inlineStr">
        <is>
          <t>Burberry My Burberry Black Parfum 50ml – Women's Rich Floral Amber Fragrance</t>
        </is>
      </c>
      <c r="E226" s="45" t="inlineStr">
        <is>
          <t>50ml</t>
        </is>
      </c>
      <c r="F226" s="46" t="n">
        <v>48.99</v>
      </c>
      <c r="G226" s="45" t="inlineStr">
        <is>
          <t>burberry my burberry black</t>
        </is>
      </c>
      <c r="H226" s="47">
        <f>IFERROR(INDEX('Semrush Data'!$C$2:$C$5000,MATCH(G226,'Semrush Data'!$A$2:$A$5000,0)),"")</f>
        <v/>
      </c>
      <c r="I226" s="45">
        <f>IFERROR(INDEX('Semrush Data'!$D$2:$D$5000,MATCH(G226,'Semrush Data'!$A$2:$A$5000,0)),"")</f>
        <v/>
      </c>
      <c r="J226" s="45">
        <f>IF(OR(H226="",H226=0),"No volume",IF(I226&lt;=20,"Easier",IF(I226&lt;=35,"Medium","Hard")))</f>
        <v/>
      </c>
      <c r="K226" s="45" t="inlineStr">
        <is>
          <t>burberry my burberry black parfum</t>
        </is>
      </c>
      <c r="L226" s="47">
        <f>IF(K226="","",IFERROR(INDEX('Semrush Data'!$C$2:$C$5000,MATCH(K226,'Semrush Data'!$A$2:$A$5000,0)),""))</f>
        <v/>
      </c>
      <c r="M226" s="48" t="inlineStr">
        <is>
          <t>Burberry My Burberry Black Parfum 50ml</t>
        </is>
      </c>
      <c r="N226" s="45" t="inlineStr">
        <is>
          <t>Burberry My Burberry Black 50ml Parfum | Swansura UK</t>
        </is>
      </c>
      <c r="O226" s="45">
        <f>LEN(N226)</f>
        <v/>
      </c>
      <c r="P226" s="49" t="inlineStr">
        <is>
          <t>Buy Burberry My Burberry Black Parfum 50ml for £48.99 at Swansura UK. A floral women's parfum. 100% authentic, fast UK delivery, free over £50.</t>
        </is>
      </c>
      <c r="Q226" s="45">
        <f>LEN(P226)</f>
        <v/>
      </c>
      <c r="R226" s="49" t="inlineStr">
        <is>
          <t>Shares the keyword "burberry my burberry black" with 1 other listing(s): consider merging sizes as variants of one product</t>
        </is>
      </c>
    </row>
    <row r="227" ht="23.25" customHeight="1" s="37">
      <c r="A227" s="45" t="inlineStr">
        <is>
          <t>FR-067</t>
        </is>
      </c>
      <c r="B227" s="45" t="inlineStr">
        <is>
          <t>Fragrance Catalogue</t>
        </is>
      </c>
      <c r="C227" s="45" t="inlineStr">
        <is>
          <t>Burberry</t>
        </is>
      </c>
      <c r="D227" s="45" t="inlineStr">
        <is>
          <t>Burberry My Burberry Black Parfum 90ml – Women's Rich Floral Amber Fragrance</t>
        </is>
      </c>
      <c r="E227" s="45" t="inlineStr">
        <is>
          <t>90ml</t>
        </is>
      </c>
      <c r="F227" s="46" t="n">
        <v>58.99</v>
      </c>
      <c r="G227" s="45" t="inlineStr">
        <is>
          <t>burberry my burberry black</t>
        </is>
      </c>
      <c r="H227" s="47">
        <f>IFERROR(INDEX('Semrush Data'!$C$2:$C$5000,MATCH(G227,'Semrush Data'!$A$2:$A$5000,0)),"")</f>
        <v/>
      </c>
      <c r="I227" s="45">
        <f>IFERROR(INDEX('Semrush Data'!$D$2:$D$5000,MATCH(G227,'Semrush Data'!$A$2:$A$5000,0)),"")</f>
        <v/>
      </c>
      <c r="J227" s="45">
        <f>IF(OR(H227="",H227=0),"No volume",IF(I227&lt;=20,"Easier",IF(I227&lt;=35,"Medium","Hard")))</f>
        <v/>
      </c>
      <c r="K227" s="45" t="inlineStr">
        <is>
          <t>burberry my burberry black parfum</t>
        </is>
      </c>
      <c r="L227" s="47">
        <f>IF(K227="","",IFERROR(INDEX('Semrush Data'!$C$2:$C$5000,MATCH(K227,'Semrush Data'!$A$2:$A$5000,0)),""))</f>
        <v/>
      </c>
      <c r="M227" s="48" t="inlineStr">
        <is>
          <t>Burberry My Burberry Black Parfum 90ml</t>
        </is>
      </c>
      <c r="N227" s="45" t="inlineStr">
        <is>
          <t>Burberry My Burberry Black 90ml Parfum | Swansura UK</t>
        </is>
      </c>
      <c r="O227" s="45">
        <f>LEN(N227)</f>
        <v/>
      </c>
      <c r="P227" s="49" t="inlineStr">
        <is>
          <t>Buy Burberry My Burberry Black Parfum 90ml for £58.99 at Swansura UK. A floral women's parfum. 100% authentic, fast UK delivery, free over £50.</t>
        </is>
      </c>
      <c r="Q227" s="45">
        <f>LEN(P227)</f>
        <v/>
      </c>
      <c r="R227" s="49" t="inlineStr">
        <is>
          <t>Shares the keyword "burberry my burberry black" with 1 other listing(s): consider merging sizes as variants of one product</t>
        </is>
      </c>
    </row>
    <row r="228" ht="23.25" customHeight="1" s="37">
      <c r="A228" s="45" t="inlineStr">
        <is>
          <t>FR-068</t>
        </is>
      </c>
      <c r="B228" s="45" t="inlineStr">
        <is>
          <t>Fragrance Catalogue</t>
        </is>
      </c>
      <c r="C228" s="45" t="inlineStr">
        <is>
          <t>Bvlgari</t>
        </is>
      </c>
      <c r="D228" s="45" t="inlineStr">
        <is>
          <t>Bvlgari Man in Black Eau de Parfum 100ml – Luxury Men's Fragrance</t>
        </is>
      </c>
      <c r="E228" s="45" t="inlineStr">
        <is>
          <t>100ml</t>
        </is>
      </c>
      <c r="F228" s="46" t="n">
        <v>64.98999999999999</v>
      </c>
      <c r="G228" s="45" t="inlineStr">
        <is>
          <t>bvlgari man in black</t>
        </is>
      </c>
      <c r="H228" s="47">
        <f>IFERROR(INDEX('Semrush Data'!$C$2:$C$5000,MATCH(G228,'Semrush Data'!$A$2:$A$5000,0)),"")</f>
        <v/>
      </c>
      <c r="I228" s="45">
        <f>IFERROR(INDEX('Semrush Data'!$D$2:$D$5000,MATCH(G228,'Semrush Data'!$A$2:$A$5000,0)),"")</f>
        <v/>
      </c>
      <c r="J228" s="45">
        <f>IF(OR(H228="",H228=0),"No volume",IF(I228&lt;=20,"Easier",IF(I228&lt;=35,"Medium","Hard")))</f>
        <v/>
      </c>
      <c r="K228" s="45" t="inlineStr">
        <is>
          <t>bvlgari man in black eau de parfum</t>
        </is>
      </c>
      <c r="L228" s="47">
        <f>IF(K228="","",IFERROR(INDEX('Semrush Data'!$C$2:$C$5000,MATCH(K228,'Semrush Data'!$A$2:$A$5000,0)),""))</f>
        <v/>
      </c>
      <c r="M228" s="48" t="inlineStr">
        <is>
          <t>Bvlgari Man in Black Eau de Parfum</t>
        </is>
      </c>
      <c r="N228" s="45" t="inlineStr">
        <is>
          <t>Bvlgari Man in Black Eau de Parfum 100ml | Swansura UK</t>
        </is>
      </c>
      <c r="O228" s="45">
        <f>LEN(N228)</f>
        <v/>
      </c>
      <c r="P228" s="49" t="inlineStr">
        <is>
          <t>Buy Bvlgari Man in Black Eau de Parfum 100ml for £64.99 at Swansura UK. A woody men's eau de parfum. 100% authentic, fast UK delivery, free over £50.</t>
        </is>
      </c>
      <c r="Q228" s="45">
        <f>LEN(P228)</f>
        <v/>
      </c>
      <c r="R228" s="49" t="n"/>
    </row>
    <row r="229" ht="23.25" customHeight="1" s="37">
      <c r="A229" s="45" t="inlineStr">
        <is>
          <t>FR-069</t>
        </is>
      </c>
      <c r="B229" s="45" t="inlineStr">
        <is>
          <t>Fragrance Catalogue</t>
        </is>
      </c>
      <c r="C229" s="45" t="inlineStr">
        <is>
          <t>Bvlgari</t>
        </is>
      </c>
      <c r="D229" s="45" t="inlineStr">
        <is>
          <t>Bvlgari Splendida Tubereuse Mystique Eau de Parfum 100ml – Luxury Women's Floral Fragrance</t>
        </is>
      </c>
      <c r="E229" s="45" t="inlineStr">
        <is>
          <t>100ml</t>
        </is>
      </c>
      <c r="F229" s="46" t="n">
        <v>54.99</v>
      </c>
      <c r="G229" s="45" t="inlineStr">
        <is>
          <t>bvlgari splendida tubereuse mystique</t>
        </is>
      </c>
      <c r="H229" s="47">
        <f>IFERROR(INDEX('Semrush Data'!$C$2:$C$5000,MATCH(G229,'Semrush Data'!$A$2:$A$5000,0)),"")</f>
        <v/>
      </c>
      <c r="I229" s="45">
        <f>IFERROR(INDEX('Semrush Data'!$D$2:$D$5000,MATCH(G229,'Semrush Data'!$A$2:$A$5000,0)),"")</f>
        <v/>
      </c>
      <c r="J229" s="45">
        <f>IF(OR(H229="",H229=0),"No volume",IF(I229&lt;=20,"Easier",IF(I229&lt;=35,"Medium","Hard")))</f>
        <v/>
      </c>
      <c r="K229" s="45" t="n"/>
      <c r="L229" s="47">
        <f>IF(K229="","",IFERROR(INDEX('Semrush Data'!$C$2:$C$5000,MATCH(K229,'Semrush Data'!$A$2:$A$5000,0)),""))</f>
        <v/>
      </c>
      <c r="M229" s="48" t="inlineStr">
        <is>
          <t>Bvlgari Splendida Tubereuse Mystique Eau de Parfum</t>
        </is>
      </c>
      <c r="N229" s="45" t="inlineStr">
        <is>
          <t>Bvlgari Splendida Tubereuse Mystique EDP 100ml | Swansura UK</t>
        </is>
      </c>
      <c r="O229" s="45">
        <f>LEN(N229)</f>
        <v/>
      </c>
      <c r="P229" s="49" t="inlineStr">
        <is>
          <t>Bvlgari Splendida Tubereuse Mystique Eau de Parfum for £54.99 at Swansura UK. A floral women's eau de parfum. 100% authentic, fast UK delivery, free over £50.</t>
        </is>
      </c>
      <c r="Q229" s="45">
        <f>LEN(P229)</f>
        <v/>
      </c>
      <c r="R229" s="49" t="n"/>
    </row>
    <row r="230" ht="23.25" customHeight="1" s="37">
      <c r="A230" s="45" t="inlineStr">
        <is>
          <t>FR-070</t>
        </is>
      </c>
      <c r="B230" s="45" t="inlineStr">
        <is>
          <t>Fragrance Catalogue</t>
        </is>
      </c>
      <c r="C230" s="45" t="inlineStr">
        <is>
          <t>Bvlgari</t>
        </is>
      </c>
      <c r="D230" s="45" t="inlineStr">
        <is>
          <t>Bvlgari Omnia Amethyste Eau de Toilette 25ml – Women's Floral Fragrance</t>
        </is>
      </c>
      <c r="E230" s="45" t="inlineStr">
        <is>
          <t>25ml</t>
        </is>
      </c>
      <c r="F230" s="46" t="n">
        <v>34.99</v>
      </c>
      <c r="G230" s="45" t="inlineStr">
        <is>
          <t>bvlgari omnia amethyste</t>
        </is>
      </c>
      <c r="H230" s="47">
        <f>IFERROR(INDEX('Semrush Data'!$C$2:$C$5000,MATCH(G230,'Semrush Data'!$A$2:$A$5000,0)),"")</f>
        <v/>
      </c>
      <c r="I230" s="45">
        <f>IFERROR(INDEX('Semrush Data'!$D$2:$D$5000,MATCH(G230,'Semrush Data'!$A$2:$A$5000,0)),"")</f>
        <v/>
      </c>
      <c r="J230" s="45">
        <f>IF(OR(H230="",H230=0),"No volume",IF(I230&lt;=20,"Easier",IF(I230&lt;=35,"Medium","Hard")))</f>
        <v/>
      </c>
      <c r="K230" s="45" t="inlineStr">
        <is>
          <t>bvlgari omnia amethyste eau de toilette</t>
        </is>
      </c>
      <c r="L230" s="47">
        <f>IF(K230="","",IFERROR(INDEX('Semrush Data'!$C$2:$C$5000,MATCH(K230,'Semrush Data'!$A$2:$A$5000,0)),""))</f>
        <v/>
      </c>
      <c r="M230" s="48" t="inlineStr">
        <is>
          <t>Bvlgari Omnia Amethyste Eau de Toilette</t>
        </is>
      </c>
      <c r="N230" s="45" t="inlineStr">
        <is>
          <t>Bvlgari Omnia Amethyste Eau de Toilette 25ml | Swansura UK</t>
        </is>
      </c>
      <c r="O230" s="45">
        <f>LEN(N230)</f>
        <v/>
      </c>
      <c r="P230" s="49" t="inlineStr">
        <is>
          <t>Buy Bvlgari Omnia Amethyste Eau de Toilette 25ml for £34.99 at Swansura UK. A floral women's eau de toilette. 100% authentic, fast UK delivery, free over £50.</t>
        </is>
      </c>
      <c r="Q230" s="45">
        <f>LEN(P230)</f>
        <v/>
      </c>
      <c r="R230" s="49" t="n"/>
    </row>
    <row r="231" ht="23.25" customHeight="1" s="37">
      <c r="A231" s="45" t="inlineStr">
        <is>
          <t>FR-071</t>
        </is>
      </c>
      <c r="B231" s="45" t="inlineStr">
        <is>
          <t>Fragrance Catalogue</t>
        </is>
      </c>
      <c r="C231" s="45" t="inlineStr">
        <is>
          <t>Bvlgari</t>
        </is>
      </c>
      <c r="D231" s="45" t="inlineStr">
        <is>
          <t>Bvlgari Man Glacial Essence EDP Gift Set 100ml + 15ml – Men's Fragrance Set</t>
        </is>
      </c>
      <c r="E231" s="45" t="inlineStr">
        <is>
          <t>100ml</t>
        </is>
      </c>
      <c r="F231" s="46" t="n">
        <v>69.98999999999999</v>
      </c>
      <c r="G231" s="45" t="inlineStr">
        <is>
          <t>bvlgari man glacial essence gift set</t>
        </is>
      </c>
      <c r="H231" s="47">
        <f>IFERROR(INDEX('Semrush Data'!$C$2:$C$5000,MATCH(G231,'Semrush Data'!$A$2:$A$5000,0)),"")</f>
        <v/>
      </c>
      <c r="I231" s="45">
        <f>IFERROR(INDEX('Semrush Data'!$D$2:$D$5000,MATCH(G231,'Semrush Data'!$A$2:$A$5000,0)),"")</f>
        <v/>
      </c>
      <c r="J231" s="45">
        <f>IF(OR(H231="",H231=0),"No volume",IF(I231&lt;=20,"Easier",IF(I231&lt;=35,"Medium","Hard")))</f>
        <v/>
      </c>
      <c r="K231" s="45" t="n"/>
      <c r="L231" s="47">
        <f>IF(K231="","",IFERROR(INDEX('Semrush Data'!$C$2:$C$5000,MATCH(K231,'Semrush Data'!$A$2:$A$5000,0)),""))</f>
        <v/>
      </c>
      <c r="M231" s="48" t="inlineStr">
        <is>
          <t>Bvlgari Man Glacial Essence EDP Gift Set</t>
        </is>
      </c>
      <c r="N231" s="45" t="inlineStr">
        <is>
          <t>Bvlgari Man Glacial Essence EDP Gift Set 100ml | Swansura UK</t>
        </is>
      </c>
      <c r="O231" s="45">
        <f>LEN(N231)</f>
        <v/>
      </c>
      <c r="P231" s="49" t="inlineStr">
        <is>
          <t>Buy Bvlgari Man Glacial Essence EDP Gift Set 100ml for £69.99 at Swansura UK. A woody men's eau de parfum. 100% authentic, fast UK delivery, free over £50.</t>
        </is>
      </c>
      <c r="Q231" s="45">
        <f>LEN(P231)</f>
        <v/>
      </c>
      <c r="R231" s="49" t="n"/>
    </row>
    <row r="232" ht="23.25" customHeight="1" s="37">
      <c r="A232" s="45" t="inlineStr">
        <is>
          <t>FR-072</t>
        </is>
      </c>
      <c r="B232" s="45" t="inlineStr">
        <is>
          <t>Fragrance Catalogue</t>
        </is>
      </c>
      <c r="C232" s="45" t="inlineStr">
        <is>
          <t>Bvlgari</t>
        </is>
      </c>
      <c r="D232" s="45" t="inlineStr">
        <is>
          <t>Bvlgari Man Rain Essence Eau de Parfum Gift Set 100ml + 15ml – Luxury Men's Fragrance Set</t>
        </is>
      </c>
      <c r="E232" s="45" t="inlineStr">
        <is>
          <t>100ml</t>
        </is>
      </c>
      <c r="F232" s="46" t="n">
        <v>54.99</v>
      </c>
      <c r="G232" s="45" t="inlineStr">
        <is>
          <t>bvlgari man rain essence gift set</t>
        </is>
      </c>
      <c r="H232" s="47">
        <f>IFERROR(INDEX('Semrush Data'!$C$2:$C$5000,MATCH(G232,'Semrush Data'!$A$2:$A$5000,0)),"")</f>
        <v/>
      </c>
      <c r="I232" s="45">
        <f>IFERROR(INDEX('Semrush Data'!$D$2:$D$5000,MATCH(G232,'Semrush Data'!$A$2:$A$5000,0)),"")</f>
        <v/>
      </c>
      <c r="J232" s="45">
        <f>IF(OR(H232="",H232=0),"No volume",IF(I232&lt;=20,"Easier",IF(I232&lt;=35,"Medium","Hard")))</f>
        <v/>
      </c>
      <c r="K232" s="45" t="n"/>
      <c r="L232" s="47">
        <f>IF(K232="","",IFERROR(INDEX('Semrush Data'!$C$2:$C$5000,MATCH(K232,'Semrush Data'!$A$2:$A$5000,0)),""))</f>
        <v/>
      </c>
      <c r="M232" s="48" t="inlineStr">
        <is>
          <t>Bvlgari Man Rain Essence Eau de Parfum Gift Set</t>
        </is>
      </c>
      <c r="N232" s="45" t="inlineStr">
        <is>
          <t>Bvlgari Man Rain Essence Gift Set EDP 100ml | Swansura UK</t>
        </is>
      </c>
      <c r="O232" s="45">
        <f>LEN(N232)</f>
        <v/>
      </c>
      <c r="P232" s="49" t="inlineStr">
        <is>
          <t>Buy Bvlgari Man Rain Essence Eau de Parfum Gift Set 100ml for £54.99 at Swansura UK. A woody men's eau de parfum. 100% authentic, free UK delivery over £50.</t>
        </is>
      </c>
      <c r="Q232" s="45">
        <f>LEN(P232)</f>
        <v/>
      </c>
      <c r="R232" s="49" t="n"/>
    </row>
    <row r="233" ht="23.25" customHeight="1" s="37">
      <c r="A233" s="45" t="inlineStr">
        <is>
          <t>FR-073</t>
        </is>
      </c>
      <c r="B233" s="45" t="inlineStr">
        <is>
          <t>Fragrance Catalogue</t>
        </is>
      </c>
      <c r="C233" s="45" t="inlineStr">
        <is>
          <t>Bvlgari</t>
        </is>
      </c>
      <c r="D233" s="45" t="inlineStr">
        <is>
          <t>Bvlgari Man Terrae Essence Eau de Parfum Gift Set 100ml + 15ml – New Pack Men's Fragrance Set</t>
        </is>
      </c>
      <c r="E233" s="45" t="inlineStr">
        <is>
          <t>100ml</t>
        </is>
      </c>
      <c r="F233" s="46" t="n">
        <v>69.98999999999999</v>
      </c>
      <c r="G233" s="45" t="inlineStr">
        <is>
          <t>bvlgari man terrae essence gift set</t>
        </is>
      </c>
      <c r="H233" s="47">
        <f>IFERROR(INDEX('Semrush Data'!$C$2:$C$5000,MATCH(G233,'Semrush Data'!$A$2:$A$5000,0)),"")</f>
        <v/>
      </c>
      <c r="I233" s="45">
        <f>IFERROR(INDEX('Semrush Data'!$D$2:$D$5000,MATCH(G233,'Semrush Data'!$A$2:$A$5000,0)),"")</f>
        <v/>
      </c>
      <c r="J233" s="45">
        <f>IF(OR(H233="",H233=0),"No volume",IF(I233&lt;=20,"Easier",IF(I233&lt;=35,"Medium","Hard")))</f>
        <v/>
      </c>
      <c r="K233" s="45" t="n"/>
      <c r="L233" s="47">
        <f>IF(K233="","",IFERROR(INDEX('Semrush Data'!$C$2:$C$5000,MATCH(K233,'Semrush Data'!$A$2:$A$5000,0)),""))</f>
        <v/>
      </c>
      <c r="M233" s="48" t="inlineStr">
        <is>
          <t>Bvlgari Man Terrae Essence Eau de Parfum Gift Set</t>
        </is>
      </c>
      <c r="N233" s="45" t="inlineStr">
        <is>
          <t>Bvlgari Man Terrae Essence Gift Set EDP 100ml | Swansura UK</t>
        </is>
      </c>
      <c r="O233" s="45">
        <f>LEN(N233)</f>
        <v/>
      </c>
      <c r="P233" s="49" t="inlineStr">
        <is>
          <t>Buy Bvlgari Man Terrae Essence Eau de Parfum Gift Set 100ml for £69.99 at Swansura UK. A woody men's eau de parfum. 100% authentic, free UK delivery over £50.</t>
        </is>
      </c>
      <c r="Q233" s="45">
        <f>LEN(P233)</f>
        <v/>
      </c>
      <c r="R233" s="49" t="n"/>
    </row>
    <row r="234" ht="23.25" customHeight="1" s="37">
      <c r="A234" s="45" t="inlineStr">
        <is>
          <t>FR-074</t>
        </is>
      </c>
      <c r="B234" s="45" t="inlineStr">
        <is>
          <t>Fragrance Catalogue</t>
        </is>
      </c>
      <c r="C234" s="45" t="inlineStr">
        <is>
          <t>Bvlgari</t>
        </is>
      </c>
      <c r="D234" s="45" t="inlineStr">
        <is>
          <t>Bvlgari Man Wood Essence Eau de Parfum Gift Set 100ml + 15ml – Soft Box Men's Fragrance Set</t>
        </is>
      </c>
      <c r="E234" s="45" t="inlineStr">
        <is>
          <t>100ml</t>
        </is>
      </c>
      <c r="F234" s="46" t="n">
        <v>64.98999999999999</v>
      </c>
      <c r="G234" s="45" t="inlineStr">
        <is>
          <t>bvlgari man wood essence gift set</t>
        </is>
      </c>
      <c r="H234" s="47">
        <f>IFERROR(INDEX('Semrush Data'!$C$2:$C$5000,MATCH(G234,'Semrush Data'!$A$2:$A$5000,0)),"")</f>
        <v/>
      </c>
      <c r="I234" s="45">
        <f>IFERROR(INDEX('Semrush Data'!$D$2:$D$5000,MATCH(G234,'Semrush Data'!$A$2:$A$5000,0)),"")</f>
        <v/>
      </c>
      <c r="J234" s="45">
        <f>IF(OR(H234="",H234=0),"No volume",IF(I234&lt;=20,"Easier",IF(I234&lt;=35,"Medium","Hard")))</f>
        <v/>
      </c>
      <c r="K234" s="45" t="n"/>
      <c r="L234" s="47">
        <f>IF(K234="","",IFERROR(INDEX('Semrush Data'!$C$2:$C$5000,MATCH(K234,'Semrush Data'!$A$2:$A$5000,0)),""))</f>
        <v/>
      </c>
      <c r="M234" s="48" t="inlineStr">
        <is>
          <t>Bvlgari Man Wood Essence Eau de Parfum Gift Set</t>
        </is>
      </c>
      <c r="N234" s="45" t="inlineStr">
        <is>
          <t>Bvlgari Man Wood Essence Gift Set EDP 100ml | Swansura UK</t>
        </is>
      </c>
      <c r="O234" s="45">
        <f>LEN(N234)</f>
        <v/>
      </c>
      <c r="P234" s="49" t="inlineStr">
        <is>
          <t>Buy Bvlgari Man Wood Essence Eau de Parfum Gift Set 100ml for £64.99 at Swansura UK. A woody men's eau de parfum. 100% authentic, free UK delivery over £50.</t>
        </is>
      </c>
      <c r="Q234" s="45">
        <f>LEN(P234)</f>
        <v/>
      </c>
      <c r="R234" s="49" t="n"/>
    </row>
    <row r="235" ht="23.25" customHeight="1" s="37">
      <c r="A235" s="45" t="inlineStr">
        <is>
          <t>FR-075</t>
        </is>
      </c>
      <c r="B235" s="45" t="inlineStr">
        <is>
          <t>Fragrance Catalogue</t>
        </is>
      </c>
      <c r="C235" s="45" t="inlineStr">
        <is>
          <t>Bvlgari</t>
        </is>
      </c>
      <c r="D235" s="45" t="inlineStr">
        <is>
          <t>Bvlgari Rose Goldea Blossom Delight Eau de Parfum Gift Set 75ml + 15ml – New Pack Women's Fragrance Set</t>
        </is>
      </c>
      <c r="E235" s="45" t="inlineStr">
        <is>
          <t>75ml</t>
        </is>
      </c>
      <c r="F235" s="46" t="n">
        <v>79.98999999999999</v>
      </c>
      <c r="G235" s="45" t="inlineStr">
        <is>
          <t>bvlgari rose goldea blossom delight gift set</t>
        </is>
      </c>
      <c r="H235" s="47">
        <f>IFERROR(INDEX('Semrush Data'!$C$2:$C$5000,MATCH(G235,'Semrush Data'!$A$2:$A$5000,0)),"")</f>
        <v/>
      </c>
      <c r="I235" s="45">
        <f>IFERROR(INDEX('Semrush Data'!$D$2:$D$5000,MATCH(G235,'Semrush Data'!$A$2:$A$5000,0)),"")</f>
        <v/>
      </c>
      <c r="J235" s="45">
        <f>IF(OR(H235="",H235=0),"No volume",IF(I235&lt;=20,"Easier",IF(I235&lt;=35,"Medium","Hard")))</f>
        <v/>
      </c>
      <c r="K235" s="45" t="n"/>
      <c r="L235" s="47">
        <f>IF(K235="","",IFERROR(INDEX('Semrush Data'!$C$2:$C$5000,MATCH(K235,'Semrush Data'!$A$2:$A$5000,0)),""))</f>
        <v/>
      </c>
      <c r="M235" s="48" t="inlineStr">
        <is>
          <t>Bvlgari Rose Goldea Blossom Delight Eau de Parfum Gift Set</t>
        </is>
      </c>
      <c r="N235" s="45" t="inlineStr">
        <is>
          <t>Bvlgari Rose Goldea Blossom Delight Gift Set | Swansura UK</t>
        </is>
      </c>
      <c r="O235" s="45">
        <f>LEN(N235)</f>
        <v/>
      </c>
      <c r="P235" s="49" t="inlineStr">
        <is>
          <t>Bvlgari Rose Goldea Blossom Delight Eau de Parfum Gift Set for £79.99 at Swansura UK. A floral women's eau de parfum. 100% authentic, free UK delivery over £50.</t>
        </is>
      </c>
      <c r="Q235" s="45">
        <f>LEN(P235)</f>
        <v/>
      </c>
      <c r="R235" s="49" t="n"/>
    </row>
    <row r="236" ht="23.25" customHeight="1" s="37">
      <c r="A236" s="45" t="inlineStr">
        <is>
          <t>FR-076</t>
        </is>
      </c>
      <c r="B236" s="45" t="inlineStr">
        <is>
          <t>Fragrance Catalogue</t>
        </is>
      </c>
      <c r="C236" s="45" t="inlineStr">
        <is>
          <t>Calvin klein</t>
        </is>
      </c>
      <c r="D236" s="45" t="inlineStr">
        <is>
          <t>Calvin Klein Defy Eau de Parfum 10ml Miniature – Men's Fresh Woody Fragrance</t>
        </is>
      </c>
      <c r="E236" s="45" t="inlineStr">
        <is>
          <t>10ml</t>
        </is>
      </c>
      <c r="F236" s="46" t="n">
        <v>18.99</v>
      </c>
      <c r="G236" s="45" t="inlineStr">
        <is>
          <t>calvin klein defy miniature</t>
        </is>
      </c>
      <c r="H236" s="47">
        <f>IFERROR(INDEX('Semrush Data'!$C$2:$C$5000,MATCH(G236,'Semrush Data'!$A$2:$A$5000,0)),"")</f>
        <v/>
      </c>
      <c r="I236" s="45">
        <f>IFERROR(INDEX('Semrush Data'!$D$2:$D$5000,MATCH(G236,'Semrush Data'!$A$2:$A$5000,0)),"")</f>
        <v/>
      </c>
      <c r="J236" s="45">
        <f>IF(OR(H236="",H236=0),"No volume",IF(I236&lt;=20,"Easier",IF(I236&lt;=35,"Medium","Hard")))</f>
        <v/>
      </c>
      <c r="K236" s="45" t="n"/>
      <c r="L236" s="47">
        <f>IF(K236="","",IFERROR(INDEX('Semrush Data'!$C$2:$C$5000,MATCH(K236,'Semrush Data'!$A$2:$A$5000,0)),""))</f>
        <v/>
      </c>
      <c r="M236" s="48" t="inlineStr">
        <is>
          <t>Calvin Klein Defy Eau de Parfum Miniature</t>
        </is>
      </c>
      <c r="N236" s="45" t="inlineStr">
        <is>
          <t>Calvin Klein Defy Eau de Parfum Miniature 10ml | Swansura UK</t>
        </is>
      </c>
      <c r="O236" s="45">
        <f>LEN(N236)</f>
        <v/>
      </c>
      <c r="P236" s="49" t="inlineStr">
        <is>
          <t>Buy Calvin Klein Defy Eau de Parfum Miniature 10ml for £18.99 at Swansura UK. A woody men's eau de parfum. 100% authentic, fast UK delivery, free over £50.</t>
        </is>
      </c>
      <c r="Q236" s="45">
        <f>LEN(P236)</f>
        <v/>
      </c>
      <c r="R236" s="49" t="n"/>
    </row>
    <row r="237" ht="23.25" customHeight="1" s="37">
      <c r="A237" s="45" t="inlineStr">
        <is>
          <t>FR-077</t>
        </is>
      </c>
      <c r="B237" s="45" t="inlineStr">
        <is>
          <t>Fragrance Catalogue</t>
        </is>
      </c>
      <c r="C237" s="45" t="inlineStr">
        <is>
          <t>Calvin klein</t>
        </is>
      </c>
      <c r="D237" s="45" t="inlineStr">
        <is>
          <t>Calvin Klein Eternity Eau de Parfum – Women's Classic Floral Fragrance</t>
        </is>
      </c>
      <c r="E237" s="45" t="inlineStr">
        <is>
          <t>30ml</t>
        </is>
      </c>
      <c r="F237" s="46" t="n">
        <v>28.99</v>
      </c>
      <c r="G237" s="45" t="inlineStr">
        <is>
          <t>calvin klein eternity</t>
        </is>
      </c>
      <c r="H237" s="47">
        <f>IFERROR(INDEX('Semrush Data'!$C$2:$C$5000,MATCH(G237,'Semrush Data'!$A$2:$A$5000,0)),"")</f>
        <v/>
      </c>
      <c r="I237" s="45">
        <f>IFERROR(INDEX('Semrush Data'!$D$2:$D$5000,MATCH(G237,'Semrush Data'!$A$2:$A$5000,0)),"")</f>
        <v/>
      </c>
      <c r="J237" s="45">
        <f>IF(OR(H237="",H237=0),"No volume",IF(I237&lt;=20,"Easier",IF(I237&lt;=35,"Medium","Hard")))</f>
        <v/>
      </c>
      <c r="K237" s="45" t="inlineStr">
        <is>
          <t>calvin klein eternity for women</t>
        </is>
      </c>
      <c r="L237" s="47">
        <f>IF(K237="","",IFERROR(INDEX('Semrush Data'!$C$2:$C$5000,MATCH(K237,'Semrush Data'!$A$2:$A$5000,0)),""))</f>
        <v/>
      </c>
      <c r="M237" s="48" t="inlineStr">
        <is>
          <t>Calvin Klein Eternity Eau de Parfum for Women</t>
        </is>
      </c>
      <c r="N237" s="45" t="inlineStr">
        <is>
          <t>Calvin Klein Eternity for Women EDP 30ml | Swansura UK</t>
        </is>
      </c>
      <c r="O237" s="45">
        <f>LEN(N237)</f>
        <v/>
      </c>
      <c r="P237" s="49" t="inlineStr">
        <is>
          <t>Buy Calvin Klein Eternity Eau de Parfum for Women for £28.99 at Swansura UK. A floral women's eau de parfum. 100% authentic, fast UK delivery, free over £50.</t>
        </is>
      </c>
      <c r="Q237" s="45">
        <f>LEN(P237)</f>
        <v/>
      </c>
      <c r="R237" s="49" t="inlineStr">
        <is>
          <t>Shares the keyword "calvin klein eternity" with 1 other listing(s): consider merging sizes as variants of one product</t>
        </is>
      </c>
    </row>
    <row r="238" ht="23.25" customHeight="1" s="37">
      <c r="A238" s="45" t="inlineStr">
        <is>
          <t>FR-078</t>
        </is>
      </c>
      <c r="B238" s="45" t="inlineStr">
        <is>
          <t>Fragrance Catalogue</t>
        </is>
      </c>
      <c r="C238" s="45" t="inlineStr">
        <is>
          <t>Calvin klein</t>
        </is>
      </c>
      <c r="D238" s="45" t="inlineStr">
        <is>
          <t>Calvin Klein My Euphoria Eau de Parfum 10ml Miniature – Women's Floral Gourmand Fragrance</t>
        </is>
      </c>
      <c r="E238" s="45" t="inlineStr">
        <is>
          <t>10ml</t>
        </is>
      </c>
      <c r="F238" s="46" t="n">
        <v>18.99</v>
      </c>
      <c r="G238" s="45" t="inlineStr">
        <is>
          <t>calvin klein my euphoria miniature</t>
        </is>
      </c>
      <c r="H238" s="47">
        <f>IFERROR(INDEX('Semrush Data'!$C$2:$C$5000,MATCH(G238,'Semrush Data'!$A$2:$A$5000,0)),"")</f>
        <v/>
      </c>
      <c r="I238" s="45">
        <f>IFERROR(INDEX('Semrush Data'!$D$2:$D$5000,MATCH(G238,'Semrush Data'!$A$2:$A$5000,0)),"")</f>
        <v/>
      </c>
      <c r="J238" s="45">
        <f>IF(OR(H238="",H238=0),"No volume",IF(I238&lt;=20,"Easier",IF(I238&lt;=35,"Medium","Hard")))</f>
        <v/>
      </c>
      <c r="K238" s="45" t="n"/>
      <c r="L238" s="47">
        <f>IF(K238="","",IFERROR(INDEX('Semrush Data'!$C$2:$C$5000,MATCH(K238,'Semrush Data'!$A$2:$A$5000,0)),""))</f>
        <v/>
      </c>
      <c r="M238" s="48" t="inlineStr">
        <is>
          <t>Calvin Klein My Euphoria Eau de Parfum Miniature</t>
        </is>
      </c>
      <c r="N238" s="45" t="inlineStr">
        <is>
          <t>Calvin Klein My Euphoria Miniature EDP 10ml | Swansura UK</t>
        </is>
      </c>
      <c r="O238" s="45">
        <f>LEN(N238)</f>
        <v/>
      </c>
      <c r="P238" s="49" t="inlineStr">
        <is>
          <t>Buy Calvin Klein My Euphoria Eau de Parfum Miniature for £18.99 at Swansura UK. A floral women's eau de parfum. 100% authentic, fast UK delivery, free over £50.</t>
        </is>
      </c>
      <c r="Q238" s="45">
        <f>LEN(P238)</f>
        <v/>
      </c>
      <c r="R238" s="49" t="n"/>
    </row>
    <row r="239" ht="23.25" customHeight="1" s="37">
      <c r="A239" s="45" t="inlineStr">
        <is>
          <t>FR-079</t>
        </is>
      </c>
      <c r="B239" s="45" t="inlineStr">
        <is>
          <t>Fragrance Catalogue</t>
        </is>
      </c>
      <c r="C239" s="45" t="inlineStr">
        <is>
          <t>Calvin klein</t>
        </is>
      </c>
      <c r="D239" s="45" t="inlineStr">
        <is>
          <t>Calvin Klein Eternity for Men Eau de Toilette 100ml – Men's Fresh Aromatic Fragrance</t>
        </is>
      </c>
      <c r="E239" s="45" t="inlineStr">
        <is>
          <t>100ml</t>
        </is>
      </c>
      <c r="F239" s="46" t="n">
        <v>38.99</v>
      </c>
      <c r="G239" s="45" t="inlineStr">
        <is>
          <t>calvin klein eternity</t>
        </is>
      </c>
      <c r="H239" s="47">
        <f>IFERROR(INDEX('Semrush Data'!$C$2:$C$5000,MATCH(G239,'Semrush Data'!$A$2:$A$5000,0)),"")</f>
        <v/>
      </c>
      <c r="I239" s="45">
        <f>IFERROR(INDEX('Semrush Data'!$D$2:$D$5000,MATCH(G239,'Semrush Data'!$A$2:$A$5000,0)),"")</f>
        <v/>
      </c>
      <c r="J239" s="45">
        <f>IF(OR(H239="",H239=0),"No volume",IF(I239&lt;=20,"Easier",IF(I239&lt;=35,"Medium","Hard")))</f>
        <v/>
      </c>
      <c r="K239" s="45" t="inlineStr">
        <is>
          <t>calvin klein eternity for men</t>
        </is>
      </c>
      <c r="L239" s="47">
        <f>IF(K239="","",IFERROR(INDEX('Semrush Data'!$C$2:$C$5000,MATCH(K239,'Semrush Data'!$A$2:$A$5000,0)),""))</f>
        <v/>
      </c>
      <c r="M239" s="48" t="inlineStr">
        <is>
          <t>Calvin Klein Eternity for Men Eau de Toilette 100ml</t>
        </is>
      </c>
      <c r="N239" s="45" t="inlineStr">
        <is>
          <t>Calvin Klein Eternity for Men 100ml EDT | Swansura UK</t>
        </is>
      </c>
      <c r="O239" s="45">
        <f>LEN(N239)</f>
        <v/>
      </c>
      <c r="P239" s="49" t="inlineStr">
        <is>
          <t>Calvin Klein Eternity for Men Eau de Toilette 100ml for £38.99 at Swansura UK. A fresh men's eau de toilette. 100% authentic, fast UK delivery, free over £50.</t>
        </is>
      </c>
      <c r="Q239" s="45">
        <f>LEN(P239)</f>
        <v/>
      </c>
      <c r="R239" s="49" t="inlineStr">
        <is>
          <t>Shares the keyword "calvin klein eternity" with 1 other listing(s): consider merging sizes as variants of one product</t>
        </is>
      </c>
    </row>
    <row r="240" ht="23.25" customHeight="1" s="37">
      <c r="A240" s="45" t="inlineStr">
        <is>
          <t>FR-080</t>
        </is>
      </c>
      <c r="B240" s="45" t="inlineStr">
        <is>
          <t>Fragrance Catalogue</t>
        </is>
      </c>
      <c r="C240" s="45" t="inlineStr">
        <is>
          <t>Calvin klein</t>
        </is>
      </c>
      <c r="D240" s="45" t="inlineStr">
        <is>
          <t>Calvin Klein Women's Miniature Fragrance Set 4x15ml – Obsession, Eternity &amp; CK One</t>
        </is>
      </c>
      <c r="E240" s="45" t="inlineStr">
        <is>
          <t>4x15ml</t>
        </is>
      </c>
      <c r="F240" s="46" t="n">
        <v>33.99</v>
      </c>
      <c r="G240" s="45" t="inlineStr">
        <is>
          <t>calvin klein miniature set</t>
        </is>
      </c>
      <c r="H240" s="47">
        <f>IFERROR(INDEX('Semrush Data'!$C$2:$C$5000,MATCH(G240,'Semrush Data'!$A$2:$A$5000,0)),"")</f>
        <v/>
      </c>
      <c r="I240" s="45">
        <f>IFERROR(INDEX('Semrush Data'!$D$2:$D$5000,MATCH(G240,'Semrush Data'!$A$2:$A$5000,0)),"")</f>
        <v/>
      </c>
      <c r="J240" s="45">
        <f>IF(OR(H240="",H240=0),"No volume",IF(I240&lt;=20,"Easier",IF(I240&lt;=35,"Medium","Hard")))</f>
        <v/>
      </c>
      <c r="K240" s="45" t="n"/>
      <c r="L240" s="47">
        <f>IF(K240="","",IFERROR(INDEX('Semrush Data'!$C$2:$C$5000,MATCH(K240,'Semrush Data'!$A$2:$A$5000,0)),""))</f>
        <v/>
      </c>
      <c r="M240" s="48" t="inlineStr">
        <is>
          <t>Calvin Klein Women's Miniature Fragrance Set 4x15ml</t>
        </is>
      </c>
      <c r="N240" s="45" t="inlineStr">
        <is>
          <t>Calvin Klein Women's Miniature Fragrance Set 4x15ml | Swansu</t>
        </is>
      </c>
      <c r="O240" s="45">
        <f>LEN(N240)</f>
        <v/>
      </c>
      <c r="P240" s="49" t="inlineStr">
        <is>
          <t>Calvin Klein Women's Miniature Fragrance Set 4x15ml for £33.99 at Swansura UK. A woody women's fragrance gift set. 100% authentic, free UK delivery over £50.</t>
        </is>
      </c>
      <c r="Q240" s="45">
        <f>LEN(P240)</f>
        <v/>
      </c>
      <c r="R240" s="49" t="n"/>
    </row>
    <row r="241" ht="23.25" customHeight="1" s="37">
      <c r="A241" s="45" t="inlineStr">
        <is>
          <t>FR-081</t>
        </is>
      </c>
      <c r="B241" s="45" t="inlineStr">
        <is>
          <t>Fragrance Catalogue</t>
        </is>
      </c>
      <c r="C241" s="45" t="inlineStr">
        <is>
          <t>Calvin klein</t>
        </is>
      </c>
      <c r="D241" s="45" t="inlineStr">
        <is>
          <t>Calvin Klein Defy Parfum 10ml Miniature – Men's Warm Woody Fragrance</t>
        </is>
      </c>
      <c r="E241" s="45" t="inlineStr">
        <is>
          <t>10ml</t>
        </is>
      </c>
      <c r="F241" s="46" t="n">
        <v>18.99</v>
      </c>
      <c r="G241" s="45" t="inlineStr">
        <is>
          <t>calvin klein defy parfum miniature</t>
        </is>
      </c>
      <c r="H241" s="47">
        <f>IFERROR(INDEX('Semrush Data'!$C$2:$C$5000,MATCH(G241,'Semrush Data'!$A$2:$A$5000,0)),"")</f>
        <v/>
      </c>
      <c r="I241" s="45">
        <f>IFERROR(INDEX('Semrush Data'!$D$2:$D$5000,MATCH(G241,'Semrush Data'!$A$2:$A$5000,0)),"")</f>
        <v/>
      </c>
      <c r="J241" s="45">
        <f>IF(OR(H241="",H241=0),"No volume",IF(I241&lt;=20,"Easier",IF(I241&lt;=35,"Medium","Hard")))</f>
        <v/>
      </c>
      <c r="K241" s="45" t="n"/>
      <c r="L241" s="47">
        <f>IF(K241="","",IFERROR(INDEX('Semrush Data'!$C$2:$C$5000,MATCH(K241,'Semrush Data'!$A$2:$A$5000,0)),""))</f>
        <v/>
      </c>
      <c r="M241" s="48" t="inlineStr">
        <is>
          <t>Calvin Klein Defy Parfum Miniature</t>
        </is>
      </c>
      <c r="N241" s="45" t="inlineStr">
        <is>
          <t>Calvin Klein Defy Parfum Miniature 10ml | Swansura UK</t>
        </is>
      </c>
      <c r="O241" s="45">
        <f>LEN(N241)</f>
        <v/>
      </c>
      <c r="P241" s="49" t="inlineStr">
        <is>
          <t>Buy Calvin Klein Defy Parfum Miniature 10ml for £18.99 at Swansura UK. A woody men's parfum. 100% authentic, fast UK delivery, free over £50.</t>
        </is>
      </c>
      <c r="Q241" s="45">
        <f>LEN(P241)</f>
        <v/>
      </c>
      <c r="R241" s="49" t="n"/>
    </row>
    <row r="242" ht="45.75" customHeight="1" s="37">
      <c r="A242" s="45" t="inlineStr">
        <is>
          <t>FR-082</t>
        </is>
      </c>
      <c r="B242" s="45" t="inlineStr">
        <is>
          <t>Fragrance Catalogue</t>
        </is>
      </c>
      <c r="C242" s="45" t="inlineStr">
        <is>
          <t>Calvin klein</t>
        </is>
      </c>
      <c r="D242" s="45" t="inlineStr">
        <is>
          <t>Calvin Klein Defy Parfum – Men's Warm Woody Fragrance</t>
        </is>
      </c>
      <c r="E242" s="45" t="inlineStr">
        <is>
          <t>200ml</t>
        </is>
      </c>
      <c r="F242" s="46" t="n">
        <v>22.99</v>
      </c>
      <c r="G242" s="45" t="inlineStr">
        <is>
          <t>calvin klein defy</t>
        </is>
      </c>
      <c r="H242" s="47">
        <f>IFERROR(INDEX('Semrush Data'!$C$2:$C$5000,MATCH(G242,'Semrush Data'!$A$2:$A$5000,0)),"")</f>
        <v/>
      </c>
      <c r="I242" s="45">
        <f>IFERROR(INDEX('Semrush Data'!$D$2:$D$5000,MATCH(G242,'Semrush Data'!$A$2:$A$5000,0)),"")</f>
        <v/>
      </c>
      <c r="J242" s="45">
        <f>IF(OR(H242="",H242=0),"No volume",IF(I242&lt;=20,"Easier",IF(I242&lt;=35,"Medium","Hard")))</f>
        <v/>
      </c>
      <c r="K242" s="45" t="inlineStr">
        <is>
          <t>calvin klein defy parfum</t>
        </is>
      </c>
      <c r="L242" s="47">
        <f>IF(K242="","",IFERROR(INDEX('Semrush Data'!$C$2:$C$5000,MATCH(K242,'Semrush Data'!$A$2:$A$5000,0)),""))</f>
        <v/>
      </c>
      <c r="M242" s="48" t="inlineStr">
        <is>
          <t>Calvin Klein Defy Parfum 200ml</t>
        </is>
      </c>
      <c r="N242" s="45" t="inlineStr">
        <is>
          <t>Calvin Klein Defy Parfum 200ml | Buy Online UK | Swansura</t>
        </is>
      </c>
      <c r="O242" s="45">
        <f>LEN(N242)</f>
        <v/>
      </c>
      <c r="P242" s="49" t="inlineStr">
        <is>
          <t>Buy Calvin Klein Defy Parfum 200ml for £22.99 at Swansura UK. A woody men's parfum. 100% authentic, fast UK delivery, free over £50.</t>
        </is>
      </c>
      <c r="Q242" s="45">
        <f>LEN(P242)</f>
        <v/>
      </c>
      <c r="R242" s="49" t="inlineStr">
        <is>
          <t>Shares the keyword "calvin klein defy" with 1 other listing(s): consider merging sizes as variants of one product; Same name and size listed at different prices (£22.99, £34.99): check size/price in the sheet</t>
        </is>
      </c>
    </row>
    <row r="243" ht="45.75" customHeight="1" s="37">
      <c r="A243" s="45" t="inlineStr">
        <is>
          <t>FR-083</t>
        </is>
      </c>
      <c r="B243" s="45" t="inlineStr">
        <is>
          <t>Fragrance Catalogue</t>
        </is>
      </c>
      <c r="C243" s="45" t="inlineStr">
        <is>
          <t>Calvin klein</t>
        </is>
      </c>
      <c r="D243" s="45" t="inlineStr">
        <is>
          <t>Calvin Klein Defy Parfum – Men's Warm Woody Fragrance</t>
        </is>
      </c>
      <c r="E243" s="45" t="inlineStr">
        <is>
          <t>200ml</t>
        </is>
      </c>
      <c r="F243" s="46" t="n">
        <v>34.99</v>
      </c>
      <c r="G243" s="45" t="inlineStr">
        <is>
          <t>calvin klein defy</t>
        </is>
      </c>
      <c r="H243" s="47">
        <f>IFERROR(INDEX('Semrush Data'!$C$2:$C$5000,MATCH(G243,'Semrush Data'!$A$2:$A$5000,0)),"")</f>
        <v/>
      </c>
      <c r="I243" s="45">
        <f>IFERROR(INDEX('Semrush Data'!$D$2:$D$5000,MATCH(G243,'Semrush Data'!$A$2:$A$5000,0)),"")</f>
        <v/>
      </c>
      <c r="J243" s="45">
        <f>IF(OR(H243="",H243=0),"No volume",IF(I243&lt;=20,"Easier",IF(I243&lt;=35,"Medium","Hard")))</f>
        <v/>
      </c>
      <c r="K243" s="45" t="inlineStr">
        <is>
          <t>calvin klein defy parfum</t>
        </is>
      </c>
      <c r="L243" s="47">
        <f>IF(K243="","",IFERROR(INDEX('Semrush Data'!$C$2:$C$5000,MATCH(K243,'Semrush Data'!$A$2:$A$5000,0)),""))</f>
        <v/>
      </c>
      <c r="M243" s="48" t="inlineStr">
        <is>
          <t>Calvin Klein Defy Parfum 200ml</t>
        </is>
      </c>
      <c r="N243" s="45" t="inlineStr">
        <is>
          <t>Calvin Klein Defy Parfum 200ml | Buy Online UK | Swansura</t>
        </is>
      </c>
      <c r="O243" s="45">
        <f>LEN(N243)</f>
        <v/>
      </c>
      <c r="P243" s="49" t="inlineStr">
        <is>
          <t>Buy Calvin Klein Defy Parfum 200ml for £34.99 at Swansura UK. A woody men's parfum. 100% authentic, fast UK delivery, free over £50.</t>
        </is>
      </c>
      <c r="Q243" s="45">
        <f>LEN(P243)</f>
        <v/>
      </c>
      <c r="R243" s="49" t="inlineStr">
        <is>
          <t>Shares the keyword "calvin klein defy" with 1 other listing(s): consider merging sizes as variants of one product; Same name and size listed at different prices (£22.99, £34.99): check size/price in the sheet</t>
        </is>
      </c>
    </row>
    <row r="244" ht="34.5" customHeight="1" s="37">
      <c r="A244" s="45" t="inlineStr">
        <is>
          <t>FR-084</t>
        </is>
      </c>
      <c r="B244" s="45" t="inlineStr">
        <is>
          <t>Fragrance Catalogue</t>
        </is>
      </c>
      <c r="C244" s="45" t="inlineStr">
        <is>
          <t>Calvin klein</t>
        </is>
      </c>
      <c r="D244" s="45" t="inlineStr">
        <is>
          <t>Calvin Klein Eternity Aromatic Essence Parfum Intense 10ml Miniature – Men's Aromatic Woody Fragrance</t>
        </is>
      </c>
      <c r="E244" s="45" t="inlineStr">
        <is>
          <t>10ml</t>
        </is>
      </c>
      <c r="F244" s="46" t="n">
        <v>18.99</v>
      </c>
      <c r="G244" s="45" t="inlineStr">
        <is>
          <t>calvin klein eternity aromatic essence parfum intense miniature</t>
        </is>
      </c>
      <c r="H244" s="47">
        <f>IFERROR(INDEX('Semrush Data'!$C$2:$C$5000,MATCH(G244,'Semrush Data'!$A$2:$A$5000,0)),"")</f>
        <v/>
      </c>
      <c r="I244" s="45">
        <f>IFERROR(INDEX('Semrush Data'!$D$2:$D$5000,MATCH(G244,'Semrush Data'!$A$2:$A$5000,0)),"")</f>
        <v/>
      </c>
      <c r="J244" s="45">
        <f>IF(OR(H244="",H244=0),"No volume",IF(I244&lt;=20,"Easier",IF(I244&lt;=35,"Medium","Hard")))</f>
        <v/>
      </c>
      <c r="K244" s="45" t="n"/>
      <c r="L244" s="47">
        <f>IF(K244="","",IFERROR(INDEX('Semrush Data'!$C$2:$C$5000,MATCH(K244,'Semrush Data'!$A$2:$A$5000,0)),""))</f>
        <v/>
      </c>
      <c r="M244" s="48" t="inlineStr">
        <is>
          <t>Calvin Klein Eternity Aromatic Essence Parfum Intense Miniature for Men</t>
        </is>
      </c>
      <c r="N244" s="45" t="inlineStr">
        <is>
          <t>Calvin Klein Eternity Aromatic Essence Intense Miniature for</t>
        </is>
      </c>
      <c r="O244" s="45">
        <f>LEN(N244)</f>
        <v/>
      </c>
      <c r="P244" s="49" t="inlineStr">
        <is>
          <t>Buy Calvin Klein Eternity Aromatic Essence Parfum Intense Miniature for Men 10ml for £18.99 at Swansura UK. A woody men's parfum. Free UK delivery over £50.</t>
        </is>
      </c>
      <c r="Q244" s="45">
        <f>LEN(P244)</f>
        <v/>
      </c>
      <c r="R244" s="49" t="inlineStr">
        <is>
          <t>Shares the keyword "calvin klein eternity aromatic essence parfum intense miniature" with 1 other listing(s): consider merging sizes as variants of one product</t>
        </is>
      </c>
    </row>
    <row r="245" ht="34.5" customHeight="1" s="37">
      <c r="A245" s="45" t="inlineStr">
        <is>
          <t>FR-085</t>
        </is>
      </c>
      <c r="B245" s="45" t="inlineStr">
        <is>
          <t>Fragrance Catalogue</t>
        </is>
      </c>
      <c r="C245" s="45" t="inlineStr">
        <is>
          <t>Calvin klein</t>
        </is>
      </c>
      <c r="D245" s="45" t="inlineStr">
        <is>
          <t>Calvin Klein Eternity Aromatic Essence Parfum Intense 10ml Miniature – Women's Aromatic Floral Fragrance</t>
        </is>
      </c>
      <c r="E245" s="45" t="inlineStr">
        <is>
          <t>10ml</t>
        </is>
      </c>
      <c r="F245" s="46" t="n">
        <v>18.99</v>
      </c>
      <c r="G245" s="45" t="inlineStr">
        <is>
          <t>calvin klein eternity aromatic essence parfum intense miniature</t>
        </is>
      </c>
      <c r="H245" s="47">
        <f>IFERROR(INDEX('Semrush Data'!$C$2:$C$5000,MATCH(G245,'Semrush Data'!$A$2:$A$5000,0)),"")</f>
        <v/>
      </c>
      <c r="I245" s="45">
        <f>IFERROR(INDEX('Semrush Data'!$D$2:$D$5000,MATCH(G245,'Semrush Data'!$A$2:$A$5000,0)),"")</f>
        <v/>
      </c>
      <c r="J245" s="45">
        <f>IF(OR(H245="",H245=0),"No volume",IF(I245&lt;=20,"Easier",IF(I245&lt;=35,"Medium","Hard")))</f>
        <v/>
      </c>
      <c r="K245" s="45" t="n"/>
      <c r="L245" s="47">
        <f>IF(K245="","",IFERROR(INDEX('Semrush Data'!$C$2:$C$5000,MATCH(K245,'Semrush Data'!$A$2:$A$5000,0)),""))</f>
        <v/>
      </c>
      <c r="M245" s="48" t="inlineStr">
        <is>
          <t>Calvin Klein Eternity Aromatic Essence Parfum Intense Miniature for Women</t>
        </is>
      </c>
      <c r="N245" s="45" t="inlineStr">
        <is>
          <t>Calvin Klein Eternity Aromatic Essence Intense Miniature for</t>
        </is>
      </c>
      <c r="O245" s="45">
        <f>LEN(N245)</f>
        <v/>
      </c>
      <c r="P245" s="49" t="inlineStr">
        <is>
          <t>Buy Calvin Klein Eternity Aromatic Essence Parfum Intense Miniature for Women 10ml for £18.99 at Swansura UK. 100% authentic, fast UK delivery, free over £50.</t>
        </is>
      </c>
      <c r="Q245" s="45">
        <f>LEN(P245)</f>
        <v/>
      </c>
      <c r="R245" s="49" t="inlineStr">
        <is>
          <t>Shares the keyword "calvin klein eternity aromatic essence parfum intense miniature" with 1 other listing(s): consider merging sizes as variants of one product</t>
        </is>
      </c>
    </row>
    <row r="246" ht="23.25" customHeight="1" s="37">
      <c r="A246" s="45" t="inlineStr">
        <is>
          <t>FR-086</t>
        </is>
      </c>
      <c r="B246" s="45" t="inlineStr">
        <is>
          <t>Fragrance Catalogue</t>
        </is>
      </c>
      <c r="C246" s="45" t="inlineStr">
        <is>
          <t>Calvin klein</t>
        </is>
      </c>
      <c r="D246" s="45" t="inlineStr">
        <is>
          <t>Calvin Klein Eternity Parfum 10ml Miniature – Men's Warm Aromatic Fragrance</t>
        </is>
      </c>
      <c r="E246" s="45" t="inlineStr">
        <is>
          <t>10ml</t>
        </is>
      </c>
      <c r="F246" s="46" t="n">
        <v>18.99</v>
      </c>
      <c r="G246" s="45" t="inlineStr">
        <is>
          <t>calvin klein eternity parfum miniature</t>
        </is>
      </c>
      <c r="H246" s="47">
        <f>IFERROR(INDEX('Semrush Data'!$C$2:$C$5000,MATCH(G246,'Semrush Data'!$A$2:$A$5000,0)),"")</f>
        <v/>
      </c>
      <c r="I246" s="45">
        <f>IFERROR(INDEX('Semrush Data'!$D$2:$D$5000,MATCH(G246,'Semrush Data'!$A$2:$A$5000,0)),"")</f>
        <v/>
      </c>
      <c r="J246" s="45">
        <f>IF(OR(H246="",H246=0),"No volume",IF(I246&lt;=20,"Easier",IF(I246&lt;=35,"Medium","Hard")))</f>
        <v/>
      </c>
      <c r="K246" s="45" t="n"/>
      <c r="L246" s="47">
        <f>IF(K246="","",IFERROR(INDEX('Semrush Data'!$C$2:$C$5000,MATCH(K246,'Semrush Data'!$A$2:$A$5000,0)),""))</f>
        <v/>
      </c>
      <c r="M246" s="48" t="inlineStr">
        <is>
          <t>Calvin Klein Eternity Parfum Miniature</t>
        </is>
      </c>
      <c r="N246" s="45" t="inlineStr">
        <is>
          <t>Calvin Klein Eternity Parfum Miniature 10ml | Swansura UK</t>
        </is>
      </c>
      <c r="O246" s="45">
        <f>LEN(N246)</f>
        <v/>
      </c>
      <c r="P246" s="49" t="inlineStr">
        <is>
          <t>Buy Calvin Klein Eternity Parfum Miniature 10ml for £18.99 at Swansura UK. An aromatic men's parfum. 100% authentic, fast UK delivery, free over £50.</t>
        </is>
      </c>
      <c r="Q246" s="45">
        <f>LEN(P246)</f>
        <v/>
      </c>
      <c r="R246" s="49" t="n"/>
    </row>
    <row r="247" ht="23.25" customHeight="1" s="37">
      <c r="A247" s="45" t="inlineStr">
        <is>
          <t>FR-087</t>
        </is>
      </c>
      <c r="B247" s="45" t="inlineStr">
        <is>
          <t>Fragrance Catalogue</t>
        </is>
      </c>
      <c r="C247" s="45" t="inlineStr">
        <is>
          <t>Carolina Herrera</t>
        </is>
      </c>
      <c r="D247" s="45" t="inlineStr">
        <is>
          <t>Carolina Herrera 212 VIP Rosé Eau de Parfum 125ml – Women's Floral Fruity Fragrance</t>
        </is>
      </c>
      <c r="E247" s="45" t="inlineStr">
        <is>
          <t>125ml</t>
        </is>
      </c>
      <c r="F247" s="46" t="n">
        <v>74.98999999999999</v>
      </c>
      <c r="G247" s="45" t="inlineStr">
        <is>
          <t>carolina herrera 212 vip rose</t>
        </is>
      </c>
      <c r="H247" s="47">
        <f>IFERROR(INDEX('Semrush Data'!$C$2:$C$5000,MATCH(G247,'Semrush Data'!$A$2:$A$5000,0)),"")</f>
        <v/>
      </c>
      <c r="I247" s="45">
        <f>IFERROR(INDEX('Semrush Data'!$D$2:$D$5000,MATCH(G247,'Semrush Data'!$A$2:$A$5000,0)),"")</f>
        <v/>
      </c>
      <c r="J247" s="45">
        <f>IF(OR(H247="",H247=0),"No volume",IF(I247&lt;=20,"Easier",IF(I247&lt;=35,"Medium","Hard")))</f>
        <v/>
      </c>
      <c r="K247" s="45" t="inlineStr">
        <is>
          <t>carolina herrera 212 vip rose eau de parfum</t>
        </is>
      </c>
      <c r="L247" s="47">
        <f>IF(K247="","",IFERROR(INDEX('Semrush Data'!$C$2:$C$5000,MATCH(K247,'Semrush Data'!$A$2:$A$5000,0)),""))</f>
        <v/>
      </c>
      <c r="M247" s="48" t="inlineStr">
        <is>
          <t>Carolina Herrera 212 VIP Rosé Eau de Parfum</t>
        </is>
      </c>
      <c r="N247" s="45" t="inlineStr">
        <is>
          <t>Carolina Herrera 212 VIP Rosé EDP 125ml | Swansura UK</t>
        </is>
      </c>
      <c r="O247" s="45">
        <f>LEN(N247)</f>
        <v/>
      </c>
      <c r="P247" s="49" t="inlineStr">
        <is>
          <t>Buy Carolina Herrera 212 VIP Rosé Eau de Parfum 125ml for £74.99 at Swansura UK. A floral women's eau de parfum. 100% authentic, free UK delivery over £50.</t>
        </is>
      </c>
      <c r="Q247" s="45">
        <f>LEN(P247)</f>
        <v/>
      </c>
      <c r="R247" s="49" t="n"/>
    </row>
    <row r="248" ht="45.75" customHeight="1" s="37">
      <c r="A248" s="45" t="inlineStr">
        <is>
          <t>FR-088</t>
        </is>
      </c>
      <c r="B248" s="45" t="inlineStr">
        <is>
          <t>Fragrance Catalogue</t>
        </is>
      </c>
      <c r="C248" s="45" t="inlineStr">
        <is>
          <t>Carolina Herrera</t>
        </is>
      </c>
      <c r="D248" s="45" t="inlineStr">
        <is>
          <t>Carolina Herrera Bad Boy Extreme Eau de Parfum – Men's Warm Spicy Amber Fragrance</t>
        </is>
      </c>
      <c r="E248" s="45" t="inlineStr">
        <is>
          <t>50ml</t>
        </is>
      </c>
      <c r="F248" s="46" t="n">
        <v>19.99</v>
      </c>
      <c r="G248" s="45" t="inlineStr">
        <is>
          <t>carolina herrera bad boy extreme</t>
        </is>
      </c>
      <c r="H248" s="47">
        <f>IFERROR(INDEX('Semrush Data'!$C$2:$C$5000,MATCH(G248,'Semrush Data'!$A$2:$A$5000,0)),"")</f>
        <v/>
      </c>
      <c r="I248" s="45">
        <f>IFERROR(INDEX('Semrush Data'!$D$2:$D$5000,MATCH(G248,'Semrush Data'!$A$2:$A$5000,0)),"")</f>
        <v/>
      </c>
      <c r="J248" s="45">
        <f>IF(OR(H248="",H248=0),"No volume",IF(I248&lt;=20,"Easier",IF(I248&lt;=35,"Medium","Hard")))</f>
        <v/>
      </c>
      <c r="K248" s="45" t="inlineStr">
        <is>
          <t>carolina herrera bad boy extreme eau de parfum</t>
        </is>
      </c>
      <c r="L248" s="47">
        <f>IF(K248="","",IFERROR(INDEX('Semrush Data'!$C$2:$C$5000,MATCH(K248,'Semrush Data'!$A$2:$A$5000,0)),""))</f>
        <v/>
      </c>
      <c r="M248" s="48" t="inlineStr">
        <is>
          <t>Carolina Herrera Bad Boy Extreme Eau de Parfum 50ml</t>
        </is>
      </c>
      <c r="N248" s="45" t="inlineStr">
        <is>
          <t>Carolina Herrera Bad Boy Extreme 50ml EDP | Swansura UK</t>
        </is>
      </c>
      <c r="O248" s="45">
        <f>LEN(N248)</f>
        <v/>
      </c>
      <c r="P248" s="49" t="inlineStr">
        <is>
          <t>Carolina Herrera Bad Boy Extreme Eau de Parfum 50ml for £19.99 at Swansura UK. An amber men's eau de parfum. 100% authentic, fast UK delivery, free over £50.</t>
        </is>
      </c>
      <c r="Q248" s="45">
        <f>LEN(P248)</f>
        <v/>
      </c>
      <c r="R248" s="49" t="inlineStr">
        <is>
          <t>Shares the keyword "carolina herrera bad boy extreme" with 1 other listing(s): consider merging sizes as variants of one product; Same name and size listed at different prices (£19.99, £50.99): check size/price in the sheet</t>
        </is>
      </c>
    </row>
    <row r="249" ht="45.75" customHeight="1" s="37">
      <c r="A249" s="45" t="inlineStr">
        <is>
          <t>FR-089</t>
        </is>
      </c>
      <c r="B249" s="45" t="inlineStr">
        <is>
          <t>Fragrance Catalogue</t>
        </is>
      </c>
      <c r="C249" s="45" t="inlineStr">
        <is>
          <t>Carolina Herrera</t>
        </is>
      </c>
      <c r="D249" s="45" t="inlineStr">
        <is>
          <t>Carolina Herrera Bad Boy Extreme Eau de Parfum – Men's Warm Spicy Amber Fragrance</t>
        </is>
      </c>
      <c r="E249" s="45" t="inlineStr">
        <is>
          <t>50ml</t>
        </is>
      </c>
      <c r="F249" s="46" t="n">
        <v>50.99</v>
      </c>
      <c r="G249" s="45" t="inlineStr">
        <is>
          <t>carolina herrera bad boy extreme</t>
        </is>
      </c>
      <c r="H249" s="47">
        <f>IFERROR(INDEX('Semrush Data'!$C$2:$C$5000,MATCH(G249,'Semrush Data'!$A$2:$A$5000,0)),"")</f>
        <v/>
      </c>
      <c r="I249" s="45">
        <f>IFERROR(INDEX('Semrush Data'!$D$2:$D$5000,MATCH(G249,'Semrush Data'!$A$2:$A$5000,0)),"")</f>
        <v/>
      </c>
      <c r="J249" s="45">
        <f>IF(OR(H249="",H249=0),"No volume",IF(I249&lt;=20,"Easier",IF(I249&lt;=35,"Medium","Hard")))</f>
        <v/>
      </c>
      <c r="K249" s="45" t="inlineStr">
        <is>
          <t>carolina herrera bad boy extreme eau de parfum</t>
        </is>
      </c>
      <c r="L249" s="47">
        <f>IF(K249="","",IFERROR(INDEX('Semrush Data'!$C$2:$C$5000,MATCH(K249,'Semrush Data'!$A$2:$A$5000,0)),""))</f>
        <v/>
      </c>
      <c r="M249" s="48" t="inlineStr">
        <is>
          <t>Carolina Herrera Bad Boy Extreme Eau de Parfum 50ml</t>
        </is>
      </c>
      <c r="N249" s="45" t="inlineStr">
        <is>
          <t>Carolina Herrera Bad Boy Extreme 50ml EDP | Swansura UK</t>
        </is>
      </c>
      <c r="O249" s="45">
        <f>LEN(N249)</f>
        <v/>
      </c>
      <c r="P249" s="49" t="inlineStr">
        <is>
          <t>Carolina Herrera Bad Boy Extreme Eau de Parfum 50ml for £50.99 at Swansura UK. An amber men's eau de parfum. 100% authentic, fast UK delivery, free over £50.</t>
        </is>
      </c>
      <c r="Q249" s="45">
        <f>LEN(P249)</f>
        <v/>
      </c>
      <c r="R249" s="49" t="inlineStr">
        <is>
          <t>Shares the keyword "carolina herrera bad boy extreme" with 1 other listing(s): consider merging sizes as variants of one product; Same name and size listed at different prices (£19.99, £50.99): check size/price in the sheet</t>
        </is>
      </c>
    </row>
    <row r="250" ht="23.25" customHeight="1" s="37">
      <c r="A250" s="45" t="inlineStr">
        <is>
          <t>FR-090</t>
        </is>
      </c>
      <c r="B250" s="45" t="inlineStr">
        <is>
          <t>Fragrance Catalogue</t>
        </is>
      </c>
      <c r="C250" s="45" t="inlineStr">
        <is>
          <t>Carolina Herrera</t>
        </is>
      </c>
      <c r="D250" s="45" t="inlineStr">
        <is>
          <t>Carolina Herrera Bad Boy Le Parfum Eau de Parfum 10ml – Men's Woody Aromatic Fragrance</t>
        </is>
      </c>
      <c r="E250" s="45" t="inlineStr">
        <is>
          <t>10ml</t>
        </is>
      </c>
      <c r="F250" s="46" t="n">
        <v>19.99</v>
      </c>
      <c r="G250" s="45" t="inlineStr">
        <is>
          <t>carolina herrera bad boy le</t>
        </is>
      </c>
      <c r="H250" s="47">
        <f>IFERROR(INDEX('Semrush Data'!$C$2:$C$5000,MATCH(G250,'Semrush Data'!$A$2:$A$5000,0)),"")</f>
        <v/>
      </c>
      <c r="I250" s="45">
        <f>IFERROR(INDEX('Semrush Data'!$D$2:$D$5000,MATCH(G250,'Semrush Data'!$A$2:$A$5000,0)),"")</f>
        <v/>
      </c>
      <c r="J250" s="45">
        <f>IF(OR(H250="",H250=0),"No volume",IF(I250&lt;=20,"Easier",IF(I250&lt;=35,"Medium","Hard")))</f>
        <v/>
      </c>
      <c r="K250" s="45" t="n"/>
      <c r="L250" s="47">
        <f>IF(K250="","",IFERROR(INDEX('Semrush Data'!$C$2:$C$5000,MATCH(K250,'Semrush Data'!$A$2:$A$5000,0)),""))</f>
        <v/>
      </c>
      <c r="M250" s="48" t="inlineStr">
        <is>
          <t>Carolina Herrera Bad Boy Le Parfum Eau de Parfum 10ml</t>
        </is>
      </c>
      <c r="N250" s="45" t="inlineStr">
        <is>
          <t>Carolina Herrera Bad Boy Le 10ml EDP | Swansura UK</t>
        </is>
      </c>
      <c r="O250" s="45">
        <f>LEN(N250)</f>
        <v/>
      </c>
      <c r="P250" s="49" t="inlineStr">
        <is>
          <t>Carolina Herrera Bad Boy Le Parfum Eau de Parfum 10ml for £19.99 at Swansura UK. A woody men's eau de parfum. 100% authentic, fast UK delivery, free over £50.</t>
        </is>
      </c>
      <c r="Q250" s="45">
        <f>LEN(P250)</f>
        <v/>
      </c>
      <c r="R250" s="49" t="inlineStr">
        <is>
          <t>Shares the keyword "carolina herrera bad boy le" with 1 other listing(s): consider merging sizes as variants of one product</t>
        </is>
      </c>
    </row>
    <row r="251" ht="23.25" customHeight="1" s="37">
      <c r="A251" s="45" t="inlineStr">
        <is>
          <t>FR-091</t>
        </is>
      </c>
      <c r="B251" s="45" t="inlineStr">
        <is>
          <t>Fragrance Catalogue</t>
        </is>
      </c>
      <c r="C251" s="45" t="inlineStr">
        <is>
          <t>Carolina Herrera</t>
        </is>
      </c>
      <c r="D251" s="45" t="inlineStr">
        <is>
          <t>Carolina Herrera Bad Boy Le Parfum Eau de Parfum 150ml – Men's Woody Aromatic Fragrance</t>
        </is>
      </c>
      <c r="E251" s="45" t="inlineStr">
        <is>
          <t>150ml</t>
        </is>
      </c>
      <c r="F251" s="46" t="n">
        <v>76.98999999999999</v>
      </c>
      <c r="G251" s="45" t="inlineStr">
        <is>
          <t>carolina herrera bad boy le</t>
        </is>
      </c>
      <c r="H251" s="47">
        <f>IFERROR(INDEX('Semrush Data'!$C$2:$C$5000,MATCH(G251,'Semrush Data'!$A$2:$A$5000,0)),"")</f>
        <v/>
      </c>
      <c r="I251" s="45">
        <f>IFERROR(INDEX('Semrush Data'!$D$2:$D$5000,MATCH(G251,'Semrush Data'!$A$2:$A$5000,0)),"")</f>
        <v/>
      </c>
      <c r="J251" s="45">
        <f>IF(OR(H251="",H251=0),"No volume",IF(I251&lt;=20,"Easier",IF(I251&lt;=35,"Medium","Hard")))</f>
        <v/>
      </c>
      <c r="K251" s="45" t="n"/>
      <c r="L251" s="47">
        <f>IF(K251="","",IFERROR(INDEX('Semrush Data'!$C$2:$C$5000,MATCH(K251,'Semrush Data'!$A$2:$A$5000,0)),""))</f>
        <v/>
      </c>
      <c r="M251" s="48" t="inlineStr">
        <is>
          <t>Carolina Herrera Bad Boy Le Parfum Eau de Parfum 150ml</t>
        </is>
      </c>
      <c r="N251" s="45" t="inlineStr">
        <is>
          <t>Carolina Herrera Bad Boy Le 150ml EDP | Swansura UK</t>
        </is>
      </c>
      <c r="O251" s="45">
        <f>LEN(N251)</f>
        <v/>
      </c>
      <c r="P251" s="49" t="inlineStr">
        <is>
          <t>Carolina Herrera Bad Boy Le Parfum Eau de Parfum 150ml for £76.99 at Swansura UK. A woody men's eau de parfum. 100% authentic, fast UK delivery, free over £50.</t>
        </is>
      </c>
      <c r="Q251" s="45">
        <f>LEN(P251)</f>
        <v/>
      </c>
      <c r="R251" s="49" t="inlineStr">
        <is>
          <t>Shares the keyword "carolina herrera bad boy le" with 1 other listing(s): consider merging sizes as variants of one product</t>
        </is>
      </c>
    </row>
    <row r="252" ht="23.25" customHeight="1" s="37">
      <c r="A252" s="45" t="inlineStr">
        <is>
          <t>FR-092</t>
        </is>
      </c>
      <c r="B252" s="45" t="inlineStr">
        <is>
          <t>Fragrance Catalogue</t>
        </is>
      </c>
      <c r="C252" s="45" t="inlineStr">
        <is>
          <t>Carolina Herrera</t>
        </is>
      </c>
      <c r="D252" s="45" t="inlineStr">
        <is>
          <t>Carolina Herrera 212 Sexy Men Eau de Toilette 100ml – Men's Warm Spicy Fragrance</t>
        </is>
      </c>
      <c r="E252" s="45" t="inlineStr">
        <is>
          <t>100ml</t>
        </is>
      </c>
      <c r="F252" s="46" t="n">
        <v>54.99</v>
      </c>
      <c r="G252" s="45" t="inlineStr">
        <is>
          <t>carolina herrera 212 sexy men</t>
        </is>
      </c>
      <c r="H252" s="47">
        <f>IFERROR(INDEX('Semrush Data'!$C$2:$C$5000,MATCH(G252,'Semrush Data'!$A$2:$A$5000,0)),"")</f>
        <v/>
      </c>
      <c r="I252" s="45">
        <f>IFERROR(INDEX('Semrush Data'!$D$2:$D$5000,MATCH(G252,'Semrush Data'!$A$2:$A$5000,0)),"")</f>
        <v/>
      </c>
      <c r="J252" s="45">
        <f>IF(OR(H252="",H252=0),"No volume",IF(I252&lt;=20,"Easier",IF(I252&lt;=35,"Medium","Hard")))</f>
        <v/>
      </c>
      <c r="K252" s="45" t="inlineStr">
        <is>
          <t>carolina herrera 212 sexy men eau de toilette</t>
        </is>
      </c>
      <c r="L252" s="47">
        <f>IF(K252="","",IFERROR(INDEX('Semrush Data'!$C$2:$C$5000,MATCH(K252,'Semrush Data'!$A$2:$A$5000,0)),""))</f>
        <v/>
      </c>
      <c r="M252" s="48" t="inlineStr">
        <is>
          <t>Carolina Herrera 212 Sexy Men Eau de Toilette</t>
        </is>
      </c>
      <c r="N252" s="45" t="inlineStr">
        <is>
          <t>Carolina Herrera 212 Sexy Men EDT 100ml | Swansura UK</t>
        </is>
      </c>
      <c r="O252" s="45">
        <f>LEN(N252)</f>
        <v/>
      </c>
      <c r="P252" s="49" t="inlineStr">
        <is>
          <t>Buy Carolina Herrera 212 Sexy Men Eau de Toilette 100ml for £54.99 at Swansura UK. A spicy men's eau de toilette. 100% authentic, free UK delivery over £50.</t>
        </is>
      </c>
      <c r="Q252" s="45">
        <f>LEN(P252)</f>
        <v/>
      </c>
      <c r="R252" s="49" t="n"/>
    </row>
    <row r="253" ht="23.25" customHeight="1" s="37">
      <c r="A253" s="45" t="inlineStr">
        <is>
          <t>FR-093</t>
        </is>
      </c>
      <c r="B253" s="45" t="inlineStr">
        <is>
          <t>Fragrance Catalogue</t>
        </is>
      </c>
      <c r="C253" s="45" t="inlineStr">
        <is>
          <t>Carolina Herrera</t>
        </is>
      </c>
      <c r="D253" s="45" t="inlineStr">
        <is>
          <t>Carolina Herrera 212 VIP Men Eau de Toilette 100ml – Men's Aromatic Woody Fragrance</t>
        </is>
      </c>
      <c r="E253" s="45" t="inlineStr">
        <is>
          <t>100ml</t>
        </is>
      </c>
      <c r="F253" s="46" t="n">
        <v>55.99</v>
      </c>
      <c r="G253" s="45" t="inlineStr">
        <is>
          <t>carolina herrera 212 vip men</t>
        </is>
      </c>
      <c r="H253" s="47">
        <f>IFERROR(INDEX('Semrush Data'!$C$2:$C$5000,MATCH(G253,'Semrush Data'!$A$2:$A$5000,0)),"")</f>
        <v/>
      </c>
      <c r="I253" s="45">
        <f>IFERROR(INDEX('Semrush Data'!$D$2:$D$5000,MATCH(G253,'Semrush Data'!$A$2:$A$5000,0)),"")</f>
        <v/>
      </c>
      <c r="J253" s="45">
        <f>IF(OR(H253="",H253=0),"No volume",IF(I253&lt;=20,"Easier",IF(I253&lt;=35,"Medium","Hard")))</f>
        <v/>
      </c>
      <c r="K253" s="45" t="inlineStr">
        <is>
          <t>carolina herrera 212 vip men eau de toilette</t>
        </is>
      </c>
      <c r="L253" s="47">
        <f>IF(K253="","",IFERROR(INDEX('Semrush Data'!$C$2:$C$5000,MATCH(K253,'Semrush Data'!$A$2:$A$5000,0)),""))</f>
        <v/>
      </c>
      <c r="M253" s="48" t="inlineStr">
        <is>
          <t>Carolina Herrera 212 VIP Men Eau de Toilette</t>
        </is>
      </c>
      <c r="N253" s="45" t="inlineStr">
        <is>
          <t>Carolina Herrera 212 VIP Men EDT 100ml | Swansura UK</t>
        </is>
      </c>
      <c r="O253" s="45">
        <f>LEN(N253)</f>
        <v/>
      </c>
      <c r="P253" s="49" t="inlineStr">
        <is>
          <t>Buy Carolina Herrera 212 VIP Men Eau de Toilette 100ml for £55.99 at Swansura UK. A woody men's eau de toilette. 100% authentic, free UK delivery over £50.</t>
        </is>
      </c>
      <c r="Q253" s="45">
        <f>LEN(P253)</f>
        <v/>
      </c>
      <c r="R253" s="49" t="n"/>
    </row>
    <row r="254" ht="23.25" customHeight="1" s="37">
      <c r="A254" s="45" t="inlineStr">
        <is>
          <t>FR-094</t>
        </is>
      </c>
      <c r="B254" s="45" t="inlineStr">
        <is>
          <t>Fragrance Catalogue</t>
        </is>
      </c>
      <c r="C254" s="45" t="inlineStr">
        <is>
          <t>Carolina Herrera</t>
        </is>
      </c>
      <c r="D254" s="45" t="inlineStr">
        <is>
          <t>Carolina Herrera Very Good Girl Glam Parfum 50ml – Women's Floral Fruity Gourmand Fragrance</t>
        </is>
      </c>
      <c r="E254" s="45" t="inlineStr">
        <is>
          <t>50ml</t>
        </is>
      </c>
      <c r="F254" s="46" t="n">
        <v>62.99</v>
      </c>
      <c r="G254" s="45" t="inlineStr">
        <is>
          <t>carolina herrera very good girl glam</t>
        </is>
      </c>
      <c r="H254" s="47">
        <f>IFERROR(INDEX('Semrush Data'!$C$2:$C$5000,MATCH(G254,'Semrush Data'!$A$2:$A$5000,0)),"")</f>
        <v/>
      </c>
      <c r="I254" s="45">
        <f>IFERROR(INDEX('Semrush Data'!$D$2:$D$5000,MATCH(G254,'Semrush Data'!$A$2:$A$5000,0)),"")</f>
        <v/>
      </c>
      <c r="J254" s="45">
        <f>IF(OR(H254="",H254=0),"No volume",IF(I254&lt;=20,"Easier",IF(I254&lt;=35,"Medium","Hard")))</f>
        <v/>
      </c>
      <c r="K254" s="45" t="inlineStr">
        <is>
          <t>carolina herrera very good girl glam parfum</t>
        </is>
      </c>
      <c r="L254" s="47">
        <f>IF(K254="","",IFERROR(INDEX('Semrush Data'!$C$2:$C$5000,MATCH(K254,'Semrush Data'!$A$2:$A$5000,0)),""))</f>
        <v/>
      </c>
      <c r="M254" s="48" t="inlineStr">
        <is>
          <t>Carolina Herrera Very Good Girl Glam Parfum</t>
        </is>
      </c>
      <c r="N254" s="45" t="inlineStr">
        <is>
          <t>Carolina Herrera Very Good Girl Glam Parfum | Swansura UK</t>
        </is>
      </c>
      <c r="O254" s="45">
        <f>LEN(N254)</f>
        <v/>
      </c>
      <c r="P254" s="49" t="inlineStr">
        <is>
          <t>Buy Carolina Herrera Very Good Girl Glam Parfum 50ml for £62.99 at Swansura UK. A floral women's parfum. 100% authentic, fast UK delivery, free over £50.</t>
        </is>
      </c>
      <c r="Q254" s="45">
        <f>LEN(P254)</f>
        <v/>
      </c>
      <c r="R254" s="49" t="n"/>
    </row>
    <row r="255" ht="23.25" customHeight="1" s="37">
      <c r="A255" s="45" t="inlineStr">
        <is>
          <t>FR-095</t>
        </is>
      </c>
      <c r="B255" s="45" t="inlineStr">
        <is>
          <t>Fragrance Catalogue</t>
        </is>
      </c>
      <c r="C255" s="45" t="inlineStr">
        <is>
          <t>Chloe</t>
        </is>
      </c>
      <c r="D255" s="45" t="inlineStr">
        <is>
          <t>Chloé Nomade Eau de Parfum 50ml – Women's Floral Chypre Fragrance</t>
        </is>
      </c>
      <c r="E255" s="45" t="inlineStr">
        <is>
          <t>50ml</t>
        </is>
      </c>
      <c r="F255" s="46" t="n">
        <v>51.99</v>
      </c>
      <c r="G255" s="45" t="inlineStr">
        <is>
          <t>chloe nomade</t>
        </is>
      </c>
      <c r="H255" s="47">
        <f>IFERROR(INDEX('Semrush Data'!$C$2:$C$5000,MATCH(G255,'Semrush Data'!$A$2:$A$5000,0)),"")</f>
        <v/>
      </c>
      <c r="I255" s="45">
        <f>IFERROR(INDEX('Semrush Data'!$D$2:$D$5000,MATCH(G255,'Semrush Data'!$A$2:$A$5000,0)),"")</f>
        <v/>
      </c>
      <c r="J255" s="45">
        <f>IF(OR(H255="",H255=0),"No volume",IF(I255&lt;=20,"Easier",IF(I255&lt;=35,"Medium","Hard")))</f>
        <v/>
      </c>
      <c r="K255" s="45" t="inlineStr">
        <is>
          <t>chloe nomade perfume</t>
        </is>
      </c>
      <c r="L255" s="47">
        <f>IF(K255="","",IFERROR(INDEX('Semrush Data'!$C$2:$C$5000,MATCH(K255,'Semrush Data'!$A$2:$A$5000,0)),""))</f>
        <v/>
      </c>
      <c r="M255" s="48" t="inlineStr">
        <is>
          <t>Chloé Nomade Eau de Parfum</t>
        </is>
      </c>
      <c r="N255" s="45" t="inlineStr">
        <is>
          <t>Chloé Nomade Eau de Parfum 50ml | Buy Online UK | Swansura</t>
        </is>
      </c>
      <c r="O255" s="45">
        <f>LEN(N255)</f>
        <v/>
      </c>
      <c r="P255" s="49" t="inlineStr">
        <is>
          <t>Buy Chloé Nomade Eau de Parfum 50ml for £51.99 at Swansura UK. A floral women's eau de parfum. 100% authentic, fast UK delivery, free over £50.</t>
        </is>
      </c>
      <c r="Q255" s="45">
        <f>LEN(P255)</f>
        <v/>
      </c>
      <c r="R255" s="49" t="inlineStr">
        <is>
          <t>Spelling: Chloé</t>
        </is>
      </c>
    </row>
    <row r="256" ht="23.25" customHeight="1" s="37">
      <c r="A256" s="45" t="inlineStr">
        <is>
          <t>FR-096</t>
        </is>
      </c>
      <c r="B256" s="45" t="inlineStr">
        <is>
          <t>Fragrance Catalogue</t>
        </is>
      </c>
      <c r="C256" s="45" t="inlineStr">
        <is>
          <t>Chloe</t>
        </is>
      </c>
      <c r="D256" s="45" t="inlineStr">
        <is>
          <t>Chloé Nomade Jasmin Naturel Intense Eau de Parfum – Women's Floral Woody Fragrance</t>
        </is>
      </c>
      <c r="E256" s="45" t="inlineStr">
        <is>
          <t>50ml</t>
        </is>
      </c>
      <c r="F256" s="46" t="n">
        <v>43.99</v>
      </c>
      <c r="G256" s="45" t="inlineStr">
        <is>
          <t>chloe nomade jasmin naturel intense</t>
        </is>
      </c>
      <c r="H256" s="47">
        <f>IFERROR(INDEX('Semrush Data'!$C$2:$C$5000,MATCH(G256,'Semrush Data'!$A$2:$A$5000,0)),"")</f>
        <v/>
      </c>
      <c r="I256" s="45">
        <f>IFERROR(INDEX('Semrush Data'!$D$2:$D$5000,MATCH(G256,'Semrush Data'!$A$2:$A$5000,0)),"")</f>
        <v/>
      </c>
      <c r="J256" s="45">
        <f>IF(OR(H256="",H256=0),"No volume",IF(I256&lt;=20,"Easier",IF(I256&lt;=35,"Medium","Hard")))</f>
        <v/>
      </c>
      <c r="K256" s="45" t="n"/>
      <c r="L256" s="47">
        <f>IF(K256="","",IFERROR(INDEX('Semrush Data'!$C$2:$C$5000,MATCH(K256,'Semrush Data'!$A$2:$A$5000,0)),""))</f>
        <v/>
      </c>
      <c r="M256" s="48" t="inlineStr">
        <is>
          <t>Chloé Nomade Jasmin Naturel Intense Eau de Parfum</t>
        </is>
      </c>
      <c r="N256" s="45" t="inlineStr">
        <is>
          <t>Chloé Nomade Jasmin Naturel Intense EDP 50ml | Swansura UK</t>
        </is>
      </c>
      <c r="O256" s="45">
        <f>LEN(N256)</f>
        <v/>
      </c>
      <c r="P256" s="49" t="inlineStr">
        <is>
          <t>Buy Chloé Nomade Jasmin Naturel Intense Eau de Parfum 50ml for £43.99 at Swansura UK. A floral women's eau de parfum. 100% authentic, free UK delivery over £50.</t>
        </is>
      </c>
      <c r="Q256" s="45">
        <f>LEN(P256)</f>
        <v/>
      </c>
      <c r="R256" s="49" t="inlineStr">
        <is>
          <t>Spelling: Chloé</t>
        </is>
      </c>
    </row>
    <row r="257" ht="23.25" customHeight="1" s="37">
      <c r="A257" s="45" t="inlineStr">
        <is>
          <t>FR-097</t>
        </is>
      </c>
      <c r="B257" s="45" t="inlineStr">
        <is>
          <t>Fragrance Catalogue</t>
        </is>
      </c>
      <c r="C257" s="45" t="inlineStr">
        <is>
          <t>Chloe</t>
        </is>
      </c>
      <c r="D257" s="45" t="inlineStr">
        <is>
          <t>Chloé Nomade Nuit d'Égypte Eau de Parfum 50ml – Women's Warm Spicy Floral Fragrance</t>
        </is>
      </c>
      <c r="E257" s="45" t="inlineStr">
        <is>
          <t>50ml</t>
        </is>
      </c>
      <c r="F257" s="46" t="n">
        <v>55.99</v>
      </c>
      <c r="G257" s="45" t="inlineStr">
        <is>
          <t>chloe nomade nuit d'egypte</t>
        </is>
      </c>
      <c r="H257" s="47">
        <f>IFERROR(INDEX('Semrush Data'!$C$2:$C$5000,MATCH(G257,'Semrush Data'!$A$2:$A$5000,0)),"")</f>
        <v/>
      </c>
      <c r="I257" s="45">
        <f>IFERROR(INDEX('Semrush Data'!$D$2:$D$5000,MATCH(G257,'Semrush Data'!$A$2:$A$5000,0)),"")</f>
        <v/>
      </c>
      <c r="J257" s="45">
        <f>IF(OR(H257="",H257=0),"No volume",IF(I257&lt;=20,"Easier",IF(I257&lt;=35,"Medium","Hard")))</f>
        <v/>
      </c>
      <c r="K257" s="45" t="inlineStr">
        <is>
          <t>chloe nomade nuit d'egypte eau de parfum</t>
        </is>
      </c>
      <c r="L257" s="47">
        <f>IF(K257="","",IFERROR(INDEX('Semrush Data'!$C$2:$C$5000,MATCH(K257,'Semrush Data'!$A$2:$A$5000,0)),""))</f>
        <v/>
      </c>
      <c r="M257" s="48" t="inlineStr">
        <is>
          <t>Chloé Nomade Nuit D'Égypte Eau de Parfum</t>
        </is>
      </c>
      <c r="N257" s="45" t="inlineStr">
        <is>
          <t>Chloé Nomade Nuit D'Égypte Eau de Parfum 50ml | Swansura UK</t>
        </is>
      </c>
      <c r="O257" s="45">
        <f>LEN(N257)</f>
        <v/>
      </c>
      <c r="P257" s="49" t="inlineStr">
        <is>
          <t>Buy Chloé Nomade Nuit D'Égypte Eau de Parfum 50ml for £55.99 at Swansura UK. A floral women's eau de parfum. 100% authentic, fast UK delivery, free over £50.</t>
        </is>
      </c>
      <c r="Q257" s="45">
        <f>LEN(P257)</f>
        <v/>
      </c>
      <c r="R257" s="49" t="inlineStr">
        <is>
          <t>Spelling: Chloé</t>
        </is>
      </c>
    </row>
    <row r="258" ht="23.25" customHeight="1" s="37">
      <c r="A258" s="45" t="inlineStr">
        <is>
          <t>FR-098</t>
        </is>
      </c>
      <c r="B258" s="45" t="inlineStr">
        <is>
          <t>Fragrance Catalogue</t>
        </is>
      </c>
      <c r="C258" s="45" t="inlineStr">
        <is>
          <t>Chloe</t>
        </is>
      </c>
      <c r="D258" s="45" t="inlineStr">
        <is>
          <t>Chloé Rose Naturelle Intense Eau de Parfum 50ml – Women's Floral Woody Fragrance</t>
        </is>
      </c>
      <c r="E258" s="45" t="inlineStr">
        <is>
          <t>50ml</t>
        </is>
      </c>
      <c r="F258" s="46" t="n">
        <v>43.99</v>
      </c>
      <c r="G258" s="45" t="inlineStr">
        <is>
          <t>chloe rose naturelle intense</t>
        </is>
      </c>
      <c r="H258" s="47">
        <f>IFERROR(INDEX('Semrush Data'!$C$2:$C$5000,MATCH(G258,'Semrush Data'!$A$2:$A$5000,0)),"")</f>
        <v/>
      </c>
      <c r="I258" s="45">
        <f>IFERROR(INDEX('Semrush Data'!$D$2:$D$5000,MATCH(G258,'Semrush Data'!$A$2:$A$5000,0)),"")</f>
        <v/>
      </c>
      <c r="J258" s="45">
        <f>IF(OR(H258="",H258=0),"No volume",IF(I258&lt;=20,"Easier",IF(I258&lt;=35,"Medium","Hard")))</f>
        <v/>
      </c>
      <c r="K258" s="45" t="inlineStr">
        <is>
          <t>chloe rose naturelle intense eau de parfum</t>
        </is>
      </c>
      <c r="L258" s="47">
        <f>IF(K258="","",IFERROR(INDEX('Semrush Data'!$C$2:$C$5000,MATCH(K258,'Semrush Data'!$A$2:$A$5000,0)),""))</f>
        <v/>
      </c>
      <c r="M258" s="48" t="inlineStr">
        <is>
          <t>Chloé Rose Naturelle Intense Eau de Parfum</t>
        </is>
      </c>
      <c r="N258" s="45" t="inlineStr">
        <is>
          <t>Chloé Rose Naturelle Intense EDP 50ml | Swansura UK</t>
        </is>
      </c>
      <c r="O258" s="45">
        <f>LEN(N258)</f>
        <v/>
      </c>
      <c r="P258" s="49" t="inlineStr">
        <is>
          <t>Buy Chloé Rose Naturelle Intense Eau de Parfum 50ml for £43.99 at Swansura UK. A floral women's eau de parfum. 100% authentic, fast UK delivery, free over £50.</t>
        </is>
      </c>
      <c r="Q258" s="45">
        <f>LEN(P258)</f>
        <v/>
      </c>
      <c r="R258" s="49" t="inlineStr">
        <is>
          <t>Spelling: Chloé</t>
        </is>
      </c>
    </row>
    <row r="259" ht="23.25" customHeight="1" s="37">
      <c r="A259" s="45" t="inlineStr">
        <is>
          <t>FR-099</t>
        </is>
      </c>
      <c r="B259" s="45" t="inlineStr">
        <is>
          <t>Fragrance Catalogue</t>
        </is>
      </c>
      <c r="C259" s="45" t="inlineStr">
        <is>
          <t>Chloe</t>
        </is>
      </c>
      <c r="D259" s="45" t="inlineStr">
        <is>
          <t>Chloé Nomade Eau de Parfum Gift Set 75ml + 20ml Travel Spray – Women's Floral Chypre Fragrance Set</t>
        </is>
      </c>
      <c r="E259" s="45" t="inlineStr">
        <is>
          <t>75ml</t>
        </is>
      </c>
      <c r="F259" s="46" t="n">
        <v>66.98999999999999</v>
      </c>
      <c r="G259" s="45" t="inlineStr">
        <is>
          <t>chloe nomade gift set</t>
        </is>
      </c>
      <c r="H259" s="47">
        <f>IFERROR(INDEX('Semrush Data'!$C$2:$C$5000,MATCH(G259,'Semrush Data'!$A$2:$A$5000,0)),"")</f>
        <v/>
      </c>
      <c r="I259" s="45">
        <f>IFERROR(INDEX('Semrush Data'!$D$2:$D$5000,MATCH(G259,'Semrush Data'!$A$2:$A$5000,0)),"")</f>
        <v/>
      </c>
      <c r="J259" s="45">
        <f>IF(OR(H259="",H259=0),"No volume",IF(I259&lt;=20,"Easier",IF(I259&lt;=35,"Medium","Hard")))</f>
        <v/>
      </c>
      <c r="K259" s="45" t="n"/>
      <c r="L259" s="47">
        <f>IF(K259="","",IFERROR(INDEX('Semrush Data'!$C$2:$C$5000,MATCH(K259,'Semrush Data'!$A$2:$A$5000,0)),""))</f>
        <v/>
      </c>
      <c r="M259" s="48" t="inlineStr">
        <is>
          <t>Chloé Nomade Eau de Parfum Gift Set</t>
        </is>
      </c>
      <c r="N259" s="45" t="inlineStr">
        <is>
          <t>Chloé Nomade Eau de Parfum Gift Set 75ml | Swansura UK</t>
        </is>
      </c>
      <c r="O259" s="45">
        <f>LEN(N259)</f>
        <v/>
      </c>
      <c r="P259" s="49" t="inlineStr">
        <is>
          <t>Buy Chloé Nomade Eau de Parfum Gift Set 75ml for £66.99 at Swansura UK. A floral women's eau de parfum. 100% authentic, fast UK delivery, free over £50.</t>
        </is>
      </c>
      <c r="Q259" s="45">
        <f>LEN(P259)</f>
        <v/>
      </c>
      <c r="R259" s="49" t="inlineStr">
        <is>
          <t>Spelling: Chloé</t>
        </is>
      </c>
    </row>
    <row r="260" ht="23.25" customHeight="1" s="37">
      <c r="A260" s="45" t="inlineStr">
        <is>
          <t>FR-100</t>
        </is>
      </c>
      <c r="B260" s="45" t="inlineStr">
        <is>
          <t>Fragrance Catalogue</t>
        </is>
      </c>
      <c r="C260" s="45" t="inlineStr">
        <is>
          <t>Chloe</t>
        </is>
      </c>
      <c r="D260" s="45" t="inlineStr">
        <is>
          <t>Chloé Women's Miniature Eau de Parfum Gift Set – Chloé EDP 20ml + Nomade EDP 20ml</t>
        </is>
      </c>
      <c r="E260" s="45" t="inlineStr">
        <is>
          <t>20ml</t>
        </is>
      </c>
      <c r="F260" s="46" t="n">
        <v>48.99</v>
      </c>
      <c r="G260" s="45" t="inlineStr">
        <is>
          <t>chloe miniature gift set</t>
        </is>
      </c>
      <c r="H260" s="47">
        <f>IFERROR(INDEX('Semrush Data'!$C$2:$C$5000,MATCH(G260,'Semrush Data'!$A$2:$A$5000,0)),"")</f>
        <v/>
      </c>
      <c r="I260" s="45">
        <f>IFERROR(INDEX('Semrush Data'!$D$2:$D$5000,MATCH(G260,'Semrush Data'!$A$2:$A$5000,0)),"")</f>
        <v/>
      </c>
      <c r="J260" s="45">
        <f>IF(OR(H260="",H260=0),"No volume",IF(I260&lt;=20,"Easier",IF(I260&lt;=35,"Medium","Hard")))</f>
        <v/>
      </c>
      <c r="K260" s="45" t="n"/>
      <c r="L260" s="47">
        <f>IF(K260="","",IFERROR(INDEX('Semrush Data'!$C$2:$C$5000,MATCH(K260,'Semrush Data'!$A$2:$A$5000,0)),""))</f>
        <v/>
      </c>
      <c r="M260" s="48" t="inlineStr">
        <is>
          <t>Chloé Women's Miniature Eau de Parfum Gift Set</t>
        </is>
      </c>
      <c r="N260" s="45" t="inlineStr">
        <is>
          <t>Chloé Women's Miniature Gift Set EDP 20ml | Swansura UK</t>
        </is>
      </c>
      <c r="O260" s="45">
        <f>LEN(N260)</f>
        <v/>
      </c>
      <c r="P260" s="49" t="inlineStr">
        <is>
          <t>Buy Chloé Women's Miniature Eau de Parfum Gift Set for £48.99 at Swansura UK. A woody women's eau de parfum. 100% authentic, fast UK delivery, free over £50.</t>
        </is>
      </c>
      <c r="Q260" s="45">
        <f>LEN(P260)</f>
        <v/>
      </c>
      <c r="R260" s="49" t="inlineStr">
        <is>
          <t>Spelling: Chloé</t>
        </is>
      </c>
    </row>
    <row r="261" ht="23.25" customHeight="1" s="37">
      <c r="A261" s="45" t="inlineStr">
        <is>
          <t>FR-101</t>
        </is>
      </c>
      <c r="B261" s="45" t="inlineStr">
        <is>
          <t>Fragrance Catalogue</t>
        </is>
      </c>
      <c r="C261" s="45" t="inlineStr">
        <is>
          <t>Chloe</t>
        </is>
      </c>
      <c r="D261" s="45" t="inlineStr">
        <is>
          <t>Chloé Women's Miniature Perfume Set 4x5ml – Nomade EDT, Rose Tangerine EDT, Chloé EDP &amp; Nomade EDP</t>
        </is>
      </c>
      <c r="E261" s="45" t="inlineStr">
        <is>
          <t>4x5ml</t>
        </is>
      </c>
      <c r="F261" s="46" t="n">
        <v>45.99</v>
      </c>
      <c r="G261" s="45" t="inlineStr">
        <is>
          <t>chloe miniature set</t>
        </is>
      </c>
      <c r="H261" s="47">
        <f>IFERROR(INDEX('Semrush Data'!$C$2:$C$5000,MATCH(G261,'Semrush Data'!$A$2:$A$5000,0)),"")</f>
        <v/>
      </c>
      <c r="I261" s="45">
        <f>IFERROR(INDEX('Semrush Data'!$D$2:$D$5000,MATCH(G261,'Semrush Data'!$A$2:$A$5000,0)),"")</f>
        <v/>
      </c>
      <c r="J261" s="45">
        <f>IF(OR(H261="",H261=0),"No volume",IF(I261&lt;=20,"Easier",IF(I261&lt;=35,"Medium","Hard")))</f>
        <v/>
      </c>
      <c r="K261" s="45" t="n"/>
      <c r="L261" s="47">
        <f>IF(K261="","",IFERROR(INDEX('Semrush Data'!$C$2:$C$5000,MATCH(K261,'Semrush Data'!$A$2:$A$5000,0)),""))</f>
        <v/>
      </c>
      <c r="M261" s="48" t="inlineStr">
        <is>
          <t>Chloé Women's Miniature Perfume Set 4x5ml</t>
        </is>
      </c>
      <c r="N261" s="45" t="inlineStr">
        <is>
          <t>Chloé Women's Miniature Perfume Set 4x5ml EDP | Swansura UK</t>
        </is>
      </c>
      <c r="O261" s="45">
        <f>LEN(N261)</f>
        <v/>
      </c>
      <c r="P261" s="49" t="inlineStr">
        <is>
          <t>Buy Chloé Women's Miniature Perfume Set 4x5ml for £45.99 at Swansura UK. A floral women's eau de parfum. 100% authentic, fast UK delivery, free over £50.</t>
        </is>
      </c>
      <c r="Q261" s="45">
        <f>LEN(P261)</f>
        <v/>
      </c>
      <c r="R261" s="49" t="inlineStr">
        <is>
          <t>Spelling: Chloé</t>
        </is>
      </c>
    </row>
    <row r="262" ht="23.25" customHeight="1" s="37">
      <c r="A262" s="45" t="inlineStr">
        <is>
          <t>FR-102</t>
        </is>
      </c>
      <c r="B262" s="45" t="inlineStr">
        <is>
          <t>Fragrance Catalogue</t>
        </is>
      </c>
      <c r="C262" s="45" t="inlineStr">
        <is>
          <t>Chopard</t>
        </is>
      </c>
      <c r="D262" s="45" t="inlineStr">
        <is>
          <t>Chopard Amber Malaki Eau de Parfum 80ml – Luxury Unisex Amber Fragrance</t>
        </is>
      </c>
      <c r="E262" s="45" t="inlineStr">
        <is>
          <t>80ml</t>
        </is>
      </c>
      <c r="F262" s="46" t="n">
        <v>49.99</v>
      </c>
      <c r="G262" s="45" t="inlineStr">
        <is>
          <t>chopard amber malaki</t>
        </is>
      </c>
      <c r="H262" s="47">
        <f>IFERROR(INDEX('Semrush Data'!$C$2:$C$5000,MATCH(G262,'Semrush Data'!$A$2:$A$5000,0)),"")</f>
        <v/>
      </c>
      <c r="I262" s="45">
        <f>IFERROR(INDEX('Semrush Data'!$D$2:$D$5000,MATCH(G262,'Semrush Data'!$A$2:$A$5000,0)),"")</f>
        <v/>
      </c>
      <c r="J262" s="45">
        <f>IF(OR(H262="",H262=0),"No volume",IF(I262&lt;=20,"Easier",IF(I262&lt;=35,"Medium","Hard")))</f>
        <v/>
      </c>
      <c r="K262" s="45" t="inlineStr">
        <is>
          <t>chopard amber malaki eau de parfum</t>
        </is>
      </c>
      <c r="L262" s="47">
        <f>IF(K262="","",IFERROR(INDEX('Semrush Data'!$C$2:$C$5000,MATCH(K262,'Semrush Data'!$A$2:$A$5000,0)),""))</f>
        <v/>
      </c>
      <c r="M262" s="48" t="inlineStr">
        <is>
          <t>Chopard Amber Malaki Eau de Parfum</t>
        </is>
      </c>
      <c r="N262" s="45" t="inlineStr">
        <is>
          <t>Chopard Amber Malaki Eau de Parfum 80ml | Swansura UK</t>
        </is>
      </c>
      <c r="O262" s="45">
        <f>LEN(N262)</f>
        <v/>
      </c>
      <c r="P262" s="49" t="inlineStr">
        <is>
          <t>Buy Chopard Amber Malaki Eau de Parfum 80ml for £49.99 at Swansura UK. An amber unisex eau de parfum. 100% authentic, fast UK delivery, free over £50.</t>
        </is>
      </c>
      <c r="Q262" s="45">
        <f>LEN(P262)</f>
        <v/>
      </c>
      <c r="R262" s="49" t="n"/>
    </row>
    <row r="263" ht="23.25" customHeight="1" s="37">
      <c r="A263" s="45" t="inlineStr">
        <is>
          <t>FR-103</t>
        </is>
      </c>
      <c r="B263" s="45" t="inlineStr">
        <is>
          <t>Fragrance Catalogue</t>
        </is>
      </c>
      <c r="C263" s="45" t="inlineStr">
        <is>
          <t>Chopard</t>
        </is>
      </c>
      <c r="D263" s="45" t="inlineStr">
        <is>
          <t>Chopard Black Incense Malaki Eau de Parfum 80ml – Luxury Unisex Incense Fragrance</t>
        </is>
      </c>
      <c r="E263" s="45" t="inlineStr">
        <is>
          <t>80ml</t>
        </is>
      </c>
      <c r="F263" s="46" t="n">
        <v>42.99</v>
      </c>
      <c r="G263" s="45" t="inlineStr">
        <is>
          <t>chopard black incense malaki</t>
        </is>
      </c>
      <c r="H263" s="47">
        <f>IFERROR(INDEX('Semrush Data'!$C$2:$C$5000,MATCH(G263,'Semrush Data'!$A$2:$A$5000,0)),"")</f>
        <v/>
      </c>
      <c r="I263" s="45">
        <f>IFERROR(INDEX('Semrush Data'!$D$2:$D$5000,MATCH(G263,'Semrush Data'!$A$2:$A$5000,0)),"")</f>
        <v/>
      </c>
      <c r="J263" s="45">
        <f>IF(OR(H263="",H263=0),"No volume",IF(I263&lt;=20,"Easier",IF(I263&lt;=35,"Medium","Hard")))</f>
        <v/>
      </c>
      <c r="K263" s="45" t="inlineStr">
        <is>
          <t>chopard black incense malaki eau de parfum</t>
        </is>
      </c>
      <c r="L263" s="47">
        <f>IF(K263="","",IFERROR(INDEX('Semrush Data'!$C$2:$C$5000,MATCH(K263,'Semrush Data'!$A$2:$A$5000,0)),""))</f>
        <v/>
      </c>
      <c r="M263" s="48" t="inlineStr">
        <is>
          <t>Chopard Black Incense Malaki Eau de Parfum</t>
        </is>
      </c>
      <c r="N263" s="45" t="inlineStr">
        <is>
          <t>Chopard Black Incense Malaki EDP 80ml | Swansura UK</t>
        </is>
      </c>
      <c r="O263" s="45">
        <f>LEN(N263)</f>
        <v/>
      </c>
      <c r="P263" s="49" t="inlineStr">
        <is>
          <t>Buy Chopard Black Incense Malaki Eau de Parfum 80ml for £42.99 at Swansura UK. An amber unisex eau de parfum. 100% authentic, fast UK delivery, free over £50.</t>
        </is>
      </c>
      <c r="Q263" s="45">
        <f>LEN(P263)</f>
        <v/>
      </c>
      <c r="R263" s="49" t="n"/>
    </row>
    <row r="264" ht="23.25" customHeight="1" s="37">
      <c r="A264" s="45" t="inlineStr">
        <is>
          <t>FR-104</t>
        </is>
      </c>
      <c r="B264" s="45" t="inlineStr">
        <is>
          <t>Fragrance Catalogue</t>
        </is>
      </c>
      <c r="C264" s="45" t="inlineStr">
        <is>
          <t>Chopard</t>
        </is>
      </c>
      <c r="D264" s="45" t="inlineStr">
        <is>
          <t>Chopard Imperiale Iris Malika Eau de Parfum 100ml – Luxury Women's Floral Fragrance</t>
        </is>
      </c>
      <c r="E264" s="45" t="inlineStr">
        <is>
          <t>100ml</t>
        </is>
      </c>
      <c r="F264" s="46" t="n">
        <v>42.99</v>
      </c>
      <c r="G264" s="45" t="inlineStr">
        <is>
          <t>chopard imperiale iris malika</t>
        </is>
      </c>
      <c r="H264" s="47">
        <f>IFERROR(INDEX('Semrush Data'!$C$2:$C$5000,MATCH(G264,'Semrush Data'!$A$2:$A$5000,0)),"")</f>
        <v/>
      </c>
      <c r="I264" s="45">
        <f>IFERROR(INDEX('Semrush Data'!$D$2:$D$5000,MATCH(G264,'Semrush Data'!$A$2:$A$5000,0)),"")</f>
        <v/>
      </c>
      <c r="J264" s="45">
        <f>IF(OR(H264="",H264=0),"No volume",IF(I264&lt;=20,"Easier",IF(I264&lt;=35,"Medium","Hard")))</f>
        <v/>
      </c>
      <c r="K264" s="45" t="n"/>
      <c r="L264" s="47">
        <f>IF(K264="","",IFERROR(INDEX('Semrush Data'!$C$2:$C$5000,MATCH(K264,'Semrush Data'!$A$2:$A$5000,0)),""))</f>
        <v/>
      </c>
      <c r="M264" s="48" t="inlineStr">
        <is>
          <t>Chopard Imperiale Iris Malika Eau de Parfum</t>
        </is>
      </c>
      <c r="N264" s="45" t="inlineStr">
        <is>
          <t>Chopard Imperiale Iris Malika EDP 100ml | Swansura UK</t>
        </is>
      </c>
      <c r="O264" s="45">
        <f>LEN(N264)</f>
        <v/>
      </c>
      <c r="P264" s="49" t="inlineStr">
        <is>
          <t>Buy Chopard Imperiale Iris Malika Eau de Parfum 100ml for £42.99 at Swansura UK. A floral women's eau de parfum. 100% authentic, free UK delivery over £50.</t>
        </is>
      </c>
      <c r="Q264" s="45">
        <f>LEN(P264)</f>
        <v/>
      </c>
      <c r="R264" s="49" t="n"/>
    </row>
    <row r="265" ht="23.25" customHeight="1" s="37">
      <c r="A265" s="45" t="inlineStr">
        <is>
          <t>FR-105</t>
        </is>
      </c>
      <c r="B265" s="45" t="inlineStr">
        <is>
          <t>Fragrance Catalogue</t>
        </is>
      </c>
      <c r="C265" s="45" t="inlineStr">
        <is>
          <t>Chopard</t>
        </is>
      </c>
      <c r="D265" s="45" t="inlineStr">
        <is>
          <t>Chopard Oud Malaki Eau de Parfum 80ml – Luxury Men's Oud Fragrance</t>
        </is>
      </c>
      <c r="E265" s="45" t="inlineStr">
        <is>
          <t>80ml</t>
        </is>
      </c>
      <c r="F265" s="46" t="n">
        <v>48.99</v>
      </c>
      <c r="G265" s="45" t="inlineStr">
        <is>
          <t>chopard oud malaki</t>
        </is>
      </c>
      <c r="H265" s="47">
        <f>IFERROR(INDEX('Semrush Data'!$C$2:$C$5000,MATCH(G265,'Semrush Data'!$A$2:$A$5000,0)),"")</f>
        <v/>
      </c>
      <c r="I265" s="45">
        <f>IFERROR(INDEX('Semrush Data'!$D$2:$D$5000,MATCH(G265,'Semrush Data'!$A$2:$A$5000,0)),"")</f>
        <v/>
      </c>
      <c r="J265" s="45">
        <f>IF(OR(H265="",H265=0),"No volume",IF(I265&lt;=20,"Easier",IF(I265&lt;=35,"Medium","Hard")))</f>
        <v/>
      </c>
      <c r="K265" s="45" t="inlineStr">
        <is>
          <t>chopard oud malaki eau de parfum</t>
        </is>
      </c>
      <c r="L265" s="47">
        <f>IF(K265="","",IFERROR(INDEX('Semrush Data'!$C$2:$C$5000,MATCH(K265,'Semrush Data'!$A$2:$A$5000,0)),""))</f>
        <v/>
      </c>
      <c r="M265" s="48" t="inlineStr">
        <is>
          <t>Chopard Oud Malaki Eau de Parfum</t>
        </is>
      </c>
      <c r="N265" s="45" t="inlineStr">
        <is>
          <t>Chopard Oud Malaki Eau de Parfum | Buy Online UK | Swansura</t>
        </is>
      </c>
      <c r="O265" s="45">
        <f>LEN(N265)</f>
        <v/>
      </c>
      <c r="P265" s="49" t="inlineStr">
        <is>
          <t>Buy Chopard Oud Malaki Eau de Parfum 80ml for £48.99 at Swansura UK. An oud men's eau de parfum. 100% authentic, fast UK delivery, free over £50.</t>
        </is>
      </c>
      <c r="Q265" s="45">
        <f>LEN(P265)</f>
        <v/>
      </c>
      <c r="R265" s="49" t="n"/>
    </row>
    <row r="266" ht="23.25" customHeight="1" s="37">
      <c r="A266" s="45" t="inlineStr">
        <is>
          <t>FR-106</t>
        </is>
      </c>
      <c r="B266" s="45" t="inlineStr">
        <is>
          <t>Fragrance Catalogue</t>
        </is>
      </c>
      <c r="C266" s="45" t="inlineStr">
        <is>
          <t>Chopard</t>
        </is>
      </c>
      <c r="D266" s="45" t="inlineStr">
        <is>
          <t>Chopard Gardens of Paradise Discovery Set 4x10ml – Luxury Unisex Eau de Parfum Gift Set</t>
        </is>
      </c>
      <c r="E266" s="45" t="inlineStr">
        <is>
          <t>Not specified</t>
        </is>
      </c>
      <c r="F266" s="46" t="n">
        <v>59.99</v>
      </c>
      <c r="G266" s="45" t="inlineStr">
        <is>
          <t>chopard gardens of paradise discovery set</t>
        </is>
      </c>
      <c r="H266" s="47">
        <f>IFERROR(INDEX('Semrush Data'!$C$2:$C$5000,MATCH(G266,'Semrush Data'!$A$2:$A$5000,0)),"")</f>
        <v/>
      </c>
      <c r="I266" s="45">
        <f>IFERROR(INDEX('Semrush Data'!$D$2:$D$5000,MATCH(G266,'Semrush Data'!$A$2:$A$5000,0)),"")</f>
        <v/>
      </c>
      <c r="J266" s="45">
        <f>IF(OR(H266="",H266=0),"No volume",IF(I266&lt;=20,"Easier",IF(I266&lt;=35,"Medium","Hard")))</f>
        <v/>
      </c>
      <c r="K266" s="45" t="n"/>
      <c r="L266" s="47">
        <f>IF(K266="","",IFERROR(INDEX('Semrush Data'!$C$2:$C$5000,MATCH(K266,'Semrush Data'!$A$2:$A$5000,0)),""))</f>
        <v/>
      </c>
      <c r="M266" s="48" t="inlineStr">
        <is>
          <t>Chopard Gardens of Paradise Discovery Set 4x10ml</t>
        </is>
      </c>
      <c r="N266" s="45" t="inlineStr">
        <is>
          <t xml:space="preserve">Chopard Gardens of Paradise Discovery Set 4x10ml | Swansura </t>
        </is>
      </c>
      <c r="O266" s="45">
        <f>LEN(N266)</f>
        <v/>
      </c>
      <c r="P266" s="49" t="inlineStr">
        <is>
          <t>Buy Chopard Gardens of Paradise Discovery Set 4x10ml for £59.99 at Swansura UK. An amber unisex eau de parfum. 100% authentic, fast UK delivery, free over £50.</t>
        </is>
      </c>
      <c r="Q266" s="45">
        <f>LEN(P266)</f>
        <v/>
      </c>
      <c r="R266" s="49" t="n"/>
    </row>
    <row r="267" ht="23.25" customHeight="1" s="37">
      <c r="A267" s="45" t="inlineStr">
        <is>
          <t>FR-107</t>
        </is>
      </c>
      <c r="B267" s="45" t="inlineStr">
        <is>
          <t>Fragrance Catalogue</t>
        </is>
      </c>
      <c r="C267" s="45" t="inlineStr">
        <is>
          <t>Chris Adams</t>
        </is>
      </c>
      <c r="D267" s="45" t="inlineStr">
        <is>
          <t>Chris Adams CA DX 77 Pour Homme 100ml EDP For Men - Chris Adams Perfumes</t>
        </is>
      </c>
      <c r="E267" s="45" t="inlineStr">
        <is>
          <t>100ml</t>
        </is>
      </c>
      <c r="F267" s="46" t="n">
        <v>14.5</v>
      </c>
      <c r="G267" s="45" t="inlineStr">
        <is>
          <t>chris adams ca dx 77 pour homme</t>
        </is>
      </c>
      <c r="H267" s="47">
        <f>IFERROR(INDEX('Semrush Data'!$C$2:$C$5000,MATCH(G267,'Semrush Data'!$A$2:$A$5000,0)),"")</f>
        <v/>
      </c>
      <c r="I267" s="45">
        <f>IFERROR(INDEX('Semrush Data'!$D$2:$D$5000,MATCH(G267,'Semrush Data'!$A$2:$A$5000,0)),"")</f>
        <v/>
      </c>
      <c r="J267" s="45">
        <f>IF(OR(H267="",H267=0),"No volume",IF(I267&lt;=20,"Easier",IF(I267&lt;=35,"Medium","Hard")))</f>
        <v/>
      </c>
      <c r="K267" s="45" t="n"/>
      <c r="L267" s="47">
        <f>IF(K267="","",IFERROR(INDEX('Semrush Data'!$C$2:$C$5000,MATCH(K267,'Semrush Data'!$A$2:$A$5000,0)),""))</f>
        <v/>
      </c>
      <c r="M267" s="48" t="inlineStr">
        <is>
          <t>Chris Adams CA DX 77 Pour Homme EDP For Men</t>
        </is>
      </c>
      <c r="N267" s="45" t="inlineStr">
        <is>
          <t>Chris Adams CA DX 77 Pour Homme EDP For Men | Swansura UK</t>
        </is>
      </c>
      <c r="O267" s="45">
        <f>LEN(N267)</f>
        <v/>
      </c>
      <c r="P267" s="49" t="inlineStr">
        <is>
          <t>Buy Chris Adams CA DX 77 Pour Homme EDP For Men 100ml for £14.50 at Swansura UK. A woody men's eau de parfum. 100% authentic, fast UK delivery, free over £50.</t>
        </is>
      </c>
      <c r="Q267" s="45">
        <f>LEN(P267)</f>
        <v/>
      </c>
      <c r="R267" s="49" t="n"/>
    </row>
    <row r="268" ht="23.25" customHeight="1" s="37">
      <c r="A268" s="45" t="inlineStr">
        <is>
          <t>FR-108</t>
        </is>
      </c>
      <c r="B268" s="45" t="inlineStr">
        <is>
          <t>Fragrance Catalogue</t>
        </is>
      </c>
      <c r="C268" s="45" t="inlineStr">
        <is>
          <t>Chris Adams</t>
        </is>
      </c>
      <c r="D268" s="45" t="inlineStr">
        <is>
          <t>Chris Adams Perfume Black Shadow Eau De Toilette Pour Homme 100ml</t>
        </is>
      </c>
      <c r="E268" s="45" t="inlineStr">
        <is>
          <t>100ml</t>
        </is>
      </c>
      <c r="F268" s="46" t="n">
        <v>11.94</v>
      </c>
      <c r="G268" s="45" t="inlineStr">
        <is>
          <t>chris adams black shadow pour homme</t>
        </is>
      </c>
      <c r="H268" s="47">
        <f>IFERROR(INDEX('Semrush Data'!$C$2:$C$5000,MATCH(G268,'Semrush Data'!$A$2:$A$5000,0)),"")</f>
        <v/>
      </c>
      <c r="I268" s="45">
        <f>IFERROR(INDEX('Semrush Data'!$D$2:$D$5000,MATCH(G268,'Semrush Data'!$A$2:$A$5000,0)),"")</f>
        <v/>
      </c>
      <c r="J268" s="45">
        <f>IF(OR(H268="",H268=0),"No volume",IF(I268&lt;=20,"Easier",IF(I268&lt;=35,"Medium","Hard")))</f>
        <v/>
      </c>
      <c r="K268" s="45" t="n"/>
      <c r="L268" s="47">
        <f>IF(K268="","",IFERROR(INDEX('Semrush Data'!$C$2:$C$5000,MATCH(K268,'Semrush Data'!$A$2:$A$5000,0)),""))</f>
        <v/>
      </c>
      <c r="M268" s="48" t="inlineStr">
        <is>
          <t>Chris Adams Perfume Black Shadow Eau De Toilette Pour Homme</t>
        </is>
      </c>
      <c r="N268" s="45" t="inlineStr">
        <is>
          <t>Chris Adams Perfume Black Shadow Pour Homme | Swansura UK</t>
        </is>
      </c>
      <c r="O268" s="45">
        <f>LEN(N268)</f>
        <v/>
      </c>
      <c r="P268" s="49" t="inlineStr">
        <is>
          <t>Chris Adams Perfume Black Shadow Eau De Toilette Pour Homme for £11.94 at Swansura UK. A woody men's eau de toilette. 100% authentic, free UK delivery over £50.</t>
        </is>
      </c>
      <c r="Q268" s="45">
        <f>LEN(P268)</f>
        <v/>
      </c>
      <c r="R268" s="49" t="n"/>
    </row>
    <row r="269" ht="23.25" customHeight="1" s="37">
      <c r="A269" s="45" t="inlineStr">
        <is>
          <t>FR-109</t>
        </is>
      </c>
      <c r="B269" s="45" t="inlineStr">
        <is>
          <t>Fragrance Catalogue</t>
        </is>
      </c>
      <c r="C269" s="45" t="inlineStr">
        <is>
          <t>Davidoff</t>
        </is>
      </c>
      <c r="D269" s="45" t="inlineStr">
        <is>
          <t>Davidoff Cool Water Reborn Intense Eau de Parfum 50ml – Women's Fresh Floral Fragrance</t>
        </is>
      </c>
      <c r="E269" s="45" t="inlineStr">
        <is>
          <t>50ml</t>
        </is>
      </c>
      <c r="F269" s="46" t="n">
        <v>18.99</v>
      </c>
      <c r="G269" s="45" t="inlineStr">
        <is>
          <t>davidoff cool water reborn intense</t>
        </is>
      </c>
      <c r="H269" s="47">
        <f>IFERROR(INDEX('Semrush Data'!$C$2:$C$5000,MATCH(G269,'Semrush Data'!$A$2:$A$5000,0)),"")</f>
        <v/>
      </c>
      <c r="I269" s="45">
        <f>IFERROR(INDEX('Semrush Data'!$D$2:$D$5000,MATCH(G269,'Semrush Data'!$A$2:$A$5000,0)),"")</f>
        <v/>
      </c>
      <c r="J269" s="45">
        <f>IF(OR(H269="",H269=0),"No volume",IF(I269&lt;=20,"Easier",IF(I269&lt;=35,"Medium","Hard")))</f>
        <v/>
      </c>
      <c r="K269" s="45" t="n"/>
      <c r="L269" s="47">
        <f>IF(K269="","",IFERROR(INDEX('Semrush Data'!$C$2:$C$5000,MATCH(K269,'Semrush Data'!$A$2:$A$5000,0)),""))</f>
        <v/>
      </c>
      <c r="M269" s="48" t="inlineStr">
        <is>
          <t>Davidoff Cool Water Reborn Intense Eau de Parfum</t>
        </is>
      </c>
      <c r="N269" s="45" t="inlineStr">
        <is>
          <t>Davidoff Cool Water Reborn Intense EDP 50ml | Swansura UK</t>
        </is>
      </c>
      <c r="O269" s="45">
        <f>LEN(N269)</f>
        <v/>
      </c>
      <c r="P269" s="49" t="inlineStr">
        <is>
          <t>Buy Davidoff Cool Water Reborn Intense Eau de Parfum for £18.99 at Swansura UK. A floral women's eau de parfum. 100% authentic, fast UK delivery, free over £50.</t>
        </is>
      </c>
      <c r="Q269" s="45">
        <f>LEN(P269)</f>
        <v/>
      </c>
      <c r="R269" s="49" t="n"/>
    </row>
    <row r="270" ht="23.25" customHeight="1" s="37">
      <c r="A270" s="45" t="inlineStr">
        <is>
          <t>FR-110</t>
        </is>
      </c>
      <c r="B270" s="45" t="inlineStr">
        <is>
          <t>Fragrance Catalogue</t>
        </is>
      </c>
      <c r="C270" s="45" t="inlineStr">
        <is>
          <t>Davidoff</t>
        </is>
      </c>
      <c r="D270" s="45" t="inlineStr">
        <is>
          <t>Davidoff Champion Eau de Toilette 90ml – Men's Fresh Woody Aromatic Fragrance</t>
        </is>
      </c>
      <c r="E270" s="45" t="inlineStr">
        <is>
          <t>90ml</t>
        </is>
      </c>
      <c r="F270" s="46" t="n">
        <v>23.99</v>
      </c>
      <c r="G270" s="45" t="inlineStr">
        <is>
          <t>davidoff champion</t>
        </is>
      </c>
      <c r="H270" s="47">
        <f>IFERROR(INDEX('Semrush Data'!$C$2:$C$5000,MATCH(G270,'Semrush Data'!$A$2:$A$5000,0)),"")</f>
        <v/>
      </c>
      <c r="I270" s="45">
        <f>IFERROR(INDEX('Semrush Data'!$D$2:$D$5000,MATCH(G270,'Semrush Data'!$A$2:$A$5000,0)),"")</f>
        <v/>
      </c>
      <c r="J270" s="45">
        <f>IF(OR(H270="",H270=0),"No volume",IF(I270&lt;=20,"Easier",IF(I270&lt;=35,"Medium","Hard")))</f>
        <v/>
      </c>
      <c r="K270" s="45" t="inlineStr">
        <is>
          <t>davidoff champion eau de toilette</t>
        </is>
      </c>
      <c r="L270" s="47">
        <f>IF(K270="","",IFERROR(INDEX('Semrush Data'!$C$2:$C$5000,MATCH(K270,'Semrush Data'!$A$2:$A$5000,0)),""))</f>
        <v/>
      </c>
      <c r="M270" s="48" t="inlineStr">
        <is>
          <t>Davidoff Champion Eau de Toilette</t>
        </is>
      </c>
      <c r="N270" s="45" t="inlineStr">
        <is>
          <t>Davidoff Champion Eau de Toilette | Buy Online UK | Swansura</t>
        </is>
      </c>
      <c r="O270" s="45">
        <f>LEN(N270)</f>
        <v/>
      </c>
      <c r="P270" s="49" t="inlineStr">
        <is>
          <t>Buy Davidoff Champion Eau de Toilette 90ml for £23.99 at Swansura UK. A woody men's eau de toilette. 100% authentic, fast UK delivery, free over £50.</t>
        </is>
      </c>
      <c r="Q270" s="45">
        <f>LEN(P270)</f>
        <v/>
      </c>
      <c r="R270" s="49" t="n"/>
    </row>
    <row r="271" ht="23.25" customHeight="1" s="37">
      <c r="A271" s="45" t="inlineStr">
        <is>
          <t>FR-111</t>
        </is>
      </c>
      <c r="B271" s="45" t="inlineStr">
        <is>
          <t>Fragrance Catalogue</t>
        </is>
      </c>
      <c r="C271" s="45" t="inlineStr">
        <is>
          <t>Davidoff</t>
        </is>
      </c>
      <c r="D271" s="45" t="inlineStr">
        <is>
          <t>Davidoff Indigo Eau de Toilette 110ml – Men's Aromatic Fougere Fragrance</t>
        </is>
      </c>
      <c r="E271" s="45" t="inlineStr">
        <is>
          <t>110ml</t>
        </is>
      </c>
      <c r="F271" s="46" t="n">
        <v>21.99</v>
      </c>
      <c r="G271" s="45" t="inlineStr">
        <is>
          <t>davidoff indigo</t>
        </is>
      </c>
      <c r="H271" s="47">
        <f>IFERROR(INDEX('Semrush Data'!$C$2:$C$5000,MATCH(G271,'Semrush Data'!$A$2:$A$5000,0)),"")</f>
        <v/>
      </c>
      <c r="I271" s="45">
        <f>IFERROR(INDEX('Semrush Data'!$D$2:$D$5000,MATCH(G271,'Semrush Data'!$A$2:$A$5000,0)),"")</f>
        <v/>
      </c>
      <c r="J271" s="45">
        <f>IF(OR(H271="",H271=0),"No volume",IF(I271&lt;=20,"Easier",IF(I271&lt;=35,"Medium","Hard")))</f>
        <v/>
      </c>
      <c r="K271" s="45" t="inlineStr">
        <is>
          <t>davidoff indigo eau de toilette</t>
        </is>
      </c>
      <c r="L271" s="47">
        <f>IF(K271="","",IFERROR(INDEX('Semrush Data'!$C$2:$C$5000,MATCH(K271,'Semrush Data'!$A$2:$A$5000,0)),""))</f>
        <v/>
      </c>
      <c r="M271" s="48" t="inlineStr">
        <is>
          <t>Davidoff Indigo Eau de Toilette</t>
        </is>
      </c>
      <c r="N271" s="45" t="inlineStr">
        <is>
          <t>Davidoff Indigo Eau de Toilette | Buy Online UK | Swansura</t>
        </is>
      </c>
      <c r="O271" s="45">
        <f>LEN(N271)</f>
        <v/>
      </c>
      <c r="P271" s="49" t="inlineStr">
        <is>
          <t>Buy Davidoff Indigo Eau de Toilette 110ml for £21.99 at Swansura UK. An aromatic men's eau de toilette. 100% authentic, fast UK delivery, free over £50.</t>
        </is>
      </c>
      <c r="Q271" s="45">
        <f>LEN(P271)</f>
        <v/>
      </c>
      <c r="R271" s="49" t="n"/>
    </row>
    <row r="272" ht="23.25" customHeight="1" s="37">
      <c r="A272" s="45" t="inlineStr">
        <is>
          <t>FR-112</t>
        </is>
      </c>
      <c r="B272" s="45" t="inlineStr">
        <is>
          <t>Fragrance Catalogue</t>
        </is>
      </c>
      <c r="C272" s="45" t="inlineStr">
        <is>
          <t>Davidoff</t>
        </is>
      </c>
      <c r="D272" s="45" t="inlineStr">
        <is>
          <t>Davidoff The Game Eau de Toilette 100ml – Men's Woody Aromatic Fragrance</t>
        </is>
      </c>
      <c r="E272" s="45" t="inlineStr">
        <is>
          <t>100ml</t>
        </is>
      </c>
      <c r="F272" s="46" t="n">
        <v>27.99</v>
      </c>
      <c r="G272" s="45" t="inlineStr">
        <is>
          <t>davidoff the game</t>
        </is>
      </c>
      <c r="H272" s="47">
        <f>IFERROR(INDEX('Semrush Data'!$C$2:$C$5000,MATCH(G272,'Semrush Data'!$A$2:$A$5000,0)),"")</f>
        <v/>
      </c>
      <c r="I272" s="45">
        <f>IFERROR(INDEX('Semrush Data'!$D$2:$D$5000,MATCH(G272,'Semrush Data'!$A$2:$A$5000,0)),"")</f>
        <v/>
      </c>
      <c r="J272" s="45">
        <f>IF(OR(H272="",H272=0),"No volume",IF(I272&lt;=20,"Easier",IF(I272&lt;=35,"Medium","Hard")))</f>
        <v/>
      </c>
      <c r="K272" s="45" t="inlineStr">
        <is>
          <t>davidoff the game perfume</t>
        </is>
      </c>
      <c r="L272" s="47">
        <f>IF(K272="","",IFERROR(INDEX('Semrush Data'!$C$2:$C$5000,MATCH(K272,'Semrush Data'!$A$2:$A$5000,0)),""))</f>
        <v/>
      </c>
      <c r="M272" s="48" t="inlineStr">
        <is>
          <t>Davidoff The Game Eau de Toilette</t>
        </is>
      </c>
      <c r="N272" s="45" t="inlineStr">
        <is>
          <t>Davidoff The Game Eau de Toilette | Buy Online UK | Swansura</t>
        </is>
      </c>
      <c r="O272" s="45">
        <f>LEN(N272)</f>
        <v/>
      </c>
      <c r="P272" s="49" t="inlineStr">
        <is>
          <t>Buy Davidoff The Game Eau de Toilette 100ml for £27.99 at Swansura UK. A woody men's eau de toilette. 100% authentic, fast UK delivery, free over £50.</t>
        </is>
      </c>
      <c r="Q272" s="45">
        <f>LEN(P272)</f>
        <v/>
      </c>
      <c r="R272" s="49" t="n"/>
    </row>
    <row r="273" ht="23.25" customHeight="1" s="37">
      <c r="A273" s="45" t="inlineStr">
        <is>
          <t>FR-113</t>
        </is>
      </c>
      <c r="B273" s="45" t="inlineStr">
        <is>
          <t>Fragrance Catalogue</t>
        </is>
      </c>
      <c r="C273" s="45" t="inlineStr">
        <is>
          <t>dior</t>
        </is>
      </c>
      <c r="D273" s="45" t="inlineStr">
        <is>
          <t>Miss Dior Eau de Parfum Roller-Pearl 20ml for Women</t>
        </is>
      </c>
      <c r="E273" s="45" t="inlineStr">
        <is>
          <t>20ml</t>
        </is>
      </c>
      <c r="F273" s="46" t="n">
        <v>51.99</v>
      </c>
      <c r="G273" s="45" t="inlineStr">
        <is>
          <t>dior miss dior roller-pearl</t>
        </is>
      </c>
      <c r="H273" s="47">
        <f>IFERROR(INDEX('Semrush Data'!$C$2:$C$5000,MATCH(G273,'Semrush Data'!$A$2:$A$5000,0)),"")</f>
        <v/>
      </c>
      <c r="I273" s="45">
        <f>IFERROR(INDEX('Semrush Data'!$D$2:$D$5000,MATCH(G273,'Semrush Data'!$A$2:$A$5000,0)),"")</f>
        <v/>
      </c>
      <c r="J273" s="45">
        <f>IF(OR(H273="",H273=0),"No volume",IF(I273&lt;=20,"Easier",IF(I273&lt;=35,"Medium","Hard")))</f>
        <v/>
      </c>
      <c r="K273" s="45" t="n"/>
      <c r="L273" s="47">
        <f>IF(K273="","",IFERROR(INDEX('Semrush Data'!$C$2:$C$5000,MATCH(K273,'Semrush Data'!$A$2:$A$5000,0)),""))</f>
        <v/>
      </c>
      <c r="M273" s="48" t="inlineStr">
        <is>
          <t>Miss Dior Eau de Parfum Roller-Pearl for Women</t>
        </is>
      </c>
      <c r="N273" s="45" t="inlineStr">
        <is>
          <t>Miss Dior Roller-Pearl for Women EDP 20ml | Swansura UK</t>
        </is>
      </c>
      <c r="O273" s="45">
        <f>LEN(N273)</f>
        <v/>
      </c>
      <c r="P273" s="49" t="inlineStr">
        <is>
          <t>Buy Miss Dior Eau de Parfum Roller-Pearl for Women for £51.99 at Swansura UK. A woody women's eau de parfum. 100% authentic, fast UK delivery, free over £50.</t>
        </is>
      </c>
      <c r="Q273" s="45">
        <f>LEN(P273)</f>
        <v/>
      </c>
      <c r="R273" s="49" t="n"/>
    </row>
    <row r="274" ht="23.25" customHeight="1" s="37">
      <c r="A274" s="45" t="inlineStr">
        <is>
          <t>FR-114</t>
        </is>
      </c>
      <c r="B274" s="45" t="inlineStr">
        <is>
          <t>Fragrance Catalogue</t>
        </is>
      </c>
      <c r="C274" s="45" t="inlineStr">
        <is>
          <t>dior</t>
        </is>
      </c>
      <c r="D274" s="45" t="inlineStr">
        <is>
          <t>Dior Iconics Mini Perfume Discovery Set 5 x 5ml</t>
        </is>
      </c>
      <c r="E274" s="45" t="inlineStr">
        <is>
          <t>5ml</t>
        </is>
      </c>
      <c r="F274" s="46" t="n">
        <v>92.98999999999999</v>
      </c>
      <c r="G274" s="45" t="inlineStr">
        <is>
          <t>dior iconics mini discovery set</t>
        </is>
      </c>
      <c r="H274" s="47">
        <f>IFERROR(INDEX('Semrush Data'!$C$2:$C$5000,MATCH(G274,'Semrush Data'!$A$2:$A$5000,0)),"")</f>
        <v/>
      </c>
      <c r="I274" s="45">
        <f>IFERROR(INDEX('Semrush Data'!$D$2:$D$5000,MATCH(G274,'Semrush Data'!$A$2:$A$5000,0)),"")</f>
        <v/>
      </c>
      <c r="J274" s="45">
        <f>IF(OR(H274="",H274=0),"No volume",IF(I274&lt;=20,"Easier",IF(I274&lt;=35,"Medium","Hard")))</f>
        <v/>
      </c>
      <c r="K274" s="45" t="n"/>
      <c r="L274" s="47">
        <f>IF(K274="","",IFERROR(INDEX('Semrush Data'!$C$2:$C$5000,MATCH(K274,'Semrush Data'!$A$2:$A$5000,0)),""))</f>
        <v/>
      </c>
      <c r="M274" s="48" t="inlineStr">
        <is>
          <t>Dior Iconics Mini Perfume Discovery Set 5 X</t>
        </is>
      </c>
      <c r="N274" s="45" t="inlineStr">
        <is>
          <t>Dior Iconics Mini Perfume Discovery Set 5 X | Swansura UK</t>
        </is>
      </c>
      <c r="O274" s="45">
        <f>LEN(N274)</f>
        <v/>
      </c>
      <c r="P274" s="49" t="inlineStr">
        <is>
          <t>Buy Dior Iconics Mini Perfume Discovery Set 5 X for £92.99 at Swansura UK. An amber unisex fragrance gift set. 100% authentic, fast UK delivery, free over £50.</t>
        </is>
      </c>
      <c r="Q274" s="45">
        <f>LEN(P274)</f>
        <v/>
      </c>
      <c r="R274" s="49" t="n"/>
    </row>
    <row r="275" ht="23.25" customHeight="1" s="37">
      <c r="A275" s="45" t="inlineStr">
        <is>
          <t>FR-115</t>
        </is>
      </c>
      <c r="B275" s="45" t="inlineStr">
        <is>
          <t>Fragrance Catalogue</t>
        </is>
      </c>
      <c r="C275" s="45" t="inlineStr">
        <is>
          <t>dior</t>
        </is>
      </c>
      <c r="D275" s="45" t="inlineStr">
        <is>
          <t>Dior Sauvage Eau de Parfum 100ml + 10ml Men's Gift Set</t>
        </is>
      </c>
      <c r="E275" s="45" t="inlineStr">
        <is>
          <t>100ml</t>
        </is>
      </c>
      <c r="F275" s="46" t="n">
        <v>144</v>
      </c>
      <c r="G275" s="45" t="inlineStr">
        <is>
          <t>dior sauvage</t>
        </is>
      </c>
      <c r="H275" s="47">
        <f>IFERROR(INDEX('Semrush Data'!$C$2:$C$5000,MATCH(G275,'Semrush Data'!$A$2:$A$5000,0)),"")</f>
        <v/>
      </c>
      <c r="I275" s="45">
        <f>IFERROR(INDEX('Semrush Data'!$D$2:$D$5000,MATCH(G275,'Semrush Data'!$A$2:$A$5000,0)),"")</f>
        <v/>
      </c>
      <c r="J275" s="45">
        <f>IF(OR(H275="",H275=0),"No volume",IF(I275&lt;=20,"Easier",IF(I275&lt;=35,"Medium","Hard")))</f>
        <v/>
      </c>
      <c r="K275" s="45" t="inlineStr">
        <is>
          <t>dior sauvage eau de parfum</t>
        </is>
      </c>
      <c r="L275" s="47">
        <f>IF(K275="","",IFERROR(INDEX('Semrush Data'!$C$2:$C$5000,MATCH(K275,'Semrush Data'!$A$2:$A$5000,0)),""))</f>
        <v/>
      </c>
      <c r="M275" s="48" t="inlineStr">
        <is>
          <t>Dior Sauvage Eau de Parfum</t>
        </is>
      </c>
      <c r="N275" s="45" t="inlineStr">
        <is>
          <t>Dior Sauvage Eau de Parfum 100ml | Buy Online UK | Swansura</t>
        </is>
      </c>
      <c r="O275" s="45">
        <f>LEN(N275)</f>
        <v/>
      </c>
      <c r="P275" s="49" t="inlineStr">
        <is>
          <t>Buy Dior Sauvage Eau de Parfum 100ml for £144.00 at Swansura UK. A woody men's eau de parfum. 100% authentic, fast UK delivery, free over £50.</t>
        </is>
      </c>
      <c r="Q275" s="45">
        <f>LEN(P275)</f>
        <v/>
      </c>
      <c r="R275" s="49" t="n"/>
    </row>
    <row r="276" ht="23.25" customHeight="1" s="37">
      <c r="A276" s="45" t="inlineStr">
        <is>
          <t>FR-116</t>
        </is>
      </c>
      <c r="B276" s="45" t="inlineStr">
        <is>
          <t>Fragrance Catalogue</t>
        </is>
      </c>
      <c r="C276" s="45" t="inlineStr">
        <is>
          <t>DKNY</t>
        </is>
      </c>
      <c r="D276" s="45" t="inlineStr">
        <is>
          <t>DKNY Be Delicious Orchard Street Eau de Parfum 100ml – Women's Fruity Floral Fragrance</t>
        </is>
      </c>
      <c r="E276" s="45" t="inlineStr">
        <is>
          <t>100ml</t>
        </is>
      </c>
      <c r="F276" s="46" t="n">
        <v>28.99</v>
      </c>
      <c r="G276" s="45" t="inlineStr">
        <is>
          <t>dkny be delicious orchard street</t>
        </is>
      </c>
      <c r="H276" s="47">
        <f>IFERROR(INDEX('Semrush Data'!$C$2:$C$5000,MATCH(G276,'Semrush Data'!$A$2:$A$5000,0)),"")</f>
        <v/>
      </c>
      <c r="I276" s="45">
        <f>IFERROR(INDEX('Semrush Data'!$D$2:$D$5000,MATCH(G276,'Semrush Data'!$A$2:$A$5000,0)),"")</f>
        <v/>
      </c>
      <c r="J276" s="45">
        <f>IF(OR(H276="",H276=0),"No volume",IF(I276&lt;=20,"Easier",IF(I276&lt;=35,"Medium","Hard")))</f>
        <v/>
      </c>
      <c r="K276" s="45" t="inlineStr">
        <is>
          <t>dkny be delicious orchard street eau de parfum</t>
        </is>
      </c>
      <c r="L276" s="47">
        <f>IF(K276="","",IFERROR(INDEX('Semrush Data'!$C$2:$C$5000,MATCH(K276,'Semrush Data'!$A$2:$A$5000,0)),""))</f>
        <v/>
      </c>
      <c r="M276" s="48" t="inlineStr">
        <is>
          <t>DKNY Be Delicious Orchard Street Eau de Parfum</t>
        </is>
      </c>
      <c r="N276" s="45" t="inlineStr">
        <is>
          <t>DKNY Be Delicious Orchard Street EDP 100ml | Swansura UK</t>
        </is>
      </c>
      <c r="O276" s="45">
        <f>LEN(N276)</f>
        <v/>
      </c>
      <c r="P276" s="49" t="inlineStr">
        <is>
          <t>Buy DKNY Be Delicious Orchard Street Eau de Parfum 100ml for £28.99 at Swansura UK. A floral women's eau de parfum. 100% authentic, free UK delivery over £50.</t>
        </is>
      </c>
      <c r="Q276" s="45">
        <f>LEN(P276)</f>
        <v/>
      </c>
      <c r="R276" s="49" t="n"/>
    </row>
    <row r="277" ht="23.25" customHeight="1" s="37">
      <c r="A277" s="45" t="inlineStr">
        <is>
          <t>FR-117</t>
        </is>
      </c>
      <c r="B277" s="45" t="inlineStr">
        <is>
          <t>Fragrance Catalogue</t>
        </is>
      </c>
      <c r="C277" s="45" t="inlineStr">
        <is>
          <t>DKNY</t>
        </is>
      </c>
      <c r="D277" s="45" t="inlineStr">
        <is>
          <t>DKNY Be Tempted Eau de Parfum 100ml – Women's Fruity Floral Gourmand Fragrance</t>
        </is>
      </c>
      <c r="E277" s="45" t="inlineStr">
        <is>
          <t>100ml</t>
        </is>
      </c>
      <c r="F277" s="46" t="n">
        <v>39.99</v>
      </c>
      <c r="G277" s="45" t="inlineStr">
        <is>
          <t>dkny be tempted</t>
        </is>
      </c>
      <c r="H277" s="47">
        <f>IFERROR(INDEX('Semrush Data'!$C$2:$C$5000,MATCH(G277,'Semrush Data'!$A$2:$A$5000,0)),"")</f>
        <v/>
      </c>
      <c r="I277" s="45">
        <f>IFERROR(INDEX('Semrush Data'!$D$2:$D$5000,MATCH(G277,'Semrush Data'!$A$2:$A$5000,0)),"")</f>
        <v/>
      </c>
      <c r="J277" s="45">
        <f>IF(OR(H277="",H277=0),"No volume",IF(I277&lt;=20,"Easier",IF(I277&lt;=35,"Medium","Hard")))</f>
        <v/>
      </c>
      <c r="K277" s="45" t="inlineStr">
        <is>
          <t>dkny be tempted eau de parfum</t>
        </is>
      </c>
      <c r="L277" s="47">
        <f>IF(K277="","",IFERROR(INDEX('Semrush Data'!$C$2:$C$5000,MATCH(K277,'Semrush Data'!$A$2:$A$5000,0)),""))</f>
        <v/>
      </c>
      <c r="M277" s="48" t="inlineStr">
        <is>
          <t>DKNY Be Tempted Eau de Parfum</t>
        </is>
      </c>
      <c r="N277" s="45" t="inlineStr">
        <is>
          <t>DKNY Be Tempted Eau de Parfum | Buy Online UK | Swansura</t>
        </is>
      </c>
      <c r="O277" s="45">
        <f>LEN(N277)</f>
        <v/>
      </c>
      <c r="P277" s="49" t="inlineStr">
        <is>
          <t>Buy DKNY Be Tempted Eau de Parfum 100ml for £39.99 at Swansura UK. A floral women's eau de parfum. 100% authentic, fast UK delivery, free over £50.</t>
        </is>
      </c>
      <c r="Q277" s="45">
        <f>LEN(P277)</f>
        <v/>
      </c>
      <c r="R277" s="49" t="n"/>
    </row>
    <row r="278" ht="23.25" customHeight="1" s="37">
      <c r="A278" s="45" t="inlineStr">
        <is>
          <t>FR-118</t>
        </is>
      </c>
      <c r="B278" s="45" t="inlineStr">
        <is>
          <t>Fragrance Catalogue</t>
        </is>
      </c>
      <c r="C278" s="45" t="inlineStr">
        <is>
          <t>DKNY</t>
        </is>
      </c>
      <c r="D278" s="45" t="inlineStr">
        <is>
          <t>DKNY Be Delicious &amp; Be Delicious Fresh Blossom Eau de Parfum Gift Set 2x30ml – Women's Fragrance Duo</t>
        </is>
      </c>
      <c r="E278" s="45" t="inlineStr">
        <is>
          <t>2x30ml</t>
        </is>
      </c>
      <c r="F278" s="46" t="n">
        <v>41.99</v>
      </c>
      <c r="G278" s="45" t="inlineStr">
        <is>
          <t>dkny be delicious &amp; be delicious fresh blossom gift set</t>
        </is>
      </c>
      <c r="H278" s="47">
        <f>IFERROR(INDEX('Semrush Data'!$C$2:$C$5000,MATCH(G278,'Semrush Data'!$A$2:$A$5000,0)),"")</f>
        <v/>
      </c>
      <c r="I278" s="45">
        <f>IFERROR(INDEX('Semrush Data'!$D$2:$D$5000,MATCH(G278,'Semrush Data'!$A$2:$A$5000,0)),"")</f>
        <v/>
      </c>
      <c r="J278" s="45">
        <f>IF(OR(H278="",H278=0),"No volume",IF(I278&lt;=20,"Easier",IF(I278&lt;=35,"Medium","Hard")))</f>
        <v/>
      </c>
      <c r="K278" s="45" t="n"/>
      <c r="L278" s="47">
        <f>IF(K278="","",IFERROR(INDEX('Semrush Data'!$C$2:$C$5000,MATCH(K278,'Semrush Data'!$A$2:$A$5000,0)),""))</f>
        <v/>
      </c>
      <c r="M278" s="48" t="inlineStr">
        <is>
          <t>DKNY Be Delicious &amp; Be Delicious Fresh Blossom Eau de Parfum Gift Set 2x30ml</t>
        </is>
      </c>
      <c r="N278" s="45" t="inlineStr">
        <is>
          <t>DKNY Be Delicious &amp; Be Delicious Fresh Blossom Gift Set 2x30</t>
        </is>
      </c>
      <c r="O278" s="45">
        <f>LEN(N278)</f>
        <v/>
      </c>
      <c r="P278" s="49" t="inlineStr">
        <is>
          <t>Buy DKNY Be Delicious &amp; Be Delicious Fresh Blossom Eau de Parfum Gift Set 2x30ml for £41.99 at Swansura UK. 100% authentic, fast UK delivery, free over £50.</t>
        </is>
      </c>
      <c r="Q278" s="45">
        <f>LEN(P278)</f>
        <v/>
      </c>
      <c r="R278" s="49" t="n"/>
    </row>
    <row r="279" ht="23.25" customHeight="1" s="37">
      <c r="A279" s="45" t="inlineStr">
        <is>
          <t>FR-119</t>
        </is>
      </c>
      <c r="B279" s="45" t="inlineStr">
        <is>
          <t>Fragrance Catalogue</t>
        </is>
      </c>
      <c r="C279" s="45" t="inlineStr">
        <is>
          <t>DKNY</t>
        </is>
      </c>
      <c r="D279" s="45" t="inlineStr">
        <is>
          <t>DKNY Women's Miniature Eau de Parfum Set 4x7ml – Be Delicious, Golden Delicious, Be Extra Delicious 100%</t>
        </is>
      </c>
      <c r="E279" s="45" t="inlineStr">
        <is>
          <t>4x7ml</t>
        </is>
      </c>
      <c r="F279" s="46" t="n">
        <v>35.99</v>
      </c>
      <c r="G279" s="45" t="inlineStr">
        <is>
          <t>dkny miniature set</t>
        </is>
      </c>
      <c r="H279" s="47">
        <f>IFERROR(INDEX('Semrush Data'!$C$2:$C$5000,MATCH(G279,'Semrush Data'!$A$2:$A$5000,0)),"")</f>
        <v/>
      </c>
      <c r="I279" s="45">
        <f>IFERROR(INDEX('Semrush Data'!$D$2:$D$5000,MATCH(G279,'Semrush Data'!$A$2:$A$5000,0)),"")</f>
        <v/>
      </c>
      <c r="J279" s="45">
        <f>IF(OR(H279="",H279=0),"No volume",IF(I279&lt;=20,"Easier",IF(I279&lt;=35,"Medium","Hard")))</f>
        <v/>
      </c>
      <c r="K279" s="45" t="n"/>
      <c r="L279" s="47">
        <f>IF(K279="","",IFERROR(INDEX('Semrush Data'!$C$2:$C$5000,MATCH(K279,'Semrush Data'!$A$2:$A$5000,0)),""))</f>
        <v/>
      </c>
      <c r="M279" s="48" t="inlineStr">
        <is>
          <t>DKNY Women's Miniature Eau de Parfum Set 4x7ml</t>
        </is>
      </c>
      <c r="N279" s="45" t="inlineStr">
        <is>
          <t>DKNY Women's Miniature Set 4x7ml EDP | Swansura UK</t>
        </is>
      </c>
      <c r="O279" s="45">
        <f>LEN(N279)</f>
        <v/>
      </c>
      <c r="P279" s="49" t="inlineStr">
        <is>
          <t>Buy DKNY Women's Miniature Eau de Parfum Set 4x7ml for £35.99 at Swansura UK. A woody women's eau de parfum. 100% authentic, fast UK delivery, free over £50.</t>
        </is>
      </c>
      <c r="Q279" s="45">
        <f>LEN(P279)</f>
        <v/>
      </c>
      <c r="R279" s="49" t="n"/>
    </row>
    <row r="280" ht="23.25" customHeight="1" s="37">
      <c r="A280" s="45" t="inlineStr">
        <is>
          <t>FR-120</t>
        </is>
      </c>
      <c r="B280" s="45" t="inlineStr">
        <is>
          <t>Fragrance Catalogue</t>
        </is>
      </c>
      <c r="C280" s="45" t="inlineStr">
        <is>
          <t>Dolce &amp; Gabbana</t>
        </is>
      </c>
      <c r="D280" s="45" t="inlineStr">
        <is>
          <t>Dolce &amp; Gabbana Devotion Eau de Parfum 100ml – Luxury Women's Gourmand Fragrance</t>
        </is>
      </c>
      <c r="E280" s="45" t="inlineStr">
        <is>
          <t>100ml</t>
        </is>
      </c>
      <c r="F280" s="46" t="n">
        <v>54.99</v>
      </c>
      <c r="G280" s="45" t="inlineStr">
        <is>
          <t>dolce &amp; gabbana devotion</t>
        </is>
      </c>
      <c r="H280" s="47">
        <f>IFERROR(INDEX('Semrush Data'!$C$2:$C$5000,MATCH(G280,'Semrush Data'!$A$2:$A$5000,0)),"")</f>
        <v/>
      </c>
      <c r="I280" s="45">
        <f>IFERROR(INDEX('Semrush Data'!$D$2:$D$5000,MATCH(G280,'Semrush Data'!$A$2:$A$5000,0)),"")</f>
        <v/>
      </c>
      <c r="J280" s="45">
        <f>IF(OR(H280="",H280=0),"No volume",IF(I280&lt;=20,"Easier",IF(I280&lt;=35,"Medium","Hard")))</f>
        <v/>
      </c>
      <c r="K280" s="45" t="inlineStr">
        <is>
          <t>dolce &amp; gabbana devotion eau de parfum</t>
        </is>
      </c>
      <c r="L280" s="47">
        <f>IF(K280="","",IFERROR(INDEX('Semrush Data'!$C$2:$C$5000,MATCH(K280,'Semrush Data'!$A$2:$A$5000,0)),""))</f>
        <v/>
      </c>
      <c r="M280" s="48" t="inlineStr">
        <is>
          <t>Dolce &amp; Gabbana Devotion Eau de Parfum</t>
        </is>
      </c>
      <c r="N280" s="45" t="inlineStr">
        <is>
          <t>Dolce &amp; Gabbana Devotion Eau de Parfum 100ml | Swansura UK</t>
        </is>
      </c>
      <c r="O280" s="45">
        <f>LEN(N280)</f>
        <v/>
      </c>
      <c r="P280" s="49" t="inlineStr">
        <is>
          <t>Buy Dolce &amp; Gabbana Devotion Eau de Parfum 100ml for £54.99 at Swansura UK. A gourmand women's eau de parfum. 100% authentic, fast UK delivery, free over £50.</t>
        </is>
      </c>
      <c r="Q280" s="45">
        <f>LEN(P280)</f>
        <v/>
      </c>
      <c r="R280" s="49" t="n"/>
    </row>
    <row r="281" ht="23.25" customHeight="1" s="37">
      <c r="A281" s="45" t="inlineStr">
        <is>
          <t>FR-121</t>
        </is>
      </c>
      <c r="B281" s="45" t="inlineStr">
        <is>
          <t>Fragrance Catalogue</t>
        </is>
      </c>
      <c r="C281" s="45" t="inlineStr">
        <is>
          <t>Dolce &amp; Gabbana</t>
        </is>
      </c>
      <c r="D281" s="45" t="inlineStr">
        <is>
          <t>Dolce &amp; Gabbana Q Eau de Parfum 100ml – Luxury Women's Fruity Floral Fragrance</t>
        </is>
      </c>
      <c r="E281" s="45" t="inlineStr">
        <is>
          <t>100ml</t>
        </is>
      </c>
      <c r="F281" s="46" t="n">
        <v>53.99</v>
      </c>
      <c r="G281" s="45" t="inlineStr">
        <is>
          <t>dolce &amp; gabbana q</t>
        </is>
      </c>
      <c r="H281" s="47">
        <f>IFERROR(INDEX('Semrush Data'!$C$2:$C$5000,MATCH(G281,'Semrush Data'!$A$2:$A$5000,0)),"")</f>
        <v/>
      </c>
      <c r="I281" s="45">
        <f>IFERROR(INDEX('Semrush Data'!$D$2:$D$5000,MATCH(G281,'Semrush Data'!$A$2:$A$5000,0)),"")</f>
        <v/>
      </c>
      <c r="J281" s="45">
        <f>IF(OR(H281="",H281=0),"No volume",IF(I281&lt;=20,"Easier",IF(I281&lt;=35,"Medium","Hard")))</f>
        <v/>
      </c>
      <c r="K281" s="45" t="n"/>
      <c r="L281" s="47">
        <f>IF(K281="","",IFERROR(INDEX('Semrush Data'!$C$2:$C$5000,MATCH(K281,'Semrush Data'!$A$2:$A$5000,0)),""))</f>
        <v/>
      </c>
      <c r="M281" s="48" t="inlineStr">
        <is>
          <t>Dolce &amp; Gabbana Q Eau de Parfum</t>
        </is>
      </c>
      <c r="N281" s="45" t="inlineStr">
        <is>
          <t>Dolce &amp; Gabbana Q Eau de Parfum | Buy Online UK | Swansura</t>
        </is>
      </c>
      <c r="O281" s="45">
        <f>LEN(N281)</f>
        <v/>
      </c>
      <c r="P281" s="49" t="inlineStr">
        <is>
          <t>Buy Dolce &amp; Gabbana Q Eau de Parfum 100ml for £53.99 at Swansura UK. A floral women's eau de parfum. 100% authentic, fast UK delivery, free over £50.</t>
        </is>
      </c>
      <c r="Q281" s="45">
        <f>LEN(P281)</f>
        <v/>
      </c>
      <c r="R281" s="49" t="n"/>
    </row>
    <row r="282" ht="23.25" customHeight="1" s="37">
      <c r="A282" s="45" t="inlineStr">
        <is>
          <t>FR-122</t>
        </is>
      </c>
      <c r="B282" s="45" t="inlineStr">
        <is>
          <t>Fragrance Catalogue</t>
        </is>
      </c>
      <c r="C282" s="45" t="inlineStr">
        <is>
          <t>Dolce &amp; Gabbana</t>
        </is>
      </c>
      <c r="D282" s="45" t="inlineStr">
        <is>
          <t>Dolce &amp; Gabbana The One for Men Eau de Parfum 100ml – Luxury Men's Fragrance</t>
        </is>
      </c>
      <c r="E282" s="45" t="inlineStr">
        <is>
          <t>100ml</t>
        </is>
      </c>
      <c r="F282" s="46" t="n">
        <v>54.99</v>
      </c>
      <c r="G282" s="45" t="inlineStr">
        <is>
          <t>dolce &amp; gabbana the one</t>
        </is>
      </c>
      <c r="H282" s="47">
        <f>IFERROR(INDEX('Semrush Data'!$C$2:$C$5000,MATCH(G282,'Semrush Data'!$A$2:$A$5000,0)),"")</f>
        <v/>
      </c>
      <c r="I282" s="45">
        <f>IFERROR(INDEX('Semrush Data'!$D$2:$D$5000,MATCH(G282,'Semrush Data'!$A$2:$A$5000,0)),"")</f>
        <v/>
      </c>
      <c r="J282" s="45">
        <f>IF(OR(H282="",H282=0),"No volume",IF(I282&lt;=20,"Easier",IF(I282&lt;=35,"Medium","Hard")))</f>
        <v/>
      </c>
      <c r="K282" s="45" t="inlineStr">
        <is>
          <t>dolce &amp; gabbana the one for men</t>
        </is>
      </c>
      <c r="L282" s="47">
        <f>IF(K282="","",IFERROR(INDEX('Semrush Data'!$C$2:$C$5000,MATCH(K282,'Semrush Data'!$A$2:$A$5000,0)),""))</f>
        <v/>
      </c>
      <c r="M282" s="48" t="inlineStr">
        <is>
          <t>Dolce &amp; Gabbana The One for Men Eau de Parfum 100ml</t>
        </is>
      </c>
      <c r="N282" s="45" t="inlineStr">
        <is>
          <t>Dolce &amp; Gabbana The One for Men 100ml EDP | Swansura UK</t>
        </is>
      </c>
      <c r="O282" s="45">
        <f>LEN(N282)</f>
        <v/>
      </c>
      <c r="P282" s="49" t="inlineStr">
        <is>
          <t>Buy Dolce &amp; Gabbana The One for Men Eau de Parfum 100ml for £54.99 at Swansura UK. A woody men's eau de parfum. 100% authentic, fast UK delivery, free over £50.</t>
        </is>
      </c>
      <c r="Q282" s="45">
        <f>LEN(P282)</f>
        <v/>
      </c>
      <c r="R282" s="49" t="inlineStr">
        <is>
          <t>Shares the keyword "dolce &amp; gabbana the one" with 1 other listing(s): consider merging sizes as variants of one product</t>
        </is>
      </c>
    </row>
    <row r="283" ht="23.25" customHeight="1" s="37">
      <c r="A283" s="45" t="inlineStr">
        <is>
          <t>FR-123</t>
        </is>
      </c>
      <c r="B283" s="45" t="inlineStr">
        <is>
          <t>Fragrance Catalogue</t>
        </is>
      </c>
      <c r="C283" s="45" t="inlineStr">
        <is>
          <t>Dolce &amp; Gabbana</t>
        </is>
      </c>
      <c r="D283" s="45" t="inlineStr">
        <is>
          <t>Dolce &amp; Gabbana The One for Men Eau de Parfum 150ml – Luxury Men's Fragrance</t>
        </is>
      </c>
      <c r="E283" s="45" t="inlineStr">
        <is>
          <t>150ml</t>
        </is>
      </c>
      <c r="F283" s="46" t="n">
        <v>69.98999999999999</v>
      </c>
      <c r="G283" s="45" t="inlineStr">
        <is>
          <t>dolce &amp; gabbana the one</t>
        </is>
      </c>
      <c r="H283" s="47">
        <f>IFERROR(INDEX('Semrush Data'!$C$2:$C$5000,MATCH(G283,'Semrush Data'!$A$2:$A$5000,0)),"")</f>
        <v/>
      </c>
      <c r="I283" s="45">
        <f>IFERROR(INDEX('Semrush Data'!$D$2:$D$5000,MATCH(G283,'Semrush Data'!$A$2:$A$5000,0)),"")</f>
        <v/>
      </c>
      <c r="J283" s="45">
        <f>IF(OR(H283="",H283=0),"No volume",IF(I283&lt;=20,"Easier",IF(I283&lt;=35,"Medium","Hard")))</f>
        <v/>
      </c>
      <c r="K283" s="45" t="inlineStr">
        <is>
          <t>dolce &amp; gabbana the one for men</t>
        </is>
      </c>
      <c r="L283" s="47">
        <f>IF(K283="","",IFERROR(INDEX('Semrush Data'!$C$2:$C$5000,MATCH(K283,'Semrush Data'!$A$2:$A$5000,0)),""))</f>
        <v/>
      </c>
      <c r="M283" s="48" t="inlineStr">
        <is>
          <t>Dolce &amp; Gabbana The One for Men Eau de Parfum 150ml</t>
        </is>
      </c>
      <c r="N283" s="45" t="inlineStr">
        <is>
          <t>Dolce &amp; Gabbana The One for Men 150ml EDP | Swansura UK</t>
        </is>
      </c>
      <c r="O283" s="45">
        <f>LEN(N283)</f>
        <v/>
      </c>
      <c r="P283" s="49" t="inlineStr">
        <is>
          <t>Buy Dolce &amp; Gabbana The One for Men Eau de Parfum 150ml for £69.99 at Swansura UK. A woody men's eau de parfum. 100% authentic, fast UK delivery, free over £50.</t>
        </is>
      </c>
      <c r="Q283" s="45">
        <f>LEN(P283)</f>
        <v/>
      </c>
      <c r="R283" s="49" t="inlineStr">
        <is>
          <t>Shares the keyword "dolce &amp; gabbana the one" with 1 other listing(s): consider merging sizes as variants of one product</t>
        </is>
      </c>
    </row>
    <row r="284" ht="23.25" customHeight="1" s="37">
      <c r="A284" s="45" t="inlineStr">
        <is>
          <t>FR-124</t>
        </is>
      </c>
      <c r="B284" s="45" t="inlineStr">
        <is>
          <t>Fragrance Catalogue</t>
        </is>
      </c>
      <c r="C284" s="45" t="inlineStr">
        <is>
          <t>Dolce &amp; Gabbana</t>
        </is>
      </c>
      <c r="D284" s="45" t="inlineStr">
        <is>
          <t>Dolce &amp; Gabbana The One for Men Eau de Parfum Intense 100ml – Luxury Men's Fragrance</t>
        </is>
      </c>
      <c r="E284" s="45" t="inlineStr">
        <is>
          <t>100ml</t>
        </is>
      </c>
      <c r="F284" s="46" t="n">
        <v>54.99</v>
      </c>
      <c r="G284" s="45" t="inlineStr">
        <is>
          <t>dolce &amp; gabbana the one intense</t>
        </is>
      </c>
      <c r="H284" s="47">
        <f>IFERROR(INDEX('Semrush Data'!$C$2:$C$5000,MATCH(G284,'Semrush Data'!$A$2:$A$5000,0)),"")</f>
        <v/>
      </c>
      <c r="I284" s="45">
        <f>IFERROR(INDEX('Semrush Data'!$D$2:$D$5000,MATCH(G284,'Semrush Data'!$A$2:$A$5000,0)),"")</f>
        <v/>
      </c>
      <c r="J284" s="45">
        <f>IF(OR(H284="",H284=0),"No volume",IF(I284&lt;=20,"Easier",IF(I284&lt;=35,"Medium","Hard")))</f>
        <v/>
      </c>
      <c r="K284" s="45" t="inlineStr">
        <is>
          <t>dolce &amp; gabbana the one intense eau de parfum</t>
        </is>
      </c>
      <c r="L284" s="47">
        <f>IF(K284="","",IFERROR(INDEX('Semrush Data'!$C$2:$C$5000,MATCH(K284,'Semrush Data'!$A$2:$A$5000,0)),""))</f>
        <v/>
      </c>
      <c r="M284" s="48" t="inlineStr">
        <is>
          <t>Dolce &amp; Gabbana The One for Men Eau de Parfum Intense</t>
        </is>
      </c>
      <c r="N284" s="45" t="inlineStr">
        <is>
          <t>Dolce &amp; Gabbana The One for Men Intense | Swansura UK</t>
        </is>
      </c>
      <c r="O284" s="45">
        <f>LEN(N284)</f>
        <v/>
      </c>
      <c r="P284" s="49" t="inlineStr">
        <is>
          <t>Dolce &amp; Gabbana The One for Men Eau de Parfum Intense for £54.99 at Swansura UK. A woody men's eau de parfum. 100% authentic, fast UK delivery, free over £50.</t>
        </is>
      </c>
      <c r="Q284" s="45">
        <f>LEN(P284)</f>
        <v/>
      </c>
      <c r="R284" s="49" t="n"/>
    </row>
    <row r="285" ht="23.25" customHeight="1" s="37">
      <c r="A285" s="45" t="inlineStr">
        <is>
          <t>FR-125</t>
        </is>
      </c>
      <c r="B285" s="45" t="inlineStr">
        <is>
          <t>Fragrance Catalogue</t>
        </is>
      </c>
      <c r="C285" s="45" t="inlineStr">
        <is>
          <t>Dolce &amp; Gabbana</t>
        </is>
      </c>
      <c r="D285" s="45" t="inlineStr">
        <is>
          <t>Dolce &amp; Gabbana The One Gold for Men Eau de Parfum Intense 100ml – Luxury Men's Fragrance</t>
        </is>
      </c>
      <c r="E285" s="45" t="inlineStr">
        <is>
          <t>100ml</t>
        </is>
      </c>
      <c r="F285" s="46" t="n">
        <v>54.99</v>
      </c>
      <c r="G285" s="45" t="inlineStr">
        <is>
          <t>dolce &amp; gabbana the one gold intense</t>
        </is>
      </c>
      <c r="H285" s="47">
        <f>IFERROR(INDEX('Semrush Data'!$C$2:$C$5000,MATCH(G285,'Semrush Data'!$A$2:$A$5000,0)),"")</f>
        <v/>
      </c>
      <c r="I285" s="45">
        <f>IFERROR(INDEX('Semrush Data'!$D$2:$D$5000,MATCH(G285,'Semrush Data'!$A$2:$A$5000,0)),"")</f>
        <v/>
      </c>
      <c r="J285" s="45">
        <f>IF(OR(H285="",H285=0),"No volume",IF(I285&lt;=20,"Easier",IF(I285&lt;=35,"Medium","Hard")))</f>
        <v/>
      </c>
      <c r="K285" s="45" t="n"/>
      <c r="L285" s="47">
        <f>IF(K285="","",IFERROR(INDEX('Semrush Data'!$C$2:$C$5000,MATCH(K285,'Semrush Data'!$A$2:$A$5000,0)),""))</f>
        <v/>
      </c>
      <c r="M285" s="48" t="inlineStr">
        <is>
          <t>Dolce &amp; Gabbana The One Gold for Men Eau de Parfum Intense</t>
        </is>
      </c>
      <c r="N285" s="45" t="inlineStr">
        <is>
          <t>Dolce &amp; Gabbana The One Gold for Men Intense | Swansura UK</t>
        </is>
      </c>
      <c r="O285" s="45">
        <f>LEN(N285)</f>
        <v/>
      </c>
      <c r="P285" s="49" t="inlineStr">
        <is>
          <t>Dolce &amp; Gabbana The One Gold for Men Eau de Parfum Intense for £54.99 at Swansura UK. A woody men's eau de parfum. 100% authentic, free UK delivery over £50.</t>
        </is>
      </c>
      <c r="Q285" s="45">
        <f>LEN(P285)</f>
        <v/>
      </c>
      <c r="R285" s="49" t="n"/>
    </row>
    <row r="286" ht="23.25" customHeight="1" s="37">
      <c r="A286" s="45" t="inlineStr">
        <is>
          <t>FR-126</t>
        </is>
      </c>
      <c r="B286" s="45" t="inlineStr">
        <is>
          <t>Fragrance Catalogue</t>
        </is>
      </c>
      <c r="C286" s="45" t="inlineStr">
        <is>
          <t>Dolce &amp; Gabbana</t>
        </is>
      </c>
      <c r="D286" s="45" t="inlineStr">
        <is>
          <t>Dolce &amp; Gabbana L'Imperatrice Eau de Toilette 100ml – Women's Fruity Floral Fragrance</t>
        </is>
      </c>
      <c r="E286" s="45" t="inlineStr">
        <is>
          <t>100ml</t>
        </is>
      </c>
      <c r="F286" s="46" t="n">
        <v>34.99</v>
      </c>
      <c r="G286" s="45" t="inlineStr">
        <is>
          <t>dolce &amp; gabbana l'imperatrice</t>
        </is>
      </c>
      <c r="H286" s="47">
        <f>IFERROR(INDEX('Semrush Data'!$C$2:$C$5000,MATCH(G286,'Semrush Data'!$A$2:$A$5000,0)),"")</f>
        <v/>
      </c>
      <c r="I286" s="45">
        <f>IFERROR(INDEX('Semrush Data'!$D$2:$D$5000,MATCH(G286,'Semrush Data'!$A$2:$A$5000,0)),"")</f>
        <v/>
      </c>
      <c r="J286" s="45">
        <f>IF(OR(H286="",H286=0),"No volume",IF(I286&lt;=20,"Easier",IF(I286&lt;=35,"Medium","Hard")))</f>
        <v/>
      </c>
      <c r="K286" s="45" t="inlineStr">
        <is>
          <t>dolce &amp; gabbana l'imperatrice eau de toilette</t>
        </is>
      </c>
      <c r="L286" s="47">
        <f>IF(K286="","",IFERROR(INDEX('Semrush Data'!$C$2:$C$5000,MATCH(K286,'Semrush Data'!$A$2:$A$5000,0)),""))</f>
        <v/>
      </c>
      <c r="M286" s="48" t="inlineStr">
        <is>
          <t>Dolce &amp; Gabbana L'Imperatrice Eau de Toilette</t>
        </is>
      </c>
      <c r="N286" s="45" t="inlineStr">
        <is>
          <t>Dolce &amp; Gabbana L'Imperatrice EDT 100ml | Swansura UK</t>
        </is>
      </c>
      <c r="O286" s="45">
        <f>LEN(N286)</f>
        <v/>
      </c>
      <c r="P286" s="49" t="inlineStr">
        <is>
          <t>Buy Dolce &amp; Gabbana L'Imperatrice Eau de Toilette 100ml for £34.99 at Swansura UK. A floral women's eau de toilette. 100% authentic, free UK delivery over £50.</t>
        </is>
      </c>
      <c r="Q286" s="45">
        <f>LEN(P286)</f>
        <v/>
      </c>
      <c r="R286" s="49" t="n"/>
    </row>
    <row r="287" ht="23.25" customHeight="1" s="37">
      <c r="A287" s="45" t="inlineStr">
        <is>
          <t>FR-127</t>
        </is>
      </c>
      <c r="B287" s="45" t="inlineStr">
        <is>
          <t>Fragrance Catalogue</t>
        </is>
      </c>
      <c r="C287" s="45" t="inlineStr">
        <is>
          <t>Dolce &amp; Gabbana</t>
        </is>
      </c>
      <c r="D287" s="45" t="inlineStr">
        <is>
          <t>Dolce &amp; Gabbana Devotion Eau de Parfum Gift Set 50ml + 10ml – Women's Fragrance Set</t>
        </is>
      </c>
      <c r="E287" s="45" t="inlineStr">
        <is>
          <t>50ml</t>
        </is>
      </c>
      <c r="F287" s="46" t="n">
        <v>54.99</v>
      </c>
      <c r="G287" s="45" t="inlineStr">
        <is>
          <t>dolce &amp; gabbana devotion gift set</t>
        </is>
      </c>
      <c r="H287" s="47">
        <f>IFERROR(INDEX('Semrush Data'!$C$2:$C$5000,MATCH(G287,'Semrush Data'!$A$2:$A$5000,0)),"")</f>
        <v/>
      </c>
      <c r="I287" s="45">
        <f>IFERROR(INDEX('Semrush Data'!$D$2:$D$5000,MATCH(G287,'Semrush Data'!$A$2:$A$5000,0)),"")</f>
        <v/>
      </c>
      <c r="J287" s="45">
        <f>IF(OR(H287="",H287=0),"No volume",IF(I287&lt;=20,"Easier",IF(I287&lt;=35,"Medium","Hard")))</f>
        <v/>
      </c>
      <c r="K287" s="45" t="n"/>
      <c r="L287" s="47">
        <f>IF(K287="","",IFERROR(INDEX('Semrush Data'!$C$2:$C$5000,MATCH(K287,'Semrush Data'!$A$2:$A$5000,0)),""))</f>
        <v/>
      </c>
      <c r="M287" s="48" t="inlineStr">
        <is>
          <t>Dolce &amp; Gabbana Devotion Eau de Parfum Gift Set</t>
        </is>
      </c>
      <c r="N287" s="45" t="inlineStr">
        <is>
          <t>Dolce &amp; Gabbana Devotion Gift Set EDP 50ml | Swansura UK</t>
        </is>
      </c>
      <c r="O287" s="45">
        <f>LEN(N287)</f>
        <v/>
      </c>
      <c r="P287" s="49" t="inlineStr">
        <is>
          <t>Buy Dolce &amp; Gabbana Devotion Eau de Parfum Gift Set for £54.99 at Swansura UK. A woody women's eau de parfum. 100% authentic, fast UK delivery, free over £50.</t>
        </is>
      </c>
      <c r="Q287" s="45">
        <f>LEN(P287)</f>
        <v/>
      </c>
      <c r="R287" s="49" t="n"/>
    </row>
    <row r="288" ht="23.25" customHeight="1" s="37">
      <c r="A288" s="45" t="inlineStr">
        <is>
          <t>FR-128</t>
        </is>
      </c>
      <c r="B288" s="45" t="inlineStr">
        <is>
          <t>Fragrance Catalogue</t>
        </is>
      </c>
      <c r="C288" s="45" t="inlineStr">
        <is>
          <t>Dolce &amp; Gabbana</t>
        </is>
      </c>
      <c r="D288" s="45" t="inlineStr">
        <is>
          <t>Dolce &amp; Gabbana K Eau de Parfum Gift Set 50ml + 5ml – Men's Fragrance Set</t>
        </is>
      </c>
      <c r="E288" s="45" t="inlineStr">
        <is>
          <t>50ml</t>
        </is>
      </c>
      <c r="F288" s="46" t="n">
        <v>54.99</v>
      </c>
      <c r="G288" s="45" t="inlineStr">
        <is>
          <t>dolce &amp; gabbana k gift set</t>
        </is>
      </c>
      <c r="H288" s="47">
        <f>IFERROR(INDEX('Semrush Data'!$C$2:$C$5000,MATCH(G288,'Semrush Data'!$A$2:$A$5000,0)),"")</f>
        <v/>
      </c>
      <c r="I288" s="45">
        <f>IFERROR(INDEX('Semrush Data'!$D$2:$D$5000,MATCH(G288,'Semrush Data'!$A$2:$A$5000,0)),"")</f>
        <v/>
      </c>
      <c r="J288" s="45">
        <f>IF(OR(H288="",H288=0),"No volume",IF(I288&lt;=20,"Easier",IF(I288&lt;=35,"Medium","Hard")))</f>
        <v/>
      </c>
      <c r="K288" s="45" t="n"/>
      <c r="L288" s="47">
        <f>IF(K288="","",IFERROR(INDEX('Semrush Data'!$C$2:$C$5000,MATCH(K288,'Semrush Data'!$A$2:$A$5000,0)),""))</f>
        <v/>
      </c>
      <c r="M288" s="48" t="inlineStr">
        <is>
          <t>Dolce &amp; Gabbana K Eau de Parfum Gift Set</t>
        </is>
      </c>
      <c r="N288" s="45" t="inlineStr">
        <is>
          <t>Dolce &amp; Gabbana K Eau de Parfum Gift Set 50ml | Swansura UK</t>
        </is>
      </c>
      <c r="O288" s="45">
        <f>LEN(N288)</f>
        <v/>
      </c>
      <c r="P288" s="49" t="inlineStr">
        <is>
          <t>Buy Dolce &amp; Gabbana K Eau de Parfum Gift Set 50ml for £54.99 at Swansura UK. A woody men's eau de parfum. 100% authentic, fast UK delivery, free over £50.</t>
        </is>
      </c>
      <c r="Q288" s="45">
        <f>LEN(P288)</f>
        <v/>
      </c>
      <c r="R288" s="49" t="n"/>
    </row>
    <row r="289" ht="34.5" customHeight="1" s="37">
      <c r="A289" s="45" t="inlineStr">
        <is>
          <t>FR-129</t>
        </is>
      </c>
      <c r="B289" s="45" t="inlineStr">
        <is>
          <t>Fragrance Catalogue</t>
        </is>
      </c>
      <c r="C289" s="45" t="inlineStr">
        <is>
          <t>Dolce &amp; Gabbana</t>
        </is>
      </c>
      <c r="D289" s="45" t="inlineStr">
        <is>
          <t>Dolce &amp; Gabbana Men's Miniature Fragrance Set – Devotion, K EDT, K EDP, The One &amp; Light Blue Pour Homme</t>
        </is>
      </c>
      <c r="E289" s="45" t="inlineStr">
        <is>
          <t>4x5ml</t>
        </is>
      </c>
      <c r="F289" s="46" t="n">
        <v>34.99</v>
      </c>
      <c r="G289" s="45" t="inlineStr">
        <is>
          <t>dolce &amp; gabbana miniature set</t>
        </is>
      </c>
      <c r="H289" s="47">
        <f>IFERROR(INDEX('Semrush Data'!$C$2:$C$5000,MATCH(G289,'Semrush Data'!$A$2:$A$5000,0)),"")</f>
        <v/>
      </c>
      <c r="I289" s="45">
        <f>IFERROR(INDEX('Semrush Data'!$D$2:$D$5000,MATCH(G289,'Semrush Data'!$A$2:$A$5000,0)),"")</f>
        <v/>
      </c>
      <c r="J289" s="45">
        <f>IF(OR(H289="",H289=0),"No volume",IF(I289&lt;=20,"Easier",IF(I289&lt;=35,"Medium","Hard")))</f>
        <v/>
      </c>
      <c r="K289" s="45" t="n"/>
      <c r="L289" s="47">
        <f>IF(K289="","",IFERROR(INDEX('Semrush Data'!$C$2:$C$5000,MATCH(K289,'Semrush Data'!$A$2:$A$5000,0)),""))</f>
        <v/>
      </c>
      <c r="M289" s="48" t="inlineStr">
        <is>
          <t>Dolce &amp; Gabbana Men's Miniature Fragrance Set for Men</t>
        </is>
      </c>
      <c r="N289" s="45" t="inlineStr">
        <is>
          <t>Dolce &amp; Gabbana Men's Miniature Fragrance Set for Men | Swan</t>
        </is>
      </c>
      <c r="O289" s="45">
        <f>LEN(N289)</f>
        <v/>
      </c>
      <c r="P289" s="49" t="inlineStr">
        <is>
          <t>Dolce &amp; Gabbana Men's Miniature Fragrance Set for Men for £34.99 at Swansura UK. A fresh men's eau de parfum. 100% authentic, fast UK delivery, free over £50.</t>
        </is>
      </c>
      <c r="Q289" s="45">
        <f>LEN(P289)</f>
        <v/>
      </c>
      <c r="R289" s="49" t="inlineStr">
        <is>
          <t>Shares the keyword "dolce &amp; gabbana miniature set" with 1 other listing(s): consider merging sizes as variants of one product</t>
        </is>
      </c>
    </row>
    <row r="290" ht="23.25" customHeight="1" s="37">
      <c r="A290" s="45" t="inlineStr">
        <is>
          <t>FR-130</t>
        </is>
      </c>
      <c r="B290" s="45" t="inlineStr">
        <is>
          <t>Fragrance Catalogue</t>
        </is>
      </c>
      <c r="C290" s="45" t="inlineStr">
        <is>
          <t>Dolce &amp; Gabbana</t>
        </is>
      </c>
      <c r="D290" s="45" t="inlineStr">
        <is>
          <t>Dolce &amp; Gabbana The One for Women Eau de Parfum Gift Set 50ml + 50ml – Luxury Women's Fragrance Set</t>
        </is>
      </c>
      <c r="E290" s="45" t="inlineStr">
        <is>
          <t>50ml</t>
        </is>
      </c>
      <c r="F290" s="46" t="n">
        <v>64.98999999999999</v>
      </c>
      <c r="G290" s="45" t="inlineStr">
        <is>
          <t>dolce &amp; gabbana the one gift set</t>
        </is>
      </c>
      <c r="H290" s="47">
        <f>IFERROR(INDEX('Semrush Data'!$C$2:$C$5000,MATCH(G290,'Semrush Data'!$A$2:$A$5000,0)),"")</f>
        <v/>
      </c>
      <c r="I290" s="45">
        <f>IFERROR(INDEX('Semrush Data'!$D$2:$D$5000,MATCH(G290,'Semrush Data'!$A$2:$A$5000,0)),"")</f>
        <v/>
      </c>
      <c r="J290" s="45">
        <f>IF(OR(H290="",H290=0),"No volume",IF(I290&lt;=20,"Easier",IF(I290&lt;=35,"Medium","Hard")))</f>
        <v/>
      </c>
      <c r="K290" s="45" t="n"/>
      <c r="L290" s="47">
        <f>IF(K290="","",IFERROR(INDEX('Semrush Data'!$C$2:$C$5000,MATCH(K290,'Semrush Data'!$A$2:$A$5000,0)),""))</f>
        <v/>
      </c>
      <c r="M290" s="48" t="inlineStr">
        <is>
          <t>Dolce &amp; Gabbana The One for Women Eau de Parfum Gift Set</t>
        </is>
      </c>
      <c r="N290" s="45" t="inlineStr">
        <is>
          <t>Dolce &amp; Gabbana The One for Women Gift Set | Swansura UK</t>
        </is>
      </c>
      <c r="O290" s="45">
        <f>LEN(N290)</f>
        <v/>
      </c>
      <c r="P290" s="49" t="inlineStr">
        <is>
          <t>Dolce &amp; Gabbana The One for Women Eau de Parfum Gift Set for £64.99 at Swansura UK. A woody women's eau de parfum. 100% authentic, free UK delivery over £50.</t>
        </is>
      </c>
      <c r="Q290" s="45">
        <f>LEN(P290)</f>
        <v/>
      </c>
      <c r="R290" s="49" t="n"/>
    </row>
    <row r="291" ht="34.5" customHeight="1" s="37">
      <c r="A291" s="45" t="inlineStr">
        <is>
          <t>FR-131</t>
        </is>
      </c>
      <c r="B291" s="45" t="inlineStr">
        <is>
          <t>Fragrance Catalogue</t>
        </is>
      </c>
      <c r="C291" s="45" t="inlineStr">
        <is>
          <t>Dolce &amp; Gabbana</t>
        </is>
      </c>
      <c r="D291" s="45" t="inlineStr">
        <is>
          <t>Dolce &amp; Gabbana Women's Miniature Fragrance Set – Devotion, Q, Blue Jasmine, The One &amp; Light Blue</t>
        </is>
      </c>
      <c r="E291" s="45" t="inlineStr">
        <is>
          <t>4x5ml</t>
        </is>
      </c>
      <c r="F291" s="46" t="n">
        <v>39.99</v>
      </c>
      <c r="G291" s="45" t="inlineStr">
        <is>
          <t>dolce &amp; gabbana miniature set</t>
        </is>
      </c>
      <c r="H291" s="47">
        <f>IFERROR(INDEX('Semrush Data'!$C$2:$C$5000,MATCH(G291,'Semrush Data'!$A$2:$A$5000,0)),"")</f>
        <v/>
      </c>
      <c r="I291" s="45">
        <f>IFERROR(INDEX('Semrush Data'!$D$2:$D$5000,MATCH(G291,'Semrush Data'!$A$2:$A$5000,0)),"")</f>
        <v/>
      </c>
      <c r="J291" s="45">
        <f>IF(OR(H291="",H291=0),"No volume",IF(I291&lt;=20,"Easier",IF(I291&lt;=35,"Medium","Hard")))</f>
        <v/>
      </c>
      <c r="K291" s="45" t="n"/>
      <c r="L291" s="47">
        <f>IF(K291="","",IFERROR(INDEX('Semrush Data'!$C$2:$C$5000,MATCH(K291,'Semrush Data'!$A$2:$A$5000,0)),""))</f>
        <v/>
      </c>
      <c r="M291" s="48" t="inlineStr">
        <is>
          <t>Dolce &amp; Gabbana Women's Miniature Fragrance Set for Women</t>
        </is>
      </c>
      <c r="N291" s="45" t="inlineStr">
        <is>
          <t xml:space="preserve">Dolce &amp; Gabbana Women's Miniature Fragrance Set for Women | </t>
        </is>
      </c>
      <c r="O291" s="45">
        <f>LEN(N291)</f>
        <v/>
      </c>
      <c r="P291" s="49" t="inlineStr">
        <is>
          <t>Buy Dolce &amp; Gabbana Women's Miniature Fragrance Set for Women 4x5ml for £39.99 at Swansura UK. A floral women's fragrance gift set. Free UK delivery over £50.</t>
        </is>
      </c>
      <c r="Q291" s="45">
        <f>LEN(P291)</f>
        <v/>
      </c>
      <c r="R291" s="49" t="inlineStr">
        <is>
          <t>Shares the keyword "dolce &amp; gabbana miniature set" with 1 other listing(s): consider merging sizes as variants of one product</t>
        </is>
      </c>
    </row>
    <row r="292" ht="23.25" customHeight="1" s="37">
      <c r="A292" s="45" t="inlineStr">
        <is>
          <t>FR-132</t>
        </is>
      </c>
      <c r="B292" s="45" t="inlineStr">
        <is>
          <t>Fragrance Catalogue</t>
        </is>
      </c>
      <c r="C292" s="45" t="inlineStr">
        <is>
          <t>Dunhill</t>
        </is>
      </c>
      <c r="D292" s="45" t="inlineStr">
        <is>
          <t>Dunhill Signature Collection Agar Wood Eau de Parfum 100ml – Men's Woody Spicy Fragrance</t>
        </is>
      </c>
      <c r="E292" s="45" t="inlineStr">
        <is>
          <t>100ml</t>
        </is>
      </c>
      <c r="F292" s="46" t="n">
        <v>45.99</v>
      </c>
      <c r="G292" s="45" t="inlineStr">
        <is>
          <t>dunhill signature collection agar wood</t>
        </is>
      </c>
      <c r="H292" s="47">
        <f>IFERROR(INDEX('Semrush Data'!$C$2:$C$5000,MATCH(G292,'Semrush Data'!$A$2:$A$5000,0)),"")</f>
        <v/>
      </c>
      <c r="I292" s="45">
        <f>IFERROR(INDEX('Semrush Data'!$D$2:$D$5000,MATCH(G292,'Semrush Data'!$A$2:$A$5000,0)),"")</f>
        <v/>
      </c>
      <c r="J292" s="45">
        <f>IF(OR(H292="",H292=0),"No volume",IF(I292&lt;=20,"Easier",IF(I292&lt;=35,"Medium","Hard")))</f>
        <v/>
      </c>
      <c r="K292" s="45" t="n"/>
      <c r="L292" s="47">
        <f>IF(K292="","",IFERROR(INDEX('Semrush Data'!$C$2:$C$5000,MATCH(K292,'Semrush Data'!$A$2:$A$5000,0)),""))</f>
        <v/>
      </c>
      <c r="M292" s="48" t="inlineStr">
        <is>
          <t>Dunhill Signature Collection Agar Wood Eau de Parfum</t>
        </is>
      </c>
      <c r="N292" s="45" t="inlineStr">
        <is>
          <t>Dunhill Signature Collection Agar Wood | Swansura UK</t>
        </is>
      </c>
      <c r="O292" s="45">
        <f>LEN(N292)</f>
        <v/>
      </c>
      <c r="P292" s="49" t="inlineStr">
        <is>
          <t>Dunhill Signature Collection Agar Wood Eau de Parfum for £45.99 at Swansura UK. A woody men's eau de parfum. 100% authentic, fast UK delivery, free over £50.</t>
        </is>
      </c>
      <c r="Q292" s="45">
        <f>LEN(P292)</f>
        <v/>
      </c>
      <c r="R292" s="49" t="n"/>
    </row>
    <row r="293" ht="23.25" customHeight="1" s="37">
      <c r="A293" s="45" t="inlineStr">
        <is>
          <t>FR-133</t>
        </is>
      </c>
      <c r="B293" s="45" t="inlineStr">
        <is>
          <t>Fragrance Catalogue</t>
        </is>
      </c>
      <c r="C293" s="45" t="inlineStr">
        <is>
          <t>Dunhill</t>
        </is>
      </c>
      <c r="D293" s="45" t="inlineStr">
        <is>
          <t>Dunhill Signature Collection Amalfi Citrus Eau de Parfum 100ml – Men's Citrus Aromatic Fragrance</t>
        </is>
      </c>
      <c r="E293" s="45" t="inlineStr">
        <is>
          <t>100ml</t>
        </is>
      </c>
      <c r="F293" s="46" t="n">
        <v>45.99</v>
      </c>
      <c r="G293" s="45" t="inlineStr">
        <is>
          <t>dunhill signature collection amalfi citrus</t>
        </is>
      </c>
      <c r="H293" s="47">
        <f>IFERROR(INDEX('Semrush Data'!$C$2:$C$5000,MATCH(G293,'Semrush Data'!$A$2:$A$5000,0)),"")</f>
        <v/>
      </c>
      <c r="I293" s="45">
        <f>IFERROR(INDEX('Semrush Data'!$D$2:$D$5000,MATCH(G293,'Semrush Data'!$A$2:$A$5000,0)),"")</f>
        <v/>
      </c>
      <c r="J293" s="45">
        <f>IF(OR(H293="",H293=0),"No volume",IF(I293&lt;=20,"Easier",IF(I293&lt;=35,"Medium","Hard")))</f>
        <v/>
      </c>
      <c r="K293" s="45" t="n"/>
      <c r="L293" s="47">
        <f>IF(K293="","",IFERROR(INDEX('Semrush Data'!$C$2:$C$5000,MATCH(K293,'Semrush Data'!$A$2:$A$5000,0)),""))</f>
        <v/>
      </c>
      <c r="M293" s="48" t="inlineStr">
        <is>
          <t>Dunhill Signature Collection Amalfi Citrus Eau de Parfum</t>
        </is>
      </c>
      <c r="N293" s="45" t="inlineStr">
        <is>
          <t>Dunhill Signature Collection Amalfi Citrus | Swansura UK</t>
        </is>
      </c>
      <c r="O293" s="45">
        <f>LEN(N293)</f>
        <v/>
      </c>
      <c r="P293" s="49" t="inlineStr">
        <is>
          <t>Buy Dunhill Signature Collection Amalfi Citrus Eau de Parfum for £45.99 at Swansura UK. A citrus men's eau de parfum. 100% authentic, free UK delivery over £50.</t>
        </is>
      </c>
      <c r="Q293" s="45">
        <f>LEN(P293)</f>
        <v/>
      </c>
      <c r="R293" s="49" t="n"/>
    </row>
    <row r="294" ht="23.25" customHeight="1" s="37">
      <c r="A294" s="45" t="inlineStr">
        <is>
          <t>FR-134</t>
        </is>
      </c>
      <c r="B294" s="45" t="inlineStr">
        <is>
          <t>Fragrance Catalogue</t>
        </is>
      </c>
      <c r="C294" s="45" t="inlineStr">
        <is>
          <t>Dunhill</t>
        </is>
      </c>
      <c r="D294" s="45" t="inlineStr">
        <is>
          <t>Dunhill Signature Collection Arabian Desert Eau de Parfum 100ml – Men's Amber Woody Fragrance</t>
        </is>
      </c>
      <c r="E294" s="45" t="inlineStr">
        <is>
          <t>100ml</t>
        </is>
      </c>
      <c r="F294" s="46" t="n">
        <v>45.99</v>
      </c>
      <c r="G294" s="45" t="inlineStr">
        <is>
          <t>dunhill signature collection arabian desert</t>
        </is>
      </c>
      <c r="H294" s="47">
        <f>IFERROR(INDEX('Semrush Data'!$C$2:$C$5000,MATCH(G294,'Semrush Data'!$A$2:$A$5000,0)),"")</f>
        <v/>
      </c>
      <c r="I294" s="45">
        <f>IFERROR(INDEX('Semrush Data'!$D$2:$D$5000,MATCH(G294,'Semrush Data'!$A$2:$A$5000,0)),"")</f>
        <v/>
      </c>
      <c r="J294" s="45">
        <f>IF(OR(H294="",H294=0),"No volume",IF(I294&lt;=20,"Easier",IF(I294&lt;=35,"Medium","Hard")))</f>
        <v/>
      </c>
      <c r="K294" s="45" t="n"/>
      <c r="L294" s="47">
        <f>IF(K294="","",IFERROR(INDEX('Semrush Data'!$C$2:$C$5000,MATCH(K294,'Semrush Data'!$A$2:$A$5000,0)),""))</f>
        <v/>
      </c>
      <c r="M294" s="48" t="inlineStr">
        <is>
          <t>Dunhill Signature Collection Arabian Desert Eau de Parfum</t>
        </is>
      </c>
      <c r="N294" s="45" t="inlineStr">
        <is>
          <t>Dunhill Signature Collection Arabian Desert | Swansura UK</t>
        </is>
      </c>
      <c r="O294" s="45">
        <f>LEN(N294)</f>
        <v/>
      </c>
      <c r="P294" s="49" t="inlineStr">
        <is>
          <t>Buy Dunhill Signature Collection Arabian Desert Eau de Parfum for £45.99 at Swansura UK. A woody men's eau de parfum. 100% authentic, free UK delivery over £50.</t>
        </is>
      </c>
      <c r="Q294" s="45">
        <f>LEN(P294)</f>
        <v/>
      </c>
      <c r="R294" s="49" t="n"/>
    </row>
    <row r="295" ht="23.25" customHeight="1" s="37">
      <c r="A295" s="45" t="inlineStr">
        <is>
          <t>FR-135</t>
        </is>
      </c>
      <c r="B295" s="45" t="inlineStr">
        <is>
          <t>Fragrance Catalogue</t>
        </is>
      </c>
      <c r="C295" s="45" t="inlineStr">
        <is>
          <t>Dunhill</t>
        </is>
      </c>
      <c r="D295" s="45" t="inlineStr">
        <is>
          <t>Dunhill Signature Collection British Leather Eau de Parfum 100ml – Men's Leather Woody Fragrance</t>
        </is>
      </c>
      <c r="E295" s="45" t="inlineStr">
        <is>
          <t>100ml</t>
        </is>
      </c>
      <c r="F295" s="46" t="n">
        <v>45.99</v>
      </c>
      <c r="G295" s="45" t="inlineStr">
        <is>
          <t>dunhill signature collection british leather</t>
        </is>
      </c>
      <c r="H295" s="47">
        <f>IFERROR(INDEX('Semrush Data'!$C$2:$C$5000,MATCH(G295,'Semrush Data'!$A$2:$A$5000,0)),"")</f>
        <v/>
      </c>
      <c r="I295" s="45">
        <f>IFERROR(INDEX('Semrush Data'!$D$2:$D$5000,MATCH(G295,'Semrush Data'!$A$2:$A$5000,0)),"")</f>
        <v/>
      </c>
      <c r="J295" s="45">
        <f>IF(OR(H295="",H295=0),"No volume",IF(I295&lt;=20,"Easier",IF(I295&lt;=35,"Medium","Hard")))</f>
        <v/>
      </c>
      <c r="K295" s="45" t="n"/>
      <c r="L295" s="47">
        <f>IF(K295="","",IFERROR(INDEX('Semrush Data'!$C$2:$C$5000,MATCH(K295,'Semrush Data'!$A$2:$A$5000,0)),""))</f>
        <v/>
      </c>
      <c r="M295" s="48" t="inlineStr">
        <is>
          <t>Dunhill Signature Collection British Leather Eau de Parfum</t>
        </is>
      </c>
      <c r="N295" s="45" t="inlineStr">
        <is>
          <t>Dunhill Signature Collection British Leather | Swansura UK</t>
        </is>
      </c>
      <c r="O295" s="45">
        <f>LEN(N295)</f>
        <v/>
      </c>
      <c r="P295" s="49" t="inlineStr">
        <is>
          <t>Dunhill Signature Collection British Leather Eau de Parfum for £45.99 at Swansura UK. A woody men's eau de parfum. 100% authentic, free UK delivery over £50.</t>
        </is>
      </c>
      <c r="Q295" s="45">
        <f>LEN(P295)</f>
        <v/>
      </c>
      <c r="R295" s="49" t="n"/>
    </row>
    <row r="296" ht="23.25" customHeight="1" s="37">
      <c r="A296" s="45" t="inlineStr">
        <is>
          <t>FR-136</t>
        </is>
      </c>
      <c r="B296" s="45" t="inlineStr">
        <is>
          <t>Fragrance Catalogue</t>
        </is>
      </c>
      <c r="C296" s="45" t="inlineStr">
        <is>
          <t>Dunhill</t>
        </is>
      </c>
      <c r="D296" s="45" t="inlineStr">
        <is>
          <t>Dunhill Signature Collection Egyptian Smoke Eau de Parfum 100ml – Men's Amber Spicy Fragrance</t>
        </is>
      </c>
      <c r="E296" s="45" t="inlineStr">
        <is>
          <t>100ml</t>
        </is>
      </c>
      <c r="F296" s="46" t="n">
        <v>45.99</v>
      </c>
      <c r="G296" s="45" t="inlineStr">
        <is>
          <t>dunhill signature collection egyptian smoke</t>
        </is>
      </c>
      <c r="H296" s="47">
        <f>IFERROR(INDEX('Semrush Data'!$C$2:$C$5000,MATCH(G296,'Semrush Data'!$A$2:$A$5000,0)),"")</f>
        <v/>
      </c>
      <c r="I296" s="45">
        <f>IFERROR(INDEX('Semrush Data'!$D$2:$D$5000,MATCH(G296,'Semrush Data'!$A$2:$A$5000,0)),"")</f>
        <v/>
      </c>
      <c r="J296" s="45">
        <f>IF(OR(H296="",H296=0),"No volume",IF(I296&lt;=20,"Easier",IF(I296&lt;=35,"Medium","Hard")))</f>
        <v/>
      </c>
      <c r="K296" s="45" t="n"/>
      <c r="L296" s="47">
        <f>IF(K296="","",IFERROR(INDEX('Semrush Data'!$C$2:$C$5000,MATCH(K296,'Semrush Data'!$A$2:$A$5000,0)),""))</f>
        <v/>
      </c>
      <c r="M296" s="48" t="inlineStr">
        <is>
          <t>Dunhill Signature Collection Egyptian Smoke Eau de Parfum</t>
        </is>
      </c>
      <c r="N296" s="45" t="inlineStr">
        <is>
          <t>Dunhill Signature Collection Egyptian Smoke | Swansura UK</t>
        </is>
      </c>
      <c r="O296" s="45">
        <f>LEN(N296)</f>
        <v/>
      </c>
      <c r="P296" s="49" t="inlineStr">
        <is>
          <t>Dunhill Signature Collection Egyptian Smoke Eau de Parfum for £45.99 at Swansura UK. An amber men's eau de parfum. 100% authentic, free UK delivery over £50.</t>
        </is>
      </c>
      <c r="Q296" s="45">
        <f>LEN(P296)</f>
        <v/>
      </c>
      <c r="R296" s="49" t="n"/>
    </row>
    <row r="297" ht="23.25" customHeight="1" s="37">
      <c r="A297" s="45" t="inlineStr">
        <is>
          <t>FR-137</t>
        </is>
      </c>
      <c r="B297" s="45" t="inlineStr">
        <is>
          <t>Fragrance Catalogue</t>
        </is>
      </c>
      <c r="C297" s="45" t="inlineStr">
        <is>
          <t>Dunhill</t>
        </is>
      </c>
      <c r="D297" s="45" t="inlineStr">
        <is>
          <t>Dunhill Signature Collection Indian Sandalwood Eau de Parfum 100ml – Men's Woody Spicy Fragrance</t>
        </is>
      </c>
      <c r="E297" s="45" t="inlineStr">
        <is>
          <t>100ml</t>
        </is>
      </c>
      <c r="F297" s="46" t="n">
        <v>45.99</v>
      </c>
      <c r="G297" s="45" t="inlineStr">
        <is>
          <t>dunhill signature collection indian sandalwood</t>
        </is>
      </c>
      <c r="H297" s="47">
        <f>IFERROR(INDEX('Semrush Data'!$C$2:$C$5000,MATCH(G297,'Semrush Data'!$A$2:$A$5000,0)),"")</f>
        <v/>
      </c>
      <c r="I297" s="45">
        <f>IFERROR(INDEX('Semrush Data'!$D$2:$D$5000,MATCH(G297,'Semrush Data'!$A$2:$A$5000,0)),"")</f>
        <v/>
      </c>
      <c r="J297" s="45">
        <f>IF(OR(H297="",H297=0),"No volume",IF(I297&lt;=20,"Easier",IF(I297&lt;=35,"Medium","Hard")))</f>
        <v/>
      </c>
      <c r="K297" s="45" t="n"/>
      <c r="L297" s="47">
        <f>IF(K297="","",IFERROR(INDEX('Semrush Data'!$C$2:$C$5000,MATCH(K297,'Semrush Data'!$A$2:$A$5000,0)),""))</f>
        <v/>
      </c>
      <c r="M297" s="48" t="inlineStr">
        <is>
          <t>Dunhill Signature Collection Indian Sandalwood Eau de Parfum</t>
        </is>
      </c>
      <c r="N297" s="45" t="inlineStr">
        <is>
          <t>Dunhill Signature Collection Indian Sandalwood | Swansura UK</t>
        </is>
      </c>
      <c r="O297" s="45">
        <f>LEN(N297)</f>
        <v/>
      </c>
      <c r="P297" s="49" t="inlineStr">
        <is>
          <t>Dunhill Signature Collection Indian Sandalwood Eau de Parfum for £45.99 at Swansura UK. A woody men's eau de parfum. 100% authentic, free UK delivery over £50.</t>
        </is>
      </c>
      <c r="Q297" s="45">
        <f>LEN(P297)</f>
        <v/>
      </c>
      <c r="R297" s="49" t="n"/>
    </row>
    <row r="298" ht="23.25" customHeight="1" s="37">
      <c r="A298" s="45" t="inlineStr">
        <is>
          <t>FR-138</t>
        </is>
      </c>
      <c r="B298" s="45" t="inlineStr">
        <is>
          <t>Fragrance Catalogue</t>
        </is>
      </c>
      <c r="C298" s="45" t="inlineStr">
        <is>
          <t>Dunhill</t>
        </is>
      </c>
      <c r="D298" s="45" t="inlineStr">
        <is>
          <t>Dunhill Signature Collection Mongolian Cashmere Eau de Parfum 100ml – Men's Woody Amber Fragrance</t>
        </is>
      </c>
      <c r="E298" s="45" t="inlineStr">
        <is>
          <t>100ml</t>
        </is>
      </c>
      <c r="F298" s="46" t="n">
        <v>45.99</v>
      </c>
      <c r="G298" s="45" t="inlineStr">
        <is>
          <t>dunhill signature collection mongolian cashmere</t>
        </is>
      </c>
      <c r="H298" s="47">
        <f>IFERROR(INDEX('Semrush Data'!$C$2:$C$5000,MATCH(G298,'Semrush Data'!$A$2:$A$5000,0)),"")</f>
        <v/>
      </c>
      <c r="I298" s="45">
        <f>IFERROR(INDEX('Semrush Data'!$D$2:$D$5000,MATCH(G298,'Semrush Data'!$A$2:$A$5000,0)),"")</f>
        <v/>
      </c>
      <c r="J298" s="45">
        <f>IF(OR(H298="",H298=0),"No volume",IF(I298&lt;=20,"Easier",IF(I298&lt;=35,"Medium","Hard")))</f>
        <v/>
      </c>
      <c r="K298" s="45" t="n"/>
      <c r="L298" s="47">
        <f>IF(K298="","",IFERROR(INDEX('Semrush Data'!$C$2:$C$5000,MATCH(K298,'Semrush Data'!$A$2:$A$5000,0)),""))</f>
        <v/>
      </c>
      <c r="M298" s="48" t="inlineStr">
        <is>
          <t>Dunhill Signature Collection Mongolian Cashmere Eau de Parfum</t>
        </is>
      </c>
      <c r="N298" s="45" t="inlineStr">
        <is>
          <t>Dunhill Signature Collection Mongolian Cashmere | Swansura U</t>
        </is>
      </c>
      <c r="O298" s="45">
        <f>LEN(N298)</f>
        <v/>
      </c>
      <c r="P298" s="49" t="inlineStr">
        <is>
          <t>Dunhill Signature Collection Mongolian Cashmere Eau de Parfum for £45.99 at Swansura UK. A woody men's eau de parfum. 100% authentic, free UK delivery over £50.</t>
        </is>
      </c>
      <c r="Q298" s="45">
        <f>LEN(P298)</f>
        <v/>
      </c>
      <c r="R298" s="49" t="n"/>
    </row>
    <row r="299" ht="23.25" customHeight="1" s="37">
      <c r="A299" s="45" t="inlineStr">
        <is>
          <t>FR-139</t>
        </is>
      </c>
      <c r="B299" s="45" t="inlineStr">
        <is>
          <t>Fragrance Catalogue</t>
        </is>
      </c>
      <c r="C299" s="45" t="inlineStr">
        <is>
          <t>Dunhill</t>
        </is>
      </c>
      <c r="D299" s="45" t="inlineStr">
        <is>
          <t>Dunhill Signature Collection Moroccan Amber Eau de Parfum 100ml – Men's Amber Spicy Fragrance</t>
        </is>
      </c>
      <c r="E299" s="45" t="inlineStr">
        <is>
          <t>100ml</t>
        </is>
      </c>
      <c r="F299" s="46" t="n">
        <v>45.99</v>
      </c>
      <c r="G299" s="45" t="inlineStr">
        <is>
          <t>dunhill signature collection moroccan amber</t>
        </is>
      </c>
      <c r="H299" s="47">
        <f>IFERROR(INDEX('Semrush Data'!$C$2:$C$5000,MATCH(G299,'Semrush Data'!$A$2:$A$5000,0)),"")</f>
        <v/>
      </c>
      <c r="I299" s="45">
        <f>IFERROR(INDEX('Semrush Data'!$D$2:$D$5000,MATCH(G299,'Semrush Data'!$A$2:$A$5000,0)),"")</f>
        <v/>
      </c>
      <c r="J299" s="45">
        <f>IF(OR(H299="",H299=0),"No volume",IF(I299&lt;=20,"Easier",IF(I299&lt;=35,"Medium","Hard")))</f>
        <v/>
      </c>
      <c r="K299" s="45" t="n"/>
      <c r="L299" s="47">
        <f>IF(K299="","",IFERROR(INDEX('Semrush Data'!$C$2:$C$5000,MATCH(K299,'Semrush Data'!$A$2:$A$5000,0)),""))</f>
        <v/>
      </c>
      <c r="M299" s="48" t="inlineStr">
        <is>
          <t>Dunhill Signature Collection Moroccan Amber Eau de Parfum</t>
        </is>
      </c>
      <c r="N299" s="45" t="inlineStr">
        <is>
          <t>Dunhill Signature Collection Moroccan Amber | Swansura UK</t>
        </is>
      </c>
      <c r="O299" s="45">
        <f>LEN(N299)</f>
        <v/>
      </c>
      <c r="P299" s="49" t="inlineStr">
        <is>
          <t>Dunhill Signature Collection Moroccan Amber Eau de Parfum for £45.99 at Swansura UK. An amber men's eau de parfum. 100% authentic, free UK delivery over £50.</t>
        </is>
      </c>
      <c r="Q299" s="45">
        <f>LEN(P299)</f>
        <v/>
      </c>
      <c r="R299" s="49" t="n"/>
    </row>
    <row r="300" ht="23.25" customHeight="1" s="37">
      <c r="A300" s="45" t="inlineStr">
        <is>
          <t>FR-140</t>
        </is>
      </c>
      <c r="B300" s="45" t="inlineStr">
        <is>
          <t>Fragrance Catalogue</t>
        </is>
      </c>
      <c r="C300" s="45" t="inlineStr">
        <is>
          <t>Dunhill</t>
        </is>
      </c>
      <c r="D300" s="45" t="inlineStr">
        <is>
          <t>Dunhill Signature Collection Nordic Fougère Eau de Parfum 100ml – Men's Aromatic Woody Fragrance</t>
        </is>
      </c>
      <c r="E300" s="45" t="inlineStr">
        <is>
          <t>100ml</t>
        </is>
      </c>
      <c r="F300" s="46" t="n">
        <v>45.99</v>
      </c>
      <c r="G300" s="45" t="inlineStr">
        <is>
          <t>dunhill signature collection nordic fougere</t>
        </is>
      </c>
      <c r="H300" s="47">
        <f>IFERROR(INDEX('Semrush Data'!$C$2:$C$5000,MATCH(G300,'Semrush Data'!$A$2:$A$5000,0)),"")</f>
        <v/>
      </c>
      <c r="I300" s="45">
        <f>IFERROR(INDEX('Semrush Data'!$D$2:$D$5000,MATCH(G300,'Semrush Data'!$A$2:$A$5000,0)),"")</f>
        <v/>
      </c>
      <c r="J300" s="45">
        <f>IF(OR(H300="",H300=0),"No volume",IF(I300&lt;=20,"Easier",IF(I300&lt;=35,"Medium","Hard")))</f>
        <v/>
      </c>
      <c r="K300" s="45" t="n"/>
      <c r="L300" s="47">
        <f>IF(K300="","",IFERROR(INDEX('Semrush Data'!$C$2:$C$5000,MATCH(K300,'Semrush Data'!$A$2:$A$5000,0)),""))</f>
        <v/>
      </c>
      <c r="M300" s="48" t="inlineStr">
        <is>
          <t>Dunhill Signature Collection Nordic Fougère Eau de Parfum</t>
        </is>
      </c>
      <c r="N300" s="45" t="inlineStr">
        <is>
          <t>Dunhill Signature Collection Nordic Fougère | Swansura UK</t>
        </is>
      </c>
      <c r="O300" s="45">
        <f>LEN(N300)</f>
        <v/>
      </c>
      <c r="P300" s="49" t="inlineStr">
        <is>
          <t>Buy Dunhill Signature Collection Nordic Fougère Eau de Parfum for £45.99 at Swansura UK. A woody men's eau de parfum. 100% authentic, free UK delivery over £50.</t>
        </is>
      </c>
      <c r="Q300" s="45">
        <f>LEN(P300)</f>
        <v/>
      </c>
      <c r="R300" s="49" t="n"/>
    </row>
    <row r="301" ht="23.25" customHeight="1" s="37">
      <c r="A301" s="45" t="inlineStr">
        <is>
          <t>FR-141</t>
        </is>
      </c>
      <c r="B301" s="45" t="inlineStr">
        <is>
          <t>Fragrance Catalogue</t>
        </is>
      </c>
      <c r="C301" s="45" t="inlineStr">
        <is>
          <t>Dunhill</t>
        </is>
      </c>
      <c r="D301" s="45" t="inlineStr">
        <is>
          <t>Dunhill Signature Collection Valensole Lavender Eau de Parfum 100ml – Men's Aromatic Fougere Fragrance</t>
        </is>
      </c>
      <c r="E301" s="45" t="inlineStr">
        <is>
          <t>100ml</t>
        </is>
      </c>
      <c r="F301" s="46" t="n">
        <v>45.99</v>
      </c>
      <c r="G301" s="45" t="inlineStr">
        <is>
          <t>dunhill signature collection valensole lavender</t>
        </is>
      </c>
      <c r="H301" s="47">
        <f>IFERROR(INDEX('Semrush Data'!$C$2:$C$5000,MATCH(G301,'Semrush Data'!$A$2:$A$5000,0)),"")</f>
        <v/>
      </c>
      <c r="I301" s="45">
        <f>IFERROR(INDEX('Semrush Data'!$D$2:$D$5000,MATCH(G301,'Semrush Data'!$A$2:$A$5000,0)),"")</f>
        <v/>
      </c>
      <c r="J301" s="45">
        <f>IF(OR(H301="",H301=0),"No volume",IF(I301&lt;=20,"Easier",IF(I301&lt;=35,"Medium","Hard")))</f>
        <v/>
      </c>
      <c r="K301" s="45" t="n"/>
      <c r="L301" s="47">
        <f>IF(K301="","",IFERROR(INDEX('Semrush Data'!$C$2:$C$5000,MATCH(K301,'Semrush Data'!$A$2:$A$5000,0)),""))</f>
        <v/>
      </c>
      <c r="M301" s="48" t="inlineStr">
        <is>
          <t>Dunhill Signature Collection Valensole Lavender Eau de Parfum</t>
        </is>
      </c>
      <c r="N301" s="45" t="inlineStr">
        <is>
          <t>Dunhill Signature Collection Valensole Lavender | Swansura U</t>
        </is>
      </c>
      <c r="O301" s="45">
        <f>LEN(N301)</f>
        <v/>
      </c>
      <c r="P301" s="49" t="inlineStr">
        <is>
          <t>Buy Dunhill Signature Collection Valensole Lavender Eau de Parfum 100ml for £45.99 at Swansura UK. An aromatic men's eau de parfum. Free UK delivery over £50.</t>
        </is>
      </c>
      <c r="Q301" s="45">
        <f>LEN(P301)</f>
        <v/>
      </c>
      <c r="R301" s="49" t="n"/>
    </row>
    <row r="302" ht="23.25" customHeight="1" s="37">
      <c r="A302" s="45" t="inlineStr">
        <is>
          <t>FR-142</t>
        </is>
      </c>
      <c r="B302" s="45" t="inlineStr">
        <is>
          <t>Fragrance Catalogue</t>
        </is>
      </c>
      <c r="C302" s="45" t="inlineStr">
        <is>
          <t>Dunhill</t>
        </is>
      </c>
      <c r="D302" s="45" t="inlineStr">
        <is>
          <t>Dunhill Desire Black Eau de Toilette 100ml – Men's Spicy Woody Fragrance</t>
        </is>
      </c>
      <c r="E302" s="45" t="inlineStr">
        <is>
          <t>100ml</t>
        </is>
      </c>
      <c r="F302" s="46" t="n">
        <v>28.99</v>
      </c>
      <c r="G302" s="45" t="inlineStr">
        <is>
          <t>dunhill desire black</t>
        </is>
      </c>
      <c r="H302" s="47">
        <f>IFERROR(INDEX('Semrush Data'!$C$2:$C$5000,MATCH(G302,'Semrush Data'!$A$2:$A$5000,0)),"")</f>
        <v/>
      </c>
      <c r="I302" s="45">
        <f>IFERROR(INDEX('Semrush Data'!$D$2:$D$5000,MATCH(G302,'Semrush Data'!$A$2:$A$5000,0)),"")</f>
        <v/>
      </c>
      <c r="J302" s="45">
        <f>IF(OR(H302="",H302=0),"No volume",IF(I302&lt;=20,"Easier",IF(I302&lt;=35,"Medium","Hard")))</f>
        <v/>
      </c>
      <c r="K302" s="45" t="n"/>
      <c r="L302" s="47">
        <f>IF(K302="","",IFERROR(INDEX('Semrush Data'!$C$2:$C$5000,MATCH(K302,'Semrush Data'!$A$2:$A$5000,0)),""))</f>
        <v/>
      </c>
      <c r="M302" s="48" t="inlineStr">
        <is>
          <t>Dunhill Desire Black Eau de Toilette</t>
        </is>
      </c>
      <c r="N302" s="45" t="inlineStr">
        <is>
          <t>Dunhill Desire Black Eau de Toilette 100ml | Swansura UK</t>
        </is>
      </c>
      <c r="O302" s="45">
        <f>LEN(N302)</f>
        <v/>
      </c>
      <c r="P302" s="49" t="inlineStr">
        <is>
          <t>Buy Dunhill Desire Black Eau de Toilette 100ml for £28.99 at Swansura UK. A woody men's eau de toilette. 100% authentic, fast UK delivery, free over £50.</t>
        </is>
      </c>
      <c r="Q302" s="45">
        <f>LEN(P302)</f>
        <v/>
      </c>
      <c r="R302" s="49" t="n"/>
    </row>
    <row r="303" ht="23.25" customHeight="1" s="37">
      <c r="A303" s="45" t="inlineStr">
        <is>
          <t>FR-143</t>
        </is>
      </c>
      <c r="B303" s="45" t="inlineStr">
        <is>
          <t>Fragrance Catalogue</t>
        </is>
      </c>
      <c r="C303" s="45" t="inlineStr">
        <is>
          <t>Dunhill</t>
        </is>
      </c>
      <c r="D303" s="45" t="inlineStr">
        <is>
          <t>Dunhill Desire Blue Eau de Toilette 100ml – Men's Fresh Aquatic Fragrance</t>
        </is>
      </c>
      <c r="E303" s="45" t="inlineStr">
        <is>
          <t>100ml</t>
        </is>
      </c>
      <c r="F303" s="46" t="n">
        <v>28.99</v>
      </c>
      <c r="G303" s="45" t="inlineStr">
        <is>
          <t>dunhill desire blue</t>
        </is>
      </c>
      <c r="H303" s="47">
        <f>IFERROR(INDEX('Semrush Data'!$C$2:$C$5000,MATCH(G303,'Semrush Data'!$A$2:$A$5000,0)),"")</f>
        <v/>
      </c>
      <c r="I303" s="45">
        <f>IFERROR(INDEX('Semrush Data'!$D$2:$D$5000,MATCH(G303,'Semrush Data'!$A$2:$A$5000,0)),"")</f>
        <v/>
      </c>
      <c r="J303" s="45">
        <f>IF(OR(H303="",H303=0),"No volume",IF(I303&lt;=20,"Easier",IF(I303&lt;=35,"Medium","Hard")))</f>
        <v/>
      </c>
      <c r="K303" s="45" t="inlineStr">
        <is>
          <t>dunhill desire blue eau de toilette</t>
        </is>
      </c>
      <c r="L303" s="47">
        <f>IF(K303="","",IFERROR(INDEX('Semrush Data'!$C$2:$C$5000,MATCH(K303,'Semrush Data'!$A$2:$A$5000,0)),""))</f>
        <v/>
      </c>
      <c r="M303" s="48" t="inlineStr">
        <is>
          <t>Dunhill Desire Blue Eau de Toilette</t>
        </is>
      </c>
      <c r="N303" s="45" t="inlineStr">
        <is>
          <t>Dunhill Desire Blue Eau de Toilette 100ml | Swansura UK</t>
        </is>
      </c>
      <c r="O303" s="45">
        <f>LEN(N303)</f>
        <v/>
      </c>
      <c r="P303" s="49" t="inlineStr">
        <is>
          <t>Buy Dunhill Desire Blue Eau de Toilette 100ml for £28.99 at Swansura UK. A fresh men's eau de toilette. 100% authentic, fast UK delivery, free over £50.</t>
        </is>
      </c>
      <c r="Q303" s="45">
        <f>LEN(P303)</f>
        <v/>
      </c>
      <c r="R303" s="49" t="n"/>
    </row>
    <row r="304" ht="23.25" customHeight="1" s="37">
      <c r="A304" s="45" t="inlineStr">
        <is>
          <t>FR-144</t>
        </is>
      </c>
      <c r="B304" s="45" t="inlineStr">
        <is>
          <t>Fragrance Catalogue</t>
        </is>
      </c>
      <c r="C304" s="45" t="inlineStr">
        <is>
          <t>Dunhill</t>
        </is>
      </c>
      <c r="D304" s="45" t="inlineStr">
        <is>
          <t>Dunhill Desire Gold Eau de Toilette 100ml – Men's Woody Spicy Fragrance</t>
        </is>
      </c>
      <c r="E304" s="45" t="inlineStr">
        <is>
          <t>100ml</t>
        </is>
      </c>
      <c r="F304" s="46" t="n">
        <v>28.99</v>
      </c>
      <c r="G304" s="45" t="inlineStr">
        <is>
          <t>dunhill desire gold</t>
        </is>
      </c>
      <c r="H304" s="47">
        <f>IFERROR(INDEX('Semrush Data'!$C$2:$C$5000,MATCH(G304,'Semrush Data'!$A$2:$A$5000,0)),"")</f>
        <v/>
      </c>
      <c r="I304" s="45">
        <f>IFERROR(INDEX('Semrush Data'!$D$2:$D$5000,MATCH(G304,'Semrush Data'!$A$2:$A$5000,0)),"")</f>
        <v/>
      </c>
      <c r="J304" s="45">
        <f>IF(OR(H304="",H304=0),"No volume",IF(I304&lt;=20,"Easier",IF(I304&lt;=35,"Medium","Hard")))</f>
        <v/>
      </c>
      <c r="K304" s="45" t="n"/>
      <c r="L304" s="47">
        <f>IF(K304="","",IFERROR(INDEX('Semrush Data'!$C$2:$C$5000,MATCH(K304,'Semrush Data'!$A$2:$A$5000,0)),""))</f>
        <v/>
      </c>
      <c r="M304" s="48" t="inlineStr">
        <is>
          <t>Dunhill Desire Gold Eau de Toilette</t>
        </is>
      </c>
      <c r="N304" s="45" t="inlineStr">
        <is>
          <t>Dunhill Desire Gold Eau de Toilette 100ml | Swansura UK</t>
        </is>
      </c>
      <c r="O304" s="45">
        <f>LEN(N304)</f>
        <v/>
      </c>
      <c r="P304" s="49" t="inlineStr">
        <is>
          <t>Buy Dunhill Desire Gold Eau de Toilette 100ml for £28.99 at Swansura UK. A woody men's eau de toilette. 100% authentic, fast UK delivery, free over £50.</t>
        </is>
      </c>
      <c r="Q304" s="45">
        <f>LEN(P304)</f>
        <v/>
      </c>
      <c r="R304" s="49" t="n"/>
    </row>
    <row r="305" ht="23.25" customHeight="1" s="37">
      <c r="A305" s="45" t="inlineStr">
        <is>
          <t>FR-145</t>
        </is>
      </c>
      <c r="B305" s="45" t="inlineStr">
        <is>
          <t>Fragrance Catalogue</t>
        </is>
      </c>
      <c r="C305" s="45" t="inlineStr">
        <is>
          <t>Dunhill</t>
        </is>
      </c>
      <c r="D305" s="45" t="inlineStr">
        <is>
          <t>Dunhill Desire Silver Eau de Toilette 100ml – Men's Fresh Woody Fragrance</t>
        </is>
      </c>
      <c r="E305" s="45" t="inlineStr">
        <is>
          <t>100ml</t>
        </is>
      </c>
      <c r="F305" s="46" t="n">
        <v>28.99</v>
      </c>
      <c r="G305" s="45" t="inlineStr">
        <is>
          <t>dunhill desire silver</t>
        </is>
      </c>
      <c r="H305" s="47">
        <f>IFERROR(INDEX('Semrush Data'!$C$2:$C$5000,MATCH(G305,'Semrush Data'!$A$2:$A$5000,0)),"")</f>
        <v/>
      </c>
      <c r="I305" s="45">
        <f>IFERROR(INDEX('Semrush Data'!$D$2:$D$5000,MATCH(G305,'Semrush Data'!$A$2:$A$5000,0)),"")</f>
        <v/>
      </c>
      <c r="J305" s="45">
        <f>IF(OR(H305="",H305=0),"No volume",IF(I305&lt;=20,"Easier",IF(I305&lt;=35,"Medium","Hard")))</f>
        <v/>
      </c>
      <c r="K305" s="45" t="n"/>
      <c r="L305" s="47">
        <f>IF(K305="","",IFERROR(INDEX('Semrush Data'!$C$2:$C$5000,MATCH(K305,'Semrush Data'!$A$2:$A$5000,0)),""))</f>
        <v/>
      </c>
      <c r="M305" s="48" t="inlineStr">
        <is>
          <t>Dunhill Desire Silver Eau de Toilette</t>
        </is>
      </c>
      <c r="N305" s="45" t="inlineStr">
        <is>
          <t>Dunhill Desire Silver Eau de Toilette 100ml | Swansura UK</t>
        </is>
      </c>
      <c r="O305" s="45">
        <f>LEN(N305)</f>
        <v/>
      </c>
      <c r="P305" s="49" t="inlineStr">
        <is>
          <t>Buy Dunhill Desire Silver Eau de Toilette 100ml for £28.99 at Swansura UK. A woody men's eau de toilette. 100% authentic, fast UK delivery, free over £50.</t>
        </is>
      </c>
      <c r="Q305" s="45">
        <f>LEN(P305)</f>
        <v/>
      </c>
      <c r="R305" s="49" t="n"/>
    </row>
    <row r="306" ht="23.25" customHeight="1" s="37">
      <c r="A306" s="45" t="inlineStr">
        <is>
          <t>FR-146</t>
        </is>
      </c>
      <c r="B306" s="45" t="inlineStr">
        <is>
          <t>Fragrance Catalogue</t>
        </is>
      </c>
      <c r="C306" s="45" t="inlineStr">
        <is>
          <t>Elie Saab</t>
        </is>
      </c>
      <c r="D306" s="45" t="inlineStr">
        <is>
          <t>Elie Saab Elixir Eau de Parfum 50ml – Women's Floral Amber Fragrance</t>
        </is>
      </c>
      <c r="E306" s="45" t="inlineStr">
        <is>
          <t>50ml</t>
        </is>
      </c>
      <c r="F306" s="46" t="n">
        <v>31.99</v>
      </c>
      <c r="G306" s="45" t="inlineStr">
        <is>
          <t>elie saab elixir</t>
        </is>
      </c>
      <c r="H306" s="47">
        <f>IFERROR(INDEX('Semrush Data'!$C$2:$C$5000,MATCH(G306,'Semrush Data'!$A$2:$A$5000,0)),"")</f>
        <v/>
      </c>
      <c r="I306" s="45">
        <f>IFERROR(INDEX('Semrush Data'!$D$2:$D$5000,MATCH(G306,'Semrush Data'!$A$2:$A$5000,0)),"")</f>
        <v/>
      </c>
      <c r="J306" s="45">
        <f>IF(OR(H306="",H306=0),"No volume",IF(I306&lt;=20,"Easier",IF(I306&lt;=35,"Medium","Hard")))</f>
        <v/>
      </c>
      <c r="K306" s="45" t="inlineStr">
        <is>
          <t>elie saab elixir eau de parfum</t>
        </is>
      </c>
      <c r="L306" s="47">
        <f>IF(K306="","",IFERROR(INDEX('Semrush Data'!$C$2:$C$5000,MATCH(K306,'Semrush Data'!$A$2:$A$5000,0)),""))</f>
        <v/>
      </c>
      <c r="M306" s="48" t="inlineStr">
        <is>
          <t>Elie Saab Elixir Eau de Parfum</t>
        </is>
      </c>
      <c r="N306" s="45" t="inlineStr">
        <is>
          <t>Elie Saab Elixir Eau de Parfum | Buy Online UK | Swansura</t>
        </is>
      </c>
      <c r="O306" s="45">
        <f>LEN(N306)</f>
        <v/>
      </c>
      <c r="P306" s="49" t="inlineStr">
        <is>
          <t>Buy Elie Saab Elixir Eau de Parfum 50ml for £31.99 at Swansura UK. A floral women's eau de parfum. 100% authentic, fast UK delivery, free over £50.</t>
        </is>
      </c>
      <c r="Q306" s="45">
        <f>LEN(P306)</f>
        <v/>
      </c>
      <c r="R306" s="49" t="n"/>
    </row>
    <row r="307" ht="23.25" customHeight="1" s="37">
      <c r="A307" s="45" t="inlineStr">
        <is>
          <t>FR-147</t>
        </is>
      </c>
      <c r="B307" s="45" t="inlineStr">
        <is>
          <t>Fragrance Catalogue</t>
        </is>
      </c>
      <c r="C307" s="45" t="inlineStr">
        <is>
          <t>Elie Saab</t>
        </is>
      </c>
      <c r="D307" s="45" t="inlineStr">
        <is>
          <t>Elie Saab La Collection des Essences No. 1 Rose Eau de Parfum 100ml – Luxury Unisex Rose Fragrance</t>
        </is>
      </c>
      <c r="E307" s="45" t="inlineStr">
        <is>
          <t>100ml</t>
        </is>
      </c>
      <c r="F307" s="46" t="n">
        <v>45.99</v>
      </c>
      <c r="G307" s="45" t="inlineStr">
        <is>
          <t>elie saab la collection des essences no. 1 rose</t>
        </is>
      </c>
      <c r="H307" s="47">
        <f>IFERROR(INDEX('Semrush Data'!$C$2:$C$5000,MATCH(G307,'Semrush Data'!$A$2:$A$5000,0)),"")</f>
        <v/>
      </c>
      <c r="I307" s="45">
        <f>IFERROR(INDEX('Semrush Data'!$D$2:$D$5000,MATCH(G307,'Semrush Data'!$A$2:$A$5000,0)),"")</f>
        <v/>
      </c>
      <c r="J307" s="45">
        <f>IF(OR(H307="",H307=0),"No volume",IF(I307&lt;=20,"Easier",IF(I307&lt;=35,"Medium","Hard")))</f>
        <v/>
      </c>
      <c r="K307" s="45" t="n"/>
      <c r="L307" s="47">
        <f>IF(K307="","",IFERROR(INDEX('Semrush Data'!$C$2:$C$5000,MATCH(K307,'Semrush Data'!$A$2:$A$5000,0)),""))</f>
        <v/>
      </c>
      <c r="M307" s="48" t="inlineStr">
        <is>
          <t>Elie Saab La Collection des Essences No. 1 Rose Eau de Parfum</t>
        </is>
      </c>
      <c r="N307" s="45" t="inlineStr">
        <is>
          <t>Elie Saab La Collection des Essences No. 1 Rose | Swansura U</t>
        </is>
      </c>
      <c r="O307" s="45">
        <f>LEN(N307)</f>
        <v/>
      </c>
      <c r="P307" s="49" t="inlineStr">
        <is>
          <t>Buy Elie Saab La Collection des Essences No. 1 Rose Eau de Parfum 100ml for £45.99 at Swansura UK. A floral unisex eau de parfum. Free UK delivery over £50.</t>
        </is>
      </c>
      <c r="Q307" s="45">
        <f>LEN(P307)</f>
        <v/>
      </c>
      <c r="R307" s="49" t="n"/>
    </row>
    <row r="308" ht="23.25" customHeight="1" s="37">
      <c r="A308" s="45" t="inlineStr">
        <is>
          <t>FR-148</t>
        </is>
      </c>
      <c r="B308" s="45" t="inlineStr">
        <is>
          <t>Fragrance Catalogue</t>
        </is>
      </c>
      <c r="C308" s="45" t="inlineStr">
        <is>
          <t>Elie Saab</t>
        </is>
      </c>
      <c r="D308" s="45" t="inlineStr">
        <is>
          <t>Elie Saab La Collection des Essences No. 4 Oud Eau de Parfum 100ml – Luxury Unisex Oud Fragrance</t>
        </is>
      </c>
      <c r="E308" s="45" t="inlineStr">
        <is>
          <t>100ml</t>
        </is>
      </c>
      <c r="F308" s="46" t="n">
        <v>51.99</v>
      </c>
      <c r="G308" s="45" t="inlineStr">
        <is>
          <t>elie saab la collection des essences no. 4 oud</t>
        </is>
      </c>
      <c r="H308" s="47">
        <f>IFERROR(INDEX('Semrush Data'!$C$2:$C$5000,MATCH(G308,'Semrush Data'!$A$2:$A$5000,0)),"")</f>
        <v/>
      </c>
      <c r="I308" s="45">
        <f>IFERROR(INDEX('Semrush Data'!$D$2:$D$5000,MATCH(G308,'Semrush Data'!$A$2:$A$5000,0)),"")</f>
        <v/>
      </c>
      <c r="J308" s="45">
        <f>IF(OR(H308="",H308=0),"No volume",IF(I308&lt;=20,"Easier",IF(I308&lt;=35,"Medium","Hard")))</f>
        <v/>
      </c>
      <c r="K308" s="45" t="n"/>
      <c r="L308" s="47">
        <f>IF(K308="","",IFERROR(INDEX('Semrush Data'!$C$2:$C$5000,MATCH(K308,'Semrush Data'!$A$2:$A$5000,0)),""))</f>
        <v/>
      </c>
      <c r="M308" s="48" t="inlineStr">
        <is>
          <t>Elie Saab La Collection des Essences No. 4 Oud Eau de Parfum</t>
        </is>
      </c>
      <c r="N308" s="45" t="inlineStr">
        <is>
          <t>Elie Saab La Collection des Essences No. 4 Oud | Swansura UK</t>
        </is>
      </c>
      <c r="O308" s="45">
        <f>LEN(N308)</f>
        <v/>
      </c>
      <c r="P308" s="49" t="inlineStr">
        <is>
          <t>Elie Saab La Collection des Essences No. 4 Oud Eau de Parfum for £51.99 at Swansura UK. An oud unisex eau de parfum. 100% authentic, free UK delivery over £50.</t>
        </is>
      </c>
      <c r="Q308" s="45">
        <f>LEN(P308)</f>
        <v/>
      </c>
      <c r="R308" s="49" t="n"/>
    </row>
    <row r="309" ht="23.25" customHeight="1" s="37">
      <c r="A309" s="45" t="inlineStr">
        <is>
          <t>FR-149</t>
        </is>
      </c>
      <c r="B309" s="45" t="inlineStr">
        <is>
          <t>Fragrance Catalogue</t>
        </is>
      </c>
      <c r="C309" s="45" t="inlineStr">
        <is>
          <t>Elie Saab</t>
        </is>
      </c>
      <c r="D309" s="45" t="inlineStr">
        <is>
          <t>Elie Saab Le Parfum Bridal Eau de Parfum 90ml – Women's Floral Amber Fragrance</t>
        </is>
      </c>
      <c r="E309" s="45" t="inlineStr">
        <is>
          <t>90ml</t>
        </is>
      </c>
      <c r="F309" s="46" t="n">
        <v>44.99</v>
      </c>
      <c r="G309" s="45" t="inlineStr">
        <is>
          <t>elie saab le parfum bridal</t>
        </is>
      </c>
      <c r="H309" s="47">
        <f>IFERROR(INDEX('Semrush Data'!$C$2:$C$5000,MATCH(G309,'Semrush Data'!$A$2:$A$5000,0)),"")</f>
        <v/>
      </c>
      <c r="I309" s="45">
        <f>IFERROR(INDEX('Semrush Data'!$D$2:$D$5000,MATCH(G309,'Semrush Data'!$A$2:$A$5000,0)),"")</f>
        <v/>
      </c>
      <c r="J309" s="45">
        <f>IF(OR(H309="",H309=0),"No volume",IF(I309&lt;=20,"Easier",IF(I309&lt;=35,"Medium","Hard")))</f>
        <v/>
      </c>
      <c r="K309" s="45" t="n"/>
      <c r="L309" s="47">
        <f>IF(K309="","",IFERROR(INDEX('Semrush Data'!$C$2:$C$5000,MATCH(K309,'Semrush Data'!$A$2:$A$5000,0)),""))</f>
        <v/>
      </c>
      <c r="M309" s="48" t="inlineStr">
        <is>
          <t>Elie Saab Le Parfum Bridal Eau de Parfum</t>
        </is>
      </c>
      <c r="N309" s="45" t="inlineStr">
        <is>
          <t>Elie Saab Le Parfum Bridal Eau de Parfum 90ml | Swansura UK</t>
        </is>
      </c>
      <c r="O309" s="45">
        <f>LEN(N309)</f>
        <v/>
      </c>
      <c r="P309" s="49" t="inlineStr">
        <is>
          <t>Buy Elie Saab Le Parfum Bridal Eau de Parfum 90ml for £44.99 at Swansura UK. A floral women's eau de parfum. 100% authentic, fast UK delivery, free over £50.</t>
        </is>
      </c>
      <c r="Q309" s="45">
        <f>LEN(P309)</f>
        <v/>
      </c>
      <c r="R309" s="49" t="n"/>
    </row>
    <row r="310" ht="23.25" customHeight="1" s="37">
      <c r="A310" s="45" t="inlineStr">
        <is>
          <t>FR-150</t>
        </is>
      </c>
      <c r="B310" s="45" t="inlineStr">
        <is>
          <t>Fragrance Catalogue</t>
        </is>
      </c>
      <c r="C310" s="45" t="inlineStr">
        <is>
          <t>Elie Saab</t>
        </is>
      </c>
      <c r="D310" s="45" t="inlineStr">
        <is>
          <t>Elie Saab Le Parfum Eau de Parfum 50ml – Women's Floral Amber Fragrance</t>
        </is>
      </c>
      <c r="E310" s="45" t="inlineStr">
        <is>
          <t>50ml</t>
        </is>
      </c>
      <c r="F310" s="46" t="n">
        <v>45.99</v>
      </c>
      <c r="G310" s="45" t="inlineStr">
        <is>
          <t>elie saab le</t>
        </is>
      </c>
      <c r="H310" s="47">
        <f>IFERROR(INDEX('Semrush Data'!$C$2:$C$5000,MATCH(G310,'Semrush Data'!$A$2:$A$5000,0)),"")</f>
        <v/>
      </c>
      <c r="I310" s="45">
        <f>IFERROR(INDEX('Semrush Data'!$D$2:$D$5000,MATCH(G310,'Semrush Data'!$A$2:$A$5000,0)),"")</f>
        <v/>
      </c>
      <c r="J310" s="45">
        <f>IF(OR(H310="",H310=0),"No volume",IF(I310&lt;=20,"Easier",IF(I310&lt;=35,"Medium","Hard")))</f>
        <v/>
      </c>
      <c r="K310" s="45" t="n"/>
      <c r="L310" s="47">
        <f>IF(K310="","",IFERROR(INDEX('Semrush Data'!$C$2:$C$5000,MATCH(K310,'Semrush Data'!$A$2:$A$5000,0)),""))</f>
        <v/>
      </c>
      <c r="M310" s="48" t="inlineStr">
        <is>
          <t>Elie Saab Le Parfum Eau de Parfum</t>
        </is>
      </c>
      <c r="N310" s="45" t="inlineStr">
        <is>
          <t>Elie Saab Le Parfum Eau de Parfum | Buy Online UK | Swansura</t>
        </is>
      </c>
      <c r="O310" s="45">
        <f>LEN(N310)</f>
        <v/>
      </c>
      <c r="P310" s="49" t="inlineStr">
        <is>
          <t>Buy Elie Saab Le Parfum Eau de Parfum 50ml for £45.99 at Swansura UK. A floral women's eau de parfum. 100% authentic, fast UK delivery, free over £50.</t>
        </is>
      </c>
      <c r="Q310" s="45">
        <f>LEN(P310)</f>
        <v/>
      </c>
      <c r="R310" s="49" t="n"/>
    </row>
    <row r="311" ht="23.25" customHeight="1" s="37">
      <c r="A311" s="45" t="inlineStr">
        <is>
          <t>FR-151</t>
        </is>
      </c>
      <c r="B311" s="45" t="inlineStr">
        <is>
          <t>Fragrance Catalogue</t>
        </is>
      </c>
      <c r="C311" s="45" t="inlineStr">
        <is>
          <t>Elie Saab</t>
        </is>
      </c>
      <c r="D311" s="45" t="inlineStr">
        <is>
          <t>Elie Saab Le Parfum Eau de Parfum Intense 90ml – Women's Floral Amber Fragrance</t>
        </is>
      </c>
      <c r="E311" s="45" t="inlineStr">
        <is>
          <t>90ml</t>
        </is>
      </c>
      <c r="F311" s="46" t="n">
        <v>49.99</v>
      </c>
      <c r="G311" s="45" t="inlineStr">
        <is>
          <t>elie saab le parfum intense</t>
        </is>
      </c>
      <c r="H311" s="47">
        <f>IFERROR(INDEX('Semrush Data'!$C$2:$C$5000,MATCH(G311,'Semrush Data'!$A$2:$A$5000,0)),"")</f>
        <v/>
      </c>
      <c r="I311" s="45">
        <f>IFERROR(INDEX('Semrush Data'!$D$2:$D$5000,MATCH(G311,'Semrush Data'!$A$2:$A$5000,0)),"")</f>
        <v/>
      </c>
      <c r="J311" s="45">
        <f>IF(OR(H311="",H311=0),"No volume",IF(I311&lt;=20,"Easier",IF(I311&lt;=35,"Medium","Hard")))</f>
        <v/>
      </c>
      <c r="K311" s="45" t="n"/>
      <c r="L311" s="47">
        <f>IF(K311="","",IFERROR(INDEX('Semrush Data'!$C$2:$C$5000,MATCH(K311,'Semrush Data'!$A$2:$A$5000,0)),""))</f>
        <v/>
      </c>
      <c r="M311" s="48" t="inlineStr">
        <is>
          <t>Elie Saab Le Parfum Eau de Parfum Intense</t>
        </is>
      </c>
      <c r="N311" s="45" t="inlineStr">
        <is>
          <t>Elie Saab Le Parfum Eau de Parfum Intense 90ml | Swansura UK</t>
        </is>
      </c>
      <c r="O311" s="45">
        <f>LEN(N311)</f>
        <v/>
      </c>
      <c r="P311" s="49" t="inlineStr">
        <is>
          <t>Buy Elie Saab Le Parfum Eau de Parfum Intense 90ml for £49.99 at Swansura UK. A floral women's eau de parfum. 100% authentic, fast UK delivery, free over £50.</t>
        </is>
      </c>
      <c r="Q311" s="45">
        <f>LEN(P311)</f>
        <v/>
      </c>
      <c r="R311" s="49" t="n"/>
    </row>
    <row r="312" ht="23.25" customHeight="1" s="37">
      <c r="A312" s="45" t="inlineStr">
        <is>
          <t>FR-152</t>
        </is>
      </c>
      <c r="B312" s="45" t="inlineStr">
        <is>
          <t>Fragrance Catalogue</t>
        </is>
      </c>
      <c r="C312" s="45" t="inlineStr">
        <is>
          <t>Elie Saab</t>
        </is>
      </c>
      <c r="D312" s="45" t="inlineStr">
        <is>
          <t>Elie Saab Nuit Noor Eau de Parfum 90ml – Women's Amber Floral Fragrance</t>
        </is>
      </c>
      <c r="E312" s="45" t="inlineStr">
        <is>
          <t>90ml</t>
        </is>
      </c>
      <c r="F312" s="46" t="n">
        <v>37.99</v>
      </c>
      <c r="G312" s="45" t="inlineStr">
        <is>
          <t>elie saab nuit noor</t>
        </is>
      </c>
      <c r="H312" s="47">
        <f>IFERROR(INDEX('Semrush Data'!$C$2:$C$5000,MATCH(G312,'Semrush Data'!$A$2:$A$5000,0)),"")</f>
        <v/>
      </c>
      <c r="I312" s="45">
        <f>IFERROR(INDEX('Semrush Data'!$D$2:$D$5000,MATCH(G312,'Semrush Data'!$A$2:$A$5000,0)),"")</f>
        <v/>
      </c>
      <c r="J312" s="45">
        <f>IF(OR(H312="",H312=0),"No volume",IF(I312&lt;=20,"Easier",IF(I312&lt;=35,"Medium","Hard")))</f>
        <v/>
      </c>
      <c r="K312" s="45" t="inlineStr">
        <is>
          <t>elie saab nuit noor eau de parfum</t>
        </is>
      </c>
      <c r="L312" s="47">
        <f>IF(K312="","",IFERROR(INDEX('Semrush Data'!$C$2:$C$5000,MATCH(K312,'Semrush Data'!$A$2:$A$5000,0)),""))</f>
        <v/>
      </c>
      <c r="M312" s="48" t="inlineStr">
        <is>
          <t>Elie Saab Nuit Noor Eau de Parfum</t>
        </is>
      </c>
      <c r="N312" s="45" t="inlineStr">
        <is>
          <t>Elie Saab Nuit Noor Eau de Parfum | Buy Online UK | Swansura</t>
        </is>
      </c>
      <c r="O312" s="45">
        <f>LEN(N312)</f>
        <v/>
      </c>
      <c r="P312" s="49" t="inlineStr">
        <is>
          <t>Buy Elie Saab Nuit Noor Eau de Parfum 90ml for £37.99 at Swansura UK. A floral women's eau de parfum. 100% authentic, fast UK delivery, free over £50.</t>
        </is>
      </c>
      <c r="Q312" s="45">
        <f>LEN(P312)</f>
        <v/>
      </c>
      <c r="R312" s="49" t="n"/>
    </row>
    <row r="313" ht="23.25" customHeight="1" s="37">
      <c r="A313" s="45" t="inlineStr">
        <is>
          <t>FR-153</t>
        </is>
      </c>
      <c r="B313" s="45" t="inlineStr">
        <is>
          <t>Fragrance Catalogue</t>
        </is>
      </c>
      <c r="C313" s="45" t="inlineStr">
        <is>
          <t>Elie Saab</t>
        </is>
      </c>
      <c r="D313" s="45" t="inlineStr">
        <is>
          <t>Elie Saab Girl of Now Lovely Eau de Parfum Gift Set 50ml + Body Lotion 75ml – New Pack Women's Fragrance Set</t>
        </is>
      </c>
      <c r="E313" s="45" t="inlineStr">
        <is>
          <t>50ml</t>
        </is>
      </c>
      <c r="F313" s="46" t="n">
        <v>38.99</v>
      </c>
      <c r="G313" s="45" t="inlineStr">
        <is>
          <t>elie saab girl of now lovely gift set</t>
        </is>
      </c>
      <c r="H313" s="47">
        <f>IFERROR(INDEX('Semrush Data'!$C$2:$C$5000,MATCH(G313,'Semrush Data'!$A$2:$A$5000,0)),"")</f>
        <v/>
      </c>
      <c r="I313" s="45">
        <f>IFERROR(INDEX('Semrush Data'!$D$2:$D$5000,MATCH(G313,'Semrush Data'!$A$2:$A$5000,0)),"")</f>
        <v/>
      </c>
      <c r="J313" s="45">
        <f>IF(OR(H313="",H313=0),"No volume",IF(I313&lt;=20,"Easier",IF(I313&lt;=35,"Medium","Hard")))</f>
        <v/>
      </c>
      <c r="K313" s="45" t="n"/>
      <c r="L313" s="47">
        <f>IF(K313="","",IFERROR(INDEX('Semrush Data'!$C$2:$C$5000,MATCH(K313,'Semrush Data'!$A$2:$A$5000,0)),""))</f>
        <v/>
      </c>
      <c r="M313" s="48" t="inlineStr">
        <is>
          <t>Elie Saab Girl of Now Lovely Eau de Parfum Gift Set</t>
        </is>
      </c>
      <c r="N313" s="45" t="inlineStr">
        <is>
          <t>Elie Saab Girl of Now Lovely Gift Set EDP 50ml | Swansura UK</t>
        </is>
      </c>
      <c r="O313" s="45">
        <f>LEN(N313)</f>
        <v/>
      </c>
      <c r="P313" s="49" t="inlineStr">
        <is>
          <t>Elie Saab Girl of Now Lovely Eau de Parfum Gift Set for £38.99 at Swansura UK. A woody women's eau de parfum. 100% authentic, fast UK delivery, free over £50.</t>
        </is>
      </c>
      <c r="Q313" s="45">
        <f>LEN(P313)</f>
        <v/>
      </c>
      <c r="R313" s="49" t="n"/>
    </row>
    <row r="314" ht="23.25" customHeight="1" s="37">
      <c r="A314" s="45" t="inlineStr">
        <is>
          <t>FR-154</t>
        </is>
      </c>
      <c r="B314" s="45" t="inlineStr">
        <is>
          <t>Fragrance Catalogue</t>
        </is>
      </c>
      <c r="C314" s="45" t="inlineStr">
        <is>
          <t>Elie Saab</t>
        </is>
      </c>
      <c r="D314" s="45" t="inlineStr">
        <is>
          <t>Elie Saab Le Parfum Eau de Parfum Gift Set 90ml + Body Lotion 75ml + Shower Gel 75ml – Women's Fragrance Set</t>
        </is>
      </c>
      <c r="E314" s="45" t="inlineStr">
        <is>
          <t>90ml</t>
        </is>
      </c>
      <c r="F314" s="46" t="n">
        <v>52.99</v>
      </c>
      <c r="G314" s="45" t="inlineStr">
        <is>
          <t>elie saab le parfum gift set</t>
        </is>
      </c>
      <c r="H314" s="47">
        <f>IFERROR(INDEX('Semrush Data'!$C$2:$C$5000,MATCH(G314,'Semrush Data'!$A$2:$A$5000,0)),"")</f>
        <v/>
      </c>
      <c r="I314" s="45">
        <f>IFERROR(INDEX('Semrush Data'!$D$2:$D$5000,MATCH(G314,'Semrush Data'!$A$2:$A$5000,0)),"")</f>
        <v/>
      </c>
      <c r="J314" s="45">
        <f>IF(OR(H314="",H314=0),"No volume",IF(I314&lt;=20,"Easier",IF(I314&lt;=35,"Medium","Hard")))</f>
        <v/>
      </c>
      <c r="K314" s="45" t="n"/>
      <c r="L314" s="47">
        <f>IF(K314="","",IFERROR(INDEX('Semrush Data'!$C$2:$C$5000,MATCH(K314,'Semrush Data'!$A$2:$A$5000,0)),""))</f>
        <v/>
      </c>
      <c r="M314" s="48" t="inlineStr">
        <is>
          <t>Elie Saab Le Parfum Eau de Parfum Gift Set</t>
        </is>
      </c>
      <c r="N314" s="45" t="inlineStr">
        <is>
          <t>Elie Saab Le Parfum Eau de Parfum Gift Set | Swansura UK</t>
        </is>
      </c>
      <c r="O314" s="45">
        <f>LEN(N314)</f>
        <v/>
      </c>
      <c r="P314" s="49" t="inlineStr">
        <is>
          <t>Buy Elie Saab Le Parfum Eau de Parfum Gift Set 90ml for £52.99 at Swansura UK. A woody women's eau de parfum. 100% authentic, fast UK delivery, free over £50.</t>
        </is>
      </c>
      <c r="Q314" s="45">
        <f>LEN(P314)</f>
        <v/>
      </c>
      <c r="R314" s="49" t="n"/>
    </row>
    <row r="315" ht="23.25" customHeight="1" s="37">
      <c r="A315" s="45" t="inlineStr">
        <is>
          <t>FR-155</t>
        </is>
      </c>
      <c r="B315" s="45" t="inlineStr">
        <is>
          <t>Fragrance Catalogue</t>
        </is>
      </c>
      <c r="C315" s="45" t="inlineStr">
        <is>
          <t>Elie Saab</t>
        </is>
      </c>
      <c r="D315" s="45" t="inlineStr">
        <is>
          <t>Elie Saab Le Parfum Lumière Eau de Parfum Gift Set 90ml + 10ml + Body Lotion 75ml – Women's Fragrance Set</t>
        </is>
      </c>
      <c r="E315" s="45" t="inlineStr">
        <is>
          <t>90ml</t>
        </is>
      </c>
      <c r="F315" s="46" t="n">
        <v>48.99</v>
      </c>
      <c r="G315" s="45" t="inlineStr">
        <is>
          <t>elie saab le parfum lumiere gift set</t>
        </is>
      </c>
      <c r="H315" s="47">
        <f>IFERROR(INDEX('Semrush Data'!$C$2:$C$5000,MATCH(G315,'Semrush Data'!$A$2:$A$5000,0)),"")</f>
        <v/>
      </c>
      <c r="I315" s="45">
        <f>IFERROR(INDEX('Semrush Data'!$D$2:$D$5000,MATCH(G315,'Semrush Data'!$A$2:$A$5000,0)),"")</f>
        <v/>
      </c>
      <c r="J315" s="45">
        <f>IF(OR(H315="",H315=0),"No volume",IF(I315&lt;=20,"Easier",IF(I315&lt;=35,"Medium","Hard")))</f>
        <v/>
      </c>
      <c r="K315" s="45" t="n"/>
      <c r="L315" s="47">
        <f>IF(K315="","",IFERROR(INDEX('Semrush Data'!$C$2:$C$5000,MATCH(K315,'Semrush Data'!$A$2:$A$5000,0)),""))</f>
        <v/>
      </c>
      <c r="M315" s="48" t="inlineStr">
        <is>
          <t>Elie Saab Le Parfum Lumière Eau de Parfum Gift Set</t>
        </is>
      </c>
      <c r="N315" s="45" t="inlineStr">
        <is>
          <t>Elie Saab Le Lumière Gift Set EDP 90ml | Swansura UK</t>
        </is>
      </c>
      <c r="O315" s="45">
        <f>LEN(N315)</f>
        <v/>
      </c>
      <c r="P315" s="49" t="inlineStr">
        <is>
          <t>Buy Elie Saab Le Parfum Lumière Eau de Parfum Gift Set 90ml for £48.99 at Swansura UK. A woody women's eau de parfum. 100% authentic, free UK delivery over £50.</t>
        </is>
      </c>
      <c r="Q315" s="45">
        <f>LEN(P315)</f>
        <v/>
      </c>
      <c r="R315" s="49" t="n"/>
    </row>
    <row r="316" ht="23.25" customHeight="1" s="37">
      <c r="A316" s="45" t="inlineStr">
        <is>
          <t>FR-156</t>
        </is>
      </c>
      <c r="B316" s="45" t="inlineStr">
        <is>
          <t>Fragrance Catalogue</t>
        </is>
      </c>
      <c r="C316" s="45" t="inlineStr">
        <is>
          <t>Elizabeth Arden</t>
        </is>
      </c>
      <c r="D316" s="45" t="inlineStr">
        <is>
          <t>Elizabeth Arden Beauty Eau de Parfum 100ml – Women's Floral Green Fragrance</t>
        </is>
      </c>
      <c r="E316" s="45" t="inlineStr">
        <is>
          <t>100ml</t>
        </is>
      </c>
      <c r="F316" s="46" t="n">
        <v>16.99</v>
      </c>
      <c r="G316" s="45" t="inlineStr">
        <is>
          <t>elizabeth arden beauty</t>
        </is>
      </c>
      <c r="H316" s="47">
        <f>IFERROR(INDEX('Semrush Data'!$C$2:$C$5000,MATCH(G316,'Semrush Data'!$A$2:$A$5000,0)),"")</f>
        <v/>
      </c>
      <c r="I316" s="45">
        <f>IFERROR(INDEX('Semrush Data'!$D$2:$D$5000,MATCH(G316,'Semrush Data'!$A$2:$A$5000,0)),"")</f>
        <v/>
      </c>
      <c r="J316" s="45">
        <f>IF(OR(H316="",H316=0),"No volume",IF(I316&lt;=20,"Easier",IF(I316&lt;=35,"Medium","Hard")))</f>
        <v/>
      </c>
      <c r="K316" s="45" t="inlineStr">
        <is>
          <t>elizabeth arden beauty eau de parfum</t>
        </is>
      </c>
      <c r="L316" s="47">
        <f>IF(K316="","",IFERROR(INDEX('Semrush Data'!$C$2:$C$5000,MATCH(K316,'Semrush Data'!$A$2:$A$5000,0)),""))</f>
        <v/>
      </c>
      <c r="M316" s="48" t="inlineStr">
        <is>
          <t>Elizabeth Arden Beauty Eau de Parfum</t>
        </is>
      </c>
      <c r="N316" s="45" t="inlineStr">
        <is>
          <t>Elizabeth Arden Beauty Eau de Parfum 100ml | Swansura UK</t>
        </is>
      </c>
      <c r="O316" s="45">
        <f>LEN(N316)</f>
        <v/>
      </c>
      <c r="P316" s="49" t="inlineStr">
        <is>
          <t>Buy Elizabeth Arden Beauty Eau de Parfum 100ml for £16.99 at Swansura UK. A floral women's eau de parfum. 100% authentic, fast UK delivery, free over £50.</t>
        </is>
      </c>
      <c r="Q316" s="45">
        <f>LEN(P316)</f>
        <v/>
      </c>
      <c r="R316" s="49" t="n"/>
    </row>
    <row r="317" ht="23.25" customHeight="1" s="37">
      <c r="A317" s="45" t="inlineStr">
        <is>
          <t>FR-157</t>
        </is>
      </c>
      <c r="B317" s="45" t="inlineStr">
        <is>
          <t>Fragrance Catalogue</t>
        </is>
      </c>
      <c r="C317" s="45" t="inlineStr">
        <is>
          <t>Escada</t>
        </is>
      </c>
      <c r="D317" s="45" t="inlineStr">
        <is>
          <t>Escada Magnetic Dream Eau de Parfum 75ml – Women's Fruity Floral Fragrance</t>
        </is>
      </c>
      <c r="E317" s="45" t="inlineStr">
        <is>
          <t>75ml</t>
        </is>
      </c>
      <c r="F317" s="46" t="n">
        <v>32.99</v>
      </c>
      <c r="G317" s="45" t="inlineStr">
        <is>
          <t>escada magnetic dream</t>
        </is>
      </c>
      <c r="H317" s="47">
        <f>IFERROR(INDEX('Semrush Data'!$C$2:$C$5000,MATCH(G317,'Semrush Data'!$A$2:$A$5000,0)),"")</f>
        <v/>
      </c>
      <c r="I317" s="45">
        <f>IFERROR(INDEX('Semrush Data'!$D$2:$D$5000,MATCH(G317,'Semrush Data'!$A$2:$A$5000,0)),"")</f>
        <v/>
      </c>
      <c r="J317" s="45">
        <f>IF(OR(H317="",H317=0),"No volume",IF(I317&lt;=20,"Easier",IF(I317&lt;=35,"Medium","Hard")))</f>
        <v/>
      </c>
      <c r="K317" s="45" t="n"/>
      <c r="L317" s="47">
        <f>IF(K317="","",IFERROR(INDEX('Semrush Data'!$C$2:$C$5000,MATCH(K317,'Semrush Data'!$A$2:$A$5000,0)),""))</f>
        <v/>
      </c>
      <c r="M317" s="48" t="inlineStr">
        <is>
          <t>Escada Magnetic Dream Eau de Parfum</t>
        </is>
      </c>
      <c r="N317" s="45" t="inlineStr">
        <is>
          <t>Escada Magnetic Dream Eau de Parfum 75ml | Swansura UK</t>
        </is>
      </c>
      <c r="O317" s="45">
        <f>LEN(N317)</f>
        <v/>
      </c>
      <c r="P317" s="49" t="inlineStr">
        <is>
          <t>Buy Escada Magnetic Dream Eau de Parfum 75ml for £32.99 at Swansura UK. A floral women's eau de parfum. 100% authentic, fast UK delivery, free over £50.</t>
        </is>
      </c>
      <c r="Q317" s="45">
        <f>LEN(P317)</f>
        <v/>
      </c>
      <c r="R317" s="49" t="n"/>
    </row>
    <row r="318" ht="23.25" customHeight="1" s="37">
      <c r="A318" s="45" t="inlineStr">
        <is>
          <t>FR-158</t>
        </is>
      </c>
      <c r="B318" s="45" t="inlineStr">
        <is>
          <t>Fragrance Catalogue</t>
        </is>
      </c>
      <c r="C318" s="45" t="inlineStr">
        <is>
          <t>Escada</t>
        </is>
      </c>
      <c r="D318" s="45" t="inlineStr">
        <is>
          <t>Escada Magnetism Eau de Parfum 25ml – Women's Fruity Floral Fragrance</t>
        </is>
      </c>
      <c r="E318" s="45" t="inlineStr">
        <is>
          <t>25ml</t>
        </is>
      </c>
      <c r="F318" s="46" t="n">
        <v>17.99</v>
      </c>
      <c r="G318" s="45" t="inlineStr">
        <is>
          <t>escada magnetism</t>
        </is>
      </c>
      <c r="H318" s="47">
        <f>IFERROR(INDEX('Semrush Data'!$C$2:$C$5000,MATCH(G318,'Semrush Data'!$A$2:$A$5000,0)),"")</f>
        <v/>
      </c>
      <c r="I318" s="45">
        <f>IFERROR(INDEX('Semrush Data'!$D$2:$D$5000,MATCH(G318,'Semrush Data'!$A$2:$A$5000,0)),"")</f>
        <v/>
      </c>
      <c r="J318" s="45">
        <f>IF(OR(H318="",H318=0),"No volume",IF(I318&lt;=20,"Easier",IF(I318&lt;=35,"Medium","Hard")))</f>
        <v/>
      </c>
      <c r="K318" s="45" t="inlineStr">
        <is>
          <t>escada magnetism eau de parfum</t>
        </is>
      </c>
      <c r="L318" s="47">
        <f>IF(K318="","",IFERROR(INDEX('Semrush Data'!$C$2:$C$5000,MATCH(K318,'Semrush Data'!$A$2:$A$5000,0)),""))</f>
        <v/>
      </c>
      <c r="M318" s="48" t="inlineStr">
        <is>
          <t>Escada Magnetism Eau de Parfum</t>
        </is>
      </c>
      <c r="N318" s="45" t="inlineStr">
        <is>
          <t>Escada Magnetism Eau de Parfum | Buy Online UK | Swansura</t>
        </is>
      </c>
      <c r="O318" s="45">
        <f>LEN(N318)</f>
        <v/>
      </c>
      <c r="P318" s="49" t="inlineStr">
        <is>
          <t>Buy Escada Magnetism Eau de Parfum 25ml for £17.99 at Swansura UK. A floral women's eau de parfum. 100% authentic, fast UK delivery, free over £50.</t>
        </is>
      </c>
      <c r="Q318" s="45">
        <f>LEN(P318)</f>
        <v/>
      </c>
      <c r="R318" s="49" t="n"/>
    </row>
    <row r="319" ht="23.25" customHeight="1" s="37">
      <c r="A319" s="45" t="inlineStr">
        <is>
          <t>FR-159</t>
        </is>
      </c>
      <c r="B319" s="45" t="inlineStr">
        <is>
          <t>Fragrance Catalogue</t>
        </is>
      </c>
      <c r="C319" s="45" t="inlineStr">
        <is>
          <t>Escada</t>
        </is>
      </c>
      <c r="D319" s="45" t="inlineStr">
        <is>
          <t>Escada Party Love Eau de Parfum 100ml – Women's Fruity Gourmand Fragrance</t>
        </is>
      </c>
      <c r="E319" s="45" t="inlineStr">
        <is>
          <t>100ml</t>
        </is>
      </c>
      <c r="F319" s="46" t="n">
        <v>23.99</v>
      </c>
      <c r="G319" s="45" t="inlineStr">
        <is>
          <t>escada party love</t>
        </is>
      </c>
      <c r="H319" s="47">
        <f>IFERROR(INDEX('Semrush Data'!$C$2:$C$5000,MATCH(G319,'Semrush Data'!$A$2:$A$5000,0)),"")</f>
        <v/>
      </c>
      <c r="I319" s="45">
        <f>IFERROR(INDEX('Semrush Data'!$D$2:$D$5000,MATCH(G319,'Semrush Data'!$A$2:$A$5000,0)),"")</f>
        <v/>
      </c>
      <c r="J319" s="45">
        <f>IF(OR(H319="",H319=0),"No volume",IF(I319&lt;=20,"Easier",IF(I319&lt;=35,"Medium","Hard")))</f>
        <v/>
      </c>
      <c r="K319" s="45" t="inlineStr">
        <is>
          <t>escada party love eau de parfum</t>
        </is>
      </c>
      <c r="L319" s="47">
        <f>IF(K319="","",IFERROR(INDEX('Semrush Data'!$C$2:$C$5000,MATCH(K319,'Semrush Data'!$A$2:$A$5000,0)),""))</f>
        <v/>
      </c>
      <c r="M319" s="48" t="inlineStr">
        <is>
          <t>Escada Party Love Eau de Parfum</t>
        </is>
      </c>
      <c r="N319" s="45" t="inlineStr">
        <is>
          <t>Escada Party Love Eau de Parfum | Buy Online UK | Swansura</t>
        </is>
      </c>
      <c r="O319" s="45">
        <f>LEN(N319)</f>
        <v/>
      </c>
      <c r="P319" s="49" t="inlineStr">
        <is>
          <t>Buy Escada Party Love Eau de Parfum 100ml for £23.99 at Swansura UK. A fruity women's eau de parfum. 100% authentic, fast UK delivery, free over £50.</t>
        </is>
      </c>
      <c r="Q319" s="45">
        <f>LEN(P319)</f>
        <v/>
      </c>
      <c r="R319" s="49" t="n"/>
    </row>
    <row r="320" ht="23.25" customHeight="1" s="37">
      <c r="A320" s="45" t="inlineStr">
        <is>
          <t>FR-160</t>
        </is>
      </c>
      <c r="B320" s="45" t="inlineStr">
        <is>
          <t>Fragrance Catalogue</t>
        </is>
      </c>
      <c r="C320" s="45" t="inlineStr">
        <is>
          <t>Estée Lauder</t>
        </is>
      </c>
      <c r="D320" s="45" t="inlineStr">
        <is>
          <t>Estée Lauder SpellBound Eau de Parfum 50ml – Women's Warm Spicy Floral Fragrance</t>
        </is>
      </c>
      <c r="E320" s="45" t="inlineStr">
        <is>
          <t>50ml</t>
        </is>
      </c>
      <c r="F320" s="46" t="n">
        <v>49.99</v>
      </c>
      <c r="G320" s="45" t="inlineStr">
        <is>
          <t>estee lauder spellbound</t>
        </is>
      </c>
      <c r="H320" s="47">
        <f>IFERROR(INDEX('Semrush Data'!$C$2:$C$5000,MATCH(G320,'Semrush Data'!$A$2:$A$5000,0)),"")</f>
        <v/>
      </c>
      <c r="I320" s="45">
        <f>IFERROR(INDEX('Semrush Data'!$D$2:$D$5000,MATCH(G320,'Semrush Data'!$A$2:$A$5000,0)),"")</f>
        <v/>
      </c>
      <c r="J320" s="45">
        <f>IF(OR(H320="",H320=0),"No volume",IF(I320&lt;=20,"Easier",IF(I320&lt;=35,"Medium","Hard")))</f>
        <v/>
      </c>
      <c r="K320" s="45" t="inlineStr">
        <is>
          <t>estee lauder spellbound eau de parfum</t>
        </is>
      </c>
      <c r="L320" s="47">
        <f>IF(K320="","",IFERROR(INDEX('Semrush Data'!$C$2:$C$5000,MATCH(K320,'Semrush Data'!$A$2:$A$5000,0)),""))</f>
        <v/>
      </c>
      <c r="M320" s="48" t="inlineStr">
        <is>
          <t>Estée Lauder SpellBound Eau de Parfum</t>
        </is>
      </c>
      <c r="N320" s="45" t="inlineStr">
        <is>
          <t>Estée Lauder SpellBound Eau de Parfum 50ml | Swansura UK</t>
        </is>
      </c>
      <c r="O320" s="45">
        <f>LEN(N320)</f>
        <v/>
      </c>
      <c r="P320" s="49" t="inlineStr">
        <is>
          <t>Buy Estée Lauder SpellBound Eau de Parfum 50ml for £49.99 at Swansura UK. A floral women's eau de parfum. 100% authentic, fast UK delivery, free over £50.</t>
        </is>
      </c>
      <c r="Q320" s="45">
        <f>LEN(P320)</f>
        <v/>
      </c>
      <c r="R320" s="49" t="n"/>
    </row>
    <row r="321" ht="23.25" customHeight="1" s="37">
      <c r="A321" s="45" t="inlineStr">
        <is>
          <t>FR-161</t>
        </is>
      </c>
      <c r="B321" s="45" t="inlineStr">
        <is>
          <t>Fragrance Catalogue</t>
        </is>
      </c>
      <c r="C321" s="45" t="inlineStr">
        <is>
          <t>Etienne Aigner</t>
        </is>
      </c>
      <c r="D321" s="45" t="inlineStr">
        <is>
          <t>Etienne Aigner First Class Explorer Eau de Toilette 100ml – Men's Woody Aromatic Fragrance</t>
        </is>
      </c>
      <c r="E321" s="45" t="inlineStr">
        <is>
          <t>100ml</t>
        </is>
      </c>
      <c r="F321" s="46" t="n">
        <v>32.99</v>
      </c>
      <c r="G321" s="45" t="inlineStr">
        <is>
          <t>etienne aigner first class explorer</t>
        </is>
      </c>
      <c r="H321" s="47">
        <f>IFERROR(INDEX('Semrush Data'!$C$2:$C$5000,MATCH(G321,'Semrush Data'!$A$2:$A$5000,0)),"")</f>
        <v/>
      </c>
      <c r="I321" s="45">
        <f>IFERROR(INDEX('Semrush Data'!$D$2:$D$5000,MATCH(G321,'Semrush Data'!$A$2:$A$5000,0)),"")</f>
        <v/>
      </c>
      <c r="J321" s="45">
        <f>IF(OR(H321="",H321=0),"No volume",IF(I321&lt;=20,"Easier",IF(I321&lt;=35,"Medium","Hard")))</f>
        <v/>
      </c>
      <c r="K321" s="45" t="n"/>
      <c r="L321" s="47">
        <f>IF(K321="","",IFERROR(INDEX('Semrush Data'!$C$2:$C$5000,MATCH(K321,'Semrush Data'!$A$2:$A$5000,0)),""))</f>
        <v/>
      </c>
      <c r="M321" s="48" t="inlineStr">
        <is>
          <t>Etienne Aigner First Class Explorer Eau de Toilette</t>
        </is>
      </c>
      <c r="N321" s="45" t="inlineStr">
        <is>
          <t>Etienne Aigner First Class Explorer EDT 100ml | Swansura UK</t>
        </is>
      </c>
      <c r="O321" s="45">
        <f>LEN(N321)</f>
        <v/>
      </c>
      <c r="P321" s="49" t="inlineStr">
        <is>
          <t>Etienne Aigner First Class Explorer Eau de Toilette for £32.99 at Swansura UK. A woody men's eau de toilette. 100% authentic, fast UK delivery, free over £50.</t>
        </is>
      </c>
      <c r="Q321" s="45">
        <f>LEN(P321)</f>
        <v/>
      </c>
      <c r="R321" s="49" t="n"/>
    </row>
    <row r="322" ht="23.25" customHeight="1" s="37">
      <c r="A322" s="45" t="inlineStr">
        <is>
          <t>FR-162</t>
        </is>
      </c>
      <c r="B322" s="45" t="inlineStr">
        <is>
          <t>Fragrance Catalogue</t>
        </is>
      </c>
      <c r="C322" s="45" t="inlineStr">
        <is>
          <t>Etienne Aigner</t>
        </is>
      </c>
      <c r="D322" s="45" t="inlineStr">
        <is>
          <t>Etienne Aigner No. 1 Intense Eau de Toilette 100ml – Men's Woody Spicy Fragrance</t>
        </is>
      </c>
      <c r="E322" s="45" t="inlineStr">
        <is>
          <t>100ml</t>
        </is>
      </c>
      <c r="F322" s="46" t="n">
        <v>27.99</v>
      </c>
      <c r="G322" s="45" t="inlineStr">
        <is>
          <t>etienne aigner no. 1 intense</t>
        </is>
      </c>
      <c r="H322" s="47">
        <f>IFERROR(INDEX('Semrush Data'!$C$2:$C$5000,MATCH(G322,'Semrush Data'!$A$2:$A$5000,0)),"")</f>
        <v/>
      </c>
      <c r="I322" s="45">
        <f>IFERROR(INDEX('Semrush Data'!$D$2:$D$5000,MATCH(G322,'Semrush Data'!$A$2:$A$5000,0)),"")</f>
        <v/>
      </c>
      <c r="J322" s="45">
        <f>IF(OR(H322="",H322=0),"No volume",IF(I322&lt;=20,"Easier",IF(I322&lt;=35,"Medium","Hard")))</f>
        <v/>
      </c>
      <c r="K322" s="45" t="n"/>
      <c r="L322" s="47">
        <f>IF(K322="","",IFERROR(INDEX('Semrush Data'!$C$2:$C$5000,MATCH(K322,'Semrush Data'!$A$2:$A$5000,0)),""))</f>
        <v/>
      </c>
      <c r="M322" s="48" t="inlineStr">
        <is>
          <t>Etienne Aigner No. 1 Intense Eau de Toilette</t>
        </is>
      </c>
      <c r="N322" s="45" t="inlineStr">
        <is>
          <t>Etienne Aigner No. 1 Intense EDT 100ml | Swansura UK</t>
        </is>
      </c>
      <c r="O322" s="45">
        <f>LEN(N322)</f>
        <v/>
      </c>
      <c r="P322" s="49" t="inlineStr">
        <is>
          <t>Buy Etienne Aigner No. 1 Intense Eau de Toilette 100ml for £27.99 at Swansura UK. A woody men's eau de toilette. 100% authentic, free UK delivery over £50.</t>
        </is>
      </c>
      <c r="Q322" s="45">
        <f>LEN(P322)</f>
        <v/>
      </c>
      <c r="R322" s="49" t="n"/>
    </row>
    <row r="323" ht="23.25" customHeight="1" s="37">
      <c r="A323" s="45" t="inlineStr">
        <is>
          <t>FR-163</t>
        </is>
      </c>
      <c r="B323" s="45" t="inlineStr">
        <is>
          <t>Fragrance Catalogue</t>
        </is>
      </c>
      <c r="C323" s="45" t="inlineStr">
        <is>
          <t>Fumeri</t>
        </is>
      </c>
      <c r="D323" s="45" t="inlineStr">
        <is>
          <t>Fumeri 540 Unisex Eau De Parfum 100ML</t>
        </is>
      </c>
      <c r="E323" s="45" t="inlineStr">
        <is>
          <t>100ml</t>
        </is>
      </c>
      <c r="F323" s="46" t="n">
        <v>23</v>
      </c>
      <c r="G323" s="45" t="inlineStr">
        <is>
          <t>fumeri 540</t>
        </is>
      </c>
      <c r="H323" s="47">
        <f>IFERROR(INDEX('Semrush Data'!$C$2:$C$5000,MATCH(G323,'Semrush Data'!$A$2:$A$5000,0)),"")</f>
        <v/>
      </c>
      <c r="I323" s="45">
        <f>IFERROR(INDEX('Semrush Data'!$D$2:$D$5000,MATCH(G323,'Semrush Data'!$A$2:$A$5000,0)),"")</f>
        <v/>
      </c>
      <c r="J323" s="45">
        <f>IF(OR(H323="",H323=0),"No volume",IF(I323&lt;=20,"Easier",IF(I323&lt;=35,"Medium","Hard")))</f>
        <v/>
      </c>
      <c r="K323" s="45" t="n"/>
      <c r="L323" s="47">
        <f>IF(K323="","",IFERROR(INDEX('Semrush Data'!$C$2:$C$5000,MATCH(K323,'Semrush Data'!$A$2:$A$5000,0)),""))</f>
        <v/>
      </c>
      <c r="M323" s="48" t="inlineStr">
        <is>
          <t>Fumeri 540 Unisex Eau De Parfum</t>
        </is>
      </c>
      <c r="N323" s="45" t="inlineStr">
        <is>
          <t>Fumeri 540 Unisex Eau De Parfum | Buy Online UK | Swansura</t>
        </is>
      </c>
      <c r="O323" s="45">
        <f>LEN(N323)</f>
        <v/>
      </c>
      <c r="P323" s="49" t="inlineStr">
        <is>
          <t>Buy Fumeri 540 Unisex Eau De Parfum 100ml for £23.00 at Swansura UK. An amber unisex eau de parfum. 100% authentic, fast UK delivery, free over £50.</t>
        </is>
      </c>
      <c r="Q323" s="45">
        <f>LEN(P323)</f>
        <v/>
      </c>
      <c r="R323" s="49" t="n"/>
    </row>
    <row r="324" ht="23.25" customHeight="1" s="37">
      <c r="A324" s="45" t="inlineStr">
        <is>
          <t>FR-164</t>
        </is>
      </c>
      <c r="B324" s="45" t="inlineStr">
        <is>
          <t>Fragrance Catalogue</t>
        </is>
      </c>
      <c r="C324" s="45" t="inlineStr">
        <is>
          <t>Fumeri</t>
        </is>
      </c>
      <c r="D324" s="45" t="inlineStr">
        <is>
          <t>Fumeri Adore Unisex EDP 100ML</t>
        </is>
      </c>
      <c r="E324" s="45" t="inlineStr">
        <is>
          <t>100ml</t>
        </is>
      </c>
      <c r="F324" s="46" t="n">
        <v>37.95</v>
      </c>
      <c r="G324" s="45" t="inlineStr">
        <is>
          <t>fumeri adore</t>
        </is>
      </c>
      <c r="H324" s="47">
        <f>IFERROR(INDEX('Semrush Data'!$C$2:$C$5000,MATCH(G324,'Semrush Data'!$A$2:$A$5000,0)),"")</f>
        <v/>
      </c>
      <c r="I324" s="45">
        <f>IFERROR(INDEX('Semrush Data'!$D$2:$D$5000,MATCH(G324,'Semrush Data'!$A$2:$A$5000,0)),"")</f>
        <v/>
      </c>
      <c r="J324" s="45">
        <f>IF(OR(H324="",H324=0),"No volume",IF(I324&lt;=20,"Easier",IF(I324&lt;=35,"Medium","Hard")))</f>
        <v/>
      </c>
      <c r="K324" s="45" t="n"/>
      <c r="L324" s="47">
        <f>IF(K324="","",IFERROR(INDEX('Semrush Data'!$C$2:$C$5000,MATCH(K324,'Semrush Data'!$A$2:$A$5000,0)),""))</f>
        <v/>
      </c>
      <c r="M324" s="48" t="inlineStr">
        <is>
          <t>Fumeri Adore Unisex EDP</t>
        </is>
      </c>
      <c r="N324" s="45" t="inlineStr">
        <is>
          <t>Fumeri Adore Unisex EDP 100ml | Buy Online UK | Swansura</t>
        </is>
      </c>
      <c r="O324" s="45">
        <f>LEN(N324)</f>
        <v/>
      </c>
      <c r="P324" s="49" t="inlineStr">
        <is>
          <t>Buy Fumeri Adore Unisex EDP 100ml for £37.95 at Swansura UK. An amber unisex eau de parfum. 100% authentic, fast UK delivery, free over £50.</t>
        </is>
      </c>
      <c r="Q324" s="45">
        <f>LEN(P324)</f>
        <v/>
      </c>
      <c r="R324" s="49" t="n"/>
    </row>
    <row r="325" ht="23.25" customHeight="1" s="37">
      <c r="A325" s="45" t="inlineStr">
        <is>
          <t>FR-165</t>
        </is>
      </c>
      <c r="B325" s="45" t="inlineStr">
        <is>
          <t>Fragrance Catalogue</t>
        </is>
      </c>
      <c r="C325" s="45" t="inlineStr">
        <is>
          <t>Fumeri</t>
        </is>
      </c>
      <c r="D325" s="45" t="inlineStr">
        <is>
          <t>Fumeri Ambre Night Unisex EDP 100ML</t>
        </is>
      </c>
      <c r="E325" s="45" t="inlineStr">
        <is>
          <t>100ml</t>
        </is>
      </c>
      <c r="F325" s="46" t="n">
        <v>23.95</v>
      </c>
      <c r="G325" s="45" t="inlineStr">
        <is>
          <t>fumeri ambre night</t>
        </is>
      </c>
      <c r="H325" s="47">
        <f>IFERROR(INDEX('Semrush Data'!$C$2:$C$5000,MATCH(G325,'Semrush Data'!$A$2:$A$5000,0)),"")</f>
        <v/>
      </c>
      <c r="I325" s="45">
        <f>IFERROR(INDEX('Semrush Data'!$D$2:$D$5000,MATCH(G325,'Semrush Data'!$A$2:$A$5000,0)),"")</f>
        <v/>
      </c>
      <c r="J325" s="45">
        <f>IF(OR(H325="",H325=0),"No volume",IF(I325&lt;=20,"Easier",IF(I325&lt;=35,"Medium","Hard")))</f>
        <v/>
      </c>
      <c r="K325" s="45" t="n"/>
      <c r="L325" s="47">
        <f>IF(K325="","",IFERROR(INDEX('Semrush Data'!$C$2:$C$5000,MATCH(K325,'Semrush Data'!$A$2:$A$5000,0)),""))</f>
        <v/>
      </c>
      <c r="M325" s="48" t="inlineStr">
        <is>
          <t>Fumeri Ambre Night Unisex EDP</t>
        </is>
      </c>
      <c r="N325" s="45" t="inlineStr">
        <is>
          <t>Fumeri Ambre Night Unisex EDP | Buy Online UK | Swansura</t>
        </is>
      </c>
      <c r="O325" s="45">
        <f>LEN(N325)</f>
        <v/>
      </c>
      <c r="P325" s="49" t="inlineStr">
        <is>
          <t>Buy Fumeri Ambre Night Unisex EDP 100ml for £23.95 at Swansura UK. An amber unisex eau de parfum. 100% authentic, fast UK delivery, free over £50.</t>
        </is>
      </c>
      <c r="Q325" s="45">
        <f>LEN(P325)</f>
        <v/>
      </c>
      <c r="R325" s="49" t="n"/>
    </row>
    <row r="326" ht="23.25" customHeight="1" s="37">
      <c r="A326" s="45" t="inlineStr">
        <is>
          <t>FR-166</t>
        </is>
      </c>
      <c r="B326" s="45" t="inlineStr">
        <is>
          <t>Fragrance Catalogue</t>
        </is>
      </c>
      <c r="C326" s="45" t="inlineStr">
        <is>
          <t>Fumeri</t>
        </is>
      </c>
      <c r="D326" s="45" t="inlineStr">
        <is>
          <t>Fumeri Angel For Women EDP 100ML</t>
        </is>
      </c>
      <c r="E326" s="45" t="inlineStr">
        <is>
          <t>100ml</t>
        </is>
      </c>
      <c r="F326" s="46" t="n">
        <v>37.95</v>
      </c>
      <c r="G326" s="45" t="inlineStr">
        <is>
          <t>fumeri angel</t>
        </is>
      </c>
      <c r="H326" s="47">
        <f>IFERROR(INDEX('Semrush Data'!$C$2:$C$5000,MATCH(G326,'Semrush Data'!$A$2:$A$5000,0)),"")</f>
        <v/>
      </c>
      <c r="I326" s="45">
        <f>IFERROR(INDEX('Semrush Data'!$D$2:$D$5000,MATCH(G326,'Semrush Data'!$A$2:$A$5000,0)),"")</f>
        <v/>
      </c>
      <c r="J326" s="45">
        <f>IF(OR(H326="",H326=0),"No volume",IF(I326&lt;=20,"Easier",IF(I326&lt;=35,"Medium","Hard")))</f>
        <v/>
      </c>
      <c r="K326" s="45" t="n"/>
      <c r="L326" s="47">
        <f>IF(K326="","",IFERROR(INDEX('Semrush Data'!$C$2:$C$5000,MATCH(K326,'Semrush Data'!$A$2:$A$5000,0)),""))</f>
        <v/>
      </c>
      <c r="M326" s="48" t="inlineStr">
        <is>
          <t>Fumeri Angel For Women EDP</t>
        </is>
      </c>
      <c r="N326" s="45" t="inlineStr">
        <is>
          <t>Fumeri Angel For Women EDP 100ml | Buy Online UK | Swansura</t>
        </is>
      </c>
      <c r="O326" s="45">
        <f>LEN(N326)</f>
        <v/>
      </c>
      <c r="P326" s="49" t="inlineStr">
        <is>
          <t>Buy Fumeri Angel For Women EDP 100ml for £37.95 at Swansura UK. A woody women's eau de parfum. 100% authentic, fast UK delivery, free over £50.</t>
        </is>
      </c>
      <c r="Q326" s="45">
        <f>LEN(P326)</f>
        <v/>
      </c>
      <c r="R326" s="49" t="n"/>
    </row>
    <row r="327" ht="23.25" customHeight="1" s="37">
      <c r="A327" s="45" t="inlineStr">
        <is>
          <t>FR-167</t>
        </is>
      </c>
      <c r="B327" s="45" t="inlineStr">
        <is>
          <t>Fragrance Catalogue</t>
        </is>
      </c>
      <c r="C327" s="45" t="inlineStr">
        <is>
          <t>Fumeri</t>
        </is>
      </c>
      <c r="D327" s="45" t="inlineStr">
        <is>
          <t>Fumeri Blue For Men EDP 100ML</t>
        </is>
      </c>
      <c r="E327" s="45" t="inlineStr">
        <is>
          <t>100ml</t>
        </is>
      </c>
      <c r="F327" s="46" t="n">
        <v>23.95</v>
      </c>
      <c r="G327" s="45" t="inlineStr">
        <is>
          <t>fumeri blue</t>
        </is>
      </c>
      <c r="H327" s="47">
        <f>IFERROR(INDEX('Semrush Data'!$C$2:$C$5000,MATCH(G327,'Semrush Data'!$A$2:$A$5000,0)),"")</f>
        <v/>
      </c>
      <c r="I327" s="45">
        <f>IFERROR(INDEX('Semrush Data'!$D$2:$D$5000,MATCH(G327,'Semrush Data'!$A$2:$A$5000,0)),"")</f>
        <v/>
      </c>
      <c r="J327" s="45">
        <f>IF(OR(H327="",H327=0),"No volume",IF(I327&lt;=20,"Easier",IF(I327&lt;=35,"Medium","Hard")))</f>
        <v/>
      </c>
      <c r="K327" s="45" t="n"/>
      <c r="L327" s="47">
        <f>IF(K327="","",IFERROR(INDEX('Semrush Data'!$C$2:$C$5000,MATCH(K327,'Semrush Data'!$A$2:$A$5000,0)),""))</f>
        <v/>
      </c>
      <c r="M327" s="48" t="inlineStr">
        <is>
          <t>Fumeri Blue For Men EDP</t>
        </is>
      </c>
      <c r="N327" s="45" t="inlineStr">
        <is>
          <t>Fumeri Blue For Men EDP 100ml | Buy Online UK | Swansura</t>
        </is>
      </c>
      <c r="O327" s="45">
        <f>LEN(N327)</f>
        <v/>
      </c>
      <c r="P327" s="49" t="inlineStr">
        <is>
          <t>Buy Fumeri Blue For Men EDP 100ml for £23.95 at Swansura UK. A fresh men's eau de parfum. 100% authentic, fast UK delivery, free over £50.</t>
        </is>
      </c>
      <c r="Q327" s="45">
        <f>LEN(P327)</f>
        <v/>
      </c>
      <c r="R327" s="49" t="n"/>
    </row>
    <row r="328" ht="23.25" customHeight="1" s="37">
      <c r="A328" s="45" t="inlineStr">
        <is>
          <t>FR-168</t>
        </is>
      </c>
      <c r="B328" s="45" t="inlineStr">
        <is>
          <t>Fragrance Catalogue</t>
        </is>
      </c>
      <c r="C328" s="45" t="inlineStr">
        <is>
          <t>Fumeri</t>
        </is>
      </c>
      <c r="D328" s="45" t="inlineStr">
        <is>
          <t>Fumeri Elixir Unisex EDP 100ML</t>
        </is>
      </c>
      <c r="E328" s="45" t="inlineStr">
        <is>
          <t>100ml</t>
        </is>
      </c>
      <c r="F328" s="46" t="n">
        <v>37.95</v>
      </c>
      <c r="G328" s="45" t="inlineStr">
        <is>
          <t>fumeri elixir</t>
        </is>
      </c>
      <c r="H328" s="47">
        <f>IFERROR(INDEX('Semrush Data'!$C$2:$C$5000,MATCH(G328,'Semrush Data'!$A$2:$A$5000,0)),"")</f>
        <v/>
      </c>
      <c r="I328" s="45">
        <f>IFERROR(INDEX('Semrush Data'!$D$2:$D$5000,MATCH(G328,'Semrush Data'!$A$2:$A$5000,0)),"")</f>
        <v/>
      </c>
      <c r="J328" s="45">
        <f>IF(OR(H328="",H328=0),"No volume",IF(I328&lt;=20,"Easier",IF(I328&lt;=35,"Medium","Hard")))</f>
        <v/>
      </c>
      <c r="K328" s="45" t="n"/>
      <c r="L328" s="47">
        <f>IF(K328="","",IFERROR(INDEX('Semrush Data'!$C$2:$C$5000,MATCH(K328,'Semrush Data'!$A$2:$A$5000,0)),""))</f>
        <v/>
      </c>
      <c r="M328" s="48" t="inlineStr">
        <is>
          <t>Fumeri Elixir Unisex EDP</t>
        </is>
      </c>
      <c r="N328" s="45" t="inlineStr">
        <is>
          <t>Fumeri Elixir Unisex EDP 100ml | Buy Online UK | Swansura</t>
        </is>
      </c>
      <c r="O328" s="45">
        <f>LEN(N328)</f>
        <v/>
      </c>
      <c r="P328" s="49" t="inlineStr">
        <is>
          <t>Buy Fumeri Elixir Unisex EDP 100ml for £37.95 at Swansura UK. An amber unisex eau de parfum. 100% authentic, fast UK delivery, free over £50.</t>
        </is>
      </c>
      <c r="Q328" s="45">
        <f>LEN(P328)</f>
        <v/>
      </c>
      <c r="R328" s="49" t="n"/>
    </row>
    <row r="329" ht="23.25" customHeight="1" s="37">
      <c r="A329" s="45" t="inlineStr">
        <is>
          <t>FR-169</t>
        </is>
      </c>
      <c r="B329" s="45" t="inlineStr">
        <is>
          <t>Fragrance Catalogue</t>
        </is>
      </c>
      <c r="C329" s="45" t="inlineStr">
        <is>
          <t>Fumeri</t>
        </is>
      </c>
      <c r="D329" s="45" t="inlineStr">
        <is>
          <t>Fumeri Flirt Eau de Parfum 100ML</t>
        </is>
      </c>
      <c r="E329" s="45" t="inlineStr">
        <is>
          <t>100ml</t>
        </is>
      </c>
      <c r="F329" s="46" t="n">
        <v>37.95</v>
      </c>
      <c r="G329" s="45" t="inlineStr">
        <is>
          <t>fumeri flirt</t>
        </is>
      </c>
      <c r="H329" s="47">
        <f>IFERROR(INDEX('Semrush Data'!$C$2:$C$5000,MATCH(G329,'Semrush Data'!$A$2:$A$5000,0)),"")</f>
        <v/>
      </c>
      <c r="I329" s="45">
        <f>IFERROR(INDEX('Semrush Data'!$D$2:$D$5000,MATCH(G329,'Semrush Data'!$A$2:$A$5000,0)),"")</f>
        <v/>
      </c>
      <c r="J329" s="45">
        <f>IF(OR(H329="",H329=0),"No volume",IF(I329&lt;=20,"Easier",IF(I329&lt;=35,"Medium","Hard")))</f>
        <v/>
      </c>
      <c r="K329" s="45" t="n"/>
      <c r="L329" s="47">
        <f>IF(K329="","",IFERROR(INDEX('Semrush Data'!$C$2:$C$5000,MATCH(K329,'Semrush Data'!$A$2:$A$5000,0)),""))</f>
        <v/>
      </c>
      <c r="M329" s="48" t="inlineStr">
        <is>
          <t>Fumeri Flirt Eau de Parfum</t>
        </is>
      </c>
      <c r="N329" s="45" t="inlineStr">
        <is>
          <t>Fumeri Flirt Eau de Parfum 100ml | Buy Online UK | Swansura</t>
        </is>
      </c>
      <c r="O329" s="45">
        <f>LEN(N329)</f>
        <v/>
      </c>
      <c r="P329" s="49" t="inlineStr">
        <is>
          <t>Buy Fumeri Flirt Eau de Parfum 100ml for £37.95 at Swansura UK. An amber unisex eau de parfum. 100% authentic, fast UK delivery, free over £50.</t>
        </is>
      </c>
      <c r="Q329" s="45">
        <f>LEN(P329)</f>
        <v/>
      </c>
      <c r="R329" s="49" t="n"/>
    </row>
    <row r="330" ht="23.25" customHeight="1" s="37">
      <c r="A330" s="45" t="inlineStr">
        <is>
          <t>FR-170</t>
        </is>
      </c>
      <c r="B330" s="45" t="inlineStr">
        <is>
          <t>Fragrance Catalogue</t>
        </is>
      </c>
      <c r="C330" s="45" t="inlineStr">
        <is>
          <t>Fumeri</t>
        </is>
      </c>
      <c r="D330" s="45" t="inlineStr">
        <is>
          <t>Fumeri Gabriella Eau de Parfum 100ML</t>
        </is>
      </c>
      <c r="E330" s="45" t="inlineStr">
        <is>
          <t>100ml</t>
        </is>
      </c>
      <c r="F330" s="46" t="n">
        <v>37.95</v>
      </c>
      <c r="G330" s="45" t="inlineStr">
        <is>
          <t>fumeri gabriella</t>
        </is>
      </c>
      <c r="H330" s="47">
        <f>IFERROR(INDEX('Semrush Data'!$C$2:$C$5000,MATCH(G330,'Semrush Data'!$A$2:$A$5000,0)),"")</f>
        <v/>
      </c>
      <c r="I330" s="45">
        <f>IFERROR(INDEX('Semrush Data'!$D$2:$D$5000,MATCH(G330,'Semrush Data'!$A$2:$A$5000,0)),"")</f>
        <v/>
      </c>
      <c r="J330" s="45">
        <f>IF(OR(H330="",H330=0),"No volume",IF(I330&lt;=20,"Easier",IF(I330&lt;=35,"Medium","Hard")))</f>
        <v/>
      </c>
      <c r="K330" s="45" t="n"/>
      <c r="L330" s="47">
        <f>IF(K330="","",IFERROR(INDEX('Semrush Data'!$C$2:$C$5000,MATCH(K330,'Semrush Data'!$A$2:$A$5000,0)),""))</f>
        <v/>
      </c>
      <c r="M330" s="48" t="inlineStr">
        <is>
          <t>Fumeri Gabriella Eau de Parfum</t>
        </is>
      </c>
      <c r="N330" s="45" t="inlineStr">
        <is>
          <t>Fumeri Gabriella Eau de Parfum | Buy Online UK | Swansura</t>
        </is>
      </c>
      <c r="O330" s="45">
        <f>LEN(N330)</f>
        <v/>
      </c>
      <c r="P330" s="49" t="inlineStr">
        <is>
          <t>Buy Fumeri Gabriella Eau de Parfum 100ml for £37.95 at Swansura UK. An amber unisex eau de parfum. 100% authentic, fast UK delivery, free over £50.</t>
        </is>
      </c>
      <c r="Q330" s="45">
        <f>LEN(P330)</f>
        <v/>
      </c>
      <c r="R330" s="49" t="n"/>
    </row>
    <row r="331" ht="23.25" customHeight="1" s="37">
      <c r="A331" s="45" t="inlineStr">
        <is>
          <t>FR-171</t>
        </is>
      </c>
      <c r="B331" s="45" t="inlineStr">
        <is>
          <t>Fragrance Catalogue</t>
        </is>
      </c>
      <c r="C331" s="45" t="inlineStr">
        <is>
          <t>Fumeri</t>
        </is>
      </c>
      <c r="D331" s="45" t="inlineStr">
        <is>
          <t>Fumeri Gris Unisex Eau De Parfum 100ML</t>
        </is>
      </c>
      <c r="E331" s="45" t="inlineStr">
        <is>
          <t>100ml</t>
        </is>
      </c>
      <c r="F331" s="46" t="n">
        <v>37.95</v>
      </c>
      <c r="G331" s="45" t="inlineStr">
        <is>
          <t>fumeri gris</t>
        </is>
      </c>
      <c r="H331" s="47">
        <f>IFERROR(INDEX('Semrush Data'!$C$2:$C$5000,MATCH(G331,'Semrush Data'!$A$2:$A$5000,0)),"")</f>
        <v/>
      </c>
      <c r="I331" s="45">
        <f>IFERROR(INDEX('Semrush Data'!$D$2:$D$5000,MATCH(G331,'Semrush Data'!$A$2:$A$5000,0)),"")</f>
        <v/>
      </c>
      <c r="J331" s="45">
        <f>IF(OR(H331="",H331=0),"No volume",IF(I331&lt;=20,"Easier",IF(I331&lt;=35,"Medium","Hard")))</f>
        <v/>
      </c>
      <c r="K331" s="45" t="n"/>
      <c r="L331" s="47">
        <f>IF(K331="","",IFERROR(INDEX('Semrush Data'!$C$2:$C$5000,MATCH(K331,'Semrush Data'!$A$2:$A$5000,0)),""))</f>
        <v/>
      </c>
      <c r="M331" s="48" t="inlineStr">
        <is>
          <t>Fumeri Gris Unisex Eau De Parfum</t>
        </is>
      </c>
      <c r="N331" s="45" t="inlineStr">
        <is>
          <t>Fumeri Gris Unisex Eau De Parfum | Buy Online UK | Swansura</t>
        </is>
      </c>
      <c r="O331" s="45">
        <f>LEN(N331)</f>
        <v/>
      </c>
      <c r="P331" s="49" t="inlineStr">
        <is>
          <t>Buy Fumeri Gris Unisex Eau De Parfum 100ml for £37.95 at Swansura UK. An amber unisex eau de parfum. 100% authentic, fast UK delivery, free over £50.</t>
        </is>
      </c>
      <c r="Q331" s="45">
        <f>LEN(P331)</f>
        <v/>
      </c>
      <c r="R331" s="49" t="n"/>
    </row>
    <row r="332" ht="23.25" customHeight="1" s="37">
      <c r="A332" s="45" t="inlineStr">
        <is>
          <t>FR-172</t>
        </is>
      </c>
      <c r="B332" s="45" t="inlineStr">
        <is>
          <t>Fragrance Catalogue</t>
        </is>
      </c>
      <c r="C332" s="45" t="inlineStr">
        <is>
          <t>Fumeri</t>
        </is>
      </c>
      <c r="D332" s="45" t="inlineStr">
        <is>
          <t>Fumeri Orchid Noir For Women Eau De Parfum 100ML</t>
        </is>
      </c>
      <c r="E332" s="45" t="inlineStr">
        <is>
          <t>100ml</t>
        </is>
      </c>
      <c r="F332" s="46" t="n">
        <v>23.95</v>
      </c>
      <c r="G332" s="45" t="inlineStr">
        <is>
          <t>fumeri orchid noir</t>
        </is>
      </c>
      <c r="H332" s="47">
        <f>IFERROR(INDEX('Semrush Data'!$C$2:$C$5000,MATCH(G332,'Semrush Data'!$A$2:$A$5000,0)),"")</f>
        <v/>
      </c>
      <c r="I332" s="45">
        <f>IFERROR(INDEX('Semrush Data'!$D$2:$D$5000,MATCH(G332,'Semrush Data'!$A$2:$A$5000,0)),"")</f>
        <v/>
      </c>
      <c r="J332" s="45">
        <f>IF(OR(H332="",H332=0),"No volume",IF(I332&lt;=20,"Easier",IF(I332&lt;=35,"Medium","Hard")))</f>
        <v/>
      </c>
      <c r="K332" s="45" t="n"/>
      <c r="L332" s="47">
        <f>IF(K332="","",IFERROR(INDEX('Semrush Data'!$C$2:$C$5000,MATCH(K332,'Semrush Data'!$A$2:$A$5000,0)),""))</f>
        <v/>
      </c>
      <c r="M332" s="48" t="inlineStr">
        <is>
          <t>Fumeri Orchid Noir For Women Eau De Parfum</t>
        </is>
      </c>
      <c r="N332" s="45" t="inlineStr">
        <is>
          <t>Fumeri Orchid Noir For Women EDP 100ml | Swansura UK</t>
        </is>
      </c>
      <c r="O332" s="45">
        <f>LEN(N332)</f>
        <v/>
      </c>
      <c r="P332" s="49" t="inlineStr">
        <is>
          <t>Buy Fumeri Orchid Noir For Women Eau De Parfum 100ml for £23.95 at Swansura UK. A woody women's eau de parfum. 100% authentic, fast UK delivery, free over £50.</t>
        </is>
      </c>
      <c r="Q332" s="45">
        <f>LEN(P332)</f>
        <v/>
      </c>
      <c r="R332" s="49" t="n"/>
    </row>
    <row r="333" ht="23.25" customHeight="1" s="37">
      <c r="A333" s="45" t="inlineStr">
        <is>
          <t>FR-173</t>
        </is>
      </c>
      <c r="B333" s="45" t="inlineStr">
        <is>
          <t>Fragrance Catalogue</t>
        </is>
      </c>
      <c r="C333" s="45" t="inlineStr">
        <is>
          <t>Fumeri</t>
        </is>
      </c>
      <c r="D333" s="45" t="inlineStr">
        <is>
          <t>Fumeri Orpheon Unisex Eau De Parfum 100ML</t>
        </is>
      </c>
      <c r="E333" s="45" t="inlineStr">
        <is>
          <t>100ml</t>
        </is>
      </c>
      <c r="F333" s="46" t="n">
        <v>37.95</v>
      </c>
      <c r="G333" s="45" t="inlineStr">
        <is>
          <t>fumeri orpheon</t>
        </is>
      </c>
      <c r="H333" s="47">
        <f>IFERROR(INDEX('Semrush Data'!$C$2:$C$5000,MATCH(G333,'Semrush Data'!$A$2:$A$5000,0)),"")</f>
        <v/>
      </c>
      <c r="I333" s="45">
        <f>IFERROR(INDEX('Semrush Data'!$D$2:$D$5000,MATCH(G333,'Semrush Data'!$A$2:$A$5000,0)),"")</f>
        <v/>
      </c>
      <c r="J333" s="45">
        <f>IF(OR(H333="",H333=0),"No volume",IF(I333&lt;=20,"Easier",IF(I333&lt;=35,"Medium","Hard")))</f>
        <v/>
      </c>
      <c r="K333" s="45" t="n"/>
      <c r="L333" s="47">
        <f>IF(K333="","",IFERROR(INDEX('Semrush Data'!$C$2:$C$5000,MATCH(K333,'Semrush Data'!$A$2:$A$5000,0)),""))</f>
        <v/>
      </c>
      <c r="M333" s="48" t="inlineStr">
        <is>
          <t>Fumeri Orpheon Unisex Eau De Parfum</t>
        </is>
      </c>
      <c r="N333" s="45" t="inlineStr">
        <is>
          <t>Fumeri Orpheon Unisex Eau De Parfum 100ml | Swansura UK</t>
        </is>
      </c>
      <c r="O333" s="45">
        <f>LEN(N333)</f>
        <v/>
      </c>
      <c r="P333" s="49" t="inlineStr">
        <is>
          <t>Buy Fumeri Orpheon Unisex Eau De Parfum 100ml for £37.95 at Swansura UK. An amber unisex eau de parfum. 100% authentic, fast UK delivery, free over £50.</t>
        </is>
      </c>
      <c r="Q333" s="45">
        <f>LEN(P333)</f>
        <v/>
      </c>
      <c r="R333" s="49" t="n"/>
    </row>
    <row r="334" ht="23.25" customHeight="1" s="37">
      <c r="A334" s="45" t="inlineStr">
        <is>
          <t>FR-174</t>
        </is>
      </c>
      <c r="B334" s="45" t="inlineStr">
        <is>
          <t>Fragrance Catalogue</t>
        </is>
      </c>
      <c r="C334" s="45" t="inlineStr">
        <is>
          <t>Fumeri</t>
        </is>
      </c>
      <c r="D334" s="45" t="inlineStr">
        <is>
          <t>Fumeri Oud Saffron For Men Eau De Parfum 100ML</t>
        </is>
      </c>
      <c r="E334" s="45" t="inlineStr">
        <is>
          <t>100ml</t>
        </is>
      </c>
      <c r="F334" s="46" t="n">
        <v>23.95</v>
      </c>
      <c r="G334" s="45" t="inlineStr">
        <is>
          <t>fumeri oud saffron</t>
        </is>
      </c>
      <c r="H334" s="47">
        <f>IFERROR(INDEX('Semrush Data'!$C$2:$C$5000,MATCH(G334,'Semrush Data'!$A$2:$A$5000,0)),"")</f>
        <v/>
      </c>
      <c r="I334" s="45">
        <f>IFERROR(INDEX('Semrush Data'!$D$2:$D$5000,MATCH(G334,'Semrush Data'!$A$2:$A$5000,0)),"")</f>
        <v/>
      </c>
      <c r="J334" s="45">
        <f>IF(OR(H334="",H334=0),"No volume",IF(I334&lt;=20,"Easier",IF(I334&lt;=35,"Medium","Hard")))</f>
        <v/>
      </c>
      <c r="K334" s="45" t="n"/>
      <c r="L334" s="47">
        <f>IF(K334="","",IFERROR(INDEX('Semrush Data'!$C$2:$C$5000,MATCH(K334,'Semrush Data'!$A$2:$A$5000,0)),""))</f>
        <v/>
      </c>
      <c r="M334" s="48" t="inlineStr">
        <is>
          <t>Fumeri Oud Saffron For Men Eau De Parfum</t>
        </is>
      </c>
      <c r="N334" s="45" t="inlineStr">
        <is>
          <t>Fumeri Oud Saffron For Men Eau De Parfum 100ml | Swansura UK</t>
        </is>
      </c>
      <c r="O334" s="45">
        <f>LEN(N334)</f>
        <v/>
      </c>
      <c r="P334" s="49" t="inlineStr">
        <is>
          <t>Buy Fumeri Oud Saffron For Men Eau De Parfum 100ml for £23.95 at Swansura UK. An oud men's eau de parfum. 100% authentic, fast UK delivery, free over £50.</t>
        </is>
      </c>
      <c r="Q334" s="45">
        <f>LEN(P334)</f>
        <v/>
      </c>
      <c r="R334" s="49" t="n"/>
    </row>
    <row r="335" ht="23.25" customHeight="1" s="37">
      <c r="A335" s="45" t="inlineStr">
        <is>
          <t>FR-175</t>
        </is>
      </c>
      <c r="B335" s="45" t="inlineStr">
        <is>
          <t>Fragrance Catalogue</t>
        </is>
      </c>
      <c r="C335" s="45" t="inlineStr">
        <is>
          <t>Fumeri</t>
        </is>
      </c>
      <c r="D335" s="45" t="inlineStr">
        <is>
          <t>Fumeri Peach Unisex Eau De Parfum 100ML</t>
        </is>
      </c>
      <c r="E335" s="45" t="inlineStr">
        <is>
          <t>100ml</t>
        </is>
      </c>
      <c r="F335" s="46" t="n">
        <v>37.95</v>
      </c>
      <c r="G335" s="45" t="inlineStr">
        <is>
          <t>fumeri peach</t>
        </is>
      </c>
      <c r="H335" s="47">
        <f>IFERROR(INDEX('Semrush Data'!$C$2:$C$5000,MATCH(G335,'Semrush Data'!$A$2:$A$5000,0)),"")</f>
        <v/>
      </c>
      <c r="I335" s="45">
        <f>IFERROR(INDEX('Semrush Data'!$D$2:$D$5000,MATCH(G335,'Semrush Data'!$A$2:$A$5000,0)),"")</f>
        <v/>
      </c>
      <c r="J335" s="45">
        <f>IF(OR(H335="",H335=0),"No volume",IF(I335&lt;=20,"Easier",IF(I335&lt;=35,"Medium","Hard")))</f>
        <v/>
      </c>
      <c r="K335" s="45" t="n"/>
      <c r="L335" s="47">
        <f>IF(K335="","",IFERROR(INDEX('Semrush Data'!$C$2:$C$5000,MATCH(K335,'Semrush Data'!$A$2:$A$5000,0)),""))</f>
        <v/>
      </c>
      <c r="M335" s="48" t="inlineStr">
        <is>
          <t>Fumeri Peach Unisex Eau De Parfum</t>
        </is>
      </c>
      <c r="N335" s="45" t="inlineStr">
        <is>
          <t>Fumeri Peach Unisex Eau De Parfum | Buy Online UK | Swansura</t>
        </is>
      </c>
      <c r="O335" s="45">
        <f>LEN(N335)</f>
        <v/>
      </c>
      <c r="P335" s="49" t="inlineStr">
        <is>
          <t>Buy Fumeri Peach Unisex Eau De Parfum 100ml for £37.95 at Swansura UK. A fruity unisex eau de parfum. 100% authentic, fast UK delivery, free over £50.</t>
        </is>
      </c>
      <c r="Q335" s="45">
        <f>LEN(P335)</f>
        <v/>
      </c>
      <c r="R335" s="49" t="n"/>
    </row>
    <row r="336" ht="23.25" customHeight="1" s="37">
      <c r="A336" s="45" t="inlineStr">
        <is>
          <t>FR-176</t>
        </is>
      </c>
      <c r="B336" s="45" t="inlineStr">
        <is>
          <t>Fragrance Catalogue</t>
        </is>
      </c>
      <c r="C336" s="45" t="inlineStr">
        <is>
          <t>Fumeri</t>
        </is>
      </c>
      <c r="D336" s="45" t="inlineStr">
        <is>
          <t>Fumeri Smokey Leather Unisex Eau De Parfum 100ML</t>
        </is>
      </c>
      <c r="E336" s="45" t="inlineStr">
        <is>
          <t>100ml</t>
        </is>
      </c>
      <c r="F336" s="46" t="n">
        <v>23.95</v>
      </c>
      <c r="G336" s="45" t="inlineStr">
        <is>
          <t>fumeri smokey leather</t>
        </is>
      </c>
      <c r="H336" s="47">
        <f>IFERROR(INDEX('Semrush Data'!$C$2:$C$5000,MATCH(G336,'Semrush Data'!$A$2:$A$5000,0)),"")</f>
        <v/>
      </c>
      <c r="I336" s="45">
        <f>IFERROR(INDEX('Semrush Data'!$D$2:$D$5000,MATCH(G336,'Semrush Data'!$A$2:$A$5000,0)),"")</f>
        <v/>
      </c>
      <c r="J336" s="45">
        <f>IF(OR(H336="",H336=0),"No volume",IF(I336&lt;=20,"Easier",IF(I336&lt;=35,"Medium","Hard")))</f>
        <v/>
      </c>
      <c r="K336" s="45" t="n"/>
      <c r="L336" s="47">
        <f>IF(K336="","",IFERROR(INDEX('Semrush Data'!$C$2:$C$5000,MATCH(K336,'Semrush Data'!$A$2:$A$5000,0)),""))</f>
        <v/>
      </c>
      <c r="M336" s="48" t="inlineStr">
        <is>
          <t>Fumeri Smokey Leather Unisex Eau De Parfum</t>
        </is>
      </c>
      <c r="N336" s="45" t="inlineStr">
        <is>
          <t>Fumeri Smokey Leather Unisex EDP 100ml | Swansura UK</t>
        </is>
      </c>
      <c r="O336" s="45">
        <f>LEN(N336)</f>
        <v/>
      </c>
      <c r="P336" s="49" t="inlineStr">
        <is>
          <t>Buy Fumeri Smokey Leather Unisex Eau De Parfum 100ml for £23.95 at Swansura UK. A leather unisex eau de parfum. 100% authentic, fast UK delivery, free over £50.</t>
        </is>
      </c>
      <c r="Q336" s="45">
        <f>LEN(P336)</f>
        <v/>
      </c>
      <c r="R336" s="49" t="n"/>
    </row>
    <row r="337" ht="23.25" customHeight="1" s="37">
      <c r="A337" s="45" t="inlineStr">
        <is>
          <t>FR-177</t>
        </is>
      </c>
      <c r="B337" s="45" t="inlineStr">
        <is>
          <t>Fragrance Catalogue</t>
        </is>
      </c>
      <c r="C337" s="45" t="inlineStr">
        <is>
          <t>Fumeri</t>
        </is>
      </c>
      <c r="D337" s="45" t="inlineStr">
        <is>
          <t>Fumeri Style 33 Unisex Eau De Parfum 100ML</t>
        </is>
      </c>
      <c r="E337" s="45" t="inlineStr">
        <is>
          <t>100ml</t>
        </is>
      </c>
      <c r="F337" s="46" t="n">
        <v>37.95</v>
      </c>
      <c r="G337" s="45" t="inlineStr">
        <is>
          <t>fumeri style 33</t>
        </is>
      </c>
      <c r="H337" s="47">
        <f>IFERROR(INDEX('Semrush Data'!$C$2:$C$5000,MATCH(G337,'Semrush Data'!$A$2:$A$5000,0)),"")</f>
        <v/>
      </c>
      <c r="I337" s="45">
        <f>IFERROR(INDEX('Semrush Data'!$D$2:$D$5000,MATCH(G337,'Semrush Data'!$A$2:$A$5000,0)),"")</f>
        <v/>
      </c>
      <c r="J337" s="45">
        <f>IF(OR(H337="",H337=0),"No volume",IF(I337&lt;=20,"Easier",IF(I337&lt;=35,"Medium","Hard")))</f>
        <v/>
      </c>
      <c r="K337" s="45" t="n"/>
      <c r="L337" s="47">
        <f>IF(K337="","",IFERROR(INDEX('Semrush Data'!$C$2:$C$5000,MATCH(K337,'Semrush Data'!$A$2:$A$5000,0)),""))</f>
        <v/>
      </c>
      <c r="M337" s="48" t="inlineStr">
        <is>
          <t>Fumeri Style 33 Unisex Eau De Parfum</t>
        </is>
      </c>
      <c r="N337" s="45" t="inlineStr">
        <is>
          <t>Fumeri Style 33 Unisex Eau De Parfum 100ml | Swansura UK</t>
        </is>
      </c>
      <c r="O337" s="45">
        <f>LEN(N337)</f>
        <v/>
      </c>
      <c r="P337" s="49" t="inlineStr">
        <is>
          <t>Buy Fumeri Style 33 Unisex Eau De Parfum 100ml for £37.95 at Swansura UK. An amber unisex eau de parfum. 100% authentic, fast UK delivery, free over £50.</t>
        </is>
      </c>
      <c r="Q337" s="45">
        <f>LEN(P337)</f>
        <v/>
      </c>
      <c r="R337" s="49" t="n"/>
    </row>
    <row r="338" ht="23.25" customHeight="1" s="37">
      <c r="A338" s="45" t="inlineStr">
        <is>
          <t>FR-178</t>
        </is>
      </c>
      <c r="B338" s="45" t="inlineStr">
        <is>
          <t>Fragrance Catalogue</t>
        </is>
      </c>
      <c r="C338" s="45" t="inlineStr">
        <is>
          <t>Fumeri</t>
        </is>
      </c>
      <c r="D338" s="45" t="inlineStr">
        <is>
          <t>Fumeri Victorious For Men Eau De Parfum 100ML</t>
        </is>
      </c>
      <c r="E338" s="45" t="inlineStr">
        <is>
          <t>100ml</t>
        </is>
      </c>
      <c r="F338" s="46" t="n">
        <v>23.95</v>
      </c>
      <c r="G338" s="45" t="inlineStr">
        <is>
          <t>fumeri victorious</t>
        </is>
      </c>
      <c r="H338" s="47">
        <f>IFERROR(INDEX('Semrush Data'!$C$2:$C$5000,MATCH(G338,'Semrush Data'!$A$2:$A$5000,0)),"")</f>
        <v/>
      </c>
      <c r="I338" s="45">
        <f>IFERROR(INDEX('Semrush Data'!$D$2:$D$5000,MATCH(G338,'Semrush Data'!$A$2:$A$5000,0)),"")</f>
        <v/>
      </c>
      <c r="J338" s="45">
        <f>IF(OR(H338="",H338=0),"No volume",IF(I338&lt;=20,"Easier",IF(I338&lt;=35,"Medium","Hard")))</f>
        <v/>
      </c>
      <c r="K338" s="45" t="n"/>
      <c r="L338" s="47">
        <f>IF(K338="","",IFERROR(INDEX('Semrush Data'!$C$2:$C$5000,MATCH(K338,'Semrush Data'!$A$2:$A$5000,0)),""))</f>
        <v/>
      </c>
      <c r="M338" s="48" t="inlineStr">
        <is>
          <t>Fumeri Victorious For Men Eau De Parfum</t>
        </is>
      </c>
      <c r="N338" s="45" t="inlineStr">
        <is>
          <t>Fumeri Victorious For Men Eau De Parfum 100ml | Swansura UK</t>
        </is>
      </c>
      <c r="O338" s="45">
        <f>LEN(N338)</f>
        <v/>
      </c>
      <c r="P338" s="49" t="inlineStr">
        <is>
          <t>Buy Fumeri Victorious For Men Eau De Parfum 100ml for £23.95 at Swansura UK. A woody men's eau de parfum. 100% authentic, fast UK delivery, free over £50.</t>
        </is>
      </c>
      <c r="Q338" s="45">
        <f>LEN(P338)</f>
        <v/>
      </c>
      <c r="R338" s="49" t="n"/>
    </row>
    <row r="339" ht="23.25" customHeight="1" s="37">
      <c r="A339" s="45" t="inlineStr">
        <is>
          <t>FR-179</t>
        </is>
      </c>
      <c r="B339" s="45" t="inlineStr">
        <is>
          <t>Fragrance Catalogue</t>
        </is>
      </c>
      <c r="C339" s="45" t="inlineStr">
        <is>
          <t>Fumeri</t>
        </is>
      </c>
      <c r="D339" s="45" t="inlineStr">
        <is>
          <t>Fumeri Wild Unisex Eau De Parfum 100ML</t>
        </is>
      </c>
      <c r="E339" s="45" t="inlineStr">
        <is>
          <t>100ml</t>
        </is>
      </c>
      <c r="F339" s="46" t="n">
        <v>37.95</v>
      </c>
      <c r="G339" s="45" t="inlineStr">
        <is>
          <t>fumeri wild</t>
        </is>
      </c>
      <c r="H339" s="47">
        <f>IFERROR(INDEX('Semrush Data'!$C$2:$C$5000,MATCH(G339,'Semrush Data'!$A$2:$A$5000,0)),"")</f>
        <v/>
      </c>
      <c r="I339" s="45">
        <f>IFERROR(INDEX('Semrush Data'!$D$2:$D$5000,MATCH(G339,'Semrush Data'!$A$2:$A$5000,0)),"")</f>
        <v/>
      </c>
      <c r="J339" s="45">
        <f>IF(OR(H339="",H339=0),"No volume",IF(I339&lt;=20,"Easier",IF(I339&lt;=35,"Medium","Hard")))</f>
        <v/>
      </c>
      <c r="K339" s="45" t="n"/>
      <c r="L339" s="47">
        <f>IF(K339="","",IFERROR(INDEX('Semrush Data'!$C$2:$C$5000,MATCH(K339,'Semrush Data'!$A$2:$A$5000,0)),""))</f>
        <v/>
      </c>
      <c r="M339" s="48" t="inlineStr">
        <is>
          <t>Fumeri Wild Unisex Eau De Parfum</t>
        </is>
      </c>
      <c r="N339" s="45" t="inlineStr">
        <is>
          <t>Fumeri Wild Unisex Eau De Parfum | Buy Online UK | Swansura</t>
        </is>
      </c>
      <c r="O339" s="45">
        <f>LEN(N339)</f>
        <v/>
      </c>
      <c r="P339" s="49" t="inlineStr">
        <is>
          <t>Buy Fumeri Wild Unisex Eau De Parfum 100ml for £37.95 at Swansura UK. An amber unisex eau de parfum. 100% authentic, fast UK delivery, free over £50.</t>
        </is>
      </c>
      <c r="Q339" s="45">
        <f>LEN(P339)</f>
        <v/>
      </c>
      <c r="R339" s="49" t="n"/>
    </row>
    <row r="340" ht="23.25" customHeight="1" s="37">
      <c r="A340" s="45" t="inlineStr">
        <is>
          <t>FR-180</t>
        </is>
      </c>
      <c r="B340" s="45" t="inlineStr">
        <is>
          <t>Fragrance Catalogue</t>
        </is>
      </c>
      <c r="C340" s="45" t="inlineStr">
        <is>
          <t>Generic</t>
        </is>
      </c>
      <c r="D340" s="45" t="inlineStr">
        <is>
          <t>Game Of Spades Bid For Men | Eau De Parfum 100ml</t>
        </is>
      </c>
      <c r="E340" s="45" t="inlineStr">
        <is>
          <t>100ml</t>
        </is>
      </c>
      <c r="F340" s="46" t="n">
        <v>84.98999999999999</v>
      </c>
      <c r="G340" s="45" t="inlineStr">
        <is>
          <t>game of spades bid</t>
        </is>
      </c>
      <c r="H340" s="47">
        <f>IFERROR(INDEX('Semrush Data'!$C$2:$C$5000,MATCH(G340,'Semrush Data'!$A$2:$A$5000,0)),"")</f>
        <v/>
      </c>
      <c r="I340" s="45">
        <f>IFERROR(INDEX('Semrush Data'!$D$2:$D$5000,MATCH(G340,'Semrush Data'!$A$2:$A$5000,0)),"")</f>
        <v/>
      </c>
      <c r="J340" s="45">
        <f>IF(OR(H340="",H340=0),"No volume",IF(I340&lt;=20,"Easier",IF(I340&lt;=35,"Medium","Hard")))</f>
        <v/>
      </c>
      <c r="K340" s="45" t="n"/>
      <c r="L340" s="47">
        <f>IF(K340="","",IFERROR(INDEX('Semrush Data'!$C$2:$C$5000,MATCH(K340,'Semrush Data'!$A$2:$A$5000,0)),""))</f>
        <v/>
      </c>
      <c r="M340" s="48" t="inlineStr">
        <is>
          <t>Game Of Spades Bid For Men</t>
        </is>
      </c>
      <c r="N340" s="45" t="inlineStr">
        <is>
          <t>Game Of Spades Bid For Men 100ml | Buy Online UK | Swansura</t>
        </is>
      </c>
      <c r="O340" s="45">
        <f>LEN(N340)</f>
        <v/>
      </c>
      <c r="P340" s="49" t="inlineStr">
        <is>
          <t>Buy Game Of Spades Bid For Men 100ml for £84.99 at Swansura UK. A woody men's eau de parfum. 100% authentic, fast UK delivery, free over £50.</t>
        </is>
      </c>
      <c r="Q340" s="45">
        <f>LEN(P340)</f>
        <v/>
      </c>
      <c r="R340" s="49" t="inlineStr">
        <is>
          <t>Real brand missing</t>
        </is>
      </c>
    </row>
    <row r="341" ht="23.25" customHeight="1" s="37">
      <c r="A341" s="45" t="inlineStr">
        <is>
          <t>FR-181</t>
        </is>
      </c>
      <c r="B341" s="45" t="inlineStr">
        <is>
          <t>Fragrance Catalogue</t>
        </is>
      </c>
      <c r="C341" s="45" t="inlineStr">
        <is>
          <t>Generic</t>
        </is>
      </c>
      <c r="D341" s="45" t="inlineStr">
        <is>
          <t>Game Of Spades Blind-Bid | Eau De Parfum 100ml | Long Lasting Luxury Unisex Perfume for Men &amp; Women</t>
        </is>
      </c>
      <c r="E341" s="45" t="inlineStr">
        <is>
          <t>100ml</t>
        </is>
      </c>
      <c r="F341" s="46" t="n">
        <v>89.98999999999999</v>
      </c>
      <c r="G341" s="45" t="inlineStr">
        <is>
          <t>game of spades blind-bid</t>
        </is>
      </c>
      <c r="H341" s="47">
        <f>IFERROR(INDEX('Semrush Data'!$C$2:$C$5000,MATCH(G341,'Semrush Data'!$A$2:$A$5000,0)),"")</f>
        <v/>
      </c>
      <c r="I341" s="45">
        <f>IFERROR(INDEX('Semrush Data'!$D$2:$D$5000,MATCH(G341,'Semrush Data'!$A$2:$A$5000,0)),"")</f>
        <v/>
      </c>
      <c r="J341" s="45">
        <f>IF(OR(H341="",H341=0),"No volume",IF(I341&lt;=20,"Easier",IF(I341&lt;=35,"Medium","Hard")))</f>
        <v/>
      </c>
      <c r="K341" s="45" t="n"/>
      <c r="L341" s="47">
        <f>IF(K341="","",IFERROR(INDEX('Semrush Data'!$C$2:$C$5000,MATCH(K341,'Semrush Data'!$A$2:$A$5000,0)),""))</f>
        <v/>
      </c>
      <c r="M341" s="48" t="inlineStr">
        <is>
          <t>Game Of Spades Blind-Bid</t>
        </is>
      </c>
      <c r="N341" s="45" t="inlineStr">
        <is>
          <t>Game Of Spades Blind-Bid 100ml | Buy Online UK | Swansura</t>
        </is>
      </c>
      <c r="O341" s="45">
        <f>LEN(N341)</f>
        <v/>
      </c>
      <c r="P341" s="49" t="inlineStr">
        <is>
          <t>Buy Game Of Spades Blind-Bid 100ml for £89.99 at Swansura UK. A woody unisex eau de parfum. 100% authentic, fast UK delivery, free over £50.</t>
        </is>
      </c>
      <c r="Q341" s="45">
        <f>LEN(P341)</f>
        <v/>
      </c>
      <c r="R341" s="49" t="inlineStr">
        <is>
          <t>Real brand missing</t>
        </is>
      </c>
    </row>
    <row r="342" ht="23.25" customHeight="1" s="37">
      <c r="A342" s="45" t="inlineStr">
        <is>
          <t>FR-182</t>
        </is>
      </c>
      <c r="B342" s="45" t="inlineStr">
        <is>
          <t>Fragrance Catalogue</t>
        </is>
      </c>
      <c r="C342" s="45" t="inlineStr">
        <is>
          <t>Generic</t>
        </is>
      </c>
      <c r="D342" s="45" t="inlineStr">
        <is>
          <t>Game Of Spades Boston For Men | Eau De Parfum 100ml</t>
        </is>
      </c>
      <c r="E342" s="45" t="inlineStr">
        <is>
          <t>100ml</t>
        </is>
      </c>
      <c r="F342" s="46" t="n">
        <v>89.98999999999999</v>
      </c>
      <c r="G342" s="45" t="inlineStr">
        <is>
          <t>game of spades boston</t>
        </is>
      </c>
      <c r="H342" s="47">
        <f>IFERROR(INDEX('Semrush Data'!$C$2:$C$5000,MATCH(G342,'Semrush Data'!$A$2:$A$5000,0)),"")</f>
        <v/>
      </c>
      <c r="I342" s="45">
        <f>IFERROR(INDEX('Semrush Data'!$D$2:$D$5000,MATCH(G342,'Semrush Data'!$A$2:$A$5000,0)),"")</f>
        <v/>
      </c>
      <c r="J342" s="45">
        <f>IF(OR(H342="",H342=0),"No volume",IF(I342&lt;=20,"Easier",IF(I342&lt;=35,"Medium","Hard")))</f>
        <v/>
      </c>
      <c r="K342" s="45" t="n"/>
      <c r="L342" s="47">
        <f>IF(K342="","",IFERROR(INDEX('Semrush Data'!$C$2:$C$5000,MATCH(K342,'Semrush Data'!$A$2:$A$5000,0)),""))</f>
        <v/>
      </c>
      <c r="M342" s="48" t="inlineStr">
        <is>
          <t>Game Of Spades Boston For Men</t>
        </is>
      </c>
      <c r="N342" s="45" t="inlineStr">
        <is>
          <t>Game Of Spades Boston For Men | Buy Online UK | Swansura</t>
        </is>
      </c>
      <c r="O342" s="45">
        <f>LEN(N342)</f>
        <v/>
      </c>
      <c r="P342" s="49" t="inlineStr">
        <is>
          <t>Buy Game Of Spades Boston For Men 100ml for £89.99 at Swansura UK. A woody men's eau de parfum. 100% authentic, fast UK delivery, free over £50.</t>
        </is>
      </c>
      <c r="Q342" s="45">
        <f>LEN(P342)</f>
        <v/>
      </c>
      <c r="R342" s="49" t="inlineStr">
        <is>
          <t>Real brand missing</t>
        </is>
      </c>
    </row>
    <row r="343" ht="23.25" customHeight="1" s="37">
      <c r="A343" s="45" t="inlineStr">
        <is>
          <t>FR-183</t>
        </is>
      </c>
      <c r="B343" s="45" t="inlineStr">
        <is>
          <t>Fragrance Catalogue</t>
        </is>
      </c>
      <c r="C343" s="45" t="inlineStr">
        <is>
          <t>Generic</t>
        </is>
      </c>
      <c r="D343" s="45" t="inlineStr">
        <is>
          <t>Game of Spades Diamond Eau de Parfum Spray 100ml | Luxury Long Lasting Perfume for Men</t>
        </is>
      </c>
      <c r="E343" s="45" t="inlineStr">
        <is>
          <t>100ml</t>
        </is>
      </c>
      <c r="F343" s="46" t="n">
        <v>85.98999999999999</v>
      </c>
      <c r="G343" s="45" t="inlineStr">
        <is>
          <t>game of spades diamond</t>
        </is>
      </c>
      <c r="H343" s="47">
        <f>IFERROR(INDEX('Semrush Data'!$C$2:$C$5000,MATCH(G343,'Semrush Data'!$A$2:$A$5000,0)),"")</f>
        <v/>
      </c>
      <c r="I343" s="45">
        <f>IFERROR(INDEX('Semrush Data'!$D$2:$D$5000,MATCH(G343,'Semrush Data'!$A$2:$A$5000,0)),"")</f>
        <v/>
      </c>
      <c r="J343" s="45">
        <f>IF(OR(H343="",H343=0),"No volume",IF(I343&lt;=20,"Easier",IF(I343&lt;=35,"Medium","Hard")))</f>
        <v/>
      </c>
      <c r="K343" s="45" t="n"/>
      <c r="L343" s="47">
        <f>IF(K343="","",IFERROR(INDEX('Semrush Data'!$C$2:$C$5000,MATCH(K343,'Semrush Data'!$A$2:$A$5000,0)),""))</f>
        <v/>
      </c>
      <c r="M343" s="48" t="inlineStr">
        <is>
          <t>Game of Spades Diamond Eau de Parfum Spray</t>
        </is>
      </c>
      <c r="N343" s="45" t="inlineStr">
        <is>
          <t>Game of Spades Diamond Spray EDP 100ml | Swansura UK</t>
        </is>
      </c>
      <c r="O343" s="45">
        <f>LEN(N343)</f>
        <v/>
      </c>
      <c r="P343" s="49" t="inlineStr">
        <is>
          <t>Buy Game of Spades Diamond Eau de Parfum Spray 100ml for £85.99 at Swansura UK. A woody men's eau de parfum. 100% authentic, fast UK delivery, free over £50.</t>
        </is>
      </c>
      <c r="Q343" s="45">
        <f>LEN(P343)</f>
        <v/>
      </c>
      <c r="R343" s="49" t="inlineStr">
        <is>
          <t>Real brand missing</t>
        </is>
      </c>
    </row>
    <row r="344" ht="23.25" customHeight="1" s="37">
      <c r="A344" s="45" t="inlineStr">
        <is>
          <t>FR-184</t>
        </is>
      </c>
      <c r="B344" s="45" t="inlineStr">
        <is>
          <t>Fragrance Catalogue</t>
        </is>
      </c>
      <c r="C344" s="45" t="inlineStr">
        <is>
          <t>Generic</t>
        </is>
      </c>
      <c r="D344" s="45" t="inlineStr">
        <is>
          <t>Game of Spades Full House Unisex Eau de Parfum 100ml</t>
        </is>
      </c>
      <c r="E344" s="45" t="inlineStr">
        <is>
          <t>100ml</t>
        </is>
      </c>
      <c r="F344" s="46" t="n">
        <v>92.98999999999999</v>
      </c>
      <c r="G344" s="45" t="inlineStr">
        <is>
          <t>game of spades full house</t>
        </is>
      </c>
      <c r="H344" s="47">
        <f>IFERROR(INDEX('Semrush Data'!$C$2:$C$5000,MATCH(G344,'Semrush Data'!$A$2:$A$5000,0)),"")</f>
        <v/>
      </c>
      <c r="I344" s="45">
        <f>IFERROR(INDEX('Semrush Data'!$D$2:$D$5000,MATCH(G344,'Semrush Data'!$A$2:$A$5000,0)),"")</f>
        <v/>
      </c>
      <c r="J344" s="45">
        <f>IF(OR(H344="",H344=0),"No volume",IF(I344&lt;=20,"Easier",IF(I344&lt;=35,"Medium","Hard")))</f>
        <v/>
      </c>
      <c r="K344" s="45" t="n"/>
      <c r="L344" s="47">
        <f>IF(K344="","",IFERROR(INDEX('Semrush Data'!$C$2:$C$5000,MATCH(K344,'Semrush Data'!$A$2:$A$5000,0)),""))</f>
        <v/>
      </c>
      <c r="M344" s="48" t="inlineStr">
        <is>
          <t>Game of Spades Full House Unisex Eau de Parfum</t>
        </is>
      </c>
      <c r="N344" s="45" t="inlineStr">
        <is>
          <t>Game of Spades Full House Unisex EDP 100ml | Swansura UK</t>
        </is>
      </c>
      <c r="O344" s="45">
        <f>LEN(N344)</f>
        <v/>
      </c>
      <c r="P344" s="49" t="inlineStr">
        <is>
          <t>Buy Game of Spades Full House Unisex Eau de Parfum 100ml for £92.99 at Swansura UK. An amber unisex eau de parfum. 100% authentic, free UK delivery over £50.</t>
        </is>
      </c>
      <c r="Q344" s="45">
        <f>LEN(P344)</f>
        <v/>
      </c>
      <c r="R344" s="49" t="inlineStr">
        <is>
          <t>Real brand missing</t>
        </is>
      </c>
    </row>
    <row r="345" ht="23.25" customHeight="1" s="37">
      <c r="A345" s="45" t="inlineStr">
        <is>
          <t>FR-185</t>
        </is>
      </c>
      <c r="B345" s="45" t="inlineStr">
        <is>
          <t>Fragrance Catalogue</t>
        </is>
      </c>
      <c r="C345" s="45" t="inlineStr">
        <is>
          <t>Generic</t>
        </is>
      </c>
      <c r="D345" s="45" t="inlineStr">
        <is>
          <t>Game Of Spades High Roller Unisex Eau De Parfum 100ml</t>
        </is>
      </c>
      <c r="E345" s="45" t="inlineStr">
        <is>
          <t>100ml</t>
        </is>
      </c>
      <c r="F345" s="46" t="n">
        <v>109.99</v>
      </c>
      <c r="G345" s="45" t="inlineStr">
        <is>
          <t>game of spades high roller</t>
        </is>
      </c>
      <c r="H345" s="47">
        <f>IFERROR(INDEX('Semrush Data'!$C$2:$C$5000,MATCH(G345,'Semrush Data'!$A$2:$A$5000,0)),"")</f>
        <v/>
      </c>
      <c r="I345" s="45">
        <f>IFERROR(INDEX('Semrush Data'!$D$2:$D$5000,MATCH(G345,'Semrush Data'!$A$2:$A$5000,0)),"")</f>
        <v/>
      </c>
      <c r="J345" s="45">
        <f>IF(OR(H345="",H345=0),"No volume",IF(I345&lt;=20,"Easier",IF(I345&lt;=35,"Medium","Hard")))</f>
        <v/>
      </c>
      <c r="K345" s="45" t="n"/>
      <c r="L345" s="47">
        <f>IF(K345="","",IFERROR(INDEX('Semrush Data'!$C$2:$C$5000,MATCH(K345,'Semrush Data'!$A$2:$A$5000,0)),""))</f>
        <v/>
      </c>
      <c r="M345" s="48" t="inlineStr">
        <is>
          <t>Game Of Spades High Roller Unisex Eau De Parfum</t>
        </is>
      </c>
      <c r="N345" s="45" t="inlineStr">
        <is>
          <t>Game Of Spades High Roller Unisex EDP 100ml | Swansura UK</t>
        </is>
      </c>
      <c r="O345" s="45">
        <f>LEN(N345)</f>
        <v/>
      </c>
      <c r="P345" s="49" t="inlineStr">
        <is>
          <t>Buy Game Of Spades High Roller Unisex Eau De Parfum 100ml for £109.99 at Swansura UK. An amber unisex eau de parfum. 100% authentic, free UK delivery over £50.</t>
        </is>
      </c>
      <c r="Q345" s="45">
        <f>LEN(P345)</f>
        <v/>
      </c>
      <c r="R345" s="49" t="inlineStr">
        <is>
          <t>Real brand missing</t>
        </is>
      </c>
    </row>
    <row r="346" ht="23.25" customHeight="1" s="37">
      <c r="A346" s="45" t="inlineStr">
        <is>
          <t>FR-186</t>
        </is>
      </c>
      <c r="B346" s="45" t="inlineStr">
        <is>
          <t>Fragrance Catalogue</t>
        </is>
      </c>
      <c r="C346" s="45" t="inlineStr">
        <is>
          <t>Generic</t>
        </is>
      </c>
      <c r="D346" s="45" t="inlineStr">
        <is>
          <t>Game Of Spades Jackpot | Eau De Parfum 100ml | Long Lasting Fragrance For Men and Women</t>
        </is>
      </c>
      <c r="E346" s="45" t="inlineStr">
        <is>
          <t>100ml</t>
        </is>
      </c>
      <c r="F346" s="46" t="n">
        <v>79.98999999999999</v>
      </c>
      <c r="G346" s="45" t="inlineStr">
        <is>
          <t>game of spades jackpot</t>
        </is>
      </c>
      <c r="H346" s="47">
        <f>IFERROR(INDEX('Semrush Data'!$C$2:$C$5000,MATCH(G346,'Semrush Data'!$A$2:$A$5000,0)),"")</f>
        <v/>
      </c>
      <c r="I346" s="45">
        <f>IFERROR(INDEX('Semrush Data'!$D$2:$D$5000,MATCH(G346,'Semrush Data'!$A$2:$A$5000,0)),"")</f>
        <v/>
      </c>
      <c r="J346" s="45">
        <f>IF(OR(H346="",H346=0),"No volume",IF(I346&lt;=20,"Easier",IF(I346&lt;=35,"Medium","Hard")))</f>
        <v/>
      </c>
      <c r="K346" s="45" t="n"/>
      <c r="L346" s="47">
        <f>IF(K346="","",IFERROR(INDEX('Semrush Data'!$C$2:$C$5000,MATCH(K346,'Semrush Data'!$A$2:$A$5000,0)),""))</f>
        <v/>
      </c>
      <c r="M346" s="48" t="inlineStr">
        <is>
          <t>Game Of Spades Jackpot</t>
        </is>
      </c>
      <c r="N346" s="45" t="inlineStr">
        <is>
          <t>Game Of Spades Jackpot 100ml | Buy Online UK | Swansura</t>
        </is>
      </c>
      <c r="O346" s="45">
        <f>LEN(N346)</f>
        <v/>
      </c>
      <c r="P346" s="49" t="inlineStr">
        <is>
          <t>Buy Game Of Spades Jackpot 100ml for £79.99 at Swansura UK. A woody unisex eau de parfum. 100% authentic, fast UK delivery, free over £50.</t>
        </is>
      </c>
      <c r="Q346" s="45">
        <f>LEN(P346)</f>
        <v/>
      </c>
      <c r="R346" s="49" t="inlineStr">
        <is>
          <t>Real brand missing</t>
        </is>
      </c>
    </row>
    <row r="347" ht="23.25" customHeight="1" s="37">
      <c r="A347" s="45" t="inlineStr">
        <is>
          <t>FR-187</t>
        </is>
      </c>
      <c r="B347" s="45" t="inlineStr">
        <is>
          <t>Fragrance Catalogue</t>
        </is>
      </c>
      <c r="C347" s="45" t="inlineStr">
        <is>
          <t>Generic</t>
        </is>
      </c>
      <c r="D347" s="45" t="inlineStr">
        <is>
          <t>Game Of Spades King Eau De Parfum 100ml | Perfume for Men and Women | Long Lasting Luxury Fragrance</t>
        </is>
      </c>
      <c r="E347" s="45" t="inlineStr">
        <is>
          <t>100ml</t>
        </is>
      </c>
      <c r="F347" s="46" t="n">
        <v>73.98999999999999</v>
      </c>
      <c r="G347" s="45" t="inlineStr">
        <is>
          <t>game of spades king</t>
        </is>
      </c>
      <c r="H347" s="47">
        <f>IFERROR(INDEX('Semrush Data'!$C$2:$C$5000,MATCH(G347,'Semrush Data'!$A$2:$A$5000,0)),"")</f>
        <v/>
      </c>
      <c r="I347" s="45">
        <f>IFERROR(INDEX('Semrush Data'!$D$2:$D$5000,MATCH(G347,'Semrush Data'!$A$2:$A$5000,0)),"")</f>
        <v/>
      </c>
      <c r="J347" s="45">
        <f>IF(OR(H347="",H347=0),"No volume",IF(I347&lt;=20,"Easier",IF(I347&lt;=35,"Medium","Hard")))</f>
        <v/>
      </c>
      <c r="K347" s="45" t="n"/>
      <c r="L347" s="47">
        <f>IF(K347="","",IFERROR(INDEX('Semrush Data'!$C$2:$C$5000,MATCH(K347,'Semrush Data'!$A$2:$A$5000,0)),""))</f>
        <v/>
      </c>
      <c r="M347" s="48" t="inlineStr">
        <is>
          <t>Game Of Spades King Eau De Parfum</t>
        </is>
      </c>
      <c r="N347" s="45" t="inlineStr">
        <is>
          <t>Game Of Spades King Eau De Parfum | Buy Online UK | Swansura</t>
        </is>
      </c>
      <c r="O347" s="45">
        <f>LEN(N347)</f>
        <v/>
      </c>
      <c r="P347" s="49" t="inlineStr">
        <is>
          <t>Buy Game Of Spades King Eau De Parfum 100ml for £73.99 at Swansura UK. A woody unisex eau de parfum. 100% authentic, fast UK delivery, free over £50.</t>
        </is>
      </c>
      <c r="Q347" s="45">
        <f>LEN(P347)</f>
        <v/>
      </c>
      <c r="R347" s="49" t="inlineStr">
        <is>
          <t>Real brand missing</t>
        </is>
      </c>
    </row>
    <row r="348" ht="23.25" customHeight="1" s="37">
      <c r="A348" s="45" t="inlineStr">
        <is>
          <t>FR-188</t>
        </is>
      </c>
      <c r="B348" s="45" t="inlineStr">
        <is>
          <t>Fragrance Catalogue</t>
        </is>
      </c>
      <c r="C348" s="45" t="inlineStr">
        <is>
          <t>Generic</t>
        </is>
      </c>
      <c r="D348" s="45" t="inlineStr">
        <is>
          <t>Game Of Spades Moon Unisex | Eau De Parfum 100ml | For Men &amp; Women</t>
        </is>
      </c>
      <c r="E348" s="45" t="inlineStr">
        <is>
          <t>100ml</t>
        </is>
      </c>
      <c r="F348" s="46" t="n">
        <v>85.98999999999999</v>
      </c>
      <c r="G348" s="45" t="inlineStr">
        <is>
          <t>game of spades moon</t>
        </is>
      </c>
      <c r="H348" s="47">
        <f>IFERROR(INDEX('Semrush Data'!$C$2:$C$5000,MATCH(G348,'Semrush Data'!$A$2:$A$5000,0)),"")</f>
        <v/>
      </c>
      <c r="I348" s="45">
        <f>IFERROR(INDEX('Semrush Data'!$D$2:$D$5000,MATCH(G348,'Semrush Data'!$A$2:$A$5000,0)),"")</f>
        <v/>
      </c>
      <c r="J348" s="45">
        <f>IF(OR(H348="",H348=0),"No volume",IF(I348&lt;=20,"Easier",IF(I348&lt;=35,"Medium","Hard")))</f>
        <v/>
      </c>
      <c r="K348" s="45" t="n"/>
      <c r="L348" s="47">
        <f>IF(K348="","",IFERROR(INDEX('Semrush Data'!$C$2:$C$5000,MATCH(K348,'Semrush Data'!$A$2:$A$5000,0)),""))</f>
        <v/>
      </c>
      <c r="M348" s="48" t="inlineStr">
        <is>
          <t>Game Of Spades Moon Unisex</t>
        </is>
      </c>
      <c r="N348" s="45" t="inlineStr">
        <is>
          <t>Game Of Spades Moon Unisex 100ml | Buy Online UK | Swansura</t>
        </is>
      </c>
      <c r="O348" s="45">
        <f>LEN(N348)</f>
        <v/>
      </c>
      <c r="P348" s="49" t="inlineStr">
        <is>
          <t>Buy Game Of Spades Moon Unisex 100ml for £85.99 at Swansura UK. A woody unisex eau de parfum. 100% authentic, fast UK delivery, free over £50.</t>
        </is>
      </c>
      <c r="Q348" s="45">
        <f>LEN(P348)</f>
        <v/>
      </c>
      <c r="R348" s="49" t="inlineStr">
        <is>
          <t>Real brand missing</t>
        </is>
      </c>
    </row>
    <row r="349" ht="23.25" customHeight="1" s="37">
      <c r="A349" s="45" t="inlineStr">
        <is>
          <t>FR-189</t>
        </is>
      </c>
      <c r="B349" s="45" t="inlineStr">
        <is>
          <t>Fragrance Catalogue</t>
        </is>
      </c>
      <c r="C349" s="45" t="inlineStr">
        <is>
          <t>Generic</t>
        </is>
      </c>
      <c r="D349" s="45" t="inlineStr">
        <is>
          <t>Game Of Spades Opal Eau De Parfum Spray 100 ml | Long Lasting Unisex Luxury Perfume | Citrus-Floral and Woody Amber Fragrance</t>
        </is>
      </c>
      <c r="E349" s="45" t="inlineStr">
        <is>
          <t>100 ml</t>
        </is>
      </c>
      <c r="F349" s="46" t="n">
        <v>109.99</v>
      </c>
      <c r="G349" s="45" t="inlineStr">
        <is>
          <t>game of spades opal</t>
        </is>
      </c>
      <c r="H349" s="47">
        <f>IFERROR(INDEX('Semrush Data'!$C$2:$C$5000,MATCH(G349,'Semrush Data'!$A$2:$A$5000,0)),"")</f>
        <v/>
      </c>
      <c r="I349" s="45">
        <f>IFERROR(INDEX('Semrush Data'!$D$2:$D$5000,MATCH(G349,'Semrush Data'!$A$2:$A$5000,0)),"")</f>
        <v/>
      </c>
      <c r="J349" s="45">
        <f>IF(OR(H349="",H349=0),"No volume",IF(I349&lt;=20,"Easier",IF(I349&lt;=35,"Medium","Hard")))</f>
        <v/>
      </c>
      <c r="K349" s="45" t="n"/>
      <c r="L349" s="47">
        <f>IF(K349="","",IFERROR(INDEX('Semrush Data'!$C$2:$C$5000,MATCH(K349,'Semrush Data'!$A$2:$A$5000,0)),""))</f>
        <v/>
      </c>
      <c r="M349" s="48" t="inlineStr">
        <is>
          <t>Game Of Spades Opal Eau De Parfum Spray</t>
        </is>
      </c>
      <c r="N349" s="45" t="inlineStr">
        <is>
          <t>Game Of Spades Opal Eau De Parfum Spray 100ml | Swansura UK</t>
        </is>
      </c>
      <c r="O349" s="45">
        <f>LEN(N349)</f>
        <v/>
      </c>
      <c r="P349" s="49" t="inlineStr">
        <is>
          <t>Buy Game Of Spades Opal Eau De Parfum Spray 100ml for £109.99 at Swansura UK. A floral unisex eau de parfum. 100% authentic, fast UK delivery, free over £50.</t>
        </is>
      </c>
      <c r="Q349" s="45">
        <f>LEN(P349)</f>
        <v/>
      </c>
      <c r="R349" s="49" t="inlineStr">
        <is>
          <t>Real brand missing</t>
        </is>
      </c>
    </row>
    <row r="350" ht="23.25" customHeight="1" s="37">
      <c r="A350" s="45" t="inlineStr">
        <is>
          <t>FR-190</t>
        </is>
      </c>
      <c r="B350" s="45" t="inlineStr">
        <is>
          <t>Fragrance Catalogue</t>
        </is>
      </c>
      <c r="C350" s="45" t="inlineStr">
        <is>
          <t>Generic</t>
        </is>
      </c>
      <c r="D350" s="45" t="inlineStr">
        <is>
          <t>Game of Spades Rouge Unisex Eau de Parfum 100ml</t>
        </is>
      </c>
      <c r="E350" s="45" t="inlineStr">
        <is>
          <t>100ml</t>
        </is>
      </c>
      <c r="F350" s="46" t="n">
        <v>85.98999999999999</v>
      </c>
      <c r="G350" s="45" t="inlineStr">
        <is>
          <t>game of spades rouge</t>
        </is>
      </c>
      <c r="H350" s="47">
        <f>IFERROR(INDEX('Semrush Data'!$C$2:$C$5000,MATCH(G350,'Semrush Data'!$A$2:$A$5000,0)),"")</f>
        <v/>
      </c>
      <c r="I350" s="45">
        <f>IFERROR(INDEX('Semrush Data'!$D$2:$D$5000,MATCH(G350,'Semrush Data'!$A$2:$A$5000,0)),"")</f>
        <v/>
      </c>
      <c r="J350" s="45">
        <f>IF(OR(H350="",H350=0),"No volume",IF(I350&lt;=20,"Easier",IF(I350&lt;=35,"Medium","Hard")))</f>
        <v/>
      </c>
      <c r="K350" s="45" t="n"/>
      <c r="L350" s="47">
        <f>IF(K350="","",IFERROR(INDEX('Semrush Data'!$C$2:$C$5000,MATCH(K350,'Semrush Data'!$A$2:$A$5000,0)),""))</f>
        <v/>
      </c>
      <c r="M350" s="48" t="inlineStr">
        <is>
          <t>Game of Spades Rouge Unisex Eau de Parfum</t>
        </is>
      </c>
      <c r="N350" s="45" t="inlineStr">
        <is>
          <t>Game of Spades Rouge Unisex EDP 100ml | Swansura UK</t>
        </is>
      </c>
      <c r="O350" s="45">
        <f>LEN(N350)</f>
        <v/>
      </c>
      <c r="P350" s="49" t="inlineStr">
        <is>
          <t>Buy Game of Spades Rouge Unisex Eau de Parfum 100ml for £85.99 at Swansura UK. An amber unisex eau de parfum. 100% authentic, fast UK delivery, free over £50.</t>
        </is>
      </c>
      <c r="Q350" s="45">
        <f>LEN(P350)</f>
        <v/>
      </c>
      <c r="R350" s="49" t="inlineStr">
        <is>
          <t>Real brand missing</t>
        </is>
      </c>
    </row>
    <row r="351" ht="23.25" customHeight="1" s="37">
      <c r="A351" s="45" t="inlineStr">
        <is>
          <t>FR-191</t>
        </is>
      </c>
      <c r="B351" s="45" t="inlineStr">
        <is>
          <t>Fragrance Catalogue</t>
        </is>
      </c>
      <c r="C351" s="45" t="inlineStr">
        <is>
          <t>Generic</t>
        </is>
      </c>
      <c r="D351" s="45" t="inlineStr">
        <is>
          <t>Game Of Spades Royale Unisex Eau De Parfum 100ml</t>
        </is>
      </c>
      <c r="E351" s="45" t="inlineStr">
        <is>
          <t>100ml</t>
        </is>
      </c>
      <c r="F351" s="46" t="n">
        <v>85.98999999999999</v>
      </c>
      <c r="G351" s="45" t="inlineStr">
        <is>
          <t>game of spades royale</t>
        </is>
      </c>
      <c r="H351" s="47">
        <f>IFERROR(INDEX('Semrush Data'!$C$2:$C$5000,MATCH(G351,'Semrush Data'!$A$2:$A$5000,0)),"")</f>
        <v/>
      </c>
      <c r="I351" s="45">
        <f>IFERROR(INDEX('Semrush Data'!$D$2:$D$5000,MATCH(G351,'Semrush Data'!$A$2:$A$5000,0)),"")</f>
        <v/>
      </c>
      <c r="J351" s="45">
        <f>IF(OR(H351="",H351=0),"No volume",IF(I351&lt;=20,"Easier",IF(I351&lt;=35,"Medium","Hard")))</f>
        <v/>
      </c>
      <c r="K351" s="45" t="n"/>
      <c r="L351" s="47">
        <f>IF(K351="","",IFERROR(INDEX('Semrush Data'!$C$2:$C$5000,MATCH(K351,'Semrush Data'!$A$2:$A$5000,0)),""))</f>
        <v/>
      </c>
      <c r="M351" s="48" t="inlineStr">
        <is>
          <t>Game Of Spades Royale Unisex Eau De Parfum</t>
        </is>
      </c>
      <c r="N351" s="45" t="inlineStr">
        <is>
          <t>Game Of Spades Royale Unisex EDP 100ml | Swansura UK</t>
        </is>
      </c>
      <c r="O351" s="45">
        <f>LEN(N351)</f>
        <v/>
      </c>
      <c r="P351" s="49" t="inlineStr">
        <is>
          <t>Buy Game Of Spades Royale Unisex Eau De Parfum 100ml for £85.99 at Swansura UK. An amber unisex eau de parfum. 100% authentic, fast UK delivery, free over £50.</t>
        </is>
      </c>
      <c r="Q351" s="45">
        <f>LEN(P351)</f>
        <v/>
      </c>
      <c r="R351" s="49" t="inlineStr">
        <is>
          <t>Real brand missing</t>
        </is>
      </c>
    </row>
    <row r="352" ht="23.25" customHeight="1" s="37">
      <c r="A352" s="45" t="inlineStr">
        <is>
          <t>FR-192</t>
        </is>
      </c>
      <c r="B352" s="45" t="inlineStr">
        <is>
          <t>Fragrance Catalogue</t>
        </is>
      </c>
      <c r="C352" s="45" t="inlineStr">
        <is>
          <t>Generic</t>
        </is>
      </c>
      <c r="D352" s="45" t="inlineStr">
        <is>
          <t>Game of Spades Ruby Unisex Eau de Parfum 100ml</t>
        </is>
      </c>
      <c r="E352" s="45" t="inlineStr">
        <is>
          <t>100ml</t>
        </is>
      </c>
      <c r="F352" s="46" t="n">
        <v>89.98999999999999</v>
      </c>
      <c r="G352" s="45" t="inlineStr">
        <is>
          <t>game of spades ruby</t>
        </is>
      </c>
      <c r="H352" s="47">
        <f>IFERROR(INDEX('Semrush Data'!$C$2:$C$5000,MATCH(G352,'Semrush Data'!$A$2:$A$5000,0)),"")</f>
        <v/>
      </c>
      <c r="I352" s="45">
        <f>IFERROR(INDEX('Semrush Data'!$D$2:$D$5000,MATCH(G352,'Semrush Data'!$A$2:$A$5000,0)),"")</f>
        <v/>
      </c>
      <c r="J352" s="45">
        <f>IF(OR(H352="",H352=0),"No volume",IF(I352&lt;=20,"Easier",IF(I352&lt;=35,"Medium","Hard")))</f>
        <v/>
      </c>
      <c r="K352" s="45" t="n"/>
      <c r="L352" s="47">
        <f>IF(K352="","",IFERROR(INDEX('Semrush Data'!$C$2:$C$5000,MATCH(K352,'Semrush Data'!$A$2:$A$5000,0)),""))</f>
        <v/>
      </c>
      <c r="M352" s="48" t="inlineStr">
        <is>
          <t>Game of Spades Ruby Unisex Eau de Parfum</t>
        </is>
      </c>
      <c r="N352" s="45" t="inlineStr">
        <is>
          <t>Game of Spades Ruby Unisex Eau de Parfum 100ml | Swansura UK</t>
        </is>
      </c>
      <c r="O352" s="45">
        <f>LEN(N352)</f>
        <v/>
      </c>
      <c r="P352" s="49" t="inlineStr">
        <is>
          <t>Buy Game of Spades Ruby Unisex Eau de Parfum 100ml for £89.99 at Swansura UK. An amber unisex eau de parfum. 100% authentic, fast UK delivery, free over £50.</t>
        </is>
      </c>
      <c r="Q352" s="45">
        <f>LEN(P352)</f>
        <v/>
      </c>
      <c r="R352" s="49" t="inlineStr">
        <is>
          <t>Real brand missing</t>
        </is>
      </c>
    </row>
    <row r="353" ht="23.25" customHeight="1" s="37">
      <c r="A353" s="45" t="inlineStr">
        <is>
          <t>FR-193</t>
        </is>
      </c>
      <c r="B353" s="45" t="inlineStr">
        <is>
          <t>Fragrance Catalogue</t>
        </is>
      </c>
      <c r="C353" s="45" t="inlineStr">
        <is>
          <t>Generic</t>
        </is>
      </c>
      <c r="D353" s="45" t="inlineStr">
        <is>
          <t>Game of Spades Wildcard Unisex Eau de Parfum 100ml</t>
        </is>
      </c>
      <c r="E353" s="45" t="inlineStr">
        <is>
          <t>100ml</t>
        </is>
      </c>
      <c r="F353" s="46" t="n">
        <v>94.98999999999999</v>
      </c>
      <c r="G353" s="45" t="inlineStr">
        <is>
          <t>game of spades wildcard</t>
        </is>
      </c>
      <c r="H353" s="47">
        <f>IFERROR(INDEX('Semrush Data'!$C$2:$C$5000,MATCH(G353,'Semrush Data'!$A$2:$A$5000,0)),"")</f>
        <v/>
      </c>
      <c r="I353" s="45">
        <f>IFERROR(INDEX('Semrush Data'!$D$2:$D$5000,MATCH(G353,'Semrush Data'!$A$2:$A$5000,0)),"")</f>
        <v/>
      </c>
      <c r="J353" s="45">
        <f>IF(OR(H353="",H353=0),"No volume",IF(I353&lt;=20,"Easier",IF(I353&lt;=35,"Medium","Hard")))</f>
        <v/>
      </c>
      <c r="K353" s="45" t="n"/>
      <c r="L353" s="47">
        <f>IF(K353="","",IFERROR(INDEX('Semrush Data'!$C$2:$C$5000,MATCH(K353,'Semrush Data'!$A$2:$A$5000,0)),""))</f>
        <v/>
      </c>
      <c r="M353" s="48" t="inlineStr">
        <is>
          <t>Game of Spades Wildcard Unisex Eau de Parfum</t>
        </is>
      </c>
      <c r="N353" s="45" t="inlineStr">
        <is>
          <t>Game of Spades Wildcard Unisex EDP 100ml | Swansura UK</t>
        </is>
      </c>
      <c r="O353" s="45">
        <f>LEN(N353)</f>
        <v/>
      </c>
      <c r="P353" s="49" t="inlineStr">
        <is>
          <t>Buy Game of Spades Wildcard Unisex Eau de Parfum 100ml for £94.99 at Swansura UK. An amber unisex eau de parfum. 100% authentic, free UK delivery over £50.</t>
        </is>
      </c>
      <c r="Q353" s="45">
        <f>LEN(P353)</f>
        <v/>
      </c>
      <c r="R353" s="49" t="inlineStr">
        <is>
          <t>Real brand missing</t>
        </is>
      </c>
    </row>
    <row r="354" ht="23.25" customHeight="1" s="37">
      <c r="A354" s="45" t="inlineStr">
        <is>
          <t>FR-194</t>
        </is>
      </c>
      <c r="B354" s="45" t="inlineStr">
        <is>
          <t>Fragrance Catalogue</t>
        </is>
      </c>
      <c r="C354" s="45" t="inlineStr">
        <is>
          <t>Generic</t>
        </is>
      </c>
      <c r="D354" s="45" t="inlineStr">
        <is>
          <t>Game Of Spades Win | Eau De Parfum 100ml | Long-Lasting Luxury Perfume for Men &amp; Women</t>
        </is>
      </c>
      <c r="E354" s="45" t="inlineStr">
        <is>
          <t>100ml</t>
        </is>
      </c>
      <c r="F354" s="46" t="n">
        <v>79.98999999999999</v>
      </c>
      <c r="G354" s="45" t="inlineStr">
        <is>
          <t>game of spades win</t>
        </is>
      </c>
      <c r="H354" s="47">
        <f>IFERROR(INDEX('Semrush Data'!$C$2:$C$5000,MATCH(G354,'Semrush Data'!$A$2:$A$5000,0)),"")</f>
        <v/>
      </c>
      <c r="I354" s="45">
        <f>IFERROR(INDEX('Semrush Data'!$D$2:$D$5000,MATCH(G354,'Semrush Data'!$A$2:$A$5000,0)),"")</f>
        <v/>
      </c>
      <c r="J354" s="45">
        <f>IF(OR(H354="",H354=0),"No volume",IF(I354&lt;=20,"Easier",IF(I354&lt;=35,"Medium","Hard")))</f>
        <v/>
      </c>
      <c r="K354" s="45" t="n"/>
      <c r="L354" s="47">
        <f>IF(K354="","",IFERROR(INDEX('Semrush Data'!$C$2:$C$5000,MATCH(K354,'Semrush Data'!$A$2:$A$5000,0)),""))</f>
        <v/>
      </c>
      <c r="M354" s="48" t="inlineStr">
        <is>
          <t>Game Of Spades Win</t>
        </is>
      </c>
      <c r="N354" s="45" t="inlineStr">
        <is>
          <t>Game Of Spades Win 100ml | Buy Online UK | Swansura</t>
        </is>
      </c>
      <c r="O354" s="45">
        <f>LEN(N354)</f>
        <v/>
      </c>
      <c r="P354" s="49" t="inlineStr">
        <is>
          <t>Buy Game Of Spades Win 100ml for £79.99 at Swansura UK. A woody men's eau de parfum. 100% authentic, fast UK delivery, free over £50.</t>
        </is>
      </c>
      <c r="Q354" s="45">
        <f>LEN(P354)</f>
        <v/>
      </c>
      <c r="R354" s="49" t="inlineStr">
        <is>
          <t>Real brand missing</t>
        </is>
      </c>
    </row>
    <row r="355" ht="23.25" customHeight="1" s="37">
      <c r="A355" s="45" t="inlineStr">
        <is>
          <t>FR-195</t>
        </is>
      </c>
      <c r="B355" s="45" t="inlineStr">
        <is>
          <t>Fragrance Catalogue</t>
        </is>
      </c>
      <c r="C355" s="45" t="inlineStr">
        <is>
          <t>Generic</t>
        </is>
      </c>
      <c r="D355" s="45" t="inlineStr">
        <is>
          <t>Game of Spades Yellow Sapphire Unisex Eau de Parfum 100ml</t>
        </is>
      </c>
      <c r="E355" s="45" t="inlineStr">
        <is>
          <t>100ml</t>
        </is>
      </c>
      <c r="F355" s="46" t="n">
        <v>76.98999999999999</v>
      </c>
      <c r="G355" s="45" t="inlineStr">
        <is>
          <t>game of spades yellow sapphire</t>
        </is>
      </c>
      <c r="H355" s="47">
        <f>IFERROR(INDEX('Semrush Data'!$C$2:$C$5000,MATCH(G355,'Semrush Data'!$A$2:$A$5000,0)),"")</f>
        <v/>
      </c>
      <c r="I355" s="45">
        <f>IFERROR(INDEX('Semrush Data'!$D$2:$D$5000,MATCH(G355,'Semrush Data'!$A$2:$A$5000,0)),"")</f>
        <v/>
      </c>
      <c r="J355" s="45">
        <f>IF(OR(H355="",H355=0),"No volume",IF(I355&lt;=20,"Easier",IF(I355&lt;=35,"Medium","Hard")))</f>
        <v/>
      </c>
      <c r="K355" s="45" t="n"/>
      <c r="L355" s="47">
        <f>IF(K355="","",IFERROR(INDEX('Semrush Data'!$C$2:$C$5000,MATCH(K355,'Semrush Data'!$A$2:$A$5000,0)),""))</f>
        <v/>
      </c>
      <c r="M355" s="48" t="inlineStr">
        <is>
          <t>Game of Spades Yellow Sapphire Unisex Eau de Parfum</t>
        </is>
      </c>
      <c r="N355" s="45" t="inlineStr">
        <is>
          <t>Game of Spades Yellow Sapphire Unisex | Swansura UK</t>
        </is>
      </c>
      <c r="O355" s="45">
        <f>LEN(N355)</f>
        <v/>
      </c>
      <c r="P355" s="49" t="inlineStr">
        <is>
          <t>Game of Spades Yellow Sapphire Unisex Eau de Parfum for £76.99 at Swansura UK. An amber unisex eau de parfum. 100% authentic, fast UK delivery, free over £50.</t>
        </is>
      </c>
      <c r="Q355" s="45">
        <f>LEN(P355)</f>
        <v/>
      </c>
      <c r="R355" s="49" t="inlineStr">
        <is>
          <t>Real brand missing</t>
        </is>
      </c>
    </row>
    <row r="356" ht="23.25" customHeight="1" s="37">
      <c r="A356" s="45" t="inlineStr">
        <is>
          <t>FR-196</t>
        </is>
      </c>
      <c r="B356" s="45" t="inlineStr">
        <is>
          <t>Fragrance Catalogue</t>
        </is>
      </c>
      <c r="C356" s="45" t="inlineStr">
        <is>
          <t>Generic</t>
        </is>
      </c>
      <c r="D356" s="45" t="inlineStr">
        <is>
          <t>Maison de Milan Amalfi Bleu - Eau de Parfum for Men 100ml – Long Lasting Luxury Fragrance</t>
        </is>
      </c>
      <c r="E356" s="45" t="inlineStr">
        <is>
          <t>100ml</t>
        </is>
      </c>
      <c r="F356" s="46" t="n">
        <v>17.99</v>
      </c>
      <c r="G356" s="45" t="inlineStr">
        <is>
          <t>maison de milan amalfi bleu</t>
        </is>
      </c>
      <c r="H356" s="47">
        <f>IFERROR(INDEX('Semrush Data'!$C$2:$C$5000,MATCH(G356,'Semrush Data'!$A$2:$A$5000,0)),"")</f>
        <v/>
      </c>
      <c r="I356" s="45">
        <f>IFERROR(INDEX('Semrush Data'!$D$2:$D$5000,MATCH(G356,'Semrush Data'!$A$2:$A$5000,0)),"")</f>
        <v/>
      </c>
      <c r="J356" s="45">
        <f>IF(OR(H356="",H356=0),"No volume",IF(I356&lt;=20,"Easier",IF(I356&lt;=35,"Medium","Hard")))</f>
        <v/>
      </c>
      <c r="K356" s="45" t="n"/>
      <c r="L356" s="47">
        <f>IF(K356="","",IFERROR(INDEX('Semrush Data'!$C$2:$C$5000,MATCH(K356,'Semrush Data'!$A$2:$A$5000,0)),""))</f>
        <v/>
      </c>
      <c r="M356" s="48" t="inlineStr">
        <is>
          <t>Maison de Milan Amalfi Bleu</t>
        </is>
      </c>
      <c r="N356" s="45" t="inlineStr">
        <is>
          <t>Maison de Milan Amalfi Bleu 100ml | Buy Online UK | Swansura</t>
        </is>
      </c>
      <c r="O356" s="45">
        <f>LEN(N356)</f>
        <v/>
      </c>
      <c r="P356" s="49" t="inlineStr">
        <is>
          <t>Buy Maison de Milan Amalfi Bleu 100ml for £17.99 at Swansura UK. A woody men's eau de parfum. 100% authentic, fast UK delivery, free over £50.</t>
        </is>
      </c>
      <c r="Q356" s="45">
        <f>LEN(P356)</f>
        <v/>
      </c>
      <c r="R356" s="49" t="inlineStr">
        <is>
          <t>Real brand missing</t>
        </is>
      </c>
    </row>
    <row r="357" ht="23.25" customHeight="1" s="37">
      <c r="A357" s="45" t="inlineStr">
        <is>
          <t>FR-197</t>
        </is>
      </c>
      <c r="B357" s="45" t="inlineStr">
        <is>
          <t>Fragrance Catalogue</t>
        </is>
      </c>
      <c r="C357" s="45" t="inlineStr">
        <is>
          <t>Generic</t>
        </is>
      </c>
      <c r="D357" s="45" t="inlineStr">
        <is>
          <t>Maison De Milan Bliss Rouge - Eau de Parfum for Women 100ml – Long Lasting Luxury Fragrance</t>
        </is>
      </c>
      <c r="E357" s="45" t="inlineStr">
        <is>
          <t>100ml</t>
        </is>
      </c>
      <c r="F357" s="46" t="n">
        <v>17.99</v>
      </c>
      <c r="G357" s="45" t="inlineStr">
        <is>
          <t>maison de milan bliss rouge</t>
        </is>
      </c>
      <c r="H357" s="47">
        <f>IFERROR(INDEX('Semrush Data'!$C$2:$C$5000,MATCH(G357,'Semrush Data'!$A$2:$A$5000,0)),"")</f>
        <v/>
      </c>
      <c r="I357" s="45">
        <f>IFERROR(INDEX('Semrush Data'!$D$2:$D$5000,MATCH(G357,'Semrush Data'!$A$2:$A$5000,0)),"")</f>
        <v/>
      </c>
      <c r="J357" s="45">
        <f>IF(OR(H357="",H357=0),"No volume",IF(I357&lt;=20,"Easier",IF(I357&lt;=35,"Medium","Hard")))</f>
        <v/>
      </c>
      <c r="K357" s="45" t="n"/>
      <c r="L357" s="47">
        <f>IF(K357="","",IFERROR(INDEX('Semrush Data'!$C$2:$C$5000,MATCH(K357,'Semrush Data'!$A$2:$A$5000,0)),""))</f>
        <v/>
      </c>
      <c r="M357" s="48" t="inlineStr">
        <is>
          <t>Maison De Milan Bliss Rouge</t>
        </is>
      </c>
      <c r="N357" s="45" t="inlineStr">
        <is>
          <t>Maison De Milan Bliss Rouge 100ml | Buy Online UK | Swansura</t>
        </is>
      </c>
      <c r="O357" s="45">
        <f>LEN(N357)</f>
        <v/>
      </c>
      <c r="P357" s="49" t="inlineStr">
        <is>
          <t>Buy Maison De Milan Bliss Rouge 100ml for £17.99 at Swansura UK. A woody women's eau de parfum. 100% authentic, fast UK delivery, free over £50.</t>
        </is>
      </c>
      <c r="Q357" s="45">
        <f>LEN(P357)</f>
        <v/>
      </c>
      <c r="R357" s="49" t="inlineStr">
        <is>
          <t>Real brand missing</t>
        </is>
      </c>
    </row>
    <row r="358" ht="23.25" customHeight="1" s="37">
      <c r="A358" s="45" t="inlineStr">
        <is>
          <t>FR-198</t>
        </is>
      </c>
      <c r="B358" s="45" t="inlineStr">
        <is>
          <t>Fragrance Catalogue</t>
        </is>
      </c>
      <c r="C358" s="45" t="inlineStr">
        <is>
          <t>Generic</t>
        </is>
      </c>
      <c r="D358" s="45" t="inlineStr">
        <is>
          <t>Maison de Milan Brave Lad - Eau de Parfum for Men and Women 100ml – Long Lasting Luxury Fragrance</t>
        </is>
      </c>
      <c r="E358" s="45" t="inlineStr">
        <is>
          <t>100ml</t>
        </is>
      </c>
      <c r="F358" s="46" t="n">
        <v>17.99</v>
      </c>
      <c r="G358" s="45" t="inlineStr">
        <is>
          <t>maison de milan brave lad</t>
        </is>
      </c>
      <c r="H358" s="47">
        <f>IFERROR(INDEX('Semrush Data'!$C$2:$C$5000,MATCH(G358,'Semrush Data'!$A$2:$A$5000,0)),"")</f>
        <v/>
      </c>
      <c r="I358" s="45">
        <f>IFERROR(INDEX('Semrush Data'!$D$2:$D$5000,MATCH(G358,'Semrush Data'!$A$2:$A$5000,0)),"")</f>
        <v/>
      </c>
      <c r="J358" s="45">
        <f>IF(OR(H358="",H358=0),"No volume",IF(I358&lt;=20,"Easier",IF(I358&lt;=35,"Medium","Hard")))</f>
        <v/>
      </c>
      <c r="K358" s="45" t="n"/>
      <c r="L358" s="47">
        <f>IF(K358="","",IFERROR(INDEX('Semrush Data'!$C$2:$C$5000,MATCH(K358,'Semrush Data'!$A$2:$A$5000,0)),""))</f>
        <v/>
      </c>
      <c r="M358" s="48" t="inlineStr">
        <is>
          <t>Maison de Milan Brave Lad</t>
        </is>
      </c>
      <c r="N358" s="45" t="inlineStr">
        <is>
          <t>Maison de Milan Brave Lad 100ml | Buy Online UK | Swansura</t>
        </is>
      </c>
      <c r="O358" s="45">
        <f>LEN(N358)</f>
        <v/>
      </c>
      <c r="P358" s="49" t="inlineStr">
        <is>
          <t>Buy Maison de Milan Brave Lad 100ml for £17.99 at Swansura UK. A woody unisex eau de parfum. 100% authentic, fast UK delivery, free over £50.</t>
        </is>
      </c>
      <c r="Q358" s="45">
        <f>LEN(P358)</f>
        <v/>
      </c>
      <c r="R358" s="49" t="inlineStr">
        <is>
          <t>Real brand missing</t>
        </is>
      </c>
    </row>
    <row r="359" ht="23.25" customHeight="1" s="37">
      <c r="A359" s="45" t="inlineStr">
        <is>
          <t>FR-199</t>
        </is>
      </c>
      <c r="B359" s="45" t="inlineStr">
        <is>
          <t>Fragrance Catalogue</t>
        </is>
      </c>
      <c r="C359" s="45" t="inlineStr">
        <is>
          <t>Generic</t>
        </is>
      </c>
      <c r="D359" s="45" t="inlineStr">
        <is>
          <t>Maison de Milan Delight Pour Femme - Eau de Parfum for Women 100ml – Long Lasting Luxury Fragrance</t>
        </is>
      </c>
      <c r="E359" s="45" t="inlineStr">
        <is>
          <t>100ml</t>
        </is>
      </c>
      <c r="F359" s="46" t="n">
        <v>17.99</v>
      </c>
      <c r="G359" s="45" t="inlineStr">
        <is>
          <t>maison de milan delight pour femme</t>
        </is>
      </c>
      <c r="H359" s="47">
        <f>IFERROR(INDEX('Semrush Data'!$C$2:$C$5000,MATCH(G359,'Semrush Data'!$A$2:$A$5000,0)),"")</f>
        <v/>
      </c>
      <c r="I359" s="45">
        <f>IFERROR(INDEX('Semrush Data'!$D$2:$D$5000,MATCH(G359,'Semrush Data'!$A$2:$A$5000,0)),"")</f>
        <v/>
      </c>
      <c r="J359" s="45">
        <f>IF(OR(H359="",H359=0),"No volume",IF(I359&lt;=20,"Easier",IF(I359&lt;=35,"Medium","Hard")))</f>
        <v/>
      </c>
      <c r="K359" s="45" t="n"/>
      <c r="L359" s="47">
        <f>IF(K359="","",IFERROR(INDEX('Semrush Data'!$C$2:$C$5000,MATCH(K359,'Semrush Data'!$A$2:$A$5000,0)),""))</f>
        <v/>
      </c>
      <c r="M359" s="48" t="inlineStr">
        <is>
          <t>Maison de Milan Delight Pour Femme</t>
        </is>
      </c>
      <c r="N359" s="45" t="inlineStr">
        <is>
          <t>Maison de Milan Delight Pour Femme 100ml | Swansura UK</t>
        </is>
      </c>
      <c r="O359" s="45">
        <f>LEN(N359)</f>
        <v/>
      </c>
      <c r="P359" s="49" t="inlineStr">
        <is>
          <t>Buy Maison de Milan Delight Pour Femme 100ml for £17.99 at Swansura UK. A woody women's eau de parfum. 100% authentic, fast UK delivery, free over £50.</t>
        </is>
      </c>
      <c r="Q359" s="45">
        <f>LEN(P359)</f>
        <v/>
      </c>
      <c r="R359" s="49" t="inlineStr">
        <is>
          <t>Real brand missing</t>
        </is>
      </c>
    </row>
    <row r="360" ht="23.25" customHeight="1" s="37">
      <c r="A360" s="45" t="inlineStr">
        <is>
          <t>FR-200</t>
        </is>
      </c>
      <c r="B360" s="45" t="inlineStr">
        <is>
          <t>Fragrance Catalogue</t>
        </is>
      </c>
      <c r="C360" s="45" t="inlineStr">
        <is>
          <t>Generic</t>
        </is>
      </c>
      <c r="D360" s="45" t="inlineStr">
        <is>
          <t>Maison de Milan Elegance Pour Femme - Eau de Parfum for Women 100ml – Long Lasting Luxury Fragrance</t>
        </is>
      </c>
      <c r="E360" s="45" t="inlineStr">
        <is>
          <t>100ml</t>
        </is>
      </c>
      <c r="F360" s="46" t="n">
        <v>17.99</v>
      </c>
      <c r="G360" s="45" t="inlineStr">
        <is>
          <t>maison de milan elegance pour femme</t>
        </is>
      </c>
      <c r="H360" s="47">
        <f>IFERROR(INDEX('Semrush Data'!$C$2:$C$5000,MATCH(G360,'Semrush Data'!$A$2:$A$5000,0)),"")</f>
        <v/>
      </c>
      <c r="I360" s="45">
        <f>IFERROR(INDEX('Semrush Data'!$D$2:$D$5000,MATCH(G360,'Semrush Data'!$A$2:$A$5000,0)),"")</f>
        <v/>
      </c>
      <c r="J360" s="45">
        <f>IF(OR(H360="",H360=0),"No volume",IF(I360&lt;=20,"Easier",IF(I360&lt;=35,"Medium","Hard")))</f>
        <v/>
      </c>
      <c r="K360" s="45" t="n"/>
      <c r="L360" s="47">
        <f>IF(K360="","",IFERROR(INDEX('Semrush Data'!$C$2:$C$5000,MATCH(K360,'Semrush Data'!$A$2:$A$5000,0)),""))</f>
        <v/>
      </c>
      <c r="M360" s="48" t="inlineStr">
        <is>
          <t>Maison de Milan Elegance Pour Femme</t>
        </is>
      </c>
      <c r="N360" s="45" t="inlineStr">
        <is>
          <t>Maison de Milan Elegance Pour Femme 100ml | Swansura UK</t>
        </is>
      </c>
      <c r="O360" s="45">
        <f>LEN(N360)</f>
        <v/>
      </c>
      <c r="P360" s="49" t="inlineStr">
        <is>
          <t>Buy Maison de Milan Elegance Pour Femme 100ml for £17.99 at Swansura UK. A woody women's eau de parfum. 100% authentic, fast UK delivery, free over £50.</t>
        </is>
      </c>
      <c r="Q360" s="45">
        <f>LEN(P360)</f>
        <v/>
      </c>
      <c r="R360" s="49" t="inlineStr">
        <is>
          <t>Real brand missing</t>
        </is>
      </c>
    </row>
    <row r="361" ht="23.25" customHeight="1" s="37">
      <c r="A361" s="45" t="inlineStr">
        <is>
          <t>FR-201</t>
        </is>
      </c>
      <c r="B361" s="45" t="inlineStr">
        <is>
          <t>Fragrance Catalogue</t>
        </is>
      </c>
      <c r="C361" s="45" t="inlineStr">
        <is>
          <t>Generic</t>
        </is>
      </c>
      <c r="D361" s="45" t="inlineStr">
        <is>
          <t>Maison de Milan Gossip Pour Femme - Eau de Parfum for Women 100ml – Long Lasting Luxury Fragrance</t>
        </is>
      </c>
      <c r="E361" s="45" t="inlineStr">
        <is>
          <t>100ml</t>
        </is>
      </c>
      <c r="F361" s="46" t="n">
        <v>17.99</v>
      </c>
      <c r="G361" s="45" t="inlineStr">
        <is>
          <t>maison de milan gossip pour femme</t>
        </is>
      </c>
      <c r="H361" s="47">
        <f>IFERROR(INDEX('Semrush Data'!$C$2:$C$5000,MATCH(G361,'Semrush Data'!$A$2:$A$5000,0)),"")</f>
        <v/>
      </c>
      <c r="I361" s="45">
        <f>IFERROR(INDEX('Semrush Data'!$D$2:$D$5000,MATCH(G361,'Semrush Data'!$A$2:$A$5000,0)),"")</f>
        <v/>
      </c>
      <c r="J361" s="45">
        <f>IF(OR(H361="",H361=0),"No volume",IF(I361&lt;=20,"Easier",IF(I361&lt;=35,"Medium","Hard")))</f>
        <v/>
      </c>
      <c r="K361" s="45" t="n"/>
      <c r="L361" s="47">
        <f>IF(K361="","",IFERROR(INDEX('Semrush Data'!$C$2:$C$5000,MATCH(K361,'Semrush Data'!$A$2:$A$5000,0)),""))</f>
        <v/>
      </c>
      <c r="M361" s="48" t="inlineStr">
        <is>
          <t>Maison de Milan Gossip Pour Femme</t>
        </is>
      </c>
      <c r="N361" s="45" t="inlineStr">
        <is>
          <t>Maison de Milan Gossip Pour Femme | Buy Online UK | Swansura</t>
        </is>
      </c>
      <c r="O361" s="45">
        <f>LEN(N361)</f>
        <v/>
      </c>
      <c r="P361" s="49" t="inlineStr">
        <is>
          <t>Buy Maison de Milan Gossip Pour Femme 100ml for £17.99 at Swansura UK. A woody women's eau de parfum. 100% authentic, fast UK delivery, free over £50.</t>
        </is>
      </c>
      <c r="Q361" s="45">
        <f>LEN(P361)</f>
        <v/>
      </c>
      <c r="R361" s="49" t="inlineStr">
        <is>
          <t>Real brand missing</t>
        </is>
      </c>
    </row>
    <row r="362" ht="23.25" customHeight="1" s="37">
      <c r="A362" s="45" t="inlineStr">
        <is>
          <t>FR-202</t>
        </is>
      </c>
      <c r="B362" s="45" t="inlineStr">
        <is>
          <t>Fragrance Catalogue</t>
        </is>
      </c>
      <c r="C362" s="45" t="inlineStr">
        <is>
          <t>Generic</t>
        </is>
      </c>
      <c r="D362" s="45" t="inlineStr">
        <is>
          <t>Maison de Milan Invincible - Eau de Parfum for Women 100ml – Long Lasting Luxury Fragrance</t>
        </is>
      </c>
      <c r="E362" s="45" t="inlineStr">
        <is>
          <t>100ml</t>
        </is>
      </c>
      <c r="F362" s="46" t="n">
        <v>17.99</v>
      </c>
      <c r="G362" s="45" t="inlineStr">
        <is>
          <t>maison de milan invincible</t>
        </is>
      </c>
      <c r="H362" s="47">
        <f>IFERROR(INDEX('Semrush Data'!$C$2:$C$5000,MATCH(G362,'Semrush Data'!$A$2:$A$5000,0)),"")</f>
        <v/>
      </c>
      <c r="I362" s="45">
        <f>IFERROR(INDEX('Semrush Data'!$D$2:$D$5000,MATCH(G362,'Semrush Data'!$A$2:$A$5000,0)),"")</f>
        <v/>
      </c>
      <c r="J362" s="45">
        <f>IF(OR(H362="",H362=0),"No volume",IF(I362&lt;=20,"Easier",IF(I362&lt;=35,"Medium","Hard")))</f>
        <v/>
      </c>
      <c r="K362" s="45" t="n"/>
      <c r="L362" s="47">
        <f>IF(K362="","",IFERROR(INDEX('Semrush Data'!$C$2:$C$5000,MATCH(K362,'Semrush Data'!$A$2:$A$5000,0)),""))</f>
        <v/>
      </c>
      <c r="M362" s="48" t="inlineStr">
        <is>
          <t>Maison de Milan Invincible</t>
        </is>
      </c>
      <c r="N362" s="45" t="inlineStr">
        <is>
          <t>Maison de Milan Invincible 100ml | Buy Online UK | Swansura</t>
        </is>
      </c>
      <c r="O362" s="45">
        <f>LEN(N362)</f>
        <v/>
      </c>
      <c r="P362" s="49" t="inlineStr">
        <is>
          <t>Buy Maison de Milan Invincible 100ml for £17.99 at Swansura UK. A woody women's eau de parfum. 100% authentic, fast UK delivery, free over £50.</t>
        </is>
      </c>
      <c r="Q362" s="45">
        <f>LEN(P362)</f>
        <v/>
      </c>
      <c r="R362" s="49" t="inlineStr">
        <is>
          <t>Real brand missing</t>
        </is>
      </c>
    </row>
    <row r="363" ht="23.25" customHeight="1" s="37">
      <c r="A363" s="45" t="inlineStr">
        <is>
          <t>FR-203</t>
        </is>
      </c>
      <c r="B363" s="45" t="inlineStr">
        <is>
          <t>Fragrance Catalogue</t>
        </is>
      </c>
      <c r="C363" s="45" t="inlineStr">
        <is>
          <t>Generic</t>
        </is>
      </c>
      <c r="D363" s="45" t="inlineStr">
        <is>
          <t>Maison de Milan L'Homme Suave - Eau de Parfum for Men 100ml – Long Lasting Luxury Fragrance</t>
        </is>
      </c>
      <c r="E363" s="45" t="inlineStr">
        <is>
          <t>100ml</t>
        </is>
      </c>
      <c r="F363" s="46" t="n">
        <v>17.99</v>
      </c>
      <c r="G363" s="45" t="inlineStr">
        <is>
          <t>maison de milan l'homme suave</t>
        </is>
      </c>
      <c r="H363" s="47">
        <f>IFERROR(INDEX('Semrush Data'!$C$2:$C$5000,MATCH(G363,'Semrush Data'!$A$2:$A$5000,0)),"")</f>
        <v/>
      </c>
      <c r="I363" s="45">
        <f>IFERROR(INDEX('Semrush Data'!$D$2:$D$5000,MATCH(G363,'Semrush Data'!$A$2:$A$5000,0)),"")</f>
        <v/>
      </c>
      <c r="J363" s="45">
        <f>IF(OR(H363="",H363=0),"No volume",IF(I363&lt;=20,"Easier",IF(I363&lt;=35,"Medium","Hard")))</f>
        <v/>
      </c>
      <c r="K363" s="45" t="n"/>
      <c r="L363" s="47">
        <f>IF(K363="","",IFERROR(INDEX('Semrush Data'!$C$2:$C$5000,MATCH(K363,'Semrush Data'!$A$2:$A$5000,0)),""))</f>
        <v/>
      </c>
      <c r="M363" s="48" t="inlineStr">
        <is>
          <t>Maison de Milan L'Homme Suave</t>
        </is>
      </c>
      <c r="N363" s="45" t="inlineStr">
        <is>
          <t>Maison de Milan L'Homme Suave | Buy Online UK | Swansura</t>
        </is>
      </c>
      <c r="O363" s="45">
        <f>LEN(N363)</f>
        <v/>
      </c>
      <c r="P363" s="49" t="inlineStr">
        <is>
          <t>Buy Maison de Milan L'Homme Suave 100ml for £17.99 at Swansura UK. A woody men's eau de parfum. 100% authentic, fast UK delivery, free over £50.</t>
        </is>
      </c>
      <c r="Q363" s="45">
        <f>LEN(P363)</f>
        <v/>
      </c>
      <c r="R363" s="49" t="inlineStr">
        <is>
          <t>Real brand missing</t>
        </is>
      </c>
    </row>
    <row r="364" ht="23.25" customHeight="1" s="37">
      <c r="A364" s="45" t="inlineStr">
        <is>
          <t>FR-204</t>
        </is>
      </c>
      <c r="B364" s="45" t="inlineStr">
        <is>
          <t>Fragrance Catalogue</t>
        </is>
      </c>
      <c r="C364" s="45" t="inlineStr">
        <is>
          <t>Generic</t>
        </is>
      </c>
      <c r="D364" s="45" t="inlineStr">
        <is>
          <t>Maison de Milan M - Eau de Parfum Unisex – Long Lasting Fragrance - 100 ml Spray for Men and Women</t>
        </is>
      </c>
      <c r="E364" s="45" t="inlineStr">
        <is>
          <t>100 ml</t>
        </is>
      </c>
      <c r="F364" s="46" t="n">
        <v>17.99</v>
      </c>
      <c r="G364" s="45" t="inlineStr">
        <is>
          <t>maison de milan m</t>
        </is>
      </c>
      <c r="H364" s="47">
        <f>IFERROR(INDEX('Semrush Data'!$C$2:$C$5000,MATCH(G364,'Semrush Data'!$A$2:$A$5000,0)),"")</f>
        <v/>
      </c>
      <c r="I364" s="45">
        <f>IFERROR(INDEX('Semrush Data'!$D$2:$D$5000,MATCH(G364,'Semrush Data'!$A$2:$A$5000,0)),"")</f>
        <v/>
      </c>
      <c r="J364" s="45">
        <f>IF(OR(H364="",H364=0),"No volume",IF(I364&lt;=20,"Easier",IF(I364&lt;=35,"Medium","Hard")))</f>
        <v/>
      </c>
      <c r="K364" s="45" t="n"/>
      <c r="L364" s="47">
        <f>IF(K364="","",IFERROR(INDEX('Semrush Data'!$C$2:$C$5000,MATCH(K364,'Semrush Data'!$A$2:$A$5000,0)),""))</f>
        <v/>
      </c>
      <c r="M364" s="48" t="inlineStr">
        <is>
          <t>Maison de Milan M</t>
        </is>
      </c>
      <c r="N364" s="45" t="inlineStr">
        <is>
          <t>Maison de Milan M 100ml | Buy Online UK | Swansura</t>
        </is>
      </c>
      <c r="O364" s="45">
        <f>LEN(N364)</f>
        <v/>
      </c>
      <c r="P364" s="49" t="inlineStr">
        <is>
          <t>Buy Maison de Milan M 100ml for £17.99 at Swansura UK. A woody unisex eau de parfum. 100% authentic, fast UK delivery, free over £50.</t>
        </is>
      </c>
      <c r="Q364" s="45">
        <f>LEN(P364)</f>
        <v/>
      </c>
      <c r="R364" s="49" t="inlineStr">
        <is>
          <t>Real brand missing</t>
        </is>
      </c>
    </row>
    <row r="365" ht="23.25" customHeight="1" s="37">
      <c r="A365" s="45" t="inlineStr">
        <is>
          <t>FR-205</t>
        </is>
      </c>
      <c r="B365" s="45" t="inlineStr">
        <is>
          <t>Fragrance Catalogue</t>
        </is>
      </c>
      <c r="C365" s="45" t="inlineStr">
        <is>
          <t>Generic</t>
        </is>
      </c>
      <c r="D365" s="45" t="inlineStr">
        <is>
          <t>Maison De Milan Milano Girl Black – Eau de Parfum for Women – 100 ml Spray luxury fragrance</t>
        </is>
      </c>
      <c r="E365" s="45" t="inlineStr">
        <is>
          <t>100 ml</t>
        </is>
      </c>
      <c r="F365" s="46" t="n">
        <v>17.99</v>
      </c>
      <c r="G365" s="45" t="inlineStr">
        <is>
          <t>maison de milan milano girl black</t>
        </is>
      </c>
      <c r="H365" s="47">
        <f>IFERROR(INDEX('Semrush Data'!$C$2:$C$5000,MATCH(G365,'Semrush Data'!$A$2:$A$5000,0)),"")</f>
        <v/>
      </c>
      <c r="I365" s="45">
        <f>IFERROR(INDEX('Semrush Data'!$D$2:$D$5000,MATCH(G365,'Semrush Data'!$A$2:$A$5000,0)),"")</f>
        <v/>
      </c>
      <c r="J365" s="45">
        <f>IF(OR(H365="",H365=0),"No volume",IF(I365&lt;=20,"Easier",IF(I365&lt;=35,"Medium","Hard")))</f>
        <v/>
      </c>
      <c r="K365" s="45" t="n"/>
      <c r="L365" s="47">
        <f>IF(K365="","",IFERROR(INDEX('Semrush Data'!$C$2:$C$5000,MATCH(K365,'Semrush Data'!$A$2:$A$5000,0)),""))</f>
        <v/>
      </c>
      <c r="M365" s="48" t="inlineStr">
        <is>
          <t>Maison De Milan Milano Girl Black</t>
        </is>
      </c>
      <c r="N365" s="45" t="inlineStr">
        <is>
          <t>Maison De Milan Milano Girl Black | Buy Online UK | Swansura</t>
        </is>
      </c>
      <c r="O365" s="45">
        <f>LEN(N365)</f>
        <v/>
      </c>
      <c r="P365" s="49" t="inlineStr">
        <is>
          <t>Buy Maison De Milan Milano Girl Black 100ml for £17.99 at Swansura UK. A woody women's eau de parfum. 100% authentic, fast UK delivery, free over £50.</t>
        </is>
      </c>
      <c r="Q365" s="45">
        <f>LEN(P365)</f>
        <v/>
      </c>
      <c r="R365" s="49" t="inlineStr">
        <is>
          <t>Real brand missing</t>
        </is>
      </c>
    </row>
    <row r="366" ht="23.25" customHeight="1" s="37">
      <c r="A366" s="45" t="inlineStr">
        <is>
          <t>FR-206</t>
        </is>
      </c>
      <c r="B366" s="45" t="inlineStr">
        <is>
          <t>Fragrance Catalogue</t>
        </is>
      </c>
      <c r="C366" s="45" t="inlineStr">
        <is>
          <t>Generic</t>
        </is>
      </c>
      <c r="D366" s="45" t="inlineStr">
        <is>
          <t>Maison De Milan Milano Girl Red - Eau de Parfum for Women 100ml – Long Lasting Luxury Fragrance</t>
        </is>
      </c>
      <c r="E366" s="45" t="inlineStr">
        <is>
          <t>100ml</t>
        </is>
      </c>
      <c r="F366" s="46" t="n">
        <v>19.99</v>
      </c>
      <c r="G366" s="45" t="inlineStr">
        <is>
          <t>maison de milan milano girl red</t>
        </is>
      </c>
      <c r="H366" s="47">
        <f>IFERROR(INDEX('Semrush Data'!$C$2:$C$5000,MATCH(G366,'Semrush Data'!$A$2:$A$5000,0)),"")</f>
        <v/>
      </c>
      <c r="I366" s="45">
        <f>IFERROR(INDEX('Semrush Data'!$D$2:$D$5000,MATCH(G366,'Semrush Data'!$A$2:$A$5000,0)),"")</f>
        <v/>
      </c>
      <c r="J366" s="45">
        <f>IF(OR(H366="",H366=0),"No volume",IF(I366&lt;=20,"Easier",IF(I366&lt;=35,"Medium","Hard")))</f>
        <v/>
      </c>
      <c r="K366" s="45" t="n"/>
      <c r="L366" s="47">
        <f>IF(K366="","",IFERROR(INDEX('Semrush Data'!$C$2:$C$5000,MATCH(K366,'Semrush Data'!$A$2:$A$5000,0)),""))</f>
        <v/>
      </c>
      <c r="M366" s="48" t="inlineStr">
        <is>
          <t>Maison De Milan Milano Girl Red</t>
        </is>
      </c>
      <c r="N366" s="45" t="inlineStr">
        <is>
          <t>Maison De Milan Milano Girl Red | Buy Online UK | Swansura</t>
        </is>
      </c>
      <c r="O366" s="45">
        <f>LEN(N366)</f>
        <v/>
      </c>
      <c r="P366" s="49" t="inlineStr">
        <is>
          <t>Buy Maison De Milan Milano Girl Red 100ml for £19.99 at Swansura UK. A woody women's eau de parfum. 100% authentic, fast UK delivery, free over £50.</t>
        </is>
      </c>
      <c r="Q366" s="45">
        <f>LEN(P366)</f>
        <v/>
      </c>
      <c r="R366" s="49" t="inlineStr">
        <is>
          <t>Real brand missing</t>
        </is>
      </c>
    </row>
    <row r="367" ht="23.25" customHeight="1" s="37">
      <c r="A367" s="45" t="inlineStr">
        <is>
          <t>FR-207</t>
        </is>
      </c>
      <c r="B367" s="45" t="inlineStr">
        <is>
          <t>Fragrance Catalogue</t>
        </is>
      </c>
      <c r="C367" s="45" t="inlineStr">
        <is>
          <t>Generic</t>
        </is>
      </c>
      <c r="D367" s="45" t="inlineStr">
        <is>
          <t>Maison De Milan Milano Girl White – Eau de Parfum for Women 100ml – Long Lasting Luxury Fragrance</t>
        </is>
      </c>
      <c r="E367" s="45" t="inlineStr">
        <is>
          <t>100ml</t>
        </is>
      </c>
      <c r="F367" s="46" t="n">
        <v>19.99</v>
      </c>
      <c r="G367" s="45" t="inlineStr">
        <is>
          <t>maison de milan milano girl white</t>
        </is>
      </c>
      <c r="H367" s="47">
        <f>IFERROR(INDEX('Semrush Data'!$C$2:$C$5000,MATCH(G367,'Semrush Data'!$A$2:$A$5000,0)),"")</f>
        <v/>
      </c>
      <c r="I367" s="45">
        <f>IFERROR(INDEX('Semrush Data'!$D$2:$D$5000,MATCH(G367,'Semrush Data'!$A$2:$A$5000,0)),"")</f>
        <v/>
      </c>
      <c r="J367" s="45">
        <f>IF(OR(H367="",H367=0),"No volume",IF(I367&lt;=20,"Easier",IF(I367&lt;=35,"Medium","Hard")))</f>
        <v/>
      </c>
      <c r="K367" s="45" t="n"/>
      <c r="L367" s="47">
        <f>IF(K367="","",IFERROR(INDEX('Semrush Data'!$C$2:$C$5000,MATCH(K367,'Semrush Data'!$A$2:$A$5000,0)),""))</f>
        <v/>
      </c>
      <c r="M367" s="48" t="inlineStr">
        <is>
          <t>Maison De Milan Milano Girl White</t>
        </is>
      </c>
      <c r="N367" s="45" t="inlineStr">
        <is>
          <t>Maison De Milan Milano Girl White | Buy Online UK | Swansura</t>
        </is>
      </c>
      <c r="O367" s="45">
        <f>LEN(N367)</f>
        <v/>
      </c>
      <c r="P367" s="49" t="inlineStr">
        <is>
          <t>Buy Maison De Milan Milano Girl White 100ml for £19.99 at Swansura UK. A woody women's eau de parfum. 100% authentic, fast UK delivery, free over £50.</t>
        </is>
      </c>
      <c r="Q367" s="45">
        <f>LEN(P367)</f>
        <v/>
      </c>
      <c r="R367" s="49" t="inlineStr">
        <is>
          <t>Real brand missing</t>
        </is>
      </c>
    </row>
    <row r="368" ht="23.25" customHeight="1" s="37">
      <c r="A368" s="45" t="inlineStr">
        <is>
          <t>FR-208</t>
        </is>
      </c>
      <c r="B368" s="45" t="inlineStr">
        <is>
          <t>Fragrance Catalogue</t>
        </is>
      </c>
      <c r="C368" s="45" t="inlineStr">
        <is>
          <t>Generic</t>
        </is>
      </c>
      <c r="D368" s="45" t="inlineStr">
        <is>
          <t>Maison de Milan Opulent Gold - Eau de Parfum for Men and Women 100ml – Long Lasting Luxury Fragrance</t>
        </is>
      </c>
      <c r="E368" s="45" t="inlineStr">
        <is>
          <t>100ml</t>
        </is>
      </c>
      <c r="F368" s="46" t="n">
        <v>17.99</v>
      </c>
      <c r="G368" s="45" t="inlineStr">
        <is>
          <t>maison de milan opulent gold</t>
        </is>
      </c>
      <c r="H368" s="47">
        <f>IFERROR(INDEX('Semrush Data'!$C$2:$C$5000,MATCH(G368,'Semrush Data'!$A$2:$A$5000,0)),"")</f>
        <v/>
      </c>
      <c r="I368" s="45">
        <f>IFERROR(INDEX('Semrush Data'!$D$2:$D$5000,MATCH(G368,'Semrush Data'!$A$2:$A$5000,0)),"")</f>
        <v/>
      </c>
      <c r="J368" s="45">
        <f>IF(OR(H368="",H368=0),"No volume",IF(I368&lt;=20,"Easier",IF(I368&lt;=35,"Medium","Hard")))</f>
        <v/>
      </c>
      <c r="K368" s="45" t="n"/>
      <c r="L368" s="47">
        <f>IF(K368="","",IFERROR(INDEX('Semrush Data'!$C$2:$C$5000,MATCH(K368,'Semrush Data'!$A$2:$A$5000,0)),""))</f>
        <v/>
      </c>
      <c r="M368" s="48" t="inlineStr">
        <is>
          <t>Maison de Milan Opulent Gold</t>
        </is>
      </c>
      <c r="N368" s="45" t="inlineStr">
        <is>
          <t>Maison de Milan Opulent Gold | Buy Online UK | Swansura</t>
        </is>
      </c>
      <c r="O368" s="45">
        <f>LEN(N368)</f>
        <v/>
      </c>
      <c r="P368" s="49" t="inlineStr">
        <is>
          <t>Buy Maison de Milan Opulent Gold 100ml for £17.99 at Swansura UK. A woody unisex eau de parfum. 100% authentic, fast UK delivery, free over £50.</t>
        </is>
      </c>
      <c r="Q368" s="45">
        <f>LEN(P368)</f>
        <v/>
      </c>
      <c r="R368" s="49" t="inlineStr">
        <is>
          <t>Real brand missing</t>
        </is>
      </c>
    </row>
    <row r="369" ht="23.25" customHeight="1" s="37">
      <c r="A369" s="45" t="inlineStr">
        <is>
          <t>FR-209</t>
        </is>
      </c>
      <c r="B369" s="45" t="inlineStr">
        <is>
          <t>Fragrance Catalogue</t>
        </is>
      </c>
      <c r="C369" s="45" t="inlineStr">
        <is>
          <t>Generic</t>
        </is>
      </c>
      <c r="D369" s="45" t="inlineStr">
        <is>
          <t>Maison de Milan Valiant Pour Homme - Eau de Parfum for Men and Women 100ml – Long Lasting Luxury Fragrance</t>
        </is>
      </c>
      <c r="E369" s="45" t="inlineStr">
        <is>
          <t>100ml</t>
        </is>
      </c>
      <c r="F369" s="46" t="n">
        <v>17.99</v>
      </c>
      <c r="G369" s="45" t="inlineStr">
        <is>
          <t>maison de milan valiant pour homme</t>
        </is>
      </c>
      <c r="H369" s="47">
        <f>IFERROR(INDEX('Semrush Data'!$C$2:$C$5000,MATCH(G369,'Semrush Data'!$A$2:$A$5000,0)),"")</f>
        <v/>
      </c>
      <c r="I369" s="45">
        <f>IFERROR(INDEX('Semrush Data'!$D$2:$D$5000,MATCH(G369,'Semrush Data'!$A$2:$A$5000,0)),"")</f>
        <v/>
      </c>
      <c r="J369" s="45">
        <f>IF(OR(H369="",H369=0),"No volume",IF(I369&lt;=20,"Easier",IF(I369&lt;=35,"Medium","Hard")))</f>
        <v/>
      </c>
      <c r="K369" s="45" t="n"/>
      <c r="L369" s="47">
        <f>IF(K369="","",IFERROR(INDEX('Semrush Data'!$C$2:$C$5000,MATCH(K369,'Semrush Data'!$A$2:$A$5000,0)),""))</f>
        <v/>
      </c>
      <c r="M369" s="48" t="inlineStr">
        <is>
          <t>Maison de Milan Valiant Pour Homme</t>
        </is>
      </c>
      <c r="N369" s="45" t="inlineStr">
        <is>
          <t>Maison de Milan Valiant Pour Homme 100ml | Swansura UK</t>
        </is>
      </c>
      <c r="O369" s="45">
        <f>LEN(N369)</f>
        <v/>
      </c>
      <c r="P369" s="49" t="inlineStr">
        <is>
          <t>Buy Maison de Milan Valiant Pour Homme 100ml for £17.99 at Swansura UK. A woody unisex eau de parfum. 100% authentic, fast UK delivery, free over £50.</t>
        </is>
      </c>
      <c r="Q369" s="45">
        <f>LEN(P369)</f>
        <v/>
      </c>
      <c r="R369" s="49" t="inlineStr">
        <is>
          <t>Real brand missing</t>
        </is>
      </c>
    </row>
    <row r="370" ht="23.25" customHeight="1" s="37">
      <c r="A370" s="45" t="inlineStr">
        <is>
          <t>FR-210</t>
        </is>
      </c>
      <c r="B370" s="45" t="inlineStr">
        <is>
          <t>Fragrance Catalogue</t>
        </is>
      </c>
      <c r="C370" s="45" t="inlineStr">
        <is>
          <t>Generic</t>
        </is>
      </c>
      <c r="D370" s="45" t="inlineStr">
        <is>
          <t>Roll It 1 Unisex Eau de Parfum 100ml</t>
        </is>
      </c>
      <c r="E370" s="45" t="inlineStr">
        <is>
          <t>100ml</t>
        </is>
      </c>
      <c r="F370" s="46" t="n">
        <v>99.98999999999999</v>
      </c>
      <c r="G370" s="45" t="inlineStr">
        <is>
          <t>roll it 1</t>
        </is>
      </c>
      <c r="H370" s="47">
        <f>IFERROR(INDEX('Semrush Data'!$C$2:$C$5000,MATCH(G370,'Semrush Data'!$A$2:$A$5000,0)),"")</f>
        <v/>
      </c>
      <c r="I370" s="45">
        <f>IFERROR(INDEX('Semrush Data'!$D$2:$D$5000,MATCH(G370,'Semrush Data'!$A$2:$A$5000,0)),"")</f>
        <v/>
      </c>
      <c r="J370" s="45">
        <f>IF(OR(H370="",H370=0),"No volume",IF(I370&lt;=20,"Easier",IF(I370&lt;=35,"Medium","Hard")))</f>
        <v/>
      </c>
      <c r="K370" s="45" t="n"/>
      <c r="L370" s="47">
        <f>IF(K370="","",IFERROR(INDEX('Semrush Data'!$C$2:$C$5000,MATCH(K370,'Semrush Data'!$A$2:$A$5000,0)),""))</f>
        <v/>
      </c>
      <c r="M370" s="48" t="inlineStr">
        <is>
          <t>Roll It 1 Unisex Eau de Parfum</t>
        </is>
      </c>
      <c r="N370" s="45" t="inlineStr">
        <is>
          <t>Roll It 1 Unisex Eau de Parfum | Buy Online UK | Swansura</t>
        </is>
      </c>
      <c r="O370" s="45">
        <f>LEN(N370)</f>
        <v/>
      </c>
      <c r="P370" s="49" t="inlineStr">
        <is>
          <t>Buy Roll It 1 Unisex Eau de Parfum 100ml for £99.99 at Swansura UK. An amber unisex eau de parfum. 100% authentic, fast UK delivery, free over £50.</t>
        </is>
      </c>
      <c r="Q370" s="45">
        <f>LEN(P370)</f>
        <v/>
      </c>
      <c r="R370" s="49" t="inlineStr">
        <is>
          <t>Real brand missing</t>
        </is>
      </c>
    </row>
    <row r="371" ht="23.25" customHeight="1" s="37">
      <c r="A371" s="45" t="inlineStr">
        <is>
          <t>FR-211</t>
        </is>
      </c>
      <c r="B371" s="45" t="inlineStr">
        <is>
          <t>Fragrance Catalogue</t>
        </is>
      </c>
      <c r="C371" s="45" t="inlineStr">
        <is>
          <t>Generic</t>
        </is>
      </c>
      <c r="D371" s="45" t="inlineStr">
        <is>
          <t>Game Of Spades Rouge Extrait | Perfume for Men and Women | 100ml | Long Lasting Luxury Fragrance</t>
        </is>
      </c>
      <c r="E371" s="45" t="inlineStr">
        <is>
          <t>100ml</t>
        </is>
      </c>
      <c r="F371" s="46" t="n">
        <v>85.98999999999999</v>
      </c>
      <c r="G371" s="45" t="inlineStr">
        <is>
          <t>game of spades rouge extrait</t>
        </is>
      </c>
      <c r="H371" s="47">
        <f>IFERROR(INDEX('Semrush Data'!$C$2:$C$5000,MATCH(G371,'Semrush Data'!$A$2:$A$5000,0)),"")</f>
        <v/>
      </c>
      <c r="I371" s="45">
        <f>IFERROR(INDEX('Semrush Data'!$D$2:$D$5000,MATCH(G371,'Semrush Data'!$A$2:$A$5000,0)),"")</f>
        <v/>
      </c>
      <c r="J371" s="45">
        <f>IF(OR(H371="",H371=0),"No volume",IF(I371&lt;=20,"Easier",IF(I371&lt;=35,"Medium","Hard")))</f>
        <v/>
      </c>
      <c r="K371" s="45" t="n"/>
      <c r="L371" s="47">
        <f>IF(K371="","",IFERROR(INDEX('Semrush Data'!$C$2:$C$5000,MATCH(K371,'Semrush Data'!$A$2:$A$5000,0)),""))</f>
        <v/>
      </c>
      <c r="M371" s="48" t="inlineStr">
        <is>
          <t>Game Of Spades Rouge Extrait</t>
        </is>
      </c>
      <c r="N371" s="45" t="inlineStr">
        <is>
          <t>Game Of Spades Rouge Extrait | Buy Online UK | Swansura</t>
        </is>
      </c>
      <c r="O371" s="45">
        <f>LEN(N371)</f>
        <v/>
      </c>
      <c r="P371" s="49" t="inlineStr">
        <is>
          <t>Buy Game Of Spades Rouge Extrait 100ml for £85.99 at Swansura UK. A woody unisex parfum. 100% authentic, fast UK delivery, free over £50.</t>
        </is>
      </c>
      <c r="Q371" s="45">
        <f>LEN(P371)</f>
        <v/>
      </c>
      <c r="R371" s="49" t="inlineStr">
        <is>
          <t>Real brand missing</t>
        </is>
      </c>
    </row>
    <row r="372" ht="23.25" customHeight="1" s="37">
      <c r="A372" s="45" t="inlineStr">
        <is>
          <t>FR-212</t>
        </is>
      </c>
      <c r="B372" s="45" t="inlineStr">
        <is>
          <t>Fragrance Catalogue</t>
        </is>
      </c>
      <c r="C372" s="45" t="inlineStr">
        <is>
          <t>Giorgia Armani</t>
        </is>
      </c>
      <c r="D372" s="45" t="inlineStr">
        <is>
          <t>Giorgio Armani Code EDT 125ml Refillable for Men</t>
        </is>
      </c>
      <c r="E372" s="45" t="inlineStr">
        <is>
          <t>125ml</t>
        </is>
      </c>
      <c r="F372" s="46" t="n">
        <v>84.98999999999999</v>
      </c>
      <c r="G372" s="45" t="inlineStr">
        <is>
          <t>giorgia armani giorgio armani code refillable</t>
        </is>
      </c>
      <c r="H372" s="47">
        <f>IFERROR(INDEX('Semrush Data'!$C$2:$C$5000,MATCH(G372,'Semrush Data'!$A$2:$A$5000,0)),"")</f>
        <v/>
      </c>
      <c r="I372" s="45">
        <f>IFERROR(INDEX('Semrush Data'!$D$2:$D$5000,MATCH(G372,'Semrush Data'!$A$2:$A$5000,0)),"")</f>
        <v/>
      </c>
      <c r="J372" s="45">
        <f>IF(OR(H372="",H372=0),"No volume",IF(I372&lt;=20,"Easier",IF(I372&lt;=35,"Medium","Hard")))</f>
        <v/>
      </c>
      <c r="K372" s="45" t="n"/>
      <c r="L372" s="47">
        <f>IF(K372="","",IFERROR(INDEX('Semrush Data'!$C$2:$C$5000,MATCH(K372,'Semrush Data'!$A$2:$A$5000,0)),""))</f>
        <v/>
      </c>
      <c r="M372" s="48" t="inlineStr">
        <is>
          <t>Giorgia Armani Giorgio Armani Code EDT Refillable for Men</t>
        </is>
      </c>
      <c r="N372" s="45" t="inlineStr">
        <is>
          <t>Giorgia Armani Giorgio Armani Code Refillable for Men | Swan</t>
        </is>
      </c>
      <c r="O372" s="45">
        <f>LEN(N372)</f>
        <v/>
      </c>
      <c r="P372" s="49" t="inlineStr">
        <is>
          <t>Giorgia Armani Giorgio Armani Code EDT Refillable for Men for £84.99 at Swansura UK. A woody men's eau de toilette. 100% authentic, free UK delivery over £50.</t>
        </is>
      </c>
      <c r="Q372" s="45">
        <f>LEN(P372)</f>
        <v/>
      </c>
      <c r="R372" s="49" t="n"/>
    </row>
    <row r="373" ht="23.25" customHeight="1" s="37">
      <c r="A373" s="45" t="inlineStr">
        <is>
          <t>FR-213</t>
        </is>
      </c>
      <c r="B373" s="45" t="inlineStr">
        <is>
          <t>Fragrance Catalogue</t>
        </is>
      </c>
      <c r="C373" s="45" t="inlineStr">
        <is>
          <t>Giorgio Armani</t>
        </is>
      </c>
      <c r="D373" s="45" t="inlineStr">
        <is>
          <t>Giorgio Armani Code Eau de Toilette 125ml Refillable – Men's Woody Aromatic Fragrance</t>
        </is>
      </c>
      <c r="E373" s="45" t="inlineStr">
        <is>
          <t>125ml</t>
        </is>
      </c>
      <c r="F373" s="46" t="n">
        <v>66.98999999999999</v>
      </c>
      <c r="G373" s="45" t="inlineStr">
        <is>
          <t>giorgio armani code refillable</t>
        </is>
      </c>
      <c r="H373" s="47">
        <f>IFERROR(INDEX('Semrush Data'!$C$2:$C$5000,MATCH(G373,'Semrush Data'!$A$2:$A$5000,0)),"")</f>
        <v/>
      </c>
      <c r="I373" s="45">
        <f>IFERROR(INDEX('Semrush Data'!$D$2:$D$5000,MATCH(G373,'Semrush Data'!$A$2:$A$5000,0)),"")</f>
        <v/>
      </c>
      <c r="J373" s="45">
        <f>IF(OR(H373="",H373=0),"No volume",IF(I373&lt;=20,"Easier",IF(I373&lt;=35,"Medium","Hard")))</f>
        <v/>
      </c>
      <c r="K373" s="45" t="n"/>
      <c r="L373" s="47">
        <f>IF(K373="","",IFERROR(INDEX('Semrush Data'!$C$2:$C$5000,MATCH(K373,'Semrush Data'!$A$2:$A$5000,0)),""))</f>
        <v/>
      </c>
      <c r="M373" s="48" t="inlineStr">
        <is>
          <t>Giorgio Armani Code Eau de Toilette Refillable</t>
        </is>
      </c>
      <c r="N373" s="45" t="inlineStr">
        <is>
          <t>Giorgio Armani Code Refillable EDT 125ml | Swansura UK</t>
        </is>
      </c>
      <c r="O373" s="45">
        <f>LEN(N373)</f>
        <v/>
      </c>
      <c r="P373" s="49" t="inlineStr">
        <is>
          <t>Buy Giorgio Armani Code Eau de Toilette Refillable 125ml for £66.99 at Swansura UK. A woody men's eau de toilette. 100% authentic, free UK delivery over £50.</t>
        </is>
      </c>
      <c r="Q373" s="45">
        <f>LEN(P373)</f>
        <v/>
      </c>
      <c r="R373" s="49" t="n"/>
    </row>
    <row r="374" ht="23.25" customHeight="1" s="37">
      <c r="A374" s="45" t="inlineStr">
        <is>
          <t>FR-214</t>
        </is>
      </c>
      <c r="B374" s="45" t="inlineStr">
        <is>
          <t>Fragrance Catalogue</t>
        </is>
      </c>
      <c r="C374" s="45" t="inlineStr">
        <is>
          <t>Givenchy</t>
        </is>
      </c>
      <c r="D374" s="45" t="inlineStr">
        <is>
          <t>Givenchy Amarige Eau de Toilette 100ml – Women's Floral Fragrance</t>
        </is>
      </c>
      <c r="E374" s="45" t="inlineStr">
        <is>
          <t>100ml</t>
        </is>
      </c>
      <c r="F374" s="46" t="n">
        <v>52.99</v>
      </c>
      <c r="G374" s="45" t="inlineStr">
        <is>
          <t>givenchy amarige</t>
        </is>
      </c>
      <c r="H374" s="47">
        <f>IFERROR(INDEX('Semrush Data'!$C$2:$C$5000,MATCH(G374,'Semrush Data'!$A$2:$A$5000,0)),"")</f>
        <v/>
      </c>
      <c r="I374" s="45">
        <f>IFERROR(INDEX('Semrush Data'!$D$2:$D$5000,MATCH(G374,'Semrush Data'!$A$2:$A$5000,0)),"")</f>
        <v/>
      </c>
      <c r="J374" s="45">
        <f>IF(OR(H374="",H374=0),"No volume",IF(I374&lt;=20,"Easier",IF(I374&lt;=35,"Medium","Hard")))</f>
        <v/>
      </c>
      <c r="K374" s="45" t="inlineStr">
        <is>
          <t>givenchy amarige perfume</t>
        </is>
      </c>
      <c r="L374" s="47">
        <f>IF(K374="","",IFERROR(INDEX('Semrush Data'!$C$2:$C$5000,MATCH(K374,'Semrush Data'!$A$2:$A$5000,0)),""))</f>
        <v/>
      </c>
      <c r="M374" s="48" t="inlineStr">
        <is>
          <t>Givenchy Amarige Eau de Toilette</t>
        </is>
      </c>
      <c r="N374" s="45" t="inlineStr">
        <is>
          <t>Givenchy Amarige Eau de Toilette | Buy Online UK | Swansura</t>
        </is>
      </c>
      <c r="O374" s="45">
        <f>LEN(N374)</f>
        <v/>
      </c>
      <c r="P374" s="49" t="inlineStr">
        <is>
          <t>Buy Givenchy Amarige Eau de Toilette 100ml for £52.99 at Swansura UK. A floral women's eau de toilette. 100% authentic, fast UK delivery, free over £50.</t>
        </is>
      </c>
      <c r="Q374" s="45">
        <f>LEN(P374)</f>
        <v/>
      </c>
      <c r="R374" s="49" t="n"/>
    </row>
    <row r="375" ht="23.25" customHeight="1" s="37">
      <c r="A375" s="45" t="inlineStr">
        <is>
          <t>FR-215</t>
        </is>
      </c>
      <c r="B375" s="45" t="inlineStr">
        <is>
          <t>Fragrance Catalogue</t>
        </is>
      </c>
      <c r="C375" s="45" t="inlineStr">
        <is>
          <t>Givenchy</t>
        </is>
      </c>
      <c r="D375" s="45" t="inlineStr">
        <is>
          <t>Givenchy Gentleman Originale Eau de Toilette 100ml – Men's Woody Aromatic Fragrance</t>
        </is>
      </c>
      <c r="E375" s="45" t="inlineStr">
        <is>
          <t>100ml</t>
        </is>
      </c>
      <c r="F375" s="46" t="n">
        <v>49.99</v>
      </c>
      <c r="G375" s="45" t="inlineStr">
        <is>
          <t>givenchy gentleman originale</t>
        </is>
      </c>
      <c r="H375" s="47">
        <f>IFERROR(INDEX('Semrush Data'!$C$2:$C$5000,MATCH(G375,'Semrush Data'!$A$2:$A$5000,0)),"")</f>
        <v/>
      </c>
      <c r="I375" s="45">
        <f>IFERROR(INDEX('Semrush Data'!$D$2:$D$5000,MATCH(G375,'Semrush Data'!$A$2:$A$5000,0)),"")</f>
        <v/>
      </c>
      <c r="J375" s="45">
        <f>IF(OR(H375="",H375=0),"No volume",IF(I375&lt;=20,"Easier",IF(I375&lt;=35,"Medium","Hard")))</f>
        <v/>
      </c>
      <c r="K375" s="45" t="n"/>
      <c r="L375" s="47">
        <f>IF(K375="","",IFERROR(INDEX('Semrush Data'!$C$2:$C$5000,MATCH(K375,'Semrush Data'!$A$2:$A$5000,0)),""))</f>
        <v/>
      </c>
      <c r="M375" s="48" t="inlineStr">
        <is>
          <t>Givenchy Gentleman Originale Eau de Toilette</t>
        </is>
      </c>
      <c r="N375" s="45" t="inlineStr">
        <is>
          <t>Givenchy Gentleman Originale EDT 100ml | Swansura UK</t>
        </is>
      </c>
      <c r="O375" s="45">
        <f>LEN(N375)</f>
        <v/>
      </c>
      <c r="P375" s="49" t="inlineStr">
        <is>
          <t>Buy Givenchy Gentleman Originale Eau de Toilette 100ml for £49.99 at Swansura UK. A woody men's eau de toilette. 100% authentic, free UK delivery over £50.</t>
        </is>
      </c>
      <c r="Q375" s="45">
        <f>LEN(P375)</f>
        <v/>
      </c>
      <c r="R375" s="49" t="n"/>
    </row>
    <row r="376" ht="23.25" customHeight="1" s="37">
      <c r="A376" s="45" t="inlineStr">
        <is>
          <t>FR-216</t>
        </is>
      </c>
      <c r="B376" s="45" t="inlineStr">
        <is>
          <t>Fragrance Catalogue</t>
        </is>
      </c>
      <c r="C376" s="45" t="inlineStr">
        <is>
          <t>Gucci</t>
        </is>
      </c>
      <c r="D376" s="45" t="inlineStr">
        <is>
          <t>Gucci Bloom Profumo di Fiori Eau de Parfum 10ml Pen Spray – Women's Floral Fragrance</t>
        </is>
      </c>
      <c r="E376" s="45" t="inlineStr">
        <is>
          <t>10ml</t>
        </is>
      </c>
      <c r="F376" s="46" t="n">
        <v>16.95</v>
      </c>
      <c r="G376" s="45" t="inlineStr">
        <is>
          <t>gucci bloom profumo di fiori pen</t>
        </is>
      </c>
      <c r="H376" s="47">
        <f>IFERROR(INDEX('Semrush Data'!$C$2:$C$5000,MATCH(G376,'Semrush Data'!$A$2:$A$5000,0)),"")</f>
        <v/>
      </c>
      <c r="I376" s="45">
        <f>IFERROR(INDEX('Semrush Data'!$D$2:$D$5000,MATCH(G376,'Semrush Data'!$A$2:$A$5000,0)),"")</f>
        <v/>
      </c>
      <c r="J376" s="45">
        <f>IF(OR(H376="",H376=0),"No volume",IF(I376&lt;=20,"Easier",IF(I376&lt;=35,"Medium","Hard")))</f>
        <v/>
      </c>
      <c r="K376" s="45" t="n"/>
      <c r="L376" s="47">
        <f>IF(K376="","",IFERROR(INDEX('Semrush Data'!$C$2:$C$5000,MATCH(K376,'Semrush Data'!$A$2:$A$5000,0)),""))</f>
        <v/>
      </c>
      <c r="M376" s="48" t="inlineStr">
        <is>
          <t>Gucci Bloom Profumo di Fiori Eau de Parfum Pen Spray</t>
        </is>
      </c>
      <c r="N376" s="45" t="inlineStr">
        <is>
          <t>Gucci Bloom Profumo di Fiori Pen Spray | Swansura UK</t>
        </is>
      </c>
      <c r="O376" s="45">
        <f>LEN(N376)</f>
        <v/>
      </c>
      <c r="P376" s="49" t="inlineStr">
        <is>
          <t>Gucci Bloom Profumo di Fiori Eau de Parfum Pen Spray for £16.95 at Swansura UK. A floral women's eau de parfum. 100% authentic, fast UK delivery, free over £50.</t>
        </is>
      </c>
      <c r="Q376" s="45">
        <f>LEN(P376)</f>
        <v/>
      </c>
      <c r="R376" s="49" t="n"/>
    </row>
    <row r="377" ht="23.25" customHeight="1" s="37">
      <c r="A377" s="45" t="inlineStr">
        <is>
          <t>FR-217</t>
        </is>
      </c>
      <c r="B377" s="45" t="inlineStr">
        <is>
          <t>Fragrance Catalogue</t>
        </is>
      </c>
      <c r="C377" s="45" t="inlineStr">
        <is>
          <t>Gucci</t>
        </is>
      </c>
      <c r="D377" s="45" t="inlineStr">
        <is>
          <t>Gucci Flora Gorgeous Gardenia Eau de Parfum 50ml – Women's Floral Fragrance</t>
        </is>
      </c>
      <c r="E377" s="45" t="inlineStr">
        <is>
          <t>50ml</t>
        </is>
      </c>
      <c r="F377" s="46" t="n">
        <v>59.99</v>
      </c>
      <c r="G377" s="45" t="inlineStr">
        <is>
          <t>gucci flora gorgeous gardenia</t>
        </is>
      </c>
      <c r="H377" s="47">
        <f>IFERROR(INDEX('Semrush Data'!$C$2:$C$5000,MATCH(G377,'Semrush Data'!$A$2:$A$5000,0)),"")</f>
        <v/>
      </c>
      <c r="I377" s="45">
        <f>IFERROR(INDEX('Semrush Data'!$D$2:$D$5000,MATCH(G377,'Semrush Data'!$A$2:$A$5000,0)),"")</f>
        <v/>
      </c>
      <c r="J377" s="45">
        <f>IF(OR(H377="",H377=0),"No volume",IF(I377&lt;=20,"Easier",IF(I377&lt;=35,"Medium","Hard")))</f>
        <v/>
      </c>
      <c r="K377" s="45" t="inlineStr">
        <is>
          <t>gucci flora gorgeous gardenia eau de parfum</t>
        </is>
      </c>
      <c r="L377" s="47">
        <f>IF(K377="","",IFERROR(INDEX('Semrush Data'!$C$2:$C$5000,MATCH(K377,'Semrush Data'!$A$2:$A$5000,0)),""))</f>
        <v/>
      </c>
      <c r="M377" s="48" t="inlineStr">
        <is>
          <t>Gucci Flora Gorgeous Gardenia Eau de Parfum</t>
        </is>
      </c>
      <c r="N377" s="45" t="inlineStr">
        <is>
          <t>Gucci Flora Gorgeous Gardenia EDP 50ml | Swansura UK</t>
        </is>
      </c>
      <c r="O377" s="45">
        <f>LEN(N377)</f>
        <v/>
      </c>
      <c r="P377" s="49" t="inlineStr">
        <is>
          <t>Buy Gucci Flora Gorgeous Gardenia Eau de Parfum 50ml for £59.99 at Swansura UK. A floral women's eau de parfum. 100% authentic, fast UK delivery, free over £50.</t>
        </is>
      </c>
      <c r="Q377" s="45">
        <f>LEN(P377)</f>
        <v/>
      </c>
      <c r="R377" s="49" t="n"/>
    </row>
    <row r="378" ht="23.25" customHeight="1" s="37">
      <c r="A378" s="45" t="inlineStr">
        <is>
          <t>FR-218</t>
        </is>
      </c>
      <c r="B378" s="45" t="inlineStr">
        <is>
          <t>Fragrance Catalogue</t>
        </is>
      </c>
      <c r="C378" s="45" t="inlineStr">
        <is>
          <t>Gucci</t>
        </is>
      </c>
      <c r="D378" s="45" t="inlineStr">
        <is>
          <t>Gucci Flora Gorgeous Orchid Eau de Parfum 10ml Miniature – Women's Floral Gourmand Fragrance</t>
        </is>
      </c>
      <c r="E378" s="45" t="inlineStr">
        <is>
          <t>10ml</t>
        </is>
      </c>
      <c r="F378" s="46" t="n">
        <v>17.99</v>
      </c>
      <c r="G378" s="45" t="inlineStr">
        <is>
          <t>gucci flora gorgeous orchid miniature</t>
        </is>
      </c>
      <c r="H378" s="47">
        <f>IFERROR(INDEX('Semrush Data'!$C$2:$C$5000,MATCH(G378,'Semrush Data'!$A$2:$A$5000,0)),"")</f>
        <v/>
      </c>
      <c r="I378" s="45">
        <f>IFERROR(INDEX('Semrush Data'!$D$2:$D$5000,MATCH(G378,'Semrush Data'!$A$2:$A$5000,0)),"")</f>
        <v/>
      </c>
      <c r="J378" s="45">
        <f>IF(OR(H378="",H378=0),"No volume",IF(I378&lt;=20,"Easier",IF(I378&lt;=35,"Medium","Hard")))</f>
        <v/>
      </c>
      <c r="K378" s="45" t="n"/>
      <c r="L378" s="47">
        <f>IF(K378="","",IFERROR(INDEX('Semrush Data'!$C$2:$C$5000,MATCH(K378,'Semrush Data'!$A$2:$A$5000,0)),""))</f>
        <v/>
      </c>
      <c r="M378" s="48" t="inlineStr">
        <is>
          <t>Gucci Flora Gorgeous Orchid Eau de Parfum Miniature</t>
        </is>
      </c>
      <c r="N378" s="45" t="inlineStr">
        <is>
          <t>Gucci Flora Gorgeous Orchid Miniature EDP 10ml | Swansura UK</t>
        </is>
      </c>
      <c r="O378" s="45">
        <f>LEN(N378)</f>
        <v/>
      </c>
      <c r="P378" s="49" t="inlineStr">
        <is>
          <t>Gucci Flora Gorgeous Orchid Eau de Parfum Miniature for £17.99 at Swansura UK. A floral women's eau de parfum. 100% authentic, fast UK delivery, free over £50.</t>
        </is>
      </c>
      <c r="Q378" s="45">
        <f>LEN(P378)</f>
        <v/>
      </c>
      <c r="R378" s="49" t="n"/>
    </row>
    <row r="379" ht="23.25" customHeight="1" s="37">
      <c r="A379" s="45" t="inlineStr">
        <is>
          <t>FR-219</t>
        </is>
      </c>
      <c r="B379" s="45" t="inlineStr">
        <is>
          <t>Fragrance Catalogue</t>
        </is>
      </c>
      <c r="C379" s="45" t="inlineStr">
        <is>
          <t>Gucci</t>
        </is>
      </c>
      <c r="D379" s="45" t="inlineStr">
        <is>
          <t>Gucci Guilty Pour Femme Eau de Parfum 10ml Miniature Perfume Spray – Women's Fragrance</t>
        </is>
      </c>
      <c r="E379" s="45" t="inlineStr">
        <is>
          <t>10ml</t>
        </is>
      </c>
      <c r="F379" s="46" t="n">
        <v>19.99</v>
      </c>
      <c r="G379" s="45" t="inlineStr">
        <is>
          <t>gucci guilty pour femme miniature</t>
        </is>
      </c>
      <c r="H379" s="47">
        <f>IFERROR(INDEX('Semrush Data'!$C$2:$C$5000,MATCH(G379,'Semrush Data'!$A$2:$A$5000,0)),"")</f>
        <v/>
      </c>
      <c r="I379" s="45">
        <f>IFERROR(INDEX('Semrush Data'!$D$2:$D$5000,MATCH(G379,'Semrush Data'!$A$2:$A$5000,0)),"")</f>
        <v/>
      </c>
      <c r="J379" s="45">
        <f>IF(OR(H379="",H379=0),"No volume",IF(I379&lt;=20,"Easier",IF(I379&lt;=35,"Medium","Hard")))</f>
        <v/>
      </c>
      <c r="K379" s="45" t="n"/>
      <c r="L379" s="47">
        <f>IF(K379="","",IFERROR(INDEX('Semrush Data'!$C$2:$C$5000,MATCH(K379,'Semrush Data'!$A$2:$A$5000,0)),""))</f>
        <v/>
      </c>
      <c r="M379" s="48" t="inlineStr">
        <is>
          <t>Gucci Guilty Pour Femme Eau de Parfum Miniature Perfume Spray</t>
        </is>
      </c>
      <c r="N379" s="45" t="inlineStr">
        <is>
          <t>Gucci Guilty Pour Femme Miniature Perfume Spray | Swansura U</t>
        </is>
      </c>
      <c r="O379" s="45">
        <f>LEN(N379)</f>
        <v/>
      </c>
      <c r="P379" s="49" t="inlineStr">
        <is>
          <t>Buy Gucci Guilty Pour Femme Eau de Parfum Miniature Perfume Spray 10ml for £19.99 at Swansura UK. A woody women's eau de parfum. Free UK delivery over £50.</t>
        </is>
      </c>
      <c r="Q379" s="45">
        <f>LEN(P379)</f>
        <v/>
      </c>
      <c r="R379" s="49" t="n"/>
    </row>
    <row r="380" ht="23.25" customHeight="1" s="37">
      <c r="A380" s="45" t="inlineStr">
        <is>
          <t>FR-220</t>
        </is>
      </c>
      <c r="B380" s="45" t="inlineStr">
        <is>
          <t>Fragrance Catalogue</t>
        </is>
      </c>
      <c r="C380" s="45" t="inlineStr">
        <is>
          <t>Gucci</t>
        </is>
      </c>
      <c r="D380" s="45" t="inlineStr">
        <is>
          <t>Gucci Intense Oud Eau de Parfum Spray 90ml – Long Lasting Luxury Unisex Oud Fragrance</t>
        </is>
      </c>
      <c r="E380" s="45" t="inlineStr">
        <is>
          <t>90ml</t>
        </is>
      </c>
      <c r="F380" s="46" t="n">
        <v>73.98999999999999</v>
      </c>
      <c r="G380" s="45" t="inlineStr">
        <is>
          <t>gucci intense oud</t>
        </is>
      </c>
      <c r="H380" s="47">
        <f>IFERROR(INDEX('Semrush Data'!$C$2:$C$5000,MATCH(G380,'Semrush Data'!$A$2:$A$5000,0)),"")</f>
        <v/>
      </c>
      <c r="I380" s="45">
        <f>IFERROR(INDEX('Semrush Data'!$D$2:$D$5000,MATCH(G380,'Semrush Data'!$A$2:$A$5000,0)),"")</f>
        <v/>
      </c>
      <c r="J380" s="45">
        <f>IF(OR(H380="",H380=0),"No volume",IF(I380&lt;=20,"Easier",IF(I380&lt;=35,"Medium","Hard")))</f>
        <v/>
      </c>
      <c r="K380" s="45" t="inlineStr">
        <is>
          <t>gucci intense oud eau de parfum</t>
        </is>
      </c>
      <c r="L380" s="47">
        <f>IF(K380="","",IFERROR(INDEX('Semrush Data'!$C$2:$C$5000,MATCH(K380,'Semrush Data'!$A$2:$A$5000,0)),""))</f>
        <v/>
      </c>
      <c r="M380" s="48" t="inlineStr">
        <is>
          <t>Gucci Intense Oud Eau de Parfum Spray</t>
        </is>
      </c>
      <c r="N380" s="45" t="inlineStr">
        <is>
          <t>Gucci Intense Oud Eau de Parfum Spray 90ml | Swansura UK</t>
        </is>
      </c>
      <c r="O380" s="45">
        <f>LEN(N380)</f>
        <v/>
      </c>
      <c r="P380" s="49" t="inlineStr">
        <is>
          <t>Buy Gucci Intense Oud Eau de Parfum Spray 90ml for £73.99 at Swansura UK. An oud unisex eau de parfum. 100% authentic, fast UK delivery, free over £50.</t>
        </is>
      </c>
      <c r="Q380" s="45">
        <f>LEN(P380)</f>
        <v/>
      </c>
      <c r="R380" s="49" t="n"/>
    </row>
    <row r="381" ht="23.25" customHeight="1" s="37">
      <c r="A381" s="45" t="inlineStr">
        <is>
          <t>FR-221</t>
        </is>
      </c>
      <c r="B381" s="45" t="inlineStr">
        <is>
          <t>Fragrance Catalogue</t>
        </is>
      </c>
      <c r="C381" s="45" t="inlineStr">
        <is>
          <t>Gucci</t>
        </is>
      </c>
      <c r="D381" s="45" t="inlineStr">
        <is>
          <t>Gucci Bloom Eau de Toilette 10ml Miniature – Women's Floral Perfume Spray</t>
        </is>
      </c>
      <c r="E381" s="45" t="inlineStr">
        <is>
          <t>10ml</t>
        </is>
      </c>
      <c r="F381" s="46" t="n">
        <v>18.95</v>
      </c>
      <c r="G381" s="45" t="inlineStr">
        <is>
          <t>gucci bloom miniature</t>
        </is>
      </c>
      <c r="H381" s="47">
        <f>IFERROR(INDEX('Semrush Data'!$C$2:$C$5000,MATCH(G381,'Semrush Data'!$A$2:$A$5000,0)),"")</f>
        <v/>
      </c>
      <c r="I381" s="45">
        <f>IFERROR(INDEX('Semrush Data'!$D$2:$D$5000,MATCH(G381,'Semrush Data'!$A$2:$A$5000,0)),"")</f>
        <v/>
      </c>
      <c r="J381" s="45">
        <f>IF(OR(H381="",H381=0),"No volume",IF(I381&lt;=20,"Easier",IF(I381&lt;=35,"Medium","Hard")))</f>
        <v/>
      </c>
      <c r="K381" s="45" t="n"/>
      <c r="L381" s="47">
        <f>IF(K381="","",IFERROR(INDEX('Semrush Data'!$C$2:$C$5000,MATCH(K381,'Semrush Data'!$A$2:$A$5000,0)),""))</f>
        <v/>
      </c>
      <c r="M381" s="48" t="inlineStr">
        <is>
          <t>Gucci Bloom Eau de Toilette Miniature</t>
        </is>
      </c>
      <c r="N381" s="45" t="inlineStr">
        <is>
          <t>Gucci Bloom Eau de Toilette Miniature 10ml | Swansura UK</t>
        </is>
      </c>
      <c r="O381" s="45">
        <f>LEN(N381)</f>
        <v/>
      </c>
      <c r="P381" s="49" t="inlineStr">
        <is>
          <t>Buy Gucci Bloom Eau de Toilette Miniature 10ml for £18.95 at Swansura UK. A floral women's eau de toilette. 100% authentic, fast UK delivery, free over £50.</t>
        </is>
      </c>
      <c r="Q381" s="45">
        <f>LEN(P381)</f>
        <v/>
      </c>
      <c r="R381" s="49" t="n"/>
    </row>
    <row r="382" ht="23.25" customHeight="1" s="37">
      <c r="A382" s="45" t="inlineStr">
        <is>
          <t>FR-222</t>
        </is>
      </c>
      <c r="B382" s="45" t="inlineStr">
        <is>
          <t>Fragrance Catalogue</t>
        </is>
      </c>
      <c r="C382" s="45" t="inlineStr">
        <is>
          <t>Gucci</t>
        </is>
      </c>
      <c r="D382" s="45" t="inlineStr">
        <is>
          <t>Gucci Guilty Pour Homme Eau de Toilette 90ml – Men's Woody Aromatic Fragrance</t>
        </is>
      </c>
      <c r="E382" s="45" t="inlineStr">
        <is>
          <t>90ml</t>
        </is>
      </c>
      <c r="F382" s="46" t="n">
        <v>59.99</v>
      </c>
      <c r="G382" s="45" t="inlineStr">
        <is>
          <t>gucci guilty pour homme</t>
        </is>
      </c>
      <c r="H382" s="47">
        <f>IFERROR(INDEX('Semrush Data'!$C$2:$C$5000,MATCH(G382,'Semrush Data'!$A$2:$A$5000,0)),"")</f>
        <v/>
      </c>
      <c r="I382" s="45">
        <f>IFERROR(INDEX('Semrush Data'!$D$2:$D$5000,MATCH(G382,'Semrush Data'!$A$2:$A$5000,0)),"")</f>
        <v/>
      </c>
      <c r="J382" s="45">
        <f>IF(OR(H382="",H382=0),"No volume",IF(I382&lt;=20,"Easier",IF(I382&lt;=35,"Medium","Hard")))</f>
        <v/>
      </c>
      <c r="K382" s="45" t="inlineStr">
        <is>
          <t>gucci guilty pour homme eau de toilette</t>
        </is>
      </c>
      <c r="L382" s="47">
        <f>IF(K382="","",IFERROR(INDEX('Semrush Data'!$C$2:$C$5000,MATCH(K382,'Semrush Data'!$A$2:$A$5000,0)),""))</f>
        <v/>
      </c>
      <c r="M382" s="48" t="inlineStr">
        <is>
          <t>Gucci Guilty Pour Homme Eau de Toilette</t>
        </is>
      </c>
      <c r="N382" s="45" t="inlineStr">
        <is>
          <t>Gucci Guilty Pour Homme Eau de Toilette 90ml | Swansura UK</t>
        </is>
      </c>
      <c r="O382" s="45">
        <f>LEN(N382)</f>
        <v/>
      </c>
      <c r="P382" s="49" t="inlineStr">
        <is>
          <t>Buy Gucci Guilty Pour Homme Eau de Toilette 90ml for £59.99 at Swansura UK. A woody men's eau de toilette. 100% authentic, fast UK delivery, free over £50.</t>
        </is>
      </c>
      <c r="Q382" s="45">
        <f>LEN(P382)</f>
        <v/>
      </c>
      <c r="R382" s="49" t="n"/>
    </row>
    <row r="383" ht="23.25" customHeight="1" s="37">
      <c r="A383" s="45" t="inlineStr">
        <is>
          <t>FR-223</t>
        </is>
      </c>
      <c r="B383" s="45" t="inlineStr">
        <is>
          <t>Fragrance Catalogue</t>
        </is>
      </c>
      <c r="C383" s="45" t="inlineStr">
        <is>
          <t>Gucci</t>
        </is>
      </c>
      <c r="D383" s="45" t="inlineStr">
        <is>
          <t>Gucci Bloom Eau de Parfum Gift Set 100ml + 10ml + Body Lotion 100ml – Women's Fragrance Set</t>
        </is>
      </c>
      <c r="E383" s="45" t="inlineStr">
        <is>
          <t>100ml</t>
        </is>
      </c>
      <c r="F383" s="46" t="n">
        <v>84.98999999999999</v>
      </c>
      <c r="G383" s="45" t="inlineStr">
        <is>
          <t>gucci bloom gift set</t>
        </is>
      </c>
      <c r="H383" s="47">
        <f>IFERROR(INDEX('Semrush Data'!$C$2:$C$5000,MATCH(G383,'Semrush Data'!$A$2:$A$5000,0)),"")</f>
        <v/>
      </c>
      <c r="I383" s="45">
        <f>IFERROR(INDEX('Semrush Data'!$D$2:$D$5000,MATCH(G383,'Semrush Data'!$A$2:$A$5000,0)),"")</f>
        <v/>
      </c>
      <c r="J383" s="45">
        <f>IF(OR(H383="",H383=0),"No volume",IF(I383&lt;=20,"Easier",IF(I383&lt;=35,"Medium","Hard")))</f>
        <v/>
      </c>
      <c r="K383" s="45" t="n"/>
      <c r="L383" s="47">
        <f>IF(K383="","",IFERROR(INDEX('Semrush Data'!$C$2:$C$5000,MATCH(K383,'Semrush Data'!$A$2:$A$5000,0)),""))</f>
        <v/>
      </c>
      <c r="M383" s="48" t="inlineStr">
        <is>
          <t>Gucci Bloom Eau de Parfum Gift Set</t>
        </is>
      </c>
      <c r="N383" s="45" t="inlineStr">
        <is>
          <t>Gucci Bloom Eau de Parfum Gift Set 100ml | Swansura UK</t>
        </is>
      </c>
      <c r="O383" s="45">
        <f>LEN(N383)</f>
        <v/>
      </c>
      <c r="P383" s="49" t="inlineStr">
        <is>
          <t>Buy Gucci Bloom Eau de Parfum Gift Set 100ml for £84.99 at Swansura UK. A woody women's eau de parfum. 100% authentic, fast UK delivery, free over £50.</t>
        </is>
      </c>
      <c r="Q383" s="45">
        <f>LEN(P383)</f>
        <v/>
      </c>
      <c r="R383" s="49" t="n"/>
    </row>
    <row r="384" ht="23.25" customHeight="1" s="37">
      <c r="A384" s="45" t="inlineStr">
        <is>
          <t>FR-224</t>
        </is>
      </c>
      <c r="B384" s="45" t="inlineStr">
        <is>
          <t>Fragrance Catalogue</t>
        </is>
      </c>
      <c r="C384" s="45" t="inlineStr">
        <is>
          <t>Gucci</t>
        </is>
      </c>
      <c r="D384" s="45" t="inlineStr">
        <is>
          <t>Gucci Flora Gorgeous Miniature Perfume Set 3x5ml – Gardenia, Magnolia &amp; Orchid</t>
        </is>
      </c>
      <c r="E384" s="45" t="inlineStr">
        <is>
          <t>3x5ml</t>
        </is>
      </c>
      <c r="F384" s="46" t="n">
        <v>44.99</v>
      </c>
      <c r="G384" s="45" t="inlineStr">
        <is>
          <t>gucci flora gorgeous miniature set</t>
        </is>
      </c>
      <c r="H384" s="47">
        <f>IFERROR(INDEX('Semrush Data'!$C$2:$C$5000,MATCH(G384,'Semrush Data'!$A$2:$A$5000,0)),"")</f>
        <v/>
      </c>
      <c r="I384" s="45">
        <f>IFERROR(INDEX('Semrush Data'!$D$2:$D$5000,MATCH(G384,'Semrush Data'!$A$2:$A$5000,0)),"")</f>
        <v/>
      </c>
      <c r="J384" s="45">
        <f>IF(OR(H384="",H384=0),"No volume",IF(I384&lt;=20,"Easier",IF(I384&lt;=35,"Medium","Hard")))</f>
        <v/>
      </c>
      <c r="K384" s="45" t="n"/>
      <c r="L384" s="47">
        <f>IF(K384="","",IFERROR(INDEX('Semrush Data'!$C$2:$C$5000,MATCH(K384,'Semrush Data'!$A$2:$A$5000,0)),""))</f>
        <v/>
      </c>
      <c r="M384" s="48" t="inlineStr">
        <is>
          <t>Gucci Flora Gorgeous Miniature Perfume Set 3x5ml</t>
        </is>
      </c>
      <c r="N384" s="45" t="inlineStr">
        <is>
          <t xml:space="preserve">Gucci Flora Gorgeous Miniature Perfume Set 3x5ml | Swansura </t>
        </is>
      </c>
      <c r="O384" s="45">
        <f>LEN(N384)</f>
        <v/>
      </c>
      <c r="P384" s="49" t="inlineStr">
        <is>
          <t>Gucci Flora Gorgeous Miniature Perfume Set 3x5ml for £44.99 at Swansura UK. An amber unisex fragrance gift set. 100% authentic, fast UK delivery, free over £50.</t>
        </is>
      </c>
      <c r="Q384" s="45">
        <f>LEN(P384)</f>
        <v/>
      </c>
      <c r="R384" s="49" t="n"/>
    </row>
    <row r="385" ht="23.25" customHeight="1" s="37">
      <c r="A385" s="45" t="inlineStr">
        <is>
          <t>FR-225</t>
        </is>
      </c>
      <c r="B385" s="45" t="inlineStr">
        <is>
          <t>Fragrance Catalogue</t>
        </is>
      </c>
      <c r="C385" s="45" t="inlineStr">
        <is>
          <t>Gucci</t>
        </is>
      </c>
      <c r="D385" s="45" t="inlineStr">
        <is>
          <t>Gucci Guilty Pour Femme Eau de Parfum Gift Set 50ml + Body Lotion 50ml – Women's Fragrance Set</t>
        </is>
      </c>
      <c r="E385" s="45" t="inlineStr">
        <is>
          <t>50ml</t>
        </is>
      </c>
      <c r="F385" s="46" t="n">
        <v>47.99</v>
      </c>
      <c r="G385" s="45" t="inlineStr">
        <is>
          <t>gucci guilty pour femme gift set</t>
        </is>
      </c>
      <c r="H385" s="47">
        <f>IFERROR(INDEX('Semrush Data'!$C$2:$C$5000,MATCH(G385,'Semrush Data'!$A$2:$A$5000,0)),"")</f>
        <v/>
      </c>
      <c r="I385" s="45">
        <f>IFERROR(INDEX('Semrush Data'!$D$2:$D$5000,MATCH(G385,'Semrush Data'!$A$2:$A$5000,0)),"")</f>
        <v/>
      </c>
      <c r="J385" s="45">
        <f>IF(OR(H385="",H385=0),"No volume",IF(I385&lt;=20,"Easier",IF(I385&lt;=35,"Medium","Hard")))</f>
        <v/>
      </c>
      <c r="K385" s="45" t="n"/>
      <c r="L385" s="47">
        <f>IF(K385="","",IFERROR(INDEX('Semrush Data'!$C$2:$C$5000,MATCH(K385,'Semrush Data'!$A$2:$A$5000,0)),""))</f>
        <v/>
      </c>
      <c r="M385" s="48" t="inlineStr">
        <is>
          <t>Gucci Guilty Pour Femme Eau de Parfum Gift Set</t>
        </is>
      </c>
      <c r="N385" s="45" t="inlineStr">
        <is>
          <t>Gucci Guilty Pour Femme Gift Set EDP 50ml | Swansura UK</t>
        </is>
      </c>
      <c r="O385" s="45">
        <f>LEN(N385)</f>
        <v/>
      </c>
      <c r="P385" s="49" t="inlineStr">
        <is>
          <t>Buy Gucci Guilty Pour Femme Eau de Parfum Gift Set for £47.99 at Swansura UK. A woody women's eau de parfum. 100% authentic, fast UK delivery, free over £50.</t>
        </is>
      </c>
      <c r="Q385" s="45">
        <f>LEN(P385)</f>
        <v/>
      </c>
      <c r="R385" s="49" t="n"/>
    </row>
    <row r="386" ht="23.25" customHeight="1" s="37">
      <c r="A386" s="45" t="inlineStr">
        <is>
          <t>FR-226</t>
        </is>
      </c>
      <c r="B386" s="45" t="inlineStr">
        <is>
          <t>Fragrance Catalogue</t>
        </is>
      </c>
      <c r="C386" s="45" t="inlineStr">
        <is>
          <t>Gucci</t>
        </is>
      </c>
      <c r="D386" s="45" t="inlineStr">
        <is>
          <t>Gucci Women's Miniature Perfume Set 4x5ml – Bloom EDP &amp; Flora Gorgeous Gardenia EDP</t>
        </is>
      </c>
      <c r="E386" s="45" t="inlineStr">
        <is>
          <t>Not specified</t>
        </is>
      </c>
      <c r="F386" s="46" t="n">
        <v>39.99</v>
      </c>
      <c r="G386" s="45" t="inlineStr">
        <is>
          <t>gucci miniature set</t>
        </is>
      </c>
      <c r="H386" s="47">
        <f>IFERROR(INDEX('Semrush Data'!$C$2:$C$5000,MATCH(G386,'Semrush Data'!$A$2:$A$5000,0)),"")</f>
        <v/>
      </c>
      <c r="I386" s="45">
        <f>IFERROR(INDEX('Semrush Data'!$D$2:$D$5000,MATCH(G386,'Semrush Data'!$A$2:$A$5000,0)),"")</f>
        <v/>
      </c>
      <c r="J386" s="45">
        <f>IF(OR(H386="",H386=0),"No volume",IF(I386&lt;=20,"Easier",IF(I386&lt;=35,"Medium","Hard")))</f>
        <v/>
      </c>
      <c r="K386" s="45" t="n"/>
      <c r="L386" s="47">
        <f>IF(K386="","",IFERROR(INDEX('Semrush Data'!$C$2:$C$5000,MATCH(K386,'Semrush Data'!$A$2:$A$5000,0)),""))</f>
        <v/>
      </c>
      <c r="M386" s="48" t="inlineStr">
        <is>
          <t>Gucci Women's Miniature Perfume Set 4x5ml</t>
        </is>
      </c>
      <c r="N386" s="45" t="inlineStr">
        <is>
          <t>Gucci Women's Miniature Perfume Set 4x5ml EDP | Swansura UK</t>
        </is>
      </c>
      <c r="O386" s="45">
        <f>LEN(N386)</f>
        <v/>
      </c>
      <c r="P386" s="49" t="inlineStr">
        <is>
          <t>Buy Gucci Women's Miniature Perfume Set 4x5ml for £39.99 at Swansura UK. A woody women's eau de parfum. 100% authentic, fast UK delivery, free over £50.</t>
        </is>
      </c>
      <c r="Q386" s="45">
        <f>LEN(P386)</f>
        <v/>
      </c>
      <c r="R386" s="49" t="n"/>
    </row>
    <row r="387" ht="23.25" customHeight="1" s="37">
      <c r="A387" s="45" t="inlineStr">
        <is>
          <t>FR-227</t>
        </is>
      </c>
      <c r="B387" s="45" t="inlineStr">
        <is>
          <t>Fragrance Catalogue</t>
        </is>
      </c>
      <c r="C387" s="45" t="inlineStr">
        <is>
          <t>Gucci</t>
        </is>
      </c>
      <c r="D387" s="45" t="inlineStr">
        <is>
          <t>Gucci Women's Perfume Set 4x5ml – Guilty EDT, Flora Gorgeous Orchid, Flora Gorgeous Gardenia &amp; Bloom</t>
        </is>
      </c>
      <c r="E387" s="45" t="inlineStr">
        <is>
          <t>4x5ml</t>
        </is>
      </c>
      <c r="F387" s="46" t="n">
        <v>37.99</v>
      </c>
      <c r="G387" s="45" t="inlineStr">
        <is>
          <t>gucci set</t>
        </is>
      </c>
      <c r="H387" s="47">
        <f>IFERROR(INDEX('Semrush Data'!$C$2:$C$5000,MATCH(G387,'Semrush Data'!$A$2:$A$5000,0)),"")</f>
        <v/>
      </c>
      <c r="I387" s="45">
        <f>IFERROR(INDEX('Semrush Data'!$D$2:$D$5000,MATCH(G387,'Semrush Data'!$A$2:$A$5000,0)),"")</f>
        <v/>
      </c>
      <c r="J387" s="45">
        <f>IF(OR(H387="",H387=0),"No volume",IF(I387&lt;=20,"Easier",IF(I387&lt;=35,"Medium","Hard")))</f>
        <v/>
      </c>
      <c r="K387" s="45" t="n"/>
      <c r="L387" s="47">
        <f>IF(K387="","",IFERROR(INDEX('Semrush Data'!$C$2:$C$5000,MATCH(K387,'Semrush Data'!$A$2:$A$5000,0)),""))</f>
        <v/>
      </c>
      <c r="M387" s="48" t="inlineStr">
        <is>
          <t>Gucci Women's Perfume Set 4x5ml</t>
        </is>
      </c>
      <c r="N387" s="45" t="inlineStr">
        <is>
          <t>Gucci Women's Perfume Set 4x5ml | Buy Online UK | Swansura</t>
        </is>
      </c>
      <c r="O387" s="45">
        <f>LEN(N387)</f>
        <v/>
      </c>
      <c r="P387" s="49" t="inlineStr">
        <is>
          <t>Buy Gucci Women's Perfume Set 4x5ml for £37.99 at Swansura UK. A woody women's eau de toilette. 100% authentic, fast UK delivery, free over £50.</t>
        </is>
      </c>
      <c r="Q387" s="45">
        <f>LEN(P387)</f>
        <v/>
      </c>
      <c r="R387" s="49" t="n"/>
    </row>
    <row r="388" ht="23.25" customHeight="1" s="37">
      <c r="A388" s="45" t="inlineStr">
        <is>
          <t>FR-228</t>
        </is>
      </c>
      <c r="B388" s="45" t="inlineStr">
        <is>
          <t>Fragrance Catalogue</t>
        </is>
      </c>
      <c r="C388" s="45" t="inlineStr">
        <is>
          <t>Gucci</t>
        </is>
      </c>
      <c r="D388" s="45" t="inlineStr">
        <is>
          <t>Gucci Bloom Parfum 10ml Miniature Spray – Luxury Women's Floral Fragrance</t>
        </is>
      </c>
      <c r="E388" s="45" t="inlineStr">
        <is>
          <t>10ml</t>
        </is>
      </c>
      <c r="F388" s="46" t="n">
        <v>19.99</v>
      </c>
      <c r="G388" s="45" t="inlineStr">
        <is>
          <t>gucci bloom parfum miniature</t>
        </is>
      </c>
      <c r="H388" s="47">
        <f>IFERROR(INDEX('Semrush Data'!$C$2:$C$5000,MATCH(G388,'Semrush Data'!$A$2:$A$5000,0)),"")</f>
        <v/>
      </c>
      <c r="I388" s="45">
        <f>IFERROR(INDEX('Semrush Data'!$D$2:$D$5000,MATCH(G388,'Semrush Data'!$A$2:$A$5000,0)),"")</f>
        <v/>
      </c>
      <c r="J388" s="45">
        <f>IF(OR(H388="",H388=0),"No volume",IF(I388&lt;=20,"Easier",IF(I388&lt;=35,"Medium","Hard")))</f>
        <v/>
      </c>
      <c r="K388" s="45" t="n"/>
      <c r="L388" s="47">
        <f>IF(K388="","",IFERROR(INDEX('Semrush Data'!$C$2:$C$5000,MATCH(K388,'Semrush Data'!$A$2:$A$5000,0)),""))</f>
        <v/>
      </c>
      <c r="M388" s="48" t="inlineStr">
        <is>
          <t>Gucci Bloom Parfum Miniature Spray</t>
        </is>
      </c>
      <c r="N388" s="45" t="inlineStr">
        <is>
          <t>Gucci Bloom Parfum Miniature Spray 10ml | Swansura UK</t>
        </is>
      </c>
      <c r="O388" s="45">
        <f>LEN(N388)</f>
        <v/>
      </c>
      <c r="P388" s="49" t="inlineStr">
        <is>
          <t>Buy Gucci Bloom Parfum Miniature Spray 10ml for £19.99 at Swansura UK. A floral women's parfum. 100% authentic, fast UK delivery, free over £50.</t>
        </is>
      </c>
      <c r="Q388" s="45">
        <f>LEN(P388)</f>
        <v/>
      </c>
      <c r="R388" s="49" t="n"/>
    </row>
    <row r="389" ht="23.25" customHeight="1" s="37">
      <c r="A389" s="45" t="inlineStr">
        <is>
          <t>FR-229</t>
        </is>
      </c>
      <c r="B389" s="45" t="inlineStr">
        <is>
          <t>Fragrance Catalogue</t>
        </is>
      </c>
      <c r="C389" s="45" t="inlineStr">
        <is>
          <t>Guerlain</t>
        </is>
      </c>
      <c r="D389" s="45" t="inlineStr">
        <is>
          <t>Guerlain Habit Rouge Eau de Parfum 100ml – Luxury Men's Amber Woody Fragrance</t>
        </is>
      </c>
      <c r="E389" s="45" t="inlineStr">
        <is>
          <t>100ml</t>
        </is>
      </c>
      <c r="F389" s="46" t="n">
        <v>64.98999999999999</v>
      </c>
      <c r="G389" s="45" t="inlineStr">
        <is>
          <t>guerlain habit rouge</t>
        </is>
      </c>
      <c r="H389" s="47">
        <f>IFERROR(INDEX('Semrush Data'!$C$2:$C$5000,MATCH(G389,'Semrush Data'!$A$2:$A$5000,0)),"")</f>
        <v/>
      </c>
      <c r="I389" s="45">
        <f>IFERROR(INDEX('Semrush Data'!$D$2:$D$5000,MATCH(G389,'Semrush Data'!$A$2:$A$5000,0)),"")</f>
        <v/>
      </c>
      <c r="J389" s="45">
        <f>IF(OR(H389="",H389=0),"No volume",IF(I389&lt;=20,"Easier",IF(I389&lt;=35,"Medium","Hard")))</f>
        <v/>
      </c>
      <c r="K389" s="45" t="inlineStr">
        <is>
          <t>guerlain habit rouge eau de parfum</t>
        </is>
      </c>
      <c r="L389" s="47">
        <f>IF(K389="","",IFERROR(INDEX('Semrush Data'!$C$2:$C$5000,MATCH(K389,'Semrush Data'!$A$2:$A$5000,0)),""))</f>
        <v/>
      </c>
      <c r="M389" s="48" t="inlineStr">
        <is>
          <t>Guerlain Habit Rouge Eau de Parfum</t>
        </is>
      </c>
      <c r="N389" s="45" t="inlineStr">
        <is>
          <t>Guerlain Habit Rouge Eau de Parfum 100ml | Swansura UK</t>
        </is>
      </c>
      <c r="O389" s="45">
        <f>LEN(N389)</f>
        <v/>
      </c>
      <c r="P389" s="49" t="inlineStr">
        <is>
          <t>Buy Guerlain Habit Rouge Eau de Parfum 100ml for £64.99 at Swansura UK. A woody men's eau de parfum. 100% authentic, fast UK delivery, free over £50.</t>
        </is>
      </c>
      <c r="Q389" s="45">
        <f>LEN(P389)</f>
        <v/>
      </c>
      <c r="R389" s="49" t="n"/>
    </row>
    <row r="390" ht="23.25" customHeight="1" s="37">
      <c r="A390" s="45" t="inlineStr">
        <is>
          <t>FR-230</t>
        </is>
      </c>
      <c r="B390" s="45" t="inlineStr">
        <is>
          <t>Fragrance Catalogue</t>
        </is>
      </c>
      <c r="C390" s="45" t="inlineStr">
        <is>
          <t>Guerlain</t>
        </is>
      </c>
      <c r="D390" s="45" t="inlineStr">
        <is>
          <t>Guerlain L'Instant de Guerlain Eau de Parfum 75ml – Luxury Women's Floral Amber Fragrance</t>
        </is>
      </c>
      <c r="E390" s="45" t="inlineStr">
        <is>
          <t>75ml</t>
        </is>
      </c>
      <c r="F390" s="46" t="n">
        <v>64.98999999999999</v>
      </c>
      <c r="G390" s="45" t="inlineStr">
        <is>
          <t>guerlain l'instant de guerlain</t>
        </is>
      </c>
      <c r="H390" s="47">
        <f>IFERROR(INDEX('Semrush Data'!$C$2:$C$5000,MATCH(G390,'Semrush Data'!$A$2:$A$5000,0)),"")</f>
        <v/>
      </c>
      <c r="I390" s="45">
        <f>IFERROR(INDEX('Semrush Data'!$D$2:$D$5000,MATCH(G390,'Semrush Data'!$A$2:$A$5000,0)),"")</f>
        <v/>
      </c>
      <c r="J390" s="45">
        <f>IF(OR(H390="",H390=0),"No volume",IF(I390&lt;=20,"Easier",IF(I390&lt;=35,"Medium","Hard")))</f>
        <v/>
      </c>
      <c r="K390" s="45" t="n"/>
      <c r="L390" s="47">
        <f>IF(K390="","",IFERROR(INDEX('Semrush Data'!$C$2:$C$5000,MATCH(K390,'Semrush Data'!$A$2:$A$5000,0)),""))</f>
        <v/>
      </c>
      <c r="M390" s="48" t="inlineStr">
        <is>
          <t>Guerlain L'Instant de Guerlain Eau de Parfum</t>
        </is>
      </c>
      <c r="N390" s="45" t="inlineStr">
        <is>
          <t>Guerlain L'Instant de Guerlain EDP 75ml | Swansura UK</t>
        </is>
      </c>
      <c r="O390" s="45">
        <f>LEN(N390)</f>
        <v/>
      </c>
      <c r="P390" s="49" t="inlineStr">
        <is>
          <t>Buy Guerlain L'Instant de Guerlain Eau de Parfum for £64.99 at Swansura UK. A floral women's eau de parfum. 100% authentic, fast UK delivery, free over £50.</t>
        </is>
      </c>
      <c r="Q390" s="45">
        <f>LEN(P390)</f>
        <v/>
      </c>
      <c r="R390" s="49" t="n"/>
    </row>
    <row r="391" ht="23.25" customHeight="1" s="37">
      <c r="A391" s="45" t="inlineStr">
        <is>
          <t>FR-231</t>
        </is>
      </c>
      <c r="B391" s="45" t="inlineStr">
        <is>
          <t>Fragrance Catalogue</t>
        </is>
      </c>
      <c r="C391" s="45" t="inlineStr">
        <is>
          <t>Guerlain</t>
        </is>
      </c>
      <c r="D391" s="45" t="inlineStr">
        <is>
          <t>Guerlain Musc Noble Eau de Parfum 125ml – Luxury Unisex Musky Woody Fragrance</t>
        </is>
      </c>
      <c r="E391" s="45" t="inlineStr">
        <is>
          <t>125ml</t>
        </is>
      </c>
      <c r="F391" s="46" t="n">
        <v>74.98999999999999</v>
      </c>
      <c r="G391" s="45" t="inlineStr">
        <is>
          <t>guerlain musc noble</t>
        </is>
      </c>
      <c r="H391" s="47">
        <f>IFERROR(INDEX('Semrush Data'!$C$2:$C$5000,MATCH(G391,'Semrush Data'!$A$2:$A$5000,0)),"")</f>
        <v/>
      </c>
      <c r="I391" s="45">
        <f>IFERROR(INDEX('Semrush Data'!$D$2:$D$5000,MATCH(G391,'Semrush Data'!$A$2:$A$5000,0)),"")</f>
        <v/>
      </c>
      <c r="J391" s="45">
        <f>IF(OR(H391="",H391=0),"No volume",IF(I391&lt;=20,"Easier",IF(I391&lt;=35,"Medium","Hard")))</f>
        <v/>
      </c>
      <c r="K391" s="45" t="n"/>
      <c r="L391" s="47">
        <f>IF(K391="","",IFERROR(INDEX('Semrush Data'!$C$2:$C$5000,MATCH(K391,'Semrush Data'!$A$2:$A$5000,0)),""))</f>
        <v/>
      </c>
      <c r="M391" s="48" t="inlineStr">
        <is>
          <t>Guerlain Musc Noble Eau de Parfum</t>
        </is>
      </c>
      <c r="N391" s="45" t="inlineStr">
        <is>
          <t>Guerlain Musc Noble Eau de Parfum | Buy Online UK | Swansura</t>
        </is>
      </c>
      <c r="O391" s="45">
        <f>LEN(N391)</f>
        <v/>
      </c>
      <c r="P391" s="49" t="inlineStr">
        <is>
          <t>Buy Guerlain Musc Noble Eau de Parfum 125ml for £74.99 at Swansura UK. A woody unisex eau de parfum. 100% authentic, fast UK delivery, free over £50.</t>
        </is>
      </c>
      <c r="Q391" s="45">
        <f>LEN(P391)</f>
        <v/>
      </c>
      <c r="R391" s="49" t="n"/>
    </row>
    <row r="392" ht="23.25" customHeight="1" s="37">
      <c r="A392" s="45" t="inlineStr">
        <is>
          <t>FR-232</t>
        </is>
      </c>
      <c r="B392" s="45" t="inlineStr">
        <is>
          <t>Fragrance Catalogue</t>
        </is>
      </c>
      <c r="C392" s="45" t="inlineStr">
        <is>
          <t>Guerlain</t>
        </is>
      </c>
      <c r="D392" s="45" t="inlineStr">
        <is>
          <t>Guerlain Oud Essentiel Eau de Parfum 125ml – Luxury Unisex Oud Woody Fragrance</t>
        </is>
      </c>
      <c r="E392" s="45" t="inlineStr">
        <is>
          <t>125ml</t>
        </is>
      </c>
      <c r="F392" s="46" t="n">
        <v>94.98999999999999</v>
      </c>
      <c r="G392" s="45" t="inlineStr">
        <is>
          <t>guerlain oud essentiel</t>
        </is>
      </c>
      <c r="H392" s="47">
        <f>IFERROR(INDEX('Semrush Data'!$C$2:$C$5000,MATCH(G392,'Semrush Data'!$A$2:$A$5000,0)),"")</f>
        <v/>
      </c>
      <c r="I392" s="45">
        <f>IFERROR(INDEX('Semrush Data'!$D$2:$D$5000,MATCH(G392,'Semrush Data'!$A$2:$A$5000,0)),"")</f>
        <v/>
      </c>
      <c r="J392" s="45">
        <f>IF(OR(H392="",H392=0),"No volume",IF(I392&lt;=20,"Easier",IF(I392&lt;=35,"Medium","Hard")))</f>
        <v/>
      </c>
      <c r="K392" s="45" t="inlineStr">
        <is>
          <t>guerlain oud essentiel eau de parfum</t>
        </is>
      </c>
      <c r="L392" s="47">
        <f>IF(K392="","",IFERROR(INDEX('Semrush Data'!$C$2:$C$5000,MATCH(K392,'Semrush Data'!$A$2:$A$5000,0)),""))</f>
        <v/>
      </c>
      <c r="M392" s="48" t="inlineStr">
        <is>
          <t>Guerlain Oud Essentiel Eau de Parfum</t>
        </is>
      </c>
      <c r="N392" s="45" t="inlineStr">
        <is>
          <t>Guerlain Oud Essentiel Eau de Parfum 125ml | Swansura UK</t>
        </is>
      </c>
      <c r="O392" s="45">
        <f>LEN(N392)</f>
        <v/>
      </c>
      <c r="P392" s="49" t="inlineStr">
        <is>
          <t>Buy Guerlain Oud Essentiel Eau de Parfum 125ml for £94.99 at Swansura UK. A woody unisex eau de parfum. 100% authentic, fast UK delivery, free over £50.</t>
        </is>
      </c>
      <c r="Q392" s="45">
        <f>LEN(P392)</f>
        <v/>
      </c>
      <c r="R392" s="49" t="n"/>
    </row>
    <row r="393" ht="23.25" customHeight="1" s="37">
      <c r="A393" s="45" t="inlineStr">
        <is>
          <t>FR-233</t>
        </is>
      </c>
      <c r="B393" s="45" t="inlineStr">
        <is>
          <t>Fragrance Catalogue</t>
        </is>
      </c>
      <c r="C393" s="45" t="inlineStr">
        <is>
          <t>Guerlain</t>
        </is>
      </c>
      <c r="D393" s="45" t="inlineStr">
        <is>
          <t>Guerlain Samsara Eau de Parfum 75ml – Luxury Women's Floral Woody Longlasting Fragrance</t>
        </is>
      </c>
      <c r="E393" s="45" t="inlineStr">
        <is>
          <t>75ml</t>
        </is>
      </c>
      <c r="F393" s="46" t="n">
        <v>69.98999999999999</v>
      </c>
      <c r="G393" s="45" t="inlineStr">
        <is>
          <t>guerlain samsara</t>
        </is>
      </c>
      <c r="H393" s="47">
        <f>IFERROR(INDEX('Semrush Data'!$C$2:$C$5000,MATCH(G393,'Semrush Data'!$A$2:$A$5000,0)),"")</f>
        <v/>
      </c>
      <c r="I393" s="45">
        <f>IFERROR(INDEX('Semrush Data'!$D$2:$D$5000,MATCH(G393,'Semrush Data'!$A$2:$A$5000,0)),"")</f>
        <v/>
      </c>
      <c r="J393" s="45">
        <f>IF(OR(H393="",H393=0),"No volume",IF(I393&lt;=20,"Easier",IF(I393&lt;=35,"Medium","Hard")))</f>
        <v/>
      </c>
      <c r="K393" s="45" t="inlineStr">
        <is>
          <t>guerlain samsara eau de parfum</t>
        </is>
      </c>
      <c r="L393" s="47">
        <f>IF(K393="","",IFERROR(INDEX('Semrush Data'!$C$2:$C$5000,MATCH(K393,'Semrush Data'!$A$2:$A$5000,0)),""))</f>
        <v/>
      </c>
      <c r="M393" s="48" t="inlineStr">
        <is>
          <t>Guerlain Samsara Eau de Parfum</t>
        </is>
      </c>
      <c r="N393" s="45" t="inlineStr">
        <is>
          <t>Guerlain Samsara Eau de Parfum | Buy Online UK | Swansura</t>
        </is>
      </c>
      <c r="O393" s="45">
        <f>LEN(N393)</f>
        <v/>
      </c>
      <c r="P393" s="49" t="inlineStr">
        <is>
          <t>Buy Guerlain Samsara Eau de Parfum 75ml for £69.99 at Swansura UK. A floral women's eau de parfum. 100% authentic, fast UK delivery, free over £50.</t>
        </is>
      </c>
      <c r="Q393" s="45">
        <f>LEN(P393)</f>
        <v/>
      </c>
      <c r="R393" s="49" t="n"/>
    </row>
    <row r="394" ht="23.25" customHeight="1" s="37">
      <c r="A394" s="45" t="inlineStr">
        <is>
          <t>FR-234</t>
        </is>
      </c>
      <c r="B394" s="45" t="inlineStr">
        <is>
          <t>Fragrance Catalogue</t>
        </is>
      </c>
      <c r="C394" s="45" t="inlineStr">
        <is>
          <t>Guerlain</t>
        </is>
      </c>
      <c r="D394" s="45" t="inlineStr">
        <is>
          <t>Guerlain Épices Exquises Eau de Parfum 125ml – Luxury Unisex Spicy Woody Fragrance</t>
        </is>
      </c>
      <c r="E394" s="45" t="inlineStr">
        <is>
          <t>125ml</t>
        </is>
      </c>
      <c r="F394" s="46" t="n">
        <v>86.98999999999999</v>
      </c>
      <c r="G394" s="45" t="inlineStr">
        <is>
          <t>guerlain epices exquises</t>
        </is>
      </c>
      <c r="H394" s="47">
        <f>IFERROR(INDEX('Semrush Data'!$C$2:$C$5000,MATCH(G394,'Semrush Data'!$A$2:$A$5000,0)),"")</f>
        <v/>
      </c>
      <c r="I394" s="45">
        <f>IFERROR(INDEX('Semrush Data'!$D$2:$D$5000,MATCH(G394,'Semrush Data'!$A$2:$A$5000,0)),"")</f>
        <v/>
      </c>
      <c r="J394" s="45">
        <f>IF(OR(H394="",H394=0),"No volume",IF(I394&lt;=20,"Easier",IF(I394&lt;=35,"Medium","Hard")))</f>
        <v/>
      </c>
      <c r="K394" s="45" t="inlineStr">
        <is>
          <t>guerlain epices exquises eau de parfum</t>
        </is>
      </c>
      <c r="L394" s="47">
        <f>IF(K394="","",IFERROR(INDEX('Semrush Data'!$C$2:$C$5000,MATCH(K394,'Semrush Data'!$A$2:$A$5000,0)),""))</f>
        <v/>
      </c>
      <c r="M394" s="48" t="inlineStr">
        <is>
          <t>Guerlain Épices Exquises Eau de Parfum</t>
        </is>
      </c>
      <c r="N394" s="45" t="inlineStr">
        <is>
          <t>Guerlain Épices Exquises Eau de Parfum 125ml | Swansura UK</t>
        </is>
      </c>
      <c r="O394" s="45">
        <f>LEN(N394)</f>
        <v/>
      </c>
      <c r="P394" s="49" t="inlineStr">
        <is>
          <t>Buy Guerlain Épices Exquises Eau de Parfum 125ml for £86.99 at Swansura UK. A woody unisex eau de parfum. 100% authentic, fast UK delivery, free over £50.</t>
        </is>
      </c>
      <c r="Q394" s="45">
        <f>LEN(P394)</f>
        <v/>
      </c>
      <c r="R394" s="49" t="n"/>
    </row>
    <row r="395" ht="23.25" customHeight="1" s="37">
      <c r="A395" s="45" t="inlineStr">
        <is>
          <t>FR-235</t>
        </is>
      </c>
      <c r="B395" s="45" t="inlineStr">
        <is>
          <t>Fragrance Catalogue</t>
        </is>
      </c>
      <c r="C395" s="45" t="inlineStr">
        <is>
          <t>Guerlain</t>
        </is>
      </c>
      <c r="D395" s="45" t="inlineStr">
        <is>
          <t>Guerlain La Petite Robe Noire Ma Robe Cocktail Eau de Toilette 100ml – Women's Fruity Floral Fragrance</t>
        </is>
      </c>
      <c r="E395" s="45" t="inlineStr">
        <is>
          <t>100ml</t>
        </is>
      </c>
      <c r="F395" s="46" t="n">
        <v>49.99</v>
      </c>
      <c r="G395" s="45" t="inlineStr">
        <is>
          <t>guerlain la petite robe noire ma robe cocktail</t>
        </is>
      </c>
      <c r="H395" s="47">
        <f>IFERROR(INDEX('Semrush Data'!$C$2:$C$5000,MATCH(G395,'Semrush Data'!$A$2:$A$5000,0)),"")</f>
        <v/>
      </c>
      <c r="I395" s="45">
        <f>IFERROR(INDEX('Semrush Data'!$D$2:$D$5000,MATCH(G395,'Semrush Data'!$A$2:$A$5000,0)),"")</f>
        <v/>
      </c>
      <c r="J395" s="45">
        <f>IF(OR(H395="",H395=0),"No volume",IF(I395&lt;=20,"Easier",IF(I395&lt;=35,"Medium","Hard")))</f>
        <v/>
      </c>
      <c r="K395" s="45" t="n"/>
      <c r="L395" s="47">
        <f>IF(K395="","",IFERROR(INDEX('Semrush Data'!$C$2:$C$5000,MATCH(K395,'Semrush Data'!$A$2:$A$5000,0)),""))</f>
        <v/>
      </c>
      <c r="M395" s="48" t="inlineStr">
        <is>
          <t>Guerlain La Petite Robe Noire Ma Robe Cocktail Eau de Toilette</t>
        </is>
      </c>
      <c r="N395" s="45" t="inlineStr">
        <is>
          <t>Guerlain La Petite Robe Noire Ma Robe Cocktail | Swansura UK</t>
        </is>
      </c>
      <c r="O395" s="45">
        <f>LEN(N395)</f>
        <v/>
      </c>
      <c r="P395" s="49" t="inlineStr">
        <is>
          <t>Buy Guerlain La Petite Robe Noire Ma Robe Cocktail Eau de Toilette 100ml for £49.99 at Swansura UK. A floral women's eau de toilette. Free UK delivery over £50.</t>
        </is>
      </c>
      <c r="Q395" s="45">
        <f>LEN(P395)</f>
        <v/>
      </c>
      <c r="R395" s="49" t="n"/>
    </row>
    <row r="396" ht="23.25" customHeight="1" s="37">
      <c r="A396" s="45" t="inlineStr">
        <is>
          <t>FR-236</t>
        </is>
      </c>
      <c r="B396" s="45" t="inlineStr">
        <is>
          <t>Fragrance Catalogue</t>
        </is>
      </c>
      <c r="C396" s="45" t="inlineStr">
        <is>
          <t>Guerlain</t>
        </is>
      </c>
      <c r="D396" s="45" t="inlineStr">
        <is>
          <t>Guerlain Mon Guerlain Miniature Perfume Gift Set 4x5ml – Women's Fragrance Collection</t>
        </is>
      </c>
      <c r="E396" s="45" t="inlineStr">
        <is>
          <t>Not specified</t>
        </is>
      </c>
      <c r="F396" s="46" t="n">
        <v>44.99</v>
      </c>
      <c r="G396" s="45" t="inlineStr">
        <is>
          <t>guerlain mon guerlain miniature gift set</t>
        </is>
      </c>
      <c r="H396" s="47">
        <f>IFERROR(INDEX('Semrush Data'!$C$2:$C$5000,MATCH(G396,'Semrush Data'!$A$2:$A$5000,0)),"")</f>
        <v/>
      </c>
      <c r="I396" s="45">
        <f>IFERROR(INDEX('Semrush Data'!$D$2:$D$5000,MATCH(G396,'Semrush Data'!$A$2:$A$5000,0)),"")</f>
        <v/>
      </c>
      <c r="J396" s="45">
        <f>IF(OR(H396="",H396=0),"No volume",IF(I396&lt;=20,"Easier",IF(I396&lt;=35,"Medium","Hard")))</f>
        <v/>
      </c>
      <c r="K396" s="45" t="n"/>
      <c r="L396" s="47">
        <f>IF(K396="","",IFERROR(INDEX('Semrush Data'!$C$2:$C$5000,MATCH(K396,'Semrush Data'!$A$2:$A$5000,0)),""))</f>
        <v/>
      </c>
      <c r="M396" s="48" t="inlineStr">
        <is>
          <t>Guerlain Mon Guerlain Miniature Perfume Gift Set 4x5ml</t>
        </is>
      </c>
      <c r="N396" s="45" t="inlineStr">
        <is>
          <t>Guerlain Mon Guerlain Miniature Perfume Gift Set 4x5ml | Swa</t>
        </is>
      </c>
      <c r="O396" s="45">
        <f>LEN(N396)</f>
        <v/>
      </c>
      <c r="P396" s="49" t="inlineStr">
        <is>
          <t>Guerlain Mon Guerlain Miniature Perfume Gift Set 4x5ml for £44.99 at Swansura UK. A woody women's fragrance gift set. 100% authentic, free UK delivery over £50.</t>
        </is>
      </c>
      <c r="Q396" s="45">
        <f>LEN(P396)</f>
        <v/>
      </c>
      <c r="R396" s="49" t="n"/>
    </row>
    <row r="397" ht="23.25" customHeight="1" s="37">
      <c r="A397" s="45" t="inlineStr">
        <is>
          <t>FR-237</t>
        </is>
      </c>
      <c r="B397" s="45" t="inlineStr">
        <is>
          <t>Fragrance Catalogue</t>
        </is>
      </c>
      <c r="C397" s="45" t="inlineStr">
        <is>
          <t>Hemel</t>
        </is>
      </c>
      <c r="D397" s="45" t="inlineStr">
        <is>
          <t>Hemel Amethyst Dream Eau de Parfum 100ml – Luxury Unisex Floral Fruity Fragrance</t>
        </is>
      </c>
      <c r="E397" s="45" t="inlineStr">
        <is>
          <t>100ml</t>
        </is>
      </c>
      <c r="F397" s="46" t="n">
        <v>61.99</v>
      </c>
      <c r="G397" s="45" t="inlineStr">
        <is>
          <t>hemel amethyst dream</t>
        </is>
      </c>
      <c r="H397" s="47">
        <f>IFERROR(INDEX('Semrush Data'!$C$2:$C$5000,MATCH(G397,'Semrush Data'!$A$2:$A$5000,0)),"")</f>
        <v/>
      </c>
      <c r="I397" s="45">
        <f>IFERROR(INDEX('Semrush Data'!$D$2:$D$5000,MATCH(G397,'Semrush Data'!$A$2:$A$5000,0)),"")</f>
        <v/>
      </c>
      <c r="J397" s="45">
        <f>IF(OR(H397="",H397=0),"No volume",IF(I397&lt;=20,"Easier",IF(I397&lt;=35,"Medium","Hard")))</f>
        <v/>
      </c>
      <c r="K397" s="45" t="n"/>
      <c r="L397" s="47">
        <f>IF(K397="","",IFERROR(INDEX('Semrush Data'!$C$2:$C$5000,MATCH(K397,'Semrush Data'!$A$2:$A$5000,0)),""))</f>
        <v/>
      </c>
      <c r="M397" s="48" t="inlineStr">
        <is>
          <t>Hemel Amethyst Dream Eau de Parfum 100ml</t>
        </is>
      </c>
      <c r="N397" s="45" t="inlineStr">
        <is>
          <t>Hemel Amethyst Dream Eau de Parfum 100ml | Swansura UK</t>
        </is>
      </c>
      <c r="O397" s="45">
        <f>LEN(N397)</f>
        <v/>
      </c>
      <c r="P397" s="49" t="inlineStr">
        <is>
          <t>Buy Hemel Amethyst Dream Eau de Parfum 100ml for £61.99 at Swansura UK. A floral unisex eau de parfum. 100% authentic, fast UK delivery, free over £50.</t>
        </is>
      </c>
      <c r="Q397" s="45">
        <f>LEN(P397)</f>
        <v/>
      </c>
      <c r="R397" s="49" t="inlineStr">
        <is>
          <t>Shares the keyword "hemel amethyst dream" with 1 other listing(s): consider merging sizes as variants of one product</t>
        </is>
      </c>
    </row>
    <row r="398" ht="23.25" customHeight="1" s="37">
      <c r="A398" s="45" t="inlineStr">
        <is>
          <t>FR-238</t>
        </is>
      </c>
      <c r="B398" s="45" t="inlineStr">
        <is>
          <t>Fragrance Catalogue</t>
        </is>
      </c>
      <c r="C398" s="45" t="inlineStr">
        <is>
          <t>Hemel</t>
        </is>
      </c>
      <c r="D398" s="45" t="inlineStr">
        <is>
          <t>Hemel Amethyst Dream Unisex EDP 100ML</t>
        </is>
      </c>
      <c r="E398" s="45" t="inlineStr">
        <is>
          <t>100ml</t>
        </is>
      </c>
      <c r="F398" s="46" t="n">
        <v>87.95</v>
      </c>
      <c r="G398" s="45" t="inlineStr">
        <is>
          <t>hemel amethyst dream</t>
        </is>
      </c>
      <c r="H398" s="47">
        <f>IFERROR(INDEX('Semrush Data'!$C$2:$C$5000,MATCH(G398,'Semrush Data'!$A$2:$A$5000,0)),"")</f>
        <v/>
      </c>
      <c r="I398" s="45">
        <f>IFERROR(INDEX('Semrush Data'!$D$2:$D$5000,MATCH(G398,'Semrush Data'!$A$2:$A$5000,0)),"")</f>
        <v/>
      </c>
      <c r="J398" s="45">
        <f>IF(OR(H398="",H398=0),"No volume",IF(I398&lt;=20,"Easier",IF(I398&lt;=35,"Medium","Hard")))</f>
        <v/>
      </c>
      <c r="K398" s="45" t="n"/>
      <c r="L398" s="47">
        <f>IF(K398="","",IFERROR(INDEX('Semrush Data'!$C$2:$C$5000,MATCH(K398,'Semrush Data'!$A$2:$A$5000,0)),""))</f>
        <v/>
      </c>
      <c r="M398" s="48" t="inlineStr">
        <is>
          <t>Hemel Amethyst Dream Unisex EDP 100ml</t>
        </is>
      </c>
      <c r="N398" s="45" t="inlineStr">
        <is>
          <t>Hemel Amethyst Dream Unisex 100ml EDP | Swansura UK</t>
        </is>
      </c>
      <c r="O398" s="45">
        <f>LEN(N398)</f>
        <v/>
      </c>
      <c r="P398" s="49" t="inlineStr">
        <is>
          <t>Buy Hemel Amethyst Dream Unisex EDP 100ml for £87.95 at Swansura UK. An amber unisex eau de parfum. 100% authentic, fast UK delivery, free over £50.</t>
        </is>
      </c>
      <c r="Q398" s="45">
        <f>LEN(P398)</f>
        <v/>
      </c>
      <c r="R398" s="49" t="inlineStr">
        <is>
          <t>Shares the keyword "hemel amethyst dream" with 1 other listing(s): consider merging sizes as variants of one product</t>
        </is>
      </c>
    </row>
    <row r="399" ht="23.25" customHeight="1" s="37">
      <c r="A399" s="45" t="inlineStr">
        <is>
          <t>FR-239</t>
        </is>
      </c>
      <c r="B399" s="45" t="inlineStr">
        <is>
          <t>Fragrance Catalogue</t>
        </is>
      </c>
      <c r="C399" s="45" t="inlineStr">
        <is>
          <t>Hemel</t>
        </is>
      </c>
      <c r="D399" s="45" t="inlineStr">
        <is>
          <t>Hemel Dorado Eau de Parfum 100ml – Luxury Unisex Leather Amber Fragrance</t>
        </is>
      </c>
      <c r="E399" s="45" t="inlineStr">
        <is>
          <t>100ml</t>
        </is>
      </c>
      <c r="F399" s="46" t="n">
        <v>49.99</v>
      </c>
      <c r="G399" s="45" t="inlineStr">
        <is>
          <t>hemel dorado</t>
        </is>
      </c>
      <c r="H399" s="47">
        <f>IFERROR(INDEX('Semrush Data'!$C$2:$C$5000,MATCH(G399,'Semrush Data'!$A$2:$A$5000,0)),"")</f>
        <v/>
      </c>
      <c r="I399" s="45">
        <f>IFERROR(INDEX('Semrush Data'!$D$2:$D$5000,MATCH(G399,'Semrush Data'!$A$2:$A$5000,0)),"")</f>
        <v/>
      </c>
      <c r="J399" s="45">
        <f>IF(OR(H399="",H399=0),"No volume",IF(I399&lt;=20,"Easier",IF(I399&lt;=35,"Medium","Hard")))</f>
        <v/>
      </c>
      <c r="K399" s="45" t="n"/>
      <c r="L399" s="47">
        <f>IF(K399="","",IFERROR(INDEX('Semrush Data'!$C$2:$C$5000,MATCH(K399,'Semrush Data'!$A$2:$A$5000,0)),""))</f>
        <v/>
      </c>
      <c r="M399" s="48" t="inlineStr">
        <is>
          <t>Hemel Dorado Eau de Parfum</t>
        </is>
      </c>
      <c r="N399" s="45" t="inlineStr">
        <is>
          <t>Hemel Dorado Eau de Parfum 100ml | Buy Online UK | Swansura</t>
        </is>
      </c>
      <c r="O399" s="45">
        <f>LEN(N399)</f>
        <v/>
      </c>
      <c r="P399" s="49" t="inlineStr">
        <is>
          <t>Buy Hemel Dorado Eau de Parfum 100ml for £49.99 at Swansura UK. An amber unisex eau de parfum. 100% authentic, fast UK delivery, free over £50.</t>
        </is>
      </c>
      <c r="Q399" s="45">
        <f>LEN(P399)</f>
        <v/>
      </c>
      <c r="R399" s="49" t="n"/>
    </row>
    <row r="400" ht="23.25" customHeight="1" s="37">
      <c r="A400" s="45" t="inlineStr">
        <is>
          <t>FR-240</t>
        </is>
      </c>
      <c r="B400" s="45" t="inlineStr">
        <is>
          <t>Fragrance Catalogue</t>
        </is>
      </c>
      <c r="C400" s="45" t="inlineStr">
        <is>
          <t>Hemel</t>
        </is>
      </c>
      <c r="D400" s="45" t="inlineStr">
        <is>
          <t>Hemel Favourite Black Eau de Parfum 100ml – Luxury Unisex Leather Amber Fragrance</t>
        </is>
      </c>
      <c r="E400" s="45" t="inlineStr">
        <is>
          <t>100ml</t>
        </is>
      </c>
      <c r="F400" s="46" t="n">
        <v>61.99</v>
      </c>
      <c r="G400" s="45" t="inlineStr">
        <is>
          <t>hemel favourite black</t>
        </is>
      </c>
      <c r="H400" s="47">
        <f>IFERROR(INDEX('Semrush Data'!$C$2:$C$5000,MATCH(G400,'Semrush Data'!$A$2:$A$5000,0)),"")</f>
        <v/>
      </c>
      <c r="I400" s="45">
        <f>IFERROR(INDEX('Semrush Data'!$D$2:$D$5000,MATCH(G400,'Semrush Data'!$A$2:$A$5000,0)),"")</f>
        <v/>
      </c>
      <c r="J400" s="45">
        <f>IF(OR(H400="",H400=0),"No volume",IF(I400&lt;=20,"Easier",IF(I400&lt;=35,"Medium","Hard")))</f>
        <v/>
      </c>
      <c r="K400" s="45" t="n"/>
      <c r="L400" s="47">
        <f>IF(K400="","",IFERROR(INDEX('Semrush Data'!$C$2:$C$5000,MATCH(K400,'Semrush Data'!$A$2:$A$5000,0)),""))</f>
        <v/>
      </c>
      <c r="M400" s="48" t="inlineStr">
        <is>
          <t>Hemel Favourite Black Eau de Parfum 100ml</t>
        </is>
      </c>
      <c r="N400" s="45" t="inlineStr">
        <is>
          <t>Hemel Favourite Black Eau de Parfum 100ml | Swansura UK</t>
        </is>
      </c>
      <c r="O400" s="45">
        <f>LEN(N400)</f>
        <v/>
      </c>
      <c r="P400" s="49" t="inlineStr">
        <is>
          <t>Buy Hemel Favourite Black Eau de Parfum 100ml for £61.99 at Swansura UK. An amber unisex eau de parfum. 100% authentic, fast UK delivery, free over £50.</t>
        </is>
      </c>
      <c r="Q400" s="45">
        <f>LEN(P400)</f>
        <v/>
      </c>
      <c r="R400" s="49" t="inlineStr">
        <is>
          <t>Shares the keyword "hemel favourite black" with 1 other listing(s): consider merging sizes as variants of one product</t>
        </is>
      </c>
    </row>
    <row r="401" ht="23.25" customHeight="1" s="37">
      <c r="A401" s="45" t="inlineStr">
        <is>
          <t>FR-241</t>
        </is>
      </c>
      <c r="B401" s="45" t="inlineStr">
        <is>
          <t>Fragrance Catalogue</t>
        </is>
      </c>
      <c r="C401" s="45" t="inlineStr">
        <is>
          <t>Hemel</t>
        </is>
      </c>
      <c r="D401" s="45" t="inlineStr">
        <is>
          <t>Hemel Favourite Black Unisex Eau De Parfum 100ML</t>
        </is>
      </c>
      <c r="E401" s="45" t="inlineStr">
        <is>
          <t>100ml</t>
        </is>
      </c>
      <c r="F401" s="46" t="n">
        <v>87.95</v>
      </c>
      <c r="G401" s="45" t="inlineStr">
        <is>
          <t>hemel favourite black</t>
        </is>
      </c>
      <c r="H401" s="47">
        <f>IFERROR(INDEX('Semrush Data'!$C$2:$C$5000,MATCH(G401,'Semrush Data'!$A$2:$A$5000,0)),"")</f>
        <v/>
      </c>
      <c r="I401" s="45">
        <f>IFERROR(INDEX('Semrush Data'!$D$2:$D$5000,MATCH(G401,'Semrush Data'!$A$2:$A$5000,0)),"")</f>
        <v/>
      </c>
      <c r="J401" s="45">
        <f>IF(OR(H401="",H401=0),"No volume",IF(I401&lt;=20,"Easier",IF(I401&lt;=35,"Medium","Hard")))</f>
        <v/>
      </c>
      <c r="K401" s="45" t="n"/>
      <c r="L401" s="47">
        <f>IF(K401="","",IFERROR(INDEX('Semrush Data'!$C$2:$C$5000,MATCH(K401,'Semrush Data'!$A$2:$A$5000,0)),""))</f>
        <v/>
      </c>
      <c r="M401" s="48" t="inlineStr">
        <is>
          <t>Hemel Favourite Black Unisex Eau De Parfum 100ml</t>
        </is>
      </c>
      <c r="N401" s="45" t="inlineStr">
        <is>
          <t>Hemel Favourite Black Unisex 100ml EDP | Swansura UK</t>
        </is>
      </c>
      <c r="O401" s="45">
        <f>LEN(N401)</f>
        <v/>
      </c>
      <c r="P401" s="49" t="inlineStr">
        <is>
          <t>Buy Hemel Favourite Black Unisex Eau De Parfum 100ml for £87.95 at Swansura UK. An amber unisex eau de parfum. 100% authentic, fast UK delivery, free over £50.</t>
        </is>
      </c>
      <c r="Q401" s="45">
        <f>LEN(P401)</f>
        <v/>
      </c>
      <c r="R401" s="49" t="inlineStr">
        <is>
          <t>Shares the keyword "hemel favourite black" with 1 other listing(s): consider merging sizes as variants of one product</t>
        </is>
      </c>
    </row>
    <row r="402" ht="23.25" customHeight="1" s="37">
      <c r="A402" s="45" t="inlineStr">
        <is>
          <t>FR-242</t>
        </is>
      </c>
      <c r="B402" s="45" t="inlineStr">
        <is>
          <t>Fragrance Catalogue</t>
        </is>
      </c>
      <c r="C402" s="45" t="inlineStr">
        <is>
          <t>Hemel</t>
        </is>
      </c>
      <c r="D402" s="45" t="inlineStr">
        <is>
          <t>Hemel Fragrance Affair Eau de Parfum 100ml – Luxury Unisex Floral Spicy Fragrance</t>
        </is>
      </c>
      <c r="E402" s="45" t="inlineStr">
        <is>
          <t>100ml</t>
        </is>
      </c>
      <c r="F402" s="46" t="n">
        <v>61.99</v>
      </c>
      <c r="G402" s="45" t="inlineStr">
        <is>
          <t>hemel affair</t>
        </is>
      </c>
      <c r="H402" s="47">
        <f>IFERROR(INDEX('Semrush Data'!$C$2:$C$5000,MATCH(G402,'Semrush Data'!$A$2:$A$5000,0)),"")</f>
        <v/>
      </c>
      <c r="I402" s="45">
        <f>IFERROR(INDEX('Semrush Data'!$D$2:$D$5000,MATCH(G402,'Semrush Data'!$A$2:$A$5000,0)),"")</f>
        <v/>
      </c>
      <c r="J402" s="45">
        <f>IF(OR(H402="",H402=0),"No volume",IF(I402&lt;=20,"Easier",IF(I402&lt;=35,"Medium","Hard")))</f>
        <v/>
      </c>
      <c r="K402" s="45" t="n"/>
      <c r="L402" s="47">
        <f>IF(K402="","",IFERROR(INDEX('Semrush Data'!$C$2:$C$5000,MATCH(K402,'Semrush Data'!$A$2:$A$5000,0)),""))</f>
        <v/>
      </c>
      <c r="M402" s="48" t="inlineStr">
        <is>
          <t>Hemel Fragrance Affair Eau de Parfum 100ml</t>
        </is>
      </c>
      <c r="N402" s="45" t="inlineStr">
        <is>
          <t>Hemel Fragrance Affair Eau de Parfum 100ml | Swansura UK</t>
        </is>
      </c>
      <c r="O402" s="45">
        <f>LEN(N402)</f>
        <v/>
      </c>
      <c r="P402" s="49" t="inlineStr">
        <is>
          <t>Buy Hemel Fragrance Affair Eau de Parfum 100ml for £61.99 at Swansura UK. A floral unisex eau de parfum. 100% authentic, fast UK delivery, free over £50.</t>
        </is>
      </c>
      <c r="Q402" s="45">
        <f>LEN(P402)</f>
        <v/>
      </c>
      <c r="R402" s="49" t="inlineStr">
        <is>
          <t>Shares the keyword "hemel affair" with 1 other listing(s): consider merging sizes as variants of one product</t>
        </is>
      </c>
    </row>
    <row r="403" ht="23.25" customHeight="1" s="37">
      <c r="A403" s="45" t="inlineStr">
        <is>
          <t>FR-243</t>
        </is>
      </c>
      <c r="B403" s="45" t="inlineStr">
        <is>
          <t>Fragrance Catalogue</t>
        </is>
      </c>
      <c r="C403" s="45" t="inlineStr">
        <is>
          <t>Hemel</t>
        </is>
      </c>
      <c r="D403" s="45" t="inlineStr">
        <is>
          <t>Hemel Fragrance Affair Unisex Eau De Parfum 100ML</t>
        </is>
      </c>
      <c r="E403" s="45" t="inlineStr">
        <is>
          <t>100ml</t>
        </is>
      </c>
      <c r="F403" s="46" t="n">
        <v>87.95</v>
      </c>
      <c r="G403" s="45" t="inlineStr">
        <is>
          <t>hemel affair</t>
        </is>
      </c>
      <c r="H403" s="47">
        <f>IFERROR(INDEX('Semrush Data'!$C$2:$C$5000,MATCH(G403,'Semrush Data'!$A$2:$A$5000,0)),"")</f>
        <v/>
      </c>
      <c r="I403" s="45">
        <f>IFERROR(INDEX('Semrush Data'!$D$2:$D$5000,MATCH(G403,'Semrush Data'!$A$2:$A$5000,0)),"")</f>
        <v/>
      </c>
      <c r="J403" s="45">
        <f>IF(OR(H403="",H403=0),"No volume",IF(I403&lt;=20,"Easier",IF(I403&lt;=35,"Medium","Hard")))</f>
        <v/>
      </c>
      <c r="K403" s="45" t="n"/>
      <c r="L403" s="47">
        <f>IF(K403="","",IFERROR(INDEX('Semrush Data'!$C$2:$C$5000,MATCH(K403,'Semrush Data'!$A$2:$A$5000,0)),""))</f>
        <v/>
      </c>
      <c r="M403" s="48" t="inlineStr">
        <is>
          <t>Hemel Fragrance Affair Unisex Eau De Parfum 100ml</t>
        </is>
      </c>
      <c r="N403" s="45" t="inlineStr">
        <is>
          <t>Hemel Fragrance Affair Unisex 100ml EDP | Swansura UK</t>
        </is>
      </c>
      <c r="O403" s="45">
        <f>LEN(N403)</f>
        <v/>
      </c>
      <c r="P403" s="49" t="inlineStr">
        <is>
          <t>Buy Hemel Fragrance Affair Unisex Eau De Parfum 100ml for £87.95 at Swansura UK. An amber unisex eau de parfum. 100% authentic, fast UK delivery, free over £50.</t>
        </is>
      </c>
      <c r="Q403" s="45">
        <f>LEN(P403)</f>
        <v/>
      </c>
      <c r="R403" s="49" t="inlineStr">
        <is>
          <t>Shares the keyword "hemel affair" with 1 other listing(s): consider merging sizes as variants of one product</t>
        </is>
      </c>
    </row>
    <row r="404" ht="23.25" customHeight="1" s="37">
      <c r="A404" s="45" t="inlineStr">
        <is>
          <t>FR-244</t>
        </is>
      </c>
      <c r="B404" s="45" t="inlineStr">
        <is>
          <t>Fragrance Catalogue</t>
        </is>
      </c>
      <c r="C404" s="45" t="inlineStr">
        <is>
          <t>Hemel</t>
        </is>
      </c>
      <c r="D404" s="45" t="inlineStr">
        <is>
          <t>Hemel Gris Eau de Parfum 100ml – Luxury Unisex Citrus Woody Fragrance</t>
        </is>
      </c>
      <c r="E404" s="45" t="inlineStr">
        <is>
          <t>100ml</t>
        </is>
      </c>
      <c r="F404" s="46" t="n">
        <v>49.99</v>
      </c>
      <c r="G404" s="45" t="inlineStr">
        <is>
          <t>hemel gris</t>
        </is>
      </c>
      <c r="H404" s="47">
        <f>IFERROR(INDEX('Semrush Data'!$C$2:$C$5000,MATCH(G404,'Semrush Data'!$A$2:$A$5000,0)),"")</f>
        <v/>
      </c>
      <c r="I404" s="45">
        <f>IFERROR(INDEX('Semrush Data'!$D$2:$D$5000,MATCH(G404,'Semrush Data'!$A$2:$A$5000,0)),"")</f>
        <v/>
      </c>
      <c r="J404" s="45">
        <f>IF(OR(H404="",H404=0),"No volume",IF(I404&lt;=20,"Easier",IF(I404&lt;=35,"Medium","Hard")))</f>
        <v/>
      </c>
      <c r="K404" s="45" t="n"/>
      <c r="L404" s="47">
        <f>IF(K404="","",IFERROR(INDEX('Semrush Data'!$C$2:$C$5000,MATCH(K404,'Semrush Data'!$A$2:$A$5000,0)),""))</f>
        <v/>
      </c>
      <c r="M404" s="48" t="inlineStr">
        <is>
          <t>Hemel Gris Eau de Parfum</t>
        </is>
      </c>
      <c r="N404" s="45" t="inlineStr">
        <is>
          <t>Hemel Gris Eau de Parfum 100ml | Buy Online UK | Swansura</t>
        </is>
      </c>
      <c r="O404" s="45">
        <f>LEN(N404)</f>
        <v/>
      </c>
      <c r="P404" s="49" t="inlineStr">
        <is>
          <t>Buy Hemel Gris Eau de Parfum 100ml for £49.99 at Swansura UK. A woody unisex eau de parfum. 100% authentic, fast UK delivery, free over £50.</t>
        </is>
      </c>
      <c r="Q404" s="45">
        <f>LEN(P404)</f>
        <v/>
      </c>
      <c r="R404" s="49" t="n"/>
    </row>
    <row r="405" ht="23.25" customHeight="1" s="37">
      <c r="A405" s="45" t="inlineStr">
        <is>
          <t>FR-245</t>
        </is>
      </c>
      <c r="B405" s="45" t="inlineStr">
        <is>
          <t>Fragrance Catalogue</t>
        </is>
      </c>
      <c r="C405" s="45" t="inlineStr">
        <is>
          <t>Hemel</t>
        </is>
      </c>
      <c r="D405" s="45" t="inlineStr">
        <is>
          <t>Hemel Paris Dorado EDP Unisex 100ML</t>
        </is>
      </c>
      <c r="E405" s="45" t="inlineStr">
        <is>
          <t>100ml</t>
        </is>
      </c>
      <c r="F405" s="46" t="n">
        <v>87.95</v>
      </c>
      <c r="G405" s="45" t="inlineStr">
        <is>
          <t>hemel paris dorado</t>
        </is>
      </c>
      <c r="H405" s="47">
        <f>IFERROR(INDEX('Semrush Data'!$C$2:$C$5000,MATCH(G405,'Semrush Data'!$A$2:$A$5000,0)),"")</f>
        <v/>
      </c>
      <c r="I405" s="45">
        <f>IFERROR(INDEX('Semrush Data'!$D$2:$D$5000,MATCH(G405,'Semrush Data'!$A$2:$A$5000,0)),"")</f>
        <v/>
      </c>
      <c r="J405" s="45">
        <f>IF(OR(H405="",H405=0),"No volume",IF(I405&lt;=20,"Easier",IF(I405&lt;=35,"Medium","Hard")))</f>
        <v/>
      </c>
      <c r="K405" s="45" t="n"/>
      <c r="L405" s="47">
        <f>IF(K405="","",IFERROR(INDEX('Semrush Data'!$C$2:$C$5000,MATCH(K405,'Semrush Data'!$A$2:$A$5000,0)),""))</f>
        <v/>
      </c>
      <c r="M405" s="48" t="inlineStr">
        <is>
          <t>Hemel Paris Dorado EDP Unisex</t>
        </is>
      </c>
      <c r="N405" s="45" t="inlineStr">
        <is>
          <t>Hemel Paris Dorado EDP Unisex | Buy Online UK | Swansura</t>
        </is>
      </c>
      <c r="O405" s="45">
        <f>LEN(N405)</f>
        <v/>
      </c>
      <c r="P405" s="49" t="inlineStr">
        <is>
          <t>Buy Hemel Paris Dorado EDP Unisex 100ml for £87.95 at Swansura UK. An amber unisex eau de parfum. 100% authentic, fast UK delivery, free over £50.</t>
        </is>
      </c>
      <c r="Q405" s="45">
        <f>LEN(P405)</f>
        <v/>
      </c>
      <c r="R405" s="49" t="n"/>
    </row>
    <row r="406" ht="23.25" customHeight="1" s="37">
      <c r="A406" s="45" t="inlineStr">
        <is>
          <t>FR-246</t>
        </is>
      </c>
      <c r="B406" s="45" t="inlineStr">
        <is>
          <t>Fragrance Catalogue</t>
        </is>
      </c>
      <c r="C406" s="45" t="inlineStr">
        <is>
          <t>Hemel</t>
        </is>
      </c>
      <c r="D406" s="45" t="inlineStr">
        <is>
          <t>Hemel Paris Gris Eau De Parfum for all 100ML</t>
        </is>
      </c>
      <c r="E406" s="45" t="inlineStr">
        <is>
          <t>100ml</t>
        </is>
      </c>
      <c r="F406" s="46" t="n">
        <v>87.95</v>
      </c>
      <c r="G406" s="45" t="inlineStr">
        <is>
          <t>hemel paris gris for all</t>
        </is>
      </c>
      <c r="H406" s="47">
        <f>IFERROR(INDEX('Semrush Data'!$C$2:$C$5000,MATCH(G406,'Semrush Data'!$A$2:$A$5000,0)),"")</f>
        <v/>
      </c>
      <c r="I406" s="45">
        <f>IFERROR(INDEX('Semrush Data'!$D$2:$D$5000,MATCH(G406,'Semrush Data'!$A$2:$A$5000,0)),"")</f>
        <v/>
      </c>
      <c r="J406" s="45">
        <f>IF(OR(H406="",H406=0),"No volume",IF(I406&lt;=20,"Easier",IF(I406&lt;=35,"Medium","Hard")))</f>
        <v/>
      </c>
      <c r="K406" s="45" t="n"/>
      <c r="L406" s="47">
        <f>IF(K406="","",IFERROR(INDEX('Semrush Data'!$C$2:$C$5000,MATCH(K406,'Semrush Data'!$A$2:$A$5000,0)),""))</f>
        <v/>
      </c>
      <c r="M406" s="48" t="inlineStr">
        <is>
          <t>Hemel Paris Gris Eau De Parfum for All</t>
        </is>
      </c>
      <c r="N406" s="45" t="inlineStr">
        <is>
          <t>Hemel Paris Gris Eau De Parfum for All 100ml | Swansura UK</t>
        </is>
      </c>
      <c r="O406" s="45">
        <f>LEN(N406)</f>
        <v/>
      </c>
      <c r="P406" s="49" t="inlineStr">
        <is>
          <t>Buy Hemel Paris Gris Eau De Parfum for All 100ml for £87.95 at Swansura UK. An amber unisex eau de parfum. 100% authentic, fast UK delivery, free over £50.</t>
        </is>
      </c>
      <c r="Q406" s="45">
        <f>LEN(P406)</f>
        <v/>
      </c>
      <c r="R406" s="49" t="n"/>
    </row>
    <row r="407" ht="45.75" customHeight="1" s="37">
      <c r="A407" s="45" t="inlineStr">
        <is>
          <t>FR-247</t>
        </is>
      </c>
      <c r="B407" s="45" t="inlineStr">
        <is>
          <t>Fragrance Catalogue</t>
        </is>
      </c>
      <c r="C407" s="45" t="inlineStr">
        <is>
          <t>Hemel</t>
        </is>
      </c>
      <c r="D407" s="45" t="inlineStr">
        <is>
          <t>Hemel Patchouli For All Eau De Parfum 100ML</t>
        </is>
      </c>
      <c r="E407" s="45" t="inlineStr">
        <is>
          <t>100ml</t>
        </is>
      </c>
      <c r="F407" s="46" t="n">
        <v>87.95</v>
      </c>
      <c r="G407" s="45" t="inlineStr">
        <is>
          <t>hemel patchouli for all</t>
        </is>
      </c>
      <c r="H407" s="47">
        <f>IFERROR(INDEX('Semrush Data'!$C$2:$C$5000,MATCH(G407,'Semrush Data'!$A$2:$A$5000,0)),"")</f>
        <v/>
      </c>
      <c r="I407" s="45">
        <f>IFERROR(INDEX('Semrush Data'!$D$2:$D$5000,MATCH(G407,'Semrush Data'!$A$2:$A$5000,0)),"")</f>
        <v/>
      </c>
      <c r="J407" s="45">
        <f>IF(OR(H407="",H407=0),"No volume",IF(I407&lt;=20,"Easier",IF(I407&lt;=35,"Medium","Hard")))</f>
        <v/>
      </c>
      <c r="K407" s="45" t="n"/>
      <c r="L407" s="47">
        <f>IF(K407="","",IFERROR(INDEX('Semrush Data'!$C$2:$C$5000,MATCH(K407,'Semrush Data'!$A$2:$A$5000,0)),""))</f>
        <v/>
      </c>
      <c r="M407" s="48" t="inlineStr">
        <is>
          <t>Hemel Patchouli For All Eau De Parfum 100ml</t>
        </is>
      </c>
      <c r="N407" s="45" t="inlineStr">
        <is>
          <t>Hemel Patchouli For All Eau De Parfum 100ml | Swansura UK</t>
        </is>
      </c>
      <c r="O407" s="45">
        <f>LEN(N407)</f>
        <v/>
      </c>
      <c r="P407" s="49" t="inlineStr">
        <is>
          <t>Buy Hemel Patchouli For All Eau De Parfum 100ml for £87.95 at Swansura UK. A woody unisex eau de parfum. 100% authentic, fast UK delivery, free over £50.</t>
        </is>
      </c>
      <c r="Q407" s="45">
        <f>LEN(P407)</f>
        <v/>
      </c>
      <c r="R407" s="49" t="inlineStr">
        <is>
          <t>Shares the keyword "hemel patchouli for all" with 1 other listing(s): consider merging sizes as variants of one product; Same name and size listed at different prices (£87.95, £61.99): check size/price in the sheet</t>
        </is>
      </c>
    </row>
    <row r="408" ht="45.75" customHeight="1" s="37">
      <c r="A408" s="45" t="inlineStr">
        <is>
          <t>FR-248</t>
        </is>
      </c>
      <c r="B408" s="45" t="inlineStr">
        <is>
          <t>Fragrance Catalogue</t>
        </is>
      </c>
      <c r="C408" s="45" t="inlineStr">
        <is>
          <t>Hemel</t>
        </is>
      </c>
      <c r="D408" s="45" t="inlineStr">
        <is>
          <t>Hemel Patchouli For All Eau de Parfum 100ml – Luxury Unisex Woody Patchouli Fragrance</t>
        </is>
      </c>
      <c r="E408" s="45" t="inlineStr">
        <is>
          <t>100ml</t>
        </is>
      </c>
      <c r="F408" s="46" t="n">
        <v>61.99</v>
      </c>
      <c r="G408" s="45" t="inlineStr">
        <is>
          <t>hemel patchouli for all</t>
        </is>
      </c>
      <c r="H408" s="47">
        <f>IFERROR(INDEX('Semrush Data'!$C$2:$C$5000,MATCH(G408,'Semrush Data'!$A$2:$A$5000,0)),"")</f>
        <v/>
      </c>
      <c r="I408" s="45">
        <f>IFERROR(INDEX('Semrush Data'!$D$2:$D$5000,MATCH(G408,'Semrush Data'!$A$2:$A$5000,0)),"")</f>
        <v/>
      </c>
      <c r="J408" s="45">
        <f>IF(OR(H408="",H408=0),"No volume",IF(I408&lt;=20,"Easier",IF(I408&lt;=35,"Medium","Hard")))</f>
        <v/>
      </c>
      <c r="K408" s="45" t="n"/>
      <c r="L408" s="47">
        <f>IF(K408="","",IFERROR(INDEX('Semrush Data'!$C$2:$C$5000,MATCH(K408,'Semrush Data'!$A$2:$A$5000,0)),""))</f>
        <v/>
      </c>
      <c r="M408" s="48" t="inlineStr">
        <is>
          <t>Hemel Patchouli For All Eau de Parfum 100ml</t>
        </is>
      </c>
      <c r="N408" s="45" t="inlineStr">
        <is>
          <t>Hemel Patchouli For All Eau de Parfum 100ml | Swansura UK</t>
        </is>
      </c>
      <c r="O408" s="45">
        <f>LEN(N408)</f>
        <v/>
      </c>
      <c r="P408" s="49" t="inlineStr">
        <is>
          <t>Buy Hemel Patchouli For All Eau de Parfum 100ml for £61.99 at Swansura UK. A woody unisex eau de parfum. 100% authentic, fast UK delivery, free over £50.</t>
        </is>
      </c>
      <c r="Q408" s="45">
        <f>LEN(P408)</f>
        <v/>
      </c>
      <c r="R408" s="49" t="inlineStr">
        <is>
          <t>Shares the keyword "hemel patchouli for all" with 1 other listing(s): consider merging sizes as variants of one product; Same name and size listed at different prices (£87.95, £61.99): check size/price in the sheet</t>
        </is>
      </c>
    </row>
    <row r="409" ht="23.25" customHeight="1" s="37">
      <c r="A409" s="45" t="inlineStr">
        <is>
          <t>FR-249</t>
        </is>
      </c>
      <c r="B409" s="45" t="inlineStr">
        <is>
          <t>Fragrance Catalogue</t>
        </is>
      </c>
      <c r="C409" s="45" t="inlineStr">
        <is>
          <t>Hemel</t>
        </is>
      </c>
      <c r="D409" s="45" t="inlineStr">
        <is>
          <t>Hemel Plateado Eau de Parfum 100ml – Luxury Unisex Spicy Woody Fragrance</t>
        </is>
      </c>
      <c r="E409" s="45" t="inlineStr">
        <is>
          <t>100ml</t>
        </is>
      </c>
      <c r="F409" s="46" t="n">
        <v>49.99</v>
      </c>
      <c r="G409" s="45" t="inlineStr">
        <is>
          <t>hemel plateado</t>
        </is>
      </c>
      <c r="H409" s="47">
        <f>IFERROR(INDEX('Semrush Data'!$C$2:$C$5000,MATCH(G409,'Semrush Data'!$A$2:$A$5000,0)),"")</f>
        <v/>
      </c>
      <c r="I409" s="45">
        <f>IFERROR(INDEX('Semrush Data'!$D$2:$D$5000,MATCH(G409,'Semrush Data'!$A$2:$A$5000,0)),"")</f>
        <v/>
      </c>
      <c r="J409" s="45">
        <f>IF(OR(H409="",H409=0),"No volume",IF(I409&lt;=20,"Easier",IF(I409&lt;=35,"Medium","Hard")))</f>
        <v/>
      </c>
      <c r="K409" s="45" t="n"/>
      <c r="L409" s="47">
        <f>IF(K409="","",IFERROR(INDEX('Semrush Data'!$C$2:$C$5000,MATCH(K409,'Semrush Data'!$A$2:$A$5000,0)),""))</f>
        <v/>
      </c>
      <c r="M409" s="48" t="inlineStr">
        <is>
          <t>Hemel Plateado Eau de Parfum 100ml</t>
        </is>
      </c>
      <c r="N409" s="45" t="inlineStr">
        <is>
          <t>Hemel Plateado Eau de Parfum 100ml | Swansura UK</t>
        </is>
      </c>
      <c r="O409" s="45">
        <f>LEN(N409)</f>
        <v/>
      </c>
      <c r="P409" s="49" t="inlineStr">
        <is>
          <t>Buy Hemel Plateado Eau de Parfum 100ml for £49.99 at Swansura UK. A woody unisex eau de parfum. 100% authentic, fast UK delivery, free over £50.</t>
        </is>
      </c>
      <c r="Q409" s="45">
        <f>LEN(P409)</f>
        <v/>
      </c>
      <c r="R409" s="49" t="inlineStr">
        <is>
          <t>Shares the keyword "hemel plateado" with 1 other listing(s): consider merging sizes as variants of one product</t>
        </is>
      </c>
    </row>
    <row r="410" ht="23.25" customHeight="1" s="37">
      <c r="A410" s="45" t="inlineStr">
        <is>
          <t>FR-250</t>
        </is>
      </c>
      <c r="B410" s="45" t="inlineStr">
        <is>
          <t>Fragrance Catalogue</t>
        </is>
      </c>
      <c r="C410" s="45" t="inlineStr">
        <is>
          <t>Hemel</t>
        </is>
      </c>
      <c r="D410" s="45" t="inlineStr">
        <is>
          <t>Hemel Plateado Eau De Parfum Unisex 100ML</t>
        </is>
      </c>
      <c r="E410" s="45" t="inlineStr">
        <is>
          <t>100ml</t>
        </is>
      </c>
      <c r="F410" s="46" t="n">
        <v>87.95</v>
      </c>
      <c r="G410" s="45" t="inlineStr">
        <is>
          <t>hemel plateado</t>
        </is>
      </c>
      <c r="H410" s="47">
        <f>IFERROR(INDEX('Semrush Data'!$C$2:$C$5000,MATCH(G410,'Semrush Data'!$A$2:$A$5000,0)),"")</f>
        <v/>
      </c>
      <c r="I410" s="45">
        <f>IFERROR(INDEX('Semrush Data'!$D$2:$D$5000,MATCH(G410,'Semrush Data'!$A$2:$A$5000,0)),"")</f>
        <v/>
      </c>
      <c r="J410" s="45">
        <f>IF(OR(H410="",H410=0),"No volume",IF(I410&lt;=20,"Easier",IF(I410&lt;=35,"Medium","Hard")))</f>
        <v/>
      </c>
      <c r="K410" s="45" t="n"/>
      <c r="L410" s="47">
        <f>IF(K410="","",IFERROR(INDEX('Semrush Data'!$C$2:$C$5000,MATCH(K410,'Semrush Data'!$A$2:$A$5000,0)),""))</f>
        <v/>
      </c>
      <c r="M410" s="48" t="inlineStr">
        <is>
          <t>Hemel Plateado Eau De Parfum Unisex 100ml</t>
        </is>
      </c>
      <c r="N410" s="45" t="inlineStr">
        <is>
          <t>Hemel Plateado Eau De Parfum Unisex 100ml | Swansura UK</t>
        </is>
      </c>
      <c r="O410" s="45">
        <f>LEN(N410)</f>
        <v/>
      </c>
      <c r="P410" s="49" t="inlineStr">
        <is>
          <t>Buy Hemel Plateado Eau De Parfum Unisex 100ml for £87.95 at Swansura UK. An amber unisex eau de parfum. 100% authentic, fast UK delivery, free over £50.</t>
        </is>
      </c>
      <c r="Q410" s="45">
        <f>LEN(P410)</f>
        <v/>
      </c>
      <c r="R410" s="49" t="inlineStr">
        <is>
          <t>Shares the keyword "hemel plateado" with 1 other listing(s): consider merging sizes as variants of one product</t>
        </is>
      </c>
    </row>
    <row r="411" ht="23.25" customHeight="1" s="37">
      <c r="A411" s="45" t="inlineStr">
        <is>
          <t>FR-251</t>
        </is>
      </c>
      <c r="B411" s="45" t="inlineStr">
        <is>
          <t>Fragrance Catalogue</t>
        </is>
      </c>
      <c r="C411" s="45" t="inlineStr">
        <is>
          <t>Hemel</t>
        </is>
      </c>
      <c r="D411" s="45" t="inlineStr">
        <is>
          <t>Hemel Rosado Eau de Parfum 100ml – Luxury Unisex Floral Amber Long lasting Fragrance</t>
        </is>
      </c>
      <c r="E411" s="45" t="inlineStr">
        <is>
          <t>100ml</t>
        </is>
      </c>
      <c r="F411" s="46" t="n">
        <v>49.99</v>
      </c>
      <c r="G411" s="45" t="inlineStr">
        <is>
          <t>hemel rosado</t>
        </is>
      </c>
      <c r="H411" s="47">
        <f>IFERROR(INDEX('Semrush Data'!$C$2:$C$5000,MATCH(G411,'Semrush Data'!$A$2:$A$5000,0)),"")</f>
        <v/>
      </c>
      <c r="I411" s="45">
        <f>IFERROR(INDEX('Semrush Data'!$D$2:$D$5000,MATCH(G411,'Semrush Data'!$A$2:$A$5000,0)),"")</f>
        <v/>
      </c>
      <c r="J411" s="45">
        <f>IF(OR(H411="",H411=0),"No volume",IF(I411&lt;=20,"Easier",IF(I411&lt;=35,"Medium","Hard")))</f>
        <v/>
      </c>
      <c r="K411" s="45" t="n"/>
      <c r="L411" s="47">
        <f>IF(K411="","",IFERROR(INDEX('Semrush Data'!$C$2:$C$5000,MATCH(K411,'Semrush Data'!$A$2:$A$5000,0)),""))</f>
        <v/>
      </c>
      <c r="M411" s="48" t="inlineStr">
        <is>
          <t>Hemel Rosado Eau de Parfum 100ml</t>
        </is>
      </c>
      <c r="N411" s="45" t="inlineStr">
        <is>
          <t>Hemel Rosado Eau de Parfum 100ml | Buy Online UK | Swansura</t>
        </is>
      </c>
      <c r="O411" s="45">
        <f>LEN(N411)</f>
        <v/>
      </c>
      <c r="P411" s="49" t="inlineStr">
        <is>
          <t>Buy Hemel Rosado Eau de Parfum 100ml for £49.99 at Swansura UK. A floral unisex eau de parfum. 100% authentic, fast UK delivery, free over £50.</t>
        </is>
      </c>
      <c r="Q411" s="45">
        <f>LEN(P411)</f>
        <v/>
      </c>
      <c r="R411" s="49" t="inlineStr">
        <is>
          <t>Shares the keyword "hemel rosado" with 1 other listing(s): consider merging sizes as variants of one product</t>
        </is>
      </c>
    </row>
    <row r="412" ht="23.25" customHeight="1" s="37">
      <c r="A412" s="45" t="inlineStr">
        <is>
          <t>FR-252</t>
        </is>
      </c>
      <c r="B412" s="45" t="inlineStr">
        <is>
          <t>Fragrance Catalogue</t>
        </is>
      </c>
      <c r="C412" s="45" t="inlineStr">
        <is>
          <t>Hemel</t>
        </is>
      </c>
      <c r="D412" s="45" t="inlineStr">
        <is>
          <t>Hemel Rosado Eau De Parfum Unisex 100ML</t>
        </is>
      </c>
      <c r="E412" s="45" t="inlineStr">
        <is>
          <t>100ml</t>
        </is>
      </c>
      <c r="F412" s="46" t="n">
        <v>87.95</v>
      </c>
      <c r="G412" s="45" t="inlineStr">
        <is>
          <t>hemel rosado</t>
        </is>
      </c>
      <c r="H412" s="47">
        <f>IFERROR(INDEX('Semrush Data'!$C$2:$C$5000,MATCH(G412,'Semrush Data'!$A$2:$A$5000,0)),"")</f>
        <v/>
      </c>
      <c r="I412" s="45">
        <f>IFERROR(INDEX('Semrush Data'!$D$2:$D$5000,MATCH(G412,'Semrush Data'!$A$2:$A$5000,0)),"")</f>
        <v/>
      </c>
      <c r="J412" s="45">
        <f>IF(OR(H412="",H412=0),"No volume",IF(I412&lt;=20,"Easier",IF(I412&lt;=35,"Medium","Hard")))</f>
        <v/>
      </c>
      <c r="K412" s="45" t="n"/>
      <c r="L412" s="47">
        <f>IF(K412="","",IFERROR(INDEX('Semrush Data'!$C$2:$C$5000,MATCH(K412,'Semrush Data'!$A$2:$A$5000,0)),""))</f>
        <v/>
      </c>
      <c r="M412" s="48" t="inlineStr">
        <is>
          <t>Hemel Rosado Eau De Parfum Unisex 100ml</t>
        </is>
      </c>
      <c r="N412" s="45" t="inlineStr">
        <is>
          <t>Hemel Rosado Eau De Parfum Unisex 100ml | Swansura UK</t>
        </is>
      </c>
      <c r="O412" s="45">
        <f>LEN(N412)</f>
        <v/>
      </c>
      <c r="P412" s="49" t="inlineStr">
        <is>
          <t>Buy Hemel Rosado Eau De Parfum Unisex 100ml for £87.95 at Swansura UK. An amber unisex eau de parfum. 100% authentic, fast UK delivery, free over £50.</t>
        </is>
      </c>
      <c r="Q412" s="45">
        <f>LEN(P412)</f>
        <v/>
      </c>
      <c r="R412" s="49" t="inlineStr">
        <is>
          <t>Shares the keyword "hemel rosado" with 1 other listing(s): consider merging sizes as variants of one product</t>
        </is>
      </c>
    </row>
    <row r="413" ht="23.25" customHeight="1" s="37">
      <c r="A413" s="45" t="inlineStr">
        <is>
          <t>FR-253</t>
        </is>
      </c>
      <c r="B413" s="45" t="inlineStr">
        <is>
          <t>Fragrance Catalogue</t>
        </is>
      </c>
      <c r="C413" s="45" t="inlineStr">
        <is>
          <t>Hemel</t>
        </is>
      </c>
      <c r="D413" s="45" t="inlineStr">
        <is>
          <t>Hemel Valley of Diamond Eau de Parfum 100ml – Luxury Unisex Floral Woody Fragrance</t>
        </is>
      </c>
      <c r="E413" s="45" t="inlineStr">
        <is>
          <t>100ml</t>
        </is>
      </c>
      <c r="F413" s="46" t="n">
        <v>61.99</v>
      </c>
      <c r="G413" s="45" t="inlineStr">
        <is>
          <t>hemel valley of diamond</t>
        </is>
      </c>
      <c r="H413" s="47">
        <f>IFERROR(INDEX('Semrush Data'!$C$2:$C$5000,MATCH(G413,'Semrush Data'!$A$2:$A$5000,0)),"")</f>
        <v/>
      </c>
      <c r="I413" s="45">
        <f>IFERROR(INDEX('Semrush Data'!$D$2:$D$5000,MATCH(G413,'Semrush Data'!$A$2:$A$5000,0)),"")</f>
        <v/>
      </c>
      <c r="J413" s="45">
        <f>IF(OR(H413="",H413=0),"No volume",IF(I413&lt;=20,"Easier",IF(I413&lt;=35,"Medium","Hard")))</f>
        <v/>
      </c>
      <c r="K413" s="45" t="n"/>
      <c r="L413" s="47">
        <f>IF(K413="","",IFERROR(INDEX('Semrush Data'!$C$2:$C$5000,MATCH(K413,'Semrush Data'!$A$2:$A$5000,0)),""))</f>
        <v/>
      </c>
      <c r="M413" s="48" t="inlineStr">
        <is>
          <t>Hemel Valley of Diamond Eau de Parfum 100ml</t>
        </is>
      </c>
      <c r="N413" s="45" t="inlineStr">
        <is>
          <t>Hemel Valley of Diamond Eau de Parfum 100ml | Swansura UK</t>
        </is>
      </c>
      <c r="O413" s="45">
        <f>LEN(N413)</f>
        <v/>
      </c>
      <c r="P413" s="49" t="inlineStr">
        <is>
          <t>Buy Hemel Valley of Diamond Eau de Parfum 100ml for £61.99 at Swansura UK. A floral unisex eau de parfum. 100% authentic, fast UK delivery, free over £50.</t>
        </is>
      </c>
      <c r="Q413" s="45">
        <f>LEN(P413)</f>
        <v/>
      </c>
      <c r="R413" s="49" t="inlineStr">
        <is>
          <t>Shares the keyword "hemel valley of diamond" with 1 other listing(s): consider merging sizes as variants of one product</t>
        </is>
      </c>
    </row>
    <row r="414" ht="23.25" customHeight="1" s="37">
      <c r="A414" s="45" t="inlineStr">
        <is>
          <t>FR-254</t>
        </is>
      </c>
      <c r="B414" s="45" t="inlineStr">
        <is>
          <t>Fragrance Catalogue</t>
        </is>
      </c>
      <c r="C414" s="45" t="inlineStr">
        <is>
          <t>Hemel</t>
        </is>
      </c>
      <c r="D414" s="45" t="inlineStr">
        <is>
          <t>Hemel Valley Of Diamond Unisex Eau De Parfum 100ML</t>
        </is>
      </c>
      <c r="E414" s="45" t="inlineStr">
        <is>
          <t>100ml</t>
        </is>
      </c>
      <c r="F414" s="46" t="n">
        <v>87.95</v>
      </c>
      <c r="G414" s="45" t="inlineStr">
        <is>
          <t>hemel valley of diamond</t>
        </is>
      </c>
      <c r="H414" s="47">
        <f>IFERROR(INDEX('Semrush Data'!$C$2:$C$5000,MATCH(G414,'Semrush Data'!$A$2:$A$5000,0)),"")</f>
        <v/>
      </c>
      <c r="I414" s="45">
        <f>IFERROR(INDEX('Semrush Data'!$D$2:$D$5000,MATCH(G414,'Semrush Data'!$A$2:$A$5000,0)),"")</f>
        <v/>
      </c>
      <c r="J414" s="45">
        <f>IF(OR(H414="",H414=0),"No volume",IF(I414&lt;=20,"Easier",IF(I414&lt;=35,"Medium","Hard")))</f>
        <v/>
      </c>
      <c r="K414" s="45" t="n"/>
      <c r="L414" s="47">
        <f>IF(K414="","",IFERROR(INDEX('Semrush Data'!$C$2:$C$5000,MATCH(K414,'Semrush Data'!$A$2:$A$5000,0)),""))</f>
        <v/>
      </c>
      <c r="M414" s="48" t="inlineStr">
        <is>
          <t>Hemel Valley Of Diamond Unisex Eau De Parfum 100ml</t>
        </is>
      </c>
      <c r="N414" s="45" t="inlineStr">
        <is>
          <t>Hemel Valley Of Diamond Unisex 100ml EDP | Swansura UK</t>
        </is>
      </c>
      <c r="O414" s="45">
        <f>LEN(N414)</f>
        <v/>
      </c>
      <c r="P414" s="49" t="inlineStr">
        <is>
          <t>Hemel Valley Of Diamond Unisex Eau De Parfum 100ml for £87.95 at Swansura UK. An amber unisex eau de parfum. 100% authentic, fast UK delivery, free over £50.</t>
        </is>
      </c>
      <c r="Q414" s="45">
        <f>LEN(P414)</f>
        <v/>
      </c>
      <c r="R414" s="49" t="inlineStr">
        <is>
          <t>Shares the keyword "hemel valley of diamond" with 1 other listing(s): consider merging sizes as variants of one product</t>
        </is>
      </c>
    </row>
    <row r="415" ht="23.25" customHeight="1" s="37">
      <c r="A415" s="45" t="inlineStr">
        <is>
          <t>FR-255</t>
        </is>
      </c>
      <c r="B415" s="45" t="inlineStr">
        <is>
          <t>Fragrance Catalogue</t>
        </is>
      </c>
      <c r="C415" s="45" t="inlineStr">
        <is>
          <t>Hermes</t>
        </is>
      </c>
      <c r="D415" s="45" t="inlineStr">
        <is>
          <t>Hermès Un Jardin à Cythère Unisex EDT 15ml Miniature</t>
        </is>
      </c>
      <c r="E415" s="45" t="inlineStr">
        <is>
          <t>15ml</t>
        </is>
      </c>
      <c r="F415" s="46" t="n">
        <v>25.99</v>
      </c>
      <c r="G415" s="45" t="inlineStr">
        <is>
          <t>hermes hermes un jardin a cythere miniature</t>
        </is>
      </c>
      <c r="H415" s="47">
        <f>IFERROR(INDEX('Semrush Data'!$C$2:$C$5000,MATCH(G415,'Semrush Data'!$A$2:$A$5000,0)),"")</f>
        <v/>
      </c>
      <c r="I415" s="45">
        <f>IFERROR(INDEX('Semrush Data'!$D$2:$D$5000,MATCH(G415,'Semrush Data'!$A$2:$A$5000,0)),"")</f>
        <v/>
      </c>
      <c r="J415" s="45">
        <f>IF(OR(H415="",H415=0),"No volume",IF(I415&lt;=20,"Easier",IF(I415&lt;=35,"Medium","Hard")))</f>
        <v/>
      </c>
      <c r="K415" s="45" t="n"/>
      <c r="L415" s="47">
        <f>IF(K415="","",IFERROR(INDEX('Semrush Data'!$C$2:$C$5000,MATCH(K415,'Semrush Data'!$A$2:$A$5000,0)),""))</f>
        <v/>
      </c>
      <c r="M415" s="48" t="inlineStr">
        <is>
          <t>Hermès Un Jardin À Cythère Unisex EDT Miniature</t>
        </is>
      </c>
      <c r="N415" s="45" t="inlineStr">
        <is>
          <t>Hermès Un Jardin À Cythère Unisex Miniature | Swansura UK</t>
        </is>
      </c>
      <c r="O415" s="45">
        <f>LEN(N415)</f>
        <v/>
      </c>
      <c r="P415" s="49" t="inlineStr">
        <is>
          <t>Buy Hermès Un Jardin À Cythère Unisex EDT Miniature for £25.99 at Swansura UK. An amber unisex eau de toilette. 100% authentic, fast UK delivery, free over £50.</t>
        </is>
      </c>
      <c r="Q415" s="45">
        <f>LEN(P415)</f>
        <v/>
      </c>
      <c r="R415" s="49" t="n"/>
    </row>
    <row r="416" ht="23.25" customHeight="1" s="37">
      <c r="A416" s="45" t="inlineStr">
        <is>
          <t>FR-256</t>
        </is>
      </c>
      <c r="B416" s="45" t="inlineStr">
        <is>
          <t>Fragrance Catalogue</t>
        </is>
      </c>
      <c r="C416" s="45" t="inlineStr">
        <is>
          <t>Hollister</t>
        </is>
      </c>
      <c r="D416" s="45" t="inlineStr">
        <is>
          <t>Hollister Festival Vibes for Him Eau de Toilette 100ml – Men's Aromatic Fougere Fragrance</t>
        </is>
      </c>
      <c r="E416" s="45" t="inlineStr">
        <is>
          <t>100ml</t>
        </is>
      </c>
      <c r="F416" s="46" t="n">
        <v>21.99</v>
      </c>
      <c r="G416" s="45" t="inlineStr">
        <is>
          <t>hollister festival vibes</t>
        </is>
      </c>
      <c r="H416" s="47">
        <f>IFERROR(INDEX('Semrush Data'!$C$2:$C$5000,MATCH(G416,'Semrush Data'!$A$2:$A$5000,0)),"")</f>
        <v/>
      </c>
      <c r="I416" s="45">
        <f>IFERROR(INDEX('Semrush Data'!$D$2:$D$5000,MATCH(G416,'Semrush Data'!$A$2:$A$5000,0)),"")</f>
        <v/>
      </c>
      <c r="J416" s="45">
        <f>IF(OR(H416="",H416=0),"No volume",IF(I416&lt;=20,"Easier",IF(I416&lt;=35,"Medium","Hard")))</f>
        <v/>
      </c>
      <c r="K416" s="45" t="n"/>
      <c r="L416" s="47">
        <f>IF(K416="","",IFERROR(INDEX('Semrush Data'!$C$2:$C$5000,MATCH(K416,'Semrush Data'!$A$2:$A$5000,0)),""))</f>
        <v/>
      </c>
      <c r="M416" s="48" t="inlineStr">
        <is>
          <t>Hollister Festival Vibes for Him Eau de Toilette</t>
        </is>
      </c>
      <c r="N416" s="45" t="inlineStr">
        <is>
          <t>Hollister Festival Vibes for Him EDT 100ml | Swansura UK</t>
        </is>
      </c>
      <c r="O416" s="45">
        <f>LEN(N416)</f>
        <v/>
      </c>
      <c r="P416" s="49" t="inlineStr">
        <is>
          <t>Hollister Festival Vibes for Him Eau de Toilette for £21.99 at Swansura UK. An aromatic men's eau de toilette. 100% authentic, fast UK delivery, free over £50.</t>
        </is>
      </c>
      <c r="Q416" s="45">
        <f>LEN(P416)</f>
        <v/>
      </c>
      <c r="R416" s="49" t="n"/>
    </row>
    <row r="417" ht="23.25" customHeight="1" s="37">
      <c r="A417" s="45" t="inlineStr">
        <is>
          <t>FR-257</t>
        </is>
      </c>
      <c r="B417" s="45" t="inlineStr">
        <is>
          <t>Fragrance Catalogue</t>
        </is>
      </c>
      <c r="C417" s="45" t="inlineStr">
        <is>
          <t>HugoBoss</t>
        </is>
      </c>
      <c r="D417" s="45" t="inlineStr">
        <is>
          <t>Hugo Boss Bottled Eau de Parfum 200ml for Men</t>
        </is>
      </c>
      <c r="E417" s="45" t="inlineStr">
        <is>
          <t>200ml</t>
        </is>
      </c>
      <c r="F417" s="46" t="n">
        <v>63.99</v>
      </c>
      <c r="G417" s="45" t="inlineStr">
        <is>
          <t>hugo boss bottled</t>
        </is>
      </c>
      <c r="H417" s="47">
        <f>IFERROR(INDEX('Semrush Data'!$C$2:$C$5000,MATCH(G417,'Semrush Data'!$A$2:$A$5000,0)),"")</f>
        <v/>
      </c>
      <c r="I417" s="45">
        <f>IFERROR(INDEX('Semrush Data'!$D$2:$D$5000,MATCH(G417,'Semrush Data'!$A$2:$A$5000,0)),"")</f>
        <v/>
      </c>
      <c r="J417" s="45">
        <f>IF(OR(H417="",H417=0),"No volume",IF(I417&lt;=20,"Easier",IF(I417&lt;=35,"Medium","Hard")))</f>
        <v/>
      </c>
      <c r="K417" s="45" t="inlineStr">
        <is>
          <t>hugo boss bottled eau de parfum</t>
        </is>
      </c>
      <c r="L417" s="47">
        <f>IF(K417="","",IFERROR(INDEX('Semrush Data'!$C$2:$C$5000,MATCH(K417,'Semrush Data'!$A$2:$A$5000,0)),""))</f>
        <v/>
      </c>
      <c r="M417" s="48" t="inlineStr">
        <is>
          <t>Hugo Boss Bottled Eau de Parfum for Men</t>
        </is>
      </c>
      <c r="N417" s="45" t="inlineStr">
        <is>
          <t>Hugo Boss Bottled Eau de Parfum for Men 200ml | Swansura UK</t>
        </is>
      </c>
      <c r="O417" s="45">
        <f>LEN(N417)</f>
        <v/>
      </c>
      <c r="P417" s="49" t="inlineStr">
        <is>
          <t>Buy Hugo Boss Bottled Eau de Parfum for Men 200ml for £63.99 at Swansura UK. A woody men's eau de parfum. 100% authentic, fast UK delivery, free over £50.</t>
        </is>
      </c>
      <c r="Q417" s="45">
        <f>LEN(P417)</f>
        <v/>
      </c>
      <c r="R417" s="49" t="inlineStr">
        <is>
          <t>Spelling: Hugo Boss</t>
        </is>
      </c>
    </row>
    <row r="418" ht="23.25" customHeight="1" s="37">
      <c r="A418" s="45" t="inlineStr">
        <is>
          <t>FR-258</t>
        </is>
      </c>
      <c r="B418" s="45" t="inlineStr">
        <is>
          <t>Fragrance Catalogue</t>
        </is>
      </c>
      <c r="C418" s="45" t="inlineStr">
        <is>
          <t>HugoBoss</t>
        </is>
      </c>
      <c r="D418" s="45" t="inlineStr">
        <is>
          <t>Hugo Boss The Collection Confident Oud Eau de Parfum Intense 100ml for Men</t>
        </is>
      </c>
      <c r="E418" s="45" t="inlineStr">
        <is>
          <t>100ml</t>
        </is>
      </c>
      <c r="F418" s="46" t="n">
        <v>70.98999999999999</v>
      </c>
      <c r="G418" s="45" t="inlineStr">
        <is>
          <t>hugo boss the collection confident oud intense</t>
        </is>
      </c>
      <c r="H418" s="47">
        <f>IFERROR(INDEX('Semrush Data'!$C$2:$C$5000,MATCH(G418,'Semrush Data'!$A$2:$A$5000,0)),"")</f>
        <v/>
      </c>
      <c r="I418" s="45">
        <f>IFERROR(INDEX('Semrush Data'!$D$2:$D$5000,MATCH(G418,'Semrush Data'!$A$2:$A$5000,0)),"")</f>
        <v/>
      </c>
      <c r="J418" s="45">
        <f>IF(OR(H418="",H418=0),"No volume",IF(I418&lt;=20,"Easier",IF(I418&lt;=35,"Medium","Hard")))</f>
        <v/>
      </c>
      <c r="K418" s="45" t="n"/>
      <c r="L418" s="47">
        <f>IF(K418="","",IFERROR(INDEX('Semrush Data'!$C$2:$C$5000,MATCH(K418,'Semrush Data'!$A$2:$A$5000,0)),""))</f>
        <v/>
      </c>
      <c r="M418" s="48" t="inlineStr">
        <is>
          <t>Hugo Boss The Collection Confident Oud Eau de Parfum Intense for Men</t>
        </is>
      </c>
      <c r="N418" s="45" t="inlineStr">
        <is>
          <t>Hugo Boss The Collection Confident Oud Intense for Men | Swa</t>
        </is>
      </c>
      <c r="O418" s="45">
        <f>LEN(N418)</f>
        <v/>
      </c>
      <c r="P418" s="49" t="inlineStr">
        <is>
          <t>Buy Hugo Boss The Collection Confident Oud Eau de Parfum Intense for Men 100ml for £70.99 at Swansura UK. An oud men's eau de parfum. Free UK delivery over £50.</t>
        </is>
      </c>
      <c r="Q418" s="45">
        <f>LEN(P418)</f>
        <v/>
      </c>
      <c r="R418" s="49" t="inlineStr">
        <is>
          <t>Spelling: Hugo Boss</t>
        </is>
      </c>
    </row>
    <row r="419" ht="23.25" customHeight="1" s="37">
      <c r="A419" s="45" t="inlineStr">
        <is>
          <t>FR-259</t>
        </is>
      </c>
      <c r="B419" s="45" t="inlineStr">
        <is>
          <t>Fragrance Catalogue</t>
        </is>
      </c>
      <c r="C419" s="45" t="inlineStr">
        <is>
          <t>HugoBoss</t>
        </is>
      </c>
      <c r="D419" s="45" t="inlineStr">
        <is>
          <t>Hugo Boss BOSS The Scent Eau de Toilette 100ml Tester – Men's Warm Spicy Fragrance</t>
        </is>
      </c>
      <c r="E419" s="45" t="inlineStr">
        <is>
          <t>100ml</t>
        </is>
      </c>
      <c r="F419" s="46" t="n">
        <v>58.99</v>
      </c>
      <c r="G419" s="45" t="inlineStr">
        <is>
          <t>hugo boss boss the scent tester</t>
        </is>
      </c>
      <c r="H419" s="47">
        <f>IFERROR(INDEX('Semrush Data'!$C$2:$C$5000,MATCH(G419,'Semrush Data'!$A$2:$A$5000,0)),"")</f>
        <v/>
      </c>
      <c r="I419" s="45">
        <f>IFERROR(INDEX('Semrush Data'!$D$2:$D$5000,MATCH(G419,'Semrush Data'!$A$2:$A$5000,0)),"")</f>
        <v/>
      </c>
      <c r="J419" s="45">
        <f>IF(OR(H419="",H419=0),"No volume",IF(I419&lt;=20,"Easier",IF(I419&lt;=35,"Medium","Hard")))</f>
        <v/>
      </c>
      <c r="K419" s="45" t="n"/>
      <c r="L419" s="47">
        <f>IF(K419="","",IFERROR(INDEX('Semrush Data'!$C$2:$C$5000,MATCH(K419,'Semrush Data'!$A$2:$A$5000,0)),""))</f>
        <v/>
      </c>
      <c r="M419" s="48" t="inlineStr">
        <is>
          <t>Hugo Boss BOSS The Scent Eau de Toilette Tester</t>
        </is>
      </c>
      <c r="N419" s="45" t="inlineStr">
        <is>
          <t>Hugo Boss BOSS The Scent Tester EDT 100ml | Swansura UK</t>
        </is>
      </c>
      <c r="O419" s="45">
        <f>LEN(N419)</f>
        <v/>
      </c>
      <c r="P419" s="49" t="inlineStr">
        <is>
          <t>Buy Hugo Boss BOSS The Scent Eau de Toilette Tester 100ml for £58.99 at Swansura UK. A spicy men's eau de toilette. 100% authentic, free UK delivery over £50.</t>
        </is>
      </c>
      <c r="Q419" s="45">
        <f>LEN(P419)</f>
        <v/>
      </c>
      <c r="R419" s="49" t="inlineStr">
        <is>
          <t>Spelling: Hugo Boss</t>
        </is>
      </c>
    </row>
    <row r="420" ht="23.25" customHeight="1" s="37">
      <c r="A420" s="45" t="inlineStr">
        <is>
          <t>FR-260</t>
        </is>
      </c>
      <c r="B420" s="45" t="inlineStr">
        <is>
          <t>Fragrance Catalogue</t>
        </is>
      </c>
      <c r="C420" s="45" t="inlineStr">
        <is>
          <t>HugoBoss</t>
        </is>
      </c>
      <c r="D420" s="45" t="inlineStr">
        <is>
          <t>Hugo Boss HUGO Man Eau de Toilette 125ml for Men</t>
        </is>
      </c>
      <c r="E420" s="45" t="inlineStr">
        <is>
          <t>125ml</t>
        </is>
      </c>
      <c r="F420" s="46" t="n">
        <v>40.99</v>
      </c>
      <c r="G420" s="45" t="inlineStr">
        <is>
          <t>hugo boss hugo man</t>
        </is>
      </c>
      <c r="H420" s="47">
        <f>IFERROR(INDEX('Semrush Data'!$C$2:$C$5000,MATCH(G420,'Semrush Data'!$A$2:$A$5000,0)),"")</f>
        <v/>
      </c>
      <c r="I420" s="45">
        <f>IFERROR(INDEX('Semrush Data'!$D$2:$D$5000,MATCH(G420,'Semrush Data'!$A$2:$A$5000,0)),"")</f>
        <v/>
      </c>
      <c r="J420" s="45">
        <f>IF(OR(H420="",H420=0),"No volume",IF(I420&lt;=20,"Easier",IF(I420&lt;=35,"Medium","Hard")))</f>
        <v/>
      </c>
      <c r="K420" s="45" t="inlineStr">
        <is>
          <t>hugo boss hugo man eau de toilette</t>
        </is>
      </c>
      <c r="L420" s="47">
        <f>IF(K420="","",IFERROR(INDEX('Semrush Data'!$C$2:$C$5000,MATCH(K420,'Semrush Data'!$A$2:$A$5000,0)),""))</f>
        <v/>
      </c>
      <c r="M420" s="48" t="inlineStr">
        <is>
          <t>Hugo Boss HUGO Man Eau de Toilette for Men</t>
        </is>
      </c>
      <c r="N420" s="45" t="inlineStr">
        <is>
          <t>Hugo Boss HUGO Man for Men EDT 125ml | Swansura UK</t>
        </is>
      </c>
      <c r="O420" s="45">
        <f>LEN(N420)</f>
        <v/>
      </c>
      <c r="P420" s="49" t="inlineStr">
        <is>
          <t>Buy Hugo Boss HUGO Man Eau de Toilette for Men 125ml for £40.99 at Swansura UK. A woody men's eau de toilette. 100% authentic, fast UK delivery, free over £50.</t>
        </is>
      </c>
      <c r="Q420" s="45">
        <f>LEN(P420)</f>
        <v/>
      </c>
      <c r="R420" s="49" t="inlineStr">
        <is>
          <t>Spelling: Hugo Boss</t>
        </is>
      </c>
    </row>
    <row r="421" ht="23.25" customHeight="1" s="37">
      <c r="A421" s="45" t="inlineStr">
        <is>
          <t>FR-261</t>
        </is>
      </c>
      <c r="B421" s="45" t="inlineStr">
        <is>
          <t>Fragrance Catalogue</t>
        </is>
      </c>
      <c r="C421" s="45" t="inlineStr">
        <is>
          <t>HugoBoss</t>
        </is>
      </c>
      <c r="D421" s="45" t="inlineStr">
        <is>
          <t>Hugo Boss Alive Eau de Parfum 80ml + Body Lotion 75ml Gift Set for Women</t>
        </is>
      </c>
      <c r="E421" s="45" t="inlineStr">
        <is>
          <t>80ml + 75ml</t>
        </is>
      </c>
      <c r="F421" s="46" t="n">
        <v>64.98999999999999</v>
      </c>
      <c r="G421" s="45" t="inlineStr">
        <is>
          <t>hugo boss alive</t>
        </is>
      </c>
      <c r="H421" s="47">
        <f>IFERROR(INDEX('Semrush Data'!$C$2:$C$5000,MATCH(G421,'Semrush Data'!$A$2:$A$5000,0)),"")</f>
        <v/>
      </c>
      <c r="I421" s="45">
        <f>IFERROR(INDEX('Semrush Data'!$D$2:$D$5000,MATCH(G421,'Semrush Data'!$A$2:$A$5000,0)),"")</f>
        <v/>
      </c>
      <c r="J421" s="45">
        <f>IF(OR(H421="",H421=0),"No volume",IF(I421&lt;=20,"Easier",IF(I421&lt;=35,"Medium","Hard")))</f>
        <v/>
      </c>
      <c r="K421" s="45" t="inlineStr">
        <is>
          <t>hugo boss alive eau de parfum</t>
        </is>
      </c>
      <c r="L421" s="47">
        <f>IF(K421="","",IFERROR(INDEX('Semrush Data'!$C$2:$C$5000,MATCH(K421,'Semrush Data'!$A$2:$A$5000,0)),""))</f>
        <v/>
      </c>
      <c r="M421" s="48" t="inlineStr">
        <is>
          <t>Hugo Boss Alive Eau de Parfum</t>
        </is>
      </c>
      <c r="N421" s="45" t="inlineStr">
        <is>
          <t>Hugo Boss Alive Eau de Parfum | Buy Online UK | Swansura</t>
        </is>
      </c>
      <c r="O421" s="45">
        <f>LEN(N421)</f>
        <v/>
      </c>
      <c r="P421" s="49" t="inlineStr">
        <is>
          <t>Buy Hugo Boss Alive Eau de Parfum 80ml+75ml for £64.99 at Swansura UK. A woody women's eau de parfum. 100% authentic, fast UK delivery, free over £50.</t>
        </is>
      </c>
      <c r="Q421" s="45">
        <f>LEN(P421)</f>
        <v/>
      </c>
      <c r="R421" s="49" t="inlineStr">
        <is>
          <t>Spelling: Hugo Boss</t>
        </is>
      </c>
    </row>
    <row r="422" ht="23.25" customHeight="1" s="37">
      <c r="A422" s="45" t="inlineStr">
        <is>
          <t>FR-262</t>
        </is>
      </c>
      <c r="B422" s="45" t="inlineStr">
        <is>
          <t>Fragrance Catalogue</t>
        </is>
      </c>
      <c r="C422" s="45" t="inlineStr">
        <is>
          <t>Jean Paul</t>
        </is>
      </c>
      <c r="D422" s="45" t="inlineStr">
        <is>
          <t>Jean Paul Gaultier Scandal Gold Eau de Parfum 80ml – Luxury Women's Chypre Fragrance</t>
        </is>
      </c>
      <c r="E422" s="45" t="inlineStr">
        <is>
          <t>80ml</t>
        </is>
      </c>
      <c r="F422" s="46" t="n">
        <v>62.99</v>
      </c>
      <c r="G422" s="45" t="inlineStr">
        <is>
          <t>jean paul gaultier scandal gold</t>
        </is>
      </c>
      <c r="H422" s="47">
        <f>IFERROR(INDEX('Semrush Data'!$C$2:$C$5000,MATCH(G422,'Semrush Data'!$A$2:$A$5000,0)),"")</f>
        <v/>
      </c>
      <c r="I422" s="45">
        <f>IFERROR(INDEX('Semrush Data'!$D$2:$D$5000,MATCH(G422,'Semrush Data'!$A$2:$A$5000,0)),"")</f>
        <v/>
      </c>
      <c r="J422" s="45">
        <f>IF(OR(H422="",H422=0),"No volume",IF(I422&lt;=20,"Easier",IF(I422&lt;=35,"Medium","Hard")))</f>
        <v/>
      </c>
      <c r="K422" s="45" t="n"/>
      <c r="L422" s="47">
        <f>IF(K422="","",IFERROR(INDEX('Semrush Data'!$C$2:$C$5000,MATCH(K422,'Semrush Data'!$A$2:$A$5000,0)),""))</f>
        <v/>
      </c>
      <c r="M422" s="48" t="inlineStr">
        <is>
          <t>Jean Paul Gaultier Scandal Gold Eau de Parfum</t>
        </is>
      </c>
      <c r="N422" s="45" t="inlineStr">
        <is>
          <t>Jean Paul Gaultier Scandal Gold EDP 80ml | Swansura UK</t>
        </is>
      </c>
      <c r="O422" s="45">
        <f>LEN(N422)</f>
        <v/>
      </c>
      <c r="P422" s="49" t="inlineStr">
        <is>
          <t>Buy Jean Paul Gaultier Scandal Gold Eau de Parfum for £62.99 at Swansura UK. A chypre women's eau de parfum. 100% authentic, fast UK delivery, free over £50.</t>
        </is>
      </c>
      <c r="Q422" s="45">
        <f>LEN(P422)</f>
        <v/>
      </c>
      <c r="R422" s="49" t="n"/>
    </row>
    <row r="423" ht="23.25" customHeight="1" s="37">
      <c r="A423" s="45" t="inlineStr">
        <is>
          <t>FR-263</t>
        </is>
      </c>
      <c r="B423" s="45" t="inlineStr">
        <is>
          <t>Fragrance Catalogue</t>
        </is>
      </c>
      <c r="C423" s="45" t="inlineStr">
        <is>
          <t>Jean Paul</t>
        </is>
      </c>
      <c r="D423" s="45" t="inlineStr">
        <is>
          <t>Jean Paul Gaultier Classique Perfumed Shower Gel 200ml – Women's Body Wash</t>
        </is>
      </c>
      <c r="E423" s="45" t="inlineStr">
        <is>
          <t>200ml</t>
        </is>
      </c>
      <c r="F423" s="46" t="n">
        <v>22.99</v>
      </c>
      <c r="G423" s="45" t="inlineStr">
        <is>
          <t>jean paul gaultier classique perfumed shower gel</t>
        </is>
      </c>
      <c r="H423" s="47">
        <f>IFERROR(INDEX('Semrush Data'!$C$2:$C$5000,MATCH(G423,'Semrush Data'!$A$2:$A$5000,0)),"")</f>
        <v/>
      </c>
      <c r="I423" s="45">
        <f>IFERROR(INDEX('Semrush Data'!$D$2:$D$5000,MATCH(G423,'Semrush Data'!$A$2:$A$5000,0)),"")</f>
        <v/>
      </c>
      <c r="J423" s="45">
        <f>IF(OR(H423="",H423=0),"No volume",IF(I423&lt;=20,"Easier",IF(I423&lt;=35,"Medium","Hard")))</f>
        <v/>
      </c>
      <c r="K423" s="45" t="n"/>
      <c r="L423" s="47">
        <f>IF(K423="","",IFERROR(INDEX('Semrush Data'!$C$2:$C$5000,MATCH(K423,'Semrush Data'!$A$2:$A$5000,0)),""))</f>
        <v/>
      </c>
      <c r="M423" s="48" t="inlineStr">
        <is>
          <t>Jean Paul Gaultier Classique Perfumed Shower Gel</t>
        </is>
      </c>
      <c r="N423" s="45" t="inlineStr">
        <is>
          <t xml:space="preserve">Jean Paul Gaultier Classique Perfumed Shower Gel | Swansura </t>
        </is>
      </c>
      <c r="O423" s="45">
        <f>LEN(N423)</f>
        <v/>
      </c>
      <c r="P423" s="49" t="inlineStr">
        <is>
          <t>Buy Jean Paul Gaultier Classique Perfumed Shower Gel 200ml for £22.99 at Swansura UK. A woody women's fragrance. 100% authentic, free UK delivery over £50.</t>
        </is>
      </c>
      <c r="Q423" s="45">
        <f>LEN(P423)</f>
        <v/>
      </c>
      <c r="R423" s="49" t="n"/>
    </row>
    <row r="424" ht="23.25" customHeight="1" s="37">
      <c r="A424" s="45" t="inlineStr">
        <is>
          <t>FR-264</t>
        </is>
      </c>
      <c r="B424" s="45" t="inlineStr">
        <is>
          <t>Fragrance Catalogue</t>
        </is>
      </c>
      <c r="C424" s="45" t="inlineStr">
        <is>
          <t>Jimmy Choo</t>
        </is>
      </c>
      <c r="D424" s="45" t="inlineStr">
        <is>
          <t>Jimmy Choo I Want Choo Forever Eau de Parfum 4.5ml Miniature – Women's Floral Gourmand Fragrance</t>
        </is>
      </c>
      <c r="E424" s="45" t="inlineStr">
        <is>
          <t>4.5ml</t>
        </is>
      </c>
      <c r="F424" s="46" t="n">
        <v>14.99</v>
      </c>
      <c r="G424" s="45" t="inlineStr">
        <is>
          <t>jimmy choo i want choo forever miniature</t>
        </is>
      </c>
      <c r="H424" s="47">
        <f>IFERROR(INDEX('Semrush Data'!$C$2:$C$5000,MATCH(G424,'Semrush Data'!$A$2:$A$5000,0)),"")</f>
        <v/>
      </c>
      <c r="I424" s="45">
        <f>IFERROR(INDEX('Semrush Data'!$D$2:$D$5000,MATCH(G424,'Semrush Data'!$A$2:$A$5000,0)),"")</f>
        <v/>
      </c>
      <c r="J424" s="45">
        <f>IF(OR(H424="",H424=0),"No volume",IF(I424&lt;=20,"Easier",IF(I424&lt;=35,"Medium","Hard")))</f>
        <v/>
      </c>
      <c r="K424" s="45" t="n"/>
      <c r="L424" s="47">
        <f>IF(K424="","",IFERROR(INDEX('Semrush Data'!$C$2:$C$5000,MATCH(K424,'Semrush Data'!$A$2:$A$5000,0)),""))</f>
        <v/>
      </c>
      <c r="M424" s="48" t="inlineStr">
        <is>
          <t>Jimmy Choo I Want Choo Forever Eau de Parfum Miniature</t>
        </is>
      </c>
      <c r="N424" s="45" t="inlineStr">
        <is>
          <t>Jimmy Choo I Want Choo Forever Miniature | Swansura UK</t>
        </is>
      </c>
      <c r="O424" s="45">
        <f>LEN(N424)</f>
        <v/>
      </c>
      <c r="P424" s="49" t="inlineStr">
        <is>
          <t>Buy Jimmy Choo I Want Choo Forever Eau de Parfum Miniature for £14.99 at Swansura UK. A floral women's eau de parfum. 100% authentic, free UK delivery over £50.</t>
        </is>
      </c>
      <c r="Q424" s="45">
        <f>LEN(P424)</f>
        <v/>
      </c>
      <c r="R424" s="49" t="n"/>
    </row>
    <row r="425" ht="23.25" customHeight="1" s="37">
      <c r="A425" s="45" t="inlineStr">
        <is>
          <t>FR-265</t>
        </is>
      </c>
      <c r="B425" s="45" t="inlineStr">
        <is>
          <t>Fragrance Catalogue</t>
        </is>
      </c>
      <c r="C425" s="45" t="inlineStr">
        <is>
          <t>Jimmy Choo</t>
        </is>
      </c>
      <c r="D425" s="45" t="inlineStr">
        <is>
          <t>Jimmy Choo Women's Miniature Fragrance Gift Set 5x4.5ml – 5 Piece Perfume Collection</t>
        </is>
      </c>
      <c r="E425" s="45" t="inlineStr">
        <is>
          <t>5ml</t>
        </is>
      </c>
      <c r="F425" s="46" t="n">
        <v>42.99</v>
      </c>
      <c r="G425" s="45" t="inlineStr">
        <is>
          <t>jimmy choo miniature gift set 5x4.</t>
        </is>
      </c>
      <c r="H425" s="47">
        <f>IFERROR(INDEX('Semrush Data'!$C$2:$C$5000,MATCH(G425,'Semrush Data'!$A$2:$A$5000,0)),"")</f>
        <v/>
      </c>
      <c r="I425" s="45">
        <f>IFERROR(INDEX('Semrush Data'!$D$2:$D$5000,MATCH(G425,'Semrush Data'!$A$2:$A$5000,0)),"")</f>
        <v/>
      </c>
      <c r="J425" s="45">
        <f>IF(OR(H425="",H425=0),"No volume",IF(I425&lt;=20,"Easier",IF(I425&lt;=35,"Medium","Hard")))</f>
        <v/>
      </c>
      <c r="K425" s="45" t="n"/>
      <c r="L425" s="47">
        <f>IF(K425="","",IFERROR(INDEX('Semrush Data'!$C$2:$C$5000,MATCH(K425,'Semrush Data'!$A$2:$A$5000,0)),""))</f>
        <v/>
      </c>
      <c r="M425" s="48" t="inlineStr">
        <is>
          <t>Jimmy Choo Women's Miniature Fragrance Gift Set 5x4.</t>
        </is>
      </c>
      <c r="N425" s="45" t="inlineStr">
        <is>
          <t>Jimmy Choo Women's Miniature Fragrance Gift Set 5x4. | Swans</t>
        </is>
      </c>
      <c r="O425" s="45">
        <f>LEN(N425)</f>
        <v/>
      </c>
      <c r="P425" s="49" t="inlineStr">
        <is>
          <t>Jimmy Choo Women's Miniature Fragrance Gift Set 5x4. for £42.99 at Swansura UK. A woody women's fragrance gift set. 100% authentic, free UK delivery over £50.</t>
        </is>
      </c>
      <c r="Q425" s="45">
        <f>LEN(P425)</f>
        <v/>
      </c>
      <c r="R425" s="49" t="n"/>
    </row>
    <row r="426" ht="23.25" customHeight="1" s="37">
      <c r="A426" s="45" t="inlineStr">
        <is>
          <t>FR-266</t>
        </is>
      </c>
      <c r="B426" s="45" t="inlineStr">
        <is>
          <t>Fragrance Catalogue</t>
        </is>
      </c>
      <c r="C426" s="45" t="inlineStr">
        <is>
          <t>Jo Milano</t>
        </is>
      </c>
      <c r="D426" s="45" t="inlineStr">
        <is>
          <t>Jo Milano Game Of Spades Queen for Unisex Perfume Spray 100 ml</t>
        </is>
      </c>
      <c r="E426" s="45" t="inlineStr">
        <is>
          <t>100 ml</t>
        </is>
      </c>
      <c r="F426" s="46" t="n">
        <v>83.98999999999999</v>
      </c>
      <c r="G426" s="45" t="inlineStr">
        <is>
          <t>jo milano game of spades queen for</t>
        </is>
      </c>
      <c r="H426" s="47">
        <f>IFERROR(INDEX('Semrush Data'!$C$2:$C$5000,MATCH(G426,'Semrush Data'!$A$2:$A$5000,0)),"")</f>
        <v/>
      </c>
      <c r="I426" s="45">
        <f>IFERROR(INDEX('Semrush Data'!$D$2:$D$5000,MATCH(G426,'Semrush Data'!$A$2:$A$5000,0)),"")</f>
        <v/>
      </c>
      <c r="J426" s="45">
        <f>IF(OR(H426="",H426=0),"No volume",IF(I426&lt;=20,"Easier",IF(I426&lt;=35,"Medium","Hard")))</f>
        <v/>
      </c>
      <c r="K426" s="45" t="n"/>
      <c r="L426" s="47">
        <f>IF(K426="","",IFERROR(INDEX('Semrush Data'!$C$2:$C$5000,MATCH(K426,'Semrush Data'!$A$2:$A$5000,0)),""))</f>
        <v/>
      </c>
      <c r="M426" s="48" t="inlineStr">
        <is>
          <t>Jo Milano Game Of Spades Queen for Unisex Perfume Spray</t>
        </is>
      </c>
      <c r="N426" s="45" t="inlineStr">
        <is>
          <t>Jo Milano Game Of Spades Queen for Unisex Perfume Spray | Sw</t>
        </is>
      </c>
      <c r="O426" s="45">
        <f>LEN(N426)</f>
        <v/>
      </c>
      <c r="P426" s="49" t="inlineStr">
        <is>
          <t>Jo Milano Game Of Spades Queen for Unisex Perfume Spray for £83.99 at Swansura UK. An amber unisex fragrance. 100% authentic, fast UK delivery, free over £50.</t>
        </is>
      </c>
      <c r="Q426" s="45">
        <f>LEN(P426)</f>
        <v/>
      </c>
      <c r="R426" s="49" t="n"/>
    </row>
    <row r="427" ht="23.25" customHeight="1" s="37">
      <c r="A427" s="45" t="inlineStr">
        <is>
          <t>FR-267</t>
        </is>
      </c>
      <c r="B427" s="45" t="inlineStr">
        <is>
          <t>Fragrance Catalogue</t>
        </is>
      </c>
      <c r="C427" s="45" t="inlineStr">
        <is>
          <t>Jo Milano</t>
        </is>
      </c>
      <c r="D427" s="45" t="inlineStr">
        <is>
          <t>Jo Milano Game Of Spades Wildcard for Unisex Parfum Spray, 3.4 Ounce</t>
        </is>
      </c>
      <c r="E427" s="45" t="inlineStr">
        <is>
          <t>Not specified</t>
        </is>
      </c>
      <c r="F427" s="46" t="n">
        <v>88.98999999999999</v>
      </c>
      <c r="G427" s="45" t="inlineStr">
        <is>
          <t>jo milano game of spades wildcard for parfum , 3.4 ounce</t>
        </is>
      </c>
      <c r="H427" s="47">
        <f>IFERROR(INDEX('Semrush Data'!$C$2:$C$5000,MATCH(G427,'Semrush Data'!$A$2:$A$5000,0)),"")</f>
        <v/>
      </c>
      <c r="I427" s="45">
        <f>IFERROR(INDEX('Semrush Data'!$D$2:$D$5000,MATCH(G427,'Semrush Data'!$A$2:$A$5000,0)),"")</f>
        <v/>
      </c>
      <c r="J427" s="45">
        <f>IF(OR(H427="",H427=0),"No volume",IF(I427&lt;=20,"Easier",IF(I427&lt;=35,"Medium","Hard")))</f>
        <v/>
      </c>
      <c r="K427" s="45" t="n"/>
      <c r="L427" s="47">
        <f>IF(K427="","",IFERROR(INDEX('Semrush Data'!$C$2:$C$5000,MATCH(K427,'Semrush Data'!$A$2:$A$5000,0)),""))</f>
        <v/>
      </c>
      <c r="M427" s="48" t="inlineStr">
        <is>
          <t>Jo Milano Game Of Spades Wildcard for Unisex Parfum Spray, 3.4 Ounce</t>
        </is>
      </c>
      <c r="N427" s="45" t="inlineStr">
        <is>
          <t>Jo Milano Game Of Spades Wildcard for Unisex Spray, 3.4 Ounc</t>
        </is>
      </c>
      <c r="O427" s="45">
        <f>LEN(N427)</f>
        <v/>
      </c>
      <c r="P427" s="49" t="inlineStr">
        <is>
          <t>Buy Jo Milano Game Of Spades Wildcard for Unisex Parfum Spray, 3.4 Ounce for £88.99 at Swansura UK. An amber unisex parfum. Free UK delivery over £50.</t>
        </is>
      </c>
      <c r="Q427" s="45">
        <f>LEN(P427)</f>
        <v/>
      </c>
      <c r="R427" s="49" t="n"/>
    </row>
    <row r="428" ht="23.25" customHeight="1" s="37">
      <c r="A428" s="45" t="inlineStr">
        <is>
          <t>FR-268</t>
        </is>
      </c>
      <c r="B428" s="45" t="inlineStr">
        <is>
          <t>Fragrance Catalogue</t>
        </is>
      </c>
      <c r="C428" s="45" t="inlineStr">
        <is>
          <t>john varvatos</t>
        </is>
      </c>
      <c r="D428" s="45" t="inlineStr">
        <is>
          <t>John Varvatos Artisan Eau de Toilette 75ml – Men's Citrus Woody Long lasting Fragrance</t>
        </is>
      </c>
      <c r="E428" s="45" t="inlineStr">
        <is>
          <t>75ml</t>
        </is>
      </c>
      <c r="F428" s="46" t="n">
        <v>32.99</v>
      </c>
      <c r="G428" s="45" t="inlineStr">
        <is>
          <t>john varvatos artisan</t>
        </is>
      </c>
      <c r="H428" s="47">
        <f>IFERROR(INDEX('Semrush Data'!$C$2:$C$5000,MATCH(G428,'Semrush Data'!$A$2:$A$5000,0)),"")</f>
        <v/>
      </c>
      <c r="I428" s="45">
        <f>IFERROR(INDEX('Semrush Data'!$D$2:$D$5000,MATCH(G428,'Semrush Data'!$A$2:$A$5000,0)),"")</f>
        <v/>
      </c>
      <c r="J428" s="45">
        <f>IF(OR(H428="",H428=0),"No volume",IF(I428&lt;=20,"Easier",IF(I428&lt;=35,"Medium","Hard")))</f>
        <v/>
      </c>
      <c r="K428" s="45" t="inlineStr">
        <is>
          <t>john varvatos artisan eau de toilette</t>
        </is>
      </c>
      <c r="L428" s="47">
        <f>IF(K428="","",IFERROR(INDEX('Semrush Data'!$C$2:$C$5000,MATCH(K428,'Semrush Data'!$A$2:$A$5000,0)),""))</f>
        <v/>
      </c>
      <c r="M428" s="48" t="inlineStr">
        <is>
          <t>John Varvatos Artisan Eau de Toilette</t>
        </is>
      </c>
      <c r="N428" s="45" t="inlineStr">
        <is>
          <t>John Varvatos Artisan Eau de Toilette 75ml | Swansura UK</t>
        </is>
      </c>
      <c r="O428" s="45">
        <f>LEN(N428)</f>
        <v/>
      </c>
      <c r="P428" s="49" t="inlineStr">
        <is>
          <t>Buy John Varvatos Artisan Eau de Toilette 75ml for £32.99 at Swansura UK. A woody men's eau de toilette. 100% authentic, fast UK delivery, free over £50.</t>
        </is>
      </c>
      <c r="Q428" s="45">
        <f>LEN(P428)</f>
        <v/>
      </c>
      <c r="R428" s="49" t="n"/>
    </row>
    <row r="429" ht="23.25" customHeight="1" s="37">
      <c r="A429" s="45" t="inlineStr">
        <is>
          <t>FR-269</t>
        </is>
      </c>
      <c r="B429" s="45" t="inlineStr">
        <is>
          <t>Fragrance Catalogue</t>
        </is>
      </c>
      <c r="C429" s="45" t="inlineStr">
        <is>
          <t>joop homme</t>
        </is>
      </c>
      <c r="D429" s="45" t="inlineStr">
        <is>
          <t>Joop! Homme Eau de Toilette 200ml – Men's Warm Spicy Long lasting Fragrance</t>
        </is>
      </c>
      <c r="E429" s="45" t="inlineStr">
        <is>
          <t>200ml</t>
        </is>
      </c>
      <c r="F429" s="46" t="n">
        <v>34.99</v>
      </c>
      <c r="G429" s="45" t="inlineStr">
        <is>
          <t>joop! homme</t>
        </is>
      </c>
      <c r="H429" s="47">
        <f>IFERROR(INDEX('Semrush Data'!$C$2:$C$5000,MATCH(G429,'Semrush Data'!$A$2:$A$5000,0)),"")</f>
        <v/>
      </c>
      <c r="I429" s="45">
        <f>IFERROR(INDEX('Semrush Data'!$D$2:$D$5000,MATCH(G429,'Semrush Data'!$A$2:$A$5000,0)),"")</f>
        <v/>
      </c>
      <c r="J429" s="45">
        <f>IF(OR(H429="",H429=0),"No volume",IF(I429&lt;=20,"Easier",IF(I429&lt;=35,"Medium","Hard")))</f>
        <v/>
      </c>
      <c r="K429" s="45" t="inlineStr">
        <is>
          <t>joop! homme eau de toilette</t>
        </is>
      </c>
      <c r="L429" s="47">
        <f>IF(K429="","",IFERROR(INDEX('Semrush Data'!$C$2:$C$5000,MATCH(K429,'Semrush Data'!$A$2:$A$5000,0)),""))</f>
        <v/>
      </c>
      <c r="M429" s="48" t="inlineStr">
        <is>
          <t>Joop! Homme Eau de Toilette</t>
        </is>
      </c>
      <c r="N429" s="45" t="inlineStr">
        <is>
          <t>Joop! Homme Eau de Toilette 200ml | Buy Online UK | Swansura</t>
        </is>
      </c>
      <c r="O429" s="45">
        <f>LEN(N429)</f>
        <v/>
      </c>
      <c r="P429" s="49" t="inlineStr">
        <is>
          <t>Buy Joop! Homme Eau de Toilette 200ml for £34.99 at Swansura UK. A spicy men's eau de toilette. 100% authentic, fast UK delivery, free over £50.</t>
        </is>
      </c>
      <c r="Q429" s="45">
        <f>LEN(P429)</f>
        <v/>
      </c>
      <c r="R429" s="49" t="n"/>
    </row>
    <row r="430" ht="23.25" customHeight="1" s="37">
      <c r="A430" s="45" t="inlineStr">
        <is>
          <t>FR-270</t>
        </is>
      </c>
      <c r="B430" s="45" t="inlineStr">
        <is>
          <t>Fragrance Catalogue</t>
        </is>
      </c>
      <c r="C430" s="45" t="inlineStr">
        <is>
          <t>joop homme</t>
        </is>
      </c>
      <c r="D430" s="45" t="inlineStr">
        <is>
          <t>Joop! Homme Le Parfum 75ml – Men's Warm Spicy Amber Long lasting Fragrance</t>
        </is>
      </c>
      <c r="E430" s="45" t="inlineStr">
        <is>
          <t>75ml</t>
        </is>
      </c>
      <c r="F430" s="46" t="n">
        <v>32.99</v>
      </c>
      <c r="G430" s="45" t="inlineStr">
        <is>
          <t>joop! homme le</t>
        </is>
      </c>
      <c r="H430" s="47">
        <f>IFERROR(INDEX('Semrush Data'!$C$2:$C$5000,MATCH(G430,'Semrush Data'!$A$2:$A$5000,0)),"")</f>
        <v/>
      </c>
      <c r="I430" s="45">
        <f>IFERROR(INDEX('Semrush Data'!$D$2:$D$5000,MATCH(G430,'Semrush Data'!$A$2:$A$5000,0)),"")</f>
        <v/>
      </c>
      <c r="J430" s="45">
        <f>IF(OR(H430="",H430=0),"No volume",IF(I430&lt;=20,"Easier",IF(I430&lt;=35,"Medium","Hard")))</f>
        <v/>
      </c>
      <c r="K430" s="45" t="n"/>
      <c r="L430" s="47">
        <f>IF(K430="","",IFERROR(INDEX('Semrush Data'!$C$2:$C$5000,MATCH(K430,'Semrush Data'!$A$2:$A$5000,0)),""))</f>
        <v/>
      </c>
      <c r="M430" s="48" t="inlineStr">
        <is>
          <t>Joop! Homme Le Parfum</t>
        </is>
      </c>
      <c r="N430" s="45" t="inlineStr">
        <is>
          <t>Joop! Homme Le Parfum 75ml | Buy Online UK | Swansura</t>
        </is>
      </c>
      <c r="O430" s="45">
        <f>LEN(N430)</f>
        <v/>
      </c>
      <c r="P430" s="49" t="inlineStr">
        <is>
          <t>Buy Joop! Homme Le Parfum 75ml for £32.99 at Swansura UK. An amber men's parfum. 100% authentic, fast UK delivery, free over £50.</t>
        </is>
      </c>
      <c r="Q430" s="45">
        <f>LEN(P430)</f>
        <v/>
      </c>
      <c r="R430" s="49" t="n"/>
    </row>
    <row r="431" ht="34.5" customHeight="1" s="37">
      <c r="A431" s="45" t="inlineStr">
        <is>
          <t>FR-271</t>
        </is>
      </c>
      <c r="B431" s="45" t="inlineStr">
        <is>
          <t>Fragrance Catalogue</t>
        </is>
      </c>
      <c r="C431" s="45" t="inlineStr">
        <is>
          <t>Juicy Couture</t>
        </is>
      </c>
      <c r="D431" s="45" t="inlineStr">
        <is>
          <t>Juicy Couture Viva La Juicy Rosé Eau de Parfum 50ml – Women's Floral Fruity Fragrance</t>
        </is>
      </c>
      <c r="E431" s="45" t="inlineStr">
        <is>
          <t>50ml</t>
        </is>
      </c>
      <c r="F431" s="46" t="n">
        <v>31.99</v>
      </c>
      <c r="G431" s="45" t="inlineStr">
        <is>
          <t>juicy couture viva la juicy rose</t>
        </is>
      </c>
      <c r="H431" s="47">
        <f>IFERROR(INDEX('Semrush Data'!$C$2:$C$5000,MATCH(G431,'Semrush Data'!$A$2:$A$5000,0)),"")</f>
        <v/>
      </c>
      <c r="I431" s="45">
        <f>IFERROR(INDEX('Semrush Data'!$D$2:$D$5000,MATCH(G431,'Semrush Data'!$A$2:$A$5000,0)),"")</f>
        <v/>
      </c>
      <c r="J431" s="45">
        <f>IF(OR(H431="",H431=0),"No volume",IF(I431&lt;=20,"Easier",IF(I431&lt;=35,"Medium","Hard")))</f>
        <v/>
      </c>
      <c r="K431" s="45" t="n"/>
      <c r="L431" s="47">
        <f>IF(K431="","",IFERROR(INDEX('Semrush Data'!$C$2:$C$5000,MATCH(K431,'Semrush Data'!$A$2:$A$5000,0)),""))</f>
        <v/>
      </c>
      <c r="M431" s="48" t="inlineStr">
        <is>
          <t>Juicy Couture Viva La Juicy Rosé Eau de Parfum 50ml</t>
        </is>
      </c>
      <c r="N431" s="45" t="inlineStr">
        <is>
          <t>Juicy Couture Viva La Juicy Rosé 50ml EDP | Swansura UK</t>
        </is>
      </c>
      <c r="O431" s="45">
        <f>LEN(N431)</f>
        <v/>
      </c>
      <c r="P431" s="49" t="inlineStr">
        <is>
          <t>Juicy Couture Viva La Juicy Rosé Eau de Parfum 50ml for £31.99 at Swansura UK. A floral women's eau de parfum. 100% authentic, fast UK delivery, free over £50.</t>
        </is>
      </c>
      <c r="Q431" s="45">
        <f>LEN(P431)</f>
        <v/>
      </c>
      <c r="R431" s="49" t="inlineStr">
        <is>
          <t>Shares the keyword "juicy couture viva la juicy rose" with 2 other listing(s): consider merging sizes as variants of one product</t>
        </is>
      </c>
    </row>
    <row r="432" ht="45.75" customHeight="1" s="37">
      <c r="A432" s="45" t="inlineStr">
        <is>
          <t>FR-272</t>
        </is>
      </c>
      <c r="B432" s="45" t="inlineStr">
        <is>
          <t>Fragrance Catalogue</t>
        </is>
      </c>
      <c r="C432" s="45" t="inlineStr">
        <is>
          <t>Juicy Couture</t>
        </is>
      </c>
      <c r="D432" s="45" t="inlineStr">
        <is>
          <t>Juicy Couture Viva La Juicy Rosé Eau de Parfum – Women's Floral Fruity Fragrance</t>
        </is>
      </c>
      <c r="E432" s="45" t="inlineStr">
        <is>
          <t>50ml</t>
        </is>
      </c>
      <c r="F432" s="46" t="n">
        <v>39.99</v>
      </c>
      <c r="G432" s="45" t="inlineStr">
        <is>
          <t>juicy couture viva la juicy rose</t>
        </is>
      </c>
      <c r="H432" s="47">
        <f>IFERROR(INDEX('Semrush Data'!$C$2:$C$5000,MATCH(G432,'Semrush Data'!$A$2:$A$5000,0)),"")</f>
        <v/>
      </c>
      <c r="I432" s="45">
        <f>IFERROR(INDEX('Semrush Data'!$D$2:$D$5000,MATCH(G432,'Semrush Data'!$A$2:$A$5000,0)),"")</f>
        <v/>
      </c>
      <c r="J432" s="45">
        <f>IF(OR(H432="",H432=0),"No volume",IF(I432&lt;=20,"Easier",IF(I432&lt;=35,"Medium","Hard")))</f>
        <v/>
      </c>
      <c r="K432" s="45" t="n"/>
      <c r="L432" s="47">
        <f>IF(K432="","",IFERROR(INDEX('Semrush Data'!$C$2:$C$5000,MATCH(K432,'Semrush Data'!$A$2:$A$5000,0)),""))</f>
        <v/>
      </c>
      <c r="M432" s="48" t="inlineStr">
        <is>
          <t>Juicy Couture Viva La Juicy Rosé Eau de Parfum 50ml</t>
        </is>
      </c>
      <c r="N432" s="45" t="inlineStr">
        <is>
          <t>Juicy Couture Viva La Juicy Rosé 50ml EDP | Swansura UK</t>
        </is>
      </c>
      <c r="O432" s="45">
        <f>LEN(N432)</f>
        <v/>
      </c>
      <c r="P432" s="49" t="inlineStr">
        <is>
          <t>Juicy Couture Viva La Juicy Rosé Eau de Parfum 50ml for £39.99 at Swansura UK. A floral women's eau de parfum. 100% authentic, fast UK delivery, free over £50.</t>
        </is>
      </c>
      <c r="Q432" s="45">
        <f>LEN(P432)</f>
        <v/>
      </c>
      <c r="R432" s="49" t="inlineStr">
        <is>
          <t>Shares the keyword "juicy couture viva la juicy rose" with 2 other listing(s): consider merging sizes as variants of one product; Same name and size listed at different prices (£39.99, £31.99): check size/price in the sheet</t>
        </is>
      </c>
    </row>
    <row r="433" ht="45.75" customHeight="1" s="37">
      <c r="A433" s="45" t="inlineStr">
        <is>
          <t>FR-273</t>
        </is>
      </c>
      <c r="B433" s="45" t="inlineStr">
        <is>
          <t>Fragrance Catalogue</t>
        </is>
      </c>
      <c r="C433" s="45" t="inlineStr">
        <is>
          <t>Juicy Couture</t>
        </is>
      </c>
      <c r="D433" s="45" t="inlineStr">
        <is>
          <t>Juicy Couture Viva La Juicy Rosé Eau de Parfum – Women's Floral Fruity Fragrance</t>
        </is>
      </c>
      <c r="E433" s="45" t="inlineStr">
        <is>
          <t>50ml</t>
        </is>
      </c>
      <c r="F433" s="46" t="n">
        <v>31.99</v>
      </c>
      <c r="G433" s="45" t="inlineStr">
        <is>
          <t>juicy couture viva la juicy rose</t>
        </is>
      </c>
      <c r="H433" s="47">
        <f>IFERROR(INDEX('Semrush Data'!$C$2:$C$5000,MATCH(G433,'Semrush Data'!$A$2:$A$5000,0)),"")</f>
        <v/>
      </c>
      <c r="I433" s="45">
        <f>IFERROR(INDEX('Semrush Data'!$D$2:$D$5000,MATCH(G433,'Semrush Data'!$A$2:$A$5000,0)),"")</f>
        <v/>
      </c>
      <c r="J433" s="45">
        <f>IF(OR(H433="",H433=0),"No volume",IF(I433&lt;=20,"Easier",IF(I433&lt;=35,"Medium","Hard")))</f>
        <v/>
      </c>
      <c r="K433" s="45" t="n"/>
      <c r="L433" s="47">
        <f>IF(K433="","",IFERROR(INDEX('Semrush Data'!$C$2:$C$5000,MATCH(K433,'Semrush Data'!$A$2:$A$5000,0)),""))</f>
        <v/>
      </c>
      <c r="M433" s="48" t="inlineStr">
        <is>
          <t>Juicy Couture Viva La Juicy Rosé Eau de Parfum 50ml</t>
        </is>
      </c>
      <c r="N433" s="45" t="inlineStr">
        <is>
          <t>Juicy Couture Viva La Juicy Rosé 50ml EDP | Swansura UK</t>
        </is>
      </c>
      <c r="O433" s="45">
        <f>LEN(N433)</f>
        <v/>
      </c>
      <c r="P433" s="49" t="inlineStr">
        <is>
          <t>Juicy Couture Viva La Juicy Rosé Eau de Parfum 50ml for £31.99 at Swansura UK. A floral women's eau de parfum. 100% authentic, fast UK delivery, free over £50.</t>
        </is>
      </c>
      <c r="Q433" s="45">
        <f>LEN(P433)</f>
        <v/>
      </c>
      <c r="R433" s="49" t="inlineStr">
        <is>
          <t>Shares the keyword "juicy couture viva la juicy rose" with 2 other listing(s): consider merging sizes as variants of one product; Same name and size listed at different prices (£39.99, £31.99): check size/price in the sheet</t>
        </is>
      </c>
    </row>
    <row r="434" ht="23.25" customHeight="1" s="37">
      <c r="A434" s="45" t="inlineStr">
        <is>
          <t>FR-274</t>
        </is>
      </c>
      <c r="B434" s="45" t="inlineStr">
        <is>
          <t>Fragrance Catalogue</t>
        </is>
      </c>
      <c r="C434" s="45" t="inlineStr">
        <is>
          <t>Kenneth Cole</t>
        </is>
      </c>
      <c r="D434" s="45" t="inlineStr">
        <is>
          <t>Kenneth Cole Moonlight Blue Eau de Toilette 100ml – Men's Fresh Woody Fragrance</t>
        </is>
      </c>
      <c r="E434" s="45" t="inlineStr">
        <is>
          <t>100ml</t>
        </is>
      </c>
      <c r="F434" s="46" t="n">
        <v>31.99</v>
      </c>
      <c r="G434" s="45" t="inlineStr">
        <is>
          <t>kenneth cole moonlight blue</t>
        </is>
      </c>
      <c r="H434" s="47">
        <f>IFERROR(INDEX('Semrush Data'!$C$2:$C$5000,MATCH(G434,'Semrush Data'!$A$2:$A$5000,0)),"")</f>
        <v/>
      </c>
      <c r="I434" s="45">
        <f>IFERROR(INDEX('Semrush Data'!$D$2:$D$5000,MATCH(G434,'Semrush Data'!$A$2:$A$5000,0)),"")</f>
        <v/>
      </c>
      <c r="J434" s="45">
        <f>IF(OR(H434="",H434=0),"No volume",IF(I434&lt;=20,"Easier",IF(I434&lt;=35,"Medium","Hard")))</f>
        <v/>
      </c>
      <c r="K434" s="45" t="n"/>
      <c r="L434" s="47">
        <f>IF(K434="","",IFERROR(INDEX('Semrush Data'!$C$2:$C$5000,MATCH(K434,'Semrush Data'!$A$2:$A$5000,0)),""))</f>
        <v/>
      </c>
      <c r="M434" s="48" t="inlineStr">
        <is>
          <t>Kenneth Cole Moonlight Blue Eau de Toilette</t>
        </is>
      </c>
      <c r="N434" s="45" t="inlineStr">
        <is>
          <t>Kenneth Cole Moonlight Blue EDT 100ml | Swansura UK</t>
        </is>
      </c>
      <c r="O434" s="45">
        <f>LEN(N434)</f>
        <v/>
      </c>
      <c r="P434" s="49" t="inlineStr">
        <is>
          <t>Buy Kenneth Cole Moonlight Blue Eau de Toilette 100ml for £31.99 at Swansura UK. A woody men's eau de toilette. 100% authentic, fast UK delivery, free over £50.</t>
        </is>
      </c>
      <c r="Q434" s="45">
        <f>LEN(P434)</f>
        <v/>
      </c>
      <c r="R434" s="49" t="n"/>
    </row>
    <row r="435" ht="23.25" customHeight="1" s="37">
      <c r="A435" s="45" t="inlineStr">
        <is>
          <t>FR-275</t>
        </is>
      </c>
      <c r="B435" s="45" t="inlineStr">
        <is>
          <t>Fragrance Catalogue</t>
        </is>
      </c>
      <c r="C435" s="45" t="inlineStr">
        <is>
          <t>Korloff</t>
        </is>
      </c>
      <c r="D435" s="45" t="inlineStr">
        <is>
          <t>Korloff Cuir Mythique Eau De Parfum 100ML</t>
        </is>
      </c>
      <c r="E435" s="45" t="inlineStr">
        <is>
          <t>100ml</t>
        </is>
      </c>
      <c r="F435" s="46" t="n">
        <v>82.98999999999999</v>
      </c>
      <c r="G435" s="45" t="inlineStr">
        <is>
          <t>korloff cuir mythique</t>
        </is>
      </c>
      <c r="H435" s="47">
        <f>IFERROR(INDEX('Semrush Data'!$C$2:$C$5000,MATCH(G435,'Semrush Data'!$A$2:$A$5000,0)),"")</f>
        <v/>
      </c>
      <c r="I435" s="45">
        <f>IFERROR(INDEX('Semrush Data'!$D$2:$D$5000,MATCH(G435,'Semrush Data'!$A$2:$A$5000,0)),"")</f>
        <v/>
      </c>
      <c r="J435" s="45">
        <f>IF(OR(H435="",H435=0),"No volume",IF(I435&lt;=20,"Easier",IF(I435&lt;=35,"Medium","Hard")))</f>
        <v/>
      </c>
      <c r="K435" s="45" t="n"/>
      <c r="L435" s="47">
        <f>IF(K435="","",IFERROR(INDEX('Semrush Data'!$C$2:$C$5000,MATCH(K435,'Semrush Data'!$A$2:$A$5000,0)),""))</f>
        <v/>
      </c>
      <c r="M435" s="48" t="inlineStr">
        <is>
          <t>Korloff Cuir Mythique Eau De Parfum</t>
        </is>
      </c>
      <c r="N435" s="45" t="inlineStr">
        <is>
          <t>Korloff Cuir Mythique Eau De Parfum 100ml | Swansura UK</t>
        </is>
      </c>
      <c r="O435" s="45">
        <f>LEN(N435)</f>
        <v/>
      </c>
      <c r="P435" s="49" t="inlineStr">
        <is>
          <t>Buy Korloff Cuir Mythique Eau De Parfum 100ml for £82.99 at Swansura UK. An amber unisex eau de parfum. 100% authentic, fast UK delivery, free over £50.</t>
        </is>
      </c>
      <c r="Q435" s="45">
        <f>LEN(P435)</f>
        <v/>
      </c>
      <c r="R435" s="49" t="n"/>
    </row>
    <row r="436" ht="23.25" customHeight="1" s="37">
      <c r="A436" s="45" t="inlineStr">
        <is>
          <t>FR-276</t>
        </is>
      </c>
      <c r="B436" s="45" t="inlineStr">
        <is>
          <t>Fragrance Catalogue</t>
        </is>
      </c>
      <c r="C436" s="45" t="inlineStr">
        <is>
          <t>Korloff</t>
        </is>
      </c>
      <c r="D436" s="45" t="inlineStr">
        <is>
          <t>Korloff In Love Eau De Parfum 100ML</t>
        </is>
      </c>
      <c r="E436" s="45" t="inlineStr">
        <is>
          <t>100ML</t>
        </is>
      </c>
      <c r="F436" s="46" t="n">
        <v>26.99</v>
      </c>
      <c r="G436" s="45" t="inlineStr">
        <is>
          <t>korloff in love</t>
        </is>
      </c>
      <c r="H436" s="47">
        <f>IFERROR(INDEX('Semrush Data'!$C$2:$C$5000,MATCH(G436,'Semrush Data'!$A$2:$A$5000,0)),"")</f>
        <v/>
      </c>
      <c r="I436" s="45">
        <f>IFERROR(INDEX('Semrush Data'!$D$2:$D$5000,MATCH(G436,'Semrush Data'!$A$2:$A$5000,0)),"")</f>
        <v/>
      </c>
      <c r="J436" s="45">
        <f>IF(OR(H436="",H436=0),"No volume",IF(I436&lt;=20,"Easier",IF(I436&lt;=35,"Medium","Hard")))</f>
        <v/>
      </c>
      <c r="K436" s="45" t="n"/>
      <c r="L436" s="47">
        <f>IF(K436="","",IFERROR(INDEX('Semrush Data'!$C$2:$C$5000,MATCH(K436,'Semrush Data'!$A$2:$A$5000,0)),""))</f>
        <v/>
      </c>
      <c r="M436" s="48" t="inlineStr">
        <is>
          <t>Korloff In Love Eau De Parfum</t>
        </is>
      </c>
      <c r="N436" s="45" t="inlineStr">
        <is>
          <t>Korloff In Love Eau De Parfum | Buy Online UK | Swansura</t>
        </is>
      </c>
      <c r="O436" s="45">
        <f>LEN(N436)</f>
        <v/>
      </c>
      <c r="P436" s="49" t="inlineStr">
        <is>
          <t>Buy Korloff In Love Eau De Parfum 100ML for £26.99 at Swansura UK. An amber unisex eau de parfum. 100% authentic, fast UK delivery, free over £50.</t>
        </is>
      </c>
      <c r="Q436" s="45">
        <f>LEN(P436)</f>
        <v/>
      </c>
      <c r="R436" s="49" t="n"/>
    </row>
    <row r="437" ht="23.25" customHeight="1" s="37">
      <c r="A437" s="45" t="inlineStr">
        <is>
          <t>FR-277</t>
        </is>
      </c>
      <c r="B437" s="45" t="inlineStr">
        <is>
          <t>Fragrance Catalogue</t>
        </is>
      </c>
      <c r="C437" s="45" t="inlineStr">
        <is>
          <t>Korloff</t>
        </is>
      </c>
      <c r="D437" s="45" t="inlineStr">
        <is>
          <t>Korloff Lady Intense Eau De Parfum 88ML</t>
        </is>
      </c>
      <c r="E437" s="45" t="inlineStr">
        <is>
          <t>88ML</t>
        </is>
      </c>
      <c r="F437" s="46" t="n">
        <v>35.99</v>
      </c>
      <c r="G437" s="45" t="inlineStr">
        <is>
          <t>korloff lady intense</t>
        </is>
      </c>
      <c r="H437" s="47">
        <f>IFERROR(INDEX('Semrush Data'!$C$2:$C$5000,MATCH(G437,'Semrush Data'!$A$2:$A$5000,0)),"")</f>
        <v/>
      </c>
      <c r="I437" s="45">
        <f>IFERROR(INDEX('Semrush Data'!$D$2:$D$5000,MATCH(G437,'Semrush Data'!$A$2:$A$5000,0)),"")</f>
        <v/>
      </c>
      <c r="J437" s="45">
        <f>IF(OR(H437="",H437=0),"No volume",IF(I437&lt;=20,"Easier",IF(I437&lt;=35,"Medium","Hard")))</f>
        <v/>
      </c>
      <c r="K437" s="45" t="n"/>
      <c r="L437" s="47">
        <f>IF(K437="","",IFERROR(INDEX('Semrush Data'!$C$2:$C$5000,MATCH(K437,'Semrush Data'!$A$2:$A$5000,0)),""))</f>
        <v/>
      </c>
      <c r="M437" s="48" t="inlineStr">
        <is>
          <t>Korloff Lady Intense Eau De Parfum</t>
        </is>
      </c>
      <c r="N437" s="45" t="inlineStr">
        <is>
          <t>Korloff Lady Intense Eau De Parfum 88ML | Swansura UK</t>
        </is>
      </c>
      <c r="O437" s="45">
        <f>LEN(N437)</f>
        <v/>
      </c>
      <c r="P437" s="49" t="inlineStr">
        <is>
          <t>Buy Korloff Lady Intense Eau De Parfum 88ML for £35.99 at Swansura UK. An amber unisex eau de parfum. 100% authentic, fast UK delivery, free over £50.</t>
        </is>
      </c>
      <c r="Q437" s="45">
        <f>LEN(P437)</f>
        <v/>
      </c>
      <c r="R437" s="49" t="n"/>
    </row>
    <row r="438" ht="23.25" customHeight="1" s="37">
      <c r="A438" s="45" t="inlineStr">
        <is>
          <t>FR-278</t>
        </is>
      </c>
      <c r="B438" s="45" t="inlineStr">
        <is>
          <t>Fragrance Catalogue</t>
        </is>
      </c>
      <c r="C438" s="45" t="inlineStr">
        <is>
          <t>Korloff</t>
        </is>
      </c>
      <c r="D438" s="45" t="inlineStr">
        <is>
          <t>Korloff Royal Rose Eau De Parfum 88ML</t>
        </is>
      </c>
      <c r="E438" s="45" t="inlineStr">
        <is>
          <t>88ml</t>
        </is>
      </c>
      <c r="F438" s="46" t="n">
        <v>47.99</v>
      </c>
      <c r="G438" s="45" t="inlineStr">
        <is>
          <t>korloff royal rose</t>
        </is>
      </c>
      <c r="H438" s="47">
        <f>IFERROR(INDEX('Semrush Data'!$C$2:$C$5000,MATCH(G438,'Semrush Data'!$A$2:$A$5000,0)),"")</f>
        <v/>
      </c>
      <c r="I438" s="45">
        <f>IFERROR(INDEX('Semrush Data'!$D$2:$D$5000,MATCH(G438,'Semrush Data'!$A$2:$A$5000,0)),"")</f>
        <v/>
      </c>
      <c r="J438" s="45">
        <f>IF(OR(H438="",H438=0),"No volume",IF(I438&lt;=20,"Easier",IF(I438&lt;=35,"Medium","Hard")))</f>
        <v/>
      </c>
      <c r="K438" s="45" t="n"/>
      <c r="L438" s="47">
        <f>IF(K438="","",IFERROR(INDEX('Semrush Data'!$C$2:$C$5000,MATCH(K438,'Semrush Data'!$A$2:$A$5000,0)),""))</f>
        <v/>
      </c>
      <c r="M438" s="48" t="inlineStr">
        <is>
          <t>Korloff Royal Rose Eau De Parfum</t>
        </is>
      </c>
      <c r="N438" s="45" t="inlineStr">
        <is>
          <t>Korloff Royal Rose Eau De Parfum | Buy Online UK | Swansura</t>
        </is>
      </c>
      <c r="O438" s="45">
        <f>LEN(N438)</f>
        <v/>
      </c>
      <c r="P438" s="49" t="inlineStr">
        <is>
          <t>Buy Korloff Royal Rose Eau De Parfum 88ml for £47.99 at Swansura UK. A floral unisex eau de parfum. 100% authentic, fast UK delivery, free over £50.</t>
        </is>
      </c>
      <c r="Q438" s="45">
        <f>LEN(P438)</f>
        <v/>
      </c>
      <c r="R438" s="49" t="n"/>
    </row>
    <row r="439" ht="23.25" customHeight="1" s="37">
      <c r="A439" s="45" t="inlineStr">
        <is>
          <t>FR-279</t>
        </is>
      </c>
      <c r="B439" s="45" t="inlineStr">
        <is>
          <t>Fragrance Catalogue</t>
        </is>
      </c>
      <c r="C439" s="45" t="inlineStr">
        <is>
          <t>Korloff</t>
        </is>
      </c>
      <c r="D439" s="45" t="inlineStr">
        <is>
          <t>Korloff Un Soir À Paris Eau De Parfum 100ML</t>
        </is>
      </c>
      <c r="E439" s="45" t="inlineStr">
        <is>
          <t>100ML</t>
        </is>
      </c>
      <c r="F439" s="46" t="n">
        <v>25.99</v>
      </c>
      <c r="G439" s="45" t="inlineStr">
        <is>
          <t>korloff un soir a paris</t>
        </is>
      </c>
      <c r="H439" s="47">
        <f>IFERROR(INDEX('Semrush Data'!$C$2:$C$5000,MATCH(G439,'Semrush Data'!$A$2:$A$5000,0)),"")</f>
        <v/>
      </c>
      <c r="I439" s="45">
        <f>IFERROR(INDEX('Semrush Data'!$D$2:$D$5000,MATCH(G439,'Semrush Data'!$A$2:$A$5000,0)),"")</f>
        <v/>
      </c>
      <c r="J439" s="45">
        <f>IF(OR(H439="",H439=0),"No volume",IF(I439&lt;=20,"Easier",IF(I439&lt;=35,"Medium","Hard")))</f>
        <v/>
      </c>
      <c r="K439" s="45" t="n"/>
      <c r="L439" s="47">
        <f>IF(K439="","",IFERROR(INDEX('Semrush Data'!$C$2:$C$5000,MATCH(K439,'Semrush Data'!$A$2:$A$5000,0)),""))</f>
        <v/>
      </c>
      <c r="M439" s="48" t="inlineStr">
        <is>
          <t>Korloff Un Soir À Paris Eau De Parfum</t>
        </is>
      </c>
      <c r="N439" s="45" t="inlineStr">
        <is>
          <t>Korloff Un Soir À Paris Eau De Parfum 100ML | Swansura UK</t>
        </is>
      </c>
      <c r="O439" s="45">
        <f>LEN(N439)</f>
        <v/>
      </c>
      <c r="P439" s="49" t="inlineStr">
        <is>
          <t>Buy Korloff Un Soir À Paris Eau De Parfum 100ML for £25.99 at Swansura UK. An amber unisex eau de parfum. 100% authentic, fast UK delivery, free over £50.</t>
        </is>
      </c>
      <c r="Q439" s="45">
        <f>LEN(P439)</f>
        <v/>
      </c>
      <c r="R439" s="49" t="n"/>
    </row>
    <row r="440" ht="23.25" customHeight="1" s="37">
      <c r="A440" s="45" t="inlineStr">
        <is>
          <t>FR-280</t>
        </is>
      </c>
      <c r="B440" s="45" t="inlineStr">
        <is>
          <t>Fragrance Catalogue</t>
        </is>
      </c>
      <c r="C440" s="45" t="inlineStr">
        <is>
          <t>Korloff</t>
        </is>
      </c>
      <c r="D440" s="45" t="inlineStr">
        <is>
          <t>Miss Korloff Eau De Parfum 88ML</t>
        </is>
      </c>
      <c r="E440" s="45" t="inlineStr">
        <is>
          <t>88ML</t>
        </is>
      </c>
      <c r="F440" s="46" t="n">
        <v>35.99</v>
      </c>
      <c r="G440" s="45" t="inlineStr">
        <is>
          <t>korloff miss korloff</t>
        </is>
      </c>
      <c r="H440" s="47">
        <f>IFERROR(INDEX('Semrush Data'!$C$2:$C$5000,MATCH(G440,'Semrush Data'!$A$2:$A$5000,0)),"")</f>
        <v/>
      </c>
      <c r="I440" s="45">
        <f>IFERROR(INDEX('Semrush Data'!$D$2:$D$5000,MATCH(G440,'Semrush Data'!$A$2:$A$5000,0)),"")</f>
        <v/>
      </c>
      <c r="J440" s="45">
        <f>IF(OR(H440="",H440=0),"No volume",IF(I440&lt;=20,"Easier",IF(I440&lt;=35,"Medium","Hard")))</f>
        <v/>
      </c>
      <c r="K440" s="45" t="n"/>
      <c r="L440" s="47">
        <f>IF(K440="","",IFERROR(INDEX('Semrush Data'!$C$2:$C$5000,MATCH(K440,'Semrush Data'!$A$2:$A$5000,0)),""))</f>
        <v/>
      </c>
      <c r="M440" s="48" t="inlineStr">
        <is>
          <t>Miss Korloff Eau De Parfum</t>
        </is>
      </c>
      <c r="N440" s="45" t="inlineStr">
        <is>
          <t>Miss Korloff Eau De Parfum 88ML | Buy Online UK | Swansura</t>
        </is>
      </c>
      <c r="O440" s="45">
        <f>LEN(N440)</f>
        <v/>
      </c>
      <c r="P440" s="49" t="inlineStr">
        <is>
          <t>Buy Miss Korloff Eau De Parfum 88ML for £35.99 at Swansura UK. An amber unisex eau de parfum. 100% authentic, fast UK delivery, free over £50.</t>
        </is>
      </c>
      <c r="Q440" s="45">
        <f>LEN(P440)</f>
        <v/>
      </c>
      <c r="R440" s="49" t="n"/>
    </row>
    <row r="441" ht="23.25" customHeight="1" s="37">
      <c r="A441" s="45" t="inlineStr">
        <is>
          <t>FR-281</t>
        </is>
      </c>
      <c r="B441" s="45" t="inlineStr">
        <is>
          <t>Fragrance Catalogue</t>
        </is>
      </c>
      <c r="C441" s="45" t="inlineStr">
        <is>
          <t>Korloff</t>
        </is>
      </c>
      <c r="D441" s="45" t="inlineStr">
        <is>
          <t>Royal Oud Korloff Paris Eau De Parfum 88ML</t>
        </is>
      </c>
      <c r="E441" s="45" t="inlineStr">
        <is>
          <t>88ML</t>
        </is>
      </c>
      <c r="F441" s="46" t="n">
        <v>47.99</v>
      </c>
      <c r="G441" s="45" t="inlineStr">
        <is>
          <t>korloff royal oud korloff paris</t>
        </is>
      </c>
      <c r="H441" s="47">
        <f>IFERROR(INDEX('Semrush Data'!$C$2:$C$5000,MATCH(G441,'Semrush Data'!$A$2:$A$5000,0)),"")</f>
        <v/>
      </c>
      <c r="I441" s="45">
        <f>IFERROR(INDEX('Semrush Data'!$D$2:$D$5000,MATCH(G441,'Semrush Data'!$A$2:$A$5000,0)),"")</f>
        <v/>
      </c>
      <c r="J441" s="45">
        <f>IF(OR(H441="",H441=0),"No volume",IF(I441&lt;=20,"Easier",IF(I441&lt;=35,"Medium","Hard")))</f>
        <v/>
      </c>
      <c r="K441" s="45" t="n"/>
      <c r="L441" s="47">
        <f>IF(K441="","",IFERROR(INDEX('Semrush Data'!$C$2:$C$5000,MATCH(K441,'Semrush Data'!$A$2:$A$5000,0)),""))</f>
        <v/>
      </c>
      <c r="M441" s="48" t="inlineStr">
        <is>
          <t>Royal Oud Korloff Paris Eau De Parfum</t>
        </is>
      </c>
      <c r="N441" s="45" t="inlineStr">
        <is>
          <t>Royal Oud Korloff Paris Eau De Parfum 88ML | Swansura UK</t>
        </is>
      </c>
      <c r="O441" s="45">
        <f>LEN(N441)</f>
        <v/>
      </c>
      <c r="P441" s="49" t="inlineStr">
        <is>
          <t>Buy Royal Oud Korloff Paris Eau De Parfum 88ML for £47.99 at Swansura UK. An oud unisex eau de parfum. 100% authentic, fast UK delivery, free over £50.</t>
        </is>
      </c>
      <c r="Q441" s="45">
        <f>LEN(P441)</f>
        <v/>
      </c>
      <c r="R441" s="49" t="n"/>
    </row>
    <row r="442" ht="23.25" customHeight="1" s="37">
      <c r="A442" s="45" t="inlineStr">
        <is>
          <t>FR-282</t>
        </is>
      </c>
      <c r="B442" s="45" t="inlineStr">
        <is>
          <t>Fragrance Catalogue</t>
        </is>
      </c>
      <c r="C442" s="45" t="inlineStr">
        <is>
          <t>Korloff</t>
        </is>
      </c>
      <c r="D442" s="45" t="inlineStr">
        <is>
          <t>Korloff Paris Discovery Set Eau De Parfum 3x10ML</t>
        </is>
      </c>
      <c r="E442" s="45" t="inlineStr">
        <is>
          <t>3x10ml</t>
        </is>
      </c>
      <c r="F442" s="46" t="n">
        <v>19.99</v>
      </c>
      <c r="G442" s="45" t="inlineStr">
        <is>
          <t>korloff paris discovery set</t>
        </is>
      </c>
      <c r="H442" s="47">
        <f>IFERROR(INDEX('Semrush Data'!$C$2:$C$5000,MATCH(G442,'Semrush Data'!$A$2:$A$5000,0)),"")</f>
        <v/>
      </c>
      <c r="I442" s="45">
        <f>IFERROR(INDEX('Semrush Data'!$D$2:$D$5000,MATCH(G442,'Semrush Data'!$A$2:$A$5000,0)),"")</f>
        <v/>
      </c>
      <c r="J442" s="45">
        <f>IF(OR(H442="",H442=0),"No volume",IF(I442&lt;=20,"Easier",IF(I442&lt;=35,"Medium","Hard")))</f>
        <v/>
      </c>
      <c r="K442" s="45" t="n"/>
      <c r="L442" s="47">
        <f>IF(K442="","",IFERROR(INDEX('Semrush Data'!$C$2:$C$5000,MATCH(K442,'Semrush Data'!$A$2:$A$5000,0)),""))</f>
        <v/>
      </c>
      <c r="M442" s="48" t="inlineStr">
        <is>
          <t>Korloff Paris Discovery Set Eau De Parfum 3x10ML</t>
        </is>
      </c>
      <c r="N442" s="45" t="inlineStr">
        <is>
          <t>Korloff Paris Discovery Set 3x10ML EDP | Swansura UK</t>
        </is>
      </c>
      <c r="O442" s="45">
        <f>LEN(N442)</f>
        <v/>
      </c>
      <c r="P442" s="49" t="inlineStr">
        <is>
          <t>Buy Korloff Paris Discovery Set Eau De Parfum 3x10ML for £19.99 at Swansura UK. An amber unisex eau de parfum. 100% authentic, fast UK delivery, free over £50.</t>
        </is>
      </c>
      <c r="Q442" s="45">
        <f>LEN(P442)</f>
        <v/>
      </c>
      <c r="R442" s="49" t="n"/>
    </row>
    <row r="443" ht="23.25" customHeight="1" s="37">
      <c r="A443" s="45" t="inlineStr">
        <is>
          <t>FR-283</t>
        </is>
      </c>
      <c r="B443" s="45" t="inlineStr">
        <is>
          <t>Fragrance Catalogue</t>
        </is>
      </c>
      <c r="C443" s="45" t="inlineStr">
        <is>
          <t>La Maison</t>
        </is>
      </c>
      <c r="D443" s="45" t="inlineStr">
        <is>
          <t>La Maison de la Vanille Absolu de Vanille Eau de Parfum 100ml</t>
        </is>
      </c>
      <c r="E443" s="45" t="inlineStr">
        <is>
          <t>100ml</t>
        </is>
      </c>
      <c r="F443" s="46" t="n">
        <v>19.99</v>
      </c>
      <c r="G443" s="45" t="inlineStr">
        <is>
          <t>la maison de la vanille absolu de vanille</t>
        </is>
      </c>
      <c r="H443" s="47">
        <f>IFERROR(INDEX('Semrush Data'!$C$2:$C$5000,MATCH(G443,'Semrush Data'!$A$2:$A$5000,0)),"")</f>
        <v/>
      </c>
      <c r="I443" s="45">
        <f>IFERROR(INDEX('Semrush Data'!$D$2:$D$5000,MATCH(G443,'Semrush Data'!$A$2:$A$5000,0)),"")</f>
        <v/>
      </c>
      <c r="J443" s="45">
        <f>IF(OR(H443="",H443=0),"No volume",IF(I443&lt;=20,"Easier",IF(I443&lt;=35,"Medium","Hard")))</f>
        <v/>
      </c>
      <c r="K443" s="45" t="n"/>
      <c r="L443" s="47">
        <f>IF(K443="","",IFERROR(INDEX('Semrush Data'!$C$2:$C$5000,MATCH(K443,'Semrush Data'!$A$2:$A$5000,0)),""))</f>
        <v/>
      </c>
      <c r="M443" s="48" t="inlineStr">
        <is>
          <t>La Maison de la Vanille Absolu de Vanille Eau de Parfum</t>
        </is>
      </c>
      <c r="N443" s="45" t="inlineStr">
        <is>
          <t>La Maison de la Vanille Absolu de Vanille | Swansura UK</t>
        </is>
      </c>
      <c r="O443" s="45">
        <f>LEN(N443)</f>
        <v/>
      </c>
      <c r="P443" s="49" t="inlineStr">
        <is>
          <t>Buy La Maison de la Vanille Absolu de Vanille Eau de Parfum for £19.99 at Swansura UK. An amber unisex eau de parfum. 100% authentic, free UK delivery over £50.</t>
        </is>
      </c>
      <c r="Q443" s="45">
        <f>LEN(P443)</f>
        <v/>
      </c>
      <c r="R443" s="49" t="n"/>
    </row>
    <row r="444" ht="23.25" customHeight="1" s="37">
      <c r="A444" s="45" t="inlineStr">
        <is>
          <t>FR-284</t>
        </is>
      </c>
      <c r="B444" s="45" t="inlineStr">
        <is>
          <t>Fragrance Catalogue</t>
        </is>
      </c>
      <c r="C444" s="45" t="inlineStr">
        <is>
          <t>La Maison</t>
        </is>
      </c>
      <c r="D444" s="45" t="inlineStr">
        <is>
          <t>La Maison de la Vanille Ambre Secret Eau de Parfum 100ml</t>
        </is>
      </c>
      <c r="E444" s="45" t="inlineStr">
        <is>
          <t>100ml</t>
        </is>
      </c>
      <c r="F444" s="46" t="n">
        <v>19.99</v>
      </c>
      <c r="G444" s="45" t="inlineStr">
        <is>
          <t>la maison de la vanille ambre secret</t>
        </is>
      </c>
      <c r="H444" s="47">
        <f>IFERROR(INDEX('Semrush Data'!$C$2:$C$5000,MATCH(G444,'Semrush Data'!$A$2:$A$5000,0)),"")</f>
        <v/>
      </c>
      <c r="I444" s="45">
        <f>IFERROR(INDEX('Semrush Data'!$D$2:$D$5000,MATCH(G444,'Semrush Data'!$A$2:$A$5000,0)),"")</f>
        <v/>
      </c>
      <c r="J444" s="45">
        <f>IF(OR(H444="",H444=0),"No volume",IF(I444&lt;=20,"Easier",IF(I444&lt;=35,"Medium","Hard")))</f>
        <v/>
      </c>
      <c r="K444" s="45" t="n"/>
      <c r="L444" s="47">
        <f>IF(K444="","",IFERROR(INDEX('Semrush Data'!$C$2:$C$5000,MATCH(K444,'Semrush Data'!$A$2:$A$5000,0)),""))</f>
        <v/>
      </c>
      <c r="M444" s="48" t="inlineStr">
        <is>
          <t>La Maison de la Vanille Ambre Secret Eau de Parfum</t>
        </is>
      </c>
      <c r="N444" s="45" t="inlineStr">
        <is>
          <t>La Maison de la Vanille Ambre Secret EDP 100ml | Swansura UK</t>
        </is>
      </c>
      <c r="O444" s="45">
        <f>LEN(N444)</f>
        <v/>
      </c>
      <c r="P444" s="49" t="inlineStr">
        <is>
          <t>La Maison de la Vanille Ambre Secret Eau de Parfum for £19.99 at Swansura UK. An amber unisex eau de parfum. 100% authentic, fast UK delivery, free over £50.</t>
        </is>
      </c>
      <c r="Q444" s="45">
        <f>LEN(P444)</f>
        <v/>
      </c>
      <c r="R444" s="49" t="n"/>
    </row>
    <row r="445" ht="23.25" customHeight="1" s="37">
      <c r="A445" s="45" t="inlineStr">
        <is>
          <t>FR-285</t>
        </is>
      </c>
      <c r="B445" s="45" t="inlineStr">
        <is>
          <t>Fragrance Catalogue</t>
        </is>
      </c>
      <c r="C445" s="45" t="inlineStr">
        <is>
          <t>La Maison</t>
        </is>
      </c>
      <c r="D445" s="45" t="inlineStr">
        <is>
          <t>La Maison de la Vanille Royal Oud Eau de Parfum 100ml</t>
        </is>
      </c>
      <c r="E445" s="45" t="inlineStr">
        <is>
          <t>100ml</t>
        </is>
      </c>
      <c r="F445" s="46" t="n">
        <v>19.99</v>
      </c>
      <c r="G445" s="45" t="inlineStr">
        <is>
          <t>la maison de la vanille royal oud</t>
        </is>
      </c>
      <c r="H445" s="47">
        <f>IFERROR(INDEX('Semrush Data'!$C$2:$C$5000,MATCH(G445,'Semrush Data'!$A$2:$A$5000,0)),"")</f>
        <v/>
      </c>
      <c r="I445" s="45">
        <f>IFERROR(INDEX('Semrush Data'!$D$2:$D$5000,MATCH(G445,'Semrush Data'!$A$2:$A$5000,0)),"")</f>
        <v/>
      </c>
      <c r="J445" s="45">
        <f>IF(OR(H445="",H445=0),"No volume",IF(I445&lt;=20,"Easier",IF(I445&lt;=35,"Medium","Hard")))</f>
        <v/>
      </c>
      <c r="K445" s="45" t="n"/>
      <c r="L445" s="47">
        <f>IF(K445="","",IFERROR(INDEX('Semrush Data'!$C$2:$C$5000,MATCH(K445,'Semrush Data'!$A$2:$A$5000,0)),""))</f>
        <v/>
      </c>
      <c r="M445" s="48" t="inlineStr">
        <is>
          <t>La Maison de la Vanille Royal Oud Eau de Parfum</t>
        </is>
      </c>
      <c r="N445" s="45" t="inlineStr">
        <is>
          <t>La Maison de la Vanille Royal Oud EDP 100ml | Swansura UK</t>
        </is>
      </c>
      <c r="O445" s="45">
        <f>LEN(N445)</f>
        <v/>
      </c>
      <c r="P445" s="49" t="inlineStr">
        <is>
          <t>Buy La Maison de la Vanille Royal Oud Eau de Parfum 100ml for £19.99 at Swansura UK. An oud unisex eau de parfum. 100% authentic, free UK delivery over £50.</t>
        </is>
      </c>
      <c r="Q445" s="45">
        <f>LEN(P445)</f>
        <v/>
      </c>
      <c r="R445" s="49" t="n"/>
    </row>
    <row r="446" ht="23.25" customHeight="1" s="37">
      <c r="A446" s="45" t="inlineStr">
        <is>
          <t>FR-286</t>
        </is>
      </c>
      <c r="B446" s="45" t="inlineStr">
        <is>
          <t>Fragrance Catalogue</t>
        </is>
      </c>
      <c r="C446" s="45" t="inlineStr">
        <is>
          <t>La Maison</t>
        </is>
      </c>
      <c r="D446" s="45" t="inlineStr">
        <is>
          <t>La Maison de la wooden coffret 5X30ML EDT - Vanilles Des Origines</t>
        </is>
      </c>
      <c r="E446" s="45" t="inlineStr">
        <is>
          <t>Not specified</t>
        </is>
      </c>
      <c r="F446" s="46" t="n">
        <v>84.98999999999999</v>
      </c>
      <c r="G446" s="45" t="inlineStr">
        <is>
          <t>la maison de la wooden coffret</t>
        </is>
      </c>
      <c r="H446" s="47">
        <f>IFERROR(INDEX('Semrush Data'!$C$2:$C$5000,MATCH(G446,'Semrush Data'!$A$2:$A$5000,0)),"")</f>
        <v/>
      </c>
      <c r="I446" s="45">
        <f>IFERROR(INDEX('Semrush Data'!$D$2:$D$5000,MATCH(G446,'Semrush Data'!$A$2:$A$5000,0)),"")</f>
        <v/>
      </c>
      <c r="J446" s="45">
        <f>IF(OR(H446="",H446=0),"No volume",IF(I446&lt;=20,"Easier",IF(I446&lt;=35,"Medium","Hard")))</f>
        <v/>
      </c>
      <c r="K446" s="45" t="n"/>
      <c r="L446" s="47">
        <f>IF(K446="","",IFERROR(INDEX('Semrush Data'!$C$2:$C$5000,MATCH(K446,'Semrush Data'!$A$2:$A$5000,0)),""))</f>
        <v/>
      </c>
      <c r="M446" s="48" t="inlineStr">
        <is>
          <t>La Maison de la Wooden Coffret 5X30ML EDT</t>
        </is>
      </c>
      <c r="N446" s="45" t="inlineStr">
        <is>
          <t>La Maison de la Wooden Coffret 5X30ML EDT | Swansura UK</t>
        </is>
      </c>
      <c r="O446" s="45">
        <f>LEN(N446)</f>
        <v/>
      </c>
      <c r="P446" s="49" t="inlineStr">
        <is>
          <t>Buy La Maison de la Wooden Coffret 5X30ML EDT for £84.99 at Swansura UK. An amber unisex eau de toilette. 100% authentic, fast UK delivery, free over £50.</t>
        </is>
      </c>
      <c r="Q446" s="45">
        <f>LEN(P446)</f>
        <v/>
      </c>
      <c r="R446" s="49" t="n"/>
    </row>
    <row r="447" ht="23.25" customHeight="1" s="37">
      <c r="A447" s="45" t="inlineStr">
        <is>
          <t>FR-287</t>
        </is>
      </c>
      <c r="B447" s="45" t="inlineStr">
        <is>
          <t>Fragrance Catalogue</t>
        </is>
      </c>
      <c r="C447" s="45" t="inlineStr">
        <is>
          <t>Lancôme</t>
        </is>
      </c>
      <c r="D447" s="45" t="inlineStr">
        <is>
          <t>Lancôme Idôle Nectar Eau de Parfum 25ml – Women's Floral Gourmand Fragrance</t>
        </is>
      </c>
      <c r="E447" s="45" t="inlineStr">
        <is>
          <t>25ml</t>
        </is>
      </c>
      <c r="F447" s="46" t="n">
        <v>39.99</v>
      </c>
      <c r="G447" s="45" t="inlineStr">
        <is>
          <t>lancome idole nectar</t>
        </is>
      </c>
      <c r="H447" s="47">
        <f>IFERROR(INDEX('Semrush Data'!$C$2:$C$5000,MATCH(G447,'Semrush Data'!$A$2:$A$5000,0)),"")</f>
        <v/>
      </c>
      <c r="I447" s="45">
        <f>IFERROR(INDEX('Semrush Data'!$D$2:$D$5000,MATCH(G447,'Semrush Data'!$A$2:$A$5000,0)),"")</f>
        <v/>
      </c>
      <c r="J447" s="45">
        <f>IF(OR(H447="",H447=0),"No volume",IF(I447&lt;=20,"Easier",IF(I447&lt;=35,"Medium","Hard")))</f>
        <v/>
      </c>
      <c r="K447" s="45" t="inlineStr">
        <is>
          <t>lancome idole nectar eau de parfum</t>
        </is>
      </c>
      <c r="L447" s="47">
        <f>IF(K447="","",IFERROR(INDEX('Semrush Data'!$C$2:$C$5000,MATCH(K447,'Semrush Data'!$A$2:$A$5000,0)),""))</f>
        <v/>
      </c>
      <c r="M447" s="48" t="inlineStr">
        <is>
          <t>Lancôme Idôle Nectar Eau de Parfum</t>
        </is>
      </c>
      <c r="N447" s="45" t="inlineStr">
        <is>
          <t>Lancôme Idôle Nectar Eau de Parfum 25ml | Swansura UK</t>
        </is>
      </c>
      <c r="O447" s="45">
        <f>LEN(N447)</f>
        <v/>
      </c>
      <c r="P447" s="49" t="inlineStr">
        <is>
          <t>Buy Lancôme Idôle Nectar Eau de Parfum 25ml for £39.99 at Swansura UK. A floral women's eau de parfum. 100% authentic, fast UK delivery, free over £50.</t>
        </is>
      </c>
      <c r="Q447" s="45">
        <f>LEN(P447)</f>
        <v/>
      </c>
      <c r="R447" s="49" t="n"/>
    </row>
    <row r="448" ht="23.25" customHeight="1" s="37">
      <c r="A448" s="45" t="inlineStr">
        <is>
          <t>FR-288</t>
        </is>
      </c>
      <c r="B448" s="45" t="inlineStr">
        <is>
          <t>Fragrance Catalogue</t>
        </is>
      </c>
      <c r="C448" s="45" t="inlineStr">
        <is>
          <t>Lancôme</t>
        </is>
      </c>
      <c r="D448" s="45" t="inlineStr">
        <is>
          <t>Lancôme Idôle Now Eau de Parfum Florale 50ml – Women's Floral Fragrance</t>
        </is>
      </c>
      <c r="E448" s="45" t="inlineStr">
        <is>
          <t>50ml</t>
        </is>
      </c>
      <c r="F448" s="46" t="n">
        <v>55.99</v>
      </c>
      <c r="G448" s="45" t="inlineStr">
        <is>
          <t>lancome idole now florale</t>
        </is>
      </c>
      <c r="H448" s="47">
        <f>IFERROR(INDEX('Semrush Data'!$C$2:$C$5000,MATCH(G448,'Semrush Data'!$A$2:$A$5000,0)),"")</f>
        <v/>
      </c>
      <c r="I448" s="45">
        <f>IFERROR(INDEX('Semrush Data'!$D$2:$D$5000,MATCH(G448,'Semrush Data'!$A$2:$A$5000,0)),"")</f>
        <v/>
      </c>
      <c r="J448" s="45">
        <f>IF(OR(H448="",H448=0),"No volume",IF(I448&lt;=20,"Easier",IF(I448&lt;=35,"Medium","Hard")))</f>
        <v/>
      </c>
      <c r="K448" s="45" t="n"/>
      <c r="L448" s="47">
        <f>IF(K448="","",IFERROR(INDEX('Semrush Data'!$C$2:$C$5000,MATCH(K448,'Semrush Data'!$A$2:$A$5000,0)),""))</f>
        <v/>
      </c>
      <c r="M448" s="48" t="inlineStr">
        <is>
          <t>Lancôme Idôle Now Eau de Parfum Florale</t>
        </is>
      </c>
      <c r="N448" s="45" t="inlineStr">
        <is>
          <t>Lancôme Idôle Now Eau de Parfum Florale 50ml | Swansura UK</t>
        </is>
      </c>
      <c r="O448" s="45">
        <f>LEN(N448)</f>
        <v/>
      </c>
      <c r="P448" s="49" t="inlineStr">
        <is>
          <t>Buy Lancôme Idôle Now Eau de Parfum Florale 50ml for £55.99 at Swansura UK. A floral women's eau de parfum. 100% authentic, fast UK delivery, free over £50.</t>
        </is>
      </c>
      <c r="Q448" s="45">
        <f>LEN(P448)</f>
        <v/>
      </c>
      <c r="R448" s="49" t="n"/>
    </row>
    <row r="449" ht="23.25" customHeight="1" s="37">
      <c r="A449" s="45" t="inlineStr">
        <is>
          <t>FR-289</t>
        </is>
      </c>
      <c r="B449" s="45" t="inlineStr">
        <is>
          <t>Fragrance Catalogue</t>
        </is>
      </c>
      <c r="C449" s="45" t="inlineStr">
        <is>
          <t>Mancera</t>
        </is>
      </c>
      <c r="D449" s="45" t="inlineStr">
        <is>
          <t>Mancera Black Noir Eau de Parfum 120ml – Luxury Unisex Oud Tobacco Longlasting Fragrance</t>
        </is>
      </c>
      <c r="E449" s="45" t="inlineStr">
        <is>
          <t>120ml</t>
        </is>
      </c>
      <c r="F449" s="46" t="n">
        <v>69.98999999999999</v>
      </c>
      <c r="G449" s="45" t="inlineStr">
        <is>
          <t>mancera black noir</t>
        </is>
      </c>
      <c r="H449" s="47">
        <f>IFERROR(INDEX('Semrush Data'!$C$2:$C$5000,MATCH(G449,'Semrush Data'!$A$2:$A$5000,0)),"")</f>
        <v/>
      </c>
      <c r="I449" s="45">
        <f>IFERROR(INDEX('Semrush Data'!$D$2:$D$5000,MATCH(G449,'Semrush Data'!$A$2:$A$5000,0)),"")</f>
        <v/>
      </c>
      <c r="J449" s="45">
        <f>IF(OR(H449="",H449=0),"No volume",IF(I449&lt;=20,"Easier",IF(I449&lt;=35,"Medium","Hard")))</f>
        <v/>
      </c>
      <c r="K449" s="45" t="n"/>
      <c r="L449" s="47">
        <f>IF(K449="","",IFERROR(INDEX('Semrush Data'!$C$2:$C$5000,MATCH(K449,'Semrush Data'!$A$2:$A$5000,0)),""))</f>
        <v/>
      </c>
      <c r="M449" s="48" t="inlineStr">
        <is>
          <t>Mancera Black Noir Eau de Parfum</t>
        </is>
      </c>
      <c r="N449" s="45" t="inlineStr">
        <is>
          <t>Mancera Black Noir Eau de Parfum | Buy Online UK | Swansura</t>
        </is>
      </c>
      <c r="O449" s="45">
        <f>LEN(N449)</f>
        <v/>
      </c>
      <c r="P449" s="49" t="inlineStr">
        <is>
          <t>Buy Mancera Black Noir Eau de Parfum 120ml for £69.99 at Swansura UK. An oud unisex eau de parfum. 100% authentic, fast UK delivery, free over £50.</t>
        </is>
      </c>
      <c r="Q449" s="45">
        <f>LEN(P449)</f>
        <v/>
      </c>
      <c r="R449" s="49" t="n"/>
    </row>
    <row r="450" ht="23.25" customHeight="1" s="37">
      <c r="A450" s="45" t="inlineStr">
        <is>
          <t>FR-290</t>
        </is>
      </c>
      <c r="B450" s="45" t="inlineStr">
        <is>
          <t>Fragrance Catalogue</t>
        </is>
      </c>
      <c r="C450" s="45" t="inlineStr">
        <is>
          <t>Mancera</t>
        </is>
      </c>
      <c r="D450" s="45" t="inlineStr">
        <is>
          <t>Mancera Intense Red Tobacco Extrait de Parfum 120ml – Luxury Unisex Spicy Tobacco Fragrance</t>
        </is>
      </c>
      <c r="E450" s="45" t="inlineStr">
        <is>
          <t>120ml</t>
        </is>
      </c>
      <c r="F450" s="46" t="n">
        <v>79.98999999999999</v>
      </c>
      <c r="G450" s="45" t="inlineStr">
        <is>
          <t>mancera intense red tobacco</t>
        </is>
      </c>
      <c r="H450" s="47">
        <f>IFERROR(INDEX('Semrush Data'!$C$2:$C$5000,MATCH(G450,'Semrush Data'!$A$2:$A$5000,0)),"")</f>
        <v/>
      </c>
      <c r="I450" s="45">
        <f>IFERROR(INDEX('Semrush Data'!$D$2:$D$5000,MATCH(G450,'Semrush Data'!$A$2:$A$5000,0)),"")</f>
        <v/>
      </c>
      <c r="J450" s="45">
        <f>IF(OR(H450="",H450=0),"No volume",IF(I450&lt;=20,"Easier",IF(I450&lt;=35,"Medium","Hard")))</f>
        <v/>
      </c>
      <c r="K450" s="45" t="inlineStr">
        <is>
          <t>mancera intense red tobacco extrait de parfum</t>
        </is>
      </c>
      <c r="L450" s="47">
        <f>IF(K450="","",IFERROR(INDEX('Semrush Data'!$C$2:$C$5000,MATCH(K450,'Semrush Data'!$A$2:$A$5000,0)),""))</f>
        <v/>
      </c>
      <c r="M450" s="48" t="inlineStr">
        <is>
          <t>Mancera Intense Red Tobacco Extrait de Parfum</t>
        </is>
      </c>
      <c r="N450" s="45" t="inlineStr">
        <is>
          <t>Mancera Intense Red Tobacco Extrait 120ml | Swansura UK</t>
        </is>
      </c>
      <c r="O450" s="45">
        <f>LEN(N450)</f>
        <v/>
      </c>
      <c r="P450" s="49" t="inlineStr">
        <is>
          <t>Buy Mancera Intense Red Tobacco Extrait de Parfum 120ml for £79.99 at Swansura UK. A spicy unisex extrait de parfum. 100% authentic, free UK delivery over £50.</t>
        </is>
      </c>
      <c r="Q450" s="45">
        <f>LEN(P450)</f>
        <v/>
      </c>
      <c r="R450" s="49" t="n"/>
    </row>
    <row r="451" ht="23.25" customHeight="1" s="37">
      <c r="A451" s="45" t="inlineStr">
        <is>
          <t>FR-291</t>
        </is>
      </c>
      <c r="B451" s="45" t="inlineStr">
        <is>
          <t>Fragrance Catalogue</t>
        </is>
      </c>
      <c r="C451" s="45" t="inlineStr">
        <is>
          <t>Marc Jacobs</t>
        </is>
      </c>
      <c r="D451" s="45" t="inlineStr">
        <is>
          <t>Marc Jacobs Honey Eau de Parfum 100ml – Women's Floral Fruity Fragrance</t>
        </is>
      </c>
      <c r="E451" s="45" t="inlineStr">
        <is>
          <t>100ml</t>
        </is>
      </c>
      <c r="F451" s="46" t="n">
        <v>35.99</v>
      </c>
      <c r="G451" s="45" t="inlineStr">
        <is>
          <t>marc jacobs honey</t>
        </is>
      </c>
      <c r="H451" s="47">
        <f>IFERROR(INDEX('Semrush Data'!$C$2:$C$5000,MATCH(G451,'Semrush Data'!$A$2:$A$5000,0)),"")</f>
        <v/>
      </c>
      <c r="I451" s="45">
        <f>IFERROR(INDEX('Semrush Data'!$D$2:$D$5000,MATCH(G451,'Semrush Data'!$A$2:$A$5000,0)),"")</f>
        <v/>
      </c>
      <c r="J451" s="45">
        <f>IF(OR(H451="",H451=0),"No volume",IF(I451&lt;=20,"Easier",IF(I451&lt;=35,"Medium","Hard")))</f>
        <v/>
      </c>
      <c r="K451" s="45" t="inlineStr">
        <is>
          <t>marc jacobs honey eau de parfum</t>
        </is>
      </c>
      <c r="L451" s="47">
        <f>IF(K451="","",IFERROR(INDEX('Semrush Data'!$C$2:$C$5000,MATCH(K451,'Semrush Data'!$A$2:$A$5000,0)),""))</f>
        <v/>
      </c>
      <c r="M451" s="48" t="inlineStr">
        <is>
          <t>Marc Jacobs Honey Eau de Parfum</t>
        </is>
      </c>
      <c r="N451" s="45" t="inlineStr">
        <is>
          <t>Marc Jacobs Honey Eau de Parfum | Buy Online UK | Swansura</t>
        </is>
      </c>
      <c r="O451" s="45">
        <f>LEN(N451)</f>
        <v/>
      </c>
      <c r="P451" s="49" t="inlineStr">
        <is>
          <t>Buy Marc Jacobs Honey Eau de Parfum 100ml for £35.99 at Swansura UK. A floral women's eau de parfum. 100% authentic, fast UK delivery, free over £50.</t>
        </is>
      </c>
      <c r="Q451" s="45">
        <f>LEN(P451)</f>
        <v/>
      </c>
      <c r="R451" s="49" t="n"/>
    </row>
    <row r="452" ht="23.25" customHeight="1" s="37">
      <c r="A452" s="45" t="inlineStr">
        <is>
          <t>FR-292</t>
        </is>
      </c>
      <c r="B452" s="45" t="inlineStr">
        <is>
          <t>Fragrance Catalogue</t>
        </is>
      </c>
      <c r="C452" s="45" t="inlineStr">
        <is>
          <t>Marc Jacobs</t>
        </is>
      </c>
      <c r="D452" s="45" t="inlineStr">
        <is>
          <t>Marc Jacobs Perfect Eau de Parfum 50ml – Women's Floral Fragrance</t>
        </is>
      </c>
      <c r="E452" s="45" t="inlineStr">
        <is>
          <t>50ml</t>
        </is>
      </c>
      <c r="F452" s="46" t="n">
        <v>52.99</v>
      </c>
      <c r="G452" s="45" t="inlineStr">
        <is>
          <t>marc jacobs perfect</t>
        </is>
      </c>
      <c r="H452" s="47">
        <f>IFERROR(INDEX('Semrush Data'!$C$2:$C$5000,MATCH(G452,'Semrush Data'!$A$2:$A$5000,0)),"")</f>
        <v/>
      </c>
      <c r="I452" s="45">
        <f>IFERROR(INDEX('Semrush Data'!$D$2:$D$5000,MATCH(G452,'Semrush Data'!$A$2:$A$5000,0)),"")</f>
        <v/>
      </c>
      <c r="J452" s="45">
        <f>IF(OR(H452="",H452=0),"No volume",IF(I452&lt;=20,"Easier",IF(I452&lt;=35,"Medium","Hard")))</f>
        <v/>
      </c>
      <c r="K452" s="45" t="inlineStr">
        <is>
          <t>marc jacobs perfect perfume</t>
        </is>
      </c>
      <c r="L452" s="47">
        <f>IF(K452="","",IFERROR(INDEX('Semrush Data'!$C$2:$C$5000,MATCH(K452,'Semrush Data'!$A$2:$A$5000,0)),""))</f>
        <v/>
      </c>
      <c r="M452" s="48" t="inlineStr">
        <is>
          <t>Marc Jacobs Perfect Eau de Parfum</t>
        </is>
      </c>
      <c r="N452" s="45" t="inlineStr">
        <is>
          <t>Marc Jacobs Perfect Eau de Parfum | Buy Online UK | Swansura</t>
        </is>
      </c>
      <c r="O452" s="45">
        <f>LEN(N452)</f>
        <v/>
      </c>
      <c r="P452" s="49" t="inlineStr">
        <is>
          <t>Buy Marc Jacobs Perfect Eau de Parfum 50ml for £52.99 at Swansura UK. A floral women's eau de parfum. 100% authentic, fast UK delivery, free over £50.</t>
        </is>
      </c>
      <c r="Q452" s="45">
        <f>LEN(P452)</f>
        <v/>
      </c>
      <c r="R452" s="49" t="n"/>
    </row>
    <row r="453" ht="23.25" customHeight="1" s="37">
      <c r="A453" s="45" t="inlineStr">
        <is>
          <t>FR-293</t>
        </is>
      </c>
      <c r="B453" s="45" t="inlineStr">
        <is>
          <t>Fragrance Catalogue</t>
        </is>
      </c>
      <c r="C453" s="45" t="inlineStr">
        <is>
          <t>Marc Jacobs</t>
        </is>
      </c>
      <c r="D453" s="45" t="inlineStr">
        <is>
          <t>Marc Jacobs Perfect Elixir Eau de Parfum 10ml Miniature – Women's Floral Gourmand Fragrance</t>
        </is>
      </c>
      <c r="E453" s="45" t="inlineStr">
        <is>
          <t>10ml</t>
        </is>
      </c>
      <c r="F453" s="46" t="n">
        <v>19.99</v>
      </c>
      <c r="G453" s="45" t="inlineStr">
        <is>
          <t>marc jacobs perfect elixir miniature</t>
        </is>
      </c>
      <c r="H453" s="47">
        <f>IFERROR(INDEX('Semrush Data'!$C$2:$C$5000,MATCH(G453,'Semrush Data'!$A$2:$A$5000,0)),"")</f>
        <v/>
      </c>
      <c r="I453" s="45">
        <f>IFERROR(INDEX('Semrush Data'!$D$2:$D$5000,MATCH(G453,'Semrush Data'!$A$2:$A$5000,0)),"")</f>
        <v/>
      </c>
      <c r="J453" s="45">
        <f>IF(OR(H453="",H453=0),"No volume",IF(I453&lt;=20,"Easier",IF(I453&lt;=35,"Medium","Hard")))</f>
        <v/>
      </c>
      <c r="K453" s="45" t="n"/>
      <c r="L453" s="47">
        <f>IF(K453="","",IFERROR(INDEX('Semrush Data'!$C$2:$C$5000,MATCH(K453,'Semrush Data'!$A$2:$A$5000,0)),""))</f>
        <v/>
      </c>
      <c r="M453" s="48" t="inlineStr">
        <is>
          <t>Marc Jacobs Perfect Elixir Eau de Parfum Miniature</t>
        </is>
      </c>
      <c r="N453" s="45" t="inlineStr">
        <is>
          <t>Marc Jacobs Perfect Elixir Miniature EDP 10ml | Swansura UK</t>
        </is>
      </c>
      <c r="O453" s="45">
        <f>LEN(N453)</f>
        <v/>
      </c>
      <c r="P453" s="49" t="inlineStr">
        <is>
          <t>Marc Jacobs Perfect Elixir Eau de Parfum Miniature for £19.99 at Swansura UK. A floral women's eau de parfum. 100% authentic, fast UK delivery, free over £50.</t>
        </is>
      </c>
      <c r="Q453" s="45">
        <f>LEN(P453)</f>
        <v/>
      </c>
      <c r="R453" s="49" t="n"/>
    </row>
    <row r="454" ht="23.25" customHeight="1" s="37">
      <c r="A454" s="45" t="inlineStr">
        <is>
          <t>FR-294</t>
        </is>
      </c>
      <c r="B454" s="45" t="inlineStr">
        <is>
          <t>Fragrance Catalogue</t>
        </is>
      </c>
      <c r="C454" s="45" t="inlineStr">
        <is>
          <t>Marc Jacobs</t>
        </is>
      </c>
      <c r="D454" s="45" t="inlineStr">
        <is>
          <t>Marc Jacobs Daisy Love Eau de Toilette 10ml Miniature – Women's Floral Fruity Fragrance</t>
        </is>
      </c>
      <c r="E454" s="45" t="inlineStr">
        <is>
          <t>10ml</t>
        </is>
      </c>
      <c r="F454" s="46" t="n">
        <v>19.99</v>
      </c>
      <c r="G454" s="45" t="inlineStr">
        <is>
          <t>marc jacobs daisy love miniature</t>
        </is>
      </c>
      <c r="H454" s="47">
        <f>IFERROR(INDEX('Semrush Data'!$C$2:$C$5000,MATCH(G454,'Semrush Data'!$A$2:$A$5000,0)),"")</f>
        <v/>
      </c>
      <c r="I454" s="45">
        <f>IFERROR(INDEX('Semrush Data'!$D$2:$D$5000,MATCH(G454,'Semrush Data'!$A$2:$A$5000,0)),"")</f>
        <v/>
      </c>
      <c r="J454" s="45">
        <f>IF(OR(H454="",H454=0),"No volume",IF(I454&lt;=20,"Easier",IF(I454&lt;=35,"Medium","Hard")))</f>
        <v/>
      </c>
      <c r="K454" s="45" t="n"/>
      <c r="L454" s="47">
        <f>IF(K454="","",IFERROR(INDEX('Semrush Data'!$C$2:$C$5000,MATCH(K454,'Semrush Data'!$A$2:$A$5000,0)),""))</f>
        <v/>
      </c>
      <c r="M454" s="48" t="inlineStr">
        <is>
          <t>Marc Jacobs Daisy Love Eau de Toilette Miniature</t>
        </is>
      </c>
      <c r="N454" s="45" t="inlineStr">
        <is>
          <t>Marc Jacobs Daisy Love Miniature EDT 10ml | Swansura UK</t>
        </is>
      </c>
      <c r="O454" s="45">
        <f>LEN(N454)</f>
        <v/>
      </c>
      <c r="P454" s="49" t="inlineStr">
        <is>
          <t>Marc Jacobs Daisy Love Eau de Toilette Miniature for £19.99 at Swansura UK. A floral women's eau de toilette. 100% authentic, fast UK delivery, free over £50.</t>
        </is>
      </c>
      <c r="Q454" s="45">
        <f>LEN(P454)</f>
        <v/>
      </c>
      <c r="R454" s="49" t="n"/>
    </row>
    <row r="455" ht="23.25" customHeight="1" s="37">
      <c r="A455" s="45" t="inlineStr">
        <is>
          <t>FR-295</t>
        </is>
      </c>
      <c r="B455" s="45" t="inlineStr">
        <is>
          <t>Fragrance Catalogue</t>
        </is>
      </c>
      <c r="C455" s="45" t="inlineStr">
        <is>
          <t>Marc Jacobs</t>
        </is>
      </c>
      <c r="D455" s="45" t="inlineStr">
        <is>
          <t>Marc Jacobs Daisy Love Glow Limited Edition Eau de Toilette 50ml – Women's Floral Fragrance</t>
        </is>
      </c>
      <c r="E455" s="45" t="inlineStr">
        <is>
          <t>50ml</t>
        </is>
      </c>
      <c r="F455" s="46" t="n">
        <v>39.99</v>
      </c>
      <c r="G455" s="45" t="inlineStr">
        <is>
          <t>marc jacobs daisy love glow limited edition</t>
        </is>
      </c>
      <c r="H455" s="47">
        <f>IFERROR(INDEX('Semrush Data'!$C$2:$C$5000,MATCH(G455,'Semrush Data'!$A$2:$A$5000,0)),"")</f>
        <v/>
      </c>
      <c r="I455" s="45">
        <f>IFERROR(INDEX('Semrush Data'!$D$2:$D$5000,MATCH(G455,'Semrush Data'!$A$2:$A$5000,0)),"")</f>
        <v/>
      </c>
      <c r="J455" s="45">
        <f>IF(OR(H455="",H455=0),"No volume",IF(I455&lt;=20,"Easier",IF(I455&lt;=35,"Medium","Hard")))</f>
        <v/>
      </c>
      <c r="K455" s="45" t="n"/>
      <c r="L455" s="47">
        <f>IF(K455="","",IFERROR(INDEX('Semrush Data'!$C$2:$C$5000,MATCH(K455,'Semrush Data'!$A$2:$A$5000,0)),""))</f>
        <v/>
      </c>
      <c r="M455" s="48" t="inlineStr">
        <is>
          <t>Marc Jacobs Daisy Love Glow Limited Edition Eau de Toilette</t>
        </is>
      </c>
      <c r="N455" s="45" t="inlineStr">
        <is>
          <t>Marc Jacobs Daisy Love Glow Limited Edition | Swansura UK</t>
        </is>
      </c>
      <c r="O455" s="45">
        <f>LEN(N455)</f>
        <v/>
      </c>
      <c r="P455" s="49" t="inlineStr">
        <is>
          <t>Buy Marc Jacobs Daisy Love Glow Limited Edition Eau de Toilette 50ml for £39.99 at Swansura UK. A floral women's eau de toilette. Free UK delivery over £50.</t>
        </is>
      </c>
      <c r="Q455" s="45">
        <f>LEN(P455)</f>
        <v/>
      </c>
      <c r="R455" s="49" t="n"/>
    </row>
    <row r="456" ht="23.25" customHeight="1" s="37">
      <c r="A456" s="45" t="inlineStr">
        <is>
          <t>FR-296</t>
        </is>
      </c>
      <c r="B456" s="45" t="inlineStr">
        <is>
          <t>Fragrance Catalogue</t>
        </is>
      </c>
      <c r="C456" s="45" t="inlineStr">
        <is>
          <t>Marc Jacobs</t>
        </is>
      </c>
      <c r="D456" s="45" t="inlineStr">
        <is>
          <t>Marc Jacobs Perfect Eau de Toilette 10ml Miniature – Women's Floral Fragrance</t>
        </is>
      </c>
      <c r="E456" s="45" t="inlineStr">
        <is>
          <t>75ml</t>
        </is>
      </c>
      <c r="F456" s="46" t="n">
        <v>19.99</v>
      </c>
      <c r="G456" s="45" t="inlineStr">
        <is>
          <t>marc jacobs perfect miniature</t>
        </is>
      </c>
      <c r="H456" s="47">
        <f>IFERROR(INDEX('Semrush Data'!$C$2:$C$5000,MATCH(G456,'Semrush Data'!$A$2:$A$5000,0)),"")</f>
        <v/>
      </c>
      <c r="I456" s="45">
        <f>IFERROR(INDEX('Semrush Data'!$D$2:$D$5000,MATCH(G456,'Semrush Data'!$A$2:$A$5000,0)),"")</f>
        <v/>
      </c>
      <c r="J456" s="45">
        <f>IF(OR(H456="",H456=0),"No volume",IF(I456&lt;=20,"Easier",IF(I456&lt;=35,"Medium","Hard")))</f>
        <v/>
      </c>
      <c r="K456" s="45" t="n"/>
      <c r="L456" s="47">
        <f>IF(K456="","",IFERROR(INDEX('Semrush Data'!$C$2:$C$5000,MATCH(K456,'Semrush Data'!$A$2:$A$5000,0)),""))</f>
        <v/>
      </c>
      <c r="M456" s="48" t="inlineStr">
        <is>
          <t>Marc Jacobs Perfect Eau de Toilette Miniature</t>
        </is>
      </c>
      <c r="N456" s="45" t="inlineStr">
        <is>
          <t>Marc Jacobs Perfect Miniature EDT 75ml | Swansura UK</t>
        </is>
      </c>
      <c r="O456" s="45">
        <f>LEN(N456)</f>
        <v/>
      </c>
      <c r="P456" s="49" t="inlineStr">
        <is>
          <t>Buy Marc Jacobs Perfect Eau de Toilette Miniature for £19.99 at Swansura UK. A floral women's eau de toilette. 100% authentic, fast UK delivery, free over £50.</t>
        </is>
      </c>
      <c r="Q456" s="45">
        <f>LEN(P456)</f>
        <v/>
      </c>
      <c r="R456" s="49" t="n"/>
    </row>
    <row r="457" ht="23.25" customHeight="1" s="37">
      <c r="A457" s="45" t="inlineStr">
        <is>
          <t>FR-297</t>
        </is>
      </c>
      <c r="B457" s="45" t="inlineStr">
        <is>
          <t>Fragrance Catalogue</t>
        </is>
      </c>
      <c r="C457" s="45" t="inlineStr">
        <is>
          <t>Marc Jacobs</t>
        </is>
      </c>
      <c r="D457" s="45" t="inlineStr">
        <is>
          <t>Marc Jacobs Women's Miniature Fragrance Gift Set 2025 – Daisy, Daisy Eau So Fresh, Perfect &amp; Daisy Wild</t>
        </is>
      </c>
      <c r="E457" s="45" t="inlineStr">
        <is>
          <t>20ml</t>
        </is>
      </c>
      <c r="F457" s="46" t="n">
        <v>39.99</v>
      </c>
      <c r="G457" s="45" t="inlineStr">
        <is>
          <t>marc jacobs miniature gift set 2025</t>
        </is>
      </c>
      <c r="H457" s="47">
        <f>IFERROR(INDEX('Semrush Data'!$C$2:$C$5000,MATCH(G457,'Semrush Data'!$A$2:$A$5000,0)),"")</f>
        <v/>
      </c>
      <c r="I457" s="45">
        <f>IFERROR(INDEX('Semrush Data'!$D$2:$D$5000,MATCH(G457,'Semrush Data'!$A$2:$A$5000,0)),"")</f>
        <v/>
      </c>
      <c r="J457" s="45">
        <f>IF(OR(H457="",H457=0),"No volume",IF(I457&lt;=20,"Easier",IF(I457&lt;=35,"Medium","Hard")))</f>
        <v/>
      </c>
      <c r="K457" s="45" t="n"/>
      <c r="L457" s="47">
        <f>IF(K457="","",IFERROR(INDEX('Semrush Data'!$C$2:$C$5000,MATCH(K457,'Semrush Data'!$A$2:$A$5000,0)),""))</f>
        <v/>
      </c>
      <c r="M457" s="48" t="inlineStr">
        <is>
          <t>Marc Jacobs Women's Miniature Fragrance Gift Set 2025</t>
        </is>
      </c>
      <c r="N457" s="45" t="inlineStr">
        <is>
          <t>Marc Jacobs Women's Miniature Fragrance Gift Set 2025 | Swan</t>
        </is>
      </c>
      <c r="O457" s="45">
        <f>LEN(N457)</f>
        <v/>
      </c>
      <c r="P457" s="49" t="inlineStr">
        <is>
          <t>Marc Jacobs Women's Miniature Fragrance Gift Set 2025 for £39.99 at Swansura UK. A fresh women's fragrance gift set. 100% authentic, free UK delivery over £50.</t>
        </is>
      </c>
      <c r="Q457" s="45">
        <f>LEN(P457)</f>
        <v/>
      </c>
      <c r="R457" s="49" t="n"/>
    </row>
    <row r="458" ht="23.25" customHeight="1" s="37">
      <c r="A458" s="45" t="inlineStr">
        <is>
          <t>FR-298</t>
        </is>
      </c>
      <c r="B458" s="45" t="inlineStr">
        <is>
          <t>Fragrance Catalogue</t>
        </is>
      </c>
      <c r="C458" s="45" t="inlineStr">
        <is>
          <t>Montale</t>
        </is>
      </c>
      <c r="D458" s="45" t="inlineStr">
        <is>
          <t>Montale Aoud Damascus Eau de Parfum 100ml – Women's Rose Oud Longlasting Fragrance</t>
        </is>
      </c>
      <c r="E458" s="45" t="inlineStr">
        <is>
          <t>100ml</t>
        </is>
      </c>
      <c r="F458" s="46" t="n">
        <v>52.99</v>
      </c>
      <c r="G458" s="45" t="inlineStr">
        <is>
          <t>montale aoud damascus</t>
        </is>
      </c>
      <c r="H458" s="47">
        <f>IFERROR(INDEX('Semrush Data'!$C$2:$C$5000,MATCH(G458,'Semrush Data'!$A$2:$A$5000,0)),"")</f>
        <v/>
      </c>
      <c r="I458" s="45">
        <f>IFERROR(INDEX('Semrush Data'!$D$2:$D$5000,MATCH(G458,'Semrush Data'!$A$2:$A$5000,0)),"")</f>
        <v/>
      </c>
      <c r="J458" s="45">
        <f>IF(OR(H458="",H458=0),"No volume",IF(I458&lt;=20,"Easier",IF(I458&lt;=35,"Medium","Hard")))</f>
        <v/>
      </c>
      <c r="K458" s="45" t="n"/>
      <c r="L458" s="47">
        <f>IF(K458="","",IFERROR(INDEX('Semrush Data'!$C$2:$C$5000,MATCH(K458,'Semrush Data'!$A$2:$A$5000,0)),""))</f>
        <v/>
      </c>
      <c r="M458" s="48" t="inlineStr">
        <is>
          <t>Montale Aoud Damascus Eau de Parfum</t>
        </is>
      </c>
      <c r="N458" s="45" t="inlineStr">
        <is>
          <t>Montale Aoud Damascus Eau de Parfum 100ml | Swansura UK</t>
        </is>
      </c>
      <c r="O458" s="45">
        <f>LEN(N458)</f>
        <v/>
      </c>
      <c r="P458" s="49" t="inlineStr">
        <is>
          <t>Buy Montale Aoud Damascus Eau de Parfum 100ml for £52.99 at Swansura UK. An oud women's eau de parfum. 100% authentic, fast UK delivery, free over £50.</t>
        </is>
      </c>
      <c r="Q458" s="45">
        <f>LEN(P458)</f>
        <v/>
      </c>
      <c r="R458" s="49" t="n"/>
    </row>
    <row r="459" ht="23.25" customHeight="1" s="37">
      <c r="A459" s="45" t="inlineStr">
        <is>
          <t>FR-299</t>
        </is>
      </c>
      <c r="B459" s="45" t="inlineStr">
        <is>
          <t>Fragrance Catalogue</t>
        </is>
      </c>
      <c r="C459" s="45" t="inlineStr">
        <is>
          <t>Montale</t>
        </is>
      </c>
      <c r="D459" s="45" t="inlineStr">
        <is>
          <t>Montale Aoud Safran Eau de Parfum 100ml – Luxury Unisex Saffron Oud Fragrance</t>
        </is>
      </c>
      <c r="E459" s="45" t="inlineStr">
        <is>
          <t>100ml</t>
        </is>
      </c>
      <c r="F459" s="46" t="n">
        <v>54.99</v>
      </c>
      <c r="G459" s="45" t="inlineStr">
        <is>
          <t>montale aoud safran</t>
        </is>
      </c>
      <c r="H459" s="47">
        <f>IFERROR(INDEX('Semrush Data'!$C$2:$C$5000,MATCH(G459,'Semrush Data'!$A$2:$A$5000,0)),"")</f>
        <v/>
      </c>
      <c r="I459" s="45">
        <f>IFERROR(INDEX('Semrush Data'!$D$2:$D$5000,MATCH(G459,'Semrush Data'!$A$2:$A$5000,0)),"")</f>
        <v/>
      </c>
      <c r="J459" s="45">
        <f>IF(OR(H459="",H459=0),"No volume",IF(I459&lt;=20,"Easier",IF(I459&lt;=35,"Medium","Hard")))</f>
        <v/>
      </c>
      <c r="K459" s="45" t="n"/>
      <c r="L459" s="47">
        <f>IF(K459="","",IFERROR(INDEX('Semrush Data'!$C$2:$C$5000,MATCH(K459,'Semrush Data'!$A$2:$A$5000,0)),""))</f>
        <v/>
      </c>
      <c r="M459" s="48" t="inlineStr">
        <is>
          <t>Montale Aoud Safran Eau de Parfum</t>
        </is>
      </c>
      <c r="N459" s="45" t="inlineStr">
        <is>
          <t>Montale Aoud Safran Eau de Parfum | Buy Online UK | Swansura</t>
        </is>
      </c>
      <c r="O459" s="45">
        <f>LEN(N459)</f>
        <v/>
      </c>
      <c r="P459" s="49" t="inlineStr">
        <is>
          <t>Buy Montale Aoud Safran Eau de Parfum 100ml for £54.99 at Swansura UK. An oud unisex eau de parfum. 100% authentic, fast UK delivery, free over £50.</t>
        </is>
      </c>
      <c r="Q459" s="45">
        <f>LEN(P459)</f>
        <v/>
      </c>
      <c r="R459" s="49" t="n"/>
    </row>
    <row r="460" ht="23.25" customHeight="1" s="37">
      <c r="A460" s="45" t="inlineStr">
        <is>
          <t>FR-300</t>
        </is>
      </c>
      <c r="B460" s="45" t="inlineStr">
        <is>
          <t>Fragrance Catalogue</t>
        </is>
      </c>
      <c r="C460" s="45" t="inlineStr">
        <is>
          <t>Nina Ricci</t>
        </is>
      </c>
      <c r="D460" s="45" t="inlineStr">
        <is>
          <t>Nina Ricci Nina Illusion Eau de Parfum 50ml – Women's Floral Fruity Fragrance</t>
        </is>
      </c>
      <c r="E460" s="45" t="inlineStr">
        <is>
          <t>50ml</t>
        </is>
      </c>
      <c r="F460" s="46" t="n">
        <v>38.99</v>
      </c>
      <c r="G460" s="45" t="inlineStr">
        <is>
          <t>nina ricci nina illusion</t>
        </is>
      </c>
      <c r="H460" s="47">
        <f>IFERROR(INDEX('Semrush Data'!$C$2:$C$5000,MATCH(G460,'Semrush Data'!$A$2:$A$5000,0)),"")</f>
        <v/>
      </c>
      <c r="I460" s="45">
        <f>IFERROR(INDEX('Semrush Data'!$D$2:$D$5000,MATCH(G460,'Semrush Data'!$A$2:$A$5000,0)),"")</f>
        <v/>
      </c>
      <c r="J460" s="45">
        <f>IF(OR(H460="",H460=0),"No volume",IF(I460&lt;=20,"Easier",IF(I460&lt;=35,"Medium","Hard")))</f>
        <v/>
      </c>
      <c r="K460" s="45" t="n"/>
      <c r="L460" s="47">
        <f>IF(K460="","",IFERROR(INDEX('Semrush Data'!$C$2:$C$5000,MATCH(K460,'Semrush Data'!$A$2:$A$5000,0)),""))</f>
        <v/>
      </c>
      <c r="M460" s="48" t="inlineStr">
        <is>
          <t>Nina Ricci Nina Illusion Eau de Parfum</t>
        </is>
      </c>
      <c r="N460" s="45" t="inlineStr">
        <is>
          <t>Nina Ricci Nina Illusion Eau de Parfum 50ml | Swansura UK</t>
        </is>
      </c>
      <c r="O460" s="45">
        <f>LEN(N460)</f>
        <v/>
      </c>
      <c r="P460" s="49" t="inlineStr">
        <is>
          <t>Buy Nina Ricci Nina Illusion Eau de Parfum 50ml for £38.99 at Swansura UK. A floral women's eau de parfum. 100% authentic, fast UK delivery, free over £50.</t>
        </is>
      </c>
      <c r="Q460" s="45">
        <f>LEN(P460)</f>
        <v/>
      </c>
      <c r="R460" s="49" t="n"/>
    </row>
    <row r="461" ht="23.25" customHeight="1" s="37">
      <c r="A461" s="45" t="inlineStr">
        <is>
          <t>FR-301</t>
        </is>
      </c>
      <c r="B461" s="45" t="inlineStr">
        <is>
          <t>Fragrance Catalogue</t>
        </is>
      </c>
      <c r="C461" s="45" t="inlineStr">
        <is>
          <t>Nina Ricci</t>
        </is>
      </c>
      <c r="D461" s="45" t="inlineStr">
        <is>
          <t>Nina Ricci Nina Precious Gold Eau de Parfum 50ml – Women's Floral Gourmand Fragrance</t>
        </is>
      </c>
      <c r="E461" s="45" t="inlineStr">
        <is>
          <t>50ml</t>
        </is>
      </c>
      <c r="F461" s="46" t="n">
        <v>40.99</v>
      </c>
      <c r="G461" s="45" t="inlineStr">
        <is>
          <t>nina ricci nina precious gold</t>
        </is>
      </c>
      <c r="H461" s="47">
        <f>IFERROR(INDEX('Semrush Data'!$C$2:$C$5000,MATCH(G461,'Semrush Data'!$A$2:$A$5000,0)),"")</f>
        <v/>
      </c>
      <c r="I461" s="45">
        <f>IFERROR(INDEX('Semrush Data'!$D$2:$D$5000,MATCH(G461,'Semrush Data'!$A$2:$A$5000,0)),"")</f>
        <v/>
      </c>
      <c r="J461" s="45">
        <f>IF(OR(H461="",H461=0),"No volume",IF(I461&lt;=20,"Easier",IF(I461&lt;=35,"Medium","Hard")))</f>
        <v/>
      </c>
      <c r="K461" s="45" t="n"/>
      <c r="L461" s="47">
        <f>IF(K461="","",IFERROR(INDEX('Semrush Data'!$C$2:$C$5000,MATCH(K461,'Semrush Data'!$A$2:$A$5000,0)),""))</f>
        <v/>
      </c>
      <c r="M461" s="48" t="inlineStr">
        <is>
          <t>Nina Ricci Nina Precious Gold Eau de Parfum</t>
        </is>
      </c>
      <c r="N461" s="45" t="inlineStr">
        <is>
          <t>Nina Ricci Nina Precious Gold EDP 50ml | Swansura UK</t>
        </is>
      </c>
      <c r="O461" s="45">
        <f>LEN(N461)</f>
        <v/>
      </c>
      <c r="P461" s="49" t="inlineStr">
        <is>
          <t>Buy Nina Ricci Nina Precious Gold Eau de Parfum 50ml for £40.99 at Swansura UK. A floral women's eau de parfum. 100% authentic, fast UK delivery, free over £50.</t>
        </is>
      </c>
      <c r="Q461" s="45">
        <f>LEN(P461)</f>
        <v/>
      </c>
      <c r="R461" s="49" t="n"/>
    </row>
    <row r="462" ht="45.75" customHeight="1" s="37">
      <c r="A462" s="45" t="inlineStr">
        <is>
          <t>FR-302</t>
        </is>
      </c>
      <c r="B462" s="45" t="inlineStr">
        <is>
          <t>Fragrance Catalogue</t>
        </is>
      </c>
      <c r="C462" s="45" t="inlineStr">
        <is>
          <t>Nina Ricci</t>
        </is>
      </c>
      <c r="D462" s="45" t="inlineStr">
        <is>
          <t>Nina Ricci L'Air du Temps Eau de Toilette– Women's Floral Fragrance</t>
        </is>
      </c>
      <c r="E462" s="45" t="inlineStr">
        <is>
          <t>100ml</t>
        </is>
      </c>
      <c r="F462" s="46" t="n">
        <v>43.99</v>
      </c>
      <c r="G462" s="45" t="inlineStr">
        <is>
          <t>nina ricci l'air du temps</t>
        </is>
      </c>
      <c r="H462" s="47">
        <f>IFERROR(INDEX('Semrush Data'!$C$2:$C$5000,MATCH(G462,'Semrush Data'!$A$2:$A$5000,0)),"")</f>
        <v/>
      </c>
      <c r="I462" s="45">
        <f>IFERROR(INDEX('Semrush Data'!$D$2:$D$5000,MATCH(G462,'Semrush Data'!$A$2:$A$5000,0)),"")</f>
        <v/>
      </c>
      <c r="J462" s="45">
        <f>IF(OR(H462="",H462=0),"No volume",IF(I462&lt;=20,"Easier",IF(I462&lt;=35,"Medium","Hard")))</f>
        <v/>
      </c>
      <c r="K462" s="45" t="inlineStr">
        <is>
          <t>nina ricci l'air du temps perfume</t>
        </is>
      </c>
      <c r="L462" s="47">
        <f>IF(K462="","",IFERROR(INDEX('Semrush Data'!$C$2:$C$5000,MATCH(K462,'Semrush Data'!$A$2:$A$5000,0)),""))</f>
        <v/>
      </c>
      <c r="M462" s="48" t="inlineStr">
        <is>
          <t>Nina Ricci L'Air du Temps Eau de Toilette 100ml</t>
        </is>
      </c>
      <c r="N462" s="45" t="inlineStr">
        <is>
          <t>Nina Ricci L'Air du Temps 100ml EDT | Swansura UK</t>
        </is>
      </c>
      <c r="O462" s="45">
        <f>LEN(N462)</f>
        <v/>
      </c>
      <c r="P462" s="49" t="inlineStr">
        <is>
          <t>Nina Ricci L'Air du Temps Eau de Toilette 100ml for £43.99 at Swansura UK. A floral women's eau de toilette. 100% authentic, fast UK delivery, free over £50.</t>
        </is>
      </c>
      <c r="Q462" s="45">
        <f>LEN(P462)</f>
        <v/>
      </c>
      <c r="R462" s="49" t="inlineStr">
        <is>
          <t>Shares the keyword "nina ricci l'air du temps" with 1 other listing(s): consider merging sizes as variants of one product; Same name and size listed at different prices (£43.99, £28.99): check size/price in the sheet</t>
        </is>
      </c>
    </row>
    <row r="463" ht="45.75" customHeight="1" s="37">
      <c r="A463" s="45" t="inlineStr">
        <is>
          <t>FR-303</t>
        </is>
      </c>
      <c r="B463" s="45" t="inlineStr">
        <is>
          <t>Fragrance Catalogue</t>
        </is>
      </c>
      <c r="C463" s="45" t="inlineStr">
        <is>
          <t>Nina Ricci</t>
        </is>
      </c>
      <c r="D463" s="45" t="inlineStr">
        <is>
          <t>Nina Ricci L'Air du Temps Eau de Toilette– Women's Floral Fragrance</t>
        </is>
      </c>
      <c r="E463" s="45" t="inlineStr">
        <is>
          <t>100ml</t>
        </is>
      </c>
      <c r="F463" s="46" t="n">
        <v>28.99</v>
      </c>
      <c r="G463" s="45" t="inlineStr">
        <is>
          <t>nina ricci l'air du temps</t>
        </is>
      </c>
      <c r="H463" s="47">
        <f>IFERROR(INDEX('Semrush Data'!$C$2:$C$5000,MATCH(G463,'Semrush Data'!$A$2:$A$5000,0)),"")</f>
        <v/>
      </c>
      <c r="I463" s="45">
        <f>IFERROR(INDEX('Semrush Data'!$D$2:$D$5000,MATCH(G463,'Semrush Data'!$A$2:$A$5000,0)),"")</f>
        <v/>
      </c>
      <c r="J463" s="45">
        <f>IF(OR(H463="",H463=0),"No volume",IF(I463&lt;=20,"Easier",IF(I463&lt;=35,"Medium","Hard")))</f>
        <v/>
      </c>
      <c r="K463" s="45" t="inlineStr">
        <is>
          <t>nina ricci l'air du temps perfume</t>
        </is>
      </c>
      <c r="L463" s="47">
        <f>IF(K463="","",IFERROR(INDEX('Semrush Data'!$C$2:$C$5000,MATCH(K463,'Semrush Data'!$A$2:$A$5000,0)),""))</f>
        <v/>
      </c>
      <c r="M463" s="48" t="inlineStr">
        <is>
          <t>Nina Ricci L'Air du Temps Eau de Toilette 100ml</t>
        </is>
      </c>
      <c r="N463" s="45" t="inlineStr">
        <is>
          <t>Nina Ricci L'Air du Temps 100ml EDT | Swansura UK</t>
        </is>
      </c>
      <c r="O463" s="45">
        <f>LEN(N463)</f>
        <v/>
      </c>
      <c r="P463" s="49" t="inlineStr">
        <is>
          <t>Nina Ricci L'Air du Temps Eau de Toilette 100ml for £28.99 at Swansura UK. A floral women's eau de toilette. 100% authentic, fast UK delivery, free over £50.</t>
        </is>
      </c>
      <c r="Q463" s="45">
        <f>LEN(P463)</f>
        <v/>
      </c>
      <c r="R463" s="49" t="inlineStr">
        <is>
          <t>Shares the keyword "nina ricci l'air du temps" with 1 other listing(s): consider merging sizes as variants of one product; Same name and size listed at different prices (£43.99, £28.99): check size/price in the sheet</t>
        </is>
      </c>
    </row>
    <row r="464" ht="23.25" customHeight="1" s="37">
      <c r="A464" s="45" t="inlineStr">
        <is>
          <t>FR-304</t>
        </is>
      </c>
      <c r="B464" s="45" t="inlineStr">
        <is>
          <t>Fragrance Catalogue</t>
        </is>
      </c>
      <c r="C464" s="45" t="inlineStr">
        <is>
          <t>Paloma</t>
        </is>
      </c>
      <c r="D464" s="45" t="inlineStr">
        <is>
          <t>Paloma Picasso Eau de Toilette 100ml – Women's Chypre Floral Fragrance</t>
        </is>
      </c>
      <c r="E464" s="45" t="inlineStr">
        <is>
          <t>100ml</t>
        </is>
      </c>
      <c r="F464" s="46" t="n">
        <v>37.99</v>
      </c>
      <c r="G464" s="45" t="inlineStr">
        <is>
          <t>paloma picasso</t>
        </is>
      </c>
      <c r="H464" s="47">
        <f>IFERROR(INDEX('Semrush Data'!$C$2:$C$5000,MATCH(G464,'Semrush Data'!$A$2:$A$5000,0)),"")</f>
        <v/>
      </c>
      <c r="I464" s="45">
        <f>IFERROR(INDEX('Semrush Data'!$D$2:$D$5000,MATCH(G464,'Semrush Data'!$A$2:$A$5000,0)),"")</f>
        <v/>
      </c>
      <c r="J464" s="45">
        <f>IF(OR(H464="",H464=0),"No volume",IF(I464&lt;=20,"Easier",IF(I464&lt;=35,"Medium","Hard")))</f>
        <v/>
      </c>
      <c r="K464" s="45" t="inlineStr">
        <is>
          <t>paloma picasso perfume</t>
        </is>
      </c>
      <c r="L464" s="47">
        <f>IF(K464="","",IFERROR(INDEX('Semrush Data'!$C$2:$C$5000,MATCH(K464,'Semrush Data'!$A$2:$A$5000,0)),""))</f>
        <v/>
      </c>
      <c r="M464" s="48" t="inlineStr">
        <is>
          <t>Paloma Picasso Eau de Toilette</t>
        </is>
      </c>
      <c r="N464" s="45" t="inlineStr">
        <is>
          <t>Paloma Picasso Eau de Toilette | Buy Online UK | Swansura</t>
        </is>
      </c>
      <c r="O464" s="45">
        <f>LEN(N464)</f>
        <v/>
      </c>
      <c r="P464" s="49" t="inlineStr">
        <is>
          <t>Buy Paloma Picasso Eau de Toilette 100ml for £37.99 at Swansura UK. A floral women's eau de toilette. 100% authentic, fast UK delivery, free over £50.</t>
        </is>
      </c>
      <c r="Q464" s="45">
        <f>LEN(P464)</f>
        <v/>
      </c>
      <c r="R464" s="49" t="n"/>
    </row>
    <row r="465" ht="23.25" customHeight="1" s="37">
      <c r="A465" s="45" t="inlineStr">
        <is>
          <t>FR-305</t>
        </is>
      </c>
      <c r="B465" s="45" t="inlineStr">
        <is>
          <t>Fragrance Catalogue</t>
        </is>
      </c>
      <c r="C465" s="45" t="inlineStr">
        <is>
          <t>phillip plein</t>
        </is>
      </c>
      <c r="D465" s="45" t="inlineStr">
        <is>
          <t>Philipp Plein No Limits Deodorant Stick 75g – Men's Fragranced Deodorant</t>
        </is>
      </c>
      <c r="E465" s="45" t="inlineStr">
        <is>
          <t>75g</t>
        </is>
      </c>
      <c r="F465" s="46" t="n">
        <v>16.99</v>
      </c>
      <c r="G465" s="45" t="inlineStr">
        <is>
          <t>philipp plein no limits deodorant stick</t>
        </is>
      </c>
      <c r="H465" s="47">
        <f>IFERROR(INDEX('Semrush Data'!$C$2:$C$5000,MATCH(G465,'Semrush Data'!$A$2:$A$5000,0)),"")</f>
        <v/>
      </c>
      <c r="I465" s="45">
        <f>IFERROR(INDEX('Semrush Data'!$D$2:$D$5000,MATCH(G465,'Semrush Data'!$A$2:$A$5000,0)),"")</f>
        <v/>
      </c>
      <c r="J465" s="45">
        <f>IF(OR(H465="",H465=0),"No volume",IF(I465&lt;=20,"Easier",IF(I465&lt;=35,"Medium","Hard")))</f>
        <v/>
      </c>
      <c r="K465" s="45" t="n"/>
      <c r="L465" s="47">
        <f>IF(K465="","",IFERROR(INDEX('Semrush Data'!$C$2:$C$5000,MATCH(K465,'Semrush Data'!$A$2:$A$5000,0)),""))</f>
        <v/>
      </c>
      <c r="M465" s="48" t="inlineStr">
        <is>
          <t>Philipp Plein No Limits Deodorant Stick</t>
        </is>
      </c>
      <c r="N465" s="45" t="inlineStr">
        <is>
          <t>Philipp Plein No Limits Deodorant Stick 75g | Swansura UK</t>
        </is>
      </c>
      <c r="O465" s="45">
        <f>LEN(N465)</f>
        <v/>
      </c>
      <c r="P465" s="49" t="inlineStr">
        <is>
          <t>Buy Philipp Plein No Limits Deodorant Stick 75g for £16.99 at Swansura UK. A woody men's fragrance. 100% authentic, fast UK delivery, free over £50.</t>
        </is>
      </c>
      <c r="Q465" s="45">
        <f>LEN(P465)</f>
        <v/>
      </c>
      <c r="R465" s="49" t="inlineStr">
        <is>
          <t>Spelling: Philipp Plein</t>
        </is>
      </c>
    </row>
    <row r="466" ht="23.25" customHeight="1" s="37">
      <c r="A466" s="45" t="inlineStr">
        <is>
          <t>FR-306</t>
        </is>
      </c>
      <c r="B466" s="45" t="inlineStr">
        <is>
          <t>Fragrance Catalogue</t>
        </is>
      </c>
      <c r="C466" s="45" t="inlineStr">
        <is>
          <t>phillip plein</t>
        </is>
      </c>
      <c r="D466" s="45" t="inlineStr">
        <is>
          <t>Philipp Plein No Limits Super Fresh Eau de Toilette 50ml – Men's Fresh Woody Leather Fragrance</t>
        </is>
      </c>
      <c r="E466" s="45" t="inlineStr">
        <is>
          <t>50ml</t>
        </is>
      </c>
      <c r="F466" s="46" t="n">
        <v>25.99</v>
      </c>
      <c r="G466" s="45" t="inlineStr">
        <is>
          <t>philipp plein no limits super fresh</t>
        </is>
      </c>
      <c r="H466" s="47">
        <f>IFERROR(INDEX('Semrush Data'!$C$2:$C$5000,MATCH(G466,'Semrush Data'!$A$2:$A$5000,0)),"")</f>
        <v/>
      </c>
      <c r="I466" s="45">
        <f>IFERROR(INDEX('Semrush Data'!$D$2:$D$5000,MATCH(G466,'Semrush Data'!$A$2:$A$5000,0)),"")</f>
        <v/>
      </c>
      <c r="J466" s="45">
        <f>IF(OR(H466="",H466=0),"No volume",IF(I466&lt;=20,"Easier",IF(I466&lt;=35,"Medium","Hard")))</f>
        <v/>
      </c>
      <c r="K466" s="45" t="n"/>
      <c r="L466" s="47">
        <f>IF(K466="","",IFERROR(INDEX('Semrush Data'!$C$2:$C$5000,MATCH(K466,'Semrush Data'!$A$2:$A$5000,0)),""))</f>
        <v/>
      </c>
      <c r="M466" s="48" t="inlineStr">
        <is>
          <t>Philipp Plein No Limits Super Fresh Eau de Toilette</t>
        </is>
      </c>
      <c r="N466" s="45" t="inlineStr">
        <is>
          <t>Philipp Plein No Limits Super Fresh EDT 50ml | Swansura UK</t>
        </is>
      </c>
      <c r="O466" s="45">
        <f>LEN(N466)</f>
        <v/>
      </c>
      <c r="P466" s="49" t="inlineStr">
        <is>
          <t>Philipp Plein No Limits Super Fresh Eau de Toilette for £25.99 at Swansura UK. A woody men's eau de toilette. 100% authentic, fast UK delivery, free over £50.</t>
        </is>
      </c>
      <c r="Q466" s="45">
        <f>LEN(P466)</f>
        <v/>
      </c>
      <c r="R466" s="49" t="inlineStr">
        <is>
          <t>Spelling: Philipp Plein</t>
        </is>
      </c>
    </row>
    <row r="467" ht="23.25" customHeight="1" s="37">
      <c r="A467" s="45" t="inlineStr">
        <is>
          <t>FR-307</t>
        </is>
      </c>
      <c r="B467" s="45" t="inlineStr">
        <is>
          <t>Fragrance Catalogue</t>
        </is>
      </c>
      <c r="C467" s="45" t="inlineStr">
        <is>
          <t>phillip plein</t>
        </is>
      </c>
      <c r="D467" s="45" t="inlineStr">
        <is>
          <t>Philipp Plein No Limits After Shave Balm 150ml – Men's Grooming &amp; Fragrance Care</t>
        </is>
      </c>
      <c r="E467" s="45" t="inlineStr">
        <is>
          <t>150ml</t>
        </is>
      </c>
      <c r="F467" s="46" t="n">
        <v>23.99</v>
      </c>
      <c r="G467" s="45" t="inlineStr">
        <is>
          <t>philipp plein no limits after shave balm</t>
        </is>
      </c>
      <c r="H467" s="47">
        <f>IFERROR(INDEX('Semrush Data'!$C$2:$C$5000,MATCH(G467,'Semrush Data'!$A$2:$A$5000,0)),"")</f>
        <v/>
      </c>
      <c r="I467" s="45">
        <f>IFERROR(INDEX('Semrush Data'!$D$2:$D$5000,MATCH(G467,'Semrush Data'!$A$2:$A$5000,0)),"")</f>
        <v/>
      </c>
      <c r="J467" s="45">
        <f>IF(OR(H467="",H467=0),"No volume",IF(I467&lt;=20,"Easier",IF(I467&lt;=35,"Medium","Hard")))</f>
        <v/>
      </c>
      <c r="K467" s="45" t="n"/>
      <c r="L467" s="47">
        <f>IF(K467="","",IFERROR(INDEX('Semrush Data'!$C$2:$C$5000,MATCH(K467,'Semrush Data'!$A$2:$A$5000,0)),""))</f>
        <v/>
      </c>
      <c r="M467" s="48" t="inlineStr">
        <is>
          <t>Philipp Plein No Limits After Shave Balm</t>
        </is>
      </c>
      <c r="N467" s="45" t="inlineStr">
        <is>
          <t>Philipp Plein No Limits After Shave Balm 150ml | Swansura UK</t>
        </is>
      </c>
      <c r="O467" s="45">
        <f>LEN(N467)</f>
        <v/>
      </c>
      <c r="P467" s="49" t="inlineStr">
        <is>
          <t>Buy Philipp Plein No Limits After Shave Balm 150ml for £23.99 at Swansura UK. A woody men's fragrance. 100% authentic, fast UK delivery, free over £50.</t>
        </is>
      </c>
      <c r="Q467" s="45">
        <f>LEN(P467)</f>
        <v/>
      </c>
      <c r="R467" s="49" t="inlineStr">
        <is>
          <t>Spelling: Philipp Plein</t>
        </is>
      </c>
    </row>
    <row r="468" ht="23.25" customHeight="1" s="37">
      <c r="A468" s="45" t="inlineStr">
        <is>
          <t>FR-308</t>
        </is>
      </c>
      <c r="B468" s="45" t="inlineStr">
        <is>
          <t>Fragrance Catalogue</t>
        </is>
      </c>
      <c r="C468" s="45" t="inlineStr">
        <is>
          <t>Rihanah</t>
        </is>
      </c>
      <c r="D468" s="45" t="inlineStr">
        <is>
          <t>Rihanah Ajwaa Oud Eau De Parfum Spray (Unisex) 100ml</t>
        </is>
      </c>
      <c r="E468" s="45" t="inlineStr">
        <is>
          <t>100ml</t>
        </is>
      </c>
      <c r="F468" s="46" t="n">
        <v>17.99</v>
      </c>
      <c r="G468" s="45" t="inlineStr">
        <is>
          <t>rihanah ajwaa oud</t>
        </is>
      </c>
      <c r="H468" s="47">
        <f>IFERROR(INDEX('Semrush Data'!$C$2:$C$5000,MATCH(G468,'Semrush Data'!$A$2:$A$5000,0)),"")</f>
        <v/>
      </c>
      <c r="I468" s="45">
        <f>IFERROR(INDEX('Semrush Data'!$D$2:$D$5000,MATCH(G468,'Semrush Data'!$A$2:$A$5000,0)),"")</f>
        <v/>
      </c>
      <c r="J468" s="45">
        <f>IF(OR(H468="",H468=0),"No volume",IF(I468&lt;=20,"Easier",IF(I468&lt;=35,"Medium","Hard")))</f>
        <v/>
      </c>
      <c r="K468" s="45" t="n"/>
      <c r="L468" s="47">
        <f>IF(K468="","",IFERROR(INDEX('Semrush Data'!$C$2:$C$5000,MATCH(K468,'Semrush Data'!$A$2:$A$5000,0)),""))</f>
        <v/>
      </c>
      <c r="M468" s="48" t="inlineStr">
        <is>
          <t>Rihanah Ajwaa Oud Eau De Parfum Spray (Unisex)</t>
        </is>
      </c>
      <c r="N468" s="45" t="inlineStr">
        <is>
          <t>Rihanah Ajwaa Oud Spray (Unisex) EDP 100ml | Swansura UK</t>
        </is>
      </c>
      <c r="O468" s="45">
        <f>LEN(N468)</f>
        <v/>
      </c>
      <c r="P468" s="49" t="inlineStr">
        <is>
          <t>Buy Rihanah Ajwaa Oud Eau De Parfum Spray (Unisex) 100ml for £17.99 at Swansura UK. An oud unisex eau de parfum. 100% authentic, free UK delivery over £50.</t>
        </is>
      </c>
      <c r="Q468" s="45">
        <f>LEN(P468)</f>
        <v/>
      </c>
      <c r="R468" s="49" t="n"/>
    </row>
    <row r="469" ht="23.25" customHeight="1" s="37">
      <c r="A469" s="45" t="inlineStr">
        <is>
          <t>FR-309</t>
        </is>
      </c>
      <c r="B469" s="45" t="inlineStr">
        <is>
          <t>Fragrance Catalogue</t>
        </is>
      </c>
      <c r="C469" s="45" t="inlineStr">
        <is>
          <t>S.T. Dupont</t>
        </is>
      </c>
      <c r="D469" s="45" t="inlineStr">
        <is>
          <t>S.T. Dupont Perfect Tobacco Eau de Parfum 100ml – Unisex Woody Spicy Tobacco Fragrance</t>
        </is>
      </c>
      <c r="E469" s="45" t="inlineStr">
        <is>
          <t>100ml</t>
        </is>
      </c>
      <c r="F469" s="46" t="n">
        <v>43.99</v>
      </c>
      <c r="G469" s="45" t="inlineStr">
        <is>
          <t>s.t. dupont perfect tobacco</t>
        </is>
      </c>
      <c r="H469" s="47">
        <f>IFERROR(INDEX('Semrush Data'!$C$2:$C$5000,MATCH(G469,'Semrush Data'!$A$2:$A$5000,0)),"")</f>
        <v/>
      </c>
      <c r="I469" s="45">
        <f>IFERROR(INDEX('Semrush Data'!$D$2:$D$5000,MATCH(G469,'Semrush Data'!$A$2:$A$5000,0)),"")</f>
        <v/>
      </c>
      <c r="J469" s="45">
        <f>IF(OR(H469="",H469=0),"No volume",IF(I469&lt;=20,"Easier",IF(I469&lt;=35,"Medium","Hard")))</f>
        <v/>
      </c>
      <c r="K469" s="45" t="n"/>
      <c r="L469" s="47">
        <f>IF(K469="","",IFERROR(INDEX('Semrush Data'!$C$2:$C$5000,MATCH(K469,'Semrush Data'!$A$2:$A$5000,0)),""))</f>
        <v/>
      </c>
      <c r="M469" s="48" t="inlineStr">
        <is>
          <t>S.T. Dupont Perfect Tobacco Eau de Parfum</t>
        </is>
      </c>
      <c r="N469" s="45" t="inlineStr">
        <is>
          <t>S.T. Dupont Perfect Tobacco EDP 100ml | Swansura UK</t>
        </is>
      </c>
      <c r="O469" s="45">
        <f>LEN(N469)</f>
        <v/>
      </c>
      <c r="P469" s="49" t="inlineStr">
        <is>
          <t>Buy S.T. Dupont Perfect Tobacco Eau de Parfum 100ml for £43.99 at Swansura UK. A woody unisex eau de parfum. 100% authentic, fast UK delivery, free over £50.</t>
        </is>
      </c>
      <c r="Q469" s="45">
        <f>LEN(P469)</f>
        <v/>
      </c>
      <c r="R469" s="49" t="n"/>
    </row>
    <row r="470" ht="23.25" customHeight="1" s="37">
      <c r="A470" s="45" t="inlineStr">
        <is>
          <t>FR-310</t>
        </is>
      </c>
      <c r="B470" s="45" t="inlineStr">
        <is>
          <t>Fragrance Catalogue</t>
        </is>
      </c>
      <c r="C470" s="45" t="inlineStr">
        <is>
          <t>S.T. Dupont</t>
        </is>
      </c>
      <c r="D470" s="45" t="inlineStr">
        <is>
          <t>S.T. Dupont Pure Bloom Eau de Parfum 100ml – Women's Floral Fruity Fragrance</t>
        </is>
      </c>
      <c r="E470" s="45" t="inlineStr">
        <is>
          <t>100ml</t>
        </is>
      </c>
      <c r="F470" s="46" t="n">
        <v>43.99</v>
      </c>
      <c r="G470" s="45" t="inlineStr">
        <is>
          <t>s.t. dupont pure bloom</t>
        </is>
      </c>
      <c r="H470" s="47">
        <f>IFERROR(INDEX('Semrush Data'!$C$2:$C$5000,MATCH(G470,'Semrush Data'!$A$2:$A$5000,0)),"")</f>
        <v/>
      </c>
      <c r="I470" s="45">
        <f>IFERROR(INDEX('Semrush Data'!$D$2:$D$5000,MATCH(G470,'Semrush Data'!$A$2:$A$5000,0)),"")</f>
        <v/>
      </c>
      <c r="J470" s="45">
        <f>IF(OR(H470="",H470=0),"No volume",IF(I470&lt;=20,"Easier",IF(I470&lt;=35,"Medium","Hard")))</f>
        <v/>
      </c>
      <c r="K470" s="45" t="n"/>
      <c r="L470" s="47">
        <f>IF(K470="","",IFERROR(INDEX('Semrush Data'!$C$2:$C$5000,MATCH(K470,'Semrush Data'!$A$2:$A$5000,0)),""))</f>
        <v/>
      </c>
      <c r="M470" s="48" t="inlineStr">
        <is>
          <t>S.T. Dupont Pure Bloom Eau de Parfum</t>
        </is>
      </c>
      <c r="N470" s="45" t="inlineStr">
        <is>
          <t>S.T. Dupont Pure Bloom Eau de Parfum 100ml | Swansura UK</t>
        </is>
      </c>
      <c r="O470" s="45">
        <f>LEN(N470)</f>
        <v/>
      </c>
      <c r="P470" s="49" t="inlineStr">
        <is>
          <t>Buy S.T. Dupont Pure Bloom Eau de Parfum 100ml for £43.99 at Swansura UK. A floral women's eau de parfum. 100% authentic, fast UK delivery, free over £50.</t>
        </is>
      </c>
      <c r="Q470" s="45">
        <f>LEN(P470)</f>
        <v/>
      </c>
      <c r="R470" s="49" t="n"/>
    </row>
    <row r="471" ht="23.25" customHeight="1" s="37">
      <c r="A471" s="45" t="inlineStr">
        <is>
          <t>FR-311</t>
        </is>
      </c>
      <c r="B471" s="45" t="inlineStr">
        <is>
          <t>Fragrance Catalogue</t>
        </is>
      </c>
      <c r="C471" s="45" t="inlineStr">
        <is>
          <t>S.T. Dupont</t>
        </is>
      </c>
      <c r="D471" s="45" t="inlineStr">
        <is>
          <t>S.T. Dupont Royal Amber Eau de Parfum 100ml – Unisex Amber Woody Fragrance</t>
        </is>
      </c>
      <c r="E471" s="45" t="inlineStr">
        <is>
          <t>100ml</t>
        </is>
      </c>
      <c r="F471" s="46" t="n">
        <v>43.99</v>
      </c>
      <c r="G471" s="45" t="inlineStr">
        <is>
          <t>s.t. dupont royal amber</t>
        </is>
      </c>
      <c r="H471" s="47">
        <f>IFERROR(INDEX('Semrush Data'!$C$2:$C$5000,MATCH(G471,'Semrush Data'!$A$2:$A$5000,0)),"")</f>
        <v/>
      </c>
      <c r="I471" s="45">
        <f>IFERROR(INDEX('Semrush Data'!$D$2:$D$5000,MATCH(G471,'Semrush Data'!$A$2:$A$5000,0)),"")</f>
        <v/>
      </c>
      <c r="J471" s="45">
        <f>IF(OR(H471="",H471=0),"No volume",IF(I471&lt;=20,"Easier",IF(I471&lt;=35,"Medium","Hard")))</f>
        <v/>
      </c>
      <c r="K471" s="45" t="n"/>
      <c r="L471" s="47">
        <f>IF(K471="","",IFERROR(INDEX('Semrush Data'!$C$2:$C$5000,MATCH(K471,'Semrush Data'!$A$2:$A$5000,0)),""))</f>
        <v/>
      </c>
      <c r="M471" s="48" t="inlineStr">
        <is>
          <t>S.T. Dupont Royal Amber Eau de Parfum</t>
        </is>
      </c>
      <c r="N471" s="45" t="inlineStr">
        <is>
          <t>S.T. Dupont Royal Amber Eau de Parfum 100ml | Swansura UK</t>
        </is>
      </c>
      <c r="O471" s="45">
        <f>LEN(N471)</f>
        <v/>
      </c>
      <c r="P471" s="49" t="inlineStr">
        <is>
          <t>Buy S.T. Dupont Royal Amber Eau de Parfum 100ml for £43.99 at Swansura UK. A woody unisex eau de parfum. 100% authentic, fast UK delivery, free over £50.</t>
        </is>
      </c>
      <c r="Q471" s="45">
        <f>LEN(P471)</f>
        <v/>
      </c>
      <c r="R471" s="49" t="n"/>
    </row>
    <row r="472" ht="23.25" customHeight="1" s="37">
      <c r="A472" s="45" t="inlineStr">
        <is>
          <t>FR-312</t>
        </is>
      </c>
      <c r="B472" s="45" t="inlineStr">
        <is>
          <t>Fragrance Catalogue</t>
        </is>
      </c>
      <c r="C472" s="45" t="inlineStr">
        <is>
          <t>SAP</t>
        </is>
      </c>
      <c r="D472" s="45" t="inlineStr">
        <is>
          <t>Sap Le Roi Extrait De Parfum 100ML</t>
        </is>
      </c>
      <c r="E472" s="45" t="inlineStr">
        <is>
          <t>100ml</t>
        </is>
      </c>
      <c r="F472" s="46" t="n">
        <v>37.95</v>
      </c>
      <c r="G472" s="45" t="inlineStr">
        <is>
          <t>sap le roi</t>
        </is>
      </c>
      <c r="H472" s="47">
        <f>IFERROR(INDEX('Semrush Data'!$C$2:$C$5000,MATCH(G472,'Semrush Data'!$A$2:$A$5000,0)),"")</f>
        <v/>
      </c>
      <c r="I472" s="45">
        <f>IFERROR(INDEX('Semrush Data'!$D$2:$D$5000,MATCH(G472,'Semrush Data'!$A$2:$A$5000,0)),"")</f>
        <v/>
      </c>
      <c r="J472" s="45">
        <f>IF(OR(H472="",H472=0),"No volume",IF(I472&lt;=20,"Easier",IF(I472&lt;=35,"Medium","Hard")))</f>
        <v/>
      </c>
      <c r="K472" s="45" t="n"/>
      <c r="L472" s="47">
        <f>IF(K472="","",IFERROR(INDEX('Semrush Data'!$C$2:$C$5000,MATCH(K472,'Semrush Data'!$A$2:$A$5000,0)),""))</f>
        <v/>
      </c>
      <c r="M472" s="48" t="inlineStr">
        <is>
          <t>Sap Le Roi Extrait De Parfum</t>
        </is>
      </c>
      <c r="N472" s="45" t="inlineStr">
        <is>
          <t>Sap Le Roi Extrait De Parfum | Buy Online UK | Swansura</t>
        </is>
      </c>
      <c r="O472" s="45">
        <f>LEN(N472)</f>
        <v/>
      </c>
      <c r="P472" s="49" t="inlineStr">
        <is>
          <t>Buy Sap Le Roi Extrait De Parfum 100ml for £37.95 at Swansura UK. An amber unisex extrait de parfum. 100% authentic, fast UK delivery, free over £50.</t>
        </is>
      </c>
      <c r="Q472" s="45">
        <f>LEN(P472)</f>
        <v/>
      </c>
      <c r="R472" s="49" t="n"/>
    </row>
    <row r="473" ht="23.25" customHeight="1" s="37">
      <c r="A473" s="45" t="inlineStr">
        <is>
          <t>FR-313</t>
        </is>
      </c>
      <c r="B473" s="45" t="inlineStr">
        <is>
          <t>Fragrance Catalogue</t>
        </is>
      </c>
      <c r="C473" s="45" t="inlineStr">
        <is>
          <t>SAP</t>
        </is>
      </c>
      <c r="D473" s="45" t="inlineStr">
        <is>
          <t>Sap Oud Leopard FR Extrait De Parfum 100ML</t>
        </is>
      </c>
      <c r="E473" s="45" t="inlineStr">
        <is>
          <t>100ml</t>
        </is>
      </c>
      <c r="F473" s="46" t="n">
        <v>37.95</v>
      </c>
      <c r="G473" s="45" t="inlineStr">
        <is>
          <t>sap oud leopard fr</t>
        </is>
      </c>
      <c r="H473" s="47">
        <f>IFERROR(INDEX('Semrush Data'!$C$2:$C$5000,MATCH(G473,'Semrush Data'!$A$2:$A$5000,0)),"")</f>
        <v/>
      </c>
      <c r="I473" s="45">
        <f>IFERROR(INDEX('Semrush Data'!$D$2:$D$5000,MATCH(G473,'Semrush Data'!$A$2:$A$5000,0)),"")</f>
        <v/>
      </c>
      <c r="J473" s="45">
        <f>IF(OR(H473="",H473=0),"No volume",IF(I473&lt;=20,"Easier",IF(I473&lt;=35,"Medium","Hard")))</f>
        <v/>
      </c>
      <c r="K473" s="45" t="n"/>
      <c r="L473" s="47">
        <f>IF(K473="","",IFERROR(INDEX('Semrush Data'!$C$2:$C$5000,MATCH(K473,'Semrush Data'!$A$2:$A$5000,0)),""))</f>
        <v/>
      </c>
      <c r="M473" s="48" t="inlineStr">
        <is>
          <t>Sap Oud Leopard FR Extrait De Parfum</t>
        </is>
      </c>
      <c r="N473" s="45" t="inlineStr">
        <is>
          <t>Sap Oud Leopard FR Extrait De Parfum 100ml | Swansura UK</t>
        </is>
      </c>
      <c r="O473" s="45">
        <f>LEN(N473)</f>
        <v/>
      </c>
      <c r="P473" s="49" t="inlineStr">
        <is>
          <t>Buy Sap Oud Leopard FR Extrait De Parfum 100ml for £37.95 at Swansura UK. An oud unisex extrait de parfum. 100% authentic, fast UK delivery, free over £50.</t>
        </is>
      </c>
      <c r="Q473" s="45">
        <f>LEN(P473)</f>
        <v/>
      </c>
      <c r="R473" s="49" t="n"/>
    </row>
    <row r="474" ht="23.25" customHeight="1" s="37">
      <c r="A474" s="45" t="inlineStr">
        <is>
          <t>FR-314</t>
        </is>
      </c>
      <c r="B474" s="45" t="inlineStr">
        <is>
          <t>Fragrance Catalogue</t>
        </is>
      </c>
      <c r="C474" s="45" t="inlineStr">
        <is>
          <t>SAP</t>
        </is>
      </c>
      <c r="D474" s="45" t="inlineStr">
        <is>
          <t>Sap Patchouli Intense Extrait De Parfum 100ML</t>
        </is>
      </c>
      <c r="E474" s="45" t="inlineStr">
        <is>
          <t>100ml</t>
        </is>
      </c>
      <c r="F474" s="46" t="n">
        <v>37.95</v>
      </c>
      <c r="G474" s="45" t="inlineStr">
        <is>
          <t>sap patchouli intense</t>
        </is>
      </c>
      <c r="H474" s="47">
        <f>IFERROR(INDEX('Semrush Data'!$C$2:$C$5000,MATCH(G474,'Semrush Data'!$A$2:$A$5000,0)),"")</f>
        <v/>
      </c>
      <c r="I474" s="45">
        <f>IFERROR(INDEX('Semrush Data'!$D$2:$D$5000,MATCH(G474,'Semrush Data'!$A$2:$A$5000,0)),"")</f>
        <v/>
      </c>
      <c r="J474" s="45">
        <f>IF(OR(H474="",H474=0),"No volume",IF(I474&lt;=20,"Easier",IF(I474&lt;=35,"Medium","Hard")))</f>
        <v/>
      </c>
      <c r="K474" s="45" t="n"/>
      <c r="L474" s="47">
        <f>IF(K474="","",IFERROR(INDEX('Semrush Data'!$C$2:$C$5000,MATCH(K474,'Semrush Data'!$A$2:$A$5000,0)),""))</f>
        <v/>
      </c>
      <c r="M474" s="48" t="inlineStr">
        <is>
          <t>Sap Patchouli Intense Extrait De Parfum</t>
        </is>
      </c>
      <c r="N474" s="45" t="inlineStr">
        <is>
          <t>Sap Patchouli Intense Extrait De Parfum 100ml | Swansura UK</t>
        </is>
      </c>
      <c r="O474" s="45">
        <f>LEN(N474)</f>
        <v/>
      </c>
      <c r="P474" s="49" t="inlineStr">
        <is>
          <t>Buy Sap Patchouli Intense Extrait De Parfum 100ml for £37.95 at Swansura UK. A woody unisex extrait de parfum. 100% authentic, fast UK delivery, free over £50.</t>
        </is>
      </c>
      <c r="Q474" s="45">
        <f>LEN(P474)</f>
        <v/>
      </c>
      <c r="R474" s="49" t="n"/>
    </row>
    <row r="475" ht="23.25" customHeight="1" s="37">
      <c r="A475" s="45" t="inlineStr">
        <is>
          <t>FR-315</t>
        </is>
      </c>
      <c r="B475" s="45" t="inlineStr">
        <is>
          <t>Fragrance Catalogue</t>
        </is>
      </c>
      <c r="C475" s="45" t="inlineStr">
        <is>
          <t>SAP</t>
        </is>
      </c>
      <c r="D475" s="45" t="inlineStr">
        <is>
          <t>Sap Saffron Oud Extrait De Parfum 100ML</t>
        </is>
      </c>
      <c r="E475" s="45" t="inlineStr">
        <is>
          <t>100ml</t>
        </is>
      </c>
      <c r="F475" s="46" t="n">
        <v>37.95</v>
      </c>
      <c r="G475" s="45" t="inlineStr">
        <is>
          <t>sap saffron oud</t>
        </is>
      </c>
      <c r="H475" s="47">
        <f>IFERROR(INDEX('Semrush Data'!$C$2:$C$5000,MATCH(G475,'Semrush Data'!$A$2:$A$5000,0)),"")</f>
        <v/>
      </c>
      <c r="I475" s="45">
        <f>IFERROR(INDEX('Semrush Data'!$D$2:$D$5000,MATCH(G475,'Semrush Data'!$A$2:$A$5000,0)),"")</f>
        <v/>
      </c>
      <c r="J475" s="45">
        <f>IF(OR(H475="",H475=0),"No volume",IF(I475&lt;=20,"Easier",IF(I475&lt;=35,"Medium","Hard")))</f>
        <v/>
      </c>
      <c r="K475" s="45" t="n"/>
      <c r="L475" s="47">
        <f>IF(K475="","",IFERROR(INDEX('Semrush Data'!$C$2:$C$5000,MATCH(K475,'Semrush Data'!$A$2:$A$5000,0)),""))</f>
        <v/>
      </c>
      <c r="M475" s="48" t="inlineStr">
        <is>
          <t>Sap Saffron Oud Extrait De Parfum</t>
        </is>
      </c>
      <c r="N475" s="45" t="inlineStr">
        <is>
          <t>Sap Saffron Oud Extrait De Parfum | Buy Online UK | Swansura</t>
        </is>
      </c>
      <c r="O475" s="45">
        <f>LEN(N475)</f>
        <v/>
      </c>
      <c r="P475" s="49" t="inlineStr">
        <is>
          <t>Buy Sap Saffron Oud Extrait De Parfum 100ml for £37.95 at Swansura UK. An oud unisex extrait de parfum. 100% authentic, fast UK delivery, free over £50.</t>
        </is>
      </c>
      <c r="Q475" s="45">
        <f>LEN(P475)</f>
        <v/>
      </c>
      <c r="R475" s="49" t="n"/>
    </row>
    <row r="476" ht="23.25" customHeight="1" s="37">
      <c r="A476" s="45" t="inlineStr">
        <is>
          <t>FR-316</t>
        </is>
      </c>
      <c r="B476" s="45" t="inlineStr">
        <is>
          <t>Fragrance Catalogue</t>
        </is>
      </c>
      <c r="C476" s="45" t="inlineStr">
        <is>
          <t>SAP</t>
        </is>
      </c>
      <c r="D476" s="45" t="inlineStr">
        <is>
          <t>Sap Vert Club Extrait De Parfum 100ML</t>
        </is>
      </c>
      <c r="E476" s="45" t="inlineStr">
        <is>
          <t>100ml</t>
        </is>
      </c>
      <c r="F476" s="46" t="n">
        <v>37.95</v>
      </c>
      <c r="G476" s="45" t="inlineStr">
        <is>
          <t>sap vert club</t>
        </is>
      </c>
      <c r="H476" s="47">
        <f>IFERROR(INDEX('Semrush Data'!$C$2:$C$5000,MATCH(G476,'Semrush Data'!$A$2:$A$5000,0)),"")</f>
        <v/>
      </c>
      <c r="I476" s="45">
        <f>IFERROR(INDEX('Semrush Data'!$D$2:$D$5000,MATCH(G476,'Semrush Data'!$A$2:$A$5000,0)),"")</f>
        <v/>
      </c>
      <c r="J476" s="45">
        <f>IF(OR(H476="",H476=0),"No volume",IF(I476&lt;=20,"Easier",IF(I476&lt;=35,"Medium","Hard")))</f>
        <v/>
      </c>
      <c r="K476" s="45" t="n"/>
      <c r="L476" s="47">
        <f>IF(K476="","",IFERROR(INDEX('Semrush Data'!$C$2:$C$5000,MATCH(K476,'Semrush Data'!$A$2:$A$5000,0)),""))</f>
        <v/>
      </c>
      <c r="M476" s="48" t="inlineStr">
        <is>
          <t>Sap Vert Club Extrait De Parfum</t>
        </is>
      </c>
      <c r="N476" s="45" t="inlineStr">
        <is>
          <t>Sap Vert Club Extrait De Parfum | Buy Online UK | Swansura</t>
        </is>
      </c>
      <c r="O476" s="45">
        <f>LEN(N476)</f>
        <v/>
      </c>
      <c r="P476" s="49" t="inlineStr">
        <is>
          <t>Buy Sap Vert Club Extrait De Parfum 100ml for £37.95 at Swansura UK. An amber unisex extrait de parfum. 100% authentic, fast UK delivery, free over £50.</t>
        </is>
      </c>
      <c r="Q476" s="45">
        <f>LEN(P476)</f>
        <v/>
      </c>
      <c r="R476" s="49" t="n"/>
    </row>
    <row r="477" ht="23.25" customHeight="1" s="37">
      <c r="A477" s="45" t="inlineStr">
        <is>
          <t>FR-317</t>
        </is>
      </c>
      <c r="B477" s="45" t="inlineStr">
        <is>
          <t>Fragrance Catalogue</t>
        </is>
      </c>
      <c r="C477" s="45" t="inlineStr">
        <is>
          <t>Serge Lutens</t>
        </is>
      </c>
      <c r="D477" s="45" t="inlineStr">
        <is>
          <t>Serge Lutens La Fille de Berlin Eau de Parfum 50ml – Luxury Unisex Rose Fragrance</t>
        </is>
      </c>
      <c r="E477" s="45" t="inlineStr">
        <is>
          <t>50ml</t>
        </is>
      </c>
      <c r="F477" s="46" t="n">
        <v>44.99</v>
      </c>
      <c r="G477" s="45" t="inlineStr">
        <is>
          <t>serge lutens la fille de berlin</t>
        </is>
      </c>
      <c r="H477" s="47">
        <f>IFERROR(INDEX('Semrush Data'!$C$2:$C$5000,MATCH(G477,'Semrush Data'!$A$2:$A$5000,0)),"")</f>
        <v/>
      </c>
      <c r="I477" s="45">
        <f>IFERROR(INDEX('Semrush Data'!$D$2:$D$5000,MATCH(G477,'Semrush Data'!$A$2:$A$5000,0)),"")</f>
        <v/>
      </c>
      <c r="J477" s="45">
        <f>IF(OR(H477="",H477=0),"No volume",IF(I477&lt;=20,"Easier",IF(I477&lt;=35,"Medium","Hard")))</f>
        <v/>
      </c>
      <c r="K477" s="45" t="n"/>
      <c r="L477" s="47">
        <f>IF(K477="","",IFERROR(INDEX('Semrush Data'!$C$2:$C$5000,MATCH(K477,'Semrush Data'!$A$2:$A$5000,0)),""))</f>
        <v/>
      </c>
      <c r="M477" s="48" t="inlineStr">
        <is>
          <t>Serge Lutens La Fille de Berlin Eau de Parfum</t>
        </is>
      </c>
      <c r="N477" s="45" t="inlineStr">
        <is>
          <t>Serge Lutens La Fille de Berlin EDP 50ml | Swansura UK</t>
        </is>
      </c>
      <c r="O477" s="45">
        <f>LEN(N477)</f>
        <v/>
      </c>
      <c r="P477" s="49" t="inlineStr">
        <is>
          <t>Buy Serge Lutens La Fille de Berlin Eau de Parfum for £44.99 at Swansura UK. A floral unisex eau de parfum. 100% authentic, fast UK delivery, free over £50.</t>
        </is>
      </c>
      <c r="Q477" s="45">
        <f>LEN(P477)</f>
        <v/>
      </c>
      <c r="R477" s="49" t="n"/>
    </row>
    <row r="478" ht="23.25" customHeight="1" s="37">
      <c r="A478" s="45" t="inlineStr">
        <is>
          <t>FR-318</t>
        </is>
      </c>
      <c r="B478" s="45" t="inlineStr">
        <is>
          <t>Fragrance Catalogue</t>
        </is>
      </c>
      <c r="C478" s="45" t="inlineStr">
        <is>
          <t>Shiseido</t>
        </is>
      </c>
      <c r="D478" s="45" t="inlineStr">
        <is>
          <t>Shiseido Zen Eau de Parfum 100ml – Women's Floral Woody Fragrance</t>
        </is>
      </c>
      <c r="E478" s="45" t="inlineStr">
        <is>
          <t>100ml</t>
        </is>
      </c>
      <c r="F478" s="46" t="n">
        <v>47.99</v>
      </c>
      <c r="G478" s="45" t="inlineStr">
        <is>
          <t>shiseido zen</t>
        </is>
      </c>
      <c r="H478" s="47">
        <f>IFERROR(INDEX('Semrush Data'!$C$2:$C$5000,MATCH(G478,'Semrush Data'!$A$2:$A$5000,0)),"")</f>
        <v/>
      </c>
      <c r="I478" s="45">
        <f>IFERROR(INDEX('Semrush Data'!$D$2:$D$5000,MATCH(G478,'Semrush Data'!$A$2:$A$5000,0)),"")</f>
        <v/>
      </c>
      <c r="J478" s="45">
        <f>IF(OR(H478="",H478=0),"No volume",IF(I478&lt;=20,"Easier",IF(I478&lt;=35,"Medium","Hard")))</f>
        <v/>
      </c>
      <c r="K478" s="45" t="inlineStr">
        <is>
          <t>shiseido zen eau de parfum</t>
        </is>
      </c>
      <c r="L478" s="47">
        <f>IF(K478="","",IFERROR(INDEX('Semrush Data'!$C$2:$C$5000,MATCH(K478,'Semrush Data'!$A$2:$A$5000,0)),""))</f>
        <v/>
      </c>
      <c r="M478" s="48" t="inlineStr">
        <is>
          <t>Shiseido Zen Eau de Parfum</t>
        </is>
      </c>
      <c r="N478" s="45" t="inlineStr">
        <is>
          <t>Shiseido Zen Eau de Parfum 100ml | Buy Online UK | Swansura</t>
        </is>
      </c>
      <c r="O478" s="45">
        <f>LEN(N478)</f>
        <v/>
      </c>
      <c r="P478" s="49" t="inlineStr">
        <is>
          <t>Buy Shiseido Zen Eau de Parfum 100ml for £47.99 at Swansura UK. A floral women's eau de parfum. 100% authentic, fast UK delivery, free over £50.</t>
        </is>
      </c>
      <c r="Q478" s="45">
        <f>LEN(P478)</f>
        <v/>
      </c>
      <c r="R478" s="49" t="n"/>
    </row>
    <row r="479" ht="23.25" customHeight="1" s="37">
      <c r="A479" s="45" t="inlineStr">
        <is>
          <t>FR-319</t>
        </is>
      </c>
      <c r="B479" s="45" t="inlineStr">
        <is>
          <t>Fragrance Catalogue</t>
        </is>
      </c>
      <c r="C479" s="45" t="inlineStr">
        <is>
          <t>Signature D'orient</t>
        </is>
      </c>
      <c r="D479" s="45" t="inlineStr">
        <is>
          <t>Signature Ambre Eau De Parfum 100ml+15ml+Funnel (UNISEX)</t>
        </is>
      </c>
      <c r="E479" s="45" t="inlineStr">
        <is>
          <t>100ml</t>
        </is>
      </c>
      <c r="F479" s="46" t="n">
        <v>65.98999999999999</v>
      </c>
      <c r="G479" s="45" t="inlineStr">
        <is>
          <t>signature ambre</t>
        </is>
      </c>
      <c r="H479" s="47">
        <f>IFERROR(INDEX('Semrush Data'!$C$2:$C$5000,MATCH(G479,'Semrush Data'!$A$2:$A$5000,0)),"")</f>
        <v/>
      </c>
      <c r="I479" s="45">
        <f>IFERROR(INDEX('Semrush Data'!$D$2:$D$5000,MATCH(G479,'Semrush Data'!$A$2:$A$5000,0)),"")</f>
        <v/>
      </c>
      <c r="J479" s="45">
        <f>IF(OR(H479="",H479=0),"No volume",IF(I479&lt;=20,"Easier",IF(I479&lt;=35,"Medium","Hard")))</f>
        <v/>
      </c>
      <c r="K479" s="45" t="n"/>
      <c r="L479" s="47">
        <f>IF(K479="","",IFERROR(INDEX('Semrush Data'!$C$2:$C$5000,MATCH(K479,'Semrush Data'!$A$2:$A$5000,0)),""))</f>
        <v/>
      </c>
      <c r="M479" s="48" t="inlineStr">
        <is>
          <t>Signature Ambre Eau De Parfum</t>
        </is>
      </c>
      <c r="N479" s="45" t="inlineStr">
        <is>
          <t>Signature Ambre Eau De Parfum | Buy Online UK | Swansura</t>
        </is>
      </c>
      <c r="O479" s="45">
        <f>LEN(N479)</f>
        <v/>
      </c>
      <c r="P479" s="49" t="inlineStr">
        <is>
          <t>Buy Signature Ambre Eau De Parfum 100ml for £65.99 at Swansura UK. An amber unisex eau de parfum. 100% authentic, fast UK delivery, free over £50.</t>
        </is>
      </c>
      <c r="Q479" s="45">
        <f>LEN(P479)</f>
        <v/>
      </c>
      <c r="R479" s="49" t="n"/>
    </row>
    <row r="480" ht="23.25" customHeight="1" s="37">
      <c r="A480" s="45" t="inlineStr">
        <is>
          <t>FR-320</t>
        </is>
      </c>
      <c r="B480" s="45" t="inlineStr">
        <is>
          <t>Fragrance Catalogue</t>
        </is>
      </c>
      <c r="C480" s="45" t="inlineStr">
        <is>
          <t>Signature D'orient</t>
        </is>
      </c>
      <c r="D480" s="45" t="inlineStr">
        <is>
          <t>Signature Aura EDP 100ML+15ML Refillable Travel Spray</t>
        </is>
      </c>
      <c r="E480" s="45" t="inlineStr">
        <is>
          <t>100ml</t>
        </is>
      </c>
      <c r="F480" s="46" t="n">
        <v>74.95</v>
      </c>
      <c r="G480" s="45" t="inlineStr">
        <is>
          <t>signature aura</t>
        </is>
      </c>
      <c r="H480" s="47">
        <f>IFERROR(INDEX('Semrush Data'!$C$2:$C$5000,MATCH(G480,'Semrush Data'!$A$2:$A$5000,0)),"")</f>
        <v/>
      </c>
      <c r="I480" s="45">
        <f>IFERROR(INDEX('Semrush Data'!$D$2:$D$5000,MATCH(G480,'Semrush Data'!$A$2:$A$5000,0)),"")</f>
        <v/>
      </c>
      <c r="J480" s="45">
        <f>IF(OR(H480="",H480=0),"No volume",IF(I480&lt;=20,"Easier",IF(I480&lt;=35,"Medium","Hard")))</f>
        <v/>
      </c>
      <c r="K480" s="45" t="n"/>
      <c r="L480" s="47">
        <f>IF(K480="","",IFERROR(INDEX('Semrush Data'!$C$2:$C$5000,MATCH(K480,'Semrush Data'!$A$2:$A$5000,0)),""))</f>
        <v/>
      </c>
      <c r="M480" s="48" t="inlineStr">
        <is>
          <t>Signature Aura EDP</t>
        </is>
      </c>
      <c r="N480" s="45" t="inlineStr">
        <is>
          <t>Signature Aura EDP 100ml | Buy Online UK | Swansura</t>
        </is>
      </c>
      <c r="O480" s="45">
        <f>LEN(N480)</f>
        <v/>
      </c>
      <c r="P480" s="49" t="inlineStr">
        <is>
          <t>Buy Signature Aura EDP 100ml for £74.95 at Swansura UK. An amber unisex eau de parfum. 100% authentic, fast UK delivery, free over £50.</t>
        </is>
      </c>
      <c r="Q480" s="45">
        <f>LEN(P480)</f>
        <v/>
      </c>
      <c r="R480" s="49" t="n"/>
    </row>
    <row r="481" ht="23.25" customHeight="1" s="37">
      <c r="A481" s="45" t="inlineStr">
        <is>
          <t>FR-321</t>
        </is>
      </c>
      <c r="B481" s="45" t="inlineStr">
        <is>
          <t>Fragrance Catalogue</t>
        </is>
      </c>
      <c r="C481" s="45" t="inlineStr">
        <is>
          <t>Signature D'orient</t>
        </is>
      </c>
      <c r="D481" s="45" t="inlineStr">
        <is>
          <t>Signature Black Pour Homme 100ml EDP</t>
        </is>
      </c>
      <c r="E481" s="45" t="inlineStr">
        <is>
          <t>100ml</t>
        </is>
      </c>
      <c r="F481" s="46" t="n">
        <v>38.99</v>
      </c>
      <c r="G481" s="45" t="inlineStr">
        <is>
          <t>signature black pour homme</t>
        </is>
      </c>
      <c r="H481" s="47">
        <f>IFERROR(INDEX('Semrush Data'!$C$2:$C$5000,MATCH(G481,'Semrush Data'!$A$2:$A$5000,0)),"")</f>
        <v/>
      </c>
      <c r="I481" s="45">
        <f>IFERROR(INDEX('Semrush Data'!$D$2:$D$5000,MATCH(G481,'Semrush Data'!$A$2:$A$5000,0)),"")</f>
        <v/>
      </c>
      <c r="J481" s="45">
        <f>IF(OR(H481="",H481=0),"No volume",IF(I481&lt;=20,"Easier",IF(I481&lt;=35,"Medium","Hard")))</f>
        <v/>
      </c>
      <c r="K481" s="45" t="n"/>
      <c r="L481" s="47">
        <f>IF(K481="","",IFERROR(INDEX('Semrush Data'!$C$2:$C$5000,MATCH(K481,'Semrush Data'!$A$2:$A$5000,0)),""))</f>
        <v/>
      </c>
      <c r="M481" s="48" t="inlineStr">
        <is>
          <t>Signature Black Pour Homme EDP</t>
        </is>
      </c>
      <c r="N481" s="45" t="inlineStr">
        <is>
          <t>Signature Black Pour Homme EDP | Buy Online UK | Swansura</t>
        </is>
      </c>
      <c r="O481" s="45">
        <f>LEN(N481)</f>
        <v/>
      </c>
      <c r="P481" s="49" t="inlineStr">
        <is>
          <t>Buy Signature Black Pour Homme EDP 100ml for £38.99 at Swansura UK. A woody men's eau de parfum. 100% authentic, fast UK delivery, free over £50.</t>
        </is>
      </c>
      <c r="Q481" s="45">
        <f>LEN(P481)</f>
        <v/>
      </c>
      <c r="R481" s="49" t="n"/>
    </row>
    <row r="482" ht="23.25" customHeight="1" s="37">
      <c r="A482" s="45" t="inlineStr">
        <is>
          <t>FR-322</t>
        </is>
      </c>
      <c r="B482" s="45" t="inlineStr">
        <is>
          <t>Fragrance Catalogue</t>
        </is>
      </c>
      <c r="C482" s="45" t="inlineStr">
        <is>
          <t>Signature D'orient</t>
        </is>
      </c>
      <c r="D482" s="45" t="inlineStr">
        <is>
          <t>Signature Charm EDP 100ML+15ML Refillable Travel Spray</t>
        </is>
      </c>
      <c r="E482" s="45" t="inlineStr">
        <is>
          <t>100ml</t>
        </is>
      </c>
      <c r="F482" s="46" t="n">
        <v>74.95</v>
      </c>
      <c r="G482" s="45" t="inlineStr">
        <is>
          <t>signature charm</t>
        </is>
      </c>
      <c r="H482" s="47">
        <f>IFERROR(INDEX('Semrush Data'!$C$2:$C$5000,MATCH(G482,'Semrush Data'!$A$2:$A$5000,0)),"")</f>
        <v/>
      </c>
      <c r="I482" s="45">
        <f>IFERROR(INDEX('Semrush Data'!$D$2:$D$5000,MATCH(G482,'Semrush Data'!$A$2:$A$5000,0)),"")</f>
        <v/>
      </c>
      <c r="J482" s="45">
        <f>IF(OR(H482="",H482=0),"No volume",IF(I482&lt;=20,"Easier",IF(I482&lt;=35,"Medium","Hard")))</f>
        <v/>
      </c>
      <c r="K482" s="45" t="n"/>
      <c r="L482" s="47">
        <f>IF(K482="","",IFERROR(INDEX('Semrush Data'!$C$2:$C$5000,MATCH(K482,'Semrush Data'!$A$2:$A$5000,0)),""))</f>
        <v/>
      </c>
      <c r="M482" s="48" t="inlineStr">
        <is>
          <t>Signature Charm EDP</t>
        </is>
      </c>
      <c r="N482" s="45" t="inlineStr">
        <is>
          <t>Signature Charm EDP 100ml | Buy Online UK | Swansura</t>
        </is>
      </c>
      <c r="O482" s="45">
        <f>LEN(N482)</f>
        <v/>
      </c>
      <c r="P482" s="49" t="inlineStr">
        <is>
          <t>Buy Signature Charm EDP 100ml for £74.95 at Swansura UK. An amber unisex eau de parfum. 100% authentic, fast UK delivery, free over £50.</t>
        </is>
      </c>
      <c r="Q482" s="45">
        <f>LEN(P482)</f>
        <v/>
      </c>
      <c r="R482" s="49" t="n"/>
    </row>
    <row r="483" ht="23.25" customHeight="1" s="37">
      <c r="A483" s="45" t="inlineStr">
        <is>
          <t>FR-323</t>
        </is>
      </c>
      <c r="B483" s="45" t="inlineStr">
        <is>
          <t>Fragrance Catalogue</t>
        </is>
      </c>
      <c r="C483" s="45" t="inlineStr">
        <is>
          <t>Signature D'orient</t>
        </is>
      </c>
      <c r="D483" s="45" t="inlineStr">
        <is>
          <t>Signature Le Femme Gold 100ml EDP Spray</t>
        </is>
      </c>
      <c r="E483" s="45" t="inlineStr">
        <is>
          <t>100ml</t>
        </is>
      </c>
      <c r="F483" s="46" t="n">
        <v>42.99</v>
      </c>
      <c r="G483" s="45" t="inlineStr">
        <is>
          <t>signature le femme gold</t>
        </is>
      </c>
      <c r="H483" s="47">
        <f>IFERROR(INDEX('Semrush Data'!$C$2:$C$5000,MATCH(G483,'Semrush Data'!$A$2:$A$5000,0)),"")</f>
        <v/>
      </c>
      <c r="I483" s="45">
        <f>IFERROR(INDEX('Semrush Data'!$D$2:$D$5000,MATCH(G483,'Semrush Data'!$A$2:$A$5000,0)),"")</f>
        <v/>
      </c>
      <c r="J483" s="45">
        <f>IF(OR(H483="",H483=0),"No volume",IF(I483&lt;=20,"Easier",IF(I483&lt;=35,"Medium","Hard")))</f>
        <v/>
      </c>
      <c r="K483" s="45" t="n"/>
      <c r="L483" s="47">
        <f>IF(K483="","",IFERROR(INDEX('Semrush Data'!$C$2:$C$5000,MATCH(K483,'Semrush Data'!$A$2:$A$5000,0)),""))</f>
        <v/>
      </c>
      <c r="M483" s="48" t="inlineStr">
        <is>
          <t>Signature Le Femme Gold EDP Spray</t>
        </is>
      </c>
      <c r="N483" s="45" t="inlineStr">
        <is>
          <t>Signature Le Femme Gold EDP Spray | Buy Online UK | Swansura</t>
        </is>
      </c>
      <c r="O483" s="45">
        <f>LEN(N483)</f>
        <v/>
      </c>
      <c r="P483" s="49" t="inlineStr">
        <is>
          <t>Buy Signature Le Femme Gold EDP Spray 100ml for £42.99 at Swansura UK. A floral women's eau de parfum. 100% authentic, fast UK delivery, free over £50.</t>
        </is>
      </c>
      <c r="Q483" s="45">
        <f>LEN(P483)</f>
        <v/>
      </c>
      <c r="R483" s="49" t="n"/>
    </row>
    <row r="484" ht="23.25" customHeight="1" s="37">
      <c r="A484" s="45" t="inlineStr">
        <is>
          <t>FR-324</t>
        </is>
      </c>
      <c r="B484" s="45" t="inlineStr">
        <is>
          <t>Fragrance Catalogue</t>
        </is>
      </c>
      <c r="C484" s="45" t="inlineStr">
        <is>
          <t>Signature D'orient</t>
        </is>
      </c>
      <c r="D484" s="45" t="inlineStr">
        <is>
          <t>Signature Musk Eau De Parfum 100ml+15ml+Funnel (UNISEX)</t>
        </is>
      </c>
      <c r="E484" s="45" t="inlineStr">
        <is>
          <t>100ml</t>
        </is>
      </c>
      <c r="F484" s="46" t="n">
        <v>64.98999999999999</v>
      </c>
      <c r="G484" s="45" t="inlineStr">
        <is>
          <t>signature musk</t>
        </is>
      </c>
      <c r="H484" s="47">
        <f>IFERROR(INDEX('Semrush Data'!$C$2:$C$5000,MATCH(G484,'Semrush Data'!$A$2:$A$5000,0)),"")</f>
        <v/>
      </c>
      <c r="I484" s="45">
        <f>IFERROR(INDEX('Semrush Data'!$D$2:$D$5000,MATCH(G484,'Semrush Data'!$A$2:$A$5000,0)),"")</f>
        <v/>
      </c>
      <c r="J484" s="45">
        <f>IF(OR(H484="",H484=0),"No volume",IF(I484&lt;=20,"Easier",IF(I484&lt;=35,"Medium","Hard")))</f>
        <v/>
      </c>
      <c r="K484" s="45" t="n"/>
      <c r="L484" s="47">
        <f>IF(K484="","",IFERROR(INDEX('Semrush Data'!$C$2:$C$5000,MATCH(K484,'Semrush Data'!$A$2:$A$5000,0)),""))</f>
        <v/>
      </c>
      <c r="M484" s="48" t="inlineStr">
        <is>
          <t>Signature Musk Eau De Parfum</t>
        </is>
      </c>
      <c r="N484" s="45" t="inlineStr">
        <is>
          <t>Signature Musk Eau De Parfum | Buy Online UK | Swansura</t>
        </is>
      </c>
      <c r="O484" s="45">
        <f>LEN(N484)</f>
        <v/>
      </c>
      <c r="P484" s="49" t="inlineStr">
        <is>
          <t>Buy Signature Musk Eau De Parfum 100ml for £64.99 at Swansura UK. A musk unisex eau de parfum. 100% authentic, fast UK delivery, free over £50.</t>
        </is>
      </c>
      <c r="Q484" s="45">
        <f>LEN(P484)</f>
        <v/>
      </c>
      <c r="R484" s="49" t="n"/>
    </row>
    <row r="485" ht="23.25" customHeight="1" s="37">
      <c r="A485" s="45" t="inlineStr">
        <is>
          <t>FR-325</t>
        </is>
      </c>
      <c r="B485" s="45" t="inlineStr">
        <is>
          <t>Fragrance Catalogue</t>
        </is>
      </c>
      <c r="C485" s="45" t="inlineStr">
        <is>
          <t>Signature D'orient</t>
        </is>
      </c>
      <c r="D485" s="45" t="inlineStr">
        <is>
          <t>Signature Onyx Eau De Parfum 100ml+15ml+Funnel (UNISEX)</t>
        </is>
      </c>
      <c r="E485" s="45" t="inlineStr">
        <is>
          <t>100ml</t>
        </is>
      </c>
      <c r="F485" s="46" t="n">
        <v>64.98999999999999</v>
      </c>
      <c r="G485" s="45" t="inlineStr">
        <is>
          <t>signature onyx</t>
        </is>
      </c>
      <c r="H485" s="47">
        <f>IFERROR(INDEX('Semrush Data'!$C$2:$C$5000,MATCH(G485,'Semrush Data'!$A$2:$A$5000,0)),"")</f>
        <v/>
      </c>
      <c r="I485" s="45">
        <f>IFERROR(INDEX('Semrush Data'!$D$2:$D$5000,MATCH(G485,'Semrush Data'!$A$2:$A$5000,0)),"")</f>
        <v/>
      </c>
      <c r="J485" s="45">
        <f>IF(OR(H485="",H485=0),"No volume",IF(I485&lt;=20,"Easier",IF(I485&lt;=35,"Medium","Hard")))</f>
        <v/>
      </c>
      <c r="K485" s="45" t="n"/>
      <c r="L485" s="47">
        <f>IF(K485="","",IFERROR(INDEX('Semrush Data'!$C$2:$C$5000,MATCH(K485,'Semrush Data'!$A$2:$A$5000,0)),""))</f>
        <v/>
      </c>
      <c r="M485" s="48" t="inlineStr">
        <is>
          <t>Signature Onyx Eau De Parfum</t>
        </is>
      </c>
      <c r="N485" s="45" t="inlineStr">
        <is>
          <t>Signature Onyx Eau De Parfum | Buy Online UK | Swansura</t>
        </is>
      </c>
      <c r="O485" s="45">
        <f>LEN(N485)</f>
        <v/>
      </c>
      <c r="P485" s="49" t="inlineStr">
        <is>
          <t>Buy Signature Onyx Eau De Parfum 100ml for £64.99 at Swansura UK. An amber unisex eau de parfum. 100% authentic, fast UK delivery, free over £50.</t>
        </is>
      </c>
      <c r="Q485" s="45">
        <f>LEN(P485)</f>
        <v/>
      </c>
      <c r="R485" s="49" t="n"/>
    </row>
    <row r="486" ht="23.25" customHeight="1" s="37">
      <c r="A486" s="45" t="inlineStr">
        <is>
          <t>FR-326</t>
        </is>
      </c>
      <c r="B486" s="45" t="inlineStr">
        <is>
          <t>Fragrance Catalogue</t>
        </is>
      </c>
      <c r="C486" s="45" t="inlineStr">
        <is>
          <t>Signature D'orient</t>
        </is>
      </c>
      <c r="D486" s="45" t="inlineStr">
        <is>
          <t>Signature Opal 100ml + 15ml Eau De Parfum</t>
        </is>
      </c>
      <c r="E486" s="45" t="inlineStr">
        <is>
          <t>100ml</t>
        </is>
      </c>
      <c r="F486" s="46" t="n">
        <v>64.98999999999999</v>
      </c>
      <c r="G486" s="45" t="inlineStr">
        <is>
          <t>signature opal</t>
        </is>
      </c>
      <c r="H486" s="47">
        <f>IFERROR(INDEX('Semrush Data'!$C$2:$C$5000,MATCH(G486,'Semrush Data'!$A$2:$A$5000,0)),"")</f>
        <v/>
      </c>
      <c r="I486" s="45">
        <f>IFERROR(INDEX('Semrush Data'!$D$2:$D$5000,MATCH(G486,'Semrush Data'!$A$2:$A$5000,0)),"")</f>
        <v/>
      </c>
      <c r="J486" s="45">
        <f>IF(OR(H486="",H486=0),"No volume",IF(I486&lt;=20,"Easier",IF(I486&lt;=35,"Medium","Hard")))</f>
        <v/>
      </c>
      <c r="K486" s="45" t="n"/>
      <c r="L486" s="47">
        <f>IF(K486="","",IFERROR(INDEX('Semrush Data'!$C$2:$C$5000,MATCH(K486,'Semrush Data'!$A$2:$A$5000,0)),""))</f>
        <v/>
      </c>
      <c r="M486" s="48" t="inlineStr">
        <is>
          <t>Signature Opal</t>
        </is>
      </c>
      <c r="N486" s="45" t="inlineStr">
        <is>
          <t>Signature Opal 100ml | Buy Online UK | Swansura</t>
        </is>
      </c>
      <c r="O486" s="45">
        <f>LEN(N486)</f>
        <v/>
      </c>
      <c r="P486" s="49" t="inlineStr">
        <is>
          <t>Buy Signature Opal 100ml for £64.99 at Swansura UK. An amber unisex eau de parfum. 100% authentic, fast UK delivery, free over £50.</t>
        </is>
      </c>
      <c r="Q486" s="45">
        <f>LEN(P486)</f>
        <v/>
      </c>
      <c r="R486" s="49" t="n"/>
    </row>
    <row r="487" ht="23.25" customHeight="1" s="37">
      <c r="A487" s="45" t="inlineStr">
        <is>
          <t>FR-327</t>
        </is>
      </c>
      <c r="B487" s="45" t="inlineStr">
        <is>
          <t>Fragrance Catalogue</t>
        </is>
      </c>
      <c r="C487" s="45" t="inlineStr">
        <is>
          <t>Signature D'orient</t>
        </is>
      </c>
      <c r="D487" s="45" t="inlineStr">
        <is>
          <t>Signature Paradiso EDP 100ML+15ML Refillable Travel Spray</t>
        </is>
      </c>
      <c r="E487" s="45" t="inlineStr">
        <is>
          <t>100ml</t>
        </is>
      </c>
      <c r="F487" s="46" t="n">
        <v>74.95</v>
      </c>
      <c r="G487" s="45" t="inlineStr">
        <is>
          <t>signature paradiso</t>
        </is>
      </c>
      <c r="H487" s="47">
        <f>IFERROR(INDEX('Semrush Data'!$C$2:$C$5000,MATCH(G487,'Semrush Data'!$A$2:$A$5000,0)),"")</f>
        <v/>
      </c>
      <c r="I487" s="45">
        <f>IFERROR(INDEX('Semrush Data'!$D$2:$D$5000,MATCH(G487,'Semrush Data'!$A$2:$A$5000,0)),"")</f>
        <v/>
      </c>
      <c r="J487" s="45">
        <f>IF(OR(H487="",H487=0),"No volume",IF(I487&lt;=20,"Easier",IF(I487&lt;=35,"Medium","Hard")))</f>
        <v/>
      </c>
      <c r="K487" s="45" t="n"/>
      <c r="L487" s="47">
        <f>IF(K487="","",IFERROR(INDEX('Semrush Data'!$C$2:$C$5000,MATCH(K487,'Semrush Data'!$A$2:$A$5000,0)),""))</f>
        <v/>
      </c>
      <c r="M487" s="48" t="inlineStr">
        <is>
          <t>Signature Paradiso EDP</t>
        </is>
      </c>
      <c r="N487" s="45" t="inlineStr">
        <is>
          <t>Signature Paradiso EDP 100ml | Buy Online UK | Swansura</t>
        </is>
      </c>
      <c r="O487" s="45">
        <f>LEN(N487)</f>
        <v/>
      </c>
      <c r="P487" s="49" t="inlineStr">
        <is>
          <t>Buy Signature Paradiso EDP 100ml for £74.95 at Swansura UK. An amber unisex eau de parfum. 100% authentic, fast UK delivery, free over £50.</t>
        </is>
      </c>
      <c r="Q487" s="45">
        <f>LEN(P487)</f>
        <v/>
      </c>
      <c r="R487" s="49" t="n"/>
    </row>
    <row r="488" ht="23.25" customHeight="1" s="37">
      <c r="A488" s="45" t="inlineStr">
        <is>
          <t>FR-328</t>
        </is>
      </c>
      <c r="B488" s="45" t="inlineStr">
        <is>
          <t>Fragrance Catalogue</t>
        </is>
      </c>
      <c r="C488" s="45" t="inlineStr">
        <is>
          <t>Signature D'orient</t>
        </is>
      </c>
      <c r="D488" s="45" t="inlineStr">
        <is>
          <t>Signature Santal Eau De Parfum 100ml+15ml (UNISEX)</t>
        </is>
      </c>
      <c r="E488" s="45" t="inlineStr">
        <is>
          <t>100ml</t>
        </is>
      </c>
      <c r="F488" s="46" t="n">
        <v>65.98999999999999</v>
      </c>
      <c r="G488" s="45" t="inlineStr">
        <is>
          <t>signature santal</t>
        </is>
      </c>
      <c r="H488" s="47">
        <f>IFERROR(INDEX('Semrush Data'!$C$2:$C$5000,MATCH(G488,'Semrush Data'!$A$2:$A$5000,0)),"")</f>
        <v/>
      </c>
      <c r="I488" s="45">
        <f>IFERROR(INDEX('Semrush Data'!$D$2:$D$5000,MATCH(G488,'Semrush Data'!$A$2:$A$5000,0)),"")</f>
        <v/>
      </c>
      <c r="J488" s="45">
        <f>IF(OR(H488="",H488=0),"No volume",IF(I488&lt;=20,"Easier",IF(I488&lt;=35,"Medium","Hard")))</f>
        <v/>
      </c>
      <c r="K488" s="45" t="n"/>
      <c r="L488" s="47">
        <f>IF(K488="","",IFERROR(INDEX('Semrush Data'!$C$2:$C$5000,MATCH(K488,'Semrush Data'!$A$2:$A$5000,0)),""))</f>
        <v/>
      </c>
      <c r="M488" s="48" t="inlineStr">
        <is>
          <t>Signature Santal Eau De Parfum</t>
        </is>
      </c>
      <c r="N488" s="45" t="inlineStr">
        <is>
          <t>Signature Santal Eau De Parfum | Buy Online UK | Swansura</t>
        </is>
      </c>
      <c r="O488" s="45">
        <f>LEN(N488)</f>
        <v/>
      </c>
      <c r="P488" s="49" t="inlineStr">
        <is>
          <t>Buy Signature Santal Eau De Parfum 100ml for £65.99 at Swansura UK. An amber unisex eau de parfum. 100% authentic, fast UK delivery, free over £50.</t>
        </is>
      </c>
      <c r="Q488" s="45">
        <f>LEN(P488)</f>
        <v/>
      </c>
      <c r="R488" s="49" t="n"/>
    </row>
    <row r="489" ht="23.25" customHeight="1" s="37">
      <c r="A489" s="45" t="inlineStr">
        <is>
          <t>FR-329</t>
        </is>
      </c>
      <c r="B489" s="45" t="inlineStr">
        <is>
          <t>Fragrance Catalogue</t>
        </is>
      </c>
      <c r="C489" s="45" t="inlineStr">
        <is>
          <t>Signature D'orient</t>
        </is>
      </c>
      <c r="D489" s="45" t="inlineStr">
        <is>
          <t>Signature Sapphire Eau De Parfum 100ml+15ml+Funnel (UNISEX)</t>
        </is>
      </c>
      <c r="E489" s="45" t="inlineStr">
        <is>
          <t>100ml</t>
        </is>
      </c>
      <c r="F489" s="46" t="n">
        <v>64.98999999999999</v>
      </c>
      <c r="G489" s="45" t="inlineStr">
        <is>
          <t>signature sapphire</t>
        </is>
      </c>
      <c r="H489" s="47">
        <f>IFERROR(INDEX('Semrush Data'!$C$2:$C$5000,MATCH(G489,'Semrush Data'!$A$2:$A$5000,0)),"")</f>
        <v/>
      </c>
      <c r="I489" s="45">
        <f>IFERROR(INDEX('Semrush Data'!$D$2:$D$5000,MATCH(G489,'Semrush Data'!$A$2:$A$5000,0)),"")</f>
        <v/>
      </c>
      <c r="J489" s="45">
        <f>IF(OR(H489="",H489=0),"No volume",IF(I489&lt;=20,"Easier",IF(I489&lt;=35,"Medium","Hard")))</f>
        <v/>
      </c>
      <c r="K489" s="45" t="n"/>
      <c r="L489" s="47">
        <f>IF(K489="","",IFERROR(INDEX('Semrush Data'!$C$2:$C$5000,MATCH(K489,'Semrush Data'!$A$2:$A$5000,0)),""))</f>
        <v/>
      </c>
      <c r="M489" s="48" t="inlineStr">
        <is>
          <t>Signature Sapphire Eau De Parfum</t>
        </is>
      </c>
      <c r="N489" s="45" t="inlineStr">
        <is>
          <t>Signature Sapphire Eau De Parfum | Buy Online UK | Swansura</t>
        </is>
      </c>
      <c r="O489" s="45">
        <f>LEN(N489)</f>
        <v/>
      </c>
      <c r="P489" s="49" t="inlineStr">
        <is>
          <t>Buy Signature Sapphire Eau De Parfum 100ml for £64.99 at Swansura UK. An amber unisex eau de parfum. 100% authentic, fast UK delivery, free over £50.</t>
        </is>
      </c>
      <c r="Q489" s="45">
        <f>LEN(P489)</f>
        <v/>
      </c>
      <c r="R489" s="49" t="n"/>
    </row>
    <row r="490" ht="23.25" customHeight="1" s="37">
      <c r="A490" s="45" t="inlineStr">
        <is>
          <t>FR-330</t>
        </is>
      </c>
      <c r="B490" s="45" t="inlineStr">
        <is>
          <t>Fragrance Catalogue</t>
        </is>
      </c>
      <c r="C490" s="45" t="inlineStr">
        <is>
          <t>Signature D'orient</t>
        </is>
      </c>
      <c r="D490" s="45" t="inlineStr">
        <is>
          <t>Signature Diamond 100ml +15ml Eau De Parfum Set</t>
        </is>
      </c>
      <c r="E490" s="45" t="inlineStr">
        <is>
          <t>100ml</t>
        </is>
      </c>
      <c r="F490" s="46" t="n">
        <v>64.98999999999999</v>
      </c>
      <c r="G490" s="45" t="inlineStr">
        <is>
          <t>signature diamond</t>
        </is>
      </c>
      <c r="H490" s="47">
        <f>IFERROR(INDEX('Semrush Data'!$C$2:$C$5000,MATCH(G490,'Semrush Data'!$A$2:$A$5000,0)),"")</f>
        <v/>
      </c>
      <c r="I490" s="45">
        <f>IFERROR(INDEX('Semrush Data'!$D$2:$D$5000,MATCH(G490,'Semrush Data'!$A$2:$A$5000,0)),"")</f>
        <v/>
      </c>
      <c r="J490" s="45">
        <f>IF(OR(H490="",H490=0),"No volume",IF(I490&lt;=20,"Easier",IF(I490&lt;=35,"Medium","Hard")))</f>
        <v/>
      </c>
      <c r="K490" s="45" t="n"/>
      <c r="L490" s="47">
        <f>IF(K490="","",IFERROR(INDEX('Semrush Data'!$C$2:$C$5000,MATCH(K490,'Semrush Data'!$A$2:$A$5000,0)),""))</f>
        <v/>
      </c>
      <c r="M490" s="48" t="inlineStr">
        <is>
          <t>Signature Diamond</t>
        </is>
      </c>
      <c r="N490" s="45" t="inlineStr">
        <is>
          <t>Signature Diamond 100ml | Buy Online UK | Swansura</t>
        </is>
      </c>
      <c r="O490" s="45">
        <f>LEN(N490)</f>
        <v/>
      </c>
      <c r="P490" s="49" t="inlineStr">
        <is>
          <t>Buy Signature Diamond 100ml for £64.99 at Swansura UK. An amber unisex eau de parfum. 100% authentic, fast UK delivery, free over £50.</t>
        </is>
      </c>
      <c r="Q490" s="45">
        <f>LEN(P490)</f>
        <v/>
      </c>
      <c r="R490" s="49" t="n"/>
    </row>
    <row r="491" ht="23.25" customHeight="1" s="37">
      <c r="A491" s="45" t="inlineStr">
        <is>
          <t>FR-331</t>
        </is>
      </c>
      <c r="B491" s="45" t="inlineStr">
        <is>
          <t>Fragrance Catalogue</t>
        </is>
      </c>
      <c r="C491" s="45" t="inlineStr">
        <is>
          <t>Signature D'orient</t>
        </is>
      </c>
      <c r="D491" s="45" t="inlineStr">
        <is>
          <t>Signature Discovery Set 10x10ml</t>
        </is>
      </c>
      <c r="E491" s="45" t="inlineStr">
        <is>
          <t>10x10ml</t>
        </is>
      </c>
      <c r="F491" s="46" t="n">
        <v>75.98999999999999</v>
      </c>
      <c r="G491" s="45" t="inlineStr">
        <is>
          <t>signature discovery set</t>
        </is>
      </c>
      <c r="H491" s="47">
        <f>IFERROR(INDEX('Semrush Data'!$C$2:$C$5000,MATCH(G491,'Semrush Data'!$A$2:$A$5000,0)),"")</f>
        <v/>
      </c>
      <c r="I491" s="45">
        <f>IFERROR(INDEX('Semrush Data'!$D$2:$D$5000,MATCH(G491,'Semrush Data'!$A$2:$A$5000,0)),"")</f>
        <v/>
      </c>
      <c r="J491" s="45">
        <f>IF(OR(H491="",H491=0),"No volume",IF(I491&lt;=20,"Easier",IF(I491&lt;=35,"Medium","Hard")))</f>
        <v/>
      </c>
      <c r="K491" s="45" t="n"/>
      <c r="L491" s="47">
        <f>IF(K491="","",IFERROR(INDEX('Semrush Data'!$C$2:$C$5000,MATCH(K491,'Semrush Data'!$A$2:$A$5000,0)),""))</f>
        <v/>
      </c>
      <c r="M491" s="48" t="inlineStr">
        <is>
          <t>Signature Discovery Set 10x10ml</t>
        </is>
      </c>
      <c r="N491" s="45" t="inlineStr">
        <is>
          <t>Signature Discovery Set 10x10ml | Buy Online UK | Swansura</t>
        </is>
      </c>
      <c r="O491" s="45">
        <f>LEN(N491)</f>
        <v/>
      </c>
      <c r="P491" s="49" t="inlineStr">
        <is>
          <t>Buy Signature Discovery Set 10x10ml for £75.99 at Swansura UK. An amber unisex fragrance gift set. 100% authentic, fast UK delivery, free over £50.</t>
        </is>
      </c>
      <c r="Q491" s="45">
        <f>LEN(P491)</f>
        <v/>
      </c>
      <c r="R491" s="49" t="n"/>
    </row>
    <row r="492" ht="23.25" customHeight="1" s="37">
      <c r="A492" s="45" t="inlineStr">
        <is>
          <t>FR-332</t>
        </is>
      </c>
      <c r="B492" s="45" t="inlineStr">
        <is>
          <t>Fragrance Catalogue</t>
        </is>
      </c>
      <c r="C492" s="45" t="inlineStr">
        <is>
          <t>Signature D'orient</t>
        </is>
      </c>
      <c r="D492" s="45" t="inlineStr">
        <is>
          <t>Signature Blue 100ml Edp</t>
        </is>
      </c>
      <c r="E492" s="45" t="inlineStr">
        <is>
          <t>100ml</t>
        </is>
      </c>
      <c r="F492" s="46" t="n">
        <v>38.99</v>
      </c>
      <c r="G492" s="45" t="inlineStr">
        <is>
          <t>signature blue</t>
        </is>
      </c>
      <c r="H492" s="47">
        <f>IFERROR(INDEX('Semrush Data'!$C$2:$C$5000,MATCH(G492,'Semrush Data'!$A$2:$A$5000,0)),"")</f>
        <v/>
      </c>
      <c r="I492" s="45">
        <f>IFERROR(INDEX('Semrush Data'!$D$2:$D$5000,MATCH(G492,'Semrush Data'!$A$2:$A$5000,0)),"")</f>
        <v/>
      </c>
      <c r="J492" s="45">
        <f>IF(OR(H492="",H492=0),"No volume",IF(I492&lt;=20,"Easier",IF(I492&lt;=35,"Medium","Hard")))</f>
        <v/>
      </c>
      <c r="K492" s="45" t="n"/>
      <c r="L492" s="47">
        <f>IF(K492="","",IFERROR(INDEX('Semrush Data'!$C$2:$C$5000,MATCH(K492,'Semrush Data'!$A$2:$A$5000,0)),""))</f>
        <v/>
      </c>
      <c r="M492" s="48" t="inlineStr">
        <is>
          <t>Signature Blue Edp</t>
        </is>
      </c>
      <c r="N492" s="45" t="inlineStr">
        <is>
          <t>Signature Blue Edp 100ml | Buy Online UK | Swansura</t>
        </is>
      </c>
      <c r="O492" s="45">
        <f>LEN(N492)</f>
        <v/>
      </c>
      <c r="P492" s="49" t="inlineStr">
        <is>
          <t>Buy Signature Blue Edp 100ml for £38.99 at Swansura UK. A fresh unisex eau de parfum. 100% authentic, fast UK delivery, free over £50.</t>
        </is>
      </c>
      <c r="Q492" s="45">
        <f>LEN(P492)</f>
        <v/>
      </c>
      <c r="R492" s="49" t="n"/>
    </row>
    <row r="493" ht="23.25" customHeight="1" s="37">
      <c r="A493" s="45" t="inlineStr">
        <is>
          <t>FR-333</t>
        </is>
      </c>
      <c r="B493" s="45" t="inlineStr">
        <is>
          <t>Fragrance Catalogue</t>
        </is>
      </c>
      <c r="C493" s="45" t="inlineStr">
        <is>
          <t>Signature D'orient</t>
        </is>
      </c>
      <c r="D493" s="45" t="inlineStr">
        <is>
          <t>Signature Jade 100ml Edp + 15ml Travel Spray</t>
        </is>
      </c>
      <c r="E493" s="45" t="inlineStr">
        <is>
          <t>100ml</t>
        </is>
      </c>
      <c r="F493" s="46" t="n">
        <v>64.98999999999999</v>
      </c>
      <c r="G493" s="45" t="inlineStr">
        <is>
          <t>signature jade</t>
        </is>
      </c>
      <c r="H493" s="47">
        <f>IFERROR(INDEX('Semrush Data'!$C$2:$C$5000,MATCH(G493,'Semrush Data'!$A$2:$A$5000,0)),"")</f>
        <v/>
      </c>
      <c r="I493" s="45">
        <f>IFERROR(INDEX('Semrush Data'!$D$2:$D$5000,MATCH(G493,'Semrush Data'!$A$2:$A$5000,0)),"")</f>
        <v/>
      </c>
      <c r="J493" s="45">
        <f>IF(OR(H493="",H493=0),"No volume",IF(I493&lt;=20,"Easier",IF(I493&lt;=35,"Medium","Hard")))</f>
        <v/>
      </c>
      <c r="K493" s="45" t="n"/>
      <c r="L493" s="47">
        <f>IF(K493="","",IFERROR(INDEX('Semrush Data'!$C$2:$C$5000,MATCH(K493,'Semrush Data'!$A$2:$A$5000,0)),""))</f>
        <v/>
      </c>
      <c r="M493" s="48" t="inlineStr">
        <is>
          <t>Signature Jade Edp</t>
        </is>
      </c>
      <c r="N493" s="45" t="inlineStr">
        <is>
          <t>Signature Jade Edp 100ml | Buy Online UK | Swansura</t>
        </is>
      </c>
      <c r="O493" s="45">
        <f>LEN(N493)</f>
        <v/>
      </c>
      <c r="P493" s="49" t="inlineStr">
        <is>
          <t>Buy Signature Jade Edp 100ml for £64.99 at Swansura UK. An amber unisex eau de parfum. 100% authentic, fast UK delivery, free over £50.</t>
        </is>
      </c>
      <c r="Q493" s="45">
        <f>LEN(P493)</f>
        <v/>
      </c>
      <c r="R493" s="49" t="n"/>
    </row>
    <row r="494" ht="23.25" customHeight="1" s="37">
      <c r="A494" s="45" t="inlineStr">
        <is>
          <t>FR-334</t>
        </is>
      </c>
      <c r="B494" s="45" t="inlineStr">
        <is>
          <t>Fragrance Catalogue</t>
        </is>
      </c>
      <c r="C494" s="45" t="inlineStr">
        <is>
          <t>Signature D'orient</t>
        </is>
      </c>
      <c r="D494" s="45" t="inlineStr">
        <is>
          <t>Signature Rose 100ml Edp +15ml Travel Spray</t>
        </is>
      </c>
      <c r="E494" s="45" t="inlineStr">
        <is>
          <t>100ml</t>
        </is>
      </c>
      <c r="F494" s="46" t="n">
        <v>44.99</v>
      </c>
      <c r="G494" s="45" t="inlineStr">
        <is>
          <t>signature rose</t>
        </is>
      </c>
      <c r="H494" s="47">
        <f>IFERROR(INDEX('Semrush Data'!$C$2:$C$5000,MATCH(G494,'Semrush Data'!$A$2:$A$5000,0)),"")</f>
        <v/>
      </c>
      <c r="I494" s="45">
        <f>IFERROR(INDEX('Semrush Data'!$D$2:$D$5000,MATCH(G494,'Semrush Data'!$A$2:$A$5000,0)),"")</f>
        <v/>
      </c>
      <c r="J494" s="45">
        <f>IF(OR(H494="",H494=0),"No volume",IF(I494&lt;=20,"Easier",IF(I494&lt;=35,"Medium","Hard")))</f>
        <v/>
      </c>
      <c r="K494" s="45" t="n"/>
      <c r="L494" s="47">
        <f>IF(K494="","",IFERROR(INDEX('Semrush Data'!$C$2:$C$5000,MATCH(K494,'Semrush Data'!$A$2:$A$5000,0)),""))</f>
        <v/>
      </c>
      <c r="M494" s="48" t="inlineStr">
        <is>
          <t>Signature Rose Edp</t>
        </is>
      </c>
      <c r="N494" s="45" t="inlineStr">
        <is>
          <t>Signature Rose Edp 100ml | Buy Online UK | Swansura</t>
        </is>
      </c>
      <c r="O494" s="45">
        <f>LEN(N494)</f>
        <v/>
      </c>
      <c r="P494" s="49" t="inlineStr">
        <is>
          <t>Buy Signature Rose Edp 100ml for £44.99 at Swansura UK. A floral unisex eau de parfum. 100% authentic, fast UK delivery, free over £50.</t>
        </is>
      </c>
      <c r="Q494" s="45">
        <f>LEN(P494)</f>
        <v/>
      </c>
      <c r="R494" s="49" t="n"/>
    </row>
    <row r="495" ht="23.25" customHeight="1" s="37">
      <c r="A495" s="45" t="inlineStr">
        <is>
          <t>FR-335</t>
        </is>
      </c>
      <c r="B495" s="45" t="inlineStr">
        <is>
          <t>Fragrance Catalogue</t>
        </is>
      </c>
      <c r="C495" s="45" t="inlineStr">
        <is>
          <t>Swansura - The Body Studio</t>
        </is>
      </c>
      <c r="D495" s="45" t="inlineStr">
        <is>
          <t>Acqua di Parma Zafferano EDP 20ml Unisex</t>
        </is>
      </c>
      <c r="E495" s="45" t="inlineStr">
        <is>
          <t>20ml</t>
        </is>
      </c>
      <c r="F495" s="46" t="n">
        <v>40.99</v>
      </c>
      <c r="G495" s="45" t="inlineStr">
        <is>
          <t>acqua di parma zafferano</t>
        </is>
      </c>
      <c r="H495" s="47">
        <f>IFERROR(INDEX('Semrush Data'!$C$2:$C$5000,MATCH(G495,'Semrush Data'!$A$2:$A$5000,0)),"")</f>
        <v/>
      </c>
      <c r="I495" s="45">
        <f>IFERROR(INDEX('Semrush Data'!$D$2:$D$5000,MATCH(G495,'Semrush Data'!$A$2:$A$5000,0)),"")</f>
        <v/>
      </c>
      <c r="J495" s="45">
        <f>IF(OR(H495="",H495=0),"No volume",IF(I495&lt;=20,"Easier",IF(I495&lt;=35,"Medium","Hard")))</f>
        <v/>
      </c>
      <c r="K495" s="45" t="inlineStr">
        <is>
          <t>acqua di parma zafferano edp</t>
        </is>
      </c>
      <c r="L495" s="47">
        <f>IF(K495="","",IFERROR(INDEX('Semrush Data'!$C$2:$C$5000,MATCH(K495,'Semrush Data'!$A$2:$A$5000,0)),""))</f>
        <v/>
      </c>
      <c r="M495" s="48" t="inlineStr">
        <is>
          <t>Acqua di Parma Zafferano EDP Unisex</t>
        </is>
      </c>
      <c r="N495" s="45" t="inlineStr">
        <is>
          <t>Acqua di Parma Zafferano EDP Unisex 20ml | Swansura UK</t>
        </is>
      </c>
      <c r="O495" s="45">
        <f>LEN(N495)</f>
        <v/>
      </c>
      <c r="P495" s="49" t="inlineStr">
        <is>
          <t>Buy Acqua di Parma Zafferano EDP Unisex 20ml for £40.99 at Swansura UK. An amber unisex eau de parfum. 100% authentic, fast UK delivery, free over £50.</t>
        </is>
      </c>
      <c r="Q495" s="45">
        <f>LEN(P495)</f>
        <v/>
      </c>
      <c r="R495" s="49" t="inlineStr">
        <is>
          <t>Real brand missing</t>
        </is>
      </c>
    </row>
    <row r="496" ht="23.25" customHeight="1" s="37">
      <c r="A496" s="45" t="inlineStr">
        <is>
          <t>FR-336</t>
        </is>
      </c>
      <c r="B496" s="45" t="inlineStr">
        <is>
          <t>Fragrance Catalogue</t>
        </is>
      </c>
      <c r="C496" s="45" t="inlineStr">
        <is>
          <t>Swansura - The Body Studio</t>
        </is>
      </c>
      <c r="D496" s="45" t="inlineStr">
        <is>
          <t>Hermès Un Jardin en Méditerranée EDT 15ml Miniature Unisex Fragrance</t>
        </is>
      </c>
      <c r="E496" s="45" t="inlineStr">
        <is>
          <t>15ml</t>
        </is>
      </c>
      <c r="F496" s="46" t="n">
        <v>24.99</v>
      </c>
      <c r="G496" s="45" t="inlineStr">
        <is>
          <t>hermes un jardin en mediterranee miniature</t>
        </is>
      </c>
      <c r="H496" s="47">
        <f>IFERROR(INDEX('Semrush Data'!$C$2:$C$5000,MATCH(G496,'Semrush Data'!$A$2:$A$5000,0)),"")</f>
        <v/>
      </c>
      <c r="I496" s="45">
        <f>IFERROR(INDEX('Semrush Data'!$D$2:$D$5000,MATCH(G496,'Semrush Data'!$A$2:$A$5000,0)),"")</f>
        <v/>
      </c>
      <c r="J496" s="45">
        <f>IF(OR(H496="",H496=0),"No volume",IF(I496&lt;=20,"Easier",IF(I496&lt;=35,"Medium","Hard")))</f>
        <v/>
      </c>
      <c r="K496" s="45" t="n"/>
      <c r="L496" s="47">
        <f>IF(K496="","",IFERROR(INDEX('Semrush Data'!$C$2:$C$5000,MATCH(K496,'Semrush Data'!$A$2:$A$5000,0)),""))</f>
        <v/>
      </c>
      <c r="M496" s="48" t="inlineStr">
        <is>
          <t>Hermès Un Jardin En Méditerranée EDT Miniature Unisex Fragrance</t>
        </is>
      </c>
      <c r="N496" s="45" t="inlineStr">
        <is>
          <t xml:space="preserve">Hermès Un Jardin En Méditerranée Miniature Unisex Fragrance </t>
        </is>
      </c>
      <c r="O496" s="45">
        <f>LEN(N496)</f>
        <v/>
      </c>
      <c r="P496" s="49" t="inlineStr">
        <is>
          <t>Buy Hermès Un Jardin En Méditerranée EDT Miniature Unisex Fragrance 15ml for £24.99 at Swansura UK. An amber unisex eau de toilette. Free UK delivery over £50.</t>
        </is>
      </c>
      <c r="Q496" s="45">
        <f>LEN(P496)</f>
        <v/>
      </c>
      <c r="R496" s="49" t="inlineStr">
        <is>
          <t>Real brand missing</t>
        </is>
      </c>
    </row>
    <row r="497" ht="23.25" customHeight="1" s="37">
      <c r="A497" s="45" t="inlineStr">
        <is>
          <t>FR-337</t>
        </is>
      </c>
      <c r="B497" s="45" t="inlineStr">
        <is>
          <t>Fragrance Catalogue</t>
        </is>
      </c>
      <c r="C497" s="45" t="inlineStr">
        <is>
          <t>Swansura - The Body Studio</t>
        </is>
      </c>
      <c r="D497" s="45" t="inlineStr">
        <is>
          <t>Hermès Un Jardin Sur Le Toit Eau de Toilette 15ml Miniature Unisex Fragrance</t>
        </is>
      </c>
      <c r="E497" s="45" t="inlineStr">
        <is>
          <t>15ml</t>
        </is>
      </c>
      <c r="F497" s="46" t="n">
        <v>24.99</v>
      </c>
      <c r="G497" s="45" t="inlineStr">
        <is>
          <t>hermes un jardin sur le toit miniature</t>
        </is>
      </c>
      <c r="H497" s="47">
        <f>IFERROR(INDEX('Semrush Data'!$C$2:$C$5000,MATCH(G497,'Semrush Data'!$A$2:$A$5000,0)),"")</f>
        <v/>
      </c>
      <c r="I497" s="45">
        <f>IFERROR(INDEX('Semrush Data'!$D$2:$D$5000,MATCH(G497,'Semrush Data'!$A$2:$A$5000,0)),"")</f>
        <v/>
      </c>
      <c r="J497" s="45">
        <f>IF(OR(H497="",H497=0),"No volume",IF(I497&lt;=20,"Easier",IF(I497&lt;=35,"Medium","Hard")))</f>
        <v/>
      </c>
      <c r="K497" s="45" t="n"/>
      <c r="L497" s="47">
        <f>IF(K497="","",IFERROR(INDEX('Semrush Data'!$C$2:$C$5000,MATCH(K497,'Semrush Data'!$A$2:$A$5000,0)),""))</f>
        <v/>
      </c>
      <c r="M497" s="48" t="inlineStr">
        <is>
          <t>Hermès Un Jardin Sur Le Toit Eau de Toilette Miniature Unisex Fragrance</t>
        </is>
      </c>
      <c r="N497" s="45" t="inlineStr">
        <is>
          <t>Hermès Un Jardin Sur Le Toit Miniature Unisex Fragrance | Sw</t>
        </is>
      </c>
      <c r="O497" s="45">
        <f>LEN(N497)</f>
        <v/>
      </c>
      <c r="P497" s="49" t="inlineStr">
        <is>
          <t>Hermès Un Jardin Sur Le Toit Eau de Toilette Miniature Unisex Fragrance for £24.99 at Swansura UK. An amber unisex eau de toilette. Free UK delivery over £50.</t>
        </is>
      </c>
      <c r="Q497" s="45">
        <f>LEN(P497)</f>
        <v/>
      </c>
      <c r="R497" s="49" t="inlineStr">
        <is>
          <t>Real brand missing</t>
        </is>
      </c>
    </row>
    <row r="498" ht="23.25" customHeight="1" s="37">
      <c r="A498" s="45" t="inlineStr">
        <is>
          <t>FR-338</t>
        </is>
      </c>
      <c r="B498" s="45" t="inlineStr">
        <is>
          <t>Fragrance Catalogue</t>
        </is>
      </c>
      <c r="C498" s="45" t="inlineStr">
        <is>
          <t>Swansura - The Body Studio</t>
        </is>
      </c>
      <c r="D498" s="45" t="inlineStr">
        <is>
          <t>Hermès Un Jardin à Cythère Eau de Toilette 15ml Miniature Unisex Fragrance</t>
        </is>
      </c>
      <c r="E498" s="45" t="inlineStr">
        <is>
          <t>15ml</t>
        </is>
      </c>
      <c r="F498" s="46" t="n">
        <v>24.99</v>
      </c>
      <c r="G498" s="45" t="inlineStr">
        <is>
          <t>hermes un jardin a cythere miniature</t>
        </is>
      </c>
      <c r="H498" s="47">
        <f>IFERROR(INDEX('Semrush Data'!$C$2:$C$5000,MATCH(G498,'Semrush Data'!$A$2:$A$5000,0)),"")</f>
        <v/>
      </c>
      <c r="I498" s="45">
        <f>IFERROR(INDEX('Semrush Data'!$D$2:$D$5000,MATCH(G498,'Semrush Data'!$A$2:$A$5000,0)),"")</f>
        <v/>
      </c>
      <c r="J498" s="45">
        <f>IF(OR(H498="",H498=0),"No volume",IF(I498&lt;=20,"Easier",IF(I498&lt;=35,"Medium","Hard")))</f>
        <v/>
      </c>
      <c r="K498" s="45" t="n"/>
      <c r="L498" s="47">
        <f>IF(K498="","",IFERROR(INDEX('Semrush Data'!$C$2:$C$5000,MATCH(K498,'Semrush Data'!$A$2:$A$5000,0)),""))</f>
        <v/>
      </c>
      <c r="M498" s="48" t="inlineStr">
        <is>
          <t>Hermès Un Jardin À Cythère Eau de Toilette Miniature Unisex Fragrance</t>
        </is>
      </c>
      <c r="N498" s="45" t="inlineStr">
        <is>
          <t>Hermès Un Jardin À Cythère Miniature Unisex Fragrance | Swan</t>
        </is>
      </c>
      <c r="O498" s="45">
        <f>LEN(N498)</f>
        <v/>
      </c>
      <c r="P498" s="49" t="inlineStr">
        <is>
          <t>Buy Hermès Un Jardin À Cythère Eau de Toilette Miniature Unisex Fragrance for £24.99 at Swansura UK. An amber unisex eau de toilette. Free UK delivery over £50.</t>
        </is>
      </c>
      <c r="Q498" s="45">
        <f>LEN(P498)</f>
        <v/>
      </c>
      <c r="R498" s="49" t="inlineStr">
        <is>
          <t>Real brand missing</t>
        </is>
      </c>
    </row>
    <row r="499" ht="23.25" customHeight="1" s="37">
      <c r="A499" s="45" t="inlineStr">
        <is>
          <t>FR-339</t>
        </is>
      </c>
      <c r="B499" s="45" t="inlineStr">
        <is>
          <t>Fragrance Catalogue</t>
        </is>
      </c>
      <c r="C499" s="45" t="inlineStr">
        <is>
          <t>Swansura - The Body Studio</t>
        </is>
      </c>
      <c r="D499" s="45" t="inlineStr">
        <is>
          <t>Korloff In White Eau De Toilette 88ML</t>
        </is>
      </c>
      <c r="E499" s="45" t="inlineStr">
        <is>
          <t>88ML</t>
        </is>
      </c>
      <c r="F499" s="46" t="n">
        <v>32.99</v>
      </c>
      <c r="G499" s="45" t="inlineStr">
        <is>
          <t>korloff in white</t>
        </is>
      </c>
      <c r="H499" s="47">
        <f>IFERROR(INDEX('Semrush Data'!$C$2:$C$5000,MATCH(G499,'Semrush Data'!$A$2:$A$5000,0)),"")</f>
        <v/>
      </c>
      <c r="I499" s="45">
        <f>IFERROR(INDEX('Semrush Data'!$D$2:$D$5000,MATCH(G499,'Semrush Data'!$A$2:$A$5000,0)),"")</f>
        <v/>
      </c>
      <c r="J499" s="45">
        <f>IF(OR(H499="",H499=0),"No volume",IF(I499&lt;=20,"Easier",IF(I499&lt;=35,"Medium","Hard")))</f>
        <v/>
      </c>
      <c r="K499" s="45" t="n"/>
      <c r="L499" s="47">
        <f>IF(K499="","",IFERROR(INDEX('Semrush Data'!$C$2:$C$5000,MATCH(K499,'Semrush Data'!$A$2:$A$5000,0)),""))</f>
        <v/>
      </c>
      <c r="M499" s="48" t="inlineStr">
        <is>
          <t>Korloff In White Eau De Toilette</t>
        </is>
      </c>
      <c r="N499" s="45" t="inlineStr">
        <is>
          <t>Korloff In White Eau De Toilette | Buy Online UK | Swansura</t>
        </is>
      </c>
      <c r="O499" s="45">
        <f>LEN(N499)</f>
        <v/>
      </c>
      <c r="P499" s="49" t="inlineStr">
        <is>
          <t>Buy Korloff In White Eau De Toilette 88ML for £32.99 at Swansura UK. An amber unisex eau de toilette. 100% authentic, fast UK delivery, free over £50.</t>
        </is>
      </c>
      <c r="Q499" s="45">
        <f>LEN(P499)</f>
        <v/>
      </c>
      <c r="R499" s="49" t="inlineStr">
        <is>
          <t>Real brand missing</t>
        </is>
      </c>
    </row>
    <row r="500" ht="23.25" customHeight="1" s="37">
      <c r="A500" s="45" t="inlineStr">
        <is>
          <t>FR-340</t>
        </is>
      </c>
      <c r="B500" s="45" t="inlineStr">
        <is>
          <t>Fragrance Catalogue</t>
        </is>
      </c>
      <c r="C500" s="45" t="inlineStr">
        <is>
          <t>Swansura - The Body Studio</t>
        </is>
      </c>
      <c r="D500" s="45" t="inlineStr">
        <is>
          <t>Hermès Miniature EDT Gift Set 4 x 7.5ml Unisex Fragrances</t>
        </is>
      </c>
      <c r="E500" s="45" t="inlineStr">
        <is>
          <t>7.5ml</t>
        </is>
      </c>
      <c r="F500" s="46" t="n">
        <v>64.98999999999999</v>
      </c>
      <c r="G500" s="45" t="inlineStr">
        <is>
          <t>hermes miniature gift set 4 x fragrances</t>
        </is>
      </c>
      <c r="H500" s="47">
        <f>IFERROR(INDEX('Semrush Data'!$C$2:$C$5000,MATCH(G500,'Semrush Data'!$A$2:$A$5000,0)),"")</f>
        <v/>
      </c>
      <c r="I500" s="45">
        <f>IFERROR(INDEX('Semrush Data'!$D$2:$D$5000,MATCH(G500,'Semrush Data'!$A$2:$A$5000,0)),"")</f>
        <v/>
      </c>
      <c r="J500" s="45">
        <f>IF(OR(H500="",H500=0),"No volume",IF(I500&lt;=20,"Easier",IF(I500&lt;=35,"Medium","Hard")))</f>
        <v/>
      </c>
      <c r="K500" s="45" t="n"/>
      <c r="L500" s="47">
        <f>IF(K500="","",IFERROR(INDEX('Semrush Data'!$C$2:$C$5000,MATCH(K500,'Semrush Data'!$A$2:$A$5000,0)),""))</f>
        <v/>
      </c>
      <c r="M500" s="48" t="inlineStr">
        <is>
          <t>Hermès Miniature EDT Gift Set 4 X Unisex Fragrances</t>
        </is>
      </c>
      <c r="N500" s="45" t="inlineStr">
        <is>
          <t>Hermès Miniature Gift Set 4 X Unisex Fragrances | Swansura U</t>
        </is>
      </c>
      <c r="O500" s="45">
        <f>LEN(N500)</f>
        <v/>
      </c>
      <c r="P500" s="49" t="inlineStr">
        <is>
          <t>Hermès Miniature EDT Gift Set 4 X Unisex Fragrances for £64.99 at Swansura UK. An amber unisex eau de toilette. 100% authentic, fast UK delivery, free over £50.</t>
        </is>
      </c>
      <c r="Q500" s="45">
        <f>LEN(P500)</f>
        <v/>
      </c>
      <c r="R500" s="49" t="inlineStr">
        <is>
          <t>Real brand missing</t>
        </is>
      </c>
    </row>
    <row r="501" ht="23.25" customHeight="1" s="37">
      <c r="A501" s="45" t="inlineStr">
        <is>
          <t>FR-341</t>
        </is>
      </c>
      <c r="B501" s="45" t="inlineStr">
        <is>
          <t>Fragrance Catalogue</t>
        </is>
      </c>
      <c r="C501" s="45" t="inlineStr">
        <is>
          <t>Swansura - The Body Studio</t>
        </is>
      </c>
      <c r="D501" s="45" t="inlineStr">
        <is>
          <t>Casanova Anniversary Extrait de Parfum 100ml – Unisex Luxury Niche Perfume</t>
        </is>
      </c>
      <c r="E501" s="45" t="inlineStr">
        <is>
          <t>100ml</t>
        </is>
      </c>
      <c r="F501" s="46" t="n">
        <v>121.99</v>
      </c>
      <c r="G501" s="45" t="inlineStr">
        <is>
          <t>casanova anniversary</t>
        </is>
      </c>
      <c r="H501" s="47">
        <f>IFERROR(INDEX('Semrush Data'!$C$2:$C$5000,MATCH(G501,'Semrush Data'!$A$2:$A$5000,0)),"")</f>
        <v/>
      </c>
      <c r="I501" s="45">
        <f>IFERROR(INDEX('Semrush Data'!$D$2:$D$5000,MATCH(G501,'Semrush Data'!$A$2:$A$5000,0)),"")</f>
        <v/>
      </c>
      <c r="J501" s="45">
        <f>IF(OR(H501="",H501=0),"No volume",IF(I501&lt;=20,"Easier",IF(I501&lt;=35,"Medium","Hard")))</f>
        <v/>
      </c>
      <c r="K501" s="45" t="n"/>
      <c r="L501" s="47">
        <f>IF(K501="","",IFERROR(INDEX('Semrush Data'!$C$2:$C$5000,MATCH(K501,'Semrush Data'!$A$2:$A$5000,0)),""))</f>
        <v/>
      </c>
      <c r="M501" s="48" t="inlineStr">
        <is>
          <t>Casanova Anniversary Extrait de Parfum</t>
        </is>
      </c>
      <c r="N501" s="45" t="inlineStr">
        <is>
          <t>Casanova Anniversary Extrait de Parfum 100ml | Swansura UK</t>
        </is>
      </c>
      <c r="O501" s="45">
        <f>LEN(N501)</f>
        <v/>
      </c>
      <c r="P501" s="49" t="inlineStr">
        <is>
          <t>Buy Casanova Anniversary Extrait de Parfum 100ml for £121.99 at Swansura UK. An amber unisex extrait de parfum. 100% authentic, fast UK delivery, free over £50.</t>
        </is>
      </c>
      <c r="Q501" s="45">
        <f>LEN(P501)</f>
        <v/>
      </c>
      <c r="R501" s="49" t="inlineStr">
        <is>
          <t>Real brand missing</t>
        </is>
      </c>
    </row>
    <row r="502" ht="23.25" customHeight="1" s="37">
      <c r="A502" s="45" t="inlineStr">
        <is>
          <t>FR-342</t>
        </is>
      </c>
      <c r="B502" s="45" t="inlineStr">
        <is>
          <t>Fragrance Catalogue</t>
        </is>
      </c>
      <c r="C502" s="45" t="inlineStr">
        <is>
          <t>The Woods Collection</t>
        </is>
      </c>
      <c r="D502" s="45" t="inlineStr">
        <is>
          <t>The Woods Collection Azure Eau De Parfum 100ML</t>
        </is>
      </c>
      <c r="E502" s="45" t="inlineStr">
        <is>
          <t>100ml</t>
        </is>
      </c>
      <c r="F502" s="46" t="n">
        <v>44.99</v>
      </c>
      <c r="G502" s="45" t="inlineStr">
        <is>
          <t>the woods collection azure</t>
        </is>
      </c>
      <c r="H502" s="47">
        <f>IFERROR(INDEX('Semrush Data'!$C$2:$C$5000,MATCH(G502,'Semrush Data'!$A$2:$A$5000,0)),"")</f>
        <v/>
      </c>
      <c r="I502" s="45">
        <f>IFERROR(INDEX('Semrush Data'!$D$2:$D$5000,MATCH(G502,'Semrush Data'!$A$2:$A$5000,0)),"")</f>
        <v/>
      </c>
      <c r="J502" s="45">
        <f>IF(OR(H502="",H502=0),"No volume",IF(I502&lt;=20,"Easier",IF(I502&lt;=35,"Medium","Hard")))</f>
        <v/>
      </c>
      <c r="K502" s="45" t="n"/>
      <c r="L502" s="47">
        <f>IF(K502="","",IFERROR(INDEX('Semrush Data'!$C$2:$C$5000,MATCH(K502,'Semrush Data'!$A$2:$A$5000,0)),""))</f>
        <v/>
      </c>
      <c r="M502" s="48" t="inlineStr">
        <is>
          <t>The Woods Collection Azure Eau De Parfum</t>
        </is>
      </c>
      <c r="N502" s="45" t="inlineStr">
        <is>
          <t>The Woods Collection Azure Eau De Parfum 100ml | Swansura UK</t>
        </is>
      </c>
      <c r="O502" s="45">
        <f>LEN(N502)</f>
        <v/>
      </c>
      <c r="P502" s="49" t="inlineStr">
        <is>
          <t>Buy The Woods Collection Azure Eau De Parfum 100ml for £44.99 at Swansura UK. An amber unisex eau de parfum. 100% authentic, fast UK delivery, free over £50.</t>
        </is>
      </c>
      <c r="Q502" s="45">
        <f>LEN(P502)</f>
        <v/>
      </c>
      <c r="R502" s="49" t="n"/>
    </row>
    <row r="503" ht="23.25" customHeight="1" s="37">
      <c r="A503" s="45" t="inlineStr">
        <is>
          <t>FR-343</t>
        </is>
      </c>
      <c r="B503" s="45" t="inlineStr">
        <is>
          <t>Fragrance Catalogue</t>
        </is>
      </c>
      <c r="C503" s="45" t="inlineStr">
        <is>
          <t>The Woods Collection</t>
        </is>
      </c>
      <c r="D503" s="45" t="inlineStr">
        <is>
          <t>The Woods Collection Eden Eau De Parfum 100ML</t>
        </is>
      </c>
      <c r="E503" s="45" t="inlineStr">
        <is>
          <t>100ml</t>
        </is>
      </c>
      <c r="F503" s="46" t="n">
        <v>44.99</v>
      </c>
      <c r="G503" s="45" t="inlineStr">
        <is>
          <t>the woods collection eden</t>
        </is>
      </c>
      <c r="H503" s="47">
        <f>IFERROR(INDEX('Semrush Data'!$C$2:$C$5000,MATCH(G503,'Semrush Data'!$A$2:$A$5000,0)),"")</f>
        <v/>
      </c>
      <c r="I503" s="45">
        <f>IFERROR(INDEX('Semrush Data'!$D$2:$D$5000,MATCH(G503,'Semrush Data'!$A$2:$A$5000,0)),"")</f>
        <v/>
      </c>
      <c r="J503" s="45">
        <f>IF(OR(H503="",H503=0),"No volume",IF(I503&lt;=20,"Easier",IF(I503&lt;=35,"Medium","Hard")))</f>
        <v/>
      </c>
      <c r="K503" s="45" t="n"/>
      <c r="L503" s="47">
        <f>IF(K503="","",IFERROR(INDEX('Semrush Data'!$C$2:$C$5000,MATCH(K503,'Semrush Data'!$A$2:$A$5000,0)),""))</f>
        <v/>
      </c>
      <c r="M503" s="48" t="inlineStr">
        <is>
          <t>The Woods Collection Eden Eau De Parfum</t>
        </is>
      </c>
      <c r="N503" s="45" t="inlineStr">
        <is>
          <t>The Woods Collection Eden Eau De Parfum 100ml | Swansura UK</t>
        </is>
      </c>
      <c r="O503" s="45">
        <f>LEN(N503)</f>
        <v/>
      </c>
      <c r="P503" s="49" t="inlineStr">
        <is>
          <t>Buy The Woods Collection Eden Eau De Parfum 100ml for £44.99 at Swansura UK. An amber unisex eau de parfum. 100% authentic, fast UK delivery, free over £50.</t>
        </is>
      </c>
      <c r="Q503" s="45">
        <f>LEN(P503)</f>
        <v/>
      </c>
      <c r="R503" s="49" t="n"/>
    </row>
    <row r="504" ht="23.25" customHeight="1" s="37">
      <c r="A504" s="45" t="inlineStr">
        <is>
          <t>FR-344</t>
        </is>
      </c>
      <c r="B504" s="45" t="inlineStr">
        <is>
          <t>Fragrance Catalogue</t>
        </is>
      </c>
      <c r="C504" s="45" t="inlineStr">
        <is>
          <t>The Woods Collection</t>
        </is>
      </c>
      <c r="D504" s="45" t="inlineStr">
        <is>
          <t>The Woods Collection Elysian Eau De Parfum 100ML</t>
        </is>
      </c>
      <c r="E504" s="45" t="inlineStr">
        <is>
          <t>100ml</t>
        </is>
      </c>
      <c r="F504" s="46" t="n">
        <v>44.99</v>
      </c>
      <c r="G504" s="45" t="inlineStr">
        <is>
          <t>the woods collection elysian</t>
        </is>
      </c>
      <c r="H504" s="47">
        <f>IFERROR(INDEX('Semrush Data'!$C$2:$C$5000,MATCH(G504,'Semrush Data'!$A$2:$A$5000,0)),"")</f>
        <v/>
      </c>
      <c r="I504" s="45">
        <f>IFERROR(INDEX('Semrush Data'!$D$2:$D$5000,MATCH(G504,'Semrush Data'!$A$2:$A$5000,0)),"")</f>
        <v/>
      </c>
      <c r="J504" s="45">
        <f>IF(OR(H504="",H504=0),"No volume",IF(I504&lt;=20,"Easier",IF(I504&lt;=35,"Medium","Hard")))</f>
        <v/>
      </c>
      <c r="K504" s="45" t="n"/>
      <c r="L504" s="47">
        <f>IF(K504="","",IFERROR(INDEX('Semrush Data'!$C$2:$C$5000,MATCH(K504,'Semrush Data'!$A$2:$A$5000,0)),""))</f>
        <v/>
      </c>
      <c r="M504" s="48" t="inlineStr">
        <is>
          <t>The Woods Collection Elysian Eau De Parfum</t>
        </is>
      </c>
      <c r="N504" s="45" t="inlineStr">
        <is>
          <t>The Woods Collection Elysian EDP 100ml | Swansura UK</t>
        </is>
      </c>
      <c r="O504" s="45">
        <f>LEN(N504)</f>
        <v/>
      </c>
      <c r="P504" s="49" t="inlineStr">
        <is>
          <t>Buy The Woods Collection Elysian Eau De Parfum 100ml for £44.99 at Swansura UK. An amber unisex eau de parfum. 100% authentic, fast UK delivery, free over £50.</t>
        </is>
      </c>
      <c r="Q504" s="45">
        <f>LEN(P504)</f>
        <v/>
      </c>
      <c r="R504" s="49" t="n"/>
    </row>
    <row r="505" ht="23.25" customHeight="1" s="37">
      <c r="A505" s="45" t="inlineStr">
        <is>
          <t>FR-345</t>
        </is>
      </c>
      <c r="B505" s="45" t="inlineStr">
        <is>
          <t>Fragrance Catalogue</t>
        </is>
      </c>
      <c r="C505" s="45" t="inlineStr">
        <is>
          <t>The Woods Collection</t>
        </is>
      </c>
      <c r="D505" s="45" t="inlineStr">
        <is>
          <t>The Woods Collection Green Walk Eau De Parfum 100ML</t>
        </is>
      </c>
      <c r="E505" s="45" t="inlineStr">
        <is>
          <t>100ml</t>
        </is>
      </c>
      <c r="F505" s="46" t="n">
        <v>44.99</v>
      </c>
      <c r="G505" s="45" t="inlineStr">
        <is>
          <t>the woods collection green walk</t>
        </is>
      </c>
      <c r="H505" s="47">
        <f>IFERROR(INDEX('Semrush Data'!$C$2:$C$5000,MATCH(G505,'Semrush Data'!$A$2:$A$5000,0)),"")</f>
        <v/>
      </c>
      <c r="I505" s="45">
        <f>IFERROR(INDEX('Semrush Data'!$D$2:$D$5000,MATCH(G505,'Semrush Data'!$A$2:$A$5000,0)),"")</f>
        <v/>
      </c>
      <c r="J505" s="45">
        <f>IF(OR(H505="",H505=0),"No volume",IF(I505&lt;=20,"Easier",IF(I505&lt;=35,"Medium","Hard")))</f>
        <v/>
      </c>
      <c r="K505" s="45" t="n"/>
      <c r="L505" s="47">
        <f>IF(K505="","",IFERROR(INDEX('Semrush Data'!$C$2:$C$5000,MATCH(K505,'Semrush Data'!$A$2:$A$5000,0)),""))</f>
        <v/>
      </c>
      <c r="M505" s="48" t="inlineStr">
        <is>
          <t>The Woods Collection Green Walk Eau De Parfum</t>
        </is>
      </c>
      <c r="N505" s="45" t="inlineStr">
        <is>
          <t>The Woods Collection Green Walk EDP 100ml | Swansura UK</t>
        </is>
      </c>
      <c r="O505" s="45">
        <f>LEN(N505)</f>
        <v/>
      </c>
      <c r="P505" s="49" t="inlineStr">
        <is>
          <t>Buy The Woods Collection Green Walk Eau De Parfum 100ml for £44.99 at Swansura UK. A green unisex eau de parfum. 100% authentic, free UK delivery over £50.</t>
        </is>
      </c>
      <c r="Q505" s="45">
        <f>LEN(P505)</f>
        <v/>
      </c>
      <c r="R505" s="49" t="n"/>
    </row>
    <row r="506" ht="23.25" customHeight="1" s="37">
      <c r="A506" s="45" t="inlineStr">
        <is>
          <t>FR-346</t>
        </is>
      </c>
      <c r="B506" s="45" t="inlineStr">
        <is>
          <t>Fragrance Catalogue</t>
        </is>
      </c>
      <c r="C506" s="45" t="inlineStr">
        <is>
          <t>The Woods Collection</t>
        </is>
      </c>
      <c r="D506" s="45" t="inlineStr">
        <is>
          <t>The Woods Collection Mirage Eau De Parfum 100ML</t>
        </is>
      </c>
      <c r="E506" s="45" t="inlineStr">
        <is>
          <t>100ml</t>
        </is>
      </c>
      <c r="F506" s="46" t="n">
        <v>44.99</v>
      </c>
      <c r="G506" s="45" t="inlineStr">
        <is>
          <t>the woods collection mirage</t>
        </is>
      </c>
      <c r="H506" s="47">
        <f>IFERROR(INDEX('Semrush Data'!$C$2:$C$5000,MATCH(G506,'Semrush Data'!$A$2:$A$5000,0)),"")</f>
        <v/>
      </c>
      <c r="I506" s="45">
        <f>IFERROR(INDEX('Semrush Data'!$D$2:$D$5000,MATCH(G506,'Semrush Data'!$A$2:$A$5000,0)),"")</f>
        <v/>
      </c>
      <c r="J506" s="45">
        <f>IF(OR(H506="",H506=0),"No volume",IF(I506&lt;=20,"Easier",IF(I506&lt;=35,"Medium","Hard")))</f>
        <v/>
      </c>
      <c r="K506" s="45" t="n"/>
      <c r="L506" s="47">
        <f>IF(K506="","",IFERROR(INDEX('Semrush Data'!$C$2:$C$5000,MATCH(K506,'Semrush Data'!$A$2:$A$5000,0)),""))</f>
        <v/>
      </c>
      <c r="M506" s="48" t="inlineStr">
        <is>
          <t>The Woods Collection Mirage Eau De Parfum</t>
        </is>
      </c>
      <c r="N506" s="45" t="inlineStr">
        <is>
          <t>The Woods Collection Mirage EDP 100ml | Swansura UK</t>
        </is>
      </c>
      <c r="O506" s="45">
        <f>LEN(N506)</f>
        <v/>
      </c>
      <c r="P506" s="49" t="inlineStr">
        <is>
          <t>Buy The Woods Collection Mirage Eau De Parfum 100ml for £44.99 at Swansura UK. An amber unisex eau de parfum. 100% authentic, fast UK delivery, free over £50.</t>
        </is>
      </c>
      <c r="Q506" s="45">
        <f>LEN(P506)</f>
        <v/>
      </c>
      <c r="R506" s="49" t="n"/>
    </row>
    <row r="507" ht="23.25" customHeight="1" s="37">
      <c r="A507" s="45" t="inlineStr">
        <is>
          <t>FR-347</t>
        </is>
      </c>
      <c r="B507" s="45" t="inlineStr">
        <is>
          <t>Fragrance Catalogue</t>
        </is>
      </c>
      <c r="C507" s="45" t="inlineStr">
        <is>
          <t>The Woods Collection</t>
        </is>
      </c>
      <c r="D507" s="45" t="inlineStr">
        <is>
          <t>The Woods Collection Pure Shine Eau De Parfum 100ML</t>
        </is>
      </c>
      <c r="E507" s="45" t="inlineStr">
        <is>
          <t>100ml</t>
        </is>
      </c>
      <c r="F507" s="46" t="n">
        <v>44.99</v>
      </c>
      <c r="G507" s="45" t="inlineStr">
        <is>
          <t>the woods collection pure shine</t>
        </is>
      </c>
      <c r="H507" s="47">
        <f>IFERROR(INDEX('Semrush Data'!$C$2:$C$5000,MATCH(G507,'Semrush Data'!$A$2:$A$5000,0)),"")</f>
        <v/>
      </c>
      <c r="I507" s="45">
        <f>IFERROR(INDEX('Semrush Data'!$D$2:$D$5000,MATCH(G507,'Semrush Data'!$A$2:$A$5000,0)),"")</f>
        <v/>
      </c>
      <c r="J507" s="45">
        <f>IF(OR(H507="",H507=0),"No volume",IF(I507&lt;=20,"Easier",IF(I507&lt;=35,"Medium","Hard")))</f>
        <v/>
      </c>
      <c r="K507" s="45" t="n"/>
      <c r="L507" s="47">
        <f>IF(K507="","",IFERROR(INDEX('Semrush Data'!$C$2:$C$5000,MATCH(K507,'Semrush Data'!$A$2:$A$5000,0)),""))</f>
        <v/>
      </c>
      <c r="M507" s="48" t="inlineStr">
        <is>
          <t>The Woods Collection Pure Shine Eau De Parfum</t>
        </is>
      </c>
      <c r="N507" s="45" t="inlineStr">
        <is>
          <t>The Woods Collection Pure Shine EDP 100ml | Swansura UK</t>
        </is>
      </c>
      <c r="O507" s="45">
        <f>LEN(N507)</f>
        <v/>
      </c>
      <c r="P507" s="49" t="inlineStr">
        <is>
          <t>Buy The Woods Collection Pure Shine Eau De Parfum 100ml for £44.99 at Swansura UK. An amber unisex eau de parfum. 100% authentic, free UK delivery over £50.</t>
        </is>
      </c>
      <c r="Q507" s="45">
        <f>LEN(P507)</f>
        <v/>
      </c>
      <c r="R507" s="49" t="n"/>
    </row>
    <row r="508" ht="23.25" customHeight="1" s="37">
      <c r="A508" s="45" t="inlineStr">
        <is>
          <t>FR-348</t>
        </is>
      </c>
      <c r="B508" s="45" t="inlineStr">
        <is>
          <t>Fragrance Catalogue</t>
        </is>
      </c>
      <c r="C508" s="45" t="inlineStr">
        <is>
          <t>The Woods Collection</t>
        </is>
      </c>
      <c r="D508" s="45" t="inlineStr">
        <is>
          <t>The Woods Collection Secret Source Eau De Parfum 100ML</t>
        </is>
      </c>
      <c r="E508" s="45" t="inlineStr">
        <is>
          <t>100ml</t>
        </is>
      </c>
      <c r="F508" s="46" t="n">
        <v>44.99</v>
      </c>
      <c r="G508" s="45" t="inlineStr">
        <is>
          <t>the woods collection secret source</t>
        </is>
      </c>
      <c r="H508" s="47">
        <f>IFERROR(INDEX('Semrush Data'!$C$2:$C$5000,MATCH(G508,'Semrush Data'!$A$2:$A$5000,0)),"")</f>
        <v/>
      </c>
      <c r="I508" s="45">
        <f>IFERROR(INDEX('Semrush Data'!$D$2:$D$5000,MATCH(G508,'Semrush Data'!$A$2:$A$5000,0)),"")</f>
        <v/>
      </c>
      <c r="J508" s="45">
        <f>IF(OR(H508="",H508=0),"No volume",IF(I508&lt;=20,"Easier",IF(I508&lt;=35,"Medium","Hard")))</f>
        <v/>
      </c>
      <c r="K508" s="45" t="n"/>
      <c r="L508" s="47">
        <f>IF(K508="","",IFERROR(INDEX('Semrush Data'!$C$2:$C$5000,MATCH(K508,'Semrush Data'!$A$2:$A$5000,0)),""))</f>
        <v/>
      </c>
      <c r="M508" s="48" t="inlineStr">
        <is>
          <t>The Woods Collection Secret Source Eau De Parfum</t>
        </is>
      </c>
      <c r="N508" s="45" t="inlineStr">
        <is>
          <t>The Woods Collection Secret Source EDP 100ml | Swansura UK</t>
        </is>
      </c>
      <c r="O508" s="45">
        <f>LEN(N508)</f>
        <v/>
      </c>
      <c r="P508" s="49" t="inlineStr">
        <is>
          <t>Buy The Woods Collection Secret Source Eau De Parfum 100ml for £44.99 at Swansura UK. An amber unisex eau de parfum. 100% authentic, free UK delivery over £50.</t>
        </is>
      </c>
      <c r="Q508" s="45">
        <f>LEN(P508)</f>
        <v/>
      </c>
      <c r="R508" s="49" t="n"/>
    </row>
    <row r="509" ht="23.25" customHeight="1" s="37">
      <c r="A509" s="45" t="inlineStr">
        <is>
          <t>FR-349</t>
        </is>
      </c>
      <c r="B509" s="45" t="inlineStr">
        <is>
          <t>Fragrance Catalogue</t>
        </is>
      </c>
      <c r="C509" s="45" t="inlineStr">
        <is>
          <t>The Woods Collection</t>
        </is>
      </c>
      <c r="D509" s="45" t="inlineStr">
        <is>
          <t>The Woods Collection Sunrise Eau De Parfum 100ML</t>
        </is>
      </c>
      <c r="E509" s="45" t="inlineStr">
        <is>
          <t>100ml</t>
        </is>
      </c>
      <c r="F509" s="46" t="n">
        <v>44.99</v>
      </c>
      <c r="G509" s="45" t="inlineStr">
        <is>
          <t>the woods collection sunrise</t>
        </is>
      </c>
      <c r="H509" s="47">
        <f>IFERROR(INDEX('Semrush Data'!$C$2:$C$5000,MATCH(G509,'Semrush Data'!$A$2:$A$5000,0)),"")</f>
        <v/>
      </c>
      <c r="I509" s="45">
        <f>IFERROR(INDEX('Semrush Data'!$D$2:$D$5000,MATCH(G509,'Semrush Data'!$A$2:$A$5000,0)),"")</f>
        <v/>
      </c>
      <c r="J509" s="45">
        <f>IF(OR(H509="",H509=0),"No volume",IF(I509&lt;=20,"Easier",IF(I509&lt;=35,"Medium","Hard")))</f>
        <v/>
      </c>
      <c r="K509" s="45" t="n"/>
      <c r="L509" s="47">
        <f>IF(K509="","",IFERROR(INDEX('Semrush Data'!$C$2:$C$5000,MATCH(K509,'Semrush Data'!$A$2:$A$5000,0)),""))</f>
        <v/>
      </c>
      <c r="M509" s="48" t="inlineStr">
        <is>
          <t>The Woods Collection Sunrise Eau De Parfum</t>
        </is>
      </c>
      <c r="N509" s="45" t="inlineStr">
        <is>
          <t>The Woods Collection Sunrise EDP 100ml | Swansura UK</t>
        </is>
      </c>
      <c r="O509" s="45">
        <f>LEN(N509)</f>
        <v/>
      </c>
      <c r="P509" s="49" t="inlineStr">
        <is>
          <t>Buy The Woods Collection Sunrise Eau De Parfum 100ml for £44.99 at Swansura UK. An amber unisex eau de parfum. 100% authentic, fast UK delivery, free over £50.</t>
        </is>
      </c>
      <c r="Q509" s="45">
        <f>LEN(P509)</f>
        <v/>
      </c>
      <c r="R509" s="49" t="n"/>
    </row>
    <row r="510" ht="23.25" customHeight="1" s="37">
      <c r="A510" s="45" t="inlineStr">
        <is>
          <t>FR-350</t>
        </is>
      </c>
      <c r="B510" s="45" t="inlineStr">
        <is>
          <t>Fragrance Catalogue</t>
        </is>
      </c>
      <c r="C510" s="45" t="inlineStr">
        <is>
          <t>The Woods Collection</t>
        </is>
      </c>
      <c r="D510" s="45" t="inlineStr">
        <is>
          <t>The Woods Collection Timeless Sands Eau De Parfum 100ML</t>
        </is>
      </c>
      <c r="E510" s="45" t="inlineStr">
        <is>
          <t>100ml</t>
        </is>
      </c>
      <c r="F510" s="46" t="n">
        <v>44.99</v>
      </c>
      <c r="G510" s="45" t="inlineStr">
        <is>
          <t>the woods collection timeless sands</t>
        </is>
      </c>
      <c r="H510" s="47">
        <f>IFERROR(INDEX('Semrush Data'!$C$2:$C$5000,MATCH(G510,'Semrush Data'!$A$2:$A$5000,0)),"")</f>
        <v/>
      </c>
      <c r="I510" s="45">
        <f>IFERROR(INDEX('Semrush Data'!$D$2:$D$5000,MATCH(G510,'Semrush Data'!$A$2:$A$5000,0)),"")</f>
        <v/>
      </c>
      <c r="J510" s="45">
        <f>IF(OR(H510="",H510=0),"No volume",IF(I510&lt;=20,"Easier",IF(I510&lt;=35,"Medium","Hard")))</f>
        <v/>
      </c>
      <c r="K510" s="45" t="n"/>
      <c r="L510" s="47">
        <f>IF(K510="","",IFERROR(INDEX('Semrush Data'!$C$2:$C$5000,MATCH(K510,'Semrush Data'!$A$2:$A$5000,0)),""))</f>
        <v/>
      </c>
      <c r="M510" s="48" t="inlineStr">
        <is>
          <t>The Woods Collection Timeless Sands Eau De Parfum</t>
        </is>
      </c>
      <c r="N510" s="45" t="inlineStr">
        <is>
          <t>The Woods Collection Timeless Sands EDP 100ml | Swansura UK</t>
        </is>
      </c>
      <c r="O510" s="45">
        <f>LEN(N510)</f>
        <v/>
      </c>
      <c r="P510" s="49" t="inlineStr">
        <is>
          <t>Buy The Woods Collection Timeless Sands Eau De Parfum 100ml for £44.99 at Swansura UK. An amber unisex eau de parfum. 100% authentic, free UK delivery over £50.</t>
        </is>
      </c>
      <c r="Q510" s="45">
        <f>LEN(P510)</f>
        <v/>
      </c>
      <c r="R510" s="49" t="n"/>
    </row>
    <row r="511" ht="23.25" customHeight="1" s="37">
      <c r="A511" s="45" t="inlineStr">
        <is>
          <t>FR-351</t>
        </is>
      </c>
      <c r="B511" s="45" t="inlineStr">
        <is>
          <t>Fragrance Catalogue</t>
        </is>
      </c>
      <c r="C511" s="45" t="inlineStr">
        <is>
          <t>The Woods Collection</t>
        </is>
      </c>
      <c r="D511" s="45" t="inlineStr">
        <is>
          <t>The Woods Collection Twilight Eau De Parfum 100ML</t>
        </is>
      </c>
      <c r="E511" s="45" t="inlineStr">
        <is>
          <t>100ml</t>
        </is>
      </c>
      <c r="F511" s="46" t="n">
        <v>44.99</v>
      </c>
      <c r="G511" s="45" t="inlineStr">
        <is>
          <t>the woods collection twilight</t>
        </is>
      </c>
      <c r="H511" s="47">
        <f>IFERROR(INDEX('Semrush Data'!$C$2:$C$5000,MATCH(G511,'Semrush Data'!$A$2:$A$5000,0)),"")</f>
        <v/>
      </c>
      <c r="I511" s="45">
        <f>IFERROR(INDEX('Semrush Data'!$D$2:$D$5000,MATCH(G511,'Semrush Data'!$A$2:$A$5000,0)),"")</f>
        <v/>
      </c>
      <c r="J511" s="45">
        <f>IF(OR(H511="",H511=0),"No volume",IF(I511&lt;=20,"Easier",IF(I511&lt;=35,"Medium","Hard")))</f>
        <v/>
      </c>
      <c r="K511" s="45" t="n"/>
      <c r="L511" s="47">
        <f>IF(K511="","",IFERROR(INDEX('Semrush Data'!$C$2:$C$5000,MATCH(K511,'Semrush Data'!$A$2:$A$5000,0)),""))</f>
        <v/>
      </c>
      <c r="M511" s="48" t="inlineStr">
        <is>
          <t>The Woods Collection Twilight Eau De Parfum</t>
        </is>
      </c>
      <c r="N511" s="45" t="inlineStr">
        <is>
          <t>The Woods Collection Twilight EDP 100ml | Swansura UK</t>
        </is>
      </c>
      <c r="O511" s="45">
        <f>LEN(N511)</f>
        <v/>
      </c>
      <c r="P511" s="49" t="inlineStr">
        <is>
          <t>Buy The Woods Collection Twilight Eau De Parfum 100ml for £44.99 at Swansura UK. An amber unisex eau de parfum. 100% authentic, fast UK delivery, free over £50.</t>
        </is>
      </c>
      <c r="Q511" s="45">
        <f>LEN(P511)</f>
        <v/>
      </c>
      <c r="R511" s="49" t="n"/>
    </row>
    <row r="512" ht="23.25" customHeight="1" s="37">
      <c r="A512" s="45" t="inlineStr">
        <is>
          <t>FR-352</t>
        </is>
      </c>
      <c r="B512" s="45" t="inlineStr">
        <is>
          <t>Fragrance Catalogue</t>
        </is>
      </c>
      <c r="C512" s="45" t="inlineStr">
        <is>
          <t>The Woods Collection</t>
        </is>
      </c>
      <c r="D512" s="45" t="inlineStr">
        <is>
          <t>The Woods Collection Wild Roses Eau De Parfum 100ML</t>
        </is>
      </c>
      <c r="E512" s="45" t="inlineStr">
        <is>
          <t>100ml</t>
        </is>
      </c>
      <c r="F512" s="46" t="n">
        <v>44.99</v>
      </c>
      <c r="G512" s="45" t="inlineStr">
        <is>
          <t>the woods collection wild roses</t>
        </is>
      </c>
      <c r="H512" s="47">
        <f>IFERROR(INDEX('Semrush Data'!$C$2:$C$5000,MATCH(G512,'Semrush Data'!$A$2:$A$5000,0)),"")</f>
        <v/>
      </c>
      <c r="I512" s="45">
        <f>IFERROR(INDEX('Semrush Data'!$D$2:$D$5000,MATCH(G512,'Semrush Data'!$A$2:$A$5000,0)),"")</f>
        <v/>
      </c>
      <c r="J512" s="45">
        <f>IF(OR(H512="",H512=0),"No volume",IF(I512&lt;=20,"Easier",IF(I512&lt;=35,"Medium","Hard")))</f>
        <v/>
      </c>
      <c r="K512" s="45" t="n"/>
      <c r="L512" s="47">
        <f>IF(K512="","",IFERROR(INDEX('Semrush Data'!$C$2:$C$5000,MATCH(K512,'Semrush Data'!$A$2:$A$5000,0)),""))</f>
        <v/>
      </c>
      <c r="M512" s="48" t="inlineStr">
        <is>
          <t>The Woods Collection Wild Roses Eau De Parfum</t>
        </is>
      </c>
      <c r="N512" s="45" t="inlineStr">
        <is>
          <t>The Woods Collection Wild Roses EDP 100ml | Swansura UK</t>
        </is>
      </c>
      <c r="O512" s="45">
        <f>LEN(N512)</f>
        <v/>
      </c>
      <c r="P512" s="49" t="inlineStr">
        <is>
          <t>Buy The Woods Collection Wild Roses Eau De Parfum 100ml for £44.99 at Swansura UK. An amber unisex eau de parfum. 100% authentic, free UK delivery over £50.</t>
        </is>
      </c>
      <c r="Q512" s="45">
        <f>LEN(P512)</f>
        <v/>
      </c>
      <c r="R512" s="49" t="n"/>
    </row>
    <row r="513" ht="23.25" customHeight="1" s="37">
      <c r="A513" s="45" t="inlineStr">
        <is>
          <t>FR-353</t>
        </is>
      </c>
      <c r="B513" s="45" t="inlineStr">
        <is>
          <t>Fragrance Catalogue</t>
        </is>
      </c>
      <c r="C513" s="45" t="inlineStr">
        <is>
          <t>Tiziana Terenzi</t>
        </is>
      </c>
      <c r="D513" s="45" t="inlineStr">
        <is>
          <t>Akragas Extrait de Parfum 100ml – Classic Collection Unisex Niche Perfume</t>
        </is>
      </c>
      <c r="E513" s="45" t="inlineStr">
        <is>
          <t>100ml</t>
        </is>
      </c>
      <c r="F513" s="46" t="n">
        <v>85.98999999999999</v>
      </c>
      <c r="G513" s="45" t="inlineStr">
        <is>
          <t>tiziana terenzi akragas</t>
        </is>
      </c>
      <c r="H513" s="47">
        <f>IFERROR(INDEX('Semrush Data'!$C$2:$C$5000,MATCH(G513,'Semrush Data'!$A$2:$A$5000,0)),"")</f>
        <v/>
      </c>
      <c r="I513" s="45">
        <f>IFERROR(INDEX('Semrush Data'!$D$2:$D$5000,MATCH(G513,'Semrush Data'!$A$2:$A$5000,0)),"")</f>
        <v/>
      </c>
      <c r="J513" s="45">
        <f>IF(OR(H513="",H513=0),"No volume",IF(I513&lt;=20,"Easier",IF(I513&lt;=35,"Medium","Hard")))</f>
        <v/>
      </c>
      <c r="K513" s="45" t="n"/>
      <c r="L513" s="47">
        <f>IF(K513="","",IFERROR(INDEX('Semrush Data'!$C$2:$C$5000,MATCH(K513,'Semrush Data'!$A$2:$A$5000,0)),""))</f>
        <v/>
      </c>
      <c r="M513" s="48" t="inlineStr">
        <is>
          <t>Tiziana Terenzi Akragas Extrait de Parfum</t>
        </is>
      </c>
      <c r="N513" s="45" t="inlineStr">
        <is>
          <t>Tiziana Terenzi Akragas Extrait 100ml | Swansura UK</t>
        </is>
      </c>
      <c r="O513" s="45">
        <f>LEN(N513)</f>
        <v/>
      </c>
      <c r="P513" s="49" t="inlineStr">
        <is>
          <t>Buy Tiziana Terenzi Akragas Extrait de Parfum 100ml for £85.99 at Swansura UK. An amber unisex extrait de parfum. 100% authentic, free UK delivery over £50.</t>
        </is>
      </c>
      <c r="Q513" s="45">
        <f>LEN(P513)</f>
        <v/>
      </c>
      <c r="R513" s="49" t="n"/>
    </row>
    <row r="514" ht="23.25" customHeight="1" s="37">
      <c r="A514" s="45" t="inlineStr">
        <is>
          <t>FR-354</t>
        </is>
      </c>
      <c r="B514" s="45" t="inlineStr">
        <is>
          <t>Fragrance Catalogue</t>
        </is>
      </c>
      <c r="C514" s="45" t="inlineStr">
        <is>
          <t>Tiziana Terenzi</t>
        </is>
      </c>
      <c r="D514" s="45" t="inlineStr">
        <is>
          <t>Andromeda Extrait de Parfum 100ml – Unisex Luxury Niche Perfume</t>
        </is>
      </c>
      <c r="E514" s="45" t="inlineStr">
        <is>
          <t>100ml</t>
        </is>
      </c>
      <c r="F514" s="46" t="n">
        <v>109.99</v>
      </c>
      <c r="G514" s="45" t="inlineStr">
        <is>
          <t>tiziana terenzi andromeda</t>
        </is>
      </c>
      <c r="H514" s="47">
        <f>IFERROR(INDEX('Semrush Data'!$C$2:$C$5000,MATCH(G514,'Semrush Data'!$A$2:$A$5000,0)),"")</f>
        <v/>
      </c>
      <c r="I514" s="45">
        <f>IFERROR(INDEX('Semrush Data'!$D$2:$D$5000,MATCH(G514,'Semrush Data'!$A$2:$A$5000,0)),"")</f>
        <v/>
      </c>
      <c r="J514" s="45">
        <f>IF(OR(H514="",H514=0),"No volume",IF(I514&lt;=20,"Easier",IF(I514&lt;=35,"Medium","Hard")))</f>
        <v/>
      </c>
      <c r="K514" s="45" t="inlineStr">
        <is>
          <t>tiziana terenzi andromeda extrait de parfum</t>
        </is>
      </c>
      <c r="L514" s="47">
        <f>IF(K514="","",IFERROR(INDEX('Semrush Data'!$C$2:$C$5000,MATCH(K514,'Semrush Data'!$A$2:$A$5000,0)),""))</f>
        <v/>
      </c>
      <c r="M514" s="48" t="inlineStr">
        <is>
          <t>Tiziana Terenzi Andromeda Extrait de Parfum</t>
        </is>
      </c>
      <c r="N514" s="45" t="inlineStr">
        <is>
          <t>Tiziana Terenzi Andromeda Extrait 100ml | Swansura UK</t>
        </is>
      </c>
      <c r="O514" s="45">
        <f>LEN(N514)</f>
        <v/>
      </c>
      <c r="P514" s="49" t="inlineStr">
        <is>
          <t>Buy Tiziana Terenzi Andromeda Extrait de Parfum 100ml for £109.99 at Swansura UK. An amber unisex extrait de parfum. 100% authentic, free UK delivery over £50.</t>
        </is>
      </c>
      <c r="Q514" s="45">
        <f>LEN(P514)</f>
        <v/>
      </c>
      <c r="R514" s="49" t="n"/>
    </row>
    <row r="515" ht="23.25" customHeight="1" s="37">
      <c r="A515" s="45" t="inlineStr">
        <is>
          <t>FR-355</t>
        </is>
      </c>
      <c r="B515" s="45" t="inlineStr">
        <is>
          <t>Fragrance Catalogue</t>
        </is>
      </c>
      <c r="C515" s="45" t="inlineStr">
        <is>
          <t>Tiziana Terenzi</t>
        </is>
      </c>
      <c r="D515" s="45" t="inlineStr">
        <is>
          <t>Borelli Extrait de Parfum Linea TT 100ml – Comete Collection Luxury Unisex Perfume</t>
        </is>
      </c>
      <c r="E515" s="45" t="inlineStr">
        <is>
          <t>100ml</t>
        </is>
      </c>
      <c r="F515" s="46" t="n">
        <v>132.99</v>
      </c>
      <c r="G515" s="45" t="inlineStr">
        <is>
          <t>tiziana terenzi borelli linea tt</t>
        </is>
      </c>
      <c r="H515" s="47">
        <f>IFERROR(INDEX('Semrush Data'!$C$2:$C$5000,MATCH(G515,'Semrush Data'!$A$2:$A$5000,0)),"")</f>
        <v/>
      </c>
      <c r="I515" s="45">
        <f>IFERROR(INDEX('Semrush Data'!$D$2:$D$5000,MATCH(G515,'Semrush Data'!$A$2:$A$5000,0)),"")</f>
        <v/>
      </c>
      <c r="J515" s="45">
        <f>IF(OR(H515="",H515=0),"No volume",IF(I515&lt;=20,"Easier",IF(I515&lt;=35,"Medium","Hard")))</f>
        <v/>
      </c>
      <c r="K515" s="45" t="n"/>
      <c r="L515" s="47">
        <f>IF(K515="","",IFERROR(INDEX('Semrush Data'!$C$2:$C$5000,MATCH(K515,'Semrush Data'!$A$2:$A$5000,0)),""))</f>
        <v/>
      </c>
      <c r="M515" s="48" t="inlineStr">
        <is>
          <t>Tiziana Terenzi Borelli Extrait de Parfum Linea TT</t>
        </is>
      </c>
      <c r="N515" s="45" t="inlineStr">
        <is>
          <t>Tiziana Terenzi Borelli Linea TT Extrait 100ml | Swansura UK</t>
        </is>
      </c>
      <c r="O515" s="45">
        <f>LEN(N515)</f>
        <v/>
      </c>
      <c r="P515" s="49" t="inlineStr">
        <is>
          <t>Buy Tiziana Terenzi Borelli Extrait de Parfum Linea TT for £132.99 at Swansura UK. An amber unisex extrait de parfum. 100% authentic, free UK delivery over £50.</t>
        </is>
      </c>
      <c r="Q515" s="45">
        <f>LEN(P515)</f>
        <v/>
      </c>
      <c r="R515" s="49" t="n"/>
    </row>
    <row r="516" ht="45.75" customHeight="1" s="37">
      <c r="A516" s="45" t="inlineStr">
        <is>
          <t>FR-356</t>
        </is>
      </c>
      <c r="B516" s="45" t="inlineStr">
        <is>
          <t>Fragrance Catalogue</t>
        </is>
      </c>
      <c r="C516" s="45" t="inlineStr">
        <is>
          <t>Tiziana Terenzi</t>
        </is>
      </c>
      <c r="D516" s="45" t="inlineStr">
        <is>
          <t>Caput Mundi Extrait de Parfum 100ml – Luna Collection Luxury Unisex Perfume</t>
        </is>
      </c>
      <c r="E516" s="45" t="inlineStr">
        <is>
          <t>100ml</t>
        </is>
      </c>
      <c r="F516" s="46" t="n">
        <v>99.98999999999999</v>
      </c>
      <c r="G516" s="45" t="inlineStr">
        <is>
          <t>tiziana terenzi caput mundi</t>
        </is>
      </c>
      <c r="H516" s="47">
        <f>IFERROR(INDEX('Semrush Data'!$C$2:$C$5000,MATCH(G516,'Semrush Data'!$A$2:$A$5000,0)),"")</f>
        <v/>
      </c>
      <c r="I516" s="45">
        <f>IFERROR(INDEX('Semrush Data'!$D$2:$D$5000,MATCH(G516,'Semrush Data'!$A$2:$A$5000,0)),"")</f>
        <v/>
      </c>
      <c r="J516" s="45">
        <f>IF(OR(H516="",H516=0),"No volume",IF(I516&lt;=20,"Easier",IF(I516&lt;=35,"Medium","Hard")))</f>
        <v/>
      </c>
      <c r="K516" s="45" t="n"/>
      <c r="L516" s="47">
        <f>IF(K516="","",IFERROR(INDEX('Semrush Data'!$C$2:$C$5000,MATCH(K516,'Semrush Data'!$A$2:$A$5000,0)),""))</f>
        <v/>
      </c>
      <c r="M516" s="48" t="inlineStr">
        <is>
          <t>Tiziana Terenzi Caput Mundi Extrait de Parfum 100ml</t>
        </is>
      </c>
      <c r="N516" s="45" t="inlineStr">
        <is>
          <t>Tiziana Terenzi Caput Mundi 100ml Extrait | Swansura UK</t>
        </is>
      </c>
      <c r="O516" s="45">
        <f>LEN(N516)</f>
        <v/>
      </c>
      <c r="P516" s="49" t="inlineStr">
        <is>
          <t>Buy Tiziana Terenzi Caput Mundi Extrait de Parfum 100ml for £99.99 at Swansura UK. An amber unisex extrait de parfum. 100% authentic, free UK delivery over £50.</t>
        </is>
      </c>
      <c r="Q516" s="45">
        <f>LEN(P516)</f>
        <v/>
      </c>
      <c r="R516" s="49" t="inlineStr">
        <is>
          <t>Shares the keyword "tiziana terenzi caput mundi" with 1 other listing(s): consider merging sizes as variants of one product; Same name and size listed at different prices (£99.99, £106.99): check size/price in the sheet</t>
        </is>
      </c>
    </row>
    <row r="517" ht="45.75" customHeight="1" s="37">
      <c r="A517" s="45" t="inlineStr">
        <is>
          <t>FR-357</t>
        </is>
      </c>
      <c r="B517" s="45" t="inlineStr">
        <is>
          <t>Fragrance Catalogue</t>
        </is>
      </c>
      <c r="C517" s="45" t="inlineStr">
        <is>
          <t>Tiziana Terenzi</t>
        </is>
      </c>
      <c r="D517" s="45" t="inlineStr">
        <is>
          <t>Caput Mundi Extrait de Parfum 100ml – Luxury Unisex Oud Perfume</t>
        </is>
      </c>
      <c r="E517" s="45" t="inlineStr">
        <is>
          <t>100ml</t>
        </is>
      </c>
      <c r="F517" s="46" t="n">
        <v>106.99</v>
      </c>
      <c r="G517" s="45" t="inlineStr">
        <is>
          <t>tiziana terenzi caput mundi</t>
        </is>
      </c>
      <c r="H517" s="47">
        <f>IFERROR(INDEX('Semrush Data'!$C$2:$C$5000,MATCH(G517,'Semrush Data'!$A$2:$A$5000,0)),"")</f>
        <v/>
      </c>
      <c r="I517" s="45">
        <f>IFERROR(INDEX('Semrush Data'!$D$2:$D$5000,MATCH(G517,'Semrush Data'!$A$2:$A$5000,0)),"")</f>
        <v/>
      </c>
      <c r="J517" s="45">
        <f>IF(OR(H517="",H517=0),"No volume",IF(I517&lt;=20,"Easier",IF(I517&lt;=35,"Medium","Hard")))</f>
        <v/>
      </c>
      <c r="K517" s="45" t="n"/>
      <c r="L517" s="47">
        <f>IF(K517="","",IFERROR(INDEX('Semrush Data'!$C$2:$C$5000,MATCH(K517,'Semrush Data'!$A$2:$A$5000,0)),""))</f>
        <v/>
      </c>
      <c r="M517" s="48" t="inlineStr">
        <is>
          <t>Tiziana Terenzi Caput Mundi Extrait de Parfum 100ml</t>
        </is>
      </c>
      <c r="N517" s="45" t="inlineStr">
        <is>
          <t>Tiziana Terenzi Caput Mundi 100ml Extrait | Swansura UK</t>
        </is>
      </c>
      <c r="O517" s="45">
        <f>LEN(N517)</f>
        <v/>
      </c>
      <c r="P517" s="49" t="inlineStr">
        <is>
          <t>Buy Tiziana Terenzi Caput Mundi Extrait de Parfum 100ml for £106.99 at Swansura UK. An oud unisex extrait de parfum. 100% authentic, free UK delivery over £50.</t>
        </is>
      </c>
      <c r="Q517" s="45">
        <f>LEN(P517)</f>
        <v/>
      </c>
      <c r="R517" s="49" t="inlineStr">
        <is>
          <t>Shares the keyword "tiziana terenzi caput mundi" with 1 other listing(s): consider merging sizes as variants of one product; Same name and size listed at different prices (£99.99, £106.99): check size/price in the sheet</t>
        </is>
      </c>
    </row>
    <row r="518" ht="23.25" customHeight="1" s="37">
      <c r="A518" s="45" t="inlineStr">
        <is>
          <t>FR-358</t>
        </is>
      </c>
      <c r="B518" s="45" t="inlineStr">
        <is>
          <t>Fragrance Catalogue</t>
        </is>
      </c>
      <c r="C518" s="45" t="inlineStr">
        <is>
          <t>Tiziana Terenzi</t>
        </is>
      </c>
      <c r="D518" s="45" t="inlineStr">
        <is>
          <t>Chimaera Anniversary Extrait de Parfum 100ml – Unisex Luxury Niche Perfume</t>
        </is>
      </c>
      <c r="E518" s="45" t="inlineStr">
        <is>
          <t>100ml</t>
        </is>
      </c>
      <c r="F518" s="46" t="n">
        <v>119.99</v>
      </c>
      <c r="G518" s="45" t="inlineStr">
        <is>
          <t>tiziana terenzi chimaera anniversary</t>
        </is>
      </c>
      <c r="H518" s="47">
        <f>IFERROR(INDEX('Semrush Data'!$C$2:$C$5000,MATCH(G518,'Semrush Data'!$A$2:$A$5000,0)),"")</f>
        <v/>
      </c>
      <c r="I518" s="45">
        <f>IFERROR(INDEX('Semrush Data'!$D$2:$D$5000,MATCH(G518,'Semrush Data'!$A$2:$A$5000,0)),"")</f>
        <v/>
      </c>
      <c r="J518" s="45">
        <f>IF(OR(H518="",H518=0),"No volume",IF(I518&lt;=20,"Easier",IF(I518&lt;=35,"Medium","Hard")))</f>
        <v/>
      </c>
      <c r="K518" s="45" t="n"/>
      <c r="L518" s="47">
        <f>IF(K518="","",IFERROR(INDEX('Semrush Data'!$C$2:$C$5000,MATCH(K518,'Semrush Data'!$A$2:$A$5000,0)),""))</f>
        <v/>
      </c>
      <c r="M518" s="48" t="inlineStr">
        <is>
          <t>Tiziana Terenzi Chimaera Anniversary Extrait de Parfum</t>
        </is>
      </c>
      <c r="N518" s="45" t="inlineStr">
        <is>
          <t>Tiziana Terenzi Chimaera Anniversary | Swansura UK</t>
        </is>
      </c>
      <c r="O518" s="45">
        <f>LEN(N518)</f>
        <v/>
      </c>
      <c r="P518" s="49" t="inlineStr">
        <is>
          <t>Tiziana Terenzi Chimaera Anniversary Extrait de Parfum for £119.99 at Swansura UK. An amber unisex extrait de parfum. 100% authentic, free UK delivery over £50.</t>
        </is>
      </c>
      <c r="Q518" s="45">
        <f>LEN(P518)</f>
        <v/>
      </c>
      <c r="R518" s="49" t="n"/>
    </row>
    <row r="519" ht="23.25" customHeight="1" s="37">
      <c r="A519" s="45" t="inlineStr">
        <is>
          <t>FR-359</t>
        </is>
      </c>
      <c r="B519" s="45" t="inlineStr">
        <is>
          <t>Fragrance Catalogue</t>
        </is>
      </c>
      <c r="C519" s="45" t="inlineStr">
        <is>
          <t>Tiziana Terenzi</t>
        </is>
      </c>
      <c r="D519" s="45" t="inlineStr">
        <is>
          <t>Draconis Extrait de Parfum 100ml – Luxury Unisex Niche Perfume</t>
        </is>
      </c>
      <c r="E519" s="45" t="inlineStr">
        <is>
          <t>100ml</t>
        </is>
      </c>
      <c r="F519" s="46" t="n">
        <v>118.99</v>
      </c>
      <c r="G519" s="45" t="inlineStr">
        <is>
          <t>tiziana terenzi draconis</t>
        </is>
      </c>
      <c r="H519" s="47">
        <f>IFERROR(INDEX('Semrush Data'!$C$2:$C$5000,MATCH(G519,'Semrush Data'!$A$2:$A$5000,0)),"")</f>
        <v/>
      </c>
      <c r="I519" s="45">
        <f>IFERROR(INDEX('Semrush Data'!$D$2:$D$5000,MATCH(G519,'Semrush Data'!$A$2:$A$5000,0)),"")</f>
        <v/>
      </c>
      <c r="J519" s="45">
        <f>IF(OR(H519="",H519=0),"No volume",IF(I519&lt;=20,"Easier",IF(I519&lt;=35,"Medium","Hard")))</f>
        <v/>
      </c>
      <c r="K519" s="45" t="n"/>
      <c r="L519" s="47">
        <f>IF(K519="","",IFERROR(INDEX('Semrush Data'!$C$2:$C$5000,MATCH(K519,'Semrush Data'!$A$2:$A$5000,0)),""))</f>
        <v/>
      </c>
      <c r="M519" s="48" t="inlineStr">
        <is>
          <t>Tiziana Terenzi Draconis Extrait de Parfum</t>
        </is>
      </c>
      <c r="N519" s="45" t="inlineStr">
        <is>
          <t>Tiziana Terenzi Draconis Extrait 100ml | Swansura UK</t>
        </is>
      </c>
      <c r="O519" s="45">
        <f>LEN(N519)</f>
        <v/>
      </c>
      <c r="P519" s="49" t="inlineStr">
        <is>
          <t>Buy Tiziana Terenzi Draconis Extrait de Parfum 100ml for £118.99 at Swansura UK. An amber unisex extrait de parfum. 100% authentic, free UK delivery over £50.</t>
        </is>
      </c>
      <c r="Q519" s="45">
        <f>LEN(P519)</f>
        <v/>
      </c>
      <c r="R519" s="49" t="n"/>
    </row>
    <row r="520" ht="23.25" customHeight="1" s="37">
      <c r="A520" s="45" t="inlineStr">
        <is>
          <t>FR-360</t>
        </is>
      </c>
      <c r="B520" s="45" t="inlineStr">
        <is>
          <t>Fragrance Catalogue</t>
        </is>
      </c>
      <c r="C520" s="45" t="inlineStr">
        <is>
          <t>Tiziana Terenzi</t>
        </is>
      </c>
      <c r="D520" s="45" t="inlineStr">
        <is>
          <t>Dubhe Assoluto Extrait de Parfum 100ml – Luxury Unisex Niche Perfume</t>
        </is>
      </c>
      <c r="E520" s="45" t="inlineStr">
        <is>
          <t>100ml</t>
        </is>
      </c>
      <c r="F520" s="46" t="n">
        <v>299.99</v>
      </c>
      <c r="G520" s="45" t="inlineStr">
        <is>
          <t>tiziana terenzi dubhe assoluto</t>
        </is>
      </c>
      <c r="H520" s="47">
        <f>IFERROR(INDEX('Semrush Data'!$C$2:$C$5000,MATCH(G520,'Semrush Data'!$A$2:$A$5000,0)),"")</f>
        <v/>
      </c>
      <c r="I520" s="45">
        <f>IFERROR(INDEX('Semrush Data'!$D$2:$D$5000,MATCH(G520,'Semrush Data'!$A$2:$A$5000,0)),"")</f>
        <v/>
      </c>
      <c r="J520" s="45">
        <f>IF(OR(H520="",H520=0),"No volume",IF(I520&lt;=20,"Easier",IF(I520&lt;=35,"Medium","Hard")))</f>
        <v/>
      </c>
      <c r="K520" s="45" t="n"/>
      <c r="L520" s="47">
        <f>IF(K520="","",IFERROR(INDEX('Semrush Data'!$C$2:$C$5000,MATCH(K520,'Semrush Data'!$A$2:$A$5000,0)),""))</f>
        <v/>
      </c>
      <c r="M520" s="48" t="inlineStr">
        <is>
          <t>Tiziana Terenzi Dubhe Assoluto Extrait de Parfum</t>
        </is>
      </c>
      <c r="N520" s="45" t="inlineStr">
        <is>
          <t>Tiziana Terenzi Dubhe Assoluto Extrait 100ml | Swansura UK</t>
        </is>
      </c>
      <c r="O520" s="45">
        <f>LEN(N520)</f>
        <v/>
      </c>
      <c r="P520" s="49" t="inlineStr">
        <is>
          <t>Tiziana Terenzi Dubhe Assoluto Extrait de Parfum for £299.99 at Swansura UK. An amber unisex extrait de parfum. 100% authentic, fast UK delivery, free over £50.</t>
        </is>
      </c>
      <c r="Q520" s="45">
        <f>LEN(P520)</f>
        <v/>
      </c>
      <c r="R520" s="49" t="n"/>
    </row>
    <row r="521" ht="23.25" customHeight="1" s="37">
      <c r="A521" s="45" t="inlineStr">
        <is>
          <t>FR-361</t>
        </is>
      </c>
      <c r="B521" s="45" t="inlineStr">
        <is>
          <t>Fragrance Catalogue</t>
        </is>
      </c>
      <c r="C521" s="45" t="inlineStr">
        <is>
          <t>Tiziana Terenzi</t>
        </is>
      </c>
      <c r="D521" s="45" t="inlineStr">
        <is>
          <t>Ecstasy Extrait de Parfum 100ml – Luxury Unisex Niche Perfume</t>
        </is>
      </c>
      <c r="E521" s="45" t="inlineStr">
        <is>
          <t>100ml</t>
        </is>
      </c>
      <c r="F521" s="46" t="n">
        <v>95.98999999999999</v>
      </c>
      <c r="G521" s="45" t="inlineStr">
        <is>
          <t>tiziana terenzi ecstasy</t>
        </is>
      </c>
      <c r="H521" s="47">
        <f>IFERROR(INDEX('Semrush Data'!$C$2:$C$5000,MATCH(G521,'Semrush Data'!$A$2:$A$5000,0)),"")</f>
        <v/>
      </c>
      <c r="I521" s="45">
        <f>IFERROR(INDEX('Semrush Data'!$D$2:$D$5000,MATCH(G521,'Semrush Data'!$A$2:$A$5000,0)),"")</f>
        <v/>
      </c>
      <c r="J521" s="45">
        <f>IF(OR(H521="",H521=0),"No volume",IF(I521&lt;=20,"Easier",IF(I521&lt;=35,"Medium","Hard")))</f>
        <v/>
      </c>
      <c r="K521" s="45" t="n"/>
      <c r="L521" s="47">
        <f>IF(K521="","",IFERROR(INDEX('Semrush Data'!$C$2:$C$5000,MATCH(K521,'Semrush Data'!$A$2:$A$5000,0)),""))</f>
        <v/>
      </c>
      <c r="M521" s="48" t="inlineStr">
        <is>
          <t>Tiziana Terenzi Ecstasy Extrait de Parfum</t>
        </is>
      </c>
      <c r="N521" s="45" t="inlineStr">
        <is>
          <t>Tiziana Terenzi Ecstasy Extrait 100ml | Swansura UK</t>
        </is>
      </c>
      <c r="O521" s="45">
        <f>LEN(N521)</f>
        <v/>
      </c>
      <c r="P521" s="49" t="inlineStr">
        <is>
          <t>Buy Tiziana Terenzi Ecstasy Extrait de Parfum 100ml for £95.99 at Swansura UK. An amber unisex extrait de parfum. 100% authentic, free UK delivery over £50.</t>
        </is>
      </c>
      <c r="Q521" s="45">
        <f>LEN(P521)</f>
        <v/>
      </c>
      <c r="R521" s="49" t="n"/>
    </row>
    <row r="522" ht="23.25" customHeight="1" s="37">
      <c r="A522" s="45" t="inlineStr">
        <is>
          <t>FR-362</t>
        </is>
      </c>
      <c r="B522" s="45" t="inlineStr">
        <is>
          <t>Fragrance Catalogue</t>
        </is>
      </c>
      <c r="C522" s="45" t="inlineStr">
        <is>
          <t>Tiziana Terenzi</t>
        </is>
      </c>
      <c r="D522" s="45" t="inlineStr">
        <is>
          <t>Gold Rose Oudh Extrait de Parfum 100ml – Luxury Unisex Oud Perfume</t>
        </is>
      </c>
      <c r="E522" s="45" t="inlineStr">
        <is>
          <t>100ml</t>
        </is>
      </c>
      <c r="F522" s="46" t="n">
        <v>84.98999999999999</v>
      </c>
      <c r="G522" s="45" t="inlineStr">
        <is>
          <t>tiziana terenzi gold rose oudh</t>
        </is>
      </c>
      <c r="H522" s="47">
        <f>IFERROR(INDEX('Semrush Data'!$C$2:$C$5000,MATCH(G522,'Semrush Data'!$A$2:$A$5000,0)),"")</f>
        <v/>
      </c>
      <c r="I522" s="45">
        <f>IFERROR(INDEX('Semrush Data'!$D$2:$D$5000,MATCH(G522,'Semrush Data'!$A$2:$A$5000,0)),"")</f>
        <v/>
      </c>
      <c r="J522" s="45">
        <f>IF(OR(H522="",H522=0),"No volume",IF(I522&lt;=20,"Easier",IF(I522&lt;=35,"Medium","Hard")))</f>
        <v/>
      </c>
      <c r="K522" s="45" t="inlineStr">
        <is>
          <t>tiziana terenzi gold rose oudh extrait de parfum</t>
        </is>
      </c>
      <c r="L522" s="47">
        <f>IF(K522="","",IFERROR(INDEX('Semrush Data'!$C$2:$C$5000,MATCH(K522,'Semrush Data'!$A$2:$A$5000,0)),""))</f>
        <v/>
      </c>
      <c r="M522" s="48" t="inlineStr">
        <is>
          <t>Tiziana Terenzi Gold Rose Oudh Extrait de Parfum</t>
        </is>
      </c>
      <c r="N522" s="45" t="inlineStr">
        <is>
          <t>Tiziana Terenzi Gold Rose Oudh Extrait 100ml | Swansura UK</t>
        </is>
      </c>
      <c r="O522" s="45">
        <f>LEN(N522)</f>
        <v/>
      </c>
      <c r="P522" s="49" t="inlineStr">
        <is>
          <t>Tiziana Terenzi Gold Rose Oudh Extrait de Parfum for £84.99 at Swansura UK. An oud unisex extrait de parfum. 100% authentic, fast UK delivery, free over £50.</t>
        </is>
      </c>
      <c r="Q522" s="45">
        <f>LEN(P522)</f>
        <v/>
      </c>
      <c r="R522" s="49" t="n"/>
    </row>
    <row r="523" ht="23.25" customHeight="1" s="37">
      <c r="A523" s="45" t="inlineStr">
        <is>
          <t>FR-363</t>
        </is>
      </c>
      <c r="B523" s="45" t="inlineStr">
        <is>
          <t>Fragrance Catalogue</t>
        </is>
      </c>
      <c r="C523" s="45" t="inlineStr">
        <is>
          <t>Tiziana Terenzi</t>
        </is>
      </c>
      <c r="D523" s="45" t="inlineStr">
        <is>
          <t>Gumin Extrait de Parfum 100ml – Luxury Unisex Niche Perfume</t>
        </is>
      </c>
      <c r="E523" s="45" t="inlineStr">
        <is>
          <t>100ml</t>
        </is>
      </c>
      <c r="F523" s="46" t="n">
        <v>159.99</v>
      </c>
      <c r="G523" s="45" t="inlineStr">
        <is>
          <t>tiziana terenzi gumin</t>
        </is>
      </c>
      <c r="H523" s="47">
        <f>IFERROR(INDEX('Semrush Data'!$C$2:$C$5000,MATCH(G523,'Semrush Data'!$A$2:$A$5000,0)),"")</f>
        <v/>
      </c>
      <c r="I523" s="45">
        <f>IFERROR(INDEX('Semrush Data'!$D$2:$D$5000,MATCH(G523,'Semrush Data'!$A$2:$A$5000,0)),"")</f>
        <v/>
      </c>
      <c r="J523" s="45">
        <f>IF(OR(H523="",H523=0),"No volume",IF(I523&lt;=20,"Easier",IF(I523&lt;=35,"Medium","Hard")))</f>
        <v/>
      </c>
      <c r="K523" s="45" t="n"/>
      <c r="L523" s="47">
        <f>IF(K523="","",IFERROR(INDEX('Semrush Data'!$C$2:$C$5000,MATCH(K523,'Semrush Data'!$A$2:$A$5000,0)),""))</f>
        <v/>
      </c>
      <c r="M523" s="48" t="inlineStr">
        <is>
          <t>Tiziana Terenzi Gumin Extrait de Parfum</t>
        </is>
      </c>
      <c r="N523" s="45" t="inlineStr">
        <is>
          <t>Tiziana Terenzi Gumin Extrait de Parfum 100ml | Swansura UK</t>
        </is>
      </c>
      <c r="O523" s="45">
        <f>LEN(N523)</f>
        <v/>
      </c>
      <c r="P523" s="49" t="inlineStr">
        <is>
          <t>Buy Tiziana Terenzi Gumin Extrait de Parfum 100ml for £159.99 at Swansura UK. An amber unisex extrait de parfum. 100% authentic, free UK delivery over £50.</t>
        </is>
      </c>
      <c r="Q523" s="45">
        <f>LEN(P523)</f>
        <v/>
      </c>
      <c r="R523" s="49" t="n"/>
    </row>
    <row r="524" ht="23.25" customHeight="1" s="37">
      <c r="A524" s="45" t="inlineStr">
        <is>
          <t>FR-364</t>
        </is>
      </c>
      <c r="B524" s="45" t="inlineStr">
        <is>
          <t>Fragrance Catalogue</t>
        </is>
      </c>
      <c r="C524" s="45" t="inlineStr">
        <is>
          <t>Tiziana Terenzi</t>
        </is>
      </c>
      <c r="D524" s="45" t="inlineStr">
        <is>
          <t>Kaff Extrait de Parfum 100ml – Luxury Unisex Niche Perfume</t>
        </is>
      </c>
      <c r="E524" s="45" t="inlineStr">
        <is>
          <t>100ml</t>
        </is>
      </c>
      <c r="F524" s="46" t="n">
        <v>144.99</v>
      </c>
      <c r="G524" s="45" t="inlineStr">
        <is>
          <t>tiziana terenzi kaff</t>
        </is>
      </c>
      <c r="H524" s="47">
        <f>IFERROR(INDEX('Semrush Data'!$C$2:$C$5000,MATCH(G524,'Semrush Data'!$A$2:$A$5000,0)),"")</f>
        <v/>
      </c>
      <c r="I524" s="45">
        <f>IFERROR(INDEX('Semrush Data'!$D$2:$D$5000,MATCH(G524,'Semrush Data'!$A$2:$A$5000,0)),"")</f>
        <v/>
      </c>
      <c r="J524" s="45">
        <f>IF(OR(H524="",H524=0),"No volume",IF(I524&lt;=20,"Easier",IF(I524&lt;=35,"Medium","Hard")))</f>
        <v/>
      </c>
      <c r="K524" s="45" t="n"/>
      <c r="L524" s="47">
        <f>IF(K524="","",IFERROR(INDEX('Semrush Data'!$C$2:$C$5000,MATCH(K524,'Semrush Data'!$A$2:$A$5000,0)),""))</f>
        <v/>
      </c>
      <c r="M524" s="48" t="inlineStr">
        <is>
          <t>Tiziana Terenzi Kaff Extrait de Parfum</t>
        </is>
      </c>
      <c r="N524" s="45" t="inlineStr">
        <is>
          <t>Tiziana Terenzi Kaff Extrait de Parfum 100ml | Swansura UK</t>
        </is>
      </c>
      <c r="O524" s="45">
        <f>LEN(N524)</f>
        <v/>
      </c>
      <c r="P524" s="49" t="inlineStr">
        <is>
          <t>Buy Tiziana Terenzi Kaff Extrait de Parfum 100ml for £144.99 at Swansura UK. An amber unisex extrait de parfum. 100% authentic, fast UK delivery, free over £50.</t>
        </is>
      </c>
      <c r="Q524" s="45">
        <f>LEN(P524)</f>
        <v/>
      </c>
      <c r="R524" s="49" t="n"/>
    </row>
    <row r="525" ht="23.25" customHeight="1" s="37">
      <c r="A525" s="45" t="inlineStr">
        <is>
          <t>FR-365</t>
        </is>
      </c>
      <c r="B525" s="45" t="inlineStr">
        <is>
          <t>Fragrance Catalogue</t>
        </is>
      </c>
      <c r="C525" s="45" t="inlineStr">
        <is>
          <t>Tiziana Terenzi</t>
        </is>
      </c>
      <c r="D525" s="45" t="inlineStr">
        <is>
          <t>Kirke Extrait de Parfum 100ml – Luxury Unisex Fruity Niche Perfume</t>
        </is>
      </c>
      <c r="E525" s="45" t="inlineStr">
        <is>
          <t>100ml</t>
        </is>
      </c>
      <c r="F525" s="46" t="n">
        <v>82.98999999999999</v>
      </c>
      <c r="G525" s="45" t="inlineStr">
        <is>
          <t>tiziana terenzi kirke</t>
        </is>
      </c>
      <c r="H525" s="47">
        <f>IFERROR(INDEX('Semrush Data'!$C$2:$C$5000,MATCH(G525,'Semrush Data'!$A$2:$A$5000,0)),"")</f>
        <v/>
      </c>
      <c r="I525" s="45">
        <f>IFERROR(INDEX('Semrush Data'!$D$2:$D$5000,MATCH(G525,'Semrush Data'!$A$2:$A$5000,0)),"")</f>
        <v/>
      </c>
      <c r="J525" s="45">
        <f>IF(OR(H525="",H525=0),"No volume",IF(I525&lt;=20,"Easier",IF(I525&lt;=35,"Medium","Hard")))</f>
        <v/>
      </c>
      <c r="K525" s="45" t="inlineStr">
        <is>
          <t>tiziana terenzi kirke extrait de parfum</t>
        </is>
      </c>
      <c r="L525" s="47">
        <f>IF(K525="","",IFERROR(INDEX('Semrush Data'!$C$2:$C$5000,MATCH(K525,'Semrush Data'!$A$2:$A$5000,0)),""))</f>
        <v/>
      </c>
      <c r="M525" s="48" t="inlineStr">
        <is>
          <t>Tiziana Terenzi Kirke Extrait de Parfum</t>
        </is>
      </c>
      <c r="N525" s="45" t="inlineStr">
        <is>
          <t>Tiziana Terenzi Kirke Extrait de Parfum 100ml | Swansura UK</t>
        </is>
      </c>
      <c r="O525" s="45">
        <f>LEN(N525)</f>
        <v/>
      </c>
      <c r="P525" s="49" t="inlineStr">
        <is>
          <t>Buy Tiziana Terenzi Kirke Extrait de Parfum 100ml for £82.99 at Swansura UK. A fruity unisex extrait de parfum. 100% authentic, fast UK delivery, free over £50.</t>
        </is>
      </c>
      <c r="Q525" s="45">
        <f>LEN(P525)</f>
        <v/>
      </c>
      <c r="R525" s="49" t="n"/>
    </row>
    <row r="526" ht="23.25" customHeight="1" s="37">
      <c r="A526" s="45" t="inlineStr">
        <is>
          <t>FR-366</t>
        </is>
      </c>
      <c r="B526" s="45" t="inlineStr">
        <is>
          <t>Fragrance Catalogue</t>
        </is>
      </c>
      <c r="C526" s="45" t="inlineStr">
        <is>
          <t>Tiziana Terenzi</t>
        </is>
      </c>
      <c r="D526" s="45" t="inlineStr">
        <is>
          <t>Leo Extrait de Parfum 100ml – Luna Collection Luxury Unisex Perfume</t>
        </is>
      </c>
      <c r="E526" s="45" t="inlineStr">
        <is>
          <t>100ml</t>
        </is>
      </c>
      <c r="F526" s="46" t="n">
        <v>109.99</v>
      </c>
      <c r="G526" s="45" t="inlineStr">
        <is>
          <t>tiziana terenzi leo</t>
        </is>
      </c>
      <c r="H526" s="47">
        <f>IFERROR(INDEX('Semrush Data'!$C$2:$C$5000,MATCH(G526,'Semrush Data'!$A$2:$A$5000,0)),"")</f>
        <v/>
      </c>
      <c r="I526" s="45">
        <f>IFERROR(INDEX('Semrush Data'!$D$2:$D$5000,MATCH(G526,'Semrush Data'!$A$2:$A$5000,0)),"")</f>
        <v/>
      </c>
      <c r="J526" s="45">
        <f>IF(OR(H526="",H526=0),"No volume",IF(I526&lt;=20,"Easier",IF(I526&lt;=35,"Medium","Hard")))</f>
        <v/>
      </c>
      <c r="K526" s="45" t="n"/>
      <c r="L526" s="47">
        <f>IF(K526="","",IFERROR(INDEX('Semrush Data'!$C$2:$C$5000,MATCH(K526,'Semrush Data'!$A$2:$A$5000,0)),""))</f>
        <v/>
      </c>
      <c r="M526" s="48" t="inlineStr">
        <is>
          <t>Tiziana Terenzi Leo Extrait de Parfum</t>
        </is>
      </c>
      <c r="N526" s="45" t="inlineStr">
        <is>
          <t>Tiziana Terenzi Leo Extrait de Parfum 100ml | Swansura UK</t>
        </is>
      </c>
      <c r="O526" s="45">
        <f>LEN(N526)</f>
        <v/>
      </c>
      <c r="P526" s="49" t="inlineStr">
        <is>
          <t>Buy Tiziana Terenzi Leo Extrait de Parfum 100ml for £109.99 at Swansura UK. An amber unisex extrait de parfum. 100% authentic, fast UK delivery, free over £50.</t>
        </is>
      </c>
      <c r="Q526" s="45">
        <f>LEN(P526)</f>
        <v/>
      </c>
      <c r="R526" s="49" t="n"/>
    </row>
    <row r="527" ht="23.25" customHeight="1" s="37">
      <c r="A527" s="45" t="inlineStr">
        <is>
          <t>FR-367</t>
        </is>
      </c>
      <c r="B527" s="45" t="inlineStr">
        <is>
          <t>Fragrance Catalogue</t>
        </is>
      </c>
      <c r="C527" s="45" t="inlineStr">
        <is>
          <t>Tiziana Terenzi</t>
        </is>
      </c>
      <c r="D527" s="45" t="inlineStr">
        <is>
          <t>Moro di Venezia Extrait de Parfum 100ml – Luna Collection Luxury Unisex Perfume</t>
        </is>
      </c>
      <c r="E527" s="45" t="inlineStr">
        <is>
          <t>100ml</t>
        </is>
      </c>
      <c r="F527" s="46" t="n">
        <v>99.98999999999999</v>
      </c>
      <c r="G527" s="45" t="inlineStr">
        <is>
          <t>tiziana terenzi moro di venezia</t>
        </is>
      </c>
      <c r="H527" s="47">
        <f>IFERROR(INDEX('Semrush Data'!$C$2:$C$5000,MATCH(G527,'Semrush Data'!$A$2:$A$5000,0)),"")</f>
        <v/>
      </c>
      <c r="I527" s="45">
        <f>IFERROR(INDEX('Semrush Data'!$D$2:$D$5000,MATCH(G527,'Semrush Data'!$A$2:$A$5000,0)),"")</f>
        <v/>
      </c>
      <c r="J527" s="45">
        <f>IF(OR(H527="",H527=0),"No volume",IF(I527&lt;=20,"Easier",IF(I527&lt;=35,"Medium","Hard")))</f>
        <v/>
      </c>
      <c r="K527" s="45" t="n"/>
      <c r="L527" s="47">
        <f>IF(K527="","",IFERROR(INDEX('Semrush Data'!$C$2:$C$5000,MATCH(K527,'Semrush Data'!$A$2:$A$5000,0)),""))</f>
        <v/>
      </c>
      <c r="M527" s="48" t="inlineStr">
        <is>
          <t>Tiziana Terenzi Moro di Venezia Extrait de Parfum</t>
        </is>
      </c>
      <c r="N527" s="45" t="inlineStr">
        <is>
          <t>Tiziana Terenzi Moro di Venezia Extrait 100ml | Swansura UK</t>
        </is>
      </c>
      <c r="O527" s="45">
        <f>LEN(N527)</f>
        <v/>
      </c>
      <c r="P527" s="49" t="inlineStr">
        <is>
          <t>Tiziana Terenzi Moro di Venezia Extrait de Parfum for £99.99 at Swansura UK. An amber unisex extrait de parfum. 100% authentic, fast UK delivery, free over £50.</t>
        </is>
      </c>
      <c r="Q527" s="45">
        <f>LEN(P527)</f>
        <v/>
      </c>
      <c r="R527" s="49" t="n"/>
    </row>
    <row r="528" ht="23.25" customHeight="1" s="37">
      <c r="A528" s="45" t="inlineStr">
        <is>
          <t>FR-368</t>
        </is>
      </c>
      <c r="B528" s="45" t="inlineStr">
        <is>
          <t>Fragrance Catalogue</t>
        </is>
      </c>
      <c r="C528" s="45" t="inlineStr">
        <is>
          <t>Tiziana Terenzi</t>
        </is>
      </c>
      <c r="D528" s="45" t="inlineStr">
        <is>
          <t>Orion Extrait de Parfum 100ml – Luxury Unisex Niche Perfume</t>
        </is>
      </c>
      <c r="E528" s="45" t="inlineStr">
        <is>
          <t>100ml</t>
        </is>
      </c>
      <c r="F528" s="46" t="n">
        <v>109.99</v>
      </c>
      <c r="G528" s="45" t="inlineStr">
        <is>
          <t>tiziana terenzi orion</t>
        </is>
      </c>
      <c r="H528" s="47">
        <f>IFERROR(INDEX('Semrush Data'!$C$2:$C$5000,MATCH(G528,'Semrush Data'!$A$2:$A$5000,0)),"")</f>
        <v/>
      </c>
      <c r="I528" s="45">
        <f>IFERROR(INDEX('Semrush Data'!$D$2:$D$5000,MATCH(G528,'Semrush Data'!$A$2:$A$5000,0)),"")</f>
        <v/>
      </c>
      <c r="J528" s="45">
        <f>IF(OR(H528="",H528=0),"No volume",IF(I528&lt;=20,"Easier",IF(I528&lt;=35,"Medium","Hard")))</f>
        <v/>
      </c>
      <c r="K528" s="45" t="n"/>
      <c r="L528" s="47">
        <f>IF(K528="","",IFERROR(INDEX('Semrush Data'!$C$2:$C$5000,MATCH(K528,'Semrush Data'!$A$2:$A$5000,0)),""))</f>
        <v/>
      </c>
      <c r="M528" s="48" t="inlineStr">
        <is>
          <t>Tiziana Terenzi Orion Extrait de Parfum</t>
        </is>
      </c>
      <c r="N528" s="45" t="inlineStr">
        <is>
          <t>Tiziana Terenzi Orion Extrait de Parfum 100ml | Swansura UK</t>
        </is>
      </c>
      <c r="O528" s="45">
        <f>LEN(N528)</f>
        <v/>
      </c>
      <c r="P528" s="49" t="inlineStr">
        <is>
          <t>Buy Tiziana Terenzi Orion Extrait de Parfum 100ml for £109.99 at Swansura UK. An amber unisex extrait de parfum. 100% authentic, free UK delivery over £50.</t>
        </is>
      </c>
      <c r="Q528" s="45">
        <f>LEN(P528)</f>
        <v/>
      </c>
      <c r="R528" s="49" t="n"/>
    </row>
    <row r="529" ht="23.25" customHeight="1" s="37">
      <c r="A529" s="45" t="inlineStr">
        <is>
          <t>FR-369</t>
        </is>
      </c>
      <c r="B529" s="45" t="inlineStr">
        <is>
          <t>Fragrance Catalogue</t>
        </is>
      </c>
      <c r="C529" s="45" t="inlineStr">
        <is>
          <t>Tiziana Terenzi</t>
        </is>
      </c>
      <c r="D529" s="45" t="inlineStr">
        <is>
          <t>Orza Extrait de Parfum Linea TT 100ml – Luxury Unisex Niche Perfume</t>
        </is>
      </c>
      <c r="E529" s="45" t="inlineStr">
        <is>
          <t>100ml</t>
        </is>
      </c>
      <c r="F529" s="46" t="n">
        <v>164.99</v>
      </c>
      <c r="G529" s="45" t="inlineStr">
        <is>
          <t>tiziana terenzi orza linea tt</t>
        </is>
      </c>
      <c r="H529" s="47">
        <f>IFERROR(INDEX('Semrush Data'!$C$2:$C$5000,MATCH(G529,'Semrush Data'!$A$2:$A$5000,0)),"")</f>
        <v/>
      </c>
      <c r="I529" s="45">
        <f>IFERROR(INDEX('Semrush Data'!$D$2:$D$5000,MATCH(G529,'Semrush Data'!$A$2:$A$5000,0)),"")</f>
        <v/>
      </c>
      <c r="J529" s="45">
        <f>IF(OR(H529="",H529=0),"No volume",IF(I529&lt;=20,"Easier",IF(I529&lt;=35,"Medium","Hard")))</f>
        <v/>
      </c>
      <c r="K529" s="45" t="n"/>
      <c r="L529" s="47">
        <f>IF(K529="","",IFERROR(INDEX('Semrush Data'!$C$2:$C$5000,MATCH(K529,'Semrush Data'!$A$2:$A$5000,0)),""))</f>
        <v/>
      </c>
      <c r="M529" s="48" t="inlineStr">
        <is>
          <t>Tiziana Terenzi Orza Extrait de Parfum Linea TT</t>
        </is>
      </c>
      <c r="N529" s="45" t="inlineStr">
        <is>
          <t>Tiziana Terenzi Orza Linea TT Extrait 100ml | Swansura UK</t>
        </is>
      </c>
      <c r="O529" s="45">
        <f>LEN(N529)</f>
        <v/>
      </c>
      <c r="P529" s="49" t="inlineStr">
        <is>
          <t>Tiziana Terenzi Orza Extrait de Parfum Linea TT for £164.99 at Swansura UK. An amber unisex extrait de parfum. 100% authentic, fast UK delivery, free over £50.</t>
        </is>
      </c>
      <c r="Q529" s="45">
        <f>LEN(P529)</f>
        <v/>
      </c>
      <c r="R529" s="49" t="n"/>
    </row>
    <row r="530" ht="23.25" customHeight="1" s="37">
      <c r="A530" s="45" t="inlineStr">
        <is>
          <t>FR-370</t>
        </is>
      </c>
      <c r="B530" s="45" t="inlineStr">
        <is>
          <t>Fragrance Catalogue</t>
        </is>
      </c>
      <c r="C530" s="45" t="inlineStr">
        <is>
          <t>Tiziana Terenzi</t>
        </is>
      </c>
      <c r="D530" s="45" t="inlineStr">
        <is>
          <t>Porpora Extrait de Parfum 100ml – Luna Collection Red Moon Luxury Perfume</t>
        </is>
      </c>
      <c r="E530" s="45" t="inlineStr">
        <is>
          <t>100ml</t>
        </is>
      </c>
      <c r="F530" s="46" t="n">
        <v>99.98999999999999</v>
      </c>
      <c r="G530" s="45" t="inlineStr">
        <is>
          <t>tiziana terenzi porpora</t>
        </is>
      </c>
      <c r="H530" s="47">
        <f>IFERROR(INDEX('Semrush Data'!$C$2:$C$5000,MATCH(G530,'Semrush Data'!$A$2:$A$5000,0)),"")</f>
        <v/>
      </c>
      <c r="I530" s="45">
        <f>IFERROR(INDEX('Semrush Data'!$D$2:$D$5000,MATCH(G530,'Semrush Data'!$A$2:$A$5000,0)),"")</f>
        <v/>
      </c>
      <c r="J530" s="45">
        <f>IF(OR(H530="",H530=0),"No volume",IF(I530&lt;=20,"Easier",IF(I530&lt;=35,"Medium","Hard")))</f>
        <v/>
      </c>
      <c r="K530" s="45" t="n"/>
      <c r="L530" s="47">
        <f>IF(K530="","",IFERROR(INDEX('Semrush Data'!$C$2:$C$5000,MATCH(K530,'Semrush Data'!$A$2:$A$5000,0)),""))</f>
        <v/>
      </c>
      <c r="M530" s="48" t="inlineStr">
        <is>
          <t>Tiziana Terenzi Porpora Extrait de Parfum</t>
        </is>
      </c>
      <c r="N530" s="45" t="inlineStr">
        <is>
          <t>Tiziana Terenzi Porpora Extrait 100ml | Swansura UK</t>
        </is>
      </c>
      <c r="O530" s="45">
        <f>LEN(N530)</f>
        <v/>
      </c>
      <c r="P530" s="49" t="inlineStr">
        <is>
          <t>Buy Tiziana Terenzi Porpora Extrait de Parfum 100ml for £99.99 at Swansura UK. An amber unisex extrait de parfum. 100% authentic, free UK delivery over £50.</t>
        </is>
      </c>
      <c r="Q530" s="45">
        <f>LEN(P530)</f>
        <v/>
      </c>
      <c r="R530" s="49" t="n"/>
    </row>
    <row r="531" ht="23.25" customHeight="1" s="37">
      <c r="A531" s="45" t="inlineStr">
        <is>
          <t>FR-371</t>
        </is>
      </c>
      <c r="B531" s="45" t="inlineStr">
        <is>
          <t>Fragrance Catalogue</t>
        </is>
      </c>
      <c r="C531" s="45" t="inlineStr">
        <is>
          <t>Tiziana Terenzi</t>
        </is>
      </c>
      <c r="D531" s="45" t="inlineStr">
        <is>
          <t>Saiph Extrait de Parfum 100ml – Luna Stars Gold Luxury Unisex Perfume</t>
        </is>
      </c>
      <c r="E531" s="45" t="inlineStr">
        <is>
          <t>100ml</t>
        </is>
      </c>
      <c r="F531" s="46" t="n">
        <v>134.99</v>
      </c>
      <c r="G531" s="45" t="inlineStr">
        <is>
          <t>tiziana terenzi saiph</t>
        </is>
      </c>
      <c r="H531" s="47">
        <f>IFERROR(INDEX('Semrush Data'!$C$2:$C$5000,MATCH(G531,'Semrush Data'!$A$2:$A$5000,0)),"")</f>
        <v/>
      </c>
      <c r="I531" s="45">
        <f>IFERROR(INDEX('Semrush Data'!$D$2:$D$5000,MATCH(G531,'Semrush Data'!$A$2:$A$5000,0)),"")</f>
        <v/>
      </c>
      <c r="J531" s="45">
        <f>IF(OR(H531="",H531=0),"No volume",IF(I531&lt;=20,"Easier",IF(I531&lt;=35,"Medium","Hard")))</f>
        <v/>
      </c>
      <c r="K531" s="45" t="n"/>
      <c r="L531" s="47">
        <f>IF(K531="","",IFERROR(INDEX('Semrush Data'!$C$2:$C$5000,MATCH(K531,'Semrush Data'!$A$2:$A$5000,0)),""))</f>
        <v/>
      </c>
      <c r="M531" s="48" t="inlineStr">
        <is>
          <t>Tiziana Terenzi Saiph Extrait de Parfum</t>
        </is>
      </c>
      <c r="N531" s="45" t="inlineStr">
        <is>
          <t>Tiziana Terenzi Saiph Extrait de Parfum 100ml | Swansura UK</t>
        </is>
      </c>
      <c r="O531" s="45">
        <f>LEN(N531)</f>
        <v/>
      </c>
      <c r="P531" s="49" t="inlineStr">
        <is>
          <t>Buy Tiziana Terenzi Saiph Extrait de Parfum 100ml for £134.99 at Swansura UK. An amber unisex extrait de parfum. 100% authentic, free UK delivery over £50.</t>
        </is>
      </c>
      <c r="Q531" s="45">
        <f>LEN(P531)</f>
        <v/>
      </c>
      <c r="R531" s="49" t="n"/>
    </row>
    <row r="532" ht="23.25" customHeight="1" s="37">
      <c r="A532" s="45" t="inlineStr">
        <is>
          <t>FR-372</t>
        </is>
      </c>
      <c r="B532" s="45" t="inlineStr">
        <is>
          <t>Fragrance Catalogue</t>
        </is>
      </c>
      <c r="C532" s="45" t="inlineStr">
        <is>
          <t>Tiziana Terenzi</t>
        </is>
      </c>
      <c r="D532" s="45" t="inlineStr">
        <is>
          <t>Sea Stars Collection Deriva Extrait De Parfum 100ML</t>
        </is>
      </c>
      <c r="E532" s="45" t="inlineStr">
        <is>
          <t>100ML</t>
        </is>
      </c>
      <c r="F532" s="46" t="n">
        <v>119.99</v>
      </c>
      <c r="G532" s="45" t="inlineStr">
        <is>
          <t>tiziana terenzi sea stars collection deriva</t>
        </is>
      </c>
      <c r="H532" s="47">
        <f>IFERROR(INDEX('Semrush Data'!$C$2:$C$5000,MATCH(G532,'Semrush Data'!$A$2:$A$5000,0)),"")</f>
        <v/>
      </c>
      <c r="I532" s="45">
        <f>IFERROR(INDEX('Semrush Data'!$D$2:$D$5000,MATCH(G532,'Semrush Data'!$A$2:$A$5000,0)),"")</f>
        <v/>
      </c>
      <c r="J532" s="45">
        <f>IF(OR(H532="",H532=0),"No volume",IF(I532&lt;=20,"Easier",IF(I532&lt;=35,"Medium","Hard")))</f>
        <v/>
      </c>
      <c r="K532" s="45" t="n"/>
      <c r="L532" s="47">
        <f>IF(K532="","",IFERROR(INDEX('Semrush Data'!$C$2:$C$5000,MATCH(K532,'Semrush Data'!$A$2:$A$5000,0)),""))</f>
        <v/>
      </c>
      <c r="M532" s="48" t="inlineStr">
        <is>
          <t>Tiziana Terenzi Sea Stars Collection Deriva Extrait De Parfum</t>
        </is>
      </c>
      <c r="N532" s="45" t="inlineStr">
        <is>
          <t>Tiziana Terenzi Sea Stars Collection Deriva | Swansura UK</t>
        </is>
      </c>
      <c r="O532" s="45">
        <f>LEN(N532)</f>
        <v/>
      </c>
      <c r="P532" s="49" t="inlineStr">
        <is>
          <t>Buy Tiziana Terenzi Sea Stars Collection Deriva Extrait De Parfum for £119.99 at Swansura UK. An aquatic unisex extrait de parfum. Free UK delivery over £50.</t>
        </is>
      </c>
      <c r="Q532" s="45">
        <f>LEN(P532)</f>
        <v/>
      </c>
      <c r="R532" s="49" t="n"/>
    </row>
    <row r="533" ht="23.25" customHeight="1" s="37">
      <c r="A533" s="45" t="inlineStr">
        <is>
          <t>FR-373</t>
        </is>
      </c>
      <c r="B533" s="45" t="inlineStr">
        <is>
          <t>Fragrance Catalogue</t>
        </is>
      </c>
      <c r="C533" s="45" t="inlineStr">
        <is>
          <t>Tiziana Terenzi</t>
        </is>
      </c>
      <c r="D533" s="45" t="inlineStr">
        <is>
          <t>White Fire Extrait de Parfum 100ml – Luxury Unisex Niche Perfume</t>
        </is>
      </c>
      <c r="E533" s="45" t="inlineStr">
        <is>
          <t>100ml</t>
        </is>
      </c>
      <c r="F533" s="46" t="n">
        <v>76.98999999999999</v>
      </c>
      <c r="G533" s="45" t="inlineStr">
        <is>
          <t>tiziana terenzi white fire</t>
        </is>
      </c>
      <c r="H533" s="47">
        <f>IFERROR(INDEX('Semrush Data'!$C$2:$C$5000,MATCH(G533,'Semrush Data'!$A$2:$A$5000,0)),"")</f>
        <v/>
      </c>
      <c r="I533" s="45">
        <f>IFERROR(INDEX('Semrush Data'!$D$2:$D$5000,MATCH(G533,'Semrush Data'!$A$2:$A$5000,0)),"")</f>
        <v/>
      </c>
      <c r="J533" s="45">
        <f>IF(OR(H533="",H533=0),"No volume",IF(I533&lt;=20,"Easier",IF(I533&lt;=35,"Medium","Hard")))</f>
        <v/>
      </c>
      <c r="K533" s="45" t="n"/>
      <c r="L533" s="47">
        <f>IF(K533="","",IFERROR(INDEX('Semrush Data'!$C$2:$C$5000,MATCH(K533,'Semrush Data'!$A$2:$A$5000,0)),""))</f>
        <v/>
      </c>
      <c r="M533" s="48" t="inlineStr">
        <is>
          <t>Tiziana Terenzi White Fire Extrait de Parfum</t>
        </is>
      </c>
      <c r="N533" s="45" t="inlineStr">
        <is>
          <t>Tiziana Terenzi White Fire Extrait 100ml | Swansura UK</t>
        </is>
      </c>
      <c r="O533" s="45">
        <f>LEN(N533)</f>
        <v/>
      </c>
      <c r="P533" s="49" t="inlineStr">
        <is>
          <t>Buy Tiziana Terenzi White Fire Extrait de Parfum 100ml for £76.99 at Swansura UK. An amber unisex extrait de parfum. 100% authentic, free UK delivery over £50.</t>
        </is>
      </c>
      <c r="Q533" s="45">
        <f>LEN(P533)</f>
        <v/>
      </c>
      <c r="R533" s="49" t="n"/>
    </row>
    <row r="534" ht="23.25" customHeight="1" s="37">
      <c r="A534" s="45" t="inlineStr">
        <is>
          <t>FR-374</t>
        </is>
      </c>
      <c r="B534" s="45" t="inlineStr">
        <is>
          <t>Fragrance Catalogue</t>
        </is>
      </c>
      <c r="C534" s="45" t="inlineStr">
        <is>
          <t>Tomford</t>
        </is>
      </c>
      <c r="D534" s="45" t="inlineStr">
        <is>
          <t>Tom Ford Neroli Portofino Eau de Parfum 50ml Unisex</t>
        </is>
      </c>
      <c r="E534" s="45" t="inlineStr">
        <is>
          <t>50ml</t>
        </is>
      </c>
      <c r="F534" s="46" t="n">
        <v>164.99</v>
      </c>
      <c r="G534" s="45" t="inlineStr">
        <is>
          <t>tom ford neroli portofino</t>
        </is>
      </c>
      <c r="H534" s="47">
        <f>IFERROR(INDEX('Semrush Data'!$C$2:$C$5000,MATCH(G534,'Semrush Data'!$A$2:$A$5000,0)),"")</f>
        <v/>
      </c>
      <c r="I534" s="45">
        <f>IFERROR(INDEX('Semrush Data'!$D$2:$D$5000,MATCH(G534,'Semrush Data'!$A$2:$A$5000,0)),"")</f>
        <v/>
      </c>
      <c r="J534" s="45">
        <f>IF(OR(H534="",H534=0),"No volume",IF(I534&lt;=20,"Easier",IF(I534&lt;=35,"Medium","Hard")))</f>
        <v/>
      </c>
      <c r="K534" s="45" t="inlineStr">
        <is>
          <t>tom ford neroli portofino eau de parfum</t>
        </is>
      </c>
      <c r="L534" s="47">
        <f>IF(K534="","",IFERROR(INDEX('Semrush Data'!$C$2:$C$5000,MATCH(K534,'Semrush Data'!$A$2:$A$5000,0)),""))</f>
        <v/>
      </c>
      <c r="M534" s="48" t="inlineStr">
        <is>
          <t>Tom Ford Neroli Portofino Eau de Parfum Unisex</t>
        </is>
      </c>
      <c r="N534" s="45" t="inlineStr">
        <is>
          <t>Tom Ford Neroli Portofino Unisex EDP 50ml | Swansura UK</t>
        </is>
      </c>
      <c r="O534" s="45">
        <f>LEN(N534)</f>
        <v/>
      </c>
      <c r="P534" s="49" t="inlineStr">
        <is>
          <t>Buy Tom Ford Neroli Portofino Eau de Parfum Unisex for £164.99 at Swansura UK. An amber unisex eau de parfum. 100% authentic, fast UK delivery, free over £50.</t>
        </is>
      </c>
      <c r="Q534" s="45">
        <f>LEN(P534)</f>
        <v/>
      </c>
      <c r="R534" s="49" t="inlineStr">
        <is>
          <t>Spelling: Tom Ford</t>
        </is>
      </c>
    </row>
    <row r="535" ht="34.5" customHeight="1" s="37">
      <c r="A535" s="45" t="inlineStr">
        <is>
          <t>FR-375</t>
        </is>
      </c>
      <c r="B535" s="45" t="inlineStr">
        <is>
          <t>Fragrance Catalogue</t>
        </is>
      </c>
      <c r="C535" s="45" t="inlineStr">
        <is>
          <t>Tomford</t>
        </is>
      </c>
      <c r="D535" s="45" t="inlineStr">
        <is>
          <t>Tom Ford Oud Wood Eau de Parfum 50ml Unisex</t>
        </is>
      </c>
      <c r="E535" s="45" t="inlineStr">
        <is>
          <t>50ml</t>
        </is>
      </c>
      <c r="F535" s="46" t="n">
        <v>124.99</v>
      </c>
      <c r="G535" s="45" t="inlineStr">
        <is>
          <t>tom ford oud wood</t>
        </is>
      </c>
      <c r="H535" s="47">
        <f>IFERROR(INDEX('Semrush Data'!$C$2:$C$5000,MATCH(G535,'Semrush Data'!$A$2:$A$5000,0)),"")</f>
        <v/>
      </c>
      <c r="I535" s="45">
        <f>IFERROR(INDEX('Semrush Data'!$D$2:$D$5000,MATCH(G535,'Semrush Data'!$A$2:$A$5000,0)),"")</f>
        <v/>
      </c>
      <c r="J535" s="45">
        <f>IF(OR(H535="",H535=0),"No volume",IF(I535&lt;=20,"Easier",IF(I535&lt;=35,"Medium","Hard")))</f>
        <v/>
      </c>
      <c r="K535" s="45" t="inlineStr">
        <is>
          <t>tom ford oud wood eau de parfum</t>
        </is>
      </c>
      <c r="L535" s="47">
        <f>IF(K535="","",IFERROR(INDEX('Semrush Data'!$C$2:$C$5000,MATCH(K535,'Semrush Data'!$A$2:$A$5000,0)),""))</f>
        <v/>
      </c>
      <c r="M535" s="48" t="inlineStr">
        <is>
          <t>Tom Ford Oud Wood Eau de Parfum Unisex 50ml</t>
        </is>
      </c>
      <c r="N535" s="45" t="inlineStr">
        <is>
          <t>Tom Ford Oud Wood Eau de Parfum Unisex 50ml | Swansura UK</t>
        </is>
      </c>
      <c r="O535" s="45">
        <f>LEN(N535)</f>
        <v/>
      </c>
      <c r="P535" s="49" t="inlineStr">
        <is>
          <t>Buy Tom Ford Oud Wood Eau de Parfum Unisex 50ml for £124.99 at Swansura UK. An oud unisex eau de parfum. 100% authentic, fast UK delivery, free over £50.</t>
        </is>
      </c>
      <c r="Q535" s="45">
        <f>LEN(P535)</f>
        <v/>
      </c>
      <c r="R535" s="49" t="inlineStr">
        <is>
          <t>Shares the keyword "tom ford oud wood" with 1 other listing(s): consider merging sizes as variants of one product; Spelling: Tom Ford</t>
        </is>
      </c>
    </row>
    <row r="536" ht="34.5" customHeight="1" s="37">
      <c r="A536" s="45" t="inlineStr">
        <is>
          <t>FR-376</t>
        </is>
      </c>
      <c r="B536" s="45" t="inlineStr">
        <is>
          <t>Fragrance Catalogue</t>
        </is>
      </c>
      <c r="C536" s="45" t="inlineStr">
        <is>
          <t>Tomford</t>
        </is>
      </c>
      <c r="D536" s="45" t="inlineStr">
        <is>
          <t>Tom Ford Oud Wood Eau de Parfum Unisex</t>
        </is>
      </c>
      <c r="E536" s="45" t="inlineStr">
        <is>
          <t>Not specified</t>
        </is>
      </c>
      <c r="F536" s="46" t="n">
        <v>115.99</v>
      </c>
      <c r="G536" s="45" t="inlineStr">
        <is>
          <t>tom ford oud wood</t>
        </is>
      </c>
      <c r="H536" s="47">
        <f>IFERROR(INDEX('Semrush Data'!$C$2:$C$5000,MATCH(G536,'Semrush Data'!$A$2:$A$5000,0)),"")</f>
        <v/>
      </c>
      <c r="I536" s="45">
        <f>IFERROR(INDEX('Semrush Data'!$D$2:$D$5000,MATCH(G536,'Semrush Data'!$A$2:$A$5000,0)),"")</f>
        <v/>
      </c>
      <c r="J536" s="45">
        <f>IF(OR(H536="",H536=0),"No volume",IF(I536&lt;=20,"Easier",IF(I536&lt;=35,"Medium","Hard")))</f>
        <v/>
      </c>
      <c r="K536" s="45" t="inlineStr">
        <is>
          <t>tom ford oud wood eau de parfum</t>
        </is>
      </c>
      <c r="L536" s="47">
        <f>IF(K536="","",IFERROR(INDEX('Semrush Data'!$C$2:$C$5000,MATCH(K536,'Semrush Data'!$A$2:$A$5000,0)),""))</f>
        <v/>
      </c>
      <c r="M536" s="48" t="inlineStr">
        <is>
          <t>Tom Ford Oud Wood Eau de Parfum Unisex</t>
        </is>
      </c>
      <c r="N536" s="45" t="inlineStr">
        <is>
          <t>Tom Ford Oud Wood Eau de Parfum Unisex | Swansura UK</t>
        </is>
      </c>
      <c r="O536" s="45">
        <f>LEN(N536)</f>
        <v/>
      </c>
      <c r="P536" s="49" t="inlineStr">
        <is>
          <t>Buy Tom Ford Oud Wood Eau de Parfum Unisex for £115.99 at Swansura UK. An oud unisex eau de parfum. 100% authentic, fast UK delivery, free over £50.</t>
        </is>
      </c>
      <c r="Q536" s="45">
        <f>LEN(P536)</f>
        <v/>
      </c>
      <c r="R536" s="49" t="inlineStr">
        <is>
          <t>Shares the keyword "tom ford oud wood" with 1 other listing(s): consider merging sizes as variants of one product; Spelling: Tom Ford</t>
        </is>
      </c>
    </row>
    <row r="537" ht="23.25" customHeight="1" s="37">
      <c r="A537" s="45" t="inlineStr">
        <is>
          <t>FR-377</t>
        </is>
      </c>
      <c r="B537" s="45" t="inlineStr">
        <is>
          <t>Fragrance Catalogue</t>
        </is>
      </c>
      <c r="C537" s="45" t="inlineStr">
        <is>
          <t>Tomford</t>
        </is>
      </c>
      <c r="D537" s="45" t="inlineStr">
        <is>
          <t>Tom Ford Ébène Fumé Eau de Parfum 50ml Unisex</t>
        </is>
      </c>
      <c r="E537" s="45" t="inlineStr">
        <is>
          <t>50ml</t>
        </is>
      </c>
      <c r="F537" s="46" t="n">
        <v>184.99</v>
      </c>
      <c r="G537" s="45" t="inlineStr">
        <is>
          <t>tom ford ebene fume</t>
        </is>
      </c>
      <c r="H537" s="47">
        <f>IFERROR(INDEX('Semrush Data'!$C$2:$C$5000,MATCH(G537,'Semrush Data'!$A$2:$A$5000,0)),"")</f>
        <v/>
      </c>
      <c r="I537" s="45">
        <f>IFERROR(INDEX('Semrush Data'!$D$2:$D$5000,MATCH(G537,'Semrush Data'!$A$2:$A$5000,0)),"")</f>
        <v/>
      </c>
      <c r="J537" s="45">
        <f>IF(OR(H537="",H537=0),"No volume",IF(I537&lt;=20,"Easier",IF(I537&lt;=35,"Medium","Hard")))</f>
        <v/>
      </c>
      <c r="K537" s="45" t="inlineStr">
        <is>
          <t>tom ford ebene fume eau de parfum</t>
        </is>
      </c>
      <c r="L537" s="47">
        <f>IF(K537="","",IFERROR(INDEX('Semrush Data'!$C$2:$C$5000,MATCH(K537,'Semrush Data'!$A$2:$A$5000,0)),""))</f>
        <v/>
      </c>
      <c r="M537" s="48" t="inlineStr">
        <is>
          <t>Tom Ford Ébène Fumé Eau de Parfum Unisex</t>
        </is>
      </c>
      <c r="N537" s="45" t="inlineStr">
        <is>
          <t>Tom Ford Ébène Fumé Eau de Parfum Unisex 50ml | Swansura UK</t>
        </is>
      </c>
      <c r="O537" s="45">
        <f>LEN(N537)</f>
        <v/>
      </c>
      <c r="P537" s="49" t="inlineStr">
        <is>
          <t>Buy Tom Ford Ébène Fumé Eau de Parfum Unisex 50ml for £184.99 at Swansura UK. An amber unisex eau de parfum. 100% authentic, fast UK delivery, free over £50.</t>
        </is>
      </c>
      <c r="Q537" s="45">
        <f>LEN(P537)</f>
        <v/>
      </c>
      <c r="R537" s="49" t="inlineStr">
        <is>
          <t>Spelling: Tom Ford</t>
        </is>
      </c>
    </row>
    <row r="538" ht="23.25" customHeight="1" s="37">
      <c r="A538" s="45" t="inlineStr">
        <is>
          <t>FR-378</t>
        </is>
      </c>
      <c r="B538" s="45" t="inlineStr">
        <is>
          <t>Fragrance Catalogue</t>
        </is>
      </c>
      <c r="C538" s="45" t="inlineStr">
        <is>
          <t>Tomford</t>
        </is>
      </c>
      <c r="D538" s="45" t="inlineStr">
        <is>
          <t>Tom Ford Black Orchid Parfum 100ml Unisex</t>
        </is>
      </c>
      <c r="E538" s="45" t="inlineStr">
        <is>
          <t>100ml</t>
        </is>
      </c>
      <c r="F538" s="46" t="n">
        <v>153.99</v>
      </c>
      <c r="G538" s="45" t="inlineStr">
        <is>
          <t>tom ford black orchid</t>
        </is>
      </c>
      <c r="H538" s="47">
        <f>IFERROR(INDEX('Semrush Data'!$C$2:$C$5000,MATCH(G538,'Semrush Data'!$A$2:$A$5000,0)),"")</f>
        <v/>
      </c>
      <c r="I538" s="45">
        <f>IFERROR(INDEX('Semrush Data'!$D$2:$D$5000,MATCH(G538,'Semrush Data'!$A$2:$A$5000,0)),"")</f>
        <v/>
      </c>
      <c r="J538" s="45">
        <f>IF(OR(H538="",H538=0),"No volume",IF(I538&lt;=20,"Easier",IF(I538&lt;=35,"Medium","Hard")))</f>
        <v/>
      </c>
      <c r="K538" s="45" t="inlineStr">
        <is>
          <t>tom ford black orchid parfum</t>
        </is>
      </c>
      <c r="L538" s="47">
        <f>IF(K538="","",IFERROR(INDEX('Semrush Data'!$C$2:$C$5000,MATCH(K538,'Semrush Data'!$A$2:$A$5000,0)),""))</f>
        <v/>
      </c>
      <c r="M538" s="48" t="inlineStr">
        <is>
          <t>Tom Ford Black Orchid Parfum Unisex</t>
        </is>
      </c>
      <c r="N538" s="45" t="inlineStr">
        <is>
          <t>Tom Ford Black Orchid Parfum Unisex 100ml | Swansura UK</t>
        </is>
      </c>
      <c r="O538" s="45">
        <f>LEN(N538)</f>
        <v/>
      </c>
      <c r="P538" s="49" t="inlineStr">
        <is>
          <t>Buy Tom Ford Black Orchid Parfum Unisex 100ml for £153.99 at Swansura UK. An amber unisex parfum. 100% authentic, fast UK delivery, free over £50.</t>
        </is>
      </c>
      <c r="Q538" s="45">
        <f>LEN(P538)</f>
        <v/>
      </c>
      <c r="R538" s="49" t="inlineStr">
        <is>
          <t>Spelling: Tom Ford</t>
        </is>
      </c>
    </row>
    <row r="539" ht="23.25" customHeight="1" s="37">
      <c r="A539" s="45" t="inlineStr">
        <is>
          <t>FR-379</t>
        </is>
      </c>
      <c r="B539" s="45" t="inlineStr">
        <is>
          <t>Fragrance Catalogue</t>
        </is>
      </c>
      <c r="C539" s="45" t="inlineStr">
        <is>
          <t>Tomford</t>
        </is>
      </c>
      <c r="D539" s="45" t="inlineStr">
        <is>
          <t>Tom Ford Noir Extreme Parfum 100ml for Men</t>
        </is>
      </c>
      <c r="E539" s="45" t="inlineStr">
        <is>
          <t>100ml</t>
        </is>
      </c>
      <c r="F539" s="46" t="n">
        <v>144.99</v>
      </c>
      <c r="G539" s="45" t="inlineStr">
        <is>
          <t>tom ford noir extreme</t>
        </is>
      </c>
      <c r="H539" s="47">
        <f>IFERROR(INDEX('Semrush Data'!$C$2:$C$5000,MATCH(G539,'Semrush Data'!$A$2:$A$5000,0)),"")</f>
        <v/>
      </c>
      <c r="I539" s="45">
        <f>IFERROR(INDEX('Semrush Data'!$D$2:$D$5000,MATCH(G539,'Semrush Data'!$A$2:$A$5000,0)),"")</f>
        <v/>
      </c>
      <c r="J539" s="45">
        <f>IF(OR(H539="",H539=0),"No volume",IF(I539&lt;=20,"Easier",IF(I539&lt;=35,"Medium","Hard")))</f>
        <v/>
      </c>
      <c r="K539" s="45" t="inlineStr">
        <is>
          <t>tom ford noir extreme parfum</t>
        </is>
      </c>
      <c r="L539" s="47">
        <f>IF(K539="","",IFERROR(INDEX('Semrush Data'!$C$2:$C$5000,MATCH(K539,'Semrush Data'!$A$2:$A$5000,0)),""))</f>
        <v/>
      </c>
      <c r="M539" s="48" t="inlineStr">
        <is>
          <t>Tom Ford Noir Extreme Parfum for Men</t>
        </is>
      </c>
      <c r="N539" s="45" t="inlineStr">
        <is>
          <t>Tom Ford Noir Extreme Parfum for Men 100ml | Swansura UK</t>
        </is>
      </c>
      <c r="O539" s="45">
        <f>LEN(N539)</f>
        <v/>
      </c>
      <c r="P539" s="49" t="inlineStr">
        <is>
          <t>Buy Tom Ford Noir Extreme Parfum for Men 100ml for £144.99 at Swansura UK. A woody men's parfum. 100% authentic, fast UK delivery, free over £50.</t>
        </is>
      </c>
      <c r="Q539" s="45">
        <f>LEN(P539)</f>
        <v/>
      </c>
      <c r="R539" s="49" t="inlineStr">
        <is>
          <t>Spelling: Tom Ford</t>
        </is>
      </c>
    </row>
    <row r="540" ht="23.25" customHeight="1" s="37">
      <c r="A540" s="45" t="inlineStr">
        <is>
          <t>FR-380</t>
        </is>
      </c>
      <c r="B540" s="45" t="inlineStr">
        <is>
          <t>Fragrance Catalogue</t>
        </is>
      </c>
      <c r="C540" s="45" t="inlineStr">
        <is>
          <t>Trussardi</t>
        </is>
      </c>
      <c r="D540" s="45" t="inlineStr">
        <is>
          <t>Trussardi Pure Jasmine Eau de Parfum 7ml Miniature – Women's Floral Fragrance</t>
        </is>
      </c>
      <c r="E540" s="45" t="inlineStr">
        <is>
          <t>7ml</t>
        </is>
      </c>
      <c r="F540" s="46" t="n">
        <v>14.99</v>
      </c>
      <c r="G540" s="45" t="inlineStr">
        <is>
          <t>trussardi pure jasmine miniature</t>
        </is>
      </c>
      <c r="H540" s="47">
        <f>IFERROR(INDEX('Semrush Data'!$C$2:$C$5000,MATCH(G540,'Semrush Data'!$A$2:$A$5000,0)),"")</f>
        <v/>
      </c>
      <c r="I540" s="45">
        <f>IFERROR(INDEX('Semrush Data'!$D$2:$D$5000,MATCH(G540,'Semrush Data'!$A$2:$A$5000,0)),"")</f>
        <v/>
      </c>
      <c r="J540" s="45">
        <f>IF(OR(H540="",H540=0),"No volume",IF(I540&lt;=20,"Easier",IF(I540&lt;=35,"Medium","Hard")))</f>
        <v/>
      </c>
      <c r="K540" s="45" t="n"/>
      <c r="L540" s="47">
        <f>IF(K540="","",IFERROR(INDEX('Semrush Data'!$C$2:$C$5000,MATCH(K540,'Semrush Data'!$A$2:$A$5000,0)),""))</f>
        <v/>
      </c>
      <c r="M540" s="48" t="inlineStr">
        <is>
          <t>Trussardi Pure Jasmine Eau de Parfum Miniature</t>
        </is>
      </c>
      <c r="N540" s="45" t="inlineStr">
        <is>
          <t>Trussardi Pure Jasmine Miniature EDP 7ml | Swansura UK</t>
        </is>
      </c>
      <c r="O540" s="45">
        <f>LEN(N540)</f>
        <v/>
      </c>
      <c r="P540" s="49" t="inlineStr">
        <is>
          <t>Buy Trussardi Pure Jasmine Eau de Parfum Miniature for £14.99 at Swansura UK. A floral women's eau de parfum. 100% authentic, fast UK delivery, free over £50.</t>
        </is>
      </c>
      <c r="Q540" s="45">
        <f>LEN(P540)</f>
        <v/>
      </c>
      <c r="R540" s="49" t="n"/>
    </row>
    <row r="541" ht="23.25" customHeight="1" s="37">
      <c r="A541" s="45" t="inlineStr">
        <is>
          <t>FR-381</t>
        </is>
      </c>
      <c r="B541" s="45" t="inlineStr">
        <is>
          <t>Fragrance Catalogue</t>
        </is>
      </c>
      <c r="C541" s="45" t="inlineStr">
        <is>
          <t>Trussardi</t>
        </is>
      </c>
      <c r="D541" s="45" t="inlineStr">
        <is>
          <t>Trussardi Pure Jasmine Eau de Parfum 90ml – Women's Floral Fragrance</t>
        </is>
      </c>
      <c r="E541" s="45" t="inlineStr">
        <is>
          <t>90ml</t>
        </is>
      </c>
      <c r="F541" s="46" t="n">
        <v>42.99</v>
      </c>
      <c r="G541" s="45" t="inlineStr">
        <is>
          <t>trussardi pure jasmine</t>
        </is>
      </c>
      <c r="H541" s="47">
        <f>IFERROR(INDEX('Semrush Data'!$C$2:$C$5000,MATCH(G541,'Semrush Data'!$A$2:$A$5000,0)),"")</f>
        <v/>
      </c>
      <c r="I541" s="45">
        <f>IFERROR(INDEX('Semrush Data'!$D$2:$D$5000,MATCH(G541,'Semrush Data'!$A$2:$A$5000,0)),"")</f>
        <v/>
      </c>
      <c r="J541" s="45">
        <f>IF(OR(H541="",H541=0),"No volume",IF(I541&lt;=20,"Easier",IF(I541&lt;=35,"Medium","Hard")))</f>
        <v/>
      </c>
      <c r="K541" s="45" t="n"/>
      <c r="L541" s="47">
        <f>IF(K541="","",IFERROR(INDEX('Semrush Data'!$C$2:$C$5000,MATCH(K541,'Semrush Data'!$A$2:$A$5000,0)),""))</f>
        <v/>
      </c>
      <c r="M541" s="48" t="inlineStr">
        <is>
          <t>Trussardi Pure Jasmine Eau de Parfum</t>
        </is>
      </c>
      <c r="N541" s="45" t="inlineStr">
        <is>
          <t>Trussardi Pure Jasmine Eau de Parfum 90ml | Swansura UK</t>
        </is>
      </c>
      <c r="O541" s="45">
        <f>LEN(N541)</f>
        <v/>
      </c>
      <c r="P541" s="49" t="inlineStr">
        <is>
          <t>Buy Trussardi Pure Jasmine Eau de Parfum 90ml for £42.99 at Swansura UK. A floral women's eau de parfum. 100% authentic, fast UK delivery, free over £50.</t>
        </is>
      </c>
      <c r="Q541" s="45">
        <f>LEN(P541)</f>
        <v/>
      </c>
      <c r="R541" s="49" t="n"/>
    </row>
    <row r="542" ht="23.25" customHeight="1" s="37">
      <c r="A542" s="45" t="inlineStr">
        <is>
          <t>FR-382</t>
        </is>
      </c>
      <c r="B542" s="45" t="inlineStr">
        <is>
          <t>Fragrance Catalogue</t>
        </is>
      </c>
      <c r="C542" s="45" t="inlineStr">
        <is>
          <t>Trussardi</t>
        </is>
      </c>
      <c r="D542" s="45" t="inlineStr">
        <is>
          <t>Trussardi Black Extreme Eau de Toilette 7ml Miniature – Men's Woody Leather Fragrance</t>
        </is>
      </c>
      <c r="E542" s="45" t="inlineStr">
        <is>
          <t>7ml</t>
        </is>
      </c>
      <c r="F542" s="46" t="n">
        <v>14.99</v>
      </c>
      <c r="G542" s="45" t="inlineStr">
        <is>
          <t>trussardi black extreme miniature</t>
        </is>
      </c>
      <c r="H542" s="47">
        <f>IFERROR(INDEX('Semrush Data'!$C$2:$C$5000,MATCH(G542,'Semrush Data'!$A$2:$A$5000,0)),"")</f>
        <v/>
      </c>
      <c r="I542" s="45">
        <f>IFERROR(INDEX('Semrush Data'!$D$2:$D$5000,MATCH(G542,'Semrush Data'!$A$2:$A$5000,0)),"")</f>
        <v/>
      </c>
      <c r="J542" s="45">
        <f>IF(OR(H542="",H542=0),"No volume",IF(I542&lt;=20,"Easier",IF(I542&lt;=35,"Medium","Hard")))</f>
        <v/>
      </c>
      <c r="K542" s="45" t="n"/>
      <c r="L542" s="47">
        <f>IF(K542="","",IFERROR(INDEX('Semrush Data'!$C$2:$C$5000,MATCH(K542,'Semrush Data'!$A$2:$A$5000,0)),""))</f>
        <v/>
      </c>
      <c r="M542" s="48" t="inlineStr">
        <is>
          <t>Trussardi Black Extreme Eau de Toilette Miniature</t>
        </is>
      </c>
      <c r="N542" s="45" t="inlineStr">
        <is>
          <t>Trussardi Black Extreme Miniature EDT 7ml | Swansura UK</t>
        </is>
      </c>
      <c r="O542" s="45">
        <f>LEN(N542)</f>
        <v/>
      </c>
      <c r="P542" s="49" t="inlineStr">
        <is>
          <t>Buy Trussardi Black Extreme Eau de Toilette Miniature for £14.99 at Swansura UK. A woody men's eau de toilette. 100% authentic, fast UK delivery, free over £50.</t>
        </is>
      </c>
      <c r="Q542" s="45">
        <f>LEN(P542)</f>
        <v/>
      </c>
      <c r="R542" s="49" t="n"/>
    </row>
    <row r="543" ht="23.25" customHeight="1" s="37">
      <c r="A543" s="45" t="inlineStr">
        <is>
          <t>FR-383</t>
        </is>
      </c>
      <c r="B543" s="45" t="inlineStr">
        <is>
          <t>Fragrance Catalogue</t>
        </is>
      </c>
      <c r="C543" s="45" t="inlineStr">
        <is>
          <t>Trussardi</t>
        </is>
      </c>
      <c r="D543" s="45" t="inlineStr">
        <is>
          <t>Trussardi Delicate Rose Eau de Toilette – Women's Floral Fruity Fragrance</t>
        </is>
      </c>
      <c r="E543" s="45" t="inlineStr">
        <is>
          <t>50ml</t>
        </is>
      </c>
      <c r="F543" s="46" t="n">
        <v>42.99</v>
      </c>
      <c r="G543" s="45" t="inlineStr">
        <is>
          <t>trussardi delicate rose</t>
        </is>
      </c>
      <c r="H543" s="47">
        <f>IFERROR(INDEX('Semrush Data'!$C$2:$C$5000,MATCH(G543,'Semrush Data'!$A$2:$A$5000,0)),"")</f>
        <v/>
      </c>
      <c r="I543" s="45">
        <f>IFERROR(INDEX('Semrush Data'!$D$2:$D$5000,MATCH(G543,'Semrush Data'!$A$2:$A$5000,0)),"")</f>
        <v/>
      </c>
      <c r="J543" s="45">
        <f>IF(OR(H543="",H543=0),"No volume",IF(I543&lt;=20,"Easier",IF(I543&lt;=35,"Medium","Hard")))</f>
        <v/>
      </c>
      <c r="K543" s="45" t="n"/>
      <c r="L543" s="47">
        <f>IF(K543="","",IFERROR(INDEX('Semrush Data'!$C$2:$C$5000,MATCH(K543,'Semrush Data'!$A$2:$A$5000,0)),""))</f>
        <v/>
      </c>
      <c r="M543" s="48" t="inlineStr">
        <is>
          <t>Trussardi Delicate Rose Eau de Toilette</t>
        </is>
      </c>
      <c r="N543" s="45" t="inlineStr">
        <is>
          <t>Trussardi Delicate Rose Eau de Toilette 50ml | Swansura UK</t>
        </is>
      </c>
      <c r="O543" s="45">
        <f>LEN(N543)</f>
        <v/>
      </c>
      <c r="P543" s="49" t="inlineStr">
        <is>
          <t>Buy Trussardi Delicate Rose Eau de Toilette 50ml for £42.99 at Swansura UK. A floral women's eau de toilette. 100% authentic, fast UK delivery, free over £50.</t>
        </is>
      </c>
      <c r="Q543" s="45">
        <f>LEN(P543)</f>
        <v/>
      </c>
      <c r="R543" s="49" t="n"/>
    </row>
    <row r="544" ht="23.25" customHeight="1" s="37">
      <c r="A544" s="45" t="inlineStr">
        <is>
          <t>FR-384</t>
        </is>
      </c>
      <c r="B544" s="45" t="inlineStr">
        <is>
          <t>Fragrance Catalogue</t>
        </is>
      </c>
      <c r="C544" s="45" t="inlineStr">
        <is>
          <t>Trussardi</t>
        </is>
      </c>
      <c r="D544" s="45" t="inlineStr">
        <is>
          <t>Trussardi Pure Jasmine Lifestyle Mini Gift Set – Eau de Parfum 60ml + 10ml + 7ml</t>
        </is>
      </c>
      <c r="E544" s="45" t="inlineStr">
        <is>
          <t>60ml</t>
        </is>
      </c>
      <c r="F544" s="46" t="n">
        <v>29.99</v>
      </c>
      <c r="G544" s="45" t="inlineStr">
        <is>
          <t>trussardi pure jasmine lifestyle mini gift set</t>
        </is>
      </c>
      <c r="H544" s="47">
        <f>IFERROR(INDEX('Semrush Data'!$C$2:$C$5000,MATCH(G544,'Semrush Data'!$A$2:$A$5000,0)),"")</f>
        <v/>
      </c>
      <c r="I544" s="45">
        <f>IFERROR(INDEX('Semrush Data'!$D$2:$D$5000,MATCH(G544,'Semrush Data'!$A$2:$A$5000,0)),"")</f>
        <v/>
      </c>
      <c r="J544" s="45">
        <f>IF(OR(H544="",H544=0),"No volume",IF(I544&lt;=20,"Easier",IF(I544&lt;=35,"Medium","Hard")))</f>
        <v/>
      </c>
      <c r="K544" s="45" t="n"/>
      <c r="L544" s="47">
        <f>IF(K544="","",IFERROR(INDEX('Semrush Data'!$C$2:$C$5000,MATCH(K544,'Semrush Data'!$A$2:$A$5000,0)),""))</f>
        <v/>
      </c>
      <c r="M544" s="48" t="inlineStr">
        <is>
          <t>Trussardi Pure Jasmine Lifestyle Mini Gift Set</t>
        </is>
      </c>
      <c r="N544" s="45" t="inlineStr">
        <is>
          <t>Trussardi Pure Jasmine Lifestyle Mini Gift Set | Swansura UK</t>
        </is>
      </c>
      <c r="O544" s="45">
        <f>LEN(N544)</f>
        <v/>
      </c>
      <c r="P544" s="49" t="inlineStr">
        <is>
          <t>Buy Trussardi Pure Jasmine Lifestyle Mini Gift Set for £29.99 at Swansura UK. A floral unisex eau de parfum. 100% authentic, fast UK delivery, free over £50.</t>
        </is>
      </c>
      <c r="Q544" s="45">
        <f>LEN(P544)</f>
        <v/>
      </c>
      <c r="R544" s="49" t="n"/>
    </row>
    <row r="545" ht="23.25" customHeight="1" s="37">
      <c r="A545" s="45" t="inlineStr">
        <is>
          <t>FR-385</t>
        </is>
      </c>
      <c r="B545" s="45" t="inlineStr">
        <is>
          <t>Fragrance Catalogue</t>
        </is>
      </c>
      <c r="C545" s="45" t="inlineStr">
        <is>
          <t>Trussardi</t>
        </is>
      </c>
      <c r="D545" s="45" t="inlineStr">
        <is>
          <t>Trussardi Ruby Red Eau de Parfum Gift Set 60ml + Stardust Body Emulsion 125ml – Women's Fragrance Set</t>
        </is>
      </c>
      <c r="E545" s="45" t="inlineStr">
        <is>
          <t>60ml</t>
        </is>
      </c>
      <c r="F545" s="46" t="n">
        <v>29.99</v>
      </c>
      <c r="G545" s="45" t="inlineStr">
        <is>
          <t>trussardi ruby red gift set</t>
        </is>
      </c>
      <c r="H545" s="47">
        <f>IFERROR(INDEX('Semrush Data'!$C$2:$C$5000,MATCH(G545,'Semrush Data'!$A$2:$A$5000,0)),"")</f>
        <v/>
      </c>
      <c r="I545" s="45">
        <f>IFERROR(INDEX('Semrush Data'!$D$2:$D$5000,MATCH(G545,'Semrush Data'!$A$2:$A$5000,0)),"")</f>
        <v/>
      </c>
      <c r="J545" s="45">
        <f>IF(OR(H545="",H545=0),"No volume",IF(I545&lt;=20,"Easier",IF(I545&lt;=35,"Medium","Hard")))</f>
        <v/>
      </c>
      <c r="K545" s="45" t="n"/>
      <c r="L545" s="47">
        <f>IF(K545="","",IFERROR(INDEX('Semrush Data'!$C$2:$C$5000,MATCH(K545,'Semrush Data'!$A$2:$A$5000,0)),""))</f>
        <v/>
      </c>
      <c r="M545" s="48" t="inlineStr">
        <is>
          <t>Trussardi Ruby Red Eau de Parfum Gift Set</t>
        </is>
      </c>
      <c r="N545" s="45" t="inlineStr">
        <is>
          <t>Trussardi Ruby Red Eau de Parfum Gift Set 60ml | Swansura UK</t>
        </is>
      </c>
      <c r="O545" s="45">
        <f>LEN(N545)</f>
        <v/>
      </c>
      <c r="P545" s="49" t="inlineStr">
        <is>
          <t>Buy Trussardi Ruby Red Eau de Parfum Gift Set 60ml for £29.99 at Swansura UK. A woody women's eau de parfum. 100% authentic, fast UK delivery, free over £50.</t>
        </is>
      </c>
      <c r="Q545" s="45">
        <f>LEN(P545)</f>
        <v/>
      </c>
      <c r="R545" s="49" t="n"/>
    </row>
    <row r="546" ht="23.25" customHeight="1" s="37">
      <c r="A546" s="45" t="inlineStr">
        <is>
          <t>FR-386</t>
        </is>
      </c>
      <c r="B546" s="45" t="inlineStr">
        <is>
          <t>Fragrance Catalogue</t>
        </is>
      </c>
      <c r="C546" s="45" t="inlineStr">
        <is>
          <t>Viktor &amp; Rolf</t>
        </is>
      </c>
      <c r="D546" s="45" t="inlineStr">
        <is>
          <t>Viktor &amp; Rolf Good Fortune Eau de Parfum 10ml Miniature – Women's Floral Fragrance</t>
        </is>
      </c>
      <c r="E546" s="45" t="inlineStr">
        <is>
          <t>10ml</t>
        </is>
      </c>
      <c r="F546" s="46" t="n">
        <v>19.99</v>
      </c>
      <c r="G546" s="45" t="inlineStr">
        <is>
          <t>viktor &amp; rolf good fortune miniature</t>
        </is>
      </c>
      <c r="H546" s="47">
        <f>IFERROR(INDEX('Semrush Data'!$C$2:$C$5000,MATCH(G546,'Semrush Data'!$A$2:$A$5000,0)),"")</f>
        <v/>
      </c>
      <c r="I546" s="45">
        <f>IFERROR(INDEX('Semrush Data'!$D$2:$D$5000,MATCH(G546,'Semrush Data'!$A$2:$A$5000,0)),"")</f>
        <v/>
      </c>
      <c r="J546" s="45">
        <f>IF(OR(H546="",H546=0),"No volume",IF(I546&lt;=20,"Easier",IF(I546&lt;=35,"Medium","Hard")))</f>
        <v/>
      </c>
      <c r="K546" s="45" t="n"/>
      <c r="L546" s="47">
        <f>IF(K546="","",IFERROR(INDEX('Semrush Data'!$C$2:$C$5000,MATCH(K546,'Semrush Data'!$A$2:$A$5000,0)),""))</f>
        <v/>
      </c>
      <c r="M546" s="48" t="inlineStr">
        <is>
          <t>Viktor &amp; Rolf Good Fortune Eau de Parfum Miniature</t>
        </is>
      </c>
      <c r="N546" s="45" t="inlineStr">
        <is>
          <t>Viktor &amp; Rolf Good Fortune Miniature EDP 10ml | Swansura UK</t>
        </is>
      </c>
      <c r="O546" s="45">
        <f>LEN(N546)</f>
        <v/>
      </c>
      <c r="P546" s="49" t="inlineStr">
        <is>
          <t>Viktor &amp; Rolf Good Fortune Eau de Parfum Miniature for £19.99 at Swansura UK. A floral women's eau de parfum. 100% authentic, fast UK delivery, free over £50.</t>
        </is>
      </c>
      <c r="Q546" s="45">
        <f>LEN(P546)</f>
        <v/>
      </c>
      <c r="R546" s="49" t="n"/>
    </row>
    <row r="547" ht="23.25" customHeight="1" s="37">
      <c r="A547" s="45" t="inlineStr">
        <is>
          <t>FR-387</t>
        </is>
      </c>
      <c r="B547" s="45" t="inlineStr">
        <is>
          <t>Fragrance Catalogue</t>
        </is>
      </c>
      <c r="C547" s="45" t="inlineStr">
        <is>
          <t>YSL</t>
        </is>
      </c>
      <c r="D547" s="45" t="inlineStr">
        <is>
          <t>Yves Saint Laurent Yvresse Eau de Toilette (W) 80ml</t>
        </is>
      </c>
      <c r="E547" s="45" t="inlineStr">
        <is>
          <t>80ml</t>
        </is>
      </c>
      <c r="F547" s="46" t="n">
        <v>94.98999999999999</v>
      </c>
      <c r="G547" s="45" t="inlineStr">
        <is>
          <t>ysl yves saint laurent yvresse w</t>
        </is>
      </c>
      <c r="H547" s="47">
        <f>IFERROR(INDEX('Semrush Data'!$C$2:$C$5000,MATCH(G547,'Semrush Data'!$A$2:$A$5000,0)),"")</f>
        <v/>
      </c>
      <c r="I547" s="45">
        <f>IFERROR(INDEX('Semrush Data'!$D$2:$D$5000,MATCH(G547,'Semrush Data'!$A$2:$A$5000,0)),"")</f>
        <v/>
      </c>
      <c r="J547" s="45">
        <f>IF(OR(H547="",H547=0),"No volume",IF(I547&lt;=20,"Easier",IF(I547&lt;=35,"Medium","Hard")))</f>
        <v/>
      </c>
      <c r="K547" s="45" t="n"/>
      <c r="L547" s="47">
        <f>IF(K547="","",IFERROR(INDEX('Semrush Data'!$C$2:$C$5000,MATCH(K547,'Semrush Data'!$A$2:$A$5000,0)),""))</f>
        <v/>
      </c>
      <c r="M547" s="48" t="inlineStr">
        <is>
          <t>YSL Yves Saint Laurent Yvresse Eau de Toilette (W)</t>
        </is>
      </c>
      <c r="N547" s="45" t="inlineStr">
        <is>
          <t>YSL Yves Saint Laurent Yvresse (W) EDT 80ml | Swansura UK</t>
        </is>
      </c>
      <c r="O547" s="45">
        <f>LEN(N547)</f>
        <v/>
      </c>
      <c r="P547" s="49" t="inlineStr">
        <is>
          <t>YSL Yves Saint Laurent Yvresse Eau de Toilette (W) for £94.99 at Swansura UK. An amber unisex eau de toilette. 100% authentic, fast UK delivery, free over £50.</t>
        </is>
      </c>
      <c r="Q547" s="45">
        <f>LEN(P547)</f>
        <v/>
      </c>
      <c r="R547" s="49" t="n"/>
    </row>
  </sheetData>
  <autoFilter ref="A1:R547"/>
  <conditionalFormatting sqref="O2:O547">
    <cfRule type="expression" rank="0" priority="2" equalAverage="0" aboveAverage="0" dxfId="7" text="" percent="0" bottom="0">
      <formula>OR(O2&lt;50,O2&gt;60)</formula>
    </cfRule>
  </conditionalFormatting>
  <conditionalFormatting sqref="Q2:Q547">
    <cfRule type="expression" rank="0" priority="3" equalAverage="0" aboveAverage="0" dxfId="7" text="" percent="0" bottom="0">
      <formula>OR(Q2&lt;140,Q2&gt;160)</formula>
    </cfRule>
  </conditionalFormatting>
  <conditionalFormatting sqref="J2:J547">
    <cfRule type="expression" rank="0" priority="4" equalAverage="0" aboveAverage="0" dxfId="8" text="" percent="0" bottom="0">
      <formula>J2="Easier"</formula>
    </cfRule>
  </conditionalFormatting>
  <conditionalFormatting sqref="R2:R547">
    <cfRule type="expression" rank="0" priority="5" equalAverage="0" aboveAverage="0" dxfId="9" text="" percent="0" bottom="0">
      <formula>R2&lt;&gt;""</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7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6" min="1" max="1"/>
    <col width="52" customWidth="1" style="36" min="2" max="2"/>
    <col width="40" customWidth="1" style="36" min="3" max="3"/>
    <col width="11" customWidth="1" style="36" min="4" max="4"/>
    <col width="9" customWidth="1" style="36" min="5" max="6"/>
    <col width="16" customWidth="1" style="36" min="7" max="7"/>
    <col width="46" customWidth="1" style="36" min="8" max="8"/>
  </cols>
  <sheetData>
    <row r="1" ht="15.75" customHeight="1" s="37">
      <c r="A1" s="50" t="inlineStr">
        <is>
          <t>Semrush insights — UK, Tiers 1–3</t>
        </is>
      </c>
    </row>
    <row r="2" ht="15" customHeight="1" s="37">
      <c r="A2" s="51" t="inlineStr">
        <is>
          <t>Figures are formulas over the "Semrush Data" tab (Semrush Keyword Overview, UK database: Tier 1 batches 1–9, Tier 2 T2-1 to T2-3, Tier 3 T3-1 to T3-2, Oct 2026). Volume = average monthly UK searches; KD = keyword difficulty 0–100; 0 / blank = no Semrush data.</t>
        </is>
      </c>
    </row>
    <row r="4" ht="15.75" customHeight="1" s="37">
      <c r="A4" s="50" t="inlineStr">
        <is>
          <t>Summary</t>
        </is>
      </c>
    </row>
    <row r="5" ht="15" customHeight="1" s="37">
      <c r="B5" s="42" t="inlineStr">
        <is>
          <t>Keywords checked in Semrush</t>
        </is>
      </c>
      <c r="D5" s="52">
        <f>COUNTA('Semrush Data'!A2:A5000)</f>
        <v/>
      </c>
    </row>
    <row r="6" ht="15" customHeight="1" s="37">
      <c r="B6" s="42" t="inlineStr">
        <is>
          <t>Keywords with UK search volume</t>
        </is>
      </c>
      <c r="D6" s="52">
        <f>COUNTIF('Semrush Data'!C2:C5000,"&gt;0")</f>
        <v/>
      </c>
    </row>
    <row r="7" ht="15" customHeight="1" s="37">
      <c r="B7" s="42" t="inlineStr">
        <is>
          <t>Products whose primary keyword has volume</t>
        </is>
      </c>
      <c r="D7" s="52">
        <f>COUNTIF(Products!W2:W600,"&gt;0")</f>
        <v/>
      </c>
    </row>
    <row r="8" ht="15" customHeight="1" s="37">
      <c r="B8" s="42" t="inlineStr">
        <is>
          <t>…of which Vilvah &amp; Deyga (of 159)</t>
        </is>
      </c>
      <c r="D8" s="52">
        <f>COUNTIFS(Products!B2:B600,"Vilvah &amp; Deyga",Products!W2:W600,"&gt;0")</f>
        <v/>
      </c>
    </row>
    <row r="9" ht="15" customHeight="1" s="37">
      <c r="B9" s="42" t="inlineStr">
        <is>
          <t>…of which fragrance (of 387)</t>
        </is>
      </c>
      <c r="D9" s="52">
        <f>COUNTIFS(Products!B2:B600,"Fragrance Catalogue",Products!W2:W600,"&gt;0")</f>
        <v/>
      </c>
    </row>
    <row r="10" ht="15" customHeight="1" s="37">
      <c r="B10" s="42" t="inlineStr">
        <is>
          <t>Total monthly searches for product primary keywords</t>
        </is>
      </c>
      <c r="D10" s="52">
        <f>SUM(Products!W2:W600)</f>
        <v/>
      </c>
    </row>
    <row r="12" ht="15.75" customHeight="1" s="37">
      <c r="A12" s="50" t="inlineStr">
        <is>
          <t>What the data says</t>
        </is>
      </c>
    </row>
    <row r="13" ht="30" customHeight="1" s="37">
      <c r="B13" s="39" t="inlineStr">
        <is>
          <t>1. Fragrance carries the search demand: designer lines (Dior Sauvage, Tom Ford, Gucci, Marc Jacobs, Calvin Klein) get thousands of searches a month, but big retailers own page 1, so pick the lower-KD ones (KD ≤ 20) first.</t>
        </is>
      </c>
    </row>
    <row r="14" ht="30" customHeight="1" s="37">
      <c r="B14" s="39" t="inlineStr">
        <is>
          <t>2. Vilvah and Deyga product names get very few searches (10–30 a month each); "vilvah" (480), "vilvah milk drops" (390) and "deyga" (140) are the brand terms people use. Brand pages + the Milk Drops page should target these.</t>
        </is>
      </c>
    </row>
    <row r="15" ht="30" customHeight="1" s="37">
      <c r="B15" s="39" t="inlineStr">
        <is>
          <t>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is>
      </c>
    </row>
    <row r="16" ht="30" customHeight="1" s="37">
      <c r="B16" s="39" t="inlineStr">
        <is>
          <t>4. Product pages: keep the brand + product name as H1 (it is the primary keyword for 265 products); add the matching concern phrase in the first paragraph and meta description.</t>
        </is>
      </c>
    </row>
    <row r="17" ht="30" customHeight="1" s="37">
      <c r="B17" s="39" t="inlineStr">
        <is>
          <t>5. Tier 2 checked perfume-type / "+ uk" variants for the top 100 fragrances and generic ingredient and product-type terms; the Primary keyword per product now picks the highest-volume variant.</t>
        </is>
      </c>
    </row>
    <row r="19" ht="15.75" customHeight="1" s="37">
      <c r="A19" s="50" t="inlineStr">
        <is>
          <t>Top 50 hero products</t>
        </is>
      </c>
    </row>
    <row r="20" ht="15" customHeight="1" s="37">
      <c r="A20" s="51" t="inlineStr">
        <is>
          <t>Ranked by primary-keyword volume, KD as tie-break. Suggested set for the "premium description rewrite × 50" in the quote. Ranking is a snapshot; volumes are live formulas.</t>
        </is>
      </c>
    </row>
    <row r="21" ht="15" customHeight="1" s="37">
      <c r="A21" s="53" t="inlineStr">
        <is>
          <t>ID</t>
        </is>
      </c>
      <c r="B21" s="53" t="inlineStr">
        <is>
          <t>Product</t>
        </is>
      </c>
      <c r="C21" s="53" t="inlineStr">
        <is>
          <t>Primary keyword</t>
        </is>
      </c>
      <c r="D21" s="53" t="inlineStr">
        <is>
          <t>Volume</t>
        </is>
      </c>
      <c r="E21" s="53" t="inlineStr">
        <is>
          <t>KD</t>
        </is>
      </c>
      <c r="F21" s="53" t="inlineStr">
        <is>
          <t>CPC ($)</t>
        </is>
      </c>
      <c r="G21" s="53" t="inlineStr">
        <is>
          <t>Ease</t>
        </is>
      </c>
      <c r="H21" s="53" t="inlineStr">
        <is>
          <t>Where to use</t>
        </is>
      </c>
    </row>
    <row r="22" ht="15" customHeight="1" s="37">
      <c r="A22" s="42" t="inlineStr">
        <is>
          <t>FR-115</t>
        </is>
      </c>
      <c r="B22" s="42" t="inlineStr">
        <is>
          <t>Dior Sauvage Eau de Parfum 100ml + 10ml Men's Gift Set</t>
        </is>
      </c>
      <c r="C22" s="54">
        <f>INDEX(Products!$V$2:$V$600,MATCH(A22,Products!$A$2:$A$600,0))</f>
        <v/>
      </c>
      <c r="D22" s="55">
        <f>IFERROR(INDEX('Semrush Data'!$C$2:$C$5000,MATCH(C22,'Semrush Data'!$A$2:$A$5000,0)),"")</f>
        <v/>
      </c>
      <c r="E22" s="42">
        <f>IFERROR(INDEX('Semrush Data'!$D$2:$D$5000,MATCH(C22,'Semrush Data'!$A$2:$A$5000,0)),"")</f>
        <v/>
      </c>
      <c r="F22" s="56">
        <f>IFERROR(INDEX('Semrush Data'!$E$2:$E$5000,MATCH(C22,'Semrush Data'!$A$2:$A$5000,0)),"")</f>
        <v/>
      </c>
      <c r="G22" s="42">
        <f>IF(E22="","",IF(E22&lt;=20,"Easier",IF(E22&lt;=35,"Medium","Hard")))</f>
        <v/>
      </c>
      <c r="H22" s="42" t="inlineStr">
        <is>
          <t>H1 + meta title + first sentence; long-form description (premium rewrite)</t>
        </is>
      </c>
    </row>
    <row r="23" ht="15" customHeight="1" s="37">
      <c r="A23" s="42" t="inlineStr">
        <is>
          <t>FR-378</t>
        </is>
      </c>
      <c r="B23" s="42" t="inlineStr">
        <is>
          <t>Tom Ford Black Orchid Parfum 100ml Unisex</t>
        </is>
      </c>
      <c r="C23" s="54">
        <f>INDEX(Products!$V$2:$V$600,MATCH(A23,Products!$A$2:$A$600,0))</f>
        <v/>
      </c>
      <c r="D23" s="55">
        <f>IFERROR(INDEX('Semrush Data'!$C$2:$C$5000,MATCH(C23,'Semrush Data'!$A$2:$A$5000,0)),"")</f>
        <v/>
      </c>
      <c r="E23" s="42">
        <f>IFERROR(INDEX('Semrush Data'!$D$2:$D$5000,MATCH(C23,'Semrush Data'!$A$2:$A$5000,0)),"")</f>
        <v/>
      </c>
      <c r="F23" s="56">
        <f>IFERROR(INDEX('Semrush Data'!$E$2:$E$5000,MATCH(C23,'Semrush Data'!$A$2:$A$5000,0)),"")</f>
        <v/>
      </c>
      <c r="G23" s="42">
        <f>IF(E23="","",IF(E23&lt;=20,"Easier",IF(E23&lt;=35,"Medium","Hard")))</f>
        <v/>
      </c>
      <c r="H23" s="42" t="inlineStr">
        <is>
          <t>H1 + meta title + first sentence; long-form description (premium rewrite)</t>
        </is>
      </c>
    </row>
    <row r="24" ht="15" customHeight="1" s="37">
      <c r="A24" s="42" t="inlineStr">
        <is>
          <t>FR-375</t>
        </is>
      </c>
      <c r="B24" s="42" t="inlineStr">
        <is>
          <t>Tom Ford Oud Wood Eau de Parfum 50ml Unisex</t>
        </is>
      </c>
      <c r="C24" s="54">
        <f>INDEX(Products!$V$2:$V$600,MATCH(A24,Products!$A$2:$A$600,0))</f>
        <v/>
      </c>
      <c r="D24" s="55">
        <f>IFERROR(INDEX('Semrush Data'!$C$2:$C$5000,MATCH(C24,'Semrush Data'!$A$2:$A$5000,0)),"")</f>
        <v/>
      </c>
      <c r="E24" s="42">
        <f>IFERROR(INDEX('Semrush Data'!$D$2:$D$5000,MATCH(C24,'Semrush Data'!$A$2:$A$5000,0)),"")</f>
        <v/>
      </c>
      <c r="F24" s="56">
        <f>IFERROR(INDEX('Semrush Data'!$E$2:$E$5000,MATCH(C24,'Semrush Data'!$A$2:$A$5000,0)),"")</f>
        <v/>
      </c>
      <c r="G24" s="42">
        <f>IF(E24="","",IF(E24&lt;=20,"Easier",IF(E24&lt;=35,"Medium","Hard")))</f>
        <v/>
      </c>
      <c r="H24" s="42" t="inlineStr">
        <is>
          <t>H1 + meta title + first sentence; long-form description (premium rewrite)</t>
        </is>
      </c>
    </row>
    <row r="25" ht="15" customHeight="1" s="37">
      <c r="A25" s="42" t="inlineStr">
        <is>
          <t>FR-269</t>
        </is>
      </c>
      <c r="B25" s="42" t="inlineStr">
        <is>
          <t>Joop! Homme Eau de Toilette 200ml – Men's Warm Spicy Long lasting Fragrance</t>
        </is>
      </c>
      <c r="C25" s="54">
        <f>INDEX(Products!$V$2:$V$600,MATCH(A25,Products!$A$2:$A$600,0))</f>
        <v/>
      </c>
      <c r="D25" s="55">
        <f>IFERROR(INDEX('Semrush Data'!$C$2:$C$5000,MATCH(C25,'Semrush Data'!$A$2:$A$5000,0)),"")</f>
        <v/>
      </c>
      <c r="E25" s="42">
        <f>IFERROR(INDEX('Semrush Data'!$D$2:$D$5000,MATCH(C25,'Semrush Data'!$A$2:$A$5000,0)),"")</f>
        <v/>
      </c>
      <c r="F25" s="56">
        <f>IFERROR(INDEX('Semrush Data'!$E$2:$E$5000,MATCH(C25,'Semrush Data'!$A$2:$A$5000,0)),"")</f>
        <v/>
      </c>
      <c r="G25" s="42">
        <f>IF(E25="","",IF(E25&lt;=20,"Easier",IF(E25&lt;=35,"Medium","Hard")))</f>
        <v/>
      </c>
      <c r="H25" s="42" t="inlineStr">
        <is>
          <t>H1 + meta title + first sentence; long-form description (premium rewrite)</t>
        </is>
      </c>
    </row>
    <row r="26" ht="15" customHeight="1" s="37">
      <c r="A26" s="42" t="inlineStr">
        <is>
          <t>FR-379</t>
        </is>
      </c>
      <c r="B26" s="42" t="inlineStr">
        <is>
          <t>Tom Ford Noir Extreme Parfum 100ml for Men</t>
        </is>
      </c>
      <c r="C26" s="54">
        <f>INDEX(Products!$V$2:$V$600,MATCH(A26,Products!$A$2:$A$600,0))</f>
        <v/>
      </c>
      <c r="D26" s="55">
        <f>IFERROR(INDEX('Semrush Data'!$C$2:$C$5000,MATCH(C26,'Semrush Data'!$A$2:$A$5000,0)),"")</f>
        <v/>
      </c>
      <c r="E26" s="42">
        <f>IFERROR(INDEX('Semrush Data'!$D$2:$D$5000,MATCH(C26,'Semrush Data'!$A$2:$A$5000,0)),"")</f>
        <v/>
      </c>
      <c r="F26" s="56">
        <f>IFERROR(INDEX('Semrush Data'!$E$2:$E$5000,MATCH(C26,'Semrush Data'!$A$2:$A$5000,0)),"")</f>
        <v/>
      </c>
      <c r="G26" s="42">
        <f>IF(E26="","",IF(E26&lt;=20,"Easier",IF(E26&lt;=35,"Medium","Hard")))</f>
        <v/>
      </c>
      <c r="H26" s="42" t="inlineStr">
        <is>
          <t>H1 + meta title + first sentence; long-form description (premium rewrite)</t>
        </is>
      </c>
    </row>
    <row r="27" ht="15" customHeight="1" s="37">
      <c r="A27" s="42" t="inlineStr">
        <is>
          <t>FR-220</t>
        </is>
      </c>
      <c r="B27" s="42" t="inlineStr">
        <is>
          <t>Gucci Intense Oud Eau de Parfum Spray 90ml – Long Lasting Luxury Unisex Oud Fragrance</t>
        </is>
      </c>
      <c r="C27" s="54">
        <f>INDEX(Products!$V$2:$V$600,MATCH(A27,Products!$A$2:$A$600,0))</f>
        <v/>
      </c>
      <c r="D27" s="55">
        <f>IFERROR(INDEX('Semrush Data'!$C$2:$C$5000,MATCH(C27,'Semrush Data'!$A$2:$A$5000,0)),"")</f>
        <v/>
      </c>
      <c r="E27" s="42">
        <f>IFERROR(INDEX('Semrush Data'!$D$2:$D$5000,MATCH(C27,'Semrush Data'!$A$2:$A$5000,0)),"")</f>
        <v/>
      </c>
      <c r="F27" s="56">
        <f>IFERROR(INDEX('Semrush Data'!$E$2:$E$5000,MATCH(C27,'Semrush Data'!$A$2:$A$5000,0)),"")</f>
        <v/>
      </c>
      <c r="G27" s="42">
        <f>IF(E27="","",IF(E27&lt;=20,"Easier",IF(E27&lt;=35,"Medium","Hard")))</f>
        <v/>
      </c>
      <c r="H27" s="42" t="inlineStr">
        <is>
          <t>H1 + meta title + first sentence; long-form description (premium rewrite)</t>
        </is>
      </c>
    </row>
    <row r="28" ht="15" customHeight="1" s="37">
      <c r="A28" s="42" t="inlineStr">
        <is>
          <t>FR-292</t>
        </is>
      </c>
      <c r="B28" s="42" t="inlineStr">
        <is>
          <t>Marc Jacobs Perfect Eau de Parfum 50ml – Women's Floral Fragrance</t>
        </is>
      </c>
      <c r="C28" s="54">
        <f>INDEX(Products!$V$2:$V$600,MATCH(A28,Products!$A$2:$A$600,0))</f>
        <v/>
      </c>
      <c r="D28" s="55">
        <f>IFERROR(INDEX('Semrush Data'!$C$2:$C$5000,MATCH(C28,'Semrush Data'!$A$2:$A$5000,0)),"")</f>
        <v/>
      </c>
      <c r="E28" s="42">
        <f>IFERROR(INDEX('Semrush Data'!$D$2:$D$5000,MATCH(C28,'Semrush Data'!$A$2:$A$5000,0)),"")</f>
        <v/>
      </c>
      <c r="F28" s="56">
        <f>IFERROR(INDEX('Semrush Data'!$E$2:$E$5000,MATCH(C28,'Semrush Data'!$A$2:$A$5000,0)),"")</f>
        <v/>
      </c>
      <c r="G28" s="42">
        <f>IF(E28="","",IF(E28&lt;=20,"Easier",IF(E28&lt;=35,"Medium","Hard")))</f>
        <v/>
      </c>
      <c r="H28" s="42" t="inlineStr">
        <is>
          <t>H1 + meta title + first sentence; long-form description (premium rewrite)</t>
        </is>
      </c>
    </row>
    <row r="29" ht="15" customHeight="1" s="37">
      <c r="A29" s="42" t="inlineStr">
        <is>
          <t>FR-077</t>
        </is>
      </c>
      <c r="B29" s="42" t="inlineStr">
        <is>
          <t>Calvin Klein Eternity Eau de Parfum – Women's Classic Floral Fragrance</t>
        </is>
      </c>
      <c r="C29" s="54">
        <f>INDEX(Products!$V$2:$V$600,MATCH(A29,Products!$A$2:$A$600,0))</f>
        <v/>
      </c>
      <c r="D29" s="55">
        <f>IFERROR(INDEX('Semrush Data'!$C$2:$C$5000,MATCH(C29,'Semrush Data'!$A$2:$A$5000,0)),"")</f>
        <v/>
      </c>
      <c r="E29" s="42">
        <f>IFERROR(INDEX('Semrush Data'!$D$2:$D$5000,MATCH(C29,'Semrush Data'!$A$2:$A$5000,0)),"")</f>
        <v/>
      </c>
      <c r="F29" s="56">
        <f>IFERROR(INDEX('Semrush Data'!$E$2:$E$5000,MATCH(C29,'Semrush Data'!$A$2:$A$5000,0)),"")</f>
        <v/>
      </c>
      <c r="G29" s="42">
        <f>IF(E29="","",IF(E29&lt;=20,"Easier",IF(E29&lt;=35,"Medium","Hard")))</f>
        <v/>
      </c>
      <c r="H29" s="42" t="inlineStr">
        <is>
          <t>H1 + meta title + first sentence; long-form description (premium rewrite)</t>
        </is>
      </c>
    </row>
    <row r="30" ht="15" customHeight="1" s="37">
      <c r="A30" s="42" t="inlineStr">
        <is>
          <t>FR-257</t>
        </is>
      </c>
      <c r="B30" s="42" t="inlineStr">
        <is>
          <t>Hugo Boss Bottled Eau de Parfum 200ml for Men</t>
        </is>
      </c>
      <c r="C30" s="54">
        <f>INDEX(Products!$V$2:$V$600,MATCH(A30,Products!$A$2:$A$600,0))</f>
        <v/>
      </c>
      <c r="D30" s="55">
        <f>IFERROR(INDEX('Semrush Data'!$C$2:$C$5000,MATCH(C30,'Semrush Data'!$A$2:$A$5000,0)),"")</f>
        <v/>
      </c>
      <c r="E30" s="42">
        <f>IFERROR(INDEX('Semrush Data'!$D$2:$D$5000,MATCH(C30,'Semrush Data'!$A$2:$A$5000,0)),"")</f>
        <v/>
      </c>
      <c r="F30" s="56">
        <f>IFERROR(INDEX('Semrush Data'!$E$2:$E$5000,MATCH(C30,'Semrush Data'!$A$2:$A$5000,0)),"")</f>
        <v/>
      </c>
      <c r="G30" s="42">
        <f>IF(E30="","",IF(E30&lt;=20,"Easier",IF(E30&lt;=35,"Medium","Hard")))</f>
        <v/>
      </c>
      <c r="H30" s="42" t="inlineStr">
        <is>
          <t>H1 + meta title + first sentence; long-form description (premium rewrite)</t>
        </is>
      </c>
    </row>
    <row r="31" ht="15" customHeight="1" s="37">
      <c r="A31" s="42" t="inlineStr">
        <is>
          <t>FR-217</t>
        </is>
      </c>
      <c r="B31" s="42" t="inlineStr">
        <is>
          <t>Gucci Flora Gorgeous Gardenia Eau de Parfum 50ml – Women's Floral Fragrance</t>
        </is>
      </c>
      <c r="C31" s="54">
        <f>INDEX(Products!$V$2:$V$600,MATCH(A31,Products!$A$2:$A$600,0))</f>
        <v/>
      </c>
      <c r="D31" s="55">
        <f>IFERROR(INDEX('Semrush Data'!$C$2:$C$5000,MATCH(C31,'Semrush Data'!$A$2:$A$5000,0)),"")</f>
        <v/>
      </c>
      <c r="E31" s="42">
        <f>IFERROR(INDEX('Semrush Data'!$D$2:$D$5000,MATCH(C31,'Semrush Data'!$A$2:$A$5000,0)),"")</f>
        <v/>
      </c>
      <c r="F31" s="56">
        <f>IFERROR(INDEX('Semrush Data'!$E$2:$E$5000,MATCH(C31,'Semrush Data'!$A$2:$A$5000,0)),"")</f>
        <v/>
      </c>
      <c r="G31" s="42">
        <f>IF(E31="","",IF(E31&lt;=20,"Easier",IF(E31&lt;=35,"Medium","Hard")))</f>
        <v/>
      </c>
      <c r="H31" s="42" t="inlineStr">
        <is>
          <t>H1 + meta title + first sentence; long-form description (premium rewrite)</t>
        </is>
      </c>
    </row>
    <row r="32" ht="15" customHeight="1" s="37">
      <c r="A32" s="42" t="inlineStr">
        <is>
          <t>FR-374</t>
        </is>
      </c>
      <c r="B32" s="42" t="inlineStr">
        <is>
          <t>Tom Ford Neroli Portofino Eau de Parfum 50ml Unisex</t>
        </is>
      </c>
      <c r="C32" s="54">
        <f>INDEX(Products!$V$2:$V$600,MATCH(A32,Products!$A$2:$A$600,0))</f>
        <v/>
      </c>
      <c r="D32" s="55">
        <f>IFERROR(INDEX('Semrush Data'!$C$2:$C$5000,MATCH(C32,'Semrush Data'!$A$2:$A$5000,0)),"")</f>
        <v/>
      </c>
      <c r="E32" s="42">
        <f>IFERROR(INDEX('Semrush Data'!$D$2:$D$5000,MATCH(C32,'Semrush Data'!$A$2:$A$5000,0)),"")</f>
        <v/>
      </c>
      <c r="F32" s="56">
        <f>IFERROR(INDEX('Semrush Data'!$E$2:$E$5000,MATCH(C32,'Semrush Data'!$A$2:$A$5000,0)),"")</f>
        <v/>
      </c>
      <c r="G32" s="42">
        <f>IF(E32="","",IF(E32&lt;=20,"Easier",IF(E32&lt;=35,"Medium","Hard")))</f>
        <v/>
      </c>
      <c r="H32" s="42" t="inlineStr">
        <is>
          <t>H1 + meta title + first sentence; long-form description (premium rewrite)</t>
        </is>
      </c>
    </row>
    <row r="33" ht="15" customHeight="1" s="37">
      <c r="A33" s="42" t="inlineStr">
        <is>
          <t>FR-095</t>
        </is>
      </c>
      <c r="B33" s="42" t="inlineStr">
        <is>
          <t>Chloé Nomade Eau de Parfum 50ml – Women's Floral Chypre Fragrance</t>
        </is>
      </c>
      <c r="C33" s="54">
        <f>INDEX(Products!$V$2:$V$600,MATCH(A33,Products!$A$2:$A$600,0))</f>
        <v/>
      </c>
      <c r="D33" s="55">
        <f>IFERROR(INDEX('Semrush Data'!$C$2:$C$5000,MATCH(C33,'Semrush Data'!$A$2:$A$5000,0)),"")</f>
        <v/>
      </c>
      <c r="E33" s="42">
        <f>IFERROR(INDEX('Semrush Data'!$D$2:$D$5000,MATCH(C33,'Semrush Data'!$A$2:$A$5000,0)),"")</f>
        <v/>
      </c>
      <c r="F33" s="56">
        <f>IFERROR(INDEX('Semrush Data'!$E$2:$E$5000,MATCH(C33,'Semrush Data'!$A$2:$A$5000,0)),"")</f>
        <v/>
      </c>
      <c r="G33" s="42">
        <f>IF(E33="","",IF(E33&lt;=20,"Easier",IF(E33&lt;=35,"Medium","Hard")))</f>
        <v/>
      </c>
      <c r="H33" s="42" t="inlineStr">
        <is>
          <t>H1 + meta title + first sentence; long-form description (premium rewrite)</t>
        </is>
      </c>
    </row>
    <row r="34" ht="15" customHeight="1" s="37">
      <c r="A34" s="42" t="inlineStr">
        <is>
          <t>FR-304</t>
        </is>
      </c>
      <c r="B34" s="42" t="inlineStr">
        <is>
          <t>Paloma Picasso Eau de Toilette 100ml – Women's Chypre Floral Fragrance</t>
        </is>
      </c>
      <c r="C34" s="54">
        <f>INDEX(Products!$V$2:$V$600,MATCH(A34,Products!$A$2:$A$600,0))</f>
        <v/>
      </c>
      <c r="D34" s="55">
        <f>IFERROR(INDEX('Semrush Data'!$C$2:$C$5000,MATCH(C34,'Semrush Data'!$A$2:$A$5000,0)),"")</f>
        <v/>
      </c>
      <c r="E34" s="42">
        <f>IFERROR(INDEX('Semrush Data'!$D$2:$D$5000,MATCH(C34,'Semrush Data'!$A$2:$A$5000,0)),"")</f>
        <v/>
      </c>
      <c r="F34" s="56">
        <f>IFERROR(INDEX('Semrush Data'!$E$2:$E$5000,MATCH(C34,'Semrush Data'!$A$2:$A$5000,0)),"")</f>
        <v/>
      </c>
      <c r="G34" s="42">
        <f>IF(E34="","",IF(E34&lt;=20,"Easier",IF(E34&lt;=35,"Medium","Hard")))</f>
        <v/>
      </c>
      <c r="H34" s="42" t="inlineStr">
        <is>
          <t>H1 + meta title + first sentence; long-form description (premium rewrite)</t>
        </is>
      </c>
    </row>
    <row r="35" ht="15" customHeight="1" s="37">
      <c r="A35" s="42" t="inlineStr">
        <is>
          <t>FR-015</t>
        </is>
      </c>
      <c r="B35" s="42" t="inlineStr">
        <is>
          <t>Al Haramain Amber Oud Eau de Parfum 60ml – Luxury Unisex Amber Woody Fragrance</t>
        </is>
      </c>
      <c r="C35" s="54">
        <f>INDEX(Products!$V$2:$V$600,MATCH(A35,Products!$A$2:$A$600,0))</f>
        <v/>
      </c>
      <c r="D35" s="55">
        <f>IFERROR(INDEX('Semrush Data'!$C$2:$C$5000,MATCH(C35,'Semrush Data'!$A$2:$A$5000,0)),"")</f>
        <v/>
      </c>
      <c r="E35" s="42">
        <f>IFERROR(INDEX('Semrush Data'!$D$2:$D$5000,MATCH(C35,'Semrush Data'!$A$2:$A$5000,0)),"")</f>
        <v/>
      </c>
      <c r="F35" s="56">
        <f>IFERROR(INDEX('Semrush Data'!$E$2:$E$5000,MATCH(C35,'Semrush Data'!$A$2:$A$5000,0)),"")</f>
        <v/>
      </c>
      <c r="G35" s="42">
        <f>IF(E35="","",IF(E35&lt;=20,"Easier",IF(E35&lt;=35,"Medium","Hard")))</f>
        <v/>
      </c>
      <c r="H35" s="42" t="inlineStr">
        <is>
          <t>H1 + meta title + first sentence; long-form description (premium rewrite)</t>
        </is>
      </c>
    </row>
    <row r="36" ht="15" customHeight="1" s="37">
      <c r="A36" s="42" t="inlineStr">
        <is>
          <t>FR-291</t>
        </is>
      </c>
      <c r="B36" s="42" t="inlineStr">
        <is>
          <t>Marc Jacobs Honey Eau de Parfum 100ml – Women's Floral Fruity Fragrance</t>
        </is>
      </c>
      <c r="C36" s="54">
        <f>INDEX(Products!$V$2:$V$600,MATCH(A36,Products!$A$2:$A$600,0))</f>
        <v/>
      </c>
      <c r="D36" s="55">
        <f>IFERROR(INDEX('Semrush Data'!$C$2:$C$5000,MATCH(C36,'Semrush Data'!$A$2:$A$5000,0)),"")</f>
        <v/>
      </c>
      <c r="E36" s="42">
        <f>IFERROR(INDEX('Semrush Data'!$D$2:$D$5000,MATCH(C36,'Semrush Data'!$A$2:$A$5000,0)),"")</f>
        <v/>
      </c>
      <c r="F36" s="56">
        <f>IFERROR(INDEX('Semrush Data'!$E$2:$E$5000,MATCH(C36,'Semrush Data'!$A$2:$A$5000,0)),"")</f>
        <v/>
      </c>
      <c r="G36" s="42">
        <f>IF(E36="","",IF(E36&lt;=20,"Easier",IF(E36&lt;=35,"Medium","Hard")))</f>
        <v/>
      </c>
      <c r="H36" s="42" t="inlineStr">
        <is>
          <t>H1 + meta title + first sentence; long-form description (premium rewrite)</t>
        </is>
      </c>
    </row>
    <row r="37" ht="15" customHeight="1" s="37">
      <c r="A37" s="42" t="inlineStr">
        <is>
          <t>FR-068</t>
        </is>
      </c>
      <c r="B37" s="42" t="inlineStr">
        <is>
          <t>Bvlgari Man in Black Eau de Parfum 100ml – Luxury Men's Fragrance</t>
        </is>
      </c>
      <c r="C37" s="54">
        <f>INDEX(Products!$V$2:$V$600,MATCH(A37,Products!$A$2:$A$600,0))</f>
        <v/>
      </c>
      <c r="D37" s="55">
        <f>IFERROR(INDEX('Semrush Data'!$C$2:$C$5000,MATCH(C37,'Semrush Data'!$A$2:$A$5000,0)),"")</f>
        <v/>
      </c>
      <c r="E37" s="42">
        <f>IFERROR(INDEX('Semrush Data'!$D$2:$D$5000,MATCH(C37,'Semrush Data'!$A$2:$A$5000,0)),"")</f>
        <v/>
      </c>
      <c r="F37" s="56">
        <f>IFERROR(INDEX('Semrush Data'!$E$2:$E$5000,MATCH(C37,'Semrush Data'!$A$2:$A$5000,0)),"")</f>
        <v/>
      </c>
      <c r="G37" s="42">
        <f>IF(E37="","",IF(E37&lt;=20,"Easier",IF(E37&lt;=35,"Medium","Hard")))</f>
        <v/>
      </c>
      <c r="H37" s="42" t="inlineStr">
        <is>
          <t>H1 + meta title + first sentence; long-form description (premium rewrite)</t>
        </is>
      </c>
    </row>
    <row r="38" ht="15" customHeight="1" s="37">
      <c r="A38" s="42" t="inlineStr">
        <is>
          <t>FR-222</t>
        </is>
      </c>
      <c r="B38" s="42" t="inlineStr">
        <is>
          <t>Gucci Guilty Pour Homme Eau de Toilette 90ml – Men's Woody Aromatic Fragrance</t>
        </is>
      </c>
      <c r="C38" s="54">
        <f>INDEX(Products!$V$2:$V$600,MATCH(A38,Products!$A$2:$A$600,0))</f>
        <v/>
      </c>
      <c r="D38" s="55">
        <f>IFERROR(INDEX('Semrush Data'!$C$2:$C$5000,MATCH(C38,'Semrush Data'!$A$2:$A$5000,0)),"")</f>
        <v/>
      </c>
      <c r="E38" s="42">
        <f>IFERROR(INDEX('Semrush Data'!$D$2:$D$5000,MATCH(C38,'Semrush Data'!$A$2:$A$5000,0)),"")</f>
        <v/>
      </c>
      <c r="F38" s="56">
        <f>IFERROR(INDEX('Semrush Data'!$E$2:$E$5000,MATCH(C38,'Semrush Data'!$A$2:$A$5000,0)),"")</f>
        <v/>
      </c>
      <c r="G38" s="42">
        <f>IF(E38="","",IF(E38&lt;=20,"Easier",IF(E38&lt;=35,"Medium","Hard")))</f>
        <v/>
      </c>
      <c r="H38" s="42" t="inlineStr">
        <is>
          <t>H1 + meta title + first sentence; long-form description (premium rewrite)</t>
        </is>
      </c>
    </row>
    <row r="39" ht="15" customHeight="1" s="37">
      <c r="A39" s="42" t="inlineStr">
        <is>
          <t>FR-184</t>
        </is>
      </c>
      <c r="B39" s="42" t="inlineStr">
        <is>
          <t>Game of Spades Full House Unisex Eau de Parfum 100ml</t>
        </is>
      </c>
      <c r="C39" s="54">
        <f>INDEX(Products!$V$2:$V$600,MATCH(A39,Products!$A$2:$A$600,0))</f>
        <v/>
      </c>
      <c r="D39" s="55">
        <f>IFERROR(INDEX('Semrush Data'!$C$2:$C$5000,MATCH(C39,'Semrush Data'!$A$2:$A$5000,0)),"")</f>
        <v/>
      </c>
      <c r="E39" s="42">
        <f>IFERROR(INDEX('Semrush Data'!$D$2:$D$5000,MATCH(C39,'Semrush Data'!$A$2:$A$5000,0)),"")</f>
        <v/>
      </c>
      <c r="F39" s="56">
        <f>IFERROR(INDEX('Semrush Data'!$E$2:$E$5000,MATCH(C39,'Semrush Data'!$A$2:$A$5000,0)),"")</f>
        <v/>
      </c>
      <c r="G39" s="42">
        <f>IF(E39="","",IF(E39&lt;=20,"Easier",IF(E39&lt;=35,"Medium","Hard")))</f>
        <v/>
      </c>
      <c r="H39" s="42" t="inlineStr">
        <is>
          <t>H1 + meta title + first sentence; long-form description (premium rewrite)</t>
        </is>
      </c>
    </row>
    <row r="40" ht="15" customHeight="1" s="37">
      <c r="A40" s="42" t="inlineStr">
        <is>
          <t>FR-302</t>
        </is>
      </c>
      <c r="B40" s="42" t="inlineStr">
        <is>
          <t>Nina Ricci L'Air du Temps Eau de Toilette– Women's Floral Fragrance</t>
        </is>
      </c>
      <c r="C40" s="54">
        <f>INDEX(Products!$V$2:$V$600,MATCH(A40,Products!$A$2:$A$600,0))</f>
        <v/>
      </c>
      <c r="D40" s="55">
        <f>IFERROR(INDEX('Semrush Data'!$C$2:$C$5000,MATCH(C40,'Semrush Data'!$A$2:$A$5000,0)),"")</f>
        <v/>
      </c>
      <c r="E40" s="42">
        <f>IFERROR(INDEX('Semrush Data'!$D$2:$D$5000,MATCH(C40,'Semrush Data'!$A$2:$A$5000,0)),"")</f>
        <v/>
      </c>
      <c r="F40" s="56">
        <f>IFERROR(INDEX('Semrush Data'!$E$2:$E$5000,MATCH(C40,'Semrush Data'!$A$2:$A$5000,0)),"")</f>
        <v/>
      </c>
      <c r="G40" s="42">
        <f>IF(E40="","",IF(E40&lt;=20,"Easier",IF(E40&lt;=35,"Medium","Hard")))</f>
        <v/>
      </c>
      <c r="H40" s="42" t="inlineStr">
        <is>
          <t>H1 + meta title + first sentence; long-form description (premium rewrite)</t>
        </is>
      </c>
    </row>
    <row r="41" ht="15" customHeight="1" s="37">
      <c r="A41" s="42" t="inlineStr">
        <is>
          <t>FR-058</t>
        </is>
      </c>
      <c r="B41" s="42" t="inlineStr">
        <is>
          <t>Bentley For Men Azure Eau de Toilette 100ml – Men's Fresh Aquatic Woody Fragrance</t>
        </is>
      </c>
      <c r="C41" s="54">
        <f>INDEX(Products!$V$2:$V$600,MATCH(A41,Products!$A$2:$A$600,0))</f>
        <v/>
      </c>
      <c r="D41" s="55">
        <f>IFERROR(INDEX('Semrush Data'!$C$2:$C$5000,MATCH(C41,'Semrush Data'!$A$2:$A$5000,0)),"")</f>
        <v/>
      </c>
      <c r="E41" s="42">
        <f>IFERROR(INDEX('Semrush Data'!$D$2:$D$5000,MATCH(C41,'Semrush Data'!$A$2:$A$5000,0)),"")</f>
        <v/>
      </c>
      <c r="F41" s="56">
        <f>IFERROR(INDEX('Semrush Data'!$E$2:$E$5000,MATCH(C41,'Semrush Data'!$A$2:$A$5000,0)),"")</f>
        <v/>
      </c>
      <c r="G41" s="42">
        <f>IF(E41="","",IF(E41&lt;=20,"Easier",IF(E41&lt;=35,"Medium","Hard")))</f>
        <v/>
      </c>
      <c r="H41" s="42" t="inlineStr">
        <is>
          <t>H1 + meta title + first sentence; long-form description (premium rewrite)</t>
        </is>
      </c>
    </row>
    <row r="42" ht="15" customHeight="1" s="37">
      <c r="A42" s="42" t="inlineStr">
        <is>
          <t>FR-260</t>
        </is>
      </c>
      <c r="B42" s="42" t="inlineStr">
        <is>
          <t>Hugo Boss HUGO Man Eau de Toilette 125ml for Men</t>
        </is>
      </c>
      <c r="C42" s="54">
        <f>INDEX(Products!$V$2:$V$600,MATCH(A42,Products!$A$2:$A$600,0))</f>
        <v/>
      </c>
      <c r="D42" s="55">
        <f>IFERROR(INDEX('Semrush Data'!$C$2:$C$5000,MATCH(C42,'Semrush Data'!$A$2:$A$5000,0)),"")</f>
        <v/>
      </c>
      <c r="E42" s="42">
        <f>IFERROR(INDEX('Semrush Data'!$D$2:$D$5000,MATCH(C42,'Semrush Data'!$A$2:$A$5000,0)),"")</f>
        <v/>
      </c>
      <c r="F42" s="56">
        <f>IFERROR(INDEX('Semrush Data'!$E$2:$E$5000,MATCH(C42,'Semrush Data'!$A$2:$A$5000,0)),"")</f>
        <v/>
      </c>
      <c r="G42" s="42">
        <f>IF(E42="","",IF(E42&lt;=20,"Easier",IF(E42&lt;=35,"Medium","Hard")))</f>
        <v/>
      </c>
      <c r="H42" s="42" t="inlineStr">
        <is>
          <t>H1 + meta title + first sentence; long-form description (premium rewrite)</t>
        </is>
      </c>
    </row>
    <row r="43" ht="15" customHeight="1" s="37">
      <c r="A43" s="42" t="inlineStr">
        <is>
          <t>FR-082</t>
        </is>
      </c>
      <c r="B43" s="42" t="inlineStr">
        <is>
          <t>Calvin Klein Defy Parfum – Men's Warm Woody Fragrance</t>
        </is>
      </c>
      <c r="C43" s="54">
        <f>INDEX(Products!$V$2:$V$600,MATCH(A43,Products!$A$2:$A$600,0))</f>
        <v/>
      </c>
      <c r="D43" s="55">
        <f>IFERROR(INDEX('Semrush Data'!$C$2:$C$5000,MATCH(C43,'Semrush Data'!$A$2:$A$5000,0)),"")</f>
        <v/>
      </c>
      <c r="E43" s="42">
        <f>IFERROR(INDEX('Semrush Data'!$D$2:$D$5000,MATCH(C43,'Semrush Data'!$A$2:$A$5000,0)),"")</f>
        <v/>
      </c>
      <c r="F43" s="56">
        <f>IFERROR(INDEX('Semrush Data'!$E$2:$E$5000,MATCH(C43,'Semrush Data'!$A$2:$A$5000,0)),"")</f>
        <v/>
      </c>
      <c r="G43" s="42">
        <f>IF(E43="","",IF(E43&lt;=20,"Easier",IF(E43&lt;=35,"Medium","Hard")))</f>
        <v/>
      </c>
      <c r="H43" s="42" t="inlineStr">
        <is>
          <t>H1 + meta title + first sentence; long-form description (premium rewrite)</t>
        </is>
      </c>
    </row>
    <row r="44" ht="15" customHeight="1" s="37">
      <c r="A44" s="42" t="inlineStr">
        <is>
          <t>FR-112</t>
        </is>
      </c>
      <c r="B44" s="42" t="inlineStr">
        <is>
          <t>Davidoff The Game Eau de Toilette 100ml – Men's Woody Aromatic Fragrance</t>
        </is>
      </c>
      <c r="C44" s="54">
        <f>INDEX(Products!$V$2:$V$600,MATCH(A44,Products!$A$2:$A$600,0))</f>
        <v/>
      </c>
      <c r="D44" s="55">
        <f>IFERROR(INDEX('Semrush Data'!$C$2:$C$5000,MATCH(C44,'Semrush Data'!$A$2:$A$5000,0)),"")</f>
        <v/>
      </c>
      <c r="E44" s="42">
        <f>IFERROR(INDEX('Semrush Data'!$D$2:$D$5000,MATCH(C44,'Semrush Data'!$A$2:$A$5000,0)),"")</f>
        <v/>
      </c>
      <c r="F44" s="56">
        <f>IFERROR(INDEX('Semrush Data'!$E$2:$E$5000,MATCH(C44,'Semrush Data'!$A$2:$A$5000,0)),"")</f>
        <v/>
      </c>
      <c r="G44" s="42">
        <f>IF(E44="","",IF(E44&lt;=20,"Easier",IF(E44&lt;=35,"Medium","Hard")))</f>
        <v/>
      </c>
      <c r="H44" s="42" t="inlineStr">
        <is>
          <t>H1 + meta title + first sentence; long-form description (premium rewrite)</t>
        </is>
      </c>
    </row>
    <row r="45" ht="15" customHeight="1" s="37">
      <c r="A45" s="42" t="inlineStr">
        <is>
          <t>FR-022</t>
        </is>
      </c>
      <c r="B45" s="42" t="inlineStr">
        <is>
          <t>Al Haramain L'Aventure Eau de Parfum 100ml – Men's Fresh Woody Longlasting Fragrance</t>
        </is>
      </c>
      <c r="C45" s="54">
        <f>INDEX(Products!$V$2:$V$600,MATCH(A45,Products!$A$2:$A$600,0))</f>
        <v/>
      </c>
      <c r="D45" s="55">
        <f>IFERROR(INDEX('Semrush Data'!$C$2:$C$5000,MATCH(C45,'Semrush Data'!$A$2:$A$5000,0)),"")</f>
        <v/>
      </c>
      <c r="E45" s="42">
        <f>IFERROR(INDEX('Semrush Data'!$D$2:$D$5000,MATCH(C45,'Semrush Data'!$A$2:$A$5000,0)),"")</f>
        <v/>
      </c>
      <c r="F45" s="56">
        <f>IFERROR(INDEX('Semrush Data'!$E$2:$E$5000,MATCH(C45,'Semrush Data'!$A$2:$A$5000,0)),"")</f>
        <v/>
      </c>
      <c r="G45" s="42">
        <f>IF(E45="","",IF(E45&lt;=20,"Easier",IF(E45&lt;=35,"Medium","Hard")))</f>
        <v/>
      </c>
      <c r="H45" s="42" t="inlineStr">
        <is>
          <t>H1 + meta title + first sentence; long-form description (premium rewrite)</t>
        </is>
      </c>
    </row>
    <row r="46" ht="15" customHeight="1" s="37">
      <c r="A46" s="42" t="inlineStr">
        <is>
          <t>FR-377</t>
        </is>
      </c>
      <c r="B46" s="42" t="inlineStr">
        <is>
          <t>Tom Ford Ébène Fumé Eau de Parfum 50ml Unisex</t>
        </is>
      </c>
      <c r="C46" s="54">
        <f>INDEX(Products!$V$2:$V$600,MATCH(A46,Products!$A$2:$A$600,0))</f>
        <v/>
      </c>
      <c r="D46" s="55">
        <f>IFERROR(INDEX('Semrush Data'!$C$2:$C$5000,MATCH(C46,'Semrush Data'!$A$2:$A$5000,0)),"")</f>
        <v/>
      </c>
      <c r="E46" s="42">
        <f>IFERROR(INDEX('Semrush Data'!$D$2:$D$5000,MATCH(C46,'Semrush Data'!$A$2:$A$5000,0)),"")</f>
        <v/>
      </c>
      <c r="F46" s="56">
        <f>IFERROR(INDEX('Semrush Data'!$E$2:$E$5000,MATCH(C46,'Semrush Data'!$A$2:$A$5000,0)),"")</f>
        <v/>
      </c>
      <c r="G46" s="42">
        <f>IF(E46="","",IF(E46&lt;=20,"Easier",IF(E46&lt;=35,"Medium","Hard")))</f>
        <v/>
      </c>
      <c r="H46" s="42" t="inlineStr">
        <is>
          <t>H1 + meta title + first sentence; long-form description (premium rewrite)</t>
        </is>
      </c>
    </row>
    <row r="47" ht="15" customHeight="1" s="37">
      <c r="A47" s="42" t="inlineStr">
        <is>
          <t>FR-193</t>
        </is>
      </c>
      <c r="B47" s="42" t="inlineStr">
        <is>
          <t>Game of Spades Wildcard Unisex Eau de Parfum 100ml</t>
        </is>
      </c>
      <c r="C47" s="54">
        <f>INDEX(Products!$V$2:$V$600,MATCH(A47,Products!$A$2:$A$600,0))</f>
        <v/>
      </c>
      <c r="D47" s="55">
        <f>IFERROR(INDEX('Semrush Data'!$C$2:$C$5000,MATCH(C47,'Semrush Data'!$A$2:$A$5000,0)),"")</f>
        <v/>
      </c>
      <c r="E47" s="42">
        <f>IFERROR(INDEX('Semrush Data'!$D$2:$D$5000,MATCH(C47,'Semrush Data'!$A$2:$A$5000,0)),"")</f>
        <v/>
      </c>
      <c r="F47" s="56">
        <f>IFERROR(INDEX('Semrush Data'!$E$2:$E$5000,MATCH(C47,'Semrush Data'!$A$2:$A$5000,0)),"")</f>
        <v/>
      </c>
      <c r="G47" s="42">
        <f>IF(E47="","",IF(E47&lt;=20,"Easier",IF(E47&lt;=35,"Medium","Hard")))</f>
        <v/>
      </c>
      <c r="H47" s="42" t="inlineStr">
        <is>
          <t>H1 + meta title + first sentence; long-form description (premium rewrite)</t>
        </is>
      </c>
    </row>
    <row r="48" ht="15" customHeight="1" s="37">
      <c r="A48" s="42" t="inlineStr">
        <is>
          <t>FR-122</t>
        </is>
      </c>
      <c r="B48" s="42" t="inlineStr">
        <is>
          <t>Dolce &amp; Gabbana The One for Men Eau de Parfum 100ml – Luxury Men's Fragrance</t>
        </is>
      </c>
      <c r="C48" s="54">
        <f>INDEX(Products!$V$2:$V$600,MATCH(A48,Products!$A$2:$A$600,0))</f>
        <v/>
      </c>
      <c r="D48" s="55">
        <f>IFERROR(INDEX('Semrush Data'!$C$2:$C$5000,MATCH(C48,'Semrush Data'!$A$2:$A$5000,0)),"")</f>
        <v/>
      </c>
      <c r="E48" s="42">
        <f>IFERROR(INDEX('Semrush Data'!$D$2:$D$5000,MATCH(C48,'Semrush Data'!$A$2:$A$5000,0)),"")</f>
        <v/>
      </c>
      <c r="F48" s="56">
        <f>IFERROR(INDEX('Semrush Data'!$E$2:$E$5000,MATCH(C48,'Semrush Data'!$A$2:$A$5000,0)),"")</f>
        <v/>
      </c>
      <c r="G48" s="42">
        <f>IF(E48="","",IF(E48&lt;=20,"Easier",IF(E48&lt;=35,"Medium","Hard")))</f>
        <v/>
      </c>
      <c r="H48" s="42" t="inlineStr">
        <is>
          <t>H1 + meta title + first sentence; long-form description (premium rewrite)</t>
        </is>
      </c>
    </row>
    <row r="49" ht="15" customHeight="1" s="37">
      <c r="A49" s="42" t="inlineStr">
        <is>
          <t>FR-335</t>
        </is>
      </c>
      <c r="B49" s="42" t="inlineStr">
        <is>
          <t>Acqua di Parma Zafferano EDP 20ml Unisex</t>
        </is>
      </c>
      <c r="C49" s="54">
        <f>INDEX(Products!$V$2:$V$600,MATCH(A49,Products!$A$2:$A$600,0))</f>
        <v/>
      </c>
      <c r="D49" s="55">
        <f>IFERROR(INDEX('Semrush Data'!$C$2:$C$5000,MATCH(C49,'Semrush Data'!$A$2:$A$5000,0)),"")</f>
        <v/>
      </c>
      <c r="E49" s="42">
        <f>IFERROR(INDEX('Semrush Data'!$D$2:$D$5000,MATCH(C49,'Semrush Data'!$A$2:$A$5000,0)),"")</f>
        <v/>
      </c>
      <c r="F49" s="56">
        <f>IFERROR(INDEX('Semrush Data'!$E$2:$E$5000,MATCH(C49,'Semrush Data'!$A$2:$A$5000,0)),"")</f>
        <v/>
      </c>
      <c r="G49" s="42">
        <f>IF(E49="","",IF(E49&lt;=20,"Easier",IF(E49&lt;=35,"Medium","Hard")))</f>
        <v/>
      </c>
      <c r="H49" s="42" t="inlineStr">
        <is>
          <t>H1 + meta title + first sentence; long-form description (premium rewrite)</t>
        </is>
      </c>
    </row>
    <row r="50" ht="15" customHeight="1" s="37">
      <c r="A50" s="42" t="inlineStr">
        <is>
          <t>FR-365</t>
        </is>
      </c>
      <c r="B50" s="42" t="inlineStr">
        <is>
          <t>Kirke Extrait de Parfum 100ml – Luxury Unisex Fruity Niche Perfume</t>
        </is>
      </c>
      <c r="C50" s="54">
        <f>INDEX(Products!$V$2:$V$600,MATCH(A50,Products!$A$2:$A$600,0))</f>
        <v/>
      </c>
      <c r="D50" s="55">
        <f>IFERROR(INDEX('Semrush Data'!$C$2:$C$5000,MATCH(C50,'Semrush Data'!$A$2:$A$5000,0)),"")</f>
        <v/>
      </c>
      <c r="E50" s="42">
        <f>IFERROR(INDEX('Semrush Data'!$D$2:$D$5000,MATCH(C50,'Semrush Data'!$A$2:$A$5000,0)),"")</f>
        <v/>
      </c>
      <c r="F50" s="56">
        <f>IFERROR(INDEX('Semrush Data'!$E$2:$E$5000,MATCH(C50,'Semrush Data'!$A$2:$A$5000,0)),"")</f>
        <v/>
      </c>
      <c r="G50" s="42">
        <f>IF(E50="","",IF(E50&lt;=20,"Easier",IF(E50&lt;=35,"Medium","Hard")))</f>
        <v/>
      </c>
      <c r="H50" s="42" t="inlineStr">
        <is>
          <t>H1 + meta title + first sentence; long-form description (premium rewrite)</t>
        </is>
      </c>
    </row>
    <row r="51" ht="15" customHeight="1" s="37">
      <c r="A51" s="42" t="inlineStr">
        <is>
          <t>FR-261</t>
        </is>
      </c>
      <c r="B51" s="42" t="inlineStr">
        <is>
          <t>Hugo Boss Alive Eau de Parfum 80ml + Body Lotion 75ml Gift Set for Women</t>
        </is>
      </c>
      <c r="C51" s="54">
        <f>INDEX(Products!$V$2:$V$600,MATCH(A51,Products!$A$2:$A$600,0))</f>
        <v/>
      </c>
      <c r="D51" s="55">
        <f>IFERROR(INDEX('Semrush Data'!$C$2:$C$5000,MATCH(C51,'Semrush Data'!$A$2:$A$5000,0)),"")</f>
        <v/>
      </c>
      <c r="E51" s="42">
        <f>IFERROR(INDEX('Semrush Data'!$D$2:$D$5000,MATCH(C51,'Semrush Data'!$A$2:$A$5000,0)),"")</f>
        <v/>
      </c>
      <c r="F51" s="56">
        <f>IFERROR(INDEX('Semrush Data'!$E$2:$E$5000,MATCH(C51,'Semrush Data'!$A$2:$A$5000,0)),"")</f>
        <v/>
      </c>
      <c r="G51" s="42">
        <f>IF(E51="","",IF(E51&lt;=20,"Easier",IF(E51&lt;=35,"Medium","Hard")))</f>
        <v/>
      </c>
      <c r="H51" s="42" t="inlineStr">
        <is>
          <t>H1 + meta title + first sentence; long-form description (premium rewrite)</t>
        </is>
      </c>
    </row>
    <row r="52" ht="15" customHeight="1" s="37">
      <c r="A52" s="42" t="inlineStr">
        <is>
          <t>FR-016</t>
        </is>
      </c>
      <c r="B52" s="42" t="inlineStr">
        <is>
          <t>Al Haramain Amber Oud Gold Edition Eau de Parfum – Luxury Unisex Fruity Amber Fragrance</t>
        </is>
      </c>
      <c r="C52" s="54">
        <f>INDEX(Products!$V$2:$V$600,MATCH(A52,Products!$A$2:$A$600,0))</f>
        <v/>
      </c>
      <c r="D52" s="55">
        <f>IFERROR(INDEX('Semrush Data'!$C$2:$C$5000,MATCH(C52,'Semrush Data'!$A$2:$A$5000,0)),"")</f>
        <v/>
      </c>
      <c r="E52" s="42">
        <f>IFERROR(INDEX('Semrush Data'!$D$2:$D$5000,MATCH(C52,'Semrush Data'!$A$2:$A$5000,0)),"")</f>
        <v/>
      </c>
      <c r="F52" s="56">
        <f>IFERROR(INDEX('Semrush Data'!$E$2:$E$5000,MATCH(C52,'Semrush Data'!$A$2:$A$5000,0)),"")</f>
        <v/>
      </c>
      <c r="G52" s="42">
        <f>IF(E52="","",IF(E52&lt;=20,"Easier",IF(E52&lt;=35,"Medium","Hard")))</f>
        <v/>
      </c>
      <c r="H52" s="42" t="inlineStr">
        <is>
          <t>H1 + meta title + first sentence; long-form description (premium rewrite)</t>
        </is>
      </c>
    </row>
    <row r="53" ht="15" customHeight="1" s="37">
      <c r="A53" s="42" t="inlineStr">
        <is>
          <t>FR-105</t>
        </is>
      </c>
      <c r="B53" s="42" t="inlineStr">
        <is>
          <t>Chopard Oud Malaki Eau de Parfum 80ml – Luxury Men's Oud Fragrance</t>
        </is>
      </c>
      <c r="C53" s="54">
        <f>INDEX(Products!$V$2:$V$600,MATCH(A53,Products!$A$2:$A$600,0))</f>
        <v/>
      </c>
      <c r="D53" s="55">
        <f>IFERROR(INDEX('Semrush Data'!$C$2:$C$5000,MATCH(C53,'Semrush Data'!$A$2:$A$5000,0)),"")</f>
        <v/>
      </c>
      <c r="E53" s="42">
        <f>IFERROR(INDEX('Semrush Data'!$D$2:$D$5000,MATCH(C53,'Semrush Data'!$A$2:$A$5000,0)),"")</f>
        <v/>
      </c>
      <c r="F53" s="56">
        <f>IFERROR(INDEX('Semrush Data'!$E$2:$E$5000,MATCH(C53,'Semrush Data'!$A$2:$A$5000,0)),"")</f>
        <v/>
      </c>
      <c r="G53" s="42">
        <f>IF(E53="","",IF(E53&lt;=20,"Easier",IF(E53&lt;=35,"Medium","Hard")))</f>
        <v/>
      </c>
      <c r="H53" s="42" t="inlineStr">
        <is>
          <t>H1 + meta title + first sentence; long-form description (premium rewrite)</t>
        </is>
      </c>
    </row>
    <row r="54" ht="15" customHeight="1" s="37">
      <c r="A54" s="42" t="inlineStr">
        <is>
          <t>FR-232</t>
        </is>
      </c>
      <c r="B54" s="42" t="inlineStr">
        <is>
          <t>Guerlain Oud Essentiel Eau de Parfum 125ml – Luxury Unisex Oud Woody Fragrance</t>
        </is>
      </c>
      <c r="C54" s="54">
        <f>INDEX(Products!$V$2:$V$600,MATCH(A54,Products!$A$2:$A$600,0))</f>
        <v/>
      </c>
      <c r="D54" s="55">
        <f>IFERROR(INDEX('Semrush Data'!$C$2:$C$5000,MATCH(C54,'Semrush Data'!$A$2:$A$5000,0)),"")</f>
        <v/>
      </c>
      <c r="E54" s="42">
        <f>IFERROR(INDEX('Semrush Data'!$D$2:$D$5000,MATCH(C54,'Semrush Data'!$A$2:$A$5000,0)),"")</f>
        <v/>
      </c>
      <c r="F54" s="56">
        <f>IFERROR(INDEX('Semrush Data'!$E$2:$E$5000,MATCH(C54,'Semrush Data'!$A$2:$A$5000,0)),"")</f>
        <v/>
      </c>
      <c r="G54" s="42">
        <f>IF(E54="","",IF(E54&lt;=20,"Easier",IF(E54&lt;=35,"Medium","Hard")))</f>
        <v/>
      </c>
      <c r="H54" s="42" t="inlineStr">
        <is>
          <t>H1 + meta title + first sentence; long-form description (premium rewrite)</t>
        </is>
      </c>
    </row>
    <row r="55" ht="15" customHeight="1" s="37">
      <c r="A55" s="42" t="inlineStr">
        <is>
          <t>FR-214</t>
        </is>
      </c>
      <c r="B55" s="42" t="inlineStr">
        <is>
          <t>Givenchy Amarige Eau de Toilette 100ml – Women's Floral Fragrance</t>
        </is>
      </c>
      <c r="C55" s="54">
        <f>INDEX(Products!$V$2:$V$600,MATCH(A55,Products!$A$2:$A$600,0))</f>
        <v/>
      </c>
      <c r="D55" s="55">
        <f>IFERROR(INDEX('Semrush Data'!$C$2:$C$5000,MATCH(C55,'Semrush Data'!$A$2:$A$5000,0)),"")</f>
        <v/>
      </c>
      <c r="E55" s="42">
        <f>IFERROR(INDEX('Semrush Data'!$D$2:$D$5000,MATCH(C55,'Semrush Data'!$A$2:$A$5000,0)),"")</f>
        <v/>
      </c>
      <c r="F55" s="56">
        <f>IFERROR(INDEX('Semrush Data'!$E$2:$E$5000,MATCH(C55,'Semrush Data'!$A$2:$A$5000,0)),"")</f>
        <v/>
      </c>
      <c r="G55" s="42">
        <f>IF(E55="","",IF(E55&lt;=20,"Easier",IF(E55&lt;=35,"Medium","Hard")))</f>
        <v/>
      </c>
      <c r="H55" s="42" t="inlineStr">
        <is>
          <t>H1 + meta title + first sentence; long-form description (premium rewrite)</t>
        </is>
      </c>
    </row>
    <row r="56" ht="15" customHeight="1" s="37">
      <c r="A56" s="42" t="inlineStr">
        <is>
          <t>FR-008</t>
        </is>
      </c>
      <c r="B56" s="42" t="inlineStr">
        <is>
          <t>Acqua di Parma Sandalo EDP 20ml Unisex</t>
        </is>
      </c>
      <c r="C56" s="54">
        <f>INDEX(Products!$V$2:$V$600,MATCH(A56,Products!$A$2:$A$600,0))</f>
        <v/>
      </c>
      <c r="D56" s="55">
        <f>IFERROR(INDEX('Semrush Data'!$C$2:$C$5000,MATCH(C56,'Semrush Data'!$A$2:$A$5000,0)),"")</f>
        <v/>
      </c>
      <c r="E56" s="42">
        <f>IFERROR(INDEX('Semrush Data'!$D$2:$D$5000,MATCH(C56,'Semrush Data'!$A$2:$A$5000,0)),"")</f>
        <v/>
      </c>
      <c r="F56" s="56">
        <f>IFERROR(INDEX('Semrush Data'!$E$2:$E$5000,MATCH(C56,'Semrush Data'!$A$2:$A$5000,0)),"")</f>
        <v/>
      </c>
      <c r="G56" s="42">
        <f>IF(E56="","",IF(E56&lt;=20,"Easier",IF(E56&lt;=35,"Medium","Hard")))</f>
        <v/>
      </c>
      <c r="H56" s="42" t="inlineStr">
        <is>
          <t>H1 + meta title + first sentence; long-form description (premium rewrite)</t>
        </is>
      </c>
    </row>
    <row r="57" ht="15" customHeight="1" s="37">
      <c r="A57" s="42" t="inlineStr">
        <is>
          <t>FR-018</t>
        </is>
      </c>
      <c r="B57" s="42" t="inlineStr">
        <is>
          <t>Al Haramain Amber Oud Tobacco Edition Eau de Parfum 60ml – Luxury Unisex Spicy Tobacco Fragrance</t>
        </is>
      </c>
      <c r="C57" s="54">
        <f>INDEX(Products!$V$2:$V$600,MATCH(A57,Products!$A$2:$A$600,0))</f>
        <v/>
      </c>
      <c r="D57" s="55">
        <f>IFERROR(INDEX('Semrush Data'!$C$2:$C$5000,MATCH(C57,'Semrush Data'!$A$2:$A$5000,0)),"")</f>
        <v/>
      </c>
      <c r="E57" s="42">
        <f>IFERROR(INDEX('Semrush Data'!$D$2:$D$5000,MATCH(C57,'Semrush Data'!$A$2:$A$5000,0)),"")</f>
        <v/>
      </c>
      <c r="F57" s="56">
        <f>IFERROR(INDEX('Semrush Data'!$E$2:$E$5000,MATCH(C57,'Semrush Data'!$A$2:$A$5000,0)),"")</f>
        <v/>
      </c>
      <c r="G57" s="42">
        <f>IF(E57="","",IF(E57&lt;=20,"Easier",IF(E57&lt;=35,"Medium","Hard")))</f>
        <v/>
      </c>
      <c r="H57" s="42" t="inlineStr">
        <is>
          <t>H1 + meta title + first sentence; long-form description (premium rewrite)</t>
        </is>
      </c>
    </row>
    <row r="58" ht="15" customHeight="1" s="37">
      <c r="A58" s="42" t="inlineStr">
        <is>
          <t>FR-110</t>
        </is>
      </c>
      <c r="B58" s="42" t="inlineStr">
        <is>
          <t>Davidoff Champion Eau de Toilette 90ml – Men's Fresh Woody Aromatic Fragrance</t>
        </is>
      </c>
      <c r="C58" s="54">
        <f>INDEX(Products!$V$2:$V$600,MATCH(A58,Products!$A$2:$A$600,0))</f>
        <v/>
      </c>
      <c r="D58" s="55">
        <f>IFERROR(INDEX('Semrush Data'!$C$2:$C$5000,MATCH(C58,'Semrush Data'!$A$2:$A$5000,0)),"")</f>
        <v/>
      </c>
      <c r="E58" s="42">
        <f>IFERROR(INDEX('Semrush Data'!$D$2:$D$5000,MATCH(C58,'Semrush Data'!$A$2:$A$5000,0)),"")</f>
        <v/>
      </c>
      <c r="F58" s="56">
        <f>IFERROR(INDEX('Semrush Data'!$E$2:$E$5000,MATCH(C58,'Semrush Data'!$A$2:$A$5000,0)),"")</f>
        <v/>
      </c>
      <c r="G58" s="42">
        <f>IF(E58="","",IF(E58&lt;=20,"Easier",IF(E58&lt;=35,"Medium","Hard")))</f>
        <v/>
      </c>
      <c r="H58" s="42" t="inlineStr">
        <is>
          <t>H1 + meta title + first sentence; long-form description (premium rewrite)</t>
        </is>
      </c>
    </row>
    <row r="59" ht="15" customHeight="1" s="37">
      <c r="A59" s="42" t="inlineStr">
        <is>
          <t>FR-146</t>
        </is>
      </c>
      <c r="B59" s="42" t="inlineStr">
        <is>
          <t>Elie Saab Elixir Eau de Parfum 50ml – Women's Floral Amber Fragrance</t>
        </is>
      </c>
      <c r="C59" s="54">
        <f>INDEX(Products!$V$2:$V$600,MATCH(A59,Products!$A$2:$A$600,0))</f>
        <v/>
      </c>
      <c r="D59" s="55">
        <f>IFERROR(INDEX('Semrush Data'!$C$2:$C$5000,MATCH(C59,'Semrush Data'!$A$2:$A$5000,0)),"")</f>
        <v/>
      </c>
      <c r="E59" s="42">
        <f>IFERROR(INDEX('Semrush Data'!$D$2:$D$5000,MATCH(C59,'Semrush Data'!$A$2:$A$5000,0)),"")</f>
        <v/>
      </c>
      <c r="F59" s="56">
        <f>IFERROR(INDEX('Semrush Data'!$E$2:$E$5000,MATCH(C59,'Semrush Data'!$A$2:$A$5000,0)),"")</f>
        <v/>
      </c>
      <c r="G59" s="42">
        <f>IF(E59="","",IF(E59&lt;=20,"Easier",IF(E59&lt;=35,"Medium","Hard")))</f>
        <v/>
      </c>
      <c r="H59" s="42" t="inlineStr">
        <is>
          <t>H1 + meta title + first sentence; long-form description (premium rewrite)</t>
        </is>
      </c>
    </row>
    <row r="60" ht="15" customHeight="1" s="37">
      <c r="A60" s="42" t="inlineStr">
        <is>
          <t>FR-229</t>
        </is>
      </c>
      <c r="B60" s="42" t="inlineStr">
        <is>
          <t>Guerlain Habit Rouge Eau de Parfum 100ml – Luxury Men's Amber Woody Fragrance</t>
        </is>
      </c>
      <c r="C60" s="54">
        <f>INDEX(Products!$V$2:$V$600,MATCH(A60,Products!$A$2:$A$600,0))</f>
        <v/>
      </c>
      <c r="D60" s="55">
        <f>IFERROR(INDEX('Semrush Data'!$C$2:$C$5000,MATCH(C60,'Semrush Data'!$A$2:$A$5000,0)),"")</f>
        <v/>
      </c>
      <c r="E60" s="42">
        <f>IFERROR(INDEX('Semrush Data'!$D$2:$D$5000,MATCH(C60,'Semrush Data'!$A$2:$A$5000,0)),"")</f>
        <v/>
      </c>
      <c r="F60" s="56">
        <f>IFERROR(INDEX('Semrush Data'!$E$2:$E$5000,MATCH(C60,'Semrush Data'!$A$2:$A$5000,0)),"")</f>
        <v/>
      </c>
      <c r="G60" s="42">
        <f>IF(E60="","",IF(E60&lt;=20,"Easier",IF(E60&lt;=35,"Medium","Hard")))</f>
        <v/>
      </c>
      <c r="H60" s="42" t="inlineStr">
        <is>
          <t>H1 + meta title + first sentence; long-form description (premium rewrite)</t>
        </is>
      </c>
    </row>
    <row r="61" ht="15" customHeight="1" s="37">
      <c r="A61" s="42" t="inlineStr">
        <is>
          <t>FR-233</t>
        </is>
      </c>
      <c r="B61" s="42" t="inlineStr">
        <is>
          <t>Guerlain Samsara Eau de Parfum 75ml – Luxury Women's Floral Woody Longlasting Fragrance</t>
        </is>
      </c>
      <c r="C61" s="54">
        <f>INDEX(Products!$V$2:$V$600,MATCH(A61,Products!$A$2:$A$600,0))</f>
        <v/>
      </c>
      <c r="D61" s="55">
        <f>IFERROR(INDEX('Semrush Data'!$C$2:$C$5000,MATCH(C61,'Semrush Data'!$A$2:$A$5000,0)),"")</f>
        <v/>
      </c>
      <c r="E61" s="42">
        <f>IFERROR(INDEX('Semrush Data'!$D$2:$D$5000,MATCH(C61,'Semrush Data'!$A$2:$A$5000,0)),"")</f>
        <v/>
      </c>
      <c r="F61" s="56">
        <f>IFERROR(INDEX('Semrush Data'!$E$2:$E$5000,MATCH(C61,'Semrush Data'!$A$2:$A$5000,0)),"")</f>
        <v/>
      </c>
      <c r="G61" s="42">
        <f>IF(E61="","",IF(E61&lt;=20,"Easier",IF(E61&lt;=35,"Medium","Hard")))</f>
        <v/>
      </c>
      <c r="H61" s="42" t="inlineStr">
        <is>
          <t>H1 + meta title + first sentence; long-form description (premium rewrite)</t>
        </is>
      </c>
    </row>
    <row r="62" ht="15" customHeight="1" s="37">
      <c r="A62" s="42" t="inlineStr">
        <is>
          <t>FR-158</t>
        </is>
      </c>
      <c r="B62" s="42" t="inlineStr">
        <is>
          <t>Escada Magnetism Eau de Parfum 25ml – Women's Fruity Floral Fragrance</t>
        </is>
      </c>
      <c r="C62" s="54">
        <f>INDEX(Products!$V$2:$V$600,MATCH(A62,Products!$A$2:$A$600,0))</f>
        <v/>
      </c>
      <c r="D62" s="55">
        <f>IFERROR(INDEX('Semrush Data'!$C$2:$C$5000,MATCH(C62,'Semrush Data'!$A$2:$A$5000,0)),"")</f>
        <v/>
      </c>
      <c r="E62" s="42">
        <f>IFERROR(INDEX('Semrush Data'!$D$2:$D$5000,MATCH(C62,'Semrush Data'!$A$2:$A$5000,0)),"")</f>
        <v/>
      </c>
      <c r="F62" s="56">
        <f>IFERROR(INDEX('Semrush Data'!$E$2:$E$5000,MATCH(C62,'Semrush Data'!$A$2:$A$5000,0)),"")</f>
        <v/>
      </c>
      <c r="G62" s="42">
        <f>IF(E62="","",IF(E62&lt;=20,"Easier",IF(E62&lt;=35,"Medium","Hard")))</f>
        <v/>
      </c>
      <c r="H62" s="42" t="inlineStr">
        <is>
          <t>H1 + meta title + first sentence; long-form description (premium rewrite)</t>
        </is>
      </c>
    </row>
    <row r="63" ht="15" customHeight="1" s="37">
      <c r="A63" s="42" t="inlineStr">
        <is>
          <t>FR-093</t>
        </is>
      </c>
      <c r="B63" s="42" t="inlineStr">
        <is>
          <t>Carolina Herrera 212 VIP Men Eau de Toilette 100ml – Men's Aromatic Woody Fragrance</t>
        </is>
      </c>
      <c r="C63" s="54">
        <f>INDEX(Products!$V$2:$V$600,MATCH(A63,Products!$A$2:$A$600,0))</f>
        <v/>
      </c>
      <c r="D63" s="55">
        <f>IFERROR(INDEX('Semrush Data'!$C$2:$C$5000,MATCH(C63,'Semrush Data'!$A$2:$A$5000,0)),"")</f>
        <v/>
      </c>
      <c r="E63" s="42">
        <f>IFERROR(INDEX('Semrush Data'!$D$2:$D$5000,MATCH(C63,'Semrush Data'!$A$2:$A$5000,0)),"")</f>
        <v/>
      </c>
      <c r="F63" s="56">
        <f>IFERROR(INDEX('Semrush Data'!$E$2:$E$5000,MATCH(C63,'Semrush Data'!$A$2:$A$5000,0)),"")</f>
        <v/>
      </c>
      <c r="G63" s="42">
        <f>IF(E63="","",IF(E63&lt;=20,"Easier",IF(E63&lt;=35,"Medium","Hard")))</f>
        <v/>
      </c>
      <c r="H63" s="42" t="inlineStr">
        <is>
          <t>H1 + meta title + first sentence; long-form description (premium rewrite)</t>
        </is>
      </c>
    </row>
    <row r="64" ht="15" customHeight="1" s="37">
      <c r="A64" s="42" t="inlineStr">
        <is>
          <t>FR-117</t>
        </is>
      </c>
      <c r="B64" s="42" t="inlineStr">
        <is>
          <t>DKNY Be Tempted Eau de Parfum 100ml – Women's Fruity Floral Gourmand Fragrance</t>
        </is>
      </c>
      <c r="C64" s="54">
        <f>INDEX(Products!$V$2:$V$600,MATCH(A64,Products!$A$2:$A$600,0))</f>
        <v/>
      </c>
      <c r="D64" s="55">
        <f>IFERROR(INDEX('Semrush Data'!$C$2:$C$5000,MATCH(C64,'Semrush Data'!$A$2:$A$5000,0)),"")</f>
        <v/>
      </c>
      <c r="E64" s="42">
        <f>IFERROR(INDEX('Semrush Data'!$D$2:$D$5000,MATCH(C64,'Semrush Data'!$A$2:$A$5000,0)),"")</f>
        <v/>
      </c>
      <c r="F64" s="56">
        <f>IFERROR(INDEX('Semrush Data'!$E$2:$E$5000,MATCH(C64,'Semrush Data'!$A$2:$A$5000,0)),"")</f>
        <v/>
      </c>
      <c r="G64" s="42">
        <f>IF(E64="","",IF(E64&lt;=20,"Easier",IF(E64&lt;=35,"Medium","Hard")))</f>
        <v/>
      </c>
      <c r="H64" s="42" t="inlineStr">
        <is>
          <t>H1 + meta title + first sentence; long-form description (premium rewrite)</t>
        </is>
      </c>
    </row>
    <row r="65" ht="15" customHeight="1" s="37">
      <c r="A65" s="42" t="inlineStr">
        <is>
          <t>FR-007</t>
        </is>
      </c>
      <c r="B65" s="42" t="inlineStr">
        <is>
          <t>Acqua di Parma Sakura EDP 20ml Unisex Perfume</t>
        </is>
      </c>
      <c r="C65" s="54">
        <f>INDEX(Products!$V$2:$V$600,MATCH(A65,Products!$A$2:$A$600,0))</f>
        <v/>
      </c>
      <c r="D65" s="55">
        <f>IFERROR(INDEX('Semrush Data'!$C$2:$C$5000,MATCH(C65,'Semrush Data'!$A$2:$A$5000,0)),"")</f>
        <v/>
      </c>
      <c r="E65" s="42">
        <f>IFERROR(INDEX('Semrush Data'!$D$2:$D$5000,MATCH(C65,'Semrush Data'!$A$2:$A$5000,0)),"")</f>
        <v/>
      </c>
      <c r="F65" s="56">
        <f>IFERROR(INDEX('Semrush Data'!$E$2:$E$5000,MATCH(C65,'Semrush Data'!$A$2:$A$5000,0)),"")</f>
        <v/>
      </c>
      <c r="G65" s="42">
        <f>IF(E65="","",IF(E65&lt;=20,"Easier",IF(E65&lt;=35,"Medium","Hard")))</f>
        <v/>
      </c>
      <c r="H65" s="42" t="inlineStr">
        <is>
          <t>H1 + meta title + first sentence; long-form description (premium rewrite)</t>
        </is>
      </c>
    </row>
    <row r="66" ht="15" customHeight="1" s="37">
      <c r="A66" s="42" t="inlineStr">
        <is>
          <t>FR-088</t>
        </is>
      </c>
      <c r="B66" s="42" t="inlineStr">
        <is>
          <t>Carolina Herrera Bad Boy Extreme Eau de Parfum – Men's Warm Spicy Amber Fragrance</t>
        </is>
      </c>
      <c r="C66" s="54">
        <f>INDEX(Products!$V$2:$V$600,MATCH(A66,Products!$A$2:$A$600,0))</f>
        <v/>
      </c>
      <c r="D66" s="55">
        <f>IFERROR(INDEX('Semrush Data'!$C$2:$C$5000,MATCH(C66,'Semrush Data'!$A$2:$A$5000,0)),"")</f>
        <v/>
      </c>
      <c r="E66" s="42">
        <f>IFERROR(INDEX('Semrush Data'!$D$2:$D$5000,MATCH(C66,'Semrush Data'!$A$2:$A$5000,0)),"")</f>
        <v/>
      </c>
      <c r="F66" s="56">
        <f>IFERROR(INDEX('Semrush Data'!$E$2:$E$5000,MATCH(C66,'Semrush Data'!$A$2:$A$5000,0)),"")</f>
        <v/>
      </c>
      <c r="G66" s="42">
        <f>IF(E66="","",IF(E66&lt;=20,"Easier",IF(E66&lt;=35,"Medium","Hard")))</f>
        <v/>
      </c>
      <c r="H66" s="42" t="inlineStr">
        <is>
          <t>H1 + meta title + first sentence; long-form description (premium rewrite)</t>
        </is>
      </c>
    </row>
    <row r="67" ht="15" customHeight="1" s="37">
      <c r="A67" s="42" t="inlineStr">
        <is>
          <t>FR-043</t>
        </is>
      </c>
      <c r="B67" s="42" t="inlineStr">
        <is>
          <t>Anna Sui Sky Eau de Toilette 30ml – Women's Fruity Floral Gourmand Fragrance</t>
        </is>
      </c>
      <c r="C67" s="54">
        <f>INDEX(Products!$V$2:$V$600,MATCH(A67,Products!$A$2:$A$600,0))</f>
        <v/>
      </c>
      <c r="D67" s="55">
        <f>IFERROR(INDEX('Semrush Data'!$C$2:$C$5000,MATCH(C67,'Semrush Data'!$A$2:$A$5000,0)),"")</f>
        <v/>
      </c>
      <c r="E67" s="42">
        <f>IFERROR(INDEX('Semrush Data'!$D$2:$D$5000,MATCH(C67,'Semrush Data'!$A$2:$A$5000,0)),"")</f>
        <v/>
      </c>
      <c r="F67" s="56">
        <f>IFERROR(INDEX('Semrush Data'!$E$2:$E$5000,MATCH(C67,'Semrush Data'!$A$2:$A$5000,0)),"")</f>
        <v/>
      </c>
      <c r="G67" s="42">
        <f>IF(E67="","",IF(E67&lt;=20,"Easier",IF(E67&lt;=35,"Medium","Hard")))</f>
        <v/>
      </c>
      <c r="H67" s="42" t="inlineStr">
        <is>
          <t>H1 + meta title + first sentence; long-form description (premium rewrite)</t>
        </is>
      </c>
    </row>
    <row r="68" ht="15" customHeight="1" s="37">
      <c r="A68" s="42" t="inlineStr">
        <is>
          <t>FR-006</t>
        </is>
      </c>
      <c r="B68" s="42" t="inlineStr">
        <is>
          <t>Acqua di Parma Rosa Nobile EDP 20ml for Women</t>
        </is>
      </c>
      <c r="C68" s="54">
        <f>INDEX(Products!$V$2:$V$600,MATCH(A68,Products!$A$2:$A$600,0))</f>
        <v/>
      </c>
      <c r="D68" s="55">
        <f>IFERROR(INDEX('Semrush Data'!$C$2:$C$5000,MATCH(C68,'Semrush Data'!$A$2:$A$5000,0)),"")</f>
        <v/>
      </c>
      <c r="E68" s="42">
        <f>IFERROR(INDEX('Semrush Data'!$D$2:$D$5000,MATCH(C68,'Semrush Data'!$A$2:$A$5000,0)),"")</f>
        <v/>
      </c>
      <c r="F68" s="56">
        <f>IFERROR(INDEX('Semrush Data'!$E$2:$E$5000,MATCH(C68,'Semrush Data'!$A$2:$A$5000,0)),"")</f>
        <v/>
      </c>
      <c r="G68" s="42">
        <f>IF(E68="","",IF(E68&lt;=20,"Easier",IF(E68&lt;=35,"Medium","Hard")))</f>
        <v/>
      </c>
      <c r="H68" s="42" t="inlineStr">
        <is>
          <t>H1 + meta title + first sentence; long-form description (premium rewrite)</t>
        </is>
      </c>
    </row>
    <row r="69" ht="15" customHeight="1" s="37">
      <c r="A69" s="42" t="inlineStr">
        <is>
          <t>FR-287</t>
        </is>
      </c>
      <c r="B69" s="42" t="inlineStr">
        <is>
          <t>Lancôme Idôle Nectar Eau de Parfum 25ml – Women's Floral Gourmand Fragrance</t>
        </is>
      </c>
      <c r="C69" s="54">
        <f>INDEX(Products!$V$2:$V$600,MATCH(A69,Products!$A$2:$A$600,0))</f>
        <v/>
      </c>
      <c r="D69" s="55">
        <f>IFERROR(INDEX('Semrush Data'!$C$2:$C$5000,MATCH(C69,'Semrush Data'!$A$2:$A$5000,0)),"")</f>
        <v/>
      </c>
      <c r="E69" s="42">
        <f>IFERROR(INDEX('Semrush Data'!$D$2:$D$5000,MATCH(C69,'Semrush Data'!$A$2:$A$5000,0)),"")</f>
        <v/>
      </c>
      <c r="F69" s="56">
        <f>IFERROR(INDEX('Semrush Data'!$E$2:$E$5000,MATCH(C69,'Semrush Data'!$A$2:$A$5000,0)),"")</f>
        <v/>
      </c>
      <c r="G69" s="42">
        <f>IF(E69="","",IF(E69&lt;=20,"Easier",IF(E69&lt;=35,"Medium","Hard")))</f>
        <v/>
      </c>
      <c r="H69" s="42" t="inlineStr">
        <is>
          <t>H1 + meta title + first sentence; long-form description (premium rewrite)</t>
        </is>
      </c>
    </row>
    <row r="70" ht="15" customHeight="1" s="37">
      <c r="A70" s="42" t="inlineStr">
        <is>
          <t>FR-070</t>
        </is>
      </c>
      <c r="B70" s="42" t="inlineStr">
        <is>
          <t>Bvlgari Omnia Amethyste Eau de Toilette 25ml – Women's Floral Fragrance</t>
        </is>
      </c>
      <c r="C70" s="54">
        <f>INDEX(Products!$V$2:$V$600,MATCH(A70,Products!$A$2:$A$600,0))</f>
        <v/>
      </c>
      <c r="D70" s="55">
        <f>IFERROR(INDEX('Semrush Data'!$C$2:$C$5000,MATCH(C70,'Semrush Data'!$A$2:$A$5000,0)),"")</f>
        <v/>
      </c>
      <c r="E70" s="42">
        <f>IFERROR(INDEX('Semrush Data'!$D$2:$D$5000,MATCH(C70,'Semrush Data'!$A$2:$A$5000,0)),"")</f>
        <v/>
      </c>
      <c r="F70" s="56">
        <f>IFERROR(INDEX('Semrush Data'!$E$2:$E$5000,MATCH(C70,'Semrush Data'!$A$2:$A$5000,0)),"")</f>
        <v/>
      </c>
      <c r="G70" s="42">
        <f>IF(E70="","",IF(E70&lt;=20,"Easier",IF(E70&lt;=35,"Medium","Hard")))</f>
        <v/>
      </c>
      <c r="H70" s="42" t="inlineStr">
        <is>
          <t>H1 + meta title + first sentence; long-form description (premium rewrite)</t>
        </is>
      </c>
    </row>
    <row r="71" ht="15" customHeight="1" s="37">
      <c r="A71" s="42" t="inlineStr">
        <is>
          <t>FR-094</t>
        </is>
      </c>
      <c r="B71" s="42" t="inlineStr">
        <is>
          <t>Carolina Herrera Very Good Girl Glam Parfum 50ml – Women's Floral Fruity Gourmand Fragrance</t>
        </is>
      </c>
      <c r="C71" s="54">
        <f>INDEX(Products!$V$2:$V$600,MATCH(A71,Products!$A$2:$A$600,0))</f>
        <v/>
      </c>
      <c r="D71" s="55">
        <f>IFERROR(INDEX('Semrush Data'!$C$2:$C$5000,MATCH(C71,'Semrush Data'!$A$2:$A$5000,0)),"")</f>
        <v/>
      </c>
      <c r="E71" s="42">
        <f>IFERROR(INDEX('Semrush Data'!$D$2:$D$5000,MATCH(C71,'Semrush Data'!$A$2:$A$5000,0)),"")</f>
        <v/>
      </c>
      <c r="F71" s="56">
        <f>IFERROR(INDEX('Semrush Data'!$E$2:$E$5000,MATCH(C71,'Semrush Data'!$A$2:$A$5000,0)),"")</f>
        <v/>
      </c>
      <c r="G71" s="42">
        <f>IF(E71="","",IF(E71&lt;=20,"Easier",IF(E71&lt;=35,"Medium","Hard")))</f>
        <v/>
      </c>
      <c r="H71" s="42" t="inlineStr">
        <is>
          <t>H1 + meta title + first sentence; long-form description (premium rewrite)</t>
        </is>
      </c>
    </row>
    <row r="73" ht="15.75" customHeight="1" s="37">
      <c r="A73" s="50" t="inlineStr">
        <is>
          <t>Non-branded skincare &amp; haircare opportunities</t>
        </is>
      </c>
    </row>
    <row r="74" ht="15" customHeight="1" s="37">
      <c r="A74" s="51" t="inlineStr">
        <is>
          <t>Category and concern searches: the main organic opportunity for Vilvah &amp; Deyga.</t>
        </is>
      </c>
    </row>
    <row r="75" ht="15" customHeight="1" s="37">
      <c r="A75" s="53" t="n"/>
      <c r="B75" s="53" t="inlineStr">
        <is>
          <t>Keyword</t>
        </is>
      </c>
      <c r="C75" s="53" t="inlineStr">
        <is>
          <t>Type</t>
        </is>
      </c>
      <c r="D75" s="53" t="inlineStr">
        <is>
          <t>Volume</t>
        </is>
      </c>
      <c r="E75" s="53" t="inlineStr">
        <is>
          <t>KD</t>
        </is>
      </c>
      <c r="F75" s="53" t="inlineStr">
        <is>
          <t>CPC ($)</t>
        </is>
      </c>
      <c r="G75" s="53" t="inlineStr">
        <is>
          <t>Ease</t>
        </is>
      </c>
      <c r="H75" s="53" t="inlineStr">
        <is>
          <t>Where to use</t>
        </is>
      </c>
    </row>
    <row r="76" ht="15" customHeight="1" s="37">
      <c r="B76" s="42" t="inlineStr">
        <is>
          <t>moisturiser for dry skin</t>
        </is>
      </c>
      <c r="C76" s="42" t="inlineStr">
        <is>
          <t>Category / concern</t>
        </is>
      </c>
      <c r="D76" s="55">
        <f>IFERROR(INDEX('Semrush Data'!$C$2:$C$5000,MATCH(B76,'Semrush Data'!$A$2:$A$5000,0)),"")</f>
        <v/>
      </c>
      <c r="E76" s="42">
        <f>IFERROR(INDEX('Semrush Data'!$D$2:$D$5000,MATCH(B76,'Semrush Data'!$A$2:$A$5000,0)),"")</f>
        <v/>
      </c>
      <c r="F76" s="56">
        <f>IFERROR(INDEX('Semrush Data'!$E$2:$E$5000,MATCH(B76,'Semrush Data'!$A$2:$A$5000,0)),"")</f>
        <v/>
      </c>
      <c r="G76" s="42">
        <f>IF(E76="","",IF(E76&lt;=20,"Easier",IF(E76&lt;=35,"Medium","Hard")))</f>
        <v/>
      </c>
      <c r="H76" s="42" t="inlineStr">
        <is>
          <t>Concern collection page (H1 + intro + FAQ); product copy &amp; meta description</t>
        </is>
      </c>
    </row>
    <row r="77" ht="15" customHeight="1" s="37">
      <c r="B77" s="42" t="inlineStr">
        <is>
          <t>hair mask for dry hair</t>
        </is>
      </c>
      <c r="C77" s="42" t="inlineStr">
        <is>
          <t>Category / concern</t>
        </is>
      </c>
      <c r="D77" s="55">
        <f>IFERROR(INDEX('Semrush Data'!$C$2:$C$5000,MATCH(B77,'Semrush Data'!$A$2:$A$5000,0)),"")</f>
        <v/>
      </c>
      <c r="E77" s="42">
        <f>IFERROR(INDEX('Semrush Data'!$D$2:$D$5000,MATCH(B77,'Semrush Data'!$A$2:$A$5000,0)),"")</f>
        <v/>
      </c>
      <c r="F77" s="56">
        <f>IFERROR(INDEX('Semrush Data'!$E$2:$E$5000,MATCH(B77,'Semrush Data'!$A$2:$A$5000,0)),"")</f>
        <v/>
      </c>
      <c r="G77" s="42">
        <f>IF(E77="","",IF(E77&lt;=20,"Easier",IF(E77&lt;=35,"Medium","Hard")))</f>
        <v/>
      </c>
      <c r="H77" s="42" t="inlineStr">
        <is>
          <t>Concern collection page (H1 + intro + FAQ); product copy &amp; meta description</t>
        </is>
      </c>
    </row>
    <row r="78" ht="15" customHeight="1" s="37">
      <c r="B78" s="42" t="inlineStr">
        <is>
          <t>hair oil for dry hair</t>
        </is>
      </c>
      <c r="C78" s="42" t="inlineStr">
        <is>
          <t>Category / concern</t>
        </is>
      </c>
      <c r="D78" s="55">
        <f>IFERROR(INDEX('Semrush Data'!$C$2:$C$5000,MATCH(B78,'Semrush Data'!$A$2:$A$5000,0)),"")</f>
        <v/>
      </c>
      <c r="E78" s="42">
        <f>IFERROR(INDEX('Semrush Data'!$D$2:$D$5000,MATCH(B78,'Semrush Data'!$A$2:$A$5000,0)),"")</f>
        <v/>
      </c>
      <c r="F78" s="56">
        <f>IFERROR(INDEX('Semrush Data'!$E$2:$E$5000,MATCH(B78,'Semrush Data'!$A$2:$A$5000,0)),"")</f>
        <v/>
      </c>
      <c r="G78" s="42">
        <f>IF(E78="","",IF(E78&lt;=20,"Easier",IF(E78&lt;=35,"Medium","Hard")))</f>
        <v/>
      </c>
      <c r="H78" s="42" t="inlineStr">
        <is>
          <t>Concern collection page (H1 + intro + FAQ); product copy &amp; meta description</t>
        </is>
      </c>
    </row>
    <row r="79" ht="15" customHeight="1" s="37">
      <c r="B79" s="42" t="inlineStr">
        <is>
          <t>face wash for dry skin</t>
        </is>
      </c>
      <c r="C79" s="42" t="inlineStr">
        <is>
          <t>Category / concern</t>
        </is>
      </c>
      <c r="D79" s="55">
        <f>IFERROR(INDEX('Semrush Data'!$C$2:$C$5000,MATCH(B79,'Semrush Data'!$A$2:$A$5000,0)),"")</f>
        <v/>
      </c>
      <c r="E79" s="42">
        <f>IFERROR(INDEX('Semrush Data'!$D$2:$D$5000,MATCH(B79,'Semrush Data'!$A$2:$A$5000,0)),"")</f>
        <v/>
      </c>
      <c r="F79" s="56">
        <f>IFERROR(INDEX('Semrush Data'!$E$2:$E$5000,MATCH(B79,'Semrush Data'!$A$2:$A$5000,0)),"")</f>
        <v/>
      </c>
      <c r="G79" s="42">
        <f>IF(E79="","",IF(E79&lt;=20,"Easier",IF(E79&lt;=35,"Medium","Hard")))</f>
        <v/>
      </c>
      <c r="H79" s="42" t="inlineStr">
        <is>
          <t>Concern collection page (H1 + intro + FAQ); product copy &amp; meta description</t>
        </is>
      </c>
    </row>
    <row r="80" ht="15" customHeight="1" s="37">
      <c r="B80" s="42" t="inlineStr">
        <is>
          <t>face wash for oily skin</t>
        </is>
      </c>
      <c r="C80" s="42" t="inlineStr">
        <is>
          <t>Category / concern</t>
        </is>
      </c>
      <c r="D80" s="55">
        <f>IFERROR(INDEX('Semrush Data'!$C$2:$C$5000,MATCH(B80,'Semrush Data'!$A$2:$A$5000,0)),"")</f>
        <v/>
      </c>
      <c r="E80" s="42">
        <f>IFERROR(INDEX('Semrush Data'!$D$2:$D$5000,MATCH(B80,'Semrush Data'!$A$2:$A$5000,0)),"")</f>
        <v/>
      </c>
      <c r="F80" s="56">
        <f>IFERROR(INDEX('Semrush Data'!$E$2:$E$5000,MATCH(B80,'Semrush Data'!$A$2:$A$5000,0)),"")</f>
        <v/>
      </c>
      <c r="G80" s="42">
        <f>IF(E80="","",IF(E80&lt;=20,"Easier",IF(E80&lt;=35,"Medium","Hard")))</f>
        <v/>
      </c>
      <c r="H80" s="42" t="inlineStr">
        <is>
          <t>Concern collection page (H1 + intro + FAQ); product copy &amp; meta description</t>
        </is>
      </c>
    </row>
    <row r="81" ht="15" customHeight="1" s="37">
      <c r="B81" s="42" t="inlineStr">
        <is>
          <t>shampoo for dandruff</t>
        </is>
      </c>
      <c r="C81" s="42" t="inlineStr">
        <is>
          <t>Category / concern</t>
        </is>
      </c>
      <c r="D81" s="55">
        <f>IFERROR(INDEX('Semrush Data'!$C$2:$C$5000,MATCH(B81,'Semrush Data'!$A$2:$A$5000,0)),"")</f>
        <v/>
      </c>
      <c r="E81" s="42">
        <f>IFERROR(INDEX('Semrush Data'!$D$2:$D$5000,MATCH(B81,'Semrush Data'!$A$2:$A$5000,0)),"")</f>
        <v/>
      </c>
      <c r="F81" s="56">
        <f>IFERROR(INDEX('Semrush Data'!$E$2:$E$5000,MATCH(B81,'Semrush Data'!$A$2:$A$5000,0)),"")</f>
        <v/>
      </c>
      <c r="G81" s="42">
        <f>IF(E81="","",IF(E81&lt;=20,"Easier",IF(E81&lt;=35,"Medium","Hard")))</f>
        <v/>
      </c>
      <c r="H81" s="42" t="inlineStr">
        <is>
          <t>Concern collection page (H1 + intro + FAQ); product copy &amp; meta description</t>
        </is>
      </c>
    </row>
    <row r="82" ht="15" customHeight="1" s="37">
      <c r="B82" s="42" t="inlineStr">
        <is>
          <t>body lotion for dry skin</t>
        </is>
      </c>
      <c r="C82" s="42" t="inlineStr">
        <is>
          <t>Category / concern</t>
        </is>
      </c>
      <c r="D82" s="55">
        <f>IFERROR(INDEX('Semrush Data'!$C$2:$C$5000,MATCH(B82,'Semrush Data'!$A$2:$A$5000,0)),"")</f>
        <v/>
      </c>
      <c r="E82" s="42">
        <f>IFERROR(INDEX('Semrush Data'!$D$2:$D$5000,MATCH(B82,'Semrush Data'!$A$2:$A$5000,0)),"")</f>
        <v/>
      </c>
      <c r="F82" s="56">
        <f>IFERROR(INDEX('Semrush Data'!$E$2:$E$5000,MATCH(B82,'Semrush Data'!$A$2:$A$5000,0)),"")</f>
        <v/>
      </c>
      <c r="G82" s="42">
        <f>IF(E82="","",IF(E82&lt;=20,"Easier",IF(E82&lt;=35,"Medium","Hard")))</f>
        <v/>
      </c>
      <c r="H82" s="42" t="inlineStr">
        <is>
          <t>Concern collection page (H1 + intro + FAQ); product copy &amp; meta description</t>
        </is>
      </c>
    </row>
    <row r="83" ht="15" customHeight="1" s="37">
      <c r="B83" s="42" t="inlineStr">
        <is>
          <t>hair serum for frizzy hair</t>
        </is>
      </c>
      <c r="C83" s="42" t="inlineStr">
        <is>
          <t>Category / concern</t>
        </is>
      </c>
      <c r="D83" s="55">
        <f>IFERROR(INDEX('Semrush Data'!$C$2:$C$5000,MATCH(B83,'Semrush Data'!$A$2:$A$5000,0)),"")</f>
        <v/>
      </c>
      <c r="E83" s="42">
        <f>IFERROR(INDEX('Semrush Data'!$D$2:$D$5000,MATCH(B83,'Semrush Data'!$A$2:$A$5000,0)),"")</f>
        <v/>
      </c>
      <c r="F83" s="56">
        <f>IFERROR(INDEX('Semrush Data'!$E$2:$E$5000,MATCH(B83,'Semrush Data'!$A$2:$A$5000,0)),"")</f>
        <v/>
      </c>
      <c r="G83" s="42">
        <f>IF(E83="","",IF(E83&lt;=20,"Easier",IF(E83&lt;=35,"Medium","Hard")))</f>
        <v/>
      </c>
      <c r="H83" s="42" t="inlineStr">
        <is>
          <t>Concern collection page (H1 + intro + FAQ); product copy &amp; meta description</t>
        </is>
      </c>
    </row>
    <row r="84" ht="15" customHeight="1" s="37">
      <c r="B84" s="42" t="inlineStr">
        <is>
          <t>lip balm for dry lips</t>
        </is>
      </c>
      <c r="C84" s="42" t="inlineStr">
        <is>
          <t>Category / concern</t>
        </is>
      </c>
      <c r="D84" s="55">
        <f>IFERROR(INDEX('Semrush Data'!$C$2:$C$5000,MATCH(B84,'Semrush Data'!$A$2:$A$5000,0)),"")</f>
        <v/>
      </c>
      <c r="E84" s="42">
        <f>IFERROR(INDEX('Semrush Data'!$D$2:$D$5000,MATCH(B84,'Semrush Data'!$A$2:$A$5000,0)),"")</f>
        <v/>
      </c>
      <c r="F84" s="56">
        <f>IFERROR(INDEX('Semrush Data'!$E$2:$E$5000,MATCH(B84,'Semrush Data'!$A$2:$A$5000,0)),"")</f>
        <v/>
      </c>
      <c r="G84" s="42">
        <f>IF(E84="","",IF(E84&lt;=20,"Easier",IF(E84&lt;=35,"Medium","Hard")))</f>
        <v/>
      </c>
      <c r="H84" s="42" t="inlineStr">
        <is>
          <t>Concern collection page (H1 + intro + FAQ); product copy &amp; meta description</t>
        </is>
      </c>
    </row>
    <row r="85" ht="15" customHeight="1" s="37">
      <c r="B85" s="42" t="inlineStr">
        <is>
          <t>hair treatment for dry hair</t>
        </is>
      </c>
      <c r="C85" s="42" t="inlineStr">
        <is>
          <t>Category / concern</t>
        </is>
      </c>
      <c r="D85" s="55">
        <f>IFERROR(INDEX('Semrush Data'!$C$2:$C$5000,MATCH(B85,'Semrush Data'!$A$2:$A$5000,0)),"")</f>
        <v/>
      </c>
      <c r="E85" s="42">
        <f>IFERROR(INDEX('Semrush Data'!$D$2:$D$5000,MATCH(B85,'Semrush Data'!$A$2:$A$5000,0)),"")</f>
        <v/>
      </c>
      <c r="F85" s="56">
        <f>IFERROR(INDEX('Semrush Data'!$E$2:$E$5000,MATCH(B85,'Semrush Data'!$A$2:$A$5000,0)),"")</f>
        <v/>
      </c>
      <c r="G85" s="42">
        <f>IF(E85="","",IF(E85&lt;=20,"Easier",IF(E85&lt;=35,"Medium","Hard")))</f>
        <v/>
      </c>
      <c r="H85" s="42" t="inlineStr">
        <is>
          <t>Concern collection page (H1 + intro + FAQ); product copy &amp; meta description</t>
        </is>
      </c>
    </row>
    <row r="86" ht="15" customHeight="1" s="37">
      <c r="B86" s="42" t="inlineStr">
        <is>
          <t>natural sunscreen uk</t>
        </is>
      </c>
      <c r="C86" s="42" t="inlineStr">
        <is>
          <t>Category / concern</t>
        </is>
      </c>
      <c r="D86" s="55">
        <f>IFERROR(INDEX('Semrush Data'!$C$2:$C$5000,MATCH(B86,'Semrush Data'!$A$2:$A$5000,0)),"")</f>
        <v/>
      </c>
      <c r="E86" s="42">
        <f>IFERROR(INDEX('Semrush Data'!$D$2:$D$5000,MATCH(B86,'Semrush Data'!$A$2:$A$5000,0)),"")</f>
        <v/>
      </c>
      <c r="F86" s="56">
        <f>IFERROR(INDEX('Semrush Data'!$E$2:$E$5000,MATCH(B86,'Semrush Data'!$A$2:$A$5000,0)),"")</f>
        <v/>
      </c>
      <c r="G86" s="42">
        <f>IF(E86="","",IF(E86&lt;=20,"Easier",IF(E86&lt;=35,"Medium","Hard")))</f>
        <v/>
      </c>
      <c r="H86" s="42" t="inlineStr">
        <is>
          <t>Category page H1 / intro; homepage section</t>
        </is>
      </c>
    </row>
    <row r="87" ht="15" customHeight="1" s="37">
      <c r="B87" s="42" t="inlineStr">
        <is>
          <t>toner for dry skin</t>
        </is>
      </c>
      <c r="C87" s="42" t="inlineStr">
        <is>
          <t>Category / concern</t>
        </is>
      </c>
      <c r="D87" s="55">
        <f>IFERROR(INDEX('Semrush Data'!$C$2:$C$5000,MATCH(B87,'Semrush Data'!$A$2:$A$5000,0)),"")</f>
        <v/>
      </c>
      <c r="E87" s="42">
        <f>IFERROR(INDEX('Semrush Data'!$D$2:$D$5000,MATCH(B87,'Semrush Data'!$A$2:$A$5000,0)),"")</f>
        <v/>
      </c>
      <c r="F87" s="56">
        <f>IFERROR(INDEX('Semrush Data'!$E$2:$E$5000,MATCH(B87,'Semrush Data'!$A$2:$A$5000,0)),"")</f>
        <v/>
      </c>
      <c r="G87" s="42">
        <f>IF(E87="","",IF(E87&lt;=20,"Easier",IF(E87&lt;=35,"Medium","Hard")))</f>
        <v/>
      </c>
      <c r="H87" s="42" t="inlineStr">
        <is>
          <t>Concern collection page (H1 + intro + FAQ); product copy &amp; meta description</t>
        </is>
      </c>
    </row>
    <row r="88" ht="15" customHeight="1" s="37">
      <c r="B88" s="42" t="inlineStr">
        <is>
          <t>natural shampoo uk</t>
        </is>
      </c>
      <c r="C88" s="42" t="inlineStr">
        <is>
          <t>Category / concern</t>
        </is>
      </c>
      <c r="D88" s="55">
        <f>IFERROR(INDEX('Semrush Data'!$C$2:$C$5000,MATCH(B88,'Semrush Data'!$A$2:$A$5000,0)),"")</f>
        <v/>
      </c>
      <c r="E88" s="42">
        <f>IFERROR(INDEX('Semrush Data'!$D$2:$D$5000,MATCH(B88,'Semrush Data'!$A$2:$A$5000,0)),"")</f>
        <v/>
      </c>
      <c r="F88" s="56">
        <f>IFERROR(INDEX('Semrush Data'!$E$2:$E$5000,MATCH(B88,'Semrush Data'!$A$2:$A$5000,0)),"")</f>
        <v/>
      </c>
      <c r="G88" s="42">
        <f>IF(E88="","",IF(E88&lt;=20,"Easier",IF(E88&lt;=35,"Medium","Hard")))</f>
        <v/>
      </c>
      <c r="H88" s="42" t="inlineStr">
        <is>
          <t>Category page H1 / intro; homepage section</t>
        </is>
      </c>
    </row>
    <row r="89" ht="15" customHeight="1" s="37">
      <c r="B89" s="42" t="inlineStr">
        <is>
          <t>natural skincare uk</t>
        </is>
      </c>
      <c r="C89" s="42" t="inlineStr">
        <is>
          <t>Category / concern</t>
        </is>
      </c>
      <c r="D89" s="55">
        <f>IFERROR(INDEX('Semrush Data'!$C$2:$C$5000,MATCH(B89,'Semrush Data'!$A$2:$A$5000,0)),"")</f>
        <v/>
      </c>
      <c r="E89" s="42">
        <f>IFERROR(INDEX('Semrush Data'!$D$2:$D$5000,MATCH(B89,'Semrush Data'!$A$2:$A$5000,0)),"")</f>
        <v/>
      </c>
      <c r="F89" s="56">
        <f>IFERROR(INDEX('Semrush Data'!$E$2:$E$5000,MATCH(B89,'Semrush Data'!$A$2:$A$5000,0)),"")</f>
        <v/>
      </c>
      <c r="G89" s="42">
        <f>IF(E89="","",IF(E89&lt;=20,"Easier",IF(E89&lt;=35,"Medium","Hard")))</f>
        <v/>
      </c>
      <c r="H89" s="42" t="inlineStr">
        <is>
          <t>Category page H1 / intro; homepage section</t>
        </is>
      </c>
    </row>
    <row r="90" ht="15" customHeight="1" s="37">
      <c r="B90" s="42" t="inlineStr">
        <is>
          <t>skincare for dull skin</t>
        </is>
      </c>
      <c r="C90" s="42" t="inlineStr">
        <is>
          <t>Category / concern</t>
        </is>
      </c>
      <c r="D90" s="55">
        <f>IFERROR(INDEX('Semrush Data'!$C$2:$C$5000,MATCH(B90,'Semrush Data'!$A$2:$A$5000,0)),"")</f>
        <v/>
      </c>
      <c r="E90" s="42">
        <f>IFERROR(INDEX('Semrush Data'!$D$2:$D$5000,MATCH(B90,'Semrush Data'!$A$2:$A$5000,0)),"")</f>
        <v/>
      </c>
      <c r="F90" s="56">
        <f>IFERROR(INDEX('Semrush Data'!$E$2:$E$5000,MATCH(B90,'Semrush Data'!$A$2:$A$5000,0)),"")</f>
        <v/>
      </c>
      <c r="G90" s="42">
        <f>IF(E90="","",IF(E90&lt;=20,"Easier",IF(E90&lt;=35,"Medium","Hard")))</f>
        <v/>
      </c>
      <c r="H90" s="42" t="inlineStr">
        <is>
          <t>Concern collection page (H1 + intro + FAQ); product copy &amp; meta description</t>
        </is>
      </c>
    </row>
    <row r="91" ht="15" customHeight="1" s="37">
      <c r="B91" s="42" t="inlineStr">
        <is>
          <t>body butter for dry skin</t>
        </is>
      </c>
      <c r="C91" s="42" t="inlineStr">
        <is>
          <t>Category / concern</t>
        </is>
      </c>
      <c r="D91" s="55">
        <f>IFERROR(INDEX('Semrush Data'!$C$2:$C$5000,MATCH(B91,'Semrush Data'!$A$2:$A$5000,0)),"")</f>
        <v/>
      </c>
      <c r="E91" s="42">
        <f>IFERROR(INDEX('Semrush Data'!$D$2:$D$5000,MATCH(B91,'Semrush Data'!$A$2:$A$5000,0)),"")</f>
        <v/>
      </c>
      <c r="F91" s="56">
        <f>IFERROR(INDEX('Semrush Data'!$E$2:$E$5000,MATCH(B91,'Semrush Data'!$A$2:$A$5000,0)),"")</f>
        <v/>
      </c>
      <c r="G91" s="42">
        <f>IF(E91="","",IF(E91&lt;=20,"Easier",IF(E91&lt;=35,"Medium","Hard")))</f>
        <v/>
      </c>
      <c r="H91" s="42" t="inlineStr">
        <is>
          <t>Concern collection page (H1 + intro + FAQ); product copy &amp; meta description</t>
        </is>
      </c>
    </row>
    <row r="92" ht="15" customHeight="1" s="37">
      <c r="B92" s="42" t="inlineStr">
        <is>
          <t>hair oil for hair loss</t>
        </is>
      </c>
      <c r="C92" s="42" t="inlineStr">
        <is>
          <t>Category / concern</t>
        </is>
      </c>
      <c r="D92" s="55">
        <f>IFERROR(INDEX('Semrush Data'!$C$2:$C$5000,MATCH(B92,'Semrush Data'!$A$2:$A$5000,0)),"")</f>
        <v/>
      </c>
      <c r="E92" s="42">
        <f>IFERROR(INDEX('Semrush Data'!$D$2:$D$5000,MATCH(B92,'Semrush Data'!$A$2:$A$5000,0)),"")</f>
        <v/>
      </c>
      <c r="F92" s="56">
        <f>IFERROR(INDEX('Semrush Data'!$E$2:$E$5000,MATCH(B92,'Semrush Data'!$A$2:$A$5000,0)),"")</f>
        <v/>
      </c>
      <c r="G92" s="42">
        <f>IF(E92="","",IF(E92&lt;=20,"Easier",IF(E92&lt;=35,"Medium","Hard")))</f>
        <v/>
      </c>
      <c r="H92" s="42" t="inlineStr">
        <is>
          <t>Concern collection page (H1 + intro + FAQ); product copy &amp; meta description</t>
        </is>
      </c>
    </row>
    <row r="93" ht="15" customHeight="1" s="37">
      <c r="B93" s="42" t="inlineStr">
        <is>
          <t>face mask for oily skin</t>
        </is>
      </c>
      <c r="C93" s="42" t="inlineStr">
        <is>
          <t>Category / concern</t>
        </is>
      </c>
      <c r="D93" s="55">
        <f>IFERROR(INDEX('Semrush Data'!$C$2:$C$5000,MATCH(B93,'Semrush Data'!$A$2:$A$5000,0)),"")</f>
        <v/>
      </c>
      <c r="E93" s="42">
        <f>IFERROR(INDEX('Semrush Data'!$D$2:$D$5000,MATCH(B93,'Semrush Data'!$A$2:$A$5000,0)),"")</f>
        <v/>
      </c>
      <c r="F93" s="56">
        <f>IFERROR(INDEX('Semrush Data'!$E$2:$E$5000,MATCH(B93,'Semrush Data'!$A$2:$A$5000,0)),"")</f>
        <v/>
      </c>
      <c r="G93" s="42">
        <f>IF(E93="","",IF(E93&lt;=20,"Easier",IF(E93&lt;=35,"Medium","Hard")))</f>
        <v/>
      </c>
      <c r="H93" s="42" t="inlineStr">
        <is>
          <t>Concern collection page (H1 + intro + FAQ); product copy &amp; meta description</t>
        </is>
      </c>
    </row>
    <row r="94" ht="15" customHeight="1" s="37">
      <c r="B94" s="42" t="inlineStr">
        <is>
          <t>natural body wash uk</t>
        </is>
      </c>
      <c r="C94" s="42" t="inlineStr">
        <is>
          <t>Category / concern</t>
        </is>
      </c>
      <c r="D94" s="55">
        <f>IFERROR(INDEX('Semrush Data'!$C$2:$C$5000,MATCH(B94,'Semrush Data'!$A$2:$A$5000,0)),"")</f>
        <v/>
      </c>
      <c r="E94" s="42">
        <f>IFERROR(INDEX('Semrush Data'!$D$2:$D$5000,MATCH(B94,'Semrush Data'!$A$2:$A$5000,0)),"")</f>
        <v/>
      </c>
      <c r="F94" s="56">
        <f>IFERROR(INDEX('Semrush Data'!$E$2:$E$5000,MATCH(B94,'Semrush Data'!$A$2:$A$5000,0)),"")</f>
        <v/>
      </c>
      <c r="G94" s="42">
        <f>IF(E94="","",IF(E94&lt;=20,"Easier",IF(E94&lt;=35,"Medium","Hard")))</f>
        <v/>
      </c>
      <c r="H94" s="42" t="inlineStr">
        <is>
          <t>Category page H1 / intro; homepage section</t>
        </is>
      </c>
    </row>
    <row r="95" ht="15" customHeight="1" s="37">
      <c r="B95" s="42" t="inlineStr">
        <is>
          <t>natural lip balm uk</t>
        </is>
      </c>
      <c r="C95" s="42" t="inlineStr">
        <is>
          <t>Category / concern</t>
        </is>
      </c>
      <c r="D95" s="55">
        <f>IFERROR(INDEX('Semrush Data'!$C$2:$C$5000,MATCH(B95,'Semrush Data'!$A$2:$A$5000,0)),"")</f>
        <v/>
      </c>
      <c r="E95" s="42">
        <f>IFERROR(INDEX('Semrush Data'!$D$2:$D$5000,MATCH(B95,'Semrush Data'!$A$2:$A$5000,0)),"")</f>
        <v/>
      </c>
      <c r="F95" s="56">
        <f>IFERROR(INDEX('Semrush Data'!$E$2:$E$5000,MATCH(B95,'Semrush Data'!$A$2:$A$5000,0)),"")</f>
        <v/>
      </c>
      <c r="G95" s="42">
        <f>IF(E95="","",IF(E95&lt;=20,"Easier",IF(E95&lt;=35,"Medium","Hard")))</f>
        <v/>
      </c>
      <c r="H95" s="42" t="inlineStr">
        <is>
          <t>Category page H1 / intro; homepage section</t>
        </is>
      </c>
    </row>
    <row r="96" ht="15" customHeight="1" s="37">
      <c r="B96" s="42" t="inlineStr">
        <is>
          <t>hair oil for dandruff</t>
        </is>
      </c>
      <c r="C96" s="42" t="inlineStr">
        <is>
          <t>Category / concern</t>
        </is>
      </c>
      <c r="D96" s="55">
        <f>IFERROR(INDEX('Semrush Data'!$C$2:$C$5000,MATCH(B96,'Semrush Data'!$A$2:$A$5000,0)),"")</f>
        <v/>
      </c>
      <c r="E96" s="42">
        <f>IFERROR(INDEX('Semrush Data'!$D$2:$D$5000,MATCH(B96,'Semrush Data'!$A$2:$A$5000,0)),"")</f>
        <v/>
      </c>
      <c r="F96" s="56">
        <f>IFERROR(INDEX('Semrush Data'!$E$2:$E$5000,MATCH(B96,'Semrush Data'!$A$2:$A$5000,0)),"")</f>
        <v/>
      </c>
      <c r="G96" s="42">
        <f>IF(E96="","",IF(E96&lt;=20,"Easier",IF(E96&lt;=35,"Medium","Hard")))</f>
        <v/>
      </c>
      <c r="H96" s="42" t="inlineStr">
        <is>
          <t>Concern collection page (H1 + intro + FAQ); product copy &amp; meta description</t>
        </is>
      </c>
    </row>
    <row r="97" ht="15" customHeight="1" s="37">
      <c r="B97" s="42" t="inlineStr">
        <is>
          <t>natural moisturiser uk</t>
        </is>
      </c>
      <c r="C97" s="42" t="inlineStr">
        <is>
          <t>Category / concern</t>
        </is>
      </c>
      <c r="D97" s="55">
        <f>IFERROR(INDEX('Semrush Data'!$C$2:$C$5000,MATCH(B97,'Semrush Data'!$A$2:$A$5000,0)),"")</f>
        <v/>
      </c>
      <c r="E97" s="42">
        <f>IFERROR(INDEX('Semrush Data'!$D$2:$D$5000,MATCH(B97,'Semrush Data'!$A$2:$A$5000,0)),"")</f>
        <v/>
      </c>
      <c r="F97" s="56">
        <f>IFERROR(INDEX('Semrush Data'!$E$2:$E$5000,MATCH(B97,'Semrush Data'!$A$2:$A$5000,0)),"")</f>
        <v/>
      </c>
      <c r="G97" s="42">
        <f>IF(E97="","",IF(E97&lt;=20,"Easier",IF(E97&lt;=35,"Medium","Hard")))</f>
        <v/>
      </c>
      <c r="H97" s="42" t="inlineStr">
        <is>
          <t>Category page H1 / intro; homepage section</t>
        </is>
      </c>
    </row>
    <row r="98" ht="15" customHeight="1" s="37">
      <c r="B98" s="42" t="inlineStr">
        <is>
          <t>natural body lotion uk</t>
        </is>
      </c>
      <c r="C98" s="42" t="inlineStr">
        <is>
          <t>Category / concern</t>
        </is>
      </c>
      <c r="D98" s="55">
        <f>IFERROR(INDEX('Semrush Data'!$C$2:$C$5000,MATCH(B98,'Semrush Data'!$A$2:$A$5000,0)),"")</f>
        <v/>
      </c>
      <c r="E98" s="42">
        <f>IFERROR(INDEX('Semrush Data'!$D$2:$D$5000,MATCH(B98,'Semrush Data'!$A$2:$A$5000,0)),"")</f>
        <v/>
      </c>
      <c r="F98" s="56">
        <f>IFERROR(INDEX('Semrush Data'!$E$2:$E$5000,MATCH(B98,'Semrush Data'!$A$2:$A$5000,0)),"")</f>
        <v/>
      </c>
      <c r="G98" s="42">
        <f>IF(E98="","",IF(E98&lt;=20,"Easier",IF(E98&lt;=35,"Medium","Hard")))</f>
        <v/>
      </c>
      <c r="H98" s="42" t="inlineStr">
        <is>
          <t>Category page H1 / intro; homepage section</t>
        </is>
      </c>
    </row>
    <row r="99" ht="15" customHeight="1" s="37">
      <c r="B99" s="42" t="inlineStr">
        <is>
          <t>shampoo for dry skin</t>
        </is>
      </c>
      <c r="C99" s="42" t="inlineStr">
        <is>
          <t>Category / concern</t>
        </is>
      </c>
      <c r="D99" s="55">
        <f>IFERROR(INDEX('Semrush Data'!$C$2:$C$5000,MATCH(B99,'Semrush Data'!$A$2:$A$5000,0)),"")</f>
        <v/>
      </c>
      <c r="E99" s="42">
        <f>IFERROR(INDEX('Semrush Data'!$D$2:$D$5000,MATCH(B99,'Semrush Data'!$A$2:$A$5000,0)),"")</f>
        <v/>
      </c>
      <c r="F99" s="56">
        <f>IFERROR(INDEX('Semrush Data'!$E$2:$E$5000,MATCH(B99,'Semrush Data'!$A$2:$A$5000,0)),"")</f>
        <v/>
      </c>
      <c r="G99" s="42">
        <f>IF(E99="","",IF(E99&lt;=20,"Easier",IF(E99&lt;=35,"Medium","Hard")))</f>
        <v/>
      </c>
      <c r="H99" s="42" t="inlineStr">
        <is>
          <t>Concern collection page (H1 + intro + FAQ); product copy &amp; meta description</t>
        </is>
      </c>
    </row>
    <row r="100" ht="15" customHeight="1" s="37">
      <c r="B100" s="42" t="inlineStr">
        <is>
          <t>body scrub for dry skin</t>
        </is>
      </c>
      <c r="C100" s="42" t="inlineStr">
        <is>
          <t>Category / concern</t>
        </is>
      </c>
      <c r="D100" s="55">
        <f>IFERROR(INDEX('Semrush Data'!$C$2:$C$5000,MATCH(B100,'Semrush Data'!$A$2:$A$5000,0)),"")</f>
        <v/>
      </c>
      <c r="E100" s="42">
        <f>IFERROR(INDEX('Semrush Data'!$D$2:$D$5000,MATCH(B100,'Semrush Data'!$A$2:$A$5000,0)),"")</f>
        <v/>
      </c>
      <c r="F100" s="56">
        <f>IFERROR(INDEX('Semrush Data'!$E$2:$E$5000,MATCH(B100,'Semrush Data'!$A$2:$A$5000,0)),"")</f>
        <v/>
      </c>
      <c r="G100" s="42">
        <f>IF(E100="","",IF(E100&lt;=20,"Easier",IF(E100&lt;=35,"Medium","Hard")))</f>
        <v/>
      </c>
      <c r="H100" s="42" t="inlineStr">
        <is>
          <t>Concern collection page (H1 + intro + FAQ); product copy &amp; meta description</t>
        </is>
      </c>
    </row>
    <row r="101" ht="15" customHeight="1" s="37">
      <c r="B101" s="42" t="inlineStr">
        <is>
          <t>deyga lip balm</t>
        </is>
      </c>
      <c r="C101" s="42" t="inlineStr">
        <is>
          <t>Category / concern</t>
        </is>
      </c>
      <c r="D101" s="55">
        <f>IFERROR(INDEX('Semrush Data'!$C$2:$C$5000,MATCH(B101,'Semrush Data'!$A$2:$A$5000,0)),"")</f>
        <v/>
      </c>
      <c r="E101" s="42">
        <f>IFERROR(INDEX('Semrush Data'!$D$2:$D$5000,MATCH(B101,'Semrush Data'!$A$2:$A$5000,0)),"")</f>
        <v/>
      </c>
      <c r="F101" s="56">
        <f>IFERROR(INDEX('Semrush Data'!$E$2:$E$5000,MATCH(B101,'Semrush Data'!$A$2:$A$5000,0)),"")</f>
        <v/>
      </c>
      <c r="G101" s="42">
        <f>IF(E101="","",IF(E101&lt;=20,"Easier",IF(E101&lt;=35,"Medium","Hard")))</f>
        <v/>
      </c>
      <c r="H101" s="42" t="inlineStr">
        <is>
          <t>Category page H1 / intro; homepage section</t>
        </is>
      </c>
    </row>
    <row r="102" ht="15" customHeight="1" s="37">
      <c r="B102" s="42" t="inlineStr">
        <is>
          <t>natural face wash uk</t>
        </is>
      </c>
      <c r="C102" s="42" t="inlineStr">
        <is>
          <t>Category / concern</t>
        </is>
      </c>
      <c r="D102" s="55">
        <f>IFERROR(INDEX('Semrush Data'!$C$2:$C$5000,MATCH(B102,'Semrush Data'!$A$2:$A$5000,0)),"")</f>
        <v/>
      </c>
      <c r="E102" s="42">
        <f>IFERROR(INDEX('Semrush Data'!$D$2:$D$5000,MATCH(B102,'Semrush Data'!$A$2:$A$5000,0)),"")</f>
        <v/>
      </c>
      <c r="F102" s="56">
        <f>IFERROR(INDEX('Semrush Data'!$E$2:$E$5000,MATCH(B102,'Semrush Data'!$A$2:$A$5000,0)),"")</f>
        <v/>
      </c>
      <c r="G102" s="42">
        <f>IF(E102="","",IF(E102&lt;=20,"Easier",IF(E102&lt;=35,"Medium","Hard")))</f>
        <v/>
      </c>
      <c r="H102" s="42" t="inlineStr">
        <is>
          <t>Category page H1 / intro; homepage section</t>
        </is>
      </c>
    </row>
    <row r="103" ht="15" customHeight="1" s="37">
      <c r="B103" s="42" t="inlineStr">
        <is>
          <t>deyga shampoo</t>
        </is>
      </c>
      <c r="C103" s="42" t="inlineStr">
        <is>
          <t>Category / concern</t>
        </is>
      </c>
      <c r="D103" s="55">
        <f>IFERROR(INDEX('Semrush Data'!$C$2:$C$5000,MATCH(B103,'Semrush Data'!$A$2:$A$5000,0)),"")</f>
        <v/>
      </c>
      <c r="E103" s="42">
        <f>IFERROR(INDEX('Semrush Data'!$D$2:$D$5000,MATCH(B103,'Semrush Data'!$A$2:$A$5000,0)),"")</f>
        <v/>
      </c>
      <c r="F103" s="56">
        <f>IFERROR(INDEX('Semrush Data'!$E$2:$E$5000,MATCH(B103,'Semrush Data'!$A$2:$A$5000,0)),"")</f>
        <v/>
      </c>
      <c r="G103" s="42">
        <f>IF(E103="","",IF(E103&lt;=20,"Easier",IF(E103&lt;=35,"Medium","Hard")))</f>
        <v/>
      </c>
      <c r="H103" s="42" t="inlineStr">
        <is>
          <t>Category page H1 / intro; homepage section</t>
        </is>
      </c>
    </row>
    <row r="104" ht="15" customHeight="1" s="37">
      <c r="B104" s="42" t="inlineStr">
        <is>
          <t>deyga skincare</t>
        </is>
      </c>
      <c r="C104" s="42" t="inlineStr">
        <is>
          <t>Category / concern</t>
        </is>
      </c>
      <c r="D104" s="55">
        <f>IFERROR(INDEX('Semrush Data'!$C$2:$C$5000,MATCH(B104,'Semrush Data'!$A$2:$A$5000,0)),"")</f>
        <v/>
      </c>
      <c r="E104" s="42">
        <f>IFERROR(INDEX('Semrush Data'!$D$2:$D$5000,MATCH(B104,'Semrush Data'!$A$2:$A$5000,0)),"")</f>
        <v/>
      </c>
      <c r="F104" s="56">
        <f>IFERROR(INDEX('Semrush Data'!$E$2:$E$5000,MATCH(B104,'Semrush Data'!$A$2:$A$5000,0)),"")</f>
        <v/>
      </c>
      <c r="G104" s="42">
        <f>IF(E104="","",IF(E104&lt;=20,"Easier",IF(E104&lt;=35,"Medium","Hard")))</f>
        <v/>
      </c>
      <c r="H104" s="42" t="inlineStr">
        <is>
          <t>Category page H1 / intro; homepage section</t>
        </is>
      </c>
    </row>
    <row r="105" ht="15" customHeight="1" s="37">
      <c r="B105" s="42" t="inlineStr">
        <is>
          <t>natural body scrub uk</t>
        </is>
      </c>
      <c r="C105" s="42" t="inlineStr">
        <is>
          <t>Category / concern</t>
        </is>
      </c>
      <c r="D105" s="55">
        <f>IFERROR(INDEX('Semrush Data'!$C$2:$C$5000,MATCH(B105,'Semrush Data'!$A$2:$A$5000,0)),"")</f>
        <v/>
      </c>
      <c r="E105" s="42">
        <f>IFERROR(INDEX('Semrush Data'!$D$2:$D$5000,MATCH(B105,'Semrush Data'!$A$2:$A$5000,0)),"")</f>
        <v/>
      </c>
      <c r="F105" s="56">
        <f>IFERROR(INDEX('Semrush Data'!$E$2:$E$5000,MATCH(B105,'Semrush Data'!$A$2:$A$5000,0)),"")</f>
        <v/>
      </c>
      <c r="G105" s="42">
        <f>IF(E105="","",IF(E105&lt;=20,"Easier",IF(E105&lt;=35,"Medium","Hard")))</f>
        <v/>
      </c>
      <c r="H105" s="42" t="inlineStr">
        <is>
          <t>Category page H1 / intro; homepage section</t>
        </is>
      </c>
    </row>
    <row r="107" ht="15.75" customHeight="1" s="37">
      <c r="A107" s="50" t="inlineStr">
        <is>
          <t>Ingredient &amp; product-type searches (Tier 2)</t>
        </is>
      </c>
    </row>
    <row r="108" ht="15" customHeight="1" s="37">
      <c r="A108" s="51" t="inlineStr">
        <is>
          <t>Generic searches that match the Vilvah &amp; Deyga range: candidates for new collection pages, product-copy phrases and blog topics.</t>
        </is>
      </c>
    </row>
    <row r="109" ht="15" customHeight="1" s="37">
      <c r="A109" s="53" t="n"/>
      <c r="B109" s="53" t="inlineStr">
        <is>
          <t>Keyword</t>
        </is>
      </c>
      <c r="C109" s="53" t="inlineStr">
        <is>
          <t>Type</t>
        </is>
      </c>
      <c r="D109" s="53" t="inlineStr">
        <is>
          <t>Volume</t>
        </is>
      </c>
      <c r="E109" s="53" t="inlineStr">
        <is>
          <t>KD</t>
        </is>
      </c>
      <c r="F109" s="53" t="inlineStr">
        <is>
          <t>CPC ($)</t>
        </is>
      </c>
      <c r="G109" s="53" t="inlineStr">
        <is>
          <t>Ease</t>
        </is>
      </c>
      <c r="H109" s="53" t="inlineStr">
        <is>
          <t>Where to use</t>
        </is>
      </c>
    </row>
    <row r="110" ht="15" customHeight="1" s="37">
      <c r="B110" s="42" t="inlineStr">
        <is>
          <t>vitamin c serum</t>
        </is>
      </c>
      <c r="C110" s="42" t="inlineStr">
        <is>
          <t>Generic product term</t>
        </is>
      </c>
      <c r="D110" s="55">
        <f>IFERROR(INDEX('Semrush Data'!$C$2:$C$5000,MATCH(B110,'Semrush Data'!$A$2:$A$5000,0)),"")</f>
        <v/>
      </c>
      <c r="E110" s="42">
        <f>IFERROR(INDEX('Semrush Data'!$D$2:$D$5000,MATCH(B110,'Semrush Data'!$A$2:$A$5000,0)),"")</f>
        <v/>
      </c>
      <c r="F110" s="56">
        <f>IFERROR(INDEX('Semrush Data'!$E$2:$E$5000,MATCH(B110,'Semrush Data'!$A$2:$A$5000,0)),"")</f>
        <v/>
      </c>
      <c r="G110" s="42">
        <f>IF(E110="","",IF(E110&lt;=20,"Easier",IF(E110&lt;=35,"Medium","Hard")))</f>
        <v/>
      </c>
      <c r="H110" s="42" t="inlineStr">
        <is>
          <t>New collection / keyword page + product copy</t>
        </is>
      </c>
    </row>
    <row r="111" ht="15" customHeight="1" s="37">
      <c r="B111" s="42" t="inlineStr">
        <is>
          <t>face mask</t>
        </is>
      </c>
      <c r="C111" s="42" t="inlineStr">
        <is>
          <t>VD target keyword</t>
        </is>
      </c>
      <c r="D111" s="55">
        <f>IFERROR(INDEX('Semrush Data'!$C$2:$C$5000,MATCH(B111,'Semrush Data'!$A$2:$A$5000,0)),"")</f>
        <v/>
      </c>
      <c r="E111" s="42">
        <f>IFERROR(INDEX('Semrush Data'!$D$2:$D$5000,MATCH(B111,'Semrush Data'!$A$2:$A$5000,0)),"")</f>
        <v/>
      </c>
      <c r="F111" s="56">
        <f>IFERROR(INDEX('Semrush Data'!$E$2:$E$5000,MATCH(B111,'Semrush Data'!$A$2:$A$5000,0)),"")</f>
        <v/>
      </c>
      <c r="G111" s="42">
        <f>IF(E111="","",IF(E111&lt;=20,"Easier",IF(E111&lt;=35,"Medium","Hard")))</f>
        <v/>
      </c>
      <c r="H111" s="42" t="inlineStr">
        <is>
          <t>New collection / keyword page + product copy</t>
        </is>
      </c>
    </row>
    <row r="112" ht="15" customHeight="1" s="37">
      <c r="B112" s="42" t="inlineStr">
        <is>
          <t>aloe vera gel</t>
        </is>
      </c>
      <c r="C112" s="42" t="inlineStr">
        <is>
          <t>Generic product term</t>
        </is>
      </c>
      <c r="D112" s="55">
        <f>IFERROR(INDEX('Semrush Data'!$C$2:$C$5000,MATCH(B112,'Semrush Data'!$A$2:$A$5000,0)),"")</f>
        <v/>
      </c>
      <c r="E112" s="42">
        <f>IFERROR(INDEX('Semrush Data'!$D$2:$D$5000,MATCH(B112,'Semrush Data'!$A$2:$A$5000,0)),"")</f>
        <v/>
      </c>
      <c r="F112" s="56">
        <f>IFERROR(INDEX('Semrush Data'!$E$2:$E$5000,MATCH(B112,'Semrush Data'!$A$2:$A$5000,0)),"")</f>
        <v/>
      </c>
      <c r="G112" s="42">
        <f>IF(E112="","",IF(E112&lt;=20,"Easier",IF(E112&lt;=35,"Medium","Hard")))</f>
        <v/>
      </c>
      <c r="H112" s="42" t="inlineStr">
        <is>
          <t>New collection / keyword page + product copy</t>
        </is>
      </c>
    </row>
    <row r="113" ht="15" customHeight="1" s="37">
      <c r="B113" s="42" t="inlineStr">
        <is>
          <t>niacinamide serum</t>
        </is>
      </c>
      <c r="C113" s="42" t="inlineStr">
        <is>
          <t>Generic product term</t>
        </is>
      </c>
      <c r="D113" s="55">
        <f>IFERROR(INDEX('Semrush Data'!$C$2:$C$5000,MATCH(B113,'Semrush Data'!$A$2:$A$5000,0)),"")</f>
        <v/>
      </c>
      <c r="E113" s="42">
        <f>IFERROR(INDEX('Semrush Data'!$D$2:$D$5000,MATCH(B113,'Semrush Data'!$A$2:$A$5000,0)),"")</f>
        <v/>
      </c>
      <c r="F113" s="56">
        <f>IFERROR(INDEX('Semrush Data'!$E$2:$E$5000,MATCH(B113,'Semrush Data'!$A$2:$A$5000,0)),"")</f>
        <v/>
      </c>
      <c r="G113" s="42">
        <f>IF(E113="","",IF(E113&lt;=20,"Easier",IF(E113&lt;=35,"Medium","Hard")))</f>
        <v/>
      </c>
      <c r="H113" s="42" t="inlineStr">
        <is>
          <t>New collection / keyword page + product copy</t>
        </is>
      </c>
    </row>
    <row r="114" ht="15" customHeight="1" s="37">
      <c r="B114" s="42" t="inlineStr">
        <is>
          <t>body scrub</t>
        </is>
      </c>
      <c r="C114" s="42" t="inlineStr">
        <is>
          <t>VD target keyword</t>
        </is>
      </c>
      <c r="D114" s="55">
        <f>IFERROR(INDEX('Semrush Data'!$C$2:$C$5000,MATCH(B114,'Semrush Data'!$A$2:$A$5000,0)),"")</f>
        <v/>
      </c>
      <c r="E114" s="42">
        <f>IFERROR(INDEX('Semrush Data'!$D$2:$D$5000,MATCH(B114,'Semrush Data'!$A$2:$A$5000,0)),"")</f>
        <v/>
      </c>
      <c r="F114" s="56">
        <f>IFERROR(INDEX('Semrush Data'!$E$2:$E$5000,MATCH(B114,'Semrush Data'!$A$2:$A$5000,0)),"")</f>
        <v/>
      </c>
      <c r="G114" s="42">
        <f>IF(E114="","",IF(E114&lt;=20,"Easier",IF(E114&lt;=35,"Medium","Hard")))</f>
        <v/>
      </c>
      <c r="H114" s="42" t="inlineStr">
        <is>
          <t>New collection / keyword page + product copy</t>
        </is>
      </c>
    </row>
    <row r="115" ht="15" customHeight="1" s="37">
      <c r="B115" s="42" t="inlineStr">
        <is>
          <t>face serum</t>
        </is>
      </c>
      <c r="C115" s="42" t="inlineStr">
        <is>
          <t>VD target keyword</t>
        </is>
      </c>
      <c r="D115" s="55">
        <f>IFERROR(INDEX('Semrush Data'!$C$2:$C$5000,MATCH(B115,'Semrush Data'!$A$2:$A$5000,0)),"")</f>
        <v/>
      </c>
      <c r="E115" s="42">
        <f>IFERROR(INDEX('Semrush Data'!$D$2:$D$5000,MATCH(B115,'Semrush Data'!$A$2:$A$5000,0)),"")</f>
        <v/>
      </c>
      <c r="F115" s="56">
        <f>IFERROR(INDEX('Semrush Data'!$E$2:$E$5000,MATCH(B115,'Semrush Data'!$A$2:$A$5000,0)),"")</f>
        <v/>
      </c>
      <c r="G115" s="42">
        <f>IF(E115="","",IF(E115&lt;=20,"Easier",IF(E115&lt;=35,"Medium","Hard")))</f>
        <v/>
      </c>
      <c r="H115" s="42" t="inlineStr">
        <is>
          <t>New collection / keyword page + product copy</t>
        </is>
      </c>
    </row>
    <row r="116" ht="15" customHeight="1" s="37">
      <c r="B116" s="42" t="inlineStr">
        <is>
          <t>sunscreen spf 50</t>
        </is>
      </c>
      <c r="C116" s="42" t="inlineStr">
        <is>
          <t>Generic product term</t>
        </is>
      </c>
      <c r="D116" s="55">
        <f>IFERROR(INDEX('Semrush Data'!$C$2:$C$5000,MATCH(B116,'Semrush Data'!$A$2:$A$5000,0)),"")</f>
        <v/>
      </c>
      <c r="E116" s="42">
        <f>IFERROR(INDEX('Semrush Data'!$D$2:$D$5000,MATCH(B116,'Semrush Data'!$A$2:$A$5000,0)),"")</f>
        <v/>
      </c>
      <c r="F116" s="56">
        <f>IFERROR(INDEX('Semrush Data'!$E$2:$E$5000,MATCH(B116,'Semrush Data'!$A$2:$A$5000,0)),"")</f>
        <v/>
      </c>
      <c r="G116" s="42">
        <f>IF(E116="","",IF(E116&lt;=20,"Easier",IF(E116&lt;=35,"Medium","Hard")))</f>
        <v/>
      </c>
      <c r="H116" s="42" t="inlineStr">
        <is>
          <t>New collection / keyword page + product copy</t>
        </is>
      </c>
    </row>
    <row r="117" ht="15" customHeight="1" s="37">
      <c r="B117" s="42" t="inlineStr">
        <is>
          <t>tinted sunscreen</t>
        </is>
      </c>
      <c r="C117" s="42" t="inlineStr">
        <is>
          <t>Generic product term</t>
        </is>
      </c>
      <c r="D117" s="55">
        <f>IFERROR(INDEX('Semrush Data'!$C$2:$C$5000,MATCH(B117,'Semrush Data'!$A$2:$A$5000,0)),"")</f>
        <v/>
      </c>
      <c r="E117" s="42">
        <f>IFERROR(INDEX('Semrush Data'!$D$2:$D$5000,MATCH(B117,'Semrush Data'!$A$2:$A$5000,0)),"")</f>
        <v/>
      </c>
      <c r="F117" s="56">
        <f>IFERROR(INDEX('Semrush Data'!$E$2:$E$5000,MATCH(B117,'Semrush Data'!$A$2:$A$5000,0)),"")</f>
        <v/>
      </c>
      <c r="G117" s="42">
        <f>IF(E117="","",IF(E117&lt;=20,"Easier",IF(E117&lt;=35,"Medium","Hard")))</f>
        <v/>
      </c>
      <c r="H117" s="42" t="inlineStr">
        <is>
          <t>New collection / keyword page + product copy</t>
        </is>
      </c>
    </row>
    <row r="118" ht="15" customHeight="1" s="37">
      <c r="B118" s="42" t="inlineStr">
        <is>
          <t>natural deodorant</t>
        </is>
      </c>
      <c r="C118" s="42" t="inlineStr">
        <is>
          <t>VD target keyword</t>
        </is>
      </c>
      <c r="D118" s="55">
        <f>IFERROR(INDEX('Semrush Data'!$C$2:$C$5000,MATCH(B118,'Semrush Data'!$A$2:$A$5000,0)),"")</f>
        <v/>
      </c>
      <c r="E118" s="42">
        <f>IFERROR(INDEX('Semrush Data'!$D$2:$D$5000,MATCH(B118,'Semrush Data'!$A$2:$A$5000,0)),"")</f>
        <v/>
      </c>
      <c r="F118" s="56">
        <f>IFERROR(INDEX('Semrush Data'!$E$2:$E$5000,MATCH(B118,'Semrush Data'!$A$2:$A$5000,0)),"")</f>
        <v/>
      </c>
      <c r="G118" s="42">
        <f>IF(E118="","",IF(E118&lt;=20,"Easier",IF(E118&lt;=35,"Medium","Hard")))</f>
        <v/>
      </c>
      <c r="H118" s="42" t="inlineStr">
        <is>
          <t>New collection / keyword page + product copy</t>
        </is>
      </c>
    </row>
    <row r="119" ht="15" customHeight="1" s="37">
      <c r="B119" s="42" t="inlineStr">
        <is>
          <t>body butter</t>
        </is>
      </c>
      <c r="C119" s="42" t="inlineStr">
        <is>
          <t>Generic product term</t>
        </is>
      </c>
      <c r="D119" s="55">
        <f>IFERROR(INDEX('Semrush Data'!$C$2:$C$5000,MATCH(B119,'Semrush Data'!$A$2:$A$5000,0)),"")</f>
        <v/>
      </c>
      <c r="E119" s="42">
        <f>IFERROR(INDEX('Semrush Data'!$D$2:$D$5000,MATCH(B119,'Semrush Data'!$A$2:$A$5000,0)),"")</f>
        <v/>
      </c>
      <c r="F119" s="56">
        <f>IFERROR(INDEX('Semrush Data'!$E$2:$E$5000,MATCH(B119,'Semrush Data'!$A$2:$A$5000,0)),"")</f>
        <v/>
      </c>
      <c r="G119" s="42">
        <f>IF(E119="","",IF(E119&lt;=20,"Easier",IF(E119&lt;=35,"Medium","Hard")))</f>
        <v/>
      </c>
      <c r="H119" s="42" t="inlineStr">
        <is>
          <t>New collection / keyword page + product copy</t>
        </is>
      </c>
    </row>
    <row r="120" ht="15" customHeight="1" s="37">
      <c r="B120" s="42" t="inlineStr">
        <is>
          <t>lip scrub</t>
        </is>
      </c>
      <c r="C120" s="42" t="inlineStr">
        <is>
          <t>Generic product term</t>
        </is>
      </c>
      <c r="D120" s="55">
        <f>IFERROR(INDEX('Semrush Data'!$C$2:$C$5000,MATCH(B120,'Semrush Data'!$A$2:$A$5000,0)),"")</f>
        <v/>
      </c>
      <c r="E120" s="42">
        <f>IFERROR(INDEX('Semrush Data'!$D$2:$D$5000,MATCH(B120,'Semrush Data'!$A$2:$A$5000,0)),"")</f>
        <v/>
      </c>
      <c r="F120" s="56">
        <f>IFERROR(INDEX('Semrush Data'!$E$2:$E$5000,MATCH(B120,'Semrush Data'!$A$2:$A$5000,0)),"")</f>
        <v/>
      </c>
      <c r="G120" s="42">
        <f>IF(E120="","",IF(E120&lt;=20,"Easier",IF(E120&lt;=35,"Medium","Hard")))</f>
        <v/>
      </c>
      <c r="H120" s="42" t="inlineStr">
        <is>
          <t>New collection / keyword page + product copy</t>
        </is>
      </c>
    </row>
    <row r="121" ht="15" customHeight="1" s="37">
      <c r="B121" s="42" t="inlineStr">
        <is>
          <t>hair growth oil</t>
        </is>
      </c>
      <c r="C121" s="42" t="inlineStr">
        <is>
          <t>Generic product term</t>
        </is>
      </c>
      <c r="D121" s="55">
        <f>IFERROR(INDEX('Semrush Data'!$C$2:$C$5000,MATCH(B121,'Semrush Data'!$A$2:$A$5000,0)),"")</f>
        <v/>
      </c>
      <c r="E121" s="42">
        <f>IFERROR(INDEX('Semrush Data'!$D$2:$D$5000,MATCH(B121,'Semrush Data'!$A$2:$A$5000,0)),"")</f>
        <v/>
      </c>
      <c r="F121" s="56">
        <f>IFERROR(INDEX('Semrush Data'!$E$2:$E$5000,MATCH(B121,'Semrush Data'!$A$2:$A$5000,0)),"")</f>
        <v/>
      </c>
      <c r="G121" s="42">
        <f>IF(E121="","",IF(E121&lt;=20,"Easier",IF(E121&lt;=35,"Medium","Hard")))</f>
        <v/>
      </c>
      <c r="H121" s="42" t="inlineStr">
        <is>
          <t>New collection / keyword page + product copy</t>
        </is>
      </c>
    </row>
    <row r="122" ht="15" customHeight="1" s="37">
      <c r="B122" s="42" t="inlineStr">
        <is>
          <t>foot cream</t>
        </is>
      </c>
      <c r="C122" s="42" t="inlineStr">
        <is>
          <t>Generic product term</t>
        </is>
      </c>
      <c r="D122" s="55">
        <f>IFERROR(INDEX('Semrush Data'!$C$2:$C$5000,MATCH(B122,'Semrush Data'!$A$2:$A$5000,0)),"")</f>
        <v/>
      </c>
      <c r="E122" s="42">
        <f>IFERROR(INDEX('Semrush Data'!$D$2:$D$5000,MATCH(B122,'Semrush Data'!$A$2:$A$5000,0)),"")</f>
        <v/>
      </c>
      <c r="F122" s="56">
        <f>IFERROR(INDEX('Semrush Data'!$E$2:$E$5000,MATCH(B122,'Semrush Data'!$A$2:$A$5000,0)),"")</f>
        <v/>
      </c>
      <c r="G122" s="42">
        <f>IF(E122="","",IF(E122&lt;=20,"Easier",IF(E122&lt;=35,"Medium","Hard")))</f>
        <v/>
      </c>
      <c r="H122" s="42" t="inlineStr">
        <is>
          <t>New collection / keyword page + product copy</t>
        </is>
      </c>
    </row>
    <row r="123" ht="15" customHeight="1" s="37">
      <c r="B123" s="42" t="inlineStr">
        <is>
          <t>shampoo for hair loss</t>
        </is>
      </c>
      <c r="C123" s="42" t="inlineStr">
        <is>
          <t>Generic product term</t>
        </is>
      </c>
      <c r="D123" s="55">
        <f>IFERROR(INDEX('Semrush Data'!$C$2:$C$5000,MATCH(B123,'Semrush Data'!$A$2:$A$5000,0)),"")</f>
        <v/>
      </c>
      <c r="E123" s="42">
        <f>IFERROR(INDEX('Semrush Data'!$D$2:$D$5000,MATCH(B123,'Semrush Data'!$A$2:$A$5000,0)),"")</f>
        <v/>
      </c>
      <c r="F123" s="56">
        <f>IFERROR(INDEX('Semrush Data'!$E$2:$E$5000,MATCH(B123,'Semrush Data'!$A$2:$A$5000,0)),"")</f>
        <v/>
      </c>
      <c r="G123" s="42">
        <f>IF(E123="","",IF(E123&lt;=20,"Easier",IF(E123&lt;=35,"Medium","Hard")))</f>
        <v/>
      </c>
      <c r="H123" s="42" t="inlineStr">
        <is>
          <t>New collection / keyword page + product copy</t>
        </is>
      </c>
    </row>
    <row r="124" ht="15" customHeight="1" s="37">
      <c r="B124" s="42" t="inlineStr">
        <is>
          <t>spf lip balm</t>
        </is>
      </c>
      <c r="C124" s="42" t="inlineStr">
        <is>
          <t>Generic product term</t>
        </is>
      </c>
      <c r="D124" s="55">
        <f>IFERROR(INDEX('Semrush Data'!$C$2:$C$5000,MATCH(B124,'Semrush Data'!$A$2:$A$5000,0)),"")</f>
        <v/>
      </c>
      <c r="E124" s="42">
        <f>IFERROR(INDEX('Semrush Data'!$D$2:$D$5000,MATCH(B124,'Semrush Data'!$A$2:$A$5000,0)),"")</f>
        <v/>
      </c>
      <c r="F124" s="56">
        <f>IFERROR(INDEX('Semrush Data'!$E$2:$E$5000,MATCH(B124,'Semrush Data'!$A$2:$A$5000,0)),"")</f>
        <v/>
      </c>
      <c r="G124" s="42">
        <f>IF(E124="","",IF(E124&lt;=20,"Easier",IF(E124&lt;=35,"Medium","Hard")))</f>
        <v/>
      </c>
      <c r="H124" s="42" t="inlineStr">
        <is>
          <t>New collection / keyword page + product copy</t>
        </is>
      </c>
    </row>
    <row r="125" ht="15" customHeight="1" s="37">
      <c r="B125" s="42" t="inlineStr">
        <is>
          <t>natural sunscreen</t>
        </is>
      </c>
      <c r="C125" s="42" t="inlineStr">
        <is>
          <t>VD target keyword</t>
        </is>
      </c>
      <c r="D125" s="55">
        <f>IFERROR(INDEX('Semrush Data'!$C$2:$C$5000,MATCH(B125,'Semrush Data'!$A$2:$A$5000,0)),"")</f>
        <v/>
      </c>
      <c r="E125" s="42">
        <f>IFERROR(INDEX('Semrush Data'!$D$2:$D$5000,MATCH(B125,'Semrush Data'!$A$2:$A$5000,0)),"")</f>
        <v/>
      </c>
      <c r="F125" s="56">
        <f>IFERROR(INDEX('Semrush Data'!$E$2:$E$5000,MATCH(B125,'Semrush Data'!$A$2:$A$5000,0)),"")</f>
        <v/>
      </c>
      <c r="G125" s="42">
        <f>IF(E125="","",IF(E125&lt;=20,"Easier",IF(E125&lt;=35,"Medium","Hard")))</f>
        <v/>
      </c>
      <c r="H125" s="42" t="inlineStr">
        <is>
          <t>New collection / keyword page + product copy</t>
        </is>
      </c>
    </row>
    <row r="126" ht="15" customHeight="1" s="37">
      <c r="B126" s="42" t="inlineStr">
        <is>
          <t>natural shampoo</t>
        </is>
      </c>
      <c r="C126" s="42" t="inlineStr">
        <is>
          <t>VD target keyword</t>
        </is>
      </c>
      <c r="D126" s="55">
        <f>IFERROR(INDEX('Semrush Data'!$C$2:$C$5000,MATCH(B126,'Semrush Data'!$A$2:$A$5000,0)),"")</f>
        <v/>
      </c>
      <c r="E126" s="42">
        <f>IFERROR(INDEX('Semrush Data'!$D$2:$D$5000,MATCH(B126,'Semrush Data'!$A$2:$A$5000,0)),"")</f>
        <v/>
      </c>
      <c r="F126" s="56">
        <f>IFERROR(INDEX('Semrush Data'!$E$2:$E$5000,MATCH(B126,'Semrush Data'!$A$2:$A$5000,0)),"")</f>
        <v/>
      </c>
      <c r="G126" s="42">
        <f>IF(E126="","",IF(E126&lt;=20,"Easier",IF(E126&lt;=35,"Medium","Hard")))</f>
        <v/>
      </c>
      <c r="H126" s="42" t="inlineStr">
        <is>
          <t>New collection / keyword page + product copy</t>
        </is>
      </c>
    </row>
    <row r="127" ht="15" customHeight="1" s="37">
      <c r="B127" s="42" t="inlineStr">
        <is>
          <t>castor oil for hair</t>
        </is>
      </c>
      <c r="C127" s="42" t="inlineStr">
        <is>
          <t>Generic product term</t>
        </is>
      </c>
      <c r="D127" s="55">
        <f>IFERROR(INDEX('Semrush Data'!$C$2:$C$5000,MATCH(B127,'Semrush Data'!$A$2:$A$5000,0)),"")</f>
        <v/>
      </c>
      <c r="E127" s="42">
        <f>IFERROR(INDEX('Semrush Data'!$D$2:$D$5000,MATCH(B127,'Semrush Data'!$A$2:$A$5000,0)),"")</f>
        <v/>
      </c>
      <c r="F127" s="56">
        <f>IFERROR(INDEX('Semrush Data'!$E$2:$E$5000,MATCH(B127,'Semrush Data'!$A$2:$A$5000,0)),"")</f>
        <v/>
      </c>
      <c r="G127" s="42">
        <f>IF(E127="","",IF(E127&lt;=20,"Easier",IF(E127&lt;=35,"Medium","Hard")))</f>
        <v/>
      </c>
      <c r="H127" s="42" t="inlineStr">
        <is>
          <t>New collection / keyword page + product copy</t>
        </is>
      </c>
    </row>
    <row r="128" ht="15" customHeight="1" s="37">
      <c r="B128" s="42" t="inlineStr">
        <is>
          <t>henna hair dye</t>
        </is>
      </c>
      <c r="C128" s="42" t="inlineStr">
        <is>
          <t>Generic product term</t>
        </is>
      </c>
      <c r="D128" s="55">
        <f>IFERROR(INDEX('Semrush Data'!$C$2:$C$5000,MATCH(B128,'Semrush Data'!$A$2:$A$5000,0)),"")</f>
        <v/>
      </c>
      <c r="E128" s="42">
        <f>IFERROR(INDEX('Semrush Data'!$D$2:$D$5000,MATCH(B128,'Semrush Data'!$A$2:$A$5000,0)),"")</f>
        <v/>
      </c>
      <c r="F128" s="56">
        <f>IFERROR(INDEX('Semrush Data'!$E$2:$E$5000,MATCH(B128,'Semrush Data'!$A$2:$A$5000,0)),"")</f>
        <v/>
      </c>
      <c r="G128" s="42">
        <f>IF(E128="","",IF(E128&lt;=20,"Easier",IF(E128&lt;=35,"Medium","Hard")))</f>
        <v/>
      </c>
      <c r="H128" s="42" t="inlineStr">
        <is>
          <t>New collection / keyword page + product copy</t>
        </is>
      </c>
    </row>
    <row r="129" ht="15" customHeight="1" s="37">
      <c r="B129" s="42" t="inlineStr">
        <is>
          <t>night cream</t>
        </is>
      </c>
      <c r="C129" s="42" t="inlineStr">
        <is>
          <t>Generic product term</t>
        </is>
      </c>
      <c r="D129" s="55">
        <f>IFERROR(INDEX('Semrush Data'!$C$2:$C$5000,MATCH(B129,'Semrush Data'!$A$2:$A$5000,0)),"")</f>
        <v/>
      </c>
      <c r="E129" s="42">
        <f>IFERROR(INDEX('Semrush Data'!$D$2:$D$5000,MATCH(B129,'Semrush Data'!$A$2:$A$5000,0)),"")</f>
        <v/>
      </c>
      <c r="F129" s="56">
        <f>IFERROR(INDEX('Semrush Data'!$E$2:$E$5000,MATCH(B129,'Semrush Data'!$A$2:$A$5000,0)),"")</f>
        <v/>
      </c>
      <c r="G129" s="42">
        <f>IF(E129="","",IF(E129&lt;=20,"Easier",IF(E129&lt;=35,"Medium","Hard")))</f>
        <v/>
      </c>
      <c r="H129" s="42" t="inlineStr">
        <is>
          <t>New collection / keyword page + product copy</t>
        </is>
      </c>
    </row>
    <row r="130" ht="15" customHeight="1" s="37">
      <c r="B130" s="42" t="inlineStr">
        <is>
          <t>skincare gift set</t>
        </is>
      </c>
      <c r="C130" s="42" t="inlineStr">
        <is>
          <t>Generic product term</t>
        </is>
      </c>
      <c r="D130" s="55">
        <f>IFERROR(INDEX('Semrush Data'!$C$2:$C$5000,MATCH(B130,'Semrush Data'!$A$2:$A$5000,0)),"")</f>
        <v/>
      </c>
      <c r="E130" s="42">
        <f>IFERROR(INDEX('Semrush Data'!$D$2:$D$5000,MATCH(B130,'Semrush Data'!$A$2:$A$5000,0)),"")</f>
        <v/>
      </c>
      <c r="F130" s="56">
        <f>IFERROR(INDEX('Semrush Data'!$E$2:$E$5000,MATCH(B130,'Semrush Data'!$A$2:$A$5000,0)),"")</f>
        <v/>
      </c>
      <c r="G130" s="42">
        <f>IF(E130="","",IF(E130&lt;=20,"Easier",IF(E130&lt;=35,"Medium","Hard")))</f>
        <v/>
      </c>
      <c r="H130" s="42" t="inlineStr">
        <is>
          <t>New collection / keyword page + product copy</t>
        </is>
      </c>
    </row>
    <row r="131" ht="15" customHeight="1" s="37">
      <c r="B131" s="42" t="inlineStr">
        <is>
          <t>tinted lip balm</t>
        </is>
      </c>
      <c r="C131" s="42" t="inlineStr">
        <is>
          <t>Generic product term</t>
        </is>
      </c>
      <c r="D131" s="55">
        <f>IFERROR(INDEX('Semrush Data'!$C$2:$C$5000,MATCH(B131,'Semrush Data'!$A$2:$A$5000,0)),"")</f>
        <v/>
      </c>
      <c r="E131" s="42">
        <f>IFERROR(INDEX('Semrush Data'!$D$2:$D$5000,MATCH(B131,'Semrush Data'!$A$2:$A$5000,0)),"")</f>
        <v/>
      </c>
      <c r="F131" s="56">
        <f>IFERROR(INDEX('Semrush Data'!$E$2:$E$5000,MATCH(B131,'Semrush Data'!$A$2:$A$5000,0)),"")</f>
        <v/>
      </c>
      <c r="G131" s="42">
        <f>IF(E131="","",IF(E131&lt;=20,"Easier",IF(E131&lt;=35,"Medium","Hard")))</f>
        <v/>
      </c>
      <c r="H131" s="42" t="inlineStr">
        <is>
          <t>New collection / keyword page + product copy</t>
        </is>
      </c>
    </row>
    <row r="132" ht="15" customHeight="1" s="37">
      <c r="B132" s="42" t="inlineStr">
        <is>
          <t>under eye cream</t>
        </is>
      </c>
      <c r="C132" s="42" t="inlineStr">
        <is>
          <t>Generic product term</t>
        </is>
      </c>
      <c r="D132" s="55">
        <f>IFERROR(INDEX('Semrush Data'!$C$2:$C$5000,MATCH(B132,'Semrush Data'!$A$2:$A$5000,0)),"")</f>
        <v/>
      </c>
      <c r="E132" s="42">
        <f>IFERROR(INDEX('Semrush Data'!$D$2:$D$5000,MATCH(B132,'Semrush Data'!$A$2:$A$5000,0)),"")</f>
        <v/>
      </c>
      <c r="F132" s="56">
        <f>IFERROR(INDEX('Semrush Data'!$E$2:$E$5000,MATCH(B132,'Semrush Data'!$A$2:$A$5000,0)),"")</f>
        <v/>
      </c>
      <c r="G132" s="42">
        <f>IF(E132="","",IF(E132&lt;=20,"Easier",IF(E132&lt;=35,"Medium","Hard")))</f>
        <v/>
      </c>
      <c r="H132" s="42" t="inlineStr">
        <is>
          <t>New collection / keyword page + product copy</t>
        </is>
      </c>
    </row>
    <row r="133" ht="15" customHeight="1" s="37">
      <c r="B133" s="42" t="inlineStr">
        <is>
          <t>amla hair oil</t>
        </is>
      </c>
      <c r="C133" s="42" t="inlineStr">
        <is>
          <t>Generic product term</t>
        </is>
      </c>
      <c r="D133" s="55">
        <f>IFERROR(INDEX('Semrush Data'!$C$2:$C$5000,MATCH(B133,'Semrush Data'!$A$2:$A$5000,0)),"")</f>
        <v/>
      </c>
      <c r="E133" s="42">
        <f>IFERROR(INDEX('Semrush Data'!$D$2:$D$5000,MATCH(B133,'Semrush Data'!$A$2:$A$5000,0)),"")</f>
        <v/>
      </c>
      <c r="F133" s="56">
        <f>IFERROR(INDEX('Semrush Data'!$E$2:$E$5000,MATCH(B133,'Semrush Data'!$A$2:$A$5000,0)),"")</f>
        <v/>
      </c>
      <c r="G133" s="42">
        <f>IF(E133="","",IF(E133&lt;=20,"Easier",IF(E133&lt;=35,"Medium","Hard")))</f>
        <v/>
      </c>
      <c r="H133" s="42" t="inlineStr">
        <is>
          <t>New collection / keyword page + product copy</t>
        </is>
      </c>
    </row>
    <row r="134" ht="15" customHeight="1" s="37">
      <c r="B134" s="42" t="inlineStr">
        <is>
          <t>aluminium free deodorant</t>
        </is>
      </c>
      <c r="C134" s="42" t="inlineStr">
        <is>
          <t>Generic product term</t>
        </is>
      </c>
      <c r="D134" s="55">
        <f>IFERROR(INDEX('Semrush Data'!$C$2:$C$5000,MATCH(B134,'Semrush Data'!$A$2:$A$5000,0)),"")</f>
        <v/>
      </c>
      <c r="E134" s="42">
        <f>IFERROR(INDEX('Semrush Data'!$D$2:$D$5000,MATCH(B134,'Semrush Data'!$A$2:$A$5000,0)),"")</f>
        <v/>
      </c>
      <c r="F134" s="56">
        <f>IFERROR(INDEX('Semrush Data'!$E$2:$E$5000,MATCH(B134,'Semrush Data'!$A$2:$A$5000,0)),"")</f>
        <v/>
      </c>
      <c r="G134" s="42">
        <f>IF(E134="","",IF(E134&lt;=20,"Easier",IF(E134&lt;=35,"Medium","Hard")))</f>
        <v/>
      </c>
      <c r="H134" s="42" t="inlineStr">
        <is>
          <t>New collection / keyword page + product copy</t>
        </is>
      </c>
    </row>
    <row r="135" ht="15" customHeight="1" s="37">
      <c r="B135" s="42" t="inlineStr">
        <is>
          <t>natural hair dye</t>
        </is>
      </c>
      <c r="C135" s="42" t="inlineStr">
        <is>
          <t>Generic product term</t>
        </is>
      </c>
      <c r="D135" s="55">
        <f>IFERROR(INDEX('Semrush Data'!$C$2:$C$5000,MATCH(B135,'Semrush Data'!$A$2:$A$5000,0)),"")</f>
        <v/>
      </c>
      <c r="E135" s="42">
        <f>IFERROR(INDEX('Semrush Data'!$D$2:$D$5000,MATCH(B135,'Semrush Data'!$A$2:$A$5000,0)),"")</f>
        <v/>
      </c>
      <c r="F135" s="56">
        <f>IFERROR(INDEX('Semrush Data'!$E$2:$E$5000,MATCH(B135,'Semrush Data'!$A$2:$A$5000,0)),"")</f>
        <v/>
      </c>
      <c r="G135" s="42">
        <f>IF(E135="","",IF(E135&lt;=20,"Easier",IF(E135&lt;=35,"Medium","Hard")))</f>
        <v/>
      </c>
      <c r="H135" s="42" t="inlineStr">
        <is>
          <t>New collection / keyword page + product copy</t>
        </is>
      </c>
    </row>
    <row r="136" ht="15" customHeight="1" s="37">
      <c r="B136" s="42" t="inlineStr">
        <is>
          <t>moisturiser for oily skin</t>
        </is>
      </c>
      <c r="C136" s="42" t="inlineStr">
        <is>
          <t>VD target keyword</t>
        </is>
      </c>
      <c r="D136" s="55">
        <f>IFERROR(INDEX('Semrush Data'!$C$2:$C$5000,MATCH(B136,'Semrush Data'!$A$2:$A$5000,0)),"")</f>
        <v/>
      </c>
      <c r="E136" s="42">
        <f>IFERROR(INDEX('Semrush Data'!$D$2:$D$5000,MATCH(B136,'Semrush Data'!$A$2:$A$5000,0)),"")</f>
        <v/>
      </c>
      <c r="F136" s="56">
        <f>IFERROR(INDEX('Semrush Data'!$E$2:$E$5000,MATCH(B136,'Semrush Data'!$A$2:$A$5000,0)),"")</f>
        <v/>
      </c>
      <c r="G136" s="42">
        <f>IF(E136="","",IF(E136&lt;=20,"Easier",IF(E136&lt;=35,"Medium","Hard")))</f>
        <v/>
      </c>
      <c r="H136" s="42" t="inlineStr">
        <is>
          <t>New collection / keyword page + product copy</t>
        </is>
      </c>
    </row>
    <row r="137" ht="15" customHeight="1" s="37">
      <c r="B137" s="42" t="inlineStr">
        <is>
          <t>tea tree face wash</t>
        </is>
      </c>
      <c r="C137" s="42" t="inlineStr">
        <is>
          <t>Generic product term</t>
        </is>
      </c>
      <c r="D137" s="55">
        <f>IFERROR(INDEX('Semrush Data'!$C$2:$C$5000,MATCH(B137,'Semrush Data'!$A$2:$A$5000,0)),"")</f>
        <v/>
      </c>
      <c r="E137" s="42">
        <f>IFERROR(INDEX('Semrush Data'!$D$2:$D$5000,MATCH(B137,'Semrush Data'!$A$2:$A$5000,0)),"")</f>
        <v/>
      </c>
      <c r="F137" s="56">
        <f>IFERROR(INDEX('Semrush Data'!$E$2:$E$5000,MATCH(B137,'Semrush Data'!$A$2:$A$5000,0)),"")</f>
        <v/>
      </c>
      <c r="G137" s="42">
        <f>IF(E137="","",IF(E137&lt;=20,"Easier",IF(E137&lt;=35,"Medium","Hard")))</f>
        <v/>
      </c>
      <c r="H137" s="42" t="inlineStr">
        <is>
          <t>New collection / keyword page + product copy</t>
        </is>
      </c>
    </row>
    <row r="138" ht="15" customHeight="1" s="37">
      <c r="B138" s="42" t="inlineStr">
        <is>
          <t>clay face mask</t>
        </is>
      </c>
      <c r="C138" s="42" t="inlineStr">
        <is>
          <t>Generic product term</t>
        </is>
      </c>
      <c r="D138" s="55">
        <f>IFERROR(INDEX('Semrush Data'!$C$2:$C$5000,MATCH(B138,'Semrush Data'!$A$2:$A$5000,0)),"")</f>
        <v/>
      </c>
      <c r="E138" s="42">
        <f>IFERROR(INDEX('Semrush Data'!$D$2:$D$5000,MATCH(B138,'Semrush Data'!$A$2:$A$5000,0)),"")</f>
        <v/>
      </c>
      <c r="F138" s="56">
        <f>IFERROR(INDEX('Semrush Data'!$E$2:$E$5000,MATCH(B138,'Semrush Data'!$A$2:$A$5000,0)),"")</f>
        <v/>
      </c>
      <c r="G138" s="42">
        <f>IF(E138="","",IF(E138&lt;=20,"Easier",IF(E138&lt;=35,"Medium","Hard")))</f>
        <v/>
      </c>
      <c r="H138" s="42" t="inlineStr">
        <is>
          <t>New collection / keyword page + product copy</t>
        </is>
      </c>
    </row>
    <row r="139" ht="15" customHeight="1" s="37">
      <c r="B139" s="42" t="inlineStr">
        <is>
          <t>natural skincare</t>
        </is>
      </c>
      <c r="C139" s="42" t="inlineStr">
        <is>
          <t>VD target keyword</t>
        </is>
      </c>
      <c r="D139" s="55">
        <f>IFERROR(INDEX('Semrush Data'!$C$2:$C$5000,MATCH(B139,'Semrush Data'!$A$2:$A$5000,0)),"")</f>
        <v/>
      </c>
      <c r="E139" s="42">
        <f>IFERROR(INDEX('Semrush Data'!$D$2:$D$5000,MATCH(B139,'Semrush Data'!$A$2:$A$5000,0)),"")</f>
        <v/>
      </c>
      <c r="F139" s="56">
        <f>IFERROR(INDEX('Semrush Data'!$E$2:$E$5000,MATCH(B139,'Semrush Data'!$A$2:$A$5000,0)),"")</f>
        <v/>
      </c>
      <c r="G139" s="42">
        <f>IF(E139="","",IF(E139&lt;=20,"Easier",IF(E139&lt;=35,"Medium","Hard")))</f>
        <v/>
      </c>
      <c r="H139" s="42" t="inlineStr">
        <is>
          <t>New collection / keyword page + product copy</t>
        </is>
      </c>
    </row>
    <row r="140" ht="15" customHeight="1" s="37">
      <c r="B140" s="42" t="inlineStr">
        <is>
          <t>shampoo for dry hair</t>
        </is>
      </c>
      <c r="C140" s="42" t="inlineStr">
        <is>
          <t>Generic product term</t>
        </is>
      </c>
      <c r="D140" s="55">
        <f>IFERROR(INDEX('Semrush Data'!$C$2:$C$5000,MATCH(B140,'Semrush Data'!$A$2:$A$5000,0)),"")</f>
        <v/>
      </c>
      <c r="E140" s="42">
        <f>IFERROR(INDEX('Semrush Data'!$D$2:$D$5000,MATCH(B140,'Semrush Data'!$A$2:$A$5000,0)),"")</f>
        <v/>
      </c>
      <c r="F140" s="56">
        <f>IFERROR(INDEX('Semrush Data'!$E$2:$E$5000,MATCH(B140,'Semrush Data'!$A$2:$A$5000,0)),"")</f>
        <v/>
      </c>
      <c r="G140" s="42">
        <f>IF(E140="","",IF(E140&lt;=20,"Easier",IF(E140&lt;=35,"Medium","Hard")))</f>
        <v/>
      </c>
      <c r="H140" s="42" t="inlineStr">
        <is>
          <t>New collection / keyword page + product copy</t>
        </is>
      </c>
    </row>
    <row r="141" ht="15" customHeight="1" s="37">
      <c r="B141" s="42" t="inlineStr">
        <is>
          <t>face wash for sensitive skin</t>
        </is>
      </c>
      <c r="C141" s="42" t="inlineStr">
        <is>
          <t>Generic product term</t>
        </is>
      </c>
      <c r="D141" s="55">
        <f>IFERROR(INDEX('Semrush Data'!$C$2:$C$5000,MATCH(B141,'Semrush Data'!$A$2:$A$5000,0)),"")</f>
        <v/>
      </c>
      <c r="E141" s="42">
        <f>IFERROR(INDEX('Semrush Data'!$D$2:$D$5000,MATCH(B141,'Semrush Data'!$A$2:$A$5000,0)),"")</f>
        <v/>
      </c>
      <c r="F141" s="56">
        <f>IFERROR(INDEX('Semrush Data'!$E$2:$E$5000,MATCH(B141,'Semrush Data'!$A$2:$A$5000,0)),"")</f>
        <v/>
      </c>
      <c r="G141" s="42">
        <f>IF(E141="","",IF(E141&lt;=20,"Easier",IF(E141&lt;=35,"Medium","Hard")))</f>
        <v/>
      </c>
      <c r="H141" s="42" t="inlineStr">
        <is>
          <t>New collection / keyword page + product copy</t>
        </is>
      </c>
    </row>
    <row r="142" ht="15" customHeight="1" s="37">
      <c r="B142" s="42" t="inlineStr">
        <is>
          <t>natural body wash</t>
        </is>
      </c>
      <c r="C142" s="42" t="inlineStr">
        <is>
          <t>VD target keyword</t>
        </is>
      </c>
      <c r="D142" s="55">
        <f>IFERROR(INDEX('Semrush Data'!$C$2:$C$5000,MATCH(B142,'Semrush Data'!$A$2:$A$5000,0)),"")</f>
        <v/>
      </c>
      <c r="E142" s="42">
        <f>IFERROR(INDEX('Semrush Data'!$D$2:$D$5000,MATCH(B142,'Semrush Data'!$A$2:$A$5000,0)),"")</f>
        <v/>
      </c>
      <c r="F142" s="56">
        <f>IFERROR(INDEX('Semrush Data'!$E$2:$E$5000,MATCH(B142,'Semrush Data'!$A$2:$A$5000,0)),"")</f>
        <v/>
      </c>
      <c r="G142" s="42">
        <f>IF(E142="","",IF(E142&lt;=20,"Easier",IF(E142&lt;=35,"Medium","Hard")))</f>
        <v/>
      </c>
      <c r="H142" s="42" t="inlineStr">
        <is>
          <t>New collection / keyword page + product copy</t>
        </is>
      </c>
    </row>
    <row r="143" ht="15" customHeight="1" s="37">
      <c r="B143" s="42" t="inlineStr">
        <is>
          <t>skincare for dry skin</t>
        </is>
      </c>
      <c r="C143" s="42" t="inlineStr">
        <is>
          <t>VD target keyword</t>
        </is>
      </c>
      <c r="D143" s="55">
        <f>IFERROR(INDEX('Semrush Data'!$C$2:$C$5000,MATCH(B143,'Semrush Data'!$A$2:$A$5000,0)),"")</f>
        <v/>
      </c>
      <c r="E143" s="42">
        <f>IFERROR(INDEX('Semrush Data'!$D$2:$D$5000,MATCH(B143,'Semrush Data'!$A$2:$A$5000,0)),"")</f>
        <v/>
      </c>
      <c r="F143" s="56">
        <f>IFERROR(INDEX('Semrush Data'!$E$2:$E$5000,MATCH(B143,'Semrush Data'!$A$2:$A$5000,0)),"")</f>
        <v/>
      </c>
      <c r="G143" s="42">
        <f>IF(E143="","",IF(E143&lt;=20,"Easier",IF(E143&lt;=35,"Medium","Hard")))</f>
        <v/>
      </c>
      <c r="H143" s="42" t="inlineStr">
        <is>
          <t>New collection / keyword page + product copy</t>
        </is>
      </c>
    </row>
    <row r="144" ht="15" customHeight="1" s="37">
      <c r="B144" s="42" t="inlineStr">
        <is>
          <t>rice water shampoo</t>
        </is>
      </c>
      <c r="C144" s="42" t="inlineStr">
        <is>
          <t>Generic product term</t>
        </is>
      </c>
      <c r="D144" s="55">
        <f>IFERROR(INDEX('Semrush Data'!$C$2:$C$5000,MATCH(B144,'Semrush Data'!$A$2:$A$5000,0)),"")</f>
        <v/>
      </c>
      <c r="E144" s="42">
        <f>IFERROR(INDEX('Semrush Data'!$D$2:$D$5000,MATCH(B144,'Semrush Data'!$A$2:$A$5000,0)),"")</f>
        <v/>
      </c>
      <c r="F144" s="56">
        <f>IFERROR(INDEX('Semrush Data'!$E$2:$E$5000,MATCH(B144,'Semrush Data'!$A$2:$A$5000,0)),"")</f>
        <v/>
      </c>
      <c r="G144" s="42">
        <f>IF(E144="","",IF(E144&lt;=20,"Easier",IF(E144&lt;=35,"Medium","Hard")))</f>
        <v/>
      </c>
      <c r="H144" s="42" t="inlineStr">
        <is>
          <t>New collection / keyword page + product copy</t>
        </is>
      </c>
    </row>
    <row r="145" ht="15" customHeight="1" s="37">
      <c r="B145" s="42" t="inlineStr">
        <is>
          <t>natural lip balm</t>
        </is>
      </c>
      <c r="C145" s="42" t="inlineStr">
        <is>
          <t>Generic product term</t>
        </is>
      </c>
      <c r="D145" s="55">
        <f>IFERROR(INDEX('Semrush Data'!$C$2:$C$5000,MATCH(B145,'Semrush Data'!$A$2:$A$5000,0)),"")</f>
        <v/>
      </c>
      <c r="E145" s="42">
        <f>IFERROR(INDEX('Semrush Data'!$D$2:$D$5000,MATCH(B145,'Semrush Data'!$A$2:$A$5000,0)),"")</f>
        <v/>
      </c>
      <c r="F145" s="56">
        <f>IFERROR(INDEX('Semrush Data'!$E$2:$E$5000,MATCH(B145,'Semrush Data'!$A$2:$A$5000,0)),"")</f>
        <v/>
      </c>
      <c r="G145" s="42">
        <f>IF(E145="","",IF(E145&lt;=20,"Easier",IF(E145&lt;=35,"Medium","Hard")))</f>
        <v/>
      </c>
      <c r="H145" s="42" t="inlineStr">
        <is>
          <t>New collection / keyword page + product copy</t>
        </is>
      </c>
    </row>
    <row r="146" ht="15" customHeight="1" s="37">
      <c r="B146" s="42" t="inlineStr">
        <is>
          <t>moisturiser for sensitive skin</t>
        </is>
      </c>
      <c r="C146" s="42" t="inlineStr">
        <is>
          <t>Generic product term</t>
        </is>
      </c>
      <c r="D146" s="55">
        <f>IFERROR(INDEX('Semrush Data'!$C$2:$C$5000,MATCH(B146,'Semrush Data'!$A$2:$A$5000,0)),"")</f>
        <v/>
      </c>
      <c r="E146" s="42">
        <f>IFERROR(INDEX('Semrush Data'!$D$2:$D$5000,MATCH(B146,'Semrush Data'!$A$2:$A$5000,0)),"")</f>
        <v/>
      </c>
      <c r="F146" s="56">
        <f>IFERROR(INDEX('Semrush Data'!$E$2:$E$5000,MATCH(B146,'Semrush Data'!$A$2:$A$5000,0)),"")</f>
        <v/>
      </c>
      <c r="G146" s="42">
        <f>IF(E146="","",IF(E146&lt;=20,"Easier",IF(E146&lt;=35,"Medium","Hard")))</f>
        <v/>
      </c>
      <c r="H146" s="42" t="inlineStr">
        <is>
          <t>New collection / keyword page + product copy</t>
        </is>
      </c>
    </row>
    <row r="147" ht="15" customHeight="1" s="37">
      <c r="B147" s="42" t="inlineStr">
        <is>
          <t>vitamin c face wash</t>
        </is>
      </c>
      <c r="C147" s="42" t="inlineStr">
        <is>
          <t>Generic product term</t>
        </is>
      </c>
      <c r="D147" s="55">
        <f>IFERROR(INDEX('Semrush Data'!$C$2:$C$5000,MATCH(B147,'Semrush Data'!$A$2:$A$5000,0)),"")</f>
        <v/>
      </c>
      <c r="E147" s="42">
        <f>IFERROR(INDEX('Semrush Data'!$D$2:$D$5000,MATCH(B147,'Semrush Data'!$A$2:$A$5000,0)),"")</f>
        <v/>
      </c>
      <c r="F147" s="56">
        <f>IFERROR(INDEX('Semrush Data'!$E$2:$E$5000,MATCH(B147,'Semrush Data'!$A$2:$A$5000,0)),"")</f>
        <v/>
      </c>
      <c r="G147" s="42">
        <f>IF(E147="","",IF(E147&lt;=20,"Easier",IF(E147&lt;=35,"Medium","Hard")))</f>
        <v/>
      </c>
      <c r="H147" s="42" t="inlineStr">
        <is>
          <t>New collection / keyword page + product copy</t>
        </is>
      </c>
    </row>
    <row r="148" ht="15" customHeight="1" s="37">
      <c r="B148" s="42" t="inlineStr">
        <is>
          <t>under eye cream for dark circles</t>
        </is>
      </c>
      <c r="C148" s="42" t="inlineStr">
        <is>
          <t>Generic product term</t>
        </is>
      </c>
      <c r="D148" s="55">
        <f>IFERROR(INDEX('Semrush Data'!$C$2:$C$5000,MATCH(B148,'Semrush Data'!$A$2:$A$5000,0)),"")</f>
        <v/>
      </c>
      <c r="E148" s="42">
        <f>IFERROR(INDEX('Semrush Data'!$D$2:$D$5000,MATCH(B148,'Semrush Data'!$A$2:$A$5000,0)),"")</f>
        <v/>
      </c>
      <c r="F148" s="56">
        <f>IFERROR(INDEX('Semrush Data'!$E$2:$E$5000,MATCH(B148,'Semrush Data'!$A$2:$A$5000,0)),"")</f>
        <v/>
      </c>
      <c r="G148" s="42">
        <f>IF(E148="","",IF(E148&lt;=20,"Easier",IF(E148&lt;=35,"Medium","Hard")))</f>
        <v/>
      </c>
      <c r="H148" s="42" t="inlineStr">
        <is>
          <t>New collection / keyword page + product copy</t>
        </is>
      </c>
    </row>
    <row r="149" ht="15" customHeight="1" s="37">
      <c r="B149" s="42" t="inlineStr">
        <is>
          <t>natural deodorant for women</t>
        </is>
      </c>
      <c r="C149" s="42" t="inlineStr">
        <is>
          <t>Generic product term</t>
        </is>
      </c>
      <c r="D149" s="55">
        <f>IFERROR(INDEX('Semrush Data'!$C$2:$C$5000,MATCH(B149,'Semrush Data'!$A$2:$A$5000,0)),"")</f>
        <v/>
      </c>
      <c r="E149" s="42">
        <f>IFERROR(INDEX('Semrush Data'!$D$2:$D$5000,MATCH(B149,'Semrush Data'!$A$2:$A$5000,0)),"")</f>
        <v/>
      </c>
      <c r="F149" s="56">
        <f>IFERROR(INDEX('Semrush Data'!$E$2:$E$5000,MATCH(B149,'Semrush Data'!$A$2:$A$5000,0)),"")</f>
        <v/>
      </c>
      <c r="G149" s="42">
        <f>IF(E149="","",IF(E149&lt;=20,"Easier",IF(E149&lt;=35,"Medium","Hard")))</f>
        <v/>
      </c>
      <c r="H149" s="42" t="inlineStr">
        <is>
          <t>New collection / keyword page + product copy</t>
        </is>
      </c>
    </row>
    <row r="150" ht="15" customHeight="1" s="37">
      <c r="B150" s="42" t="inlineStr">
        <is>
          <t>conditioner for dry hair</t>
        </is>
      </c>
      <c r="C150" s="42" t="inlineStr">
        <is>
          <t>Generic product term</t>
        </is>
      </c>
      <c r="D150" s="55">
        <f>IFERROR(INDEX('Semrush Data'!$C$2:$C$5000,MATCH(B150,'Semrush Data'!$A$2:$A$5000,0)),"")</f>
        <v/>
      </c>
      <c r="E150" s="42">
        <f>IFERROR(INDEX('Semrush Data'!$D$2:$D$5000,MATCH(B150,'Semrush Data'!$A$2:$A$5000,0)),"")</f>
        <v/>
      </c>
      <c r="F150" s="56">
        <f>IFERROR(INDEX('Semrush Data'!$E$2:$E$5000,MATCH(B150,'Semrush Data'!$A$2:$A$5000,0)),"")</f>
        <v/>
      </c>
      <c r="G150" s="42">
        <f>IF(E150="","",IF(E150&lt;=20,"Easier",IF(E150&lt;=35,"Medium","Hard")))</f>
        <v/>
      </c>
      <c r="H150" s="42" t="inlineStr">
        <is>
          <t>New collection / keyword page + product copy</t>
        </is>
      </c>
    </row>
    <row r="151" ht="15" customHeight="1" s="37">
      <c r="B151" s="42" t="inlineStr">
        <is>
          <t>moisturiser for combination skin</t>
        </is>
      </c>
      <c r="C151" s="42" t="inlineStr">
        <is>
          <t>Generic product term</t>
        </is>
      </c>
      <c r="D151" s="55">
        <f>IFERROR(INDEX('Semrush Data'!$C$2:$C$5000,MATCH(B151,'Semrush Data'!$A$2:$A$5000,0)),"")</f>
        <v/>
      </c>
      <c r="E151" s="42">
        <f>IFERROR(INDEX('Semrush Data'!$D$2:$D$5000,MATCH(B151,'Semrush Data'!$A$2:$A$5000,0)),"")</f>
        <v/>
      </c>
      <c r="F151" s="56">
        <f>IFERROR(INDEX('Semrush Data'!$E$2:$E$5000,MATCH(B151,'Semrush Data'!$A$2:$A$5000,0)),"")</f>
        <v/>
      </c>
      <c r="G151" s="42">
        <f>IF(E151="","",IF(E151&lt;=20,"Easier",IF(E151&lt;=35,"Medium","Hard")))</f>
        <v/>
      </c>
      <c r="H151" s="42" t="inlineStr">
        <is>
          <t>New collection / keyword page + product copy</t>
        </is>
      </c>
    </row>
    <row r="152" ht="15" customHeight="1" s="37">
      <c r="B152" s="42" t="inlineStr">
        <is>
          <t>toner for oily skin</t>
        </is>
      </c>
      <c r="C152" s="42" t="inlineStr">
        <is>
          <t>Generic product term</t>
        </is>
      </c>
      <c r="D152" s="55">
        <f>IFERROR(INDEX('Semrush Data'!$C$2:$C$5000,MATCH(B152,'Semrush Data'!$A$2:$A$5000,0)),"")</f>
        <v/>
      </c>
      <c r="E152" s="42">
        <f>IFERROR(INDEX('Semrush Data'!$D$2:$D$5000,MATCH(B152,'Semrush Data'!$A$2:$A$5000,0)),"")</f>
        <v/>
      </c>
      <c r="F152" s="56">
        <f>IFERROR(INDEX('Semrush Data'!$E$2:$E$5000,MATCH(B152,'Semrush Data'!$A$2:$A$5000,0)),"")</f>
        <v/>
      </c>
      <c r="G152" s="42">
        <f>IF(E152="","",IF(E152&lt;=20,"Easier",IF(E152&lt;=35,"Medium","Hard")))</f>
        <v/>
      </c>
      <c r="H152" s="42" t="inlineStr">
        <is>
          <t>New collection / keyword page + product copy</t>
        </is>
      </c>
    </row>
    <row r="153" ht="15" customHeight="1" s="37">
      <c r="B153" s="42" t="inlineStr">
        <is>
          <t>paraben free shampoo</t>
        </is>
      </c>
      <c r="C153" s="42" t="inlineStr">
        <is>
          <t>Generic product term</t>
        </is>
      </c>
      <c r="D153" s="55">
        <f>IFERROR(INDEX('Semrush Data'!$C$2:$C$5000,MATCH(B153,'Semrush Data'!$A$2:$A$5000,0)),"")</f>
        <v/>
      </c>
      <c r="E153" s="42">
        <f>IFERROR(INDEX('Semrush Data'!$D$2:$D$5000,MATCH(B153,'Semrush Data'!$A$2:$A$5000,0)),"")</f>
        <v/>
      </c>
      <c r="F153" s="56">
        <f>IFERROR(INDEX('Semrush Data'!$E$2:$E$5000,MATCH(B153,'Semrush Data'!$A$2:$A$5000,0)),"")</f>
        <v/>
      </c>
      <c r="G153" s="42">
        <f>IF(E153="","",IF(E153&lt;=20,"Easier",IF(E153&lt;=35,"Medium","Hard")))</f>
        <v/>
      </c>
      <c r="H153" s="42" t="inlineStr">
        <is>
          <t>New collection / keyword page + product copy</t>
        </is>
      </c>
    </row>
    <row r="154" ht="15" customHeight="1" s="37">
      <c r="B154" s="42" t="inlineStr">
        <is>
          <t>natural moisturiser</t>
        </is>
      </c>
      <c r="C154" s="42" t="inlineStr">
        <is>
          <t>Generic product term</t>
        </is>
      </c>
      <c r="D154" s="55">
        <f>IFERROR(INDEX('Semrush Data'!$C$2:$C$5000,MATCH(B154,'Semrush Data'!$A$2:$A$5000,0)),"")</f>
        <v/>
      </c>
      <c r="E154" s="42">
        <f>IFERROR(INDEX('Semrush Data'!$D$2:$D$5000,MATCH(B154,'Semrush Data'!$A$2:$A$5000,0)),"")</f>
        <v/>
      </c>
      <c r="F154" s="56">
        <f>IFERROR(INDEX('Semrush Data'!$E$2:$E$5000,MATCH(B154,'Semrush Data'!$A$2:$A$5000,0)),"")</f>
        <v/>
      </c>
      <c r="G154" s="42">
        <f>IF(E154="","",IF(E154&lt;=20,"Easier",IF(E154&lt;=35,"Medium","Hard")))</f>
        <v/>
      </c>
      <c r="H154" s="42" t="inlineStr">
        <is>
          <t>New collection / keyword page + product copy</t>
        </is>
      </c>
    </row>
    <row r="156" ht="15.75" customHeight="1" s="37">
      <c r="A156" s="50" t="inlineStr">
        <is>
          <t>Questions &amp; buying searches (Tier 3)</t>
        </is>
      </c>
    </row>
    <row r="157" ht="15" customHeight="1" s="37">
      <c r="A157" s="51" t="inlineStr">
        <is>
          <t>What people ask and how they shop for the hero and Vilvah &amp; Deyga products.</t>
        </is>
      </c>
    </row>
    <row r="158" ht="15" customHeight="1" s="37">
      <c r="A158" s="53" t="n"/>
      <c r="B158" s="53" t="inlineStr">
        <is>
          <t>Keyword</t>
        </is>
      </c>
      <c r="C158" s="53" t="inlineStr">
        <is>
          <t>Type</t>
        </is>
      </c>
      <c r="D158" s="53" t="inlineStr">
        <is>
          <t>Volume</t>
        </is>
      </c>
      <c r="E158" s="53" t="inlineStr">
        <is>
          <t>KD</t>
        </is>
      </c>
      <c r="F158" s="53" t="inlineStr">
        <is>
          <t>CPC ($)</t>
        </is>
      </c>
      <c r="G158" s="53" t="inlineStr">
        <is>
          <t>Ease</t>
        </is>
      </c>
      <c r="H158" s="53" t="inlineStr">
        <is>
          <t>Where to use</t>
        </is>
      </c>
    </row>
    <row r="159" ht="15" customHeight="1" s="37">
      <c r="B159" s="42" t="inlineStr">
        <is>
          <t>joop homme</t>
        </is>
      </c>
      <c r="C159" s="42" t="inlineStr">
        <is>
          <t>Google suggest</t>
        </is>
      </c>
      <c r="D159" s="55">
        <f>IFERROR(INDEX('Semrush Data'!$C$2:$C$5000,MATCH(B159,'Semrush Data'!$A$2:$A$5000,0)),"")</f>
        <v/>
      </c>
      <c r="E159" s="42">
        <f>IFERROR(INDEX('Semrush Data'!$D$2:$D$5000,MATCH(B159,'Semrush Data'!$A$2:$A$5000,0)),"")</f>
        <v/>
      </c>
      <c r="F159" s="56">
        <f>IFERROR(INDEX('Semrush Data'!$E$2:$E$5000,MATCH(B159,'Semrush Data'!$A$2:$A$5000,0)),"")</f>
        <v/>
      </c>
      <c r="G159" s="42">
        <f>IF(E159="","",IF(E159&lt;=20,"Easier",IF(E159&lt;=35,"Medium","Hard")))</f>
        <v/>
      </c>
      <c r="H159" s="42" t="inlineStr">
        <is>
          <t>Product copy / secondary keyword</t>
        </is>
      </c>
    </row>
    <row r="160" ht="15" customHeight="1" s="37">
      <c r="B160" s="42" t="inlineStr">
        <is>
          <t>dior sauvage parfum</t>
        </is>
      </c>
      <c r="C160" s="42" t="inlineStr">
        <is>
          <t>Google suggest</t>
        </is>
      </c>
      <c r="D160" s="55">
        <f>IFERROR(INDEX('Semrush Data'!$C$2:$C$5000,MATCH(B160,'Semrush Data'!$A$2:$A$5000,0)),"")</f>
        <v/>
      </c>
      <c r="E160" s="42">
        <f>IFERROR(INDEX('Semrush Data'!$D$2:$D$5000,MATCH(B160,'Semrush Data'!$A$2:$A$5000,0)),"")</f>
        <v/>
      </c>
      <c r="F160" s="56">
        <f>IFERROR(INDEX('Semrush Data'!$E$2:$E$5000,MATCH(B160,'Semrush Data'!$A$2:$A$5000,0)),"")</f>
        <v/>
      </c>
      <c r="G160" s="42">
        <f>IF(E160="","",IF(E160&lt;=20,"Easier",IF(E160&lt;=35,"Medium","Hard")))</f>
        <v/>
      </c>
      <c r="H160" s="42" t="inlineStr">
        <is>
          <t>Product copy / secondary keyword</t>
        </is>
      </c>
    </row>
    <row r="161" ht="15" customHeight="1" s="37">
      <c r="B161" s="42" t="inlineStr">
        <is>
          <t>calvin klein eternity for women</t>
        </is>
      </c>
      <c r="C161" s="42" t="inlineStr">
        <is>
          <t>Google suggest</t>
        </is>
      </c>
      <c r="D161" s="55">
        <f>IFERROR(INDEX('Semrush Data'!$C$2:$C$5000,MATCH(B161,'Semrush Data'!$A$2:$A$5000,0)),"")</f>
        <v/>
      </c>
      <c r="E161" s="42">
        <f>IFERROR(INDEX('Semrush Data'!$D$2:$D$5000,MATCH(B161,'Semrush Data'!$A$2:$A$5000,0)),"")</f>
        <v/>
      </c>
      <c r="F161" s="56">
        <f>IFERROR(INDEX('Semrush Data'!$E$2:$E$5000,MATCH(B161,'Semrush Data'!$A$2:$A$5000,0)),"")</f>
        <v/>
      </c>
      <c r="G161" s="42">
        <f>IF(E161="","",IF(E161&lt;=20,"Easier",IF(E161&lt;=35,"Medium","Hard")))</f>
        <v/>
      </c>
      <c r="H161" s="42" t="inlineStr">
        <is>
          <t>Product copy / secondary keyword</t>
        </is>
      </c>
    </row>
    <row r="162" ht="15" customHeight="1" s="37">
      <c r="B162" s="42" t="inlineStr">
        <is>
          <t>chloe nomade perfume</t>
        </is>
      </c>
      <c r="C162" s="42" t="inlineStr">
        <is>
          <t>Google suggest</t>
        </is>
      </c>
      <c r="D162" s="55">
        <f>IFERROR(INDEX('Semrush Data'!$C$2:$C$5000,MATCH(B162,'Semrush Data'!$A$2:$A$5000,0)),"")</f>
        <v/>
      </c>
      <c r="E162" s="42">
        <f>IFERROR(INDEX('Semrush Data'!$D$2:$D$5000,MATCH(B162,'Semrush Data'!$A$2:$A$5000,0)),"")</f>
        <v/>
      </c>
      <c r="F162" s="56">
        <f>IFERROR(INDEX('Semrush Data'!$E$2:$E$5000,MATCH(B162,'Semrush Data'!$A$2:$A$5000,0)),"")</f>
        <v/>
      </c>
      <c r="G162" s="42">
        <f>IF(E162="","",IF(E162&lt;=20,"Easier",IF(E162&lt;=35,"Medium","Hard")))</f>
        <v/>
      </c>
      <c r="H162" s="42" t="inlineStr">
        <is>
          <t>Product copy / secondary keyword</t>
        </is>
      </c>
    </row>
    <row r="163" ht="15" customHeight="1" s="37">
      <c r="B163" s="42" t="inlineStr">
        <is>
          <t>calvin klein eternity for men</t>
        </is>
      </c>
      <c r="C163" s="42" t="inlineStr">
        <is>
          <t>Google suggest</t>
        </is>
      </c>
      <c r="D163" s="55">
        <f>IFERROR(INDEX('Semrush Data'!$C$2:$C$5000,MATCH(B163,'Semrush Data'!$A$2:$A$5000,0)),"")</f>
        <v/>
      </c>
      <c r="E163" s="42">
        <f>IFERROR(INDEX('Semrush Data'!$D$2:$D$5000,MATCH(B163,'Semrush Data'!$A$2:$A$5000,0)),"")</f>
        <v/>
      </c>
      <c r="F163" s="56">
        <f>IFERROR(INDEX('Semrush Data'!$E$2:$E$5000,MATCH(B163,'Semrush Data'!$A$2:$A$5000,0)),"")</f>
        <v/>
      </c>
      <c r="G163" s="42">
        <f>IF(E163="","",IF(E163&lt;=20,"Easier",IF(E163&lt;=35,"Medium","Hard")))</f>
        <v/>
      </c>
      <c r="H163" s="42" t="inlineStr">
        <is>
          <t>Product copy / secondary keyword</t>
        </is>
      </c>
    </row>
    <row r="164" ht="15" customHeight="1" s="37">
      <c r="B164" s="42" t="inlineStr">
        <is>
          <t>marc jacobs perfect perfume</t>
        </is>
      </c>
      <c r="C164" s="42" t="inlineStr">
        <is>
          <t>Google suggest</t>
        </is>
      </c>
      <c r="D164" s="55">
        <f>IFERROR(INDEX('Semrush Data'!$C$2:$C$5000,MATCH(B164,'Semrush Data'!$A$2:$A$5000,0)),"")</f>
        <v/>
      </c>
      <c r="E164" s="42">
        <f>IFERROR(INDEX('Semrush Data'!$D$2:$D$5000,MATCH(B164,'Semrush Data'!$A$2:$A$5000,0)),"")</f>
        <v/>
      </c>
      <c r="F164" s="56">
        <f>IFERROR(INDEX('Semrush Data'!$E$2:$E$5000,MATCH(B164,'Semrush Data'!$A$2:$A$5000,0)),"")</f>
        <v/>
      </c>
      <c r="G164" s="42">
        <f>IF(E164="","",IF(E164&lt;=20,"Easier",IF(E164&lt;=35,"Medium","Hard")))</f>
        <v/>
      </c>
      <c r="H164" s="42" t="inlineStr">
        <is>
          <t>Product copy / secondary keyword</t>
        </is>
      </c>
    </row>
    <row r="165" ht="15" customHeight="1" s="37">
      <c r="B165" s="42" t="inlineStr">
        <is>
          <t>paloma picasso perfume</t>
        </is>
      </c>
      <c r="C165" s="42" t="inlineStr">
        <is>
          <t>Google suggest</t>
        </is>
      </c>
      <c r="D165" s="55">
        <f>IFERROR(INDEX('Semrush Data'!$C$2:$C$5000,MATCH(B165,'Semrush Data'!$A$2:$A$5000,0)),"")</f>
        <v/>
      </c>
      <c r="E165" s="42">
        <f>IFERROR(INDEX('Semrush Data'!$D$2:$D$5000,MATCH(B165,'Semrush Data'!$A$2:$A$5000,0)),"")</f>
        <v/>
      </c>
      <c r="F165" s="56">
        <f>IFERROR(INDEX('Semrush Data'!$E$2:$E$5000,MATCH(B165,'Semrush Data'!$A$2:$A$5000,0)),"")</f>
        <v/>
      </c>
      <c r="G165" s="42">
        <f>IF(E165="","",IF(E165&lt;=20,"Easier",IF(E165&lt;=35,"Medium","Hard")))</f>
        <v/>
      </c>
      <c r="H165" s="42" t="inlineStr">
        <is>
          <t>Product copy / secondary keyword</t>
        </is>
      </c>
    </row>
    <row r="166" ht="15" customHeight="1" s="37">
      <c r="B166" s="42" t="inlineStr">
        <is>
          <t>bentley azure for sale</t>
        </is>
      </c>
      <c r="C166" s="42" t="inlineStr">
        <is>
          <t>Google suggest</t>
        </is>
      </c>
      <c r="D166" s="55">
        <f>IFERROR(INDEX('Semrush Data'!$C$2:$C$5000,MATCH(B166,'Semrush Data'!$A$2:$A$5000,0)),"")</f>
        <v/>
      </c>
      <c r="E166" s="42">
        <f>IFERROR(INDEX('Semrush Data'!$D$2:$D$5000,MATCH(B166,'Semrush Data'!$A$2:$A$5000,0)),"")</f>
        <v/>
      </c>
      <c r="F166" s="56">
        <f>IFERROR(INDEX('Semrush Data'!$E$2:$E$5000,MATCH(B166,'Semrush Data'!$A$2:$A$5000,0)),"")</f>
        <v/>
      </c>
      <c r="G166" s="42">
        <f>IF(E166="","",IF(E166&lt;=20,"Easier",IF(E166&lt;=35,"Medium","Hard")))</f>
        <v/>
      </c>
      <c r="H166" s="42" t="inlineStr">
        <is>
          <t>Product copy / secondary keyword</t>
        </is>
      </c>
    </row>
    <row r="167" ht="15" customHeight="1" s="37">
      <c r="B167" s="42" t="inlineStr">
        <is>
          <t>dior sauvage price</t>
        </is>
      </c>
      <c r="C167" s="42" t="inlineStr">
        <is>
          <t>Price</t>
        </is>
      </c>
      <c r="D167" s="55">
        <f>IFERROR(INDEX('Semrush Data'!$C$2:$C$5000,MATCH(B167,'Semrush Data'!$A$2:$A$5000,0)),"")</f>
        <v/>
      </c>
      <c r="E167" s="42">
        <f>IFERROR(INDEX('Semrush Data'!$D$2:$D$5000,MATCH(B167,'Semrush Data'!$A$2:$A$5000,0)),"")</f>
        <v/>
      </c>
      <c r="F167" s="56">
        <f>IFERROR(INDEX('Semrush Data'!$E$2:$E$5000,MATCH(B167,'Semrush Data'!$A$2:$A$5000,0)),"")</f>
        <v/>
      </c>
      <c r="G167" s="42">
        <f>IF(E167="","",IF(E167&lt;=20,"Easier",IF(E167&lt;=35,"Medium","Hard")))</f>
        <v/>
      </c>
      <c r="H167" s="42" t="inlineStr">
        <is>
          <t>Meta title / description wording</t>
        </is>
      </c>
    </row>
    <row r="168" ht="15" customHeight="1" s="37">
      <c r="B168" s="42" t="inlineStr">
        <is>
          <t>dolce &amp; gabbana the one for men</t>
        </is>
      </c>
      <c r="C168" s="42" t="inlineStr">
        <is>
          <t>Google suggest</t>
        </is>
      </c>
      <c r="D168" s="55">
        <f>IFERROR(INDEX('Semrush Data'!$C$2:$C$5000,MATCH(B168,'Semrush Data'!$A$2:$A$5000,0)),"")</f>
        <v/>
      </c>
      <c r="E168" s="42">
        <f>IFERROR(INDEX('Semrush Data'!$D$2:$D$5000,MATCH(B168,'Semrush Data'!$A$2:$A$5000,0)),"")</f>
        <v/>
      </c>
      <c r="F168" s="56">
        <f>IFERROR(INDEX('Semrush Data'!$E$2:$E$5000,MATCH(B168,'Semrush Data'!$A$2:$A$5000,0)),"")</f>
        <v/>
      </c>
      <c r="G168" s="42">
        <f>IF(E168="","",IF(E168&lt;=20,"Easier",IF(E168&lt;=35,"Medium","Hard")))</f>
        <v/>
      </c>
      <c r="H168" s="42" t="inlineStr">
        <is>
          <t>Product copy / secondary keyword</t>
        </is>
      </c>
    </row>
    <row r="169" ht="15" customHeight="1" s="37">
      <c r="B169" s="42" t="inlineStr">
        <is>
          <t>dolce &amp; gabbana the one edp</t>
        </is>
      </c>
      <c r="C169" s="42" t="inlineStr">
        <is>
          <t>Google suggest</t>
        </is>
      </c>
      <c r="D169" s="55">
        <f>IFERROR(INDEX('Semrush Data'!$C$2:$C$5000,MATCH(B169,'Semrush Data'!$A$2:$A$5000,0)),"")</f>
        <v/>
      </c>
      <c r="E169" s="42">
        <f>IFERROR(INDEX('Semrush Data'!$D$2:$D$5000,MATCH(B169,'Semrush Data'!$A$2:$A$5000,0)),"")</f>
        <v/>
      </c>
      <c r="F169" s="56">
        <f>IFERROR(INDEX('Semrush Data'!$E$2:$E$5000,MATCH(B169,'Semrush Data'!$A$2:$A$5000,0)),"")</f>
        <v/>
      </c>
      <c r="G169" s="42">
        <f>IF(E169="","",IF(E169&lt;=20,"Easier",IF(E169&lt;=35,"Medium","Hard")))</f>
        <v/>
      </c>
      <c r="H169" s="42" t="inlineStr">
        <is>
          <t>Product copy / secondary keyword</t>
        </is>
      </c>
    </row>
    <row r="170" ht="15" customHeight="1" s="37">
      <c r="B170" s="42" t="inlineStr">
        <is>
          <t>bvlgari man in black parfum</t>
        </is>
      </c>
      <c r="C170" s="42" t="inlineStr">
        <is>
          <t>Google suggest</t>
        </is>
      </c>
      <c r="D170" s="55">
        <f>IFERROR(INDEX('Semrush Data'!$C$2:$C$5000,MATCH(B170,'Semrush Data'!$A$2:$A$5000,0)),"")</f>
        <v/>
      </c>
      <c r="E170" s="42">
        <f>IFERROR(INDEX('Semrush Data'!$D$2:$D$5000,MATCH(B170,'Semrush Data'!$A$2:$A$5000,0)),"")</f>
        <v/>
      </c>
      <c r="F170" s="56">
        <f>IFERROR(INDEX('Semrush Data'!$E$2:$E$5000,MATCH(B170,'Semrush Data'!$A$2:$A$5000,0)),"")</f>
        <v/>
      </c>
      <c r="G170" s="42">
        <f>IF(E170="","",IF(E170&lt;=20,"Easier",IF(E170&lt;=35,"Medium","Hard")))</f>
        <v/>
      </c>
      <c r="H170" s="42" t="inlineStr">
        <is>
          <t>Product copy / secondary keyword</t>
        </is>
      </c>
    </row>
    <row r="171" ht="15" customHeight="1" s="37">
      <c r="B171" s="42" t="inlineStr">
        <is>
          <t>givenchy amarige perfume</t>
        </is>
      </c>
      <c r="C171" s="42" t="inlineStr">
        <is>
          <t>Google suggest</t>
        </is>
      </c>
      <c r="D171" s="55">
        <f>IFERROR(INDEX('Semrush Data'!$C$2:$C$5000,MATCH(B171,'Semrush Data'!$A$2:$A$5000,0)),"")</f>
        <v/>
      </c>
      <c r="E171" s="42">
        <f>IFERROR(INDEX('Semrush Data'!$D$2:$D$5000,MATCH(B171,'Semrush Data'!$A$2:$A$5000,0)),"")</f>
        <v/>
      </c>
      <c r="F171" s="56">
        <f>IFERROR(INDEX('Semrush Data'!$E$2:$E$5000,MATCH(B171,'Semrush Data'!$A$2:$A$5000,0)),"")</f>
        <v/>
      </c>
      <c r="G171" s="42">
        <f>IF(E171="","",IF(E171&lt;=20,"Easier",IF(E171&lt;=35,"Medium","Hard")))</f>
        <v/>
      </c>
      <c r="H171" s="42" t="inlineStr">
        <is>
          <t>Product copy / secondary keyword</t>
        </is>
      </c>
    </row>
    <row r="172" ht="15" customHeight="1" s="37">
      <c r="B172" s="42" t="inlineStr">
        <is>
          <t>paloma picasso perfume 100ml</t>
        </is>
      </c>
      <c r="C172" s="42" t="inlineStr">
        <is>
          <t>Google suggest</t>
        </is>
      </c>
      <c r="D172" s="55">
        <f>IFERROR(INDEX('Semrush Data'!$C$2:$C$5000,MATCH(B172,'Semrush Data'!$A$2:$A$5000,0)),"")</f>
        <v/>
      </c>
      <c r="E172" s="42">
        <f>IFERROR(INDEX('Semrush Data'!$D$2:$D$5000,MATCH(B172,'Semrush Data'!$A$2:$A$5000,0)),"")</f>
        <v/>
      </c>
      <c r="F172" s="56">
        <f>IFERROR(INDEX('Semrush Data'!$E$2:$E$5000,MATCH(B172,'Semrush Data'!$A$2:$A$5000,0)),"")</f>
        <v/>
      </c>
      <c r="G172" s="42">
        <f>IF(E172="","",IF(E172&lt;=20,"Easier",IF(E172&lt;=35,"Medium","Hard")))</f>
        <v/>
      </c>
      <c r="H172" s="42" t="inlineStr">
        <is>
          <t>Product copy / secondary keyword</t>
        </is>
      </c>
    </row>
    <row r="173" ht="15" customHeight="1" s="37">
      <c r="B173" s="42" t="inlineStr">
        <is>
          <t>dior sauvage extrait</t>
        </is>
      </c>
      <c r="C173" s="42" t="inlineStr">
        <is>
          <t>Google suggest</t>
        </is>
      </c>
      <c r="D173" s="55">
        <f>IFERROR(INDEX('Semrush Data'!$C$2:$C$5000,MATCH(B173,'Semrush Data'!$A$2:$A$5000,0)),"")</f>
        <v/>
      </c>
      <c r="E173" s="42">
        <f>IFERROR(INDEX('Semrush Data'!$D$2:$D$5000,MATCH(B173,'Semrush Data'!$A$2:$A$5000,0)),"")</f>
        <v/>
      </c>
      <c r="F173" s="56">
        <f>IFERROR(INDEX('Semrush Data'!$E$2:$E$5000,MATCH(B173,'Semrush Data'!$A$2:$A$5000,0)),"")</f>
        <v/>
      </c>
      <c r="G173" s="42">
        <f>IF(E173="","",IF(E173&lt;=20,"Easier",IF(E173&lt;=35,"Medium","Hard")))</f>
        <v/>
      </c>
      <c r="H173" s="42" t="inlineStr">
        <is>
          <t>Product copy / secondary keyword</t>
        </is>
      </c>
    </row>
    <row r="174" ht="15" customHeight="1" s="37">
      <c r="B174" s="42" t="inlineStr">
        <is>
          <t>gucci intense oud review</t>
        </is>
      </c>
      <c r="C174" s="42" t="inlineStr">
        <is>
          <t>Google suggest</t>
        </is>
      </c>
      <c r="D174" s="55">
        <f>IFERROR(INDEX('Semrush Data'!$C$2:$C$5000,MATCH(B174,'Semrush Data'!$A$2:$A$5000,0)),"")</f>
        <v/>
      </c>
      <c r="E174" s="42">
        <f>IFERROR(INDEX('Semrush Data'!$D$2:$D$5000,MATCH(B174,'Semrush Data'!$A$2:$A$5000,0)),"")</f>
        <v/>
      </c>
      <c r="F174" s="56">
        <f>IFERROR(INDEX('Semrush Data'!$E$2:$E$5000,MATCH(B174,'Semrush Data'!$A$2:$A$5000,0)),"")</f>
        <v/>
      </c>
      <c r="G174" s="42">
        <f>IF(E174="","",IF(E174&lt;=20,"Easier",IF(E174&lt;=35,"Medium","Hard")))</f>
        <v/>
      </c>
      <c r="H174" s="42" t="inlineStr">
        <is>
          <t>Product FAQ question</t>
        </is>
      </c>
    </row>
    <row r="175" ht="15" customHeight="1" s="37">
      <c r="B175" s="42" t="inlineStr">
        <is>
          <t>guerlain habit rouge parfum</t>
        </is>
      </c>
      <c r="C175" s="42" t="inlineStr">
        <is>
          <t>Google suggest</t>
        </is>
      </c>
      <c r="D175" s="55">
        <f>IFERROR(INDEX('Semrush Data'!$C$2:$C$5000,MATCH(B175,'Semrush Data'!$A$2:$A$5000,0)),"")</f>
        <v/>
      </c>
      <c r="E175" s="42">
        <f>IFERROR(INDEX('Semrush Data'!$D$2:$D$5000,MATCH(B175,'Semrush Data'!$A$2:$A$5000,0)),"")</f>
        <v/>
      </c>
      <c r="F175" s="56">
        <f>IFERROR(INDEX('Semrush Data'!$E$2:$E$5000,MATCH(B175,'Semrush Data'!$A$2:$A$5000,0)),"")</f>
        <v/>
      </c>
      <c r="G175" s="42">
        <f>IF(E175="","",IF(E175&lt;=20,"Easier",IF(E175&lt;=35,"Medium","Hard")))</f>
        <v/>
      </c>
      <c r="H175" s="42" t="inlineStr">
        <is>
          <t>Product copy / secondary keyword</t>
        </is>
      </c>
    </row>
    <row r="176" ht="15" customHeight="1" s="37">
      <c r="B176" s="42" t="inlineStr">
        <is>
          <t>marc jacobs honey review</t>
        </is>
      </c>
      <c r="C176" s="42" t="inlineStr">
        <is>
          <t>Google suggest</t>
        </is>
      </c>
      <c r="D176" s="55">
        <f>IFERROR(INDEX('Semrush Data'!$C$2:$C$5000,MATCH(B176,'Semrush Data'!$A$2:$A$5000,0)),"")</f>
        <v/>
      </c>
      <c r="E176" s="42">
        <f>IFERROR(INDEX('Semrush Data'!$D$2:$D$5000,MATCH(B176,'Semrush Data'!$A$2:$A$5000,0)),"")</f>
        <v/>
      </c>
      <c r="F176" s="56">
        <f>IFERROR(INDEX('Semrush Data'!$E$2:$E$5000,MATCH(B176,'Semrush Data'!$A$2:$A$5000,0)),"")</f>
        <v/>
      </c>
      <c r="G176" s="42">
        <f>IF(E176="","",IF(E176&lt;=20,"Easier",IF(E176&lt;=35,"Medium","Hard")))</f>
        <v/>
      </c>
      <c r="H176" s="42" t="inlineStr">
        <is>
          <t>Product FAQ question</t>
        </is>
      </c>
    </row>
    <row r="177" ht="15" customHeight="1" s="37">
      <c r="B177" s="42" t="inlineStr">
        <is>
          <t>gucci intense oud price</t>
        </is>
      </c>
      <c r="C177" s="42" t="inlineStr">
        <is>
          <t>Price</t>
        </is>
      </c>
      <c r="D177" s="55">
        <f>IFERROR(INDEX('Semrush Data'!$C$2:$C$5000,MATCH(B177,'Semrush Data'!$A$2:$A$5000,0)),"")</f>
        <v/>
      </c>
      <c r="E177" s="42">
        <f>IFERROR(INDEX('Semrush Data'!$D$2:$D$5000,MATCH(B177,'Semrush Data'!$A$2:$A$5000,0)),"")</f>
        <v/>
      </c>
      <c r="F177" s="56">
        <f>IFERROR(INDEX('Semrush Data'!$E$2:$E$5000,MATCH(B177,'Semrush Data'!$A$2:$A$5000,0)),"")</f>
        <v/>
      </c>
      <c r="G177" s="42">
        <f>IF(E177="","",IF(E177&lt;=20,"Easier",IF(E177&lt;=35,"Medium","Hard")))</f>
        <v/>
      </c>
      <c r="H177" s="42" t="inlineStr">
        <is>
          <t>Meta title / description wording</t>
        </is>
      </c>
    </row>
    <row r="178" ht="15" customHeight="1" s="37">
      <c r="B178" s="42" t="inlineStr">
        <is>
          <t>davidoff the game perfume</t>
        </is>
      </c>
      <c r="C178" s="42" t="inlineStr">
        <is>
          <t>Google suggest</t>
        </is>
      </c>
      <c r="D178" s="55">
        <f>IFERROR(INDEX('Semrush Data'!$C$2:$C$5000,MATCH(B178,'Semrush Data'!$A$2:$A$5000,0)),"")</f>
        <v/>
      </c>
      <c r="E178" s="42">
        <f>IFERROR(INDEX('Semrush Data'!$D$2:$D$5000,MATCH(B178,'Semrush Data'!$A$2:$A$5000,0)),"")</f>
        <v/>
      </c>
      <c r="F178" s="56">
        <f>IFERROR(INDEX('Semrush Data'!$E$2:$E$5000,MATCH(B178,'Semrush Data'!$A$2:$A$5000,0)),"")</f>
        <v/>
      </c>
      <c r="G178" s="42">
        <f>IF(E178="","",IF(E178&lt;=20,"Easier",IF(E178&lt;=35,"Medium","Hard")))</f>
        <v/>
      </c>
      <c r="H178" s="42" t="inlineStr">
        <is>
          <t>Product copy / secondary keyword</t>
        </is>
      </c>
    </row>
    <row r="179" ht="15" customHeight="1" s="37">
      <c r="B179" s="42" t="inlineStr">
        <is>
          <t>gucci flora gorgeous gardenia dupe</t>
        </is>
      </c>
      <c r="C179" s="42" t="inlineStr">
        <is>
          <t>Google suggest</t>
        </is>
      </c>
      <c r="D179" s="55">
        <f>IFERROR(INDEX('Semrush Data'!$C$2:$C$5000,MATCH(B179,'Semrush Data'!$A$2:$A$5000,0)),"")</f>
        <v/>
      </c>
      <c r="E179" s="42">
        <f>IFERROR(INDEX('Semrush Data'!$D$2:$D$5000,MATCH(B179,'Semrush Data'!$A$2:$A$5000,0)),"")</f>
        <v/>
      </c>
      <c r="F179" s="56">
        <f>IFERROR(INDEX('Semrush Data'!$E$2:$E$5000,MATCH(B179,'Semrush Data'!$A$2:$A$5000,0)),"")</f>
        <v/>
      </c>
      <c r="G179" s="42">
        <f>IF(E179="","",IF(E179&lt;=20,"Easier",IF(E179&lt;=35,"Medium","Hard")))</f>
        <v/>
      </c>
      <c r="H179" s="42" t="inlineStr">
        <is>
          <t>Product FAQ question</t>
        </is>
      </c>
    </row>
    <row r="180" ht="15" customHeight="1" s="37">
      <c r="B180" s="42" t="inlineStr">
        <is>
          <t>joop homme notes</t>
        </is>
      </c>
      <c r="C180" s="42" t="inlineStr">
        <is>
          <t>Google suggest</t>
        </is>
      </c>
      <c r="D180" s="55">
        <f>IFERROR(INDEX('Semrush Data'!$C$2:$C$5000,MATCH(B180,'Semrush Data'!$A$2:$A$5000,0)),"")</f>
        <v/>
      </c>
      <c r="E180" s="42">
        <f>IFERROR(INDEX('Semrush Data'!$D$2:$D$5000,MATCH(B180,'Semrush Data'!$A$2:$A$5000,0)),"")</f>
        <v/>
      </c>
      <c r="F180" s="56">
        <f>IFERROR(INDEX('Semrush Data'!$E$2:$E$5000,MATCH(B180,'Semrush Data'!$A$2:$A$5000,0)),"")</f>
        <v/>
      </c>
      <c r="G180" s="42">
        <f>IF(E180="","",IF(E180&lt;=20,"Easier",IF(E180&lt;=35,"Medium","Hard")))</f>
        <v/>
      </c>
      <c r="H180" s="42" t="inlineStr">
        <is>
          <t>Product FAQ question</t>
        </is>
      </c>
    </row>
    <row r="181" ht="15" customHeight="1" s="37">
      <c r="B181" s="42" t="inlineStr">
        <is>
          <t>tom ford black orchid price</t>
        </is>
      </c>
      <c r="C181" s="42" t="inlineStr">
        <is>
          <t>Price</t>
        </is>
      </c>
      <c r="D181" s="55">
        <f>IFERROR(INDEX('Semrush Data'!$C$2:$C$5000,MATCH(B181,'Semrush Data'!$A$2:$A$5000,0)),"")</f>
        <v/>
      </c>
      <c r="E181" s="42">
        <f>IFERROR(INDEX('Semrush Data'!$D$2:$D$5000,MATCH(B181,'Semrush Data'!$A$2:$A$5000,0)),"")</f>
        <v/>
      </c>
      <c r="F181" s="56">
        <f>IFERROR(INDEX('Semrush Data'!$E$2:$E$5000,MATCH(B181,'Semrush Data'!$A$2:$A$5000,0)),"")</f>
        <v/>
      </c>
      <c r="G181" s="42">
        <f>IF(E181="","",IF(E181&lt;=20,"Easier",IF(E181&lt;=35,"Medium","Hard")))</f>
        <v/>
      </c>
      <c r="H181" s="42" t="inlineStr">
        <is>
          <t>Meta title / description wording</t>
        </is>
      </c>
    </row>
    <row r="182" ht="15" customHeight="1" s="37">
      <c r="B182" s="42" t="inlineStr">
        <is>
          <t>tom ford oud wood price</t>
        </is>
      </c>
      <c r="C182" s="42" t="inlineStr">
        <is>
          <t>Price</t>
        </is>
      </c>
      <c r="D182" s="55">
        <f>IFERROR(INDEX('Semrush Data'!$C$2:$C$5000,MATCH(B182,'Semrush Data'!$A$2:$A$5000,0)),"")</f>
        <v/>
      </c>
      <c r="E182" s="42">
        <f>IFERROR(INDEX('Semrush Data'!$D$2:$D$5000,MATCH(B182,'Semrush Data'!$A$2:$A$5000,0)),"")</f>
        <v/>
      </c>
      <c r="F182" s="56">
        <f>IFERROR(INDEX('Semrush Data'!$E$2:$E$5000,MATCH(B182,'Semrush Data'!$A$2:$A$5000,0)),"")</f>
        <v/>
      </c>
      <c r="G182" s="42">
        <f>IF(E182="","",IF(E182&lt;=20,"Easier",IF(E182&lt;=35,"Medium","Hard")))</f>
        <v/>
      </c>
      <c r="H182" s="42" t="inlineStr">
        <is>
          <t>Meta title / description wording</t>
        </is>
      </c>
    </row>
    <row r="183" ht="15" customHeight="1" s="37">
      <c r="B183" s="42" t="inlineStr">
        <is>
          <t>acqua di parma sakura review</t>
        </is>
      </c>
      <c r="C183" s="42" t="inlineStr">
        <is>
          <t>Google suggest</t>
        </is>
      </c>
      <c r="D183" s="55">
        <f>IFERROR(INDEX('Semrush Data'!$C$2:$C$5000,MATCH(B183,'Semrush Data'!$A$2:$A$5000,0)),"")</f>
        <v/>
      </c>
      <c r="E183" s="42">
        <f>IFERROR(INDEX('Semrush Data'!$D$2:$D$5000,MATCH(B183,'Semrush Data'!$A$2:$A$5000,0)),"")</f>
        <v/>
      </c>
      <c r="F183" s="56">
        <f>IFERROR(INDEX('Semrush Data'!$E$2:$E$5000,MATCH(B183,'Semrush Data'!$A$2:$A$5000,0)),"")</f>
        <v/>
      </c>
      <c r="G183" s="42">
        <f>IF(E183="","",IF(E183&lt;=20,"Easier",IF(E183&lt;=35,"Medium","Hard")))</f>
        <v/>
      </c>
      <c r="H183" s="42" t="inlineStr">
        <is>
          <t>Product FAQ question</t>
        </is>
      </c>
    </row>
    <row r="184" ht="15" customHeight="1" s="37">
      <c r="B184" s="42" t="inlineStr">
        <is>
          <t>marc jacobs perfect notes</t>
        </is>
      </c>
      <c r="C184" s="42" t="inlineStr">
        <is>
          <t>Google suggest</t>
        </is>
      </c>
      <c r="D184" s="55">
        <f>IFERROR(INDEX('Semrush Data'!$C$2:$C$5000,MATCH(B184,'Semrush Data'!$A$2:$A$5000,0)),"")</f>
        <v/>
      </c>
      <c r="E184" s="42">
        <f>IFERROR(INDEX('Semrush Data'!$D$2:$D$5000,MATCH(B184,'Semrush Data'!$A$2:$A$5000,0)),"")</f>
        <v/>
      </c>
      <c r="F184" s="56">
        <f>IFERROR(INDEX('Semrush Data'!$E$2:$E$5000,MATCH(B184,'Semrush Data'!$A$2:$A$5000,0)),"")</f>
        <v/>
      </c>
      <c r="G184" s="42">
        <f>IF(E184="","",IF(E184&lt;=20,"Easier",IF(E184&lt;=35,"Medium","Hard")))</f>
        <v/>
      </c>
      <c r="H184" s="42" t="inlineStr">
        <is>
          <t>Product FAQ question</t>
        </is>
      </c>
    </row>
    <row r="185" ht="15" customHeight="1" s="37">
      <c r="B185" s="42" t="inlineStr">
        <is>
          <t>bentley azure price</t>
        </is>
      </c>
      <c r="C185" s="42" t="inlineStr">
        <is>
          <t>Price</t>
        </is>
      </c>
      <c r="D185" s="55">
        <f>IFERROR(INDEX('Semrush Data'!$C$2:$C$5000,MATCH(B185,'Semrush Data'!$A$2:$A$5000,0)),"")</f>
        <v/>
      </c>
      <c r="E185" s="42">
        <f>IFERROR(INDEX('Semrush Data'!$D$2:$D$5000,MATCH(B185,'Semrush Data'!$A$2:$A$5000,0)),"")</f>
        <v/>
      </c>
      <c r="F185" s="56">
        <f>IFERROR(INDEX('Semrush Data'!$E$2:$E$5000,MATCH(B185,'Semrush Data'!$A$2:$A$5000,0)),"")</f>
        <v/>
      </c>
      <c r="G185" s="42">
        <f>IF(E185="","",IF(E185&lt;=20,"Easier",IF(E185&lt;=35,"Medium","Hard")))</f>
        <v/>
      </c>
      <c r="H185" s="42" t="inlineStr">
        <is>
          <t>Meta title / description wording</t>
        </is>
      </c>
    </row>
    <row r="186" ht="15" customHeight="1" s="37">
      <c r="B186" s="42" t="inlineStr">
        <is>
          <t>anna sui sky review</t>
        </is>
      </c>
      <c r="C186" s="42" t="inlineStr">
        <is>
          <t>Google suggest</t>
        </is>
      </c>
      <c r="D186" s="55">
        <f>IFERROR(INDEX('Semrush Data'!$C$2:$C$5000,MATCH(B186,'Semrush Data'!$A$2:$A$5000,0)),"")</f>
        <v/>
      </c>
      <c r="E186" s="42">
        <f>IFERROR(INDEX('Semrush Data'!$D$2:$D$5000,MATCH(B186,'Semrush Data'!$A$2:$A$5000,0)),"")</f>
        <v/>
      </c>
      <c r="F186" s="56">
        <f>IFERROR(INDEX('Semrush Data'!$E$2:$E$5000,MATCH(B186,'Semrush Data'!$A$2:$A$5000,0)),"")</f>
        <v/>
      </c>
      <c r="G186" s="42">
        <f>IF(E186="","",IF(E186&lt;=20,"Easier",IF(E186&lt;=35,"Medium","Hard")))</f>
        <v/>
      </c>
      <c r="H186" s="42" t="inlineStr">
        <is>
          <t>Product FAQ question</t>
        </is>
      </c>
    </row>
    <row r="187" ht="15" customHeight="1" s="37">
      <c r="B187" s="42" t="inlineStr">
        <is>
          <t>game of spades full house review</t>
        </is>
      </c>
      <c r="C187" s="42" t="inlineStr">
        <is>
          <t>Google suggest</t>
        </is>
      </c>
      <c r="D187" s="55">
        <f>IFERROR(INDEX('Semrush Data'!$C$2:$C$5000,MATCH(B187,'Semrush Data'!$A$2:$A$5000,0)),"")</f>
        <v/>
      </c>
      <c r="E187" s="42">
        <f>IFERROR(INDEX('Semrush Data'!$D$2:$D$5000,MATCH(B187,'Semrush Data'!$A$2:$A$5000,0)),"")</f>
        <v/>
      </c>
      <c r="F187" s="56">
        <f>IFERROR(INDEX('Semrush Data'!$E$2:$E$5000,MATCH(B187,'Semrush Data'!$A$2:$A$5000,0)),"")</f>
        <v/>
      </c>
      <c r="G187" s="42">
        <f>IF(E187="","",IF(E187&lt;=20,"Easier",IF(E187&lt;=35,"Medium","Hard")))</f>
        <v/>
      </c>
      <c r="H187" s="42" t="inlineStr">
        <is>
          <t>Product FAQ question</t>
        </is>
      </c>
    </row>
    <row r="188" ht="15" customHeight="1" s="37">
      <c r="B188" s="42" t="inlineStr">
        <is>
          <t>game of spades wildcard review</t>
        </is>
      </c>
      <c r="C188" s="42" t="inlineStr">
        <is>
          <t>Google suggest</t>
        </is>
      </c>
      <c r="D188" s="55">
        <f>IFERROR(INDEX('Semrush Data'!$C$2:$C$5000,MATCH(B188,'Semrush Data'!$A$2:$A$5000,0)),"")</f>
        <v/>
      </c>
      <c r="E188" s="42">
        <f>IFERROR(INDEX('Semrush Data'!$D$2:$D$5000,MATCH(B188,'Semrush Data'!$A$2:$A$5000,0)),"")</f>
        <v/>
      </c>
      <c r="F188" s="56">
        <f>IFERROR(INDEX('Semrush Data'!$E$2:$E$5000,MATCH(B188,'Semrush Data'!$A$2:$A$5000,0)),"")</f>
        <v/>
      </c>
      <c r="G188" s="42">
        <f>IF(E188="","",IF(E188&lt;=20,"Easier",IF(E188&lt;=35,"Medium","Hard")))</f>
        <v/>
      </c>
      <c r="H188" s="42" t="inlineStr">
        <is>
          <t>Product FAQ question</t>
        </is>
      </c>
    </row>
    <row r="189" ht="15" customHeight="1" s="37">
      <c r="B189" s="42" t="inlineStr">
        <is>
          <t>marc jacobs honey notes</t>
        </is>
      </c>
      <c r="C189" s="42" t="inlineStr">
        <is>
          <t>Google suggest</t>
        </is>
      </c>
      <c r="D189" s="55">
        <f>IFERROR(INDEX('Semrush Data'!$C$2:$C$5000,MATCH(B189,'Semrush Data'!$A$2:$A$5000,0)),"")</f>
        <v/>
      </c>
      <c r="E189" s="42">
        <f>IFERROR(INDEX('Semrush Data'!$D$2:$D$5000,MATCH(B189,'Semrush Data'!$A$2:$A$5000,0)),"")</f>
        <v/>
      </c>
      <c r="F189" s="56">
        <f>IFERROR(INDEX('Semrush Data'!$E$2:$E$5000,MATCH(B189,'Semrush Data'!$A$2:$A$5000,0)),"")</f>
        <v/>
      </c>
      <c r="G189" s="42">
        <f>IF(E189="","",IF(E189&lt;=20,"Easier",IF(E189&lt;=35,"Medium","Hard")))</f>
        <v/>
      </c>
      <c r="H189" s="42" t="inlineStr">
        <is>
          <t>Product FAQ question</t>
        </is>
      </c>
    </row>
    <row r="190" ht="15" customHeight="1" s="37">
      <c r="B190" s="42" t="inlineStr">
        <is>
          <t>nina ricci l'air du temps perfume</t>
        </is>
      </c>
      <c r="C190" s="42" t="inlineStr">
        <is>
          <t>Google suggest</t>
        </is>
      </c>
      <c r="D190" s="55">
        <f>IFERROR(INDEX('Semrush Data'!$C$2:$C$5000,MATCH(B190,'Semrush Data'!$A$2:$A$5000,0)),"")</f>
        <v/>
      </c>
      <c r="E190" s="42">
        <f>IFERROR(INDEX('Semrush Data'!$D$2:$D$5000,MATCH(B190,'Semrush Data'!$A$2:$A$5000,0)),"")</f>
        <v/>
      </c>
      <c r="F190" s="56">
        <f>IFERROR(INDEX('Semrush Data'!$E$2:$E$5000,MATCH(B190,'Semrush Data'!$A$2:$A$5000,0)),"")</f>
        <v/>
      </c>
      <c r="G190" s="42">
        <f>IF(E190="","",IF(E190&lt;=20,"Easier",IF(E190&lt;=35,"Medium","Hard")))</f>
        <v/>
      </c>
      <c r="H190" s="42" t="inlineStr">
        <is>
          <t>Product copy / secondary keyword</t>
        </is>
      </c>
    </row>
    <row r="191" ht="15" customHeight="1" s="37">
      <c r="B191" s="42" t="inlineStr">
        <is>
          <t>joop! homme price</t>
        </is>
      </c>
      <c r="C191" s="42" t="inlineStr">
        <is>
          <t>Price</t>
        </is>
      </c>
      <c r="D191" s="55">
        <f>IFERROR(INDEX('Semrush Data'!$C$2:$C$5000,MATCH(B191,'Semrush Data'!$A$2:$A$5000,0)),"")</f>
        <v/>
      </c>
      <c r="E191" s="42">
        <f>IFERROR(INDEX('Semrush Data'!$D$2:$D$5000,MATCH(B191,'Semrush Data'!$A$2:$A$5000,0)),"")</f>
        <v/>
      </c>
      <c r="F191" s="56">
        <f>IFERROR(INDEX('Semrush Data'!$E$2:$E$5000,MATCH(B191,'Semrush Data'!$A$2:$A$5000,0)),"")</f>
        <v/>
      </c>
      <c r="G191" s="42">
        <f>IF(E191="","",IF(E191&lt;=20,"Easier",IF(E191&lt;=35,"Medium","Hard")))</f>
        <v/>
      </c>
      <c r="H191" s="42" t="inlineStr">
        <is>
          <t>Meta title / description wording</t>
        </is>
      </c>
    </row>
    <row r="192" ht="15" customHeight="1" s="37">
      <c r="B192" s="42" t="inlineStr">
        <is>
          <t>acqua di parma rosa nobile dupe</t>
        </is>
      </c>
      <c r="C192" s="42" t="inlineStr">
        <is>
          <t>Google suggest</t>
        </is>
      </c>
      <c r="D192" s="55">
        <f>IFERROR(INDEX('Semrush Data'!$C$2:$C$5000,MATCH(B192,'Semrush Data'!$A$2:$A$5000,0)),"")</f>
        <v/>
      </c>
      <c r="E192" s="42">
        <f>IFERROR(INDEX('Semrush Data'!$D$2:$D$5000,MATCH(B192,'Semrush Data'!$A$2:$A$5000,0)),"")</f>
        <v/>
      </c>
      <c r="F192" s="56">
        <f>IFERROR(INDEX('Semrush Data'!$E$2:$E$5000,MATCH(B192,'Semrush Data'!$A$2:$A$5000,0)),"")</f>
        <v/>
      </c>
      <c r="G192" s="42">
        <f>IF(E192="","",IF(E192&lt;=20,"Easier",IF(E192&lt;=35,"Medium","Hard")))</f>
        <v/>
      </c>
      <c r="H192" s="42" t="inlineStr">
        <is>
          <t>Product FAQ question</t>
        </is>
      </c>
    </row>
    <row r="193" ht="15" customHeight="1" s="37">
      <c r="B193" s="42" t="inlineStr">
        <is>
          <t>acqua di parma rosa nobile review</t>
        </is>
      </c>
      <c r="C193" s="42" t="inlineStr">
        <is>
          <t>Google suggest</t>
        </is>
      </c>
      <c r="D193" s="55">
        <f>IFERROR(INDEX('Semrush Data'!$C$2:$C$5000,MATCH(B193,'Semrush Data'!$A$2:$A$5000,0)),"")</f>
        <v/>
      </c>
      <c r="E193" s="42">
        <f>IFERROR(INDEX('Semrush Data'!$D$2:$D$5000,MATCH(B193,'Semrush Data'!$A$2:$A$5000,0)),"")</f>
        <v/>
      </c>
      <c r="F193" s="56">
        <f>IFERROR(INDEX('Semrush Data'!$E$2:$E$5000,MATCH(B193,'Semrush Data'!$A$2:$A$5000,0)),"")</f>
        <v/>
      </c>
      <c r="G193" s="42">
        <f>IF(E193="","",IF(E193&lt;=20,"Easier",IF(E193&lt;=35,"Medium","Hard")))</f>
        <v/>
      </c>
      <c r="H193" s="42" t="inlineStr">
        <is>
          <t>Product FAQ question</t>
        </is>
      </c>
    </row>
    <row r="194" ht="15" customHeight="1" s="37">
      <c r="B194" s="42" t="inlineStr">
        <is>
          <t>acqua di parma sandalo dupe</t>
        </is>
      </c>
      <c r="C194" s="42" t="inlineStr">
        <is>
          <t>Google suggest</t>
        </is>
      </c>
      <c r="D194" s="55">
        <f>IFERROR(INDEX('Semrush Data'!$C$2:$C$5000,MATCH(B194,'Semrush Data'!$A$2:$A$5000,0)),"")</f>
        <v/>
      </c>
      <c r="E194" s="42">
        <f>IFERROR(INDEX('Semrush Data'!$D$2:$D$5000,MATCH(B194,'Semrush Data'!$A$2:$A$5000,0)),"")</f>
        <v/>
      </c>
      <c r="F194" s="56">
        <f>IFERROR(INDEX('Semrush Data'!$E$2:$E$5000,MATCH(B194,'Semrush Data'!$A$2:$A$5000,0)),"")</f>
        <v/>
      </c>
      <c r="G194" s="42">
        <f>IF(E194="","",IF(E194&lt;=20,"Easier",IF(E194&lt;=35,"Medium","Hard")))</f>
        <v/>
      </c>
      <c r="H194" s="42" t="inlineStr">
        <is>
          <t>Product FAQ question</t>
        </is>
      </c>
    </row>
    <row r="195" ht="15" customHeight="1" s="37">
      <c r="B195" s="42" t="inlineStr">
        <is>
          <t>acqua di parma sandalo review</t>
        </is>
      </c>
      <c r="C195" s="42" t="inlineStr">
        <is>
          <t>Google suggest</t>
        </is>
      </c>
      <c r="D195" s="55">
        <f>IFERROR(INDEX('Semrush Data'!$C$2:$C$5000,MATCH(B195,'Semrush Data'!$A$2:$A$5000,0)),"")</f>
        <v/>
      </c>
      <c r="E195" s="42">
        <f>IFERROR(INDEX('Semrush Data'!$D$2:$D$5000,MATCH(B195,'Semrush Data'!$A$2:$A$5000,0)),"")</f>
        <v/>
      </c>
      <c r="F195" s="56">
        <f>IFERROR(INDEX('Semrush Data'!$E$2:$E$5000,MATCH(B195,'Semrush Data'!$A$2:$A$5000,0)),"")</f>
        <v/>
      </c>
      <c r="G195" s="42">
        <f>IF(E195="","",IF(E195&lt;=20,"Easier",IF(E195&lt;=35,"Medium","Hard")))</f>
        <v/>
      </c>
      <c r="H195" s="42" t="inlineStr">
        <is>
          <t>Product FAQ question</t>
        </is>
      </c>
    </row>
    <row r="196" ht="15" customHeight="1" s="37">
      <c r="B196" s="42" t="inlineStr">
        <is>
          <t>acqua di parma zafferano dupe</t>
        </is>
      </c>
      <c r="C196" s="42" t="inlineStr">
        <is>
          <t>Google suggest</t>
        </is>
      </c>
      <c r="D196" s="55">
        <f>IFERROR(INDEX('Semrush Data'!$C$2:$C$5000,MATCH(B196,'Semrush Data'!$A$2:$A$5000,0)),"")</f>
        <v/>
      </c>
      <c r="E196" s="42">
        <f>IFERROR(INDEX('Semrush Data'!$D$2:$D$5000,MATCH(B196,'Semrush Data'!$A$2:$A$5000,0)),"")</f>
        <v/>
      </c>
      <c r="F196" s="56">
        <f>IFERROR(INDEX('Semrush Data'!$E$2:$E$5000,MATCH(B196,'Semrush Data'!$A$2:$A$5000,0)),"")</f>
        <v/>
      </c>
      <c r="G196" s="42">
        <f>IF(E196="","",IF(E196&lt;=20,"Easier",IF(E196&lt;=35,"Medium","Hard")))</f>
        <v/>
      </c>
      <c r="H196" s="42" t="inlineStr">
        <is>
          <t>Product FAQ question</t>
        </is>
      </c>
    </row>
    <row r="197" ht="15" customHeight="1" s="37">
      <c r="B197" s="42" t="inlineStr">
        <is>
          <t>acqua di parma zafferano review</t>
        </is>
      </c>
      <c r="C197" s="42" t="inlineStr">
        <is>
          <t>Google suggest</t>
        </is>
      </c>
      <c r="D197" s="55">
        <f>IFERROR(INDEX('Semrush Data'!$C$2:$C$5000,MATCH(B197,'Semrush Data'!$A$2:$A$5000,0)),"")</f>
        <v/>
      </c>
      <c r="E197" s="42">
        <f>IFERROR(INDEX('Semrush Data'!$D$2:$D$5000,MATCH(B197,'Semrush Data'!$A$2:$A$5000,0)),"")</f>
        <v/>
      </c>
      <c r="F197" s="56">
        <f>IFERROR(INDEX('Semrush Data'!$E$2:$E$5000,MATCH(B197,'Semrush Data'!$A$2:$A$5000,0)),"")</f>
        <v/>
      </c>
      <c r="G197" s="42">
        <f>IF(E197="","",IF(E197&lt;=20,"Easier",IF(E197&lt;=35,"Medium","Hard")))</f>
        <v/>
      </c>
      <c r="H197" s="42" t="inlineStr">
        <is>
          <t>Product FAQ question</t>
        </is>
      </c>
    </row>
    <row r="198" ht="15" customHeight="1" s="37">
      <c r="B198" s="42" t="inlineStr">
        <is>
          <t>al haramain amber oud gold edition dupe of</t>
        </is>
      </c>
      <c r="C198" s="42" t="inlineStr">
        <is>
          <t>Google suggest</t>
        </is>
      </c>
      <c r="D198" s="55">
        <f>IFERROR(INDEX('Semrush Data'!$C$2:$C$5000,MATCH(B198,'Semrush Data'!$A$2:$A$5000,0)),"")</f>
        <v/>
      </c>
      <c r="E198" s="42">
        <f>IFERROR(INDEX('Semrush Data'!$D$2:$D$5000,MATCH(B198,'Semrush Data'!$A$2:$A$5000,0)),"")</f>
        <v/>
      </c>
      <c r="F198" s="56">
        <f>IFERROR(INDEX('Semrush Data'!$E$2:$E$5000,MATCH(B198,'Semrush Data'!$A$2:$A$5000,0)),"")</f>
        <v/>
      </c>
      <c r="G198" s="42">
        <f>IF(E198="","",IF(E198&lt;=20,"Easier",IF(E198&lt;=35,"Medium","Hard")))</f>
        <v/>
      </c>
      <c r="H198" s="42" t="inlineStr">
        <is>
          <t>Product FAQ question</t>
        </is>
      </c>
    </row>
    <row r="199" ht="15" customHeight="1" s="37">
      <c r="B199" s="42" t="inlineStr">
        <is>
          <t>al haramain amber oud gold edition review</t>
        </is>
      </c>
      <c r="C199" s="42" t="inlineStr">
        <is>
          <t>Google suggest</t>
        </is>
      </c>
      <c r="D199" s="55">
        <f>IFERROR(INDEX('Semrush Data'!$C$2:$C$5000,MATCH(B199,'Semrush Data'!$A$2:$A$5000,0)),"")</f>
        <v/>
      </c>
      <c r="E199" s="42">
        <f>IFERROR(INDEX('Semrush Data'!$D$2:$D$5000,MATCH(B199,'Semrush Data'!$A$2:$A$5000,0)),"")</f>
        <v/>
      </c>
      <c r="F199" s="56">
        <f>IFERROR(INDEX('Semrush Data'!$E$2:$E$5000,MATCH(B199,'Semrush Data'!$A$2:$A$5000,0)),"")</f>
        <v/>
      </c>
      <c r="G199" s="42">
        <f>IF(E199="","",IF(E199&lt;=20,"Easier",IF(E199&lt;=35,"Medium","Hard")))</f>
        <v/>
      </c>
      <c r="H199" s="42" t="inlineStr">
        <is>
          <t>Product FAQ question</t>
        </is>
      </c>
    </row>
    <row r="200" ht="15" customHeight="1" s="37">
      <c r="B200" s="42" t="inlineStr">
        <is>
          <t>al haramain amber oud tobacco edition dupe of</t>
        </is>
      </c>
      <c r="C200" s="42" t="inlineStr">
        <is>
          <t>Google suggest</t>
        </is>
      </c>
      <c r="D200" s="55">
        <f>IFERROR(INDEX('Semrush Data'!$C$2:$C$5000,MATCH(B200,'Semrush Data'!$A$2:$A$5000,0)),"")</f>
        <v/>
      </c>
      <c r="E200" s="42">
        <f>IFERROR(INDEX('Semrush Data'!$D$2:$D$5000,MATCH(B200,'Semrush Data'!$A$2:$A$5000,0)),"")</f>
        <v/>
      </c>
      <c r="F200" s="56">
        <f>IFERROR(INDEX('Semrush Data'!$E$2:$E$5000,MATCH(B200,'Semrush Data'!$A$2:$A$5000,0)),"")</f>
        <v/>
      </c>
      <c r="G200" s="42">
        <f>IF(E200="","",IF(E200&lt;=20,"Easier",IF(E200&lt;=35,"Medium","Hard")))</f>
        <v/>
      </c>
      <c r="H200" s="42" t="inlineStr">
        <is>
          <t>Product FAQ question</t>
        </is>
      </c>
    </row>
    <row r="201" ht="15" customHeight="1" s="37">
      <c r="B201" s="42" t="inlineStr">
        <is>
          <t>al haramain amber oud tobacco edition review</t>
        </is>
      </c>
      <c r="C201" s="42" t="inlineStr">
        <is>
          <t>Google suggest</t>
        </is>
      </c>
      <c r="D201" s="55">
        <f>IFERROR(INDEX('Semrush Data'!$C$2:$C$5000,MATCH(B201,'Semrush Data'!$A$2:$A$5000,0)),"")</f>
        <v/>
      </c>
      <c r="E201" s="42">
        <f>IFERROR(INDEX('Semrush Data'!$D$2:$D$5000,MATCH(B201,'Semrush Data'!$A$2:$A$5000,0)),"")</f>
        <v/>
      </c>
      <c r="F201" s="56">
        <f>IFERROR(INDEX('Semrush Data'!$E$2:$E$5000,MATCH(B201,'Semrush Data'!$A$2:$A$5000,0)),"")</f>
        <v/>
      </c>
      <c r="G201" s="42">
        <f>IF(E201="","",IF(E201&lt;=20,"Easier",IF(E201&lt;=35,"Medium","Hard")))</f>
        <v/>
      </c>
      <c r="H201" s="42" t="inlineStr">
        <is>
          <t>Product FAQ question</t>
        </is>
      </c>
    </row>
    <row r="202" ht="15" customHeight="1" s="37">
      <c r="B202" s="42" t="inlineStr">
        <is>
          <t>anna sui sky perfume review</t>
        </is>
      </c>
      <c r="C202" s="42" t="inlineStr">
        <is>
          <t>Google suggest</t>
        </is>
      </c>
      <c r="D202" s="55">
        <f>IFERROR(INDEX('Semrush Data'!$C$2:$C$5000,MATCH(B202,'Semrush Data'!$A$2:$A$5000,0)),"")</f>
        <v/>
      </c>
      <c r="E202" s="42">
        <f>IFERROR(INDEX('Semrush Data'!$D$2:$D$5000,MATCH(B202,'Semrush Data'!$A$2:$A$5000,0)),"")</f>
        <v/>
      </c>
      <c r="F202" s="56">
        <f>IFERROR(INDEX('Semrush Data'!$E$2:$E$5000,MATCH(B202,'Semrush Data'!$A$2:$A$5000,0)),"")</f>
        <v/>
      </c>
      <c r="G202" s="42">
        <f>IF(E202="","",IF(E202&lt;=20,"Easier",IF(E202&lt;=35,"Medium","Hard")))</f>
        <v/>
      </c>
      <c r="H202" s="42" t="inlineStr">
        <is>
          <t>Product FAQ question</t>
        </is>
      </c>
    </row>
    <row r="203" ht="15" customHeight="1" s="37">
      <c r="B203" s="42" t="inlineStr">
        <is>
          <t>bentley azure 2026</t>
        </is>
      </c>
      <c r="C203" s="42" t="inlineStr">
        <is>
          <t>Google suggest</t>
        </is>
      </c>
      <c r="D203" s="55">
        <f>IFERROR(INDEX('Semrush Data'!$C$2:$C$5000,MATCH(B203,'Semrush Data'!$A$2:$A$5000,0)),"")</f>
        <v/>
      </c>
      <c r="E203" s="42">
        <f>IFERROR(INDEX('Semrush Data'!$D$2:$D$5000,MATCH(B203,'Semrush Data'!$A$2:$A$5000,0)),"")</f>
        <v/>
      </c>
      <c r="F203" s="56">
        <f>IFERROR(INDEX('Semrush Data'!$E$2:$E$5000,MATCH(B203,'Semrush Data'!$A$2:$A$5000,0)),"")</f>
        <v/>
      </c>
      <c r="G203" s="42">
        <f>IF(E203="","",IF(E203&lt;=20,"Easier",IF(E203&lt;=35,"Medium","Hard")))</f>
        <v/>
      </c>
      <c r="H203" s="42" t="inlineStr">
        <is>
          <t>Product copy / secondary keyword</t>
        </is>
      </c>
    </row>
    <row r="204" ht="15" customHeight="1" s="37">
      <c r="B204" s="42" t="inlineStr">
        <is>
          <t>bvlgari man in black notes</t>
        </is>
      </c>
      <c r="C204" s="42" t="inlineStr">
        <is>
          <t>Google suggest</t>
        </is>
      </c>
      <c r="D204" s="55">
        <f>IFERROR(INDEX('Semrush Data'!$C$2:$C$5000,MATCH(B204,'Semrush Data'!$A$2:$A$5000,0)),"")</f>
        <v/>
      </c>
      <c r="E204" s="42">
        <f>IFERROR(INDEX('Semrush Data'!$D$2:$D$5000,MATCH(B204,'Semrush Data'!$A$2:$A$5000,0)),"")</f>
        <v/>
      </c>
      <c r="F204" s="56">
        <f>IFERROR(INDEX('Semrush Data'!$E$2:$E$5000,MATCH(B204,'Semrush Data'!$A$2:$A$5000,0)),"")</f>
        <v/>
      </c>
      <c r="G204" s="42">
        <f>IF(E204="","",IF(E204&lt;=20,"Easier",IF(E204&lt;=35,"Medium","Hard")))</f>
        <v/>
      </c>
      <c r="H204" s="42" t="inlineStr">
        <is>
          <t>Product FAQ question</t>
        </is>
      </c>
    </row>
    <row r="205" ht="15" customHeight="1" s="37">
      <c r="B205" s="42" t="inlineStr">
        <is>
          <t>bvlgari omnia amethyste dupe</t>
        </is>
      </c>
      <c r="C205" s="42" t="inlineStr">
        <is>
          <t>Google suggest</t>
        </is>
      </c>
      <c r="D205" s="55">
        <f>IFERROR(INDEX('Semrush Data'!$C$2:$C$5000,MATCH(B205,'Semrush Data'!$A$2:$A$5000,0)),"")</f>
        <v/>
      </c>
      <c r="E205" s="42">
        <f>IFERROR(INDEX('Semrush Data'!$D$2:$D$5000,MATCH(B205,'Semrush Data'!$A$2:$A$5000,0)),"")</f>
        <v/>
      </c>
      <c r="F205" s="56">
        <f>IFERROR(INDEX('Semrush Data'!$E$2:$E$5000,MATCH(B205,'Semrush Data'!$A$2:$A$5000,0)),"")</f>
        <v/>
      </c>
      <c r="G205" s="42">
        <f>IF(E205="","",IF(E205&lt;=20,"Easier",IF(E205&lt;=35,"Medium","Hard")))</f>
        <v/>
      </c>
      <c r="H205" s="42" t="inlineStr">
        <is>
          <t>Product FAQ question</t>
        </is>
      </c>
    </row>
    <row r="206" ht="15" customHeight="1" s="37">
      <c r="B206" s="42" t="inlineStr">
        <is>
          <t>bvlgari omnia amethyste review</t>
        </is>
      </c>
      <c r="C206" s="42" t="inlineStr">
        <is>
          <t>Google suggest</t>
        </is>
      </c>
      <c r="D206" s="55">
        <f>IFERROR(INDEX('Semrush Data'!$C$2:$C$5000,MATCH(B206,'Semrush Data'!$A$2:$A$5000,0)),"")</f>
        <v/>
      </c>
      <c r="E206" s="42">
        <f>IFERROR(INDEX('Semrush Data'!$D$2:$D$5000,MATCH(B206,'Semrush Data'!$A$2:$A$5000,0)),"")</f>
        <v/>
      </c>
      <c r="F206" s="56">
        <f>IFERROR(INDEX('Semrush Data'!$E$2:$E$5000,MATCH(B206,'Semrush Data'!$A$2:$A$5000,0)),"")</f>
        <v/>
      </c>
      <c r="G206" s="42">
        <f>IF(E206="","",IF(E206&lt;=20,"Easier",IF(E206&lt;=35,"Medium","Hard")))</f>
        <v/>
      </c>
      <c r="H206" s="42" t="inlineStr">
        <is>
          <t>Product FAQ question</t>
        </is>
      </c>
    </row>
    <row r="207" ht="15" customHeight="1" s="37">
      <c r="B207" s="42" t="inlineStr">
        <is>
          <t>calvin klein defy perfume</t>
        </is>
      </c>
      <c r="C207" s="42" t="inlineStr">
        <is>
          <t>Google suggest</t>
        </is>
      </c>
      <c r="D207" s="55">
        <f>IFERROR(INDEX('Semrush Data'!$C$2:$C$5000,MATCH(B207,'Semrush Data'!$A$2:$A$5000,0)),"")</f>
        <v/>
      </c>
      <c r="E207" s="42">
        <f>IFERROR(INDEX('Semrush Data'!$D$2:$D$5000,MATCH(B207,'Semrush Data'!$A$2:$A$5000,0)),"")</f>
        <v/>
      </c>
      <c r="F207" s="56">
        <f>IFERROR(INDEX('Semrush Data'!$E$2:$E$5000,MATCH(B207,'Semrush Data'!$A$2:$A$5000,0)),"")</f>
        <v/>
      </c>
      <c r="G207" s="42">
        <f>IF(E207="","",IF(E207&lt;=20,"Easier",IF(E207&lt;=35,"Medium","Hard")))</f>
        <v/>
      </c>
      <c r="H207" s="42" t="inlineStr">
        <is>
          <t>Product copy / secondary keyword</t>
        </is>
      </c>
    </row>
    <row r="208" ht="15" customHeight="1" s="37">
      <c r="B208" s="42" t="inlineStr">
        <is>
          <t>carolina herrera 212 vip men notes</t>
        </is>
      </c>
      <c r="C208" s="42" t="inlineStr">
        <is>
          <t>Google suggest</t>
        </is>
      </c>
      <c r="D208" s="55">
        <f>IFERROR(INDEX('Semrush Data'!$C$2:$C$5000,MATCH(B208,'Semrush Data'!$A$2:$A$5000,0)),"")</f>
        <v/>
      </c>
      <c r="E208" s="42">
        <f>IFERROR(INDEX('Semrush Data'!$D$2:$D$5000,MATCH(B208,'Semrush Data'!$A$2:$A$5000,0)),"")</f>
        <v/>
      </c>
      <c r="F208" s="56">
        <f>IFERROR(INDEX('Semrush Data'!$E$2:$E$5000,MATCH(B208,'Semrush Data'!$A$2:$A$5000,0)),"")</f>
        <v/>
      </c>
      <c r="G208" s="42">
        <f>IF(E208="","",IF(E208&lt;=20,"Easier",IF(E208&lt;=35,"Medium","Hard")))</f>
        <v/>
      </c>
      <c r="H208" s="42" t="inlineStr">
        <is>
          <t>Product FAQ question</t>
        </is>
      </c>
    </row>
    <row r="210" ht="15.75" customHeight="1" s="37">
      <c r="A210" s="50" t="inlineStr">
        <is>
          <t>Vilvah &amp; Deyga brand searches</t>
        </is>
      </c>
    </row>
    <row r="211" ht="15" customHeight="1" s="37">
      <c r="A211" s="51" t="inlineStr">
        <is>
          <t>What people type about the two partner brands.</t>
        </is>
      </c>
    </row>
    <row r="212" ht="15" customHeight="1" s="37">
      <c r="A212" s="53" t="n"/>
      <c r="B212" s="53" t="inlineStr">
        <is>
          <t>Keyword</t>
        </is>
      </c>
      <c r="C212" s="53" t="inlineStr">
        <is>
          <t>Type</t>
        </is>
      </c>
      <c r="D212" s="53" t="inlineStr">
        <is>
          <t>Volume</t>
        </is>
      </c>
      <c r="E212" s="53" t="inlineStr">
        <is>
          <t>KD</t>
        </is>
      </c>
      <c r="F212" s="53" t="inlineStr">
        <is>
          <t>CPC ($)</t>
        </is>
      </c>
      <c r="G212" s="53" t="inlineStr">
        <is>
          <t>Ease</t>
        </is>
      </c>
      <c r="H212" s="53" t="inlineStr">
        <is>
          <t>Where to use</t>
        </is>
      </c>
    </row>
    <row r="213" ht="15" customHeight="1" s="37">
      <c r="B213" s="42" t="inlineStr">
        <is>
          <t>vilvah</t>
        </is>
      </c>
      <c r="C213" s="42" t="inlineStr">
        <is>
          <t>Brand</t>
        </is>
      </c>
      <c r="D213" s="55">
        <f>IFERROR(INDEX('Semrush Data'!$C$2:$C$5000,MATCH(B213,'Semrush Data'!$A$2:$A$5000,0)),"")</f>
        <v/>
      </c>
      <c r="E213" s="42">
        <f>IFERROR(INDEX('Semrush Data'!$D$2:$D$5000,MATCH(B213,'Semrush Data'!$A$2:$A$5000,0)),"")</f>
        <v/>
      </c>
      <c r="F213" s="56">
        <f>IFERROR(INDEX('Semrush Data'!$E$2:$E$5000,MATCH(B213,'Semrush Data'!$A$2:$A$5000,0)),"")</f>
        <v/>
      </c>
      <c r="G213" s="42">
        <f>IF(E213="","",IF(E213&lt;=20,"Easier",IF(E213&lt;=35,"Medium","Hard")))</f>
        <v/>
      </c>
      <c r="H213" s="42" t="inlineStr">
        <is>
          <t>Brand page title + intro</t>
        </is>
      </c>
    </row>
    <row r="214" ht="15" customHeight="1" s="37">
      <c r="B214" s="42" t="inlineStr">
        <is>
          <t>vilvah milk drops</t>
        </is>
      </c>
      <c r="C214" s="42" t="inlineStr">
        <is>
          <t>Google suggest (brand)</t>
        </is>
      </c>
      <c r="D214" s="55">
        <f>IFERROR(INDEX('Semrush Data'!$C$2:$C$5000,MATCH(B214,'Semrush Data'!$A$2:$A$5000,0)),"")</f>
        <v/>
      </c>
      <c r="E214" s="42">
        <f>IFERROR(INDEX('Semrush Data'!$D$2:$D$5000,MATCH(B214,'Semrush Data'!$A$2:$A$5000,0)),"")</f>
        <v/>
      </c>
      <c r="F214" s="56">
        <f>IFERROR(INDEX('Semrush Data'!$E$2:$E$5000,MATCH(B214,'Semrush Data'!$A$2:$A$5000,0)),"")</f>
        <v/>
      </c>
      <c r="G214" s="42">
        <f>IF(E214="","",IF(E214&lt;=20,"Easier",IF(E214&lt;=35,"Medium","Hard")))</f>
        <v/>
      </c>
      <c r="H214" s="42" t="inlineStr">
        <is>
          <t>Product page H1 / meta (matching product)</t>
        </is>
      </c>
    </row>
    <row r="215" ht="15" customHeight="1" s="37">
      <c r="B215" s="42" t="inlineStr">
        <is>
          <t>deyga</t>
        </is>
      </c>
      <c r="C215" s="42" t="inlineStr">
        <is>
          <t>Brand</t>
        </is>
      </c>
      <c r="D215" s="55">
        <f>IFERROR(INDEX('Semrush Data'!$C$2:$C$5000,MATCH(B215,'Semrush Data'!$A$2:$A$5000,0)),"")</f>
        <v/>
      </c>
      <c r="E215" s="42">
        <f>IFERROR(INDEX('Semrush Data'!$D$2:$D$5000,MATCH(B215,'Semrush Data'!$A$2:$A$5000,0)),"")</f>
        <v/>
      </c>
      <c r="F215" s="56">
        <f>IFERROR(INDEX('Semrush Data'!$E$2:$E$5000,MATCH(B215,'Semrush Data'!$A$2:$A$5000,0)),"")</f>
        <v/>
      </c>
      <c r="G215" s="42">
        <f>IF(E215="","",IF(E215&lt;=20,"Easier",IF(E215&lt;=35,"Medium","Hard")))</f>
        <v/>
      </c>
      <c r="H215" s="42" t="inlineStr">
        <is>
          <t>Brand page title + intro</t>
        </is>
      </c>
    </row>
    <row r="216" ht="15" customHeight="1" s="37">
      <c r="B216" s="42" t="inlineStr">
        <is>
          <t>vilvah store</t>
        </is>
      </c>
      <c r="C216" s="42" t="inlineStr">
        <is>
          <t>Google suggest (brand)</t>
        </is>
      </c>
      <c r="D216" s="55">
        <f>IFERROR(INDEX('Semrush Data'!$C$2:$C$5000,MATCH(B216,'Semrush Data'!$A$2:$A$5000,0)),"")</f>
        <v/>
      </c>
      <c r="E216" s="42">
        <f>IFERROR(INDEX('Semrush Data'!$D$2:$D$5000,MATCH(B216,'Semrush Data'!$A$2:$A$5000,0)),"")</f>
        <v/>
      </c>
      <c r="F216" s="56">
        <f>IFERROR(INDEX('Semrush Data'!$E$2:$E$5000,MATCH(B216,'Semrush Data'!$A$2:$A$5000,0)),"")</f>
        <v/>
      </c>
      <c r="G216" s="42">
        <f>IF(E216="","",IF(E216&lt;=20,"Easier",IF(E216&lt;=35,"Medium","Hard")))</f>
        <v/>
      </c>
      <c r="H216" s="42" t="inlineStr">
        <is>
          <t>Brand page title + intro</t>
        </is>
      </c>
    </row>
    <row r="217" ht="15" customHeight="1" s="37">
      <c r="B217" s="42" t="inlineStr">
        <is>
          <t>deyga organics</t>
        </is>
      </c>
      <c r="C217" s="42" t="inlineStr">
        <is>
          <t>Google suggest (brand)</t>
        </is>
      </c>
      <c r="D217" s="55">
        <f>IFERROR(INDEX('Semrush Data'!$C$2:$C$5000,MATCH(B217,'Semrush Data'!$A$2:$A$5000,0)),"")</f>
        <v/>
      </c>
      <c r="E217" s="42">
        <f>IFERROR(INDEX('Semrush Data'!$D$2:$D$5000,MATCH(B217,'Semrush Data'!$A$2:$A$5000,0)),"")</f>
        <v/>
      </c>
      <c r="F217" s="56">
        <f>IFERROR(INDEX('Semrush Data'!$E$2:$E$5000,MATCH(B217,'Semrush Data'!$A$2:$A$5000,0)),"")</f>
        <v/>
      </c>
      <c r="G217" s="42">
        <f>IF(E217="","",IF(E217&lt;=20,"Easier",IF(E217&lt;=35,"Medium","Hard")))</f>
        <v/>
      </c>
      <c r="H217" s="42" t="inlineStr">
        <is>
          <t>Brand page title + intro</t>
        </is>
      </c>
    </row>
    <row r="218" ht="15" customHeight="1" s="37">
      <c r="B218" s="42" t="inlineStr">
        <is>
          <t>vilvah uk</t>
        </is>
      </c>
      <c r="C218" s="42" t="inlineStr">
        <is>
          <t>Brand</t>
        </is>
      </c>
      <c r="D218" s="55">
        <f>IFERROR(INDEX('Semrush Data'!$C$2:$C$5000,MATCH(B218,'Semrush Data'!$A$2:$A$5000,0)),"")</f>
        <v/>
      </c>
      <c r="E218" s="42">
        <f>IFERROR(INDEX('Semrush Data'!$D$2:$D$5000,MATCH(B218,'Semrush Data'!$A$2:$A$5000,0)),"")</f>
        <v/>
      </c>
      <c r="F218" s="56">
        <f>IFERROR(INDEX('Semrush Data'!$E$2:$E$5000,MATCH(B218,'Semrush Data'!$A$2:$A$5000,0)),"")</f>
        <v/>
      </c>
      <c r="G218" s="42">
        <f>IF(E218="","",IF(E218&lt;=20,"Easier",IF(E218&lt;=35,"Medium","Hard")))</f>
        <v/>
      </c>
      <c r="H218" s="42" t="inlineStr">
        <is>
          <t>Brand page title + intro</t>
        </is>
      </c>
    </row>
    <row r="219" ht="15" customHeight="1" s="37">
      <c r="B219" s="42" t="inlineStr">
        <is>
          <t>deyga hair color</t>
        </is>
      </c>
      <c r="C219" s="42" t="inlineStr">
        <is>
          <t>Google suggest (brand)</t>
        </is>
      </c>
      <c r="D219" s="55">
        <f>IFERROR(INDEX('Semrush Data'!$C$2:$C$5000,MATCH(B219,'Semrush Data'!$A$2:$A$5000,0)),"")</f>
        <v/>
      </c>
      <c r="E219" s="42">
        <f>IFERROR(INDEX('Semrush Data'!$D$2:$D$5000,MATCH(B219,'Semrush Data'!$A$2:$A$5000,0)),"")</f>
        <v/>
      </c>
      <c r="F219" s="56">
        <f>IFERROR(INDEX('Semrush Data'!$E$2:$E$5000,MATCH(B219,'Semrush Data'!$A$2:$A$5000,0)),"")</f>
        <v/>
      </c>
      <c r="G219" s="42">
        <f>IF(E219="","",IF(E219&lt;=20,"Easier",IF(E219&lt;=35,"Medium","Hard")))</f>
        <v/>
      </c>
      <c r="H219" s="42" t="inlineStr">
        <is>
          <t>Product page H1 / meta (matching product)</t>
        </is>
      </c>
    </row>
    <row r="220" ht="15" customHeight="1" s="37">
      <c r="B220" s="42" t="inlineStr">
        <is>
          <t>deyga products</t>
        </is>
      </c>
      <c r="C220" s="42" t="inlineStr">
        <is>
          <t>Brand</t>
        </is>
      </c>
      <c r="D220" s="55">
        <f>IFERROR(INDEX('Semrush Data'!$C$2:$C$5000,MATCH(B220,'Semrush Data'!$A$2:$A$5000,0)),"")</f>
        <v/>
      </c>
      <c r="E220" s="42">
        <f>IFERROR(INDEX('Semrush Data'!$D$2:$D$5000,MATCH(B220,'Semrush Data'!$A$2:$A$5000,0)),"")</f>
        <v/>
      </c>
      <c r="F220" s="56">
        <f>IFERROR(INDEX('Semrush Data'!$E$2:$E$5000,MATCH(B220,'Semrush Data'!$A$2:$A$5000,0)),"")</f>
        <v/>
      </c>
      <c r="G220" s="42">
        <f>IF(E220="","",IF(E220&lt;=20,"Easier",IF(E220&lt;=35,"Medium","Hard")))</f>
        <v/>
      </c>
      <c r="H220" s="42" t="inlineStr">
        <is>
          <t>Brand page title + intro</t>
        </is>
      </c>
    </row>
    <row r="221" ht="15" customHeight="1" s="37">
      <c r="B221" s="42" t="inlineStr">
        <is>
          <t>vilvah official website</t>
        </is>
      </c>
      <c r="C221" s="42" t="inlineStr">
        <is>
          <t>Brand</t>
        </is>
      </c>
      <c r="D221" s="55">
        <f>IFERROR(INDEX('Semrush Data'!$C$2:$C$5000,MATCH(B221,'Semrush Data'!$A$2:$A$5000,0)),"")</f>
        <v/>
      </c>
      <c r="E221" s="42">
        <f>IFERROR(INDEX('Semrush Data'!$D$2:$D$5000,MATCH(B221,'Semrush Data'!$A$2:$A$5000,0)),"")</f>
        <v/>
      </c>
      <c r="F221" s="56">
        <f>IFERROR(INDEX('Semrush Data'!$E$2:$E$5000,MATCH(B221,'Semrush Data'!$A$2:$A$5000,0)),"")</f>
        <v/>
      </c>
      <c r="G221" s="42">
        <f>IF(E221="","",IF(E221&lt;=20,"Easier",IF(E221&lt;=35,"Medium","Hard")))</f>
        <v/>
      </c>
      <c r="H221" s="42" t="inlineStr">
        <is>
          <t>Brand page title + intro</t>
        </is>
      </c>
    </row>
    <row r="222" ht="15" customHeight="1" s="37">
      <c r="B222" s="42" t="inlineStr">
        <is>
          <t>vilvah products</t>
        </is>
      </c>
      <c r="C222" s="42" t="inlineStr">
        <is>
          <t>Brand</t>
        </is>
      </c>
      <c r="D222" s="55">
        <f>IFERROR(INDEX('Semrush Data'!$C$2:$C$5000,MATCH(B222,'Semrush Data'!$A$2:$A$5000,0)),"")</f>
        <v/>
      </c>
      <c r="E222" s="42">
        <f>IFERROR(INDEX('Semrush Data'!$D$2:$D$5000,MATCH(B222,'Semrush Data'!$A$2:$A$5000,0)),"")</f>
        <v/>
      </c>
      <c r="F222" s="56">
        <f>IFERROR(INDEX('Semrush Data'!$E$2:$E$5000,MATCH(B222,'Semrush Data'!$A$2:$A$5000,0)),"")</f>
        <v/>
      </c>
      <c r="G222" s="42">
        <f>IF(E222="","",IF(E222&lt;=20,"Easier",IF(E222&lt;=35,"Medium","Hard")))</f>
        <v/>
      </c>
      <c r="H222" s="42" t="inlineStr">
        <is>
          <t>Brand page title + intro</t>
        </is>
      </c>
    </row>
    <row r="223" ht="15" customHeight="1" s="37">
      <c r="B223" s="42" t="inlineStr">
        <is>
          <t>deyga beetroot lip balm</t>
        </is>
      </c>
      <c r="C223" s="42" t="inlineStr">
        <is>
          <t>Google suggest (brand)</t>
        </is>
      </c>
      <c r="D223" s="55">
        <f>IFERROR(INDEX('Semrush Data'!$C$2:$C$5000,MATCH(B223,'Semrush Data'!$A$2:$A$5000,0)),"")</f>
        <v/>
      </c>
      <c r="E223" s="42">
        <f>IFERROR(INDEX('Semrush Data'!$D$2:$D$5000,MATCH(B223,'Semrush Data'!$A$2:$A$5000,0)),"")</f>
        <v/>
      </c>
      <c r="F223" s="56">
        <f>IFERROR(INDEX('Semrush Data'!$E$2:$E$5000,MATCH(B223,'Semrush Data'!$A$2:$A$5000,0)),"")</f>
        <v/>
      </c>
      <c r="G223" s="42">
        <f>IF(E223="","",IF(E223&lt;=20,"Easier",IF(E223&lt;=35,"Medium","Hard")))</f>
        <v/>
      </c>
      <c r="H223" s="42" t="inlineStr">
        <is>
          <t>Product page H1 / meta (matching product)</t>
        </is>
      </c>
    </row>
    <row r="224" ht="15" customHeight="1" s="37">
      <c r="B224" s="42" t="inlineStr">
        <is>
          <t>deyga hair dye</t>
        </is>
      </c>
      <c r="C224" s="42" t="inlineStr">
        <is>
          <t>Google suggest (brand)</t>
        </is>
      </c>
      <c r="D224" s="55">
        <f>IFERROR(INDEX('Semrush Data'!$C$2:$C$5000,MATCH(B224,'Semrush Data'!$A$2:$A$5000,0)),"")</f>
        <v/>
      </c>
      <c r="E224" s="42">
        <f>IFERROR(INDEX('Semrush Data'!$D$2:$D$5000,MATCH(B224,'Semrush Data'!$A$2:$A$5000,0)),"")</f>
        <v/>
      </c>
      <c r="F224" s="56">
        <f>IFERROR(INDEX('Semrush Data'!$E$2:$E$5000,MATCH(B224,'Semrush Data'!$A$2:$A$5000,0)),"")</f>
        <v/>
      </c>
      <c r="G224" s="42">
        <f>IF(E224="","",IF(E224&lt;=20,"Easier",IF(E224&lt;=35,"Medium","Hard")))</f>
        <v/>
      </c>
      <c r="H224" s="42" t="inlineStr">
        <is>
          <t>Product page H1 / meta (matching product)</t>
        </is>
      </c>
    </row>
    <row r="225" ht="15" customHeight="1" s="37">
      <c r="B225" s="42" t="inlineStr">
        <is>
          <t>vilvah under eye cream</t>
        </is>
      </c>
      <c r="C225" s="42" t="inlineStr">
        <is>
          <t>Google suggest (brand)</t>
        </is>
      </c>
      <c r="D225" s="55">
        <f>IFERROR(INDEX('Semrush Data'!$C$2:$C$5000,MATCH(B225,'Semrush Data'!$A$2:$A$5000,0)),"")</f>
        <v/>
      </c>
      <c r="E225" s="42">
        <f>IFERROR(INDEX('Semrush Data'!$D$2:$D$5000,MATCH(B225,'Semrush Data'!$A$2:$A$5000,0)),"")</f>
        <v/>
      </c>
      <c r="F225" s="56">
        <f>IFERROR(INDEX('Semrush Data'!$E$2:$E$5000,MATCH(B225,'Semrush Data'!$A$2:$A$5000,0)),"")</f>
        <v/>
      </c>
      <c r="G225" s="42">
        <f>IF(E225="","",IF(E225&lt;=20,"Easier",IF(E225&lt;=35,"Medium","Hard")))</f>
        <v/>
      </c>
      <c r="H225" s="42" t="inlineStr">
        <is>
          <t>Product page H1 / meta (matching product)</t>
        </is>
      </c>
    </row>
    <row r="226" ht="15" customHeight="1" s="37">
      <c r="B226" s="42" t="inlineStr">
        <is>
          <t>deyga charcoal soap</t>
        </is>
      </c>
      <c r="C226" s="42" t="inlineStr">
        <is>
          <t>Google suggest (brand)</t>
        </is>
      </c>
      <c r="D226" s="55">
        <f>IFERROR(INDEX('Semrush Data'!$C$2:$C$5000,MATCH(B226,'Semrush Data'!$A$2:$A$5000,0)),"")</f>
        <v/>
      </c>
      <c r="E226" s="42">
        <f>IFERROR(INDEX('Semrush Data'!$D$2:$D$5000,MATCH(B226,'Semrush Data'!$A$2:$A$5000,0)),"")</f>
        <v/>
      </c>
      <c r="F226" s="56">
        <f>IFERROR(INDEX('Semrush Data'!$E$2:$E$5000,MATCH(B226,'Semrush Data'!$A$2:$A$5000,0)),"")</f>
        <v/>
      </c>
      <c r="G226" s="42">
        <f>IF(E226="","",IF(E226&lt;=20,"Easier",IF(E226&lt;=35,"Medium","Hard")))</f>
        <v/>
      </c>
      <c r="H226" s="42" t="inlineStr">
        <is>
          <t>Product page H1 / meta (matching product)</t>
        </is>
      </c>
    </row>
    <row r="228" ht="15.75" customHeight="1" s="37">
      <c r="A228" s="50" t="inlineStr">
        <is>
          <t>Fragrance brand &amp; scent-family searches</t>
        </is>
      </c>
    </row>
    <row r="229" ht="15" customHeight="1" s="37">
      <c r="A229" s="51" t="inlineStr">
        <is>
          <t>Brand pages and scent-family collections. High-volume designer terms are hard (LOOKFANTASTIC, Boots, The Perfume Shop); target "Easier" ones first.</t>
        </is>
      </c>
    </row>
    <row r="230" ht="15" customHeight="1" s="37">
      <c r="A230" s="53" t="n"/>
      <c r="B230" s="53" t="inlineStr">
        <is>
          <t>Keyword</t>
        </is>
      </c>
      <c r="C230" s="53" t="inlineStr">
        <is>
          <t>Type</t>
        </is>
      </c>
      <c r="D230" s="53" t="inlineStr">
        <is>
          <t>Volume</t>
        </is>
      </c>
      <c r="E230" s="53" t="inlineStr">
        <is>
          <t>KD</t>
        </is>
      </c>
      <c r="F230" s="53" t="inlineStr">
        <is>
          <t>CPC ($)</t>
        </is>
      </c>
      <c r="G230" s="53" t="inlineStr">
        <is>
          <t>Ease</t>
        </is>
      </c>
      <c r="H230" s="53" t="inlineStr">
        <is>
          <t>Where to use</t>
        </is>
      </c>
    </row>
    <row r="231" ht="15" customHeight="1" s="37">
      <c r="B231" s="42" t="inlineStr">
        <is>
          <t>ariana grande perfume</t>
        </is>
      </c>
      <c r="C231" s="42" t="inlineStr">
        <is>
          <t>Brand / family</t>
        </is>
      </c>
      <c r="D231" s="55">
        <f>IFERROR(INDEX('Semrush Data'!$C$2:$C$5000,MATCH(B231,'Semrush Data'!$A$2:$A$5000,0)),"")</f>
        <v/>
      </c>
      <c r="E231" s="42">
        <f>IFERROR(INDEX('Semrush Data'!$D$2:$D$5000,MATCH(B231,'Semrush Data'!$A$2:$A$5000,0)),"")</f>
        <v/>
      </c>
      <c r="F231" s="56">
        <f>IFERROR(INDEX('Semrush Data'!$E$2:$E$5000,MATCH(B231,'Semrush Data'!$A$2:$A$5000,0)),"")</f>
        <v/>
      </c>
      <c r="G231" s="42">
        <f>IF(E231="","",IF(E231&lt;=20,"Easier",IF(E231&lt;=35,"Medium","Hard")))</f>
        <v/>
      </c>
      <c r="H231" s="42" t="inlineStr">
        <is>
          <t>Brand page title + intro</t>
        </is>
      </c>
    </row>
    <row r="232" ht="15" customHeight="1" s="37">
      <c r="B232" s="42" t="inlineStr">
        <is>
          <t>jimmy choo perfume</t>
        </is>
      </c>
      <c r="C232" s="42" t="inlineStr">
        <is>
          <t>Brand / family</t>
        </is>
      </c>
      <c r="D232" s="55">
        <f>IFERROR(INDEX('Semrush Data'!$C$2:$C$5000,MATCH(B232,'Semrush Data'!$A$2:$A$5000,0)),"")</f>
        <v/>
      </c>
      <c r="E232" s="42">
        <f>IFERROR(INDEX('Semrush Data'!$D$2:$D$5000,MATCH(B232,'Semrush Data'!$A$2:$A$5000,0)),"")</f>
        <v/>
      </c>
      <c r="F232" s="56">
        <f>IFERROR(INDEX('Semrush Data'!$E$2:$E$5000,MATCH(B232,'Semrush Data'!$A$2:$A$5000,0)),"")</f>
        <v/>
      </c>
      <c r="G232" s="42">
        <f>IF(E232="","",IF(E232&lt;=20,"Easier",IF(E232&lt;=35,"Medium","Hard")))</f>
        <v/>
      </c>
      <c r="H232" s="42" t="inlineStr">
        <is>
          <t>Brand page title + intro</t>
        </is>
      </c>
    </row>
    <row r="233" ht="15" customHeight="1" s="37">
      <c r="B233" s="42" t="inlineStr">
        <is>
          <t>ysl perfume</t>
        </is>
      </c>
      <c r="C233" s="42" t="inlineStr">
        <is>
          <t>Brand / family</t>
        </is>
      </c>
      <c r="D233" s="55">
        <f>IFERROR(INDEX('Semrush Data'!$C$2:$C$5000,MATCH(B233,'Semrush Data'!$A$2:$A$5000,0)),"")</f>
        <v/>
      </c>
      <c r="E233" s="42">
        <f>IFERROR(INDEX('Semrush Data'!$D$2:$D$5000,MATCH(B233,'Semrush Data'!$A$2:$A$5000,0)),"")</f>
        <v/>
      </c>
      <c r="F233" s="56">
        <f>IFERROR(INDEX('Semrush Data'!$E$2:$E$5000,MATCH(B233,'Semrush Data'!$A$2:$A$5000,0)),"")</f>
        <v/>
      </c>
      <c r="G233" s="42">
        <f>IF(E233="","",IF(E233&lt;=20,"Easier",IF(E233&lt;=35,"Medium","Hard")))</f>
        <v/>
      </c>
      <c r="H233" s="42" t="inlineStr">
        <is>
          <t>Brand page title + intro</t>
        </is>
      </c>
    </row>
    <row r="234" ht="15" customHeight="1" s="37">
      <c r="B234" s="42" t="inlineStr">
        <is>
          <t>tom ford perfume</t>
        </is>
      </c>
      <c r="C234" s="42" t="inlineStr">
        <is>
          <t>Brand / family</t>
        </is>
      </c>
      <c r="D234" s="55">
        <f>IFERROR(INDEX('Semrush Data'!$C$2:$C$5000,MATCH(B234,'Semrush Data'!$A$2:$A$5000,0)),"")</f>
        <v/>
      </c>
      <c r="E234" s="42">
        <f>IFERROR(INDEX('Semrush Data'!$D$2:$D$5000,MATCH(B234,'Semrush Data'!$A$2:$A$5000,0)),"")</f>
        <v/>
      </c>
      <c r="F234" s="56">
        <f>IFERROR(INDEX('Semrush Data'!$E$2:$E$5000,MATCH(B234,'Semrush Data'!$A$2:$A$5000,0)),"")</f>
        <v/>
      </c>
      <c r="G234" s="42">
        <f>IF(E234="","",IF(E234&lt;=20,"Easier",IF(E234&lt;=35,"Medium","Hard")))</f>
        <v/>
      </c>
      <c r="H234" s="42" t="inlineStr">
        <is>
          <t>Brand page title + intro</t>
        </is>
      </c>
    </row>
    <row r="235" ht="15" customHeight="1" s="37">
      <c r="B235" s="42" t="inlineStr">
        <is>
          <t>dior perfume</t>
        </is>
      </c>
      <c r="C235" s="42" t="inlineStr">
        <is>
          <t>Brand / family</t>
        </is>
      </c>
      <c r="D235" s="55">
        <f>IFERROR(INDEX('Semrush Data'!$C$2:$C$5000,MATCH(B235,'Semrush Data'!$A$2:$A$5000,0)),"")</f>
        <v/>
      </c>
      <c r="E235" s="42">
        <f>IFERROR(INDEX('Semrush Data'!$D$2:$D$5000,MATCH(B235,'Semrush Data'!$A$2:$A$5000,0)),"")</f>
        <v/>
      </c>
      <c r="F235" s="56">
        <f>IFERROR(INDEX('Semrush Data'!$E$2:$E$5000,MATCH(B235,'Semrush Data'!$A$2:$A$5000,0)),"")</f>
        <v/>
      </c>
      <c r="G235" s="42">
        <f>IF(E235="","",IF(E235&lt;=20,"Easier",IF(E235&lt;=35,"Medium","Hard")))</f>
        <v/>
      </c>
      <c r="H235" s="42" t="inlineStr">
        <is>
          <t>Brand page title + intro</t>
        </is>
      </c>
    </row>
    <row r="236" ht="15" customHeight="1" s="37">
      <c r="B236" s="42" t="inlineStr">
        <is>
          <t>marc jacobs perfume</t>
        </is>
      </c>
      <c r="C236" s="42" t="inlineStr">
        <is>
          <t>Brand / family</t>
        </is>
      </c>
      <c r="D236" s="55">
        <f>IFERROR(INDEX('Semrush Data'!$C$2:$C$5000,MATCH(B236,'Semrush Data'!$A$2:$A$5000,0)),"")</f>
        <v/>
      </c>
      <c r="E236" s="42">
        <f>IFERROR(INDEX('Semrush Data'!$D$2:$D$5000,MATCH(B236,'Semrush Data'!$A$2:$A$5000,0)),"")</f>
        <v/>
      </c>
      <c r="F236" s="56">
        <f>IFERROR(INDEX('Semrush Data'!$E$2:$E$5000,MATCH(B236,'Semrush Data'!$A$2:$A$5000,0)),"")</f>
        <v/>
      </c>
      <c r="G236" s="42">
        <f>IF(E236="","",IF(E236&lt;=20,"Easier",IF(E236&lt;=35,"Medium","Hard")))</f>
        <v/>
      </c>
      <c r="H236" s="42" t="inlineStr">
        <is>
          <t>Brand page title + intro</t>
        </is>
      </c>
    </row>
    <row r="237" ht="15" customHeight="1" s="37">
      <c r="B237" s="42" t="inlineStr">
        <is>
          <t>chloe perfume</t>
        </is>
      </c>
      <c r="C237" s="42" t="inlineStr">
        <is>
          <t>Brand / family</t>
        </is>
      </c>
      <c r="D237" s="55">
        <f>IFERROR(INDEX('Semrush Data'!$C$2:$C$5000,MATCH(B237,'Semrush Data'!$A$2:$A$5000,0)),"")</f>
        <v/>
      </c>
      <c r="E237" s="42">
        <f>IFERROR(INDEX('Semrush Data'!$D$2:$D$5000,MATCH(B237,'Semrush Data'!$A$2:$A$5000,0)),"")</f>
        <v/>
      </c>
      <c r="F237" s="56">
        <f>IFERROR(INDEX('Semrush Data'!$E$2:$E$5000,MATCH(B237,'Semrush Data'!$A$2:$A$5000,0)),"")</f>
        <v/>
      </c>
      <c r="G237" s="42">
        <f>IF(E237="","",IF(E237&lt;=20,"Easier",IF(E237&lt;=35,"Medium","Hard")))</f>
        <v/>
      </c>
      <c r="H237" s="42" t="inlineStr">
        <is>
          <t>Brand page title + intro</t>
        </is>
      </c>
    </row>
    <row r="238" ht="15" customHeight="1" s="37">
      <c r="B238" s="42" t="inlineStr">
        <is>
          <t>lancome perfume</t>
        </is>
      </c>
      <c r="C238" s="42" t="inlineStr">
        <is>
          <t>Brand / family</t>
        </is>
      </c>
      <c r="D238" s="55">
        <f>IFERROR(INDEX('Semrush Data'!$C$2:$C$5000,MATCH(B238,'Semrush Data'!$A$2:$A$5000,0)),"")</f>
        <v/>
      </c>
      <c r="E238" s="42">
        <f>IFERROR(INDEX('Semrush Data'!$D$2:$D$5000,MATCH(B238,'Semrush Data'!$A$2:$A$5000,0)),"")</f>
        <v/>
      </c>
      <c r="F238" s="56">
        <f>IFERROR(INDEX('Semrush Data'!$E$2:$E$5000,MATCH(B238,'Semrush Data'!$A$2:$A$5000,0)),"")</f>
        <v/>
      </c>
      <c r="G238" s="42">
        <f>IF(E238="","",IF(E238&lt;=20,"Easier",IF(E238&lt;=35,"Medium","Hard")))</f>
        <v/>
      </c>
      <c r="H238" s="42" t="inlineStr">
        <is>
          <t>Brand page title + intro</t>
        </is>
      </c>
    </row>
    <row r="239" ht="15" customHeight="1" s="37">
      <c r="B239" s="42" t="inlineStr">
        <is>
          <t>gucci perfume</t>
        </is>
      </c>
      <c r="C239" s="42" t="inlineStr">
        <is>
          <t>Brand / family</t>
        </is>
      </c>
      <c r="D239" s="55">
        <f>IFERROR(INDEX('Semrush Data'!$C$2:$C$5000,MATCH(B239,'Semrush Data'!$A$2:$A$5000,0)),"")</f>
        <v/>
      </c>
      <c r="E239" s="42">
        <f>IFERROR(INDEX('Semrush Data'!$D$2:$D$5000,MATCH(B239,'Semrush Data'!$A$2:$A$5000,0)),"")</f>
        <v/>
      </c>
      <c r="F239" s="56">
        <f>IFERROR(INDEX('Semrush Data'!$E$2:$E$5000,MATCH(B239,'Semrush Data'!$A$2:$A$5000,0)),"")</f>
        <v/>
      </c>
      <c r="G239" s="42">
        <f>IF(E239="","",IF(E239&lt;=20,"Easier",IF(E239&lt;=35,"Medium","Hard")))</f>
        <v/>
      </c>
      <c r="H239" s="42" t="inlineStr">
        <is>
          <t>Brand page title + intro</t>
        </is>
      </c>
    </row>
    <row r="240" ht="15" customHeight="1" s="37">
      <c r="B240" s="42" t="inlineStr">
        <is>
          <t>burberry perfume</t>
        </is>
      </c>
      <c r="C240" s="42" t="inlineStr">
        <is>
          <t>Brand / family</t>
        </is>
      </c>
      <c r="D240" s="55">
        <f>IFERROR(INDEX('Semrush Data'!$C$2:$C$5000,MATCH(B240,'Semrush Data'!$A$2:$A$5000,0)),"")</f>
        <v/>
      </c>
      <c r="E240" s="42">
        <f>IFERROR(INDEX('Semrush Data'!$D$2:$D$5000,MATCH(B240,'Semrush Data'!$A$2:$A$5000,0)),"")</f>
        <v/>
      </c>
      <c r="F240" s="56">
        <f>IFERROR(INDEX('Semrush Data'!$E$2:$E$5000,MATCH(B240,'Semrush Data'!$A$2:$A$5000,0)),"")</f>
        <v/>
      </c>
      <c r="G240" s="42">
        <f>IF(E240="","",IF(E240&lt;=20,"Easier",IF(E240&lt;=35,"Medium","Hard")))</f>
        <v/>
      </c>
      <c r="H240" s="42" t="inlineStr">
        <is>
          <t>Brand page title + intro</t>
        </is>
      </c>
    </row>
    <row r="241" ht="15" customHeight="1" s="37">
      <c r="B241" s="42" t="inlineStr">
        <is>
          <t>hugo boss perfume</t>
        </is>
      </c>
      <c r="C241" s="42" t="inlineStr">
        <is>
          <t>Brand / family</t>
        </is>
      </c>
      <c r="D241" s="55">
        <f>IFERROR(INDEX('Semrush Data'!$C$2:$C$5000,MATCH(B241,'Semrush Data'!$A$2:$A$5000,0)),"")</f>
        <v/>
      </c>
      <c r="E241" s="42">
        <f>IFERROR(INDEX('Semrush Data'!$D$2:$D$5000,MATCH(B241,'Semrush Data'!$A$2:$A$5000,0)),"")</f>
        <v/>
      </c>
      <c r="F241" s="56">
        <f>IFERROR(INDEX('Semrush Data'!$E$2:$E$5000,MATCH(B241,'Semrush Data'!$A$2:$A$5000,0)),"")</f>
        <v/>
      </c>
      <c r="G241" s="42">
        <f>IF(E241="","",IF(E241&lt;=20,"Easier",IF(E241&lt;=35,"Medium","Hard")))</f>
        <v/>
      </c>
      <c r="H241" s="42" t="inlineStr">
        <is>
          <t>Brand page title + intro</t>
        </is>
      </c>
    </row>
    <row r="242" ht="15" customHeight="1" s="37">
      <c r="B242" s="42" t="inlineStr">
        <is>
          <t>givenchy perfume</t>
        </is>
      </c>
      <c r="C242" s="42" t="inlineStr">
        <is>
          <t>Brand / family</t>
        </is>
      </c>
      <c r="D242" s="55">
        <f>IFERROR(INDEX('Semrush Data'!$C$2:$C$5000,MATCH(B242,'Semrush Data'!$A$2:$A$5000,0)),"")</f>
        <v/>
      </c>
      <c r="E242" s="42">
        <f>IFERROR(INDEX('Semrush Data'!$D$2:$D$5000,MATCH(B242,'Semrush Data'!$A$2:$A$5000,0)),"")</f>
        <v/>
      </c>
      <c r="F242" s="56">
        <f>IFERROR(INDEX('Semrush Data'!$E$2:$E$5000,MATCH(B242,'Semrush Data'!$A$2:$A$5000,0)),"")</f>
        <v/>
      </c>
      <c r="G242" s="42">
        <f>IF(E242="","",IF(E242&lt;=20,"Easier",IF(E242&lt;=35,"Medium","Hard")))</f>
        <v/>
      </c>
      <c r="H242" s="42" t="inlineStr">
        <is>
          <t>Brand page title + intro</t>
        </is>
      </c>
    </row>
    <row r="243" ht="15" customHeight="1" s="37">
      <c r="B243" s="42" t="inlineStr">
        <is>
          <t>guerlain perfume</t>
        </is>
      </c>
      <c r="C243" s="42" t="inlineStr">
        <is>
          <t>Brand / family</t>
        </is>
      </c>
      <c r="D243" s="55">
        <f>IFERROR(INDEX('Semrush Data'!$C$2:$C$5000,MATCH(B243,'Semrush Data'!$A$2:$A$5000,0)),"")</f>
        <v/>
      </c>
      <c r="E243" s="42">
        <f>IFERROR(INDEX('Semrush Data'!$D$2:$D$5000,MATCH(B243,'Semrush Data'!$A$2:$A$5000,0)),"")</f>
        <v/>
      </c>
      <c r="F243" s="56">
        <f>IFERROR(INDEX('Semrush Data'!$E$2:$E$5000,MATCH(B243,'Semrush Data'!$A$2:$A$5000,0)),"")</f>
        <v/>
      </c>
      <c r="G243" s="42">
        <f>IF(E243="","",IF(E243&lt;=20,"Easier",IF(E243&lt;=35,"Medium","Hard")))</f>
        <v/>
      </c>
      <c r="H243" s="42" t="inlineStr">
        <is>
          <t>Brand page title + intro</t>
        </is>
      </c>
    </row>
    <row r="244" ht="15" customHeight="1" s="37">
      <c r="B244" s="42" t="inlineStr">
        <is>
          <t>calvin klein perfume</t>
        </is>
      </c>
      <c r="C244" s="42" t="inlineStr">
        <is>
          <t>Brand / family</t>
        </is>
      </c>
      <c r="D244" s="55">
        <f>IFERROR(INDEX('Semrush Data'!$C$2:$C$5000,MATCH(B244,'Semrush Data'!$A$2:$A$5000,0)),"")</f>
        <v/>
      </c>
      <c r="E244" s="42">
        <f>IFERROR(INDEX('Semrush Data'!$D$2:$D$5000,MATCH(B244,'Semrush Data'!$A$2:$A$5000,0)),"")</f>
        <v/>
      </c>
      <c r="F244" s="56">
        <f>IFERROR(INDEX('Semrush Data'!$E$2:$E$5000,MATCH(B244,'Semrush Data'!$A$2:$A$5000,0)),"")</f>
        <v/>
      </c>
      <c r="G244" s="42">
        <f>IF(E244="","",IF(E244&lt;=20,"Easier",IF(E244&lt;=35,"Medium","Hard")))</f>
        <v/>
      </c>
      <c r="H244" s="42" t="inlineStr">
        <is>
          <t>Brand page title + intro</t>
        </is>
      </c>
    </row>
    <row r="245" ht="15" customHeight="1" s="37">
      <c r="B245" s="42" t="inlineStr">
        <is>
          <t>carolina herrera perfume</t>
        </is>
      </c>
      <c r="C245" s="42" t="inlineStr">
        <is>
          <t>Brand / family</t>
        </is>
      </c>
      <c r="D245" s="55">
        <f>IFERROR(INDEX('Semrush Data'!$C$2:$C$5000,MATCH(B245,'Semrush Data'!$A$2:$A$5000,0)),"")</f>
        <v/>
      </c>
      <c r="E245" s="42">
        <f>IFERROR(INDEX('Semrush Data'!$D$2:$D$5000,MATCH(B245,'Semrush Data'!$A$2:$A$5000,0)),"")</f>
        <v/>
      </c>
      <c r="F245" s="56">
        <f>IFERROR(INDEX('Semrush Data'!$E$2:$E$5000,MATCH(B245,'Semrush Data'!$A$2:$A$5000,0)),"")</f>
        <v/>
      </c>
      <c r="G245" s="42">
        <f>IF(E245="","",IF(E245&lt;=20,"Easier",IF(E245&lt;=35,"Medium","Hard")))</f>
        <v/>
      </c>
      <c r="H245" s="42" t="inlineStr">
        <is>
          <t>Brand page title + intro</t>
        </is>
      </c>
    </row>
    <row r="246" ht="15" customHeight="1" s="37">
      <c r="B246" s="42" t="inlineStr">
        <is>
          <t>bvlgari perfume</t>
        </is>
      </c>
      <c r="C246" s="42" t="inlineStr">
        <is>
          <t>Brand / family</t>
        </is>
      </c>
      <c r="D246" s="55">
        <f>IFERROR(INDEX('Semrush Data'!$C$2:$C$5000,MATCH(B246,'Semrush Data'!$A$2:$A$5000,0)),"")</f>
        <v/>
      </c>
      <c r="E246" s="42">
        <f>IFERROR(INDEX('Semrush Data'!$D$2:$D$5000,MATCH(B246,'Semrush Data'!$A$2:$A$5000,0)),"")</f>
        <v/>
      </c>
      <c r="F246" s="56">
        <f>IFERROR(INDEX('Semrush Data'!$E$2:$E$5000,MATCH(B246,'Semrush Data'!$A$2:$A$5000,0)),"")</f>
        <v/>
      </c>
      <c r="G246" s="42">
        <f>IF(E246="","",IF(E246&lt;=20,"Easier",IF(E246&lt;=35,"Medium","Hard")))</f>
        <v/>
      </c>
      <c r="H246" s="42" t="inlineStr">
        <is>
          <t>Brand page title + intro</t>
        </is>
      </c>
    </row>
    <row r="247" ht="15" customHeight="1" s="37">
      <c r="B247" s="42" t="inlineStr">
        <is>
          <t>dkny perfume</t>
        </is>
      </c>
      <c r="C247" s="42" t="inlineStr">
        <is>
          <t>Brand / family</t>
        </is>
      </c>
      <c r="D247" s="55">
        <f>IFERROR(INDEX('Semrush Data'!$C$2:$C$5000,MATCH(B247,'Semrush Data'!$A$2:$A$5000,0)),"")</f>
        <v/>
      </c>
      <c r="E247" s="42">
        <f>IFERROR(INDEX('Semrush Data'!$D$2:$D$5000,MATCH(B247,'Semrush Data'!$A$2:$A$5000,0)),"")</f>
        <v/>
      </c>
      <c r="F247" s="56">
        <f>IFERROR(INDEX('Semrush Data'!$E$2:$E$5000,MATCH(B247,'Semrush Data'!$A$2:$A$5000,0)),"")</f>
        <v/>
      </c>
      <c r="G247" s="42">
        <f>IF(E247="","",IF(E247&lt;=20,"Easier",IF(E247&lt;=35,"Medium","Hard")))</f>
        <v/>
      </c>
      <c r="H247" s="42" t="inlineStr">
        <is>
          <t>Brand page title + intro</t>
        </is>
      </c>
    </row>
    <row r="248" ht="15" customHeight="1" s="37">
      <c r="B248" s="42" t="inlineStr">
        <is>
          <t>giorgio armani perfume</t>
        </is>
      </c>
      <c r="C248" s="42" t="inlineStr">
        <is>
          <t>Brand / family</t>
        </is>
      </c>
      <c r="D248" s="55">
        <f>IFERROR(INDEX('Semrush Data'!$C$2:$C$5000,MATCH(B248,'Semrush Data'!$A$2:$A$5000,0)),"")</f>
        <v/>
      </c>
      <c r="E248" s="42">
        <f>IFERROR(INDEX('Semrush Data'!$D$2:$D$5000,MATCH(B248,'Semrush Data'!$A$2:$A$5000,0)),"")</f>
        <v/>
      </c>
      <c r="F248" s="56">
        <f>IFERROR(INDEX('Semrush Data'!$E$2:$E$5000,MATCH(B248,'Semrush Data'!$A$2:$A$5000,0)),"")</f>
        <v/>
      </c>
      <c r="G248" s="42">
        <f>IF(E248="","",IF(E248&lt;=20,"Easier",IF(E248&lt;=35,"Medium","Hard")))</f>
        <v/>
      </c>
      <c r="H248" s="42" t="inlineStr">
        <is>
          <t>Brand page title + intro</t>
        </is>
      </c>
    </row>
    <row r="249" ht="15" customHeight="1" s="37">
      <c r="B249" s="42" t="inlineStr">
        <is>
          <t>estee lauder perfume</t>
        </is>
      </c>
      <c r="C249" s="42" t="inlineStr">
        <is>
          <t>Brand / family</t>
        </is>
      </c>
      <c r="D249" s="55">
        <f>IFERROR(INDEX('Semrush Data'!$C$2:$C$5000,MATCH(B249,'Semrush Data'!$A$2:$A$5000,0)),"")</f>
        <v/>
      </c>
      <c r="E249" s="42">
        <f>IFERROR(INDEX('Semrush Data'!$D$2:$D$5000,MATCH(B249,'Semrush Data'!$A$2:$A$5000,0)),"")</f>
        <v/>
      </c>
      <c r="F249" s="56">
        <f>IFERROR(INDEX('Semrush Data'!$E$2:$E$5000,MATCH(B249,'Semrush Data'!$A$2:$A$5000,0)),"")</f>
        <v/>
      </c>
      <c r="G249" s="42">
        <f>IF(E249="","",IF(E249&lt;=20,"Easier",IF(E249&lt;=35,"Medium","Hard")))</f>
        <v/>
      </c>
      <c r="H249" s="42" t="inlineStr">
        <is>
          <t>Brand page title + intro</t>
        </is>
      </c>
    </row>
    <row r="250" ht="15" customHeight="1" s="37">
      <c r="B250" s="42" t="inlineStr">
        <is>
          <t>elie saab perfume</t>
        </is>
      </c>
      <c r="C250" s="42" t="inlineStr">
        <is>
          <t>Brand / family</t>
        </is>
      </c>
      <c r="D250" s="55">
        <f>IFERROR(INDEX('Semrush Data'!$C$2:$C$5000,MATCH(B250,'Semrush Data'!$A$2:$A$5000,0)),"")</f>
        <v/>
      </c>
      <c r="E250" s="42">
        <f>IFERROR(INDEX('Semrush Data'!$D$2:$D$5000,MATCH(B250,'Semrush Data'!$A$2:$A$5000,0)),"")</f>
        <v/>
      </c>
      <c r="F250" s="56">
        <f>IFERROR(INDEX('Semrush Data'!$E$2:$E$5000,MATCH(B250,'Semrush Data'!$A$2:$A$5000,0)),"")</f>
        <v/>
      </c>
      <c r="G250" s="42">
        <f>IF(E250="","",IF(E250&lt;=20,"Easier",IF(E250&lt;=35,"Medium","Hard")))</f>
        <v/>
      </c>
      <c r="H250" s="42" t="inlineStr">
        <is>
          <t>Brand page title + intro</t>
        </is>
      </c>
    </row>
    <row r="251" ht="15" customHeight="1" s="37">
      <c r="B251" s="42" t="inlineStr">
        <is>
          <t>elizabeth arden perfume</t>
        </is>
      </c>
      <c r="C251" s="42" t="inlineStr">
        <is>
          <t>Brand / family</t>
        </is>
      </c>
      <c r="D251" s="55">
        <f>IFERROR(INDEX('Semrush Data'!$C$2:$C$5000,MATCH(B251,'Semrush Data'!$A$2:$A$5000,0)),"")</f>
        <v/>
      </c>
      <c r="E251" s="42">
        <f>IFERROR(INDEX('Semrush Data'!$D$2:$D$5000,MATCH(B251,'Semrush Data'!$A$2:$A$5000,0)),"")</f>
        <v/>
      </c>
      <c r="F251" s="56">
        <f>IFERROR(INDEX('Semrush Data'!$E$2:$E$5000,MATCH(B251,'Semrush Data'!$A$2:$A$5000,0)),"")</f>
        <v/>
      </c>
      <c r="G251" s="42">
        <f>IF(E251="","",IF(E251&lt;=20,"Easier",IF(E251&lt;=35,"Medium","Hard")))</f>
        <v/>
      </c>
      <c r="H251" s="42" t="inlineStr">
        <is>
          <t>Brand page title + intro</t>
        </is>
      </c>
    </row>
    <row r="252" ht="15" customHeight="1" s="37">
      <c r="B252" s="42" t="inlineStr">
        <is>
          <t>hermes perfume</t>
        </is>
      </c>
      <c r="C252" s="42" t="inlineStr">
        <is>
          <t>Brand / family</t>
        </is>
      </c>
      <c r="D252" s="55">
        <f>IFERROR(INDEX('Semrush Data'!$C$2:$C$5000,MATCH(B252,'Semrush Data'!$A$2:$A$5000,0)),"")</f>
        <v/>
      </c>
      <c r="E252" s="42">
        <f>IFERROR(INDEX('Semrush Data'!$D$2:$D$5000,MATCH(B252,'Semrush Data'!$A$2:$A$5000,0)),"")</f>
        <v/>
      </c>
      <c r="F252" s="56">
        <f>IFERROR(INDEX('Semrush Data'!$E$2:$E$5000,MATCH(B252,'Semrush Data'!$A$2:$A$5000,0)),"")</f>
        <v/>
      </c>
      <c r="G252" s="42">
        <f>IF(E252="","",IF(E252&lt;=20,"Easier",IF(E252&lt;=35,"Medium","Hard")))</f>
        <v/>
      </c>
      <c r="H252" s="42" t="inlineStr">
        <is>
          <t>Brand page title + intro</t>
        </is>
      </c>
    </row>
    <row r="253" ht="15" customHeight="1" s="37">
      <c r="B253" s="42" t="inlineStr">
        <is>
          <t>juicy couture perfume</t>
        </is>
      </c>
      <c r="C253" s="42" t="inlineStr">
        <is>
          <t>Brand / family</t>
        </is>
      </c>
      <c r="D253" s="55">
        <f>IFERROR(INDEX('Semrush Data'!$C$2:$C$5000,MATCH(B253,'Semrush Data'!$A$2:$A$5000,0)),"")</f>
        <v/>
      </c>
      <c r="E253" s="42">
        <f>IFERROR(INDEX('Semrush Data'!$D$2:$D$5000,MATCH(B253,'Semrush Data'!$A$2:$A$5000,0)),"")</f>
        <v/>
      </c>
      <c r="F253" s="56">
        <f>IFERROR(INDEX('Semrush Data'!$E$2:$E$5000,MATCH(B253,'Semrush Data'!$A$2:$A$5000,0)),"")</f>
        <v/>
      </c>
      <c r="G253" s="42">
        <f>IF(E253="","",IF(E253&lt;=20,"Easier",IF(E253&lt;=35,"Medium","Hard")))</f>
        <v/>
      </c>
      <c r="H253" s="42" t="inlineStr">
        <is>
          <t>Brand page title + intro</t>
        </is>
      </c>
    </row>
    <row r="254" ht="15" customHeight="1" s="37">
      <c r="B254" s="42" t="inlineStr">
        <is>
          <t>nina ricci perfume</t>
        </is>
      </c>
      <c r="C254" s="42" t="inlineStr">
        <is>
          <t>Brand / family</t>
        </is>
      </c>
      <c r="D254" s="55">
        <f>IFERROR(INDEX('Semrush Data'!$C$2:$C$5000,MATCH(B254,'Semrush Data'!$A$2:$A$5000,0)),"")</f>
        <v/>
      </c>
      <c r="E254" s="42">
        <f>IFERROR(INDEX('Semrush Data'!$D$2:$D$5000,MATCH(B254,'Semrush Data'!$A$2:$A$5000,0)),"")</f>
        <v/>
      </c>
      <c r="F254" s="56">
        <f>IFERROR(INDEX('Semrush Data'!$E$2:$E$5000,MATCH(B254,'Semrush Data'!$A$2:$A$5000,0)),"")</f>
        <v/>
      </c>
      <c r="G254" s="42">
        <f>IF(E254="","",IF(E254&lt;=20,"Easier",IF(E254&lt;=35,"Medium","Hard")))</f>
        <v/>
      </c>
      <c r="H254" s="42" t="inlineStr">
        <is>
          <t>Brand page title + intro</t>
        </is>
      </c>
    </row>
    <row r="255" ht="15" customHeight="1" s="37">
      <c r="B255" s="42" t="inlineStr">
        <is>
          <t>escada perfume</t>
        </is>
      </c>
      <c r="C255" s="42" t="inlineStr">
        <is>
          <t>Brand / family</t>
        </is>
      </c>
      <c r="D255" s="55">
        <f>IFERROR(INDEX('Semrush Data'!$C$2:$C$5000,MATCH(B255,'Semrush Data'!$A$2:$A$5000,0)),"")</f>
        <v/>
      </c>
      <c r="E255" s="42">
        <f>IFERROR(INDEX('Semrush Data'!$D$2:$D$5000,MATCH(B255,'Semrush Data'!$A$2:$A$5000,0)),"")</f>
        <v/>
      </c>
      <c r="F255" s="56">
        <f>IFERROR(INDEX('Semrush Data'!$E$2:$E$5000,MATCH(B255,'Semrush Data'!$A$2:$A$5000,0)),"")</f>
        <v/>
      </c>
      <c r="G255" s="42">
        <f>IF(E255="","",IF(E255&lt;=20,"Easier",IF(E255&lt;=35,"Medium","Hard")))</f>
        <v/>
      </c>
      <c r="H255" s="42" t="inlineStr">
        <is>
          <t>Brand page title + intro</t>
        </is>
      </c>
    </row>
    <row r="256" ht="15" customHeight="1" s="37">
      <c r="B256" s="42" t="inlineStr">
        <is>
          <t>montale perfume</t>
        </is>
      </c>
      <c r="C256" s="42" t="inlineStr">
        <is>
          <t>Brand / family</t>
        </is>
      </c>
      <c r="D256" s="55">
        <f>IFERROR(INDEX('Semrush Data'!$C$2:$C$5000,MATCH(B256,'Semrush Data'!$A$2:$A$5000,0)),"")</f>
        <v/>
      </c>
      <c r="E256" s="42">
        <f>IFERROR(INDEX('Semrush Data'!$D$2:$D$5000,MATCH(B256,'Semrush Data'!$A$2:$A$5000,0)),"")</f>
        <v/>
      </c>
      <c r="F256" s="56">
        <f>IFERROR(INDEX('Semrush Data'!$E$2:$E$5000,MATCH(B256,'Semrush Data'!$A$2:$A$5000,0)),"")</f>
        <v/>
      </c>
      <c r="G256" s="42">
        <f>IF(E256="","",IF(E256&lt;=20,"Easier",IF(E256&lt;=35,"Medium","Hard")))</f>
        <v/>
      </c>
      <c r="H256" s="42" t="inlineStr">
        <is>
          <t>Brand page title + intro</t>
        </is>
      </c>
    </row>
    <row r="257" ht="15" customHeight="1" s="37">
      <c r="B257" s="42" t="inlineStr">
        <is>
          <t>anna sui perfume</t>
        </is>
      </c>
      <c r="C257" s="42" t="inlineStr">
        <is>
          <t>Brand / family</t>
        </is>
      </c>
      <c r="D257" s="55">
        <f>IFERROR(INDEX('Semrush Data'!$C$2:$C$5000,MATCH(B257,'Semrush Data'!$A$2:$A$5000,0)),"")</f>
        <v/>
      </c>
      <c r="E257" s="42">
        <f>IFERROR(INDEX('Semrush Data'!$D$2:$D$5000,MATCH(B257,'Semrush Data'!$A$2:$A$5000,0)),"")</f>
        <v/>
      </c>
      <c r="F257" s="56">
        <f>IFERROR(INDEX('Semrush Data'!$E$2:$E$5000,MATCH(B257,'Semrush Data'!$A$2:$A$5000,0)),"")</f>
        <v/>
      </c>
      <c r="G257" s="42">
        <f>IF(E257="","",IF(E257&lt;=20,"Easier",IF(E257&lt;=35,"Medium","Hard")))</f>
        <v/>
      </c>
      <c r="H257" s="42" t="inlineStr">
        <is>
          <t>Brand page title + intro</t>
        </is>
      </c>
    </row>
    <row r="258" ht="15" customHeight="1" s="37">
      <c r="B258" s="42" t="inlineStr">
        <is>
          <t>dunhill perfume</t>
        </is>
      </c>
      <c r="C258" s="42" t="inlineStr">
        <is>
          <t>Brand / family</t>
        </is>
      </c>
      <c r="D258" s="55">
        <f>IFERROR(INDEX('Semrush Data'!$C$2:$C$5000,MATCH(B258,'Semrush Data'!$A$2:$A$5000,0)),"")</f>
        <v/>
      </c>
      <c r="E258" s="42">
        <f>IFERROR(INDEX('Semrush Data'!$D$2:$D$5000,MATCH(B258,'Semrush Data'!$A$2:$A$5000,0)),"")</f>
        <v/>
      </c>
      <c r="F258" s="56">
        <f>IFERROR(INDEX('Semrush Data'!$E$2:$E$5000,MATCH(B258,'Semrush Data'!$A$2:$A$5000,0)),"")</f>
        <v/>
      </c>
      <c r="G258" s="42">
        <f>IF(E258="","",IF(E258&lt;=20,"Easier",IF(E258&lt;=35,"Medium","Hard")))</f>
        <v/>
      </c>
      <c r="H258" s="42" t="inlineStr">
        <is>
          <t>Brand page title + intro</t>
        </is>
      </c>
    </row>
    <row r="259" ht="15" customHeight="1" s="37">
      <c r="B259" s="42" t="inlineStr">
        <is>
          <t>jean paul perfume</t>
        </is>
      </c>
      <c r="C259" s="42" t="inlineStr">
        <is>
          <t>Brand / family</t>
        </is>
      </c>
      <c r="D259" s="55">
        <f>IFERROR(INDEX('Semrush Data'!$C$2:$C$5000,MATCH(B259,'Semrush Data'!$A$2:$A$5000,0)),"")</f>
        <v/>
      </c>
      <c r="E259" s="42">
        <f>IFERROR(INDEX('Semrush Data'!$D$2:$D$5000,MATCH(B259,'Semrush Data'!$A$2:$A$5000,0)),"")</f>
        <v/>
      </c>
      <c r="F259" s="56">
        <f>IFERROR(INDEX('Semrush Data'!$E$2:$E$5000,MATCH(B259,'Semrush Data'!$A$2:$A$5000,0)),"")</f>
        <v/>
      </c>
      <c r="G259" s="42">
        <f>IF(E259="","",IF(E259&lt;=20,"Easier",IF(E259&lt;=35,"Medium","Hard")))</f>
        <v/>
      </c>
      <c r="H259" s="42" t="inlineStr">
        <is>
          <t>Brand page title + intro</t>
        </is>
      </c>
    </row>
    <row r="260" ht="15" customHeight="1" s="37">
      <c r="B260" s="42" t="inlineStr">
        <is>
          <t>armaf perfume</t>
        </is>
      </c>
      <c r="C260" s="42" t="inlineStr">
        <is>
          <t>Brand / family</t>
        </is>
      </c>
      <c r="D260" s="55">
        <f>IFERROR(INDEX('Semrush Data'!$C$2:$C$5000,MATCH(B260,'Semrush Data'!$A$2:$A$5000,0)),"")</f>
        <v/>
      </c>
      <c r="E260" s="42">
        <f>IFERROR(INDEX('Semrush Data'!$D$2:$D$5000,MATCH(B260,'Semrush Data'!$A$2:$A$5000,0)),"")</f>
        <v/>
      </c>
      <c r="F260" s="56">
        <f>IFERROR(INDEX('Semrush Data'!$E$2:$E$5000,MATCH(B260,'Semrush Data'!$A$2:$A$5000,0)),"")</f>
        <v/>
      </c>
      <c r="G260" s="42">
        <f>IF(E260="","",IF(E260&lt;=20,"Easier",IF(E260&lt;=35,"Medium","Hard")))</f>
        <v/>
      </c>
      <c r="H260" s="42" t="inlineStr">
        <is>
          <t>Brand page title + intro</t>
        </is>
      </c>
    </row>
    <row r="261" ht="15" customHeight="1" s="37">
      <c r="B261" s="42" t="inlineStr">
        <is>
          <t>tom ford perfume for men</t>
        </is>
      </c>
      <c r="C261" s="42" t="inlineStr">
        <is>
          <t>Brand / family</t>
        </is>
      </c>
      <c r="D261" s="55">
        <f>IFERROR(INDEX('Semrush Data'!$C$2:$C$5000,MATCH(B261,'Semrush Data'!$A$2:$A$5000,0)),"")</f>
        <v/>
      </c>
      <c r="E261" s="42">
        <f>IFERROR(INDEX('Semrush Data'!$D$2:$D$5000,MATCH(B261,'Semrush Data'!$A$2:$A$5000,0)),"")</f>
        <v/>
      </c>
      <c r="F261" s="56">
        <f>IFERROR(INDEX('Semrush Data'!$E$2:$E$5000,MATCH(B261,'Semrush Data'!$A$2:$A$5000,0)),"")</f>
        <v/>
      </c>
      <c r="G261" s="42">
        <f>IF(E261="","",IF(E261&lt;=20,"Easier",IF(E261&lt;=35,"Medium","Hard")))</f>
        <v/>
      </c>
      <c r="H261" s="42" t="inlineStr">
        <is>
          <t>Brand page title + intro</t>
        </is>
      </c>
    </row>
    <row r="262" ht="15" customHeight="1" s="37">
      <c r="B262" s="42" t="inlineStr">
        <is>
          <t>davidoff perfume</t>
        </is>
      </c>
      <c r="C262" s="42" t="inlineStr">
        <is>
          <t>Brand / family</t>
        </is>
      </c>
      <c r="D262" s="55">
        <f>IFERROR(INDEX('Semrush Data'!$C$2:$C$5000,MATCH(B262,'Semrush Data'!$A$2:$A$5000,0)),"")</f>
        <v/>
      </c>
      <c r="E262" s="42">
        <f>IFERROR(INDEX('Semrush Data'!$D$2:$D$5000,MATCH(B262,'Semrush Data'!$A$2:$A$5000,0)),"")</f>
        <v/>
      </c>
      <c r="F262" s="56">
        <f>IFERROR(INDEX('Semrush Data'!$E$2:$E$5000,MATCH(B262,'Semrush Data'!$A$2:$A$5000,0)),"")</f>
        <v/>
      </c>
      <c r="G262" s="42">
        <f>IF(E262="","",IF(E262&lt;=20,"Easier",IF(E262&lt;=35,"Medium","Hard")))</f>
        <v/>
      </c>
      <c r="H262" s="42" t="inlineStr">
        <is>
          <t>Brand page title + intro</t>
        </is>
      </c>
    </row>
    <row r="263" ht="15" customHeight="1" s="37">
      <c r="B263" s="42" t="inlineStr">
        <is>
          <t>dolce &amp; gabbana perfume</t>
        </is>
      </c>
      <c r="C263" s="42" t="inlineStr">
        <is>
          <t>Brand / family</t>
        </is>
      </c>
      <c r="D263" s="55">
        <f>IFERROR(INDEX('Semrush Data'!$C$2:$C$5000,MATCH(B263,'Semrush Data'!$A$2:$A$5000,0)),"")</f>
        <v/>
      </c>
      <c r="E263" s="42">
        <f>IFERROR(INDEX('Semrush Data'!$D$2:$D$5000,MATCH(B263,'Semrush Data'!$A$2:$A$5000,0)),"")</f>
        <v/>
      </c>
      <c r="F263" s="56">
        <f>IFERROR(INDEX('Semrush Data'!$E$2:$E$5000,MATCH(B263,'Semrush Data'!$A$2:$A$5000,0)),"")</f>
        <v/>
      </c>
      <c r="G263" s="42">
        <f>IF(E263="","",IF(E263&lt;=20,"Easier",IF(E263&lt;=35,"Medium","Hard")))</f>
        <v/>
      </c>
      <c r="H263" s="42" t="inlineStr">
        <is>
          <t>Brand page title + intro</t>
        </is>
      </c>
    </row>
    <row r="264" ht="15" customHeight="1" s="37">
      <c r="B264" s="42" t="inlineStr">
        <is>
          <t>mancera perfume</t>
        </is>
      </c>
      <c r="C264" s="42" t="inlineStr">
        <is>
          <t>Brand / family</t>
        </is>
      </c>
      <c r="D264" s="55">
        <f>IFERROR(INDEX('Semrush Data'!$C$2:$C$5000,MATCH(B264,'Semrush Data'!$A$2:$A$5000,0)),"")</f>
        <v/>
      </c>
      <c r="E264" s="42">
        <f>IFERROR(INDEX('Semrush Data'!$D$2:$D$5000,MATCH(B264,'Semrush Data'!$A$2:$A$5000,0)),"")</f>
        <v/>
      </c>
      <c r="F264" s="56">
        <f>IFERROR(INDEX('Semrush Data'!$E$2:$E$5000,MATCH(B264,'Semrush Data'!$A$2:$A$5000,0)),"")</f>
        <v/>
      </c>
      <c r="G264" s="42">
        <f>IF(E264="","",IF(E264&lt;=20,"Easier",IF(E264&lt;=35,"Medium","Hard")))</f>
        <v/>
      </c>
      <c r="H264" s="42" t="inlineStr">
        <is>
          <t>Brand page title + intro</t>
        </is>
      </c>
    </row>
    <row r="265" ht="15" customHeight="1" s="37">
      <c r="B265" s="42" t="inlineStr">
        <is>
          <t>acqua di parma perfume</t>
        </is>
      </c>
      <c r="C265" s="42" t="inlineStr">
        <is>
          <t>Brand / family</t>
        </is>
      </c>
      <c r="D265" s="55">
        <f>IFERROR(INDEX('Semrush Data'!$C$2:$C$5000,MATCH(B265,'Semrush Data'!$A$2:$A$5000,0)),"")</f>
        <v/>
      </c>
      <c r="E265" s="42">
        <f>IFERROR(INDEX('Semrush Data'!$D$2:$D$5000,MATCH(B265,'Semrush Data'!$A$2:$A$5000,0)),"")</f>
        <v/>
      </c>
      <c r="F265" s="56">
        <f>IFERROR(INDEX('Semrush Data'!$E$2:$E$5000,MATCH(B265,'Semrush Data'!$A$2:$A$5000,0)),"")</f>
        <v/>
      </c>
      <c r="G265" s="42">
        <f>IF(E265="","",IF(E265&lt;=20,"Easier",IF(E265&lt;=35,"Medium","Hard")))</f>
        <v/>
      </c>
      <c r="H265" s="42" t="inlineStr">
        <is>
          <t>Brand page title + intro</t>
        </is>
      </c>
    </row>
    <row r="266" ht="15" customHeight="1" s="37">
      <c r="B266" s="42" t="inlineStr">
        <is>
          <t>dior perfume for women</t>
        </is>
      </c>
      <c r="C266" s="42" t="inlineStr">
        <is>
          <t>Brand / family</t>
        </is>
      </c>
      <c r="D266" s="55">
        <f>IFERROR(INDEX('Semrush Data'!$C$2:$C$5000,MATCH(B266,'Semrush Data'!$A$2:$A$5000,0)),"")</f>
        <v/>
      </c>
      <c r="E266" s="42">
        <f>IFERROR(INDEX('Semrush Data'!$D$2:$D$5000,MATCH(B266,'Semrush Data'!$A$2:$A$5000,0)),"")</f>
        <v/>
      </c>
      <c r="F266" s="56">
        <f>IFERROR(INDEX('Semrush Data'!$E$2:$E$5000,MATCH(B266,'Semrush Data'!$A$2:$A$5000,0)),"")</f>
        <v/>
      </c>
      <c r="G266" s="42">
        <f>IF(E266="","",IF(E266&lt;=20,"Easier",IF(E266&lt;=35,"Medium","Hard")))</f>
        <v/>
      </c>
      <c r="H266" s="42" t="inlineStr">
        <is>
          <t>Brand page title + intro</t>
        </is>
      </c>
    </row>
    <row r="267" ht="15" customHeight="1" s="37">
      <c r="B267" s="42" t="inlineStr">
        <is>
          <t>gucci perfume for women</t>
        </is>
      </c>
      <c r="C267" s="42" t="inlineStr">
        <is>
          <t>Brand / family</t>
        </is>
      </c>
      <c r="D267" s="55">
        <f>IFERROR(INDEX('Semrush Data'!$C$2:$C$5000,MATCH(B267,'Semrush Data'!$A$2:$A$5000,0)),"")</f>
        <v/>
      </c>
      <c r="E267" s="42">
        <f>IFERROR(INDEX('Semrush Data'!$D$2:$D$5000,MATCH(B267,'Semrush Data'!$A$2:$A$5000,0)),"")</f>
        <v/>
      </c>
      <c r="F267" s="56">
        <f>IFERROR(INDEX('Semrush Data'!$E$2:$E$5000,MATCH(B267,'Semrush Data'!$A$2:$A$5000,0)),"")</f>
        <v/>
      </c>
      <c r="G267" s="42">
        <f>IF(E267="","",IF(E267&lt;=20,"Easier",IF(E267&lt;=35,"Medium","Hard")))</f>
        <v/>
      </c>
      <c r="H267" s="42" t="inlineStr">
        <is>
          <t>Brand page title + intro</t>
        </is>
      </c>
    </row>
    <row r="268" ht="15" customHeight="1" s="37">
      <c r="B268" s="42" t="inlineStr">
        <is>
          <t>hollister perfume</t>
        </is>
      </c>
      <c r="C268" s="42" t="inlineStr">
        <is>
          <t>Brand / family</t>
        </is>
      </c>
      <c r="D268" s="55">
        <f>IFERROR(INDEX('Semrush Data'!$C$2:$C$5000,MATCH(B268,'Semrush Data'!$A$2:$A$5000,0)),"")</f>
        <v/>
      </c>
      <c r="E268" s="42">
        <f>IFERROR(INDEX('Semrush Data'!$D$2:$D$5000,MATCH(B268,'Semrush Data'!$A$2:$A$5000,0)),"")</f>
        <v/>
      </c>
      <c r="F268" s="56">
        <f>IFERROR(INDEX('Semrush Data'!$E$2:$E$5000,MATCH(B268,'Semrush Data'!$A$2:$A$5000,0)),"")</f>
        <v/>
      </c>
      <c r="G268" s="42">
        <f>IF(E268="","",IF(E268&lt;=20,"Easier",IF(E268&lt;=35,"Medium","Hard")))</f>
        <v/>
      </c>
      <c r="H268" s="42" t="inlineStr">
        <is>
          <t>Brand page title + intro</t>
        </is>
      </c>
    </row>
    <row r="269" ht="15" customHeight="1" s="37">
      <c r="B269" s="42" t="inlineStr">
        <is>
          <t>burberry perfume for women</t>
        </is>
      </c>
      <c r="C269" s="42" t="inlineStr">
        <is>
          <t>Brand / family</t>
        </is>
      </c>
      <c r="D269" s="55">
        <f>IFERROR(INDEX('Semrush Data'!$C$2:$C$5000,MATCH(B269,'Semrush Data'!$A$2:$A$5000,0)),"")</f>
        <v/>
      </c>
      <c r="E269" s="42">
        <f>IFERROR(INDEX('Semrush Data'!$D$2:$D$5000,MATCH(B269,'Semrush Data'!$A$2:$A$5000,0)),"")</f>
        <v/>
      </c>
      <c r="F269" s="56">
        <f>IFERROR(INDEX('Semrush Data'!$E$2:$E$5000,MATCH(B269,'Semrush Data'!$A$2:$A$5000,0)),"")</f>
        <v/>
      </c>
      <c r="G269" s="42">
        <f>IF(E269="","",IF(E269&lt;=20,"Easier",IF(E269&lt;=35,"Medium","Hard")))</f>
        <v/>
      </c>
      <c r="H269" s="42" t="inlineStr">
        <is>
          <t>Brand page title + intro</t>
        </is>
      </c>
    </row>
    <row r="270" ht="15" customHeight="1" s="37">
      <c r="B270" s="42" t="inlineStr">
        <is>
          <t>dior perfume for men</t>
        </is>
      </c>
      <c r="C270" s="42" t="inlineStr">
        <is>
          <t>Brand / family</t>
        </is>
      </c>
      <c r="D270" s="55">
        <f>IFERROR(INDEX('Semrush Data'!$C$2:$C$5000,MATCH(B270,'Semrush Data'!$A$2:$A$5000,0)),"")</f>
        <v/>
      </c>
      <c r="E270" s="42">
        <f>IFERROR(INDEX('Semrush Data'!$D$2:$D$5000,MATCH(B270,'Semrush Data'!$A$2:$A$5000,0)),"")</f>
        <v/>
      </c>
      <c r="F270" s="56">
        <f>IFERROR(INDEX('Semrush Data'!$E$2:$E$5000,MATCH(B270,'Semrush Data'!$A$2:$A$5000,0)),"")</f>
        <v/>
      </c>
      <c r="G270" s="42">
        <f>IF(E270="","",IF(E270&lt;=20,"Easier",IF(E270&lt;=35,"Medium","Hard")))</f>
        <v/>
      </c>
      <c r="H270" s="42" t="inlineStr">
        <is>
          <t>Brand page title + intro</t>
        </is>
      </c>
    </row>
  </sheetData>
  <mergeCells count="5">
    <mergeCell ref="B14:H14"/>
    <mergeCell ref="B17:H17"/>
    <mergeCell ref="B13:H13"/>
    <mergeCell ref="B16:H16"/>
    <mergeCell ref="B15:H15"/>
  </mergeCells>
  <conditionalFormatting sqref="G22:G71">
    <cfRule type="expression" rank="0" priority="2" equalAverage="0" aboveAverage="0" dxfId="8" text="" percent="0" bottom="0">
      <formula>G22="Easier"</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160"/>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36" min="1" max="2"/>
    <col width="34" customWidth="1" style="36" min="3" max="3"/>
    <col width="18" customWidth="1" style="36" min="4" max="5"/>
    <col width="28" customWidth="1" style="36" min="6" max="6"/>
    <col width="9" customWidth="1" style="36" min="7" max="7"/>
    <col width="8" customWidth="1" style="36" min="8" max="8"/>
    <col width="10" customWidth="1" style="36" min="9" max="9"/>
    <col width="9" customWidth="1" style="36" min="10" max="10"/>
    <col width="30" customWidth="1" style="36" min="11" max="11"/>
    <col width="34" customWidth="1" style="36" min="12" max="12"/>
    <col width="52" customWidth="1" style="36" min="13" max="13"/>
    <col width="7" customWidth="1" style="36" min="14" max="14"/>
    <col width="70" customWidth="1" style="36" min="15" max="15"/>
    <col width="7" customWidth="1" style="36" min="16" max="16"/>
    <col width="90" customWidth="1" style="36" min="17" max="17"/>
    <col width="44" customWidth="1" style="36" min="18" max="18"/>
    <col width="14" customWidth="1" style="36" min="19" max="19"/>
    <col width="30" customWidth="1" style="36" min="20" max="20"/>
  </cols>
  <sheetData>
    <row r="1" ht="31.5" customHeight="1" s="37">
      <c r="A1" s="43" t="inlineStr">
        <is>
          <t>ID</t>
        </is>
      </c>
      <c r="B1" s="43" t="inlineStr">
        <is>
          <t>Brand</t>
        </is>
      </c>
      <c r="C1" s="43" t="inlineStr">
        <is>
          <t>Product</t>
        </is>
      </c>
      <c r="D1" s="43" t="inlineStr">
        <is>
          <t>Type</t>
        </is>
      </c>
      <c r="E1" s="43" t="inlineStr">
        <is>
          <t>Concern</t>
        </is>
      </c>
      <c r="F1" s="43" t="inlineStr">
        <is>
          <t>Target keyword</t>
        </is>
      </c>
      <c r="G1" s="44" t="inlineStr">
        <is>
          <t>Target vol.</t>
        </is>
      </c>
      <c r="H1" s="44" t="inlineStr">
        <is>
          <t>Target KD</t>
        </is>
      </c>
      <c r="I1" s="43" t="inlineStr">
        <is>
          <t>Brand keyword</t>
        </is>
      </c>
      <c r="J1" s="44" t="inlineStr">
        <is>
          <t>Brand vol.</t>
        </is>
      </c>
      <c r="K1" s="43" t="inlineStr">
        <is>
          <t>Collection page (link to)</t>
        </is>
      </c>
      <c r="L1" s="43" t="inlineStr">
        <is>
          <t>H1</t>
        </is>
      </c>
      <c r="M1" s="43" t="inlineStr">
        <is>
          <t>Meta title</t>
        </is>
      </c>
      <c r="N1" s="43" t="inlineStr">
        <is>
          <t>Title len</t>
        </is>
      </c>
      <c r="O1" s="43" t="inlineStr">
        <is>
          <t>Meta description</t>
        </is>
      </c>
      <c r="P1" s="43" t="inlineStr">
        <is>
          <t>Desc len</t>
        </is>
      </c>
      <c r="Q1" s="43" t="inlineStr">
        <is>
          <t>Intro paragraph (first lines of product copy)</t>
        </is>
      </c>
      <c r="R1" s="43" t="inlineStr">
        <is>
          <t>FAQ ideas (Google autocomplete)</t>
        </is>
      </c>
      <c r="S1" s="43" t="inlineStr">
        <is>
          <t>Source description</t>
        </is>
      </c>
      <c r="T1" s="43" t="inlineStr">
        <is>
          <t>Claims check</t>
        </is>
      </c>
    </row>
    <row r="2" ht="45.75" customHeight="1" s="37">
      <c r="A2" s="45" t="inlineStr">
        <is>
          <t>VD-001</t>
        </is>
      </c>
      <c r="B2" s="45" t="inlineStr">
        <is>
          <t>Vilvah</t>
        </is>
      </c>
      <c r="C2" s="45" t="inlineStr">
        <is>
          <t>Rosewater Facial Toner</t>
        </is>
      </c>
      <c r="D2" s="45" t="inlineStr">
        <is>
          <t>Toners</t>
        </is>
      </c>
      <c r="E2" s="45" t="inlineStr">
        <is>
          <t>Skin Nourishment</t>
        </is>
      </c>
      <c r="F2" s="48" t="inlineStr">
        <is>
          <t>toner for dry skin</t>
        </is>
      </c>
      <c r="G2" s="47">
        <f>IFERROR(INDEX('Semrush Data'!$C$2:$C$5000,MATCH(F2,'Semrush Data'!$A$2:$A$5000,0)),"")</f>
        <v/>
      </c>
      <c r="H2" s="45">
        <f>IFERROR(INDEX('Semrush Data'!$D$2:$D$5000,MATCH(F2,'Semrush Data'!$A$2:$A$5000,0)),"")</f>
        <v/>
      </c>
      <c r="I2" s="45" t="inlineStr">
        <is>
          <t>vilvah</t>
        </is>
      </c>
      <c r="J2" s="47">
        <f>IFERROR(INDEX('Semrush Data'!$C$2:$C$5000,MATCH(I2,'Semrush Data'!$A$2:$A$5000,0)),"")</f>
        <v/>
      </c>
      <c r="K2" s="45" t="inlineStr">
        <is>
          <t>/collections/toner-for-dry-skin</t>
        </is>
      </c>
      <c r="L2" s="45" t="inlineStr">
        <is>
          <t>Vilvah Rosewater Facial Toner</t>
        </is>
      </c>
      <c r="M2" s="45" t="inlineStr">
        <is>
          <t>Vilvah Rosewater Facial Toner | Toner for Dry Skin</t>
        </is>
      </c>
      <c r="N2" s="45">
        <f>LEN(M2)</f>
        <v/>
      </c>
      <c r="O2" s="49" t="inlineStr">
        <is>
          <t>Buy Vilvah Rosewater Facial Toner, a natural toner for dry skin from Vilvah. Official UK partner: 100% authentic, shipped from the UK, free delivery over £50.</t>
        </is>
      </c>
      <c r="P2" s="45">
        <f>LEN(O2)</f>
        <v/>
      </c>
      <c r="Q2" s="49" t="inlineStr">
        <is>
          <t>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is>
      </c>
      <c r="R2" s="49" t="n"/>
      <c r="S2" s="45" t="inlineStr">
        <is>
          <t>Matched</t>
        </is>
      </c>
      <c r="T2" s="49" t="n"/>
    </row>
    <row r="3" ht="45.75" customHeight="1" s="37">
      <c r="A3" s="45" t="inlineStr">
        <is>
          <t>VD-002</t>
        </is>
      </c>
      <c r="B3" s="45" t="inlineStr">
        <is>
          <t>Vilvah</t>
        </is>
      </c>
      <c r="C3" s="45" t="inlineStr">
        <is>
          <t>Hair growth oil</t>
        </is>
      </c>
      <c r="D3" s="45" t="inlineStr">
        <is>
          <t>Hair Oil</t>
        </is>
      </c>
      <c r="E3" s="45" t="inlineStr">
        <is>
          <t>Hair Thinning &amp; Loss</t>
        </is>
      </c>
      <c r="F3" s="48" t="inlineStr">
        <is>
          <t>hair growth oil</t>
        </is>
      </c>
      <c r="G3" s="47">
        <f>IFERROR(INDEX('Semrush Data'!$C$2:$C$5000,MATCH(F3,'Semrush Data'!$A$2:$A$5000,0)),"")</f>
        <v/>
      </c>
      <c r="H3" s="45">
        <f>IFERROR(INDEX('Semrush Data'!$D$2:$D$5000,MATCH(F3,'Semrush Data'!$A$2:$A$5000,0)),"")</f>
        <v/>
      </c>
      <c r="I3" s="45" t="inlineStr">
        <is>
          <t>vilvah</t>
        </is>
      </c>
      <c r="J3" s="47">
        <f>IFERROR(INDEX('Semrush Data'!$C$2:$C$5000,MATCH(I3,'Semrush Data'!$A$2:$A$5000,0)),"")</f>
        <v/>
      </c>
      <c r="K3" s="45" t="inlineStr">
        <is>
          <t>/collections/hair-growth-oil</t>
        </is>
      </c>
      <c r="L3" s="45" t="inlineStr">
        <is>
          <t>Vilvah Hair Growth Oil</t>
        </is>
      </c>
      <c r="M3" s="45" t="inlineStr">
        <is>
          <t>Vilvah Hair Growth Oil – Hair Growth Oil | Swansura</t>
        </is>
      </c>
      <c r="N3" s="45">
        <f>LEN(M3)</f>
        <v/>
      </c>
      <c r="O3" s="49" t="inlineStr">
        <is>
          <t>Buy Vilvah Hair Growth Oil, a natural hair growth oil from Vilvah. Official UK partner: 100% authentic, shipped from the UK, free delivery over £50.</t>
        </is>
      </c>
      <c r="P3" s="45">
        <f>LEN(O3)</f>
        <v/>
      </c>
      <c r="Q3" s="49" t="inlineStr">
        <is>
          <t>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is>
      </c>
      <c r="R3" s="49" t="inlineStr">
        <is>
          <t>vilvah hair growth oil review · vilvah hair growth oil how to use · vilvah hair growth oil benefits · vilvah hair growth oil india · vilvah hair growth oil review before and after · vilvah hair growth oil amazon</t>
        </is>
      </c>
      <c r="S3" s="45" t="inlineStr">
        <is>
          <t>Matched</t>
        </is>
      </c>
      <c r="T3" s="49" t="inlineStr">
        <is>
          <t>Review: source copy has medical-style claims (kept out of intro)</t>
        </is>
      </c>
    </row>
    <row r="4" ht="23.25" customHeight="1" s="37">
      <c r="A4" s="45" t="inlineStr">
        <is>
          <t>VD-003</t>
        </is>
      </c>
      <c r="B4" s="45" t="inlineStr">
        <is>
          <t>Vilvah</t>
        </is>
      </c>
      <c r="C4" s="45" t="inlineStr">
        <is>
          <t>Classic Goatmilk Soap</t>
        </is>
      </c>
      <c r="D4" s="45" t="inlineStr">
        <is>
          <t>Bath &amp; Body Wash</t>
        </is>
      </c>
      <c r="E4" s="45" t="inlineStr">
        <is>
          <t>Body Cleansing</t>
        </is>
      </c>
      <c r="F4" s="48" t="inlineStr">
        <is>
          <t>natural body wash</t>
        </is>
      </c>
      <c r="G4" s="47">
        <f>IFERROR(INDEX('Semrush Data'!$C$2:$C$5000,MATCH(F4,'Semrush Data'!$A$2:$A$5000,0)),"")</f>
        <v/>
      </c>
      <c r="H4" s="45">
        <f>IFERROR(INDEX('Semrush Data'!$D$2:$D$5000,MATCH(F4,'Semrush Data'!$A$2:$A$5000,0)),"")</f>
        <v/>
      </c>
      <c r="I4" s="45" t="inlineStr">
        <is>
          <t>vilvah</t>
        </is>
      </c>
      <c r="J4" s="47">
        <f>IFERROR(INDEX('Semrush Data'!$C$2:$C$5000,MATCH(I4,'Semrush Data'!$A$2:$A$5000,0)),"")</f>
        <v/>
      </c>
      <c r="K4" s="45" t="inlineStr">
        <is>
          <t>/collections/shower-gel-body-wash</t>
        </is>
      </c>
      <c r="L4" s="45" t="inlineStr">
        <is>
          <t>Vilvah Classic Goatmilk Soap</t>
        </is>
      </c>
      <c r="M4" s="45" t="inlineStr">
        <is>
          <t>Vilvah Classic Goatmilk Soap – Natural Body Wash | Swansura</t>
        </is>
      </c>
      <c r="N4" s="45">
        <f>LEN(M4)</f>
        <v/>
      </c>
      <c r="O4" s="49" t="inlineStr">
        <is>
          <t>Buy Vilvah Classic Goatmilk Soap, a natural body wash from Vilvah. Official UK partner: 100% authentic, shipped from the UK, free delivery over £50.</t>
        </is>
      </c>
      <c r="P4" s="45">
        <f>LEN(O4)</f>
        <v/>
      </c>
      <c r="Q4" s="49" t="inlineStr">
        <is>
          <t>Vilvah Classic Goatmilk Soap is a natural body wash from Vilvah. Swansura is an official UK partner of Vilvah, so every order is 100% authentic and ships from the UK.</t>
        </is>
      </c>
      <c r="R4" s="49" t="n"/>
      <c r="S4" s="45" t="inlineStr">
        <is>
          <t>Not found – write from pack</t>
        </is>
      </c>
      <c r="T4" s="49" t="n"/>
    </row>
    <row r="5" ht="45.75" customHeight="1" s="37">
      <c r="A5" s="45" t="inlineStr">
        <is>
          <t>VD-004</t>
        </is>
      </c>
      <c r="B5" s="45" t="inlineStr">
        <is>
          <t>Vilvah</t>
        </is>
      </c>
      <c r="C5" s="45" t="inlineStr">
        <is>
          <t>Deo Shot - Rose and Vanilla</t>
        </is>
      </c>
      <c r="D5" s="45" t="inlineStr">
        <is>
          <t>Deodorant</t>
        </is>
      </c>
      <c r="E5" s="45" t="inlineStr">
        <is>
          <t>Body Hydration</t>
        </is>
      </c>
      <c r="F5" s="48" t="inlineStr">
        <is>
          <t>natural deodorant</t>
        </is>
      </c>
      <c r="G5" s="47">
        <f>IFERROR(INDEX('Semrush Data'!$C$2:$C$5000,MATCH(F5,'Semrush Data'!$A$2:$A$5000,0)),"")</f>
        <v/>
      </c>
      <c r="H5" s="45">
        <f>IFERROR(INDEX('Semrush Data'!$D$2:$D$5000,MATCH(F5,'Semrush Data'!$A$2:$A$5000,0)),"")</f>
        <v/>
      </c>
      <c r="I5" s="45" t="inlineStr">
        <is>
          <t>vilvah</t>
        </is>
      </c>
      <c r="J5" s="47">
        <f>IFERROR(INDEX('Semrush Data'!$C$2:$C$5000,MATCH(I5,'Semrush Data'!$A$2:$A$5000,0)),"")</f>
        <v/>
      </c>
      <c r="K5" s="45" t="inlineStr">
        <is>
          <t>/collections/deodorant</t>
        </is>
      </c>
      <c r="L5" s="45" t="inlineStr">
        <is>
          <t>Vilvah Deo Shot - Rose and Vanilla</t>
        </is>
      </c>
      <c r="M5" s="45" t="inlineStr">
        <is>
          <t>Vilvah Deo Shot - Rose and Vanilla | Natural Deodorant</t>
        </is>
      </c>
      <c r="N5" s="45">
        <f>LEN(M5)</f>
        <v/>
      </c>
      <c r="O5" s="49" t="inlineStr">
        <is>
          <t>Buy Vilvah Deo Shot - Rose and Vanilla, a natural deodorant from Vilvah. Official UK partner: 100% authentic, shipped from the UK, free delivery over £50.</t>
        </is>
      </c>
      <c r="P5" s="45">
        <f>LEN(O5)</f>
        <v/>
      </c>
      <c r="Q5" s="49" t="inlineStr">
        <is>
          <t>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is>
      </c>
      <c r="R5" s="49" t="n"/>
      <c r="S5" s="45" t="inlineStr">
        <is>
          <t>Matched</t>
        </is>
      </c>
      <c r="T5" s="49" t="n"/>
    </row>
    <row r="6" ht="23.25" customHeight="1" s="37">
      <c r="A6" s="45" t="inlineStr">
        <is>
          <t>VD-005</t>
        </is>
      </c>
      <c r="B6" s="45" t="inlineStr">
        <is>
          <t>Vilvah</t>
        </is>
      </c>
      <c r="C6" s="45" t="inlineStr">
        <is>
          <t>Skin finish Sunscreen SPF 50</t>
        </is>
      </c>
      <c r="D6" s="45" t="inlineStr">
        <is>
          <t>SPF for Face</t>
        </is>
      </c>
      <c r="E6" s="45" t="inlineStr">
        <is>
          <t>Sun Protection</t>
        </is>
      </c>
      <c r="F6" s="48" t="inlineStr">
        <is>
          <t>natural sunscreen</t>
        </is>
      </c>
      <c r="G6" s="47">
        <f>IFERROR(INDEX('Semrush Data'!$C$2:$C$5000,MATCH(F6,'Semrush Data'!$A$2:$A$5000,0)),"")</f>
        <v/>
      </c>
      <c r="H6" s="45">
        <f>IFERROR(INDEX('Semrush Data'!$D$2:$D$5000,MATCH(F6,'Semrush Data'!$A$2:$A$5000,0)),"")</f>
        <v/>
      </c>
      <c r="I6" s="45" t="inlineStr">
        <is>
          <t>vilvah</t>
        </is>
      </c>
      <c r="J6" s="47">
        <f>IFERROR(INDEX('Semrush Data'!$C$2:$C$5000,MATCH(I6,'Semrush Data'!$A$2:$A$5000,0)),"")</f>
        <v/>
      </c>
      <c r="K6" s="45" t="inlineStr">
        <is>
          <t>/collections/natural-sunscreen</t>
        </is>
      </c>
      <c r="L6" s="45" t="inlineStr">
        <is>
          <t>Vilvah Skin Finish Sunscreen SPF 50</t>
        </is>
      </c>
      <c r="M6" s="45" t="inlineStr">
        <is>
          <t>Vilvah Skin Finish Sunscreen SPF 50 | Natural Sunscreen</t>
        </is>
      </c>
      <c r="N6" s="45">
        <f>LEN(M6)</f>
        <v/>
      </c>
      <c r="O6" s="49" t="inlineStr">
        <is>
          <t>Buy Vilvah Skin Finish Sunscreen SPF 50, a natural sunscreen from Vilvah. Official UK partner: 100% authentic, shipped from the UK, free delivery over £50.</t>
        </is>
      </c>
      <c r="P6" s="45">
        <f>LEN(O6)</f>
        <v/>
      </c>
      <c r="Q6" s="49" t="inlineStr">
        <is>
          <t>Vilvah Skin Finish Sunscreen SPF 50 is a natural sunscreen from Vilvah. Swansura is an official UK partner of Vilvah, so every order is 100% authentic and ships from the UK.</t>
        </is>
      </c>
      <c r="R6" s="49" t="n"/>
      <c r="S6" s="45" t="inlineStr">
        <is>
          <t>Matched – no usable facts, add 1–2 from pack</t>
        </is>
      </c>
      <c r="T6" s="49" t="n"/>
    </row>
    <row r="7" ht="57" customHeight="1" s="37">
      <c r="A7" s="45" t="inlineStr">
        <is>
          <t>VD-006</t>
        </is>
      </c>
      <c r="B7" s="45" t="inlineStr">
        <is>
          <t>Vilvah</t>
        </is>
      </c>
      <c r="C7" s="45" t="inlineStr">
        <is>
          <t>Milk Powder Face Wash</t>
        </is>
      </c>
      <c r="D7" s="45" t="inlineStr">
        <is>
          <t>Cleansers</t>
        </is>
      </c>
      <c r="E7" s="45" t="inlineStr">
        <is>
          <t>Skin Nourishment</t>
        </is>
      </c>
      <c r="F7" s="48" t="inlineStr">
        <is>
          <t>face wash for oily skin</t>
        </is>
      </c>
      <c r="G7" s="47">
        <f>IFERROR(INDEX('Semrush Data'!$C$2:$C$5000,MATCH(F7,'Semrush Data'!$A$2:$A$5000,0)),"")</f>
        <v/>
      </c>
      <c r="H7" s="45">
        <f>IFERROR(INDEX('Semrush Data'!$D$2:$D$5000,MATCH(F7,'Semrush Data'!$A$2:$A$5000,0)),"")</f>
        <v/>
      </c>
      <c r="I7" s="45" t="inlineStr">
        <is>
          <t>vilvah</t>
        </is>
      </c>
      <c r="J7" s="47">
        <f>IFERROR(INDEX('Semrush Data'!$C$2:$C$5000,MATCH(I7,'Semrush Data'!$A$2:$A$5000,0)),"")</f>
        <v/>
      </c>
      <c r="K7" s="45" t="inlineStr">
        <is>
          <t>/collections/face-wash-for-oily-skin</t>
        </is>
      </c>
      <c r="L7" s="45" t="inlineStr">
        <is>
          <t>Vilvah Milk Powder Face Wash</t>
        </is>
      </c>
      <c r="M7" s="45" t="inlineStr">
        <is>
          <t>Vilvah Milk Powder Face Wash | Face Wash for Oily Skin</t>
        </is>
      </c>
      <c r="N7" s="45">
        <f>LEN(M7)</f>
        <v/>
      </c>
      <c r="O7" s="49" t="inlineStr">
        <is>
          <t>Vilvah Milk Powder Face Wash: a natural face wash for oily skin from Vilvah. Official UK partner: 100% authentic, shipped from the UK, free delivery over £50.</t>
        </is>
      </c>
      <c r="P7" s="45">
        <f>LEN(O7)</f>
        <v/>
      </c>
      <c r="Q7" s="49" t="inlineStr">
        <is>
          <t>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is>
      </c>
      <c r="R7" s="49" t="inlineStr">
        <is>
          <t>vilvah milk powder face wash review · vilvah milk powder face wash benefits · vilvah milk powder face wash price · vilvah milk powder face wash how to use · vilvah milk powder face wash and serum · vilvah milk powder face wash amazon</t>
        </is>
      </c>
      <c r="S7" s="45" t="inlineStr">
        <is>
          <t>Matched</t>
        </is>
      </c>
      <c r="T7" s="49" t="n"/>
    </row>
    <row r="8" ht="45.75" customHeight="1" s="37">
      <c r="A8" s="45" t="inlineStr">
        <is>
          <t>VD-007</t>
        </is>
      </c>
      <c r="B8" s="45" t="inlineStr">
        <is>
          <t>Vilvah</t>
        </is>
      </c>
      <c r="C8" s="45" t="inlineStr">
        <is>
          <t>Ultra Moisturising Cream</t>
        </is>
      </c>
      <c r="D8" s="45" t="inlineStr">
        <is>
          <t>Moisturisers</t>
        </is>
      </c>
      <c r="E8" s="45" t="inlineStr">
        <is>
          <t>Dry Skin</t>
        </is>
      </c>
      <c r="F8" s="48" t="inlineStr">
        <is>
          <t>moisturiser for dry skin</t>
        </is>
      </c>
      <c r="G8" s="47">
        <f>IFERROR(INDEX('Semrush Data'!$C$2:$C$5000,MATCH(F8,'Semrush Data'!$A$2:$A$5000,0)),"")</f>
        <v/>
      </c>
      <c r="H8" s="45">
        <f>IFERROR(INDEX('Semrush Data'!$D$2:$D$5000,MATCH(F8,'Semrush Data'!$A$2:$A$5000,0)),"")</f>
        <v/>
      </c>
      <c r="I8" s="45" t="inlineStr">
        <is>
          <t>vilvah</t>
        </is>
      </c>
      <c r="J8" s="47">
        <f>IFERROR(INDEX('Semrush Data'!$C$2:$C$5000,MATCH(I8,'Semrush Data'!$A$2:$A$5000,0)),"")</f>
        <v/>
      </c>
      <c r="K8" s="45" t="inlineStr">
        <is>
          <t>/collections/moisturiser-for-dry-skin</t>
        </is>
      </c>
      <c r="L8" s="45" t="inlineStr">
        <is>
          <t>Vilvah Ultra Moisturising Cream</t>
        </is>
      </c>
      <c r="M8" s="45" t="inlineStr">
        <is>
          <t>Vilvah Ultra Moisturising Cream | Moisturiser for Dry Skin</t>
        </is>
      </c>
      <c r="N8" s="45">
        <f>LEN(M8)</f>
        <v/>
      </c>
      <c r="O8" s="49" t="inlineStr">
        <is>
          <t>Buy Vilvah Ultra Moisturising Cream, a natural moisturiser for dry skin from Vilvah. Official UK partner, 100% authentic, free UK delivery over £50.</t>
        </is>
      </c>
      <c r="P8" s="45">
        <f>LEN(O8)</f>
        <v/>
      </c>
      <c r="Q8" s="49" t="inlineStr">
        <is>
          <t>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is>
      </c>
      <c r="R8" s="49" t="n"/>
      <c r="S8" s="45" t="inlineStr">
        <is>
          <t>Matched</t>
        </is>
      </c>
      <c r="T8" s="49" t="inlineStr">
        <is>
          <t>Review: source copy has medical-style claims (kept out of intro)</t>
        </is>
      </c>
    </row>
    <row r="9" ht="23.25" customHeight="1" s="37">
      <c r="A9" s="45" t="inlineStr">
        <is>
          <t>VD-008</t>
        </is>
      </c>
      <c r="B9" s="45" t="inlineStr">
        <is>
          <t>Vilvah</t>
        </is>
      </c>
      <c r="C9" s="45" t="inlineStr">
        <is>
          <t>Classic Rose Goatmilk Soap</t>
        </is>
      </c>
      <c r="D9" s="45" t="inlineStr">
        <is>
          <t>Bath &amp; Body Wash</t>
        </is>
      </c>
      <c r="E9" s="45" t="inlineStr">
        <is>
          <t>Body Cleansing</t>
        </is>
      </c>
      <c r="F9" s="48" t="inlineStr">
        <is>
          <t>natural body wash</t>
        </is>
      </c>
      <c r="G9" s="47">
        <f>IFERROR(INDEX('Semrush Data'!$C$2:$C$5000,MATCH(F9,'Semrush Data'!$A$2:$A$5000,0)),"")</f>
        <v/>
      </c>
      <c r="H9" s="45">
        <f>IFERROR(INDEX('Semrush Data'!$D$2:$D$5000,MATCH(F9,'Semrush Data'!$A$2:$A$5000,0)),"")</f>
        <v/>
      </c>
      <c r="I9" s="45" t="inlineStr">
        <is>
          <t>vilvah</t>
        </is>
      </c>
      <c r="J9" s="47">
        <f>IFERROR(INDEX('Semrush Data'!$C$2:$C$5000,MATCH(I9,'Semrush Data'!$A$2:$A$5000,0)),"")</f>
        <v/>
      </c>
      <c r="K9" s="45" t="inlineStr">
        <is>
          <t>/collections/shower-gel-body-wash</t>
        </is>
      </c>
      <c r="L9" s="45" t="inlineStr">
        <is>
          <t>Vilvah Classic Rose Goatmilk Soap</t>
        </is>
      </c>
      <c r="M9" s="45" t="inlineStr">
        <is>
          <t>Vilvah Classic Rose Goatmilk Soap | Natural Body Wash</t>
        </is>
      </c>
      <c r="N9" s="45">
        <f>LEN(M9)</f>
        <v/>
      </c>
      <c r="O9" s="49" t="inlineStr">
        <is>
          <t>Buy Vilvah Classic Rose Goatmilk Soap, a natural body wash from Vilvah. Official UK partner: 100% authentic, shipped from the UK, free delivery over £50.</t>
        </is>
      </c>
      <c r="P9" s="45">
        <f>LEN(O9)</f>
        <v/>
      </c>
      <c r="Q9" s="49" t="inlineStr">
        <is>
          <t>Vilvah Classic Rose Goatmilk Soap is a natural body wash from Vilvah. Swansura is an official UK partner of Vilvah, so every order is 100% authentic and ships from the UK.</t>
        </is>
      </c>
      <c r="R9" s="49" t="n"/>
      <c r="S9" s="45" t="inlineStr">
        <is>
          <t>Not found – write from pack</t>
        </is>
      </c>
      <c r="T9" s="49" t="n"/>
    </row>
    <row r="10" ht="45.75" customHeight="1" s="37">
      <c r="A10" s="45" t="inlineStr">
        <is>
          <t>VD-009</t>
        </is>
      </c>
      <c r="B10" s="45" t="inlineStr">
        <is>
          <t>Vilvah</t>
        </is>
      </c>
      <c r="C10" s="45" t="inlineStr">
        <is>
          <t>Goat Milk Body Wash</t>
        </is>
      </c>
      <c r="D10" s="45" t="inlineStr">
        <is>
          <t>Bath &amp; Body Wash</t>
        </is>
      </c>
      <c r="E10" s="45" t="inlineStr">
        <is>
          <t>Body Cleansing</t>
        </is>
      </c>
      <c r="F10" s="48" t="inlineStr">
        <is>
          <t>natural body wash</t>
        </is>
      </c>
      <c r="G10" s="47">
        <f>IFERROR(INDEX('Semrush Data'!$C$2:$C$5000,MATCH(F10,'Semrush Data'!$A$2:$A$5000,0)),"")</f>
        <v/>
      </c>
      <c r="H10" s="45">
        <f>IFERROR(INDEX('Semrush Data'!$D$2:$D$5000,MATCH(F10,'Semrush Data'!$A$2:$A$5000,0)),"")</f>
        <v/>
      </c>
      <c r="I10" s="45" t="inlineStr">
        <is>
          <t>vilvah</t>
        </is>
      </c>
      <c r="J10" s="47">
        <f>IFERROR(INDEX('Semrush Data'!$C$2:$C$5000,MATCH(I10,'Semrush Data'!$A$2:$A$5000,0)),"")</f>
        <v/>
      </c>
      <c r="K10" s="45" t="inlineStr">
        <is>
          <t>/collections/shower-gel-body-wash</t>
        </is>
      </c>
      <c r="L10" s="45" t="inlineStr">
        <is>
          <t>Vilvah Goat Milk Body Wash</t>
        </is>
      </c>
      <c r="M10" s="45" t="inlineStr">
        <is>
          <t>Vilvah Goat Milk Body Wash – Natural Body Wash | Swansura</t>
        </is>
      </c>
      <c r="N10" s="45">
        <f>LEN(M10)</f>
        <v/>
      </c>
      <c r="O10" s="49" t="inlineStr">
        <is>
          <t>Buy Vilvah Goat Milk Body Wash, a natural body wash from Vilvah. Official UK partner: 100% authentic, shipped from the UK, free delivery over £50.</t>
        </is>
      </c>
      <c r="P10" s="45">
        <f>LEN(O10)</f>
        <v/>
      </c>
      <c r="Q10" s="49" t="inlineStr">
        <is>
          <t>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is>
      </c>
      <c r="R10" s="49" t="inlineStr">
        <is>
          <t>vilvah goat milk body wash review · vilvah goat milk body wash ingredients · vilvah goat milk body wash benefits · vilvah goat milk body soap · vilvah goat milk soap review</t>
        </is>
      </c>
      <c r="S10" s="45" t="inlineStr">
        <is>
          <t>Matched</t>
        </is>
      </c>
      <c r="T10" s="49" t="n"/>
    </row>
    <row r="11" ht="34.5" customHeight="1" s="37">
      <c r="A11" s="45" t="inlineStr">
        <is>
          <t>VD-010</t>
        </is>
      </c>
      <c r="B11" s="45" t="inlineStr">
        <is>
          <t>Vilvah</t>
        </is>
      </c>
      <c r="C11" s="45" t="inlineStr">
        <is>
          <t>Rose Milk Lip Balm</t>
        </is>
      </c>
      <c r="D11" s="45" t="inlineStr">
        <is>
          <t>Lip Care</t>
        </is>
      </c>
      <c r="E11" s="45" t="inlineStr">
        <is>
          <t>Dry Lips</t>
        </is>
      </c>
      <c r="F11" s="48" t="inlineStr">
        <is>
          <t>lip balm for dry lips</t>
        </is>
      </c>
      <c r="G11" s="47">
        <f>IFERROR(INDEX('Semrush Data'!$C$2:$C$5000,MATCH(F11,'Semrush Data'!$A$2:$A$5000,0)),"")</f>
        <v/>
      </c>
      <c r="H11" s="45">
        <f>IFERROR(INDEX('Semrush Data'!$D$2:$D$5000,MATCH(F11,'Semrush Data'!$A$2:$A$5000,0)),"")</f>
        <v/>
      </c>
      <c r="I11" s="45" t="inlineStr">
        <is>
          <t>vilvah</t>
        </is>
      </c>
      <c r="J11" s="47">
        <f>IFERROR(INDEX('Semrush Data'!$C$2:$C$5000,MATCH(I11,'Semrush Data'!$A$2:$A$5000,0)),"")</f>
        <v/>
      </c>
      <c r="K11" s="45" t="inlineStr">
        <is>
          <t>/collections/lip-balm-for-dry-lips</t>
        </is>
      </c>
      <c r="L11" s="45" t="inlineStr">
        <is>
          <t>Vilvah Rose Milk Lip Balm</t>
        </is>
      </c>
      <c r="M11" s="45" t="inlineStr">
        <is>
          <t>Vilvah Rose Milk Lip Balm – Lip Balm for Dry Lips | Swansura</t>
        </is>
      </c>
      <c r="N11" s="45">
        <f>LEN(M11)</f>
        <v/>
      </c>
      <c r="O11" s="49" t="inlineStr">
        <is>
          <t>Buy Vilvah Rose Milk Lip Balm, a natural lip balm for dry lips from Vilvah. Official UK partner: 100% authentic, shipped from the UK, free delivery over £50.</t>
        </is>
      </c>
      <c r="P11" s="45">
        <f>LEN(O11)</f>
        <v/>
      </c>
      <c r="Q11" s="49" t="inlineStr">
        <is>
          <t>Vilvah Rose Milk Lip Balm is a natural lip balm for dry lips from Vilvah. Swansura is an official UK partner of Vilvah, so every order is 100% authentic and ships from the UK.</t>
        </is>
      </c>
      <c r="R11" s="49" t="inlineStr">
        <is>
          <t>vilvah rose milk lip balm review · vilvah rose milk lip balm ingredients · vilvah rose milk lip balm price · vilvah lip balm review · vilvah lip balm price</t>
        </is>
      </c>
      <c r="S11" s="45" t="inlineStr">
        <is>
          <t>Not found – write from pack</t>
        </is>
      </c>
      <c r="T11" s="49" t="n"/>
    </row>
    <row r="12" ht="23.25" customHeight="1" s="37">
      <c r="A12" s="45" t="inlineStr">
        <is>
          <t>VD-011</t>
        </is>
      </c>
      <c r="B12" s="45" t="inlineStr">
        <is>
          <t>Vilvah</t>
        </is>
      </c>
      <c r="C12" s="45" t="inlineStr">
        <is>
          <t>Charcoal Goatmilk Soap</t>
        </is>
      </c>
      <c r="D12" s="45" t="inlineStr">
        <is>
          <t>Bath &amp; Body Wash</t>
        </is>
      </c>
      <c r="E12" s="45" t="inlineStr">
        <is>
          <t>Body Cleansing</t>
        </is>
      </c>
      <c r="F12" s="48" t="inlineStr">
        <is>
          <t>natural body wash</t>
        </is>
      </c>
      <c r="G12" s="47">
        <f>IFERROR(INDEX('Semrush Data'!$C$2:$C$5000,MATCH(F12,'Semrush Data'!$A$2:$A$5000,0)),"")</f>
        <v/>
      </c>
      <c r="H12" s="45">
        <f>IFERROR(INDEX('Semrush Data'!$D$2:$D$5000,MATCH(F12,'Semrush Data'!$A$2:$A$5000,0)),"")</f>
        <v/>
      </c>
      <c r="I12" s="45" t="inlineStr">
        <is>
          <t>vilvah</t>
        </is>
      </c>
      <c r="J12" s="47">
        <f>IFERROR(INDEX('Semrush Data'!$C$2:$C$5000,MATCH(I12,'Semrush Data'!$A$2:$A$5000,0)),"")</f>
        <v/>
      </c>
      <c r="K12" s="45" t="inlineStr">
        <is>
          <t>/collections/shower-gel-body-wash</t>
        </is>
      </c>
      <c r="L12" s="45" t="inlineStr">
        <is>
          <t>Vilvah Charcoal Goatmilk Soap</t>
        </is>
      </c>
      <c r="M12" s="45" t="inlineStr">
        <is>
          <t>Vilvah Charcoal Goatmilk Soap – Natural Body Wash | Swansura</t>
        </is>
      </c>
      <c r="N12" s="45">
        <f>LEN(M12)</f>
        <v/>
      </c>
      <c r="O12" s="49" t="inlineStr">
        <is>
          <t>Buy Vilvah Charcoal Goatmilk Soap, a natural body wash from Vilvah. Official UK partner: 100% authentic, shipped from the UK, free delivery over £50.</t>
        </is>
      </c>
      <c r="P12" s="45">
        <f>LEN(O12)</f>
        <v/>
      </c>
      <c r="Q12" s="49" t="inlineStr">
        <is>
          <t>Vilvah Charcoal Goatmilk Soap is a natural body wash from Vilvah. Swansura is an official UK partner of Vilvah, so every order is 100% authentic and ships from the UK.</t>
        </is>
      </c>
      <c r="R12" s="49" t="n"/>
      <c r="S12" s="45" t="inlineStr">
        <is>
          <t>Not found – write from pack</t>
        </is>
      </c>
      <c r="T12" s="49" t="n"/>
    </row>
    <row r="13" ht="34.5" customHeight="1" s="37">
      <c r="A13" s="45" t="inlineStr">
        <is>
          <t>VD-012</t>
        </is>
      </c>
      <c r="B13" s="45" t="inlineStr">
        <is>
          <t>Vilvah</t>
        </is>
      </c>
      <c r="C13" s="45" t="inlineStr">
        <is>
          <t>Cream Conditioner</t>
        </is>
      </c>
      <c r="D13" s="45" t="inlineStr">
        <is>
          <t>Conditioner</t>
        </is>
      </c>
      <c r="E13" s="45" t="inlineStr">
        <is>
          <t>Hair Nourishment</t>
        </is>
      </c>
      <c r="F13" s="48" t="inlineStr">
        <is>
          <t>hair mask for dry hair</t>
        </is>
      </c>
      <c r="G13" s="47">
        <f>IFERROR(INDEX('Semrush Data'!$C$2:$C$5000,MATCH(F13,'Semrush Data'!$A$2:$A$5000,0)),"")</f>
        <v/>
      </c>
      <c r="H13" s="45">
        <f>IFERROR(INDEX('Semrush Data'!$D$2:$D$5000,MATCH(F13,'Semrush Data'!$A$2:$A$5000,0)),"")</f>
        <v/>
      </c>
      <c r="I13" s="45" t="inlineStr">
        <is>
          <t>vilvah</t>
        </is>
      </c>
      <c r="J13" s="47">
        <f>IFERROR(INDEX('Semrush Data'!$C$2:$C$5000,MATCH(I13,'Semrush Data'!$A$2:$A$5000,0)),"")</f>
        <v/>
      </c>
      <c r="K13" s="45" t="inlineStr">
        <is>
          <t>/collections/hair-mask-for-dry-hair</t>
        </is>
      </c>
      <c r="L13" s="45" t="inlineStr">
        <is>
          <t>Vilvah Cream Conditioner</t>
        </is>
      </c>
      <c r="M13" s="45" t="inlineStr">
        <is>
          <t>Vilvah Cream Conditioner – Hair Mask for Dry Hair | Swansura</t>
        </is>
      </c>
      <c r="N13" s="45">
        <f>LEN(M13)</f>
        <v/>
      </c>
      <c r="O13" s="49" t="inlineStr">
        <is>
          <t>Buy Vilvah Cream Conditioner, a natural hair mask for dry hair from Vilvah. Official UK partner: 100% authentic, shipped from the UK, free delivery over £50.</t>
        </is>
      </c>
      <c r="P13" s="45">
        <f>LEN(O13)</f>
        <v/>
      </c>
      <c r="Q13" s="49" t="inlineStr">
        <is>
          <t>Vilvah Cream Conditioner is a natural hair mask for dry hair from Vilvah. Swansura is an official UK partner of Vilvah, so every order is 100% authentic and ships from the UK.</t>
        </is>
      </c>
      <c r="R13" s="49" t="inlineStr">
        <is>
          <t>vilvah cream conditioner review · vilvah cream conditioner ingredients · how to use vilvah cream conditioner · vilvah conditioner review</t>
        </is>
      </c>
      <c r="S13" s="45" t="inlineStr">
        <is>
          <t>Matched – no usable facts, add 1–2 from pack</t>
        </is>
      </c>
      <c r="T13" s="49" t="inlineStr">
        <is>
          <t>Review: source copy has medical-style claims (kept out of intro)</t>
        </is>
      </c>
    </row>
    <row r="14" ht="34.5" customHeight="1" s="37">
      <c r="A14" s="45" t="inlineStr">
        <is>
          <t>VD-013</t>
        </is>
      </c>
      <c r="B14" s="45" t="inlineStr">
        <is>
          <t>Vilvah</t>
        </is>
      </c>
      <c r="C14" s="45" t="inlineStr">
        <is>
          <t>Goat Milk Shampoo</t>
        </is>
      </c>
      <c r="D14" s="45" t="inlineStr">
        <is>
          <t>Shampoo</t>
        </is>
      </c>
      <c r="E14" s="45" t="inlineStr">
        <is>
          <t>Dry Skin</t>
        </is>
      </c>
      <c r="F14" s="48" t="inlineStr">
        <is>
          <t>natural shampoo</t>
        </is>
      </c>
      <c r="G14" s="47">
        <f>IFERROR(INDEX('Semrush Data'!$C$2:$C$5000,MATCH(F14,'Semrush Data'!$A$2:$A$5000,0)),"")</f>
        <v/>
      </c>
      <c r="H14" s="45">
        <f>IFERROR(INDEX('Semrush Data'!$D$2:$D$5000,MATCH(F14,'Semrush Data'!$A$2:$A$5000,0)),"")</f>
        <v/>
      </c>
      <c r="I14" s="45" t="inlineStr">
        <is>
          <t>vilvah</t>
        </is>
      </c>
      <c r="J14" s="47">
        <f>IFERROR(INDEX('Semrush Data'!$C$2:$C$5000,MATCH(I14,'Semrush Data'!$A$2:$A$5000,0)),"")</f>
        <v/>
      </c>
      <c r="K14" s="45" t="inlineStr">
        <is>
          <t>/collections/natural-shampoo</t>
        </is>
      </c>
      <c r="L14" s="45" t="inlineStr">
        <is>
          <t>Vilvah Goat Milk Shampoo</t>
        </is>
      </c>
      <c r="M14" s="45" t="inlineStr">
        <is>
          <t>Vilvah Goat Milk Shampoo – Natural Shampoo | Swansura</t>
        </is>
      </c>
      <c r="N14" s="45">
        <f>LEN(M14)</f>
        <v/>
      </c>
      <c r="O14" s="49" t="inlineStr">
        <is>
          <t>Buy Vilvah Goat Milk Shampoo, a natural shampoo from Vilvah. Official UK partner: 100% authentic, shipped from the UK, free delivery over £50.</t>
        </is>
      </c>
      <c r="P14" s="45">
        <f>LEN(O14)</f>
        <v/>
      </c>
      <c r="Q14" s="49" t="inlineStr">
        <is>
          <t>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is>
      </c>
      <c r="R14" s="49" t="inlineStr">
        <is>
          <t>vilvah goat milk shampoo review · vilvah goat milk shampoo price · vilvah goat milk shampoo benefits · vilvah goat milk shampoo ingredients</t>
        </is>
      </c>
      <c r="S14" s="45" t="inlineStr">
        <is>
          <t>Matched</t>
        </is>
      </c>
      <c r="T14" s="49" t="inlineStr">
        <is>
          <t>Review: source copy has medical-style claims (kept out of intro)</t>
        </is>
      </c>
    </row>
    <row r="15" ht="45.75" customHeight="1" s="37">
      <c r="A15" s="45" t="inlineStr">
        <is>
          <t>VD-014</t>
        </is>
      </c>
      <c r="B15" s="45" t="inlineStr">
        <is>
          <t>Vilvah</t>
        </is>
      </c>
      <c r="C15" s="45" t="inlineStr">
        <is>
          <t>Honey Fix Face Wash</t>
        </is>
      </c>
      <c r="D15" s="45" t="inlineStr">
        <is>
          <t>Cleansers</t>
        </is>
      </c>
      <c r="E15" s="45" t="inlineStr">
        <is>
          <t>Skin Nourishment</t>
        </is>
      </c>
      <c r="F15" s="48" t="inlineStr">
        <is>
          <t>face wash for oily skin</t>
        </is>
      </c>
      <c r="G15" s="47">
        <f>IFERROR(INDEX('Semrush Data'!$C$2:$C$5000,MATCH(F15,'Semrush Data'!$A$2:$A$5000,0)),"")</f>
        <v/>
      </c>
      <c r="H15" s="45">
        <f>IFERROR(INDEX('Semrush Data'!$D$2:$D$5000,MATCH(F15,'Semrush Data'!$A$2:$A$5000,0)),"")</f>
        <v/>
      </c>
      <c r="I15" s="45" t="inlineStr">
        <is>
          <t>vilvah</t>
        </is>
      </c>
      <c r="J15" s="47">
        <f>IFERROR(INDEX('Semrush Data'!$C$2:$C$5000,MATCH(I15,'Semrush Data'!$A$2:$A$5000,0)),"")</f>
        <v/>
      </c>
      <c r="K15" s="45" t="inlineStr">
        <is>
          <t>/collections/face-wash-for-oily-skin</t>
        </is>
      </c>
      <c r="L15" s="45" t="inlineStr">
        <is>
          <t>Vilvah Honey Fix Face Wash</t>
        </is>
      </c>
      <c r="M15" s="45" t="inlineStr">
        <is>
          <t>Vilvah Honey Fix Face Wash | Face Wash for Oily Skin</t>
        </is>
      </c>
      <c r="N15" s="45">
        <f>LEN(M15)</f>
        <v/>
      </c>
      <c r="O15" s="49" t="inlineStr">
        <is>
          <t>Buy Vilvah Honey Fix Face Wash, a natural face wash for oily skin from Vilvah. Official UK partner: 100% authentic, shipped from the UK, free delivery over £50.</t>
        </is>
      </c>
      <c r="P15" s="45">
        <f>LEN(O15)</f>
        <v/>
      </c>
      <c r="Q15" s="49" t="inlineStr">
        <is>
          <t>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is>
      </c>
      <c r="R15" s="49" t="inlineStr">
        <is>
          <t>vilvah honey fix face wash review</t>
        </is>
      </c>
      <c r="S15" s="45" t="inlineStr">
        <is>
          <t>Matched</t>
        </is>
      </c>
      <c r="T15" s="49" t="n"/>
    </row>
    <row r="16" ht="45.75" customHeight="1" s="37">
      <c r="A16" s="45" t="inlineStr">
        <is>
          <t>VD-015</t>
        </is>
      </c>
      <c r="B16" s="45" t="inlineStr">
        <is>
          <t>Vilvah</t>
        </is>
      </c>
      <c r="C16" s="45" t="inlineStr">
        <is>
          <t>Lip Balm - Lemon</t>
        </is>
      </c>
      <c r="D16" s="45" t="inlineStr">
        <is>
          <t>Lip Care</t>
        </is>
      </c>
      <c r="E16" s="45" t="inlineStr">
        <is>
          <t>Dry Lips</t>
        </is>
      </c>
      <c r="F16" s="48" t="inlineStr">
        <is>
          <t>lip balm for dry lips</t>
        </is>
      </c>
      <c r="G16" s="47">
        <f>IFERROR(INDEX('Semrush Data'!$C$2:$C$5000,MATCH(F16,'Semrush Data'!$A$2:$A$5000,0)),"")</f>
        <v/>
      </c>
      <c r="H16" s="45">
        <f>IFERROR(INDEX('Semrush Data'!$D$2:$D$5000,MATCH(F16,'Semrush Data'!$A$2:$A$5000,0)),"")</f>
        <v/>
      </c>
      <c r="I16" s="45" t="inlineStr">
        <is>
          <t>vilvah</t>
        </is>
      </c>
      <c r="J16" s="47">
        <f>IFERROR(INDEX('Semrush Data'!$C$2:$C$5000,MATCH(I16,'Semrush Data'!$A$2:$A$5000,0)),"")</f>
        <v/>
      </c>
      <c r="K16" s="45" t="inlineStr">
        <is>
          <t>/collections/lip-balm-for-dry-lips</t>
        </is>
      </c>
      <c r="L16" s="45" t="inlineStr">
        <is>
          <t>Vilvah Lip Balm - Lemon</t>
        </is>
      </c>
      <c r="M16" s="45" t="inlineStr">
        <is>
          <t>Vilvah Lip Balm - Lemon – Lip Balm for Dry Lips | Swansura</t>
        </is>
      </c>
      <c r="N16" s="45">
        <f>LEN(M16)</f>
        <v/>
      </c>
      <c r="O16" s="49" t="inlineStr">
        <is>
          <t>Buy Vilvah Lip Balm - Lemon, a natural lip balm for dry lips from Vilvah. Official UK partner: 100% authentic, shipped from the UK, free delivery over £50.</t>
        </is>
      </c>
      <c r="P16" s="45">
        <f>LEN(O16)</f>
        <v/>
      </c>
      <c r="Q16" s="49" t="inlineStr">
        <is>
          <t>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is>
      </c>
      <c r="R16" s="49" t="inlineStr">
        <is>
          <t>vilvah lip balm lemon · vilvah lemon lip balm review · vilvah lip balm review · vilvah lip balm price</t>
        </is>
      </c>
      <c r="S16" s="45" t="inlineStr">
        <is>
          <t>Matched</t>
        </is>
      </c>
      <c r="T16" s="49" t="inlineStr">
        <is>
          <t>Review: source copy has medical-style claims (kept out of intro)</t>
        </is>
      </c>
    </row>
    <row r="17" ht="45.75" customHeight="1" s="37">
      <c r="A17" s="45" t="inlineStr">
        <is>
          <t>VD-016</t>
        </is>
      </c>
      <c r="B17" s="45" t="inlineStr">
        <is>
          <t>Vilvah</t>
        </is>
      </c>
      <c r="C17" s="45" t="inlineStr">
        <is>
          <t>Milk Body Lotion</t>
        </is>
      </c>
      <c r="D17" s="45" t="inlineStr">
        <is>
          <t>Body Cream &amp; Lotions</t>
        </is>
      </c>
      <c r="E17" s="45" t="inlineStr">
        <is>
          <t>Dry Skin</t>
        </is>
      </c>
      <c r="F17" s="48" t="inlineStr">
        <is>
          <t>body lotion for dry skin</t>
        </is>
      </c>
      <c r="G17" s="47">
        <f>IFERROR(INDEX('Semrush Data'!$C$2:$C$5000,MATCH(F17,'Semrush Data'!$A$2:$A$5000,0)),"")</f>
        <v/>
      </c>
      <c r="H17" s="45">
        <f>IFERROR(INDEX('Semrush Data'!$D$2:$D$5000,MATCH(F17,'Semrush Data'!$A$2:$A$5000,0)),"")</f>
        <v/>
      </c>
      <c r="I17" s="45" t="inlineStr">
        <is>
          <t>vilvah</t>
        </is>
      </c>
      <c r="J17" s="47">
        <f>IFERROR(INDEX('Semrush Data'!$C$2:$C$5000,MATCH(I17,'Semrush Data'!$A$2:$A$5000,0)),"")</f>
        <v/>
      </c>
      <c r="K17" s="45" t="inlineStr">
        <is>
          <t>/collections/body-lotion-for-dry-skin</t>
        </is>
      </c>
      <c r="L17" s="45" t="inlineStr">
        <is>
          <t>Vilvah Milk Body Lotion</t>
        </is>
      </c>
      <c r="M17" s="45" t="inlineStr">
        <is>
          <t>Vilvah Milk Body Lotion | Body Lotion for Dry Skin</t>
        </is>
      </c>
      <c r="N17" s="45">
        <f>LEN(M17)</f>
        <v/>
      </c>
      <c r="O17" s="49" t="inlineStr">
        <is>
          <t>Buy Vilvah Milk Body Lotion, a natural body lotion for dry skin from Vilvah. Official UK partner: 100% authentic, shipped from the UK, free delivery over £50.</t>
        </is>
      </c>
      <c r="P17" s="45">
        <f>LEN(O17)</f>
        <v/>
      </c>
      <c r="Q17" s="49" t="inlineStr">
        <is>
          <t>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is>
      </c>
      <c r="R17" s="49" t="inlineStr">
        <is>
          <t>vilvah milk body lotion review · vilvah milk body lotion price</t>
        </is>
      </c>
      <c r="S17" s="45" t="inlineStr">
        <is>
          <t>Matched</t>
        </is>
      </c>
      <c r="T17" s="49" t="n"/>
    </row>
    <row r="18" ht="45.75" customHeight="1" s="37">
      <c r="A18" s="45" t="inlineStr">
        <is>
          <t>VD-017</t>
        </is>
      </c>
      <c r="B18" s="45" t="inlineStr">
        <is>
          <t>Vilvah</t>
        </is>
      </c>
      <c r="C18" s="45" t="inlineStr">
        <is>
          <t>Milk Face Toner</t>
        </is>
      </c>
      <c r="D18" s="45" t="inlineStr">
        <is>
          <t>Toners</t>
        </is>
      </c>
      <c r="E18" s="45" t="inlineStr">
        <is>
          <t>Dry Skin</t>
        </is>
      </c>
      <c r="F18" s="48" t="inlineStr">
        <is>
          <t>toner for dry skin</t>
        </is>
      </c>
      <c r="G18" s="47">
        <f>IFERROR(INDEX('Semrush Data'!$C$2:$C$5000,MATCH(F18,'Semrush Data'!$A$2:$A$5000,0)),"")</f>
        <v/>
      </c>
      <c r="H18" s="45">
        <f>IFERROR(INDEX('Semrush Data'!$D$2:$D$5000,MATCH(F18,'Semrush Data'!$A$2:$A$5000,0)),"")</f>
        <v/>
      </c>
      <c r="I18" s="45" t="inlineStr">
        <is>
          <t>vilvah</t>
        </is>
      </c>
      <c r="J18" s="47">
        <f>IFERROR(INDEX('Semrush Data'!$C$2:$C$5000,MATCH(I18,'Semrush Data'!$A$2:$A$5000,0)),"")</f>
        <v/>
      </c>
      <c r="K18" s="45" t="inlineStr">
        <is>
          <t>/collections/toner-for-dry-skin</t>
        </is>
      </c>
      <c r="L18" s="45" t="inlineStr">
        <is>
          <t>Vilvah Milk Face Toner</t>
        </is>
      </c>
      <c r="M18" s="45" t="inlineStr">
        <is>
          <t>Vilvah Milk Face Toner – Toner for Dry Skin | Swansura</t>
        </is>
      </c>
      <c r="N18" s="45">
        <f>LEN(M18)</f>
        <v/>
      </c>
      <c r="O18" s="49" t="inlineStr">
        <is>
          <t>Buy Vilvah Milk Face Toner, a natural toner for dry skin from Vilvah. Official UK partner: 100% authentic, shipped from the UK, free delivery over £50.</t>
        </is>
      </c>
      <c r="P18" s="45">
        <f>LEN(O18)</f>
        <v/>
      </c>
      <c r="Q18" s="49" t="inlineStr">
        <is>
          <t>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is>
      </c>
      <c r="R18" s="49" t="inlineStr">
        <is>
          <t>vilvah milk face toner review · vilvah toner review</t>
        </is>
      </c>
      <c r="S18" s="45" t="inlineStr">
        <is>
          <t>Matched</t>
        </is>
      </c>
      <c r="T18" s="49" t="inlineStr">
        <is>
          <t>Review: source copy has medical-style claims (kept out of intro)</t>
        </is>
      </c>
    </row>
    <row r="19" ht="45.75" customHeight="1" s="37">
      <c r="A19" s="45" t="inlineStr">
        <is>
          <t>VD-018</t>
        </is>
      </c>
      <c r="B19" s="45" t="inlineStr">
        <is>
          <t>Vilvah</t>
        </is>
      </c>
      <c r="C19" s="45" t="inlineStr">
        <is>
          <t>Milk Mud Mask</t>
        </is>
      </c>
      <c r="D19" s="45" t="inlineStr">
        <is>
          <t>Face Masks</t>
        </is>
      </c>
      <c r="E19" s="45" t="inlineStr">
        <is>
          <t>Skin Nourishment</t>
        </is>
      </c>
      <c r="F19" s="48" t="inlineStr">
        <is>
          <t>face mask</t>
        </is>
      </c>
      <c r="G19" s="47">
        <f>IFERROR(INDEX('Semrush Data'!$C$2:$C$5000,MATCH(F19,'Semrush Data'!$A$2:$A$5000,0)),"")</f>
        <v/>
      </c>
      <c r="H19" s="45">
        <f>IFERROR(INDEX('Semrush Data'!$D$2:$D$5000,MATCH(F19,'Semrush Data'!$A$2:$A$5000,0)),"")</f>
        <v/>
      </c>
      <c r="I19" s="45" t="inlineStr">
        <is>
          <t>vilvah</t>
        </is>
      </c>
      <c r="J19" s="47">
        <f>IFERROR(INDEX('Semrush Data'!$C$2:$C$5000,MATCH(I19,'Semrush Data'!$A$2:$A$5000,0)),"")</f>
        <v/>
      </c>
      <c r="K19" s="45" t="inlineStr">
        <is>
          <t>/collections/face-mask</t>
        </is>
      </c>
      <c r="L19" s="45" t="inlineStr">
        <is>
          <t>Vilvah Milk Mud Mask</t>
        </is>
      </c>
      <c r="M19" s="45" t="inlineStr">
        <is>
          <t>Vilvah Milk Mud Mask | Face Mask</t>
        </is>
      </c>
      <c r="N19" s="45">
        <f>LEN(M19)</f>
        <v/>
      </c>
      <c r="O19" s="49" t="inlineStr">
        <is>
          <t>Buy Vilvah Milk Mud Mask, a natural face mask from Vilvah. Instantly brightens and rejuvenates dull, tanned skin. Free UK delivery over £50.</t>
        </is>
      </c>
      <c r="P19" s="45">
        <f>LEN(O19)</f>
        <v/>
      </c>
      <c r="Q19" s="49" t="inlineStr">
        <is>
          <t>Vilvah Milk Mud Mask is a natural face mask from Vilvah. Instantly brightens and rejuvenates dull, tanned skin. Controls excess oil and unclogs pores for a smoother complexion. Swansura is an official UK partner of Vilvah, so every order is 100% authentic and ships from the UK.</t>
        </is>
      </c>
      <c r="R19" s="49" t="inlineStr">
        <is>
          <t>vilvah milk mud mask review · vilvah milk mud mask benefits · vilvah milk mud mask ingredients · vilvah milk mud mask how to use · vilvah milk mud mask amazon · vilvah milk mud mask price</t>
        </is>
      </c>
      <c r="S19" s="45" t="inlineStr">
        <is>
          <t>Matched</t>
        </is>
      </c>
      <c r="T19" s="49" t="n"/>
    </row>
    <row r="20" ht="23.25" customHeight="1" s="37">
      <c r="A20" s="45" t="inlineStr">
        <is>
          <t>VD-019</t>
        </is>
      </c>
      <c r="B20" s="45" t="inlineStr">
        <is>
          <t>Vilvah</t>
        </is>
      </c>
      <c r="C20" s="45" t="inlineStr">
        <is>
          <t>Wild Rose Facemask</t>
        </is>
      </c>
      <c r="D20" s="45" t="inlineStr">
        <is>
          <t>Face Masks</t>
        </is>
      </c>
      <c r="E20" s="45" t="inlineStr">
        <is>
          <t>Skin Nourishment</t>
        </is>
      </c>
      <c r="F20" s="48" t="inlineStr">
        <is>
          <t>face mask</t>
        </is>
      </c>
      <c r="G20" s="47">
        <f>IFERROR(INDEX('Semrush Data'!$C$2:$C$5000,MATCH(F20,'Semrush Data'!$A$2:$A$5000,0)),"")</f>
        <v/>
      </c>
      <c r="H20" s="45">
        <f>IFERROR(INDEX('Semrush Data'!$D$2:$D$5000,MATCH(F20,'Semrush Data'!$A$2:$A$5000,0)),"")</f>
        <v/>
      </c>
      <c r="I20" s="45" t="inlineStr">
        <is>
          <t>vilvah</t>
        </is>
      </c>
      <c r="J20" s="47">
        <f>IFERROR(INDEX('Semrush Data'!$C$2:$C$5000,MATCH(I20,'Semrush Data'!$A$2:$A$5000,0)),"")</f>
        <v/>
      </c>
      <c r="K20" s="45" t="inlineStr">
        <is>
          <t>/collections/face-mask</t>
        </is>
      </c>
      <c r="L20" s="45" t="inlineStr">
        <is>
          <t>Vilvah Wild Rose Facemask</t>
        </is>
      </c>
      <c r="M20" s="45" t="inlineStr">
        <is>
          <t>Vilvah Wild Rose Facemask | Face Mask</t>
        </is>
      </c>
      <c r="N20" s="45">
        <f>LEN(M20)</f>
        <v/>
      </c>
      <c r="O20" s="49" t="inlineStr">
        <is>
          <t>Buy Vilvah Wild Rose Facemask, a natural face mask from Vilvah. Official UK partner: 100% authentic, shipped from the UK, free delivery over £50.</t>
        </is>
      </c>
      <c r="P20" s="45">
        <f>LEN(O20)</f>
        <v/>
      </c>
      <c r="Q20" s="49" t="inlineStr">
        <is>
          <t>Vilvah Wild Rose Facemask is a natural face mask from Vilvah. Swansura is an official UK partner of Vilvah, so every order is 100% authentic and ships from the UK.</t>
        </is>
      </c>
      <c r="R20" s="49" t="n"/>
      <c r="S20" s="45" t="inlineStr">
        <is>
          <t>Not found – write from pack</t>
        </is>
      </c>
      <c r="T20" s="49" t="n"/>
    </row>
    <row r="21" ht="45.75" customHeight="1" s="37">
      <c r="A21" s="45" t="inlineStr">
        <is>
          <t>VD-020</t>
        </is>
      </c>
      <c r="B21" s="45" t="inlineStr">
        <is>
          <t>Vilvah</t>
        </is>
      </c>
      <c r="C21" s="45" t="inlineStr">
        <is>
          <t>Aloe Vera Gel</t>
        </is>
      </c>
      <c r="D21" s="45" t="inlineStr">
        <is>
          <t>Moisturisers</t>
        </is>
      </c>
      <c r="E21" s="45" t="inlineStr">
        <is>
          <t>Skin Nourishment</t>
        </is>
      </c>
      <c r="F21" s="48" t="inlineStr">
        <is>
          <t>aloe vera gel</t>
        </is>
      </c>
      <c r="G21" s="47">
        <f>IFERROR(INDEX('Semrush Data'!$C$2:$C$5000,MATCH(F21,'Semrush Data'!$A$2:$A$5000,0)),"")</f>
        <v/>
      </c>
      <c r="H21" s="45">
        <f>IFERROR(INDEX('Semrush Data'!$D$2:$D$5000,MATCH(F21,'Semrush Data'!$A$2:$A$5000,0)),"")</f>
        <v/>
      </c>
      <c r="I21" s="45" t="inlineStr">
        <is>
          <t>vilvah</t>
        </is>
      </c>
      <c r="J21" s="47">
        <f>IFERROR(INDEX('Semrush Data'!$C$2:$C$5000,MATCH(I21,'Semrush Data'!$A$2:$A$5000,0)),"")</f>
        <v/>
      </c>
      <c r="K21" s="45" t="inlineStr">
        <is>
          <t>/collections/moisturiser-for-dry-skin</t>
        </is>
      </c>
      <c r="L21" s="45" t="inlineStr">
        <is>
          <t>Vilvah Aloe Vera Gel</t>
        </is>
      </c>
      <c r="M21" s="45" t="inlineStr">
        <is>
          <t>Vilvah Aloe Vera Gel | Aloe Vera Gel</t>
        </is>
      </c>
      <c r="N21" s="45">
        <f>LEN(M21)</f>
        <v/>
      </c>
      <c r="O21" s="49" t="inlineStr">
        <is>
          <t>Buy Vilvah Aloe Vera Gel, a natural aloe vera gel from Vilvah. Official UK partner: 100% authentic, shipped from the UK, free delivery over £50.</t>
        </is>
      </c>
      <c r="P21" s="45">
        <f>LEN(O21)</f>
        <v/>
      </c>
      <c r="Q21" s="49" t="inlineStr">
        <is>
          <t>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is>
      </c>
      <c r="R21" s="49" t="inlineStr">
        <is>
          <t>vilvah aloe vera gel review · vilvah aloe vera gel ingredients · vilvah aloe vera gel benefits · vilvah aloe vera gel price · vilvah aloe vera gel how to use · vilvah aloe vera gel india</t>
        </is>
      </c>
      <c r="S21" s="45" t="inlineStr">
        <is>
          <t>Matched</t>
        </is>
      </c>
      <c r="T21" s="49" t="inlineStr">
        <is>
          <t>Review: source copy has medical-style claims (kept out of intro)</t>
        </is>
      </c>
    </row>
    <row r="22" ht="45.75" customHeight="1" s="37">
      <c r="A22" s="45" t="inlineStr">
        <is>
          <t>VD-021</t>
        </is>
      </c>
      <c r="B22" s="45" t="inlineStr">
        <is>
          <t>Vilvah</t>
        </is>
      </c>
      <c r="C22" s="45" t="inlineStr">
        <is>
          <t>Anti-dandruff Hair oil</t>
        </is>
      </c>
      <c r="D22" s="45" t="inlineStr">
        <is>
          <t>Hair Oil</t>
        </is>
      </c>
      <c r="E22" s="45" t="inlineStr">
        <is>
          <t>Anti-Dandruff</t>
        </is>
      </c>
      <c r="F22" s="48" t="inlineStr">
        <is>
          <t>hair growth oil</t>
        </is>
      </c>
      <c r="G22" s="47">
        <f>IFERROR(INDEX('Semrush Data'!$C$2:$C$5000,MATCH(F22,'Semrush Data'!$A$2:$A$5000,0)),"")</f>
        <v/>
      </c>
      <c r="H22" s="45">
        <f>IFERROR(INDEX('Semrush Data'!$D$2:$D$5000,MATCH(F22,'Semrush Data'!$A$2:$A$5000,0)),"")</f>
        <v/>
      </c>
      <c r="I22" s="45" t="inlineStr">
        <is>
          <t>vilvah</t>
        </is>
      </c>
      <c r="J22" s="47">
        <f>IFERROR(INDEX('Semrush Data'!$C$2:$C$5000,MATCH(I22,'Semrush Data'!$A$2:$A$5000,0)),"")</f>
        <v/>
      </c>
      <c r="K22" s="45" t="inlineStr">
        <is>
          <t>/collections/hair-growth-oil</t>
        </is>
      </c>
      <c r="L22" s="45" t="inlineStr">
        <is>
          <t>Vilvah Anti-dandruff Hair Oil</t>
        </is>
      </c>
      <c r="M22" s="45" t="inlineStr">
        <is>
          <t>Vilvah Anti-dandruff Hair Oil – Hair Growth Oil | Swansura</t>
        </is>
      </c>
      <c r="N22" s="45">
        <f>LEN(M22)</f>
        <v/>
      </c>
      <c r="O22" s="49" t="inlineStr">
        <is>
          <t>Buy Vilvah Anti-dandruff Hair Oil, a natural hair growth oil from Vilvah. Official UK partner: 100% authentic, shipped from the UK, free delivery over £50.</t>
        </is>
      </c>
      <c r="P22" s="45">
        <f>LEN(O22)</f>
        <v/>
      </c>
      <c r="Q22" s="49" t="inlineStr">
        <is>
          <t>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is>
      </c>
      <c r="R22" s="49" t="inlineStr">
        <is>
          <t>vilvah anti dandruff hair oil review · vilvah anti dandruff oil review</t>
        </is>
      </c>
      <c r="S22" s="45" t="inlineStr">
        <is>
          <t>Matched</t>
        </is>
      </c>
      <c r="T22" s="49" t="inlineStr">
        <is>
          <t>Review: source copy has medical-style claims (kept out of intro)</t>
        </is>
      </c>
    </row>
    <row r="23" ht="45.75" customHeight="1" s="37">
      <c r="A23" s="45" t="inlineStr">
        <is>
          <t>VD-022</t>
        </is>
      </c>
      <c r="B23" s="45" t="inlineStr">
        <is>
          <t>Vilvah</t>
        </is>
      </c>
      <c r="C23" s="45" t="inlineStr">
        <is>
          <t>Anti-Frizz Hair Serum</t>
        </is>
      </c>
      <c r="D23" s="45" t="inlineStr">
        <is>
          <t>Hair Serums</t>
        </is>
      </c>
      <c r="E23" s="45" t="inlineStr">
        <is>
          <t>Frizzy Hair</t>
        </is>
      </c>
      <c r="F23" s="48" t="inlineStr">
        <is>
          <t>hair serum for frizzy hair</t>
        </is>
      </c>
      <c r="G23" s="47">
        <f>IFERROR(INDEX('Semrush Data'!$C$2:$C$5000,MATCH(F23,'Semrush Data'!$A$2:$A$5000,0)),"")</f>
        <v/>
      </c>
      <c r="H23" s="45">
        <f>IFERROR(INDEX('Semrush Data'!$D$2:$D$5000,MATCH(F23,'Semrush Data'!$A$2:$A$5000,0)),"")</f>
        <v/>
      </c>
      <c r="I23" s="45" t="inlineStr">
        <is>
          <t>vilvah</t>
        </is>
      </c>
      <c r="J23" s="47">
        <f>IFERROR(INDEX('Semrush Data'!$C$2:$C$5000,MATCH(I23,'Semrush Data'!$A$2:$A$5000,0)),"")</f>
        <v/>
      </c>
      <c r="K23" s="45" t="inlineStr">
        <is>
          <t>/collections/hair-serum-for-frizzy-hair</t>
        </is>
      </c>
      <c r="L23" s="45" t="inlineStr">
        <is>
          <t>Vilvah Anti-Frizz Hair Serum</t>
        </is>
      </c>
      <c r="M23" s="45" t="inlineStr">
        <is>
          <t>Vilvah Anti-Frizz Hair Serum | Hair Serum for Frizzy Hair</t>
        </is>
      </c>
      <c r="N23" s="45">
        <f>LEN(M23)</f>
        <v/>
      </c>
      <c r="O23" s="49" t="inlineStr">
        <is>
          <t>Buy Vilvah Anti-Frizz Hair Serum, a natural hair serum for frizzy hair from Vilvah. Official UK partner, 100% authentic, free UK delivery over £50.</t>
        </is>
      </c>
      <c r="P23" s="45">
        <f>LEN(O23)</f>
        <v/>
      </c>
      <c r="Q23" s="49" t="inlineStr">
        <is>
          <t>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is>
      </c>
      <c r="R23" s="49" t="inlineStr">
        <is>
          <t>vilvah anti frizz hair serum review · vilvah anti frizz hair serum price · how to use vilvah anti frizz hair serum</t>
        </is>
      </c>
      <c r="S23" s="45" t="inlineStr">
        <is>
          <t>Matched</t>
        </is>
      </c>
      <c r="T23" s="49" t="inlineStr">
        <is>
          <t>Review: source copy has medical-style claims (kept out of intro)</t>
        </is>
      </c>
    </row>
    <row r="24" ht="45.75" customHeight="1" s="37">
      <c r="A24" s="45" t="inlineStr">
        <is>
          <t>VD-023</t>
        </is>
      </c>
      <c r="B24" s="45" t="inlineStr">
        <is>
          <t>Vilvah</t>
        </is>
      </c>
      <c r="C24" s="45" t="inlineStr">
        <is>
          <t>Better Ageing Serum</t>
        </is>
      </c>
      <c r="D24" s="45" t="inlineStr">
        <is>
          <t>Serums</t>
        </is>
      </c>
      <c r="E24" s="45" t="inlineStr">
        <is>
          <t>Anti-Ageing</t>
        </is>
      </c>
      <c r="F24" s="48" t="inlineStr">
        <is>
          <t>face serum</t>
        </is>
      </c>
      <c r="G24" s="47">
        <f>IFERROR(INDEX('Semrush Data'!$C$2:$C$5000,MATCH(F24,'Semrush Data'!$A$2:$A$5000,0)),"")</f>
        <v/>
      </c>
      <c r="H24" s="45">
        <f>IFERROR(INDEX('Semrush Data'!$D$2:$D$5000,MATCH(F24,'Semrush Data'!$A$2:$A$5000,0)),"")</f>
        <v/>
      </c>
      <c r="I24" s="45" t="inlineStr">
        <is>
          <t>vilvah</t>
        </is>
      </c>
      <c r="J24" s="47">
        <f>IFERROR(INDEX('Semrush Data'!$C$2:$C$5000,MATCH(I24,'Semrush Data'!$A$2:$A$5000,0)),"")</f>
        <v/>
      </c>
      <c r="K24" s="45" t="inlineStr">
        <is>
          <t>/collections/face-serum</t>
        </is>
      </c>
      <c r="L24" s="45" t="inlineStr">
        <is>
          <t>Vilvah Better Ageing Serum</t>
        </is>
      </c>
      <c r="M24" s="45" t="inlineStr">
        <is>
          <t>Vilvah Better Ageing Serum – Face Serum | Swansura</t>
        </is>
      </c>
      <c r="N24" s="45">
        <f>LEN(M24)</f>
        <v/>
      </c>
      <c r="O24" s="49" t="inlineStr">
        <is>
          <t>Buy Vilvah Better Ageing Serum, a natural face serum from Vilvah. Official UK partner: 100% authentic, shipped from the UK, free delivery over £50.</t>
        </is>
      </c>
      <c r="P24" s="45">
        <f>LEN(O24)</f>
        <v/>
      </c>
      <c r="Q24" s="49" t="inlineStr">
        <is>
          <t>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is>
      </c>
      <c r="R24" s="49" t="inlineStr">
        <is>
          <t>vilvah better ageing serum review</t>
        </is>
      </c>
      <c r="S24" s="45" t="inlineStr">
        <is>
          <t>Matched</t>
        </is>
      </c>
      <c r="T24" s="49" t="n"/>
    </row>
    <row r="25" ht="23.25" customHeight="1" s="37">
      <c r="A25" s="45" t="inlineStr">
        <is>
          <t>VD-024</t>
        </is>
      </c>
      <c r="B25" s="45" t="inlineStr">
        <is>
          <t>Vilvah</t>
        </is>
      </c>
      <c r="C25" s="45" t="inlineStr">
        <is>
          <t>Charcoal Facemask</t>
        </is>
      </c>
      <c r="D25" s="45" t="inlineStr">
        <is>
          <t>Face Masks</t>
        </is>
      </c>
      <c r="E25" s="45" t="inlineStr">
        <is>
          <t>Oily Skin</t>
        </is>
      </c>
      <c r="F25" s="48" t="inlineStr">
        <is>
          <t>face mask for oily skin</t>
        </is>
      </c>
      <c r="G25" s="47">
        <f>IFERROR(INDEX('Semrush Data'!$C$2:$C$5000,MATCH(F25,'Semrush Data'!$A$2:$A$5000,0)),"")</f>
        <v/>
      </c>
      <c r="H25" s="45">
        <f>IFERROR(INDEX('Semrush Data'!$D$2:$D$5000,MATCH(F25,'Semrush Data'!$A$2:$A$5000,0)),"")</f>
        <v/>
      </c>
      <c r="I25" s="45" t="inlineStr">
        <is>
          <t>vilvah</t>
        </is>
      </c>
      <c r="J25" s="47">
        <f>IFERROR(INDEX('Semrush Data'!$C$2:$C$5000,MATCH(I25,'Semrush Data'!$A$2:$A$5000,0)),"")</f>
        <v/>
      </c>
      <c r="K25" s="45" t="inlineStr">
        <is>
          <t>/collections/face-mask-for-oily-skin</t>
        </is>
      </c>
      <c r="L25" s="45" t="inlineStr">
        <is>
          <t>Vilvah Charcoal Facemask</t>
        </is>
      </c>
      <c r="M25" s="45" t="inlineStr">
        <is>
          <t>Vilvah Charcoal Facemask | Face Mask for Oily Skin</t>
        </is>
      </c>
      <c r="N25" s="45">
        <f>LEN(M25)</f>
        <v/>
      </c>
      <c r="O25" s="49" t="inlineStr">
        <is>
          <t>Buy Vilvah Charcoal Facemask, a natural face mask for oily skin from Vilvah. Official UK partner: 100% authentic, shipped from the UK, free delivery over £50.</t>
        </is>
      </c>
      <c r="P25" s="45">
        <f>LEN(O25)</f>
        <v/>
      </c>
      <c r="Q25" s="49" t="inlineStr">
        <is>
          <t>Vilvah Charcoal Facemask is a natural face mask for oily skin from Vilvah. Swansura is an official UK partner of Vilvah, so every order is 100% authentic and ships from the UK.</t>
        </is>
      </c>
      <c r="R25" s="49" t="n"/>
      <c r="S25" s="45" t="inlineStr">
        <is>
          <t>Not found – write from pack</t>
        </is>
      </c>
      <c r="T25" s="49" t="n"/>
    </row>
    <row r="26" ht="45.75" customHeight="1" s="37">
      <c r="A26" s="45" t="inlineStr">
        <is>
          <t>VD-025</t>
        </is>
      </c>
      <c r="B26" s="45" t="inlineStr">
        <is>
          <t>Vilvah</t>
        </is>
      </c>
      <c r="C26" s="45" t="inlineStr">
        <is>
          <t>Cookie n Cream Body Mask</t>
        </is>
      </c>
      <c r="D26" s="45" t="inlineStr">
        <is>
          <t>Body Cream &amp; Lotions</t>
        </is>
      </c>
      <c r="E26" s="45" t="inlineStr">
        <is>
          <t>Dry Skin</t>
        </is>
      </c>
      <c r="F26" s="48" t="inlineStr">
        <is>
          <t>body lotion for dry skin</t>
        </is>
      </c>
      <c r="G26" s="47">
        <f>IFERROR(INDEX('Semrush Data'!$C$2:$C$5000,MATCH(F26,'Semrush Data'!$A$2:$A$5000,0)),"")</f>
        <v/>
      </c>
      <c r="H26" s="45">
        <f>IFERROR(INDEX('Semrush Data'!$D$2:$D$5000,MATCH(F26,'Semrush Data'!$A$2:$A$5000,0)),"")</f>
        <v/>
      </c>
      <c r="I26" s="45" t="inlineStr">
        <is>
          <t>vilvah</t>
        </is>
      </c>
      <c r="J26" s="47">
        <f>IFERROR(INDEX('Semrush Data'!$C$2:$C$5000,MATCH(I26,'Semrush Data'!$A$2:$A$5000,0)),"")</f>
        <v/>
      </c>
      <c r="K26" s="45" t="inlineStr">
        <is>
          <t>/collections/body-lotion-for-dry-skin</t>
        </is>
      </c>
      <c r="L26" s="45" t="inlineStr">
        <is>
          <t>Vilvah Cookie N Cream Body Mask</t>
        </is>
      </c>
      <c r="M26" s="45" t="inlineStr">
        <is>
          <t>Vilvah Cookie N Cream Body Mask | Body Lotion for Dry Skin</t>
        </is>
      </c>
      <c r="N26" s="45">
        <f>LEN(M26)</f>
        <v/>
      </c>
      <c r="O26" s="49" t="inlineStr">
        <is>
          <t>Buy Vilvah Cookie N Cream Body Mask, a natural body lotion for dry skin from Vilvah. Official UK partner, 100% authentic, free UK delivery over £50.</t>
        </is>
      </c>
      <c r="P26" s="45">
        <f>LEN(O26)</f>
        <v/>
      </c>
      <c r="Q26" s="49" t="inlineStr">
        <is>
          <t>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is>
      </c>
      <c r="R26" s="49" t="n"/>
      <c r="S26" s="45" t="inlineStr">
        <is>
          <t>Matched</t>
        </is>
      </c>
      <c r="T26" s="49" t="inlineStr">
        <is>
          <t>Review: source copy has medical-style claims (kept out of intro)</t>
        </is>
      </c>
    </row>
    <row r="27" ht="45.75" customHeight="1" s="37">
      <c r="A27" s="45" t="inlineStr">
        <is>
          <t>VD-026</t>
        </is>
      </c>
      <c r="B27" s="45" t="inlineStr">
        <is>
          <t>Vilvah</t>
        </is>
      </c>
      <c r="C27" s="45" t="inlineStr">
        <is>
          <t>Cookie n Cream Body Polish</t>
        </is>
      </c>
      <c r="D27" s="45" t="inlineStr">
        <is>
          <t>Body Scrub &amp; Exfoliators</t>
        </is>
      </c>
      <c r="E27" s="45" t="inlineStr">
        <is>
          <t>Dull Skin</t>
        </is>
      </c>
      <c r="F27" s="48" t="inlineStr">
        <is>
          <t>body scrub</t>
        </is>
      </c>
      <c r="G27" s="47">
        <f>IFERROR(INDEX('Semrush Data'!$C$2:$C$5000,MATCH(F27,'Semrush Data'!$A$2:$A$5000,0)),"")</f>
        <v/>
      </c>
      <c r="H27" s="45">
        <f>IFERROR(INDEX('Semrush Data'!$D$2:$D$5000,MATCH(F27,'Semrush Data'!$A$2:$A$5000,0)),"")</f>
        <v/>
      </c>
      <c r="I27" s="45" t="inlineStr">
        <is>
          <t>vilvah</t>
        </is>
      </c>
      <c r="J27" s="47">
        <f>IFERROR(INDEX('Semrush Data'!$C$2:$C$5000,MATCH(I27,'Semrush Data'!$A$2:$A$5000,0)),"")</f>
        <v/>
      </c>
      <c r="K27" s="45" t="inlineStr">
        <is>
          <t>/collections/body-scrub</t>
        </is>
      </c>
      <c r="L27" s="45" t="inlineStr">
        <is>
          <t>Vilvah Cookie N Cream Body Polish</t>
        </is>
      </c>
      <c r="M27" s="45" t="inlineStr">
        <is>
          <t>Vilvah Cookie N Cream Body Polish – Body Scrub | Swansura</t>
        </is>
      </c>
      <c r="N27" s="45">
        <f>LEN(M27)</f>
        <v/>
      </c>
      <c r="O27" s="49" t="inlineStr">
        <is>
          <t>Buy Vilvah Cookie N Cream Body Polish, a natural body scrub from Vilvah. Official UK partner: 100% authentic, shipped from the UK, free delivery over £50.</t>
        </is>
      </c>
      <c r="P27" s="45">
        <f>LEN(O27)</f>
        <v/>
      </c>
      <c r="Q27" s="49" t="inlineStr">
        <is>
          <t>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is>
      </c>
      <c r="R27" s="49" t="n"/>
      <c r="S27" s="45" t="inlineStr">
        <is>
          <t>Matched</t>
        </is>
      </c>
      <c r="T27" s="49" t="inlineStr">
        <is>
          <t>Review: source copy has medical-style claims (kept out of intro)</t>
        </is>
      </c>
    </row>
    <row r="28" ht="23.25" customHeight="1" s="37">
      <c r="A28" s="45" t="inlineStr">
        <is>
          <t>VD-027</t>
        </is>
      </c>
      <c r="B28" s="45" t="inlineStr">
        <is>
          <t>Vilvah</t>
        </is>
      </c>
      <c r="C28" s="45" t="inlineStr">
        <is>
          <t>Cream Face Wash (Fragrance free)</t>
        </is>
      </c>
      <c r="D28" s="45" t="inlineStr">
        <is>
          <t>Cleansers</t>
        </is>
      </c>
      <c r="E28" s="45" t="inlineStr">
        <is>
          <t>Skin Nourishment</t>
        </is>
      </c>
      <c r="F28" s="48" t="inlineStr">
        <is>
          <t>face wash for dry skin</t>
        </is>
      </c>
      <c r="G28" s="47">
        <f>IFERROR(INDEX('Semrush Data'!$C$2:$C$5000,MATCH(F28,'Semrush Data'!$A$2:$A$5000,0)),"")</f>
        <v/>
      </c>
      <c r="H28" s="45">
        <f>IFERROR(INDEX('Semrush Data'!$D$2:$D$5000,MATCH(F28,'Semrush Data'!$A$2:$A$5000,0)),"")</f>
        <v/>
      </c>
      <c r="I28" s="45" t="inlineStr">
        <is>
          <t>vilvah</t>
        </is>
      </c>
      <c r="J28" s="47">
        <f>IFERROR(INDEX('Semrush Data'!$C$2:$C$5000,MATCH(I28,'Semrush Data'!$A$2:$A$5000,0)),"")</f>
        <v/>
      </c>
      <c r="K28" s="45" t="inlineStr">
        <is>
          <t>/collections/face-wash-for-dry-skin</t>
        </is>
      </c>
      <c r="L28" s="45" t="inlineStr">
        <is>
          <t>Vilvah Cream Face Wash (Fragrance Free)</t>
        </is>
      </c>
      <c r="M28" s="45" t="inlineStr">
        <is>
          <t>Vilvah Cream Face Wash (Fragrance Free) | Swansura UK</t>
        </is>
      </c>
      <c r="N28" s="45">
        <f>LEN(M28)</f>
        <v/>
      </c>
      <c r="O28" s="49" t="inlineStr">
        <is>
          <t>Buy Vilvah Cream Face Wash (Fragrance Free), a natural face wash for dry skin from Vilvah. Official UK partner, 100% authentic, free UK delivery over £50.</t>
        </is>
      </c>
      <c r="P28" s="45">
        <f>LEN(O28)</f>
        <v/>
      </c>
      <c r="Q28" s="49" t="inlineStr">
        <is>
          <t>Vilvah Cream Face Wash (Fragrance Free) is a natural face wash for dry skin from Vilvah. Swansura is an official UK partner of Vilvah, so every order is 100% authentic and ships from the UK.</t>
        </is>
      </c>
      <c r="R28" s="49" t="n"/>
      <c r="S28" s="45" t="inlineStr">
        <is>
          <t>Not found – write from pack</t>
        </is>
      </c>
      <c r="T28" s="49" t="n"/>
    </row>
    <row r="29" ht="23.25" customHeight="1" s="37">
      <c r="A29" s="45" t="inlineStr">
        <is>
          <t>VD-028</t>
        </is>
      </c>
      <c r="B29" s="45" t="inlineStr">
        <is>
          <t>Vilvah</t>
        </is>
      </c>
      <c r="C29" s="45" t="inlineStr">
        <is>
          <t>Cucumber, Curd &amp; Mint Soap</t>
        </is>
      </c>
      <c r="D29" s="45" t="inlineStr">
        <is>
          <t>Bath &amp; Body Wash</t>
        </is>
      </c>
      <c r="E29" s="45" t="inlineStr">
        <is>
          <t>Body Cleansing</t>
        </is>
      </c>
      <c r="F29" s="48" t="inlineStr">
        <is>
          <t>natural body wash</t>
        </is>
      </c>
      <c r="G29" s="47">
        <f>IFERROR(INDEX('Semrush Data'!$C$2:$C$5000,MATCH(F29,'Semrush Data'!$A$2:$A$5000,0)),"")</f>
        <v/>
      </c>
      <c r="H29" s="45">
        <f>IFERROR(INDEX('Semrush Data'!$D$2:$D$5000,MATCH(F29,'Semrush Data'!$A$2:$A$5000,0)),"")</f>
        <v/>
      </c>
      <c r="I29" s="45" t="inlineStr">
        <is>
          <t>vilvah</t>
        </is>
      </c>
      <c r="J29" s="47">
        <f>IFERROR(INDEX('Semrush Data'!$C$2:$C$5000,MATCH(I29,'Semrush Data'!$A$2:$A$5000,0)),"")</f>
        <v/>
      </c>
      <c r="K29" s="45" t="inlineStr">
        <is>
          <t>/collections/shower-gel-body-wash</t>
        </is>
      </c>
      <c r="L29" s="45" t="inlineStr">
        <is>
          <t>Vilvah Cucumber, Curd &amp; Mint Soap</t>
        </is>
      </c>
      <c r="M29" s="45" t="inlineStr">
        <is>
          <t>Vilvah Cucumber, Curd &amp; Mint Soap | Natural Body Wash</t>
        </is>
      </c>
      <c r="N29" s="45">
        <f>LEN(M29)</f>
        <v/>
      </c>
      <c r="O29" s="49" t="inlineStr">
        <is>
          <t>Buy Vilvah Cucumber, Curd &amp; Mint Soap, a natural body wash from Vilvah. Official UK partner: 100% authentic, shipped from the UK, free delivery over £50.</t>
        </is>
      </c>
      <c r="P29" s="45">
        <f>LEN(O29)</f>
        <v/>
      </c>
      <c r="Q29" s="49" t="inlineStr">
        <is>
          <t>Vilvah Cucumber, Curd &amp; Mint Soap is a natural body wash from Vilvah. Swansura is an official UK partner of Vilvah, so every order is 100% authentic and ships from the UK.</t>
        </is>
      </c>
      <c r="R29" s="49" t="n"/>
      <c r="S29" s="45" t="inlineStr">
        <is>
          <t>Not found – write from pack</t>
        </is>
      </c>
      <c r="T29" s="49" t="n"/>
    </row>
    <row r="30" ht="45.75" customHeight="1" s="37">
      <c r="A30" s="45" t="inlineStr">
        <is>
          <t>VD-029</t>
        </is>
      </c>
      <c r="B30" s="45" t="inlineStr">
        <is>
          <t>Vilvah</t>
        </is>
      </c>
      <c r="C30" s="45" t="inlineStr">
        <is>
          <t>Deo shot - Lavender and Sage</t>
        </is>
      </c>
      <c r="D30" s="45" t="inlineStr">
        <is>
          <t>Deodorant</t>
        </is>
      </c>
      <c r="E30" s="45" t="inlineStr">
        <is>
          <t>Body Hydration</t>
        </is>
      </c>
      <c r="F30" s="48" t="inlineStr">
        <is>
          <t>natural deodorant</t>
        </is>
      </c>
      <c r="G30" s="47">
        <f>IFERROR(INDEX('Semrush Data'!$C$2:$C$5000,MATCH(F30,'Semrush Data'!$A$2:$A$5000,0)),"")</f>
        <v/>
      </c>
      <c r="H30" s="45">
        <f>IFERROR(INDEX('Semrush Data'!$D$2:$D$5000,MATCH(F30,'Semrush Data'!$A$2:$A$5000,0)),"")</f>
        <v/>
      </c>
      <c r="I30" s="45" t="inlineStr">
        <is>
          <t>vilvah</t>
        </is>
      </c>
      <c r="J30" s="47">
        <f>IFERROR(INDEX('Semrush Data'!$C$2:$C$5000,MATCH(I30,'Semrush Data'!$A$2:$A$5000,0)),"")</f>
        <v/>
      </c>
      <c r="K30" s="45" t="inlineStr">
        <is>
          <t>/collections/deodorant</t>
        </is>
      </c>
      <c r="L30" s="45" t="inlineStr">
        <is>
          <t>Vilvah Deo Shot - Lavender and Sage</t>
        </is>
      </c>
      <c r="M30" s="45" t="inlineStr">
        <is>
          <t>Vilvah Deo Shot - Lavender and Sage | Natural Deodorant</t>
        </is>
      </c>
      <c r="N30" s="45">
        <f>LEN(M30)</f>
        <v/>
      </c>
      <c r="O30" s="49" t="inlineStr">
        <is>
          <t>Buy Vilvah Deo Shot - Lavender and Sage, a natural deodorant from Vilvah. Official UK partner: 100% authentic, shipped from the UK, free delivery over £50.</t>
        </is>
      </c>
      <c r="P30" s="45">
        <f>LEN(O30)</f>
        <v/>
      </c>
      <c r="Q30" s="49" t="inlineStr">
        <is>
          <t>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is>
      </c>
      <c r="R30" s="49" t="n"/>
      <c r="S30" s="45" t="inlineStr">
        <is>
          <t>Matched</t>
        </is>
      </c>
      <c r="T30" s="49" t="n"/>
    </row>
    <row r="31" ht="34.5" customHeight="1" s="37">
      <c r="A31" s="45" t="inlineStr">
        <is>
          <t>VD-030</t>
        </is>
      </c>
      <c r="B31" s="45" t="inlineStr">
        <is>
          <t>Vilvah</t>
        </is>
      </c>
      <c r="C31" s="45" t="inlineStr">
        <is>
          <t>Foot Cream</t>
        </is>
      </c>
      <c r="D31" s="45" t="inlineStr">
        <is>
          <t>Body Cream &amp; Lotions</t>
        </is>
      </c>
      <c r="E31" s="45" t="inlineStr">
        <is>
          <t>Dry Skin</t>
        </is>
      </c>
      <c r="F31" s="48" t="inlineStr">
        <is>
          <t>foot cream</t>
        </is>
      </c>
      <c r="G31" s="47">
        <f>IFERROR(INDEX('Semrush Data'!$C$2:$C$5000,MATCH(F31,'Semrush Data'!$A$2:$A$5000,0)),"")</f>
        <v/>
      </c>
      <c r="H31" s="45">
        <f>IFERROR(INDEX('Semrush Data'!$D$2:$D$5000,MATCH(F31,'Semrush Data'!$A$2:$A$5000,0)),"")</f>
        <v/>
      </c>
      <c r="I31" s="45" t="inlineStr">
        <is>
          <t>vilvah</t>
        </is>
      </c>
      <c r="J31" s="47">
        <f>IFERROR(INDEX('Semrush Data'!$C$2:$C$5000,MATCH(I31,'Semrush Data'!$A$2:$A$5000,0)),"")</f>
        <v/>
      </c>
      <c r="K31" s="45" t="inlineStr">
        <is>
          <t>/collections/body-lotion-for-dry-skin</t>
        </is>
      </c>
      <c r="L31" s="45" t="inlineStr">
        <is>
          <t>Vilvah Foot Cream</t>
        </is>
      </c>
      <c r="M31" s="45" t="inlineStr">
        <is>
          <t>Vilvah Foot Cream | Foot Cream</t>
        </is>
      </c>
      <c r="N31" s="45">
        <f>LEN(M31)</f>
        <v/>
      </c>
      <c r="O31" s="49" t="inlineStr">
        <is>
          <t>Buy Vilvah Foot Cream, a natural foot cream from Vilvah. Official UK partner: 100% authentic, shipped from the UK, free delivery over £50.</t>
        </is>
      </c>
      <c r="P31" s="45">
        <f>LEN(O31)</f>
        <v/>
      </c>
      <c r="Q31" s="49" t="inlineStr">
        <is>
          <t>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is>
      </c>
      <c r="R31" s="49" t="inlineStr">
        <is>
          <t>vilvah foot cream review · vilvah foot cream price · vilvah foot cream ingredients</t>
        </is>
      </c>
      <c r="S31" s="45" t="inlineStr">
        <is>
          <t>Matched</t>
        </is>
      </c>
      <c r="T31" s="49" t="inlineStr">
        <is>
          <t>Review: source copy has medical-style claims (kept out of intro)</t>
        </is>
      </c>
    </row>
    <row r="32" ht="45.75" customHeight="1" s="37">
      <c r="A32" s="45" t="inlineStr">
        <is>
          <t>VD-031</t>
        </is>
      </c>
      <c r="B32" s="45" t="inlineStr">
        <is>
          <t>Vilvah</t>
        </is>
      </c>
      <c r="C32" s="45" t="inlineStr">
        <is>
          <t>Goat Milk Hair Mask</t>
        </is>
      </c>
      <c r="D32" s="45" t="inlineStr">
        <is>
          <t>Hair Masks</t>
        </is>
      </c>
      <c r="E32" s="45" t="inlineStr">
        <is>
          <t>Dry Hair</t>
        </is>
      </c>
      <c r="F32" s="48" t="inlineStr">
        <is>
          <t>hair mask for dry hair</t>
        </is>
      </c>
      <c r="G32" s="47">
        <f>IFERROR(INDEX('Semrush Data'!$C$2:$C$5000,MATCH(F32,'Semrush Data'!$A$2:$A$5000,0)),"")</f>
        <v/>
      </c>
      <c r="H32" s="45">
        <f>IFERROR(INDEX('Semrush Data'!$D$2:$D$5000,MATCH(F32,'Semrush Data'!$A$2:$A$5000,0)),"")</f>
        <v/>
      </c>
      <c r="I32" s="45" t="inlineStr">
        <is>
          <t>vilvah</t>
        </is>
      </c>
      <c r="J32" s="47">
        <f>IFERROR(INDEX('Semrush Data'!$C$2:$C$5000,MATCH(I32,'Semrush Data'!$A$2:$A$5000,0)),"")</f>
        <v/>
      </c>
      <c r="K32" s="45" t="inlineStr">
        <is>
          <t>/collections/hair-mask-for-dry-hair</t>
        </is>
      </c>
      <c r="L32" s="45" t="inlineStr">
        <is>
          <t>Vilvah Goat Milk Hair Mask</t>
        </is>
      </c>
      <c r="M32" s="45" t="inlineStr">
        <is>
          <t>Vilvah Goat Milk Hair Mask | Hair Mask for Dry Hair</t>
        </is>
      </c>
      <c r="N32" s="45">
        <f>LEN(M32)</f>
        <v/>
      </c>
      <c r="O32" s="49" t="inlineStr">
        <is>
          <t>Buy Vilvah Goat Milk Hair Mask, a natural hair mask for dry hair from Vilvah. Official UK partner: 100% authentic, shipped from the UK, free delivery over £50.</t>
        </is>
      </c>
      <c r="P32" s="45">
        <f>LEN(O32)</f>
        <v/>
      </c>
      <c r="Q32" s="49" t="inlineStr">
        <is>
          <t>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is>
      </c>
      <c r="R32" s="49" t="inlineStr">
        <is>
          <t>vilvah goat milk hair mask review · vilvah goat milk hair mask ingredients · how to use vilvah goat milk hair mask · how to use vilvah hair mask</t>
        </is>
      </c>
      <c r="S32" s="45" t="inlineStr">
        <is>
          <t>Matched</t>
        </is>
      </c>
      <c r="T32" s="49" t="n"/>
    </row>
    <row r="33" ht="45.75" customHeight="1" s="37">
      <c r="A33" s="45" t="inlineStr">
        <is>
          <t>VD-032</t>
        </is>
      </c>
      <c r="B33" s="45" t="inlineStr">
        <is>
          <t>Vilvah</t>
        </is>
      </c>
      <c r="C33" s="45" t="inlineStr">
        <is>
          <t>Hair growth oil</t>
        </is>
      </c>
      <c r="D33" s="45" t="inlineStr">
        <is>
          <t>Hair Oil</t>
        </is>
      </c>
      <c r="E33" s="45" t="inlineStr">
        <is>
          <t>Hair Thinning &amp; Loss</t>
        </is>
      </c>
      <c r="F33" s="48" t="inlineStr">
        <is>
          <t>hair growth oil</t>
        </is>
      </c>
      <c r="G33" s="47">
        <f>IFERROR(INDEX('Semrush Data'!$C$2:$C$5000,MATCH(F33,'Semrush Data'!$A$2:$A$5000,0)),"")</f>
        <v/>
      </c>
      <c r="H33" s="45">
        <f>IFERROR(INDEX('Semrush Data'!$D$2:$D$5000,MATCH(F33,'Semrush Data'!$A$2:$A$5000,0)),"")</f>
        <v/>
      </c>
      <c r="I33" s="45" t="inlineStr">
        <is>
          <t>vilvah</t>
        </is>
      </c>
      <c r="J33" s="47">
        <f>IFERROR(INDEX('Semrush Data'!$C$2:$C$5000,MATCH(I33,'Semrush Data'!$A$2:$A$5000,0)),"")</f>
        <v/>
      </c>
      <c r="K33" s="45" t="inlineStr">
        <is>
          <t>/collections/hair-growth-oil</t>
        </is>
      </c>
      <c r="L33" s="45" t="inlineStr">
        <is>
          <t>Vilvah Hair Growth Oil</t>
        </is>
      </c>
      <c r="M33" s="45" t="inlineStr">
        <is>
          <t>Vilvah Hair Growth Oil – Hair Growth Oil | Swansura</t>
        </is>
      </c>
      <c r="N33" s="45">
        <f>LEN(M33)</f>
        <v/>
      </c>
      <c r="O33" s="49" t="inlineStr">
        <is>
          <t>Buy Vilvah Hair Growth Oil, a natural hair growth oil from Vilvah. Official UK partner: 100% authentic, shipped from the UK, free delivery over £50.</t>
        </is>
      </c>
      <c r="P33" s="45">
        <f>LEN(O33)</f>
        <v/>
      </c>
      <c r="Q33" s="49" t="inlineStr">
        <is>
          <t>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is>
      </c>
      <c r="R33" s="49" t="inlineStr">
        <is>
          <t>vilvah hair growth oil review · vilvah hair growth oil how to use · vilvah hair growth oil benefits · vilvah hair growth oil india · vilvah hair growth oil review before and after · vilvah hair growth oil amazon</t>
        </is>
      </c>
      <c r="S33" s="45" t="inlineStr">
        <is>
          <t>Matched</t>
        </is>
      </c>
      <c r="T33" s="49" t="inlineStr">
        <is>
          <t>Review: source copy has medical-style claims (kept out of intro)</t>
        </is>
      </c>
    </row>
    <row r="34" ht="45.75" customHeight="1" s="37">
      <c r="A34" s="45" t="inlineStr">
        <is>
          <t>VD-033</t>
        </is>
      </c>
      <c r="B34" s="45" t="inlineStr">
        <is>
          <t>Vilvah</t>
        </is>
      </c>
      <c r="C34" s="45" t="inlineStr">
        <is>
          <t>Hair growth oil</t>
        </is>
      </c>
      <c r="D34" s="45" t="inlineStr">
        <is>
          <t>Hair Oil</t>
        </is>
      </c>
      <c r="E34" s="45" t="inlineStr">
        <is>
          <t>Hair Thinning &amp; Loss</t>
        </is>
      </c>
      <c r="F34" s="48" t="inlineStr">
        <is>
          <t>hair growth oil</t>
        </is>
      </c>
      <c r="G34" s="47">
        <f>IFERROR(INDEX('Semrush Data'!$C$2:$C$5000,MATCH(F34,'Semrush Data'!$A$2:$A$5000,0)),"")</f>
        <v/>
      </c>
      <c r="H34" s="45">
        <f>IFERROR(INDEX('Semrush Data'!$D$2:$D$5000,MATCH(F34,'Semrush Data'!$A$2:$A$5000,0)),"")</f>
        <v/>
      </c>
      <c r="I34" s="45" t="inlineStr">
        <is>
          <t>vilvah</t>
        </is>
      </c>
      <c r="J34" s="47">
        <f>IFERROR(INDEX('Semrush Data'!$C$2:$C$5000,MATCH(I34,'Semrush Data'!$A$2:$A$5000,0)),"")</f>
        <v/>
      </c>
      <c r="K34" s="45" t="inlineStr">
        <is>
          <t>/collections/hair-growth-oil</t>
        </is>
      </c>
      <c r="L34" s="45" t="inlineStr">
        <is>
          <t>Vilvah Hair Growth Oil</t>
        </is>
      </c>
      <c r="M34" s="45" t="inlineStr">
        <is>
          <t>Vilvah Hair Growth Oil – Hair Growth Oil | Swansura</t>
        </is>
      </c>
      <c r="N34" s="45">
        <f>LEN(M34)</f>
        <v/>
      </c>
      <c r="O34" s="49" t="inlineStr">
        <is>
          <t>Buy Vilvah Hair Growth Oil, a natural hair growth oil from Vilvah. Official UK partner: 100% authentic, shipped from the UK, free delivery over £50.</t>
        </is>
      </c>
      <c r="P34" s="45">
        <f>LEN(O34)</f>
        <v/>
      </c>
      <c r="Q34" s="49" t="inlineStr">
        <is>
          <t>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is>
      </c>
      <c r="R34" s="49" t="inlineStr">
        <is>
          <t>vilvah hair growth oil review · vilvah hair growth oil how to use · vilvah hair growth oil benefits · vilvah hair growth oil india · vilvah hair growth oil review before and after · vilvah hair growth oil amazon</t>
        </is>
      </c>
      <c r="S34" s="45" t="inlineStr">
        <is>
          <t>Matched</t>
        </is>
      </c>
      <c r="T34" s="49" t="inlineStr">
        <is>
          <t>Review: source copy has medical-style claims (kept out of intro)</t>
        </is>
      </c>
    </row>
    <row r="35" ht="45.75" customHeight="1" s="37">
      <c r="A35" s="45" t="inlineStr">
        <is>
          <t>VD-034</t>
        </is>
      </c>
      <c r="B35" s="45" t="inlineStr">
        <is>
          <t>Vilvah</t>
        </is>
      </c>
      <c r="C35" s="45" t="inlineStr">
        <is>
          <t>Herbal Shampoo (Dandruff Control)</t>
        </is>
      </c>
      <c r="D35" s="45" t="inlineStr">
        <is>
          <t>Shampoo</t>
        </is>
      </c>
      <c r="E35" s="45" t="inlineStr">
        <is>
          <t>Anti-Dandruff</t>
        </is>
      </c>
      <c r="F35" s="48" t="inlineStr">
        <is>
          <t>shampoo for dandruff</t>
        </is>
      </c>
      <c r="G35" s="47">
        <f>IFERROR(INDEX('Semrush Data'!$C$2:$C$5000,MATCH(F35,'Semrush Data'!$A$2:$A$5000,0)),"")</f>
        <v/>
      </c>
      <c r="H35" s="45">
        <f>IFERROR(INDEX('Semrush Data'!$D$2:$D$5000,MATCH(F35,'Semrush Data'!$A$2:$A$5000,0)),"")</f>
        <v/>
      </c>
      <c r="I35" s="45" t="inlineStr">
        <is>
          <t>vilvah</t>
        </is>
      </c>
      <c r="J35" s="47">
        <f>IFERROR(INDEX('Semrush Data'!$C$2:$C$5000,MATCH(I35,'Semrush Data'!$A$2:$A$5000,0)),"")</f>
        <v/>
      </c>
      <c r="K35" s="45" t="inlineStr">
        <is>
          <t>/collections/shampoo-for-dandruff</t>
        </is>
      </c>
      <c r="L35" s="45" t="inlineStr">
        <is>
          <t>Vilvah Herbal Shampoo (Dandruff Control)</t>
        </is>
      </c>
      <c r="M35" s="45" t="inlineStr">
        <is>
          <t>Vilvah Herbal Shampoo (Dandruff Control) | Swansura UK</t>
        </is>
      </c>
      <c r="N35" s="45">
        <f>LEN(M35)</f>
        <v/>
      </c>
      <c r="O35" s="49" t="inlineStr">
        <is>
          <t>Buy Vilvah Herbal Shampoo (Dandruff Control), a natural shampoo for dandruff from Vilvah. Official UK partner, 100% authentic, free UK delivery over £50.</t>
        </is>
      </c>
      <c r="P35" s="45">
        <f>LEN(O35)</f>
        <v/>
      </c>
      <c r="Q35" s="49" t="inlineStr">
        <is>
          <t>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is>
      </c>
      <c r="R35" s="49" t="inlineStr">
        <is>
          <t>vilvah herbal shampoo dandruff control</t>
        </is>
      </c>
      <c r="S35" s="45" t="inlineStr">
        <is>
          <t>Matched</t>
        </is>
      </c>
      <c r="T35" s="49" t="inlineStr">
        <is>
          <t>Review: source copy has medical-style claims (kept out of intro)</t>
        </is>
      </c>
    </row>
    <row r="36" ht="45.75" customHeight="1" s="37">
      <c r="A36" s="45" t="inlineStr">
        <is>
          <t>VD-035</t>
        </is>
      </c>
      <c r="B36" s="45" t="inlineStr">
        <is>
          <t>Vilvah</t>
        </is>
      </c>
      <c r="C36" s="45" t="inlineStr">
        <is>
          <t>Lip Balm - Grapefruit</t>
        </is>
      </c>
      <c r="D36" s="45" t="inlineStr">
        <is>
          <t>Lip Care</t>
        </is>
      </c>
      <c r="E36" s="45" t="inlineStr">
        <is>
          <t>Dry Lips</t>
        </is>
      </c>
      <c r="F36" s="48" t="inlineStr">
        <is>
          <t>lip balm for dry lips</t>
        </is>
      </c>
      <c r="G36" s="47">
        <f>IFERROR(INDEX('Semrush Data'!$C$2:$C$5000,MATCH(F36,'Semrush Data'!$A$2:$A$5000,0)),"")</f>
        <v/>
      </c>
      <c r="H36" s="45">
        <f>IFERROR(INDEX('Semrush Data'!$D$2:$D$5000,MATCH(F36,'Semrush Data'!$A$2:$A$5000,0)),"")</f>
        <v/>
      </c>
      <c r="I36" s="45" t="inlineStr">
        <is>
          <t>vilvah</t>
        </is>
      </c>
      <c r="J36" s="47">
        <f>IFERROR(INDEX('Semrush Data'!$C$2:$C$5000,MATCH(I36,'Semrush Data'!$A$2:$A$5000,0)),"")</f>
        <v/>
      </c>
      <c r="K36" s="45" t="inlineStr">
        <is>
          <t>/collections/lip-balm-for-dry-lips</t>
        </is>
      </c>
      <c r="L36" s="45" t="inlineStr">
        <is>
          <t>Vilvah Lip Balm - Grapefruit</t>
        </is>
      </c>
      <c r="M36" s="45" t="inlineStr">
        <is>
          <t>Vilvah Lip Balm - Grapefruit | Lip Balm for Dry Lips</t>
        </is>
      </c>
      <c r="N36" s="45">
        <f>LEN(M36)</f>
        <v/>
      </c>
      <c r="O36" s="49" t="inlineStr">
        <is>
          <t>Buy Vilvah Lip Balm - Grapefruit, a natural lip balm for dry lips from Vilvah. Official UK partner: 100% authentic, shipped from the UK, free delivery over £50.</t>
        </is>
      </c>
      <c r="P36" s="45">
        <f>LEN(O36)</f>
        <v/>
      </c>
      <c r="Q36" s="49" t="inlineStr">
        <is>
          <t>Vilvah Lip Balm - Grapefruit is a natural lip balm for dry lips from Vilvah. Swansura is an official UK partner of Vilvah, so every order is 100% authentic and ships from the UK.</t>
        </is>
      </c>
      <c r="R36" s="49" t="inlineStr">
        <is>
          <t>vilvah lip balm grapefruit · vilvah grapefruit lip balm review · vilvah grapefruit lip balm 10g · vilvah grapefruit lip balm benefits · vilvah grapefruit lip balm amazon · vilvah lip balm review</t>
        </is>
      </c>
      <c r="S36" s="45" t="inlineStr">
        <is>
          <t>Not found – write from pack</t>
        </is>
      </c>
      <c r="T36" s="49" t="n"/>
    </row>
    <row r="37" ht="45.75" customHeight="1" s="37">
      <c r="A37" s="45" t="inlineStr">
        <is>
          <t>VD-036</t>
        </is>
      </c>
      <c r="B37" s="45" t="inlineStr">
        <is>
          <t>Vilvah</t>
        </is>
      </c>
      <c r="C37" s="45" t="inlineStr">
        <is>
          <t>Lip Scrub</t>
        </is>
      </c>
      <c r="D37" s="45" t="inlineStr">
        <is>
          <t>Lip Care</t>
        </is>
      </c>
      <c r="E37" s="45" t="inlineStr">
        <is>
          <t>Lip Exfoliation</t>
        </is>
      </c>
      <c r="F37" s="48" t="inlineStr">
        <is>
          <t>lip scrub</t>
        </is>
      </c>
      <c r="G37" s="47">
        <f>IFERROR(INDEX('Semrush Data'!$C$2:$C$5000,MATCH(F37,'Semrush Data'!$A$2:$A$5000,0)),"")</f>
        <v/>
      </c>
      <c r="H37" s="45">
        <f>IFERROR(INDEX('Semrush Data'!$D$2:$D$5000,MATCH(F37,'Semrush Data'!$A$2:$A$5000,0)),"")</f>
        <v/>
      </c>
      <c r="I37" s="45" t="inlineStr">
        <is>
          <t>vilvah</t>
        </is>
      </c>
      <c r="J37" s="47">
        <f>IFERROR(INDEX('Semrush Data'!$C$2:$C$5000,MATCH(I37,'Semrush Data'!$A$2:$A$5000,0)),"")</f>
        <v/>
      </c>
      <c r="K37" s="45" t="inlineStr">
        <is>
          <t>/collections/lip-scrub</t>
        </is>
      </c>
      <c r="L37" s="45" t="inlineStr">
        <is>
          <t>Vilvah Lip Scrub</t>
        </is>
      </c>
      <c r="M37" s="45" t="inlineStr">
        <is>
          <t>Vilvah Lip Scrub | Lip Scrub</t>
        </is>
      </c>
      <c r="N37" s="45">
        <f>LEN(M37)</f>
        <v/>
      </c>
      <c r="O37" s="49" t="inlineStr">
        <is>
          <t>Buy Vilvah Lip Scrub, a natural lip scrub from Vilvah. Official UK partner: 100% authentic, shipped from the UK, free delivery over £50.</t>
        </is>
      </c>
      <c r="P37" s="45">
        <f>LEN(O37)</f>
        <v/>
      </c>
      <c r="Q37" s="49" t="inlineStr">
        <is>
          <t>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is>
      </c>
      <c r="R37" s="49" t="inlineStr">
        <is>
          <t>vilvah lip scrub how to use · vilvah lip scrub review · vilvah lip scrub ingredients · vilvah lip scrub and lip balm · vilvah lip balm price · vilvah lip balm review</t>
        </is>
      </c>
      <c r="S37" s="45" t="inlineStr">
        <is>
          <t>Matched</t>
        </is>
      </c>
      <c r="T37" s="49" t="inlineStr">
        <is>
          <t>Review: source copy has medical-style claims (kept out of intro)</t>
        </is>
      </c>
    </row>
    <row r="38" ht="23.25" customHeight="1" s="37">
      <c r="A38" s="45" t="inlineStr">
        <is>
          <t>VD-037</t>
        </is>
      </c>
      <c r="B38" s="45" t="inlineStr">
        <is>
          <t>Vilvah</t>
        </is>
      </c>
      <c r="C38" s="45" t="inlineStr">
        <is>
          <t>Men's Comb / Detangling Comb</t>
        </is>
      </c>
      <c r="D38" s="45" t="inlineStr">
        <is>
          <t>Hair Accessories</t>
        </is>
      </c>
      <c r="E38" s="45" t="inlineStr">
        <is>
          <t>Sun Protection</t>
        </is>
      </c>
      <c r="F38" s="48" t="inlineStr">
        <is>
          <t>natural skincare</t>
        </is>
      </c>
      <c r="G38" s="47">
        <f>IFERROR(INDEX('Semrush Data'!$C$2:$C$5000,MATCH(F38,'Semrush Data'!$A$2:$A$5000,0)),"")</f>
        <v/>
      </c>
      <c r="H38" s="45">
        <f>IFERROR(INDEX('Semrush Data'!$D$2:$D$5000,MATCH(F38,'Semrush Data'!$A$2:$A$5000,0)),"")</f>
        <v/>
      </c>
      <c r="I38" s="45" t="inlineStr">
        <is>
          <t>vilvah</t>
        </is>
      </c>
      <c r="J38" s="47">
        <f>IFERROR(INDEX('Semrush Data'!$C$2:$C$5000,MATCH(I38,'Semrush Data'!$A$2:$A$5000,0)),"")</f>
        <v/>
      </c>
      <c r="K38" s="45" t="inlineStr">
        <is>
          <t>/collections/natural-skincare</t>
        </is>
      </c>
      <c r="L38" s="45" t="inlineStr">
        <is>
          <t>Vilvah Men's Comb / Detangling Comb</t>
        </is>
      </c>
      <c r="M38" s="45" t="inlineStr">
        <is>
          <t>Vilvah Men's Comb / Detangling Comb | Natural Skincare</t>
        </is>
      </c>
      <c r="N38" s="45">
        <f>LEN(M38)</f>
        <v/>
      </c>
      <c r="O38" s="49" t="inlineStr">
        <is>
          <t>Buy Vilvah Men's Comb / Detangling Comb, natural skincare from Vilvah. Official UK partner: 100% authentic, shipped from the UK, free delivery over £50.</t>
        </is>
      </c>
      <c r="P38" s="45">
        <f>LEN(O38)</f>
        <v/>
      </c>
      <c r="Q38" s="49" t="inlineStr">
        <is>
          <t>Vilvah Men's Comb / Detangling Comb is natural skincare from Vilvah. Swansura is an official UK partner of Vilvah, so every order is 100% authentic and ships from the UK.</t>
        </is>
      </c>
      <c r="R38" s="49" t="n"/>
      <c r="S38" s="45" t="inlineStr">
        <is>
          <t>Not found – write from pack</t>
        </is>
      </c>
      <c r="T38" s="49" t="n"/>
    </row>
    <row r="39" ht="45.75" customHeight="1" s="37">
      <c r="A39" s="45" t="inlineStr">
        <is>
          <t>VD-038</t>
        </is>
      </c>
      <c r="B39" s="45" t="inlineStr">
        <is>
          <t>Vilvah</t>
        </is>
      </c>
      <c r="C39" s="45" t="inlineStr">
        <is>
          <t>Milk Drops Brightening Serum 20ml</t>
        </is>
      </c>
      <c r="D39" s="45" t="inlineStr">
        <is>
          <t>Serums</t>
        </is>
      </c>
      <c r="E39" s="45" t="inlineStr">
        <is>
          <t>Dull Skin</t>
        </is>
      </c>
      <c r="F39" s="48" t="inlineStr">
        <is>
          <t>skincare for dull skin</t>
        </is>
      </c>
      <c r="G39" s="47">
        <f>IFERROR(INDEX('Semrush Data'!$C$2:$C$5000,MATCH(F39,'Semrush Data'!$A$2:$A$5000,0)),"")</f>
        <v/>
      </c>
      <c r="H39" s="45">
        <f>IFERROR(INDEX('Semrush Data'!$D$2:$D$5000,MATCH(F39,'Semrush Data'!$A$2:$A$5000,0)),"")</f>
        <v/>
      </c>
      <c r="I39" s="45" t="inlineStr">
        <is>
          <t>vilvah</t>
        </is>
      </c>
      <c r="J39" s="47">
        <f>IFERROR(INDEX('Semrush Data'!$C$2:$C$5000,MATCH(I39,'Semrush Data'!$A$2:$A$5000,0)),"")</f>
        <v/>
      </c>
      <c r="K39" s="45" t="inlineStr">
        <is>
          <t>/collections/dull-skin</t>
        </is>
      </c>
      <c r="L39" s="45" t="inlineStr">
        <is>
          <t>Vilvah Milk Drops Brightening Serum</t>
        </is>
      </c>
      <c r="M39" s="45" t="inlineStr">
        <is>
          <t>Vilvah Milk Drops Brightening Serum | Skincare for Dull Skin</t>
        </is>
      </c>
      <c r="N39" s="45">
        <f>LEN(M39)</f>
        <v/>
      </c>
      <c r="O39" s="49" t="inlineStr">
        <is>
          <t>Buy Vilvah Milk Drops Brightening Serum, natural skincare for dull skin from Vilvah. Official UK partner, 100% authentic, free UK delivery over £50.</t>
        </is>
      </c>
      <c r="P39" s="45">
        <f>LEN(O39)</f>
        <v/>
      </c>
      <c r="Q39" s="49" t="inlineStr">
        <is>
          <t>Vilvah Milk Drops Brightening Serum is natural skincare for dull skin from Vilvah. Swansura is an official UK partner of Vilvah, so every order is 100% authentic and ships from the UK.</t>
        </is>
      </c>
      <c r="R39" s="49" t="inlineStr">
        <is>
          <t>vilvah milk drops brightening serum review · vilvah milk drops brightening serum how to use · vilvah milk drops brightening serum ingredients · vilvah milk drops brightening serum benefits</t>
        </is>
      </c>
      <c r="S39" s="45" t="inlineStr">
        <is>
          <t>Matched – no usable facts, add 1–2 from pack</t>
        </is>
      </c>
      <c r="T39" s="49" t="inlineStr">
        <is>
          <t>Review: source copy has medical-style claims (kept out of intro)</t>
        </is>
      </c>
    </row>
    <row r="40" ht="45.75" customHeight="1" s="37">
      <c r="A40" s="45" t="inlineStr">
        <is>
          <t>VD-039</t>
        </is>
      </c>
      <c r="B40" s="45" t="inlineStr">
        <is>
          <t>Vilvah</t>
        </is>
      </c>
      <c r="C40" s="45" t="inlineStr">
        <is>
          <t>Milk Drops Brightening Serum 40ml</t>
        </is>
      </c>
      <c r="D40" s="45" t="inlineStr">
        <is>
          <t>Serums</t>
        </is>
      </c>
      <c r="E40" s="45" t="inlineStr">
        <is>
          <t>Dull Skin</t>
        </is>
      </c>
      <c r="F40" s="48" t="inlineStr">
        <is>
          <t>skincare for dull skin</t>
        </is>
      </c>
      <c r="G40" s="47">
        <f>IFERROR(INDEX('Semrush Data'!$C$2:$C$5000,MATCH(F40,'Semrush Data'!$A$2:$A$5000,0)),"")</f>
        <v/>
      </c>
      <c r="H40" s="45">
        <f>IFERROR(INDEX('Semrush Data'!$D$2:$D$5000,MATCH(F40,'Semrush Data'!$A$2:$A$5000,0)),"")</f>
        <v/>
      </c>
      <c r="I40" s="45" t="inlineStr">
        <is>
          <t>vilvah</t>
        </is>
      </c>
      <c r="J40" s="47">
        <f>IFERROR(INDEX('Semrush Data'!$C$2:$C$5000,MATCH(I40,'Semrush Data'!$A$2:$A$5000,0)),"")</f>
        <v/>
      </c>
      <c r="K40" s="45" t="inlineStr">
        <is>
          <t>/collections/dull-skin</t>
        </is>
      </c>
      <c r="L40" s="45" t="inlineStr">
        <is>
          <t>Vilvah Milk Drops Brightening Serum</t>
        </is>
      </c>
      <c r="M40" s="45" t="inlineStr">
        <is>
          <t>Vilvah Milk Drops Brightening Serum | Skincare for Dull Skin</t>
        </is>
      </c>
      <c r="N40" s="45">
        <f>LEN(M40)</f>
        <v/>
      </c>
      <c r="O40" s="49" t="inlineStr">
        <is>
          <t>Buy Vilvah Milk Drops Brightening Serum, natural skincare for dull skin from Vilvah. Official UK partner, 100% authentic, free UK delivery over £50.</t>
        </is>
      </c>
      <c r="P40" s="45">
        <f>LEN(O40)</f>
        <v/>
      </c>
      <c r="Q40" s="49" t="inlineStr">
        <is>
          <t>Vilvah Milk Drops Brightening Serum is natural skincare for dull skin from Vilvah. Swansura is an official UK partner of Vilvah, so every order is 100% authentic and ships from the UK.</t>
        </is>
      </c>
      <c r="R40" s="49" t="inlineStr">
        <is>
          <t>vilvah milk drops brightening serum review · vilvah milk drops brightening serum how to use · vilvah milk drops brightening serum ingredients · vilvah milk drops brightening serum benefits</t>
        </is>
      </c>
      <c r="S40" s="45" t="inlineStr">
        <is>
          <t>Matched – no usable facts, add 1–2 from pack</t>
        </is>
      </c>
      <c r="T40" s="49" t="inlineStr">
        <is>
          <t>Review: source copy has medical-style claims (kept out of intro)</t>
        </is>
      </c>
    </row>
    <row r="41" ht="45.75" customHeight="1" s="37">
      <c r="A41" s="45" t="inlineStr">
        <is>
          <t>VD-040</t>
        </is>
      </c>
      <c r="B41" s="45" t="inlineStr">
        <is>
          <t>Vilvah</t>
        </is>
      </c>
      <c r="C41" s="45" t="inlineStr">
        <is>
          <t>Milk Lip Balm SPF 30 PA+++</t>
        </is>
      </c>
      <c r="D41" s="45" t="inlineStr">
        <is>
          <t>Lip Care</t>
        </is>
      </c>
      <c r="E41" s="45" t="inlineStr">
        <is>
          <t>Dry Lips</t>
        </is>
      </c>
      <c r="F41" s="48" t="inlineStr">
        <is>
          <t>spf lip balm</t>
        </is>
      </c>
      <c r="G41" s="47">
        <f>IFERROR(INDEX('Semrush Data'!$C$2:$C$5000,MATCH(F41,'Semrush Data'!$A$2:$A$5000,0)),"")</f>
        <v/>
      </c>
      <c r="H41" s="45">
        <f>IFERROR(INDEX('Semrush Data'!$D$2:$D$5000,MATCH(F41,'Semrush Data'!$A$2:$A$5000,0)),"")</f>
        <v/>
      </c>
      <c r="I41" s="45" t="inlineStr">
        <is>
          <t>vilvah</t>
        </is>
      </c>
      <c r="J41" s="47">
        <f>IFERROR(INDEX('Semrush Data'!$C$2:$C$5000,MATCH(I41,'Semrush Data'!$A$2:$A$5000,0)),"")</f>
        <v/>
      </c>
      <c r="K41" s="45" t="inlineStr">
        <is>
          <t>/collections/lip-balm-for-dry-lips</t>
        </is>
      </c>
      <c r="L41" s="45" t="inlineStr">
        <is>
          <t>Vilvah Milk Lip Balm SPF 30 PA</t>
        </is>
      </c>
      <c r="M41" s="45" t="inlineStr">
        <is>
          <t>Vilvah Milk Lip Balm SPF 30 PA – Spf Lip Balm | Swansura</t>
        </is>
      </c>
      <c r="N41" s="45">
        <f>LEN(M41)</f>
        <v/>
      </c>
      <c r="O41" s="49" t="inlineStr">
        <is>
          <t>Buy Vilvah Milk Lip Balm SPF 30 PA, a natural spf lip balm from Vilvah. Official UK partner: 100% authentic, shipped from the UK, free delivery over £50.</t>
        </is>
      </c>
      <c r="P41" s="45">
        <f>LEN(O41)</f>
        <v/>
      </c>
      <c r="Q41" s="49" t="inlineStr">
        <is>
          <t>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is>
      </c>
      <c r="R41" s="49" t="n"/>
      <c r="S41" s="45" t="inlineStr">
        <is>
          <t>Matched</t>
        </is>
      </c>
      <c r="T41" s="49" t="inlineStr">
        <is>
          <t>Review: source copy has medical-style claims (kept out of intro)</t>
        </is>
      </c>
    </row>
    <row r="42" ht="57" customHeight="1" s="37">
      <c r="A42" s="45" t="inlineStr">
        <is>
          <t>VD-041</t>
        </is>
      </c>
      <c r="B42" s="45" t="inlineStr">
        <is>
          <t>Vilvah</t>
        </is>
      </c>
      <c r="C42" s="45" t="inlineStr">
        <is>
          <t>Neem Wood Comb (With Handle)</t>
        </is>
      </c>
      <c r="D42" s="45" t="inlineStr">
        <is>
          <t>Hair Accessories</t>
        </is>
      </c>
      <c r="E42" s="45" t="inlineStr">
        <is>
          <t>Hair Nourishment</t>
        </is>
      </c>
      <c r="F42" s="48" t="inlineStr">
        <is>
          <t>natural skincare</t>
        </is>
      </c>
      <c r="G42" s="47">
        <f>IFERROR(INDEX('Semrush Data'!$C$2:$C$5000,MATCH(F42,'Semrush Data'!$A$2:$A$5000,0)),"")</f>
        <v/>
      </c>
      <c r="H42" s="45">
        <f>IFERROR(INDEX('Semrush Data'!$D$2:$D$5000,MATCH(F42,'Semrush Data'!$A$2:$A$5000,0)),"")</f>
        <v/>
      </c>
      <c r="I42" s="45" t="inlineStr">
        <is>
          <t>vilvah</t>
        </is>
      </c>
      <c r="J42" s="47">
        <f>IFERROR(INDEX('Semrush Data'!$C$2:$C$5000,MATCH(I42,'Semrush Data'!$A$2:$A$5000,0)),"")</f>
        <v/>
      </c>
      <c r="K42" s="45" t="inlineStr">
        <is>
          <t>/collections/natural-skincare</t>
        </is>
      </c>
      <c r="L42" s="45" t="inlineStr">
        <is>
          <t>Vilvah Neem Wood Comb (With Handle)</t>
        </is>
      </c>
      <c r="M42" s="45" t="inlineStr">
        <is>
          <t>Vilvah Neem Wood Comb (With Handle) | Natural Skincare</t>
        </is>
      </c>
      <c r="N42" s="45">
        <f>LEN(M42)</f>
        <v/>
      </c>
      <c r="O42" s="49" t="inlineStr">
        <is>
          <t>Buy Vilvah Neem Wood Comb (With Handle), natural skincare from Vilvah. Official UK partner: 100% authentic, shipped from the UK, free delivery over £50.</t>
        </is>
      </c>
      <c r="P42" s="45">
        <f>LEN(O42)</f>
        <v/>
      </c>
      <c r="Q42" s="49" t="inlineStr">
        <is>
          <t>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is>
      </c>
      <c r="R42" s="49" t="n"/>
      <c r="S42" s="45" t="inlineStr">
        <is>
          <t>Matched</t>
        </is>
      </c>
      <c r="T42" s="49" t="inlineStr">
        <is>
          <t>Review: source copy has medical-style claims (kept out of intro)</t>
        </is>
      </c>
    </row>
    <row r="43" ht="23.25" customHeight="1" s="37">
      <c r="A43" s="45" t="inlineStr">
        <is>
          <t>VD-042</t>
        </is>
      </c>
      <c r="B43" s="45" t="inlineStr">
        <is>
          <t>Vilvah</t>
        </is>
      </c>
      <c r="C43" s="45" t="inlineStr">
        <is>
          <t>Neem Wood Comb(Fine and wide tooth)</t>
        </is>
      </c>
      <c r="D43" s="45" t="inlineStr">
        <is>
          <t>Hair Accessories</t>
        </is>
      </c>
      <c r="E43" s="45" t="inlineStr">
        <is>
          <t>Hair Nourishment</t>
        </is>
      </c>
      <c r="F43" s="48" t="inlineStr">
        <is>
          <t>natural skincare</t>
        </is>
      </c>
      <c r="G43" s="47">
        <f>IFERROR(INDEX('Semrush Data'!$C$2:$C$5000,MATCH(F43,'Semrush Data'!$A$2:$A$5000,0)),"")</f>
        <v/>
      </c>
      <c r="H43" s="45">
        <f>IFERROR(INDEX('Semrush Data'!$D$2:$D$5000,MATCH(F43,'Semrush Data'!$A$2:$A$5000,0)),"")</f>
        <v/>
      </c>
      <c r="I43" s="45" t="inlineStr">
        <is>
          <t>vilvah</t>
        </is>
      </c>
      <c r="J43" s="47">
        <f>IFERROR(INDEX('Semrush Data'!$C$2:$C$5000,MATCH(I43,'Semrush Data'!$A$2:$A$5000,0)),"")</f>
        <v/>
      </c>
      <c r="K43" s="45" t="inlineStr">
        <is>
          <t>/collections/natural-skincare</t>
        </is>
      </c>
      <c r="L43" s="45" t="inlineStr">
        <is>
          <t>Vilvah Neem Wood Comb(Fine and Wide Tooth)</t>
        </is>
      </c>
      <c r="M43" s="45" t="inlineStr">
        <is>
          <t>Vilvah Neem Wood Comb(Fine and Wide Tooth) | Swansura UK</t>
        </is>
      </c>
      <c r="N43" s="45">
        <f>LEN(M43)</f>
        <v/>
      </c>
      <c r="O43" s="49" t="inlineStr">
        <is>
          <t>Buy Vilvah Neem Wood Comb(Fine and Wide Tooth), natural skincare from Vilvah. Official UK partner: 100% authentic, shipped from the UK, free delivery over £50.</t>
        </is>
      </c>
      <c r="P43" s="45">
        <f>LEN(O43)</f>
        <v/>
      </c>
      <c r="Q43" s="49" t="inlineStr">
        <is>
          <t>Vilvah Neem Wood Comb(Fine and Wide Tooth) is natural skincare from Vilvah. Swansura is an official UK partner of Vilvah, so every order is 100% authentic and ships from the UK.</t>
        </is>
      </c>
      <c r="R43" s="49" t="n"/>
      <c r="S43" s="45" t="inlineStr">
        <is>
          <t>Not found – write from pack</t>
        </is>
      </c>
      <c r="T43" s="49" t="n"/>
    </row>
    <row r="44" ht="23.25" customHeight="1" s="37">
      <c r="A44" s="45" t="inlineStr">
        <is>
          <t>VD-043</t>
        </is>
      </c>
      <c r="B44" s="45" t="inlineStr">
        <is>
          <t>Vilvah</t>
        </is>
      </c>
      <c r="C44" s="45" t="inlineStr">
        <is>
          <t>Under Eye Cream (Dark Circles Control)</t>
        </is>
      </c>
      <c r="D44" s="45" t="inlineStr">
        <is>
          <t>Moisturisers</t>
        </is>
      </c>
      <c r="E44" s="45" t="inlineStr">
        <is>
          <t>Dark Circles</t>
        </is>
      </c>
      <c r="F44" s="48" t="inlineStr">
        <is>
          <t>moisturiser for dry skin</t>
        </is>
      </c>
      <c r="G44" s="47">
        <f>IFERROR(INDEX('Semrush Data'!$C$2:$C$5000,MATCH(F44,'Semrush Data'!$A$2:$A$5000,0)),"")</f>
        <v/>
      </c>
      <c r="H44" s="45">
        <f>IFERROR(INDEX('Semrush Data'!$D$2:$D$5000,MATCH(F44,'Semrush Data'!$A$2:$A$5000,0)),"")</f>
        <v/>
      </c>
      <c r="I44" s="45" t="inlineStr">
        <is>
          <t>vilvah</t>
        </is>
      </c>
      <c r="J44" s="47">
        <f>IFERROR(INDEX('Semrush Data'!$C$2:$C$5000,MATCH(I44,'Semrush Data'!$A$2:$A$5000,0)),"")</f>
        <v/>
      </c>
      <c r="K44" s="45" t="inlineStr">
        <is>
          <t>/collections/moisturiser-for-dry-skin</t>
        </is>
      </c>
      <c r="L44" s="45" t="inlineStr">
        <is>
          <t>Vilvah Under Eye Cream (Dark Circles Control)</t>
        </is>
      </c>
      <c r="M44" s="45" t="inlineStr">
        <is>
          <t>Vilvah Under Eye Cream (Dark Circles Control) | Swansura UK</t>
        </is>
      </c>
      <c r="N44" s="45">
        <f>LEN(M44)</f>
        <v/>
      </c>
      <c r="O44" s="49" t="inlineStr">
        <is>
          <t>Buy Vilvah Under Eye Cream (Dark Circles Control), a natural moisturiser for dry skin from Vilvah. 100% authentic, shipped from the UK, free delivery over £50.</t>
        </is>
      </c>
      <c r="P44" s="45">
        <f>LEN(O44)</f>
        <v/>
      </c>
      <c r="Q44" s="49" t="inlineStr">
        <is>
          <t>Vilvah Under Eye Cream (Dark Circles Control) is a natural moisturiser for dry skin from Vilvah. Swansura is an official UK partner of Vilvah, so every order is 100% authentic and ships from the UK.</t>
        </is>
      </c>
      <c r="R44" s="49" t="inlineStr">
        <is>
          <t>vilvah under eye cream dark circles control · how to use vilvah under eye cream</t>
        </is>
      </c>
      <c r="S44" s="45" t="inlineStr">
        <is>
          <t>Not found – write from pack</t>
        </is>
      </c>
      <c r="T44" s="49" t="n"/>
    </row>
    <row r="45" ht="23.25" customHeight="1" s="37">
      <c r="A45" s="45" t="inlineStr">
        <is>
          <t>VD-044</t>
        </is>
      </c>
      <c r="B45" s="45" t="inlineStr">
        <is>
          <t>Vilvah</t>
        </is>
      </c>
      <c r="C45" s="45" t="inlineStr">
        <is>
          <t>Filter Kaapi Lip Balm</t>
        </is>
      </c>
      <c r="D45" s="45" t="inlineStr">
        <is>
          <t>Lip Care</t>
        </is>
      </c>
      <c r="E45" s="45" t="inlineStr">
        <is>
          <t>Dry Lips</t>
        </is>
      </c>
      <c r="F45" s="48" t="inlineStr">
        <is>
          <t>lip balm for dry lips</t>
        </is>
      </c>
      <c r="G45" s="47">
        <f>IFERROR(INDEX('Semrush Data'!$C$2:$C$5000,MATCH(F45,'Semrush Data'!$A$2:$A$5000,0)),"")</f>
        <v/>
      </c>
      <c r="H45" s="45">
        <f>IFERROR(INDEX('Semrush Data'!$D$2:$D$5000,MATCH(F45,'Semrush Data'!$A$2:$A$5000,0)),"")</f>
        <v/>
      </c>
      <c r="I45" s="45" t="inlineStr">
        <is>
          <t>vilvah</t>
        </is>
      </c>
      <c r="J45" s="47">
        <f>IFERROR(INDEX('Semrush Data'!$C$2:$C$5000,MATCH(I45,'Semrush Data'!$A$2:$A$5000,0)),"")</f>
        <v/>
      </c>
      <c r="K45" s="45" t="inlineStr">
        <is>
          <t>/collections/lip-balm-for-dry-lips</t>
        </is>
      </c>
      <c r="L45" s="45" t="inlineStr">
        <is>
          <t>Vilvah Filter Kaapi Lip Balm</t>
        </is>
      </c>
      <c r="M45" s="45" t="inlineStr">
        <is>
          <t>Vilvah Filter Kaapi Lip Balm | Lip Balm for Dry Lips</t>
        </is>
      </c>
      <c r="N45" s="45">
        <f>LEN(M45)</f>
        <v/>
      </c>
      <c r="O45" s="49" t="inlineStr">
        <is>
          <t>Buy Vilvah Filter Kaapi Lip Balm, a natural lip balm for dry lips from Vilvah. Official UK partner: 100% authentic, shipped from the UK, free delivery over £50.</t>
        </is>
      </c>
      <c r="P45" s="45">
        <f>LEN(O45)</f>
        <v/>
      </c>
      <c r="Q45" s="49" t="inlineStr">
        <is>
          <t>Vilvah Filter Kaapi Lip Balm is a natural lip balm for dry lips from Vilvah. Swansura is an official UK partner of Vilvah, so every order is 100% authentic and ships from the UK.</t>
        </is>
      </c>
      <c r="R45" s="49" t="inlineStr">
        <is>
          <t>vilvah lip balm review · vilvah lip balm price</t>
        </is>
      </c>
      <c r="S45" s="45" t="inlineStr">
        <is>
          <t>Not found – write from pack</t>
        </is>
      </c>
      <c r="T45" s="49" t="n"/>
    </row>
    <row r="46" ht="23.25" customHeight="1" s="37">
      <c r="A46" s="45" t="inlineStr">
        <is>
          <t>VD-045</t>
        </is>
      </c>
      <c r="B46" s="45" t="inlineStr">
        <is>
          <t>Vilvah</t>
        </is>
      </c>
      <c r="C46" s="45" t="inlineStr">
        <is>
          <t>Mango Shake Lip Balm</t>
        </is>
      </c>
      <c r="D46" s="45" t="inlineStr">
        <is>
          <t>Lip Care</t>
        </is>
      </c>
      <c r="E46" s="45" t="inlineStr">
        <is>
          <t>Dry Lips</t>
        </is>
      </c>
      <c r="F46" s="48" t="inlineStr">
        <is>
          <t>lip balm for dry lips</t>
        </is>
      </c>
      <c r="G46" s="47">
        <f>IFERROR(INDEX('Semrush Data'!$C$2:$C$5000,MATCH(F46,'Semrush Data'!$A$2:$A$5000,0)),"")</f>
        <v/>
      </c>
      <c r="H46" s="45">
        <f>IFERROR(INDEX('Semrush Data'!$D$2:$D$5000,MATCH(F46,'Semrush Data'!$A$2:$A$5000,0)),"")</f>
        <v/>
      </c>
      <c r="I46" s="45" t="inlineStr">
        <is>
          <t>vilvah</t>
        </is>
      </c>
      <c r="J46" s="47">
        <f>IFERROR(INDEX('Semrush Data'!$C$2:$C$5000,MATCH(I46,'Semrush Data'!$A$2:$A$5000,0)),"")</f>
        <v/>
      </c>
      <c r="K46" s="45" t="inlineStr">
        <is>
          <t>/collections/lip-balm-for-dry-lips</t>
        </is>
      </c>
      <c r="L46" s="45" t="inlineStr">
        <is>
          <t>Vilvah Mango Shake Lip Balm</t>
        </is>
      </c>
      <c r="M46" s="45" t="inlineStr">
        <is>
          <t>Vilvah Mango Shake Lip Balm | Lip Balm for Dry Lips</t>
        </is>
      </c>
      <c r="N46" s="45">
        <f>LEN(M46)</f>
        <v/>
      </c>
      <c r="O46" s="49" t="inlineStr">
        <is>
          <t>Buy Vilvah Mango Shake Lip Balm, a natural lip balm for dry lips from Vilvah. Official UK partner: 100% authentic, shipped from the UK, free delivery over £50.</t>
        </is>
      </c>
      <c r="P46" s="45">
        <f>LEN(O46)</f>
        <v/>
      </c>
      <c r="Q46" s="49" t="inlineStr">
        <is>
          <t>Vilvah Mango Shake Lip Balm is a natural lip balm for dry lips from Vilvah. Swansura is an official UK partner of Vilvah, so every order is 100% authentic and ships from the UK.</t>
        </is>
      </c>
      <c r="R46" s="49" t="inlineStr">
        <is>
          <t>vilvah lip balm review · vilvah lip balm price</t>
        </is>
      </c>
      <c r="S46" s="45" t="inlineStr">
        <is>
          <t>Not found – write from pack</t>
        </is>
      </c>
      <c r="T46" s="49" t="n"/>
    </row>
    <row r="47" ht="23.25" customHeight="1" s="37">
      <c r="A47" s="45" t="inlineStr">
        <is>
          <t>VD-046</t>
        </is>
      </c>
      <c r="B47" s="45" t="inlineStr">
        <is>
          <t>Vilvah</t>
        </is>
      </c>
      <c r="C47" s="45" t="inlineStr">
        <is>
          <t>Cream Bun Lip Balm</t>
        </is>
      </c>
      <c r="D47" s="45" t="inlineStr">
        <is>
          <t>Lip Care</t>
        </is>
      </c>
      <c r="E47" s="45" t="inlineStr">
        <is>
          <t>Dry Lips</t>
        </is>
      </c>
      <c r="F47" s="48" t="inlineStr">
        <is>
          <t>lip balm for dry lips</t>
        </is>
      </c>
      <c r="G47" s="47">
        <f>IFERROR(INDEX('Semrush Data'!$C$2:$C$5000,MATCH(F47,'Semrush Data'!$A$2:$A$5000,0)),"")</f>
        <v/>
      </c>
      <c r="H47" s="45">
        <f>IFERROR(INDEX('Semrush Data'!$D$2:$D$5000,MATCH(F47,'Semrush Data'!$A$2:$A$5000,0)),"")</f>
        <v/>
      </c>
      <c r="I47" s="45" t="inlineStr">
        <is>
          <t>vilvah</t>
        </is>
      </c>
      <c r="J47" s="47">
        <f>IFERROR(INDEX('Semrush Data'!$C$2:$C$5000,MATCH(I47,'Semrush Data'!$A$2:$A$5000,0)),"")</f>
        <v/>
      </c>
      <c r="K47" s="45" t="inlineStr">
        <is>
          <t>/collections/lip-balm-for-dry-lips</t>
        </is>
      </c>
      <c r="L47" s="45" t="inlineStr">
        <is>
          <t>Vilvah Cream Bun Lip Balm</t>
        </is>
      </c>
      <c r="M47" s="45" t="inlineStr">
        <is>
          <t>Vilvah Cream Bun Lip Balm – Lip Balm for Dry Lips | Swansura</t>
        </is>
      </c>
      <c r="N47" s="45">
        <f>LEN(M47)</f>
        <v/>
      </c>
      <c r="O47" s="49" t="inlineStr">
        <is>
          <t>Buy Vilvah Cream Bun Lip Balm, a natural lip balm for dry lips from Vilvah. Official UK partner: 100% authentic, shipped from the UK, free delivery over £50.</t>
        </is>
      </c>
      <c r="P47" s="45">
        <f>LEN(O47)</f>
        <v/>
      </c>
      <c r="Q47" s="49" t="inlineStr">
        <is>
          <t>Vilvah Cream Bun Lip Balm is a natural lip balm for dry lips from Vilvah. Swansura is an official UK partner of Vilvah, so every order is 100% authentic and ships from the UK.</t>
        </is>
      </c>
      <c r="R47" s="49" t="inlineStr">
        <is>
          <t>vilvah cream bun lip balm review · vilvah lip balm price · vilvah lip balm review</t>
        </is>
      </c>
      <c r="S47" s="45" t="inlineStr">
        <is>
          <t>Not found – write from pack</t>
        </is>
      </c>
      <c r="T47" s="49" t="n"/>
    </row>
    <row r="48" ht="34.5" customHeight="1" s="37">
      <c r="A48" s="45" t="inlineStr">
        <is>
          <t>VD-047</t>
        </is>
      </c>
      <c r="B48" s="45" t="inlineStr">
        <is>
          <t>Vilvah</t>
        </is>
      </c>
      <c r="C48" s="45" t="inlineStr">
        <is>
          <t>Vilvah Milk Body Kit</t>
        </is>
      </c>
      <c r="D48" s="45" t="inlineStr">
        <is>
          <t>Gift Sets &amp; Combos</t>
        </is>
      </c>
      <c r="E48" s="45" t="inlineStr">
        <is>
          <t>Dry Skin</t>
        </is>
      </c>
      <c r="F48" s="48" t="inlineStr">
        <is>
          <t>skincare for dry skin</t>
        </is>
      </c>
      <c r="G48" s="47">
        <f>IFERROR(INDEX('Semrush Data'!$C$2:$C$5000,MATCH(F48,'Semrush Data'!$A$2:$A$5000,0)),"")</f>
        <v/>
      </c>
      <c r="H48" s="45">
        <f>IFERROR(INDEX('Semrush Data'!$D$2:$D$5000,MATCH(F48,'Semrush Data'!$A$2:$A$5000,0)),"")</f>
        <v/>
      </c>
      <c r="I48" s="45" t="inlineStr">
        <is>
          <t>vilvah</t>
        </is>
      </c>
      <c r="J48" s="47">
        <f>IFERROR(INDEX('Semrush Data'!$C$2:$C$5000,MATCH(I48,'Semrush Data'!$A$2:$A$5000,0)),"")</f>
        <v/>
      </c>
      <c r="K48" s="45" t="inlineStr">
        <is>
          <t>/collections/dry-skin</t>
        </is>
      </c>
      <c r="L48" s="45" t="inlineStr">
        <is>
          <t>Vilvah Milk Body Kit</t>
        </is>
      </c>
      <c r="M48" s="45" t="inlineStr">
        <is>
          <t>Vilvah Milk Body Kit – Skincare for Dry Skin | Swansura</t>
        </is>
      </c>
      <c r="N48" s="45">
        <f>LEN(M48)</f>
        <v/>
      </c>
      <c r="O48" s="49" t="inlineStr">
        <is>
          <t>Buy Vilvah Milk Body Kit, natural skincare for dry skin from Vilvah. Official UK partner: 100% authentic, shipped from the UK, free delivery over £50.</t>
        </is>
      </c>
      <c r="P48" s="45">
        <f>LEN(O48)</f>
        <v/>
      </c>
      <c r="Q48" s="49" t="inlineStr">
        <is>
          <t>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is>
      </c>
      <c r="R48" s="49" t="n"/>
      <c r="S48" s="45" t="inlineStr">
        <is>
          <t>Matched</t>
        </is>
      </c>
      <c r="T48" s="49" t="n"/>
    </row>
    <row r="49" ht="23.25" customHeight="1" s="37">
      <c r="A49" s="45" t="inlineStr">
        <is>
          <t>VD-048</t>
        </is>
      </c>
      <c r="B49" s="45" t="inlineStr">
        <is>
          <t>Vilvah</t>
        </is>
      </c>
      <c r="C49" s="45" t="inlineStr">
        <is>
          <t>Vilvah Foot Cream and Body Lotion Kit</t>
        </is>
      </c>
      <c r="D49" s="45" t="inlineStr">
        <is>
          <t>Gift Sets &amp; Combos</t>
        </is>
      </c>
      <c r="E49" s="45" t="inlineStr">
        <is>
          <t>Dry Skin</t>
        </is>
      </c>
      <c r="F49" s="48" t="inlineStr">
        <is>
          <t>skincare for dry skin</t>
        </is>
      </c>
      <c r="G49" s="47">
        <f>IFERROR(INDEX('Semrush Data'!$C$2:$C$5000,MATCH(F49,'Semrush Data'!$A$2:$A$5000,0)),"")</f>
        <v/>
      </c>
      <c r="H49" s="45">
        <f>IFERROR(INDEX('Semrush Data'!$D$2:$D$5000,MATCH(F49,'Semrush Data'!$A$2:$A$5000,0)),"")</f>
        <v/>
      </c>
      <c r="I49" s="45" t="inlineStr">
        <is>
          <t>vilvah</t>
        </is>
      </c>
      <c r="J49" s="47">
        <f>IFERROR(INDEX('Semrush Data'!$C$2:$C$5000,MATCH(I49,'Semrush Data'!$A$2:$A$5000,0)),"")</f>
        <v/>
      </c>
      <c r="K49" s="45" t="inlineStr">
        <is>
          <t>/collections/dry-skin</t>
        </is>
      </c>
      <c r="L49" s="45" t="inlineStr">
        <is>
          <t>Vilvah Foot Cream and Body Lotion Kit</t>
        </is>
      </c>
      <c r="M49" s="45" t="inlineStr">
        <is>
          <t>Vilvah Foot Cream and Body Lotion Kit | Vilvah UK | Swansura</t>
        </is>
      </c>
      <c r="N49" s="45">
        <f>LEN(M49)</f>
        <v/>
      </c>
      <c r="O49" s="49" t="inlineStr">
        <is>
          <t>Buy Vilvah Foot Cream and Body Lotion Kit, natural skincare for dry skin from Vilvah. Official UK partner, 100% authentic, free UK delivery over £50.</t>
        </is>
      </c>
      <c r="P49" s="45">
        <f>LEN(O49)</f>
        <v/>
      </c>
      <c r="Q49" s="49" t="inlineStr">
        <is>
          <t>Vilvah Foot Cream and Body Lotion Kit is natural skincare for dry skin from Vilvah. Swansura is an official UK partner of Vilvah, so every order is 100% authentic and ships from the UK.</t>
        </is>
      </c>
      <c r="R49" s="49" t="n"/>
      <c r="S49" s="45" t="inlineStr">
        <is>
          <t>Not found – write from pack</t>
        </is>
      </c>
      <c r="T49" s="49" t="n"/>
    </row>
    <row r="50" ht="34.5" customHeight="1" s="37">
      <c r="A50" s="45" t="inlineStr">
        <is>
          <t>VD-049</t>
        </is>
      </c>
      <c r="B50" s="45" t="inlineStr">
        <is>
          <t>Vilvah</t>
        </is>
      </c>
      <c r="C50" s="45" t="inlineStr">
        <is>
          <t>Vilvah Milk Face Kit</t>
        </is>
      </c>
      <c r="D50" s="45" t="inlineStr">
        <is>
          <t>Gift Sets &amp; Combos</t>
        </is>
      </c>
      <c r="E50" s="45" t="inlineStr">
        <is>
          <t>Dry Skin</t>
        </is>
      </c>
      <c r="F50" s="48" t="inlineStr">
        <is>
          <t>skincare for dry skin</t>
        </is>
      </c>
      <c r="G50" s="47">
        <f>IFERROR(INDEX('Semrush Data'!$C$2:$C$5000,MATCH(F50,'Semrush Data'!$A$2:$A$5000,0)),"")</f>
        <v/>
      </c>
      <c r="H50" s="45">
        <f>IFERROR(INDEX('Semrush Data'!$D$2:$D$5000,MATCH(F50,'Semrush Data'!$A$2:$A$5000,0)),"")</f>
        <v/>
      </c>
      <c r="I50" s="45" t="inlineStr">
        <is>
          <t>vilvah</t>
        </is>
      </c>
      <c r="J50" s="47">
        <f>IFERROR(INDEX('Semrush Data'!$C$2:$C$5000,MATCH(I50,'Semrush Data'!$A$2:$A$5000,0)),"")</f>
        <v/>
      </c>
      <c r="K50" s="45" t="inlineStr">
        <is>
          <t>/collections/dry-skin</t>
        </is>
      </c>
      <c r="L50" s="45" t="inlineStr">
        <is>
          <t>Vilvah Milk Face Kit</t>
        </is>
      </c>
      <c r="M50" s="45" t="inlineStr">
        <is>
          <t>Vilvah Milk Face Kit – Skincare for Dry Skin | Swansura</t>
        </is>
      </c>
      <c r="N50" s="45">
        <f>LEN(M50)</f>
        <v/>
      </c>
      <c r="O50" s="49" t="inlineStr">
        <is>
          <t>Buy Vilvah Milk Face Kit, natural skincare for dry skin from Vilvah. Milk Mud Mask banishes tan lines and renews complexion. Free UK delivery over £50.</t>
        </is>
      </c>
      <c r="P50" s="45">
        <f>LEN(O50)</f>
        <v/>
      </c>
      <c r="Q50" s="49" t="inlineStr">
        <is>
          <t>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is>
      </c>
      <c r="R50" s="49" t="n"/>
      <c r="S50" s="45" t="inlineStr">
        <is>
          <t>Matched</t>
        </is>
      </c>
      <c r="T50" s="49" t="n"/>
    </row>
    <row r="51" ht="23.25" customHeight="1" s="37">
      <c r="A51" s="45" t="inlineStr">
        <is>
          <t>VD-050</t>
        </is>
      </c>
      <c r="B51" s="45" t="inlineStr">
        <is>
          <t>Vilvah</t>
        </is>
      </c>
      <c r="C51" s="45" t="inlineStr">
        <is>
          <t>oil control kit</t>
        </is>
      </c>
      <c r="D51" s="45" t="inlineStr">
        <is>
          <t>Gift Sets &amp; Combos</t>
        </is>
      </c>
      <c r="E51" s="45" t="inlineStr">
        <is>
          <t>Oily Skin</t>
        </is>
      </c>
      <c r="F51" s="48" t="inlineStr">
        <is>
          <t>face wash for oily skin</t>
        </is>
      </c>
      <c r="G51" s="47">
        <f>IFERROR(INDEX('Semrush Data'!$C$2:$C$5000,MATCH(F51,'Semrush Data'!$A$2:$A$5000,0)),"")</f>
        <v/>
      </c>
      <c r="H51" s="45">
        <f>IFERROR(INDEX('Semrush Data'!$D$2:$D$5000,MATCH(F51,'Semrush Data'!$A$2:$A$5000,0)),"")</f>
        <v/>
      </c>
      <c r="I51" s="45" t="inlineStr">
        <is>
          <t>vilvah</t>
        </is>
      </c>
      <c r="J51" s="47">
        <f>IFERROR(INDEX('Semrush Data'!$C$2:$C$5000,MATCH(I51,'Semrush Data'!$A$2:$A$5000,0)),"")</f>
        <v/>
      </c>
      <c r="K51" s="45" t="inlineStr">
        <is>
          <t>/collections/face-wash-for-oily-skin</t>
        </is>
      </c>
      <c r="L51" s="45" t="inlineStr">
        <is>
          <t>Vilvah Oil Control Kit</t>
        </is>
      </c>
      <c r="M51" s="45" t="inlineStr">
        <is>
          <t>Vilvah Oil Control Kit – Face Wash for Oily Skin | Swansura</t>
        </is>
      </c>
      <c r="N51" s="45">
        <f>LEN(M51)</f>
        <v/>
      </c>
      <c r="O51" s="49" t="inlineStr">
        <is>
          <t>Buy Vilvah Oil Control Kit, a natural face wash for oily skin from Vilvah. Official UK partner: 100% authentic, shipped from the UK, free delivery over £50.</t>
        </is>
      </c>
      <c r="P51" s="45">
        <f>LEN(O51)</f>
        <v/>
      </c>
      <c r="Q51" s="49" t="inlineStr">
        <is>
          <t>Vilvah Oil Control Kit is a natural face wash for oily skin from Vilvah. Swansura is an official UK partner of Vilvah, so every order is 100% authentic and ships from the UK.</t>
        </is>
      </c>
      <c r="R51" s="49" t="n"/>
      <c r="S51" s="45" t="inlineStr">
        <is>
          <t>Matched – no usable facts, add 1–2 from pack</t>
        </is>
      </c>
      <c r="T51" s="49" t="inlineStr">
        <is>
          <t>Review: source copy has medical-style claims (kept out of intro)</t>
        </is>
      </c>
    </row>
    <row r="52" ht="34.5" customHeight="1" s="37">
      <c r="A52" s="45" t="inlineStr">
        <is>
          <t>VD-051</t>
        </is>
      </c>
      <c r="B52" s="45" t="inlineStr">
        <is>
          <t>Vilvah</t>
        </is>
      </c>
      <c r="C52" s="45" t="inlineStr">
        <is>
          <t>Vilvah Sensitive Skin Kit</t>
        </is>
      </c>
      <c r="D52" s="45" t="inlineStr">
        <is>
          <t>Gift Sets &amp; Combos</t>
        </is>
      </c>
      <c r="E52" s="45" t="inlineStr">
        <is>
          <t>Sensitive Skin</t>
        </is>
      </c>
      <c r="F52" s="48" t="inlineStr">
        <is>
          <t>skincare gift set</t>
        </is>
      </c>
      <c r="G52" s="47">
        <f>IFERROR(INDEX('Semrush Data'!$C$2:$C$5000,MATCH(F52,'Semrush Data'!$A$2:$A$5000,0)),"")</f>
        <v/>
      </c>
      <c r="H52" s="45">
        <f>IFERROR(INDEX('Semrush Data'!$D$2:$D$5000,MATCH(F52,'Semrush Data'!$A$2:$A$5000,0)),"")</f>
        <v/>
      </c>
      <c r="I52" s="45" t="inlineStr">
        <is>
          <t>vilvah</t>
        </is>
      </c>
      <c r="J52" s="47">
        <f>IFERROR(INDEX('Semrush Data'!$C$2:$C$5000,MATCH(I52,'Semrush Data'!$A$2:$A$5000,0)),"")</f>
        <v/>
      </c>
      <c r="K52" s="45" t="inlineStr">
        <is>
          <t>/collections/gifts-for-her</t>
        </is>
      </c>
      <c r="L52" s="45" t="inlineStr">
        <is>
          <t>Vilvah Sensitive Skin Kit</t>
        </is>
      </c>
      <c r="M52" s="45" t="inlineStr">
        <is>
          <t>Vilvah Sensitive Skin Kit – Skincare Gift Set | Swansura</t>
        </is>
      </c>
      <c r="N52" s="45">
        <f>LEN(M52)</f>
        <v/>
      </c>
      <c r="O52" s="49" t="inlineStr">
        <is>
          <t>Buy Vilvah Sensitive Skin Kit, natural skincare gift set from Vilvah. Steam-distilled Rose Toner calms and balances sensitive skin. Free UK delivery over £50.</t>
        </is>
      </c>
      <c r="P52" s="45">
        <f>LEN(O52)</f>
        <v/>
      </c>
      <c r="Q52" s="49" t="inlineStr">
        <is>
          <t>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is>
      </c>
      <c r="R52" s="49" t="n"/>
      <c r="S52" s="45" t="inlineStr">
        <is>
          <t>Matched</t>
        </is>
      </c>
      <c r="T52" s="49" t="n"/>
    </row>
    <row r="53" ht="45.75" customHeight="1" s="37">
      <c r="A53" s="45" t="inlineStr">
        <is>
          <t>VD-052</t>
        </is>
      </c>
      <c r="B53" s="45" t="inlineStr">
        <is>
          <t>Vilvah</t>
        </is>
      </c>
      <c r="C53" s="45" t="inlineStr">
        <is>
          <t>Vilvah Anti‑Acne Kit</t>
        </is>
      </c>
      <c r="D53" s="45" t="inlineStr">
        <is>
          <t>Gift Sets &amp; Combos</t>
        </is>
      </c>
      <c r="E53" s="45" t="inlineStr">
        <is>
          <t>Acne &amp; Blemishes</t>
        </is>
      </c>
      <c r="F53" s="48" t="inlineStr">
        <is>
          <t>face wash for oily skin</t>
        </is>
      </c>
      <c r="G53" s="47">
        <f>IFERROR(INDEX('Semrush Data'!$C$2:$C$5000,MATCH(F53,'Semrush Data'!$A$2:$A$5000,0)),"")</f>
        <v/>
      </c>
      <c r="H53" s="45">
        <f>IFERROR(INDEX('Semrush Data'!$D$2:$D$5000,MATCH(F53,'Semrush Data'!$A$2:$A$5000,0)),"")</f>
        <v/>
      </c>
      <c r="I53" s="45" t="inlineStr">
        <is>
          <t>vilvah</t>
        </is>
      </c>
      <c r="J53" s="47">
        <f>IFERROR(INDEX('Semrush Data'!$C$2:$C$5000,MATCH(I53,'Semrush Data'!$A$2:$A$5000,0)),"")</f>
        <v/>
      </c>
      <c r="K53" s="45" t="inlineStr">
        <is>
          <t>/collections/face-wash-for-oily-skin</t>
        </is>
      </c>
      <c r="L53" s="45" t="inlineStr">
        <is>
          <t>Vilvah Anti‑Acne Kit</t>
        </is>
      </c>
      <c r="M53" s="45" t="inlineStr">
        <is>
          <t>Vilvah Anti‑Acne Kit – Face Wash for Oily Skin | Swansura</t>
        </is>
      </c>
      <c r="N53" s="45">
        <f>LEN(M53)</f>
        <v/>
      </c>
      <c r="O53" s="49" t="inlineStr">
        <is>
          <t>Buy Vilvah Anti‑Acne Kit, a natural face wash for oily skin from Vilvah. Official UK partner: 100% authentic, shipped from the UK, free delivery over £50.</t>
        </is>
      </c>
      <c r="P53" s="45">
        <f>LEN(O53)</f>
        <v/>
      </c>
      <c r="Q53" s="49" t="inlineStr">
        <is>
          <t>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is>
      </c>
      <c r="R53" s="49" t="n"/>
      <c r="S53" s="45" t="inlineStr">
        <is>
          <t>Matched</t>
        </is>
      </c>
      <c r="T53" s="49" t="inlineStr">
        <is>
          <t>Review: source copy has medical-style claims (kept out of intro)</t>
        </is>
      </c>
    </row>
    <row r="54" ht="23.25" customHeight="1" s="37">
      <c r="A54" s="45" t="inlineStr">
        <is>
          <t>VD-053</t>
        </is>
      </c>
      <c r="B54" s="45" t="inlineStr">
        <is>
          <t>Vilvah</t>
        </is>
      </c>
      <c r="C54" s="45" t="inlineStr">
        <is>
          <t>Vilvah Anti‑Dandruff Haircare Kit</t>
        </is>
      </c>
      <c r="D54" s="45" t="inlineStr">
        <is>
          <t>Gift Sets &amp; Combos</t>
        </is>
      </c>
      <c r="E54" s="45" t="inlineStr">
        <is>
          <t>Anti-Dandruff</t>
        </is>
      </c>
      <c r="F54" s="48" t="inlineStr">
        <is>
          <t>shampoo for dandruff</t>
        </is>
      </c>
      <c r="G54" s="47">
        <f>IFERROR(INDEX('Semrush Data'!$C$2:$C$5000,MATCH(F54,'Semrush Data'!$A$2:$A$5000,0)),"")</f>
        <v/>
      </c>
      <c r="H54" s="45">
        <f>IFERROR(INDEX('Semrush Data'!$D$2:$D$5000,MATCH(F54,'Semrush Data'!$A$2:$A$5000,0)),"")</f>
        <v/>
      </c>
      <c r="I54" s="45" t="inlineStr">
        <is>
          <t>vilvah</t>
        </is>
      </c>
      <c r="J54" s="47">
        <f>IFERROR(INDEX('Semrush Data'!$C$2:$C$5000,MATCH(I54,'Semrush Data'!$A$2:$A$5000,0)),"")</f>
        <v/>
      </c>
      <c r="K54" s="45" t="inlineStr">
        <is>
          <t>/collections/shampoo-for-dandruff</t>
        </is>
      </c>
      <c r="L54" s="45" t="inlineStr">
        <is>
          <t>Vilvah Anti‑Dandruff Haircare Kit</t>
        </is>
      </c>
      <c r="M54" s="45" t="inlineStr">
        <is>
          <t>Vilvah Anti‑Dandruff Haircare Kit | Shampoo for Dandruff</t>
        </is>
      </c>
      <c r="N54" s="45">
        <f>LEN(M54)</f>
        <v/>
      </c>
      <c r="O54" s="49" t="inlineStr">
        <is>
          <t>Vilvah Anti‑Dandruff Haircare Kit: a natural shampoo for dandruff from Vilvah. Official UK partner: 100% authentic, shipped from the UK, free delivery over £50.</t>
        </is>
      </c>
      <c r="P54" s="45">
        <f>LEN(O54)</f>
        <v/>
      </c>
      <c r="Q54" s="49" t="inlineStr">
        <is>
          <t>Vilvah Anti‑Dandruff Haircare Kit is a natural shampoo for dandruff from Vilvah. Swansura is an official UK partner of Vilvah, so every order is 100% authentic and ships from the UK.</t>
        </is>
      </c>
      <c r="R54" s="49" t="n"/>
      <c r="S54" s="45" t="inlineStr">
        <is>
          <t>Matched – no usable facts, add 1–2 from pack</t>
        </is>
      </c>
      <c r="T54" s="49" t="inlineStr">
        <is>
          <t>Review: source copy has medical-style claims (kept out of intro)</t>
        </is>
      </c>
    </row>
    <row r="55" ht="34.5" customHeight="1" s="37">
      <c r="A55" s="45" t="inlineStr">
        <is>
          <t>VD-054</t>
        </is>
      </c>
      <c r="B55" s="45" t="inlineStr">
        <is>
          <t>Vilvah</t>
        </is>
      </c>
      <c r="C55" s="45" t="inlineStr">
        <is>
          <t>Vilvah Sun Protection Kit</t>
        </is>
      </c>
      <c r="D55" s="45" t="inlineStr">
        <is>
          <t>Gift Sets &amp; Combos</t>
        </is>
      </c>
      <c r="E55" s="45" t="inlineStr">
        <is>
          <t>Sun Protection</t>
        </is>
      </c>
      <c r="F55" s="48" t="inlineStr">
        <is>
          <t>natural sunscreen</t>
        </is>
      </c>
      <c r="G55" s="47">
        <f>IFERROR(INDEX('Semrush Data'!$C$2:$C$5000,MATCH(F55,'Semrush Data'!$A$2:$A$5000,0)),"")</f>
        <v/>
      </c>
      <c r="H55" s="45">
        <f>IFERROR(INDEX('Semrush Data'!$D$2:$D$5000,MATCH(F55,'Semrush Data'!$A$2:$A$5000,0)),"")</f>
        <v/>
      </c>
      <c r="I55" s="45" t="inlineStr">
        <is>
          <t>vilvah</t>
        </is>
      </c>
      <c r="J55" s="47">
        <f>IFERROR(INDEX('Semrush Data'!$C$2:$C$5000,MATCH(I55,'Semrush Data'!$A$2:$A$5000,0)),"")</f>
        <v/>
      </c>
      <c r="K55" s="45" t="inlineStr">
        <is>
          <t>/collections/natural-sunscreen</t>
        </is>
      </c>
      <c r="L55" s="45" t="inlineStr">
        <is>
          <t>Vilvah Sun Protection Kit</t>
        </is>
      </c>
      <c r="M55" s="45" t="inlineStr">
        <is>
          <t>Vilvah Sun Protection Kit – Natural Sunscreen | Swansura</t>
        </is>
      </c>
      <c r="N55" s="45">
        <f>LEN(M55)</f>
        <v/>
      </c>
      <c r="O55" s="49" t="inlineStr">
        <is>
          <t>Buy Vilvah Sun Protection Kit, a natural sunscreen from Vilvah. SPF 50 Face Sunscreen provides broad-spectrum UVA &amp; UVB protection. Free UK delivery over £50.</t>
        </is>
      </c>
      <c r="P55" s="45">
        <f>LEN(O55)</f>
        <v/>
      </c>
      <c r="Q55" s="49" t="inlineStr">
        <is>
          <t>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is>
      </c>
      <c r="R55" s="49" t="n"/>
      <c r="S55" s="45" t="inlineStr">
        <is>
          <t>Matched</t>
        </is>
      </c>
      <c r="T55" s="49" t="n"/>
    </row>
    <row r="56" ht="45.75" customHeight="1" s="37">
      <c r="A56" s="45" t="inlineStr">
        <is>
          <t>VD-055</t>
        </is>
      </c>
      <c r="B56" s="45" t="inlineStr">
        <is>
          <t>Vilvah</t>
        </is>
      </c>
      <c r="C56" s="45" t="inlineStr">
        <is>
          <t>Vilvah Skin Brightening Kit</t>
        </is>
      </c>
      <c r="D56" s="45" t="inlineStr">
        <is>
          <t>Gift Sets &amp; Combos</t>
        </is>
      </c>
      <c r="E56" s="45" t="inlineStr">
        <is>
          <t>Dull Skin</t>
        </is>
      </c>
      <c r="F56" s="48" t="inlineStr">
        <is>
          <t>skincare for dull skin</t>
        </is>
      </c>
      <c r="G56" s="47">
        <f>IFERROR(INDEX('Semrush Data'!$C$2:$C$5000,MATCH(F56,'Semrush Data'!$A$2:$A$5000,0)),"")</f>
        <v/>
      </c>
      <c r="H56" s="45">
        <f>IFERROR(INDEX('Semrush Data'!$D$2:$D$5000,MATCH(F56,'Semrush Data'!$A$2:$A$5000,0)),"")</f>
        <v/>
      </c>
      <c r="I56" s="45" t="inlineStr">
        <is>
          <t>vilvah</t>
        </is>
      </c>
      <c r="J56" s="47">
        <f>IFERROR(INDEX('Semrush Data'!$C$2:$C$5000,MATCH(I56,'Semrush Data'!$A$2:$A$5000,0)),"")</f>
        <v/>
      </c>
      <c r="K56" s="45" t="inlineStr">
        <is>
          <t>/collections/dull-skin</t>
        </is>
      </c>
      <c r="L56" s="45" t="inlineStr">
        <is>
          <t>Vilvah Skin Brightening Kit</t>
        </is>
      </c>
      <c r="M56" s="45" t="inlineStr">
        <is>
          <t>Vilvah Skin Brightening Kit | Skincare for Dull Skin</t>
        </is>
      </c>
      <c r="N56" s="45">
        <f>LEN(M56)</f>
        <v/>
      </c>
      <c r="O56" s="49" t="inlineStr">
        <is>
          <t>Buy Vilvah Skin Brightening Kit, natural skincare for dull skin from Vilvah. Official UK partner: 100% authentic, shipped from the UK, free delivery over £50.</t>
        </is>
      </c>
      <c r="P56" s="45">
        <f>LEN(O56)</f>
        <v/>
      </c>
      <c r="Q56" s="49" t="inlineStr">
        <is>
          <t>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is>
      </c>
      <c r="R56" s="49" t="n"/>
      <c r="S56" s="45" t="inlineStr">
        <is>
          <t>Matched</t>
        </is>
      </c>
      <c r="T56" s="49" t="inlineStr">
        <is>
          <t>Review: source copy has medical-style claims (kept out of intro)</t>
        </is>
      </c>
    </row>
    <row r="57" ht="45.75" customHeight="1" s="37">
      <c r="A57" s="45" t="inlineStr">
        <is>
          <t>VD-056</t>
        </is>
      </c>
      <c r="B57" s="45" t="inlineStr">
        <is>
          <t>Vilvah</t>
        </is>
      </c>
      <c r="C57" s="45" t="inlineStr">
        <is>
          <t>Vilvah Night Repair Kit</t>
        </is>
      </c>
      <c r="D57" s="45" t="inlineStr">
        <is>
          <t>Gift Sets &amp; Combos</t>
        </is>
      </c>
      <c r="E57" s="45" t="inlineStr">
        <is>
          <t>Damaged Skin Barrier</t>
        </is>
      </c>
      <c r="F57" s="48" t="inlineStr">
        <is>
          <t>skincare gift set</t>
        </is>
      </c>
      <c r="G57" s="47">
        <f>IFERROR(INDEX('Semrush Data'!$C$2:$C$5000,MATCH(F57,'Semrush Data'!$A$2:$A$5000,0)),"")</f>
        <v/>
      </c>
      <c r="H57" s="45">
        <f>IFERROR(INDEX('Semrush Data'!$D$2:$D$5000,MATCH(F57,'Semrush Data'!$A$2:$A$5000,0)),"")</f>
        <v/>
      </c>
      <c r="I57" s="45" t="inlineStr">
        <is>
          <t>vilvah</t>
        </is>
      </c>
      <c r="J57" s="47">
        <f>IFERROR(INDEX('Semrush Data'!$C$2:$C$5000,MATCH(I57,'Semrush Data'!$A$2:$A$5000,0)),"")</f>
        <v/>
      </c>
      <c r="K57" s="45" t="inlineStr">
        <is>
          <t>/collections/gifts-for-her</t>
        </is>
      </c>
      <c r="L57" s="45" t="inlineStr">
        <is>
          <t>Vilvah Night Repair Kit</t>
        </is>
      </c>
      <c r="M57" s="45" t="inlineStr">
        <is>
          <t>Vilvah Night Repair Kit – Skincare Gift Set | Swansura</t>
        </is>
      </c>
      <c r="N57" s="45">
        <f>LEN(M57)</f>
        <v/>
      </c>
      <c r="O57" s="49" t="inlineStr">
        <is>
          <t>Buy Vilvah Night Repair Kit, natural skincare gift set from Vilvah. Official UK partner: 100% authentic, shipped from the UK, free delivery over £50.</t>
        </is>
      </c>
      <c r="P57" s="45">
        <f>LEN(O57)</f>
        <v/>
      </c>
      <c r="Q57" s="49" t="inlineStr">
        <is>
          <t>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is>
      </c>
      <c r="R57" s="49" t="n"/>
      <c r="S57" s="45" t="inlineStr">
        <is>
          <t>Matched</t>
        </is>
      </c>
      <c r="T57" s="49" t="inlineStr">
        <is>
          <t>Review: source copy has medical-style claims (kept out of intro)</t>
        </is>
      </c>
    </row>
    <row r="58" ht="34.5" customHeight="1" s="37">
      <c r="A58" s="45" t="inlineStr">
        <is>
          <t>VD-057</t>
        </is>
      </c>
      <c r="B58" s="45" t="inlineStr">
        <is>
          <t>Vilvah</t>
        </is>
      </c>
      <c r="C58" s="45" t="inlineStr">
        <is>
          <t>Vilvah AM PM Serum Kit</t>
        </is>
      </c>
      <c r="D58" s="45" t="inlineStr">
        <is>
          <t>Gift Sets &amp; Combos</t>
        </is>
      </c>
      <c r="E58" s="45" t="inlineStr">
        <is>
          <t>Dull Skin</t>
        </is>
      </c>
      <c r="F58" s="48" t="inlineStr">
        <is>
          <t>skincare for dull skin</t>
        </is>
      </c>
      <c r="G58" s="47">
        <f>IFERROR(INDEX('Semrush Data'!$C$2:$C$5000,MATCH(F58,'Semrush Data'!$A$2:$A$5000,0)),"")</f>
        <v/>
      </c>
      <c r="H58" s="45">
        <f>IFERROR(INDEX('Semrush Data'!$D$2:$D$5000,MATCH(F58,'Semrush Data'!$A$2:$A$5000,0)),"")</f>
        <v/>
      </c>
      <c r="I58" s="45" t="inlineStr">
        <is>
          <t>vilvah</t>
        </is>
      </c>
      <c r="J58" s="47">
        <f>IFERROR(INDEX('Semrush Data'!$C$2:$C$5000,MATCH(I58,'Semrush Data'!$A$2:$A$5000,0)),"")</f>
        <v/>
      </c>
      <c r="K58" s="45" t="inlineStr">
        <is>
          <t>/collections/dull-skin</t>
        </is>
      </c>
      <c r="L58" s="45" t="inlineStr">
        <is>
          <t>Vilvah AM PM Serum Kit</t>
        </is>
      </c>
      <c r="M58" s="45" t="inlineStr">
        <is>
          <t>Vilvah AM PM Serum Kit – Skincare for Dull Skin | Swansura</t>
        </is>
      </c>
      <c r="N58" s="45">
        <f>LEN(M58)</f>
        <v/>
      </c>
      <c r="O58" s="49" t="inlineStr">
        <is>
          <t>Buy Vilvah AM PM Serum Kit, natural skincare for dull skin from Vilvah. Official UK partner: 100% authentic, shipped from the UK, free delivery over £50.</t>
        </is>
      </c>
      <c r="P58" s="45">
        <f>LEN(O58)</f>
        <v/>
      </c>
      <c r="Q58" s="49" t="inlineStr">
        <is>
          <t>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is>
      </c>
      <c r="R58" s="49" t="n"/>
      <c r="S58" s="45" t="inlineStr">
        <is>
          <t>Matched</t>
        </is>
      </c>
      <c r="T58" s="49" t="inlineStr">
        <is>
          <t>Review: source copy has medical-style claims (kept out of intro)</t>
        </is>
      </c>
    </row>
    <row r="59" ht="34.5" customHeight="1" s="37">
      <c r="A59" s="45" t="inlineStr">
        <is>
          <t>VD-058</t>
        </is>
      </c>
      <c r="B59" s="45" t="inlineStr">
        <is>
          <t>Vilvah</t>
        </is>
      </c>
      <c r="C59" s="45" t="inlineStr">
        <is>
          <t>Vilvah Better Ageing Kit</t>
        </is>
      </c>
      <c r="D59" s="45" t="inlineStr">
        <is>
          <t>Gift Sets &amp; Combos</t>
        </is>
      </c>
      <c r="E59" s="45" t="inlineStr">
        <is>
          <t>Anti-Ageing</t>
        </is>
      </c>
      <c r="F59" s="48" t="inlineStr">
        <is>
          <t>skincare gift set</t>
        </is>
      </c>
      <c r="G59" s="47">
        <f>IFERROR(INDEX('Semrush Data'!$C$2:$C$5000,MATCH(F59,'Semrush Data'!$A$2:$A$5000,0)),"")</f>
        <v/>
      </c>
      <c r="H59" s="45">
        <f>IFERROR(INDEX('Semrush Data'!$D$2:$D$5000,MATCH(F59,'Semrush Data'!$A$2:$A$5000,0)),"")</f>
        <v/>
      </c>
      <c r="I59" s="45" t="inlineStr">
        <is>
          <t>vilvah</t>
        </is>
      </c>
      <c r="J59" s="47">
        <f>IFERROR(INDEX('Semrush Data'!$C$2:$C$5000,MATCH(I59,'Semrush Data'!$A$2:$A$5000,0)),"")</f>
        <v/>
      </c>
      <c r="K59" s="45" t="inlineStr">
        <is>
          <t>/collections/gifts-for-her</t>
        </is>
      </c>
      <c r="L59" s="45" t="inlineStr">
        <is>
          <t>Vilvah Better Ageing Kit</t>
        </is>
      </c>
      <c r="M59" s="45" t="inlineStr">
        <is>
          <t>Vilvah Better Ageing Kit – Skincare Gift Set | Swansura</t>
        </is>
      </c>
      <c r="N59" s="45">
        <f>LEN(M59)</f>
        <v/>
      </c>
      <c r="O59" s="49" t="inlineStr">
        <is>
          <t>Buy Vilvah Better Ageing Kit, natural skincare gift set from Vilvah. Official UK partner: 100% authentic, shipped from the UK, free delivery over £50.</t>
        </is>
      </c>
      <c r="P59" s="45">
        <f>LEN(O59)</f>
        <v/>
      </c>
      <c r="Q59" s="49" t="inlineStr">
        <is>
          <t>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is>
      </c>
      <c r="R59" s="49" t="n"/>
      <c r="S59" s="45" t="inlineStr">
        <is>
          <t>Matched</t>
        </is>
      </c>
      <c r="T59" s="49" t="n"/>
    </row>
    <row r="60" ht="34.5" customHeight="1" s="37">
      <c r="A60" s="45" t="inlineStr">
        <is>
          <t>VD-059</t>
        </is>
      </c>
      <c r="B60" s="45" t="inlineStr">
        <is>
          <t>Vilvah</t>
        </is>
      </c>
      <c r="C60" s="45" t="inlineStr">
        <is>
          <t>Vilvah AM Brightening kit</t>
        </is>
      </c>
      <c r="D60" s="45" t="inlineStr">
        <is>
          <t>Gift Sets &amp; Combos</t>
        </is>
      </c>
      <c r="E60" s="45" t="inlineStr">
        <is>
          <t>Dull Skin</t>
        </is>
      </c>
      <c r="F60" s="48" t="inlineStr">
        <is>
          <t>skincare for dull skin</t>
        </is>
      </c>
      <c r="G60" s="47">
        <f>IFERROR(INDEX('Semrush Data'!$C$2:$C$5000,MATCH(F60,'Semrush Data'!$A$2:$A$5000,0)),"")</f>
        <v/>
      </c>
      <c r="H60" s="45">
        <f>IFERROR(INDEX('Semrush Data'!$D$2:$D$5000,MATCH(F60,'Semrush Data'!$A$2:$A$5000,0)),"")</f>
        <v/>
      </c>
      <c r="I60" s="45" t="inlineStr">
        <is>
          <t>vilvah</t>
        </is>
      </c>
      <c r="J60" s="47">
        <f>IFERROR(INDEX('Semrush Data'!$C$2:$C$5000,MATCH(I60,'Semrush Data'!$A$2:$A$5000,0)),"")</f>
        <v/>
      </c>
      <c r="K60" s="45" t="inlineStr">
        <is>
          <t>/collections/dull-skin</t>
        </is>
      </c>
      <c r="L60" s="45" t="inlineStr">
        <is>
          <t>Vilvah AM Brightening Kit</t>
        </is>
      </c>
      <c r="M60" s="45" t="inlineStr">
        <is>
          <t>Vilvah AM Brightening Kit | Skincare for Dull Skin</t>
        </is>
      </c>
      <c r="N60" s="45">
        <f>LEN(M60)</f>
        <v/>
      </c>
      <c r="O60" s="49" t="inlineStr">
        <is>
          <t>Buy Vilvah AM Brightening Kit, natural skincare for dull skin from Vilvah. Official UK partner: 100% authentic, shipped from the UK, free delivery over £50.</t>
        </is>
      </c>
      <c r="P60" s="45">
        <f>LEN(O60)</f>
        <v/>
      </c>
      <c r="Q60" s="49" t="inlineStr">
        <is>
          <t>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is>
      </c>
      <c r="R60" s="49" t="n"/>
      <c r="S60" s="45" t="inlineStr">
        <is>
          <t>Matched</t>
        </is>
      </c>
      <c r="T60" s="49" t="inlineStr">
        <is>
          <t>Review: source copy has medical-style claims (kept out of intro)</t>
        </is>
      </c>
    </row>
    <row r="61" ht="23.25" customHeight="1" s="37">
      <c r="A61" s="45" t="inlineStr">
        <is>
          <t>VD-060</t>
        </is>
      </c>
      <c r="B61" s="45" t="inlineStr">
        <is>
          <t>Vilvah</t>
        </is>
      </c>
      <c r="C61" s="45" t="inlineStr">
        <is>
          <t>Vilvah Tan Protection kit</t>
        </is>
      </c>
      <c r="D61" s="45" t="inlineStr">
        <is>
          <t>Gift Sets &amp; Combos</t>
        </is>
      </c>
      <c r="E61" s="45" t="inlineStr">
        <is>
          <t>Sun Protection</t>
        </is>
      </c>
      <c r="F61" s="48" t="inlineStr">
        <is>
          <t>natural sunscreen</t>
        </is>
      </c>
      <c r="G61" s="47">
        <f>IFERROR(INDEX('Semrush Data'!$C$2:$C$5000,MATCH(F61,'Semrush Data'!$A$2:$A$5000,0)),"")</f>
        <v/>
      </c>
      <c r="H61" s="45">
        <f>IFERROR(INDEX('Semrush Data'!$D$2:$D$5000,MATCH(F61,'Semrush Data'!$A$2:$A$5000,0)),"")</f>
        <v/>
      </c>
      <c r="I61" s="45" t="inlineStr">
        <is>
          <t>vilvah</t>
        </is>
      </c>
      <c r="J61" s="47">
        <f>IFERROR(INDEX('Semrush Data'!$C$2:$C$5000,MATCH(I61,'Semrush Data'!$A$2:$A$5000,0)),"")</f>
        <v/>
      </c>
      <c r="K61" s="45" t="inlineStr">
        <is>
          <t>/collections/natural-sunscreen</t>
        </is>
      </c>
      <c r="L61" s="45" t="inlineStr">
        <is>
          <t>Vilvah Tan Protection Kit</t>
        </is>
      </c>
      <c r="M61" s="45" t="inlineStr">
        <is>
          <t>Vilvah Tan Protection Kit – Natural Sunscreen | Swansura</t>
        </is>
      </c>
      <c r="N61" s="45">
        <f>LEN(M61)</f>
        <v/>
      </c>
      <c r="O61" s="49" t="inlineStr">
        <is>
          <t>Buy Vilvah Tan Protection Kit, a natural sunscreen from Vilvah. Official UK partner: 100% authentic, shipped from the UK, free delivery over £50.</t>
        </is>
      </c>
      <c r="P61" s="45">
        <f>LEN(O61)</f>
        <v/>
      </c>
      <c r="Q61" s="49" t="inlineStr">
        <is>
          <t>Vilvah Tan Protection Kit is a natural sunscreen from Vilvah. Swansura is an official UK partner of Vilvah, so every order is 100% authentic and ships from the UK.</t>
        </is>
      </c>
      <c r="R61" s="49" t="n"/>
      <c r="S61" s="45" t="inlineStr">
        <is>
          <t>Matched – no usable facts, add 1–2 from pack</t>
        </is>
      </c>
      <c r="T61" s="49" t="inlineStr">
        <is>
          <t>Review: source copy has medical-style claims (kept out of intro)</t>
        </is>
      </c>
    </row>
    <row r="62" ht="23.25" customHeight="1" s="37">
      <c r="A62" s="45" t="inlineStr">
        <is>
          <t>VD-061</t>
        </is>
      </c>
      <c r="B62" s="45" t="inlineStr">
        <is>
          <t>Vilvah</t>
        </is>
      </c>
      <c r="C62" s="45" t="inlineStr">
        <is>
          <t>Vilvah skin radiance kit</t>
        </is>
      </c>
      <c r="D62" s="45" t="inlineStr">
        <is>
          <t>Gift Sets &amp; Combos</t>
        </is>
      </c>
      <c r="E62" s="45" t="inlineStr">
        <is>
          <t>Dull Skin</t>
        </is>
      </c>
      <c r="F62" s="48" t="inlineStr">
        <is>
          <t>skincare for dull skin</t>
        </is>
      </c>
      <c r="G62" s="47">
        <f>IFERROR(INDEX('Semrush Data'!$C$2:$C$5000,MATCH(F62,'Semrush Data'!$A$2:$A$5000,0)),"")</f>
        <v/>
      </c>
      <c r="H62" s="45">
        <f>IFERROR(INDEX('Semrush Data'!$D$2:$D$5000,MATCH(F62,'Semrush Data'!$A$2:$A$5000,0)),"")</f>
        <v/>
      </c>
      <c r="I62" s="45" t="inlineStr">
        <is>
          <t>vilvah</t>
        </is>
      </c>
      <c r="J62" s="47">
        <f>IFERROR(INDEX('Semrush Data'!$C$2:$C$5000,MATCH(I62,'Semrush Data'!$A$2:$A$5000,0)),"")</f>
        <v/>
      </c>
      <c r="K62" s="45" t="inlineStr">
        <is>
          <t>/collections/dull-skin</t>
        </is>
      </c>
      <c r="L62" s="45" t="inlineStr">
        <is>
          <t>Vilvah Skin Radiance Kit</t>
        </is>
      </c>
      <c r="M62" s="45" t="inlineStr">
        <is>
          <t>Vilvah Skin Radiance Kit – Skincare for Dull Skin | Swansura</t>
        </is>
      </c>
      <c r="N62" s="45">
        <f>LEN(M62)</f>
        <v/>
      </c>
      <c r="O62" s="49" t="inlineStr">
        <is>
          <t>Buy Vilvah Skin Radiance Kit, natural skincare for dull skin from Vilvah. Official UK partner: 100% authentic, shipped from the UK, free delivery over £50.</t>
        </is>
      </c>
      <c r="P62" s="45">
        <f>LEN(O62)</f>
        <v/>
      </c>
      <c r="Q62" s="49" t="inlineStr">
        <is>
          <t>Vilvah Skin Radiance Kit is natural skincare for dull skin from Vilvah. Swansura is an official UK partner of Vilvah, so every order is 100% authentic and ships from the UK.</t>
        </is>
      </c>
      <c r="R62" s="49" t="n"/>
      <c r="S62" s="45" t="inlineStr">
        <is>
          <t>Matched – no usable facts, add 1–2 from pack</t>
        </is>
      </c>
      <c r="T62" s="49" t="inlineStr">
        <is>
          <t>Review: source copy has medical-style claims (kept out of intro)</t>
        </is>
      </c>
    </row>
    <row r="63" ht="23.25" customHeight="1" s="37">
      <c r="A63" s="45" t="inlineStr">
        <is>
          <t>VD-062</t>
        </is>
      </c>
      <c r="B63" s="45" t="inlineStr">
        <is>
          <t>Vilvah</t>
        </is>
      </c>
      <c r="C63" s="45" t="inlineStr">
        <is>
          <t>Vilvah Pore Minimising Kit</t>
        </is>
      </c>
      <c r="D63" s="45" t="inlineStr">
        <is>
          <t>Gift Sets &amp; Combos</t>
        </is>
      </c>
      <c r="E63" s="45" t="inlineStr">
        <is>
          <t>Blackheads &amp; Pores</t>
        </is>
      </c>
      <c r="F63" s="48" t="inlineStr">
        <is>
          <t>skincare gift set</t>
        </is>
      </c>
      <c r="G63" s="47">
        <f>IFERROR(INDEX('Semrush Data'!$C$2:$C$5000,MATCH(F63,'Semrush Data'!$A$2:$A$5000,0)),"")</f>
        <v/>
      </c>
      <c r="H63" s="45">
        <f>IFERROR(INDEX('Semrush Data'!$D$2:$D$5000,MATCH(F63,'Semrush Data'!$A$2:$A$5000,0)),"")</f>
        <v/>
      </c>
      <c r="I63" s="45" t="inlineStr">
        <is>
          <t>vilvah</t>
        </is>
      </c>
      <c r="J63" s="47">
        <f>IFERROR(INDEX('Semrush Data'!$C$2:$C$5000,MATCH(I63,'Semrush Data'!$A$2:$A$5000,0)),"")</f>
        <v/>
      </c>
      <c r="K63" s="45" t="inlineStr">
        <is>
          <t>/collections/gifts-for-her</t>
        </is>
      </c>
      <c r="L63" s="45" t="inlineStr">
        <is>
          <t>Vilvah Pore Minimising Kit</t>
        </is>
      </c>
      <c r="M63" s="45" t="inlineStr">
        <is>
          <t>Vilvah Pore Minimising Kit – Skincare Gift Set | Swansura</t>
        </is>
      </c>
      <c r="N63" s="45">
        <f>LEN(M63)</f>
        <v/>
      </c>
      <c r="O63" s="49" t="inlineStr">
        <is>
          <t>Buy Vilvah Pore Minimising Kit, natural skincare gift set from Vilvah. Official UK partner: 100% authentic, shipped from the UK, free delivery over £50.</t>
        </is>
      </c>
      <c r="P63" s="45">
        <f>LEN(O63)</f>
        <v/>
      </c>
      <c r="Q63" s="49" t="inlineStr">
        <is>
          <t>Vilvah Pore Minimising Kit is natural skincare gift set from Vilvah. Swansura is an official UK partner of Vilvah, so every order is 100% authentic and ships from the UK.</t>
        </is>
      </c>
      <c r="R63" s="49" t="n"/>
      <c r="S63" s="45" t="inlineStr">
        <is>
          <t>Matched – no usable facts, add 1–2 from pack</t>
        </is>
      </c>
      <c r="T63" s="49" t="inlineStr">
        <is>
          <t>Review: source copy has medical-style claims (kept out of intro)</t>
        </is>
      </c>
    </row>
    <row r="64" ht="45.75" customHeight="1" s="37">
      <c r="A64" s="45" t="inlineStr">
        <is>
          <t>VD-063</t>
        </is>
      </c>
      <c r="B64" s="45" t="inlineStr">
        <is>
          <t>Vilvah</t>
        </is>
      </c>
      <c r="C64" s="45" t="inlineStr">
        <is>
          <t>Vilvah Face Brightening Kit Large</t>
        </is>
      </c>
      <c r="D64" s="45" t="inlineStr">
        <is>
          <t>Gift Sets &amp; Combos</t>
        </is>
      </c>
      <c r="E64" s="45" t="inlineStr">
        <is>
          <t>Dull Skin</t>
        </is>
      </c>
      <c r="F64" s="48" t="inlineStr">
        <is>
          <t>skincare for dull skin</t>
        </is>
      </c>
      <c r="G64" s="47">
        <f>IFERROR(INDEX('Semrush Data'!$C$2:$C$5000,MATCH(F64,'Semrush Data'!$A$2:$A$5000,0)),"")</f>
        <v/>
      </c>
      <c r="H64" s="45">
        <f>IFERROR(INDEX('Semrush Data'!$D$2:$D$5000,MATCH(F64,'Semrush Data'!$A$2:$A$5000,0)),"")</f>
        <v/>
      </c>
      <c r="I64" s="45" t="inlineStr">
        <is>
          <t>vilvah</t>
        </is>
      </c>
      <c r="J64" s="47">
        <f>IFERROR(INDEX('Semrush Data'!$C$2:$C$5000,MATCH(I64,'Semrush Data'!$A$2:$A$5000,0)),"")</f>
        <v/>
      </c>
      <c r="K64" s="45" t="inlineStr">
        <is>
          <t>/collections/dull-skin</t>
        </is>
      </c>
      <c r="L64" s="45" t="inlineStr">
        <is>
          <t>Vilvah Face Brightening Kit Large</t>
        </is>
      </c>
      <c r="M64" s="45" t="inlineStr">
        <is>
          <t>Vilvah Face Brightening Kit Large | Skincare for Dull Skin</t>
        </is>
      </c>
      <c r="N64" s="45">
        <f>LEN(M64)</f>
        <v/>
      </c>
      <c r="O64" s="49" t="inlineStr">
        <is>
          <t>Vilvah Face Brightening Kit Large: natural skincare for dull skin from Vilvah. Official UK partner: 100% authentic, shipped from the UK, free delivery over £50.</t>
        </is>
      </c>
      <c r="P64" s="45">
        <f>LEN(O64)</f>
        <v/>
      </c>
      <c r="Q64" s="49" t="inlineStr">
        <is>
          <t>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is>
      </c>
      <c r="R64" s="49" t="n"/>
      <c r="S64" s="45" t="inlineStr">
        <is>
          <t>Matched</t>
        </is>
      </c>
      <c r="T64" s="49" t="inlineStr">
        <is>
          <t>Review: source copy has medical-style claims (kept out of intro)</t>
        </is>
      </c>
    </row>
    <row r="65" ht="45.75" customHeight="1" s="37">
      <c r="A65" s="45" t="inlineStr">
        <is>
          <t>VD-064</t>
        </is>
      </c>
      <c r="B65" s="45" t="inlineStr">
        <is>
          <t>Vilvah</t>
        </is>
      </c>
      <c r="C65" s="45" t="inlineStr">
        <is>
          <t>Vilvah Face Brightening Kit</t>
        </is>
      </c>
      <c r="D65" s="45" t="inlineStr">
        <is>
          <t>Gift Sets &amp; Combos</t>
        </is>
      </c>
      <c r="E65" s="45" t="inlineStr">
        <is>
          <t>Dull Skin</t>
        </is>
      </c>
      <c r="F65" s="48" t="inlineStr">
        <is>
          <t>skincare for dull skin</t>
        </is>
      </c>
      <c r="G65" s="47">
        <f>IFERROR(INDEX('Semrush Data'!$C$2:$C$5000,MATCH(F65,'Semrush Data'!$A$2:$A$5000,0)),"")</f>
        <v/>
      </c>
      <c r="H65" s="45">
        <f>IFERROR(INDEX('Semrush Data'!$D$2:$D$5000,MATCH(F65,'Semrush Data'!$A$2:$A$5000,0)),"")</f>
        <v/>
      </c>
      <c r="I65" s="45" t="inlineStr">
        <is>
          <t>vilvah</t>
        </is>
      </c>
      <c r="J65" s="47">
        <f>IFERROR(INDEX('Semrush Data'!$C$2:$C$5000,MATCH(I65,'Semrush Data'!$A$2:$A$5000,0)),"")</f>
        <v/>
      </c>
      <c r="K65" s="45" t="inlineStr">
        <is>
          <t>/collections/dull-skin</t>
        </is>
      </c>
      <c r="L65" s="45" t="inlineStr">
        <is>
          <t>Vilvah Face Brightening Kit</t>
        </is>
      </c>
      <c r="M65" s="45" t="inlineStr">
        <is>
          <t>Vilvah Face Brightening Kit | Skincare for Dull Skin</t>
        </is>
      </c>
      <c r="N65" s="45">
        <f>LEN(M65)</f>
        <v/>
      </c>
      <c r="O65" s="49" t="inlineStr">
        <is>
          <t>Buy Vilvah Face Brightening Kit, natural skincare for dull skin from Vilvah. Official UK partner: 100% authentic, shipped from the UK, free delivery over £50.</t>
        </is>
      </c>
      <c r="P65" s="45">
        <f>LEN(O65)</f>
        <v/>
      </c>
      <c r="Q65" s="49" t="inlineStr">
        <is>
          <t>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is>
      </c>
      <c r="R65" s="49" t="n"/>
      <c r="S65" s="45" t="inlineStr">
        <is>
          <t>Matched</t>
        </is>
      </c>
      <c r="T65" s="49" t="inlineStr">
        <is>
          <t>Review: source copy has medical-style claims (kept out of intro)</t>
        </is>
      </c>
    </row>
    <row r="66" ht="23.25" customHeight="1" s="37">
      <c r="A66" s="45" t="inlineStr">
        <is>
          <t>VD-065</t>
        </is>
      </c>
      <c r="B66" s="45" t="inlineStr">
        <is>
          <t>Vilvah</t>
        </is>
      </c>
      <c r="C66" s="45" t="inlineStr">
        <is>
          <t>Vilvah Budget Skincare combo</t>
        </is>
      </c>
      <c r="D66" s="45" t="inlineStr">
        <is>
          <t>Gift Sets &amp; Combos</t>
        </is>
      </c>
      <c r="E66" s="45" t="inlineStr">
        <is>
          <t>Dry Skin</t>
        </is>
      </c>
      <c r="F66" s="48" t="inlineStr">
        <is>
          <t>skincare for dry skin</t>
        </is>
      </c>
      <c r="G66" s="47">
        <f>IFERROR(INDEX('Semrush Data'!$C$2:$C$5000,MATCH(F66,'Semrush Data'!$A$2:$A$5000,0)),"")</f>
        <v/>
      </c>
      <c r="H66" s="45">
        <f>IFERROR(INDEX('Semrush Data'!$D$2:$D$5000,MATCH(F66,'Semrush Data'!$A$2:$A$5000,0)),"")</f>
        <v/>
      </c>
      <c r="I66" s="45" t="inlineStr">
        <is>
          <t>vilvah</t>
        </is>
      </c>
      <c r="J66" s="47">
        <f>IFERROR(INDEX('Semrush Data'!$C$2:$C$5000,MATCH(I66,'Semrush Data'!$A$2:$A$5000,0)),"")</f>
        <v/>
      </c>
      <c r="K66" s="45" t="inlineStr">
        <is>
          <t>/collections/dry-skin</t>
        </is>
      </c>
      <c r="L66" s="45" t="inlineStr">
        <is>
          <t>Vilvah Budget Skincare Combo</t>
        </is>
      </c>
      <c r="M66" s="45" t="inlineStr">
        <is>
          <t>Vilvah Budget Skincare Combo | Skincare for Dry Skin</t>
        </is>
      </c>
      <c r="N66" s="45">
        <f>LEN(M66)</f>
        <v/>
      </c>
      <c r="O66" s="49" t="inlineStr">
        <is>
          <t>Buy Vilvah Budget Skincare Combo, natural skincare for dry skin from Vilvah. Official UK partner: 100% authentic, shipped from the UK, free delivery over £50.</t>
        </is>
      </c>
      <c r="P66" s="45">
        <f>LEN(O66)</f>
        <v/>
      </c>
      <c r="Q66" s="49" t="inlineStr">
        <is>
          <t>Vilvah Budget Skincare Combo is natural skincare for dry skin from Vilvah. Swansura is an official UK partner of Vilvah, so every order is 100% authentic and ships from the UK.</t>
        </is>
      </c>
      <c r="R66" s="49" t="n"/>
      <c r="S66" s="45" t="inlineStr">
        <is>
          <t>Not found – write from pack</t>
        </is>
      </c>
      <c r="T66" s="49" t="n"/>
    </row>
    <row r="67" ht="23.25" customHeight="1" s="37">
      <c r="A67" s="45" t="inlineStr">
        <is>
          <t>VD-066</t>
        </is>
      </c>
      <c r="B67" s="45" t="inlineStr">
        <is>
          <t>Vilvah</t>
        </is>
      </c>
      <c r="C67" s="45" t="inlineStr">
        <is>
          <t>Vilvah Face Lift Kit</t>
        </is>
      </c>
      <c r="D67" s="45" t="inlineStr">
        <is>
          <t>Gift Sets &amp; Combos</t>
        </is>
      </c>
      <c r="E67" s="45" t="inlineStr">
        <is>
          <t>Anti-Ageing</t>
        </is>
      </c>
      <c r="F67" s="48" t="inlineStr">
        <is>
          <t>skincare gift set</t>
        </is>
      </c>
      <c r="G67" s="47">
        <f>IFERROR(INDEX('Semrush Data'!$C$2:$C$5000,MATCH(F67,'Semrush Data'!$A$2:$A$5000,0)),"")</f>
        <v/>
      </c>
      <c r="H67" s="45">
        <f>IFERROR(INDEX('Semrush Data'!$D$2:$D$5000,MATCH(F67,'Semrush Data'!$A$2:$A$5000,0)),"")</f>
        <v/>
      </c>
      <c r="I67" s="45" t="inlineStr">
        <is>
          <t>vilvah</t>
        </is>
      </c>
      <c r="J67" s="47">
        <f>IFERROR(INDEX('Semrush Data'!$C$2:$C$5000,MATCH(I67,'Semrush Data'!$A$2:$A$5000,0)),"")</f>
        <v/>
      </c>
      <c r="K67" s="45" t="inlineStr">
        <is>
          <t>/collections/gifts-for-her</t>
        </is>
      </c>
      <c r="L67" s="45" t="inlineStr">
        <is>
          <t>Vilvah Face Lift Kit</t>
        </is>
      </c>
      <c r="M67" s="45" t="inlineStr">
        <is>
          <t>Vilvah Face Lift Kit – Skincare Gift Set | Swansura</t>
        </is>
      </c>
      <c r="N67" s="45">
        <f>LEN(M67)</f>
        <v/>
      </c>
      <c r="O67" s="49" t="inlineStr">
        <is>
          <t>Buy Vilvah Face Lift Kit, natural skincare gift set from Vilvah. Official UK partner: 100% authentic, shipped from the UK, free delivery over £50.</t>
        </is>
      </c>
      <c r="P67" s="45">
        <f>LEN(O67)</f>
        <v/>
      </c>
      <c r="Q67" s="49" t="inlineStr">
        <is>
          <t>Vilvah Face Lift Kit is natural skincare gift set from Vilvah. Swansura is an official UK partner of Vilvah, so every order is 100% authentic and ships from the UK.</t>
        </is>
      </c>
      <c r="R67" s="49" t="n"/>
      <c r="S67" s="45" t="inlineStr">
        <is>
          <t>Matched – no usable facts, add 1–2 from pack</t>
        </is>
      </c>
      <c r="T67" s="49" t="inlineStr">
        <is>
          <t>Review: source copy has medical-style claims (kept out of intro)</t>
        </is>
      </c>
    </row>
    <row r="68" ht="23.25" customHeight="1" s="37">
      <c r="A68" s="45" t="inlineStr">
        <is>
          <t>VD-067</t>
        </is>
      </c>
      <c r="B68" s="45" t="inlineStr">
        <is>
          <t>Vilvah</t>
        </is>
      </c>
      <c r="C68" s="45" t="inlineStr">
        <is>
          <t>Vilvah x Annapoorna Gift Box</t>
        </is>
      </c>
      <c r="D68" s="45" t="inlineStr">
        <is>
          <t>Gift Sets &amp; Combos</t>
        </is>
      </c>
      <c r="E68" s="45" t="inlineStr">
        <is>
          <t>Body Hydration</t>
        </is>
      </c>
      <c r="F68" s="48" t="inlineStr">
        <is>
          <t>body lotion for dry skin</t>
        </is>
      </c>
      <c r="G68" s="47">
        <f>IFERROR(INDEX('Semrush Data'!$C$2:$C$5000,MATCH(F68,'Semrush Data'!$A$2:$A$5000,0)),"")</f>
        <v/>
      </c>
      <c r="H68" s="45">
        <f>IFERROR(INDEX('Semrush Data'!$D$2:$D$5000,MATCH(F68,'Semrush Data'!$A$2:$A$5000,0)),"")</f>
        <v/>
      </c>
      <c r="I68" s="45" t="inlineStr">
        <is>
          <t>vilvah</t>
        </is>
      </c>
      <c r="J68" s="47">
        <f>IFERROR(INDEX('Semrush Data'!$C$2:$C$5000,MATCH(I68,'Semrush Data'!$A$2:$A$5000,0)),"")</f>
        <v/>
      </c>
      <c r="K68" s="45" t="inlineStr">
        <is>
          <t>/collections/body-lotion-for-dry-skin</t>
        </is>
      </c>
      <c r="L68" s="45" t="inlineStr">
        <is>
          <t>Vilvah X Annapoorna Gift Box</t>
        </is>
      </c>
      <c r="M68" s="45" t="inlineStr">
        <is>
          <t>Vilvah X Annapoorna Gift Box | Body Lotion for Dry Skin</t>
        </is>
      </c>
      <c r="N68" s="45">
        <f>LEN(M68)</f>
        <v/>
      </c>
      <c r="O68" s="49" t="inlineStr">
        <is>
          <t>Vilvah X Annapoorna Gift Box: a natural body lotion for dry skin from Vilvah. Official UK partner: 100% authentic, shipped from the UK, free delivery over £50.</t>
        </is>
      </c>
      <c r="P68" s="45">
        <f>LEN(O68)</f>
        <v/>
      </c>
      <c r="Q68" s="49" t="inlineStr">
        <is>
          <t>Vilvah X Annapoorna Gift Box is a natural body lotion for dry skin from Vilvah. Swansura is an official UK partner of Vilvah, so every order is 100% authentic and ships from the UK.</t>
        </is>
      </c>
      <c r="R68" s="49" t="n"/>
      <c r="S68" s="45" t="inlineStr">
        <is>
          <t>Not found – write from pack</t>
        </is>
      </c>
      <c r="T68" s="49" t="n"/>
    </row>
    <row r="69" ht="57" customHeight="1" s="37">
      <c r="A69" s="45" t="inlineStr">
        <is>
          <t>VD-068</t>
        </is>
      </c>
      <c r="B69" s="45" t="inlineStr">
        <is>
          <t>Vilvah</t>
        </is>
      </c>
      <c r="C69" s="45" t="inlineStr">
        <is>
          <t>tinted lip balm kit</t>
        </is>
      </c>
      <c r="D69" s="45" t="inlineStr">
        <is>
          <t>Gift Sets &amp; Combos</t>
        </is>
      </c>
      <c r="E69" s="45" t="inlineStr">
        <is>
          <t>Dry Lips</t>
        </is>
      </c>
      <c r="F69" s="48" t="inlineStr">
        <is>
          <t>lip balm for dry lips</t>
        </is>
      </c>
      <c r="G69" s="47">
        <f>IFERROR(INDEX('Semrush Data'!$C$2:$C$5000,MATCH(F69,'Semrush Data'!$A$2:$A$5000,0)),"")</f>
        <v/>
      </c>
      <c r="H69" s="45">
        <f>IFERROR(INDEX('Semrush Data'!$D$2:$D$5000,MATCH(F69,'Semrush Data'!$A$2:$A$5000,0)),"")</f>
        <v/>
      </c>
      <c r="I69" s="45" t="inlineStr">
        <is>
          <t>vilvah</t>
        </is>
      </c>
      <c r="J69" s="47">
        <f>IFERROR(INDEX('Semrush Data'!$C$2:$C$5000,MATCH(I69,'Semrush Data'!$A$2:$A$5000,0)),"")</f>
        <v/>
      </c>
      <c r="K69" s="45" t="inlineStr">
        <is>
          <t>/collections/lip-balm-for-dry-lips</t>
        </is>
      </c>
      <c r="L69" s="45" t="inlineStr">
        <is>
          <t>Vilvah Tinted Lip Balm Kit</t>
        </is>
      </c>
      <c r="M69" s="45" t="inlineStr">
        <is>
          <t>Vilvah Tinted Lip Balm Kit | Lip Balm for Dry Lips</t>
        </is>
      </c>
      <c r="N69" s="45">
        <f>LEN(M69)</f>
        <v/>
      </c>
      <c r="O69" s="49" t="inlineStr">
        <is>
          <t>Buy Vilvah Tinted Lip Balm Kit, a natural lip balm for dry lips from Vilvah. Official UK partner: 100% authentic, shipped from the UK, free delivery over £50.</t>
        </is>
      </c>
      <c r="P69" s="45">
        <f>LEN(O69)</f>
        <v/>
      </c>
      <c r="Q69" s="49" t="inlineStr">
        <is>
          <t>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is>
      </c>
      <c r="R69" s="49" t="n"/>
      <c r="S69" s="45" t="inlineStr">
        <is>
          <t>Matched</t>
        </is>
      </c>
      <c r="T69" s="49" t="inlineStr">
        <is>
          <t>Review: source copy has medical-style claims (kept out of intro)</t>
        </is>
      </c>
    </row>
    <row r="70" ht="23.25" customHeight="1" s="37">
      <c r="A70" s="45" t="inlineStr">
        <is>
          <t>VD-069</t>
        </is>
      </c>
      <c r="B70" s="45" t="inlineStr">
        <is>
          <t>Vilvah</t>
        </is>
      </c>
      <c r="C70" s="45" t="inlineStr">
        <is>
          <t>Vilvah Store Frizz Free Hair Combo</t>
        </is>
      </c>
      <c r="D70" s="45" t="inlineStr">
        <is>
          <t>Gift Sets &amp; Combos</t>
        </is>
      </c>
      <c r="E70" s="45" t="inlineStr">
        <is>
          <t>Frizzy Hair</t>
        </is>
      </c>
      <c r="F70" s="48" t="inlineStr">
        <is>
          <t>hair serum for frizzy hair</t>
        </is>
      </c>
      <c r="G70" s="47">
        <f>IFERROR(INDEX('Semrush Data'!$C$2:$C$5000,MATCH(F70,'Semrush Data'!$A$2:$A$5000,0)),"")</f>
        <v/>
      </c>
      <c r="H70" s="45">
        <f>IFERROR(INDEX('Semrush Data'!$D$2:$D$5000,MATCH(F70,'Semrush Data'!$A$2:$A$5000,0)),"")</f>
        <v/>
      </c>
      <c r="I70" s="45" t="inlineStr">
        <is>
          <t>vilvah</t>
        </is>
      </c>
      <c r="J70" s="47">
        <f>IFERROR(INDEX('Semrush Data'!$C$2:$C$5000,MATCH(I70,'Semrush Data'!$A$2:$A$5000,0)),"")</f>
        <v/>
      </c>
      <c r="K70" s="45" t="inlineStr">
        <is>
          <t>/collections/hair-serum-for-frizzy-hair</t>
        </is>
      </c>
      <c r="L70" s="45" t="inlineStr">
        <is>
          <t>Vilvah Store Frizz Free Hair Combo</t>
        </is>
      </c>
      <c r="M70" s="45" t="inlineStr">
        <is>
          <t>Vilvah Store Frizz Free Hair Combo | Vilvah UK | Swansura</t>
        </is>
      </c>
      <c r="N70" s="45">
        <f>LEN(M70)</f>
        <v/>
      </c>
      <c r="O70" s="49" t="inlineStr">
        <is>
          <t>Buy Vilvah Store Frizz Free Hair Combo, a natural hair serum for frizzy hair from Vilvah. Official UK partner, 100% authentic, free UK delivery over £50.</t>
        </is>
      </c>
      <c r="P70" s="45">
        <f>LEN(O70)</f>
        <v/>
      </c>
      <c r="Q70" s="49" t="inlineStr">
        <is>
          <t>Vilvah Store Frizz Free Hair Combo is a natural hair serum for frizzy hair from Vilvah. Swansura is an official UK partner of Vilvah, so every order is 100% authentic and ships from the UK.</t>
        </is>
      </c>
      <c r="R70" s="49" t="n"/>
      <c r="S70" s="45" t="inlineStr">
        <is>
          <t>Not found – write from pack</t>
        </is>
      </c>
      <c r="T70" s="49" t="n"/>
    </row>
    <row r="71" ht="34.5" customHeight="1" s="37">
      <c r="A71" s="45" t="inlineStr">
        <is>
          <t>VD-070</t>
        </is>
      </c>
      <c r="B71" s="45" t="inlineStr">
        <is>
          <t>Vilvah</t>
        </is>
      </c>
      <c r="C71" s="45" t="inlineStr">
        <is>
          <t>Vilvah Bestseller Hair Kit</t>
        </is>
      </c>
      <c r="D71" s="45" t="inlineStr">
        <is>
          <t>Gift Sets &amp; Combos</t>
        </is>
      </c>
      <c r="E71" s="45" t="inlineStr">
        <is>
          <t>Dry Hair</t>
        </is>
      </c>
      <c r="F71" s="48" t="inlineStr">
        <is>
          <t>hair mask for dry hair</t>
        </is>
      </c>
      <c r="G71" s="47">
        <f>IFERROR(INDEX('Semrush Data'!$C$2:$C$5000,MATCH(F71,'Semrush Data'!$A$2:$A$5000,0)),"")</f>
        <v/>
      </c>
      <c r="H71" s="45">
        <f>IFERROR(INDEX('Semrush Data'!$D$2:$D$5000,MATCH(F71,'Semrush Data'!$A$2:$A$5000,0)),"")</f>
        <v/>
      </c>
      <c r="I71" s="45" t="inlineStr">
        <is>
          <t>vilvah</t>
        </is>
      </c>
      <c r="J71" s="47">
        <f>IFERROR(INDEX('Semrush Data'!$C$2:$C$5000,MATCH(I71,'Semrush Data'!$A$2:$A$5000,0)),"")</f>
        <v/>
      </c>
      <c r="K71" s="45" t="inlineStr">
        <is>
          <t>/collections/hair-mask-for-dry-hair</t>
        </is>
      </c>
      <c r="L71" s="45" t="inlineStr">
        <is>
          <t>Vilvah Bestseller Hair Kit</t>
        </is>
      </c>
      <c r="M71" s="45" t="inlineStr">
        <is>
          <t>Vilvah Bestseller Hair Kit | Hair Mask for Dry Hair</t>
        </is>
      </c>
      <c r="N71" s="45">
        <f>LEN(M71)</f>
        <v/>
      </c>
      <c r="O71" s="49" t="inlineStr">
        <is>
          <t>Buy Vilvah Bestseller Hair Kit, a natural hair mask for dry hair from Vilvah. Official UK partner: 100% authentic, shipped from the UK, free delivery over £50.</t>
        </is>
      </c>
      <c r="P71" s="45">
        <f>LEN(O71)</f>
        <v/>
      </c>
      <c r="Q71" s="49" t="inlineStr">
        <is>
          <t>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is>
      </c>
      <c r="R71" s="49" t="n"/>
      <c r="S71" s="45" t="inlineStr">
        <is>
          <t>Matched</t>
        </is>
      </c>
      <c r="T71" s="49" t="inlineStr">
        <is>
          <t>Review: source copy has medical-style claims (kept out of intro)</t>
        </is>
      </c>
    </row>
    <row r="72" ht="23.25" customHeight="1" s="37">
      <c r="A72" s="45" t="inlineStr">
        <is>
          <t>VD-071</t>
        </is>
      </c>
      <c r="B72" s="45" t="inlineStr">
        <is>
          <t>Vilvah</t>
        </is>
      </c>
      <c r="C72" s="45" t="inlineStr">
        <is>
          <t>Vilvah Shampoo and Hair Serum Kit</t>
        </is>
      </c>
      <c r="D72" s="45" t="inlineStr">
        <is>
          <t>Gift Sets &amp; Combos</t>
        </is>
      </c>
      <c r="E72" s="45" t="inlineStr">
        <is>
          <t>Dry Hair</t>
        </is>
      </c>
      <c r="F72" s="48" t="inlineStr">
        <is>
          <t>hair mask for dry hair</t>
        </is>
      </c>
      <c r="G72" s="47">
        <f>IFERROR(INDEX('Semrush Data'!$C$2:$C$5000,MATCH(F72,'Semrush Data'!$A$2:$A$5000,0)),"")</f>
        <v/>
      </c>
      <c r="H72" s="45">
        <f>IFERROR(INDEX('Semrush Data'!$D$2:$D$5000,MATCH(F72,'Semrush Data'!$A$2:$A$5000,0)),"")</f>
        <v/>
      </c>
      <c r="I72" s="45" t="inlineStr">
        <is>
          <t>vilvah</t>
        </is>
      </c>
      <c r="J72" s="47">
        <f>IFERROR(INDEX('Semrush Data'!$C$2:$C$5000,MATCH(I72,'Semrush Data'!$A$2:$A$5000,0)),"")</f>
        <v/>
      </c>
      <c r="K72" s="45" t="inlineStr">
        <is>
          <t>/collections/hair-mask-for-dry-hair</t>
        </is>
      </c>
      <c r="L72" s="45" t="inlineStr">
        <is>
          <t>Vilvah Shampoo and Hair Serum Kit</t>
        </is>
      </c>
      <c r="M72" s="45" t="inlineStr">
        <is>
          <t>Vilvah Shampoo and Hair Serum Kit | Hair Mask for Dry Hair</t>
        </is>
      </c>
      <c r="N72" s="45">
        <f>LEN(M72)</f>
        <v/>
      </c>
      <c r="O72" s="49" t="inlineStr">
        <is>
          <t>Buy Vilvah Shampoo and Hair Serum Kit, a natural hair mask for dry hair from Vilvah. Official UK partner, 100% authentic, free UK delivery over £50.</t>
        </is>
      </c>
      <c r="P72" s="45">
        <f>LEN(O72)</f>
        <v/>
      </c>
      <c r="Q72" s="49" t="inlineStr">
        <is>
          <t>Vilvah Shampoo and Hair Serum Kit is a natural hair mask for dry hair from Vilvah. Swansura is an official UK partner of Vilvah, so every order is 100% authentic and ships from the UK.</t>
        </is>
      </c>
      <c r="R72" s="49" t="n"/>
      <c r="S72" s="45" t="inlineStr">
        <is>
          <t>Matched – no usable facts, add 1–2 from pack</t>
        </is>
      </c>
      <c r="T72" s="49" t="inlineStr">
        <is>
          <t>Review: source copy has medical-style claims (kept out of intro)</t>
        </is>
      </c>
    </row>
    <row r="73" ht="45.75" customHeight="1" s="37">
      <c r="A73" s="45" t="inlineStr">
        <is>
          <t>VD-072</t>
        </is>
      </c>
      <c r="B73" s="45" t="inlineStr">
        <is>
          <t>Vilvah</t>
        </is>
      </c>
      <c r="C73" s="45" t="inlineStr">
        <is>
          <t>Vilvah Hair Strengthening Kit</t>
        </is>
      </c>
      <c r="D73" s="45" t="inlineStr">
        <is>
          <t>Gift Sets &amp; Combos</t>
        </is>
      </c>
      <c r="E73" s="45" t="inlineStr">
        <is>
          <t>Damaged Hair</t>
        </is>
      </c>
      <c r="F73" s="48" t="inlineStr">
        <is>
          <t>skincare gift set</t>
        </is>
      </c>
      <c r="G73" s="47">
        <f>IFERROR(INDEX('Semrush Data'!$C$2:$C$5000,MATCH(F73,'Semrush Data'!$A$2:$A$5000,0)),"")</f>
        <v/>
      </c>
      <c r="H73" s="45">
        <f>IFERROR(INDEX('Semrush Data'!$D$2:$D$5000,MATCH(F73,'Semrush Data'!$A$2:$A$5000,0)),"")</f>
        <v/>
      </c>
      <c r="I73" s="45" t="inlineStr">
        <is>
          <t>vilvah</t>
        </is>
      </c>
      <c r="J73" s="47">
        <f>IFERROR(INDEX('Semrush Data'!$C$2:$C$5000,MATCH(I73,'Semrush Data'!$A$2:$A$5000,0)),"")</f>
        <v/>
      </c>
      <c r="K73" s="45" t="inlineStr">
        <is>
          <t>/collections/gifts-for-her</t>
        </is>
      </c>
      <c r="L73" s="45" t="inlineStr">
        <is>
          <t>Vilvah Hair Strengthening Kit</t>
        </is>
      </c>
      <c r="M73" s="45" t="inlineStr">
        <is>
          <t>Vilvah Hair Strengthening Kit – Skincare Gift Set | Swansura</t>
        </is>
      </c>
      <c r="N73" s="45">
        <f>LEN(M73)</f>
        <v/>
      </c>
      <c r="O73" s="49" t="inlineStr">
        <is>
          <t>Buy Vilvah Hair Strengthening Kit, natural skincare gift set from Vilvah. Official UK partner: 100% authentic, shipped from the UK, free delivery over £50.</t>
        </is>
      </c>
      <c r="P73" s="45">
        <f>LEN(O73)</f>
        <v/>
      </c>
      <c r="Q73" s="49" t="inlineStr">
        <is>
          <t>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is>
      </c>
      <c r="R73" s="49" t="n"/>
      <c r="S73" s="45" t="inlineStr">
        <is>
          <t>Matched</t>
        </is>
      </c>
      <c r="T73" s="49" t="n"/>
    </row>
    <row r="74" ht="34.5" customHeight="1" s="37">
      <c r="A74" s="45" t="inlineStr">
        <is>
          <t>VD-073</t>
        </is>
      </c>
      <c r="B74" s="45" t="inlineStr">
        <is>
          <t>Vilvah</t>
        </is>
      </c>
      <c r="C74" s="45" t="inlineStr">
        <is>
          <t>Vilvah Lip Lightening Kit</t>
        </is>
      </c>
      <c r="D74" s="45" t="inlineStr">
        <is>
          <t>Gift Sets &amp; Combos</t>
        </is>
      </c>
      <c r="E74" s="45" t="inlineStr">
        <is>
          <t>Pigmentation</t>
        </is>
      </c>
      <c r="F74" s="48" t="inlineStr">
        <is>
          <t>skincare gift set</t>
        </is>
      </c>
      <c r="G74" s="47">
        <f>IFERROR(INDEX('Semrush Data'!$C$2:$C$5000,MATCH(F74,'Semrush Data'!$A$2:$A$5000,0)),"")</f>
        <v/>
      </c>
      <c r="H74" s="45">
        <f>IFERROR(INDEX('Semrush Data'!$D$2:$D$5000,MATCH(F74,'Semrush Data'!$A$2:$A$5000,0)),"")</f>
        <v/>
      </c>
      <c r="I74" s="45" t="inlineStr">
        <is>
          <t>vilvah</t>
        </is>
      </c>
      <c r="J74" s="47">
        <f>IFERROR(INDEX('Semrush Data'!$C$2:$C$5000,MATCH(I74,'Semrush Data'!$A$2:$A$5000,0)),"")</f>
        <v/>
      </c>
      <c r="K74" s="45" t="inlineStr">
        <is>
          <t>/collections/gifts-for-her</t>
        </is>
      </c>
      <c r="L74" s="45" t="inlineStr">
        <is>
          <t>Vilvah Lip Lightening Kit</t>
        </is>
      </c>
      <c r="M74" s="45" t="inlineStr">
        <is>
          <t>Vilvah Lip Lightening Kit – Skincare Gift Set | Swansura</t>
        </is>
      </c>
      <c r="N74" s="45">
        <f>LEN(M74)</f>
        <v/>
      </c>
      <c r="O74" s="49" t="inlineStr">
        <is>
          <t>Buy Vilvah Lip Lightening Kit, natural skincare gift set from Vilvah. Official UK partner: 100% authentic, shipped from the UK, free delivery over £50.</t>
        </is>
      </c>
      <c r="P74" s="45">
        <f>LEN(O74)</f>
        <v/>
      </c>
      <c r="Q74" s="49" t="inlineStr">
        <is>
          <t>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is>
      </c>
      <c r="R74" s="49" t="n"/>
      <c r="S74" s="45" t="inlineStr">
        <is>
          <t>Matched</t>
        </is>
      </c>
      <c r="T74" s="49" t="inlineStr">
        <is>
          <t>Review: source copy has medical-style claims (kept out of intro)</t>
        </is>
      </c>
    </row>
    <row r="75" ht="45.75" customHeight="1" s="37">
      <c r="A75" s="45" t="inlineStr">
        <is>
          <t>VD-074</t>
        </is>
      </c>
      <c r="B75" s="45" t="inlineStr">
        <is>
          <t>Vilvah</t>
        </is>
      </c>
      <c r="C75" s="45" t="inlineStr">
        <is>
          <t>Vilvah Skin Hydration Kit</t>
        </is>
      </c>
      <c r="D75" s="45" t="inlineStr">
        <is>
          <t>Gift Sets &amp; Combos</t>
        </is>
      </c>
      <c r="E75" s="45" t="inlineStr">
        <is>
          <t>Dry Skin</t>
        </is>
      </c>
      <c r="F75" s="48" t="inlineStr">
        <is>
          <t>skincare for dry skin</t>
        </is>
      </c>
      <c r="G75" s="47">
        <f>IFERROR(INDEX('Semrush Data'!$C$2:$C$5000,MATCH(F75,'Semrush Data'!$A$2:$A$5000,0)),"")</f>
        <v/>
      </c>
      <c r="H75" s="45">
        <f>IFERROR(INDEX('Semrush Data'!$D$2:$D$5000,MATCH(F75,'Semrush Data'!$A$2:$A$5000,0)),"")</f>
        <v/>
      </c>
      <c r="I75" s="45" t="inlineStr">
        <is>
          <t>vilvah</t>
        </is>
      </c>
      <c r="J75" s="47">
        <f>IFERROR(INDEX('Semrush Data'!$C$2:$C$5000,MATCH(I75,'Semrush Data'!$A$2:$A$5000,0)),"")</f>
        <v/>
      </c>
      <c r="K75" s="45" t="inlineStr">
        <is>
          <t>/collections/dry-skin</t>
        </is>
      </c>
      <c r="L75" s="45" t="inlineStr">
        <is>
          <t>Vilvah Skin Hydration Kit</t>
        </is>
      </c>
      <c r="M75" s="45" t="inlineStr">
        <is>
          <t>Vilvah Skin Hydration Kit – Skincare for Dry Skin | Swansura</t>
        </is>
      </c>
      <c r="N75" s="45">
        <f>LEN(M75)</f>
        <v/>
      </c>
      <c r="O75" s="49" t="inlineStr">
        <is>
          <t>Buy Vilvah Skin Hydration Kit, natural skincare for dry skin from Vilvah. Official UK partner: 100% authentic, shipped from the UK, free delivery over £50.</t>
        </is>
      </c>
      <c r="P75" s="45">
        <f>LEN(O75)</f>
        <v/>
      </c>
      <c r="Q75" s="49" t="inlineStr">
        <is>
          <t>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is>
      </c>
      <c r="R75" s="49" t="n"/>
      <c r="S75" s="45" t="inlineStr">
        <is>
          <t>Matched</t>
        </is>
      </c>
      <c r="T75" s="49" t="inlineStr">
        <is>
          <t>Review: source copy has medical-style claims (kept out of intro)</t>
        </is>
      </c>
    </row>
    <row r="76" ht="23.25" customHeight="1" s="37">
      <c r="A76" s="45" t="inlineStr">
        <is>
          <t>VD-075</t>
        </is>
      </c>
      <c r="B76" s="45" t="inlineStr">
        <is>
          <t>Vilvah</t>
        </is>
      </c>
      <c r="C76" s="45" t="inlineStr">
        <is>
          <t>Vilvah Anti Frizz Hair Kit</t>
        </is>
      </c>
      <c r="D76" s="45" t="inlineStr">
        <is>
          <t>Gift Sets &amp; Combos</t>
        </is>
      </c>
      <c r="E76" s="45" t="inlineStr">
        <is>
          <t>Frizzy Hair</t>
        </is>
      </c>
      <c r="F76" s="48" t="inlineStr">
        <is>
          <t>hair serum for frizzy hair</t>
        </is>
      </c>
      <c r="G76" s="47">
        <f>IFERROR(INDEX('Semrush Data'!$C$2:$C$5000,MATCH(F76,'Semrush Data'!$A$2:$A$5000,0)),"")</f>
        <v/>
      </c>
      <c r="H76" s="45">
        <f>IFERROR(INDEX('Semrush Data'!$D$2:$D$5000,MATCH(F76,'Semrush Data'!$A$2:$A$5000,0)),"")</f>
        <v/>
      </c>
      <c r="I76" s="45" t="inlineStr">
        <is>
          <t>vilvah</t>
        </is>
      </c>
      <c r="J76" s="47">
        <f>IFERROR(INDEX('Semrush Data'!$C$2:$C$5000,MATCH(I76,'Semrush Data'!$A$2:$A$5000,0)),"")</f>
        <v/>
      </c>
      <c r="K76" s="45" t="inlineStr">
        <is>
          <t>/collections/hair-serum-for-frizzy-hair</t>
        </is>
      </c>
      <c r="L76" s="45" t="inlineStr">
        <is>
          <t>Vilvah Anti Frizz Hair Kit</t>
        </is>
      </c>
      <c r="M76" s="45" t="inlineStr">
        <is>
          <t>Vilvah Anti Frizz Hair Kit | Hair Serum for Frizzy Hair</t>
        </is>
      </c>
      <c r="N76" s="45">
        <f>LEN(M76)</f>
        <v/>
      </c>
      <c r="O76" s="49" t="inlineStr">
        <is>
          <t>Vilvah Anti Frizz Hair Kit: a natural hair serum for frizzy hair from Vilvah. Official UK partner: 100% authentic, shipped from the UK, free delivery over £50.</t>
        </is>
      </c>
      <c r="P76" s="45">
        <f>LEN(O76)</f>
        <v/>
      </c>
      <c r="Q76" s="49" t="inlineStr">
        <is>
          <t>Vilvah Anti Frizz Hair Kit is a natural hair serum for frizzy hair from Vilvah. Swansura is an official UK partner of Vilvah, so every order is 100% authentic and ships from the UK.</t>
        </is>
      </c>
      <c r="R76" s="49" t="n"/>
      <c r="S76" s="45" t="inlineStr">
        <is>
          <t>Matched – no usable facts, add 1–2 from pack</t>
        </is>
      </c>
      <c r="T76" s="49" t="inlineStr">
        <is>
          <t>Review: source copy has medical-style claims (kept out of intro)</t>
        </is>
      </c>
    </row>
    <row r="77" ht="34.5" customHeight="1" s="37">
      <c r="A77" s="45" t="inlineStr">
        <is>
          <t>VD-076</t>
        </is>
      </c>
      <c r="B77" s="45" t="inlineStr">
        <is>
          <t>Vilvah</t>
        </is>
      </c>
      <c r="C77" s="45" t="inlineStr">
        <is>
          <t>Vilvah Body Polishing Kit</t>
        </is>
      </c>
      <c r="D77" s="45" t="inlineStr">
        <is>
          <t>Gift Sets &amp; Combos</t>
        </is>
      </c>
      <c r="E77" s="45" t="inlineStr">
        <is>
          <t>Dull Skin</t>
        </is>
      </c>
      <c r="F77" s="48" t="inlineStr">
        <is>
          <t>skincare for dull skin</t>
        </is>
      </c>
      <c r="G77" s="47">
        <f>IFERROR(INDEX('Semrush Data'!$C$2:$C$5000,MATCH(F77,'Semrush Data'!$A$2:$A$5000,0)),"")</f>
        <v/>
      </c>
      <c r="H77" s="45">
        <f>IFERROR(INDEX('Semrush Data'!$D$2:$D$5000,MATCH(F77,'Semrush Data'!$A$2:$A$5000,0)),"")</f>
        <v/>
      </c>
      <c r="I77" s="45" t="inlineStr">
        <is>
          <t>vilvah</t>
        </is>
      </c>
      <c r="J77" s="47">
        <f>IFERROR(INDEX('Semrush Data'!$C$2:$C$5000,MATCH(I77,'Semrush Data'!$A$2:$A$5000,0)),"")</f>
        <v/>
      </c>
      <c r="K77" s="45" t="inlineStr">
        <is>
          <t>/collections/dull-skin</t>
        </is>
      </c>
      <c r="L77" s="45" t="inlineStr">
        <is>
          <t>Vilvah Body Polishing Kit</t>
        </is>
      </c>
      <c r="M77" s="45" t="inlineStr">
        <is>
          <t>Vilvah Body Polishing Kit | Skincare for Dull Skin</t>
        </is>
      </c>
      <c r="N77" s="45">
        <f>LEN(M77)</f>
        <v/>
      </c>
      <c r="O77" s="49" t="inlineStr">
        <is>
          <t>Vilvah Body Polishing Kit: natural skincare for dull skin from Vilvah. Coffee Scrub gently exfoliates, removes tan and unclogs pores. Free UK delivery over £50.</t>
        </is>
      </c>
      <c r="P77" s="45">
        <f>LEN(O77)</f>
        <v/>
      </c>
      <c r="Q77" s="49" t="inlineStr">
        <is>
          <t>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is>
      </c>
      <c r="R77" s="49" t="n"/>
      <c r="S77" s="45" t="inlineStr">
        <is>
          <t>Matched</t>
        </is>
      </c>
      <c r="T77" s="49" t="n"/>
    </row>
    <row r="78" ht="45.75" customHeight="1" s="37">
      <c r="A78" s="45" t="inlineStr">
        <is>
          <t>VD-077</t>
        </is>
      </c>
      <c r="B78" s="45" t="inlineStr">
        <is>
          <t>Vilvah</t>
        </is>
      </c>
      <c r="C78" s="45" t="inlineStr">
        <is>
          <t>Vilvah Hairfall Control Kit</t>
        </is>
      </c>
      <c r="D78" s="45" t="inlineStr">
        <is>
          <t>Gift Sets &amp; Combos</t>
        </is>
      </c>
      <c r="E78" s="45" t="inlineStr">
        <is>
          <t>Hair Thinning &amp; Loss</t>
        </is>
      </c>
      <c r="F78" s="48" t="inlineStr">
        <is>
          <t>hair oil for hair loss</t>
        </is>
      </c>
      <c r="G78" s="47">
        <f>IFERROR(INDEX('Semrush Data'!$C$2:$C$5000,MATCH(F78,'Semrush Data'!$A$2:$A$5000,0)),"")</f>
        <v/>
      </c>
      <c r="H78" s="45">
        <f>IFERROR(INDEX('Semrush Data'!$D$2:$D$5000,MATCH(F78,'Semrush Data'!$A$2:$A$5000,0)),"")</f>
        <v/>
      </c>
      <c r="I78" s="45" t="inlineStr">
        <is>
          <t>vilvah</t>
        </is>
      </c>
      <c r="J78" s="47">
        <f>IFERROR(INDEX('Semrush Data'!$C$2:$C$5000,MATCH(I78,'Semrush Data'!$A$2:$A$5000,0)),"")</f>
        <v/>
      </c>
      <c r="K78" s="45" t="inlineStr">
        <is>
          <t>/collections/hair-oil-for-hair-loss</t>
        </is>
      </c>
      <c r="L78" s="45" t="inlineStr">
        <is>
          <t>Vilvah Hairfall Control Kit</t>
        </is>
      </c>
      <c r="M78" s="45" t="inlineStr">
        <is>
          <t>Vilvah Hairfall Control Kit | Hair Oil for Hair Loss</t>
        </is>
      </c>
      <c r="N78" s="45">
        <f>LEN(M78)</f>
        <v/>
      </c>
      <c r="O78" s="49" t="inlineStr">
        <is>
          <t>Buy Vilvah Hairfall Control Kit, a natural hair oil for hair loss from Vilvah. Official UK partner: 100% authentic, shipped from the UK, free delivery over £50.</t>
        </is>
      </c>
      <c r="P78" s="45">
        <f>LEN(O78)</f>
        <v/>
      </c>
      <c r="Q78" s="49" t="inlineStr">
        <is>
          <t>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is>
      </c>
      <c r="R78" s="49" t="n"/>
      <c r="S78" s="45" t="inlineStr">
        <is>
          <t>Matched</t>
        </is>
      </c>
      <c r="T78" s="49" t="inlineStr">
        <is>
          <t>Review: source copy has medical-style claims (kept out of intro)</t>
        </is>
      </c>
    </row>
    <row r="79" ht="23.25" customHeight="1" s="37">
      <c r="A79" s="45" t="inlineStr">
        <is>
          <t>VD-078</t>
        </is>
      </c>
      <c r="B79" s="45" t="inlineStr">
        <is>
          <t>Vilvah</t>
        </is>
      </c>
      <c r="C79" s="45" t="inlineStr">
        <is>
          <t>Vilvah Anti‑Dandruff Haircare Kit</t>
        </is>
      </c>
      <c r="D79" s="45" t="inlineStr">
        <is>
          <t>Gift Sets &amp; Combos</t>
        </is>
      </c>
      <c r="E79" s="45" t="inlineStr">
        <is>
          <t>Anti-Dandruff</t>
        </is>
      </c>
      <c r="F79" s="48" t="inlineStr">
        <is>
          <t>shampoo for dandruff</t>
        </is>
      </c>
      <c r="G79" s="47">
        <f>IFERROR(INDEX('Semrush Data'!$C$2:$C$5000,MATCH(F79,'Semrush Data'!$A$2:$A$5000,0)),"")</f>
        <v/>
      </c>
      <c r="H79" s="45">
        <f>IFERROR(INDEX('Semrush Data'!$D$2:$D$5000,MATCH(F79,'Semrush Data'!$A$2:$A$5000,0)),"")</f>
        <v/>
      </c>
      <c r="I79" s="45" t="inlineStr">
        <is>
          <t>vilvah</t>
        </is>
      </c>
      <c r="J79" s="47">
        <f>IFERROR(INDEX('Semrush Data'!$C$2:$C$5000,MATCH(I79,'Semrush Data'!$A$2:$A$5000,0)),"")</f>
        <v/>
      </c>
      <c r="K79" s="45" t="inlineStr">
        <is>
          <t>/collections/shampoo-for-dandruff</t>
        </is>
      </c>
      <c r="L79" s="45" t="inlineStr">
        <is>
          <t>Vilvah Anti‑Dandruff Haircare Kit</t>
        </is>
      </c>
      <c r="M79" s="45" t="inlineStr">
        <is>
          <t>Vilvah Anti‑Dandruff Haircare Kit | Shampoo for Dandruff</t>
        </is>
      </c>
      <c r="N79" s="45">
        <f>LEN(M79)</f>
        <v/>
      </c>
      <c r="O79" s="49" t="inlineStr">
        <is>
          <t>Vilvah Anti‑Dandruff Haircare Kit: a natural shampoo for dandruff from Vilvah. Official UK partner: 100% authentic, shipped from the UK, free delivery over £50.</t>
        </is>
      </c>
      <c r="P79" s="45">
        <f>LEN(O79)</f>
        <v/>
      </c>
      <c r="Q79" s="49" t="inlineStr">
        <is>
          <t>Vilvah Anti‑Dandruff Haircare Kit is a natural shampoo for dandruff from Vilvah. Swansura is an official UK partner of Vilvah, so every order is 100% authentic and ships from the UK.</t>
        </is>
      </c>
      <c r="R79" s="49" t="n"/>
      <c r="S79" s="45" t="inlineStr">
        <is>
          <t>Matched – no usable facts, add 1–2 from pack</t>
        </is>
      </c>
      <c r="T79" s="49" t="inlineStr">
        <is>
          <t>Review: source copy has medical-style claims (kept out of intro)</t>
        </is>
      </c>
    </row>
    <row r="80" ht="23.25" customHeight="1" s="37">
      <c r="A80" s="45" t="inlineStr">
        <is>
          <t>VD-079</t>
        </is>
      </c>
      <c r="B80" s="45" t="inlineStr">
        <is>
          <t>Vilvah</t>
        </is>
      </c>
      <c r="C80" s="45" t="inlineStr">
        <is>
          <t>Vilvah Goat Milk Hair Kit</t>
        </is>
      </c>
      <c r="D80" s="45" t="inlineStr">
        <is>
          <t>Gift Sets &amp; Combos</t>
        </is>
      </c>
      <c r="E80" s="45" t="inlineStr">
        <is>
          <t>Dry Hair</t>
        </is>
      </c>
      <c r="F80" s="48" t="inlineStr">
        <is>
          <t>hair mask for dry hair</t>
        </is>
      </c>
      <c r="G80" s="47">
        <f>IFERROR(INDEX('Semrush Data'!$C$2:$C$5000,MATCH(F80,'Semrush Data'!$A$2:$A$5000,0)),"")</f>
        <v/>
      </c>
      <c r="H80" s="45">
        <f>IFERROR(INDEX('Semrush Data'!$D$2:$D$5000,MATCH(F80,'Semrush Data'!$A$2:$A$5000,0)),"")</f>
        <v/>
      </c>
      <c r="I80" s="45" t="inlineStr">
        <is>
          <t>vilvah</t>
        </is>
      </c>
      <c r="J80" s="47">
        <f>IFERROR(INDEX('Semrush Data'!$C$2:$C$5000,MATCH(I80,'Semrush Data'!$A$2:$A$5000,0)),"")</f>
        <v/>
      </c>
      <c r="K80" s="45" t="inlineStr">
        <is>
          <t>/collections/hair-mask-for-dry-hair</t>
        </is>
      </c>
      <c r="L80" s="45" t="inlineStr">
        <is>
          <t>Vilvah Goat Milk Hair Kit</t>
        </is>
      </c>
      <c r="M80" s="45" t="inlineStr">
        <is>
          <t>Vilvah Goat Milk Hair Kit | Hair Mask for Dry Hair</t>
        </is>
      </c>
      <c r="N80" s="45">
        <f>LEN(M80)</f>
        <v/>
      </c>
      <c r="O80" s="49" t="inlineStr">
        <is>
          <t>Buy Vilvah Goat Milk Hair Kit, a natural hair mask for dry hair from Vilvah. Official UK partner: 100% authentic, shipped from the UK, free delivery over £50.</t>
        </is>
      </c>
      <c r="P80" s="45">
        <f>LEN(O80)</f>
        <v/>
      </c>
      <c r="Q80" s="49" t="inlineStr">
        <is>
          <t>Vilvah Goat Milk Hair Kit is a natural hair mask for dry hair from Vilvah. Swansura is an official UK partner of Vilvah, so every order is 100% authentic and ships from the UK.</t>
        </is>
      </c>
      <c r="R80" s="49" t="n"/>
      <c r="S80" s="45" t="inlineStr">
        <is>
          <t>Matched – no usable facts, add 1–2 from pack</t>
        </is>
      </c>
      <c r="T80" s="49" t="n"/>
    </row>
    <row r="81" ht="23.25" customHeight="1" s="37">
      <c r="A81" s="45" t="inlineStr">
        <is>
          <t>VD-080</t>
        </is>
      </c>
      <c r="B81" s="45" t="inlineStr">
        <is>
          <t>Vilvah</t>
        </is>
      </c>
      <c r="C81" s="45" t="inlineStr">
        <is>
          <t>Vilvah Everyday Care Milk Kit</t>
        </is>
      </c>
      <c r="D81" s="45" t="inlineStr">
        <is>
          <t>Gift Sets &amp; Combos</t>
        </is>
      </c>
      <c r="E81" s="45" t="inlineStr">
        <is>
          <t>Body Hydration</t>
        </is>
      </c>
      <c r="F81" s="48" t="inlineStr">
        <is>
          <t>body lotion for dry skin</t>
        </is>
      </c>
      <c r="G81" s="47">
        <f>IFERROR(INDEX('Semrush Data'!$C$2:$C$5000,MATCH(F81,'Semrush Data'!$A$2:$A$5000,0)),"")</f>
        <v/>
      </c>
      <c r="H81" s="45">
        <f>IFERROR(INDEX('Semrush Data'!$D$2:$D$5000,MATCH(F81,'Semrush Data'!$A$2:$A$5000,0)),"")</f>
        <v/>
      </c>
      <c r="I81" s="45" t="inlineStr">
        <is>
          <t>vilvah</t>
        </is>
      </c>
      <c r="J81" s="47">
        <f>IFERROR(INDEX('Semrush Data'!$C$2:$C$5000,MATCH(I81,'Semrush Data'!$A$2:$A$5000,0)),"")</f>
        <v/>
      </c>
      <c r="K81" s="45" t="inlineStr">
        <is>
          <t>/collections/body-lotion-for-dry-skin</t>
        </is>
      </c>
      <c r="L81" s="45" t="inlineStr">
        <is>
          <t>Vilvah Everyday Care Milk Kit</t>
        </is>
      </c>
      <c r="M81" s="45" t="inlineStr">
        <is>
          <t>Vilvah Everyday Care Milk Kit | Body Lotion for Dry Skin</t>
        </is>
      </c>
      <c r="N81" s="45">
        <f>LEN(M81)</f>
        <v/>
      </c>
      <c r="O81" s="49" t="inlineStr">
        <is>
          <t>Vilvah Everyday Care Milk Kit: a natural body lotion for dry skin from Vilvah. Official UK partner: 100% authentic, shipped from the UK, free delivery over £50.</t>
        </is>
      </c>
      <c r="P81" s="45">
        <f>LEN(O81)</f>
        <v/>
      </c>
      <c r="Q81" s="49" t="inlineStr">
        <is>
          <t>Vilvah Everyday Care Milk Kit is a natural body lotion for dry skin from Vilvah. Swansura is an official UK partner of Vilvah, so every order is 100% authentic and ships from the UK.</t>
        </is>
      </c>
      <c r="R81" s="49" t="n"/>
      <c r="S81" s="45" t="inlineStr">
        <is>
          <t>Matched – no usable facts, add 1–2 from pack</t>
        </is>
      </c>
      <c r="T81" s="49" t="inlineStr">
        <is>
          <t>Review: source copy has medical-style claims (kept out of intro)</t>
        </is>
      </c>
    </row>
    <row r="82" ht="34.5" customHeight="1" s="37">
      <c r="A82" s="45" t="inlineStr">
        <is>
          <t>VD-081</t>
        </is>
      </c>
      <c r="B82" s="45" t="inlineStr">
        <is>
          <t>Vilvah</t>
        </is>
      </c>
      <c r="C82" s="45" t="inlineStr">
        <is>
          <t>Vilvah Lip Nourishing Kit</t>
        </is>
      </c>
      <c r="D82" s="45" t="inlineStr">
        <is>
          <t>Gift Sets &amp; Combos</t>
        </is>
      </c>
      <c r="E82" s="45" t="inlineStr">
        <is>
          <t>Dry Lips</t>
        </is>
      </c>
      <c r="F82" s="48" t="inlineStr">
        <is>
          <t>lip balm for dry lips</t>
        </is>
      </c>
      <c r="G82" s="47">
        <f>IFERROR(INDEX('Semrush Data'!$C$2:$C$5000,MATCH(F82,'Semrush Data'!$A$2:$A$5000,0)),"")</f>
        <v/>
      </c>
      <c r="H82" s="45">
        <f>IFERROR(INDEX('Semrush Data'!$D$2:$D$5000,MATCH(F82,'Semrush Data'!$A$2:$A$5000,0)),"")</f>
        <v/>
      </c>
      <c r="I82" s="45" t="inlineStr">
        <is>
          <t>vilvah</t>
        </is>
      </c>
      <c r="J82" s="47">
        <f>IFERROR(INDEX('Semrush Data'!$C$2:$C$5000,MATCH(I82,'Semrush Data'!$A$2:$A$5000,0)),"")</f>
        <v/>
      </c>
      <c r="K82" s="45" t="inlineStr">
        <is>
          <t>/collections/lip-balm-for-dry-lips</t>
        </is>
      </c>
      <c r="L82" s="45" t="inlineStr">
        <is>
          <t>Vilvah Lip Nourishing Kit</t>
        </is>
      </c>
      <c r="M82" s="45" t="inlineStr">
        <is>
          <t>Vilvah Lip Nourishing Kit – Lip Balm for Dry Lips | Swansura</t>
        </is>
      </c>
      <c r="N82" s="45">
        <f>LEN(M82)</f>
        <v/>
      </c>
      <c r="O82" s="49" t="inlineStr">
        <is>
          <t>Buy Vilvah Lip Nourishing Kit, a natural lip balm for dry lips from Vilvah. Official UK partner: 100% authentic, shipped from the UK, free delivery over £50.</t>
        </is>
      </c>
      <c r="P82" s="45">
        <f>LEN(O82)</f>
        <v/>
      </c>
      <c r="Q82" s="49" t="inlineStr">
        <is>
          <t>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is>
      </c>
      <c r="R82" s="49" t="n"/>
      <c r="S82" s="45" t="inlineStr">
        <is>
          <t>Matched</t>
        </is>
      </c>
      <c r="T82" s="49" t="n"/>
    </row>
    <row r="83" ht="45.75" customHeight="1" s="37">
      <c r="A83" s="45" t="inlineStr">
        <is>
          <t>VD-082</t>
        </is>
      </c>
      <c r="B83" s="45" t="inlineStr">
        <is>
          <t>Deyga</t>
        </is>
      </c>
      <c r="C83" s="45" t="inlineStr">
        <is>
          <t>Chocolate Body Butter 100G</t>
        </is>
      </c>
      <c r="D83" s="45" t="inlineStr">
        <is>
          <t>Body Butters</t>
        </is>
      </c>
      <c r="E83" s="45" t="inlineStr">
        <is>
          <t>Dry Skin</t>
        </is>
      </c>
      <c r="F83" s="48" t="inlineStr">
        <is>
          <t>body butter</t>
        </is>
      </c>
      <c r="G83" s="47">
        <f>IFERROR(INDEX('Semrush Data'!$C$2:$C$5000,MATCH(F83,'Semrush Data'!$A$2:$A$5000,0)),"")</f>
        <v/>
      </c>
      <c r="H83" s="45">
        <f>IFERROR(INDEX('Semrush Data'!$D$2:$D$5000,MATCH(F83,'Semrush Data'!$A$2:$A$5000,0)),"")</f>
        <v/>
      </c>
      <c r="I83" s="45" t="inlineStr">
        <is>
          <t>deyga</t>
        </is>
      </c>
      <c r="J83" s="47">
        <f>IFERROR(INDEX('Semrush Data'!$C$2:$C$5000,MATCH(I83,'Semrush Data'!$A$2:$A$5000,0)),"")</f>
        <v/>
      </c>
      <c r="K83" s="45" t="inlineStr">
        <is>
          <t>/collections/body-butter</t>
        </is>
      </c>
      <c r="L83" s="45" t="inlineStr">
        <is>
          <t>Deyga Chocolate Body Butter</t>
        </is>
      </c>
      <c r="M83" s="45" t="inlineStr">
        <is>
          <t>Deyga Chocolate Body Butter – Body Butter | Swansura</t>
        </is>
      </c>
      <c r="N83" s="45">
        <f>LEN(M83)</f>
        <v/>
      </c>
      <c r="O83" s="49" t="inlineStr">
        <is>
          <t>Buy Deyga Chocolate Body Butter, a natural body butter from Deyga. Official UK partner: 100% authentic, shipped from the UK, free delivery over £50.</t>
        </is>
      </c>
      <c r="P83" s="45">
        <f>LEN(O83)</f>
        <v/>
      </c>
      <c r="Q83" s="49" t="inlineStr">
        <is>
          <t>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is>
      </c>
      <c r="R83" s="49" t="n"/>
      <c r="S83" s="45" t="inlineStr">
        <is>
          <t>Matched</t>
        </is>
      </c>
      <c r="T83" s="49" t="n"/>
    </row>
    <row r="84" ht="45.75" customHeight="1" s="37">
      <c r="A84" s="45" t="inlineStr">
        <is>
          <t>VD-083</t>
        </is>
      </c>
      <c r="B84" s="45" t="inlineStr">
        <is>
          <t>Deyga</t>
        </is>
      </c>
      <c r="C84" s="45" t="inlineStr">
        <is>
          <t>Charcoal Detox Face Mask 100G</t>
        </is>
      </c>
      <c r="D84" s="45" t="inlineStr">
        <is>
          <t>Face Masks</t>
        </is>
      </c>
      <c r="E84" s="45" t="inlineStr">
        <is>
          <t>Oily Skin</t>
        </is>
      </c>
      <c r="F84" s="48" t="inlineStr">
        <is>
          <t>face mask</t>
        </is>
      </c>
      <c r="G84" s="47">
        <f>IFERROR(INDEX('Semrush Data'!$C$2:$C$5000,MATCH(F84,'Semrush Data'!$A$2:$A$5000,0)),"")</f>
        <v/>
      </c>
      <c r="H84" s="45">
        <f>IFERROR(INDEX('Semrush Data'!$D$2:$D$5000,MATCH(F84,'Semrush Data'!$A$2:$A$5000,0)),"")</f>
        <v/>
      </c>
      <c r="I84" s="45" t="inlineStr">
        <is>
          <t>deyga</t>
        </is>
      </c>
      <c r="J84" s="47">
        <f>IFERROR(INDEX('Semrush Data'!$C$2:$C$5000,MATCH(I84,'Semrush Data'!$A$2:$A$5000,0)),"")</f>
        <v/>
      </c>
      <c r="K84" s="45" t="inlineStr">
        <is>
          <t>/collections/face-mask-for-oily-skin</t>
        </is>
      </c>
      <c r="L84" s="45" t="inlineStr">
        <is>
          <t>Deyga Charcoal Detox Face Mask</t>
        </is>
      </c>
      <c r="M84" s="45" t="inlineStr">
        <is>
          <t>Deyga Charcoal Detox Face Mask – Face Mask | Swansura</t>
        </is>
      </c>
      <c r="N84" s="45">
        <f>LEN(M84)</f>
        <v/>
      </c>
      <c r="O84" s="49" t="inlineStr">
        <is>
          <t>Buy Deyga Charcoal Detox Face Mask, a natural face mask from Deyga. Official UK partner: 100% authentic, shipped from the UK, free delivery over £50.</t>
        </is>
      </c>
      <c r="P84" s="45">
        <f>LEN(O84)</f>
        <v/>
      </c>
      <c r="Q84" s="49" t="inlineStr">
        <is>
          <t>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is>
      </c>
      <c r="R84" s="49" t="n"/>
      <c r="S84" s="45" t="inlineStr">
        <is>
          <t>Matched</t>
        </is>
      </c>
      <c r="T84" s="49" t="inlineStr">
        <is>
          <t>Review: source copy has medical-style claims (kept out of intro)</t>
        </is>
      </c>
    </row>
    <row r="85" ht="45.75" customHeight="1" s="37">
      <c r="A85" s="45" t="inlineStr">
        <is>
          <t>VD-084</t>
        </is>
      </c>
      <c r="B85" s="45" t="inlineStr">
        <is>
          <t>Deyga</t>
        </is>
      </c>
      <c r="C85" s="45" t="inlineStr">
        <is>
          <t>Activated Charcoal Body Wash 220ML</t>
        </is>
      </c>
      <c r="D85" s="45" t="inlineStr">
        <is>
          <t>Bath &amp; Body Wash</t>
        </is>
      </c>
      <c r="E85" s="45" t="inlineStr">
        <is>
          <t>Body Cleansing</t>
        </is>
      </c>
      <c r="F85" s="48" t="inlineStr">
        <is>
          <t>natural body wash</t>
        </is>
      </c>
      <c r="G85" s="47">
        <f>IFERROR(INDEX('Semrush Data'!$C$2:$C$5000,MATCH(F85,'Semrush Data'!$A$2:$A$5000,0)),"")</f>
        <v/>
      </c>
      <c r="H85" s="45">
        <f>IFERROR(INDEX('Semrush Data'!$D$2:$D$5000,MATCH(F85,'Semrush Data'!$A$2:$A$5000,0)),"")</f>
        <v/>
      </c>
      <c r="I85" s="45" t="inlineStr">
        <is>
          <t>deyga</t>
        </is>
      </c>
      <c r="J85" s="47">
        <f>IFERROR(INDEX('Semrush Data'!$C$2:$C$5000,MATCH(I85,'Semrush Data'!$A$2:$A$5000,0)),"")</f>
        <v/>
      </c>
      <c r="K85" s="45" t="inlineStr">
        <is>
          <t>/collections/shower-gel-body-wash</t>
        </is>
      </c>
      <c r="L85" s="45" t="inlineStr">
        <is>
          <t>Deyga Activated Charcoal Body Wash</t>
        </is>
      </c>
      <c r="M85" s="45" t="inlineStr">
        <is>
          <t>Deyga Activated Charcoal Body Wash | Natural Body Wash</t>
        </is>
      </c>
      <c r="N85" s="45">
        <f>LEN(M85)</f>
        <v/>
      </c>
      <c r="O85" s="49" t="inlineStr">
        <is>
          <t>Buy Deyga Activated Charcoal Body Wash, a natural body wash from Deyga. Official UK partner: 100% authentic, shipped from the UK, free delivery over £50.</t>
        </is>
      </c>
      <c r="P85" s="45">
        <f>LEN(O85)</f>
        <v/>
      </c>
      <c r="Q85" s="49" t="inlineStr">
        <is>
          <t>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is>
      </c>
      <c r="R85" s="49" t="n"/>
      <c r="S85" s="45" t="inlineStr">
        <is>
          <t>Matched</t>
        </is>
      </c>
      <c r="T85" s="49" t="inlineStr">
        <is>
          <t>Review: source copy has medical-style claims (kept out of intro)</t>
        </is>
      </c>
    </row>
    <row r="86" ht="45.75" customHeight="1" s="37">
      <c r="A86" s="45" t="inlineStr">
        <is>
          <t>VD-085</t>
        </is>
      </c>
      <c r="B86" s="45" t="inlineStr">
        <is>
          <t>Deyga</t>
        </is>
      </c>
      <c r="C86" s="45" t="inlineStr">
        <is>
          <t>Body Scrub 100g</t>
        </is>
      </c>
      <c r="D86" s="45" t="inlineStr">
        <is>
          <t>Body Scrub &amp; Exfoliators</t>
        </is>
      </c>
      <c r="E86" s="45" t="inlineStr">
        <is>
          <t>Dry Skin</t>
        </is>
      </c>
      <c r="F86" s="48" t="inlineStr">
        <is>
          <t>body scrub</t>
        </is>
      </c>
      <c r="G86" s="47">
        <f>IFERROR(INDEX('Semrush Data'!$C$2:$C$5000,MATCH(F86,'Semrush Data'!$A$2:$A$5000,0)),"")</f>
        <v/>
      </c>
      <c r="H86" s="45">
        <f>IFERROR(INDEX('Semrush Data'!$D$2:$D$5000,MATCH(F86,'Semrush Data'!$A$2:$A$5000,0)),"")</f>
        <v/>
      </c>
      <c r="I86" s="45" t="inlineStr">
        <is>
          <t>deyga</t>
        </is>
      </c>
      <c r="J86" s="47">
        <f>IFERROR(INDEX('Semrush Data'!$C$2:$C$5000,MATCH(I86,'Semrush Data'!$A$2:$A$5000,0)),"")</f>
        <v/>
      </c>
      <c r="K86" s="45" t="inlineStr">
        <is>
          <t>/collections/body-scrub</t>
        </is>
      </c>
      <c r="L86" s="45" t="inlineStr">
        <is>
          <t>Deyga Body Scrub</t>
        </is>
      </c>
      <c r="M86" s="45" t="inlineStr">
        <is>
          <t>Deyga Body Scrub | Body Scrub</t>
        </is>
      </c>
      <c r="N86" s="45">
        <f>LEN(M86)</f>
        <v/>
      </c>
      <c r="O86" s="49" t="inlineStr">
        <is>
          <t>Buy Deyga Body Scrub, a natural body scrub from Deyga. Official UK partner: 100% authentic, shipped from the UK, free delivery over £50.</t>
        </is>
      </c>
      <c r="P86" s="45">
        <f>LEN(O86)</f>
        <v/>
      </c>
      <c r="Q86" s="49" t="inlineStr">
        <is>
          <t>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is>
      </c>
      <c r="R86" s="49" t="inlineStr">
        <is>
          <t>deyga body wash · deyga body wash review · deyga body wash ingredients · how to use deyga body scrub</t>
        </is>
      </c>
      <c r="S86" s="45" t="inlineStr">
        <is>
          <t>Matched</t>
        </is>
      </c>
      <c r="T86" s="49" t="n"/>
    </row>
    <row r="87" ht="45.75" customHeight="1" s="37">
      <c r="A87" s="45" t="inlineStr">
        <is>
          <t>VD-086</t>
        </is>
      </c>
      <c r="B87" s="45" t="inlineStr">
        <is>
          <t>Deyga</t>
        </is>
      </c>
      <c r="C87" s="45" t="inlineStr">
        <is>
          <t>Deep Moisturising Face Cream 30G</t>
        </is>
      </c>
      <c r="D87" s="45" t="inlineStr">
        <is>
          <t>Moisturisers</t>
        </is>
      </c>
      <c r="E87" s="45" t="inlineStr">
        <is>
          <t>Dry Skin</t>
        </is>
      </c>
      <c r="F87" s="48" t="inlineStr">
        <is>
          <t>moisturiser for dry skin</t>
        </is>
      </c>
      <c r="G87" s="47">
        <f>IFERROR(INDEX('Semrush Data'!$C$2:$C$5000,MATCH(F87,'Semrush Data'!$A$2:$A$5000,0)),"")</f>
        <v/>
      </c>
      <c r="H87" s="45">
        <f>IFERROR(INDEX('Semrush Data'!$D$2:$D$5000,MATCH(F87,'Semrush Data'!$A$2:$A$5000,0)),"")</f>
        <v/>
      </c>
      <c r="I87" s="45" t="inlineStr">
        <is>
          <t>deyga</t>
        </is>
      </c>
      <c r="J87" s="47">
        <f>IFERROR(INDEX('Semrush Data'!$C$2:$C$5000,MATCH(I87,'Semrush Data'!$A$2:$A$5000,0)),"")</f>
        <v/>
      </c>
      <c r="K87" s="45" t="inlineStr">
        <is>
          <t>/collections/moisturiser-for-dry-skin</t>
        </is>
      </c>
      <c r="L87" s="45" t="inlineStr">
        <is>
          <t>Deyga Deep Moisturising Face Cream</t>
        </is>
      </c>
      <c r="M87" s="45" t="inlineStr">
        <is>
          <t>Deyga Deep Moisturising Face Cream | Deyga UK | Swansura</t>
        </is>
      </c>
      <c r="N87" s="45">
        <f>LEN(M87)</f>
        <v/>
      </c>
      <c r="O87" s="49" t="inlineStr">
        <is>
          <t>Buy Deyga Deep Moisturising Face Cream, a natural moisturiser for dry skin from Deyga. Official UK partner, 100% authentic, free UK delivery over £50.</t>
        </is>
      </c>
      <c r="P87" s="45">
        <f>LEN(O87)</f>
        <v/>
      </c>
      <c r="Q87" s="49" t="inlineStr">
        <is>
          <t>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is>
      </c>
      <c r="R87" s="49" t="n"/>
      <c r="S87" s="45" t="inlineStr">
        <is>
          <t>Matched</t>
        </is>
      </c>
      <c r="T87" s="49" t="inlineStr">
        <is>
          <t>Review: source copy has medical-style claims (kept out of intro)</t>
        </is>
      </c>
    </row>
    <row r="88" ht="57" customHeight="1" s="37">
      <c r="A88" s="45" t="inlineStr">
        <is>
          <t>VD-087</t>
        </is>
      </c>
      <c r="B88" s="45" t="inlineStr">
        <is>
          <t>Deyga</t>
        </is>
      </c>
      <c r="C88" s="45" t="inlineStr">
        <is>
          <t>2% Hyaluronic Acid Serum 20ML</t>
        </is>
      </c>
      <c r="D88" s="45" t="inlineStr">
        <is>
          <t>Serums</t>
        </is>
      </c>
      <c r="E88" s="45" t="inlineStr">
        <is>
          <t>Dull Skin</t>
        </is>
      </c>
      <c r="F88" s="48" t="inlineStr">
        <is>
          <t>skincare for dull skin</t>
        </is>
      </c>
      <c r="G88" s="47">
        <f>IFERROR(INDEX('Semrush Data'!$C$2:$C$5000,MATCH(F88,'Semrush Data'!$A$2:$A$5000,0)),"")</f>
        <v/>
      </c>
      <c r="H88" s="45">
        <f>IFERROR(INDEX('Semrush Data'!$D$2:$D$5000,MATCH(F88,'Semrush Data'!$A$2:$A$5000,0)),"")</f>
        <v/>
      </c>
      <c r="I88" s="45" t="inlineStr">
        <is>
          <t>deyga</t>
        </is>
      </c>
      <c r="J88" s="47">
        <f>IFERROR(INDEX('Semrush Data'!$C$2:$C$5000,MATCH(I88,'Semrush Data'!$A$2:$A$5000,0)),"")</f>
        <v/>
      </c>
      <c r="K88" s="45" t="inlineStr">
        <is>
          <t>/collections/dull-skin</t>
        </is>
      </c>
      <c r="L88" s="45" t="inlineStr">
        <is>
          <t>Deyga 2% Hyaluronic Acid Serum</t>
        </is>
      </c>
      <c r="M88" s="45" t="inlineStr">
        <is>
          <t>Deyga 2% Hyaluronic Acid Serum | Skincare for Dull Skin</t>
        </is>
      </c>
      <c r="N88" s="45">
        <f>LEN(M88)</f>
        <v/>
      </c>
      <c r="O88" s="49" t="inlineStr">
        <is>
          <t>Buy Deyga 2% Hyaluronic Acid Serum, natural skincare for dull skin from Deyga. Official UK partner: 100% authentic, shipped from the UK, free delivery over £50.</t>
        </is>
      </c>
      <c r="P88" s="45">
        <f>LEN(O88)</f>
        <v/>
      </c>
      <c r="Q88" s="49" t="inlineStr">
        <is>
          <t>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is>
      </c>
      <c r="R88" s="49" t="n"/>
      <c r="S88" s="45" t="inlineStr">
        <is>
          <t>Matched</t>
        </is>
      </c>
      <c r="T88" s="49" t="n"/>
    </row>
    <row r="89" ht="57" customHeight="1" s="37">
      <c r="A89" s="45" t="inlineStr">
        <is>
          <t>VD-088</t>
        </is>
      </c>
      <c r="B89" s="45" t="inlineStr">
        <is>
          <t>Deyga</t>
        </is>
      </c>
      <c r="C89" s="45" t="inlineStr">
        <is>
          <t>Orange &amp; Almond Face Pack Powder 100G</t>
        </is>
      </c>
      <c r="D89" s="45" t="inlineStr">
        <is>
          <t>Skincare Treatments</t>
        </is>
      </c>
      <c r="E89" s="45" t="inlineStr">
        <is>
          <t>Skin Nourishment</t>
        </is>
      </c>
      <c r="F89" s="48" t="inlineStr">
        <is>
          <t>face serum</t>
        </is>
      </c>
      <c r="G89" s="47">
        <f>IFERROR(INDEX('Semrush Data'!$C$2:$C$5000,MATCH(F89,'Semrush Data'!$A$2:$A$5000,0)),"")</f>
        <v/>
      </c>
      <c r="H89" s="45">
        <f>IFERROR(INDEX('Semrush Data'!$D$2:$D$5000,MATCH(F89,'Semrush Data'!$A$2:$A$5000,0)),"")</f>
        <v/>
      </c>
      <c r="I89" s="45" t="inlineStr">
        <is>
          <t>deyga</t>
        </is>
      </c>
      <c r="J89" s="47">
        <f>IFERROR(INDEX('Semrush Data'!$C$2:$C$5000,MATCH(I89,'Semrush Data'!$A$2:$A$5000,0)),"")</f>
        <v/>
      </c>
      <c r="K89" s="45" t="inlineStr">
        <is>
          <t>/collections/face-serum</t>
        </is>
      </c>
      <c r="L89" s="45" t="inlineStr">
        <is>
          <t>Deyga Orange &amp; Almond Face Pack Powder</t>
        </is>
      </c>
      <c r="M89" s="45" t="inlineStr">
        <is>
          <t>Deyga Orange &amp; Almond Face Pack Powder | Face Serum</t>
        </is>
      </c>
      <c r="N89" s="45">
        <f>LEN(M89)</f>
        <v/>
      </c>
      <c r="O89" s="49" t="inlineStr">
        <is>
          <t>Buy Deyga Orange &amp; Almond Face Pack Powder, a natural face serum from Deyga. Official UK partner: 100% authentic, shipped from the UK, free delivery over £50.</t>
        </is>
      </c>
      <c r="P89" s="45">
        <f>LEN(O89)</f>
        <v/>
      </c>
      <c r="Q89" s="49" t="inlineStr">
        <is>
          <t>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is>
      </c>
      <c r="R89" s="49" t="n"/>
      <c r="S89" s="45" t="inlineStr">
        <is>
          <t>Matched</t>
        </is>
      </c>
      <c r="T89" s="49" t="inlineStr">
        <is>
          <t>Review: source copy has medical-style claims (kept out of intro)</t>
        </is>
      </c>
    </row>
    <row r="90" ht="57" customHeight="1" s="37">
      <c r="A90" s="45" t="inlineStr">
        <is>
          <t>VD-089</t>
        </is>
      </c>
      <c r="B90" s="45" t="inlineStr">
        <is>
          <t>Deyga</t>
        </is>
      </c>
      <c r="C90" s="45" t="inlineStr">
        <is>
          <t>Premature Greying Hair Oil 100ML</t>
        </is>
      </c>
      <c r="D90" s="45" t="inlineStr">
        <is>
          <t>Hair Oil</t>
        </is>
      </c>
      <c r="E90" s="45" t="inlineStr">
        <is>
          <t>Dry Hair</t>
        </is>
      </c>
      <c r="F90" s="48" t="inlineStr">
        <is>
          <t>hair growth oil</t>
        </is>
      </c>
      <c r="G90" s="47">
        <f>IFERROR(INDEX('Semrush Data'!$C$2:$C$5000,MATCH(F90,'Semrush Data'!$A$2:$A$5000,0)),"")</f>
        <v/>
      </c>
      <c r="H90" s="45">
        <f>IFERROR(INDEX('Semrush Data'!$D$2:$D$5000,MATCH(F90,'Semrush Data'!$A$2:$A$5000,0)),"")</f>
        <v/>
      </c>
      <c r="I90" s="45" t="inlineStr">
        <is>
          <t>deyga</t>
        </is>
      </c>
      <c r="J90" s="47">
        <f>IFERROR(INDEX('Semrush Data'!$C$2:$C$5000,MATCH(I90,'Semrush Data'!$A$2:$A$5000,0)),"")</f>
        <v/>
      </c>
      <c r="K90" s="45" t="inlineStr">
        <is>
          <t>/collections/hair-growth-oil</t>
        </is>
      </c>
      <c r="L90" s="45" t="inlineStr">
        <is>
          <t>Deyga Premature Greying Hair Oil</t>
        </is>
      </c>
      <c r="M90" s="45" t="inlineStr">
        <is>
          <t>Deyga Premature Greying Hair Oil | Hair Growth Oil</t>
        </is>
      </c>
      <c r="N90" s="45">
        <f>LEN(M90)</f>
        <v/>
      </c>
      <c r="O90" s="49" t="inlineStr">
        <is>
          <t>Buy Deyga Premature Greying Hair Oil, a natural hair growth oil from Deyga. Official UK partner: 100% authentic, shipped from the UK, free delivery over £50.</t>
        </is>
      </c>
      <c r="P90" s="45">
        <f>LEN(O90)</f>
        <v/>
      </c>
      <c r="Q90" s="49" t="inlineStr">
        <is>
          <t>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is>
      </c>
      <c r="R90" s="49" t="n"/>
      <c r="S90" s="45" t="inlineStr">
        <is>
          <t>Matched</t>
        </is>
      </c>
      <c r="T90" s="49" t="inlineStr">
        <is>
          <t>Review: source copy has medical-style claims (kept out of intro)</t>
        </is>
      </c>
    </row>
    <row r="91" ht="23.25" customHeight="1" s="37">
      <c r="A91" s="45" t="inlineStr">
        <is>
          <t>VD-090</t>
        </is>
      </c>
      <c r="B91" s="45" t="inlineStr">
        <is>
          <t>Deyga</t>
        </is>
      </c>
      <c r="C91" s="45" t="inlineStr">
        <is>
          <t>Anti-dandruff Oil</t>
        </is>
      </c>
      <c r="D91" s="45" t="inlineStr">
        <is>
          <t>Hair Oil</t>
        </is>
      </c>
      <c r="E91" s="45" t="inlineStr">
        <is>
          <t>Anti-Dandruff</t>
        </is>
      </c>
      <c r="F91" s="48" t="inlineStr">
        <is>
          <t>deyga anti dandruff oil</t>
        </is>
      </c>
      <c r="G91" s="47">
        <f>IFERROR(INDEX('Semrush Data'!$C$2:$C$5000,MATCH(F91,'Semrush Data'!$A$2:$A$5000,0)),"")</f>
        <v/>
      </c>
      <c r="H91" s="45">
        <f>IFERROR(INDEX('Semrush Data'!$D$2:$D$5000,MATCH(F91,'Semrush Data'!$A$2:$A$5000,0)),"")</f>
        <v/>
      </c>
      <c r="I91" s="45" t="inlineStr">
        <is>
          <t>deyga</t>
        </is>
      </c>
      <c r="J91" s="47">
        <f>IFERROR(INDEX('Semrush Data'!$C$2:$C$5000,MATCH(I91,'Semrush Data'!$A$2:$A$5000,0)),"")</f>
        <v/>
      </c>
      <c r="K91" s="45" t="inlineStr">
        <is>
          <t>/collections/hair-growth-oil</t>
        </is>
      </c>
      <c r="L91" s="45" t="inlineStr">
        <is>
          <t>Deyga Anti-Dandruff Hair Oil 100ml</t>
        </is>
      </c>
      <c r="M91" s="45" t="inlineStr">
        <is>
          <t>Deyga Anti-Dandruff Hair Oil 100ml – Neem &amp; Amla | Swansura</t>
        </is>
      </c>
      <c r="N91" s="45">
        <f>LEN(M91)</f>
        <v/>
      </c>
      <c r="O91" s="49" t="inlineStr">
        <is>
          <t>Buy Deyga Anti-Dandruff Hair Oil 100ml, a natural scalp oil with neem, amla and fenugreek. Official UK partner: 100% authentic, ships from the UK.</t>
        </is>
      </c>
      <c r="P91" s="45">
        <f>LEN(O91)</f>
        <v/>
      </c>
      <c r="Q91" s="49" t="inlineStr">
        <is>
          <t>Deyga Anti-Dandruff Hair Oil is a natural scalp oil from Deyga, made with neem, fenugreek, amla, coconut, castor and sunflower seed oils. Swansura is an official UK partner of Deyga, so every order is 100% authentic and ships from the UK.</t>
        </is>
      </c>
      <c r="R91" s="49" t="inlineStr">
        <is>
          <t>deyga anti dandruff oil · deyga anti dandruff oil review</t>
        </is>
      </c>
      <c r="S91" s="45" t="inlineStr">
        <is>
          <t>Not found – write from pack</t>
        </is>
      </c>
      <c r="T91" s="49" t="n"/>
    </row>
    <row r="92" ht="45.75" customHeight="1" s="37">
      <c r="A92" s="45" t="inlineStr">
        <is>
          <t>VD-091</t>
        </is>
      </c>
      <c r="B92" s="45" t="inlineStr">
        <is>
          <t>Deyga</t>
        </is>
      </c>
      <c r="C92" s="45" t="inlineStr">
        <is>
          <t>Rose &amp; Geranium Body Butter 40G</t>
        </is>
      </c>
      <c r="D92" s="45" t="inlineStr">
        <is>
          <t>Body Butters</t>
        </is>
      </c>
      <c r="E92" s="45" t="inlineStr">
        <is>
          <t>Dry Skin</t>
        </is>
      </c>
      <c r="F92" s="48" t="inlineStr">
        <is>
          <t>body butter</t>
        </is>
      </c>
      <c r="G92" s="47">
        <f>IFERROR(INDEX('Semrush Data'!$C$2:$C$5000,MATCH(F92,'Semrush Data'!$A$2:$A$5000,0)),"")</f>
        <v/>
      </c>
      <c r="H92" s="45">
        <f>IFERROR(INDEX('Semrush Data'!$D$2:$D$5000,MATCH(F92,'Semrush Data'!$A$2:$A$5000,0)),"")</f>
        <v/>
      </c>
      <c r="I92" s="45" t="inlineStr">
        <is>
          <t>deyga</t>
        </is>
      </c>
      <c r="J92" s="47">
        <f>IFERROR(INDEX('Semrush Data'!$C$2:$C$5000,MATCH(I92,'Semrush Data'!$A$2:$A$5000,0)),"")</f>
        <v/>
      </c>
      <c r="K92" s="45" t="inlineStr">
        <is>
          <t>/collections/body-butter</t>
        </is>
      </c>
      <c r="L92" s="45" t="inlineStr">
        <is>
          <t>Deyga Rose &amp; Geranium Body Butter</t>
        </is>
      </c>
      <c r="M92" s="45" t="inlineStr">
        <is>
          <t>Deyga Rose &amp; Geranium Body Butter – Body Butter | Swansura</t>
        </is>
      </c>
      <c r="N92" s="45">
        <f>LEN(M92)</f>
        <v/>
      </c>
      <c r="O92" s="49" t="inlineStr">
        <is>
          <t>Buy Deyga Rose &amp; Geranium Body Butter, a natural body butter from Deyga. Official UK partner: 100% authentic, shipped from the UK, free delivery over £50.</t>
        </is>
      </c>
      <c r="P92" s="45">
        <f>LEN(O92)</f>
        <v/>
      </c>
      <c r="Q92" s="49" t="inlineStr">
        <is>
          <t>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is>
      </c>
      <c r="R92" s="49" t="n"/>
      <c r="S92" s="45" t="inlineStr">
        <is>
          <t>Matched</t>
        </is>
      </c>
      <c r="T92" s="49" t="inlineStr">
        <is>
          <t>Review: source copy has medical-style claims (kept out of intro)</t>
        </is>
      </c>
    </row>
    <row r="93" ht="34.5" customHeight="1" s="37">
      <c r="A93" s="45" t="inlineStr">
        <is>
          <t>VD-092</t>
        </is>
      </c>
      <c r="B93" s="45" t="inlineStr">
        <is>
          <t>Deyga</t>
        </is>
      </c>
      <c r="C93" s="45" t="inlineStr">
        <is>
          <t>Rose Glow Serum 30ml</t>
        </is>
      </c>
      <c r="D93" s="45" t="inlineStr">
        <is>
          <t>Serums</t>
        </is>
      </c>
      <c r="E93" s="45" t="inlineStr">
        <is>
          <t>Dull Skin</t>
        </is>
      </c>
      <c r="F93" s="48" t="inlineStr">
        <is>
          <t>skincare for dull skin</t>
        </is>
      </c>
      <c r="G93" s="47">
        <f>IFERROR(INDEX('Semrush Data'!$C$2:$C$5000,MATCH(F93,'Semrush Data'!$A$2:$A$5000,0)),"")</f>
        <v/>
      </c>
      <c r="H93" s="45">
        <f>IFERROR(INDEX('Semrush Data'!$D$2:$D$5000,MATCH(F93,'Semrush Data'!$A$2:$A$5000,0)),"")</f>
        <v/>
      </c>
      <c r="I93" s="45" t="inlineStr">
        <is>
          <t>deyga</t>
        </is>
      </c>
      <c r="J93" s="47">
        <f>IFERROR(INDEX('Semrush Data'!$C$2:$C$5000,MATCH(I93,'Semrush Data'!$A$2:$A$5000,0)),"")</f>
        <v/>
      </c>
      <c r="K93" s="45" t="inlineStr">
        <is>
          <t>/collections/dull-skin</t>
        </is>
      </c>
      <c r="L93" s="45" t="inlineStr">
        <is>
          <t>Deyga Rose Glow Serum</t>
        </is>
      </c>
      <c r="M93" s="45" t="inlineStr">
        <is>
          <t>Deyga Rose Glow Serum – Skincare for Dull Skin | Swansura</t>
        </is>
      </c>
      <c r="N93" s="45">
        <f>LEN(M93)</f>
        <v/>
      </c>
      <c r="O93" s="49" t="inlineStr">
        <is>
          <t>Buy Deyga Rose Glow Serum, natural skincare for dull skin from Deyga. Official UK partner: 100% authentic, shipped from the UK, free delivery over £50.</t>
        </is>
      </c>
      <c r="P93" s="45">
        <f>LEN(O93)</f>
        <v/>
      </c>
      <c r="Q93" s="49" t="inlineStr">
        <is>
          <t>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is>
      </c>
      <c r="R93" s="49" t="inlineStr">
        <is>
          <t>deyga rose glow serum review</t>
        </is>
      </c>
      <c r="S93" s="45" t="inlineStr">
        <is>
          <t>Matched</t>
        </is>
      </c>
      <c r="T93" s="49" t="inlineStr">
        <is>
          <t>Review: source copy has medical-style claims (kept out of intro)</t>
        </is>
      </c>
    </row>
    <row r="94" ht="45.75" customHeight="1" s="37">
      <c r="A94" s="45" t="inlineStr">
        <is>
          <t>VD-093</t>
        </is>
      </c>
      <c r="B94" s="45" t="inlineStr">
        <is>
          <t>Deyga</t>
        </is>
      </c>
      <c r="C94" s="45" t="inlineStr">
        <is>
          <t>Light Moisturising Face Cream 30G</t>
        </is>
      </c>
      <c r="D94" s="45" t="inlineStr">
        <is>
          <t>Moisturisers</t>
        </is>
      </c>
      <c r="E94" s="45" t="inlineStr">
        <is>
          <t>Dry Skin</t>
        </is>
      </c>
      <c r="F94" s="48" t="inlineStr">
        <is>
          <t>moisturiser for oily skin</t>
        </is>
      </c>
      <c r="G94" s="47">
        <f>IFERROR(INDEX('Semrush Data'!$C$2:$C$5000,MATCH(F94,'Semrush Data'!$A$2:$A$5000,0)),"")</f>
        <v/>
      </c>
      <c r="H94" s="45">
        <f>IFERROR(INDEX('Semrush Data'!$D$2:$D$5000,MATCH(F94,'Semrush Data'!$A$2:$A$5000,0)),"")</f>
        <v/>
      </c>
      <c r="I94" s="45" t="inlineStr">
        <is>
          <t>deyga</t>
        </is>
      </c>
      <c r="J94" s="47">
        <f>IFERROR(INDEX('Semrush Data'!$C$2:$C$5000,MATCH(I94,'Semrush Data'!$A$2:$A$5000,0)),"")</f>
        <v/>
      </c>
      <c r="K94" s="45" t="inlineStr">
        <is>
          <t>/collections/moisturiser</t>
        </is>
      </c>
      <c r="L94" s="45" t="inlineStr">
        <is>
          <t>Deyga Light Moisturising Face Cream</t>
        </is>
      </c>
      <c r="M94" s="45" t="inlineStr">
        <is>
          <t>Deyga Light Moisturising Face Cream | Deyga UK | Swansura</t>
        </is>
      </c>
      <c r="N94" s="45">
        <f>LEN(M94)</f>
        <v/>
      </c>
      <c r="O94" s="49" t="inlineStr">
        <is>
          <t>Buy Deyga Light Moisturising Face Cream, a natural moisturiser for oily skin from Deyga. Official UK partner, 100% authentic, free UK delivery over £50.</t>
        </is>
      </c>
      <c r="P94" s="45">
        <f>LEN(O94)</f>
        <v/>
      </c>
      <c r="Q94" s="49" t="inlineStr">
        <is>
          <t>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is>
      </c>
      <c r="R94" s="49" t="n"/>
      <c r="S94" s="45" t="inlineStr">
        <is>
          <t>Matched</t>
        </is>
      </c>
      <c r="T94" s="49" t="n"/>
    </row>
    <row r="95" ht="57" customHeight="1" s="37">
      <c r="A95" s="45" t="inlineStr">
        <is>
          <t>VD-094</t>
        </is>
      </c>
      <c r="B95" s="45" t="inlineStr">
        <is>
          <t>Deyga</t>
        </is>
      </c>
      <c r="C95" s="45" t="inlineStr">
        <is>
          <t>Foot Soak Powder 160G</t>
        </is>
      </c>
      <c r="D95" s="45" t="inlineStr">
        <is>
          <t>Body Care</t>
        </is>
      </c>
      <c r="E95" s="45" t="inlineStr">
        <is>
          <t>Dry Skin</t>
        </is>
      </c>
      <c r="F95" s="48" t="inlineStr">
        <is>
          <t>body lotion for dry skin</t>
        </is>
      </c>
      <c r="G95" s="47">
        <f>IFERROR(INDEX('Semrush Data'!$C$2:$C$5000,MATCH(F95,'Semrush Data'!$A$2:$A$5000,0)),"")</f>
        <v/>
      </c>
      <c r="H95" s="45">
        <f>IFERROR(INDEX('Semrush Data'!$D$2:$D$5000,MATCH(F95,'Semrush Data'!$A$2:$A$5000,0)),"")</f>
        <v/>
      </c>
      <c r="I95" s="45" t="inlineStr">
        <is>
          <t>deyga</t>
        </is>
      </c>
      <c r="J95" s="47">
        <f>IFERROR(INDEX('Semrush Data'!$C$2:$C$5000,MATCH(I95,'Semrush Data'!$A$2:$A$5000,0)),"")</f>
        <v/>
      </c>
      <c r="K95" s="45" t="inlineStr">
        <is>
          <t>/collections/body-lotion-for-dry-skin</t>
        </is>
      </c>
      <c r="L95" s="45" t="inlineStr">
        <is>
          <t>Deyga Foot Soak Powder</t>
        </is>
      </c>
      <c r="M95" s="45" t="inlineStr">
        <is>
          <t>Deyga Foot Soak Powder – Body Lotion for Dry Skin | Swansura</t>
        </is>
      </c>
      <c r="N95" s="45">
        <f>LEN(M95)</f>
        <v/>
      </c>
      <c r="O95" s="49" t="inlineStr">
        <is>
          <t>Buy Deyga Foot Soak Powder, a natural body lotion for dry skin from Deyga. Official UK partner: 100% authentic, shipped from the UK, free delivery over £50.</t>
        </is>
      </c>
      <c r="P95" s="45">
        <f>LEN(O95)</f>
        <v/>
      </c>
      <c r="Q95" s="49" t="inlineStr">
        <is>
          <t>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is>
      </c>
      <c r="R95" s="49" t="n"/>
      <c r="S95" s="45" t="inlineStr">
        <is>
          <t>Matched</t>
        </is>
      </c>
      <c r="T95" s="49" t="n"/>
    </row>
    <row r="96" ht="57" customHeight="1" s="37">
      <c r="A96" s="45" t="inlineStr">
        <is>
          <t>VD-095</t>
        </is>
      </c>
      <c r="B96" s="45" t="inlineStr">
        <is>
          <t>Deyga</t>
        </is>
      </c>
      <c r="C96" s="45" t="inlineStr">
        <is>
          <t>Vitamin C Foaming Face Wash 100ML</t>
        </is>
      </c>
      <c r="D96" s="45" t="inlineStr">
        <is>
          <t>Cleansers</t>
        </is>
      </c>
      <c r="E96" s="45" t="inlineStr">
        <is>
          <t>Skin Nourishment</t>
        </is>
      </c>
      <c r="F96" s="48" t="inlineStr">
        <is>
          <t>face wash for oily skin</t>
        </is>
      </c>
      <c r="G96" s="47">
        <f>IFERROR(INDEX('Semrush Data'!$C$2:$C$5000,MATCH(F96,'Semrush Data'!$A$2:$A$5000,0)),"")</f>
        <v/>
      </c>
      <c r="H96" s="45">
        <f>IFERROR(INDEX('Semrush Data'!$D$2:$D$5000,MATCH(F96,'Semrush Data'!$A$2:$A$5000,0)),"")</f>
        <v/>
      </c>
      <c r="I96" s="45" t="inlineStr">
        <is>
          <t>deyga</t>
        </is>
      </c>
      <c r="J96" s="47">
        <f>IFERROR(INDEX('Semrush Data'!$C$2:$C$5000,MATCH(I96,'Semrush Data'!$A$2:$A$5000,0)),"")</f>
        <v/>
      </c>
      <c r="K96" s="45" t="inlineStr">
        <is>
          <t>/collections/face-wash-for-oily-skin</t>
        </is>
      </c>
      <c r="L96" s="45" t="inlineStr">
        <is>
          <t>Deyga Vitamin C Foaming Face Wash</t>
        </is>
      </c>
      <c r="M96" s="45" t="inlineStr">
        <is>
          <t>Deyga Vitamin C Foaming Face Wash | Face Wash for Oily Skin</t>
        </is>
      </c>
      <c r="N96" s="45">
        <f>LEN(M96)</f>
        <v/>
      </c>
      <c r="O96" s="49" t="inlineStr">
        <is>
          <t>Buy Deyga Vitamin C Foaming Face Wash, a natural face wash for oily skin from Deyga. Official UK partner, 100% authentic, free UK delivery over £50.</t>
        </is>
      </c>
      <c r="P96" s="45">
        <f>LEN(O96)</f>
        <v/>
      </c>
      <c r="Q96" s="49" t="inlineStr">
        <is>
          <t>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is>
      </c>
      <c r="R96" s="49" t="inlineStr">
        <is>
          <t>deyga vitamin c foaming face wash review</t>
        </is>
      </c>
      <c r="S96" s="45" t="inlineStr">
        <is>
          <t>Matched</t>
        </is>
      </c>
      <c r="T96" s="49" t="inlineStr">
        <is>
          <t>Review: source copy has medical-style claims (kept out of intro)</t>
        </is>
      </c>
    </row>
    <row r="97" ht="45.75" customHeight="1" s="37">
      <c r="A97" s="45" t="inlineStr">
        <is>
          <t>VD-096</t>
        </is>
      </c>
      <c r="B97" s="45" t="inlineStr">
        <is>
          <t>Deyga</t>
        </is>
      </c>
      <c r="C97" s="45" t="inlineStr">
        <is>
          <t>Wild Berry Body Wash 220ml</t>
        </is>
      </c>
      <c r="D97" s="45" t="inlineStr">
        <is>
          <t>Bath &amp; Body Wash</t>
        </is>
      </c>
      <c r="E97" s="45" t="inlineStr">
        <is>
          <t>Body Cleansing</t>
        </is>
      </c>
      <c r="F97" s="48" t="inlineStr">
        <is>
          <t>natural body wash</t>
        </is>
      </c>
      <c r="G97" s="47">
        <f>IFERROR(INDEX('Semrush Data'!$C$2:$C$5000,MATCH(F97,'Semrush Data'!$A$2:$A$5000,0)),"")</f>
        <v/>
      </c>
      <c r="H97" s="45">
        <f>IFERROR(INDEX('Semrush Data'!$D$2:$D$5000,MATCH(F97,'Semrush Data'!$A$2:$A$5000,0)),"")</f>
        <v/>
      </c>
      <c r="I97" s="45" t="inlineStr">
        <is>
          <t>deyga</t>
        </is>
      </c>
      <c r="J97" s="47">
        <f>IFERROR(INDEX('Semrush Data'!$C$2:$C$5000,MATCH(I97,'Semrush Data'!$A$2:$A$5000,0)),"")</f>
        <v/>
      </c>
      <c r="K97" s="45" t="inlineStr">
        <is>
          <t>/collections/shower-gel-body-wash</t>
        </is>
      </c>
      <c r="L97" s="45" t="inlineStr">
        <is>
          <t>Deyga Wild Berry Body Wash</t>
        </is>
      </c>
      <c r="M97" s="45" t="inlineStr">
        <is>
          <t>Deyga Wild Berry Body Wash – Natural Body Wash | Swansura</t>
        </is>
      </c>
      <c r="N97" s="45">
        <f>LEN(M97)</f>
        <v/>
      </c>
      <c r="O97" s="49" t="inlineStr">
        <is>
          <t>Buy Deyga Wild Berry Body Wash, a natural body wash from Deyga. Official UK partner: 100% authentic, shipped from the UK, free delivery over £50.</t>
        </is>
      </c>
      <c r="P97" s="45">
        <f>LEN(O97)</f>
        <v/>
      </c>
      <c r="Q97" s="49" t="inlineStr">
        <is>
          <t>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is>
      </c>
      <c r="R97" s="49" t="inlineStr">
        <is>
          <t>deyga wild berry body wash review</t>
        </is>
      </c>
      <c r="S97" s="45" t="inlineStr">
        <is>
          <t>Matched</t>
        </is>
      </c>
      <c r="T97" s="49" t="inlineStr">
        <is>
          <t>Review: source copy has medical-style claims (kept out of intro)</t>
        </is>
      </c>
    </row>
    <row r="98" ht="57" customHeight="1" s="37">
      <c r="A98" s="45" t="inlineStr">
        <is>
          <t>VD-097</t>
        </is>
      </c>
      <c r="B98" s="45" t="inlineStr">
        <is>
          <t>Deyga</t>
        </is>
      </c>
      <c r="C98" s="45" t="inlineStr">
        <is>
          <t>Neem Seed Oil 30ML</t>
        </is>
      </c>
      <c r="D98" s="45" t="inlineStr">
        <is>
          <t>Body Oil</t>
        </is>
      </c>
      <c r="E98" s="45" t="inlineStr">
        <is>
          <t>Body Hydration</t>
        </is>
      </c>
      <c r="F98" s="48" t="inlineStr">
        <is>
          <t>body lotion for dry skin</t>
        </is>
      </c>
      <c r="G98" s="47">
        <f>IFERROR(INDEX('Semrush Data'!$C$2:$C$5000,MATCH(F98,'Semrush Data'!$A$2:$A$5000,0)),"")</f>
        <v/>
      </c>
      <c r="H98" s="45">
        <f>IFERROR(INDEX('Semrush Data'!$D$2:$D$5000,MATCH(F98,'Semrush Data'!$A$2:$A$5000,0)),"")</f>
        <v/>
      </c>
      <c r="I98" s="45" t="inlineStr">
        <is>
          <t>deyga</t>
        </is>
      </c>
      <c r="J98" s="47">
        <f>IFERROR(INDEX('Semrush Data'!$C$2:$C$5000,MATCH(I98,'Semrush Data'!$A$2:$A$5000,0)),"")</f>
        <v/>
      </c>
      <c r="K98" s="45" t="inlineStr">
        <is>
          <t>/collections/body-lotion-for-dry-skin</t>
        </is>
      </c>
      <c r="L98" s="45" t="inlineStr">
        <is>
          <t>Deyga Neem Seed Oil</t>
        </is>
      </c>
      <c r="M98" s="45" t="inlineStr">
        <is>
          <t>Deyga Neem Seed Oil – Body Lotion for Dry Skin | Swansura</t>
        </is>
      </c>
      <c r="N98" s="45">
        <f>LEN(M98)</f>
        <v/>
      </c>
      <c r="O98" s="49" t="inlineStr">
        <is>
          <t>Buy Deyga Neem Seed Oil, a natural body lotion for dry skin from Deyga. Multi-Purpose Skin &amp; Hair Care Oil – Can be used for face. Free UK delivery over £50.</t>
        </is>
      </c>
      <c r="P98" s="45">
        <f>LEN(O98)</f>
        <v/>
      </c>
      <c r="Q98" s="49" t="inlineStr">
        <is>
          <t>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is>
      </c>
      <c r="R98" s="49" t="inlineStr">
        <is>
          <t>deyga neem seed oil review</t>
        </is>
      </c>
      <c r="S98" s="45" t="inlineStr">
        <is>
          <t>Matched</t>
        </is>
      </c>
      <c r="T98" s="49" t="inlineStr">
        <is>
          <t>Review: source copy has medical-style claims (kept out of intro)</t>
        </is>
      </c>
    </row>
    <row r="99" ht="57" customHeight="1" s="37">
      <c r="A99" s="45" t="inlineStr">
        <is>
          <t>VD-098</t>
        </is>
      </c>
      <c r="B99" s="45" t="inlineStr">
        <is>
          <t>Deyga</t>
        </is>
      </c>
      <c r="C99" s="45" t="inlineStr">
        <is>
          <t>Under Eye Mask 15G</t>
        </is>
      </c>
      <c r="D99" s="45" t="inlineStr">
        <is>
          <t>Skincare Treatments</t>
        </is>
      </c>
      <c r="E99" s="45" t="inlineStr">
        <is>
          <t>Skin Nourishment</t>
        </is>
      </c>
      <c r="F99" s="48" t="inlineStr">
        <is>
          <t>face serum</t>
        </is>
      </c>
      <c r="G99" s="47">
        <f>IFERROR(INDEX('Semrush Data'!$C$2:$C$5000,MATCH(F99,'Semrush Data'!$A$2:$A$5000,0)),"")</f>
        <v/>
      </c>
      <c r="H99" s="45">
        <f>IFERROR(INDEX('Semrush Data'!$D$2:$D$5000,MATCH(F99,'Semrush Data'!$A$2:$A$5000,0)),"")</f>
        <v/>
      </c>
      <c r="I99" s="45" t="inlineStr">
        <is>
          <t>deyga</t>
        </is>
      </c>
      <c r="J99" s="47">
        <f>IFERROR(INDEX('Semrush Data'!$C$2:$C$5000,MATCH(I99,'Semrush Data'!$A$2:$A$5000,0)),"")</f>
        <v/>
      </c>
      <c r="K99" s="45" t="inlineStr">
        <is>
          <t>/collections/face-serum</t>
        </is>
      </c>
      <c r="L99" s="45" t="inlineStr">
        <is>
          <t>Deyga Under Eye Mask</t>
        </is>
      </c>
      <c r="M99" s="45" t="inlineStr">
        <is>
          <t>Deyga Under Eye Mask | Face Serum</t>
        </is>
      </c>
      <c r="N99" s="45">
        <f>LEN(M99)</f>
        <v/>
      </c>
      <c r="O99" s="49" t="inlineStr">
        <is>
          <t>Buy Deyga Under Eye Mask, a natural face serum from Deyga. Official UK partner: 100% authentic, shipped from the UK, free delivery over £50.</t>
        </is>
      </c>
      <c r="P99" s="45">
        <f>LEN(O99)</f>
        <v/>
      </c>
      <c r="Q99" s="49" t="inlineStr">
        <is>
          <t>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is>
      </c>
      <c r="R99" s="49" t="inlineStr">
        <is>
          <t>deyga under eye mask review · how to use deyga under eye mask</t>
        </is>
      </c>
      <c r="S99" s="45" t="inlineStr">
        <is>
          <t>Matched</t>
        </is>
      </c>
      <c r="T99" s="49" t="inlineStr">
        <is>
          <t>Review: source copy has medical-style claims (kept out of intro)</t>
        </is>
      </c>
    </row>
    <row r="100" ht="45.75" customHeight="1" s="37">
      <c r="A100" s="45" t="inlineStr">
        <is>
          <t>VD-099</t>
        </is>
      </c>
      <c r="B100" s="45" t="inlineStr">
        <is>
          <t>Deyga</t>
        </is>
      </c>
      <c r="C100" s="45" t="inlineStr">
        <is>
          <t>Spirulina Matcha Face Pack 150G</t>
        </is>
      </c>
      <c r="D100" s="45" t="inlineStr">
        <is>
          <t>Skincare Treatments</t>
        </is>
      </c>
      <c r="E100" s="45" t="inlineStr">
        <is>
          <t>Skin Nourishment</t>
        </is>
      </c>
      <c r="F100" s="48" t="inlineStr">
        <is>
          <t>face serum</t>
        </is>
      </c>
      <c r="G100" s="47">
        <f>IFERROR(INDEX('Semrush Data'!$C$2:$C$5000,MATCH(F100,'Semrush Data'!$A$2:$A$5000,0)),"")</f>
        <v/>
      </c>
      <c r="H100" s="45">
        <f>IFERROR(INDEX('Semrush Data'!$D$2:$D$5000,MATCH(F100,'Semrush Data'!$A$2:$A$5000,0)),"")</f>
        <v/>
      </c>
      <c r="I100" s="45" t="inlineStr">
        <is>
          <t>deyga</t>
        </is>
      </c>
      <c r="J100" s="47">
        <f>IFERROR(INDEX('Semrush Data'!$C$2:$C$5000,MATCH(I100,'Semrush Data'!$A$2:$A$5000,0)),"")</f>
        <v/>
      </c>
      <c r="K100" s="45" t="inlineStr">
        <is>
          <t>/collections/face-serum</t>
        </is>
      </c>
      <c r="L100" s="45" t="inlineStr">
        <is>
          <t>Deyga Spirulina Matcha Face Pack</t>
        </is>
      </c>
      <c r="M100" s="45" t="inlineStr">
        <is>
          <t>Deyga Spirulina Matcha Face Pack – Face Serum | Swansura</t>
        </is>
      </c>
      <c r="N100" s="45">
        <f>LEN(M100)</f>
        <v/>
      </c>
      <c r="O100" s="49" t="inlineStr">
        <is>
          <t>Buy Deyga Spirulina Matcha Face Pack, a natural face serum from Deyga. Official UK partner: 100% authentic, shipped from the UK, free delivery over £50.</t>
        </is>
      </c>
      <c r="P100" s="45">
        <f>LEN(O100)</f>
        <v/>
      </c>
      <c r="Q100" s="49" t="inlineStr">
        <is>
          <t>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is>
      </c>
      <c r="R100" s="49" t="n"/>
      <c r="S100" s="45" t="inlineStr">
        <is>
          <t>Matched</t>
        </is>
      </c>
      <c r="T100" s="49" t="inlineStr">
        <is>
          <t>Review: source copy has medical-style claims (kept out of intro)</t>
        </is>
      </c>
    </row>
    <row r="101" ht="57" customHeight="1" s="37">
      <c r="A101" s="45" t="inlineStr">
        <is>
          <t>VD-100</t>
        </is>
      </c>
      <c r="B101" s="45" t="inlineStr">
        <is>
          <t>Deyga</t>
        </is>
      </c>
      <c r="C101" s="45" t="inlineStr">
        <is>
          <t>Tea Tree Facial Toner 100ML</t>
        </is>
      </c>
      <c r="D101" s="45" t="inlineStr">
        <is>
          <t>Toners</t>
        </is>
      </c>
      <c r="E101" s="45" t="inlineStr">
        <is>
          <t>Skin Nourishment</t>
        </is>
      </c>
      <c r="F101" s="48" t="inlineStr">
        <is>
          <t>toner for dry skin</t>
        </is>
      </c>
      <c r="G101" s="47">
        <f>IFERROR(INDEX('Semrush Data'!$C$2:$C$5000,MATCH(F101,'Semrush Data'!$A$2:$A$5000,0)),"")</f>
        <v/>
      </c>
      <c r="H101" s="45">
        <f>IFERROR(INDEX('Semrush Data'!$D$2:$D$5000,MATCH(F101,'Semrush Data'!$A$2:$A$5000,0)),"")</f>
        <v/>
      </c>
      <c r="I101" s="45" t="inlineStr">
        <is>
          <t>deyga</t>
        </is>
      </c>
      <c r="J101" s="47">
        <f>IFERROR(INDEX('Semrush Data'!$C$2:$C$5000,MATCH(I101,'Semrush Data'!$A$2:$A$5000,0)),"")</f>
        <v/>
      </c>
      <c r="K101" s="45" t="inlineStr">
        <is>
          <t>/collections/toner-for-dry-skin</t>
        </is>
      </c>
      <c r="L101" s="45" t="inlineStr">
        <is>
          <t>Deyga Tea Tree Facial Toner</t>
        </is>
      </c>
      <c r="M101" s="45" t="inlineStr">
        <is>
          <t>Deyga Tea Tree Facial Toner – Toner for Dry Skin | Swansura</t>
        </is>
      </c>
      <c r="N101" s="45">
        <f>LEN(M101)</f>
        <v/>
      </c>
      <c r="O101" s="49" t="inlineStr">
        <is>
          <t>Buy Deyga Tea Tree Facial Toner, a natural toner for dry skin from Deyga. Official UK partner: 100% authentic, shipped from the UK, free delivery over £50.</t>
        </is>
      </c>
      <c r="P101" s="45">
        <f>LEN(O101)</f>
        <v/>
      </c>
      <c r="Q101" s="49" t="inlineStr">
        <is>
          <t>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is>
      </c>
      <c r="R101" s="49" t="n"/>
      <c r="S101" s="45" t="inlineStr">
        <is>
          <t>Matched</t>
        </is>
      </c>
      <c r="T101" s="49" t="inlineStr">
        <is>
          <t>Review: source copy has medical-style claims (kept out of intro)</t>
        </is>
      </c>
    </row>
    <row r="102" ht="57" customHeight="1" s="37">
      <c r="A102" s="45" t="inlineStr">
        <is>
          <t>VD-101</t>
        </is>
      </c>
      <c r="B102" s="45" t="inlineStr">
        <is>
          <t>Deyga</t>
        </is>
      </c>
      <c r="C102" s="45" t="inlineStr">
        <is>
          <t>Tangerine Cleansing Balm for Makeup Removal 30g</t>
        </is>
      </c>
      <c r="D102" s="45" t="inlineStr">
        <is>
          <t>Skincare Treatments</t>
        </is>
      </c>
      <c r="E102" s="45" t="inlineStr">
        <is>
          <t>Sun Protection</t>
        </is>
      </c>
      <c r="F102" s="48" t="inlineStr">
        <is>
          <t>face serum</t>
        </is>
      </c>
      <c r="G102" s="47">
        <f>IFERROR(INDEX('Semrush Data'!$C$2:$C$5000,MATCH(F102,'Semrush Data'!$A$2:$A$5000,0)),"")</f>
        <v/>
      </c>
      <c r="H102" s="45">
        <f>IFERROR(INDEX('Semrush Data'!$D$2:$D$5000,MATCH(F102,'Semrush Data'!$A$2:$A$5000,0)),"")</f>
        <v/>
      </c>
      <c r="I102" s="45" t="inlineStr">
        <is>
          <t>deyga</t>
        </is>
      </c>
      <c r="J102" s="47">
        <f>IFERROR(INDEX('Semrush Data'!$C$2:$C$5000,MATCH(I102,'Semrush Data'!$A$2:$A$5000,0)),"")</f>
        <v/>
      </c>
      <c r="K102" s="45" t="inlineStr">
        <is>
          <t>/collections/face-serum</t>
        </is>
      </c>
      <c r="L102" s="45" t="inlineStr">
        <is>
          <t>Deyga Tangerine Cleansing Balm for Makeup Removal</t>
        </is>
      </c>
      <c r="M102" s="45" t="inlineStr">
        <is>
          <t>Deyga Tangerine Cleansing Balm for Makeup Remov | Swansura</t>
        </is>
      </c>
      <c r="N102" s="45">
        <f>LEN(M102)</f>
        <v/>
      </c>
      <c r="O102" s="49" t="inlineStr">
        <is>
          <t>Buy Deyga Tangerine Cleansing Balm for Makeup Removal, a natural face serum from Deyga. Official UK partner, 100% authentic, free UK delivery over £50.</t>
        </is>
      </c>
      <c r="P102" s="45">
        <f>LEN(O102)</f>
        <v/>
      </c>
      <c r="Q102" s="49" t="inlineStr">
        <is>
          <t>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is>
      </c>
      <c r="R102" s="49" t="n"/>
      <c r="S102" s="45" t="inlineStr">
        <is>
          <t>Matched</t>
        </is>
      </c>
      <c r="T102" s="49" t="n"/>
    </row>
    <row r="103" ht="45.75" customHeight="1" s="37">
      <c r="A103" s="45" t="inlineStr">
        <is>
          <t>VD-102</t>
        </is>
      </c>
      <c r="B103" s="45" t="inlineStr">
        <is>
          <t>Deyga</t>
        </is>
      </c>
      <c r="C103" s="45" t="inlineStr">
        <is>
          <t>Organic Loofah for Body Exfoliation</t>
        </is>
      </c>
      <c r="D103" s="45" t="inlineStr">
        <is>
          <t>Body Care</t>
        </is>
      </c>
      <c r="E103" s="45" t="inlineStr">
        <is>
          <t>Dry Skin</t>
        </is>
      </c>
      <c r="F103" s="48" t="inlineStr">
        <is>
          <t>body lotion for dry skin</t>
        </is>
      </c>
      <c r="G103" s="47">
        <f>IFERROR(INDEX('Semrush Data'!$C$2:$C$5000,MATCH(F103,'Semrush Data'!$A$2:$A$5000,0)),"")</f>
        <v/>
      </c>
      <c r="H103" s="45">
        <f>IFERROR(INDEX('Semrush Data'!$D$2:$D$5000,MATCH(F103,'Semrush Data'!$A$2:$A$5000,0)),"")</f>
        <v/>
      </c>
      <c r="I103" s="45" t="inlineStr">
        <is>
          <t>deyga</t>
        </is>
      </c>
      <c r="J103" s="47">
        <f>IFERROR(INDEX('Semrush Data'!$C$2:$C$5000,MATCH(I103,'Semrush Data'!$A$2:$A$5000,0)),"")</f>
        <v/>
      </c>
      <c r="K103" s="45" t="inlineStr">
        <is>
          <t>/collections/body-lotion-for-dry-skin</t>
        </is>
      </c>
      <c r="L103" s="45" t="inlineStr">
        <is>
          <t>Deyga Organic Loofah for Body Exfoliation</t>
        </is>
      </c>
      <c r="M103" s="45" t="inlineStr">
        <is>
          <t>Deyga Organic Loofah for Body Exfoliation | Swansura UK</t>
        </is>
      </c>
      <c r="N103" s="45">
        <f>LEN(M103)</f>
        <v/>
      </c>
      <c r="O103" s="49" t="inlineStr">
        <is>
          <t>Buy Deyga Organic Loofah for Body Exfoliation, a natural body lotion for dry skin from Deyga. Official UK partner, 100% authentic, free UK delivery over £50.</t>
        </is>
      </c>
      <c r="P103" s="45">
        <f>LEN(O103)</f>
        <v/>
      </c>
      <c r="Q103" s="49" t="inlineStr">
        <is>
          <t>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is>
      </c>
      <c r="R103" s="49" t="n"/>
      <c r="S103" s="45" t="inlineStr">
        <is>
          <t>Matched</t>
        </is>
      </c>
      <c r="T103" s="49" t="inlineStr">
        <is>
          <t>Review: source copy has medical-style claims (kept out of intro)</t>
        </is>
      </c>
    </row>
    <row r="104" ht="34.5" customHeight="1" s="37">
      <c r="A104" s="45" t="inlineStr">
        <is>
          <t>VD-103</t>
        </is>
      </c>
      <c r="B104" s="45" t="inlineStr">
        <is>
          <t>Deyga</t>
        </is>
      </c>
      <c r="C104" s="45" t="inlineStr">
        <is>
          <t>Foot Scrub 100 g</t>
        </is>
      </c>
      <c r="D104" s="45" t="inlineStr">
        <is>
          <t>Body Scrub &amp; Exfoliators</t>
        </is>
      </c>
      <c r="E104" s="45" t="inlineStr">
        <is>
          <t>Dry Skin</t>
        </is>
      </c>
      <c r="F104" s="48" t="inlineStr">
        <is>
          <t>body scrub</t>
        </is>
      </c>
      <c r="G104" s="47">
        <f>IFERROR(INDEX('Semrush Data'!$C$2:$C$5000,MATCH(F104,'Semrush Data'!$A$2:$A$5000,0)),"")</f>
        <v/>
      </c>
      <c r="H104" s="45">
        <f>IFERROR(INDEX('Semrush Data'!$D$2:$D$5000,MATCH(F104,'Semrush Data'!$A$2:$A$5000,0)),"")</f>
        <v/>
      </c>
      <c r="I104" s="45" t="inlineStr">
        <is>
          <t>deyga</t>
        </is>
      </c>
      <c r="J104" s="47">
        <f>IFERROR(INDEX('Semrush Data'!$C$2:$C$5000,MATCH(I104,'Semrush Data'!$A$2:$A$5000,0)),"")</f>
        <v/>
      </c>
      <c r="K104" s="45" t="inlineStr">
        <is>
          <t>/collections/body-scrub</t>
        </is>
      </c>
      <c r="L104" s="45" t="inlineStr">
        <is>
          <t>Deyga Foot Scrub</t>
        </is>
      </c>
      <c r="M104" s="45" t="inlineStr">
        <is>
          <t>Deyga Foot Scrub | Body Scrub</t>
        </is>
      </c>
      <c r="N104" s="45">
        <f>LEN(M104)</f>
        <v/>
      </c>
      <c r="O104" s="49" t="inlineStr">
        <is>
          <t>Buy Deyga Foot Scrub, a natural body scrub from Deyga. Helps soften tough skin and improve texture with regular use. Free UK delivery over £50.</t>
        </is>
      </c>
      <c r="P104" s="45">
        <f>LEN(O104)</f>
        <v/>
      </c>
      <c r="Q104" s="49" t="inlineStr">
        <is>
          <t>Deyga Foot Scrub is a natural body scrub from Deyga. Helps soften tough skin and improve texture with regular use. Contains no artificial colours, fragrances, parabens, or phthalates. Swansura is an official UK partner of Deyga, so every order is 100% authentic and ships from the UK.</t>
        </is>
      </c>
      <c r="R104" s="49" t="inlineStr">
        <is>
          <t>deyga foot scrub how to use</t>
        </is>
      </c>
      <c r="S104" s="45" t="inlineStr">
        <is>
          <t>Matched</t>
        </is>
      </c>
      <c r="T104" s="49" t="inlineStr">
        <is>
          <t>Review: source copy has medical-style claims (kept out of intro)</t>
        </is>
      </c>
    </row>
    <row r="105" ht="57" customHeight="1" s="37">
      <c r="A105" s="45" t="inlineStr">
        <is>
          <t>VD-104</t>
        </is>
      </c>
      <c r="B105" s="45" t="inlineStr">
        <is>
          <t>Deyga</t>
        </is>
      </c>
      <c r="C105" s="45" t="inlineStr">
        <is>
          <t>Eyebrow Growth Oil 30ml</t>
        </is>
      </c>
      <c r="D105" s="45" t="inlineStr">
        <is>
          <t>Skincare Treatments</t>
        </is>
      </c>
      <c r="E105" s="45" t="inlineStr">
        <is>
          <t>Skin Nourishment</t>
        </is>
      </c>
      <c r="F105" s="48" t="inlineStr">
        <is>
          <t>face serum</t>
        </is>
      </c>
      <c r="G105" s="47">
        <f>IFERROR(INDEX('Semrush Data'!$C$2:$C$5000,MATCH(F105,'Semrush Data'!$A$2:$A$5000,0)),"")</f>
        <v/>
      </c>
      <c r="H105" s="45">
        <f>IFERROR(INDEX('Semrush Data'!$D$2:$D$5000,MATCH(F105,'Semrush Data'!$A$2:$A$5000,0)),"")</f>
        <v/>
      </c>
      <c r="I105" s="45" t="inlineStr">
        <is>
          <t>deyga</t>
        </is>
      </c>
      <c r="J105" s="47">
        <f>IFERROR(INDEX('Semrush Data'!$C$2:$C$5000,MATCH(I105,'Semrush Data'!$A$2:$A$5000,0)),"")</f>
        <v/>
      </c>
      <c r="K105" s="45" t="inlineStr">
        <is>
          <t>/collections/face-serum</t>
        </is>
      </c>
      <c r="L105" s="45" t="inlineStr">
        <is>
          <t>Deyga Eyebrow Growth Oil</t>
        </is>
      </c>
      <c r="M105" s="45" t="inlineStr">
        <is>
          <t>Deyga Eyebrow Growth Oil | Face Serum</t>
        </is>
      </c>
      <c r="N105" s="45">
        <f>LEN(M105)</f>
        <v/>
      </c>
      <c r="O105" s="49" t="inlineStr">
        <is>
          <t>Buy Deyga Eyebrow Growth Oil, a natural face serum from Deyga. Official UK partner: 100% authentic, shipped from the UK, free delivery over £50.</t>
        </is>
      </c>
      <c r="P105" s="45">
        <f>LEN(O105)</f>
        <v/>
      </c>
      <c r="Q105" s="49" t="inlineStr">
        <is>
          <t>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is>
      </c>
      <c r="R105" s="49" t="inlineStr">
        <is>
          <t>deyga eyebrow growth oil review</t>
        </is>
      </c>
      <c r="S105" s="45" t="inlineStr">
        <is>
          <t>Matched</t>
        </is>
      </c>
      <c r="T105" s="49" t="inlineStr">
        <is>
          <t>Review: source copy has medical-style claims (kept out of intro)</t>
        </is>
      </c>
    </row>
    <row r="106" ht="45.75" customHeight="1" s="37">
      <c r="A106" s="45" t="inlineStr">
        <is>
          <t>VD-105</t>
        </is>
      </c>
      <c r="B106" s="45" t="inlineStr">
        <is>
          <t>Deyga</t>
        </is>
      </c>
      <c r="C106" s="45" t="inlineStr">
        <is>
          <t>Sunscreen 50ML</t>
        </is>
      </c>
      <c r="D106" s="45" t="inlineStr">
        <is>
          <t>SPF for Face</t>
        </is>
      </c>
      <c r="E106" s="45" t="inlineStr">
        <is>
          <t>Sun Protection</t>
        </is>
      </c>
      <c r="F106" s="48" t="inlineStr">
        <is>
          <t>natural sunscreen</t>
        </is>
      </c>
      <c r="G106" s="47">
        <f>IFERROR(INDEX('Semrush Data'!$C$2:$C$5000,MATCH(F106,'Semrush Data'!$A$2:$A$5000,0)),"")</f>
        <v/>
      </c>
      <c r="H106" s="45">
        <f>IFERROR(INDEX('Semrush Data'!$D$2:$D$5000,MATCH(F106,'Semrush Data'!$A$2:$A$5000,0)),"")</f>
        <v/>
      </c>
      <c r="I106" s="45" t="inlineStr">
        <is>
          <t>deyga</t>
        </is>
      </c>
      <c r="J106" s="47">
        <f>IFERROR(INDEX('Semrush Data'!$C$2:$C$5000,MATCH(I106,'Semrush Data'!$A$2:$A$5000,0)),"")</f>
        <v/>
      </c>
      <c r="K106" s="45" t="inlineStr">
        <is>
          <t>/collections/natural-sunscreen</t>
        </is>
      </c>
      <c r="L106" s="45" t="inlineStr">
        <is>
          <t>Deyga Sunscreen</t>
        </is>
      </c>
      <c r="M106" s="45" t="inlineStr">
        <is>
          <t>Deyga Sunscreen | Natural Sunscreen</t>
        </is>
      </c>
      <c r="N106" s="45">
        <f>LEN(M106)</f>
        <v/>
      </c>
      <c r="O106" s="49" t="inlineStr">
        <is>
          <t>Buy Deyga Sunscreen, a natural sunscreen from Deyga. Smooth, breathable texture that blends easily without leaving a white cast or. Free UK delivery over £50.</t>
        </is>
      </c>
      <c r="P106" s="45">
        <f>LEN(O106)</f>
        <v/>
      </c>
      <c r="Q106" s="49" t="inlineStr">
        <is>
          <t>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is>
      </c>
      <c r="R106" s="49" t="inlineStr">
        <is>
          <t>deyga sunscreen review · deyga sunscreen ingredients · deyga sunscreen price · deyga sunscreen amazon</t>
        </is>
      </c>
      <c r="S106" s="45" t="inlineStr">
        <is>
          <t>Matched</t>
        </is>
      </c>
      <c r="T106" s="49" t="inlineStr">
        <is>
          <t>Review: source copy has medical-style claims (kept out of intro)</t>
        </is>
      </c>
    </row>
    <row r="107" ht="45.75" customHeight="1" s="37">
      <c r="A107" s="45" t="inlineStr">
        <is>
          <t>VD-106</t>
        </is>
      </c>
      <c r="B107" s="45" t="inlineStr">
        <is>
          <t>Deyga</t>
        </is>
      </c>
      <c r="C107" s="45" t="inlineStr">
        <is>
          <t>Natural Lip Balm 8G</t>
        </is>
      </c>
      <c r="D107" s="45" t="inlineStr">
        <is>
          <t>Lip Care</t>
        </is>
      </c>
      <c r="E107" s="45" t="inlineStr">
        <is>
          <t>Dry Lips</t>
        </is>
      </c>
      <c r="F107" s="48" t="inlineStr">
        <is>
          <t>natural lip balm</t>
        </is>
      </c>
      <c r="G107" s="47">
        <f>IFERROR(INDEX('Semrush Data'!$C$2:$C$5000,MATCH(F107,'Semrush Data'!$A$2:$A$5000,0)),"")</f>
        <v/>
      </c>
      <c r="H107" s="45">
        <f>IFERROR(INDEX('Semrush Data'!$D$2:$D$5000,MATCH(F107,'Semrush Data'!$A$2:$A$5000,0)),"")</f>
        <v/>
      </c>
      <c r="I107" s="45" t="inlineStr">
        <is>
          <t>deyga</t>
        </is>
      </c>
      <c r="J107" s="47">
        <f>IFERROR(INDEX('Semrush Data'!$C$2:$C$5000,MATCH(I107,'Semrush Data'!$A$2:$A$5000,0)),"")</f>
        <v/>
      </c>
      <c r="K107" s="45" t="inlineStr">
        <is>
          <t>/collections/lip-balm-for-dry-lips</t>
        </is>
      </c>
      <c r="L107" s="45" t="inlineStr">
        <is>
          <t>Deyga Natural Lip Balm</t>
        </is>
      </c>
      <c r="M107" s="45" t="inlineStr">
        <is>
          <t>Deyga Natural Lip Balm – Natural Lip Balm | Swansura</t>
        </is>
      </c>
      <c r="N107" s="45">
        <f>LEN(M107)</f>
        <v/>
      </c>
      <c r="O107" s="49" t="inlineStr">
        <is>
          <t>Buy Deyga Natural Lip Balm, a natural lip balm from Deyga. Official UK partner: 100% authentic, shipped from the UK, free delivery over £50.</t>
        </is>
      </c>
      <c r="P107" s="45">
        <f>LEN(O107)</f>
        <v/>
      </c>
      <c r="Q107" s="49" t="inlineStr">
        <is>
          <t>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is>
      </c>
      <c r="R107" s="49" t="inlineStr">
        <is>
          <t>deyga lip balm ingredients · deyga lip balm review</t>
        </is>
      </c>
      <c r="S107" s="45" t="inlineStr">
        <is>
          <t>Matched</t>
        </is>
      </c>
      <c r="T107" s="49" t="inlineStr">
        <is>
          <t>Review: source copy has medical-style claims (kept out of intro)</t>
        </is>
      </c>
    </row>
    <row r="108" ht="45.75" customHeight="1" s="37">
      <c r="A108" s="45" t="inlineStr">
        <is>
          <t>VD-107</t>
        </is>
      </c>
      <c r="B108" s="45" t="inlineStr">
        <is>
          <t>Deyga</t>
        </is>
      </c>
      <c r="C108" s="45" t="inlineStr">
        <is>
          <t>Spinach &amp; Cucumber Bath Bar 100G</t>
        </is>
      </c>
      <c r="D108" s="45" t="inlineStr">
        <is>
          <t>Body Care</t>
        </is>
      </c>
      <c r="E108" s="45" t="inlineStr">
        <is>
          <t>Body Hydration</t>
        </is>
      </c>
      <c r="F108" s="48" t="inlineStr">
        <is>
          <t>body lotion for dry skin</t>
        </is>
      </c>
      <c r="G108" s="47">
        <f>IFERROR(INDEX('Semrush Data'!$C$2:$C$5000,MATCH(F108,'Semrush Data'!$A$2:$A$5000,0)),"")</f>
        <v/>
      </c>
      <c r="H108" s="45">
        <f>IFERROR(INDEX('Semrush Data'!$D$2:$D$5000,MATCH(F108,'Semrush Data'!$A$2:$A$5000,0)),"")</f>
        <v/>
      </c>
      <c r="I108" s="45" t="inlineStr">
        <is>
          <t>deyga</t>
        </is>
      </c>
      <c r="J108" s="47">
        <f>IFERROR(INDEX('Semrush Data'!$C$2:$C$5000,MATCH(I108,'Semrush Data'!$A$2:$A$5000,0)),"")</f>
        <v/>
      </c>
      <c r="K108" s="45" t="inlineStr">
        <is>
          <t>/collections/body-lotion-for-dry-skin</t>
        </is>
      </c>
      <c r="L108" s="45" t="inlineStr">
        <is>
          <t>Deyga Spinach &amp; Cucumber Bath Bar</t>
        </is>
      </c>
      <c r="M108" s="45" t="inlineStr">
        <is>
          <t>Deyga Spinach &amp; Cucumber Bath Bar | Body Lotion for Dry Skin</t>
        </is>
      </c>
      <c r="N108" s="45">
        <f>LEN(M108)</f>
        <v/>
      </c>
      <c r="O108" s="49" t="inlineStr">
        <is>
          <t>Buy Deyga Spinach &amp; Cucumber Bath Bar, a natural body lotion for dry skin from Deyga. Official UK partner, 100% authentic, free UK delivery over £50.</t>
        </is>
      </c>
      <c r="P108" s="45">
        <f>LEN(O108)</f>
        <v/>
      </c>
      <c r="Q108" s="49" t="inlineStr">
        <is>
          <t>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is>
      </c>
      <c r="R108" s="49" t="n"/>
      <c r="S108" s="45" t="inlineStr">
        <is>
          <t>Matched</t>
        </is>
      </c>
      <c r="T108" s="49" t="n"/>
    </row>
    <row r="109" ht="45.75" customHeight="1" s="37">
      <c r="A109" s="45" t="inlineStr">
        <is>
          <t>VD-108</t>
        </is>
      </c>
      <c r="B109" s="45" t="inlineStr">
        <is>
          <t>Deyga</t>
        </is>
      </c>
      <c r="C109" s="45" t="inlineStr">
        <is>
          <t>Shea Saffron Bath Bar 100G</t>
        </is>
      </c>
      <c r="D109" s="45" t="inlineStr">
        <is>
          <t>Body Care</t>
        </is>
      </c>
      <c r="E109" s="45" t="inlineStr">
        <is>
          <t>Body Hydration</t>
        </is>
      </c>
      <c r="F109" s="48" t="inlineStr">
        <is>
          <t>body lotion for dry skin</t>
        </is>
      </c>
      <c r="G109" s="47">
        <f>IFERROR(INDEX('Semrush Data'!$C$2:$C$5000,MATCH(F109,'Semrush Data'!$A$2:$A$5000,0)),"")</f>
        <v/>
      </c>
      <c r="H109" s="45">
        <f>IFERROR(INDEX('Semrush Data'!$D$2:$D$5000,MATCH(F109,'Semrush Data'!$A$2:$A$5000,0)),"")</f>
        <v/>
      </c>
      <c r="I109" s="45" t="inlineStr">
        <is>
          <t>deyga</t>
        </is>
      </c>
      <c r="J109" s="47">
        <f>IFERROR(INDEX('Semrush Data'!$C$2:$C$5000,MATCH(I109,'Semrush Data'!$A$2:$A$5000,0)),"")</f>
        <v/>
      </c>
      <c r="K109" s="45" t="inlineStr">
        <is>
          <t>/collections/body-lotion-for-dry-skin</t>
        </is>
      </c>
      <c r="L109" s="45" t="inlineStr">
        <is>
          <t>Deyga Shea Saffron Bath Bar</t>
        </is>
      </c>
      <c r="M109" s="45" t="inlineStr">
        <is>
          <t>Deyga Shea Saffron Bath Bar | Body Lotion for Dry Skin</t>
        </is>
      </c>
      <c r="N109" s="45">
        <f>LEN(M109)</f>
        <v/>
      </c>
      <c r="O109" s="49" t="inlineStr">
        <is>
          <t>Deyga Shea Saffron Bath Bar: a natural body lotion for dry skin from Deyga. Official UK partner: 100% authentic, shipped from the UK, free delivery over £50.</t>
        </is>
      </c>
      <c r="P109" s="45">
        <f>LEN(O109)</f>
        <v/>
      </c>
      <c r="Q109" s="49" t="inlineStr">
        <is>
          <t>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is>
      </c>
      <c r="R109" s="49" t="n"/>
      <c r="S109" s="45" t="inlineStr">
        <is>
          <t>Matched</t>
        </is>
      </c>
      <c r="T109" s="49" t="n"/>
    </row>
    <row r="110" ht="45.75" customHeight="1" s="37">
      <c r="A110" s="45" t="inlineStr">
        <is>
          <t>VD-109</t>
        </is>
      </c>
      <c r="B110" s="45" t="inlineStr">
        <is>
          <t>Deyga</t>
        </is>
      </c>
      <c r="C110" s="45" t="inlineStr">
        <is>
          <t>Rose Pink Clay Bath Bar 100G</t>
        </is>
      </c>
      <c r="D110" s="45" t="inlineStr">
        <is>
          <t>Body Care</t>
        </is>
      </c>
      <c r="E110" s="45" t="inlineStr">
        <is>
          <t>Body Hydration</t>
        </is>
      </c>
      <c r="F110" s="48" t="inlineStr">
        <is>
          <t>body lotion for dry skin</t>
        </is>
      </c>
      <c r="G110" s="47">
        <f>IFERROR(INDEX('Semrush Data'!$C$2:$C$5000,MATCH(F110,'Semrush Data'!$A$2:$A$5000,0)),"")</f>
        <v/>
      </c>
      <c r="H110" s="45">
        <f>IFERROR(INDEX('Semrush Data'!$D$2:$D$5000,MATCH(F110,'Semrush Data'!$A$2:$A$5000,0)),"")</f>
        <v/>
      </c>
      <c r="I110" s="45" t="inlineStr">
        <is>
          <t>deyga</t>
        </is>
      </c>
      <c r="J110" s="47">
        <f>IFERROR(INDEX('Semrush Data'!$C$2:$C$5000,MATCH(I110,'Semrush Data'!$A$2:$A$5000,0)),"")</f>
        <v/>
      </c>
      <c r="K110" s="45" t="inlineStr">
        <is>
          <t>/collections/body-lotion-for-dry-skin</t>
        </is>
      </c>
      <c r="L110" s="45" t="inlineStr">
        <is>
          <t>Deyga Rose Pink Clay Bath Bar</t>
        </is>
      </c>
      <c r="M110" s="45" t="inlineStr">
        <is>
          <t>Deyga Rose Pink Clay Bath Bar | Body Lotion for Dry Skin</t>
        </is>
      </c>
      <c r="N110" s="45">
        <f>LEN(M110)</f>
        <v/>
      </c>
      <c r="O110" s="49" t="inlineStr">
        <is>
          <t>Deyga Rose Pink Clay Bath Bar: a natural body lotion for dry skin from Deyga. Official UK partner: 100% authentic, shipped from the UK, free delivery over £50.</t>
        </is>
      </c>
      <c r="P110" s="45">
        <f>LEN(O110)</f>
        <v/>
      </c>
      <c r="Q110" s="49" t="inlineStr">
        <is>
          <t>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is>
      </c>
      <c r="R110" s="49" t="n"/>
      <c r="S110" s="45" t="inlineStr">
        <is>
          <t>Matched</t>
        </is>
      </c>
      <c r="T110" s="49" t="n"/>
    </row>
    <row r="111" ht="57" customHeight="1" s="37">
      <c r="A111" s="45" t="inlineStr">
        <is>
          <t>VD-110</t>
        </is>
      </c>
      <c r="B111" s="45" t="inlineStr">
        <is>
          <t>Deyga</t>
        </is>
      </c>
      <c r="C111" s="45" t="inlineStr">
        <is>
          <t>Neem &amp; Turmeric Bath Bar 100G</t>
        </is>
      </c>
      <c r="D111" s="45" t="inlineStr">
        <is>
          <t>Body Care</t>
        </is>
      </c>
      <c r="E111" s="45" t="inlineStr">
        <is>
          <t>Body Hydration</t>
        </is>
      </c>
      <c r="F111" s="48" t="inlineStr">
        <is>
          <t>body lotion for dry skin</t>
        </is>
      </c>
      <c r="G111" s="47">
        <f>IFERROR(INDEX('Semrush Data'!$C$2:$C$5000,MATCH(F111,'Semrush Data'!$A$2:$A$5000,0)),"")</f>
        <v/>
      </c>
      <c r="H111" s="45">
        <f>IFERROR(INDEX('Semrush Data'!$D$2:$D$5000,MATCH(F111,'Semrush Data'!$A$2:$A$5000,0)),"")</f>
        <v/>
      </c>
      <c r="I111" s="45" t="inlineStr">
        <is>
          <t>deyga</t>
        </is>
      </c>
      <c r="J111" s="47">
        <f>IFERROR(INDEX('Semrush Data'!$C$2:$C$5000,MATCH(I111,'Semrush Data'!$A$2:$A$5000,0)),"")</f>
        <v/>
      </c>
      <c r="K111" s="45" t="inlineStr">
        <is>
          <t>/collections/body-lotion-for-dry-skin</t>
        </is>
      </c>
      <c r="L111" s="45" t="inlineStr">
        <is>
          <t>Deyga Neem &amp; Turmeric Bath Bar</t>
        </is>
      </c>
      <c r="M111" s="45" t="inlineStr">
        <is>
          <t>Deyga Neem &amp; Turmeric Bath Bar | Body Lotion for Dry Skin</t>
        </is>
      </c>
      <c r="N111" s="45">
        <f>LEN(M111)</f>
        <v/>
      </c>
      <c r="O111" s="49" t="inlineStr">
        <is>
          <t>Deyga Neem &amp; Turmeric Bath Bar: a natural body lotion for dry skin from Deyga. Official UK partner: 100% authentic, shipped from the UK, free delivery over £50.</t>
        </is>
      </c>
      <c r="P111" s="45">
        <f>LEN(O111)</f>
        <v/>
      </c>
      <c r="Q111" s="49" t="inlineStr">
        <is>
          <t>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is>
      </c>
      <c r="R111" s="49" t="n"/>
      <c r="S111" s="45" t="inlineStr">
        <is>
          <t>Matched</t>
        </is>
      </c>
      <c r="T111" s="49" t="inlineStr">
        <is>
          <t>Review: source copy has medical-style claims (kept out of intro)</t>
        </is>
      </c>
    </row>
    <row r="112" ht="57" customHeight="1" s="37">
      <c r="A112" s="45" t="inlineStr">
        <is>
          <t>VD-111</t>
        </is>
      </c>
      <c r="B112" s="45" t="inlineStr">
        <is>
          <t>Deyga</t>
        </is>
      </c>
      <c r="C112" s="45" t="inlineStr">
        <is>
          <t>Mint Lip Scrub 16G</t>
        </is>
      </c>
      <c r="D112" s="45" t="inlineStr">
        <is>
          <t>Lip Care</t>
        </is>
      </c>
      <c r="E112" s="45" t="inlineStr">
        <is>
          <t>Lip Exfoliation</t>
        </is>
      </c>
      <c r="F112" s="48" t="inlineStr">
        <is>
          <t>lip scrub</t>
        </is>
      </c>
      <c r="G112" s="47">
        <f>IFERROR(INDEX('Semrush Data'!$C$2:$C$5000,MATCH(F112,'Semrush Data'!$A$2:$A$5000,0)),"")</f>
        <v/>
      </c>
      <c r="H112" s="45">
        <f>IFERROR(INDEX('Semrush Data'!$D$2:$D$5000,MATCH(F112,'Semrush Data'!$A$2:$A$5000,0)),"")</f>
        <v/>
      </c>
      <c r="I112" s="45" t="inlineStr">
        <is>
          <t>deyga</t>
        </is>
      </c>
      <c r="J112" s="47">
        <f>IFERROR(INDEX('Semrush Data'!$C$2:$C$5000,MATCH(I112,'Semrush Data'!$A$2:$A$5000,0)),"")</f>
        <v/>
      </c>
      <c r="K112" s="45" t="inlineStr">
        <is>
          <t>/collections/lip-scrub</t>
        </is>
      </c>
      <c r="L112" s="45" t="inlineStr">
        <is>
          <t>Deyga Mint Lip Scrub</t>
        </is>
      </c>
      <c r="M112" s="45" t="inlineStr">
        <is>
          <t>Deyga Mint Lip Scrub | Lip Scrub</t>
        </is>
      </c>
      <c r="N112" s="45">
        <f>LEN(M112)</f>
        <v/>
      </c>
      <c r="O112" s="49" t="inlineStr">
        <is>
          <t>Buy Deyga Mint Lip Scrub, a natural lip scrub from Deyga. Official UK partner: 100% authentic, shipped from the UK, free delivery over £50.</t>
        </is>
      </c>
      <c r="P112" s="45">
        <f>LEN(O112)</f>
        <v/>
      </c>
      <c r="Q112" s="49" t="inlineStr">
        <is>
          <t>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is>
      </c>
      <c r="R112" s="49" t="n"/>
      <c r="S112" s="45" t="inlineStr">
        <is>
          <t>Matched</t>
        </is>
      </c>
      <c r="T112" s="49" t="inlineStr">
        <is>
          <t>Review: source copy has medical-style claims (kept out of intro)</t>
        </is>
      </c>
    </row>
    <row r="113" ht="57" customHeight="1" s="37">
      <c r="A113" s="45" t="inlineStr">
        <is>
          <t>VD-112</t>
        </is>
      </c>
      <c r="B113" s="45" t="inlineStr">
        <is>
          <t>Deyga</t>
        </is>
      </c>
      <c r="C113" s="45" t="inlineStr">
        <is>
          <t>Hair Removal Powder 100g</t>
        </is>
      </c>
      <c r="D113" s="45" t="inlineStr">
        <is>
          <t>Hair Treatments</t>
        </is>
      </c>
      <c r="E113" s="45" t="inlineStr">
        <is>
          <t>Dry Hair</t>
        </is>
      </c>
      <c r="F113" s="48" t="inlineStr">
        <is>
          <t>hair mask for dry hair</t>
        </is>
      </c>
      <c r="G113" s="47">
        <f>IFERROR(INDEX('Semrush Data'!$C$2:$C$5000,MATCH(F113,'Semrush Data'!$A$2:$A$5000,0)),"")</f>
        <v/>
      </c>
      <c r="H113" s="45">
        <f>IFERROR(INDEX('Semrush Data'!$D$2:$D$5000,MATCH(F113,'Semrush Data'!$A$2:$A$5000,0)),"")</f>
        <v/>
      </c>
      <c r="I113" s="45" t="inlineStr">
        <is>
          <t>deyga</t>
        </is>
      </c>
      <c r="J113" s="47">
        <f>IFERROR(INDEX('Semrush Data'!$C$2:$C$5000,MATCH(I113,'Semrush Data'!$A$2:$A$5000,0)),"")</f>
        <v/>
      </c>
      <c r="K113" s="45" t="inlineStr">
        <is>
          <t>/collections/hair-mask-for-dry-hair</t>
        </is>
      </c>
      <c r="L113" s="45" t="inlineStr">
        <is>
          <t>Deyga Hair Removal Powder</t>
        </is>
      </c>
      <c r="M113" s="45" t="inlineStr">
        <is>
          <t>Deyga Hair Removal Powder | Hair Mask for Dry Hair</t>
        </is>
      </c>
      <c r="N113" s="45">
        <f>LEN(M113)</f>
        <v/>
      </c>
      <c r="O113" s="49" t="inlineStr">
        <is>
          <t>Buy Deyga Hair Removal Powder, a natural hair mask for dry hair from Deyga. Official UK partner: 100% authentic, shipped from the UK, free delivery over £50.</t>
        </is>
      </c>
      <c r="P113" s="45">
        <f>LEN(O113)</f>
        <v/>
      </c>
      <c r="Q113" s="49" t="inlineStr">
        <is>
          <t>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is>
      </c>
      <c r="R113" s="49" t="inlineStr">
        <is>
          <t>deyga hair removal powder review · deyga hair removal powder how to use · deyga hair removal powder ingredients · deyga hair removal powder mini · deyga hair removal powder amazon</t>
        </is>
      </c>
      <c r="S113" s="45" t="inlineStr">
        <is>
          <t>Matched</t>
        </is>
      </c>
      <c r="T113" s="49" t="n"/>
    </row>
    <row r="114" ht="45.75" customHeight="1" s="37">
      <c r="A114" s="45" t="inlineStr">
        <is>
          <t>VD-113</t>
        </is>
      </c>
      <c r="B114" s="45" t="inlineStr">
        <is>
          <t>Deyga</t>
        </is>
      </c>
      <c r="C114" s="45" t="inlineStr">
        <is>
          <t>Oat Milk Face Wash 100 ml</t>
        </is>
      </c>
      <c r="D114" s="45" t="inlineStr">
        <is>
          <t>Cleansers</t>
        </is>
      </c>
      <c r="E114" s="45" t="inlineStr">
        <is>
          <t>Dry Skin</t>
        </is>
      </c>
      <c r="F114" s="48" t="inlineStr">
        <is>
          <t>face wash for dry skin</t>
        </is>
      </c>
      <c r="G114" s="47">
        <f>IFERROR(INDEX('Semrush Data'!$C$2:$C$5000,MATCH(F114,'Semrush Data'!$A$2:$A$5000,0)),"")</f>
        <v/>
      </c>
      <c r="H114" s="45">
        <f>IFERROR(INDEX('Semrush Data'!$D$2:$D$5000,MATCH(F114,'Semrush Data'!$A$2:$A$5000,0)),"")</f>
        <v/>
      </c>
      <c r="I114" s="45" t="inlineStr">
        <is>
          <t>deyga</t>
        </is>
      </c>
      <c r="J114" s="47">
        <f>IFERROR(INDEX('Semrush Data'!$C$2:$C$5000,MATCH(I114,'Semrush Data'!$A$2:$A$5000,0)),"")</f>
        <v/>
      </c>
      <c r="K114" s="45" t="inlineStr">
        <is>
          <t>/collections/face-wash-for-dry-skin</t>
        </is>
      </c>
      <c r="L114" s="45" t="inlineStr">
        <is>
          <t>Deyga Oat Milk Face Wash</t>
        </is>
      </c>
      <c r="M114" s="45" t="inlineStr">
        <is>
          <t>Deyga Oat Milk Face Wash – Face Wash for Dry Skin | Swansura</t>
        </is>
      </c>
      <c r="N114" s="45">
        <f>LEN(M114)</f>
        <v/>
      </c>
      <c r="O114" s="49" t="inlineStr">
        <is>
          <t>Buy Deyga Oat Milk Face Wash, a natural face wash for dry skin from Deyga. Official UK partner: 100% authentic, shipped from the UK, free delivery over £50.</t>
        </is>
      </c>
      <c r="P114" s="45">
        <f>LEN(O114)</f>
        <v/>
      </c>
      <c r="Q114" s="49" t="inlineStr">
        <is>
          <t>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is>
      </c>
      <c r="R114" s="49" t="n"/>
      <c r="S114" s="45" t="inlineStr">
        <is>
          <t>Matched</t>
        </is>
      </c>
      <c r="T114" s="49" t="n"/>
    </row>
    <row r="115" ht="45.75" customHeight="1" s="37">
      <c r="A115" s="45" t="inlineStr">
        <is>
          <t>VD-114</t>
        </is>
      </c>
      <c r="B115" s="45" t="inlineStr">
        <is>
          <t>Deyga</t>
        </is>
      </c>
      <c r="C115" s="45" t="inlineStr">
        <is>
          <t>Almond Milk Body Lotion 100 ml</t>
        </is>
      </c>
      <c r="D115" s="45" t="inlineStr">
        <is>
          <t>Body Cream &amp; Lotions</t>
        </is>
      </c>
      <c r="E115" s="45" t="inlineStr">
        <is>
          <t>Dry Skin</t>
        </is>
      </c>
      <c r="F115" s="48" t="inlineStr">
        <is>
          <t>body lotion for dry skin</t>
        </is>
      </c>
      <c r="G115" s="47">
        <f>IFERROR(INDEX('Semrush Data'!$C$2:$C$5000,MATCH(F115,'Semrush Data'!$A$2:$A$5000,0)),"")</f>
        <v/>
      </c>
      <c r="H115" s="45">
        <f>IFERROR(INDEX('Semrush Data'!$D$2:$D$5000,MATCH(F115,'Semrush Data'!$A$2:$A$5000,0)),"")</f>
        <v/>
      </c>
      <c r="I115" s="45" t="inlineStr">
        <is>
          <t>deyga</t>
        </is>
      </c>
      <c r="J115" s="47">
        <f>IFERROR(INDEX('Semrush Data'!$C$2:$C$5000,MATCH(I115,'Semrush Data'!$A$2:$A$5000,0)),"")</f>
        <v/>
      </c>
      <c r="K115" s="45" t="inlineStr">
        <is>
          <t>/collections/body-lotion-for-dry-skin</t>
        </is>
      </c>
      <c r="L115" s="45" t="inlineStr">
        <is>
          <t>Deyga Almond Milk Body Lotion</t>
        </is>
      </c>
      <c r="M115" s="45" t="inlineStr">
        <is>
          <t>Deyga Almond Milk Body Lotion | Body Lotion for Dry Skin</t>
        </is>
      </c>
      <c r="N115" s="45">
        <f>LEN(M115)</f>
        <v/>
      </c>
      <c r="O115" s="49" t="inlineStr">
        <is>
          <t>Deyga Almond Milk Body Lotion: a natural body lotion for dry skin from Deyga. Official UK partner: 100% authentic, shipped from the UK, free delivery over £50.</t>
        </is>
      </c>
      <c r="P115" s="45">
        <f>LEN(O115)</f>
        <v/>
      </c>
      <c r="Q115" s="49" t="inlineStr">
        <is>
          <t>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is>
      </c>
      <c r="R115" s="49" t="n"/>
      <c r="S115" s="45" t="inlineStr">
        <is>
          <t>Matched</t>
        </is>
      </c>
      <c r="T115" s="49" t="n"/>
    </row>
    <row r="116" ht="45.75" customHeight="1" s="37">
      <c r="A116" s="45" t="inlineStr">
        <is>
          <t>VD-115</t>
        </is>
      </c>
      <c r="B116" s="45" t="inlineStr">
        <is>
          <t>Deyga</t>
        </is>
      </c>
      <c r="C116" s="45" t="inlineStr">
        <is>
          <t>Pure Rose Water Toner 100 ml</t>
        </is>
      </c>
      <c r="D116" s="45" t="inlineStr">
        <is>
          <t>Toners</t>
        </is>
      </c>
      <c r="E116" s="45" t="inlineStr">
        <is>
          <t>Skin Nourishment</t>
        </is>
      </c>
      <c r="F116" s="48" t="inlineStr">
        <is>
          <t>toner for dry skin</t>
        </is>
      </c>
      <c r="G116" s="47">
        <f>IFERROR(INDEX('Semrush Data'!$C$2:$C$5000,MATCH(F116,'Semrush Data'!$A$2:$A$5000,0)),"")</f>
        <v/>
      </c>
      <c r="H116" s="45">
        <f>IFERROR(INDEX('Semrush Data'!$D$2:$D$5000,MATCH(F116,'Semrush Data'!$A$2:$A$5000,0)),"")</f>
        <v/>
      </c>
      <c r="I116" s="45" t="inlineStr">
        <is>
          <t>deyga</t>
        </is>
      </c>
      <c r="J116" s="47">
        <f>IFERROR(INDEX('Semrush Data'!$C$2:$C$5000,MATCH(I116,'Semrush Data'!$A$2:$A$5000,0)),"")</f>
        <v/>
      </c>
      <c r="K116" s="45" t="inlineStr">
        <is>
          <t>/collections/toner-for-dry-skin</t>
        </is>
      </c>
      <c r="L116" s="45" t="inlineStr">
        <is>
          <t>Deyga Pure Rose Water Toner</t>
        </is>
      </c>
      <c r="M116" s="45" t="inlineStr">
        <is>
          <t>Deyga Pure Rose Water Toner – Toner for Dry Skin | Swansura</t>
        </is>
      </c>
      <c r="N116" s="45">
        <f>LEN(M116)</f>
        <v/>
      </c>
      <c r="O116" s="49" t="inlineStr">
        <is>
          <t>Buy Deyga Pure Rose Water Toner, a natural toner for dry skin from Deyga. Official UK partner: 100% authentic, shipped from the UK, free delivery over £50.</t>
        </is>
      </c>
      <c r="P116" s="45">
        <f>LEN(O116)</f>
        <v/>
      </c>
      <c r="Q116" s="49" t="inlineStr">
        <is>
          <t>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is>
      </c>
      <c r="R116" s="49" t="n"/>
      <c r="S116" s="45" t="inlineStr">
        <is>
          <t>Matched</t>
        </is>
      </c>
      <c r="T116" s="49" t="inlineStr">
        <is>
          <t>Review: source copy has medical-style claims (kept out of intro)</t>
        </is>
      </c>
    </row>
    <row r="117" ht="45.75" customHeight="1" s="37">
      <c r="A117" s="45" t="inlineStr">
        <is>
          <t>VD-116</t>
        </is>
      </c>
      <c r="B117" s="45" t="inlineStr">
        <is>
          <t>Deyga</t>
        </is>
      </c>
      <c r="C117" s="45" t="inlineStr">
        <is>
          <t>Rose &amp; Mulethi Skin Brightening Pack 50 g</t>
        </is>
      </c>
      <c r="D117" s="45" t="inlineStr">
        <is>
          <t>Skincare Treatments</t>
        </is>
      </c>
      <c r="E117" s="45" t="inlineStr">
        <is>
          <t>Dull Skin</t>
        </is>
      </c>
      <c r="F117" s="48" t="inlineStr">
        <is>
          <t>skincare for dull skin</t>
        </is>
      </c>
      <c r="G117" s="47">
        <f>IFERROR(INDEX('Semrush Data'!$C$2:$C$5000,MATCH(F117,'Semrush Data'!$A$2:$A$5000,0)),"")</f>
        <v/>
      </c>
      <c r="H117" s="45">
        <f>IFERROR(INDEX('Semrush Data'!$D$2:$D$5000,MATCH(F117,'Semrush Data'!$A$2:$A$5000,0)),"")</f>
        <v/>
      </c>
      <c r="I117" s="45" t="inlineStr">
        <is>
          <t>deyga</t>
        </is>
      </c>
      <c r="J117" s="47">
        <f>IFERROR(INDEX('Semrush Data'!$C$2:$C$5000,MATCH(I117,'Semrush Data'!$A$2:$A$5000,0)),"")</f>
        <v/>
      </c>
      <c r="K117" s="45" t="inlineStr">
        <is>
          <t>/collections/dull-skin</t>
        </is>
      </c>
      <c r="L117" s="45" t="inlineStr">
        <is>
          <t>Deyga Rose &amp; Mulethi Skin Brightening Pack</t>
        </is>
      </c>
      <c r="M117" s="45" t="inlineStr">
        <is>
          <t>Deyga Rose &amp; Mulethi Skin Brightening Pack | Swansura UK</t>
        </is>
      </c>
      <c r="N117" s="45">
        <f>LEN(M117)</f>
        <v/>
      </c>
      <c r="O117" s="49" t="inlineStr">
        <is>
          <t>Buy Deyga Rose &amp; Mulethi Skin Brightening Pack, natural skincare for dull skin from Deyga. Official UK partner, 100% authentic, free UK delivery over £50.</t>
        </is>
      </c>
      <c r="P117" s="45">
        <f>LEN(O117)</f>
        <v/>
      </c>
      <c r="Q117" s="49" t="inlineStr">
        <is>
          <t>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is>
      </c>
      <c r="R117" s="49" t="n"/>
      <c r="S117" s="45" t="inlineStr">
        <is>
          <t>Matched</t>
        </is>
      </c>
      <c r="T117" s="49" t="n"/>
    </row>
    <row r="118" ht="45.75" customHeight="1" s="37">
      <c r="A118" s="45" t="inlineStr">
        <is>
          <t>VD-117</t>
        </is>
      </c>
      <c r="B118" s="45" t="inlineStr">
        <is>
          <t>Deyga</t>
        </is>
      </c>
      <c r="C118" s="45" t="inlineStr">
        <is>
          <t>Beetroot Lip Balm Stick 5.5 g</t>
        </is>
      </c>
      <c r="D118" s="45" t="inlineStr">
        <is>
          <t>Lip Care</t>
        </is>
      </c>
      <c r="E118" s="45" t="inlineStr">
        <is>
          <t>Dry Lips</t>
        </is>
      </c>
      <c r="F118" s="48" t="inlineStr">
        <is>
          <t>lip balm for dry lips</t>
        </is>
      </c>
      <c r="G118" s="47">
        <f>IFERROR(INDEX('Semrush Data'!$C$2:$C$5000,MATCH(F118,'Semrush Data'!$A$2:$A$5000,0)),"")</f>
        <v/>
      </c>
      <c r="H118" s="45">
        <f>IFERROR(INDEX('Semrush Data'!$D$2:$D$5000,MATCH(F118,'Semrush Data'!$A$2:$A$5000,0)),"")</f>
        <v/>
      </c>
      <c r="I118" s="45" t="inlineStr">
        <is>
          <t>deyga</t>
        </is>
      </c>
      <c r="J118" s="47">
        <f>IFERROR(INDEX('Semrush Data'!$C$2:$C$5000,MATCH(I118,'Semrush Data'!$A$2:$A$5000,0)),"")</f>
        <v/>
      </c>
      <c r="K118" s="45" t="inlineStr">
        <is>
          <t>/collections/lip-balm-for-dry-lips</t>
        </is>
      </c>
      <c r="L118" s="45" t="inlineStr">
        <is>
          <t>Deyga Beetroot Lip Balm Stick</t>
        </is>
      </c>
      <c r="M118" s="45" t="inlineStr">
        <is>
          <t>Deyga Beetroot Lip Balm Stick | Lip Balm for Dry Lips</t>
        </is>
      </c>
      <c r="N118" s="45">
        <f>LEN(M118)</f>
        <v/>
      </c>
      <c r="O118" s="49" t="inlineStr">
        <is>
          <t>Buy Deyga Beetroot Lip Balm Stick, a natural lip balm for dry lips from Deyga. Official UK partner: 100% authentic, shipped from the UK, free delivery over £50.</t>
        </is>
      </c>
      <c r="P118" s="45">
        <f>LEN(O118)</f>
        <v/>
      </c>
      <c r="Q118" s="49" t="inlineStr">
        <is>
          <t>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is>
      </c>
      <c r="R118" s="49" t="inlineStr">
        <is>
          <t>deyga beetroot lip balm stick review · deyga beetroot lip balm review</t>
        </is>
      </c>
      <c r="S118" s="45" t="inlineStr">
        <is>
          <t>Matched</t>
        </is>
      </c>
      <c r="T118" s="49" t="n"/>
    </row>
    <row r="119" ht="45.75" customHeight="1" s="37">
      <c r="A119" s="45" t="inlineStr">
        <is>
          <t>VD-118</t>
        </is>
      </c>
      <c r="B119" s="45" t="inlineStr">
        <is>
          <t>Deyga</t>
        </is>
      </c>
      <c r="C119" s="45" t="inlineStr">
        <is>
          <t>Face &amp; Body Exfoliator Powder 50 g</t>
        </is>
      </c>
      <c r="D119" s="45" t="inlineStr">
        <is>
          <t>Body Care</t>
        </is>
      </c>
      <c r="E119" s="45" t="inlineStr">
        <is>
          <t>Dry Skin</t>
        </is>
      </c>
      <c r="F119" s="48" t="inlineStr">
        <is>
          <t>body lotion for dry skin</t>
        </is>
      </c>
      <c r="G119" s="47">
        <f>IFERROR(INDEX('Semrush Data'!$C$2:$C$5000,MATCH(F119,'Semrush Data'!$A$2:$A$5000,0)),"")</f>
        <v/>
      </c>
      <c r="H119" s="45">
        <f>IFERROR(INDEX('Semrush Data'!$D$2:$D$5000,MATCH(F119,'Semrush Data'!$A$2:$A$5000,0)),"")</f>
        <v/>
      </c>
      <c r="I119" s="45" t="inlineStr">
        <is>
          <t>deyga</t>
        </is>
      </c>
      <c r="J119" s="47">
        <f>IFERROR(INDEX('Semrush Data'!$C$2:$C$5000,MATCH(I119,'Semrush Data'!$A$2:$A$5000,0)),"")</f>
        <v/>
      </c>
      <c r="K119" s="45" t="inlineStr">
        <is>
          <t>/collections/body-lotion-for-dry-skin</t>
        </is>
      </c>
      <c r="L119" s="45" t="inlineStr">
        <is>
          <t>Deyga Face &amp; Body Exfoliator Powder</t>
        </is>
      </c>
      <c r="M119" s="45" t="inlineStr">
        <is>
          <t>Deyga Face &amp; Body Exfoliator Powder | Deyga UK | Swansura</t>
        </is>
      </c>
      <c r="N119" s="45">
        <f>LEN(M119)</f>
        <v/>
      </c>
      <c r="O119" s="49" t="inlineStr">
        <is>
          <t>Buy Deyga Face &amp; Body Exfoliator Powder, a natural body lotion for dry skin from Deyga. Official UK partner, 100% authentic, free UK delivery over £50.</t>
        </is>
      </c>
      <c r="P119" s="45">
        <f>LEN(O119)</f>
        <v/>
      </c>
      <c r="Q119" s="49" t="inlineStr">
        <is>
          <t>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is>
      </c>
      <c r="R119" s="49" t="n"/>
      <c r="S119" s="45" t="inlineStr">
        <is>
          <t>Matched</t>
        </is>
      </c>
      <c r="T119" s="49" t="n"/>
    </row>
    <row r="120" ht="45.75" customHeight="1" s="37">
      <c r="A120" s="45" t="inlineStr">
        <is>
          <t>VD-119</t>
        </is>
      </c>
      <c r="B120" s="45" t="inlineStr">
        <is>
          <t>Deyga</t>
        </is>
      </c>
      <c r="C120" s="45" t="inlineStr">
        <is>
          <t>Rose &amp; Mulethi Skin Brightening Pack</t>
        </is>
      </c>
      <c r="D120" s="45" t="inlineStr">
        <is>
          <t>Skincare Treatments</t>
        </is>
      </c>
      <c r="E120" s="45" t="inlineStr">
        <is>
          <t>Dull Skin</t>
        </is>
      </c>
      <c r="F120" s="48" t="inlineStr">
        <is>
          <t>skincare for dull skin</t>
        </is>
      </c>
      <c r="G120" s="47">
        <f>IFERROR(INDEX('Semrush Data'!$C$2:$C$5000,MATCH(F120,'Semrush Data'!$A$2:$A$5000,0)),"")</f>
        <v/>
      </c>
      <c r="H120" s="45">
        <f>IFERROR(INDEX('Semrush Data'!$D$2:$D$5000,MATCH(F120,'Semrush Data'!$A$2:$A$5000,0)),"")</f>
        <v/>
      </c>
      <c r="I120" s="45" t="inlineStr">
        <is>
          <t>deyga</t>
        </is>
      </c>
      <c r="J120" s="47">
        <f>IFERROR(INDEX('Semrush Data'!$C$2:$C$5000,MATCH(I120,'Semrush Data'!$A$2:$A$5000,0)),"")</f>
        <v/>
      </c>
      <c r="K120" s="45" t="inlineStr">
        <is>
          <t>/collections/dull-skin</t>
        </is>
      </c>
      <c r="L120" s="45" t="inlineStr">
        <is>
          <t>Deyga Rose &amp; Mulethi Skin Brightening Pack</t>
        </is>
      </c>
      <c r="M120" s="45" t="inlineStr">
        <is>
          <t>Deyga Rose &amp; Mulethi Skin Brightening Pack | Swansura UK</t>
        </is>
      </c>
      <c r="N120" s="45">
        <f>LEN(M120)</f>
        <v/>
      </c>
      <c r="O120" s="49" t="inlineStr">
        <is>
          <t>Buy Deyga Rose &amp; Mulethi Skin Brightening Pack, natural skincare for dull skin from Deyga. Official UK partner, 100% authentic, free UK delivery over £50.</t>
        </is>
      </c>
      <c r="P120" s="45">
        <f>LEN(O120)</f>
        <v/>
      </c>
      <c r="Q120" s="49" t="inlineStr">
        <is>
          <t>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is>
      </c>
      <c r="R120" s="49" t="n"/>
      <c r="S120" s="45" t="inlineStr">
        <is>
          <t>Matched</t>
        </is>
      </c>
      <c r="T120" s="49" t="n"/>
    </row>
    <row r="121" ht="45.75" customHeight="1" s="37">
      <c r="A121" s="45" t="inlineStr">
        <is>
          <t>VD-120</t>
        </is>
      </c>
      <c r="B121" s="45" t="inlineStr">
        <is>
          <t>Deyga</t>
        </is>
      </c>
      <c r="C121" s="45" t="inlineStr">
        <is>
          <t>Beautifying Serum 30 ml</t>
        </is>
      </c>
      <c r="D121" s="45" t="inlineStr">
        <is>
          <t>Serums</t>
        </is>
      </c>
      <c r="E121" s="45" t="inlineStr">
        <is>
          <t>Dull Skin</t>
        </is>
      </c>
      <c r="F121" s="48" t="inlineStr">
        <is>
          <t>skincare for dull skin</t>
        </is>
      </c>
      <c r="G121" s="47">
        <f>IFERROR(INDEX('Semrush Data'!$C$2:$C$5000,MATCH(F121,'Semrush Data'!$A$2:$A$5000,0)),"")</f>
        <v/>
      </c>
      <c r="H121" s="45">
        <f>IFERROR(INDEX('Semrush Data'!$D$2:$D$5000,MATCH(F121,'Semrush Data'!$A$2:$A$5000,0)),"")</f>
        <v/>
      </c>
      <c r="I121" s="45" t="inlineStr">
        <is>
          <t>deyga</t>
        </is>
      </c>
      <c r="J121" s="47">
        <f>IFERROR(INDEX('Semrush Data'!$C$2:$C$5000,MATCH(I121,'Semrush Data'!$A$2:$A$5000,0)),"")</f>
        <v/>
      </c>
      <c r="K121" s="45" t="inlineStr">
        <is>
          <t>/collections/dull-skin</t>
        </is>
      </c>
      <c r="L121" s="45" t="inlineStr">
        <is>
          <t>Deyga Beautifying Serum</t>
        </is>
      </c>
      <c r="M121" s="45" t="inlineStr">
        <is>
          <t>Deyga Beautifying Serum – Skincare for Dull Skin | Swansura</t>
        </is>
      </c>
      <c r="N121" s="45">
        <f>LEN(M121)</f>
        <v/>
      </c>
      <c r="O121" s="49" t="inlineStr">
        <is>
          <t>Buy Deyga Beautifying Serum, natural skincare for dull skin from Deyga. Official UK partner: 100% authentic, shipped from the UK, free delivery over £50.</t>
        </is>
      </c>
      <c r="P121" s="45">
        <f>LEN(O121)</f>
        <v/>
      </c>
      <c r="Q121" s="49" t="inlineStr">
        <is>
          <t>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is>
      </c>
      <c r="R121" s="49" t="inlineStr">
        <is>
          <t>deyga beautifying serum review · deyga beautifying serum benefits</t>
        </is>
      </c>
      <c r="S121" s="45" t="inlineStr">
        <is>
          <t>Matched</t>
        </is>
      </c>
      <c r="T121" s="49" t="inlineStr">
        <is>
          <t>Review: source copy has medical-style claims (kept out of intro)</t>
        </is>
      </c>
    </row>
    <row r="122" ht="45.75" customHeight="1" s="37">
      <c r="A122" s="45" t="inlineStr">
        <is>
          <t>VD-121</t>
        </is>
      </c>
      <c r="B122" s="45" t="inlineStr">
        <is>
          <t>Deyga</t>
        </is>
      </c>
      <c r="C122" s="45" t="inlineStr">
        <is>
          <t>Charcoal Bath Bar 130 g</t>
        </is>
      </c>
      <c r="D122" s="45" t="inlineStr">
        <is>
          <t>Body Care</t>
        </is>
      </c>
      <c r="E122" s="45" t="inlineStr">
        <is>
          <t>Body Hydration</t>
        </is>
      </c>
      <c r="F122" s="48" t="inlineStr">
        <is>
          <t>body lotion for dry skin</t>
        </is>
      </c>
      <c r="G122" s="47">
        <f>IFERROR(INDEX('Semrush Data'!$C$2:$C$5000,MATCH(F122,'Semrush Data'!$A$2:$A$5000,0)),"")</f>
        <v/>
      </c>
      <c r="H122" s="45">
        <f>IFERROR(INDEX('Semrush Data'!$D$2:$D$5000,MATCH(F122,'Semrush Data'!$A$2:$A$5000,0)),"")</f>
        <v/>
      </c>
      <c r="I122" s="45" t="inlineStr">
        <is>
          <t>deyga</t>
        </is>
      </c>
      <c r="J122" s="47">
        <f>IFERROR(INDEX('Semrush Data'!$C$2:$C$5000,MATCH(I122,'Semrush Data'!$A$2:$A$5000,0)),"")</f>
        <v/>
      </c>
      <c r="K122" s="45" t="inlineStr">
        <is>
          <t>/collections/body-lotion-for-dry-skin</t>
        </is>
      </c>
      <c r="L122" s="45" t="inlineStr">
        <is>
          <t>Deyga Charcoal Bath Bar</t>
        </is>
      </c>
      <c r="M122" s="45" t="inlineStr">
        <is>
          <t>Deyga Charcoal Bath Bar | Body Lotion for Dry Skin</t>
        </is>
      </c>
      <c r="N122" s="45">
        <f>LEN(M122)</f>
        <v/>
      </c>
      <c r="O122" s="49" t="inlineStr">
        <is>
          <t>Buy Deyga Charcoal Bath Bar, a natural body lotion for dry skin from Deyga. Official UK partner: 100% authentic, shipped from the UK, free delivery over £50.</t>
        </is>
      </c>
      <c r="P122" s="45">
        <f>LEN(O122)</f>
        <v/>
      </c>
      <c r="Q122" s="49" t="inlineStr">
        <is>
          <t>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is>
      </c>
      <c r="R122" s="49" t="inlineStr">
        <is>
          <t>charcoal bath bar deyga review · deyga charcoal soap ingredients · deyga charcoal soap review · deyga charcoal soap price</t>
        </is>
      </c>
      <c r="S122" s="45" t="inlineStr">
        <is>
          <t>Matched</t>
        </is>
      </c>
      <c r="T122" s="49" t="n"/>
    </row>
    <row r="123" ht="45.75" customHeight="1" s="37">
      <c r="A123" s="45" t="inlineStr">
        <is>
          <t>VD-122</t>
        </is>
      </c>
      <c r="B123" s="45" t="inlineStr">
        <is>
          <t>Deyga</t>
        </is>
      </c>
      <c r="C123" s="45" t="inlineStr">
        <is>
          <t>Hair Growth Oil 100 ml</t>
        </is>
      </c>
      <c r="D123" s="45" t="inlineStr">
        <is>
          <t>Hair Oil</t>
        </is>
      </c>
      <c r="E123" s="45" t="inlineStr">
        <is>
          <t>Hair Thinning &amp; Loss</t>
        </is>
      </c>
      <c r="F123" s="48" t="inlineStr">
        <is>
          <t>hair growth oil</t>
        </is>
      </c>
      <c r="G123" s="47">
        <f>IFERROR(INDEX('Semrush Data'!$C$2:$C$5000,MATCH(F123,'Semrush Data'!$A$2:$A$5000,0)),"")</f>
        <v/>
      </c>
      <c r="H123" s="45">
        <f>IFERROR(INDEX('Semrush Data'!$D$2:$D$5000,MATCH(F123,'Semrush Data'!$A$2:$A$5000,0)),"")</f>
        <v/>
      </c>
      <c r="I123" s="45" t="inlineStr">
        <is>
          <t>deyga</t>
        </is>
      </c>
      <c r="J123" s="47">
        <f>IFERROR(INDEX('Semrush Data'!$C$2:$C$5000,MATCH(I123,'Semrush Data'!$A$2:$A$5000,0)),"")</f>
        <v/>
      </c>
      <c r="K123" s="45" t="inlineStr">
        <is>
          <t>/collections/hair-growth-oil</t>
        </is>
      </c>
      <c r="L123" s="45" t="inlineStr">
        <is>
          <t>Deyga Hair Growth Oil</t>
        </is>
      </c>
      <c r="M123" s="45" t="inlineStr">
        <is>
          <t>Deyga Hair Growth Oil – Hair Growth Oil | Swansura</t>
        </is>
      </c>
      <c r="N123" s="45">
        <f>LEN(M123)</f>
        <v/>
      </c>
      <c r="O123" s="49" t="inlineStr">
        <is>
          <t>Buy Deyga Hair Growth Oil, a natural hair growth oil from Deyga. Official UK partner: 100% authentic, shipped from the UK, free delivery over £50.</t>
        </is>
      </c>
      <c r="P123" s="45">
        <f>LEN(O123)</f>
        <v/>
      </c>
      <c r="Q123" s="49" t="inlineStr">
        <is>
          <t>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is>
      </c>
      <c r="R123" s="49" t="inlineStr">
        <is>
          <t>deyga hair growth oil review · deyga hair growth oil how to use · deyga hair growth oil ingredients · deyga hair growth oil benefits · deyga hair growth oil price</t>
        </is>
      </c>
      <c r="S123" s="45" t="inlineStr">
        <is>
          <t>Matched</t>
        </is>
      </c>
      <c r="T123" s="49" t="n"/>
    </row>
    <row r="124" ht="57" customHeight="1" s="37">
      <c r="A124" s="45" t="inlineStr">
        <is>
          <t>VD-123</t>
        </is>
      </c>
      <c r="B124" s="45" t="inlineStr">
        <is>
          <t>Deyga</t>
        </is>
      </c>
      <c r="C124" s="45" t="inlineStr">
        <is>
          <t>Charcoal Face Wash 100ml</t>
        </is>
      </c>
      <c r="D124" s="45" t="inlineStr">
        <is>
          <t>Cleansers</t>
        </is>
      </c>
      <c r="E124" s="45" t="inlineStr">
        <is>
          <t>Oily Skin</t>
        </is>
      </c>
      <c r="F124" s="48" t="inlineStr">
        <is>
          <t>face wash for oily skin</t>
        </is>
      </c>
      <c r="G124" s="47">
        <f>IFERROR(INDEX('Semrush Data'!$C$2:$C$5000,MATCH(F124,'Semrush Data'!$A$2:$A$5000,0)),"")</f>
        <v/>
      </c>
      <c r="H124" s="45">
        <f>IFERROR(INDEX('Semrush Data'!$D$2:$D$5000,MATCH(F124,'Semrush Data'!$A$2:$A$5000,0)),"")</f>
        <v/>
      </c>
      <c r="I124" s="45" t="inlineStr">
        <is>
          <t>deyga</t>
        </is>
      </c>
      <c r="J124" s="47">
        <f>IFERROR(INDEX('Semrush Data'!$C$2:$C$5000,MATCH(I124,'Semrush Data'!$A$2:$A$5000,0)),"")</f>
        <v/>
      </c>
      <c r="K124" s="45" t="inlineStr">
        <is>
          <t>/collections/face-wash-for-oily-skin</t>
        </is>
      </c>
      <c r="L124" s="45" t="inlineStr">
        <is>
          <t>Deyga Charcoal Face Wash</t>
        </is>
      </c>
      <c r="M124" s="45" t="inlineStr">
        <is>
          <t>Deyga Charcoal Face Wash | Face Wash for Oily Skin</t>
        </is>
      </c>
      <c r="N124" s="45">
        <f>LEN(M124)</f>
        <v/>
      </c>
      <c r="O124" s="49" t="inlineStr">
        <is>
          <t>Buy Deyga Charcoal Face Wash, a natural face wash for oily skin from Deyga. Official UK partner: 100% authentic, shipped from the UK, free delivery over £50.</t>
        </is>
      </c>
      <c r="P124" s="45">
        <f>LEN(O124)</f>
        <v/>
      </c>
      <c r="Q124" s="49" t="inlineStr">
        <is>
          <t>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is>
      </c>
      <c r="R124" s="49" t="inlineStr">
        <is>
          <t>deyga charcoal face wash review · deyga charcoal face wash benefits · deyga charcoal face wash ingredients · deyga charcoal face wash price · deyga charcoal face wash for men · deyga charcoal face wash amazon</t>
        </is>
      </c>
      <c r="S124" s="45" t="inlineStr">
        <is>
          <t>Matched</t>
        </is>
      </c>
      <c r="T124" s="49" t="n"/>
    </row>
    <row r="125" ht="45.75" customHeight="1" s="37">
      <c r="A125" s="45" t="inlineStr">
        <is>
          <t>VD-124</t>
        </is>
      </c>
      <c r="B125" s="45" t="inlineStr">
        <is>
          <t>Deyga</t>
        </is>
      </c>
      <c r="C125" s="45" t="inlineStr">
        <is>
          <t>Pure Aloe Vera Gel 100 g</t>
        </is>
      </c>
      <c r="D125" s="45" t="inlineStr">
        <is>
          <t>Moisturisers</t>
        </is>
      </c>
      <c r="E125" s="45" t="inlineStr">
        <is>
          <t>Skin Nourishment</t>
        </is>
      </c>
      <c r="F125" s="48" t="inlineStr">
        <is>
          <t>aloe vera gel</t>
        </is>
      </c>
      <c r="G125" s="47">
        <f>IFERROR(INDEX('Semrush Data'!$C$2:$C$5000,MATCH(F125,'Semrush Data'!$A$2:$A$5000,0)),"")</f>
        <v/>
      </c>
      <c r="H125" s="45">
        <f>IFERROR(INDEX('Semrush Data'!$D$2:$D$5000,MATCH(F125,'Semrush Data'!$A$2:$A$5000,0)),"")</f>
        <v/>
      </c>
      <c r="I125" s="45" t="inlineStr">
        <is>
          <t>deyga</t>
        </is>
      </c>
      <c r="J125" s="47">
        <f>IFERROR(INDEX('Semrush Data'!$C$2:$C$5000,MATCH(I125,'Semrush Data'!$A$2:$A$5000,0)),"")</f>
        <v/>
      </c>
      <c r="K125" s="45" t="inlineStr">
        <is>
          <t>/collections/moisturiser-for-dry-skin</t>
        </is>
      </c>
      <c r="L125" s="45" t="inlineStr">
        <is>
          <t>Deyga Pure Aloe Vera Gel</t>
        </is>
      </c>
      <c r="M125" s="45" t="inlineStr">
        <is>
          <t>Deyga Pure Aloe Vera Gel – Aloe Vera Gel | Swansura</t>
        </is>
      </c>
      <c r="N125" s="45">
        <f>LEN(M125)</f>
        <v/>
      </c>
      <c r="O125" s="49" t="inlineStr">
        <is>
          <t>Buy Deyga Pure Aloe Vera Gel, a natural aloe vera gel from Deyga. Official UK partner: 100% authentic, shipped from the UK, free delivery over £50.</t>
        </is>
      </c>
      <c r="P125" s="45">
        <f>LEN(O125)</f>
        <v/>
      </c>
      <c r="Q125" s="49" t="inlineStr">
        <is>
          <t>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is>
      </c>
      <c r="R125" s="49" t="inlineStr">
        <is>
          <t>deyga 100 pure aloe vera gel · deyga aloe vera gel review · how to use deyga aloe vera gel</t>
        </is>
      </c>
      <c r="S125" s="45" t="inlineStr">
        <is>
          <t>Matched</t>
        </is>
      </c>
      <c r="T125" s="49" t="n"/>
    </row>
    <row r="126" ht="45.75" customHeight="1" s="37">
      <c r="A126" s="45" t="inlineStr">
        <is>
          <t>VD-125</t>
        </is>
      </c>
      <c r="B126" s="45" t="inlineStr">
        <is>
          <t>Deyga</t>
        </is>
      </c>
      <c r="C126" s="45" t="inlineStr">
        <is>
          <t>Plant Based Hair Color – Black</t>
        </is>
      </c>
      <c r="D126" s="45" t="inlineStr">
        <is>
          <t>Hair Treatments</t>
        </is>
      </c>
      <c r="E126" s="45" t="inlineStr">
        <is>
          <t>Dry Hair</t>
        </is>
      </c>
      <c r="F126" s="48" t="inlineStr">
        <is>
          <t>hair mask for dry hair</t>
        </is>
      </c>
      <c r="G126" s="47">
        <f>IFERROR(INDEX('Semrush Data'!$C$2:$C$5000,MATCH(F126,'Semrush Data'!$A$2:$A$5000,0)),"")</f>
        <v/>
      </c>
      <c r="H126" s="45">
        <f>IFERROR(INDEX('Semrush Data'!$D$2:$D$5000,MATCH(F126,'Semrush Data'!$A$2:$A$5000,0)),"")</f>
        <v/>
      </c>
      <c r="I126" s="45" t="inlineStr">
        <is>
          <t>deyga</t>
        </is>
      </c>
      <c r="J126" s="47">
        <f>IFERROR(INDEX('Semrush Data'!$C$2:$C$5000,MATCH(I126,'Semrush Data'!$A$2:$A$5000,0)),"")</f>
        <v/>
      </c>
      <c r="K126" s="45" t="inlineStr">
        <is>
          <t>/collections/hair-mask-for-dry-hair</t>
        </is>
      </c>
      <c r="L126" s="45" t="inlineStr">
        <is>
          <t>Deyga Plant Based Hair Color</t>
        </is>
      </c>
      <c r="M126" s="45" t="inlineStr">
        <is>
          <t>Deyga Plant Based Hair Color | Hair Mask for Dry Hair</t>
        </is>
      </c>
      <c r="N126" s="45">
        <f>LEN(M126)</f>
        <v/>
      </c>
      <c r="O126" s="49" t="inlineStr">
        <is>
          <t>Buy Deyga Plant Based Hair Color, a natural hair mask for dry hair from Deyga. Official UK partner: 100% authentic, shipped from the UK, free delivery over £50.</t>
        </is>
      </c>
      <c r="P126" s="45">
        <f>LEN(O126)</f>
        <v/>
      </c>
      <c r="Q126" s="49" t="inlineStr">
        <is>
          <t>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is>
      </c>
      <c r="R126" s="49" t="inlineStr">
        <is>
          <t>deyga 100 plant based hair color black</t>
        </is>
      </c>
      <c r="S126" s="45" t="inlineStr">
        <is>
          <t>Matched</t>
        </is>
      </c>
      <c r="T126" s="49" t="n"/>
    </row>
    <row r="127" ht="45.75" customHeight="1" s="37">
      <c r="A127" s="45" t="inlineStr">
        <is>
          <t>VD-126</t>
        </is>
      </c>
      <c r="B127" s="45" t="inlineStr">
        <is>
          <t>Deyga</t>
        </is>
      </c>
      <c r="C127" s="45" t="inlineStr">
        <is>
          <t>Rice Water Shampoo</t>
        </is>
      </c>
      <c r="D127" s="45" t="inlineStr">
        <is>
          <t>Shampoo</t>
        </is>
      </c>
      <c r="E127" s="45" t="inlineStr">
        <is>
          <t>Hair Nourishment</t>
        </is>
      </c>
      <c r="F127" s="48" t="inlineStr">
        <is>
          <t>natural shampoo</t>
        </is>
      </c>
      <c r="G127" s="47">
        <f>IFERROR(INDEX('Semrush Data'!$C$2:$C$5000,MATCH(F127,'Semrush Data'!$A$2:$A$5000,0)),"")</f>
        <v/>
      </c>
      <c r="H127" s="45">
        <f>IFERROR(INDEX('Semrush Data'!$D$2:$D$5000,MATCH(F127,'Semrush Data'!$A$2:$A$5000,0)),"")</f>
        <v/>
      </c>
      <c r="I127" s="45" t="inlineStr">
        <is>
          <t>deyga</t>
        </is>
      </c>
      <c r="J127" s="47">
        <f>IFERROR(INDEX('Semrush Data'!$C$2:$C$5000,MATCH(I127,'Semrush Data'!$A$2:$A$5000,0)),"")</f>
        <v/>
      </c>
      <c r="K127" s="45" t="inlineStr">
        <is>
          <t>/collections/natural-shampoo</t>
        </is>
      </c>
      <c r="L127" s="45" t="inlineStr">
        <is>
          <t>Deyga Rice Water Shampoo</t>
        </is>
      </c>
      <c r="M127" s="45" t="inlineStr">
        <is>
          <t>Deyga Rice Water Shampoo – Natural Shampoo | Swansura</t>
        </is>
      </c>
      <c r="N127" s="45">
        <f>LEN(M127)</f>
        <v/>
      </c>
      <c r="O127" s="49" t="inlineStr">
        <is>
          <t>Deyga Rice Water Shampoo: a natural shampoo from Deyga. Formulated with rice water extract to enhance hair texture and manageability. Free UK delivery over £50.</t>
        </is>
      </c>
      <c r="P127" s="45">
        <f>LEN(O127)</f>
        <v/>
      </c>
      <c r="Q127" s="49" t="inlineStr">
        <is>
          <t>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is>
      </c>
      <c r="R127" s="49" t="inlineStr">
        <is>
          <t>deyga rice water shampoo review · deyga rice water shampoo ingredients · deyga rice water shampoo price · deyga rice water shampoo benefits · deyga rice water shampoo amazon</t>
        </is>
      </c>
      <c r="S127" s="45" t="inlineStr">
        <is>
          <t>Matched</t>
        </is>
      </c>
      <c r="T127" s="49" t="n"/>
    </row>
    <row r="128" ht="45.75" customHeight="1" s="37">
      <c r="A128" s="45" t="inlineStr">
        <is>
          <t>VD-127</t>
        </is>
      </c>
      <c r="B128" s="45" t="inlineStr">
        <is>
          <t>Deyga</t>
        </is>
      </c>
      <c r="C128" s="45" t="inlineStr">
        <is>
          <t>Soy Milk Conditioner</t>
        </is>
      </c>
      <c r="D128" s="45" t="inlineStr">
        <is>
          <t>Conditioner</t>
        </is>
      </c>
      <c r="E128" s="45" t="inlineStr">
        <is>
          <t>Hair Nourishment</t>
        </is>
      </c>
      <c r="F128" s="48" t="inlineStr">
        <is>
          <t>hair mask for dry hair</t>
        </is>
      </c>
      <c r="G128" s="47">
        <f>IFERROR(INDEX('Semrush Data'!$C$2:$C$5000,MATCH(F128,'Semrush Data'!$A$2:$A$5000,0)),"")</f>
        <v/>
      </c>
      <c r="H128" s="45">
        <f>IFERROR(INDEX('Semrush Data'!$D$2:$D$5000,MATCH(F128,'Semrush Data'!$A$2:$A$5000,0)),"")</f>
        <v/>
      </c>
      <c r="I128" s="45" t="inlineStr">
        <is>
          <t>deyga</t>
        </is>
      </c>
      <c r="J128" s="47">
        <f>IFERROR(INDEX('Semrush Data'!$C$2:$C$5000,MATCH(I128,'Semrush Data'!$A$2:$A$5000,0)),"")</f>
        <v/>
      </c>
      <c r="K128" s="45" t="inlineStr">
        <is>
          <t>/collections/hair-mask-for-dry-hair</t>
        </is>
      </c>
      <c r="L128" s="45" t="inlineStr">
        <is>
          <t>Deyga Soy Milk Conditioner</t>
        </is>
      </c>
      <c r="M128" s="45" t="inlineStr">
        <is>
          <t>Deyga Soy Milk Conditioner | Hair Mask for Dry Hair</t>
        </is>
      </c>
      <c r="N128" s="45">
        <f>LEN(M128)</f>
        <v/>
      </c>
      <c r="O128" s="49" t="inlineStr">
        <is>
          <t>Buy Deyga Soy Milk Conditioner, a natural hair mask for dry hair from Deyga. Official UK partner: 100% authentic, shipped from the UK, free delivery over £50.</t>
        </is>
      </c>
      <c r="P128" s="45">
        <f>LEN(O128)</f>
        <v/>
      </c>
      <c r="Q128" s="49" t="inlineStr">
        <is>
          <t>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is>
      </c>
      <c r="R128" s="49" t="inlineStr">
        <is>
          <t>deyga soy milk conditioner review · deyga soy milk conditioner ingredients · deyga soy milk conditioner 50ml · deyga soy milk conditioner benefits</t>
        </is>
      </c>
      <c r="S128" s="45" t="inlineStr">
        <is>
          <t>Matched</t>
        </is>
      </c>
      <c r="T128" s="49" t="n"/>
    </row>
    <row r="129" ht="45.75" customHeight="1" s="37">
      <c r="A129" s="45" t="inlineStr">
        <is>
          <t>VD-128</t>
        </is>
      </c>
      <c r="B129" s="45" t="inlineStr">
        <is>
          <t>Deyga</t>
        </is>
      </c>
      <c r="C129" s="45" t="inlineStr">
        <is>
          <t>Foot Butter 40 g</t>
        </is>
      </c>
      <c r="D129" s="45" t="inlineStr">
        <is>
          <t>Body Butters</t>
        </is>
      </c>
      <c r="E129" s="45" t="inlineStr">
        <is>
          <t>Dry Skin</t>
        </is>
      </c>
      <c r="F129" s="48" t="inlineStr">
        <is>
          <t>body butter</t>
        </is>
      </c>
      <c r="G129" s="47">
        <f>IFERROR(INDEX('Semrush Data'!$C$2:$C$5000,MATCH(F129,'Semrush Data'!$A$2:$A$5000,0)),"")</f>
        <v/>
      </c>
      <c r="H129" s="45">
        <f>IFERROR(INDEX('Semrush Data'!$D$2:$D$5000,MATCH(F129,'Semrush Data'!$A$2:$A$5000,0)),"")</f>
        <v/>
      </c>
      <c r="I129" s="45" t="inlineStr">
        <is>
          <t>deyga</t>
        </is>
      </c>
      <c r="J129" s="47">
        <f>IFERROR(INDEX('Semrush Data'!$C$2:$C$5000,MATCH(I129,'Semrush Data'!$A$2:$A$5000,0)),"")</f>
        <v/>
      </c>
      <c r="K129" s="45" t="inlineStr">
        <is>
          <t>/collections/body-butter</t>
        </is>
      </c>
      <c r="L129" s="45" t="inlineStr">
        <is>
          <t>Deyga Foot Butter</t>
        </is>
      </c>
      <c r="M129" s="45" t="inlineStr">
        <is>
          <t>Deyga Foot Butter | Body Butter</t>
        </is>
      </c>
      <c r="N129" s="45">
        <f>LEN(M129)</f>
        <v/>
      </c>
      <c r="O129" s="49" t="inlineStr">
        <is>
          <t>Deyga Foot Butter: a natural body butter from Deyga. Formulated with virgin coconut oil, olive oil, refined beeswax, vitamin E, and. Free UK delivery over £50.</t>
        </is>
      </c>
      <c r="P129" s="45">
        <f>LEN(O129)</f>
        <v/>
      </c>
      <c r="Q129" s="49" t="inlineStr">
        <is>
          <t>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is>
      </c>
      <c r="R129" s="49" t="inlineStr">
        <is>
          <t>deyga foot butter review · deyga foot butter ingredients · deyga foot cream · deyga foot cream review · deyga foot cream ingredients · deyga foot butter cream</t>
        </is>
      </c>
      <c r="S129" s="45" t="inlineStr">
        <is>
          <t>Matched</t>
        </is>
      </c>
      <c r="T129" s="49" t="n"/>
    </row>
    <row r="130" ht="45.75" customHeight="1" s="37">
      <c r="A130" s="45" t="inlineStr">
        <is>
          <t>VD-129</t>
        </is>
      </c>
      <c r="B130" s="45" t="inlineStr">
        <is>
          <t>Deyga</t>
        </is>
      </c>
      <c r="C130" s="45" t="inlineStr">
        <is>
          <t>Baby Bath Bar</t>
        </is>
      </c>
      <c r="D130" s="45" t="inlineStr">
        <is>
          <t>Body Care</t>
        </is>
      </c>
      <c r="E130" s="45" t="inlineStr">
        <is>
          <t>Body Hydration</t>
        </is>
      </c>
      <c r="F130" s="48" t="inlineStr">
        <is>
          <t>deyga baby soap</t>
        </is>
      </c>
      <c r="G130" s="47">
        <f>IFERROR(INDEX('Semrush Data'!$C$2:$C$5000,MATCH(F130,'Semrush Data'!$A$2:$A$5000,0)),"")</f>
        <v/>
      </c>
      <c r="H130" s="45">
        <f>IFERROR(INDEX('Semrush Data'!$D$2:$D$5000,MATCH(F130,'Semrush Data'!$A$2:$A$5000,0)),"")</f>
        <v/>
      </c>
      <c r="I130" s="45" t="inlineStr">
        <is>
          <t>deyga</t>
        </is>
      </c>
      <c r="J130" s="47">
        <f>IFERROR(INDEX('Semrush Data'!$C$2:$C$5000,MATCH(I130,'Semrush Data'!$A$2:$A$5000,0)),"")</f>
        <v/>
      </c>
      <c r="K130" s="45" t="inlineStr">
        <is>
          <t>/collections/body-lotion-for-dry-skin</t>
        </is>
      </c>
      <c r="L130" s="45" t="inlineStr">
        <is>
          <t>Deyga Baby Bath Bar 130g</t>
        </is>
      </c>
      <c r="M130" s="45" t="inlineStr">
        <is>
          <t>Deyga Baby Bath Bar 130g – Gentle Natural Soap | Swansura</t>
        </is>
      </c>
      <c r="N130" s="45">
        <f>LEN(M130)</f>
        <v/>
      </c>
      <c r="O130" s="49" t="inlineStr">
        <is>
          <t>Buy Deyga Baby Bath Bar 130g, a gentle natural bath bar made for delicate skin. Official UK partner of Deyga: 100% authentic, shipped from the UK.</t>
        </is>
      </c>
      <c r="P130" s="45">
        <f>LEN(O130)</f>
        <v/>
      </c>
      <c r="Q130" s="49" t="inlineStr">
        <is>
          <t>Deyga Baby Bath Bar is a gentle bath bar from Deyga, made for delicate skin. Swansura is an official UK partner of Deyga, so every order is 100% authentic and ships from the UK.</t>
        </is>
      </c>
      <c r="R130" s="49" t="n"/>
      <c r="S130" s="45" t="inlineStr">
        <is>
          <t>Matched</t>
        </is>
      </c>
      <c r="T130" s="49" t="n"/>
    </row>
    <row r="131" ht="45.75" customHeight="1" s="37">
      <c r="A131" s="45" t="inlineStr">
        <is>
          <t>VD-130</t>
        </is>
      </c>
      <c r="B131" s="45" t="inlineStr">
        <is>
          <t>Deyga</t>
        </is>
      </c>
      <c r="C131" s="45" t="inlineStr">
        <is>
          <t>Anti Dandruff Shampoo 220ml</t>
        </is>
      </c>
      <c r="D131" s="45" t="inlineStr">
        <is>
          <t>Shampoo</t>
        </is>
      </c>
      <c r="E131" s="45" t="inlineStr">
        <is>
          <t>Anti-Dandruff</t>
        </is>
      </c>
      <c r="F131" s="48" t="inlineStr">
        <is>
          <t>shampoo for dandruff</t>
        </is>
      </c>
      <c r="G131" s="47">
        <f>IFERROR(INDEX('Semrush Data'!$C$2:$C$5000,MATCH(F131,'Semrush Data'!$A$2:$A$5000,0)),"")</f>
        <v/>
      </c>
      <c r="H131" s="45">
        <f>IFERROR(INDEX('Semrush Data'!$D$2:$D$5000,MATCH(F131,'Semrush Data'!$A$2:$A$5000,0)),"")</f>
        <v/>
      </c>
      <c r="I131" s="45" t="inlineStr">
        <is>
          <t>deyga</t>
        </is>
      </c>
      <c r="J131" s="47">
        <f>IFERROR(INDEX('Semrush Data'!$C$2:$C$5000,MATCH(I131,'Semrush Data'!$A$2:$A$5000,0)),"")</f>
        <v/>
      </c>
      <c r="K131" s="45" t="inlineStr">
        <is>
          <t>/collections/shampoo-for-dandruff</t>
        </is>
      </c>
      <c r="L131" s="45" t="inlineStr">
        <is>
          <t>Deyga Anti Dandruff Shampoo</t>
        </is>
      </c>
      <c r="M131" s="45" t="inlineStr">
        <is>
          <t>Deyga Anti Dandruff Shampoo | Shampoo for Dandruff</t>
        </is>
      </c>
      <c r="N131" s="45">
        <f>LEN(M131)</f>
        <v/>
      </c>
      <c r="O131" s="49" t="inlineStr">
        <is>
          <t>Buy Deyga Anti Dandruff Shampoo, a natural shampoo for dandruff from Deyga. Official UK partner: 100% authentic, shipped from the UK, free delivery over £50.</t>
        </is>
      </c>
      <c r="P131" s="45">
        <f>LEN(O131)</f>
        <v/>
      </c>
      <c r="Q131" s="49" t="inlineStr">
        <is>
          <t>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is>
      </c>
      <c r="R131" s="49" t="inlineStr">
        <is>
          <t>deyga anti dandruff shampoo review · how to use deyga anti dandruff shampoo</t>
        </is>
      </c>
      <c r="S131" s="45" t="inlineStr">
        <is>
          <t>Matched</t>
        </is>
      </c>
      <c r="T131" s="49" t="n"/>
    </row>
    <row r="132" ht="34.5" customHeight="1" s="37">
      <c r="A132" s="45" t="inlineStr">
        <is>
          <t>VD-131</t>
        </is>
      </c>
      <c r="B132" s="45" t="inlineStr">
        <is>
          <t>Deyga</t>
        </is>
      </c>
      <c r="C132" s="45" t="inlineStr">
        <is>
          <t>Strawberry Lip Scrub 16g</t>
        </is>
      </c>
      <c r="D132" s="45" t="inlineStr">
        <is>
          <t>Lip Care</t>
        </is>
      </c>
      <c r="E132" s="45" t="inlineStr">
        <is>
          <t>Lip Exfoliation</t>
        </is>
      </c>
      <c r="F132" s="48" t="inlineStr">
        <is>
          <t>lip scrub</t>
        </is>
      </c>
      <c r="G132" s="47">
        <f>IFERROR(INDEX('Semrush Data'!$C$2:$C$5000,MATCH(F132,'Semrush Data'!$A$2:$A$5000,0)),"")</f>
        <v/>
      </c>
      <c r="H132" s="45">
        <f>IFERROR(INDEX('Semrush Data'!$D$2:$D$5000,MATCH(F132,'Semrush Data'!$A$2:$A$5000,0)),"")</f>
        <v/>
      </c>
      <c r="I132" s="45" t="inlineStr">
        <is>
          <t>deyga</t>
        </is>
      </c>
      <c r="J132" s="47">
        <f>IFERROR(INDEX('Semrush Data'!$C$2:$C$5000,MATCH(I132,'Semrush Data'!$A$2:$A$5000,0)),"")</f>
        <v/>
      </c>
      <c r="K132" s="45" t="inlineStr">
        <is>
          <t>/collections/lip-scrub</t>
        </is>
      </c>
      <c r="L132" s="45" t="inlineStr">
        <is>
          <t>Deyga Strawberry Lip Scrub</t>
        </is>
      </c>
      <c r="M132" s="45" t="inlineStr">
        <is>
          <t>Deyga Strawberry Lip Scrub | Lip Scrub</t>
        </is>
      </c>
      <c r="N132" s="45">
        <f>LEN(M132)</f>
        <v/>
      </c>
      <c r="O132" s="49" t="inlineStr">
        <is>
          <t>Buy Deyga Strawberry Lip Scrub, a natural lip scrub from Deyga. Official UK partner: 100% authentic, shipped from the UK, free delivery over £50.</t>
        </is>
      </c>
      <c r="P132" s="45">
        <f>LEN(O132)</f>
        <v/>
      </c>
      <c r="Q132" s="49" t="inlineStr">
        <is>
          <t>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is>
      </c>
      <c r="R132" s="49" t="n"/>
      <c r="S132" s="45" t="inlineStr">
        <is>
          <t>Matched</t>
        </is>
      </c>
      <c r="T132" s="49" t="n"/>
    </row>
    <row r="133" ht="45.75" customHeight="1" s="37">
      <c r="A133" s="45" t="inlineStr">
        <is>
          <t>VD-132</t>
        </is>
      </c>
      <c r="B133" s="45" t="inlineStr">
        <is>
          <t>Deyga</t>
        </is>
      </c>
      <c r="C133" s="45" t="inlineStr">
        <is>
          <t>Beetroot Lip Balm Classic 10 g</t>
        </is>
      </c>
      <c r="D133" s="45" t="inlineStr">
        <is>
          <t>Lip Care</t>
        </is>
      </c>
      <c r="E133" s="45" t="inlineStr">
        <is>
          <t>Dry Lips</t>
        </is>
      </c>
      <c r="F133" s="48" t="inlineStr">
        <is>
          <t>lip balm for dry lips</t>
        </is>
      </c>
      <c r="G133" s="47">
        <f>IFERROR(INDEX('Semrush Data'!$C$2:$C$5000,MATCH(F133,'Semrush Data'!$A$2:$A$5000,0)),"")</f>
        <v/>
      </c>
      <c r="H133" s="45">
        <f>IFERROR(INDEX('Semrush Data'!$D$2:$D$5000,MATCH(F133,'Semrush Data'!$A$2:$A$5000,0)),"")</f>
        <v/>
      </c>
      <c r="I133" s="45" t="inlineStr">
        <is>
          <t>deyga</t>
        </is>
      </c>
      <c r="J133" s="47">
        <f>IFERROR(INDEX('Semrush Data'!$C$2:$C$5000,MATCH(I133,'Semrush Data'!$A$2:$A$5000,0)),"")</f>
        <v/>
      </c>
      <c r="K133" s="45" t="inlineStr">
        <is>
          <t>/collections/lip-balm-for-dry-lips</t>
        </is>
      </c>
      <c r="L133" s="45" t="inlineStr">
        <is>
          <t>Deyga Beetroot Lip Balm Classic</t>
        </is>
      </c>
      <c r="M133" s="45" t="inlineStr">
        <is>
          <t>Deyga Beetroot Lip Balm Classic | Lip Balm for Dry Lips</t>
        </is>
      </c>
      <c r="N133" s="45">
        <f>LEN(M133)</f>
        <v/>
      </c>
      <c r="O133" s="49" t="inlineStr">
        <is>
          <t>Deyga Beetroot Lip Balm Classic: a natural lip balm for dry lips from Deyga. Official UK partner: 100% authentic, shipped from the UK, free delivery over £50.</t>
        </is>
      </c>
      <c r="P133" s="45">
        <f>LEN(O133)</f>
        <v/>
      </c>
      <c r="Q133" s="49" t="inlineStr">
        <is>
          <t>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is>
      </c>
      <c r="R133" s="49" t="inlineStr">
        <is>
          <t>deyga beetroot lip balm review</t>
        </is>
      </c>
      <c r="S133" s="45" t="inlineStr">
        <is>
          <t>Matched</t>
        </is>
      </c>
      <c r="T133" s="49" t="n"/>
    </row>
    <row r="134" ht="45.75" customHeight="1" s="37">
      <c r="A134" s="45" t="inlineStr">
        <is>
          <t>VD-133</t>
        </is>
      </c>
      <c r="B134" s="45" t="inlineStr">
        <is>
          <t>Deyga</t>
        </is>
      </c>
      <c r="C134" s="45" t="inlineStr">
        <is>
          <t>Under Eye Cream 15 g</t>
        </is>
      </c>
      <c r="D134" s="45" t="inlineStr">
        <is>
          <t>Moisturisers</t>
        </is>
      </c>
      <c r="E134" s="45" t="inlineStr">
        <is>
          <t>Skin Nourishment</t>
        </is>
      </c>
      <c r="F134" s="48" t="inlineStr">
        <is>
          <t>moisturiser for dry skin</t>
        </is>
      </c>
      <c r="G134" s="47">
        <f>IFERROR(INDEX('Semrush Data'!$C$2:$C$5000,MATCH(F134,'Semrush Data'!$A$2:$A$5000,0)),"")</f>
        <v/>
      </c>
      <c r="H134" s="45">
        <f>IFERROR(INDEX('Semrush Data'!$D$2:$D$5000,MATCH(F134,'Semrush Data'!$A$2:$A$5000,0)),"")</f>
        <v/>
      </c>
      <c r="I134" s="45" t="inlineStr">
        <is>
          <t>deyga</t>
        </is>
      </c>
      <c r="J134" s="47">
        <f>IFERROR(INDEX('Semrush Data'!$C$2:$C$5000,MATCH(I134,'Semrush Data'!$A$2:$A$5000,0)),"")</f>
        <v/>
      </c>
      <c r="K134" s="45" t="inlineStr">
        <is>
          <t>/collections/moisturiser-for-dry-skin</t>
        </is>
      </c>
      <c r="L134" s="45" t="inlineStr">
        <is>
          <t>Deyga Under Eye Cream</t>
        </is>
      </c>
      <c r="M134" s="45" t="inlineStr">
        <is>
          <t>Deyga Under Eye Cream – Moisturiser for Dry Skin | Swansura</t>
        </is>
      </c>
      <c r="N134" s="45">
        <f>LEN(M134)</f>
        <v/>
      </c>
      <c r="O134" s="49" t="inlineStr">
        <is>
          <t>Buy Deyga Under Eye Cream, a natural moisturiser for dry skin from Deyga. Official UK partner: 100% authentic, shipped from the UK, free delivery over £50.</t>
        </is>
      </c>
      <c r="P134" s="45">
        <f>LEN(O134)</f>
        <v/>
      </c>
      <c r="Q134" s="49" t="inlineStr">
        <is>
          <t>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is>
      </c>
      <c r="R134" s="49" t="inlineStr">
        <is>
          <t>deyga under eye cream review · deyga under eye cream amazon · deyga under eye cream ingredients · deyga under eye cream benefits · deyga under eye cream how to use</t>
        </is>
      </c>
      <c r="S134" s="45" t="inlineStr">
        <is>
          <t>Matched</t>
        </is>
      </c>
      <c r="T134" s="49" t="n"/>
    </row>
    <row r="135" ht="34.5" customHeight="1" s="37">
      <c r="A135" s="45" t="inlineStr">
        <is>
          <t>VD-134</t>
        </is>
      </c>
      <c r="B135" s="45" t="inlineStr">
        <is>
          <t>Deyga</t>
        </is>
      </c>
      <c r="C135" s="45" t="inlineStr">
        <is>
          <t>10% Vitamin C Face Serum 20ml</t>
        </is>
      </c>
      <c r="D135" s="45" t="inlineStr">
        <is>
          <t>Serums</t>
        </is>
      </c>
      <c r="E135" s="45" t="inlineStr">
        <is>
          <t>Dull Skin</t>
        </is>
      </c>
      <c r="F135" s="48" t="inlineStr">
        <is>
          <t>vitamin c serum</t>
        </is>
      </c>
      <c r="G135" s="47">
        <f>IFERROR(INDEX('Semrush Data'!$C$2:$C$5000,MATCH(F135,'Semrush Data'!$A$2:$A$5000,0)),"")</f>
        <v/>
      </c>
      <c r="H135" s="45">
        <f>IFERROR(INDEX('Semrush Data'!$D$2:$D$5000,MATCH(F135,'Semrush Data'!$A$2:$A$5000,0)),"")</f>
        <v/>
      </c>
      <c r="I135" s="45" t="inlineStr">
        <is>
          <t>deyga</t>
        </is>
      </c>
      <c r="J135" s="47">
        <f>IFERROR(INDEX('Semrush Data'!$C$2:$C$5000,MATCH(I135,'Semrush Data'!$A$2:$A$5000,0)),"")</f>
        <v/>
      </c>
      <c r="K135" s="45" t="inlineStr">
        <is>
          <t>/collections/vitamin-c-serum</t>
        </is>
      </c>
      <c r="L135" s="45" t="inlineStr">
        <is>
          <t>Deyga 10% Vitamin C Face Serum</t>
        </is>
      </c>
      <c r="M135" s="45" t="inlineStr">
        <is>
          <t>Deyga 10% Vitamin C Face Serum – Vitamin C Serum | Swansura</t>
        </is>
      </c>
      <c r="N135" s="45">
        <f>LEN(M135)</f>
        <v/>
      </c>
      <c r="O135" s="49" t="inlineStr">
        <is>
          <t>Buy Deyga 10% Vitamin C Face Serum, a natural vitamin c serum from Deyga. Official UK partner: 100% authentic, shipped from the UK, free delivery over £50.</t>
        </is>
      </c>
      <c r="P135" s="45">
        <f>LEN(O135)</f>
        <v/>
      </c>
      <c r="Q135" s="49" t="inlineStr">
        <is>
          <t>Deyga 10% Vitamin C Face Serum is a natural vitamin c serum from Deyga. This lightweight, 100% natural, beginner-friendly formula is suitable for all skin types, including sensitive skin. Swansura is an official UK partner of Deyga, so every order is 100% authentic and ships from the UK.</t>
        </is>
      </c>
      <c r="R135" s="49" t="inlineStr">
        <is>
          <t>deyga 10 vitamin c face serum</t>
        </is>
      </c>
      <c r="S135" s="45" t="inlineStr">
        <is>
          <t>Matched</t>
        </is>
      </c>
      <c r="T135" s="49" t="inlineStr">
        <is>
          <t>Review: source copy has medical-style claims (kept out of intro)</t>
        </is>
      </c>
    </row>
    <row r="136" ht="57" customHeight="1" s="37">
      <c r="A136" s="45" t="inlineStr">
        <is>
          <t>VD-135</t>
        </is>
      </c>
      <c r="B136" s="45" t="inlineStr">
        <is>
          <t>Deyga</t>
        </is>
      </c>
      <c r="C136" s="45" t="inlineStr">
        <is>
          <t>Natural Loose Setting Powder 15G</t>
        </is>
      </c>
      <c r="D136" s="45" t="inlineStr">
        <is>
          <t>Skincare Treatments</t>
        </is>
      </c>
      <c r="E136" s="45" t="inlineStr">
        <is>
          <t>Skin Nourishment</t>
        </is>
      </c>
      <c r="F136" s="48" t="inlineStr">
        <is>
          <t>face serum</t>
        </is>
      </c>
      <c r="G136" s="47">
        <f>IFERROR(INDEX('Semrush Data'!$C$2:$C$5000,MATCH(F136,'Semrush Data'!$A$2:$A$5000,0)),"")</f>
        <v/>
      </c>
      <c r="H136" s="45">
        <f>IFERROR(INDEX('Semrush Data'!$D$2:$D$5000,MATCH(F136,'Semrush Data'!$A$2:$A$5000,0)),"")</f>
        <v/>
      </c>
      <c r="I136" s="45" t="inlineStr">
        <is>
          <t>deyga</t>
        </is>
      </c>
      <c r="J136" s="47">
        <f>IFERROR(INDEX('Semrush Data'!$C$2:$C$5000,MATCH(I136,'Semrush Data'!$A$2:$A$5000,0)),"")</f>
        <v/>
      </c>
      <c r="K136" s="45" t="inlineStr">
        <is>
          <t>/collections/face-serum</t>
        </is>
      </c>
      <c r="L136" s="45" t="inlineStr">
        <is>
          <t>Deyga Natural Loose Setting Powder</t>
        </is>
      </c>
      <c r="M136" s="45" t="inlineStr">
        <is>
          <t>Deyga Natural Loose Setting Powder – Face Serum | Swansura</t>
        </is>
      </c>
      <c r="N136" s="45">
        <f>LEN(M136)</f>
        <v/>
      </c>
      <c r="O136" s="49" t="inlineStr">
        <is>
          <t>Buy Deyga Natural Loose Setting Powder, a natural face serum from Deyga. Official UK partner: 100% authentic, shipped from the UK, free delivery over £50.</t>
        </is>
      </c>
      <c r="P136" s="45">
        <f>LEN(O136)</f>
        <v/>
      </c>
      <c r="Q136" s="49" t="inlineStr">
        <is>
          <t>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is>
      </c>
      <c r="R136" s="49" t="n"/>
      <c r="S136" s="45" t="inlineStr">
        <is>
          <t>Matched</t>
        </is>
      </c>
      <c r="T136" s="49" t="inlineStr">
        <is>
          <t>Review: source copy has medical-style claims (kept out of intro)</t>
        </is>
      </c>
    </row>
    <row r="137" ht="45.75" customHeight="1" s="37">
      <c r="A137" s="45" t="inlineStr">
        <is>
          <t>VD-136</t>
        </is>
      </c>
      <c r="B137" s="45" t="inlineStr">
        <is>
          <t>Deyga</t>
        </is>
      </c>
      <c r="C137" s="45" t="inlineStr">
        <is>
          <t>Soft Lip Combo</t>
        </is>
      </c>
      <c r="D137" s="45" t="inlineStr">
        <is>
          <t>Gift Sets &amp; Combos</t>
        </is>
      </c>
      <c r="E137" s="45" t="inlineStr">
        <is>
          <t>Dry Lips</t>
        </is>
      </c>
      <c r="F137" s="48" t="inlineStr">
        <is>
          <t>lip balm for dry lips</t>
        </is>
      </c>
      <c r="G137" s="47">
        <f>IFERROR(INDEX('Semrush Data'!$C$2:$C$5000,MATCH(F137,'Semrush Data'!$A$2:$A$5000,0)),"")</f>
        <v/>
      </c>
      <c r="H137" s="45">
        <f>IFERROR(INDEX('Semrush Data'!$D$2:$D$5000,MATCH(F137,'Semrush Data'!$A$2:$A$5000,0)),"")</f>
        <v/>
      </c>
      <c r="I137" s="45" t="inlineStr">
        <is>
          <t>deyga</t>
        </is>
      </c>
      <c r="J137" s="47">
        <f>IFERROR(INDEX('Semrush Data'!$C$2:$C$5000,MATCH(I137,'Semrush Data'!$A$2:$A$5000,0)),"")</f>
        <v/>
      </c>
      <c r="K137" s="45" t="inlineStr">
        <is>
          <t>/collections/lip-balm-for-dry-lips</t>
        </is>
      </c>
      <c r="L137" s="45" t="inlineStr">
        <is>
          <t>Deyga Soft Lip Combo</t>
        </is>
      </c>
      <c r="M137" s="45" t="inlineStr">
        <is>
          <t>Deyga Soft Lip Combo – Lip Balm for Dry Lips | Swansura</t>
        </is>
      </c>
      <c r="N137" s="45">
        <f>LEN(M137)</f>
        <v/>
      </c>
      <c r="O137" s="49" t="inlineStr">
        <is>
          <t>Buy Deyga Soft Lip Combo, a natural lip balm for dry lips from Deyga. Official UK partner: 100% authentic, shipped from the UK, free delivery over £50.</t>
        </is>
      </c>
      <c r="P137" s="45">
        <f>LEN(O137)</f>
        <v/>
      </c>
      <c r="Q137" s="49" t="inlineStr">
        <is>
          <t>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is>
      </c>
      <c r="R137" s="49" t="n"/>
      <c r="S137" s="45" t="inlineStr">
        <is>
          <t>Matched</t>
        </is>
      </c>
      <c r="T137" s="49" t="inlineStr">
        <is>
          <t>Review: source copy has medical-style claims (kept out of intro)</t>
        </is>
      </c>
    </row>
    <row r="138" ht="45.75" customHeight="1" s="37">
      <c r="A138" s="45" t="inlineStr">
        <is>
          <t>VD-137</t>
        </is>
      </c>
      <c r="B138" s="45" t="inlineStr">
        <is>
          <t>Deyga</t>
        </is>
      </c>
      <c r="C138" s="45" t="inlineStr">
        <is>
          <t>Vitamin C Daily Glow Combo</t>
        </is>
      </c>
      <c r="D138" s="45" t="inlineStr">
        <is>
          <t>Gift Sets &amp; Combos</t>
        </is>
      </c>
      <c r="E138" s="45" t="inlineStr">
        <is>
          <t>Body Hydration</t>
        </is>
      </c>
      <c r="F138" s="48" t="inlineStr">
        <is>
          <t>body lotion for dry skin</t>
        </is>
      </c>
      <c r="G138" s="47">
        <f>IFERROR(INDEX('Semrush Data'!$C$2:$C$5000,MATCH(F138,'Semrush Data'!$A$2:$A$5000,0)),"")</f>
        <v/>
      </c>
      <c r="H138" s="45">
        <f>IFERROR(INDEX('Semrush Data'!$D$2:$D$5000,MATCH(F138,'Semrush Data'!$A$2:$A$5000,0)),"")</f>
        <v/>
      </c>
      <c r="I138" s="45" t="inlineStr">
        <is>
          <t>deyga</t>
        </is>
      </c>
      <c r="J138" s="47">
        <f>IFERROR(INDEX('Semrush Data'!$C$2:$C$5000,MATCH(I138,'Semrush Data'!$A$2:$A$5000,0)),"")</f>
        <v/>
      </c>
      <c r="K138" s="45" t="inlineStr">
        <is>
          <t>/collections/body-lotion-for-dry-skin</t>
        </is>
      </c>
      <c r="L138" s="45" t="inlineStr">
        <is>
          <t>Deyga Vitamin C Daily Glow Combo</t>
        </is>
      </c>
      <c r="M138" s="45" t="inlineStr">
        <is>
          <t>Deyga Vitamin C Daily Glow Combo | Body Lotion for Dry Skin</t>
        </is>
      </c>
      <c r="N138" s="45">
        <f>LEN(M138)</f>
        <v/>
      </c>
      <c r="O138" s="49" t="inlineStr">
        <is>
          <t>Buy Deyga Vitamin C Daily Glow Combo, a natural body lotion for dry skin from Deyga. Official UK partner, 100% authentic, free UK delivery over £50.</t>
        </is>
      </c>
      <c r="P138" s="45">
        <f>LEN(O138)</f>
        <v/>
      </c>
      <c r="Q138" s="49" t="inlineStr">
        <is>
          <t>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is>
      </c>
      <c r="R138" s="49" t="n"/>
      <c r="S138" s="45" t="inlineStr">
        <is>
          <t>Matched</t>
        </is>
      </c>
      <c r="T138" s="49" t="inlineStr">
        <is>
          <t>Review: source copy has medical-style claims (kept out of intro)</t>
        </is>
      </c>
    </row>
    <row r="139" ht="57" customHeight="1" s="37">
      <c r="A139" s="45" t="inlineStr">
        <is>
          <t>VD-138</t>
        </is>
      </c>
      <c r="B139" s="45" t="inlineStr">
        <is>
          <t>Deyga</t>
        </is>
      </c>
      <c r="C139" s="45" t="inlineStr">
        <is>
          <t>Acne Relief Combo</t>
        </is>
      </c>
      <c r="D139" s="45" t="inlineStr">
        <is>
          <t>Gift Sets &amp; Combos</t>
        </is>
      </c>
      <c r="E139" s="45" t="inlineStr">
        <is>
          <t>Acne &amp; Blemishes</t>
        </is>
      </c>
      <c r="F139" s="48" t="inlineStr">
        <is>
          <t>face wash for oily skin</t>
        </is>
      </c>
      <c r="G139" s="47">
        <f>IFERROR(INDEX('Semrush Data'!$C$2:$C$5000,MATCH(F139,'Semrush Data'!$A$2:$A$5000,0)),"")</f>
        <v/>
      </c>
      <c r="H139" s="45">
        <f>IFERROR(INDEX('Semrush Data'!$D$2:$D$5000,MATCH(F139,'Semrush Data'!$A$2:$A$5000,0)),"")</f>
        <v/>
      </c>
      <c r="I139" s="45" t="inlineStr">
        <is>
          <t>deyga</t>
        </is>
      </c>
      <c r="J139" s="47">
        <f>IFERROR(INDEX('Semrush Data'!$C$2:$C$5000,MATCH(I139,'Semrush Data'!$A$2:$A$5000,0)),"")</f>
        <v/>
      </c>
      <c r="K139" s="45" t="inlineStr">
        <is>
          <t>/collections/face-wash-for-oily-skin</t>
        </is>
      </c>
      <c r="L139" s="45" t="inlineStr">
        <is>
          <t>Deyga Acne Relief Combo</t>
        </is>
      </c>
      <c r="M139" s="45" t="inlineStr">
        <is>
          <t>Deyga Acne Relief Combo – Face Wash for Oily Skin | Swansura</t>
        </is>
      </c>
      <c r="N139" s="45">
        <f>LEN(M139)</f>
        <v/>
      </c>
      <c r="O139" s="49" t="inlineStr">
        <is>
          <t>Buy Deyga Acne Relief Combo, a natural face wash for oily skin from Deyga. Official UK partner: 100% authentic, shipped from the UK, free delivery over £50.</t>
        </is>
      </c>
      <c r="P139" s="45">
        <f>LEN(O139)</f>
        <v/>
      </c>
      <c r="Q139" s="49" t="inlineStr">
        <is>
          <t>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is>
      </c>
      <c r="R139" s="49" t="n"/>
      <c r="S139" s="45" t="inlineStr">
        <is>
          <t>Matched</t>
        </is>
      </c>
      <c r="T139" s="49" t="inlineStr">
        <is>
          <t>Review: source copy has medical-style claims (kept out of intro)</t>
        </is>
      </c>
    </row>
    <row r="140" ht="57" customHeight="1" s="37">
      <c r="A140" s="45" t="inlineStr">
        <is>
          <t>VD-139</t>
        </is>
      </c>
      <c r="B140" s="45" t="inlineStr">
        <is>
          <t>Deyga</t>
        </is>
      </c>
      <c r="C140" s="45" t="inlineStr">
        <is>
          <t>Acne Vanishing Combo</t>
        </is>
      </c>
      <c r="D140" s="45" t="inlineStr">
        <is>
          <t>Gift Sets &amp; Combos</t>
        </is>
      </c>
      <c r="E140" s="45" t="inlineStr">
        <is>
          <t>Acne &amp; Blemishes</t>
        </is>
      </c>
      <c r="F140" s="48" t="inlineStr">
        <is>
          <t>face wash for oily skin</t>
        </is>
      </c>
      <c r="G140" s="47">
        <f>IFERROR(INDEX('Semrush Data'!$C$2:$C$5000,MATCH(F140,'Semrush Data'!$A$2:$A$5000,0)),"")</f>
        <v/>
      </c>
      <c r="H140" s="45">
        <f>IFERROR(INDEX('Semrush Data'!$D$2:$D$5000,MATCH(F140,'Semrush Data'!$A$2:$A$5000,0)),"")</f>
        <v/>
      </c>
      <c r="I140" s="45" t="inlineStr">
        <is>
          <t>deyga</t>
        </is>
      </c>
      <c r="J140" s="47">
        <f>IFERROR(INDEX('Semrush Data'!$C$2:$C$5000,MATCH(I140,'Semrush Data'!$A$2:$A$5000,0)),"")</f>
        <v/>
      </c>
      <c r="K140" s="45" t="inlineStr">
        <is>
          <t>/collections/face-wash-for-oily-skin</t>
        </is>
      </c>
      <c r="L140" s="45" t="inlineStr">
        <is>
          <t>Deyga Acne Vanishing Combo</t>
        </is>
      </c>
      <c r="M140" s="45" t="inlineStr">
        <is>
          <t>Deyga Acne Vanishing Combo | Face Wash for Oily Skin</t>
        </is>
      </c>
      <c r="N140" s="45">
        <f>LEN(M140)</f>
        <v/>
      </c>
      <c r="O140" s="49" t="inlineStr">
        <is>
          <t>Buy Deyga Acne Vanishing Combo, a natural face wash for oily skin from Deyga. Official UK partner: 100% authentic, shipped from the UK, free delivery over £50.</t>
        </is>
      </c>
      <c r="P140" s="45">
        <f>LEN(O140)</f>
        <v/>
      </c>
      <c r="Q140" s="49" t="inlineStr">
        <is>
          <t>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is>
      </c>
      <c r="R140" s="49" t="n"/>
      <c r="S140" s="45" t="inlineStr">
        <is>
          <t>Matched</t>
        </is>
      </c>
      <c r="T140" s="49" t="n"/>
    </row>
    <row r="141" ht="45.75" customHeight="1" s="37">
      <c r="A141" s="45" t="inlineStr">
        <is>
          <t>VD-140</t>
        </is>
      </c>
      <c r="B141" s="45" t="inlineStr">
        <is>
          <t>Deyga</t>
        </is>
      </c>
      <c r="C141" s="45" t="inlineStr">
        <is>
          <t>Mini Foot Spa Combo</t>
        </is>
      </c>
      <c r="D141" s="45" t="inlineStr">
        <is>
          <t>Gift Sets &amp; Combos</t>
        </is>
      </c>
      <c r="E141" s="45" t="inlineStr">
        <is>
          <t>Dry Skin</t>
        </is>
      </c>
      <c r="F141" s="48" t="inlineStr">
        <is>
          <t>skincare for dry skin</t>
        </is>
      </c>
      <c r="G141" s="47">
        <f>IFERROR(INDEX('Semrush Data'!$C$2:$C$5000,MATCH(F141,'Semrush Data'!$A$2:$A$5000,0)),"")</f>
        <v/>
      </c>
      <c r="H141" s="45">
        <f>IFERROR(INDEX('Semrush Data'!$D$2:$D$5000,MATCH(F141,'Semrush Data'!$A$2:$A$5000,0)),"")</f>
        <v/>
      </c>
      <c r="I141" s="45" t="inlineStr">
        <is>
          <t>deyga</t>
        </is>
      </c>
      <c r="J141" s="47">
        <f>IFERROR(INDEX('Semrush Data'!$C$2:$C$5000,MATCH(I141,'Semrush Data'!$A$2:$A$5000,0)),"")</f>
        <v/>
      </c>
      <c r="K141" s="45" t="inlineStr">
        <is>
          <t>/collections/dry-skin</t>
        </is>
      </c>
      <c r="L141" s="45" t="inlineStr">
        <is>
          <t>Deyga Mini Foot Spa Combo</t>
        </is>
      </c>
      <c r="M141" s="45" t="inlineStr">
        <is>
          <t>Deyga Mini Foot Spa Combo – Skincare for Dry Skin | Swansura</t>
        </is>
      </c>
      <c r="N141" s="45">
        <f>LEN(M141)</f>
        <v/>
      </c>
      <c r="O141" s="49" t="inlineStr">
        <is>
          <t>Buy Deyga Mini Foot Spa Combo, natural skincare for dry skin from Deyga. Official UK partner: 100% authentic, shipped from the UK, free delivery over £50.</t>
        </is>
      </c>
      <c r="P141" s="45">
        <f>LEN(O141)</f>
        <v/>
      </c>
      <c r="Q141" s="49" t="inlineStr">
        <is>
          <t>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is>
      </c>
      <c r="R141" s="49" t="n"/>
      <c r="S141" s="45" t="inlineStr">
        <is>
          <t>Matched</t>
        </is>
      </c>
      <c r="T141" s="49" t="n"/>
    </row>
    <row r="142" ht="45.75" customHeight="1" s="37">
      <c r="A142" s="45" t="inlineStr">
        <is>
          <t>VD-141</t>
        </is>
      </c>
      <c r="B142" s="45" t="inlineStr">
        <is>
          <t>Deyga</t>
        </is>
      </c>
      <c r="C142" s="45" t="inlineStr">
        <is>
          <t>Daily Essential Kit</t>
        </is>
      </c>
      <c r="D142" s="45" t="inlineStr">
        <is>
          <t>Gift Sets &amp; Combos</t>
        </is>
      </c>
      <c r="E142" s="45" t="inlineStr">
        <is>
          <t>Body Hydration</t>
        </is>
      </c>
      <c r="F142" s="48" t="inlineStr">
        <is>
          <t>body lotion for dry skin</t>
        </is>
      </c>
      <c r="G142" s="47">
        <f>IFERROR(INDEX('Semrush Data'!$C$2:$C$5000,MATCH(F142,'Semrush Data'!$A$2:$A$5000,0)),"")</f>
        <v/>
      </c>
      <c r="H142" s="45">
        <f>IFERROR(INDEX('Semrush Data'!$D$2:$D$5000,MATCH(F142,'Semrush Data'!$A$2:$A$5000,0)),"")</f>
        <v/>
      </c>
      <c r="I142" s="45" t="inlineStr">
        <is>
          <t>deyga</t>
        </is>
      </c>
      <c r="J142" s="47">
        <f>IFERROR(INDEX('Semrush Data'!$C$2:$C$5000,MATCH(I142,'Semrush Data'!$A$2:$A$5000,0)),"")</f>
        <v/>
      </c>
      <c r="K142" s="45" t="inlineStr">
        <is>
          <t>/collections/body-lotion-for-dry-skin</t>
        </is>
      </c>
      <c r="L142" s="45" t="inlineStr">
        <is>
          <t>Deyga Daily Essential Kit</t>
        </is>
      </c>
      <c r="M142" s="45" t="inlineStr">
        <is>
          <t>Deyga Daily Essential Kit | Body Lotion for Dry Skin</t>
        </is>
      </c>
      <c r="N142" s="45">
        <f>LEN(M142)</f>
        <v/>
      </c>
      <c r="O142" s="49" t="inlineStr">
        <is>
          <t>Buy Deyga Daily Essential Kit, a natural body lotion for dry skin from Deyga. Official UK partner: 100% authentic, shipped from the UK, free delivery over £50.</t>
        </is>
      </c>
      <c r="P142" s="45">
        <f>LEN(O142)</f>
        <v/>
      </c>
      <c r="Q142" s="49" t="inlineStr">
        <is>
          <t>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is>
      </c>
      <c r="R142" s="49" t="n"/>
      <c r="S142" s="45" t="inlineStr">
        <is>
          <t>Matched</t>
        </is>
      </c>
      <c r="T142" s="49" t="n"/>
    </row>
    <row r="143" ht="45.75" customHeight="1" s="37">
      <c r="A143" s="45" t="inlineStr">
        <is>
          <t>VD-142</t>
        </is>
      </c>
      <c r="B143" s="45" t="inlineStr">
        <is>
          <t>Deyga</t>
        </is>
      </c>
      <c r="C143" s="45" t="inlineStr">
        <is>
          <t>Clear Skin Kit</t>
        </is>
      </c>
      <c r="D143" s="45" t="inlineStr">
        <is>
          <t>Gift Sets &amp; Combos</t>
        </is>
      </c>
      <c r="E143" s="45" t="inlineStr">
        <is>
          <t>Dry Skin</t>
        </is>
      </c>
      <c r="F143" s="48" t="inlineStr">
        <is>
          <t>skincare for dry skin</t>
        </is>
      </c>
      <c r="G143" s="47">
        <f>IFERROR(INDEX('Semrush Data'!$C$2:$C$5000,MATCH(F143,'Semrush Data'!$A$2:$A$5000,0)),"")</f>
        <v/>
      </c>
      <c r="H143" s="45">
        <f>IFERROR(INDEX('Semrush Data'!$D$2:$D$5000,MATCH(F143,'Semrush Data'!$A$2:$A$5000,0)),"")</f>
        <v/>
      </c>
      <c r="I143" s="45" t="inlineStr">
        <is>
          <t>deyga</t>
        </is>
      </c>
      <c r="J143" s="47">
        <f>IFERROR(INDEX('Semrush Data'!$C$2:$C$5000,MATCH(I143,'Semrush Data'!$A$2:$A$5000,0)),"")</f>
        <v/>
      </c>
      <c r="K143" s="45" t="inlineStr">
        <is>
          <t>/collections/dry-skin</t>
        </is>
      </c>
      <c r="L143" s="45" t="inlineStr">
        <is>
          <t>Deyga Clear Skin Kit</t>
        </is>
      </c>
      <c r="M143" s="45" t="inlineStr">
        <is>
          <t>Deyga Clear Skin Kit – Skincare for Dry Skin | Swansura</t>
        </is>
      </c>
      <c r="N143" s="45">
        <f>LEN(M143)</f>
        <v/>
      </c>
      <c r="O143" s="49" t="inlineStr">
        <is>
          <t>Buy Deyga Clear Skin Kit, natural skincare for dry skin from Deyga. Official UK partner: 100% authentic, shipped from the UK, free delivery over £50.</t>
        </is>
      </c>
      <c r="P143" s="45">
        <f>LEN(O143)</f>
        <v/>
      </c>
      <c r="Q143" s="49" t="inlineStr">
        <is>
          <t>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is>
      </c>
      <c r="R143" s="49" t="n"/>
      <c r="S143" s="45" t="inlineStr">
        <is>
          <t>Matched</t>
        </is>
      </c>
      <c r="T143" s="49" t="n"/>
    </row>
    <row r="144" ht="45.75" customHeight="1" s="37">
      <c r="A144" s="45" t="inlineStr">
        <is>
          <t>VD-143</t>
        </is>
      </c>
      <c r="B144" s="45" t="inlineStr">
        <is>
          <t>Deyga</t>
        </is>
      </c>
      <c r="C144" s="45" t="inlineStr">
        <is>
          <t>Best Selling Face Care Kit</t>
        </is>
      </c>
      <c r="D144" s="45" t="inlineStr">
        <is>
          <t>Gift Sets &amp; Combos</t>
        </is>
      </c>
      <c r="E144" s="45" t="inlineStr">
        <is>
          <t>Body Hydration</t>
        </is>
      </c>
      <c r="F144" s="48" t="inlineStr">
        <is>
          <t>body lotion for dry skin</t>
        </is>
      </c>
      <c r="G144" s="47">
        <f>IFERROR(INDEX('Semrush Data'!$C$2:$C$5000,MATCH(F144,'Semrush Data'!$A$2:$A$5000,0)),"")</f>
        <v/>
      </c>
      <c r="H144" s="45">
        <f>IFERROR(INDEX('Semrush Data'!$D$2:$D$5000,MATCH(F144,'Semrush Data'!$A$2:$A$5000,0)),"")</f>
        <v/>
      </c>
      <c r="I144" s="45" t="inlineStr">
        <is>
          <t>deyga</t>
        </is>
      </c>
      <c r="J144" s="47">
        <f>IFERROR(INDEX('Semrush Data'!$C$2:$C$5000,MATCH(I144,'Semrush Data'!$A$2:$A$5000,0)),"")</f>
        <v/>
      </c>
      <c r="K144" s="45" t="inlineStr">
        <is>
          <t>/collections/body-lotion-for-dry-skin</t>
        </is>
      </c>
      <c r="L144" s="45" t="inlineStr">
        <is>
          <t>Deyga Best Selling Face Care Kit</t>
        </is>
      </c>
      <c r="M144" s="45" t="inlineStr">
        <is>
          <t>Deyga Best Selling Face Care Kit | Body Lotion for Dry Skin</t>
        </is>
      </c>
      <c r="N144" s="45">
        <f>LEN(M144)</f>
        <v/>
      </c>
      <c r="O144" s="49" t="inlineStr">
        <is>
          <t>Buy Deyga Best Selling Face Care Kit, a natural body lotion for dry skin from Deyga. Official UK partner, 100% authentic, free UK delivery over £50.</t>
        </is>
      </c>
      <c r="P144" s="45">
        <f>LEN(O144)</f>
        <v/>
      </c>
      <c r="Q144" s="49" t="inlineStr">
        <is>
          <t>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is>
      </c>
      <c r="R144" s="49" t="n"/>
      <c r="S144" s="45" t="inlineStr">
        <is>
          <t>Matched</t>
        </is>
      </c>
      <c r="T144" s="49" t="inlineStr">
        <is>
          <t>Review: source copy has medical-style claims (kept out of intro)</t>
        </is>
      </c>
    </row>
    <row r="145" ht="45.75" customHeight="1" s="37">
      <c r="A145" s="45" t="inlineStr">
        <is>
          <t>VD-144</t>
        </is>
      </c>
      <c r="B145" s="45" t="inlineStr">
        <is>
          <t>Deyga</t>
        </is>
      </c>
      <c r="C145" s="45" t="inlineStr">
        <is>
          <t>Instant Hair Removal Kit</t>
        </is>
      </c>
      <c r="D145" s="45" t="inlineStr">
        <is>
          <t>Gift Sets &amp; Combos</t>
        </is>
      </c>
      <c r="E145" s="45" t="inlineStr">
        <is>
          <t>Dry Hair</t>
        </is>
      </c>
      <c r="F145" s="48" t="inlineStr">
        <is>
          <t>hair mask for dry hair</t>
        </is>
      </c>
      <c r="G145" s="47">
        <f>IFERROR(INDEX('Semrush Data'!$C$2:$C$5000,MATCH(F145,'Semrush Data'!$A$2:$A$5000,0)),"")</f>
        <v/>
      </c>
      <c r="H145" s="45">
        <f>IFERROR(INDEX('Semrush Data'!$D$2:$D$5000,MATCH(F145,'Semrush Data'!$A$2:$A$5000,0)),"")</f>
        <v/>
      </c>
      <c r="I145" s="45" t="inlineStr">
        <is>
          <t>deyga</t>
        </is>
      </c>
      <c r="J145" s="47">
        <f>IFERROR(INDEX('Semrush Data'!$C$2:$C$5000,MATCH(I145,'Semrush Data'!$A$2:$A$5000,0)),"")</f>
        <v/>
      </c>
      <c r="K145" s="45" t="inlineStr">
        <is>
          <t>/collections/hair-mask-for-dry-hair</t>
        </is>
      </c>
      <c r="L145" s="45" t="inlineStr">
        <is>
          <t>Deyga Instant Hair Removal Kit</t>
        </is>
      </c>
      <c r="M145" s="45" t="inlineStr">
        <is>
          <t>Deyga Instant Hair Removal Kit | Hair Mask for Dry Hair</t>
        </is>
      </c>
      <c r="N145" s="45">
        <f>LEN(M145)</f>
        <v/>
      </c>
      <c r="O145" s="49" t="inlineStr">
        <is>
          <t>Deyga Instant Hair Removal Kit: a natural hair mask for dry hair from Deyga. Official UK partner: 100% authentic, shipped from the UK, free delivery over £50.</t>
        </is>
      </c>
      <c r="P145" s="45">
        <f>LEN(O145)</f>
        <v/>
      </c>
      <c r="Q145" s="49" t="inlineStr">
        <is>
          <t>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is>
      </c>
      <c r="R145" s="49" t="n"/>
      <c r="S145" s="45" t="inlineStr">
        <is>
          <t>Matched</t>
        </is>
      </c>
      <c r="T145" s="49" t="n"/>
    </row>
    <row r="146" ht="45.75" customHeight="1" s="37">
      <c r="A146" s="45" t="inlineStr">
        <is>
          <t>VD-145</t>
        </is>
      </c>
      <c r="B146" s="45" t="inlineStr">
        <is>
          <t>Deyga</t>
        </is>
      </c>
      <c r="C146" s="45" t="inlineStr">
        <is>
          <t>Instant Hair Removal Kit with Toner</t>
        </is>
      </c>
      <c r="D146" s="45" t="inlineStr">
        <is>
          <t>Gift Sets &amp; Combos</t>
        </is>
      </c>
      <c r="E146" s="45" t="inlineStr">
        <is>
          <t>Dry Hair</t>
        </is>
      </c>
      <c r="F146" s="48" t="inlineStr">
        <is>
          <t>hair mask for dry hair</t>
        </is>
      </c>
      <c r="G146" s="47">
        <f>IFERROR(INDEX('Semrush Data'!$C$2:$C$5000,MATCH(F146,'Semrush Data'!$A$2:$A$5000,0)),"")</f>
        <v/>
      </c>
      <c r="H146" s="45">
        <f>IFERROR(INDEX('Semrush Data'!$D$2:$D$5000,MATCH(F146,'Semrush Data'!$A$2:$A$5000,0)),"")</f>
        <v/>
      </c>
      <c r="I146" s="45" t="inlineStr">
        <is>
          <t>deyga</t>
        </is>
      </c>
      <c r="J146" s="47">
        <f>IFERROR(INDEX('Semrush Data'!$C$2:$C$5000,MATCH(I146,'Semrush Data'!$A$2:$A$5000,0)),"")</f>
        <v/>
      </c>
      <c r="K146" s="45" t="inlineStr">
        <is>
          <t>/collections/hair-mask-for-dry-hair</t>
        </is>
      </c>
      <c r="L146" s="45" t="inlineStr">
        <is>
          <t>Deyga Instant Hair Removal Kit with Toner</t>
        </is>
      </c>
      <c r="M146" s="45" t="inlineStr">
        <is>
          <t>Deyga Instant Hair Removal Kit with Toner | Swansura UK</t>
        </is>
      </c>
      <c r="N146" s="45">
        <f>LEN(M146)</f>
        <v/>
      </c>
      <c r="O146" s="49" t="inlineStr">
        <is>
          <t>Buy Deyga Instant Hair Removal Kit with Toner, a natural hair mask for dry hair from Deyga. Official UK partner, 100% authentic, free UK delivery over £50.</t>
        </is>
      </c>
      <c r="P146" s="45">
        <f>LEN(O146)</f>
        <v/>
      </c>
      <c r="Q146" s="49" t="inlineStr">
        <is>
          <t>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is>
      </c>
      <c r="R146" s="49" t="n"/>
      <c r="S146" s="45" t="inlineStr">
        <is>
          <t>Matched</t>
        </is>
      </c>
      <c r="T146" s="49" t="n"/>
    </row>
    <row r="147" ht="45.75" customHeight="1" s="37">
      <c r="A147" s="45" t="inlineStr">
        <is>
          <t>VD-146</t>
        </is>
      </c>
      <c r="B147" s="45" t="inlineStr">
        <is>
          <t>Deyga</t>
        </is>
      </c>
      <c r="C147" s="45" t="inlineStr">
        <is>
          <t>Healthy Glow Kit</t>
        </is>
      </c>
      <c r="D147" s="45" t="inlineStr">
        <is>
          <t>Gift Sets &amp; Combos</t>
        </is>
      </c>
      <c r="E147" s="45" t="inlineStr">
        <is>
          <t>Body Hydration</t>
        </is>
      </c>
      <c r="F147" s="48" t="inlineStr">
        <is>
          <t>body lotion for dry skin</t>
        </is>
      </c>
      <c r="G147" s="47">
        <f>IFERROR(INDEX('Semrush Data'!$C$2:$C$5000,MATCH(F147,'Semrush Data'!$A$2:$A$5000,0)),"")</f>
        <v/>
      </c>
      <c r="H147" s="45">
        <f>IFERROR(INDEX('Semrush Data'!$D$2:$D$5000,MATCH(F147,'Semrush Data'!$A$2:$A$5000,0)),"")</f>
        <v/>
      </c>
      <c r="I147" s="45" t="inlineStr">
        <is>
          <t>deyga</t>
        </is>
      </c>
      <c r="J147" s="47">
        <f>IFERROR(INDEX('Semrush Data'!$C$2:$C$5000,MATCH(I147,'Semrush Data'!$A$2:$A$5000,0)),"")</f>
        <v/>
      </c>
      <c r="K147" s="45" t="inlineStr">
        <is>
          <t>/collections/body-lotion-for-dry-skin</t>
        </is>
      </c>
      <c r="L147" s="45" t="inlineStr">
        <is>
          <t>Deyga Healthy Glow Kit</t>
        </is>
      </c>
      <c r="M147" s="45" t="inlineStr">
        <is>
          <t>Deyga Healthy Glow Kit – Body Lotion for Dry Skin | Swansura</t>
        </is>
      </c>
      <c r="N147" s="45">
        <f>LEN(M147)</f>
        <v/>
      </c>
      <c r="O147" s="49" t="inlineStr">
        <is>
          <t>Buy Deyga Healthy Glow Kit, a natural body lotion for dry skin from Deyga. Official UK partner: 100% authentic, shipped from the UK, free delivery over £50.</t>
        </is>
      </c>
      <c r="P147" s="45">
        <f>LEN(O147)</f>
        <v/>
      </c>
      <c r="Q147" s="49" t="inlineStr">
        <is>
          <t>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is>
      </c>
      <c r="R147" s="49" t="n"/>
      <c r="S147" s="45" t="inlineStr">
        <is>
          <t>Matched</t>
        </is>
      </c>
      <c r="T147" s="49" t="n"/>
    </row>
    <row r="148" ht="45.75" customHeight="1" s="37">
      <c r="A148" s="45" t="inlineStr">
        <is>
          <t>VD-147</t>
        </is>
      </c>
      <c r="B148" s="45" t="inlineStr">
        <is>
          <t>Deyga</t>
        </is>
      </c>
      <c r="C148" s="45" t="inlineStr">
        <is>
          <t>Hair Nourishment Kit</t>
        </is>
      </c>
      <c r="D148" s="45" t="inlineStr">
        <is>
          <t>Gift Sets &amp; Combos</t>
        </is>
      </c>
      <c r="E148" s="45" t="inlineStr">
        <is>
          <t>Dry Hair</t>
        </is>
      </c>
      <c r="F148" s="48" t="inlineStr">
        <is>
          <t>hair mask for dry hair</t>
        </is>
      </c>
      <c r="G148" s="47">
        <f>IFERROR(INDEX('Semrush Data'!$C$2:$C$5000,MATCH(F148,'Semrush Data'!$A$2:$A$5000,0)),"")</f>
        <v/>
      </c>
      <c r="H148" s="45">
        <f>IFERROR(INDEX('Semrush Data'!$D$2:$D$5000,MATCH(F148,'Semrush Data'!$A$2:$A$5000,0)),"")</f>
        <v/>
      </c>
      <c r="I148" s="45" t="inlineStr">
        <is>
          <t>deyga</t>
        </is>
      </c>
      <c r="J148" s="47">
        <f>IFERROR(INDEX('Semrush Data'!$C$2:$C$5000,MATCH(I148,'Semrush Data'!$A$2:$A$5000,0)),"")</f>
        <v/>
      </c>
      <c r="K148" s="45" t="inlineStr">
        <is>
          <t>/collections/hair-mask-for-dry-hair</t>
        </is>
      </c>
      <c r="L148" s="45" t="inlineStr">
        <is>
          <t>Deyga Hair Nourishment Kit</t>
        </is>
      </c>
      <c r="M148" s="45" t="inlineStr">
        <is>
          <t>Deyga Hair Nourishment Kit | Hair Mask for Dry Hair</t>
        </is>
      </c>
      <c r="N148" s="45">
        <f>LEN(M148)</f>
        <v/>
      </c>
      <c r="O148" s="49" t="inlineStr">
        <is>
          <t>Buy Deyga Hair Nourishment Kit, a natural hair mask for dry hair from Deyga. Official UK partner: 100% authentic, shipped from the UK, free delivery over £50.</t>
        </is>
      </c>
      <c r="P148" s="45">
        <f>LEN(O148)</f>
        <v/>
      </c>
      <c r="Q148" s="49" t="inlineStr">
        <is>
          <t>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is>
      </c>
      <c r="R148" s="49" t="n"/>
      <c r="S148" s="45" t="inlineStr">
        <is>
          <t>Matched</t>
        </is>
      </c>
      <c r="T148" s="49" t="n"/>
    </row>
    <row r="149" ht="45.75" customHeight="1" s="37">
      <c r="A149" s="45" t="inlineStr">
        <is>
          <t>VD-148</t>
        </is>
      </c>
      <c r="B149" s="45" t="inlineStr">
        <is>
          <t>Deyga</t>
        </is>
      </c>
      <c r="C149" s="45" t="inlineStr">
        <is>
          <t>Sensitive Skin Kit</t>
        </is>
      </c>
      <c r="D149" s="45" t="inlineStr">
        <is>
          <t>Gift Sets &amp; Combos</t>
        </is>
      </c>
      <c r="E149" s="45" t="inlineStr">
        <is>
          <t>Sensitive Skin</t>
        </is>
      </c>
      <c r="F149" s="48" t="inlineStr">
        <is>
          <t>skincare gift set</t>
        </is>
      </c>
      <c r="G149" s="47">
        <f>IFERROR(INDEX('Semrush Data'!$C$2:$C$5000,MATCH(F149,'Semrush Data'!$A$2:$A$5000,0)),"")</f>
        <v/>
      </c>
      <c r="H149" s="45">
        <f>IFERROR(INDEX('Semrush Data'!$D$2:$D$5000,MATCH(F149,'Semrush Data'!$A$2:$A$5000,0)),"")</f>
        <v/>
      </c>
      <c r="I149" s="45" t="inlineStr">
        <is>
          <t>deyga</t>
        </is>
      </c>
      <c r="J149" s="47">
        <f>IFERROR(INDEX('Semrush Data'!$C$2:$C$5000,MATCH(I149,'Semrush Data'!$A$2:$A$5000,0)),"")</f>
        <v/>
      </c>
      <c r="K149" s="45" t="inlineStr">
        <is>
          <t>/collections/gifts-for-her</t>
        </is>
      </c>
      <c r="L149" s="45" t="inlineStr">
        <is>
          <t>Deyga Sensitive Skin Kit</t>
        </is>
      </c>
      <c r="M149" s="45" t="inlineStr">
        <is>
          <t>Deyga Sensitive Skin Kit – Skincare Gift Set | Swansura</t>
        </is>
      </c>
      <c r="N149" s="45">
        <f>LEN(M149)</f>
        <v/>
      </c>
      <c r="O149" s="49" t="inlineStr">
        <is>
          <t>Buy Deyga Sensitive Skin Kit, natural skincare gift set from Deyga. Official UK partner: 100% authentic, shipped from the UK, free delivery over £50.</t>
        </is>
      </c>
      <c r="P149" s="45">
        <f>LEN(O149)</f>
        <v/>
      </c>
      <c r="Q149" s="49" t="inlineStr">
        <is>
          <t>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is>
      </c>
      <c r="R149" s="49" t="n"/>
      <c r="S149" s="45" t="inlineStr">
        <is>
          <t>Matched</t>
        </is>
      </c>
      <c r="T149" s="49" t="n"/>
    </row>
    <row r="150" ht="45.75" customHeight="1" s="37">
      <c r="A150" s="45" t="inlineStr">
        <is>
          <t>VD-149</t>
        </is>
      </c>
      <c r="B150" s="45" t="inlineStr">
        <is>
          <t>Deyga</t>
        </is>
      </c>
      <c r="C150" s="45" t="inlineStr">
        <is>
          <t>ABC Kit</t>
        </is>
      </c>
      <c r="D150" s="45" t="inlineStr">
        <is>
          <t>Gift Sets &amp; Combos</t>
        </is>
      </c>
      <c r="E150" s="45" t="inlineStr">
        <is>
          <t>Body Hydration</t>
        </is>
      </c>
      <c r="F150" s="48" t="inlineStr">
        <is>
          <t>body lotion for dry skin</t>
        </is>
      </c>
      <c r="G150" s="47">
        <f>IFERROR(INDEX('Semrush Data'!$C$2:$C$5000,MATCH(F150,'Semrush Data'!$A$2:$A$5000,0)),"")</f>
        <v/>
      </c>
      <c r="H150" s="45">
        <f>IFERROR(INDEX('Semrush Data'!$D$2:$D$5000,MATCH(F150,'Semrush Data'!$A$2:$A$5000,0)),"")</f>
        <v/>
      </c>
      <c r="I150" s="45" t="inlineStr">
        <is>
          <t>deyga</t>
        </is>
      </c>
      <c r="J150" s="47">
        <f>IFERROR(INDEX('Semrush Data'!$C$2:$C$5000,MATCH(I150,'Semrush Data'!$A$2:$A$5000,0)),"")</f>
        <v/>
      </c>
      <c r="K150" s="45" t="inlineStr">
        <is>
          <t>/collections/body-lotion-for-dry-skin</t>
        </is>
      </c>
      <c r="L150" s="45" t="inlineStr">
        <is>
          <t>Deyga ABC Kit</t>
        </is>
      </c>
      <c r="M150" s="45" t="inlineStr">
        <is>
          <t>Deyga ABC Kit – Body Lotion for Dry Skin | Swansura</t>
        </is>
      </c>
      <c r="N150" s="45">
        <f>LEN(M150)</f>
        <v/>
      </c>
      <c r="O150" s="49" t="inlineStr">
        <is>
          <t>Buy Deyga ABC Kit, a natural body lotion for dry skin from Deyga. Aloe Vera Gel – deeply hydrates and soothes the skin, leaving it. Free UK delivery over £50.</t>
        </is>
      </c>
      <c r="P150" s="45">
        <f>LEN(O150)</f>
        <v/>
      </c>
      <c r="Q150" s="49" t="inlineStr">
        <is>
          <t>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is>
      </c>
      <c r="R150" s="49" t="n"/>
      <c r="S150" s="45" t="inlineStr">
        <is>
          <t>Matched</t>
        </is>
      </c>
      <c r="T150" s="49" t="n"/>
    </row>
    <row r="151" ht="45.75" customHeight="1" s="37">
      <c r="A151" s="45" t="inlineStr">
        <is>
          <t>VD-150</t>
        </is>
      </c>
      <c r="B151" s="45" t="inlineStr">
        <is>
          <t>Deyga</t>
        </is>
      </c>
      <c r="C151" s="45" t="inlineStr">
        <is>
          <t>Hydro Boosting Skin Care Kit</t>
        </is>
      </c>
      <c r="D151" s="45" t="inlineStr">
        <is>
          <t>Gift Sets &amp; Combos</t>
        </is>
      </c>
      <c r="E151" s="45" t="inlineStr">
        <is>
          <t>Dry Skin</t>
        </is>
      </c>
      <c r="F151" s="48" t="inlineStr">
        <is>
          <t>skincare for dry skin</t>
        </is>
      </c>
      <c r="G151" s="47">
        <f>IFERROR(INDEX('Semrush Data'!$C$2:$C$5000,MATCH(F151,'Semrush Data'!$A$2:$A$5000,0)),"")</f>
        <v/>
      </c>
      <c r="H151" s="45">
        <f>IFERROR(INDEX('Semrush Data'!$D$2:$D$5000,MATCH(F151,'Semrush Data'!$A$2:$A$5000,0)),"")</f>
        <v/>
      </c>
      <c r="I151" s="45" t="inlineStr">
        <is>
          <t>deyga</t>
        </is>
      </c>
      <c r="J151" s="47">
        <f>IFERROR(INDEX('Semrush Data'!$C$2:$C$5000,MATCH(I151,'Semrush Data'!$A$2:$A$5000,0)),"")</f>
        <v/>
      </c>
      <c r="K151" s="45" t="inlineStr">
        <is>
          <t>/collections/dry-skin</t>
        </is>
      </c>
      <c r="L151" s="45" t="inlineStr">
        <is>
          <t>Deyga Hydro Boosting Skin Care Kit</t>
        </is>
      </c>
      <c r="M151" s="45" t="inlineStr">
        <is>
          <t>Deyga Hydro Boosting Skin Care Kit | Skincare for Dry Skin</t>
        </is>
      </c>
      <c r="N151" s="45">
        <f>LEN(M151)</f>
        <v/>
      </c>
      <c r="O151" s="49" t="inlineStr">
        <is>
          <t>Deyga Hydro Boosting Skin Care Kit: natural skincare for dry skin from Deyga. Official UK partner: 100% authentic, shipped from the UK, free delivery over £50.</t>
        </is>
      </c>
      <c r="P151" s="45">
        <f>LEN(O151)</f>
        <v/>
      </c>
      <c r="Q151" s="49" t="inlineStr">
        <is>
          <t>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is>
      </c>
      <c r="R151" s="49" t="n"/>
      <c r="S151" s="45" t="inlineStr">
        <is>
          <t>Matched</t>
        </is>
      </c>
      <c r="T151" s="49" t="n"/>
    </row>
    <row r="152" ht="45.75" customHeight="1" s="37">
      <c r="A152" s="45" t="inlineStr">
        <is>
          <t>VD-151</t>
        </is>
      </c>
      <c r="B152" s="45" t="inlineStr">
        <is>
          <t>Deyga</t>
        </is>
      </c>
      <c r="C152" s="45" t="inlineStr">
        <is>
          <t>Hair Care Kit</t>
        </is>
      </c>
      <c r="D152" s="45" t="inlineStr">
        <is>
          <t>Gift Sets &amp; Combos</t>
        </is>
      </c>
      <c r="E152" s="45" t="inlineStr">
        <is>
          <t>Dry Hair</t>
        </is>
      </c>
      <c r="F152" s="48" t="inlineStr">
        <is>
          <t>hair mask for dry hair</t>
        </is>
      </c>
      <c r="G152" s="47">
        <f>IFERROR(INDEX('Semrush Data'!$C$2:$C$5000,MATCH(F152,'Semrush Data'!$A$2:$A$5000,0)),"")</f>
        <v/>
      </c>
      <c r="H152" s="45">
        <f>IFERROR(INDEX('Semrush Data'!$D$2:$D$5000,MATCH(F152,'Semrush Data'!$A$2:$A$5000,0)),"")</f>
        <v/>
      </c>
      <c r="I152" s="45" t="inlineStr">
        <is>
          <t>deyga</t>
        </is>
      </c>
      <c r="J152" s="47">
        <f>IFERROR(INDEX('Semrush Data'!$C$2:$C$5000,MATCH(I152,'Semrush Data'!$A$2:$A$5000,0)),"")</f>
        <v/>
      </c>
      <c r="K152" s="45" t="inlineStr">
        <is>
          <t>/collections/hair-mask-for-dry-hair</t>
        </is>
      </c>
      <c r="L152" s="45" t="inlineStr">
        <is>
          <t>Deyga Hair Care Kit</t>
        </is>
      </c>
      <c r="M152" s="45" t="inlineStr">
        <is>
          <t>Deyga Hair Care Kit – Hair Mask for Dry Hair | Swansura</t>
        </is>
      </c>
      <c r="N152" s="45">
        <f>LEN(M152)</f>
        <v/>
      </c>
      <c r="O152" s="49" t="inlineStr">
        <is>
          <t>Buy Deyga Hair Care Kit, a natural hair mask for dry hair from Deyga. Official UK partner: 100% authentic, shipped from the UK, free delivery over £50.</t>
        </is>
      </c>
      <c r="P152" s="45">
        <f>LEN(O152)</f>
        <v/>
      </c>
      <c r="Q152" s="49" t="inlineStr">
        <is>
          <t>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is>
      </c>
      <c r="R152" s="49" t="inlineStr">
        <is>
          <t>deyga hair care kit review</t>
        </is>
      </c>
      <c r="S152" s="45" t="inlineStr">
        <is>
          <t>Matched</t>
        </is>
      </c>
      <c r="T152" s="49" t="inlineStr">
        <is>
          <t>Review: source copy has medical-style claims (kept out of intro)</t>
        </is>
      </c>
    </row>
    <row r="153" ht="45.75" customHeight="1" s="37">
      <c r="A153" s="45" t="inlineStr">
        <is>
          <t>VD-152</t>
        </is>
      </c>
      <c r="B153" s="45" t="inlineStr">
        <is>
          <t>Deyga</t>
        </is>
      </c>
      <c r="C153" s="45" t="inlineStr">
        <is>
          <t>Hair Strengthening Kit</t>
        </is>
      </c>
      <c r="D153" s="45" t="inlineStr">
        <is>
          <t>Gift Sets &amp; Combos</t>
        </is>
      </c>
      <c r="E153" s="45" t="inlineStr">
        <is>
          <t>Damaged Hair</t>
        </is>
      </c>
      <c r="F153" s="48" t="inlineStr">
        <is>
          <t>skincare gift set</t>
        </is>
      </c>
      <c r="G153" s="47">
        <f>IFERROR(INDEX('Semrush Data'!$C$2:$C$5000,MATCH(F153,'Semrush Data'!$A$2:$A$5000,0)),"")</f>
        <v/>
      </c>
      <c r="H153" s="45">
        <f>IFERROR(INDEX('Semrush Data'!$D$2:$D$5000,MATCH(F153,'Semrush Data'!$A$2:$A$5000,0)),"")</f>
        <v/>
      </c>
      <c r="I153" s="45" t="inlineStr">
        <is>
          <t>deyga</t>
        </is>
      </c>
      <c r="J153" s="47">
        <f>IFERROR(INDEX('Semrush Data'!$C$2:$C$5000,MATCH(I153,'Semrush Data'!$A$2:$A$5000,0)),"")</f>
        <v/>
      </c>
      <c r="K153" s="45" t="inlineStr">
        <is>
          <t>/collections/gifts-for-her</t>
        </is>
      </c>
      <c r="L153" s="45" t="inlineStr">
        <is>
          <t>Deyga Hair Strengthening Kit</t>
        </is>
      </c>
      <c r="M153" s="45" t="inlineStr">
        <is>
          <t>Deyga Hair Strengthening Kit – Skincare Gift Set | Swansura</t>
        </is>
      </c>
      <c r="N153" s="45">
        <f>LEN(M153)</f>
        <v/>
      </c>
      <c r="O153" s="49" t="inlineStr">
        <is>
          <t>Buy Deyga Hair Strengthening Kit, natural skincare gift set from Deyga. Official UK partner: 100% authentic, shipped from the UK, free delivery over £50.</t>
        </is>
      </c>
      <c r="P153" s="45">
        <f>LEN(O153)</f>
        <v/>
      </c>
      <c r="Q153" s="49" t="inlineStr">
        <is>
          <t>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is>
      </c>
      <c r="R153" s="49" t="n"/>
      <c r="S153" s="45" t="inlineStr">
        <is>
          <t>Matched</t>
        </is>
      </c>
      <c r="T153" s="49" t="n"/>
    </row>
    <row r="154" ht="45.75" customHeight="1" s="37">
      <c r="A154" s="45" t="inlineStr">
        <is>
          <t>VD-153</t>
        </is>
      </c>
      <c r="B154" s="45" t="inlineStr">
        <is>
          <t>Deyga</t>
        </is>
      </c>
      <c r="C154" s="45" t="inlineStr">
        <is>
          <t>Nourished Lip Care Kit</t>
        </is>
      </c>
      <c r="D154" s="45" t="inlineStr">
        <is>
          <t>Gift Sets &amp; Combos</t>
        </is>
      </c>
      <c r="E154" s="45" t="inlineStr">
        <is>
          <t>Dry Lips</t>
        </is>
      </c>
      <c r="F154" s="48" t="inlineStr">
        <is>
          <t>lip balm for dry lips</t>
        </is>
      </c>
      <c r="G154" s="47">
        <f>IFERROR(INDEX('Semrush Data'!$C$2:$C$5000,MATCH(F154,'Semrush Data'!$A$2:$A$5000,0)),"")</f>
        <v/>
      </c>
      <c r="H154" s="45">
        <f>IFERROR(INDEX('Semrush Data'!$D$2:$D$5000,MATCH(F154,'Semrush Data'!$A$2:$A$5000,0)),"")</f>
        <v/>
      </c>
      <c r="I154" s="45" t="inlineStr">
        <is>
          <t>deyga</t>
        </is>
      </c>
      <c r="J154" s="47">
        <f>IFERROR(INDEX('Semrush Data'!$C$2:$C$5000,MATCH(I154,'Semrush Data'!$A$2:$A$5000,0)),"")</f>
        <v/>
      </c>
      <c r="K154" s="45" t="inlineStr">
        <is>
          <t>/collections/lip-balm-for-dry-lips</t>
        </is>
      </c>
      <c r="L154" s="45" t="inlineStr">
        <is>
          <t>Deyga Nourished Lip Care Kit</t>
        </is>
      </c>
      <c r="M154" s="45" t="inlineStr">
        <is>
          <t>Deyga Nourished Lip Care Kit | Lip Balm for Dry Lips</t>
        </is>
      </c>
      <c r="N154" s="45">
        <f>LEN(M154)</f>
        <v/>
      </c>
      <c r="O154" s="49" t="inlineStr">
        <is>
          <t>Buy Deyga Nourished Lip Care Kit, a natural lip balm for dry lips from Deyga. Official UK partner: 100% authentic, shipped from the UK, free delivery over £50.</t>
        </is>
      </c>
      <c r="P154" s="45">
        <f>LEN(O154)</f>
        <v/>
      </c>
      <c r="Q154" s="49" t="inlineStr">
        <is>
          <t>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is>
      </c>
      <c r="R154" s="49" t="n"/>
      <c r="S154" s="45" t="inlineStr">
        <is>
          <t>Matched</t>
        </is>
      </c>
      <c r="T154" s="49" t="inlineStr">
        <is>
          <t>Review: source copy has medical-style claims (kept out of intro)</t>
        </is>
      </c>
    </row>
    <row r="155" ht="45.75" customHeight="1" s="37">
      <c r="A155" s="45" t="inlineStr">
        <is>
          <t>VD-154</t>
        </is>
      </c>
      <c r="B155" s="45" t="inlineStr">
        <is>
          <t>Deyga</t>
        </is>
      </c>
      <c r="C155" s="45" t="inlineStr">
        <is>
          <t>Natural Hair Care Kit</t>
        </is>
      </c>
      <c r="D155" s="45" t="inlineStr">
        <is>
          <t>Gift Sets &amp; Combos</t>
        </is>
      </c>
      <c r="E155" s="45" t="inlineStr">
        <is>
          <t>Dry Hair</t>
        </is>
      </c>
      <c r="F155" s="48" t="inlineStr">
        <is>
          <t>hair mask for dry hair</t>
        </is>
      </c>
      <c r="G155" s="47">
        <f>IFERROR(INDEX('Semrush Data'!$C$2:$C$5000,MATCH(F155,'Semrush Data'!$A$2:$A$5000,0)),"")</f>
        <v/>
      </c>
      <c r="H155" s="45">
        <f>IFERROR(INDEX('Semrush Data'!$D$2:$D$5000,MATCH(F155,'Semrush Data'!$A$2:$A$5000,0)),"")</f>
        <v/>
      </c>
      <c r="I155" s="45" t="inlineStr">
        <is>
          <t>deyga</t>
        </is>
      </c>
      <c r="J155" s="47">
        <f>IFERROR(INDEX('Semrush Data'!$C$2:$C$5000,MATCH(I155,'Semrush Data'!$A$2:$A$5000,0)),"")</f>
        <v/>
      </c>
      <c r="K155" s="45" t="inlineStr">
        <is>
          <t>/collections/hair-mask-for-dry-hair</t>
        </is>
      </c>
      <c r="L155" s="45" t="inlineStr">
        <is>
          <t>Deyga Natural Hair Care Kit</t>
        </is>
      </c>
      <c r="M155" s="45" t="inlineStr">
        <is>
          <t>Deyga Natural Hair Care Kit | Hair Mask for Dry Hair</t>
        </is>
      </c>
      <c r="N155" s="45">
        <f>LEN(M155)</f>
        <v/>
      </c>
      <c r="O155" s="49" t="inlineStr">
        <is>
          <t>Buy Deyga Natural Hair Care Kit, a natural hair mask for dry hair from Deyga. Official UK partner: 100% authentic, shipped from the UK, free delivery over £50.</t>
        </is>
      </c>
      <c r="P155" s="45">
        <f>LEN(O155)</f>
        <v/>
      </c>
      <c r="Q155" s="49" t="inlineStr">
        <is>
          <t>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is>
      </c>
      <c r="R155" s="49" t="n"/>
      <c r="S155" s="45" t="inlineStr">
        <is>
          <t>Matched</t>
        </is>
      </c>
      <c r="T155" s="49" t="inlineStr">
        <is>
          <t>Review: source copy has medical-style claims (kept out of intro)</t>
        </is>
      </c>
    </row>
    <row r="156" ht="45.75" customHeight="1" s="37">
      <c r="A156" s="45" t="inlineStr">
        <is>
          <t>VD-155</t>
        </is>
      </c>
      <c r="B156" s="45" t="inlineStr">
        <is>
          <t>Deyga</t>
        </is>
      </c>
      <c r="C156" s="45" t="inlineStr">
        <is>
          <t>Double Hydration Kit</t>
        </is>
      </c>
      <c r="D156" s="45" t="inlineStr">
        <is>
          <t>Gift Sets &amp; Combos</t>
        </is>
      </c>
      <c r="E156" s="45" t="inlineStr">
        <is>
          <t>Dry Skin</t>
        </is>
      </c>
      <c r="F156" s="48" t="inlineStr">
        <is>
          <t>skincare for dry skin</t>
        </is>
      </c>
      <c r="G156" s="47">
        <f>IFERROR(INDEX('Semrush Data'!$C$2:$C$5000,MATCH(F156,'Semrush Data'!$A$2:$A$5000,0)),"")</f>
        <v/>
      </c>
      <c r="H156" s="45">
        <f>IFERROR(INDEX('Semrush Data'!$D$2:$D$5000,MATCH(F156,'Semrush Data'!$A$2:$A$5000,0)),"")</f>
        <v/>
      </c>
      <c r="I156" s="45" t="inlineStr">
        <is>
          <t>deyga</t>
        </is>
      </c>
      <c r="J156" s="47">
        <f>IFERROR(INDEX('Semrush Data'!$C$2:$C$5000,MATCH(I156,'Semrush Data'!$A$2:$A$5000,0)),"")</f>
        <v/>
      </c>
      <c r="K156" s="45" t="inlineStr">
        <is>
          <t>/collections/dry-skin</t>
        </is>
      </c>
      <c r="L156" s="45" t="inlineStr">
        <is>
          <t>Deyga Double Hydration Kit</t>
        </is>
      </c>
      <c r="M156" s="45" t="inlineStr">
        <is>
          <t>Deyga Double Hydration Kit | Skincare for Dry Skin</t>
        </is>
      </c>
      <c r="N156" s="45">
        <f>LEN(M156)</f>
        <v/>
      </c>
      <c r="O156" s="49" t="inlineStr">
        <is>
          <t>Buy Deyga Double Hydration Kit, natural skincare for dry skin from Deyga. Official UK partner: 100% authentic, shipped from the UK, free delivery over £50.</t>
        </is>
      </c>
      <c r="P156" s="45">
        <f>LEN(O156)</f>
        <v/>
      </c>
      <c r="Q156" s="49" t="inlineStr">
        <is>
          <t>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is>
      </c>
      <c r="R156" s="49" t="n"/>
      <c r="S156" s="45" t="inlineStr">
        <is>
          <t>Matched</t>
        </is>
      </c>
      <c r="T156" s="49" t="n"/>
    </row>
    <row r="157" ht="45.75" customHeight="1" s="37">
      <c r="A157" s="45" t="inlineStr">
        <is>
          <t>VD-156</t>
        </is>
      </c>
      <c r="B157" s="45" t="inlineStr">
        <is>
          <t>Deyga</t>
        </is>
      </c>
      <c r="C157" s="45" t="inlineStr">
        <is>
          <t>Nourished Lips Stick Kit</t>
        </is>
      </c>
      <c r="D157" s="45" t="inlineStr">
        <is>
          <t>Gift Sets &amp; Combos</t>
        </is>
      </c>
      <c r="E157" s="45" t="inlineStr">
        <is>
          <t>Dry Lips</t>
        </is>
      </c>
      <c r="F157" s="48" t="inlineStr">
        <is>
          <t>lip balm for dry lips</t>
        </is>
      </c>
      <c r="G157" s="47">
        <f>IFERROR(INDEX('Semrush Data'!$C$2:$C$5000,MATCH(F157,'Semrush Data'!$A$2:$A$5000,0)),"")</f>
        <v/>
      </c>
      <c r="H157" s="45">
        <f>IFERROR(INDEX('Semrush Data'!$D$2:$D$5000,MATCH(F157,'Semrush Data'!$A$2:$A$5000,0)),"")</f>
        <v/>
      </c>
      <c r="I157" s="45" t="inlineStr">
        <is>
          <t>deyga</t>
        </is>
      </c>
      <c r="J157" s="47">
        <f>IFERROR(INDEX('Semrush Data'!$C$2:$C$5000,MATCH(I157,'Semrush Data'!$A$2:$A$5000,0)),"")</f>
        <v/>
      </c>
      <c r="K157" s="45" t="inlineStr">
        <is>
          <t>/collections/lip-balm-for-dry-lips</t>
        </is>
      </c>
      <c r="L157" s="45" t="inlineStr">
        <is>
          <t>Deyga Nourished Lips Stick Kit</t>
        </is>
      </c>
      <c r="M157" s="45" t="inlineStr">
        <is>
          <t>Deyga Nourished Lips Stick Kit | Lip Balm for Dry Lips</t>
        </is>
      </c>
      <c r="N157" s="45">
        <f>LEN(M157)</f>
        <v/>
      </c>
      <c r="O157" s="49" t="inlineStr">
        <is>
          <t>Deyga Nourished Lips Stick Kit: a natural lip balm for dry lips from Deyga. Official UK partner: 100% authentic, shipped from the UK, free delivery over £50.</t>
        </is>
      </c>
      <c r="P157" s="45">
        <f>LEN(O157)</f>
        <v/>
      </c>
      <c r="Q157" s="49" t="inlineStr">
        <is>
          <t>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is>
      </c>
      <c r="R157" s="49" t="n"/>
      <c r="S157" s="45" t="inlineStr">
        <is>
          <t>Matched</t>
        </is>
      </c>
      <c r="T157" s="49" t="n"/>
    </row>
    <row r="158" ht="45.75" customHeight="1" s="37">
      <c r="A158" s="45" t="inlineStr">
        <is>
          <t>VD-157</t>
        </is>
      </c>
      <c r="B158" s="45" t="inlineStr">
        <is>
          <t>Deyga</t>
        </is>
      </c>
      <c r="C158" s="45" t="inlineStr">
        <is>
          <t>De- Tan &amp; Pigmentation Kit</t>
        </is>
      </c>
      <c r="D158" s="45" t="inlineStr">
        <is>
          <t>Gift Sets &amp; Combos</t>
        </is>
      </c>
      <c r="E158" s="45" t="inlineStr">
        <is>
          <t>Sun Protection</t>
        </is>
      </c>
      <c r="F158" s="48" t="inlineStr">
        <is>
          <t>natural sunscreen</t>
        </is>
      </c>
      <c r="G158" s="47">
        <f>IFERROR(INDEX('Semrush Data'!$C$2:$C$5000,MATCH(F158,'Semrush Data'!$A$2:$A$5000,0)),"")</f>
        <v/>
      </c>
      <c r="H158" s="45">
        <f>IFERROR(INDEX('Semrush Data'!$D$2:$D$5000,MATCH(F158,'Semrush Data'!$A$2:$A$5000,0)),"")</f>
        <v/>
      </c>
      <c r="I158" s="45" t="inlineStr">
        <is>
          <t>deyga</t>
        </is>
      </c>
      <c r="J158" s="47">
        <f>IFERROR(INDEX('Semrush Data'!$C$2:$C$5000,MATCH(I158,'Semrush Data'!$A$2:$A$5000,0)),"")</f>
        <v/>
      </c>
      <c r="K158" s="45" t="inlineStr">
        <is>
          <t>/collections/natural-sunscreen</t>
        </is>
      </c>
      <c r="L158" s="45" t="inlineStr">
        <is>
          <t>Deyga De- Tan &amp; Pigmentation Kit</t>
        </is>
      </c>
      <c r="M158" s="45" t="inlineStr">
        <is>
          <t>Deyga De- Tan &amp; Pigmentation Kit | Natural Sunscreen</t>
        </is>
      </c>
      <c r="N158" s="45">
        <f>LEN(M158)</f>
        <v/>
      </c>
      <c r="O158" s="49" t="inlineStr">
        <is>
          <t>Buy Deyga De- Tan &amp; Pigmentation Kit, a natural sunscreen from Deyga. Official UK partner: 100% authentic, shipped from the UK, free delivery over £50.</t>
        </is>
      </c>
      <c r="P158" s="45">
        <f>LEN(O158)</f>
        <v/>
      </c>
      <c r="Q158" s="49" t="inlineStr">
        <is>
          <t>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is>
      </c>
      <c r="R158" s="49" t="n"/>
      <c r="S158" s="45" t="inlineStr">
        <is>
          <t>Matched</t>
        </is>
      </c>
      <c r="T158" s="49" t="n"/>
    </row>
    <row r="159" ht="45.75" customHeight="1" s="37">
      <c r="A159" s="45" t="inlineStr">
        <is>
          <t>VD-158</t>
        </is>
      </c>
      <c r="B159" s="45" t="inlineStr">
        <is>
          <t>Deyga</t>
        </is>
      </c>
      <c r="C159" s="45" t="inlineStr">
        <is>
          <t>Game Changer Face Care Kit</t>
        </is>
      </c>
      <c r="D159" s="45" t="inlineStr">
        <is>
          <t>Gift Sets &amp; Combos</t>
        </is>
      </c>
      <c r="E159" s="45" t="inlineStr">
        <is>
          <t>Body Hydration</t>
        </is>
      </c>
      <c r="F159" s="48" t="inlineStr">
        <is>
          <t>body lotion for dry skin</t>
        </is>
      </c>
      <c r="G159" s="47">
        <f>IFERROR(INDEX('Semrush Data'!$C$2:$C$5000,MATCH(F159,'Semrush Data'!$A$2:$A$5000,0)),"")</f>
        <v/>
      </c>
      <c r="H159" s="45">
        <f>IFERROR(INDEX('Semrush Data'!$D$2:$D$5000,MATCH(F159,'Semrush Data'!$A$2:$A$5000,0)),"")</f>
        <v/>
      </c>
      <c r="I159" s="45" t="inlineStr">
        <is>
          <t>deyga</t>
        </is>
      </c>
      <c r="J159" s="47">
        <f>IFERROR(INDEX('Semrush Data'!$C$2:$C$5000,MATCH(I159,'Semrush Data'!$A$2:$A$5000,0)),"")</f>
        <v/>
      </c>
      <c r="K159" s="45" t="inlineStr">
        <is>
          <t>/collections/body-lotion-for-dry-skin</t>
        </is>
      </c>
      <c r="L159" s="45" t="inlineStr">
        <is>
          <t>Deyga Game Changer Face Care Kit</t>
        </is>
      </c>
      <c r="M159" s="45" t="inlineStr">
        <is>
          <t>Deyga Game Changer Face Care Kit | Body Lotion for Dry Skin</t>
        </is>
      </c>
      <c r="N159" s="45">
        <f>LEN(M159)</f>
        <v/>
      </c>
      <c r="O159" s="49" t="inlineStr">
        <is>
          <t>Buy Deyga Game Changer Face Care Kit, a natural body lotion for dry skin from Deyga. Official UK partner, 100% authentic, free UK delivery over £50.</t>
        </is>
      </c>
      <c r="P159" s="45">
        <f>LEN(O159)</f>
        <v/>
      </c>
      <c r="Q159" s="49" t="inlineStr">
        <is>
          <t>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is>
      </c>
      <c r="R159" s="49" t="n"/>
      <c r="S159" s="45" t="inlineStr">
        <is>
          <t>Matched</t>
        </is>
      </c>
      <c r="T159" s="49" t="n"/>
    </row>
    <row r="160" ht="45.75" customHeight="1" s="37">
      <c r="A160" s="45" t="inlineStr">
        <is>
          <t>VD-159</t>
        </is>
      </c>
      <c r="B160" s="45" t="inlineStr">
        <is>
          <t>Deyga</t>
        </is>
      </c>
      <c r="C160" s="45" t="inlineStr">
        <is>
          <t>Daily Use Healthy Hair Kit</t>
        </is>
      </c>
      <c r="D160" s="45" t="inlineStr">
        <is>
          <t>Gift Sets &amp; Combos</t>
        </is>
      </c>
      <c r="E160" s="45" t="inlineStr">
        <is>
          <t>Dry Hair</t>
        </is>
      </c>
      <c r="F160" s="48" t="inlineStr">
        <is>
          <t>hair mask for dry hair</t>
        </is>
      </c>
      <c r="G160" s="47">
        <f>IFERROR(INDEX('Semrush Data'!$C$2:$C$5000,MATCH(F160,'Semrush Data'!$A$2:$A$5000,0)),"")</f>
        <v/>
      </c>
      <c r="H160" s="45">
        <f>IFERROR(INDEX('Semrush Data'!$D$2:$D$5000,MATCH(F160,'Semrush Data'!$A$2:$A$5000,0)),"")</f>
        <v/>
      </c>
      <c r="I160" s="45" t="inlineStr">
        <is>
          <t>deyga</t>
        </is>
      </c>
      <c r="J160" s="47">
        <f>IFERROR(INDEX('Semrush Data'!$C$2:$C$5000,MATCH(I160,'Semrush Data'!$A$2:$A$5000,0)),"")</f>
        <v/>
      </c>
      <c r="K160" s="45" t="inlineStr">
        <is>
          <t>/collections/hair-mask-for-dry-hair</t>
        </is>
      </c>
      <c r="L160" s="45" t="inlineStr">
        <is>
          <t>Deyga Daily Use Healthy Hair Kit</t>
        </is>
      </c>
      <c r="M160" s="45" t="inlineStr">
        <is>
          <t>Deyga Daily Use Healthy Hair Kit | Hair Mask for Dry Hair</t>
        </is>
      </c>
      <c r="N160" s="45">
        <f>LEN(M160)</f>
        <v/>
      </c>
      <c r="O160" s="49" t="inlineStr">
        <is>
          <t>Deyga Daily Use Healthy Hair Kit: a natural hair mask for dry hair from Deyga. Official UK partner: 100% authentic, shipped from the UK, free delivery over £50.</t>
        </is>
      </c>
      <c r="P160" s="45">
        <f>LEN(O160)</f>
        <v/>
      </c>
      <c r="Q160" s="49" t="inlineStr">
        <is>
          <t>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is>
      </c>
      <c r="R160" s="49" t="n"/>
      <c r="S160" s="45" t="inlineStr">
        <is>
          <t>Matched</t>
        </is>
      </c>
      <c r="T160" s="49" t="n"/>
    </row>
  </sheetData>
  <autoFilter ref="A1:T160"/>
  <conditionalFormatting sqref="N2:N160">
    <cfRule type="expression" rank="0" priority="2" equalAverage="0" aboveAverage="0" dxfId="7" text="" percent="0" bottom="0">
      <formula>OR(N2&lt;50,N2&gt;60)</formula>
    </cfRule>
  </conditionalFormatting>
  <conditionalFormatting sqref="P2:P160">
    <cfRule type="expression" rank="0" priority="3" equalAverage="0" aboveAverage="0" dxfId="7" text="" percent="0" bottom="0">
      <formula>OR(P2&lt;140,P2&gt;160)</formula>
    </cfRule>
  </conditionalFormatting>
  <conditionalFormatting sqref="T2:T160">
    <cfRule type="expression" rank="0" priority="4" equalAverage="0" aboveAverage="0" dxfId="9" text="" percent="0" bottom="0">
      <formula>T2&lt;&gt;""</formula>
    </cfRule>
  </conditionalFormatting>
  <conditionalFormatting sqref="S2:S160">
    <cfRule type="expression" rank="0" priority="5" equalAverage="0" aboveAverage="0" dxfId="9" text="" percent="0" bottom="0">
      <formula>S2&lt;&gt;"Matched"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F5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6" min="1" max="1"/>
    <col width="15" customWidth="1" style="36" min="2" max="2"/>
    <col width="6" customWidth="1" style="36" min="3" max="3"/>
    <col width="18" customWidth="1" style="36" min="4" max="4"/>
    <col width="24" customWidth="1" style="36" min="5" max="5"/>
    <col width="11" customWidth="1" style="36" min="6" max="6"/>
    <col width="18" customWidth="1" style="36" min="7" max="7"/>
    <col width="22" customWidth="1" style="36" min="8" max="8"/>
    <col width="44" customWidth="1" style="36" min="9" max="9"/>
    <col width="8" customWidth="1" style="36" min="10" max="11"/>
    <col width="34" customWidth="1" style="36" min="12" max="13"/>
    <col width="38" customWidth="1" style="36" min="14" max="14"/>
    <col width="34" customWidth="1" style="36" min="15" max="15"/>
    <col width="40" customWidth="1" style="36" min="16" max="16"/>
    <col width="9" customWidth="1" style="36" min="17" max="21"/>
    <col width="36" customWidth="1" style="36" min="22" max="22"/>
    <col width="9" customWidth="1" style="36" min="23" max="23"/>
    <col width="8" customWidth="1" style="36" min="24" max="25"/>
    <col width="46" customWidth="1" style="36" min="26" max="26"/>
    <col width="60" customWidth="1" style="36" min="27" max="27"/>
    <col width="46" customWidth="1" style="36" min="28" max="28"/>
    <col width="60" customWidth="1" style="36" min="29" max="29"/>
    <col width="8" customWidth="1" style="36" min="30" max="30"/>
    <col width="80" customWidth="1" style="36" min="31" max="31"/>
    <col width="8" customWidth="1" style="36" min="32" max="32"/>
  </cols>
  <sheetData>
    <row r="1" ht="31.5" customHeight="1" s="37">
      <c r="A1" s="43" t="inlineStr">
        <is>
          <t>ID</t>
        </is>
      </c>
      <c r="B1" s="43" t="inlineStr">
        <is>
          <t>Source sheet</t>
        </is>
      </c>
      <c r="C1" s="43" t="inlineStr">
        <is>
          <t>S.No</t>
        </is>
      </c>
      <c r="D1" s="43" t="inlineStr">
        <is>
          <t>Brand</t>
        </is>
      </c>
      <c r="E1" s="43" t="inlineStr">
        <is>
          <t>Brand note</t>
        </is>
      </c>
      <c r="F1" s="43" t="inlineStr">
        <is>
          <t>Category</t>
        </is>
      </c>
      <c r="G1" s="43" t="inlineStr">
        <is>
          <t>Type</t>
        </is>
      </c>
      <c r="H1" s="43" t="inlineStr">
        <is>
          <t>Concern / scent</t>
        </is>
      </c>
      <c r="I1" s="43" t="inlineStr">
        <is>
          <t>Product name</t>
        </is>
      </c>
      <c r="J1" s="43" t="inlineStr">
        <is>
          <t>Size</t>
        </is>
      </c>
      <c r="K1" s="43" t="inlineStr">
        <is>
          <t>MRP (£)</t>
        </is>
      </c>
      <c r="L1" s="43" t="inlineStr">
        <is>
          <t>Core keyword</t>
        </is>
      </c>
      <c r="M1" s="43" t="inlineStr">
        <is>
          <t>+ UK</t>
        </is>
      </c>
      <c r="N1" s="43" t="inlineStr">
        <is>
          <t>Buy online</t>
        </is>
      </c>
      <c r="O1" s="43" t="inlineStr">
        <is>
          <t>Price</t>
        </is>
      </c>
      <c r="P1" s="43" t="inlineStr">
        <is>
          <t>+ Concentration</t>
        </is>
      </c>
      <c r="Q1" s="44" t="inlineStr">
        <is>
          <t>Vol: Core keyword</t>
        </is>
      </c>
      <c r="R1" s="44" t="inlineStr">
        <is>
          <t>Vol: + UK</t>
        </is>
      </c>
      <c r="S1" s="44" t="inlineStr">
        <is>
          <t>Vol: Buy online</t>
        </is>
      </c>
      <c r="T1" s="44" t="inlineStr">
        <is>
          <t>Vol: Price</t>
        </is>
      </c>
      <c r="U1" s="44" t="inlineStr">
        <is>
          <t>Vol: + Concentration</t>
        </is>
      </c>
      <c r="V1" s="44" t="inlineStr">
        <is>
          <t>Primary keyword</t>
        </is>
      </c>
      <c r="W1" s="44" t="inlineStr">
        <is>
          <t>Primary volume</t>
        </is>
      </c>
      <c r="X1" s="44" t="inlineStr">
        <is>
          <t>Primary KD</t>
        </is>
      </c>
      <c r="Y1" s="44" t="inlineStr">
        <is>
          <t>Primary CPC ($)</t>
        </is>
      </c>
      <c r="Z1" s="43" t="inlineStr">
        <is>
          <t>Category / brand keywords</t>
        </is>
      </c>
      <c r="AA1" s="43" t="inlineStr">
        <is>
          <t>Google autocomplete phrases</t>
        </is>
      </c>
      <c r="AB1" s="57" t="inlineStr">
        <is>
          <t>Draft H1 (OLD – use Final SEO tab)</t>
        </is>
      </c>
      <c r="AC1" s="57" t="inlineStr">
        <is>
          <t>Draft meta title (OLD – use Final SEO tab)</t>
        </is>
      </c>
      <c r="AD1" s="43" t="inlineStr">
        <is>
          <t>Title length</t>
        </is>
      </c>
      <c r="AE1" s="57" t="inlineStr">
        <is>
          <t>Draft meta description (OLD – use Final SEO tab)</t>
        </is>
      </c>
      <c r="AF1" s="43" t="inlineStr">
        <is>
          <t>Description length</t>
        </is>
      </c>
    </row>
    <row r="2" ht="15" customHeight="1" s="37">
      <c r="A2" s="58" t="inlineStr">
        <is>
          <t>VD-001</t>
        </is>
      </c>
      <c r="B2" s="58" t="inlineStr">
        <is>
          <t>Vilvah &amp; Deyga</t>
        </is>
      </c>
      <c r="C2" s="58" t="n">
        <v>1</v>
      </c>
      <c r="D2" s="58" t="inlineStr">
        <is>
          <t>Vilvah</t>
        </is>
      </c>
      <c r="E2" s="58" t="n"/>
      <c r="F2" s="58" t="inlineStr">
        <is>
          <t>Skincare</t>
        </is>
      </c>
      <c r="G2" s="58" t="inlineStr">
        <is>
          <t>Toners</t>
        </is>
      </c>
      <c r="H2" s="58" t="inlineStr">
        <is>
          <t>Skin Nourishment</t>
        </is>
      </c>
      <c r="I2" s="58" t="inlineStr">
        <is>
          <t>Rosewater Facial Toner</t>
        </is>
      </c>
      <c r="J2" s="58" t="inlineStr">
        <is>
          <t>100 ml</t>
        </is>
      </c>
      <c r="K2" s="58" t="n">
        <v>16.99</v>
      </c>
      <c r="L2" s="58" t="inlineStr">
        <is>
          <t>vilvah rosewater facial toner</t>
        </is>
      </c>
      <c r="M2" s="58" t="inlineStr">
        <is>
          <t>vilvah rosewater facial toner uk</t>
        </is>
      </c>
      <c r="N2" s="58" t="inlineStr">
        <is>
          <t>buy vilvah rosewater facial toner online</t>
        </is>
      </c>
      <c r="O2" s="58" t="inlineStr">
        <is>
          <t>vilvah rosewater facial toner price</t>
        </is>
      </c>
      <c r="P2" s="58" t="n"/>
      <c r="Q2" s="59">
        <f>IF(L2="","",IFERROR(INDEX('Semrush Data'!$A$1:$Z$20000,MATCH(L2,'Semrush Data'!$A$1:$A$20000,0),MATCH("Volume",'Semrush Data'!$A$1:$Z$1,0)),""))</f>
        <v/>
      </c>
      <c r="R2" s="59">
        <f>IF(M2="","",IFERROR(INDEX('Semrush Data'!$A$1:$Z$20000,MATCH(M2,'Semrush Data'!$A$1:$A$20000,0),MATCH("Volume",'Semrush Data'!$A$1:$Z$1,0)),""))</f>
        <v/>
      </c>
      <c r="S2" s="59">
        <f>IF(N2="","",IFERROR(INDEX('Semrush Data'!$A$1:$Z$20000,MATCH(N2,'Semrush Data'!$A$1:$A$20000,0),MATCH("Volume",'Semrush Data'!$A$1:$Z$1,0)),""))</f>
        <v/>
      </c>
      <c r="T2" s="59">
        <f>IF(O2="","",IFERROR(INDEX('Semrush Data'!$A$1:$Z$20000,MATCH(O2,'Semrush Data'!$A$1:$A$20000,0),MATCH("Volume",'Semrush Data'!$A$1:$Z$1,0)),""))</f>
        <v/>
      </c>
      <c r="U2" s="59">
        <f>IF(P2="","",IFERROR(INDEX('Semrush Data'!$A$1:$Z$20000,MATCH(P2,'Semrush Data'!$A$1:$A$20000,0),MATCH("Volume",'Semrush Data'!$A$1:$Z$1,0)),""))</f>
        <v/>
      </c>
      <c r="V2" s="60">
        <f>IF(COUNT(Q2:U2)=0,L2,IF(MAX(Q2:U2)=0,L2,INDEX(L2:P2,MATCH(MAX(Q2:U2),Q2:U2,0))))</f>
        <v/>
      </c>
      <c r="W2" s="59">
        <f>IFERROR(INDEX('Semrush Data'!$A$1:$Z$20000,MATCH(V2,'Semrush Data'!$A$1:$A$20000,0),MATCH("Volume",'Semrush Data'!$A$1:$Z$1,0)),"")</f>
        <v/>
      </c>
      <c r="X2" s="59">
        <f>IFERROR(INDEX('Semrush Data'!$A$1:$Z$20000,MATCH(V2,'Semrush Data'!$A$1:$A$20000,0),MATCH("Keyword Difficulty*",'Semrush Data'!$A$1:$Z$1,0)),"")</f>
        <v/>
      </c>
      <c r="Y2" s="61">
        <f>IFERROR(INDEX('Semrush Data'!$A$1:$Z$20000,MATCH(V2,'Semrush Data'!$A$1:$A$20000,0),MATCH("CPC*",'Semrush Data'!$A$1:$Z$1,0)),"")</f>
        <v/>
      </c>
      <c r="Z2" s="58" t="inlineStr">
        <is>
          <t>vilvah toner · toner for skin nourishment · natural toner uk</t>
        </is>
      </c>
      <c r="AA2" s="58" t="n"/>
      <c r="AB2" s="58" t="inlineStr">
        <is>
          <t>Vilvah Rosewater Facial Toner</t>
        </is>
      </c>
      <c r="AC2" s="58" t="inlineStr">
        <is>
          <t>Vilvah Rosewater Facial Toner | Buy Online UK | Swansura</t>
        </is>
      </c>
      <c r="AD2" s="58">
        <f>LEN(AC2)</f>
        <v/>
      </c>
      <c r="AE2" s="58" t="inlineStr">
        <is>
          <t>Buy Vilvah Rosewater Facial Toner online at Swansura, official UK partner of Vilvah. Natural toner. 100% authentic, shipped from the UK, free delivery over £50.</t>
        </is>
      </c>
      <c r="AF2" s="58">
        <f>LEN(AE2)</f>
        <v/>
      </c>
    </row>
    <row r="3" ht="15" customHeight="1" s="37">
      <c r="A3" s="58" t="inlineStr">
        <is>
          <t>VD-002</t>
        </is>
      </c>
      <c r="B3" s="58" t="inlineStr">
        <is>
          <t>Vilvah &amp; Deyga</t>
        </is>
      </c>
      <c r="C3" s="58" t="n">
        <v>2</v>
      </c>
      <c r="D3" s="58" t="inlineStr">
        <is>
          <t>Vilvah</t>
        </is>
      </c>
      <c r="E3" s="58" t="n"/>
      <c r="F3" s="58" t="inlineStr">
        <is>
          <t>Haircare</t>
        </is>
      </c>
      <c r="G3" s="58" t="inlineStr">
        <is>
          <t>Hair Oil</t>
        </is>
      </c>
      <c r="H3" s="58" t="inlineStr">
        <is>
          <t>Hair Thinning &amp; Loss</t>
        </is>
      </c>
      <c r="I3" s="58" t="inlineStr">
        <is>
          <t>Hair growth oil</t>
        </is>
      </c>
      <c r="J3" s="58" t="inlineStr">
        <is>
          <t>50 ml</t>
        </is>
      </c>
      <c r="K3" s="58" t="n">
        <v>9.99</v>
      </c>
      <c r="L3" s="58" t="inlineStr">
        <is>
          <t>vilvah hair growth oil</t>
        </is>
      </c>
      <c r="M3" s="58" t="inlineStr">
        <is>
          <t>vilvah hair growth oil uk</t>
        </is>
      </c>
      <c r="N3" s="58" t="inlineStr">
        <is>
          <t>buy vilvah hair growth oil online</t>
        </is>
      </c>
      <c r="O3" s="58" t="inlineStr">
        <is>
          <t>vilvah hair growth oil price</t>
        </is>
      </c>
      <c r="P3" s="58" t="n"/>
      <c r="Q3" s="59">
        <f>IF(L3="","",IFERROR(INDEX('Semrush Data'!$A$1:$Z$20000,MATCH(L3,'Semrush Data'!$A$1:$A$20000,0),MATCH("Volume",'Semrush Data'!$A$1:$Z$1,0)),""))</f>
        <v/>
      </c>
      <c r="R3" s="59">
        <f>IF(M3="","",IFERROR(INDEX('Semrush Data'!$A$1:$Z$20000,MATCH(M3,'Semrush Data'!$A$1:$A$20000,0),MATCH("Volume",'Semrush Data'!$A$1:$Z$1,0)),""))</f>
        <v/>
      </c>
      <c r="S3" s="59">
        <f>IF(N3="","",IFERROR(INDEX('Semrush Data'!$A$1:$Z$20000,MATCH(N3,'Semrush Data'!$A$1:$A$20000,0),MATCH("Volume",'Semrush Data'!$A$1:$Z$1,0)),""))</f>
        <v/>
      </c>
      <c r="T3" s="59">
        <f>IF(O3="","",IFERROR(INDEX('Semrush Data'!$A$1:$Z$20000,MATCH(O3,'Semrush Data'!$A$1:$A$20000,0),MATCH("Volume",'Semrush Data'!$A$1:$Z$1,0)),""))</f>
        <v/>
      </c>
      <c r="U3" s="59">
        <f>IF(P3="","",IFERROR(INDEX('Semrush Data'!$A$1:$Z$20000,MATCH(P3,'Semrush Data'!$A$1:$A$20000,0),MATCH("Volume",'Semrush Data'!$A$1:$Z$1,0)),""))</f>
        <v/>
      </c>
      <c r="V3" s="60">
        <f>IF(COUNT(Q3:U3)=0,L3,IF(MAX(Q3:U3)=0,L3,INDEX(L3:P3,MATCH(MAX(Q3:U3),Q3:U3,0))))</f>
        <v/>
      </c>
      <c r="W3" s="59">
        <f>IFERROR(INDEX('Semrush Data'!$A$1:$Z$20000,MATCH(V3,'Semrush Data'!$A$1:$A$20000,0),MATCH("Volume",'Semrush Data'!$A$1:$Z$1,0)),"")</f>
        <v/>
      </c>
      <c r="X3" s="59">
        <f>IFERROR(INDEX('Semrush Data'!$A$1:$Z$20000,MATCH(V3,'Semrush Data'!$A$1:$A$20000,0),MATCH("Keyword Difficulty*",'Semrush Data'!$A$1:$Z$1,0)),"")</f>
        <v/>
      </c>
      <c r="Y3" s="61">
        <f>IFERROR(INDEX('Semrush Data'!$A$1:$Z$20000,MATCH(V3,'Semrush Data'!$A$1:$A$20000,0),MATCH("CPC*",'Semrush Data'!$A$1:$Z$1,0)),"")</f>
        <v/>
      </c>
      <c r="Z3" s="58" t="inlineStr">
        <is>
          <t>vilvah hair oil · hair oil for hair loss · natural hair oil uk</t>
        </is>
      </c>
      <c r="AA3" s="58" t="inlineStr">
        <is>
          <t>vilvah hair growth oil review · vilvah hair growth oil how to use · vilvah hair growth oil benefits · vilvah hair growth oil india · vilvah hair growth oil review before and after · vilvah hair growth oil amazon</t>
        </is>
      </c>
      <c r="AB3" s="58" t="inlineStr">
        <is>
          <t>Vilvah Hair Growth Oil</t>
        </is>
      </c>
      <c r="AC3" s="58" t="inlineStr">
        <is>
          <t>Vilvah Hair Growth Oil 50ml | Buy Online UK | Swansura</t>
        </is>
      </c>
      <c r="AD3" s="58">
        <f>LEN(AC3)</f>
        <v/>
      </c>
      <c r="AE3" s="58" t="inlineStr">
        <is>
          <t>Buy Vilvah Hair Growth Oil online at Swansura, official UK partner of Vilvah. A natural hair oil for thinning hair. 100% authentic, free UK delivery over £50.</t>
        </is>
      </c>
      <c r="AF3" s="58">
        <f>LEN(AE3)</f>
        <v/>
      </c>
    </row>
    <row r="4" ht="15" customHeight="1" s="37">
      <c r="A4" s="58" t="inlineStr">
        <is>
          <t>VD-003</t>
        </is>
      </c>
      <c r="B4" s="58" t="inlineStr">
        <is>
          <t>Vilvah &amp; Deyga</t>
        </is>
      </c>
      <c r="C4" s="58" t="n">
        <v>3</v>
      </c>
      <c r="D4" s="58" t="inlineStr">
        <is>
          <t>Vilvah</t>
        </is>
      </c>
      <c r="E4" s="58" t="n"/>
      <c r="F4" s="58" t="inlineStr">
        <is>
          <t>Bodycare</t>
        </is>
      </c>
      <c r="G4" s="58" t="inlineStr">
        <is>
          <t>Bath &amp; Body Wash</t>
        </is>
      </c>
      <c r="H4" s="58" t="inlineStr">
        <is>
          <t>Body Cleansing</t>
        </is>
      </c>
      <c r="I4" s="58" t="inlineStr">
        <is>
          <t>Classic Goatmilk Soap</t>
        </is>
      </c>
      <c r="J4" s="58" t="inlineStr">
        <is>
          <t>115 g</t>
        </is>
      </c>
      <c r="K4" s="58" t="n">
        <v>9.99</v>
      </c>
      <c r="L4" s="58" t="inlineStr">
        <is>
          <t>vilvah classic goatmilk soap</t>
        </is>
      </c>
      <c r="M4" s="58" t="inlineStr">
        <is>
          <t>vilvah classic goatmilk soap uk</t>
        </is>
      </c>
      <c r="N4" s="58" t="inlineStr">
        <is>
          <t>buy vilvah classic goatmilk soap online</t>
        </is>
      </c>
      <c r="O4" s="58" t="inlineStr">
        <is>
          <t>vilvah classic goatmilk soap price</t>
        </is>
      </c>
      <c r="P4" s="58" t="n"/>
      <c r="Q4" s="59">
        <f>IF(L4="","",IFERROR(INDEX('Semrush Data'!$A$1:$Z$20000,MATCH(L4,'Semrush Data'!$A$1:$A$20000,0),MATCH("Volume",'Semrush Data'!$A$1:$Z$1,0)),""))</f>
        <v/>
      </c>
      <c r="R4" s="59">
        <f>IF(M4="","",IFERROR(INDEX('Semrush Data'!$A$1:$Z$20000,MATCH(M4,'Semrush Data'!$A$1:$A$20000,0),MATCH("Volume",'Semrush Data'!$A$1:$Z$1,0)),""))</f>
        <v/>
      </c>
      <c r="S4" s="59">
        <f>IF(N4="","",IFERROR(INDEX('Semrush Data'!$A$1:$Z$20000,MATCH(N4,'Semrush Data'!$A$1:$A$20000,0),MATCH("Volume",'Semrush Data'!$A$1:$Z$1,0)),""))</f>
        <v/>
      </c>
      <c r="T4" s="59">
        <f>IF(O4="","",IFERROR(INDEX('Semrush Data'!$A$1:$Z$20000,MATCH(O4,'Semrush Data'!$A$1:$A$20000,0),MATCH("Volume",'Semrush Data'!$A$1:$Z$1,0)),""))</f>
        <v/>
      </c>
      <c r="U4" s="59">
        <f>IF(P4="","",IFERROR(INDEX('Semrush Data'!$A$1:$Z$20000,MATCH(P4,'Semrush Data'!$A$1:$A$20000,0),MATCH("Volume",'Semrush Data'!$A$1:$Z$1,0)),""))</f>
        <v/>
      </c>
      <c r="V4" s="60">
        <f>IF(COUNT(Q4:U4)=0,L4,IF(MAX(Q4:U4)=0,L4,INDEX(L4:P4,MATCH(MAX(Q4:U4),Q4:U4,0))))</f>
        <v/>
      </c>
      <c r="W4" s="59">
        <f>IFERROR(INDEX('Semrush Data'!$A$1:$Z$20000,MATCH(V4,'Semrush Data'!$A$1:$A$20000,0),MATCH("Volume",'Semrush Data'!$A$1:$Z$1,0)),"")</f>
        <v/>
      </c>
      <c r="X4" s="59">
        <f>IFERROR(INDEX('Semrush Data'!$A$1:$Z$20000,MATCH(V4,'Semrush Data'!$A$1:$A$20000,0),MATCH("Keyword Difficulty*",'Semrush Data'!$A$1:$Z$1,0)),"")</f>
        <v/>
      </c>
      <c r="Y4" s="61">
        <f>IFERROR(INDEX('Semrush Data'!$A$1:$Z$20000,MATCH(V4,'Semrush Data'!$A$1:$A$20000,0),MATCH("CPC*",'Semrush Data'!$A$1:$Z$1,0)),"")</f>
        <v/>
      </c>
      <c r="Z4" s="58" t="inlineStr">
        <is>
          <t>vilvah body wash · body wash for body cleansing · natural body wash uk</t>
        </is>
      </c>
      <c r="AA4" s="58" t="n"/>
      <c r="AB4" s="58" t="inlineStr">
        <is>
          <t>Vilvah Classic Goatmilk Soap</t>
        </is>
      </c>
      <c r="AC4" s="58" t="inlineStr">
        <is>
          <t>Vilvah Classic Goatmilk Soap | Buy Online UK | Swansura</t>
        </is>
      </c>
      <c r="AD4" s="58">
        <f>LEN(AC4)</f>
        <v/>
      </c>
      <c r="AE4" s="58" t="inlineStr">
        <is>
          <t>Buy Vilvah Classic Goatmilk Soap online in the UK at Swansura, official UK partner of Vilvah. Natural body wash. 100% authentic, free UK delivery over £50.</t>
        </is>
      </c>
      <c r="AF4" s="58">
        <f>LEN(AE4)</f>
        <v/>
      </c>
    </row>
    <row r="5" ht="15" customHeight="1" s="37">
      <c r="A5" s="58" t="inlineStr">
        <is>
          <t>VD-004</t>
        </is>
      </c>
      <c r="B5" s="58" t="inlineStr">
        <is>
          <t>Vilvah &amp; Deyga</t>
        </is>
      </c>
      <c r="C5" s="58" t="n">
        <v>4</v>
      </c>
      <c r="D5" s="58" t="inlineStr">
        <is>
          <t>Vilvah</t>
        </is>
      </c>
      <c r="E5" s="58" t="n"/>
      <c r="F5" s="58" t="inlineStr">
        <is>
          <t>Bodycare</t>
        </is>
      </c>
      <c r="G5" s="58" t="inlineStr">
        <is>
          <t>Deodorant</t>
        </is>
      </c>
      <c r="H5" s="58" t="inlineStr">
        <is>
          <t>Body Hydration</t>
        </is>
      </c>
      <c r="I5" s="58" t="inlineStr">
        <is>
          <t>Deo Shot - Rose and Vanilla</t>
        </is>
      </c>
      <c r="J5" s="58" t="inlineStr">
        <is>
          <t>20 g</t>
        </is>
      </c>
      <c r="K5" s="58" t="n">
        <v>9.99</v>
      </c>
      <c r="L5" s="58" t="inlineStr">
        <is>
          <t>vilvah deo shot - rose and vanilla</t>
        </is>
      </c>
      <c r="M5" s="58" t="inlineStr">
        <is>
          <t>vilvah deo shot - rose and vanilla uk</t>
        </is>
      </c>
      <c r="N5" s="58" t="inlineStr">
        <is>
          <t>buy vilvah deo shot - rose and vanilla online</t>
        </is>
      </c>
      <c r="O5" s="58" t="inlineStr">
        <is>
          <t>vilvah deo shot - rose and vanilla price</t>
        </is>
      </c>
      <c r="P5" s="58" t="n"/>
      <c r="Q5" s="59">
        <f>IF(L5="","",IFERROR(INDEX('Semrush Data'!$A$1:$Z$20000,MATCH(L5,'Semrush Data'!$A$1:$A$20000,0),MATCH("Volume",'Semrush Data'!$A$1:$Z$1,0)),""))</f>
        <v/>
      </c>
      <c r="R5" s="59">
        <f>IF(M5="","",IFERROR(INDEX('Semrush Data'!$A$1:$Z$20000,MATCH(M5,'Semrush Data'!$A$1:$A$20000,0),MATCH("Volume",'Semrush Data'!$A$1:$Z$1,0)),""))</f>
        <v/>
      </c>
      <c r="S5" s="59">
        <f>IF(N5="","",IFERROR(INDEX('Semrush Data'!$A$1:$Z$20000,MATCH(N5,'Semrush Data'!$A$1:$A$20000,0),MATCH("Volume",'Semrush Data'!$A$1:$Z$1,0)),""))</f>
        <v/>
      </c>
      <c r="T5" s="59">
        <f>IF(O5="","",IFERROR(INDEX('Semrush Data'!$A$1:$Z$20000,MATCH(O5,'Semrush Data'!$A$1:$A$20000,0),MATCH("Volume",'Semrush Data'!$A$1:$Z$1,0)),""))</f>
        <v/>
      </c>
      <c r="U5" s="59">
        <f>IF(P5="","",IFERROR(INDEX('Semrush Data'!$A$1:$Z$20000,MATCH(P5,'Semrush Data'!$A$1:$A$20000,0),MATCH("Volume",'Semrush Data'!$A$1:$Z$1,0)),""))</f>
        <v/>
      </c>
      <c r="V5" s="60">
        <f>IF(COUNT(Q5:U5)=0,L5,IF(MAX(Q5:U5)=0,L5,INDEX(L5:P5,MATCH(MAX(Q5:U5),Q5:U5,0))))</f>
        <v/>
      </c>
      <c r="W5" s="59">
        <f>IFERROR(INDEX('Semrush Data'!$A$1:$Z$20000,MATCH(V5,'Semrush Data'!$A$1:$A$20000,0),MATCH("Volume",'Semrush Data'!$A$1:$Z$1,0)),"")</f>
        <v/>
      </c>
      <c r="X5" s="59">
        <f>IFERROR(INDEX('Semrush Data'!$A$1:$Z$20000,MATCH(V5,'Semrush Data'!$A$1:$A$20000,0),MATCH("Keyword Difficulty*",'Semrush Data'!$A$1:$Z$1,0)),"")</f>
        <v/>
      </c>
      <c r="Y5" s="61">
        <f>IFERROR(INDEX('Semrush Data'!$A$1:$Z$20000,MATCH(V5,'Semrush Data'!$A$1:$A$20000,0),MATCH("CPC*",'Semrush Data'!$A$1:$Z$1,0)),"")</f>
        <v/>
      </c>
      <c r="Z5" s="58" t="inlineStr">
        <is>
          <t>vilvah natural deodorant · natural deodorant for body hydration · natural natural deodorant uk</t>
        </is>
      </c>
      <c r="AA5" s="58" t="n"/>
      <c r="AB5" s="58" t="inlineStr">
        <is>
          <t>Vilvah Deo Shot - Rose and Vanilla</t>
        </is>
      </c>
      <c r="AC5" s="58" t="inlineStr">
        <is>
          <t>Vilvah Deo Shot - Rose and Vanilla | Swansura UK</t>
        </is>
      </c>
      <c r="AD5" s="58">
        <f>LEN(AC5)</f>
        <v/>
      </c>
      <c r="AE5" s="58" t="inlineStr">
        <is>
          <t>Buy Vilvah Deo Shot - Rose and Vanilla online in the UK at Swansura, official UK partner of Vilvah. 100% authentic, shipped from the UK, free delivery over £50.</t>
        </is>
      </c>
      <c r="AF5" s="58">
        <f>LEN(AE5)</f>
        <v/>
      </c>
    </row>
    <row r="6" ht="15" customHeight="1" s="37">
      <c r="A6" s="58" t="inlineStr">
        <is>
          <t>VD-005</t>
        </is>
      </c>
      <c r="B6" s="58" t="inlineStr">
        <is>
          <t>Vilvah &amp; Deyga</t>
        </is>
      </c>
      <c r="C6" s="58" t="n">
        <v>5</v>
      </c>
      <c r="D6" s="58" t="inlineStr">
        <is>
          <t>Vilvah</t>
        </is>
      </c>
      <c r="E6" s="58" t="n"/>
      <c r="F6" s="58" t="inlineStr">
        <is>
          <t>Skincare</t>
        </is>
      </c>
      <c r="G6" s="58" t="inlineStr">
        <is>
          <t>SPF for Face</t>
        </is>
      </c>
      <c r="H6" s="58" t="inlineStr">
        <is>
          <t>Sun Protection</t>
        </is>
      </c>
      <c r="I6" s="58" t="inlineStr">
        <is>
          <t>Skin finish Sunscreen SPF 50</t>
        </is>
      </c>
      <c r="J6" s="58" t="inlineStr">
        <is>
          <t>50ml</t>
        </is>
      </c>
      <c r="K6" s="58" t="n">
        <v>17.99</v>
      </c>
      <c r="L6" s="58" t="inlineStr">
        <is>
          <t>vilvah skin finish sunscreen spf 50</t>
        </is>
      </c>
      <c r="M6" s="58" t="inlineStr">
        <is>
          <t>vilvah skin finish sunscreen spf 50 uk</t>
        </is>
      </c>
      <c r="N6" s="58" t="inlineStr">
        <is>
          <t>buy vilvah skin finish sunscreen spf 50 online</t>
        </is>
      </c>
      <c r="O6" s="58" t="inlineStr">
        <is>
          <t>vilvah skin finish sunscreen spf 50 price</t>
        </is>
      </c>
      <c r="P6" s="58" t="n"/>
      <c r="Q6" s="59">
        <f>IF(L6="","",IFERROR(INDEX('Semrush Data'!$A$1:$Z$20000,MATCH(L6,'Semrush Data'!$A$1:$A$20000,0),MATCH("Volume",'Semrush Data'!$A$1:$Z$1,0)),""))</f>
        <v/>
      </c>
      <c r="R6" s="59">
        <f>IF(M6="","",IFERROR(INDEX('Semrush Data'!$A$1:$Z$20000,MATCH(M6,'Semrush Data'!$A$1:$A$20000,0),MATCH("Volume",'Semrush Data'!$A$1:$Z$1,0)),""))</f>
        <v/>
      </c>
      <c r="S6" s="59">
        <f>IF(N6="","",IFERROR(INDEX('Semrush Data'!$A$1:$Z$20000,MATCH(N6,'Semrush Data'!$A$1:$A$20000,0),MATCH("Volume",'Semrush Data'!$A$1:$Z$1,0)),""))</f>
        <v/>
      </c>
      <c r="T6" s="59">
        <f>IF(O6="","",IFERROR(INDEX('Semrush Data'!$A$1:$Z$20000,MATCH(O6,'Semrush Data'!$A$1:$A$20000,0),MATCH("Volume",'Semrush Data'!$A$1:$Z$1,0)),""))</f>
        <v/>
      </c>
      <c r="U6" s="59">
        <f>IF(P6="","",IFERROR(INDEX('Semrush Data'!$A$1:$Z$20000,MATCH(P6,'Semrush Data'!$A$1:$A$20000,0),MATCH("Volume",'Semrush Data'!$A$1:$Z$1,0)),""))</f>
        <v/>
      </c>
      <c r="V6" s="60">
        <f>IF(COUNT(Q6:U6)=0,L6,IF(MAX(Q6:U6)=0,L6,INDEX(L6:P6,MATCH(MAX(Q6:U6),Q6:U6,0))))</f>
        <v/>
      </c>
      <c r="W6" s="59">
        <f>IFERROR(INDEX('Semrush Data'!$A$1:$Z$20000,MATCH(V6,'Semrush Data'!$A$1:$A$20000,0),MATCH("Volume",'Semrush Data'!$A$1:$Z$1,0)),"")</f>
        <v/>
      </c>
      <c r="X6" s="59">
        <f>IFERROR(INDEX('Semrush Data'!$A$1:$Z$20000,MATCH(V6,'Semrush Data'!$A$1:$A$20000,0),MATCH("Keyword Difficulty*",'Semrush Data'!$A$1:$Z$1,0)),"")</f>
        <v/>
      </c>
      <c r="Y6" s="61">
        <f>IFERROR(INDEX('Semrush Data'!$A$1:$Z$20000,MATCH(V6,'Semrush Data'!$A$1:$A$20000,0),MATCH("CPC*",'Semrush Data'!$A$1:$Z$1,0)),"")</f>
        <v/>
      </c>
      <c r="Z6" s="58" t="inlineStr">
        <is>
          <t>vilvah sunscreen · natural sunscreen uk</t>
        </is>
      </c>
      <c r="AA6" s="58" t="n"/>
      <c r="AB6" s="58" t="inlineStr">
        <is>
          <t>Vilvah Skin Finish Sunscreen SPF 50</t>
        </is>
      </c>
      <c r="AC6" s="58" t="inlineStr">
        <is>
          <t>Vilvah Skin Finish Sunscreen SPF 50 | Swansura UK</t>
        </is>
      </c>
      <c r="AD6" s="58">
        <f>LEN(AC6)</f>
        <v/>
      </c>
      <c r="AE6" s="58" t="inlineStr">
        <is>
          <t>Buy Vilvah Skin Finish Sunscreen SPF 50 online at Swansura, official UK partner of Vilvah. Natural sunscreen. 100% authentic, free UK delivery over £50.</t>
        </is>
      </c>
      <c r="AF6" s="58">
        <f>LEN(AE6)</f>
        <v/>
      </c>
    </row>
    <row r="7" ht="15" customHeight="1" s="37">
      <c r="A7" s="58" t="inlineStr">
        <is>
          <t>VD-006</t>
        </is>
      </c>
      <c r="B7" s="58" t="inlineStr">
        <is>
          <t>Vilvah &amp; Deyga</t>
        </is>
      </c>
      <c r="C7" s="58" t="n">
        <v>6</v>
      </c>
      <c r="D7" s="58" t="inlineStr">
        <is>
          <t>Vilvah</t>
        </is>
      </c>
      <c r="E7" s="58" t="n"/>
      <c r="F7" s="58" t="inlineStr">
        <is>
          <t>Skincare</t>
        </is>
      </c>
      <c r="G7" s="58" t="inlineStr">
        <is>
          <t>Cleansers</t>
        </is>
      </c>
      <c r="H7" s="58" t="inlineStr">
        <is>
          <t>Skin Nourishment</t>
        </is>
      </c>
      <c r="I7" s="58" t="inlineStr">
        <is>
          <t>Milk Powder Face Wash</t>
        </is>
      </c>
      <c r="J7" s="58" t="inlineStr">
        <is>
          <t>50 gm</t>
        </is>
      </c>
      <c r="K7" s="58" t="n">
        <v>13.99</v>
      </c>
      <c r="L7" s="58" t="inlineStr">
        <is>
          <t>vilvah milk powder face wash</t>
        </is>
      </c>
      <c r="M7" s="58" t="inlineStr">
        <is>
          <t>vilvah milk powder face wash uk</t>
        </is>
      </c>
      <c r="N7" s="58" t="inlineStr">
        <is>
          <t>buy vilvah milk powder face wash online</t>
        </is>
      </c>
      <c r="O7" s="58" t="inlineStr">
        <is>
          <t>vilvah milk powder face wash price</t>
        </is>
      </c>
      <c r="P7" s="58" t="n"/>
      <c r="Q7" s="59">
        <f>IF(L7="","",IFERROR(INDEX('Semrush Data'!$A$1:$Z$20000,MATCH(L7,'Semrush Data'!$A$1:$A$20000,0),MATCH("Volume",'Semrush Data'!$A$1:$Z$1,0)),""))</f>
        <v/>
      </c>
      <c r="R7" s="59">
        <f>IF(M7="","",IFERROR(INDEX('Semrush Data'!$A$1:$Z$20000,MATCH(M7,'Semrush Data'!$A$1:$A$20000,0),MATCH("Volume",'Semrush Data'!$A$1:$Z$1,0)),""))</f>
        <v/>
      </c>
      <c r="S7" s="59">
        <f>IF(N7="","",IFERROR(INDEX('Semrush Data'!$A$1:$Z$20000,MATCH(N7,'Semrush Data'!$A$1:$A$20000,0),MATCH("Volume",'Semrush Data'!$A$1:$Z$1,0)),""))</f>
        <v/>
      </c>
      <c r="T7" s="59">
        <f>IF(O7="","",IFERROR(INDEX('Semrush Data'!$A$1:$Z$20000,MATCH(O7,'Semrush Data'!$A$1:$A$20000,0),MATCH("Volume",'Semrush Data'!$A$1:$Z$1,0)),""))</f>
        <v/>
      </c>
      <c r="U7" s="59">
        <f>IF(P7="","",IFERROR(INDEX('Semrush Data'!$A$1:$Z$20000,MATCH(P7,'Semrush Data'!$A$1:$A$20000,0),MATCH("Volume",'Semrush Data'!$A$1:$Z$1,0)),""))</f>
        <v/>
      </c>
      <c r="V7" s="60">
        <f>IF(COUNT(Q7:U7)=0,L7,IF(MAX(Q7:U7)=0,L7,INDEX(L7:P7,MATCH(MAX(Q7:U7),Q7:U7,0))))</f>
        <v/>
      </c>
      <c r="W7" s="59">
        <f>IFERROR(INDEX('Semrush Data'!$A$1:$Z$20000,MATCH(V7,'Semrush Data'!$A$1:$A$20000,0),MATCH("Volume",'Semrush Data'!$A$1:$Z$1,0)),"")</f>
        <v/>
      </c>
      <c r="X7" s="59">
        <f>IFERROR(INDEX('Semrush Data'!$A$1:$Z$20000,MATCH(V7,'Semrush Data'!$A$1:$A$20000,0),MATCH("Keyword Difficulty*",'Semrush Data'!$A$1:$Z$1,0)),"")</f>
        <v/>
      </c>
      <c r="Y7" s="61">
        <f>IFERROR(INDEX('Semrush Data'!$A$1:$Z$20000,MATCH(V7,'Semrush Data'!$A$1:$A$20000,0),MATCH("CPC*",'Semrush Data'!$A$1:$Z$1,0)),"")</f>
        <v/>
      </c>
      <c r="Z7" s="58" t="inlineStr">
        <is>
          <t>vilvah face wash · face wash for skin nourishment · natural face wash uk</t>
        </is>
      </c>
      <c r="AA7" s="58" t="inlineStr">
        <is>
          <t>vilvah milk powder face wash review · vilvah milk powder face wash benefits · vilvah milk powder face wash price · vilvah milk powder face wash how to use · vilvah milk powder face wash and serum · vilvah milk powder face wash amazon</t>
        </is>
      </c>
      <c r="AB7" s="58" t="inlineStr">
        <is>
          <t>Vilvah Milk Powder Face Wash</t>
        </is>
      </c>
      <c r="AC7" s="58" t="inlineStr">
        <is>
          <t>Vilvah Milk Powder Face Wash | Buy Online UK | Swansura</t>
        </is>
      </c>
      <c r="AD7" s="58">
        <f>LEN(AC7)</f>
        <v/>
      </c>
      <c r="AE7" s="58" t="inlineStr">
        <is>
          <t>Buy Vilvah Milk Powder Face Wash online in the UK at Swansura, official UK partner of Vilvah. A natural face wash for nourished skin. Free UK delivery over £50.</t>
        </is>
      </c>
      <c r="AF7" s="58">
        <f>LEN(AE7)</f>
        <v/>
      </c>
    </row>
    <row r="8" ht="15" customHeight="1" s="37">
      <c r="A8" s="58" t="inlineStr">
        <is>
          <t>VD-007</t>
        </is>
      </c>
      <c r="B8" s="58" t="inlineStr">
        <is>
          <t>Vilvah &amp; Deyga</t>
        </is>
      </c>
      <c r="C8" s="58" t="n">
        <v>7</v>
      </c>
      <c r="D8" s="58" t="inlineStr">
        <is>
          <t>Vilvah</t>
        </is>
      </c>
      <c r="E8" s="58" t="n"/>
      <c r="F8" s="58" t="inlineStr">
        <is>
          <t>Skincare</t>
        </is>
      </c>
      <c r="G8" s="58" t="inlineStr">
        <is>
          <t>Moisturisers</t>
        </is>
      </c>
      <c r="H8" s="58" t="inlineStr">
        <is>
          <t>Dry Skin</t>
        </is>
      </c>
      <c r="I8" s="58" t="inlineStr">
        <is>
          <t>Ultra Moisturising Cream</t>
        </is>
      </c>
      <c r="J8" s="58" t="inlineStr">
        <is>
          <t>50 ml</t>
        </is>
      </c>
      <c r="K8" s="58" t="n">
        <v>25.99</v>
      </c>
      <c r="L8" s="58" t="inlineStr">
        <is>
          <t>vilvah ultra moisturising cream</t>
        </is>
      </c>
      <c r="M8" s="58" t="inlineStr">
        <is>
          <t>vilvah ultra moisturising cream uk</t>
        </is>
      </c>
      <c r="N8" s="58" t="inlineStr">
        <is>
          <t>buy vilvah ultra moisturising cream online</t>
        </is>
      </c>
      <c r="O8" s="58" t="inlineStr">
        <is>
          <t>vilvah ultra moisturising cream price</t>
        </is>
      </c>
      <c r="P8" s="58" t="n"/>
      <c r="Q8" s="59">
        <f>IF(L8="","",IFERROR(INDEX('Semrush Data'!$A$1:$Z$20000,MATCH(L8,'Semrush Data'!$A$1:$A$20000,0),MATCH("Volume",'Semrush Data'!$A$1:$Z$1,0)),""))</f>
        <v/>
      </c>
      <c r="R8" s="59">
        <f>IF(M8="","",IFERROR(INDEX('Semrush Data'!$A$1:$Z$20000,MATCH(M8,'Semrush Data'!$A$1:$A$20000,0),MATCH("Volume",'Semrush Data'!$A$1:$Z$1,0)),""))</f>
        <v/>
      </c>
      <c r="S8" s="59">
        <f>IF(N8="","",IFERROR(INDEX('Semrush Data'!$A$1:$Z$20000,MATCH(N8,'Semrush Data'!$A$1:$A$20000,0),MATCH("Volume",'Semrush Data'!$A$1:$Z$1,0)),""))</f>
        <v/>
      </c>
      <c r="T8" s="59">
        <f>IF(O8="","",IFERROR(INDEX('Semrush Data'!$A$1:$Z$20000,MATCH(O8,'Semrush Data'!$A$1:$A$20000,0),MATCH("Volume",'Semrush Data'!$A$1:$Z$1,0)),""))</f>
        <v/>
      </c>
      <c r="U8" s="59">
        <f>IF(P8="","",IFERROR(INDEX('Semrush Data'!$A$1:$Z$20000,MATCH(P8,'Semrush Data'!$A$1:$A$20000,0),MATCH("Volume",'Semrush Data'!$A$1:$Z$1,0)),""))</f>
        <v/>
      </c>
      <c r="V8" s="60">
        <f>IF(COUNT(Q8:U8)=0,L8,IF(MAX(Q8:U8)=0,L8,INDEX(L8:P8,MATCH(MAX(Q8:U8),Q8:U8,0))))</f>
        <v/>
      </c>
      <c r="W8" s="59">
        <f>IFERROR(INDEX('Semrush Data'!$A$1:$Z$20000,MATCH(V8,'Semrush Data'!$A$1:$A$20000,0),MATCH("Volume",'Semrush Data'!$A$1:$Z$1,0)),"")</f>
        <v/>
      </c>
      <c r="X8" s="59">
        <f>IFERROR(INDEX('Semrush Data'!$A$1:$Z$20000,MATCH(V8,'Semrush Data'!$A$1:$A$20000,0),MATCH("Keyword Difficulty*",'Semrush Data'!$A$1:$Z$1,0)),"")</f>
        <v/>
      </c>
      <c r="Y8" s="61">
        <f>IFERROR(INDEX('Semrush Data'!$A$1:$Z$20000,MATCH(V8,'Semrush Data'!$A$1:$A$20000,0),MATCH("CPC*",'Semrush Data'!$A$1:$Z$1,0)),"")</f>
        <v/>
      </c>
      <c r="Z8" s="58" t="inlineStr">
        <is>
          <t>vilvah moisturiser · moisturiser for dry skin · natural moisturiser uk</t>
        </is>
      </c>
      <c r="AA8" s="58" t="n"/>
      <c r="AB8" s="58" t="inlineStr">
        <is>
          <t>Vilvah Ultra Moisturising Cream</t>
        </is>
      </c>
      <c r="AC8" s="58" t="inlineStr">
        <is>
          <t>Vilvah Ultra Moisturising Cream | Buy Online UK | Swansura</t>
        </is>
      </c>
      <c r="AD8" s="58">
        <f>LEN(AC8)</f>
        <v/>
      </c>
      <c r="AE8" s="58" t="inlineStr">
        <is>
          <t>Buy Vilvah Ultra Moisturising Cream online in the UK at Swansura, official UK partner of Vilvah. Natural moisturiser. 100% authentic, free UK delivery over £50.</t>
        </is>
      </c>
      <c r="AF8" s="58">
        <f>LEN(AE8)</f>
        <v/>
      </c>
    </row>
    <row r="9" ht="15" customHeight="1" s="37">
      <c r="A9" s="58" t="inlineStr">
        <is>
          <t>VD-008</t>
        </is>
      </c>
      <c r="B9" s="58" t="inlineStr">
        <is>
          <t>Vilvah &amp; Deyga</t>
        </is>
      </c>
      <c r="C9" s="58" t="n">
        <v>8</v>
      </c>
      <c r="D9" s="58" t="inlineStr">
        <is>
          <t>Vilvah</t>
        </is>
      </c>
      <c r="E9" s="58" t="n"/>
      <c r="F9" s="58" t="inlineStr">
        <is>
          <t>Bodycare</t>
        </is>
      </c>
      <c r="G9" s="58" t="inlineStr">
        <is>
          <t>Bath &amp; Body Wash</t>
        </is>
      </c>
      <c r="H9" s="58" t="inlineStr">
        <is>
          <t>Body Cleansing</t>
        </is>
      </c>
      <c r="I9" s="58" t="inlineStr">
        <is>
          <t>Classic Rose Goatmilk Soap</t>
        </is>
      </c>
      <c r="J9" s="58" t="inlineStr">
        <is>
          <t>115 g</t>
        </is>
      </c>
      <c r="K9" s="58" t="n">
        <v>9.99</v>
      </c>
      <c r="L9" s="58" t="inlineStr">
        <is>
          <t>vilvah classic rose goatmilk soap</t>
        </is>
      </c>
      <c r="M9" s="58" t="inlineStr">
        <is>
          <t>vilvah classic rose goatmilk soap uk</t>
        </is>
      </c>
      <c r="N9" s="58" t="inlineStr">
        <is>
          <t>buy vilvah classic rose goatmilk soap online</t>
        </is>
      </c>
      <c r="O9" s="58" t="inlineStr">
        <is>
          <t>vilvah classic rose goatmilk soap price</t>
        </is>
      </c>
      <c r="P9" s="58" t="n"/>
      <c r="Q9" s="59">
        <f>IF(L9="","",IFERROR(INDEX('Semrush Data'!$A$1:$Z$20000,MATCH(L9,'Semrush Data'!$A$1:$A$20000,0),MATCH("Volume",'Semrush Data'!$A$1:$Z$1,0)),""))</f>
        <v/>
      </c>
      <c r="R9" s="59">
        <f>IF(M9="","",IFERROR(INDEX('Semrush Data'!$A$1:$Z$20000,MATCH(M9,'Semrush Data'!$A$1:$A$20000,0),MATCH("Volume",'Semrush Data'!$A$1:$Z$1,0)),""))</f>
        <v/>
      </c>
      <c r="S9" s="59">
        <f>IF(N9="","",IFERROR(INDEX('Semrush Data'!$A$1:$Z$20000,MATCH(N9,'Semrush Data'!$A$1:$A$20000,0),MATCH("Volume",'Semrush Data'!$A$1:$Z$1,0)),""))</f>
        <v/>
      </c>
      <c r="T9" s="59">
        <f>IF(O9="","",IFERROR(INDEX('Semrush Data'!$A$1:$Z$20000,MATCH(O9,'Semrush Data'!$A$1:$A$20000,0),MATCH("Volume",'Semrush Data'!$A$1:$Z$1,0)),""))</f>
        <v/>
      </c>
      <c r="U9" s="59">
        <f>IF(P9="","",IFERROR(INDEX('Semrush Data'!$A$1:$Z$20000,MATCH(P9,'Semrush Data'!$A$1:$A$20000,0),MATCH("Volume",'Semrush Data'!$A$1:$Z$1,0)),""))</f>
        <v/>
      </c>
      <c r="V9" s="60">
        <f>IF(COUNT(Q9:U9)=0,L9,IF(MAX(Q9:U9)=0,L9,INDEX(L9:P9,MATCH(MAX(Q9:U9),Q9:U9,0))))</f>
        <v/>
      </c>
      <c r="W9" s="59">
        <f>IFERROR(INDEX('Semrush Data'!$A$1:$Z$20000,MATCH(V9,'Semrush Data'!$A$1:$A$20000,0),MATCH("Volume",'Semrush Data'!$A$1:$Z$1,0)),"")</f>
        <v/>
      </c>
      <c r="X9" s="59">
        <f>IFERROR(INDEX('Semrush Data'!$A$1:$Z$20000,MATCH(V9,'Semrush Data'!$A$1:$A$20000,0),MATCH("Keyword Difficulty*",'Semrush Data'!$A$1:$Z$1,0)),"")</f>
        <v/>
      </c>
      <c r="Y9" s="61">
        <f>IFERROR(INDEX('Semrush Data'!$A$1:$Z$20000,MATCH(V9,'Semrush Data'!$A$1:$A$20000,0),MATCH("CPC*",'Semrush Data'!$A$1:$Z$1,0)),"")</f>
        <v/>
      </c>
      <c r="Z9" s="58" t="inlineStr">
        <is>
          <t>vilvah body wash · body wash for body cleansing · natural body wash uk</t>
        </is>
      </c>
      <c r="AA9" s="58" t="n"/>
      <c r="AB9" s="58" t="inlineStr">
        <is>
          <t>Vilvah Classic Rose Goatmilk Soap</t>
        </is>
      </c>
      <c r="AC9" s="58" t="inlineStr">
        <is>
          <t>Vilvah Classic Rose Goatmilk Soap | Buy Online UK | Swansura</t>
        </is>
      </c>
      <c r="AD9" s="58">
        <f>LEN(AC9)</f>
        <v/>
      </c>
      <c r="AE9" s="58" t="inlineStr">
        <is>
          <t>Buy Vilvah Classic Rose Goatmilk Soap online in the UK at Swansura, official UK partner of Vilvah. Natural body wash. 100% authentic, free UK delivery over £50.</t>
        </is>
      </c>
      <c r="AF9" s="58">
        <f>LEN(AE9)</f>
        <v/>
      </c>
    </row>
    <row r="10" ht="15" customHeight="1" s="37">
      <c r="A10" s="58" t="inlineStr">
        <is>
          <t>VD-009</t>
        </is>
      </c>
      <c r="B10" s="58" t="inlineStr">
        <is>
          <t>Vilvah &amp; Deyga</t>
        </is>
      </c>
      <c r="C10" s="58" t="n">
        <v>9</v>
      </c>
      <c r="D10" s="58" t="inlineStr">
        <is>
          <t>Vilvah</t>
        </is>
      </c>
      <c r="E10" s="58" t="n"/>
      <c r="F10" s="58" t="inlineStr">
        <is>
          <t>Bodycare</t>
        </is>
      </c>
      <c r="G10" s="58" t="inlineStr">
        <is>
          <t>Bath &amp; Body Wash</t>
        </is>
      </c>
      <c r="H10" s="58" t="inlineStr">
        <is>
          <t>Body Cleansing</t>
        </is>
      </c>
      <c r="I10" s="58" t="inlineStr">
        <is>
          <t>Goat Milk Body Wash</t>
        </is>
      </c>
      <c r="J10" s="58" t="inlineStr">
        <is>
          <t>200 ml</t>
        </is>
      </c>
      <c r="K10" s="58" t="n">
        <v>15.99</v>
      </c>
      <c r="L10" s="58" t="inlineStr">
        <is>
          <t>vilvah goat milk body wash</t>
        </is>
      </c>
      <c r="M10" s="58" t="inlineStr">
        <is>
          <t>vilvah goat milk body wash uk</t>
        </is>
      </c>
      <c r="N10" s="58" t="inlineStr">
        <is>
          <t>buy vilvah goat milk body wash online</t>
        </is>
      </c>
      <c r="O10" s="58" t="inlineStr">
        <is>
          <t>vilvah goat milk body wash price</t>
        </is>
      </c>
      <c r="P10" s="58" t="n"/>
      <c r="Q10" s="59">
        <f>IF(L10="","",IFERROR(INDEX('Semrush Data'!$A$1:$Z$20000,MATCH(L10,'Semrush Data'!$A$1:$A$20000,0),MATCH("Volume",'Semrush Data'!$A$1:$Z$1,0)),""))</f>
        <v/>
      </c>
      <c r="R10" s="59">
        <f>IF(M10="","",IFERROR(INDEX('Semrush Data'!$A$1:$Z$20000,MATCH(M10,'Semrush Data'!$A$1:$A$20000,0),MATCH("Volume",'Semrush Data'!$A$1:$Z$1,0)),""))</f>
        <v/>
      </c>
      <c r="S10" s="59">
        <f>IF(N10="","",IFERROR(INDEX('Semrush Data'!$A$1:$Z$20000,MATCH(N10,'Semrush Data'!$A$1:$A$20000,0),MATCH("Volume",'Semrush Data'!$A$1:$Z$1,0)),""))</f>
        <v/>
      </c>
      <c r="T10" s="59">
        <f>IF(O10="","",IFERROR(INDEX('Semrush Data'!$A$1:$Z$20000,MATCH(O10,'Semrush Data'!$A$1:$A$20000,0),MATCH("Volume",'Semrush Data'!$A$1:$Z$1,0)),""))</f>
        <v/>
      </c>
      <c r="U10" s="59">
        <f>IF(P10="","",IFERROR(INDEX('Semrush Data'!$A$1:$Z$20000,MATCH(P10,'Semrush Data'!$A$1:$A$20000,0),MATCH("Volume",'Semrush Data'!$A$1:$Z$1,0)),""))</f>
        <v/>
      </c>
      <c r="V10" s="60">
        <f>IF(COUNT(Q10:U10)=0,L10,IF(MAX(Q10:U10)=0,L10,INDEX(L10:P10,MATCH(MAX(Q10:U10),Q10:U10,0))))</f>
        <v/>
      </c>
      <c r="W10" s="59">
        <f>IFERROR(INDEX('Semrush Data'!$A$1:$Z$20000,MATCH(V10,'Semrush Data'!$A$1:$A$20000,0),MATCH("Volume",'Semrush Data'!$A$1:$Z$1,0)),"")</f>
        <v/>
      </c>
      <c r="X10" s="59">
        <f>IFERROR(INDEX('Semrush Data'!$A$1:$Z$20000,MATCH(V10,'Semrush Data'!$A$1:$A$20000,0),MATCH("Keyword Difficulty*",'Semrush Data'!$A$1:$Z$1,0)),"")</f>
        <v/>
      </c>
      <c r="Y10" s="61">
        <f>IFERROR(INDEX('Semrush Data'!$A$1:$Z$20000,MATCH(V10,'Semrush Data'!$A$1:$A$20000,0),MATCH("CPC*",'Semrush Data'!$A$1:$Z$1,0)),"")</f>
        <v/>
      </c>
      <c r="Z10" s="58" t="inlineStr">
        <is>
          <t>vilvah body wash · body wash for body cleansing · natural body wash uk</t>
        </is>
      </c>
      <c r="AA10" s="58" t="inlineStr">
        <is>
          <t>vilvah goat milk body wash review · vilvah goat milk body wash ingredients · vilvah goat milk body wash benefits · vilvah goat milk body soap · vilvah goat milk soap review</t>
        </is>
      </c>
      <c r="AB10" s="58" t="inlineStr">
        <is>
          <t>Vilvah Goat Milk Body Wash</t>
        </is>
      </c>
      <c r="AC10" s="58" t="inlineStr">
        <is>
          <t>Vilvah Goat Milk Body Wash | Buy Online UK | Swansura</t>
        </is>
      </c>
      <c r="AD10" s="58">
        <f>LEN(AC10)</f>
        <v/>
      </c>
      <c r="AE10" s="58" t="inlineStr">
        <is>
          <t>Buy Vilvah Goat Milk Body Wash online in the UK at Swansura, official UK partner of Vilvah. Natural body wash. 100% authentic, free UK delivery over £50.</t>
        </is>
      </c>
      <c r="AF10" s="58">
        <f>LEN(AE10)</f>
        <v/>
      </c>
    </row>
    <row r="11" ht="15" customHeight="1" s="37">
      <c r="A11" s="58" t="inlineStr">
        <is>
          <t>VD-010</t>
        </is>
      </c>
      <c r="B11" s="58" t="inlineStr">
        <is>
          <t>Vilvah &amp; Deyga</t>
        </is>
      </c>
      <c r="C11" s="58" t="n">
        <v>10</v>
      </c>
      <c r="D11" s="58" t="inlineStr">
        <is>
          <t>Vilvah</t>
        </is>
      </c>
      <c r="E11" s="58" t="n"/>
      <c r="F11" s="58" t="inlineStr">
        <is>
          <t>Skincare</t>
        </is>
      </c>
      <c r="G11" s="58" t="inlineStr">
        <is>
          <t>Lip Care</t>
        </is>
      </c>
      <c r="H11" s="58" t="inlineStr">
        <is>
          <t>Dry Lips</t>
        </is>
      </c>
      <c r="I11" s="58" t="inlineStr">
        <is>
          <t>Rose Milk Lip Balm</t>
        </is>
      </c>
      <c r="J11" s="58" t="inlineStr">
        <is>
          <t>10 g</t>
        </is>
      </c>
      <c r="K11" s="58" t="n">
        <v>9.99</v>
      </c>
      <c r="L11" s="58" t="inlineStr">
        <is>
          <t>vilvah rose milk lip balm</t>
        </is>
      </c>
      <c r="M11" s="58" t="inlineStr">
        <is>
          <t>vilvah rose milk lip balm uk</t>
        </is>
      </c>
      <c r="N11" s="58" t="inlineStr">
        <is>
          <t>buy vilvah rose milk lip balm online</t>
        </is>
      </c>
      <c r="O11" s="58" t="inlineStr">
        <is>
          <t>vilvah rose milk lip balm price</t>
        </is>
      </c>
      <c r="P11" s="58" t="n"/>
      <c r="Q11" s="59">
        <f>IF(L11="","",IFERROR(INDEX('Semrush Data'!$A$1:$Z$20000,MATCH(L11,'Semrush Data'!$A$1:$A$20000,0),MATCH("Volume",'Semrush Data'!$A$1:$Z$1,0)),""))</f>
        <v/>
      </c>
      <c r="R11" s="59">
        <f>IF(M11="","",IFERROR(INDEX('Semrush Data'!$A$1:$Z$20000,MATCH(M11,'Semrush Data'!$A$1:$A$20000,0),MATCH("Volume",'Semrush Data'!$A$1:$Z$1,0)),""))</f>
        <v/>
      </c>
      <c r="S11" s="59">
        <f>IF(N11="","",IFERROR(INDEX('Semrush Data'!$A$1:$Z$20000,MATCH(N11,'Semrush Data'!$A$1:$A$20000,0),MATCH("Volume",'Semrush Data'!$A$1:$Z$1,0)),""))</f>
        <v/>
      </c>
      <c r="T11" s="59">
        <f>IF(O11="","",IFERROR(INDEX('Semrush Data'!$A$1:$Z$20000,MATCH(O11,'Semrush Data'!$A$1:$A$20000,0),MATCH("Volume",'Semrush Data'!$A$1:$Z$1,0)),""))</f>
        <v/>
      </c>
      <c r="U11" s="59">
        <f>IF(P11="","",IFERROR(INDEX('Semrush Data'!$A$1:$Z$20000,MATCH(P11,'Semrush Data'!$A$1:$A$20000,0),MATCH("Volume",'Semrush Data'!$A$1:$Z$1,0)),""))</f>
        <v/>
      </c>
      <c r="V11" s="60">
        <f>IF(COUNT(Q11:U11)=0,L11,IF(MAX(Q11:U11)=0,L11,INDEX(L11:P11,MATCH(MAX(Q11:U11),Q11:U11,0))))</f>
        <v/>
      </c>
      <c r="W11" s="59">
        <f>IFERROR(INDEX('Semrush Data'!$A$1:$Z$20000,MATCH(V11,'Semrush Data'!$A$1:$A$20000,0),MATCH("Volume",'Semrush Data'!$A$1:$Z$1,0)),"")</f>
        <v/>
      </c>
      <c r="X11" s="59">
        <f>IFERROR(INDEX('Semrush Data'!$A$1:$Z$20000,MATCH(V11,'Semrush Data'!$A$1:$A$20000,0),MATCH("Keyword Difficulty*",'Semrush Data'!$A$1:$Z$1,0)),"")</f>
        <v/>
      </c>
      <c r="Y11" s="61">
        <f>IFERROR(INDEX('Semrush Data'!$A$1:$Z$20000,MATCH(V11,'Semrush Data'!$A$1:$A$20000,0),MATCH("CPC*",'Semrush Data'!$A$1:$Z$1,0)),"")</f>
        <v/>
      </c>
      <c r="Z11" s="58" t="inlineStr">
        <is>
          <t>vilvah lip balm · lip balm for dry lips · natural lip balm uk</t>
        </is>
      </c>
      <c r="AA11" s="58" t="inlineStr">
        <is>
          <t>vilvah rose milk lip balm review · vilvah rose milk lip balm ingredients · vilvah rose milk lip balm price · vilvah lip balm review · vilvah lip balm price</t>
        </is>
      </c>
      <c r="AB11" s="58" t="inlineStr">
        <is>
          <t>Vilvah Rose Milk Lip Balm</t>
        </is>
      </c>
      <c r="AC11" s="58" t="inlineStr">
        <is>
          <t>Vilvah Rose Milk Lip Balm | Buy Online UK | Swansura</t>
        </is>
      </c>
      <c r="AD11" s="58">
        <f>LEN(AC11)</f>
        <v/>
      </c>
      <c r="AE11" s="58" t="inlineStr">
        <is>
          <t>Buy Vilvah Rose Milk Lip Balm online at Swansura, official UK partner of Vilvah. Natural lip care. 100% authentic, shipped from the UK, free delivery over £50.</t>
        </is>
      </c>
      <c r="AF11" s="58">
        <f>LEN(AE11)</f>
        <v/>
      </c>
    </row>
    <row r="12" ht="15" customHeight="1" s="37">
      <c r="A12" s="58" t="inlineStr">
        <is>
          <t>VD-011</t>
        </is>
      </c>
      <c r="B12" s="58" t="inlineStr">
        <is>
          <t>Vilvah &amp; Deyga</t>
        </is>
      </c>
      <c r="C12" s="58" t="n">
        <v>11</v>
      </c>
      <c r="D12" s="58" t="inlineStr">
        <is>
          <t>Vilvah</t>
        </is>
      </c>
      <c r="E12" s="58" t="n"/>
      <c r="F12" s="58" t="inlineStr">
        <is>
          <t>Bodycare</t>
        </is>
      </c>
      <c r="G12" s="58" t="inlineStr">
        <is>
          <t>Bath &amp; Body Wash</t>
        </is>
      </c>
      <c r="H12" s="58" t="inlineStr">
        <is>
          <t>Body Cleansing</t>
        </is>
      </c>
      <c r="I12" s="58" t="inlineStr">
        <is>
          <t>Charcoal Goatmilk Soap</t>
        </is>
      </c>
      <c r="J12" s="58" t="inlineStr">
        <is>
          <t>115 g</t>
        </is>
      </c>
      <c r="K12" s="58" t="n">
        <v>9.99</v>
      </c>
      <c r="L12" s="58" t="inlineStr">
        <is>
          <t>vilvah charcoal goatmilk soap</t>
        </is>
      </c>
      <c r="M12" s="58" t="inlineStr">
        <is>
          <t>vilvah charcoal goatmilk soap uk</t>
        </is>
      </c>
      <c r="N12" s="58" t="inlineStr">
        <is>
          <t>buy vilvah charcoal goatmilk soap online</t>
        </is>
      </c>
      <c r="O12" s="58" t="inlineStr">
        <is>
          <t>vilvah charcoal goatmilk soap price</t>
        </is>
      </c>
      <c r="P12" s="58" t="n"/>
      <c r="Q12" s="59">
        <f>IF(L12="","",IFERROR(INDEX('Semrush Data'!$A$1:$Z$20000,MATCH(L12,'Semrush Data'!$A$1:$A$20000,0),MATCH("Volume",'Semrush Data'!$A$1:$Z$1,0)),""))</f>
        <v/>
      </c>
      <c r="R12" s="59">
        <f>IF(M12="","",IFERROR(INDEX('Semrush Data'!$A$1:$Z$20000,MATCH(M12,'Semrush Data'!$A$1:$A$20000,0),MATCH("Volume",'Semrush Data'!$A$1:$Z$1,0)),""))</f>
        <v/>
      </c>
      <c r="S12" s="59">
        <f>IF(N12="","",IFERROR(INDEX('Semrush Data'!$A$1:$Z$20000,MATCH(N12,'Semrush Data'!$A$1:$A$20000,0),MATCH("Volume",'Semrush Data'!$A$1:$Z$1,0)),""))</f>
        <v/>
      </c>
      <c r="T12" s="59">
        <f>IF(O12="","",IFERROR(INDEX('Semrush Data'!$A$1:$Z$20000,MATCH(O12,'Semrush Data'!$A$1:$A$20000,0),MATCH("Volume",'Semrush Data'!$A$1:$Z$1,0)),""))</f>
        <v/>
      </c>
      <c r="U12" s="59">
        <f>IF(P12="","",IFERROR(INDEX('Semrush Data'!$A$1:$Z$20000,MATCH(P12,'Semrush Data'!$A$1:$A$20000,0),MATCH("Volume",'Semrush Data'!$A$1:$Z$1,0)),""))</f>
        <v/>
      </c>
      <c r="V12" s="60">
        <f>IF(COUNT(Q12:U12)=0,L12,IF(MAX(Q12:U12)=0,L12,INDEX(L12:P12,MATCH(MAX(Q12:U12),Q12:U12,0))))</f>
        <v/>
      </c>
      <c r="W12" s="59">
        <f>IFERROR(INDEX('Semrush Data'!$A$1:$Z$20000,MATCH(V12,'Semrush Data'!$A$1:$A$20000,0),MATCH("Volume",'Semrush Data'!$A$1:$Z$1,0)),"")</f>
        <v/>
      </c>
      <c r="X12" s="59">
        <f>IFERROR(INDEX('Semrush Data'!$A$1:$Z$20000,MATCH(V12,'Semrush Data'!$A$1:$A$20000,0),MATCH("Keyword Difficulty*",'Semrush Data'!$A$1:$Z$1,0)),"")</f>
        <v/>
      </c>
      <c r="Y12" s="61">
        <f>IFERROR(INDEX('Semrush Data'!$A$1:$Z$20000,MATCH(V12,'Semrush Data'!$A$1:$A$20000,0),MATCH("CPC*",'Semrush Data'!$A$1:$Z$1,0)),"")</f>
        <v/>
      </c>
      <c r="Z12" s="58" t="inlineStr">
        <is>
          <t>vilvah body wash · body wash for body cleansing · natural body wash uk</t>
        </is>
      </c>
      <c r="AA12" s="58" t="n"/>
      <c r="AB12" s="58" t="inlineStr">
        <is>
          <t>Vilvah Charcoal Goatmilk Soap</t>
        </is>
      </c>
      <c r="AC12" s="58" t="inlineStr">
        <is>
          <t>Vilvah Charcoal Goatmilk Soap | Buy Online UK | Swansura</t>
        </is>
      </c>
      <c r="AD12" s="58">
        <f>LEN(AC12)</f>
        <v/>
      </c>
      <c r="AE12" s="58" t="inlineStr">
        <is>
          <t>Buy Vilvah Charcoal Goatmilk Soap online in the UK at Swansura, official UK partner of Vilvah. Natural body wash. 100% authentic, free UK delivery over £50.</t>
        </is>
      </c>
      <c r="AF12" s="58">
        <f>LEN(AE12)</f>
        <v/>
      </c>
    </row>
    <row r="13" ht="15" customHeight="1" s="37">
      <c r="A13" s="58" t="inlineStr">
        <is>
          <t>VD-012</t>
        </is>
      </c>
      <c r="B13" s="58" t="inlineStr">
        <is>
          <t>Vilvah &amp; Deyga</t>
        </is>
      </c>
      <c r="C13" s="58" t="n">
        <v>12</v>
      </c>
      <c r="D13" s="58" t="inlineStr">
        <is>
          <t>Vilvah</t>
        </is>
      </c>
      <c r="E13" s="58" t="n"/>
      <c r="F13" s="58" t="inlineStr">
        <is>
          <t>Haircare</t>
        </is>
      </c>
      <c r="G13" s="58" t="inlineStr">
        <is>
          <t>Conditioner</t>
        </is>
      </c>
      <c r="H13" s="58" t="inlineStr">
        <is>
          <t>Hair Nourishment</t>
        </is>
      </c>
      <c r="I13" s="58" t="inlineStr">
        <is>
          <t>Cream Conditioner</t>
        </is>
      </c>
      <c r="J13" s="58" t="inlineStr">
        <is>
          <t>250 ml</t>
        </is>
      </c>
      <c r="K13" s="58" t="n">
        <v>15.99</v>
      </c>
      <c r="L13" s="58" t="inlineStr">
        <is>
          <t>vilvah cream conditioner</t>
        </is>
      </c>
      <c r="M13" s="58" t="inlineStr">
        <is>
          <t>vilvah cream conditioner uk</t>
        </is>
      </c>
      <c r="N13" s="58" t="inlineStr">
        <is>
          <t>buy vilvah cream conditioner online</t>
        </is>
      </c>
      <c r="O13" s="58" t="inlineStr">
        <is>
          <t>vilvah cream conditioner price</t>
        </is>
      </c>
      <c r="P13" s="58" t="n"/>
      <c r="Q13" s="59">
        <f>IF(L13="","",IFERROR(INDEX('Semrush Data'!$A$1:$Z$20000,MATCH(L13,'Semrush Data'!$A$1:$A$20000,0),MATCH("Volume",'Semrush Data'!$A$1:$Z$1,0)),""))</f>
        <v/>
      </c>
      <c r="R13" s="59">
        <f>IF(M13="","",IFERROR(INDEX('Semrush Data'!$A$1:$Z$20000,MATCH(M13,'Semrush Data'!$A$1:$A$20000,0),MATCH("Volume",'Semrush Data'!$A$1:$Z$1,0)),""))</f>
        <v/>
      </c>
      <c r="S13" s="59">
        <f>IF(N13="","",IFERROR(INDEX('Semrush Data'!$A$1:$Z$20000,MATCH(N13,'Semrush Data'!$A$1:$A$20000,0),MATCH("Volume",'Semrush Data'!$A$1:$Z$1,0)),""))</f>
        <v/>
      </c>
      <c r="T13" s="59">
        <f>IF(O13="","",IFERROR(INDEX('Semrush Data'!$A$1:$Z$20000,MATCH(O13,'Semrush Data'!$A$1:$A$20000,0),MATCH("Volume",'Semrush Data'!$A$1:$Z$1,0)),""))</f>
        <v/>
      </c>
      <c r="U13" s="59">
        <f>IF(P13="","",IFERROR(INDEX('Semrush Data'!$A$1:$Z$20000,MATCH(P13,'Semrush Data'!$A$1:$A$20000,0),MATCH("Volume",'Semrush Data'!$A$1:$Z$1,0)),""))</f>
        <v/>
      </c>
      <c r="V13" s="60">
        <f>IF(COUNT(Q13:U13)=0,L13,IF(MAX(Q13:U13)=0,L13,INDEX(L13:P13,MATCH(MAX(Q13:U13),Q13:U13,0))))</f>
        <v/>
      </c>
      <c r="W13" s="59">
        <f>IFERROR(INDEX('Semrush Data'!$A$1:$Z$20000,MATCH(V13,'Semrush Data'!$A$1:$A$20000,0),MATCH("Volume",'Semrush Data'!$A$1:$Z$1,0)),"")</f>
        <v/>
      </c>
      <c r="X13" s="59">
        <f>IFERROR(INDEX('Semrush Data'!$A$1:$Z$20000,MATCH(V13,'Semrush Data'!$A$1:$A$20000,0),MATCH("Keyword Difficulty*",'Semrush Data'!$A$1:$Z$1,0)),"")</f>
        <v/>
      </c>
      <c r="Y13" s="61">
        <f>IFERROR(INDEX('Semrush Data'!$A$1:$Z$20000,MATCH(V13,'Semrush Data'!$A$1:$A$20000,0),MATCH("CPC*",'Semrush Data'!$A$1:$Z$1,0)),"")</f>
        <v/>
      </c>
      <c r="Z13" s="58" t="inlineStr">
        <is>
          <t>vilvah conditioner · conditioner for hair nourishment · natural conditioner uk</t>
        </is>
      </c>
      <c r="AA13" s="58" t="inlineStr">
        <is>
          <t>vilvah cream conditioner review · vilvah cream conditioner ingredients · how to use vilvah cream conditioner · vilvah conditioner review</t>
        </is>
      </c>
      <c r="AB13" s="58" t="inlineStr">
        <is>
          <t>Vilvah Cream Conditioner</t>
        </is>
      </c>
      <c r="AC13" s="58" t="inlineStr">
        <is>
          <t>Vilvah Cream Conditioner | Buy Online UK | Swansura</t>
        </is>
      </c>
      <c r="AD13" s="58">
        <f>LEN(AC13)</f>
        <v/>
      </c>
      <c r="AE13" s="58" t="inlineStr">
        <is>
          <t>Buy Vilvah Cream Conditioner online in the UK at Swansura, official UK partner of Vilvah. A natural conditioner for nourished hair. Free UK delivery over £50.</t>
        </is>
      </c>
      <c r="AF13" s="58">
        <f>LEN(AE13)</f>
        <v/>
      </c>
    </row>
    <row r="14" ht="15" customHeight="1" s="37">
      <c r="A14" s="58" t="inlineStr">
        <is>
          <t>VD-013</t>
        </is>
      </c>
      <c r="B14" s="58" t="inlineStr">
        <is>
          <t>Vilvah &amp; Deyga</t>
        </is>
      </c>
      <c r="C14" s="58" t="n">
        <v>13</v>
      </c>
      <c r="D14" s="58" t="inlineStr">
        <is>
          <t>Vilvah</t>
        </is>
      </c>
      <c r="E14" s="58" t="n"/>
      <c r="F14" s="58" t="inlineStr">
        <is>
          <t>Haircare</t>
        </is>
      </c>
      <c r="G14" s="58" t="inlineStr">
        <is>
          <t>Shampoo</t>
        </is>
      </c>
      <c r="H14" s="58" t="inlineStr">
        <is>
          <t>Dry Skin</t>
        </is>
      </c>
      <c r="I14" s="58" t="inlineStr">
        <is>
          <t>Goat Milk Shampoo</t>
        </is>
      </c>
      <c r="J14" s="58" t="inlineStr">
        <is>
          <t>250 ml</t>
        </is>
      </c>
      <c r="K14" s="58" t="n">
        <v>15.99</v>
      </c>
      <c r="L14" s="58" t="inlineStr">
        <is>
          <t>vilvah goat milk shampoo</t>
        </is>
      </c>
      <c r="M14" s="58" t="inlineStr">
        <is>
          <t>vilvah goat milk shampoo uk</t>
        </is>
      </c>
      <c r="N14" s="58" t="inlineStr">
        <is>
          <t>buy vilvah goat milk shampoo online</t>
        </is>
      </c>
      <c r="O14" s="58" t="inlineStr">
        <is>
          <t>vilvah goat milk shampoo price</t>
        </is>
      </c>
      <c r="P14" s="58" t="n"/>
      <c r="Q14" s="59">
        <f>IF(L14="","",IFERROR(INDEX('Semrush Data'!$A$1:$Z$20000,MATCH(L14,'Semrush Data'!$A$1:$A$20000,0),MATCH("Volume",'Semrush Data'!$A$1:$Z$1,0)),""))</f>
        <v/>
      </c>
      <c r="R14" s="59">
        <f>IF(M14="","",IFERROR(INDEX('Semrush Data'!$A$1:$Z$20000,MATCH(M14,'Semrush Data'!$A$1:$A$20000,0),MATCH("Volume",'Semrush Data'!$A$1:$Z$1,0)),""))</f>
        <v/>
      </c>
      <c r="S14" s="59">
        <f>IF(N14="","",IFERROR(INDEX('Semrush Data'!$A$1:$Z$20000,MATCH(N14,'Semrush Data'!$A$1:$A$20000,0),MATCH("Volume",'Semrush Data'!$A$1:$Z$1,0)),""))</f>
        <v/>
      </c>
      <c r="T14" s="59">
        <f>IF(O14="","",IFERROR(INDEX('Semrush Data'!$A$1:$Z$20000,MATCH(O14,'Semrush Data'!$A$1:$A$20000,0),MATCH("Volume",'Semrush Data'!$A$1:$Z$1,0)),""))</f>
        <v/>
      </c>
      <c r="U14" s="59">
        <f>IF(P14="","",IFERROR(INDEX('Semrush Data'!$A$1:$Z$20000,MATCH(P14,'Semrush Data'!$A$1:$A$20000,0),MATCH("Volume",'Semrush Data'!$A$1:$Z$1,0)),""))</f>
        <v/>
      </c>
      <c r="V14" s="60">
        <f>IF(COUNT(Q14:U14)=0,L14,IF(MAX(Q14:U14)=0,L14,INDEX(L14:P14,MATCH(MAX(Q14:U14),Q14:U14,0))))</f>
        <v/>
      </c>
      <c r="W14" s="59">
        <f>IFERROR(INDEX('Semrush Data'!$A$1:$Z$20000,MATCH(V14,'Semrush Data'!$A$1:$A$20000,0),MATCH("Volume",'Semrush Data'!$A$1:$Z$1,0)),"")</f>
        <v/>
      </c>
      <c r="X14" s="59">
        <f>IFERROR(INDEX('Semrush Data'!$A$1:$Z$20000,MATCH(V14,'Semrush Data'!$A$1:$A$20000,0),MATCH("Keyword Difficulty*",'Semrush Data'!$A$1:$Z$1,0)),"")</f>
        <v/>
      </c>
      <c r="Y14" s="61">
        <f>IFERROR(INDEX('Semrush Data'!$A$1:$Z$20000,MATCH(V14,'Semrush Data'!$A$1:$A$20000,0),MATCH("CPC*",'Semrush Data'!$A$1:$Z$1,0)),"")</f>
        <v/>
      </c>
      <c r="Z14" s="58" t="inlineStr">
        <is>
          <t>vilvah shampoo · shampoo for dry skin · natural shampoo uk</t>
        </is>
      </c>
      <c r="AA14" s="58" t="inlineStr">
        <is>
          <t>vilvah goat milk shampoo review · vilvah goat milk shampoo price · vilvah goat milk shampoo benefits · vilvah goat milk shampoo ingredients</t>
        </is>
      </c>
      <c r="AB14" s="58" t="inlineStr">
        <is>
          <t>Vilvah Goat Milk Shampoo</t>
        </is>
      </c>
      <c r="AC14" s="58" t="inlineStr">
        <is>
          <t>Vilvah Goat Milk Shampoo | Buy Online UK | Swansura</t>
        </is>
      </c>
      <c r="AD14" s="58">
        <f>LEN(AC14)</f>
        <v/>
      </c>
      <c r="AE14" s="58" t="inlineStr">
        <is>
          <t>Buy Vilvah Goat Milk Shampoo online at Swansura, official UK partner of Vilvah. Natural shampoo. 100% authentic, shipped from the UK, free delivery over £50.</t>
        </is>
      </c>
      <c r="AF14" s="58">
        <f>LEN(AE14)</f>
        <v/>
      </c>
    </row>
    <row r="15" ht="15" customHeight="1" s="37">
      <c r="A15" s="58" t="inlineStr">
        <is>
          <t>VD-014</t>
        </is>
      </c>
      <c r="B15" s="58" t="inlineStr">
        <is>
          <t>Vilvah &amp; Deyga</t>
        </is>
      </c>
      <c r="C15" s="58" t="n">
        <v>14</v>
      </c>
      <c r="D15" s="58" t="inlineStr">
        <is>
          <t>Vilvah</t>
        </is>
      </c>
      <c r="E15" s="58" t="n"/>
      <c r="F15" s="58" t="inlineStr">
        <is>
          <t>Skincare</t>
        </is>
      </c>
      <c r="G15" s="58" t="inlineStr">
        <is>
          <t>Cleansers</t>
        </is>
      </c>
      <c r="H15" s="58" t="inlineStr">
        <is>
          <t>Skin Nourishment</t>
        </is>
      </c>
      <c r="I15" s="58" t="inlineStr">
        <is>
          <t>Honey Fix Face Wash</t>
        </is>
      </c>
      <c r="J15" s="58" t="inlineStr">
        <is>
          <t>100 ml</t>
        </is>
      </c>
      <c r="K15" s="58" t="n">
        <v>12.99</v>
      </c>
      <c r="L15" s="58" t="inlineStr">
        <is>
          <t>vilvah honey fix face wash</t>
        </is>
      </c>
      <c r="M15" s="58" t="inlineStr">
        <is>
          <t>vilvah honey fix face wash uk</t>
        </is>
      </c>
      <c r="N15" s="58" t="inlineStr">
        <is>
          <t>buy vilvah honey fix face wash online</t>
        </is>
      </c>
      <c r="O15" s="58" t="inlineStr">
        <is>
          <t>vilvah honey fix face wash price</t>
        </is>
      </c>
      <c r="P15" s="58" t="n"/>
      <c r="Q15" s="59">
        <f>IF(L15="","",IFERROR(INDEX('Semrush Data'!$A$1:$Z$20000,MATCH(L15,'Semrush Data'!$A$1:$A$20000,0),MATCH("Volume",'Semrush Data'!$A$1:$Z$1,0)),""))</f>
        <v/>
      </c>
      <c r="R15" s="59">
        <f>IF(M15="","",IFERROR(INDEX('Semrush Data'!$A$1:$Z$20000,MATCH(M15,'Semrush Data'!$A$1:$A$20000,0),MATCH("Volume",'Semrush Data'!$A$1:$Z$1,0)),""))</f>
        <v/>
      </c>
      <c r="S15" s="59">
        <f>IF(N15="","",IFERROR(INDEX('Semrush Data'!$A$1:$Z$20000,MATCH(N15,'Semrush Data'!$A$1:$A$20000,0),MATCH("Volume",'Semrush Data'!$A$1:$Z$1,0)),""))</f>
        <v/>
      </c>
      <c r="T15" s="59">
        <f>IF(O15="","",IFERROR(INDEX('Semrush Data'!$A$1:$Z$20000,MATCH(O15,'Semrush Data'!$A$1:$A$20000,0),MATCH("Volume",'Semrush Data'!$A$1:$Z$1,0)),""))</f>
        <v/>
      </c>
      <c r="U15" s="59">
        <f>IF(P15="","",IFERROR(INDEX('Semrush Data'!$A$1:$Z$20000,MATCH(P15,'Semrush Data'!$A$1:$A$20000,0),MATCH("Volume",'Semrush Data'!$A$1:$Z$1,0)),""))</f>
        <v/>
      </c>
      <c r="V15" s="60">
        <f>IF(COUNT(Q15:U15)=0,L15,IF(MAX(Q15:U15)=0,L15,INDEX(L15:P15,MATCH(MAX(Q15:U15),Q15:U15,0))))</f>
        <v/>
      </c>
      <c r="W15" s="59">
        <f>IFERROR(INDEX('Semrush Data'!$A$1:$Z$20000,MATCH(V15,'Semrush Data'!$A$1:$A$20000,0),MATCH("Volume",'Semrush Data'!$A$1:$Z$1,0)),"")</f>
        <v/>
      </c>
      <c r="X15" s="59">
        <f>IFERROR(INDEX('Semrush Data'!$A$1:$Z$20000,MATCH(V15,'Semrush Data'!$A$1:$A$20000,0),MATCH("Keyword Difficulty*",'Semrush Data'!$A$1:$Z$1,0)),"")</f>
        <v/>
      </c>
      <c r="Y15" s="61">
        <f>IFERROR(INDEX('Semrush Data'!$A$1:$Z$20000,MATCH(V15,'Semrush Data'!$A$1:$A$20000,0),MATCH("CPC*",'Semrush Data'!$A$1:$Z$1,0)),"")</f>
        <v/>
      </c>
      <c r="Z15" s="58" t="inlineStr">
        <is>
          <t>vilvah face wash · face wash for skin nourishment · natural face wash uk</t>
        </is>
      </c>
      <c r="AA15" s="58" t="inlineStr">
        <is>
          <t>vilvah honey fix face wash review</t>
        </is>
      </c>
      <c r="AB15" s="58" t="inlineStr">
        <is>
          <t>Vilvah Honey Fix Face Wash</t>
        </is>
      </c>
      <c r="AC15" s="58" t="inlineStr">
        <is>
          <t>Vilvah Honey Fix Face Wash | Buy Online UK | Swansura</t>
        </is>
      </c>
      <c r="AD15" s="58">
        <f>LEN(AC15)</f>
        <v/>
      </c>
      <c r="AE15" s="58" t="inlineStr">
        <is>
          <t>Buy Vilvah Honey Fix Face Wash online in the UK at Swansura, official UK partner of Vilvah. A natural face wash for nourished skin. Free UK delivery over £50.</t>
        </is>
      </c>
      <c r="AF15" s="58">
        <f>LEN(AE15)</f>
        <v/>
      </c>
    </row>
    <row r="16" ht="15" customHeight="1" s="37">
      <c r="A16" s="58" t="inlineStr">
        <is>
          <t>VD-015</t>
        </is>
      </c>
      <c r="B16" s="58" t="inlineStr">
        <is>
          <t>Vilvah &amp; Deyga</t>
        </is>
      </c>
      <c r="C16" s="58" t="n">
        <v>15</v>
      </c>
      <c r="D16" s="58" t="inlineStr">
        <is>
          <t>Vilvah</t>
        </is>
      </c>
      <c r="E16" s="58" t="n"/>
      <c r="F16" s="58" t="inlineStr">
        <is>
          <t>Skincare</t>
        </is>
      </c>
      <c r="G16" s="58" t="inlineStr">
        <is>
          <t>Lip Care</t>
        </is>
      </c>
      <c r="H16" s="58" t="inlineStr">
        <is>
          <t>Dry Lips</t>
        </is>
      </c>
      <c r="I16" s="58" t="inlineStr">
        <is>
          <t>Lip Balm - Lemon</t>
        </is>
      </c>
      <c r="J16" s="58" t="inlineStr">
        <is>
          <t>10 g</t>
        </is>
      </c>
      <c r="K16" s="58" t="n">
        <v>6.99</v>
      </c>
      <c r="L16" s="58" t="inlineStr">
        <is>
          <t>vilvah lip balm - lemon</t>
        </is>
      </c>
      <c r="M16" s="58" t="inlineStr">
        <is>
          <t>vilvah lip balm - lemon uk</t>
        </is>
      </c>
      <c r="N16" s="58" t="inlineStr">
        <is>
          <t>buy vilvah lip balm - lemon online</t>
        </is>
      </c>
      <c r="O16" s="58" t="inlineStr">
        <is>
          <t>vilvah lip balm - lemon price</t>
        </is>
      </c>
      <c r="P16" s="58" t="n"/>
      <c r="Q16" s="59">
        <f>IF(L16="","",IFERROR(INDEX('Semrush Data'!$A$1:$Z$20000,MATCH(L16,'Semrush Data'!$A$1:$A$20000,0),MATCH("Volume",'Semrush Data'!$A$1:$Z$1,0)),""))</f>
        <v/>
      </c>
      <c r="R16" s="59">
        <f>IF(M16="","",IFERROR(INDEX('Semrush Data'!$A$1:$Z$20000,MATCH(M16,'Semrush Data'!$A$1:$A$20000,0),MATCH("Volume",'Semrush Data'!$A$1:$Z$1,0)),""))</f>
        <v/>
      </c>
      <c r="S16" s="59">
        <f>IF(N16="","",IFERROR(INDEX('Semrush Data'!$A$1:$Z$20000,MATCH(N16,'Semrush Data'!$A$1:$A$20000,0),MATCH("Volume",'Semrush Data'!$A$1:$Z$1,0)),""))</f>
        <v/>
      </c>
      <c r="T16" s="59">
        <f>IF(O16="","",IFERROR(INDEX('Semrush Data'!$A$1:$Z$20000,MATCH(O16,'Semrush Data'!$A$1:$A$20000,0),MATCH("Volume",'Semrush Data'!$A$1:$Z$1,0)),""))</f>
        <v/>
      </c>
      <c r="U16" s="59">
        <f>IF(P16="","",IFERROR(INDEX('Semrush Data'!$A$1:$Z$20000,MATCH(P16,'Semrush Data'!$A$1:$A$20000,0),MATCH("Volume",'Semrush Data'!$A$1:$Z$1,0)),""))</f>
        <v/>
      </c>
      <c r="V16" s="60">
        <f>IF(COUNT(Q16:U16)=0,L16,IF(MAX(Q16:U16)=0,L16,INDEX(L16:P16,MATCH(MAX(Q16:U16),Q16:U16,0))))</f>
        <v/>
      </c>
      <c r="W16" s="59">
        <f>IFERROR(INDEX('Semrush Data'!$A$1:$Z$20000,MATCH(V16,'Semrush Data'!$A$1:$A$20000,0),MATCH("Volume",'Semrush Data'!$A$1:$Z$1,0)),"")</f>
        <v/>
      </c>
      <c r="X16" s="59">
        <f>IFERROR(INDEX('Semrush Data'!$A$1:$Z$20000,MATCH(V16,'Semrush Data'!$A$1:$A$20000,0),MATCH("Keyword Difficulty*",'Semrush Data'!$A$1:$Z$1,0)),"")</f>
        <v/>
      </c>
      <c r="Y16" s="61">
        <f>IFERROR(INDEX('Semrush Data'!$A$1:$Z$20000,MATCH(V16,'Semrush Data'!$A$1:$A$20000,0),MATCH("CPC*",'Semrush Data'!$A$1:$Z$1,0)),"")</f>
        <v/>
      </c>
      <c r="Z16" s="58" t="inlineStr">
        <is>
          <t>vilvah lip balm · lip balm for dry lips · natural lip balm uk</t>
        </is>
      </c>
      <c r="AA16" s="58" t="inlineStr">
        <is>
          <t>vilvah lip balm lemon · vilvah lemon lip balm review · vilvah lip balm review · vilvah lip balm price</t>
        </is>
      </c>
      <c r="AB16" s="58" t="inlineStr">
        <is>
          <t>Vilvah Lip Balm - Lemon</t>
        </is>
      </c>
      <c r="AC16" s="58" t="inlineStr">
        <is>
          <t>Vilvah Lip Balm - Lemon | Buy Online UK | Swansura</t>
        </is>
      </c>
      <c r="AD16" s="58">
        <f>LEN(AC16)</f>
        <v/>
      </c>
      <c r="AE16" s="58" t="inlineStr">
        <is>
          <t>Buy Vilvah Lip Balm - Lemon online at Swansura, official UK partner of Vilvah. Natural lip care. 100% authentic, shipped from the UK, free delivery over £50.</t>
        </is>
      </c>
      <c r="AF16" s="58">
        <f>LEN(AE16)</f>
        <v/>
      </c>
    </row>
    <row r="17" ht="15" customHeight="1" s="37">
      <c r="A17" s="58" t="inlineStr">
        <is>
          <t>VD-016</t>
        </is>
      </c>
      <c r="B17" s="58" t="inlineStr">
        <is>
          <t>Vilvah &amp; Deyga</t>
        </is>
      </c>
      <c r="C17" s="58" t="n">
        <v>16</v>
      </c>
      <c r="D17" s="58" t="inlineStr">
        <is>
          <t>Vilvah</t>
        </is>
      </c>
      <c r="E17" s="58" t="n"/>
      <c r="F17" s="58" t="inlineStr">
        <is>
          <t>Bodycare</t>
        </is>
      </c>
      <c r="G17" s="58" t="inlineStr">
        <is>
          <t>Body Cream &amp; Lotions</t>
        </is>
      </c>
      <c r="H17" s="58" t="inlineStr">
        <is>
          <t>Dry Skin</t>
        </is>
      </c>
      <c r="I17" s="58" t="inlineStr">
        <is>
          <t>Milk Body Lotion</t>
        </is>
      </c>
      <c r="J17" s="58" t="inlineStr">
        <is>
          <t>250 ml</t>
        </is>
      </c>
      <c r="K17" s="58" t="n">
        <v>25.99</v>
      </c>
      <c r="L17" s="58" t="inlineStr">
        <is>
          <t>vilvah milk body lotion</t>
        </is>
      </c>
      <c r="M17" s="58" t="inlineStr">
        <is>
          <t>vilvah milk body lotion uk</t>
        </is>
      </c>
      <c r="N17" s="58" t="inlineStr">
        <is>
          <t>buy vilvah milk body lotion online</t>
        </is>
      </c>
      <c r="O17" s="58" t="inlineStr">
        <is>
          <t>vilvah milk body lotion price</t>
        </is>
      </c>
      <c r="P17" s="58" t="n"/>
      <c r="Q17" s="59">
        <f>IF(L17="","",IFERROR(INDEX('Semrush Data'!$A$1:$Z$20000,MATCH(L17,'Semrush Data'!$A$1:$A$20000,0),MATCH("Volume",'Semrush Data'!$A$1:$Z$1,0)),""))</f>
        <v/>
      </c>
      <c r="R17" s="59">
        <f>IF(M17="","",IFERROR(INDEX('Semrush Data'!$A$1:$Z$20000,MATCH(M17,'Semrush Data'!$A$1:$A$20000,0),MATCH("Volume",'Semrush Data'!$A$1:$Z$1,0)),""))</f>
        <v/>
      </c>
      <c r="S17" s="59">
        <f>IF(N17="","",IFERROR(INDEX('Semrush Data'!$A$1:$Z$20000,MATCH(N17,'Semrush Data'!$A$1:$A$20000,0),MATCH("Volume",'Semrush Data'!$A$1:$Z$1,0)),""))</f>
        <v/>
      </c>
      <c r="T17" s="59">
        <f>IF(O17="","",IFERROR(INDEX('Semrush Data'!$A$1:$Z$20000,MATCH(O17,'Semrush Data'!$A$1:$A$20000,0),MATCH("Volume",'Semrush Data'!$A$1:$Z$1,0)),""))</f>
        <v/>
      </c>
      <c r="U17" s="59">
        <f>IF(P17="","",IFERROR(INDEX('Semrush Data'!$A$1:$Z$20000,MATCH(P17,'Semrush Data'!$A$1:$A$20000,0),MATCH("Volume",'Semrush Data'!$A$1:$Z$1,0)),""))</f>
        <v/>
      </c>
      <c r="V17" s="60">
        <f>IF(COUNT(Q17:U17)=0,L17,IF(MAX(Q17:U17)=0,L17,INDEX(L17:P17,MATCH(MAX(Q17:U17),Q17:U17,0))))</f>
        <v/>
      </c>
      <c r="W17" s="59">
        <f>IFERROR(INDEX('Semrush Data'!$A$1:$Z$20000,MATCH(V17,'Semrush Data'!$A$1:$A$20000,0),MATCH("Volume",'Semrush Data'!$A$1:$Z$1,0)),"")</f>
        <v/>
      </c>
      <c r="X17" s="59">
        <f>IFERROR(INDEX('Semrush Data'!$A$1:$Z$20000,MATCH(V17,'Semrush Data'!$A$1:$A$20000,0),MATCH("Keyword Difficulty*",'Semrush Data'!$A$1:$Z$1,0)),"")</f>
        <v/>
      </c>
      <c r="Y17" s="61">
        <f>IFERROR(INDEX('Semrush Data'!$A$1:$Z$20000,MATCH(V17,'Semrush Data'!$A$1:$A$20000,0),MATCH("CPC*",'Semrush Data'!$A$1:$Z$1,0)),"")</f>
        <v/>
      </c>
      <c r="Z17" s="58" t="inlineStr">
        <is>
          <t>vilvah body lotion · body lotion for dry skin · natural body lotion uk</t>
        </is>
      </c>
      <c r="AA17" s="58" t="inlineStr">
        <is>
          <t>vilvah milk body lotion review · vilvah milk body lotion price</t>
        </is>
      </c>
      <c r="AB17" s="58" t="inlineStr">
        <is>
          <t>Vilvah Milk Body Lotion</t>
        </is>
      </c>
      <c r="AC17" s="58" t="inlineStr">
        <is>
          <t>Vilvah Milk Body Lotion | Buy Online UK | Swansura</t>
        </is>
      </c>
      <c r="AD17" s="58">
        <f>LEN(AC17)</f>
        <v/>
      </c>
      <c r="AE17" s="58" t="inlineStr">
        <is>
          <t>Buy Vilvah Milk Body Lotion online at Swansura, official UK partner of Vilvah. Natural body lotion. 100% authentic, shipped from the UK, free delivery over £50.</t>
        </is>
      </c>
      <c r="AF17" s="58">
        <f>LEN(AE17)</f>
        <v/>
      </c>
    </row>
    <row r="18" ht="15" customHeight="1" s="37">
      <c r="A18" s="58" t="inlineStr">
        <is>
          <t>VD-017</t>
        </is>
      </c>
      <c r="B18" s="58" t="inlineStr">
        <is>
          <t>Vilvah &amp; Deyga</t>
        </is>
      </c>
      <c r="C18" s="58" t="n">
        <v>17</v>
      </c>
      <c r="D18" s="58" t="inlineStr">
        <is>
          <t>Vilvah</t>
        </is>
      </c>
      <c r="E18" s="58" t="n"/>
      <c r="F18" s="58" t="inlineStr">
        <is>
          <t>Skincare</t>
        </is>
      </c>
      <c r="G18" s="58" t="inlineStr">
        <is>
          <t>Toners</t>
        </is>
      </c>
      <c r="H18" s="58" t="inlineStr">
        <is>
          <t>Dry Skin</t>
        </is>
      </c>
      <c r="I18" s="58" t="inlineStr">
        <is>
          <t>Milk Face Toner</t>
        </is>
      </c>
      <c r="J18" s="58" t="inlineStr">
        <is>
          <t>100 ml</t>
        </is>
      </c>
      <c r="K18" s="58" t="n">
        <v>19.99</v>
      </c>
      <c r="L18" s="58" t="inlineStr">
        <is>
          <t>vilvah milk face toner</t>
        </is>
      </c>
      <c r="M18" s="58" t="inlineStr">
        <is>
          <t>vilvah milk face toner uk</t>
        </is>
      </c>
      <c r="N18" s="58" t="inlineStr">
        <is>
          <t>buy vilvah milk face toner online</t>
        </is>
      </c>
      <c r="O18" s="58" t="inlineStr">
        <is>
          <t>vilvah milk face toner price</t>
        </is>
      </c>
      <c r="P18" s="58" t="n"/>
      <c r="Q18" s="59">
        <f>IF(L18="","",IFERROR(INDEX('Semrush Data'!$A$1:$Z$20000,MATCH(L18,'Semrush Data'!$A$1:$A$20000,0),MATCH("Volume",'Semrush Data'!$A$1:$Z$1,0)),""))</f>
        <v/>
      </c>
      <c r="R18" s="59">
        <f>IF(M18="","",IFERROR(INDEX('Semrush Data'!$A$1:$Z$20000,MATCH(M18,'Semrush Data'!$A$1:$A$20000,0),MATCH("Volume",'Semrush Data'!$A$1:$Z$1,0)),""))</f>
        <v/>
      </c>
      <c r="S18" s="59">
        <f>IF(N18="","",IFERROR(INDEX('Semrush Data'!$A$1:$Z$20000,MATCH(N18,'Semrush Data'!$A$1:$A$20000,0),MATCH("Volume",'Semrush Data'!$A$1:$Z$1,0)),""))</f>
        <v/>
      </c>
      <c r="T18" s="59">
        <f>IF(O18="","",IFERROR(INDEX('Semrush Data'!$A$1:$Z$20000,MATCH(O18,'Semrush Data'!$A$1:$A$20000,0),MATCH("Volume",'Semrush Data'!$A$1:$Z$1,0)),""))</f>
        <v/>
      </c>
      <c r="U18" s="59">
        <f>IF(P18="","",IFERROR(INDEX('Semrush Data'!$A$1:$Z$20000,MATCH(P18,'Semrush Data'!$A$1:$A$20000,0),MATCH("Volume",'Semrush Data'!$A$1:$Z$1,0)),""))</f>
        <v/>
      </c>
      <c r="V18" s="60">
        <f>IF(COUNT(Q18:U18)=0,L18,IF(MAX(Q18:U18)=0,L18,INDEX(L18:P18,MATCH(MAX(Q18:U18),Q18:U18,0))))</f>
        <v/>
      </c>
      <c r="W18" s="59">
        <f>IFERROR(INDEX('Semrush Data'!$A$1:$Z$20000,MATCH(V18,'Semrush Data'!$A$1:$A$20000,0),MATCH("Volume",'Semrush Data'!$A$1:$Z$1,0)),"")</f>
        <v/>
      </c>
      <c r="X18" s="59">
        <f>IFERROR(INDEX('Semrush Data'!$A$1:$Z$20000,MATCH(V18,'Semrush Data'!$A$1:$A$20000,0),MATCH("Keyword Difficulty*",'Semrush Data'!$A$1:$Z$1,0)),"")</f>
        <v/>
      </c>
      <c r="Y18" s="61">
        <f>IFERROR(INDEX('Semrush Data'!$A$1:$Z$20000,MATCH(V18,'Semrush Data'!$A$1:$A$20000,0),MATCH("CPC*",'Semrush Data'!$A$1:$Z$1,0)),"")</f>
        <v/>
      </c>
      <c r="Z18" s="58" t="inlineStr">
        <is>
          <t>vilvah toner · toner for dry skin · natural toner uk</t>
        </is>
      </c>
      <c r="AA18" s="58" t="inlineStr">
        <is>
          <t>vilvah milk face toner review · vilvah toner review</t>
        </is>
      </c>
      <c r="AB18" s="58" t="inlineStr">
        <is>
          <t>Vilvah Milk Face Toner</t>
        </is>
      </c>
      <c r="AC18" s="58" t="inlineStr">
        <is>
          <t>Vilvah Milk Face Toner 100ml | Buy Online UK | Swansura</t>
        </is>
      </c>
      <c r="AD18" s="58">
        <f>LEN(AC18)</f>
        <v/>
      </c>
      <c r="AE18" s="58" t="inlineStr">
        <is>
          <t>Buy Vilvah Milk Face Toner online in the UK at Swansura, official UK partner of Vilvah. A natural toner for dry skin. 100% authentic, free UK delivery over £50.</t>
        </is>
      </c>
      <c r="AF18" s="58">
        <f>LEN(AE18)</f>
        <v/>
      </c>
    </row>
    <row r="19" ht="15" customHeight="1" s="37">
      <c r="A19" s="58" t="inlineStr">
        <is>
          <t>VD-018</t>
        </is>
      </c>
      <c r="B19" s="58" t="inlineStr">
        <is>
          <t>Vilvah &amp; Deyga</t>
        </is>
      </c>
      <c r="C19" s="58" t="n">
        <v>18</v>
      </c>
      <c r="D19" s="58" t="inlineStr">
        <is>
          <t>Vilvah</t>
        </is>
      </c>
      <c r="E19" s="58" t="n"/>
      <c r="F19" s="58" t="inlineStr">
        <is>
          <t>Skincare</t>
        </is>
      </c>
      <c r="G19" s="58" t="inlineStr">
        <is>
          <t>Face Masks</t>
        </is>
      </c>
      <c r="H19" s="58" t="inlineStr">
        <is>
          <t>Skin Nourishment</t>
        </is>
      </c>
      <c r="I19" s="58" t="inlineStr">
        <is>
          <t>Milk Mud Mask</t>
        </is>
      </c>
      <c r="J19" s="58" t="inlineStr">
        <is>
          <t>50 ml</t>
        </is>
      </c>
      <c r="K19" s="58" t="n">
        <v>19.99</v>
      </c>
      <c r="L19" s="58" t="inlineStr">
        <is>
          <t>vilvah milk mud mask</t>
        </is>
      </c>
      <c r="M19" s="58" t="inlineStr">
        <is>
          <t>vilvah milk mud mask uk</t>
        </is>
      </c>
      <c r="N19" s="58" t="inlineStr">
        <is>
          <t>buy vilvah milk mud mask online</t>
        </is>
      </c>
      <c r="O19" s="58" t="inlineStr">
        <is>
          <t>vilvah milk mud mask price</t>
        </is>
      </c>
      <c r="P19" s="58" t="n"/>
      <c r="Q19" s="59">
        <f>IF(L19="","",IFERROR(INDEX('Semrush Data'!$A$1:$Z$20000,MATCH(L19,'Semrush Data'!$A$1:$A$20000,0),MATCH("Volume",'Semrush Data'!$A$1:$Z$1,0)),""))</f>
        <v/>
      </c>
      <c r="R19" s="59">
        <f>IF(M19="","",IFERROR(INDEX('Semrush Data'!$A$1:$Z$20000,MATCH(M19,'Semrush Data'!$A$1:$A$20000,0),MATCH("Volume",'Semrush Data'!$A$1:$Z$1,0)),""))</f>
        <v/>
      </c>
      <c r="S19" s="59">
        <f>IF(N19="","",IFERROR(INDEX('Semrush Data'!$A$1:$Z$20000,MATCH(N19,'Semrush Data'!$A$1:$A$20000,0),MATCH("Volume",'Semrush Data'!$A$1:$Z$1,0)),""))</f>
        <v/>
      </c>
      <c r="T19" s="59">
        <f>IF(O19="","",IFERROR(INDEX('Semrush Data'!$A$1:$Z$20000,MATCH(O19,'Semrush Data'!$A$1:$A$20000,0),MATCH("Volume",'Semrush Data'!$A$1:$Z$1,0)),""))</f>
        <v/>
      </c>
      <c r="U19" s="59">
        <f>IF(P19="","",IFERROR(INDEX('Semrush Data'!$A$1:$Z$20000,MATCH(P19,'Semrush Data'!$A$1:$A$20000,0),MATCH("Volume",'Semrush Data'!$A$1:$Z$1,0)),""))</f>
        <v/>
      </c>
      <c r="V19" s="60">
        <f>IF(COUNT(Q19:U19)=0,L19,IF(MAX(Q19:U19)=0,L19,INDEX(L19:P19,MATCH(MAX(Q19:U19),Q19:U19,0))))</f>
        <v/>
      </c>
      <c r="W19" s="59">
        <f>IFERROR(INDEX('Semrush Data'!$A$1:$Z$20000,MATCH(V19,'Semrush Data'!$A$1:$A$20000,0),MATCH("Volume",'Semrush Data'!$A$1:$Z$1,0)),"")</f>
        <v/>
      </c>
      <c r="X19" s="59">
        <f>IFERROR(INDEX('Semrush Data'!$A$1:$Z$20000,MATCH(V19,'Semrush Data'!$A$1:$A$20000,0),MATCH("Keyword Difficulty*",'Semrush Data'!$A$1:$Z$1,0)),"")</f>
        <v/>
      </c>
      <c r="Y19" s="61">
        <f>IFERROR(INDEX('Semrush Data'!$A$1:$Z$20000,MATCH(V19,'Semrush Data'!$A$1:$A$20000,0),MATCH("CPC*",'Semrush Data'!$A$1:$Z$1,0)),"")</f>
        <v/>
      </c>
      <c r="Z19" s="58" t="inlineStr">
        <is>
          <t>vilvah face mask · face mask for skin nourishment · natural face mask uk</t>
        </is>
      </c>
      <c r="AA19" s="58" t="inlineStr">
        <is>
          <t>vilvah milk mud mask review · vilvah milk mud mask benefits · vilvah milk mud mask ingredients · vilvah milk mud mask how to use · vilvah milk mud mask amazon · vilvah milk mud mask price</t>
        </is>
      </c>
      <c r="AB19" s="58" t="inlineStr">
        <is>
          <t>Vilvah Milk Mud Mask</t>
        </is>
      </c>
      <c r="AC19" s="58" t="inlineStr">
        <is>
          <t>Vilvah Milk Mud Mask 50ml | Buy Online UK | Swansura</t>
        </is>
      </c>
      <c r="AD19" s="58">
        <f>LEN(AC19)</f>
        <v/>
      </c>
      <c r="AE19" s="58" t="inlineStr">
        <is>
          <t>Buy Vilvah Milk Mud Mask online at Swansura, official UK partner of Vilvah. A natural face mask for nourished skin. 100% authentic, free UK delivery over £50.</t>
        </is>
      </c>
      <c r="AF19" s="58">
        <f>LEN(AE19)</f>
        <v/>
      </c>
    </row>
    <row r="20" ht="15" customHeight="1" s="37">
      <c r="A20" s="58" t="inlineStr">
        <is>
          <t>VD-019</t>
        </is>
      </c>
      <c r="B20" s="58" t="inlineStr">
        <is>
          <t>Vilvah &amp; Deyga</t>
        </is>
      </c>
      <c r="C20" s="58" t="n">
        <v>19</v>
      </c>
      <c r="D20" s="58" t="inlineStr">
        <is>
          <t>Vilvah</t>
        </is>
      </c>
      <c r="E20" s="58" t="n"/>
      <c r="F20" s="58" t="inlineStr">
        <is>
          <t>Skincare</t>
        </is>
      </c>
      <c r="G20" s="58" t="inlineStr">
        <is>
          <t>Face Masks</t>
        </is>
      </c>
      <c r="H20" s="58" t="inlineStr">
        <is>
          <t>Skin Nourishment</t>
        </is>
      </c>
      <c r="I20" s="58" t="inlineStr">
        <is>
          <t>Wild Rose Facemask</t>
        </is>
      </c>
      <c r="J20" s="58" t="inlineStr">
        <is>
          <t>100 g</t>
        </is>
      </c>
      <c r="K20" s="58" t="n">
        <v>11.99</v>
      </c>
      <c r="L20" s="58" t="inlineStr">
        <is>
          <t>vilvah wild rose facemask</t>
        </is>
      </c>
      <c r="M20" s="58" t="inlineStr">
        <is>
          <t>vilvah wild rose facemask uk</t>
        </is>
      </c>
      <c r="N20" s="58" t="inlineStr">
        <is>
          <t>buy vilvah wild rose facemask online</t>
        </is>
      </c>
      <c r="O20" s="58" t="inlineStr">
        <is>
          <t>vilvah wild rose facemask price</t>
        </is>
      </c>
      <c r="P20" s="58" t="n"/>
      <c r="Q20" s="59">
        <f>IF(L20="","",IFERROR(INDEX('Semrush Data'!$A$1:$Z$20000,MATCH(L20,'Semrush Data'!$A$1:$A$20000,0),MATCH("Volume",'Semrush Data'!$A$1:$Z$1,0)),""))</f>
        <v/>
      </c>
      <c r="R20" s="59">
        <f>IF(M20="","",IFERROR(INDEX('Semrush Data'!$A$1:$Z$20000,MATCH(M20,'Semrush Data'!$A$1:$A$20000,0),MATCH("Volume",'Semrush Data'!$A$1:$Z$1,0)),""))</f>
        <v/>
      </c>
      <c r="S20" s="59">
        <f>IF(N20="","",IFERROR(INDEX('Semrush Data'!$A$1:$Z$20000,MATCH(N20,'Semrush Data'!$A$1:$A$20000,0),MATCH("Volume",'Semrush Data'!$A$1:$Z$1,0)),""))</f>
        <v/>
      </c>
      <c r="T20" s="59">
        <f>IF(O20="","",IFERROR(INDEX('Semrush Data'!$A$1:$Z$20000,MATCH(O20,'Semrush Data'!$A$1:$A$20000,0),MATCH("Volume",'Semrush Data'!$A$1:$Z$1,0)),""))</f>
        <v/>
      </c>
      <c r="U20" s="59">
        <f>IF(P20="","",IFERROR(INDEX('Semrush Data'!$A$1:$Z$20000,MATCH(P20,'Semrush Data'!$A$1:$A$20000,0),MATCH("Volume",'Semrush Data'!$A$1:$Z$1,0)),""))</f>
        <v/>
      </c>
      <c r="V20" s="60">
        <f>IF(COUNT(Q20:U20)=0,L20,IF(MAX(Q20:U20)=0,L20,INDEX(L20:P20,MATCH(MAX(Q20:U20),Q20:U20,0))))</f>
        <v/>
      </c>
      <c r="W20" s="59">
        <f>IFERROR(INDEX('Semrush Data'!$A$1:$Z$20000,MATCH(V20,'Semrush Data'!$A$1:$A$20000,0),MATCH("Volume",'Semrush Data'!$A$1:$Z$1,0)),"")</f>
        <v/>
      </c>
      <c r="X20" s="59">
        <f>IFERROR(INDEX('Semrush Data'!$A$1:$Z$20000,MATCH(V20,'Semrush Data'!$A$1:$A$20000,0),MATCH("Keyword Difficulty*",'Semrush Data'!$A$1:$Z$1,0)),"")</f>
        <v/>
      </c>
      <c r="Y20" s="61">
        <f>IFERROR(INDEX('Semrush Data'!$A$1:$Z$20000,MATCH(V20,'Semrush Data'!$A$1:$A$20000,0),MATCH("CPC*",'Semrush Data'!$A$1:$Z$1,0)),"")</f>
        <v/>
      </c>
      <c r="Z20" s="58" t="inlineStr">
        <is>
          <t>vilvah face mask · face mask for skin nourishment · natural face mask uk</t>
        </is>
      </c>
      <c r="AA20" s="58" t="n"/>
      <c r="AB20" s="58" t="inlineStr">
        <is>
          <t>Vilvah Wild Rose Facemask</t>
        </is>
      </c>
      <c r="AC20" s="58" t="inlineStr">
        <is>
          <t>Vilvah Wild Rose Facemask | Buy Online UK | Swansura</t>
        </is>
      </c>
      <c r="AD20" s="58">
        <f>LEN(AC20)</f>
        <v/>
      </c>
      <c r="AE20" s="58" t="inlineStr">
        <is>
          <t>Buy Vilvah Wild Rose Facemask online at Swansura, official UK partner of Vilvah. Natural face mask. 100% authentic, shipped from the UK, free delivery over £50.</t>
        </is>
      </c>
      <c r="AF20" s="58">
        <f>LEN(AE20)</f>
        <v/>
      </c>
    </row>
    <row r="21" ht="15" customHeight="1" s="37">
      <c r="A21" s="58" t="inlineStr">
        <is>
          <t>VD-020</t>
        </is>
      </c>
      <c r="B21" s="58" t="inlineStr">
        <is>
          <t>Vilvah &amp; Deyga</t>
        </is>
      </c>
      <c r="C21" s="58" t="n">
        <v>20</v>
      </c>
      <c r="D21" s="58" t="inlineStr">
        <is>
          <t>Vilvah</t>
        </is>
      </c>
      <c r="E21" s="58" t="n"/>
      <c r="F21" s="58" t="inlineStr">
        <is>
          <t>Skincare</t>
        </is>
      </c>
      <c r="G21" s="58" t="inlineStr">
        <is>
          <t>Moisturisers</t>
        </is>
      </c>
      <c r="H21" s="58" t="inlineStr">
        <is>
          <t>Skin Nourishment</t>
        </is>
      </c>
      <c r="I21" s="58" t="inlineStr">
        <is>
          <t>Aloe Vera Gel</t>
        </is>
      </c>
      <c r="J21" s="58" t="inlineStr">
        <is>
          <t>100 ml</t>
        </is>
      </c>
      <c r="K21" s="58" t="n">
        <v>9.99</v>
      </c>
      <c r="L21" s="58" t="inlineStr">
        <is>
          <t>vilvah aloe vera gel</t>
        </is>
      </c>
      <c r="M21" s="58" t="inlineStr">
        <is>
          <t>vilvah aloe vera gel uk</t>
        </is>
      </c>
      <c r="N21" s="58" t="inlineStr">
        <is>
          <t>buy vilvah aloe vera gel online</t>
        </is>
      </c>
      <c r="O21" s="58" t="inlineStr">
        <is>
          <t>vilvah aloe vera gel price</t>
        </is>
      </c>
      <c r="P21" s="58" t="n"/>
      <c r="Q21" s="59">
        <f>IF(L21="","",IFERROR(INDEX('Semrush Data'!$A$1:$Z$20000,MATCH(L21,'Semrush Data'!$A$1:$A$20000,0),MATCH("Volume",'Semrush Data'!$A$1:$Z$1,0)),""))</f>
        <v/>
      </c>
      <c r="R21" s="59">
        <f>IF(M21="","",IFERROR(INDEX('Semrush Data'!$A$1:$Z$20000,MATCH(M21,'Semrush Data'!$A$1:$A$20000,0),MATCH("Volume",'Semrush Data'!$A$1:$Z$1,0)),""))</f>
        <v/>
      </c>
      <c r="S21" s="59">
        <f>IF(N21="","",IFERROR(INDEX('Semrush Data'!$A$1:$Z$20000,MATCH(N21,'Semrush Data'!$A$1:$A$20000,0),MATCH("Volume",'Semrush Data'!$A$1:$Z$1,0)),""))</f>
        <v/>
      </c>
      <c r="T21" s="59">
        <f>IF(O21="","",IFERROR(INDEX('Semrush Data'!$A$1:$Z$20000,MATCH(O21,'Semrush Data'!$A$1:$A$20000,0),MATCH("Volume",'Semrush Data'!$A$1:$Z$1,0)),""))</f>
        <v/>
      </c>
      <c r="U21" s="59">
        <f>IF(P21="","",IFERROR(INDEX('Semrush Data'!$A$1:$Z$20000,MATCH(P21,'Semrush Data'!$A$1:$A$20000,0),MATCH("Volume",'Semrush Data'!$A$1:$Z$1,0)),""))</f>
        <v/>
      </c>
      <c r="V21" s="60">
        <f>IF(COUNT(Q21:U21)=0,L21,IF(MAX(Q21:U21)=0,L21,INDEX(L21:P21,MATCH(MAX(Q21:U21),Q21:U21,0))))</f>
        <v/>
      </c>
      <c r="W21" s="59">
        <f>IFERROR(INDEX('Semrush Data'!$A$1:$Z$20000,MATCH(V21,'Semrush Data'!$A$1:$A$20000,0),MATCH("Volume",'Semrush Data'!$A$1:$Z$1,0)),"")</f>
        <v/>
      </c>
      <c r="X21" s="59">
        <f>IFERROR(INDEX('Semrush Data'!$A$1:$Z$20000,MATCH(V21,'Semrush Data'!$A$1:$A$20000,0),MATCH("Keyword Difficulty*",'Semrush Data'!$A$1:$Z$1,0)),"")</f>
        <v/>
      </c>
      <c r="Y21" s="61">
        <f>IFERROR(INDEX('Semrush Data'!$A$1:$Z$20000,MATCH(V21,'Semrush Data'!$A$1:$A$20000,0),MATCH("CPC*",'Semrush Data'!$A$1:$Z$1,0)),"")</f>
        <v/>
      </c>
      <c r="Z21" s="58" t="inlineStr">
        <is>
          <t>vilvah moisturiser · moisturiser for skin nourishment · natural moisturiser uk</t>
        </is>
      </c>
      <c r="AA21" s="58" t="inlineStr">
        <is>
          <t>vilvah aloe vera gel review · vilvah aloe vera gel ingredients · vilvah aloe vera gel benefits · vilvah aloe vera gel price · vilvah aloe vera gel how to use · vilvah aloe vera gel india</t>
        </is>
      </c>
      <c r="AB21" s="58" t="inlineStr">
        <is>
          <t>Vilvah Aloe Vera Gel</t>
        </is>
      </c>
      <c r="AC21" s="58" t="inlineStr">
        <is>
          <t>Vilvah Aloe Vera Gel 100ml | Buy Online UK | Swansura</t>
        </is>
      </c>
      <c r="AD21" s="58">
        <f>LEN(AC21)</f>
        <v/>
      </c>
      <c r="AE21" s="58" t="inlineStr">
        <is>
          <t>Buy Vilvah Aloe Vera Gel online at Swansura, official UK partner of Vilvah. A natural moisturiser for nourished skin. 100% authentic, free UK delivery over £50.</t>
        </is>
      </c>
      <c r="AF21" s="58">
        <f>LEN(AE21)</f>
        <v/>
      </c>
    </row>
    <row r="22" ht="15" customHeight="1" s="37">
      <c r="A22" s="58" t="inlineStr">
        <is>
          <t>VD-021</t>
        </is>
      </c>
      <c r="B22" s="58" t="inlineStr">
        <is>
          <t>Vilvah &amp; Deyga</t>
        </is>
      </c>
      <c r="C22" s="58" t="n">
        <v>21</v>
      </c>
      <c r="D22" s="58" t="inlineStr">
        <is>
          <t>Vilvah</t>
        </is>
      </c>
      <c r="E22" s="58" t="n"/>
      <c r="F22" s="58" t="inlineStr">
        <is>
          <t>Haircare</t>
        </is>
      </c>
      <c r="G22" s="58" t="inlineStr">
        <is>
          <t>Hair Oil</t>
        </is>
      </c>
      <c r="H22" s="58" t="inlineStr">
        <is>
          <t>Anti-Dandruff</t>
        </is>
      </c>
      <c r="I22" s="58" t="inlineStr">
        <is>
          <t>Anti-dandruff Hair oil</t>
        </is>
      </c>
      <c r="J22" s="58" t="inlineStr">
        <is>
          <t>100 ml</t>
        </is>
      </c>
      <c r="K22" s="58" t="n">
        <v>19.99</v>
      </c>
      <c r="L22" s="58" t="inlineStr">
        <is>
          <t>vilvah anti-dandruff hair oil</t>
        </is>
      </c>
      <c r="M22" s="58" t="inlineStr">
        <is>
          <t>vilvah anti-dandruff hair oil uk</t>
        </is>
      </c>
      <c r="N22" s="58" t="inlineStr">
        <is>
          <t>buy vilvah anti-dandruff hair oil online</t>
        </is>
      </c>
      <c r="O22" s="58" t="inlineStr">
        <is>
          <t>vilvah anti-dandruff hair oil price</t>
        </is>
      </c>
      <c r="P22" s="58" t="n"/>
      <c r="Q22" s="59">
        <f>IF(L22="","",IFERROR(INDEX('Semrush Data'!$A$1:$Z$20000,MATCH(L22,'Semrush Data'!$A$1:$A$20000,0),MATCH("Volume",'Semrush Data'!$A$1:$Z$1,0)),""))</f>
        <v/>
      </c>
      <c r="R22" s="59">
        <f>IF(M22="","",IFERROR(INDEX('Semrush Data'!$A$1:$Z$20000,MATCH(M22,'Semrush Data'!$A$1:$A$20000,0),MATCH("Volume",'Semrush Data'!$A$1:$Z$1,0)),""))</f>
        <v/>
      </c>
      <c r="S22" s="59">
        <f>IF(N22="","",IFERROR(INDEX('Semrush Data'!$A$1:$Z$20000,MATCH(N22,'Semrush Data'!$A$1:$A$20000,0),MATCH("Volume",'Semrush Data'!$A$1:$Z$1,0)),""))</f>
        <v/>
      </c>
      <c r="T22" s="59">
        <f>IF(O22="","",IFERROR(INDEX('Semrush Data'!$A$1:$Z$20000,MATCH(O22,'Semrush Data'!$A$1:$A$20000,0),MATCH("Volume",'Semrush Data'!$A$1:$Z$1,0)),""))</f>
        <v/>
      </c>
      <c r="U22" s="59">
        <f>IF(P22="","",IFERROR(INDEX('Semrush Data'!$A$1:$Z$20000,MATCH(P22,'Semrush Data'!$A$1:$A$20000,0),MATCH("Volume",'Semrush Data'!$A$1:$Z$1,0)),""))</f>
        <v/>
      </c>
      <c r="V22" s="60">
        <f>IF(COUNT(Q22:U22)=0,L22,IF(MAX(Q22:U22)=0,L22,INDEX(L22:P22,MATCH(MAX(Q22:U22),Q22:U22,0))))</f>
        <v/>
      </c>
      <c r="W22" s="59">
        <f>IFERROR(INDEX('Semrush Data'!$A$1:$Z$20000,MATCH(V22,'Semrush Data'!$A$1:$A$20000,0),MATCH("Volume",'Semrush Data'!$A$1:$Z$1,0)),"")</f>
        <v/>
      </c>
      <c r="X22" s="59">
        <f>IFERROR(INDEX('Semrush Data'!$A$1:$Z$20000,MATCH(V22,'Semrush Data'!$A$1:$A$20000,0),MATCH("Keyword Difficulty*",'Semrush Data'!$A$1:$Z$1,0)),"")</f>
        <v/>
      </c>
      <c r="Y22" s="61">
        <f>IFERROR(INDEX('Semrush Data'!$A$1:$Z$20000,MATCH(V22,'Semrush Data'!$A$1:$A$20000,0),MATCH("CPC*",'Semrush Data'!$A$1:$Z$1,0)),"")</f>
        <v/>
      </c>
      <c r="Z22" s="58" t="inlineStr">
        <is>
          <t>vilvah hair oil · hair oil for dandruff · natural hair oil uk</t>
        </is>
      </c>
      <c r="AA22" s="58" t="inlineStr">
        <is>
          <t>vilvah anti dandruff hair oil review · vilvah anti dandruff oil review</t>
        </is>
      </c>
      <c r="AB22" s="58" t="inlineStr">
        <is>
          <t>Vilvah Anti-dandruff Hair Oil</t>
        </is>
      </c>
      <c r="AC22" s="58" t="inlineStr">
        <is>
          <t>Vilvah Anti-dandruff Hair Oil | Buy Online UK | Swansura</t>
        </is>
      </c>
      <c r="AD22" s="58">
        <f>LEN(AC22)</f>
        <v/>
      </c>
      <c r="AE22" s="58" t="inlineStr">
        <is>
          <t>Buy Vilvah Anti-dandruff Hair Oil online in the UK at Swansura, official UK partner of Vilvah. Natural hair oil. 100% authentic, free UK delivery over £50.</t>
        </is>
      </c>
      <c r="AF22" s="58">
        <f>LEN(AE22)</f>
        <v/>
      </c>
    </row>
    <row r="23" ht="15" customHeight="1" s="37">
      <c r="A23" s="58" t="inlineStr">
        <is>
          <t>VD-022</t>
        </is>
      </c>
      <c r="B23" s="58" t="inlineStr">
        <is>
          <t>Vilvah &amp; Deyga</t>
        </is>
      </c>
      <c r="C23" s="58" t="n">
        <v>22</v>
      </c>
      <c r="D23" s="58" t="inlineStr">
        <is>
          <t>Vilvah</t>
        </is>
      </c>
      <c r="E23" s="58" t="n"/>
      <c r="F23" s="58" t="inlineStr">
        <is>
          <t>Haircare</t>
        </is>
      </c>
      <c r="G23" s="58" t="inlineStr">
        <is>
          <t>Hair Serums</t>
        </is>
      </c>
      <c r="H23" s="58" t="inlineStr">
        <is>
          <t>Frizzy Hair</t>
        </is>
      </c>
      <c r="I23" s="58" t="inlineStr">
        <is>
          <t>Anti-Frizz Hair Serum</t>
        </is>
      </c>
      <c r="J23" s="58" t="inlineStr">
        <is>
          <t>30 ml</t>
        </is>
      </c>
      <c r="K23" s="58" t="n">
        <v>29.99</v>
      </c>
      <c r="L23" s="58" t="inlineStr">
        <is>
          <t>vilvah anti-frizz hair serum</t>
        </is>
      </c>
      <c r="M23" s="58" t="inlineStr">
        <is>
          <t>vilvah anti-frizz hair serum uk</t>
        </is>
      </c>
      <c r="N23" s="58" t="inlineStr">
        <is>
          <t>buy vilvah anti-frizz hair serum online</t>
        </is>
      </c>
      <c r="O23" s="58" t="inlineStr">
        <is>
          <t>vilvah anti-frizz hair serum price</t>
        </is>
      </c>
      <c r="P23" s="58" t="n"/>
      <c r="Q23" s="59">
        <f>IF(L23="","",IFERROR(INDEX('Semrush Data'!$A$1:$Z$20000,MATCH(L23,'Semrush Data'!$A$1:$A$20000,0),MATCH("Volume",'Semrush Data'!$A$1:$Z$1,0)),""))</f>
        <v/>
      </c>
      <c r="R23" s="59">
        <f>IF(M23="","",IFERROR(INDEX('Semrush Data'!$A$1:$Z$20000,MATCH(M23,'Semrush Data'!$A$1:$A$20000,0),MATCH("Volume",'Semrush Data'!$A$1:$Z$1,0)),""))</f>
        <v/>
      </c>
      <c r="S23" s="59">
        <f>IF(N23="","",IFERROR(INDEX('Semrush Data'!$A$1:$Z$20000,MATCH(N23,'Semrush Data'!$A$1:$A$20000,0),MATCH("Volume",'Semrush Data'!$A$1:$Z$1,0)),""))</f>
        <v/>
      </c>
      <c r="T23" s="59">
        <f>IF(O23="","",IFERROR(INDEX('Semrush Data'!$A$1:$Z$20000,MATCH(O23,'Semrush Data'!$A$1:$A$20000,0),MATCH("Volume",'Semrush Data'!$A$1:$Z$1,0)),""))</f>
        <v/>
      </c>
      <c r="U23" s="59">
        <f>IF(P23="","",IFERROR(INDEX('Semrush Data'!$A$1:$Z$20000,MATCH(P23,'Semrush Data'!$A$1:$A$20000,0),MATCH("Volume",'Semrush Data'!$A$1:$Z$1,0)),""))</f>
        <v/>
      </c>
      <c r="V23" s="60">
        <f>IF(COUNT(Q23:U23)=0,L23,IF(MAX(Q23:U23)=0,L23,INDEX(L23:P23,MATCH(MAX(Q23:U23),Q23:U23,0))))</f>
        <v/>
      </c>
      <c r="W23" s="59">
        <f>IFERROR(INDEX('Semrush Data'!$A$1:$Z$20000,MATCH(V23,'Semrush Data'!$A$1:$A$20000,0),MATCH("Volume",'Semrush Data'!$A$1:$Z$1,0)),"")</f>
        <v/>
      </c>
      <c r="X23" s="59">
        <f>IFERROR(INDEX('Semrush Data'!$A$1:$Z$20000,MATCH(V23,'Semrush Data'!$A$1:$A$20000,0),MATCH("Keyword Difficulty*",'Semrush Data'!$A$1:$Z$1,0)),"")</f>
        <v/>
      </c>
      <c r="Y23" s="61">
        <f>IFERROR(INDEX('Semrush Data'!$A$1:$Z$20000,MATCH(V23,'Semrush Data'!$A$1:$A$20000,0),MATCH("CPC*",'Semrush Data'!$A$1:$Z$1,0)),"")</f>
        <v/>
      </c>
      <c r="Z23" s="58" t="inlineStr">
        <is>
          <t>vilvah hair serum · hair serum for frizzy hair · natural hair serum uk</t>
        </is>
      </c>
      <c r="AA23" s="58" t="inlineStr">
        <is>
          <t>vilvah anti frizz hair serum review · vilvah anti frizz hair serum price · how to use vilvah anti frizz hair serum</t>
        </is>
      </c>
      <c r="AB23" s="58" t="inlineStr">
        <is>
          <t>Vilvah Anti-Frizz Hair Serum</t>
        </is>
      </c>
      <c r="AC23" s="58" t="inlineStr">
        <is>
          <t>Vilvah Anti-Frizz Hair Serum | Buy Online UK | Swansura</t>
        </is>
      </c>
      <c r="AD23" s="58">
        <f>LEN(AC23)</f>
        <v/>
      </c>
      <c r="AE23" s="58" t="inlineStr">
        <is>
          <t>Buy Vilvah Anti-Frizz Hair Serum online in the UK at Swansura, official UK partner of Vilvah. A natural hair serum for frizzy hair. Free UK delivery over £50.</t>
        </is>
      </c>
      <c r="AF23" s="58">
        <f>LEN(AE23)</f>
        <v/>
      </c>
    </row>
    <row r="24" ht="15" customHeight="1" s="37">
      <c r="A24" s="58" t="inlineStr">
        <is>
          <t>VD-023</t>
        </is>
      </c>
      <c r="B24" s="58" t="inlineStr">
        <is>
          <t>Vilvah &amp; Deyga</t>
        </is>
      </c>
      <c r="C24" s="58" t="n">
        <v>23</v>
      </c>
      <c r="D24" s="58" t="inlineStr">
        <is>
          <t>Vilvah</t>
        </is>
      </c>
      <c r="E24" s="58" t="n"/>
      <c r="F24" s="58" t="inlineStr">
        <is>
          <t>Skincare</t>
        </is>
      </c>
      <c r="G24" s="58" t="inlineStr">
        <is>
          <t>Serums</t>
        </is>
      </c>
      <c r="H24" s="58" t="inlineStr">
        <is>
          <t>Anti-Ageing</t>
        </is>
      </c>
      <c r="I24" s="58" t="inlineStr">
        <is>
          <t>Better Ageing Serum</t>
        </is>
      </c>
      <c r="J24" s="58" t="inlineStr">
        <is>
          <t>20 ml</t>
        </is>
      </c>
      <c r="K24" s="58" t="n">
        <v>28.99</v>
      </c>
      <c r="L24" s="58" t="inlineStr">
        <is>
          <t>vilvah better ageing serum</t>
        </is>
      </c>
      <c r="M24" s="58" t="inlineStr">
        <is>
          <t>vilvah better ageing serum uk</t>
        </is>
      </c>
      <c r="N24" s="58" t="inlineStr">
        <is>
          <t>buy vilvah better ageing serum online</t>
        </is>
      </c>
      <c r="O24" s="58" t="inlineStr">
        <is>
          <t>vilvah better ageing serum price</t>
        </is>
      </c>
      <c r="P24" s="58" t="n"/>
      <c r="Q24" s="59">
        <f>IF(L24="","",IFERROR(INDEX('Semrush Data'!$A$1:$Z$20000,MATCH(L24,'Semrush Data'!$A$1:$A$20000,0),MATCH("Volume",'Semrush Data'!$A$1:$Z$1,0)),""))</f>
        <v/>
      </c>
      <c r="R24" s="59">
        <f>IF(M24="","",IFERROR(INDEX('Semrush Data'!$A$1:$Z$20000,MATCH(M24,'Semrush Data'!$A$1:$A$20000,0),MATCH("Volume",'Semrush Data'!$A$1:$Z$1,0)),""))</f>
        <v/>
      </c>
      <c r="S24" s="59">
        <f>IF(N24="","",IFERROR(INDEX('Semrush Data'!$A$1:$Z$20000,MATCH(N24,'Semrush Data'!$A$1:$A$20000,0),MATCH("Volume",'Semrush Data'!$A$1:$Z$1,0)),""))</f>
        <v/>
      </c>
      <c r="T24" s="59">
        <f>IF(O24="","",IFERROR(INDEX('Semrush Data'!$A$1:$Z$20000,MATCH(O24,'Semrush Data'!$A$1:$A$20000,0),MATCH("Volume",'Semrush Data'!$A$1:$Z$1,0)),""))</f>
        <v/>
      </c>
      <c r="U24" s="59">
        <f>IF(P24="","",IFERROR(INDEX('Semrush Data'!$A$1:$Z$20000,MATCH(P24,'Semrush Data'!$A$1:$A$20000,0),MATCH("Volume",'Semrush Data'!$A$1:$Z$1,0)),""))</f>
        <v/>
      </c>
      <c r="V24" s="60">
        <f>IF(COUNT(Q24:U24)=0,L24,IF(MAX(Q24:U24)=0,L24,INDEX(L24:P24,MATCH(MAX(Q24:U24),Q24:U24,0))))</f>
        <v/>
      </c>
      <c r="W24" s="59">
        <f>IFERROR(INDEX('Semrush Data'!$A$1:$Z$20000,MATCH(V24,'Semrush Data'!$A$1:$A$20000,0),MATCH("Volume",'Semrush Data'!$A$1:$Z$1,0)),"")</f>
        <v/>
      </c>
      <c r="X24" s="59">
        <f>IFERROR(INDEX('Semrush Data'!$A$1:$Z$20000,MATCH(V24,'Semrush Data'!$A$1:$A$20000,0),MATCH("Keyword Difficulty*",'Semrush Data'!$A$1:$Z$1,0)),"")</f>
        <v/>
      </c>
      <c r="Y24" s="61">
        <f>IFERROR(INDEX('Semrush Data'!$A$1:$Z$20000,MATCH(V24,'Semrush Data'!$A$1:$A$20000,0),MATCH("CPC*",'Semrush Data'!$A$1:$Z$1,0)),"")</f>
        <v/>
      </c>
      <c r="Z24" s="58" t="inlineStr">
        <is>
          <t>vilvah face serum · face serum for anti ageing · natural face serum uk</t>
        </is>
      </c>
      <c r="AA24" s="58" t="inlineStr">
        <is>
          <t>vilvah better ageing serum review</t>
        </is>
      </c>
      <c r="AB24" s="58" t="inlineStr">
        <is>
          <t>Vilvah Better Ageing Serum</t>
        </is>
      </c>
      <c r="AC24" s="58" t="inlineStr">
        <is>
          <t>Vilvah Better Ageing Serum | Buy Online UK | Swansura</t>
        </is>
      </c>
      <c r="AD24" s="58">
        <f>LEN(AC24)</f>
        <v/>
      </c>
      <c r="AE24" s="58" t="inlineStr">
        <is>
          <t>Buy Vilvah Better Ageing Serum online at Swansura, official UK partner of Vilvah. A natural serum for ageing skin. 100% authentic, free UK delivery over £50.</t>
        </is>
      </c>
      <c r="AF24" s="58">
        <f>LEN(AE24)</f>
        <v/>
      </c>
    </row>
    <row r="25" ht="15" customHeight="1" s="37">
      <c r="A25" s="58" t="inlineStr">
        <is>
          <t>VD-024</t>
        </is>
      </c>
      <c r="B25" s="58" t="inlineStr">
        <is>
          <t>Vilvah &amp; Deyga</t>
        </is>
      </c>
      <c r="C25" s="58" t="n">
        <v>24</v>
      </c>
      <c r="D25" s="58" t="inlineStr">
        <is>
          <t>Vilvah</t>
        </is>
      </c>
      <c r="E25" s="58" t="n"/>
      <c r="F25" s="58" t="inlineStr">
        <is>
          <t>Skincare</t>
        </is>
      </c>
      <c r="G25" s="58" t="inlineStr">
        <is>
          <t>Face Masks</t>
        </is>
      </c>
      <c r="H25" s="58" t="inlineStr">
        <is>
          <t>Oily Skin</t>
        </is>
      </c>
      <c r="I25" s="58" t="inlineStr">
        <is>
          <t>Charcoal Facemask</t>
        </is>
      </c>
      <c r="J25" s="58" t="inlineStr">
        <is>
          <t>100 ml</t>
        </is>
      </c>
      <c r="K25" s="58" t="n">
        <v>12.99</v>
      </c>
      <c r="L25" s="58" t="inlineStr">
        <is>
          <t>vilvah charcoal facemask</t>
        </is>
      </c>
      <c r="M25" s="58" t="inlineStr">
        <is>
          <t>vilvah charcoal facemask uk</t>
        </is>
      </c>
      <c r="N25" s="58" t="inlineStr">
        <is>
          <t>buy vilvah charcoal facemask online</t>
        </is>
      </c>
      <c r="O25" s="58" t="inlineStr">
        <is>
          <t>vilvah charcoal facemask price</t>
        </is>
      </c>
      <c r="P25" s="58" t="n"/>
      <c r="Q25" s="59">
        <f>IF(L25="","",IFERROR(INDEX('Semrush Data'!$A$1:$Z$20000,MATCH(L25,'Semrush Data'!$A$1:$A$20000,0),MATCH("Volume",'Semrush Data'!$A$1:$Z$1,0)),""))</f>
        <v/>
      </c>
      <c r="R25" s="59">
        <f>IF(M25="","",IFERROR(INDEX('Semrush Data'!$A$1:$Z$20000,MATCH(M25,'Semrush Data'!$A$1:$A$20000,0),MATCH("Volume",'Semrush Data'!$A$1:$Z$1,0)),""))</f>
        <v/>
      </c>
      <c r="S25" s="59">
        <f>IF(N25="","",IFERROR(INDEX('Semrush Data'!$A$1:$Z$20000,MATCH(N25,'Semrush Data'!$A$1:$A$20000,0),MATCH("Volume",'Semrush Data'!$A$1:$Z$1,0)),""))</f>
        <v/>
      </c>
      <c r="T25" s="59">
        <f>IF(O25="","",IFERROR(INDEX('Semrush Data'!$A$1:$Z$20000,MATCH(O25,'Semrush Data'!$A$1:$A$20000,0),MATCH("Volume",'Semrush Data'!$A$1:$Z$1,0)),""))</f>
        <v/>
      </c>
      <c r="U25" s="59">
        <f>IF(P25="","",IFERROR(INDEX('Semrush Data'!$A$1:$Z$20000,MATCH(P25,'Semrush Data'!$A$1:$A$20000,0),MATCH("Volume",'Semrush Data'!$A$1:$Z$1,0)),""))</f>
        <v/>
      </c>
      <c r="V25" s="60">
        <f>IF(COUNT(Q25:U25)=0,L25,IF(MAX(Q25:U25)=0,L25,INDEX(L25:P25,MATCH(MAX(Q25:U25),Q25:U25,0))))</f>
        <v/>
      </c>
      <c r="W25" s="59">
        <f>IFERROR(INDEX('Semrush Data'!$A$1:$Z$20000,MATCH(V25,'Semrush Data'!$A$1:$A$20000,0),MATCH("Volume",'Semrush Data'!$A$1:$Z$1,0)),"")</f>
        <v/>
      </c>
      <c r="X25" s="59">
        <f>IFERROR(INDEX('Semrush Data'!$A$1:$Z$20000,MATCH(V25,'Semrush Data'!$A$1:$A$20000,0),MATCH("Keyword Difficulty*",'Semrush Data'!$A$1:$Z$1,0)),"")</f>
        <v/>
      </c>
      <c r="Y25" s="61">
        <f>IFERROR(INDEX('Semrush Data'!$A$1:$Z$20000,MATCH(V25,'Semrush Data'!$A$1:$A$20000,0),MATCH("CPC*",'Semrush Data'!$A$1:$Z$1,0)),"")</f>
        <v/>
      </c>
      <c r="Z25" s="58" t="inlineStr">
        <is>
          <t>vilvah face mask · face mask for oily skin · natural face mask uk</t>
        </is>
      </c>
      <c r="AA25" s="58" t="n"/>
      <c r="AB25" s="58" t="inlineStr">
        <is>
          <t>Vilvah Charcoal Facemask</t>
        </is>
      </c>
      <c r="AC25" s="58" t="inlineStr">
        <is>
          <t>Vilvah Charcoal Facemask | Buy Online UK | Swansura</t>
        </is>
      </c>
      <c r="AD25" s="58">
        <f>LEN(AC25)</f>
        <v/>
      </c>
      <c r="AE25" s="58" t="inlineStr">
        <is>
          <t>Buy Vilvah Charcoal Facemask online at Swansura, official UK partner of Vilvah. Natural face mask. 100% authentic, shipped from the UK, free delivery over £50.</t>
        </is>
      </c>
      <c r="AF25" s="58">
        <f>LEN(AE25)</f>
        <v/>
      </c>
    </row>
    <row r="26" ht="15" customHeight="1" s="37">
      <c r="A26" s="58" t="inlineStr">
        <is>
          <t>VD-025</t>
        </is>
      </c>
      <c r="B26" s="58" t="inlineStr">
        <is>
          <t>Vilvah &amp; Deyga</t>
        </is>
      </c>
      <c r="C26" s="58" t="n">
        <v>25</v>
      </c>
      <c r="D26" s="58" t="inlineStr">
        <is>
          <t>Vilvah</t>
        </is>
      </c>
      <c r="E26" s="58" t="n"/>
      <c r="F26" s="58" t="inlineStr">
        <is>
          <t>Bodycare</t>
        </is>
      </c>
      <c r="G26" s="58" t="inlineStr">
        <is>
          <t>Body Cream &amp; Lotions</t>
        </is>
      </c>
      <c r="H26" s="58" t="inlineStr">
        <is>
          <t>Dry Skin</t>
        </is>
      </c>
      <c r="I26" s="58" t="inlineStr">
        <is>
          <t>Cookie n Cream Body Mask</t>
        </is>
      </c>
      <c r="J26" s="58" t="inlineStr">
        <is>
          <t>200 ml</t>
        </is>
      </c>
      <c r="K26" s="58" t="n">
        <v>22.99</v>
      </c>
      <c r="L26" s="58" t="inlineStr">
        <is>
          <t>vilvah cookie n cream body mask</t>
        </is>
      </c>
      <c r="M26" s="58" t="inlineStr">
        <is>
          <t>vilvah cookie n cream body mask uk</t>
        </is>
      </c>
      <c r="N26" s="58" t="inlineStr">
        <is>
          <t>buy vilvah cookie n cream body mask online</t>
        </is>
      </c>
      <c r="O26" s="58" t="inlineStr">
        <is>
          <t>vilvah cookie n cream body mask price</t>
        </is>
      </c>
      <c r="P26" s="58" t="n"/>
      <c r="Q26" s="59">
        <f>IF(L26="","",IFERROR(INDEX('Semrush Data'!$A$1:$Z$20000,MATCH(L26,'Semrush Data'!$A$1:$A$20000,0),MATCH("Volume",'Semrush Data'!$A$1:$Z$1,0)),""))</f>
        <v/>
      </c>
      <c r="R26" s="59">
        <f>IF(M26="","",IFERROR(INDEX('Semrush Data'!$A$1:$Z$20000,MATCH(M26,'Semrush Data'!$A$1:$A$20000,0),MATCH("Volume",'Semrush Data'!$A$1:$Z$1,0)),""))</f>
        <v/>
      </c>
      <c r="S26" s="59">
        <f>IF(N26="","",IFERROR(INDEX('Semrush Data'!$A$1:$Z$20000,MATCH(N26,'Semrush Data'!$A$1:$A$20000,0),MATCH("Volume",'Semrush Data'!$A$1:$Z$1,0)),""))</f>
        <v/>
      </c>
      <c r="T26" s="59">
        <f>IF(O26="","",IFERROR(INDEX('Semrush Data'!$A$1:$Z$20000,MATCH(O26,'Semrush Data'!$A$1:$A$20000,0),MATCH("Volume",'Semrush Data'!$A$1:$Z$1,0)),""))</f>
        <v/>
      </c>
      <c r="U26" s="59">
        <f>IF(P26="","",IFERROR(INDEX('Semrush Data'!$A$1:$Z$20000,MATCH(P26,'Semrush Data'!$A$1:$A$20000,0),MATCH("Volume",'Semrush Data'!$A$1:$Z$1,0)),""))</f>
        <v/>
      </c>
      <c r="V26" s="60">
        <f>IF(COUNT(Q26:U26)=0,L26,IF(MAX(Q26:U26)=0,L26,INDEX(L26:P26,MATCH(MAX(Q26:U26),Q26:U26,0))))</f>
        <v/>
      </c>
      <c r="W26" s="59">
        <f>IFERROR(INDEX('Semrush Data'!$A$1:$Z$20000,MATCH(V26,'Semrush Data'!$A$1:$A$20000,0),MATCH("Volume",'Semrush Data'!$A$1:$Z$1,0)),"")</f>
        <v/>
      </c>
      <c r="X26" s="59">
        <f>IFERROR(INDEX('Semrush Data'!$A$1:$Z$20000,MATCH(V26,'Semrush Data'!$A$1:$A$20000,0),MATCH("Keyword Difficulty*",'Semrush Data'!$A$1:$Z$1,0)),"")</f>
        <v/>
      </c>
      <c r="Y26" s="61">
        <f>IFERROR(INDEX('Semrush Data'!$A$1:$Z$20000,MATCH(V26,'Semrush Data'!$A$1:$A$20000,0),MATCH("CPC*",'Semrush Data'!$A$1:$Z$1,0)),"")</f>
        <v/>
      </c>
      <c r="Z26" s="58" t="inlineStr">
        <is>
          <t>vilvah body lotion · body lotion for dry skin · natural body lotion uk</t>
        </is>
      </c>
      <c r="AA26" s="58" t="n"/>
      <c r="AB26" s="58" t="inlineStr">
        <is>
          <t>Vilvah Cookie N Cream Body Mask</t>
        </is>
      </c>
      <c r="AC26" s="58" t="inlineStr">
        <is>
          <t>Vilvah Cookie N Cream Body Mask | Buy Online UK | Swansura</t>
        </is>
      </c>
      <c r="AD26" s="58">
        <f>LEN(AC26)</f>
        <v/>
      </c>
      <c r="AE26" s="58" t="inlineStr">
        <is>
          <t>Buy Vilvah Cookie N Cream Body Mask online in the UK at Swansura, official UK partner of Vilvah. Natural body lotion. 100% authentic, free UK delivery over £50.</t>
        </is>
      </c>
      <c r="AF26" s="58">
        <f>LEN(AE26)</f>
        <v/>
      </c>
    </row>
    <row r="27" ht="15" customHeight="1" s="37">
      <c r="A27" s="58" t="inlineStr">
        <is>
          <t>VD-026</t>
        </is>
      </c>
      <c r="B27" s="58" t="inlineStr">
        <is>
          <t>Vilvah &amp; Deyga</t>
        </is>
      </c>
      <c r="C27" s="58" t="n">
        <v>26</v>
      </c>
      <c r="D27" s="58" t="inlineStr">
        <is>
          <t>Vilvah</t>
        </is>
      </c>
      <c r="E27" s="58" t="n"/>
      <c r="F27" s="58" t="inlineStr">
        <is>
          <t>Bodycare</t>
        </is>
      </c>
      <c r="G27" s="58" t="inlineStr">
        <is>
          <t>Body Scrub &amp; Exfoliators</t>
        </is>
      </c>
      <c r="H27" s="58" t="inlineStr">
        <is>
          <t>Dull Skin</t>
        </is>
      </c>
      <c r="I27" s="58" t="inlineStr">
        <is>
          <t>Cookie n Cream Body Polish</t>
        </is>
      </c>
      <c r="J27" s="58" t="inlineStr">
        <is>
          <t>200 ml</t>
        </is>
      </c>
      <c r="K27" s="58" t="n">
        <v>22.99</v>
      </c>
      <c r="L27" s="58" t="inlineStr">
        <is>
          <t>vilvah cookie n cream body polish</t>
        </is>
      </c>
      <c r="M27" s="58" t="inlineStr">
        <is>
          <t>vilvah cookie n cream body polish uk</t>
        </is>
      </c>
      <c r="N27" s="58" t="inlineStr">
        <is>
          <t>buy vilvah cookie n cream body polish online</t>
        </is>
      </c>
      <c r="O27" s="58" t="inlineStr">
        <is>
          <t>vilvah cookie n cream body polish price</t>
        </is>
      </c>
      <c r="P27" s="58" t="n"/>
      <c r="Q27" s="59">
        <f>IF(L27="","",IFERROR(INDEX('Semrush Data'!$A$1:$Z$20000,MATCH(L27,'Semrush Data'!$A$1:$A$20000,0),MATCH("Volume",'Semrush Data'!$A$1:$Z$1,0)),""))</f>
        <v/>
      </c>
      <c r="R27" s="59">
        <f>IF(M27="","",IFERROR(INDEX('Semrush Data'!$A$1:$Z$20000,MATCH(M27,'Semrush Data'!$A$1:$A$20000,0),MATCH("Volume",'Semrush Data'!$A$1:$Z$1,0)),""))</f>
        <v/>
      </c>
      <c r="S27" s="59">
        <f>IF(N27="","",IFERROR(INDEX('Semrush Data'!$A$1:$Z$20000,MATCH(N27,'Semrush Data'!$A$1:$A$20000,0),MATCH("Volume",'Semrush Data'!$A$1:$Z$1,0)),""))</f>
        <v/>
      </c>
      <c r="T27" s="59">
        <f>IF(O27="","",IFERROR(INDEX('Semrush Data'!$A$1:$Z$20000,MATCH(O27,'Semrush Data'!$A$1:$A$20000,0),MATCH("Volume",'Semrush Data'!$A$1:$Z$1,0)),""))</f>
        <v/>
      </c>
      <c r="U27" s="59">
        <f>IF(P27="","",IFERROR(INDEX('Semrush Data'!$A$1:$Z$20000,MATCH(P27,'Semrush Data'!$A$1:$A$20000,0),MATCH("Volume",'Semrush Data'!$A$1:$Z$1,0)),""))</f>
        <v/>
      </c>
      <c r="V27" s="60">
        <f>IF(COUNT(Q27:U27)=0,L27,IF(MAX(Q27:U27)=0,L27,INDEX(L27:P27,MATCH(MAX(Q27:U27),Q27:U27,0))))</f>
        <v/>
      </c>
      <c r="W27" s="59">
        <f>IFERROR(INDEX('Semrush Data'!$A$1:$Z$20000,MATCH(V27,'Semrush Data'!$A$1:$A$20000,0),MATCH("Volume",'Semrush Data'!$A$1:$Z$1,0)),"")</f>
        <v/>
      </c>
      <c r="X27" s="59">
        <f>IFERROR(INDEX('Semrush Data'!$A$1:$Z$20000,MATCH(V27,'Semrush Data'!$A$1:$A$20000,0),MATCH("Keyword Difficulty*",'Semrush Data'!$A$1:$Z$1,0)),"")</f>
        <v/>
      </c>
      <c r="Y27" s="61">
        <f>IFERROR(INDEX('Semrush Data'!$A$1:$Z$20000,MATCH(V27,'Semrush Data'!$A$1:$A$20000,0),MATCH("CPC*",'Semrush Data'!$A$1:$Z$1,0)),"")</f>
        <v/>
      </c>
      <c r="Z27" s="58" t="inlineStr">
        <is>
          <t>vilvah body scrub · body scrub for dull skin · natural body scrub uk</t>
        </is>
      </c>
      <c r="AA27" s="58" t="n"/>
      <c r="AB27" s="58" t="inlineStr">
        <is>
          <t>Vilvah Cookie N Cream Body Polish</t>
        </is>
      </c>
      <c r="AC27" s="58" t="inlineStr">
        <is>
          <t>Vilvah Cookie N Cream Body Polish | Buy Online UK | Swansura</t>
        </is>
      </c>
      <c r="AD27" s="58">
        <f>LEN(AC27)</f>
        <v/>
      </c>
      <c r="AE27" s="58" t="inlineStr">
        <is>
          <t>Buy Vilvah Cookie N Cream Body Polish online in the UK at Swansura, official UK partner of Vilvah. 100% authentic, shipped from the UK, free delivery over £50.</t>
        </is>
      </c>
      <c r="AF27" s="58">
        <f>LEN(AE27)</f>
        <v/>
      </c>
    </row>
    <row r="28" ht="15" customHeight="1" s="37">
      <c r="A28" s="58" t="inlineStr">
        <is>
          <t>VD-027</t>
        </is>
      </c>
      <c r="B28" s="58" t="inlineStr">
        <is>
          <t>Vilvah &amp; Deyga</t>
        </is>
      </c>
      <c r="C28" s="58" t="n">
        <v>27</v>
      </c>
      <c r="D28" s="58" t="inlineStr">
        <is>
          <t>Vilvah</t>
        </is>
      </c>
      <c r="E28" s="58" t="n"/>
      <c r="F28" s="58" t="inlineStr">
        <is>
          <t>Skincare</t>
        </is>
      </c>
      <c r="G28" s="58" t="inlineStr">
        <is>
          <t>Cleansers</t>
        </is>
      </c>
      <c r="H28" s="58" t="inlineStr">
        <is>
          <t>Skin Nourishment</t>
        </is>
      </c>
      <c r="I28" s="58" t="inlineStr">
        <is>
          <t>Cream Face Wash (Fragrance free)</t>
        </is>
      </c>
      <c r="J28" s="58" t="inlineStr">
        <is>
          <t>100 ml</t>
        </is>
      </c>
      <c r="K28" s="58" t="n">
        <v>9.99</v>
      </c>
      <c r="L28" s="58" t="inlineStr">
        <is>
          <t>vilvah cream face wash (fragrance free)</t>
        </is>
      </c>
      <c r="M28" s="58" t="inlineStr">
        <is>
          <t>vilvah cream face wash (fragrance free) uk</t>
        </is>
      </c>
      <c r="N28" s="58" t="inlineStr">
        <is>
          <t>buy vilvah cream face wash (fragrance free) online</t>
        </is>
      </c>
      <c r="O28" s="58" t="inlineStr">
        <is>
          <t>vilvah cream face wash (fragrance free) price</t>
        </is>
      </c>
      <c r="P28" s="58" t="n"/>
      <c r="Q28" s="59">
        <f>IF(L28="","",IFERROR(INDEX('Semrush Data'!$A$1:$Z$20000,MATCH(L28,'Semrush Data'!$A$1:$A$20000,0),MATCH("Volume",'Semrush Data'!$A$1:$Z$1,0)),""))</f>
        <v/>
      </c>
      <c r="R28" s="59">
        <f>IF(M28="","",IFERROR(INDEX('Semrush Data'!$A$1:$Z$20000,MATCH(M28,'Semrush Data'!$A$1:$A$20000,0),MATCH("Volume",'Semrush Data'!$A$1:$Z$1,0)),""))</f>
        <v/>
      </c>
      <c r="S28" s="59">
        <f>IF(N28="","",IFERROR(INDEX('Semrush Data'!$A$1:$Z$20000,MATCH(N28,'Semrush Data'!$A$1:$A$20000,0),MATCH("Volume",'Semrush Data'!$A$1:$Z$1,0)),""))</f>
        <v/>
      </c>
      <c r="T28" s="59">
        <f>IF(O28="","",IFERROR(INDEX('Semrush Data'!$A$1:$Z$20000,MATCH(O28,'Semrush Data'!$A$1:$A$20000,0),MATCH("Volume",'Semrush Data'!$A$1:$Z$1,0)),""))</f>
        <v/>
      </c>
      <c r="U28" s="59">
        <f>IF(P28="","",IFERROR(INDEX('Semrush Data'!$A$1:$Z$20000,MATCH(P28,'Semrush Data'!$A$1:$A$20000,0),MATCH("Volume",'Semrush Data'!$A$1:$Z$1,0)),""))</f>
        <v/>
      </c>
      <c r="V28" s="60">
        <f>IF(COUNT(Q28:U28)=0,L28,IF(MAX(Q28:U28)=0,L28,INDEX(L28:P28,MATCH(MAX(Q28:U28),Q28:U28,0))))</f>
        <v/>
      </c>
      <c r="W28" s="59">
        <f>IFERROR(INDEX('Semrush Data'!$A$1:$Z$20000,MATCH(V28,'Semrush Data'!$A$1:$A$20000,0),MATCH("Volume",'Semrush Data'!$A$1:$Z$1,0)),"")</f>
        <v/>
      </c>
      <c r="X28" s="59">
        <f>IFERROR(INDEX('Semrush Data'!$A$1:$Z$20000,MATCH(V28,'Semrush Data'!$A$1:$A$20000,0),MATCH("Keyword Difficulty*",'Semrush Data'!$A$1:$Z$1,0)),"")</f>
        <v/>
      </c>
      <c r="Y28" s="61">
        <f>IFERROR(INDEX('Semrush Data'!$A$1:$Z$20000,MATCH(V28,'Semrush Data'!$A$1:$A$20000,0),MATCH("CPC*",'Semrush Data'!$A$1:$Z$1,0)),"")</f>
        <v/>
      </c>
      <c r="Z28" s="58" t="inlineStr">
        <is>
          <t>vilvah face wash · face wash for skin nourishment · natural face wash uk</t>
        </is>
      </c>
      <c r="AA28" s="58" t="n"/>
      <c r="AB28" s="58" t="inlineStr">
        <is>
          <t>Vilvah Cream Face Wash (Fragrance Free)</t>
        </is>
      </c>
      <c r="AC28" s="58" t="inlineStr">
        <is>
          <t>Vilvah Cream Face Wash (Fragrance Free) | Swansura UK</t>
        </is>
      </c>
      <c r="AD28" s="58">
        <f>LEN(AC28)</f>
        <v/>
      </c>
      <c r="AE28" s="58" t="inlineStr">
        <is>
          <t>Buy Vilvah Cream Face Wash (Fragrance Free) online at Swansura, official UK partner of Vilvah. Natural face wash. 100% authentic, free UK delivery over £50.</t>
        </is>
      </c>
      <c r="AF28" s="58">
        <f>LEN(AE28)</f>
        <v/>
      </c>
    </row>
    <row r="29" ht="15" customHeight="1" s="37">
      <c r="A29" s="58" t="inlineStr">
        <is>
          <t>VD-028</t>
        </is>
      </c>
      <c r="B29" s="58" t="inlineStr">
        <is>
          <t>Vilvah &amp; Deyga</t>
        </is>
      </c>
      <c r="C29" s="58" t="n">
        <v>28</v>
      </c>
      <c r="D29" s="58" t="inlineStr">
        <is>
          <t>Vilvah</t>
        </is>
      </c>
      <c r="E29" s="58" t="n"/>
      <c r="F29" s="58" t="inlineStr">
        <is>
          <t>Bodycare</t>
        </is>
      </c>
      <c r="G29" s="58" t="inlineStr">
        <is>
          <t>Bath &amp; Body Wash</t>
        </is>
      </c>
      <c r="H29" s="58" t="inlineStr">
        <is>
          <t>Body Cleansing</t>
        </is>
      </c>
      <c r="I29" s="58" t="inlineStr">
        <is>
          <t>Cucumber, Curd &amp; Mint Soap</t>
        </is>
      </c>
      <c r="J29" s="58" t="inlineStr">
        <is>
          <t>115 g</t>
        </is>
      </c>
      <c r="K29" s="58" t="n">
        <v>9.99</v>
      </c>
      <c r="L29" s="58" t="inlineStr">
        <is>
          <t>vilvah cucumber, curd &amp; mint soap</t>
        </is>
      </c>
      <c r="M29" s="58" t="inlineStr">
        <is>
          <t>vilvah cucumber, curd &amp; mint soap uk</t>
        </is>
      </c>
      <c r="N29" s="58" t="inlineStr">
        <is>
          <t>buy vilvah cucumber, curd &amp; mint soap online</t>
        </is>
      </c>
      <c r="O29" s="58" t="inlineStr">
        <is>
          <t>vilvah cucumber, curd &amp; mint soap price</t>
        </is>
      </c>
      <c r="P29" s="58" t="n"/>
      <c r="Q29" s="59">
        <f>IF(L29="","",IFERROR(INDEX('Semrush Data'!$A$1:$Z$20000,MATCH(L29,'Semrush Data'!$A$1:$A$20000,0),MATCH("Volume",'Semrush Data'!$A$1:$Z$1,0)),""))</f>
        <v/>
      </c>
      <c r="R29" s="59">
        <f>IF(M29="","",IFERROR(INDEX('Semrush Data'!$A$1:$Z$20000,MATCH(M29,'Semrush Data'!$A$1:$A$20000,0),MATCH("Volume",'Semrush Data'!$A$1:$Z$1,0)),""))</f>
        <v/>
      </c>
      <c r="S29" s="59">
        <f>IF(N29="","",IFERROR(INDEX('Semrush Data'!$A$1:$Z$20000,MATCH(N29,'Semrush Data'!$A$1:$A$20000,0),MATCH("Volume",'Semrush Data'!$A$1:$Z$1,0)),""))</f>
        <v/>
      </c>
      <c r="T29" s="59">
        <f>IF(O29="","",IFERROR(INDEX('Semrush Data'!$A$1:$Z$20000,MATCH(O29,'Semrush Data'!$A$1:$A$20000,0),MATCH("Volume",'Semrush Data'!$A$1:$Z$1,0)),""))</f>
        <v/>
      </c>
      <c r="U29" s="59">
        <f>IF(P29="","",IFERROR(INDEX('Semrush Data'!$A$1:$Z$20000,MATCH(P29,'Semrush Data'!$A$1:$A$20000,0),MATCH("Volume",'Semrush Data'!$A$1:$Z$1,0)),""))</f>
        <v/>
      </c>
      <c r="V29" s="60">
        <f>IF(COUNT(Q29:U29)=0,L29,IF(MAX(Q29:U29)=0,L29,INDEX(L29:P29,MATCH(MAX(Q29:U29),Q29:U29,0))))</f>
        <v/>
      </c>
      <c r="W29" s="59">
        <f>IFERROR(INDEX('Semrush Data'!$A$1:$Z$20000,MATCH(V29,'Semrush Data'!$A$1:$A$20000,0),MATCH("Volume",'Semrush Data'!$A$1:$Z$1,0)),"")</f>
        <v/>
      </c>
      <c r="X29" s="59">
        <f>IFERROR(INDEX('Semrush Data'!$A$1:$Z$20000,MATCH(V29,'Semrush Data'!$A$1:$A$20000,0),MATCH("Keyword Difficulty*",'Semrush Data'!$A$1:$Z$1,0)),"")</f>
        <v/>
      </c>
      <c r="Y29" s="61">
        <f>IFERROR(INDEX('Semrush Data'!$A$1:$Z$20000,MATCH(V29,'Semrush Data'!$A$1:$A$20000,0),MATCH("CPC*",'Semrush Data'!$A$1:$Z$1,0)),"")</f>
        <v/>
      </c>
      <c r="Z29" s="58" t="inlineStr">
        <is>
          <t>vilvah body wash · body wash for body cleansing · natural body wash uk</t>
        </is>
      </c>
      <c r="AA29" s="58" t="n"/>
      <c r="AB29" s="58" t="inlineStr">
        <is>
          <t>Vilvah Cucumber, Curd &amp; Mint Soap</t>
        </is>
      </c>
      <c r="AC29" s="58" t="inlineStr">
        <is>
          <t>Vilvah Cucumber, Curd &amp; Mint Soap | Buy Online UK | Swansura</t>
        </is>
      </c>
      <c r="AD29" s="58">
        <f>LEN(AC29)</f>
        <v/>
      </c>
      <c r="AE29" s="58" t="inlineStr">
        <is>
          <t>Buy Vilvah Cucumber, Curd &amp; Mint Soap online in the UK at Swansura, official UK partner of Vilvah. Natural body wash. 100% authentic, free UK delivery over £50.</t>
        </is>
      </c>
      <c r="AF29" s="58">
        <f>LEN(AE29)</f>
        <v/>
      </c>
    </row>
    <row r="30" ht="15" customHeight="1" s="37">
      <c r="A30" s="58" t="inlineStr">
        <is>
          <t>VD-029</t>
        </is>
      </c>
      <c r="B30" s="58" t="inlineStr">
        <is>
          <t>Vilvah &amp; Deyga</t>
        </is>
      </c>
      <c r="C30" s="58" t="n">
        <v>29</v>
      </c>
      <c r="D30" s="58" t="inlineStr">
        <is>
          <t>Vilvah</t>
        </is>
      </c>
      <c r="E30" s="58" t="n"/>
      <c r="F30" s="58" t="inlineStr">
        <is>
          <t>Bodycare</t>
        </is>
      </c>
      <c r="G30" s="58" t="inlineStr">
        <is>
          <t>Deodorant</t>
        </is>
      </c>
      <c r="H30" s="58" t="inlineStr">
        <is>
          <t>Body Hydration</t>
        </is>
      </c>
      <c r="I30" s="58" t="inlineStr">
        <is>
          <t>Deo shot - Lavender and Sage</t>
        </is>
      </c>
      <c r="J30" s="58" t="inlineStr">
        <is>
          <t>20 g</t>
        </is>
      </c>
      <c r="K30" s="58" t="n">
        <v>9.99</v>
      </c>
      <c r="L30" s="58" t="inlineStr">
        <is>
          <t>vilvah deo shot - lavender and sage</t>
        </is>
      </c>
      <c r="M30" s="58" t="inlineStr">
        <is>
          <t>vilvah deo shot - lavender and sage uk</t>
        </is>
      </c>
      <c r="N30" s="58" t="inlineStr">
        <is>
          <t>buy vilvah deo shot - lavender and sage online</t>
        </is>
      </c>
      <c r="O30" s="58" t="inlineStr">
        <is>
          <t>vilvah deo shot - lavender and sage price</t>
        </is>
      </c>
      <c r="P30" s="58" t="n"/>
      <c r="Q30" s="59">
        <f>IF(L30="","",IFERROR(INDEX('Semrush Data'!$A$1:$Z$20000,MATCH(L30,'Semrush Data'!$A$1:$A$20000,0),MATCH("Volume",'Semrush Data'!$A$1:$Z$1,0)),""))</f>
        <v/>
      </c>
      <c r="R30" s="59">
        <f>IF(M30="","",IFERROR(INDEX('Semrush Data'!$A$1:$Z$20000,MATCH(M30,'Semrush Data'!$A$1:$A$20000,0),MATCH("Volume",'Semrush Data'!$A$1:$Z$1,0)),""))</f>
        <v/>
      </c>
      <c r="S30" s="59">
        <f>IF(N30="","",IFERROR(INDEX('Semrush Data'!$A$1:$Z$20000,MATCH(N30,'Semrush Data'!$A$1:$A$20000,0),MATCH("Volume",'Semrush Data'!$A$1:$Z$1,0)),""))</f>
        <v/>
      </c>
      <c r="T30" s="59">
        <f>IF(O30="","",IFERROR(INDEX('Semrush Data'!$A$1:$Z$20000,MATCH(O30,'Semrush Data'!$A$1:$A$20000,0),MATCH("Volume",'Semrush Data'!$A$1:$Z$1,0)),""))</f>
        <v/>
      </c>
      <c r="U30" s="59">
        <f>IF(P30="","",IFERROR(INDEX('Semrush Data'!$A$1:$Z$20000,MATCH(P30,'Semrush Data'!$A$1:$A$20000,0),MATCH("Volume",'Semrush Data'!$A$1:$Z$1,0)),""))</f>
        <v/>
      </c>
      <c r="V30" s="60">
        <f>IF(COUNT(Q30:U30)=0,L30,IF(MAX(Q30:U30)=0,L30,INDEX(L30:P30,MATCH(MAX(Q30:U30),Q30:U30,0))))</f>
        <v/>
      </c>
      <c r="W30" s="59">
        <f>IFERROR(INDEX('Semrush Data'!$A$1:$Z$20000,MATCH(V30,'Semrush Data'!$A$1:$A$20000,0),MATCH("Volume",'Semrush Data'!$A$1:$Z$1,0)),"")</f>
        <v/>
      </c>
      <c r="X30" s="59">
        <f>IFERROR(INDEX('Semrush Data'!$A$1:$Z$20000,MATCH(V30,'Semrush Data'!$A$1:$A$20000,0),MATCH("Keyword Difficulty*",'Semrush Data'!$A$1:$Z$1,0)),"")</f>
        <v/>
      </c>
      <c r="Y30" s="61">
        <f>IFERROR(INDEX('Semrush Data'!$A$1:$Z$20000,MATCH(V30,'Semrush Data'!$A$1:$A$20000,0),MATCH("CPC*",'Semrush Data'!$A$1:$Z$1,0)),"")</f>
        <v/>
      </c>
      <c r="Z30" s="58" t="inlineStr">
        <is>
          <t>vilvah natural deodorant · natural deodorant for body hydration · natural natural deodorant uk</t>
        </is>
      </c>
      <c r="AA30" s="58" t="n"/>
      <c r="AB30" s="58" t="inlineStr">
        <is>
          <t>Vilvah Deo Shot - Lavender and Sage</t>
        </is>
      </c>
      <c r="AC30" s="58" t="inlineStr">
        <is>
          <t>Vilvah Deo Shot - Lavender and Sage | Swansura UK</t>
        </is>
      </c>
      <c r="AD30" s="58">
        <f>LEN(AC30)</f>
        <v/>
      </c>
      <c r="AE30" s="58" t="inlineStr">
        <is>
          <t>Buy Vilvah Deo Shot - Lavender and Sage online at Swansura, official UK partner of Vilvah. Natural deodorant. 100% authentic, free UK delivery over £50.</t>
        </is>
      </c>
      <c r="AF30" s="58">
        <f>LEN(AE30)</f>
        <v/>
      </c>
    </row>
    <row r="31" ht="15" customHeight="1" s="37">
      <c r="A31" s="58" t="inlineStr">
        <is>
          <t>VD-030</t>
        </is>
      </c>
      <c r="B31" s="58" t="inlineStr">
        <is>
          <t>Vilvah &amp; Deyga</t>
        </is>
      </c>
      <c r="C31" s="58" t="n">
        <v>30</v>
      </c>
      <c r="D31" s="58" t="inlineStr">
        <is>
          <t>Vilvah</t>
        </is>
      </c>
      <c r="E31" s="58" t="n"/>
      <c r="F31" s="58" t="inlineStr">
        <is>
          <t>Bodycare</t>
        </is>
      </c>
      <c r="G31" s="58" t="inlineStr">
        <is>
          <t>Body Cream &amp; Lotions</t>
        </is>
      </c>
      <c r="H31" s="58" t="inlineStr">
        <is>
          <t>Dry Skin</t>
        </is>
      </c>
      <c r="I31" s="58" t="inlineStr">
        <is>
          <t>Foot Cream</t>
        </is>
      </c>
      <c r="J31" s="58" t="inlineStr">
        <is>
          <t>100 ml</t>
        </is>
      </c>
      <c r="K31" s="58" t="n">
        <v>15.99</v>
      </c>
      <c r="L31" s="58" t="inlineStr">
        <is>
          <t>vilvah foot cream</t>
        </is>
      </c>
      <c r="M31" s="58" t="inlineStr">
        <is>
          <t>vilvah foot cream uk</t>
        </is>
      </c>
      <c r="N31" s="58" t="inlineStr">
        <is>
          <t>buy vilvah foot cream online</t>
        </is>
      </c>
      <c r="O31" s="58" t="inlineStr">
        <is>
          <t>vilvah foot cream price</t>
        </is>
      </c>
      <c r="P31" s="58" t="n"/>
      <c r="Q31" s="59">
        <f>IF(L31="","",IFERROR(INDEX('Semrush Data'!$A$1:$Z$20000,MATCH(L31,'Semrush Data'!$A$1:$A$20000,0),MATCH("Volume",'Semrush Data'!$A$1:$Z$1,0)),""))</f>
        <v/>
      </c>
      <c r="R31" s="59">
        <f>IF(M31="","",IFERROR(INDEX('Semrush Data'!$A$1:$Z$20000,MATCH(M31,'Semrush Data'!$A$1:$A$20000,0),MATCH("Volume",'Semrush Data'!$A$1:$Z$1,0)),""))</f>
        <v/>
      </c>
      <c r="S31" s="59">
        <f>IF(N31="","",IFERROR(INDEX('Semrush Data'!$A$1:$Z$20000,MATCH(N31,'Semrush Data'!$A$1:$A$20000,0),MATCH("Volume",'Semrush Data'!$A$1:$Z$1,0)),""))</f>
        <v/>
      </c>
      <c r="T31" s="59">
        <f>IF(O31="","",IFERROR(INDEX('Semrush Data'!$A$1:$Z$20000,MATCH(O31,'Semrush Data'!$A$1:$A$20000,0),MATCH("Volume",'Semrush Data'!$A$1:$Z$1,0)),""))</f>
        <v/>
      </c>
      <c r="U31" s="59">
        <f>IF(P31="","",IFERROR(INDEX('Semrush Data'!$A$1:$Z$20000,MATCH(P31,'Semrush Data'!$A$1:$A$20000,0),MATCH("Volume",'Semrush Data'!$A$1:$Z$1,0)),""))</f>
        <v/>
      </c>
      <c r="V31" s="60">
        <f>IF(COUNT(Q31:U31)=0,L31,IF(MAX(Q31:U31)=0,L31,INDEX(L31:P31,MATCH(MAX(Q31:U31),Q31:U31,0))))</f>
        <v/>
      </c>
      <c r="W31" s="59">
        <f>IFERROR(INDEX('Semrush Data'!$A$1:$Z$20000,MATCH(V31,'Semrush Data'!$A$1:$A$20000,0),MATCH("Volume",'Semrush Data'!$A$1:$Z$1,0)),"")</f>
        <v/>
      </c>
      <c r="X31" s="59">
        <f>IFERROR(INDEX('Semrush Data'!$A$1:$Z$20000,MATCH(V31,'Semrush Data'!$A$1:$A$20000,0),MATCH("Keyword Difficulty*",'Semrush Data'!$A$1:$Z$1,0)),"")</f>
        <v/>
      </c>
      <c r="Y31" s="61">
        <f>IFERROR(INDEX('Semrush Data'!$A$1:$Z$20000,MATCH(V31,'Semrush Data'!$A$1:$A$20000,0),MATCH("CPC*",'Semrush Data'!$A$1:$Z$1,0)),"")</f>
        <v/>
      </c>
      <c r="Z31" s="58" t="inlineStr">
        <is>
          <t>vilvah body lotion · body lotion for dry skin · natural body lotion uk</t>
        </is>
      </c>
      <c r="AA31" s="58" t="inlineStr">
        <is>
          <t>vilvah foot cream review · vilvah foot cream price · vilvah foot cream ingredients</t>
        </is>
      </c>
      <c r="AB31" s="58" t="inlineStr">
        <is>
          <t>Vilvah Foot Cream</t>
        </is>
      </c>
      <c r="AC31" s="58" t="inlineStr">
        <is>
          <t>Vilvah Foot Cream 100ml | Buy Online UK | Swansura</t>
        </is>
      </c>
      <c r="AD31" s="58">
        <f>LEN(AC31)</f>
        <v/>
      </c>
      <c r="AE31" s="58" t="inlineStr">
        <is>
          <t>Buy Vilvah Foot Cream online at Swansura, official UK partner of Vilvah. Natural body lotion. 100% authentic, shipped from the UK, free delivery over £50.</t>
        </is>
      </c>
      <c r="AF31" s="58">
        <f>LEN(AE31)</f>
        <v/>
      </c>
    </row>
    <row r="32" ht="15" customHeight="1" s="37">
      <c r="A32" s="58" t="inlineStr">
        <is>
          <t>VD-031</t>
        </is>
      </c>
      <c r="B32" s="58" t="inlineStr">
        <is>
          <t>Vilvah &amp; Deyga</t>
        </is>
      </c>
      <c r="C32" s="58" t="n">
        <v>31</v>
      </c>
      <c r="D32" s="58" t="inlineStr">
        <is>
          <t>Vilvah</t>
        </is>
      </c>
      <c r="E32" s="58" t="n"/>
      <c r="F32" s="58" t="inlineStr">
        <is>
          <t>Haircare</t>
        </is>
      </c>
      <c r="G32" s="58" t="inlineStr">
        <is>
          <t>Hair Masks</t>
        </is>
      </c>
      <c r="H32" s="58" t="inlineStr">
        <is>
          <t>Dry Hair</t>
        </is>
      </c>
      <c r="I32" s="58" t="inlineStr">
        <is>
          <t>Goat Milk Hair Mask</t>
        </is>
      </c>
      <c r="J32" s="58" t="inlineStr">
        <is>
          <t>200 g</t>
        </is>
      </c>
      <c r="K32" s="58" t="n">
        <v>31.99</v>
      </c>
      <c r="L32" s="58" t="inlineStr">
        <is>
          <t>vilvah goat milk hair mask</t>
        </is>
      </c>
      <c r="M32" s="58" t="inlineStr">
        <is>
          <t>vilvah goat milk hair mask uk</t>
        </is>
      </c>
      <c r="N32" s="58" t="inlineStr">
        <is>
          <t>buy vilvah goat milk hair mask online</t>
        </is>
      </c>
      <c r="O32" s="58" t="inlineStr">
        <is>
          <t>vilvah goat milk hair mask price</t>
        </is>
      </c>
      <c r="P32" s="58" t="n"/>
      <c r="Q32" s="59">
        <f>IF(L32="","",IFERROR(INDEX('Semrush Data'!$A$1:$Z$20000,MATCH(L32,'Semrush Data'!$A$1:$A$20000,0),MATCH("Volume",'Semrush Data'!$A$1:$Z$1,0)),""))</f>
        <v/>
      </c>
      <c r="R32" s="59">
        <f>IF(M32="","",IFERROR(INDEX('Semrush Data'!$A$1:$Z$20000,MATCH(M32,'Semrush Data'!$A$1:$A$20000,0),MATCH("Volume",'Semrush Data'!$A$1:$Z$1,0)),""))</f>
        <v/>
      </c>
      <c r="S32" s="59">
        <f>IF(N32="","",IFERROR(INDEX('Semrush Data'!$A$1:$Z$20000,MATCH(N32,'Semrush Data'!$A$1:$A$20000,0),MATCH("Volume",'Semrush Data'!$A$1:$Z$1,0)),""))</f>
        <v/>
      </c>
      <c r="T32" s="59">
        <f>IF(O32="","",IFERROR(INDEX('Semrush Data'!$A$1:$Z$20000,MATCH(O32,'Semrush Data'!$A$1:$A$20000,0),MATCH("Volume",'Semrush Data'!$A$1:$Z$1,0)),""))</f>
        <v/>
      </c>
      <c r="U32" s="59">
        <f>IF(P32="","",IFERROR(INDEX('Semrush Data'!$A$1:$Z$20000,MATCH(P32,'Semrush Data'!$A$1:$A$20000,0),MATCH("Volume",'Semrush Data'!$A$1:$Z$1,0)),""))</f>
        <v/>
      </c>
      <c r="V32" s="60">
        <f>IF(COUNT(Q32:U32)=0,L32,IF(MAX(Q32:U32)=0,L32,INDEX(L32:P32,MATCH(MAX(Q32:U32),Q32:U32,0))))</f>
        <v/>
      </c>
      <c r="W32" s="59">
        <f>IFERROR(INDEX('Semrush Data'!$A$1:$Z$20000,MATCH(V32,'Semrush Data'!$A$1:$A$20000,0),MATCH("Volume",'Semrush Data'!$A$1:$Z$1,0)),"")</f>
        <v/>
      </c>
      <c r="X32" s="59">
        <f>IFERROR(INDEX('Semrush Data'!$A$1:$Z$20000,MATCH(V32,'Semrush Data'!$A$1:$A$20000,0),MATCH("Keyword Difficulty*",'Semrush Data'!$A$1:$Z$1,0)),"")</f>
        <v/>
      </c>
      <c r="Y32" s="61">
        <f>IFERROR(INDEX('Semrush Data'!$A$1:$Z$20000,MATCH(V32,'Semrush Data'!$A$1:$A$20000,0),MATCH("CPC*",'Semrush Data'!$A$1:$Z$1,0)),"")</f>
        <v/>
      </c>
      <c r="Z32" s="58" t="inlineStr">
        <is>
          <t>vilvah hair mask · hair mask for dry hair · natural hair mask uk</t>
        </is>
      </c>
      <c r="AA32" s="58" t="inlineStr">
        <is>
          <t>vilvah goat milk hair mask review · vilvah goat milk hair mask ingredients · how to use vilvah goat milk hair mask · how to use vilvah hair mask</t>
        </is>
      </c>
      <c r="AB32" s="58" t="inlineStr">
        <is>
          <t>Vilvah Goat Milk Hair Mask</t>
        </is>
      </c>
      <c r="AC32" s="58" t="inlineStr">
        <is>
          <t>Vilvah Goat Milk Hair Mask | Buy Online UK | Swansura</t>
        </is>
      </c>
      <c r="AD32" s="58">
        <f>LEN(AC32)</f>
        <v/>
      </c>
      <c r="AE32" s="58" t="inlineStr">
        <is>
          <t>Buy Vilvah Goat Milk Hair Mask online in the UK at Swansura, official UK partner of Vilvah. Natural hair mask. 100% authentic, free UK delivery over £50.</t>
        </is>
      </c>
      <c r="AF32" s="58">
        <f>LEN(AE32)</f>
        <v/>
      </c>
    </row>
    <row r="33" ht="15" customHeight="1" s="37">
      <c r="A33" s="58" t="inlineStr">
        <is>
          <t>VD-032</t>
        </is>
      </c>
      <c r="B33" s="58" t="inlineStr">
        <is>
          <t>Vilvah &amp; Deyga</t>
        </is>
      </c>
      <c r="C33" s="58" t="n">
        <v>32</v>
      </c>
      <c r="D33" s="58" t="inlineStr">
        <is>
          <t>Vilvah</t>
        </is>
      </c>
      <c r="E33" s="58" t="n"/>
      <c r="F33" s="58" t="inlineStr">
        <is>
          <t>Haircare</t>
        </is>
      </c>
      <c r="G33" s="58" t="inlineStr">
        <is>
          <t>Hair Oil</t>
        </is>
      </c>
      <c r="H33" s="58" t="inlineStr">
        <is>
          <t>Hair Thinning &amp; Loss</t>
        </is>
      </c>
      <c r="I33" s="58" t="inlineStr">
        <is>
          <t>Hair growth oil</t>
        </is>
      </c>
      <c r="J33" s="58" t="inlineStr">
        <is>
          <t>100 ml</t>
        </is>
      </c>
      <c r="K33" s="58" t="n">
        <v>19.99</v>
      </c>
      <c r="L33" s="58" t="inlineStr">
        <is>
          <t>vilvah hair growth oil</t>
        </is>
      </c>
      <c r="M33" s="58" t="inlineStr">
        <is>
          <t>vilvah hair growth oil uk</t>
        </is>
      </c>
      <c r="N33" s="58" t="inlineStr">
        <is>
          <t>buy vilvah hair growth oil online</t>
        </is>
      </c>
      <c r="O33" s="58" t="inlineStr">
        <is>
          <t>vilvah hair growth oil price</t>
        </is>
      </c>
      <c r="P33" s="58" t="n"/>
      <c r="Q33" s="59">
        <f>IF(L33="","",IFERROR(INDEX('Semrush Data'!$A$1:$Z$20000,MATCH(L33,'Semrush Data'!$A$1:$A$20000,0),MATCH("Volume",'Semrush Data'!$A$1:$Z$1,0)),""))</f>
        <v/>
      </c>
      <c r="R33" s="59">
        <f>IF(M33="","",IFERROR(INDEX('Semrush Data'!$A$1:$Z$20000,MATCH(M33,'Semrush Data'!$A$1:$A$20000,0),MATCH("Volume",'Semrush Data'!$A$1:$Z$1,0)),""))</f>
        <v/>
      </c>
      <c r="S33" s="59">
        <f>IF(N33="","",IFERROR(INDEX('Semrush Data'!$A$1:$Z$20000,MATCH(N33,'Semrush Data'!$A$1:$A$20000,0),MATCH("Volume",'Semrush Data'!$A$1:$Z$1,0)),""))</f>
        <v/>
      </c>
      <c r="T33" s="59">
        <f>IF(O33="","",IFERROR(INDEX('Semrush Data'!$A$1:$Z$20000,MATCH(O33,'Semrush Data'!$A$1:$A$20000,0),MATCH("Volume",'Semrush Data'!$A$1:$Z$1,0)),""))</f>
        <v/>
      </c>
      <c r="U33" s="59">
        <f>IF(P33="","",IFERROR(INDEX('Semrush Data'!$A$1:$Z$20000,MATCH(P33,'Semrush Data'!$A$1:$A$20000,0),MATCH("Volume",'Semrush Data'!$A$1:$Z$1,0)),""))</f>
        <v/>
      </c>
      <c r="V33" s="60">
        <f>IF(COUNT(Q33:U33)=0,L33,IF(MAX(Q33:U33)=0,L33,INDEX(L33:P33,MATCH(MAX(Q33:U33),Q33:U33,0))))</f>
        <v/>
      </c>
      <c r="W33" s="59">
        <f>IFERROR(INDEX('Semrush Data'!$A$1:$Z$20000,MATCH(V33,'Semrush Data'!$A$1:$A$20000,0),MATCH("Volume",'Semrush Data'!$A$1:$Z$1,0)),"")</f>
        <v/>
      </c>
      <c r="X33" s="59">
        <f>IFERROR(INDEX('Semrush Data'!$A$1:$Z$20000,MATCH(V33,'Semrush Data'!$A$1:$A$20000,0),MATCH("Keyword Difficulty*",'Semrush Data'!$A$1:$Z$1,0)),"")</f>
        <v/>
      </c>
      <c r="Y33" s="61">
        <f>IFERROR(INDEX('Semrush Data'!$A$1:$Z$20000,MATCH(V33,'Semrush Data'!$A$1:$A$20000,0),MATCH("CPC*",'Semrush Data'!$A$1:$Z$1,0)),"")</f>
        <v/>
      </c>
      <c r="Z33" s="58" t="inlineStr">
        <is>
          <t>vilvah hair oil · hair oil for hair loss · natural hair oil uk</t>
        </is>
      </c>
      <c r="AA33" s="58" t="inlineStr">
        <is>
          <t>vilvah hair growth oil review · vilvah hair growth oil how to use · vilvah hair growth oil benefits · vilvah hair growth oil india · vilvah hair growth oil review before and after · vilvah hair growth oil amazon</t>
        </is>
      </c>
      <c r="AB33" s="58" t="inlineStr">
        <is>
          <t>Vilvah Hair Growth Oil</t>
        </is>
      </c>
      <c r="AC33" s="58" t="inlineStr">
        <is>
          <t>Vilvah Hair Growth Oil 100ml | Buy Online UK | Swansura</t>
        </is>
      </c>
      <c r="AD33" s="58">
        <f>LEN(AC33)</f>
        <v/>
      </c>
      <c r="AE33" s="58" t="inlineStr">
        <is>
          <t>Buy Vilvah Hair Growth Oil online at Swansura, official UK partner of Vilvah. A natural hair oil for thinning hair. 100% authentic, free UK delivery over £50.</t>
        </is>
      </c>
      <c r="AF33" s="58">
        <f>LEN(AE33)</f>
        <v/>
      </c>
    </row>
    <row r="34" ht="15" customHeight="1" s="37">
      <c r="A34" s="58" t="inlineStr">
        <is>
          <t>VD-033</t>
        </is>
      </c>
      <c r="B34" s="58" t="inlineStr">
        <is>
          <t>Vilvah &amp; Deyga</t>
        </is>
      </c>
      <c r="C34" s="58" t="n">
        <v>33</v>
      </c>
      <c r="D34" s="58" t="inlineStr">
        <is>
          <t>Vilvah</t>
        </is>
      </c>
      <c r="E34" s="58" t="n"/>
      <c r="F34" s="58" t="inlineStr">
        <is>
          <t>Haircare</t>
        </is>
      </c>
      <c r="G34" s="58" t="inlineStr">
        <is>
          <t>Hair Oil</t>
        </is>
      </c>
      <c r="H34" s="58" t="inlineStr">
        <is>
          <t>Hair Thinning &amp; Loss</t>
        </is>
      </c>
      <c r="I34" s="58" t="inlineStr">
        <is>
          <t>Hair growth oil</t>
        </is>
      </c>
      <c r="J34" s="58" t="inlineStr">
        <is>
          <t>200 ml</t>
        </is>
      </c>
      <c r="K34" s="58" t="n">
        <v>31.99</v>
      </c>
      <c r="L34" s="58" t="inlineStr">
        <is>
          <t>vilvah hair growth oil</t>
        </is>
      </c>
      <c r="M34" s="58" t="inlineStr">
        <is>
          <t>vilvah hair growth oil uk</t>
        </is>
      </c>
      <c r="N34" s="58" t="inlineStr">
        <is>
          <t>buy vilvah hair growth oil online</t>
        </is>
      </c>
      <c r="O34" s="58" t="inlineStr">
        <is>
          <t>vilvah hair growth oil price</t>
        </is>
      </c>
      <c r="P34" s="58" t="n"/>
      <c r="Q34" s="59">
        <f>IF(L34="","",IFERROR(INDEX('Semrush Data'!$A$1:$Z$20000,MATCH(L34,'Semrush Data'!$A$1:$A$20000,0),MATCH("Volume",'Semrush Data'!$A$1:$Z$1,0)),""))</f>
        <v/>
      </c>
      <c r="R34" s="59">
        <f>IF(M34="","",IFERROR(INDEX('Semrush Data'!$A$1:$Z$20000,MATCH(M34,'Semrush Data'!$A$1:$A$20000,0),MATCH("Volume",'Semrush Data'!$A$1:$Z$1,0)),""))</f>
        <v/>
      </c>
      <c r="S34" s="59">
        <f>IF(N34="","",IFERROR(INDEX('Semrush Data'!$A$1:$Z$20000,MATCH(N34,'Semrush Data'!$A$1:$A$20000,0),MATCH("Volume",'Semrush Data'!$A$1:$Z$1,0)),""))</f>
        <v/>
      </c>
      <c r="T34" s="59">
        <f>IF(O34="","",IFERROR(INDEX('Semrush Data'!$A$1:$Z$20000,MATCH(O34,'Semrush Data'!$A$1:$A$20000,0),MATCH("Volume",'Semrush Data'!$A$1:$Z$1,0)),""))</f>
        <v/>
      </c>
      <c r="U34" s="59">
        <f>IF(P34="","",IFERROR(INDEX('Semrush Data'!$A$1:$Z$20000,MATCH(P34,'Semrush Data'!$A$1:$A$20000,0),MATCH("Volume",'Semrush Data'!$A$1:$Z$1,0)),""))</f>
        <v/>
      </c>
      <c r="V34" s="60">
        <f>IF(COUNT(Q34:U34)=0,L34,IF(MAX(Q34:U34)=0,L34,INDEX(L34:P34,MATCH(MAX(Q34:U34),Q34:U34,0))))</f>
        <v/>
      </c>
      <c r="W34" s="59">
        <f>IFERROR(INDEX('Semrush Data'!$A$1:$Z$20000,MATCH(V34,'Semrush Data'!$A$1:$A$20000,0),MATCH("Volume",'Semrush Data'!$A$1:$Z$1,0)),"")</f>
        <v/>
      </c>
      <c r="X34" s="59">
        <f>IFERROR(INDEX('Semrush Data'!$A$1:$Z$20000,MATCH(V34,'Semrush Data'!$A$1:$A$20000,0),MATCH("Keyword Difficulty*",'Semrush Data'!$A$1:$Z$1,0)),"")</f>
        <v/>
      </c>
      <c r="Y34" s="61">
        <f>IFERROR(INDEX('Semrush Data'!$A$1:$Z$20000,MATCH(V34,'Semrush Data'!$A$1:$A$20000,0),MATCH("CPC*",'Semrush Data'!$A$1:$Z$1,0)),"")</f>
        <v/>
      </c>
      <c r="Z34" s="58" t="inlineStr">
        <is>
          <t>vilvah hair oil · hair oil for hair loss · natural hair oil uk</t>
        </is>
      </c>
      <c r="AA34" s="58" t="inlineStr">
        <is>
          <t>vilvah hair growth oil review · vilvah hair growth oil how to use · vilvah hair growth oil benefits · vilvah hair growth oil india · vilvah hair growth oil review before and after · vilvah hair growth oil amazon</t>
        </is>
      </c>
      <c r="AB34" s="58" t="inlineStr">
        <is>
          <t>Vilvah Hair Growth Oil</t>
        </is>
      </c>
      <c r="AC34" s="58" t="inlineStr">
        <is>
          <t>Vilvah Hair Growth Oil 200ml | Buy Online UK | Swansura</t>
        </is>
      </c>
      <c r="AD34" s="58">
        <f>LEN(AC34)</f>
        <v/>
      </c>
      <c r="AE34" s="58" t="inlineStr">
        <is>
          <t>Buy Vilvah Hair Growth Oil online at Swansura, official UK partner of Vilvah. A natural hair oil for thinning hair. 100% authentic, free UK delivery over £50.</t>
        </is>
      </c>
      <c r="AF34" s="58">
        <f>LEN(AE34)</f>
        <v/>
      </c>
    </row>
    <row r="35" ht="15" customHeight="1" s="37">
      <c r="A35" s="58" t="inlineStr">
        <is>
          <t>VD-034</t>
        </is>
      </c>
      <c r="B35" s="58" t="inlineStr">
        <is>
          <t>Vilvah &amp; Deyga</t>
        </is>
      </c>
      <c r="C35" s="58" t="n">
        <v>34</v>
      </c>
      <c r="D35" s="58" t="inlineStr">
        <is>
          <t>Vilvah</t>
        </is>
      </c>
      <c r="E35" s="58" t="n"/>
      <c r="F35" s="58" t="inlineStr">
        <is>
          <t>Haircare</t>
        </is>
      </c>
      <c r="G35" s="58" t="inlineStr">
        <is>
          <t>Shampoo</t>
        </is>
      </c>
      <c r="H35" s="58" t="inlineStr">
        <is>
          <t>Anti-Dandruff</t>
        </is>
      </c>
      <c r="I35" s="58" t="inlineStr">
        <is>
          <t>Herbal Shampoo (Dandruff Control)</t>
        </is>
      </c>
      <c r="J35" s="58" t="inlineStr">
        <is>
          <t>250 ml</t>
        </is>
      </c>
      <c r="K35" s="58" t="n">
        <v>15.99</v>
      </c>
      <c r="L35" s="58" t="inlineStr">
        <is>
          <t>vilvah herbal shampoo (dandruff control)</t>
        </is>
      </c>
      <c r="M35" s="58" t="inlineStr">
        <is>
          <t>vilvah herbal shampoo (dandruff control) uk</t>
        </is>
      </c>
      <c r="N35" s="58" t="inlineStr">
        <is>
          <t>buy vilvah herbal shampoo (dandruff control) online</t>
        </is>
      </c>
      <c r="O35" s="58" t="inlineStr">
        <is>
          <t>vilvah herbal shampoo (dandruff control) price</t>
        </is>
      </c>
      <c r="P35" s="58" t="n"/>
      <c r="Q35" s="59">
        <f>IF(L35="","",IFERROR(INDEX('Semrush Data'!$A$1:$Z$20000,MATCH(L35,'Semrush Data'!$A$1:$A$20000,0),MATCH("Volume",'Semrush Data'!$A$1:$Z$1,0)),""))</f>
        <v/>
      </c>
      <c r="R35" s="59">
        <f>IF(M35="","",IFERROR(INDEX('Semrush Data'!$A$1:$Z$20000,MATCH(M35,'Semrush Data'!$A$1:$A$20000,0),MATCH("Volume",'Semrush Data'!$A$1:$Z$1,0)),""))</f>
        <v/>
      </c>
      <c r="S35" s="59">
        <f>IF(N35="","",IFERROR(INDEX('Semrush Data'!$A$1:$Z$20000,MATCH(N35,'Semrush Data'!$A$1:$A$20000,0),MATCH("Volume",'Semrush Data'!$A$1:$Z$1,0)),""))</f>
        <v/>
      </c>
      <c r="T35" s="59">
        <f>IF(O35="","",IFERROR(INDEX('Semrush Data'!$A$1:$Z$20000,MATCH(O35,'Semrush Data'!$A$1:$A$20000,0),MATCH("Volume",'Semrush Data'!$A$1:$Z$1,0)),""))</f>
        <v/>
      </c>
      <c r="U35" s="59">
        <f>IF(P35="","",IFERROR(INDEX('Semrush Data'!$A$1:$Z$20000,MATCH(P35,'Semrush Data'!$A$1:$A$20000,0),MATCH("Volume",'Semrush Data'!$A$1:$Z$1,0)),""))</f>
        <v/>
      </c>
      <c r="V35" s="60">
        <f>IF(COUNT(Q35:U35)=0,L35,IF(MAX(Q35:U35)=0,L35,INDEX(L35:P35,MATCH(MAX(Q35:U35),Q35:U35,0))))</f>
        <v/>
      </c>
      <c r="W35" s="59">
        <f>IFERROR(INDEX('Semrush Data'!$A$1:$Z$20000,MATCH(V35,'Semrush Data'!$A$1:$A$20000,0),MATCH("Volume",'Semrush Data'!$A$1:$Z$1,0)),"")</f>
        <v/>
      </c>
      <c r="X35" s="59">
        <f>IFERROR(INDEX('Semrush Data'!$A$1:$Z$20000,MATCH(V35,'Semrush Data'!$A$1:$A$20000,0),MATCH("Keyword Difficulty*",'Semrush Data'!$A$1:$Z$1,0)),"")</f>
        <v/>
      </c>
      <c r="Y35" s="61">
        <f>IFERROR(INDEX('Semrush Data'!$A$1:$Z$20000,MATCH(V35,'Semrush Data'!$A$1:$A$20000,0),MATCH("CPC*",'Semrush Data'!$A$1:$Z$1,0)),"")</f>
        <v/>
      </c>
      <c r="Z35" s="58" t="inlineStr">
        <is>
          <t>vilvah shampoo · shampoo for dandruff · natural shampoo uk</t>
        </is>
      </c>
      <c r="AA35" s="58" t="inlineStr">
        <is>
          <t>vilvah herbal shampoo dandruff control</t>
        </is>
      </c>
      <c r="AB35" s="58" t="inlineStr">
        <is>
          <t>Vilvah Herbal Shampoo (Dandruff Control)</t>
        </is>
      </c>
      <c r="AC35" s="58" t="inlineStr">
        <is>
          <t>Vilvah Herbal Shampoo (Dandruff Control) | Swansura UK</t>
        </is>
      </c>
      <c r="AD35" s="58">
        <f>LEN(AC35)</f>
        <v/>
      </c>
      <c r="AE35" s="58" t="inlineStr">
        <is>
          <t>Buy Vilvah Herbal Shampoo (Dandruff Control) online at Swansura, official UK partner of Vilvah. 100% authentic, shipped from the UK, free delivery over £50.</t>
        </is>
      </c>
      <c r="AF35" s="58">
        <f>LEN(AE35)</f>
        <v/>
      </c>
    </row>
    <row r="36" ht="15" customHeight="1" s="37">
      <c r="A36" s="58" t="inlineStr">
        <is>
          <t>VD-035</t>
        </is>
      </c>
      <c r="B36" s="58" t="inlineStr">
        <is>
          <t>Vilvah &amp; Deyga</t>
        </is>
      </c>
      <c r="C36" s="58" t="n">
        <v>35</v>
      </c>
      <c r="D36" s="58" t="inlineStr">
        <is>
          <t>Vilvah</t>
        </is>
      </c>
      <c r="E36" s="58" t="n"/>
      <c r="F36" s="58" t="inlineStr">
        <is>
          <t>Skincare</t>
        </is>
      </c>
      <c r="G36" s="58" t="inlineStr">
        <is>
          <t>Lip Care</t>
        </is>
      </c>
      <c r="H36" s="58" t="inlineStr">
        <is>
          <t>Dry Lips</t>
        </is>
      </c>
      <c r="I36" s="58" t="inlineStr">
        <is>
          <t>Lip Balm - Grapefruit</t>
        </is>
      </c>
      <c r="J36" s="58" t="inlineStr">
        <is>
          <t>10 g</t>
        </is>
      </c>
      <c r="K36" s="58" t="n">
        <v>6.99</v>
      </c>
      <c r="L36" s="58" t="inlineStr">
        <is>
          <t>vilvah lip balm - grapefruit</t>
        </is>
      </c>
      <c r="M36" s="58" t="inlineStr">
        <is>
          <t>vilvah lip balm - grapefruit uk</t>
        </is>
      </c>
      <c r="N36" s="58" t="inlineStr">
        <is>
          <t>buy vilvah lip balm - grapefruit online</t>
        </is>
      </c>
      <c r="O36" s="58" t="inlineStr">
        <is>
          <t>vilvah lip balm - grapefruit price</t>
        </is>
      </c>
      <c r="P36" s="58" t="n"/>
      <c r="Q36" s="59">
        <f>IF(L36="","",IFERROR(INDEX('Semrush Data'!$A$1:$Z$20000,MATCH(L36,'Semrush Data'!$A$1:$A$20000,0),MATCH("Volume",'Semrush Data'!$A$1:$Z$1,0)),""))</f>
        <v/>
      </c>
      <c r="R36" s="59">
        <f>IF(M36="","",IFERROR(INDEX('Semrush Data'!$A$1:$Z$20000,MATCH(M36,'Semrush Data'!$A$1:$A$20000,0),MATCH("Volume",'Semrush Data'!$A$1:$Z$1,0)),""))</f>
        <v/>
      </c>
      <c r="S36" s="59">
        <f>IF(N36="","",IFERROR(INDEX('Semrush Data'!$A$1:$Z$20000,MATCH(N36,'Semrush Data'!$A$1:$A$20000,0),MATCH("Volume",'Semrush Data'!$A$1:$Z$1,0)),""))</f>
        <v/>
      </c>
      <c r="T36" s="59">
        <f>IF(O36="","",IFERROR(INDEX('Semrush Data'!$A$1:$Z$20000,MATCH(O36,'Semrush Data'!$A$1:$A$20000,0),MATCH("Volume",'Semrush Data'!$A$1:$Z$1,0)),""))</f>
        <v/>
      </c>
      <c r="U36" s="59">
        <f>IF(P36="","",IFERROR(INDEX('Semrush Data'!$A$1:$Z$20000,MATCH(P36,'Semrush Data'!$A$1:$A$20000,0),MATCH("Volume",'Semrush Data'!$A$1:$Z$1,0)),""))</f>
        <v/>
      </c>
      <c r="V36" s="60">
        <f>IF(COUNT(Q36:U36)=0,L36,IF(MAX(Q36:U36)=0,L36,INDEX(L36:P36,MATCH(MAX(Q36:U36),Q36:U36,0))))</f>
        <v/>
      </c>
      <c r="W36" s="59">
        <f>IFERROR(INDEX('Semrush Data'!$A$1:$Z$20000,MATCH(V36,'Semrush Data'!$A$1:$A$20000,0),MATCH("Volume",'Semrush Data'!$A$1:$Z$1,0)),"")</f>
        <v/>
      </c>
      <c r="X36" s="59">
        <f>IFERROR(INDEX('Semrush Data'!$A$1:$Z$20000,MATCH(V36,'Semrush Data'!$A$1:$A$20000,0),MATCH("Keyword Difficulty*",'Semrush Data'!$A$1:$Z$1,0)),"")</f>
        <v/>
      </c>
      <c r="Y36" s="61">
        <f>IFERROR(INDEX('Semrush Data'!$A$1:$Z$20000,MATCH(V36,'Semrush Data'!$A$1:$A$20000,0),MATCH("CPC*",'Semrush Data'!$A$1:$Z$1,0)),"")</f>
        <v/>
      </c>
      <c r="Z36" s="58" t="inlineStr">
        <is>
          <t>vilvah lip balm · lip balm for dry lips · natural lip balm uk</t>
        </is>
      </c>
      <c r="AA36" s="58" t="inlineStr">
        <is>
          <t>vilvah lip balm grapefruit · vilvah grapefruit lip balm review · vilvah grapefruit lip balm 10g · vilvah grapefruit lip balm benefits · vilvah grapefruit lip balm amazon · vilvah lip balm review</t>
        </is>
      </c>
      <c r="AB36" s="58" t="inlineStr">
        <is>
          <t>Vilvah Lip Balm - Grapefruit</t>
        </is>
      </c>
      <c r="AC36" s="58" t="inlineStr">
        <is>
          <t>Vilvah Lip Balm - Grapefruit | Buy Online UK | Swansura</t>
        </is>
      </c>
      <c r="AD36" s="58">
        <f>LEN(AC36)</f>
        <v/>
      </c>
      <c r="AE36" s="58" t="inlineStr">
        <is>
          <t>Buy Vilvah Lip Balm - Grapefruit online at Swansura, official UK partner of Vilvah. A natural lip care for dry lips. 100% authentic, free UK delivery over £50.</t>
        </is>
      </c>
      <c r="AF36" s="58">
        <f>LEN(AE36)</f>
        <v/>
      </c>
    </row>
    <row r="37" ht="15" customHeight="1" s="37">
      <c r="A37" s="58" t="inlineStr">
        <is>
          <t>VD-036</t>
        </is>
      </c>
      <c r="B37" s="58" t="inlineStr">
        <is>
          <t>Vilvah &amp; Deyga</t>
        </is>
      </c>
      <c r="C37" s="58" t="n">
        <v>36</v>
      </c>
      <c r="D37" s="58" t="inlineStr">
        <is>
          <t>Vilvah</t>
        </is>
      </c>
      <c r="E37" s="58" t="n"/>
      <c r="F37" s="58" t="inlineStr">
        <is>
          <t>Skincare</t>
        </is>
      </c>
      <c r="G37" s="58" t="inlineStr">
        <is>
          <t>Lip Care</t>
        </is>
      </c>
      <c r="H37" s="58" t="inlineStr">
        <is>
          <t>Lip Exfoliation</t>
        </is>
      </c>
      <c r="I37" s="58" t="inlineStr">
        <is>
          <t>Lip Scrub</t>
        </is>
      </c>
      <c r="J37" s="58" t="inlineStr">
        <is>
          <t>10 g</t>
        </is>
      </c>
      <c r="K37" s="58" t="n">
        <v>6.99</v>
      </c>
      <c r="L37" s="58" t="inlineStr">
        <is>
          <t>vilvah lip scrub</t>
        </is>
      </c>
      <c r="M37" s="58" t="inlineStr">
        <is>
          <t>vilvah lip scrub uk</t>
        </is>
      </c>
      <c r="N37" s="58" t="inlineStr">
        <is>
          <t>buy vilvah lip scrub online</t>
        </is>
      </c>
      <c r="O37" s="58" t="inlineStr">
        <is>
          <t>vilvah lip scrub price</t>
        </is>
      </c>
      <c r="P37" s="58" t="n"/>
      <c r="Q37" s="59">
        <f>IF(L37="","",IFERROR(INDEX('Semrush Data'!$A$1:$Z$20000,MATCH(L37,'Semrush Data'!$A$1:$A$20000,0),MATCH("Volume",'Semrush Data'!$A$1:$Z$1,0)),""))</f>
        <v/>
      </c>
      <c r="R37" s="59">
        <f>IF(M37="","",IFERROR(INDEX('Semrush Data'!$A$1:$Z$20000,MATCH(M37,'Semrush Data'!$A$1:$A$20000,0),MATCH("Volume",'Semrush Data'!$A$1:$Z$1,0)),""))</f>
        <v/>
      </c>
      <c r="S37" s="59">
        <f>IF(N37="","",IFERROR(INDEX('Semrush Data'!$A$1:$Z$20000,MATCH(N37,'Semrush Data'!$A$1:$A$20000,0),MATCH("Volume",'Semrush Data'!$A$1:$Z$1,0)),""))</f>
        <v/>
      </c>
      <c r="T37" s="59">
        <f>IF(O37="","",IFERROR(INDEX('Semrush Data'!$A$1:$Z$20000,MATCH(O37,'Semrush Data'!$A$1:$A$20000,0),MATCH("Volume",'Semrush Data'!$A$1:$Z$1,0)),""))</f>
        <v/>
      </c>
      <c r="U37" s="59">
        <f>IF(P37="","",IFERROR(INDEX('Semrush Data'!$A$1:$Z$20000,MATCH(P37,'Semrush Data'!$A$1:$A$20000,0),MATCH("Volume",'Semrush Data'!$A$1:$Z$1,0)),""))</f>
        <v/>
      </c>
      <c r="V37" s="60">
        <f>IF(COUNT(Q37:U37)=0,L37,IF(MAX(Q37:U37)=0,L37,INDEX(L37:P37,MATCH(MAX(Q37:U37),Q37:U37,0))))</f>
        <v/>
      </c>
      <c r="W37" s="59">
        <f>IFERROR(INDEX('Semrush Data'!$A$1:$Z$20000,MATCH(V37,'Semrush Data'!$A$1:$A$20000,0),MATCH("Volume",'Semrush Data'!$A$1:$Z$1,0)),"")</f>
        <v/>
      </c>
      <c r="X37" s="59">
        <f>IFERROR(INDEX('Semrush Data'!$A$1:$Z$20000,MATCH(V37,'Semrush Data'!$A$1:$A$20000,0),MATCH("Keyword Difficulty*",'Semrush Data'!$A$1:$Z$1,0)),"")</f>
        <v/>
      </c>
      <c r="Y37" s="61">
        <f>IFERROR(INDEX('Semrush Data'!$A$1:$Z$20000,MATCH(V37,'Semrush Data'!$A$1:$A$20000,0),MATCH("CPC*",'Semrush Data'!$A$1:$Z$1,0)),"")</f>
        <v/>
      </c>
      <c r="Z37" s="58" t="inlineStr">
        <is>
          <t>vilvah lip balm · natural lip balm uk</t>
        </is>
      </c>
      <c r="AA37" s="58" t="inlineStr">
        <is>
          <t>vilvah lip scrub how to use · vilvah lip scrub review · vilvah lip scrub ingredients · vilvah lip scrub and lip balm · vilvah lip balm price · vilvah lip balm review</t>
        </is>
      </c>
      <c r="AB37" s="58" t="inlineStr">
        <is>
          <t>Vilvah Lip Scrub</t>
        </is>
      </c>
      <c r="AC37" s="58" t="inlineStr">
        <is>
          <t>Vilvah Lip Scrub | Official UK Partner | Swansura</t>
        </is>
      </c>
      <c r="AD37" s="58">
        <f>LEN(AC37)</f>
        <v/>
      </c>
      <c r="AE37" s="58" t="inlineStr">
        <is>
          <t>Buy Vilvah Lip Scrub online in the UK at Swansura, official UK partner of Vilvah. Natural lip care. 100% authentic, shipped from the UK, free delivery over £50.</t>
        </is>
      </c>
      <c r="AF37" s="58">
        <f>LEN(AE37)</f>
        <v/>
      </c>
    </row>
    <row r="38" ht="15" customHeight="1" s="37">
      <c r="A38" s="58" t="inlineStr">
        <is>
          <t>VD-037</t>
        </is>
      </c>
      <c r="B38" s="58" t="inlineStr">
        <is>
          <t>Vilvah &amp; Deyga</t>
        </is>
      </c>
      <c r="C38" s="58" t="n">
        <v>37</v>
      </c>
      <c r="D38" s="58" t="inlineStr">
        <is>
          <t>Vilvah</t>
        </is>
      </c>
      <c r="E38" s="58" t="n"/>
      <c r="F38" s="58" t="inlineStr">
        <is>
          <t>Haircare</t>
        </is>
      </c>
      <c r="G38" s="58" t="inlineStr">
        <is>
          <t>Hair Accessories</t>
        </is>
      </c>
      <c r="H38" s="58" t="inlineStr">
        <is>
          <t>Sun Protection</t>
        </is>
      </c>
      <c r="I38" s="58" t="inlineStr">
        <is>
          <t>Men's Comb / Detangling Comb</t>
        </is>
      </c>
      <c r="J38" s="58" t="inlineStr">
        <is>
          <t>1 Piece</t>
        </is>
      </c>
      <c r="K38" s="58" t="n">
        <v>9.99</v>
      </c>
      <c r="L38" s="58" t="inlineStr">
        <is>
          <t>vilvah men's comb / detangling comb</t>
        </is>
      </c>
      <c r="M38" s="58" t="inlineStr">
        <is>
          <t>vilvah men's comb / detangling comb uk</t>
        </is>
      </c>
      <c r="N38" s="58" t="inlineStr">
        <is>
          <t>buy vilvah men's comb / detangling comb online</t>
        </is>
      </c>
      <c r="O38" s="58" t="inlineStr">
        <is>
          <t>vilvah men's comb / detangling comb price</t>
        </is>
      </c>
      <c r="P38" s="58" t="n"/>
      <c r="Q38" s="59">
        <f>IF(L38="","",IFERROR(INDEX('Semrush Data'!$A$1:$Z$20000,MATCH(L38,'Semrush Data'!$A$1:$A$20000,0),MATCH("Volume",'Semrush Data'!$A$1:$Z$1,0)),""))</f>
        <v/>
      </c>
      <c r="R38" s="59">
        <f>IF(M38="","",IFERROR(INDEX('Semrush Data'!$A$1:$Z$20000,MATCH(M38,'Semrush Data'!$A$1:$A$20000,0),MATCH("Volume",'Semrush Data'!$A$1:$Z$1,0)),""))</f>
        <v/>
      </c>
      <c r="S38" s="59">
        <f>IF(N38="","",IFERROR(INDEX('Semrush Data'!$A$1:$Z$20000,MATCH(N38,'Semrush Data'!$A$1:$A$20000,0),MATCH("Volume",'Semrush Data'!$A$1:$Z$1,0)),""))</f>
        <v/>
      </c>
      <c r="T38" s="59">
        <f>IF(O38="","",IFERROR(INDEX('Semrush Data'!$A$1:$Z$20000,MATCH(O38,'Semrush Data'!$A$1:$A$20000,0),MATCH("Volume",'Semrush Data'!$A$1:$Z$1,0)),""))</f>
        <v/>
      </c>
      <c r="U38" s="59">
        <f>IF(P38="","",IFERROR(INDEX('Semrush Data'!$A$1:$Z$20000,MATCH(P38,'Semrush Data'!$A$1:$A$20000,0),MATCH("Volume",'Semrush Data'!$A$1:$Z$1,0)),""))</f>
        <v/>
      </c>
      <c r="V38" s="60">
        <f>IF(COUNT(Q38:U38)=0,L38,IF(MAX(Q38:U38)=0,L38,INDEX(L38:P38,MATCH(MAX(Q38:U38),Q38:U38,0))))</f>
        <v/>
      </c>
      <c r="W38" s="59">
        <f>IFERROR(INDEX('Semrush Data'!$A$1:$Z$20000,MATCH(V38,'Semrush Data'!$A$1:$A$20000,0),MATCH("Volume",'Semrush Data'!$A$1:$Z$1,0)),"")</f>
        <v/>
      </c>
      <c r="X38" s="59">
        <f>IFERROR(INDEX('Semrush Data'!$A$1:$Z$20000,MATCH(V38,'Semrush Data'!$A$1:$A$20000,0),MATCH("Keyword Difficulty*",'Semrush Data'!$A$1:$Z$1,0)),"")</f>
        <v/>
      </c>
      <c r="Y38" s="61">
        <f>IFERROR(INDEX('Semrush Data'!$A$1:$Z$20000,MATCH(V38,'Semrush Data'!$A$1:$A$20000,0),MATCH("CPC*",'Semrush Data'!$A$1:$Z$1,0)),"")</f>
        <v/>
      </c>
      <c r="Z38" s="58" t="inlineStr">
        <is>
          <t>vilvah hair accessories · natural hair accessories uk</t>
        </is>
      </c>
      <c r="AA38" s="58" t="n"/>
      <c r="AB38" s="58" t="inlineStr">
        <is>
          <t>Vilvah Men's Comb / Detangling Comb</t>
        </is>
      </c>
      <c r="AC38" s="58" t="inlineStr">
        <is>
          <t>Vilvah Men's Comb / Detangling Comb | Swansura UK</t>
        </is>
      </c>
      <c r="AD38" s="58">
        <f>LEN(AC38)</f>
        <v/>
      </c>
      <c r="AE38" s="58" t="inlineStr">
        <is>
          <t>Buy Vilvah Men's Comb / Detangling Comb online at Swansura, official UK partner of Vilvah. Natural hair accessories. 100% authentic, free UK delivery over £50.</t>
        </is>
      </c>
      <c r="AF38" s="58">
        <f>LEN(AE38)</f>
        <v/>
      </c>
    </row>
    <row r="39" ht="15" customHeight="1" s="37">
      <c r="A39" s="58" t="inlineStr">
        <is>
          <t>VD-038</t>
        </is>
      </c>
      <c r="B39" s="58" t="inlineStr">
        <is>
          <t>Vilvah &amp; Deyga</t>
        </is>
      </c>
      <c r="C39" s="58" t="n">
        <v>38</v>
      </c>
      <c r="D39" s="58" t="inlineStr">
        <is>
          <t>Vilvah</t>
        </is>
      </c>
      <c r="E39" s="58" t="n"/>
      <c r="F39" s="58" t="inlineStr">
        <is>
          <t>Skincare</t>
        </is>
      </c>
      <c r="G39" s="58" t="inlineStr">
        <is>
          <t>Serums</t>
        </is>
      </c>
      <c r="H39" s="58" t="inlineStr">
        <is>
          <t>Dull Skin</t>
        </is>
      </c>
      <c r="I39" s="58" t="inlineStr">
        <is>
          <t>Milk Drops Brightening Serum 20ml</t>
        </is>
      </c>
      <c r="J39" s="58" t="inlineStr">
        <is>
          <t>20 ml</t>
        </is>
      </c>
      <c r="K39" s="58" t="n">
        <v>20.99</v>
      </c>
      <c r="L39" s="58" t="inlineStr">
        <is>
          <t>vilvah milk drops brightening serum</t>
        </is>
      </c>
      <c r="M39" s="58" t="inlineStr">
        <is>
          <t>vilvah milk drops brightening serum uk</t>
        </is>
      </c>
      <c r="N39" s="58" t="inlineStr">
        <is>
          <t>buy vilvah milk drops brightening serum online</t>
        </is>
      </c>
      <c r="O39" s="58" t="inlineStr">
        <is>
          <t>vilvah milk drops brightening serum price</t>
        </is>
      </c>
      <c r="P39" s="58" t="n"/>
      <c r="Q39" s="59">
        <f>IF(L39="","",IFERROR(INDEX('Semrush Data'!$A$1:$Z$20000,MATCH(L39,'Semrush Data'!$A$1:$A$20000,0),MATCH("Volume",'Semrush Data'!$A$1:$Z$1,0)),""))</f>
        <v/>
      </c>
      <c r="R39" s="59">
        <f>IF(M39="","",IFERROR(INDEX('Semrush Data'!$A$1:$Z$20000,MATCH(M39,'Semrush Data'!$A$1:$A$20000,0),MATCH("Volume",'Semrush Data'!$A$1:$Z$1,0)),""))</f>
        <v/>
      </c>
      <c r="S39" s="59">
        <f>IF(N39="","",IFERROR(INDEX('Semrush Data'!$A$1:$Z$20000,MATCH(N39,'Semrush Data'!$A$1:$A$20000,0),MATCH("Volume",'Semrush Data'!$A$1:$Z$1,0)),""))</f>
        <v/>
      </c>
      <c r="T39" s="59">
        <f>IF(O39="","",IFERROR(INDEX('Semrush Data'!$A$1:$Z$20000,MATCH(O39,'Semrush Data'!$A$1:$A$20000,0),MATCH("Volume",'Semrush Data'!$A$1:$Z$1,0)),""))</f>
        <v/>
      </c>
      <c r="U39" s="59">
        <f>IF(P39="","",IFERROR(INDEX('Semrush Data'!$A$1:$Z$20000,MATCH(P39,'Semrush Data'!$A$1:$A$20000,0),MATCH("Volume",'Semrush Data'!$A$1:$Z$1,0)),""))</f>
        <v/>
      </c>
      <c r="V39" s="60">
        <f>IF(COUNT(Q39:U39)=0,L39,IF(MAX(Q39:U39)=0,L39,INDEX(L39:P39,MATCH(MAX(Q39:U39),Q39:U39,0))))</f>
        <v/>
      </c>
      <c r="W39" s="59">
        <f>IFERROR(INDEX('Semrush Data'!$A$1:$Z$20000,MATCH(V39,'Semrush Data'!$A$1:$A$20000,0),MATCH("Volume",'Semrush Data'!$A$1:$Z$1,0)),"")</f>
        <v/>
      </c>
      <c r="X39" s="59">
        <f>IFERROR(INDEX('Semrush Data'!$A$1:$Z$20000,MATCH(V39,'Semrush Data'!$A$1:$A$20000,0),MATCH("Keyword Difficulty*",'Semrush Data'!$A$1:$Z$1,0)),"")</f>
        <v/>
      </c>
      <c r="Y39" s="61">
        <f>IFERROR(INDEX('Semrush Data'!$A$1:$Z$20000,MATCH(V39,'Semrush Data'!$A$1:$A$20000,0),MATCH("CPC*",'Semrush Data'!$A$1:$Z$1,0)),"")</f>
        <v/>
      </c>
      <c r="Z39" s="58" t="inlineStr">
        <is>
          <t>vilvah face serum · face serum for dull skin · natural face serum uk</t>
        </is>
      </c>
      <c r="AA39" s="58" t="inlineStr">
        <is>
          <t>vilvah milk drops brightening serum review · vilvah milk drops brightening serum how to use · vilvah milk drops brightening serum ingredients · vilvah milk drops brightening serum benefits</t>
        </is>
      </c>
      <c r="AB39" s="58" t="inlineStr">
        <is>
          <t>Vilvah Milk Drops Brightening Serum</t>
        </is>
      </c>
      <c r="AC39" s="58" t="inlineStr">
        <is>
          <t>Vilvah Milk Drops Brightening Serum | Swansura UK</t>
        </is>
      </c>
      <c r="AD39" s="58">
        <f>LEN(AC39)</f>
        <v/>
      </c>
      <c r="AE39" s="58" t="inlineStr">
        <is>
          <t>Buy Vilvah Milk Drops Brightening Serum online in the UK at Swansura, official UK partner of Vilvah. A natural serum for dull skin. Free UK delivery over £50.</t>
        </is>
      </c>
      <c r="AF39" s="58">
        <f>LEN(AE39)</f>
        <v/>
      </c>
    </row>
    <row r="40" ht="15" customHeight="1" s="37">
      <c r="A40" s="58" t="inlineStr">
        <is>
          <t>VD-039</t>
        </is>
      </c>
      <c r="B40" s="58" t="inlineStr">
        <is>
          <t>Vilvah &amp; Deyga</t>
        </is>
      </c>
      <c r="C40" s="58" t="n">
        <v>39</v>
      </c>
      <c r="D40" s="58" t="inlineStr">
        <is>
          <t>Vilvah</t>
        </is>
      </c>
      <c r="E40" s="58" t="n"/>
      <c r="F40" s="58" t="inlineStr">
        <is>
          <t>Skincare</t>
        </is>
      </c>
      <c r="G40" s="58" t="inlineStr">
        <is>
          <t>Serums</t>
        </is>
      </c>
      <c r="H40" s="58" t="inlineStr">
        <is>
          <t>Dull Skin</t>
        </is>
      </c>
      <c r="I40" s="58" t="inlineStr">
        <is>
          <t>Milk Drops Brightening Serum 40ml</t>
        </is>
      </c>
      <c r="J40" s="58" t="inlineStr">
        <is>
          <t>40 ml</t>
        </is>
      </c>
      <c r="K40" s="58" t="n">
        <v>29.99</v>
      </c>
      <c r="L40" s="58" t="inlineStr">
        <is>
          <t>vilvah milk drops brightening serum</t>
        </is>
      </c>
      <c r="M40" s="58" t="inlineStr">
        <is>
          <t>vilvah milk drops brightening serum uk</t>
        </is>
      </c>
      <c r="N40" s="58" t="inlineStr">
        <is>
          <t>buy vilvah milk drops brightening serum online</t>
        </is>
      </c>
      <c r="O40" s="58" t="inlineStr">
        <is>
          <t>vilvah milk drops brightening serum price</t>
        </is>
      </c>
      <c r="P40" s="58" t="n"/>
      <c r="Q40" s="59">
        <f>IF(L40="","",IFERROR(INDEX('Semrush Data'!$A$1:$Z$20000,MATCH(L40,'Semrush Data'!$A$1:$A$20000,0),MATCH("Volume",'Semrush Data'!$A$1:$Z$1,0)),""))</f>
        <v/>
      </c>
      <c r="R40" s="59">
        <f>IF(M40="","",IFERROR(INDEX('Semrush Data'!$A$1:$Z$20000,MATCH(M40,'Semrush Data'!$A$1:$A$20000,0),MATCH("Volume",'Semrush Data'!$A$1:$Z$1,0)),""))</f>
        <v/>
      </c>
      <c r="S40" s="59">
        <f>IF(N40="","",IFERROR(INDEX('Semrush Data'!$A$1:$Z$20000,MATCH(N40,'Semrush Data'!$A$1:$A$20000,0),MATCH("Volume",'Semrush Data'!$A$1:$Z$1,0)),""))</f>
        <v/>
      </c>
      <c r="T40" s="59">
        <f>IF(O40="","",IFERROR(INDEX('Semrush Data'!$A$1:$Z$20000,MATCH(O40,'Semrush Data'!$A$1:$A$20000,0),MATCH("Volume",'Semrush Data'!$A$1:$Z$1,0)),""))</f>
        <v/>
      </c>
      <c r="U40" s="59">
        <f>IF(P40="","",IFERROR(INDEX('Semrush Data'!$A$1:$Z$20000,MATCH(P40,'Semrush Data'!$A$1:$A$20000,0),MATCH("Volume",'Semrush Data'!$A$1:$Z$1,0)),""))</f>
        <v/>
      </c>
      <c r="V40" s="60">
        <f>IF(COUNT(Q40:U40)=0,L40,IF(MAX(Q40:U40)=0,L40,INDEX(L40:P40,MATCH(MAX(Q40:U40),Q40:U40,0))))</f>
        <v/>
      </c>
      <c r="W40" s="59">
        <f>IFERROR(INDEX('Semrush Data'!$A$1:$Z$20000,MATCH(V40,'Semrush Data'!$A$1:$A$20000,0),MATCH("Volume",'Semrush Data'!$A$1:$Z$1,0)),"")</f>
        <v/>
      </c>
      <c r="X40" s="59">
        <f>IFERROR(INDEX('Semrush Data'!$A$1:$Z$20000,MATCH(V40,'Semrush Data'!$A$1:$A$20000,0),MATCH("Keyword Difficulty*",'Semrush Data'!$A$1:$Z$1,0)),"")</f>
        <v/>
      </c>
      <c r="Y40" s="61">
        <f>IFERROR(INDEX('Semrush Data'!$A$1:$Z$20000,MATCH(V40,'Semrush Data'!$A$1:$A$20000,0),MATCH("CPC*",'Semrush Data'!$A$1:$Z$1,0)),"")</f>
        <v/>
      </c>
      <c r="Z40" s="58" t="inlineStr">
        <is>
          <t>vilvah face serum · face serum for dull skin · natural face serum uk</t>
        </is>
      </c>
      <c r="AA40" s="58" t="inlineStr">
        <is>
          <t>vilvah milk drops brightening serum review · vilvah milk drops brightening serum how to use · vilvah milk drops brightening serum ingredients · vilvah milk drops brightening serum benefits</t>
        </is>
      </c>
      <c r="AB40" s="58" t="inlineStr">
        <is>
          <t>Vilvah Milk Drops Brightening Serum</t>
        </is>
      </c>
      <c r="AC40" s="58" t="inlineStr">
        <is>
          <t>Vilvah Milk Drops Brightening Serum | Swansura UK</t>
        </is>
      </c>
      <c r="AD40" s="58">
        <f>LEN(AC40)</f>
        <v/>
      </c>
      <c r="AE40" s="58" t="inlineStr">
        <is>
          <t>Buy Vilvah Milk Drops Brightening Serum online in the UK at Swansura, official UK partner of Vilvah. A natural serum for dull skin. Free UK delivery over £50.</t>
        </is>
      </c>
      <c r="AF40" s="58">
        <f>LEN(AE40)</f>
        <v/>
      </c>
    </row>
    <row r="41" ht="15" customHeight="1" s="37">
      <c r="A41" s="58" t="inlineStr">
        <is>
          <t>VD-040</t>
        </is>
      </c>
      <c r="B41" s="58" t="inlineStr">
        <is>
          <t>Vilvah &amp; Deyga</t>
        </is>
      </c>
      <c r="C41" s="58" t="n">
        <v>40</v>
      </c>
      <c r="D41" s="58" t="inlineStr">
        <is>
          <t>Vilvah</t>
        </is>
      </c>
      <c r="E41" s="58" t="n"/>
      <c r="F41" s="58" t="inlineStr">
        <is>
          <t>Skincare</t>
        </is>
      </c>
      <c r="G41" s="58" t="inlineStr">
        <is>
          <t>Lip Care</t>
        </is>
      </c>
      <c r="H41" s="58" t="inlineStr">
        <is>
          <t>Dry Lips</t>
        </is>
      </c>
      <c r="I41" s="58" t="inlineStr">
        <is>
          <t>Milk Lip Balm SPF 30 PA+++</t>
        </is>
      </c>
      <c r="J41" s="58" t="inlineStr">
        <is>
          <t>4 g</t>
        </is>
      </c>
      <c r="K41" s="58" t="n">
        <v>9.99</v>
      </c>
      <c r="L41" s="58" t="inlineStr">
        <is>
          <t>vilvah milk lip balm spf 30 pa+++</t>
        </is>
      </c>
      <c r="M41" s="58" t="inlineStr">
        <is>
          <t>vilvah milk lip balm spf 30 pa+++ uk</t>
        </is>
      </c>
      <c r="N41" s="58" t="inlineStr">
        <is>
          <t>buy vilvah milk lip balm spf 30 pa+++ online</t>
        </is>
      </c>
      <c r="O41" s="58" t="inlineStr">
        <is>
          <t>vilvah milk lip balm spf 30 pa+++ price</t>
        </is>
      </c>
      <c r="P41" s="58" t="n"/>
      <c r="Q41" s="59">
        <f>IF(L41="","",IFERROR(INDEX('Semrush Data'!$A$1:$Z$20000,MATCH(L41,'Semrush Data'!$A$1:$A$20000,0),MATCH("Volume",'Semrush Data'!$A$1:$Z$1,0)),""))</f>
        <v/>
      </c>
      <c r="R41" s="59">
        <f>IF(M41="","",IFERROR(INDEX('Semrush Data'!$A$1:$Z$20000,MATCH(M41,'Semrush Data'!$A$1:$A$20000,0),MATCH("Volume",'Semrush Data'!$A$1:$Z$1,0)),""))</f>
        <v/>
      </c>
      <c r="S41" s="59">
        <f>IF(N41="","",IFERROR(INDEX('Semrush Data'!$A$1:$Z$20000,MATCH(N41,'Semrush Data'!$A$1:$A$20000,0),MATCH("Volume",'Semrush Data'!$A$1:$Z$1,0)),""))</f>
        <v/>
      </c>
      <c r="T41" s="59">
        <f>IF(O41="","",IFERROR(INDEX('Semrush Data'!$A$1:$Z$20000,MATCH(O41,'Semrush Data'!$A$1:$A$20000,0),MATCH("Volume",'Semrush Data'!$A$1:$Z$1,0)),""))</f>
        <v/>
      </c>
      <c r="U41" s="59">
        <f>IF(P41="","",IFERROR(INDEX('Semrush Data'!$A$1:$Z$20000,MATCH(P41,'Semrush Data'!$A$1:$A$20000,0),MATCH("Volume",'Semrush Data'!$A$1:$Z$1,0)),""))</f>
        <v/>
      </c>
      <c r="V41" s="60">
        <f>IF(COUNT(Q41:U41)=0,L41,IF(MAX(Q41:U41)=0,L41,INDEX(L41:P41,MATCH(MAX(Q41:U41),Q41:U41,0))))</f>
        <v/>
      </c>
      <c r="W41" s="59">
        <f>IFERROR(INDEX('Semrush Data'!$A$1:$Z$20000,MATCH(V41,'Semrush Data'!$A$1:$A$20000,0),MATCH("Volume",'Semrush Data'!$A$1:$Z$1,0)),"")</f>
        <v/>
      </c>
      <c r="X41" s="59">
        <f>IFERROR(INDEX('Semrush Data'!$A$1:$Z$20000,MATCH(V41,'Semrush Data'!$A$1:$A$20000,0),MATCH("Keyword Difficulty*",'Semrush Data'!$A$1:$Z$1,0)),"")</f>
        <v/>
      </c>
      <c r="Y41" s="61">
        <f>IFERROR(INDEX('Semrush Data'!$A$1:$Z$20000,MATCH(V41,'Semrush Data'!$A$1:$A$20000,0),MATCH("CPC*",'Semrush Data'!$A$1:$Z$1,0)),"")</f>
        <v/>
      </c>
      <c r="Z41" s="58" t="inlineStr">
        <is>
          <t>vilvah lip balm · lip balm for dry lips · natural lip balm uk</t>
        </is>
      </c>
      <c r="AA41" s="58" t="n"/>
      <c r="AB41" s="58" t="inlineStr">
        <is>
          <t>Vilvah Milk Lip Balm SPF 30 PA</t>
        </is>
      </c>
      <c r="AC41" s="58" t="inlineStr">
        <is>
          <t>Vilvah Milk Lip Balm SPF 30 PA | Buy Online UK | Swansura</t>
        </is>
      </c>
      <c r="AD41" s="58">
        <f>LEN(AC41)</f>
        <v/>
      </c>
      <c r="AE41" s="58" t="inlineStr">
        <is>
          <t>Buy Vilvah Milk Lip Balm SPF 30 PA online in the UK at Swansura, official UK partner of Vilvah. Natural lip care. 100% authentic, free UK delivery over £50.</t>
        </is>
      </c>
      <c r="AF41" s="58">
        <f>LEN(AE41)</f>
        <v/>
      </c>
    </row>
    <row r="42" ht="15" customHeight="1" s="37">
      <c r="A42" s="58" t="inlineStr">
        <is>
          <t>VD-041</t>
        </is>
      </c>
      <c r="B42" s="58" t="inlineStr">
        <is>
          <t>Vilvah &amp; Deyga</t>
        </is>
      </c>
      <c r="C42" s="58" t="n">
        <v>41</v>
      </c>
      <c r="D42" s="58" t="inlineStr">
        <is>
          <t>Vilvah</t>
        </is>
      </c>
      <c r="E42" s="58" t="n"/>
      <c r="F42" s="58" t="inlineStr">
        <is>
          <t>Haircare</t>
        </is>
      </c>
      <c r="G42" s="58" t="inlineStr">
        <is>
          <t>Hair Accessories</t>
        </is>
      </c>
      <c r="H42" s="58" t="inlineStr">
        <is>
          <t>Hair Nourishment</t>
        </is>
      </c>
      <c r="I42" s="58" t="inlineStr">
        <is>
          <t>Neem Wood Comb (With Handle)</t>
        </is>
      </c>
      <c r="J42" s="58" t="inlineStr">
        <is>
          <t>1 Piece</t>
        </is>
      </c>
      <c r="K42" s="58" t="n">
        <v>9.99</v>
      </c>
      <c r="L42" s="58" t="inlineStr">
        <is>
          <t>vilvah neem wood comb (with handle)</t>
        </is>
      </c>
      <c r="M42" s="58" t="inlineStr">
        <is>
          <t>vilvah neem wood comb (with handle) uk</t>
        </is>
      </c>
      <c r="N42" s="58" t="inlineStr">
        <is>
          <t>buy vilvah neem wood comb (with handle) online</t>
        </is>
      </c>
      <c r="O42" s="58" t="inlineStr">
        <is>
          <t>vilvah neem wood comb (with handle) price</t>
        </is>
      </c>
      <c r="P42" s="58" t="n"/>
      <c r="Q42" s="59">
        <f>IF(L42="","",IFERROR(INDEX('Semrush Data'!$A$1:$Z$20000,MATCH(L42,'Semrush Data'!$A$1:$A$20000,0),MATCH("Volume",'Semrush Data'!$A$1:$Z$1,0)),""))</f>
        <v/>
      </c>
      <c r="R42" s="59">
        <f>IF(M42="","",IFERROR(INDEX('Semrush Data'!$A$1:$Z$20000,MATCH(M42,'Semrush Data'!$A$1:$A$20000,0),MATCH("Volume",'Semrush Data'!$A$1:$Z$1,0)),""))</f>
        <v/>
      </c>
      <c r="S42" s="59">
        <f>IF(N42="","",IFERROR(INDEX('Semrush Data'!$A$1:$Z$20000,MATCH(N42,'Semrush Data'!$A$1:$A$20000,0),MATCH("Volume",'Semrush Data'!$A$1:$Z$1,0)),""))</f>
        <v/>
      </c>
      <c r="T42" s="59">
        <f>IF(O42="","",IFERROR(INDEX('Semrush Data'!$A$1:$Z$20000,MATCH(O42,'Semrush Data'!$A$1:$A$20000,0),MATCH("Volume",'Semrush Data'!$A$1:$Z$1,0)),""))</f>
        <v/>
      </c>
      <c r="U42" s="59">
        <f>IF(P42="","",IFERROR(INDEX('Semrush Data'!$A$1:$Z$20000,MATCH(P42,'Semrush Data'!$A$1:$A$20000,0),MATCH("Volume",'Semrush Data'!$A$1:$Z$1,0)),""))</f>
        <v/>
      </c>
      <c r="V42" s="60">
        <f>IF(COUNT(Q42:U42)=0,L42,IF(MAX(Q42:U42)=0,L42,INDEX(L42:P42,MATCH(MAX(Q42:U42),Q42:U42,0))))</f>
        <v/>
      </c>
      <c r="W42" s="59">
        <f>IFERROR(INDEX('Semrush Data'!$A$1:$Z$20000,MATCH(V42,'Semrush Data'!$A$1:$A$20000,0),MATCH("Volume",'Semrush Data'!$A$1:$Z$1,0)),"")</f>
        <v/>
      </c>
      <c r="X42" s="59">
        <f>IFERROR(INDEX('Semrush Data'!$A$1:$Z$20000,MATCH(V42,'Semrush Data'!$A$1:$A$20000,0),MATCH("Keyword Difficulty*",'Semrush Data'!$A$1:$Z$1,0)),"")</f>
        <v/>
      </c>
      <c r="Y42" s="61">
        <f>IFERROR(INDEX('Semrush Data'!$A$1:$Z$20000,MATCH(V42,'Semrush Data'!$A$1:$A$20000,0),MATCH("CPC*",'Semrush Data'!$A$1:$Z$1,0)),"")</f>
        <v/>
      </c>
      <c r="Z42" s="58" t="inlineStr">
        <is>
          <t>vilvah hair accessories · hair accessories for hair nourishment · natural hair accessories uk</t>
        </is>
      </c>
      <c r="AA42" s="58" t="n"/>
      <c r="AB42" s="58" t="inlineStr">
        <is>
          <t>Vilvah Neem Wood Comb (With Handle)</t>
        </is>
      </c>
      <c r="AC42" s="58" t="inlineStr">
        <is>
          <t>Vilvah Neem Wood Comb (With Handle) | Swansura UK</t>
        </is>
      </c>
      <c r="AD42" s="58">
        <f>LEN(AC42)</f>
        <v/>
      </c>
      <c r="AE42" s="58" t="inlineStr">
        <is>
          <t>Buy Vilvah Neem Wood Comb (With Handle) online at Swansura, official UK partner of Vilvah. Natural hair accessories. 100% authentic, free UK delivery over £50.</t>
        </is>
      </c>
      <c r="AF42" s="58">
        <f>LEN(AE42)</f>
        <v/>
      </c>
    </row>
    <row r="43" ht="15" customHeight="1" s="37">
      <c r="A43" s="58" t="inlineStr">
        <is>
          <t>VD-042</t>
        </is>
      </c>
      <c r="B43" s="58" t="inlineStr">
        <is>
          <t>Vilvah &amp; Deyga</t>
        </is>
      </c>
      <c r="C43" s="58" t="n">
        <v>42</v>
      </c>
      <c r="D43" s="58" t="inlineStr">
        <is>
          <t>Vilvah</t>
        </is>
      </c>
      <c r="E43" s="58" t="n"/>
      <c r="F43" s="58" t="inlineStr">
        <is>
          <t>Haircare</t>
        </is>
      </c>
      <c r="G43" s="58" t="inlineStr">
        <is>
          <t>Hair Accessories</t>
        </is>
      </c>
      <c r="H43" s="58" t="inlineStr">
        <is>
          <t>Hair Nourishment</t>
        </is>
      </c>
      <c r="I43" s="58" t="inlineStr">
        <is>
          <t>Neem Wood Comb(Fine and wide tooth)</t>
        </is>
      </c>
      <c r="J43" s="58" t="inlineStr">
        <is>
          <t>1 Piece</t>
        </is>
      </c>
      <c r="K43" s="58" t="n">
        <v>9.99</v>
      </c>
      <c r="L43" s="58" t="inlineStr">
        <is>
          <t>vilvah neem wood comb(fine and wide tooth)</t>
        </is>
      </c>
      <c r="M43" s="58" t="inlineStr">
        <is>
          <t>vilvah neem wood comb(fine and wide tooth) uk</t>
        </is>
      </c>
      <c r="N43" s="58" t="inlineStr">
        <is>
          <t>buy vilvah neem wood comb(fine and wide tooth) online</t>
        </is>
      </c>
      <c r="O43" s="58" t="inlineStr">
        <is>
          <t>vilvah neem wood comb(fine and wide tooth) price</t>
        </is>
      </c>
      <c r="P43" s="58" t="n"/>
      <c r="Q43" s="59">
        <f>IF(L43="","",IFERROR(INDEX('Semrush Data'!$A$1:$Z$20000,MATCH(L43,'Semrush Data'!$A$1:$A$20000,0),MATCH("Volume",'Semrush Data'!$A$1:$Z$1,0)),""))</f>
        <v/>
      </c>
      <c r="R43" s="59">
        <f>IF(M43="","",IFERROR(INDEX('Semrush Data'!$A$1:$Z$20000,MATCH(M43,'Semrush Data'!$A$1:$A$20000,0),MATCH("Volume",'Semrush Data'!$A$1:$Z$1,0)),""))</f>
        <v/>
      </c>
      <c r="S43" s="59">
        <f>IF(N43="","",IFERROR(INDEX('Semrush Data'!$A$1:$Z$20000,MATCH(N43,'Semrush Data'!$A$1:$A$20000,0),MATCH("Volume",'Semrush Data'!$A$1:$Z$1,0)),""))</f>
        <v/>
      </c>
      <c r="T43" s="59">
        <f>IF(O43="","",IFERROR(INDEX('Semrush Data'!$A$1:$Z$20000,MATCH(O43,'Semrush Data'!$A$1:$A$20000,0),MATCH("Volume",'Semrush Data'!$A$1:$Z$1,0)),""))</f>
        <v/>
      </c>
      <c r="U43" s="59">
        <f>IF(P43="","",IFERROR(INDEX('Semrush Data'!$A$1:$Z$20000,MATCH(P43,'Semrush Data'!$A$1:$A$20000,0),MATCH("Volume",'Semrush Data'!$A$1:$Z$1,0)),""))</f>
        <v/>
      </c>
      <c r="V43" s="60">
        <f>IF(COUNT(Q43:U43)=0,L43,IF(MAX(Q43:U43)=0,L43,INDEX(L43:P43,MATCH(MAX(Q43:U43),Q43:U43,0))))</f>
        <v/>
      </c>
      <c r="W43" s="59">
        <f>IFERROR(INDEX('Semrush Data'!$A$1:$Z$20000,MATCH(V43,'Semrush Data'!$A$1:$A$20000,0),MATCH("Volume",'Semrush Data'!$A$1:$Z$1,0)),"")</f>
        <v/>
      </c>
      <c r="X43" s="59">
        <f>IFERROR(INDEX('Semrush Data'!$A$1:$Z$20000,MATCH(V43,'Semrush Data'!$A$1:$A$20000,0),MATCH("Keyword Difficulty*",'Semrush Data'!$A$1:$Z$1,0)),"")</f>
        <v/>
      </c>
      <c r="Y43" s="61">
        <f>IFERROR(INDEX('Semrush Data'!$A$1:$Z$20000,MATCH(V43,'Semrush Data'!$A$1:$A$20000,0),MATCH("CPC*",'Semrush Data'!$A$1:$Z$1,0)),"")</f>
        <v/>
      </c>
      <c r="Z43" s="58" t="inlineStr">
        <is>
          <t>vilvah hair accessories · hair accessories for hair nourishment · natural hair accessories uk</t>
        </is>
      </c>
      <c r="AA43" s="58" t="n"/>
      <c r="AB43" s="58" t="inlineStr">
        <is>
          <t>Vilvah Neem Wood Comb(Fine and Wide Tooth)</t>
        </is>
      </c>
      <c r="AC43" s="58" t="inlineStr">
        <is>
          <t>Vilvah Neem Wood Comb(Fine and Wide Tooth) | Swansura UK</t>
        </is>
      </c>
      <c r="AD43" s="58">
        <f>LEN(AC43)</f>
        <v/>
      </c>
      <c r="AE43" s="58" t="inlineStr">
        <is>
          <t>Buy Vilvah Neem Wood Comb(Fine and Wide Tooth) online in the UK at Swansura, official UK partner of Vilvah. Natural hair accessories. Free UK delivery over £50.</t>
        </is>
      </c>
      <c r="AF43" s="58">
        <f>LEN(AE43)</f>
        <v/>
      </c>
    </row>
    <row r="44" ht="15" customHeight="1" s="37">
      <c r="A44" s="58" t="inlineStr">
        <is>
          <t>VD-043</t>
        </is>
      </c>
      <c r="B44" s="58" t="inlineStr">
        <is>
          <t>Vilvah &amp; Deyga</t>
        </is>
      </c>
      <c r="C44" s="58" t="n">
        <v>43</v>
      </c>
      <c r="D44" s="58" t="inlineStr">
        <is>
          <t>Vilvah</t>
        </is>
      </c>
      <c r="E44" s="58" t="n"/>
      <c r="F44" s="58" t="inlineStr">
        <is>
          <t>Skincare</t>
        </is>
      </c>
      <c r="G44" s="58" t="inlineStr">
        <is>
          <t>Moisturisers</t>
        </is>
      </c>
      <c r="H44" s="58" t="inlineStr">
        <is>
          <t>Dark Circles</t>
        </is>
      </c>
      <c r="I44" s="58" t="inlineStr">
        <is>
          <t>Under Eye Cream (Dark Circles Control)</t>
        </is>
      </c>
      <c r="J44" s="58" t="inlineStr">
        <is>
          <t>20 ml</t>
        </is>
      </c>
      <c r="K44" s="58" t="n">
        <v>19.99</v>
      </c>
      <c r="L44" s="58" t="inlineStr">
        <is>
          <t>vilvah under eye cream (dark circles control)</t>
        </is>
      </c>
      <c r="M44" s="58" t="inlineStr">
        <is>
          <t>vilvah under eye cream (dark circles control) uk</t>
        </is>
      </c>
      <c r="N44" s="58" t="inlineStr">
        <is>
          <t>buy vilvah under eye cream (dark circles control) online</t>
        </is>
      </c>
      <c r="O44" s="58" t="inlineStr">
        <is>
          <t>vilvah under eye cream (dark circles control) price</t>
        </is>
      </c>
      <c r="P44" s="58" t="n"/>
      <c r="Q44" s="59">
        <f>IF(L44="","",IFERROR(INDEX('Semrush Data'!$A$1:$Z$20000,MATCH(L44,'Semrush Data'!$A$1:$A$20000,0),MATCH("Volume",'Semrush Data'!$A$1:$Z$1,0)),""))</f>
        <v/>
      </c>
      <c r="R44" s="59">
        <f>IF(M44="","",IFERROR(INDEX('Semrush Data'!$A$1:$Z$20000,MATCH(M44,'Semrush Data'!$A$1:$A$20000,0),MATCH("Volume",'Semrush Data'!$A$1:$Z$1,0)),""))</f>
        <v/>
      </c>
      <c r="S44" s="59">
        <f>IF(N44="","",IFERROR(INDEX('Semrush Data'!$A$1:$Z$20000,MATCH(N44,'Semrush Data'!$A$1:$A$20000,0),MATCH("Volume",'Semrush Data'!$A$1:$Z$1,0)),""))</f>
        <v/>
      </c>
      <c r="T44" s="59">
        <f>IF(O44="","",IFERROR(INDEX('Semrush Data'!$A$1:$Z$20000,MATCH(O44,'Semrush Data'!$A$1:$A$20000,0),MATCH("Volume",'Semrush Data'!$A$1:$Z$1,0)),""))</f>
        <v/>
      </c>
      <c r="U44" s="59">
        <f>IF(P44="","",IFERROR(INDEX('Semrush Data'!$A$1:$Z$20000,MATCH(P44,'Semrush Data'!$A$1:$A$20000,0),MATCH("Volume",'Semrush Data'!$A$1:$Z$1,0)),""))</f>
        <v/>
      </c>
      <c r="V44" s="60">
        <f>IF(COUNT(Q44:U44)=0,L44,IF(MAX(Q44:U44)=0,L44,INDEX(L44:P44,MATCH(MAX(Q44:U44),Q44:U44,0))))</f>
        <v/>
      </c>
      <c r="W44" s="59">
        <f>IFERROR(INDEX('Semrush Data'!$A$1:$Z$20000,MATCH(V44,'Semrush Data'!$A$1:$A$20000,0),MATCH("Volume",'Semrush Data'!$A$1:$Z$1,0)),"")</f>
        <v/>
      </c>
      <c r="X44" s="59">
        <f>IFERROR(INDEX('Semrush Data'!$A$1:$Z$20000,MATCH(V44,'Semrush Data'!$A$1:$A$20000,0),MATCH("Keyword Difficulty*",'Semrush Data'!$A$1:$Z$1,0)),"")</f>
        <v/>
      </c>
      <c r="Y44" s="61">
        <f>IFERROR(INDEX('Semrush Data'!$A$1:$Z$20000,MATCH(V44,'Semrush Data'!$A$1:$A$20000,0),MATCH("CPC*",'Semrush Data'!$A$1:$Z$1,0)),"")</f>
        <v/>
      </c>
      <c r="Z44" s="58" t="inlineStr">
        <is>
          <t>vilvah moisturiser · moisturiser for dark circles · natural moisturiser uk</t>
        </is>
      </c>
      <c r="AA44" s="58" t="inlineStr">
        <is>
          <t>vilvah under eye cream dark circles control · how to use vilvah under eye cream</t>
        </is>
      </c>
      <c r="AB44" s="58" t="inlineStr">
        <is>
          <t>Vilvah Under Eye Cream (Dark Circles Control)</t>
        </is>
      </c>
      <c r="AC44" s="58" t="inlineStr">
        <is>
          <t>Vilvah Under Eye Cream (Dark Circles Control) | Swansura UK</t>
        </is>
      </c>
      <c r="AD44" s="58">
        <f>LEN(AC44)</f>
        <v/>
      </c>
      <c r="AE44" s="58" t="inlineStr">
        <is>
          <t>Buy Vilvah Under Eye Cream (Dark Circles Control) online in the UK at Swansura, official UK partner of Vilvah. Natural moisturiser. Free UK delivery over £50.</t>
        </is>
      </c>
      <c r="AF44" s="58">
        <f>LEN(AE44)</f>
        <v/>
      </c>
    </row>
    <row r="45" ht="15" customHeight="1" s="37">
      <c r="A45" s="58" t="inlineStr">
        <is>
          <t>VD-044</t>
        </is>
      </c>
      <c r="B45" s="58" t="inlineStr">
        <is>
          <t>Vilvah &amp; Deyga</t>
        </is>
      </c>
      <c r="C45" s="58" t="n">
        <v>44</v>
      </c>
      <c r="D45" s="58" t="inlineStr">
        <is>
          <t>Vilvah</t>
        </is>
      </c>
      <c r="E45" s="58" t="n"/>
      <c r="F45" s="58" t="inlineStr">
        <is>
          <t>Skincare</t>
        </is>
      </c>
      <c r="G45" s="58" t="inlineStr">
        <is>
          <t>Lip Care</t>
        </is>
      </c>
      <c r="H45" s="58" t="inlineStr">
        <is>
          <t>Dry Lips</t>
        </is>
      </c>
      <c r="I45" s="58" t="inlineStr">
        <is>
          <t>Filter Kaapi Lip Balm</t>
        </is>
      </c>
      <c r="J45" s="58" t="inlineStr">
        <is>
          <t>10 g</t>
        </is>
      </c>
      <c r="K45" s="58" t="n">
        <v>9.99</v>
      </c>
      <c r="L45" s="58" t="inlineStr">
        <is>
          <t>vilvah filter kaapi lip balm</t>
        </is>
      </c>
      <c r="M45" s="58" t="inlineStr">
        <is>
          <t>vilvah filter kaapi lip balm uk</t>
        </is>
      </c>
      <c r="N45" s="58" t="inlineStr">
        <is>
          <t>buy vilvah filter kaapi lip balm online</t>
        </is>
      </c>
      <c r="O45" s="58" t="inlineStr">
        <is>
          <t>vilvah filter kaapi lip balm price</t>
        </is>
      </c>
      <c r="P45" s="58" t="n"/>
      <c r="Q45" s="59">
        <f>IF(L45="","",IFERROR(INDEX('Semrush Data'!$A$1:$Z$20000,MATCH(L45,'Semrush Data'!$A$1:$A$20000,0),MATCH("Volume",'Semrush Data'!$A$1:$Z$1,0)),""))</f>
        <v/>
      </c>
      <c r="R45" s="59">
        <f>IF(M45="","",IFERROR(INDEX('Semrush Data'!$A$1:$Z$20000,MATCH(M45,'Semrush Data'!$A$1:$A$20000,0),MATCH("Volume",'Semrush Data'!$A$1:$Z$1,0)),""))</f>
        <v/>
      </c>
      <c r="S45" s="59">
        <f>IF(N45="","",IFERROR(INDEX('Semrush Data'!$A$1:$Z$20000,MATCH(N45,'Semrush Data'!$A$1:$A$20000,0),MATCH("Volume",'Semrush Data'!$A$1:$Z$1,0)),""))</f>
        <v/>
      </c>
      <c r="T45" s="59">
        <f>IF(O45="","",IFERROR(INDEX('Semrush Data'!$A$1:$Z$20000,MATCH(O45,'Semrush Data'!$A$1:$A$20000,0),MATCH("Volume",'Semrush Data'!$A$1:$Z$1,0)),""))</f>
        <v/>
      </c>
      <c r="U45" s="59">
        <f>IF(P45="","",IFERROR(INDEX('Semrush Data'!$A$1:$Z$20000,MATCH(P45,'Semrush Data'!$A$1:$A$20000,0),MATCH("Volume",'Semrush Data'!$A$1:$Z$1,0)),""))</f>
        <v/>
      </c>
      <c r="V45" s="60">
        <f>IF(COUNT(Q45:U45)=0,L45,IF(MAX(Q45:U45)=0,L45,INDEX(L45:P45,MATCH(MAX(Q45:U45),Q45:U45,0))))</f>
        <v/>
      </c>
      <c r="W45" s="59">
        <f>IFERROR(INDEX('Semrush Data'!$A$1:$Z$20000,MATCH(V45,'Semrush Data'!$A$1:$A$20000,0),MATCH("Volume",'Semrush Data'!$A$1:$Z$1,0)),"")</f>
        <v/>
      </c>
      <c r="X45" s="59">
        <f>IFERROR(INDEX('Semrush Data'!$A$1:$Z$20000,MATCH(V45,'Semrush Data'!$A$1:$A$20000,0),MATCH("Keyword Difficulty*",'Semrush Data'!$A$1:$Z$1,0)),"")</f>
        <v/>
      </c>
      <c r="Y45" s="61">
        <f>IFERROR(INDEX('Semrush Data'!$A$1:$Z$20000,MATCH(V45,'Semrush Data'!$A$1:$A$20000,0),MATCH("CPC*",'Semrush Data'!$A$1:$Z$1,0)),"")</f>
        <v/>
      </c>
      <c r="Z45" s="58" t="inlineStr">
        <is>
          <t>vilvah lip balm · lip balm for dry lips · natural lip balm uk</t>
        </is>
      </c>
      <c r="AA45" s="58" t="inlineStr">
        <is>
          <t>vilvah lip balm review · vilvah lip balm price</t>
        </is>
      </c>
      <c r="AB45" s="58" t="inlineStr">
        <is>
          <t>Vilvah Filter Kaapi Lip Balm</t>
        </is>
      </c>
      <c r="AC45" s="58" t="inlineStr">
        <is>
          <t>Vilvah Filter Kaapi Lip Balm | Buy Online UK | Swansura</t>
        </is>
      </c>
      <c r="AD45" s="58">
        <f>LEN(AC45)</f>
        <v/>
      </c>
      <c r="AE45" s="58" t="inlineStr">
        <is>
          <t>Buy Vilvah Filter Kaapi Lip Balm online at Swansura, official UK partner of Vilvah. A natural lip care for dry lips. 100% authentic, free UK delivery over £50.</t>
        </is>
      </c>
      <c r="AF45" s="58">
        <f>LEN(AE45)</f>
        <v/>
      </c>
    </row>
    <row r="46" ht="15" customHeight="1" s="37">
      <c r="A46" s="58" t="inlineStr">
        <is>
          <t>VD-045</t>
        </is>
      </c>
      <c r="B46" s="58" t="inlineStr">
        <is>
          <t>Vilvah &amp; Deyga</t>
        </is>
      </c>
      <c r="C46" s="58" t="n">
        <v>45</v>
      </c>
      <c r="D46" s="58" t="inlineStr">
        <is>
          <t>Vilvah</t>
        </is>
      </c>
      <c r="E46" s="58" t="n"/>
      <c r="F46" s="58" t="inlineStr">
        <is>
          <t>Skincare</t>
        </is>
      </c>
      <c r="G46" s="58" t="inlineStr">
        <is>
          <t>Lip Care</t>
        </is>
      </c>
      <c r="H46" s="58" t="inlineStr">
        <is>
          <t>Dry Lips</t>
        </is>
      </c>
      <c r="I46" s="58" t="inlineStr">
        <is>
          <t>Mango Shake Lip Balm</t>
        </is>
      </c>
      <c r="J46" s="58" t="inlineStr">
        <is>
          <t>10g</t>
        </is>
      </c>
      <c r="K46" s="58" t="n">
        <v>9.99</v>
      </c>
      <c r="L46" s="58" t="inlineStr">
        <is>
          <t>vilvah mango shake lip balm</t>
        </is>
      </c>
      <c r="M46" s="58" t="inlineStr">
        <is>
          <t>vilvah mango shake lip balm uk</t>
        </is>
      </c>
      <c r="N46" s="58" t="inlineStr">
        <is>
          <t>buy vilvah mango shake lip balm online</t>
        </is>
      </c>
      <c r="O46" s="58" t="inlineStr">
        <is>
          <t>vilvah mango shake lip balm price</t>
        </is>
      </c>
      <c r="P46" s="58" t="n"/>
      <c r="Q46" s="59">
        <f>IF(L46="","",IFERROR(INDEX('Semrush Data'!$A$1:$Z$20000,MATCH(L46,'Semrush Data'!$A$1:$A$20000,0),MATCH("Volume",'Semrush Data'!$A$1:$Z$1,0)),""))</f>
        <v/>
      </c>
      <c r="R46" s="59">
        <f>IF(M46="","",IFERROR(INDEX('Semrush Data'!$A$1:$Z$20000,MATCH(M46,'Semrush Data'!$A$1:$A$20000,0),MATCH("Volume",'Semrush Data'!$A$1:$Z$1,0)),""))</f>
        <v/>
      </c>
      <c r="S46" s="59">
        <f>IF(N46="","",IFERROR(INDEX('Semrush Data'!$A$1:$Z$20000,MATCH(N46,'Semrush Data'!$A$1:$A$20000,0),MATCH("Volume",'Semrush Data'!$A$1:$Z$1,0)),""))</f>
        <v/>
      </c>
      <c r="T46" s="59">
        <f>IF(O46="","",IFERROR(INDEX('Semrush Data'!$A$1:$Z$20000,MATCH(O46,'Semrush Data'!$A$1:$A$20000,0),MATCH("Volume",'Semrush Data'!$A$1:$Z$1,0)),""))</f>
        <v/>
      </c>
      <c r="U46" s="59">
        <f>IF(P46="","",IFERROR(INDEX('Semrush Data'!$A$1:$Z$20000,MATCH(P46,'Semrush Data'!$A$1:$A$20000,0),MATCH("Volume",'Semrush Data'!$A$1:$Z$1,0)),""))</f>
        <v/>
      </c>
      <c r="V46" s="60">
        <f>IF(COUNT(Q46:U46)=0,L46,IF(MAX(Q46:U46)=0,L46,INDEX(L46:P46,MATCH(MAX(Q46:U46),Q46:U46,0))))</f>
        <v/>
      </c>
      <c r="W46" s="59">
        <f>IFERROR(INDEX('Semrush Data'!$A$1:$Z$20000,MATCH(V46,'Semrush Data'!$A$1:$A$20000,0),MATCH("Volume",'Semrush Data'!$A$1:$Z$1,0)),"")</f>
        <v/>
      </c>
      <c r="X46" s="59">
        <f>IFERROR(INDEX('Semrush Data'!$A$1:$Z$20000,MATCH(V46,'Semrush Data'!$A$1:$A$20000,0),MATCH("Keyword Difficulty*",'Semrush Data'!$A$1:$Z$1,0)),"")</f>
        <v/>
      </c>
      <c r="Y46" s="61">
        <f>IFERROR(INDEX('Semrush Data'!$A$1:$Z$20000,MATCH(V46,'Semrush Data'!$A$1:$A$20000,0),MATCH("CPC*",'Semrush Data'!$A$1:$Z$1,0)),"")</f>
        <v/>
      </c>
      <c r="Z46" s="58" t="inlineStr">
        <is>
          <t>vilvah lip balm · lip balm for dry lips · natural lip balm uk</t>
        </is>
      </c>
      <c r="AA46" s="58" t="inlineStr">
        <is>
          <t>vilvah lip balm review · vilvah lip balm price</t>
        </is>
      </c>
      <c r="AB46" s="58" t="inlineStr">
        <is>
          <t>Vilvah Mango Shake Lip Balm</t>
        </is>
      </c>
      <c r="AC46" s="58" t="inlineStr">
        <is>
          <t>Vilvah Mango Shake Lip Balm | Buy Online UK | Swansura</t>
        </is>
      </c>
      <c r="AD46" s="58">
        <f>LEN(AC46)</f>
        <v/>
      </c>
      <c r="AE46" s="58" t="inlineStr">
        <is>
          <t>Buy Vilvah Mango Shake Lip Balm online at Swansura, official UK partner of Vilvah. A natural lip care for dry lips. 100% authentic, free UK delivery over £50.</t>
        </is>
      </c>
      <c r="AF46" s="58">
        <f>LEN(AE46)</f>
        <v/>
      </c>
    </row>
    <row r="47" ht="15" customHeight="1" s="37">
      <c r="A47" s="58" t="inlineStr">
        <is>
          <t>VD-046</t>
        </is>
      </c>
      <c r="B47" s="58" t="inlineStr">
        <is>
          <t>Vilvah &amp; Deyga</t>
        </is>
      </c>
      <c r="C47" s="58" t="n">
        <v>46</v>
      </c>
      <c r="D47" s="58" t="inlineStr">
        <is>
          <t>Vilvah</t>
        </is>
      </c>
      <c r="E47" s="58" t="n"/>
      <c r="F47" s="58" t="inlineStr">
        <is>
          <t>Skincare</t>
        </is>
      </c>
      <c r="G47" s="58" t="inlineStr">
        <is>
          <t>Lip Care</t>
        </is>
      </c>
      <c r="H47" s="58" t="inlineStr">
        <is>
          <t>Dry Lips</t>
        </is>
      </c>
      <c r="I47" s="58" t="inlineStr">
        <is>
          <t>Cream Bun Lip Balm</t>
        </is>
      </c>
      <c r="J47" s="58" t="inlineStr">
        <is>
          <t>10g</t>
        </is>
      </c>
      <c r="K47" s="58" t="n">
        <v>9.99</v>
      </c>
      <c r="L47" s="58" t="inlineStr">
        <is>
          <t>vilvah cream bun lip balm</t>
        </is>
      </c>
      <c r="M47" s="58" t="inlineStr">
        <is>
          <t>vilvah cream bun lip balm uk</t>
        </is>
      </c>
      <c r="N47" s="58" t="inlineStr">
        <is>
          <t>buy vilvah cream bun lip balm online</t>
        </is>
      </c>
      <c r="O47" s="58" t="inlineStr">
        <is>
          <t>vilvah cream bun lip balm price</t>
        </is>
      </c>
      <c r="P47" s="58" t="n"/>
      <c r="Q47" s="59">
        <f>IF(L47="","",IFERROR(INDEX('Semrush Data'!$A$1:$Z$20000,MATCH(L47,'Semrush Data'!$A$1:$A$20000,0),MATCH("Volume",'Semrush Data'!$A$1:$Z$1,0)),""))</f>
        <v/>
      </c>
      <c r="R47" s="59">
        <f>IF(M47="","",IFERROR(INDEX('Semrush Data'!$A$1:$Z$20000,MATCH(M47,'Semrush Data'!$A$1:$A$20000,0),MATCH("Volume",'Semrush Data'!$A$1:$Z$1,0)),""))</f>
        <v/>
      </c>
      <c r="S47" s="59">
        <f>IF(N47="","",IFERROR(INDEX('Semrush Data'!$A$1:$Z$20000,MATCH(N47,'Semrush Data'!$A$1:$A$20000,0),MATCH("Volume",'Semrush Data'!$A$1:$Z$1,0)),""))</f>
        <v/>
      </c>
      <c r="T47" s="59">
        <f>IF(O47="","",IFERROR(INDEX('Semrush Data'!$A$1:$Z$20000,MATCH(O47,'Semrush Data'!$A$1:$A$20000,0),MATCH("Volume",'Semrush Data'!$A$1:$Z$1,0)),""))</f>
        <v/>
      </c>
      <c r="U47" s="59">
        <f>IF(P47="","",IFERROR(INDEX('Semrush Data'!$A$1:$Z$20000,MATCH(P47,'Semrush Data'!$A$1:$A$20000,0),MATCH("Volume",'Semrush Data'!$A$1:$Z$1,0)),""))</f>
        <v/>
      </c>
      <c r="V47" s="60">
        <f>IF(COUNT(Q47:U47)=0,L47,IF(MAX(Q47:U47)=0,L47,INDEX(L47:P47,MATCH(MAX(Q47:U47),Q47:U47,0))))</f>
        <v/>
      </c>
      <c r="W47" s="59">
        <f>IFERROR(INDEX('Semrush Data'!$A$1:$Z$20000,MATCH(V47,'Semrush Data'!$A$1:$A$20000,0),MATCH("Volume",'Semrush Data'!$A$1:$Z$1,0)),"")</f>
        <v/>
      </c>
      <c r="X47" s="59">
        <f>IFERROR(INDEX('Semrush Data'!$A$1:$Z$20000,MATCH(V47,'Semrush Data'!$A$1:$A$20000,0),MATCH("Keyword Difficulty*",'Semrush Data'!$A$1:$Z$1,0)),"")</f>
        <v/>
      </c>
      <c r="Y47" s="61">
        <f>IFERROR(INDEX('Semrush Data'!$A$1:$Z$20000,MATCH(V47,'Semrush Data'!$A$1:$A$20000,0),MATCH("CPC*",'Semrush Data'!$A$1:$Z$1,0)),"")</f>
        <v/>
      </c>
      <c r="Z47" s="58" t="inlineStr">
        <is>
          <t>vilvah lip balm · lip balm for dry lips · natural lip balm uk</t>
        </is>
      </c>
      <c r="AA47" s="58" t="inlineStr">
        <is>
          <t>vilvah cream bun lip balm review · vilvah lip balm price · vilvah lip balm review</t>
        </is>
      </c>
      <c r="AB47" s="58" t="inlineStr">
        <is>
          <t>Vilvah Cream Bun Lip Balm</t>
        </is>
      </c>
      <c r="AC47" s="58" t="inlineStr">
        <is>
          <t>Vilvah Cream Bun Lip Balm | Buy Online UK | Swansura</t>
        </is>
      </c>
      <c r="AD47" s="58">
        <f>LEN(AC47)</f>
        <v/>
      </c>
      <c r="AE47" s="58" t="inlineStr">
        <is>
          <t>Buy Vilvah Cream Bun Lip Balm online at Swansura, official UK partner of Vilvah. Natural lip care. 100% authentic, shipped from the UK, free delivery over £50.</t>
        </is>
      </c>
      <c r="AF47" s="58">
        <f>LEN(AE47)</f>
        <v/>
      </c>
    </row>
    <row r="48" ht="15" customHeight="1" s="37">
      <c r="A48" s="58" t="inlineStr">
        <is>
          <t>VD-047</t>
        </is>
      </c>
      <c r="B48" s="58" t="inlineStr">
        <is>
          <t>Vilvah &amp; Deyga</t>
        </is>
      </c>
      <c r="C48" s="58" t="n">
        <v>47</v>
      </c>
      <c r="D48" s="58" t="inlineStr">
        <is>
          <t>Vilvah</t>
        </is>
      </c>
      <c r="E48" s="58" t="n"/>
      <c r="F48" s="58" t="inlineStr">
        <is>
          <t>Gift Set</t>
        </is>
      </c>
      <c r="G48" s="58" t="inlineStr">
        <is>
          <t>Gift Sets &amp; Combos</t>
        </is>
      </c>
      <c r="H48" s="58" t="inlineStr">
        <is>
          <t>Dry Skin</t>
        </is>
      </c>
      <c r="I48" s="58" t="inlineStr">
        <is>
          <t>Vilvah Milk Body Kit</t>
        </is>
      </c>
      <c r="J48" s="58" t="n"/>
      <c r="K48" s="58" t="n">
        <v>44.99</v>
      </c>
      <c r="L48" s="58" t="inlineStr">
        <is>
          <t>vilvah milk body kit</t>
        </is>
      </c>
      <c r="M48" s="58" t="inlineStr">
        <is>
          <t>vilvah milk body kit uk</t>
        </is>
      </c>
      <c r="N48" s="58" t="inlineStr">
        <is>
          <t>buy vilvah milk body kit online</t>
        </is>
      </c>
      <c r="O48" s="58" t="inlineStr">
        <is>
          <t>vilvah milk body kit price</t>
        </is>
      </c>
      <c r="P48" s="58" t="n"/>
      <c r="Q48" s="59">
        <f>IF(L48="","",IFERROR(INDEX('Semrush Data'!$A$1:$Z$20000,MATCH(L48,'Semrush Data'!$A$1:$A$20000,0),MATCH("Volume",'Semrush Data'!$A$1:$Z$1,0)),""))</f>
        <v/>
      </c>
      <c r="R48" s="59">
        <f>IF(M48="","",IFERROR(INDEX('Semrush Data'!$A$1:$Z$20000,MATCH(M48,'Semrush Data'!$A$1:$A$20000,0),MATCH("Volume",'Semrush Data'!$A$1:$Z$1,0)),""))</f>
        <v/>
      </c>
      <c r="S48" s="59">
        <f>IF(N48="","",IFERROR(INDEX('Semrush Data'!$A$1:$Z$20000,MATCH(N48,'Semrush Data'!$A$1:$A$20000,0),MATCH("Volume",'Semrush Data'!$A$1:$Z$1,0)),""))</f>
        <v/>
      </c>
      <c r="T48" s="59">
        <f>IF(O48="","",IFERROR(INDEX('Semrush Data'!$A$1:$Z$20000,MATCH(O48,'Semrush Data'!$A$1:$A$20000,0),MATCH("Volume",'Semrush Data'!$A$1:$Z$1,0)),""))</f>
        <v/>
      </c>
      <c r="U48" s="59">
        <f>IF(P48="","",IFERROR(INDEX('Semrush Data'!$A$1:$Z$20000,MATCH(P48,'Semrush Data'!$A$1:$A$20000,0),MATCH("Volume",'Semrush Data'!$A$1:$Z$1,0)),""))</f>
        <v/>
      </c>
      <c r="V48" s="60">
        <f>IF(COUNT(Q48:U48)=0,L48,IF(MAX(Q48:U48)=0,L48,INDEX(L48:P48,MATCH(MAX(Q48:U48),Q48:U48,0))))</f>
        <v/>
      </c>
      <c r="W48" s="59">
        <f>IFERROR(INDEX('Semrush Data'!$A$1:$Z$20000,MATCH(V48,'Semrush Data'!$A$1:$A$20000,0),MATCH("Volume",'Semrush Data'!$A$1:$Z$1,0)),"")</f>
        <v/>
      </c>
      <c r="X48" s="59">
        <f>IFERROR(INDEX('Semrush Data'!$A$1:$Z$20000,MATCH(V48,'Semrush Data'!$A$1:$A$20000,0),MATCH("Keyword Difficulty*",'Semrush Data'!$A$1:$Z$1,0)),"")</f>
        <v/>
      </c>
      <c r="Y48" s="61">
        <f>IFERROR(INDEX('Semrush Data'!$A$1:$Z$20000,MATCH(V48,'Semrush Data'!$A$1:$A$20000,0),MATCH("CPC*",'Semrush Data'!$A$1:$Z$1,0)),"")</f>
        <v/>
      </c>
      <c r="Z48" s="58" t="inlineStr">
        <is>
          <t>vilvah skincare gift set</t>
        </is>
      </c>
      <c r="AA48" s="58" t="n"/>
      <c r="AB48" s="58" t="inlineStr">
        <is>
          <t>Vilvah Milk Body Kit</t>
        </is>
      </c>
      <c r="AC48" s="58" t="inlineStr">
        <is>
          <t>Vilvah Milk Body Kit | Official UK Partner | Swansura</t>
        </is>
      </c>
      <c r="AD48" s="58">
        <f>LEN(AC48)</f>
        <v/>
      </c>
      <c r="AE48" s="58" t="inlineStr">
        <is>
          <t>Buy Vilvah Milk Body Kit online at Swansura, official UK partner of Vilvah. Natural gift set. 100% authentic, shipped from the UK, free delivery over £50.</t>
        </is>
      </c>
      <c r="AF48" s="58">
        <f>LEN(AE48)</f>
        <v/>
      </c>
    </row>
    <row r="49" ht="15" customHeight="1" s="37">
      <c r="A49" s="58" t="inlineStr">
        <is>
          <t>VD-048</t>
        </is>
      </c>
      <c r="B49" s="58" t="inlineStr">
        <is>
          <t>Vilvah &amp; Deyga</t>
        </is>
      </c>
      <c r="C49" s="58" t="n">
        <v>48</v>
      </c>
      <c r="D49" s="58" t="inlineStr">
        <is>
          <t>Vilvah</t>
        </is>
      </c>
      <c r="E49" s="58" t="n"/>
      <c r="F49" s="58" t="inlineStr">
        <is>
          <t>Gift Set</t>
        </is>
      </c>
      <c r="G49" s="58" t="inlineStr">
        <is>
          <t>Gift Sets &amp; Combos</t>
        </is>
      </c>
      <c r="H49" s="58" t="inlineStr">
        <is>
          <t>Dry Skin</t>
        </is>
      </c>
      <c r="I49" s="58" t="inlineStr">
        <is>
          <t>Vilvah Foot Cream and Body Lotion Kit</t>
        </is>
      </c>
      <c r="J49" s="58" t="n"/>
      <c r="K49" s="58" t="n">
        <v>39.99</v>
      </c>
      <c r="L49" s="58" t="inlineStr">
        <is>
          <t>vilvah foot cream and body lotion kit</t>
        </is>
      </c>
      <c r="M49" s="58" t="inlineStr">
        <is>
          <t>vilvah foot cream and body lotion kit uk</t>
        </is>
      </c>
      <c r="N49" s="58" t="inlineStr">
        <is>
          <t>buy vilvah foot cream and body lotion kit online</t>
        </is>
      </c>
      <c r="O49" s="58" t="inlineStr">
        <is>
          <t>vilvah foot cream and body lotion kit price</t>
        </is>
      </c>
      <c r="P49" s="58" t="n"/>
      <c r="Q49" s="59">
        <f>IF(L49="","",IFERROR(INDEX('Semrush Data'!$A$1:$Z$20000,MATCH(L49,'Semrush Data'!$A$1:$A$20000,0),MATCH("Volume",'Semrush Data'!$A$1:$Z$1,0)),""))</f>
        <v/>
      </c>
      <c r="R49" s="59">
        <f>IF(M49="","",IFERROR(INDEX('Semrush Data'!$A$1:$Z$20000,MATCH(M49,'Semrush Data'!$A$1:$A$20000,0),MATCH("Volume",'Semrush Data'!$A$1:$Z$1,0)),""))</f>
        <v/>
      </c>
      <c r="S49" s="59">
        <f>IF(N49="","",IFERROR(INDEX('Semrush Data'!$A$1:$Z$20000,MATCH(N49,'Semrush Data'!$A$1:$A$20000,0),MATCH("Volume",'Semrush Data'!$A$1:$Z$1,0)),""))</f>
        <v/>
      </c>
      <c r="T49" s="59">
        <f>IF(O49="","",IFERROR(INDEX('Semrush Data'!$A$1:$Z$20000,MATCH(O49,'Semrush Data'!$A$1:$A$20000,0),MATCH("Volume",'Semrush Data'!$A$1:$Z$1,0)),""))</f>
        <v/>
      </c>
      <c r="U49" s="59">
        <f>IF(P49="","",IFERROR(INDEX('Semrush Data'!$A$1:$Z$20000,MATCH(P49,'Semrush Data'!$A$1:$A$20000,0),MATCH("Volume",'Semrush Data'!$A$1:$Z$1,0)),""))</f>
        <v/>
      </c>
      <c r="V49" s="60">
        <f>IF(COUNT(Q49:U49)=0,L49,IF(MAX(Q49:U49)=0,L49,INDEX(L49:P49,MATCH(MAX(Q49:U49),Q49:U49,0))))</f>
        <v/>
      </c>
      <c r="W49" s="59">
        <f>IFERROR(INDEX('Semrush Data'!$A$1:$Z$20000,MATCH(V49,'Semrush Data'!$A$1:$A$20000,0),MATCH("Volume",'Semrush Data'!$A$1:$Z$1,0)),"")</f>
        <v/>
      </c>
      <c r="X49" s="59">
        <f>IFERROR(INDEX('Semrush Data'!$A$1:$Z$20000,MATCH(V49,'Semrush Data'!$A$1:$A$20000,0),MATCH("Keyword Difficulty*",'Semrush Data'!$A$1:$Z$1,0)),"")</f>
        <v/>
      </c>
      <c r="Y49" s="61">
        <f>IFERROR(INDEX('Semrush Data'!$A$1:$Z$20000,MATCH(V49,'Semrush Data'!$A$1:$A$20000,0),MATCH("CPC*",'Semrush Data'!$A$1:$Z$1,0)),"")</f>
        <v/>
      </c>
      <c r="Z49" s="58" t="inlineStr">
        <is>
          <t>vilvah skincare gift set</t>
        </is>
      </c>
      <c r="AA49" s="58" t="n"/>
      <c r="AB49" s="58" t="inlineStr">
        <is>
          <t>Vilvah Foot Cream and Body Lotion Kit</t>
        </is>
      </c>
      <c r="AC49" s="58" t="inlineStr">
        <is>
          <t>Vilvah Foot Cream and Body Lotion Kit | Swansura UK</t>
        </is>
      </c>
      <c r="AD49" s="58">
        <f>LEN(AC49)</f>
        <v/>
      </c>
      <c r="AE49" s="58" t="inlineStr">
        <is>
          <t>Buy Vilvah Foot Cream and Body Lotion Kit online at Swansura, official UK partner of Vilvah. Natural gift set. 100% authentic, free UK delivery over £50.</t>
        </is>
      </c>
      <c r="AF49" s="58">
        <f>LEN(AE49)</f>
        <v/>
      </c>
    </row>
    <row r="50" ht="15" customHeight="1" s="37">
      <c r="A50" s="58" t="inlineStr">
        <is>
          <t>VD-049</t>
        </is>
      </c>
      <c r="B50" s="58" t="inlineStr">
        <is>
          <t>Vilvah &amp; Deyga</t>
        </is>
      </c>
      <c r="C50" s="58" t="n">
        <v>49</v>
      </c>
      <c r="D50" s="58" t="inlineStr">
        <is>
          <t>Vilvah</t>
        </is>
      </c>
      <c r="E50" s="58" t="n"/>
      <c r="F50" s="58" t="inlineStr">
        <is>
          <t>Gift Set</t>
        </is>
      </c>
      <c r="G50" s="58" t="inlineStr">
        <is>
          <t>Gift Sets &amp; Combos</t>
        </is>
      </c>
      <c r="H50" s="58" t="inlineStr">
        <is>
          <t>Dry Skin</t>
        </is>
      </c>
      <c r="I50" s="58" t="inlineStr">
        <is>
          <t>Vilvah Milk Face Kit</t>
        </is>
      </c>
      <c r="J50" s="58" t="n"/>
      <c r="K50" s="58" t="n">
        <v>45.99</v>
      </c>
      <c r="L50" s="58" t="inlineStr">
        <is>
          <t>vilvah milk face kit</t>
        </is>
      </c>
      <c r="M50" s="58" t="inlineStr">
        <is>
          <t>vilvah milk face kit uk</t>
        </is>
      </c>
      <c r="N50" s="58" t="inlineStr">
        <is>
          <t>buy vilvah milk face kit online</t>
        </is>
      </c>
      <c r="O50" s="58" t="inlineStr">
        <is>
          <t>vilvah milk face kit price</t>
        </is>
      </c>
      <c r="P50" s="58" t="n"/>
      <c r="Q50" s="59">
        <f>IF(L50="","",IFERROR(INDEX('Semrush Data'!$A$1:$Z$20000,MATCH(L50,'Semrush Data'!$A$1:$A$20000,0),MATCH("Volume",'Semrush Data'!$A$1:$Z$1,0)),""))</f>
        <v/>
      </c>
      <c r="R50" s="59">
        <f>IF(M50="","",IFERROR(INDEX('Semrush Data'!$A$1:$Z$20000,MATCH(M50,'Semrush Data'!$A$1:$A$20000,0),MATCH("Volume",'Semrush Data'!$A$1:$Z$1,0)),""))</f>
        <v/>
      </c>
      <c r="S50" s="59">
        <f>IF(N50="","",IFERROR(INDEX('Semrush Data'!$A$1:$Z$20000,MATCH(N50,'Semrush Data'!$A$1:$A$20000,0),MATCH("Volume",'Semrush Data'!$A$1:$Z$1,0)),""))</f>
        <v/>
      </c>
      <c r="T50" s="59">
        <f>IF(O50="","",IFERROR(INDEX('Semrush Data'!$A$1:$Z$20000,MATCH(O50,'Semrush Data'!$A$1:$A$20000,0),MATCH("Volume",'Semrush Data'!$A$1:$Z$1,0)),""))</f>
        <v/>
      </c>
      <c r="U50" s="59">
        <f>IF(P50="","",IFERROR(INDEX('Semrush Data'!$A$1:$Z$20000,MATCH(P50,'Semrush Data'!$A$1:$A$20000,0),MATCH("Volume",'Semrush Data'!$A$1:$Z$1,0)),""))</f>
        <v/>
      </c>
      <c r="V50" s="60">
        <f>IF(COUNT(Q50:U50)=0,L50,IF(MAX(Q50:U50)=0,L50,INDEX(L50:P50,MATCH(MAX(Q50:U50),Q50:U50,0))))</f>
        <v/>
      </c>
      <c r="W50" s="59">
        <f>IFERROR(INDEX('Semrush Data'!$A$1:$Z$20000,MATCH(V50,'Semrush Data'!$A$1:$A$20000,0),MATCH("Volume",'Semrush Data'!$A$1:$Z$1,0)),"")</f>
        <v/>
      </c>
      <c r="X50" s="59">
        <f>IFERROR(INDEX('Semrush Data'!$A$1:$Z$20000,MATCH(V50,'Semrush Data'!$A$1:$A$20000,0),MATCH("Keyword Difficulty*",'Semrush Data'!$A$1:$Z$1,0)),"")</f>
        <v/>
      </c>
      <c r="Y50" s="61">
        <f>IFERROR(INDEX('Semrush Data'!$A$1:$Z$20000,MATCH(V50,'Semrush Data'!$A$1:$A$20000,0),MATCH("CPC*",'Semrush Data'!$A$1:$Z$1,0)),"")</f>
        <v/>
      </c>
      <c r="Z50" s="58" t="inlineStr">
        <is>
          <t>vilvah skincare gift set</t>
        </is>
      </c>
      <c r="AA50" s="58" t="n"/>
      <c r="AB50" s="58" t="inlineStr">
        <is>
          <t>Vilvah Milk Face Kit</t>
        </is>
      </c>
      <c r="AC50" s="58" t="inlineStr">
        <is>
          <t>Vilvah Milk Face Kit | Official UK Partner | Swansura</t>
        </is>
      </c>
      <c r="AD50" s="58">
        <f>LEN(AC50)</f>
        <v/>
      </c>
      <c r="AE50" s="58" t="inlineStr">
        <is>
          <t>Buy Vilvah Milk Face Kit online at Swansura, official UK partner of Vilvah. Natural gift set. 100% authentic, shipped from the UK, free delivery over £50.</t>
        </is>
      </c>
      <c r="AF50" s="58">
        <f>LEN(AE50)</f>
        <v/>
      </c>
    </row>
    <row r="51" ht="15" customHeight="1" s="37">
      <c r="A51" s="58" t="inlineStr">
        <is>
          <t>VD-050</t>
        </is>
      </c>
      <c r="B51" s="58" t="inlineStr">
        <is>
          <t>Vilvah &amp; Deyga</t>
        </is>
      </c>
      <c r="C51" s="58" t="n">
        <v>50</v>
      </c>
      <c r="D51" s="58" t="inlineStr">
        <is>
          <t>Vilvah</t>
        </is>
      </c>
      <c r="E51" s="58" t="n"/>
      <c r="F51" s="58" t="inlineStr">
        <is>
          <t>Gift Set</t>
        </is>
      </c>
      <c r="G51" s="58" t="inlineStr">
        <is>
          <t>Gift Sets &amp; Combos</t>
        </is>
      </c>
      <c r="H51" s="58" t="inlineStr">
        <is>
          <t>Oily Skin</t>
        </is>
      </c>
      <c r="I51" s="58" t="inlineStr">
        <is>
          <t>oil control kit</t>
        </is>
      </c>
      <c r="J51" s="58" t="n"/>
      <c r="K51" s="58" t="n">
        <v>32.99</v>
      </c>
      <c r="L51" s="58" t="inlineStr">
        <is>
          <t>vilvah oil control kit</t>
        </is>
      </c>
      <c r="M51" s="58" t="inlineStr">
        <is>
          <t>vilvah oil control kit uk</t>
        </is>
      </c>
      <c r="N51" s="58" t="inlineStr">
        <is>
          <t>buy vilvah oil control kit online</t>
        </is>
      </c>
      <c r="O51" s="58" t="inlineStr">
        <is>
          <t>vilvah oil control kit price</t>
        </is>
      </c>
      <c r="P51" s="58" t="n"/>
      <c r="Q51" s="59">
        <f>IF(L51="","",IFERROR(INDEX('Semrush Data'!$A$1:$Z$20000,MATCH(L51,'Semrush Data'!$A$1:$A$20000,0),MATCH("Volume",'Semrush Data'!$A$1:$Z$1,0)),""))</f>
        <v/>
      </c>
      <c r="R51" s="59">
        <f>IF(M51="","",IFERROR(INDEX('Semrush Data'!$A$1:$Z$20000,MATCH(M51,'Semrush Data'!$A$1:$A$20000,0),MATCH("Volume",'Semrush Data'!$A$1:$Z$1,0)),""))</f>
        <v/>
      </c>
      <c r="S51" s="59">
        <f>IF(N51="","",IFERROR(INDEX('Semrush Data'!$A$1:$Z$20000,MATCH(N51,'Semrush Data'!$A$1:$A$20000,0),MATCH("Volume",'Semrush Data'!$A$1:$Z$1,0)),""))</f>
        <v/>
      </c>
      <c r="T51" s="59">
        <f>IF(O51="","",IFERROR(INDEX('Semrush Data'!$A$1:$Z$20000,MATCH(O51,'Semrush Data'!$A$1:$A$20000,0),MATCH("Volume",'Semrush Data'!$A$1:$Z$1,0)),""))</f>
        <v/>
      </c>
      <c r="U51" s="59">
        <f>IF(P51="","",IFERROR(INDEX('Semrush Data'!$A$1:$Z$20000,MATCH(P51,'Semrush Data'!$A$1:$A$20000,0),MATCH("Volume",'Semrush Data'!$A$1:$Z$1,0)),""))</f>
        <v/>
      </c>
      <c r="V51" s="60">
        <f>IF(COUNT(Q51:U51)=0,L51,IF(MAX(Q51:U51)=0,L51,INDEX(L51:P51,MATCH(MAX(Q51:U51),Q51:U51,0))))</f>
        <v/>
      </c>
      <c r="W51" s="59">
        <f>IFERROR(INDEX('Semrush Data'!$A$1:$Z$20000,MATCH(V51,'Semrush Data'!$A$1:$A$20000,0),MATCH("Volume",'Semrush Data'!$A$1:$Z$1,0)),"")</f>
        <v/>
      </c>
      <c r="X51" s="59">
        <f>IFERROR(INDEX('Semrush Data'!$A$1:$Z$20000,MATCH(V51,'Semrush Data'!$A$1:$A$20000,0),MATCH("Keyword Difficulty*",'Semrush Data'!$A$1:$Z$1,0)),"")</f>
        <v/>
      </c>
      <c r="Y51" s="61">
        <f>IFERROR(INDEX('Semrush Data'!$A$1:$Z$20000,MATCH(V51,'Semrush Data'!$A$1:$A$20000,0),MATCH("CPC*",'Semrush Data'!$A$1:$Z$1,0)),"")</f>
        <v/>
      </c>
      <c r="Z51" s="58" t="inlineStr">
        <is>
          <t>vilvah skincare gift set</t>
        </is>
      </c>
      <c r="AA51" s="58" t="n"/>
      <c r="AB51" s="58" t="inlineStr">
        <is>
          <t>Vilvah Oil Control Kit</t>
        </is>
      </c>
      <c r="AC51" s="58" t="inlineStr">
        <is>
          <t>Vilvah Oil Control Kit | Official UK Partner | Swansura</t>
        </is>
      </c>
      <c r="AD51" s="58">
        <f>LEN(AC51)</f>
        <v/>
      </c>
      <c r="AE51" s="58" t="inlineStr">
        <is>
          <t>Buy Vilvah Oil Control Kit online at Swansura, official UK partner of Vilvah. Natural gift set. 100% authentic, shipped from the UK, free delivery over £50.</t>
        </is>
      </c>
      <c r="AF51" s="58">
        <f>LEN(AE51)</f>
        <v/>
      </c>
    </row>
    <row r="52" ht="15" customHeight="1" s="37">
      <c r="A52" s="58" t="inlineStr">
        <is>
          <t>VD-051</t>
        </is>
      </c>
      <c r="B52" s="58" t="inlineStr">
        <is>
          <t>Vilvah &amp; Deyga</t>
        </is>
      </c>
      <c r="C52" s="58" t="n">
        <v>51</v>
      </c>
      <c r="D52" s="58" t="inlineStr">
        <is>
          <t>Vilvah</t>
        </is>
      </c>
      <c r="E52" s="58" t="n"/>
      <c r="F52" s="58" t="inlineStr">
        <is>
          <t>Gift Set</t>
        </is>
      </c>
      <c r="G52" s="58" t="inlineStr">
        <is>
          <t>Gift Sets &amp; Combos</t>
        </is>
      </c>
      <c r="H52" s="58" t="inlineStr">
        <is>
          <t>Sensitive Skin</t>
        </is>
      </c>
      <c r="I52" s="58" t="inlineStr">
        <is>
          <t>Vilvah Sensitive Skin Kit</t>
        </is>
      </c>
      <c r="J52" s="58" t="n"/>
      <c r="K52" s="58" t="n">
        <v>24.99</v>
      </c>
      <c r="L52" s="58" t="inlineStr">
        <is>
          <t>vilvah sensitive skin kit</t>
        </is>
      </c>
      <c r="M52" s="58" t="inlineStr">
        <is>
          <t>vilvah sensitive skin kit uk</t>
        </is>
      </c>
      <c r="N52" s="58" t="inlineStr">
        <is>
          <t>buy vilvah sensitive skin kit online</t>
        </is>
      </c>
      <c r="O52" s="58" t="inlineStr">
        <is>
          <t>vilvah sensitive skin kit price</t>
        </is>
      </c>
      <c r="P52" s="58" t="n"/>
      <c r="Q52" s="59">
        <f>IF(L52="","",IFERROR(INDEX('Semrush Data'!$A$1:$Z$20000,MATCH(L52,'Semrush Data'!$A$1:$A$20000,0),MATCH("Volume",'Semrush Data'!$A$1:$Z$1,0)),""))</f>
        <v/>
      </c>
      <c r="R52" s="59">
        <f>IF(M52="","",IFERROR(INDEX('Semrush Data'!$A$1:$Z$20000,MATCH(M52,'Semrush Data'!$A$1:$A$20000,0),MATCH("Volume",'Semrush Data'!$A$1:$Z$1,0)),""))</f>
        <v/>
      </c>
      <c r="S52" s="59">
        <f>IF(N52="","",IFERROR(INDEX('Semrush Data'!$A$1:$Z$20000,MATCH(N52,'Semrush Data'!$A$1:$A$20000,0),MATCH("Volume",'Semrush Data'!$A$1:$Z$1,0)),""))</f>
        <v/>
      </c>
      <c r="T52" s="59">
        <f>IF(O52="","",IFERROR(INDEX('Semrush Data'!$A$1:$Z$20000,MATCH(O52,'Semrush Data'!$A$1:$A$20000,0),MATCH("Volume",'Semrush Data'!$A$1:$Z$1,0)),""))</f>
        <v/>
      </c>
      <c r="U52" s="59">
        <f>IF(P52="","",IFERROR(INDEX('Semrush Data'!$A$1:$Z$20000,MATCH(P52,'Semrush Data'!$A$1:$A$20000,0),MATCH("Volume",'Semrush Data'!$A$1:$Z$1,0)),""))</f>
        <v/>
      </c>
      <c r="V52" s="60">
        <f>IF(COUNT(Q52:U52)=0,L52,IF(MAX(Q52:U52)=0,L52,INDEX(L52:P52,MATCH(MAX(Q52:U52),Q52:U52,0))))</f>
        <v/>
      </c>
      <c r="W52" s="59">
        <f>IFERROR(INDEX('Semrush Data'!$A$1:$Z$20000,MATCH(V52,'Semrush Data'!$A$1:$A$20000,0),MATCH("Volume",'Semrush Data'!$A$1:$Z$1,0)),"")</f>
        <v/>
      </c>
      <c r="X52" s="59">
        <f>IFERROR(INDEX('Semrush Data'!$A$1:$Z$20000,MATCH(V52,'Semrush Data'!$A$1:$A$20000,0),MATCH("Keyword Difficulty*",'Semrush Data'!$A$1:$Z$1,0)),"")</f>
        <v/>
      </c>
      <c r="Y52" s="61">
        <f>IFERROR(INDEX('Semrush Data'!$A$1:$Z$20000,MATCH(V52,'Semrush Data'!$A$1:$A$20000,0),MATCH("CPC*",'Semrush Data'!$A$1:$Z$1,0)),"")</f>
        <v/>
      </c>
      <c r="Z52" s="58" t="inlineStr">
        <is>
          <t>vilvah skincare gift set</t>
        </is>
      </c>
      <c r="AA52" s="58" t="n"/>
      <c r="AB52" s="58" t="inlineStr">
        <is>
          <t>Vilvah Sensitive Skin Kit</t>
        </is>
      </c>
      <c r="AC52" s="58" t="inlineStr">
        <is>
          <t>Vilvah Sensitive Skin Kit | Buy Online UK | Swansura</t>
        </is>
      </c>
      <c r="AD52" s="58">
        <f>LEN(AC52)</f>
        <v/>
      </c>
      <c r="AE52" s="58" t="inlineStr">
        <is>
          <t>Buy Vilvah Sensitive Skin Kit online at Swansura, official UK partner of Vilvah. Natural gift set. 100% authentic, shipped from the UK, free delivery over £50.</t>
        </is>
      </c>
      <c r="AF52" s="58">
        <f>LEN(AE52)</f>
        <v/>
      </c>
    </row>
    <row r="53" ht="15" customHeight="1" s="37">
      <c r="A53" s="58" t="inlineStr">
        <is>
          <t>VD-052</t>
        </is>
      </c>
      <c r="B53" s="58" t="inlineStr">
        <is>
          <t>Vilvah &amp; Deyga</t>
        </is>
      </c>
      <c r="C53" s="58" t="n">
        <v>52</v>
      </c>
      <c r="D53" s="58" t="inlineStr">
        <is>
          <t>Vilvah</t>
        </is>
      </c>
      <c r="E53" s="58" t="n"/>
      <c r="F53" s="58" t="inlineStr">
        <is>
          <t>Gift Set</t>
        </is>
      </c>
      <c r="G53" s="58" t="inlineStr">
        <is>
          <t>Gift Sets &amp; Combos</t>
        </is>
      </c>
      <c r="H53" s="58" t="inlineStr">
        <is>
          <t>Acne &amp; Blemishes</t>
        </is>
      </c>
      <c r="I53" s="58" t="inlineStr">
        <is>
          <t>Vilvah Anti‑Acne Kit</t>
        </is>
      </c>
      <c r="J53" s="58" t="n"/>
      <c r="K53" s="58" t="n">
        <v>26.99</v>
      </c>
      <c r="L53" s="58" t="inlineStr">
        <is>
          <t>vilvah anti‑acne kit</t>
        </is>
      </c>
      <c r="M53" s="58" t="inlineStr">
        <is>
          <t>vilvah anti‑acne kit uk</t>
        </is>
      </c>
      <c r="N53" s="58" t="inlineStr">
        <is>
          <t>buy vilvah anti‑acne kit online</t>
        </is>
      </c>
      <c r="O53" s="58" t="inlineStr">
        <is>
          <t>vilvah anti‑acne kit price</t>
        </is>
      </c>
      <c r="P53" s="58" t="n"/>
      <c r="Q53" s="59">
        <f>IF(L53="","",IFERROR(INDEX('Semrush Data'!$A$1:$Z$20000,MATCH(L53,'Semrush Data'!$A$1:$A$20000,0),MATCH("Volume",'Semrush Data'!$A$1:$Z$1,0)),""))</f>
        <v/>
      </c>
      <c r="R53" s="59">
        <f>IF(M53="","",IFERROR(INDEX('Semrush Data'!$A$1:$Z$20000,MATCH(M53,'Semrush Data'!$A$1:$A$20000,0),MATCH("Volume",'Semrush Data'!$A$1:$Z$1,0)),""))</f>
        <v/>
      </c>
      <c r="S53" s="59">
        <f>IF(N53="","",IFERROR(INDEX('Semrush Data'!$A$1:$Z$20000,MATCH(N53,'Semrush Data'!$A$1:$A$20000,0),MATCH("Volume",'Semrush Data'!$A$1:$Z$1,0)),""))</f>
        <v/>
      </c>
      <c r="T53" s="59">
        <f>IF(O53="","",IFERROR(INDEX('Semrush Data'!$A$1:$Z$20000,MATCH(O53,'Semrush Data'!$A$1:$A$20000,0),MATCH("Volume",'Semrush Data'!$A$1:$Z$1,0)),""))</f>
        <v/>
      </c>
      <c r="U53" s="59">
        <f>IF(P53="","",IFERROR(INDEX('Semrush Data'!$A$1:$Z$20000,MATCH(P53,'Semrush Data'!$A$1:$A$20000,0),MATCH("Volume",'Semrush Data'!$A$1:$Z$1,0)),""))</f>
        <v/>
      </c>
      <c r="V53" s="60">
        <f>IF(COUNT(Q53:U53)=0,L53,IF(MAX(Q53:U53)=0,L53,INDEX(L53:P53,MATCH(MAX(Q53:U53),Q53:U53,0))))</f>
        <v/>
      </c>
      <c r="W53" s="59">
        <f>IFERROR(INDEX('Semrush Data'!$A$1:$Z$20000,MATCH(V53,'Semrush Data'!$A$1:$A$20000,0),MATCH("Volume",'Semrush Data'!$A$1:$Z$1,0)),"")</f>
        <v/>
      </c>
      <c r="X53" s="59">
        <f>IFERROR(INDEX('Semrush Data'!$A$1:$Z$20000,MATCH(V53,'Semrush Data'!$A$1:$A$20000,0),MATCH("Keyword Difficulty*",'Semrush Data'!$A$1:$Z$1,0)),"")</f>
        <v/>
      </c>
      <c r="Y53" s="61">
        <f>IFERROR(INDEX('Semrush Data'!$A$1:$Z$20000,MATCH(V53,'Semrush Data'!$A$1:$A$20000,0),MATCH("CPC*",'Semrush Data'!$A$1:$Z$1,0)),"")</f>
        <v/>
      </c>
      <c r="Z53" s="58" t="inlineStr">
        <is>
          <t>vilvah skincare gift set</t>
        </is>
      </c>
      <c r="AA53" s="58" t="n"/>
      <c r="AB53" s="58" t="inlineStr">
        <is>
          <t>Vilvah Anti‑Acne Kit</t>
        </is>
      </c>
      <c r="AC53" s="58" t="inlineStr">
        <is>
          <t>Vilvah Anti‑Acne Kit | Official UK Partner | Swansura</t>
        </is>
      </c>
      <c r="AD53" s="58">
        <f>LEN(AC53)</f>
        <v/>
      </c>
      <c r="AE53" s="58" t="inlineStr">
        <is>
          <t>Buy Vilvah Anti‑Acne Kit online in the UK at Swansura, official UK partner of Vilvah. A natural gift set for blemish-prone skin. Free UK delivery over £50.</t>
        </is>
      </c>
      <c r="AF53" s="58">
        <f>LEN(AE53)</f>
        <v/>
      </c>
    </row>
    <row r="54" ht="15" customHeight="1" s="37">
      <c r="A54" s="58" t="inlineStr">
        <is>
          <t>VD-053</t>
        </is>
      </c>
      <c r="B54" s="58" t="inlineStr">
        <is>
          <t>Vilvah &amp; Deyga</t>
        </is>
      </c>
      <c r="C54" s="58" t="n">
        <v>53</v>
      </c>
      <c r="D54" s="58" t="inlineStr">
        <is>
          <t>Vilvah</t>
        </is>
      </c>
      <c r="E54" s="58" t="n"/>
      <c r="F54" s="58" t="inlineStr">
        <is>
          <t>Gift Set</t>
        </is>
      </c>
      <c r="G54" s="58" t="inlineStr">
        <is>
          <t>Gift Sets &amp; Combos</t>
        </is>
      </c>
      <c r="H54" s="58" t="inlineStr">
        <is>
          <t>Anti-Dandruff</t>
        </is>
      </c>
      <c r="I54" s="58" t="inlineStr">
        <is>
          <t>Vilvah Anti‑Dandruff Haircare Kit</t>
        </is>
      </c>
      <c r="J54" s="58" t="n"/>
      <c r="K54" s="58" t="n">
        <v>27.99</v>
      </c>
      <c r="L54" s="58" t="inlineStr">
        <is>
          <t>vilvah anti‑dandruff haircare kit</t>
        </is>
      </c>
      <c r="M54" s="58" t="inlineStr">
        <is>
          <t>vilvah anti‑dandruff haircare kit uk</t>
        </is>
      </c>
      <c r="N54" s="58" t="inlineStr">
        <is>
          <t>buy vilvah anti‑dandruff haircare kit online</t>
        </is>
      </c>
      <c r="O54" s="58" t="inlineStr">
        <is>
          <t>vilvah anti‑dandruff haircare kit price</t>
        </is>
      </c>
      <c r="P54" s="58" t="n"/>
      <c r="Q54" s="59">
        <f>IF(L54="","",IFERROR(INDEX('Semrush Data'!$A$1:$Z$20000,MATCH(L54,'Semrush Data'!$A$1:$A$20000,0),MATCH("Volume",'Semrush Data'!$A$1:$Z$1,0)),""))</f>
        <v/>
      </c>
      <c r="R54" s="59">
        <f>IF(M54="","",IFERROR(INDEX('Semrush Data'!$A$1:$Z$20000,MATCH(M54,'Semrush Data'!$A$1:$A$20000,0),MATCH("Volume",'Semrush Data'!$A$1:$Z$1,0)),""))</f>
        <v/>
      </c>
      <c r="S54" s="59">
        <f>IF(N54="","",IFERROR(INDEX('Semrush Data'!$A$1:$Z$20000,MATCH(N54,'Semrush Data'!$A$1:$A$20000,0),MATCH("Volume",'Semrush Data'!$A$1:$Z$1,0)),""))</f>
        <v/>
      </c>
      <c r="T54" s="59">
        <f>IF(O54="","",IFERROR(INDEX('Semrush Data'!$A$1:$Z$20000,MATCH(O54,'Semrush Data'!$A$1:$A$20000,0),MATCH("Volume",'Semrush Data'!$A$1:$Z$1,0)),""))</f>
        <v/>
      </c>
      <c r="U54" s="59">
        <f>IF(P54="","",IFERROR(INDEX('Semrush Data'!$A$1:$Z$20000,MATCH(P54,'Semrush Data'!$A$1:$A$20000,0),MATCH("Volume",'Semrush Data'!$A$1:$Z$1,0)),""))</f>
        <v/>
      </c>
      <c r="V54" s="60">
        <f>IF(COUNT(Q54:U54)=0,L54,IF(MAX(Q54:U54)=0,L54,INDEX(L54:P54,MATCH(MAX(Q54:U54),Q54:U54,0))))</f>
        <v/>
      </c>
      <c r="W54" s="59">
        <f>IFERROR(INDEX('Semrush Data'!$A$1:$Z$20000,MATCH(V54,'Semrush Data'!$A$1:$A$20000,0),MATCH("Volume",'Semrush Data'!$A$1:$Z$1,0)),"")</f>
        <v/>
      </c>
      <c r="X54" s="59">
        <f>IFERROR(INDEX('Semrush Data'!$A$1:$Z$20000,MATCH(V54,'Semrush Data'!$A$1:$A$20000,0),MATCH("Keyword Difficulty*",'Semrush Data'!$A$1:$Z$1,0)),"")</f>
        <v/>
      </c>
      <c r="Y54" s="61">
        <f>IFERROR(INDEX('Semrush Data'!$A$1:$Z$20000,MATCH(V54,'Semrush Data'!$A$1:$A$20000,0),MATCH("CPC*",'Semrush Data'!$A$1:$Z$1,0)),"")</f>
        <v/>
      </c>
      <c r="Z54" s="58" t="inlineStr">
        <is>
          <t>vilvah skincare gift set</t>
        </is>
      </c>
      <c r="AA54" s="58" t="n"/>
      <c r="AB54" s="58" t="inlineStr">
        <is>
          <t>Vilvah Anti‑Dandruff Haircare Kit</t>
        </is>
      </c>
      <c r="AC54" s="58" t="inlineStr">
        <is>
          <t>Vilvah Anti‑Dandruff Haircare Kit | Buy Online UK | Swansura</t>
        </is>
      </c>
      <c r="AD54" s="58">
        <f>LEN(AC54)</f>
        <v/>
      </c>
      <c r="AE54" s="58" t="inlineStr">
        <is>
          <t>Buy Vilvah Anti‑Dandruff Haircare Kit online in the UK at Swansura, official UK partner of Vilvah. Natural gift set. 100% authentic, free UK delivery over £50.</t>
        </is>
      </c>
      <c r="AF54" s="58">
        <f>LEN(AE54)</f>
        <v/>
      </c>
    </row>
    <row r="55" ht="15" customHeight="1" s="37">
      <c r="A55" s="58" t="inlineStr">
        <is>
          <t>VD-054</t>
        </is>
      </c>
      <c r="B55" s="58" t="inlineStr">
        <is>
          <t>Vilvah &amp; Deyga</t>
        </is>
      </c>
      <c r="C55" s="58" t="n">
        <v>54</v>
      </c>
      <c r="D55" s="58" t="inlineStr">
        <is>
          <t>Vilvah</t>
        </is>
      </c>
      <c r="E55" s="58" t="n"/>
      <c r="F55" s="58" t="inlineStr">
        <is>
          <t>Gift Set</t>
        </is>
      </c>
      <c r="G55" s="58" t="inlineStr">
        <is>
          <t>Gift Sets &amp; Combos</t>
        </is>
      </c>
      <c r="H55" s="58" t="inlineStr">
        <is>
          <t>Sun Protection</t>
        </is>
      </c>
      <c r="I55" s="58" t="inlineStr">
        <is>
          <t>Vilvah Sun Protection Kit</t>
        </is>
      </c>
      <c r="J55" s="58" t="n"/>
      <c r="K55" s="58" t="n">
        <v>34.99</v>
      </c>
      <c r="L55" s="58" t="inlineStr">
        <is>
          <t>vilvah sun protection kit</t>
        </is>
      </c>
      <c r="M55" s="58" t="inlineStr">
        <is>
          <t>vilvah sun protection kit uk</t>
        </is>
      </c>
      <c r="N55" s="58" t="inlineStr">
        <is>
          <t>buy vilvah sun protection kit online</t>
        </is>
      </c>
      <c r="O55" s="58" t="inlineStr">
        <is>
          <t>vilvah sun protection kit price</t>
        </is>
      </c>
      <c r="P55" s="58" t="n"/>
      <c r="Q55" s="59">
        <f>IF(L55="","",IFERROR(INDEX('Semrush Data'!$A$1:$Z$20000,MATCH(L55,'Semrush Data'!$A$1:$A$20000,0),MATCH("Volume",'Semrush Data'!$A$1:$Z$1,0)),""))</f>
        <v/>
      </c>
      <c r="R55" s="59">
        <f>IF(M55="","",IFERROR(INDEX('Semrush Data'!$A$1:$Z$20000,MATCH(M55,'Semrush Data'!$A$1:$A$20000,0),MATCH("Volume",'Semrush Data'!$A$1:$Z$1,0)),""))</f>
        <v/>
      </c>
      <c r="S55" s="59">
        <f>IF(N55="","",IFERROR(INDEX('Semrush Data'!$A$1:$Z$20000,MATCH(N55,'Semrush Data'!$A$1:$A$20000,0),MATCH("Volume",'Semrush Data'!$A$1:$Z$1,0)),""))</f>
        <v/>
      </c>
      <c r="T55" s="59">
        <f>IF(O55="","",IFERROR(INDEX('Semrush Data'!$A$1:$Z$20000,MATCH(O55,'Semrush Data'!$A$1:$A$20000,0),MATCH("Volume",'Semrush Data'!$A$1:$Z$1,0)),""))</f>
        <v/>
      </c>
      <c r="U55" s="59">
        <f>IF(P55="","",IFERROR(INDEX('Semrush Data'!$A$1:$Z$20000,MATCH(P55,'Semrush Data'!$A$1:$A$20000,0),MATCH("Volume",'Semrush Data'!$A$1:$Z$1,0)),""))</f>
        <v/>
      </c>
      <c r="V55" s="60">
        <f>IF(COUNT(Q55:U55)=0,L55,IF(MAX(Q55:U55)=0,L55,INDEX(L55:P55,MATCH(MAX(Q55:U55),Q55:U55,0))))</f>
        <v/>
      </c>
      <c r="W55" s="59">
        <f>IFERROR(INDEX('Semrush Data'!$A$1:$Z$20000,MATCH(V55,'Semrush Data'!$A$1:$A$20000,0),MATCH("Volume",'Semrush Data'!$A$1:$Z$1,0)),"")</f>
        <v/>
      </c>
      <c r="X55" s="59">
        <f>IFERROR(INDEX('Semrush Data'!$A$1:$Z$20000,MATCH(V55,'Semrush Data'!$A$1:$A$20000,0),MATCH("Keyword Difficulty*",'Semrush Data'!$A$1:$Z$1,0)),"")</f>
        <v/>
      </c>
      <c r="Y55" s="61">
        <f>IFERROR(INDEX('Semrush Data'!$A$1:$Z$20000,MATCH(V55,'Semrush Data'!$A$1:$A$20000,0),MATCH("CPC*",'Semrush Data'!$A$1:$Z$1,0)),"")</f>
        <v/>
      </c>
      <c r="Z55" s="58" t="inlineStr">
        <is>
          <t>vilvah skincare gift set</t>
        </is>
      </c>
      <c r="AA55" s="58" t="n"/>
      <c r="AB55" s="58" t="inlineStr">
        <is>
          <t>Vilvah Sun Protection Kit</t>
        </is>
      </c>
      <c r="AC55" s="58" t="inlineStr">
        <is>
          <t>Vilvah Sun Protection Kit | Buy Online UK | Swansura</t>
        </is>
      </c>
      <c r="AD55" s="58">
        <f>LEN(AC55)</f>
        <v/>
      </c>
      <c r="AE55" s="58" t="inlineStr">
        <is>
          <t>Buy Vilvah Sun Protection Kit online at Swansura, official UK partner of Vilvah. Natural gift set. 100% authentic, shipped from the UK, free delivery over £50.</t>
        </is>
      </c>
      <c r="AF55" s="58">
        <f>LEN(AE55)</f>
        <v/>
      </c>
    </row>
    <row r="56" ht="15" customHeight="1" s="37">
      <c r="A56" s="58" t="inlineStr">
        <is>
          <t>VD-055</t>
        </is>
      </c>
      <c r="B56" s="58" t="inlineStr">
        <is>
          <t>Vilvah &amp; Deyga</t>
        </is>
      </c>
      <c r="C56" s="58" t="n">
        <v>55</v>
      </c>
      <c r="D56" s="58" t="inlineStr">
        <is>
          <t>Vilvah</t>
        </is>
      </c>
      <c r="E56" s="58" t="n"/>
      <c r="F56" s="58" t="inlineStr">
        <is>
          <t>Gift Set</t>
        </is>
      </c>
      <c r="G56" s="58" t="inlineStr">
        <is>
          <t>Gift Sets &amp; Combos</t>
        </is>
      </c>
      <c r="H56" s="58" t="inlineStr">
        <is>
          <t>Dull Skin</t>
        </is>
      </c>
      <c r="I56" s="58" t="inlineStr">
        <is>
          <t>Vilvah Skin Brightening Kit</t>
        </is>
      </c>
      <c r="J56" s="58" t="n"/>
      <c r="K56" s="58" t="n">
        <v>29.99</v>
      </c>
      <c r="L56" s="58" t="inlineStr">
        <is>
          <t>vilvah skin brightening kit</t>
        </is>
      </c>
      <c r="M56" s="58" t="inlineStr">
        <is>
          <t>vilvah skin brightening kit uk</t>
        </is>
      </c>
      <c r="N56" s="58" t="inlineStr">
        <is>
          <t>buy vilvah skin brightening kit online</t>
        </is>
      </c>
      <c r="O56" s="58" t="inlineStr">
        <is>
          <t>vilvah skin brightening kit price</t>
        </is>
      </c>
      <c r="P56" s="58" t="n"/>
      <c r="Q56" s="59">
        <f>IF(L56="","",IFERROR(INDEX('Semrush Data'!$A$1:$Z$20000,MATCH(L56,'Semrush Data'!$A$1:$A$20000,0),MATCH("Volume",'Semrush Data'!$A$1:$Z$1,0)),""))</f>
        <v/>
      </c>
      <c r="R56" s="59">
        <f>IF(M56="","",IFERROR(INDEX('Semrush Data'!$A$1:$Z$20000,MATCH(M56,'Semrush Data'!$A$1:$A$20000,0),MATCH("Volume",'Semrush Data'!$A$1:$Z$1,0)),""))</f>
        <v/>
      </c>
      <c r="S56" s="59">
        <f>IF(N56="","",IFERROR(INDEX('Semrush Data'!$A$1:$Z$20000,MATCH(N56,'Semrush Data'!$A$1:$A$20000,0),MATCH("Volume",'Semrush Data'!$A$1:$Z$1,0)),""))</f>
        <v/>
      </c>
      <c r="T56" s="59">
        <f>IF(O56="","",IFERROR(INDEX('Semrush Data'!$A$1:$Z$20000,MATCH(O56,'Semrush Data'!$A$1:$A$20000,0),MATCH("Volume",'Semrush Data'!$A$1:$Z$1,0)),""))</f>
        <v/>
      </c>
      <c r="U56" s="59">
        <f>IF(P56="","",IFERROR(INDEX('Semrush Data'!$A$1:$Z$20000,MATCH(P56,'Semrush Data'!$A$1:$A$20000,0),MATCH("Volume",'Semrush Data'!$A$1:$Z$1,0)),""))</f>
        <v/>
      </c>
      <c r="V56" s="60">
        <f>IF(COUNT(Q56:U56)=0,L56,IF(MAX(Q56:U56)=0,L56,INDEX(L56:P56,MATCH(MAX(Q56:U56),Q56:U56,0))))</f>
        <v/>
      </c>
      <c r="W56" s="59">
        <f>IFERROR(INDEX('Semrush Data'!$A$1:$Z$20000,MATCH(V56,'Semrush Data'!$A$1:$A$20000,0),MATCH("Volume",'Semrush Data'!$A$1:$Z$1,0)),"")</f>
        <v/>
      </c>
      <c r="X56" s="59">
        <f>IFERROR(INDEX('Semrush Data'!$A$1:$Z$20000,MATCH(V56,'Semrush Data'!$A$1:$A$20000,0),MATCH("Keyword Difficulty*",'Semrush Data'!$A$1:$Z$1,0)),"")</f>
        <v/>
      </c>
      <c r="Y56" s="61">
        <f>IFERROR(INDEX('Semrush Data'!$A$1:$Z$20000,MATCH(V56,'Semrush Data'!$A$1:$A$20000,0),MATCH("CPC*",'Semrush Data'!$A$1:$Z$1,0)),"")</f>
        <v/>
      </c>
      <c r="Z56" s="58" t="inlineStr">
        <is>
          <t>vilvah skincare gift set</t>
        </is>
      </c>
      <c r="AA56" s="58" t="n"/>
      <c r="AB56" s="58" t="inlineStr">
        <is>
          <t>Vilvah Skin Brightening Kit</t>
        </is>
      </c>
      <c r="AC56" s="58" t="inlineStr">
        <is>
          <t>Vilvah Skin Brightening Kit | Buy Online UK | Swansura</t>
        </is>
      </c>
      <c r="AD56" s="58">
        <f>LEN(AC56)</f>
        <v/>
      </c>
      <c r="AE56" s="58" t="inlineStr">
        <is>
          <t>Buy Vilvah Skin Brightening Kit online at Swansura, official UK partner of Vilvah. A natural gift set for dull skin. 100% authentic, free UK delivery over £50.</t>
        </is>
      </c>
      <c r="AF56" s="58">
        <f>LEN(AE56)</f>
        <v/>
      </c>
    </row>
    <row r="57" ht="15" customHeight="1" s="37">
      <c r="A57" s="58" t="inlineStr">
        <is>
          <t>VD-056</t>
        </is>
      </c>
      <c r="B57" s="58" t="inlineStr">
        <is>
          <t>Vilvah &amp; Deyga</t>
        </is>
      </c>
      <c r="C57" s="58" t="n">
        <v>56</v>
      </c>
      <c r="D57" s="58" t="inlineStr">
        <is>
          <t>Vilvah</t>
        </is>
      </c>
      <c r="E57" s="58" t="n"/>
      <c r="F57" s="58" t="inlineStr">
        <is>
          <t>Gift Set</t>
        </is>
      </c>
      <c r="G57" s="58" t="inlineStr">
        <is>
          <t>Gift Sets &amp; Combos</t>
        </is>
      </c>
      <c r="H57" s="58" t="inlineStr">
        <is>
          <t>Damaged Skin Barrier</t>
        </is>
      </c>
      <c r="I57" s="58" t="inlineStr">
        <is>
          <t>Vilvah Night Repair Kit</t>
        </is>
      </c>
      <c r="J57" s="58" t="n"/>
      <c r="K57" s="58" t="n">
        <v>39.99</v>
      </c>
      <c r="L57" s="58" t="inlineStr">
        <is>
          <t>vilvah night repair kit</t>
        </is>
      </c>
      <c r="M57" s="58" t="inlineStr">
        <is>
          <t>vilvah night repair kit uk</t>
        </is>
      </c>
      <c r="N57" s="58" t="inlineStr">
        <is>
          <t>buy vilvah night repair kit online</t>
        </is>
      </c>
      <c r="O57" s="58" t="inlineStr">
        <is>
          <t>vilvah night repair kit price</t>
        </is>
      </c>
      <c r="P57" s="58" t="n"/>
      <c r="Q57" s="59">
        <f>IF(L57="","",IFERROR(INDEX('Semrush Data'!$A$1:$Z$20000,MATCH(L57,'Semrush Data'!$A$1:$A$20000,0),MATCH("Volume",'Semrush Data'!$A$1:$Z$1,0)),""))</f>
        <v/>
      </c>
      <c r="R57" s="59">
        <f>IF(M57="","",IFERROR(INDEX('Semrush Data'!$A$1:$Z$20000,MATCH(M57,'Semrush Data'!$A$1:$A$20000,0),MATCH("Volume",'Semrush Data'!$A$1:$Z$1,0)),""))</f>
        <v/>
      </c>
      <c r="S57" s="59">
        <f>IF(N57="","",IFERROR(INDEX('Semrush Data'!$A$1:$Z$20000,MATCH(N57,'Semrush Data'!$A$1:$A$20000,0),MATCH("Volume",'Semrush Data'!$A$1:$Z$1,0)),""))</f>
        <v/>
      </c>
      <c r="T57" s="59">
        <f>IF(O57="","",IFERROR(INDEX('Semrush Data'!$A$1:$Z$20000,MATCH(O57,'Semrush Data'!$A$1:$A$20000,0),MATCH("Volume",'Semrush Data'!$A$1:$Z$1,0)),""))</f>
        <v/>
      </c>
      <c r="U57" s="59">
        <f>IF(P57="","",IFERROR(INDEX('Semrush Data'!$A$1:$Z$20000,MATCH(P57,'Semrush Data'!$A$1:$A$20000,0),MATCH("Volume",'Semrush Data'!$A$1:$Z$1,0)),""))</f>
        <v/>
      </c>
      <c r="V57" s="60">
        <f>IF(COUNT(Q57:U57)=0,L57,IF(MAX(Q57:U57)=0,L57,INDEX(L57:P57,MATCH(MAX(Q57:U57),Q57:U57,0))))</f>
        <v/>
      </c>
      <c r="W57" s="59">
        <f>IFERROR(INDEX('Semrush Data'!$A$1:$Z$20000,MATCH(V57,'Semrush Data'!$A$1:$A$20000,0),MATCH("Volume",'Semrush Data'!$A$1:$Z$1,0)),"")</f>
        <v/>
      </c>
      <c r="X57" s="59">
        <f>IFERROR(INDEX('Semrush Data'!$A$1:$Z$20000,MATCH(V57,'Semrush Data'!$A$1:$A$20000,0),MATCH("Keyword Difficulty*",'Semrush Data'!$A$1:$Z$1,0)),"")</f>
        <v/>
      </c>
      <c r="Y57" s="61">
        <f>IFERROR(INDEX('Semrush Data'!$A$1:$Z$20000,MATCH(V57,'Semrush Data'!$A$1:$A$20000,0),MATCH("CPC*",'Semrush Data'!$A$1:$Z$1,0)),"")</f>
        <v/>
      </c>
      <c r="Z57" s="58" t="inlineStr">
        <is>
          <t>vilvah skincare gift set</t>
        </is>
      </c>
      <c r="AA57" s="58" t="n"/>
      <c r="AB57" s="58" t="inlineStr">
        <is>
          <t>Vilvah Night Repair Kit</t>
        </is>
      </c>
      <c r="AC57" s="58" t="inlineStr">
        <is>
          <t>Vilvah Night Repair Kit | Buy Online UK | Swansura</t>
        </is>
      </c>
      <c r="AD57" s="58">
        <f>LEN(AC57)</f>
        <v/>
      </c>
      <c r="AE57" s="58" t="inlineStr">
        <is>
          <t>Buy Vilvah Night Repair Kit online at Swansura, official UK partner of Vilvah. Natural gift set. 100% authentic, shipped from the UK, free delivery over £50.</t>
        </is>
      </c>
      <c r="AF57" s="58">
        <f>LEN(AE57)</f>
        <v/>
      </c>
    </row>
    <row r="58" ht="15" customHeight="1" s="37">
      <c r="A58" s="58" t="inlineStr">
        <is>
          <t>VD-057</t>
        </is>
      </c>
      <c r="B58" s="58" t="inlineStr">
        <is>
          <t>Vilvah &amp; Deyga</t>
        </is>
      </c>
      <c r="C58" s="58" t="n">
        <v>57</v>
      </c>
      <c r="D58" s="58" t="inlineStr">
        <is>
          <t>Vilvah</t>
        </is>
      </c>
      <c r="E58" s="58" t="n"/>
      <c r="F58" s="58" t="inlineStr">
        <is>
          <t>Gift Set</t>
        </is>
      </c>
      <c r="G58" s="58" t="inlineStr">
        <is>
          <t>Gift Sets &amp; Combos</t>
        </is>
      </c>
      <c r="H58" s="58" t="inlineStr">
        <is>
          <t>Dull Skin</t>
        </is>
      </c>
      <c r="I58" s="58" t="inlineStr">
        <is>
          <t>Vilvah AM PM Serum Kit</t>
        </is>
      </c>
      <c r="J58" s="58" t="n"/>
      <c r="K58" s="58" t="n">
        <v>47.99</v>
      </c>
      <c r="L58" s="58" t="inlineStr">
        <is>
          <t>vilvah am pm serum kit</t>
        </is>
      </c>
      <c r="M58" s="58" t="inlineStr">
        <is>
          <t>vilvah am pm serum kit uk</t>
        </is>
      </c>
      <c r="N58" s="58" t="inlineStr">
        <is>
          <t>buy vilvah am pm serum kit online</t>
        </is>
      </c>
      <c r="O58" s="58" t="inlineStr">
        <is>
          <t>vilvah am pm serum kit price</t>
        </is>
      </c>
      <c r="P58" s="58" t="n"/>
      <c r="Q58" s="59">
        <f>IF(L58="","",IFERROR(INDEX('Semrush Data'!$A$1:$Z$20000,MATCH(L58,'Semrush Data'!$A$1:$A$20000,0),MATCH("Volume",'Semrush Data'!$A$1:$Z$1,0)),""))</f>
        <v/>
      </c>
      <c r="R58" s="59">
        <f>IF(M58="","",IFERROR(INDEX('Semrush Data'!$A$1:$Z$20000,MATCH(M58,'Semrush Data'!$A$1:$A$20000,0),MATCH("Volume",'Semrush Data'!$A$1:$Z$1,0)),""))</f>
        <v/>
      </c>
      <c r="S58" s="59">
        <f>IF(N58="","",IFERROR(INDEX('Semrush Data'!$A$1:$Z$20000,MATCH(N58,'Semrush Data'!$A$1:$A$20000,0),MATCH("Volume",'Semrush Data'!$A$1:$Z$1,0)),""))</f>
        <v/>
      </c>
      <c r="T58" s="59">
        <f>IF(O58="","",IFERROR(INDEX('Semrush Data'!$A$1:$Z$20000,MATCH(O58,'Semrush Data'!$A$1:$A$20000,0),MATCH("Volume",'Semrush Data'!$A$1:$Z$1,0)),""))</f>
        <v/>
      </c>
      <c r="U58" s="59">
        <f>IF(P58="","",IFERROR(INDEX('Semrush Data'!$A$1:$Z$20000,MATCH(P58,'Semrush Data'!$A$1:$A$20000,0),MATCH("Volume",'Semrush Data'!$A$1:$Z$1,0)),""))</f>
        <v/>
      </c>
      <c r="V58" s="60">
        <f>IF(COUNT(Q58:U58)=0,L58,IF(MAX(Q58:U58)=0,L58,INDEX(L58:P58,MATCH(MAX(Q58:U58),Q58:U58,0))))</f>
        <v/>
      </c>
      <c r="W58" s="59">
        <f>IFERROR(INDEX('Semrush Data'!$A$1:$Z$20000,MATCH(V58,'Semrush Data'!$A$1:$A$20000,0),MATCH("Volume",'Semrush Data'!$A$1:$Z$1,0)),"")</f>
        <v/>
      </c>
      <c r="X58" s="59">
        <f>IFERROR(INDEX('Semrush Data'!$A$1:$Z$20000,MATCH(V58,'Semrush Data'!$A$1:$A$20000,0),MATCH("Keyword Difficulty*",'Semrush Data'!$A$1:$Z$1,0)),"")</f>
        <v/>
      </c>
      <c r="Y58" s="61">
        <f>IFERROR(INDEX('Semrush Data'!$A$1:$Z$20000,MATCH(V58,'Semrush Data'!$A$1:$A$20000,0),MATCH("CPC*",'Semrush Data'!$A$1:$Z$1,0)),"")</f>
        <v/>
      </c>
      <c r="Z58" s="58" t="inlineStr">
        <is>
          <t>vilvah skincare gift set</t>
        </is>
      </c>
      <c r="AA58" s="58" t="n"/>
      <c r="AB58" s="58" t="inlineStr">
        <is>
          <t>Vilvah AM PM Serum Kit</t>
        </is>
      </c>
      <c r="AC58" s="58" t="inlineStr">
        <is>
          <t>Vilvah AM PM Serum Kit | Official UK Partner | Swansura</t>
        </is>
      </c>
      <c r="AD58" s="58">
        <f>LEN(AC58)</f>
        <v/>
      </c>
      <c r="AE58" s="58" t="inlineStr">
        <is>
          <t>Buy Vilvah AM PM Serum Kit online at Swansura, official UK partner of Vilvah. Natural gift set. 100% authentic, shipped from the UK, free delivery over £50.</t>
        </is>
      </c>
      <c r="AF58" s="58">
        <f>LEN(AE58)</f>
        <v/>
      </c>
    </row>
    <row r="59" ht="15" customHeight="1" s="37">
      <c r="A59" s="58" t="inlineStr">
        <is>
          <t>VD-058</t>
        </is>
      </c>
      <c r="B59" s="58" t="inlineStr">
        <is>
          <t>Vilvah &amp; Deyga</t>
        </is>
      </c>
      <c r="C59" s="58" t="n">
        <v>58</v>
      </c>
      <c r="D59" s="58" t="inlineStr">
        <is>
          <t>Vilvah</t>
        </is>
      </c>
      <c r="E59" s="58" t="n"/>
      <c r="F59" s="58" t="inlineStr">
        <is>
          <t>Gift Set</t>
        </is>
      </c>
      <c r="G59" s="58" t="inlineStr">
        <is>
          <t>Gift Sets &amp; Combos</t>
        </is>
      </c>
      <c r="H59" s="58" t="inlineStr">
        <is>
          <t>Anti-Ageing</t>
        </is>
      </c>
      <c r="I59" s="58" t="inlineStr">
        <is>
          <t>Vilvah Better Ageing Kit</t>
        </is>
      </c>
      <c r="J59" s="58" t="n"/>
      <c r="K59" s="58" t="n">
        <v>49.99</v>
      </c>
      <c r="L59" s="58" t="inlineStr">
        <is>
          <t>vilvah better ageing kit</t>
        </is>
      </c>
      <c r="M59" s="58" t="inlineStr">
        <is>
          <t>vilvah better ageing kit uk</t>
        </is>
      </c>
      <c r="N59" s="58" t="inlineStr">
        <is>
          <t>buy vilvah better ageing kit online</t>
        </is>
      </c>
      <c r="O59" s="58" t="inlineStr">
        <is>
          <t>vilvah better ageing kit price</t>
        </is>
      </c>
      <c r="P59" s="58" t="n"/>
      <c r="Q59" s="59">
        <f>IF(L59="","",IFERROR(INDEX('Semrush Data'!$A$1:$Z$20000,MATCH(L59,'Semrush Data'!$A$1:$A$20000,0),MATCH("Volume",'Semrush Data'!$A$1:$Z$1,0)),""))</f>
        <v/>
      </c>
      <c r="R59" s="59">
        <f>IF(M59="","",IFERROR(INDEX('Semrush Data'!$A$1:$Z$20000,MATCH(M59,'Semrush Data'!$A$1:$A$20000,0),MATCH("Volume",'Semrush Data'!$A$1:$Z$1,0)),""))</f>
        <v/>
      </c>
      <c r="S59" s="59">
        <f>IF(N59="","",IFERROR(INDEX('Semrush Data'!$A$1:$Z$20000,MATCH(N59,'Semrush Data'!$A$1:$A$20000,0),MATCH("Volume",'Semrush Data'!$A$1:$Z$1,0)),""))</f>
        <v/>
      </c>
      <c r="T59" s="59">
        <f>IF(O59="","",IFERROR(INDEX('Semrush Data'!$A$1:$Z$20000,MATCH(O59,'Semrush Data'!$A$1:$A$20000,0),MATCH("Volume",'Semrush Data'!$A$1:$Z$1,0)),""))</f>
        <v/>
      </c>
      <c r="U59" s="59">
        <f>IF(P59="","",IFERROR(INDEX('Semrush Data'!$A$1:$Z$20000,MATCH(P59,'Semrush Data'!$A$1:$A$20000,0),MATCH("Volume",'Semrush Data'!$A$1:$Z$1,0)),""))</f>
        <v/>
      </c>
      <c r="V59" s="60">
        <f>IF(COUNT(Q59:U59)=0,L59,IF(MAX(Q59:U59)=0,L59,INDEX(L59:P59,MATCH(MAX(Q59:U59),Q59:U59,0))))</f>
        <v/>
      </c>
      <c r="W59" s="59">
        <f>IFERROR(INDEX('Semrush Data'!$A$1:$Z$20000,MATCH(V59,'Semrush Data'!$A$1:$A$20000,0),MATCH("Volume",'Semrush Data'!$A$1:$Z$1,0)),"")</f>
        <v/>
      </c>
      <c r="X59" s="59">
        <f>IFERROR(INDEX('Semrush Data'!$A$1:$Z$20000,MATCH(V59,'Semrush Data'!$A$1:$A$20000,0),MATCH("Keyword Difficulty*",'Semrush Data'!$A$1:$Z$1,0)),"")</f>
        <v/>
      </c>
      <c r="Y59" s="61">
        <f>IFERROR(INDEX('Semrush Data'!$A$1:$Z$20000,MATCH(V59,'Semrush Data'!$A$1:$A$20000,0),MATCH("CPC*",'Semrush Data'!$A$1:$Z$1,0)),"")</f>
        <v/>
      </c>
      <c r="Z59" s="58" t="inlineStr">
        <is>
          <t>vilvah skincare gift set</t>
        </is>
      </c>
      <c r="AA59" s="58" t="n"/>
      <c r="AB59" s="58" t="inlineStr">
        <is>
          <t>Vilvah Better Ageing Kit</t>
        </is>
      </c>
      <c r="AC59" s="58" t="inlineStr">
        <is>
          <t>Vilvah Better Ageing Kit | Buy Online UK | Swansura</t>
        </is>
      </c>
      <c r="AD59" s="58">
        <f>LEN(AC59)</f>
        <v/>
      </c>
      <c r="AE59" s="58" t="inlineStr">
        <is>
          <t>Buy Vilvah Better Ageing Kit online at Swansura, official UK partner of Vilvah. A natural gift set for ageing skin. 100% authentic, free UK delivery over £50.</t>
        </is>
      </c>
      <c r="AF59" s="58">
        <f>LEN(AE59)</f>
        <v/>
      </c>
    </row>
    <row r="60" ht="15" customHeight="1" s="37">
      <c r="A60" s="58" t="inlineStr">
        <is>
          <t>VD-059</t>
        </is>
      </c>
      <c r="B60" s="58" t="inlineStr">
        <is>
          <t>Vilvah &amp; Deyga</t>
        </is>
      </c>
      <c r="C60" s="58" t="n">
        <v>59</v>
      </c>
      <c r="D60" s="58" t="inlineStr">
        <is>
          <t>Vilvah</t>
        </is>
      </c>
      <c r="E60" s="58" t="n"/>
      <c r="F60" s="58" t="inlineStr">
        <is>
          <t>Gift Set</t>
        </is>
      </c>
      <c r="G60" s="58" t="inlineStr">
        <is>
          <t>Gift Sets &amp; Combos</t>
        </is>
      </c>
      <c r="H60" s="58" t="inlineStr">
        <is>
          <t>Dull Skin</t>
        </is>
      </c>
      <c r="I60" s="58" t="inlineStr">
        <is>
          <t>Vilvah AM Brightening kit</t>
        </is>
      </c>
      <c r="J60" s="58" t="n"/>
      <c r="K60" s="58" t="n">
        <v>44.99</v>
      </c>
      <c r="L60" s="58" t="inlineStr">
        <is>
          <t>vilvah am brightening kit</t>
        </is>
      </c>
      <c r="M60" s="58" t="inlineStr">
        <is>
          <t>vilvah am brightening kit uk</t>
        </is>
      </c>
      <c r="N60" s="58" t="inlineStr">
        <is>
          <t>buy vilvah am brightening kit online</t>
        </is>
      </c>
      <c r="O60" s="58" t="inlineStr">
        <is>
          <t>vilvah am brightening kit price</t>
        </is>
      </c>
      <c r="P60" s="58" t="n"/>
      <c r="Q60" s="59">
        <f>IF(L60="","",IFERROR(INDEX('Semrush Data'!$A$1:$Z$20000,MATCH(L60,'Semrush Data'!$A$1:$A$20000,0),MATCH("Volume",'Semrush Data'!$A$1:$Z$1,0)),""))</f>
        <v/>
      </c>
      <c r="R60" s="59">
        <f>IF(M60="","",IFERROR(INDEX('Semrush Data'!$A$1:$Z$20000,MATCH(M60,'Semrush Data'!$A$1:$A$20000,0),MATCH("Volume",'Semrush Data'!$A$1:$Z$1,0)),""))</f>
        <v/>
      </c>
      <c r="S60" s="59">
        <f>IF(N60="","",IFERROR(INDEX('Semrush Data'!$A$1:$Z$20000,MATCH(N60,'Semrush Data'!$A$1:$A$20000,0),MATCH("Volume",'Semrush Data'!$A$1:$Z$1,0)),""))</f>
        <v/>
      </c>
      <c r="T60" s="59">
        <f>IF(O60="","",IFERROR(INDEX('Semrush Data'!$A$1:$Z$20000,MATCH(O60,'Semrush Data'!$A$1:$A$20000,0),MATCH("Volume",'Semrush Data'!$A$1:$Z$1,0)),""))</f>
        <v/>
      </c>
      <c r="U60" s="59">
        <f>IF(P60="","",IFERROR(INDEX('Semrush Data'!$A$1:$Z$20000,MATCH(P60,'Semrush Data'!$A$1:$A$20000,0),MATCH("Volume",'Semrush Data'!$A$1:$Z$1,0)),""))</f>
        <v/>
      </c>
      <c r="V60" s="60">
        <f>IF(COUNT(Q60:U60)=0,L60,IF(MAX(Q60:U60)=0,L60,INDEX(L60:P60,MATCH(MAX(Q60:U60),Q60:U60,0))))</f>
        <v/>
      </c>
      <c r="W60" s="59">
        <f>IFERROR(INDEX('Semrush Data'!$A$1:$Z$20000,MATCH(V60,'Semrush Data'!$A$1:$A$20000,0),MATCH("Volume",'Semrush Data'!$A$1:$Z$1,0)),"")</f>
        <v/>
      </c>
      <c r="X60" s="59">
        <f>IFERROR(INDEX('Semrush Data'!$A$1:$Z$20000,MATCH(V60,'Semrush Data'!$A$1:$A$20000,0),MATCH("Keyword Difficulty*",'Semrush Data'!$A$1:$Z$1,0)),"")</f>
        <v/>
      </c>
      <c r="Y60" s="61">
        <f>IFERROR(INDEX('Semrush Data'!$A$1:$Z$20000,MATCH(V60,'Semrush Data'!$A$1:$A$20000,0),MATCH("CPC*",'Semrush Data'!$A$1:$Z$1,0)),"")</f>
        <v/>
      </c>
      <c r="Z60" s="58" t="inlineStr">
        <is>
          <t>vilvah skincare gift set</t>
        </is>
      </c>
      <c r="AA60" s="58" t="n"/>
      <c r="AB60" s="58" t="inlineStr">
        <is>
          <t>Vilvah AM Brightening Kit</t>
        </is>
      </c>
      <c r="AC60" s="58" t="inlineStr">
        <is>
          <t>Vilvah AM Brightening Kit | Buy Online UK | Swansura</t>
        </is>
      </c>
      <c r="AD60" s="58">
        <f>LEN(AC60)</f>
        <v/>
      </c>
      <c r="AE60" s="58" t="inlineStr">
        <is>
          <t>Buy Vilvah AM Brightening Kit online at Swansura, official UK partner of Vilvah. Natural gift set. 100% authentic, shipped from the UK, free delivery over £50.</t>
        </is>
      </c>
      <c r="AF60" s="58">
        <f>LEN(AE60)</f>
        <v/>
      </c>
    </row>
    <row r="61" ht="15" customHeight="1" s="37">
      <c r="A61" s="58" t="inlineStr">
        <is>
          <t>VD-060</t>
        </is>
      </c>
      <c r="B61" s="58" t="inlineStr">
        <is>
          <t>Vilvah &amp; Deyga</t>
        </is>
      </c>
      <c r="C61" s="58" t="n">
        <v>60</v>
      </c>
      <c r="D61" s="58" t="inlineStr">
        <is>
          <t>Vilvah</t>
        </is>
      </c>
      <c r="E61" s="58" t="n"/>
      <c r="F61" s="58" t="inlineStr">
        <is>
          <t>Gift Set</t>
        </is>
      </c>
      <c r="G61" s="58" t="inlineStr">
        <is>
          <t>Gift Sets &amp; Combos</t>
        </is>
      </c>
      <c r="H61" s="58" t="inlineStr">
        <is>
          <t>Sun Protection</t>
        </is>
      </c>
      <c r="I61" s="58" t="inlineStr">
        <is>
          <t>Vilvah Tan Protection kit</t>
        </is>
      </c>
      <c r="J61" s="58" t="n"/>
      <c r="K61" s="58" t="n">
        <v>38.99</v>
      </c>
      <c r="L61" s="58" t="inlineStr">
        <is>
          <t>vilvah tan protection kit</t>
        </is>
      </c>
      <c r="M61" s="58" t="inlineStr">
        <is>
          <t>vilvah tan protection kit uk</t>
        </is>
      </c>
      <c r="N61" s="58" t="inlineStr">
        <is>
          <t>buy vilvah tan protection kit online</t>
        </is>
      </c>
      <c r="O61" s="58" t="inlineStr">
        <is>
          <t>vilvah tan protection kit price</t>
        </is>
      </c>
      <c r="P61" s="58" t="n"/>
      <c r="Q61" s="59">
        <f>IF(L61="","",IFERROR(INDEX('Semrush Data'!$A$1:$Z$20000,MATCH(L61,'Semrush Data'!$A$1:$A$20000,0),MATCH("Volume",'Semrush Data'!$A$1:$Z$1,0)),""))</f>
        <v/>
      </c>
      <c r="R61" s="59">
        <f>IF(M61="","",IFERROR(INDEX('Semrush Data'!$A$1:$Z$20000,MATCH(M61,'Semrush Data'!$A$1:$A$20000,0),MATCH("Volume",'Semrush Data'!$A$1:$Z$1,0)),""))</f>
        <v/>
      </c>
      <c r="S61" s="59">
        <f>IF(N61="","",IFERROR(INDEX('Semrush Data'!$A$1:$Z$20000,MATCH(N61,'Semrush Data'!$A$1:$A$20000,0),MATCH("Volume",'Semrush Data'!$A$1:$Z$1,0)),""))</f>
        <v/>
      </c>
      <c r="T61" s="59">
        <f>IF(O61="","",IFERROR(INDEX('Semrush Data'!$A$1:$Z$20000,MATCH(O61,'Semrush Data'!$A$1:$A$20000,0),MATCH("Volume",'Semrush Data'!$A$1:$Z$1,0)),""))</f>
        <v/>
      </c>
      <c r="U61" s="59">
        <f>IF(P61="","",IFERROR(INDEX('Semrush Data'!$A$1:$Z$20000,MATCH(P61,'Semrush Data'!$A$1:$A$20000,0),MATCH("Volume",'Semrush Data'!$A$1:$Z$1,0)),""))</f>
        <v/>
      </c>
      <c r="V61" s="60">
        <f>IF(COUNT(Q61:U61)=0,L61,IF(MAX(Q61:U61)=0,L61,INDEX(L61:P61,MATCH(MAX(Q61:U61),Q61:U61,0))))</f>
        <v/>
      </c>
      <c r="W61" s="59">
        <f>IFERROR(INDEX('Semrush Data'!$A$1:$Z$20000,MATCH(V61,'Semrush Data'!$A$1:$A$20000,0),MATCH("Volume",'Semrush Data'!$A$1:$Z$1,0)),"")</f>
        <v/>
      </c>
      <c r="X61" s="59">
        <f>IFERROR(INDEX('Semrush Data'!$A$1:$Z$20000,MATCH(V61,'Semrush Data'!$A$1:$A$20000,0),MATCH("Keyword Difficulty*",'Semrush Data'!$A$1:$Z$1,0)),"")</f>
        <v/>
      </c>
      <c r="Y61" s="61">
        <f>IFERROR(INDEX('Semrush Data'!$A$1:$Z$20000,MATCH(V61,'Semrush Data'!$A$1:$A$20000,0),MATCH("CPC*",'Semrush Data'!$A$1:$Z$1,0)),"")</f>
        <v/>
      </c>
      <c r="Z61" s="58" t="inlineStr">
        <is>
          <t>vilvah skincare gift set</t>
        </is>
      </c>
      <c r="AA61" s="58" t="n"/>
      <c r="AB61" s="58" t="inlineStr">
        <is>
          <t>Vilvah Tan Protection Kit</t>
        </is>
      </c>
      <c r="AC61" s="58" t="inlineStr">
        <is>
          <t>Vilvah Tan Protection Kit | Buy Online UK | Swansura</t>
        </is>
      </c>
      <c r="AD61" s="58">
        <f>LEN(AC61)</f>
        <v/>
      </c>
      <c r="AE61" s="58" t="inlineStr">
        <is>
          <t>Buy Vilvah Tan Protection Kit online at Swansura, official UK partner of Vilvah. Natural gift set. 100% authentic, shipped from the UK, free delivery over £50.</t>
        </is>
      </c>
      <c r="AF61" s="58">
        <f>LEN(AE61)</f>
        <v/>
      </c>
    </row>
    <row r="62" ht="15" customHeight="1" s="37">
      <c r="A62" s="58" t="inlineStr">
        <is>
          <t>VD-061</t>
        </is>
      </c>
      <c r="B62" s="58" t="inlineStr">
        <is>
          <t>Vilvah &amp; Deyga</t>
        </is>
      </c>
      <c r="C62" s="58" t="n">
        <v>61</v>
      </c>
      <c r="D62" s="58" t="inlineStr">
        <is>
          <t>Vilvah</t>
        </is>
      </c>
      <c r="E62" s="58" t="n"/>
      <c r="F62" s="58" t="inlineStr">
        <is>
          <t>Gift Set</t>
        </is>
      </c>
      <c r="G62" s="58" t="inlineStr">
        <is>
          <t>Gift Sets &amp; Combos</t>
        </is>
      </c>
      <c r="H62" s="58" t="inlineStr">
        <is>
          <t>Dull Skin</t>
        </is>
      </c>
      <c r="I62" s="58" t="inlineStr">
        <is>
          <t>Vilvah skin radiance kit</t>
        </is>
      </c>
      <c r="J62" s="58" t="n"/>
      <c r="K62" s="58" t="n">
        <v>44.99</v>
      </c>
      <c r="L62" s="58" t="inlineStr">
        <is>
          <t>vilvah skin radiance kit</t>
        </is>
      </c>
      <c r="M62" s="58" t="inlineStr">
        <is>
          <t>vilvah skin radiance kit uk</t>
        </is>
      </c>
      <c r="N62" s="58" t="inlineStr">
        <is>
          <t>buy vilvah skin radiance kit online</t>
        </is>
      </c>
      <c r="O62" s="58" t="inlineStr">
        <is>
          <t>vilvah skin radiance kit price</t>
        </is>
      </c>
      <c r="P62" s="58" t="n"/>
      <c r="Q62" s="59">
        <f>IF(L62="","",IFERROR(INDEX('Semrush Data'!$A$1:$Z$20000,MATCH(L62,'Semrush Data'!$A$1:$A$20000,0),MATCH("Volume",'Semrush Data'!$A$1:$Z$1,0)),""))</f>
        <v/>
      </c>
      <c r="R62" s="59">
        <f>IF(M62="","",IFERROR(INDEX('Semrush Data'!$A$1:$Z$20000,MATCH(M62,'Semrush Data'!$A$1:$A$20000,0),MATCH("Volume",'Semrush Data'!$A$1:$Z$1,0)),""))</f>
        <v/>
      </c>
      <c r="S62" s="59">
        <f>IF(N62="","",IFERROR(INDEX('Semrush Data'!$A$1:$Z$20000,MATCH(N62,'Semrush Data'!$A$1:$A$20000,0),MATCH("Volume",'Semrush Data'!$A$1:$Z$1,0)),""))</f>
        <v/>
      </c>
      <c r="T62" s="59">
        <f>IF(O62="","",IFERROR(INDEX('Semrush Data'!$A$1:$Z$20000,MATCH(O62,'Semrush Data'!$A$1:$A$20000,0),MATCH("Volume",'Semrush Data'!$A$1:$Z$1,0)),""))</f>
        <v/>
      </c>
      <c r="U62" s="59">
        <f>IF(P62="","",IFERROR(INDEX('Semrush Data'!$A$1:$Z$20000,MATCH(P62,'Semrush Data'!$A$1:$A$20000,0),MATCH("Volume",'Semrush Data'!$A$1:$Z$1,0)),""))</f>
        <v/>
      </c>
      <c r="V62" s="60">
        <f>IF(COUNT(Q62:U62)=0,L62,IF(MAX(Q62:U62)=0,L62,INDEX(L62:P62,MATCH(MAX(Q62:U62),Q62:U62,0))))</f>
        <v/>
      </c>
      <c r="W62" s="59">
        <f>IFERROR(INDEX('Semrush Data'!$A$1:$Z$20000,MATCH(V62,'Semrush Data'!$A$1:$A$20000,0),MATCH("Volume",'Semrush Data'!$A$1:$Z$1,0)),"")</f>
        <v/>
      </c>
      <c r="X62" s="59">
        <f>IFERROR(INDEX('Semrush Data'!$A$1:$Z$20000,MATCH(V62,'Semrush Data'!$A$1:$A$20000,0),MATCH("Keyword Difficulty*",'Semrush Data'!$A$1:$Z$1,0)),"")</f>
        <v/>
      </c>
      <c r="Y62" s="61">
        <f>IFERROR(INDEX('Semrush Data'!$A$1:$Z$20000,MATCH(V62,'Semrush Data'!$A$1:$A$20000,0),MATCH("CPC*",'Semrush Data'!$A$1:$Z$1,0)),"")</f>
        <v/>
      </c>
      <c r="Z62" s="58" t="inlineStr">
        <is>
          <t>vilvah skincare gift set</t>
        </is>
      </c>
      <c r="AA62" s="58" t="n"/>
      <c r="AB62" s="58" t="inlineStr">
        <is>
          <t>Vilvah Skin Radiance Kit</t>
        </is>
      </c>
      <c r="AC62" s="58" t="inlineStr">
        <is>
          <t>Vilvah Skin Radiance Kit | Buy Online UK | Swansura</t>
        </is>
      </c>
      <c r="AD62" s="58">
        <f>LEN(AC62)</f>
        <v/>
      </c>
      <c r="AE62" s="58" t="inlineStr">
        <is>
          <t>Buy Vilvah Skin Radiance Kit online at Swansura, official UK partner of Vilvah. Natural gift set. 100% authentic, shipped from the UK, free delivery over £50.</t>
        </is>
      </c>
      <c r="AF62" s="58">
        <f>LEN(AE62)</f>
        <v/>
      </c>
    </row>
    <row r="63" ht="15" customHeight="1" s="37">
      <c r="A63" s="58" t="inlineStr">
        <is>
          <t>VD-062</t>
        </is>
      </c>
      <c r="B63" s="58" t="inlineStr">
        <is>
          <t>Vilvah &amp; Deyga</t>
        </is>
      </c>
      <c r="C63" s="58" t="n">
        <v>62</v>
      </c>
      <c r="D63" s="58" t="inlineStr">
        <is>
          <t>Vilvah</t>
        </is>
      </c>
      <c r="E63" s="58" t="n"/>
      <c r="F63" s="58" t="inlineStr">
        <is>
          <t>Gift Set</t>
        </is>
      </c>
      <c r="G63" s="58" t="inlineStr">
        <is>
          <t>Gift Sets &amp; Combos</t>
        </is>
      </c>
      <c r="H63" s="58" t="inlineStr">
        <is>
          <t>Blackheads &amp; Pores</t>
        </is>
      </c>
      <c r="I63" s="58" t="inlineStr">
        <is>
          <t>Vilvah Pore Minimising Kit</t>
        </is>
      </c>
      <c r="J63" s="58" t="n"/>
      <c r="K63" s="58" t="n">
        <v>32.99</v>
      </c>
      <c r="L63" s="58" t="inlineStr">
        <is>
          <t>vilvah pore minimising kit</t>
        </is>
      </c>
      <c r="M63" s="58" t="inlineStr">
        <is>
          <t>vilvah pore minimising kit uk</t>
        </is>
      </c>
      <c r="N63" s="58" t="inlineStr">
        <is>
          <t>buy vilvah pore minimising kit online</t>
        </is>
      </c>
      <c r="O63" s="58" t="inlineStr">
        <is>
          <t>vilvah pore minimising kit price</t>
        </is>
      </c>
      <c r="P63" s="58" t="n"/>
      <c r="Q63" s="59">
        <f>IF(L63="","",IFERROR(INDEX('Semrush Data'!$A$1:$Z$20000,MATCH(L63,'Semrush Data'!$A$1:$A$20000,0),MATCH("Volume",'Semrush Data'!$A$1:$Z$1,0)),""))</f>
        <v/>
      </c>
      <c r="R63" s="59">
        <f>IF(M63="","",IFERROR(INDEX('Semrush Data'!$A$1:$Z$20000,MATCH(M63,'Semrush Data'!$A$1:$A$20000,0),MATCH("Volume",'Semrush Data'!$A$1:$Z$1,0)),""))</f>
        <v/>
      </c>
      <c r="S63" s="59">
        <f>IF(N63="","",IFERROR(INDEX('Semrush Data'!$A$1:$Z$20000,MATCH(N63,'Semrush Data'!$A$1:$A$20000,0),MATCH("Volume",'Semrush Data'!$A$1:$Z$1,0)),""))</f>
        <v/>
      </c>
      <c r="T63" s="59">
        <f>IF(O63="","",IFERROR(INDEX('Semrush Data'!$A$1:$Z$20000,MATCH(O63,'Semrush Data'!$A$1:$A$20000,0),MATCH("Volume",'Semrush Data'!$A$1:$Z$1,0)),""))</f>
        <v/>
      </c>
      <c r="U63" s="59">
        <f>IF(P63="","",IFERROR(INDEX('Semrush Data'!$A$1:$Z$20000,MATCH(P63,'Semrush Data'!$A$1:$A$20000,0),MATCH("Volume",'Semrush Data'!$A$1:$Z$1,0)),""))</f>
        <v/>
      </c>
      <c r="V63" s="60">
        <f>IF(COUNT(Q63:U63)=0,L63,IF(MAX(Q63:U63)=0,L63,INDEX(L63:P63,MATCH(MAX(Q63:U63),Q63:U63,0))))</f>
        <v/>
      </c>
      <c r="W63" s="59">
        <f>IFERROR(INDEX('Semrush Data'!$A$1:$Z$20000,MATCH(V63,'Semrush Data'!$A$1:$A$20000,0),MATCH("Volume",'Semrush Data'!$A$1:$Z$1,0)),"")</f>
        <v/>
      </c>
      <c r="X63" s="59">
        <f>IFERROR(INDEX('Semrush Data'!$A$1:$Z$20000,MATCH(V63,'Semrush Data'!$A$1:$A$20000,0),MATCH("Keyword Difficulty*",'Semrush Data'!$A$1:$Z$1,0)),"")</f>
        <v/>
      </c>
      <c r="Y63" s="61">
        <f>IFERROR(INDEX('Semrush Data'!$A$1:$Z$20000,MATCH(V63,'Semrush Data'!$A$1:$A$20000,0),MATCH("CPC*",'Semrush Data'!$A$1:$Z$1,0)),"")</f>
        <v/>
      </c>
      <c r="Z63" s="58" t="inlineStr">
        <is>
          <t>vilvah skincare gift set</t>
        </is>
      </c>
      <c r="AA63" s="58" t="n"/>
      <c r="AB63" s="58" t="inlineStr">
        <is>
          <t>Vilvah Pore Minimising Kit</t>
        </is>
      </c>
      <c r="AC63" s="58" t="inlineStr">
        <is>
          <t>Vilvah Pore Minimising Kit | Buy Online UK | Swansura</t>
        </is>
      </c>
      <c r="AD63" s="58">
        <f>LEN(AC63)</f>
        <v/>
      </c>
      <c r="AE63" s="58" t="inlineStr">
        <is>
          <t>Buy Vilvah Pore Minimising Kit online at Swansura, official UK partner of Vilvah. Natural gift set. 100% authentic, shipped from the UK, free delivery over £50.</t>
        </is>
      </c>
      <c r="AF63" s="58">
        <f>LEN(AE63)</f>
        <v/>
      </c>
    </row>
    <row r="64" ht="15" customHeight="1" s="37">
      <c r="A64" s="58" t="inlineStr">
        <is>
          <t>VD-063</t>
        </is>
      </c>
      <c r="B64" s="58" t="inlineStr">
        <is>
          <t>Vilvah &amp; Deyga</t>
        </is>
      </c>
      <c r="C64" s="58" t="n">
        <v>63</v>
      </c>
      <c r="D64" s="58" t="inlineStr">
        <is>
          <t>Vilvah</t>
        </is>
      </c>
      <c r="E64" s="58" t="n"/>
      <c r="F64" s="58" t="inlineStr">
        <is>
          <t>Gift Set</t>
        </is>
      </c>
      <c r="G64" s="58" t="inlineStr">
        <is>
          <t>Gift Sets &amp; Combos</t>
        </is>
      </c>
      <c r="H64" s="58" t="inlineStr">
        <is>
          <t>Dull Skin</t>
        </is>
      </c>
      <c r="I64" s="58" t="inlineStr">
        <is>
          <t>Vilvah Face Brightening Kit Large</t>
        </is>
      </c>
      <c r="J64" s="58" t="n"/>
      <c r="K64" s="58" t="n">
        <v>42.99</v>
      </c>
      <c r="L64" s="58" t="inlineStr">
        <is>
          <t>vilvah face brightening kit large</t>
        </is>
      </c>
      <c r="M64" s="58" t="inlineStr">
        <is>
          <t>vilvah face brightening kit large uk</t>
        </is>
      </c>
      <c r="N64" s="58" t="inlineStr">
        <is>
          <t>buy vilvah face brightening kit large online</t>
        </is>
      </c>
      <c r="O64" s="58" t="inlineStr">
        <is>
          <t>vilvah face brightening kit large price</t>
        </is>
      </c>
      <c r="P64" s="58" t="n"/>
      <c r="Q64" s="59">
        <f>IF(L64="","",IFERROR(INDEX('Semrush Data'!$A$1:$Z$20000,MATCH(L64,'Semrush Data'!$A$1:$A$20000,0),MATCH("Volume",'Semrush Data'!$A$1:$Z$1,0)),""))</f>
        <v/>
      </c>
      <c r="R64" s="59">
        <f>IF(M64="","",IFERROR(INDEX('Semrush Data'!$A$1:$Z$20000,MATCH(M64,'Semrush Data'!$A$1:$A$20000,0),MATCH("Volume",'Semrush Data'!$A$1:$Z$1,0)),""))</f>
        <v/>
      </c>
      <c r="S64" s="59">
        <f>IF(N64="","",IFERROR(INDEX('Semrush Data'!$A$1:$Z$20000,MATCH(N64,'Semrush Data'!$A$1:$A$20000,0),MATCH("Volume",'Semrush Data'!$A$1:$Z$1,0)),""))</f>
        <v/>
      </c>
      <c r="T64" s="59">
        <f>IF(O64="","",IFERROR(INDEX('Semrush Data'!$A$1:$Z$20000,MATCH(O64,'Semrush Data'!$A$1:$A$20000,0),MATCH("Volume",'Semrush Data'!$A$1:$Z$1,0)),""))</f>
        <v/>
      </c>
      <c r="U64" s="59">
        <f>IF(P64="","",IFERROR(INDEX('Semrush Data'!$A$1:$Z$20000,MATCH(P64,'Semrush Data'!$A$1:$A$20000,0),MATCH("Volume",'Semrush Data'!$A$1:$Z$1,0)),""))</f>
        <v/>
      </c>
      <c r="V64" s="60">
        <f>IF(COUNT(Q64:U64)=0,L64,IF(MAX(Q64:U64)=0,L64,INDEX(L64:P64,MATCH(MAX(Q64:U64),Q64:U64,0))))</f>
        <v/>
      </c>
      <c r="W64" s="59">
        <f>IFERROR(INDEX('Semrush Data'!$A$1:$Z$20000,MATCH(V64,'Semrush Data'!$A$1:$A$20000,0),MATCH("Volume",'Semrush Data'!$A$1:$Z$1,0)),"")</f>
        <v/>
      </c>
      <c r="X64" s="59">
        <f>IFERROR(INDEX('Semrush Data'!$A$1:$Z$20000,MATCH(V64,'Semrush Data'!$A$1:$A$20000,0),MATCH("Keyword Difficulty*",'Semrush Data'!$A$1:$Z$1,0)),"")</f>
        <v/>
      </c>
      <c r="Y64" s="61">
        <f>IFERROR(INDEX('Semrush Data'!$A$1:$Z$20000,MATCH(V64,'Semrush Data'!$A$1:$A$20000,0),MATCH("CPC*",'Semrush Data'!$A$1:$Z$1,0)),"")</f>
        <v/>
      </c>
      <c r="Z64" s="58" t="inlineStr">
        <is>
          <t>vilvah skincare gift set</t>
        </is>
      </c>
      <c r="AA64" s="58" t="n"/>
      <c r="AB64" s="58" t="inlineStr">
        <is>
          <t>Vilvah Face Brightening Kit Large</t>
        </is>
      </c>
      <c r="AC64" s="58" t="inlineStr">
        <is>
          <t>Vilvah Face Brightening Kit Large | Buy Online UK | Swansura</t>
        </is>
      </c>
      <c r="AD64" s="58">
        <f>LEN(AC64)</f>
        <v/>
      </c>
      <c r="AE64" s="58" t="inlineStr">
        <is>
          <t>Buy Vilvah Face Brightening Kit Large online in the UK at Swansura, official UK partner of Vilvah. A natural gift set for dull skin. Free UK delivery over £50.</t>
        </is>
      </c>
      <c r="AF64" s="58">
        <f>LEN(AE64)</f>
        <v/>
      </c>
    </row>
    <row r="65" ht="15" customHeight="1" s="37">
      <c r="A65" s="58" t="inlineStr">
        <is>
          <t>VD-064</t>
        </is>
      </c>
      <c r="B65" s="58" t="inlineStr">
        <is>
          <t>Vilvah &amp; Deyga</t>
        </is>
      </c>
      <c r="C65" s="58" t="n">
        <v>64</v>
      </c>
      <c r="D65" s="58" t="inlineStr">
        <is>
          <t>Vilvah</t>
        </is>
      </c>
      <c r="E65" s="58" t="n"/>
      <c r="F65" s="58" t="inlineStr">
        <is>
          <t>Gift Set</t>
        </is>
      </c>
      <c r="G65" s="58" t="inlineStr">
        <is>
          <t>Gift Sets &amp; Combos</t>
        </is>
      </c>
      <c r="H65" s="58" t="inlineStr">
        <is>
          <t>Dull Skin</t>
        </is>
      </c>
      <c r="I65" s="58" t="inlineStr">
        <is>
          <t>Vilvah Face Brightening Kit</t>
        </is>
      </c>
      <c r="J65" s="58" t="n"/>
      <c r="K65" s="58" t="n">
        <v>37.99</v>
      </c>
      <c r="L65" s="58" t="inlineStr">
        <is>
          <t>vilvah face brightening kit</t>
        </is>
      </c>
      <c r="M65" s="58" t="inlineStr">
        <is>
          <t>vilvah face brightening kit uk</t>
        </is>
      </c>
      <c r="N65" s="58" t="inlineStr">
        <is>
          <t>buy vilvah face brightening kit online</t>
        </is>
      </c>
      <c r="O65" s="58" t="inlineStr">
        <is>
          <t>vilvah face brightening kit price</t>
        </is>
      </c>
      <c r="P65" s="58" t="n"/>
      <c r="Q65" s="59">
        <f>IF(L65="","",IFERROR(INDEX('Semrush Data'!$A$1:$Z$20000,MATCH(L65,'Semrush Data'!$A$1:$A$20000,0),MATCH("Volume",'Semrush Data'!$A$1:$Z$1,0)),""))</f>
        <v/>
      </c>
      <c r="R65" s="59">
        <f>IF(M65="","",IFERROR(INDEX('Semrush Data'!$A$1:$Z$20000,MATCH(M65,'Semrush Data'!$A$1:$A$20000,0),MATCH("Volume",'Semrush Data'!$A$1:$Z$1,0)),""))</f>
        <v/>
      </c>
      <c r="S65" s="59">
        <f>IF(N65="","",IFERROR(INDEX('Semrush Data'!$A$1:$Z$20000,MATCH(N65,'Semrush Data'!$A$1:$A$20000,0),MATCH("Volume",'Semrush Data'!$A$1:$Z$1,0)),""))</f>
        <v/>
      </c>
      <c r="T65" s="59">
        <f>IF(O65="","",IFERROR(INDEX('Semrush Data'!$A$1:$Z$20000,MATCH(O65,'Semrush Data'!$A$1:$A$20000,0),MATCH("Volume",'Semrush Data'!$A$1:$Z$1,0)),""))</f>
        <v/>
      </c>
      <c r="U65" s="59">
        <f>IF(P65="","",IFERROR(INDEX('Semrush Data'!$A$1:$Z$20000,MATCH(P65,'Semrush Data'!$A$1:$A$20000,0),MATCH("Volume",'Semrush Data'!$A$1:$Z$1,0)),""))</f>
        <v/>
      </c>
      <c r="V65" s="60">
        <f>IF(COUNT(Q65:U65)=0,L65,IF(MAX(Q65:U65)=0,L65,INDEX(L65:P65,MATCH(MAX(Q65:U65),Q65:U65,0))))</f>
        <v/>
      </c>
      <c r="W65" s="59">
        <f>IFERROR(INDEX('Semrush Data'!$A$1:$Z$20000,MATCH(V65,'Semrush Data'!$A$1:$A$20000,0),MATCH("Volume",'Semrush Data'!$A$1:$Z$1,0)),"")</f>
        <v/>
      </c>
      <c r="X65" s="59">
        <f>IFERROR(INDEX('Semrush Data'!$A$1:$Z$20000,MATCH(V65,'Semrush Data'!$A$1:$A$20000,0),MATCH("Keyword Difficulty*",'Semrush Data'!$A$1:$Z$1,0)),"")</f>
        <v/>
      </c>
      <c r="Y65" s="61">
        <f>IFERROR(INDEX('Semrush Data'!$A$1:$Z$20000,MATCH(V65,'Semrush Data'!$A$1:$A$20000,0),MATCH("CPC*",'Semrush Data'!$A$1:$Z$1,0)),"")</f>
        <v/>
      </c>
      <c r="Z65" s="58" t="inlineStr">
        <is>
          <t>vilvah skincare gift set</t>
        </is>
      </c>
      <c r="AA65" s="58" t="n"/>
      <c r="AB65" s="58" t="inlineStr">
        <is>
          <t>Vilvah Face Brightening Kit</t>
        </is>
      </c>
      <c r="AC65" s="58" t="inlineStr">
        <is>
          <t>Vilvah Face Brightening Kit | Buy Online UK | Swansura</t>
        </is>
      </c>
      <c r="AD65" s="58">
        <f>LEN(AC65)</f>
        <v/>
      </c>
      <c r="AE65" s="58" t="inlineStr">
        <is>
          <t>Buy Vilvah Face Brightening Kit online at Swansura, official UK partner of Vilvah. A natural gift set for dull skin. 100% authentic, free UK delivery over £50.</t>
        </is>
      </c>
      <c r="AF65" s="58">
        <f>LEN(AE65)</f>
        <v/>
      </c>
    </row>
    <row r="66" ht="15" customHeight="1" s="37">
      <c r="A66" s="58" t="inlineStr">
        <is>
          <t>VD-065</t>
        </is>
      </c>
      <c r="B66" s="58" t="inlineStr">
        <is>
          <t>Vilvah &amp; Deyga</t>
        </is>
      </c>
      <c r="C66" s="58" t="n">
        <v>65</v>
      </c>
      <c r="D66" s="58" t="inlineStr">
        <is>
          <t>Vilvah</t>
        </is>
      </c>
      <c r="E66" s="58" t="n"/>
      <c r="F66" s="58" t="inlineStr">
        <is>
          <t>Gift Set</t>
        </is>
      </c>
      <c r="G66" s="58" t="inlineStr">
        <is>
          <t>Gift Sets &amp; Combos</t>
        </is>
      </c>
      <c r="H66" s="58" t="inlineStr">
        <is>
          <t>Dry Skin</t>
        </is>
      </c>
      <c r="I66" s="58" t="inlineStr">
        <is>
          <t>Vilvah Budget Skincare combo</t>
        </is>
      </c>
      <c r="J66" s="58" t="n"/>
      <c r="K66" s="58" t="n">
        <v>21.99</v>
      </c>
      <c r="L66" s="58" t="inlineStr">
        <is>
          <t>vilvah budget skincare combo</t>
        </is>
      </c>
      <c r="M66" s="58" t="inlineStr">
        <is>
          <t>vilvah budget skincare combo uk</t>
        </is>
      </c>
      <c r="N66" s="58" t="inlineStr">
        <is>
          <t>buy vilvah budget skincare combo online</t>
        </is>
      </c>
      <c r="O66" s="58" t="inlineStr">
        <is>
          <t>vilvah budget skincare combo price</t>
        </is>
      </c>
      <c r="P66" s="58" t="n"/>
      <c r="Q66" s="59">
        <f>IF(L66="","",IFERROR(INDEX('Semrush Data'!$A$1:$Z$20000,MATCH(L66,'Semrush Data'!$A$1:$A$20000,0),MATCH("Volume",'Semrush Data'!$A$1:$Z$1,0)),""))</f>
        <v/>
      </c>
      <c r="R66" s="59">
        <f>IF(M66="","",IFERROR(INDEX('Semrush Data'!$A$1:$Z$20000,MATCH(M66,'Semrush Data'!$A$1:$A$20000,0),MATCH("Volume",'Semrush Data'!$A$1:$Z$1,0)),""))</f>
        <v/>
      </c>
      <c r="S66" s="59">
        <f>IF(N66="","",IFERROR(INDEX('Semrush Data'!$A$1:$Z$20000,MATCH(N66,'Semrush Data'!$A$1:$A$20000,0),MATCH("Volume",'Semrush Data'!$A$1:$Z$1,0)),""))</f>
        <v/>
      </c>
      <c r="T66" s="59">
        <f>IF(O66="","",IFERROR(INDEX('Semrush Data'!$A$1:$Z$20000,MATCH(O66,'Semrush Data'!$A$1:$A$20000,0),MATCH("Volume",'Semrush Data'!$A$1:$Z$1,0)),""))</f>
        <v/>
      </c>
      <c r="U66" s="59">
        <f>IF(P66="","",IFERROR(INDEX('Semrush Data'!$A$1:$Z$20000,MATCH(P66,'Semrush Data'!$A$1:$A$20000,0),MATCH("Volume",'Semrush Data'!$A$1:$Z$1,0)),""))</f>
        <v/>
      </c>
      <c r="V66" s="60">
        <f>IF(COUNT(Q66:U66)=0,L66,IF(MAX(Q66:U66)=0,L66,INDEX(L66:P66,MATCH(MAX(Q66:U66),Q66:U66,0))))</f>
        <v/>
      </c>
      <c r="W66" s="59">
        <f>IFERROR(INDEX('Semrush Data'!$A$1:$Z$20000,MATCH(V66,'Semrush Data'!$A$1:$A$20000,0),MATCH("Volume",'Semrush Data'!$A$1:$Z$1,0)),"")</f>
        <v/>
      </c>
      <c r="X66" s="59">
        <f>IFERROR(INDEX('Semrush Data'!$A$1:$Z$20000,MATCH(V66,'Semrush Data'!$A$1:$A$20000,0),MATCH("Keyword Difficulty*",'Semrush Data'!$A$1:$Z$1,0)),"")</f>
        <v/>
      </c>
      <c r="Y66" s="61">
        <f>IFERROR(INDEX('Semrush Data'!$A$1:$Z$20000,MATCH(V66,'Semrush Data'!$A$1:$A$20000,0),MATCH("CPC*",'Semrush Data'!$A$1:$Z$1,0)),"")</f>
        <v/>
      </c>
      <c r="Z66" s="58" t="inlineStr">
        <is>
          <t>vilvah skincare gift set</t>
        </is>
      </c>
      <c r="AA66" s="58" t="n"/>
      <c r="AB66" s="58" t="inlineStr">
        <is>
          <t>Vilvah Budget Skincare Combo</t>
        </is>
      </c>
      <c r="AC66" s="58" t="inlineStr">
        <is>
          <t>Vilvah Budget Skincare Combo | Buy Online UK | Swansura</t>
        </is>
      </c>
      <c r="AD66" s="58">
        <f>LEN(AC66)</f>
        <v/>
      </c>
      <c r="AE66" s="58" t="inlineStr">
        <is>
          <t>Buy Vilvah Budget Skincare Combo online at Swansura, official UK partner of Vilvah. A natural gift set for dry skin. 100% authentic, free UK delivery over £50.</t>
        </is>
      </c>
      <c r="AF66" s="58">
        <f>LEN(AE66)</f>
        <v/>
      </c>
    </row>
    <row r="67" ht="15" customHeight="1" s="37">
      <c r="A67" s="58" t="inlineStr">
        <is>
          <t>VD-066</t>
        </is>
      </c>
      <c r="B67" s="58" t="inlineStr">
        <is>
          <t>Vilvah &amp; Deyga</t>
        </is>
      </c>
      <c r="C67" s="58" t="n">
        <v>66</v>
      </c>
      <c r="D67" s="58" t="inlineStr">
        <is>
          <t>Vilvah</t>
        </is>
      </c>
      <c r="E67" s="58" t="n"/>
      <c r="F67" s="58" t="inlineStr">
        <is>
          <t>Gift Set</t>
        </is>
      </c>
      <c r="G67" s="58" t="inlineStr">
        <is>
          <t>Gift Sets &amp; Combos</t>
        </is>
      </c>
      <c r="H67" s="58" t="inlineStr">
        <is>
          <t>Anti-Ageing</t>
        </is>
      </c>
      <c r="I67" s="58" t="inlineStr">
        <is>
          <t>Vilvah Face Lift Kit</t>
        </is>
      </c>
      <c r="J67" s="58" t="n"/>
      <c r="K67" s="58" t="n">
        <v>35.99</v>
      </c>
      <c r="L67" s="58" t="inlineStr">
        <is>
          <t>vilvah face lift kit</t>
        </is>
      </c>
      <c r="M67" s="58" t="inlineStr">
        <is>
          <t>vilvah face lift kit uk</t>
        </is>
      </c>
      <c r="N67" s="58" t="inlineStr">
        <is>
          <t>buy vilvah face lift kit online</t>
        </is>
      </c>
      <c r="O67" s="58" t="inlineStr">
        <is>
          <t>vilvah face lift kit price</t>
        </is>
      </c>
      <c r="P67" s="58" t="n"/>
      <c r="Q67" s="59">
        <f>IF(L67="","",IFERROR(INDEX('Semrush Data'!$A$1:$Z$20000,MATCH(L67,'Semrush Data'!$A$1:$A$20000,0),MATCH("Volume",'Semrush Data'!$A$1:$Z$1,0)),""))</f>
        <v/>
      </c>
      <c r="R67" s="59">
        <f>IF(M67="","",IFERROR(INDEX('Semrush Data'!$A$1:$Z$20000,MATCH(M67,'Semrush Data'!$A$1:$A$20000,0),MATCH("Volume",'Semrush Data'!$A$1:$Z$1,0)),""))</f>
        <v/>
      </c>
      <c r="S67" s="59">
        <f>IF(N67="","",IFERROR(INDEX('Semrush Data'!$A$1:$Z$20000,MATCH(N67,'Semrush Data'!$A$1:$A$20000,0),MATCH("Volume",'Semrush Data'!$A$1:$Z$1,0)),""))</f>
        <v/>
      </c>
      <c r="T67" s="59">
        <f>IF(O67="","",IFERROR(INDEX('Semrush Data'!$A$1:$Z$20000,MATCH(O67,'Semrush Data'!$A$1:$A$20000,0),MATCH("Volume",'Semrush Data'!$A$1:$Z$1,0)),""))</f>
        <v/>
      </c>
      <c r="U67" s="59">
        <f>IF(P67="","",IFERROR(INDEX('Semrush Data'!$A$1:$Z$20000,MATCH(P67,'Semrush Data'!$A$1:$A$20000,0),MATCH("Volume",'Semrush Data'!$A$1:$Z$1,0)),""))</f>
        <v/>
      </c>
      <c r="V67" s="60">
        <f>IF(COUNT(Q67:U67)=0,L67,IF(MAX(Q67:U67)=0,L67,INDEX(L67:P67,MATCH(MAX(Q67:U67),Q67:U67,0))))</f>
        <v/>
      </c>
      <c r="W67" s="59">
        <f>IFERROR(INDEX('Semrush Data'!$A$1:$Z$20000,MATCH(V67,'Semrush Data'!$A$1:$A$20000,0),MATCH("Volume",'Semrush Data'!$A$1:$Z$1,0)),"")</f>
        <v/>
      </c>
      <c r="X67" s="59">
        <f>IFERROR(INDEX('Semrush Data'!$A$1:$Z$20000,MATCH(V67,'Semrush Data'!$A$1:$A$20000,0),MATCH("Keyword Difficulty*",'Semrush Data'!$A$1:$Z$1,0)),"")</f>
        <v/>
      </c>
      <c r="Y67" s="61">
        <f>IFERROR(INDEX('Semrush Data'!$A$1:$Z$20000,MATCH(V67,'Semrush Data'!$A$1:$A$20000,0),MATCH("CPC*",'Semrush Data'!$A$1:$Z$1,0)),"")</f>
        <v/>
      </c>
      <c r="Z67" s="58" t="inlineStr">
        <is>
          <t>vilvah skincare gift set</t>
        </is>
      </c>
      <c r="AA67" s="58" t="n"/>
      <c r="AB67" s="58" t="inlineStr">
        <is>
          <t>Vilvah Face Lift Kit</t>
        </is>
      </c>
      <c r="AC67" s="58" t="inlineStr">
        <is>
          <t>Vilvah Face Lift Kit | Official UK Partner | Swansura</t>
        </is>
      </c>
      <c r="AD67" s="58">
        <f>LEN(AC67)</f>
        <v/>
      </c>
      <c r="AE67" s="58" t="inlineStr">
        <is>
          <t>Buy Vilvah Face Lift Kit online at Swansura, official UK partner of Vilvah. A natural gift set for ageing skin. 100% authentic, free UK delivery over £50.</t>
        </is>
      </c>
      <c r="AF67" s="58">
        <f>LEN(AE67)</f>
        <v/>
      </c>
    </row>
    <row r="68" ht="15" customHeight="1" s="37">
      <c r="A68" s="58" t="inlineStr">
        <is>
          <t>VD-067</t>
        </is>
      </c>
      <c r="B68" s="58" t="inlineStr">
        <is>
          <t>Vilvah &amp; Deyga</t>
        </is>
      </c>
      <c r="C68" s="58" t="n">
        <v>67</v>
      </c>
      <c r="D68" s="58" t="inlineStr">
        <is>
          <t>Vilvah</t>
        </is>
      </c>
      <c r="E68" s="58" t="n"/>
      <c r="F68" s="58" t="inlineStr">
        <is>
          <t>Gift Set</t>
        </is>
      </c>
      <c r="G68" s="58" t="inlineStr">
        <is>
          <t>Gift Sets &amp; Combos</t>
        </is>
      </c>
      <c r="H68" s="58" t="inlineStr">
        <is>
          <t>Body Hydration</t>
        </is>
      </c>
      <c r="I68" s="58" t="inlineStr">
        <is>
          <t>Vilvah x Annapoorna Gift Box</t>
        </is>
      </c>
      <c r="J68" s="58" t="n"/>
      <c r="K68" s="58" t="n">
        <v>20.99</v>
      </c>
      <c r="L68" s="58" t="inlineStr">
        <is>
          <t>vilvah x annapoorna gift box</t>
        </is>
      </c>
      <c r="M68" s="58" t="inlineStr">
        <is>
          <t>vilvah x annapoorna gift box uk</t>
        </is>
      </c>
      <c r="N68" s="58" t="inlineStr">
        <is>
          <t>buy vilvah x annapoorna gift box online</t>
        </is>
      </c>
      <c r="O68" s="58" t="inlineStr">
        <is>
          <t>vilvah x annapoorna gift box price</t>
        </is>
      </c>
      <c r="P68" s="58" t="n"/>
      <c r="Q68" s="59">
        <f>IF(L68="","",IFERROR(INDEX('Semrush Data'!$A$1:$Z$20000,MATCH(L68,'Semrush Data'!$A$1:$A$20000,0),MATCH("Volume",'Semrush Data'!$A$1:$Z$1,0)),""))</f>
        <v/>
      </c>
      <c r="R68" s="59">
        <f>IF(M68="","",IFERROR(INDEX('Semrush Data'!$A$1:$Z$20000,MATCH(M68,'Semrush Data'!$A$1:$A$20000,0),MATCH("Volume",'Semrush Data'!$A$1:$Z$1,0)),""))</f>
        <v/>
      </c>
      <c r="S68" s="59">
        <f>IF(N68="","",IFERROR(INDEX('Semrush Data'!$A$1:$Z$20000,MATCH(N68,'Semrush Data'!$A$1:$A$20000,0),MATCH("Volume",'Semrush Data'!$A$1:$Z$1,0)),""))</f>
        <v/>
      </c>
      <c r="T68" s="59">
        <f>IF(O68="","",IFERROR(INDEX('Semrush Data'!$A$1:$Z$20000,MATCH(O68,'Semrush Data'!$A$1:$A$20000,0),MATCH("Volume",'Semrush Data'!$A$1:$Z$1,0)),""))</f>
        <v/>
      </c>
      <c r="U68" s="59">
        <f>IF(P68="","",IFERROR(INDEX('Semrush Data'!$A$1:$Z$20000,MATCH(P68,'Semrush Data'!$A$1:$A$20000,0),MATCH("Volume",'Semrush Data'!$A$1:$Z$1,0)),""))</f>
        <v/>
      </c>
      <c r="V68" s="60">
        <f>IF(COUNT(Q68:U68)=0,L68,IF(MAX(Q68:U68)=0,L68,INDEX(L68:P68,MATCH(MAX(Q68:U68),Q68:U68,0))))</f>
        <v/>
      </c>
      <c r="W68" s="59">
        <f>IFERROR(INDEX('Semrush Data'!$A$1:$Z$20000,MATCH(V68,'Semrush Data'!$A$1:$A$20000,0),MATCH("Volume",'Semrush Data'!$A$1:$Z$1,0)),"")</f>
        <v/>
      </c>
      <c r="X68" s="59">
        <f>IFERROR(INDEX('Semrush Data'!$A$1:$Z$20000,MATCH(V68,'Semrush Data'!$A$1:$A$20000,0),MATCH("Keyword Difficulty*",'Semrush Data'!$A$1:$Z$1,0)),"")</f>
        <v/>
      </c>
      <c r="Y68" s="61">
        <f>IFERROR(INDEX('Semrush Data'!$A$1:$Z$20000,MATCH(V68,'Semrush Data'!$A$1:$A$20000,0),MATCH("CPC*",'Semrush Data'!$A$1:$Z$1,0)),"")</f>
        <v/>
      </c>
      <c r="Z68" s="58" t="inlineStr">
        <is>
          <t>vilvah skincare gift set</t>
        </is>
      </c>
      <c r="AA68" s="58" t="n"/>
      <c r="AB68" s="58" t="inlineStr">
        <is>
          <t>Vilvah X Annapoorna Gift Box</t>
        </is>
      </c>
      <c r="AC68" s="58" t="inlineStr">
        <is>
          <t>Vilvah X Annapoorna Gift Box | Buy Online UK | Swansura</t>
        </is>
      </c>
      <c r="AD68" s="58">
        <f>LEN(AC68)</f>
        <v/>
      </c>
      <c r="AE68" s="58" t="inlineStr">
        <is>
          <t>Buy Vilvah X Annapoorna Gift Box online in the UK at Swansura, official UK partner of Vilvah. Natural gift set. 100% authentic, free UK delivery over £50.</t>
        </is>
      </c>
      <c r="AF68" s="58">
        <f>LEN(AE68)</f>
        <v/>
      </c>
    </row>
    <row r="69" ht="15" customHeight="1" s="37">
      <c r="A69" s="58" t="inlineStr">
        <is>
          <t>VD-068</t>
        </is>
      </c>
      <c r="B69" s="58" t="inlineStr">
        <is>
          <t>Vilvah &amp; Deyga</t>
        </is>
      </c>
      <c r="C69" s="58" t="n">
        <v>68</v>
      </c>
      <c r="D69" s="58" t="inlineStr">
        <is>
          <t>Vilvah</t>
        </is>
      </c>
      <c r="E69" s="58" t="n"/>
      <c r="F69" s="58" t="inlineStr">
        <is>
          <t>Gift Set</t>
        </is>
      </c>
      <c r="G69" s="58" t="inlineStr">
        <is>
          <t>Gift Sets &amp; Combos</t>
        </is>
      </c>
      <c r="H69" s="58" t="inlineStr">
        <is>
          <t>Dry Lips</t>
        </is>
      </c>
      <c r="I69" s="58" t="inlineStr">
        <is>
          <t>tinted lip balm kit</t>
        </is>
      </c>
      <c r="J69" s="58" t="n"/>
      <c r="K69" s="58" t="n">
        <v>16.99</v>
      </c>
      <c r="L69" s="58" t="inlineStr">
        <is>
          <t>vilvah tinted lip balm kit</t>
        </is>
      </c>
      <c r="M69" s="58" t="inlineStr">
        <is>
          <t>vilvah tinted lip balm kit uk</t>
        </is>
      </c>
      <c r="N69" s="58" t="inlineStr">
        <is>
          <t>buy vilvah tinted lip balm kit online</t>
        </is>
      </c>
      <c r="O69" s="58" t="inlineStr">
        <is>
          <t>vilvah tinted lip balm kit price</t>
        </is>
      </c>
      <c r="P69" s="58" t="n"/>
      <c r="Q69" s="59">
        <f>IF(L69="","",IFERROR(INDEX('Semrush Data'!$A$1:$Z$20000,MATCH(L69,'Semrush Data'!$A$1:$A$20000,0),MATCH("Volume",'Semrush Data'!$A$1:$Z$1,0)),""))</f>
        <v/>
      </c>
      <c r="R69" s="59">
        <f>IF(M69="","",IFERROR(INDEX('Semrush Data'!$A$1:$Z$20000,MATCH(M69,'Semrush Data'!$A$1:$A$20000,0),MATCH("Volume",'Semrush Data'!$A$1:$Z$1,0)),""))</f>
        <v/>
      </c>
      <c r="S69" s="59">
        <f>IF(N69="","",IFERROR(INDEX('Semrush Data'!$A$1:$Z$20000,MATCH(N69,'Semrush Data'!$A$1:$A$20000,0),MATCH("Volume",'Semrush Data'!$A$1:$Z$1,0)),""))</f>
        <v/>
      </c>
      <c r="T69" s="59">
        <f>IF(O69="","",IFERROR(INDEX('Semrush Data'!$A$1:$Z$20000,MATCH(O69,'Semrush Data'!$A$1:$A$20000,0),MATCH("Volume",'Semrush Data'!$A$1:$Z$1,0)),""))</f>
        <v/>
      </c>
      <c r="U69" s="59">
        <f>IF(P69="","",IFERROR(INDEX('Semrush Data'!$A$1:$Z$20000,MATCH(P69,'Semrush Data'!$A$1:$A$20000,0),MATCH("Volume",'Semrush Data'!$A$1:$Z$1,0)),""))</f>
        <v/>
      </c>
      <c r="V69" s="60">
        <f>IF(COUNT(Q69:U69)=0,L69,IF(MAX(Q69:U69)=0,L69,INDEX(L69:P69,MATCH(MAX(Q69:U69),Q69:U69,0))))</f>
        <v/>
      </c>
      <c r="W69" s="59">
        <f>IFERROR(INDEX('Semrush Data'!$A$1:$Z$20000,MATCH(V69,'Semrush Data'!$A$1:$A$20000,0),MATCH("Volume",'Semrush Data'!$A$1:$Z$1,0)),"")</f>
        <v/>
      </c>
      <c r="X69" s="59">
        <f>IFERROR(INDEX('Semrush Data'!$A$1:$Z$20000,MATCH(V69,'Semrush Data'!$A$1:$A$20000,0),MATCH("Keyword Difficulty*",'Semrush Data'!$A$1:$Z$1,0)),"")</f>
        <v/>
      </c>
      <c r="Y69" s="61">
        <f>IFERROR(INDEX('Semrush Data'!$A$1:$Z$20000,MATCH(V69,'Semrush Data'!$A$1:$A$20000,0),MATCH("CPC*",'Semrush Data'!$A$1:$Z$1,0)),"")</f>
        <v/>
      </c>
      <c r="Z69" s="58" t="inlineStr">
        <is>
          <t>vilvah skincare gift set</t>
        </is>
      </c>
      <c r="AA69" s="58" t="n"/>
      <c r="AB69" s="58" t="inlineStr">
        <is>
          <t>Vilvah Tinted Lip Balm Kit</t>
        </is>
      </c>
      <c r="AC69" s="58" t="inlineStr">
        <is>
          <t>Vilvah Tinted Lip Balm Kit | Buy Online UK | Swansura</t>
        </is>
      </c>
      <c r="AD69" s="58">
        <f>LEN(AC69)</f>
        <v/>
      </c>
      <c r="AE69" s="58" t="inlineStr">
        <is>
          <t>Buy Vilvah Tinted Lip Balm Kit online at Swansura, official UK partner of Vilvah. Natural gift set. 100% authentic, shipped from the UK, free delivery over £50.</t>
        </is>
      </c>
      <c r="AF69" s="58">
        <f>LEN(AE69)</f>
        <v/>
      </c>
    </row>
    <row r="70" ht="15" customHeight="1" s="37">
      <c r="A70" s="58" t="inlineStr">
        <is>
          <t>VD-069</t>
        </is>
      </c>
      <c r="B70" s="58" t="inlineStr">
        <is>
          <t>Vilvah &amp; Deyga</t>
        </is>
      </c>
      <c r="C70" s="58" t="n">
        <v>69</v>
      </c>
      <c r="D70" s="58" t="inlineStr">
        <is>
          <t>Vilvah</t>
        </is>
      </c>
      <c r="E70" s="58" t="n"/>
      <c r="F70" s="58" t="inlineStr">
        <is>
          <t>Gift Set</t>
        </is>
      </c>
      <c r="G70" s="58" t="inlineStr">
        <is>
          <t>Gift Sets &amp; Combos</t>
        </is>
      </c>
      <c r="H70" s="58" t="inlineStr">
        <is>
          <t>Frizzy Hair</t>
        </is>
      </c>
      <c r="I70" s="58" t="inlineStr">
        <is>
          <t>Vilvah Store Frizz Free Hair Combo</t>
        </is>
      </c>
      <c r="J70" s="58" t="n"/>
      <c r="K70" s="58" t="n">
        <v>35.99</v>
      </c>
      <c r="L70" s="58" t="inlineStr">
        <is>
          <t>vilvah store frizz free hair combo</t>
        </is>
      </c>
      <c r="M70" s="58" t="inlineStr">
        <is>
          <t>vilvah store frizz free hair combo uk</t>
        </is>
      </c>
      <c r="N70" s="58" t="inlineStr">
        <is>
          <t>buy vilvah store frizz free hair combo online</t>
        </is>
      </c>
      <c r="O70" s="58" t="inlineStr">
        <is>
          <t>vilvah store frizz free hair combo price</t>
        </is>
      </c>
      <c r="P70" s="58" t="n"/>
      <c r="Q70" s="59">
        <f>IF(L70="","",IFERROR(INDEX('Semrush Data'!$A$1:$Z$20000,MATCH(L70,'Semrush Data'!$A$1:$A$20000,0),MATCH("Volume",'Semrush Data'!$A$1:$Z$1,0)),""))</f>
        <v/>
      </c>
      <c r="R70" s="59">
        <f>IF(M70="","",IFERROR(INDEX('Semrush Data'!$A$1:$Z$20000,MATCH(M70,'Semrush Data'!$A$1:$A$20000,0),MATCH("Volume",'Semrush Data'!$A$1:$Z$1,0)),""))</f>
        <v/>
      </c>
      <c r="S70" s="59">
        <f>IF(N70="","",IFERROR(INDEX('Semrush Data'!$A$1:$Z$20000,MATCH(N70,'Semrush Data'!$A$1:$A$20000,0),MATCH("Volume",'Semrush Data'!$A$1:$Z$1,0)),""))</f>
        <v/>
      </c>
      <c r="T70" s="59">
        <f>IF(O70="","",IFERROR(INDEX('Semrush Data'!$A$1:$Z$20000,MATCH(O70,'Semrush Data'!$A$1:$A$20000,0),MATCH("Volume",'Semrush Data'!$A$1:$Z$1,0)),""))</f>
        <v/>
      </c>
      <c r="U70" s="59">
        <f>IF(P70="","",IFERROR(INDEX('Semrush Data'!$A$1:$Z$20000,MATCH(P70,'Semrush Data'!$A$1:$A$20000,0),MATCH("Volume",'Semrush Data'!$A$1:$Z$1,0)),""))</f>
        <v/>
      </c>
      <c r="V70" s="60">
        <f>IF(COUNT(Q70:U70)=0,L70,IF(MAX(Q70:U70)=0,L70,INDEX(L70:P70,MATCH(MAX(Q70:U70),Q70:U70,0))))</f>
        <v/>
      </c>
      <c r="W70" s="59">
        <f>IFERROR(INDEX('Semrush Data'!$A$1:$Z$20000,MATCH(V70,'Semrush Data'!$A$1:$A$20000,0),MATCH("Volume",'Semrush Data'!$A$1:$Z$1,0)),"")</f>
        <v/>
      </c>
      <c r="X70" s="59">
        <f>IFERROR(INDEX('Semrush Data'!$A$1:$Z$20000,MATCH(V70,'Semrush Data'!$A$1:$A$20000,0),MATCH("Keyword Difficulty*",'Semrush Data'!$A$1:$Z$1,0)),"")</f>
        <v/>
      </c>
      <c r="Y70" s="61">
        <f>IFERROR(INDEX('Semrush Data'!$A$1:$Z$20000,MATCH(V70,'Semrush Data'!$A$1:$A$20000,0),MATCH("CPC*",'Semrush Data'!$A$1:$Z$1,0)),"")</f>
        <v/>
      </c>
      <c r="Z70" s="58" t="inlineStr">
        <is>
          <t>vilvah skincare gift set</t>
        </is>
      </c>
      <c r="AA70" s="58" t="n"/>
      <c r="AB70" s="58" t="inlineStr">
        <is>
          <t>Vilvah Store Frizz Free Hair Combo</t>
        </is>
      </c>
      <c r="AC70" s="58" t="inlineStr">
        <is>
          <t>Vilvah Store Frizz Free Hair Combo | Swansura UK</t>
        </is>
      </c>
      <c r="AD70" s="58">
        <f>LEN(AC70)</f>
        <v/>
      </c>
      <c r="AE70" s="58" t="inlineStr">
        <is>
          <t>Buy Vilvah Store Frizz Free Hair Combo online in the UK at Swansura, official UK partner of Vilvah. Natural gift set. 100% authentic, free UK delivery over £50.</t>
        </is>
      </c>
      <c r="AF70" s="58">
        <f>LEN(AE70)</f>
        <v/>
      </c>
    </row>
    <row r="71" ht="15" customHeight="1" s="37">
      <c r="A71" s="58" t="inlineStr">
        <is>
          <t>VD-070</t>
        </is>
      </c>
      <c r="B71" s="58" t="inlineStr">
        <is>
          <t>Vilvah &amp; Deyga</t>
        </is>
      </c>
      <c r="C71" s="58" t="n">
        <v>70</v>
      </c>
      <c r="D71" s="58" t="inlineStr">
        <is>
          <t>Vilvah</t>
        </is>
      </c>
      <c r="E71" s="58" t="n"/>
      <c r="F71" s="58" t="inlineStr">
        <is>
          <t>Gift Set</t>
        </is>
      </c>
      <c r="G71" s="58" t="inlineStr">
        <is>
          <t>Gift Sets &amp; Combos</t>
        </is>
      </c>
      <c r="H71" s="58" t="inlineStr">
        <is>
          <t>Dry Hair</t>
        </is>
      </c>
      <c r="I71" s="58" t="inlineStr">
        <is>
          <t>Vilvah Bestseller Hair Kit</t>
        </is>
      </c>
      <c r="J71" s="58" t="n"/>
      <c r="K71" s="58" t="n">
        <v>27.99</v>
      </c>
      <c r="L71" s="58" t="inlineStr">
        <is>
          <t>vilvah bestseller hair kit</t>
        </is>
      </c>
      <c r="M71" s="58" t="inlineStr">
        <is>
          <t>vilvah bestseller hair kit uk</t>
        </is>
      </c>
      <c r="N71" s="58" t="inlineStr">
        <is>
          <t>buy vilvah bestseller hair kit online</t>
        </is>
      </c>
      <c r="O71" s="58" t="inlineStr">
        <is>
          <t>vilvah bestseller hair kit price</t>
        </is>
      </c>
      <c r="P71" s="58" t="n"/>
      <c r="Q71" s="59">
        <f>IF(L71="","",IFERROR(INDEX('Semrush Data'!$A$1:$Z$20000,MATCH(L71,'Semrush Data'!$A$1:$A$20000,0),MATCH("Volume",'Semrush Data'!$A$1:$Z$1,0)),""))</f>
        <v/>
      </c>
      <c r="R71" s="59">
        <f>IF(M71="","",IFERROR(INDEX('Semrush Data'!$A$1:$Z$20000,MATCH(M71,'Semrush Data'!$A$1:$A$20000,0),MATCH("Volume",'Semrush Data'!$A$1:$Z$1,0)),""))</f>
        <v/>
      </c>
      <c r="S71" s="59">
        <f>IF(N71="","",IFERROR(INDEX('Semrush Data'!$A$1:$Z$20000,MATCH(N71,'Semrush Data'!$A$1:$A$20000,0),MATCH("Volume",'Semrush Data'!$A$1:$Z$1,0)),""))</f>
        <v/>
      </c>
      <c r="T71" s="59">
        <f>IF(O71="","",IFERROR(INDEX('Semrush Data'!$A$1:$Z$20000,MATCH(O71,'Semrush Data'!$A$1:$A$20000,0),MATCH("Volume",'Semrush Data'!$A$1:$Z$1,0)),""))</f>
        <v/>
      </c>
      <c r="U71" s="59">
        <f>IF(P71="","",IFERROR(INDEX('Semrush Data'!$A$1:$Z$20000,MATCH(P71,'Semrush Data'!$A$1:$A$20000,0),MATCH("Volume",'Semrush Data'!$A$1:$Z$1,0)),""))</f>
        <v/>
      </c>
      <c r="V71" s="60">
        <f>IF(COUNT(Q71:U71)=0,L71,IF(MAX(Q71:U71)=0,L71,INDEX(L71:P71,MATCH(MAX(Q71:U71),Q71:U71,0))))</f>
        <v/>
      </c>
      <c r="W71" s="59">
        <f>IFERROR(INDEX('Semrush Data'!$A$1:$Z$20000,MATCH(V71,'Semrush Data'!$A$1:$A$20000,0),MATCH("Volume",'Semrush Data'!$A$1:$Z$1,0)),"")</f>
        <v/>
      </c>
      <c r="X71" s="59">
        <f>IFERROR(INDEX('Semrush Data'!$A$1:$Z$20000,MATCH(V71,'Semrush Data'!$A$1:$A$20000,0),MATCH("Keyword Difficulty*",'Semrush Data'!$A$1:$Z$1,0)),"")</f>
        <v/>
      </c>
      <c r="Y71" s="61">
        <f>IFERROR(INDEX('Semrush Data'!$A$1:$Z$20000,MATCH(V71,'Semrush Data'!$A$1:$A$20000,0),MATCH("CPC*",'Semrush Data'!$A$1:$Z$1,0)),"")</f>
        <v/>
      </c>
      <c r="Z71" s="58" t="inlineStr">
        <is>
          <t>vilvah skincare gift set</t>
        </is>
      </c>
      <c r="AA71" s="58" t="n"/>
      <c r="AB71" s="58" t="inlineStr">
        <is>
          <t>Vilvah Bestseller Hair Kit</t>
        </is>
      </c>
      <c r="AC71" s="58" t="inlineStr">
        <is>
          <t>Vilvah Bestseller Hair Kit | Buy Online UK | Swansura</t>
        </is>
      </c>
      <c r="AD71" s="58">
        <f>LEN(AC71)</f>
        <v/>
      </c>
      <c r="AE71" s="58" t="inlineStr">
        <is>
          <t>Buy Vilvah Bestseller Hair Kit online at Swansura, official UK partner of Vilvah. Natural gift set. 100% authentic, shipped from the UK, free delivery over £50.</t>
        </is>
      </c>
      <c r="AF71" s="58">
        <f>LEN(AE71)</f>
        <v/>
      </c>
    </row>
    <row r="72" ht="15" customHeight="1" s="37">
      <c r="A72" s="58" t="inlineStr">
        <is>
          <t>VD-071</t>
        </is>
      </c>
      <c r="B72" s="58" t="inlineStr">
        <is>
          <t>Vilvah &amp; Deyga</t>
        </is>
      </c>
      <c r="C72" s="58" t="n">
        <v>71</v>
      </c>
      <c r="D72" s="58" t="inlineStr">
        <is>
          <t>Vilvah</t>
        </is>
      </c>
      <c r="E72" s="58" t="n"/>
      <c r="F72" s="58" t="inlineStr">
        <is>
          <t>Gift Set</t>
        </is>
      </c>
      <c r="G72" s="58" t="inlineStr">
        <is>
          <t>Gift Sets &amp; Combos</t>
        </is>
      </c>
      <c r="H72" s="58" t="inlineStr">
        <is>
          <t>Dry Hair</t>
        </is>
      </c>
      <c r="I72" s="58" t="inlineStr">
        <is>
          <t>Vilvah Shampoo and Hair Serum Kit</t>
        </is>
      </c>
      <c r="J72" s="58" t="n"/>
      <c r="K72" s="58" t="n">
        <v>25.99</v>
      </c>
      <c r="L72" s="58" t="inlineStr">
        <is>
          <t>vilvah shampoo and hair serum kit</t>
        </is>
      </c>
      <c r="M72" s="58" t="inlineStr">
        <is>
          <t>vilvah shampoo and hair serum kit uk</t>
        </is>
      </c>
      <c r="N72" s="58" t="inlineStr">
        <is>
          <t>buy vilvah shampoo and hair serum kit online</t>
        </is>
      </c>
      <c r="O72" s="58" t="inlineStr">
        <is>
          <t>vilvah shampoo and hair serum kit price</t>
        </is>
      </c>
      <c r="P72" s="58" t="n"/>
      <c r="Q72" s="59">
        <f>IF(L72="","",IFERROR(INDEX('Semrush Data'!$A$1:$Z$20000,MATCH(L72,'Semrush Data'!$A$1:$A$20000,0),MATCH("Volume",'Semrush Data'!$A$1:$Z$1,0)),""))</f>
        <v/>
      </c>
      <c r="R72" s="59">
        <f>IF(M72="","",IFERROR(INDEX('Semrush Data'!$A$1:$Z$20000,MATCH(M72,'Semrush Data'!$A$1:$A$20000,0),MATCH("Volume",'Semrush Data'!$A$1:$Z$1,0)),""))</f>
        <v/>
      </c>
      <c r="S72" s="59">
        <f>IF(N72="","",IFERROR(INDEX('Semrush Data'!$A$1:$Z$20000,MATCH(N72,'Semrush Data'!$A$1:$A$20000,0),MATCH("Volume",'Semrush Data'!$A$1:$Z$1,0)),""))</f>
        <v/>
      </c>
      <c r="T72" s="59">
        <f>IF(O72="","",IFERROR(INDEX('Semrush Data'!$A$1:$Z$20000,MATCH(O72,'Semrush Data'!$A$1:$A$20000,0),MATCH("Volume",'Semrush Data'!$A$1:$Z$1,0)),""))</f>
        <v/>
      </c>
      <c r="U72" s="59">
        <f>IF(P72="","",IFERROR(INDEX('Semrush Data'!$A$1:$Z$20000,MATCH(P72,'Semrush Data'!$A$1:$A$20000,0),MATCH("Volume",'Semrush Data'!$A$1:$Z$1,0)),""))</f>
        <v/>
      </c>
      <c r="V72" s="60">
        <f>IF(COUNT(Q72:U72)=0,L72,IF(MAX(Q72:U72)=0,L72,INDEX(L72:P72,MATCH(MAX(Q72:U72),Q72:U72,0))))</f>
        <v/>
      </c>
      <c r="W72" s="59">
        <f>IFERROR(INDEX('Semrush Data'!$A$1:$Z$20000,MATCH(V72,'Semrush Data'!$A$1:$A$20000,0),MATCH("Volume",'Semrush Data'!$A$1:$Z$1,0)),"")</f>
        <v/>
      </c>
      <c r="X72" s="59">
        <f>IFERROR(INDEX('Semrush Data'!$A$1:$Z$20000,MATCH(V72,'Semrush Data'!$A$1:$A$20000,0),MATCH("Keyword Difficulty*",'Semrush Data'!$A$1:$Z$1,0)),"")</f>
        <v/>
      </c>
      <c r="Y72" s="61">
        <f>IFERROR(INDEX('Semrush Data'!$A$1:$Z$20000,MATCH(V72,'Semrush Data'!$A$1:$A$20000,0),MATCH("CPC*",'Semrush Data'!$A$1:$Z$1,0)),"")</f>
        <v/>
      </c>
      <c r="Z72" s="58" t="inlineStr">
        <is>
          <t>vilvah skincare gift set</t>
        </is>
      </c>
      <c r="AA72" s="58" t="n"/>
      <c r="AB72" s="58" t="inlineStr">
        <is>
          <t>Vilvah Shampoo and Hair Serum Kit</t>
        </is>
      </c>
      <c r="AC72" s="58" t="inlineStr">
        <is>
          <t>Vilvah Shampoo and Hair Serum Kit | Buy Online UK | Swansura</t>
        </is>
      </c>
      <c r="AD72" s="58">
        <f>LEN(AC72)</f>
        <v/>
      </c>
      <c r="AE72" s="58" t="inlineStr">
        <is>
          <t>Buy Vilvah Shampoo and Hair Serum Kit online in the UK at Swansura, official UK partner of Vilvah. 100% authentic, shipped from the UK, free delivery over £50.</t>
        </is>
      </c>
      <c r="AF72" s="58">
        <f>LEN(AE72)</f>
        <v/>
      </c>
    </row>
    <row r="73" ht="15" customHeight="1" s="37">
      <c r="A73" s="58" t="inlineStr">
        <is>
          <t>VD-072</t>
        </is>
      </c>
      <c r="B73" s="58" t="inlineStr">
        <is>
          <t>Vilvah &amp; Deyga</t>
        </is>
      </c>
      <c r="C73" s="58" t="n">
        <v>72</v>
      </c>
      <c r="D73" s="58" t="inlineStr">
        <is>
          <t>Vilvah</t>
        </is>
      </c>
      <c r="E73" s="58" t="n"/>
      <c r="F73" s="58" t="inlineStr">
        <is>
          <t>Gift Set</t>
        </is>
      </c>
      <c r="G73" s="58" t="inlineStr">
        <is>
          <t>Gift Sets &amp; Combos</t>
        </is>
      </c>
      <c r="H73" s="58" t="inlineStr">
        <is>
          <t>Damaged Hair</t>
        </is>
      </c>
      <c r="I73" s="58" t="inlineStr">
        <is>
          <t>Vilvah Hair Strengthening Kit</t>
        </is>
      </c>
      <c r="J73" s="58" t="n"/>
      <c r="K73" s="58" t="n">
        <v>34.99</v>
      </c>
      <c r="L73" s="58" t="inlineStr">
        <is>
          <t>vilvah hair strengthening kit</t>
        </is>
      </c>
      <c r="M73" s="58" t="inlineStr">
        <is>
          <t>vilvah hair strengthening kit uk</t>
        </is>
      </c>
      <c r="N73" s="58" t="inlineStr">
        <is>
          <t>buy vilvah hair strengthening kit online</t>
        </is>
      </c>
      <c r="O73" s="58" t="inlineStr">
        <is>
          <t>vilvah hair strengthening kit price</t>
        </is>
      </c>
      <c r="P73" s="58" t="n"/>
      <c r="Q73" s="59">
        <f>IF(L73="","",IFERROR(INDEX('Semrush Data'!$A$1:$Z$20000,MATCH(L73,'Semrush Data'!$A$1:$A$20000,0),MATCH("Volume",'Semrush Data'!$A$1:$Z$1,0)),""))</f>
        <v/>
      </c>
      <c r="R73" s="59">
        <f>IF(M73="","",IFERROR(INDEX('Semrush Data'!$A$1:$Z$20000,MATCH(M73,'Semrush Data'!$A$1:$A$20000,0),MATCH("Volume",'Semrush Data'!$A$1:$Z$1,0)),""))</f>
        <v/>
      </c>
      <c r="S73" s="59">
        <f>IF(N73="","",IFERROR(INDEX('Semrush Data'!$A$1:$Z$20000,MATCH(N73,'Semrush Data'!$A$1:$A$20000,0),MATCH("Volume",'Semrush Data'!$A$1:$Z$1,0)),""))</f>
        <v/>
      </c>
      <c r="T73" s="59">
        <f>IF(O73="","",IFERROR(INDEX('Semrush Data'!$A$1:$Z$20000,MATCH(O73,'Semrush Data'!$A$1:$A$20000,0),MATCH("Volume",'Semrush Data'!$A$1:$Z$1,0)),""))</f>
        <v/>
      </c>
      <c r="U73" s="59">
        <f>IF(P73="","",IFERROR(INDEX('Semrush Data'!$A$1:$Z$20000,MATCH(P73,'Semrush Data'!$A$1:$A$20000,0),MATCH("Volume",'Semrush Data'!$A$1:$Z$1,0)),""))</f>
        <v/>
      </c>
      <c r="V73" s="60">
        <f>IF(COUNT(Q73:U73)=0,L73,IF(MAX(Q73:U73)=0,L73,INDEX(L73:P73,MATCH(MAX(Q73:U73),Q73:U73,0))))</f>
        <v/>
      </c>
      <c r="W73" s="59">
        <f>IFERROR(INDEX('Semrush Data'!$A$1:$Z$20000,MATCH(V73,'Semrush Data'!$A$1:$A$20000,0),MATCH("Volume",'Semrush Data'!$A$1:$Z$1,0)),"")</f>
        <v/>
      </c>
      <c r="X73" s="59">
        <f>IFERROR(INDEX('Semrush Data'!$A$1:$Z$20000,MATCH(V73,'Semrush Data'!$A$1:$A$20000,0),MATCH("Keyword Difficulty*",'Semrush Data'!$A$1:$Z$1,0)),"")</f>
        <v/>
      </c>
      <c r="Y73" s="61">
        <f>IFERROR(INDEX('Semrush Data'!$A$1:$Z$20000,MATCH(V73,'Semrush Data'!$A$1:$A$20000,0),MATCH("CPC*",'Semrush Data'!$A$1:$Z$1,0)),"")</f>
        <v/>
      </c>
      <c r="Z73" s="58" t="inlineStr">
        <is>
          <t>vilvah skincare gift set</t>
        </is>
      </c>
      <c r="AA73" s="58" t="n"/>
      <c r="AB73" s="58" t="inlineStr">
        <is>
          <t>Vilvah Hair Strengthening Kit</t>
        </is>
      </c>
      <c r="AC73" s="58" t="inlineStr">
        <is>
          <t>Vilvah Hair Strengthening Kit | Buy Online UK | Swansura</t>
        </is>
      </c>
      <c r="AD73" s="58">
        <f>LEN(AC73)</f>
        <v/>
      </c>
      <c r="AE73" s="58" t="inlineStr">
        <is>
          <t>Buy Vilvah Hair Strengthening Kit online in the UK at Swansura, official UK partner of Vilvah. 100% authentic, shipped from the UK, free delivery over £50.</t>
        </is>
      </c>
      <c r="AF73" s="58">
        <f>LEN(AE73)</f>
        <v/>
      </c>
    </row>
    <row r="74" ht="15" customHeight="1" s="37">
      <c r="A74" s="58" t="inlineStr">
        <is>
          <t>VD-073</t>
        </is>
      </c>
      <c r="B74" s="58" t="inlineStr">
        <is>
          <t>Vilvah &amp; Deyga</t>
        </is>
      </c>
      <c r="C74" s="58" t="n">
        <v>73</v>
      </c>
      <c r="D74" s="58" t="inlineStr">
        <is>
          <t>Vilvah</t>
        </is>
      </c>
      <c r="E74" s="58" t="n"/>
      <c r="F74" s="58" t="inlineStr">
        <is>
          <t>Gift Set</t>
        </is>
      </c>
      <c r="G74" s="58" t="inlineStr">
        <is>
          <t>Gift Sets &amp; Combos</t>
        </is>
      </c>
      <c r="H74" s="58" t="inlineStr">
        <is>
          <t>Pigmentation</t>
        </is>
      </c>
      <c r="I74" s="58" t="inlineStr">
        <is>
          <t>Vilvah Lip Lightening Kit</t>
        </is>
      </c>
      <c r="J74" s="58" t="n"/>
      <c r="K74" s="58" t="n">
        <v>12.99</v>
      </c>
      <c r="L74" s="58" t="inlineStr">
        <is>
          <t>vilvah lip lightening kit</t>
        </is>
      </c>
      <c r="M74" s="58" t="inlineStr">
        <is>
          <t>vilvah lip lightening kit uk</t>
        </is>
      </c>
      <c r="N74" s="58" t="inlineStr">
        <is>
          <t>buy vilvah lip lightening kit online</t>
        </is>
      </c>
      <c r="O74" s="58" t="inlineStr">
        <is>
          <t>vilvah lip lightening kit price</t>
        </is>
      </c>
      <c r="P74" s="58" t="n"/>
      <c r="Q74" s="59">
        <f>IF(L74="","",IFERROR(INDEX('Semrush Data'!$A$1:$Z$20000,MATCH(L74,'Semrush Data'!$A$1:$A$20000,0),MATCH("Volume",'Semrush Data'!$A$1:$Z$1,0)),""))</f>
        <v/>
      </c>
      <c r="R74" s="59">
        <f>IF(M74="","",IFERROR(INDEX('Semrush Data'!$A$1:$Z$20000,MATCH(M74,'Semrush Data'!$A$1:$A$20000,0),MATCH("Volume",'Semrush Data'!$A$1:$Z$1,0)),""))</f>
        <v/>
      </c>
      <c r="S74" s="59">
        <f>IF(N74="","",IFERROR(INDEX('Semrush Data'!$A$1:$Z$20000,MATCH(N74,'Semrush Data'!$A$1:$A$20000,0),MATCH("Volume",'Semrush Data'!$A$1:$Z$1,0)),""))</f>
        <v/>
      </c>
      <c r="T74" s="59">
        <f>IF(O74="","",IFERROR(INDEX('Semrush Data'!$A$1:$Z$20000,MATCH(O74,'Semrush Data'!$A$1:$A$20000,0),MATCH("Volume",'Semrush Data'!$A$1:$Z$1,0)),""))</f>
        <v/>
      </c>
      <c r="U74" s="59">
        <f>IF(P74="","",IFERROR(INDEX('Semrush Data'!$A$1:$Z$20000,MATCH(P74,'Semrush Data'!$A$1:$A$20000,0),MATCH("Volume",'Semrush Data'!$A$1:$Z$1,0)),""))</f>
        <v/>
      </c>
      <c r="V74" s="60">
        <f>IF(COUNT(Q74:U74)=0,L74,IF(MAX(Q74:U74)=0,L74,INDEX(L74:P74,MATCH(MAX(Q74:U74),Q74:U74,0))))</f>
        <v/>
      </c>
      <c r="W74" s="59">
        <f>IFERROR(INDEX('Semrush Data'!$A$1:$Z$20000,MATCH(V74,'Semrush Data'!$A$1:$A$20000,0),MATCH("Volume",'Semrush Data'!$A$1:$Z$1,0)),"")</f>
        <v/>
      </c>
      <c r="X74" s="59">
        <f>IFERROR(INDEX('Semrush Data'!$A$1:$Z$20000,MATCH(V74,'Semrush Data'!$A$1:$A$20000,0),MATCH("Keyword Difficulty*",'Semrush Data'!$A$1:$Z$1,0)),"")</f>
        <v/>
      </c>
      <c r="Y74" s="61">
        <f>IFERROR(INDEX('Semrush Data'!$A$1:$Z$20000,MATCH(V74,'Semrush Data'!$A$1:$A$20000,0),MATCH("CPC*",'Semrush Data'!$A$1:$Z$1,0)),"")</f>
        <v/>
      </c>
      <c r="Z74" s="58" t="inlineStr">
        <is>
          <t>vilvah skincare gift set</t>
        </is>
      </c>
      <c r="AA74" s="58" t="n"/>
      <c r="AB74" s="58" t="inlineStr">
        <is>
          <t>Vilvah Lip Lightening Kit</t>
        </is>
      </c>
      <c r="AC74" s="58" t="inlineStr">
        <is>
          <t>Vilvah Lip Lightening Kit | Buy Online UK | Swansura</t>
        </is>
      </c>
      <c r="AD74" s="58">
        <f>LEN(AC74)</f>
        <v/>
      </c>
      <c r="AE74" s="58" t="inlineStr">
        <is>
          <t>Buy Vilvah Lip Lightening Kit online at Swansura, official UK partner of Vilvah. Natural gift set. 100% authentic, shipped from the UK, free delivery over £50.</t>
        </is>
      </c>
      <c r="AF74" s="58">
        <f>LEN(AE74)</f>
        <v/>
      </c>
    </row>
    <row r="75" ht="15" customHeight="1" s="37">
      <c r="A75" s="58" t="inlineStr">
        <is>
          <t>VD-074</t>
        </is>
      </c>
      <c r="B75" s="58" t="inlineStr">
        <is>
          <t>Vilvah &amp; Deyga</t>
        </is>
      </c>
      <c r="C75" s="58" t="n">
        <v>74</v>
      </c>
      <c r="D75" s="58" t="inlineStr">
        <is>
          <t>Vilvah</t>
        </is>
      </c>
      <c r="E75" s="58" t="n"/>
      <c r="F75" s="58" t="inlineStr">
        <is>
          <t>Gift Set</t>
        </is>
      </c>
      <c r="G75" s="58" t="inlineStr">
        <is>
          <t>Gift Sets &amp; Combos</t>
        </is>
      </c>
      <c r="H75" s="58" t="inlineStr">
        <is>
          <t>Dry Skin</t>
        </is>
      </c>
      <c r="I75" s="58" t="inlineStr">
        <is>
          <t>Vilvah Skin Hydration Kit</t>
        </is>
      </c>
      <c r="J75" s="58" t="n"/>
      <c r="K75" s="58" t="n">
        <v>45.99</v>
      </c>
      <c r="L75" s="58" t="inlineStr">
        <is>
          <t>vilvah skin hydration kit</t>
        </is>
      </c>
      <c r="M75" s="58" t="inlineStr">
        <is>
          <t>vilvah skin hydration kit uk</t>
        </is>
      </c>
      <c r="N75" s="58" t="inlineStr">
        <is>
          <t>buy vilvah skin hydration kit online</t>
        </is>
      </c>
      <c r="O75" s="58" t="inlineStr">
        <is>
          <t>vilvah skin hydration kit price</t>
        </is>
      </c>
      <c r="P75" s="58" t="n"/>
      <c r="Q75" s="59">
        <f>IF(L75="","",IFERROR(INDEX('Semrush Data'!$A$1:$Z$20000,MATCH(L75,'Semrush Data'!$A$1:$A$20000,0),MATCH("Volume",'Semrush Data'!$A$1:$Z$1,0)),""))</f>
        <v/>
      </c>
      <c r="R75" s="59">
        <f>IF(M75="","",IFERROR(INDEX('Semrush Data'!$A$1:$Z$20000,MATCH(M75,'Semrush Data'!$A$1:$A$20000,0),MATCH("Volume",'Semrush Data'!$A$1:$Z$1,0)),""))</f>
        <v/>
      </c>
      <c r="S75" s="59">
        <f>IF(N75="","",IFERROR(INDEX('Semrush Data'!$A$1:$Z$20000,MATCH(N75,'Semrush Data'!$A$1:$A$20000,0),MATCH("Volume",'Semrush Data'!$A$1:$Z$1,0)),""))</f>
        <v/>
      </c>
      <c r="T75" s="59">
        <f>IF(O75="","",IFERROR(INDEX('Semrush Data'!$A$1:$Z$20000,MATCH(O75,'Semrush Data'!$A$1:$A$20000,0),MATCH("Volume",'Semrush Data'!$A$1:$Z$1,0)),""))</f>
        <v/>
      </c>
      <c r="U75" s="59">
        <f>IF(P75="","",IFERROR(INDEX('Semrush Data'!$A$1:$Z$20000,MATCH(P75,'Semrush Data'!$A$1:$A$20000,0),MATCH("Volume",'Semrush Data'!$A$1:$Z$1,0)),""))</f>
        <v/>
      </c>
      <c r="V75" s="60">
        <f>IF(COUNT(Q75:U75)=0,L75,IF(MAX(Q75:U75)=0,L75,INDEX(L75:P75,MATCH(MAX(Q75:U75),Q75:U75,0))))</f>
        <v/>
      </c>
      <c r="W75" s="59">
        <f>IFERROR(INDEX('Semrush Data'!$A$1:$Z$20000,MATCH(V75,'Semrush Data'!$A$1:$A$20000,0),MATCH("Volume",'Semrush Data'!$A$1:$Z$1,0)),"")</f>
        <v/>
      </c>
      <c r="X75" s="59">
        <f>IFERROR(INDEX('Semrush Data'!$A$1:$Z$20000,MATCH(V75,'Semrush Data'!$A$1:$A$20000,0),MATCH("Keyword Difficulty*",'Semrush Data'!$A$1:$Z$1,0)),"")</f>
        <v/>
      </c>
      <c r="Y75" s="61">
        <f>IFERROR(INDEX('Semrush Data'!$A$1:$Z$20000,MATCH(V75,'Semrush Data'!$A$1:$A$20000,0),MATCH("CPC*",'Semrush Data'!$A$1:$Z$1,0)),"")</f>
        <v/>
      </c>
      <c r="Z75" s="58" t="inlineStr">
        <is>
          <t>vilvah skincare gift set</t>
        </is>
      </c>
      <c r="AA75" s="58" t="n"/>
      <c r="AB75" s="58" t="inlineStr">
        <is>
          <t>Vilvah Skin Hydration Kit</t>
        </is>
      </c>
      <c r="AC75" s="58" t="inlineStr">
        <is>
          <t>Vilvah Skin Hydration Kit | Buy Online UK | Swansura</t>
        </is>
      </c>
      <c r="AD75" s="58">
        <f>LEN(AC75)</f>
        <v/>
      </c>
      <c r="AE75" s="58" t="inlineStr">
        <is>
          <t>Buy Vilvah Skin Hydration Kit online at Swansura, official UK partner of Vilvah. Natural gift set. 100% authentic, shipped from the UK, free delivery over £50.</t>
        </is>
      </c>
      <c r="AF75" s="58">
        <f>LEN(AE75)</f>
        <v/>
      </c>
    </row>
    <row r="76" ht="15" customHeight="1" s="37">
      <c r="A76" s="58" t="inlineStr">
        <is>
          <t>VD-075</t>
        </is>
      </c>
      <c r="B76" s="58" t="inlineStr">
        <is>
          <t>Vilvah &amp; Deyga</t>
        </is>
      </c>
      <c r="C76" s="58" t="n">
        <v>75</v>
      </c>
      <c r="D76" s="58" t="inlineStr">
        <is>
          <t>Vilvah</t>
        </is>
      </c>
      <c r="E76" s="58" t="n"/>
      <c r="F76" s="58" t="inlineStr">
        <is>
          <t>Gift Set</t>
        </is>
      </c>
      <c r="G76" s="58" t="inlineStr">
        <is>
          <t>Gift Sets &amp; Combos</t>
        </is>
      </c>
      <c r="H76" s="58" t="inlineStr">
        <is>
          <t>Frizzy Hair</t>
        </is>
      </c>
      <c r="I76" s="58" t="inlineStr">
        <is>
          <t>Vilvah Anti Frizz Hair Kit</t>
        </is>
      </c>
      <c r="J76" s="58" t="n"/>
      <c r="K76" s="58" t="n">
        <v>35.99</v>
      </c>
      <c r="L76" s="58" t="inlineStr">
        <is>
          <t>vilvah anti frizz hair kit</t>
        </is>
      </c>
      <c r="M76" s="58" t="inlineStr">
        <is>
          <t>vilvah anti frizz hair kit uk</t>
        </is>
      </c>
      <c r="N76" s="58" t="inlineStr">
        <is>
          <t>buy vilvah anti frizz hair kit online</t>
        </is>
      </c>
      <c r="O76" s="58" t="inlineStr">
        <is>
          <t>vilvah anti frizz hair kit price</t>
        </is>
      </c>
      <c r="P76" s="58" t="n"/>
      <c r="Q76" s="59">
        <f>IF(L76="","",IFERROR(INDEX('Semrush Data'!$A$1:$Z$20000,MATCH(L76,'Semrush Data'!$A$1:$A$20000,0),MATCH("Volume",'Semrush Data'!$A$1:$Z$1,0)),""))</f>
        <v/>
      </c>
      <c r="R76" s="59">
        <f>IF(M76="","",IFERROR(INDEX('Semrush Data'!$A$1:$Z$20000,MATCH(M76,'Semrush Data'!$A$1:$A$20000,0),MATCH("Volume",'Semrush Data'!$A$1:$Z$1,0)),""))</f>
        <v/>
      </c>
      <c r="S76" s="59">
        <f>IF(N76="","",IFERROR(INDEX('Semrush Data'!$A$1:$Z$20000,MATCH(N76,'Semrush Data'!$A$1:$A$20000,0),MATCH("Volume",'Semrush Data'!$A$1:$Z$1,0)),""))</f>
        <v/>
      </c>
      <c r="T76" s="59">
        <f>IF(O76="","",IFERROR(INDEX('Semrush Data'!$A$1:$Z$20000,MATCH(O76,'Semrush Data'!$A$1:$A$20000,0),MATCH("Volume",'Semrush Data'!$A$1:$Z$1,0)),""))</f>
        <v/>
      </c>
      <c r="U76" s="59">
        <f>IF(P76="","",IFERROR(INDEX('Semrush Data'!$A$1:$Z$20000,MATCH(P76,'Semrush Data'!$A$1:$A$20000,0),MATCH("Volume",'Semrush Data'!$A$1:$Z$1,0)),""))</f>
        <v/>
      </c>
      <c r="V76" s="60">
        <f>IF(COUNT(Q76:U76)=0,L76,IF(MAX(Q76:U76)=0,L76,INDEX(L76:P76,MATCH(MAX(Q76:U76),Q76:U76,0))))</f>
        <v/>
      </c>
      <c r="W76" s="59">
        <f>IFERROR(INDEX('Semrush Data'!$A$1:$Z$20000,MATCH(V76,'Semrush Data'!$A$1:$A$20000,0),MATCH("Volume",'Semrush Data'!$A$1:$Z$1,0)),"")</f>
        <v/>
      </c>
      <c r="X76" s="59">
        <f>IFERROR(INDEX('Semrush Data'!$A$1:$Z$20000,MATCH(V76,'Semrush Data'!$A$1:$A$20000,0),MATCH("Keyword Difficulty*",'Semrush Data'!$A$1:$Z$1,0)),"")</f>
        <v/>
      </c>
      <c r="Y76" s="61">
        <f>IFERROR(INDEX('Semrush Data'!$A$1:$Z$20000,MATCH(V76,'Semrush Data'!$A$1:$A$20000,0),MATCH("CPC*",'Semrush Data'!$A$1:$Z$1,0)),"")</f>
        <v/>
      </c>
      <c r="Z76" s="58" t="inlineStr">
        <is>
          <t>vilvah skincare gift set</t>
        </is>
      </c>
      <c r="AA76" s="58" t="n"/>
      <c r="AB76" s="58" t="inlineStr">
        <is>
          <t>Vilvah Anti Frizz Hair Kit</t>
        </is>
      </c>
      <c r="AC76" s="58" t="inlineStr">
        <is>
          <t>Vilvah Anti Frizz Hair Kit | Buy Online UK | Swansura</t>
        </is>
      </c>
      <c r="AD76" s="58">
        <f>LEN(AC76)</f>
        <v/>
      </c>
      <c r="AE76" s="58" t="inlineStr">
        <is>
          <t>Buy Vilvah Anti Frizz Hair Kit online at Swansura, official UK partner of Vilvah. A natural gift set for frizzy hair. 100% authentic, free UK delivery over £50.</t>
        </is>
      </c>
      <c r="AF76" s="58">
        <f>LEN(AE76)</f>
        <v/>
      </c>
    </row>
    <row r="77" ht="15" customHeight="1" s="37">
      <c r="A77" s="58" t="inlineStr">
        <is>
          <t>VD-076</t>
        </is>
      </c>
      <c r="B77" s="58" t="inlineStr">
        <is>
          <t>Vilvah &amp; Deyga</t>
        </is>
      </c>
      <c r="C77" s="58" t="n">
        <v>76</v>
      </c>
      <c r="D77" s="58" t="inlineStr">
        <is>
          <t>Vilvah</t>
        </is>
      </c>
      <c r="E77" s="58" t="n"/>
      <c r="F77" s="58" t="inlineStr">
        <is>
          <t>Gift Set</t>
        </is>
      </c>
      <c r="G77" s="58" t="inlineStr">
        <is>
          <t>Gift Sets &amp; Combos</t>
        </is>
      </c>
      <c r="H77" s="58" t="inlineStr">
        <is>
          <t>Dull Skin</t>
        </is>
      </c>
      <c r="I77" s="58" t="inlineStr">
        <is>
          <t>Vilvah Body Polishing Kit</t>
        </is>
      </c>
      <c r="J77" s="58" t="n"/>
      <c r="K77" s="58" t="n">
        <v>48.99</v>
      </c>
      <c r="L77" s="58" t="inlineStr">
        <is>
          <t>vilvah body polishing kit</t>
        </is>
      </c>
      <c r="M77" s="58" t="inlineStr">
        <is>
          <t>vilvah body polishing kit uk</t>
        </is>
      </c>
      <c r="N77" s="58" t="inlineStr">
        <is>
          <t>buy vilvah body polishing kit online</t>
        </is>
      </c>
      <c r="O77" s="58" t="inlineStr">
        <is>
          <t>vilvah body polishing kit price</t>
        </is>
      </c>
      <c r="P77" s="58" t="n"/>
      <c r="Q77" s="59">
        <f>IF(L77="","",IFERROR(INDEX('Semrush Data'!$A$1:$Z$20000,MATCH(L77,'Semrush Data'!$A$1:$A$20000,0),MATCH("Volume",'Semrush Data'!$A$1:$Z$1,0)),""))</f>
        <v/>
      </c>
      <c r="R77" s="59">
        <f>IF(M77="","",IFERROR(INDEX('Semrush Data'!$A$1:$Z$20000,MATCH(M77,'Semrush Data'!$A$1:$A$20000,0),MATCH("Volume",'Semrush Data'!$A$1:$Z$1,0)),""))</f>
        <v/>
      </c>
      <c r="S77" s="59">
        <f>IF(N77="","",IFERROR(INDEX('Semrush Data'!$A$1:$Z$20000,MATCH(N77,'Semrush Data'!$A$1:$A$20000,0),MATCH("Volume",'Semrush Data'!$A$1:$Z$1,0)),""))</f>
        <v/>
      </c>
      <c r="T77" s="59">
        <f>IF(O77="","",IFERROR(INDEX('Semrush Data'!$A$1:$Z$20000,MATCH(O77,'Semrush Data'!$A$1:$A$20000,0),MATCH("Volume",'Semrush Data'!$A$1:$Z$1,0)),""))</f>
        <v/>
      </c>
      <c r="U77" s="59">
        <f>IF(P77="","",IFERROR(INDEX('Semrush Data'!$A$1:$Z$20000,MATCH(P77,'Semrush Data'!$A$1:$A$20000,0),MATCH("Volume",'Semrush Data'!$A$1:$Z$1,0)),""))</f>
        <v/>
      </c>
      <c r="V77" s="60">
        <f>IF(COUNT(Q77:U77)=0,L77,IF(MAX(Q77:U77)=0,L77,INDEX(L77:P77,MATCH(MAX(Q77:U77),Q77:U77,0))))</f>
        <v/>
      </c>
      <c r="W77" s="59">
        <f>IFERROR(INDEX('Semrush Data'!$A$1:$Z$20000,MATCH(V77,'Semrush Data'!$A$1:$A$20000,0),MATCH("Volume",'Semrush Data'!$A$1:$Z$1,0)),"")</f>
        <v/>
      </c>
      <c r="X77" s="59">
        <f>IFERROR(INDEX('Semrush Data'!$A$1:$Z$20000,MATCH(V77,'Semrush Data'!$A$1:$A$20000,0),MATCH("Keyword Difficulty*",'Semrush Data'!$A$1:$Z$1,0)),"")</f>
        <v/>
      </c>
      <c r="Y77" s="61">
        <f>IFERROR(INDEX('Semrush Data'!$A$1:$Z$20000,MATCH(V77,'Semrush Data'!$A$1:$A$20000,0),MATCH("CPC*",'Semrush Data'!$A$1:$Z$1,0)),"")</f>
        <v/>
      </c>
      <c r="Z77" s="58" t="inlineStr">
        <is>
          <t>vilvah skincare gift set</t>
        </is>
      </c>
      <c r="AA77" s="58" t="n"/>
      <c r="AB77" s="58" t="inlineStr">
        <is>
          <t>Vilvah Body Polishing Kit</t>
        </is>
      </c>
      <c r="AC77" s="58" t="inlineStr">
        <is>
          <t>Vilvah Body Polishing Kit | Buy Online UK | Swansura</t>
        </is>
      </c>
      <c r="AD77" s="58">
        <f>LEN(AC77)</f>
        <v/>
      </c>
      <c r="AE77" s="58" t="inlineStr">
        <is>
          <t>Buy Vilvah Body Polishing Kit online at Swansura, official UK partner of Vilvah. Natural gift set. 100% authentic, shipped from the UK, free delivery over £50.</t>
        </is>
      </c>
      <c r="AF77" s="58">
        <f>LEN(AE77)</f>
        <v/>
      </c>
    </row>
    <row r="78" ht="15" customHeight="1" s="37">
      <c r="A78" s="58" t="inlineStr">
        <is>
          <t>VD-077</t>
        </is>
      </c>
      <c r="B78" s="58" t="inlineStr">
        <is>
          <t>Vilvah &amp; Deyga</t>
        </is>
      </c>
      <c r="C78" s="58" t="n">
        <v>77</v>
      </c>
      <c r="D78" s="58" t="inlineStr">
        <is>
          <t>Vilvah</t>
        </is>
      </c>
      <c r="E78" s="58" t="n"/>
      <c r="F78" s="58" t="inlineStr">
        <is>
          <t>Gift Set</t>
        </is>
      </c>
      <c r="G78" s="58" t="inlineStr">
        <is>
          <t>Gift Sets &amp; Combos</t>
        </is>
      </c>
      <c r="H78" s="58" t="inlineStr">
        <is>
          <t>Hair Thinning &amp; Loss</t>
        </is>
      </c>
      <c r="I78" s="58" t="inlineStr">
        <is>
          <t>Vilvah Hairfall Control Kit</t>
        </is>
      </c>
      <c r="J78" s="58" t="n"/>
      <c r="K78" s="58" t="n">
        <v>34.99</v>
      </c>
      <c r="L78" s="58" t="inlineStr">
        <is>
          <t>vilvah hairfall control kit</t>
        </is>
      </c>
      <c r="M78" s="58" t="inlineStr">
        <is>
          <t>vilvah hairfall control kit uk</t>
        </is>
      </c>
      <c r="N78" s="58" t="inlineStr">
        <is>
          <t>buy vilvah hairfall control kit online</t>
        </is>
      </c>
      <c r="O78" s="58" t="inlineStr">
        <is>
          <t>vilvah hairfall control kit price</t>
        </is>
      </c>
      <c r="P78" s="58" t="n"/>
      <c r="Q78" s="59">
        <f>IF(L78="","",IFERROR(INDEX('Semrush Data'!$A$1:$Z$20000,MATCH(L78,'Semrush Data'!$A$1:$A$20000,0),MATCH("Volume",'Semrush Data'!$A$1:$Z$1,0)),""))</f>
        <v/>
      </c>
      <c r="R78" s="59">
        <f>IF(M78="","",IFERROR(INDEX('Semrush Data'!$A$1:$Z$20000,MATCH(M78,'Semrush Data'!$A$1:$A$20000,0),MATCH("Volume",'Semrush Data'!$A$1:$Z$1,0)),""))</f>
        <v/>
      </c>
      <c r="S78" s="59">
        <f>IF(N78="","",IFERROR(INDEX('Semrush Data'!$A$1:$Z$20000,MATCH(N78,'Semrush Data'!$A$1:$A$20000,0),MATCH("Volume",'Semrush Data'!$A$1:$Z$1,0)),""))</f>
        <v/>
      </c>
      <c r="T78" s="59">
        <f>IF(O78="","",IFERROR(INDEX('Semrush Data'!$A$1:$Z$20000,MATCH(O78,'Semrush Data'!$A$1:$A$20000,0),MATCH("Volume",'Semrush Data'!$A$1:$Z$1,0)),""))</f>
        <v/>
      </c>
      <c r="U78" s="59">
        <f>IF(P78="","",IFERROR(INDEX('Semrush Data'!$A$1:$Z$20000,MATCH(P78,'Semrush Data'!$A$1:$A$20000,0),MATCH("Volume",'Semrush Data'!$A$1:$Z$1,0)),""))</f>
        <v/>
      </c>
      <c r="V78" s="60">
        <f>IF(COUNT(Q78:U78)=0,L78,IF(MAX(Q78:U78)=0,L78,INDEX(L78:P78,MATCH(MAX(Q78:U78),Q78:U78,0))))</f>
        <v/>
      </c>
      <c r="W78" s="59">
        <f>IFERROR(INDEX('Semrush Data'!$A$1:$Z$20000,MATCH(V78,'Semrush Data'!$A$1:$A$20000,0),MATCH("Volume",'Semrush Data'!$A$1:$Z$1,0)),"")</f>
        <v/>
      </c>
      <c r="X78" s="59">
        <f>IFERROR(INDEX('Semrush Data'!$A$1:$Z$20000,MATCH(V78,'Semrush Data'!$A$1:$A$20000,0),MATCH("Keyword Difficulty*",'Semrush Data'!$A$1:$Z$1,0)),"")</f>
        <v/>
      </c>
      <c r="Y78" s="61">
        <f>IFERROR(INDEX('Semrush Data'!$A$1:$Z$20000,MATCH(V78,'Semrush Data'!$A$1:$A$20000,0),MATCH("CPC*",'Semrush Data'!$A$1:$Z$1,0)),"")</f>
        <v/>
      </c>
      <c r="Z78" s="58" t="inlineStr">
        <is>
          <t>vilvah skincare gift set</t>
        </is>
      </c>
      <c r="AA78" s="58" t="n"/>
      <c r="AB78" s="58" t="inlineStr">
        <is>
          <t>Vilvah Hairfall Control Kit</t>
        </is>
      </c>
      <c r="AC78" s="58" t="inlineStr">
        <is>
          <t>Vilvah Hairfall Control Kit | Buy Online UK | Swansura</t>
        </is>
      </c>
      <c r="AD78" s="58">
        <f>LEN(AC78)</f>
        <v/>
      </c>
      <c r="AE78" s="58" t="inlineStr">
        <is>
          <t>Buy Vilvah Hairfall Control Kit online in the UK at Swansura, official UK partner of Vilvah. A natural gift set for thinning hair. Free UK delivery over £50.</t>
        </is>
      </c>
      <c r="AF78" s="58">
        <f>LEN(AE78)</f>
        <v/>
      </c>
    </row>
    <row r="79" ht="15" customHeight="1" s="37">
      <c r="A79" s="58" t="inlineStr">
        <is>
          <t>VD-078</t>
        </is>
      </c>
      <c r="B79" s="58" t="inlineStr">
        <is>
          <t>Vilvah &amp; Deyga</t>
        </is>
      </c>
      <c r="C79" s="58" t="n">
        <v>78</v>
      </c>
      <c r="D79" s="58" t="inlineStr">
        <is>
          <t>Vilvah</t>
        </is>
      </c>
      <c r="E79" s="58" t="n"/>
      <c r="F79" s="58" t="inlineStr">
        <is>
          <t>Gift Set</t>
        </is>
      </c>
      <c r="G79" s="58" t="inlineStr">
        <is>
          <t>Gift Sets &amp; Combos</t>
        </is>
      </c>
      <c r="H79" s="58" t="inlineStr">
        <is>
          <t>Anti-Dandruff</t>
        </is>
      </c>
      <c r="I79" s="58" t="inlineStr">
        <is>
          <t>Vilvah Anti‑Dandruff Haircare Kit</t>
        </is>
      </c>
      <c r="J79" s="58" t="n"/>
      <c r="K79" s="58" t="n">
        <v>27.99</v>
      </c>
      <c r="L79" s="58" t="inlineStr">
        <is>
          <t>vilvah anti‑dandruff haircare kit</t>
        </is>
      </c>
      <c r="M79" s="58" t="inlineStr">
        <is>
          <t>vilvah anti‑dandruff haircare kit uk</t>
        </is>
      </c>
      <c r="N79" s="58" t="inlineStr">
        <is>
          <t>buy vilvah anti‑dandruff haircare kit online</t>
        </is>
      </c>
      <c r="O79" s="58" t="inlineStr">
        <is>
          <t>vilvah anti‑dandruff haircare kit price</t>
        </is>
      </c>
      <c r="P79" s="58" t="n"/>
      <c r="Q79" s="59">
        <f>IF(L79="","",IFERROR(INDEX('Semrush Data'!$A$1:$Z$20000,MATCH(L79,'Semrush Data'!$A$1:$A$20000,0),MATCH("Volume",'Semrush Data'!$A$1:$Z$1,0)),""))</f>
        <v/>
      </c>
      <c r="R79" s="59">
        <f>IF(M79="","",IFERROR(INDEX('Semrush Data'!$A$1:$Z$20000,MATCH(M79,'Semrush Data'!$A$1:$A$20000,0),MATCH("Volume",'Semrush Data'!$A$1:$Z$1,0)),""))</f>
        <v/>
      </c>
      <c r="S79" s="59">
        <f>IF(N79="","",IFERROR(INDEX('Semrush Data'!$A$1:$Z$20000,MATCH(N79,'Semrush Data'!$A$1:$A$20000,0),MATCH("Volume",'Semrush Data'!$A$1:$Z$1,0)),""))</f>
        <v/>
      </c>
      <c r="T79" s="59">
        <f>IF(O79="","",IFERROR(INDEX('Semrush Data'!$A$1:$Z$20000,MATCH(O79,'Semrush Data'!$A$1:$A$20000,0),MATCH("Volume",'Semrush Data'!$A$1:$Z$1,0)),""))</f>
        <v/>
      </c>
      <c r="U79" s="59">
        <f>IF(P79="","",IFERROR(INDEX('Semrush Data'!$A$1:$Z$20000,MATCH(P79,'Semrush Data'!$A$1:$A$20000,0),MATCH("Volume",'Semrush Data'!$A$1:$Z$1,0)),""))</f>
        <v/>
      </c>
      <c r="V79" s="60">
        <f>IF(COUNT(Q79:U79)=0,L79,IF(MAX(Q79:U79)=0,L79,INDEX(L79:P79,MATCH(MAX(Q79:U79),Q79:U79,0))))</f>
        <v/>
      </c>
      <c r="W79" s="59">
        <f>IFERROR(INDEX('Semrush Data'!$A$1:$Z$20000,MATCH(V79,'Semrush Data'!$A$1:$A$20000,0),MATCH("Volume",'Semrush Data'!$A$1:$Z$1,0)),"")</f>
        <v/>
      </c>
      <c r="X79" s="59">
        <f>IFERROR(INDEX('Semrush Data'!$A$1:$Z$20000,MATCH(V79,'Semrush Data'!$A$1:$A$20000,0),MATCH("Keyword Difficulty*",'Semrush Data'!$A$1:$Z$1,0)),"")</f>
        <v/>
      </c>
      <c r="Y79" s="61">
        <f>IFERROR(INDEX('Semrush Data'!$A$1:$Z$20000,MATCH(V79,'Semrush Data'!$A$1:$A$20000,0),MATCH("CPC*",'Semrush Data'!$A$1:$Z$1,0)),"")</f>
        <v/>
      </c>
      <c r="Z79" s="58" t="inlineStr">
        <is>
          <t>vilvah skincare gift set</t>
        </is>
      </c>
      <c r="AA79" s="58" t="n"/>
      <c r="AB79" s="58" t="inlineStr">
        <is>
          <t>Vilvah Anti‑Dandruff Haircare Kit</t>
        </is>
      </c>
      <c r="AC79" s="58" t="inlineStr">
        <is>
          <t>Vilvah Anti‑Dandruff Haircare Kit | Buy Online UK | Swansura</t>
        </is>
      </c>
      <c r="AD79" s="58">
        <f>LEN(AC79)</f>
        <v/>
      </c>
      <c r="AE79" s="58" t="inlineStr">
        <is>
          <t>Buy Vilvah Anti‑Dandruff Haircare Kit online in the UK at Swansura, official UK partner of Vilvah. Natural gift set. 100% authentic, free UK delivery over £50.</t>
        </is>
      </c>
      <c r="AF79" s="58">
        <f>LEN(AE79)</f>
        <v/>
      </c>
    </row>
    <row r="80" ht="15" customHeight="1" s="37">
      <c r="A80" s="58" t="inlineStr">
        <is>
          <t>VD-079</t>
        </is>
      </c>
      <c r="B80" s="58" t="inlineStr">
        <is>
          <t>Vilvah &amp; Deyga</t>
        </is>
      </c>
      <c r="C80" s="58" t="n">
        <v>79</v>
      </c>
      <c r="D80" s="58" t="inlineStr">
        <is>
          <t>Vilvah</t>
        </is>
      </c>
      <c r="E80" s="58" t="n"/>
      <c r="F80" s="58" t="inlineStr">
        <is>
          <t>Gift Set</t>
        </is>
      </c>
      <c r="G80" s="58" t="inlineStr">
        <is>
          <t>Gift Sets &amp; Combos</t>
        </is>
      </c>
      <c r="H80" s="58" t="inlineStr">
        <is>
          <t>Dry Hair</t>
        </is>
      </c>
      <c r="I80" s="58" t="inlineStr">
        <is>
          <t>Vilvah Goat Milk Hair Kit</t>
        </is>
      </c>
      <c r="J80" s="58" t="n"/>
      <c r="K80" s="58" t="n">
        <v>34.99</v>
      </c>
      <c r="L80" s="58" t="inlineStr">
        <is>
          <t>vilvah goat milk hair kit</t>
        </is>
      </c>
      <c r="M80" s="58" t="inlineStr">
        <is>
          <t>vilvah goat milk hair kit uk</t>
        </is>
      </c>
      <c r="N80" s="58" t="inlineStr">
        <is>
          <t>buy vilvah goat milk hair kit online</t>
        </is>
      </c>
      <c r="O80" s="58" t="inlineStr">
        <is>
          <t>vilvah goat milk hair kit price</t>
        </is>
      </c>
      <c r="P80" s="58" t="n"/>
      <c r="Q80" s="59">
        <f>IF(L80="","",IFERROR(INDEX('Semrush Data'!$A$1:$Z$20000,MATCH(L80,'Semrush Data'!$A$1:$A$20000,0),MATCH("Volume",'Semrush Data'!$A$1:$Z$1,0)),""))</f>
        <v/>
      </c>
      <c r="R80" s="59">
        <f>IF(M80="","",IFERROR(INDEX('Semrush Data'!$A$1:$Z$20000,MATCH(M80,'Semrush Data'!$A$1:$A$20000,0),MATCH("Volume",'Semrush Data'!$A$1:$Z$1,0)),""))</f>
        <v/>
      </c>
      <c r="S80" s="59">
        <f>IF(N80="","",IFERROR(INDEX('Semrush Data'!$A$1:$Z$20000,MATCH(N80,'Semrush Data'!$A$1:$A$20000,0),MATCH("Volume",'Semrush Data'!$A$1:$Z$1,0)),""))</f>
        <v/>
      </c>
      <c r="T80" s="59">
        <f>IF(O80="","",IFERROR(INDEX('Semrush Data'!$A$1:$Z$20000,MATCH(O80,'Semrush Data'!$A$1:$A$20000,0),MATCH("Volume",'Semrush Data'!$A$1:$Z$1,0)),""))</f>
        <v/>
      </c>
      <c r="U80" s="59">
        <f>IF(P80="","",IFERROR(INDEX('Semrush Data'!$A$1:$Z$20000,MATCH(P80,'Semrush Data'!$A$1:$A$20000,0),MATCH("Volume",'Semrush Data'!$A$1:$Z$1,0)),""))</f>
        <v/>
      </c>
      <c r="V80" s="60">
        <f>IF(COUNT(Q80:U80)=0,L80,IF(MAX(Q80:U80)=0,L80,INDEX(L80:P80,MATCH(MAX(Q80:U80),Q80:U80,0))))</f>
        <v/>
      </c>
      <c r="W80" s="59">
        <f>IFERROR(INDEX('Semrush Data'!$A$1:$Z$20000,MATCH(V80,'Semrush Data'!$A$1:$A$20000,0),MATCH("Volume",'Semrush Data'!$A$1:$Z$1,0)),"")</f>
        <v/>
      </c>
      <c r="X80" s="59">
        <f>IFERROR(INDEX('Semrush Data'!$A$1:$Z$20000,MATCH(V80,'Semrush Data'!$A$1:$A$20000,0),MATCH("Keyword Difficulty*",'Semrush Data'!$A$1:$Z$1,0)),"")</f>
        <v/>
      </c>
      <c r="Y80" s="61">
        <f>IFERROR(INDEX('Semrush Data'!$A$1:$Z$20000,MATCH(V80,'Semrush Data'!$A$1:$A$20000,0),MATCH("CPC*",'Semrush Data'!$A$1:$Z$1,0)),"")</f>
        <v/>
      </c>
      <c r="Z80" s="58" t="inlineStr">
        <is>
          <t>vilvah skincare gift set</t>
        </is>
      </c>
      <c r="AA80" s="58" t="n"/>
      <c r="AB80" s="58" t="inlineStr">
        <is>
          <t>Vilvah Goat Milk Hair Kit</t>
        </is>
      </c>
      <c r="AC80" s="58" t="inlineStr">
        <is>
          <t>Vilvah Goat Milk Hair Kit | Buy Online UK | Swansura</t>
        </is>
      </c>
      <c r="AD80" s="58">
        <f>LEN(AC80)</f>
        <v/>
      </c>
      <c r="AE80" s="58" t="inlineStr">
        <is>
          <t>Buy Vilvah Goat Milk Hair Kit online at Swansura, official UK partner of Vilvah. Natural gift set. 100% authentic, shipped from the UK, free delivery over £50.</t>
        </is>
      </c>
      <c r="AF80" s="58">
        <f>LEN(AE80)</f>
        <v/>
      </c>
    </row>
    <row r="81" ht="15" customHeight="1" s="37">
      <c r="A81" s="58" t="inlineStr">
        <is>
          <t>VD-080</t>
        </is>
      </c>
      <c r="B81" s="58" t="inlineStr">
        <is>
          <t>Vilvah &amp; Deyga</t>
        </is>
      </c>
      <c r="C81" s="58" t="n">
        <v>80</v>
      </c>
      <c r="D81" s="58" t="inlineStr">
        <is>
          <t>Vilvah</t>
        </is>
      </c>
      <c r="E81" s="58" t="n"/>
      <c r="F81" s="58" t="inlineStr">
        <is>
          <t>Gift Set</t>
        </is>
      </c>
      <c r="G81" s="58" t="inlineStr">
        <is>
          <t>Gift Sets &amp; Combos</t>
        </is>
      </c>
      <c r="H81" s="58" t="inlineStr">
        <is>
          <t>Body Hydration</t>
        </is>
      </c>
      <c r="I81" s="58" t="inlineStr">
        <is>
          <t>Vilvah Everyday Care Milk Kit</t>
        </is>
      </c>
      <c r="J81" s="58" t="n"/>
      <c r="K81" s="58" t="n">
        <v>48.99</v>
      </c>
      <c r="L81" s="58" t="inlineStr">
        <is>
          <t>vilvah everyday care milk kit</t>
        </is>
      </c>
      <c r="M81" s="58" t="inlineStr">
        <is>
          <t>vilvah everyday care milk kit uk</t>
        </is>
      </c>
      <c r="N81" s="58" t="inlineStr">
        <is>
          <t>buy vilvah everyday care milk kit online</t>
        </is>
      </c>
      <c r="O81" s="58" t="inlineStr">
        <is>
          <t>vilvah everyday care milk kit price</t>
        </is>
      </c>
      <c r="P81" s="58" t="n"/>
      <c r="Q81" s="59">
        <f>IF(L81="","",IFERROR(INDEX('Semrush Data'!$A$1:$Z$20000,MATCH(L81,'Semrush Data'!$A$1:$A$20000,0),MATCH("Volume",'Semrush Data'!$A$1:$Z$1,0)),""))</f>
        <v/>
      </c>
      <c r="R81" s="59">
        <f>IF(M81="","",IFERROR(INDEX('Semrush Data'!$A$1:$Z$20000,MATCH(M81,'Semrush Data'!$A$1:$A$20000,0),MATCH("Volume",'Semrush Data'!$A$1:$Z$1,0)),""))</f>
        <v/>
      </c>
      <c r="S81" s="59">
        <f>IF(N81="","",IFERROR(INDEX('Semrush Data'!$A$1:$Z$20000,MATCH(N81,'Semrush Data'!$A$1:$A$20000,0),MATCH("Volume",'Semrush Data'!$A$1:$Z$1,0)),""))</f>
        <v/>
      </c>
      <c r="T81" s="59">
        <f>IF(O81="","",IFERROR(INDEX('Semrush Data'!$A$1:$Z$20000,MATCH(O81,'Semrush Data'!$A$1:$A$20000,0),MATCH("Volume",'Semrush Data'!$A$1:$Z$1,0)),""))</f>
        <v/>
      </c>
      <c r="U81" s="59">
        <f>IF(P81="","",IFERROR(INDEX('Semrush Data'!$A$1:$Z$20000,MATCH(P81,'Semrush Data'!$A$1:$A$20000,0),MATCH("Volume",'Semrush Data'!$A$1:$Z$1,0)),""))</f>
        <v/>
      </c>
      <c r="V81" s="60">
        <f>IF(COUNT(Q81:U81)=0,L81,IF(MAX(Q81:U81)=0,L81,INDEX(L81:P81,MATCH(MAX(Q81:U81),Q81:U81,0))))</f>
        <v/>
      </c>
      <c r="W81" s="59">
        <f>IFERROR(INDEX('Semrush Data'!$A$1:$Z$20000,MATCH(V81,'Semrush Data'!$A$1:$A$20000,0),MATCH("Volume",'Semrush Data'!$A$1:$Z$1,0)),"")</f>
        <v/>
      </c>
      <c r="X81" s="59">
        <f>IFERROR(INDEX('Semrush Data'!$A$1:$Z$20000,MATCH(V81,'Semrush Data'!$A$1:$A$20000,0),MATCH("Keyword Difficulty*",'Semrush Data'!$A$1:$Z$1,0)),"")</f>
        <v/>
      </c>
      <c r="Y81" s="61">
        <f>IFERROR(INDEX('Semrush Data'!$A$1:$Z$20000,MATCH(V81,'Semrush Data'!$A$1:$A$20000,0),MATCH("CPC*",'Semrush Data'!$A$1:$Z$1,0)),"")</f>
        <v/>
      </c>
      <c r="Z81" s="58" t="inlineStr">
        <is>
          <t>vilvah skincare gift set</t>
        </is>
      </c>
      <c r="AA81" s="58" t="n"/>
      <c r="AB81" s="58" t="inlineStr">
        <is>
          <t>Vilvah Everyday Care Milk Kit</t>
        </is>
      </c>
      <c r="AC81" s="58" t="inlineStr">
        <is>
          <t>Vilvah Everyday Care Milk Kit | Buy Online UK | Swansura</t>
        </is>
      </c>
      <c r="AD81" s="58">
        <f>LEN(AC81)</f>
        <v/>
      </c>
      <c r="AE81" s="58" t="inlineStr">
        <is>
          <t>Buy Vilvah Everyday Care Milk Kit online in the UK at Swansura, official UK partner of Vilvah. Natural gift set. 100% authentic, free UK delivery over £50.</t>
        </is>
      </c>
      <c r="AF81" s="58">
        <f>LEN(AE81)</f>
        <v/>
      </c>
    </row>
    <row r="82" ht="15" customHeight="1" s="37">
      <c r="A82" s="58" t="inlineStr">
        <is>
          <t>VD-081</t>
        </is>
      </c>
      <c r="B82" s="58" t="inlineStr">
        <is>
          <t>Vilvah &amp; Deyga</t>
        </is>
      </c>
      <c r="C82" s="58" t="n">
        <v>81</v>
      </c>
      <c r="D82" s="58" t="inlineStr">
        <is>
          <t>Vilvah</t>
        </is>
      </c>
      <c r="E82" s="58" t="n"/>
      <c r="F82" s="58" t="inlineStr">
        <is>
          <t>Gift Set</t>
        </is>
      </c>
      <c r="G82" s="58" t="inlineStr">
        <is>
          <t>Gift Sets &amp; Combos</t>
        </is>
      </c>
      <c r="H82" s="58" t="inlineStr">
        <is>
          <t>Dry Lips</t>
        </is>
      </c>
      <c r="I82" s="58" t="inlineStr">
        <is>
          <t>Vilvah Lip Nourishing Kit</t>
        </is>
      </c>
      <c r="J82" s="58" t="n"/>
      <c r="K82" s="58" t="n">
        <v>13.99</v>
      </c>
      <c r="L82" s="58" t="inlineStr">
        <is>
          <t>vilvah lip nourishing kit</t>
        </is>
      </c>
      <c r="M82" s="58" t="inlineStr">
        <is>
          <t>vilvah lip nourishing kit uk</t>
        </is>
      </c>
      <c r="N82" s="58" t="inlineStr">
        <is>
          <t>buy vilvah lip nourishing kit online</t>
        </is>
      </c>
      <c r="O82" s="58" t="inlineStr">
        <is>
          <t>vilvah lip nourishing kit price</t>
        </is>
      </c>
      <c r="P82" s="58" t="n"/>
      <c r="Q82" s="59">
        <f>IF(L82="","",IFERROR(INDEX('Semrush Data'!$A$1:$Z$20000,MATCH(L82,'Semrush Data'!$A$1:$A$20000,0),MATCH("Volume",'Semrush Data'!$A$1:$Z$1,0)),""))</f>
        <v/>
      </c>
      <c r="R82" s="59">
        <f>IF(M82="","",IFERROR(INDEX('Semrush Data'!$A$1:$Z$20000,MATCH(M82,'Semrush Data'!$A$1:$A$20000,0),MATCH("Volume",'Semrush Data'!$A$1:$Z$1,0)),""))</f>
        <v/>
      </c>
      <c r="S82" s="59">
        <f>IF(N82="","",IFERROR(INDEX('Semrush Data'!$A$1:$Z$20000,MATCH(N82,'Semrush Data'!$A$1:$A$20000,0),MATCH("Volume",'Semrush Data'!$A$1:$Z$1,0)),""))</f>
        <v/>
      </c>
      <c r="T82" s="59">
        <f>IF(O82="","",IFERROR(INDEX('Semrush Data'!$A$1:$Z$20000,MATCH(O82,'Semrush Data'!$A$1:$A$20000,0),MATCH("Volume",'Semrush Data'!$A$1:$Z$1,0)),""))</f>
        <v/>
      </c>
      <c r="U82" s="59">
        <f>IF(P82="","",IFERROR(INDEX('Semrush Data'!$A$1:$Z$20000,MATCH(P82,'Semrush Data'!$A$1:$A$20000,0),MATCH("Volume",'Semrush Data'!$A$1:$Z$1,0)),""))</f>
        <v/>
      </c>
      <c r="V82" s="60">
        <f>IF(COUNT(Q82:U82)=0,L82,IF(MAX(Q82:U82)=0,L82,INDEX(L82:P82,MATCH(MAX(Q82:U82),Q82:U82,0))))</f>
        <v/>
      </c>
      <c r="W82" s="59">
        <f>IFERROR(INDEX('Semrush Data'!$A$1:$Z$20000,MATCH(V82,'Semrush Data'!$A$1:$A$20000,0),MATCH("Volume",'Semrush Data'!$A$1:$Z$1,0)),"")</f>
        <v/>
      </c>
      <c r="X82" s="59">
        <f>IFERROR(INDEX('Semrush Data'!$A$1:$Z$20000,MATCH(V82,'Semrush Data'!$A$1:$A$20000,0),MATCH("Keyword Difficulty*",'Semrush Data'!$A$1:$Z$1,0)),"")</f>
        <v/>
      </c>
      <c r="Y82" s="61">
        <f>IFERROR(INDEX('Semrush Data'!$A$1:$Z$20000,MATCH(V82,'Semrush Data'!$A$1:$A$20000,0),MATCH("CPC*",'Semrush Data'!$A$1:$Z$1,0)),"")</f>
        <v/>
      </c>
      <c r="Z82" s="58" t="inlineStr">
        <is>
          <t>vilvah skincare gift set</t>
        </is>
      </c>
      <c r="AA82" s="58" t="n"/>
      <c r="AB82" s="58" t="inlineStr">
        <is>
          <t>Vilvah Lip Nourishing Kit</t>
        </is>
      </c>
      <c r="AC82" s="58" t="inlineStr">
        <is>
          <t>Vilvah Lip Nourishing Kit | Buy Online UK | Swansura</t>
        </is>
      </c>
      <c r="AD82" s="58">
        <f>LEN(AC82)</f>
        <v/>
      </c>
      <c r="AE82" s="58" t="inlineStr">
        <is>
          <t>Buy Vilvah Lip Nourishing Kit online at Swansura, official UK partner of Vilvah. Natural gift set. 100% authentic, shipped from the UK, free delivery over £50.</t>
        </is>
      </c>
      <c r="AF82" s="58">
        <f>LEN(AE82)</f>
        <v/>
      </c>
    </row>
    <row r="83" ht="15" customHeight="1" s="37">
      <c r="A83" s="58" t="inlineStr">
        <is>
          <t>VD-082</t>
        </is>
      </c>
      <c r="B83" s="58" t="inlineStr">
        <is>
          <t>Vilvah &amp; Deyga</t>
        </is>
      </c>
      <c r="C83" s="58" t="n">
        <v>82</v>
      </c>
      <c r="D83" s="58" t="inlineStr">
        <is>
          <t>Deyga</t>
        </is>
      </c>
      <c r="E83" s="58" t="n"/>
      <c r="F83" s="58" t="inlineStr">
        <is>
          <t>Bodycare</t>
        </is>
      </c>
      <c r="G83" s="58" t="inlineStr">
        <is>
          <t>Body Butters</t>
        </is>
      </c>
      <c r="H83" s="58" t="inlineStr">
        <is>
          <t>Dry Skin</t>
        </is>
      </c>
      <c r="I83" s="58" t="inlineStr">
        <is>
          <t>Chocolate Body Butter 100G</t>
        </is>
      </c>
      <c r="J83" s="58" t="inlineStr">
        <is>
          <t>100g</t>
        </is>
      </c>
      <c r="K83" s="58" t="n">
        <v>15.99</v>
      </c>
      <c r="L83" s="58" t="inlineStr">
        <is>
          <t>deyga chocolate body butter</t>
        </is>
      </c>
      <c r="M83" s="58" t="inlineStr">
        <is>
          <t>deyga chocolate body butter uk</t>
        </is>
      </c>
      <c r="N83" s="58" t="inlineStr">
        <is>
          <t>buy deyga chocolate body butter online</t>
        </is>
      </c>
      <c r="O83" s="58" t="inlineStr">
        <is>
          <t>deyga chocolate body butter price</t>
        </is>
      </c>
      <c r="P83" s="58" t="n"/>
      <c r="Q83" s="59">
        <f>IF(L83="","",IFERROR(INDEX('Semrush Data'!$A$1:$Z$20000,MATCH(L83,'Semrush Data'!$A$1:$A$20000,0),MATCH("Volume",'Semrush Data'!$A$1:$Z$1,0)),""))</f>
        <v/>
      </c>
      <c r="R83" s="59">
        <f>IF(M83="","",IFERROR(INDEX('Semrush Data'!$A$1:$Z$20000,MATCH(M83,'Semrush Data'!$A$1:$A$20000,0),MATCH("Volume",'Semrush Data'!$A$1:$Z$1,0)),""))</f>
        <v/>
      </c>
      <c r="S83" s="59">
        <f>IF(N83="","",IFERROR(INDEX('Semrush Data'!$A$1:$Z$20000,MATCH(N83,'Semrush Data'!$A$1:$A$20000,0),MATCH("Volume",'Semrush Data'!$A$1:$Z$1,0)),""))</f>
        <v/>
      </c>
      <c r="T83" s="59">
        <f>IF(O83="","",IFERROR(INDEX('Semrush Data'!$A$1:$Z$20000,MATCH(O83,'Semrush Data'!$A$1:$A$20000,0),MATCH("Volume",'Semrush Data'!$A$1:$Z$1,0)),""))</f>
        <v/>
      </c>
      <c r="U83" s="59">
        <f>IF(P83="","",IFERROR(INDEX('Semrush Data'!$A$1:$Z$20000,MATCH(P83,'Semrush Data'!$A$1:$A$20000,0),MATCH("Volume",'Semrush Data'!$A$1:$Z$1,0)),""))</f>
        <v/>
      </c>
      <c r="V83" s="60">
        <f>IF(COUNT(Q83:U83)=0,L83,IF(MAX(Q83:U83)=0,L83,INDEX(L83:P83,MATCH(MAX(Q83:U83),Q83:U83,0))))</f>
        <v/>
      </c>
      <c r="W83" s="59">
        <f>IFERROR(INDEX('Semrush Data'!$A$1:$Z$20000,MATCH(V83,'Semrush Data'!$A$1:$A$20000,0),MATCH("Volume",'Semrush Data'!$A$1:$Z$1,0)),"")</f>
        <v/>
      </c>
      <c r="X83" s="59">
        <f>IFERROR(INDEX('Semrush Data'!$A$1:$Z$20000,MATCH(V83,'Semrush Data'!$A$1:$A$20000,0),MATCH("Keyword Difficulty*",'Semrush Data'!$A$1:$Z$1,0)),"")</f>
        <v/>
      </c>
      <c r="Y83" s="61">
        <f>IFERROR(INDEX('Semrush Data'!$A$1:$Z$20000,MATCH(V83,'Semrush Data'!$A$1:$A$20000,0),MATCH("CPC*",'Semrush Data'!$A$1:$Z$1,0)),"")</f>
        <v/>
      </c>
      <c r="Z83" s="58" t="inlineStr">
        <is>
          <t>deyga body butter · body butter for dry skin · natural body butter uk</t>
        </is>
      </c>
      <c r="AA83" s="58" t="n"/>
      <c r="AB83" s="58" t="inlineStr">
        <is>
          <t>Deyga Chocolate Body Butter</t>
        </is>
      </c>
      <c r="AC83" s="58" t="inlineStr">
        <is>
          <t>Deyga Chocolate Body Butter | Buy Online UK | Swansura</t>
        </is>
      </c>
      <c r="AD83" s="58">
        <f>LEN(AC83)</f>
        <v/>
      </c>
      <c r="AE83" s="58" t="inlineStr">
        <is>
          <t>Buy Deyga Chocolate Body Butter online at Swansura, official UK partner of Deyga. A natural body butter for dry skin. 100% authentic, free UK delivery over £50.</t>
        </is>
      </c>
      <c r="AF83" s="58">
        <f>LEN(AE83)</f>
        <v/>
      </c>
    </row>
    <row r="84" ht="15" customHeight="1" s="37">
      <c r="A84" s="58" t="inlineStr">
        <is>
          <t>VD-083</t>
        </is>
      </c>
      <c r="B84" s="58" t="inlineStr">
        <is>
          <t>Vilvah &amp; Deyga</t>
        </is>
      </c>
      <c r="C84" s="58" t="n">
        <v>83</v>
      </c>
      <c r="D84" s="58" t="inlineStr">
        <is>
          <t>Deyga</t>
        </is>
      </c>
      <c r="E84" s="58" t="n"/>
      <c r="F84" s="58" t="inlineStr">
        <is>
          <t>Skincare</t>
        </is>
      </c>
      <c r="G84" s="58" t="inlineStr">
        <is>
          <t>Face Masks</t>
        </is>
      </c>
      <c r="H84" s="58" t="inlineStr">
        <is>
          <t>Oily Skin</t>
        </is>
      </c>
      <c r="I84" s="58" t="inlineStr">
        <is>
          <t>Charcoal Detox Face Mask 100G</t>
        </is>
      </c>
      <c r="J84" s="58" t="inlineStr">
        <is>
          <t>100g</t>
        </is>
      </c>
      <c r="K84" s="58" t="n">
        <v>15.99</v>
      </c>
      <c r="L84" s="58" t="inlineStr">
        <is>
          <t>deyga charcoal detox face mask</t>
        </is>
      </c>
      <c r="M84" s="58" t="inlineStr">
        <is>
          <t>deyga charcoal detox face mask uk</t>
        </is>
      </c>
      <c r="N84" s="58" t="inlineStr">
        <is>
          <t>buy deyga charcoal detox face mask online</t>
        </is>
      </c>
      <c r="O84" s="58" t="inlineStr">
        <is>
          <t>deyga charcoal detox face mask price</t>
        </is>
      </c>
      <c r="P84" s="58" t="n"/>
      <c r="Q84" s="59">
        <f>IF(L84="","",IFERROR(INDEX('Semrush Data'!$A$1:$Z$20000,MATCH(L84,'Semrush Data'!$A$1:$A$20000,0),MATCH("Volume",'Semrush Data'!$A$1:$Z$1,0)),""))</f>
        <v/>
      </c>
      <c r="R84" s="59">
        <f>IF(M84="","",IFERROR(INDEX('Semrush Data'!$A$1:$Z$20000,MATCH(M84,'Semrush Data'!$A$1:$A$20000,0),MATCH("Volume",'Semrush Data'!$A$1:$Z$1,0)),""))</f>
        <v/>
      </c>
      <c r="S84" s="59">
        <f>IF(N84="","",IFERROR(INDEX('Semrush Data'!$A$1:$Z$20000,MATCH(N84,'Semrush Data'!$A$1:$A$20000,0),MATCH("Volume",'Semrush Data'!$A$1:$Z$1,0)),""))</f>
        <v/>
      </c>
      <c r="T84" s="59">
        <f>IF(O84="","",IFERROR(INDEX('Semrush Data'!$A$1:$Z$20000,MATCH(O84,'Semrush Data'!$A$1:$A$20000,0),MATCH("Volume",'Semrush Data'!$A$1:$Z$1,0)),""))</f>
        <v/>
      </c>
      <c r="U84" s="59">
        <f>IF(P84="","",IFERROR(INDEX('Semrush Data'!$A$1:$Z$20000,MATCH(P84,'Semrush Data'!$A$1:$A$20000,0),MATCH("Volume",'Semrush Data'!$A$1:$Z$1,0)),""))</f>
        <v/>
      </c>
      <c r="V84" s="60">
        <f>IF(COUNT(Q84:U84)=0,L84,IF(MAX(Q84:U84)=0,L84,INDEX(L84:P84,MATCH(MAX(Q84:U84),Q84:U84,0))))</f>
        <v/>
      </c>
      <c r="W84" s="59">
        <f>IFERROR(INDEX('Semrush Data'!$A$1:$Z$20000,MATCH(V84,'Semrush Data'!$A$1:$A$20000,0),MATCH("Volume",'Semrush Data'!$A$1:$Z$1,0)),"")</f>
        <v/>
      </c>
      <c r="X84" s="59">
        <f>IFERROR(INDEX('Semrush Data'!$A$1:$Z$20000,MATCH(V84,'Semrush Data'!$A$1:$A$20000,0),MATCH("Keyword Difficulty*",'Semrush Data'!$A$1:$Z$1,0)),"")</f>
        <v/>
      </c>
      <c r="Y84" s="61">
        <f>IFERROR(INDEX('Semrush Data'!$A$1:$Z$20000,MATCH(V84,'Semrush Data'!$A$1:$A$20000,0),MATCH("CPC*",'Semrush Data'!$A$1:$Z$1,0)),"")</f>
        <v/>
      </c>
      <c r="Z84" s="58" t="inlineStr">
        <is>
          <t>deyga face mask · face mask for oily skin · natural face mask uk</t>
        </is>
      </c>
      <c r="AA84" s="58" t="n"/>
      <c r="AB84" s="58" t="inlineStr">
        <is>
          <t>Deyga Charcoal Detox Face Mask</t>
        </is>
      </c>
      <c r="AC84" s="58" t="inlineStr">
        <is>
          <t>Deyga Charcoal Detox Face Mask | Buy Online UK | Swansura</t>
        </is>
      </c>
      <c r="AD84" s="58">
        <f>LEN(AC84)</f>
        <v/>
      </c>
      <c r="AE84" s="58" t="inlineStr">
        <is>
          <t>Buy Deyga Charcoal Detox Face Mask online in the UK at Swansura, official UK partner of Deyga. A natural face mask for oily skin. Free UK delivery over £50.</t>
        </is>
      </c>
      <c r="AF84" s="58">
        <f>LEN(AE84)</f>
        <v/>
      </c>
    </row>
    <row r="85" ht="15" customHeight="1" s="37">
      <c r="A85" s="58" t="inlineStr">
        <is>
          <t>VD-084</t>
        </is>
      </c>
      <c r="B85" s="58" t="inlineStr">
        <is>
          <t>Vilvah &amp; Deyga</t>
        </is>
      </c>
      <c r="C85" s="58" t="n">
        <v>84</v>
      </c>
      <c r="D85" s="58" t="inlineStr">
        <is>
          <t>Deyga</t>
        </is>
      </c>
      <c r="E85" s="58" t="n"/>
      <c r="F85" s="58" t="inlineStr">
        <is>
          <t>Bodycare</t>
        </is>
      </c>
      <c r="G85" s="58" t="inlineStr">
        <is>
          <t>Bath &amp; Body Wash</t>
        </is>
      </c>
      <c r="H85" s="58" t="inlineStr">
        <is>
          <t>Body Cleansing</t>
        </is>
      </c>
      <c r="I85" s="58" t="inlineStr">
        <is>
          <t>Activated Charcoal Body Wash 220ML</t>
        </is>
      </c>
      <c r="J85" s="58" t="inlineStr">
        <is>
          <t>220ml</t>
        </is>
      </c>
      <c r="K85" s="58" t="n">
        <v>15.99</v>
      </c>
      <c r="L85" s="58" t="inlineStr">
        <is>
          <t>deyga activated charcoal body wash</t>
        </is>
      </c>
      <c r="M85" s="58" t="inlineStr">
        <is>
          <t>deyga activated charcoal body wash uk</t>
        </is>
      </c>
      <c r="N85" s="58" t="inlineStr">
        <is>
          <t>buy deyga activated charcoal body wash online</t>
        </is>
      </c>
      <c r="O85" s="58" t="inlineStr">
        <is>
          <t>deyga activated charcoal body wash price</t>
        </is>
      </c>
      <c r="P85" s="58" t="n"/>
      <c r="Q85" s="59">
        <f>IF(L85="","",IFERROR(INDEX('Semrush Data'!$A$1:$Z$20000,MATCH(L85,'Semrush Data'!$A$1:$A$20000,0),MATCH("Volume",'Semrush Data'!$A$1:$Z$1,0)),""))</f>
        <v/>
      </c>
      <c r="R85" s="59">
        <f>IF(M85="","",IFERROR(INDEX('Semrush Data'!$A$1:$Z$20000,MATCH(M85,'Semrush Data'!$A$1:$A$20000,0),MATCH("Volume",'Semrush Data'!$A$1:$Z$1,0)),""))</f>
        <v/>
      </c>
      <c r="S85" s="59">
        <f>IF(N85="","",IFERROR(INDEX('Semrush Data'!$A$1:$Z$20000,MATCH(N85,'Semrush Data'!$A$1:$A$20000,0),MATCH("Volume",'Semrush Data'!$A$1:$Z$1,0)),""))</f>
        <v/>
      </c>
      <c r="T85" s="59">
        <f>IF(O85="","",IFERROR(INDEX('Semrush Data'!$A$1:$Z$20000,MATCH(O85,'Semrush Data'!$A$1:$A$20000,0),MATCH("Volume",'Semrush Data'!$A$1:$Z$1,0)),""))</f>
        <v/>
      </c>
      <c r="U85" s="59">
        <f>IF(P85="","",IFERROR(INDEX('Semrush Data'!$A$1:$Z$20000,MATCH(P85,'Semrush Data'!$A$1:$A$20000,0),MATCH("Volume",'Semrush Data'!$A$1:$Z$1,0)),""))</f>
        <v/>
      </c>
      <c r="V85" s="60">
        <f>IF(COUNT(Q85:U85)=0,L85,IF(MAX(Q85:U85)=0,L85,INDEX(L85:P85,MATCH(MAX(Q85:U85),Q85:U85,0))))</f>
        <v/>
      </c>
      <c r="W85" s="59">
        <f>IFERROR(INDEX('Semrush Data'!$A$1:$Z$20000,MATCH(V85,'Semrush Data'!$A$1:$A$20000,0),MATCH("Volume",'Semrush Data'!$A$1:$Z$1,0)),"")</f>
        <v/>
      </c>
      <c r="X85" s="59">
        <f>IFERROR(INDEX('Semrush Data'!$A$1:$Z$20000,MATCH(V85,'Semrush Data'!$A$1:$A$20000,0),MATCH("Keyword Difficulty*",'Semrush Data'!$A$1:$Z$1,0)),"")</f>
        <v/>
      </c>
      <c r="Y85" s="61">
        <f>IFERROR(INDEX('Semrush Data'!$A$1:$Z$20000,MATCH(V85,'Semrush Data'!$A$1:$A$20000,0),MATCH("CPC*",'Semrush Data'!$A$1:$Z$1,0)),"")</f>
        <v/>
      </c>
      <c r="Z85" s="58" t="inlineStr">
        <is>
          <t>deyga body wash · body wash for body cleansing · natural body wash uk</t>
        </is>
      </c>
      <c r="AA85" s="58" t="n"/>
      <c r="AB85" s="58" t="inlineStr">
        <is>
          <t>Deyga Activated Charcoal Body Wash</t>
        </is>
      </c>
      <c r="AC85" s="58" t="inlineStr">
        <is>
          <t>Deyga Activated Charcoal Body Wash | Swansura UK</t>
        </is>
      </c>
      <c r="AD85" s="58">
        <f>LEN(AC85)</f>
        <v/>
      </c>
      <c r="AE85" s="58" t="inlineStr">
        <is>
          <t>Buy Deyga Activated Charcoal Body Wash online in the UK at Swansura, official UK partner of Deyga. Natural body wash. 100% authentic, free UK delivery over £50.</t>
        </is>
      </c>
      <c r="AF85" s="58">
        <f>LEN(AE85)</f>
        <v/>
      </c>
    </row>
    <row r="86" ht="15" customHeight="1" s="37">
      <c r="A86" s="58" t="inlineStr">
        <is>
          <t>VD-085</t>
        </is>
      </c>
      <c r="B86" s="58" t="inlineStr">
        <is>
          <t>Vilvah &amp; Deyga</t>
        </is>
      </c>
      <c r="C86" s="58" t="n">
        <v>85</v>
      </c>
      <c r="D86" s="58" t="inlineStr">
        <is>
          <t>Deyga</t>
        </is>
      </c>
      <c r="E86" s="58" t="n"/>
      <c r="F86" s="58" t="inlineStr">
        <is>
          <t>Bodycare</t>
        </is>
      </c>
      <c r="G86" s="58" t="inlineStr">
        <is>
          <t>Body Scrub &amp; Exfoliators</t>
        </is>
      </c>
      <c r="H86" s="58" t="inlineStr">
        <is>
          <t>Dry Skin</t>
        </is>
      </c>
      <c r="I86" s="58" t="inlineStr">
        <is>
          <t>Body Scrub 100g</t>
        </is>
      </c>
      <c r="J86" s="58" t="inlineStr">
        <is>
          <t>100g</t>
        </is>
      </c>
      <c r="K86" s="58" t="n">
        <v>16.99</v>
      </c>
      <c r="L86" s="58" t="inlineStr">
        <is>
          <t>deyga body scrub</t>
        </is>
      </c>
      <c r="M86" s="58" t="inlineStr">
        <is>
          <t>deyga body scrub uk</t>
        </is>
      </c>
      <c r="N86" s="58" t="inlineStr">
        <is>
          <t>buy deyga body scrub online</t>
        </is>
      </c>
      <c r="O86" s="58" t="inlineStr">
        <is>
          <t>deyga body scrub price</t>
        </is>
      </c>
      <c r="P86" s="58" t="n"/>
      <c r="Q86" s="59">
        <f>IF(L86="","",IFERROR(INDEX('Semrush Data'!$A$1:$Z$20000,MATCH(L86,'Semrush Data'!$A$1:$A$20000,0),MATCH("Volume",'Semrush Data'!$A$1:$Z$1,0)),""))</f>
        <v/>
      </c>
      <c r="R86" s="59">
        <f>IF(M86="","",IFERROR(INDEX('Semrush Data'!$A$1:$Z$20000,MATCH(M86,'Semrush Data'!$A$1:$A$20000,0),MATCH("Volume",'Semrush Data'!$A$1:$Z$1,0)),""))</f>
        <v/>
      </c>
      <c r="S86" s="59">
        <f>IF(N86="","",IFERROR(INDEX('Semrush Data'!$A$1:$Z$20000,MATCH(N86,'Semrush Data'!$A$1:$A$20000,0),MATCH("Volume",'Semrush Data'!$A$1:$Z$1,0)),""))</f>
        <v/>
      </c>
      <c r="T86" s="59">
        <f>IF(O86="","",IFERROR(INDEX('Semrush Data'!$A$1:$Z$20000,MATCH(O86,'Semrush Data'!$A$1:$A$20000,0),MATCH("Volume",'Semrush Data'!$A$1:$Z$1,0)),""))</f>
        <v/>
      </c>
      <c r="U86" s="59">
        <f>IF(P86="","",IFERROR(INDEX('Semrush Data'!$A$1:$Z$20000,MATCH(P86,'Semrush Data'!$A$1:$A$20000,0),MATCH("Volume",'Semrush Data'!$A$1:$Z$1,0)),""))</f>
        <v/>
      </c>
      <c r="V86" s="60">
        <f>IF(COUNT(Q86:U86)=0,L86,IF(MAX(Q86:U86)=0,L86,INDEX(L86:P86,MATCH(MAX(Q86:U86),Q86:U86,0))))</f>
        <v/>
      </c>
      <c r="W86" s="59">
        <f>IFERROR(INDEX('Semrush Data'!$A$1:$Z$20000,MATCH(V86,'Semrush Data'!$A$1:$A$20000,0),MATCH("Volume",'Semrush Data'!$A$1:$Z$1,0)),"")</f>
        <v/>
      </c>
      <c r="X86" s="59">
        <f>IFERROR(INDEX('Semrush Data'!$A$1:$Z$20000,MATCH(V86,'Semrush Data'!$A$1:$A$20000,0),MATCH("Keyword Difficulty*",'Semrush Data'!$A$1:$Z$1,0)),"")</f>
        <v/>
      </c>
      <c r="Y86" s="61">
        <f>IFERROR(INDEX('Semrush Data'!$A$1:$Z$20000,MATCH(V86,'Semrush Data'!$A$1:$A$20000,0),MATCH("CPC*",'Semrush Data'!$A$1:$Z$1,0)),"")</f>
        <v/>
      </c>
      <c r="Z86" s="58" t="inlineStr">
        <is>
          <t>deyga body scrub · body scrub for dry skin · natural body scrub uk</t>
        </is>
      </c>
      <c r="AA86" s="58" t="inlineStr">
        <is>
          <t>deyga body wash · deyga body wash review · deyga body wash ingredients · how to use deyga body scrub</t>
        </is>
      </c>
      <c r="AB86" s="58" t="inlineStr">
        <is>
          <t>Deyga Body Scrub</t>
        </is>
      </c>
      <c r="AC86" s="58" t="inlineStr">
        <is>
          <t>Deyga Body Scrub | Official UK Partner | Swansura</t>
        </is>
      </c>
      <c r="AD86" s="58">
        <f>LEN(AC86)</f>
        <v/>
      </c>
      <c r="AE86" s="58" t="inlineStr">
        <is>
          <t>Buy Deyga Body Scrub online in the UK at Swansura, official UK partner of Deyga. A natural body scrub for dry skin. 100% authentic, free UK delivery over £50.</t>
        </is>
      </c>
      <c r="AF86" s="58">
        <f>LEN(AE86)</f>
        <v/>
      </c>
    </row>
    <row r="87" ht="15" customHeight="1" s="37">
      <c r="A87" s="58" t="inlineStr">
        <is>
          <t>VD-086</t>
        </is>
      </c>
      <c r="B87" s="58" t="inlineStr">
        <is>
          <t>Vilvah &amp; Deyga</t>
        </is>
      </c>
      <c r="C87" s="58" t="n">
        <v>86</v>
      </c>
      <c r="D87" s="58" t="inlineStr">
        <is>
          <t>Deyga</t>
        </is>
      </c>
      <c r="E87" s="58" t="n"/>
      <c r="F87" s="58" t="inlineStr">
        <is>
          <t>Skincare</t>
        </is>
      </c>
      <c r="G87" s="58" t="inlineStr">
        <is>
          <t>Moisturisers</t>
        </is>
      </c>
      <c r="H87" s="58" t="inlineStr">
        <is>
          <t>Dry Skin</t>
        </is>
      </c>
      <c r="I87" s="58" t="inlineStr">
        <is>
          <t>Deep Moisturising Face Cream 30G</t>
        </is>
      </c>
      <c r="J87" s="58" t="inlineStr">
        <is>
          <t>30g</t>
        </is>
      </c>
      <c r="K87" s="58" t="n">
        <v>18.99</v>
      </c>
      <c r="L87" s="58" t="inlineStr">
        <is>
          <t>deyga deep moisturising face cream</t>
        </is>
      </c>
      <c r="M87" s="58" t="inlineStr">
        <is>
          <t>deyga deep moisturising face cream uk</t>
        </is>
      </c>
      <c r="N87" s="58" t="inlineStr">
        <is>
          <t>buy deyga deep moisturising face cream online</t>
        </is>
      </c>
      <c r="O87" s="58" t="inlineStr">
        <is>
          <t>deyga deep moisturising face cream price</t>
        </is>
      </c>
      <c r="P87" s="58" t="n"/>
      <c r="Q87" s="59">
        <f>IF(L87="","",IFERROR(INDEX('Semrush Data'!$A$1:$Z$20000,MATCH(L87,'Semrush Data'!$A$1:$A$20000,0),MATCH("Volume",'Semrush Data'!$A$1:$Z$1,0)),""))</f>
        <v/>
      </c>
      <c r="R87" s="59">
        <f>IF(M87="","",IFERROR(INDEX('Semrush Data'!$A$1:$Z$20000,MATCH(M87,'Semrush Data'!$A$1:$A$20000,0),MATCH("Volume",'Semrush Data'!$A$1:$Z$1,0)),""))</f>
        <v/>
      </c>
      <c r="S87" s="59">
        <f>IF(N87="","",IFERROR(INDEX('Semrush Data'!$A$1:$Z$20000,MATCH(N87,'Semrush Data'!$A$1:$A$20000,0),MATCH("Volume",'Semrush Data'!$A$1:$Z$1,0)),""))</f>
        <v/>
      </c>
      <c r="T87" s="59">
        <f>IF(O87="","",IFERROR(INDEX('Semrush Data'!$A$1:$Z$20000,MATCH(O87,'Semrush Data'!$A$1:$A$20000,0),MATCH("Volume",'Semrush Data'!$A$1:$Z$1,0)),""))</f>
        <v/>
      </c>
      <c r="U87" s="59">
        <f>IF(P87="","",IFERROR(INDEX('Semrush Data'!$A$1:$Z$20000,MATCH(P87,'Semrush Data'!$A$1:$A$20000,0),MATCH("Volume",'Semrush Data'!$A$1:$Z$1,0)),""))</f>
        <v/>
      </c>
      <c r="V87" s="60">
        <f>IF(COUNT(Q87:U87)=0,L87,IF(MAX(Q87:U87)=0,L87,INDEX(L87:P87,MATCH(MAX(Q87:U87),Q87:U87,0))))</f>
        <v/>
      </c>
      <c r="W87" s="59">
        <f>IFERROR(INDEX('Semrush Data'!$A$1:$Z$20000,MATCH(V87,'Semrush Data'!$A$1:$A$20000,0),MATCH("Volume",'Semrush Data'!$A$1:$Z$1,0)),"")</f>
        <v/>
      </c>
      <c r="X87" s="59">
        <f>IFERROR(INDEX('Semrush Data'!$A$1:$Z$20000,MATCH(V87,'Semrush Data'!$A$1:$A$20000,0),MATCH("Keyword Difficulty*",'Semrush Data'!$A$1:$Z$1,0)),"")</f>
        <v/>
      </c>
      <c r="Y87" s="61">
        <f>IFERROR(INDEX('Semrush Data'!$A$1:$Z$20000,MATCH(V87,'Semrush Data'!$A$1:$A$20000,0),MATCH("CPC*",'Semrush Data'!$A$1:$Z$1,0)),"")</f>
        <v/>
      </c>
      <c r="Z87" s="58" t="inlineStr">
        <is>
          <t>deyga moisturiser · moisturiser for dry skin · natural moisturiser uk</t>
        </is>
      </c>
      <c r="AA87" s="58" t="n"/>
      <c r="AB87" s="58" t="inlineStr">
        <is>
          <t>Deyga Deep Moisturising Face Cream</t>
        </is>
      </c>
      <c r="AC87" s="58" t="inlineStr">
        <is>
          <t>Deyga Deep Moisturising Face Cream | Swansura UK</t>
        </is>
      </c>
      <c r="AD87" s="58">
        <f>LEN(AC87)</f>
        <v/>
      </c>
      <c r="AE87" s="58" t="inlineStr">
        <is>
          <t>Buy Deyga Deep Moisturising Face Cream online in the UK at Swansura, official UK partner of Deyga. 100% authentic, shipped from the UK, free delivery over £50.</t>
        </is>
      </c>
      <c r="AF87" s="58">
        <f>LEN(AE87)</f>
        <v/>
      </c>
    </row>
    <row r="88" ht="15" customHeight="1" s="37">
      <c r="A88" s="58" t="inlineStr">
        <is>
          <t>VD-087</t>
        </is>
      </c>
      <c r="B88" s="58" t="inlineStr">
        <is>
          <t>Vilvah &amp; Deyga</t>
        </is>
      </c>
      <c r="C88" s="58" t="n">
        <v>87</v>
      </c>
      <c r="D88" s="58" t="inlineStr">
        <is>
          <t>Deyga</t>
        </is>
      </c>
      <c r="E88" s="58" t="n"/>
      <c r="F88" s="58" t="inlineStr">
        <is>
          <t>Skincare</t>
        </is>
      </c>
      <c r="G88" s="58" t="inlineStr">
        <is>
          <t>Serums</t>
        </is>
      </c>
      <c r="H88" s="58" t="inlineStr">
        <is>
          <t>Dull Skin</t>
        </is>
      </c>
      <c r="I88" s="58" t="inlineStr">
        <is>
          <t>2% Hyaluronic Acid Serum 20ML</t>
        </is>
      </c>
      <c r="J88" s="58" t="inlineStr">
        <is>
          <t>20ml</t>
        </is>
      </c>
      <c r="K88" s="58" t="n">
        <v>22.99</v>
      </c>
      <c r="L88" s="58" t="inlineStr">
        <is>
          <t>deyga 2% hyaluronic acid serum</t>
        </is>
      </c>
      <c r="M88" s="58" t="inlineStr">
        <is>
          <t>deyga 2% hyaluronic acid serum uk</t>
        </is>
      </c>
      <c r="N88" s="58" t="inlineStr">
        <is>
          <t>buy deyga 2% hyaluronic acid serum online</t>
        </is>
      </c>
      <c r="O88" s="58" t="inlineStr">
        <is>
          <t>deyga 2% hyaluronic acid serum price</t>
        </is>
      </c>
      <c r="P88" s="58" t="n"/>
      <c r="Q88" s="59">
        <f>IF(L88="","",IFERROR(INDEX('Semrush Data'!$A$1:$Z$20000,MATCH(L88,'Semrush Data'!$A$1:$A$20000,0),MATCH("Volume",'Semrush Data'!$A$1:$Z$1,0)),""))</f>
        <v/>
      </c>
      <c r="R88" s="59">
        <f>IF(M88="","",IFERROR(INDEX('Semrush Data'!$A$1:$Z$20000,MATCH(M88,'Semrush Data'!$A$1:$A$20000,0),MATCH("Volume",'Semrush Data'!$A$1:$Z$1,0)),""))</f>
        <v/>
      </c>
      <c r="S88" s="59">
        <f>IF(N88="","",IFERROR(INDEX('Semrush Data'!$A$1:$Z$20000,MATCH(N88,'Semrush Data'!$A$1:$A$20000,0),MATCH("Volume",'Semrush Data'!$A$1:$Z$1,0)),""))</f>
        <v/>
      </c>
      <c r="T88" s="59">
        <f>IF(O88="","",IFERROR(INDEX('Semrush Data'!$A$1:$Z$20000,MATCH(O88,'Semrush Data'!$A$1:$A$20000,0),MATCH("Volume",'Semrush Data'!$A$1:$Z$1,0)),""))</f>
        <v/>
      </c>
      <c r="U88" s="59">
        <f>IF(P88="","",IFERROR(INDEX('Semrush Data'!$A$1:$Z$20000,MATCH(P88,'Semrush Data'!$A$1:$A$20000,0),MATCH("Volume",'Semrush Data'!$A$1:$Z$1,0)),""))</f>
        <v/>
      </c>
      <c r="V88" s="60">
        <f>IF(COUNT(Q88:U88)=0,L88,IF(MAX(Q88:U88)=0,L88,INDEX(L88:P88,MATCH(MAX(Q88:U88),Q88:U88,0))))</f>
        <v/>
      </c>
      <c r="W88" s="59">
        <f>IFERROR(INDEX('Semrush Data'!$A$1:$Z$20000,MATCH(V88,'Semrush Data'!$A$1:$A$20000,0),MATCH("Volume",'Semrush Data'!$A$1:$Z$1,0)),"")</f>
        <v/>
      </c>
      <c r="X88" s="59">
        <f>IFERROR(INDEX('Semrush Data'!$A$1:$Z$20000,MATCH(V88,'Semrush Data'!$A$1:$A$20000,0),MATCH("Keyword Difficulty*",'Semrush Data'!$A$1:$Z$1,0)),"")</f>
        <v/>
      </c>
      <c r="Y88" s="61">
        <f>IFERROR(INDEX('Semrush Data'!$A$1:$Z$20000,MATCH(V88,'Semrush Data'!$A$1:$A$20000,0),MATCH("CPC*",'Semrush Data'!$A$1:$Z$1,0)),"")</f>
        <v/>
      </c>
      <c r="Z88" s="58" t="inlineStr">
        <is>
          <t>deyga face serum · face serum for dull skin · natural face serum uk</t>
        </is>
      </c>
      <c r="AA88" s="58" t="n"/>
      <c r="AB88" s="58" t="inlineStr">
        <is>
          <t>Deyga 2% Hyaluronic Acid Serum</t>
        </is>
      </c>
      <c r="AC88" s="58" t="inlineStr">
        <is>
          <t>Deyga 2% Hyaluronic Acid Serum | Buy Online UK | Swansura</t>
        </is>
      </c>
      <c r="AD88" s="58">
        <f>LEN(AC88)</f>
        <v/>
      </c>
      <c r="AE88" s="58" t="inlineStr">
        <is>
          <t>Buy Deyga 2% Hyaluronic Acid Serum online at Swansura, official UK partner of Deyga. Natural serum. 100% authentic, shipped from the UK, free delivery over £50.</t>
        </is>
      </c>
      <c r="AF88" s="58">
        <f>LEN(AE88)</f>
        <v/>
      </c>
    </row>
    <row r="89" ht="15" customHeight="1" s="37">
      <c r="A89" s="58" t="inlineStr">
        <is>
          <t>VD-088</t>
        </is>
      </c>
      <c r="B89" s="58" t="inlineStr">
        <is>
          <t>Vilvah &amp; Deyga</t>
        </is>
      </c>
      <c r="C89" s="58" t="n">
        <v>88</v>
      </c>
      <c r="D89" s="58" t="inlineStr">
        <is>
          <t>Deyga</t>
        </is>
      </c>
      <c r="E89" s="58" t="n"/>
      <c r="F89" s="58" t="inlineStr">
        <is>
          <t>Skincare</t>
        </is>
      </c>
      <c r="G89" s="58" t="inlineStr">
        <is>
          <t>Skincare Treatments</t>
        </is>
      </c>
      <c r="H89" s="58" t="inlineStr">
        <is>
          <t>Skin Nourishment</t>
        </is>
      </c>
      <c r="I89" s="58" t="inlineStr">
        <is>
          <t>Orange &amp; Almond Face Pack Powder 100G</t>
        </is>
      </c>
      <c r="J89" s="58" t="inlineStr">
        <is>
          <t>100g</t>
        </is>
      </c>
      <c r="K89" s="58" t="n">
        <v>19.99</v>
      </c>
      <c r="L89" s="58" t="inlineStr">
        <is>
          <t>deyga orange &amp; almond face pack powder</t>
        </is>
      </c>
      <c r="M89" s="58" t="inlineStr">
        <is>
          <t>deyga orange &amp; almond face pack powder uk</t>
        </is>
      </c>
      <c r="N89" s="58" t="inlineStr">
        <is>
          <t>buy deyga orange &amp; almond face pack powder online</t>
        </is>
      </c>
      <c r="O89" s="58" t="inlineStr">
        <is>
          <t>deyga orange &amp; almond face pack powder price</t>
        </is>
      </c>
      <c r="P89" s="58" t="n"/>
      <c r="Q89" s="59">
        <f>IF(L89="","",IFERROR(INDEX('Semrush Data'!$A$1:$Z$20000,MATCH(L89,'Semrush Data'!$A$1:$A$20000,0),MATCH("Volume",'Semrush Data'!$A$1:$Z$1,0)),""))</f>
        <v/>
      </c>
      <c r="R89" s="59">
        <f>IF(M89="","",IFERROR(INDEX('Semrush Data'!$A$1:$Z$20000,MATCH(M89,'Semrush Data'!$A$1:$A$20000,0),MATCH("Volume",'Semrush Data'!$A$1:$Z$1,0)),""))</f>
        <v/>
      </c>
      <c r="S89" s="59">
        <f>IF(N89="","",IFERROR(INDEX('Semrush Data'!$A$1:$Z$20000,MATCH(N89,'Semrush Data'!$A$1:$A$20000,0),MATCH("Volume",'Semrush Data'!$A$1:$Z$1,0)),""))</f>
        <v/>
      </c>
      <c r="T89" s="59">
        <f>IF(O89="","",IFERROR(INDEX('Semrush Data'!$A$1:$Z$20000,MATCH(O89,'Semrush Data'!$A$1:$A$20000,0),MATCH("Volume",'Semrush Data'!$A$1:$Z$1,0)),""))</f>
        <v/>
      </c>
      <c r="U89" s="59">
        <f>IF(P89="","",IFERROR(INDEX('Semrush Data'!$A$1:$Z$20000,MATCH(P89,'Semrush Data'!$A$1:$A$20000,0),MATCH("Volume",'Semrush Data'!$A$1:$Z$1,0)),""))</f>
        <v/>
      </c>
      <c r="V89" s="60">
        <f>IF(COUNT(Q89:U89)=0,L89,IF(MAX(Q89:U89)=0,L89,INDEX(L89:P89,MATCH(MAX(Q89:U89),Q89:U89,0))))</f>
        <v/>
      </c>
      <c r="W89" s="59">
        <f>IFERROR(INDEX('Semrush Data'!$A$1:$Z$20000,MATCH(V89,'Semrush Data'!$A$1:$A$20000,0),MATCH("Volume",'Semrush Data'!$A$1:$Z$1,0)),"")</f>
        <v/>
      </c>
      <c r="X89" s="59">
        <f>IFERROR(INDEX('Semrush Data'!$A$1:$Z$20000,MATCH(V89,'Semrush Data'!$A$1:$A$20000,0),MATCH("Keyword Difficulty*",'Semrush Data'!$A$1:$Z$1,0)),"")</f>
        <v/>
      </c>
      <c r="Y89" s="61">
        <f>IFERROR(INDEX('Semrush Data'!$A$1:$Z$20000,MATCH(V89,'Semrush Data'!$A$1:$A$20000,0),MATCH("CPC*",'Semrush Data'!$A$1:$Z$1,0)),"")</f>
        <v/>
      </c>
      <c r="Z89" s="58" t="inlineStr">
        <is>
          <t>deyga skincare · skincare for skin nourishment · natural skincare uk</t>
        </is>
      </c>
      <c r="AA89" s="58" t="n"/>
      <c r="AB89" s="58" t="inlineStr">
        <is>
          <t>Deyga Orange &amp; Almond Face Pack Powder</t>
        </is>
      </c>
      <c r="AC89" s="58" t="inlineStr">
        <is>
          <t>Deyga Orange &amp; Almond Face Pack Powder | Swansura UK</t>
        </is>
      </c>
      <c r="AD89" s="58">
        <f>LEN(AC89)</f>
        <v/>
      </c>
      <c r="AE89" s="58" t="inlineStr">
        <is>
          <t>Buy Deyga Orange &amp; Almond Face Pack Powder online in the UK at Swansura, official UK partner of Deyga. Natural skincare treatment. Free UK delivery over £50.</t>
        </is>
      </c>
      <c r="AF89" s="58">
        <f>LEN(AE89)</f>
        <v/>
      </c>
    </row>
    <row r="90" ht="15" customHeight="1" s="37">
      <c r="A90" s="58" t="inlineStr">
        <is>
          <t>VD-089</t>
        </is>
      </c>
      <c r="B90" s="58" t="inlineStr">
        <is>
          <t>Vilvah &amp; Deyga</t>
        </is>
      </c>
      <c r="C90" s="58" t="n">
        <v>89</v>
      </c>
      <c r="D90" s="58" t="inlineStr">
        <is>
          <t>Deyga</t>
        </is>
      </c>
      <c r="E90" s="58" t="n"/>
      <c r="F90" s="58" t="inlineStr">
        <is>
          <t>Haircare</t>
        </is>
      </c>
      <c r="G90" s="58" t="inlineStr">
        <is>
          <t>Hair Oil</t>
        </is>
      </c>
      <c r="H90" s="58" t="inlineStr">
        <is>
          <t>Dry Hair</t>
        </is>
      </c>
      <c r="I90" s="58" t="inlineStr">
        <is>
          <t>Premature Greying Hair Oil 100ML</t>
        </is>
      </c>
      <c r="J90" s="58" t="inlineStr">
        <is>
          <t>100ml</t>
        </is>
      </c>
      <c r="K90" s="58" t="n">
        <v>18.99</v>
      </c>
      <c r="L90" s="58" t="inlineStr">
        <is>
          <t>deyga premature greying hair oil</t>
        </is>
      </c>
      <c r="M90" s="58" t="inlineStr">
        <is>
          <t>deyga premature greying hair oil uk</t>
        </is>
      </c>
      <c r="N90" s="58" t="inlineStr">
        <is>
          <t>buy deyga premature greying hair oil online</t>
        </is>
      </c>
      <c r="O90" s="58" t="inlineStr">
        <is>
          <t>deyga premature greying hair oil price</t>
        </is>
      </c>
      <c r="P90" s="58" t="n"/>
      <c r="Q90" s="59">
        <f>IF(L90="","",IFERROR(INDEX('Semrush Data'!$A$1:$Z$20000,MATCH(L90,'Semrush Data'!$A$1:$A$20000,0),MATCH("Volume",'Semrush Data'!$A$1:$Z$1,0)),""))</f>
        <v/>
      </c>
      <c r="R90" s="59">
        <f>IF(M90="","",IFERROR(INDEX('Semrush Data'!$A$1:$Z$20000,MATCH(M90,'Semrush Data'!$A$1:$A$20000,0),MATCH("Volume",'Semrush Data'!$A$1:$Z$1,0)),""))</f>
        <v/>
      </c>
      <c r="S90" s="59">
        <f>IF(N90="","",IFERROR(INDEX('Semrush Data'!$A$1:$Z$20000,MATCH(N90,'Semrush Data'!$A$1:$A$20000,0),MATCH("Volume",'Semrush Data'!$A$1:$Z$1,0)),""))</f>
        <v/>
      </c>
      <c r="T90" s="59">
        <f>IF(O90="","",IFERROR(INDEX('Semrush Data'!$A$1:$Z$20000,MATCH(O90,'Semrush Data'!$A$1:$A$20000,0),MATCH("Volume",'Semrush Data'!$A$1:$Z$1,0)),""))</f>
        <v/>
      </c>
      <c r="U90" s="59">
        <f>IF(P90="","",IFERROR(INDEX('Semrush Data'!$A$1:$Z$20000,MATCH(P90,'Semrush Data'!$A$1:$A$20000,0),MATCH("Volume",'Semrush Data'!$A$1:$Z$1,0)),""))</f>
        <v/>
      </c>
      <c r="V90" s="60">
        <f>IF(COUNT(Q90:U90)=0,L90,IF(MAX(Q90:U90)=0,L90,INDEX(L90:P90,MATCH(MAX(Q90:U90),Q90:U90,0))))</f>
        <v/>
      </c>
      <c r="W90" s="59">
        <f>IFERROR(INDEX('Semrush Data'!$A$1:$Z$20000,MATCH(V90,'Semrush Data'!$A$1:$A$20000,0),MATCH("Volume",'Semrush Data'!$A$1:$Z$1,0)),"")</f>
        <v/>
      </c>
      <c r="X90" s="59">
        <f>IFERROR(INDEX('Semrush Data'!$A$1:$Z$20000,MATCH(V90,'Semrush Data'!$A$1:$A$20000,0),MATCH("Keyword Difficulty*",'Semrush Data'!$A$1:$Z$1,0)),"")</f>
        <v/>
      </c>
      <c r="Y90" s="61">
        <f>IFERROR(INDEX('Semrush Data'!$A$1:$Z$20000,MATCH(V90,'Semrush Data'!$A$1:$A$20000,0),MATCH("CPC*",'Semrush Data'!$A$1:$Z$1,0)),"")</f>
        <v/>
      </c>
      <c r="Z90" s="58" t="inlineStr">
        <is>
          <t>deyga hair oil · hair oil for dry hair · natural hair oil uk</t>
        </is>
      </c>
      <c r="AA90" s="58" t="n"/>
      <c r="AB90" s="58" t="inlineStr">
        <is>
          <t>Deyga Premature Greying Hair Oil</t>
        </is>
      </c>
      <c r="AC90" s="58" t="inlineStr">
        <is>
          <t>Deyga Premature Greying Hair Oil | Buy Online UK | Swansura</t>
        </is>
      </c>
      <c r="AD90" s="58">
        <f>LEN(AC90)</f>
        <v/>
      </c>
      <c r="AE90" s="58" t="inlineStr">
        <is>
          <t>Buy Deyga Premature Greying Hair Oil online in the UK at Swansura, official UK partner of Deyga. 100% authentic, shipped from the UK, free delivery over £50.</t>
        </is>
      </c>
      <c r="AF90" s="58">
        <f>LEN(AE90)</f>
        <v/>
      </c>
    </row>
    <row r="91" ht="15" customHeight="1" s="37">
      <c r="A91" s="58" t="inlineStr">
        <is>
          <t>VD-090</t>
        </is>
      </c>
      <c r="B91" s="58" t="inlineStr">
        <is>
          <t>Vilvah &amp; Deyga</t>
        </is>
      </c>
      <c r="C91" s="58" t="n">
        <v>90</v>
      </c>
      <c r="D91" s="58" t="inlineStr">
        <is>
          <t>Deyga</t>
        </is>
      </c>
      <c r="E91" s="58" t="n"/>
      <c r="F91" s="58" t="inlineStr">
        <is>
          <t>Haircare</t>
        </is>
      </c>
      <c r="G91" s="58" t="inlineStr">
        <is>
          <t>Hair Oil</t>
        </is>
      </c>
      <c r="H91" s="58" t="inlineStr">
        <is>
          <t>Anti-Dandruff</t>
        </is>
      </c>
      <c r="I91" s="58" t="inlineStr">
        <is>
          <t>Anti-dandruff Oil</t>
        </is>
      </c>
      <c r="J91" s="58" t="inlineStr">
        <is>
          <t>100ml</t>
        </is>
      </c>
      <c r="K91" s="58" t="n"/>
      <c r="L91" s="58" t="inlineStr">
        <is>
          <t>deyga anti-dandruff oil</t>
        </is>
      </c>
      <c r="M91" s="58" t="inlineStr">
        <is>
          <t>deyga anti-dandruff oil uk</t>
        </is>
      </c>
      <c r="N91" s="58" t="inlineStr">
        <is>
          <t>buy deyga anti-dandruff oil online</t>
        </is>
      </c>
      <c r="O91" s="58" t="inlineStr">
        <is>
          <t>deyga anti-dandruff oil price</t>
        </is>
      </c>
      <c r="P91" s="58" t="n"/>
      <c r="Q91" s="59">
        <f>IF(L91="","",IFERROR(INDEX('Semrush Data'!$A$1:$Z$20000,MATCH(L91,'Semrush Data'!$A$1:$A$20000,0),MATCH("Volume",'Semrush Data'!$A$1:$Z$1,0)),""))</f>
        <v/>
      </c>
      <c r="R91" s="59">
        <f>IF(M91="","",IFERROR(INDEX('Semrush Data'!$A$1:$Z$20000,MATCH(M91,'Semrush Data'!$A$1:$A$20000,0),MATCH("Volume",'Semrush Data'!$A$1:$Z$1,0)),""))</f>
        <v/>
      </c>
      <c r="S91" s="59">
        <f>IF(N91="","",IFERROR(INDEX('Semrush Data'!$A$1:$Z$20000,MATCH(N91,'Semrush Data'!$A$1:$A$20000,0),MATCH("Volume",'Semrush Data'!$A$1:$Z$1,0)),""))</f>
        <v/>
      </c>
      <c r="T91" s="59">
        <f>IF(O91="","",IFERROR(INDEX('Semrush Data'!$A$1:$Z$20000,MATCH(O91,'Semrush Data'!$A$1:$A$20000,0),MATCH("Volume",'Semrush Data'!$A$1:$Z$1,0)),""))</f>
        <v/>
      </c>
      <c r="U91" s="59">
        <f>IF(P91="","",IFERROR(INDEX('Semrush Data'!$A$1:$Z$20000,MATCH(P91,'Semrush Data'!$A$1:$A$20000,0),MATCH("Volume",'Semrush Data'!$A$1:$Z$1,0)),""))</f>
        <v/>
      </c>
      <c r="V91" s="60">
        <f>IF(COUNT(Q91:U91)=0,L91,IF(MAX(Q91:U91)=0,L91,INDEX(L91:P91,MATCH(MAX(Q91:U91),Q91:U91,0))))</f>
        <v/>
      </c>
      <c r="W91" s="59">
        <f>IFERROR(INDEX('Semrush Data'!$A$1:$Z$20000,MATCH(V91,'Semrush Data'!$A$1:$A$20000,0),MATCH("Volume",'Semrush Data'!$A$1:$Z$1,0)),"")</f>
        <v/>
      </c>
      <c r="X91" s="59">
        <f>IFERROR(INDEX('Semrush Data'!$A$1:$Z$20000,MATCH(V91,'Semrush Data'!$A$1:$A$20000,0),MATCH("Keyword Difficulty*",'Semrush Data'!$A$1:$Z$1,0)),"")</f>
        <v/>
      </c>
      <c r="Y91" s="61">
        <f>IFERROR(INDEX('Semrush Data'!$A$1:$Z$20000,MATCH(V91,'Semrush Data'!$A$1:$A$20000,0),MATCH("CPC*",'Semrush Data'!$A$1:$Z$1,0)),"")</f>
        <v/>
      </c>
      <c r="Z91" s="58" t="inlineStr">
        <is>
          <t>deyga hair oil · hair oil for dandruff · natural hair oil uk</t>
        </is>
      </c>
      <c r="AA91" s="58" t="inlineStr">
        <is>
          <t>deyga anti dandruff oil · deyga anti dandruff oil review</t>
        </is>
      </c>
      <c r="AB91" s="58" t="inlineStr">
        <is>
          <t>Deyga Anti-dandruff Oil</t>
        </is>
      </c>
      <c r="AC91" s="58" t="inlineStr">
        <is>
          <t>Deyga Anti-dandruff Oil | Buy Online UK | Swansura</t>
        </is>
      </c>
      <c r="AD91" s="58">
        <f>LEN(AC91)</f>
        <v/>
      </c>
      <c r="AE91" s="58" t="inlineStr">
        <is>
          <t>Buy Deyga Anti-dandruff Oil online in the UK at Swansura, official UK partner of Deyga. A natural hair oil for a flake-free scalp. Free UK delivery over £50.</t>
        </is>
      </c>
      <c r="AF91" s="58">
        <f>LEN(AE91)</f>
        <v/>
      </c>
    </row>
    <row r="92" ht="15" customHeight="1" s="37">
      <c r="A92" s="58" t="inlineStr">
        <is>
          <t>VD-091</t>
        </is>
      </c>
      <c r="B92" s="58" t="inlineStr">
        <is>
          <t>Vilvah &amp; Deyga</t>
        </is>
      </c>
      <c r="C92" s="58" t="n">
        <v>91</v>
      </c>
      <c r="D92" s="58" t="inlineStr">
        <is>
          <t>Deyga</t>
        </is>
      </c>
      <c r="E92" s="58" t="n"/>
      <c r="F92" s="58" t="inlineStr">
        <is>
          <t>Bodycare</t>
        </is>
      </c>
      <c r="G92" s="58" t="inlineStr">
        <is>
          <t>Body Butters</t>
        </is>
      </c>
      <c r="H92" s="58" t="inlineStr">
        <is>
          <t>Dry Skin</t>
        </is>
      </c>
      <c r="I92" s="58" t="inlineStr">
        <is>
          <t>Rose &amp; Geranium Body Butter 40G</t>
        </is>
      </c>
      <c r="J92" s="58" t="inlineStr">
        <is>
          <t>40g</t>
        </is>
      </c>
      <c r="K92" s="58" t="n">
        <v>15.99</v>
      </c>
      <c r="L92" s="58" t="inlineStr">
        <is>
          <t>deyga rose &amp; geranium body butter</t>
        </is>
      </c>
      <c r="M92" s="58" t="inlineStr">
        <is>
          <t>deyga rose &amp; geranium body butter uk</t>
        </is>
      </c>
      <c r="N92" s="58" t="inlineStr">
        <is>
          <t>buy deyga rose &amp; geranium body butter online</t>
        </is>
      </c>
      <c r="O92" s="58" t="inlineStr">
        <is>
          <t>deyga rose &amp; geranium body butter price</t>
        </is>
      </c>
      <c r="P92" s="58" t="n"/>
      <c r="Q92" s="59">
        <f>IF(L92="","",IFERROR(INDEX('Semrush Data'!$A$1:$Z$20000,MATCH(L92,'Semrush Data'!$A$1:$A$20000,0),MATCH("Volume",'Semrush Data'!$A$1:$Z$1,0)),""))</f>
        <v/>
      </c>
      <c r="R92" s="59">
        <f>IF(M92="","",IFERROR(INDEX('Semrush Data'!$A$1:$Z$20000,MATCH(M92,'Semrush Data'!$A$1:$A$20000,0),MATCH("Volume",'Semrush Data'!$A$1:$Z$1,0)),""))</f>
        <v/>
      </c>
      <c r="S92" s="59">
        <f>IF(N92="","",IFERROR(INDEX('Semrush Data'!$A$1:$Z$20000,MATCH(N92,'Semrush Data'!$A$1:$A$20000,0),MATCH("Volume",'Semrush Data'!$A$1:$Z$1,0)),""))</f>
        <v/>
      </c>
      <c r="T92" s="59">
        <f>IF(O92="","",IFERROR(INDEX('Semrush Data'!$A$1:$Z$20000,MATCH(O92,'Semrush Data'!$A$1:$A$20000,0),MATCH("Volume",'Semrush Data'!$A$1:$Z$1,0)),""))</f>
        <v/>
      </c>
      <c r="U92" s="59">
        <f>IF(P92="","",IFERROR(INDEX('Semrush Data'!$A$1:$Z$20000,MATCH(P92,'Semrush Data'!$A$1:$A$20000,0),MATCH("Volume",'Semrush Data'!$A$1:$Z$1,0)),""))</f>
        <v/>
      </c>
      <c r="V92" s="60">
        <f>IF(COUNT(Q92:U92)=0,L92,IF(MAX(Q92:U92)=0,L92,INDEX(L92:P92,MATCH(MAX(Q92:U92),Q92:U92,0))))</f>
        <v/>
      </c>
      <c r="W92" s="59">
        <f>IFERROR(INDEX('Semrush Data'!$A$1:$Z$20000,MATCH(V92,'Semrush Data'!$A$1:$A$20000,0),MATCH("Volume",'Semrush Data'!$A$1:$Z$1,0)),"")</f>
        <v/>
      </c>
      <c r="X92" s="59">
        <f>IFERROR(INDEX('Semrush Data'!$A$1:$Z$20000,MATCH(V92,'Semrush Data'!$A$1:$A$20000,0),MATCH("Keyword Difficulty*",'Semrush Data'!$A$1:$Z$1,0)),"")</f>
        <v/>
      </c>
      <c r="Y92" s="61">
        <f>IFERROR(INDEX('Semrush Data'!$A$1:$Z$20000,MATCH(V92,'Semrush Data'!$A$1:$A$20000,0),MATCH("CPC*",'Semrush Data'!$A$1:$Z$1,0)),"")</f>
        <v/>
      </c>
      <c r="Z92" s="58" t="inlineStr">
        <is>
          <t>deyga body butter · body butter for dry skin · natural body butter uk</t>
        </is>
      </c>
      <c r="AA92" s="58" t="n"/>
      <c r="AB92" s="58" t="inlineStr">
        <is>
          <t>Deyga Rose &amp; Geranium Body Butter</t>
        </is>
      </c>
      <c r="AC92" s="58" t="inlineStr">
        <is>
          <t>Deyga Rose &amp; Geranium Body Butter | Buy Online UK | Swansura</t>
        </is>
      </c>
      <c r="AD92" s="58">
        <f>LEN(AC92)</f>
        <v/>
      </c>
      <c r="AE92" s="58" t="inlineStr">
        <is>
          <t>Buy Deyga Rose &amp; Geranium Body Butter online in the UK at Swansura, official UK partner of Deyga. A natural body butter for dry skin. Free UK delivery over £50.</t>
        </is>
      </c>
      <c r="AF92" s="58">
        <f>LEN(AE92)</f>
        <v/>
      </c>
    </row>
    <row r="93" ht="15" customHeight="1" s="37">
      <c r="A93" s="58" t="inlineStr">
        <is>
          <t>VD-092</t>
        </is>
      </c>
      <c r="B93" s="58" t="inlineStr">
        <is>
          <t>Vilvah &amp; Deyga</t>
        </is>
      </c>
      <c r="C93" s="58" t="n">
        <v>92</v>
      </c>
      <c r="D93" s="58" t="inlineStr">
        <is>
          <t>Deyga</t>
        </is>
      </c>
      <c r="E93" s="58" t="n"/>
      <c r="F93" s="58" t="inlineStr">
        <is>
          <t>Skincare</t>
        </is>
      </c>
      <c r="G93" s="58" t="inlineStr">
        <is>
          <t>Serums</t>
        </is>
      </c>
      <c r="H93" s="58" t="inlineStr">
        <is>
          <t>Dull Skin</t>
        </is>
      </c>
      <c r="I93" s="58" t="inlineStr">
        <is>
          <t>Rose Glow Serum 30ml</t>
        </is>
      </c>
      <c r="J93" s="58" t="inlineStr">
        <is>
          <t>30ml</t>
        </is>
      </c>
      <c r="K93" s="58" t="n">
        <v>17.99</v>
      </c>
      <c r="L93" s="58" t="inlineStr">
        <is>
          <t>deyga rose glow serum</t>
        </is>
      </c>
      <c r="M93" s="58" t="inlineStr">
        <is>
          <t>deyga rose glow serum uk</t>
        </is>
      </c>
      <c r="N93" s="58" t="inlineStr">
        <is>
          <t>buy deyga rose glow serum online</t>
        </is>
      </c>
      <c r="O93" s="58" t="inlineStr">
        <is>
          <t>deyga rose glow serum price</t>
        </is>
      </c>
      <c r="P93" s="58" t="n"/>
      <c r="Q93" s="59">
        <f>IF(L93="","",IFERROR(INDEX('Semrush Data'!$A$1:$Z$20000,MATCH(L93,'Semrush Data'!$A$1:$A$20000,0),MATCH("Volume",'Semrush Data'!$A$1:$Z$1,0)),""))</f>
        <v/>
      </c>
      <c r="R93" s="59">
        <f>IF(M93="","",IFERROR(INDEX('Semrush Data'!$A$1:$Z$20000,MATCH(M93,'Semrush Data'!$A$1:$A$20000,0),MATCH("Volume",'Semrush Data'!$A$1:$Z$1,0)),""))</f>
        <v/>
      </c>
      <c r="S93" s="59">
        <f>IF(N93="","",IFERROR(INDEX('Semrush Data'!$A$1:$Z$20000,MATCH(N93,'Semrush Data'!$A$1:$A$20000,0),MATCH("Volume",'Semrush Data'!$A$1:$Z$1,0)),""))</f>
        <v/>
      </c>
      <c r="T93" s="59">
        <f>IF(O93="","",IFERROR(INDEX('Semrush Data'!$A$1:$Z$20000,MATCH(O93,'Semrush Data'!$A$1:$A$20000,0),MATCH("Volume",'Semrush Data'!$A$1:$Z$1,0)),""))</f>
        <v/>
      </c>
      <c r="U93" s="59">
        <f>IF(P93="","",IFERROR(INDEX('Semrush Data'!$A$1:$Z$20000,MATCH(P93,'Semrush Data'!$A$1:$A$20000,0),MATCH("Volume",'Semrush Data'!$A$1:$Z$1,0)),""))</f>
        <v/>
      </c>
      <c r="V93" s="60">
        <f>IF(COUNT(Q93:U93)=0,L93,IF(MAX(Q93:U93)=0,L93,INDEX(L93:P93,MATCH(MAX(Q93:U93),Q93:U93,0))))</f>
        <v/>
      </c>
      <c r="W93" s="59">
        <f>IFERROR(INDEX('Semrush Data'!$A$1:$Z$20000,MATCH(V93,'Semrush Data'!$A$1:$A$20000,0),MATCH("Volume",'Semrush Data'!$A$1:$Z$1,0)),"")</f>
        <v/>
      </c>
      <c r="X93" s="59">
        <f>IFERROR(INDEX('Semrush Data'!$A$1:$Z$20000,MATCH(V93,'Semrush Data'!$A$1:$A$20000,0),MATCH("Keyword Difficulty*",'Semrush Data'!$A$1:$Z$1,0)),"")</f>
        <v/>
      </c>
      <c r="Y93" s="61">
        <f>IFERROR(INDEX('Semrush Data'!$A$1:$Z$20000,MATCH(V93,'Semrush Data'!$A$1:$A$20000,0),MATCH("CPC*",'Semrush Data'!$A$1:$Z$1,0)),"")</f>
        <v/>
      </c>
      <c r="Z93" s="58" t="inlineStr">
        <is>
          <t>deyga face serum · face serum for dull skin · natural face serum uk</t>
        </is>
      </c>
      <c r="AA93" s="58" t="inlineStr">
        <is>
          <t>deyga rose glow serum review</t>
        </is>
      </c>
      <c r="AB93" s="58" t="inlineStr">
        <is>
          <t>Deyga Rose Glow Serum</t>
        </is>
      </c>
      <c r="AC93" s="58" t="inlineStr">
        <is>
          <t>Deyga Rose Glow Serum 30ml | Buy Online UK | Swansura</t>
        </is>
      </c>
      <c r="AD93" s="58">
        <f>LEN(AC93)</f>
        <v/>
      </c>
      <c r="AE93" s="58" t="inlineStr">
        <is>
          <t>Buy Deyga Rose Glow Serum online in the UK at Swansura, official UK partner of Deyga. A natural serum for dull skin. 100% authentic, free UK delivery over £50.</t>
        </is>
      </c>
      <c r="AF93" s="58">
        <f>LEN(AE93)</f>
        <v/>
      </c>
    </row>
    <row r="94" ht="15" customHeight="1" s="37">
      <c r="A94" s="58" t="inlineStr">
        <is>
          <t>VD-093</t>
        </is>
      </c>
      <c r="B94" s="58" t="inlineStr">
        <is>
          <t>Vilvah &amp; Deyga</t>
        </is>
      </c>
      <c r="C94" s="58" t="n">
        <v>93</v>
      </c>
      <c r="D94" s="58" t="inlineStr">
        <is>
          <t>Deyga</t>
        </is>
      </c>
      <c r="E94" s="58" t="n"/>
      <c r="F94" s="58" t="inlineStr">
        <is>
          <t>Skincare</t>
        </is>
      </c>
      <c r="G94" s="58" t="inlineStr">
        <is>
          <t>Moisturisers</t>
        </is>
      </c>
      <c r="H94" s="58" t="inlineStr">
        <is>
          <t>Dry Skin</t>
        </is>
      </c>
      <c r="I94" s="58" t="inlineStr">
        <is>
          <t>Light Moisturising Face Cream 30G</t>
        </is>
      </c>
      <c r="J94" s="58" t="inlineStr">
        <is>
          <t>30g</t>
        </is>
      </c>
      <c r="K94" s="58" t="n">
        <v>18.99</v>
      </c>
      <c r="L94" s="58" t="inlineStr">
        <is>
          <t>deyga light moisturising face cream</t>
        </is>
      </c>
      <c r="M94" s="58" t="inlineStr">
        <is>
          <t>deyga light moisturising face cream uk</t>
        </is>
      </c>
      <c r="N94" s="58" t="inlineStr">
        <is>
          <t>buy deyga light moisturising face cream online</t>
        </is>
      </c>
      <c r="O94" s="58" t="inlineStr">
        <is>
          <t>deyga light moisturising face cream price</t>
        </is>
      </c>
      <c r="P94" s="58" t="n"/>
      <c r="Q94" s="59">
        <f>IF(L94="","",IFERROR(INDEX('Semrush Data'!$A$1:$Z$20000,MATCH(L94,'Semrush Data'!$A$1:$A$20000,0),MATCH("Volume",'Semrush Data'!$A$1:$Z$1,0)),""))</f>
        <v/>
      </c>
      <c r="R94" s="59">
        <f>IF(M94="","",IFERROR(INDEX('Semrush Data'!$A$1:$Z$20000,MATCH(M94,'Semrush Data'!$A$1:$A$20000,0),MATCH("Volume",'Semrush Data'!$A$1:$Z$1,0)),""))</f>
        <v/>
      </c>
      <c r="S94" s="59">
        <f>IF(N94="","",IFERROR(INDEX('Semrush Data'!$A$1:$Z$20000,MATCH(N94,'Semrush Data'!$A$1:$A$20000,0),MATCH("Volume",'Semrush Data'!$A$1:$Z$1,0)),""))</f>
        <v/>
      </c>
      <c r="T94" s="59">
        <f>IF(O94="","",IFERROR(INDEX('Semrush Data'!$A$1:$Z$20000,MATCH(O94,'Semrush Data'!$A$1:$A$20000,0),MATCH("Volume",'Semrush Data'!$A$1:$Z$1,0)),""))</f>
        <v/>
      </c>
      <c r="U94" s="59">
        <f>IF(P94="","",IFERROR(INDEX('Semrush Data'!$A$1:$Z$20000,MATCH(P94,'Semrush Data'!$A$1:$A$20000,0),MATCH("Volume",'Semrush Data'!$A$1:$Z$1,0)),""))</f>
        <v/>
      </c>
      <c r="V94" s="60">
        <f>IF(COUNT(Q94:U94)=0,L94,IF(MAX(Q94:U94)=0,L94,INDEX(L94:P94,MATCH(MAX(Q94:U94),Q94:U94,0))))</f>
        <v/>
      </c>
      <c r="W94" s="59">
        <f>IFERROR(INDEX('Semrush Data'!$A$1:$Z$20000,MATCH(V94,'Semrush Data'!$A$1:$A$20000,0),MATCH("Volume",'Semrush Data'!$A$1:$Z$1,0)),"")</f>
        <v/>
      </c>
      <c r="X94" s="59">
        <f>IFERROR(INDEX('Semrush Data'!$A$1:$Z$20000,MATCH(V94,'Semrush Data'!$A$1:$A$20000,0),MATCH("Keyword Difficulty*",'Semrush Data'!$A$1:$Z$1,0)),"")</f>
        <v/>
      </c>
      <c r="Y94" s="61">
        <f>IFERROR(INDEX('Semrush Data'!$A$1:$Z$20000,MATCH(V94,'Semrush Data'!$A$1:$A$20000,0),MATCH("CPC*",'Semrush Data'!$A$1:$Z$1,0)),"")</f>
        <v/>
      </c>
      <c r="Z94" s="58" t="inlineStr">
        <is>
          <t>deyga moisturiser · moisturiser for dry skin · natural moisturiser uk</t>
        </is>
      </c>
      <c r="AA94" s="58" t="n"/>
      <c r="AB94" s="58" t="inlineStr">
        <is>
          <t>Deyga Light Moisturising Face Cream</t>
        </is>
      </c>
      <c r="AC94" s="58" t="inlineStr">
        <is>
          <t>Deyga Light Moisturising Face Cream | Swansura UK</t>
        </is>
      </c>
      <c r="AD94" s="58">
        <f>LEN(AC94)</f>
        <v/>
      </c>
      <c r="AE94" s="58" t="inlineStr">
        <is>
          <t>Buy Deyga Light Moisturising Face Cream online in the UK at Swansura, official UK partner of Deyga. 100% authentic, shipped from the UK, free delivery over £50.</t>
        </is>
      </c>
      <c r="AF94" s="58">
        <f>LEN(AE94)</f>
        <v/>
      </c>
    </row>
    <row r="95" ht="15" customHeight="1" s="37">
      <c r="A95" s="58" t="inlineStr">
        <is>
          <t>VD-094</t>
        </is>
      </c>
      <c r="B95" s="58" t="inlineStr">
        <is>
          <t>Vilvah &amp; Deyga</t>
        </is>
      </c>
      <c r="C95" s="58" t="n">
        <v>94</v>
      </c>
      <c r="D95" s="58" t="inlineStr">
        <is>
          <t>Deyga</t>
        </is>
      </c>
      <c r="E95" s="58" t="n"/>
      <c r="F95" s="58" t="inlineStr">
        <is>
          <t>Bodycare</t>
        </is>
      </c>
      <c r="G95" s="58" t="inlineStr">
        <is>
          <t>Body Care</t>
        </is>
      </c>
      <c r="H95" s="58" t="inlineStr">
        <is>
          <t>Dry Skin</t>
        </is>
      </c>
      <c r="I95" s="58" t="inlineStr">
        <is>
          <t>Foot Soak Powder 160G</t>
        </is>
      </c>
      <c r="J95" s="58" t="inlineStr">
        <is>
          <t>160g</t>
        </is>
      </c>
      <c r="K95" s="58" t="n">
        <v>16.99</v>
      </c>
      <c r="L95" s="58" t="inlineStr">
        <is>
          <t>deyga foot soak powder</t>
        </is>
      </c>
      <c r="M95" s="58" t="inlineStr">
        <is>
          <t>deyga foot soak powder uk</t>
        </is>
      </c>
      <c r="N95" s="58" t="inlineStr">
        <is>
          <t>buy deyga foot soak powder online</t>
        </is>
      </c>
      <c r="O95" s="58" t="inlineStr">
        <is>
          <t>deyga foot soak powder price</t>
        </is>
      </c>
      <c r="P95" s="58" t="n"/>
      <c r="Q95" s="59">
        <f>IF(L95="","",IFERROR(INDEX('Semrush Data'!$A$1:$Z$20000,MATCH(L95,'Semrush Data'!$A$1:$A$20000,0),MATCH("Volume",'Semrush Data'!$A$1:$Z$1,0)),""))</f>
        <v/>
      </c>
      <c r="R95" s="59">
        <f>IF(M95="","",IFERROR(INDEX('Semrush Data'!$A$1:$Z$20000,MATCH(M95,'Semrush Data'!$A$1:$A$20000,0),MATCH("Volume",'Semrush Data'!$A$1:$Z$1,0)),""))</f>
        <v/>
      </c>
      <c r="S95" s="59">
        <f>IF(N95="","",IFERROR(INDEX('Semrush Data'!$A$1:$Z$20000,MATCH(N95,'Semrush Data'!$A$1:$A$20000,0),MATCH("Volume",'Semrush Data'!$A$1:$Z$1,0)),""))</f>
        <v/>
      </c>
      <c r="T95" s="59">
        <f>IF(O95="","",IFERROR(INDEX('Semrush Data'!$A$1:$Z$20000,MATCH(O95,'Semrush Data'!$A$1:$A$20000,0),MATCH("Volume",'Semrush Data'!$A$1:$Z$1,0)),""))</f>
        <v/>
      </c>
      <c r="U95" s="59">
        <f>IF(P95="","",IFERROR(INDEX('Semrush Data'!$A$1:$Z$20000,MATCH(P95,'Semrush Data'!$A$1:$A$20000,0),MATCH("Volume",'Semrush Data'!$A$1:$Z$1,0)),""))</f>
        <v/>
      </c>
      <c r="V95" s="60">
        <f>IF(COUNT(Q95:U95)=0,L95,IF(MAX(Q95:U95)=0,L95,INDEX(L95:P95,MATCH(MAX(Q95:U95),Q95:U95,0))))</f>
        <v/>
      </c>
      <c r="W95" s="59">
        <f>IFERROR(INDEX('Semrush Data'!$A$1:$Z$20000,MATCH(V95,'Semrush Data'!$A$1:$A$20000,0),MATCH("Volume",'Semrush Data'!$A$1:$Z$1,0)),"")</f>
        <v/>
      </c>
      <c r="X95" s="59">
        <f>IFERROR(INDEX('Semrush Data'!$A$1:$Z$20000,MATCH(V95,'Semrush Data'!$A$1:$A$20000,0),MATCH("Keyword Difficulty*",'Semrush Data'!$A$1:$Z$1,0)),"")</f>
        <v/>
      </c>
      <c r="Y95" s="61">
        <f>IFERROR(INDEX('Semrush Data'!$A$1:$Z$20000,MATCH(V95,'Semrush Data'!$A$1:$A$20000,0),MATCH("CPC*",'Semrush Data'!$A$1:$Z$1,0)),"")</f>
        <v/>
      </c>
      <c r="Z95" s="58" t="inlineStr">
        <is>
          <t>deyga body care · body care for dry skin · natural body care uk</t>
        </is>
      </c>
      <c r="AA95" s="58" t="n"/>
      <c r="AB95" s="58" t="inlineStr">
        <is>
          <t>Deyga Foot Soak Powder</t>
        </is>
      </c>
      <c r="AC95" s="58" t="inlineStr">
        <is>
          <t>Deyga Foot Soak Powder 160g | Buy Online UK | Swansura</t>
        </is>
      </c>
      <c r="AD95" s="58">
        <f>LEN(AC95)</f>
        <v/>
      </c>
      <c r="AE95" s="58" t="inlineStr">
        <is>
          <t>Buy Deyga Foot Soak Powder online at Swansura, official UK partner of Deyga. Natural body care. 100% authentic, shipped from the UK, free delivery over £50.</t>
        </is>
      </c>
      <c r="AF95" s="58">
        <f>LEN(AE95)</f>
        <v/>
      </c>
    </row>
    <row r="96" ht="15" customHeight="1" s="37">
      <c r="A96" s="58" t="inlineStr">
        <is>
          <t>VD-095</t>
        </is>
      </c>
      <c r="B96" s="58" t="inlineStr">
        <is>
          <t>Vilvah &amp; Deyga</t>
        </is>
      </c>
      <c r="C96" s="58" t="n">
        <v>95</v>
      </c>
      <c r="D96" s="58" t="inlineStr">
        <is>
          <t>Deyga</t>
        </is>
      </c>
      <c r="E96" s="58" t="n"/>
      <c r="F96" s="58" t="inlineStr">
        <is>
          <t>Skincare</t>
        </is>
      </c>
      <c r="G96" s="58" t="inlineStr">
        <is>
          <t>Cleansers</t>
        </is>
      </c>
      <c r="H96" s="58" t="inlineStr">
        <is>
          <t>Skin Nourishment</t>
        </is>
      </c>
      <c r="I96" s="58" t="inlineStr">
        <is>
          <t>Vitamin C Foaming Face Wash 100ML</t>
        </is>
      </c>
      <c r="J96" s="58" t="inlineStr">
        <is>
          <t>100ml</t>
        </is>
      </c>
      <c r="K96" s="58" t="n">
        <v>15.99</v>
      </c>
      <c r="L96" s="58" t="inlineStr">
        <is>
          <t>deyga vitamin c foaming face wash</t>
        </is>
      </c>
      <c r="M96" s="58" t="inlineStr">
        <is>
          <t>deyga vitamin c foaming face wash uk</t>
        </is>
      </c>
      <c r="N96" s="58" t="inlineStr">
        <is>
          <t>buy deyga vitamin c foaming face wash online</t>
        </is>
      </c>
      <c r="O96" s="58" t="inlineStr">
        <is>
          <t>deyga vitamin c foaming face wash price</t>
        </is>
      </c>
      <c r="P96" s="58" t="n"/>
      <c r="Q96" s="59">
        <f>IF(L96="","",IFERROR(INDEX('Semrush Data'!$A$1:$Z$20000,MATCH(L96,'Semrush Data'!$A$1:$A$20000,0),MATCH("Volume",'Semrush Data'!$A$1:$Z$1,0)),""))</f>
        <v/>
      </c>
      <c r="R96" s="59">
        <f>IF(M96="","",IFERROR(INDEX('Semrush Data'!$A$1:$Z$20000,MATCH(M96,'Semrush Data'!$A$1:$A$20000,0),MATCH("Volume",'Semrush Data'!$A$1:$Z$1,0)),""))</f>
        <v/>
      </c>
      <c r="S96" s="59">
        <f>IF(N96="","",IFERROR(INDEX('Semrush Data'!$A$1:$Z$20000,MATCH(N96,'Semrush Data'!$A$1:$A$20000,0),MATCH("Volume",'Semrush Data'!$A$1:$Z$1,0)),""))</f>
        <v/>
      </c>
      <c r="T96" s="59">
        <f>IF(O96="","",IFERROR(INDEX('Semrush Data'!$A$1:$Z$20000,MATCH(O96,'Semrush Data'!$A$1:$A$20000,0),MATCH("Volume",'Semrush Data'!$A$1:$Z$1,0)),""))</f>
        <v/>
      </c>
      <c r="U96" s="59">
        <f>IF(P96="","",IFERROR(INDEX('Semrush Data'!$A$1:$Z$20000,MATCH(P96,'Semrush Data'!$A$1:$A$20000,0),MATCH("Volume",'Semrush Data'!$A$1:$Z$1,0)),""))</f>
        <v/>
      </c>
      <c r="V96" s="60">
        <f>IF(COUNT(Q96:U96)=0,L96,IF(MAX(Q96:U96)=0,L96,INDEX(L96:P96,MATCH(MAX(Q96:U96),Q96:U96,0))))</f>
        <v/>
      </c>
      <c r="W96" s="59">
        <f>IFERROR(INDEX('Semrush Data'!$A$1:$Z$20000,MATCH(V96,'Semrush Data'!$A$1:$A$20000,0),MATCH("Volume",'Semrush Data'!$A$1:$Z$1,0)),"")</f>
        <v/>
      </c>
      <c r="X96" s="59">
        <f>IFERROR(INDEX('Semrush Data'!$A$1:$Z$20000,MATCH(V96,'Semrush Data'!$A$1:$A$20000,0),MATCH("Keyword Difficulty*",'Semrush Data'!$A$1:$Z$1,0)),"")</f>
        <v/>
      </c>
      <c r="Y96" s="61">
        <f>IFERROR(INDEX('Semrush Data'!$A$1:$Z$20000,MATCH(V96,'Semrush Data'!$A$1:$A$20000,0),MATCH("CPC*",'Semrush Data'!$A$1:$Z$1,0)),"")</f>
        <v/>
      </c>
      <c r="Z96" s="58" t="inlineStr">
        <is>
          <t>deyga face wash · face wash for skin nourishment · natural face wash uk</t>
        </is>
      </c>
      <c r="AA96" s="58" t="inlineStr">
        <is>
          <t>deyga vitamin c foaming face wash review</t>
        </is>
      </c>
      <c r="AB96" s="58" t="inlineStr">
        <is>
          <t>Deyga Vitamin C Foaming Face Wash</t>
        </is>
      </c>
      <c r="AC96" s="58" t="inlineStr">
        <is>
          <t>Deyga Vitamin C Foaming Face Wash | Buy Online UK | Swansura</t>
        </is>
      </c>
      <c r="AD96" s="58">
        <f>LEN(AC96)</f>
        <v/>
      </c>
      <c r="AE96" s="58" t="inlineStr">
        <is>
          <t>Buy Deyga Vitamin C Foaming Face Wash online in the UK at Swansura, official UK partner of Deyga. Natural face wash. 100% authentic, free UK delivery over £50.</t>
        </is>
      </c>
      <c r="AF96" s="58">
        <f>LEN(AE96)</f>
        <v/>
      </c>
    </row>
    <row r="97" ht="15" customHeight="1" s="37">
      <c r="A97" s="58" t="inlineStr">
        <is>
          <t>VD-096</t>
        </is>
      </c>
      <c r="B97" s="58" t="inlineStr">
        <is>
          <t>Vilvah &amp; Deyga</t>
        </is>
      </c>
      <c r="C97" s="58" t="n">
        <v>96</v>
      </c>
      <c r="D97" s="58" t="inlineStr">
        <is>
          <t>Deyga</t>
        </is>
      </c>
      <c r="E97" s="58" t="n"/>
      <c r="F97" s="58" t="inlineStr">
        <is>
          <t>Bodycare</t>
        </is>
      </c>
      <c r="G97" s="58" t="inlineStr">
        <is>
          <t>Bath &amp; Body Wash</t>
        </is>
      </c>
      <c r="H97" s="58" t="inlineStr">
        <is>
          <t>Body Cleansing</t>
        </is>
      </c>
      <c r="I97" s="58" t="inlineStr">
        <is>
          <t>Wild Berry Body Wash 220ml</t>
        </is>
      </c>
      <c r="J97" s="58" t="inlineStr">
        <is>
          <t>220ml</t>
        </is>
      </c>
      <c r="K97" s="58" t="n">
        <v>16.99</v>
      </c>
      <c r="L97" s="58" t="inlineStr">
        <is>
          <t>deyga wild berry body wash</t>
        </is>
      </c>
      <c r="M97" s="58" t="inlineStr">
        <is>
          <t>deyga wild berry body wash uk</t>
        </is>
      </c>
      <c r="N97" s="58" t="inlineStr">
        <is>
          <t>buy deyga wild berry body wash online</t>
        </is>
      </c>
      <c r="O97" s="58" t="inlineStr">
        <is>
          <t>deyga wild berry body wash price</t>
        </is>
      </c>
      <c r="P97" s="58" t="n"/>
      <c r="Q97" s="59">
        <f>IF(L97="","",IFERROR(INDEX('Semrush Data'!$A$1:$Z$20000,MATCH(L97,'Semrush Data'!$A$1:$A$20000,0),MATCH("Volume",'Semrush Data'!$A$1:$Z$1,0)),""))</f>
        <v/>
      </c>
      <c r="R97" s="59">
        <f>IF(M97="","",IFERROR(INDEX('Semrush Data'!$A$1:$Z$20000,MATCH(M97,'Semrush Data'!$A$1:$A$20000,0),MATCH("Volume",'Semrush Data'!$A$1:$Z$1,0)),""))</f>
        <v/>
      </c>
      <c r="S97" s="59">
        <f>IF(N97="","",IFERROR(INDEX('Semrush Data'!$A$1:$Z$20000,MATCH(N97,'Semrush Data'!$A$1:$A$20000,0),MATCH("Volume",'Semrush Data'!$A$1:$Z$1,0)),""))</f>
        <v/>
      </c>
      <c r="T97" s="59">
        <f>IF(O97="","",IFERROR(INDEX('Semrush Data'!$A$1:$Z$20000,MATCH(O97,'Semrush Data'!$A$1:$A$20000,0),MATCH("Volume",'Semrush Data'!$A$1:$Z$1,0)),""))</f>
        <v/>
      </c>
      <c r="U97" s="59">
        <f>IF(P97="","",IFERROR(INDEX('Semrush Data'!$A$1:$Z$20000,MATCH(P97,'Semrush Data'!$A$1:$A$20000,0),MATCH("Volume",'Semrush Data'!$A$1:$Z$1,0)),""))</f>
        <v/>
      </c>
      <c r="V97" s="60">
        <f>IF(COUNT(Q97:U97)=0,L97,IF(MAX(Q97:U97)=0,L97,INDEX(L97:P97,MATCH(MAX(Q97:U97),Q97:U97,0))))</f>
        <v/>
      </c>
      <c r="W97" s="59">
        <f>IFERROR(INDEX('Semrush Data'!$A$1:$Z$20000,MATCH(V97,'Semrush Data'!$A$1:$A$20000,0),MATCH("Volume",'Semrush Data'!$A$1:$Z$1,0)),"")</f>
        <v/>
      </c>
      <c r="X97" s="59">
        <f>IFERROR(INDEX('Semrush Data'!$A$1:$Z$20000,MATCH(V97,'Semrush Data'!$A$1:$A$20000,0),MATCH("Keyword Difficulty*",'Semrush Data'!$A$1:$Z$1,0)),"")</f>
        <v/>
      </c>
      <c r="Y97" s="61">
        <f>IFERROR(INDEX('Semrush Data'!$A$1:$Z$20000,MATCH(V97,'Semrush Data'!$A$1:$A$20000,0),MATCH("CPC*",'Semrush Data'!$A$1:$Z$1,0)),"")</f>
        <v/>
      </c>
      <c r="Z97" s="58" t="inlineStr">
        <is>
          <t>deyga body wash · body wash for body cleansing · natural body wash uk</t>
        </is>
      </c>
      <c r="AA97" s="58" t="inlineStr">
        <is>
          <t>deyga wild berry body wash review</t>
        </is>
      </c>
      <c r="AB97" s="58" t="inlineStr">
        <is>
          <t>Deyga Wild Berry Body Wash</t>
        </is>
      </c>
      <c r="AC97" s="58" t="inlineStr">
        <is>
          <t>Deyga Wild Berry Body Wash | Buy Online UK | Swansura</t>
        </is>
      </c>
      <c r="AD97" s="58">
        <f>LEN(AC97)</f>
        <v/>
      </c>
      <c r="AE97" s="58" t="inlineStr">
        <is>
          <t>Buy Deyga Wild Berry Body Wash online at Swansura, official UK partner of Deyga. Natural body wash. 100% authentic, shipped from the UK, free delivery over £50.</t>
        </is>
      </c>
      <c r="AF97" s="58">
        <f>LEN(AE97)</f>
        <v/>
      </c>
    </row>
    <row r="98" ht="15" customHeight="1" s="37">
      <c r="A98" s="58" t="inlineStr">
        <is>
          <t>VD-097</t>
        </is>
      </c>
      <c r="B98" s="58" t="inlineStr">
        <is>
          <t>Vilvah &amp; Deyga</t>
        </is>
      </c>
      <c r="C98" s="58" t="n">
        <v>97</v>
      </c>
      <c r="D98" s="58" t="inlineStr">
        <is>
          <t>Deyga</t>
        </is>
      </c>
      <c r="E98" s="58" t="n"/>
      <c r="F98" s="58" t="inlineStr">
        <is>
          <t>Bodycare</t>
        </is>
      </c>
      <c r="G98" s="58" t="inlineStr">
        <is>
          <t>Body Oil</t>
        </is>
      </c>
      <c r="H98" s="58" t="inlineStr">
        <is>
          <t>Body Hydration</t>
        </is>
      </c>
      <c r="I98" s="58" t="inlineStr">
        <is>
          <t>Neem Seed Oil 30ML</t>
        </is>
      </c>
      <c r="J98" s="58" t="inlineStr">
        <is>
          <t>30ml</t>
        </is>
      </c>
      <c r="K98" s="58" t="n">
        <v>14.99</v>
      </c>
      <c r="L98" s="58" t="inlineStr">
        <is>
          <t>deyga neem seed oil</t>
        </is>
      </c>
      <c r="M98" s="58" t="inlineStr">
        <is>
          <t>deyga neem seed oil uk</t>
        </is>
      </c>
      <c r="N98" s="58" t="inlineStr">
        <is>
          <t>buy deyga neem seed oil online</t>
        </is>
      </c>
      <c r="O98" s="58" t="inlineStr">
        <is>
          <t>deyga neem seed oil price</t>
        </is>
      </c>
      <c r="P98" s="58" t="n"/>
      <c r="Q98" s="59">
        <f>IF(L98="","",IFERROR(INDEX('Semrush Data'!$A$1:$Z$20000,MATCH(L98,'Semrush Data'!$A$1:$A$20000,0),MATCH("Volume",'Semrush Data'!$A$1:$Z$1,0)),""))</f>
        <v/>
      </c>
      <c r="R98" s="59">
        <f>IF(M98="","",IFERROR(INDEX('Semrush Data'!$A$1:$Z$20000,MATCH(M98,'Semrush Data'!$A$1:$A$20000,0),MATCH("Volume",'Semrush Data'!$A$1:$Z$1,0)),""))</f>
        <v/>
      </c>
      <c r="S98" s="59">
        <f>IF(N98="","",IFERROR(INDEX('Semrush Data'!$A$1:$Z$20000,MATCH(N98,'Semrush Data'!$A$1:$A$20000,0),MATCH("Volume",'Semrush Data'!$A$1:$Z$1,0)),""))</f>
        <v/>
      </c>
      <c r="T98" s="59">
        <f>IF(O98="","",IFERROR(INDEX('Semrush Data'!$A$1:$Z$20000,MATCH(O98,'Semrush Data'!$A$1:$A$20000,0),MATCH("Volume",'Semrush Data'!$A$1:$Z$1,0)),""))</f>
        <v/>
      </c>
      <c r="U98" s="59">
        <f>IF(P98="","",IFERROR(INDEX('Semrush Data'!$A$1:$Z$20000,MATCH(P98,'Semrush Data'!$A$1:$A$20000,0),MATCH("Volume",'Semrush Data'!$A$1:$Z$1,0)),""))</f>
        <v/>
      </c>
      <c r="V98" s="60">
        <f>IF(COUNT(Q98:U98)=0,L98,IF(MAX(Q98:U98)=0,L98,INDEX(L98:P98,MATCH(MAX(Q98:U98),Q98:U98,0))))</f>
        <v/>
      </c>
      <c r="W98" s="59">
        <f>IFERROR(INDEX('Semrush Data'!$A$1:$Z$20000,MATCH(V98,'Semrush Data'!$A$1:$A$20000,0),MATCH("Volume",'Semrush Data'!$A$1:$Z$1,0)),"")</f>
        <v/>
      </c>
      <c r="X98" s="59">
        <f>IFERROR(INDEX('Semrush Data'!$A$1:$Z$20000,MATCH(V98,'Semrush Data'!$A$1:$A$20000,0),MATCH("Keyword Difficulty*",'Semrush Data'!$A$1:$Z$1,0)),"")</f>
        <v/>
      </c>
      <c r="Y98" s="61">
        <f>IFERROR(INDEX('Semrush Data'!$A$1:$Z$20000,MATCH(V98,'Semrush Data'!$A$1:$A$20000,0),MATCH("CPC*",'Semrush Data'!$A$1:$Z$1,0)),"")</f>
        <v/>
      </c>
      <c r="Z98" s="58" t="inlineStr">
        <is>
          <t>deyga body oil · body oil for body hydration · natural body oil uk</t>
        </is>
      </c>
      <c r="AA98" s="58" t="inlineStr">
        <is>
          <t>deyga neem seed oil review</t>
        </is>
      </c>
      <c r="AB98" s="58" t="inlineStr">
        <is>
          <t>Deyga Neem Seed Oil</t>
        </is>
      </c>
      <c r="AC98" s="58" t="inlineStr">
        <is>
          <t>Deyga Neem Seed Oil 30ml | Buy Online UK | Swansura</t>
        </is>
      </c>
      <c r="AD98" s="58">
        <f>LEN(AC98)</f>
        <v/>
      </c>
      <c r="AE98" s="58" t="inlineStr">
        <is>
          <t>Buy Deyga Neem Seed Oil online at Swansura, official UK partner of Deyga. A natural body oil for soft, hydrated skin. 100% authentic, free UK delivery over £50.</t>
        </is>
      </c>
      <c r="AF98" s="58">
        <f>LEN(AE98)</f>
        <v/>
      </c>
    </row>
    <row r="99" ht="15" customHeight="1" s="37">
      <c r="A99" s="58" t="inlineStr">
        <is>
          <t>VD-098</t>
        </is>
      </c>
      <c r="B99" s="58" t="inlineStr">
        <is>
          <t>Vilvah &amp; Deyga</t>
        </is>
      </c>
      <c r="C99" s="58" t="n">
        <v>98</v>
      </c>
      <c r="D99" s="58" t="inlineStr">
        <is>
          <t>Deyga</t>
        </is>
      </c>
      <c r="E99" s="58" t="n"/>
      <c r="F99" s="58" t="inlineStr">
        <is>
          <t>Skincare</t>
        </is>
      </c>
      <c r="G99" s="58" t="inlineStr">
        <is>
          <t>Skincare Treatments</t>
        </is>
      </c>
      <c r="H99" s="58" t="inlineStr">
        <is>
          <t>Skin Nourishment</t>
        </is>
      </c>
      <c r="I99" s="58" t="inlineStr">
        <is>
          <t>Under Eye Mask 15G</t>
        </is>
      </c>
      <c r="J99" s="58" t="inlineStr">
        <is>
          <t>15g</t>
        </is>
      </c>
      <c r="K99" s="58" t="n">
        <v>15.99</v>
      </c>
      <c r="L99" s="58" t="inlineStr">
        <is>
          <t>deyga under eye mask</t>
        </is>
      </c>
      <c r="M99" s="58" t="inlineStr">
        <is>
          <t>deyga under eye mask uk</t>
        </is>
      </c>
      <c r="N99" s="58" t="inlineStr">
        <is>
          <t>buy deyga under eye mask online</t>
        </is>
      </c>
      <c r="O99" s="58" t="inlineStr">
        <is>
          <t>deyga under eye mask price</t>
        </is>
      </c>
      <c r="P99" s="58" t="n"/>
      <c r="Q99" s="59">
        <f>IF(L99="","",IFERROR(INDEX('Semrush Data'!$A$1:$Z$20000,MATCH(L99,'Semrush Data'!$A$1:$A$20000,0),MATCH("Volume",'Semrush Data'!$A$1:$Z$1,0)),""))</f>
        <v/>
      </c>
      <c r="R99" s="59">
        <f>IF(M99="","",IFERROR(INDEX('Semrush Data'!$A$1:$Z$20000,MATCH(M99,'Semrush Data'!$A$1:$A$20000,0),MATCH("Volume",'Semrush Data'!$A$1:$Z$1,0)),""))</f>
        <v/>
      </c>
      <c r="S99" s="59">
        <f>IF(N99="","",IFERROR(INDEX('Semrush Data'!$A$1:$Z$20000,MATCH(N99,'Semrush Data'!$A$1:$A$20000,0),MATCH("Volume",'Semrush Data'!$A$1:$Z$1,0)),""))</f>
        <v/>
      </c>
      <c r="T99" s="59">
        <f>IF(O99="","",IFERROR(INDEX('Semrush Data'!$A$1:$Z$20000,MATCH(O99,'Semrush Data'!$A$1:$A$20000,0),MATCH("Volume",'Semrush Data'!$A$1:$Z$1,0)),""))</f>
        <v/>
      </c>
      <c r="U99" s="59">
        <f>IF(P99="","",IFERROR(INDEX('Semrush Data'!$A$1:$Z$20000,MATCH(P99,'Semrush Data'!$A$1:$A$20000,0),MATCH("Volume",'Semrush Data'!$A$1:$Z$1,0)),""))</f>
        <v/>
      </c>
      <c r="V99" s="60">
        <f>IF(COUNT(Q99:U99)=0,L99,IF(MAX(Q99:U99)=0,L99,INDEX(L99:P99,MATCH(MAX(Q99:U99),Q99:U99,0))))</f>
        <v/>
      </c>
      <c r="W99" s="59">
        <f>IFERROR(INDEX('Semrush Data'!$A$1:$Z$20000,MATCH(V99,'Semrush Data'!$A$1:$A$20000,0),MATCH("Volume",'Semrush Data'!$A$1:$Z$1,0)),"")</f>
        <v/>
      </c>
      <c r="X99" s="59">
        <f>IFERROR(INDEX('Semrush Data'!$A$1:$Z$20000,MATCH(V99,'Semrush Data'!$A$1:$A$20000,0),MATCH("Keyword Difficulty*",'Semrush Data'!$A$1:$Z$1,0)),"")</f>
        <v/>
      </c>
      <c r="Y99" s="61">
        <f>IFERROR(INDEX('Semrush Data'!$A$1:$Z$20000,MATCH(V99,'Semrush Data'!$A$1:$A$20000,0),MATCH("CPC*",'Semrush Data'!$A$1:$Z$1,0)),"")</f>
        <v/>
      </c>
      <c r="Z99" s="58" t="inlineStr">
        <is>
          <t>deyga skincare · skincare for skin nourishment · natural skincare uk</t>
        </is>
      </c>
      <c r="AA99" s="58" t="inlineStr">
        <is>
          <t>deyga under eye mask review · how to use deyga under eye mask</t>
        </is>
      </c>
      <c r="AB99" s="58" t="inlineStr">
        <is>
          <t>Deyga Under Eye Mask</t>
        </is>
      </c>
      <c r="AC99" s="58" t="inlineStr">
        <is>
          <t>Deyga Under Eye Mask 15g | Buy Online UK | Swansura</t>
        </is>
      </c>
      <c r="AD99" s="58">
        <f>LEN(AC99)</f>
        <v/>
      </c>
      <c r="AE99" s="58" t="inlineStr">
        <is>
          <t>Buy Deyga Under Eye Mask online in the UK at Swansura, official UK partner of Deyga. A natural skincare treatment for nourished skin. Free UK delivery over £50.</t>
        </is>
      </c>
      <c r="AF99" s="58">
        <f>LEN(AE99)</f>
        <v/>
      </c>
    </row>
    <row r="100" ht="15" customHeight="1" s="37">
      <c r="A100" s="58" t="inlineStr">
        <is>
          <t>VD-099</t>
        </is>
      </c>
      <c r="B100" s="58" t="inlineStr">
        <is>
          <t>Vilvah &amp; Deyga</t>
        </is>
      </c>
      <c r="C100" s="58" t="n">
        <v>99</v>
      </c>
      <c r="D100" s="58" t="inlineStr">
        <is>
          <t>Deyga</t>
        </is>
      </c>
      <c r="E100" s="58" t="n"/>
      <c r="F100" s="58" t="inlineStr">
        <is>
          <t>Skincare</t>
        </is>
      </c>
      <c r="G100" s="58" t="inlineStr">
        <is>
          <t>Skincare Treatments</t>
        </is>
      </c>
      <c r="H100" s="58" t="inlineStr">
        <is>
          <t>Skin Nourishment</t>
        </is>
      </c>
      <c r="I100" s="58" t="inlineStr">
        <is>
          <t>Spirulina Matcha Face Pack 150G</t>
        </is>
      </c>
      <c r="J100" s="58" t="inlineStr">
        <is>
          <t>150g</t>
        </is>
      </c>
      <c r="K100" s="58" t="n">
        <v>17.99</v>
      </c>
      <c r="L100" s="58" t="inlineStr">
        <is>
          <t>deyga spirulina matcha face pack</t>
        </is>
      </c>
      <c r="M100" s="58" t="inlineStr">
        <is>
          <t>deyga spirulina matcha face pack uk</t>
        </is>
      </c>
      <c r="N100" s="58" t="inlineStr">
        <is>
          <t>buy deyga spirulina matcha face pack online</t>
        </is>
      </c>
      <c r="O100" s="58" t="inlineStr">
        <is>
          <t>deyga spirulina matcha face pack price</t>
        </is>
      </c>
      <c r="P100" s="58" t="n"/>
      <c r="Q100" s="59">
        <f>IF(L100="","",IFERROR(INDEX('Semrush Data'!$A$1:$Z$20000,MATCH(L100,'Semrush Data'!$A$1:$A$20000,0),MATCH("Volume",'Semrush Data'!$A$1:$Z$1,0)),""))</f>
        <v/>
      </c>
      <c r="R100" s="59">
        <f>IF(M100="","",IFERROR(INDEX('Semrush Data'!$A$1:$Z$20000,MATCH(M100,'Semrush Data'!$A$1:$A$20000,0),MATCH("Volume",'Semrush Data'!$A$1:$Z$1,0)),""))</f>
        <v/>
      </c>
      <c r="S100" s="59">
        <f>IF(N100="","",IFERROR(INDEX('Semrush Data'!$A$1:$Z$20000,MATCH(N100,'Semrush Data'!$A$1:$A$20000,0),MATCH("Volume",'Semrush Data'!$A$1:$Z$1,0)),""))</f>
        <v/>
      </c>
      <c r="T100" s="59">
        <f>IF(O100="","",IFERROR(INDEX('Semrush Data'!$A$1:$Z$20000,MATCH(O100,'Semrush Data'!$A$1:$A$20000,0),MATCH("Volume",'Semrush Data'!$A$1:$Z$1,0)),""))</f>
        <v/>
      </c>
      <c r="U100" s="59">
        <f>IF(P100="","",IFERROR(INDEX('Semrush Data'!$A$1:$Z$20000,MATCH(P100,'Semrush Data'!$A$1:$A$20000,0),MATCH("Volume",'Semrush Data'!$A$1:$Z$1,0)),""))</f>
        <v/>
      </c>
      <c r="V100" s="60">
        <f>IF(COUNT(Q100:U100)=0,L100,IF(MAX(Q100:U100)=0,L100,INDEX(L100:P100,MATCH(MAX(Q100:U100),Q100:U100,0))))</f>
        <v/>
      </c>
      <c r="W100" s="59">
        <f>IFERROR(INDEX('Semrush Data'!$A$1:$Z$20000,MATCH(V100,'Semrush Data'!$A$1:$A$20000,0),MATCH("Volume",'Semrush Data'!$A$1:$Z$1,0)),"")</f>
        <v/>
      </c>
      <c r="X100" s="59">
        <f>IFERROR(INDEX('Semrush Data'!$A$1:$Z$20000,MATCH(V100,'Semrush Data'!$A$1:$A$20000,0),MATCH("Keyword Difficulty*",'Semrush Data'!$A$1:$Z$1,0)),"")</f>
        <v/>
      </c>
      <c r="Y100" s="61">
        <f>IFERROR(INDEX('Semrush Data'!$A$1:$Z$20000,MATCH(V100,'Semrush Data'!$A$1:$A$20000,0),MATCH("CPC*",'Semrush Data'!$A$1:$Z$1,0)),"")</f>
        <v/>
      </c>
      <c r="Z100" s="58" t="inlineStr">
        <is>
          <t>deyga skincare · skincare for skin nourishment · natural skincare uk</t>
        </is>
      </c>
      <c r="AA100" s="58" t="n"/>
      <c r="AB100" s="58" t="inlineStr">
        <is>
          <t>Deyga Spirulina Matcha Face Pack</t>
        </is>
      </c>
      <c r="AC100" s="58" t="inlineStr">
        <is>
          <t>Deyga Spirulina Matcha Face Pack | Buy Online UK | Swansura</t>
        </is>
      </c>
      <c r="AD100" s="58">
        <f>LEN(AC100)</f>
        <v/>
      </c>
      <c r="AE100" s="58" t="inlineStr">
        <is>
          <t>Buy Deyga Spirulina Matcha Face Pack online in the UK at Swansura, official UK partner of Deyga. 100% authentic, shipped from the UK, free delivery over £50.</t>
        </is>
      </c>
      <c r="AF100" s="58">
        <f>LEN(AE100)</f>
        <v/>
      </c>
    </row>
    <row r="101" ht="15" customHeight="1" s="37">
      <c r="A101" s="58" t="inlineStr">
        <is>
          <t>VD-100</t>
        </is>
      </c>
      <c r="B101" s="58" t="inlineStr">
        <is>
          <t>Vilvah &amp; Deyga</t>
        </is>
      </c>
      <c r="C101" s="58" t="n">
        <v>100</v>
      </c>
      <c r="D101" s="58" t="inlineStr">
        <is>
          <t>Deyga</t>
        </is>
      </c>
      <c r="E101" s="58" t="n"/>
      <c r="F101" s="58" t="inlineStr">
        <is>
          <t>Skincare</t>
        </is>
      </c>
      <c r="G101" s="58" t="inlineStr">
        <is>
          <t>Toners</t>
        </is>
      </c>
      <c r="H101" s="58" t="inlineStr">
        <is>
          <t>Skin Nourishment</t>
        </is>
      </c>
      <c r="I101" s="58" t="inlineStr">
        <is>
          <t>Tea Tree Facial Toner 100ML</t>
        </is>
      </c>
      <c r="J101" s="58" t="inlineStr">
        <is>
          <t>100ml</t>
        </is>
      </c>
      <c r="K101" s="58" t="n">
        <v>14.99</v>
      </c>
      <c r="L101" s="58" t="inlineStr">
        <is>
          <t>deyga tea tree facial toner</t>
        </is>
      </c>
      <c r="M101" s="58" t="inlineStr">
        <is>
          <t>deyga tea tree facial toner uk</t>
        </is>
      </c>
      <c r="N101" s="58" t="inlineStr">
        <is>
          <t>buy deyga tea tree facial toner online</t>
        </is>
      </c>
      <c r="O101" s="58" t="inlineStr">
        <is>
          <t>deyga tea tree facial toner price</t>
        </is>
      </c>
      <c r="P101" s="58" t="n"/>
      <c r="Q101" s="59">
        <f>IF(L101="","",IFERROR(INDEX('Semrush Data'!$A$1:$Z$20000,MATCH(L101,'Semrush Data'!$A$1:$A$20000,0),MATCH("Volume",'Semrush Data'!$A$1:$Z$1,0)),""))</f>
        <v/>
      </c>
      <c r="R101" s="59">
        <f>IF(M101="","",IFERROR(INDEX('Semrush Data'!$A$1:$Z$20000,MATCH(M101,'Semrush Data'!$A$1:$A$20000,0),MATCH("Volume",'Semrush Data'!$A$1:$Z$1,0)),""))</f>
        <v/>
      </c>
      <c r="S101" s="59">
        <f>IF(N101="","",IFERROR(INDEX('Semrush Data'!$A$1:$Z$20000,MATCH(N101,'Semrush Data'!$A$1:$A$20000,0),MATCH("Volume",'Semrush Data'!$A$1:$Z$1,0)),""))</f>
        <v/>
      </c>
      <c r="T101" s="59">
        <f>IF(O101="","",IFERROR(INDEX('Semrush Data'!$A$1:$Z$20000,MATCH(O101,'Semrush Data'!$A$1:$A$20000,0),MATCH("Volume",'Semrush Data'!$A$1:$Z$1,0)),""))</f>
        <v/>
      </c>
      <c r="U101" s="59">
        <f>IF(P101="","",IFERROR(INDEX('Semrush Data'!$A$1:$Z$20000,MATCH(P101,'Semrush Data'!$A$1:$A$20000,0),MATCH("Volume",'Semrush Data'!$A$1:$Z$1,0)),""))</f>
        <v/>
      </c>
      <c r="V101" s="60">
        <f>IF(COUNT(Q101:U101)=0,L101,IF(MAX(Q101:U101)=0,L101,INDEX(L101:P101,MATCH(MAX(Q101:U101),Q101:U101,0))))</f>
        <v/>
      </c>
      <c r="W101" s="59">
        <f>IFERROR(INDEX('Semrush Data'!$A$1:$Z$20000,MATCH(V101,'Semrush Data'!$A$1:$A$20000,0),MATCH("Volume",'Semrush Data'!$A$1:$Z$1,0)),"")</f>
        <v/>
      </c>
      <c r="X101" s="59">
        <f>IFERROR(INDEX('Semrush Data'!$A$1:$Z$20000,MATCH(V101,'Semrush Data'!$A$1:$A$20000,0),MATCH("Keyword Difficulty*",'Semrush Data'!$A$1:$Z$1,0)),"")</f>
        <v/>
      </c>
      <c r="Y101" s="61">
        <f>IFERROR(INDEX('Semrush Data'!$A$1:$Z$20000,MATCH(V101,'Semrush Data'!$A$1:$A$20000,0),MATCH("CPC*",'Semrush Data'!$A$1:$Z$1,0)),"")</f>
        <v/>
      </c>
      <c r="Z101" s="58" t="inlineStr">
        <is>
          <t>deyga toner · toner for skin nourishment · natural toner uk</t>
        </is>
      </c>
      <c r="AA101" s="58" t="n"/>
      <c r="AB101" s="58" t="inlineStr">
        <is>
          <t>Deyga Tea Tree Facial Toner</t>
        </is>
      </c>
      <c r="AC101" s="58" t="inlineStr">
        <is>
          <t>Deyga Tea Tree Facial Toner | Buy Online UK | Swansura</t>
        </is>
      </c>
      <c r="AD101" s="58">
        <f>LEN(AC101)</f>
        <v/>
      </c>
      <c r="AE101" s="58" t="inlineStr">
        <is>
          <t>Buy Deyga Tea Tree Facial Toner online at Swansura, official UK partner of Deyga. A natural toner for nourished skin. 100% authentic, free UK delivery over £50.</t>
        </is>
      </c>
      <c r="AF101" s="58">
        <f>LEN(AE101)</f>
        <v/>
      </c>
    </row>
    <row r="102" ht="15" customHeight="1" s="37">
      <c r="A102" s="58" t="inlineStr">
        <is>
          <t>VD-101</t>
        </is>
      </c>
      <c r="B102" s="58" t="inlineStr">
        <is>
          <t>Vilvah &amp; Deyga</t>
        </is>
      </c>
      <c r="C102" s="58" t="n">
        <v>101</v>
      </c>
      <c r="D102" s="58" t="inlineStr">
        <is>
          <t>Deyga</t>
        </is>
      </c>
      <c r="E102" s="58" t="n"/>
      <c r="F102" s="58" t="inlineStr">
        <is>
          <t>Skincare</t>
        </is>
      </c>
      <c r="G102" s="58" t="inlineStr">
        <is>
          <t>Skincare Treatments</t>
        </is>
      </c>
      <c r="H102" s="58" t="inlineStr">
        <is>
          <t>Sun Protection</t>
        </is>
      </c>
      <c r="I102" s="58" t="inlineStr">
        <is>
          <t>Tangerine Cleansing Balm for Makeup Removal 30g</t>
        </is>
      </c>
      <c r="J102" s="58" t="inlineStr">
        <is>
          <t>30g</t>
        </is>
      </c>
      <c r="K102" s="58" t="n">
        <v>15.99</v>
      </c>
      <c r="L102" s="58" t="inlineStr">
        <is>
          <t>deyga tangerine cleansing balm for makeup removal</t>
        </is>
      </c>
      <c r="M102" s="58" t="inlineStr">
        <is>
          <t>deyga tangerine cleansing balm for makeup removal uk</t>
        </is>
      </c>
      <c r="N102" s="58" t="inlineStr">
        <is>
          <t>buy deyga tangerine cleansing balm for makeup removal online</t>
        </is>
      </c>
      <c r="O102" s="58" t="inlineStr">
        <is>
          <t>deyga tangerine cleansing balm for makeup removal price</t>
        </is>
      </c>
      <c r="P102" s="58" t="n"/>
      <c r="Q102" s="59">
        <f>IF(L102="","",IFERROR(INDEX('Semrush Data'!$A$1:$Z$20000,MATCH(L102,'Semrush Data'!$A$1:$A$20000,0),MATCH("Volume",'Semrush Data'!$A$1:$Z$1,0)),""))</f>
        <v/>
      </c>
      <c r="R102" s="59">
        <f>IF(M102="","",IFERROR(INDEX('Semrush Data'!$A$1:$Z$20000,MATCH(M102,'Semrush Data'!$A$1:$A$20000,0),MATCH("Volume",'Semrush Data'!$A$1:$Z$1,0)),""))</f>
        <v/>
      </c>
      <c r="S102" s="59">
        <f>IF(N102="","",IFERROR(INDEX('Semrush Data'!$A$1:$Z$20000,MATCH(N102,'Semrush Data'!$A$1:$A$20000,0),MATCH("Volume",'Semrush Data'!$A$1:$Z$1,0)),""))</f>
        <v/>
      </c>
      <c r="T102" s="59">
        <f>IF(O102="","",IFERROR(INDEX('Semrush Data'!$A$1:$Z$20000,MATCH(O102,'Semrush Data'!$A$1:$A$20000,0),MATCH("Volume",'Semrush Data'!$A$1:$Z$1,0)),""))</f>
        <v/>
      </c>
      <c r="U102" s="59">
        <f>IF(P102="","",IFERROR(INDEX('Semrush Data'!$A$1:$Z$20000,MATCH(P102,'Semrush Data'!$A$1:$A$20000,0),MATCH("Volume",'Semrush Data'!$A$1:$Z$1,0)),""))</f>
        <v/>
      </c>
      <c r="V102" s="60">
        <f>IF(COUNT(Q102:U102)=0,L102,IF(MAX(Q102:U102)=0,L102,INDEX(L102:P102,MATCH(MAX(Q102:U102),Q102:U102,0))))</f>
        <v/>
      </c>
      <c r="W102" s="59">
        <f>IFERROR(INDEX('Semrush Data'!$A$1:$Z$20000,MATCH(V102,'Semrush Data'!$A$1:$A$20000,0),MATCH("Volume",'Semrush Data'!$A$1:$Z$1,0)),"")</f>
        <v/>
      </c>
      <c r="X102" s="59">
        <f>IFERROR(INDEX('Semrush Data'!$A$1:$Z$20000,MATCH(V102,'Semrush Data'!$A$1:$A$20000,0),MATCH("Keyword Difficulty*",'Semrush Data'!$A$1:$Z$1,0)),"")</f>
        <v/>
      </c>
      <c r="Y102" s="61">
        <f>IFERROR(INDEX('Semrush Data'!$A$1:$Z$20000,MATCH(V102,'Semrush Data'!$A$1:$A$20000,0),MATCH("CPC*",'Semrush Data'!$A$1:$Z$1,0)),"")</f>
        <v/>
      </c>
      <c r="Z102" s="58" t="inlineStr">
        <is>
          <t>deyga skincare · natural skincare uk</t>
        </is>
      </c>
      <c r="AA102" s="58" t="n"/>
      <c r="AB102" s="58" t="inlineStr">
        <is>
          <t>Deyga Tangerine Cleansing Balm for Makeup Removal</t>
        </is>
      </c>
      <c r="AC102" s="58" t="inlineStr">
        <is>
          <t>Deyga Tangerine Cleansing Balm for Makeup | Swansura UK</t>
        </is>
      </c>
      <c r="AD102" s="58">
        <f>LEN(AC102)</f>
        <v/>
      </c>
      <c r="AE102" s="58" t="inlineStr">
        <is>
          <t>Buy Deyga Tangerine Cleansing Balm for Makeup Removal online at Swansura, official UK partner of Deyga. A natural skincare treatment for daily sun protection.</t>
        </is>
      </c>
      <c r="AF102" s="58">
        <f>LEN(AE102)</f>
        <v/>
      </c>
    </row>
    <row r="103" ht="15" customHeight="1" s="37">
      <c r="A103" s="58" t="inlineStr">
        <is>
          <t>VD-102</t>
        </is>
      </c>
      <c r="B103" s="58" t="inlineStr">
        <is>
          <t>Vilvah &amp; Deyga</t>
        </is>
      </c>
      <c r="C103" s="58" t="n">
        <v>102</v>
      </c>
      <c r="D103" s="58" t="inlineStr">
        <is>
          <t>Deyga</t>
        </is>
      </c>
      <c r="E103" s="58" t="n"/>
      <c r="F103" s="58" t="inlineStr">
        <is>
          <t>Bodycare</t>
        </is>
      </c>
      <c r="G103" s="58" t="inlineStr">
        <is>
          <t>Body Care</t>
        </is>
      </c>
      <c r="H103" s="58" t="inlineStr">
        <is>
          <t>Dry Skin</t>
        </is>
      </c>
      <c r="I103" s="58" t="inlineStr">
        <is>
          <t>Organic Loofah for Body Exfoliation</t>
        </is>
      </c>
      <c r="J103" s="58" t="inlineStr">
        <is>
          <t>Pack of 1</t>
        </is>
      </c>
      <c r="K103" s="58" t="n">
        <v>12.99</v>
      </c>
      <c r="L103" s="58" t="inlineStr">
        <is>
          <t>deyga organic loofah for body exfoliation</t>
        </is>
      </c>
      <c r="M103" s="58" t="inlineStr">
        <is>
          <t>deyga organic loofah for body exfoliation uk</t>
        </is>
      </c>
      <c r="N103" s="58" t="inlineStr">
        <is>
          <t>buy deyga organic loofah for body exfoliation online</t>
        </is>
      </c>
      <c r="O103" s="58" t="inlineStr">
        <is>
          <t>deyga organic loofah for body exfoliation price</t>
        </is>
      </c>
      <c r="P103" s="58" t="n"/>
      <c r="Q103" s="59">
        <f>IF(L103="","",IFERROR(INDEX('Semrush Data'!$A$1:$Z$20000,MATCH(L103,'Semrush Data'!$A$1:$A$20000,0),MATCH("Volume",'Semrush Data'!$A$1:$Z$1,0)),""))</f>
        <v/>
      </c>
      <c r="R103" s="59">
        <f>IF(M103="","",IFERROR(INDEX('Semrush Data'!$A$1:$Z$20000,MATCH(M103,'Semrush Data'!$A$1:$A$20000,0),MATCH("Volume",'Semrush Data'!$A$1:$Z$1,0)),""))</f>
        <v/>
      </c>
      <c r="S103" s="59">
        <f>IF(N103="","",IFERROR(INDEX('Semrush Data'!$A$1:$Z$20000,MATCH(N103,'Semrush Data'!$A$1:$A$20000,0),MATCH("Volume",'Semrush Data'!$A$1:$Z$1,0)),""))</f>
        <v/>
      </c>
      <c r="T103" s="59">
        <f>IF(O103="","",IFERROR(INDEX('Semrush Data'!$A$1:$Z$20000,MATCH(O103,'Semrush Data'!$A$1:$A$20000,0),MATCH("Volume",'Semrush Data'!$A$1:$Z$1,0)),""))</f>
        <v/>
      </c>
      <c r="U103" s="59">
        <f>IF(P103="","",IFERROR(INDEX('Semrush Data'!$A$1:$Z$20000,MATCH(P103,'Semrush Data'!$A$1:$A$20000,0),MATCH("Volume",'Semrush Data'!$A$1:$Z$1,0)),""))</f>
        <v/>
      </c>
      <c r="V103" s="60">
        <f>IF(COUNT(Q103:U103)=0,L103,IF(MAX(Q103:U103)=0,L103,INDEX(L103:P103,MATCH(MAX(Q103:U103),Q103:U103,0))))</f>
        <v/>
      </c>
      <c r="W103" s="59">
        <f>IFERROR(INDEX('Semrush Data'!$A$1:$Z$20000,MATCH(V103,'Semrush Data'!$A$1:$A$20000,0),MATCH("Volume",'Semrush Data'!$A$1:$Z$1,0)),"")</f>
        <v/>
      </c>
      <c r="X103" s="59">
        <f>IFERROR(INDEX('Semrush Data'!$A$1:$Z$20000,MATCH(V103,'Semrush Data'!$A$1:$A$20000,0),MATCH("Keyword Difficulty*",'Semrush Data'!$A$1:$Z$1,0)),"")</f>
        <v/>
      </c>
      <c r="Y103" s="61">
        <f>IFERROR(INDEX('Semrush Data'!$A$1:$Z$20000,MATCH(V103,'Semrush Data'!$A$1:$A$20000,0),MATCH("CPC*",'Semrush Data'!$A$1:$Z$1,0)),"")</f>
        <v/>
      </c>
      <c r="Z103" s="58" t="inlineStr">
        <is>
          <t>deyga body care · body care for dry skin · natural body care uk</t>
        </is>
      </c>
      <c r="AA103" s="58" t="n"/>
      <c r="AB103" s="58" t="inlineStr">
        <is>
          <t>Deyga Organic Loofah for Body Exfoliation</t>
        </is>
      </c>
      <c r="AC103" s="58" t="inlineStr">
        <is>
          <t>Deyga Organic Loofah for Body Exfoliation | Swansura UK</t>
        </is>
      </c>
      <c r="AD103" s="58">
        <f>LEN(AC103)</f>
        <v/>
      </c>
      <c r="AE103" s="58" t="inlineStr">
        <is>
          <t>Buy Deyga Organic Loofah for Body Exfoliation online at Swansura, official UK partner of Deyga. Natural body care. 100% authentic, free UK delivery over £50.</t>
        </is>
      </c>
      <c r="AF103" s="58">
        <f>LEN(AE103)</f>
        <v/>
      </c>
    </row>
    <row r="104" ht="15" customHeight="1" s="37">
      <c r="A104" s="58" t="inlineStr">
        <is>
          <t>VD-103</t>
        </is>
      </c>
      <c r="B104" s="58" t="inlineStr">
        <is>
          <t>Vilvah &amp; Deyga</t>
        </is>
      </c>
      <c r="C104" s="58" t="n">
        <v>103</v>
      </c>
      <c r="D104" s="58" t="inlineStr">
        <is>
          <t>Deyga</t>
        </is>
      </c>
      <c r="E104" s="58" t="n"/>
      <c r="F104" s="58" t="inlineStr">
        <is>
          <t>Bodycare</t>
        </is>
      </c>
      <c r="G104" s="58" t="inlineStr">
        <is>
          <t>Body Scrub &amp; Exfoliators</t>
        </is>
      </c>
      <c r="H104" s="58" t="inlineStr">
        <is>
          <t>Dry Skin</t>
        </is>
      </c>
      <c r="I104" s="58" t="inlineStr">
        <is>
          <t>Foot Scrub 100 g</t>
        </is>
      </c>
      <c r="J104" s="58" t="inlineStr">
        <is>
          <t>100g</t>
        </is>
      </c>
      <c r="K104" s="58" t="n">
        <v>17.99</v>
      </c>
      <c r="L104" s="58" t="inlineStr">
        <is>
          <t>deyga foot scrub</t>
        </is>
      </c>
      <c r="M104" s="58" t="inlineStr">
        <is>
          <t>deyga foot scrub uk</t>
        </is>
      </c>
      <c r="N104" s="58" t="inlineStr">
        <is>
          <t>buy deyga foot scrub online</t>
        </is>
      </c>
      <c r="O104" s="58" t="inlineStr">
        <is>
          <t>deyga foot scrub price</t>
        </is>
      </c>
      <c r="P104" s="58" t="n"/>
      <c r="Q104" s="59">
        <f>IF(L104="","",IFERROR(INDEX('Semrush Data'!$A$1:$Z$20000,MATCH(L104,'Semrush Data'!$A$1:$A$20000,0),MATCH("Volume",'Semrush Data'!$A$1:$Z$1,0)),""))</f>
        <v/>
      </c>
      <c r="R104" s="59">
        <f>IF(M104="","",IFERROR(INDEX('Semrush Data'!$A$1:$Z$20000,MATCH(M104,'Semrush Data'!$A$1:$A$20000,0),MATCH("Volume",'Semrush Data'!$A$1:$Z$1,0)),""))</f>
        <v/>
      </c>
      <c r="S104" s="59">
        <f>IF(N104="","",IFERROR(INDEX('Semrush Data'!$A$1:$Z$20000,MATCH(N104,'Semrush Data'!$A$1:$A$20000,0),MATCH("Volume",'Semrush Data'!$A$1:$Z$1,0)),""))</f>
        <v/>
      </c>
      <c r="T104" s="59">
        <f>IF(O104="","",IFERROR(INDEX('Semrush Data'!$A$1:$Z$20000,MATCH(O104,'Semrush Data'!$A$1:$A$20000,0),MATCH("Volume",'Semrush Data'!$A$1:$Z$1,0)),""))</f>
        <v/>
      </c>
      <c r="U104" s="59">
        <f>IF(P104="","",IFERROR(INDEX('Semrush Data'!$A$1:$Z$20000,MATCH(P104,'Semrush Data'!$A$1:$A$20000,0),MATCH("Volume",'Semrush Data'!$A$1:$Z$1,0)),""))</f>
        <v/>
      </c>
      <c r="V104" s="60">
        <f>IF(COUNT(Q104:U104)=0,L104,IF(MAX(Q104:U104)=0,L104,INDEX(L104:P104,MATCH(MAX(Q104:U104),Q104:U104,0))))</f>
        <v/>
      </c>
      <c r="W104" s="59">
        <f>IFERROR(INDEX('Semrush Data'!$A$1:$Z$20000,MATCH(V104,'Semrush Data'!$A$1:$A$20000,0),MATCH("Volume",'Semrush Data'!$A$1:$Z$1,0)),"")</f>
        <v/>
      </c>
      <c r="X104" s="59">
        <f>IFERROR(INDEX('Semrush Data'!$A$1:$Z$20000,MATCH(V104,'Semrush Data'!$A$1:$A$20000,0),MATCH("Keyword Difficulty*",'Semrush Data'!$A$1:$Z$1,0)),"")</f>
        <v/>
      </c>
      <c r="Y104" s="61">
        <f>IFERROR(INDEX('Semrush Data'!$A$1:$Z$20000,MATCH(V104,'Semrush Data'!$A$1:$A$20000,0),MATCH("CPC*",'Semrush Data'!$A$1:$Z$1,0)),"")</f>
        <v/>
      </c>
      <c r="Z104" s="58" t="inlineStr">
        <is>
          <t>deyga body scrub · body scrub for dry skin · natural body scrub uk</t>
        </is>
      </c>
      <c r="AA104" s="58" t="inlineStr">
        <is>
          <t>deyga foot scrub how to use</t>
        </is>
      </c>
      <c r="AB104" s="58" t="inlineStr">
        <is>
          <t>Deyga Foot Scrub</t>
        </is>
      </c>
      <c r="AC104" s="58" t="inlineStr">
        <is>
          <t>Deyga Foot Scrub | Official UK Partner | Swansura</t>
        </is>
      </c>
      <c r="AD104" s="58">
        <f>LEN(AC104)</f>
        <v/>
      </c>
      <c r="AE104" s="58" t="inlineStr">
        <is>
          <t>Buy Deyga Foot Scrub online in the UK at Swansura, official UK partner of Deyga. A natural body scrub for dry skin. 100% authentic, free UK delivery over £50.</t>
        </is>
      </c>
      <c r="AF104" s="58">
        <f>LEN(AE104)</f>
        <v/>
      </c>
    </row>
    <row r="105" ht="15" customHeight="1" s="37">
      <c r="A105" s="58" t="inlineStr">
        <is>
          <t>VD-104</t>
        </is>
      </c>
      <c r="B105" s="58" t="inlineStr">
        <is>
          <t>Vilvah &amp; Deyga</t>
        </is>
      </c>
      <c r="C105" s="58" t="n">
        <v>104</v>
      </c>
      <c r="D105" s="58" t="inlineStr">
        <is>
          <t>Deyga</t>
        </is>
      </c>
      <c r="E105" s="58" t="n"/>
      <c r="F105" s="58" t="inlineStr">
        <is>
          <t>Skincare</t>
        </is>
      </c>
      <c r="G105" s="58" t="inlineStr">
        <is>
          <t>Skincare Treatments</t>
        </is>
      </c>
      <c r="H105" s="58" t="inlineStr">
        <is>
          <t>Skin Nourishment</t>
        </is>
      </c>
      <c r="I105" s="58" t="inlineStr">
        <is>
          <t>Eyebrow Growth Oil 30ml</t>
        </is>
      </c>
      <c r="J105" s="58" t="inlineStr">
        <is>
          <t>30ml</t>
        </is>
      </c>
      <c r="K105" s="58" t="n">
        <v>22.99</v>
      </c>
      <c r="L105" s="58" t="inlineStr">
        <is>
          <t>deyga eyebrow growth oil</t>
        </is>
      </c>
      <c r="M105" s="58" t="inlineStr">
        <is>
          <t>deyga eyebrow growth oil uk</t>
        </is>
      </c>
      <c r="N105" s="58" t="inlineStr">
        <is>
          <t>buy deyga eyebrow growth oil online</t>
        </is>
      </c>
      <c r="O105" s="58" t="inlineStr">
        <is>
          <t>deyga eyebrow growth oil price</t>
        </is>
      </c>
      <c r="P105" s="58" t="n"/>
      <c r="Q105" s="59">
        <f>IF(L105="","",IFERROR(INDEX('Semrush Data'!$A$1:$Z$20000,MATCH(L105,'Semrush Data'!$A$1:$A$20000,0),MATCH("Volume",'Semrush Data'!$A$1:$Z$1,0)),""))</f>
        <v/>
      </c>
      <c r="R105" s="59">
        <f>IF(M105="","",IFERROR(INDEX('Semrush Data'!$A$1:$Z$20000,MATCH(M105,'Semrush Data'!$A$1:$A$20000,0),MATCH("Volume",'Semrush Data'!$A$1:$Z$1,0)),""))</f>
        <v/>
      </c>
      <c r="S105" s="59">
        <f>IF(N105="","",IFERROR(INDEX('Semrush Data'!$A$1:$Z$20000,MATCH(N105,'Semrush Data'!$A$1:$A$20000,0),MATCH("Volume",'Semrush Data'!$A$1:$Z$1,0)),""))</f>
        <v/>
      </c>
      <c r="T105" s="59">
        <f>IF(O105="","",IFERROR(INDEX('Semrush Data'!$A$1:$Z$20000,MATCH(O105,'Semrush Data'!$A$1:$A$20000,0),MATCH("Volume",'Semrush Data'!$A$1:$Z$1,0)),""))</f>
        <v/>
      </c>
      <c r="U105" s="59">
        <f>IF(P105="","",IFERROR(INDEX('Semrush Data'!$A$1:$Z$20000,MATCH(P105,'Semrush Data'!$A$1:$A$20000,0),MATCH("Volume",'Semrush Data'!$A$1:$Z$1,0)),""))</f>
        <v/>
      </c>
      <c r="V105" s="60">
        <f>IF(COUNT(Q105:U105)=0,L105,IF(MAX(Q105:U105)=0,L105,INDEX(L105:P105,MATCH(MAX(Q105:U105),Q105:U105,0))))</f>
        <v/>
      </c>
      <c r="W105" s="59">
        <f>IFERROR(INDEX('Semrush Data'!$A$1:$Z$20000,MATCH(V105,'Semrush Data'!$A$1:$A$20000,0),MATCH("Volume",'Semrush Data'!$A$1:$Z$1,0)),"")</f>
        <v/>
      </c>
      <c r="X105" s="59">
        <f>IFERROR(INDEX('Semrush Data'!$A$1:$Z$20000,MATCH(V105,'Semrush Data'!$A$1:$A$20000,0),MATCH("Keyword Difficulty*",'Semrush Data'!$A$1:$Z$1,0)),"")</f>
        <v/>
      </c>
      <c r="Y105" s="61">
        <f>IFERROR(INDEX('Semrush Data'!$A$1:$Z$20000,MATCH(V105,'Semrush Data'!$A$1:$A$20000,0),MATCH("CPC*",'Semrush Data'!$A$1:$Z$1,0)),"")</f>
        <v/>
      </c>
      <c r="Z105" s="58" t="inlineStr">
        <is>
          <t>deyga skincare · skincare for skin nourishment · natural skincare uk</t>
        </is>
      </c>
      <c r="AA105" s="58" t="inlineStr">
        <is>
          <t>deyga eyebrow growth oil review</t>
        </is>
      </c>
      <c r="AB105" s="58" t="inlineStr">
        <is>
          <t>Deyga Eyebrow Growth Oil</t>
        </is>
      </c>
      <c r="AC105" s="58" t="inlineStr">
        <is>
          <t>Deyga Eyebrow Growth Oil | Buy Online UK | Swansura</t>
        </is>
      </c>
      <c r="AD105" s="58">
        <f>LEN(AC105)</f>
        <v/>
      </c>
      <c r="AE105" s="58" t="inlineStr">
        <is>
          <t>Buy Deyga Eyebrow Growth Oil online in the UK at Swansura, official UK partner of Deyga. Natural skincare treatment. 100% authentic, free UK delivery over £50.</t>
        </is>
      </c>
      <c r="AF105" s="58">
        <f>LEN(AE105)</f>
        <v/>
      </c>
    </row>
    <row r="106" ht="15" customHeight="1" s="37">
      <c r="A106" s="58" t="inlineStr">
        <is>
          <t>VD-105</t>
        </is>
      </c>
      <c r="B106" s="58" t="inlineStr">
        <is>
          <t>Vilvah &amp; Deyga</t>
        </is>
      </c>
      <c r="C106" s="58" t="n">
        <v>105</v>
      </c>
      <c r="D106" s="58" t="inlineStr">
        <is>
          <t>Deyga</t>
        </is>
      </c>
      <c r="E106" s="58" t="n"/>
      <c r="F106" s="58" t="inlineStr">
        <is>
          <t>Skincare</t>
        </is>
      </c>
      <c r="G106" s="58" t="inlineStr">
        <is>
          <t>SPF for Face</t>
        </is>
      </c>
      <c r="H106" s="58" t="inlineStr">
        <is>
          <t>Sun Protection</t>
        </is>
      </c>
      <c r="I106" s="58" t="inlineStr">
        <is>
          <t>Sunscreen 50ML</t>
        </is>
      </c>
      <c r="J106" s="58" t="inlineStr">
        <is>
          <t>50ml</t>
        </is>
      </c>
      <c r="K106" s="58" t="n">
        <v>16.99</v>
      </c>
      <c r="L106" s="58" t="inlineStr">
        <is>
          <t>deyga sunscreen</t>
        </is>
      </c>
      <c r="M106" s="58" t="inlineStr">
        <is>
          <t>deyga sunscreen uk</t>
        </is>
      </c>
      <c r="N106" s="58" t="inlineStr">
        <is>
          <t>buy deyga sunscreen online</t>
        </is>
      </c>
      <c r="O106" s="58" t="inlineStr">
        <is>
          <t>deyga sunscreen price</t>
        </is>
      </c>
      <c r="P106" s="58" t="n"/>
      <c r="Q106" s="59">
        <f>IF(L106="","",IFERROR(INDEX('Semrush Data'!$A$1:$Z$20000,MATCH(L106,'Semrush Data'!$A$1:$A$20000,0),MATCH("Volume",'Semrush Data'!$A$1:$Z$1,0)),""))</f>
        <v/>
      </c>
      <c r="R106" s="59">
        <f>IF(M106="","",IFERROR(INDEX('Semrush Data'!$A$1:$Z$20000,MATCH(M106,'Semrush Data'!$A$1:$A$20000,0),MATCH("Volume",'Semrush Data'!$A$1:$Z$1,0)),""))</f>
        <v/>
      </c>
      <c r="S106" s="59">
        <f>IF(N106="","",IFERROR(INDEX('Semrush Data'!$A$1:$Z$20000,MATCH(N106,'Semrush Data'!$A$1:$A$20000,0),MATCH("Volume",'Semrush Data'!$A$1:$Z$1,0)),""))</f>
        <v/>
      </c>
      <c r="T106" s="59">
        <f>IF(O106="","",IFERROR(INDEX('Semrush Data'!$A$1:$Z$20000,MATCH(O106,'Semrush Data'!$A$1:$A$20000,0),MATCH("Volume",'Semrush Data'!$A$1:$Z$1,0)),""))</f>
        <v/>
      </c>
      <c r="U106" s="59">
        <f>IF(P106="","",IFERROR(INDEX('Semrush Data'!$A$1:$Z$20000,MATCH(P106,'Semrush Data'!$A$1:$A$20000,0),MATCH("Volume",'Semrush Data'!$A$1:$Z$1,0)),""))</f>
        <v/>
      </c>
      <c r="V106" s="60">
        <f>IF(COUNT(Q106:U106)=0,L106,IF(MAX(Q106:U106)=0,L106,INDEX(L106:P106,MATCH(MAX(Q106:U106),Q106:U106,0))))</f>
        <v/>
      </c>
      <c r="W106" s="59">
        <f>IFERROR(INDEX('Semrush Data'!$A$1:$Z$20000,MATCH(V106,'Semrush Data'!$A$1:$A$20000,0),MATCH("Volume",'Semrush Data'!$A$1:$Z$1,0)),"")</f>
        <v/>
      </c>
      <c r="X106" s="59">
        <f>IFERROR(INDEX('Semrush Data'!$A$1:$Z$20000,MATCH(V106,'Semrush Data'!$A$1:$A$20000,0),MATCH("Keyword Difficulty*",'Semrush Data'!$A$1:$Z$1,0)),"")</f>
        <v/>
      </c>
      <c r="Y106" s="61">
        <f>IFERROR(INDEX('Semrush Data'!$A$1:$Z$20000,MATCH(V106,'Semrush Data'!$A$1:$A$20000,0),MATCH("CPC*",'Semrush Data'!$A$1:$Z$1,0)),"")</f>
        <v/>
      </c>
      <c r="Z106" s="58" t="inlineStr">
        <is>
          <t>deyga sunscreen · natural sunscreen uk</t>
        </is>
      </c>
      <c r="AA106" s="58" t="inlineStr">
        <is>
          <t>deyga sunscreen review · deyga sunscreen ingredients · deyga sunscreen price · deyga sunscreen amazon</t>
        </is>
      </c>
      <c r="AB106" s="58" t="inlineStr">
        <is>
          <t>Deyga Sunscreen</t>
        </is>
      </c>
      <c r="AC106" s="58" t="inlineStr">
        <is>
          <t>Deyga Sunscreen | Official UK Partner | Swansura</t>
        </is>
      </c>
      <c r="AD106" s="58">
        <f>LEN(AC106)</f>
        <v/>
      </c>
      <c r="AE106" s="58" t="inlineStr">
        <is>
          <t>Buy Deyga Sunscreen online in the UK at Swansura, official UK partner of Deyga. Natural sunscreen. 100% authentic, shipped from the UK, free delivery over £50.</t>
        </is>
      </c>
      <c r="AF106" s="58">
        <f>LEN(AE106)</f>
        <v/>
      </c>
    </row>
    <row r="107" ht="15" customHeight="1" s="37">
      <c r="A107" s="58" t="inlineStr">
        <is>
          <t>VD-106</t>
        </is>
      </c>
      <c r="B107" s="58" t="inlineStr">
        <is>
          <t>Vilvah &amp; Deyga</t>
        </is>
      </c>
      <c r="C107" s="58" t="n">
        <v>106</v>
      </c>
      <c r="D107" s="58" t="inlineStr">
        <is>
          <t>Deyga</t>
        </is>
      </c>
      <c r="E107" s="58" t="n"/>
      <c r="F107" s="58" t="inlineStr">
        <is>
          <t>Skincare</t>
        </is>
      </c>
      <c r="G107" s="58" t="inlineStr">
        <is>
          <t>Lip Care</t>
        </is>
      </c>
      <c r="H107" s="58" t="inlineStr">
        <is>
          <t>Dry Lips</t>
        </is>
      </c>
      <c r="I107" s="58" t="inlineStr">
        <is>
          <t>Natural Lip Balm 8G</t>
        </is>
      </c>
      <c r="J107" s="58" t="inlineStr">
        <is>
          <t>8g</t>
        </is>
      </c>
      <c r="K107" s="58" t="n">
        <v>9.99</v>
      </c>
      <c r="L107" s="58" t="inlineStr">
        <is>
          <t>deyga natural lip balm</t>
        </is>
      </c>
      <c r="M107" s="58" t="inlineStr">
        <is>
          <t>deyga natural lip balm uk</t>
        </is>
      </c>
      <c r="N107" s="58" t="inlineStr">
        <is>
          <t>buy deyga natural lip balm online</t>
        </is>
      </c>
      <c r="O107" s="58" t="inlineStr">
        <is>
          <t>deyga natural lip balm price</t>
        </is>
      </c>
      <c r="P107" s="58" t="n"/>
      <c r="Q107" s="59">
        <f>IF(L107="","",IFERROR(INDEX('Semrush Data'!$A$1:$Z$20000,MATCH(L107,'Semrush Data'!$A$1:$A$20000,0),MATCH("Volume",'Semrush Data'!$A$1:$Z$1,0)),""))</f>
        <v/>
      </c>
      <c r="R107" s="59">
        <f>IF(M107="","",IFERROR(INDEX('Semrush Data'!$A$1:$Z$20000,MATCH(M107,'Semrush Data'!$A$1:$A$20000,0),MATCH("Volume",'Semrush Data'!$A$1:$Z$1,0)),""))</f>
        <v/>
      </c>
      <c r="S107" s="59">
        <f>IF(N107="","",IFERROR(INDEX('Semrush Data'!$A$1:$Z$20000,MATCH(N107,'Semrush Data'!$A$1:$A$20000,0),MATCH("Volume",'Semrush Data'!$A$1:$Z$1,0)),""))</f>
        <v/>
      </c>
      <c r="T107" s="59">
        <f>IF(O107="","",IFERROR(INDEX('Semrush Data'!$A$1:$Z$20000,MATCH(O107,'Semrush Data'!$A$1:$A$20000,0),MATCH("Volume",'Semrush Data'!$A$1:$Z$1,0)),""))</f>
        <v/>
      </c>
      <c r="U107" s="59">
        <f>IF(P107="","",IFERROR(INDEX('Semrush Data'!$A$1:$Z$20000,MATCH(P107,'Semrush Data'!$A$1:$A$20000,0),MATCH("Volume",'Semrush Data'!$A$1:$Z$1,0)),""))</f>
        <v/>
      </c>
      <c r="V107" s="60">
        <f>IF(COUNT(Q107:U107)=0,L107,IF(MAX(Q107:U107)=0,L107,INDEX(L107:P107,MATCH(MAX(Q107:U107),Q107:U107,0))))</f>
        <v/>
      </c>
      <c r="W107" s="59">
        <f>IFERROR(INDEX('Semrush Data'!$A$1:$Z$20000,MATCH(V107,'Semrush Data'!$A$1:$A$20000,0),MATCH("Volume",'Semrush Data'!$A$1:$Z$1,0)),"")</f>
        <v/>
      </c>
      <c r="X107" s="59">
        <f>IFERROR(INDEX('Semrush Data'!$A$1:$Z$20000,MATCH(V107,'Semrush Data'!$A$1:$A$20000,0),MATCH("Keyword Difficulty*",'Semrush Data'!$A$1:$Z$1,0)),"")</f>
        <v/>
      </c>
      <c r="Y107" s="61">
        <f>IFERROR(INDEX('Semrush Data'!$A$1:$Z$20000,MATCH(V107,'Semrush Data'!$A$1:$A$20000,0),MATCH("CPC*",'Semrush Data'!$A$1:$Z$1,0)),"")</f>
        <v/>
      </c>
      <c r="Z107" s="58" t="inlineStr">
        <is>
          <t>deyga lip balm · lip balm for dry lips · natural lip balm uk</t>
        </is>
      </c>
      <c r="AA107" s="58" t="inlineStr">
        <is>
          <t>deyga lip balm ingredients · deyga lip balm review</t>
        </is>
      </c>
      <c r="AB107" s="58" t="inlineStr">
        <is>
          <t>Deyga Natural Lip Balm</t>
        </is>
      </c>
      <c r="AC107" s="58" t="inlineStr">
        <is>
          <t>Deyga Natural Lip Balm 8g | Buy Online UK | Swansura</t>
        </is>
      </c>
      <c r="AD107" s="58">
        <f>LEN(AC107)</f>
        <v/>
      </c>
      <c r="AE107" s="58" t="inlineStr">
        <is>
          <t>Buy Deyga Natural Lip Balm online at Swansura, official UK partner of Deyga. Natural lip care. 100% authentic, shipped from the UK, free delivery over £50.</t>
        </is>
      </c>
      <c r="AF107" s="58">
        <f>LEN(AE107)</f>
        <v/>
      </c>
    </row>
    <row r="108" ht="15" customHeight="1" s="37">
      <c r="A108" s="58" t="inlineStr">
        <is>
          <t>VD-107</t>
        </is>
      </c>
      <c r="B108" s="58" t="inlineStr">
        <is>
          <t>Vilvah &amp; Deyga</t>
        </is>
      </c>
      <c r="C108" s="58" t="n">
        <v>107</v>
      </c>
      <c r="D108" s="58" t="inlineStr">
        <is>
          <t>Deyga</t>
        </is>
      </c>
      <c r="E108" s="58" t="n"/>
      <c r="F108" s="58" t="inlineStr">
        <is>
          <t>Bodycare</t>
        </is>
      </c>
      <c r="G108" s="58" t="inlineStr">
        <is>
          <t>Body Care</t>
        </is>
      </c>
      <c r="H108" s="58" t="inlineStr">
        <is>
          <t>Body Hydration</t>
        </is>
      </c>
      <c r="I108" s="58" t="inlineStr">
        <is>
          <t>Spinach &amp; Cucumber Bath Bar 100G</t>
        </is>
      </c>
      <c r="J108" s="58" t="inlineStr">
        <is>
          <t>100g</t>
        </is>
      </c>
      <c r="K108" s="58" t="n">
        <v>14.99</v>
      </c>
      <c r="L108" s="58" t="inlineStr">
        <is>
          <t>deyga spinach &amp; cucumber bath bar</t>
        </is>
      </c>
      <c r="M108" s="58" t="inlineStr">
        <is>
          <t>deyga spinach &amp; cucumber bath bar uk</t>
        </is>
      </c>
      <c r="N108" s="58" t="inlineStr">
        <is>
          <t>buy deyga spinach &amp; cucumber bath bar online</t>
        </is>
      </c>
      <c r="O108" s="58" t="inlineStr">
        <is>
          <t>deyga spinach &amp; cucumber bath bar price</t>
        </is>
      </c>
      <c r="P108" s="58" t="n"/>
      <c r="Q108" s="59">
        <f>IF(L108="","",IFERROR(INDEX('Semrush Data'!$A$1:$Z$20000,MATCH(L108,'Semrush Data'!$A$1:$A$20000,0),MATCH("Volume",'Semrush Data'!$A$1:$Z$1,0)),""))</f>
        <v/>
      </c>
      <c r="R108" s="59">
        <f>IF(M108="","",IFERROR(INDEX('Semrush Data'!$A$1:$Z$20000,MATCH(M108,'Semrush Data'!$A$1:$A$20000,0),MATCH("Volume",'Semrush Data'!$A$1:$Z$1,0)),""))</f>
        <v/>
      </c>
      <c r="S108" s="59">
        <f>IF(N108="","",IFERROR(INDEX('Semrush Data'!$A$1:$Z$20000,MATCH(N108,'Semrush Data'!$A$1:$A$20000,0),MATCH("Volume",'Semrush Data'!$A$1:$Z$1,0)),""))</f>
        <v/>
      </c>
      <c r="T108" s="59">
        <f>IF(O108="","",IFERROR(INDEX('Semrush Data'!$A$1:$Z$20000,MATCH(O108,'Semrush Data'!$A$1:$A$20000,0),MATCH("Volume",'Semrush Data'!$A$1:$Z$1,0)),""))</f>
        <v/>
      </c>
      <c r="U108" s="59">
        <f>IF(P108="","",IFERROR(INDEX('Semrush Data'!$A$1:$Z$20000,MATCH(P108,'Semrush Data'!$A$1:$A$20000,0),MATCH("Volume",'Semrush Data'!$A$1:$Z$1,0)),""))</f>
        <v/>
      </c>
      <c r="V108" s="60">
        <f>IF(COUNT(Q108:U108)=0,L108,IF(MAX(Q108:U108)=0,L108,INDEX(L108:P108,MATCH(MAX(Q108:U108),Q108:U108,0))))</f>
        <v/>
      </c>
      <c r="W108" s="59">
        <f>IFERROR(INDEX('Semrush Data'!$A$1:$Z$20000,MATCH(V108,'Semrush Data'!$A$1:$A$20000,0),MATCH("Volume",'Semrush Data'!$A$1:$Z$1,0)),"")</f>
        <v/>
      </c>
      <c r="X108" s="59">
        <f>IFERROR(INDEX('Semrush Data'!$A$1:$Z$20000,MATCH(V108,'Semrush Data'!$A$1:$A$20000,0),MATCH("Keyword Difficulty*",'Semrush Data'!$A$1:$Z$1,0)),"")</f>
        <v/>
      </c>
      <c r="Y108" s="61">
        <f>IFERROR(INDEX('Semrush Data'!$A$1:$Z$20000,MATCH(V108,'Semrush Data'!$A$1:$A$20000,0),MATCH("CPC*",'Semrush Data'!$A$1:$Z$1,0)),"")</f>
        <v/>
      </c>
      <c r="Z108" s="58" t="inlineStr">
        <is>
          <t>deyga body care · body care for body hydration · natural body care uk</t>
        </is>
      </c>
      <c r="AA108" s="58" t="n"/>
      <c r="AB108" s="58" t="inlineStr">
        <is>
          <t>Deyga Spinach &amp; Cucumber Bath Bar</t>
        </is>
      </c>
      <c r="AC108" s="58" t="inlineStr">
        <is>
          <t>Deyga Spinach &amp; Cucumber Bath Bar | Buy Online UK | Swansura</t>
        </is>
      </c>
      <c r="AD108" s="58">
        <f>LEN(AC108)</f>
        <v/>
      </c>
      <c r="AE108" s="58" t="inlineStr">
        <is>
          <t>Buy Deyga Spinach &amp; Cucumber Bath Bar online in the UK at Swansura, official UK partner of Deyga. Natural body care. 100% authentic, free UK delivery over £50.</t>
        </is>
      </c>
      <c r="AF108" s="58">
        <f>LEN(AE108)</f>
        <v/>
      </c>
    </row>
    <row r="109" ht="15" customHeight="1" s="37">
      <c r="A109" s="58" t="inlineStr">
        <is>
          <t>VD-108</t>
        </is>
      </c>
      <c r="B109" s="58" t="inlineStr">
        <is>
          <t>Vilvah &amp; Deyga</t>
        </is>
      </c>
      <c r="C109" s="58" t="n">
        <v>108</v>
      </c>
      <c r="D109" s="58" t="inlineStr">
        <is>
          <t>Deyga</t>
        </is>
      </c>
      <c r="E109" s="58" t="n"/>
      <c r="F109" s="58" t="inlineStr">
        <is>
          <t>Bodycare</t>
        </is>
      </c>
      <c r="G109" s="58" t="inlineStr">
        <is>
          <t>Body Care</t>
        </is>
      </c>
      <c r="H109" s="58" t="inlineStr">
        <is>
          <t>Body Hydration</t>
        </is>
      </c>
      <c r="I109" s="58" t="inlineStr">
        <is>
          <t>Shea Saffron Bath Bar 100G</t>
        </is>
      </c>
      <c r="J109" s="58" t="inlineStr">
        <is>
          <t>100g</t>
        </is>
      </c>
      <c r="K109" s="58" t="n">
        <v>15.99</v>
      </c>
      <c r="L109" s="58" t="inlineStr">
        <is>
          <t>deyga shea saffron bath bar</t>
        </is>
      </c>
      <c r="M109" s="58" t="inlineStr">
        <is>
          <t>deyga shea saffron bath bar uk</t>
        </is>
      </c>
      <c r="N109" s="58" t="inlineStr">
        <is>
          <t>buy deyga shea saffron bath bar online</t>
        </is>
      </c>
      <c r="O109" s="58" t="inlineStr">
        <is>
          <t>deyga shea saffron bath bar price</t>
        </is>
      </c>
      <c r="P109" s="58" t="n"/>
      <c r="Q109" s="59">
        <f>IF(L109="","",IFERROR(INDEX('Semrush Data'!$A$1:$Z$20000,MATCH(L109,'Semrush Data'!$A$1:$A$20000,0),MATCH("Volume",'Semrush Data'!$A$1:$Z$1,0)),""))</f>
        <v/>
      </c>
      <c r="R109" s="59">
        <f>IF(M109="","",IFERROR(INDEX('Semrush Data'!$A$1:$Z$20000,MATCH(M109,'Semrush Data'!$A$1:$A$20000,0),MATCH("Volume",'Semrush Data'!$A$1:$Z$1,0)),""))</f>
        <v/>
      </c>
      <c r="S109" s="59">
        <f>IF(N109="","",IFERROR(INDEX('Semrush Data'!$A$1:$Z$20000,MATCH(N109,'Semrush Data'!$A$1:$A$20000,0),MATCH("Volume",'Semrush Data'!$A$1:$Z$1,0)),""))</f>
        <v/>
      </c>
      <c r="T109" s="59">
        <f>IF(O109="","",IFERROR(INDEX('Semrush Data'!$A$1:$Z$20000,MATCH(O109,'Semrush Data'!$A$1:$A$20000,0),MATCH("Volume",'Semrush Data'!$A$1:$Z$1,0)),""))</f>
        <v/>
      </c>
      <c r="U109" s="59">
        <f>IF(P109="","",IFERROR(INDEX('Semrush Data'!$A$1:$Z$20000,MATCH(P109,'Semrush Data'!$A$1:$A$20000,0),MATCH("Volume",'Semrush Data'!$A$1:$Z$1,0)),""))</f>
        <v/>
      </c>
      <c r="V109" s="60">
        <f>IF(COUNT(Q109:U109)=0,L109,IF(MAX(Q109:U109)=0,L109,INDEX(L109:P109,MATCH(MAX(Q109:U109),Q109:U109,0))))</f>
        <v/>
      </c>
      <c r="W109" s="59">
        <f>IFERROR(INDEX('Semrush Data'!$A$1:$Z$20000,MATCH(V109,'Semrush Data'!$A$1:$A$20000,0),MATCH("Volume",'Semrush Data'!$A$1:$Z$1,0)),"")</f>
        <v/>
      </c>
      <c r="X109" s="59">
        <f>IFERROR(INDEX('Semrush Data'!$A$1:$Z$20000,MATCH(V109,'Semrush Data'!$A$1:$A$20000,0),MATCH("Keyword Difficulty*",'Semrush Data'!$A$1:$Z$1,0)),"")</f>
        <v/>
      </c>
      <c r="Y109" s="61">
        <f>IFERROR(INDEX('Semrush Data'!$A$1:$Z$20000,MATCH(V109,'Semrush Data'!$A$1:$A$20000,0),MATCH("CPC*",'Semrush Data'!$A$1:$Z$1,0)),"")</f>
        <v/>
      </c>
      <c r="Z109" s="58" t="inlineStr">
        <is>
          <t>deyga body care · body care for body hydration · natural body care uk</t>
        </is>
      </c>
      <c r="AA109" s="58" t="n"/>
      <c r="AB109" s="58" t="inlineStr">
        <is>
          <t>Deyga Shea Saffron Bath Bar</t>
        </is>
      </c>
      <c r="AC109" s="58" t="inlineStr">
        <is>
          <t>Deyga Shea Saffron Bath Bar | Buy Online UK | Swansura</t>
        </is>
      </c>
      <c r="AD109" s="58">
        <f>LEN(AC109)</f>
        <v/>
      </c>
      <c r="AE109" s="58" t="inlineStr">
        <is>
          <t>Buy Deyga Shea Saffron Bath Bar online in the UK at Swansura, official UK partner of Deyga. Natural body care. 100% authentic, free UK delivery over £50.</t>
        </is>
      </c>
      <c r="AF109" s="58">
        <f>LEN(AE109)</f>
        <v/>
      </c>
    </row>
    <row r="110" ht="15" customHeight="1" s="37">
      <c r="A110" s="58" t="inlineStr">
        <is>
          <t>VD-109</t>
        </is>
      </c>
      <c r="B110" s="58" t="inlineStr">
        <is>
          <t>Vilvah &amp; Deyga</t>
        </is>
      </c>
      <c r="C110" s="58" t="n">
        <v>109</v>
      </c>
      <c r="D110" s="58" t="inlineStr">
        <is>
          <t>Deyga</t>
        </is>
      </c>
      <c r="E110" s="58" t="n"/>
      <c r="F110" s="58" t="inlineStr">
        <is>
          <t>Bodycare</t>
        </is>
      </c>
      <c r="G110" s="58" t="inlineStr">
        <is>
          <t>Body Care</t>
        </is>
      </c>
      <c r="H110" s="58" t="inlineStr">
        <is>
          <t>Body Hydration</t>
        </is>
      </c>
      <c r="I110" s="58" t="inlineStr">
        <is>
          <t>Rose Pink Clay Bath Bar 100G</t>
        </is>
      </c>
      <c r="J110" s="58" t="inlineStr">
        <is>
          <t>100g</t>
        </is>
      </c>
      <c r="K110" s="58" t="n">
        <v>14.99</v>
      </c>
      <c r="L110" s="58" t="inlineStr">
        <is>
          <t>deyga rose pink clay bath bar</t>
        </is>
      </c>
      <c r="M110" s="58" t="inlineStr">
        <is>
          <t>deyga rose pink clay bath bar uk</t>
        </is>
      </c>
      <c r="N110" s="58" t="inlineStr">
        <is>
          <t>buy deyga rose pink clay bath bar online</t>
        </is>
      </c>
      <c r="O110" s="58" t="inlineStr">
        <is>
          <t>deyga rose pink clay bath bar price</t>
        </is>
      </c>
      <c r="P110" s="58" t="n"/>
      <c r="Q110" s="59">
        <f>IF(L110="","",IFERROR(INDEX('Semrush Data'!$A$1:$Z$20000,MATCH(L110,'Semrush Data'!$A$1:$A$20000,0),MATCH("Volume",'Semrush Data'!$A$1:$Z$1,0)),""))</f>
        <v/>
      </c>
      <c r="R110" s="59">
        <f>IF(M110="","",IFERROR(INDEX('Semrush Data'!$A$1:$Z$20000,MATCH(M110,'Semrush Data'!$A$1:$A$20000,0),MATCH("Volume",'Semrush Data'!$A$1:$Z$1,0)),""))</f>
        <v/>
      </c>
      <c r="S110" s="59">
        <f>IF(N110="","",IFERROR(INDEX('Semrush Data'!$A$1:$Z$20000,MATCH(N110,'Semrush Data'!$A$1:$A$20000,0),MATCH("Volume",'Semrush Data'!$A$1:$Z$1,0)),""))</f>
        <v/>
      </c>
      <c r="T110" s="59">
        <f>IF(O110="","",IFERROR(INDEX('Semrush Data'!$A$1:$Z$20000,MATCH(O110,'Semrush Data'!$A$1:$A$20000,0),MATCH("Volume",'Semrush Data'!$A$1:$Z$1,0)),""))</f>
        <v/>
      </c>
      <c r="U110" s="59">
        <f>IF(P110="","",IFERROR(INDEX('Semrush Data'!$A$1:$Z$20000,MATCH(P110,'Semrush Data'!$A$1:$A$20000,0),MATCH("Volume",'Semrush Data'!$A$1:$Z$1,0)),""))</f>
        <v/>
      </c>
      <c r="V110" s="60">
        <f>IF(COUNT(Q110:U110)=0,L110,IF(MAX(Q110:U110)=0,L110,INDEX(L110:P110,MATCH(MAX(Q110:U110),Q110:U110,0))))</f>
        <v/>
      </c>
      <c r="W110" s="59">
        <f>IFERROR(INDEX('Semrush Data'!$A$1:$Z$20000,MATCH(V110,'Semrush Data'!$A$1:$A$20000,0),MATCH("Volume",'Semrush Data'!$A$1:$Z$1,0)),"")</f>
        <v/>
      </c>
      <c r="X110" s="59">
        <f>IFERROR(INDEX('Semrush Data'!$A$1:$Z$20000,MATCH(V110,'Semrush Data'!$A$1:$A$20000,0),MATCH("Keyword Difficulty*",'Semrush Data'!$A$1:$Z$1,0)),"")</f>
        <v/>
      </c>
      <c r="Y110" s="61">
        <f>IFERROR(INDEX('Semrush Data'!$A$1:$Z$20000,MATCH(V110,'Semrush Data'!$A$1:$A$20000,0),MATCH("CPC*",'Semrush Data'!$A$1:$Z$1,0)),"")</f>
        <v/>
      </c>
      <c r="Z110" s="58" t="inlineStr">
        <is>
          <t>deyga body care · body care for body hydration · natural body care uk</t>
        </is>
      </c>
      <c r="AA110" s="58" t="n"/>
      <c r="AB110" s="58" t="inlineStr">
        <is>
          <t>Deyga Rose Pink Clay Bath Bar</t>
        </is>
      </c>
      <c r="AC110" s="58" t="inlineStr">
        <is>
          <t>Deyga Rose Pink Clay Bath Bar | Buy Online UK | Swansura</t>
        </is>
      </c>
      <c r="AD110" s="58">
        <f>LEN(AC110)</f>
        <v/>
      </c>
      <c r="AE110" s="58" t="inlineStr">
        <is>
          <t>Buy Deyga Rose Pink Clay Bath Bar online in the UK at Swansura, official UK partner of Deyga. Natural body care. 100% authentic, free UK delivery over £50.</t>
        </is>
      </c>
      <c r="AF110" s="58">
        <f>LEN(AE110)</f>
        <v/>
      </c>
    </row>
    <row r="111" ht="15" customHeight="1" s="37">
      <c r="A111" s="58" t="inlineStr">
        <is>
          <t>VD-110</t>
        </is>
      </c>
      <c r="B111" s="58" t="inlineStr">
        <is>
          <t>Vilvah &amp; Deyga</t>
        </is>
      </c>
      <c r="C111" s="58" t="n">
        <v>110</v>
      </c>
      <c r="D111" s="58" t="inlineStr">
        <is>
          <t>Deyga</t>
        </is>
      </c>
      <c r="E111" s="58" t="n"/>
      <c r="F111" s="58" t="inlineStr">
        <is>
          <t>Bodycare</t>
        </is>
      </c>
      <c r="G111" s="58" t="inlineStr">
        <is>
          <t>Body Care</t>
        </is>
      </c>
      <c r="H111" s="58" t="inlineStr">
        <is>
          <t>Body Hydration</t>
        </is>
      </c>
      <c r="I111" s="58" t="inlineStr">
        <is>
          <t>Neem &amp; Turmeric Bath Bar 100G</t>
        </is>
      </c>
      <c r="J111" s="58" t="inlineStr">
        <is>
          <t>100g</t>
        </is>
      </c>
      <c r="K111" s="58" t="n">
        <v>14.99</v>
      </c>
      <c r="L111" s="58" t="inlineStr">
        <is>
          <t>deyga neem &amp; turmeric bath bar</t>
        </is>
      </c>
      <c r="M111" s="58" t="inlineStr">
        <is>
          <t>deyga neem &amp; turmeric bath bar uk</t>
        </is>
      </c>
      <c r="N111" s="58" t="inlineStr">
        <is>
          <t>buy deyga neem &amp; turmeric bath bar online</t>
        </is>
      </c>
      <c r="O111" s="58" t="inlineStr">
        <is>
          <t>deyga neem &amp; turmeric bath bar price</t>
        </is>
      </c>
      <c r="P111" s="58" t="n"/>
      <c r="Q111" s="59">
        <f>IF(L111="","",IFERROR(INDEX('Semrush Data'!$A$1:$Z$20000,MATCH(L111,'Semrush Data'!$A$1:$A$20000,0),MATCH("Volume",'Semrush Data'!$A$1:$Z$1,0)),""))</f>
        <v/>
      </c>
      <c r="R111" s="59">
        <f>IF(M111="","",IFERROR(INDEX('Semrush Data'!$A$1:$Z$20000,MATCH(M111,'Semrush Data'!$A$1:$A$20000,0),MATCH("Volume",'Semrush Data'!$A$1:$Z$1,0)),""))</f>
        <v/>
      </c>
      <c r="S111" s="59">
        <f>IF(N111="","",IFERROR(INDEX('Semrush Data'!$A$1:$Z$20000,MATCH(N111,'Semrush Data'!$A$1:$A$20000,0),MATCH("Volume",'Semrush Data'!$A$1:$Z$1,0)),""))</f>
        <v/>
      </c>
      <c r="T111" s="59">
        <f>IF(O111="","",IFERROR(INDEX('Semrush Data'!$A$1:$Z$20000,MATCH(O111,'Semrush Data'!$A$1:$A$20000,0),MATCH("Volume",'Semrush Data'!$A$1:$Z$1,0)),""))</f>
        <v/>
      </c>
      <c r="U111" s="59">
        <f>IF(P111="","",IFERROR(INDEX('Semrush Data'!$A$1:$Z$20000,MATCH(P111,'Semrush Data'!$A$1:$A$20000,0),MATCH("Volume",'Semrush Data'!$A$1:$Z$1,0)),""))</f>
        <v/>
      </c>
      <c r="V111" s="60">
        <f>IF(COUNT(Q111:U111)=0,L111,IF(MAX(Q111:U111)=0,L111,INDEX(L111:P111,MATCH(MAX(Q111:U111),Q111:U111,0))))</f>
        <v/>
      </c>
      <c r="W111" s="59">
        <f>IFERROR(INDEX('Semrush Data'!$A$1:$Z$20000,MATCH(V111,'Semrush Data'!$A$1:$A$20000,0),MATCH("Volume",'Semrush Data'!$A$1:$Z$1,0)),"")</f>
        <v/>
      </c>
      <c r="X111" s="59">
        <f>IFERROR(INDEX('Semrush Data'!$A$1:$Z$20000,MATCH(V111,'Semrush Data'!$A$1:$A$20000,0),MATCH("Keyword Difficulty*",'Semrush Data'!$A$1:$Z$1,0)),"")</f>
        <v/>
      </c>
      <c r="Y111" s="61">
        <f>IFERROR(INDEX('Semrush Data'!$A$1:$Z$20000,MATCH(V111,'Semrush Data'!$A$1:$A$20000,0),MATCH("CPC*",'Semrush Data'!$A$1:$Z$1,0)),"")</f>
        <v/>
      </c>
      <c r="Z111" s="58" t="inlineStr">
        <is>
          <t>deyga body care · body care for body hydration · natural body care uk</t>
        </is>
      </c>
      <c r="AA111" s="58" t="n"/>
      <c r="AB111" s="58" t="inlineStr">
        <is>
          <t>Deyga Neem &amp; Turmeric Bath Bar</t>
        </is>
      </c>
      <c r="AC111" s="58" t="inlineStr">
        <is>
          <t>Deyga Neem &amp; Turmeric Bath Bar | Buy Online UK | Swansura</t>
        </is>
      </c>
      <c r="AD111" s="58">
        <f>LEN(AC111)</f>
        <v/>
      </c>
      <c r="AE111" s="58" t="inlineStr">
        <is>
          <t>Buy Deyga Neem &amp; Turmeric Bath Bar online in the UK at Swansura, official UK partner of Deyga. Natural body care. 100% authentic, free UK delivery over £50.</t>
        </is>
      </c>
      <c r="AF111" s="58">
        <f>LEN(AE111)</f>
        <v/>
      </c>
    </row>
    <row r="112" ht="15" customHeight="1" s="37">
      <c r="A112" s="58" t="inlineStr">
        <is>
          <t>VD-111</t>
        </is>
      </c>
      <c r="B112" s="58" t="inlineStr">
        <is>
          <t>Vilvah &amp; Deyga</t>
        </is>
      </c>
      <c r="C112" s="58" t="n">
        <v>111</v>
      </c>
      <c r="D112" s="58" t="inlineStr">
        <is>
          <t>Deyga</t>
        </is>
      </c>
      <c r="E112" s="58" t="n"/>
      <c r="F112" s="58" t="inlineStr">
        <is>
          <t>Skincare</t>
        </is>
      </c>
      <c r="G112" s="58" t="inlineStr">
        <is>
          <t>Lip Care</t>
        </is>
      </c>
      <c r="H112" s="58" t="inlineStr">
        <is>
          <t>Lip Exfoliation</t>
        </is>
      </c>
      <c r="I112" s="58" t="inlineStr">
        <is>
          <t>Mint Lip Scrub 16G</t>
        </is>
      </c>
      <c r="J112" s="58" t="inlineStr">
        <is>
          <t>16g</t>
        </is>
      </c>
      <c r="K112" s="58" t="n">
        <v>12.99</v>
      </c>
      <c r="L112" s="58" t="inlineStr">
        <is>
          <t>deyga mint lip scrub</t>
        </is>
      </c>
      <c r="M112" s="58" t="inlineStr">
        <is>
          <t>deyga mint lip scrub uk</t>
        </is>
      </c>
      <c r="N112" s="58" t="inlineStr">
        <is>
          <t>buy deyga mint lip scrub online</t>
        </is>
      </c>
      <c r="O112" s="58" t="inlineStr">
        <is>
          <t>deyga mint lip scrub price</t>
        </is>
      </c>
      <c r="P112" s="58" t="n"/>
      <c r="Q112" s="59">
        <f>IF(L112="","",IFERROR(INDEX('Semrush Data'!$A$1:$Z$20000,MATCH(L112,'Semrush Data'!$A$1:$A$20000,0),MATCH("Volume",'Semrush Data'!$A$1:$Z$1,0)),""))</f>
        <v/>
      </c>
      <c r="R112" s="59">
        <f>IF(M112="","",IFERROR(INDEX('Semrush Data'!$A$1:$Z$20000,MATCH(M112,'Semrush Data'!$A$1:$A$20000,0),MATCH("Volume",'Semrush Data'!$A$1:$Z$1,0)),""))</f>
        <v/>
      </c>
      <c r="S112" s="59">
        <f>IF(N112="","",IFERROR(INDEX('Semrush Data'!$A$1:$Z$20000,MATCH(N112,'Semrush Data'!$A$1:$A$20000,0),MATCH("Volume",'Semrush Data'!$A$1:$Z$1,0)),""))</f>
        <v/>
      </c>
      <c r="T112" s="59">
        <f>IF(O112="","",IFERROR(INDEX('Semrush Data'!$A$1:$Z$20000,MATCH(O112,'Semrush Data'!$A$1:$A$20000,0),MATCH("Volume",'Semrush Data'!$A$1:$Z$1,0)),""))</f>
        <v/>
      </c>
      <c r="U112" s="59">
        <f>IF(P112="","",IFERROR(INDEX('Semrush Data'!$A$1:$Z$20000,MATCH(P112,'Semrush Data'!$A$1:$A$20000,0),MATCH("Volume",'Semrush Data'!$A$1:$Z$1,0)),""))</f>
        <v/>
      </c>
      <c r="V112" s="60">
        <f>IF(COUNT(Q112:U112)=0,L112,IF(MAX(Q112:U112)=0,L112,INDEX(L112:P112,MATCH(MAX(Q112:U112),Q112:U112,0))))</f>
        <v/>
      </c>
      <c r="W112" s="59">
        <f>IFERROR(INDEX('Semrush Data'!$A$1:$Z$20000,MATCH(V112,'Semrush Data'!$A$1:$A$20000,0),MATCH("Volume",'Semrush Data'!$A$1:$Z$1,0)),"")</f>
        <v/>
      </c>
      <c r="X112" s="59">
        <f>IFERROR(INDEX('Semrush Data'!$A$1:$Z$20000,MATCH(V112,'Semrush Data'!$A$1:$A$20000,0),MATCH("Keyword Difficulty*",'Semrush Data'!$A$1:$Z$1,0)),"")</f>
        <v/>
      </c>
      <c r="Y112" s="61">
        <f>IFERROR(INDEX('Semrush Data'!$A$1:$Z$20000,MATCH(V112,'Semrush Data'!$A$1:$A$20000,0),MATCH("CPC*",'Semrush Data'!$A$1:$Z$1,0)),"")</f>
        <v/>
      </c>
      <c r="Z112" s="58" t="inlineStr">
        <is>
          <t>deyga lip balm · natural lip balm uk</t>
        </is>
      </c>
      <c r="AA112" s="58" t="n"/>
      <c r="AB112" s="58" t="inlineStr">
        <is>
          <t>Deyga Mint Lip Scrub</t>
        </is>
      </c>
      <c r="AC112" s="58" t="inlineStr">
        <is>
          <t>Deyga Mint Lip Scrub 16g | Buy Online UK | Swansura</t>
        </is>
      </c>
      <c r="AD112" s="58">
        <f>LEN(AC112)</f>
        <v/>
      </c>
      <c r="AE112" s="58" t="inlineStr">
        <is>
          <t>Buy Deyga Mint Lip Scrub online at Swansura, official UK partner of Deyga. Natural lip care. 100% authentic, shipped from the UK, free delivery over £50.</t>
        </is>
      </c>
      <c r="AF112" s="58">
        <f>LEN(AE112)</f>
        <v/>
      </c>
    </row>
    <row r="113" ht="15" customHeight="1" s="37">
      <c r="A113" s="58" t="inlineStr">
        <is>
          <t>VD-112</t>
        </is>
      </c>
      <c r="B113" s="58" t="inlineStr">
        <is>
          <t>Vilvah &amp; Deyga</t>
        </is>
      </c>
      <c r="C113" s="58" t="n">
        <v>112</v>
      </c>
      <c r="D113" s="58" t="inlineStr">
        <is>
          <t>Deyga</t>
        </is>
      </c>
      <c r="E113" s="58" t="n"/>
      <c r="F113" s="58" t="inlineStr">
        <is>
          <t>Haircare</t>
        </is>
      </c>
      <c r="G113" s="58" t="inlineStr">
        <is>
          <t>Hair Treatments</t>
        </is>
      </c>
      <c r="H113" s="58" t="inlineStr">
        <is>
          <t>Dry Hair</t>
        </is>
      </c>
      <c r="I113" s="58" t="inlineStr">
        <is>
          <t>Hair Removal Powder 100g</t>
        </is>
      </c>
      <c r="J113" s="58" t="inlineStr">
        <is>
          <t>100g</t>
        </is>
      </c>
      <c r="K113" s="58" t="n">
        <v>13.99</v>
      </c>
      <c r="L113" s="58" t="inlineStr">
        <is>
          <t>deyga hair removal powder</t>
        </is>
      </c>
      <c r="M113" s="58" t="inlineStr">
        <is>
          <t>deyga hair removal powder uk</t>
        </is>
      </c>
      <c r="N113" s="58" t="inlineStr">
        <is>
          <t>buy deyga hair removal powder online</t>
        </is>
      </c>
      <c r="O113" s="58" t="inlineStr">
        <is>
          <t>deyga hair removal powder price</t>
        </is>
      </c>
      <c r="P113" s="58" t="n"/>
      <c r="Q113" s="59">
        <f>IF(L113="","",IFERROR(INDEX('Semrush Data'!$A$1:$Z$20000,MATCH(L113,'Semrush Data'!$A$1:$A$20000,0),MATCH("Volume",'Semrush Data'!$A$1:$Z$1,0)),""))</f>
        <v/>
      </c>
      <c r="R113" s="59">
        <f>IF(M113="","",IFERROR(INDEX('Semrush Data'!$A$1:$Z$20000,MATCH(M113,'Semrush Data'!$A$1:$A$20000,0),MATCH("Volume",'Semrush Data'!$A$1:$Z$1,0)),""))</f>
        <v/>
      </c>
      <c r="S113" s="59">
        <f>IF(N113="","",IFERROR(INDEX('Semrush Data'!$A$1:$Z$20000,MATCH(N113,'Semrush Data'!$A$1:$A$20000,0),MATCH("Volume",'Semrush Data'!$A$1:$Z$1,0)),""))</f>
        <v/>
      </c>
      <c r="T113" s="59">
        <f>IF(O113="","",IFERROR(INDEX('Semrush Data'!$A$1:$Z$20000,MATCH(O113,'Semrush Data'!$A$1:$A$20000,0),MATCH("Volume",'Semrush Data'!$A$1:$Z$1,0)),""))</f>
        <v/>
      </c>
      <c r="U113" s="59">
        <f>IF(P113="","",IFERROR(INDEX('Semrush Data'!$A$1:$Z$20000,MATCH(P113,'Semrush Data'!$A$1:$A$20000,0),MATCH("Volume",'Semrush Data'!$A$1:$Z$1,0)),""))</f>
        <v/>
      </c>
      <c r="V113" s="60">
        <f>IF(COUNT(Q113:U113)=0,L113,IF(MAX(Q113:U113)=0,L113,INDEX(L113:P113,MATCH(MAX(Q113:U113),Q113:U113,0))))</f>
        <v/>
      </c>
      <c r="W113" s="59">
        <f>IFERROR(INDEX('Semrush Data'!$A$1:$Z$20000,MATCH(V113,'Semrush Data'!$A$1:$A$20000,0),MATCH("Volume",'Semrush Data'!$A$1:$Z$1,0)),"")</f>
        <v/>
      </c>
      <c r="X113" s="59">
        <f>IFERROR(INDEX('Semrush Data'!$A$1:$Z$20000,MATCH(V113,'Semrush Data'!$A$1:$A$20000,0),MATCH("Keyword Difficulty*",'Semrush Data'!$A$1:$Z$1,0)),"")</f>
        <v/>
      </c>
      <c r="Y113" s="61">
        <f>IFERROR(INDEX('Semrush Data'!$A$1:$Z$20000,MATCH(V113,'Semrush Data'!$A$1:$A$20000,0),MATCH("CPC*",'Semrush Data'!$A$1:$Z$1,0)),"")</f>
        <v/>
      </c>
      <c r="Z113" s="58" t="inlineStr">
        <is>
          <t>deyga hair treatment · hair treatment for dry hair · natural hair treatment uk</t>
        </is>
      </c>
      <c r="AA113" s="58" t="inlineStr">
        <is>
          <t>deyga hair removal powder review · deyga hair removal powder how to use · deyga hair removal powder ingredients · deyga hair removal powder mini · deyga hair removal powder amazon</t>
        </is>
      </c>
      <c r="AB113" s="58" t="inlineStr">
        <is>
          <t>Deyga Hair Removal Powder</t>
        </is>
      </c>
      <c r="AC113" s="58" t="inlineStr">
        <is>
          <t>Deyga Hair Removal Powder | Buy Online UK | Swansura</t>
        </is>
      </c>
      <c r="AD113" s="58">
        <f>LEN(AC113)</f>
        <v/>
      </c>
      <c r="AE113" s="58" t="inlineStr">
        <is>
          <t>Buy Deyga Hair Removal Powder online in the UK at Swansura, official UK partner of Deyga. Natural hair treatment. 100% authentic, free UK delivery over £50.</t>
        </is>
      </c>
      <c r="AF113" s="58">
        <f>LEN(AE113)</f>
        <v/>
      </c>
    </row>
    <row r="114" ht="15" customHeight="1" s="37">
      <c r="A114" s="58" t="inlineStr">
        <is>
          <t>VD-113</t>
        </is>
      </c>
      <c r="B114" s="58" t="inlineStr">
        <is>
          <t>Vilvah &amp; Deyga</t>
        </is>
      </c>
      <c r="C114" s="58" t="n">
        <v>113</v>
      </c>
      <c r="D114" s="58" t="inlineStr">
        <is>
          <t>Deyga</t>
        </is>
      </c>
      <c r="E114" s="58" t="n"/>
      <c r="F114" s="58" t="inlineStr">
        <is>
          <t>Skincare</t>
        </is>
      </c>
      <c r="G114" s="58" t="inlineStr">
        <is>
          <t>Cleansers</t>
        </is>
      </c>
      <c r="H114" s="58" t="inlineStr">
        <is>
          <t>Dry Skin</t>
        </is>
      </c>
      <c r="I114" s="58" t="inlineStr">
        <is>
          <t>Oat Milk Face Wash 100 ml</t>
        </is>
      </c>
      <c r="J114" s="58" t="inlineStr">
        <is>
          <t>100ml</t>
        </is>
      </c>
      <c r="K114" s="58" t="n">
        <v>12.99</v>
      </c>
      <c r="L114" s="58" t="inlineStr">
        <is>
          <t>deyga oat milk face wash</t>
        </is>
      </c>
      <c r="M114" s="58" t="inlineStr">
        <is>
          <t>deyga oat milk face wash uk</t>
        </is>
      </c>
      <c r="N114" s="58" t="inlineStr">
        <is>
          <t>buy deyga oat milk face wash online</t>
        </is>
      </c>
      <c r="O114" s="58" t="inlineStr">
        <is>
          <t>deyga oat milk face wash price</t>
        </is>
      </c>
      <c r="P114" s="58" t="n"/>
      <c r="Q114" s="59">
        <f>IF(L114="","",IFERROR(INDEX('Semrush Data'!$A$1:$Z$20000,MATCH(L114,'Semrush Data'!$A$1:$A$20000,0),MATCH("Volume",'Semrush Data'!$A$1:$Z$1,0)),""))</f>
        <v/>
      </c>
      <c r="R114" s="59">
        <f>IF(M114="","",IFERROR(INDEX('Semrush Data'!$A$1:$Z$20000,MATCH(M114,'Semrush Data'!$A$1:$A$20000,0),MATCH("Volume",'Semrush Data'!$A$1:$Z$1,0)),""))</f>
        <v/>
      </c>
      <c r="S114" s="59">
        <f>IF(N114="","",IFERROR(INDEX('Semrush Data'!$A$1:$Z$20000,MATCH(N114,'Semrush Data'!$A$1:$A$20000,0),MATCH("Volume",'Semrush Data'!$A$1:$Z$1,0)),""))</f>
        <v/>
      </c>
      <c r="T114" s="59">
        <f>IF(O114="","",IFERROR(INDEX('Semrush Data'!$A$1:$Z$20000,MATCH(O114,'Semrush Data'!$A$1:$A$20000,0),MATCH("Volume",'Semrush Data'!$A$1:$Z$1,0)),""))</f>
        <v/>
      </c>
      <c r="U114" s="59">
        <f>IF(P114="","",IFERROR(INDEX('Semrush Data'!$A$1:$Z$20000,MATCH(P114,'Semrush Data'!$A$1:$A$20000,0),MATCH("Volume",'Semrush Data'!$A$1:$Z$1,0)),""))</f>
        <v/>
      </c>
      <c r="V114" s="60">
        <f>IF(COUNT(Q114:U114)=0,L114,IF(MAX(Q114:U114)=0,L114,INDEX(L114:P114,MATCH(MAX(Q114:U114),Q114:U114,0))))</f>
        <v/>
      </c>
      <c r="W114" s="59">
        <f>IFERROR(INDEX('Semrush Data'!$A$1:$Z$20000,MATCH(V114,'Semrush Data'!$A$1:$A$20000,0),MATCH("Volume",'Semrush Data'!$A$1:$Z$1,0)),"")</f>
        <v/>
      </c>
      <c r="X114" s="59">
        <f>IFERROR(INDEX('Semrush Data'!$A$1:$Z$20000,MATCH(V114,'Semrush Data'!$A$1:$A$20000,0),MATCH("Keyword Difficulty*",'Semrush Data'!$A$1:$Z$1,0)),"")</f>
        <v/>
      </c>
      <c r="Y114" s="61">
        <f>IFERROR(INDEX('Semrush Data'!$A$1:$Z$20000,MATCH(V114,'Semrush Data'!$A$1:$A$20000,0),MATCH("CPC*",'Semrush Data'!$A$1:$Z$1,0)),"")</f>
        <v/>
      </c>
      <c r="Z114" s="58" t="inlineStr">
        <is>
          <t>deyga face wash · face wash for dry skin · natural face wash uk</t>
        </is>
      </c>
      <c r="AA114" s="58" t="n"/>
      <c r="AB114" s="58" t="inlineStr">
        <is>
          <t>Deyga Oat Milk Face Wash</t>
        </is>
      </c>
      <c r="AC114" s="58" t="inlineStr">
        <is>
          <t>Deyga Oat Milk Face Wash | Buy Online UK | Swansura</t>
        </is>
      </c>
      <c r="AD114" s="58">
        <f>LEN(AC114)</f>
        <v/>
      </c>
      <c r="AE114" s="58" t="inlineStr">
        <is>
          <t>Buy Deyga Oat Milk Face Wash online at Swansura, official UK partner of Deyga. Natural face wash. 100% authentic, shipped from the UK, free delivery over £50.</t>
        </is>
      </c>
      <c r="AF114" s="58">
        <f>LEN(AE114)</f>
        <v/>
      </c>
    </row>
    <row r="115" ht="15" customHeight="1" s="37">
      <c r="A115" s="58" t="inlineStr">
        <is>
          <t>VD-114</t>
        </is>
      </c>
      <c r="B115" s="58" t="inlineStr">
        <is>
          <t>Vilvah &amp; Deyga</t>
        </is>
      </c>
      <c r="C115" s="58" t="n">
        <v>114</v>
      </c>
      <c r="D115" s="58" t="inlineStr">
        <is>
          <t>Deyga</t>
        </is>
      </c>
      <c r="E115" s="58" t="n"/>
      <c r="F115" s="58" t="inlineStr">
        <is>
          <t>Bodycare</t>
        </is>
      </c>
      <c r="G115" s="58" t="inlineStr">
        <is>
          <t>Body Cream &amp; Lotions</t>
        </is>
      </c>
      <c r="H115" s="58" t="inlineStr">
        <is>
          <t>Dry Skin</t>
        </is>
      </c>
      <c r="I115" s="58" t="inlineStr">
        <is>
          <t>Almond Milk Body Lotion 100 ml</t>
        </is>
      </c>
      <c r="J115" s="58" t="inlineStr">
        <is>
          <t>100ml</t>
        </is>
      </c>
      <c r="K115" s="58" t="n">
        <v>14.99</v>
      </c>
      <c r="L115" s="58" t="inlineStr">
        <is>
          <t>deyga almond milk body lotion</t>
        </is>
      </c>
      <c r="M115" s="58" t="inlineStr">
        <is>
          <t>deyga almond milk body lotion uk</t>
        </is>
      </c>
      <c r="N115" s="58" t="inlineStr">
        <is>
          <t>buy deyga almond milk body lotion online</t>
        </is>
      </c>
      <c r="O115" s="58" t="inlineStr">
        <is>
          <t>deyga almond milk body lotion price</t>
        </is>
      </c>
      <c r="P115" s="58" t="n"/>
      <c r="Q115" s="59">
        <f>IF(L115="","",IFERROR(INDEX('Semrush Data'!$A$1:$Z$20000,MATCH(L115,'Semrush Data'!$A$1:$A$20000,0),MATCH("Volume",'Semrush Data'!$A$1:$Z$1,0)),""))</f>
        <v/>
      </c>
      <c r="R115" s="59">
        <f>IF(M115="","",IFERROR(INDEX('Semrush Data'!$A$1:$Z$20000,MATCH(M115,'Semrush Data'!$A$1:$A$20000,0),MATCH("Volume",'Semrush Data'!$A$1:$Z$1,0)),""))</f>
        <v/>
      </c>
      <c r="S115" s="59">
        <f>IF(N115="","",IFERROR(INDEX('Semrush Data'!$A$1:$Z$20000,MATCH(N115,'Semrush Data'!$A$1:$A$20000,0),MATCH("Volume",'Semrush Data'!$A$1:$Z$1,0)),""))</f>
        <v/>
      </c>
      <c r="T115" s="59">
        <f>IF(O115="","",IFERROR(INDEX('Semrush Data'!$A$1:$Z$20000,MATCH(O115,'Semrush Data'!$A$1:$A$20000,0),MATCH("Volume",'Semrush Data'!$A$1:$Z$1,0)),""))</f>
        <v/>
      </c>
      <c r="U115" s="59">
        <f>IF(P115="","",IFERROR(INDEX('Semrush Data'!$A$1:$Z$20000,MATCH(P115,'Semrush Data'!$A$1:$A$20000,0),MATCH("Volume",'Semrush Data'!$A$1:$Z$1,0)),""))</f>
        <v/>
      </c>
      <c r="V115" s="60">
        <f>IF(COUNT(Q115:U115)=0,L115,IF(MAX(Q115:U115)=0,L115,INDEX(L115:P115,MATCH(MAX(Q115:U115),Q115:U115,0))))</f>
        <v/>
      </c>
      <c r="W115" s="59">
        <f>IFERROR(INDEX('Semrush Data'!$A$1:$Z$20000,MATCH(V115,'Semrush Data'!$A$1:$A$20000,0),MATCH("Volume",'Semrush Data'!$A$1:$Z$1,0)),"")</f>
        <v/>
      </c>
      <c r="X115" s="59">
        <f>IFERROR(INDEX('Semrush Data'!$A$1:$Z$20000,MATCH(V115,'Semrush Data'!$A$1:$A$20000,0),MATCH("Keyword Difficulty*",'Semrush Data'!$A$1:$Z$1,0)),"")</f>
        <v/>
      </c>
      <c r="Y115" s="61">
        <f>IFERROR(INDEX('Semrush Data'!$A$1:$Z$20000,MATCH(V115,'Semrush Data'!$A$1:$A$20000,0),MATCH("CPC*",'Semrush Data'!$A$1:$Z$1,0)),"")</f>
        <v/>
      </c>
      <c r="Z115" s="58" t="inlineStr">
        <is>
          <t>deyga body lotion · body lotion for dry skin · natural body lotion uk</t>
        </is>
      </c>
      <c r="AA115" s="58" t="n"/>
      <c r="AB115" s="58" t="inlineStr">
        <is>
          <t>Deyga Almond Milk Body Lotion</t>
        </is>
      </c>
      <c r="AC115" s="58" t="inlineStr">
        <is>
          <t>Deyga Almond Milk Body Lotion | Buy Online UK | Swansura</t>
        </is>
      </c>
      <c r="AD115" s="58">
        <f>LEN(AC115)</f>
        <v/>
      </c>
      <c r="AE115" s="58" t="inlineStr">
        <is>
          <t>Buy Deyga Almond Milk Body Lotion online in the UK at Swansura, official UK partner of Deyga. Natural body lotion. 100% authentic, free UK delivery over £50.</t>
        </is>
      </c>
      <c r="AF115" s="58">
        <f>LEN(AE115)</f>
        <v/>
      </c>
    </row>
    <row r="116" ht="15" customHeight="1" s="37">
      <c r="A116" s="58" t="inlineStr">
        <is>
          <t>VD-115</t>
        </is>
      </c>
      <c r="B116" s="58" t="inlineStr">
        <is>
          <t>Vilvah &amp; Deyga</t>
        </is>
      </c>
      <c r="C116" s="58" t="n">
        <v>115</v>
      </c>
      <c r="D116" s="58" t="inlineStr">
        <is>
          <t>Deyga</t>
        </is>
      </c>
      <c r="E116" s="58" t="n"/>
      <c r="F116" s="58" t="inlineStr">
        <is>
          <t>Skincare</t>
        </is>
      </c>
      <c r="G116" s="58" t="inlineStr">
        <is>
          <t>Toners</t>
        </is>
      </c>
      <c r="H116" s="58" t="inlineStr">
        <is>
          <t>Skin Nourishment</t>
        </is>
      </c>
      <c r="I116" s="58" t="inlineStr">
        <is>
          <t>Pure Rose Water Toner 100 ml</t>
        </is>
      </c>
      <c r="J116" s="58" t="inlineStr">
        <is>
          <t>100ml</t>
        </is>
      </c>
      <c r="K116" s="58" t="n">
        <v>11.99</v>
      </c>
      <c r="L116" s="58" t="inlineStr">
        <is>
          <t>deyga pure rose water toner</t>
        </is>
      </c>
      <c r="M116" s="58" t="inlineStr">
        <is>
          <t>deyga pure rose water toner uk</t>
        </is>
      </c>
      <c r="N116" s="58" t="inlineStr">
        <is>
          <t>buy deyga pure rose water toner online</t>
        </is>
      </c>
      <c r="O116" s="58" t="inlineStr">
        <is>
          <t>deyga pure rose water toner price</t>
        </is>
      </c>
      <c r="P116" s="58" t="n"/>
      <c r="Q116" s="59">
        <f>IF(L116="","",IFERROR(INDEX('Semrush Data'!$A$1:$Z$20000,MATCH(L116,'Semrush Data'!$A$1:$A$20000,0),MATCH("Volume",'Semrush Data'!$A$1:$Z$1,0)),""))</f>
        <v/>
      </c>
      <c r="R116" s="59">
        <f>IF(M116="","",IFERROR(INDEX('Semrush Data'!$A$1:$Z$20000,MATCH(M116,'Semrush Data'!$A$1:$A$20000,0),MATCH("Volume",'Semrush Data'!$A$1:$Z$1,0)),""))</f>
        <v/>
      </c>
      <c r="S116" s="59">
        <f>IF(N116="","",IFERROR(INDEX('Semrush Data'!$A$1:$Z$20000,MATCH(N116,'Semrush Data'!$A$1:$A$20000,0),MATCH("Volume",'Semrush Data'!$A$1:$Z$1,0)),""))</f>
        <v/>
      </c>
      <c r="T116" s="59">
        <f>IF(O116="","",IFERROR(INDEX('Semrush Data'!$A$1:$Z$20000,MATCH(O116,'Semrush Data'!$A$1:$A$20000,0),MATCH("Volume",'Semrush Data'!$A$1:$Z$1,0)),""))</f>
        <v/>
      </c>
      <c r="U116" s="59">
        <f>IF(P116="","",IFERROR(INDEX('Semrush Data'!$A$1:$Z$20000,MATCH(P116,'Semrush Data'!$A$1:$A$20000,0),MATCH("Volume",'Semrush Data'!$A$1:$Z$1,0)),""))</f>
        <v/>
      </c>
      <c r="V116" s="60">
        <f>IF(COUNT(Q116:U116)=0,L116,IF(MAX(Q116:U116)=0,L116,INDEX(L116:P116,MATCH(MAX(Q116:U116),Q116:U116,0))))</f>
        <v/>
      </c>
      <c r="W116" s="59">
        <f>IFERROR(INDEX('Semrush Data'!$A$1:$Z$20000,MATCH(V116,'Semrush Data'!$A$1:$A$20000,0),MATCH("Volume",'Semrush Data'!$A$1:$Z$1,0)),"")</f>
        <v/>
      </c>
      <c r="X116" s="59">
        <f>IFERROR(INDEX('Semrush Data'!$A$1:$Z$20000,MATCH(V116,'Semrush Data'!$A$1:$A$20000,0),MATCH("Keyword Difficulty*",'Semrush Data'!$A$1:$Z$1,0)),"")</f>
        <v/>
      </c>
      <c r="Y116" s="61">
        <f>IFERROR(INDEX('Semrush Data'!$A$1:$Z$20000,MATCH(V116,'Semrush Data'!$A$1:$A$20000,0),MATCH("CPC*",'Semrush Data'!$A$1:$Z$1,0)),"")</f>
        <v/>
      </c>
      <c r="Z116" s="58" t="inlineStr">
        <is>
          <t>deyga toner · toner for skin nourishment · natural toner uk</t>
        </is>
      </c>
      <c r="AA116" s="58" t="n"/>
      <c r="AB116" s="58" t="inlineStr">
        <is>
          <t>Deyga Pure Rose Water Toner</t>
        </is>
      </c>
      <c r="AC116" s="58" t="inlineStr">
        <is>
          <t>Deyga Pure Rose Water Toner | Buy Online UK | Swansura</t>
        </is>
      </c>
      <c r="AD116" s="58">
        <f>LEN(AC116)</f>
        <v/>
      </c>
      <c r="AE116" s="58" t="inlineStr">
        <is>
          <t>Buy Deyga Pure Rose Water Toner online at Swansura, official UK partner of Deyga. A natural toner for nourished skin. 100% authentic, free UK delivery over £50.</t>
        </is>
      </c>
      <c r="AF116" s="58">
        <f>LEN(AE116)</f>
        <v/>
      </c>
    </row>
    <row r="117" ht="15" customHeight="1" s="37">
      <c r="A117" s="58" t="inlineStr">
        <is>
          <t>VD-116</t>
        </is>
      </c>
      <c r="B117" s="58" t="inlineStr">
        <is>
          <t>Vilvah &amp; Deyga</t>
        </is>
      </c>
      <c r="C117" s="58" t="n">
        <v>116</v>
      </c>
      <c r="D117" s="58" t="inlineStr">
        <is>
          <t>Deyga</t>
        </is>
      </c>
      <c r="E117" s="58" t="n"/>
      <c r="F117" s="58" t="inlineStr">
        <is>
          <t>Skincare</t>
        </is>
      </c>
      <c r="G117" s="58" t="inlineStr">
        <is>
          <t>Skincare Treatments</t>
        </is>
      </c>
      <c r="H117" s="58" t="inlineStr">
        <is>
          <t>Dull Skin</t>
        </is>
      </c>
      <c r="I117" s="58" t="inlineStr">
        <is>
          <t>Rose &amp; Mulethi Skin Brightening Pack 50 g</t>
        </is>
      </c>
      <c r="J117" s="58" t="inlineStr">
        <is>
          <t>50g</t>
        </is>
      </c>
      <c r="K117" s="58" t="n">
        <v>15.99</v>
      </c>
      <c r="L117" s="58" t="inlineStr">
        <is>
          <t>deyga rose &amp; mulethi skin brightening pack</t>
        </is>
      </c>
      <c r="M117" s="58" t="inlineStr">
        <is>
          <t>deyga rose &amp; mulethi skin brightening pack uk</t>
        </is>
      </c>
      <c r="N117" s="58" t="inlineStr">
        <is>
          <t>buy deyga rose &amp; mulethi skin brightening pack online</t>
        </is>
      </c>
      <c r="O117" s="58" t="inlineStr">
        <is>
          <t>deyga rose &amp; mulethi skin brightening pack price</t>
        </is>
      </c>
      <c r="P117" s="58" t="n"/>
      <c r="Q117" s="59">
        <f>IF(L117="","",IFERROR(INDEX('Semrush Data'!$A$1:$Z$20000,MATCH(L117,'Semrush Data'!$A$1:$A$20000,0),MATCH("Volume",'Semrush Data'!$A$1:$Z$1,0)),""))</f>
        <v/>
      </c>
      <c r="R117" s="59">
        <f>IF(M117="","",IFERROR(INDEX('Semrush Data'!$A$1:$Z$20000,MATCH(M117,'Semrush Data'!$A$1:$A$20000,0),MATCH("Volume",'Semrush Data'!$A$1:$Z$1,0)),""))</f>
        <v/>
      </c>
      <c r="S117" s="59">
        <f>IF(N117="","",IFERROR(INDEX('Semrush Data'!$A$1:$Z$20000,MATCH(N117,'Semrush Data'!$A$1:$A$20000,0),MATCH("Volume",'Semrush Data'!$A$1:$Z$1,0)),""))</f>
        <v/>
      </c>
      <c r="T117" s="59">
        <f>IF(O117="","",IFERROR(INDEX('Semrush Data'!$A$1:$Z$20000,MATCH(O117,'Semrush Data'!$A$1:$A$20000,0),MATCH("Volume",'Semrush Data'!$A$1:$Z$1,0)),""))</f>
        <v/>
      </c>
      <c r="U117" s="59">
        <f>IF(P117="","",IFERROR(INDEX('Semrush Data'!$A$1:$Z$20000,MATCH(P117,'Semrush Data'!$A$1:$A$20000,0),MATCH("Volume",'Semrush Data'!$A$1:$Z$1,0)),""))</f>
        <v/>
      </c>
      <c r="V117" s="60">
        <f>IF(COUNT(Q117:U117)=0,L117,IF(MAX(Q117:U117)=0,L117,INDEX(L117:P117,MATCH(MAX(Q117:U117),Q117:U117,0))))</f>
        <v/>
      </c>
      <c r="W117" s="59">
        <f>IFERROR(INDEX('Semrush Data'!$A$1:$Z$20000,MATCH(V117,'Semrush Data'!$A$1:$A$20000,0),MATCH("Volume",'Semrush Data'!$A$1:$Z$1,0)),"")</f>
        <v/>
      </c>
      <c r="X117" s="59">
        <f>IFERROR(INDEX('Semrush Data'!$A$1:$Z$20000,MATCH(V117,'Semrush Data'!$A$1:$A$20000,0),MATCH("Keyword Difficulty*",'Semrush Data'!$A$1:$Z$1,0)),"")</f>
        <v/>
      </c>
      <c r="Y117" s="61">
        <f>IFERROR(INDEX('Semrush Data'!$A$1:$Z$20000,MATCH(V117,'Semrush Data'!$A$1:$A$20000,0),MATCH("CPC*",'Semrush Data'!$A$1:$Z$1,0)),"")</f>
        <v/>
      </c>
      <c r="Z117" s="58" t="inlineStr">
        <is>
          <t>deyga skincare · skincare for dull skin · natural skincare uk</t>
        </is>
      </c>
      <c r="AA117" s="58" t="n"/>
      <c r="AB117" s="58" t="inlineStr">
        <is>
          <t>Deyga Rose &amp; Mulethi Skin Brightening Pack</t>
        </is>
      </c>
      <c r="AC117" s="58" t="inlineStr">
        <is>
          <t>Deyga Rose &amp; Mulethi Skin Brightening Pack | Swansura UK</t>
        </is>
      </c>
      <c r="AD117" s="58">
        <f>LEN(AC117)</f>
        <v/>
      </c>
      <c r="AE117" s="58" t="inlineStr">
        <is>
          <t>Buy Deyga Rose &amp; Mulethi Skin Brightening Pack online at Swansura, official UK partner of Deyga. 100% authentic, shipped from the UK, free delivery over £50.</t>
        </is>
      </c>
      <c r="AF117" s="58">
        <f>LEN(AE117)</f>
        <v/>
      </c>
    </row>
    <row r="118" ht="15" customHeight="1" s="37">
      <c r="A118" s="58" t="inlineStr">
        <is>
          <t>VD-117</t>
        </is>
      </c>
      <c r="B118" s="58" t="inlineStr">
        <is>
          <t>Vilvah &amp; Deyga</t>
        </is>
      </c>
      <c r="C118" s="58" t="n">
        <v>117</v>
      </c>
      <c r="D118" s="58" t="inlineStr">
        <is>
          <t>Deyga</t>
        </is>
      </c>
      <c r="E118" s="58" t="n"/>
      <c r="F118" s="58" t="inlineStr">
        <is>
          <t>Skincare</t>
        </is>
      </c>
      <c r="G118" s="58" t="inlineStr">
        <is>
          <t>Lip Care</t>
        </is>
      </c>
      <c r="H118" s="58" t="inlineStr">
        <is>
          <t>Dry Lips</t>
        </is>
      </c>
      <c r="I118" s="58" t="inlineStr">
        <is>
          <t>Beetroot Lip Balm Stick 5.5 g</t>
        </is>
      </c>
      <c r="J118" s="58" t="inlineStr">
        <is>
          <t>5.5g</t>
        </is>
      </c>
      <c r="K118" s="58" t="n">
        <v>26.99</v>
      </c>
      <c r="L118" s="58" t="inlineStr">
        <is>
          <t>deyga beetroot lip balm stick</t>
        </is>
      </c>
      <c r="M118" s="58" t="inlineStr">
        <is>
          <t>deyga beetroot lip balm stick uk</t>
        </is>
      </c>
      <c r="N118" s="58" t="inlineStr">
        <is>
          <t>buy deyga beetroot lip balm stick online</t>
        </is>
      </c>
      <c r="O118" s="58" t="inlineStr">
        <is>
          <t>deyga beetroot lip balm stick price</t>
        </is>
      </c>
      <c r="P118" s="58" t="n"/>
      <c r="Q118" s="59">
        <f>IF(L118="","",IFERROR(INDEX('Semrush Data'!$A$1:$Z$20000,MATCH(L118,'Semrush Data'!$A$1:$A$20000,0),MATCH("Volume",'Semrush Data'!$A$1:$Z$1,0)),""))</f>
        <v/>
      </c>
      <c r="R118" s="59">
        <f>IF(M118="","",IFERROR(INDEX('Semrush Data'!$A$1:$Z$20000,MATCH(M118,'Semrush Data'!$A$1:$A$20000,0),MATCH("Volume",'Semrush Data'!$A$1:$Z$1,0)),""))</f>
        <v/>
      </c>
      <c r="S118" s="59">
        <f>IF(N118="","",IFERROR(INDEX('Semrush Data'!$A$1:$Z$20000,MATCH(N118,'Semrush Data'!$A$1:$A$20000,0),MATCH("Volume",'Semrush Data'!$A$1:$Z$1,0)),""))</f>
        <v/>
      </c>
      <c r="T118" s="59">
        <f>IF(O118="","",IFERROR(INDEX('Semrush Data'!$A$1:$Z$20000,MATCH(O118,'Semrush Data'!$A$1:$A$20000,0),MATCH("Volume",'Semrush Data'!$A$1:$Z$1,0)),""))</f>
        <v/>
      </c>
      <c r="U118" s="59">
        <f>IF(P118="","",IFERROR(INDEX('Semrush Data'!$A$1:$Z$20000,MATCH(P118,'Semrush Data'!$A$1:$A$20000,0),MATCH("Volume",'Semrush Data'!$A$1:$Z$1,0)),""))</f>
        <v/>
      </c>
      <c r="V118" s="60">
        <f>IF(COUNT(Q118:U118)=0,L118,IF(MAX(Q118:U118)=0,L118,INDEX(L118:P118,MATCH(MAX(Q118:U118),Q118:U118,0))))</f>
        <v/>
      </c>
      <c r="W118" s="59">
        <f>IFERROR(INDEX('Semrush Data'!$A$1:$Z$20000,MATCH(V118,'Semrush Data'!$A$1:$A$20000,0),MATCH("Volume",'Semrush Data'!$A$1:$Z$1,0)),"")</f>
        <v/>
      </c>
      <c r="X118" s="59">
        <f>IFERROR(INDEX('Semrush Data'!$A$1:$Z$20000,MATCH(V118,'Semrush Data'!$A$1:$A$20000,0),MATCH("Keyword Difficulty*",'Semrush Data'!$A$1:$Z$1,0)),"")</f>
        <v/>
      </c>
      <c r="Y118" s="61">
        <f>IFERROR(INDEX('Semrush Data'!$A$1:$Z$20000,MATCH(V118,'Semrush Data'!$A$1:$A$20000,0),MATCH("CPC*",'Semrush Data'!$A$1:$Z$1,0)),"")</f>
        <v/>
      </c>
      <c r="Z118" s="58" t="inlineStr">
        <is>
          <t>deyga lip balm · lip balm for dry lips · natural lip balm uk</t>
        </is>
      </c>
      <c r="AA118" s="58" t="inlineStr">
        <is>
          <t>deyga beetroot lip balm stick review · deyga beetroot lip balm review</t>
        </is>
      </c>
      <c r="AB118" s="58" t="inlineStr">
        <is>
          <t>Deyga Beetroot Lip Balm Stick</t>
        </is>
      </c>
      <c r="AC118" s="58" t="inlineStr">
        <is>
          <t>Deyga Beetroot Lip Balm Stick | Buy Online UK | Swansura</t>
        </is>
      </c>
      <c r="AD118" s="58">
        <f>LEN(AC118)</f>
        <v/>
      </c>
      <c r="AE118" s="58" t="inlineStr">
        <is>
          <t>Buy Deyga Beetroot Lip Balm Stick online at Swansura, official UK partner of Deyga. A natural lip care for dry lips. 100% authentic, free UK delivery over £50.</t>
        </is>
      </c>
      <c r="AF118" s="58">
        <f>LEN(AE118)</f>
        <v/>
      </c>
    </row>
    <row r="119" ht="15" customHeight="1" s="37">
      <c r="A119" s="58" t="inlineStr">
        <is>
          <t>VD-118</t>
        </is>
      </c>
      <c r="B119" s="58" t="inlineStr">
        <is>
          <t>Vilvah &amp; Deyga</t>
        </is>
      </c>
      <c r="C119" s="58" t="n">
        <v>118</v>
      </c>
      <c r="D119" s="58" t="inlineStr">
        <is>
          <t>Deyga</t>
        </is>
      </c>
      <c r="E119" s="58" t="n"/>
      <c r="F119" s="58" t="inlineStr">
        <is>
          <t>Bodycare</t>
        </is>
      </c>
      <c r="G119" s="58" t="inlineStr">
        <is>
          <t>Body Care</t>
        </is>
      </c>
      <c r="H119" s="58" t="inlineStr">
        <is>
          <t>Dry Skin</t>
        </is>
      </c>
      <c r="I119" s="58" t="inlineStr">
        <is>
          <t>Face &amp; Body Exfoliator Powder 50 g</t>
        </is>
      </c>
      <c r="J119" s="58" t="inlineStr">
        <is>
          <t>50g</t>
        </is>
      </c>
      <c r="K119" s="58" t="n">
        <v>15.99</v>
      </c>
      <c r="L119" s="58" t="inlineStr">
        <is>
          <t>deyga face &amp; body exfoliator powder</t>
        </is>
      </c>
      <c r="M119" s="58" t="inlineStr">
        <is>
          <t>deyga face &amp; body exfoliator powder uk</t>
        </is>
      </c>
      <c r="N119" s="58" t="inlineStr">
        <is>
          <t>buy deyga face &amp; body exfoliator powder online</t>
        </is>
      </c>
      <c r="O119" s="58" t="inlineStr">
        <is>
          <t>deyga face &amp; body exfoliator powder price</t>
        </is>
      </c>
      <c r="P119" s="58" t="n"/>
      <c r="Q119" s="59">
        <f>IF(L119="","",IFERROR(INDEX('Semrush Data'!$A$1:$Z$20000,MATCH(L119,'Semrush Data'!$A$1:$A$20000,0),MATCH("Volume",'Semrush Data'!$A$1:$Z$1,0)),""))</f>
        <v/>
      </c>
      <c r="R119" s="59">
        <f>IF(M119="","",IFERROR(INDEX('Semrush Data'!$A$1:$Z$20000,MATCH(M119,'Semrush Data'!$A$1:$A$20000,0),MATCH("Volume",'Semrush Data'!$A$1:$Z$1,0)),""))</f>
        <v/>
      </c>
      <c r="S119" s="59">
        <f>IF(N119="","",IFERROR(INDEX('Semrush Data'!$A$1:$Z$20000,MATCH(N119,'Semrush Data'!$A$1:$A$20000,0),MATCH("Volume",'Semrush Data'!$A$1:$Z$1,0)),""))</f>
        <v/>
      </c>
      <c r="T119" s="59">
        <f>IF(O119="","",IFERROR(INDEX('Semrush Data'!$A$1:$Z$20000,MATCH(O119,'Semrush Data'!$A$1:$A$20000,0),MATCH("Volume",'Semrush Data'!$A$1:$Z$1,0)),""))</f>
        <v/>
      </c>
      <c r="U119" s="59">
        <f>IF(P119="","",IFERROR(INDEX('Semrush Data'!$A$1:$Z$20000,MATCH(P119,'Semrush Data'!$A$1:$A$20000,0),MATCH("Volume",'Semrush Data'!$A$1:$Z$1,0)),""))</f>
        <v/>
      </c>
      <c r="V119" s="60">
        <f>IF(COUNT(Q119:U119)=0,L119,IF(MAX(Q119:U119)=0,L119,INDEX(L119:P119,MATCH(MAX(Q119:U119),Q119:U119,0))))</f>
        <v/>
      </c>
      <c r="W119" s="59">
        <f>IFERROR(INDEX('Semrush Data'!$A$1:$Z$20000,MATCH(V119,'Semrush Data'!$A$1:$A$20000,0),MATCH("Volume",'Semrush Data'!$A$1:$Z$1,0)),"")</f>
        <v/>
      </c>
      <c r="X119" s="59">
        <f>IFERROR(INDEX('Semrush Data'!$A$1:$Z$20000,MATCH(V119,'Semrush Data'!$A$1:$A$20000,0),MATCH("Keyword Difficulty*",'Semrush Data'!$A$1:$Z$1,0)),"")</f>
        <v/>
      </c>
      <c r="Y119" s="61">
        <f>IFERROR(INDEX('Semrush Data'!$A$1:$Z$20000,MATCH(V119,'Semrush Data'!$A$1:$A$20000,0),MATCH("CPC*",'Semrush Data'!$A$1:$Z$1,0)),"")</f>
        <v/>
      </c>
      <c r="Z119" s="58" t="inlineStr">
        <is>
          <t>deyga body care · body care for dry skin · natural body care uk</t>
        </is>
      </c>
      <c r="AA119" s="58" t="n"/>
      <c r="AB119" s="58" t="inlineStr">
        <is>
          <t>Deyga Face &amp; Body Exfoliator Powder</t>
        </is>
      </c>
      <c r="AC119" s="58" t="inlineStr">
        <is>
          <t>Deyga Face &amp; Body Exfoliator Powder | Swansura UK</t>
        </is>
      </c>
      <c r="AD119" s="58">
        <f>LEN(AC119)</f>
        <v/>
      </c>
      <c r="AE119" s="58" t="inlineStr">
        <is>
          <t>Buy Deyga Face &amp; Body Exfoliator Powder online in the UK at Swansura, official UK partner of Deyga. A natural body care for dry skin. Free UK delivery over £50.</t>
        </is>
      </c>
      <c r="AF119" s="58">
        <f>LEN(AE119)</f>
        <v/>
      </c>
    </row>
    <row r="120" ht="15" customHeight="1" s="37">
      <c r="A120" s="58" t="inlineStr">
        <is>
          <t>VD-119</t>
        </is>
      </c>
      <c r="B120" s="58" t="inlineStr">
        <is>
          <t>Vilvah &amp; Deyga</t>
        </is>
      </c>
      <c r="C120" s="58" t="n">
        <v>119</v>
      </c>
      <c r="D120" s="58" t="inlineStr">
        <is>
          <t>Deyga</t>
        </is>
      </c>
      <c r="E120" s="58" t="n"/>
      <c r="F120" s="58" t="inlineStr">
        <is>
          <t>Skincare</t>
        </is>
      </c>
      <c r="G120" s="58" t="inlineStr">
        <is>
          <t>Skincare Treatments</t>
        </is>
      </c>
      <c r="H120" s="58" t="inlineStr">
        <is>
          <t>Dull Skin</t>
        </is>
      </c>
      <c r="I120" s="58" t="inlineStr">
        <is>
          <t>Rose &amp; Mulethi Skin Brightening Pack</t>
        </is>
      </c>
      <c r="J120" s="58" t="inlineStr">
        <is>
          <t>50g</t>
        </is>
      </c>
      <c r="K120" s="58" t="n">
        <v>21.99</v>
      </c>
      <c r="L120" s="58" t="inlineStr">
        <is>
          <t>deyga rose &amp; mulethi skin brightening pack</t>
        </is>
      </c>
      <c r="M120" s="58" t="inlineStr">
        <is>
          <t>deyga rose &amp; mulethi skin brightening pack uk</t>
        </is>
      </c>
      <c r="N120" s="58" t="inlineStr">
        <is>
          <t>buy deyga rose &amp; mulethi skin brightening pack online</t>
        </is>
      </c>
      <c r="O120" s="58" t="inlineStr">
        <is>
          <t>deyga rose &amp; mulethi skin brightening pack price</t>
        </is>
      </c>
      <c r="P120" s="58" t="n"/>
      <c r="Q120" s="59">
        <f>IF(L120="","",IFERROR(INDEX('Semrush Data'!$A$1:$Z$20000,MATCH(L120,'Semrush Data'!$A$1:$A$20000,0),MATCH("Volume",'Semrush Data'!$A$1:$Z$1,0)),""))</f>
        <v/>
      </c>
      <c r="R120" s="59">
        <f>IF(M120="","",IFERROR(INDEX('Semrush Data'!$A$1:$Z$20000,MATCH(M120,'Semrush Data'!$A$1:$A$20000,0),MATCH("Volume",'Semrush Data'!$A$1:$Z$1,0)),""))</f>
        <v/>
      </c>
      <c r="S120" s="59">
        <f>IF(N120="","",IFERROR(INDEX('Semrush Data'!$A$1:$Z$20000,MATCH(N120,'Semrush Data'!$A$1:$A$20000,0),MATCH("Volume",'Semrush Data'!$A$1:$Z$1,0)),""))</f>
        <v/>
      </c>
      <c r="T120" s="59">
        <f>IF(O120="","",IFERROR(INDEX('Semrush Data'!$A$1:$Z$20000,MATCH(O120,'Semrush Data'!$A$1:$A$20000,0),MATCH("Volume",'Semrush Data'!$A$1:$Z$1,0)),""))</f>
        <v/>
      </c>
      <c r="U120" s="59">
        <f>IF(P120="","",IFERROR(INDEX('Semrush Data'!$A$1:$Z$20000,MATCH(P120,'Semrush Data'!$A$1:$A$20000,0),MATCH("Volume",'Semrush Data'!$A$1:$Z$1,0)),""))</f>
        <v/>
      </c>
      <c r="V120" s="60">
        <f>IF(COUNT(Q120:U120)=0,L120,IF(MAX(Q120:U120)=0,L120,INDEX(L120:P120,MATCH(MAX(Q120:U120),Q120:U120,0))))</f>
        <v/>
      </c>
      <c r="W120" s="59">
        <f>IFERROR(INDEX('Semrush Data'!$A$1:$Z$20000,MATCH(V120,'Semrush Data'!$A$1:$A$20000,0),MATCH("Volume",'Semrush Data'!$A$1:$Z$1,0)),"")</f>
        <v/>
      </c>
      <c r="X120" s="59">
        <f>IFERROR(INDEX('Semrush Data'!$A$1:$Z$20000,MATCH(V120,'Semrush Data'!$A$1:$A$20000,0),MATCH("Keyword Difficulty*",'Semrush Data'!$A$1:$Z$1,0)),"")</f>
        <v/>
      </c>
      <c r="Y120" s="61">
        <f>IFERROR(INDEX('Semrush Data'!$A$1:$Z$20000,MATCH(V120,'Semrush Data'!$A$1:$A$20000,0),MATCH("CPC*",'Semrush Data'!$A$1:$Z$1,0)),"")</f>
        <v/>
      </c>
      <c r="Z120" s="58" t="inlineStr">
        <is>
          <t>deyga skincare · skincare for dull skin · natural skincare uk</t>
        </is>
      </c>
      <c r="AA120" s="58" t="n"/>
      <c r="AB120" s="58" t="inlineStr">
        <is>
          <t>Deyga Rose &amp; Mulethi Skin Brightening Pack</t>
        </is>
      </c>
      <c r="AC120" s="58" t="inlineStr">
        <is>
          <t>Deyga Rose &amp; Mulethi Skin Brightening Pack | Swansura UK</t>
        </is>
      </c>
      <c r="AD120" s="58">
        <f>LEN(AC120)</f>
        <v/>
      </c>
      <c r="AE120" s="58" t="inlineStr">
        <is>
          <t>Buy Deyga Rose &amp; Mulethi Skin Brightening Pack online at Swansura, official UK partner of Deyga. 100% authentic, shipped from the UK, free delivery over £50.</t>
        </is>
      </c>
      <c r="AF120" s="58">
        <f>LEN(AE120)</f>
        <v/>
      </c>
    </row>
    <row r="121" ht="15" customHeight="1" s="37">
      <c r="A121" s="58" t="inlineStr">
        <is>
          <t>VD-120</t>
        </is>
      </c>
      <c r="B121" s="58" t="inlineStr">
        <is>
          <t>Vilvah &amp; Deyga</t>
        </is>
      </c>
      <c r="C121" s="58" t="n">
        <v>120</v>
      </c>
      <c r="D121" s="58" t="inlineStr">
        <is>
          <t>Deyga</t>
        </is>
      </c>
      <c r="E121" s="58" t="n"/>
      <c r="F121" s="58" t="inlineStr">
        <is>
          <t>Skincare</t>
        </is>
      </c>
      <c r="G121" s="58" t="inlineStr">
        <is>
          <t>Serums</t>
        </is>
      </c>
      <c r="H121" s="58" t="inlineStr">
        <is>
          <t>Dull Skin</t>
        </is>
      </c>
      <c r="I121" s="58" t="inlineStr">
        <is>
          <t>Beautifying Serum 30 ml</t>
        </is>
      </c>
      <c r="J121" s="58" t="inlineStr">
        <is>
          <t>30ml</t>
        </is>
      </c>
      <c r="K121" s="58" t="n">
        <v>17.99</v>
      </c>
      <c r="L121" s="58" t="inlineStr">
        <is>
          <t>deyga beautifying serum</t>
        </is>
      </c>
      <c r="M121" s="58" t="inlineStr">
        <is>
          <t>deyga beautifying serum uk</t>
        </is>
      </c>
      <c r="N121" s="58" t="inlineStr">
        <is>
          <t>buy deyga beautifying serum online</t>
        </is>
      </c>
      <c r="O121" s="58" t="inlineStr">
        <is>
          <t>deyga beautifying serum price</t>
        </is>
      </c>
      <c r="P121" s="58" t="n"/>
      <c r="Q121" s="59">
        <f>IF(L121="","",IFERROR(INDEX('Semrush Data'!$A$1:$Z$20000,MATCH(L121,'Semrush Data'!$A$1:$A$20000,0),MATCH("Volume",'Semrush Data'!$A$1:$Z$1,0)),""))</f>
        <v/>
      </c>
      <c r="R121" s="59">
        <f>IF(M121="","",IFERROR(INDEX('Semrush Data'!$A$1:$Z$20000,MATCH(M121,'Semrush Data'!$A$1:$A$20000,0),MATCH("Volume",'Semrush Data'!$A$1:$Z$1,0)),""))</f>
        <v/>
      </c>
      <c r="S121" s="59">
        <f>IF(N121="","",IFERROR(INDEX('Semrush Data'!$A$1:$Z$20000,MATCH(N121,'Semrush Data'!$A$1:$A$20000,0),MATCH("Volume",'Semrush Data'!$A$1:$Z$1,0)),""))</f>
        <v/>
      </c>
      <c r="T121" s="59">
        <f>IF(O121="","",IFERROR(INDEX('Semrush Data'!$A$1:$Z$20000,MATCH(O121,'Semrush Data'!$A$1:$A$20000,0),MATCH("Volume",'Semrush Data'!$A$1:$Z$1,0)),""))</f>
        <v/>
      </c>
      <c r="U121" s="59">
        <f>IF(P121="","",IFERROR(INDEX('Semrush Data'!$A$1:$Z$20000,MATCH(P121,'Semrush Data'!$A$1:$A$20000,0),MATCH("Volume",'Semrush Data'!$A$1:$Z$1,0)),""))</f>
        <v/>
      </c>
      <c r="V121" s="60">
        <f>IF(COUNT(Q121:U121)=0,L121,IF(MAX(Q121:U121)=0,L121,INDEX(L121:P121,MATCH(MAX(Q121:U121),Q121:U121,0))))</f>
        <v/>
      </c>
      <c r="W121" s="59">
        <f>IFERROR(INDEX('Semrush Data'!$A$1:$Z$20000,MATCH(V121,'Semrush Data'!$A$1:$A$20000,0),MATCH("Volume",'Semrush Data'!$A$1:$Z$1,0)),"")</f>
        <v/>
      </c>
      <c r="X121" s="59">
        <f>IFERROR(INDEX('Semrush Data'!$A$1:$Z$20000,MATCH(V121,'Semrush Data'!$A$1:$A$20000,0),MATCH("Keyword Difficulty*",'Semrush Data'!$A$1:$Z$1,0)),"")</f>
        <v/>
      </c>
      <c r="Y121" s="61">
        <f>IFERROR(INDEX('Semrush Data'!$A$1:$Z$20000,MATCH(V121,'Semrush Data'!$A$1:$A$20000,0),MATCH("CPC*",'Semrush Data'!$A$1:$Z$1,0)),"")</f>
        <v/>
      </c>
      <c r="Z121" s="58" t="inlineStr">
        <is>
          <t>deyga face serum · face serum for dull skin · natural face serum uk</t>
        </is>
      </c>
      <c r="AA121" s="58" t="inlineStr">
        <is>
          <t>deyga beautifying serum review · deyga beautifying serum benefits</t>
        </is>
      </c>
      <c r="AB121" s="58" t="inlineStr">
        <is>
          <t>Deyga Beautifying Serum</t>
        </is>
      </c>
      <c r="AC121" s="58" t="inlineStr">
        <is>
          <t>Deyga Beautifying Serum | Buy Online UK | Swansura</t>
        </is>
      </c>
      <c r="AD121" s="58">
        <f>LEN(AC121)</f>
        <v/>
      </c>
      <c r="AE121" s="58" t="inlineStr">
        <is>
          <t>Buy Deyga Beautifying Serum online at Swansura, official UK partner of Deyga. Natural serum. 100% authentic, shipped from the UK, free delivery over £50.</t>
        </is>
      </c>
      <c r="AF121" s="58">
        <f>LEN(AE121)</f>
        <v/>
      </c>
    </row>
    <row r="122" ht="15" customHeight="1" s="37">
      <c r="A122" s="58" t="inlineStr">
        <is>
          <t>VD-121</t>
        </is>
      </c>
      <c r="B122" s="58" t="inlineStr">
        <is>
          <t>Vilvah &amp; Deyga</t>
        </is>
      </c>
      <c r="C122" s="58" t="n">
        <v>121</v>
      </c>
      <c r="D122" s="58" t="inlineStr">
        <is>
          <t>Deyga</t>
        </is>
      </c>
      <c r="E122" s="58" t="n"/>
      <c r="F122" s="58" t="inlineStr">
        <is>
          <t>Bodycare</t>
        </is>
      </c>
      <c r="G122" s="58" t="inlineStr">
        <is>
          <t>Body Care</t>
        </is>
      </c>
      <c r="H122" s="58" t="inlineStr">
        <is>
          <t>Body Hydration</t>
        </is>
      </c>
      <c r="I122" s="58" t="inlineStr">
        <is>
          <t>Charcoal Bath Bar 130 g</t>
        </is>
      </c>
      <c r="J122" s="58" t="inlineStr">
        <is>
          <t>130g</t>
        </is>
      </c>
      <c r="K122" s="58" t="n">
        <v>10.99</v>
      </c>
      <c r="L122" s="58" t="inlineStr">
        <is>
          <t>deyga charcoal bath bar</t>
        </is>
      </c>
      <c r="M122" s="58" t="inlineStr">
        <is>
          <t>deyga charcoal bath bar uk</t>
        </is>
      </c>
      <c r="N122" s="58" t="inlineStr">
        <is>
          <t>buy deyga charcoal bath bar online</t>
        </is>
      </c>
      <c r="O122" s="58" t="inlineStr">
        <is>
          <t>deyga charcoal bath bar price</t>
        </is>
      </c>
      <c r="P122" s="58" t="n"/>
      <c r="Q122" s="59">
        <f>IF(L122="","",IFERROR(INDEX('Semrush Data'!$A$1:$Z$20000,MATCH(L122,'Semrush Data'!$A$1:$A$20000,0),MATCH("Volume",'Semrush Data'!$A$1:$Z$1,0)),""))</f>
        <v/>
      </c>
      <c r="R122" s="59">
        <f>IF(M122="","",IFERROR(INDEX('Semrush Data'!$A$1:$Z$20000,MATCH(M122,'Semrush Data'!$A$1:$A$20000,0),MATCH("Volume",'Semrush Data'!$A$1:$Z$1,0)),""))</f>
        <v/>
      </c>
      <c r="S122" s="59">
        <f>IF(N122="","",IFERROR(INDEX('Semrush Data'!$A$1:$Z$20000,MATCH(N122,'Semrush Data'!$A$1:$A$20000,0),MATCH("Volume",'Semrush Data'!$A$1:$Z$1,0)),""))</f>
        <v/>
      </c>
      <c r="T122" s="59">
        <f>IF(O122="","",IFERROR(INDEX('Semrush Data'!$A$1:$Z$20000,MATCH(O122,'Semrush Data'!$A$1:$A$20000,0),MATCH("Volume",'Semrush Data'!$A$1:$Z$1,0)),""))</f>
        <v/>
      </c>
      <c r="U122" s="59">
        <f>IF(P122="","",IFERROR(INDEX('Semrush Data'!$A$1:$Z$20000,MATCH(P122,'Semrush Data'!$A$1:$A$20000,0),MATCH("Volume",'Semrush Data'!$A$1:$Z$1,0)),""))</f>
        <v/>
      </c>
      <c r="V122" s="60">
        <f>IF(COUNT(Q122:U122)=0,L122,IF(MAX(Q122:U122)=0,L122,INDEX(L122:P122,MATCH(MAX(Q122:U122),Q122:U122,0))))</f>
        <v/>
      </c>
      <c r="W122" s="59">
        <f>IFERROR(INDEX('Semrush Data'!$A$1:$Z$20000,MATCH(V122,'Semrush Data'!$A$1:$A$20000,0),MATCH("Volume",'Semrush Data'!$A$1:$Z$1,0)),"")</f>
        <v/>
      </c>
      <c r="X122" s="59">
        <f>IFERROR(INDEX('Semrush Data'!$A$1:$Z$20000,MATCH(V122,'Semrush Data'!$A$1:$A$20000,0),MATCH("Keyword Difficulty*",'Semrush Data'!$A$1:$Z$1,0)),"")</f>
        <v/>
      </c>
      <c r="Y122" s="61">
        <f>IFERROR(INDEX('Semrush Data'!$A$1:$Z$20000,MATCH(V122,'Semrush Data'!$A$1:$A$20000,0),MATCH("CPC*",'Semrush Data'!$A$1:$Z$1,0)),"")</f>
        <v/>
      </c>
      <c r="Z122" s="58" t="inlineStr">
        <is>
          <t>deyga body care · body care for body hydration · natural body care uk</t>
        </is>
      </c>
      <c r="AA122" s="58" t="inlineStr">
        <is>
          <t>charcoal bath bar deyga review · deyga charcoal soap ingredients · deyga charcoal soap review · deyga charcoal soap price</t>
        </is>
      </c>
      <c r="AB122" s="58" t="inlineStr">
        <is>
          <t>Deyga Charcoal Bath Bar</t>
        </is>
      </c>
      <c r="AC122" s="58" t="inlineStr">
        <is>
          <t>Deyga Charcoal Bath Bar | Buy Online UK | Swansura</t>
        </is>
      </c>
      <c r="AD122" s="58">
        <f>LEN(AC122)</f>
        <v/>
      </c>
      <c r="AE122" s="58" t="inlineStr">
        <is>
          <t>Buy Deyga Charcoal Bath Bar online in the UK at Swansura, official UK partner of Deyga. A natural body care for soft, hydrated skin. Free UK delivery over £50.</t>
        </is>
      </c>
      <c r="AF122" s="58">
        <f>LEN(AE122)</f>
        <v/>
      </c>
    </row>
    <row r="123" ht="15" customHeight="1" s="37">
      <c r="A123" s="58" t="inlineStr">
        <is>
          <t>VD-122</t>
        </is>
      </c>
      <c r="B123" s="58" t="inlineStr">
        <is>
          <t>Vilvah &amp; Deyga</t>
        </is>
      </c>
      <c r="C123" s="58" t="n">
        <v>122</v>
      </c>
      <c r="D123" s="58" t="inlineStr">
        <is>
          <t>Deyga</t>
        </is>
      </c>
      <c r="E123" s="58" t="n"/>
      <c r="F123" s="58" t="inlineStr">
        <is>
          <t>Haircare</t>
        </is>
      </c>
      <c r="G123" s="58" t="inlineStr">
        <is>
          <t>Hair Oil</t>
        </is>
      </c>
      <c r="H123" s="58" t="inlineStr">
        <is>
          <t>Hair Thinning &amp; Loss</t>
        </is>
      </c>
      <c r="I123" s="58" t="inlineStr">
        <is>
          <t>Hair Growth Oil 100 ml</t>
        </is>
      </c>
      <c r="J123" s="58" t="inlineStr">
        <is>
          <t>100ml</t>
        </is>
      </c>
      <c r="K123" s="58" t="n">
        <v>14.99</v>
      </c>
      <c r="L123" s="58" t="inlineStr">
        <is>
          <t>deyga hair growth oil</t>
        </is>
      </c>
      <c r="M123" s="58" t="inlineStr">
        <is>
          <t>deyga hair growth oil uk</t>
        </is>
      </c>
      <c r="N123" s="58" t="inlineStr">
        <is>
          <t>buy deyga hair growth oil online</t>
        </is>
      </c>
      <c r="O123" s="58" t="inlineStr">
        <is>
          <t>deyga hair growth oil price</t>
        </is>
      </c>
      <c r="P123" s="58" t="n"/>
      <c r="Q123" s="59">
        <f>IF(L123="","",IFERROR(INDEX('Semrush Data'!$A$1:$Z$20000,MATCH(L123,'Semrush Data'!$A$1:$A$20000,0),MATCH("Volume",'Semrush Data'!$A$1:$Z$1,0)),""))</f>
        <v/>
      </c>
      <c r="R123" s="59">
        <f>IF(M123="","",IFERROR(INDEX('Semrush Data'!$A$1:$Z$20000,MATCH(M123,'Semrush Data'!$A$1:$A$20000,0),MATCH("Volume",'Semrush Data'!$A$1:$Z$1,0)),""))</f>
        <v/>
      </c>
      <c r="S123" s="59">
        <f>IF(N123="","",IFERROR(INDEX('Semrush Data'!$A$1:$Z$20000,MATCH(N123,'Semrush Data'!$A$1:$A$20000,0),MATCH("Volume",'Semrush Data'!$A$1:$Z$1,0)),""))</f>
        <v/>
      </c>
      <c r="T123" s="59">
        <f>IF(O123="","",IFERROR(INDEX('Semrush Data'!$A$1:$Z$20000,MATCH(O123,'Semrush Data'!$A$1:$A$20000,0),MATCH("Volume",'Semrush Data'!$A$1:$Z$1,0)),""))</f>
        <v/>
      </c>
      <c r="U123" s="59">
        <f>IF(P123="","",IFERROR(INDEX('Semrush Data'!$A$1:$Z$20000,MATCH(P123,'Semrush Data'!$A$1:$A$20000,0),MATCH("Volume",'Semrush Data'!$A$1:$Z$1,0)),""))</f>
        <v/>
      </c>
      <c r="V123" s="60">
        <f>IF(COUNT(Q123:U123)=0,L123,IF(MAX(Q123:U123)=0,L123,INDEX(L123:P123,MATCH(MAX(Q123:U123),Q123:U123,0))))</f>
        <v/>
      </c>
      <c r="W123" s="59">
        <f>IFERROR(INDEX('Semrush Data'!$A$1:$Z$20000,MATCH(V123,'Semrush Data'!$A$1:$A$20000,0),MATCH("Volume",'Semrush Data'!$A$1:$Z$1,0)),"")</f>
        <v/>
      </c>
      <c r="X123" s="59">
        <f>IFERROR(INDEX('Semrush Data'!$A$1:$Z$20000,MATCH(V123,'Semrush Data'!$A$1:$A$20000,0),MATCH("Keyword Difficulty*",'Semrush Data'!$A$1:$Z$1,0)),"")</f>
        <v/>
      </c>
      <c r="Y123" s="61">
        <f>IFERROR(INDEX('Semrush Data'!$A$1:$Z$20000,MATCH(V123,'Semrush Data'!$A$1:$A$20000,0),MATCH("CPC*",'Semrush Data'!$A$1:$Z$1,0)),"")</f>
        <v/>
      </c>
      <c r="Z123" s="58" t="inlineStr">
        <is>
          <t>deyga hair oil · hair oil for hair loss · natural hair oil uk</t>
        </is>
      </c>
      <c r="AA123" s="58" t="inlineStr">
        <is>
          <t>deyga hair growth oil review · deyga hair growth oil how to use · deyga hair growth oil ingredients · deyga hair growth oil benefits · deyga hair growth oil price</t>
        </is>
      </c>
      <c r="AB123" s="58" t="inlineStr">
        <is>
          <t>Deyga Hair Growth Oil</t>
        </is>
      </c>
      <c r="AC123" s="58" t="inlineStr">
        <is>
          <t>Deyga Hair Growth Oil 100ml | Buy Online UK | Swansura</t>
        </is>
      </c>
      <c r="AD123" s="58">
        <f>LEN(AC123)</f>
        <v/>
      </c>
      <c r="AE123" s="58" t="inlineStr">
        <is>
          <t>Buy Deyga Hair Growth Oil online at Swansura, official UK partner of Deyga. A natural hair oil for thinning hair. 100% authentic, free UK delivery over £50.</t>
        </is>
      </c>
      <c r="AF123" s="58">
        <f>LEN(AE123)</f>
        <v/>
      </c>
    </row>
    <row r="124" ht="15" customHeight="1" s="37">
      <c r="A124" s="58" t="inlineStr">
        <is>
          <t>VD-123</t>
        </is>
      </c>
      <c r="B124" s="58" t="inlineStr">
        <is>
          <t>Vilvah &amp; Deyga</t>
        </is>
      </c>
      <c r="C124" s="58" t="n">
        <v>123</v>
      </c>
      <c r="D124" s="58" t="inlineStr">
        <is>
          <t>Deyga</t>
        </is>
      </c>
      <c r="E124" s="58" t="n"/>
      <c r="F124" s="58" t="inlineStr">
        <is>
          <t>Skincare</t>
        </is>
      </c>
      <c r="G124" s="58" t="inlineStr">
        <is>
          <t>Cleansers</t>
        </is>
      </c>
      <c r="H124" s="58" t="inlineStr">
        <is>
          <t>Oily Skin</t>
        </is>
      </c>
      <c r="I124" s="58" t="inlineStr">
        <is>
          <t>Charcoal Face Wash 100ml</t>
        </is>
      </c>
      <c r="J124" s="58" t="inlineStr">
        <is>
          <t>100ml</t>
        </is>
      </c>
      <c r="K124" s="58" t="n">
        <v>25.99</v>
      </c>
      <c r="L124" s="58" t="inlineStr">
        <is>
          <t>deyga charcoal face wash</t>
        </is>
      </c>
      <c r="M124" s="58" t="inlineStr">
        <is>
          <t>deyga charcoal face wash uk</t>
        </is>
      </c>
      <c r="N124" s="58" t="inlineStr">
        <is>
          <t>buy deyga charcoal face wash online</t>
        </is>
      </c>
      <c r="O124" s="58" t="inlineStr">
        <is>
          <t>deyga charcoal face wash price</t>
        </is>
      </c>
      <c r="P124" s="58" t="n"/>
      <c r="Q124" s="59">
        <f>IF(L124="","",IFERROR(INDEX('Semrush Data'!$A$1:$Z$20000,MATCH(L124,'Semrush Data'!$A$1:$A$20000,0),MATCH("Volume",'Semrush Data'!$A$1:$Z$1,0)),""))</f>
        <v/>
      </c>
      <c r="R124" s="59">
        <f>IF(M124="","",IFERROR(INDEX('Semrush Data'!$A$1:$Z$20000,MATCH(M124,'Semrush Data'!$A$1:$A$20000,0),MATCH("Volume",'Semrush Data'!$A$1:$Z$1,0)),""))</f>
        <v/>
      </c>
      <c r="S124" s="59">
        <f>IF(N124="","",IFERROR(INDEX('Semrush Data'!$A$1:$Z$20000,MATCH(N124,'Semrush Data'!$A$1:$A$20000,0),MATCH("Volume",'Semrush Data'!$A$1:$Z$1,0)),""))</f>
        <v/>
      </c>
      <c r="T124" s="59">
        <f>IF(O124="","",IFERROR(INDEX('Semrush Data'!$A$1:$Z$20000,MATCH(O124,'Semrush Data'!$A$1:$A$20000,0),MATCH("Volume",'Semrush Data'!$A$1:$Z$1,0)),""))</f>
        <v/>
      </c>
      <c r="U124" s="59">
        <f>IF(P124="","",IFERROR(INDEX('Semrush Data'!$A$1:$Z$20000,MATCH(P124,'Semrush Data'!$A$1:$A$20000,0),MATCH("Volume",'Semrush Data'!$A$1:$Z$1,0)),""))</f>
        <v/>
      </c>
      <c r="V124" s="60">
        <f>IF(COUNT(Q124:U124)=0,L124,IF(MAX(Q124:U124)=0,L124,INDEX(L124:P124,MATCH(MAX(Q124:U124),Q124:U124,0))))</f>
        <v/>
      </c>
      <c r="W124" s="59">
        <f>IFERROR(INDEX('Semrush Data'!$A$1:$Z$20000,MATCH(V124,'Semrush Data'!$A$1:$A$20000,0),MATCH("Volume",'Semrush Data'!$A$1:$Z$1,0)),"")</f>
        <v/>
      </c>
      <c r="X124" s="59">
        <f>IFERROR(INDEX('Semrush Data'!$A$1:$Z$20000,MATCH(V124,'Semrush Data'!$A$1:$A$20000,0),MATCH("Keyword Difficulty*",'Semrush Data'!$A$1:$Z$1,0)),"")</f>
        <v/>
      </c>
      <c r="Y124" s="61">
        <f>IFERROR(INDEX('Semrush Data'!$A$1:$Z$20000,MATCH(V124,'Semrush Data'!$A$1:$A$20000,0),MATCH("CPC*",'Semrush Data'!$A$1:$Z$1,0)),"")</f>
        <v/>
      </c>
      <c r="Z124" s="58" t="inlineStr">
        <is>
          <t>deyga face wash · face wash for oily skin · natural face wash uk</t>
        </is>
      </c>
      <c r="AA124" s="58" t="inlineStr">
        <is>
          <t>deyga charcoal face wash review · deyga charcoal face wash benefits · deyga charcoal face wash ingredients · deyga charcoal face wash price · deyga charcoal face wash for men · deyga charcoal face wash amazon</t>
        </is>
      </c>
      <c r="AB124" s="58" t="inlineStr">
        <is>
          <t>Deyga Charcoal Face Wash</t>
        </is>
      </c>
      <c r="AC124" s="58" t="inlineStr">
        <is>
          <t>Deyga Charcoal Face Wash | Buy Online UK | Swansura</t>
        </is>
      </c>
      <c r="AD124" s="58">
        <f>LEN(AC124)</f>
        <v/>
      </c>
      <c r="AE124" s="58" t="inlineStr">
        <is>
          <t>Buy Deyga Charcoal Face Wash online at Swansura, official UK partner of Deyga. Natural face wash. 100% authentic, shipped from the UK, free delivery over £50.</t>
        </is>
      </c>
      <c r="AF124" s="58">
        <f>LEN(AE124)</f>
        <v/>
      </c>
    </row>
    <row r="125" ht="15" customHeight="1" s="37">
      <c r="A125" s="58" t="inlineStr">
        <is>
          <t>VD-124</t>
        </is>
      </c>
      <c r="B125" s="58" t="inlineStr">
        <is>
          <t>Vilvah &amp; Deyga</t>
        </is>
      </c>
      <c r="C125" s="58" t="n">
        <v>124</v>
      </c>
      <c r="D125" s="58" t="inlineStr">
        <is>
          <t>Deyga</t>
        </is>
      </c>
      <c r="E125" s="58" t="n"/>
      <c r="F125" s="58" t="inlineStr">
        <is>
          <t>Skincare</t>
        </is>
      </c>
      <c r="G125" s="58" t="inlineStr">
        <is>
          <t>Moisturisers</t>
        </is>
      </c>
      <c r="H125" s="58" t="inlineStr">
        <is>
          <t>Skin Nourishment</t>
        </is>
      </c>
      <c r="I125" s="58" t="inlineStr">
        <is>
          <t>Pure Aloe Vera Gel 100 g</t>
        </is>
      </c>
      <c r="J125" s="58" t="inlineStr">
        <is>
          <t>100g</t>
        </is>
      </c>
      <c r="K125" s="58" t="n">
        <v>22.99</v>
      </c>
      <c r="L125" s="58" t="inlineStr">
        <is>
          <t>deyga pure aloe vera gel</t>
        </is>
      </c>
      <c r="M125" s="58" t="inlineStr">
        <is>
          <t>deyga pure aloe vera gel uk</t>
        </is>
      </c>
      <c r="N125" s="58" t="inlineStr">
        <is>
          <t>buy deyga pure aloe vera gel online</t>
        </is>
      </c>
      <c r="O125" s="58" t="inlineStr">
        <is>
          <t>deyga pure aloe vera gel price</t>
        </is>
      </c>
      <c r="P125" s="58" t="n"/>
      <c r="Q125" s="59">
        <f>IF(L125="","",IFERROR(INDEX('Semrush Data'!$A$1:$Z$20000,MATCH(L125,'Semrush Data'!$A$1:$A$20000,0),MATCH("Volume",'Semrush Data'!$A$1:$Z$1,0)),""))</f>
        <v/>
      </c>
      <c r="R125" s="59">
        <f>IF(M125="","",IFERROR(INDEX('Semrush Data'!$A$1:$Z$20000,MATCH(M125,'Semrush Data'!$A$1:$A$20000,0),MATCH("Volume",'Semrush Data'!$A$1:$Z$1,0)),""))</f>
        <v/>
      </c>
      <c r="S125" s="59">
        <f>IF(N125="","",IFERROR(INDEX('Semrush Data'!$A$1:$Z$20000,MATCH(N125,'Semrush Data'!$A$1:$A$20000,0),MATCH("Volume",'Semrush Data'!$A$1:$Z$1,0)),""))</f>
        <v/>
      </c>
      <c r="T125" s="59">
        <f>IF(O125="","",IFERROR(INDEX('Semrush Data'!$A$1:$Z$20000,MATCH(O125,'Semrush Data'!$A$1:$A$20000,0),MATCH("Volume",'Semrush Data'!$A$1:$Z$1,0)),""))</f>
        <v/>
      </c>
      <c r="U125" s="59">
        <f>IF(P125="","",IFERROR(INDEX('Semrush Data'!$A$1:$Z$20000,MATCH(P125,'Semrush Data'!$A$1:$A$20000,0),MATCH("Volume",'Semrush Data'!$A$1:$Z$1,0)),""))</f>
        <v/>
      </c>
      <c r="V125" s="60">
        <f>IF(COUNT(Q125:U125)=0,L125,IF(MAX(Q125:U125)=0,L125,INDEX(L125:P125,MATCH(MAX(Q125:U125),Q125:U125,0))))</f>
        <v/>
      </c>
      <c r="W125" s="59">
        <f>IFERROR(INDEX('Semrush Data'!$A$1:$Z$20000,MATCH(V125,'Semrush Data'!$A$1:$A$20000,0),MATCH("Volume",'Semrush Data'!$A$1:$Z$1,0)),"")</f>
        <v/>
      </c>
      <c r="X125" s="59">
        <f>IFERROR(INDEX('Semrush Data'!$A$1:$Z$20000,MATCH(V125,'Semrush Data'!$A$1:$A$20000,0),MATCH("Keyword Difficulty*",'Semrush Data'!$A$1:$Z$1,0)),"")</f>
        <v/>
      </c>
      <c r="Y125" s="61">
        <f>IFERROR(INDEX('Semrush Data'!$A$1:$Z$20000,MATCH(V125,'Semrush Data'!$A$1:$A$20000,0),MATCH("CPC*",'Semrush Data'!$A$1:$Z$1,0)),"")</f>
        <v/>
      </c>
      <c r="Z125" s="58" t="inlineStr">
        <is>
          <t>deyga moisturiser · moisturiser for skin nourishment · natural moisturiser uk</t>
        </is>
      </c>
      <c r="AA125" s="58" t="inlineStr">
        <is>
          <t>deyga 100 pure aloe vera gel · deyga aloe vera gel review · how to use deyga aloe vera gel</t>
        </is>
      </c>
      <c r="AB125" s="58" t="inlineStr">
        <is>
          <t>Deyga Pure Aloe Vera Gel</t>
        </is>
      </c>
      <c r="AC125" s="58" t="inlineStr">
        <is>
          <t>Deyga Pure Aloe Vera Gel | Buy Online UK | Swansura</t>
        </is>
      </c>
      <c r="AD125" s="58">
        <f>LEN(AC125)</f>
        <v/>
      </c>
      <c r="AE125" s="58" t="inlineStr">
        <is>
          <t>Buy Deyga Pure Aloe Vera Gel online at Swansura, official UK partner of Deyga. Natural moisturiser. 100% authentic, shipped from the UK, free delivery over £50.</t>
        </is>
      </c>
      <c r="AF125" s="58">
        <f>LEN(AE125)</f>
        <v/>
      </c>
    </row>
    <row r="126" ht="15" customHeight="1" s="37">
      <c r="A126" s="58" t="inlineStr">
        <is>
          <t>VD-125</t>
        </is>
      </c>
      <c r="B126" s="58" t="inlineStr">
        <is>
          <t>Vilvah &amp; Deyga</t>
        </is>
      </c>
      <c r="C126" s="58" t="n">
        <v>125</v>
      </c>
      <c r="D126" s="58" t="inlineStr">
        <is>
          <t>Deyga</t>
        </is>
      </c>
      <c r="E126" s="58" t="n"/>
      <c r="F126" s="58" t="inlineStr">
        <is>
          <t>Haircare</t>
        </is>
      </c>
      <c r="G126" s="58" t="inlineStr">
        <is>
          <t>Hair Treatments</t>
        </is>
      </c>
      <c r="H126" s="58" t="inlineStr">
        <is>
          <t>Dry Hair</t>
        </is>
      </c>
      <c r="I126" s="58" t="inlineStr">
        <is>
          <t>Plant Based Hair Color – Black</t>
        </is>
      </c>
      <c r="J126" s="58" t="inlineStr">
        <is>
          <t>Pack of 1</t>
        </is>
      </c>
      <c r="K126" s="58" t="n">
        <v>16.99</v>
      </c>
      <c r="L126" s="58" t="inlineStr">
        <is>
          <t>deyga plant based hair color – black</t>
        </is>
      </c>
      <c r="M126" s="58" t="inlineStr">
        <is>
          <t>deyga plant based hair color – black uk</t>
        </is>
      </c>
      <c r="N126" s="58" t="inlineStr">
        <is>
          <t>buy deyga plant based hair color – black online</t>
        </is>
      </c>
      <c r="O126" s="58" t="inlineStr">
        <is>
          <t>deyga plant based hair color – black price</t>
        </is>
      </c>
      <c r="P126" s="58" t="n"/>
      <c r="Q126" s="59">
        <f>IF(L126="","",IFERROR(INDEX('Semrush Data'!$A$1:$Z$20000,MATCH(L126,'Semrush Data'!$A$1:$A$20000,0),MATCH("Volume",'Semrush Data'!$A$1:$Z$1,0)),""))</f>
        <v/>
      </c>
      <c r="R126" s="59">
        <f>IF(M126="","",IFERROR(INDEX('Semrush Data'!$A$1:$Z$20000,MATCH(M126,'Semrush Data'!$A$1:$A$20000,0),MATCH("Volume",'Semrush Data'!$A$1:$Z$1,0)),""))</f>
        <v/>
      </c>
      <c r="S126" s="59">
        <f>IF(N126="","",IFERROR(INDEX('Semrush Data'!$A$1:$Z$20000,MATCH(N126,'Semrush Data'!$A$1:$A$20000,0),MATCH("Volume",'Semrush Data'!$A$1:$Z$1,0)),""))</f>
        <v/>
      </c>
      <c r="T126" s="59">
        <f>IF(O126="","",IFERROR(INDEX('Semrush Data'!$A$1:$Z$20000,MATCH(O126,'Semrush Data'!$A$1:$A$20000,0),MATCH("Volume",'Semrush Data'!$A$1:$Z$1,0)),""))</f>
        <v/>
      </c>
      <c r="U126" s="59">
        <f>IF(P126="","",IFERROR(INDEX('Semrush Data'!$A$1:$Z$20000,MATCH(P126,'Semrush Data'!$A$1:$A$20000,0),MATCH("Volume",'Semrush Data'!$A$1:$Z$1,0)),""))</f>
        <v/>
      </c>
      <c r="V126" s="60">
        <f>IF(COUNT(Q126:U126)=0,L126,IF(MAX(Q126:U126)=0,L126,INDEX(L126:P126,MATCH(MAX(Q126:U126),Q126:U126,0))))</f>
        <v/>
      </c>
      <c r="W126" s="59">
        <f>IFERROR(INDEX('Semrush Data'!$A$1:$Z$20000,MATCH(V126,'Semrush Data'!$A$1:$A$20000,0),MATCH("Volume",'Semrush Data'!$A$1:$Z$1,0)),"")</f>
        <v/>
      </c>
      <c r="X126" s="59">
        <f>IFERROR(INDEX('Semrush Data'!$A$1:$Z$20000,MATCH(V126,'Semrush Data'!$A$1:$A$20000,0),MATCH("Keyword Difficulty*",'Semrush Data'!$A$1:$Z$1,0)),"")</f>
        <v/>
      </c>
      <c r="Y126" s="61">
        <f>IFERROR(INDEX('Semrush Data'!$A$1:$Z$20000,MATCH(V126,'Semrush Data'!$A$1:$A$20000,0),MATCH("CPC*",'Semrush Data'!$A$1:$Z$1,0)),"")</f>
        <v/>
      </c>
      <c r="Z126" s="58" t="inlineStr">
        <is>
          <t>deyga hair treatment · hair treatment for dry hair · natural hair treatment uk</t>
        </is>
      </c>
      <c r="AA126" s="58" t="inlineStr">
        <is>
          <t>deyga 100 plant based hair color black</t>
        </is>
      </c>
      <c r="AB126" s="58" t="inlineStr">
        <is>
          <t>Deyga Plant Based Hair Color</t>
        </is>
      </c>
      <c r="AC126" s="58" t="inlineStr">
        <is>
          <t>Deyga Plant Based Hair Color | Buy Online UK | Swansura</t>
        </is>
      </c>
      <c r="AD126" s="58">
        <f>LEN(AC126)</f>
        <v/>
      </c>
      <c r="AE126" s="58" t="inlineStr">
        <is>
          <t>Buy Deyga Plant Based Hair Color online in the UK at Swansura, official UK partner of Deyga. Natural hair treatment. 100% authentic, free UK delivery over £50.</t>
        </is>
      </c>
      <c r="AF126" s="58">
        <f>LEN(AE126)</f>
        <v/>
      </c>
    </row>
    <row r="127" ht="15" customHeight="1" s="37">
      <c r="A127" s="58" t="inlineStr">
        <is>
          <t>VD-126</t>
        </is>
      </c>
      <c r="B127" s="58" t="inlineStr">
        <is>
          <t>Vilvah &amp; Deyga</t>
        </is>
      </c>
      <c r="C127" s="58" t="n">
        <v>126</v>
      </c>
      <c r="D127" s="58" t="inlineStr">
        <is>
          <t>Deyga</t>
        </is>
      </c>
      <c r="E127" s="58" t="n"/>
      <c r="F127" s="58" t="inlineStr">
        <is>
          <t>Haircare</t>
        </is>
      </c>
      <c r="G127" s="58" t="inlineStr">
        <is>
          <t>Shampoo</t>
        </is>
      </c>
      <c r="H127" s="58" t="inlineStr">
        <is>
          <t>Hair Nourishment</t>
        </is>
      </c>
      <c r="I127" s="58" t="inlineStr">
        <is>
          <t>Rice Water Shampoo</t>
        </is>
      </c>
      <c r="J127" s="58" t="inlineStr">
        <is>
          <t>220ml</t>
        </is>
      </c>
      <c r="K127" s="58" t="n">
        <v>13.99</v>
      </c>
      <c r="L127" s="58" t="inlineStr">
        <is>
          <t>deyga rice water shampoo</t>
        </is>
      </c>
      <c r="M127" s="58" t="inlineStr">
        <is>
          <t>deyga rice water shampoo uk</t>
        </is>
      </c>
      <c r="N127" s="58" t="inlineStr">
        <is>
          <t>buy deyga rice water shampoo online</t>
        </is>
      </c>
      <c r="O127" s="58" t="inlineStr">
        <is>
          <t>deyga rice water shampoo price</t>
        </is>
      </c>
      <c r="P127" s="58" t="n"/>
      <c r="Q127" s="59">
        <f>IF(L127="","",IFERROR(INDEX('Semrush Data'!$A$1:$Z$20000,MATCH(L127,'Semrush Data'!$A$1:$A$20000,0),MATCH("Volume",'Semrush Data'!$A$1:$Z$1,0)),""))</f>
        <v/>
      </c>
      <c r="R127" s="59">
        <f>IF(M127="","",IFERROR(INDEX('Semrush Data'!$A$1:$Z$20000,MATCH(M127,'Semrush Data'!$A$1:$A$20000,0),MATCH("Volume",'Semrush Data'!$A$1:$Z$1,0)),""))</f>
        <v/>
      </c>
      <c r="S127" s="59">
        <f>IF(N127="","",IFERROR(INDEX('Semrush Data'!$A$1:$Z$20000,MATCH(N127,'Semrush Data'!$A$1:$A$20000,0),MATCH("Volume",'Semrush Data'!$A$1:$Z$1,0)),""))</f>
        <v/>
      </c>
      <c r="T127" s="59">
        <f>IF(O127="","",IFERROR(INDEX('Semrush Data'!$A$1:$Z$20000,MATCH(O127,'Semrush Data'!$A$1:$A$20000,0),MATCH("Volume",'Semrush Data'!$A$1:$Z$1,0)),""))</f>
        <v/>
      </c>
      <c r="U127" s="59">
        <f>IF(P127="","",IFERROR(INDEX('Semrush Data'!$A$1:$Z$20000,MATCH(P127,'Semrush Data'!$A$1:$A$20000,0),MATCH("Volume",'Semrush Data'!$A$1:$Z$1,0)),""))</f>
        <v/>
      </c>
      <c r="V127" s="60">
        <f>IF(COUNT(Q127:U127)=0,L127,IF(MAX(Q127:U127)=0,L127,INDEX(L127:P127,MATCH(MAX(Q127:U127),Q127:U127,0))))</f>
        <v/>
      </c>
      <c r="W127" s="59">
        <f>IFERROR(INDEX('Semrush Data'!$A$1:$Z$20000,MATCH(V127,'Semrush Data'!$A$1:$A$20000,0),MATCH("Volume",'Semrush Data'!$A$1:$Z$1,0)),"")</f>
        <v/>
      </c>
      <c r="X127" s="59">
        <f>IFERROR(INDEX('Semrush Data'!$A$1:$Z$20000,MATCH(V127,'Semrush Data'!$A$1:$A$20000,0),MATCH("Keyword Difficulty*",'Semrush Data'!$A$1:$Z$1,0)),"")</f>
        <v/>
      </c>
      <c r="Y127" s="61">
        <f>IFERROR(INDEX('Semrush Data'!$A$1:$Z$20000,MATCH(V127,'Semrush Data'!$A$1:$A$20000,0),MATCH("CPC*",'Semrush Data'!$A$1:$Z$1,0)),"")</f>
        <v/>
      </c>
      <c r="Z127" s="58" t="inlineStr">
        <is>
          <t>deyga shampoo · shampoo for hair nourishment · natural shampoo uk</t>
        </is>
      </c>
      <c r="AA127" s="58" t="inlineStr">
        <is>
          <t>deyga rice water shampoo review · deyga rice water shampoo ingredients · deyga rice water shampoo price · deyga rice water shampoo benefits · deyga rice water shampoo amazon</t>
        </is>
      </c>
      <c r="AB127" s="58" t="inlineStr">
        <is>
          <t>Deyga Rice Water Shampoo</t>
        </is>
      </c>
      <c r="AC127" s="58" t="inlineStr">
        <is>
          <t>Deyga Rice Water Shampoo | Buy Online UK | Swansura</t>
        </is>
      </c>
      <c r="AD127" s="58">
        <f>LEN(AC127)</f>
        <v/>
      </c>
      <c r="AE127" s="58" t="inlineStr">
        <is>
          <t>Buy Deyga Rice Water Shampoo online at Swansura, official UK partner of Deyga. A natural shampoo for nourished hair. 100% authentic, free UK delivery over £50.</t>
        </is>
      </c>
      <c r="AF127" s="58">
        <f>LEN(AE127)</f>
        <v/>
      </c>
    </row>
    <row r="128" ht="15" customHeight="1" s="37">
      <c r="A128" s="58" t="inlineStr">
        <is>
          <t>VD-127</t>
        </is>
      </c>
      <c r="B128" s="58" t="inlineStr">
        <is>
          <t>Vilvah &amp; Deyga</t>
        </is>
      </c>
      <c r="C128" s="58" t="n">
        <v>127</v>
      </c>
      <c r="D128" s="58" t="inlineStr">
        <is>
          <t>Deyga</t>
        </is>
      </c>
      <c r="E128" s="58" t="n"/>
      <c r="F128" s="58" t="inlineStr">
        <is>
          <t>Haircare</t>
        </is>
      </c>
      <c r="G128" s="58" t="inlineStr">
        <is>
          <t>Conditioner</t>
        </is>
      </c>
      <c r="H128" s="58" t="inlineStr">
        <is>
          <t>Hair Nourishment</t>
        </is>
      </c>
      <c r="I128" s="58" t="inlineStr">
        <is>
          <t>Soy Milk Conditioner</t>
        </is>
      </c>
      <c r="J128" s="58" t="inlineStr">
        <is>
          <t>220ml</t>
        </is>
      </c>
      <c r="K128" s="58" t="n">
        <v>14.99</v>
      </c>
      <c r="L128" s="58" t="inlineStr">
        <is>
          <t>deyga soy milk conditioner</t>
        </is>
      </c>
      <c r="M128" s="58" t="inlineStr">
        <is>
          <t>deyga soy milk conditioner uk</t>
        </is>
      </c>
      <c r="N128" s="58" t="inlineStr">
        <is>
          <t>buy deyga soy milk conditioner online</t>
        </is>
      </c>
      <c r="O128" s="58" t="inlineStr">
        <is>
          <t>deyga soy milk conditioner price</t>
        </is>
      </c>
      <c r="P128" s="58" t="n"/>
      <c r="Q128" s="59">
        <f>IF(L128="","",IFERROR(INDEX('Semrush Data'!$A$1:$Z$20000,MATCH(L128,'Semrush Data'!$A$1:$A$20000,0),MATCH("Volume",'Semrush Data'!$A$1:$Z$1,0)),""))</f>
        <v/>
      </c>
      <c r="R128" s="59">
        <f>IF(M128="","",IFERROR(INDEX('Semrush Data'!$A$1:$Z$20000,MATCH(M128,'Semrush Data'!$A$1:$A$20000,0),MATCH("Volume",'Semrush Data'!$A$1:$Z$1,0)),""))</f>
        <v/>
      </c>
      <c r="S128" s="59">
        <f>IF(N128="","",IFERROR(INDEX('Semrush Data'!$A$1:$Z$20000,MATCH(N128,'Semrush Data'!$A$1:$A$20000,0),MATCH("Volume",'Semrush Data'!$A$1:$Z$1,0)),""))</f>
        <v/>
      </c>
      <c r="T128" s="59">
        <f>IF(O128="","",IFERROR(INDEX('Semrush Data'!$A$1:$Z$20000,MATCH(O128,'Semrush Data'!$A$1:$A$20000,0),MATCH("Volume",'Semrush Data'!$A$1:$Z$1,0)),""))</f>
        <v/>
      </c>
      <c r="U128" s="59">
        <f>IF(P128="","",IFERROR(INDEX('Semrush Data'!$A$1:$Z$20000,MATCH(P128,'Semrush Data'!$A$1:$A$20000,0),MATCH("Volume",'Semrush Data'!$A$1:$Z$1,0)),""))</f>
        <v/>
      </c>
      <c r="V128" s="60">
        <f>IF(COUNT(Q128:U128)=0,L128,IF(MAX(Q128:U128)=0,L128,INDEX(L128:P128,MATCH(MAX(Q128:U128),Q128:U128,0))))</f>
        <v/>
      </c>
      <c r="W128" s="59">
        <f>IFERROR(INDEX('Semrush Data'!$A$1:$Z$20000,MATCH(V128,'Semrush Data'!$A$1:$A$20000,0),MATCH("Volume",'Semrush Data'!$A$1:$Z$1,0)),"")</f>
        <v/>
      </c>
      <c r="X128" s="59">
        <f>IFERROR(INDEX('Semrush Data'!$A$1:$Z$20000,MATCH(V128,'Semrush Data'!$A$1:$A$20000,0),MATCH("Keyword Difficulty*",'Semrush Data'!$A$1:$Z$1,0)),"")</f>
        <v/>
      </c>
      <c r="Y128" s="61">
        <f>IFERROR(INDEX('Semrush Data'!$A$1:$Z$20000,MATCH(V128,'Semrush Data'!$A$1:$A$20000,0),MATCH("CPC*",'Semrush Data'!$A$1:$Z$1,0)),"")</f>
        <v/>
      </c>
      <c r="Z128" s="58" t="inlineStr">
        <is>
          <t>deyga conditioner · conditioner for hair nourishment · natural conditioner uk</t>
        </is>
      </c>
      <c r="AA128" s="58" t="inlineStr">
        <is>
          <t>deyga soy milk conditioner review · deyga soy milk conditioner ingredients · deyga soy milk conditioner 50ml · deyga soy milk conditioner benefits</t>
        </is>
      </c>
      <c r="AB128" s="58" t="inlineStr">
        <is>
          <t>Deyga Soy Milk Conditioner</t>
        </is>
      </c>
      <c r="AC128" s="58" t="inlineStr">
        <is>
          <t>Deyga Soy Milk Conditioner | Buy Online UK | Swansura</t>
        </is>
      </c>
      <c r="AD128" s="58">
        <f>LEN(AC128)</f>
        <v/>
      </c>
      <c r="AE128" s="58" t="inlineStr">
        <is>
          <t>Buy Deyga Soy Milk Conditioner online in the UK at Swansura, official UK partner of Deyga. A natural conditioner for nourished hair. Free UK delivery over £50.</t>
        </is>
      </c>
      <c r="AF128" s="58">
        <f>LEN(AE128)</f>
        <v/>
      </c>
    </row>
    <row r="129" ht="15" customHeight="1" s="37">
      <c r="A129" s="58" t="inlineStr">
        <is>
          <t>VD-128</t>
        </is>
      </c>
      <c r="B129" s="58" t="inlineStr">
        <is>
          <t>Vilvah &amp; Deyga</t>
        </is>
      </c>
      <c r="C129" s="58" t="n">
        <v>128</v>
      </c>
      <c r="D129" s="58" t="inlineStr">
        <is>
          <t>Deyga</t>
        </is>
      </c>
      <c r="E129" s="58" t="n"/>
      <c r="F129" s="58" t="inlineStr">
        <is>
          <t>Bodycare</t>
        </is>
      </c>
      <c r="G129" s="58" t="inlineStr">
        <is>
          <t>Body Butters</t>
        </is>
      </c>
      <c r="H129" s="58" t="inlineStr">
        <is>
          <t>Dry Skin</t>
        </is>
      </c>
      <c r="I129" s="58" t="inlineStr">
        <is>
          <t>Foot Butter 40 g</t>
        </is>
      </c>
      <c r="J129" s="58" t="inlineStr">
        <is>
          <t>40g</t>
        </is>
      </c>
      <c r="K129" s="58" t="n">
        <v>12.99</v>
      </c>
      <c r="L129" s="58" t="inlineStr">
        <is>
          <t>deyga foot butter</t>
        </is>
      </c>
      <c r="M129" s="58" t="inlineStr">
        <is>
          <t>deyga foot butter uk</t>
        </is>
      </c>
      <c r="N129" s="58" t="inlineStr">
        <is>
          <t>buy deyga foot butter online</t>
        </is>
      </c>
      <c r="O129" s="58" t="inlineStr">
        <is>
          <t>deyga foot butter price</t>
        </is>
      </c>
      <c r="P129" s="58" t="n"/>
      <c r="Q129" s="59">
        <f>IF(L129="","",IFERROR(INDEX('Semrush Data'!$A$1:$Z$20000,MATCH(L129,'Semrush Data'!$A$1:$A$20000,0),MATCH("Volume",'Semrush Data'!$A$1:$Z$1,0)),""))</f>
        <v/>
      </c>
      <c r="R129" s="59">
        <f>IF(M129="","",IFERROR(INDEX('Semrush Data'!$A$1:$Z$20000,MATCH(M129,'Semrush Data'!$A$1:$A$20000,0),MATCH("Volume",'Semrush Data'!$A$1:$Z$1,0)),""))</f>
        <v/>
      </c>
      <c r="S129" s="59">
        <f>IF(N129="","",IFERROR(INDEX('Semrush Data'!$A$1:$Z$20000,MATCH(N129,'Semrush Data'!$A$1:$A$20000,0),MATCH("Volume",'Semrush Data'!$A$1:$Z$1,0)),""))</f>
        <v/>
      </c>
      <c r="T129" s="59">
        <f>IF(O129="","",IFERROR(INDEX('Semrush Data'!$A$1:$Z$20000,MATCH(O129,'Semrush Data'!$A$1:$A$20000,0),MATCH("Volume",'Semrush Data'!$A$1:$Z$1,0)),""))</f>
        <v/>
      </c>
      <c r="U129" s="59">
        <f>IF(P129="","",IFERROR(INDEX('Semrush Data'!$A$1:$Z$20000,MATCH(P129,'Semrush Data'!$A$1:$A$20000,0),MATCH("Volume",'Semrush Data'!$A$1:$Z$1,0)),""))</f>
        <v/>
      </c>
      <c r="V129" s="60">
        <f>IF(COUNT(Q129:U129)=0,L129,IF(MAX(Q129:U129)=0,L129,INDEX(L129:P129,MATCH(MAX(Q129:U129),Q129:U129,0))))</f>
        <v/>
      </c>
      <c r="W129" s="59">
        <f>IFERROR(INDEX('Semrush Data'!$A$1:$Z$20000,MATCH(V129,'Semrush Data'!$A$1:$A$20000,0),MATCH("Volume",'Semrush Data'!$A$1:$Z$1,0)),"")</f>
        <v/>
      </c>
      <c r="X129" s="59">
        <f>IFERROR(INDEX('Semrush Data'!$A$1:$Z$20000,MATCH(V129,'Semrush Data'!$A$1:$A$20000,0),MATCH("Keyword Difficulty*",'Semrush Data'!$A$1:$Z$1,0)),"")</f>
        <v/>
      </c>
      <c r="Y129" s="61">
        <f>IFERROR(INDEX('Semrush Data'!$A$1:$Z$20000,MATCH(V129,'Semrush Data'!$A$1:$A$20000,0),MATCH("CPC*",'Semrush Data'!$A$1:$Z$1,0)),"")</f>
        <v/>
      </c>
      <c r="Z129" s="58" t="inlineStr">
        <is>
          <t>deyga body butter · body butter for dry skin · natural body butter uk</t>
        </is>
      </c>
      <c r="AA129" s="58" t="inlineStr">
        <is>
          <t>deyga foot butter review · deyga foot butter ingredients · deyga foot cream · deyga foot cream review · deyga foot cream ingredients · deyga foot butter cream</t>
        </is>
      </c>
      <c r="AB129" s="58" t="inlineStr">
        <is>
          <t>Deyga Foot Butter</t>
        </is>
      </c>
      <c r="AC129" s="58" t="inlineStr">
        <is>
          <t>Deyga Foot Butter | Official UK Partner | Swansura</t>
        </is>
      </c>
      <c r="AD129" s="58">
        <f>LEN(AC129)</f>
        <v/>
      </c>
      <c r="AE129" s="58" t="inlineStr">
        <is>
          <t>Buy Deyga Foot Butter online in the UK at Swansura, official UK partner of Deyga. A natural body butter for dry skin. 100% authentic, free UK delivery over £50.</t>
        </is>
      </c>
      <c r="AF129" s="58">
        <f>LEN(AE129)</f>
        <v/>
      </c>
    </row>
    <row r="130" ht="15" customHeight="1" s="37">
      <c r="A130" s="58" t="inlineStr">
        <is>
          <t>VD-129</t>
        </is>
      </c>
      <c r="B130" s="58" t="inlineStr">
        <is>
          <t>Vilvah &amp; Deyga</t>
        </is>
      </c>
      <c r="C130" s="58" t="n">
        <v>129</v>
      </c>
      <c r="D130" s="58" t="inlineStr">
        <is>
          <t>Deyga</t>
        </is>
      </c>
      <c r="E130" s="58" t="n"/>
      <c r="F130" s="58" t="inlineStr">
        <is>
          <t>Bodycare</t>
        </is>
      </c>
      <c r="G130" s="58" t="inlineStr">
        <is>
          <t>Body Care</t>
        </is>
      </c>
      <c r="H130" s="58" t="inlineStr">
        <is>
          <t>Body Hydration</t>
        </is>
      </c>
      <c r="I130" s="58" t="inlineStr">
        <is>
          <t>Baby Bath Bar</t>
        </is>
      </c>
      <c r="J130" s="58" t="inlineStr">
        <is>
          <t>130 g</t>
        </is>
      </c>
      <c r="K130" s="58" t="n"/>
      <c r="L130" s="58" t="inlineStr">
        <is>
          <t>deyga baby bath bar</t>
        </is>
      </c>
      <c r="M130" s="58" t="inlineStr">
        <is>
          <t>deyga baby bath bar uk</t>
        </is>
      </c>
      <c r="N130" s="58" t="inlineStr">
        <is>
          <t>buy deyga baby bath bar online</t>
        </is>
      </c>
      <c r="O130" s="58" t="inlineStr">
        <is>
          <t>deyga baby bath bar price</t>
        </is>
      </c>
      <c r="P130" s="58" t="n"/>
      <c r="Q130" s="59">
        <f>IF(L130="","",IFERROR(INDEX('Semrush Data'!$A$1:$Z$20000,MATCH(L130,'Semrush Data'!$A$1:$A$20000,0),MATCH("Volume",'Semrush Data'!$A$1:$Z$1,0)),""))</f>
        <v/>
      </c>
      <c r="R130" s="59">
        <f>IF(M130="","",IFERROR(INDEX('Semrush Data'!$A$1:$Z$20000,MATCH(M130,'Semrush Data'!$A$1:$A$20000,0),MATCH("Volume",'Semrush Data'!$A$1:$Z$1,0)),""))</f>
        <v/>
      </c>
      <c r="S130" s="59">
        <f>IF(N130="","",IFERROR(INDEX('Semrush Data'!$A$1:$Z$20000,MATCH(N130,'Semrush Data'!$A$1:$A$20000,0),MATCH("Volume",'Semrush Data'!$A$1:$Z$1,0)),""))</f>
        <v/>
      </c>
      <c r="T130" s="59">
        <f>IF(O130="","",IFERROR(INDEX('Semrush Data'!$A$1:$Z$20000,MATCH(O130,'Semrush Data'!$A$1:$A$20000,0),MATCH("Volume",'Semrush Data'!$A$1:$Z$1,0)),""))</f>
        <v/>
      </c>
      <c r="U130" s="59">
        <f>IF(P130="","",IFERROR(INDEX('Semrush Data'!$A$1:$Z$20000,MATCH(P130,'Semrush Data'!$A$1:$A$20000,0),MATCH("Volume",'Semrush Data'!$A$1:$Z$1,0)),""))</f>
        <v/>
      </c>
      <c r="V130" s="60">
        <f>IF(COUNT(Q130:U130)=0,L130,IF(MAX(Q130:U130)=0,L130,INDEX(L130:P130,MATCH(MAX(Q130:U130),Q130:U130,0))))</f>
        <v/>
      </c>
      <c r="W130" s="59">
        <f>IFERROR(INDEX('Semrush Data'!$A$1:$Z$20000,MATCH(V130,'Semrush Data'!$A$1:$A$20000,0),MATCH("Volume",'Semrush Data'!$A$1:$Z$1,0)),"")</f>
        <v/>
      </c>
      <c r="X130" s="59">
        <f>IFERROR(INDEX('Semrush Data'!$A$1:$Z$20000,MATCH(V130,'Semrush Data'!$A$1:$A$20000,0),MATCH("Keyword Difficulty*",'Semrush Data'!$A$1:$Z$1,0)),"")</f>
        <v/>
      </c>
      <c r="Y130" s="61">
        <f>IFERROR(INDEX('Semrush Data'!$A$1:$Z$20000,MATCH(V130,'Semrush Data'!$A$1:$A$20000,0),MATCH("CPC*",'Semrush Data'!$A$1:$Z$1,0)),"")</f>
        <v/>
      </c>
      <c r="Z130" s="58" t="inlineStr">
        <is>
          <t>deyga body care · body care for body hydration · natural body care uk</t>
        </is>
      </c>
      <c r="AA130" s="58" t="n"/>
      <c r="AB130" s="58" t="inlineStr">
        <is>
          <t>Deyga Baby Bath Bar</t>
        </is>
      </c>
      <c r="AC130" s="58" t="inlineStr">
        <is>
          <t>Deyga Baby Bath Bar 130g | Buy Online UK | Swansura</t>
        </is>
      </c>
      <c r="AD130" s="58">
        <f>LEN(AC130)</f>
        <v/>
      </c>
      <c r="AE130" s="58" t="inlineStr">
        <is>
          <t>Buy Deyga Baby Bath Bar online in the UK at Swansura, official UK partner of Deyga. A natural body care for soft, hydrated skin. Free UK delivery over £50.</t>
        </is>
      </c>
      <c r="AF130" s="58">
        <f>LEN(AE130)</f>
        <v/>
      </c>
    </row>
    <row r="131" ht="15" customHeight="1" s="37">
      <c r="A131" s="58" t="inlineStr">
        <is>
          <t>VD-130</t>
        </is>
      </c>
      <c r="B131" s="58" t="inlineStr">
        <is>
          <t>Vilvah &amp; Deyga</t>
        </is>
      </c>
      <c r="C131" s="58" t="n">
        <v>130</v>
      </c>
      <c r="D131" s="58" t="inlineStr">
        <is>
          <t>Deyga</t>
        </is>
      </c>
      <c r="E131" s="58" t="n"/>
      <c r="F131" s="58" t="inlineStr">
        <is>
          <t>Haircare</t>
        </is>
      </c>
      <c r="G131" s="58" t="inlineStr">
        <is>
          <t>Shampoo</t>
        </is>
      </c>
      <c r="H131" s="58" t="inlineStr">
        <is>
          <t>Anti-Dandruff</t>
        </is>
      </c>
      <c r="I131" s="58" t="inlineStr">
        <is>
          <t>Anti Dandruff Shampoo 220ml</t>
        </is>
      </c>
      <c r="J131" s="58" t="inlineStr">
        <is>
          <t>220ml</t>
        </is>
      </c>
      <c r="K131" s="58" t="n">
        <v>14.99</v>
      </c>
      <c r="L131" s="58" t="inlineStr">
        <is>
          <t>deyga anti dandruff shampoo</t>
        </is>
      </c>
      <c r="M131" s="58" t="inlineStr">
        <is>
          <t>deyga anti dandruff shampoo uk</t>
        </is>
      </c>
      <c r="N131" s="58" t="inlineStr">
        <is>
          <t>buy deyga anti dandruff shampoo online</t>
        </is>
      </c>
      <c r="O131" s="58" t="inlineStr">
        <is>
          <t>deyga anti dandruff shampoo price</t>
        </is>
      </c>
      <c r="P131" s="58" t="n"/>
      <c r="Q131" s="59">
        <f>IF(L131="","",IFERROR(INDEX('Semrush Data'!$A$1:$Z$20000,MATCH(L131,'Semrush Data'!$A$1:$A$20000,0),MATCH("Volume",'Semrush Data'!$A$1:$Z$1,0)),""))</f>
        <v/>
      </c>
      <c r="R131" s="59">
        <f>IF(M131="","",IFERROR(INDEX('Semrush Data'!$A$1:$Z$20000,MATCH(M131,'Semrush Data'!$A$1:$A$20000,0),MATCH("Volume",'Semrush Data'!$A$1:$Z$1,0)),""))</f>
        <v/>
      </c>
      <c r="S131" s="59">
        <f>IF(N131="","",IFERROR(INDEX('Semrush Data'!$A$1:$Z$20000,MATCH(N131,'Semrush Data'!$A$1:$A$20000,0),MATCH("Volume",'Semrush Data'!$A$1:$Z$1,0)),""))</f>
        <v/>
      </c>
      <c r="T131" s="59">
        <f>IF(O131="","",IFERROR(INDEX('Semrush Data'!$A$1:$Z$20000,MATCH(O131,'Semrush Data'!$A$1:$A$20000,0),MATCH("Volume",'Semrush Data'!$A$1:$Z$1,0)),""))</f>
        <v/>
      </c>
      <c r="U131" s="59">
        <f>IF(P131="","",IFERROR(INDEX('Semrush Data'!$A$1:$Z$20000,MATCH(P131,'Semrush Data'!$A$1:$A$20000,0),MATCH("Volume",'Semrush Data'!$A$1:$Z$1,0)),""))</f>
        <v/>
      </c>
      <c r="V131" s="60">
        <f>IF(COUNT(Q131:U131)=0,L131,IF(MAX(Q131:U131)=0,L131,INDEX(L131:P131,MATCH(MAX(Q131:U131),Q131:U131,0))))</f>
        <v/>
      </c>
      <c r="W131" s="59">
        <f>IFERROR(INDEX('Semrush Data'!$A$1:$Z$20000,MATCH(V131,'Semrush Data'!$A$1:$A$20000,0),MATCH("Volume",'Semrush Data'!$A$1:$Z$1,0)),"")</f>
        <v/>
      </c>
      <c r="X131" s="59">
        <f>IFERROR(INDEX('Semrush Data'!$A$1:$Z$20000,MATCH(V131,'Semrush Data'!$A$1:$A$20000,0),MATCH("Keyword Difficulty*",'Semrush Data'!$A$1:$Z$1,0)),"")</f>
        <v/>
      </c>
      <c r="Y131" s="61">
        <f>IFERROR(INDEX('Semrush Data'!$A$1:$Z$20000,MATCH(V131,'Semrush Data'!$A$1:$A$20000,0),MATCH("CPC*",'Semrush Data'!$A$1:$Z$1,0)),"")</f>
        <v/>
      </c>
      <c r="Z131" s="58" t="inlineStr">
        <is>
          <t>deyga shampoo · shampoo for dandruff · natural shampoo uk</t>
        </is>
      </c>
      <c r="AA131" s="58" t="inlineStr">
        <is>
          <t>deyga anti dandruff shampoo review · how to use deyga anti dandruff shampoo</t>
        </is>
      </c>
      <c r="AB131" s="58" t="inlineStr">
        <is>
          <t>Deyga Anti Dandruff Shampoo</t>
        </is>
      </c>
      <c r="AC131" s="58" t="inlineStr">
        <is>
          <t>Deyga Anti Dandruff Shampoo | Buy Online UK | Swansura</t>
        </is>
      </c>
      <c r="AD131" s="58">
        <f>LEN(AC131)</f>
        <v/>
      </c>
      <c r="AE131" s="58" t="inlineStr">
        <is>
          <t>Buy Deyga Anti Dandruff Shampoo online in the UK at Swansura, official UK partner of Deyga. A natural shampoo for a flake-free scalp. Free UK delivery over £50.</t>
        </is>
      </c>
      <c r="AF131" s="58">
        <f>LEN(AE131)</f>
        <v/>
      </c>
    </row>
    <row r="132" ht="15" customHeight="1" s="37">
      <c r="A132" s="58" t="inlineStr">
        <is>
          <t>VD-131</t>
        </is>
      </c>
      <c r="B132" s="58" t="inlineStr">
        <is>
          <t>Vilvah &amp; Deyga</t>
        </is>
      </c>
      <c r="C132" s="58" t="n">
        <v>131</v>
      </c>
      <c r="D132" s="58" t="inlineStr">
        <is>
          <t>Deyga</t>
        </is>
      </c>
      <c r="E132" s="58" t="n"/>
      <c r="F132" s="58" t="inlineStr">
        <is>
          <t>Skincare</t>
        </is>
      </c>
      <c r="G132" s="58" t="inlineStr">
        <is>
          <t>Lip Care</t>
        </is>
      </c>
      <c r="H132" s="58" t="inlineStr">
        <is>
          <t>Lip Exfoliation</t>
        </is>
      </c>
      <c r="I132" s="58" t="inlineStr">
        <is>
          <t>Strawberry Lip Scrub 16g</t>
        </is>
      </c>
      <c r="J132" s="58" t="inlineStr">
        <is>
          <t>16g</t>
        </is>
      </c>
      <c r="K132" s="58" t="n">
        <v>10.99</v>
      </c>
      <c r="L132" s="58" t="inlineStr">
        <is>
          <t>deyga strawberry lip scrub</t>
        </is>
      </c>
      <c r="M132" s="58" t="inlineStr">
        <is>
          <t>deyga strawberry lip scrub uk</t>
        </is>
      </c>
      <c r="N132" s="58" t="inlineStr">
        <is>
          <t>buy deyga strawberry lip scrub online</t>
        </is>
      </c>
      <c r="O132" s="58" t="inlineStr">
        <is>
          <t>deyga strawberry lip scrub price</t>
        </is>
      </c>
      <c r="P132" s="58" t="n"/>
      <c r="Q132" s="59">
        <f>IF(L132="","",IFERROR(INDEX('Semrush Data'!$A$1:$Z$20000,MATCH(L132,'Semrush Data'!$A$1:$A$20000,0),MATCH("Volume",'Semrush Data'!$A$1:$Z$1,0)),""))</f>
        <v/>
      </c>
      <c r="R132" s="59">
        <f>IF(M132="","",IFERROR(INDEX('Semrush Data'!$A$1:$Z$20000,MATCH(M132,'Semrush Data'!$A$1:$A$20000,0),MATCH("Volume",'Semrush Data'!$A$1:$Z$1,0)),""))</f>
        <v/>
      </c>
      <c r="S132" s="59">
        <f>IF(N132="","",IFERROR(INDEX('Semrush Data'!$A$1:$Z$20000,MATCH(N132,'Semrush Data'!$A$1:$A$20000,0),MATCH("Volume",'Semrush Data'!$A$1:$Z$1,0)),""))</f>
        <v/>
      </c>
      <c r="T132" s="59">
        <f>IF(O132="","",IFERROR(INDEX('Semrush Data'!$A$1:$Z$20000,MATCH(O132,'Semrush Data'!$A$1:$A$20000,0),MATCH("Volume",'Semrush Data'!$A$1:$Z$1,0)),""))</f>
        <v/>
      </c>
      <c r="U132" s="59">
        <f>IF(P132="","",IFERROR(INDEX('Semrush Data'!$A$1:$Z$20000,MATCH(P132,'Semrush Data'!$A$1:$A$20000,0),MATCH("Volume",'Semrush Data'!$A$1:$Z$1,0)),""))</f>
        <v/>
      </c>
      <c r="V132" s="60">
        <f>IF(COUNT(Q132:U132)=0,L132,IF(MAX(Q132:U132)=0,L132,INDEX(L132:P132,MATCH(MAX(Q132:U132),Q132:U132,0))))</f>
        <v/>
      </c>
      <c r="W132" s="59">
        <f>IFERROR(INDEX('Semrush Data'!$A$1:$Z$20000,MATCH(V132,'Semrush Data'!$A$1:$A$20000,0),MATCH("Volume",'Semrush Data'!$A$1:$Z$1,0)),"")</f>
        <v/>
      </c>
      <c r="X132" s="59">
        <f>IFERROR(INDEX('Semrush Data'!$A$1:$Z$20000,MATCH(V132,'Semrush Data'!$A$1:$A$20000,0),MATCH("Keyword Difficulty*",'Semrush Data'!$A$1:$Z$1,0)),"")</f>
        <v/>
      </c>
      <c r="Y132" s="61">
        <f>IFERROR(INDEX('Semrush Data'!$A$1:$Z$20000,MATCH(V132,'Semrush Data'!$A$1:$A$20000,0),MATCH("CPC*",'Semrush Data'!$A$1:$Z$1,0)),"")</f>
        <v/>
      </c>
      <c r="Z132" s="58" t="inlineStr">
        <is>
          <t>deyga lip balm · natural lip balm uk</t>
        </is>
      </c>
      <c r="AA132" s="58" t="n"/>
      <c r="AB132" s="58" t="inlineStr">
        <is>
          <t>Deyga Strawberry Lip Scrub</t>
        </is>
      </c>
      <c r="AC132" s="58" t="inlineStr">
        <is>
          <t>Deyga Strawberry Lip Scrub | Buy Online UK | Swansura</t>
        </is>
      </c>
      <c r="AD132" s="58">
        <f>LEN(AC132)</f>
        <v/>
      </c>
      <c r="AE132" s="58" t="inlineStr">
        <is>
          <t>Buy Deyga Strawberry Lip Scrub online at Swansura, official UK partner of Deyga. Natural lip care. 100% authentic, shipped from the UK, free delivery over £50.</t>
        </is>
      </c>
      <c r="AF132" s="58">
        <f>LEN(AE132)</f>
        <v/>
      </c>
    </row>
    <row r="133" ht="15" customHeight="1" s="37">
      <c r="A133" s="58" t="inlineStr">
        <is>
          <t>VD-132</t>
        </is>
      </c>
      <c r="B133" s="58" t="inlineStr">
        <is>
          <t>Vilvah &amp; Deyga</t>
        </is>
      </c>
      <c r="C133" s="58" t="n">
        <v>132</v>
      </c>
      <c r="D133" s="58" t="inlineStr">
        <is>
          <t>Deyga</t>
        </is>
      </c>
      <c r="E133" s="58" t="n"/>
      <c r="F133" s="58" t="inlineStr">
        <is>
          <t>Skincare</t>
        </is>
      </c>
      <c r="G133" s="58" t="inlineStr">
        <is>
          <t>Lip Care</t>
        </is>
      </c>
      <c r="H133" s="58" t="inlineStr">
        <is>
          <t>Dry Lips</t>
        </is>
      </c>
      <c r="I133" s="58" t="inlineStr">
        <is>
          <t>Beetroot Lip Balm Classic 10 g</t>
        </is>
      </c>
      <c r="J133" s="58" t="inlineStr">
        <is>
          <t>10g</t>
        </is>
      </c>
      <c r="K133" s="58" t="n">
        <v>10.99</v>
      </c>
      <c r="L133" s="58" t="inlineStr">
        <is>
          <t>deyga beetroot lip balm classic</t>
        </is>
      </c>
      <c r="M133" s="58" t="inlineStr">
        <is>
          <t>deyga beetroot lip balm classic uk</t>
        </is>
      </c>
      <c r="N133" s="58" t="inlineStr">
        <is>
          <t>buy deyga beetroot lip balm classic online</t>
        </is>
      </c>
      <c r="O133" s="58" t="inlineStr">
        <is>
          <t>deyga beetroot lip balm classic price</t>
        </is>
      </c>
      <c r="P133" s="58" t="n"/>
      <c r="Q133" s="59">
        <f>IF(L133="","",IFERROR(INDEX('Semrush Data'!$A$1:$Z$20000,MATCH(L133,'Semrush Data'!$A$1:$A$20000,0),MATCH("Volume",'Semrush Data'!$A$1:$Z$1,0)),""))</f>
        <v/>
      </c>
      <c r="R133" s="59">
        <f>IF(M133="","",IFERROR(INDEX('Semrush Data'!$A$1:$Z$20000,MATCH(M133,'Semrush Data'!$A$1:$A$20000,0),MATCH("Volume",'Semrush Data'!$A$1:$Z$1,0)),""))</f>
        <v/>
      </c>
      <c r="S133" s="59">
        <f>IF(N133="","",IFERROR(INDEX('Semrush Data'!$A$1:$Z$20000,MATCH(N133,'Semrush Data'!$A$1:$A$20000,0),MATCH("Volume",'Semrush Data'!$A$1:$Z$1,0)),""))</f>
        <v/>
      </c>
      <c r="T133" s="59">
        <f>IF(O133="","",IFERROR(INDEX('Semrush Data'!$A$1:$Z$20000,MATCH(O133,'Semrush Data'!$A$1:$A$20000,0),MATCH("Volume",'Semrush Data'!$A$1:$Z$1,0)),""))</f>
        <v/>
      </c>
      <c r="U133" s="59">
        <f>IF(P133="","",IFERROR(INDEX('Semrush Data'!$A$1:$Z$20000,MATCH(P133,'Semrush Data'!$A$1:$A$20000,0),MATCH("Volume",'Semrush Data'!$A$1:$Z$1,0)),""))</f>
        <v/>
      </c>
      <c r="V133" s="60">
        <f>IF(COUNT(Q133:U133)=0,L133,IF(MAX(Q133:U133)=0,L133,INDEX(L133:P133,MATCH(MAX(Q133:U133),Q133:U133,0))))</f>
        <v/>
      </c>
      <c r="W133" s="59">
        <f>IFERROR(INDEX('Semrush Data'!$A$1:$Z$20000,MATCH(V133,'Semrush Data'!$A$1:$A$20000,0),MATCH("Volume",'Semrush Data'!$A$1:$Z$1,0)),"")</f>
        <v/>
      </c>
      <c r="X133" s="59">
        <f>IFERROR(INDEX('Semrush Data'!$A$1:$Z$20000,MATCH(V133,'Semrush Data'!$A$1:$A$20000,0),MATCH("Keyword Difficulty*",'Semrush Data'!$A$1:$Z$1,0)),"")</f>
        <v/>
      </c>
      <c r="Y133" s="61">
        <f>IFERROR(INDEX('Semrush Data'!$A$1:$Z$20000,MATCH(V133,'Semrush Data'!$A$1:$A$20000,0),MATCH("CPC*",'Semrush Data'!$A$1:$Z$1,0)),"")</f>
        <v/>
      </c>
      <c r="Z133" s="58" t="inlineStr">
        <is>
          <t>deyga lip balm · lip balm for dry lips · natural lip balm uk</t>
        </is>
      </c>
      <c r="AA133" s="58" t="inlineStr">
        <is>
          <t>deyga beetroot lip balm review</t>
        </is>
      </c>
      <c r="AB133" s="58" t="inlineStr">
        <is>
          <t>Deyga Beetroot Lip Balm Classic</t>
        </is>
      </c>
      <c r="AC133" s="58" t="inlineStr">
        <is>
          <t>Deyga Beetroot Lip Balm Classic | Buy Online UK | Swansura</t>
        </is>
      </c>
      <c r="AD133" s="58">
        <f>LEN(AC133)</f>
        <v/>
      </c>
      <c r="AE133" s="58" t="inlineStr">
        <is>
          <t>Buy Deyga Beetroot Lip Balm Classic online in the UK at Swansura, official UK partner of Deyga. Natural lip care. 100% authentic, free UK delivery over £50.</t>
        </is>
      </c>
      <c r="AF133" s="58">
        <f>LEN(AE133)</f>
        <v/>
      </c>
    </row>
    <row r="134" ht="15" customHeight="1" s="37">
      <c r="A134" s="58" t="inlineStr">
        <is>
          <t>VD-133</t>
        </is>
      </c>
      <c r="B134" s="58" t="inlineStr">
        <is>
          <t>Vilvah &amp; Deyga</t>
        </is>
      </c>
      <c r="C134" s="58" t="n">
        <v>133</v>
      </c>
      <c r="D134" s="58" t="inlineStr">
        <is>
          <t>Deyga</t>
        </is>
      </c>
      <c r="E134" s="58" t="n"/>
      <c r="F134" s="58" t="inlineStr">
        <is>
          <t>Skincare</t>
        </is>
      </c>
      <c r="G134" s="58" t="inlineStr">
        <is>
          <t>Moisturisers</t>
        </is>
      </c>
      <c r="H134" s="58" t="inlineStr">
        <is>
          <t>Skin Nourishment</t>
        </is>
      </c>
      <c r="I134" s="58" t="inlineStr">
        <is>
          <t>Under Eye Cream 15 g</t>
        </is>
      </c>
      <c r="J134" s="58" t="inlineStr">
        <is>
          <t>15 g</t>
        </is>
      </c>
      <c r="K134" s="58" t="n">
        <v>45.98</v>
      </c>
      <c r="L134" s="58" t="inlineStr">
        <is>
          <t>deyga under eye cream</t>
        </is>
      </c>
      <c r="M134" s="58" t="inlineStr">
        <is>
          <t>deyga under eye cream uk</t>
        </is>
      </c>
      <c r="N134" s="58" t="inlineStr">
        <is>
          <t>buy deyga under eye cream online</t>
        </is>
      </c>
      <c r="O134" s="58" t="inlineStr">
        <is>
          <t>deyga under eye cream price</t>
        </is>
      </c>
      <c r="P134" s="58" t="n"/>
      <c r="Q134" s="59">
        <f>IF(L134="","",IFERROR(INDEX('Semrush Data'!$A$1:$Z$20000,MATCH(L134,'Semrush Data'!$A$1:$A$20000,0),MATCH("Volume",'Semrush Data'!$A$1:$Z$1,0)),""))</f>
        <v/>
      </c>
      <c r="R134" s="59">
        <f>IF(M134="","",IFERROR(INDEX('Semrush Data'!$A$1:$Z$20000,MATCH(M134,'Semrush Data'!$A$1:$A$20000,0),MATCH("Volume",'Semrush Data'!$A$1:$Z$1,0)),""))</f>
        <v/>
      </c>
      <c r="S134" s="59">
        <f>IF(N134="","",IFERROR(INDEX('Semrush Data'!$A$1:$Z$20000,MATCH(N134,'Semrush Data'!$A$1:$A$20000,0),MATCH("Volume",'Semrush Data'!$A$1:$Z$1,0)),""))</f>
        <v/>
      </c>
      <c r="T134" s="59">
        <f>IF(O134="","",IFERROR(INDEX('Semrush Data'!$A$1:$Z$20000,MATCH(O134,'Semrush Data'!$A$1:$A$20000,0),MATCH("Volume",'Semrush Data'!$A$1:$Z$1,0)),""))</f>
        <v/>
      </c>
      <c r="U134" s="59">
        <f>IF(P134="","",IFERROR(INDEX('Semrush Data'!$A$1:$Z$20000,MATCH(P134,'Semrush Data'!$A$1:$A$20000,0),MATCH("Volume",'Semrush Data'!$A$1:$Z$1,0)),""))</f>
        <v/>
      </c>
      <c r="V134" s="60">
        <f>IF(COUNT(Q134:U134)=0,L134,IF(MAX(Q134:U134)=0,L134,INDEX(L134:P134,MATCH(MAX(Q134:U134),Q134:U134,0))))</f>
        <v/>
      </c>
      <c r="W134" s="59">
        <f>IFERROR(INDEX('Semrush Data'!$A$1:$Z$20000,MATCH(V134,'Semrush Data'!$A$1:$A$20000,0),MATCH("Volume",'Semrush Data'!$A$1:$Z$1,0)),"")</f>
        <v/>
      </c>
      <c r="X134" s="59">
        <f>IFERROR(INDEX('Semrush Data'!$A$1:$Z$20000,MATCH(V134,'Semrush Data'!$A$1:$A$20000,0),MATCH("Keyword Difficulty*",'Semrush Data'!$A$1:$Z$1,0)),"")</f>
        <v/>
      </c>
      <c r="Y134" s="61">
        <f>IFERROR(INDEX('Semrush Data'!$A$1:$Z$20000,MATCH(V134,'Semrush Data'!$A$1:$A$20000,0),MATCH("CPC*",'Semrush Data'!$A$1:$Z$1,0)),"")</f>
        <v/>
      </c>
      <c r="Z134" s="58" t="inlineStr">
        <is>
          <t>deyga moisturiser · moisturiser for skin nourishment · natural moisturiser uk</t>
        </is>
      </c>
      <c r="AA134" s="58" t="inlineStr">
        <is>
          <t>deyga under eye cream review · deyga under eye cream amazon · deyga under eye cream ingredients · deyga under eye cream benefits · deyga under eye cream how to use</t>
        </is>
      </c>
      <c r="AB134" s="58" t="inlineStr">
        <is>
          <t>Deyga Under Eye Cream</t>
        </is>
      </c>
      <c r="AC134" s="58" t="inlineStr">
        <is>
          <t>Deyga Under Eye Cream 15g | Buy Online UK | Swansura</t>
        </is>
      </c>
      <c r="AD134" s="58">
        <f>LEN(AC134)</f>
        <v/>
      </c>
      <c r="AE134" s="58" t="inlineStr">
        <is>
          <t>Buy Deyga Under Eye Cream online at Swansura, official UK partner of Deyga. A natural moisturiser for nourished skin. 100% authentic, free UK delivery over £50.</t>
        </is>
      </c>
      <c r="AF134" s="58">
        <f>LEN(AE134)</f>
        <v/>
      </c>
    </row>
    <row r="135" ht="15" customHeight="1" s="37">
      <c r="A135" s="58" t="inlineStr">
        <is>
          <t>VD-134</t>
        </is>
      </c>
      <c r="B135" s="58" t="inlineStr">
        <is>
          <t>Vilvah &amp; Deyga</t>
        </is>
      </c>
      <c r="C135" s="58" t="n">
        <v>134</v>
      </c>
      <c r="D135" s="58" t="inlineStr">
        <is>
          <t>Deyga</t>
        </is>
      </c>
      <c r="E135" s="58" t="n"/>
      <c r="F135" s="58" t="inlineStr">
        <is>
          <t>Skincare</t>
        </is>
      </c>
      <c r="G135" s="58" t="inlineStr">
        <is>
          <t>Serums</t>
        </is>
      </c>
      <c r="H135" s="58" t="inlineStr">
        <is>
          <t>Dull Skin</t>
        </is>
      </c>
      <c r="I135" s="58" t="inlineStr">
        <is>
          <t>10% Vitamin C Face Serum 20ml</t>
        </is>
      </c>
      <c r="J135" s="58" t="inlineStr">
        <is>
          <t>20ml</t>
        </is>
      </c>
      <c r="K135" s="58" t="n">
        <v>50.99</v>
      </c>
      <c r="L135" s="58" t="inlineStr">
        <is>
          <t>deyga 10% vitamin c face serum</t>
        </is>
      </c>
      <c r="M135" s="58" t="inlineStr">
        <is>
          <t>deyga 10% vitamin c face serum uk</t>
        </is>
      </c>
      <c r="N135" s="58" t="inlineStr">
        <is>
          <t>buy deyga 10% vitamin c face serum online</t>
        </is>
      </c>
      <c r="O135" s="58" t="inlineStr">
        <is>
          <t>deyga 10% vitamin c face serum price</t>
        </is>
      </c>
      <c r="P135" s="58" t="n"/>
      <c r="Q135" s="59">
        <f>IF(L135="","",IFERROR(INDEX('Semrush Data'!$A$1:$Z$20000,MATCH(L135,'Semrush Data'!$A$1:$A$20000,0),MATCH("Volume",'Semrush Data'!$A$1:$Z$1,0)),""))</f>
        <v/>
      </c>
      <c r="R135" s="59">
        <f>IF(M135="","",IFERROR(INDEX('Semrush Data'!$A$1:$Z$20000,MATCH(M135,'Semrush Data'!$A$1:$A$20000,0),MATCH("Volume",'Semrush Data'!$A$1:$Z$1,0)),""))</f>
        <v/>
      </c>
      <c r="S135" s="59">
        <f>IF(N135="","",IFERROR(INDEX('Semrush Data'!$A$1:$Z$20000,MATCH(N135,'Semrush Data'!$A$1:$A$20000,0),MATCH("Volume",'Semrush Data'!$A$1:$Z$1,0)),""))</f>
        <v/>
      </c>
      <c r="T135" s="59">
        <f>IF(O135="","",IFERROR(INDEX('Semrush Data'!$A$1:$Z$20000,MATCH(O135,'Semrush Data'!$A$1:$A$20000,0),MATCH("Volume",'Semrush Data'!$A$1:$Z$1,0)),""))</f>
        <v/>
      </c>
      <c r="U135" s="59">
        <f>IF(P135="","",IFERROR(INDEX('Semrush Data'!$A$1:$Z$20000,MATCH(P135,'Semrush Data'!$A$1:$A$20000,0),MATCH("Volume",'Semrush Data'!$A$1:$Z$1,0)),""))</f>
        <v/>
      </c>
      <c r="V135" s="60">
        <f>IF(COUNT(Q135:U135)=0,L135,IF(MAX(Q135:U135)=0,L135,INDEX(L135:P135,MATCH(MAX(Q135:U135),Q135:U135,0))))</f>
        <v/>
      </c>
      <c r="W135" s="59">
        <f>IFERROR(INDEX('Semrush Data'!$A$1:$Z$20000,MATCH(V135,'Semrush Data'!$A$1:$A$20000,0),MATCH("Volume",'Semrush Data'!$A$1:$Z$1,0)),"")</f>
        <v/>
      </c>
      <c r="X135" s="59">
        <f>IFERROR(INDEX('Semrush Data'!$A$1:$Z$20000,MATCH(V135,'Semrush Data'!$A$1:$A$20000,0),MATCH("Keyword Difficulty*",'Semrush Data'!$A$1:$Z$1,0)),"")</f>
        <v/>
      </c>
      <c r="Y135" s="61">
        <f>IFERROR(INDEX('Semrush Data'!$A$1:$Z$20000,MATCH(V135,'Semrush Data'!$A$1:$A$20000,0),MATCH("CPC*",'Semrush Data'!$A$1:$Z$1,0)),"")</f>
        <v/>
      </c>
      <c r="Z135" s="58" t="inlineStr">
        <is>
          <t>deyga face serum · face serum for dull skin · natural face serum uk</t>
        </is>
      </c>
      <c r="AA135" s="58" t="inlineStr">
        <is>
          <t>deyga 10 vitamin c face serum</t>
        </is>
      </c>
      <c r="AB135" s="58" t="inlineStr">
        <is>
          <t>Deyga 10% Vitamin C Face Serum</t>
        </is>
      </c>
      <c r="AC135" s="58" t="inlineStr">
        <is>
          <t>Deyga 10% Vitamin C Face Serum | Buy Online UK | Swansura</t>
        </is>
      </c>
      <c r="AD135" s="58">
        <f>LEN(AC135)</f>
        <v/>
      </c>
      <c r="AE135" s="58" t="inlineStr">
        <is>
          <t>Buy Deyga 10% Vitamin C Face Serum online at Swansura, official UK partner of Deyga. Natural serum. 100% authentic, shipped from the UK, free delivery over £50.</t>
        </is>
      </c>
      <c r="AF135" s="58">
        <f>LEN(AE135)</f>
        <v/>
      </c>
    </row>
    <row r="136" ht="15" customHeight="1" s="37">
      <c r="A136" s="58" t="inlineStr">
        <is>
          <t>VD-135</t>
        </is>
      </c>
      <c r="B136" s="58" t="inlineStr">
        <is>
          <t>Vilvah &amp; Deyga</t>
        </is>
      </c>
      <c r="C136" s="58" t="n">
        <v>135</v>
      </c>
      <c r="D136" s="58" t="inlineStr">
        <is>
          <t>Deyga</t>
        </is>
      </c>
      <c r="E136" s="58" t="n"/>
      <c r="F136" s="58" t="inlineStr">
        <is>
          <t>Skincare</t>
        </is>
      </c>
      <c r="G136" s="58" t="inlineStr">
        <is>
          <t>Skincare Treatments</t>
        </is>
      </c>
      <c r="H136" s="58" t="inlineStr">
        <is>
          <t>Skin Nourishment</t>
        </is>
      </c>
      <c r="I136" s="58" t="inlineStr">
        <is>
          <t>Natural Loose Setting Powder 15G</t>
        </is>
      </c>
      <c r="J136" s="58" t="inlineStr">
        <is>
          <t>15G</t>
        </is>
      </c>
      <c r="K136" s="58" t="n">
        <v>19.99</v>
      </c>
      <c r="L136" s="58" t="inlineStr">
        <is>
          <t>deyga natural loose setting powder</t>
        </is>
      </c>
      <c r="M136" s="58" t="inlineStr">
        <is>
          <t>deyga natural loose setting powder uk</t>
        </is>
      </c>
      <c r="N136" s="58" t="inlineStr">
        <is>
          <t>buy deyga natural loose setting powder online</t>
        </is>
      </c>
      <c r="O136" s="58" t="inlineStr">
        <is>
          <t>deyga natural loose setting powder price</t>
        </is>
      </c>
      <c r="P136" s="58" t="n"/>
      <c r="Q136" s="59">
        <f>IF(L136="","",IFERROR(INDEX('Semrush Data'!$A$1:$Z$20000,MATCH(L136,'Semrush Data'!$A$1:$A$20000,0),MATCH("Volume",'Semrush Data'!$A$1:$Z$1,0)),""))</f>
        <v/>
      </c>
      <c r="R136" s="59">
        <f>IF(M136="","",IFERROR(INDEX('Semrush Data'!$A$1:$Z$20000,MATCH(M136,'Semrush Data'!$A$1:$A$20000,0),MATCH("Volume",'Semrush Data'!$A$1:$Z$1,0)),""))</f>
        <v/>
      </c>
      <c r="S136" s="59">
        <f>IF(N136="","",IFERROR(INDEX('Semrush Data'!$A$1:$Z$20000,MATCH(N136,'Semrush Data'!$A$1:$A$20000,0),MATCH("Volume",'Semrush Data'!$A$1:$Z$1,0)),""))</f>
        <v/>
      </c>
      <c r="T136" s="59">
        <f>IF(O136="","",IFERROR(INDEX('Semrush Data'!$A$1:$Z$20000,MATCH(O136,'Semrush Data'!$A$1:$A$20000,0),MATCH("Volume",'Semrush Data'!$A$1:$Z$1,0)),""))</f>
        <v/>
      </c>
      <c r="U136" s="59">
        <f>IF(P136="","",IFERROR(INDEX('Semrush Data'!$A$1:$Z$20000,MATCH(P136,'Semrush Data'!$A$1:$A$20000,0),MATCH("Volume",'Semrush Data'!$A$1:$Z$1,0)),""))</f>
        <v/>
      </c>
      <c r="V136" s="60">
        <f>IF(COUNT(Q136:U136)=0,L136,IF(MAX(Q136:U136)=0,L136,INDEX(L136:P136,MATCH(MAX(Q136:U136),Q136:U136,0))))</f>
        <v/>
      </c>
      <c r="W136" s="59">
        <f>IFERROR(INDEX('Semrush Data'!$A$1:$Z$20000,MATCH(V136,'Semrush Data'!$A$1:$A$20000,0),MATCH("Volume",'Semrush Data'!$A$1:$Z$1,0)),"")</f>
        <v/>
      </c>
      <c r="X136" s="59">
        <f>IFERROR(INDEX('Semrush Data'!$A$1:$Z$20000,MATCH(V136,'Semrush Data'!$A$1:$A$20000,0),MATCH("Keyword Difficulty*",'Semrush Data'!$A$1:$Z$1,0)),"")</f>
        <v/>
      </c>
      <c r="Y136" s="61">
        <f>IFERROR(INDEX('Semrush Data'!$A$1:$Z$20000,MATCH(V136,'Semrush Data'!$A$1:$A$20000,0),MATCH("CPC*",'Semrush Data'!$A$1:$Z$1,0)),"")</f>
        <v/>
      </c>
      <c r="Z136" s="58" t="inlineStr">
        <is>
          <t>deyga skincare · skincare for skin nourishment · natural skincare uk</t>
        </is>
      </c>
      <c r="AA136" s="58" t="n"/>
      <c r="AB136" s="58" t="inlineStr">
        <is>
          <t>Deyga Natural Loose Setting Powder</t>
        </is>
      </c>
      <c r="AC136" s="58" t="inlineStr">
        <is>
          <t>Deyga Natural Loose Setting Powder | Swansura UK</t>
        </is>
      </c>
      <c r="AD136" s="58">
        <f>LEN(AC136)</f>
        <v/>
      </c>
      <c r="AE136" s="58" t="inlineStr">
        <is>
          <t>Buy Deyga Natural Loose Setting Powder online in the UK at Swansura, official UK partner of Deyga. 100% authentic, shipped from the UK, free delivery over £50.</t>
        </is>
      </c>
      <c r="AF136" s="58">
        <f>LEN(AE136)</f>
        <v/>
      </c>
    </row>
    <row r="137" ht="15" customHeight="1" s="37">
      <c r="A137" s="58" t="inlineStr">
        <is>
          <t>VD-136</t>
        </is>
      </c>
      <c r="B137" s="58" t="inlineStr">
        <is>
          <t>Vilvah &amp; Deyga</t>
        </is>
      </c>
      <c r="C137" s="58" t="n">
        <v>136</v>
      </c>
      <c r="D137" s="58" t="inlineStr">
        <is>
          <t>Deyga</t>
        </is>
      </c>
      <c r="E137" s="58" t="n"/>
      <c r="F137" s="58" t="inlineStr">
        <is>
          <t>Gift Set</t>
        </is>
      </c>
      <c r="G137" s="58" t="inlineStr">
        <is>
          <t>Gift Sets &amp; Combos</t>
        </is>
      </c>
      <c r="H137" s="58" t="inlineStr">
        <is>
          <t>Dry Lips</t>
        </is>
      </c>
      <c r="I137" s="58" t="inlineStr">
        <is>
          <t>Soft Lip Combo</t>
        </is>
      </c>
      <c r="J137" s="58" t="n"/>
      <c r="K137" s="58" t="n">
        <v>17.99</v>
      </c>
      <c r="L137" s="58" t="inlineStr">
        <is>
          <t>deyga soft lip combo</t>
        </is>
      </c>
      <c r="M137" s="58" t="inlineStr">
        <is>
          <t>deyga soft lip combo uk</t>
        </is>
      </c>
      <c r="N137" s="58" t="inlineStr">
        <is>
          <t>buy deyga soft lip combo online</t>
        </is>
      </c>
      <c r="O137" s="58" t="inlineStr">
        <is>
          <t>deyga soft lip combo price</t>
        </is>
      </c>
      <c r="P137" s="58" t="n"/>
      <c r="Q137" s="59">
        <f>IF(L137="","",IFERROR(INDEX('Semrush Data'!$A$1:$Z$20000,MATCH(L137,'Semrush Data'!$A$1:$A$20000,0),MATCH("Volume",'Semrush Data'!$A$1:$Z$1,0)),""))</f>
        <v/>
      </c>
      <c r="R137" s="59">
        <f>IF(M137="","",IFERROR(INDEX('Semrush Data'!$A$1:$Z$20000,MATCH(M137,'Semrush Data'!$A$1:$A$20000,0),MATCH("Volume",'Semrush Data'!$A$1:$Z$1,0)),""))</f>
        <v/>
      </c>
      <c r="S137" s="59">
        <f>IF(N137="","",IFERROR(INDEX('Semrush Data'!$A$1:$Z$20000,MATCH(N137,'Semrush Data'!$A$1:$A$20000,0),MATCH("Volume",'Semrush Data'!$A$1:$Z$1,0)),""))</f>
        <v/>
      </c>
      <c r="T137" s="59">
        <f>IF(O137="","",IFERROR(INDEX('Semrush Data'!$A$1:$Z$20000,MATCH(O137,'Semrush Data'!$A$1:$A$20000,0),MATCH("Volume",'Semrush Data'!$A$1:$Z$1,0)),""))</f>
        <v/>
      </c>
      <c r="U137" s="59">
        <f>IF(P137="","",IFERROR(INDEX('Semrush Data'!$A$1:$Z$20000,MATCH(P137,'Semrush Data'!$A$1:$A$20000,0),MATCH("Volume",'Semrush Data'!$A$1:$Z$1,0)),""))</f>
        <v/>
      </c>
      <c r="V137" s="60">
        <f>IF(COUNT(Q137:U137)=0,L137,IF(MAX(Q137:U137)=0,L137,INDEX(L137:P137,MATCH(MAX(Q137:U137),Q137:U137,0))))</f>
        <v/>
      </c>
      <c r="W137" s="59">
        <f>IFERROR(INDEX('Semrush Data'!$A$1:$Z$20000,MATCH(V137,'Semrush Data'!$A$1:$A$20000,0),MATCH("Volume",'Semrush Data'!$A$1:$Z$1,0)),"")</f>
        <v/>
      </c>
      <c r="X137" s="59">
        <f>IFERROR(INDEX('Semrush Data'!$A$1:$Z$20000,MATCH(V137,'Semrush Data'!$A$1:$A$20000,0),MATCH("Keyword Difficulty*",'Semrush Data'!$A$1:$Z$1,0)),"")</f>
        <v/>
      </c>
      <c r="Y137" s="61">
        <f>IFERROR(INDEX('Semrush Data'!$A$1:$Z$20000,MATCH(V137,'Semrush Data'!$A$1:$A$20000,0),MATCH("CPC*",'Semrush Data'!$A$1:$Z$1,0)),"")</f>
        <v/>
      </c>
      <c r="Z137" s="58" t="inlineStr">
        <is>
          <t>deyga skincare gift set</t>
        </is>
      </c>
      <c r="AA137" s="58" t="n"/>
      <c r="AB137" s="58" t="inlineStr">
        <is>
          <t>Deyga Soft Lip Combo</t>
        </is>
      </c>
      <c r="AC137" s="58" t="inlineStr">
        <is>
          <t>Deyga Soft Lip Combo | Official UK Partner | Swansura</t>
        </is>
      </c>
      <c r="AD137" s="58">
        <f>LEN(AC137)</f>
        <v/>
      </c>
      <c r="AE137" s="58" t="inlineStr">
        <is>
          <t>Buy Deyga Soft Lip Combo online in the UK at Swansura, official UK partner of Deyga. A natural gift set for dry lips. 100% authentic, free UK delivery over £50.</t>
        </is>
      </c>
      <c r="AF137" s="58">
        <f>LEN(AE137)</f>
        <v/>
      </c>
    </row>
    <row r="138" ht="15" customHeight="1" s="37">
      <c r="A138" s="58" t="inlineStr">
        <is>
          <t>VD-137</t>
        </is>
      </c>
      <c r="B138" s="58" t="inlineStr">
        <is>
          <t>Vilvah &amp; Deyga</t>
        </is>
      </c>
      <c r="C138" s="58" t="n">
        <v>137</v>
      </c>
      <c r="D138" s="58" t="inlineStr">
        <is>
          <t>Deyga</t>
        </is>
      </c>
      <c r="E138" s="58" t="n"/>
      <c r="F138" s="58" t="inlineStr">
        <is>
          <t>Gift Set</t>
        </is>
      </c>
      <c r="G138" s="58" t="inlineStr">
        <is>
          <t>Gift Sets &amp; Combos</t>
        </is>
      </c>
      <c r="H138" s="58" t="inlineStr">
        <is>
          <t>Body Hydration</t>
        </is>
      </c>
      <c r="I138" s="58" t="inlineStr">
        <is>
          <t>Vitamin C Daily Glow Combo</t>
        </is>
      </c>
      <c r="J138" s="58" t="n"/>
      <c r="K138" s="58" t="n">
        <v>30.99</v>
      </c>
      <c r="L138" s="58" t="inlineStr">
        <is>
          <t>deyga vitamin c daily glow combo</t>
        </is>
      </c>
      <c r="M138" s="58" t="inlineStr">
        <is>
          <t>deyga vitamin c daily glow combo uk</t>
        </is>
      </c>
      <c r="N138" s="58" t="inlineStr">
        <is>
          <t>buy deyga vitamin c daily glow combo online</t>
        </is>
      </c>
      <c r="O138" s="58" t="inlineStr">
        <is>
          <t>deyga vitamin c daily glow combo price</t>
        </is>
      </c>
      <c r="P138" s="58" t="n"/>
      <c r="Q138" s="59">
        <f>IF(L138="","",IFERROR(INDEX('Semrush Data'!$A$1:$Z$20000,MATCH(L138,'Semrush Data'!$A$1:$A$20000,0),MATCH("Volume",'Semrush Data'!$A$1:$Z$1,0)),""))</f>
        <v/>
      </c>
      <c r="R138" s="59">
        <f>IF(M138="","",IFERROR(INDEX('Semrush Data'!$A$1:$Z$20000,MATCH(M138,'Semrush Data'!$A$1:$A$20000,0),MATCH("Volume",'Semrush Data'!$A$1:$Z$1,0)),""))</f>
        <v/>
      </c>
      <c r="S138" s="59">
        <f>IF(N138="","",IFERROR(INDEX('Semrush Data'!$A$1:$Z$20000,MATCH(N138,'Semrush Data'!$A$1:$A$20000,0),MATCH("Volume",'Semrush Data'!$A$1:$Z$1,0)),""))</f>
        <v/>
      </c>
      <c r="T138" s="59">
        <f>IF(O138="","",IFERROR(INDEX('Semrush Data'!$A$1:$Z$20000,MATCH(O138,'Semrush Data'!$A$1:$A$20000,0),MATCH("Volume",'Semrush Data'!$A$1:$Z$1,0)),""))</f>
        <v/>
      </c>
      <c r="U138" s="59">
        <f>IF(P138="","",IFERROR(INDEX('Semrush Data'!$A$1:$Z$20000,MATCH(P138,'Semrush Data'!$A$1:$A$20000,0),MATCH("Volume",'Semrush Data'!$A$1:$Z$1,0)),""))</f>
        <v/>
      </c>
      <c r="V138" s="60">
        <f>IF(COUNT(Q138:U138)=0,L138,IF(MAX(Q138:U138)=0,L138,INDEX(L138:P138,MATCH(MAX(Q138:U138),Q138:U138,0))))</f>
        <v/>
      </c>
      <c r="W138" s="59">
        <f>IFERROR(INDEX('Semrush Data'!$A$1:$Z$20000,MATCH(V138,'Semrush Data'!$A$1:$A$20000,0),MATCH("Volume",'Semrush Data'!$A$1:$Z$1,0)),"")</f>
        <v/>
      </c>
      <c r="X138" s="59">
        <f>IFERROR(INDEX('Semrush Data'!$A$1:$Z$20000,MATCH(V138,'Semrush Data'!$A$1:$A$20000,0),MATCH("Keyword Difficulty*",'Semrush Data'!$A$1:$Z$1,0)),"")</f>
        <v/>
      </c>
      <c r="Y138" s="61">
        <f>IFERROR(INDEX('Semrush Data'!$A$1:$Z$20000,MATCH(V138,'Semrush Data'!$A$1:$A$20000,0),MATCH("CPC*",'Semrush Data'!$A$1:$Z$1,0)),"")</f>
        <v/>
      </c>
      <c r="Z138" s="58" t="inlineStr">
        <is>
          <t>deyga skincare gift set</t>
        </is>
      </c>
      <c r="AA138" s="58" t="n"/>
      <c r="AB138" s="58" t="inlineStr">
        <is>
          <t>Deyga Vitamin C Daily Glow Combo</t>
        </is>
      </c>
      <c r="AC138" s="58" t="inlineStr">
        <is>
          <t>Deyga Vitamin C Daily Glow Combo | Buy Online UK | Swansura</t>
        </is>
      </c>
      <c r="AD138" s="58">
        <f>LEN(AC138)</f>
        <v/>
      </c>
      <c r="AE138" s="58" t="inlineStr">
        <is>
          <t>Buy Deyga Vitamin C Daily Glow Combo online in the UK at Swansura, official UK partner of Deyga. Natural gift set. 100% authentic, free UK delivery over £50.</t>
        </is>
      </c>
      <c r="AF138" s="58">
        <f>LEN(AE138)</f>
        <v/>
      </c>
    </row>
    <row r="139" ht="15" customHeight="1" s="37">
      <c r="A139" s="58" t="inlineStr">
        <is>
          <t>VD-138</t>
        </is>
      </c>
      <c r="B139" s="58" t="inlineStr">
        <is>
          <t>Vilvah &amp; Deyga</t>
        </is>
      </c>
      <c r="C139" s="58" t="n">
        <v>138</v>
      </c>
      <c r="D139" s="58" t="inlineStr">
        <is>
          <t>Deyga</t>
        </is>
      </c>
      <c r="E139" s="58" t="n"/>
      <c r="F139" s="58" t="inlineStr">
        <is>
          <t>Gift Set</t>
        </is>
      </c>
      <c r="G139" s="58" t="inlineStr">
        <is>
          <t>Gift Sets &amp; Combos</t>
        </is>
      </c>
      <c r="H139" s="58" t="inlineStr">
        <is>
          <t>Acne &amp; Blemishes</t>
        </is>
      </c>
      <c r="I139" s="58" t="inlineStr">
        <is>
          <t>Acne Relief Combo</t>
        </is>
      </c>
      <c r="J139" s="58" t="n"/>
      <c r="K139" s="58" t="n">
        <v>29.99</v>
      </c>
      <c r="L139" s="58" t="inlineStr">
        <is>
          <t>deyga acne relief combo</t>
        </is>
      </c>
      <c r="M139" s="58" t="inlineStr">
        <is>
          <t>deyga acne relief combo uk</t>
        </is>
      </c>
      <c r="N139" s="58" t="inlineStr">
        <is>
          <t>buy deyga acne relief combo online</t>
        </is>
      </c>
      <c r="O139" s="58" t="inlineStr">
        <is>
          <t>deyga acne relief combo price</t>
        </is>
      </c>
      <c r="P139" s="58" t="n"/>
      <c r="Q139" s="59">
        <f>IF(L139="","",IFERROR(INDEX('Semrush Data'!$A$1:$Z$20000,MATCH(L139,'Semrush Data'!$A$1:$A$20000,0),MATCH("Volume",'Semrush Data'!$A$1:$Z$1,0)),""))</f>
        <v/>
      </c>
      <c r="R139" s="59">
        <f>IF(M139="","",IFERROR(INDEX('Semrush Data'!$A$1:$Z$20000,MATCH(M139,'Semrush Data'!$A$1:$A$20000,0),MATCH("Volume",'Semrush Data'!$A$1:$Z$1,0)),""))</f>
        <v/>
      </c>
      <c r="S139" s="59">
        <f>IF(N139="","",IFERROR(INDEX('Semrush Data'!$A$1:$Z$20000,MATCH(N139,'Semrush Data'!$A$1:$A$20000,0),MATCH("Volume",'Semrush Data'!$A$1:$Z$1,0)),""))</f>
        <v/>
      </c>
      <c r="T139" s="59">
        <f>IF(O139="","",IFERROR(INDEX('Semrush Data'!$A$1:$Z$20000,MATCH(O139,'Semrush Data'!$A$1:$A$20000,0),MATCH("Volume",'Semrush Data'!$A$1:$Z$1,0)),""))</f>
        <v/>
      </c>
      <c r="U139" s="59">
        <f>IF(P139="","",IFERROR(INDEX('Semrush Data'!$A$1:$Z$20000,MATCH(P139,'Semrush Data'!$A$1:$A$20000,0),MATCH("Volume",'Semrush Data'!$A$1:$Z$1,0)),""))</f>
        <v/>
      </c>
      <c r="V139" s="60">
        <f>IF(COUNT(Q139:U139)=0,L139,IF(MAX(Q139:U139)=0,L139,INDEX(L139:P139,MATCH(MAX(Q139:U139),Q139:U139,0))))</f>
        <v/>
      </c>
      <c r="W139" s="59">
        <f>IFERROR(INDEX('Semrush Data'!$A$1:$Z$20000,MATCH(V139,'Semrush Data'!$A$1:$A$20000,0),MATCH("Volume",'Semrush Data'!$A$1:$Z$1,0)),"")</f>
        <v/>
      </c>
      <c r="X139" s="59">
        <f>IFERROR(INDEX('Semrush Data'!$A$1:$Z$20000,MATCH(V139,'Semrush Data'!$A$1:$A$20000,0),MATCH("Keyword Difficulty*",'Semrush Data'!$A$1:$Z$1,0)),"")</f>
        <v/>
      </c>
      <c r="Y139" s="61">
        <f>IFERROR(INDEX('Semrush Data'!$A$1:$Z$20000,MATCH(V139,'Semrush Data'!$A$1:$A$20000,0),MATCH("CPC*",'Semrush Data'!$A$1:$Z$1,0)),"")</f>
        <v/>
      </c>
      <c r="Z139" s="58" t="inlineStr">
        <is>
          <t>deyga skincare gift set</t>
        </is>
      </c>
      <c r="AA139" s="58" t="n"/>
      <c r="AB139" s="58" t="inlineStr">
        <is>
          <t>Deyga Acne Relief Combo</t>
        </is>
      </c>
      <c r="AC139" s="58" t="inlineStr">
        <is>
          <t>Deyga Acne Relief Combo | Buy Online UK | Swansura</t>
        </is>
      </c>
      <c r="AD139" s="58">
        <f>LEN(AC139)</f>
        <v/>
      </c>
      <c r="AE139" s="58" t="inlineStr">
        <is>
          <t>Buy Deyga Acne Relief Combo online in the UK at Swansura, official UK partner of Deyga. A natural gift set for blemish-prone skin. Free UK delivery over £50.</t>
        </is>
      </c>
      <c r="AF139" s="58">
        <f>LEN(AE139)</f>
        <v/>
      </c>
    </row>
    <row r="140" ht="15" customHeight="1" s="37">
      <c r="A140" s="58" t="inlineStr">
        <is>
          <t>VD-139</t>
        </is>
      </c>
      <c r="B140" s="58" t="inlineStr">
        <is>
          <t>Vilvah &amp; Deyga</t>
        </is>
      </c>
      <c r="C140" s="58" t="n">
        <v>139</v>
      </c>
      <c r="D140" s="58" t="inlineStr">
        <is>
          <t>Deyga</t>
        </is>
      </c>
      <c r="E140" s="58" t="n"/>
      <c r="F140" s="58" t="inlineStr">
        <is>
          <t>Gift Set</t>
        </is>
      </c>
      <c r="G140" s="58" t="inlineStr">
        <is>
          <t>Gift Sets &amp; Combos</t>
        </is>
      </c>
      <c r="H140" s="58" t="inlineStr">
        <is>
          <t>Acne &amp; Blemishes</t>
        </is>
      </c>
      <c r="I140" s="58" t="inlineStr">
        <is>
          <t>Acne Vanishing Combo</t>
        </is>
      </c>
      <c r="J140" s="58" t="n"/>
      <c r="K140" s="58" t="n">
        <v>34.99</v>
      </c>
      <c r="L140" s="58" t="inlineStr">
        <is>
          <t>deyga acne vanishing combo</t>
        </is>
      </c>
      <c r="M140" s="58" t="inlineStr">
        <is>
          <t>deyga acne vanishing combo uk</t>
        </is>
      </c>
      <c r="N140" s="58" t="inlineStr">
        <is>
          <t>buy deyga acne vanishing combo online</t>
        </is>
      </c>
      <c r="O140" s="58" t="inlineStr">
        <is>
          <t>deyga acne vanishing combo price</t>
        </is>
      </c>
      <c r="P140" s="58" t="n"/>
      <c r="Q140" s="59">
        <f>IF(L140="","",IFERROR(INDEX('Semrush Data'!$A$1:$Z$20000,MATCH(L140,'Semrush Data'!$A$1:$A$20000,0),MATCH("Volume",'Semrush Data'!$A$1:$Z$1,0)),""))</f>
        <v/>
      </c>
      <c r="R140" s="59">
        <f>IF(M140="","",IFERROR(INDEX('Semrush Data'!$A$1:$Z$20000,MATCH(M140,'Semrush Data'!$A$1:$A$20000,0),MATCH("Volume",'Semrush Data'!$A$1:$Z$1,0)),""))</f>
        <v/>
      </c>
      <c r="S140" s="59">
        <f>IF(N140="","",IFERROR(INDEX('Semrush Data'!$A$1:$Z$20000,MATCH(N140,'Semrush Data'!$A$1:$A$20000,0),MATCH("Volume",'Semrush Data'!$A$1:$Z$1,0)),""))</f>
        <v/>
      </c>
      <c r="T140" s="59">
        <f>IF(O140="","",IFERROR(INDEX('Semrush Data'!$A$1:$Z$20000,MATCH(O140,'Semrush Data'!$A$1:$A$20000,0),MATCH("Volume",'Semrush Data'!$A$1:$Z$1,0)),""))</f>
        <v/>
      </c>
      <c r="U140" s="59">
        <f>IF(P140="","",IFERROR(INDEX('Semrush Data'!$A$1:$Z$20000,MATCH(P140,'Semrush Data'!$A$1:$A$20000,0),MATCH("Volume",'Semrush Data'!$A$1:$Z$1,0)),""))</f>
        <v/>
      </c>
      <c r="V140" s="60">
        <f>IF(COUNT(Q140:U140)=0,L140,IF(MAX(Q140:U140)=0,L140,INDEX(L140:P140,MATCH(MAX(Q140:U140),Q140:U140,0))))</f>
        <v/>
      </c>
      <c r="W140" s="59">
        <f>IFERROR(INDEX('Semrush Data'!$A$1:$Z$20000,MATCH(V140,'Semrush Data'!$A$1:$A$20000,0),MATCH("Volume",'Semrush Data'!$A$1:$Z$1,0)),"")</f>
        <v/>
      </c>
      <c r="X140" s="59">
        <f>IFERROR(INDEX('Semrush Data'!$A$1:$Z$20000,MATCH(V140,'Semrush Data'!$A$1:$A$20000,0),MATCH("Keyword Difficulty*",'Semrush Data'!$A$1:$Z$1,0)),"")</f>
        <v/>
      </c>
      <c r="Y140" s="61">
        <f>IFERROR(INDEX('Semrush Data'!$A$1:$Z$20000,MATCH(V140,'Semrush Data'!$A$1:$A$20000,0),MATCH("CPC*",'Semrush Data'!$A$1:$Z$1,0)),"")</f>
        <v/>
      </c>
      <c r="Z140" s="58" t="inlineStr">
        <is>
          <t>deyga skincare gift set</t>
        </is>
      </c>
      <c r="AA140" s="58" t="n"/>
      <c r="AB140" s="58" t="inlineStr">
        <is>
          <t>Deyga Acne Vanishing Combo</t>
        </is>
      </c>
      <c r="AC140" s="58" t="inlineStr">
        <is>
          <t>Deyga Acne Vanishing Combo | Buy Online UK | Swansura</t>
        </is>
      </c>
      <c r="AD140" s="58">
        <f>LEN(AC140)</f>
        <v/>
      </c>
      <c r="AE140" s="58" t="inlineStr">
        <is>
          <t>Buy Deyga Acne Vanishing Combo online in the UK at Swansura, official UK partner of Deyga. A natural gift set for blemish-prone skin. Free UK delivery over £50.</t>
        </is>
      </c>
      <c r="AF140" s="58">
        <f>LEN(AE140)</f>
        <v/>
      </c>
    </row>
    <row r="141" ht="15" customHeight="1" s="37">
      <c r="A141" s="58" t="inlineStr">
        <is>
          <t>VD-140</t>
        </is>
      </c>
      <c r="B141" s="58" t="inlineStr">
        <is>
          <t>Vilvah &amp; Deyga</t>
        </is>
      </c>
      <c r="C141" s="58" t="n">
        <v>140</v>
      </c>
      <c r="D141" s="58" t="inlineStr">
        <is>
          <t>Deyga</t>
        </is>
      </c>
      <c r="E141" s="58" t="n"/>
      <c r="F141" s="58" t="inlineStr">
        <is>
          <t>Gift Set</t>
        </is>
      </c>
      <c r="G141" s="58" t="inlineStr">
        <is>
          <t>Gift Sets &amp; Combos</t>
        </is>
      </c>
      <c r="H141" s="58" t="inlineStr">
        <is>
          <t>Dry Skin</t>
        </is>
      </c>
      <c r="I141" s="58" t="inlineStr">
        <is>
          <t>Mini Foot Spa Combo</t>
        </is>
      </c>
      <c r="J141" s="58" t="n"/>
      <c r="K141" s="58" t="n">
        <v>37.99</v>
      </c>
      <c r="L141" s="58" t="inlineStr">
        <is>
          <t>deyga mini foot spa combo</t>
        </is>
      </c>
      <c r="M141" s="58" t="inlineStr">
        <is>
          <t>deyga mini foot spa combo uk</t>
        </is>
      </c>
      <c r="N141" s="58" t="inlineStr">
        <is>
          <t>buy deyga mini foot spa combo online</t>
        </is>
      </c>
      <c r="O141" s="58" t="inlineStr">
        <is>
          <t>deyga mini foot spa combo price</t>
        </is>
      </c>
      <c r="P141" s="58" t="n"/>
      <c r="Q141" s="59">
        <f>IF(L141="","",IFERROR(INDEX('Semrush Data'!$A$1:$Z$20000,MATCH(L141,'Semrush Data'!$A$1:$A$20000,0),MATCH("Volume",'Semrush Data'!$A$1:$Z$1,0)),""))</f>
        <v/>
      </c>
      <c r="R141" s="59">
        <f>IF(M141="","",IFERROR(INDEX('Semrush Data'!$A$1:$Z$20000,MATCH(M141,'Semrush Data'!$A$1:$A$20000,0),MATCH("Volume",'Semrush Data'!$A$1:$Z$1,0)),""))</f>
        <v/>
      </c>
      <c r="S141" s="59">
        <f>IF(N141="","",IFERROR(INDEX('Semrush Data'!$A$1:$Z$20000,MATCH(N141,'Semrush Data'!$A$1:$A$20000,0),MATCH("Volume",'Semrush Data'!$A$1:$Z$1,0)),""))</f>
        <v/>
      </c>
      <c r="T141" s="59">
        <f>IF(O141="","",IFERROR(INDEX('Semrush Data'!$A$1:$Z$20000,MATCH(O141,'Semrush Data'!$A$1:$A$20000,0),MATCH("Volume",'Semrush Data'!$A$1:$Z$1,0)),""))</f>
        <v/>
      </c>
      <c r="U141" s="59">
        <f>IF(P141="","",IFERROR(INDEX('Semrush Data'!$A$1:$Z$20000,MATCH(P141,'Semrush Data'!$A$1:$A$20000,0),MATCH("Volume",'Semrush Data'!$A$1:$Z$1,0)),""))</f>
        <v/>
      </c>
      <c r="V141" s="60">
        <f>IF(COUNT(Q141:U141)=0,L141,IF(MAX(Q141:U141)=0,L141,INDEX(L141:P141,MATCH(MAX(Q141:U141),Q141:U141,0))))</f>
        <v/>
      </c>
      <c r="W141" s="59">
        <f>IFERROR(INDEX('Semrush Data'!$A$1:$Z$20000,MATCH(V141,'Semrush Data'!$A$1:$A$20000,0),MATCH("Volume",'Semrush Data'!$A$1:$Z$1,0)),"")</f>
        <v/>
      </c>
      <c r="X141" s="59">
        <f>IFERROR(INDEX('Semrush Data'!$A$1:$Z$20000,MATCH(V141,'Semrush Data'!$A$1:$A$20000,0),MATCH("Keyword Difficulty*",'Semrush Data'!$A$1:$Z$1,0)),"")</f>
        <v/>
      </c>
      <c r="Y141" s="61">
        <f>IFERROR(INDEX('Semrush Data'!$A$1:$Z$20000,MATCH(V141,'Semrush Data'!$A$1:$A$20000,0),MATCH("CPC*",'Semrush Data'!$A$1:$Z$1,0)),"")</f>
        <v/>
      </c>
      <c r="Z141" s="58" t="inlineStr">
        <is>
          <t>deyga skincare gift set</t>
        </is>
      </c>
      <c r="AA141" s="58" t="n"/>
      <c r="AB141" s="58" t="inlineStr">
        <is>
          <t>Deyga Mini Foot Spa Combo</t>
        </is>
      </c>
      <c r="AC141" s="58" t="inlineStr">
        <is>
          <t>Deyga Mini Foot Spa Combo | Buy Online UK | Swansura</t>
        </is>
      </c>
      <c r="AD141" s="58">
        <f>LEN(AC141)</f>
        <v/>
      </c>
      <c r="AE141" s="58" t="inlineStr">
        <is>
          <t>Buy Deyga Mini Foot Spa Combo online at Swansura, official UK partner of Deyga. Natural gift set. 100% authentic, shipped from the UK, free delivery over £50.</t>
        </is>
      </c>
      <c r="AF141" s="58">
        <f>LEN(AE141)</f>
        <v/>
      </c>
    </row>
    <row r="142" ht="15" customHeight="1" s="37">
      <c r="A142" s="58" t="inlineStr">
        <is>
          <t>VD-141</t>
        </is>
      </c>
      <c r="B142" s="58" t="inlineStr">
        <is>
          <t>Vilvah &amp; Deyga</t>
        </is>
      </c>
      <c r="C142" s="58" t="n">
        <v>141</v>
      </c>
      <c r="D142" s="58" t="inlineStr">
        <is>
          <t>Deyga</t>
        </is>
      </c>
      <c r="E142" s="58" t="n"/>
      <c r="F142" s="58" t="inlineStr">
        <is>
          <t>Gift Set</t>
        </is>
      </c>
      <c r="G142" s="58" t="inlineStr">
        <is>
          <t>Gift Sets &amp; Combos</t>
        </is>
      </c>
      <c r="H142" s="58" t="inlineStr">
        <is>
          <t>Body Hydration</t>
        </is>
      </c>
      <c r="I142" s="58" t="inlineStr">
        <is>
          <t>Daily Essential Kit</t>
        </is>
      </c>
      <c r="J142" s="58" t="n"/>
      <c r="K142" s="58" t="n">
        <v>14.99</v>
      </c>
      <c r="L142" s="58" t="inlineStr">
        <is>
          <t>deyga daily essential kit</t>
        </is>
      </c>
      <c r="M142" s="58" t="inlineStr">
        <is>
          <t>deyga daily essential kit uk</t>
        </is>
      </c>
      <c r="N142" s="58" t="inlineStr">
        <is>
          <t>buy deyga daily essential kit online</t>
        </is>
      </c>
      <c r="O142" s="58" t="inlineStr">
        <is>
          <t>deyga daily essential kit price</t>
        </is>
      </c>
      <c r="P142" s="58" t="n"/>
      <c r="Q142" s="59">
        <f>IF(L142="","",IFERROR(INDEX('Semrush Data'!$A$1:$Z$20000,MATCH(L142,'Semrush Data'!$A$1:$A$20000,0),MATCH("Volume",'Semrush Data'!$A$1:$Z$1,0)),""))</f>
        <v/>
      </c>
      <c r="R142" s="59">
        <f>IF(M142="","",IFERROR(INDEX('Semrush Data'!$A$1:$Z$20000,MATCH(M142,'Semrush Data'!$A$1:$A$20000,0),MATCH("Volume",'Semrush Data'!$A$1:$Z$1,0)),""))</f>
        <v/>
      </c>
      <c r="S142" s="59">
        <f>IF(N142="","",IFERROR(INDEX('Semrush Data'!$A$1:$Z$20000,MATCH(N142,'Semrush Data'!$A$1:$A$20000,0),MATCH("Volume",'Semrush Data'!$A$1:$Z$1,0)),""))</f>
        <v/>
      </c>
      <c r="T142" s="59">
        <f>IF(O142="","",IFERROR(INDEX('Semrush Data'!$A$1:$Z$20000,MATCH(O142,'Semrush Data'!$A$1:$A$20000,0),MATCH("Volume",'Semrush Data'!$A$1:$Z$1,0)),""))</f>
        <v/>
      </c>
      <c r="U142" s="59">
        <f>IF(P142="","",IFERROR(INDEX('Semrush Data'!$A$1:$Z$20000,MATCH(P142,'Semrush Data'!$A$1:$A$20000,0),MATCH("Volume",'Semrush Data'!$A$1:$Z$1,0)),""))</f>
        <v/>
      </c>
      <c r="V142" s="60">
        <f>IF(COUNT(Q142:U142)=0,L142,IF(MAX(Q142:U142)=0,L142,INDEX(L142:P142,MATCH(MAX(Q142:U142),Q142:U142,0))))</f>
        <v/>
      </c>
      <c r="W142" s="59">
        <f>IFERROR(INDEX('Semrush Data'!$A$1:$Z$20000,MATCH(V142,'Semrush Data'!$A$1:$A$20000,0),MATCH("Volume",'Semrush Data'!$A$1:$Z$1,0)),"")</f>
        <v/>
      </c>
      <c r="X142" s="59">
        <f>IFERROR(INDEX('Semrush Data'!$A$1:$Z$20000,MATCH(V142,'Semrush Data'!$A$1:$A$20000,0),MATCH("Keyword Difficulty*",'Semrush Data'!$A$1:$Z$1,0)),"")</f>
        <v/>
      </c>
      <c r="Y142" s="61">
        <f>IFERROR(INDEX('Semrush Data'!$A$1:$Z$20000,MATCH(V142,'Semrush Data'!$A$1:$A$20000,0),MATCH("CPC*",'Semrush Data'!$A$1:$Z$1,0)),"")</f>
        <v/>
      </c>
      <c r="Z142" s="58" t="inlineStr">
        <is>
          <t>deyga skincare gift set</t>
        </is>
      </c>
      <c r="AA142" s="58" t="n"/>
      <c r="AB142" s="58" t="inlineStr">
        <is>
          <t>Deyga Daily Essential Kit</t>
        </is>
      </c>
      <c r="AC142" s="58" t="inlineStr">
        <is>
          <t>Deyga Daily Essential Kit | Buy Online UK | Swansura</t>
        </is>
      </c>
      <c r="AD142" s="58">
        <f>LEN(AC142)</f>
        <v/>
      </c>
      <c r="AE142" s="58" t="inlineStr">
        <is>
          <t>Buy Deyga Daily Essential Kit online in the UK at Swansura, official UK partner of Deyga. A natural gift set for soft, hydrated skin. Free UK delivery over £50.</t>
        </is>
      </c>
      <c r="AF142" s="58">
        <f>LEN(AE142)</f>
        <v/>
      </c>
    </row>
    <row r="143" ht="15" customHeight="1" s="37">
      <c r="A143" s="58" t="inlineStr">
        <is>
          <t>VD-142</t>
        </is>
      </c>
      <c r="B143" s="58" t="inlineStr">
        <is>
          <t>Vilvah &amp; Deyga</t>
        </is>
      </c>
      <c r="C143" s="58" t="n">
        <v>142</v>
      </c>
      <c r="D143" s="58" t="inlineStr">
        <is>
          <t>Deyga</t>
        </is>
      </c>
      <c r="E143" s="58" t="n"/>
      <c r="F143" s="58" t="inlineStr">
        <is>
          <t>Gift Set</t>
        </is>
      </c>
      <c r="G143" s="58" t="inlineStr">
        <is>
          <t>Gift Sets &amp; Combos</t>
        </is>
      </c>
      <c r="H143" s="58" t="inlineStr">
        <is>
          <t>Dry Skin</t>
        </is>
      </c>
      <c r="I143" s="58" t="inlineStr">
        <is>
          <t>Clear Skin Kit</t>
        </is>
      </c>
      <c r="J143" s="58" t="n"/>
      <c r="K143" s="58" t="n">
        <v>14.99</v>
      </c>
      <c r="L143" s="58" t="inlineStr">
        <is>
          <t>deyga clear skin kit</t>
        </is>
      </c>
      <c r="M143" s="58" t="inlineStr">
        <is>
          <t>deyga clear skin kit uk</t>
        </is>
      </c>
      <c r="N143" s="58" t="inlineStr">
        <is>
          <t>buy deyga clear skin kit online</t>
        </is>
      </c>
      <c r="O143" s="58" t="inlineStr">
        <is>
          <t>deyga clear skin kit price</t>
        </is>
      </c>
      <c r="P143" s="58" t="n"/>
      <c r="Q143" s="59">
        <f>IF(L143="","",IFERROR(INDEX('Semrush Data'!$A$1:$Z$20000,MATCH(L143,'Semrush Data'!$A$1:$A$20000,0),MATCH("Volume",'Semrush Data'!$A$1:$Z$1,0)),""))</f>
        <v/>
      </c>
      <c r="R143" s="59">
        <f>IF(M143="","",IFERROR(INDEX('Semrush Data'!$A$1:$Z$20000,MATCH(M143,'Semrush Data'!$A$1:$A$20000,0),MATCH("Volume",'Semrush Data'!$A$1:$Z$1,0)),""))</f>
        <v/>
      </c>
      <c r="S143" s="59">
        <f>IF(N143="","",IFERROR(INDEX('Semrush Data'!$A$1:$Z$20000,MATCH(N143,'Semrush Data'!$A$1:$A$20000,0),MATCH("Volume",'Semrush Data'!$A$1:$Z$1,0)),""))</f>
        <v/>
      </c>
      <c r="T143" s="59">
        <f>IF(O143="","",IFERROR(INDEX('Semrush Data'!$A$1:$Z$20000,MATCH(O143,'Semrush Data'!$A$1:$A$20000,0),MATCH("Volume",'Semrush Data'!$A$1:$Z$1,0)),""))</f>
        <v/>
      </c>
      <c r="U143" s="59">
        <f>IF(P143="","",IFERROR(INDEX('Semrush Data'!$A$1:$Z$20000,MATCH(P143,'Semrush Data'!$A$1:$A$20000,0),MATCH("Volume",'Semrush Data'!$A$1:$Z$1,0)),""))</f>
        <v/>
      </c>
      <c r="V143" s="60">
        <f>IF(COUNT(Q143:U143)=0,L143,IF(MAX(Q143:U143)=0,L143,INDEX(L143:P143,MATCH(MAX(Q143:U143),Q143:U143,0))))</f>
        <v/>
      </c>
      <c r="W143" s="59">
        <f>IFERROR(INDEX('Semrush Data'!$A$1:$Z$20000,MATCH(V143,'Semrush Data'!$A$1:$A$20000,0),MATCH("Volume",'Semrush Data'!$A$1:$Z$1,0)),"")</f>
        <v/>
      </c>
      <c r="X143" s="59">
        <f>IFERROR(INDEX('Semrush Data'!$A$1:$Z$20000,MATCH(V143,'Semrush Data'!$A$1:$A$20000,0),MATCH("Keyword Difficulty*",'Semrush Data'!$A$1:$Z$1,0)),"")</f>
        <v/>
      </c>
      <c r="Y143" s="61">
        <f>IFERROR(INDEX('Semrush Data'!$A$1:$Z$20000,MATCH(V143,'Semrush Data'!$A$1:$A$20000,0),MATCH("CPC*",'Semrush Data'!$A$1:$Z$1,0)),"")</f>
        <v/>
      </c>
      <c r="Z143" s="58" t="inlineStr">
        <is>
          <t>deyga skincare gift set</t>
        </is>
      </c>
      <c r="AA143" s="58" t="n"/>
      <c r="AB143" s="58" t="inlineStr">
        <is>
          <t>Deyga Clear Skin Kit</t>
        </is>
      </c>
      <c r="AC143" s="58" t="inlineStr">
        <is>
          <t>Deyga Clear Skin Kit | Official UK Partner | Swansura</t>
        </is>
      </c>
      <c r="AD143" s="58">
        <f>LEN(AC143)</f>
        <v/>
      </c>
      <c r="AE143" s="58" t="inlineStr">
        <is>
          <t>Buy Deyga Clear Skin Kit online in the UK at Swansura, official UK partner of Deyga. A natural gift set for dry skin. 100% authentic, free UK delivery over £50.</t>
        </is>
      </c>
      <c r="AF143" s="58">
        <f>LEN(AE143)</f>
        <v/>
      </c>
    </row>
    <row r="144" ht="15" customHeight="1" s="37">
      <c r="A144" s="58" t="inlineStr">
        <is>
          <t>VD-143</t>
        </is>
      </c>
      <c r="B144" s="58" t="inlineStr">
        <is>
          <t>Vilvah &amp; Deyga</t>
        </is>
      </c>
      <c r="C144" s="58" t="n">
        <v>143</v>
      </c>
      <c r="D144" s="58" t="inlineStr">
        <is>
          <t>Deyga</t>
        </is>
      </c>
      <c r="E144" s="58" t="n"/>
      <c r="F144" s="58" t="inlineStr">
        <is>
          <t>Gift Set</t>
        </is>
      </c>
      <c r="G144" s="58" t="inlineStr">
        <is>
          <t>Gift Sets &amp; Combos</t>
        </is>
      </c>
      <c r="H144" s="58" t="inlineStr">
        <is>
          <t>Body Hydration</t>
        </is>
      </c>
      <c r="I144" s="58" t="inlineStr">
        <is>
          <t>Best Selling Face Care Kit</t>
        </is>
      </c>
      <c r="J144" s="58" t="n"/>
      <c r="K144" s="58" t="n">
        <v>28.99</v>
      </c>
      <c r="L144" s="58" t="inlineStr">
        <is>
          <t>deyga best selling face care kit</t>
        </is>
      </c>
      <c r="M144" s="58" t="inlineStr">
        <is>
          <t>deyga best selling face care kit uk</t>
        </is>
      </c>
      <c r="N144" s="58" t="inlineStr">
        <is>
          <t>buy deyga best selling face care kit online</t>
        </is>
      </c>
      <c r="O144" s="58" t="inlineStr">
        <is>
          <t>deyga best selling face care kit price</t>
        </is>
      </c>
      <c r="P144" s="58" t="n"/>
      <c r="Q144" s="59">
        <f>IF(L144="","",IFERROR(INDEX('Semrush Data'!$A$1:$Z$20000,MATCH(L144,'Semrush Data'!$A$1:$A$20000,0),MATCH("Volume",'Semrush Data'!$A$1:$Z$1,0)),""))</f>
        <v/>
      </c>
      <c r="R144" s="59">
        <f>IF(M144="","",IFERROR(INDEX('Semrush Data'!$A$1:$Z$20000,MATCH(M144,'Semrush Data'!$A$1:$A$20000,0),MATCH("Volume",'Semrush Data'!$A$1:$Z$1,0)),""))</f>
        <v/>
      </c>
      <c r="S144" s="59">
        <f>IF(N144="","",IFERROR(INDEX('Semrush Data'!$A$1:$Z$20000,MATCH(N144,'Semrush Data'!$A$1:$A$20000,0),MATCH("Volume",'Semrush Data'!$A$1:$Z$1,0)),""))</f>
        <v/>
      </c>
      <c r="T144" s="59">
        <f>IF(O144="","",IFERROR(INDEX('Semrush Data'!$A$1:$Z$20000,MATCH(O144,'Semrush Data'!$A$1:$A$20000,0),MATCH("Volume",'Semrush Data'!$A$1:$Z$1,0)),""))</f>
        <v/>
      </c>
      <c r="U144" s="59">
        <f>IF(P144="","",IFERROR(INDEX('Semrush Data'!$A$1:$Z$20000,MATCH(P144,'Semrush Data'!$A$1:$A$20000,0),MATCH("Volume",'Semrush Data'!$A$1:$Z$1,0)),""))</f>
        <v/>
      </c>
      <c r="V144" s="60">
        <f>IF(COUNT(Q144:U144)=0,L144,IF(MAX(Q144:U144)=0,L144,INDEX(L144:P144,MATCH(MAX(Q144:U144),Q144:U144,0))))</f>
        <v/>
      </c>
      <c r="W144" s="59">
        <f>IFERROR(INDEX('Semrush Data'!$A$1:$Z$20000,MATCH(V144,'Semrush Data'!$A$1:$A$20000,0),MATCH("Volume",'Semrush Data'!$A$1:$Z$1,0)),"")</f>
        <v/>
      </c>
      <c r="X144" s="59">
        <f>IFERROR(INDEX('Semrush Data'!$A$1:$Z$20000,MATCH(V144,'Semrush Data'!$A$1:$A$20000,0),MATCH("Keyword Difficulty*",'Semrush Data'!$A$1:$Z$1,0)),"")</f>
        <v/>
      </c>
      <c r="Y144" s="61">
        <f>IFERROR(INDEX('Semrush Data'!$A$1:$Z$20000,MATCH(V144,'Semrush Data'!$A$1:$A$20000,0),MATCH("CPC*",'Semrush Data'!$A$1:$Z$1,0)),"")</f>
        <v/>
      </c>
      <c r="Z144" s="58" t="inlineStr">
        <is>
          <t>deyga skincare gift set</t>
        </is>
      </c>
      <c r="AA144" s="58" t="n"/>
      <c r="AB144" s="58" t="inlineStr">
        <is>
          <t>Deyga Best Selling Face Care Kit</t>
        </is>
      </c>
      <c r="AC144" s="58" t="inlineStr">
        <is>
          <t>Deyga Best Selling Face Care Kit | Buy Online UK | Swansura</t>
        </is>
      </c>
      <c r="AD144" s="58">
        <f>LEN(AC144)</f>
        <v/>
      </c>
      <c r="AE144" s="58" t="inlineStr">
        <is>
          <t>Buy Deyga Best Selling Face Care Kit online in the UK at Swansura, official UK partner of Deyga. Natural gift set. 100% authentic, free UK delivery over £50.</t>
        </is>
      </c>
      <c r="AF144" s="58">
        <f>LEN(AE144)</f>
        <v/>
      </c>
    </row>
    <row r="145" ht="15" customHeight="1" s="37">
      <c r="A145" s="58" t="inlineStr">
        <is>
          <t>VD-144</t>
        </is>
      </c>
      <c r="B145" s="58" t="inlineStr">
        <is>
          <t>Vilvah &amp; Deyga</t>
        </is>
      </c>
      <c r="C145" s="58" t="n">
        <v>144</v>
      </c>
      <c r="D145" s="58" t="inlineStr">
        <is>
          <t>Deyga</t>
        </is>
      </c>
      <c r="E145" s="58" t="n"/>
      <c r="F145" s="58" t="inlineStr">
        <is>
          <t>Gift Set</t>
        </is>
      </c>
      <c r="G145" s="58" t="inlineStr">
        <is>
          <t>Gift Sets &amp; Combos</t>
        </is>
      </c>
      <c r="H145" s="58" t="inlineStr">
        <is>
          <t>Dry Hair</t>
        </is>
      </c>
      <c r="I145" s="58" t="inlineStr">
        <is>
          <t>Instant Hair Removal Kit</t>
        </is>
      </c>
      <c r="J145" s="58" t="n"/>
      <c r="K145" s="58" t="n">
        <v>16.99</v>
      </c>
      <c r="L145" s="58" t="inlineStr">
        <is>
          <t>deyga instant hair removal kit</t>
        </is>
      </c>
      <c r="M145" s="58" t="inlineStr">
        <is>
          <t>deyga instant hair removal kit uk</t>
        </is>
      </c>
      <c r="N145" s="58" t="inlineStr">
        <is>
          <t>buy deyga instant hair removal kit online</t>
        </is>
      </c>
      <c r="O145" s="58" t="inlineStr">
        <is>
          <t>deyga instant hair removal kit price</t>
        </is>
      </c>
      <c r="P145" s="58" t="n"/>
      <c r="Q145" s="59">
        <f>IF(L145="","",IFERROR(INDEX('Semrush Data'!$A$1:$Z$20000,MATCH(L145,'Semrush Data'!$A$1:$A$20000,0),MATCH("Volume",'Semrush Data'!$A$1:$Z$1,0)),""))</f>
        <v/>
      </c>
      <c r="R145" s="59">
        <f>IF(M145="","",IFERROR(INDEX('Semrush Data'!$A$1:$Z$20000,MATCH(M145,'Semrush Data'!$A$1:$A$20000,0),MATCH("Volume",'Semrush Data'!$A$1:$Z$1,0)),""))</f>
        <v/>
      </c>
      <c r="S145" s="59">
        <f>IF(N145="","",IFERROR(INDEX('Semrush Data'!$A$1:$Z$20000,MATCH(N145,'Semrush Data'!$A$1:$A$20000,0),MATCH("Volume",'Semrush Data'!$A$1:$Z$1,0)),""))</f>
        <v/>
      </c>
      <c r="T145" s="59">
        <f>IF(O145="","",IFERROR(INDEX('Semrush Data'!$A$1:$Z$20000,MATCH(O145,'Semrush Data'!$A$1:$A$20000,0),MATCH("Volume",'Semrush Data'!$A$1:$Z$1,0)),""))</f>
        <v/>
      </c>
      <c r="U145" s="59">
        <f>IF(P145="","",IFERROR(INDEX('Semrush Data'!$A$1:$Z$20000,MATCH(P145,'Semrush Data'!$A$1:$A$20000,0),MATCH("Volume",'Semrush Data'!$A$1:$Z$1,0)),""))</f>
        <v/>
      </c>
      <c r="V145" s="60">
        <f>IF(COUNT(Q145:U145)=0,L145,IF(MAX(Q145:U145)=0,L145,INDEX(L145:P145,MATCH(MAX(Q145:U145),Q145:U145,0))))</f>
        <v/>
      </c>
      <c r="W145" s="59">
        <f>IFERROR(INDEX('Semrush Data'!$A$1:$Z$20000,MATCH(V145,'Semrush Data'!$A$1:$A$20000,0),MATCH("Volume",'Semrush Data'!$A$1:$Z$1,0)),"")</f>
        <v/>
      </c>
      <c r="X145" s="59">
        <f>IFERROR(INDEX('Semrush Data'!$A$1:$Z$20000,MATCH(V145,'Semrush Data'!$A$1:$A$20000,0),MATCH("Keyword Difficulty*",'Semrush Data'!$A$1:$Z$1,0)),"")</f>
        <v/>
      </c>
      <c r="Y145" s="61">
        <f>IFERROR(INDEX('Semrush Data'!$A$1:$Z$20000,MATCH(V145,'Semrush Data'!$A$1:$A$20000,0),MATCH("CPC*",'Semrush Data'!$A$1:$Z$1,0)),"")</f>
        <v/>
      </c>
      <c r="Z145" s="58" t="inlineStr">
        <is>
          <t>deyga skincare gift set</t>
        </is>
      </c>
      <c r="AA145" s="58" t="n"/>
      <c r="AB145" s="58" t="inlineStr">
        <is>
          <t>Deyga Instant Hair Removal Kit</t>
        </is>
      </c>
      <c r="AC145" s="58" t="inlineStr">
        <is>
          <t>Deyga Instant Hair Removal Kit | Buy Online UK | Swansura</t>
        </is>
      </c>
      <c r="AD145" s="58">
        <f>LEN(AC145)</f>
        <v/>
      </c>
      <c r="AE145" s="58" t="inlineStr">
        <is>
          <t>Buy Deyga Instant Hair Removal Kit online in the UK at Swansura, official UK partner of Deyga. 100% authentic, shipped from the UK, free delivery over £50.</t>
        </is>
      </c>
      <c r="AF145" s="58">
        <f>LEN(AE145)</f>
        <v/>
      </c>
    </row>
    <row r="146" ht="15" customHeight="1" s="37">
      <c r="A146" s="58" t="inlineStr">
        <is>
          <t>VD-145</t>
        </is>
      </c>
      <c r="B146" s="58" t="inlineStr">
        <is>
          <t>Vilvah &amp; Deyga</t>
        </is>
      </c>
      <c r="C146" s="58" t="n">
        <v>145</v>
      </c>
      <c r="D146" s="58" t="inlineStr">
        <is>
          <t>Deyga</t>
        </is>
      </c>
      <c r="E146" s="58" t="n"/>
      <c r="F146" s="58" t="inlineStr">
        <is>
          <t>Gift Set</t>
        </is>
      </c>
      <c r="G146" s="58" t="inlineStr">
        <is>
          <t>Gift Sets &amp; Combos</t>
        </is>
      </c>
      <c r="H146" s="58" t="inlineStr">
        <is>
          <t>Dry Hair</t>
        </is>
      </c>
      <c r="I146" s="58" t="inlineStr">
        <is>
          <t>Instant Hair Removal Kit with Toner</t>
        </is>
      </c>
      <c r="J146" s="58" t="n"/>
      <c r="K146" s="58" t="n">
        <v>22.99</v>
      </c>
      <c r="L146" s="58" t="inlineStr">
        <is>
          <t>deyga instant hair removal kit with toner</t>
        </is>
      </c>
      <c r="M146" s="58" t="inlineStr">
        <is>
          <t>deyga instant hair removal kit with toner uk</t>
        </is>
      </c>
      <c r="N146" s="58" t="inlineStr">
        <is>
          <t>buy deyga instant hair removal kit with toner online</t>
        </is>
      </c>
      <c r="O146" s="58" t="inlineStr">
        <is>
          <t>deyga instant hair removal kit with toner price</t>
        </is>
      </c>
      <c r="P146" s="58" t="n"/>
      <c r="Q146" s="59">
        <f>IF(L146="","",IFERROR(INDEX('Semrush Data'!$A$1:$Z$20000,MATCH(L146,'Semrush Data'!$A$1:$A$20000,0),MATCH("Volume",'Semrush Data'!$A$1:$Z$1,0)),""))</f>
        <v/>
      </c>
      <c r="R146" s="59">
        <f>IF(M146="","",IFERROR(INDEX('Semrush Data'!$A$1:$Z$20000,MATCH(M146,'Semrush Data'!$A$1:$A$20000,0),MATCH("Volume",'Semrush Data'!$A$1:$Z$1,0)),""))</f>
        <v/>
      </c>
      <c r="S146" s="59">
        <f>IF(N146="","",IFERROR(INDEX('Semrush Data'!$A$1:$Z$20000,MATCH(N146,'Semrush Data'!$A$1:$A$20000,0),MATCH("Volume",'Semrush Data'!$A$1:$Z$1,0)),""))</f>
        <v/>
      </c>
      <c r="T146" s="59">
        <f>IF(O146="","",IFERROR(INDEX('Semrush Data'!$A$1:$Z$20000,MATCH(O146,'Semrush Data'!$A$1:$A$20000,0),MATCH("Volume",'Semrush Data'!$A$1:$Z$1,0)),""))</f>
        <v/>
      </c>
      <c r="U146" s="59">
        <f>IF(P146="","",IFERROR(INDEX('Semrush Data'!$A$1:$Z$20000,MATCH(P146,'Semrush Data'!$A$1:$A$20000,0),MATCH("Volume",'Semrush Data'!$A$1:$Z$1,0)),""))</f>
        <v/>
      </c>
      <c r="V146" s="60">
        <f>IF(COUNT(Q146:U146)=0,L146,IF(MAX(Q146:U146)=0,L146,INDEX(L146:P146,MATCH(MAX(Q146:U146),Q146:U146,0))))</f>
        <v/>
      </c>
      <c r="W146" s="59">
        <f>IFERROR(INDEX('Semrush Data'!$A$1:$Z$20000,MATCH(V146,'Semrush Data'!$A$1:$A$20000,0),MATCH("Volume",'Semrush Data'!$A$1:$Z$1,0)),"")</f>
        <v/>
      </c>
      <c r="X146" s="59">
        <f>IFERROR(INDEX('Semrush Data'!$A$1:$Z$20000,MATCH(V146,'Semrush Data'!$A$1:$A$20000,0),MATCH("Keyword Difficulty*",'Semrush Data'!$A$1:$Z$1,0)),"")</f>
        <v/>
      </c>
      <c r="Y146" s="61">
        <f>IFERROR(INDEX('Semrush Data'!$A$1:$Z$20000,MATCH(V146,'Semrush Data'!$A$1:$A$20000,0),MATCH("CPC*",'Semrush Data'!$A$1:$Z$1,0)),"")</f>
        <v/>
      </c>
      <c r="Z146" s="58" t="inlineStr">
        <is>
          <t>deyga skincare gift set</t>
        </is>
      </c>
      <c r="AA146" s="58" t="n"/>
      <c r="AB146" s="58" t="inlineStr">
        <is>
          <t>Deyga Instant Hair Removal Kit with Toner</t>
        </is>
      </c>
      <c r="AC146" s="58" t="inlineStr">
        <is>
          <t>Deyga Instant Hair Removal Kit with Toner | Swansura UK</t>
        </is>
      </c>
      <c r="AD146" s="58">
        <f>LEN(AC146)</f>
        <v/>
      </c>
      <c r="AE146" s="58" t="inlineStr">
        <is>
          <t>Buy Deyga Instant Hair Removal Kit with Toner online at Swansura, official UK partner of Deyga. 100% authentic, shipped from the UK, free delivery over £50.</t>
        </is>
      </c>
      <c r="AF146" s="58">
        <f>LEN(AE146)</f>
        <v/>
      </c>
    </row>
    <row r="147" ht="15" customHeight="1" s="37">
      <c r="A147" s="58" t="inlineStr">
        <is>
          <t>VD-146</t>
        </is>
      </c>
      <c r="B147" s="58" t="inlineStr">
        <is>
          <t>Vilvah &amp; Deyga</t>
        </is>
      </c>
      <c r="C147" s="58" t="n">
        <v>146</v>
      </c>
      <c r="D147" s="58" t="inlineStr">
        <is>
          <t>Deyga</t>
        </is>
      </c>
      <c r="E147" s="58" t="n"/>
      <c r="F147" s="58" t="inlineStr">
        <is>
          <t>Gift Set</t>
        </is>
      </c>
      <c r="G147" s="58" t="inlineStr">
        <is>
          <t>Gift Sets &amp; Combos</t>
        </is>
      </c>
      <c r="H147" s="58" t="inlineStr">
        <is>
          <t>Body Hydration</t>
        </is>
      </c>
      <c r="I147" s="58" t="inlineStr">
        <is>
          <t>Healthy Glow Kit</t>
        </is>
      </c>
      <c r="J147" s="58" t="n"/>
      <c r="K147" s="58" t="n">
        <v>19.99</v>
      </c>
      <c r="L147" s="58" t="inlineStr">
        <is>
          <t>deyga healthy glow kit</t>
        </is>
      </c>
      <c r="M147" s="58" t="inlineStr">
        <is>
          <t>deyga healthy glow kit uk</t>
        </is>
      </c>
      <c r="N147" s="58" t="inlineStr">
        <is>
          <t>buy deyga healthy glow kit online</t>
        </is>
      </c>
      <c r="O147" s="58" t="inlineStr">
        <is>
          <t>deyga healthy glow kit price</t>
        </is>
      </c>
      <c r="P147" s="58" t="n"/>
      <c r="Q147" s="59">
        <f>IF(L147="","",IFERROR(INDEX('Semrush Data'!$A$1:$Z$20000,MATCH(L147,'Semrush Data'!$A$1:$A$20000,0),MATCH("Volume",'Semrush Data'!$A$1:$Z$1,0)),""))</f>
        <v/>
      </c>
      <c r="R147" s="59">
        <f>IF(M147="","",IFERROR(INDEX('Semrush Data'!$A$1:$Z$20000,MATCH(M147,'Semrush Data'!$A$1:$A$20000,0),MATCH("Volume",'Semrush Data'!$A$1:$Z$1,0)),""))</f>
        <v/>
      </c>
      <c r="S147" s="59">
        <f>IF(N147="","",IFERROR(INDEX('Semrush Data'!$A$1:$Z$20000,MATCH(N147,'Semrush Data'!$A$1:$A$20000,0),MATCH("Volume",'Semrush Data'!$A$1:$Z$1,0)),""))</f>
        <v/>
      </c>
      <c r="T147" s="59">
        <f>IF(O147="","",IFERROR(INDEX('Semrush Data'!$A$1:$Z$20000,MATCH(O147,'Semrush Data'!$A$1:$A$20000,0),MATCH("Volume",'Semrush Data'!$A$1:$Z$1,0)),""))</f>
        <v/>
      </c>
      <c r="U147" s="59">
        <f>IF(P147="","",IFERROR(INDEX('Semrush Data'!$A$1:$Z$20000,MATCH(P147,'Semrush Data'!$A$1:$A$20000,0),MATCH("Volume",'Semrush Data'!$A$1:$Z$1,0)),""))</f>
        <v/>
      </c>
      <c r="V147" s="60">
        <f>IF(COUNT(Q147:U147)=0,L147,IF(MAX(Q147:U147)=0,L147,INDEX(L147:P147,MATCH(MAX(Q147:U147),Q147:U147,0))))</f>
        <v/>
      </c>
      <c r="W147" s="59">
        <f>IFERROR(INDEX('Semrush Data'!$A$1:$Z$20000,MATCH(V147,'Semrush Data'!$A$1:$A$20000,0),MATCH("Volume",'Semrush Data'!$A$1:$Z$1,0)),"")</f>
        <v/>
      </c>
      <c r="X147" s="59">
        <f>IFERROR(INDEX('Semrush Data'!$A$1:$Z$20000,MATCH(V147,'Semrush Data'!$A$1:$A$20000,0),MATCH("Keyword Difficulty*",'Semrush Data'!$A$1:$Z$1,0)),"")</f>
        <v/>
      </c>
      <c r="Y147" s="61">
        <f>IFERROR(INDEX('Semrush Data'!$A$1:$Z$20000,MATCH(V147,'Semrush Data'!$A$1:$A$20000,0),MATCH("CPC*",'Semrush Data'!$A$1:$Z$1,0)),"")</f>
        <v/>
      </c>
      <c r="Z147" s="58" t="inlineStr">
        <is>
          <t>deyga skincare gift set</t>
        </is>
      </c>
      <c r="AA147" s="58" t="n"/>
      <c r="AB147" s="58" t="inlineStr">
        <is>
          <t>Deyga Healthy Glow Kit</t>
        </is>
      </c>
      <c r="AC147" s="58" t="inlineStr">
        <is>
          <t>Deyga Healthy Glow Kit | Official UK Partner | Swansura</t>
        </is>
      </c>
      <c r="AD147" s="58">
        <f>LEN(AC147)</f>
        <v/>
      </c>
      <c r="AE147" s="58" t="inlineStr">
        <is>
          <t>Buy Deyga Healthy Glow Kit online in the UK at Swansura, official UK partner of Deyga. A natural gift set for soft, hydrated skin. Free UK delivery over £50.</t>
        </is>
      </c>
      <c r="AF147" s="58">
        <f>LEN(AE147)</f>
        <v/>
      </c>
    </row>
    <row r="148" ht="15" customHeight="1" s="37">
      <c r="A148" s="58" t="inlineStr">
        <is>
          <t>VD-147</t>
        </is>
      </c>
      <c r="B148" s="58" t="inlineStr">
        <is>
          <t>Vilvah &amp; Deyga</t>
        </is>
      </c>
      <c r="C148" s="58" t="n">
        <v>147</v>
      </c>
      <c r="D148" s="58" t="inlineStr">
        <is>
          <t>Deyga</t>
        </is>
      </c>
      <c r="E148" s="58" t="n"/>
      <c r="F148" s="58" t="inlineStr">
        <is>
          <t>Gift Set</t>
        </is>
      </c>
      <c r="G148" s="58" t="inlineStr">
        <is>
          <t>Gift Sets &amp; Combos</t>
        </is>
      </c>
      <c r="H148" s="58" t="inlineStr">
        <is>
          <t>Dry Hair</t>
        </is>
      </c>
      <c r="I148" s="58" t="inlineStr">
        <is>
          <t>Hair Nourishment Kit</t>
        </is>
      </c>
      <c r="J148" s="58" t="n"/>
      <c r="K148" s="58" t="n">
        <v>25.99</v>
      </c>
      <c r="L148" s="58" t="inlineStr">
        <is>
          <t>deyga hair nourishment kit</t>
        </is>
      </c>
      <c r="M148" s="58" t="inlineStr">
        <is>
          <t>deyga hair nourishment kit uk</t>
        </is>
      </c>
      <c r="N148" s="58" t="inlineStr">
        <is>
          <t>buy deyga hair nourishment kit online</t>
        </is>
      </c>
      <c r="O148" s="58" t="inlineStr">
        <is>
          <t>deyga hair nourishment kit price</t>
        </is>
      </c>
      <c r="P148" s="58" t="n"/>
      <c r="Q148" s="59">
        <f>IF(L148="","",IFERROR(INDEX('Semrush Data'!$A$1:$Z$20000,MATCH(L148,'Semrush Data'!$A$1:$A$20000,0),MATCH("Volume",'Semrush Data'!$A$1:$Z$1,0)),""))</f>
        <v/>
      </c>
      <c r="R148" s="59">
        <f>IF(M148="","",IFERROR(INDEX('Semrush Data'!$A$1:$Z$20000,MATCH(M148,'Semrush Data'!$A$1:$A$20000,0),MATCH("Volume",'Semrush Data'!$A$1:$Z$1,0)),""))</f>
        <v/>
      </c>
      <c r="S148" s="59">
        <f>IF(N148="","",IFERROR(INDEX('Semrush Data'!$A$1:$Z$20000,MATCH(N148,'Semrush Data'!$A$1:$A$20000,0),MATCH("Volume",'Semrush Data'!$A$1:$Z$1,0)),""))</f>
        <v/>
      </c>
      <c r="T148" s="59">
        <f>IF(O148="","",IFERROR(INDEX('Semrush Data'!$A$1:$Z$20000,MATCH(O148,'Semrush Data'!$A$1:$A$20000,0),MATCH("Volume",'Semrush Data'!$A$1:$Z$1,0)),""))</f>
        <v/>
      </c>
      <c r="U148" s="59">
        <f>IF(P148="","",IFERROR(INDEX('Semrush Data'!$A$1:$Z$20000,MATCH(P148,'Semrush Data'!$A$1:$A$20000,0),MATCH("Volume",'Semrush Data'!$A$1:$Z$1,0)),""))</f>
        <v/>
      </c>
      <c r="V148" s="60">
        <f>IF(COUNT(Q148:U148)=0,L148,IF(MAX(Q148:U148)=0,L148,INDEX(L148:P148,MATCH(MAX(Q148:U148),Q148:U148,0))))</f>
        <v/>
      </c>
      <c r="W148" s="59">
        <f>IFERROR(INDEX('Semrush Data'!$A$1:$Z$20000,MATCH(V148,'Semrush Data'!$A$1:$A$20000,0),MATCH("Volume",'Semrush Data'!$A$1:$Z$1,0)),"")</f>
        <v/>
      </c>
      <c r="X148" s="59">
        <f>IFERROR(INDEX('Semrush Data'!$A$1:$Z$20000,MATCH(V148,'Semrush Data'!$A$1:$A$20000,0),MATCH("Keyword Difficulty*",'Semrush Data'!$A$1:$Z$1,0)),"")</f>
        <v/>
      </c>
      <c r="Y148" s="61">
        <f>IFERROR(INDEX('Semrush Data'!$A$1:$Z$20000,MATCH(V148,'Semrush Data'!$A$1:$A$20000,0),MATCH("CPC*",'Semrush Data'!$A$1:$Z$1,0)),"")</f>
        <v/>
      </c>
      <c r="Z148" s="58" t="inlineStr">
        <is>
          <t>deyga skincare gift set</t>
        </is>
      </c>
      <c r="AA148" s="58" t="n"/>
      <c r="AB148" s="58" t="inlineStr">
        <is>
          <t>Deyga Hair Nourishment Kit</t>
        </is>
      </c>
      <c r="AC148" s="58" t="inlineStr">
        <is>
          <t>Deyga Hair Nourishment Kit | Buy Online UK | Swansura</t>
        </is>
      </c>
      <c r="AD148" s="58">
        <f>LEN(AC148)</f>
        <v/>
      </c>
      <c r="AE148" s="58" t="inlineStr">
        <is>
          <t>Buy Deyga Hair Nourishment Kit online at Swansura, official UK partner of Deyga. Natural gift set. 100% authentic, shipped from the UK, free delivery over £50.</t>
        </is>
      </c>
      <c r="AF148" s="58">
        <f>LEN(AE148)</f>
        <v/>
      </c>
    </row>
    <row r="149" ht="15" customHeight="1" s="37">
      <c r="A149" s="58" t="inlineStr">
        <is>
          <t>VD-148</t>
        </is>
      </c>
      <c r="B149" s="58" t="inlineStr">
        <is>
          <t>Vilvah &amp; Deyga</t>
        </is>
      </c>
      <c r="C149" s="58" t="n">
        <v>148</v>
      </c>
      <c r="D149" s="58" t="inlineStr">
        <is>
          <t>Deyga</t>
        </is>
      </c>
      <c r="E149" s="58" t="n"/>
      <c r="F149" s="58" t="inlineStr">
        <is>
          <t>Gift Set</t>
        </is>
      </c>
      <c r="G149" s="58" t="inlineStr">
        <is>
          <t>Gift Sets &amp; Combos</t>
        </is>
      </c>
      <c r="H149" s="58" t="inlineStr">
        <is>
          <t>Sensitive Skin</t>
        </is>
      </c>
      <c r="I149" s="58" t="inlineStr">
        <is>
          <t>Sensitive Skin Kit</t>
        </is>
      </c>
      <c r="J149" s="58" t="n"/>
      <c r="K149" s="58" t="n">
        <v>16.99</v>
      </c>
      <c r="L149" s="58" t="inlineStr">
        <is>
          <t>deyga sensitive skin kit</t>
        </is>
      </c>
      <c r="M149" s="58" t="inlineStr">
        <is>
          <t>deyga sensitive skin kit uk</t>
        </is>
      </c>
      <c r="N149" s="58" t="inlineStr">
        <is>
          <t>buy deyga sensitive skin kit online</t>
        </is>
      </c>
      <c r="O149" s="58" t="inlineStr">
        <is>
          <t>deyga sensitive skin kit price</t>
        </is>
      </c>
      <c r="P149" s="58" t="n"/>
      <c r="Q149" s="59">
        <f>IF(L149="","",IFERROR(INDEX('Semrush Data'!$A$1:$Z$20000,MATCH(L149,'Semrush Data'!$A$1:$A$20000,0),MATCH("Volume",'Semrush Data'!$A$1:$Z$1,0)),""))</f>
        <v/>
      </c>
      <c r="R149" s="59">
        <f>IF(M149="","",IFERROR(INDEX('Semrush Data'!$A$1:$Z$20000,MATCH(M149,'Semrush Data'!$A$1:$A$20000,0),MATCH("Volume",'Semrush Data'!$A$1:$Z$1,0)),""))</f>
        <v/>
      </c>
      <c r="S149" s="59">
        <f>IF(N149="","",IFERROR(INDEX('Semrush Data'!$A$1:$Z$20000,MATCH(N149,'Semrush Data'!$A$1:$A$20000,0),MATCH("Volume",'Semrush Data'!$A$1:$Z$1,0)),""))</f>
        <v/>
      </c>
      <c r="T149" s="59">
        <f>IF(O149="","",IFERROR(INDEX('Semrush Data'!$A$1:$Z$20000,MATCH(O149,'Semrush Data'!$A$1:$A$20000,0),MATCH("Volume",'Semrush Data'!$A$1:$Z$1,0)),""))</f>
        <v/>
      </c>
      <c r="U149" s="59">
        <f>IF(P149="","",IFERROR(INDEX('Semrush Data'!$A$1:$Z$20000,MATCH(P149,'Semrush Data'!$A$1:$A$20000,0),MATCH("Volume",'Semrush Data'!$A$1:$Z$1,0)),""))</f>
        <v/>
      </c>
      <c r="V149" s="60">
        <f>IF(COUNT(Q149:U149)=0,L149,IF(MAX(Q149:U149)=0,L149,INDEX(L149:P149,MATCH(MAX(Q149:U149),Q149:U149,0))))</f>
        <v/>
      </c>
      <c r="W149" s="59">
        <f>IFERROR(INDEX('Semrush Data'!$A$1:$Z$20000,MATCH(V149,'Semrush Data'!$A$1:$A$20000,0),MATCH("Volume",'Semrush Data'!$A$1:$Z$1,0)),"")</f>
        <v/>
      </c>
      <c r="X149" s="59">
        <f>IFERROR(INDEX('Semrush Data'!$A$1:$Z$20000,MATCH(V149,'Semrush Data'!$A$1:$A$20000,0),MATCH("Keyword Difficulty*",'Semrush Data'!$A$1:$Z$1,0)),"")</f>
        <v/>
      </c>
      <c r="Y149" s="61">
        <f>IFERROR(INDEX('Semrush Data'!$A$1:$Z$20000,MATCH(V149,'Semrush Data'!$A$1:$A$20000,0),MATCH("CPC*",'Semrush Data'!$A$1:$Z$1,0)),"")</f>
        <v/>
      </c>
      <c r="Z149" s="58" t="inlineStr">
        <is>
          <t>deyga skincare gift set</t>
        </is>
      </c>
      <c r="AA149" s="58" t="n"/>
      <c r="AB149" s="58" t="inlineStr">
        <is>
          <t>Deyga Sensitive Skin Kit</t>
        </is>
      </c>
      <c r="AC149" s="58" t="inlineStr">
        <is>
          <t>Deyga Sensitive Skin Kit | Buy Online UK | Swansura</t>
        </is>
      </c>
      <c r="AD149" s="58">
        <f>LEN(AC149)</f>
        <v/>
      </c>
      <c r="AE149" s="58" t="inlineStr">
        <is>
          <t>Buy Deyga Sensitive Skin Kit online at Swansura, official UK partner of Deyga. Natural gift set. 100% authentic, shipped from the UK, free delivery over £50.</t>
        </is>
      </c>
      <c r="AF149" s="58">
        <f>LEN(AE149)</f>
        <v/>
      </c>
    </row>
    <row r="150" ht="15" customHeight="1" s="37">
      <c r="A150" s="58" t="inlineStr">
        <is>
          <t>VD-149</t>
        </is>
      </c>
      <c r="B150" s="58" t="inlineStr">
        <is>
          <t>Vilvah &amp; Deyga</t>
        </is>
      </c>
      <c r="C150" s="58" t="n">
        <v>149</v>
      </c>
      <c r="D150" s="58" t="inlineStr">
        <is>
          <t>Deyga</t>
        </is>
      </c>
      <c r="E150" s="58" t="n"/>
      <c r="F150" s="58" t="inlineStr">
        <is>
          <t>Gift Set</t>
        </is>
      </c>
      <c r="G150" s="58" t="inlineStr">
        <is>
          <t>Gift Sets &amp; Combos</t>
        </is>
      </c>
      <c r="H150" s="58" t="inlineStr">
        <is>
          <t>Body Hydration</t>
        </is>
      </c>
      <c r="I150" s="58" t="inlineStr">
        <is>
          <t>ABC Kit</t>
        </is>
      </c>
      <c r="J150" s="58" t="n"/>
      <c r="K150" s="58" t="n">
        <v>22.99</v>
      </c>
      <c r="L150" s="58" t="inlineStr">
        <is>
          <t>deyga abc kit</t>
        </is>
      </c>
      <c r="M150" s="58" t="inlineStr">
        <is>
          <t>deyga abc kit uk</t>
        </is>
      </c>
      <c r="N150" s="58" t="inlineStr">
        <is>
          <t>buy deyga abc kit online</t>
        </is>
      </c>
      <c r="O150" s="58" t="inlineStr">
        <is>
          <t>deyga abc kit price</t>
        </is>
      </c>
      <c r="P150" s="58" t="n"/>
      <c r="Q150" s="59">
        <f>IF(L150="","",IFERROR(INDEX('Semrush Data'!$A$1:$Z$20000,MATCH(L150,'Semrush Data'!$A$1:$A$20000,0),MATCH("Volume",'Semrush Data'!$A$1:$Z$1,0)),""))</f>
        <v/>
      </c>
      <c r="R150" s="59">
        <f>IF(M150="","",IFERROR(INDEX('Semrush Data'!$A$1:$Z$20000,MATCH(M150,'Semrush Data'!$A$1:$A$20000,0),MATCH("Volume",'Semrush Data'!$A$1:$Z$1,0)),""))</f>
        <v/>
      </c>
      <c r="S150" s="59">
        <f>IF(N150="","",IFERROR(INDEX('Semrush Data'!$A$1:$Z$20000,MATCH(N150,'Semrush Data'!$A$1:$A$20000,0),MATCH("Volume",'Semrush Data'!$A$1:$Z$1,0)),""))</f>
        <v/>
      </c>
      <c r="T150" s="59">
        <f>IF(O150="","",IFERROR(INDEX('Semrush Data'!$A$1:$Z$20000,MATCH(O150,'Semrush Data'!$A$1:$A$20000,0),MATCH("Volume",'Semrush Data'!$A$1:$Z$1,0)),""))</f>
        <v/>
      </c>
      <c r="U150" s="59">
        <f>IF(P150="","",IFERROR(INDEX('Semrush Data'!$A$1:$Z$20000,MATCH(P150,'Semrush Data'!$A$1:$A$20000,0),MATCH("Volume",'Semrush Data'!$A$1:$Z$1,0)),""))</f>
        <v/>
      </c>
      <c r="V150" s="60">
        <f>IF(COUNT(Q150:U150)=0,L150,IF(MAX(Q150:U150)=0,L150,INDEX(L150:P150,MATCH(MAX(Q150:U150),Q150:U150,0))))</f>
        <v/>
      </c>
      <c r="W150" s="59">
        <f>IFERROR(INDEX('Semrush Data'!$A$1:$Z$20000,MATCH(V150,'Semrush Data'!$A$1:$A$20000,0),MATCH("Volume",'Semrush Data'!$A$1:$Z$1,0)),"")</f>
        <v/>
      </c>
      <c r="X150" s="59">
        <f>IFERROR(INDEX('Semrush Data'!$A$1:$Z$20000,MATCH(V150,'Semrush Data'!$A$1:$A$20000,0),MATCH("Keyword Difficulty*",'Semrush Data'!$A$1:$Z$1,0)),"")</f>
        <v/>
      </c>
      <c r="Y150" s="61">
        <f>IFERROR(INDEX('Semrush Data'!$A$1:$Z$20000,MATCH(V150,'Semrush Data'!$A$1:$A$20000,0),MATCH("CPC*",'Semrush Data'!$A$1:$Z$1,0)),"")</f>
        <v/>
      </c>
      <c r="Z150" s="58" t="inlineStr">
        <is>
          <t>deyga skincare gift set</t>
        </is>
      </c>
      <c r="AA150" s="58" t="n"/>
      <c r="AB150" s="58" t="inlineStr">
        <is>
          <t>Deyga ABC Kit</t>
        </is>
      </c>
      <c r="AC150" s="58" t="inlineStr">
        <is>
          <t>Deyga ABC Kit | Official UK Partner | Swansura</t>
        </is>
      </c>
      <c r="AD150" s="58">
        <f>LEN(AC150)</f>
        <v/>
      </c>
      <c r="AE150" s="58" t="inlineStr">
        <is>
          <t>Buy Deyga ABC Kit online in the UK at Swansura, official UK partner of Deyga. Natural gift set. 100% authentic, shipped from the UK, free delivery over £50.</t>
        </is>
      </c>
      <c r="AF150" s="58">
        <f>LEN(AE150)</f>
        <v/>
      </c>
    </row>
    <row r="151" ht="15" customHeight="1" s="37">
      <c r="A151" s="58" t="inlineStr">
        <is>
          <t>VD-150</t>
        </is>
      </c>
      <c r="B151" s="58" t="inlineStr">
        <is>
          <t>Vilvah &amp; Deyga</t>
        </is>
      </c>
      <c r="C151" s="58" t="n">
        <v>150</v>
      </c>
      <c r="D151" s="58" t="inlineStr">
        <is>
          <t>Deyga</t>
        </is>
      </c>
      <c r="E151" s="58" t="n"/>
      <c r="F151" s="58" t="inlineStr">
        <is>
          <t>Gift Set</t>
        </is>
      </c>
      <c r="G151" s="58" t="inlineStr">
        <is>
          <t>Gift Sets &amp; Combos</t>
        </is>
      </c>
      <c r="H151" s="58" t="inlineStr">
        <is>
          <t>Dry Skin</t>
        </is>
      </c>
      <c r="I151" s="58" t="inlineStr">
        <is>
          <t>Hydro Boosting Skin Care Kit</t>
        </is>
      </c>
      <c r="J151" s="58" t="n"/>
      <c r="K151" s="58" t="n">
        <v>14.99</v>
      </c>
      <c r="L151" s="58" t="inlineStr">
        <is>
          <t>deyga hydro boosting skin care kit</t>
        </is>
      </c>
      <c r="M151" s="58" t="inlineStr">
        <is>
          <t>deyga hydro boosting skin care kit uk</t>
        </is>
      </c>
      <c r="N151" s="58" t="inlineStr">
        <is>
          <t>buy deyga hydro boosting skin care kit online</t>
        </is>
      </c>
      <c r="O151" s="58" t="inlineStr">
        <is>
          <t>deyga hydro boosting skin care kit price</t>
        </is>
      </c>
      <c r="P151" s="58" t="n"/>
      <c r="Q151" s="59">
        <f>IF(L151="","",IFERROR(INDEX('Semrush Data'!$A$1:$Z$20000,MATCH(L151,'Semrush Data'!$A$1:$A$20000,0),MATCH("Volume",'Semrush Data'!$A$1:$Z$1,0)),""))</f>
        <v/>
      </c>
      <c r="R151" s="59">
        <f>IF(M151="","",IFERROR(INDEX('Semrush Data'!$A$1:$Z$20000,MATCH(M151,'Semrush Data'!$A$1:$A$20000,0),MATCH("Volume",'Semrush Data'!$A$1:$Z$1,0)),""))</f>
        <v/>
      </c>
      <c r="S151" s="59">
        <f>IF(N151="","",IFERROR(INDEX('Semrush Data'!$A$1:$Z$20000,MATCH(N151,'Semrush Data'!$A$1:$A$20000,0),MATCH("Volume",'Semrush Data'!$A$1:$Z$1,0)),""))</f>
        <v/>
      </c>
      <c r="T151" s="59">
        <f>IF(O151="","",IFERROR(INDEX('Semrush Data'!$A$1:$Z$20000,MATCH(O151,'Semrush Data'!$A$1:$A$20000,0),MATCH("Volume",'Semrush Data'!$A$1:$Z$1,0)),""))</f>
        <v/>
      </c>
      <c r="U151" s="59">
        <f>IF(P151="","",IFERROR(INDEX('Semrush Data'!$A$1:$Z$20000,MATCH(P151,'Semrush Data'!$A$1:$A$20000,0),MATCH("Volume",'Semrush Data'!$A$1:$Z$1,0)),""))</f>
        <v/>
      </c>
      <c r="V151" s="60">
        <f>IF(COUNT(Q151:U151)=0,L151,IF(MAX(Q151:U151)=0,L151,INDEX(L151:P151,MATCH(MAX(Q151:U151),Q151:U151,0))))</f>
        <v/>
      </c>
      <c r="W151" s="59">
        <f>IFERROR(INDEX('Semrush Data'!$A$1:$Z$20000,MATCH(V151,'Semrush Data'!$A$1:$A$20000,0),MATCH("Volume",'Semrush Data'!$A$1:$Z$1,0)),"")</f>
        <v/>
      </c>
      <c r="X151" s="59">
        <f>IFERROR(INDEX('Semrush Data'!$A$1:$Z$20000,MATCH(V151,'Semrush Data'!$A$1:$A$20000,0),MATCH("Keyword Difficulty*",'Semrush Data'!$A$1:$Z$1,0)),"")</f>
        <v/>
      </c>
      <c r="Y151" s="61">
        <f>IFERROR(INDEX('Semrush Data'!$A$1:$Z$20000,MATCH(V151,'Semrush Data'!$A$1:$A$20000,0),MATCH("CPC*",'Semrush Data'!$A$1:$Z$1,0)),"")</f>
        <v/>
      </c>
      <c r="Z151" s="58" t="inlineStr">
        <is>
          <t>deyga skincare gift set</t>
        </is>
      </c>
      <c r="AA151" s="58" t="n"/>
      <c r="AB151" s="58" t="inlineStr">
        <is>
          <t>Deyga Hydro Boosting Skin Care Kit</t>
        </is>
      </c>
      <c r="AC151" s="58" t="inlineStr">
        <is>
          <t>Deyga Hydro Boosting Skin Care Kit | Swansura UK</t>
        </is>
      </c>
      <c r="AD151" s="58">
        <f>LEN(AC151)</f>
        <v/>
      </c>
      <c r="AE151" s="58" t="inlineStr">
        <is>
          <t>Buy Deyga Hydro Boosting Skin Care Kit online in the UK at Swansura, official UK partner of Deyga. Natural gift set. 100% authentic, free UK delivery over £50.</t>
        </is>
      </c>
      <c r="AF151" s="58">
        <f>LEN(AE151)</f>
        <v/>
      </c>
    </row>
    <row r="152" ht="15" customHeight="1" s="37">
      <c r="A152" s="58" t="inlineStr">
        <is>
          <t>VD-151</t>
        </is>
      </c>
      <c r="B152" s="58" t="inlineStr">
        <is>
          <t>Vilvah &amp; Deyga</t>
        </is>
      </c>
      <c r="C152" s="58" t="n">
        <v>151</v>
      </c>
      <c r="D152" s="58" t="inlineStr">
        <is>
          <t>Deyga</t>
        </is>
      </c>
      <c r="E152" s="58" t="n"/>
      <c r="F152" s="58" t="inlineStr">
        <is>
          <t>Gift Set</t>
        </is>
      </c>
      <c r="G152" s="58" t="inlineStr">
        <is>
          <t>Gift Sets &amp; Combos</t>
        </is>
      </c>
      <c r="H152" s="58" t="inlineStr">
        <is>
          <t>Dry Hair</t>
        </is>
      </c>
      <c r="I152" s="58" t="inlineStr">
        <is>
          <t>Hair Care Kit</t>
        </is>
      </c>
      <c r="J152" s="58" t="n"/>
      <c r="K152" s="58" t="n">
        <v>18.99</v>
      </c>
      <c r="L152" s="58" t="inlineStr">
        <is>
          <t>deyga hair care kit</t>
        </is>
      </c>
      <c r="M152" s="58" t="inlineStr">
        <is>
          <t>deyga hair care kit uk</t>
        </is>
      </c>
      <c r="N152" s="58" t="inlineStr">
        <is>
          <t>buy deyga hair care kit online</t>
        </is>
      </c>
      <c r="O152" s="58" t="inlineStr">
        <is>
          <t>deyga hair care kit price</t>
        </is>
      </c>
      <c r="P152" s="58" t="n"/>
      <c r="Q152" s="59">
        <f>IF(L152="","",IFERROR(INDEX('Semrush Data'!$A$1:$Z$20000,MATCH(L152,'Semrush Data'!$A$1:$A$20000,0),MATCH("Volume",'Semrush Data'!$A$1:$Z$1,0)),""))</f>
        <v/>
      </c>
      <c r="R152" s="59">
        <f>IF(M152="","",IFERROR(INDEX('Semrush Data'!$A$1:$Z$20000,MATCH(M152,'Semrush Data'!$A$1:$A$20000,0),MATCH("Volume",'Semrush Data'!$A$1:$Z$1,0)),""))</f>
        <v/>
      </c>
      <c r="S152" s="59">
        <f>IF(N152="","",IFERROR(INDEX('Semrush Data'!$A$1:$Z$20000,MATCH(N152,'Semrush Data'!$A$1:$A$20000,0),MATCH("Volume",'Semrush Data'!$A$1:$Z$1,0)),""))</f>
        <v/>
      </c>
      <c r="T152" s="59">
        <f>IF(O152="","",IFERROR(INDEX('Semrush Data'!$A$1:$Z$20000,MATCH(O152,'Semrush Data'!$A$1:$A$20000,0),MATCH("Volume",'Semrush Data'!$A$1:$Z$1,0)),""))</f>
        <v/>
      </c>
      <c r="U152" s="59">
        <f>IF(P152="","",IFERROR(INDEX('Semrush Data'!$A$1:$Z$20000,MATCH(P152,'Semrush Data'!$A$1:$A$20000,0),MATCH("Volume",'Semrush Data'!$A$1:$Z$1,0)),""))</f>
        <v/>
      </c>
      <c r="V152" s="60">
        <f>IF(COUNT(Q152:U152)=0,L152,IF(MAX(Q152:U152)=0,L152,INDEX(L152:P152,MATCH(MAX(Q152:U152),Q152:U152,0))))</f>
        <v/>
      </c>
      <c r="W152" s="59">
        <f>IFERROR(INDEX('Semrush Data'!$A$1:$Z$20000,MATCH(V152,'Semrush Data'!$A$1:$A$20000,0),MATCH("Volume",'Semrush Data'!$A$1:$Z$1,0)),"")</f>
        <v/>
      </c>
      <c r="X152" s="59">
        <f>IFERROR(INDEX('Semrush Data'!$A$1:$Z$20000,MATCH(V152,'Semrush Data'!$A$1:$A$20000,0),MATCH("Keyword Difficulty*",'Semrush Data'!$A$1:$Z$1,0)),"")</f>
        <v/>
      </c>
      <c r="Y152" s="61">
        <f>IFERROR(INDEX('Semrush Data'!$A$1:$Z$20000,MATCH(V152,'Semrush Data'!$A$1:$A$20000,0),MATCH("CPC*",'Semrush Data'!$A$1:$Z$1,0)),"")</f>
        <v/>
      </c>
      <c r="Z152" s="58" t="inlineStr">
        <is>
          <t>deyga skincare gift set</t>
        </is>
      </c>
      <c r="AA152" s="58" t="inlineStr">
        <is>
          <t>deyga hair care kit review</t>
        </is>
      </c>
      <c r="AB152" s="58" t="inlineStr">
        <is>
          <t>Deyga Hair Care Kit</t>
        </is>
      </c>
      <c r="AC152" s="58" t="inlineStr">
        <is>
          <t>Deyga Hair Care Kit | Official UK Partner | Swansura</t>
        </is>
      </c>
      <c r="AD152" s="58">
        <f>LEN(AC152)</f>
        <v/>
      </c>
      <c r="AE152" s="58" t="inlineStr">
        <is>
          <t>Buy Deyga Hair Care Kit online at Swansura, official UK partner of Deyga. Natural gift set. 100% authentic, shipped from the UK, free delivery over £50.</t>
        </is>
      </c>
      <c r="AF152" s="58">
        <f>LEN(AE152)</f>
        <v/>
      </c>
    </row>
    <row r="153" ht="15" customHeight="1" s="37">
      <c r="A153" s="58" t="inlineStr">
        <is>
          <t>VD-152</t>
        </is>
      </c>
      <c r="B153" s="58" t="inlineStr">
        <is>
          <t>Vilvah &amp; Deyga</t>
        </is>
      </c>
      <c r="C153" s="58" t="n">
        <v>152</v>
      </c>
      <c r="D153" s="58" t="inlineStr">
        <is>
          <t>Deyga</t>
        </is>
      </c>
      <c r="E153" s="58" t="n"/>
      <c r="F153" s="58" t="inlineStr">
        <is>
          <t>Gift Set</t>
        </is>
      </c>
      <c r="G153" s="58" t="inlineStr">
        <is>
          <t>Gift Sets &amp; Combos</t>
        </is>
      </c>
      <c r="H153" s="58" t="inlineStr">
        <is>
          <t>Damaged Hair</t>
        </is>
      </c>
      <c r="I153" s="58" t="inlineStr">
        <is>
          <t>Hair Strengthening Kit</t>
        </is>
      </c>
      <c r="J153" s="58" t="n"/>
      <c r="K153" s="58" t="n">
        <v>48.99</v>
      </c>
      <c r="L153" s="58" t="inlineStr">
        <is>
          <t>deyga hair strengthening kit</t>
        </is>
      </c>
      <c r="M153" s="58" t="inlineStr">
        <is>
          <t>deyga hair strengthening kit uk</t>
        </is>
      </c>
      <c r="N153" s="58" t="inlineStr">
        <is>
          <t>buy deyga hair strengthening kit online</t>
        </is>
      </c>
      <c r="O153" s="58" t="inlineStr">
        <is>
          <t>deyga hair strengthening kit price</t>
        </is>
      </c>
      <c r="P153" s="58" t="n"/>
      <c r="Q153" s="59">
        <f>IF(L153="","",IFERROR(INDEX('Semrush Data'!$A$1:$Z$20000,MATCH(L153,'Semrush Data'!$A$1:$A$20000,0),MATCH("Volume",'Semrush Data'!$A$1:$Z$1,0)),""))</f>
        <v/>
      </c>
      <c r="R153" s="59">
        <f>IF(M153="","",IFERROR(INDEX('Semrush Data'!$A$1:$Z$20000,MATCH(M153,'Semrush Data'!$A$1:$A$20000,0),MATCH("Volume",'Semrush Data'!$A$1:$Z$1,0)),""))</f>
        <v/>
      </c>
      <c r="S153" s="59">
        <f>IF(N153="","",IFERROR(INDEX('Semrush Data'!$A$1:$Z$20000,MATCH(N153,'Semrush Data'!$A$1:$A$20000,0),MATCH("Volume",'Semrush Data'!$A$1:$Z$1,0)),""))</f>
        <v/>
      </c>
      <c r="T153" s="59">
        <f>IF(O153="","",IFERROR(INDEX('Semrush Data'!$A$1:$Z$20000,MATCH(O153,'Semrush Data'!$A$1:$A$20000,0),MATCH("Volume",'Semrush Data'!$A$1:$Z$1,0)),""))</f>
        <v/>
      </c>
      <c r="U153" s="59">
        <f>IF(P153="","",IFERROR(INDEX('Semrush Data'!$A$1:$Z$20000,MATCH(P153,'Semrush Data'!$A$1:$A$20000,0),MATCH("Volume",'Semrush Data'!$A$1:$Z$1,0)),""))</f>
        <v/>
      </c>
      <c r="V153" s="60">
        <f>IF(COUNT(Q153:U153)=0,L153,IF(MAX(Q153:U153)=0,L153,INDEX(L153:P153,MATCH(MAX(Q153:U153),Q153:U153,0))))</f>
        <v/>
      </c>
      <c r="W153" s="59">
        <f>IFERROR(INDEX('Semrush Data'!$A$1:$Z$20000,MATCH(V153,'Semrush Data'!$A$1:$A$20000,0),MATCH("Volume",'Semrush Data'!$A$1:$Z$1,0)),"")</f>
        <v/>
      </c>
      <c r="X153" s="59">
        <f>IFERROR(INDEX('Semrush Data'!$A$1:$Z$20000,MATCH(V153,'Semrush Data'!$A$1:$A$20000,0),MATCH("Keyword Difficulty*",'Semrush Data'!$A$1:$Z$1,0)),"")</f>
        <v/>
      </c>
      <c r="Y153" s="61">
        <f>IFERROR(INDEX('Semrush Data'!$A$1:$Z$20000,MATCH(V153,'Semrush Data'!$A$1:$A$20000,0),MATCH("CPC*",'Semrush Data'!$A$1:$Z$1,0)),"")</f>
        <v/>
      </c>
      <c r="Z153" s="58" t="inlineStr">
        <is>
          <t>deyga skincare gift set</t>
        </is>
      </c>
      <c r="AA153" s="58" t="n"/>
      <c r="AB153" s="58" t="inlineStr">
        <is>
          <t>Deyga Hair Strengthening Kit</t>
        </is>
      </c>
      <c r="AC153" s="58" t="inlineStr">
        <is>
          <t>Deyga Hair Strengthening Kit | Buy Online UK | Swansura</t>
        </is>
      </c>
      <c r="AD153" s="58">
        <f>LEN(AC153)</f>
        <v/>
      </c>
      <c r="AE153" s="58" t="inlineStr">
        <is>
          <t>Buy Deyga Hair Strengthening Kit online in the UK at Swansura, official UK partner of Deyga. 100% authentic, shipped from the UK, free delivery over £50.</t>
        </is>
      </c>
      <c r="AF153" s="58">
        <f>LEN(AE153)</f>
        <v/>
      </c>
    </row>
    <row r="154" ht="15" customHeight="1" s="37">
      <c r="A154" s="58" t="inlineStr">
        <is>
          <t>VD-153</t>
        </is>
      </c>
      <c r="B154" s="58" t="inlineStr">
        <is>
          <t>Vilvah &amp; Deyga</t>
        </is>
      </c>
      <c r="C154" s="58" t="n">
        <v>153</v>
      </c>
      <c r="D154" s="58" t="inlineStr">
        <is>
          <t>Deyga</t>
        </is>
      </c>
      <c r="E154" s="58" t="n"/>
      <c r="F154" s="58" t="inlineStr">
        <is>
          <t>Gift Set</t>
        </is>
      </c>
      <c r="G154" s="58" t="inlineStr">
        <is>
          <t>Gift Sets &amp; Combos</t>
        </is>
      </c>
      <c r="H154" s="58" t="inlineStr">
        <is>
          <t>Dry Lips</t>
        </is>
      </c>
      <c r="I154" s="58" t="inlineStr">
        <is>
          <t>Nourished Lip Care Kit</t>
        </is>
      </c>
      <c r="J154" s="58" t="n"/>
      <c r="K154" s="58" t="n">
        <v>25.99</v>
      </c>
      <c r="L154" s="58" t="inlineStr">
        <is>
          <t>deyga nourished lip care kit</t>
        </is>
      </c>
      <c r="M154" s="58" t="inlineStr">
        <is>
          <t>deyga nourished lip care kit uk</t>
        </is>
      </c>
      <c r="N154" s="58" t="inlineStr">
        <is>
          <t>buy deyga nourished lip care kit online</t>
        </is>
      </c>
      <c r="O154" s="58" t="inlineStr">
        <is>
          <t>deyga nourished lip care kit price</t>
        </is>
      </c>
      <c r="P154" s="58" t="n"/>
      <c r="Q154" s="59">
        <f>IF(L154="","",IFERROR(INDEX('Semrush Data'!$A$1:$Z$20000,MATCH(L154,'Semrush Data'!$A$1:$A$20000,0),MATCH("Volume",'Semrush Data'!$A$1:$Z$1,0)),""))</f>
        <v/>
      </c>
      <c r="R154" s="59">
        <f>IF(M154="","",IFERROR(INDEX('Semrush Data'!$A$1:$Z$20000,MATCH(M154,'Semrush Data'!$A$1:$A$20000,0),MATCH("Volume",'Semrush Data'!$A$1:$Z$1,0)),""))</f>
        <v/>
      </c>
      <c r="S154" s="59">
        <f>IF(N154="","",IFERROR(INDEX('Semrush Data'!$A$1:$Z$20000,MATCH(N154,'Semrush Data'!$A$1:$A$20000,0),MATCH("Volume",'Semrush Data'!$A$1:$Z$1,0)),""))</f>
        <v/>
      </c>
      <c r="T154" s="59">
        <f>IF(O154="","",IFERROR(INDEX('Semrush Data'!$A$1:$Z$20000,MATCH(O154,'Semrush Data'!$A$1:$A$20000,0),MATCH("Volume",'Semrush Data'!$A$1:$Z$1,0)),""))</f>
        <v/>
      </c>
      <c r="U154" s="59">
        <f>IF(P154="","",IFERROR(INDEX('Semrush Data'!$A$1:$Z$20000,MATCH(P154,'Semrush Data'!$A$1:$A$20000,0),MATCH("Volume",'Semrush Data'!$A$1:$Z$1,0)),""))</f>
        <v/>
      </c>
      <c r="V154" s="60">
        <f>IF(COUNT(Q154:U154)=0,L154,IF(MAX(Q154:U154)=0,L154,INDEX(L154:P154,MATCH(MAX(Q154:U154),Q154:U154,0))))</f>
        <v/>
      </c>
      <c r="W154" s="59">
        <f>IFERROR(INDEX('Semrush Data'!$A$1:$Z$20000,MATCH(V154,'Semrush Data'!$A$1:$A$20000,0),MATCH("Volume",'Semrush Data'!$A$1:$Z$1,0)),"")</f>
        <v/>
      </c>
      <c r="X154" s="59">
        <f>IFERROR(INDEX('Semrush Data'!$A$1:$Z$20000,MATCH(V154,'Semrush Data'!$A$1:$A$20000,0),MATCH("Keyword Difficulty*",'Semrush Data'!$A$1:$Z$1,0)),"")</f>
        <v/>
      </c>
      <c r="Y154" s="61">
        <f>IFERROR(INDEX('Semrush Data'!$A$1:$Z$20000,MATCH(V154,'Semrush Data'!$A$1:$A$20000,0),MATCH("CPC*",'Semrush Data'!$A$1:$Z$1,0)),"")</f>
        <v/>
      </c>
      <c r="Z154" s="58" t="inlineStr">
        <is>
          <t>deyga skincare gift set</t>
        </is>
      </c>
      <c r="AA154" s="58" t="n"/>
      <c r="AB154" s="58" t="inlineStr">
        <is>
          <t>Deyga Nourished Lip Care Kit</t>
        </is>
      </c>
      <c r="AC154" s="58" t="inlineStr">
        <is>
          <t>Deyga Nourished Lip Care Kit | Buy Online UK | Swansura</t>
        </is>
      </c>
      <c r="AD154" s="58">
        <f>LEN(AC154)</f>
        <v/>
      </c>
      <c r="AE154" s="58" t="inlineStr">
        <is>
          <t>Buy Deyga Nourished Lip Care Kit online at Swansura, official UK partner of Deyga. A natural gift set for dry lips. 100% authentic, free UK delivery over £50.</t>
        </is>
      </c>
      <c r="AF154" s="58">
        <f>LEN(AE154)</f>
        <v/>
      </c>
    </row>
    <row r="155" ht="15" customHeight="1" s="37">
      <c r="A155" s="58" t="inlineStr">
        <is>
          <t>VD-154</t>
        </is>
      </c>
      <c r="B155" s="58" t="inlineStr">
        <is>
          <t>Vilvah &amp; Deyga</t>
        </is>
      </c>
      <c r="C155" s="58" t="n">
        <v>154</v>
      </c>
      <c r="D155" s="58" t="inlineStr">
        <is>
          <t>Deyga</t>
        </is>
      </c>
      <c r="E155" s="58" t="n"/>
      <c r="F155" s="58" t="inlineStr">
        <is>
          <t>Gift Set</t>
        </is>
      </c>
      <c r="G155" s="58" t="inlineStr">
        <is>
          <t>Gift Sets &amp; Combos</t>
        </is>
      </c>
      <c r="H155" s="58" t="inlineStr">
        <is>
          <t>Dry Hair</t>
        </is>
      </c>
      <c r="I155" s="58" t="inlineStr">
        <is>
          <t>Natural Hair Care Kit</t>
        </is>
      </c>
      <c r="J155" s="58" t="n"/>
      <c r="K155" s="58" t="n">
        <v>24.99</v>
      </c>
      <c r="L155" s="58" t="inlineStr">
        <is>
          <t>deyga natural hair care kit</t>
        </is>
      </c>
      <c r="M155" s="58" t="inlineStr">
        <is>
          <t>deyga natural hair care kit uk</t>
        </is>
      </c>
      <c r="N155" s="58" t="inlineStr">
        <is>
          <t>buy deyga natural hair care kit online</t>
        </is>
      </c>
      <c r="O155" s="58" t="inlineStr">
        <is>
          <t>deyga natural hair care kit price</t>
        </is>
      </c>
      <c r="P155" s="58" t="n"/>
      <c r="Q155" s="59">
        <f>IF(L155="","",IFERROR(INDEX('Semrush Data'!$A$1:$Z$20000,MATCH(L155,'Semrush Data'!$A$1:$A$20000,0),MATCH("Volume",'Semrush Data'!$A$1:$Z$1,0)),""))</f>
        <v/>
      </c>
      <c r="R155" s="59">
        <f>IF(M155="","",IFERROR(INDEX('Semrush Data'!$A$1:$Z$20000,MATCH(M155,'Semrush Data'!$A$1:$A$20000,0),MATCH("Volume",'Semrush Data'!$A$1:$Z$1,0)),""))</f>
        <v/>
      </c>
      <c r="S155" s="59">
        <f>IF(N155="","",IFERROR(INDEX('Semrush Data'!$A$1:$Z$20000,MATCH(N155,'Semrush Data'!$A$1:$A$20000,0),MATCH("Volume",'Semrush Data'!$A$1:$Z$1,0)),""))</f>
        <v/>
      </c>
      <c r="T155" s="59">
        <f>IF(O155="","",IFERROR(INDEX('Semrush Data'!$A$1:$Z$20000,MATCH(O155,'Semrush Data'!$A$1:$A$20000,0),MATCH("Volume",'Semrush Data'!$A$1:$Z$1,0)),""))</f>
        <v/>
      </c>
      <c r="U155" s="59">
        <f>IF(P155="","",IFERROR(INDEX('Semrush Data'!$A$1:$Z$20000,MATCH(P155,'Semrush Data'!$A$1:$A$20000,0),MATCH("Volume",'Semrush Data'!$A$1:$Z$1,0)),""))</f>
        <v/>
      </c>
      <c r="V155" s="60">
        <f>IF(COUNT(Q155:U155)=0,L155,IF(MAX(Q155:U155)=0,L155,INDEX(L155:P155,MATCH(MAX(Q155:U155),Q155:U155,0))))</f>
        <v/>
      </c>
      <c r="W155" s="59">
        <f>IFERROR(INDEX('Semrush Data'!$A$1:$Z$20000,MATCH(V155,'Semrush Data'!$A$1:$A$20000,0),MATCH("Volume",'Semrush Data'!$A$1:$Z$1,0)),"")</f>
        <v/>
      </c>
      <c r="X155" s="59">
        <f>IFERROR(INDEX('Semrush Data'!$A$1:$Z$20000,MATCH(V155,'Semrush Data'!$A$1:$A$20000,0),MATCH("Keyword Difficulty*",'Semrush Data'!$A$1:$Z$1,0)),"")</f>
        <v/>
      </c>
      <c r="Y155" s="61">
        <f>IFERROR(INDEX('Semrush Data'!$A$1:$Z$20000,MATCH(V155,'Semrush Data'!$A$1:$A$20000,0),MATCH("CPC*",'Semrush Data'!$A$1:$Z$1,0)),"")</f>
        <v/>
      </c>
      <c r="Z155" s="58" t="inlineStr">
        <is>
          <t>deyga skincare gift set</t>
        </is>
      </c>
      <c r="AA155" s="58" t="n"/>
      <c r="AB155" s="58" t="inlineStr">
        <is>
          <t>Deyga Natural Hair Care Kit</t>
        </is>
      </c>
      <c r="AC155" s="58" t="inlineStr">
        <is>
          <t>Deyga Natural Hair Care Kit | Buy Online UK | Swansura</t>
        </is>
      </c>
      <c r="AD155" s="58">
        <f>LEN(AC155)</f>
        <v/>
      </c>
      <c r="AE155" s="58" t="inlineStr">
        <is>
          <t>Buy Deyga Natural Hair Care Kit online at Swansura, official UK partner of Deyga. Natural gift set. 100% authentic, shipped from the UK, free delivery over £50.</t>
        </is>
      </c>
      <c r="AF155" s="58">
        <f>LEN(AE155)</f>
        <v/>
      </c>
    </row>
    <row r="156" ht="15" customHeight="1" s="37">
      <c r="A156" s="58" t="inlineStr">
        <is>
          <t>VD-155</t>
        </is>
      </c>
      <c r="B156" s="58" t="inlineStr">
        <is>
          <t>Vilvah &amp; Deyga</t>
        </is>
      </c>
      <c r="C156" s="58" t="n">
        <v>155</v>
      </c>
      <c r="D156" s="58" t="inlineStr">
        <is>
          <t>Deyga</t>
        </is>
      </c>
      <c r="E156" s="58" t="n"/>
      <c r="F156" s="58" t="inlineStr">
        <is>
          <t>Gift Set</t>
        </is>
      </c>
      <c r="G156" s="58" t="inlineStr">
        <is>
          <t>Gift Sets &amp; Combos</t>
        </is>
      </c>
      <c r="H156" s="58" t="inlineStr">
        <is>
          <t>Dry Skin</t>
        </is>
      </c>
      <c r="I156" s="58" t="inlineStr">
        <is>
          <t>Double Hydration Kit</t>
        </is>
      </c>
      <c r="J156" s="58" t="n"/>
      <c r="K156" s="58" t="n">
        <v>14.99</v>
      </c>
      <c r="L156" s="58" t="inlineStr">
        <is>
          <t>deyga double hydration kit</t>
        </is>
      </c>
      <c r="M156" s="58" t="inlineStr">
        <is>
          <t>deyga double hydration kit uk</t>
        </is>
      </c>
      <c r="N156" s="58" t="inlineStr">
        <is>
          <t>buy deyga double hydration kit online</t>
        </is>
      </c>
      <c r="O156" s="58" t="inlineStr">
        <is>
          <t>deyga double hydration kit price</t>
        </is>
      </c>
      <c r="P156" s="58" t="n"/>
      <c r="Q156" s="59">
        <f>IF(L156="","",IFERROR(INDEX('Semrush Data'!$A$1:$Z$20000,MATCH(L156,'Semrush Data'!$A$1:$A$20000,0),MATCH("Volume",'Semrush Data'!$A$1:$Z$1,0)),""))</f>
        <v/>
      </c>
      <c r="R156" s="59">
        <f>IF(M156="","",IFERROR(INDEX('Semrush Data'!$A$1:$Z$20000,MATCH(M156,'Semrush Data'!$A$1:$A$20000,0),MATCH("Volume",'Semrush Data'!$A$1:$Z$1,0)),""))</f>
        <v/>
      </c>
      <c r="S156" s="59">
        <f>IF(N156="","",IFERROR(INDEX('Semrush Data'!$A$1:$Z$20000,MATCH(N156,'Semrush Data'!$A$1:$A$20000,0),MATCH("Volume",'Semrush Data'!$A$1:$Z$1,0)),""))</f>
        <v/>
      </c>
      <c r="T156" s="59">
        <f>IF(O156="","",IFERROR(INDEX('Semrush Data'!$A$1:$Z$20000,MATCH(O156,'Semrush Data'!$A$1:$A$20000,0),MATCH("Volume",'Semrush Data'!$A$1:$Z$1,0)),""))</f>
        <v/>
      </c>
      <c r="U156" s="59">
        <f>IF(P156="","",IFERROR(INDEX('Semrush Data'!$A$1:$Z$20000,MATCH(P156,'Semrush Data'!$A$1:$A$20000,0),MATCH("Volume",'Semrush Data'!$A$1:$Z$1,0)),""))</f>
        <v/>
      </c>
      <c r="V156" s="60">
        <f>IF(COUNT(Q156:U156)=0,L156,IF(MAX(Q156:U156)=0,L156,INDEX(L156:P156,MATCH(MAX(Q156:U156),Q156:U156,0))))</f>
        <v/>
      </c>
      <c r="W156" s="59">
        <f>IFERROR(INDEX('Semrush Data'!$A$1:$Z$20000,MATCH(V156,'Semrush Data'!$A$1:$A$20000,0),MATCH("Volume",'Semrush Data'!$A$1:$Z$1,0)),"")</f>
        <v/>
      </c>
      <c r="X156" s="59">
        <f>IFERROR(INDEX('Semrush Data'!$A$1:$Z$20000,MATCH(V156,'Semrush Data'!$A$1:$A$20000,0),MATCH("Keyword Difficulty*",'Semrush Data'!$A$1:$Z$1,0)),"")</f>
        <v/>
      </c>
      <c r="Y156" s="61">
        <f>IFERROR(INDEX('Semrush Data'!$A$1:$Z$20000,MATCH(V156,'Semrush Data'!$A$1:$A$20000,0),MATCH("CPC*",'Semrush Data'!$A$1:$Z$1,0)),"")</f>
        <v/>
      </c>
      <c r="Z156" s="58" t="inlineStr">
        <is>
          <t>deyga skincare gift set</t>
        </is>
      </c>
      <c r="AA156" s="58" t="n"/>
      <c r="AB156" s="58" t="inlineStr">
        <is>
          <t>Deyga Double Hydration Kit</t>
        </is>
      </c>
      <c r="AC156" s="58" t="inlineStr">
        <is>
          <t>Deyga Double Hydration Kit | Buy Online UK | Swansura</t>
        </is>
      </c>
      <c r="AD156" s="58">
        <f>LEN(AC156)</f>
        <v/>
      </c>
      <c r="AE156" s="58" t="inlineStr">
        <is>
          <t>Buy Deyga Double Hydration Kit online at Swansura, official UK partner of Deyga. Natural gift set. 100% authentic, shipped from the UK, free delivery over £50.</t>
        </is>
      </c>
      <c r="AF156" s="58">
        <f>LEN(AE156)</f>
        <v/>
      </c>
    </row>
    <row r="157" ht="15" customHeight="1" s="37">
      <c r="A157" s="58" t="inlineStr">
        <is>
          <t>VD-156</t>
        </is>
      </c>
      <c r="B157" s="58" t="inlineStr">
        <is>
          <t>Vilvah &amp; Deyga</t>
        </is>
      </c>
      <c r="C157" s="58" t="n">
        <v>156</v>
      </c>
      <c r="D157" s="58" t="inlineStr">
        <is>
          <t>Deyga</t>
        </is>
      </c>
      <c r="E157" s="58" t="n"/>
      <c r="F157" s="58" t="inlineStr">
        <is>
          <t>Gift Set</t>
        </is>
      </c>
      <c r="G157" s="58" t="inlineStr">
        <is>
          <t>Gift Sets &amp; Combos</t>
        </is>
      </c>
      <c r="H157" s="58" t="inlineStr">
        <is>
          <t>Dry Lips</t>
        </is>
      </c>
      <c r="I157" s="58" t="inlineStr">
        <is>
          <t>Nourished Lips Stick Kit</t>
        </is>
      </c>
      <c r="J157" s="58" t="n"/>
      <c r="K157" s="58" t="n">
        <v>27.99</v>
      </c>
      <c r="L157" s="58" t="inlineStr">
        <is>
          <t>deyga nourished lips stick kit</t>
        </is>
      </c>
      <c r="M157" s="58" t="inlineStr">
        <is>
          <t>deyga nourished lips stick kit uk</t>
        </is>
      </c>
      <c r="N157" s="58" t="inlineStr">
        <is>
          <t>buy deyga nourished lips stick kit online</t>
        </is>
      </c>
      <c r="O157" s="58" t="inlineStr">
        <is>
          <t>deyga nourished lips stick kit price</t>
        </is>
      </c>
      <c r="P157" s="58" t="n"/>
      <c r="Q157" s="59">
        <f>IF(L157="","",IFERROR(INDEX('Semrush Data'!$A$1:$Z$20000,MATCH(L157,'Semrush Data'!$A$1:$A$20000,0),MATCH("Volume",'Semrush Data'!$A$1:$Z$1,0)),""))</f>
        <v/>
      </c>
      <c r="R157" s="59">
        <f>IF(M157="","",IFERROR(INDEX('Semrush Data'!$A$1:$Z$20000,MATCH(M157,'Semrush Data'!$A$1:$A$20000,0),MATCH("Volume",'Semrush Data'!$A$1:$Z$1,0)),""))</f>
        <v/>
      </c>
      <c r="S157" s="59">
        <f>IF(N157="","",IFERROR(INDEX('Semrush Data'!$A$1:$Z$20000,MATCH(N157,'Semrush Data'!$A$1:$A$20000,0),MATCH("Volume",'Semrush Data'!$A$1:$Z$1,0)),""))</f>
        <v/>
      </c>
      <c r="T157" s="59">
        <f>IF(O157="","",IFERROR(INDEX('Semrush Data'!$A$1:$Z$20000,MATCH(O157,'Semrush Data'!$A$1:$A$20000,0),MATCH("Volume",'Semrush Data'!$A$1:$Z$1,0)),""))</f>
        <v/>
      </c>
      <c r="U157" s="59">
        <f>IF(P157="","",IFERROR(INDEX('Semrush Data'!$A$1:$Z$20000,MATCH(P157,'Semrush Data'!$A$1:$A$20000,0),MATCH("Volume",'Semrush Data'!$A$1:$Z$1,0)),""))</f>
        <v/>
      </c>
      <c r="V157" s="60">
        <f>IF(COUNT(Q157:U157)=0,L157,IF(MAX(Q157:U157)=0,L157,INDEX(L157:P157,MATCH(MAX(Q157:U157),Q157:U157,0))))</f>
        <v/>
      </c>
      <c r="W157" s="59">
        <f>IFERROR(INDEX('Semrush Data'!$A$1:$Z$20000,MATCH(V157,'Semrush Data'!$A$1:$A$20000,0),MATCH("Volume",'Semrush Data'!$A$1:$Z$1,0)),"")</f>
        <v/>
      </c>
      <c r="X157" s="59">
        <f>IFERROR(INDEX('Semrush Data'!$A$1:$Z$20000,MATCH(V157,'Semrush Data'!$A$1:$A$20000,0),MATCH("Keyword Difficulty*",'Semrush Data'!$A$1:$Z$1,0)),"")</f>
        <v/>
      </c>
      <c r="Y157" s="61">
        <f>IFERROR(INDEX('Semrush Data'!$A$1:$Z$20000,MATCH(V157,'Semrush Data'!$A$1:$A$20000,0),MATCH("CPC*",'Semrush Data'!$A$1:$Z$1,0)),"")</f>
        <v/>
      </c>
      <c r="Z157" s="58" t="inlineStr">
        <is>
          <t>deyga skincare gift set</t>
        </is>
      </c>
      <c r="AA157" s="58" t="n"/>
      <c r="AB157" s="58" t="inlineStr">
        <is>
          <t>Deyga Nourished Lips Stick Kit</t>
        </is>
      </c>
      <c r="AC157" s="58" t="inlineStr">
        <is>
          <t>Deyga Nourished Lips Stick Kit | Buy Online UK | Swansura</t>
        </is>
      </c>
      <c r="AD157" s="58">
        <f>LEN(AC157)</f>
        <v/>
      </c>
      <c r="AE157" s="58" t="inlineStr">
        <is>
          <t>Buy Deyga Nourished Lips Stick Kit online at Swansura, official UK partner of Deyga. A natural gift set for dry lips. 100% authentic, free UK delivery over £50.</t>
        </is>
      </c>
      <c r="AF157" s="58">
        <f>LEN(AE157)</f>
        <v/>
      </c>
    </row>
    <row r="158" ht="15" customHeight="1" s="37">
      <c r="A158" s="58" t="inlineStr">
        <is>
          <t>VD-157</t>
        </is>
      </c>
      <c r="B158" s="58" t="inlineStr">
        <is>
          <t>Vilvah &amp; Deyga</t>
        </is>
      </c>
      <c r="C158" s="58" t="n">
        <v>157</v>
      </c>
      <c r="D158" s="58" t="inlineStr">
        <is>
          <t>Deyga</t>
        </is>
      </c>
      <c r="E158" s="58" t="n"/>
      <c r="F158" s="58" t="inlineStr">
        <is>
          <t>Gift Set</t>
        </is>
      </c>
      <c r="G158" s="58" t="inlineStr">
        <is>
          <t>Gift Sets &amp; Combos</t>
        </is>
      </c>
      <c r="H158" s="58" t="inlineStr">
        <is>
          <t>Sun Protection</t>
        </is>
      </c>
      <c r="I158" s="58" t="inlineStr">
        <is>
          <t>De- Tan &amp; Pigmentation Kit</t>
        </is>
      </c>
      <c r="J158" s="58" t="n"/>
      <c r="K158" s="58" t="n">
        <v>34.99</v>
      </c>
      <c r="L158" s="58" t="inlineStr">
        <is>
          <t>deyga de- tan &amp; pigmentation kit</t>
        </is>
      </c>
      <c r="M158" s="58" t="inlineStr">
        <is>
          <t>deyga de- tan &amp; pigmentation kit uk</t>
        </is>
      </c>
      <c r="N158" s="58" t="inlineStr">
        <is>
          <t>buy deyga de- tan &amp; pigmentation kit online</t>
        </is>
      </c>
      <c r="O158" s="58" t="inlineStr">
        <is>
          <t>deyga de- tan &amp; pigmentation kit price</t>
        </is>
      </c>
      <c r="P158" s="58" t="n"/>
      <c r="Q158" s="59">
        <f>IF(L158="","",IFERROR(INDEX('Semrush Data'!$A$1:$Z$20000,MATCH(L158,'Semrush Data'!$A$1:$A$20000,0),MATCH("Volume",'Semrush Data'!$A$1:$Z$1,0)),""))</f>
        <v/>
      </c>
      <c r="R158" s="59">
        <f>IF(M158="","",IFERROR(INDEX('Semrush Data'!$A$1:$Z$20000,MATCH(M158,'Semrush Data'!$A$1:$A$20000,0),MATCH("Volume",'Semrush Data'!$A$1:$Z$1,0)),""))</f>
        <v/>
      </c>
      <c r="S158" s="59">
        <f>IF(N158="","",IFERROR(INDEX('Semrush Data'!$A$1:$Z$20000,MATCH(N158,'Semrush Data'!$A$1:$A$20000,0),MATCH("Volume",'Semrush Data'!$A$1:$Z$1,0)),""))</f>
        <v/>
      </c>
      <c r="T158" s="59">
        <f>IF(O158="","",IFERROR(INDEX('Semrush Data'!$A$1:$Z$20000,MATCH(O158,'Semrush Data'!$A$1:$A$20000,0),MATCH("Volume",'Semrush Data'!$A$1:$Z$1,0)),""))</f>
        <v/>
      </c>
      <c r="U158" s="59">
        <f>IF(P158="","",IFERROR(INDEX('Semrush Data'!$A$1:$Z$20000,MATCH(P158,'Semrush Data'!$A$1:$A$20000,0),MATCH("Volume",'Semrush Data'!$A$1:$Z$1,0)),""))</f>
        <v/>
      </c>
      <c r="V158" s="60">
        <f>IF(COUNT(Q158:U158)=0,L158,IF(MAX(Q158:U158)=0,L158,INDEX(L158:P158,MATCH(MAX(Q158:U158),Q158:U158,0))))</f>
        <v/>
      </c>
      <c r="W158" s="59">
        <f>IFERROR(INDEX('Semrush Data'!$A$1:$Z$20000,MATCH(V158,'Semrush Data'!$A$1:$A$20000,0),MATCH("Volume",'Semrush Data'!$A$1:$Z$1,0)),"")</f>
        <v/>
      </c>
      <c r="X158" s="59">
        <f>IFERROR(INDEX('Semrush Data'!$A$1:$Z$20000,MATCH(V158,'Semrush Data'!$A$1:$A$20000,0),MATCH("Keyword Difficulty*",'Semrush Data'!$A$1:$Z$1,0)),"")</f>
        <v/>
      </c>
      <c r="Y158" s="61">
        <f>IFERROR(INDEX('Semrush Data'!$A$1:$Z$20000,MATCH(V158,'Semrush Data'!$A$1:$A$20000,0),MATCH("CPC*",'Semrush Data'!$A$1:$Z$1,0)),"")</f>
        <v/>
      </c>
      <c r="Z158" s="58" t="inlineStr">
        <is>
          <t>deyga skincare gift set</t>
        </is>
      </c>
      <c r="AA158" s="58" t="n"/>
      <c r="AB158" s="58" t="inlineStr">
        <is>
          <t>Deyga De- Tan &amp; Pigmentation Kit</t>
        </is>
      </c>
      <c r="AC158" s="58" t="inlineStr">
        <is>
          <t>Deyga De- Tan &amp; Pigmentation Kit | Buy Online UK | Swansura</t>
        </is>
      </c>
      <c r="AD158" s="58">
        <f>LEN(AC158)</f>
        <v/>
      </c>
      <c r="AE158" s="58" t="inlineStr">
        <is>
          <t>Buy Deyga De- Tan &amp; Pigmentation Kit online at Swansura, official UK partner of Deyga. A natural gift set for daily sun protection. Free UK delivery over £50.</t>
        </is>
      </c>
      <c r="AF158" s="58">
        <f>LEN(AE158)</f>
        <v/>
      </c>
    </row>
    <row r="159" ht="15" customHeight="1" s="37">
      <c r="A159" s="58" t="inlineStr">
        <is>
          <t>VD-158</t>
        </is>
      </c>
      <c r="B159" s="58" t="inlineStr">
        <is>
          <t>Vilvah &amp; Deyga</t>
        </is>
      </c>
      <c r="C159" s="58" t="n">
        <v>158</v>
      </c>
      <c r="D159" s="58" t="inlineStr">
        <is>
          <t>Deyga</t>
        </is>
      </c>
      <c r="E159" s="58" t="n"/>
      <c r="F159" s="58" t="inlineStr">
        <is>
          <t>Gift Set</t>
        </is>
      </c>
      <c r="G159" s="58" t="inlineStr">
        <is>
          <t>Gift Sets &amp; Combos</t>
        </is>
      </c>
      <c r="H159" s="58" t="inlineStr">
        <is>
          <t>Body Hydration</t>
        </is>
      </c>
      <c r="I159" s="58" t="inlineStr">
        <is>
          <t>Game Changer Face Care Kit</t>
        </is>
      </c>
      <c r="J159" s="58" t="n"/>
      <c r="K159" s="58" t="n">
        <v>16.99</v>
      </c>
      <c r="L159" s="58" t="inlineStr">
        <is>
          <t>deyga game changer face care kit</t>
        </is>
      </c>
      <c r="M159" s="58" t="inlineStr">
        <is>
          <t>deyga game changer face care kit uk</t>
        </is>
      </c>
      <c r="N159" s="58" t="inlineStr">
        <is>
          <t>buy deyga game changer face care kit online</t>
        </is>
      </c>
      <c r="O159" s="58" t="inlineStr">
        <is>
          <t>deyga game changer face care kit price</t>
        </is>
      </c>
      <c r="P159" s="58" t="n"/>
      <c r="Q159" s="59">
        <f>IF(L159="","",IFERROR(INDEX('Semrush Data'!$A$1:$Z$20000,MATCH(L159,'Semrush Data'!$A$1:$A$20000,0),MATCH("Volume",'Semrush Data'!$A$1:$Z$1,0)),""))</f>
        <v/>
      </c>
      <c r="R159" s="59">
        <f>IF(M159="","",IFERROR(INDEX('Semrush Data'!$A$1:$Z$20000,MATCH(M159,'Semrush Data'!$A$1:$A$20000,0),MATCH("Volume",'Semrush Data'!$A$1:$Z$1,0)),""))</f>
        <v/>
      </c>
      <c r="S159" s="59">
        <f>IF(N159="","",IFERROR(INDEX('Semrush Data'!$A$1:$Z$20000,MATCH(N159,'Semrush Data'!$A$1:$A$20000,0),MATCH("Volume",'Semrush Data'!$A$1:$Z$1,0)),""))</f>
        <v/>
      </c>
      <c r="T159" s="59">
        <f>IF(O159="","",IFERROR(INDEX('Semrush Data'!$A$1:$Z$20000,MATCH(O159,'Semrush Data'!$A$1:$A$20000,0),MATCH("Volume",'Semrush Data'!$A$1:$Z$1,0)),""))</f>
        <v/>
      </c>
      <c r="U159" s="59">
        <f>IF(P159="","",IFERROR(INDEX('Semrush Data'!$A$1:$Z$20000,MATCH(P159,'Semrush Data'!$A$1:$A$20000,0),MATCH("Volume",'Semrush Data'!$A$1:$Z$1,0)),""))</f>
        <v/>
      </c>
      <c r="V159" s="60">
        <f>IF(COUNT(Q159:U159)=0,L159,IF(MAX(Q159:U159)=0,L159,INDEX(L159:P159,MATCH(MAX(Q159:U159),Q159:U159,0))))</f>
        <v/>
      </c>
      <c r="W159" s="59">
        <f>IFERROR(INDEX('Semrush Data'!$A$1:$Z$20000,MATCH(V159,'Semrush Data'!$A$1:$A$20000,0),MATCH("Volume",'Semrush Data'!$A$1:$Z$1,0)),"")</f>
        <v/>
      </c>
      <c r="X159" s="59">
        <f>IFERROR(INDEX('Semrush Data'!$A$1:$Z$20000,MATCH(V159,'Semrush Data'!$A$1:$A$20000,0),MATCH("Keyword Difficulty*",'Semrush Data'!$A$1:$Z$1,0)),"")</f>
        <v/>
      </c>
      <c r="Y159" s="61">
        <f>IFERROR(INDEX('Semrush Data'!$A$1:$Z$20000,MATCH(V159,'Semrush Data'!$A$1:$A$20000,0),MATCH("CPC*",'Semrush Data'!$A$1:$Z$1,0)),"")</f>
        <v/>
      </c>
      <c r="Z159" s="58" t="inlineStr">
        <is>
          <t>deyga skincare gift set</t>
        </is>
      </c>
      <c r="AA159" s="58" t="n"/>
      <c r="AB159" s="58" t="inlineStr">
        <is>
          <t>Deyga Game Changer Face Care Kit</t>
        </is>
      </c>
      <c r="AC159" s="58" t="inlineStr">
        <is>
          <t>Deyga Game Changer Face Care Kit | Buy Online UK | Swansura</t>
        </is>
      </c>
      <c r="AD159" s="58">
        <f>LEN(AC159)</f>
        <v/>
      </c>
      <c r="AE159" s="58" t="inlineStr">
        <is>
          <t>Buy Deyga Game Changer Face Care Kit online in the UK at Swansura, official UK partner of Deyga. Natural gift set. 100% authentic, free UK delivery over £50.</t>
        </is>
      </c>
      <c r="AF159" s="58">
        <f>LEN(AE159)</f>
        <v/>
      </c>
    </row>
    <row r="160" ht="15" customHeight="1" s="37">
      <c r="A160" s="58" t="inlineStr">
        <is>
          <t>VD-159</t>
        </is>
      </c>
      <c r="B160" s="58" t="inlineStr">
        <is>
          <t>Vilvah &amp; Deyga</t>
        </is>
      </c>
      <c r="C160" s="58" t="n">
        <v>159</v>
      </c>
      <c r="D160" s="58" t="inlineStr">
        <is>
          <t>Deyga</t>
        </is>
      </c>
      <c r="E160" s="58" t="n"/>
      <c r="F160" s="58" t="inlineStr">
        <is>
          <t>Gift Set</t>
        </is>
      </c>
      <c r="G160" s="58" t="inlineStr">
        <is>
          <t>Gift Sets &amp; Combos</t>
        </is>
      </c>
      <c r="H160" s="58" t="inlineStr">
        <is>
          <t>Dry Hair</t>
        </is>
      </c>
      <c r="I160" s="58" t="inlineStr">
        <is>
          <t>Daily Use Healthy Hair Kit</t>
        </is>
      </c>
      <c r="J160" s="58" t="n"/>
      <c r="K160" s="58" t="n">
        <v>11.99</v>
      </c>
      <c r="L160" s="58" t="inlineStr">
        <is>
          <t>deyga daily use healthy hair kit</t>
        </is>
      </c>
      <c r="M160" s="58" t="inlineStr">
        <is>
          <t>deyga daily use healthy hair kit uk</t>
        </is>
      </c>
      <c r="N160" s="58" t="inlineStr">
        <is>
          <t>buy deyga daily use healthy hair kit online</t>
        </is>
      </c>
      <c r="O160" s="58" t="inlineStr">
        <is>
          <t>deyga daily use healthy hair kit price</t>
        </is>
      </c>
      <c r="P160" s="58" t="n"/>
      <c r="Q160" s="59">
        <f>IF(L160="","",IFERROR(INDEX('Semrush Data'!$A$1:$Z$20000,MATCH(L160,'Semrush Data'!$A$1:$A$20000,0),MATCH("Volume",'Semrush Data'!$A$1:$Z$1,0)),""))</f>
        <v/>
      </c>
      <c r="R160" s="59">
        <f>IF(M160="","",IFERROR(INDEX('Semrush Data'!$A$1:$Z$20000,MATCH(M160,'Semrush Data'!$A$1:$A$20000,0),MATCH("Volume",'Semrush Data'!$A$1:$Z$1,0)),""))</f>
        <v/>
      </c>
      <c r="S160" s="59">
        <f>IF(N160="","",IFERROR(INDEX('Semrush Data'!$A$1:$Z$20000,MATCH(N160,'Semrush Data'!$A$1:$A$20000,0),MATCH("Volume",'Semrush Data'!$A$1:$Z$1,0)),""))</f>
        <v/>
      </c>
      <c r="T160" s="59">
        <f>IF(O160="","",IFERROR(INDEX('Semrush Data'!$A$1:$Z$20000,MATCH(O160,'Semrush Data'!$A$1:$A$20000,0),MATCH("Volume",'Semrush Data'!$A$1:$Z$1,0)),""))</f>
        <v/>
      </c>
      <c r="U160" s="59">
        <f>IF(P160="","",IFERROR(INDEX('Semrush Data'!$A$1:$Z$20000,MATCH(P160,'Semrush Data'!$A$1:$A$20000,0),MATCH("Volume",'Semrush Data'!$A$1:$Z$1,0)),""))</f>
        <v/>
      </c>
      <c r="V160" s="60">
        <f>IF(COUNT(Q160:U160)=0,L160,IF(MAX(Q160:U160)=0,L160,INDEX(L160:P160,MATCH(MAX(Q160:U160),Q160:U160,0))))</f>
        <v/>
      </c>
      <c r="W160" s="59">
        <f>IFERROR(INDEX('Semrush Data'!$A$1:$Z$20000,MATCH(V160,'Semrush Data'!$A$1:$A$20000,0),MATCH("Volume",'Semrush Data'!$A$1:$Z$1,0)),"")</f>
        <v/>
      </c>
      <c r="X160" s="59">
        <f>IFERROR(INDEX('Semrush Data'!$A$1:$Z$20000,MATCH(V160,'Semrush Data'!$A$1:$A$20000,0),MATCH("Keyword Difficulty*",'Semrush Data'!$A$1:$Z$1,0)),"")</f>
        <v/>
      </c>
      <c r="Y160" s="61">
        <f>IFERROR(INDEX('Semrush Data'!$A$1:$Z$20000,MATCH(V160,'Semrush Data'!$A$1:$A$20000,0),MATCH("CPC*",'Semrush Data'!$A$1:$Z$1,0)),"")</f>
        <v/>
      </c>
      <c r="Z160" s="58" t="inlineStr">
        <is>
          <t>deyga skincare gift set</t>
        </is>
      </c>
      <c r="AA160" s="58" t="n"/>
      <c r="AB160" s="58" t="inlineStr">
        <is>
          <t>Deyga Daily Use Healthy Hair Kit</t>
        </is>
      </c>
      <c r="AC160" s="58" t="inlineStr">
        <is>
          <t>Deyga Daily Use Healthy Hair Kit | Buy Online UK | Swansura</t>
        </is>
      </c>
      <c r="AD160" s="58">
        <f>LEN(AC160)</f>
        <v/>
      </c>
      <c r="AE160" s="58" t="inlineStr">
        <is>
          <t>Buy Deyga Daily Use Healthy Hair Kit online in the UK at Swansura, official UK partner of Deyga. 100% authentic, shipped from the UK, free delivery over £50.</t>
        </is>
      </c>
      <c r="AF160" s="58">
        <f>LEN(AE160)</f>
        <v/>
      </c>
    </row>
    <row r="161" ht="15" customHeight="1" s="37">
      <c r="A161" s="58" t="inlineStr">
        <is>
          <t>FR-001</t>
        </is>
      </c>
      <c r="B161" s="58" t="inlineStr">
        <is>
          <t>Fragrance Catalogue</t>
        </is>
      </c>
      <c r="C161" s="58" t="n">
        <v>1</v>
      </c>
      <c r="D161" s="58" t="inlineStr">
        <is>
          <t>Abercrombie&amp; fitch</t>
        </is>
      </c>
      <c r="E161" s="58" t="inlineStr">
        <is>
          <t>Spelling: Abercrombie &amp; Fitch</t>
        </is>
      </c>
      <c r="F161" s="58" t="inlineStr">
        <is>
          <t>Fragrance</t>
        </is>
      </c>
      <c r="G161" s="58" t="inlineStr">
        <is>
          <t>Eau de Parfum (EDP)</t>
        </is>
      </c>
      <c r="H161" s="58" t="inlineStr">
        <is>
          <t>Floral · Women's Fragrance</t>
        </is>
      </c>
      <c r="I161" s="58" t="inlineStr">
        <is>
          <t>Abercrombie &amp; Fitch First Instinct Together Eau de Parfum 100ml – Women's Fruity Floral Fragrance</t>
        </is>
      </c>
      <c r="J161" s="58" t="inlineStr">
        <is>
          <t>100ml</t>
        </is>
      </c>
      <c r="K161" s="58" t="n">
        <v>24.99</v>
      </c>
      <c r="L161" s="58" t="inlineStr">
        <is>
          <t>abercrombie &amp; fitch first instinct together</t>
        </is>
      </c>
      <c r="M161" s="58" t="inlineStr">
        <is>
          <t>abercrombie &amp; fitch first instinct together uk</t>
        </is>
      </c>
      <c r="N161" s="58" t="inlineStr">
        <is>
          <t>buy abercrombie &amp; fitch first instinct together online</t>
        </is>
      </c>
      <c r="O161" s="58" t="inlineStr">
        <is>
          <t>abercrombie &amp; fitch first instinct together price</t>
        </is>
      </c>
      <c r="P161" s="58" t="inlineStr">
        <is>
          <t>abercrombie &amp; fitch first instinct together eau de parfum</t>
        </is>
      </c>
      <c r="Q161" s="59">
        <f>IF(L161="","",IFERROR(INDEX('Semrush Data'!$A$1:$Z$20000,MATCH(L161,'Semrush Data'!$A$1:$A$20000,0),MATCH("Volume",'Semrush Data'!$A$1:$Z$1,0)),""))</f>
        <v/>
      </c>
      <c r="R161" s="59">
        <f>IF(M161="","",IFERROR(INDEX('Semrush Data'!$A$1:$Z$20000,MATCH(M161,'Semrush Data'!$A$1:$A$20000,0),MATCH("Volume",'Semrush Data'!$A$1:$Z$1,0)),""))</f>
        <v/>
      </c>
      <c r="S161" s="59">
        <f>IF(N161="","",IFERROR(INDEX('Semrush Data'!$A$1:$Z$20000,MATCH(N161,'Semrush Data'!$A$1:$A$20000,0),MATCH("Volume",'Semrush Data'!$A$1:$Z$1,0)),""))</f>
        <v/>
      </c>
      <c r="T161" s="59">
        <f>IF(O161="","",IFERROR(INDEX('Semrush Data'!$A$1:$Z$20000,MATCH(O161,'Semrush Data'!$A$1:$A$20000,0),MATCH("Volume",'Semrush Data'!$A$1:$Z$1,0)),""))</f>
        <v/>
      </c>
      <c r="U161" s="59">
        <f>IF(P161="","",IFERROR(INDEX('Semrush Data'!$A$1:$Z$20000,MATCH(P161,'Semrush Data'!$A$1:$A$20000,0),MATCH("Volume",'Semrush Data'!$A$1:$Z$1,0)),""))</f>
        <v/>
      </c>
      <c r="V161" s="60">
        <f>IF(COUNT(Q161:U161)=0,L161,IF(MAX(Q161:U161)=0,L161,INDEX(L161:P161,MATCH(MAX(Q161:U161),Q161:U161,0))))</f>
        <v/>
      </c>
      <c r="W161" s="59">
        <f>IFERROR(INDEX('Semrush Data'!$A$1:$Z$20000,MATCH(V161,'Semrush Data'!$A$1:$A$20000,0),MATCH("Volume",'Semrush Data'!$A$1:$Z$1,0)),"")</f>
        <v/>
      </c>
      <c r="X161" s="59">
        <f>IFERROR(INDEX('Semrush Data'!$A$1:$Z$20000,MATCH(V161,'Semrush Data'!$A$1:$A$20000,0),MATCH("Keyword Difficulty*",'Semrush Data'!$A$1:$Z$1,0)),"")</f>
        <v/>
      </c>
      <c r="Y161" s="61">
        <f>IFERROR(INDEX('Semrush Data'!$A$1:$Z$20000,MATCH(V161,'Semrush Data'!$A$1:$A$20000,0),MATCH("CPC*",'Semrush Data'!$A$1:$Z$1,0)),"")</f>
        <v/>
      </c>
      <c r="Z161" s="58" t="inlineStr">
        <is>
          <t>abercrombie &amp; fitch perfume · abercrombie &amp; fitch perfume for women · floral perfume for women uk</t>
        </is>
      </c>
      <c r="AA161" s="58" t="inlineStr">
        <is>
          <t>abercrombie &amp; fitch first instinct together men · abercrombie &amp; fitch first instinct together women</t>
        </is>
      </c>
      <c r="AB161" s="58" t="inlineStr">
        <is>
          <t>Abercrombie &amp; Fitch First Instinct Together Eau de Parfum</t>
        </is>
      </c>
      <c r="AC161" s="58" t="inlineStr">
        <is>
          <t>Abercrombie &amp; Fitch First Instinct Together | Swansura UK</t>
        </is>
      </c>
      <c r="AD161" s="58">
        <f>LEN(AC161)</f>
        <v/>
      </c>
      <c r="AE161" s="58" t="inlineStr">
        <is>
          <t>Buy Abercrombie &amp; Fitch First Instinct Together Eau de Parfum at Swansura UK. A floral women's eau de parfum, 100ml. 100% authentic, free UK delivery over £50.</t>
        </is>
      </c>
      <c r="AF161" s="58">
        <f>LEN(AE161)</f>
        <v/>
      </c>
    </row>
    <row r="162" ht="15" customHeight="1" s="37">
      <c r="A162" s="58" t="inlineStr">
        <is>
          <t>FR-002</t>
        </is>
      </c>
      <c r="B162" s="58" t="inlineStr">
        <is>
          <t>Fragrance Catalogue</t>
        </is>
      </c>
      <c r="C162" s="58" t="n">
        <v>2</v>
      </c>
      <c r="D162" s="58" t="inlineStr">
        <is>
          <t>Abercrombie&amp; fitch</t>
        </is>
      </c>
      <c r="E162" s="58" t="inlineStr">
        <is>
          <t>Spelling: Abercrombie &amp; Fitch</t>
        </is>
      </c>
      <c r="F162" s="58" t="inlineStr">
        <is>
          <t>Fragrance</t>
        </is>
      </c>
      <c r="G162" s="58" t="inlineStr">
        <is>
          <t>Eau de Parfum (EDP)</t>
        </is>
      </c>
      <c r="H162" s="58" t="inlineStr">
        <is>
          <t>Floral · Women's Fragrance</t>
        </is>
      </c>
      <c r="I162" s="58" t="inlineStr">
        <is>
          <t>Abercrombie &amp; Fitch Naturally Fierce Eau de Parfum 50ml – Women's Floral Woody Fragrance</t>
        </is>
      </c>
      <c r="J162" s="58" t="inlineStr">
        <is>
          <t>50ml</t>
        </is>
      </c>
      <c r="K162" s="58" t="n">
        <v>19.99</v>
      </c>
      <c r="L162" s="58" t="inlineStr">
        <is>
          <t>abercrombie &amp; fitch naturally fierce</t>
        </is>
      </c>
      <c r="M162" s="58" t="inlineStr">
        <is>
          <t>abercrombie &amp; fitch naturally fierce uk</t>
        </is>
      </c>
      <c r="N162" s="58" t="inlineStr">
        <is>
          <t>buy abercrombie &amp; fitch naturally fierce online</t>
        </is>
      </c>
      <c r="O162" s="58" t="inlineStr">
        <is>
          <t>abercrombie &amp; fitch naturally fierce price</t>
        </is>
      </c>
      <c r="P162" s="58" t="inlineStr">
        <is>
          <t>abercrombie &amp; fitch naturally fierce eau de parfum</t>
        </is>
      </c>
      <c r="Q162" s="59">
        <f>IF(L162="","",IFERROR(INDEX('Semrush Data'!$A$1:$Z$20000,MATCH(L162,'Semrush Data'!$A$1:$A$20000,0),MATCH("Volume",'Semrush Data'!$A$1:$Z$1,0)),""))</f>
        <v/>
      </c>
      <c r="R162" s="59">
        <f>IF(M162="","",IFERROR(INDEX('Semrush Data'!$A$1:$Z$20000,MATCH(M162,'Semrush Data'!$A$1:$A$20000,0),MATCH("Volume",'Semrush Data'!$A$1:$Z$1,0)),""))</f>
        <v/>
      </c>
      <c r="S162" s="59">
        <f>IF(N162="","",IFERROR(INDEX('Semrush Data'!$A$1:$Z$20000,MATCH(N162,'Semrush Data'!$A$1:$A$20000,0),MATCH("Volume",'Semrush Data'!$A$1:$Z$1,0)),""))</f>
        <v/>
      </c>
      <c r="T162" s="59">
        <f>IF(O162="","",IFERROR(INDEX('Semrush Data'!$A$1:$Z$20000,MATCH(O162,'Semrush Data'!$A$1:$A$20000,0),MATCH("Volume",'Semrush Data'!$A$1:$Z$1,0)),""))</f>
        <v/>
      </c>
      <c r="U162" s="59">
        <f>IF(P162="","",IFERROR(INDEX('Semrush Data'!$A$1:$Z$20000,MATCH(P162,'Semrush Data'!$A$1:$A$20000,0),MATCH("Volume",'Semrush Data'!$A$1:$Z$1,0)),""))</f>
        <v/>
      </c>
      <c r="V162" s="60">
        <f>IF(COUNT(Q162:U162)=0,L162,IF(MAX(Q162:U162)=0,L162,INDEX(L162:P162,MATCH(MAX(Q162:U162),Q162:U162,0))))</f>
        <v/>
      </c>
      <c r="W162" s="59">
        <f>IFERROR(INDEX('Semrush Data'!$A$1:$Z$20000,MATCH(V162,'Semrush Data'!$A$1:$A$20000,0),MATCH("Volume",'Semrush Data'!$A$1:$Z$1,0)),"")</f>
        <v/>
      </c>
      <c r="X162" s="59">
        <f>IFERROR(INDEX('Semrush Data'!$A$1:$Z$20000,MATCH(V162,'Semrush Data'!$A$1:$A$20000,0),MATCH("Keyword Difficulty*",'Semrush Data'!$A$1:$Z$1,0)),"")</f>
        <v/>
      </c>
      <c r="Y162" s="61">
        <f>IFERROR(INDEX('Semrush Data'!$A$1:$Z$20000,MATCH(V162,'Semrush Data'!$A$1:$A$20000,0),MATCH("CPC*",'Semrush Data'!$A$1:$Z$1,0)),"")</f>
        <v/>
      </c>
      <c r="Z162" s="58" t="inlineStr">
        <is>
          <t>abercrombie &amp; fitch perfume · abercrombie &amp; fitch perfume for women · floral perfume for women uk</t>
        </is>
      </c>
      <c r="AA162" s="58" t="inlineStr">
        <is>
          <t>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is>
      </c>
      <c r="AB162" s="58" t="inlineStr">
        <is>
          <t>Abercrombie &amp; Fitch Naturally Fierce Eau de Parfum</t>
        </is>
      </c>
      <c r="AC162" s="58" t="inlineStr">
        <is>
          <t>Abercrombie &amp; Fitch Naturally Fierce EDP 50ml | Swansura UK</t>
        </is>
      </c>
      <c r="AD162" s="58">
        <f>LEN(AC162)</f>
        <v/>
      </c>
      <c r="AE162" s="58" t="inlineStr">
        <is>
          <t>Buy Abercrombie &amp; Fitch Naturally Fierce Eau de Parfum online in the UK at Swansura. A floral women's eau de parfum. 100% authentic, free UK delivery over £50.</t>
        </is>
      </c>
      <c r="AF162" s="58">
        <f>LEN(AE162)</f>
        <v/>
      </c>
    </row>
    <row r="163" ht="15" customHeight="1" s="37">
      <c r="A163" s="58" t="inlineStr">
        <is>
          <t>FR-003</t>
        </is>
      </c>
      <c r="B163" s="58" t="inlineStr">
        <is>
          <t>Fragrance Catalogue</t>
        </is>
      </c>
      <c r="C163" s="58" t="n">
        <v>3</v>
      </c>
      <c r="D163" s="58" t="inlineStr">
        <is>
          <t>Acqua di Parma</t>
        </is>
      </c>
      <c r="E163" s="58" t="n"/>
      <c r="F163" s="58" t="inlineStr">
        <is>
          <t>Fragrance</t>
        </is>
      </c>
      <c r="G163" s="58" t="inlineStr">
        <is>
          <t>Eau de Cologne (EDC)</t>
        </is>
      </c>
      <c r="H163" s="58" t="inlineStr">
        <is>
          <t>Citrus · Unisex Fragrance</t>
        </is>
      </c>
      <c r="I163" s="58" t="inlineStr">
        <is>
          <t>Acqua di Parma Colonia Pura Eau de Cologne 20ml Unisex</t>
        </is>
      </c>
      <c r="J163" s="58" t="inlineStr">
        <is>
          <t>20ml</t>
        </is>
      </c>
      <c r="K163" s="58" t="n">
        <v>32.99</v>
      </c>
      <c r="L163" s="58" t="inlineStr">
        <is>
          <t>acqua di parma colonia pura</t>
        </is>
      </c>
      <c r="M163" s="58" t="inlineStr">
        <is>
          <t>acqua di parma colonia pura uk</t>
        </is>
      </c>
      <c r="N163" s="58" t="inlineStr">
        <is>
          <t>buy acqua di parma colonia pura online</t>
        </is>
      </c>
      <c r="O163" s="58" t="inlineStr">
        <is>
          <t>acqua di parma colonia pura price</t>
        </is>
      </c>
      <c r="P163" s="58" t="inlineStr">
        <is>
          <t>acqua di parma colonia pura eau de cologne</t>
        </is>
      </c>
      <c r="Q163" s="59">
        <f>IF(L163="","",IFERROR(INDEX('Semrush Data'!$A$1:$Z$20000,MATCH(L163,'Semrush Data'!$A$1:$A$20000,0),MATCH("Volume",'Semrush Data'!$A$1:$Z$1,0)),""))</f>
        <v/>
      </c>
      <c r="R163" s="59">
        <f>IF(M163="","",IFERROR(INDEX('Semrush Data'!$A$1:$Z$20000,MATCH(M163,'Semrush Data'!$A$1:$A$20000,0),MATCH("Volume",'Semrush Data'!$A$1:$Z$1,0)),""))</f>
        <v/>
      </c>
      <c r="S163" s="59">
        <f>IF(N163="","",IFERROR(INDEX('Semrush Data'!$A$1:$Z$20000,MATCH(N163,'Semrush Data'!$A$1:$A$20000,0),MATCH("Volume",'Semrush Data'!$A$1:$Z$1,0)),""))</f>
        <v/>
      </c>
      <c r="T163" s="59">
        <f>IF(O163="","",IFERROR(INDEX('Semrush Data'!$A$1:$Z$20000,MATCH(O163,'Semrush Data'!$A$1:$A$20000,0),MATCH("Volume",'Semrush Data'!$A$1:$Z$1,0)),""))</f>
        <v/>
      </c>
      <c r="U163" s="59">
        <f>IF(P163="","",IFERROR(INDEX('Semrush Data'!$A$1:$Z$20000,MATCH(P163,'Semrush Data'!$A$1:$A$20000,0),MATCH("Volume",'Semrush Data'!$A$1:$Z$1,0)),""))</f>
        <v/>
      </c>
      <c r="V163" s="60">
        <f>IF(COUNT(Q163:U163)=0,L163,IF(MAX(Q163:U163)=0,L163,INDEX(L163:P163,MATCH(MAX(Q163:U163),Q163:U163,0))))</f>
        <v/>
      </c>
      <c r="W163" s="59">
        <f>IFERROR(INDEX('Semrush Data'!$A$1:$Z$20000,MATCH(V163,'Semrush Data'!$A$1:$A$20000,0),MATCH("Volume",'Semrush Data'!$A$1:$Z$1,0)),"")</f>
        <v/>
      </c>
      <c r="X163" s="59">
        <f>IFERROR(INDEX('Semrush Data'!$A$1:$Z$20000,MATCH(V163,'Semrush Data'!$A$1:$A$20000,0),MATCH("Keyword Difficulty*",'Semrush Data'!$A$1:$Z$1,0)),"")</f>
        <v/>
      </c>
      <c r="Y163" s="61">
        <f>IFERROR(INDEX('Semrush Data'!$A$1:$Z$20000,MATCH(V163,'Semrush Data'!$A$1:$A$20000,0),MATCH("CPC*",'Semrush Data'!$A$1:$Z$1,0)),"")</f>
        <v/>
      </c>
      <c r="Z163" s="58" t="inlineStr">
        <is>
          <t>acqua di parma perfume · citrus perfume uk</t>
        </is>
      </c>
      <c r="AA163" s="58" t="inlineStr">
        <is>
          <t>acqua di parma colonia pura review · acqua di parma colonia pura 100ml · acqua di parma colonia pura 50ml · acqua di parma colonia pura notes</t>
        </is>
      </c>
      <c r="AB163" s="58" t="inlineStr">
        <is>
          <t>Acqua di Parma Colonia Pura Eau de Cologne Unisex</t>
        </is>
      </c>
      <c r="AC163" s="58" t="inlineStr">
        <is>
          <t>Acqua di Parma Colonia Pura Unisex 20ml | Swansura UK</t>
        </is>
      </c>
      <c r="AD163" s="58">
        <f>LEN(AC163)</f>
        <v/>
      </c>
      <c r="AE163" s="58" t="inlineStr">
        <is>
          <t>Buy Acqua di Parma Colonia Pura Eau de Cologne Unisex online in the UK at Swansura. A citrus unisex fragrance, 20ml. 100% authentic, free UK delivery over £50.</t>
        </is>
      </c>
      <c r="AF163" s="58">
        <f>LEN(AE163)</f>
        <v/>
      </c>
    </row>
    <row r="164" ht="15" customHeight="1" s="37">
      <c r="A164" s="58" t="inlineStr">
        <is>
          <t>FR-004</t>
        </is>
      </c>
      <c r="B164" s="58" t="inlineStr">
        <is>
          <t>Fragrance Catalogue</t>
        </is>
      </c>
      <c r="C164" s="58" t="n">
        <v>4</v>
      </c>
      <c r="D164" s="58" t="inlineStr">
        <is>
          <t>Acqua di Parma</t>
        </is>
      </c>
      <c r="E164" s="58" t="n"/>
      <c r="F164" s="58" t="inlineStr">
        <is>
          <t>Fragrance</t>
        </is>
      </c>
      <c r="G164" s="58" t="inlineStr">
        <is>
          <t>Deodorant</t>
        </is>
      </c>
      <c r="H164" s="58" t="inlineStr">
        <is>
          <t>Citrus · Unisex Fragrance</t>
        </is>
      </c>
      <c r="I164" s="58" t="inlineStr">
        <is>
          <t>Acqua di Parma Colonia Essenza Deodorant Stick 75ml</t>
        </is>
      </c>
      <c r="J164" s="58" t="inlineStr">
        <is>
          <t>75ml</t>
        </is>
      </c>
      <c r="K164" s="58" t="n">
        <v>32.99</v>
      </c>
      <c r="L164" s="58" t="inlineStr">
        <is>
          <t>acqua di parma colonia essenza deodorant stick</t>
        </is>
      </c>
      <c r="M164" s="58" t="inlineStr">
        <is>
          <t>acqua di parma colonia essenza deodorant stick uk</t>
        </is>
      </c>
      <c r="N164" s="58" t="inlineStr">
        <is>
          <t>buy acqua di parma colonia essenza deodorant stick online</t>
        </is>
      </c>
      <c r="O164" s="58" t="inlineStr">
        <is>
          <t>acqua di parma colonia essenza deodorant stick price</t>
        </is>
      </c>
      <c r="P164" s="58" t="n"/>
      <c r="Q164" s="59">
        <f>IF(L164="","",IFERROR(INDEX('Semrush Data'!$A$1:$Z$20000,MATCH(L164,'Semrush Data'!$A$1:$A$20000,0),MATCH("Volume",'Semrush Data'!$A$1:$Z$1,0)),""))</f>
        <v/>
      </c>
      <c r="R164" s="59">
        <f>IF(M164="","",IFERROR(INDEX('Semrush Data'!$A$1:$Z$20000,MATCH(M164,'Semrush Data'!$A$1:$A$20000,0),MATCH("Volume",'Semrush Data'!$A$1:$Z$1,0)),""))</f>
        <v/>
      </c>
      <c r="S164" s="59">
        <f>IF(N164="","",IFERROR(INDEX('Semrush Data'!$A$1:$Z$20000,MATCH(N164,'Semrush Data'!$A$1:$A$20000,0),MATCH("Volume",'Semrush Data'!$A$1:$Z$1,0)),""))</f>
        <v/>
      </c>
      <c r="T164" s="59">
        <f>IF(O164="","",IFERROR(INDEX('Semrush Data'!$A$1:$Z$20000,MATCH(O164,'Semrush Data'!$A$1:$A$20000,0),MATCH("Volume",'Semrush Data'!$A$1:$Z$1,0)),""))</f>
        <v/>
      </c>
      <c r="U164" s="59">
        <f>IF(P164="","",IFERROR(INDEX('Semrush Data'!$A$1:$Z$20000,MATCH(P164,'Semrush Data'!$A$1:$A$20000,0),MATCH("Volume",'Semrush Data'!$A$1:$Z$1,0)),""))</f>
        <v/>
      </c>
      <c r="V164" s="60">
        <f>IF(COUNT(Q164:U164)=0,L164,IF(MAX(Q164:U164)=0,L164,INDEX(L164:P164,MATCH(MAX(Q164:U164),Q164:U164,0))))</f>
        <v/>
      </c>
      <c r="W164" s="59">
        <f>IFERROR(INDEX('Semrush Data'!$A$1:$Z$20000,MATCH(V164,'Semrush Data'!$A$1:$A$20000,0),MATCH("Volume",'Semrush Data'!$A$1:$Z$1,0)),"")</f>
        <v/>
      </c>
      <c r="X164" s="59">
        <f>IFERROR(INDEX('Semrush Data'!$A$1:$Z$20000,MATCH(V164,'Semrush Data'!$A$1:$A$20000,0),MATCH("Keyword Difficulty*",'Semrush Data'!$A$1:$Z$1,0)),"")</f>
        <v/>
      </c>
      <c r="Y164" s="61">
        <f>IFERROR(INDEX('Semrush Data'!$A$1:$Z$20000,MATCH(V164,'Semrush Data'!$A$1:$A$20000,0),MATCH("CPC*",'Semrush Data'!$A$1:$Z$1,0)),"")</f>
        <v/>
      </c>
      <c r="Z164" s="58" t="inlineStr">
        <is>
          <t>acqua di parma perfume · citrus perfume uk</t>
        </is>
      </c>
      <c r="AA164" s="58" t="inlineStr">
        <is>
          <t>acqua di parma colonia essenza deodorant stick 75ml · acqua di parma colonia essenza deodorant stick review · acqua di parma colonia essenza review</t>
        </is>
      </c>
      <c r="AB164" s="58" t="inlineStr">
        <is>
          <t>Acqua di Parma Colonia Essenza Deodorant Stick</t>
        </is>
      </c>
      <c r="AC164" s="58" t="inlineStr">
        <is>
          <t>Acqua di Parma Colonia Essenza Deodorant Stick | Swansura UK</t>
        </is>
      </c>
      <c r="AD164" s="58">
        <f>LEN(AC164)</f>
        <v/>
      </c>
      <c r="AE164" s="58" t="inlineStr">
        <is>
          <t>Buy Acqua di Parma Colonia Essenza Deodorant Stick online in the UK at Swansura. A citrus unisex fragrance, 75ml. 100% authentic, free UK delivery over £50.</t>
        </is>
      </c>
      <c r="AF164" s="58">
        <f>LEN(AE164)</f>
        <v/>
      </c>
    </row>
    <row r="165" ht="15" customHeight="1" s="37">
      <c r="A165" s="58" t="inlineStr">
        <is>
          <t>FR-005</t>
        </is>
      </c>
      <c r="B165" s="58" t="inlineStr">
        <is>
          <t>Fragrance Catalogue</t>
        </is>
      </c>
      <c r="C165" s="58" t="n">
        <v>5</v>
      </c>
      <c r="D165" s="58" t="inlineStr">
        <is>
          <t>Acqua di Parma</t>
        </is>
      </c>
      <c r="E165" s="58" t="n"/>
      <c r="F165" s="58" t="inlineStr">
        <is>
          <t>Fragrance</t>
        </is>
      </c>
      <c r="G165" s="58" t="inlineStr">
        <is>
          <t>Eau de Parfum (EDP)</t>
        </is>
      </c>
      <c r="H165" s="58" t="inlineStr">
        <is>
          <t>Oud · Men's Fragrance</t>
        </is>
      </c>
      <c r="I165" s="58" t="inlineStr">
        <is>
          <t>Acqua di Parma Oud &amp; Spice EDP 20ml for Men</t>
        </is>
      </c>
      <c r="J165" s="58" t="inlineStr">
        <is>
          <t>20ml</t>
        </is>
      </c>
      <c r="K165" s="58" t="n">
        <v>40.99</v>
      </c>
      <c r="L165" s="58" t="inlineStr">
        <is>
          <t>acqua di parma oud &amp; spice</t>
        </is>
      </c>
      <c r="M165" s="58" t="inlineStr">
        <is>
          <t>acqua di parma oud &amp; spice uk</t>
        </is>
      </c>
      <c r="N165" s="58" t="inlineStr">
        <is>
          <t>buy acqua di parma oud &amp; spice online</t>
        </is>
      </c>
      <c r="O165" s="58" t="inlineStr">
        <is>
          <t>acqua di parma oud &amp; spice price</t>
        </is>
      </c>
      <c r="P165" s="58" t="inlineStr">
        <is>
          <t>acqua di parma oud &amp; spice edp</t>
        </is>
      </c>
      <c r="Q165" s="59">
        <f>IF(L165="","",IFERROR(INDEX('Semrush Data'!$A$1:$Z$20000,MATCH(L165,'Semrush Data'!$A$1:$A$20000,0),MATCH("Volume",'Semrush Data'!$A$1:$Z$1,0)),""))</f>
        <v/>
      </c>
      <c r="R165" s="59">
        <f>IF(M165="","",IFERROR(INDEX('Semrush Data'!$A$1:$Z$20000,MATCH(M165,'Semrush Data'!$A$1:$A$20000,0),MATCH("Volume",'Semrush Data'!$A$1:$Z$1,0)),""))</f>
        <v/>
      </c>
      <c r="S165" s="59">
        <f>IF(N165="","",IFERROR(INDEX('Semrush Data'!$A$1:$Z$20000,MATCH(N165,'Semrush Data'!$A$1:$A$20000,0),MATCH("Volume",'Semrush Data'!$A$1:$Z$1,0)),""))</f>
        <v/>
      </c>
      <c r="T165" s="59">
        <f>IF(O165="","",IFERROR(INDEX('Semrush Data'!$A$1:$Z$20000,MATCH(O165,'Semrush Data'!$A$1:$A$20000,0),MATCH("Volume",'Semrush Data'!$A$1:$Z$1,0)),""))</f>
        <v/>
      </c>
      <c r="U165" s="59">
        <f>IF(P165="","",IFERROR(INDEX('Semrush Data'!$A$1:$Z$20000,MATCH(P165,'Semrush Data'!$A$1:$A$20000,0),MATCH("Volume",'Semrush Data'!$A$1:$Z$1,0)),""))</f>
        <v/>
      </c>
      <c r="V165" s="60">
        <f>IF(COUNT(Q165:U165)=0,L165,IF(MAX(Q165:U165)=0,L165,INDEX(L165:P165,MATCH(MAX(Q165:U165),Q165:U165,0))))</f>
        <v/>
      </c>
      <c r="W165" s="59">
        <f>IFERROR(INDEX('Semrush Data'!$A$1:$Z$20000,MATCH(V165,'Semrush Data'!$A$1:$A$20000,0),MATCH("Volume",'Semrush Data'!$A$1:$Z$1,0)),"")</f>
        <v/>
      </c>
      <c r="X165" s="59">
        <f>IFERROR(INDEX('Semrush Data'!$A$1:$Z$20000,MATCH(V165,'Semrush Data'!$A$1:$A$20000,0),MATCH("Keyword Difficulty*",'Semrush Data'!$A$1:$Z$1,0)),"")</f>
        <v/>
      </c>
      <c r="Y165" s="61">
        <f>IFERROR(INDEX('Semrush Data'!$A$1:$Z$20000,MATCH(V165,'Semrush Data'!$A$1:$A$20000,0),MATCH("CPC*",'Semrush Data'!$A$1:$Z$1,0)),"")</f>
        <v/>
      </c>
      <c r="Z165" s="58" t="inlineStr">
        <is>
          <t>acqua di parma perfume · acqua di parma perfume for men · oud perfume for men uk</t>
        </is>
      </c>
      <c r="AA165" s="58" t="inlineStr">
        <is>
          <t>acqua di parma oud &amp; spice eau de parfum · acqua di parma oud &amp; spice review · acqua di parma oud &amp; spice 100ml · acqua di parma oud &amp; spice edp · acqua di parma oud spice 180ml · acqua di parma oud spice 50ml</t>
        </is>
      </c>
      <c r="AB165" s="58" t="inlineStr">
        <is>
          <t>Acqua di Parma Oud &amp; Spice EDP for Men</t>
        </is>
      </c>
      <c r="AC165" s="58" t="inlineStr">
        <is>
          <t>Acqua di Parma Oud &amp; Spice EDP for Men | Swansura UK</t>
        </is>
      </c>
      <c r="AD165" s="58">
        <f>LEN(AC165)</f>
        <v/>
      </c>
      <c r="AE165" s="58" t="inlineStr">
        <is>
          <t>Buy Acqua di Parma Oud &amp; Spice EDP for Men online in the UK at Swansura. An oud men's eau de parfum, 20ml. 100% authentic, fast UK delivery, free over £50.</t>
        </is>
      </c>
      <c r="AF165" s="58">
        <f>LEN(AE165)</f>
        <v/>
      </c>
    </row>
    <row r="166" ht="15" customHeight="1" s="37">
      <c r="A166" s="58" t="inlineStr">
        <is>
          <t>FR-006</t>
        </is>
      </c>
      <c r="B166" s="58" t="inlineStr">
        <is>
          <t>Fragrance Catalogue</t>
        </is>
      </c>
      <c r="C166" s="58" t="n">
        <v>6</v>
      </c>
      <c r="D166" s="58" t="inlineStr">
        <is>
          <t>Acqua di Parma</t>
        </is>
      </c>
      <c r="E166" s="58" t="n"/>
      <c r="F166" s="58" t="inlineStr">
        <is>
          <t>Fragrance</t>
        </is>
      </c>
      <c r="G166" s="58" t="inlineStr">
        <is>
          <t>Eau de Parfum (EDP)</t>
        </is>
      </c>
      <c r="H166" s="58" t="inlineStr">
        <is>
          <t>Woody · Women's Fragrance</t>
        </is>
      </c>
      <c r="I166" s="58" t="inlineStr">
        <is>
          <t>Acqua di Parma Rosa Nobile EDP 20ml for Women</t>
        </is>
      </c>
      <c r="J166" s="58" t="inlineStr">
        <is>
          <t>20ml</t>
        </is>
      </c>
      <c r="K166" s="58" t="n">
        <v>40.99</v>
      </c>
      <c r="L166" s="58" t="inlineStr">
        <is>
          <t>acqua di parma rosa nobile</t>
        </is>
      </c>
      <c r="M166" s="58" t="inlineStr">
        <is>
          <t>acqua di parma rosa nobile uk</t>
        </is>
      </c>
      <c r="N166" s="58" t="inlineStr">
        <is>
          <t>buy acqua di parma rosa nobile online</t>
        </is>
      </c>
      <c r="O166" s="58" t="inlineStr">
        <is>
          <t>acqua di parma rosa nobile price</t>
        </is>
      </c>
      <c r="P166" s="58" t="inlineStr">
        <is>
          <t>acqua di parma rosa nobile edp</t>
        </is>
      </c>
      <c r="Q166" s="59">
        <f>IF(L166="","",IFERROR(INDEX('Semrush Data'!$A$1:$Z$20000,MATCH(L166,'Semrush Data'!$A$1:$A$20000,0),MATCH("Volume",'Semrush Data'!$A$1:$Z$1,0)),""))</f>
        <v/>
      </c>
      <c r="R166" s="59">
        <f>IF(M166="","",IFERROR(INDEX('Semrush Data'!$A$1:$Z$20000,MATCH(M166,'Semrush Data'!$A$1:$A$20000,0),MATCH("Volume",'Semrush Data'!$A$1:$Z$1,0)),""))</f>
        <v/>
      </c>
      <c r="S166" s="59">
        <f>IF(N166="","",IFERROR(INDEX('Semrush Data'!$A$1:$Z$20000,MATCH(N166,'Semrush Data'!$A$1:$A$20000,0),MATCH("Volume",'Semrush Data'!$A$1:$Z$1,0)),""))</f>
        <v/>
      </c>
      <c r="T166" s="59">
        <f>IF(O166="","",IFERROR(INDEX('Semrush Data'!$A$1:$Z$20000,MATCH(O166,'Semrush Data'!$A$1:$A$20000,0),MATCH("Volume",'Semrush Data'!$A$1:$Z$1,0)),""))</f>
        <v/>
      </c>
      <c r="U166" s="59">
        <f>IF(P166="","",IFERROR(INDEX('Semrush Data'!$A$1:$Z$20000,MATCH(P166,'Semrush Data'!$A$1:$A$20000,0),MATCH("Volume",'Semrush Data'!$A$1:$Z$1,0)),""))</f>
        <v/>
      </c>
      <c r="V166" s="60">
        <f>IF(COUNT(Q166:U166)=0,L166,IF(MAX(Q166:U166)=0,L166,INDEX(L166:P166,MATCH(MAX(Q166:U166),Q166:U166,0))))</f>
        <v/>
      </c>
      <c r="W166" s="59">
        <f>IFERROR(INDEX('Semrush Data'!$A$1:$Z$20000,MATCH(V166,'Semrush Data'!$A$1:$A$20000,0),MATCH("Volume",'Semrush Data'!$A$1:$Z$1,0)),"")</f>
        <v/>
      </c>
      <c r="X166" s="59">
        <f>IFERROR(INDEX('Semrush Data'!$A$1:$Z$20000,MATCH(V166,'Semrush Data'!$A$1:$A$20000,0),MATCH("Keyword Difficulty*",'Semrush Data'!$A$1:$Z$1,0)),"")</f>
        <v/>
      </c>
      <c r="Y166" s="61">
        <f>IFERROR(INDEX('Semrush Data'!$A$1:$Z$20000,MATCH(V166,'Semrush Data'!$A$1:$A$20000,0),MATCH("CPC*",'Semrush Data'!$A$1:$Z$1,0)),"")</f>
        <v/>
      </c>
      <c r="Z166" s="58" t="inlineStr">
        <is>
          <t>acqua di parma perfume · acqua di parma perfume for women · woody perfume for women uk</t>
        </is>
      </c>
      <c r="AA166" s="58" t="inlineStr">
        <is>
          <t>acqua di parma rosa nobile eau de parfum · acqua di parma rosa nobile 100ml · acqua di parma rosa nobile price · acqua di parma rosa nobile review · acqua di parma rosa nobile dupe · acqua di parma rosa nobile notes</t>
        </is>
      </c>
      <c r="AB166" s="58" t="inlineStr">
        <is>
          <t>Acqua di Parma Rosa Nobile EDP for Women</t>
        </is>
      </c>
      <c r="AC166" s="58" t="inlineStr">
        <is>
          <t>Acqua di Parma Rosa Nobile EDP for Women | Swansura UK</t>
        </is>
      </c>
      <c r="AD166" s="58">
        <f>LEN(AC166)</f>
        <v/>
      </c>
      <c r="AE166" s="58" t="inlineStr">
        <is>
          <t>Buy Acqua di Parma Rosa Nobile EDP for Women online in the UK at Swansura. A woody women's eau de parfum, 20ml. 100% authentic, fast UK delivery, free over £50.</t>
        </is>
      </c>
      <c r="AF166" s="58">
        <f>LEN(AE166)</f>
        <v/>
      </c>
    </row>
    <row r="167" ht="15" customHeight="1" s="37">
      <c r="A167" s="58" t="inlineStr">
        <is>
          <t>FR-007</t>
        </is>
      </c>
      <c r="B167" s="58" t="inlineStr">
        <is>
          <t>Fragrance Catalogue</t>
        </is>
      </c>
      <c r="C167" s="58" t="n">
        <v>7</v>
      </c>
      <c r="D167" s="58" t="inlineStr">
        <is>
          <t>Acqua di Parma</t>
        </is>
      </c>
      <c r="E167" s="58" t="n"/>
      <c r="F167" s="58" t="inlineStr">
        <is>
          <t>Fragrance</t>
        </is>
      </c>
      <c r="G167" s="58" t="inlineStr">
        <is>
          <t>Eau de Parfum (EDP)</t>
        </is>
      </c>
      <c r="H167" s="58" t="inlineStr">
        <is>
          <t>Floral · Unisex Fragrance</t>
        </is>
      </c>
      <c r="I167" s="58" t="inlineStr">
        <is>
          <t>Acqua di Parma Sakura EDP 20ml Unisex Perfume</t>
        </is>
      </c>
      <c r="J167" s="58" t="inlineStr">
        <is>
          <t>20ml</t>
        </is>
      </c>
      <c r="K167" s="58" t="n">
        <v>40.99</v>
      </c>
      <c r="L167" s="58" t="inlineStr">
        <is>
          <t>acqua di parma sakura</t>
        </is>
      </c>
      <c r="M167" s="58" t="inlineStr">
        <is>
          <t>acqua di parma sakura uk</t>
        </is>
      </c>
      <c r="N167" s="58" t="inlineStr">
        <is>
          <t>buy acqua di parma sakura online</t>
        </is>
      </c>
      <c r="O167" s="58" t="inlineStr">
        <is>
          <t>acqua di parma sakura price</t>
        </is>
      </c>
      <c r="P167" s="58" t="inlineStr">
        <is>
          <t>acqua di parma sakura edp</t>
        </is>
      </c>
      <c r="Q167" s="59">
        <f>IF(L167="","",IFERROR(INDEX('Semrush Data'!$A$1:$Z$20000,MATCH(L167,'Semrush Data'!$A$1:$A$20000,0),MATCH("Volume",'Semrush Data'!$A$1:$Z$1,0)),""))</f>
        <v/>
      </c>
      <c r="R167" s="59">
        <f>IF(M167="","",IFERROR(INDEX('Semrush Data'!$A$1:$Z$20000,MATCH(M167,'Semrush Data'!$A$1:$A$20000,0),MATCH("Volume",'Semrush Data'!$A$1:$Z$1,0)),""))</f>
        <v/>
      </c>
      <c r="S167" s="59">
        <f>IF(N167="","",IFERROR(INDEX('Semrush Data'!$A$1:$Z$20000,MATCH(N167,'Semrush Data'!$A$1:$A$20000,0),MATCH("Volume",'Semrush Data'!$A$1:$Z$1,0)),""))</f>
        <v/>
      </c>
      <c r="T167" s="59">
        <f>IF(O167="","",IFERROR(INDEX('Semrush Data'!$A$1:$Z$20000,MATCH(O167,'Semrush Data'!$A$1:$A$20000,0),MATCH("Volume",'Semrush Data'!$A$1:$Z$1,0)),""))</f>
        <v/>
      </c>
      <c r="U167" s="59">
        <f>IF(P167="","",IFERROR(INDEX('Semrush Data'!$A$1:$Z$20000,MATCH(P167,'Semrush Data'!$A$1:$A$20000,0),MATCH("Volume",'Semrush Data'!$A$1:$Z$1,0)),""))</f>
        <v/>
      </c>
      <c r="V167" s="60">
        <f>IF(COUNT(Q167:U167)=0,L167,IF(MAX(Q167:U167)=0,L167,INDEX(L167:P167,MATCH(MAX(Q167:U167),Q167:U167,0))))</f>
        <v/>
      </c>
      <c r="W167" s="59">
        <f>IFERROR(INDEX('Semrush Data'!$A$1:$Z$20000,MATCH(V167,'Semrush Data'!$A$1:$A$20000,0),MATCH("Volume",'Semrush Data'!$A$1:$Z$1,0)),"")</f>
        <v/>
      </c>
      <c r="X167" s="59">
        <f>IFERROR(INDEX('Semrush Data'!$A$1:$Z$20000,MATCH(V167,'Semrush Data'!$A$1:$A$20000,0),MATCH("Keyword Difficulty*",'Semrush Data'!$A$1:$Z$1,0)),"")</f>
        <v/>
      </c>
      <c r="Y167" s="61">
        <f>IFERROR(INDEX('Semrush Data'!$A$1:$Z$20000,MATCH(V167,'Semrush Data'!$A$1:$A$20000,0),MATCH("CPC*",'Semrush Data'!$A$1:$Z$1,0)),"")</f>
        <v/>
      </c>
      <c r="Z167" s="58" t="inlineStr">
        <is>
          <t>acqua di parma perfume · floral perfume uk</t>
        </is>
      </c>
      <c r="AA167" s="58" t="inlineStr">
        <is>
          <t>acqua di parma sakura eau de parfum · acqua di parma sakura 100ml · acqua di parma sakura price · acqua di parma sakura edp · acqua di parma sakura notes · acqua di parma sakura review</t>
        </is>
      </c>
      <c r="AB167" s="58" t="inlineStr">
        <is>
          <t>Acqua di Parma Sakura EDP Unisex Perfume</t>
        </is>
      </c>
      <c r="AC167" s="58" t="inlineStr">
        <is>
          <t>Acqua di Parma Sakura EDP Unisex Perfume | Swansura UK</t>
        </is>
      </c>
      <c r="AD167" s="58">
        <f>LEN(AC167)</f>
        <v/>
      </c>
      <c r="AE167" s="58" t="inlineStr">
        <is>
          <t>Buy Acqua di Parma Sakura EDP Unisex Perfume online in the UK at Swansura. A floral unisex eau de parfum, 20ml. 100% authentic, fast UK delivery, free over £50.</t>
        </is>
      </c>
      <c r="AF167" s="58">
        <f>LEN(AE167)</f>
        <v/>
      </c>
    </row>
    <row r="168" ht="15" customHeight="1" s="37">
      <c r="A168" s="58" t="inlineStr">
        <is>
          <t>FR-008</t>
        </is>
      </c>
      <c r="B168" s="58" t="inlineStr">
        <is>
          <t>Fragrance Catalogue</t>
        </is>
      </c>
      <c r="C168" s="58" t="n">
        <v>8</v>
      </c>
      <c r="D168" s="58" t="inlineStr">
        <is>
          <t>Acqua di Parma</t>
        </is>
      </c>
      <c r="E168" s="58" t="n"/>
      <c r="F168" s="58" t="inlineStr">
        <is>
          <t>Fragrance</t>
        </is>
      </c>
      <c r="G168" s="58" t="inlineStr">
        <is>
          <t>Eau de Parfum (EDP)</t>
        </is>
      </c>
      <c r="H168" s="58" t="inlineStr">
        <is>
          <t>Amber · Unisex Fragrance</t>
        </is>
      </c>
      <c r="I168" s="58" t="inlineStr">
        <is>
          <t>Acqua di Parma Sandalo EDP 20ml Unisex</t>
        </is>
      </c>
      <c r="J168" s="58" t="inlineStr">
        <is>
          <t>20ml</t>
        </is>
      </c>
      <c r="K168" s="58" t="n">
        <v>40.99</v>
      </c>
      <c r="L168" s="58" t="inlineStr">
        <is>
          <t>acqua di parma sandalo</t>
        </is>
      </c>
      <c r="M168" s="58" t="inlineStr">
        <is>
          <t>acqua di parma sandalo uk</t>
        </is>
      </c>
      <c r="N168" s="58" t="inlineStr">
        <is>
          <t>buy acqua di parma sandalo online</t>
        </is>
      </c>
      <c r="O168" s="58" t="inlineStr">
        <is>
          <t>acqua di parma sandalo price</t>
        </is>
      </c>
      <c r="P168" s="58" t="inlineStr">
        <is>
          <t>acqua di parma sandalo edp</t>
        </is>
      </c>
      <c r="Q168" s="59">
        <f>IF(L168="","",IFERROR(INDEX('Semrush Data'!$A$1:$Z$20000,MATCH(L168,'Semrush Data'!$A$1:$A$20000,0),MATCH("Volume",'Semrush Data'!$A$1:$Z$1,0)),""))</f>
        <v/>
      </c>
      <c r="R168" s="59">
        <f>IF(M168="","",IFERROR(INDEX('Semrush Data'!$A$1:$Z$20000,MATCH(M168,'Semrush Data'!$A$1:$A$20000,0),MATCH("Volume",'Semrush Data'!$A$1:$Z$1,0)),""))</f>
        <v/>
      </c>
      <c r="S168" s="59">
        <f>IF(N168="","",IFERROR(INDEX('Semrush Data'!$A$1:$Z$20000,MATCH(N168,'Semrush Data'!$A$1:$A$20000,0),MATCH("Volume",'Semrush Data'!$A$1:$Z$1,0)),""))</f>
        <v/>
      </c>
      <c r="T168" s="59">
        <f>IF(O168="","",IFERROR(INDEX('Semrush Data'!$A$1:$Z$20000,MATCH(O168,'Semrush Data'!$A$1:$A$20000,0),MATCH("Volume",'Semrush Data'!$A$1:$Z$1,0)),""))</f>
        <v/>
      </c>
      <c r="U168" s="59">
        <f>IF(P168="","",IFERROR(INDEX('Semrush Data'!$A$1:$Z$20000,MATCH(P168,'Semrush Data'!$A$1:$A$20000,0),MATCH("Volume",'Semrush Data'!$A$1:$Z$1,0)),""))</f>
        <v/>
      </c>
      <c r="V168" s="60">
        <f>IF(COUNT(Q168:U168)=0,L168,IF(MAX(Q168:U168)=0,L168,INDEX(L168:P168,MATCH(MAX(Q168:U168),Q168:U168,0))))</f>
        <v/>
      </c>
      <c r="W168" s="59">
        <f>IFERROR(INDEX('Semrush Data'!$A$1:$Z$20000,MATCH(V168,'Semrush Data'!$A$1:$A$20000,0),MATCH("Volume",'Semrush Data'!$A$1:$Z$1,0)),"")</f>
        <v/>
      </c>
      <c r="X168" s="59">
        <f>IFERROR(INDEX('Semrush Data'!$A$1:$Z$20000,MATCH(V168,'Semrush Data'!$A$1:$A$20000,0),MATCH("Keyword Difficulty*",'Semrush Data'!$A$1:$Z$1,0)),"")</f>
        <v/>
      </c>
      <c r="Y168" s="61">
        <f>IFERROR(INDEX('Semrush Data'!$A$1:$Z$20000,MATCH(V168,'Semrush Data'!$A$1:$A$20000,0),MATCH("CPC*",'Semrush Data'!$A$1:$Z$1,0)),"")</f>
        <v/>
      </c>
      <c r="Z168" s="58" t="inlineStr">
        <is>
          <t>acqua di parma perfume · amber perfume uk</t>
        </is>
      </c>
      <c r="AA168" s="58" t="inlineStr">
        <is>
          <t>acqua di parma sandalo eau de parfum · acqua di parma sandalo 100ml · acqua di parma sandalo review · acqua di parma sandalo dupe · acqua di parma sandalo 50ml · acqua di parma sandalo edp</t>
        </is>
      </c>
      <c r="AB168" s="58" t="inlineStr">
        <is>
          <t>Acqua di Parma Sandalo EDP Unisex</t>
        </is>
      </c>
      <c r="AC168" s="58" t="inlineStr">
        <is>
          <t>Acqua di Parma Sandalo EDP Unisex | Buy Online UK | Swansura</t>
        </is>
      </c>
      <c r="AD168" s="58">
        <f>LEN(AC168)</f>
        <v/>
      </c>
      <c r="AE168" s="58" t="inlineStr">
        <is>
          <t>Buy Acqua di Parma Sandalo EDP Unisex online in the UK at Swansura. An amber unisex eau de parfum, 20ml. 100% authentic, fast UK delivery, free over £50.</t>
        </is>
      </c>
      <c r="AF168" s="58">
        <f>LEN(AE168)</f>
        <v/>
      </c>
    </row>
    <row r="169" ht="15" customHeight="1" s="37">
      <c r="A169" s="58" t="inlineStr">
        <is>
          <t>FR-009</t>
        </is>
      </c>
      <c r="B169" s="58" t="inlineStr">
        <is>
          <t>Fragrance Catalogue</t>
        </is>
      </c>
      <c r="C169" s="58" t="n">
        <v>9</v>
      </c>
      <c r="D169" s="58" t="inlineStr">
        <is>
          <t>Acqua di Parma</t>
        </is>
      </c>
      <c r="E169" s="58" t="n"/>
      <c r="F169" s="58" t="inlineStr">
        <is>
          <t>Gift Set</t>
        </is>
      </c>
      <c r="G169" s="58" t="inlineStr">
        <is>
          <t>Fragrance Gift Set</t>
        </is>
      </c>
      <c r="H169" s="58" t="inlineStr">
        <is>
          <t>Amber · Unisex Fragrance</t>
        </is>
      </c>
      <c r="I169" s="58" t="inlineStr">
        <is>
          <t>Acqua di Parma Blu Mediterraneo Discovery Set 3x12ml</t>
        </is>
      </c>
      <c r="J169" s="58" t="inlineStr">
        <is>
          <t>3x12ml</t>
        </is>
      </c>
      <c r="K169" s="58" t="n">
        <v>44.99</v>
      </c>
      <c r="L169" s="58" t="inlineStr">
        <is>
          <t>acqua di parma blu mediterraneo discovery set</t>
        </is>
      </c>
      <c r="M169" s="58" t="inlineStr">
        <is>
          <t>acqua di parma blu mediterraneo discovery set uk</t>
        </is>
      </c>
      <c r="N169" s="58" t="inlineStr">
        <is>
          <t>buy acqua di parma blu mediterraneo discovery set online</t>
        </is>
      </c>
      <c r="O169" s="58" t="inlineStr">
        <is>
          <t>acqua di parma blu mediterraneo discovery set price</t>
        </is>
      </c>
      <c r="P169" s="58" t="n"/>
      <c r="Q169" s="59">
        <f>IF(L169="","",IFERROR(INDEX('Semrush Data'!$A$1:$Z$20000,MATCH(L169,'Semrush Data'!$A$1:$A$20000,0),MATCH("Volume",'Semrush Data'!$A$1:$Z$1,0)),""))</f>
        <v/>
      </c>
      <c r="R169" s="59">
        <f>IF(M169="","",IFERROR(INDEX('Semrush Data'!$A$1:$Z$20000,MATCH(M169,'Semrush Data'!$A$1:$A$20000,0),MATCH("Volume",'Semrush Data'!$A$1:$Z$1,0)),""))</f>
        <v/>
      </c>
      <c r="S169" s="59">
        <f>IF(N169="","",IFERROR(INDEX('Semrush Data'!$A$1:$Z$20000,MATCH(N169,'Semrush Data'!$A$1:$A$20000,0),MATCH("Volume",'Semrush Data'!$A$1:$Z$1,0)),""))</f>
        <v/>
      </c>
      <c r="T169" s="59">
        <f>IF(O169="","",IFERROR(INDEX('Semrush Data'!$A$1:$Z$20000,MATCH(O169,'Semrush Data'!$A$1:$A$20000,0),MATCH("Volume",'Semrush Data'!$A$1:$Z$1,0)),""))</f>
        <v/>
      </c>
      <c r="U169" s="59">
        <f>IF(P169="","",IFERROR(INDEX('Semrush Data'!$A$1:$Z$20000,MATCH(P169,'Semrush Data'!$A$1:$A$20000,0),MATCH("Volume",'Semrush Data'!$A$1:$Z$1,0)),""))</f>
        <v/>
      </c>
      <c r="V169" s="60">
        <f>IF(COUNT(Q169:U169)=0,L169,IF(MAX(Q169:U169)=0,L169,INDEX(L169:P169,MATCH(MAX(Q169:U169),Q169:U169,0))))</f>
        <v/>
      </c>
      <c r="W169" s="59">
        <f>IFERROR(INDEX('Semrush Data'!$A$1:$Z$20000,MATCH(V169,'Semrush Data'!$A$1:$A$20000,0),MATCH("Volume",'Semrush Data'!$A$1:$Z$1,0)),"")</f>
        <v/>
      </c>
      <c r="X169" s="59">
        <f>IFERROR(INDEX('Semrush Data'!$A$1:$Z$20000,MATCH(V169,'Semrush Data'!$A$1:$A$20000,0),MATCH("Keyword Difficulty*",'Semrush Data'!$A$1:$Z$1,0)),"")</f>
        <v/>
      </c>
      <c r="Y169" s="61">
        <f>IFERROR(INDEX('Semrush Data'!$A$1:$Z$20000,MATCH(V169,'Semrush Data'!$A$1:$A$20000,0),MATCH("CPC*",'Semrush Data'!$A$1:$Z$1,0)),"")</f>
        <v/>
      </c>
      <c r="Z169" s="58" t="inlineStr">
        <is>
          <t>acqua di parma perfume · amber perfume uk</t>
        </is>
      </c>
      <c r="AA169" s="58" t="inlineStr">
        <is>
          <t>acqua di parma blu mediterraneo price · acqua di parma blu mediterraneo review</t>
        </is>
      </c>
      <c r="AB169" s="58" t="inlineStr">
        <is>
          <t>Acqua di Parma Blu Mediterraneo Discovery Set 3x12ml</t>
        </is>
      </c>
      <c r="AC169" s="58" t="inlineStr">
        <is>
          <t>Acqua di Parma Blu Mediterraneo Discovery Set | Swansura UK</t>
        </is>
      </c>
      <c r="AD169" s="58">
        <f>LEN(AC169)</f>
        <v/>
      </c>
      <c r="AE169" s="58" t="inlineStr">
        <is>
          <t>Buy Acqua di Parma Blu Mediterraneo Discovery Set 3x12ml online in the UK at Swansura. An amber unisex fragrance. 100% authentic, free UK delivery over £50.</t>
        </is>
      </c>
      <c r="AF169" s="58">
        <f>LEN(AE169)</f>
        <v/>
      </c>
    </row>
    <row r="170" ht="15" customHeight="1" s="37">
      <c r="A170" s="58" t="inlineStr">
        <is>
          <t>FR-010</t>
        </is>
      </c>
      <c r="B170" s="58" t="inlineStr">
        <is>
          <t>Fragrance Catalogue</t>
        </is>
      </c>
      <c r="C170" s="58" t="n">
        <v>10</v>
      </c>
      <c r="D170" s="58" t="inlineStr">
        <is>
          <t>Acqua di Parma</t>
        </is>
      </c>
      <c r="E170" s="58" t="n"/>
      <c r="F170" s="58" t="inlineStr">
        <is>
          <t>Gift Set</t>
        </is>
      </c>
      <c r="G170" s="58" t="inlineStr">
        <is>
          <t>Eau de Parfum (EDP)</t>
        </is>
      </c>
      <c r="H170" s="58" t="inlineStr">
        <is>
          <t>Amber · Unisex Fragrance</t>
        </is>
      </c>
      <c r="I170" s="58" t="inlineStr">
        <is>
          <t>Acqua di Parma Holiday Discovery Set EDP 3x12ml</t>
        </is>
      </c>
      <c r="J170" s="58" t="inlineStr">
        <is>
          <t>Not specified</t>
        </is>
      </c>
      <c r="K170" s="58" t="n">
        <v>65.98999999999999</v>
      </c>
      <c r="L170" s="58" t="inlineStr">
        <is>
          <t>acqua di parma holiday discovery set</t>
        </is>
      </c>
      <c r="M170" s="58" t="inlineStr">
        <is>
          <t>acqua di parma holiday discovery set uk</t>
        </is>
      </c>
      <c r="N170" s="58" t="inlineStr">
        <is>
          <t>buy acqua di parma holiday discovery set online</t>
        </is>
      </c>
      <c r="O170" s="58" t="inlineStr">
        <is>
          <t>acqua di parma holiday discovery set price</t>
        </is>
      </c>
      <c r="P170" s="58" t="n"/>
      <c r="Q170" s="59">
        <f>IF(L170="","",IFERROR(INDEX('Semrush Data'!$A$1:$Z$20000,MATCH(L170,'Semrush Data'!$A$1:$A$20000,0),MATCH("Volume",'Semrush Data'!$A$1:$Z$1,0)),""))</f>
        <v/>
      </c>
      <c r="R170" s="59">
        <f>IF(M170="","",IFERROR(INDEX('Semrush Data'!$A$1:$Z$20000,MATCH(M170,'Semrush Data'!$A$1:$A$20000,0),MATCH("Volume",'Semrush Data'!$A$1:$Z$1,0)),""))</f>
        <v/>
      </c>
      <c r="S170" s="59">
        <f>IF(N170="","",IFERROR(INDEX('Semrush Data'!$A$1:$Z$20000,MATCH(N170,'Semrush Data'!$A$1:$A$20000,0),MATCH("Volume",'Semrush Data'!$A$1:$Z$1,0)),""))</f>
        <v/>
      </c>
      <c r="T170" s="59">
        <f>IF(O170="","",IFERROR(INDEX('Semrush Data'!$A$1:$Z$20000,MATCH(O170,'Semrush Data'!$A$1:$A$20000,0),MATCH("Volume",'Semrush Data'!$A$1:$Z$1,0)),""))</f>
        <v/>
      </c>
      <c r="U170" s="59">
        <f>IF(P170="","",IFERROR(INDEX('Semrush Data'!$A$1:$Z$20000,MATCH(P170,'Semrush Data'!$A$1:$A$20000,0),MATCH("Volume",'Semrush Data'!$A$1:$Z$1,0)),""))</f>
        <v/>
      </c>
      <c r="V170" s="60">
        <f>IF(COUNT(Q170:U170)=0,L170,IF(MAX(Q170:U170)=0,L170,INDEX(L170:P170,MATCH(MAX(Q170:U170),Q170:U170,0))))</f>
        <v/>
      </c>
      <c r="W170" s="59">
        <f>IFERROR(INDEX('Semrush Data'!$A$1:$Z$20000,MATCH(V170,'Semrush Data'!$A$1:$A$20000,0),MATCH("Volume",'Semrush Data'!$A$1:$Z$1,0)),"")</f>
        <v/>
      </c>
      <c r="X170" s="59">
        <f>IFERROR(INDEX('Semrush Data'!$A$1:$Z$20000,MATCH(V170,'Semrush Data'!$A$1:$A$20000,0),MATCH("Keyword Difficulty*",'Semrush Data'!$A$1:$Z$1,0)),"")</f>
        <v/>
      </c>
      <c r="Y170" s="61">
        <f>IFERROR(INDEX('Semrush Data'!$A$1:$Z$20000,MATCH(V170,'Semrush Data'!$A$1:$A$20000,0),MATCH("CPC*",'Semrush Data'!$A$1:$Z$1,0)),"")</f>
        <v/>
      </c>
      <c r="Z170" s="58" t="inlineStr">
        <is>
          <t>acqua di parma perfume · amber perfume uk</t>
        </is>
      </c>
      <c r="AA170" s="58" t="n"/>
      <c r="AB170" s="58" t="inlineStr">
        <is>
          <t>Acqua di Parma Holiday Discovery Set EDP 3x12ml</t>
        </is>
      </c>
      <c r="AC170" s="58" t="inlineStr">
        <is>
          <t>Acqua di Parma Holiday Discovery Set 3x12ml | Swansura UK</t>
        </is>
      </c>
      <c r="AD170" s="58">
        <f>LEN(AC170)</f>
        <v/>
      </c>
      <c r="AE170" s="58" t="inlineStr">
        <is>
          <t>Buy Acqua di Parma Holiday Discovery Set EDP 3x12ml online in the UK at Swansura. An amber unisex eau de parfum. 100% authentic, free UK delivery over £50.</t>
        </is>
      </c>
      <c r="AF170" s="58">
        <f>LEN(AE170)</f>
        <v/>
      </c>
    </row>
    <row r="171" ht="15" customHeight="1" s="37">
      <c r="A171" s="58" t="inlineStr">
        <is>
          <t>FR-011</t>
        </is>
      </c>
      <c r="B171" s="58" t="inlineStr">
        <is>
          <t>Fragrance Catalogue</t>
        </is>
      </c>
      <c r="C171" s="58" t="n">
        <v>11</v>
      </c>
      <c r="D171" s="58" t="inlineStr">
        <is>
          <t>Al Haramain</t>
        </is>
      </c>
      <c r="E171" s="58" t="n"/>
      <c r="F171" s="58" t="inlineStr">
        <is>
          <t>Fragrance</t>
        </is>
      </c>
      <c r="G171" s="58" t="inlineStr">
        <is>
          <t>Eau de Parfum (EDP)</t>
        </is>
      </c>
      <c r="H171" s="58" t="inlineStr">
        <is>
          <t>Amber · Unisex Fragrance</t>
        </is>
      </c>
      <c r="I171" s="58" t="inlineStr">
        <is>
          <t>Al Haramain Amber Musk Eau de Parfum 100ml – Luxury Unisex Amber Musk Fragrance</t>
        </is>
      </c>
      <c r="J171" s="58" t="inlineStr">
        <is>
          <t>100ml</t>
        </is>
      </c>
      <c r="K171" s="58" t="n">
        <v>39.99</v>
      </c>
      <c r="L171" s="58" t="inlineStr">
        <is>
          <t>al haramain amber musk</t>
        </is>
      </c>
      <c r="M171" s="58" t="inlineStr">
        <is>
          <t>al haramain amber musk uk</t>
        </is>
      </c>
      <c r="N171" s="58" t="inlineStr">
        <is>
          <t>buy al haramain amber musk online</t>
        </is>
      </c>
      <c r="O171" s="58" t="inlineStr">
        <is>
          <t>al haramain amber musk price</t>
        </is>
      </c>
      <c r="P171" s="58" t="inlineStr">
        <is>
          <t>al haramain amber musk eau de parfum</t>
        </is>
      </c>
      <c r="Q171" s="59">
        <f>IF(L171="","",IFERROR(INDEX('Semrush Data'!$A$1:$Z$20000,MATCH(L171,'Semrush Data'!$A$1:$A$20000,0),MATCH("Volume",'Semrush Data'!$A$1:$Z$1,0)),""))</f>
        <v/>
      </c>
      <c r="R171" s="59">
        <f>IF(M171="","",IFERROR(INDEX('Semrush Data'!$A$1:$Z$20000,MATCH(M171,'Semrush Data'!$A$1:$A$20000,0),MATCH("Volume",'Semrush Data'!$A$1:$Z$1,0)),""))</f>
        <v/>
      </c>
      <c r="S171" s="59">
        <f>IF(N171="","",IFERROR(INDEX('Semrush Data'!$A$1:$Z$20000,MATCH(N171,'Semrush Data'!$A$1:$A$20000,0),MATCH("Volume",'Semrush Data'!$A$1:$Z$1,0)),""))</f>
        <v/>
      </c>
      <c r="T171" s="59">
        <f>IF(O171="","",IFERROR(INDEX('Semrush Data'!$A$1:$Z$20000,MATCH(O171,'Semrush Data'!$A$1:$A$20000,0),MATCH("Volume",'Semrush Data'!$A$1:$Z$1,0)),""))</f>
        <v/>
      </c>
      <c r="U171" s="59">
        <f>IF(P171="","",IFERROR(INDEX('Semrush Data'!$A$1:$Z$20000,MATCH(P171,'Semrush Data'!$A$1:$A$20000,0),MATCH("Volume",'Semrush Data'!$A$1:$Z$1,0)),""))</f>
        <v/>
      </c>
      <c r="V171" s="60">
        <f>IF(COUNT(Q171:U171)=0,L171,IF(MAX(Q171:U171)=0,L171,INDEX(L171:P171,MATCH(MAX(Q171:U171),Q171:U171,0))))</f>
        <v/>
      </c>
      <c r="W171" s="59">
        <f>IFERROR(INDEX('Semrush Data'!$A$1:$Z$20000,MATCH(V171,'Semrush Data'!$A$1:$A$20000,0),MATCH("Volume",'Semrush Data'!$A$1:$Z$1,0)),"")</f>
        <v/>
      </c>
      <c r="X171" s="59">
        <f>IFERROR(INDEX('Semrush Data'!$A$1:$Z$20000,MATCH(V171,'Semrush Data'!$A$1:$A$20000,0),MATCH("Keyword Difficulty*",'Semrush Data'!$A$1:$Z$1,0)),"")</f>
        <v/>
      </c>
      <c r="Y171" s="61">
        <f>IFERROR(INDEX('Semrush Data'!$A$1:$Z$20000,MATCH(V171,'Semrush Data'!$A$1:$A$20000,0),MATCH("CPC*",'Semrush Data'!$A$1:$Z$1,0)),"")</f>
        <v/>
      </c>
      <c r="Z171" s="58" t="inlineStr">
        <is>
          <t>al haramain perfume · amber perfume uk</t>
        </is>
      </c>
      <c r="AA171" s="58" t="inlineStr">
        <is>
          <t>al haramain amber musk eau de parfum · al haramain amber musk dupe of · al haramain amber musk perfume · al haramain amber musk review · al haramain amber musk edp · al haramain amber musk notes</t>
        </is>
      </c>
      <c r="AB171" s="58" t="inlineStr">
        <is>
          <t>Al Haramain Amber Musk Eau de Parfum</t>
        </is>
      </c>
      <c r="AC171" s="58" t="inlineStr">
        <is>
          <t>Al Haramain Amber Musk EDP 100ml | Buy Online UK | Swansura</t>
        </is>
      </c>
      <c r="AD171" s="58">
        <f>LEN(AC171)</f>
        <v/>
      </c>
      <c r="AE171" s="58" t="inlineStr">
        <is>
          <t>Buy Al Haramain Amber Musk Eau de Parfum online in the UK at Swansura. An amber unisex eau de parfum, 100ml. 100% authentic, fast UK delivery, free over £50.</t>
        </is>
      </c>
      <c r="AF171" s="58">
        <f>LEN(AE171)</f>
        <v/>
      </c>
    </row>
    <row r="172" ht="15" customHeight="1" s="37">
      <c r="A172" s="58" t="inlineStr">
        <is>
          <t>FR-012</t>
        </is>
      </c>
      <c r="B172" s="58" t="inlineStr">
        <is>
          <t>Fragrance Catalogue</t>
        </is>
      </c>
      <c r="C172" s="58" t="n">
        <v>12</v>
      </c>
      <c r="D172" s="58" t="inlineStr">
        <is>
          <t>Al Haramain</t>
        </is>
      </c>
      <c r="E172" s="58" t="n"/>
      <c r="F172" s="58" t="inlineStr">
        <is>
          <t>Fragrance</t>
        </is>
      </c>
      <c r="G172" s="58" t="inlineStr">
        <is>
          <t>Eau de Parfum (EDP)</t>
        </is>
      </c>
      <c r="H172" s="58" t="inlineStr">
        <is>
          <t>Woody · Unisex Fragrance</t>
        </is>
      </c>
      <c r="I172" s="58" t="inlineStr">
        <is>
          <t>Al Haramain Amber Oud Black Edition Eau de Parfum 100ml – Luxury Unisex Woody Amber Fragrance</t>
        </is>
      </c>
      <c r="J172" s="58" t="inlineStr">
        <is>
          <t>100ml</t>
        </is>
      </c>
      <c r="K172" s="58" t="n">
        <v>41.99</v>
      </c>
      <c r="L172" s="58" t="inlineStr">
        <is>
          <t>al haramain amber oud black edition</t>
        </is>
      </c>
      <c r="M172" s="58" t="inlineStr">
        <is>
          <t>al haramain amber oud black edition uk</t>
        </is>
      </c>
      <c r="N172" s="58" t="inlineStr">
        <is>
          <t>buy al haramain amber oud black edition online</t>
        </is>
      </c>
      <c r="O172" s="58" t="inlineStr">
        <is>
          <t>al haramain amber oud black edition price</t>
        </is>
      </c>
      <c r="P172" s="58" t="inlineStr">
        <is>
          <t>al haramain amber oud black edition eau de parfum</t>
        </is>
      </c>
      <c r="Q172" s="59">
        <f>IF(L172="","",IFERROR(INDEX('Semrush Data'!$A$1:$Z$20000,MATCH(L172,'Semrush Data'!$A$1:$A$20000,0),MATCH("Volume",'Semrush Data'!$A$1:$Z$1,0)),""))</f>
        <v/>
      </c>
      <c r="R172" s="59">
        <f>IF(M172="","",IFERROR(INDEX('Semrush Data'!$A$1:$Z$20000,MATCH(M172,'Semrush Data'!$A$1:$A$20000,0),MATCH("Volume",'Semrush Data'!$A$1:$Z$1,0)),""))</f>
        <v/>
      </c>
      <c r="S172" s="59">
        <f>IF(N172="","",IFERROR(INDEX('Semrush Data'!$A$1:$Z$20000,MATCH(N172,'Semrush Data'!$A$1:$A$20000,0),MATCH("Volume",'Semrush Data'!$A$1:$Z$1,0)),""))</f>
        <v/>
      </c>
      <c r="T172" s="59">
        <f>IF(O172="","",IFERROR(INDEX('Semrush Data'!$A$1:$Z$20000,MATCH(O172,'Semrush Data'!$A$1:$A$20000,0),MATCH("Volume",'Semrush Data'!$A$1:$Z$1,0)),""))</f>
        <v/>
      </c>
      <c r="U172" s="59">
        <f>IF(P172="","",IFERROR(INDEX('Semrush Data'!$A$1:$Z$20000,MATCH(P172,'Semrush Data'!$A$1:$A$20000,0),MATCH("Volume",'Semrush Data'!$A$1:$Z$1,0)),""))</f>
        <v/>
      </c>
      <c r="V172" s="60">
        <f>IF(COUNT(Q172:U172)=0,L172,IF(MAX(Q172:U172)=0,L172,INDEX(L172:P172,MATCH(MAX(Q172:U172),Q172:U172,0))))</f>
        <v/>
      </c>
      <c r="W172" s="59">
        <f>IFERROR(INDEX('Semrush Data'!$A$1:$Z$20000,MATCH(V172,'Semrush Data'!$A$1:$A$20000,0),MATCH("Volume",'Semrush Data'!$A$1:$Z$1,0)),"")</f>
        <v/>
      </c>
      <c r="X172" s="59">
        <f>IFERROR(INDEX('Semrush Data'!$A$1:$Z$20000,MATCH(V172,'Semrush Data'!$A$1:$A$20000,0),MATCH("Keyword Difficulty*",'Semrush Data'!$A$1:$Z$1,0)),"")</f>
        <v/>
      </c>
      <c r="Y172" s="61">
        <f>IFERROR(INDEX('Semrush Data'!$A$1:$Z$20000,MATCH(V172,'Semrush Data'!$A$1:$A$20000,0),MATCH("CPC*",'Semrush Data'!$A$1:$Z$1,0)),"")</f>
        <v/>
      </c>
      <c r="Z172" s="58" t="inlineStr">
        <is>
          <t>al haramain perfume · woody perfume uk</t>
        </is>
      </c>
      <c r="AA172" s="58" t="inlineStr">
        <is>
          <t>al haramain amber oud black edition dupe of · al haramain amber oud black edition smells like · al haramain amber oud black edition review · al haramain amber oud black edition notes · al haramain amber oud black edition 200ml · al haramain amber oud black edition eau de parfum</t>
        </is>
      </c>
      <c r="AB172" s="58" t="inlineStr">
        <is>
          <t>Al Haramain Amber Oud Black Edition Eau de Parfum</t>
        </is>
      </c>
      <c r="AC172" s="58" t="inlineStr">
        <is>
          <t>Al Haramain Amber Oud Black Edition EDP 100ml | Swansura UK</t>
        </is>
      </c>
      <c r="AD172" s="58">
        <f>LEN(AC172)</f>
        <v/>
      </c>
      <c r="AE172" s="58" t="inlineStr">
        <is>
          <t>Buy Al Haramain Amber Oud Black Edition Eau de Parfum online in the UK at Swansura. A woody unisex eau de parfum. 100% authentic, free UK delivery over £50.</t>
        </is>
      </c>
      <c r="AF172" s="58">
        <f>LEN(AE172)</f>
        <v/>
      </c>
    </row>
    <row r="173" ht="15" customHeight="1" s="37">
      <c r="A173" s="58" t="inlineStr">
        <is>
          <t>FR-013</t>
        </is>
      </c>
      <c r="B173" s="58" t="inlineStr">
        <is>
          <t>Fragrance Catalogue</t>
        </is>
      </c>
      <c r="C173" s="58" t="n">
        <v>13</v>
      </c>
      <c r="D173" s="58" t="inlineStr">
        <is>
          <t>Al Haramain</t>
        </is>
      </c>
      <c r="E173" s="58" t="n"/>
      <c r="F173" s="58" t="inlineStr">
        <is>
          <t>Fragrance</t>
        </is>
      </c>
      <c r="G173" s="58" t="inlineStr">
        <is>
          <t>Eau de Parfum (EDP)</t>
        </is>
      </c>
      <c r="H173" s="58" t="inlineStr">
        <is>
          <t>Woody · Unisex Fragrance</t>
        </is>
      </c>
      <c r="I173" s="58" t="inlineStr">
        <is>
          <t>Al Haramain Amber Oud Bleu Edition Eau de Parfum – Luxury Unisex Fresh Woody Fragrance</t>
        </is>
      </c>
      <c r="J173" s="58" t="inlineStr">
        <is>
          <t>60ml</t>
        </is>
      </c>
      <c r="K173" s="58" t="n">
        <v>35.99</v>
      </c>
      <c r="L173" s="58" t="inlineStr">
        <is>
          <t>al haramain amber oud bleu edition</t>
        </is>
      </c>
      <c r="M173" s="58" t="inlineStr">
        <is>
          <t>al haramain amber oud bleu edition uk</t>
        </is>
      </c>
      <c r="N173" s="58" t="inlineStr">
        <is>
          <t>buy al haramain amber oud bleu edition online</t>
        </is>
      </c>
      <c r="O173" s="58" t="inlineStr">
        <is>
          <t>al haramain amber oud bleu edition price</t>
        </is>
      </c>
      <c r="P173" s="58" t="inlineStr">
        <is>
          <t>al haramain amber oud bleu edition eau de parfum</t>
        </is>
      </c>
      <c r="Q173" s="59">
        <f>IF(L173="","",IFERROR(INDEX('Semrush Data'!$A$1:$Z$20000,MATCH(L173,'Semrush Data'!$A$1:$A$20000,0),MATCH("Volume",'Semrush Data'!$A$1:$Z$1,0)),""))</f>
        <v/>
      </c>
      <c r="R173" s="59">
        <f>IF(M173="","",IFERROR(INDEX('Semrush Data'!$A$1:$Z$20000,MATCH(M173,'Semrush Data'!$A$1:$A$20000,0),MATCH("Volume",'Semrush Data'!$A$1:$Z$1,0)),""))</f>
        <v/>
      </c>
      <c r="S173" s="59">
        <f>IF(N173="","",IFERROR(INDEX('Semrush Data'!$A$1:$Z$20000,MATCH(N173,'Semrush Data'!$A$1:$A$20000,0),MATCH("Volume",'Semrush Data'!$A$1:$Z$1,0)),""))</f>
        <v/>
      </c>
      <c r="T173" s="59">
        <f>IF(O173="","",IFERROR(INDEX('Semrush Data'!$A$1:$Z$20000,MATCH(O173,'Semrush Data'!$A$1:$A$20000,0),MATCH("Volume",'Semrush Data'!$A$1:$Z$1,0)),""))</f>
        <v/>
      </c>
      <c r="U173" s="59">
        <f>IF(P173="","",IFERROR(INDEX('Semrush Data'!$A$1:$Z$20000,MATCH(P173,'Semrush Data'!$A$1:$A$20000,0),MATCH("Volume",'Semrush Data'!$A$1:$Z$1,0)),""))</f>
        <v/>
      </c>
      <c r="V173" s="60">
        <f>IF(COUNT(Q173:U173)=0,L173,IF(MAX(Q173:U173)=0,L173,INDEX(L173:P173,MATCH(MAX(Q173:U173),Q173:U173,0))))</f>
        <v/>
      </c>
      <c r="W173" s="59">
        <f>IFERROR(INDEX('Semrush Data'!$A$1:$Z$20000,MATCH(V173,'Semrush Data'!$A$1:$A$20000,0),MATCH("Volume",'Semrush Data'!$A$1:$Z$1,0)),"")</f>
        <v/>
      </c>
      <c r="X173" s="59">
        <f>IFERROR(INDEX('Semrush Data'!$A$1:$Z$20000,MATCH(V173,'Semrush Data'!$A$1:$A$20000,0),MATCH("Keyword Difficulty*",'Semrush Data'!$A$1:$Z$1,0)),"")</f>
        <v/>
      </c>
      <c r="Y173" s="61">
        <f>IFERROR(INDEX('Semrush Data'!$A$1:$Z$20000,MATCH(V173,'Semrush Data'!$A$1:$A$20000,0),MATCH("CPC*",'Semrush Data'!$A$1:$Z$1,0)),"")</f>
        <v/>
      </c>
      <c r="Z173" s="58" t="inlineStr">
        <is>
          <t>al haramain perfume · woody perfume uk</t>
        </is>
      </c>
      <c r="AA173" s="58" t="inlineStr">
        <is>
          <t>al haramain amber oud bleu edition dupe of · al haramain amber oud bleu edition eau de parfum · al haramain amber oud bleu edition 200ml · al haramain amber oud bleu edition review · al haramain amber oud bleu edition edp · al haramain amber oud bleu edition 100ml</t>
        </is>
      </c>
      <c r="AB173" s="58" t="inlineStr">
        <is>
          <t>Al Haramain Amber Oud Bleu Edition Eau de Parfum</t>
        </is>
      </c>
      <c r="AC173" s="58" t="inlineStr">
        <is>
          <t>Al Haramain Amber Oud Bleu Edition EDP 60ml | Swansura UK</t>
        </is>
      </c>
      <c r="AD173" s="58">
        <f>LEN(AC173)</f>
        <v/>
      </c>
      <c r="AE173" s="58" t="inlineStr">
        <is>
          <t>Buy Al Haramain Amber Oud Bleu Edition Eau de Parfum online in the UK at Swansura. A woody unisex eau de parfum. 100% authentic, free UK delivery over £50.</t>
        </is>
      </c>
      <c r="AF173" s="58">
        <f>LEN(AE173)</f>
        <v/>
      </c>
    </row>
    <row r="174" ht="15" customHeight="1" s="37">
      <c r="A174" s="58" t="inlineStr">
        <is>
          <t>FR-014</t>
        </is>
      </c>
      <c r="B174" s="58" t="inlineStr">
        <is>
          <t>Fragrance Catalogue</t>
        </is>
      </c>
      <c r="C174" s="58" t="n">
        <v>14</v>
      </c>
      <c r="D174" s="58" t="inlineStr">
        <is>
          <t>Al Haramain</t>
        </is>
      </c>
      <c r="E174" s="58" t="n"/>
      <c r="F174" s="58" t="inlineStr">
        <is>
          <t>Fragrance</t>
        </is>
      </c>
      <c r="G174" s="58" t="inlineStr">
        <is>
          <t>Eau de Parfum (EDP)</t>
        </is>
      </c>
      <c r="H174" s="58" t="inlineStr">
        <is>
          <t>Woody · Men's Fragrance</t>
        </is>
      </c>
      <c r="I174" s="58" t="inlineStr">
        <is>
          <t>Al Haramain Amber Oud Carbon Edition Eau de Parfum – Men's Fresh Woody Fragrance</t>
        </is>
      </c>
      <c r="J174" s="58" t="inlineStr">
        <is>
          <t>60ml</t>
        </is>
      </c>
      <c r="K174" s="58" t="n">
        <v>34.99</v>
      </c>
      <c r="L174" s="58" t="inlineStr">
        <is>
          <t>al haramain amber oud carbon edition</t>
        </is>
      </c>
      <c r="M174" s="58" t="inlineStr">
        <is>
          <t>al haramain amber oud carbon edition uk</t>
        </is>
      </c>
      <c r="N174" s="58" t="inlineStr">
        <is>
          <t>buy al haramain amber oud carbon edition online</t>
        </is>
      </c>
      <c r="O174" s="58" t="inlineStr">
        <is>
          <t>al haramain amber oud carbon edition price</t>
        </is>
      </c>
      <c r="P174" s="58" t="inlineStr">
        <is>
          <t>al haramain amber oud carbon edition eau de parfum</t>
        </is>
      </c>
      <c r="Q174" s="59">
        <f>IF(L174="","",IFERROR(INDEX('Semrush Data'!$A$1:$Z$20000,MATCH(L174,'Semrush Data'!$A$1:$A$20000,0),MATCH("Volume",'Semrush Data'!$A$1:$Z$1,0)),""))</f>
        <v/>
      </c>
      <c r="R174" s="59">
        <f>IF(M174="","",IFERROR(INDEX('Semrush Data'!$A$1:$Z$20000,MATCH(M174,'Semrush Data'!$A$1:$A$20000,0),MATCH("Volume",'Semrush Data'!$A$1:$Z$1,0)),""))</f>
        <v/>
      </c>
      <c r="S174" s="59">
        <f>IF(N174="","",IFERROR(INDEX('Semrush Data'!$A$1:$Z$20000,MATCH(N174,'Semrush Data'!$A$1:$A$20000,0),MATCH("Volume",'Semrush Data'!$A$1:$Z$1,0)),""))</f>
        <v/>
      </c>
      <c r="T174" s="59">
        <f>IF(O174="","",IFERROR(INDEX('Semrush Data'!$A$1:$Z$20000,MATCH(O174,'Semrush Data'!$A$1:$A$20000,0),MATCH("Volume",'Semrush Data'!$A$1:$Z$1,0)),""))</f>
        <v/>
      </c>
      <c r="U174" s="59">
        <f>IF(P174="","",IFERROR(INDEX('Semrush Data'!$A$1:$Z$20000,MATCH(P174,'Semrush Data'!$A$1:$A$20000,0),MATCH("Volume",'Semrush Data'!$A$1:$Z$1,0)),""))</f>
        <v/>
      </c>
      <c r="V174" s="60">
        <f>IF(COUNT(Q174:U174)=0,L174,IF(MAX(Q174:U174)=0,L174,INDEX(L174:P174,MATCH(MAX(Q174:U174),Q174:U174,0))))</f>
        <v/>
      </c>
      <c r="W174" s="59">
        <f>IFERROR(INDEX('Semrush Data'!$A$1:$Z$20000,MATCH(V174,'Semrush Data'!$A$1:$A$20000,0),MATCH("Volume",'Semrush Data'!$A$1:$Z$1,0)),"")</f>
        <v/>
      </c>
      <c r="X174" s="59">
        <f>IFERROR(INDEX('Semrush Data'!$A$1:$Z$20000,MATCH(V174,'Semrush Data'!$A$1:$A$20000,0),MATCH("Keyword Difficulty*",'Semrush Data'!$A$1:$Z$1,0)),"")</f>
        <v/>
      </c>
      <c r="Y174" s="61">
        <f>IFERROR(INDEX('Semrush Data'!$A$1:$Z$20000,MATCH(V174,'Semrush Data'!$A$1:$A$20000,0),MATCH("CPC*",'Semrush Data'!$A$1:$Z$1,0)),"")</f>
        <v/>
      </c>
      <c r="Z174" s="58" t="inlineStr">
        <is>
          <t>al haramain perfume · al haramain perfume for men · woody perfume for men uk</t>
        </is>
      </c>
      <c r="AA174" s="58" t="inlineStr">
        <is>
          <t>al haramain amber oud carbon edition dupe of · al haramain amber oud carbon edition review · al haramain amber oud carbon edition 200ml · al haramain amber oud carbon edition notes · al haramain amber oud carbon edition eau de parfum · al haramain amber oud carbon edition edp</t>
        </is>
      </c>
      <c r="AB174" s="58" t="inlineStr">
        <is>
          <t>Al Haramain Amber Oud Carbon Edition Eau de Parfum</t>
        </is>
      </c>
      <c r="AC174" s="58" t="inlineStr">
        <is>
          <t>Al Haramain Amber Oud Carbon Edition EDP 60ml | Swansura UK</t>
        </is>
      </c>
      <c r="AD174" s="58">
        <f>LEN(AC174)</f>
        <v/>
      </c>
      <c r="AE174" s="58" t="inlineStr">
        <is>
          <t>Buy Al Haramain Amber Oud Carbon Edition Eau de Parfum online in the UK at Swansura. A woody men's eau de parfum. 100% authentic, free UK delivery over £50.</t>
        </is>
      </c>
      <c r="AF174" s="58">
        <f>LEN(AE174)</f>
        <v/>
      </c>
    </row>
    <row r="175" ht="15" customHeight="1" s="37">
      <c r="A175" s="58" t="inlineStr">
        <is>
          <t>FR-015</t>
        </is>
      </c>
      <c r="B175" s="58" t="inlineStr">
        <is>
          <t>Fragrance Catalogue</t>
        </is>
      </c>
      <c r="C175" s="58" t="n">
        <v>15</v>
      </c>
      <c r="D175" s="58" t="inlineStr">
        <is>
          <t>Al Haramain</t>
        </is>
      </c>
      <c r="E175" s="58" t="n"/>
      <c r="F175" s="58" t="inlineStr">
        <is>
          <t>Fragrance</t>
        </is>
      </c>
      <c r="G175" s="58" t="inlineStr">
        <is>
          <t>Eau de Parfum (EDP)</t>
        </is>
      </c>
      <c r="H175" s="58" t="inlineStr">
        <is>
          <t>Woody · Unisex Fragrance</t>
        </is>
      </c>
      <c r="I175" s="58" t="inlineStr">
        <is>
          <t>Al Haramain Amber Oud Eau de Parfum 60ml – Luxury Unisex Amber Woody Fragrance</t>
        </is>
      </c>
      <c r="J175" s="58" t="inlineStr">
        <is>
          <t>60ml</t>
        </is>
      </c>
      <c r="K175" s="58" t="n">
        <v>34.99</v>
      </c>
      <c r="L175" s="58" t="inlineStr">
        <is>
          <t>al haramain amber oud</t>
        </is>
      </c>
      <c r="M175" s="58" t="inlineStr">
        <is>
          <t>al haramain amber oud uk</t>
        </is>
      </c>
      <c r="N175" s="58" t="inlineStr">
        <is>
          <t>buy al haramain amber oud online</t>
        </is>
      </c>
      <c r="O175" s="58" t="inlineStr">
        <is>
          <t>al haramain amber oud price</t>
        </is>
      </c>
      <c r="P175" s="58" t="inlineStr">
        <is>
          <t>al haramain amber oud eau de parfum</t>
        </is>
      </c>
      <c r="Q175" s="59">
        <f>IF(L175="","",IFERROR(INDEX('Semrush Data'!$A$1:$Z$20000,MATCH(L175,'Semrush Data'!$A$1:$A$20000,0),MATCH("Volume",'Semrush Data'!$A$1:$Z$1,0)),""))</f>
        <v/>
      </c>
      <c r="R175" s="59">
        <f>IF(M175="","",IFERROR(INDEX('Semrush Data'!$A$1:$Z$20000,MATCH(M175,'Semrush Data'!$A$1:$A$20000,0),MATCH("Volume",'Semrush Data'!$A$1:$Z$1,0)),""))</f>
        <v/>
      </c>
      <c r="S175" s="59">
        <f>IF(N175="","",IFERROR(INDEX('Semrush Data'!$A$1:$Z$20000,MATCH(N175,'Semrush Data'!$A$1:$A$20000,0),MATCH("Volume",'Semrush Data'!$A$1:$Z$1,0)),""))</f>
        <v/>
      </c>
      <c r="T175" s="59">
        <f>IF(O175="","",IFERROR(INDEX('Semrush Data'!$A$1:$Z$20000,MATCH(O175,'Semrush Data'!$A$1:$A$20000,0),MATCH("Volume",'Semrush Data'!$A$1:$Z$1,0)),""))</f>
        <v/>
      </c>
      <c r="U175" s="59">
        <f>IF(P175="","",IFERROR(INDEX('Semrush Data'!$A$1:$Z$20000,MATCH(P175,'Semrush Data'!$A$1:$A$20000,0),MATCH("Volume",'Semrush Data'!$A$1:$Z$1,0)),""))</f>
        <v/>
      </c>
      <c r="V175" s="60">
        <f>IF(COUNT(Q175:U175)=0,L175,IF(MAX(Q175:U175)=0,L175,INDEX(L175:P175,MATCH(MAX(Q175:U175),Q175:U175,0))))</f>
        <v/>
      </c>
      <c r="W175" s="59">
        <f>IFERROR(INDEX('Semrush Data'!$A$1:$Z$20000,MATCH(V175,'Semrush Data'!$A$1:$A$20000,0),MATCH("Volume",'Semrush Data'!$A$1:$Z$1,0)),"")</f>
        <v/>
      </c>
      <c r="X175" s="59">
        <f>IFERROR(INDEX('Semrush Data'!$A$1:$Z$20000,MATCH(V175,'Semrush Data'!$A$1:$A$20000,0),MATCH("Keyword Difficulty*",'Semrush Data'!$A$1:$Z$1,0)),"")</f>
        <v/>
      </c>
      <c r="Y175" s="61">
        <f>IFERROR(INDEX('Semrush Data'!$A$1:$Z$20000,MATCH(V175,'Semrush Data'!$A$1:$A$20000,0),MATCH("CPC*",'Semrush Data'!$A$1:$Z$1,0)),"")</f>
        <v/>
      </c>
      <c r="Z175" s="58" t="inlineStr">
        <is>
          <t>al haramain perfume · woody perfume uk</t>
        </is>
      </c>
      <c r="AA175" s="58" t="n"/>
      <c r="AB175" s="58" t="inlineStr">
        <is>
          <t>Al Haramain Amber Oud Eau de Parfum</t>
        </is>
      </c>
      <c r="AC175" s="58" t="inlineStr">
        <is>
          <t>Al Haramain Amber Oud EDP 60ml | Buy Online UK | Swansura</t>
        </is>
      </c>
      <c r="AD175" s="58">
        <f>LEN(AC175)</f>
        <v/>
      </c>
      <c r="AE175" s="58" t="inlineStr">
        <is>
          <t>Buy Al Haramain Amber Oud Eau de Parfum online in the UK at Swansura. A woody unisex eau de parfum, 60ml. 100% authentic, fast UK delivery, free over £50.</t>
        </is>
      </c>
      <c r="AF175" s="58">
        <f>LEN(AE175)</f>
        <v/>
      </c>
    </row>
    <row r="176" ht="15" customHeight="1" s="37">
      <c r="A176" s="58" t="inlineStr">
        <is>
          <t>FR-016</t>
        </is>
      </c>
      <c r="B176" s="58" t="inlineStr">
        <is>
          <t>Fragrance Catalogue</t>
        </is>
      </c>
      <c r="C176" s="58" t="n">
        <v>16</v>
      </c>
      <c r="D176" s="58" t="inlineStr">
        <is>
          <t>Al Haramain</t>
        </is>
      </c>
      <c r="E176" s="58" t="n"/>
      <c r="F176" s="58" t="inlineStr">
        <is>
          <t>Fragrance</t>
        </is>
      </c>
      <c r="G176" s="58" t="inlineStr">
        <is>
          <t>Eau de Parfum (EDP)</t>
        </is>
      </c>
      <c r="H176" s="58" t="inlineStr">
        <is>
          <t>Amber · Unisex Fragrance</t>
        </is>
      </c>
      <c r="I176" s="58" t="inlineStr">
        <is>
          <t>Al Haramain Amber Oud Gold Edition Eau de Parfum – Luxury Unisex Fruity Amber Fragrance</t>
        </is>
      </c>
      <c r="J176" s="58" t="inlineStr">
        <is>
          <t>60ml</t>
        </is>
      </c>
      <c r="K176" s="58" t="n">
        <v>29.99</v>
      </c>
      <c r="L176" s="58" t="inlineStr">
        <is>
          <t>al haramain amber oud gold edition</t>
        </is>
      </c>
      <c r="M176" s="58" t="inlineStr">
        <is>
          <t>al haramain amber oud gold edition uk</t>
        </is>
      </c>
      <c r="N176" s="58" t="inlineStr">
        <is>
          <t>buy al haramain amber oud gold edition online</t>
        </is>
      </c>
      <c r="O176" s="58" t="inlineStr">
        <is>
          <t>al haramain amber oud gold edition price</t>
        </is>
      </c>
      <c r="P176" s="58" t="inlineStr">
        <is>
          <t>al haramain amber oud gold edition eau de parfum</t>
        </is>
      </c>
      <c r="Q176" s="59">
        <f>IF(L176="","",IFERROR(INDEX('Semrush Data'!$A$1:$Z$20000,MATCH(L176,'Semrush Data'!$A$1:$A$20000,0),MATCH("Volume",'Semrush Data'!$A$1:$Z$1,0)),""))</f>
        <v/>
      </c>
      <c r="R176" s="59">
        <f>IF(M176="","",IFERROR(INDEX('Semrush Data'!$A$1:$Z$20000,MATCH(M176,'Semrush Data'!$A$1:$A$20000,0),MATCH("Volume",'Semrush Data'!$A$1:$Z$1,0)),""))</f>
        <v/>
      </c>
      <c r="S176" s="59">
        <f>IF(N176="","",IFERROR(INDEX('Semrush Data'!$A$1:$Z$20000,MATCH(N176,'Semrush Data'!$A$1:$A$20000,0),MATCH("Volume",'Semrush Data'!$A$1:$Z$1,0)),""))</f>
        <v/>
      </c>
      <c r="T176" s="59">
        <f>IF(O176="","",IFERROR(INDEX('Semrush Data'!$A$1:$Z$20000,MATCH(O176,'Semrush Data'!$A$1:$A$20000,0),MATCH("Volume",'Semrush Data'!$A$1:$Z$1,0)),""))</f>
        <v/>
      </c>
      <c r="U176" s="59">
        <f>IF(P176="","",IFERROR(INDEX('Semrush Data'!$A$1:$Z$20000,MATCH(P176,'Semrush Data'!$A$1:$A$20000,0),MATCH("Volume",'Semrush Data'!$A$1:$Z$1,0)),""))</f>
        <v/>
      </c>
      <c r="V176" s="60">
        <f>IF(COUNT(Q176:U176)=0,L176,IF(MAX(Q176:U176)=0,L176,INDEX(L176:P176,MATCH(MAX(Q176:U176),Q176:U176,0))))</f>
        <v/>
      </c>
      <c r="W176" s="59">
        <f>IFERROR(INDEX('Semrush Data'!$A$1:$Z$20000,MATCH(V176,'Semrush Data'!$A$1:$A$20000,0),MATCH("Volume",'Semrush Data'!$A$1:$Z$1,0)),"")</f>
        <v/>
      </c>
      <c r="X176" s="59">
        <f>IFERROR(INDEX('Semrush Data'!$A$1:$Z$20000,MATCH(V176,'Semrush Data'!$A$1:$A$20000,0),MATCH("Keyword Difficulty*",'Semrush Data'!$A$1:$Z$1,0)),"")</f>
        <v/>
      </c>
      <c r="Y176" s="61">
        <f>IFERROR(INDEX('Semrush Data'!$A$1:$Z$20000,MATCH(V176,'Semrush Data'!$A$1:$A$20000,0),MATCH("CPC*",'Semrush Data'!$A$1:$Z$1,0)),"")</f>
        <v/>
      </c>
      <c r="Z176" s="58" t="inlineStr">
        <is>
          <t>al haramain perfume · amber perfume uk</t>
        </is>
      </c>
      <c r="AA176" s="58" t="inlineStr">
        <is>
          <t>al haramain amber oud gold edition dupe of · al haramain amber oud gold edition eau de parfum · al haramain amber oud gold edition 120ml · al haramain amber oud gold edition notes · al haramain amber oud gold edition review · al haramain amber oud gold edition price</t>
        </is>
      </c>
      <c r="AB176" s="58" t="inlineStr">
        <is>
          <t>Al Haramain Amber Oud Gold Edition Eau de Parfum</t>
        </is>
      </c>
      <c r="AC176" s="58" t="inlineStr">
        <is>
          <t>Al Haramain Amber Oud Gold Edition EDP 60ml | Swansura UK</t>
        </is>
      </c>
      <c r="AD176" s="58">
        <f>LEN(AC176)</f>
        <v/>
      </c>
      <c r="AE176" s="58" t="inlineStr">
        <is>
          <t>Buy Al Haramain Amber Oud Gold Edition Eau de Parfum online in the UK at Swansura. An amber unisex eau de parfum. 100% authentic, free UK delivery over £50.</t>
        </is>
      </c>
      <c r="AF176" s="58">
        <f>LEN(AE176)</f>
        <v/>
      </c>
    </row>
    <row r="177" ht="15" customHeight="1" s="37">
      <c r="A177" s="58" t="inlineStr">
        <is>
          <t>FR-017</t>
        </is>
      </c>
      <c r="B177" s="58" t="inlineStr">
        <is>
          <t>Fragrance Catalogue</t>
        </is>
      </c>
      <c r="C177" s="58" t="n">
        <v>17</v>
      </c>
      <c r="D177" s="58" t="inlineStr">
        <is>
          <t>Al Haramain</t>
        </is>
      </c>
      <c r="E177" s="58" t="n"/>
      <c r="F177" s="58" t="inlineStr">
        <is>
          <t>Fragrance</t>
        </is>
      </c>
      <c r="G177" s="58" t="inlineStr">
        <is>
          <t>Eau de Parfum (EDP)</t>
        </is>
      </c>
      <c r="H177" s="58" t="inlineStr">
        <is>
          <t>Floral · Unisex Fragrance</t>
        </is>
      </c>
      <c r="I177" s="58" t="inlineStr">
        <is>
          <t>Al Haramain Amber Oud Ruby Edition Eau de Parfum – Luxury Unisex Amber Floral Fragrance</t>
        </is>
      </c>
      <c r="J177" s="58" t="inlineStr">
        <is>
          <t>60ml</t>
        </is>
      </c>
      <c r="K177" s="58" t="n">
        <v>41.99</v>
      </c>
      <c r="L177" s="58" t="inlineStr">
        <is>
          <t>al haramain amber oud ruby edition</t>
        </is>
      </c>
      <c r="M177" s="58" t="inlineStr">
        <is>
          <t>al haramain amber oud ruby edition uk</t>
        </is>
      </c>
      <c r="N177" s="58" t="inlineStr">
        <is>
          <t>buy al haramain amber oud ruby edition online</t>
        </is>
      </c>
      <c r="O177" s="58" t="inlineStr">
        <is>
          <t>al haramain amber oud ruby edition price</t>
        </is>
      </c>
      <c r="P177" s="58" t="inlineStr">
        <is>
          <t>al haramain amber oud ruby edition eau de parfum</t>
        </is>
      </c>
      <c r="Q177" s="59">
        <f>IF(L177="","",IFERROR(INDEX('Semrush Data'!$A$1:$Z$20000,MATCH(L177,'Semrush Data'!$A$1:$A$20000,0),MATCH("Volume",'Semrush Data'!$A$1:$Z$1,0)),""))</f>
        <v/>
      </c>
      <c r="R177" s="59">
        <f>IF(M177="","",IFERROR(INDEX('Semrush Data'!$A$1:$Z$20000,MATCH(M177,'Semrush Data'!$A$1:$A$20000,0),MATCH("Volume",'Semrush Data'!$A$1:$Z$1,0)),""))</f>
        <v/>
      </c>
      <c r="S177" s="59">
        <f>IF(N177="","",IFERROR(INDEX('Semrush Data'!$A$1:$Z$20000,MATCH(N177,'Semrush Data'!$A$1:$A$20000,0),MATCH("Volume",'Semrush Data'!$A$1:$Z$1,0)),""))</f>
        <v/>
      </c>
      <c r="T177" s="59">
        <f>IF(O177="","",IFERROR(INDEX('Semrush Data'!$A$1:$Z$20000,MATCH(O177,'Semrush Data'!$A$1:$A$20000,0),MATCH("Volume",'Semrush Data'!$A$1:$Z$1,0)),""))</f>
        <v/>
      </c>
      <c r="U177" s="59">
        <f>IF(P177="","",IFERROR(INDEX('Semrush Data'!$A$1:$Z$20000,MATCH(P177,'Semrush Data'!$A$1:$A$20000,0),MATCH("Volume",'Semrush Data'!$A$1:$Z$1,0)),""))</f>
        <v/>
      </c>
      <c r="V177" s="60">
        <f>IF(COUNT(Q177:U177)=0,L177,IF(MAX(Q177:U177)=0,L177,INDEX(L177:P177,MATCH(MAX(Q177:U177),Q177:U177,0))))</f>
        <v/>
      </c>
      <c r="W177" s="59">
        <f>IFERROR(INDEX('Semrush Data'!$A$1:$Z$20000,MATCH(V177,'Semrush Data'!$A$1:$A$20000,0),MATCH("Volume",'Semrush Data'!$A$1:$Z$1,0)),"")</f>
        <v/>
      </c>
      <c r="X177" s="59">
        <f>IFERROR(INDEX('Semrush Data'!$A$1:$Z$20000,MATCH(V177,'Semrush Data'!$A$1:$A$20000,0),MATCH("Keyword Difficulty*",'Semrush Data'!$A$1:$Z$1,0)),"")</f>
        <v/>
      </c>
      <c r="Y177" s="61">
        <f>IFERROR(INDEX('Semrush Data'!$A$1:$Z$20000,MATCH(V177,'Semrush Data'!$A$1:$A$20000,0),MATCH("CPC*",'Semrush Data'!$A$1:$Z$1,0)),"")</f>
        <v/>
      </c>
      <c r="Z177" s="58" t="inlineStr">
        <is>
          <t>al haramain perfume · floral perfume uk</t>
        </is>
      </c>
      <c r="AA177" s="58" t="inlineStr">
        <is>
          <t>al haramain amber oud ruby edition dupe of · al haramain amber oud ruby edition eau de parfum · al haramain amber oud ruby edition review · al haramain amber oud ruby edition 100 ml · al haramain amber oud ruby edition 200ml · al haramain amber oud ruby edition edp</t>
        </is>
      </c>
      <c r="AB177" s="58" t="inlineStr">
        <is>
          <t>Al Haramain Amber Oud Ruby Edition Eau de Parfum</t>
        </is>
      </c>
      <c r="AC177" s="58" t="inlineStr">
        <is>
          <t>Al Haramain Amber Oud Ruby Edition EDP 60ml | Swansura UK</t>
        </is>
      </c>
      <c r="AD177" s="58">
        <f>LEN(AC177)</f>
        <v/>
      </c>
      <c r="AE177" s="58" t="inlineStr">
        <is>
          <t>Buy Al Haramain Amber Oud Ruby Edition Eau de Parfum online in the UK at Swansura. A floral unisex eau de parfum. 100% authentic, free UK delivery over £50.</t>
        </is>
      </c>
      <c r="AF177" s="58">
        <f>LEN(AE177)</f>
        <v/>
      </c>
    </row>
    <row r="178" ht="15" customHeight="1" s="37">
      <c r="A178" s="58" t="inlineStr">
        <is>
          <t>FR-018</t>
        </is>
      </c>
      <c r="B178" s="58" t="inlineStr">
        <is>
          <t>Fragrance Catalogue</t>
        </is>
      </c>
      <c r="C178" s="58" t="n">
        <v>18</v>
      </c>
      <c r="D178" s="58" t="inlineStr">
        <is>
          <t>Al Haramain</t>
        </is>
      </c>
      <c r="E178" s="58" t="n"/>
      <c r="F178" s="58" t="inlineStr">
        <is>
          <t>Fragrance</t>
        </is>
      </c>
      <c r="G178" s="58" t="inlineStr">
        <is>
          <t>Eau de Parfum (EDP)</t>
        </is>
      </c>
      <c r="H178" s="58" t="inlineStr">
        <is>
          <t>Amber · Unisex Fragrance</t>
        </is>
      </c>
      <c r="I178" s="58" t="inlineStr">
        <is>
          <t>Al Haramain Amber Oud Tobacco Edition Eau de Parfum 60ml – Luxury Unisex Spicy Tobacco Fragrance</t>
        </is>
      </c>
      <c r="J178" s="58" t="inlineStr">
        <is>
          <t>60ml</t>
        </is>
      </c>
      <c r="K178" s="58" t="n">
        <v>34.99</v>
      </c>
      <c r="L178" s="58" t="inlineStr">
        <is>
          <t>al haramain amber oud tobacco edition</t>
        </is>
      </c>
      <c r="M178" s="58" t="inlineStr">
        <is>
          <t>al haramain amber oud tobacco edition uk</t>
        </is>
      </c>
      <c r="N178" s="58" t="inlineStr">
        <is>
          <t>buy al haramain amber oud tobacco edition online</t>
        </is>
      </c>
      <c r="O178" s="58" t="inlineStr">
        <is>
          <t>al haramain amber oud tobacco edition price</t>
        </is>
      </c>
      <c r="P178" s="58" t="inlineStr">
        <is>
          <t>al haramain amber oud tobacco edition eau de parfum</t>
        </is>
      </c>
      <c r="Q178" s="59">
        <f>IF(L178="","",IFERROR(INDEX('Semrush Data'!$A$1:$Z$20000,MATCH(L178,'Semrush Data'!$A$1:$A$20000,0),MATCH("Volume",'Semrush Data'!$A$1:$Z$1,0)),""))</f>
        <v/>
      </c>
      <c r="R178" s="59">
        <f>IF(M178="","",IFERROR(INDEX('Semrush Data'!$A$1:$Z$20000,MATCH(M178,'Semrush Data'!$A$1:$A$20000,0),MATCH("Volume",'Semrush Data'!$A$1:$Z$1,0)),""))</f>
        <v/>
      </c>
      <c r="S178" s="59">
        <f>IF(N178="","",IFERROR(INDEX('Semrush Data'!$A$1:$Z$20000,MATCH(N178,'Semrush Data'!$A$1:$A$20000,0),MATCH("Volume",'Semrush Data'!$A$1:$Z$1,0)),""))</f>
        <v/>
      </c>
      <c r="T178" s="59">
        <f>IF(O178="","",IFERROR(INDEX('Semrush Data'!$A$1:$Z$20000,MATCH(O178,'Semrush Data'!$A$1:$A$20000,0),MATCH("Volume",'Semrush Data'!$A$1:$Z$1,0)),""))</f>
        <v/>
      </c>
      <c r="U178" s="59">
        <f>IF(P178="","",IFERROR(INDEX('Semrush Data'!$A$1:$Z$20000,MATCH(P178,'Semrush Data'!$A$1:$A$20000,0),MATCH("Volume",'Semrush Data'!$A$1:$Z$1,0)),""))</f>
        <v/>
      </c>
      <c r="V178" s="60">
        <f>IF(COUNT(Q178:U178)=0,L178,IF(MAX(Q178:U178)=0,L178,INDEX(L178:P178,MATCH(MAX(Q178:U178),Q178:U178,0))))</f>
        <v/>
      </c>
      <c r="W178" s="59">
        <f>IFERROR(INDEX('Semrush Data'!$A$1:$Z$20000,MATCH(V178,'Semrush Data'!$A$1:$A$20000,0),MATCH("Volume",'Semrush Data'!$A$1:$Z$1,0)),"")</f>
        <v/>
      </c>
      <c r="X178" s="59">
        <f>IFERROR(INDEX('Semrush Data'!$A$1:$Z$20000,MATCH(V178,'Semrush Data'!$A$1:$A$20000,0),MATCH("Keyword Difficulty*",'Semrush Data'!$A$1:$Z$1,0)),"")</f>
        <v/>
      </c>
      <c r="Y178" s="61">
        <f>IFERROR(INDEX('Semrush Data'!$A$1:$Z$20000,MATCH(V178,'Semrush Data'!$A$1:$A$20000,0),MATCH("CPC*",'Semrush Data'!$A$1:$Z$1,0)),"")</f>
        <v/>
      </c>
      <c r="Z178" s="58" t="inlineStr">
        <is>
          <t>al haramain perfume · amber perfume uk</t>
        </is>
      </c>
      <c r="AA178" s="58" t="inlineStr">
        <is>
          <t>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is>
      </c>
      <c r="AB178" s="58" t="inlineStr">
        <is>
          <t>Al Haramain Amber Oud Tobacco Edition Eau de Parfum</t>
        </is>
      </c>
      <c r="AC178" s="58" t="inlineStr">
        <is>
          <t>Al Haramain Amber Oud Tobacco Edition EDP 60ml | Swansura UK</t>
        </is>
      </c>
      <c r="AD178" s="58">
        <f>LEN(AC178)</f>
        <v/>
      </c>
      <c r="AE178" s="58" t="inlineStr">
        <is>
          <t>Buy Al Haramain Amber Oud Tobacco Edition Eau de Parfum online in the UK at Swansura. An amber unisex eau de parfum. 100% authentic, free UK delivery over £50.</t>
        </is>
      </c>
      <c r="AF178" s="58">
        <f>LEN(AE178)</f>
        <v/>
      </c>
    </row>
    <row r="179" ht="15" customHeight="1" s="37">
      <c r="A179" s="58" t="inlineStr">
        <is>
          <t>FR-019</t>
        </is>
      </c>
      <c r="B179" s="58" t="inlineStr">
        <is>
          <t>Fragrance Catalogue</t>
        </is>
      </c>
      <c r="C179" s="58" t="n">
        <v>19</v>
      </c>
      <c r="D179" s="58" t="inlineStr">
        <is>
          <t>Al Haramain</t>
        </is>
      </c>
      <c r="E179" s="58" t="n"/>
      <c r="F179" s="58" t="inlineStr">
        <is>
          <t>Fragrance</t>
        </is>
      </c>
      <c r="G179" s="58" t="inlineStr">
        <is>
          <t>Eau de Parfum (EDP)</t>
        </is>
      </c>
      <c r="H179" s="58" t="inlineStr">
        <is>
          <t>Floral · Women's Fragrance</t>
        </is>
      </c>
      <c r="I179" s="58" t="inlineStr">
        <is>
          <t>Al Haramain Amber Oud White Edition Eau de Parfum – Luxury Women's Floral Oriental Fragrance</t>
        </is>
      </c>
      <c r="J179" s="58" t="inlineStr">
        <is>
          <t>60ml</t>
        </is>
      </c>
      <c r="K179" s="58" t="n">
        <v>34.99</v>
      </c>
      <c r="L179" s="58" t="inlineStr">
        <is>
          <t>al haramain amber oud white edition</t>
        </is>
      </c>
      <c r="M179" s="58" t="inlineStr">
        <is>
          <t>al haramain amber oud white edition uk</t>
        </is>
      </c>
      <c r="N179" s="58" t="inlineStr">
        <is>
          <t>buy al haramain amber oud white edition online</t>
        </is>
      </c>
      <c r="O179" s="58" t="inlineStr">
        <is>
          <t>al haramain amber oud white edition price</t>
        </is>
      </c>
      <c r="P179" s="58" t="inlineStr">
        <is>
          <t>al haramain amber oud white edition eau de parfum</t>
        </is>
      </c>
      <c r="Q179" s="59">
        <f>IF(L179="","",IFERROR(INDEX('Semrush Data'!$A$1:$Z$20000,MATCH(L179,'Semrush Data'!$A$1:$A$20000,0),MATCH("Volume",'Semrush Data'!$A$1:$Z$1,0)),""))</f>
        <v/>
      </c>
      <c r="R179" s="59">
        <f>IF(M179="","",IFERROR(INDEX('Semrush Data'!$A$1:$Z$20000,MATCH(M179,'Semrush Data'!$A$1:$A$20000,0),MATCH("Volume",'Semrush Data'!$A$1:$Z$1,0)),""))</f>
        <v/>
      </c>
      <c r="S179" s="59">
        <f>IF(N179="","",IFERROR(INDEX('Semrush Data'!$A$1:$Z$20000,MATCH(N179,'Semrush Data'!$A$1:$A$20000,0),MATCH("Volume",'Semrush Data'!$A$1:$Z$1,0)),""))</f>
        <v/>
      </c>
      <c r="T179" s="59">
        <f>IF(O179="","",IFERROR(INDEX('Semrush Data'!$A$1:$Z$20000,MATCH(O179,'Semrush Data'!$A$1:$A$20000,0),MATCH("Volume",'Semrush Data'!$A$1:$Z$1,0)),""))</f>
        <v/>
      </c>
      <c r="U179" s="59">
        <f>IF(P179="","",IFERROR(INDEX('Semrush Data'!$A$1:$Z$20000,MATCH(P179,'Semrush Data'!$A$1:$A$20000,0),MATCH("Volume",'Semrush Data'!$A$1:$Z$1,0)),""))</f>
        <v/>
      </c>
      <c r="V179" s="60">
        <f>IF(COUNT(Q179:U179)=0,L179,IF(MAX(Q179:U179)=0,L179,INDEX(L179:P179,MATCH(MAX(Q179:U179),Q179:U179,0))))</f>
        <v/>
      </c>
      <c r="W179" s="59">
        <f>IFERROR(INDEX('Semrush Data'!$A$1:$Z$20000,MATCH(V179,'Semrush Data'!$A$1:$A$20000,0),MATCH("Volume",'Semrush Data'!$A$1:$Z$1,0)),"")</f>
        <v/>
      </c>
      <c r="X179" s="59">
        <f>IFERROR(INDEX('Semrush Data'!$A$1:$Z$20000,MATCH(V179,'Semrush Data'!$A$1:$A$20000,0),MATCH("Keyword Difficulty*",'Semrush Data'!$A$1:$Z$1,0)),"")</f>
        <v/>
      </c>
      <c r="Y179" s="61">
        <f>IFERROR(INDEX('Semrush Data'!$A$1:$Z$20000,MATCH(V179,'Semrush Data'!$A$1:$A$20000,0),MATCH("CPC*",'Semrush Data'!$A$1:$Z$1,0)),"")</f>
        <v/>
      </c>
      <c r="Z179" s="58" t="inlineStr">
        <is>
          <t>al haramain perfume · al haramain perfume for women · floral perfume for women uk</t>
        </is>
      </c>
      <c r="AA179" s="58" t="inlineStr">
        <is>
          <t>al haramain amber oud white edition dupe of · al haramain amber oud white edition edp · al haramain amber oud white edition review · al haramain amber oud white edition eau de parfum · al haramain amber oud white edition 200ml · al haramain amber oud white edition edp 100ml</t>
        </is>
      </c>
      <c r="AB179" s="58" t="inlineStr">
        <is>
          <t>Al Haramain Amber Oud White Edition Eau de Parfum</t>
        </is>
      </c>
      <c r="AC179" s="58" t="inlineStr">
        <is>
          <t>Al Haramain Amber Oud White Edition EDP 60ml | Swansura UK</t>
        </is>
      </c>
      <c r="AD179" s="58">
        <f>LEN(AC179)</f>
        <v/>
      </c>
      <c r="AE179" s="58" t="inlineStr">
        <is>
          <t>Buy Al Haramain Amber Oud White Edition Eau de Parfum online in the UK at Swansura. A floral women's eau de parfum. 100% authentic, free UK delivery over £50.</t>
        </is>
      </c>
      <c r="AF179" s="58">
        <f>LEN(AE179)</f>
        <v/>
      </c>
    </row>
    <row r="180" ht="15" customHeight="1" s="37">
      <c r="A180" s="58" t="inlineStr">
        <is>
          <t>FR-020</t>
        </is>
      </c>
      <c r="B180" s="58" t="inlineStr">
        <is>
          <t>Fragrance Catalogue</t>
        </is>
      </c>
      <c r="C180" s="58" t="n">
        <v>20</v>
      </c>
      <c r="D180" s="58" t="inlineStr">
        <is>
          <t>Al Haramain</t>
        </is>
      </c>
      <c r="E180" s="58" t="n"/>
      <c r="F180" s="58" t="inlineStr">
        <is>
          <t>Fragrance</t>
        </is>
      </c>
      <c r="G180" s="58" t="inlineStr">
        <is>
          <t>Eau de Parfum (EDP)</t>
        </is>
      </c>
      <c r="H180" s="58" t="inlineStr">
        <is>
          <t>Amber · Unisex Fragrance</t>
        </is>
      </c>
      <c r="I180" s="58" t="inlineStr">
        <is>
          <t>Al Haramain Detour Noir Eau de Parfum 100ml – Luxury Unisex Amber Spicy Fragrance</t>
        </is>
      </c>
      <c r="J180" s="58" t="inlineStr">
        <is>
          <t>100ml</t>
        </is>
      </c>
      <c r="K180" s="58" t="n">
        <v>19.99</v>
      </c>
      <c r="L180" s="58" t="inlineStr">
        <is>
          <t>al haramain detour noir</t>
        </is>
      </c>
      <c r="M180" s="58" t="inlineStr">
        <is>
          <t>al haramain detour noir uk</t>
        </is>
      </c>
      <c r="N180" s="58" t="inlineStr">
        <is>
          <t>buy al haramain detour noir online</t>
        </is>
      </c>
      <c r="O180" s="58" t="inlineStr">
        <is>
          <t>al haramain detour noir price</t>
        </is>
      </c>
      <c r="P180" s="58" t="inlineStr">
        <is>
          <t>al haramain detour noir eau de parfum</t>
        </is>
      </c>
      <c r="Q180" s="59">
        <f>IF(L180="","",IFERROR(INDEX('Semrush Data'!$A$1:$Z$20000,MATCH(L180,'Semrush Data'!$A$1:$A$20000,0),MATCH("Volume",'Semrush Data'!$A$1:$Z$1,0)),""))</f>
        <v/>
      </c>
      <c r="R180" s="59">
        <f>IF(M180="","",IFERROR(INDEX('Semrush Data'!$A$1:$Z$20000,MATCH(M180,'Semrush Data'!$A$1:$A$20000,0),MATCH("Volume",'Semrush Data'!$A$1:$Z$1,0)),""))</f>
        <v/>
      </c>
      <c r="S180" s="59">
        <f>IF(N180="","",IFERROR(INDEX('Semrush Data'!$A$1:$Z$20000,MATCH(N180,'Semrush Data'!$A$1:$A$20000,0),MATCH("Volume",'Semrush Data'!$A$1:$Z$1,0)),""))</f>
        <v/>
      </c>
      <c r="T180" s="59">
        <f>IF(O180="","",IFERROR(INDEX('Semrush Data'!$A$1:$Z$20000,MATCH(O180,'Semrush Data'!$A$1:$A$20000,0),MATCH("Volume",'Semrush Data'!$A$1:$Z$1,0)),""))</f>
        <v/>
      </c>
      <c r="U180" s="59">
        <f>IF(P180="","",IFERROR(INDEX('Semrush Data'!$A$1:$Z$20000,MATCH(P180,'Semrush Data'!$A$1:$A$20000,0),MATCH("Volume",'Semrush Data'!$A$1:$Z$1,0)),""))</f>
        <v/>
      </c>
      <c r="V180" s="60">
        <f>IF(COUNT(Q180:U180)=0,L180,IF(MAX(Q180:U180)=0,L180,INDEX(L180:P180,MATCH(MAX(Q180:U180),Q180:U180,0))))</f>
        <v/>
      </c>
      <c r="W180" s="59">
        <f>IFERROR(INDEX('Semrush Data'!$A$1:$Z$20000,MATCH(V180,'Semrush Data'!$A$1:$A$20000,0),MATCH("Volume",'Semrush Data'!$A$1:$Z$1,0)),"")</f>
        <v/>
      </c>
      <c r="X180" s="59">
        <f>IFERROR(INDEX('Semrush Data'!$A$1:$Z$20000,MATCH(V180,'Semrush Data'!$A$1:$A$20000,0),MATCH("Keyword Difficulty*",'Semrush Data'!$A$1:$Z$1,0)),"")</f>
        <v/>
      </c>
      <c r="Y180" s="61">
        <f>IFERROR(INDEX('Semrush Data'!$A$1:$Z$20000,MATCH(V180,'Semrush Data'!$A$1:$A$20000,0),MATCH("CPC*",'Semrush Data'!$A$1:$Z$1,0)),"")</f>
        <v/>
      </c>
      <c r="Z180" s="58" t="inlineStr">
        <is>
          <t>al haramain perfume · amber perfume uk</t>
        </is>
      </c>
      <c r="AA180" s="58" t="inlineStr">
        <is>
          <t>al haramain detour noir dupe of · al haramain detour noir eau de parfum</t>
        </is>
      </c>
      <c r="AB180" s="58" t="inlineStr">
        <is>
          <t>Al Haramain Detour Noir Eau de Parfum</t>
        </is>
      </c>
      <c r="AC180" s="58" t="inlineStr">
        <is>
          <t>Al Haramain Detour Noir EDP 100ml | Buy Online UK | Swansura</t>
        </is>
      </c>
      <c r="AD180" s="58">
        <f>LEN(AC180)</f>
        <v/>
      </c>
      <c r="AE180" s="58" t="inlineStr">
        <is>
          <t>Buy Al Haramain Detour Noir Eau de Parfum online in the UK at Swansura. An amber unisex eau de parfum, 100ml. 100% authentic, fast UK delivery, free over £50.</t>
        </is>
      </c>
      <c r="AF180" s="58">
        <f>LEN(AE180)</f>
        <v/>
      </c>
    </row>
    <row r="181" ht="15" customHeight="1" s="37">
      <c r="A181" s="58" t="inlineStr">
        <is>
          <t>FR-021</t>
        </is>
      </c>
      <c r="B181" s="58" t="inlineStr">
        <is>
          <t>Fragrance Catalogue</t>
        </is>
      </c>
      <c r="C181" s="58" t="n">
        <v>21</v>
      </c>
      <c r="D181" s="58" t="inlineStr">
        <is>
          <t>Al Haramain</t>
        </is>
      </c>
      <c r="E181" s="58" t="n"/>
      <c r="F181" s="58" t="inlineStr">
        <is>
          <t>Fragrance</t>
        </is>
      </c>
      <c r="G181" s="58" t="inlineStr">
        <is>
          <t>Eau de Parfum (EDP)</t>
        </is>
      </c>
      <c r="H181" s="58" t="inlineStr">
        <is>
          <t>Floral · Unisex Fragrance</t>
        </is>
      </c>
      <c r="I181" s="58" t="inlineStr">
        <is>
          <t>Al Haramain L'Aventure Blanche Eau de Parfum 100ml – Fresh Floral Woody Fragrance</t>
        </is>
      </c>
      <c r="J181" s="58" t="inlineStr">
        <is>
          <t>100ml</t>
        </is>
      </c>
      <c r="K181" s="58" t="n">
        <v>24.99</v>
      </c>
      <c r="L181" s="58" t="inlineStr">
        <is>
          <t>al haramain l'aventure blanche</t>
        </is>
      </c>
      <c r="M181" s="58" t="inlineStr">
        <is>
          <t>al haramain l'aventure blanche uk</t>
        </is>
      </c>
      <c r="N181" s="58" t="inlineStr">
        <is>
          <t>buy al haramain l'aventure blanche online</t>
        </is>
      </c>
      <c r="O181" s="58" t="inlineStr">
        <is>
          <t>al haramain l'aventure blanche price</t>
        </is>
      </c>
      <c r="P181" s="58" t="inlineStr">
        <is>
          <t>al haramain l'aventure blanche eau de parfum</t>
        </is>
      </c>
      <c r="Q181" s="59">
        <f>IF(L181="","",IFERROR(INDEX('Semrush Data'!$A$1:$Z$20000,MATCH(L181,'Semrush Data'!$A$1:$A$20000,0),MATCH("Volume",'Semrush Data'!$A$1:$Z$1,0)),""))</f>
        <v/>
      </c>
      <c r="R181" s="59">
        <f>IF(M181="","",IFERROR(INDEX('Semrush Data'!$A$1:$Z$20000,MATCH(M181,'Semrush Data'!$A$1:$A$20000,0),MATCH("Volume",'Semrush Data'!$A$1:$Z$1,0)),""))</f>
        <v/>
      </c>
      <c r="S181" s="59">
        <f>IF(N181="","",IFERROR(INDEX('Semrush Data'!$A$1:$Z$20000,MATCH(N181,'Semrush Data'!$A$1:$A$20000,0),MATCH("Volume",'Semrush Data'!$A$1:$Z$1,0)),""))</f>
        <v/>
      </c>
      <c r="T181" s="59">
        <f>IF(O181="","",IFERROR(INDEX('Semrush Data'!$A$1:$Z$20000,MATCH(O181,'Semrush Data'!$A$1:$A$20000,0),MATCH("Volume",'Semrush Data'!$A$1:$Z$1,0)),""))</f>
        <v/>
      </c>
      <c r="U181" s="59">
        <f>IF(P181="","",IFERROR(INDEX('Semrush Data'!$A$1:$Z$20000,MATCH(P181,'Semrush Data'!$A$1:$A$20000,0),MATCH("Volume",'Semrush Data'!$A$1:$Z$1,0)),""))</f>
        <v/>
      </c>
      <c r="V181" s="60">
        <f>IF(COUNT(Q181:U181)=0,L181,IF(MAX(Q181:U181)=0,L181,INDEX(L181:P181,MATCH(MAX(Q181:U181),Q181:U181,0))))</f>
        <v/>
      </c>
      <c r="W181" s="59">
        <f>IFERROR(INDEX('Semrush Data'!$A$1:$Z$20000,MATCH(V181,'Semrush Data'!$A$1:$A$20000,0),MATCH("Volume",'Semrush Data'!$A$1:$Z$1,0)),"")</f>
        <v/>
      </c>
      <c r="X181" s="59">
        <f>IFERROR(INDEX('Semrush Data'!$A$1:$Z$20000,MATCH(V181,'Semrush Data'!$A$1:$A$20000,0),MATCH("Keyword Difficulty*",'Semrush Data'!$A$1:$Z$1,0)),"")</f>
        <v/>
      </c>
      <c r="Y181" s="61">
        <f>IFERROR(INDEX('Semrush Data'!$A$1:$Z$20000,MATCH(V181,'Semrush Data'!$A$1:$A$20000,0),MATCH("CPC*",'Semrush Data'!$A$1:$Z$1,0)),"")</f>
        <v/>
      </c>
      <c r="Z181" s="58" t="inlineStr">
        <is>
          <t>al haramain perfume · floral perfume uk</t>
        </is>
      </c>
      <c r="AA181" s="58" t="inlineStr">
        <is>
          <t>al haramain l'aventure blanche dupe of · al haramain l'aventure blanche review · al haramain l'aventure blanche eau de parfum · al haramain l'aventure blanche edp</t>
        </is>
      </c>
      <c r="AB181" s="58" t="inlineStr">
        <is>
          <t>Al Haramain L'Aventure Blanche Eau de Parfum</t>
        </is>
      </c>
      <c r="AC181" s="58" t="inlineStr">
        <is>
          <t>Al Haramain L'Aventure Blanche Eau de Parfum | Swansura UK</t>
        </is>
      </c>
      <c r="AD181" s="58">
        <f>LEN(AC181)</f>
        <v/>
      </c>
      <c r="AE181" s="58" t="inlineStr">
        <is>
          <t>Buy Al Haramain L'Aventure Blanche Eau de Parfum online in the UK at Swansura. A floral unisex eau de parfum, 100ml. 100% authentic, free UK delivery over £50.</t>
        </is>
      </c>
      <c r="AF181" s="58">
        <f>LEN(AE181)</f>
        <v/>
      </c>
    </row>
    <row r="182" ht="15" customHeight="1" s="37">
      <c r="A182" s="58" t="inlineStr">
        <is>
          <t>FR-022</t>
        </is>
      </c>
      <c r="B182" s="58" t="inlineStr">
        <is>
          <t>Fragrance Catalogue</t>
        </is>
      </c>
      <c r="C182" s="58" t="n">
        <v>22</v>
      </c>
      <c r="D182" s="58" t="inlineStr">
        <is>
          <t>Al Haramain</t>
        </is>
      </c>
      <c r="E182" s="58" t="n"/>
      <c r="F182" s="58" t="inlineStr">
        <is>
          <t>Fragrance</t>
        </is>
      </c>
      <c r="G182" s="58" t="inlineStr">
        <is>
          <t>Eau de Parfum (EDP)</t>
        </is>
      </c>
      <c r="H182" s="58" t="inlineStr">
        <is>
          <t>Woody · Men's Fragrance</t>
        </is>
      </c>
      <c r="I182" s="58" t="inlineStr">
        <is>
          <t>Al Haramain L'Aventure Eau de Parfum 100ml – Men's Fresh Woody Longlasting Fragrance</t>
        </is>
      </c>
      <c r="J182" s="58" t="inlineStr">
        <is>
          <t>100ml</t>
        </is>
      </c>
      <c r="K182" s="58" t="n">
        <v>27.99</v>
      </c>
      <c r="L182" s="58" t="inlineStr">
        <is>
          <t>al haramain l'aventure</t>
        </is>
      </c>
      <c r="M182" s="58" t="inlineStr">
        <is>
          <t>al haramain l'aventure uk</t>
        </is>
      </c>
      <c r="N182" s="58" t="inlineStr">
        <is>
          <t>buy al haramain l'aventure online</t>
        </is>
      </c>
      <c r="O182" s="58" t="inlineStr">
        <is>
          <t>al haramain l'aventure price</t>
        </is>
      </c>
      <c r="P182" s="58" t="inlineStr">
        <is>
          <t>al haramain l'aventure eau de parfum</t>
        </is>
      </c>
      <c r="Q182" s="59">
        <f>IF(L182="","",IFERROR(INDEX('Semrush Data'!$A$1:$Z$20000,MATCH(L182,'Semrush Data'!$A$1:$A$20000,0),MATCH("Volume",'Semrush Data'!$A$1:$Z$1,0)),""))</f>
        <v/>
      </c>
      <c r="R182" s="59">
        <f>IF(M182="","",IFERROR(INDEX('Semrush Data'!$A$1:$Z$20000,MATCH(M182,'Semrush Data'!$A$1:$A$20000,0),MATCH("Volume",'Semrush Data'!$A$1:$Z$1,0)),""))</f>
        <v/>
      </c>
      <c r="S182" s="59">
        <f>IF(N182="","",IFERROR(INDEX('Semrush Data'!$A$1:$Z$20000,MATCH(N182,'Semrush Data'!$A$1:$A$20000,0),MATCH("Volume",'Semrush Data'!$A$1:$Z$1,0)),""))</f>
        <v/>
      </c>
      <c r="T182" s="59">
        <f>IF(O182="","",IFERROR(INDEX('Semrush Data'!$A$1:$Z$20000,MATCH(O182,'Semrush Data'!$A$1:$A$20000,0),MATCH("Volume",'Semrush Data'!$A$1:$Z$1,0)),""))</f>
        <v/>
      </c>
      <c r="U182" s="59">
        <f>IF(P182="","",IFERROR(INDEX('Semrush Data'!$A$1:$Z$20000,MATCH(P182,'Semrush Data'!$A$1:$A$20000,0),MATCH("Volume",'Semrush Data'!$A$1:$Z$1,0)),""))</f>
        <v/>
      </c>
      <c r="V182" s="60">
        <f>IF(COUNT(Q182:U182)=0,L182,IF(MAX(Q182:U182)=0,L182,INDEX(L182:P182,MATCH(MAX(Q182:U182),Q182:U182,0))))</f>
        <v/>
      </c>
      <c r="W182" s="59">
        <f>IFERROR(INDEX('Semrush Data'!$A$1:$Z$20000,MATCH(V182,'Semrush Data'!$A$1:$A$20000,0),MATCH("Volume",'Semrush Data'!$A$1:$Z$1,0)),"")</f>
        <v/>
      </c>
      <c r="X182" s="59">
        <f>IFERROR(INDEX('Semrush Data'!$A$1:$Z$20000,MATCH(V182,'Semrush Data'!$A$1:$A$20000,0),MATCH("Keyword Difficulty*",'Semrush Data'!$A$1:$Z$1,0)),"")</f>
        <v/>
      </c>
      <c r="Y182" s="61">
        <f>IFERROR(INDEX('Semrush Data'!$A$1:$Z$20000,MATCH(V182,'Semrush Data'!$A$1:$A$20000,0),MATCH("CPC*",'Semrush Data'!$A$1:$Z$1,0)),"")</f>
        <v/>
      </c>
      <c r="Z182" s="58" t="inlineStr">
        <is>
          <t>al haramain perfume · al haramain perfume for men · woody perfume for men uk</t>
        </is>
      </c>
      <c r="AA182" s="58" t="inlineStr">
        <is>
          <t>al haramain l'aventure dupe of</t>
        </is>
      </c>
      <c r="AB182" s="58" t="inlineStr">
        <is>
          <t>Al Haramain L'Aventure Eau de Parfum</t>
        </is>
      </c>
      <c r="AC182" s="58" t="inlineStr">
        <is>
          <t>Al Haramain L'Aventure EDP 100ml | Buy Online UK | Swansura</t>
        </is>
      </c>
      <c r="AD182" s="58">
        <f>LEN(AC182)</f>
        <v/>
      </c>
      <c r="AE182" s="58" t="inlineStr">
        <is>
          <t>Buy Al Haramain L'Aventure Eau de Parfum online in the UK at Swansura. A woody men's eau de parfum, 100ml. 100% authentic, fast UK delivery, free over £50.</t>
        </is>
      </c>
      <c r="AF182" s="58">
        <f>LEN(AE182)</f>
        <v/>
      </c>
    </row>
    <row r="183" ht="15" customHeight="1" s="37">
      <c r="A183" s="58" t="inlineStr">
        <is>
          <t>FR-023</t>
        </is>
      </c>
      <c r="B183" s="58" t="inlineStr">
        <is>
          <t>Fragrance Catalogue</t>
        </is>
      </c>
      <c r="C183" s="58" t="n">
        <v>23</v>
      </c>
      <c r="D183" s="58" t="inlineStr">
        <is>
          <t>Al Haramain</t>
        </is>
      </c>
      <c r="E183" s="58" t="n"/>
      <c r="F183" s="58" t="inlineStr">
        <is>
          <t>Fragrance</t>
        </is>
      </c>
      <c r="G183" s="58" t="inlineStr">
        <is>
          <t>Eau de Parfum (EDP)</t>
        </is>
      </c>
      <c r="H183" s="58" t="inlineStr">
        <is>
          <t>Floral · Women's Fragrance</t>
        </is>
      </c>
      <c r="I183" s="58" t="inlineStr">
        <is>
          <t>Al Haramain L'Aventure Femme Eau de Parfum 100ml – Women's Fruity Floral Fragrance</t>
        </is>
      </c>
      <c r="J183" s="58" t="inlineStr">
        <is>
          <t>100ml</t>
        </is>
      </c>
      <c r="K183" s="58" t="n">
        <v>28.99</v>
      </c>
      <c r="L183" s="58" t="inlineStr">
        <is>
          <t>al haramain l'aventure femme</t>
        </is>
      </c>
      <c r="M183" s="58" t="inlineStr">
        <is>
          <t>al haramain l'aventure femme uk</t>
        </is>
      </c>
      <c r="N183" s="58" t="inlineStr">
        <is>
          <t>buy al haramain l'aventure femme online</t>
        </is>
      </c>
      <c r="O183" s="58" t="inlineStr">
        <is>
          <t>al haramain l'aventure femme price</t>
        </is>
      </c>
      <c r="P183" s="58" t="inlineStr">
        <is>
          <t>al haramain l'aventure femme eau de parfum</t>
        </is>
      </c>
      <c r="Q183" s="59">
        <f>IF(L183="","",IFERROR(INDEX('Semrush Data'!$A$1:$Z$20000,MATCH(L183,'Semrush Data'!$A$1:$A$20000,0),MATCH("Volume",'Semrush Data'!$A$1:$Z$1,0)),""))</f>
        <v/>
      </c>
      <c r="R183" s="59">
        <f>IF(M183="","",IFERROR(INDEX('Semrush Data'!$A$1:$Z$20000,MATCH(M183,'Semrush Data'!$A$1:$A$20000,0),MATCH("Volume",'Semrush Data'!$A$1:$Z$1,0)),""))</f>
        <v/>
      </c>
      <c r="S183" s="59">
        <f>IF(N183="","",IFERROR(INDEX('Semrush Data'!$A$1:$Z$20000,MATCH(N183,'Semrush Data'!$A$1:$A$20000,0),MATCH("Volume",'Semrush Data'!$A$1:$Z$1,0)),""))</f>
        <v/>
      </c>
      <c r="T183" s="59">
        <f>IF(O183="","",IFERROR(INDEX('Semrush Data'!$A$1:$Z$20000,MATCH(O183,'Semrush Data'!$A$1:$A$20000,0),MATCH("Volume",'Semrush Data'!$A$1:$Z$1,0)),""))</f>
        <v/>
      </c>
      <c r="U183" s="59">
        <f>IF(P183="","",IFERROR(INDEX('Semrush Data'!$A$1:$Z$20000,MATCH(P183,'Semrush Data'!$A$1:$A$20000,0),MATCH("Volume",'Semrush Data'!$A$1:$Z$1,0)),""))</f>
        <v/>
      </c>
      <c r="V183" s="60">
        <f>IF(COUNT(Q183:U183)=0,L183,IF(MAX(Q183:U183)=0,L183,INDEX(L183:P183,MATCH(MAX(Q183:U183),Q183:U183,0))))</f>
        <v/>
      </c>
      <c r="W183" s="59">
        <f>IFERROR(INDEX('Semrush Data'!$A$1:$Z$20000,MATCH(V183,'Semrush Data'!$A$1:$A$20000,0),MATCH("Volume",'Semrush Data'!$A$1:$Z$1,0)),"")</f>
        <v/>
      </c>
      <c r="X183" s="59">
        <f>IFERROR(INDEX('Semrush Data'!$A$1:$Z$20000,MATCH(V183,'Semrush Data'!$A$1:$A$20000,0),MATCH("Keyword Difficulty*",'Semrush Data'!$A$1:$Z$1,0)),"")</f>
        <v/>
      </c>
      <c r="Y183" s="61">
        <f>IFERROR(INDEX('Semrush Data'!$A$1:$Z$20000,MATCH(V183,'Semrush Data'!$A$1:$A$20000,0),MATCH("CPC*",'Semrush Data'!$A$1:$Z$1,0)),"")</f>
        <v/>
      </c>
      <c r="Z183" s="58" t="inlineStr">
        <is>
          <t>al haramain perfume · al haramain perfume for women · floral perfume for women uk</t>
        </is>
      </c>
      <c r="AA183" s="58" t="inlineStr">
        <is>
          <t>al haramain l'aventure femme dupe · al haramain l'aventure femme eau de parfum · al haramain l'aventure femme notes · al haramain - l'aventure femme edp</t>
        </is>
      </c>
      <c r="AB183" s="58" t="inlineStr">
        <is>
          <t>Al Haramain L'Aventure Femme Eau de Parfum</t>
        </is>
      </c>
      <c r="AC183" s="58" t="inlineStr">
        <is>
          <t>Al Haramain L'Aventure Femme Eau de Parfum | Swansura UK</t>
        </is>
      </c>
      <c r="AD183" s="58">
        <f>LEN(AC183)</f>
        <v/>
      </c>
      <c r="AE183" s="58" t="inlineStr">
        <is>
          <t>Buy Al Haramain L'Aventure Femme Eau de Parfum online in the UK at Swansura. A floral women's eau de parfum, 100ml. 100% authentic, free UK delivery over £50.</t>
        </is>
      </c>
      <c r="AF183" s="58">
        <f>LEN(AE183)</f>
        <v/>
      </c>
    </row>
    <row r="184" ht="15" customHeight="1" s="37">
      <c r="A184" s="58" t="inlineStr">
        <is>
          <t>FR-024</t>
        </is>
      </c>
      <c r="B184" s="58" t="inlineStr">
        <is>
          <t>Fragrance Catalogue</t>
        </is>
      </c>
      <c r="C184" s="58" t="n">
        <v>24</v>
      </c>
      <c r="D184" s="58" t="inlineStr">
        <is>
          <t>Al Haramain</t>
        </is>
      </c>
      <c r="E184" s="58" t="n"/>
      <c r="F184" s="58" t="inlineStr">
        <is>
          <t>Fragrance</t>
        </is>
      </c>
      <c r="G184" s="58" t="inlineStr">
        <is>
          <t>Eau de Parfum (EDP)</t>
        </is>
      </c>
      <c r="H184" s="58" t="inlineStr">
        <is>
          <t>Floral · Women's Fragrance</t>
        </is>
      </c>
      <c r="I184" s="58" t="inlineStr">
        <is>
          <t>Al Haramain L'Aventure Gold Eau de Parfum 100ml – Women's Floral Fruity Fragrance</t>
        </is>
      </c>
      <c r="J184" s="58" t="inlineStr">
        <is>
          <t>100ml</t>
        </is>
      </c>
      <c r="K184" s="58" t="n">
        <v>28.99</v>
      </c>
      <c r="L184" s="58" t="inlineStr">
        <is>
          <t>al haramain l'aventure gold</t>
        </is>
      </c>
      <c r="M184" s="58" t="inlineStr">
        <is>
          <t>al haramain l'aventure gold uk</t>
        </is>
      </c>
      <c r="N184" s="58" t="inlineStr">
        <is>
          <t>buy al haramain l'aventure gold online</t>
        </is>
      </c>
      <c r="O184" s="58" t="inlineStr">
        <is>
          <t>al haramain l'aventure gold price</t>
        </is>
      </c>
      <c r="P184" s="58" t="inlineStr">
        <is>
          <t>al haramain l'aventure gold eau de parfum</t>
        </is>
      </c>
      <c r="Q184" s="59">
        <f>IF(L184="","",IFERROR(INDEX('Semrush Data'!$A$1:$Z$20000,MATCH(L184,'Semrush Data'!$A$1:$A$20000,0),MATCH("Volume",'Semrush Data'!$A$1:$Z$1,0)),""))</f>
        <v/>
      </c>
      <c r="R184" s="59">
        <f>IF(M184="","",IFERROR(INDEX('Semrush Data'!$A$1:$Z$20000,MATCH(M184,'Semrush Data'!$A$1:$A$20000,0),MATCH("Volume",'Semrush Data'!$A$1:$Z$1,0)),""))</f>
        <v/>
      </c>
      <c r="S184" s="59">
        <f>IF(N184="","",IFERROR(INDEX('Semrush Data'!$A$1:$Z$20000,MATCH(N184,'Semrush Data'!$A$1:$A$20000,0),MATCH("Volume",'Semrush Data'!$A$1:$Z$1,0)),""))</f>
        <v/>
      </c>
      <c r="T184" s="59">
        <f>IF(O184="","",IFERROR(INDEX('Semrush Data'!$A$1:$Z$20000,MATCH(O184,'Semrush Data'!$A$1:$A$20000,0),MATCH("Volume",'Semrush Data'!$A$1:$Z$1,0)),""))</f>
        <v/>
      </c>
      <c r="U184" s="59">
        <f>IF(P184="","",IFERROR(INDEX('Semrush Data'!$A$1:$Z$20000,MATCH(P184,'Semrush Data'!$A$1:$A$20000,0),MATCH("Volume",'Semrush Data'!$A$1:$Z$1,0)),""))</f>
        <v/>
      </c>
      <c r="V184" s="60">
        <f>IF(COUNT(Q184:U184)=0,L184,IF(MAX(Q184:U184)=0,L184,INDEX(L184:P184,MATCH(MAX(Q184:U184),Q184:U184,0))))</f>
        <v/>
      </c>
      <c r="W184" s="59">
        <f>IFERROR(INDEX('Semrush Data'!$A$1:$Z$20000,MATCH(V184,'Semrush Data'!$A$1:$A$20000,0),MATCH("Volume",'Semrush Data'!$A$1:$Z$1,0)),"")</f>
        <v/>
      </c>
      <c r="X184" s="59">
        <f>IFERROR(INDEX('Semrush Data'!$A$1:$Z$20000,MATCH(V184,'Semrush Data'!$A$1:$A$20000,0),MATCH("Keyword Difficulty*",'Semrush Data'!$A$1:$Z$1,0)),"")</f>
        <v/>
      </c>
      <c r="Y184" s="61">
        <f>IFERROR(INDEX('Semrush Data'!$A$1:$Z$20000,MATCH(V184,'Semrush Data'!$A$1:$A$20000,0),MATCH("CPC*",'Semrush Data'!$A$1:$Z$1,0)),"")</f>
        <v/>
      </c>
      <c r="Z184" s="58" t="inlineStr">
        <is>
          <t>al haramain perfume · al haramain perfume for women · floral perfume for women uk</t>
        </is>
      </c>
      <c r="AA184" s="58" t="inlineStr">
        <is>
          <t>al haramain l'aventure gold dupe · al haramain l'aventure gold perfume · al haramain l'aventure gold eau de parfum</t>
        </is>
      </c>
      <c r="AB184" s="58" t="inlineStr">
        <is>
          <t>Al Haramain L'Aventure Gold Eau de Parfum</t>
        </is>
      </c>
      <c r="AC184" s="58" t="inlineStr">
        <is>
          <t>Al Haramain L'Aventure Gold Eau de Parfum | Swansura UK</t>
        </is>
      </c>
      <c r="AD184" s="58">
        <f>LEN(AC184)</f>
        <v/>
      </c>
      <c r="AE184" s="58" t="inlineStr">
        <is>
          <t>Buy Al Haramain L'Aventure Gold Eau de Parfum online in the UK at Swansura. A floral women's eau de parfum, 100ml. 100% authentic, free UK delivery over £50.</t>
        </is>
      </c>
      <c r="AF184" s="58">
        <f>LEN(AE184)</f>
        <v/>
      </c>
    </row>
    <row r="185" ht="15" customHeight="1" s="37">
      <c r="A185" s="58" t="inlineStr">
        <is>
          <t>FR-025</t>
        </is>
      </c>
      <c r="B185" s="58" t="inlineStr">
        <is>
          <t>Fragrance Catalogue</t>
        </is>
      </c>
      <c r="C185" s="58" t="n">
        <v>25</v>
      </c>
      <c r="D185" s="58" t="inlineStr">
        <is>
          <t>Al Haramain</t>
        </is>
      </c>
      <c r="E185" s="58" t="n"/>
      <c r="F185" s="58" t="inlineStr">
        <is>
          <t>Fragrance</t>
        </is>
      </c>
      <c r="G185" s="58" t="inlineStr">
        <is>
          <t>Eau de Parfum (EDP)</t>
        </is>
      </c>
      <c r="H185" s="58" t="inlineStr">
        <is>
          <t>Woody · Men's Fragrance</t>
        </is>
      </c>
      <c r="I185" s="58" t="inlineStr">
        <is>
          <t>Al Haramain L'Aventure Intense Eau de Parfum 100ml – Men's Fresh Woody Fragrance</t>
        </is>
      </c>
      <c r="J185" s="58" t="inlineStr">
        <is>
          <t>100ml</t>
        </is>
      </c>
      <c r="K185" s="58" t="n">
        <v>30.99</v>
      </c>
      <c r="L185" s="58" t="inlineStr">
        <is>
          <t>al haramain l'aventure intense</t>
        </is>
      </c>
      <c r="M185" s="58" t="inlineStr">
        <is>
          <t>al haramain l'aventure intense uk</t>
        </is>
      </c>
      <c r="N185" s="58" t="inlineStr">
        <is>
          <t>buy al haramain l'aventure intense online</t>
        </is>
      </c>
      <c r="O185" s="58" t="inlineStr">
        <is>
          <t>al haramain l'aventure intense price</t>
        </is>
      </c>
      <c r="P185" s="58" t="inlineStr">
        <is>
          <t>al haramain l'aventure intense eau de parfum</t>
        </is>
      </c>
      <c r="Q185" s="59">
        <f>IF(L185="","",IFERROR(INDEX('Semrush Data'!$A$1:$Z$20000,MATCH(L185,'Semrush Data'!$A$1:$A$20000,0),MATCH("Volume",'Semrush Data'!$A$1:$Z$1,0)),""))</f>
        <v/>
      </c>
      <c r="R185" s="59">
        <f>IF(M185="","",IFERROR(INDEX('Semrush Data'!$A$1:$Z$20000,MATCH(M185,'Semrush Data'!$A$1:$A$20000,0),MATCH("Volume",'Semrush Data'!$A$1:$Z$1,0)),""))</f>
        <v/>
      </c>
      <c r="S185" s="59">
        <f>IF(N185="","",IFERROR(INDEX('Semrush Data'!$A$1:$Z$20000,MATCH(N185,'Semrush Data'!$A$1:$A$20000,0),MATCH("Volume",'Semrush Data'!$A$1:$Z$1,0)),""))</f>
        <v/>
      </c>
      <c r="T185" s="59">
        <f>IF(O185="","",IFERROR(INDEX('Semrush Data'!$A$1:$Z$20000,MATCH(O185,'Semrush Data'!$A$1:$A$20000,0),MATCH("Volume",'Semrush Data'!$A$1:$Z$1,0)),""))</f>
        <v/>
      </c>
      <c r="U185" s="59">
        <f>IF(P185="","",IFERROR(INDEX('Semrush Data'!$A$1:$Z$20000,MATCH(P185,'Semrush Data'!$A$1:$A$20000,0),MATCH("Volume",'Semrush Data'!$A$1:$Z$1,0)),""))</f>
        <v/>
      </c>
      <c r="V185" s="60">
        <f>IF(COUNT(Q185:U185)=0,L185,IF(MAX(Q185:U185)=0,L185,INDEX(L185:P185,MATCH(MAX(Q185:U185),Q185:U185,0))))</f>
        <v/>
      </c>
      <c r="W185" s="59">
        <f>IFERROR(INDEX('Semrush Data'!$A$1:$Z$20000,MATCH(V185,'Semrush Data'!$A$1:$A$20000,0),MATCH("Volume",'Semrush Data'!$A$1:$Z$1,0)),"")</f>
        <v/>
      </c>
      <c r="X185" s="59">
        <f>IFERROR(INDEX('Semrush Data'!$A$1:$Z$20000,MATCH(V185,'Semrush Data'!$A$1:$A$20000,0),MATCH("Keyword Difficulty*",'Semrush Data'!$A$1:$Z$1,0)),"")</f>
        <v/>
      </c>
      <c r="Y185" s="61">
        <f>IFERROR(INDEX('Semrush Data'!$A$1:$Z$20000,MATCH(V185,'Semrush Data'!$A$1:$A$20000,0),MATCH("CPC*",'Semrush Data'!$A$1:$Z$1,0)),"")</f>
        <v/>
      </c>
      <c r="Z185" s="58" t="inlineStr">
        <is>
          <t>al haramain perfume · al haramain perfume for men · woody perfume for men uk</t>
        </is>
      </c>
      <c r="AA185" s="58" t="inlineStr">
        <is>
          <t>al haramain l'aventure intense dupe of · al haramain l'aventure intense eau de parfum · al haramain l'aventure intense review · al haramain l'aventure intense eau de parfum 100ml · al haramain l'aventure intense edp</t>
        </is>
      </c>
      <c r="AB185" s="58" t="inlineStr">
        <is>
          <t>Al Haramain L'Aventure Intense Eau de Parfum</t>
        </is>
      </c>
      <c r="AC185" s="58" t="inlineStr">
        <is>
          <t>Al Haramain L'Aventure Intense Eau de Parfum | Swansura UK</t>
        </is>
      </c>
      <c r="AD185" s="58">
        <f>LEN(AC185)</f>
        <v/>
      </c>
      <c r="AE185" s="58" t="inlineStr">
        <is>
          <t>Buy Al Haramain L'Aventure Intense Eau de Parfum online in the UK at Swansura. A woody men's eau de parfum, 100ml. 100% authentic, free UK delivery over £50.</t>
        </is>
      </c>
      <c r="AF185" s="58">
        <f>LEN(AE185)</f>
        <v/>
      </c>
    </row>
    <row r="186" ht="15" customHeight="1" s="37">
      <c r="A186" s="58" t="inlineStr">
        <is>
          <t>FR-026</t>
        </is>
      </c>
      <c r="B186" s="58" t="inlineStr">
        <is>
          <t>Fragrance Catalogue</t>
        </is>
      </c>
      <c r="C186" s="58" t="n">
        <v>26</v>
      </c>
      <c r="D186" s="58" t="inlineStr">
        <is>
          <t>Al Haramain</t>
        </is>
      </c>
      <c r="E186" s="58" t="n"/>
      <c r="F186" s="58" t="inlineStr">
        <is>
          <t>Fragrance</t>
        </is>
      </c>
      <c r="G186" s="58" t="inlineStr">
        <is>
          <t>Extrait de Parfum</t>
        </is>
      </c>
      <c r="H186" s="58" t="inlineStr">
        <is>
          <t>Amber · Unisex Fragrance</t>
        </is>
      </c>
      <c r="I186" s="58" t="inlineStr">
        <is>
          <t>Al Haramain Amber Oud Extreme Gold Edition Extrait de Parfum – Luxury Unisex Fruity Amber Fragrance</t>
        </is>
      </c>
      <c r="J186" s="58" t="inlineStr">
        <is>
          <t>60ml</t>
        </is>
      </c>
      <c r="K186" s="58" t="n">
        <v>37.99</v>
      </c>
      <c r="L186" s="58" t="inlineStr">
        <is>
          <t>al haramain amber oud extreme gold edition</t>
        </is>
      </c>
      <c r="M186" s="58" t="inlineStr">
        <is>
          <t>al haramain amber oud extreme gold edition uk</t>
        </is>
      </c>
      <c r="N186" s="58" t="inlineStr">
        <is>
          <t>buy al haramain amber oud extreme gold edition online</t>
        </is>
      </c>
      <c r="O186" s="58" t="inlineStr">
        <is>
          <t>al haramain amber oud extreme gold edition price</t>
        </is>
      </c>
      <c r="P186" s="58" t="inlineStr">
        <is>
          <t>al haramain amber oud extreme gold edition extrait de parfum</t>
        </is>
      </c>
      <c r="Q186" s="59">
        <f>IF(L186="","",IFERROR(INDEX('Semrush Data'!$A$1:$Z$20000,MATCH(L186,'Semrush Data'!$A$1:$A$20000,0),MATCH("Volume",'Semrush Data'!$A$1:$Z$1,0)),""))</f>
        <v/>
      </c>
      <c r="R186" s="59">
        <f>IF(M186="","",IFERROR(INDEX('Semrush Data'!$A$1:$Z$20000,MATCH(M186,'Semrush Data'!$A$1:$A$20000,0),MATCH("Volume",'Semrush Data'!$A$1:$Z$1,0)),""))</f>
        <v/>
      </c>
      <c r="S186" s="59">
        <f>IF(N186="","",IFERROR(INDEX('Semrush Data'!$A$1:$Z$20000,MATCH(N186,'Semrush Data'!$A$1:$A$20000,0),MATCH("Volume",'Semrush Data'!$A$1:$Z$1,0)),""))</f>
        <v/>
      </c>
      <c r="T186" s="59">
        <f>IF(O186="","",IFERROR(INDEX('Semrush Data'!$A$1:$Z$20000,MATCH(O186,'Semrush Data'!$A$1:$A$20000,0),MATCH("Volume",'Semrush Data'!$A$1:$Z$1,0)),""))</f>
        <v/>
      </c>
      <c r="U186" s="59">
        <f>IF(P186="","",IFERROR(INDEX('Semrush Data'!$A$1:$Z$20000,MATCH(P186,'Semrush Data'!$A$1:$A$20000,0),MATCH("Volume",'Semrush Data'!$A$1:$Z$1,0)),""))</f>
        <v/>
      </c>
      <c r="V186" s="60">
        <f>IF(COUNT(Q186:U186)=0,L186,IF(MAX(Q186:U186)=0,L186,INDEX(L186:P186,MATCH(MAX(Q186:U186),Q186:U186,0))))</f>
        <v/>
      </c>
      <c r="W186" s="59">
        <f>IFERROR(INDEX('Semrush Data'!$A$1:$Z$20000,MATCH(V186,'Semrush Data'!$A$1:$A$20000,0),MATCH("Volume",'Semrush Data'!$A$1:$Z$1,0)),"")</f>
        <v/>
      </c>
      <c r="X186" s="59">
        <f>IFERROR(INDEX('Semrush Data'!$A$1:$Z$20000,MATCH(V186,'Semrush Data'!$A$1:$A$20000,0),MATCH("Keyword Difficulty*",'Semrush Data'!$A$1:$Z$1,0)),"")</f>
        <v/>
      </c>
      <c r="Y186" s="61">
        <f>IFERROR(INDEX('Semrush Data'!$A$1:$Z$20000,MATCH(V186,'Semrush Data'!$A$1:$A$20000,0),MATCH("CPC*",'Semrush Data'!$A$1:$Z$1,0)),"")</f>
        <v/>
      </c>
      <c r="Z186" s="58" t="inlineStr">
        <is>
          <t>al haramain perfume · amber perfume uk</t>
        </is>
      </c>
      <c r="AA186" s="58" t="inlineStr">
        <is>
          <t>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is>
      </c>
      <c r="AB186" s="58" t="inlineStr">
        <is>
          <t>Al Haramain Amber Oud Extreme Gold Edition Extrait de Parfum</t>
        </is>
      </c>
      <c r="AC186" s="58" t="inlineStr">
        <is>
          <t>Al Haramain Amber Oud Extreme Gold Edition | Swansura UK</t>
        </is>
      </c>
      <c r="AD186" s="58">
        <f>LEN(AC186)</f>
        <v/>
      </c>
      <c r="AE186" s="58" t="inlineStr">
        <is>
          <t>Buy Al Haramain Amber Oud Extreme Gold Edition Extrait de Parfum at Swansura UK. An amber unisex extrait de parfum. 100% authentic, free UK delivery over £50.</t>
        </is>
      </c>
      <c r="AF186" s="58">
        <f>LEN(AE186)</f>
        <v/>
      </c>
    </row>
    <row r="187" ht="15" customHeight="1" s="37">
      <c r="A187" s="58" t="inlineStr">
        <is>
          <t>FR-027</t>
        </is>
      </c>
      <c r="B187" s="58" t="inlineStr">
        <is>
          <t>Fragrance Catalogue</t>
        </is>
      </c>
      <c r="C187" s="58" t="n">
        <v>27</v>
      </c>
      <c r="D187" s="58" t="inlineStr">
        <is>
          <t>anatomē</t>
        </is>
      </c>
      <c r="E187" s="58" t="inlineStr">
        <is>
          <t>Check brand</t>
        </is>
      </c>
      <c r="F187" s="58" t="inlineStr">
        <is>
          <t>Fragrance</t>
        </is>
      </c>
      <c r="G187" s="58" t="inlineStr">
        <is>
          <t>Eau de Parfum (EDP)</t>
        </is>
      </c>
      <c r="H187" s="58" t="inlineStr">
        <is>
          <t>Amber · Unisex Fragrance</t>
        </is>
      </c>
      <c r="I187" s="58" t="inlineStr">
        <is>
          <t>Balance Eau de Parfum | Centre the Mind &amp; Restore Calm 100ml</t>
        </is>
      </c>
      <c r="J187" s="58" t="inlineStr">
        <is>
          <t>100ml</t>
        </is>
      </c>
      <c r="K187" s="58" t="n">
        <v>125</v>
      </c>
      <c r="L187" s="58" t="inlineStr">
        <is>
          <t>anatome balance</t>
        </is>
      </c>
      <c r="M187" s="58" t="inlineStr">
        <is>
          <t>anatome balance uk</t>
        </is>
      </c>
      <c r="N187" s="58" t="inlineStr">
        <is>
          <t>buy anatome balance online</t>
        </is>
      </c>
      <c r="O187" s="58" t="inlineStr">
        <is>
          <t>anatome balance price</t>
        </is>
      </c>
      <c r="P187" s="58" t="inlineStr">
        <is>
          <t>anatome balance eau de parfum</t>
        </is>
      </c>
      <c r="Q187" s="59">
        <f>IF(L187="","",IFERROR(INDEX('Semrush Data'!$A$1:$Z$20000,MATCH(L187,'Semrush Data'!$A$1:$A$20000,0),MATCH("Volume",'Semrush Data'!$A$1:$Z$1,0)),""))</f>
        <v/>
      </c>
      <c r="R187" s="59">
        <f>IF(M187="","",IFERROR(INDEX('Semrush Data'!$A$1:$Z$20000,MATCH(M187,'Semrush Data'!$A$1:$A$20000,0),MATCH("Volume",'Semrush Data'!$A$1:$Z$1,0)),""))</f>
        <v/>
      </c>
      <c r="S187" s="59">
        <f>IF(N187="","",IFERROR(INDEX('Semrush Data'!$A$1:$Z$20000,MATCH(N187,'Semrush Data'!$A$1:$A$20000,0),MATCH("Volume",'Semrush Data'!$A$1:$Z$1,0)),""))</f>
        <v/>
      </c>
      <c r="T187" s="59">
        <f>IF(O187="","",IFERROR(INDEX('Semrush Data'!$A$1:$Z$20000,MATCH(O187,'Semrush Data'!$A$1:$A$20000,0),MATCH("Volume",'Semrush Data'!$A$1:$Z$1,0)),""))</f>
        <v/>
      </c>
      <c r="U187" s="59">
        <f>IF(P187="","",IFERROR(INDEX('Semrush Data'!$A$1:$Z$20000,MATCH(P187,'Semrush Data'!$A$1:$A$20000,0),MATCH("Volume",'Semrush Data'!$A$1:$Z$1,0)),""))</f>
        <v/>
      </c>
      <c r="V187" s="60">
        <f>IF(COUNT(Q187:U187)=0,L187,IF(MAX(Q187:U187)=0,L187,INDEX(L187:P187,MATCH(MAX(Q187:U187),Q187:U187,0))))</f>
        <v/>
      </c>
      <c r="W187" s="59">
        <f>IFERROR(INDEX('Semrush Data'!$A$1:$Z$20000,MATCH(V187,'Semrush Data'!$A$1:$A$20000,0),MATCH("Volume",'Semrush Data'!$A$1:$Z$1,0)),"")</f>
        <v/>
      </c>
      <c r="X187" s="59">
        <f>IFERROR(INDEX('Semrush Data'!$A$1:$Z$20000,MATCH(V187,'Semrush Data'!$A$1:$A$20000,0),MATCH("Keyword Difficulty*",'Semrush Data'!$A$1:$Z$1,0)),"")</f>
        <v/>
      </c>
      <c r="Y187" s="61">
        <f>IFERROR(INDEX('Semrush Data'!$A$1:$Z$20000,MATCH(V187,'Semrush Data'!$A$1:$A$20000,0),MATCH("CPC*",'Semrush Data'!$A$1:$Z$1,0)),"")</f>
        <v/>
      </c>
      <c r="Z187" s="58" t="inlineStr">
        <is>
          <t>anatomē perfume · amber perfume uk</t>
        </is>
      </c>
      <c r="AA187" s="58" t="inlineStr">
        <is>
          <t>anatome balance perfume</t>
        </is>
      </c>
      <c r="AB187" s="58" t="inlineStr">
        <is>
          <t>Balance Eau de Parfum</t>
        </is>
      </c>
      <c r="AC187" s="58" t="inlineStr">
        <is>
          <t>Balance Eau de Parfum 100ml | Buy Online UK | Swansura</t>
        </is>
      </c>
      <c r="AD187" s="58">
        <f>LEN(AC187)</f>
        <v/>
      </c>
      <c r="AE187" s="58" t="inlineStr">
        <is>
          <t>Buy Balance Eau de Parfum online in the UK at Swansura. An amber unisex eau de parfum, 100ml. 100% authentic, fast UK delivery, free over £50.</t>
        </is>
      </c>
      <c r="AF187" s="58">
        <f>LEN(AE187)</f>
        <v/>
      </c>
    </row>
    <row r="188" ht="15" customHeight="1" s="37">
      <c r="A188" s="58" t="inlineStr">
        <is>
          <t>FR-028</t>
        </is>
      </c>
      <c r="B188" s="58" t="inlineStr">
        <is>
          <t>Fragrance Catalogue</t>
        </is>
      </c>
      <c r="C188" s="58" t="n">
        <v>28</v>
      </c>
      <c r="D188" s="58" t="inlineStr">
        <is>
          <t>anatomē</t>
        </is>
      </c>
      <c r="E188" s="58" t="inlineStr">
        <is>
          <t>Check brand</t>
        </is>
      </c>
      <c r="F188" s="58" t="inlineStr">
        <is>
          <t>Fragrance</t>
        </is>
      </c>
      <c r="G188" s="58" t="inlineStr">
        <is>
          <t>Eau de Parfum (EDP)</t>
        </is>
      </c>
      <c r="H188" s="58" t="inlineStr">
        <is>
          <t>Amber · Unisex Fragrance</t>
        </is>
      </c>
      <c r="I188" s="58" t="inlineStr">
        <is>
          <t>Balance Eau de Parfum | Centre the Mind &amp; Restore Calm 100ml</t>
        </is>
      </c>
      <c r="J188" s="58" t="inlineStr">
        <is>
          <t>100ml</t>
        </is>
      </c>
      <c r="K188" s="58" t="n">
        <v>28</v>
      </c>
      <c r="L188" s="58" t="inlineStr">
        <is>
          <t>anatome balance</t>
        </is>
      </c>
      <c r="M188" s="58" t="inlineStr">
        <is>
          <t>anatome balance uk</t>
        </is>
      </c>
      <c r="N188" s="58" t="inlineStr">
        <is>
          <t>buy anatome balance online</t>
        </is>
      </c>
      <c r="O188" s="58" t="inlineStr">
        <is>
          <t>anatome balance price</t>
        </is>
      </c>
      <c r="P188" s="58" t="inlineStr">
        <is>
          <t>anatome balance eau de parfum</t>
        </is>
      </c>
      <c r="Q188" s="59">
        <f>IF(L188="","",IFERROR(INDEX('Semrush Data'!$A$1:$Z$20000,MATCH(L188,'Semrush Data'!$A$1:$A$20000,0),MATCH("Volume",'Semrush Data'!$A$1:$Z$1,0)),""))</f>
        <v/>
      </c>
      <c r="R188" s="59">
        <f>IF(M188="","",IFERROR(INDEX('Semrush Data'!$A$1:$Z$20000,MATCH(M188,'Semrush Data'!$A$1:$A$20000,0),MATCH("Volume",'Semrush Data'!$A$1:$Z$1,0)),""))</f>
        <v/>
      </c>
      <c r="S188" s="59">
        <f>IF(N188="","",IFERROR(INDEX('Semrush Data'!$A$1:$Z$20000,MATCH(N188,'Semrush Data'!$A$1:$A$20000,0),MATCH("Volume",'Semrush Data'!$A$1:$Z$1,0)),""))</f>
        <v/>
      </c>
      <c r="T188" s="59">
        <f>IF(O188="","",IFERROR(INDEX('Semrush Data'!$A$1:$Z$20000,MATCH(O188,'Semrush Data'!$A$1:$A$20000,0),MATCH("Volume",'Semrush Data'!$A$1:$Z$1,0)),""))</f>
        <v/>
      </c>
      <c r="U188" s="59">
        <f>IF(P188="","",IFERROR(INDEX('Semrush Data'!$A$1:$Z$20000,MATCH(P188,'Semrush Data'!$A$1:$A$20000,0),MATCH("Volume",'Semrush Data'!$A$1:$Z$1,0)),""))</f>
        <v/>
      </c>
      <c r="V188" s="60">
        <f>IF(COUNT(Q188:U188)=0,L188,IF(MAX(Q188:U188)=0,L188,INDEX(L188:P188,MATCH(MAX(Q188:U188),Q188:U188,0))))</f>
        <v/>
      </c>
      <c r="W188" s="59">
        <f>IFERROR(INDEX('Semrush Data'!$A$1:$Z$20000,MATCH(V188,'Semrush Data'!$A$1:$A$20000,0),MATCH("Volume",'Semrush Data'!$A$1:$Z$1,0)),"")</f>
        <v/>
      </c>
      <c r="X188" s="59">
        <f>IFERROR(INDEX('Semrush Data'!$A$1:$Z$20000,MATCH(V188,'Semrush Data'!$A$1:$A$20000,0),MATCH("Keyword Difficulty*",'Semrush Data'!$A$1:$Z$1,0)),"")</f>
        <v/>
      </c>
      <c r="Y188" s="61">
        <f>IFERROR(INDEX('Semrush Data'!$A$1:$Z$20000,MATCH(V188,'Semrush Data'!$A$1:$A$20000,0),MATCH("CPC*",'Semrush Data'!$A$1:$Z$1,0)),"")</f>
        <v/>
      </c>
      <c r="Z188" s="58" t="inlineStr">
        <is>
          <t>anatomē perfume · amber perfume uk</t>
        </is>
      </c>
      <c r="AA188" s="58" t="inlineStr">
        <is>
          <t>anatome balance perfume</t>
        </is>
      </c>
      <c r="AB188" s="58" t="inlineStr">
        <is>
          <t>Balance Eau de Parfum</t>
        </is>
      </c>
      <c r="AC188" s="58" t="inlineStr">
        <is>
          <t>Balance Eau de Parfum 100ml | Buy Online UK | Swansura</t>
        </is>
      </c>
      <c r="AD188" s="58">
        <f>LEN(AC188)</f>
        <v/>
      </c>
      <c r="AE188" s="58" t="inlineStr">
        <is>
          <t>Buy Balance Eau de Parfum online in the UK at Swansura. An amber unisex eau de parfum, 100ml. 100% authentic, fast UK delivery, free over £50.</t>
        </is>
      </c>
      <c r="AF188" s="58">
        <f>LEN(AE188)</f>
        <v/>
      </c>
    </row>
    <row r="189" ht="15" customHeight="1" s="37">
      <c r="A189" s="58" t="inlineStr">
        <is>
          <t>FR-029</t>
        </is>
      </c>
      <c r="B189" s="58" t="inlineStr">
        <is>
          <t>Fragrance Catalogue</t>
        </is>
      </c>
      <c r="C189" s="58" t="n">
        <v>29</v>
      </c>
      <c r="D189" s="58" t="inlineStr">
        <is>
          <t>anatomē</t>
        </is>
      </c>
      <c r="E189" s="58" t="inlineStr">
        <is>
          <t>Check brand</t>
        </is>
      </c>
      <c r="F189" s="58" t="inlineStr">
        <is>
          <t>Fragrance</t>
        </is>
      </c>
      <c r="G189" s="58" t="inlineStr">
        <is>
          <t>Eau de Parfum (EDP)</t>
        </is>
      </c>
      <c r="H189" s="58" t="inlineStr">
        <is>
          <t>Amber · Unisex Fragrance</t>
        </is>
      </c>
      <c r="I189" s="58" t="inlineStr">
        <is>
          <t>Balance Eau de Parfum | Centre the Mind &amp; Restore Calm 100ml</t>
        </is>
      </c>
      <c r="J189" s="58" t="inlineStr">
        <is>
          <t>100ml</t>
        </is>
      </c>
      <c r="K189" s="58" t="n">
        <v>68</v>
      </c>
      <c r="L189" s="58" t="inlineStr">
        <is>
          <t>anatome balance</t>
        </is>
      </c>
      <c r="M189" s="58" t="inlineStr">
        <is>
          <t>anatome balance uk</t>
        </is>
      </c>
      <c r="N189" s="58" t="inlineStr">
        <is>
          <t>buy anatome balance online</t>
        </is>
      </c>
      <c r="O189" s="58" t="inlineStr">
        <is>
          <t>anatome balance price</t>
        </is>
      </c>
      <c r="P189" s="58" t="inlineStr">
        <is>
          <t>anatome balance eau de parfum</t>
        </is>
      </c>
      <c r="Q189" s="59">
        <f>IF(L189="","",IFERROR(INDEX('Semrush Data'!$A$1:$Z$20000,MATCH(L189,'Semrush Data'!$A$1:$A$20000,0),MATCH("Volume",'Semrush Data'!$A$1:$Z$1,0)),""))</f>
        <v/>
      </c>
      <c r="R189" s="59">
        <f>IF(M189="","",IFERROR(INDEX('Semrush Data'!$A$1:$Z$20000,MATCH(M189,'Semrush Data'!$A$1:$A$20000,0),MATCH("Volume",'Semrush Data'!$A$1:$Z$1,0)),""))</f>
        <v/>
      </c>
      <c r="S189" s="59">
        <f>IF(N189="","",IFERROR(INDEX('Semrush Data'!$A$1:$Z$20000,MATCH(N189,'Semrush Data'!$A$1:$A$20000,0),MATCH("Volume",'Semrush Data'!$A$1:$Z$1,0)),""))</f>
        <v/>
      </c>
      <c r="T189" s="59">
        <f>IF(O189="","",IFERROR(INDEX('Semrush Data'!$A$1:$Z$20000,MATCH(O189,'Semrush Data'!$A$1:$A$20000,0),MATCH("Volume",'Semrush Data'!$A$1:$Z$1,0)),""))</f>
        <v/>
      </c>
      <c r="U189" s="59">
        <f>IF(P189="","",IFERROR(INDEX('Semrush Data'!$A$1:$Z$20000,MATCH(P189,'Semrush Data'!$A$1:$A$20000,0),MATCH("Volume",'Semrush Data'!$A$1:$Z$1,0)),""))</f>
        <v/>
      </c>
      <c r="V189" s="60">
        <f>IF(COUNT(Q189:U189)=0,L189,IF(MAX(Q189:U189)=0,L189,INDEX(L189:P189,MATCH(MAX(Q189:U189),Q189:U189,0))))</f>
        <v/>
      </c>
      <c r="W189" s="59">
        <f>IFERROR(INDEX('Semrush Data'!$A$1:$Z$20000,MATCH(V189,'Semrush Data'!$A$1:$A$20000,0),MATCH("Volume",'Semrush Data'!$A$1:$Z$1,0)),"")</f>
        <v/>
      </c>
      <c r="X189" s="59">
        <f>IFERROR(INDEX('Semrush Data'!$A$1:$Z$20000,MATCH(V189,'Semrush Data'!$A$1:$A$20000,0),MATCH("Keyword Difficulty*",'Semrush Data'!$A$1:$Z$1,0)),"")</f>
        <v/>
      </c>
      <c r="Y189" s="61">
        <f>IFERROR(INDEX('Semrush Data'!$A$1:$Z$20000,MATCH(V189,'Semrush Data'!$A$1:$A$20000,0),MATCH("CPC*",'Semrush Data'!$A$1:$Z$1,0)),"")</f>
        <v/>
      </c>
      <c r="Z189" s="58" t="inlineStr">
        <is>
          <t>anatomē perfume · amber perfume uk</t>
        </is>
      </c>
      <c r="AA189" s="58" t="inlineStr">
        <is>
          <t>anatome balance perfume</t>
        </is>
      </c>
      <c r="AB189" s="58" t="inlineStr">
        <is>
          <t>Balance Eau de Parfum</t>
        </is>
      </c>
      <c r="AC189" s="58" t="inlineStr">
        <is>
          <t>Balance Eau de Parfum 100ml | Buy Online UK | Swansura</t>
        </is>
      </c>
      <c r="AD189" s="58">
        <f>LEN(AC189)</f>
        <v/>
      </c>
      <c r="AE189" s="58" t="inlineStr">
        <is>
          <t>Buy Balance Eau de Parfum online in the UK at Swansura. An amber unisex eau de parfum, 100ml. 100% authentic, fast UK delivery, free over £50.</t>
        </is>
      </c>
      <c r="AF189" s="58">
        <f>LEN(AE189)</f>
        <v/>
      </c>
    </row>
    <row r="190" ht="15" customHeight="1" s="37">
      <c r="A190" s="58" t="inlineStr">
        <is>
          <t>FR-030</t>
        </is>
      </c>
      <c r="B190" s="58" t="inlineStr">
        <is>
          <t>Fragrance Catalogue</t>
        </is>
      </c>
      <c r="C190" s="58" t="n">
        <v>30</v>
      </c>
      <c r="D190" s="58" t="inlineStr">
        <is>
          <t>anatomē</t>
        </is>
      </c>
      <c r="E190" s="58" t="inlineStr">
        <is>
          <t>Check brand</t>
        </is>
      </c>
      <c r="F190" s="58" t="inlineStr">
        <is>
          <t>Fragrance</t>
        </is>
      </c>
      <c r="G190" s="58" t="inlineStr">
        <is>
          <t>Eau de Parfum (EDP)</t>
        </is>
      </c>
      <c r="H190" s="58" t="inlineStr">
        <is>
          <t>Amber · Unisex Fragrance</t>
        </is>
      </c>
      <c r="I190" s="58" t="inlineStr">
        <is>
          <t>Energy Eau de Parfum | Enhance Endurance &amp; Sharpen Clarity 100ml</t>
        </is>
      </c>
      <c r="J190" s="58" t="inlineStr">
        <is>
          <t>100ml</t>
        </is>
      </c>
      <c r="K190" s="58" t="n">
        <v>125</v>
      </c>
      <c r="L190" s="58" t="inlineStr">
        <is>
          <t>anatome energy</t>
        </is>
      </c>
      <c r="M190" s="58" t="inlineStr">
        <is>
          <t>anatome energy uk</t>
        </is>
      </c>
      <c r="N190" s="58" t="inlineStr">
        <is>
          <t>buy anatome energy online</t>
        </is>
      </c>
      <c r="O190" s="58" t="inlineStr">
        <is>
          <t>anatome energy price</t>
        </is>
      </c>
      <c r="P190" s="58" t="inlineStr">
        <is>
          <t>anatome energy eau de parfum</t>
        </is>
      </c>
      <c r="Q190" s="59">
        <f>IF(L190="","",IFERROR(INDEX('Semrush Data'!$A$1:$Z$20000,MATCH(L190,'Semrush Data'!$A$1:$A$20000,0),MATCH("Volume",'Semrush Data'!$A$1:$Z$1,0)),""))</f>
        <v/>
      </c>
      <c r="R190" s="59">
        <f>IF(M190="","",IFERROR(INDEX('Semrush Data'!$A$1:$Z$20000,MATCH(M190,'Semrush Data'!$A$1:$A$20000,0),MATCH("Volume",'Semrush Data'!$A$1:$Z$1,0)),""))</f>
        <v/>
      </c>
      <c r="S190" s="59">
        <f>IF(N190="","",IFERROR(INDEX('Semrush Data'!$A$1:$Z$20000,MATCH(N190,'Semrush Data'!$A$1:$A$20000,0),MATCH("Volume",'Semrush Data'!$A$1:$Z$1,0)),""))</f>
        <v/>
      </c>
      <c r="T190" s="59">
        <f>IF(O190="","",IFERROR(INDEX('Semrush Data'!$A$1:$Z$20000,MATCH(O190,'Semrush Data'!$A$1:$A$20000,0),MATCH("Volume",'Semrush Data'!$A$1:$Z$1,0)),""))</f>
        <v/>
      </c>
      <c r="U190" s="59">
        <f>IF(P190="","",IFERROR(INDEX('Semrush Data'!$A$1:$Z$20000,MATCH(P190,'Semrush Data'!$A$1:$A$20000,0),MATCH("Volume",'Semrush Data'!$A$1:$Z$1,0)),""))</f>
        <v/>
      </c>
      <c r="V190" s="60">
        <f>IF(COUNT(Q190:U190)=0,L190,IF(MAX(Q190:U190)=0,L190,INDEX(L190:P190,MATCH(MAX(Q190:U190),Q190:U190,0))))</f>
        <v/>
      </c>
      <c r="W190" s="59">
        <f>IFERROR(INDEX('Semrush Data'!$A$1:$Z$20000,MATCH(V190,'Semrush Data'!$A$1:$A$20000,0),MATCH("Volume",'Semrush Data'!$A$1:$Z$1,0)),"")</f>
        <v/>
      </c>
      <c r="X190" s="59">
        <f>IFERROR(INDEX('Semrush Data'!$A$1:$Z$20000,MATCH(V190,'Semrush Data'!$A$1:$A$20000,0),MATCH("Keyword Difficulty*",'Semrush Data'!$A$1:$Z$1,0)),"")</f>
        <v/>
      </c>
      <c r="Y190" s="61">
        <f>IFERROR(INDEX('Semrush Data'!$A$1:$Z$20000,MATCH(V190,'Semrush Data'!$A$1:$A$20000,0),MATCH("CPC*",'Semrush Data'!$A$1:$Z$1,0)),"")</f>
        <v/>
      </c>
      <c r="Z190" s="58" t="inlineStr">
        <is>
          <t>anatomē perfume · amber perfume uk</t>
        </is>
      </c>
      <c r="AA190" s="58" t="inlineStr">
        <is>
          <t>anatome energy perfume</t>
        </is>
      </c>
      <c r="AB190" s="58" t="inlineStr">
        <is>
          <t>Energy Eau de Parfum</t>
        </is>
      </c>
      <c r="AC190" s="58" t="inlineStr">
        <is>
          <t>Energy Eau de Parfum 100ml | Buy Online UK | Swansura</t>
        </is>
      </c>
      <c r="AD190" s="58">
        <f>LEN(AC190)</f>
        <v/>
      </c>
      <c r="AE190" s="58" t="inlineStr">
        <is>
          <t>Buy Energy Eau de Parfum online in the UK at Swansura. An amber unisex eau de parfum, 100ml. 100% authentic, fast UK delivery, free over £50.</t>
        </is>
      </c>
      <c r="AF190" s="58">
        <f>LEN(AE190)</f>
        <v/>
      </c>
    </row>
    <row r="191" ht="15" customHeight="1" s="37">
      <c r="A191" s="58" t="inlineStr">
        <is>
          <t>FR-031</t>
        </is>
      </c>
      <c r="B191" s="58" t="inlineStr">
        <is>
          <t>Fragrance Catalogue</t>
        </is>
      </c>
      <c r="C191" s="58" t="n">
        <v>31</v>
      </c>
      <c r="D191" s="58" t="inlineStr">
        <is>
          <t>anatomē</t>
        </is>
      </c>
      <c r="E191" s="58" t="inlineStr">
        <is>
          <t>Check brand</t>
        </is>
      </c>
      <c r="F191" s="58" t="inlineStr">
        <is>
          <t>Fragrance</t>
        </is>
      </c>
      <c r="G191" s="58" t="inlineStr">
        <is>
          <t>Eau de Parfum (EDP)</t>
        </is>
      </c>
      <c r="H191" s="58" t="inlineStr">
        <is>
          <t>Amber · Unisex Fragrance</t>
        </is>
      </c>
      <c r="I191" s="58" t="inlineStr">
        <is>
          <t>Energy Eau de Parfum | Enhance Endurance &amp; Sharpen Clarity 100ml</t>
        </is>
      </c>
      <c r="J191" s="58" t="inlineStr">
        <is>
          <t>100ml</t>
        </is>
      </c>
      <c r="K191" s="58" t="n">
        <v>28</v>
      </c>
      <c r="L191" s="58" t="inlineStr">
        <is>
          <t>anatome energy</t>
        </is>
      </c>
      <c r="M191" s="58" t="inlineStr">
        <is>
          <t>anatome energy uk</t>
        </is>
      </c>
      <c r="N191" s="58" t="inlineStr">
        <is>
          <t>buy anatome energy online</t>
        </is>
      </c>
      <c r="O191" s="58" t="inlineStr">
        <is>
          <t>anatome energy price</t>
        </is>
      </c>
      <c r="P191" s="58" t="inlineStr">
        <is>
          <t>anatome energy eau de parfum</t>
        </is>
      </c>
      <c r="Q191" s="59">
        <f>IF(L191="","",IFERROR(INDEX('Semrush Data'!$A$1:$Z$20000,MATCH(L191,'Semrush Data'!$A$1:$A$20000,0),MATCH("Volume",'Semrush Data'!$A$1:$Z$1,0)),""))</f>
        <v/>
      </c>
      <c r="R191" s="59">
        <f>IF(M191="","",IFERROR(INDEX('Semrush Data'!$A$1:$Z$20000,MATCH(M191,'Semrush Data'!$A$1:$A$20000,0),MATCH("Volume",'Semrush Data'!$A$1:$Z$1,0)),""))</f>
        <v/>
      </c>
      <c r="S191" s="59">
        <f>IF(N191="","",IFERROR(INDEX('Semrush Data'!$A$1:$Z$20000,MATCH(N191,'Semrush Data'!$A$1:$A$20000,0),MATCH("Volume",'Semrush Data'!$A$1:$Z$1,0)),""))</f>
        <v/>
      </c>
      <c r="T191" s="59">
        <f>IF(O191="","",IFERROR(INDEX('Semrush Data'!$A$1:$Z$20000,MATCH(O191,'Semrush Data'!$A$1:$A$20000,0),MATCH("Volume",'Semrush Data'!$A$1:$Z$1,0)),""))</f>
        <v/>
      </c>
      <c r="U191" s="59">
        <f>IF(P191="","",IFERROR(INDEX('Semrush Data'!$A$1:$Z$20000,MATCH(P191,'Semrush Data'!$A$1:$A$20000,0),MATCH("Volume",'Semrush Data'!$A$1:$Z$1,0)),""))</f>
        <v/>
      </c>
      <c r="V191" s="60">
        <f>IF(COUNT(Q191:U191)=0,L191,IF(MAX(Q191:U191)=0,L191,INDEX(L191:P191,MATCH(MAX(Q191:U191),Q191:U191,0))))</f>
        <v/>
      </c>
      <c r="W191" s="59">
        <f>IFERROR(INDEX('Semrush Data'!$A$1:$Z$20000,MATCH(V191,'Semrush Data'!$A$1:$A$20000,0),MATCH("Volume",'Semrush Data'!$A$1:$Z$1,0)),"")</f>
        <v/>
      </c>
      <c r="X191" s="59">
        <f>IFERROR(INDEX('Semrush Data'!$A$1:$Z$20000,MATCH(V191,'Semrush Data'!$A$1:$A$20000,0),MATCH("Keyword Difficulty*",'Semrush Data'!$A$1:$Z$1,0)),"")</f>
        <v/>
      </c>
      <c r="Y191" s="61">
        <f>IFERROR(INDEX('Semrush Data'!$A$1:$Z$20000,MATCH(V191,'Semrush Data'!$A$1:$A$20000,0),MATCH("CPC*",'Semrush Data'!$A$1:$Z$1,0)),"")</f>
        <v/>
      </c>
      <c r="Z191" s="58" t="inlineStr">
        <is>
          <t>anatomē perfume · amber perfume uk</t>
        </is>
      </c>
      <c r="AA191" s="58" t="inlineStr">
        <is>
          <t>anatome energy perfume</t>
        </is>
      </c>
      <c r="AB191" s="58" t="inlineStr">
        <is>
          <t>Energy Eau de Parfum</t>
        </is>
      </c>
      <c r="AC191" s="58" t="inlineStr">
        <is>
          <t>Energy Eau de Parfum 100ml | Buy Online UK | Swansura</t>
        </is>
      </c>
      <c r="AD191" s="58">
        <f>LEN(AC191)</f>
        <v/>
      </c>
      <c r="AE191" s="58" t="inlineStr">
        <is>
          <t>Buy Energy Eau de Parfum online in the UK at Swansura. An amber unisex eau de parfum, 100ml. 100% authentic, fast UK delivery, free over £50.</t>
        </is>
      </c>
      <c r="AF191" s="58">
        <f>LEN(AE191)</f>
        <v/>
      </c>
    </row>
    <row r="192" ht="15" customHeight="1" s="37">
      <c r="A192" s="58" t="inlineStr">
        <is>
          <t>FR-032</t>
        </is>
      </c>
      <c r="B192" s="58" t="inlineStr">
        <is>
          <t>Fragrance Catalogue</t>
        </is>
      </c>
      <c r="C192" s="58" t="n">
        <v>32</v>
      </c>
      <c r="D192" s="58" t="inlineStr">
        <is>
          <t>anatomē</t>
        </is>
      </c>
      <c r="E192" s="58" t="inlineStr">
        <is>
          <t>Check brand</t>
        </is>
      </c>
      <c r="F192" s="58" t="inlineStr">
        <is>
          <t>Fragrance</t>
        </is>
      </c>
      <c r="G192" s="58" t="inlineStr">
        <is>
          <t>Eau de Parfum (EDP)</t>
        </is>
      </c>
      <c r="H192" s="58" t="inlineStr">
        <is>
          <t>Amber · Unisex Fragrance</t>
        </is>
      </c>
      <c r="I192" s="58" t="inlineStr">
        <is>
          <t>Energy Eau de Parfum | Enhance Endurance &amp; Sharpen Clarity 100ml</t>
        </is>
      </c>
      <c r="J192" s="58" t="inlineStr">
        <is>
          <t>100ml</t>
        </is>
      </c>
      <c r="K192" s="58" t="n">
        <v>68</v>
      </c>
      <c r="L192" s="58" t="inlineStr">
        <is>
          <t>anatome energy</t>
        </is>
      </c>
      <c r="M192" s="58" t="inlineStr">
        <is>
          <t>anatome energy uk</t>
        </is>
      </c>
      <c r="N192" s="58" t="inlineStr">
        <is>
          <t>buy anatome energy online</t>
        </is>
      </c>
      <c r="O192" s="58" t="inlineStr">
        <is>
          <t>anatome energy price</t>
        </is>
      </c>
      <c r="P192" s="58" t="inlineStr">
        <is>
          <t>anatome energy eau de parfum</t>
        </is>
      </c>
      <c r="Q192" s="59">
        <f>IF(L192="","",IFERROR(INDEX('Semrush Data'!$A$1:$Z$20000,MATCH(L192,'Semrush Data'!$A$1:$A$20000,0),MATCH("Volume",'Semrush Data'!$A$1:$Z$1,0)),""))</f>
        <v/>
      </c>
      <c r="R192" s="59">
        <f>IF(M192="","",IFERROR(INDEX('Semrush Data'!$A$1:$Z$20000,MATCH(M192,'Semrush Data'!$A$1:$A$20000,0),MATCH("Volume",'Semrush Data'!$A$1:$Z$1,0)),""))</f>
        <v/>
      </c>
      <c r="S192" s="59">
        <f>IF(N192="","",IFERROR(INDEX('Semrush Data'!$A$1:$Z$20000,MATCH(N192,'Semrush Data'!$A$1:$A$20000,0),MATCH("Volume",'Semrush Data'!$A$1:$Z$1,0)),""))</f>
        <v/>
      </c>
      <c r="T192" s="59">
        <f>IF(O192="","",IFERROR(INDEX('Semrush Data'!$A$1:$Z$20000,MATCH(O192,'Semrush Data'!$A$1:$A$20000,0),MATCH("Volume",'Semrush Data'!$A$1:$Z$1,0)),""))</f>
        <v/>
      </c>
      <c r="U192" s="59">
        <f>IF(P192="","",IFERROR(INDEX('Semrush Data'!$A$1:$Z$20000,MATCH(P192,'Semrush Data'!$A$1:$A$20000,0),MATCH("Volume",'Semrush Data'!$A$1:$Z$1,0)),""))</f>
        <v/>
      </c>
      <c r="V192" s="60">
        <f>IF(COUNT(Q192:U192)=0,L192,IF(MAX(Q192:U192)=0,L192,INDEX(L192:P192,MATCH(MAX(Q192:U192),Q192:U192,0))))</f>
        <v/>
      </c>
      <c r="W192" s="59">
        <f>IFERROR(INDEX('Semrush Data'!$A$1:$Z$20000,MATCH(V192,'Semrush Data'!$A$1:$A$20000,0),MATCH("Volume",'Semrush Data'!$A$1:$Z$1,0)),"")</f>
        <v/>
      </c>
      <c r="X192" s="59">
        <f>IFERROR(INDEX('Semrush Data'!$A$1:$Z$20000,MATCH(V192,'Semrush Data'!$A$1:$A$20000,0),MATCH("Keyword Difficulty*",'Semrush Data'!$A$1:$Z$1,0)),"")</f>
        <v/>
      </c>
      <c r="Y192" s="61">
        <f>IFERROR(INDEX('Semrush Data'!$A$1:$Z$20000,MATCH(V192,'Semrush Data'!$A$1:$A$20000,0),MATCH("CPC*",'Semrush Data'!$A$1:$Z$1,0)),"")</f>
        <v/>
      </c>
      <c r="Z192" s="58" t="inlineStr">
        <is>
          <t>anatomē perfume · amber perfume uk</t>
        </is>
      </c>
      <c r="AA192" s="58" t="inlineStr">
        <is>
          <t>anatome energy perfume</t>
        </is>
      </c>
      <c r="AB192" s="58" t="inlineStr">
        <is>
          <t>Energy Eau de Parfum</t>
        </is>
      </c>
      <c r="AC192" s="58" t="inlineStr">
        <is>
          <t>Energy Eau de Parfum 100ml | Buy Online UK | Swansura</t>
        </is>
      </c>
      <c r="AD192" s="58">
        <f>LEN(AC192)</f>
        <v/>
      </c>
      <c r="AE192" s="58" t="inlineStr">
        <is>
          <t>Buy Energy Eau de Parfum online in the UK at Swansura. An amber unisex eau de parfum, 100ml. 100% authentic, fast UK delivery, free over £50.</t>
        </is>
      </c>
      <c r="AF192" s="58">
        <f>LEN(AE192)</f>
        <v/>
      </c>
    </row>
    <row r="193" ht="15" customHeight="1" s="37">
      <c r="A193" s="58" t="inlineStr">
        <is>
          <t>FR-033</t>
        </is>
      </c>
      <c r="B193" s="58" t="inlineStr">
        <is>
          <t>Fragrance Catalogue</t>
        </is>
      </c>
      <c r="C193" s="58" t="n">
        <v>33</v>
      </c>
      <c r="D193" s="58" t="inlineStr">
        <is>
          <t>anatomē</t>
        </is>
      </c>
      <c r="E193" s="58" t="inlineStr">
        <is>
          <t>Check brand</t>
        </is>
      </c>
      <c r="F193" s="58" t="inlineStr">
        <is>
          <t>Fragrance</t>
        </is>
      </c>
      <c r="G193" s="58" t="inlineStr">
        <is>
          <t>Eau de Parfum (EDP)</t>
        </is>
      </c>
      <c r="H193" s="58" t="inlineStr">
        <is>
          <t>Amber · Unisex Fragrance</t>
        </is>
      </c>
      <c r="I193" s="58" t="inlineStr">
        <is>
          <t>Expression Eau de Parfum | Open the Breath &amp; Support Expression 100ml</t>
        </is>
      </c>
      <c r="J193" s="58" t="inlineStr">
        <is>
          <t>100ml</t>
        </is>
      </c>
      <c r="K193" s="58" t="n">
        <v>125</v>
      </c>
      <c r="L193" s="58" t="inlineStr">
        <is>
          <t>anatome expression</t>
        </is>
      </c>
      <c r="M193" s="58" t="inlineStr">
        <is>
          <t>anatome expression uk</t>
        </is>
      </c>
      <c r="N193" s="58" t="inlineStr">
        <is>
          <t>buy anatome expression online</t>
        </is>
      </c>
      <c r="O193" s="58" t="inlineStr">
        <is>
          <t>anatome expression price</t>
        </is>
      </c>
      <c r="P193" s="58" t="inlineStr">
        <is>
          <t>anatome expression eau de parfum</t>
        </is>
      </c>
      <c r="Q193" s="59">
        <f>IF(L193="","",IFERROR(INDEX('Semrush Data'!$A$1:$Z$20000,MATCH(L193,'Semrush Data'!$A$1:$A$20000,0),MATCH("Volume",'Semrush Data'!$A$1:$Z$1,0)),""))</f>
        <v/>
      </c>
      <c r="R193" s="59">
        <f>IF(M193="","",IFERROR(INDEX('Semrush Data'!$A$1:$Z$20000,MATCH(M193,'Semrush Data'!$A$1:$A$20000,0),MATCH("Volume",'Semrush Data'!$A$1:$Z$1,0)),""))</f>
        <v/>
      </c>
      <c r="S193" s="59">
        <f>IF(N193="","",IFERROR(INDEX('Semrush Data'!$A$1:$Z$20000,MATCH(N193,'Semrush Data'!$A$1:$A$20000,0),MATCH("Volume",'Semrush Data'!$A$1:$Z$1,0)),""))</f>
        <v/>
      </c>
      <c r="T193" s="59">
        <f>IF(O193="","",IFERROR(INDEX('Semrush Data'!$A$1:$Z$20000,MATCH(O193,'Semrush Data'!$A$1:$A$20000,0),MATCH("Volume",'Semrush Data'!$A$1:$Z$1,0)),""))</f>
        <v/>
      </c>
      <c r="U193" s="59">
        <f>IF(P193="","",IFERROR(INDEX('Semrush Data'!$A$1:$Z$20000,MATCH(P193,'Semrush Data'!$A$1:$A$20000,0),MATCH("Volume",'Semrush Data'!$A$1:$Z$1,0)),""))</f>
        <v/>
      </c>
      <c r="V193" s="60">
        <f>IF(COUNT(Q193:U193)=0,L193,IF(MAX(Q193:U193)=0,L193,INDEX(L193:P193,MATCH(MAX(Q193:U193),Q193:U193,0))))</f>
        <v/>
      </c>
      <c r="W193" s="59">
        <f>IFERROR(INDEX('Semrush Data'!$A$1:$Z$20000,MATCH(V193,'Semrush Data'!$A$1:$A$20000,0),MATCH("Volume",'Semrush Data'!$A$1:$Z$1,0)),"")</f>
        <v/>
      </c>
      <c r="X193" s="59">
        <f>IFERROR(INDEX('Semrush Data'!$A$1:$Z$20000,MATCH(V193,'Semrush Data'!$A$1:$A$20000,0),MATCH("Keyword Difficulty*",'Semrush Data'!$A$1:$Z$1,0)),"")</f>
        <v/>
      </c>
      <c r="Y193" s="61">
        <f>IFERROR(INDEX('Semrush Data'!$A$1:$Z$20000,MATCH(V193,'Semrush Data'!$A$1:$A$20000,0),MATCH("CPC*",'Semrush Data'!$A$1:$Z$1,0)),"")</f>
        <v/>
      </c>
      <c r="Z193" s="58" t="inlineStr">
        <is>
          <t>anatomē perfume · amber perfume uk</t>
        </is>
      </c>
      <c r="AA193" s="58" t="n"/>
      <c r="AB193" s="58" t="inlineStr">
        <is>
          <t>Expression Eau de Parfum</t>
        </is>
      </c>
      <c r="AC193" s="58" t="inlineStr">
        <is>
          <t>Expression Eau de Parfum | Buy Online UK | Swansura</t>
        </is>
      </c>
      <c r="AD193" s="58">
        <f>LEN(AC193)</f>
        <v/>
      </c>
      <c r="AE193" s="58" t="inlineStr">
        <is>
          <t>Buy Expression Eau de Parfum online in the UK at Swansura. An amber unisex eau de parfum, 100ml. 100% authentic, fast UK delivery, free over £50.</t>
        </is>
      </c>
      <c r="AF193" s="58">
        <f>LEN(AE193)</f>
        <v/>
      </c>
    </row>
    <row r="194" ht="15" customHeight="1" s="37">
      <c r="A194" s="58" t="inlineStr">
        <is>
          <t>FR-034</t>
        </is>
      </c>
      <c r="B194" s="58" t="inlineStr">
        <is>
          <t>Fragrance Catalogue</t>
        </is>
      </c>
      <c r="C194" s="58" t="n">
        <v>34</v>
      </c>
      <c r="D194" s="58" t="inlineStr">
        <is>
          <t>anatomē</t>
        </is>
      </c>
      <c r="E194" s="58" t="inlineStr">
        <is>
          <t>Check brand</t>
        </is>
      </c>
      <c r="F194" s="58" t="inlineStr">
        <is>
          <t>Fragrance</t>
        </is>
      </c>
      <c r="G194" s="58" t="inlineStr">
        <is>
          <t>Eau de Parfum (EDP)</t>
        </is>
      </c>
      <c r="H194" s="58" t="inlineStr">
        <is>
          <t>Amber · Unisex Fragrance</t>
        </is>
      </c>
      <c r="I194" s="58" t="inlineStr">
        <is>
          <t>Expression Eau de Parfum | Open the Breath &amp; Support Expression 100ml</t>
        </is>
      </c>
      <c r="J194" s="58" t="inlineStr">
        <is>
          <t>100ml</t>
        </is>
      </c>
      <c r="K194" s="58" t="n">
        <v>28</v>
      </c>
      <c r="L194" s="58" t="inlineStr">
        <is>
          <t>anatome expression</t>
        </is>
      </c>
      <c r="M194" s="58" t="inlineStr">
        <is>
          <t>anatome expression uk</t>
        </is>
      </c>
      <c r="N194" s="58" t="inlineStr">
        <is>
          <t>buy anatome expression online</t>
        </is>
      </c>
      <c r="O194" s="58" t="inlineStr">
        <is>
          <t>anatome expression price</t>
        </is>
      </c>
      <c r="P194" s="58" t="inlineStr">
        <is>
          <t>anatome expression eau de parfum</t>
        </is>
      </c>
      <c r="Q194" s="59">
        <f>IF(L194="","",IFERROR(INDEX('Semrush Data'!$A$1:$Z$20000,MATCH(L194,'Semrush Data'!$A$1:$A$20000,0),MATCH("Volume",'Semrush Data'!$A$1:$Z$1,0)),""))</f>
        <v/>
      </c>
      <c r="R194" s="59">
        <f>IF(M194="","",IFERROR(INDEX('Semrush Data'!$A$1:$Z$20000,MATCH(M194,'Semrush Data'!$A$1:$A$20000,0),MATCH("Volume",'Semrush Data'!$A$1:$Z$1,0)),""))</f>
        <v/>
      </c>
      <c r="S194" s="59">
        <f>IF(N194="","",IFERROR(INDEX('Semrush Data'!$A$1:$Z$20000,MATCH(N194,'Semrush Data'!$A$1:$A$20000,0),MATCH("Volume",'Semrush Data'!$A$1:$Z$1,0)),""))</f>
        <v/>
      </c>
      <c r="T194" s="59">
        <f>IF(O194="","",IFERROR(INDEX('Semrush Data'!$A$1:$Z$20000,MATCH(O194,'Semrush Data'!$A$1:$A$20000,0),MATCH("Volume",'Semrush Data'!$A$1:$Z$1,0)),""))</f>
        <v/>
      </c>
      <c r="U194" s="59">
        <f>IF(P194="","",IFERROR(INDEX('Semrush Data'!$A$1:$Z$20000,MATCH(P194,'Semrush Data'!$A$1:$A$20000,0),MATCH("Volume",'Semrush Data'!$A$1:$Z$1,0)),""))</f>
        <v/>
      </c>
      <c r="V194" s="60">
        <f>IF(COUNT(Q194:U194)=0,L194,IF(MAX(Q194:U194)=0,L194,INDEX(L194:P194,MATCH(MAX(Q194:U194),Q194:U194,0))))</f>
        <v/>
      </c>
      <c r="W194" s="59">
        <f>IFERROR(INDEX('Semrush Data'!$A$1:$Z$20000,MATCH(V194,'Semrush Data'!$A$1:$A$20000,0),MATCH("Volume",'Semrush Data'!$A$1:$Z$1,0)),"")</f>
        <v/>
      </c>
      <c r="X194" s="59">
        <f>IFERROR(INDEX('Semrush Data'!$A$1:$Z$20000,MATCH(V194,'Semrush Data'!$A$1:$A$20000,0),MATCH("Keyword Difficulty*",'Semrush Data'!$A$1:$Z$1,0)),"")</f>
        <v/>
      </c>
      <c r="Y194" s="61">
        <f>IFERROR(INDEX('Semrush Data'!$A$1:$Z$20000,MATCH(V194,'Semrush Data'!$A$1:$A$20000,0),MATCH("CPC*",'Semrush Data'!$A$1:$Z$1,0)),"")</f>
        <v/>
      </c>
      <c r="Z194" s="58" t="inlineStr">
        <is>
          <t>anatomē perfume · amber perfume uk</t>
        </is>
      </c>
      <c r="AA194" s="58" t="n"/>
      <c r="AB194" s="58" t="inlineStr">
        <is>
          <t>Expression Eau de Parfum</t>
        </is>
      </c>
      <c r="AC194" s="58" t="inlineStr">
        <is>
          <t>Expression Eau de Parfum | Buy Online UK | Swansura</t>
        </is>
      </c>
      <c r="AD194" s="58">
        <f>LEN(AC194)</f>
        <v/>
      </c>
      <c r="AE194" s="58" t="inlineStr">
        <is>
          <t>Buy Expression Eau de Parfum online in the UK at Swansura. An amber unisex eau de parfum, 100ml. 100% authentic, fast UK delivery, free over £50.</t>
        </is>
      </c>
      <c r="AF194" s="58">
        <f>LEN(AE194)</f>
        <v/>
      </c>
    </row>
    <row r="195" ht="15" customHeight="1" s="37">
      <c r="A195" s="58" t="inlineStr">
        <is>
          <t>FR-035</t>
        </is>
      </c>
      <c r="B195" s="58" t="inlineStr">
        <is>
          <t>Fragrance Catalogue</t>
        </is>
      </c>
      <c r="C195" s="58" t="n">
        <v>35</v>
      </c>
      <c r="D195" s="58" t="inlineStr">
        <is>
          <t>anatomē</t>
        </is>
      </c>
      <c r="E195" s="58" t="inlineStr">
        <is>
          <t>Check brand</t>
        </is>
      </c>
      <c r="F195" s="58" t="inlineStr">
        <is>
          <t>Fragrance</t>
        </is>
      </c>
      <c r="G195" s="58" t="inlineStr">
        <is>
          <t>Eau de Parfum (EDP)</t>
        </is>
      </c>
      <c r="H195" s="58" t="inlineStr">
        <is>
          <t>Amber · Unisex Fragrance</t>
        </is>
      </c>
      <c r="I195" s="58" t="inlineStr">
        <is>
          <t>Expression Eau de Parfum | Open the Breath &amp; Support Expression 100ml</t>
        </is>
      </c>
      <c r="J195" s="58" t="inlineStr">
        <is>
          <t>100ml</t>
        </is>
      </c>
      <c r="K195" s="58" t="n">
        <v>68</v>
      </c>
      <c r="L195" s="58" t="inlineStr">
        <is>
          <t>anatome expression</t>
        </is>
      </c>
      <c r="M195" s="58" t="inlineStr">
        <is>
          <t>anatome expression uk</t>
        </is>
      </c>
      <c r="N195" s="58" t="inlineStr">
        <is>
          <t>buy anatome expression online</t>
        </is>
      </c>
      <c r="O195" s="58" t="inlineStr">
        <is>
          <t>anatome expression price</t>
        </is>
      </c>
      <c r="P195" s="58" t="inlineStr">
        <is>
          <t>anatome expression eau de parfum</t>
        </is>
      </c>
      <c r="Q195" s="59">
        <f>IF(L195="","",IFERROR(INDEX('Semrush Data'!$A$1:$Z$20000,MATCH(L195,'Semrush Data'!$A$1:$A$20000,0),MATCH("Volume",'Semrush Data'!$A$1:$Z$1,0)),""))</f>
        <v/>
      </c>
      <c r="R195" s="59">
        <f>IF(M195="","",IFERROR(INDEX('Semrush Data'!$A$1:$Z$20000,MATCH(M195,'Semrush Data'!$A$1:$A$20000,0),MATCH("Volume",'Semrush Data'!$A$1:$Z$1,0)),""))</f>
        <v/>
      </c>
      <c r="S195" s="59">
        <f>IF(N195="","",IFERROR(INDEX('Semrush Data'!$A$1:$Z$20000,MATCH(N195,'Semrush Data'!$A$1:$A$20000,0),MATCH("Volume",'Semrush Data'!$A$1:$Z$1,0)),""))</f>
        <v/>
      </c>
      <c r="T195" s="59">
        <f>IF(O195="","",IFERROR(INDEX('Semrush Data'!$A$1:$Z$20000,MATCH(O195,'Semrush Data'!$A$1:$A$20000,0),MATCH("Volume",'Semrush Data'!$A$1:$Z$1,0)),""))</f>
        <v/>
      </c>
      <c r="U195" s="59">
        <f>IF(P195="","",IFERROR(INDEX('Semrush Data'!$A$1:$Z$20000,MATCH(P195,'Semrush Data'!$A$1:$A$20000,0),MATCH("Volume",'Semrush Data'!$A$1:$Z$1,0)),""))</f>
        <v/>
      </c>
      <c r="V195" s="60">
        <f>IF(COUNT(Q195:U195)=0,L195,IF(MAX(Q195:U195)=0,L195,INDEX(L195:P195,MATCH(MAX(Q195:U195),Q195:U195,0))))</f>
        <v/>
      </c>
      <c r="W195" s="59">
        <f>IFERROR(INDEX('Semrush Data'!$A$1:$Z$20000,MATCH(V195,'Semrush Data'!$A$1:$A$20000,0),MATCH("Volume",'Semrush Data'!$A$1:$Z$1,0)),"")</f>
        <v/>
      </c>
      <c r="X195" s="59">
        <f>IFERROR(INDEX('Semrush Data'!$A$1:$Z$20000,MATCH(V195,'Semrush Data'!$A$1:$A$20000,0),MATCH("Keyword Difficulty*",'Semrush Data'!$A$1:$Z$1,0)),"")</f>
        <v/>
      </c>
      <c r="Y195" s="61">
        <f>IFERROR(INDEX('Semrush Data'!$A$1:$Z$20000,MATCH(V195,'Semrush Data'!$A$1:$A$20000,0),MATCH("CPC*",'Semrush Data'!$A$1:$Z$1,0)),"")</f>
        <v/>
      </c>
      <c r="Z195" s="58" t="inlineStr">
        <is>
          <t>anatomē perfume · amber perfume uk</t>
        </is>
      </c>
      <c r="AA195" s="58" t="n"/>
      <c r="AB195" s="58" t="inlineStr">
        <is>
          <t>Expression Eau de Parfum</t>
        </is>
      </c>
      <c r="AC195" s="58" t="inlineStr">
        <is>
          <t>Expression Eau de Parfum | Buy Online UK | Swansura</t>
        </is>
      </c>
      <c r="AD195" s="58">
        <f>LEN(AC195)</f>
        <v/>
      </c>
      <c r="AE195" s="58" t="inlineStr">
        <is>
          <t>Buy Expression Eau de Parfum online in the UK at Swansura. An amber unisex eau de parfum, 100ml. 100% authentic, fast UK delivery, free over £50.</t>
        </is>
      </c>
      <c r="AF195" s="58">
        <f>LEN(AE195)</f>
        <v/>
      </c>
    </row>
    <row r="196" ht="15" customHeight="1" s="37">
      <c r="A196" s="58" t="inlineStr">
        <is>
          <t>FR-036</t>
        </is>
      </c>
      <c r="B196" s="58" t="inlineStr">
        <is>
          <t>Fragrance Catalogue</t>
        </is>
      </c>
      <c r="C196" s="58" t="n">
        <v>36</v>
      </c>
      <c r="D196" s="58" t="inlineStr">
        <is>
          <t>anatomē</t>
        </is>
      </c>
      <c r="E196" s="58" t="inlineStr">
        <is>
          <t>Check brand</t>
        </is>
      </c>
      <c r="F196" s="58" t="inlineStr">
        <is>
          <t>Fragrance</t>
        </is>
      </c>
      <c r="G196" s="58" t="inlineStr">
        <is>
          <t>Eau de Parfum (EDP)</t>
        </is>
      </c>
      <c r="H196" s="58" t="inlineStr">
        <is>
          <t>Amber · Unisex Fragrance</t>
        </is>
      </c>
      <c r="I196" s="58" t="inlineStr">
        <is>
          <t>Focus Eau de Parfum | Sharpen Focus &amp; Awaken the Senses 100ml</t>
        </is>
      </c>
      <c r="J196" s="58" t="inlineStr">
        <is>
          <t>100ml</t>
        </is>
      </c>
      <c r="K196" s="58" t="n">
        <v>125</v>
      </c>
      <c r="L196" s="58" t="inlineStr">
        <is>
          <t>anatome focus</t>
        </is>
      </c>
      <c r="M196" s="58" t="inlineStr">
        <is>
          <t>anatome focus uk</t>
        </is>
      </c>
      <c r="N196" s="58" t="inlineStr">
        <is>
          <t>buy anatome focus online</t>
        </is>
      </c>
      <c r="O196" s="58" t="inlineStr">
        <is>
          <t>anatome focus price</t>
        </is>
      </c>
      <c r="P196" s="58" t="inlineStr">
        <is>
          <t>anatome focus eau de parfum</t>
        </is>
      </c>
      <c r="Q196" s="59">
        <f>IF(L196="","",IFERROR(INDEX('Semrush Data'!$A$1:$Z$20000,MATCH(L196,'Semrush Data'!$A$1:$A$20000,0),MATCH("Volume",'Semrush Data'!$A$1:$Z$1,0)),""))</f>
        <v/>
      </c>
      <c r="R196" s="59">
        <f>IF(M196="","",IFERROR(INDEX('Semrush Data'!$A$1:$Z$20000,MATCH(M196,'Semrush Data'!$A$1:$A$20000,0),MATCH("Volume",'Semrush Data'!$A$1:$Z$1,0)),""))</f>
        <v/>
      </c>
      <c r="S196" s="59">
        <f>IF(N196="","",IFERROR(INDEX('Semrush Data'!$A$1:$Z$20000,MATCH(N196,'Semrush Data'!$A$1:$A$20000,0),MATCH("Volume",'Semrush Data'!$A$1:$Z$1,0)),""))</f>
        <v/>
      </c>
      <c r="T196" s="59">
        <f>IF(O196="","",IFERROR(INDEX('Semrush Data'!$A$1:$Z$20000,MATCH(O196,'Semrush Data'!$A$1:$A$20000,0),MATCH("Volume",'Semrush Data'!$A$1:$Z$1,0)),""))</f>
        <v/>
      </c>
      <c r="U196" s="59">
        <f>IF(P196="","",IFERROR(INDEX('Semrush Data'!$A$1:$Z$20000,MATCH(P196,'Semrush Data'!$A$1:$A$20000,0),MATCH("Volume",'Semrush Data'!$A$1:$Z$1,0)),""))</f>
        <v/>
      </c>
      <c r="V196" s="60">
        <f>IF(COUNT(Q196:U196)=0,L196,IF(MAX(Q196:U196)=0,L196,INDEX(L196:P196,MATCH(MAX(Q196:U196),Q196:U196,0))))</f>
        <v/>
      </c>
      <c r="W196" s="59">
        <f>IFERROR(INDEX('Semrush Data'!$A$1:$Z$20000,MATCH(V196,'Semrush Data'!$A$1:$A$20000,0),MATCH("Volume",'Semrush Data'!$A$1:$Z$1,0)),"")</f>
        <v/>
      </c>
      <c r="X196" s="59">
        <f>IFERROR(INDEX('Semrush Data'!$A$1:$Z$20000,MATCH(V196,'Semrush Data'!$A$1:$A$20000,0),MATCH("Keyword Difficulty*",'Semrush Data'!$A$1:$Z$1,0)),"")</f>
        <v/>
      </c>
      <c r="Y196" s="61">
        <f>IFERROR(INDEX('Semrush Data'!$A$1:$Z$20000,MATCH(V196,'Semrush Data'!$A$1:$A$20000,0),MATCH("CPC*",'Semrush Data'!$A$1:$Z$1,0)),"")</f>
        <v/>
      </c>
      <c r="Z196" s="58" t="inlineStr">
        <is>
          <t>anatomē perfume · amber perfume uk</t>
        </is>
      </c>
      <c r="AA196" s="58" t="inlineStr">
        <is>
          <t>anatome focus parfum</t>
        </is>
      </c>
      <c r="AB196" s="58" t="inlineStr">
        <is>
          <t>Focus Eau de Parfum</t>
        </is>
      </c>
      <c r="AC196" s="58" t="inlineStr">
        <is>
          <t>Focus Eau de Parfum 100ml | Buy Online UK | Swansura</t>
        </is>
      </c>
      <c r="AD196" s="58">
        <f>LEN(AC196)</f>
        <v/>
      </c>
      <c r="AE196" s="58" t="inlineStr">
        <is>
          <t>Buy Focus Eau de Parfum online in the UK at Swansura. An amber unisex eau de parfum, 100ml. 100% authentic, fast UK delivery, free over £50.</t>
        </is>
      </c>
      <c r="AF196" s="58">
        <f>LEN(AE196)</f>
        <v/>
      </c>
    </row>
    <row r="197" ht="15" customHeight="1" s="37">
      <c r="A197" s="58" t="inlineStr">
        <is>
          <t>FR-037</t>
        </is>
      </c>
      <c r="B197" s="58" t="inlineStr">
        <is>
          <t>Fragrance Catalogue</t>
        </is>
      </c>
      <c r="C197" s="58" t="n">
        <v>37</v>
      </c>
      <c r="D197" s="58" t="inlineStr">
        <is>
          <t>anatomē</t>
        </is>
      </c>
      <c r="E197" s="58" t="inlineStr">
        <is>
          <t>Check brand</t>
        </is>
      </c>
      <c r="F197" s="58" t="inlineStr">
        <is>
          <t>Fragrance</t>
        </is>
      </c>
      <c r="G197" s="58" t="inlineStr">
        <is>
          <t>Eau de Parfum (EDP)</t>
        </is>
      </c>
      <c r="H197" s="58" t="inlineStr">
        <is>
          <t>Amber · Unisex Fragrance</t>
        </is>
      </c>
      <c r="I197" s="58" t="inlineStr">
        <is>
          <t>Focus Eau de Parfum | Sharpen Focus &amp; Awaken the Senses 100ml</t>
        </is>
      </c>
      <c r="J197" s="58" t="inlineStr">
        <is>
          <t>100ml</t>
        </is>
      </c>
      <c r="K197" s="58" t="n">
        <v>28</v>
      </c>
      <c r="L197" s="58" t="inlineStr">
        <is>
          <t>anatome focus</t>
        </is>
      </c>
      <c r="M197" s="58" t="inlineStr">
        <is>
          <t>anatome focus uk</t>
        </is>
      </c>
      <c r="N197" s="58" t="inlineStr">
        <is>
          <t>buy anatome focus online</t>
        </is>
      </c>
      <c r="O197" s="58" t="inlineStr">
        <is>
          <t>anatome focus price</t>
        </is>
      </c>
      <c r="P197" s="58" t="inlineStr">
        <is>
          <t>anatome focus eau de parfum</t>
        </is>
      </c>
      <c r="Q197" s="59">
        <f>IF(L197="","",IFERROR(INDEX('Semrush Data'!$A$1:$Z$20000,MATCH(L197,'Semrush Data'!$A$1:$A$20000,0),MATCH("Volume",'Semrush Data'!$A$1:$Z$1,0)),""))</f>
        <v/>
      </c>
      <c r="R197" s="59">
        <f>IF(M197="","",IFERROR(INDEX('Semrush Data'!$A$1:$Z$20000,MATCH(M197,'Semrush Data'!$A$1:$A$20000,0),MATCH("Volume",'Semrush Data'!$A$1:$Z$1,0)),""))</f>
        <v/>
      </c>
      <c r="S197" s="59">
        <f>IF(N197="","",IFERROR(INDEX('Semrush Data'!$A$1:$Z$20000,MATCH(N197,'Semrush Data'!$A$1:$A$20000,0),MATCH("Volume",'Semrush Data'!$A$1:$Z$1,0)),""))</f>
        <v/>
      </c>
      <c r="T197" s="59">
        <f>IF(O197="","",IFERROR(INDEX('Semrush Data'!$A$1:$Z$20000,MATCH(O197,'Semrush Data'!$A$1:$A$20000,0),MATCH("Volume",'Semrush Data'!$A$1:$Z$1,0)),""))</f>
        <v/>
      </c>
      <c r="U197" s="59">
        <f>IF(P197="","",IFERROR(INDEX('Semrush Data'!$A$1:$Z$20000,MATCH(P197,'Semrush Data'!$A$1:$A$20000,0),MATCH("Volume",'Semrush Data'!$A$1:$Z$1,0)),""))</f>
        <v/>
      </c>
      <c r="V197" s="60">
        <f>IF(COUNT(Q197:U197)=0,L197,IF(MAX(Q197:U197)=0,L197,INDEX(L197:P197,MATCH(MAX(Q197:U197),Q197:U197,0))))</f>
        <v/>
      </c>
      <c r="W197" s="59">
        <f>IFERROR(INDEX('Semrush Data'!$A$1:$Z$20000,MATCH(V197,'Semrush Data'!$A$1:$A$20000,0),MATCH("Volume",'Semrush Data'!$A$1:$Z$1,0)),"")</f>
        <v/>
      </c>
      <c r="X197" s="59">
        <f>IFERROR(INDEX('Semrush Data'!$A$1:$Z$20000,MATCH(V197,'Semrush Data'!$A$1:$A$20000,0),MATCH("Keyword Difficulty*",'Semrush Data'!$A$1:$Z$1,0)),"")</f>
        <v/>
      </c>
      <c r="Y197" s="61">
        <f>IFERROR(INDEX('Semrush Data'!$A$1:$Z$20000,MATCH(V197,'Semrush Data'!$A$1:$A$20000,0),MATCH("CPC*",'Semrush Data'!$A$1:$Z$1,0)),"")</f>
        <v/>
      </c>
      <c r="Z197" s="58" t="inlineStr">
        <is>
          <t>anatomē perfume · amber perfume uk</t>
        </is>
      </c>
      <c r="AA197" s="58" t="inlineStr">
        <is>
          <t>anatome focus parfum</t>
        </is>
      </c>
      <c r="AB197" s="58" t="inlineStr">
        <is>
          <t>Focus Eau de Parfum</t>
        </is>
      </c>
      <c r="AC197" s="58" t="inlineStr">
        <is>
          <t>Focus Eau de Parfum 100ml | Buy Online UK | Swansura</t>
        </is>
      </c>
      <c r="AD197" s="58">
        <f>LEN(AC197)</f>
        <v/>
      </c>
      <c r="AE197" s="58" t="inlineStr">
        <is>
          <t>Buy Focus Eau de Parfum online in the UK at Swansura. An amber unisex eau de parfum, 100ml. 100% authentic, fast UK delivery, free over £50.</t>
        </is>
      </c>
      <c r="AF197" s="58">
        <f>LEN(AE197)</f>
        <v/>
      </c>
    </row>
    <row r="198" ht="15" customHeight="1" s="37">
      <c r="A198" s="58" t="inlineStr">
        <is>
          <t>FR-038</t>
        </is>
      </c>
      <c r="B198" s="58" t="inlineStr">
        <is>
          <t>Fragrance Catalogue</t>
        </is>
      </c>
      <c r="C198" s="58" t="n">
        <v>38</v>
      </c>
      <c r="D198" s="58" t="inlineStr">
        <is>
          <t>anatomē</t>
        </is>
      </c>
      <c r="E198" s="58" t="inlineStr">
        <is>
          <t>Check brand</t>
        </is>
      </c>
      <c r="F198" s="58" t="inlineStr">
        <is>
          <t>Fragrance</t>
        </is>
      </c>
      <c r="G198" s="58" t="inlineStr">
        <is>
          <t>Eau de Parfum (EDP)</t>
        </is>
      </c>
      <c r="H198" s="58" t="inlineStr">
        <is>
          <t>Amber · Unisex Fragrance</t>
        </is>
      </c>
      <c r="I198" s="58" t="inlineStr">
        <is>
          <t>Focus Eau de Parfum | Sharpen Focus &amp; Awaken the Senses 100ml</t>
        </is>
      </c>
      <c r="J198" s="58" t="inlineStr">
        <is>
          <t>100ml</t>
        </is>
      </c>
      <c r="K198" s="58" t="n">
        <v>68</v>
      </c>
      <c r="L198" s="58" t="inlineStr">
        <is>
          <t>anatome focus</t>
        </is>
      </c>
      <c r="M198" s="58" t="inlineStr">
        <is>
          <t>anatome focus uk</t>
        </is>
      </c>
      <c r="N198" s="58" t="inlineStr">
        <is>
          <t>buy anatome focus online</t>
        </is>
      </c>
      <c r="O198" s="58" t="inlineStr">
        <is>
          <t>anatome focus price</t>
        </is>
      </c>
      <c r="P198" s="58" t="inlineStr">
        <is>
          <t>anatome focus eau de parfum</t>
        </is>
      </c>
      <c r="Q198" s="59">
        <f>IF(L198="","",IFERROR(INDEX('Semrush Data'!$A$1:$Z$20000,MATCH(L198,'Semrush Data'!$A$1:$A$20000,0),MATCH("Volume",'Semrush Data'!$A$1:$Z$1,0)),""))</f>
        <v/>
      </c>
      <c r="R198" s="59">
        <f>IF(M198="","",IFERROR(INDEX('Semrush Data'!$A$1:$Z$20000,MATCH(M198,'Semrush Data'!$A$1:$A$20000,0),MATCH("Volume",'Semrush Data'!$A$1:$Z$1,0)),""))</f>
        <v/>
      </c>
      <c r="S198" s="59">
        <f>IF(N198="","",IFERROR(INDEX('Semrush Data'!$A$1:$Z$20000,MATCH(N198,'Semrush Data'!$A$1:$A$20000,0),MATCH("Volume",'Semrush Data'!$A$1:$Z$1,0)),""))</f>
        <v/>
      </c>
      <c r="T198" s="59">
        <f>IF(O198="","",IFERROR(INDEX('Semrush Data'!$A$1:$Z$20000,MATCH(O198,'Semrush Data'!$A$1:$A$20000,0),MATCH("Volume",'Semrush Data'!$A$1:$Z$1,0)),""))</f>
        <v/>
      </c>
      <c r="U198" s="59">
        <f>IF(P198="","",IFERROR(INDEX('Semrush Data'!$A$1:$Z$20000,MATCH(P198,'Semrush Data'!$A$1:$A$20000,0),MATCH("Volume",'Semrush Data'!$A$1:$Z$1,0)),""))</f>
        <v/>
      </c>
      <c r="V198" s="60">
        <f>IF(COUNT(Q198:U198)=0,L198,IF(MAX(Q198:U198)=0,L198,INDEX(L198:P198,MATCH(MAX(Q198:U198),Q198:U198,0))))</f>
        <v/>
      </c>
      <c r="W198" s="59">
        <f>IFERROR(INDEX('Semrush Data'!$A$1:$Z$20000,MATCH(V198,'Semrush Data'!$A$1:$A$20000,0),MATCH("Volume",'Semrush Data'!$A$1:$Z$1,0)),"")</f>
        <v/>
      </c>
      <c r="X198" s="59">
        <f>IFERROR(INDEX('Semrush Data'!$A$1:$Z$20000,MATCH(V198,'Semrush Data'!$A$1:$A$20000,0),MATCH("Keyword Difficulty*",'Semrush Data'!$A$1:$Z$1,0)),"")</f>
        <v/>
      </c>
      <c r="Y198" s="61">
        <f>IFERROR(INDEX('Semrush Data'!$A$1:$Z$20000,MATCH(V198,'Semrush Data'!$A$1:$A$20000,0),MATCH("CPC*",'Semrush Data'!$A$1:$Z$1,0)),"")</f>
        <v/>
      </c>
      <c r="Z198" s="58" t="inlineStr">
        <is>
          <t>anatomē perfume · amber perfume uk</t>
        </is>
      </c>
      <c r="AA198" s="58" t="inlineStr">
        <is>
          <t>anatome focus parfum</t>
        </is>
      </c>
      <c r="AB198" s="58" t="inlineStr">
        <is>
          <t>Focus Eau de Parfum</t>
        </is>
      </c>
      <c r="AC198" s="58" t="inlineStr">
        <is>
          <t>Focus Eau de Parfum 100ml | Buy Online UK | Swansura</t>
        </is>
      </c>
      <c r="AD198" s="58">
        <f>LEN(AC198)</f>
        <v/>
      </c>
      <c r="AE198" s="58" t="inlineStr">
        <is>
          <t>Buy Focus Eau de Parfum online in the UK at Swansura. An amber unisex eau de parfum, 100ml. 100% authentic, fast UK delivery, free over £50.</t>
        </is>
      </c>
      <c r="AF198" s="58">
        <f>LEN(AE198)</f>
        <v/>
      </c>
    </row>
    <row r="199" ht="15" customHeight="1" s="37">
      <c r="A199" s="58" t="inlineStr">
        <is>
          <t>FR-039</t>
        </is>
      </c>
      <c r="B199" s="58" t="inlineStr">
        <is>
          <t>Fragrance Catalogue</t>
        </is>
      </c>
      <c r="C199" s="58" t="n">
        <v>39</v>
      </c>
      <c r="D199" s="58" t="inlineStr">
        <is>
          <t>anatomē</t>
        </is>
      </c>
      <c r="E199" s="58" t="inlineStr">
        <is>
          <t>Check brand</t>
        </is>
      </c>
      <c r="F199" s="58" t="inlineStr">
        <is>
          <t>Fragrance</t>
        </is>
      </c>
      <c r="G199" s="58" t="inlineStr">
        <is>
          <t>Eau de Parfum (EDP)</t>
        </is>
      </c>
      <c r="H199" s="58" t="inlineStr">
        <is>
          <t>Amber · Unisex Fragrance</t>
        </is>
      </c>
      <c r="I199" s="58" t="inlineStr">
        <is>
          <t>Support Eau de Parfum | Protective, herbaceous &amp; restorative</t>
        </is>
      </c>
      <c r="J199" s="58" t="inlineStr">
        <is>
          <t>Not specified</t>
        </is>
      </c>
      <c r="K199" s="58" t="n">
        <v>125</v>
      </c>
      <c r="L199" s="58" t="inlineStr">
        <is>
          <t>anatome support</t>
        </is>
      </c>
      <c r="M199" s="58" t="inlineStr">
        <is>
          <t>anatome support uk</t>
        </is>
      </c>
      <c r="N199" s="58" t="inlineStr">
        <is>
          <t>buy anatome support online</t>
        </is>
      </c>
      <c r="O199" s="58" t="inlineStr">
        <is>
          <t>anatome support price</t>
        </is>
      </c>
      <c r="P199" s="58" t="inlineStr">
        <is>
          <t>anatome support eau de parfum</t>
        </is>
      </c>
      <c r="Q199" s="59">
        <f>IF(L199="","",IFERROR(INDEX('Semrush Data'!$A$1:$Z$20000,MATCH(L199,'Semrush Data'!$A$1:$A$20000,0),MATCH("Volume",'Semrush Data'!$A$1:$Z$1,0)),""))</f>
        <v/>
      </c>
      <c r="R199" s="59">
        <f>IF(M199="","",IFERROR(INDEX('Semrush Data'!$A$1:$Z$20000,MATCH(M199,'Semrush Data'!$A$1:$A$20000,0),MATCH("Volume",'Semrush Data'!$A$1:$Z$1,0)),""))</f>
        <v/>
      </c>
      <c r="S199" s="59">
        <f>IF(N199="","",IFERROR(INDEX('Semrush Data'!$A$1:$Z$20000,MATCH(N199,'Semrush Data'!$A$1:$A$20000,0),MATCH("Volume",'Semrush Data'!$A$1:$Z$1,0)),""))</f>
        <v/>
      </c>
      <c r="T199" s="59">
        <f>IF(O199="","",IFERROR(INDEX('Semrush Data'!$A$1:$Z$20000,MATCH(O199,'Semrush Data'!$A$1:$A$20000,0),MATCH("Volume",'Semrush Data'!$A$1:$Z$1,0)),""))</f>
        <v/>
      </c>
      <c r="U199" s="59">
        <f>IF(P199="","",IFERROR(INDEX('Semrush Data'!$A$1:$Z$20000,MATCH(P199,'Semrush Data'!$A$1:$A$20000,0),MATCH("Volume",'Semrush Data'!$A$1:$Z$1,0)),""))</f>
        <v/>
      </c>
      <c r="V199" s="60">
        <f>IF(COUNT(Q199:U199)=0,L199,IF(MAX(Q199:U199)=0,L199,INDEX(L199:P199,MATCH(MAX(Q199:U199),Q199:U199,0))))</f>
        <v/>
      </c>
      <c r="W199" s="59">
        <f>IFERROR(INDEX('Semrush Data'!$A$1:$Z$20000,MATCH(V199,'Semrush Data'!$A$1:$A$20000,0),MATCH("Volume",'Semrush Data'!$A$1:$Z$1,0)),"")</f>
        <v/>
      </c>
      <c r="X199" s="59">
        <f>IFERROR(INDEX('Semrush Data'!$A$1:$Z$20000,MATCH(V199,'Semrush Data'!$A$1:$A$20000,0),MATCH("Keyword Difficulty*",'Semrush Data'!$A$1:$Z$1,0)),"")</f>
        <v/>
      </c>
      <c r="Y199" s="61">
        <f>IFERROR(INDEX('Semrush Data'!$A$1:$Z$20000,MATCH(V199,'Semrush Data'!$A$1:$A$20000,0),MATCH("CPC*",'Semrush Data'!$A$1:$Z$1,0)),"")</f>
        <v/>
      </c>
      <c r="Z199" s="58" t="inlineStr">
        <is>
          <t>anatomē perfume · amber perfume uk</t>
        </is>
      </c>
      <c r="AA199" s="58" t="n"/>
      <c r="AB199" s="58" t="inlineStr">
        <is>
          <t>Support Eau de Parfum</t>
        </is>
      </c>
      <c r="AC199" s="58" t="inlineStr">
        <is>
          <t>Support EDP Notspecified | Buy Online UK | Swansura</t>
        </is>
      </c>
      <c r="AD199" s="58">
        <f>LEN(AC199)</f>
        <v/>
      </c>
      <c r="AE199" s="58" t="inlineStr">
        <is>
          <t>Buy Support Eau de Parfum online in the UK at Swansura. An amber unisex eau de parfum, Notspecified. 100% authentic, fast UK delivery, free over £50.</t>
        </is>
      </c>
      <c r="AF199" s="58">
        <f>LEN(AE199)</f>
        <v/>
      </c>
    </row>
    <row r="200" ht="15" customHeight="1" s="37">
      <c r="A200" s="58" t="inlineStr">
        <is>
          <t>FR-040</t>
        </is>
      </c>
      <c r="B200" s="58" t="inlineStr">
        <is>
          <t>Fragrance Catalogue</t>
        </is>
      </c>
      <c r="C200" s="58" t="n">
        <v>40</v>
      </c>
      <c r="D200" s="58" t="inlineStr">
        <is>
          <t>anatomē</t>
        </is>
      </c>
      <c r="E200" s="58" t="inlineStr">
        <is>
          <t>Check brand</t>
        </is>
      </c>
      <c r="F200" s="58" t="inlineStr">
        <is>
          <t>Fragrance</t>
        </is>
      </c>
      <c r="G200" s="58" t="inlineStr">
        <is>
          <t>Eau de Parfum (EDP)</t>
        </is>
      </c>
      <c r="H200" s="58" t="inlineStr">
        <is>
          <t>Amber · Unisex Fragrance</t>
        </is>
      </c>
      <c r="I200" s="58" t="inlineStr">
        <is>
          <t>Support Eau de Parfum | Protective, herbaceous &amp; restorative</t>
        </is>
      </c>
      <c r="J200" s="58" t="inlineStr">
        <is>
          <t>Not specified</t>
        </is>
      </c>
      <c r="K200" s="58" t="n">
        <v>28</v>
      </c>
      <c r="L200" s="58" t="inlineStr">
        <is>
          <t>anatome support</t>
        </is>
      </c>
      <c r="M200" s="58" t="inlineStr">
        <is>
          <t>anatome support uk</t>
        </is>
      </c>
      <c r="N200" s="58" t="inlineStr">
        <is>
          <t>buy anatome support online</t>
        </is>
      </c>
      <c r="O200" s="58" t="inlineStr">
        <is>
          <t>anatome support price</t>
        </is>
      </c>
      <c r="P200" s="58" t="inlineStr">
        <is>
          <t>anatome support eau de parfum</t>
        </is>
      </c>
      <c r="Q200" s="59">
        <f>IF(L200="","",IFERROR(INDEX('Semrush Data'!$A$1:$Z$20000,MATCH(L200,'Semrush Data'!$A$1:$A$20000,0),MATCH("Volume",'Semrush Data'!$A$1:$Z$1,0)),""))</f>
        <v/>
      </c>
      <c r="R200" s="59">
        <f>IF(M200="","",IFERROR(INDEX('Semrush Data'!$A$1:$Z$20000,MATCH(M200,'Semrush Data'!$A$1:$A$20000,0),MATCH("Volume",'Semrush Data'!$A$1:$Z$1,0)),""))</f>
        <v/>
      </c>
      <c r="S200" s="59">
        <f>IF(N200="","",IFERROR(INDEX('Semrush Data'!$A$1:$Z$20000,MATCH(N200,'Semrush Data'!$A$1:$A$20000,0),MATCH("Volume",'Semrush Data'!$A$1:$Z$1,0)),""))</f>
        <v/>
      </c>
      <c r="T200" s="59">
        <f>IF(O200="","",IFERROR(INDEX('Semrush Data'!$A$1:$Z$20000,MATCH(O200,'Semrush Data'!$A$1:$A$20000,0),MATCH("Volume",'Semrush Data'!$A$1:$Z$1,0)),""))</f>
        <v/>
      </c>
      <c r="U200" s="59">
        <f>IF(P200="","",IFERROR(INDEX('Semrush Data'!$A$1:$Z$20000,MATCH(P200,'Semrush Data'!$A$1:$A$20000,0),MATCH("Volume",'Semrush Data'!$A$1:$Z$1,0)),""))</f>
        <v/>
      </c>
      <c r="V200" s="60">
        <f>IF(COUNT(Q200:U200)=0,L200,IF(MAX(Q200:U200)=0,L200,INDEX(L200:P200,MATCH(MAX(Q200:U200),Q200:U200,0))))</f>
        <v/>
      </c>
      <c r="W200" s="59">
        <f>IFERROR(INDEX('Semrush Data'!$A$1:$Z$20000,MATCH(V200,'Semrush Data'!$A$1:$A$20000,0),MATCH("Volume",'Semrush Data'!$A$1:$Z$1,0)),"")</f>
        <v/>
      </c>
      <c r="X200" s="59">
        <f>IFERROR(INDEX('Semrush Data'!$A$1:$Z$20000,MATCH(V200,'Semrush Data'!$A$1:$A$20000,0),MATCH("Keyword Difficulty*",'Semrush Data'!$A$1:$Z$1,0)),"")</f>
        <v/>
      </c>
      <c r="Y200" s="61">
        <f>IFERROR(INDEX('Semrush Data'!$A$1:$Z$20000,MATCH(V200,'Semrush Data'!$A$1:$A$20000,0),MATCH("CPC*",'Semrush Data'!$A$1:$Z$1,0)),"")</f>
        <v/>
      </c>
      <c r="Z200" s="58" t="inlineStr">
        <is>
          <t>anatomē perfume · amber perfume uk</t>
        </is>
      </c>
      <c r="AA200" s="58" t="n"/>
      <c r="AB200" s="58" t="inlineStr">
        <is>
          <t>Support Eau de Parfum</t>
        </is>
      </c>
      <c r="AC200" s="58" t="inlineStr">
        <is>
          <t>Support EDP Notspecified | Buy Online UK | Swansura</t>
        </is>
      </c>
      <c r="AD200" s="58">
        <f>LEN(AC200)</f>
        <v/>
      </c>
      <c r="AE200" s="58" t="inlineStr">
        <is>
          <t>Buy Support Eau de Parfum online in the UK at Swansura. An amber unisex eau de parfum, Notspecified. 100% authentic, fast UK delivery, free over £50.</t>
        </is>
      </c>
      <c r="AF200" s="58">
        <f>LEN(AE200)</f>
        <v/>
      </c>
    </row>
    <row r="201" ht="15" customHeight="1" s="37">
      <c r="A201" s="58" t="inlineStr">
        <is>
          <t>FR-041</t>
        </is>
      </c>
      <c r="B201" s="58" t="inlineStr">
        <is>
          <t>Fragrance Catalogue</t>
        </is>
      </c>
      <c r="C201" s="58" t="n">
        <v>41</v>
      </c>
      <c r="D201" s="58" t="inlineStr">
        <is>
          <t>anatomē</t>
        </is>
      </c>
      <c r="E201" s="58" t="inlineStr">
        <is>
          <t>Check brand</t>
        </is>
      </c>
      <c r="F201" s="58" t="inlineStr">
        <is>
          <t>Fragrance</t>
        </is>
      </c>
      <c r="G201" s="58" t="inlineStr">
        <is>
          <t>Eau de Parfum (EDP)</t>
        </is>
      </c>
      <c r="H201" s="58" t="inlineStr">
        <is>
          <t>Amber · Unisex Fragrance</t>
        </is>
      </c>
      <c r="I201" s="58" t="inlineStr">
        <is>
          <t>Support Eau de Parfum | Protective, herbaceous &amp; restorative</t>
        </is>
      </c>
      <c r="J201" s="58" t="inlineStr">
        <is>
          <t>Not specified</t>
        </is>
      </c>
      <c r="K201" s="58" t="n">
        <v>68</v>
      </c>
      <c r="L201" s="58" t="inlineStr">
        <is>
          <t>anatome support</t>
        </is>
      </c>
      <c r="M201" s="58" t="inlineStr">
        <is>
          <t>anatome support uk</t>
        </is>
      </c>
      <c r="N201" s="58" t="inlineStr">
        <is>
          <t>buy anatome support online</t>
        </is>
      </c>
      <c r="O201" s="58" t="inlineStr">
        <is>
          <t>anatome support price</t>
        </is>
      </c>
      <c r="P201" s="58" t="inlineStr">
        <is>
          <t>anatome support eau de parfum</t>
        </is>
      </c>
      <c r="Q201" s="59">
        <f>IF(L201="","",IFERROR(INDEX('Semrush Data'!$A$1:$Z$20000,MATCH(L201,'Semrush Data'!$A$1:$A$20000,0),MATCH("Volume",'Semrush Data'!$A$1:$Z$1,0)),""))</f>
        <v/>
      </c>
      <c r="R201" s="59">
        <f>IF(M201="","",IFERROR(INDEX('Semrush Data'!$A$1:$Z$20000,MATCH(M201,'Semrush Data'!$A$1:$A$20000,0),MATCH("Volume",'Semrush Data'!$A$1:$Z$1,0)),""))</f>
        <v/>
      </c>
      <c r="S201" s="59">
        <f>IF(N201="","",IFERROR(INDEX('Semrush Data'!$A$1:$Z$20000,MATCH(N201,'Semrush Data'!$A$1:$A$20000,0),MATCH("Volume",'Semrush Data'!$A$1:$Z$1,0)),""))</f>
        <v/>
      </c>
      <c r="T201" s="59">
        <f>IF(O201="","",IFERROR(INDEX('Semrush Data'!$A$1:$Z$20000,MATCH(O201,'Semrush Data'!$A$1:$A$20000,0),MATCH("Volume",'Semrush Data'!$A$1:$Z$1,0)),""))</f>
        <v/>
      </c>
      <c r="U201" s="59">
        <f>IF(P201="","",IFERROR(INDEX('Semrush Data'!$A$1:$Z$20000,MATCH(P201,'Semrush Data'!$A$1:$A$20000,0),MATCH("Volume",'Semrush Data'!$A$1:$Z$1,0)),""))</f>
        <v/>
      </c>
      <c r="V201" s="60">
        <f>IF(COUNT(Q201:U201)=0,L201,IF(MAX(Q201:U201)=0,L201,INDEX(L201:P201,MATCH(MAX(Q201:U201),Q201:U201,0))))</f>
        <v/>
      </c>
      <c r="W201" s="59">
        <f>IFERROR(INDEX('Semrush Data'!$A$1:$Z$20000,MATCH(V201,'Semrush Data'!$A$1:$A$20000,0),MATCH("Volume",'Semrush Data'!$A$1:$Z$1,0)),"")</f>
        <v/>
      </c>
      <c r="X201" s="59">
        <f>IFERROR(INDEX('Semrush Data'!$A$1:$Z$20000,MATCH(V201,'Semrush Data'!$A$1:$A$20000,0),MATCH("Keyword Difficulty*",'Semrush Data'!$A$1:$Z$1,0)),"")</f>
        <v/>
      </c>
      <c r="Y201" s="61">
        <f>IFERROR(INDEX('Semrush Data'!$A$1:$Z$20000,MATCH(V201,'Semrush Data'!$A$1:$A$20000,0),MATCH("CPC*",'Semrush Data'!$A$1:$Z$1,0)),"")</f>
        <v/>
      </c>
      <c r="Z201" s="58" t="inlineStr">
        <is>
          <t>anatomē perfume · amber perfume uk</t>
        </is>
      </c>
      <c r="AA201" s="58" t="n"/>
      <c r="AB201" s="58" t="inlineStr">
        <is>
          <t>Support Eau de Parfum</t>
        </is>
      </c>
      <c r="AC201" s="58" t="inlineStr">
        <is>
          <t>Support EDP Notspecified | Buy Online UK | Swansura</t>
        </is>
      </c>
      <c r="AD201" s="58">
        <f>LEN(AC201)</f>
        <v/>
      </c>
      <c r="AE201" s="58" t="inlineStr">
        <is>
          <t>Buy Support Eau de Parfum online in the UK at Swansura. An amber unisex eau de parfum, Notspecified. 100% authentic, fast UK delivery, free over £50.</t>
        </is>
      </c>
      <c r="AF201" s="58">
        <f>LEN(AE201)</f>
        <v/>
      </c>
    </row>
    <row r="202" ht="15" customHeight="1" s="37">
      <c r="A202" s="58" t="inlineStr">
        <is>
          <t>FR-042</t>
        </is>
      </c>
      <c r="B202" s="58" t="inlineStr">
        <is>
          <t>Fragrance Catalogue</t>
        </is>
      </c>
      <c r="C202" s="58" t="n">
        <v>42</v>
      </c>
      <c r="D202" s="58" t="inlineStr">
        <is>
          <t>anatomē</t>
        </is>
      </c>
      <c r="E202" s="58" t="inlineStr">
        <is>
          <t>Check brand</t>
        </is>
      </c>
      <c r="F202" s="58" t="inlineStr">
        <is>
          <t>Fragrance</t>
        </is>
      </c>
      <c r="G202" s="58" t="inlineStr">
        <is>
          <t>Eau de Parfum (EDP)</t>
        </is>
      </c>
      <c r="H202" s="58" t="inlineStr">
        <is>
          <t>Amber · Unisex Fragrance</t>
        </is>
      </c>
      <c r="I202" s="58" t="inlineStr">
        <is>
          <t>Support Eau de Parfum | Travel 10ml</t>
        </is>
      </c>
      <c r="J202" s="58" t="inlineStr">
        <is>
          <t>10ml</t>
        </is>
      </c>
      <c r="K202" s="58" t="n">
        <v>28</v>
      </c>
      <c r="L202" s="58" t="inlineStr">
        <is>
          <t>anatome support</t>
        </is>
      </c>
      <c r="M202" s="58" t="inlineStr">
        <is>
          <t>anatome support uk</t>
        </is>
      </c>
      <c r="N202" s="58" t="inlineStr">
        <is>
          <t>buy anatome support online</t>
        </is>
      </c>
      <c r="O202" s="58" t="inlineStr">
        <is>
          <t>anatome support price</t>
        </is>
      </c>
      <c r="P202" s="58" t="inlineStr">
        <is>
          <t>anatome support eau de parfum</t>
        </is>
      </c>
      <c r="Q202" s="59">
        <f>IF(L202="","",IFERROR(INDEX('Semrush Data'!$A$1:$Z$20000,MATCH(L202,'Semrush Data'!$A$1:$A$20000,0),MATCH("Volume",'Semrush Data'!$A$1:$Z$1,0)),""))</f>
        <v/>
      </c>
      <c r="R202" s="59">
        <f>IF(M202="","",IFERROR(INDEX('Semrush Data'!$A$1:$Z$20000,MATCH(M202,'Semrush Data'!$A$1:$A$20000,0),MATCH("Volume",'Semrush Data'!$A$1:$Z$1,0)),""))</f>
        <v/>
      </c>
      <c r="S202" s="59">
        <f>IF(N202="","",IFERROR(INDEX('Semrush Data'!$A$1:$Z$20000,MATCH(N202,'Semrush Data'!$A$1:$A$20000,0),MATCH("Volume",'Semrush Data'!$A$1:$Z$1,0)),""))</f>
        <v/>
      </c>
      <c r="T202" s="59">
        <f>IF(O202="","",IFERROR(INDEX('Semrush Data'!$A$1:$Z$20000,MATCH(O202,'Semrush Data'!$A$1:$A$20000,0),MATCH("Volume",'Semrush Data'!$A$1:$Z$1,0)),""))</f>
        <v/>
      </c>
      <c r="U202" s="59">
        <f>IF(P202="","",IFERROR(INDEX('Semrush Data'!$A$1:$Z$20000,MATCH(P202,'Semrush Data'!$A$1:$A$20000,0),MATCH("Volume",'Semrush Data'!$A$1:$Z$1,0)),""))</f>
        <v/>
      </c>
      <c r="V202" s="60">
        <f>IF(COUNT(Q202:U202)=0,L202,IF(MAX(Q202:U202)=0,L202,INDEX(L202:P202,MATCH(MAX(Q202:U202),Q202:U202,0))))</f>
        <v/>
      </c>
      <c r="W202" s="59">
        <f>IFERROR(INDEX('Semrush Data'!$A$1:$Z$20000,MATCH(V202,'Semrush Data'!$A$1:$A$20000,0),MATCH("Volume",'Semrush Data'!$A$1:$Z$1,0)),"")</f>
        <v/>
      </c>
      <c r="X202" s="59">
        <f>IFERROR(INDEX('Semrush Data'!$A$1:$Z$20000,MATCH(V202,'Semrush Data'!$A$1:$A$20000,0),MATCH("Keyword Difficulty*",'Semrush Data'!$A$1:$Z$1,0)),"")</f>
        <v/>
      </c>
      <c r="Y202" s="61">
        <f>IFERROR(INDEX('Semrush Data'!$A$1:$Z$20000,MATCH(V202,'Semrush Data'!$A$1:$A$20000,0),MATCH("CPC*",'Semrush Data'!$A$1:$Z$1,0)),"")</f>
        <v/>
      </c>
      <c r="Z202" s="58" t="inlineStr">
        <is>
          <t>anatomē perfume · amber perfume uk</t>
        </is>
      </c>
      <c r="AA202" s="58" t="n"/>
      <c r="AB202" s="58" t="inlineStr">
        <is>
          <t>Support Eau de Parfum</t>
        </is>
      </c>
      <c r="AC202" s="58" t="inlineStr">
        <is>
          <t>Support Eau de Parfum 10ml | Buy Online UK | Swansura</t>
        </is>
      </c>
      <c r="AD202" s="58">
        <f>LEN(AC202)</f>
        <v/>
      </c>
      <c r="AE202" s="58" t="inlineStr">
        <is>
          <t>Buy Support Eau de Parfum online in the UK at Swansura. An amber unisex eau de parfum, 10ml. 100% authentic, fast UK delivery, free over £50.</t>
        </is>
      </c>
      <c r="AF202" s="58">
        <f>LEN(AE202)</f>
        <v/>
      </c>
    </row>
    <row r="203" ht="15" customHeight="1" s="37">
      <c r="A203" s="58" t="inlineStr">
        <is>
          <t>FR-043</t>
        </is>
      </c>
      <c r="B203" s="58" t="inlineStr">
        <is>
          <t>Fragrance Catalogue</t>
        </is>
      </c>
      <c r="C203" s="58" t="n">
        <v>43</v>
      </c>
      <c r="D203" s="58" t="inlineStr">
        <is>
          <t>anna sui</t>
        </is>
      </c>
      <c r="E203" s="58" t="n"/>
      <c r="F203" s="58" t="inlineStr">
        <is>
          <t>Fragrance</t>
        </is>
      </c>
      <c r="G203" s="58" t="inlineStr">
        <is>
          <t>Eau de Toilette (EDT)</t>
        </is>
      </c>
      <c r="H203" s="58" t="inlineStr">
        <is>
          <t>Floral · Women's Fragrance</t>
        </is>
      </c>
      <c r="I203" s="58" t="inlineStr">
        <is>
          <t>Anna Sui Sky Eau de Toilette 30ml – Women's Fruity Floral Gourmand Fragrance</t>
        </is>
      </c>
      <c r="J203" s="58" t="inlineStr">
        <is>
          <t>30ml</t>
        </is>
      </c>
      <c r="K203" s="58" t="n">
        <v>18.99</v>
      </c>
      <c r="L203" s="58" t="inlineStr">
        <is>
          <t>anna sui sky</t>
        </is>
      </c>
      <c r="M203" s="58" t="inlineStr">
        <is>
          <t>anna sui sky uk</t>
        </is>
      </c>
      <c r="N203" s="58" t="inlineStr">
        <is>
          <t>buy anna sui sky online</t>
        </is>
      </c>
      <c r="O203" s="58" t="inlineStr">
        <is>
          <t>anna sui sky price</t>
        </is>
      </c>
      <c r="P203" s="58" t="inlineStr">
        <is>
          <t>anna sui sky eau de toilette</t>
        </is>
      </c>
      <c r="Q203" s="59">
        <f>IF(L203="","",IFERROR(INDEX('Semrush Data'!$A$1:$Z$20000,MATCH(L203,'Semrush Data'!$A$1:$A$20000,0),MATCH("Volume",'Semrush Data'!$A$1:$Z$1,0)),""))</f>
        <v/>
      </c>
      <c r="R203" s="59">
        <f>IF(M203="","",IFERROR(INDEX('Semrush Data'!$A$1:$Z$20000,MATCH(M203,'Semrush Data'!$A$1:$A$20000,0),MATCH("Volume",'Semrush Data'!$A$1:$Z$1,0)),""))</f>
        <v/>
      </c>
      <c r="S203" s="59">
        <f>IF(N203="","",IFERROR(INDEX('Semrush Data'!$A$1:$Z$20000,MATCH(N203,'Semrush Data'!$A$1:$A$20000,0),MATCH("Volume",'Semrush Data'!$A$1:$Z$1,0)),""))</f>
        <v/>
      </c>
      <c r="T203" s="59">
        <f>IF(O203="","",IFERROR(INDEX('Semrush Data'!$A$1:$Z$20000,MATCH(O203,'Semrush Data'!$A$1:$A$20000,0),MATCH("Volume",'Semrush Data'!$A$1:$Z$1,0)),""))</f>
        <v/>
      </c>
      <c r="U203" s="59">
        <f>IF(P203="","",IFERROR(INDEX('Semrush Data'!$A$1:$Z$20000,MATCH(P203,'Semrush Data'!$A$1:$A$20000,0),MATCH("Volume",'Semrush Data'!$A$1:$Z$1,0)),""))</f>
        <v/>
      </c>
      <c r="V203" s="60">
        <f>IF(COUNT(Q203:U203)=0,L203,IF(MAX(Q203:U203)=0,L203,INDEX(L203:P203,MATCH(MAX(Q203:U203),Q203:U203,0))))</f>
        <v/>
      </c>
      <c r="W203" s="59">
        <f>IFERROR(INDEX('Semrush Data'!$A$1:$Z$20000,MATCH(V203,'Semrush Data'!$A$1:$A$20000,0),MATCH("Volume",'Semrush Data'!$A$1:$Z$1,0)),"")</f>
        <v/>
      </c>
      <c r="X203" s="59">
        <f>IFERROR(INDEX('Semrush Data'!$A$1:$Z$20000,MATCH(V203,'Semrush Data'!$A$1:$A$20000,0),MATCH("Keyword Difficulty*",'Semrush Data'!$A$1:$Z$1,0)),"")</f>
        <v/>
      </c>
      <c r="Y203" s="61">
        <f>IFERROR(INDEX('Semrush Data'!$A$1:$Z$20000,MATCH(V203,'Semrush Data'!$A$1:$A$20000,0),MATCH("CPC*",'Semrush Data'!$A$1:$Z$1,0)),"")</f>
        <v/>
      </c>
      <c r="Z203" s="58" t="inlineStr">
        <is>
          <t>anna sui perfume · anna sui perfume for women · floral perfume for women uk</t>
        </is>
      </c>
      <c r="AA203" s="58" t="inlineStr">
        <is>
          <t>anna sui sky perfume · anna sui sky perfume review · anna sui sky notes · anna sui sky review · anna sui sky 75ml · anna sui sky perfume price</t>
        </is>
      </c>
      <c r="AB203" s="58" t="inlineStr">
        <is>
          <t>Anna Sui Sky Eau de Toilette</t>
        </is>
      </c>
      <c r="AC203" s="58" t="inlineStr">
        <is>
          <t>Anna Sui Sky Eau de Toilette | Buy Online UK | Swansura</t>
        </is>
      </c>
      <c r="AD203" s="58">
        <f>LEN(AC203)</f>
        <v/>
      </c>
      <c r="AE203" s="58" t="inlineStr">
        <is>
          <t>Buy Anna Sui Sky Eau de Toilette online in the UK at Swansura. A floral women's eau de toilette, 30ml. 100% authentic, fast UK delivery, free over £50.</t>
        </is>
      </c>
      <c r="AF203" s="58">
        <f>LEN(AE203)</f>
        <v/>
      </c>
    </row>
    <row r="204" ht="15" customHeight="1" s="37">
      <c r="A204" s="58" t="inlineStr">
        <is>
          <t>FR-044</t>
        </is>
      </c>
      <c r="B204" s="58" t="inlineStr">
        <is>
          <t>Fragrance Catalogue</t>
        </is>
      </c>
      <c r="C204" s="58" t="n">
        <v>44</v>
      </c>
      <c r="D204" s="58" t="inlineStr">
        <is>
          <t>antonio</t>
        </is>
      </c>
      <c r="E204" s="58" t="inlineStr">
        <is>
          <t>Spelling: Antonio Banderas</t>
        </is>
      </c>
      <c r="F204" s="58" t="inlineStr">
        <is>
          <t>Fragrance</t>
        </is>
      </c>
      <c r="G204" s="58" t="inlineStr">
        <is>
          <t>Eau de Parfum (EDP)</t>
        </is>
      </c>
      <c r="H204" s="58" t="inlineStr">
        <is>
          <t>Woody · Unisex Fragrance</t>
        </is>
      </c>
      <c r="I204" s="58" t="inlineStr">
        <is>
          <t>Boucheron Patchouli d'Angkor Eau de Parfum 125ml – Luxury Unisex Woody Amber Fragrance</t>
        </is>
      </c>
      <c r="J204" s="58" t="inlineStr">
        <is>
          <t>125ml</t>
        </is>
      </c>
      <c r="K204" s="58" t="n">
        <v>63.99</v>
      </c>
      <c r="L204" s="58" t="inlineStr">
        <is>
          <t>antonio banderas boucheron patchouli d'angkor</t>
        </is>
      </c>
      <c r="M204" s="58" t="inlineStr">
        <is>
          <t>antonio banderas boucheron patchouli d'angkor uk</t>
        </is>
      </c>
      <c r="N204" s="58" t="inlineStr">
        <is>
          <t>buy antonio banderas boucheron patchouli d'angkor online</t>
        </is>
      </c>
      <c r="O204" s="58" t="inlineStr">
        <is>
          <t>antonio banderas boucheron patchouli d'angkor price</t>
        </is>
      </c>
      <c r="P204" s="58" t="inlineStr">
        <is>
          <t>antonio banderas boucheron patchouli d'angkor eau de parfum</t>
        </is>
      </c>
      <c r="Q204" s="59">
        <f>IF(L204="","",IFERROR(INDEX('Semrush Data'!$A$1:$Z$20000,MATCH(L204,'Semrush Data'!$A$1:$A$20000,0),MATCH("Volume",'Semrush Data'!$A$1:$Z$1,0)),""))</f>
        <v/>
      </c>
      <c r="R204" s="59">
        <f>IF(M204="","",IFERROR(INDEX('Semrush Data'!$A$1:$Z$20000,MATCH(M204,'Semrush Data'!$A$1:$A$20000,0),MATCH("Volume",'Semrush Data'!$A$1:$Z$1,0)),""))</f>
        <v/>
      </c>
      <c r="S204" s="59">
        <f>IF(N204="","",IFERROR(INDEX('Semrush Data'!$A$1:$Z$20000,MATCH(N204,'Semrush Data'!$A$1:$A$20000,0),MATCH("Volume",'Semrush Data'!$A$1:$Z$1,0)),""))</f>
        <v/>
      </c>
      <c r="T204" s="59">
        <f>IF(O204="","",IFERROR(INDEX('Semrush Data'!$A$1:$Z$20000,MATCH(O204,'Semrush Data'!$A$1:$A$20000,0),MATCH("Volume",'Semrush Data'!$A$1:$Z$1,0)),""))</f>
        <v/>
      </c>
      <c r="U204" s="59">
        <f>IF(P204="","",IFERROR(INDEX('Semrush Data'!$A$1:$Z$20000,MATCH(P204,'Semrush Data'!$A$1:$A$20000,0),MATCH("Volume",'Semrush Data'!$A$1:$Z$1,0)),""))</f>
        <v/>
      </c>
      <c r="V204" s="60">
        <f>IF(COUNT(Q204:U204)=0,L204,IF(MAX(Q204:U204)=0,L204,INDEX(L204:P204,MATCH(MAX(Q204:U204),Q204:U204,0))))</f>
        <v/>
      </c>
      <c r="W204" s="59">
        <f>IFERROR(INDEX('Semrush Data'!$A$1:$Z$20000,MATCH(V204,'Semrush Data'!$A$1:$A$20000,0),MATCH("Volume",'Semrush Data'!$A$1:$Z$1,0)),"")</f>
        <v/>
      </c>
      <c r="X204" s="59">
        <f>IFERROR(INDEX('Semrush Data'!$A$1:$Z$20000,MATCH(V204,'Semrush Data'!$A$1:$A$20000,0),MATCH("Keyword Difficulty*",'Semrush Data'!$A$1:$Z$1,0)),"")</f>
        <v/>
      </c>
      <c r="Y204" s="61">
        <f>IFERROR(INDEX('Semrush Data'!$A$1:$Z$20000,MATCH(V204,'Semrush Data'!$A$1:$A$20000,0),MATCH("CPC*",'Semrush Data'!$A$1:$Z$1,0)),"")</f>
        <v/>
      </c>
      <c r="Z204" s="58" t="inlineStr">
        <is>
          <t>antonio banderas perfume · woody perfume uk</t>
        </is>
      </c>
      <c r="AA204" s="58" t="n"/>
      <c r="AB204" s="58" t="inlineStr">
        <is>
          <t>Boucheron Patchouli D'Angkor Eau de Parfum</t>
        </is>
      </c>
      <c r="AC204" s="58" t="inlineStr">
        <is>
          <t>Boucheron Patchouli D'Angkor Eau de Parfum | Swansura UK</t>
        </is>
      </c>
      <c r="AD204" s="58">
        <f>LEN(AC204)</f>
        <v/>
      </c>
      <c r="AE204" s="58" t="inlineStr">
        <is>
          <t>Buy Boucheron Patchouli D'Angkor Eau de Parfum online in the UK at Swansura. A woody unisex eau de parfum, 125ml. 100% authentic, free UK delivery over £50.</t>
        </is>
      </c>
      <c r="AF204" s="58">
        <f>LEN(AE204)</f>
        <v/>
      </c>
    </row>
    <row r="205" ht="15" customHeight="1" s="37">
      <c r="A205" s="58" t="inlineStr">
        <is>
          <t>FR-045</t>
        </is>
      </c>
      <c r="B205" s="58" t="inlineStr">
        <is>
          <t>Fragrance Catalogue</t>
        </is>
      </c>
      <c r="C205" s="58" t="n">
        <v>45</v>
      </c>
      <c r="D205" s="58" t="inlineStr">
        <is>
          <t>antonio</t>
        </is>
      </c>
      <c r="E205" s="58" t="inlineStr">
        <is>
          <t>Spelling: Antonio Banderas</t>
        </is>
      </c>
      <c r="F205" s="58" t="inlineStr">
        <is>
          <t>Fragrance</t>
        </is>
      </c>
      <c r="G205" s="58" t="inlineStr">
        <is>
          <t>Eau de Parfum (EDP)</t>
        </is>
      </c>
      <c r="H205" s="58" t="inlineStr">
        <is>
          <t>Amber · Unisex Fragrance</t>
        </is>
      </c>
      <c r="I205" s="58" t="inlineStr">
        <is>
          <t>Boucheron Rose d'Isparta Eau de Parfum 125ml – Luxury Unisex Rose Amber Fragrance</t>
        </is>
      </c>
      <c r="J205" s="58" t="inlineStr">
        <is>
          <t>125ml</t>
        </is>
      </c>
      <c r="K205" s="58" t="n">
        <v>63.99</v>
      </c>
      <c r="L205" s="58" t="inlineStr">
        <is>
          <t>antonio banderas boucheron rose d'isparta</t>
        </is>
      </c>
      <c r="M205" s="58" t="inlineStr">
        <is>
          <t>antonio banderas boucheron rose d'isparta uk</t>
        </is>
      </c>
      <c r="N205" s="58" t="inlineStr">
        <is>
          <t>buy antonio banderas boucheron rose d'isparta online</t>
        </is>
      </c>
      <c r="O205" s="58" t="inlineStr">
        <is>
          <t>antonio banderas boucheron rose d'isparta price</t>
        </is>
      </c>
      <c r="P205" s="58" t="inlineStr">
        <is>
          <t>antonio banderas boucheron rose d'isparta eau de parfum</t>
        </is>
      </c>
      <c r="Q205" s="59">
        <f>IF(L205="","",IFERROR(INDEX('Semrush Data'!$A$1:$Z$20000,MATCH(L205,'Semrush Data'!$A$1:$A$20000,0),MATCH("Volume",'Semrush Data'!$A$1:$Z$1,0)),""))</f>
        <v/>
      </c>
      <c r="R205" s="59">
        <f>IF(M205="","",IFERROR(INDEX('Semrush Data'!$A$1:$Z$20000,MATCH(M205,'Semrush Data'!$A$1:$A$20000,0),MATCH("Volume",'Semrush Data'!$A$1:$Z$1,0)),""))</f>
        <v/>
      </c>
      <c r="S205" s="59">
        <f>IF(N205="","",IFERROR(INDEX('Semrush Data'!$A$1:$Z$20000,MATCH(N205,'Semrush Data'!$A$1:$A$20000,0),MATCH("Volume",'Semrush Data'!$A$1:$Z$1,0)),""))</f>
        <v/>
      </c>
      <c r="T205" s="59">
        <f>IF(O205="","",IFERROR(INDEX('Semrush Data'!$A$1:$Z$20000,MATCH(O205,'Semrush Data'!$A$1:$A$20000,0),MATCH("Volume",'Semrush Data'!$A$1:$Z$1,0)),""))</f>
        <v/>
      </c>
      <c r="U205" s="59">
        <f>IF(P205="","",IFERROR(INDEX('Semrush Data'!$A$1:$Z$20000,MATCH(P205,'Semrush Data'!$A$1:$A$20000,0),MATCH("Volume",'Semrush Data'!$A$1:$Z$1,0)),""))</f>
        <v/>
      </c>
      <c r="V205" s="60">
        <f>IF(COUNT(Q205:U205)=0,L205,IF(MAX(Q205:U205)=0,L205,INDEX(L205:P205,MATCH(MAX(Q205:U205),Q205:U205,0))))</f>
        <v/>
      </c>
      <c r="W205" s="59">
        <f>IFERROR(INDEX('Semrush Data'!$A$1:$Z$20000,MATCH(V205,'Semrush Data'!$A$1:$A$20000,0),MATCH("Volume",'Semrush Data'!$A$1:$Z$1,0)),"")</f>
        <v/>
      </c>
      <c r="X205" s="59">
        <f>IFERROR(INDEX('Semrush Data'!$A$1:$Z$20000,MATCH(V205,'Semrush Data'!$A$1:$A$20000,0),MATCH("Keyword Difficulty*",'Semrush Data'!$A$1:$Z$1,0)),"")</f>
        <v/>
      </c>
      <c r="Y205" s="61">
        <f>IFERROR(INDEX('Semrush Data'!$A$1:$Z$20000,MATCH(V205,'Semrush Data'!$A$1:$A$20000,0),MATCH("CPC*",'Semrush Data'!$A$1:$Z$1,0)),"")</f>
        <v/>
      </c>
      <c r="Z205" s="58" t="inlineStr">
        <is>
          <t>antonio banderas perfume · amber perfume uk</t>
        </is>
      </c>
      <c r="AA205" s="58" t="n"/>
      <c r="AB205" s="58" t="inlineStr">
        <is>
          <t>Boucheron Rose D'Isparta Eau de Parfum</t>
        </is>
      </c>
      <c r="AC205" s="58" t="inlineStr">
        <is>
          <t>Boucheron Rose D'Isparta Eau de Parfum | Swansura UK</t>
        </is>
      </c>
      <c r="AD205" s="58">
        <f>LEN(AC205)</f>
        <v/>
      </c>
      <c r="AE205" s="58" t="inlineStr">
        <is>
          <t>Buy Boucheron Rose D'Isparta Eau de Parfum online in the UK at Swansura. An amber unisex eau de parfum, 125ml. 100% authentic, fast UK delivery, free over £50.</t>
        </is>
      </c>
      <c r="AF205" s="58">
        <f>LEN(AE205)</f>
        <v/>
      </c>
    </row>
    <row r="206" ht="15" customHeight="1" s="37">
      <c r="A206" s="58" t="inlineStr">
        <is>
          <t>FR-046</t>
        </is>
      </c>
      <c r="B206" s="58" t="inlineStr">
        <is>
          <t>Fragrance Catalogue</t>
        </is>
      </c>
      <c r="C206" s="58" t="n">
        <v>46</v>
      </c>
      <c r="D206" s="58" t="inlineStr">
        <is>
          <t>antonio</t>
        </is>
      </c>
      <c r="E206" s="58" t="inlineStr">
        <is>
          <t>Spelling: Antonio Banderas</t>
        </is>
      </c>
      <c r="F206" s="58" t="inlineStr">
        <is>
          <t>Fragrance</t>
        </is>
      </c>
      <c r="G206" s="58" t="inlineStr">
        <is>
          <t>Eau de Toilette (EDT)</t>
        </is>
      </c>
      <c r="H206" s="58" t="inlineStr">
        <is>
          <t>Woody · Men's Fragrance</t>
        </is>
      </c>
      <c r="I206" s="58" t="inlineStr">
        <is>
          <t>Antonio Banderas Diavolo Eau de Toilette – Men's Warm Spicy Woody Fragrance</t>
        </is>
      </c>
      <c r="J206" s="58" t="inlineStr">
        <is>
          <t>100ml</t>
        </is>
      </c>
      <c r="K206" s="58" t="n">
        <v>19.99</v>
      </c>
      <c r="L206" s="58" t="inlineStr">
        <is>
          <t>antonio banderas diavolo</t>
        </is>
      </c>
      <c r="M206" s="58" t="inlineStr">
        <is>
          <t>antonio banderas diavolo uk</t>
        </is>
      </c>
      <c r="N206" s="58" t="inlineStr">
        <is>
          <t>buy antonio banderas diavolo online</t>
        </is>
      </c>
      <c r="O206" s="58" t="inlineStr">
        <is>
          <t>antonio banderas diavolo price</t>
        </is>
      </c>
      <c r="P206" s="58" t="inlineStr">
        <is>
          <t>antonio banderas diavolo eau de toilette</t>
        </is>
      </c>
      <c r="Q206" s="59">
        <f>IF(L206="","",IFERROR(INDEX('Semrush Data'!$A$1:$Z$20000,MATCH(L206,'Semrush Data'!$A$1:$A$20000,0),MATCH("Volume",'Semrush Data'!$A$1:$Z$1,0)),""))</f>
        <v/>
      </c>
      <c r="R206" s="59">
        <f>IF(M206="","",IFERROR(INDEX('Semrush Data'!$A$1:$Z$20000,MATCH(M206,'Semrush Data'!$A$1:$A$20000,0),MATCH("Volume",'Semrush Data'!$A$1:$Z$1,0)),""))</f>
        <v/>
      </c>
      <c r="S206" s="59">
        <f>IF(N206="","",IFERROR(INDEX('Semrush Data'!$A$1:$Z$20000,MATCH(N206,'Semrush Data'!$A$1:$A$20000,0),MATCH("Volume",'Semrush Data'!$A$1:$Z$1,0)),""))</f>
        <v/>
      </c>
      <c r="T206" s="59">
        <f>IF(O206="","",IFERROR(INDEX('Semrush Data'!$A$1:$Z$20000,MATCH(O206,'Semrush Data'!$A$1:$A$20000,0),MATCH("Volume",'Semrush Data'!$A$1:$Z$1,0)),""))</f>
        <v/>
      </c>
      <c r="U206" s="59">
        <f>IF(P206="","",IFERROR(INDEX('Semrush Data'!$A$1:$Z$20000,MATCH(P206,'Semrush Data'!$A$1:$A$20000,0),MATCH("Volume",'Semrush Data'!$A$1:$Z$1,0)),""))</f>
        <v/>
      </c>
      <c r="V206" s="60">
        <f>IF(COUNT(Q206:U206)=0,L206,IF(MAX(Q206:U206)=0,L206,INDEX(L206:P206,MATCH(MAX(Q206:U206),Q206:U206,0))))</f>
        <v/>
      </c>
      <c r="W206" s="59">
        <f>IFERROR(INDEX('Semrush Data'!$A$1:$Z$20000,MATCH(V206,'Semrush Data'!$A$1:$A$20000,0),MATCH("Volume",'Semrush Data'!$A$1:$Z$1,0)),"")</f>
        <v/>
      </c>
      <c r="X206" s="59">
        <f>IFERROR(INDEX('Semrush Data'!$A$1:$Z$20000,MATCH(V206,'Semrush Data'!$A$1:$A$20000,0),MATCH("Keyword Difficulty*",'Semrush Data'!$A$1:$Z$1,0)),"")</f>
        <v/>
      </c>
      <c r="Y206" s="61">
        <f>IFERROR(INDEX('Semrush Data'!$A$1:$Z$20000,MATCH(V206,'Semrush Data'!$A$1:$A$20000,0),MATCH("CPC*",'Semrush Data'!$A$1:$Z$1,0)),"")</f>
        <v/>
      </c>
      <c r="Z206" s="58" t="inlineStr">
        <is>
          <t>antonio banderas perfume · antonio banderas perfume for men · woody perfume for men uk</t>
        </is>
      </c>
      <c r="AA206" s="58" t="inlineStr">
        <is>
          <t>antonio banderas diavolo review · antonio banderas diavolo for women · antonio banderas diavolo for men</t>
        </is>
      </c>
      <c r="AB206" s="58" t="inlineStr">
        <is>
          <t>Antonio Banderas Diavolo Eau de Toilette</t>
        </is>
      </c>
      <c r="AC206" s="58" t="inlineStr">
        <is>
          <t>Antonio Banderas Diavolo Eau de Toilette | Swansura UK</t>
        </is>
      </c>
      <c r="AD206" s="58">
        <f>LEN(AC206)</f>
        <v/>
      </c>
      <c r="AE206" s="58" t="inlineStr">
        <is>
          <t>Buy Antonio Banderas Diavolo Eau de Toilette online in the UK at Swansura. A woody men's eau de toilette, 100ml. 100% authentic, free UK delivery over £50.</t>
        </is>
      </c>
      <c r="AF206" s="58">
        <f>LEN(AE206)</f>
        <v/>
      </c>
    </row>
    <row r="207" ht="15" customHeight="1" s="37">
      <c r="A207" s="58" t="inlineStr">
        <is>
          <t>FR-047</t>
        </is>
      </c>
      <c r="B207" s="58" t="inlineStr">
        <is>
          <t>Fragrance Catalogue</t>
        </is>
      </c>
      <c r="C207" s="58" t="n">
        <v>47</v>
      </c>
      <c r="D207" s="58" t="inlineStr">
        <is>
          <t>antonio</t>
        </is>
      </c>
      <c r="E207" s="58" t="inlineStr">
        <is>
          <t>Spelling: Antonio Banderas</t>
        </is>
      </c>
      <c r="F207" s="58" t="inlineStr">
        <is>
          <t>Fragrance</t>
        </is>
      </c>
      <c r="G207" s="58" t="inlineStr">
        <is>
          <t>Eau de Toilette (EDT)</t>
        </is>
      </c>
      <c r="H207" s="58" t="inlineStr">
        <is>
          <t>Floral · Women's Fragrance</t>
        </is>
      </c>
      <c r="I207" s="58" t="inlineStr">
        <is>
          <t>Antonio Banderas Her Secret Desire Eau de Toilette 80ml – Women's Fruity Floral Gourmand Fragrance</t>
        </is>
      </c>
      <c r="J207" s="58" t="inlineStr">
        <is>
          <t>80ml</t>
        </is>
      </c>
      <c r="K207" s="58" t="n">
        <v>20.99</v>
      </c>
      <c r="L207" s="58" t="inlineStr">
        <is>
          <t>antonio banderas her secret desire</t>
        </is>
      </c>
      <c r="M207" s="58" t="inlineStr">
        <is>
          <t>antonio banderas her secret desire uk</t>
        </is>
      </c>
      <c r="N207" s="58" t="inlineStr">
        <is>
          <t>buy antonio banderas her secret desire online</t>
        </is>
      </c>
      <c r="O207" s="58" t="inlineStr">
        <is>
          <t>antonio banderas her secret desire price</t>
        </is>
      </c>
      <c r="P207" s="58" t="inlineStr">
        <is>
          <t>antonio banderas her secret desire eau de toilette</t>
        </is>
      </c>
      <c r="Q207" s="59">
        <f>IF(L207="","",IFERROR(INDEX('Semrush Data'!$A$1:$Z$20000,MATCH(L207,'Semrush Data'!$A$1:$A$20000,0),MATCH("Volume",'Semrush Data'!$A$1:$Z$1,0)),""))</f>
        <v/>
      </c>
      <c r="R207" s="59">
        <f>IF(M207="","",IFERROR(INDEX('Semrush Data'!$A$1:$Z$20000,MATCH(M207,'Semrush Data'!$A$1:$A$20000,0),MATCH("Volume",'Semrush Data'!$A$1:$Z$1,0)),""))</f>
        <v/>
      </c>
      <c r="S207" s="59">
        <f>IF(N207="","",IFERROR(INDEX('Semrush Data'!$A$1:$Z$20000,MATCH(N207,'Semrush Data'!$A$1:$A$20000,0),MATCH("Volume",'Semrush Data'!$A$1:$Z$1,0)),""))</f>
        <v/>
      </c>
      <c r="T207" s="59">
        <f>IF(O207="","",IFERROR(INDEX('Semrush Data'!$A$1:$Z$20000,MATCH(O207,'Semrush Data'!$A$1:$A$20000,0),MATCH("Volume",'Semrush Data'!$A$1:$Z$1,0)),""))</f>
        <v/>
      </c>
      <c r="U207" s="59">
        <f>IF(P207="","",IFERROR(INDEX('Semrush Data'!$A$1:$Z$20000,MATCH(P207,'Semrush Data'!$A$1:$A$20000,0),MATCH("Volume",'Semrush Data'!$A$1:$Z$1,0)),""))</f>
        <v/>
      </c>
      <c r="V207" s="60">
        <f>IF(COUNT(Q207:U207)=0,L207,IF(MAX(Q207:U207)=0,L207,INDEX(L207:P207,MATCH(MAX(Q207:U207),Q207:U207,0))))</f>
        <v/>
      </c>
      <c r="W207" s="59">
        <f>IFERROR(INDEX('Semrush Data'!$A$1:$Z$20000,MATCH(V207,'Semrush Data'!$A$1:$A$20000,0),MATCH("Volume",'Semrush Data'!$A$1:$Z$1,0)),"")</f>
        <v/>
      </c>
      <c r="X207" s="59">
        <f>IFERROR(INDEX('Semrush Data'!$A$1:$Z$20000,MATCH(V207,'Semrush Data'!$A$1:$A$20000,0),MATCH("Keyword Difficulty*",'Semrush Data'!$A$1:$Z$1,0)),"")</f>
        <v/>
      </c>
      <c r="Y207" s="61">
        <f>IFERROR(INDEX('Semrush Data'!$A$1:$Z$20000,MATCH(V207,'Semrush Data'!$A$1:$A$20000,0),MATCH("CPC*",'Semrush Data'!$A$1:$Z$1,0)),"")</f>
        <v/>
      </c>
      <c r="Z207" s="58" t="inlineStr">
        <is>
          <t>antonio banderas perfume · antonio banderas perfume for women · floral perfume for women uk</t>
        </is>
      </c>
      <c r="AA207" s="58" t="inlineStr">
        <is>
          <t>antonio banderas her secret desire perfume · antonio banderas her secret desire review · antonio banderas her secret desire perfume review · antonio banderas her secret desire price · antonio banderas her secret desire edt 80 ml · antonio banderas her secret desire 80 ml</t>
        </is>
      </c>
      <c r="AB207" s="58" t="inlineStr">
        <is>
          <t>Antonio Banderas Her Secret Desire Eau de Toilette</t>
        </is>
      </c>
      <c r="AC207" s="58" t="inlineStr">
        <is>
          <t>Antonio Banderas Her Secret Desire EDT 80ml | Swansura UK</t>
        </is>
      </c>
      <c r="AD207" s="58">
        <f>LEN(AC207)</f>
        <v/>
      </c>
      <c r="AE207" s="58" t="inlineStr">
        <is>
          <t>Buy Antonio Banderas Her Secret Desire Eau de Toilette at Swansura UK. A floral women's eau de toilette, 80ml. 100% authentic, fast UK delivery, free over £50.</t>
        </is>
      </c>
      <c r="AF207" s="58">
        <f>LEN(AE207)</f>
        <v/>
      </c>
    </row>
    <row r="208" ht="15" customHeight="1" s="37">
      <c r="A208" s="58" t="inlineStr">
        <is>
          <t>FR-048</t>
        </is>
      </c>
      <c r="B208" s="58" t="inlineStr">
        <is>
          <t>Fragrance Catalogue</t>
        </is>
      </c>
      <c r="C208" s="58" t="n">
        <v>48</v>
      </c>
      <c r="D208" s="58" t="inlineStr">
        <is>
          <t>antonio</t>
        </is>
      </c>
      <c r="E208" s="58" t="inlineStr">
        <is>
          <t>Spelling: Antonio Banderas</t>
        </is>
      </c>
      <c r="F208" s="58" t="inlineStr">
        <is>
          <t>Fragrance</t>
        </is>
      </c>
      <c r="G208" s="58" t="inlineStr">
        <is>
          <t>Eau de Toilette (EDT)</t>
        </is>
      </c>
      <c r="H208" s="58" t="inlineStr">
        <is>
          <t>Floral · Women's Fragrance</t>
        </is>
      </c>
      <c r="I208" s="58" t="inlineStr">
        <is>
          <t>Antonio Banderas Her Secret Temptation Eau de Toilette 80ml – Women's Floral Gourmand Fragrance</t>
        </is>
      </c>
      <c r="J208" s="58" t="inlineStr">
        <is>
          <t>80ml</t>
        </is>
      </c>
      <c r="K208" s="58" t="n">
        <v>20.99</v>
      </c>
      <c r="L208" s="58" t="inlineStr">
        <is>
          <t>antonio banderas her secret temptation</t>
        </is>
      </c>
      <c r="M208" s="58" t="inlineStr">
        <is>
          <t>antonio banderas her secret temptation uk</t>
        </is>
      </c>
      <c r="N208" s="58" t="inlineStr">
        <is>
          <t>buy antonio banderas her secret temptation online</t>
        </is>
      </c>
      <c r="O208" s="58" t="inlineStr">
        <is>
          <t>antonio banderas her secret temptation price</t>
        </is>
      </c>
      <c r="P208" s="58" t="inlineStr">
        <is>
          <t>antonio banderas her secret temptation eau de toilette</t>
        </is>
      </c>
      <c r="Q208" s="59">
        <f>IF(L208="","",IFERROR(INDEX('Semrush Data'!$A$1:$Z$20000,MATCH(L208,'Semrush Data'!$A$1:$A$20000,0),MATCH("Volume",'Semrush Data'!$A$1:$Z$1,0)),""))</f>
        <v/>
      </c>
      <c r="R208" s="59">
        <f>IF(M208="","",IFERROR(INDEX('Semrush Data'!$A$1:$Z$20000,MATCH(M208,'Semrush Data'!$A$1:$A$20000,0),MATCH("Volume",'Semrush Data'!$A$1:$Z$1,0)),""))</f>
        <v/>
      </c>
      <c r="S208" s="59">
        <f>IF(N208="","",IFERROR(INDEX('Semrush Data'!$A$1:$Z$20000,MATCH(N208,'Semrush Data'!$A$1:$A$20000,0),MATCH("Volume",'Semrush Data'!$A$1:$Z$1,0)),""))</f>
        <v/>
      </c>
      <c r="T208" s="59">
        <f>IF(O208="","",IFERROR(INDEX('Semrush Data'!$A$1:$Z$20000,MATCH(O208,'Semrush Data'!$A$1:$A$20000,0),MATCH("Volume",'Semrush Data'!$A$1:$Z$1,0)),""))</f>
        <v/>
      </c>
      <c r="U208" s="59">
        <f>IF(P208="","",IFERROR(INDEX('Semrush Data'!$A$1:$Z$20000,MATCH(P208,'Semrush Data'!$A$1:$A$20000,0),MATCH("Volume",'Semrush Data'!$A$1:$Z$1,0)),""))</f>
        <v/>
      </c>
      <c r="V208" s="60">
        <f>IF(COUNT(Q208:U208)=0,L208,IF(MAX(Q208:U208)=0,L208,INDEX(L208:P208,MATCH(MAX(Q208:U208),Q208:U208,0))))</f>
        <v/>
      </c>
      <c r="W208" s="59">
        <f>IFERROR(INDEX('Semrush Data'!$A$1:$Z$20000,MATCH(V208,'Semrush Data'!$A$1:$A$20000,0),MATCH("Volume",'Semrush Data'!$A$1:$Z$1,0)),"")</f>
        <v/>
      </c>
      <c r="X208" s="59">
        <f>IFERROR(INDEX('Semrush Data'!$A$1:$Z$20000,MATCH(V208,'Semrush Data'!$A$1:$A$20000,0),MATCH("Keyword Difficulty*",'Semrush Data'!$A$1:$Z$1,0)),"")</f>
        <v/>
      </c>
      <c r="Y208" s="61">
        <f>IFERROR(INDEX('Semrush Data'!$A$1:$Z$20000,MATCH(V208,'Semrush Data'!$A$1:$A$20000,0),MATCH("CPC*",'Semrush Data'!$A$1:$Z$1,0)),"")</f>
        <v/>
      </c>
      <c r="Z208" s="58" t="inlineStr">
        <is>
          <t>antonio banderas perfume · antonio banderas perfume for women · floral perfume for women uk</t>
        </is>
      </c>
      <c r="AA208" s="58" t="inlineStr">
        <is>
          <t>antonio banderas her secret temptation perfume price · antonio banderas her secret temptation perfume review · antonio banderas her secret temptation notes · antonio banderas her secret temptation review · antonio banderas her secret temptation women</t>
        </is>
      </c>
      <c r="AB208" s="58" t="inlineStr">
        <is>
          <t>Antonio Banderas Her Secret Temptation Eau de Toilette</t>
        </is>
      </c>
      <c r="AC208" s="58" t="inlineStr">
        <is>
          <t>Antonio Banderas Her Secret Temptation 80ml | Swansura UK</t>
        </is>
      </c>
      <c r="AD208" s="58">
        <f>LEN(AC208)</f>
        <v/>
      </c>
      <c r="AE208" s="58" t="inlineStr">
        <is>
          <t>Buy Antonio Banderas Her Secret Temptation Eau de Toilette at Swansura UK. A floral women's eau de toilette, 80ml. 100% authentic, free UK delivery over £50.</t>
        </is>
      </c>
      <c r="AF208" s="58">
        <f>LEN(AE208)</f>
        <v/>
      </c>
    </row>
    <row r="209" ht="15" customHeight="1" s="37">
      <c r="A209" s="58" t="inlineStr">
        <is>
          <t>FR-049</t>
        </is>
      </c>
      <c r="B209" s="58" t="inlineStr">
        <is>
          <t>Fragrance Catalogue</t>
        </is>
      </c>
      <c r="C209" s="58" t="n">
        <v>49</v>
      </c>
      <c r="D209" s="58" t="inlineStr">
        <is>
          <t>antonio</t>
        </is>
      </c>
      <c r="E209" s="58" t="inlineStr">
        <is>
          <t>Spelling: Antonio Banderas</t>
        </is>
      </c>
      <c r="F209" s="58" t="inlineStr">
        <is>
          <t>Fragrance</t>
        </is>
      </c>
      <c r="G209" s="58" t="inlineStr">
        <is>
          <t>Eau de Toilette (EDT)</t>
        </is>
      </c>
      <c r="H209" s="58" t="inlineStr">
        <is>
          <t>Fresh · Men's Fragrance</t>
        </is>
      </c>
      <c r="I209" s="58" t="inlineStr">
        <is>
          <t>Antonio Banderas Power of Seduction Eau de Toilette 50ml – Men's Fresh Aromatic Fragrance</t>
        </is>
      </c>
      <c r="J209" s="58" t="inlineStr">
        <is>
          <t>50ml</t>
        </is>
      </c>
      <c r="K209" s="58" t="n">
        <v>16.99</v>
      </c>
      <c r="L209" s="58" t="inlineStr">
        <is>
          <t>antonio banderas power of seduction</t>
        </is>
      </c>
      <c r="M209" s="58" t="inlineStr">
        <is>
          <t>antonio banderas power of seduction uk</t>
        </is>
      </c>
      <c r="N209" s="58" t="inlineStr">
        <is>
          <t>buy antonio banderas power of seduction online</t>
        </is>
      </c>
      <c r="O209" s="58" t="inlineStr">
        <is>
          <t>antonio banderas power of seduction price</t>
        </is>
      </c>
      <c r="P209" s="58" t="inlineStr">
        <is>
          <t>antonio banderas power of seduction eau de toilette</t>
        </is>
      </c>
      <c r="Q209" s="59">
        <f>IF(L209="","",IFERROR(INDEX('Semrush Data'!$A$1:$Z$20000,MATCH(L209,'Semrush Data'!$A$1:$A$20000,0),MATCH("Volume",'Semrush Data'!$A$1:$Z$1,0)),""))</f>
        <v/>
      </c>
      <c r="R209" s="59">
        <f>IF(M209="","",IFERROR(INDEX('Semrush Data'!$A$1:$Z$20000,MATCH(M209,'Semrush Data'!$A$1:$A$20000,0),MATCH("Volume",'Semrush Data'!$A$1:$Z$1,0)),""))</f>
        <v/>
      </c>
      <c r="S209" s="59">
        <f>IF(N209="","",IFERROR(INDEX('Semrush Data'!$A$1:$Z$20000,MATCH(N209,'Semrush Data'!$A$1:$A$20000,0),MATCH("Volume",'Semrush Data'!$A$1:$Z$1,0)),""))</f>
        <v/>
      </c>
      <c r="T209" s="59">
        <f>IF(O209="","",IFERROR(INDEX('Semrush Data'!$A$1:$Z$20000,MATCH(O209,'Semrush Data'!$A$1:$A$20000,0),MATCH("Volume",'Semrush Data'!$A$1:$Z$1,0)),""))</f>
        <v/>
      </c>
      <c r="U209" s="59">
        <f>IF(P209="","",IFERROR(INDEX('Semrush Data'!$A$1:$Z$20000,MATCH(P209,'Semrush Data'!$A$1:$A$20000,0),MATCH("Volume",'Semrush Data'!$A$1:$Z$1,0)),""))</f>
        <v/>
      </c>
      <c r="V209" s="60">
        <f>IF(COUNT(Q209:U209)=0,L209,IF(MAX(Q209:U209)=0,L209,INDEX(L209:P209,MATCH(MAX(Q209:U209),Q209:U209,0))))</f>
        <v/>
      </c>
      <c r="W209" s="59">
        <f>IFERROR(INDEX('Semrush Data'!$A$1:$Z$20000,MATCH(V209,'Semrush Data'!$A$1:$A$20000,0),MATCH("Volume",'Semrush Data'!$A$1:$Z$1,0)),"")</f>
        <v/>
      </c>
      <c r="X209" s="59">
        <f>IFERROR(INDEX('Semrush Data'!$A$1:$Z$20000,MATCH(V209,'Semrush Data'!$A$1:$A$20000,0),MATCH("Keyword Difficulty*",'Semrush Data'!$A$1:$Z$1,0)),"")</f>
        <v/>
      </c>
      <c r="Y209" s="61">
        <f>IFERROR(INDEX('Semrush Data'!$A$1:$Z$20000,MATCH(V209,'Semrush Data'!$A$1:$A$20000,0),MATCH("CPC*",'Semrush Data'!$A$1:$Z$1,0)),"")</f>
        <v/>
      </c>
      <c r="Z209" s="58" t="inlineStr">
        <is>
          <t>antonio banderas perfume · antonio banderas perfume for men · fresh perfume for men uk</t>
        </is>
      </c>
      <c r="AA209" s="58" t="inlineStr">
        <is>
          <t>antonio banderas power of seduction review · antonio banderas power of seduction perfume · antonio banderas power of seduction edt · antonio banderas power of seduction notes · antonio banderas power of seduction 200ml · antonio banderas power of seduction price</t>
        </is>
      </c>
      <c r="AB209" s="58" t="inlineStr">
        <is>
          <t>Antonio Banderas Power of Seduction Eau de Toilette</t>
        </is>
      </c>
      <c r="AC209" s="58" t="inlineStr">
        <is>
          <t>Antonio Banderas Power of Seduction EDT 50ml | Swansura UK</t>
        </is>
      </c>
      <c r="AD209" s="58">
        <f>LEN(AC209)</f>
        <v/>
      </c>
      <c r="AE209" s="58" t="inlineStr">
        <is>
          <t>Buy Antonio Banderas Power of Seduction Eau de Toilette online in the UK at Swansura. A fresh men's eau de toilette. 100% authentic, free UK delivery over £50.</t>
        </is>
      </c>
      <c r="AF209" s="58">
        <f>LEN(AE209)</f>
        <v/>
      </c>
    </row>
    <row r="210" ht="15" customHeight="1" s="37">
      <c r="A210" s="58" t="inlineStr">
        <is>
          <t>FR-050</t>
        </is>
      </c>
      <c r="B210" s="58" t="inlineStr">
        <is>
          <t>Fragrance Catalogue</t>
        </is>
      </c>
      <c r="C210" s="58" t="n">
        <v>50</v>
      </c>
      <c r="D210" s="58" t="inlineStr">
        <is>
          <t>ariana grande</t>
        </is>
      </c>
      <c r="E210" s="58" t="n"/>
      <c r="F210" s="58" t="inlineStr">
        <is>
          <t>Fragrance</t>
        </is>
      </c>
      <c r="G210" s="58" t="inlineStr">
        <is>
          <t>Eau de Parfum (EDP)</t>
        </is>
      </c>
      <c r="H210" s="58" t="inlineStr">
        <is>
          <t>Floral · Women's Fragrance</t>
        </is>
      </c>
      <c r="I210" s="58" t="inlineStr">
        <is>
          <t>Ariana Grande Thank U, Next Eau de Parfum 100ml – Women's Fruity Floral Gourmand Fragrance</t>
        </is>
      </c>
      <c r="J210" s="58" t="inlineStr">
        <is>
          <t>100ml</t>
        </is>
      </c>
      <c r="K210" s="58" t="n">
        <v>43.99</v>
      </c>
      <c r="L210" s="58" t="inlineStr">
        <is>
          <t>ariana grande thank u, next</t>
        </is>
      </c>
      <c r="M210" s="58" t="inlineStr">
        <is>
          <t>ariana grande thank u, next uk</t>
        </is>
      </c>
      <c r="N210" s="58" t="inlineStr">
        <is>
          <t>buy ariana grande thank u, next online</t>
        </is>
      </c>
      <c r="O210" s="58" t="inlineStr">
        <is>
          <t>ariana grande thank u, next price</t>
        </is>
      </c>
      <c r="P210" s="58" t="inlineStr">
        <is>
          <t>ariana grande thank u, next eau de parfum</t>
        </is>
      </c>
      <c r="Q210" s="59">
        <f>IF(L210="","",IFERROR(INDEX('Semrush Data'!$A$1:$Z$20000,MATCH(L210,'Semrush Data'!$A$1:$A$20000,0),MATCH("Volume",'Semrush Data'!$A$1:$Z$1,0)),""))</f>
        <v/>
      </c>
      <c r="R210" s="59">
        <f>IF(M210="","",IFERROR(INDEX('Semrush Data'!$A$1:$Z$20000,MATCH(M210,'Semrush Data'!$A$1:$A$20000,0),MATCH("Volume",'Semrush Data'!$A$1:$Z$1,0)),""))</f>
        <v/>
      </c>
      <c r="S210" s="59">
        <f>IF(N210="","",IFERROR(INDEX('Semrush Data'!$A$1:$Z$20000,MATCH(N210,'Semrush Data'!$A$1:$A$20000,0),MATCH("Volume",'Semrush Data'!$A$1:$Z$1,0)),""))</f>
        <v/>
      </c>
      <c r="T210" s="59">
        <f>IF(O210="","",IFERROR(INDEX('Semrush Data'!$A$1:$Z$20000,MATCH(O210,'Semrush Data'!$A$1:$A$20000,0),MATCH("Volume",'Semrush Data'!$A$1:$Z$1,0)),""))</f>
        <v/>
      </c>
      <c r="U210" s="59">
        <f>IF(P210="","",IFERROR(INDEX('Semrush Data'!$A$1:$Z$20000,MATCH(P210,'Semrush Data'!$A$1:$A$20000,0),MATCH("Volume",'Semrush Data'!$A$1:$Z$1,0)),""))</f>
        <v/>
      </c>
      <c r="V210" s="60">
        <f>IF(COUNT(Q210:U210)=0,L210,IF(MAX(Q210:U210)=0,L210,INDEX(L210:P210,MATCH(MAX(Q210:U210),Q210:U210,0))))</f>
        <v/>
      </c>
      <c r="W210" s="59">
        <f>IFERROR(INDEX('Semrush Data'!$A$1:$Z$20000,MATCH(V210,'Semrush Data'!$A$1:$A$20000,0),MATCH("Volume",'Semrush Data'!$A$1:$Z$1,0)),"")</f>
        <v/>
      </c>
      <c r="X210" s="59">
        <f>IFERROR(INDEX('Semrush Data'!$A$1:$Z$20000,MATCH(V210,'Semrush Data'!$A$1:$A$20000,0),MATCH("Keyword Difficulty*",'Semrush Data'!$A$1:$Z$1,0)),"")</f>
        <v/>
      </c>
      <c r="Y210" s="61">
        <f>IFERROR(INDEX('Semrush Data'!$A$1:$Z$20000,MATCH(V210,'Semrush Data'!$A$1:$A$20000,0),MATCH("CPC*",'Semrush Data'!$A$1:$Z$1,0)),"")</f>
        <v/>
      </c>
      <c r="Z210" s="58" t="inlineStr">
        <is>
          <t>ariana grande perfume · ariana grande perfume for women · floral perfume for women uk</t>
        </is>
      </c>
      <c r="AA210" s="58" t="inlineStr">
        <is>
          <t>ariana grande thank u next · ariana grande thank u next perfume · ariana grande thank u next 2.0 perfume · ariana grande thank u next 2.0</t>
        </is>
      </c>
      <c r="AB210" s="58" t="inlineStr">
        <is>
          <t>Ariana Grande Thank U, Next Eau de Parfum</t>
        </is>
      </c>
      <c r="AC210" s="58" t="inlineStr">
        <is>
          <t>Ariana Grande Thank U, Next Eau de Parfum | Swansura UK</t>
        </is>
      </c>
      <c r="AD210" s="58">
        <f>LEN(AC210)</f>
        <v/>
      </c>
      <c r="AE210" s="58" t="inlineStr">
        <is>
          <t>Buy Ariana Grande Thank U, Next Eau de Parfum online in the UK at Swansura. A floral women's eau de parfum, 100ml. 100% authentic, free UK delivery over £50.</t>
        </is>
      </c>
      <c r="AF210" s="58">
        <f>LEN(AE210)</f>
        <v/>
      </c>
    </row>
    <row r="211" ht="15" customHeight="1" s="37">
      <c r="A211" s="58" t="inlineStr">
        <is>
          <t>FR-051</t>
        </is>
      </c>
      <c r="B211" s="58" t="inlineStr">
        <is>
          <t>Fragrance Catalogue</t>
        </is>
      </c>
      <c r="C211" s="58" t="n">
        <v>51</v>
      </c>
      <c r="D211" s="58" t="inlineStr">
        <is>
          <t>Armaf</t>
        </is>
      </c>
      <c r="E211" s="58" t="n"/>
      <c r="F211" s="58" t="inlineStr">
        <is>
          <t>Fragrance</t>
        </is>
      </c>
      <c r="G211" s="58" t="inlineStr">
        <is>
          <t>Eau de Parfum (EDP)</t>
        </is>
      </c>
      <c r="H211" s="58" t="inlineStr">
        <is>
          <t>Woody · Men's Fragrance</t>
        </is>
      </c>
      <c r="I211" s="58" t="inlineStr">
        <is>
          <t>Armaf Hunter Eau de Parfum 100ml – Men's Fresh Woody Aromatic Fragrance</t>
        </is>
      </c>
      <c r="J211" s="58" t="inlineStr">
        <is>
          <t>100ml</t>
        </is>
      </c>
      <c r="K211" s="58" t="n">
        <v>22.99</v>
      </c>
      <c r="L211" s="58" t="inlineStr">
        <is>
          <t>armaf hunter</t>
        </is>
      </c>
      <c r="M211" s="58" t="inlineStr">
        <is>
          <t>armaf hunter uk</t>
        </is>
      </c>
      <c r="N211" s="58" t="inlineStr">
        <is>
          <t>buy armaf hunter online</t>
        </is>
      </c>
      <c r="O211" s="58" t="inlineStr">
        <is>
          <t>armaf hunter price</t>
        </is>
      </c>
      <c r="P211" s="58" t="inlineStr">
        <is>
          <t>armaf hunter eau de parfum</t>
        </is>
      </c>
      <c r="Q211" s="59">
        <f>IF(L211="","",IFERROR(INDEX('Semrush Data'!$A$1:$Z$20000,MATCH(L211,'Semrush Data'!$A$1:$A$20000,0),MATCH("Volume",'Semrush Data'!$A$1:$Z$1,0)),""))</f>
        <v/>
      </c>
      <c r="R211" s="59">
        <f>IF(M211="","",IFERROR(INDEX('Semrush Data'!$A$1:$Z$20000,MATCH(M211,'Semrush Data'!$A$1:$A$20000,0),MATCH("Volume",'Semrush Data'!$A$1:$Z$1,0)),""))</f>
        <v/>
      </c>
      <c r="S211" s="59">
        <f>IF(N211="","",IFERROR(INDEX('Semrush Data'!$A$1:$Z$20000,MATCH(N211,'Semrush Data'!$A$1:$A$20000,0),MATCH("Volume",'Semrush Data'!$A$1:$Z$1,0)),""))</f>
        <v/>
      </c>
      <c r="T211" s="59">
        <f>IF(O211="","",IFERROR(INDEX('Semrush Data'!$A$1:$Z$20000,MATCH(O211,'Semrush Data'!$A$1:$A$20000,0),MATCH("Volume",'Semrush Data'!$A$1:$Z$1,0)),""))</f>
        <v/>
      </c>
      <c r="U211" s="59">
        <f>IF(P211="","",IFERROR(INDEX('Semrush Data'!$A$1:$Z$20000,MATCH(P211,'Semrush Data'!$A$1:$A$20000,0),MATCH("Volume",'Semrush Data'!$A$1:$Z$1,0)),""))</f>
        <v/>
      </c>
      <c r="V211" s="60">
        <f>IF(COUNT(Q211:U211)=0,L211,IF(MAX(Q211:U211)=0,L211,INDEX(L211:P211,MATCH(MAX(Q211:U211),Q211:U211,0))))</f>
        <v/>
      </c>
      <c r="W211" s="59">
        <f>IFERROR(INDEX('Semrush Data'!$A$1:$Z$20000,MATCH(V211,'Semrush Data'!$A$1:$A$20000,0),MATCH("Volume",'Semrush Data'!$A$1:$Z$1,0)),"")</f>
        <v/>
      </c>
      <c r="X211" s="59">
        <f>IFERROR(INDEX('Semrush Data'!$A$1:$Z$20000,MATCH(V211,'Semrush Data'!$A$1:$A$20000,0),MATCH("Keyword Difficulty*",'Semrush Data'!$A$1:$Z$1,0)),"")</f>
        <v/>
      </c>
      <c r="Y211" s="61">
        <f>IFERROR(INDEX('Semrush Data'!$A$1:$Z$20000,MATCH(V211,'Semrush Data'!$A$1:$A$20000,0),MATCH("CPC*",'Semrush Data'!$A$1:$Z$1,0)),"")</f>
        <v/>
      </c>
      <c r="Z211" s="58" t="inlineStr">
        <is>
          <t>armaf perfume · armaf perfume for men · woody perfume for men uk</t>
        </is>
      </c>
      <c r="AA211" s="58" t="inlineStr">
        <is>
          <t>armaf hunter dupe of · armaf hunter men · armaf hunter perfume</t>
        </is>
      </c>
      <c r="AB211" s="58" t="inlineStr">
        <is>
          <t>Armaf Hunter Eau de Parfum</t>
        </is>
      </c>
      <c r="AC211" s="58" t="inlineStr">
        <is>
          <t>Armaf Hunter Eau de Parfum | Buy Online UK | Swansura</t>
        </is>
      </c>
      <c r="AD211" s="58">
        <f>LEN(AC211)</f>
        <v/>
      </c>
      <c r="AE211" s="58" t="inlineStr">
        <is>
          <t>Buy Armaf Hunter Eau de Parfum online in the UK at Swansura. A woody men's eau de parfum, 100ml. 100% authentic, fast UK delivery, free over £50.</t>
        </is>
      </c>
      <c r="AF211" s="58">
        <f>LEN(AE211)</f>
        <v/>
      </c>
    </row>
    <row r="212" ht="15" customHeight="1" s="37">
      <c r="A212" s="58" t="inlineStr">
        <is>
          <t>FR-052</t>
        </is>
      </c>
      <c r="B212" s="58" t="inlineStr">
        <is>
          <t>Fragrance Catalogue</t>
        </is>
      </c>
      <c r="C212" s="58" t="n">
        <v>52</v>
      </c>
      <c r="D212" s="58" t="inlineStr">
        <is>
          <t>Bentley</t>
        </is>
      </c>
      <c r="E212" s="58" t="inlineStr">
        <is>
          <t>Name says Azzaro, brand says Bentley</t>
        </is>
      </c>
      <c r="F212" s="58" t="inlineStr">
        <is>
          <t>Fragrance</t>
        </is>
      </c>
      <c r="G212" s="58" t="inlineStr">
        <is>
          <t>Deodorant</t>
        </is>
      </c>
      <c r="H212" s="58" t="inlineStr">
        <is>
          <t>Aromatic · Men's Fragrance</t>
        </is>
      </c>
      <c r="I212" s="58" t="inlineStr">
        <is>
          <t>Azzaro Pour Homme Deodorant Spray 150ml – Men's Aromatic Fragranced Deodorant</t>
        </is>
      </c>
      <c r="J212" s="58" t="inlineStr">
        <is>
          <t>150ml</t>
        </is>
      </c>
      <c r="K212" s="58" t="n">
        <v>22.99</v>
      </c>
      <c r="L212" s="58" t="inlineStr">
        <is>
          <t>bentley azzaro pour homme deodorant</t>
        </is>
      </c>
      <c r="M212" s="58" t="inlineStr">
        <is>
          <t>bentley azzaro pour homme deodorant uk</t>
        </is>
      </c>
      <c r="N212" s="58" t="inlineStr">
        <is>
          <t>buy bentley azzaro pour homme deodorant online</t>
        </is>
      </c>
      <c r="O212" s="58" t="inlineStr">
        <is>
          <t>bentley azzaro pour homme deodorant price</t>
        </is>
      </c>
      <c r="P212" s="58" t="n"/>
      <c r="Q212" s="59">
        <f>IF(L212="","",IFERROR(INDEX('Semrush Data'!$A$1:$Z$20000,MATCH(L212,'Semrush Data'!$A$1:$A$20000,0),MATCH("Volume",'Semrush Data'!$A$1:$Z$1,0)),""))</f>
        <v/>
      </c>
      <c r="R212" s="59">
        <f>IF(M212="","",IFERROR(INDEX('Semrush Data'!$A$1:$Z$20000,MATCH(M212,'Semrush Data'!$A$1:$A$20000,0),MATCH("Volume",'Semrush Data'!$A$1:$Z$1,0)),""))</f>
        <v/>
      </c>
      <c r="S212" s="59">
        <f>IF(N212="","",IFERROR(INDEX('Semrush Data'!$A$1:$Z$20000,MATCH(N212,'Semrush Data'!$A$1:$A$20000,0),MATCH("Volume",'Semrush Data'!$A$1:$Z$1,0)),""))</f>
        <v/>
      </c>
      <c r="T212" s="59">
        <f>IF(O212="","",IFERROR(INDEX('Semrush Data'!$A$1:$Z$20000,MATCH(O212,'Semrush Data'!$A$1:$A$20000,0),MATCH("Volume",'Semrush Data'!$A$1:$Z$1,0)),""))</f>
        <v/>
      </c>
      <c r="U212" s="59">
        <f>IF(P212="","",IFERROR(INDEX('Semrush Data'!$A$1:$Z$20000,MATCH(P212,'Semrush Data'!$A$1:$A$20000,0),MATCH("Volume",'Semrush Data'!$A$1:$Z$1,0)),""))</f>
        <v/>
      </c>
      <c r="V212" s="60">
        <f>IF(COUNT(Q212:U212)=0,L212,IF(MAX(Q212:U212)=0,L212,INDEX(L212:P212,MATCH(MAX(Q212:U212),Q212:U212,0))))</f>
        <v/>
      </c>
      <c r="W212" s="59">
        <f>IFERROR(INDEX('Semrush Data'!$A$1:$Z$20000,MATCH(V212,'Semrush Data'!$A$1:$A$20000,0),MATCH("Volume",'Semrush Data'!$A$1:$Z$1,0)),"")</f>
        <v/>
      </c>
      <c r="X212" s="59">
        <f>IFERROR(INDEX('Semrush Data'!$A$1:$Z$20000,MATCH(V212,'Semrush Data'!$A$1:$A$20000,0),MATCH("Keyword Difficulty*",'Semrush Data'!$A$1:$Z$1,0)),"")</f>
        <v/>
      </c>
      <c r="Y212" s="61">
        <f>IFERROR(INDEX('Semrush Data'!$A$1:$Z$20000,MATCH(V212,'Semrush Data'!$A$1:$A$20000,0),MATCH("CPC*",'Semrush Data'!$A$1:$Z$1,0)),"")</f>
        <v/>
      </c>
      <c r="Z212" s="58" t="inlineStr">
        <is>
          <t>bentley perfume · bentley perfume for men · aromatic perfume for men uk</t>
        </is>
      </c>
      <c r="AA212" s="58" t="n"/>
      <c r="AB212" s="58" t="inlineStr">
        <is>
          <t>Azzaro Pour Homme Deodorant Spray</t>
        </is>
      </c>
      <c r="AC212" s="58" t="inlineStr">
        <is>
          <t>Azzaro Pour Homme Deodorant Spray | Buy Online UK | Swansura</t>
        </is>
      </c>
      <c r="AD212" s="58">
        <f>LEN(AC212)</f>
        <v/>
      </c>
      <c r="AE212" s="58" t="inlineStr">
        <is>
          <t>Buy Azzaro Pour Homme Deodorant Spray online in the UK at Swansura. An aromatic men's fragrance, 150ml. 100% authentic, fast UK delivery, free over £50.</t>
        </is>
      </c>
      <c r="AF212" s="58">
        <f>LEN(AE212)</f>
        <v/>
      </c>
    </row>
    <row r="213" ht="15" customHeight="1" s="37">
      <c r="A213" s="58" t="inlineStr">
        <is>
          <t>FR-053</t>
        </is>
      </c>
      <c r="B213" s="58" t="inlineStr">
        <is>
          <t>Fragrance Catalogue</t>
        </is>
      </c>
      <c r="C213" s="58" t="n">
        <v>53</v>
      </c>
      <c r="D213" s="58" t="inlineStr">
        <is>
          <t>Bentley</t>
        </is>
      </c>
      <c r="E213" s="58" t="n"/>
      <c r="F213" s="58" t="inlineStr">
        <is>
          <t>Fragrance</t>
        </is>
      </c>
      <c r="G213" s="58" t="inlineStr">
        <is>
          <t>Eau de Parfum (EDP)</t>
        </is>
      </c>
      <c r="H213" s="58" t="inlineStr">
        <is>
          <t>Woody · Men's Fragrance</t>
        </is>
      </c>
      <c r="I213" s="58" t="inlineStr">
        <is>
          <t>Bentley Become Eau de Parfum 100ml – Men's Fresh Woody Aromatic Fragrance</t>
        </is>
      </c>
      <c r="J213" s="58" t="inlineStr">
        <is>
          <t>100ml</t>
        </is>
      </c>
      <c r="K213" s="58" t="n">
        <v>40.99</v>
      </c>
      <c r="L213" s="58" t="inlineStr">
        <is>
          <t>bentley become</t>
        </is>
      </c>
      <c r="M213" s="58" t="inlineStr">
        <is>
          <t>bentley become uk</t>
        </is>
      </c>
      <c r="N213" s="58" t="inlineStr">
        <is>
          <t>buy bentley become online</t>
        </is>
      </c>
      <c r="O213" s="58" t="inlineStr">
        <is>
          <t>bentley become price</t>
        </is>
      </c>
      <c r="P213" s="58" t="inlineStr">
        <is>
          <t>bentley become eau de parfum</t>
        </is>
      </c>
      <c r="Q213" s="59">
        <f>IF(L213="","",IFERROR(INDEX('Semrush Data'!$A$1:$Z$20000,MATCH(L213,'Semrush Data'!$A$1:$A$20000,0),MATCH("Volume",'Semrush Data'!$A$1:$Z$1,0)),""))</f>
        <v/>
      </c>
      <c r="R213" s="59">
        <f>IF(M213="","",IFERROR(INDEX('Semrush Data'!$A$1:$Z$20000,MATCH(M213,'Semrush Data'!$A$1:$A$20000,0),MATCH("Volume",'Semrush Data'!$A$1:$Z$1,0)),""))</f>
        <v/>
      </c>
      <c r="S213" s="59">
        <f>IF(N213="","",IFERROR(INDEX('Semrush Data'!$A$1:$Z$20000,MATCH(N213,'Semrush Data'!$A$1:$A$20000,0),MATCH("Volume",'Semrush Data'!$A$1:$Z$1,0)),""))</f>
        <v/>
      </c>
      <c r="T213" s="59">
        <f>IF(O213="","",IFERROR(INDEX('Semrush Data'!$A$1:$Z$20000,MATCH(O213,'Semrush Data'!$A$1:$A$20000,0),MATCH("Volume",'Semrush Data'!$A$1:$Z$1,0)),""))</f>
        <v/>
      </c>
      <c r="U213" s="59">
        <f>IF(P213="","",IFERROR(INDEX('Semrush Data'!$A$1:$Z$20000,MATCH(P213,'Semrush Data'!$A$1:$A$20000,0),MATCH("Volume",'Semrush Data'!$A$1:$Z$1,0)),""))</f>
        <v/>
      </c>
      <c r="V213" s="60">
        <f>IF(COUNT(Q213:U213)=0,L213,IF(MAX(Q213:U213)=0,L213,INDEX(L213:P213,MATCH(MAX(Q213:U213),Q213:U213,0))))</f>
        <v/>
      </c>
      <c r="W213" s="59">
        <f>IFERROR(INDEX('Semrush Data'!$A$1:$Z$20000,MATCH(V213,'Semrush Data'!$A$1:$A$20000,0),MATCH("Volume",'Semrush Data'!$A$1:$Z$1,0)),"")</f>
        <v/>
      </c>
      <c r="X213" s="59">
        <f>IFERROR(INDEX('Semrush Data'!$A$1:$Z$20000,MATCH(V213,'Semrush Data'!$A$1:$A$20000,0),MATCH("Keyword Difficulty*",'Semrush Data'!$A$1:$Z$1,0)),"")</f>
        <v/>
      </c>
      <c r="Y213" s="61">
        <f>IFERROR(INDEX('Semrush Data'!$A$1:$Z$20000,MATCH(V213,'Semrush Data'!$A$1:$A$20000,0),MATCH("CPC*",'Semrush Data'!$A$1:$Z$1,0)),"")</f>
        <v/>
      </c>
      <c r="Z213" s="58" t="inlineStr">
        <is>
          <t>bentley perfume · bentley perfume for men · woody perfume for men uk</t>
        </is>
      </c>
      <c r="AA213" s="58" t="inlineStr">
        <is>
          <t>bentley become perfume · bentley become perfume price · bentley become review · bentley become edp</t>
        </is>
      </c>
      <c r="AB213" s="58" t="inlineStr">
        <is>
          <t>Bentley Become Eau de Parfum</t>
        </is>
      </c>
      <c r="AC213" s="58" t="inlineStr">
        <is>
          <t>Bentley Become Eau de Parfum | Buy Online UK | Swansura</t>
        </is>
      </c>
      <c r="AD213" s="58">
        <f>LEN(AC213)</f>
        <v/>
      </c>
      <c r="AE213" s="58" t="inlineStr">
        <is>
          <t>Buy Bentley Become Eau de Parfum online in the UK at Swansura. A woody men's eau de parfum, 100ml. 100% authentic, fast UK delivery, free over £50.</t>
        </is>
      </c>
      <c r="AF213" s="58">
        <f>LEN(AE213)</f>
        <v/>
      </c>
    </row>
    <row r="214" ht="15" customHeight="1" s="37">
      <c r="A214" s="58" t="inlineStr">
        <is>
          <t>FR-054</t>
        </is>
      </c>
      <c r="B214" s="58" t="inlineStr">
        <is>
          <t>Fragrance Catalogue</t>
        </is>
      </c>
      <c r="C214" s="58" t="n">
        <v>54</v>
      </c>
      <c r="D214" s="58" t="inlineStr">
        <is>
          <t>Bentley</t>
        </is>
      </c>
      <c r="E214" s="58" t="n"/>
      <c r="F214" s="58" t="inlineStr">
        <is>
          <t>Fragrance</t>
        </is>
      </c>
      <c r="G214" s="58" t="inlineStr">
        <is>
          <t>Eau de Parfum (EDP)</t>
        </is>
      </c>
      <c r="H214" s="58" t="inlineStr">
        <is>
          <t>Woody · Men's Fragrance</t>
        </is>
      </c>
      <c r="I214" s="58" t="inlineStr">
        <is>
          <t>Bentley For Men Absolute Eau de Parfum 100ml – Men's Woody Spicy Fragrance</t>
        </is>
      </c>
      <c r="J214" s="58" t="inlineStr">
        <is>
          <t>100ml</t>
        </is>
      </c>
      <c r="K214" s="58" t="n">
        <v>31.99</v>
      </c>
      <c r="L214" s="58" t="inlineStr">
        <is>
          <t>bentley absolute</t>
        </is>
      </c>
      <c r="M214" s="58" t="inlineStr">
        <is>
          <t>bentley absolute uk</t>
        </is>
      </c>
      <c r="N214" s="58" t="inlineStr">
        <is>
          <t>buy bentley absolute online</t>
        </is>
      </c>
      <c r="O214" s="58" t="inlineStr">
        <is>
          <t>bentley absolute price</t>
        </is>
      </c>
      <c r="P214" s="58" t="inlineStr">
        <is>
          <t>bentley absolute eau de parfum</t>
        </is>
      </c>
      <c r="Q214" s="59">
        <f>IF(L214="","",IFERROR(INDEX('Semrush Data'!$A$1:$Z$20000,MATCH(L214,'Semrush Data'!$A$1:$A$20000,0),MATCH("Volume",'Semrush Data'!$A$1:$Z$1,0)),""))</f>
        <v/>
      </c>
      <c r="R214" s="59">
        <f>IF(M214="","",IFERROR(INDEX('Semrush Data'!$A$1:$Z$20000,MATCH(M214,'Semrush Data'!$A$1:$A$20000,0),MATCH("Volume",'Semrush Data'!$A$1:$Z$1,0)),""))</f>
        <v/>
      </c>
      <c r="S214" s="59">
        <f>IF(N214="","",IFERROR(INDEX('Semrush Data'!$A$1:$Z$20000,MATCH(N214,'Semrush Data'!$A$1:$A$20000,0),MATCH("Volume",'Semrush Data'!$A$1:$Z$1,0)),""))</f>
        <v/>
      </c>
      <c r="T214" s="59">
        <f>IF(O214="","",IFERROR(INDEX('Semrush Data'!$A$1:$Z$20000,MATCH(O214,'Semrush Data'!$A$1:$A$20000,0),MATCH("Volume",'Semrush Data'!$A$1:$Z$1,0)),""))</f>
        <v/>
      </c>
      <c r="U214" s="59">
        <f>IF(P214="","",IFERROR(INDEX('Semrush Data'!$A$1:$Z$20000,MATCH(P214,'Semrush Data'!$A$1:$A$20000,0),MATCH("Volume",'Semrush Data'!$A$1:$Z$1,0)),""))</f>
        <v/>
      </c>
      <c r="V214" s="60">
        <f>IF(COUNT(Q214:U214)=0,L214,IF(MAX(Q214:U214)=0,L214,INDEX(L214:P214,MATCH(MAX(Q214:U214),Q214:U214,0))))</f>
        <v/>
      </c>
      <c r="W214" s="59">
        <f>IFERROR(INDEX('Semrush Data'!$A$1:$Z$20000,MATCH(V214,'Semrush Data'!$A$1:$A$20000,0),MATCH("Volume",'Semrush Data'!$A$1:$Z$1,0)),"")</f>
        <v/>
      </c>
      <c r="X214" s="59">
        <f>IFERROR(INDEX('Semrush Data'!$A$1:$Z$20000,MATCH(V214,'Semrush Data'!$A$1:$A$20000,0),MATCH("Keyword Difficulty*",'Semrush Data'!$A$1:$Z$1,0)),"")</f>
        <v/>
      </c>
      <c r="Y214" s="61">
        <f>IFERROR(INDEX('Semrush Data'!$A$1:$Z$20000,MATCH(V214,'Semrush Data'!$A$1:$A$20000,0),MATCH("CPC*",'Semrush Data'!$A$1:$Z$1,0)),"")</f>
        <v/>
      </c>
      <c r="Z214" s="58" t="inlineStr">
        <is>
          <t>bentley perfume · bentley perfume for men · woody perfume for men uk</t>
        </is>
      </c>
      <c r="AA214" s="58" t="inlineStr">
        <is>
          <t>bentley absolute for men · bentley absolute men edp · bentley absolute edp · bentley absolute eau de parfum · bentley absolute review · bentley absolute for men review</t>
        </is>
      </c>
      <c r="AB214" s="58" t="inlineStr">
        <is>
          <t>Bentley For Men Absolute Eau de Parfum</t>
        </is>
      </c>
      <c r="AC214" s="58" t="inlineStr">
        <is>
          <t>Bentley For Men Absolute Eau de Parfum | Swansura UK</t>
        </is>
      </c>
      <c r="AD214" s="58">
        <f>LEN(AC214)</f>
        <v/>
      </c>
      <c r="AE214" s="58" t="inlineStr">
        <is>
          <t>Buy Bentley For Men Absolute Eau de Parfum online in the UK at Swansura. A woody men's eau de parfum, 100ml. 100% authentic, fast UK delivery, free over £50.</t>
        </is>
      </c>
      <c r="AF214" s="58">
        <f>LEN(AE214)</f>
        <v/>
      </c>
    </row>
    <row r="215" ht="15" customHeight="1" s="37">
      <c r="A215" s="58" t="inlineStr">
        <is>
          <t>FR-055</t>
        </is>
      </c>
      <c r="B215" s="58" t="inlineStr">
        <is>
          <t>Fragrance Catalogue</t>
        </is>
      </c>
      <c r="C215" s="58" t="n">
        <v>55</v>
      </c>
      <c r="D215" s="58" t="inlineStr">
        <is>
          <t>Bentley</t>
        </is>
      </c>
      <c r="E215" s="58" t="n"/>
      <c r="F215" s="58" t="inlineStr">
        <is>
          <t>Fragrance</t>
        </is>
      </c>
      <c r="G215" s="58" t="inlineStr">
        <is>
          <t>Eau de Parfum (EDP)</t>
        </is>
      </c>
      <c r="H215" s="58" t="inlineStr">
        <is>
          <t>Woody · Men's Fragrance</t>
        </is>
      </c>
      <c r="I215" s="58" t="inlineStr">
        <is>
          <t>Bentley For Men Silverlake Eau de Parfum 100ml – Men's Fresh Aromatic Woody Fragrance</t>
        </is>
      </c>
      <c r="J215" s="58" t="inlineStr">
        <is>
          <t>100ml</t>
        </is>
      </c>
      <c r="K215" s="58" t="n">
        <v>32.99</v>
      </c>
      <c r="L215" s="58" t="inlineStr">
        <is>
          <t>bentley silverlake</t>
        </is>
      </c>
      <c r="M215" s="58" t="inlineStr">
        <is>
          <t>bentley silverlake uk</t>
        </is>
      </c>
      <c r="N215" s="58" t="inlineStr">
        <is>
          <t>buy bentley silverlake online</t>
        </is>
      </c>
      <c r="O215" s="58" t="inlineStr">
        <is>
          <t>bentley silverlake price</t>
        </is>
      </c>
      <c r="P215" s="58" t="inlineStr">
        <is>
          <t>bentley silverlake eau de parfum</t>
        </is>
      </c>
      <c r="Q215" s="59">
        <f>IF(L215="","",IFERROR(INDEX('Semrush Data'!$A$1:$Z$20000,MATCH(L215,'Semrush Data'!$A$1:$A$20000,0),MATCH("Volume",'Semrush Data'!$A$1:$Z$1,0)),""))</f>
        <v/>
      </c>
      <c r="R215" s="59">
        <f>IF(M215="","",IFERROR(INDEX('Semrush Data'!$A$1:$Z$20000,MATCH(M215,'Semrush Data'!$A$1:$A$20000,0),MATCH("Volume",'Semrush Data'!$A$1:$Z$1,0)),""))</f>
        <v/>
      </c>
      <c r="S215" s="59">
        <f>IF(N215="","",IFERROR(INDEX('Semrush Data'!$A$1:$Z$20000,MATCH(N215,'Semrush Data'!$A$1:$A$20000,0),MATCH("Volume",'Semrush Data'!$A$1:$Z$1,0)),""))</f>
        <v/>
      </c>
      <c r="T215" s="59">
        <f>IF(O215="","",IFERROR(INDEX('Semrush Data'!$A$1:$Z$20000,MATCH(O215,'Semrush Data'!$A$1:$A$20000,0),MATCH("Volume",'Semrush Data'!$A$1:$Z$1,0)),""))</f>
        <v/>
      </c>
      <c r="U215" s="59">
        <f>IF(P215="","",IFERROR(INDEX('Semrush Data'!$A$1:$Z$20000,MATCH(P215,'Semrush Data'!$A$1:$A$20000,0),MATCH("Volume",'Semrush Data'!$A$1:$Z$1,0)),""))</f>
        <v/>
      </c>
      <c r="V215" s="60">
        <f>IF(COUNT(Q215:U215)=0,L215,IF(MAX(Q215:U215)=0,L215,INDEX(L215:P215,MATCH(MAX(Q215:U215),Q215:U215,0))))</f>
        <v/>
      </c>
      <c r="W215" s="59">
        <f>IFERROR(INDEX('Semrush Data'!$A$1:$Z$20000,MATCH(V215,'Semrush Data'!$A$1:$A$20000,0),MATCH("Volume",'Semrush Data'!$A$1:$Z$1,0)),"")</f>
        <v/>
      </c>
      <c r="X215" s="59">
        <f>IFERROR(INDEX('Semrush Data'!$A$1:$Z$20000,MATCH(V215,'Semrush Data'!$A$1:$A$20000,0),MATCH("Keyword Difficulty*",'Semrush Data'!$A$1:$Z$1,0)),"")</f>
        <v/>
      </c>
      <c r="Y215" s="61">
        <f>IFERROR(INDEX('Semrush Data'!$A$1:$Z$20000,MATCH(V215,'Semrush Data'!$A$1:$A$20000,0),MATCH("CPC*",'Semrush Data'!$A$1:$Z$1,0)),"")</f>
        <v/>
      </c>
      <c r="Z215" s="58" t="inlineStr">
        <is>
          <t>bentley perfume · bentley perfume for men · woody perfume for men uk</t>
        </is>
      </c>
      <c r="AA215" s="58" t="inlineStr">
        <is>
          <t>bentley silverlake perfume · bentley silverlake edp · bentley silverlake review · bentley silverlake price · bentley silverlake dupe of · bentley silverlake notes</t>
        </is>
      </c>
      <c r="AB215" s="58" t="inlineStr">
        <is>
          <t>Bentley For Men Silverlake Eau de Parfum</t>
        </is>
      </c>
      <c r="AC215" s="58" t="inlineStr">
        <is>
          <t>Bentley For Men Silverlake Eau de Parfum | Swansura UK</t>
        </is>
      </c>
      <c r="AD215" s="58">
        <f>LEN(AC215)</f>
        <v/>
      </c>
      <c r="AE215" s="58" t="inlineStr">
        <is>
          <t>Buy Bentley For Men Silverlake Eau de Parfum online in the UK at Swansura. A woody men's eau de parfum, 100ml. 100% authentic, fast UK delivery, free over £50.</t>
        </is>
      </c>
      <c r="AF215" s="58">
        <f>LEN(AE215)</f>
        <v/>
      </c>
    </row>
    <row r="216" ht="15" customHeight="1" s="37">
      <c r="A216" s="58" t="inlineStr">
        <is>
          <t>FR-056</t>
        </is>
      </c>
      <c r="B216" s="58" t="inlineStr">
        <is>
          <t>Fragrance Catalogue</t>
        </is>
      </c>
      <c r="C216" s="58" t="n">
        <v>56</v>
      </c>
      <c r="D216" s="58" t="inlineStr">
        <is>
          <t>Bentley</t>
        </is>
      </c>
      <c r="E216" s="58" t="inlineStr">
        <is>
          <t>Name says Azzaro, brand says Bentley</t>
        </is>
      </c>
      <c r="F216" s="58" t="inlineStr">
        <is>
          <t>Fragrance</t>
        </is>
      </c>
      <c r="G216" s="58" t="inlineStr">
        <is>
          <t>Eau de Toilette (EDT)</t>
        </is>
      </c>
      <c r="H216" s="58" t="inlineStr">
        <is>
          <t>Fresh · Men's Fragrance</t>
        </is>
      </c>
      <c r="I216" s="58" t="inlineStr">
        <is>
          <t>Azzaro Chrome Legend Eau de Toilette 125ml – Men's Fresh Aromatic Fragrance</t>
        </is>
      </c>
      <c r="J216" s="58" t="inlineStr">
        <is>
          <t>125ml</t>
        </is>
      </c>
      <c r="K216" s="58" t="n">
        <v>33.99</v>
      </c>
      <c r="L216" s="58" t="inlineStr">
        <is>
          <t>bentley azzaro chrome legend</t>
        </is>
      </c>
      <c r="M216" s="58" t="inlineStr">
        <is>
          <t>bentley azzaro chrome legend uk</t>
        </is>
      </c>
      <c r="N216" s="58" t="inlineStr">
        <is>
          <t>buy bentley azzaro chrome legend online</t>
        </is>
      </c>
      <c r="O216" s="58" t="inlineStr">
        <is>
          <t>bentley azzaro chrome legend price</t>
        </is>
      </c>
      <c r="P216" s="58" t="inlineStr">
        <is>
          <t>bentley azzaro chrome legend eau de toilette</t>
        </is>
      </c>
      <c r="Q216" s="59">
        <f>IF(L216="","",IFERROR(INDEX('Semrush Data'!$A$1:$Z$20000,MATCH(L216,'Semrush Data'!$A$1:$A$20000,0),MATCH("Volume",'Semrush Data'!$A$1:$Z$1,0)),""))</f>
        <v/>
      </c>
      <c r="R216" s="59">
        <f>IF(M216="","",IFERROR(INDEX('Semrush Data'!$A$1:$Z$20000,MATCH(M216,'Semrush Data'!$A$1:$A$20000,0),MATCH("Volume",'Semrush Data'!$A$1:$Z$1,0)),""))</f>
        <v/>
      </c>
      <c r="S216" s="59">
        <f>IF(N216="","",IFERROR(INDEX('Semrush Data'!$A$1:$Z$20000,MATCH(N216,'Semrush Data'!$A$1:$A$20000,0),MATCH("Volume",'Semrush Data'!$A$1:$Z$1,0)),""))</f>
        <v/>
      </c>
      <c r="T216" s="59">
        <f>IF(O216="","",IFERROR(INDEX('Semrush Data'!$A$1:$Z$20000,MATCH(O216,'Semrush Data'!$A$1:$A$20000,0),MATCH("Volume",'Semrush Data'!$A$1:$Z$1,0)),""))</f>
        <v/>
      </c>
      <c r="U216" s="59">
        <f>IF(P216="","",IFERROR(INDEX('Semrush Data'!$A$1:$Z$20000,MATCH(P216,'Semrush Data'!$A$1:$A$20000,0),MATCH("Volume",'Semrush Data'!$A$1:$Z$1,0)),""))</f>
        <v/>
      </c>
      <c r="V216" s="60">
        <f>IF(COUNT(Q216:U216)=0,L216,IF(MAX(Q216:U216)=0,L216,INDEX(L216:P216,MATCH(MAX(Q216:U216),Q216:U216,0))))</f>
        <v/>
      </c>
      <c r="W216" s="59">
        <f>IFERROR(INDEX('Semrush Data'!$A$1:$Z$20000,MATCH(V216,'Semrush Data'!$A$1:$A$20000,0),MATCH("Volume",'Semrush Data'!$A$1:$Z$1,0)),"")</f>
        <v/>
      </c>
      <c r="X216" s="59">
        <f>IFERROR(INDEX('Semrush Data'!$A$1:$Z$20000,MATCH(V216,'Semrush Data'!$A$1:$A$20000,0),MATCH("Keyword Difficulty*",'Semrush Data'!$A$1:$Z$1,0)),"")</f>
        <v/>
      </c>
      <c r="Y216" s="61">
        <f>IFERROR(INDEX('Semrush Data'!$A$1:$Z$20000,MATCH(V216,'Semrush Data'!$A$1:$A$20000,0),MATCH("CPC*",'Semrush Data'!$A$1:$Z$1,0)),"")</f>
        <v/>
      </c>
      <c r="Z216" s="58" t="inlineStr">
        <is>
          <t>bentley perfume · bentley perfume for men · fresh perfume for men uk</t>
        </is>
      </c>
      <c r="AA216" s="58" t="n"/>
      <c r="AB216" s="58" t="inlineStr">
        <is>
          <t>Azzaro Chrome Legend Eau de Toilette</t>
        </is>
      </c>
      <c r="AC216" s="58" t="inlineStr">
        <is>
          <t>Azzaro Chrome Legend EDT 125ml | Buy Online UK | Swansura</t>
        </is>
      </c>
      <c r="AD216" s="58">
        <f>LEN(AC216)</f>
        <v/>
      </c>
      <c r="AE216" s="58" t="inlineStr">
        <is>
          <t>Buy Azzaro Chrome Legend Eau de Toilette online in the UK at Swansura. A fresh men's eau de toilette, 125ml. 100% authentic, fast UK delivery, free over £50.</t>
        </is>
      </c>
      <c r="AF216" s="58">
        <f>LEN(AE216)</f>
        <v/>
      </c>
    </row>
    <row r="217" ht="15" customHeight="1" s="37">
      <c r="A217" s="58" t="inlineStr">
        <is>
          <t>FR-057</t>
        </is>
      </c>
      <c r="B217" s="58" t="inlineStr">
        <is>
          <t>Fragrance Catalogue</t>
        </is>
      </c>
      <c r="C217" s="58" t="n">
        <v>57</v>
      </c>
      <c r="D217" s="58" t="inlineStr">
        <is>
          <t>Bentley</t>
        </is>
      </c>
      <c r="E217" s="58" t="inlineStr">
        <is>
          <t>Name says Azzaro, brand says Bentley</t>
        </is>
      </c>
      <c r="F217" s="58" t="inlineStr">
        <is>
          <t>Fragrance</t>
        </is>
      </c>
      <c r="G217" s="58" t="inlineStr">
        <is>
          <t>Eau de Toilette (EDT)</t>
        </is>
      </c>
      <c r="H217" s="58" t="inlineStr">
        <is>
          <t>Fresh · Men's Fragrance</t>
        </is>
      </c>
      <c r="I217" s="58" t="inlineStr">
        <is>
          <t>Azzaro Chrome Legend Eau de Toilette 75ml – Men's Fresh Aromatic Fragrance</t>
        </is>
      </c>
      <c r="J217" s="58" t="inlineStr">
        <is>
          <t>75ml</t>
        </is>
      </c>
      <c r="K217" s="58" t="n">
        <v>27.99</v>
      </c>
      <c r="L217" s="58" t="inlineStr">
        <is>
          <t>bentley azzaro chrome legend</t>
        </is>
      </c>
      <c r="M217" s="58" t="inlineStr">
        <is>
          <t>bentley azzaro chrome legend uk</t>
        </is>
      </c>
      <c r="N217" s="58" t="inlineStr">
        <is>
          <t>buy bentley azzaro chrome legend online</t>
        </is>
      </c>
      <c r="O217" s="58" t="inlineStr">
        <is>
          <t>bentley azzaro chrome legend price</t>
        </is>
      </c>
      <c r="P217" s="58" t="inlineStr">
        <is>
          <t>bentley azzaro chrome legend eau de toilette</t>
        </is>
      </c>
      <c r="Q217" s="59">
        <f>IF(L217="","",IFERROR(INDEX('Semrush Data'!$A$1:$Z$20000,MATCH(L217,'Semrush Data'!$A$1:$A$20000,0),MATCH("Volume",'Semrush Data'!$A$1:$Z$1,0)),""))</f>
        <v/>
      </c>
      <c r="R217" s="59">
        <f>IF(M217="","",IFERROR(INDEX('Semrush Data'!$A$1:$Z$20000,MATCH(M217,'Semrush Data'!$A$1:$A$20000,0),MATCH("Volume",'Semrush Data'!$A$1:$Z$1,0)),""))</f>
        <v/>
      </c>
      <c r="S217" s="59">
        <f>IF(N217="","",IFERROR(INDEX('Semrush Data'!$A$1:$Z$20000,MATCH(N217,'Semrush Data'!$A$1:$A$20000,0),MATCH("Volume",'Semrush Data'!$A$1:$Z$1,0)),""))</f>
        <v/>
      </c>
      <c r="T217" s="59">
        <f>IF(O217="","",IFERROR(INDEX('Semrush Data'!$A$1:$Z$20000,MATCH(O217,'Semrush Data'!$A$1:$A$20000,0),MATCH("Volume",'Semrush Data'!$A$1:$Z$1,0)),""))</f>
        <v/>
      </c>
      <c r="U217" s="59">
        <f>IF(P217="","",IFERROR(INDEX('Semrush Data'!$A$1:$Z$20000,MATCH(P217,'Semrush Data'!$A$1:$A$20000,0),MATCH("Volume",'Semrush Data'!$A$1:$Z$1,0)),""))</f>
        <v/>
      </c>
      <c r="V217" s="60">
        <f>IF(COUNT(Q217:U217)=0,L217,IF(MAX(Q217:U217)=0,L217,INDEX(L217:P217,MATCH(MAX(Q217:U217),Q217:U217,0))))</f>
        <v/>
      </c>
      <c r="W217" s="59">
        <f>IFERROR(INDEX('Semrush Data'!$A$1:$Z$20000,MATCH(V217,'Semrush Data'!$A$1:$A$20000,0),MATCH("Volume",'Semrush Data'!$A$1:$Z$1,0)),"")</f>
        <v/>
      </c>
      <c r="X217" s="59">
        <f>IFERROR(INDEX('Semrush Data'!$A$1:$Z$20000,MATCH(V217,'Semrush Data'!$A$1:$A$20000,0),MATCH("Keyword Difficulty*",'Semrush Data'!$A$1:$Z$1,0)),"")</f>
        <v/>
      </c>
      <c r="Y217" s="61">
        <f>IFERROR(INDEX('Semrush Data'!$A$1:$Z$20000,MATCH(V217,'Semrush Data'!$A$1:$A$20000,0),MATCH("CPC*",'Semrush Data'!$A$1:$Z$1,0)),"")</f>
        <v/>
      </c>
      <c r="Z217" s="58" t="inlineStr">
        <is>
          <t>bentley perfume · bentley perfume for men · fresh perfume for men uk</t>
        </is>
      </c>
      <c r="AA217" s="58" t="n"/>
      <c r="AB217" s="58" t="inlineStr">
        <is>
          <t>Azzaro Chrome Legend Eau de Toilette</t>
        </is>
      </c>
      <c r="AC217" s="58" t="inlineStr">
        <is>
          <t>Azzaro Chrome Legend EDT 75ml | Buy Online UK | Swansura</t>
        </is>
      </c>
      <c r="AD217" s="58">
        <f>LEN(AC217)</f>
        <v/>
      </c>
      <c r="AE217" s="58" t="inlineStr">
        <is>
          <t>Buy Azzaro Chrome Legend Eau de Toilette online in the UK at Swansura. A fresh men's eau de toilette, 75ml. 100% authentic, fast UK delivery, free over £50.</t>
        </is>
      </c>
      <c r="AF217" s="58">
        <f>LEN(AE217)</f>
        <v/>
      </c>
    </row>
    <row r="218" ht="15" customHeight="1" s="37">
      <c r="A218" s="58" t="inlineStr">
        <is>
          <t>FR-058</t>
        </is>
      </c>
      <c r="B218" s="58" t="inlineStr">
        <is>
          <t>Fragrance Catalogue</t>
        </is>
      </c>
      <c r="C218" s="58" t="n">
        <v>58</v>
      </c>
      <c r="D218" s="58" t="inlineStr">
        <is>
          <t>Bentley</t>
        </is>
      </c>
      <c r="E218" s="58" t="n"/>
      <c r="F218" s="58" t="inlineStr">
        <is>
          <t>Fragrance</t>
        </is>
      </c>
      <c r="G218" s="58" t="inlineStr">
        <is>
          <t>Eau de Toilette (EDT)</t>
        </is>
      </c>
      <c r="H218" s="58" t="inlineStr">
        <is>
          <t>Woody · Men's Fragrance</t>
        </is>
      </c>
      <c r="I218" s="58" t="inlineStr">
        <is>
          <t>Bentley For Men Azure Eau de Toilette 100ml – Men's Fresh Aquatic Woody Fragrance</t>
        </is>
      </c>
      <c r="J218" s="58" t="inlineStr">
        <is>
          <t>100ml</t>
        </is>
      </c>
      <c r="K218" s="58" t="n">
        <v>31.99</v>
      </c>
      <c r="L218" s="58" t="inlineStr">
        <is>
          <t>bentley azure</t>
        </is>
      </c>
      <c r="M218" s="58" t="inlineStr">
        <is>
          <t>bentley azure uk</t>
        </is>
      </c>
      <c r="N218" s="58" t="inlineStr">
        <is>
          <t>buy bentley azure online</t>
        </is>
      </c>
      <c r="O218" s="58" t="inlineStr">
        <is>
          <t>bentley azure price</t>
        </is>
      </c>
      <c r="P218" s="58" t="inlineStr">
        <is>
          <t>bentley azure eau de toilette</t>
        </is>
      </c>
      <c r="Q218" s="59">
        <f>IF(L218="","",IFERROR(INDEX('Semrush Data'!$A$1:$Z$20000,MATCH(L218,'Semrush Data'!$A$1:$A$20000,0),MATCH("Volume",'Semrush Data'!$A$1:$Z$1,0)),""))</f>
        <v/>
      </c>
      <c r="R218" s="59">
        <f>IF(M218="","",IFERROR(INDEX('Semrush Data'!$A$1:$Z$20000,MATCH(M218,'Semrush Data'!$A$1:$A$20000,0),MATCH("Volume",'Semrush Data'!$A$1:$Z$1,0)),""))</f>
        <v/>
      </c>
      <c r="S218" s="59">
        <f>IF(N218="","",IFERROR(INDEX('Semrush Data'!$A$1:$Z$20000,MATCH(N218,'Semrush Data'!$A$1:$A$20000,0),MATCH("Volume",'Semrush Data'!$A$1:$Z$1,0)),""))</f>
        <v/>
      </c>
      <c r="T218" s="59">
        <f>IF(O218="","",IFERROR(INDEX('Semrush Data'!$A$1:$Z$20000,MATCH(O218,'Semrush Data'!$A$1:$A$20000,0),MATCH("Volume",'Semrush Data'!$A$1:$Z$1,0)),""))</f>
        <v/>
      </c>
      <c r="U218" s="59">
        <f>IF(P218="","",IFERROR(INDEX('Semrush Data'!$A$1:$Z$20000,MATCH(P218,'Semrush Data'!$A$1:$A$20000,0),MATCH("Volume",'Semrush Data'!$A$1:$Z$1,0)),""))</f>
        <v/>
      </c>
      <c r="V218" s="60">
        <f>IF(COUNT(Q218:U218)=0,L218,IF(MAX(Q218:U218)=0,L218,INDEX(L218:P218,MATCH(MAX(Q218:U218),Q218:U218,0))))</f>
        <v/>
      </c>
      <c r="W218" s="59">
        <f>IFERROR(INDEX('Semrush Data'!$A$1:$Z$20000,MATCH(V218,'Semrush Data'!$A$1:$A$20000,0),MATCH("Volume",'Semrush Data'!$A$1:$Z$1,0)),"")</f>
        <v/>
      </c>
      <c r="X218" s="59">
        <f>IFERROR(INDEX('Semrush Data'!$A$1:$Z$20000,MATCH(V218,'Semrush Data'!$A$1:$A$20000,0),MATCH("Keyword Difficulty*",'Semrush Data'!$A$1:$Z$1,0)),"")</f>
        <v/>
      </c>
      <c r="Y218" s="61">
        <f>IFERROR(INDEX('Semrush Data'!$A$1:$Z$20000,MATCH(V218,'Semrush Data'!$A$1:$A$20000,0),MATCH("CPC*",'Semrush Data'!$A$1:$Z$1,0)),"")</f>
        <v/>
      </c>
      <c r="Z218" s="58" t="inlineStr">
        <is>
          <t>bentley perfume · bentley perfume for men · woody perfume for men uk</t>
        </is>
      </c>
      <c r="AA218" s="58" t="inlineStr">
        <is>
          <t>bentley azure for sale · bentley azure 2026 · bentley azure price · bentley azure perfume · bentley azure 2026 price · bentley azure for men</t>
        </is>
      </c>
      <c r="AB218" s="58" t="inlineStr">
        <is>
          <t>Bentley For Men Azure Eau de Toilette</t>
        </is>
      </c>
      <c r="AC218" s="58" t="inlineStr">
        <is>
          <t>Bentley For Men Azure EDT 100ml | Buy Online UK | Swansura</t>
        </is>
      </c>
      <c r="AD218" s="58">
        <f>LEN(AC218)</f>
        <v/>
      </c>
      <c r="AE218" s="58" t="inlineStr">
        <is>
          <t>Buy Bentley For Men Azure Eau de Toilette online in the UK at Swansura. A woody men's eau de toilette, 100ml. 100% authentic, fast UK delivery, free over £50.</t>
        </is>
      </c>
      <c r="AF218" s="58">
        <f>LEN(AE218)</f>
        <v/>
      </c>
    </row>
    <row r="219" ht="15" customHeight="1" s="37">
      <c r="A219" s="58" t="inlineStr">
        <is>
          <t>FR-059</t>
        </is>
      </c>
      <c r="B219" s="58" t="inlineStr">
        <is>
          <t>Fragrance Catalogue</t>
        </is>
      </c>
      <c r="C219" s="58" t="n">
        <v>59</v>
      </c>
      <c r="D219" s="58" t="inlineStr">
        <is>
          <t>Bentley</t>
        </is>
      </c>
      <c r="E219" s="58" t="n"/>
      <c r="F219" s="58" t="inlineStr">
        <is>
          <t>Fragrance</t>
        </is>
      </c>
      <c r="G219" s="58" t="inlineStr">
        <is>
          <t>Eau de Toilette (EDT)</t>
        </is>
      </c>
      <c r="H219" s="58" t="inlineStr">
        <is>
          <t>Woody · Men's Fragrance</t>
        </is>
      </c>
      <c r="I219" s="58" t="inlineStr">
        <is>
          <t>Bentley Infinite Eau de Toilette 100ml – Men's Fresh Woody Aromatic Fragrance</t>
        </is>
      </c>
      <c r="J219" s="58" t="inlineStr">
        <is>
          <t>100ml</t>
        </is>
      </c>
      <c r="K219" s="58" t="n">
        <v>30.99</v>
      </c>
      <c r="L219" s="58" t="inlineStr">
        <is>
          <t>bentley infinite</t>
        </is>
      </c>
      <c r="M219" s="58" t="inlineStr">
        <is>
          <t>bentley infinite uk</t>
        </is>
      </c>
      <c r="N219" s="58" t="inlineStr">
        <is>
          <t>buy bentley infinite online</t>
        </is>
      </c>
      <c r="O219" s="58" t="inlineStr">
        <is>
          <t>bentley infinite price</t>
        </is>
      </c>
      <c r="P219" s="58" t="inlineStr">
        <is>
          <t>bentley infinite eau de toilette</t>
        </is>
      </c>
      <c r="Q219" s="59">
        <f>IF(L219="","",IFERROR(INDEX('Semrush Data'!$A$1:$Z$20000,MATCH(L219,'Semrush Data'!$A$1:$A$20000,0),MATCH("Volume",'Semrush Data'!$A$1:$Z$1,0)),""))</f>
        <v/>
      </c>
      <c r="R219" s="59">
        <f>IF(M219="","",IFERROR(INDEX('Semrush Data'!$A$1:$Z$20000,MATCH(M219,'Semrush Data'!$A$1:$A$20000,0),MATCH("Volume",'Semrush Data'!$A$1:$Z$1,0)),""))</f>
        <v/>
      </c>
      <c r="S219" s="59">
        <f>IF(N219="","",IFERROR(INDEX('Semrush Data'!$A$1:$Z$20000,MATCH(N219,'Semrush Data'!$A$1:$A$20000,0),MATCH("Volume",'Semrush Data'!$A$1:$Z$1,0)),""))</f>
        <v/>
      </c>
      <c r="T219" s="59">
        <f>IF(O219="","",IFERROR(INDEX('Semrush Data'!$A$1:$Z$20000,MATCH(O219,'Semrush Data'!$A$1:$A$20000,0),MATCH("Volume",'Semrush Data'!$A$1:$Z$1,0)),""))</f>
        <v/>
      </c>
      <c r="U219" s="59">
        <f>IF(P219="","",IFERROR(INDEX('Semrush Data'!$A$1:$Z$20000,MATCH(P219,'Semrush Data'!$A$1:$A$20000,0),MATCH("Volume",'Semrush Data'!$A$1:$Z$1,0)),""))</f>
        <v/>
      </c>
      <c r="V219" s="60">
        <f>IF(COUNT(Q219:U219)=0,L219,IF(MAX(Q219:U219)=0,L219,INDEX(L219:P219,MATCH(MAX(Q219:U219),Q219:U219,0))))</f>
        <v/>
      </c>
      <c r="W219" s="59">
        <f>IFERROR(INDEX('Semrush Data'!$A$1:$Z$20000,MATCH(V219,'Semrush Data'!$A$1:$A$20000,0),MATCH("Volume",'Semrush Data'!$A$1:$Z$1,0)),"")</f>
        <v/>
      </c>
      <c r="X219" s="59">
        <f>IFERROR(INDEX('Semrush Data'!$A$1:$Z$20000,MATCH(V219,'Semrush Data'!$A$1:$A$20000,0),MATCH("Keyword Difficulty*",'Semrush Data'!$A$1:$Z$1,0)),"")</f>
        <v/>
      </c>
      <c r="Y219" s="61">
        <f>IFERROR(INDEX('Semrush Data'!$A$1:$Z$20000,MATCH(V219,'Semrush Data'!$A$1:$A$20000,0),MATCH("CPC*",'Semrush Data'!$A$1:$Z$1,0)),"")</f>
        <v/>
      </c>
      <c r="Z219" s="58" t="inlineStr">
        <is>
          <t>bentley perfume · bentley perfume for men · woody perfume for men uk</t>
        </is>
      </c>
      <c r="AA219" s="58" t="inlineStr">
        <is>
          <t>bentley infinite perfume · bentley infinite edt</t>
        </is>
      </c>
      <c r="AB219" s="58" t="inlineStr">
        <is>
          <t>Bentley Infinite Eau de Toilette</t>
        </is>
      </c>
      <c r="AC219" s="58" t="inlineStr">
        <is>
          <t>Bentley Infinite Eau de Toilette | Buy Online UK | Swansura</t>
        </is>
      </c>
      <c r="AD219" s="58">
        <f>LEN(AC219)</f>
        <v/>
      </c>
      <c r="AE219" s="58" t="inlineStr">
        <is>
          <t>Buy Bentley Infinite Eau de Toilette online in the UK at Swansura. A woody men's eau de toilette, 100ml. 100% authentic, fast UK delivery, free over £50.</t>
        </is>
      </c>
      <c r="AF219" s="58">
        <f>LEN(AE219)</f>
        <v/>
      </c>
    </row>
    <row r="220" ht="15" customHeight="1" s="37">
      <c r="A220" s="58" t="inlineStr">
        <is>
          <t>FR-060</t>
        </is>
      </c>
      <c r="B220" s="58" t="inlineStr">
        <is>
          <t>Fragrance Catalogue</t>
        </is>
      </c>
      <c r="C220" s="58" t="n">
        <v>60</v>
      </c>
      <c r="D220" s="58" t="inlineStr">
        <is>
          <t>Bentley</t>
        </is>
      </c>
      <c r="E220" s="58" t="n"/>
      <c r="F220" s="58" t="inlineStr">
        <is>
          <t>Fragrance</t>
        </is>
      </c>
      <c r="G220" s="58" t="inlineStr">
        <is>
          <t>Eau de Toilette (EDT)</t>
        </is>
      </c>
      <c r="H220" s="58" t="inlineStr">
        <is>
          <t>Woody · Men's Fragrance</t>
        </is>
      </c>
      <c r="I220" s="58" t="inlineStr">
        <is>
          <t>Bentley Momentum Unlimited Eau de Toilette 100ml – Men's Fresh Woody Aromatic Fragrance</t>
        </is>
      </c>
      <c r="J220" s="58" t="inlineStr">
        <is>
          <t>100ml</t>
        </is>
      </c>
      <c r="K220" s="58" t="n">
        <v>31.99</v>
      </c>
      <c r="L220" s="58" t="inlineStr">
        <is>
          <t>bentley momentum unlimited</t>
        </is>
      </c>
      <c r="M220" s="58" t="inlineStr">
        <is>
          <t>bentley momentum unlimited uk</t>
        </is>
      </c>
      <c r="N220" s="58" t="inlineStr">
        <is>
          <t>buy bentley momentum unlimited online</t>
        </is>
      </c>
      <c r="O220" s="58" t="inlineStr">
        <is>
          <t>bentley momentum unlimited price</t>
        </is>
      </c>
      <c r="P220" s="58" t="inlineStr">
        <is>
          <t>bentley momentum unlimited eau de toilette</t>
        </is>
      </c>
      <c r="Q220" s="59">
        <f>IF(L220="","",IFERROR(INDEX('Semrush Data'!$A$1:$Z$20000,MATCH(L220,'Semrush Data'!$A$1:$A$20000,0),MATCH("Volume",'Semrush Data'!$A$1:$Z$1,0)),""))</f>
        <v/>
      </c>
      <c r="R220" s="59">
        <f>IF(M220="","",IFERROR(INDEX('Semrush Data'!$A$1:$Z$20000,MATCH(M220,'Semrush Data'!$A$1:$A$20000,0),MATCH("Volume",'Semrush Data'!$A$1:$Z$1,0)),""))</f>
        <v/>
      </c>
      <c r="S220" s="59">
        <f>IF(N220="","",IFERROR(INDEX('Semrush Data'!$A$1:$Z$20000,MATCH(N220,'Semrush Data'!$A$1:$A$20000,0),MATCH("Volume",'Semrush Data'!$A$1:$Z$1,0)),""))</f>
        <v/>
      </c>
      <c r="T220" s="59">
        <f>IF(O220="","",IFERROR(INDEX('Semrush Data'!$A$1:$Z$20000,MATCH(O220,'Semrush Data'!$A$1:$A$20000,0),MATCH("Volume",'Semrush Data'!$A$1:$Z$1,0)),""))</f>
        <v/>
      </c>
      <c r="U220" s="59">
        <f>IF(P220="","",IFERROR(INDEX('Semrush Data'!$A$1:$Z$20000,MATCH(P220,'Semrush Data'!$A$1:$A$20000,0),MATCH("Volume",'Semrush Data'!$A$1:$Z$1,0)),""))</f>
        <v/>
      </c>
      <c r="V220" s="60">
        <f>IF(COUNT(Q220:U220)=0,L220,IF(MAX(Q220:U220)=0,L220,INDEX(L220:P220,MATCH(MAX(Q220:U220),Q220:U220,0))))</f>
        <v/>
      </c>
      <c r="W220" s="59">
        <f>IFERROR(INDEX('Semrush Data'!$A$1:$Z$20000,MATCH(V220,'Semrush Data'!$A$1:$A$20000,0),MATCH("Volume",'Semrush Data'!$A$1:$Z$1,0)),"")</f>
        <v/>
      </c>
      <c r="X220" s="59">
        <f>IFERROR(INDEX('Semrush Data'!$A$1:$Z$20000,MATCH(V220,'Semrush Data'!$A$1:$A$20000,0),MATCH("Keyword Difficulty*",'Semrush Data'!$A$1:$Z$1,0)),"")</f>
        <v/>
      </c>
      <c r="Y220" s="61">
        <f>IFERROR(INDEX('Semrush Data'!$A$1:$Z$20000,MATCH(V220,'Semrush Data'!$A$1:$A$20000,0),MATCH("CPC*",'Semrush Data'!$A$1:$Z$1,0)),"")</f>
        <v/>
      </c>
      <c r="Z220" s="58" t="inlineStr">
        <is>
          <t>bentley perfume · bentley perfume for men · woody perfume for men uk</t>
        </is>
      </c>
      <c r="AA220" s="58" t="inlineStr">
        <is>
          <t>bentley momentum unlimited edt · bentley momentum unlimited review · bentley momentum unlimited edt 100ml · bentley momentum unlimited price · bentley momentum unlimited notes · bentley momentum unlimited edp</t>
        </is>
      </c>
      <c r="AB220" s="58" t="inlineStr">
        <is>
          <t>Bentley Momentum Unlimited Eau de Toilette</t>
        </is>
      </c>
      <c r="AC220" s="58" t="inlineStr">
        <is>
          <t>Bentley Momentum Unlimited Eau de Toilette | Swansura UK</t>
        </is>
      </c>
      <c r="AD220" s="58">
        <f>LEN(AC220)</f>
        <v/>
      </c>
      <c r="AE220" s="58" t="inlineStr">
        <is>
          <t>Buy Bentley Momentum Unlimited Eau de Toilette online in the UK at Swansura. A woody men's eau de toilette, 100ml. 100% authentic, free UK delivery over £50.</t>
        </is>
      </c>
      <c r="AF220" s="58">
        <f>LEN(AE220)</f>
        <v/>
      </c>
    </row>
    <row r="221" ht="15" customHeight="1" s="37">
      <c r="A221" s="58" t="inlineStr">
        <is>
          <t>FR-061</t>
        </is>
      </c>
      <c r="B221" s="58" t="inlineStr">
        <is>
          <t>Fragrance Catalogue</t>
        </is>
      </c>
      <c r="C221" s="58" t="n">
        <v>61</v>
      </c>
      <c r="D221" s="58" t="inlineStr">
        <is>
          <t>Bentley</t>
        </is>
      </c>
      <c r="E221" s="58" t="inlineStr">
        <is>
          <t>Name says Azzaro, brand says Bentley</t>
        </is>
      </c>
      <c r="F221" s="58" t="inlineStr">
        <is>
          <t>Gift Set</t>
        </is>
      </c>
      <c r="G221" s="58" t="inlineStr">
        <is>
          <t>Eau de Toilette (EDT)</t>
        </is>
      </c>
      <c r="H221" s="58" t="inlineStr">
        <is>
          <t>Woody · Men's Fragrance</t>
        </is>
      </c>
      <c r="I221" s="58" t="inlineStr">
        <is>
          <t>Azzaro The Most Wanted Eau de Toilette Intense Gift Set 100ml + 2x10ml – Men's Fragrance Set</t>
        </is>
      </c>
      <c r="J221" s="58" t="inlineStr">
        <is>
          <t>100ml</t>
        </is>
      </c>
      <c r="K221" s="58" t="n">
        <v>68.98999999999999</v>
      </c>
      <c r="L221" s="58" t="inlineStr">
        <is>
          <t>bentley azzaro the most wanted intense gift set</t>
        </is>
      </c>
      <c r="M221" s="58" t="inlineStr">
        <is>
          <t>bentley azzaro the most wanted intense gift set uk</t>
        </is>
      </c>
      <c r="N221" s="58" t="inlineStr">
        <is>
          <t>buy bentley azzaro the most wanted intense gift set online</t>
        </is>
      </c>
      <c r="O221" s="58" t="inlineStr">
        <is>
          <t>bentley azzaro the most wanted intense gift set price</t>
        </is>
      </c>
      <c r="P221" s="58" t="n"/>
      <c r="Q221" s="59">
        <f>IF(L221="","",IFERROR(INDEX('Semrush Data'!$A$1:$Z$20000,MATCH(L221,'Semrush Data'!$A$1:$A$20000,0),MATCH("Volume",'Semrush Data'!$A$1:$Z$1,0)),""))</f>
        <v/>
      </c>
      <c r="R221" s="59">
        <f>IF(M221="","",IFERROR(INDEX('Semrush Data'!$A$1:$Z$20000,MATCH(M221,'Semrush Data'!$A$1:$A$20000,0),MATCH("Volume",'Semrush Data'!$A$1:$Z$1,0)),""))</f>
        <v/>
      </c>
      <c r="S221" s="59">
        <f>IF(N221="","",IFERROR(INDEX('Semrush Data'!$A$1:$Z$20000,MATCH(N221,'Semrush Data'!$A$1:$A$20000,0),MATCH("Volume",'Semrush Data'!$A$1:$Z$1,0)),""))</f>
        <v/>
      </c>
      <c r="T221" s="59">
        <f>IF(O221="","",IFERROR(INDEX('Semrush Data'!$A$1:$Z$20000,MATCH(O221,'Semrush Data'!$A$1:$A$20000,0),MATCH("Volume",'Semrush Data'!$A$1:$Z$1,0)),""))</f>
        <v/>
      </c>
      <c r="U221" s="59">
        <f>IF(P221="","",IFERROR(INDEX('Semrush Data'!$A$1:$Z$20000,MATCH(P221,'Semrush Data'!$A$1:$A$20000,0),MATCH("Volume",'Semrush Data'!$A$1:$Z$1,0)),""))</f>
        <v/>
      </c>
      <c r="V221" s="60">
        <f>IF(COUNT(Q221:U221)=0,L221,IF(MAX(Q221:U221)=0,L221,INDEX(L221:P221,MATCH(MAX(Q221:U221),Q221:U221,0))))</f>
        <v/>
      </c>
      <c r="W221" s="59">
        <f>IFERROR(INDEX('Semrush Data'!$A$1:$Z$20000,MATCH(V221,'Semrush Data'!$A$1:$A$20000,0),MATCH("Volume",'Semrush Data'!$A$1:$Z$1,0)),"")</f>
        <v/>
      </c>
      <c r="X221" s="59">
        <f>IFERROR(INDEX('Semrush Data'!$A$1:$Z$20000,MATCH(V221,'Semrush Data'!$A$1:$A$20000,0),MATCH("Keyword Difficulty*",'Semrush Data'!$A$1:$Z$1,0)),"")</f>
        <v/>
      </c>
      <c r="Y221" s="61">
        <f>IFERROR(INDEX('Semrush Data'!$A$1:$Z$20000,MATCH(V221,'Semrush Data'!$A$1:$A$20000,0),MATCH("CPC*",'Semrush Data'!$A$1:$Z$1,0)),"")</f>
        <v/>
      </c>
      <c r="Z221" s="58" t="inlineStr">
        <is>
          <t>bentley perfume · bentley perfume for men · woody perfume for men uk</t>
        </is>
      </c>
      <c r="AA221" s="58" t="n"/>
      <c r="AB221" s="58" t="inlineStr">
        <is>
          <t>Azzaro The Most Wanted Eau de Toilette Intense Gift Set</t>
        </is>
      </c>
      <c r="AC221" s="58" t="inlineStr">
        <is>
          <t>Azzaro The Most Wanted Intense Gift Set 100ml | Swansura UK</t>
        </is>
      </c>
      <c r="AD221" s="58">
        <f>LEN(AC221)</f>
        <v/>
      </c>
      <c r="AE221" s="58" t="inlineStr">
        <is>
          <t>Buy Azzaro The Most Wanted Eau de Toilette Intense Gift Set at Swansura UK. A woody men's eau de toilette, 100ml. 100% authentic, free UK delivery over £50.</t>
        </is>
      </c>
      <c r="AF221" s="58">
        <f>LEN(AE221)</f>
        <v/>
      </c>
    </row>
    <row r="222" ht="15" customHeight="1" s="37">
      <c r="A222" s="58" t="inlineStr">
        <is>
          <t>FR-062</t>
        </is>
      </c>
      <c r="B222" s="58" t="inlineStr">
        <is>
          <t>Fragrance Catalogue</t>
        </is>
      </c>
      <c r="C222" s="58" t="n">
        <v>62</v>
      </c>
      <c r="D222" s="58" t="inlineStr">
        <is>
          <t>Bentley</t>
        </is>
      </c>
      <c r="E222" s="58" t="inlineStr">
        <is>
          <t>Name says Azzaro, brand says Bentley</t>
        </is>
      </c>
      <c r="F222" s="58" t="inlineStr">
        <is>
          <t>Fragrance</t>
        </is>
      </c>
      <c r="G222" s="58" t="inlineStr">
        <is>
          <t>Parfum</t>
        </is>
      </c>
      <c r="H222" s="58" t="inlineStr">
        <is>
          <t>Amber · Men's Fragrance</t>
        </is>
      </c>
      <c r="I222" s="58" t="inlineStr">
        <is>
          <t>Azzaro The Most Wanted Parfum 100ml – Men's Warm Spicy Amber Fragrance</t>
        </is>
      </c>
      <c r="J222" s="58" t="inlineStr">
        <is>
          <t>100ml</t>
        </is>
      </c>
      <c r="K222" s="58" t="n">
        <v>60.99</v>
      </c>
      <c r="L222" s="58" t="inlineStr">
        <is>
          <t>bentley azzaro the most wanted</t>
        </is>
      </c>
      <c r="M222" s="58" t="inlineStr">
        <is>
          <t>bentley azzaro the most wanted uk</t>
        </is>
      </c>
      <c r="N222" s="58" t="inlineStr">
        <is>
          <t>buy bentley azzaro the most wanted online</t>
        </is>
      </c>
      <c r="O222" s="58" t="inlineStr">
        <is>
          <t>bentley azzaro the most wanted price</t>
        </is>
      </c>
      <c r="P222" s="58" t="inlineStr">
        <is>
          <t>bentley azzaro the most wanted parfum</t>
        </is>
      </c>
      <c r="Q222" s="59">
        <f>IF(L222="","",IFERROR(INDEX('Semrush Data'!$A$1:$Z$20000,MATCH(L222,'Semrush Data'!$A$1:$A$20000,0),MATCH("Volume",'Semrush Data'!$A$1:$Z$1,0)),""))</f>
        <v/>
      </c>
      <c r="R222" s="59">
        <f>IF(M222="","",IFERROR(INDEX('Semrush Data'!$A$1:$Z$20000,MATCH(M222,'Semrush Data'!$A$1:$A$20000,0),MATCH("Volume",'Semrush Data'!$A$1:$Z$1,0)),""))</f>
        <v/>
      </c>
      <c r="S222" s="59">
        <f>IF(N222="","",IFERROR(INDEX('Semrush Data'!$A$1:$Z$20000,MATCH(N222,'Semrush Data'!$A$1:$A$20000,0),MATCH("Volume",'Semrush Data'!$A$1:$Z$1,0)),""))</f>
        <v/>
      </c>
      <c r="T222" s="59">
        <f>IF(O222="","",IFERROR(INDEX('Semrush Data'!$A$1:$Z$20000,MATCH(O222,'Semrush Data'!$A$1:$A$20000,0),MATCH("Volume",'Semrush Data'!$A$1:$Z$1,0)),""))</f>
        <v/>
      </c>
      <c r="U222" s="59">
        <f>IF(P222="","",IFERROR(INDEX('Semrush Data'!$A$1:$Z$20000,MATCH(P222,'Semrush Data'!$A$1:$A$20000,0),MATCH("Volume",'Semrush Data'!$A$1:$Z$1,0)),""))</f>
        <v/>
      </c>
      <c r="V222" s="60">
        <f>IF(COUNT(Q222:U222)=0,L222,IF(MAX(Q222:U222)=0,L222,INDEX(L222:P222,MATCH(MAX(Q222:U222),Q222:U222,0))))</f>
        <v/>
      </c>
      <c r="W222" s="59">
        <f>IFERROR(INDEX('Semrush Data'!$A$1:$Z$20000,MATCH(V222,'Semrush Data'!$A$1:$A$20000,0),MATCH("Volume",'Semrush Data'!$A$1:$Z$1,0)),"")</f>
        <v/>
      </c>
      <c r="X222" s="59">
        <f>IFERROR(INDEX('Semrush Data'!$A$1:$Z$20000,MATCH(V222,'Semrush Data'!$A$1:$A$20000,0),MATCH("Keyword Difficulty*",'Semrush Data'!$A$1:$Z$1,0)),"")</f>
        <v/>
      </c>
      <c r="Y222" s="61">
        <f>IFERROR(INDEX('Semrush Data'!$A$1:$Z$20000,MATCH(V222,'Semrush Data'!$A$1:$A$20000,0),MATCH("CPC*",'Semrush Data'!$A$1:$Z$1,0)),"")</f>
        <v/>
      </c>
      <c r="Z222" s="58" t="inlineStr">
        <is>
          <t>bentley perfume · bentley perfume for men · amber perfume for men uk</t>
        </is>
      </c>
      <c r="AA222" s="58" t="n"/>
      <c r="AB222" s="58" t="inlineStr">
        <is>
          <t>Azzaro The Most Wanted Parfum</t>
        </is>
      </c>
      <c r="AC222" s="58" t="inlineStr">
        <is>
          <t>Azzaro The Most Wanted Parfum | Buy Online UK | Swansura</t>
        </is>
      </c>
      <c r="AD222" s="58">
        <f>LEN(AC222)</f>
        <v/>
      </c>
      <c r="AE222" s="58" t="inlineStr">
        <is>
          <t>Buy Azzaro The Most Wanted Parfum online in the UK at Swansura. An amber men's parfum, 100ml. 100% authentic, fast UK delivery, free over £50.</t>
        </is>
      </c>
      <c r="AF222" s="58">
        <f>LEN(AE222)</f>
        <v/>
      </c>
    </row>
    <row r="223" ht="15" customHeight="1" s="37">
      <c r="A223" s="58" t="inlineStr">
        <is>
          <t>FR-063</t>
        </is>
      </c>
      <c r="B223" s="58" t="inlineStr">
        <is>
          <t>Fragrance Catalogue</t>
        </is>
      </c>
      <c r="C223" s="58" t="n">
        <v>63</v>
      </c>
      <c r="D223" s="58" t="inlineStr">
        <is>
          <t>Burberry</t>
        </is>
      </c>
      <c r="E223" s="58" t="n"/>
      <c r="F223" s="58" t="inlineStr">
        <is>
          <t>Fragrance</t>
        </is>
      </c>
      <c r="G223" s="58" t="inlineStr">
        <is>
          <t>Eau de Parfum (EDP)</t>
        </is>
      </c>
      <c r="H223" s="58" t="inlineStr">
        <is>
          <t>Floral · Women's Fragrance</t>
        </is>
      </c>
      <c r="I223" s="58" t="inlineStr">
        <is>
          <t>Burberry My Burberry Eau de Parfum 50ml – Women's Floral Fragrance</t>
        </is>
      </c>
      <c r="J223" s="58" t="inlineStr">
        <is>
          <t>50ml</t>
        </is>
      </c>
      <c r="K223" s="58" t="n">
        <v>48.99</v>
      </c>
      <c r="L223" s="58" t="inlineStr">
        <is>
          <t>burberry my burberry</t>
        </is>
      </c>
      <c r="M223" s="58" t="inlineStr">
        <is>
          <t>burberry my burberry uk</t>
        </is>
      </c>
      <c r="N223" s="58" t="inlineStr">
        <is>
          <t>buy burberry my burberry online</t>
        </is>
      </c>
      <c r="O223" s="58" t="inlineStr">
        <is>
          <t>burberry my burberry price</t>
        </is>
      </c>
      <c r="P223" s="58" t="inlineStr">
        <is>
          <t>burberry my burberry eau de parfum</t>
        </is>
      </c>
      <c r="Q223" s="59">
        <f>IF(L223="","",IFERROR(INDEX('Semrush Data'!$A$1:$Z$20000,MATCH(L223,'Semrush Data'!$A$1:$A$20000,0),MATCH("Volume",'Semrush Data'!$A$1:$Z$1,0)),""))</f>
        <v/>
      </c>
      <c r="R223" s="59">
        <f>IF(M223="","",IFERROR(INDEX('Semrush Data'!$A$1:$Z$20000,MATCH(M223,'Semrush Data'!$A$1:$A$20000,0),MATCH("Volume",'Semrush Data'!$A$1:$Z$1,0)),""))</f>
        <v/>
      </c>
      <c r="S223" s="59">
        <f>IF(N223="","",IFERROR(INDEX('Semrush Data'!$A$1:$Z$20000,MATCH(N223,'Semrush Data'!$A$1:$A$20000,0),MATCH("Volume",'Semrush Data'!$A$1:$Z$1,0)),""))</f>
        <v/>
      </c>
      <c r="T223" s="59">
        <f>IF(O223="","",IFERROR(INDEX('Semrush Data'!$A$1:$Z$20000,MATCH(O223,'Semrush Data'!$A$1:$A$20000,0),MATCH("Volume",'Semrush Data'!$A$1:$Z$1,0)),""))</f>
        <v/>
      </c>
      <c r="U223" s="59">
        <f>IF(P223="","",IFERROR(INDEX('Semrush Data'!$A$1:$Z$20000,MATCH(P223,'Semrush Data'!$A$1:$A$20000,0),MATCH("Volume",'Semrush Data'!$A$1:$Z$1,0)),""))</f>
        <v/>
      </c>
      <c r="V223" s="60">
        <f>IF(COUNT(Q223:U223)=0,L223,IF(MAX(Q223:U223)=0,L223,INDEX(L223:P223,MATCH(MAX(Q223:U223),Q223:U223,0))))</f>
        <v/>
      </c>
      <c r="W223" s="59">
        <f>IFERROR(INDEX('Semrush Data'!$A$1:$Z$20000,MATCH(V223,'Semrush Data'!$A$1:$A$20000,0),MATCH("Volume",'Semrush Data'!$A$1:$Z$1,0)),"")</f>
        <v/>
      </c>
      <c r="X223" s="59">
        <f>IFERROR(INDEX('Semrush Data'!$A$1:$Z$20000,MATCH(V223,'Semrush Data'!$A$1:$A$20000,0),MATCH("Keyword Difficulty*",'Semrush Data'!$A$1:$Z$1,0)),"")</f>
        <v/>
      </c>
      <c r="Y223" s="61">
        <f>IFERROR(INDEX('Semrush Data'!$A$1:$Z$20000,MATCH(V223,'Semrush Data'!$A$1:$A$20000,0),MATCH("CPC*",'Semrush Data'!$A$1:$Z$1,0)),"")</f>
        <v/>
      </c>
      <c r="Z223" s="58" t="inlineStr">
        <is>
          <t>burberry perfume · burberry perfume for women · floral perfume for women uk</t>
        </is>
      </c>
      <c r="AA223" s="58" t="inlineStr">
        <is>
          <t>burberry my burberry perfume · burberry my burberry eau de parfum · burberry my burberry edp · burberry my burberry eau de parfum 90ml</t>
        </is>
      </c>
      <c r="AB223" s="58" t="inlineStr">
        <is>
          <t>Burberry My Burberry Eau de Parfum</t>
        </is>
      </c>
      <c r="AC223" s="58" t="inlineStr">
        <is>
          <t>Burberry My Burberry EDP 50ml | Buy Online UK | Swansura</t>
        </is>
      </c>
      <c r="AD223" s="58">
        <f>LEN(AC223)</f>
        <v/>
      </c>
      <c r="AE223" s="58" t="inlineStr">
        <is>
          <t>Buy Burberry My Burberry Eau de Parfum online in the UK at Swansura. A floral women's eau de parfum, 50ml. 100% authentic, fast UK delivery, free over £50.</t>
        </is>
      </c>
      <c r="AF223" s="58">
        <f>LEN(AE223)</f>
        <v/>
      </c>
    </row>
    <row r="224" ht="15" customHeight="1" s="37">
      <c r="A224" s="58" t="inlineStr">
        <is>
          <t>FR-064</t>
        </is>
      </c>
      <c r="B224" s="58" t="inlineStr">
        <is>
          <t>Fragrance Catalogue</t>
        </is>
      </c>
      <c r="C224" s="58" t="n">
        <v>64</v>
      </c>
      <c r="D224" s="58" t="inlineStr">
        <is>
          <t>Burberry</t>
        </is>
      </c>
      <c r="E224" s="58" t="n"/>
      <c r="F224" s="58" t="inlineStr">
        <is>
          <t>Fragrance</t>
        </is>
      </c>
      <c r="G224" s="58" t="inlineStr">
        <is>
          <t>Eau de Parfum (EDP)</t>
        </is>
      </c>
      <c r="H224" s="58" t="inlineStr">
        <is>
          <t>Floral · Women's Fragrance</t>
        </is>
      </c>
      <c r="I224" s="58" t="inlineStr">
        <is>
          <t>Burberry My Burberry Eau de Parfum 90ml – Women's Floral Fragrance</t>
        </is>
      </c>
      <c r="J224" s="58" t="inlineStr">
        <is>
          <t>90ml</t>
        </is>
      </c>
      <c r="K224" s="58" t="n">
        <v>58.99</v>
      </c>
      <c r="L224" s="58" t="inlineStr">
        <is>
          <t>burberry my burberry</t>
        </is>
      </c>
      <c r="M224" s="58" t="inlineStr">
        <is>
          <t>burberry my burberry uk</t>
        </is>
      </c>
      <c r="N224" s="58" t="inlineStr">
        <is>
          <t>buy burberry my burberry online</t>
        </is>
      </c>
      <c r="O224" s="58" t="inlineStr">
        <is>
          <t>burberry my burberry price</t>
        </is>
      </c>
      <c r="P224" s="58" t="inlineStr">
        <is>
          <t>burberry my burberry eau de parfum</t>
        </is>
      </c>
      <c r="Q224" s="59">
        <f>IF(L224="","",IFERROR(INDEX('Semrush Data'!$A$1:$Z$20000,MATCH(L224,'Semrush Data'!$A$1:$A$20000,0),MATCH("Volume",'Semrush Data'!$A$1:$Z$1,0)),""))</f>
        <v/>
      </c>
      <c r="R224" s="59">
        <f>IF(M224="","",IFERROR(INDEX('Semrush Data'!$A$1:$Z$20000,MATCH(M224,'Semrush Data'!$A$1:$A$20000,0),MATCH("Volume",'Semrush Data'!$A$1:$Z$1,0)),""))</f>
        <v/>
      </c>
      <c r="S224" s="59">
        <f>IF(N224="","",IFERROR(INDEX('Semrush Data'!$A$1:$Z$20000,MATCH(N224,'Semrush Data'!$A$1:$A$20000,0),MATCH("Volume",'Semrush Data'!$A$1:$Z$1,0)),""))</f>
        <v/>
      </c>
      <c r="T224" s="59">
        <f>IF(O224="","",IFERROR(INDEX('Semrush Data'!$A$1:$Z$20000,MATCH(O224,'Semrush Data'!$A$1:$A$20000,0),MATCH("Volume",'Semrush Data'!$A$1:$Z$1,0)),""))</f>
        <v/>
      </c>
      <c r="U224" s="59">
        <f>IF(P224="","",IFERROR(INDEX('Semrush Data'!$A$1:$Z$20000,MATCH(P224,'Semrush Data'!$A$1:$A$20000,0),MATCH("Volume",'Semrush Data'!$A$1:$Z$1,0)),""))</f>
        <v/>
      </c>
      <c r="V224" s="60">
        <f>IF(COUNT(Q224:U224)=0,L224,IF(MAX(Q224:U224)=0,L224,INDEX(L224:P224,MATCH(MAX(Q224:U224),Q224:U224,0))))</f>
        <v/>
      </c>
      <c r="W224" s="59">
        <f>IFERROR(INDEX('Semrush Data'!$A$1:$Z$20000,MATCH(V224,'Semrush Data'!$A$1:$A$20000,0),MATCH("Volume",'Semrush Data'!$A$1:$Z$1,0)),"")</f>
        <v/>
      </c>
      <c r="X224" s="59">
        <f>IFERROR(INDEX('Semrush Data'!$A$1:$Z$20000,MATCH(V224,'Semrush Data'!$A$1:$A$20000,0),MATCH("Keyword Difficulty*",'Semrush Data'!$A$1:$Z$1,0)),"")</f>
        <v/>
      </c>
      <c r="Y224" s="61">
        <f>IFERROR(INDEX('Semrush Data'!$A$1:$Z$20000,MATCH(V224,'Semrush Data'!$A$1:$A$20000,0),MATCH("CPC*",'Semrush Data'!$A$1:$Z$1,0)),"")</f>
        <v/>
      </c>
      <c r="Z224" s="58" t="inlineStr">
        <is>
          <t>burberry perfume · burberry perfume for women · floral perfume for women uk</t>
        </is>
      </c>
      <c r="AA224" s="58" t="inlineStr">
        <is>
          <t>burberry my burberry perfume · burberry my burberry eau de parfum · burberry my burberry edp · burberry my burberry eau de parfum 90ml</t>
        </is>
      </c>
      <c r="AB224" s="58" t="inlineStr">
        <is>
          <t>Burberry My Burberry Eau de Parfum</t>
        </is>
      </c>
      <c r="AC224" s="58" t="inlineStr">
        <is>
          <t>Burberry My Burberry EDP 90ml | Buy Online UK | Swansura</t>
        </is>
      </c>
      <c r="AD224" s="58">
        <f>LEN(AC224)</f>
        <v/>
      </c>
      <c r="AE224" s="58" t="inlineStr">
        <is>
          <t>Buy Burberry My Burberry Eau de Parfum online in the UK at Swansura. A floral women's eau de parfum, 90ml. 100% authentic, fast UK delivery, free over £50.</t>
        </is>
      </c>
      <c r="AF224" s="58">
        <f>LEN(AE224)</f>
        <v/>
      </c>
    </row>
    <row r="225" ht="15" customHeight="1" s="37">
      <c r="A225" s="58" t="inlineStr">
        <is>
          <t>FR-065</t>
        </is>
      </c>
      <c r="B225" s="58" t="inlineStr">
        <is>
          <t>Fragrance Catalogue</t>
        </is>
      </c>
      <c r="C225" s="58" t="n">
        <v>65</v>
      </c>
      <c r="D225" s="58" t="inlineStr">
        <is>
          <t>Burberry</t>
        </is>
      </c>
      <c r="E225" s="58" t="n"/>
      <c r="F225" s="58" t="inlineStr">
        <is>
          <t>Gift Set</t>
        </is>
      </c>
      <c r="G225" s="58" t="inlineStr">
        <is>
          <t>Eau de Parfum (EDP)</t>
        </is>
      </c>
      <c r="H225" s="58" t="inlineStr">
        <is>
          <t>Woody · Women's Fragrance</t>
        </is>
      </c>
      <c r="I225" s="58" t="inlineStr">
        <is>
          <t>Burberry Women's Miniature Perfume Set 4x5ml – Her London Dream, Her EDT &amp; Her EDP</t>
        </is>
      </c>
      <c r="J225" s="58" t="inlineStr">
        <is>
          <t>4x5ml</t>
        </is>
      </c>
      <c r="K225" s="58" t="n">
        <v>45.99</v>
      </c>
      <c r="L225" s="58" t="inlineStr">
        <is>
          <t>burberry miniature set</t>
        </is>
      </c>
      <c r="M225" s="58" t="inlineStr">
        <is>
          <t>burberry miniature set uk</t>
        </is>
      </c>
      <c r="N225" s="58" t="inlineStr">
        <is>
          <t>buy burberry miniature set online</t>
        </is>
      </c>
      <c r="O225" s="58" t="inlineStr">
        <is>
          <t>burberry miniature set price</t>
        </is>
      </c>
      <c r="P225" s="58" t="n"/>
      <c r="Q225" s="59">
        <f>IF(L225="","",IFERROR(INDEX('Semrush Data'!$A$1:$Z$20000,MATCH(L225,'Semrush Data'!$A$1:$A$20000,0),MATCH("Volume",'Semrush Data'!$A$1:$Z$1,0)),""))</f>
        <v/>
      </c>
      <c r="R225" s="59">
        <f>IF(M225="","",IFERROR(INDEX('Semrush Data'!$A$1:$Z$20000,MATCH(M225,'Semrush Data'!$A$1:$A$20000,0),MATCH("Volume",'Semrush Data'!$A$1:$Z$1,0)),""))</f>
        <v/>
      </c>
      <c r="S225" s="59">
        <f>IF(N225="","",IFERROR(INDEX('Semrush Data'!$A$1:$Z$20000,MATCH(N225,'Semrush Data'!$A$1:$A$20000,0),MATCH("Volume",'Semrush Data'!$A$1:$Z$1,0)),""))</f>
        <v/>
      </c>
      <c r="T225" s="59">
        <f>IF(O225="","",IFERROR(INDEX('Semrush Data'!$A$1:$Z$20000,MATCH(O225,'Semrush Data'!$A$1:$A$20000,0),MATCH("Volume",'Semrush Data'!$A$1:$Z$1,0)),""))</f>
        <v/>
      </c>
      <c r="U225" s="59">
        <f>IF(P225="","",IFERROR(INDEX('Semrush Data'!$A$1:$Z$20000,MATCH(P225,'Semrush Data'!$A$1:$A$20000,0),MATCH("Volume",'Semrush Data'!$A$1:$Z$1,0)),""))</f>
        <v/>
      </c>
      <c r="V225" s="60">
        <f>IF(COUNT(Q225:U225)=0,L225,IF(MAX(Q225:U225)=0,L225,INDEX(L225:P225,MATCH(MAX(Q225:U225),Q225:U225,0))))</f>
        <v/>
      </c>
      <c r="W225" s="59">
        <f>IFERROR(INDEX('Semrush Data'!$A$1:$Z$20000,MATCH(V225,'Semrush Data'!$A$1:$A$20000,0),MATCH("Volume",'Semrush Data'!$A$1:$Z$1,0)),"")</f>
        <v/>
      </c>
      <c r="X225" s="59">
        <f>IFERROR(INDEX('Semrush Data'!$A$1:$Z$20000,MATCH(V225,'Semrush Data'!$A$1:$A$20000,0),MATCH("Keyword Difficulty*",'Semrush Data'!$A$1:$Z$1,0)),"")</f>
        <v/>
      </c>
      <c r="Y225" s="61">
        <f>IFERROR(INDEX('Semrush Data'!$A$1:$Z$20000,MATCH(V225,'Semrush Data'!$A$1:$A$20000,0),MATCH("CPC*",'Semrush Data'!$A$1:$Z$1,0)),"")</f>
        <v/>
      </c>
      <c r="Z225" s="58" t="inlineStr">
        <is>
          <t>burberry perfume · burberry perfume for women · woody perfume for women uk</t>
        </is>
      </c>
      <c r="AA225" s="58" t="inlineStr">
        <is>
          <t>burberry mini set · burberry mini set perfume · burberry mini set 4 · burberry miniature perfume set</t>
        </is>
      </c>
      <c r="AB225" s="58" t="inlineStr">
        <is>
          <t>Burberry Women's Miniature Perfume Set 4x5ml</t>
        </is>
      </c>
      <c r="AC225" s="58" t="inlineStr">
        <is>
          <t>Burberry Women's Miniature Perfume Set 4x5ml | Swansura UK</t>
        </is>
      </c>
      <c r="AD225" s="58">
        <f>LEN(AC225)</f>
        <v/>
      </c>
      <c r="AE225" s="58" t="inlineStr">
        <is>
          <t>Buy Burberry Women's Miniature Perfume Set 4x5ml online in the UK at Swansura. A woody women's eau de parfum, 4x5ml. 100% authentic, free UK delivery over £50.</t>
        </is>
      </c>
      <c r="AF225" s="58">
        <f>LEN(AE225)</f>
        <v/>
      </c>
    </row>
    <row r="226" ht="15" customHeight="1" s="37">
      <c r="A226" s="58" t="inlineStr">
        <is>
          <t>FR-066</t>
        </is>
      </c>
      <c r="B226" s="58" t="inlineStr">
        <is>
          <t>Fragrance Catalogue</t>
        </is>
      </c>
      <c r="C226" s="58" t="n">
        <v>66</v>
      </c>
      <c r="D226" s="58" t="inlineStr">
        <is>
          <t>Burberry</t>
        </is>
      </c>
      <c r="E226" s="58" t="n"/>
      <c r="F226" s="58" t="inlineStr">
        <is>
          <t>Fragrance</t>
        </is>
      </c>
      <c r="G226" s="58" t="inlineStr">
        <is>
          <t>Parfum</t>
        </is>
      </c>
      <c r="H226" s="58" t="inlineStr">
        <is>
          <t>Floral · Women's Fragrance</t>
        </is>
      </c>
      <c r="I226" s="58" t="inlineStr">
        <is>
          <t>Burberry My Burberry Black Parfum 50ml – Women's Rich Floral Amber Fragrance</t>
        </is>
      </c>
      <c r="J226" s="58" t="inlineStr">
        <is>
          <t>50ml</t>
        </is>
      </c>
      <c r="K226" s="58" t="n">
        <v>48.99</v>
      </c>
      <c r="L226" s="58" t="inlineStr">
        <is>
          <t>burberry my burberry black</t>
        </is>
      </c>
      <c r="M226" s="58" t="inlineStr">
        <is>
          <t>burberry my burberry black uk</t>
        </is>
      </c>
      <c r="N226" s="58" t="inlineStr">
        <is>
          <t>buy burberry my burberry black online</t>
        </is>
      </c>
      <c r="O226" s="58" t="inlineStr">
        <is>
          <t>burberry my burberry black price</t>
        </is>
      </c>
      <c r="P226" s="58" t="inlineStr">
        <is>
          <t>burberry my burberry black parfum</t>
        </is>
      </c>
      <c r="Q226" s="59">
        <f>IF(L226="","",IFERROR(INDEX('Semrush Data'!$A$1:$Z$20000,MATCH(L226,'Semrush Data'!$A$1:$A$20000,0),MATCH("Volume",'Semrush Data'!$A$1:$Z$1,0)),""))</f>
        <v/>
      </c>
      <c r="R226" s="59">
        <f>IF(M226="","",IFERROR(INDEX('Semrush Data'!$A$1:$Z$20000,MATCH(M226,'Semrush Data'!$A$1:$A$20000,0),MATCH("Volume",'Semrush Data'!$A$1:$Z$1,0)),""))</f>
        <v/>
      </c>
      <c r="S226" s="59">
        <f>IF(N226="","",IFERROR(INDEX('Semrush Data'!$A$1:$Z$20000,MATCH(N226,'Semrush Data'!$A$1:$A$20000,0),MATCH("Volume",'Semrush Data'!$A$1:$Z$1,0)),""))</f>
        <v/>
      </c>
      <c r="T226" s="59">
        <f>IF(O226="","",IFERROR(INDEX('Semrush Data'!$A$1:$Z$20000,MATCH(O226,'Semrush Data'!$A$1:$A$20000,0),MATCH("Volume",'Semrush Data'!$A$1:$Z$1,0)),""))</f>
        <v/>
      </c>
      <c r="U226" s="59">
        <f>IF(P226="","",IFERROR(INDEX('Semrush Data'!$A$1:$Z$20000,MATCH(P226,'Semrush Data'!$A$1:$A$20000,0),MATCH("Volume",'Semrush Data'!$A$1:$Z$1,0)),""))</f>
        <v/>
      </c>
      <c r="V226" s="60">
        <f>IF(COUNT(Q226:U226)=0,L226,IF(MAX(Q226:U226)=0,L226,INDEX(L226:P226,MATCH(MAX(Q226:U226),Q226:U226,0))))</f>
        <v/>
      </c>
      <c r="W226" s="59">
        <f>IFERROR(INDEX('Semrush Data'!$A$1:$Z$20000,MATCH(V226,'Semrush Data'!$A$1:$A$20000,0),MATCH("Volume",'Semrush Data'!$A$1:$Z$1,0)),"")</f>
        <v/>
      </c>
      <c r="X226" s="59">
        <f>IFERROR(INDEX('Semrush Data'!$A$1:$Z$20000,MATCH(V226,'Semrush Data'!$A$1:$A$20000,0),MATCH("Keyword Difficulty*",'Semrush Data'!$A$1:$Z$1,0)),"")</f>
        <v/>
      </c>
      <c r="Y226" s="61">
        <f>IFERROR(INDEX('Semrush Data'!$A$1:$Z$20000,MATCH(V226,'Semrush Data'!$A$1:$A$20000,0),MATCH("CPC*",'Semrush Data'!$A$1:$Z$1,0)),"")</f>
        <v/>
      </c>
      <c r="Z226" s="58" t="inlineStr">
        <is>
          <t>burberry perfume · burberry perfume for women · floral perfume for women uk</t>
        </is>
      </c>
      <c r="AA226" s="58" t="inlineStr">
        <is>
          <t>burberry my burberry black parfum · burberry my burberry black eau de parfum · burberry my burberry black parfum 90ml · burberry my burberry black eau de parfum 50ml · burberry my burberry black eau de parfum 90ml · burberry my burberry black edp</t>
        </is>
      </c>
      <c r="AB226" s="58" t="inlineStr">
        <is>
          <t>Burberry My Burberry Black Parfum</t>
        </is>
      </c>
      <c r="AC226" s="58" t="inlineStr">
        <is>
          <t>Burberry My Burberry Black Parfum | Buy Online UK | Swansura</t>
        </is>
      </c>
      <c r="AD226" s="58">
        <f>LEN(AC226)</f>
        <v/>
      </c>
      <c r="AE226" s="58" t="inlineStr">
        <is>
          <t>Buy Burberry My Burberry Black Parfum online in the UK at Swansura. A floral women's parfum, 50ml. 100% authentic, fast UK delivery, free over £50.</t>
        </is>
      </c>
      <c r="AF226" s="58">
        <f>LEN(AE226)</f>
        <v/>
      </c>
    </row>
    <row r="227" ht="15" customHeight="1" s="37">
      <c r="A227" s="58" t="inlineStr">
        <is>
          <t>FR-067</t>
        </is>
      </c>
      <c r="B227" s="58" t="inlineStr">
        <is>
          <t>Fragrance Catalogue</t>
        </is>
      </c>
      <c r="C227" s="58" t="n">
        <v>67</v>
      </c>
      <c r="D227" s="58" t="inlineStr">
        <is>
          <t>Burberry</t>
        </is>
      </c>
      <c r="E227" s="58" t="n"/>
      <c r="F227" s="58" t="inlineStr">
        <is>
          <t>Fragrance</t>
        </is>
      </c>
      <c r="G227" s="58" t="inlineStr">
        <is>
          <t>Parfum</t>
        </is>
      </c>
      <c r="H227" s="58" t="inlineStr">
        <is>
          <t>Floral · Women's Fragrance</t>
        </is>
      </c>
      <c r="I227" s="58" t="inlineStr">
        <is>
          <t>Burberry My Burberry Black Parfum 90ml – Women's Rich Floral Amber Fragrance</t>
        </is>
      </c>
      <c r="J227" s="58" t="inlineStr">
        <is>
          <t>90ml</t>
        </is>
      </c>
      <c r="K227" s="58" t="n">
        <v>58.99</v>
      </c>
      <c r="L227" s="58" t="inlineStr">
        <is>
          <t>burberry my burberry black</t>
        </is>
      </c>
      <c r="M227" s="58" t="inlineStr">
        <is>
          <t>burberry my burberry black uk</t>
        </is>
      </c>
      <c r="N227" s="58" t="inlineStr">
        <is>
          <t>buy burberry my burberry black online</t>
        </is>
      </c>
      <c r="O227" s="58" t="inlineStr">
        <is>
          <t>burberry my burberry black price</t>
        </is>
      </c>
      <c r="P227" s="58" t="inlineStr">
        <is>
          <t>burberry my burberry black parfum</t>
        </is>
      </c>
      <c r="Q227" s="59">
        <f>IF(L227="","",IFERROR(INDEX('Semrush Data'!$A$1:$Z$20000,MATCH(L227,'Semrush Data'!$A$1:$A$20000,0),MATCH("Volume",'Semrush Data'!$A$1:$Z$1,0)),""))</f>
        <v/>
      </c>
      <c r="R227" s="59">
        <f>IF(M227="","",IFERROR(INDEX('Semrush Data'!$A$1:$Z$20000,MATCH(M227,'Semrush Data'!$A$1:$A$20000,0),MATCH("Volume",'Semrush Data'!$A$1:$Z$1,0)),""))</f>
        <v/>
      </c>
      <c r="S227" s="59">
        <f>IF(N227="","",IFERROR(INDEX('Semrush Data'!$A$1:$Z$20000,MATCH(N227,'Semrush Data'!$A$1:$A$20000,0),MATCH("Volume",'Semrush Data'!$A$1:$Z$1,0)),""))</f>
        <v/>
      </c>
      <c r="T227" s="59">
        <f>IF(O227="","",IFERROR(INDEX('Semrush Data'!$A$1:$Z$20000,MATCH(O227,'Semrush Data'!$A$1:$A$20000,0),MATCH("Volume",'Semrush Data'!$A$1:$Z$1,0)),""))</f>
        <v/>
      </c>
      <c r="U227" s="59">
        <f>IF(P227="","",IFERROR(INDEX('Semrush Data'!$A$1:$Z$20000,MATCH(P227,'Semrush Data'!$A$1:$A$20000,0),MATCH("Volume",'Semrush Data'!$A$1:$Z$1,0)),""))</f>
        <v/>
      </c>
      <c r="V227" s="60">
        <f>IF(COUNT(Q227:U227)=0,L227,IF(MAX(Q227:U227)=0,L227,INDEX(L227:P227,MATCH(MAX(Q227:U227),Q227:U227,0))))</f>
        <v/>
      </c>
      <c r="W227" s="59">
        <f>IFERROR(INDEX('Semrush Data'!$A$1:$Z$20000,MATCH(V227,'Semrush Data'!$A$1:$A$20000,0),MATCH("Volume",'Semrush Data'!$A$1:$Z$1,0)),"")</f>
        <v/>
      </c>
      <c r="X227" s="59">
        <f>IFERROR(INDEX('Semrush Data'!$A$1:$Z$20000,MATCH(V227,'Semrush Data'!$A$1:$A$20000,0),MATCH("Keyword Difficulty*",'Semrush Data'!$A$1:$Z$1,0)),"")</f>
        <v/>
      </c>
      <c r="Y227" s="61">
        <f>IFERROR(INDEX('Semrush Data'!$A$1:$Z$20000,MATCH(V227,'Semrush Data'!$A$1:$A$20000,0),MATCH("CPC*",'Semrush Data'!$A$1:$Z$1,0)),"")</f>
        <v/>
      </c>
      <c r="Z227" s="58" t="inlineStr">
        <is>
          <t>burberry perfume · burberry perfume for women · floral perfume for women uk</t>
        </is>
      </c>
      <c r="AA227" s="58" t="inlineStr">
        <is>
          <t>burberry my burberry black parfum · burberry my burberry black eau de parfum · burberry my burberry black parfum 90ml · burberry my burberry black eau de parfum 50ml · burberry my burberry black eau de parfum 90ml · burberry my burberry black edp</t>
        </is>
      </c>
      <c r="AB227" s="58" t="inlineStr">
        <is>
          <t>Burberry My Burberry Black Parfum</t>
        </is>
      </c>
      <c r="AC227" s="58" t="inlineStr">
        <is>
          <t>Burberry My Burberry Black Parfum | Buy Online UK | Swansura</t>
        </is>
      </c>
      <c r="AD227" s="58">
        <f>LEN(AC227)</f>
        <v/>
      </c>
      <c r="AE227" s="58" t="inlineStr">
        <is>
          <t>Buy Burberry My Burberry Black Parfum online in the UK at Swansura. A floral women's parfum, 90ml. 100% authentic, fast UK delivery, free over £50.</t>
        </is>
      </c>
      <c r="AF227" s="58">
        <f>LEN(AE227)</f>
        <v/>
      </c>
    </row>
    <row r="228" ht="15" customHeight="1" s="37">
      <c r="A228" s="58" t="inlineStr">
        <is>
          <t>FR-068</t>
        </is>
      </c>
      <c r="B228" s="58" t="inlineStr">
        <is>
          <t>Fragrance Catalogue</t>
        </is>
      </c>
      <c r="C228" s="58" t="n">
        <v>68</v>
      </c>
      <c r="D228" s="58" t="inlineStr">
        <is>
          <t>Bvlgari</t>
        </is>
      </c>
      <c r="E228" s="58" t="n"/>
      <c r="F228" s="58" t="inlineStr">
        <is>
          <t>Fragrance</t>
        </is>
      </c>
      <c r="G228" s="58" t="inlineStr">
        <is>
          <t>Eau de Parfum (EDP)</t>
        </is>
      </c>
      <c r="H228" s="58" t="inlineStr">
        <is>
          <t>Woody · Men's Fragrance</t>
        </is>
      </c>
      <c r="I228" s="58" t="inlineStr">
        <is>
          <t>Bvlgari Man in Black Eau de Parfum 100ml – Luxury Men's Fragrance</t>
        </is>
      </c>
      <c r="J228" s="58" t="inlineStr">
        <is>
          <t>100ml</t>
        </is>
      </c>
      <c r="K228" s="58" t="n">
        <v>64.98999999999999</v>
      </c>
      <c r="L228" s="58" t="inlineStr">
        <is>
          <t>bvlgari man in black</t>
        </is>
      </c>
      <c r="M228" s="58" t="inlineStr">
        <is>
          <t>bvlgari man in black uk</t>
        </is>
      </c>
      <c r="N228" s="58" t="inlineStr">
        <is>
          <t>buy bvlgari man in black online</t>
        </is>
      </c>
      <c r="O228" s="58" t="inlineStr">
        <is>
          <t>bvlgari man in black price</t>
        </is>
      </c>
      <c r="P228" s="58" t="inlineStr">
        <is>
          <t>bvlgari man in black eau de parfum</t>
        </is>
      </c>
      <c r="Q228" s="59">
        <f>IF(L228="","",IFERROR(INDEX('Semrush Data'!$A$1:$Z$20000,MATCH(L228,'Semrush Data'!$A$1:$A$20000,0),MATCH("Volume",'Semrush Data'!$A$1:$Z$1,0)),""))</f>
        <v/>
      </c>
      <c r="R228" s="59">
        <f>IF(M228="","",IFERROR(INDEX('Semrush Data'!$A$1:$Z$20000,MATCH(M228,'Semrush Data'!$A$1:$A$20000,0),MATCH("Volume",'Semrush Data'!$A$1:$Z$1,0)),""))</f>
        <v/>
      </c>
      <c r="S228" s="59">
        <f>IF(N228="","",IFERROR(INDEX('Semrush Data'!$A$1:$Z$20000,MATCH(N228,'Semrush Data'!$A$1:$A$20000,0),MATCH("Volume",'Semrush Data'!$A$1:$Z$1,0)),""))</f>
        <v/>
      </c>
      <c r="T228" s="59">
        <f>IF(O228="","",IFERROR(INDEX('Semrush Data'!$A$1:$Z$20000,MATCH(O228,'Semrush Data'!$A$1:$A$20000,0),MATCH("Volume",'Semrush Data'!$A$1:$Z$1,0)),""))</f>
        <v/>
      </c>
      <c r="U228" s="59">
        <f>IF(P228="","",IFERROR(INDEX('Semrush Data'!$A$1:$Z$20000,MATCH(P228,'Semrush Data'!$A$1:$A$20000,0),MATCH("Volume",'Semrush Data'!$A$1:$Z$1,0)),""))</f>
        <v/>
      </c>
      <c r="V228" s="60">
        <f>IF(COUNT(Q228:U228)=0,L228,IF(MAX(Q228:U228)=0,L228,INDEX(L228:P228,MATCH(MAX(Q228:U228),Q228:U228,0))))</f>
        <v/>
      </c>
      <c r="W228" s="59">
        <f>IFERROR(INDEX('Semrush Data'!$A$1:$Z$20000,MATCH(V228,'Semrush Data'!$A$1:$A$20000,0),MATCH("Volume",'Semrush Data'!$A$1:$Z$1,0)),"")</f>
        <v/>
      </c>
      <c r="X228" s="59">
        <f>IFERROR(INDEX('Semrush Data'!$A$1:$Z$20000,MATCH(V228,'Semrush Data'!$A$1:$A$20000,0),MATCH("Keyword Difficulty*",'Semrush Data'!$A$1:$Z$1,0)),"")</f>
        <v/>
      </c>
      <c r="Y228" s="61">
        <f>IFERROR(INDEX('Semrush Data'!$A$1:$Z$20000,MATCH(V228,'Semrush Data'!$A$1:$A$20000,0),MATCH("CPC*",'Semrush Data'!$A$1:$Z$1,0)),"")</f>
        <v/>
      </c>
      <c r="Z228" s="58" t="inlineStr">
        <is>
          <t>bvlgari perfume · bvlgari perfume for men · woody perfume for men uk</t>
        </is>
      </c>
      <c r="AA228" s="58" t="inlineStr">
        <is>
          <t>bvlgari man in black parfum · bvlgari man in black perfume · bvlgari man in black eau de parfum · bvlgari man in black edp · bvlgari man in black price · bvlgari man in black notes</t>
        </is>
      </c>
      <c r="AB228" s="58" t="inlineStr">
        <is>
          <t>Bvlgari Man in Black Eau de Parfum</t>
        </is>
      </c>
      <c r="AC228" s="58" t="inlineStr">
        <is>
          <t>Bvlgari Man in Black EDP 100ml | Buy Online UK | Swansura</t>
        </is>
      </c>
      <c r="AD228" s="58">
        <f>LEN(AC228)</f>
        <v/>
      </c>
      <c r="AE228" s="58" t="inlineStr">
        <is>
          <t>Buy Bvlgari Man in Black Eau de Parfum online in the UK at Swansura. A woody men's eau de parfum, 100ml. 100% authentic, fast UK delivery, free over £50.</t>
        </is>
      </c>
      <c r="AF228" s="58">
        <f>LEN(AE228)</f>
        <v/>
      </c>
    </row>
    <row r="229" ht="15" customHeight="1" s="37">
      <c r="A229" s="58" t="inlineStr">
        <is>
          <t>FR-069</t>
        </is>
      </c>
      <c r="B229" s="58" t="inlineStr">
        <is>
          <t>Fragrance Catalogue</t>
        </is>
      </c>
      <c r="C229" s="58" t="n">
        <v>69</v>
      </c>
      <c r="D229" s="58" t="inlineStr">
        <is>
          <t>Bvlgari</t>
        </is>
      </c>
      <c r="E229" s="58" t="n"/>
      <c r="F229" s="58" t="inlineStr">
        <is>
          <t>Fragrance</t>
        </is>
      </c>
      <c r="G229" s="58" t="inlineStr">
        <is>
          <t>Eau de Parfum (EDP)</t>
        </is>
      </c>
      <c r="H229" s="58" t="inlineStr">
        <is>
          <t>Floral · Women's Fragrance</t>
        </is>
      </c>
      <c r="I229" s="58" t="inlineStr">
        <is>
          <t>Bvlgari Splendida Tubereuse Mystique Eau de Parfum 100ml – Luxury Women's Floral Fragrance</t>
        </is>
      </c>
      <c r="J229" s="58" t="inlineStr">
        <is>
          <t>100ml</t>
        </is>
      </c>
      <c r="K229" s="58" t="n">
        <v>54.99</v>
      </c>
      <c r="L229" s="58" t="inlineStr">
        <is>
          <t>bvlgari splendida tubereuse mystique</t>
        </is>
      </c>
      <c r="M229" s="58" t="inlineStr">
        <is>
          <t>bvlgari splendida tubereuse mystique uk</t>
        </is>
      </c>
      <c r="N229" s="58" t="inlineStr">
        <is>
          <t>buy bvlgari splendida tubereuse mystique online</t>
        </is>
      </c>
      <c r="O229" s="58" t="inlineStr">
        <is>
          <t>bvlgari splendida tubereuse mystique price</t>
        </is>
      </c>
      <c r="P229" s="58" t="inlineStr">
        <is>
          <t>bvlgari splendida tubereuse mystique eau de parfum</t>
        </is>
      </c>
      <c r="Q229" s="59">
        <f>IF(L229="","",IFERROR(INDEX('Semrush Data'!$A$1:$Z$20000,MATCH(L229,'Semrush Data'!$A$1:$A$20000,0),MATCH("Volume",'Semrush Data'!$A$1:$Z$1,0)),""))</f>
        <v/>
      </c>
      <c r="R229" s="59">
        <f>IF(M229="","",IFERROR(INDEX('Semrush Data'!$A$1:$Z$20000,MATCH(M229,'Semrush Data'!$A$1:$A$20000,0),MATCH("Volume",'Semrush Data'!$A$1:$Z$1,0)),""))</f>
        <v/>
      </c>
      <c r="S229" s="59">
        <f>IF(N229="","",IFERROR(INDEX('Semrush Data'!$A$1:$Z$20000,MATCH(N229,'Semrush Data'!$A$1:$A$20000,0),MATCH("Volume",'Semrush Data'!$A$1:$Z$1,0)),""))</f>
        <v/>
      </c>
      <c r="T229" s="59">
        <f>IF(O229="","",IFERROR(INDEX('Semrush Data'!$A$1:$Z$20000,MATCH(O229,'Semrush Data'!$A$1:$A$20000,0),MATCH("Volume",'Semrush Data'!$A$1:$Z$1,0)),""))</f>
        <v/>
      </c>
      <c r="U229" s="59">
        <f>IF(P229="","",IFERROR(INDEX('Semrush Data'!$A$1:$Z$20000,MATCH(P229,'Semrush Data'!$A$1:$A$20000,0),MATCH("Volume",'Semrush Data'!$A$1:$Z$1,0)),""))</f>
        <v/>
      </c>
      <c r="V229" s="60">
        <f>IF(COUNT(Q229:U229)=0,L229,IF(MAX(Q229:U229)=0,L229,INDEX(L229:P229,MATCH(MAX(Q229:U229),Q229:U229,0))))</f>
        <v/>
      </c>
      <c r="W229" s="59">
        <f>IFERROR(INDEX('Semrush Data'!$A$1:$Z$20000,MATCH(V229,'Semrush Data'!$A$1:$A$20000,0),MATCH("Volume",'Semrush Data'!$A$1:$Z$1,0)),"")</f>
        <v/>
      </c>
      <c r="X229" s="59">
        <f>IFERROR(INDEX('Semrush Data'!$A$1:$Z$20000,MATCH(V229,'Semrush Data'!$A$1:$A$20000,0),MATCH("Keyword Difficulty*",'Semrush Data'!$A$1:$Z$1,0)),"")</f>
        <v/>
      </c>
      <c r="Y229" s="61">
        <f>IFERROR(INDEX('Semrush Data'!$A$1:$Z$20000,MATCH(V229,'Semrush Data'!$A$1:$A$20000,0),MATCH("CPC*",'Semrush Data'!$A$1:$Z$1,0)),"")</f>
        <v/>
      </c>
      <c r="Z229" s="58" t="inlineStr">
        <is>
          <t>bvlgari perfume · bvlgari perfume for women · floral perfume for women uk</t>
        </is>
      </c>
      <c r="AA229" s="58" t="inlineStr">
        <is>
          <t>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is>
      </c>
      <c r="AB229" s="58" t="inlineStr">
        <is>
          <t>Bvlgari Splendida Tubereuse Mystique Eau de Parfum</t>
        </is>
      </c>
      <c r="AC229" s="58" t="inlineStr">
        <is>
          <t>Bvlgari Splendida Tubereuse Mystique EDP 100ml | Swansura UK</t>
        </is>
      </c>
      <c r="AD229" s="58">
        <f>LEN(AC229)</f>
        <v/>
      </c>
      <c r="AE229" s="58" t="inlineStr">
        <is>
          <t>Buy Bvlgari Splendida Tubereuse Mystique Eau de Parfum online in the UK at Swansura. A floral women's eau de parfum. 100% authentic, free UK delivery over £50.</t>
        </is>
      </c>
      <c r="AF229" s="58">
        <f>LEN(AE229)</f>
        <v/>
      </c>
    </row>
    <row r="230" ht="15" customHeight="1" s="37">
      <c r="A230" s="58" t="inlineStr">
        <is>
          <t>FR-070</t>
        </is>
      </c>
      <c r="B230" s="58" t="inlineStr">
        <is>
          <t>Fragrance Catalogue</t>
        </is>
      </c>
      <c r="C230" s="58" t="n">
        <v>70</v>
      </c>
      <c r="D230" s="58" t="inlineStr">
        <is>
          <t>Bvlgari</t>
        </is>
      </c>
      <c r="E230" s="58" t="n"/>
      <c r="F230" s="58" t="inlineStr">
        <is>
          <t>Fragrance</t>
        </is>
      </c>
      <c r="G230" s="58" t="inlineStr">
        <is>
          <t>Eau de Toilette (EDT)</t>
        </is>
      </c>
      <c r="H230" s="58" t="inlineStr">
        <is>
          <t>Floral · Women's Fragrance</t>
        </is>
      </c>
      <c r="I230" s="58" t="inlineStr">
        <is>
          <t>Bvlgari Omnia Amethyste Eau de Toilette 25ml – Women's Floral Fragrance</t>
        </is>
      </c>
      <c r="J230" s="58" t="inlineStr">
        <is>
          <t>25ml</t>
        </is>
      </c>
      <c r="K230" s="58" t="n">
        <v>34.99</v>
      </c>
      <c r="L230" s="58" t="inlineStr">
        <is>
          <t>bvlgari omnia amethyste</t>
        </is>
      </c>
      <c r="M230" s="58" t="inlineStr">
        <is>
          <t>bvlgari omnia amethyste uk</t>
        </is>
      </c>
      <c r="N230" s="58" t="inlineStr">
        <is>
          <t>buy bvlgari omnia amethyste online</t>
        </is>
      </c>
      <c r="O230" s="58" t="inlineStr">
        <is>
          <t>bvlgari omnia amethyste price</t>
        </is>
      </c>
      <c r="P230" s="58" t="inlineStr">
        <is>
          <t>bvlgari omnia amethyste eau de toilette</t>
        </is>
      </c>
      <c r="Q230" s="59">
        <f>IF(L230="","",IFERROR(INDEX('Semrush Data'!$A$1:$Z$20000,MATCH(L230,'Semrush Data'!$A$1:$A$20000,0),MATCH("Volume",'Semrush Data'!$A$1:$Z$1,0)),""))</f>
        <v/>
      </c>
      <c r="R230" s="59">
        <f>IF(M230="","",IFERROR(INDEX('Semrush Data'!$A$1:$Z$20000,MATCH(M230,'Semrush Data'!$A$1:$A$20000,0),MATCH("Volume",'Semrush Data'!$A$1:$Z$1,0)),""))</f>
        <v/>
      </c>
      <c r="S230" s="59">
        <f>IF(N230="","",IFERROR(INDEX('Semrush Data'!$A$1:$Z$20000,MATCH(N230,'Semrush Data'!$A$1:$A$20000,0),MATCH("Volume",'Semrush Data'!$A$1:$Z$1,0)),""))</f>
        <v/>
      </c>
      <c r="T230" s="59">
        <f>IF(O230="","",IFERROR(INDEX('Semrush Data'!$A$1:$Z$20000,MATCH(O230,'Semrush Data'!$A$1:$A$20000,0),MATCH("Volume",'Semrush Data'!$A$1:$Z$1,0)),""))</f>
        <v/>
      </c>
      <c r="U230" s="59">
        <f>IF(P230="","",IFERROR(INDEX('Semrush Data'!$A$1:$Z$20000,MATCH(P230,'Semrush Data'!$A$1:$A$20000,0),MATCH("Volume",'Semrush Data'!$A$1:$Z$1,0)),""))</f>
        <v/>
      </c>
      <c r="V230" s="60">
        <f>IF(COUNT(Q230:U230)=0,L230,IF(MAX(Q230:U230)=0,L230,INDEX(L230:P230,MATCH(MAX(Q230:U230),Q230:U230,0))))</f>
        <v/>
      </c>
      <c r="W230" s="59">
        <f>IFERROR(INDEX('Semrush Data'!$A$1:$Z$20000,MATCH(V230,'Semrush Data'!$A$1:$A$20000,0),MATCH("Volume",'Semrush Data'!$A$1:$Z$1,0)),"")</f>
        <v/>
      </c>
      <c r="X230" s="59">
        <f>IFERROR(INDEX('Semrush Data'!$A$1:$Z$20000,MATCH(V230,'Semrush Data'!$A$1:$A$20000,0),MATCH("Keyword Difficulty*",'Semrush Data'!$A$1:$Z$1,0)),"")</f>
        <v/>
      </c>
      <c r="Y230" s="61">
        <f>IFERROR(INDEX('Semrush Data'!$A$1:$Z$20000,MATCH(V230,'Semrush Data'!$A$1:$A$20000,0),MATCH("CPC*",'Semrush Data'!$A$1:$Z$1,0)),"")</f>
        <v/>
      </c>
      <c r="Z230" s="58" t="inlineStr">
        <is>
          <t>bvlgari perfume · bvlgari perfume for women · floral perfume for women uk</t>
        </is>
      </c>
      <c r="AA230" s="58" t="inlineStr">
        <is>
          <t>bvlgari omnia amethyste price · bvlgari omnia amethyste notes · bvlgari omnia amethyste dupe · bvlgari omnia amethyste 100ml · bvlgari omnia amethyste edp · bvlgari omnia amethyste review</t>
        </is>
      </c>
      <c r="AB230" s="58" t="inlineStr">
        <is>
          <t>Bvlgari Omnia Amethyste Eau de Toilette</t>
        </is>
      </c>
      <c r="AC230" s="58" t="inlineStr">
        <is>
          <t>Bvlgari Omnia Amethyste EDT 25ml | Buy Online UK | Swansura</t>
        </is>
      </c>
      <c r="AD230" s="58">
        <f>LEN(AC230)</f>
        <v/>
      </c>
      <c r="AE230" s="58" t="inlineStr">
        <is>
          <t>Buy Bvlgari Omnia Amethyste Eau de Toilette online in the UK at Swansura. A floral women's eau de toilette, 25ml. 100% authentic, free UK delivery over £50.</t>
        </is>
      </c>
      <c r="AF230" s="58">
        <f>LEN(AE230)</f>
        <v/>
      </c>
    </row>
    <row r="231" ht="15" customHeight="1" s="37">
      <c r="A231" s="58" t="inlineStr">
        <is>
          <t>FR-071</t>
        </is>
      </c>
      <c r="B231" s="58" t="inlineStr">
        <is>
          <t>Fragrance Catalogue</t>
        </is>
      </c>
      <c r="C231" s="58" t="n">
        <v>71</v>
      </c>
      <c r="D231" s="58" t="inlineStr">
        <is>
          <t>Bvlgari</t>
        </is>
      </c>
      <c r="E231" s="58" t="n"/>
      <c r="F231" s="58" t="inlineStr">
        <is>
          <t>Gift Set</t>
        </is>
      </c>
      <c r="G231" s="58" t="inlineStr">
        <is>
          <t>Eau de Parfum (EDP)</t>
        </is>
      </c>
      <c r="H231" s="58" t="inlineStr">
        <is>
          <t>Woody · Men's Fragrance</t>
        </is>
      </c>
      <c r="I231" s="58" t="inlineStr">
        <is>
          <t>Bvlgari Man Glacial Essence EDP Gift Set 100ml + 15ml – Men's Fragrance Set</t>
        </is>
      </c>
      <c r="J231" s="58" t="inlineStr">
        <is>
          <t>100ml</t>
        </is>
      </c>
      <c r="K231" s="58" t="n">
        <v>69.98999999999999</v>
      </c>
      <c r="L231" s="58" t="inlineStr">
        <is>
          <t>bvlgari man glacial essence gift set</t>
        </is>
      </c>
      <c r="M231" s="58" t="inlineStr">
        <is>
          <t>bvlgari man glacial essence gift set uk</t>
        </is>
      </c>
      <c r="N231" s="58" t="inlineStr">
        <is>
          <t>buy bvlgari man glacial essence gift set online</t>
        </is>
      </c>
      <c r="O231" s="58" t="inlineStr">
        <is>
          <t>bvlgari man glacial essence gift set price</t>
        </is>
      </c>
      <c r="P231" s="58" t="n"/>
      <c r="Q231" s="59">
        <f>IF(L231="","",IFERROR(INDEX('Semrush Data'!$A$1:$Z$20000,MATCH(L231,'Semrush Data'!$A$1:$A$20000,0),MATCH("Volume",'Semrush Data'!$A$1:$Z$1,0)),""))</f>
        <v/>
      </c>
      <c r="R231" s="59">
        <f>IF(M231="","",IFERROR(INDEX('Semrush Data'!$A$1:$Z$20000,MATCH(M231,'Semrush Data'!$A$1:$A$20000,0),MATCH("Volume",'Semrush Data'!$A$1:$Z$1,0)),""))</f>
        <v/>
      </c>
      <c r="S231" s="59">
        <f>IF(N231="","",IFERROR(INDEX('Semrush Data'!$A$1:$Z$20000,MATCH(N231,'Semrush Data'!$A$1:$A$20000,0),MATCH("Volume",'Semrush Data'!$A$1:$Z$1,0)),""))</f>
        <v/>
      </c>
      <c r="T231" s="59">
        <f>IF(O231="","",IFERROR(INDEX('Semrush Data'!$A$1:$Z$20000,MATCH(O231,'Semrush Data'!$A$1:$A$20000,0),MATCH("Volume",'Semrush Data'!$A$1:$Z$1,0)),""))</f>
        <v/>
      </c>
      <c r="U231" s="59">
        <f>IF(P231="","",IFERROR(INDEX('Semrush Data'!$A$1:$Z$20000,MATCH(P231,'Semrush Data'!$A$1:$A$20000,0),MATCH("Volume",'Semrush Data'!$A$1:$Z$1,0)),""))</f>
        <v/>
      </c>
      <c r="V231" s="60">
        <f>IF(COUNT(Q231:U231)=0,L231,IF(MAX(Q231:U231)=0,L231,INDEX(L231:P231,MATCH(MAX(Q231:U231),Q231:U231,0))))</f>
        <v/>
      </c>
      <c r="W231" s="59">
        <f>IFERROR(INDEX('Semrush Data'!$A$1:$Z$20000,MATCH(V231,'Semrush Data'!$A$1:$A$20000,0),MATCH("Volume",'Semrush Data'!$A$1:$Z$1,0)),"")</f>
        <v/>
      </c>
      <c r="X231" s="59">
        <f>IFERROR(INDEX('Semrush Data'!$A$1:$Z$20000,MATCH(V231,'Semrush Data'!$A$1:$A$20000,0),MATCH("Keyword Difficulty*",'Semrush Data'!$A$1:$Z$1,0)),"")</f>
        <v/>
      </c>
      <c r="Y231" s="61">
        <f>IFERROR(INDEX('Semrush Data'!$A$1:$Z$20000,MATCH(V231,'Semrush Data'!$A$1:$A$20000,0),MATCH("CPC*",'Semrush Data'!$A$1:$Z$1,0)),"")</f>
        <v/>
      </c>
      <c r="Z231" s="58" t="inlineStr">
        <is>
          <t>bvlgari perfume · bvlgari perfume for men · woody perfume for men uk</t>
        </is>
      </c>
      <c r="AA231" s="58" t="inlineStr">
        <is>
          <t>bvlgari man glacial essence set · bvlgari man glacial essence eau de parfum gift set 100ml · bvlgari man glacial essence kit · bvlgari man glacial essence review · bvlgari glacial essence price · bvlgari man glacial essence eau de parfum review</t>
        </is>
      </c>
      <c r="AB231" s="58" t="inlineStr">
        <is>
          <t>Bvlgari Man Glacial Essence EDP Gift Set</t>
        </is>
      </c>
      <c r="AC231" s="58" t="inlineStr">
        <is>
          <t>Bvlgari Man Glacial Essence EDP Gift Set | Swansura UK</t>
        </is>
      </c>
      <c r="AD231" s="58">
        <f>LEN(AC231)</f>
        <v/>
      </c>
      <c r="AE231" s="58" t="inlineStr">
        <is>
          <t>Buy Bvlgari Man Glacial Essence EDP Gift Set online in the UK at Swansura. A woody men's eau de parfum, 100ml. 100% authentic, fast UK delivery, free over £50.</t>
        </is>
      </c>
      <c r="AF231" s="58">
        <f>LEN(AE231)</f>
        <v/>
      </c>
    </row>
    <row r="232" ht="15" customHeight="1" s="37">
      <c r="A232" s="58" t="inlineStr">
        <is>
          <t>FR-072</t>
        </is>
      </c>
      <c r="B232" s="58" t="inlineStr">
        <is>
          <t>Fragrance Catalogue</t>
        </is>
      </c>
      <c r="C232" s="58" t="n">
        <v>72</v>
      </c>
      <c r="D232" s="58" t="inlineStr">
        <is>
          <t>Bvlgari</t>
        </is>
      </c>
      <c r="E232" s="58" t="n"/>
      <c r="F232" s="58" t="inlineStr">
        <is>
          <t>Gift Set</t>
        </is>
      </c>
      <c r="G232" s="58" t="inlineStr">
        <is>
          <t>Eau de Parfum (EDP)</t>
        </is>
      </c>
      <c r="H232" s="58" t="inlineStr">
        <is>
          <t>Woody · Men's Fragrance</t>
        </is>
      </c>
      <c r="I232" s="58" t="inlineStr">
        <is>
          <t>Bvlgari Man Rain Essence Eau de Parfum Gift Set 100ml + 15ml – Luxury Men's Fragrance Set</t>
        </is>
      </c>
      <c r="J232" s="58" t="inlineStr">
        <is>
          <t>100ml</t>
        </is>
      </c>
      <c r="K232" s="58" t="n">
        <v>54.99</v>
      </c>
      <c r="L232" s="58" t="inlineStr">
        <is>
          <t>bvlgari man rain essence gift set</t>
        </is>
      </c>
      <c r="M232" s="58" t="inlineStr">
        <is>
          <t>bvlgari man rain essence gift set uk</t>
        </is>
      </c>
      <c r="N232" s="58" t="inlineStr">
        <is>
          <t>buy bvlgari man rain essence gift set online</t>
        </is>
      </c>
      <c r="O232" s="58" t="inlineStr">
        <is>
          <t>bvlgari man rain essence gift set price</t>
        </is>
      </c>
      <c r="P232" s="58" t="n"/>
      <c r="Q232" s="59">
        <f>IF(L232="","",IFERROR(INDEX('Semrush Data'!$A$1:$Z$20000,MATCH(L232,'Semrush Data'!$A$1:$A$20000,0),MATCH("Volume",'Semrush Data'!$A$1:$Z$1,0)),""))</f>
        <v/>
      </c>
      <c r="R232" s="59">
        <f>IF(M232="","",IFERROR(INDEX('Semrush Data'!$A$1:$Z$20000,MATCH(M232,'Semrush Data'!$A$1:$A$20000,0),MATCH("Volume",'Semrush Data'!$A$1:$Z$1,0)),""))</f>
        <v/>
      </c>
      <c r="S232" s="59">
        <f>IF(N232="","",IFERROR(INDEX('Semrush Data'!$A$1:$Z$20000,MATCH(N232,'Semrush Data'!$A$1:$A$20000,0),MATCH("Volume",'Semrush Data'!$A$1:$Z$1,0)),""))</f>
        <v/>
      </c>
      <c r="T232" s="59">
        <f>IF(O232="","",IFERROR(INDEX('Semrush Data'!$A$1:$Z$20000,MATCH(O232,'Semrush Data'!$A$1:$A$20000,0),MATCH("Volume",'Semrush Data'!$A$1:$Z$1,0)),""))</f>
        <v/>
      </c>
      <c r="U232" s="59">
        <f>IF(P232="","",IFERROR(INDEX('Semrush Data'!$A$1:$Z$20000,MATCH(P232,'Semrush Data'!$A$1:$A$20000,0),MATCH("Volume",'Semrush Data'!$A$1:$Z$1,0)),""))</f>
        <v/>
      </c>
      <c r="V232" s="60">
        <f>IF(COUNT(Q232:U232)=0,L232,IF(MAX(Q232:U232)=0,L232,INDEX(L232:P232,MATCH(MAX(Q232:U232),Q232:U232,0))))</f>
        <v/>
      </c>
      <c r="W232" s="59">
        <f>IFERROR(INDEX('Semrush Data'!$A$1:$Z$20000,MATCH(V232,'Semrush Data'!$A$1:$A$20000,0),MATCH("Volume",'Semrush Data'!$A$1:$Z$1,0)),"")</f>
        <v/>
      </c>
      <c r="X232" s="59">
        <f>IFERROR(INDEX('Semrush Data'!$A$1:$Z$20000,MATCH(V232,'Semrush Data'!$A$1:$A$20000,0),MATCH("Keyword Difficulty*",'Semrush Data'!$A$1:$Z$1,0)),"")</f>
        <v/>
      </c>
      <c r="Y232" s="61">
        <f>IFERROR(INDEX('Semrush Data'!$A$1:$Z$20000,MATCH(V232,'Semrush Data'!$A$1:$A$20000,0),MATCH("CPC*",'Semrush Data'!$A$1:$Z$1,0)),"")</f>
        <v/>
      </c>
      <c r="Z232" s="58" t="inlineStr">
        <is>
          <t>bvlgari perfume · bvlgari perfume for men · woody perfume for men uk</t>
        </is>
      </c>
      <c r="AA232" s="58" t="inlineStr">
        <is>
          <t>bvlgari man rain essence gift set 100ml edp 15ml edp · bvlgari man rain essence eau de parfum gift set · bvlgari man rain essence eau de parfum gift set 100ml · bvlgari man rain essence set · bvlgari man rain essence kit</t>
        </is>
      </c>
      <c r="AB232" s="58" t="inlineStr">
        <is>
          <t>Bvlgari Man Rain Essence Eau de Parfum Gift Set</t>
        </is>
      </c>
      <c r="AC232" s="58" t="inlineStr">
        <is>
          <t>Bvlgari Man Rain Essence Gift Set EDP 100ml | Swansura UK</t>
        </is>
      </c>
      <c r="AD232" s="58">
        <f>LEN(AC232)</f>
        <v/>
      </c>
      <c r="AE232" s="58" t="inlineStr">
        <is>
          <t>Buy Bvlgari Man Rain Essence Eau de Parfum Gift Set online in the UK at Swansura. A woody men's eau de parfum, 100ml. 100% authentic, free UK delivery over £50.</t>
        </is>
      </c>
      <c r="AF232" s="58">
        <f>LEN(AE232)</f>
        <v/>
      </c>
    </row>
    <row r="233" ht="15" customHeight="1" s="37">
      <c r="A233" s="58" t="inlineStr">
        <is>
          <t>FR-073</t>
        </is>
      </c>
      <c r="B233" s="58" t="inlineStr">
        <is>
          <t>Fragrance Catalogue</t>
        </is>
      </c>
      <c r="C233" s="58" t="n">
        <v>73</v>
      </c>
      <c r="D233" s="58" t="inlineStr">
        <is>
          <t>Bvlgari</t>
        </is>
      </c>
      <c r="E233" s="58" t="n"/>
      <c r="F233" s="58" t="inlineStr">
        <is>
          <t>Gift Set</t>
        </is>
      </c>
      <c r="G233" s="58" t="inlineStr">
        <is>
          <t>Eau de Parfum (EDP)</t>
        </is>
      </c>
      <c r="H233" s="58" t="inlineStr">
        <is>
          <t>Woody · Men's Fragrance</t>
        </is>
      </c>
      <c r="I233" s="58" t="inlineStr">
        <is>
          <t>Bvlgari Man Terrae Essence Eau de Parfum Gift Set 100ml + 15ml – New Pack Men's Fragrance Set</t>
        </is>
      </c>
      <c r="J233" s="58" t="inlineStr">
        <is>
          <t>100ml</t>
        </is>
      </c>
      <c r="K233" s="58" t="n">
        <v>69.98999999999999</v>
      </c>
      <c r="L233" s="58" t="inlineStr">
        <is>
          <t>bvlgari man terrae essence gift set</t>
        </is>
      </c>
      <c r="M233" s="58" t="inlineStr">
        <is>
          <t>bvlgari man terrae essence gift set uk</t>
        </is>
      </c>
      <c r="N233" s="58" t="inlineStr">
        <is>
          <t>buy bvlgari man terrae essence gift set online</t>
        </is>
      </c>
      <c r="O233" s="58" t="inlineStr">
        <is>
          <t>bvlgari man terrae essence gift set price</t>
        </is>
      </c>
      <c r="P233" s="58" t="n"/>
      <c r="Q233" s="59">
        <f>IF(L233="","",IFERROR(INDEX('Semrush Data'!$A$1:$Z$20000,MATCH(L233,'Semrush Data'!$A$1:$A$20000,0),MATCH("Volume",'Semrush Data'!$A$1:$Z$1,0)),""))</f>
        <v/>
      </c>
      <c r="R233" s="59">
        <f>IF(M233="","",IFERROR(INDEX('Semrush Data'!$A$1:$Z$20000,MATCH(M233,'Semrush Data'!$A$1:$A$20000,0),MATCH("Volume",'Semrush Data'!$A$1:$Z$1,0)),""))</f>
        <v/>
      </c>
      <c r="S233" s="59">
        <f>IF(N233="","",IFERROR(INDEX('Semrush Data'!$A$1:$Z$20000,MATCH(N233,'Semrush Data'!$A$1:$A$20000,0),MATCH("Volume",'Semrush Data'!$A$1:$Z$1,0)),""))</f>
        <v/>
      </c>
      <c r="T233" s="59">
        <f>IF(O233="","",IFERROR(INDEX('Semrush Data'!$A$1:$Z$20000,MATCH(O233,'Semrush Data'!$A$1:$A$20000,0),MATCH("Volume",'Semrush Data'!$A$1:$Z$1,0)),""))</f>
        <v/>
      </c>
      <c r="U233" s="59">
        <f>IF(P233="","",IFERROR(INDEX('Semrush Data'!$A$1:$Z$20000,MATCH(P233,'Semrush Data'!$A$1:$A$20000,0),MATCH("Volume",'Semrush Data'!$A$1:$Z$1,0)),""))</f>
        <v/>
      </c>
      <c r="V233" s="60">
        <f>IF(COUNT(Q233:U233)=0,L233,IF(MAX(Q233:U233)=0,L233,INDEX(L233:P233,MATCH(MAX(Q233:U233),Q233:U233,0))))</f>
        <v/>
      </c>
      <c r="W233" s="59">
        <f>IFERROR(INDEX('Semrush Data'!$A$1:$Z$20000,MATCH(V233,'Semrush Data'!$A$1:$A$20000,0),MATCH("Volume",'Semrush Data'!$A$1:$Z$1,0)),"")</f>
        <v/>
      </c>
      <c r="X233" s="59">
        <f>IFERROR(INDEX('Semrush Data'!$A$1:$Z$20000,MATCH(V233,'Semrush Data'!$A$1:$A$20000,0),MATCH("Keyword Difficulty*",'Semrush Data'!$A$1:$Z$1,0)),"")</f>
        <v/>
      </c>
      <c r="Y233" s="61">
        <f>IFERROR(INDEX('Semrush Data'!$A$1:$Z$20000,MATCH(V233,'Semrush Data'!$A$1:$A$20000,0),MATCH("CPC*",'Semrush Data'!$A$1:$Z$1,0)),"")</f>
        <v/>
      </c>
      <c r="Z233" s="58" t="inlineStr">
        <is>
          <t>bvlgari perfume · bvlgari perfume for men · woody perfume for men uk</t>
        </is>
      </c>
      <c r="AA233" s="58" t="inlineStr">
        <is>
          <t>bvlgari man terrae essence eau de parfum gift set · bvlgari man terrae essence set · bvlgari man terrae essence edp set 115 ml</t>
        </is>
      </c>
      <c r="AB233" s="58" t="inlineStr">
        <is>
          <t>Bvlgari Man Terrae Essence Eau de Parfum Gift Set</t>
        </is>
      </c>
      <c r="AC233" s="58" t="inlineStr">
        <is>
          <t>Bvlgari Man Terrae Essence Gift Set EDP 100ml | Swansura UK</t>
        </is>
      </c>
      <c r="AD233" s="58">
        <f>LEN(AC233)</f>
        <v/>
      </c>
      <c r="AE233" s="58" t="inlineStr">
        <is>
          <t>Buy Bvlgari Man Terrae Essence Eau de Parfum Gift Set online in the UK at Swansura. A woody men's eau de parfum. 100% authentic, free UK delivery over £50.</t>
        </is>
      </c>
      <c r="AF233" s="58">
        <f>LEN(AE233)</f>
        <v/>
      </c>
    </row>
    <row r="234" ht="15" customHeight="1" s="37">
      <c r="A234" s="58" t="inlineStr">
        <is>
          <t>FR-074</t>
        </is>
      </c>
      <c r="B234" s="58" t="inlineStr">
        <is>
          <t>Fragrance Catalogue</t>
        </is>
      </c>
      <c r="C234" s="58" t="n">
        <v>74</v>
      </c>
      <c r="D234" s="58" t="inlineStr">
        <is>
          <t>Bvlgari</t>
        </is>
      </c>
      <c r="E234" s="58" t="n"/>
      <c r="F234" s="58" t="inlineStr">
        <is>
          <t>Gift Set</t>
        </is>
      </c>
      <c r="G234" s="58" t="inlineStr">
        <is>
          <t>Eau de Parfum (EDP)</t>
        </is>
      </c>
      <c r="H234" s="58" t="inlineStr">
        <is>
          <t>Woody · Men's Fragrance</t>
        </is>
      </c>
      <c r="I234" s="58" t="inlineStr">
        <is>
          <t>Bvlgari Man Wood Essence Eau de Parfum Gift Set 100ml + 15ml – Soft Box Men's Fragrance Set</t>
        </is>
      </c>
      <c r="J234" s="58" t="inlineStr">
        <is>
          <t>100ml</t>
        </is>
      </c>
      <c r="K234" s="58" t="n">
        <v>64.98999999999999</v>
      </c>
      <c r="L234" s="58" t="inlineStr">
        <is>
          <t>bvlgari man wood essence gift set</t>
        </is>
      </c>
      <c r="M234" s="58" t="inlineStr">
        <is>
          <t>bvlgari man wood essence gift set uk</t>
        </is>
      </c>
      <c r="N234" s="58" t="inlineStr">
        <is>
          <t>buy bvlgari man wood essence gift set online</t>
        </is>
      </c>
      <c r="O234" s="58" t="inlineStr">
        <is>
          <t>bvlgari man wood essence gift set price</t>
        </is>
      </c>
      <c r="P234" s="58" t="n"/>
      <c r="Q234" s="59">
        <f>IF(L234="","",IFERROR(INDEX('Semrush Data'!$A$1:$Z$20000,MATCH(L234,'Semrush Data'!$A$1:$A$20000,0),MATCH("Volume",'Semrush Data'!$A$1:$Z$1,0)),""))</f>
        <v/>
      </c>
      <c r="R234" s="59">
        <f>IF(M234="","",IFERROR(INDEX('Semrush Data'!$A$1:$Z$20000,MATCH(M234,'Semrush Data'!$A$1:$A$20000,0),MATCH("Volume",'Semrush Data'!$A$1:$Z$1,0)),""))</f>
        <v/>
      </c>
      <c r="S234" s="59">
        <f>IF(N234="","",IFERROR(INDEX('Semrush Data'!$A$1:$Z$20000,MATCH(N234,'Semrush Data'!$A$1:$A$20000,0),MATCH("Volume",'Semrush Data'!$A$1:$Z$1,0)),""))</f>
        <v/>
      </c>
      <c r="T234" s="59">
        <f>IF(O234="","",IFERROR(INDEX('Semrush Data'!$A$1:$Z$20000,MATCH(O234,'Semrush Data'!$A$1:$A$20000,0),MATCH("Volume",'Semrush Data'!$A$1:$Z$1,0)),""))</f>
        <v/>
      </c>
      <c r="U234" s="59">
        <f>IF(P234="","",IFERROR(INDEX('Semrush Data'!$A$1:$Z$20000,MATCH(P234,'Semrush Data'!$A$1:$A$20000,0),MATCH("Volume",'Semrush Data'!$A$1:$Z$1,0)),""))</f>
        <v/>
      </c>
      <c r="V234" s="60">
        <f>IF(COUNT(Q234:U234)=0,L234,IF(MAX(Q234:U234)=0,L234,INDEX(L234:P234,MATCH(MAX(Q234:U234),Q234:U234,0))))</f>
        <v/>
      </c>
      <c r="W234" s="59">
        <f>IFERROR(INDEX('Semrush Data'!$A$1:$Z$20000,MATCH(V234,'Semrush Data'!$A$1:$A$20000,0),MATCH("Volume",'Semrush Data'!$A$1:$Z$1,0)),"")</f>
        <v/>
      </c>
      <c r="X234" s="59">
        <f>IFERROR(INDEX('Semrush Data'!$A$1:$Z$20000,MATCH(V234,'Semrush Data'!$A$1:$A$20000,0),MATCH("Keyword Difficulty*",'Semrush Data'!$A$1:$Z$1,0)),"")</f>
        <v/>
      </c>
      <c r="Y234" s="61">
        <f>IFERROR(INDEX('Semrush Data'!$A$1:$Z$20000,MATCH(V234,'Semrush Data'!$A$1:$A$20000,0),MATCH("CPC*",'Semrush Data'!$A$1:$Z$1,0)),"")</f>
        <v/>
      </c>
      <c r="Z234" s="58" t="inlineStr">
        <is>
          <t>bvlgari perfume · bvlgari perfume for men · woody perfume for men uk</t>
        </is>
      </c>
      <c r="AA234" s="58" t="inlineStr">
        <is>
          <t>bvlgari man wood essence gift set 100ml edp 15ml edp · bvlgari man wood essence set · bvlgari man wood essence eau de parfum gift set 100ml · bvlgari man wood essence eau de parfum gift set · bvlgari man wood essence edp set · bvlgari man wood essence kit</t>
        </is>
      </c>
      <c r="AB234" s="58" t="inlineStr">
        <is>
          <t>Bvlgari Man Wood Essence Eau de Parfum Gift Set</t>
        </is>
      </c>
      <c r="AC234" s="58" t="inlineStr">
        <is>
          <t>Bvlgari Man Wood Essence Gift Set EDP 100ml | Swansura UK</t>
        </is>
      </c>
      <c r="AD234" s="58">
        <f>LEN(AC234)</f>
        <v/>
      </c>
      <c r="AE234" s="58" t="inlineStr">
        <is>
          <t>Buy Bvlgari Man Wood Essence Eau de Parfum Gift Set online in the UK at Swansura. A woody men's eau de parfum, 100ml. 100% authentic, free UK delivery over £50.</t>
        </is>
      </c>
      <c r="AF234" s="58">
        <f>LEN(AE234)</f>
        <v/>
      </c>
    </row>
    <row r="235" ht="15" customHeight="1" s="37">
      <c r="A235" s="58" t="inlineStr">
        <is>
          <t>FR-075</t>
        </is>
      </c>
      <c r="B235" s="58" t="inlineStr">
        <is>
          <t>Fragrance Catalogue</t>
        </is>
      </c>
      <c r="C235" s="58" t="n">
        <v>75</v>
      </c>
      <c r="D235" s="58" t="inlineStr">
        <is>
          <t>Bvlgari</t>
        </is>
      </c>
      <c r="E235" s="58" t="n"/>
      <c r="F235" s="58" t="inlineStr">
        <is>
          <t>Gift Set</t>
        </is>
      </c>
      <c r="G235" s="58" t="inlineStr">
        <is>
          <t>Eau de Parfum (EDP)</t>
        </is>
      </c>
      <c r="H235" s="58" t="inlineStr">
        <is>
          <t>Floral · Women's Fragrance</t>
        </is>
      </c>
      <c r="I235" s="58" t="inlineStr">
        <is>
          <t>Bvlgari Rose Goldea Blossom Delight Eau de Parfum Gift Set 75ml + 15ml – New Pack Women's Fragrance Set</t>
        </is>
      </c>
      <c r="J235" s="58" t="inlineStr">
        <is>
          <t>75ml</t>
        </is>
      </c>
      <c r="K235" s="58" t="n">
        <v>79.98999999999999</v>
      </c>
      <c r="L235" s="58" t="inlineStr">
        <is>
          <t>bvlgari rose goldea blossom delight gift set</t>
        </is>
      </c>
      <c r="M235" s="58" t="inlineStr">
        <is>
          <t>bvlgari rose goldea blossom delight gift set uk</t>
        </is>
      </c>
      <c r="N235" s="58" t="inlineStr">
        <is>
          <t>buy bvlgari rose goldea blossom delight gift set online</t>
        </is>
      </c>
      <c r="O235" s="58" t="inlineStr">
        <is>
          <t>bvlgari rose goldea blossom delight gift set price</t>
        </is>
      </c>
      <c r="P235" s="58" t="n"/>
      <c r="Q235" s="59">
        <f>IF(L235="","",IFERROR(INDEX('Semrush Data'!$A$1:$Z$20000,MATCH(L235,'Semrush Data'!$A$1:$A$20000,0),MATCH("Volume",'Semrush Data'!$A$1:$Z$1,0)),""))</f>
        <v/>
      </c>
      <c r="R235" s="59">
        <f>IF(M235="","",IFERROR(INDEX('Semrush Data'!$A$1:$Z$20000,MATCH(M235,'Semrush Data'!$A$1:$A$20000,0),MATCH("Volume",'Semrush Data'!$A$1:$Z$1,0)),""))</f>
        <v/>
      </c>
      <c r="S235" s="59">
        <f>IF(N235="","",IFERROR(INDEX('Semrush Data'!$A$1:$Z$20000,MATCH(N235,'Semrush Data'!$A$1:$A$20000,0),MATCH("Volume",'Semrush Data'!$A$1:$Z$1,0)),""))</f>
        <v/>
      </c>
      <c r="T235" s="59">
        <f>IF(O235="","",IFERROR(INDEX('Semrush Data'!$A$1:$Z$20000,MATCH(O235,'Semrush Data'!$A$1:$A$20000,0),MATCH("Volume",'Semrush Data'!$A$1:$Z$1,0)),""))</f>
        <v/>
      </c>
      <c r="U235" s="59">
        <f>IF(P235="","",IFERROR(INDEX('Semrush Data'!$A$1:$Z$20000,MATCH(P235,'Semrush Data'!$A$1:$A$20000,0),MATCH("Volume",'Semrush Data'!$A$1:$Z$1,0)),""))</f>
        <v/>
      </c>
      <c r="V235" s="60">
        <f>IF(COUNT(Q235:U235)=0,L235,IF(MAX(Q235:U235)=0,L235,INDEX(L235:P235,MATCH(MAX(Q235:U235),Q235:U235,0))))</f>
        <v/>
      </c>
      <c r="W235" s="59">
        <f>IFERROR(INDEX('Semrush Data'!$A$1:$Z$20000,MATCH(V235,'Semrush Data'!$A$1:$A$20000,0),MATCH("Volume",'Semrush Data'!$A$1:$Z$1,0)),"")</f>
        <v/>
      </c>
      <c r="X235" s="59">
        <f>IFERROR(INDEX('Semrush Data'!$A$1:$Z$20000,MATCH(V235,'Semrush Data'!$A$1:$A$20000,0),MATCH("Keyword Difficulty*",'Semrush Data'!$A$1:$Z$1,0)),"")</f>
        <v/>
      </c>
      <c r="Y235" s="61">
        <f>IFERROR(INDEX('Semrush Data'!$A$1:$Z$20000,MATCH(V235,'Semrush Data'!$A$1:$A$20000,0),MATCH("CPC*",'Semrush Data'!$A$1:$Z$1,0)),"")</f>
        <v/>
      </c>
      <c r="Z235" s="58" t="inlineStr">
        <is>
          <t>bvlgari perfume · bvlgari perfume for women · floral perfume for women uk</t>
        </is>
      </c>
      <c r="AA235" s="58" t="inlineStr">
        <is>
          <t>bvlgari rose goldea blossom delight set · bvlgari rose goldea blossom delight eau de parfum gift set · bvlgari rose goldea blossom delight edp set · bvlgari - rose goldea blossom delight kit · bvlgari rose goldea blossom delight price · bvlgari rose goldea blossom delight 75ml price</t>
        </is>
      </c>
      <c r="AB235" s="58" t="inlineStr">
        <is>
          <t>Bvlgari Rose Goldea Blossom Delight Eau de Parfum Gift Set</t>
        </is>
      </c>
      <c r="AC235" s="58" t="inlineStr">
        <is>
          <t>Bvlgari Rose Goldea Blossom Delight Gift Set | Swansura UK</t>
        </is>
      </c>
      <c r="AD235" s="58">
        <f>LEN(AC235)</f>
        <v/>
      </c>
      <c r="AE235" s="58" t="inlineStr">
        <is>
          <t>Buy Bvlgari Rose Goldea Blossom Delight Eau de Parfum Gift Set at Swansura UK. A floral women's eau de parfum, 75ml. 100% authentic, free UK delivery over £50.</t>
        </is>
      </c>
      <c r="AF235" s="58">
        <f>LEN(AE235)</f>
        <v/>
      </c>
    </row>
    <row r="236" ht="15" customHeight="1" s="37">
      <c r="A236" s="58" t="inlineStr">
        <is>
          <t>FR-076</t>
        </is>
      </c>
      <c r="B236" s="58" t="inlineStr">
        <is>
          <t>Fragrance Catalogue</t>
        </is>
      </c>
      <c r="C236" s="58" t="n">
        <v>76</v>
      </c>
      <c r="D236" s="58" t="inlineStr">
        <is>
          <t>Calvin klein</t>
        </is>
      </c>
      <c r="E236" s="58" t="n"/>
      <c r="F236" s="58" t="inlineStr">
        <is>
          <t>Fragrance</t>
        </is>
      </c>
      <c r="G236" s="58" t="inlineStr">
        <is>
          <t>Eau de Parfum (EDP)</t>
        </is>
      </c>
      <c r="H236" s="58" t="inlineStr">
        <is>
          <t>Woody · Men's Fragrance</t>
        </is>
      </c>
      <c r="I236" s="58" t="inlineStr">
        <is>
          <t>Calvin Klein Defy Eau de Parfum 10ml Miniature – Men's Fresh Woody Fragrance</t>
        </is>
      </c>
      <c r="J236" s="58" t="inlineStr">
        <is>
          <t>10ml</t>
        </is>
      </c>
      <c r="K236" s="58" t="n">
        <v>18.99</v>
      </c>
      <c r="L236" s="58" t="inlineStr">
        <is>
          <t>calvin klein defy miniature</t>
        </is>
      </c>
      <c r="M236" s="58" t="inlineStr">
        <is>
          <t>calvin klein defy miniature uk</t>
        </is>
      </c>
      <c r="N236" s="58" t="inlineStr">
        <is>
          <t>buy calvin klein defy miniature online</t>
        </is>
      </c>
      <c r="O236" s="58" t="inlineStr">
        <is>
          <t>calvin klein defy miniature price</t>
        </is>
      </c>
      <c r="P236" s="58" t="inlineStr">
        <is>
          <t>calvin klein defy miniature eau de parfum</t>
        </is>
      </c>
      <c r="Q236" s="59">
        <f>IF(L236="","",IFERROR(INDEX('Semrush Data'!$A$1:$Z$20000,MATCH(L236,'Semrush Data'!$A$1:$A$20000,0),MATCH("Volume",'Semrush Data'!$A$1:$Z$1,0)),""))</f>
        <v/>
      </c>
      <c r="R236" s="59">
        <f>IF(M236="","",IFERROR(INDEX('Semrush Data'!$A$1:$Z$20000,MATCH(M236,'Semrush Data'!$A$1:$A$20000,0),MATCH("Volume",'Semrush Data'!$A$1:$Z$1,0)),""))</f>
        <v/>
      </c>
      <c r="S236" s="59">
        <f>IF(N236="","",IFERROR(INDEX('Semrush Data'!$A$1:$Z$20000,MATCH(N236,'Semrush Data'!$A$1:$A$20000,0),MATCH("Volume",'Semrush Data'!$A$1:$Z$1,0)),""))</f>
        <v/>
      </c>
      <c r="T236" s="59">
        <f>IF(O236="","",IFERROR(INDEX('Semrush Data'!$A$1:$Z$20000,MATCH(O236,'Semrush Data'!$A$1:$A$20000,0),MATCH("Volume",'Semrush Data'!$A$1:$Z$1,0)),""))</f>
        <v/>
      </c>
      <c r="U236" s="59">
        <f>IF(P236="","",IFERROR(INDEX('Semrush Data'!$A$1:$Z$20000,MATCH(P236,'Semrush Data'!$A$1:$A$20000,0),MATCH("Volume",'Semrush Data'!$A$1:$Z$1,0)),""))</f>
        <v/>
      </c>
      <c r="V236" s="60">
        <f>IF(COUNT(Q236:U236)=0,L236,IF(MAX(Q236:U236)=0,L236,INDEX(L236:P236,MATCH(MAX(Q236:U236),Q236:U236,0))))</f>
        <v/>
      </c>
      <c r="W236" s="59">
        <f>IFERROR(INDEX('Semrush Data'!$A$1:$Z$20000,MATCH(V236,'Semrush Data'!$A$1:$A$20000,0),MATCH("Volume",'Semrush Data'!$A$1:$Z$1,0)),"")</f>
        <v/>
      </c>
      <c r="X236" s="59">
        <f>IFERROR(INDEX('Semrush Data'!$A$1:$Z$20000,MATCH(V236,'Semrush Data'!$A$1:$A$20000,0),MATCH("Keyword Difficulty*",'Semrush Data'!$A$1:$Z$1,0)),"")</f>
        <v/>
      </c>
      <c r="Y236" s="61">
        <f>IFERROR(INDEX('Semrush Data'!$A$1:$Z$20000,MATCH(V236,'Semrush Data'!$A$1:$A$20000,0),MATCH("CPC*",'Semrush Data'!$A$1:$Z$1,0)),"")</f>
        <v/>
      </c>
      <c r="Z236" s="58" t="inlineStr">
        <is>
          <t>calvin klein perfume · calvin klein perfume for men · woody perfume for men uk</t>
        </is>
      </c>
      <c r="AA236" s="58" t="n"/>
      <c r="AB236" s="58" t="inlineStr">
        <is>
          <t>Calvin Klein Defy Eau de Parfum Miniature</t>
        </is>
      </c>
      <c r="AC236" s="58" t="inlineStr">
        <is>
          <t>Calvin Klein Defy Eau de Parfum Miniature | Swansura UK</t>
        </is>
      </c>
      <c r="AD236" s="58">
        <f>LEN(AC236)</f>
        <v/>
      </c>
      <c r="AE236" s="58" t="inlineStr">
        <is>
          <t>Buy Calvin Klein Defy Eau de Parfum Miniature online in the UK at Swansura. A woody men's eau de parfum, 10ml. 100% authentic, fast UK delivery, free over £50.</t>
        </is>
      </c>
      <c r="AF236" s="58">
        <f>LEN(AE236)</f>
        <v/>
      </c>
    </row>
    <row r="237" ht="15" customHeight="1" s="37">
      <c r="A237" s="58" t="inlineStr">
        <is>
          <t>FR-077</t>
        </is>
      </c>
      <c r="B237" s="58" t="inlineStr">
        <is>
          <t>Fragrance Catalogue</t>
        </is>
      </c>
      <c r="C237" s="58" t="n">
        <v>77</v>
      </c>
      <c r="D237" s="58" t="inlineStr">
        <is>
          <t>Calvin klein</t>
        </is>
      </c>
      <c r="E237" s="58" t="n"/>
      <c r="F237" s="58" t="inlineStr">
        <is>
          <t>Fragrance</t>
        </is>
      </c>
      <c r="G237" s="58" t="inlineStr">
        <is>
          <t>Eau de Parfum (EDP)</t>
        </is>
      </c>
      <c r="H237" s="58" t="inlineStr">
        <is>
          <t>Floral · Women's Fragrance</t>
        </is>
      </c>
      <c r="I237" s="58" t="inlineStr">
        <is>
          <t>Calvin Klein Eternity Eau de Parfum – Women's Classic Floral Fragrance</t>
        </is>
      </c>
      <c r="J237" s="58" t="inlineStr">
        <is>
          <t>30ml</t>
        </is>
      </c>
      <c r="K237" s="58" t="n">
        <v>28.99</v>
      </c>
      <c r="L237" s="58" t="inlineStr">
        <is>
          <t>calvin klein eternity</t>
        </is>
      </c>
      <c r="M237" s="58" t="inlineStr">
        <is>
          <t>calvin klein eternity uk</t>
        </is>
      </c>
      <c r="N237" s="58" t="inlineStr">
        <is>
          <t>buy calvin klein eternity online</t>
        </is>
      </c>
      <c r="O237" s="58" t="inlineStr">
        <is>
          <t>calvin klein eternity price</t>
        </is>
      </c>
      <c r="P237" s="58" t="inlineStr">
        <is>
          <t>calvin klein eternity eau de parfum</t>
        </is>
      </c>
      <c r="Q237" s="59">
        <f>IF(L237="","",IFERROR(INDEX('Semrush Data'!$A$1:$Z$20000,MATCH(L237,'Semrush Data'!$A$1:$A$20000,0),MATCH("Volume",'Semrush Data'!$A$1:$Z$1,0)),""))</f>
        <v/>
      </c>
      <c r="R237" s="59">
        <f>IF(M237="","",IFERROR(INDEX('Semrush Data'!$A$1:$Z$20000,MATCH(M237,'Semrush Data'!$A$1:$A$20000,0),MATCH("Volume",'Semrush Data'!$A$1:$Z$1,0)),""))</f>
        <v/>
      </c>
      <c r="S237" s="59">
        <f>IF(N237="","",IFERROR(INDEX('Semrush Data'!$A$1:$Z$20000,MATCH(N237,'Semrush Data'!$A$1:$A$20000,0),MATCH("Volume",'Semrush Data'!$A$1:$Z$1,0)),""))</f>
        <v/>
      </c>
      <c r="T237" s="59">
        <f>IF(O237="","",IFERROR(INDEX('Semrush Data'!$A$1:$Z$20000,MATCH(O237,'Semrush Data'!$A$1:$A$20000,0),MATCH("Volume",'Semrush Data'!$A$1:$Z$1,0)),""))</f>
        <v/>
      </c>
      <c r="U237" s="59">
        <f>IF(P237="","",IFERROR(INDEX('Semrush Data'!$A$1:$Z$20000,MATCH(P237,'Semrush Data'!$A$1:$A$20000,0),MATCH("Volume",'Semrush Data'!$A$1:$Z$1,0)),""))</f>
        <v/>
      </c>
      <c r="V237" s="60">
        <f>IF(COUNT(Q237:U237)=0,L237,IF(MAX(Q237:U237)=0,L237,INDEX(L237:P237,MATCH(MAX(Q237:U237),Q237:U237,0))))</f>
        <v/>
      </c>
      <c r="W237" s="59">
        <f>IFERROR(INDEX('Semrush Data'!$A$1:$Z$20000,MATCH(V237,'Semrush Data'!$A$1:$A$20000,0),MATCH("Volume",'Semrush Data'!$A$1:$Z$1,0)),"")</f>
        <v/>
      </c>
      <c r="X237" s="59">
        <f>IFERROR(INDEX('Semrush Data'!$A$1:$Z$20000,MATCH(V237,'Semrush Data'!$A$1:$A$20000,0),MATCH("Keyword Difficulty*",'Semrush Data'!$A$1:$Z$1,0)),"")</f>
        <v/>
      </c>
      <c r="Y237" s="61">
        <f>IFERROR(INDEX('Semrush Data'!$A$1:$Z$20000,MATCH(V237,'Semrush Data'!$A$1:$A$20000,0),MATCH("CPC*",'Semrush Data'!$A$1:$Z$1,0)),"")</f>
        <v/>
      </c>
      <c r="Z237" s="58" t="inlineStr">
        <is>
          <t>calvin klein perfume · calvin klein perfume for women · floral perfume for women uk</t>
        </is>
      </c>
      <c r="AA237" s="58" t="inlineStr">
        <is>
          <t>calvin klein eternity for men · calvin klein eternity for women · calvin klein eternity perfume · calvin klein eternity eau de parfum</t>
        </is>
      </c>
      <c r="AB237" s="58" t="inlineStr">
        <is>
          <t>Calvin Klein Eternity Eau de Parfum</t>
        </is>
      </c>
      <c r="AC237" s="58" t="inlineStr">
        <is>
          <t>Calvin Klein Eternity EDP 30ml | Buy Online UK | Swansura</t>
        </is>
      </c>
      <c r="AD237" s="58">
        <f>LEN(AC237)</f>
        <v/>
      </c>
      <c r="AE237" s="58" t="inlineStr">
        <is>
          <t>Buy Calvin Klein Eternity Eau de Parfum online in the UK at Swansura. A floral women's eau de parfum, 30ml. 100% authentic, fast UK delivery, free over £50.</t>
        </is>
      </c>
      <c r="AF237" s="58">
        <f>LEN(AE237)</f>
        <v/>
      </c>
    </row>
    <row r="238" ht="15" customHeight="1" s="37">
      <c r="A238" s="58" t="inlineStr">
        <is>
          <t>FR-078</t>
        </is>
      </c>
      <c r="B238" s="58" t="inlineStr">
        <is>
          <t>Fragrance Catalogue</t>
        </is>
      </c>
      <c r="C238" s="58" t="n">
        <v>78</v>
      </c>
      <c r="D238" s="58" t="inlineStr">
        <is>
          <t>Calvin klein</t>
        </is>
      </c>
      <c r="E238" s="58" t="n"/>
      <c r="F238" s="58" t="inlineStr">
        <is>
          <t>Fragrance</t>
        </is>
      </c>
      <c r="G238" s="58" t="inlineStr">
        <is>
          <t>Eau de Parfum (EDP)</t>
        </is>
      </c>
      <c r="H238" s="58" t="inlineStr">
        <is>
          <t>Floral · Women's Fragrance</t>
        </is>
      </c>
      <c r="I238" s="58" t="inlineStr">
        <is>
          <t>Calvin Klein My Euphoria Eau de Parfum 10ml Miniature – Women's Floral Gourmand Fragrance</t>
        </is>
      </c>
      <c r="J238" s="58" t="inlineStr">
        <is>
          <t>10ml</t>
        </is>
      </c>
      <c r="K238" s="58" t="n">
        <v>18.99</v>
      </c>
      <c r="L238" s="58" t="inlineStr">
        <is>
          <t>calvin klein my euphoria miniature</t>
        </is>
      </c>
      <c r="M238" s="58" t="inlineStr">
        <is>
          <t>calvin klein my euphoria miniature uk</t>
        </is>
      </c>
      <c r="N238" s="58" t="inlineStr">
        <is>
          <t>buy calvin klein my euphoria miniature online</t>
        </is>
      </c>
      <c r="O238" s="58" t="inlineStr">
        <is>
          <t>calvin klein my euphoria miniature price</t>
        </is>
      </c>
      <c r="P238" s="58" t="inlineStr">
        <is>
          <t>calvin klein my euphoria miniature eau de parfum</t>
        </is>
      </c>
      <c r="Q238" s="59">
        <f>IF(L238="","",IFERROR(INDEX('Semrush Data'!$A$1:$Z$20000,MATCH(L238,'Semrush Data'!$A$1:$A$20000,0),MATCH("Volume",'Semrush Data'!$A$1:$Z$1,0)),""))</f>
        <v/>
      </c>
      <c r="R238" s="59">
        <f>IF(M238="","",IFERROR(INDEX('Semrush Data'!$A$1:$Z$20000,MATCH(M238,'Semrush Data'!$A$1:$A$20000,0),MATCH("Volume",'Semrush Data'!$A$1:$Z$1,0)),""))</f>
        <v/>
      </c>
      <c r="S238" s="59">
        <f>IF(N238="","",IFERROR(INDEX('Semrush Data'!$A$1:$Z$20000,MATCH(N238,'Semrush Data'!$A$1:$A$20000,0),MATCH("Volume",'Semrush Data'!$A$1:$Z$1,0)),""))</f>
        <v/>
      </c>
      <c r="T238" s="59">
        <f>IF(O238="","",IFERROR(INDEX('Semrush Data'!$A$1:$Z$20000,MATCH(O238,'Semrush Data'!$A$1:$A$20000,0),MATCH("Volume",'Semrush Data'!$A$1:$Z$1,0)),""))</f>
        <v/>
      </c>
      <c r="U238" s="59">
        <f>IF(P238="","",IFERROR(INDEX('Semrush Data'!$A$1:$Z$20000,MATCH(P238,'Semrush Data'!$A$1:$A$20000,0),MATCH("Volume",'Semrush Data'!$A$1:$Z$1,0)),""))</f>
        <v/>
      </c>
      <c r="V238" s="60">
        <f>IF(COUNT(Q238:U238)=0,L238,IF(MAX(Q238:U238)=0,L238,INDEX(L238:P238,MATCH(MAX(Q238:U238),Q238:U238,0))))</f>
        <v/>
      </c>
      <c r="W238" s="59">
        <f>IFERROR(INDEX('Semrush Data'!$A$1:$Z$20000,MATCH(V238,'Semrush Data'!$A$1:$A$20000,0),MATCH("Volume",'Semrush Data'!$A$1:$Z$1,0)),"")</f>
        <v/>
      </c>
      <c r="X238" s="59">
        <f>IFERROR(INDEX('Semrush Data'!$A$1:$Z$20000,MATCH(V238,'Semrush Data'!$A$1:$A$20000,0),MATCH("Keyword Difficulty*",'Semrush Data'!$A$1:$Z$1,0)),"")</f>
        <v/>
      </c>
      <c r="Y238" s="61">
        <f>IFERROR(INDEX('Semrush Data'!$A$1:$Z$20000,MATCH(V238,'Semrush Data'!$A$1:$A$20000,0),MATCH("CPC*",'Semrush Data'!$A$1:$Z$1,0)),"")</f>
        <v/>
      </c>
      <c r="Z238" s="58" t="inlineStr">
        <is>
          <t>calvin klein perfume · calvin klein perfume for women · floral perfume for women uk</t>
        </is>
      </c>
      <c r="AA238" s="58" t="n"/>
      <c r="AB238" s="58" t="inlineStr">
        <is>
          <t>Calvin Klein My Euphoria Eau de Parfum Miniature</t>
        </is>
      </c>
      <c r="AC238" s="58" t="inlineStr">
        <is>
          <t>Calvin Klein My Euphoria Miniature EDP 10ml | Swansura UK</t>
        </is>
      </c>
      <c r="AD238" s="58">
        <f>LEN(AC238)</f>
        <v/>
      </c>
      <c r="AE238" s="58" t="inlineStr">
        <is>
          <t>Buy Calvin Klein My Euphoria Eau de Parfum Miniature online in the UK at Swansura. A floral women's eau de parfum. 100% authentic, free UK delivery over £50.</t>
        </is>
      </c>
      <c r="AF238" s="58">
        <f>LEN(AE238)</f>
        <v/>
      </c>
    </row>
    <row r="239" ht="15" customHeight="1" s="37">
      <c r="A239" s="58" t="inlineStr">
        <is>
          <t>FR-079</t>
        </is>
      </c>
      <c r="B239" s="58" t="inlineStr">
        <is>
          <t>Fragrance Catalogue</t>
        </is>
      </c>
      <c r="C239" s="58" t="n">
        <v>79</v>
      </c>
      <c r="D239" s="58" t="inlineStr">
        <is>
          <t>Calvin klein</t>
        </is>
      </c>
      <c r="E239" s="58" t="n"/>
      <c r="F239" s="58" t="inlineStr">
        <is>
          <t>Fragrance</t>
        </is>
      </c>
      <c r="G239" s="58" t="inlineStr">
        <is>
          <t>Eau de Toilette (EDT)</t>
        </is>
      </c>
      <c r="H239" s="58" t="inlineStr">
        <is>
          <t>Fresh · Men's Fragrance</t>
        </is>
      </c>
      <c r="I239" s="58" t="inlineStr">
        <is>
          <t>Calvin Klein Eternity for Men Eau de Toilette 100ml – Men's Fresh Aromatic Fragrance</t>
        </is>
      </c>
      <c r="J239" s="58" t="inlineStr">
        <is>
          <t>100ml</t>
        </is>
      </c>
      <c r="K239" s="58" t="n">
        <v>38.99</v>
      </c>
      <c r="L239" s="58" t="inlineStr">
        <is>
          <t>calvin klein eternity</t>
        </is>
      </c>
      <c r="M239" s="58" t="inlineStr">
        <is>
          <t>calvin klein eternity uk</t>
        </is>
      </c>
      <c r="N239" s="58" t="inlineStr">
        <is>
          <t>buy calvin klein eternity online</t>
        </is>
      </c>
      <c r="O239" s="58" t="inlineStr">
        <is>
          <t>calvin klein eternity price</t>
        </is>
      </c>
      <c r="P239" s="58" t="inlineStr">
        <is>
          <t>calvin klein eternity eau de toilette</t>
        </is>
      </c>
      <c r="Q239" s="59">
        <f>IF(L239="","",IFERROR(INDEX('Semrush Data'!$A$1:$Z$20000,MATCH(L239,'Semrush Data'!$A$1:$A$20000,0),MATCH("Volume",'Semrush Data'!$A$1:$Z$1,0)),""))</f>
        <v/>
      </c>
      <c r="R239" s="59">
        <f>IF(M239="","",IFERROR(INDEX('Semrush Data'!$A$1:$Z$20000,MATCH(M239,'Semrush Data'!$A$1:$A$20000,0),MATCH("Volume",'Semrush Data'!$A$1:$Z$1,0)),""))</f>
        <v/>
      </c>
      <c r="S239" s="59">
        <f>IF(N239="","",IFERROR(INDEX('Semrush Data'!$A$1:$Z$20000,MATCH(N239,'Semrush Data'!$A$1:$A$20000,0),MATCH("Volume",'Semrush Data'!$A$1:$Z$1,0)),""))</f>
        <v/>
      </c>
      <c r="T239" s="59">
        <f>IF(O239="","",IFERROR(INDEX('Semrush Data'!$A$1:$Z$20000,MATCH(O239,'Semrush Data'!$A$1:$A$20000,0),MATCH("Volume",'Semrush Data'!$A$1:$Z$1,0)),""))</f>
        <v/>
      </c>
      <c r="U239" s="59">
        <f>IF(P239="","",IFERROR(INDEX('Semrush Data'!$A$1:$Z$20000,MATCH(P239,'Semrush Data'!$A$1:$A$20000,0),MATCH("Volume",'Semrush Data'!$A$1:$Z$1,0)),""))</f>
        <v/>
      </c>
      <c r="V239" s="60">
        <f>IF(COUNT(Q239:U239)=0,L239,IF(MAX(Q239:U239)=0,L239,INDEX(L239:P239,MATCH(MAX(Q239:U239),Q239:U239,0))))</f>
        <v/>
      </c>
      <c r="W239" s="59">
        <f>IFERROR(INDEX('Semrush Data'!$A$1:$Z$20000,MATCH(V239,'Semrush Data'!$A$1:$A$20000,0),MATCH("Volume",'Semrush Data'!$A$1:$Z$1,0)),"")</f>
        <v/>
      </c>
      <c r="X239" s="59">
        <f>IFERROR(INDEX('Semrush Data'!$A$1:$Z$20000,MATCH(V239,'Semrush Data'!$A$1:$A$20000,0),MATCH("Keyword Difficulty*",'Semrush Data'!$A$1:$Z$1,0)),"")</f>
        <v/>
      </c>
      <c r="Y239" s="61">
        <f>IFERROR(INDEX('Semrush Data'!$A$1:$Z$20000,MATCH(V239,'Semrush Data'!$A$1:$A$20000,0),MATCH("CPC*",'Semrush Data'!$A$1:$Z$1,0)),"")</f>
        <v/>
      </c>
      <c r="Z239" s="58" t="inlineStr">
        <is>
          <t>calvin klein perfume · calvin klein perfume for men · fresh perfume for men uk</t>
        </is>
      </c>
      <c r="AA239" s="58" t="inlineStr">
        <is>
          <t>calvin klein eternity for men · calvin klein eternity for women · calvin klein eternity perfume · calvin klein eternity eau de parfum</t>
        </is>
      </c>
      <c r="AB239" s="58" t="inlineStr">
        <is>
          <t>Calvin Klein Eternity for Men Eau de Toilette</t>
        </is>
      </c>
      <c r="AC239" s="58" t="inlineStr">
        <is>
          <t>Calvin Klein Eternity for Men Eau de Toilette | Swansura UK</t>
        </is>
      </c>
      <c r="AD239" s="58">
        <f>LEN(AC239)</f>
        <v/>
      </c>
      <c r="AE239" s="58" t="inlineStr">
        <is>
          <t>Buy Calvin Klein Eternity for Men Eau de Toilette online in the UK at Swansura. A fresh men's eau de toilette, 100ml. 100% authentic, free UK delivery over £50.</t>
        </is>
      </c>
      <c r="AF239" s="58">
        <f>LEN(AE239)</f>
        <v/>
      </c>
    </row>
    <row r="240" ht="15" customHeight="1" s="37">
      <c r="A240" s="58" t="inlineStr">
        <is>
          <t>FR-080</t>
        </is>
      </c>
      <c r="B240" s="58" t="inlineStr">
        <is>
          <t>Fragrance Catalogue</t>
        </is>
      </c>
      <c r="C240" s="58" t="n">
        <v>80</v>
      </c>
      <c r="D240" s="58" t="inlineStr">
        <is>
          <t>Calvin klein</t>
        </is>
      </c>
      <c r="E240" s="58" t="n"/>
      <c r="F240" s="58" t="inlineStr">
        <is>
          <t>Gift Set</t>
        </is>
      </c>
      <c r="G240" s="58" t="inlineStr">
        <is>
          <t>Fragrance Gift Set</t>
        </is>
      </c>
      <c r="H240" s="58" t="inlineStr">
        <is>
          <t>Woody · Women's Fragrance</t>
        </is>
      </c>
      <c r="I240" s="58" t="inlineStr">
        <is>
          <t>Calvin Klein Women's Miniature Fragrance Set 4x15ml – Obsession, Eternity &amp; CK One</t>
        </is>
      </c>
      <c r="J240" s="58" t="inlineStr">
        <is>
          <t>4x15ml</t>
        </is>
      </c>
      <c r="K240" s="58" t="n">
        <v>33.99</v>
      </c>
      <c r="L240" s="58" t="inlineStr">
        <is>
          <t>calvin klein miniature set</t>
        </is>
      </c>
      <c r="M240" s="58" t="inlineStr">
        <is>
          <t>calvin klein miniature set uk</t>
        </is>
      </c>
      <c r="N240" s="58" t="inlineStr">
        <is>
          <t>buy calvin klein miniature set online</t>
        </is>
      </c>
      <c r="O240" s="58" t="inlineStr">
        <is>
          <t>calvin klein miniature set price</t>
        </is>
      </c>
      <c r="P240" s="58" t="n"/>
      <c r="Q240" s="59">
        <f>IF(L240="","",IFERROR(INDEX('Semrush Data'!$A$1:$Z$20000,MATCH(L240,'Semrush Data'!$A$1:$A$20000,0),MATCH("Volume",'Semrush Data'!$A$1:$Z$1,0)),""))</f>
        <v/>
      </c>
      <c r="R240" s="59">
        <f>IF(M240="","",IFERROR(INDEX('Semrush Data'!$A$1:$Z$20000,MATCH(M240,'Semrush Data'!$A$1:$A$20000,0),MATCH("Volume",'Semrush Data'!$A$1:$Z$1,0)),""))</f>
        <v/>
      </c>
      <c r="S240" s="59">
        <f>IF(N240="","",IFERROR(INDEX('Semrush Data'!$A$1:$Z$20000,MATCH(N240,'Semrush Data'!$A$1:$A$20000,0),MATCH("Volume",'Semrush Data'!$A$1:$Z$1,0)),""))</f>
        <v/>
      </c>
      <c r="T240" s="59">
        <f>IF(O240="","",IFERROR(INDEX('Semrush Data'!$A$1:$Z$20000,MATCH(O240,'Semrush Data'!$A$1:$A$20000,0),MATCH("Volume",'Semrush Data'!$A$1:$Z$1,0)),""))</f>
        <v/>
      </c>
      <c r="U240" s="59">
        <f>IF(P240="","",IFERROR(INDEX('Semrush Data'!$A$1:$Z$20000,MATCH(P240,'Semrush Data'!$A$1:$A$20000,0),MATCH("Volume",'Semrush Data'!$A$1:$Z$1,0)),""))</f>
        <v/>
      </c>
      <c r="V240" s="60">
        <f>IF(COUNT(Q240:U240)=0,L240,IF(MAX(Q240:U240)=0,L240,INDEX(L240:P240,MATCH(MAX(Q240:U240),Q240:U240,0))))</f>
        <v/>
      </c>
      <c r="W240" s="59">
        <f>IFERROR(INDEX('Semrush Data'!$A$1:$Z$20000,MATCH(V240,'Semrush Data'!$A$1:$A$20000,0),MATCH("Volume",'Semrush Data'!$A$1:$Z$1,0)),"")</f>
        <v/>
      </c>
      <c r="X240" s="59">
        <f>IFERROR(INDEX('Semrush Data'!$A$1:$Z$20000,MATCH(V240,'Semrush Data'!$A$1:$A$20000,0),MATCH("Keyword Difficulty*",'Semrush Data'!$A$1:$Z$1,0)),"")</f>
        <v/>
      </c>
      <c r="Y240" s="61">
        <f>IFERROR(INDEX('Semrush Data'!$A$1:$Z$20000,MATCH(V240,'Semrush Data'!$A$1:$A$20000,0),MATCH("CPC*",'Semrush Data'!$A$1:$Z$1,0)),"")</f>
        <v/>
      </c>
      <c r="Z240" s="58" t="inlineStr">
        <is>
          <t>calvin klein perfume · calvin klein perfume for women · woody perfume for women uk</t>
        </is>
      </c>
      <c r="AA240" s="58" t="inlineStr">
        <is>
          <t>calvin klein miniature set for men · calvin klein mini set · calvin klein mini set women · calvin klein mini set perfume · calvin klein miniature perfume set</t>
        </is>
      </c>
      <c r="AB240" s="58" t="inlineStr">
        <is>
          <t>Calvin Klein Women's Miniature Fragrance Set 4x15ml</t>
        </is>
      </c>
      <c r="AC240" s="58" t="inlineStr">
        <is>
          <t>Calvin Klein Women's Miniature Fragrance Set | Swansura UK</t>
        </is>
      </c>
      <c r="AD240" s="58">
        <f>LEN(AC240)</f>
        <v/>
      </c>
      <c r="AE240" s="58" t="inlineStr">
        <is>
          <t>Buy Calvin Klein Women's Miniature Fragrance Set 4x15ml online in the UK at Swansura. A woody women's fragrance. 100% authentic, free UK delivery over £50.</t>
        </is>
      </c>
      <c r="AF240" s="58">
        <f>LEN(AE240)</f>
        <v/>
      </c>
    </row>
    <row r="241" ht="15" customHeight="1" s="37">
      <c r="A241" s="58" t="inlineStr">
        <is>
          <t>FR-081</t>
        </is>
      </c>
      <c r="B241" s="58" t="inlineStr">
        <is>
          <t>Fragrance Catalogue</t>
        </is>
      </c>
      <c r="C241" s="58" t="n">
        <v>81</v>
      </c>
      <c r="D241" s="58" t="inlineStr">
        <is>
          <t>Calvin klein</t>
        </is>
      </c>
      <c r="E241" s="58" t="n"/>
      <c r="F241" s="58" t="inlineStr">
        <is>
          <t>Fragrance</t>
        </is>
      </c>
      <c r="G241" s="58" t="inlineStr">
        <is>
          <t>Parfum</t>
        </is>
      </c>
      <c r="H241" s="58" t="inlineStr">
        <is>
          <t>Woody · Men's Fragrance</t>
        </is>
      </c>
      <c r="I241" s="58" t="inlineStr">
        <is>
          <t>Calvin Klein Defy Parfum 10ml Miniature – Men's Warm Woody Fragrance</t>
        </is>
      </c>
      <c r="J241" s="58" t="inlineStr">
        <is>
          <t>10ml</t>
        </is>
      </c>
      <c r="K241" s="58" t="n">
        <v>18.99</v>
      </c>
      <c r="L241" s="58" t="inlineStr">
        <is>
          <t>calvin klein defy parfum miniature</t>
        </is>
      </c>
      <c r="M241" s="58" t="inlineStr">
        <is>
          <t>calvin klein defy parfum miniature uk</t>
        </is>
      </c>
      <c r="N241" s="58" t="inlineStr">
        <is>
          <t>buy calvin klein defy parfum miniature online</t>
        </is>
      </c>
      <c r="O241" s="58" t="inlineStr">
        <is>
          <t>calvin klein defy parfum miniature price</t>
        </is>
      </c>
      <c r="P241" s="58" t="inlineStr">
        <is>
          <t>calvin klein defy parfum miniature parfum</t>
        </is>
      </c>
      <c r="Q241" s="59">
        <f>IF(L241="","",IFERROR(INDEX('Semrush Data'!$A$1:$Z$20000,MATCH(L241,'Semrush Data'!$A$1:$A$20000,0),MATCH("Volume",'Semrush Data'!$A$1:$Z$1,0)),""))</f>
        <v/>
      </c>
      <c r="R241" s="59">
        <f>IF(M241="","",IFERROR(INDEX('Semrush Data'!$A$1:$Z$20000,MATCH(M241,'Semrush Data'!$A$1:$A$20000,0),MATCH("Volume",'Semrush Data'!$A$1:$Z$1,0)),""))</f>
        <v/>
      </c>
      <c r="S241" s="59">
        <f>IF(N241="","",IFERROR(INDEX('Semrush Data'!$A$1:$Z$20000,MATCH(N241,'Semrush Data'!$A$1:$A$20000,0),MATCH("Volume",'Semrush Data'!$A$1:$Z$1,0)),""))</f>
        <v/>
      </c>
      <c r="T241" s="59">
        <f>IF(O241="","",IFERROR(INDEX('Semrush Data'!$A$1:$Z$20000,MATCH(O241,'Semrush Data'!$A$1:$A$20000,0),MATCH("Volume",'Semrush Data'!$A$1:$Z$1,0)),""))</f>
        <v/>
      </c>
      <c r="U241" s="59">
        <f>IF(P241="","",IFERROR(INDEX('Semrush Data'!$A$1:$Z$20000,MATCH(P241,'Semrush Data'!$A$1:$A$20000,0),MATCH("Volume",'Semrush Data'!$A$1:$Z$1,0)),""))</f>
        <v/>
      </c>
      <c r="V241" s="60">
        <f>IF(COUNT(Q241:U241)=0,L241,IF(MAX(Q241:U241)=0,L241,INDEX(L241:P241,MATCH(MAX(Q241:U241),Q241:U241,0))))</f>
        <v/>
      </c>
      <c r="W241" s="59">
        <f>IFERROR(INDEX('Semrush Data'!$A$1:$Z$20000,MATCH(V241,'Semrush Data'!$A$1:$A$20000,0),MATCH("Volume",'Semrush Data'!$A$1:$Z$1,0)),"")</f>
        <v/>
      </c>
      <c r="X241" s="59">
        <f>IFERROR(INDEX('Semrush Data'!$A$1:$Z$20000,MATCH(V241,'Semrush Data'!$A$1:$A$20000,0),MATCH("Keyword Difficulty*",'Semrush Data'!$A$1:$Z$1,0)),"")</f>
        <v/>
      </c>
      <c r="Y241" s="61">
        <f>IFERROR(INDEX('Semrush Data'!$A$1:$Z$20000,MATCH(V241,'Semrush Data'!$A$1:$A$20000,0),MATCH("CPC*",'Semrush Data'!$A$1:$Z$1,0)),"")</f>
        <v/>
      </c>
      <c r="Z241" s="58" t="inlineStr">
        <is>
          <t>calvin klein perfume · calvin klein perfume for men · woody perfume for men uk</t>
        </is>
      </c>
      <c r="AA241" s="58" t="n"/>
      <c r="AB241" s="58" t="inlineStr">
        <is>
          <t>Calvin Klein Defy Parfum Miniature</t>
        </is>
      </c>
      <c r="AC241" s="58" t="inlineStr">
        <is>
          <t>Calvin Klein Defy Miniature Parfum 10ml | Swansura UK</t>
        </is>
      </c>
      <c r="AD241" s="58">
        <f>LEN(AC241)</f>
        <v/>
      </c>
      <c r="AE241" s="58" t="inlineStr">
        <is>
          <t>Buy Calvin Klein Defy Parfum Miniature online in the UK at Swansura. A woody men's parfum, 10ml. 100% authentic, fast UK delivery, free over £50.</t>
        </is>
      </c>
      <c r="AF241" s="58">
        <f>LEN(AE241)</f>
        <v/>
      </c>
    </row>
    <row r="242" ht="15" customHeight="1" s="37">
      <c r="A242" s="58" t="inlineStr">
        <is>
          <t>FR-082</t>
        </is>
      </c>
      <c r="B242" s="58" t="inlineStr">
        <is>
          <t>Fragrance Catalogue</t>
        </is>
      </c>
      <c r="C242" s="58" t="n">
        <v>82</v>
      </c>
      <c r="D242" s="58" t="inlineStr">
        <is>
          <t>Calvin klein</t>
        </is>
      </c>
      <c r="E242" s="58" t="n"/>
      <c r="F242" s="58" t="inlineStr">
        <is>
          <t>Fragrance</t>
        </is>
      </c>
      <c r="G242" s="58" t="inlineStr">
        <is>
          <t>Parfum</t>
        </is>
      </c>
      <c r="H242" s="58" t="inlineStr">
        <is>
          <t>Woody · Men's Fragrance</t>
        </is>
      </c>
      <c r="I242" s="58" t="inlineStr">
        <is>
          <t>Calvin Klein Defy Parfum – Men's Warm Woody Fragrance</t>
        </is>
      </c>
      <c r="J242" s="58" t="inlineStr">
        <is>
          <t>200ml</t>
        </is>
      </c>
      <c r="K242" s="58" t="n">
        <v>22.99</v>
      </c>
      <c r="L242" s="58" t="inlineStr">
        <is>
          <t>calvin klein defy</t>
        </is>
      </c>
      <c r="M242" s="58" t="inlineStr">
        <is>
          <t>calvin klein defy uk</t>
        </is>
      </c>
      <c r="N242" s="58" t="inlineStr">
        <is>
          <t>buy calvin klein defy online</t>
        </is>
      </c>
      <c r="O242" s="58" t="inlineStr">
        <is>
          <t>calvin klein defy price</t>
        </is>
      </c>
      <c r="P242" s="58" t="inlineStr">
        <is>
          <t>calvin klein defy parfum</t>
        </is>
      </c>
      <c r="Q242" s="59">
        <f>IF(L242="","",IFERROR(INDEX('Semrush Data'!$A$1:$Z$20000,MATCH(L242,'Semrush Data'!$A$1:$A$20000,0),MATCH("Volume",'Semrush Data'!$A$1:$Z$1,0)),""))</f>
        <v/>
      </c>
      <c r="R242" s="59">
        <f>IF(M242="","",IFERROR(INDEX('Semrush Data'!$A$1:$Z$20000,MATCH(M242,'Semrush Data'!$A$1:$A$20000,0),MATCH("Volume",'Semrush Data'!$A$1:$Z$1,0)),""))</f>
        <v/>
      </c>
      <c r="S242" s="59">
        <f>IF(N242="","",IFERROR(INDEX('Semrush Data'!$A$1:$Z$20000,MATCH(N242,'Semrush Data'!$A$1:$A$20000,0),MATCH("Volume",'Semrush Data'!$A$1:$Z$1,0)),""))</f>
        <v/>
      </c>
      <c r="T242" s="59">
        <f>IF(O242="","",IFERROR(INDEX('Semrush Data'!$A$1:$Z$20000,MATCH(O242,'Semrush Data'!$A$1:$A$20000,0),MATCH("Volume",'Semrush Data'!$A$1:$Z$1,0)),""))</f>
        <v/>
      </c>
      <c r="U242" s="59">
        <f>IF(P242="","",IFERROR(INDEX('Semrush Data'!$A$1:$Z$20000,MATCH(P242,'Semrush Data'!$A$1:$A$20000,0),MATCH("Volume",'Semrush Data'!$A$1:$Z$1,0)),""))</f>
        <v/>
      </c>
      <c r="V242" s="60">
        <f>IF(COUNT(Q242:U242)=0,L242,IF(MAX(Q242:U242)=0,L242,INDEX(L242:P242,MATCH(MAX(Q242:U242),Q242:U242,0))))</f>
        <v/>
      </c>
      <c r="W242" s="59">
        <f>IFERROR(INDEX('Semrush Data'!$A$1:$Z$20000,MATCH(V242,'Semrush Data'!$A$1:$A$20000,0),MATCH("Volume",'Semrush Data'!$A$1:$Z$1,0)),"")</f>
        <v/>
      </c>
      <c r="X242" s="59">
        <f>IFERROR(INDEX('Semrush Data'!$A$1:$Z$20000,MATCH(V242,'Semrush Data'!$A$1:$A$20000,0),MATCH("Keyword Difficulty*",'Semrush Data'!$A$1:$Z$1,0)),"")</f>
        <v/>
      </c>
      <c r="Y242" s="61">
        <f>IFERROR(INDEX('Semrush Data'!$A$1:$Z$20000,MATCH(V242,'Semrush Data'!$A$1:$A$20000,0),MATCH("CPC*",'Semrush Data'!$A$1:$Z$1,0)),"")</f>
        <v/>
      </c>
      <c r="Z242" s="58" t="inlineStr">
        <is>
          <t>calvin klein perfume · calvin klein perfume for men · woody perfume for men uk</t>
        </is>
      </c>
      <c r="AA242" s="58" t="inlineStr">
        <is>
          <t>calvin klein defy parfum · calvin klein defy perfume · calvin klein defy eau de parfum · calvin klein defy perfume price · calvin klein defy edp · calvin klein defy review</t>
        </is>
      </c>
      <c r="AB242" s="58" t="inlineStr">
        <is>
          <t>Calvin Klein Defy Parfum</t>
        </is>
      </c>
      <c r="AC242" s="58" t="inlineStr">
        <is>
          <t>Calvin Klein Defy Parfum | Buy Online UK | Swansura</t>
        </is>
      </c>
      <c r="AD242" s="58">
        <f>LEN(AC242)</f>
        <v/>
      </c>
      <c r="AE242" s="58" t="inlineStr">
        <is>
          <t>Buy Calvin Klein Defy Parfum online in the UK at Swansura. A woody men's parfum, 200ml. 100% authentic, fast UK delivery, free over £50.</t>
        </is>
      </c>
      <c r="AF242" s="58">
        <f>LEN(AE242)</f>
        <v/>
      </c>
    </row>
    <row r="243" ht="15" customHeight="1" s="37">
      <c r="A243" s="58" t="inlineStr">
        <is>
          <t>FR-083</t>
        </is>
      </c>
      <c r="B243" s="58" t="inlineStr">
        <is>
          <t>Fragrance Catalogue</t>
        </is>
      </c>
      <c r="C243" s="58" t="n">
        <v>83</v>
      </c>
      <c r="D243" s="58" t="inlineStr">
        <is>
          <t>Calvin klein</t>
        </is>
      </c>
      <c r="E243" s="58" t="n"/>
      <c r="F243" s="58" t="inlineStr">
        <is>
          <t>Fragrance</t>
        </is>
      </c>
      <c r="G243" s="58" t="inlineStr">
        <is>
          <t>Parfum</t>
        </is>
      </c>
      <c r="H243" s="58" t="inlineStr">
        <is>
          <t>Woody · Men's Fragrance</t>
        </is>
      </c>
      <c r="I243" s="58" t="inlineStr">
        <is>
          <t>Calvin Klein Defy Parfum – Men's Warm Woody Fragrance</t>
        </is>
      </c>
      <c r="J243" s="58" t="inlineStr">
        <is>
          <t>200ml</t>
        </is>
      </c>
      <c r="K243" s="58" t="n">
        <v>34.99</v>
      </c>
      <c r="L243" s="58" t="inlineStr">
        <is>
          <t>calvin klein defy</t>
        </is>
      </c>
      <c r="M243" s="58" t="inlineStr">
        <is>
          <t>calvin klein defy uk</t>
        </is>
      </c>
      <c r="N243" s="58" t="inlineStr">
        <is>
          <t>buy calvin klein defy online</t>
        </is>
      </c>
      <c r="O243" s="58" t="inlineStr">
        <is>
          <t>calvin klein defy price</t>
        </is>
      </c>
      <c r="P243" s="58" t="inlineStr">
        <is>
          <t>calvin klein defy parfum</t>
        </is>
      </c>
      <c r="Q243" s="59">
        <f>IF(L243="","",IFERROR(INDEX('Semrush Data'!$A$1:$Z$20000,MATCH(L243,'Semrush Data'!$A$1:$A$20000,0),MATCH("Volume",'Semrush Data'!$A$1:$Z$1,0)),""))</f>
        <v/>
      </c>
      <c r="R243" s="59">
        <f>IF(M243="","",IFERROR(INDEX('Semrush Data'!$A$1:$Z$20000,MATCH(M243,'Semrush Data'!$A$1:$A$20000,0),MATCH("Volume",'Semrush Data'!$A$1:$Z$1,0)),""))</f>
        <v/>
      </c>
      <c r="S243" s="59">
        <f>IF(N243="","",IFERROR(INDEX('Semrush Data'!$A$1:$Z$20000,MATCH(N243,'Semrush Data'!$A$1:$A$20000,0),MATCH("Volume",'Semrush Data'!$A$1:$Z$1,0)),""))</f>
        <v/>
      </c>
      <c r="T243" s="59">
        <f>IF(O243="","",IFERROR(INDEX('Semrush Data'!$A$1:$Z$20000,MATCH(O243,'Semrush Data'!$A$1:$A$20000,0),MATCH("Volume",'Semrush Data'!$A$1:$Z$1,0)),""))</f>
        <v/>
      </c>
      <c r="U243" s="59">
        <f>IF(P243="","",IFERROR(INDEX('Semrush Data'!$A$1:$Z$20000,MATCH(P243,'Semrush Data'!$A$1:$A$20000,0),MATCH("Volume",'Semrush Data'!$A$1:$Z$1,0)),""))</f>
        <v/>
      </c>
      <c r="V243" s="60">
        <f>IF(COUNT(Q243:U243)=0,L243,IF(MAX(Q243:U243)=0,L243,INDEX(L243:P243,MATCH(MAX(Q243:U243),Q243:U243,0))))</f>
        <v/>
      </c>
      <c r="W243" s="59">
        <f>IFERROR(INDEX('Semrush Data'!$A$1:$Z$20000,MATCH(V243,'Semrush Data'!$A$1:$A$20000,0),MATCH("Volume",'Semrush Data'!$A$1:$Z$1,0)),"")</f>
        <v/>
      </c>
      <c r="X243" s="59">
        <f>IFERROR(INDEX('Semrush Data'!$A$1:$Z$20000,MATCH(V243,'Semrush Data'!$A$1:$A$20000,0),MATCH("Keyword Difficulty*",'Semrush Data'!$A$1:$Z$1,0)),"")</f>
        <v/>
      </c>
      <c r="Y243" s="61">
        <f>IFERROR(INDEX('Semrush Data'!$A$1:$Z$20000,MATCH(V243,'Semrush Data'!$A$1:$A$20000,0),MATCH("CPC*",'Semrush Data'!$A$1:$Z$1,0)),"")</f>
        <v/>
      </c>
      <c r="Z243" s="58" t="inlineStr">
        <is>
          <t>calvin klein perfume · calvin klein perfume for men · woody perfume for men uk</t>
        </is>
      </c>
      <c r="AA243" s="58" t="inlineStr">
        <is>
          <t>calvin klein defy parfum · calvin klein defy perfume · calvin klein defy eau de parfum · calvin klein defy perfume price · calvin klein defy edp · calvin klein defy review</t>
        </is>
      </c>
      <c r="AB243" s="58" t="inlineStr">
        <is>
          <t>Calvin Klein Defy Parfum</t>
        </is>
      </c>
      <c r="AC243" s="58" t="inlineStr">
        <is>
          <t>Calvin Klein Defy Parfum | Buy Online UK | Swansura</t>
        </is>
      </c>
      <c r="AD243" s="58">
        <f>LEN(AC243)</f>
        <v/>
      </c>
      <c r="AE243" s="58" t="inlineStr">
        <is>
          <t>Buy Calvin Klein Defy Parfum online in the UK at Swansura. A woody men's parfum, 200ml. 100% authentic, fast UK delivery, free over £50.</t>
        </is>
      </c>
      <c r="AF243" s="58">
        <f>LEN(AE243)</f>
        <v/>
      </c>
    </row>
    <row r="244" ht="15" customHeight="1" s="37">
      <c r="A244" s="58" t="inlineStr">
        <is>
          <t>FR-084</t>
        </is>
      </c>
      <c r="B244" s="58" t="inlineStr">
        <is>
          <t>Fragrance Catalogue</t>
        </is>
      </c>
      <c r="C244" s="58" t="n">
        <v>84</v>
      </c>
      <c r="D244" s="58" t="inlineStr">
        <is>
          <t>Calvin klein</t>
        </is>
      </c>
      <c r="E244" s="58" t="n"/>
      <c r="F244" s="58" t="inlineStr">
        <is>
          <t>Fragrance</t>
        </is>
      </c>
      <c r="G244" s="58" t="inlineStr">
        <is>
          <t>Parfum</t>
        </is>
      </c>
      <c r="H244" s="58" t="inlineStr">
        <is>
          <t>Woody · Men's Fragrance</t>
        </is>
      </c>
      <c r="I244" s="58" t="inlineStr">
        <is>
          <t>Calvin Klein Eternity Aromatic Essence Parfum Intense 10ml Miniature – Men's Aromatic Woody Fragrance</t>
        </is>
      </c>
      <c r="J244" s="58" t="inlineStr">
        <is>
          <t>10ml</t>
        </is>
      </c>
      <c r="K244" s="58" t="n">
        <v>18.99</v>
      </c>
      <c r="L244" s="58" t="inlineStr">
        <is>
          <t>calvin klein eternity aromatic essence parfum intense miniature</t>
        </is>
      </c>
      <c r="M244" s="58" t="inlineStr">
        <is>
          <t>calvin klein eternity aromatic essence parfum intense miniature uk</t>
        </is>
      </c>
      <c r="N244" s="58" t="inlineStr">
        <is>
          <t>buy calvin klein eternity aromatic essence parfum intense miniature online</t>
        </is>
      </c>
      <c r="O244" s="58" t="inlineStr">
        <is>
          <t>calvin klein eternity aromatic essence parfum intense miniature price</t>
        </is>
      </c>
      <c r="P244" s="58" t="inlineStr">
        <is>
          <t>calvin klein eternity aromatic essence parfum intense miniature parfum</t>
        </is>
      </c>
      <c r="Q244" s="59">
        <f>IF(L244="","",IFERROR(INDEX('Semrush Data'!$A$1:$Z$20000,MATCH(L244,'Semrush Data'!$A$1:$A$20000,0),MATCH("Volume",'Semrush Data'!$A$1:$Z$1,0)),""))</f>
        <v/>
      </c>
      <c r="R244" s="59">
        <f>IF(M244="","",IFERROR(INDEX('Semrush Data'!$A$1:$Z$20000,MATCH(M244,'Semrush Data'!$A$1:$A$20000,0),MATCH("Volume",'Semrush Data'!$A$1:$Z$1,0)),""))</f>
        <v/>
      </c>
      <c r="S244" s="59">
        <f>IF(N244="","",IFERROR(INDEX('Semrush Data'!$A$1:$Z$20000,MATCH(N244,'Semrush Data'!$A$1:$A$20000,0),MATCH("Volume",'Semrush Data'!$A$1:$Z$1,0)),""))</f>
        <v/>
      </c>
      <c r="T244" s="59">
        <f>IF(O244="","",IFERROR(INDEX('Semrush Data'!$A$1:$Z$20000,MATCH(O244,'Semrush Data'!$A$1:$A$20000,0),MATCH("Volume",'Semrush Data'!$A$1:$Z$1,0)),""))</f>
        <v/>
      </c>
      <c r="U244" s="59">
        <f>IF(P244="","",IFERROR(INDEX('Semrush Data'!$A$1:$Z$20000,MATCH(P244,'Semrush Data'!$A$1:$A$20000,0),MATCH("Volume",'Semrush Data'!$A$1:$Z$1,0)),""))</f>
        <v/>
      </c>
      <c r="V244" s="60">
        <f>IF(COUNT(Q244:U244)=0,L244,IF(MAX(Q244:U244)=0,L244,INDEX(L244:P244,MATCH(MAX(Q244:U244),Q244:U244,0))))</f>
        <v/>
      </c>
      <c r="W244" s="59">
        <f>IFERROR(INDEX('Semrush Data'!$A$1:$Z$20000,MATCH(V244,'Semrush Data'!$A$1:$A$20000,0),MATCH("Volume",'Semrush Data'!$A$1:$Z$1,0)),"")</f>
        <v/>
      </c>
      <c r="X244" s="59">
        <f>IFERROR(INDEX('Semrush Data'!$A$1:$Z$20000,MATCH(V244,'Semrush Data'!$A$1:$A$20000,0),MATCH("Keyword Difficulty*",'Semrush Data'!$A$1:$Z$1,0)),"")</f>
        <v/>
      </c>
      <c r="Y244" s="61">
        <f>IFERROR(INDEX('Semrush Data'!$A$1:$Z$20000,MATCH(V244,'Semrush Data'!$A$1:$A$20000,0),MATCH("CPC*",'Semrush Data'!$A$1:$Z$1,0)),"")</f>
        <v/>
      </c>
      <c r="Z244" s="58" t="inlineStr">
        <is>
          <t>calvin klein perfume · calvin klein perfume for men · woody perfume for men uk</t>
        </is>
      </c>
      <c r="AA244" s="58" t="n"/>
      <c r="AB244" s="58" t="inlineStr">
        <is>
          <t>Calvin Klein Eternity Aromatic Essence Parfum Intense Miniature</t>
        </is>
      </c>
      <c r="AC244" s="58" t="inlineStr">
        <is>
          <t>Calvin Klein Eternity Aromatic Essence | Swansura UK</t>
        </is>
      </c>
      <c r="AD244" s="58">
        <f>LEN(AC244)</f>
        <v/>
      </c>
      <c r="AE244" s="58" t="inlineStr">
        <is>
          <t>Buy Calvin Klein Eternity Aromatic Essence Parfum Intense Miniature online in the UK at Swansura. Woody parfum. 100% authentic, fast UK delivery, free over £50.</t>
        </is>
      </c>
      <c r="AF244" s="58">
        <f>LEN(AE244)</f>
        <v/>
      </c>
    </row>
    <row r="245" ht="15" customHeight="1" s="37">
      <c r="A245" s="58" t="inlineStr">
        <is>
          <t>FR-085</t>
        </is>
      </c>
      <c r="B245" s="58" t="inlineStr">
        <is>
          <t>Fragrance Catalogue</t>
        </is>
      </c>
      <c r="C245" s="58" t="n">
        <v>85</v>
      </c>
      <c r="D245" s="58" t="inlineStr">
        <is>
          <t>Calvin klein</t>
        </is>
      </c>
      <c r="E245" s="58" t="n"/>
      <c r="F245" s="58" t="inlineStr">
        <is>
          <t>Fragrance</t>
        </is>
      </c>
      <c r="G245" s="58" t="inlineStr">
        <is>
          <t>Parfum</t>
        </is>
      </c>
      <c r="H245" s="58" t="inlineStr">
        <is>
          <t>Floral · Women's Fragrance</t>
        </is>
      </c>
      <c r="I245" s="58" t="inlineStr">
        <is>
          <t>Calvin Klein Eternity Aromatic Essence Parfum Intense 10ml Miniature – Women's Aromatic Floral Fragrance</t>
        </is>
      </c>
      <c r="J245" s="58" t="inlineStr">
        <is>
          <t>10ml</t>
        </is>
      </c>
      <c r="K245" s="58" t="n">
        <v>18.99</v>
      </c>
      <c r="L245" s="58" t="inlineStr">
        <is>
          <t>calvin klein eternity aromatic essence parfum intense miniature</t>
        </is>
      </c>
      <c r="M245" s="58" t="inlineStr">
        <is>
          <t>calvin klein eternity aromatic essence parfum intense miniature uk</t>
        </is>
      </c>
      <c r="N245" s="58" t="inlineStr">
        <is>
          <t>buy calvin klein eternity aromatic essence parfum intense miniature online</t>
        </is>
      </c>
      <c r="O245" s="58" t="inlineStr">
        <is>
          <t>calvin klein eternity aromatic essence parfum intense miniature price</t>
        </is>
      </c>
      <c r="P245" s="58" t="inlineStr">
        <is>
          <t>calvin klein eternity aromatic essence parfum intense miniature parfum</t>
        </is>
      </c>
      <c r="Q245" s="59">
        <f>IF(L245="","",IFERROR(INDEX('Semrush Data'!$A$1:$Z$20000,MATCH(L245,'Semrush Data'!$A$1:$A$20000,0),MATCH("Volume",'Semrush Data'!$A$1:$Z$1,0)),""))</f>
        <v/>
      </c>
      <c r="R245" s="59">
        <f>IF(M245="","",IFERROR(INDEX('Semrush Data'!$A$1:$Z$20000,MATCH(M245,'Semrush Data'!$A$1:$A$20000,0),MATCH("Volume",'Semrush Data'!$A$1:$Z$1,0)),""))</f>
        <v/>
      </c>
      <c r="S245" s="59">
        <f>IF(N245="","",IFERROR(INDEX('Semrush Data'!$A$1:$Z$20000,MATCH(N245,'Semrush Data'!$A$1:$A$20000,0),MATCH("Volume",'Semrush Data'!$A$1:$Z$1,0)),""))</f>
        <v/>
      </c>
      <c r="T245" s="59">
        <f>IF(O245="","",IFERROR(INDEX('Semrush Data'!$A$1:$Z$20000,MATCH(O245,'Semrush Data'!$A$1:$A$20000,0),MATCH("Volume",'Semrush Data'!$A$1:$Z$1,0)),""))</f>
        <v/>
      </c>
      <c r="U245" s="59">
        <f>IF(P245="","",IFERROR(INDEX('Semrush Data'!$A$1:$Z$20000,MATCH(P245,'Semrush Data'!$A$1:$A$20000,0),MATCH("Volume",'Semrush Data'!$A$1:$Z$1,0)),""))</f>
        <v/>
      </c>
      <c r="V245" s="60">
        <f>IF(COUNT(Q245:U245)=0,L245,IF(MAX(Q245:U245)=0,L245,INDEX(L245:P245,MATCH(MAX(Q245:U245),Q245:U245,0))))</f>
        <v/>
      </c>
      <c r="W245" s="59">
        <f>IFERROR(INDEX('Semrush Data'!$A$1:$Z$20000,MATCH(V245,'Semrush Data'!$A$1:$A$20000,0),MATCH("Volume",'Semrush Data'!$A$1:$Z$1,0)),"")</f>
        <v/>
      </c>
      <c r="X245" s="59">
        <f>IFERROR(INDEX('Semrush Data'!$A$1:$Z$20000,MATCH(V245,'Semrush Data'!$A$1:$A$20000,0),MATCH("Keyword Difficulty*",'Semrush Data'!$A$1:$Z$1,0)),"")</f>
        <v/>
      </c>
      <c r="Y245" s="61">
        <f>IFERROR(INDEX('Semrush Data'!$A$1:$Z$20000,MATCH(V245,'Semrush Data'!$A$1:$A$20000,0),MATCH("CPC*",'Semrush Data'!$A$1:$Z$1,0)),"")</f>
        <v/>
      </c>
      <c r="Z245" s="58" t="inlineStr">
        <is>
          <t>calvin klein perfume · calvin klein perfume for women · floral perfume for women uk</t>
        </is>
      </c>
      <c r="AA245" s="58" t="n"/>
      <c r="AB245" s="58" t="inlineStr">
        <is>
          <t>Calvin Klein Eternity Aromatic Essence Parfum Intense Miniature</t>
        </is>
      </c>
      <c r="AC245" s="58" t="inlineStr">
        <is>
          <t>Calvin Klein Eternity Aromatic Essence | Swansura UK</t>
        </is>
      </c>
      <c r="AD245" s="58">
        <f>LEN(AC245)</f>
        <v/>
      </c>
      <c r="AE245" s="58" t="inlineStr">
        <is>
          <t>Buy Calvin Klein Eternity Aromatic Essence Parfum Intense Miniature at Swansura UK. A floral women's parfum, 10ml. 100% authentic, free UK delivery over £50.</t>
        </is>
      </c>
      <c r="AF245" s="58">
        <f>LEN(AE245)</f>
        <v/>
      </c>
    </row>
    <row r="246" ht="15" customHeight="1" s="37">
      <c r="A246" s="58" t="inlineStr">
        <is>
          <t>FR-086</t>
        </is>
      </c>
      <c r="B246" s="58" t="inlineStr">
        <is>
          <t>Fragrance Catalogue</t>
        </is>
      </c>
      <c r="C246" s="58" t="n">
        <v>86</v>
      </c>
      <c r="D246" s="58" t="inlineStr">
        <is>
          <t>Calvin klein</t>
        </is>
      </c>
      <c r="E246" s="58" t="n"/>
      <c r="F246" s="58" t="inlineStr">
        <is>
          <t>Fragrance</t>
        </is>
      </c>
      <c r="G246" s="58" t="inlineStr">
        <is>
          <t>Parfum</t>
        </is>
      </c>
      <c r="H246" s="58" t="inlineStr">
        <is>
          <t>Aromatic · Men's Fragrance</t>
        </is>
      </c>
      <c r="I246" s="58" t="inlineStr">
        <is>
          <t>Calvin Klein Eternity Parfum 10ml Miniature – Men's Warm Aromatic Fragrance</t>
        </is>
      </c>
      <c r="J246" s="58" t="inlineStr">
        <is>
          <t>10ml</t>
        </is>
      </c>
      <c r="K246" s="58" t="n">
        <v>18.99</v>
      </c>
      <c r="L246" s="58" t="inlineStr">
        <is>
          <t>calvin klein eternity parfum miniature</t>
        </is>
      </c>
      <c r="M246" s="58" t="inlineStr">
        <is>
          <t>calvin klein eternity parfum miniature uk</t>
        </is>
      </c>
      <c r="N246" s="58" t="inlineStr">
        <is>
          <t>buy calvin klein eternity parfum miniature online</t>
        </is>
      </c>
      <c r="O246" s="58" t="inlineStr">
        <is>
          <t>calvin klein eternity parfum miniature price</t>
        </is>
      </c>
      <c r="P246" s="58" t="inlineStr">
        <is>
          <t>calvin klein eternity parfum miniature parfum</t>
        </is>
      </c>
      <c r="Q246" s="59">
        <f>IF(L246="","",IFERROR(INDEX('Semrush Data'!$A$1:$Z$20000,MATCH(L246,'Semrush Data'!$A$1:$A$20000,0),MATCH("Volume",'Semrush Data'!$A$1:$Z$1,0)),""))</f>
        <v/>
      </c>
      <c r="R246" s="59">
        <f>IF(M246="","",IFERROR(INDEX('Semrush Data'!$A$1:$Z$20000,MATCH(M246,'Semrush Data'!$A$1:$A$20000,0),MATCH("Volume",'Semrush Data'!$A$1:$Z$1,0)),""))</f>
        <v/>
      </c>
      <c r="S246" s="59">
        <f>IF(N246="","",IFERROR(INDEX('Semrush Data'!$A$1:$Z$20000,MATCH(N246,'Semrush Data'!$A$1:$A$20000,0),MATCH("Volume",'Semrush Data'!$A$1:$Z$1,0)),""))</f>
        <v/>
      </c>
      <c r="T246" s="59">
        <f>IF(O246="","",IFERROR(INDEX('Semrush Data'!$A$1:$Z$20000,MATCH(O246,'Semrush Data'!$A$1:$A$20000,0),MATCH("Volume",'Semrush Data'!$A$1:$Z$1,0)),""))</f>
        <v/>
      </c>
      <c r="U246" s="59">
        <f>IF(P246="","",IFERROR(INDEX('Semrush Data'!$A$1:$Z$20000,MATCH(P246,'Semrush Data'!$A$1:$A$20000,0),MATCH("Volume",'Semrush Data'!$A$1:$Z$1,0)),""))</f>
        <v/>
      </c>
      <c r="V246" s="60">
        <f>IF(COUNT(Q246:U246)=0,L246,IF(MAX(Q246:U246)=0,L246,INDEX(L246:P246,MATCH(MAX(Q246:U246),Q246:U246,0))))</f>
        <v/>
      </c>
      <c r="W246" s="59">
        <f>IFERROR(INDEX('Semrush Data'!$A$1:$Z$20000,MATCH(V246,'Semrush Data'!$A$1:$A$20000,0),MATCH("Volume",'Semrush Data'!$A$1:$Z$1,0)),"")</f>
        <v/>
      </c>
      <c r="X246" s="59">
        <f>IFERROR(INDEX('Semrush Data'!$A$1:$Z$20000,MATCH(V246,'Semrush Data'!$A$1:$A$20000,0),MATCH("Keyword Difficulty*",'Semrush Data'!$A$1:$Z$1,0)),"")</f>
        <v/>
      </c>
      <c r="Y246" s="61">
        <f>IFERROR(INDEX('Semrush Data'!$A$1:$Z$20000,MATCH(V246,'Semrush Data'!$A$1:$A$20000,0),MATCH("CPC*",'Semrush Data'!$A$1:$Z$1,0)),"")</f>
        <v/>
      </c>
      <c r="Z246" s="58" t="inlineStr">
        <is>
          <t>calvin klein perfume · calvin klein perfume for men · aromatic perfume for men uk</t>
        </is>
      </c>
      <c r="AA246" s="58" t="inlineStr">
        <is>
          <t>calvin klein perfume eternity mini</t>
        </is>
      </c>
      <c r="AB246" s="58" t="inlineStr">
        <is>
          <t>Calvin Klein Eternity Parfum Miniature</t>
        </is>
      </c>
      <c r="AC246" s="58" t="inlineStr">
        <is>
          <t>Calvin Klein Eternity Parfum Miniature | Swansura UK</t>
        </is>
      </c>
      <c r="AD246" s="58">
        <f>LEN(AC246)</f>
        <v/>
      </c>
      <c r="AE246" s="58" t="inlineStr">
        <is>
          <t>Buy Calvin Klein Eternity Parfum Miniature online in the UK at Swansura. An aromatic men's parfum, 10ml. 100% authentic, fast UK delivery, free over £50.</t>
        </is>
      </c>
      <c r="AF246" s="58">
        <f>LEN(AE246)</f>
        <v/>
      </c>
    </row>
    <row r="247" ht="15" customHeight="1" s="37">
      <c r="A247" s="58" t="inlineStr">
        <is>
          <t>FR-087</t>
        </is>
      </c>
      <c r="B247" s="58" t="inlineStr">
        <is>
          <t>Fragrance Catalogue</t>
        </is>
      </c>
      <c r="C247" s="58" t="n">
        <v>87</v>
      </c>
      <c r="D247" s="58" t="inlineStr">
        <is>
          <t>Carolina Herrera</t>
        </is>
      </c>
      <c r="E247" s="58" t="n"/>
      <c r="F247" s="58" t="inlineStr">
        <is>
          <t>Fragrance</t>
        </is>
      </c>
      <c r="G247" s="58" t="inlineStr">
        <is>
          <t>Eau de Parfum (EDP)</t>
        </is>
      </c>
      <c r="H247" s="58" t="inlineStr">
        <is>
          <t>Floral · Women's Fragrance</t>
        </is>
      </c>
      <c r="I247" s="58" t="inlineStr">
        <is>
          <t>Carolina Herrera 212 VIP Rosé Eau de Parfum 125ml – Women's Floral Fruity Fragrance</t>
        </is>
      </c>
      <c r="J247" s="58" t="inlineStr">
        <is>
          <t>125ml</t>
        </is>
      </c>
      <c r="K247" s="58" t="n">
        <v>74.98999999999999</v>
      </c>
      <c r="L247" s="58" t="inlineStr">
        <is>
          <t>carolina herrera 212 vip rose</t>
        </is>
      </c>
      <c r="M247" s="58" t="inlineStr">
        <is>
          <t>carolina herrera 212 vip rose uk</t>
        </is>
      </c>
      <c r="N247" s="58" t="inlineStr">
        <is>
          <t>buy carolina herrera 212 vip rose online</t>
        </is>
      </c>
      <c r="O247" s="58" t="inlineStr">
        <is>
          <t>carolina herrera 212 vip rose price</t>
        </is>
      </c>
      <c r="P247" s="58" t="inlineStr">
        <is>
          <t>carolina herrera 212 vip rose eau de parfum</t>
        </is>
      </c>
      <c r="Q247" s="59">
        <f>IF(L247="","",IFERROR(INDEX('Semrush Data'!$A$1:$Z$20000,MATCH(L247,'Semrush Data'!$A$1:$A$20000,0),MATCH("Volume",'Semrush Data'!$A$1:$Z$1,0)),""))</f>
        <v/>
      </c>
      <c r="R247" s="59">
        <f>IF(M247="","",IFERROR(INDEX('Semrush Data'!$A$1:$Z$20000,MATCH(M247,'Semrush Data'!$A$1:$A$20000,0),MATCH("Volume",'Semrush Data'!$A$1:$Z$1,0)),""))</f>
        <v/>
      </c>
      <c r="S247" s="59">
        <f>IF(N247="","",IFERROR(INDEX('Semrush Data'!$A$1:$Z$20000,MATCH(N247,'Semrush Data'!$A$1:$A$20000,0),MATCH("Volume",'Semrush Data'!$A$1:$Z$1,0)),""))</f>
        <v/>
      </c>
      <c r="T247" s="59">
        <f>IF(O247="","",IFERROR(INDEX('Semrush Data'!$A$1:$Z$20000,MATCH(O247,'Semrush Data'!$A$1:$A$20000,0),MATCH("Volume",'Semrush Data'!$A$1:$Z$1,0)),""))</f>
        <v/>
      </c>
      <c r="U247" s="59">
        <f>IF(P247="","",IFERROR(INDEX('Semrush Data'!$A$1:$Z$20000,MATCH(P247,'Semrush Data'!$A$1:$A$20000,0),MATCH("Volume",'Semrush Data'!$A$1:$Z$1,0)),""))</f>
        <v/>
      </c>
      <c r="V247" s="60">
        <f>IF(COUNT(Q247:U247)=0,L247,IF(MAX(Q247:U247)=0,L247,INDEX(L247:P247,MATCH(MAX(Q247:U247),Q247:U247,0))))</f>
        <v/>
      </c>
      <c r="W247" s="59">
        <f>IFERROR(INDEX('Semrush Data'!$A$1:$Z$20000,MATCH(V247,'Semrush Data'!$A$1:$A$20000,0),MATCH("Volume",'Semrush Data'!$A$1:$Z$1,0)),"")</f>
        <v/>
      </c>
      <c r="X247" s="59">
        <f>IFERROR(INDEX('Semrush Data'!$A$1:$Z$20000,MATCH(V247,'Semrush Data'!$A$1:$A$20000,0),MATCH("Keyword Difficulty*",'Semrush Data'!$A$1:$Z$1,0)),"")</f>
        <v/>
      </c>
      <c r="Y247" s="61">
        <f>IFERROR(INDEX('Semrush Data'!$A$1:$Z$20000,MATCH(V247,'Semrush Data'!$A$1:$A$20000,0),MATCH("CPC*",'Semrush Data'!$A$1:$Z$1,0)),"")</f>
        <v/>
      </c>
      <c r="Z247" s="58" t="inlineStr">
        <is>
          <t>carolina herrera perfume · carolina herrera perfume for women · floral perfume for women uk</t>
        </is>
      </c>
      <c r="AA247" s="58" t="inlineStr">
        <is>
          <t>carolina herrera 212 vip rose eau de parfum 50ml · carolina herrera 212 vip rose eau de parfum · carolina herrera 212 vip rose review · carolina herrera 212 vip rose 100ml · carolina herrera 212 vip rose notes · carolina herrera 212 vip rose women</t>
        </is>
      </c>
      <c r="AB247" s="58" t="inlineStr">
        <is>
          <t>Carolina Herrera 212 VIP Rosé Eau de Parfum</t>
        </is>
      </c>
      <c r="AC247" s="58" t="inlineStr">
        <is>
          <t>Carolina Herrera 212 VIP Rosé Eau de Parfum | Swansura UK</t>
        </is>
      </c>
      <c r="AD247" s="58">
        <f>LEN(AC247)</f>
        <v/>
      </c>
      <c r="AE247" s="58" t="inlineStr">
        <is>
          <t>Buy Carolina Herrera 212 VIP Rosé Eau de Parfum online in the UK at Swansura. A floral women's eau de parfum, 125ml. 100% authentic, free UK delivery over £50.</t>
        </is>
      </c>
      <c r="AF247" s="58">
        <f>LEN(AE247)</f>
        <v/>
      </c>
    </row>
    <row r="248" ht="15" customHeight="1" s="37">
      <c r="A248" s="58" t="inlineStr">
        <is>
          <t>FR-088</t>
        </is>
      </c>
      <c r="B248" s="58" t="inlineStr">
        <is>
          <t>Fragrance Catalogue</t>
        </is>
      </c>
      <c r="C248" s="58" t="n">
        <v>88</v>
      </c>
      <c r="D248" s="58" t="inlineStr">
        <is>
          <t>Carolina Herrera</t>
        </is>
      </c>
      <c r="E248" s="58" t="n"/>
      <c r="F248" s="58" t="inlineStr">
        <is>
          <t>Fragrance</t>
        </is>
      </c>
      <c r="G248" s="58" t="inlineStr">
        <is>
          <t>Eau de Parfum (EDP)</t>
        </is>
      </c>
      <c r="H248" s="58" t="inlineStr">
        <is>
          <t>Amber · Men's Fragrance</t>
        </is>
      </c>
      <c r="I248" s="58" t="inlineStr">
        <is>
          <t>Carolina Herrera Bad Boy Extreme Eau de Parfum – Men's Warm Spicy Amber Fragrance</t>
        </is>
      </c>
      <c r="J248" s="58" t="inlineStr">
        <is>
          <t>50ml</t>
        </is>
      </c>
      <c r="K248" s="58" t="n">
        <v>19.99</v>
      </c>
      <c r="L248" s="58" t="inlineStr">
        <is>
          <t>carolina herrera bad boy extreme</t>
        </is>
      </c>
      <c r="M248" s="58" t="inlineStr">
        <is>
          <t>carolina herrera bad boy extreme uk</t>
        </is>
      </c>
      <c r="N248" s="58" t="inlineStr">
        <is>
          <t>buy carolina herrera bad boy extreme online</t>
        </is>
      </c>
      <c r="O248" s="58" t="inlineStr">
        <is>
          <t>carolina herrera bad boy extreme price</t>
        </is>
      </c>
      <c r="P248" s="58" t="inlineStr">
        <is>
          <t>carolina herrera bad boy extreme eau de parfum</t>
        </is>
      </c>
      <c r="Q248" s="59">
        <f>IF(L248="","",IFERROR(INDEX('Semrush Data'!$A$1:$Z$20000,MATCH(L248,'Semrush Data'!$A$1:$A$20000,0),MATCH("Volume",'Semrush Data'!$A$1:$Z$1,0)),""))</f>
        <v/>
      </c>
      <c r="R248" s="59">
        <f>IF(M248="","",IFERROR(INDEX('Semrush Data'!$A$1:$Z$20000,MATCH(M248,'Semrush Data'!$A$1:$A$20000,0),MATCH("Volume",'Semrush Data'!$A$1:$Z$1,0)),""))</f>
        <v/>
      </c>
      <c r="S248" s="59">
        <f>IF(N248="","",IFERROR(INDEX('Semrush Data'!$A$1:$Z$20000,MATCH(N248,'Semrush Data'!$A$1:$A$20000,0),MATCH("Volume",'Semrush Data'!$A$1:$Z$1,0)),""))</f>
        <v/>
      </c>
      <c r="T248" s="59">
        <f>IF(O248="","",IFERROR(INDEX('Semrush Data'!$A$1:$Z$20000,MATCH(O248,'Semrush Data'!$A$1:$A$20000,0),MATCH("Volume",'Semrush Data'!$A$1:$Z$1,0)),""))</f>
        <v/>
      </c>
      <c r="U248" s="59">
        <f>IF(P248="","",IFERROR(INDEX('Semrush Data'!$A$1:$Z$20000,MATCH(P248,'Semrush Data'!$A$1:$A$20000,0),MATCH("Volume",'Semrush Data'!$A$1:$Z$1,0)),""))</f>
        <v/>
      </c>
      <c r="V248" s="60">
        <f>IF(COUNT(Q248:U248)=0,L248,IF(MAX(Q248:U248)=0,L248,INDEX(L248:P248,MATCH(MAX(Q248:U248),Q248:U248,0))))</f>
        <v/>
      </c>
      <c r="W248" s="59">
        <f>IFERROR(INDEX('Semrush Data'!$A$1:$Z$20000,MATCH(V248,'Semrush Data'!$A$1:$A$20000,0),MATCH("Volume",'Semrush Data'!$A$1:$Z$1,0)),"")</f>
        <v/>
      </c>
      <c r="X248" s="59">
        <f>IFERROR(INDEX('Semrush Data'!$A$1:$Z$20000,MATCH(V248,'Semrush Data'!$A$1:$A$20000,0),MATCH("Keyword Difficulty*",'Semrush Data'!$A$1:$Z$1,0)),"")</f>
        <v/>
      </c>
      <c r="Y248" s="61">
        <f>IFERROR(INDEX('Semrush Data'!$A$1:$Z$20000,MATCH(V248,'Semrush Data'!$A$1:$A$20000,0),MATCH("CPC*",'Semrush Data'!$A$1:$Z$1,0)),"")</f>
        <v/>
      </c>
      <c r="Z248" s="58" t="inlineStr">
        <is>
          <t>carolina herrera perfume · carolina herrera perfume for men · amber perfume for men uk</t>
        </is>
      </c>
      <c r="AA248" s="58" t="inlineStr">
        <is>
          <t>carolina herrera bad boy extreme 100ml · carolina herrera bad boy extreme eau de parfum · carolina herrera bad boy extreme notes · carolina herrera bad boy extreme 150ml · carolina herrera bad boy extreme edp · carolina herrera bad boy extreme review</t>
        </is>
      </c>
      <c r="AB248" s="58" t="inlineStr">
        <is>
          <t>Carolina Herrera Bad Boy Extreme Eau de Parfum</t>
        </is>
      </c>
      <c r="AC248" s="58" t="inlineStr">
        <is>
          <t>Carolina Herrera Bad Boy Extreme Eau de Parfum | Swansura UK</t>
        </is>
      </c>
      <c r="AD248" s="58">
        <f>LEN(AC248)</f>
        <v/>
      </c>
      <c r="AE248" s="58" t="inlineStr">
        <is>
          <t>Buy Carolina Herrera Bad Boy Extreme Eau de Parfum online in the UK at Swansura. An amber men's eau de parfum, 50ml. 100% authentic, free UK delivery over £50.</t>
        </is>
      </c>
      <c r="AF248" s="58">
        <f>LEN(AE248)</f>
        <v/>
      </c>
    </row>
    <row r="249" ht="15" customHeight="1" s="37">
      <c r="A249" s="58" t="inlineStr">
        <is>
          <t>FR-089</t>
        </is>
      </c>
      <c r="B249" s="58" t="inlineStr">
        <is>
          <t>Fragrance Catalogue</t>
        </is>
      </c>
      <c r="C249" s="58" t="n">
        <v>89</v>
      </c>
      <c r="D249" s="58" t="inlineStr">
        <is>
          <t>Carolina Herrera</t>
        </is>
      </c>
      <c r="E249" s="58" t="n"/>
      <c r="F249" s="58" t="inlineStr">
        <is>
          <t>Fragrance</t>
        </is>
      </c>
      <c r="G249" s="58" t="inlineStr">
        <is>
          <t>Eau de Parfum (EDP)</t>
        </is>
      </c>
      <c r="H249" s="58" t="inlineStr">
        <is>
          <t>Amber · Men's Fragrance</t>
        </is>
      </c>
      <c r="I249" s="58" t="inlineStr">
        <is>
          <t>Carolina Herrera Bad Boy Extreme Eau de Parfum – Men's Warm Spicy Amber Fragrance</t>
        </is>
      </c>
      <c r="J249" s="58" t="inlineStr">
        <is>
          <t>50ml</t>
        </is>
      </c>
      <c r="K249" s="58" t="n">
        <v>50.99</v>
      </c>
      <c r="L249" s="58" t="inlineStr">
        <is>
          <t>carolina herrera bad boy extreme</t>
        </is>
      </c>
      <c r="M249" s="58" t="inlineStr">
        <is>
          <t>carolina herrera bad boy extreme uk</t>
        </is>
      </c>
      <c r="N249" s="58" t="inlineStr">
        <is>
          <t>buy carolina herrera bad boy extreme online</t>
        </is>
      </c>
      <c r="O249" s="58" t="inlineStr">
        <is>
          <t>carolina herrera bad boy extreme price</t>
        </is>
      </c>
      <c r="P249" s="58" t="inlineStr">
        <is>
          <t>carolina herrera bad boy extreme eau de parfum</t>
        </is>
      </c>
      <c r="Q249" s="59">
        <f>IF(L249="","",IFERROR(INDEX('Semrush Data'!$A$1:$Z$20000,MATCH(L249,'Semrush Data'!$A$1:$A$20000,0),MATCH("Volume",'Semrush Data'!$A$1:$Z$1,0)),""))</f>
        <v/>
      </c>
      <c r="R249" s="59">
        <f>IF(M249="","",IFERROR(INDEX('Semrush Data'!$A$1:$Z$20000,MATCH(M249,'Semrush Data'!$A$1:$A$20000,0),MATCH("Volume",'Semrush Data'!$A$1:$Z$1,0)),""))</f>
        <v/>
      </c>
      <c r="S249" s="59">
        <f>IF(N249="","",IFERROR(INDEX('Semrush Data'!$A$1:$Z$20000,MATCH(N249,'Semrush Data'!$A$1:$A$20000,0),MATCH("Volume",'Semrush Data'!$A$1:$Z$1,0)),""))</f>
        <v/>
      </c>
      <c r="T249" s="59">
        <f>IF(O249="","",IFERROR(INDEX('Semrush Data'!$A$1:$Z$20000,MATCH(O249,'Semrush Data'!$A$1:$A$20000,0),MATCH("Volume",'Semrush Data'!$A$1:$Z$1,0)),""))</f>
        <v/>
      </c>
      <c r="U249" s="59">
        <f>IF(P249="","",IFERROR(INDEX('Semrush Data'!$A$1:$Z$20000,MATCH(P249,'Semrush Data'!$A$1:$A$20000,0),MATCH("Volume",'Semrush Data'!$A$1:$Z$1,0)),""))</f>
        <v/>
      </c>
      <c r="V249" s="60">
        <f>IF(COUNT(Q249:U249)=0,L249,IF(MAX(Q249:U249)=0,L249,INDEX(L249:P249,MATCH(MAX(Q249:U249),Q249:U249,0))))</f>
        <v/>
      </c>
      <c r="W249" s="59">
        <f>IFERROR(INDEX('Semrush Data'!$A$1:$Z$20000,MATCH(V249,'Semrush Data'!$A$1:$A$20000,0),MATCH("Volume",'Semrush Data'!$A$1:$Z$1,0)),"")</f>
        <v/>
      </c>
      <c r="X249" s="59">
        <f>IFERROR(INDEX('Semrush Data'!$A$1:$Z$20000,MATCH(V249,'Semrush Data'!$A$1:$A$20000,0),MATCH("Keyword Difficulty*",'Semrush Data'!$A$1:$Z$1,0)),"")</f>
        <v/>
      </c>
      <c r="Y249" s="61">
        <f>IFERROR(INDEX('Semrush Data'!$A$1:$Z$20000,MATCH(V249,'Semrush Data'!$A$1:$A$20000,0),MATCH("CPC*",'Semrush Data'!$A$1:$Z$1,0)),"")</f>
        <v/>
      </c>
      <c r="Z249" s="58" t="inlineStr">
        <is>
          <t>carolina herrera perfume · carolina herrera perfume for men · amber perfume for men uk</t>
        </is>
      </c>
      <c r="AA249" s="58" t="inlineStr">
        <is>
          <t>carolina herrera bad boy extreme 100ml · carolina herrera bad boy extreme eau de parfum · carolina herrera bad boy extreme notes · carolina herrera bad boy extreme 150ml · carolina herrera bad boy extreme edp · carolina herrera bad boy extreme review</t>
        </is>
      </c>
      <c r="AB249" s="58" t="inlineStr">
        <is>
          <t>Carolina Herrera Bad Boy Extreme Eau de Parfum</t>
        </is>
      </c>
      <c r="AC249" s="58" t="inlineStr">
        <is>
          <t>Carolina Herrera Bad Boy Extreme Eau de Parfum | Swansura UK</t>
        </is>
      </c>
      <c r="AD249" s="58">
        <f>LEN(AC249)</f>
        <v/>
      </c>
      <c r="AE249" s="58" t="inlineStr">
        <is>
          <t>Buy Carolina Herrera Bad Boy Extreme Eau de Parfum online in the UK at Swansura. An amber men's eau de parfum, 50ml. 100% authentic, free UK delivery over £50.</t>
        </is>
      </c>
      <c r="AF249" s="58">
        <f>LEN(AE249)</f>
        <v/>
      </c>
    </row>
    <row r="250" ht="15" customHeight="1" s="37">
      <c r="A250" s="58" t="inlineStr">
        <is>
          <t>FR-090</t>
        </is>
      </c>
      <c r="B250" s="58" t="inlineStr">
        <is>
          <t>Fragrance Catalogue</t>
        </is>
      </c>
      <c r="C250" s="58" t="n">
        <v>90</v>
      </c>
      <c r="D250" s="58" t="inlineStr">
        <is>
          <t>Carolina Herrera</t>
        </is>
      </c>
      <c r="E250" s="58" t="n"/>
      <c r="F250" s="58" t="inlineStr">
        <is>
          <t>Fragrance</t>
        </is>
      </c>
      <c r="G250" s="58" t="inlineStr">
        <is>
          <t>Eau de Parfum (EDP)</t>
        </is>
      </c>
      <c r="H250" s="58" t="inlineStr">
        <is>
          <t>Woody · Men's Fragrance</t>
        </is>
      </c>
      <c r="I250" s="58" t="inlineStr">
        <is>
          <t>Carolina Herrera Bad Boy Le Parfum Eau de Parfum 10ml – Men's Woody Aromatic Fragrance</t>
        </is>
      </c>
      <c r="J250" s="58" t="inlineStr">
        <is>
          <t>10ml</t>
        </is>
      </c>
      <c r="K250" s="58" t="n">
        <v>19.99</v>
      </c>
      <c r="L250" s="58" t="inlineStr">
        <is>
          <t>carolina herrera bad boy le</t>
        </is>
      </c>
      <c r="M250" s="58" t="inlineStr">
        <is>
          <t>carolina herrera bad boy le uk</t>
        </is>
      </c>
      <c r="N250" s="58" t="inlineStr">
        <is>
          <t>buy carolina herrera bad boy le online</t>
        </is>
      </c>
      <c r="O250" s="58" t="inlineStr">
        <is>
          <t>carolina herrera bad boy le price</t>
        </is>
      </c>
      <c r="P250" s="58" t="inlineStr">
        <is>
          <t>carolina herrera bad boy le eau de parfum</t>
        </is>
      </c>
      <c r="Q250" s="59">
        <f>IF(L250="","",IFERROR(INDEX('Semrush Data'!$A$1:$Z$20000,MATCH(L250,'Semrush Data'!$A$1:$A$20000,0),MATCH("Volume",'Semrush Data'!$A$1:$Z$1,0)),""))</f>
        <v/>
      </c>
      <c r="R250" s="59">
        <f>IF(M250="","",IFERROR(INDEX('Semrush Data'!$A$1:$Z$20000,MATCH(M250,'Semrush Data'!$A$1:$A$20000,0),MATCH("Volume",'Semrush Data'!$A$1:$Z$1,0)),""))</f>
        <v/>
      </c>
      <c r="S250" s="59">
        <f>IF(N250="","",IFERROR(INDEX('Semrush Data'!$A$1:$Z$20000,MATCH(N250,'Semrush Data'!$A$1:$A$20000,0),MATCH("Volume",'Semrush Data'!$A$1:$Z$1,0)),""))</f>
        <v/>
      </c>
      <c r="T250" s="59">
        <f>IF(O250="","",IFERROR(INDEX('Semrush Data'!$A$1:$Z$20000,MATCH(O250,'Semrush Data'!$A$1:$A$20000,0),MATCH("Volume",'Semrush Data'!$A$1:$Z$1,0)),""))</f>
        <v/>
      </c>
      <c r="U250" s="59">
        <f>IF(P250="","",IFERROR(INDEX('Semrush Data'!$A$1:$Z$20000,MATCH(P250,'Semrush Data'!$A$1:$A$20000,0),MATCH("Volume",'Semrush Data'!$A$1:$Z$1,0)),""))</f>
        <v/>
      </c>
      <c r="V250" s="60">
        <f>IF(COUNT(Q250:U250)=0,L250,IF(MAX(Q250:U250)=0,L250,INDEX(L250:P250,MATCH(MAX(Q250:U250),Q250:U250,0))))</f>
        <v/>
      </c>
      <c r="W250" s="59">
        <f>IFERROR(INDEX('Semrush Data'!$A$1:$Z$20000,MATCH(V250,'Semrush Data'!$A$1:$A$20000,0),MATCH("Volume",'Semrush Data'!$A$1:$Z$1,0)),"")</f>
        <v/>
      </c>
      <c r="X250" s="59">
        <f>IFERROR(INDEX('Semrush Data'!$A$1:$Z$20000,MATCH(V250,'Semrush Data'!$A$1:$A$20000,0),MATCH("Keyword Difficulty*",'Semrush Data'!$A$1:$Z$1,0)),"")</f>
        <v/>
      </c>
      <c r="Y250" s="61">
        <f>IFERROR(INDEX('Semrush Data'!$A$1:$Z$20000,MATCH(V250,'Semrush Data'!$A$1:$A$20000,0),MATCH("CPC*",'Semrush Data'!$A$1:$Z$1,0)),"")</f>
        <v/>
      </c>
      <c r="Z250" s="58" t="inlineStr">
        <is>
          <t>carolina herrera perfume · carolina herrera perfume for men · woody perfume for men uk</t>
        </is>
      </c>
      <c r="AA250" s="58" t="inlineStr">
        <is>
          <t>carolina herrera bad boy le parfum · carolina herrera bad boy le parfum 100ml · carolina herrera bad boy le parfum notes · carolina herrera bad boy le parfum review · carolina herrera bad boy le parfum eau de parfum · carolina herrera bad boy le parfum 150ml</t>
        </is>
      </c>
      <c r="AB250" s="58" t="inlineStr">
        <is>
          <t>Carolina Herrera Bad Boy Le Parfum Eau de Parfum</t>
        </is>
      </c>
      <c r="AC250" s="58" t="inlineStr">
        <is>
          <t>Carolina Herrera Bad Boy Le EDP 10ml | Swansura UK</t>
        </is>
      </c>
      <c r="AD250" s="58">
        <f>LEN(AC250)</f>
        <v/>
      </c>
      <c r="AE250" s="58" t="inlineStr">
        <is>
          <t>Buy Carolina Herrera Bad Boy Le Parfum Eau de Parfum online in the UK at Swansura. A woody men's eau de parfum, 10ml. 100% authentic, free UK delivery over £50.</t>
        </is>
      </c>
      <c r="AF250" s="58">
        <f>LEN(AE250)</f>
        <v/>
      </c>
    </row>
    <row r="251" ht="15" customHeight="1" s="37">
      <c r="A251" s="58" t="inlineStr">
        <is>
          <t>FR-091</t>
        </is>
      </c>
      <c r="B251" s="58" t="inlineStr">
        <is>
          <t>Fragrance Catalogue</t>
        </is>
      </c>
      <c r="C251" s="58" t="n">
        <v>91</v>
      </c>
      <c r="D251" s="58" t="inlineStr">
        <is>
          <t>Carolina Herrera</t>
        </is>
      </c>
      <c r="E251" s="58" t="n"/>
      <c r="F251" s="58" t="inlineStr">
        <is>
          <t>Fragrance</t>
        </is>
      </c>
      <c r="G251" s="58" t="inlineStr">
        <is>
          <t>Eau de Parfum (EDP)</t>
        </is>
      </c>
      <c r="H251" s="58" t="inlineStr">
        <is>
          <t>Woody · Men's Fragrance</t>
        </is>
      </c>
      <c r="I251" s="58" t="inlineStr">
        <is>
          <t>Carolina Herrera Bad Boy Le Parfum Eau de Parfum 150ml – Men's Woody Aromatic Fragrance</t>
        </is>
      </c>
      <c r="J251" s="58" t="inlineStr">
        <is>
          <t>150ml</t>
        </is>
      </c>
      <c r="K251" s="58" t="n">
        <v>76.98999999999999</v>
      </c>
      <c r="L251" s="58" t="inlineStr">
        <is>
          <t>carolina herrera bad boy le</t>
        </is>
      </c>
      <c r="M251" s="58" t="inlineStr">
        <is>
          <t>carolina herrera bad boy le uk</t>
        </is>
      </c>
      <c r="N251" s="58" t="inlineStr">
        <is>
          <t>buy carolina herrera bad boy le online</t>
        </is>
      </c>
      <c r="O251" s="58" t="inlineStr">
        <is>
          <t>carolina herrera bad boy le price</t>
        </is>
      </c>
      <c r="P251" s="58" t="inlineStr">
        <is>
          <t>carolina herrera bad boy le eau de parfum</t>
        </is>
      </c>
      <c r="Q251" s="59">
        <f>IF(L251="","",IFERROR(INDEX('Semrush Data'!$A$1:$Z$20000,MATCH(L251,'Semrush Data'!$A$1:$A$20000,0),MATCH("Volume",'Semrush Data'!$A$1:$Z$1,0)),""))</f>
        <v/>
      </c>
      <c r="R251" s="59">
        <f>IF(M251="","",IFERROR(INDEX('Semrush Data'!$A$1:$Z$20000,MATCH(M251,'Semrush Data'!$A$1:$A$20000,0),MATCH("Volume",'Semrush Data'!$A$1:$Z$1,0)),""))</f>
        <v/>
      </c>
      <c r="S251" s="59">
        <f>IF(N251="","",IFERROR(INDEX('Semrush Data'!$A$1:$Z$20000,MATCH(N251,'Semrush Data'!$A$1:$A$20000,0),MATCH("Volume",'Semrush Data'!$A$1:$Z$1,0)),""))</f>
        <v/>
      </c>
      <c r="T251" s="59">
        <f>IF(O251="","",IFERROR(INDEX('Semrush Data'!$A$1:$Z$20000,MATCH(O251,'Semrush Data'!$A$1:$A$20000,0),MATCH("Volume",'Semrush Data'!$A$1:$Z$1,0)),""))</f>
        <v/>
      </c>
      <c r="U251" s="59">
        <f>IF(P251="","",IFERROR(INDEX('Semrush Data'!$A$1:$Z$20000,MATCH(P251,'Semrush Data'!$A$1:$A$20000,0),MATCH("Volume",'Semrush Data'!$A$1:$Z$1,0)),""))</f>
        <v/>
      </c>
      <c r="V251" s="60">
        <f>IF(COUNT(Q251:U251)=0,L251,IF(MAX(Q251:U251)=0,L251,INDEX(L251:P251,MATCH(MAX(Q251:U251),Q251:U251,0))))</f>
        <v/>
      </c>
      <c r="W251" s="59">
        <f>IFERROR(INDEX('Semrush Data'!$A$1:$Z$20000,MATCH(V251,'Semrush Data'!$A$1:$A$20000,0),MATCH("Volume",'Semrush Data'!$A$1:$Z$1,0)),"")</f>
        <v/>
      </c>
      <c r="X251" s="59">
        <f>IFERROR(INDEX('Semrush Data'!$A$1:$Z$20000,MATCH(V251,'Semrush Data'!$A$1:$A$20000,0),MATCH("Keyword Difficulty*",'Semrush Data'!$A$1:$Z$1,0)),"")</f>
        <v/>
      </c>
      <c r="Y251" s="61">
        <f>IFERROR(INDEX('Semrush Data'!$A$1:$Z$20000,MATCH(V251,'Semrush Data'!$A$1:$A$20000,0),MATCH("CPC*",'Semrush Data'!$A$1:$Z$1,0)),"")</f>
        <v/>
      </c>
      <c r="Z251" s="58" t="inlineStr">
        <is>
          <t>carolina herrera perfume · carolina herrera perfume for men · woody perfume for men uk</t>
        </is>
      </c>
      <c r="AA251" s="58" t="inlineStr">
        <is>
          <t>carolina herrera bad boy le parfum · carolina herrera bad boy le parfum 100ml · carolina herrera bad boy le parfum notes · carolina herrera bad boy le parfum review · carolina herrera bad boy le parfum eau de parfum · carolina herrera bad boy le parfum 150ml</t>
        </is>
      </c>
      <c r="AB251" s="58" t="inlineStr">
        <is>
          <t>Carolina Herrera Bad Boy Le Parfum Eau de Parfum</t>
        </is>
      </c>
      <c r="AC251" s="58" t="inlineStr">
        <is>
          <t>Carolina Herrera Bad Boy Le EDP 150ml | Swansura UK</t>
        </is>
      </c>
      <c r="AD251" s="58">
        <f>LEN(AC251)</f>
        <v/>
      </c>
      <c r="AE251" s="58" t="inlineStr">
        <is>
          <t>Buy Carolina Herrera Bad Boy Le Parfum Eau de Parfum online in the UK at Swansura. A woody men's eau de parfum. 100% authentic, fast UK delivery, free over £50.</t>
        </is>
      </c>
      <c r="AF251" s="58">
        <f>LEN(AE251)</f>
        <v/>
      </c>
    </row>
    <row r="252" ht="15" customHeight="1" s="37">
      <c r="A252" s="58" t="inlineStr">
        <is>
          <t>FR-092</t>
        </is>
      </c>
      <c r="B252" s="58" t="inlineStr">
        <is>
          <t>Fragrance Catalogue</t>
        </is>
      </c>
      <c r="C252" s="58" t="n">
        <v>92</v>
      </c>
      <c r="D252" s="58" t="inlineStr">
        <is>
          <t>Carolina Herrera</t>
        </is>
      </c>
      <c r="E252" s="58" t="n"/>
      <c r="F252" s="58" t="inlineStr">
        <is>
          <t>Fragrance</t>
        </is>
      </c>
      <c r="G252" s="58" t="inlineStr">
        <is>
          <t>Eau de Toilette (EDT)</t>
        </is>
      </c>
      <c r="H252" s="58" t="inlineStr">
        <is>
          <t>Spicy · Men's Fragrance</t>
        </is>
      </c>
      <c r="I252" s="58" t="inlineStr">
        <is>
          <t>Carolina Herrera 212 Sexy Men Eau de Toilette 100ml – Men's Warm Spicy Fragrance</t>
        </is>
      </c>
      <c r="J252" s="58" t="inlineStr">
        <is>
          <t>100ml</t>
        </is>
      </c>
      <c r="K252" s="58" t="n">
        <v>54.99</v>
      </c>
      <c r="L252" s="58" t="inlineStr">
        <is>
          <t>carolina herrera 212 sexy men</t>
        </is>
      </c>
      <c r="M252" s="58" t="inlineStr">
        <is>
          <t>carolina herrera 212 sexy men uk</t>
        </is>
      </c>
      <c r="N252" s="58" t="inlineStr">
        <is>
          <t>buy carolina herrera 212 sexy men online</t>
        </is>
      </c>
      <c r="O252" s="58" t="inlineStr">
        <is>
          <t>carolina herrera 212 sexy men price</t>
        </is>
      </c>
      <c r="P252" s="58" t="inlineStr">
        <is>
          <t>carolina herrera 212 sexy men eau de toilette</t>
        </is>
      </c>
      <c r="Q252" s="59">
        <f>IF(L252="","",IFERROR(INDEX('Semrush Data'!$A$1:$Z$20000,MATCH(L252,'Semrush Data'!$A$1:$A$20000,0),MATCH("Volume",'Semrush Data'!$A$1:$Z$1,0)),""))</f>
        <v/>
      </c>
      <c r="R252" s="59">
        <f>IF(M252="","",IFERROR(INDEX('Semrush Data'!$A$1:$Z$20000,MATCH(M252,'Semrush Data'!$A$1:$A$20000,0),MATCH("Volume",'Semrush Data'!$A$1:$Z$1,0)),""))</f>
        <v/>
      </c>
      <c r="S252" s="59">
        <f>IF(N252="","",IFERROR(INDEX('Semrush Data'!$A$1:$Z$20000,MATCH(N252,'Semrush Data'!$A$1:$A$20000,0),MATCH("Volume",'Semrush Data'!$A$1:$Z$1,0)),""))</f>
        <v/>
      </c>
      <c r="T252" s="59">
        <f>IF(O252="","",IFERROR(INDEX('Semrush Data'!$A$1:$Z$20000,MATCH(O252,'Semrush Data'!$A$1:$A$20000,0),MATCH("Volume",'Semrush Data'!$A$1:$Z$1,0)),""))</f>
        <v/>
      </c>
      <c r="U252" s="59">
        <f>IF(P252="","",IFERROR(INDEX('Semrush Data'!$A$1:$Z$20000,MATCH(P252,'Semrush Data'!$A$1:$A$20000,0),MATCH("Volume",'Semrush Data'!$A$1:$Z$1,0)),""))</f>
        <v/>
      </c>
      <c r="V252" s="60">
        <f>IF(COUNT(Q252:U252)=0,L252,IF(MAX(Q252:U252)=0,L252,INDEX(L252:P252,MATCH(MAX(Q252:U252),Q252:U252,0))))</f>
        <v/>
      </c>
      <c r="W252" s="59">
        <f>IFERROR(INDEX('Semrush Data'!$A$1:$Z$20000,MATCH(V252,'Semrush Data'!$A$1:$A$20000,0),MATCH("Volume",'Semrush Data'!$A$1:$Z$1,0)),"")</f>
        <v/>
      </c>
      <c r="X252" s="59">
        <f>IFERROR(INDEX('Semrush Data'!$A$1:$Z$20000,MATCH(V252,'Semrush Data'!$A$1:$A$20000,0),MATCH("Keyword Difficulty*",'Semrush Data'!$A$1:$Z$1,0)),"")</f>
        <v/>
      </c>
      <c r="Y252" s="61">
        <f>IFERROR(INDEX('Semrush Data'!$A$1:$Z$20000,MATCH(V252,'Semrush Data'!$A$1:$A$20000,0),MATCH("CPC*",'Semrush Data'!$A$1:$Z$1,0)),"")</f>
        <v/>
      </c>
      <c r="Z252" s="58" t="inlineStr">
        <is>
          <t>carolina herrera perfume · carolina herrera perfume for men · spicy perfume for men uk</t>
        </is>
      </c>
      <c r="AA252" s="58" t="n"/>
      <c r="AB252" s="58" t="inlineStr">
        <is>
          <t>Carolina Herrera 212 Sexy Men Eau de Toilette</t>
        </is>
      </c>
      <c r="AC252" s="58" t="inlineStr">
        <is>
          <t>Carolina Herrera 212 Sexy Men Eau de Toilette | Swansura UK</t>
        </is>
      </c>
      <c r="AD252" s="58">
        <f>LEN(AC252)</f>
        <v/>
      </c>
      <c r="AE252" s="58" t="inlineStr">
        <is>
          <t>Buy Carolina Herrera 212 Sexy Men Eau de Toilette online in the UK at Swansura. A spicy men's eau de toilette, 100ml. 100% authentic, free UK delivery over £50.</t>
        </is>
      </c>
      <c r="AF252" s="58">
        <f>LEN(AE252)</f>
        <v/>
      </c>
    </row>
    <row r="253" ht="15" customHeight="1" s="37">
      <c r="A253" s="58" t="inlineStr">
        <is>
          <t>FR-093</t>
        </is>
      </c>
      <c r="B253" s="58" t="inlineStr">
        <is>
          <t>Fragrance Catalogue</t>
        </is>
      </c>
      <c r="C253" s="58" t="n">
        <v>93</v>
      </c>
      <c r="D253" s="58" t="inlineStr">
        <is>
          <t>Carolina Herrera</t>
        </is>
      </c>
      <c r="E253" s="58" t="n"/>
      <c r="F253" s="58" t="inlineStr">
        <is>
          <t>Fragrance</t>
        </is>
      </c>
      <c r="G253" s="58" t="inlineStr">
        <is>
          <t>Eau de Toilette (EDT)</t>
        </is>
      </c>
      <c r="H253" s="58" t="inlineStr">
        <is>
          <t>Woody · Men's Fragrance</t>
        </is>
      </c>
      <c r="I253" s="58" t="inlineStr">
        <is>
          <t>Carolina Herrera 212 VIP Men Eau de Toilette 100ml – Men's Aromatic Woody Fragrance</t>
        </is>
      </c>
      <c r="J253" s="58" t="inlineStr">
        <is>
          <t>100ml</t>
        </is>
      </c>
      <c r="K253" s="58" t="n">
        <v>55.99</v>
      </c>
      <c r="L253" s="58" t="inlineStr">
        <is>
          <t>carolina herrera 212 vip men</t>
        </is>
      </c>
      <c r="M253" s="58" t="inlineStr">
        <is>
          <t>carolina herrera 212 vip men uk</t>
        </is>
      </c>
      <c r="N253" s="58" t="inlineStr">
        <is>
          <t>buy carolina herrera 212 vip men online</t>
        </is>
      </c>
      <c r="O253" s="58" t="inlineStr">
        <is>
          <t>carolina herrera 212 vip men price</t>
        </is>
      </c>
      <c r="P253" s="58" t="inlineStr">
        <is>
          <t>carolina herrera 212 vip men eau de toilette</t>
        </is>
      </c>
      <c r="Q253" s="59">
        <f>IF(L253="","",IFERROR(INDEX('Semrush Data'!$A$1:$Z$20000,MATCH(L253,'Semrush Data'!$A$1:$A$20000,0),MATCH("Volume",'Semrush Data'!$A$1:$Z$1,0)),""))</f>
        <v/>
      </c>
      <c r="R253" s="59">
        <f>IF(M253="","",IFERROR(INDEX('Semrush Data'!$A$1:$Z$20000,MATCH(M253,'Semrush Data'!$A$1:$A$20000,0),MATCH("Volume",'Semrush Data'!$A$1:$Z$1,0)),""))</f>
        <v/>
      </c>
      <c r="S253" s="59">
        <f>IF(N253="","",IFERROR(INDEX('Semrush Data'!$A$1:$Z$20000,MATCH(N253,'Semrush Data'!$A$1:$A$20000,0),MATCH("Volume",'Semrush Data'!$A$1:$Z$1,0)),""))</f>
        <v/>
      </c>
      <c r="T253" s="59">
        <f>IF(O253="","",IFERROR(INDEX('Semrush Data'!$A$1:$Z$20000,MATCH(O253,'Semrush Data'!$A$1:$A$20000,0),MATCH("Volume",'Semrush Data'!$A$1:$Z$1,0)),""))</f>
        <v/>
      </c>
      <c r="U253" s="59">
        <f>IF(P253="","",IFERROR(INDEX('Semrush Data'!$A$1:$Z$20000,MATCH(P253,'Semrush Data'!$A$1:$A$20000,0),MATCH("Volume",'Semrush Data'!$A$1:$Z$1,0)),""))</f>
        <v/>
      </c>
      <c r="V253" s="60">
        <f>IF(COUNT(Q253:U253)=0,L253,IF(MAX(Q253:U253)=0,L253,INDEX(L253:P253,MATCH(MAX(Q253:U253),Q253:U253,0))))</f>
        <v/>
      </c>
      <c r="W253" s="59">
        <f>IFERROR(INDEX('Semrush Data'!$A$1:$Z$20000,MATCH(V253,'Semrush Data'!$A$1:$A$20000,0),MATCH("Volume",'Semrush Data'!$A$1:$Z$1,0)),"")</f>
        <v/>
      </c>
      <c r="X253" s="59">
        <f>IFERROR(INDEX('Semrush Data'!$A$1:$Z$20000,MATCH(V253,'Semrush Data'!$A$1:$A$20000,0),MATCH("Keyword Difficulty*",'Semrush Data'!$A$1:$Z$1,0)),"")</f>
        <v/>
      </c>
      <c r="Y253" s="61">
        <f>IFERROR(INDEX('Semrush Data'!$A$1:$Z$20000,MATCH(V253,'Semrush Data'!$A$1:$A$20000,0),MATCH("CPC*",'Semrush Data'!$A$1:$Z$1,0)),"")</f>
        <v/>
      </c>
      <c r="Z253" s="58" t="inlineStr">
        <is>
          <t>carolina herrera perfume · carolina herrera perfume for men · woody perfume for men uk</t>
        </is>
      </c>
      <c r="AA253" s="58" t="inlineStr">
        <is>
          <t>carolina herrera 212 vip men edt · carolina herrera 212 vip men review · carolina herrera 212 vip men notes</t>
        </is>
      </c>
      <c r="AB253" s="58" t="inlineStr">
        <is>
          <t>Carolina Herrera 212 VIP Men Eau de Toilette</t>
        </is>
      </c>
      <c r="AC253" s="58" t="inlineStr">
        <is>
          <t>Carolina Herrera 212 VIP Men Eau de Toilette | Swansura UK</t>
        </is>
      </c>
      <c r="AD253" s="58">
        <f>LEN(AC253)</f>
        <v/>
      </c>
      <c r="AE253" s="58" t="inlineStr">
        <is>
          <t>Buy Carolina Herrera 212 VIP Men Eau de Toilette online in the UK at Swansura. A woody men's eau de toilette, 100ml. 100% authentic, free UK delivery over £50.</t>
        </is>
      </c>
      <c r="AF253" s="58">
        <f>LEN(AE253)</f>
        <v/>
      </c>
    </row>
    <row r="254" ht="15" customHeight="1" s="37">
      <c r="A254" s="58" t="inlineStr">
        <is>
          <t>FR-094</t>
        </is>
      </c>
      <c r="B254" s="58" t="inlineStr">
        <is>
          <t>Fragrance Catalogue</t>
        </is>
      </c>
      <c r="C254" s="58" t="n">
        <v>94</v>
      </c>
      <c r="D254" s="58" t="inlineStr">
        <is>
          <t>Carolina Herrera</t>
        </is>
      </c>
      <c r="E254" s="58" t="n"/>
      <c r="F254" s="58" t="inlineStr">
        <is>
          <t>Fragrance</t>
        </is>
      </c>
      <c r="G254" s="58" t="inlineStr">
        <is>
          <t>Parfum</t>
        </is>
      </c>
      <c r="H254" s="58" t="inlineStr">
        <is>
          <t>Floral · Women's Fragrance</t>
        </is>
      </c>
      <c r="I254" s="58" t="inlineStr">
        <is>
          <t>Carolina Herrera Very Good Girl Glam Parfum 50ml – Women's Floral Fruity Gourmand Fragrance</t>
        </is>
      </c>
      <c r="J254" s="58" t="inlineStr">
        <is>
          <t>50ml</t>
        </is>
      </c>
      <c r="K254" s="58" t="n">
        <v>62.99</v>
      </c>
      <c r="L254" s="58" t="inlineStr">
        <is>
          <t>carolina herrera very good girl glam</t>
        </is>
      </c>
      <c r="M254" s="58" t="inlineStr">
        <is>
          <t>carolina herrera very good girl glam uk</t>
        </is>
      </c>
      <c r="N254" s="58" t="inlineStr">
        <is>
          <t>buy carolina herrera very good girl glam online</t>
        </is>
      </c>
      <c r="O254" s="58" t="inlineStr">
        <is>
          <t>carolina herrera very good girl glam price</t>
        </is>
      </c>
      <c r="P254" s="58" t="inlineStr">
        <is>
          <t>carolina herrera very good girl glam parfum</t>
        </is>
      </c>
      <c r="Q254" s="59">
        <f>IF(L254="","",IFERROR(INDEX('Semrush Data'!$A$1:$Z$20000,MATCH(L254,'Semrush Data'!$A$1:$A$20000,0),MATCH("Volume",'Semrush Data'!$A$1:$Z$1,0)),""))</f>
        <v/>
      </c>
      <c r="R254" s="59">
        <f>IF(M254="","",IFERROR(INDEX('Semrush Data'!$A$1:$Z$20000,MATCH(M254,'Semrush Data'!$A$1:$A$20000,0),MATCH("Volume",'Semrush Data'!$A$1:$Z$1,0)),""))</f>
        <v/>
      </c>
      <c r="S254" s="59">
        <f>IF(N254="","",IFERROR(INDEX('Semrush Data'!$A$1:$Z$20000,MATCH(N254,'Semrush Data'!$A$1:$A$20000,0),MATCH("Volume",'Semrush Data'!$A$1:$Z$1,0)),""))</f>
        <v/>
      </c>
      <c r="T254" s="59">
        <f>IF(O254="","",IFERROR(INDEX('Semrush Data'!$A$1:$Z$20000,MATCH(O254,'Semrush Data'!$A$1:$A$20000,0),MATCH("Volume",'Semrush Data'!$A$1:$Z$1,0)),""))</f>
        <v/>
      </c>
      <c r="U254" s="59">
        <f>IF(P254="","",IFERROR(INDEX('Semrush Data'!$A$1:$Z$20000,MATCH(P254,'Semrush Data'!$A$1:$A$20000,0),MATCH("Volume",'Semrush Data'!$A$1:$Z$1,0)),""))</f>
        <v/>
      </c>
      <c r="V254" s="60">
        <f>IF(COUNT(Q254:U254)=0,L254,IF(MAX(Q254:U254)=0,L254,INDEX(L254:P254,MATCH(MAX(Q254:U254),Q254:U254,0))))</f>
        <v/>
      </c>
      <c r="W254" s="59">
        <f>IFERROR(INDEX('Semrush Data'!$A$1:$Z$20000,MATCH(V254,'Semrush Data'!$A$1:$A$20000,0),MATCH("Volume",'Semrush Data'!$A$1:$Z$1,0)),"")</f>
        <v/>
      </c>
      <c r="X254" s="59">
        <f>IFERROR(INDEX('Semrush Data'!$A$1:$Z$20000,MATCH(V254,'Semrush Data'!$A$1:$A$20000,0),MATCH("Keyword Difficulty*",'Semrush Data'!$A$1:$Z$1,0)),"")</f>
        <v/>
      </c>
      <c r="Y254" s="61">
        <f>IFERROR(INDEX('Semrush Data'!$A$1:$Z$20000,MATCH(V254,'Semrush Data'!$A$1:$A$20000,0),MATCH("CPC*",'Semrush Data'!$A$1:$Z$1,0)),"")</f>
        <v/>
      </c>
      <c r="Z254" s="58" t="inlineStr">
        <is>
          <t>carolina herrera perfume · carolina herrera perfume for women · floral perfume for women uk</t>
        </is>
      </c>
      <c r="AA254" s="58" t="inlineStr">
        <is>
          <t>carolina herrera very good girl glam parfum · carolina herrera very good girl glam 80ml · carolina herrera very good girl glam notes · carolina herrera very good girl glam eau de parfum · carolina herrera very good girl glam dupe · carolina herrera very good girl glam 100ml</t>
        </is>
      </c>
      <c r="AB254" s="58" t="inlineStr">
        <is>
          <t>Carolina Herrera Very Good Girl Glam Parfum</t>
        </is>
      </c>
      <c r="AC254" s="58" t="inlineStr">
        <is>
          <t>Carolina Herrera Very Good Girl Glam Parfum | Swansura UK</t>
        </is>
      </c>
      <c r="AD254" s="58">
        <f>LEN(AC254)</f>
        <v/>
      </c>
      <c r="AE254" s="58" t="inlineStr">
        <is>
          <t>Buy Carolina Herrera Very Good Girl Glam Parfum online in the UK at Swansura. A floral women's parfum, 50ml. 100% authentic, fast UK delivery, free over £50.</t>
        </is>
      </c>
      <c r="AF254" s="58">
        <f>LEN(AE254)</f>
        <v/>
      </c>
    </row>
    <row r="255" ht="15" customHeight="1" s="37">
      <c r="A255" s="58" t="inlineStr">
        <is>
          <t>FR-095</t>
        </is>
      </c>
      <c r="B255" s="58" t="inlineStr">
        <is>
          <t>Fragrance Catalogue</t>
        </is>
      </c>
      <c r="C255" s="58" t="n">
        <v>95</v>
      </c>
      <c r="D255" s="58" t="inlineStr">
        <is>
          <t>Chloe</t>
        </is>
      </c>
      <c r="E255" s="58" t="inlineStr">
        <is>
          <t>Spelling: Chloé</t>
        </is>
      </c>
      <c r="F255" s="58" t="inlineStr">
        <is>
          <t>Fragrance</t>
        </is>
      </c>
      <c r="G255" s="58" t="inlineStr">
        <is>
          <t>Eau de Parfum (EDP)</t>
        </is>
      </c>
      <c r="H255" s="58" t="inlineStr">
        <is>
          <t>Floral · Women's Fragrance</t>
        </is>
      </c>
      <c r="I255" s="58" t="inlineStr">
        <is>
          <t>Chloé Nomade Eau de Parfum 50ml – Women's Floral Chypre Fragrance</t>
        </is>
      </c>
      <c r="J255" s="58" t="inlineStr">
        <is>
          <t>50ml</t>
        </is>
      </c>
      <c r="K255" s="58" t="n">
        <v>51.99</v>
      </c>
      <c r="L255" s="58" t="inlineStr">
        <is>
          <t>chloe nomade</t>
        </is>
      </c>
      <c r="M255" s="58" t="inlineStr">
        <is>
          <t>chloe nomade uk</t>
        </is>
      </c>
      <c r="N255" s="58" t="inlineStr">
        <is>
          <t>buy chloe nomade online</t>
        </is>
      </c>
      <c r="O255" s="58" t="inlineStr">
        <is>
          <t>chloe nomade price</t>
        </is>
      </c>
      <c r="P255" s="58" t="inlineStr">
        <is>
          <t>chloe nomade eau de parfum</t>
        </is>
      </c>
      <c r="Q255" s="59">
        <f>IF(L255="","",IFERROR(INDEX('Semrush Data'!$A$1:$Z$20000,MATCH(L255,'Semrush Data'!$A$1:$A$20000,0),MATCH("Volume",'Semrush Data'!$A$1:$Z$1,0)),""))</f>
        <v/>
      </c>
      <c r="R255" s="59">
        <f>IF(M255="","",IFERROR(INDEX('Semrush Data'!$A$1:$Z$20000,MATCH(M255,'Semrush Data'!$A$1:$A$20000,0),MATCH("Volume",'Semrush Data'!$A$1:$Z$1,0)),""))</f>
        <v/>
      </c>
      <c r="S255" s="59">
        <f>IF(N255="","",IFERROR(INDEX('Semrush Data'!$A$1:$Z$20000,MATCH(N255,'Semrush Data'!$A$1:$A$20000,0),MATCH("Volume",'Semrush Data'!$A$1:$Z$1,0)),""))</f>
        <v/>
      </c>
      <c r="T255" s="59">
        <f>IF(O255="","",IFERROR(INDEX('Semrush Data'!$A$1:$Z$20000,MATCH(O255,'Semrush Data'!$A$1:$A$20000,0),MATCH("Volume",'Semrush Data'!$A$1:$Z$1,0)),""))</f>
        <v/>
      </c>
      <c r="U255" s="59">
        <f>IF(P255="","",IFERROR(INDEX('Semrush Data'!$A$1:$Z$20000,MATCH(P255,'Semrush Data'!$A$1:$A$20000,0),MATCH("Volume",'Semrush Data'!$A$1:$Z$1,0)),""))</f>
        <v/>
      </c>
      <c r="V255" s="60">
        <f>IF(COUNT(Q255:U255)=0,L255,IF(MAX(Q255:U255)=0,L255,INDEX(L255:P255,MATCH(MAX(Q255:U255),Q255:U255,0))))</f>
        <v/>
      </c>
      <c r="W255" s="59">
        <f>IFERROR(INDEX('Semrush Data'!$A$1:$Z$20000,MATCH(V255,'Semrush Data'!$A$1:$A$20000,0),MATCH("Volume",'Semrush Data'!$A$1:$Z$1,0)),"")</f>
        <v/>
      </c>
      <c r="X255" s="59">
        <f>IFERROR(INDEX('Semrush Data'!$A$1:$Z$20000,MATCH(V255,'Semrush Data'!$A$1:$A$20000,0),MATCH("Keyword Difficulty*",'Semrush Data'!$A$1:$Z$1,0)),"")</f>
        <v/>
      </c>
      <c r="Y255" s="61">
        <f>IFERROR(INDEX('Semrush Data'!$A$1:$Z$20000,MATCH(V255,'Semrush Data'!$A$1:$A$20000,0),MATCH("CPC*",'Semrush Data'!$A$1:$Z$1,0)),"")</f>
        <v/>
      </c>
      <c r="Z255" s="58" t="inlineStr">
        <is>
          <t>chloé perfume · chloé perfume for women · floral perfume for women uk</t>
        </is>
      </c>
      <c r="AA255" s="58" t="inlineStr">
        <is>
          <t>chloe nomade perfume · chloe nomade notes · chloe nomade edp · chloe nomade parfum</t>
        </is>
      </c>
      <c r="AB255" s="58" t="inlineStr">
        <is>
          <t>Chloé Nomade Eau de Parfum</t>
        </is>
      </c>
      <c r="AC255" s="58" t="inlineStr">
        <is>
          <t>Chloé Nomade Eau de Parfum | Buy Online UK | Swansura</t>
        </is>
      </c>
      <c r="AD255" s="58">
        <f>LEN(AC255)</f>
        <v/>
      </c>
      <c r="AE255" s="58" t="inlineStr">
        <is>
          <t>Buy Chloé Nomade Eau de Parfum online in the UK at Swansura. A floral women's eau de parfum, 50ml. 100% authentic, fast UK delivery, free over £50.</t>
        </is>
      </c>
      <c r="AF255" s="58">
        <f>LEN(AE255)</f>
        <v/>
      </c>
    </row>
    <row r="256" ht="15" customHeight="1" s="37">
      <c r="A256" s="58" t="inlineStr">
        <is>
          <t>FR-096</t>
        </is>
      </c>
      <c r="B256" s="58" t="inlineStr">
        <is>
          <t>Fragrance Catalogue</t>
        </is>
      </c>
      <c r="C256" s="58" t="n">
        <v>96</v>
      </c>
      <c r="D256" s="58" t="inlineStr">
        <is>
          <t>Chloe</t>
        </is>
      </c>
      <c r="E256" s="58" t="inlineStr">
        <is>
          <t>Spelling: Chloé</t>
        </is>
      </c>
      <c r="F256" s="58" t="inlineStr">
        <is>
          <t>Fragrance</t>
        </is>
      </c>
      <c r="G256" s="58" t="inlineStr">
        <is>
          <t>Eau de Parfum (EDP)</t>
        </is>
      </c>
      <c r="H256" s="58" t="inlineStr">
        <is>
          <t>Floral · Women's Fragrance</t>
        </is>
      </c>
      <c r="I256" s="58" t="inlineStr">
        <is>
          <t>Chloé Nomade Jasmin Naturel Intense Eau de Parfum – Women's Floral Woody Fragrance</t>
        </is>
      </c>
      <c r="J256" s="58" t="inlineStr">
        <is>
          <t>50ml</t>
        </is>
      </c>
      <c r="K256" s="58" t="n">
        <v>43.99</v>
      </c>
      <c r="L256" s="58" t="inlineStr">
        <is>
          <t>chloe nomade jasmin naturel intense</t>
        </is>
      </c>
      <c r="M256" s="58" t="inlineStr">
        <is>
          <t>chloe nomade jasmin naturel intense uk</t>
        </is>
      </c>
      <c r="N256" s="58" t="inlineStr">
        <is>
          <t>buy chloe nomade jasmin naturel intense online</t>
        </is>
      </c>
      <c r="O256" s="58" t="inlineStr">
        <is>
          <t>chloe nomade jasmin naturel intense price</t>
        </is>
      </c>
      <c r="P256" s="58" t="inlineStr">
        <is>
          <t>chloe nomade jasmin naturel intense eau de parfum</t>
        </is>
      </c>
      <c r="Q256" s="59">
        <f>IF(L256="","",IFERROR(INDEX('Semrush Data'!$A$1:$Z$20000,MATCH(L256,'Semrush Data'!$A$1:$A$20000,0),MATCH("Volume",'Semrush Data'!$A$1:$Z$1,0)),""))</f>
        <v/>
      </c>
      <c r="R256" s="59">
        <f>IF(M256="","",IFERROR(INDEX('Semrush Data'!$A$1:$Z$20000,MATCH(M256,'Semrush Data'!$A$1:$A$20000,0),MATCH("Volume",'Semrush Data'!$A$1:$Z$1,0)),""))</f>
        <v/>
      </c>
      <c r="S256" s="59">
        <f>IF(N256="","",IFERROR(INDEX('Semrush Data'!$A$1:$Z$20000,MATCH(N256,'Semrush Data'!$A$1:$A$20000,0),MATCH("Volume",'Semrush Data'!$A$1:$Z$1,0)),""))</f>
        <v/>
      </c>
      <c r="T256" s="59">
        <f>IF(O256="","",IFERROR(INDEX('Semrush Data'!$A$1:$Z$20000,MATCH(O256,'Semrush Data'!$A$1:$A$20000,0),MATCH("Volume",'Semrush Data'!$A$1:$Z$1,0)),""))</f>
        <v/>
      </c>
      <c r="U256" s="59">
        <f>IF(P256="","",IFERROR(INDEX('Semrush Data'!$A$1:$Z$20000,MATCH(P256,'Semrush Data'!$A$1:$A$20000,0),MATCH("Volume",'Semrush Data'!$A$1:$Z$1,0)),""))</f>
        <v/>
      </c>
      <c r="V256" s="60">
        <f>IF(COUNT(Q256:U256)=0,L256,IF(MAX(Q256:U256)=0,L256,INDEX(L256:P256,MATCH(MAX(Q256:U256),Q256:U256,0))))</f>
        <v/>
      </c>
      <c r="W256" s="59">
        <f>IFERROR(INDEX('Semrush Data'!$A$1:$Z$20000,MATCH(V256,'Semrush Data'!$A$1:$A$20000,0),MATCH("Volume",'Semrush Data'!$A$1:$Z$1,0)),"")</f>
        <v/>
      </c>
      <c r="X256" s="59">
        <f>IFERROR(INDEX('Semrush Data'!$A$1:$Z$20000,MATCH(V256,'Semrush Data'!$A$1:$A$20000,0),MATCH("Keyword Difficulty*",'Semrush Data'!$A$1:$Z$1,0)),"")</f>
        <v/>
      </c>
      <c r="Y256" s="61">
        <f>IFERROR(INDEX('Semrush Data'!$A$1:$Z$20000,MATCH(V256,'Semrush Data'!$A$1:$A$20000,0),MATCH("CPC*",'Semrush Data'!$A$1:$Z$1,0)),"")</f>
        <v/>
      </c>
      <c r="Z256" s="58" t="inlineStr">
        <is>
          <t>chloé perfume · chloé perfume for women · floral perfume for women uk</t>
        </is>
      </c>
      <c r="AA256" s="58" t="inlineStr">
        <is>
          <t>chloe nomade jasmin naturel intense review · chloe nomade jasmin naturel intense notes · chloe nomade jasmin naturel intense eau de parfum · chloe nomade jasmin naturel intense perfume · chloe nomade jasmin naturel intense edp · chloe nomade jasmin naturel intense 75ml</t>
        </is>
      </c>
      <c r="AB256" s="58" t="inlineStr">
        <is>
          <t>Chloé Nomade Jasmin Naturel Intense Eau de Parfum</t>
        </is>
      </c>
      <c r="AC256" s="58" t="inlineStr">
        <is>
          <t>Chloé Nomade Jasmin Naturel Intense EDP 50ml | Swansura UK</t>
        </is>
      </c>
      <c r="AD256" s="58">
        <f>LEN(AC256)</f>
        <v/>
      </c>
      <c r="AE256" s="58" t="inlineStr">
        <is>
          <t>Buy Chloé Nomade Jasmin Naturel Intense Eau de Parfum online in the UK at Swansura. A floral women's eau de parfum. 100% authentic, free UK delivery over £50.</t>
        </is>
      </c>
      <c r="AF256" s="58">
        <f>LEN(AE256)</f>
        <v/>
      </c>
    </row>
    <row r="257" ht="15" customHeight="1" s="37">
      <c r="A257" s="58" t="inlineStr">
        <is>
          <t>FR-097</t>
        </is>
      </c>
      <c r="B257" s="58" t="inlineStr">
        <is>
          <t>Fragrance Catalogue</t>
        </is>
      </c>
      <c r="C257" s="58" t="n">
        <v>97</v>
      </c>
      <c r="D257" s="58" t="inlineStr">
        <is>
          <t>Chloe</t>
        </is>
      </c>
      <c r="E257" s="58" t="inlineStr">
        <is>
          <t>Spelling: Chloé</t>
        </is>
      </c>
      <c r="F257" s="58" t="inlineStr">
        <is>
          <t>Fragrance</t>
        </is>
      </c>
      <c r="G257" s="58" t="inlineStr">
        <is>
          <t>Eau de Parfum (EDP)</t>
        </is>
      </c>
      <c r="H257" s="58" t="inlineStr">
        <is>
          <t>Floral · Women's Fragrance</t>
        </is>
      </c>
      <c r="I257" s="58" t="inlineStr">
        <is>
          <t>Chloé Nomade Nuit d'Égypte Eau de Parfum 50ml – Women's Warm Spicy Floral Fragrance</t>
        </is>
      </c>
      <c r="J257" s="58" t="inlineStr">
        <is>
          <t>50ml</t>
        </is>
      </c>
      <c r="K257" s="58" t="n">
        <v>55.99</v>
      </c>
      <c r="L257" s="58" t="inlineStr">
        <is>
          <t>chloe nomade nuit d'egypte</t>
        </is>
      </c>
      <c r="M257" s="58" t="inlineStr">
        <is>
          <t>chloe nomade nuit d'egypte uk</t>
        </is>
      </c>
      <c r="N257" s="58" t="inlineStr">
        <is>
          <t>buy chloe nomade nuit d'egypte online</t>
        </is>
      </c>
      <c r="O257" s="58" t="inlineStr">
        <is>
          <t>chloe nomade nuit d'egypte price</t>
        </is>
      </c>
      <c r="P257" s="58" t="inlineStr">
        <is>
          <t>chloe nomade nuit d'egypte eau de parfum</t>
        </is>
      </c>
      <c r="Q257" s="59">
        <f>IF(L257="","",IFERROR(INDEX('Semrush Data'!$A$1:$Z$20000,MATCH(L257,'Semrush Data'!$A$1:$A$20000,0),MATCH("Volume",'Semrush Data'!$A$1:$Z$1,0)),""))</f>
        <v/>
      </c>
      <c r="R257" s="59">
        <f>IF(M257="","",IFERROR(INDEX('Semrush Data'!$A$1:$Z$20000,MATCH(M257,'Semrush Data'!$A$1:$A$20000,0),MATCH("Volume",'Semrush Data'!$A$1:$Z$1,0)),""))</f>
        <v/>
      </c>
      <c r="S257" s="59">
        <f>IF(N257="","",IFERROR(INDEX('Semrush Data'!$A$1:$Z$20000,MATCH(N257,'Semrush Data'!$A$1:$A$20000,0),MATCH("Volume",'Semrush Data'!$A$1:$Z$1,0)),""))</f>
        <v/>
      </c>
      <c r="T257" s="59">
        <f>IF(O257="","",IFERROR(INDEX('Semrush Data'!$A$1:$Z$20000,MATCH(O257,'Semrush Data'!$A$1:$A$20000,0),MATCH("Volume",'Semrush Data'!$A$1:$Z$1,0)),""))</f>
        <v/>
      </c>
      <c r="U257" s="59">
        <f>IF(P257="","",IFERROR(INDEX('Semrush Data'!$A$1:$Z$20000,MATCH(P257,'Semrush Data'!$A$1:$A$20000,0),MATCH("Volume",'Semrush Data'!$A$1:$Z$1,0)),""))</f>
        <v/>
      </c>
      <c r="V257" s="60">
        <f>IF(COUNT(Q257:U257)=0,L257,IF(MAX(Q257:U257)=0,L257,INDEX(L257:P257,MATCH(MAX(Q257:U257),Q257:U257,0))))</f>
        <v/>
      </c>
      <c r="W257" s="59">
        <f>IFERROR(INDEX('Semrush Data'!$A$1:$Z$20000,MATCH(V257,'Semrush Data'!$A$1:$A$20000,0),MATCH("Volume",'Semrush Data'!$A$1:$Z$1,0)),"")</f>
        <v/>
      </c>
      <c r="X257" s="59">
        <f>IFERROR(INDEX('Semrush Data'!$A$1:$Z$20000,MATCH(V257,'Semrush Data'!$A$1:$A$20000,0),MATCH("Keyword Difficulty*",'Semrush Data'!$A$1:$Z$1,0)),"")</f>
        <v/>
      </c>
      <c r="Y257" s="61">
        <f>IFERROR(INDEX('Semrush Data'!$A$1:$Z$20000,MATCH(V257,'Semrush Data'!$A$1:$A$20000,0),MATCH("CPC*",'Semrush Data'!$A$1:$Z$1,0)),"")</f>
        <v/>
      </c>
      <c r="Z257" s="58" t="inlineStr">
        <is>
          <t>chloé perfume · chloé perfume for women · floral perfume for women uk</t>
        </is>
      </c>
      <c r="AA257" s="58" t="inlineStr">
        <is>
          <t>chloe nomade nuit d'egypte notes · chloe nomade nuit d'egypte reviews · chloe nomade nuit d'egypte perfume · chloe nomade nuit d'egypte 50ml · chloe nomade nuit d'egypte 75ml · chloe nomade nuit d'egypte dupe</t>
        </is>
      </c>
      <c r="AB257" s="58" t="inlineStr">
        <is>
          <t>Chloé Nomade Nuit D'Égypte Eau de Parfum</t>
        </is>
      </c>
      <c r="AC257" s="58" t="inlineStr">
        <is>
          <t>Chloé Nomade Nuit D'Égypte Eau de Parfum | Swansura UK</t>
        </is>
      </c>
      <c r="AD257" s="58">
        <f>LEN(AC257)</f>
        <v/>
      </c>
      <c r="AE257" s="58" t="inlineStr">
        <is>
          <t>Buy Chloé Nomade Nuit D'Égypte Eau de Parfum online in the UK at Swansura. A floral women's eau de parfum, 50ml. 100% authentic, free UK delivery over £50.</t>
        </is>
      </c>
      <c r="AF257" s="58">
        <f>LEN(AE257)</f>
        <v/>
      </c>
    </row>
    <row r="258" ht="15" customHeight="1" s="37">
      <c r="A258" s="58" t="inlineStr">
        <is>
          <t>FR-098</t>
        </is>
      </c>
      <c r="B258" s="58" t="inlineStr">
        <is>
          <t>Fragrance Catalogue</t>
        </is>
      </c>
      <c r="C258" s="58" t="n">
        <v>98</v>
      </c>
      <c r="D258" s="58" t="inlineStr">
        <is>
          <t>Chloe</t>
        </is>
      </c>
      <c r="E258" s="58" t="inlineStr">
        <is>
          <t>Spelling: Chloé</t>
        </is>
      </c>
      <c r="F258" s="58" t="inlineStr">
        <is>
          <t>Fragrance</t>
        </is>
      </c>
      <c r="G258" s="58" t="inlineStr">
        <is>
          <t>Eau de Parfum (EDP)</t>
        </is>
      </c>
      <c r="H258" s="58" t="inlineStr">
        <is>
          <t>Floral · Women's Fragrance</t>
        </is>
      </c>
      <c r="I258" s="58" t="inlineStr">
        <is>
          <t>Chloé Rose Naturelle Intense Eau de Parfum 50ml – Women's Floral Woody Fragrance</t>
        </is>
      </c>
      <c r="J258" s="58" t="inlineStr">
        <is>
          <t>50ml</t>
        </is>
      </c>
      <c r="K258" s="58" t="n">
        <v>43.99</v>
      </c>
      <c r="L258" s="58" t="inlineStr">
        <is>
          <t>chloe rose naturelle intense</t>
        </is>
      </c>
      <c r="M258" s="58" t="inlineStr">
        <is>
          <t>chloe rose naturelle intense uk</t>
        </is>
      </c>
      <c r="N258" s="58" t="inlineStr">
        <is>
          <t>buy chloe rose naturelle intense online</t>
        </is>
      </c>
      <c r="O258" s="58" t="inlineStr">
        <is>
          <t>chloe rose naturelle intense price</t>
        </is>
      </c>
      <c r="P258" s="58" t="inlineStr">
        <is>
          <t>chloe rose naturelle intense eau de parfum</t>
        </is>
      </c>
      <c r="Q258" s="59">
        <f>IF(L258="","",IFERROR(INDEX('Semrush Data'!$A$1:$Z$20000,MATCH(L258,'Semrush Data'!$A$1:$A$20000,0),MATCH("Volume",'Semrush Data'!$A$1:$Z$1,0)),""))</f>
        <v/>
      </c>
      <c r="R258" s="59">
        <f>IF(M258="","",IFERROR(INDEX('Semrush Data'!$A$1:$Z$20000,MATCH(M258,'Semrush Data'!$A$1:$A$20000,0),MATCH("Volume",'Semrush Data'!$A$1:$Z$1,0)),""))</f>
        <v/>
      </c>
      <c r="S258" s="59">
        <f>IF(N258="","",IFERROR(INDEX('Semrush Data'!$A$1:$Z$20000,MATCH(N258,'Semrush Data'!$A$1:$A$20000,0),MATCH("Volume",'Semrush Data'!$A$1:$Z$1,0)),""))</f>
        <v/>
      </c>
      <c r="T258" s="59">
        <f>IF(O258="","",IFERROR(INDEX('Semrush Data'!$A$1:$Z$20000,MATCH(O258,'Semrush Data'!$A$1:$A$20000,0),MATCH("Volume",'Semrush Data'!$A$1:$Z$1,0)),""))</f>
        <v/>
      </c>
      <c r="U258" s="59">
        <f>IF(P258="","",IFERROR(INDEX('Semrush Data'!$A$1:$Z$20000,MATCH(P258,'Semrush Data'!$A$1:$A$20000,0),MATCH("Volume",'Semrush Data'!$A$1:$Z$1,0)),""))</f>
        <v/>
      </c>
      <c r="V258" s="60">
        <f>IF(COUNT(Q258:U258)=0,L258,IF(MAX(Q258:U258)=0,L258,INDEX(L258:P258,MATCH(MAX(Q258:U258),Q258:U258,0))))</f>
        <v/>
      </c>
      <c r="W258" s="59">
        <f>IFERROR(INDEX('Semrush Data'!$A$1:$Z$20000,MATCH(V258,'Semrush Data'!$A$1:$A$20000,0),MATCH("Volume",'Semrush Data'!$A$1:$Z$1,0)),"")</f>
        <v/>
      </c>
      <c r="X258" s="59">
        <f>IFERROR(INDEX('Semrush Data'!$A$1:$Z$20000,MATCH(V258,'Semrush Data'!$A$1:$A$20000,0),MATCH("Keyword Difficulty*",'Semrush Data'!$A$1:$Z$1,0)),"")</f>
        <v/>
      </c>
      <c r="Y258" s="61">
        <f>IFERROR(INDEX('Semrush Data'!$A$1:$Z$20000,MATCH(V258,'Semrush Data'!$A$1:$A$20000,0),MATCH("CPC*",'Semrush Data'!$A$1:$Z$1,0)),"")</f>
        <v/>
      </c>
      <c r="Z258" s="58" t="inlineStr">
        <is>
          <t>chloé perfume · chloé perfume for women · floral perfume for women uk</t>
        </is>
      </c>
      <c r="AA258" s="58" t="inlineStr">
        <is>
          <t>chloe rose naturelle intense 100ml · chloe rose naturelle intense eau de parfum · chloe rose naturelle intense eau de parfum reviews · chloe rose naturelle intense notes · chloe rose naturelle intense edp · chloe rose naturelle intense dupe</t>
        </is>
      </c>
      <c r="AB258" s="58" t="inlineStr">
        <is>
          <t>Chloé Rose Naturelle Intense Eau de Parfum</t>
        </is>
      </c>
      <c r="AC258" s="58" t="inlineStr">
        <is>
          <t>Chloé Rose Naturelle Intense Eau de Parfum | Swansura UK</t>
        </is>
      </c>
      <c r="AD258" s="58">
        <f>LEN(AC258)</f>
        <v/>
      </c>
      <c r="AE258" s="58" t="inlineStr">
        <is>
          <t>Buy Chloé Rose Naturelle Intense Eau de Parfum online in the UK at Swansura. A floral women's eau de parfum, 50ml. 100% authentic, free UK delivery over £50.</t>
        </is>
      </c>
      <c r="AF258" s="58">
        <f>LEN(AE258)</f>
        <v/>
      </c>
    </row>
    <row r="259" ht="15" customHeight="1" s="37">
      <c r="A259" s="58" t="inlineStr">
        <is>
          <t>FR-099</t>
        </is>
      </c>
      <c r="B259" s="58" t="inlineStr">
        <is>
          <t>Fragrance Catalogue</t>
        </is>
      </c>
      <c r="C259" s="58" t="n">
        <v>99</v>
      </c>
      <c r="D259" s="58" t="inlineStr">
        <is>
          <t>Chloe</t>
        </is>
      </c>
      <c r="E259" s="58" t="inlineStr">
        <is>
          <t>Spelling: Chloé</t>
        </is>
      </c>
      <c r="F259" s="58" t="inlineStr">
        <is>
          <t>Gift Set</t>
        </is>
      </c>
      <c r="G259" s="58" t="inlineStr">
        <is>
          <t>Eau de Parfum (EDP)</t>
        </is>
      </c>
      <c r="H259" s="58" t="inlineStr">
        <is>
          <t>Floral · Women's Fragrance</t>
        </is>
      </c>
      <c r="I259" s="58" t="inlineStr">
        <is>
          <t>Chloé Nomade Eau de Parfum Gift Set 75ml + 20ml Travel Spray – Women's Floral Chypre Fragrance Set</t>
        </is>
      </c>
      <c r="J259" s="58" t="inlineStr">
        <is>
          <t>75ml</t>
        </is>
      </c>
      <c r="K259" s="58" t="n">
        <v>66.98999999999999</v>
      </c>
      <c r="L259" s="58" t="inlineStr">
        <is>
          <t>chloe nomade gift set</t>
        </is>
      </c>
      <c r="M259" s="58" t="inlineStr">
        <is>
          <t>chloe nomade gift set uk</t>
        </is>
      </c>
      <c r="N259" s="58" t="inlineStr">
        <is>
          <t>buy chloe nomade gift set online</t>
        </is>
      </c>
      <c r="O259" s="58" t="inlineStr">
        <is>
          <t>chloe nomade gift set price</t>
        </is>
      </c>
      <c r="P259" s="58" t="n"/>
      <c r="Q259" s="59">
        <f>IF(L259="","",IFERROR(INDEX('Semrush Data'!$A$1:$Z$20000,MATCH(L259,'Semrush Data'!$A$1:$A$20000,0),MATCH("Volume",'Semrush Data'!$A$1:$Z$1,0)),""))</f>
        <v/>
      </c>
      <c r="R259" s="59">
        <f>IF(M259="","",IFERROR(INDEX('Semrush Data'!$A$1:$Z$20000,MATCH(M259,'Semrush Data'!$A$1:$A$20000,0),MATCH("Volume",'Semrush Data'!$A$1:$Z$1,0)),""))</f>
        <v/>
      </c>
      <c r="S259" s="59">
        <f>IF(N259="","",IFERROR(INDEX('Semrush Data'!$A$1:$Z$20000,MATCH(N259,'Semrush Data'!$A$1:$A$20000,0),MATCH("Volume",'Semrush Data'!$A$1:$Z$1,0)),""))</f>
        <v/>
      </c>
      <c r="T259" s="59">
        <f>IF(O259="","",IFERROR(INDEX('Semrush Data'!$A$1:$Z$20000,MATCH(O259,'Semrush Data'!$A$1:$A$20000,0),MATCH("Volume",'Semrush Data'!$A$1:$Z$1,0)),""))</f>
        <v/>
      </c>
      <c r="U259" s="59">
        <f>IF(P259="","",IFERROR(INDEX('Semrush Data'!$A$1:$Z$20000,MATCH(P259,'Semrush Data'!$A$1:$A$20000,0),MATCH("Volume",'Semrush Data'!$A$1:$Z$1,0)),""))</f>
        <v/>
      </c>
      <c r="V259" s="60">
        <f>IF(COUNT(Q259:U259)=0,L259,IF(MAX(Q259:U259)=0,L259,INDEX(L259:P259,MATCH(MAX(Q259:U259),Q259:U259,0))))</f>
        <v/>
      </c>
      <c r="W259" s="59">
        <f>IFERROR(INDEX('Semrush Data'!$A$1:$Z$20000,MATCH(V259,'Semrush Data'!$A$1:$A$20000,0),MATCH("Volume",'Semrush Data'!$A$1:$Z$1,0)),"")</f>
        <v/>
      </c>
      <c r="X259" s="59">
        <f>IFERROR(INDEX('Semrush Data'!$A$1:$Z$20000,MATCH(V259,'Semrush Data'!$A$1:$A$20000,0),MATCH("Keyword Difficulty*",'Semrush Data'!$A$1:$Z$1,0)),"")</f>
        <v/>
      </c>
      <c r="Y259" s="61">
        <f>IFERROR(INDEX('Semrush Data'!$A$1:$Z$20000,MATCH(V259,'Semrush Data'!$A$1:$A$20000,0),MATCH("CPC*",'Semrush Data'!$A$1:$Z$1,0)),"")</f>
        <v/>
      </c>
      <c r="Z259" s="58" t="inlineStr">
        <is>
          <t>chloé perfume · chloé perfume for women · floral perfume for women uk</t>
        </is>
      </c>
      <c r="AA259" s="58" t="inlineStr">
        <is>
          <t>chloe nomade gift set 75ml · chloe nomade gift set perfume · chloe nomade eau de parfum gift set · chloe nomade sizes · chloe nomade price · chloe nomade ingredients</t>
        </is>
      </c>
      <c r="AB259" s="58" t="inlineStr">
        <is>
          <t>Chloé Nomade Eau de Parfum Gift Set</t>
        </is>
      </c>
      <c r="AC259" s="58" t="inlineStr">
        <is>
          <t>Chloé Nomade Gift Set EDP 75ml | Buy Online UK | Swansura</t>
        </is>
      </c>
      <c r="AD259" s="58">
        <f>LEN(AC259)</f>
        <v/>
      </c>
      <c r="AE259" s="58" t="inlineStr">
        <is>
          <t>Buy Chloé Nomade Eau de Parfum Gift Set online in the UK at Swansura. A floral women's eau de parfum, 75ml. 100% authentic, fast UK delivery, free over £50.</t>
        </is>
      </c>
      <c r="AF259" s="58">
        <f>LEN(AE259)</f>
        <v/>
      </c>
    </row>
    <row r="260" ht="15" customHeight="1" s="37">
      <c r="A260" s="58" t="inlineStr">
        <is>
          <t>FR-100</t>
        </is>
      </c>
      <c r="B260" s="58" t="inlineStr">
        <is>
          <t>Fragrance Catalogue</t>
        </is>
      </c>
      <c r="C260" s="58" t="n">
        <v>100</v>
      </c>
      <c r="D260" s="58" t="inlineStr">
        <is>
          <t>Chloe</t>
        </is>
      </c>
      <c r="E260" s="58" t="inlineStr">
        <is>
          <t>Spelling: Chloé</t>
        </is>
      </c>
      <c r="F260" s="58" t="inlineStr">
        <is>
          <t>Gift Set</t>
        </is>
      </c>
      <c r="G260" s="58" t="inlineStr">
        <is>
          <t>Eau de Parfum (EDP)</t>
        </is>
      </c>
      <c r="H260" s="58" t="inlineStr">
        <is>
          <t>Woody · Women's Fragrance</t>
        </is>
      </c>
      <c r="I260" s="58" t="inlineStr">
        <is>
          <t>Chloé Women's Miniature Eau de Parfum Gift Set – Chloé EDP 20ml + Nomade EDP 20ml</t>
        </is>
      </c>
      <c r="J260" s="58" t="inlineStr">
        <is>
          <t>20ml</t>
        </is>
      </c>
      <c r="K260" s="58" t="n">
        <v>48.99</v>
      </c>
      <c r="L260" s="58" t="inlineStr">
        <is>
          <t>chloe miniature gift set</t>
        </is>
      </c>
      <c r="M260" s="58" t="inlineStr">
        <is>
          <t>chloe miniature gift set uk</t>
        </is>
      </c>
      <c r="N260" s="58" t="inlineStr">
        <is>
          <t>buy chloe miniature gift set online</t>
        </is>
      </c>
      <c r="O260" s="58" t="inlineStr">
        <is>
          <t>chloe miniature gift set price</t>
        </is>
      </c>
      <c r="P260" s="58" t="n"/>
      <c r="Q260" s="59">
        <f>IF(L260="","",IFERROR(INDEX('Semrush Data'!$A$1:$Z$20000,MATCH(L260,'Semrush Data'!$A$1:$A$20000,0),MATCH("Volume",'Semrush Data'!$A$1:$Z$1,0)),""))</f>
        <v/>
      </c>
      <c r="R260" s="59">
        <f>IF(M260="","",IFERROR(INDEX('Semrush Data'!$A$1:$Z$20000,MATCH(M260,'Semrush Data'!$A$1:$A$20000,0),MATCH("Volume",'Semrush Data'!$A$1:$Z$1,0)),""))</f>
        <v/>
      </c>
      <c r="S260" s="59">
        <f>IF(N260="","",IFERROR(INDEX('Semrush Data'!$A$1:$Z$20000,MATCH(N260,'Semrush Data'!$A$1:$A$20000,0),MATCH("Volume",'Semrush Data'!$A$1:$Z$1,0)),""))</f>
        <v/>
      </c>
      <c r="T260" s="59">
        <f>IF(O260="","",IFERROR(INDEX('Semrush Data'!$A$1:$Z$20000,MATCH(O260,'Semrush Data'!$A$1:$A$20000,0),MATCH("Volume",'Semrush Data'!$A$1:$Z$1,0)),""))</f>
        <v/>
      </c>
      <c r="U260" s="59">
        <f>IF(P260="","",IFERROR(INDEX('Semrush Data'!$A$1:$Z$20000,MATCH(P260,'Semrush Data'!$A$1:$A$20000,0),MATCH("Volume",'Semrush Data'!$A$1:$Z$1,0)),""))</f>
        <v/>
      </c>
      <c r="V260" s="60">
        <f>IF(COUNT(Q260:U260)=0,L260,IF(MAX(Q260:U260)=0,L260,INDEX(L260:P260,MATCH(MAX(Q260:U260),Q260:U260,0))))</f>
        <v/>
      </c>
      <c r="W260" s="59">
        <f>IFERROR(INDEX('Semrush Data'!$A$1:$Z$20000,MATCH(V260,'Semrush Data'!$A$1:$A$20000,0),MATCH("Volume",'Semrush Data'!$A$1:$Z$1,0)),"")</f>
        <v/>
      </c>
      <c r="X260" s="59">
        <f>IFERROR(INDEX('Semrush Data'!$A$1:$Z$20000,MATCH(V260,'Semrush Data'!$A$1:$A$20000,0),MATCH("Keyword Difficulty*",'Semrush Data'!$A$1:$Z$1,0)),"")</f>
        <v/>
      </c>
      <c r="Y260" s="61">
        <f>IFERROR(INDEX('Semrush Data'!$A$1:$Z$20000,MATCH(V260,'Semrush Data'!$A$1:$A$20000,0),MATCH("CPC*",'Semrush Data'!$A$1:$Z$1,0)),"")</f>
        <v/>
      </c>
      <c r="Z260" s="58" t="inlineStr">
        <is>
          <t>chloé perfume · chloé perfume for women · woody perfume for women uk</t>
        </is>
      </c>
      <c r="AA260" s="58" t="inlineStr">
        <is>
          <t>chloe mini gift set · chloe mini gift set perfume · chloe perfume miniature gift set</t>
        </is>
      </c>
      <c r="AB260" s="58" t="inlineStr">
        <is>
          <t>Chloé Women's Miniature Eau de Parfum Gift Set</t>
        </is>
      </c>
      <c r="AC260" s="58" t="inlineStr">
        <is>
          <t>Chloé Women's Miniature Eau de Parfum Gift Set | Swansura UK</t>
        </is>
      </c>
      <c r="AD260" s="58">
        <f>LEN(AC260)</f>
        <v/>
      </c>
      <c r="AE260" s="58" t="inlineStr">
        <is>
          <t>Buy Chloé Women's Miniature Eau de Parfum Gift Set online in the UK at Swansura. A woody women's eau de parfum, 20ml. 100% authentic, free UK delivery over £50.</t>
        </is>
      </c>
      <c r="AF260" s="58">
        <f>LEN(AE260)</f>
        <v/>
      </c>
    </row>
    <row r="261" ht="15" customHeight="1" s="37">
      <c r="A261" s="58" t="inlineStr">
        <is>
          <t>FR-101</t>
        </is>
      </c>
      <c r="B261" s="58" t="inlineStr">
        <is>
          <t>Fragrance Catalogue</t>
        </is>
      </c>
      <c r="C261" s="58" t="n">
        <v>101</v>
      </c>
      <c r="D261" s="58" t="inlineStr">
        <is>
          <t>Chloe</t>
        </is>
      </c>
      <c r="E261" s="58" t="inlineStr">
        <is>
          <t>Spelling: Chloé</t>
        </is>
      </c>
      <c r="F261" s="58" t="inlineStr">
        <is>
          <t>Gift Set</t>
        </is>
      </c>
      <c r="G261" s="58" t="inlineStr">
        <is>
          <t>Eau de Parfum (EDP)</t>
        </is>
      </c>
      <c r="H261" s="58" t="inlineStr">
        <is>
          <t>Floral · Women's Fragrance</t>
        </is>
      </c>
      <c r="I261" s="58" t="inlineStr">
        <is>
          <t>Chloé Women's Miniature Perfume Set 4x5ml – Nomade EDT, Rose Tangerine EDT, Chloé EDP &amp; Nomade EDP</t>
        </is>
      </c>
      <c r="J261" s="58" t="inlineStr">
        <is>
          <t>4x5ml</t>
        </is>
      </c>
      <c r="K261" s="58" t="n">
        <v>45.99</v>
      </c>
      <c r="L261" s="58" t="inlineStr">
        <is>
          <t>chloe miniature set</t>
        </is>
      </c>
      <c r="M261" s="58" t="inlineStr">
        <is>
          <t>chloe miniature set uk</t>
        </is>
      </c>
      <c r="N261" s="58" t="inlineStr">
        <is>
          <t>buy chloe miniature set online</t>
        </is>
      </c>
      <c r="O261" s="58" t="inlineStr">
        <is>
          <t>chloe miniature set price</t>
        </is>
      </c>
      <c r="P261" s="58" t="n"/>
      <c r="Q261" s="59">
        <f>IF(L261="","",IFERROR(INDEX('Semrush Data'!$A$1:$Z$20000,MATCH(L261,'Semrush Data'!$A$1:$A$20000,0),MATCH("Volume",'Semrush Data'!$A$1:$Z$1,0)),""))</f>
        <v/>
      </c>
      <c r="R261" s="59">
        <f>IF(M261="","",IFERROR(INDEX('Semrush Data'!$A$1:$Z$20000,MATCH(M261,'Semrush Data'!$A$1:$A$20000,0),MATCH("Volume",'Semrush Data'!$A$1:$Z$1,0)),""))</f>
        <v/>
      </c>
      <c r="S261" s="59">
        <f>IF(N261="","",IFERROR(INDEX('Semrush Data'!$A$1:$Z$20000,MATCH(N261,'Semrush Data'!$A$1:$A$20000,0),MATCH("Volume",'Semrush Data'!$A$1:$Z$1,0)),""))</f>
        <v/>
      </c>
      <c r="T261" s="59">
        <f>IF(O261="","",IFERROR(INDEX('Semrush Data'!$A$1:$Z$20000,MATCH(O261,'Semrush Data'!$A$1:$A$20000,0),MATCH("Volume",'Semrush Data'!$A$1:$Z$1,0)),""))</f>
        <v/>
      </c>
      <c r="U261" s="59">
        <f>IF(P261="","",IFERROR(INDEX('Semrush Data'!$A$1:$Z$20000,MATCH(P261,'Semrush Data'!$A$1:$A$20000,0),MATCH("Volume",'Semrush Data'!$A$1:$Z$1,0)),""))</f>
        <v/>
      </c>
      <c r="V261" s="60">
        <f>IF(COUNT(Q261:U261)=0,L261,IF(MAX(Q261:U261)=0,L261,INDEX(L261:P261,MATCH(MAX(Q261:U261),Q261:U261,0))))</f>
        <v/>
      </c>
      <c r="W261" s="59">
        <f>IFERROR(INDEX('Semrush Data'!$A$1:$Z$20000,MATCH(V261,'Semrush Data'!$A$1:$A$20000,0),MATCH("Volume",'Semrush Data'!$A$1:$Z$1,0)),"")</f>
        <v/>
      </c>
      <c r="X261" s="59">
        <f>IFERROR(INDEX('Semrush Data'!$A$1:$Z$20000,MATCH(V261,'Semrush Data'!$A$1:$A$20000,0),MATCH("Keyword Difficulty*",'Semrush Data'!$A$1:$Z$1,0)),"")</f>
        <v/>
      </c>
      <c r="Y261" s="61">
        <f>IFERROR(INDEX('Semrush Data'!$A$1:$Z$20000,MATCH(V261,'Semrush Data'!$A$1:$A$20000,0),MATCH("CPC*",'Semrush Data'!$A$1:$Z$1,0)),"")</f>
        <v/>
      </c>
      <c r="Z261" s="58" t="inlineStr">
        <is>
          <t>chloé perfume · chloé perfume for women · floral perfume for women uk</t>
        </is>
      </c>
      <c r="AA261" s="58" t="inlineStr">
        <is>
          <t>chloe mini set · chloe mini set perfume · chloe miniature perfume set · chloe miniature gift set · chloe women miniature set</t>
        </is>
      </c>
      <c r="AB261" s="58" t="inlineStr">
        <is>
          <t>Chloé Women's Miniature Perfume Set 4x5ml</t>
        </is>
      </c>
      <c r="AC261" s="58" t="inlineStr">
        <is>
          <t>Chloé Women's Miniature Perfume Set 4x5ml | Swansura UK</t>
        </is>
      </c>
      <c r="AD261" s="58">
        <f>LEN(AC261)</f>
        <v/>
      </c>
      <c r="AE261" s="58" t="inlineStr">
        <is>
          <t>Buy Chloé Women's Miniature Perfume Set 4x5ml online in the UK at Swansura. A floral women's eau de parfum, 4x5ml. 100% authentic, free UK delivery over £50.</t>
        </is>
      </c>
      <c r="AF261" s="58">
        <f>LEN(AE261)</f>
        <v/>
      </c>
    </row>
    <row r="262" ht="15" customHeight="1" s="37">
      <c r="A262" s="58" t="inlineStr">
        <is>
          <t>FR-102</t>
        </is>
      </c>
      <c r="B262" s="58" t="inlineStr">
        <is>
          <t>Fragrance Catalogue</t>
        </is>
      </c>
      <c r="C262" s="58" t="n">
        <v>102</v>
      </c>
      <c r="D262" s="58" t="inlineStr">
        <is>
          <t>Chopard</t>
        </is>
      </c>
      <c r="E262" s="58" t="n"/>
      <c r="F262" s="58" t="inlineStr">
        <is>
          <t>Fragrance</t>
        </is>
      </c>
      <c r="G262" s="58" t="inlineStr">
        <is>
          <t>Eau de Parfum (EDP)</t>
        </is>
      </c>
      <c r="H262" s="58" t="inlineStr">
        <is>
          <t>Amber · Unisex Fragrance</t>
        </is>
      </c>
      <c r="I262" s="58" t="inlineStr">
        <is>
          <t>Chopard Amber Malaki Eau de Parfum 80ml – Luxury Unisex Amber Fragrance</t>
        </is>
      </c>
      <c r="J262" s="58" t="inlineStr">
        <is>
          <t>80ml</t>
        </is>
      </c>
      <c r="K262" s="58" t="n">
        <v>49.99</v>
      </c>
      <c r="L262" s="58" t="inlineStr">
        <is>
          <t>chopard amber malaki</t>
        </is>
      </c>
      <c r="M262" s="58" t="inlineStr">
        <is>
          <t>chopard amber malaki uk</t>
        </is>
      </c>
      <c r="N262" s="58" t="inlineStr">
        <is>
          <t>buy chopard amber malaki online</t>
        </is>
      </c>
      <c r="O262" s="58" t="inlineStr">
        <is>
          <t>chopard amber malaki price</t>
        </is>
      </c>
      <c r="P262" s="58" t="inlineStr">
        <is>
          <t>chopard amber malaki eau de parfum</t>
        </is>
      </c>
      <c r="Q262" s="59">
        <f>IF(L262="","",IFERROR(INDEX('Semrush Data'!$A$1:$Z$20000,MATCH(L262,'Semrush Data'!$A$1:$A$20000,0),MATCH("Volume",'Semrush Data'!$A$1:$Z$1,0)),""))</f>
        <v/>
      </c>
      <c r="R262" s="59">
        <f>IF(M262="","",IFERROR(INDEX('Semrush Data'!$A$1:$Z$20000,MATCH(M262,'Semrush Data'!$A$1:$A$20000,0),MATCH("Volume",'Semrush Data'!$A$1:$Z$1,0)),""))</f>
        <v/>
      </c>
      <c r="S262" s="59">
        <f>IF(N262="","",IFERROR(INDEX('Semrush Data'!$A$1:$Z$20000,MATCH(N262,'Semrush Data'!$A$1:$A$20000,0),MATCH("Volume",'Semrush Data'!$A$1:$Z$1,0)),""))</f>
        <v/>
      </c>
      <c r="T262" s="59">
        <f>IF(O262="","",IFERROR(INDEX('Semrush Data'!$A$1:$Z$20000,MATCH(O262,'Semrush Data'!$A$1:$A$20000,0),MATCH("Volume",'Semrush Data'!$A$1:$Z$1,0)),""))</f>
        <v/>
      </c>
      <c r="U262" s="59">
        <f>IF(P262="","",IFERROR(INDEX('Semrush Data'!$A$1:$Z$20000,MATCH(P262,'Semrush Data'!$A$1:$A$20000,0),MATCH("Volume",'Semrush Data'!$A$1:$Z$1,0)),""))</f>
        <v/>
      </c>
      <c r="V262" s="60">
        <f>IF(COUNT(Q262:U262)=0,L262,IF(MAX(Q262:U262)=0,L262,INDEX(L262:P262,MATCH(MAX(Q262:U262),Q262:U262,0))))</f>
        <v/>
      </c>
      <c r="W262" s="59">
        <f>IFERROR(INDEX('Semrush Data'!$A$1:$Z$20000,MATCH(V262,'Semrush Data'!$A$1:$A$20000,0),MATCH("Volume",'Semrush Data'!$A$1:$Z$1,0)),"")</f>
        <v/>
      </c>
      <c r="X262" s="59">
        <f>IFERROR(INDEX('Semrush Data'!$A$1:$Z$20000,MATCH(V262,'Semrush Data'!$A$1:$A$20000,0),MATCH("Keyword Difficulty*",'Semrush Data'!$A$1:$Z$1,0)),"")</f>
        <v/>
      </c>
      <c r="Y262" s="61">
        <f>IFERROR(INDEX('Semrush Data'!$A$1:$Z$20000,MATCH(V262,'Semrush Data'!$A$1:$A$20000,0),MATCH("CPC*",'Semrush Data'!$A$1:$Z$1,0)),"")</f>
        <v/>
      </c>
      <c r="Z262" s="58" t="inlineStr">
        <is>
          <t>chopard perfume · amber perfume uk</t>
        </is>
      </c>
      <c r="AA262" s="58" t="inlineStr">
        <is>
          <t>chopard amber malaki price · chopard amber malaki review · chopard amber malaki notes · chopard amber malaki eau de parfum · chopard amber malaki perfume · chopard amber malaki edp</t>
        </is>
      </c>
      <c r="AB262" s="58" t="inlineStr">
        <is>
          <t>Chopard Amber Malaki Eau de Parfum</t>
        </is>
      </c>
      <c r="AC262" s="58" t="inlineStr">
        <is>
          <t>Chopard Amber Malaki EDP 80ml | Buy Online UK | Swansura</t>
        </is>
      </c>
      <c r="AD262" s="58">
        <f>LEN(AC262)</f>
        <v/>
      </c>
      <c r="AE262" s="58" t="inlineStr">
        <is>
          <t>Buy Chopard Amber Malaki Eau de Parfum online in the UK at Swansura. An amber unisex eau de parfum, 80ml. 100% authentic, fast UK delivery, free over £50.</t>
        </is>
      </c>
      <c r="AF262" s="58">
        <f>LEN(AE262)</f>
        <v/>
      </c>
    </row>
    <row r="263" ht="15" customHeight="1" s="37">
      <c r="A263" s="58" t="inlineStr">
        <is>
          <t>FR-103</t>
        </is>
      </c>
      <c r="B263" s="58" t="inlineStr">
        <is>
          <t>Fragrance Catalogue</t>
        </is>
      </c>
      <c r="C263" s="58" t="n">
        <v>103</v>
      </c>
      <c r="D263" s="58" t="inlineStr">
        <is>
          <t>Chopard</t>
        </is>
      </c>
      <c r="E263" s="58" t="n"/>
      <c r="F263" s="58" t="inlineStr">
        <is>
          <t>Fragrance</t>
        </is>
      </c>
      <c r="G263" s="58" t="inlineStr">
        <is>
          <t>Eau de Parfum (EDP)</t>
        </is>
      </c>
      <c r="H263" s="58" t="inlineStr">
        <is>
          <t>Amber · Unisex Fragrance</t>
        </is>
      </c>
      <c r="I263" s="58" t="inlineStr">
        <is>
          <t>Chopard Black Incense Malaki Eau de Parfum 80ml – Luxury Unisex Incense Fragrance</t>
        </is>
      </c>
      <c r="J263" s="58" t="inlineStr">
        <is>
          <t>80ml</t>
        </is>
      </c>
      <c r="K263" s="58" t="n">
        <v>42.99</v>
      </c>
      <c r="L263" s="58" t="inlineStr">
        <is>
          <t>chopard black incense malaki</t>
        </is>
      </c>
      <c r="M263" s="58" t="inlineStr">
        <is>
          <t>chopard black incense malaki uk</t>
        </is>
      </c>
      <c r="N263" s="58" t="inlineStr">
        <is>
          <t>buy chopard black incense malaki online</t>
        </is>
      </c>
      <c r="O263" s="58" t="inlineStr">
        <is>
          <t>chopard black incense malaki price</t>
        </is>
      </c>
      <c r="P263" s="58" t="inlineStr">
        <is>
          <t>chopard black incense malaki eau de parfum</t>
        </is>
      </c>
      <c r="Q263" s="59">
        <f>IF(L263="","",IFERROR(INDEX('Semrush Data'!$A$1:$Z$20000,MATCH(L263,'Semrush Data'!$A$1:$A$20000,0),MATCH("Volume",'Semrush Data'!$A$1:$Z$1,0)),""))</f>
        <v/>
      </c>
      <c r="R263" s="59">
        <f>IF(M263="","",IFERROR(INDEX('Semrush Data'!$A$1:$Z$20000,MATCH(M263,'Semrush Data'!$A$1:$A$20000,0),MATCH("Volume",'Semrush Data'!$A$1:$Z$1,0)),""))</f>
        <v/>
      </c>
      <c r="S263" s="59">
        <f>IF(N263="","",IFERROR(INDEX('Semrush Data'!$A$1:$Z$20000,MATCH(N263,'Semrush Data'!$A$1:$A$20000,0),MATCH("Volume",'Semrush Data'!$A$1:$Z$1,0)),""))</f>
        <v/>
      </c>
      <c r="T263" s="59">
        <f>IF(O263="","",IFERROR(INDEX('Semrush Data'!$A$1:$Z$20000,MATCH(O263,'Semrush Data'!$A$1:$A$20000,0),MATCH("Volume",'Semrush Data'!$A$1:$Z$1,0)),""))</f>
        <v/>
      </c>
      <c r="U263" s="59">
        <f>IF(P263="","",IFERROR(INDEX('Semrush Data'!$A$1:$Z$20000,MATCH(P263,'Semrush Data'!$A$1:$A$20000,0),MATCH("Volume",'Semrush Data'!$A$1:$Z$1,0)),""))</f>
        <v/>
      </c>
      <c r="V263" s="60">
        <f>IF(COUNT(Q263:U263)=0,L263,IF(MAX(Q263:U263)=0,L263,INDEX(L263:P263,MATCH(MAX(Q263:U263),Q263:U263,0))))</f>
        <v/>
      </c>
      <c r="W263" s="59">
        <f>IFERROR(INDEX('Semrush Data'!$A$1:$Z$20000,MATCH(V263,'Semrush Data'!$A$1:$A$20000,0),MATCH("Volume",'Semrush Data'!$A$1:$Z$1,0)),"")</f>
        <v/>
      </c>
      <c r="X263" s="59">
        <f>IFERROR(INDEX('Semrush Data'!$A$1:$Z$20000,MATCH(V263,'Semrush Data'!$A$1:$A$20000,0),MATCH("Keyword Difficulty*",'Semrush Data'!$A$1:$Z$1,0)),"")</f>
        <v/>
      </c>
      <c r="Y263" s="61">
        <f>IFERROR(INDEX('Semrush Data'!$A$1:$Z$20000,MATCH(V263,'Semrush Data'!$A$1:$A$20000,0),MATCH("CPC*",'Semrush Data'!$A$1:$Z$1,0)),"")</f>
        <v/>
      </c>
      <c r="Z263" s="58" t="inlineStr">
        <is>
          <t>chopard perfume · amber perfume uk</t>
        </is>
      </c>
      <c r="AA263" s="58" t="inlineStr">
        <is>
          <t>chopard black incense malaki review · chopard black incense malaki price · chopard black incense malaki notes · chopard black incense malaki eau de parfum · chopard black incense malaki perfume · chopard black incense malaki edp</t>
        </is>
      </c>
      <c r="AB263" s="58" t="inlineStr">
        <is>
          <t>Chopard Black Incense Malaki Eau de Parfum</t>
        </is>
      </c>
      <c r="AC263" s="58" t="inlineStr">
        <is>
          <t>Chopard Black Incense Malaki Eau de Parfum | Swansura UK</t>
        </is>
      </c>
      <c r="AD263" s="58">
        <f>LEN(AC263)</f>
        <v/>
      </c>
      <c r="AE263" s="58" t="inlineStr">
        <is>
          <t>Buy Chopard Black Incense Malaki Eau de Parfum online in the UK at Swansura. An amber unisex eau de parfum, 80ml. 100% authentic, free UK delivery over £50.</t>
        </is>
      </c>
      <c r="AF263" s="58">
        <f>LEN(AE263)</f>
        <v/>
      </c>
    </row>
    <row r="264" ht="15" customHeight="1" s="37">
      <c r="A264" s="58" t="inlineStr">
        <is>
          <t>FR-104</t>
        </is>
      </c>
      <c r="B264" s="58" t="inlineStr">
        <is>
          <t>Fragrance Catalogue</t>
        </is>
      </c>
      <c r="C264" s="58" t="n">
        <v>104</v>
      </c>
      <c r="D264" s="58" t="inlineStr">
        <is>
          <t>Chopard</t>
        </is>
      </c>
      <c r="E264" s="58" t="n"/>
      <c r="F264" s="58" t="inlineStr">
        <is>
          <t>Fragrance</t>
        </is>
      </c>
      <c r="G264" s="58" t="inlineStr">
        <is>
          <t>Eau de Parfum (EDP)</t>
        </is>
      </c>
      <c r="H264" s="58" t="inlineStr">
        <is>
          <t>Floral · Women's Fragrance</t>
        </is>
      </c>
      <c r="I264" s="58" t="inlineStr">
        <is>
          <t>Chopard Imperiale Iris Malika Eau de Parfum 100ml – Luxury Women's Floral Fragrance</t>
        </is>
      </c>
      <c r="J264" s="58" t="inlineStr">
        <is>
          <t>100ml</t>
        </is>
      </c>
      <c r="K264" s="58" t="n">
        <v>42.99</v>
      </c>
      <c r="L264" s="58" t="inlineStr">
        <is>
          <t>chopard imperiale iris malika</t>
        </is>
      </c>
      <c r="M264" s="58" t="inlineStr">
        <is>
          <t>chopard imperiale iris malika uk</t>
        </is>
      </c>
      <c r="N264" s="58" t="inlineStr">
        <is>
          <t>buy chopard imperiale iris malika online</t>
        </is>
      </c>
      <c r="O264" s="58" t="inlineStr">
        <is>
          <t>chopard imperiale iris malika price</t>
        </is>
      </c>
      <c r="P264" s="58" t="inlineStr">
        <is>
          <t>chopard imperiale iris malika eau de parfum</t>
        </is>
      </c>
      <c r="Q264" s="59">
        <f>IF(L264="","",IFERROR(INDEX('Semrush Data'!$A$1:$Z$20000,MATCH(L264,'Semrush Data'!$A$1:$A$20000,0),MATCH("Volume",'Semrush Data'!$A$1:$Z$1,0)),""))</f>
        <v/>
      </c>
      <c r="R264" s="59">
        <f>IF(M264="","",IFERROR(INDEX('Semrush Data'!$A$1:$Z$20000,MATCH(M264,'Semrush Data'!$A$1:$A$20000,0),MATCH("Volume",'Semrush Data'!$A$1:$Z$1,0)),""))</f>
        <v/>
      </c>
      <c r="S264" s="59">
        <f>IF(N264="","",IFERROR(INDEX('Semrush Data'!$A$1:$Z$20000,MATCH(N264,'Semrush Data'!$A$1:$A$20000,0),MATCH("Volume",'Semrush Data'!$A$1:$Z$1,0)),""))</f>
        <v/>
      </c>
      <c r="T264" s="59">
        <f>IF(O264="","",IFERROR(INDEX('Semrush Data'!$A$1:$Z$20000,MATCH(O264,'Semrush Data'!$A$1:$A$20000,0),MATCH("Volume",'Semrush Data'!$A$1:$Z$1,0)),""))</f>
        <v/>
      </c>
      <c r="U264" s="59">
        <f>IF(P264="","",IFERROR(INDEX('Semrush Data'!$A$1:$Z$20000,MATCH(P264,'Semrush Data'!$A$1:$A$20000,0),MATCH("Volume",'Semrush Data'!$A$1:$Z$1,0)),""))</f>
        <v/>
      </c>
      <c r="V264" s="60">
        <f>IF(COUNT(Q264:U264)=0,L264,IF(MAX(Q264:U264)=0,L264,INDEX(L264:P264,MATCH(MAX(Q264:U264),Q264:U264,0))))</f>
        <v/>
      </c>
      <c r="W264" s="59">
        <f>IFERROR(INDEX('Semrush Data'!$A$1:$Z$20000,MATCH(V264,'Semrush Data'!$A$1:$A$20000,0),MATCH("Volume",'Semrush Data'!$A$1:$Z$1,0)),"")</f>
        <v/>
      </c>
      <c r="X264" s="59">
        <f>IFERROR(INDEX('Semrush Data'!$A$1:$Z$20000,MATCH(V264,'Semrush Data'!$A$1:$A$20000,0),MATCH("Keyword Difficulty*",'Semrush Data'!$A$1:$Z$1,0)),"")</f>
        <v/>
      </c>
      <c r="Y264" s="61">
        <f>IFERROR(INDEX('Semrush Data'!$A$1:$Z$20000,MATCH(V264,'Semrush Data'!$A$1:$A$20000,0),MATCH("CPC*",'Semrush Data'!$A$1:$Z$1,0)),"")</f>
        <v/>
      </c>
      <c r="Z264" s="58" t="inlineStr">
        <is>
          <t>chopard perfume · chopard perfume for women · floral perfume for women uk</t>
        </is>
      </c>
      <c r="AA264" s="58" t="inlineStr">
        <is>
          <t>chopard imperiale iris malika eau de parfum · chopard imperiale iris malika review · chopard imperiale iris malika perfume · chopard imperiale iris malika price · chopard imperiale iris malika edp 100ml · chopard imperiale iris malika 100ml</t>
        </is>
      </c>
      <c r="AB264" s="58" t="inlineStr">
        <is>
          <t>Chopard Imperiale Iris Malika Eau de Parfum</t>
        </is>
      </c>
      <c r="AC264" s="58" t="inlineStr">
        <is>
          <t>Chopard Imperiale Iris Malika Eau de Parfum | Swansura UK</t>
        </is>
      </c>
      <c r="AD264" s="58">
        <f>LEN(AC264)</f>
        <v/>
      </c>
      <c r="AE264" s="58" t="inlineStr">
        <is>
          <t>Buy Chopard Imperiale Iris Malika Eau de Parfum online in the UK at Swansura. A floral women's eau de parfum, 100ml. 100% authentic, free UK delivery over £50.</t>
        </is>
      </c>
      <c r="AF264" s="58">
        <f>LEN(AE264)</f>
        <v/>
      </c>
    </row>
    <row r="265" ht="15" customHeight="1" s="37">
      <c r="A265" s="58" t="inlineStr">
        <is>
          <t>FR-105</t>
        </is>
      </c>
      <c r="B265" s="58" t="inlineStr">
        <is>
          <t>Fragrance Catalogue</t>
        </is>
      </c>
      <c r="C265" s="58" t="n">
        <v>105</v>
      </c>
      <c r="D265" s="58" t="inlineStr">
        <is>
          <t>Chopard</t>
        </is>
      </c>
      <c r="E265" s="58" t="n"/>
      <c r="F265" s="58" t="inlineStr">
        <is>
          <t>Fragrance</t>
        </is>
      </c>
      <c r="G265" s="58" t="inlineStr">
        <is>
          <t>Eau de Parfum (EDP)</t>
        </is>
      </c>
      <c r="H265" s="58" t="inlineStr">
        <is>
          <t>Oud · Men's Fragrance</t>
        </is>
      </c>
      <c r="I265" s="58" t="inlineStr">
        <is>
          <t>Chopard Oud Malaki Eau de Parfum 80ml – Luxury Men's Oud Fragrance</t>
        </is>
      </c>
      <c r="J265" s="58" t="inlineStr">
        <is>
          <t>80ml</t>
        </is>
      </c>
      <c r="K265" s="58" t="n">
        <v>48.99</v>
      </c>
      <c r="L265" s="58" t="inlineStr">
        <is>
          <t>chopard oud malaki</t>
        </is>
      </c>
      <c r="M265" s="58" t="inlineStr">
        <is>
          <t>chopard oud malaki uk</t>
        </is>
      </c>
      <c r="N265" s="58" t="inlineStr">
        <is>
          <t>buy chopard oud malaki online</t>
        </is>
      </c>
      <c r="O265" s="58" t="inlineStr">
        <is>
          <t>chopard oud malaki price</t>
        </is>
      </c>
      <c r="P265" s="58" t="inlineStr">
        <is>
          <t>chopard oud malaki eau de parfum</t>
        </is>
      </c>
      <c r="Q265" s="59">
        <f>IF(L265="","",IFERROR(INDEX('Semrush Data'!$A$1:$Z$20000,MATCH(L265,'Semrush Data'!$A$1:$A$20000,0),MATCH("Volume",'Semrush Data'!$A$1:$Z$1,0)),""))</f>
        <v/>
      </c>
      <c r="R265" s="59">
        <f>IF(M265="","",IFERROR(INDEX('Semrush Data'!$A$1:$Z$20000,MATCH(M265,'Semrush Data'!$A$1:$A$20000,0),MATCH("Volume",'Semrush Data'!$A$1:$Z$1,0)),""))</f>
        <v/>
      </c>
      <c r="S265" s="59">
        <f>IF(N265="","",IFERROR(INDEX('Semrush Data'!$A$1:$Z$20000,MATCH(N265,'Semrush Data'!$A$1:$A$20000,0),MATCH("Volume",'Semrush Data'!$A$1:$Z$1,0)),""))</f>
        <v/>
      </c>
      <c r="T265" s="59">
        <f>IF(O265="","",IFERROR(INDEX('Semrush Data'!$A$1:$Z$20000,MATCH(O265,'Semrush Data'!$A$1:$A$20000,0),MATCH("Volume",'Semrush Data'!$A$1:$Z$1,0)),""))</f>
        <v/>
      </c>
      <c r="U265" s="59">
        <f>IF(P265="","",IFERROR(INDEX('Semrush Data'!$A$1:$Z$20000,MATCH(P265,'Semrush Data'!$A$1:$A$20000,0),MATCH("Volume",'Semrush Data'!$A$1:$Z$1,0)),""))</f>
        <v/>
      </c>
      <c r="V265" s="60">
        <f>IF(COUNT(Q265:U265)=0,L265,IF(MAX(Q265:U265)=0,L265,INDEX(L265:P265,MATCH(MAX(Q265:U265),Q265:U265,0))))</f>
        <v/>
      </c>
      <c r="W265" s="59">
        <f>IFERROR(INDEX('Semrush Data'!$A$1:$Z$20000,MATCH(V265,'Semrush Data'!$A$1:$A$20000,0),MATCH("Volume",'Semrush Data'!$A$1:$Z$1,0)),"")</f>
        <v/>
      </c>
      <c r="X265" s="59">
        <f>IFERROR(INDEX('Semrush Data'!$A$1:$Z$20000,MATCH(V265,'Semrush Data'!$A$1:$A$20000,0),MATCH("Keyword Difficulty*",'Semrush Data'!$A$1:$Z$1,0)),"")</f>
        <v/>
      </c>
      <c r="Y265" s="61">
        <f>IFERROR(INDEX('Semrush Data'!$A$1:$Z$20000,MATCH(V265,'Semrush Data'!$A$1:$A$20000,0),MATCH("CPC*",'Semrush Data'!$A$1:$Z$1,0)),"")</f>
        <v/>
      </c>
      <c r="Z265" s="58" t="inlineStr">
        <is>
          <t>chopard perfume · chopard perfume for men · oud perfume for men uk</t>
        </is>
      </c>
      <c r="AA265" s="58" t="inlineStr">
        <is>
          <t>chopard oud malaki price · chopard oud malaki review · chopard oud malaki notes · chopard oud malaki perfume · chopard oud malaki eau de parfum · chopard oud malaki dupe</t>
        </is>
      </c>
      <c r="AB265" s="58" t="inlineStr">
        <is>
          <t>Chopard Oud Malaki Eau de Parfum</t>
        </is>
      </c>
      <c r="AC265" s="58" t="inlineStr">
        <is>
          <t>Chopard Oud Malaki Eau de Parfum | Buy Online UK | Swansura</t>
        </is>
      </c>
      <c r="AD265" s="58">
        <f>LEN(AC265)</f>
        <v/>
      </c>
      <c r="AE265" s="58" t="inlineStr">
        <is>
          <t>Buy Chopard Oud Malaki Eau de Parfum online in the UK at Swansura. An oud men's eau de parfum, 80ml. 100% authentic, fast UK delivery, free over £50.</t>
        </is>
      </c>
      <c r="AF265" s="58">
        <f>LEN(AE265)</f>
        <v/>
      </c>
    </row>
    <row r="266" ht="15" customHeight="1" s="37">
      <c r="A266" s="58" t="inlineStr">
        <is>
          <t>FR-106</t>
        </is>
      </c>
      <c r="B266" s="58" t="inlineStr">
        <is>
          <t>Fragrance Catalogue</t>
        </is>
      </c>
      <c r="C266" s="58" t="n">
        <v>106</v>
      </c>
      <c r="D266" s="58" t="inlineStr">
        <is>
          <t>Chopard</t>
        </is>
      </c>
      <c r="E266" s="58" t="n"/>
      <c r="F266" s="58" t="inlineStr">
        <is>
          <t>Gift Set</t>
        </is>
      </c>
      <c r="G266" s="58" t="inlineStr">
        <is>
          <t>Eau de Parfum (EDP)</t>
        </is>
      </c>
      <c r="H266" s="58" t="inlineStr">
        <is>
          <t>Amber · Unisex Fragrance</t>
        </is>
      </c>
      <c r="I266" s="58" t="inlineStr">
        <is>
          <t>Chopard Gardens of Paradise Discovery Set 4x10ml – Luxury Unisex Eau de Parfum Gift Set</t>
        </is>
      </c>
      <c r="J266" s="58" t="inlineStr">
        <is>
          <t>Not specified</t>
        </is>
      </c>
      <c r="K266" s="58" t="n">
        <v>59.99</v>
      </c>
      <c r="L266" s="58" t="inlineStr">
        <is>
          <t>chopard gardens of paradise discovery set</t>
        </is>
      </c>
      <c r="M266" s="58" t="inlineStr">
        <is>
          <t>chopard gardens of paradise discovery set uk</t>
        </is>
      </c>
      <c r="N266" s="58" t="inlineStr">
        <is>
          <t>buy chopard gardens of paradise discovery set online</t>
        </is>
      </c>
      <c r="O266" s="58" t="inlineStr">
        <is>
          <t>chopard gardens of paradise discovery set price</t>
        </is>
      </c>
      <c r="P266" s="58" t="n"/>
      <c r="Q266" s="59">
        <f>IF(L266="","",IFERROR(INDEX('Semrush Data'!$A$1:$Z$20000,MATCH(L266,'Semrush Data'!$A$1:$A$20000,0),MATCH("Volume",'Semrush Data'!$A$1:$Z$1,0)),""))</f>
        <v/>
      </c>
      <c r="R266" s="59">
        <f>IF(M266="","",IFERROR(INDEX('Semrush Data'!$A$1:$Z$20000,MATCH(M266,'Semrush Data'!$A$1:$A$20000,0),MATCH("Volume",'Semrush Data'!$A$1:$Z$1,0)),""))</f>
        <v/>
      </c>
      <c r="S266" s="59">
        <f>IF(N266="","",IFERROR(INDEX('Semrush Data'!$A$1:$Z$20000,MATCH(N266,'Semrush Data'!$A$1:$A$20000,0),MATCH("Volume",'Semrush Data'!$A$1:$Z$1,0)),""))</f>
        <v/>
      </c>
      <c r="T266" s="59">
        <f>IF(O266="","",IFERROR(INDEX('Semrush Data'!$A$1:$Z$20000,MATCH(O266,'Semrush Data'!$A$1:$A$20000,0),MATCH("Volume",'Semrush Data'!$A$1:$Z$1,0)),""))</f>
        <v/>
      </c>
      <c r="U266" s="59">
        <f>IF(P266="","",IFERROR(INDEX('Semrush Data'!$A$1:$Z$20000,MATCH(P266,'Semrush Data'!$A$1:$A$20000,0),MATCH("Volume",'Semrush Data'!$A$1:$Z$1,0)),""))</f>
        <v/>
      </c>
      <c r="V266" s="60">
        <f>IF(COUNT(Q266:U266)=0,L266,IF(MAX(Q266:U266)=0,L266,INDEX(L266:P266,MATCH(MAX(Q266:U266),Q266:U266,0))))</f>
        <v/>
      </c>
      <c r="W266" s="59">
        <f>IFERROR(INDEX('Semrush Data'!$A$1:$Z$20000,MATCH(V266,'Semrush Data'!$A$1:$A$20000,0),MATCH("Volume",'Semrush Data'!$A$1:$Z$1,0)),"")</f>
        <v/>
      </c>
      <c r="X266" s="59">
        <f>IFERROR(INDEX('Semrush Data'!$A$1:$Z$20000,MATCH(V266,'Semrush Data'!$A$1:$A$20000,0),MATCH("Keyword Difficulty*",'Semrush Data'!$A$1:$Z$1,0)),"")</f>
        <v/>
      </c>
      <c r="Y266" s="61">
        <f>IFERROR(INDEX('Semrush Data'!$A$1:$Z$20000,MATCH(V266,'Semrush Data'!$A$1:$A$20000,0),MATCH("CPC*",'Semrush Data'!$A$1:$Z$1,0)),"")</f>
        <v/>
      </c>
      <c r="Z266" s="58" t="inlineStr">
        <is>
          <t>chopard perfume · amber perfume uk</t>
        </is>
      </c>
      <c r="AA266" s="58" t="n"/>
      <c r="AB266" s="58" t="inlineStr">
        <is>
          <t>Chopard Gardens of Paradise Discovery Set 4x10ml</t>
        </is>
      </c>
      <c r="AC266" s="58" t="inlineStr">
        <is>
          <t>Chopard Gardens of Paradise Discovery Set | Swansura UK</t>
        </is>
      </c>
      <c r="AD266" s="58">
        <f>LEN(AC266)</f>
        <v/>
      </c>
      <c r="AE266" s="58" t="inlineStr">
        <is>
          <t>Buy Chopard Gardens of Paradise Discovery Set 4x10ml online in the UK at Swansura. An amber unisex eau de parfum. 100% authentic, free UK delivery over £50.</t>
        </is>
      </c>
      <c r="AF266" s="58">
        <f>LEN(AE266)</f>
        <v/>
      </c>
    </row>
    <row r="267" ht="15" customHeight="1" s="37">
      <c r="A267" s="58" t="inlineStr">
        <is>
          <t>FR-107</t>
        </is>
      </c>
      <c r="B267" s="58" t="inlineStr">
        <is>
          <t>Fragrance Catalogue</t>
        </is>
      </c>
      <c r="C267" s="58" t="n">
        <v>107</v>
      </c>
      <c r="D267" s="58" t="inlineStr">
        <is>
          <t>Chris Adams</t>
        </is>
      </c>
      <c r="E267" s="58" t="n"/>
      <c r="F267" s="58" t="inlineStr">
        <is>
          <t>Fragrance</t>
        </is>
      </c>
      <c r="G267" s="58" t="inlineStr">
        <is>
          <t>Eau de Parfum (EDP)</t>
        </is>
      </c>
      <c r="H267" s="58" t="inlineStr">
        <is>
          <t>Woody · Men's Fragrance</t>
        </is>
      </c>
      <c r="I267" s="58" t="inlineStr">
        <is>
          <t>Chris Adams CA DX 77 Pour Homme 100ml EDP For Men - Chris Adams Perfumes</t>
        </is>
      </c>
      <c r="J267" s="58" t="inlineStr">
        <is>
          <t>100ml</t>
        </is>
      </c>
      <c r="K267" s="58" t="n">
        <v>14.5</v>
      </c>
      <c r="L267" s="58" t="inlineStr">
        <is>
          <t>chris adams ca dx 77 pour homme</t>
        </is>
      </c>
      <c r="M267" s="58" t="inlineStr">
        <is>
          <t>chris adams ca dx 77 pour homme uk</t>
        </is>
      </c>
      <c r="N267" s="58" t="inlineStr">
        <is>
          <t>buy chris adams ca dx 77 pour homme online</t>
        </is>
      </c>
      <c r="O267" s="58" t="inlineStr">
        <is>
          <t>chris adams ca dx 77 pour homme price</t>
        </is>
      </c>
      <c r="P267" s="58" t="inlineStr">
        <is>
          <t>chris adams ca dx 77 pour homme edp</t>
        </is>
      </c>
      <c r="Q267" s="59">
        <f>IF(L267="","",IFERROR(INDEX('Semrush Data'!$A$1:$Z$20000,MATCH(L267,'Semrush Data'!$A$1:$A$20000,0),MATCH("Volume",'Semrush Data'!$A$1:$Z$1,0)),""))</f>
        <v/>
      </c>
      <c r="R267" s="59">
        <f>IF(M267="","",IFERROR(INDEX('Semrush Data'!$A$1:$Z$20000,MATCH(M267,'Semrush Data'!$A$1:$A$20000,0),MATCH("Volume",'Semrush Data'!$A$1:$Z$1,0)),""))</f>
        <v/>
      </c>
      <c r="S267" s="59">
        <f>IF(N267="","",IFERROR(INDEX('Semrush Data'!$A$1:$Z$20000,MATCH(N267,'Semrush Data'!$A$1:$A$20000,0),MATCH("Volume",'Semrush Data'!$A$1:$Z$1,0)),""))</f>
        <v/>
      </c>
      <c r="T267" s="59">
        <f>IF(O267="","",IFERROR(INDEX('Semrush Data'!$A$1:$Z$20000,MATCH(O267,'Semrush Data'!$A$1:$A$20000,0),MATCH("Volume",'Semrush Data'!$A$1:$Z$1,0)),""))</f>
        <v/>
      </c>
      <c r="U267" s="59">
        <f>IF(P267="","",IFERROR(INDEX('Semrush Data'!$A$1:$Z$20000,MATCH(P267,'Semrush Data'!$A$1:$A$20000,0),MATCH("Volume",'Semrush Data'!$A$1:$Z$1,0)),""))</f>
        <v/>
      </c>
      <c r="V267" s="60">
        <f>IF(COUNT(Q267:U267)=0,L267,IF(MAX(Q267:U267)=0,L267,INDEX(L267:P267,MATCH(MAX(Q267:U267),Q267:U267,0))))</f>
        <v/>
      </c>
      <c r="W267" s="59">
        <f>IFERROR(INDEX('Semrush Data'!$A$1:$Z$20000,MATCH(V267,'Semrush Data'!$A$1:$A$20000,0),MATCH("Volume",'Semrush Data'!$A$1:$Z$1,0)),"")</f>
        <v/>
      </c>
      <c r="X267" s="59">
        <f>IFERROR(INDEX('Semrush Data'!$A$1:$Z$20000,MATCH(V267,'Semrush Data'!$A$1:$A$20000,0),MATCH("Keyword Difficulty*",'Semrush Data'!$A$1:$Z$1,0)),"")</f>
        <v/>
      </c>
      <c r="Y267" s="61">
        <f>IFERROR(INDEX('Semrush Data'!$A$1:$Z$20000,MATCH(V267,'Semrush Data'!$A$1:$A$20000,0),MATCH("CPC*",'Semrush Data'!$A$1:$Z$1,0)),"")</f>
        <v/>
      </c>
      <c r="Z267" s="58" t="inlineStr">
        <is>
          <t>chris adams perfume · chris adams perfume for men · woody perfume for men uk</t>
        </is>
      </c>
      <c r="AA267" s="58" t="n"/>
      <c r="AB267" s="58" t="inlineStr">
        <is>
          <t>Chris Adams CA DX 77 Pour Homme EDP For Men</t>
        </is>
      </c>
      <c r="AC267" s="58" t="inlineStr">
        <is>
          <t>Chris Adams CA DX 77 Pour Homme EDP For Men | Swansura UK</t>
        </is>
      </c>
      <c r="AD267" s="58">
        <f>LEN(AC267)</f>
        <v/>
      </c>
      <c r="AE267" s="58" t="inlineStr">
        <is>
          <t>Buy Chris Adams CA DX 77 Pour Homme EDP For Men online in the UK at Swansura. A woody men's eau de parfum, 100ml. 100% authentic, free UK delivery over £50.</t>
        </is>
      </c>
      <c r="AF267" s="58">
        <f>LEN(AE267)</f>
        <v/>
      </c>
    </row>
    <row r="268" ht="15" customHeight="1" s="37">
      <c r="A268" s="58" t="inlineStr">
        <is>
          <t>FR-108</t>
        </is>
      </c>
      <c r="B268" s="58" t="inlineStr">
        <is>
          <t>Fragrance Catalogue</t>
        </is>
      </c>
      <c r="C268" s="58" t="n">
        <v>108</v>
      </c>
      <c r="D268" s="58" t="inlineStr">
        <is>
          <t>Chris Adams</t>
        </is>
      </c>
      <c r="E268" s="58" t="n"/>
      <c r="F268" s="58" t="inlineStr">
        <is>
          <t>Fragrance</t>
        </is>
      </c>
      <c r="G268" s="58" t="inlineStr">
        <is>
          <t>Eau de Toilette (EDT)</t>
        </is>
      </c>
      <c r="H268" s="58" t="inlineStr">
        <is>
          <t>Woody · Men's Fragrance</t>
        </is>
      </c>
      <c r="I268" s="58" t="inlineStr">
        <is>
          <t>Chris Adams Perfume Black Shadow Eau De Toilette Pour Homme 100ml</t>
        </is>
      </c>
      <c r="J268" s="58" t="inlineStr">
        <is>
          <t>100ml</t>
        </is>
      </c>
      <c r="K268" s="58" t="n">
        <v>11.94</v>
      </c>
      <c r="L268" s="58" t="inlineStr">
        <is>
          <t>chris adams black shadow pour homme</t>
        </is>
      </c>
      <c r="M268" s="58" t="inlineStr">
        <is>
          <t>chris adams black shadow pour homme uk</t>
        </is>
      </c>
      <c r="N268" s="58" t="inlineStr">
        <is>
          <t>buy chris adams black shadow pour homme online</t>
        </is>
      </c>
      <c r="O268" s="58" t="inlineStr">
        <is>
          <t>chris adams black shadow pour homme price</t>
        </is>
      </c>
      <c r="P268" s="58" t="inlineStr">
        <is>
          <t>chris adams black shadow pour homme eau de toilette</t>
        </is>
      </c>
      <c r="Q268" s="59">
        <f>IF(L268="","",IFERROR(INDEX('Semrush Data'!$A$1:$Z$20000,MATCH(L268,'Semrush Data'!$A$1:$A$20000,0),MATCH("Volume",'Semrush Data'!$A$1:$Z$1,0)),""))</f>
        <v/>
      </c>
      <c r="R268" s="59">
        <f>IF(M268="","",IFERROR(INDEX('Semrush Data'!$A$1:$Z$20000,MATCH(M268,'Semrush Data'!$A$1:$A$20000,0),MATCH("Volume",'Semrush Data'!$A$1:$Z$1,0)),""))</f>
        <v/>
      </c>
      <c r="S268" s="59">
        <f>IF(N268="","",IFERROR(INDEX('Semrush Data'!$A$1:$Z$20000,MATCH(N268,'Semrush Data'!$A$1:$A$20000,0),MATCH("Volume",'Semrush Data'!$A$1:$Z$1,0)),""))</f>
        <v/>
      </c>
      <c r="T268" s="59">
        <f>IF(O268="","",IFERROR(INDEX('Semrush Data'!$A$1:$Z$20000,MATCH(O268,'Semrush Data'!$A$1:$A$20000,0),MATCH("Volume",'Semrush Data'!$A$1:$Z$1,0)),""))</f>
        <v/>
      </c>
      <c r="U268" s="59">
        <f>IF(P268="","",IFERROR(INDEX('Semrush Data'!$A$1:$Z$20000,MATCH(P268,'Semrush Data'!$A$1:$A$20000,0),MATCH("Volume",'Semrush Data'!$A$1:$Z$1,0)),""))</f>
        <v/>
      </c>
      <c r="V268" s="60">
        <f>IF(COUNT(Q268:U268)=0,L268,IF(MAX(Q268:U268)=0,L268,INDEX(L268:P268,MATCH(MAX(Q268:U268),Q268:U268,0))))</f>
        <v/>
      </c>
      <c r="W268" s="59">
        <f>IFERROR(INDEX('Semrush Data'!$A$1:$Z$20000,MATCH(V268,'Semrush Data'!$A$1:$A$20000,0),MATCH("Volume",'Semrush Data'!$A$1:$Z$1,0)),"")</f>
        <v/>
      </c>
      <c r="X268" s="59">
        <f>IFERROR(INDEX('Semrush Data'!$A$1:$Z$20000,MATCH(V268,'Semrush Data'!$A$1:$A$20000,0),MATCH("Keyword Difficulty*",'Semrush Data'!$A$1:$Z$1,0)),"")</f>
        <v/>
      </c>
      <c r="Y268" s="61">
        <f>IFERROR(INDEX('Semrush Data'!$A$1:$Z$20000,MATCH(V268,'Semrush Data'!$A$1:$A$20000,0),MATCH("CPC*",'Semrush Data'!$A$1:$Z$1,0)),"")</f>
        <v/>
      </c>
      <c r="Z268" s="58" t="inlineStr">
        <is>
          <t>chris adams perfume · chris adams perfume for men · woody perfume for men uk</t>
        </is>
      </c>
      <c r="AA268" s="58" t="n"/>
      <c r="AB268" s="58" t="inlineStr">
        <is>
          <t>Chris Adams Perfume Black Shadow Eau De Toilette Pour Homme</t>
        </is>
      </c>
      <c r="AC268" s="58" t="inlineStr">
        <is>
          <t>Chris Adams Perfume Black Shadow Pour Homme | Swansura UK</t>
        </is>
      </c>
      <c r="AD268" s="58">
        <f>LEN(AC268)</f>
        <v/>
      </c>
      <c r="AE268" s="58" t="inlineStr">
        <is>
          <t>Buy Chris Adams Perfume Black Shadow Eau De Toilette Pour Homme at Swansura UK. A woody men's eau de toilette, 100ml. 100% authentic, free UK delivery over £50.</t>
        </is>
      </c>
      <c r="AF268" s="58">
        <f>LEN(AE268)</f>
        <v/>
      </c>
    </row>
    <row r="269" ht="15" customHeight="1" s="37">
      <c r="A269" s="58" t="inlineStr">
        <is>
          <t>FR-109</t>
        </is>
      </c>
      <c r="B269" s="58" t="inlineStr">
        <is>
          <t>Fragrance Catalogue</t>
        </is>
      </c>
      <c r="C269" s="58" t="n">
        <v>109</v>
      </c>
      <c r="D269" s="58" t="inlineStr">
        <is>
          <t>Davidoff</t>
        </is>
      </c>
      <c r="E269" s="58" t="n"/>
      <c r="F269" s="58" t="inlineStr">
        <is>
          <t>Fragrance</t>
        </is>
      </c>
      <c r="G269" s="58" t="inlineStr">
        <is>
          <t>Eau de Parfum (EDP)</t>
        </is>
      </c>
      <c r="H269" s="58" t="inlineStr">
        <is>
          <t>Floral · Women's Fragrance</t>
        </is>
      </c>
      <c r="I269" s="58" t="inlineStr">
        <is>
          <t>Davidoff Cool Water Reborn Intense Eau de Parfum 50ml – Women's Fresh Floral Fragrance</t>
        </is>
      </c>
      <c r="J269" s="58" t="inlineStr">
        <is>
          <t>50ml</t>
        </is>
      </c>
      <c r="K269" s="58" t="n">
        <v>18.99</v>
      </c>
      <c r="L269" s="58" t="inlineStr">
        <is>
          <t>davidoff cool water reborn intense</t>
        </is>
      </c>
      <c r="M269" s="58" t="inlineStr">
        <is>
          <t>davidoff cool water reborn intense uk</t>
        </is>
      </c>
      <c r="N269" s="58" t="inlineStr">
        <is>
          <t>buy davidoff cool water reborn intense online</t>
        </is>
      </c>
      <c r="O269" s="58" t="inlineStr">
        <is>
          <t>davidoff cool water reborn intense price</t>
        </is>
      </c>
      <c r="P269" s="58" t="inlineStr">
        <is>
          <t>davidoff cool water reborn intense eau de parfum</t>
        </is>
      </c>
      <c r="Q269" s="59">
        <f>IF(L269="","",IFERROR(INDEX('Semrush Data'!$A$1:$Z$20000,MATCH(L269,'Semrush Data'!$A$1:$A$20000,0),MATCH("Volume",'Semrush Data'!$A$1:$Z$1,0)),""))</f>
        <v/>
      </c>
      <c r="R269" s="59">
        <f>IF(M269="","",IFERROR(INDEX('Semrush Data'!$A$1:$Z$20000,MATCH(M269,'Semrush Data'!$A$1:$A$20000,0),MATCH("Volume",'Semrush Data'!$A$1:$Z$1,0)),""))</f>
        <v/>
      </c>
      <c r="S269" s="59">
        <f>IF(N269="","",IFERROR(INDEX('Semrush Data'!$A$1:$Z$20000,MATCH(N269,'Semrush Data'!$A$1:$A$20000,0),MATCH("Volume",'Semrush Data'!$A$1:$Z$1,0)),""))</f>
        <v/>
      </c>
      <c r="T269" s="59">
        <f>IF(O269="","",IFERROR(INDEX('Semrush Data'!$A$1:$Z$20000,MATCH(O269,'Semrush Data'!$A$1:$A$20000,0),MATCH("Volume",'Semrush Data'!$A$1:$Z$1,0)),""))</f>
        <v/>
      </c>
      <c r="U269" s="59">
        <f>IF(P269="","",IFERROR(INDEX('Semrush Data'!$A$1:$Z$20000,MATCH(P269,'Semrush Data'!$A$1:$A$20000,0),MATCH("Volume",'Semrush Data'!$A$1:$Z$1,0)),""))</f>
        <v/>
      </c>
      <c r="V269" s="60">
        <f>IF(COUNT(Q269:U269)=0,L269,IF(MAX(Q269:U269)=0,L269,INDEX(L269:P269,MATCH(MAX(Q269:U269),Q269:U269,0))))</f>
        <v/>
      </c>
      <c r="W269" s="59">
        <f>IFERROR(INDEX('Semrush Data'!$A$1:$Z$20000,MATCH(V269,'Semrush Data'!$A$1:$A$20000,0),MATCH("Volume",'Semrush Data'!$A$1:$Z$1,0)),"")</f>
        <v/>
      </c>
      <c r="X269" s="59">
        <f>IFERROR(INDEX('Semrush Data'!$A$1:$Z$20000,MATCH(V269,'Semrush Data'!$A$1:$A$20000,0),MATCH("Keyword Difficulty*",'Semrush Data'!$A$1:$Z$1,0)),"")</f>
        <v/>
      </c>
      <c r="Y269" s="61">
        <f>IFERROR(INDEX('Semrush Data'!$A$1:$Z$20000,MATCH(V269,'Semrush Data'!$A$1:$A$20000,0),MATCH("CPC*",'Semrush Data'!$A$1:$Z$1,0)),"")</f>
        <v/>
      </c>
      <c r="Z269" s="58" t="inlineStr">
        <is>
          <t>davidoff perfume · davidoff perfume for women · floral perfume for women uk</t>
        </is>
      </c>
      <c r="AA269" s="58" t="inlineStr">
        <is>
          <t>davidoff cool water reborn intense edp · davidoff cool water reborn intense review · davidoff cool water reborn intense notes · davidoff cool water reborn intense eau de parfum · davidoff cool water reborn intense women · davidoff cool water reborn intense 100 ml</t>
        </is>
      </c>
      <c r="AB269" s="58" t="inlineStr">
        <is>
          <t>Davidoff Cool Water Reborn Intense Eau de Parfum</t>
        </is>
      </c>
      <c r="AC269" s="58" t="inlineStr">
        <is>
          <t>Davidoff Cool Water Reborn Intense EDP 50ml | Swansura UK</t>
        </is>
      </c>
      <c r="AD269" s="58">
        <f>LEN(AC269)</f>
        <v/>
      </c>
      <c r="AE269" s="58" t="inlineStr">
        <is>
          <t>Buy Davidoff Cool Water Reborn Intense Eau de Parfum online in the UK at Swansura. A floral women's eau de parfum. 100% authentic, free UK delivery over £50.</t>
        </is>
      </c>
      <c r="AF269" s="58">
        <f>LEN(AE269)</f>
        <v/>
      </c>
    </row>
    <row r="270" ht="15" customHeight="1" s="37">
      <c r="A270" s="58" t="inlineStr">
        <is>
          <t>FR-110</t>
        </is>
      </c>
      <c r="B270" s="58" t="inlineStr">
        <is>
          <t>Fragrance Catalogue</t>
        </is>
      </c>
      <c r="C270" s="58" t="n">
        <v>110</v>
      </c>
      <c r="D270" s="58" t="inlineStr">
        <is>
          <t>Davidoff</t>
        </is>
      </c>
      <c r="E270" s="58" t="n"/>
      <c r="F270" s="58" t="inlineStr">
        <is>
          <t>Fragrance</t>
        </is>
      </c>
      <c r="G270" s="58" t="inlineStr">
        <is>
          <t>Eau de Toilette (EDT)</t>
        </is>
      </c>
      <c r="H270" s="58" t="inlineStr">
        <is>
          <t>Woody · Men's Fragrance</t>
        </is>
      </c>
      <c r="I270" s="58" t="inlineStr">
        <is>
          <t>Davidoff Champion Eau de Toilette 90ml – Men's Fresh Woody Aromatic Fragrance</t>
        </is>
      </c>
      <c r="J270" s="58" t="inlineStr">
        <is>
          <t>90ml</t>
        </is>
      </c>
      <c r="K270" s="58" t="n">
        <v>23.99</v>
      </c>
      <c r="L270" s="58" t="inlineStr">
        <is>
          <t>davidoff champion</t>
        </is>
      </c>
      <c r="M270" s="58" t="inlineStr">
        <is>
          <t>davidoff champion uk</t>
        </is>
      </c>
      <c r="N270" s="58" t="inlineStr">
        <is>
          <t>buy davidoff champion online</t>
        </is>
      </c>
      <c r="O270" s="58" t="inlineStr">
        <is>
          <t>davidoff champion price</t>
        </is>
      </c>
      <c r="P270" s="58" t="inlineStr">
        <is>
          <t>davidoff champion eau de toilette</t>
        </is>
      </c>
      <c r="Q270" s="59">
        <f>IF(L270="","",IFERROR(INDEX('Semrush Data'!$A$1:$Z$20000,MATCH(L270,'Semrush Data'!$A$1:$A$20000,0),MATCH("Volume",'Semrush Data'!$A$1:$Z$1,0)),""))</f>
        <v/>
      </c>
      <c r="R270" s="59">
        <f>IF(M270="","",IFERROR(INDEX('Semrush Data'!$A$1:$Z$20000,MATCH(M270,'Semrush Data'!$A$1:$A$20000,0),MATCH("Volume",'Semrush Data'!$A$1:$Z$1,0)),""))</f>
        <v/>
      </c>
      <c r="S270" s="59">
        <f>IF(N270="","",IFERROR(INDEX('Semrush Data'!$A$1:$Z$20000,MATCH(N270,'Semrush Data'!$A$1:$A$20000,0),MATCH("Volume",'Semrush Data'!$A$1:$Z$1,0)),""))</f>
        <v/>
      </c>
      <c r="T270" s="59">
        <f>IF(O270="","",IFERROR(INDEX('Semrush Data'!$A$1:$Z$20000,MATCH(O270,'Semrush Data'!$A$1:$A$20000,0),MATCH("Volume",'Semrush Data'!$A$1:$Z$1,0)),""))</f>
        <v/>
      </c>
      <c r="U270" s="59">
        <f>IF(P270="","",IFERROR(INDEX('Semrush Data'!$A$1:$Z$20000,MATCH(P270,'Semrush Data'!$A$1:$A$20000,0),MATCH("Volume",'Semrush Data'!$A$1:$Z$1,0)),""))</f>
        <v/>
      </c>
      <c r="V270" s="60">
        <f>IF(COUNT(Q270:U270)=0,L270,IF(MAX(Q270:U270)=0,L270,INDEX(L270:P270,MATCH(MAX(Q270:U270),Q270:U270,0))))</f>
        <v/>
      </c>
      <c r="W270" s="59">
        <f>IFERROR(INDEX('Semrush Data'!$A$1:$Z$20000,MATCH(V270,'Semrush Data'!$A$1:$A$20000,0),MATCH("Volume",'Semrush Data'!$A$1:$Z$1,0)),"")</f>
        <v/>
      </c>
      <c r="X270" s="59">
        <f>IFERROR(INDEX('Semrush Data'!$A$1:$Z$20000,MATCH(V270,'Semrush Data'!$A$1:$A$20000,0),MATCH("Keyword Difficulty*",'Semrush Data'!$A$1:$Z$1,0)),"")</f>
        <v/>
      </c>
      <c r="Y270" s="61">
        <f>IFERROR(INDEX('Semrush Data'!$A$1:$Z$20000,MATCH(V270,'Semrush Data'!$A$1:$A$20000,0),MATCH("CPC*",'Semrush Data'!$A$1:$Z$1,0)),"")</f>
        <v/>
      </c>
      <c r="Z270" s="58" t="inlineStr">
        <is>
          <t>davidoff perfume · davidoff perfume for men · woody perfume for men uk</t>
        </is>
      </c>
      <c r="AA270" s="58" t="inlineStr">
        <is>
          <t>davidoff champion perfume · davidoff champion price · davidoff champion perfume price · davidoff champion review · davidoff champion notes · davidoff champion 90ml</t>
        </is>
      </c>
      <c r="AB270" s="58" t="inlineStr">
        <is>
          <t>Davidoff Champion Eau de Toilette</t>
        </is>
      </c>
      <c r="AC270" s="58" t="inlineStr">
        <is>
          <t>Davidoff Champion Eau de Toilette | Buy Online UK | Swansura</t>
        </is>
      </c>
      <c r="AD270" s="58">
        <f>LEN(AC270)</f>
        <v/>
      </c>
      <c r="AE270" s="58" t="inlineStr">
        <is>
          <t>Buy Davidoff Champion Eau de Toilette online in the UK at Swansura. A woody men's eau de toilette, 90ml. 100% authentic, fast UK delivery, free over £50.</t>
        </is>
      </c>
      <c r="AF270" s="58">
        <f>LEN(AE270)</f>
        <v/>
      </c>
    </row>
    <row r="271" ht="15" customHeight="1" s="37">
      <c r="A271" s="58" t="inlineStr">
        <is>
          <t>FR-111</t>
        </is>
      </c>
      <c r="B271" s="58" t="inlineStr">
        <is>
          <t>Fragrance Catalogue</t>
        </is>
      </c>
      <c r="C271" s="58" t="n">
        <v>111</v>
      </c>
      <c r="D271" s="58" t="inlineStr">
        <is>
          <t>Davidoff</t>
        </is>
      </c>
      <c r="E271" s="58" t="n"/>
      <c r="F271" s="58" t="inlineStr">
        <is>
          <t>Fragrance</t>
        </is>
      </c>
      <c r="G271" s="58" t="inlineStr">
        <is>
          <t>Eau de Toilette (EDT)</t>
        </is>
      </c>
      <c r="H271" s="58" t="inlineStr">
        <is>
          <t>Aromatic · Men's Fragrance</t>
        </is>
      </c>
      <c r="I271" s="58" t="inlineStr">
        <is>
          <t>Davidoff Indigo Eau de Toilette 110ml – Men's Aromatic Fougere Fragrance</t>
        </is>
      </c>
      <c r="J271" s="58" t="inlineStr">
        <is>
          <t>110ml</t>
        </is>
      </c>
      <c r="K271" s="58" t="n">
        <v>21.99</v>
      </c>
      <c r="L271" s="58" t="inlineStr">
        <is>
          <t>davidoff indigo</t>
        </is>
      </c>
      <c r="M271" s="58" t="inlineStr">
        <is>
          <t>davidoff indigo uk</t>
        </is>
      </c>
      <c r="N271" s="58" t="inlineStr">
        <is>
          <t>buy davidoff indigo online</t>
        </is>
      </c>
      <c r="O271" s="58" t="inlineStr">
        <is>
          <t>davidoff indigo price</t>
        </is>
      </c>
      <c r="P271" s="58" t="inlineStr">
        <is>
          <t>davidoff indigo eau de toilette</t>
        </is>
      </c>
      <c r="Q271" s="59">
        <f>IF(L271="","",IFERROR(INDEX('Semrush Data'!$A$1:$Z$20000,MATCH(L271,'Semrush Data'!$A$1:$A$20000,0),MATCH("Volume",'Semrush Data'!$A$1:$Z$1,0)),""))</f>
        <v/>
      </c>
      <c r="R271" s="59">
        <f>IF(M271="","",IFERROR(INDEX('Semrush Data'!$A$1:$Z$20000,MATCH(M271,'Semrush Data'!$A$1:$A$20000,0),MATCH("Volume",'Semrush Data'!$A$1:$Z$1,0)),""))</f>
        <v/>
      </c>
      <c r="S271" s="59">
        <f>IF(N271="","",IFERROR(INDEX('Semrush Data'!$A$1:$Z$20000,MATCH(N271,'Semrush Data'!$A$1:$A$20000,0),MATCH("Volume",'Semrush Data'!$A$1:$Z$1,0)),""))</f>
        <v/>
      </c>
      <c r="T271" s="59">
        <f>IF(O271="","",IFERROR(INDEX('Semrush Data'!$A$1:$Z$20000,MATCH(O271,'Semrush Data'!$A$1:$A$20000,0),MATCH("Volume",'Semrush Data'!$A$1:$Z$1,0)),""))</f>
        <v/>
      </c>
      <c r="U271" s="59">
        <f>IF(P271="","",IFERROR(INDEX('Semrush Data'!$A$1:$Z$20000,MATCH(P271,'Semrush Data'!$A$1:$A$20000,0),MATCH("Volume",'Semrush Data'!$A$1:$Z$1,0)),""))</f>
        <v/>
      </c>
      <c r="V271" s="60">
        <f>IF(COUNT(Q271:U271)=0,L271,IF(MAX(Q271:U271)=0,L271,INDEX(L271:P271,MATCH(MAX(Q271:U271),Q271:U271,0))))</f>
        <v/>
      </c>
      <c r="W271" s="59">
        <f>IFERROR(INDEX('Semrush Data'!$A$1:$Z$20000,MATCH(V271,'Semrush Data'!$A$1:$A$20000,0),MATCH("Volume",'Semrush Data'!$A$1:$Z$1,0)),"")</f>
        <v/>
      </c>
      <c r="X271" s="59">
        <f>IFERROR(INDEX('Semrush Data'!$A$1:$Z$20000,MATCH(V271,'Semrush Data'!$A$1:$A$20000,0),MATCH("Keyword Difficulty*",'Semrush Data'!$A$1:$Z$1,0)),"")</f>
        <v/>
      </c>
      <c r="Y271" s="61">
        <f>IFERROR(INDEX('Semrush Data'!$A$1:$Z$20000,MATCH(V271,'Semrush Data'!$A$1:$A$20000,0),MATCH("CPC*",'Semrush Data'!$A$1:$Z$1,0)),"")</f>
        <v/>
      </c>
      <c r="Z271" s="58" t="inlineStr">
        <is>
          <t>davidoff perfume · davidoff perfume for men · aromatic perfume for men uk</t>
        </is>
      </c>
      <c r="AA271" s="58" t="inlineStr">
        <is>
          <t>davidoff indigo price · davidoff indigo perfume · davidoff indigo 60ml price · davidoff indigo 60ml · davidoff indigo review · davidoff indigo perfume price</t>
        </is>
      </c>
      <c r="AB271" s="58" t="inlineStr">
        <is>
          <t>Davidoff Indigo Eau de Toilette</t>
        </is>
      </c>
      <c r="AC271" s="58" t="inlineStr">
        <is>
          <t>Davidoff Indigo Eau de Toilette | Buy Online UK | Swansura</t>
        </is>
      </c>
      <c r="AD271" s="58">
        <f>LEN(AC271)</f>
        <v/>
      </c>
      <c r="AE271" s="58" t="inlineStr">
        <is>
          <t>Buy Davidoff Indigo Eau de Toilette online in the UK at Swansura. An aromatic men's eau de toilette, 110ml. 100% authentic, fast UK delivery, free over £50.</t>
        </is>
      </c>
      <c r="AF271" s="58">
        <f>LEN(AE271)</f>
        <v/>
      </c>
    </row>
    <row r="272" ht="15" customHeight="1" s="37">
      <c r="A272" s="58" t="inlineStr">
        <is>
          <t>FR-112</t>
        </is>
      </c>
      <c r="B272" s="58" t="inlineStr">
        <is>
          <t>Fragrance Catalogue</t>
        </is>
      </c>
      <c r="C272" s="58" t="n">
        <v>112</v>
      </c>
      <c r="D272" s="58" t="inlineStr">
        <is>
          <t>Davidoff</t>
        </is>
      </c>
      <c r="E272" s="58" t="n"/>
      <c r="F272" s="58" t="inlineStr">
        <is>
          <t>Fragrance</t>
        </is>
      </c>
      <c r="G272" s="58" t="inlineStr">
        <is>
          <t>Eau de Toilette (EDT)</t>
        </is>
      </c>
      <c r="H272" s="58" t="inlineStr">
        <is>
          <t>Woody · Men's Fragrance</t>
        </is>
      </c>
      <c r="I272" s="58" t="inlineStr">
        <is>
          <t>Davidoff The Game Eau de Toilette 100ml – Men's Woody Aromatic Fragrance</t>
        </is>
      </c>
      <c r="J272" s="58" t="inlineStr">
        <is>
          <t>100ml</t>
        </is>
      </c>
      <c r="K272" s="58" t="n">
        <v>27.99</v>
      </c>
      <c r="L272" s="58" t="inlineStr">
        <is>
          <t>davidoff the game</t>
        </is>
      </c>
      <c r="M272" s="58" t="inlineStr">
        <is>
          <t>davidoff the game uk</t>
        </is>
      </c>
      <c r="N272" s="58" t="inlineStr">
        <is>
          <t>buy davidoff the game online</t>
        </is>
      </c>
      <c r="O272" s="58" t="inlineStr">
        <is>
          <t>davidoff the game price</t>
        </is>
      </c>
      <c r="P272" s="58" t="inlineStr">
        <is>
          <t>davidoff the game eau de toilette</t>
        </is>
      </c>
      <c r="Q272" s="59">
        <f>IF(L272="","",IFERROR(INDEX('Semrush Data'!$A$1:$Z$20000,MATCH(L272,'Semrush Data'!$A$1:$A$20000,0),MATCH("Volume",'Semrush Data'!$A$1:$Z$1,0)),""))</f>
        <v/>
      </c>
      <c r="R272" s="59">
        <f>IF(M272="","",IFERROR(INDEX('Semrush Data'!$A$1:$Z$20000,MATCH(M272,'Semrush Data'!$A$1:$A$20000,0),MATCH("Volume",'Semrush Data'!$A$1:$Z$1,0)),""))</f>
        <v/>
      </c>
      <c r="S272" s="59">
        <f>IF(N272="","",IFERROR(INDEX('Semrush Data'!$A$1:$Z$20000,MATCH(N272,'Semrush Data'!$A$1:$A$20000,0),MATCH("Volume",'Semrush Data'!$A$1:$Z$1,0)),""))</f>
        <v/>
      </c>
      <c r="T272" s="59">
        <f>IF(O272="","",IFERROR(INDEX('Semrush Data'!$A$1:$Z$20000,MATCH(O272,'Semrush Data'!$A$1:$A$20000,0),MATCH("Volume",'Semrush Data'!$A$1:$Z$1,0)),""))</f>
        <v/>
      </c>
      <c r="U272" s="59">
        <f>IF(P272="","",IFERROR(INDEX('Semrush Data'!$A$1:$Z$20000,MATCH(P272,'Semrush Data'!$A$1:$A$20000,0),MATCH("Volume",'Semrush Data'!$A$1:$Z$1,0)),""))</f>
        <v/>
      </c>
      <c r="V272" s="60">
        <f>IF(COUNT(Q272:U272)=0,L272,IF(MAX(Q272:U272)=0,L272,INDEX(L272:P272,MATCH(MAX(Q272:U272),Q272:U272,0))))</f>
        <v/>
      </c>
      <c r="W272" s="59">
        <f>IFERROR(INDEX('Semrush Data'!$A$1:$Z$20000,MATCH(V272,'Semrush Data'!$A$1:$A$20000,0),MATCH("Volume",'Semrush Data'!$A$1:$Z$1,0)),"")</f>
        <v/>
      </c>
      <c r="X272" s="59">
        <f>IFERROR(INDEX('Semrush Data'!$A$1:$Z$20000,MATCH(V272,'Semrush Data'!$A$1:$A$20000,0),MATCH("Keyword Difficulty*",'Semrush Data'!$A$1:$Z$1,0)),"")</f>
        <v/>
      </c>
      <c r="Y272" s="61">
        <f>IFERROR(INDEX('Semrush Data'!$A$1:$Z$20000,MATCH(V272,'Semrush Data'!$A$1:$A$20000,0),MATCH("CPC*",'Semrush Data'!$A$1:$Z$1,0)),"")</f>
        <v/>
      </c>
      <c r="Z272" s="58" t="inlineStr">
        <is>
          <t>davidoff perfume · davidoff perfume for men · woody perfume for men uk</t>
        </is>
      </c>
      <c r="AA272" s="58" t="inlineStr">
        <is>
          <t>davidoff the game perfume · davidoff the game 100ml · davidoff the game review · davidoff the game price · davidoff the game perfume price · davidoff the game edt</t>
        </is>
      </c>
      <c r="AB272" s="58" t="inlineStr">
        <is>
          <t>Davidoff The Game Eau de Toilette</t>
        </is>
      </c>
      <c r="AC272" s="58" t="inlineStr">
        <is>
          <t>Davidoff The Game Eau de Toilette | Buy Online UK | Swansura</t>
        </is>
      </c>
      <c r="AD272" s="58">
        <f>LEN(AC272)</f>
        <v/>
      </c>
      <c r="AE272" s="58" t="inlineStr">
        <is>
          <t>Buy Davidoff The Game Eau de Toilette online in the UK at Swansura. A woody men's eau de toilette, 100ml. 100% authentic, fast UK delivery, free over £50.</t>
        </is>
      </c>
      <c r="AF272" s="58">
        <f>LEN(AE272)</f>
        <v/>
      </c>
    </row>
    <row r="273" ht="15" customHeight="1" s="37">
      <c r="A273" s="58" t="inlineStr">
        <is>
          <t>FR-113</t>
        </is>
      </c>
      <c r="B273" s="58" t="inlineStr">
        <is>
          <t>Fragrance Catalogue</t>
        </is>
      </c>
      <c r="C273" s="58" t="n">
        <v>113</v>
      </c>
      <c r="D273" s="58" t="inlineStr">
        <is>
          <t>dior</t>
        </is>
      </c>
      <c r="E273" s="58" t="n"/>
      <c r="F273" s="58" t="inlineStr">
        <is>
          <t>Fragrance</t>
        </is>
      </c>
      <c r="G273" s="58" t="inlineStr">
        <is>
          <t>Eau de Parfum (EDP)</t>
        </is>
      </c>
      <c r="H273" s="58" t="inlineStr">
        <is>
          <t>Woody · Women's Fragrance</t>
        </is>
      </c>
      <c r="I273" s="58" t="inlineStr">
        <is>
          <t>Miss Dior Eau de Parfum Roller-Pearl 20ml for Women</t>
        </is>
      </c>
      <c r="J273" s="58" t="inlineStr">
        <is>
          <t>20ml</t>
        </is>
      </c>
      <c r="K273" s="58" t="n">
        <v>51.99</v>
      </c>
      <c r="L273" s="58" t="inlineStr">
        <is>
          <t>dior miss dior roller-pearl</t>
        </is>
      </c>
      <c r="M273" s="58" t="inlineStr">
        <is>
          <t>dior miss dior roller-pearl uk</t>
        </is>
      </c>
      <c r="N273" s="58" t="inlineStr">
        <is>
          <t>buy dior miss dior roller-pearl online</t>
        </is>
      </c>
      <c r="O273" s="58" t="inlineStr">
        <is>
          <t>dior miss dior roller-pearl price</t>
        </is>
      </c>
      <c r="P273" s="58" t="inlineStr">
        <is>
          <t>dior miss dior roller-pearl eau de parfum</t>
        </is>
      </c>
      <c r="Q273" s="59">
        <f>IF(L273="","",IFERROR(INDEX('Semrush Data'!$A$1:$Z$20000,MATCH(L273,'Semrush Data'!$A$1:$A$20000,0),MATCH("Volume",'Semrush Data'!$A$1:$Z$1,0)),""))</f>
        <v/>
      </c>
      <c r="R273" s="59">
        <f>IF(M273="","",IFERROR(INDEX('Semrush Data'!$A$1:$Z$20000,MATCH(M273,'Semrush Data'!$A$1:$A$20000,0),MATCH("Volume",'Semrush Data'!$A$1:$Z$1,0)),""))</f>
        <v/>
      </c>
      <c r="S273" s="59">
        <f>IF(N273="","",IFERROR(INDEX('Semrush Data'!$A$1:$Z$20000,MATCH(N273,'Semrush Data'!$A$1:$A$20000,0),MATCH("Volume",'Semrush Data'!$A$1:$Z$1,0)),""))</f>
        <v/>
      </c>
      <c r="T273" s="59">
        <f>IF(O273="","",IFERROR(INDEX('Semrush Data'!$A$1:$Z$20000,MATCH(O273,'Semrush Data'!$A$1:$A$20000,0),MATCH("Volume",'Semrush Data'!$A$1:$Z$1,0)),""))</f>
        <v/>
      </c>
      <c r="U273" s="59">
        <f>IF(P273="","",IFERROR(INDEX('Semrush Data'!$A$1:$Z$20000,MATCH(P273,'Semrush Data'!$A$1:$A$20000,0),MATCH("Volume",'Semrush Data'!$A$1:$Z$1,0)),""))</f>
        <v/>
      </c>
      <c r="V273" s="60">
        <f>IF(COUNT(Q273:U273)=0,L273,IF(MAX(Q273:U273)=0,L273,INDEX(L273:P273,MATCH(MAX(Q273:U273),Q273:U273,0))))</f>
        <v/>
      </c>
      <c r="W273" s="59">
        <f>IFERROR(INDEX('Semrush Data'!$A$1:$Z$20000,MATCH(V273,'Semrush Data'!$A$1:$A$20000,0),MATCH("Volume",'Semrush Data'!$A$1:$Z$1,0)),"")</f>
        <v/>
      </c>
      <c r="X273" s="59">
        <f>IFERROR(INDEX('Semrush Data'!$A$1:$Z$20000,MATCH(V273,'Semrush Data'!$A$1:$A$20000,0),MATCH("Keyword Difficulty*",'Semrush Data'!$A$1:$Z$1,0)),"")</f>
        <v/>
      </c>
      <c r="Y273" s="61">
        <f>IFERROR(INDEX('Semrush Data'!$A$1:$Z$20000,MATCH(V273,'Semrush Data'!$A$1:$A$20000,0),MATCH("CPC*",'Semrush Data'!$A$1:$Z$1,0)),"")</f>
        <v/>
      </c>
      <c r="Z273" s="58" t="inlineStr">
        <is>
          <t>dior perfume · dior perfume for women · woody perfume for women uk</t>
        </is>
      </c>
      <c r="AA273" s="58" t="inlineStr">
        <is>
          <t>dior miss dior roller pearl eau de parfum · dior miss dior roller pearl edp 20ml · dior miss dior roller pearl parfum · dior miss dior roller pearl 20ml</t>
        </is>
      </c>
      <c r="AB273" s="58" t="inlineStr">
        <is>
          <t>Miss Dior Eau de Parfum Roller-Pearl for Women</t>
        </is>
      </c>
      <c r="AC273" s="58" t="inlineStr">
        <is>
          <t>Miss Dior Eau de Parfum Roller-Pearl for Women | Swansura UK</t>
        </is>
      </c>
      <c r="AD273" s="58">
        <f>LEN(AC273)</f>
        <v/>
      </c>
      <c r="AE273" s="58" t="inlineStr">
        <is>
          <t>Buy Miss Dior Eau de Parfum Roller-Pearl for Women online in the UK at Swansura. A woody women's eau de parfum, 20ml. 100% authentic, free UK delivery over £50.</t>
        </is>
      </c>
      <c r="AF273" s="58">
        <f>LEN(AE273)</f>
        <v/>
      </c>
    </row>
    <row r="274" ht="15" customHeight="1" s="37">
      <c r="A274" s="58" t="inlineStr">
        <is>
          <t>FR-114</t>
        </is>
      </c>
      <c r="B274" s="58" t="inlineStr">
        <is>
          <t>Fragrance Catalogue</t>
        </is>
      </c>
      <c r="C274" s="58" t="n">
        <v>114</v>
      </c>
      <c r="D274" s="58" t="inlineStr">
        <is>
          <t>dior</t>
        </is>
      </c>
      <c r="E274" s="58" t="n"/>
      <c r="F274" s="58" t="inlineStr">
        <is>
          <t>Gift Set</t>
        </is>
      </c>
      <c r="G274" s="58" t="inlineStr">
        <is>
          <t>Fragrance Gift Set</t>
        </is>
      </c>
      <c r="H274" s="58" t="inlineStr">
        <is>
          <t>Amber · Unisex Fragrance</t>
        </is>
      </c>
      <c r="I274" s="58" t="inlineStr">
        <is>
          <t>Dior Iconics Mini Perfume Discovery Set 5 x 5ml</t>
        </is>
      </c>
      <c r="J274" s="58" t="inlineStr">
        <is>
          <t>5ml</t>
        </is>
      </c>
      <c r="K274" s="58" t="n">
        <v>92.98999999999999</v>
      </c>
      <c r="L274" s="58" t="inlineStr">
        <is>
          <t>dior iconics mini discovery set</t>
        </is>
      </c>
      <c r="M274" s="58" t="inlineStr">
        <is>
          <t>dior iconics mini discovery set uk</t>
        </is>
      </c>
      <c r="N274" s="58" t="inlineStr">
        <is>
          <t>buy dior iconics mini discovery set online</t>
        </is>
      </c>
      <c r="O274" s="58" t="inlineStr">
        <is>
          <t>dior iconics mini discovery set price</t>
        </is>
      </c>
      <c r="P274" s="58" t="n"/>
      <c r="Q274" s="59">
        <f>IF(L274="","",IFERROR(INDEX('Semrush Data'!$A$1:$Z$20000,MATCH(L274,'Semrush Data'!$A$1:$A$20000,0),MATCH("Volume",'Semrush Data'!$A$1:$Z$1,0)),""))</f>
        <v/>
      </c>
      <c r="R274" s="59">
        <f>IF(M274="","",IFERROR(INDEX('Semrush Data'!$A$1:$Z$20000,MATCH(M274,'Semrush Data'!$A$1:$A$20000,0),MATCH("Volume",'Semrush Data'!$A$1:$Z$1,0)),""))</f>
        <v/>
      </c>
      <c r="S274" s="59">
        <f>IF(N274="","",IFERROR(INDEX('Semrush Data'!$A$1:$Z$20000,MATCH(N274,'Semrush Data'!$A$1:$A$20000,0),MATCH("Volume",'Semrush Data'!$A$1:$Z$1,0)),""))</f>
        <v/>
      </c>
      <c r="T274" s="59">
        <f>IF(O274="","",IFERROR(INDEX('Semrush Data'!$A$1:$Z$20000,MATCH(O274,'Semrush Data'!$A$1:$A$20000,0),MATCH("Volume",'Semrush Data'!$A$1:$Z$1,0)),""))</f>
        <v/>
      </c>
      <c r="U274" s="59">
        <f>IF(P274="","",IFERROR(INDEX('Semrush Data'!$A$1:$Z$20000,MATCH(P274,'Semrush Data'!$A$1:$A$20000,0),MATCH("Volume",'Semrush Data'!$A$1:$Z$1,0)),""))</f>
        <v/>
      </c>
      <c r="V274" s="60">
        <f>IF(COUNT(Q274:U274)=0,L274,IF(MAX(Q274:U274)=0,L274,INDEX(L274:P274,MATCH(MAX(Q274:U274),Q274:U274,0))))</f>
        <v/>
      </c>
      <c r="W274" s="59">
        <f>IFERROR(INDEX('Semrush Data'!$A$1:$Z$20000,MATCH(V274,'Semrush Data'!$A$1:$A$20000,0),MATCH("Volume",'Semrush Data'!$A$1:$Z$1,0)),"")</f>
        <v/>
      </c>
      <c r="X274" s="59">
        <f>IFERROR(INDEX('Semrush Data'!$A$1:$Z$20000,MATCH(V274,'Semrush Data'!$A$1:$A$20000,0),MATCH("Keyword Difficulty*",'Semrush Data'!$A$1:$Z$1,0)),"")</f>
        <v/>
      </c>
      <c r="Y274" s="61">
        <f>IFERROR(INDEX('Semrush Data'!$A$1:$Z$20000,MATCH(V274,'Semrush Data'!$A$1:$A$20000,0),MATCH("CPC*",'Semrush Data'!$A$1:$Z$1,0)),"")</f>
        <v/>
      </c>
      <c r="Z274" s="58" t="inlineStr">
        <is>
          <t>dior perfume · amber perfume uk</t>
        </is>
      </c>
      <c r="AA274" s="58" t="n"/>
      <c r="AB274" s="58" t="inlineStr">
        <is>
          <t>Dior Iconics Mini Perfume Discovery Set 5 X</t>
        </is>
      </c>
      <c r="AC274" s="58" t="inlineStr">
        <is>
          <t>Dior Iconics Mini Perfume Discovery Set 5 X | Swansura UK</t>
        </is>
      </c>
      <c r="AD274" s="58">
        <f>LEN(AC274)</f>
        <v/>
      </c>
      <c r="AE274" s="58" t="inlineStr">
        <is>
          <t>Buy Dior Iconics Mini Perfume Discovery Set 5 X online in the UK at Swansura. An amber unisex fragrance, 5ml. 100% authentic, fast UK delivery, free over £50.</t>
        </is>
      </c>
      <c r="AF274" s="58">
        <f>LEN(AE274)</f>
        <v/>
      </c>
    </row>
    <row r="275" ht="15" customHeight="1" s="37">
      <c r="A275" s="58" t="inlineStr">
        <is>
          <t>FR-115</t>
        </is>
      </c>
      <c r="B275" s="58" t="inlineStr">
        <is>
          <t>Fragrance Catalogue</t>
        </is>
      </c>
      <c r="C275" s="58" t="n">
        <v>115</v>
      </c>
      <c r="D275" s="58" t="inlineStr">
        <is>
          <t>dior</t>
        </is>
      </c>
      <c r="E275" s="58" t="n"/>
      <c r="F275" s="58" t="inlineStr">
        <is>
          <t>Gift Set</t>
        </is>
      </c>
      <c r="G275" s="58" t="inlineStr">
        <is>
          <t>Eau de Parfum (EDP)</t>
        </is>
      </c>
      <c r="H275" s="58" t="inlineStr">
        <is>
          <t>Woody · Men's Fragrance</t>
        </is>
      </c>
      <c r="I275" s="58" t="inlineStr">
        <is>
          <t>Dior Sauvage Eau de Parfum 100ml + 10ml Men's Gift Set</t>
        </is>
      </c>
      <c r="J275" s="58" t="inlineStr">
        <is>
          <t>100ml</t>
        </is>
      </c>
      <c r="K275" s="58" t="n">
        <v>144</v>
      </c>
      <c r="L275" s="58" t="inlineStr">
        <is>
          <t>dior sauvage</t>
        </is>
      </c>
      <c r="M275" s="58" t="inlineStr">
        <is>
          <t>dior sauvage uk</t>
        </is>
      </c>
      <c r="N275" s="58" t="inlineStr">
        <is>
          <t>buy dior sauvage online</t>
        </is>
      </c>
      <c r="O275" s="58" t="inlineStr">
        <is>
          <t>dior sauvage price</t>
        </is>
      </c>
      <c r="P275" s="58" t="inlineStr">
        <is>
          <t>dior sauvage eau de parfum</t>
        </is>
      </c>
      <c r="Q275" s="59">
        <f>IF(L275="","",IFERROR(INDEX('Semrush Data'!$A$1:$Z$20000,MATCH(L275,'Semrush Data'!$A$1:$A$20000,0),MATCH("Volume",'Semrush Data'!$A$1:$Z$1,0)),""))</f>
        <v/>
      </c>
      <c r="R275" s="59">
        <f>IF(M275="","",IFERROR(INDEX('Semrush Data'!$A$1:$Z$20000,MATCH(M275,'Semrush Data'!$A$1:$A$20000,0),MATCH("Volume",'Semrush Data'!$A$1:$Z$1,0)),""))</f>
        <v/>
      </c>
      <c r="S275" s="59">
        <f>IF(N275="","",IFERROR(INDEX('Semrush Data'!$A$1:$Z$20000,MATCH(N275,'Semrush Data'!$A$1:$A$20000,0),MATCH("Volume",'Semrush Data'!$A$1:$Z$1,0)),""))</f>
        <v/>
      </c>
      <c r="T275" s="59">
        <f>IF(O275="","",IFERROR(INDEX('Semrush Data'!$A$1:$Z$20000,MATCH(O275,'Semrush Data'!$A$1:$A$20000,0),MATCH("Volume",'Semrush Data'!$A$1:$Z$1,0)),""))</f>
        <v/>
      </c>
      <c r="U275" s="59">
        <f>IF(P275="","",IFERROR(INDEX('Semrush Data'!$A$1:$Z$20000,MATCH(P275,'Semrush Data'!$A$1:$A$20000,0),MATCH("Volume",'Semrush Data'!$A$1:$Z$1,0)),""))</f>
        <v/>
      </c>
      <c r="V275" s="60">
        <f>IF(COUNT(Q275:U275)=0,L275,IF(MAX(Q275:U275)=0,L275,INDEX(L275:P275,MATCH(MAX(Q275:U275),Q275:U275,0))))</f>
        <v/>
      </c>
      <c r="W275" s="59">
        <f>IFERROR(INDEX('Semrush Data'!$A$1:$Z$20000,MATCH(V275,'Semrush Data'!$A$1:$A$20000,0),MATCH("Volume",'Semrush Data'!$A$1:$Z$1,0)),"")</f>
        <v/>
      </c>
      <c r="X275" s="59">
        <f>IFERROR(INDEX('Semrush Data'!$A$1:$Z$20000,MATCH(V275,'Semrush Data'!$A$1:$A$20000,0),MATCH("Keyword Difficulty*",'Semrush Data'!$A$1:$Z$1,0)),"")</f>
        <v/>
      </c>
      <c r="Y275" s="61">
        <f>IFERROR(INDEX('Semrush Data'!$A$1:$Z$20000,MATCH(V275,'Semrush Data'!$A$1:$A$20000,0),MATCH("CPC*",'Semrush Data'!$A$1:$Z$1,0)),"")</f>
        <v/>
      </c>
      <c r="Z275" s="58" t="inlineStr">
        <is>
          <t>dior perfume · dior perfume for men · woody perfume for men uk</t>
        </is>
      </c>
      <c r="AA275" s="58" t="inlineStr">
        <is>
          <t>dior sauvage extrait · dior sauvage parfum · dior sauvage eau de parfum · dior sauvage price · dior sauvage edp · dior sauvage edt</t>
        </is>
      </c>
      <c r="AB275" s="58" t="inlineStr">
        <is>
          <t>Dior Sauvage Eau de Parfum</t>
        </is>
      </c>
      <c r="AC275" s="58" t="inlineStr">
        <is>
          <t>Dior Sauvage Eau de Parfum | Buy Online UK | Swansura</t>
        </is>
      </c>
      <c r="AD275" s="58">
        <f>LEN(AC275)</f>
        <v/>
      </c>
      <c r="AE275" s="58" t="inlineStr">
        <is>
          <t>Buy Dior Sauvage Eau de Parfum online in the UK at Swansura. A woody men's eau de parfum, 100ml. 100% authentic, fast UK delivery, free over £50.</t>
        </is>
      </c>
      <c r="AF275" s="58">
        <f>LEN(AE275)</f>
        <v/>
      </c>
    </row>
    <row r="276" ht="15" customHeight="1" s="37">
      <c r="A276" s="58" t="inlineStr">
        <is>
          <t>FR-116</t>
        </is>
      </c>
      <c r="B276" s="58" t="inlineStr">
        <is>
          <t>Fragrance Catalogue</t>
        </is>
      </c>
      <c r="C276" s="58" t="n">
        <v>116</v>
      </c>
      <c r="D276" s="58" t="inlineStr">
        <is>
          <t>DKNY</t>
        </is>
      </c>
      <c r="E276" s="58" t="n"/>
      <c r="F276" s="58" t="inlineStr">
        <is>
          <t>Fragrance</t>
        </is>
      </c>
      <c r="G276" s="58" t="inlineStr">
        <is>
          <t>Eau de Parfum (EDP)</t>
        </is>
      </c>
      <c r="H276" s="58" t="inlineStr">
        <is>
          <t>Floral · Women's Fragrance</t>
        </is>
      </c>
      <c r="I276" s="58" t="inlineStr">
        <is>
          <t>DKNY Be Delicious Orchard Street Eau de Parfum 100ml – Women's Fruity Floral Fragrance</t>
        </is>
      </c>
      <c r="J276" s="58" t="inlineStr">
        <is>
          <t>100ml</t>
        </is>
      </c>
      <c r="K276" s="58" t="n">
        <v>28.99</v>
      </c>
      <c r="L276" s="58" t="inlineStr">
        <is>
          <t>dkny be delicious orchard street</t>
        </is>
      </c>
      <c r="M276" s="58" t="inlineStr">
        <is>
          <t>dkny be delicious orchard street uk</t>
        </is>
      </c>
      <c r="N276" s="58" t="inlineStr">
        <is>
          <t>buy dkny be delicious orchard street online</t>
        </is>
      </c>
      <c r="O276" s="58" t="inlineStr">
        <is>
          <t>dkny be delicious orchard street price</t>
        </is>
      </c>
      <c r="P276" s="58" t="inlineStr">
        <is>
          <t>dkny be delicious orchard street eau de parfum</t>
        </is>
      </c>
      <c r="Q276" s="59">
        <f>IF(L276="","",IFERROR(INDEX('Semrush Data'!$A$1:$Z$20000,MATCH(L276,'Semrush Data'!$A$1:$A$20000,0),MATCH("Volume",'Semrush Data'!$A$1:$Z$1,0)),""))</f>
        <v/>
      </c>
      <c r="R276" s="59">
        <f>IF(M276="","",IFERROR(INDEX('Semrush Data'!$A$1:$Z$20000,MATCH(M276,'Semrush Data'!$A$1:$A$20000,0),MATCH("Volume",'Semrush Data'!$A$1:$Z$1,0)),""))</f>
        <v/>
      </c>
      <c r="S276" s="59">
        <f>IF(N276="","",IFERROR(INDEX('Semrush Data'!$A$1:$Z$20000,MATCH(N276,'Semrush Data'!$A$1:$A$20000,0),MATCH("Volume",'Semrush Data'!$A$1:$Z$1,0)),""))</f>
        <v/>
      </c>
      <c r="T276" s="59">
        <f>IF(O276="","",IFERROR(INDEX('Semrush Data'!$A$1:$Z$20000,MATCH(O276,'Semrush Data'!$A$1:$A$20000,0),MATCH("Volume",'Semrush Data'!$A$1:$Z$1,0)),""))</f>
        <v/>
      </c>
      <c r="U276" s="59">
        <f>IF(P276="","",IFERROR(INDEX('Semrush Data'!$A$1:$Z$20000,MATCH(P276,'Semrush Data'!$A$1:$A$20000,0),MATCH("Volume",'Semrush Data'!$A$1:$Z$1,0)),""))</f>
        <v/>
      </c>
      <c r="V276" s="60">
        <f>IF(COUNT(Q276:U276)=0,L276,IF(MAX(Q276:U276)=0,L276,INDEX(L276:P276,MATCH(MAX(Q276:U276),Q276:U276,0))))</f>
        <v/>
      </c>
      <c r="W276" s="59">
        <f>IFERROR(INDEX('Semrush Data'!$A$1:$Z$20000,MATCH(V276,'Semrush Data'!$A$1:$A$20000,0),MATCH("Volume",'Semrush Data'!$A$1:$Z$1,0)),"")</f>
        <v/>
      </c>
      <c r="X276" s="59">
        <f>IFERROR(INDEX('Semrush Data'!$A$1:$Z$20000,MATCH(V276,'Semrush Data'!$A$1:$A$20000,0),MATCH("Keyword Difficulty*",'Semrush Data'!$A$1:$Z$1,0)),"")</f>
        <v/>
      </c>
      <c r="Y276" s="61">
        <f>IFERROR(INDEX('Semrush Data'!$A$1:$Z$20000,MATCH(V276,'Semrush Data'!$A$1:$A$20000,0),MATCH("CPC*",'Semrush Data'!$A$1:$Z$1,0)),"")</f>
        <v/>
      </c>
      <c r="Z276" s="58" t="inlineStr">
        <is>
          <t>dkny perfume · dkny perfume for women · floral perfume for women uk</t>
        </is>
      </c>
      <c r="AA276" s="58" t="inlineStr">
        <is>
          <t>dkny be delicious orchard street eau de parfum · dkny be delicious orchard street edp · dkny be delicious orchard street edp 100ml · dkny be delicious orchard street edp 30ml · dkny be delicious orchard street eau de parfum 100ml · dkny be delicious orchard street perfume</t>
        </is>
      </c>
      <c r="AB276" s="58" t="inlineStr">
        <is>
          <t>DKNY Be Delicious Orchard Street Eau de Parfum</t>
        </is>
      </c>
      <c r="AC276" s="58" t="inlineStr">
        <is>
          <t>DKNY Be Delicious Orchard Street Eau de Parfum | Swansura UK</t>
        </is>
      </c>
      <c r="AD276" s="58">
        <f>LEN(AC276)</f>
        <v/>
      </c>
      <c r="AE276" s="58" t="inlineStr">
        <is>
          <t>Buy DKNY Be Delicious Orchard Street Eau de Parfum online in the UK at Swansura. A floral women's eau de parfum. 100% authentic, free UK delivery over £50.</t>
        </is>
      </c>
      <c r="AF276" s="58">
        <f>LEN(AE276)</f>
        <v/>
      </c>
    </row>
    <row r="277" ht="15" customHeight="1" s="37">
      <c r="A277" s="58" t="inlineStr">
        <is>
          <t>FR-117</t>
        </is>
      </c>
      <c r="B277" s="58" t="inlineStr">
        <is>
          <t>Fragrance Catalogue</t>
        </is>
      </c>
      <c r="C277" s="58" t="n">
        <v>117</v>
      </c>
      <c r="D277" s="58" t="inlineStr">
        <is>
          <t>DKNY</t>
        </is>
      </c>
      <c r="E277" s="58" t="n"/>
      <c r="F277" s="58" t="inlineStr">
        <is>
          <t>Fragrance</t>
        </is>
      </c>
      <c r="G277" s="58" t="inlineStr">
        <is>
          <t>Eau de Parfum (EDP)</t>
        </is>
      </c>
      <c r="H277" s="58" t="inlineStr">
        <is>
          <t>Floral · Women's Fragrance</t>
        </is>
      </c>
      <c r="I277" s="58" t="inlineStr">
        <is>
          <t>DKNY Be Tempted Eau de Parfum 100ml – Women's Fruity Floral Gourmand Fragrance</t>
        </is>
      </c>
      <c r="J277" s="58" t="inlineStr">
        <is>
          <t>100ml</t>
        </is>
      </c>
      <c r="K277" s="58" t="n">
        <v>39.99</v>
      </c>
      <c r="L277" s="58" t="inlineStr">
        <is>
          <t>dkny be tempted</t>
        </is>
      </c>
      <c r="M277" s="58" t="inlineStr">
        <is>
          <t>dkny be tempted uk</t>
        </is>
      </c>
      <c r="N277" s="58" t="inlineStr">
        <is>
          <t>buy dkny be tempted online</t>
        </is>
      </c>
      <c r="O277" s="58" t="inlineStr">
        <is>
          <t>dkny be tempted price</t>
        </is>
      </c>
      <c r="P277" s="58" t="inlineStr">
        <is>
          <t>dkny be tempted eau de parfum</t>
        </is>
      </c>
      <c r="Q277" s="59">
        <f>IF(L277="","",IFERROR(INDEX('Semrush Data'!$A$1:$Z$20000,MATCH(L277,'Semrush Data'!$A$1:$A$20000,0),MATCH("Volume",'Semrush Data'!$A$1:$Z$1,0)),""))</f>
        <v/>
      </c>
      <c r="R277" s="59">
        <f>IF(M277="","",IFERROR(INDEX('Semrush Data'!$A$1:$Z$20000,MATCH(M277,'Semrush Data'!$A$1:$A$20000,0),MATCH("Volume",'Semrush Data'!$A$1:$Z$1,0)),""))</f>
        <v/>
      </c>
      <c r="S277" s="59">
        <f>IF(N277="","",IFERROR(INDEX('Semrush Data'!$A$1:$Z$20000,MATCH(N277,'Semrush Data'!$A$1:$A$20000,0),MATCH("Volume",'Semrush Data'!$A$1:$Z$1,0)),""))</f>
        <v/>
      </c>
      <c r="T277" s="59">
        <f>IF(O277="","",IFERROR(INDEX('Semrush Data'!$A$1:$Z$20000,MATCH(O277,'Semrush Data'!$A$1:$A$20000,0),MATCH("Volume",'Semrush Data'!$A$1:$Z$1,0)),""))</f>
        <v/>
      </c>
      <c r="U277" s="59">
        <f>IF(P277="","",IFERROR(INDEX('Semrush Data'!$A$1:$Z$20000,MATCH(P277,'Semrush Data'!$A$1:$A$20000,0),MATCH("Volume",'Semrush Data'!$A$1:$Z$1,0)),""))</f>
        <v/>
      </c>
      <c r="V277" s="60">
        <f>IF(COUNT(Q277:U277)=0,L277,IF(MAX(Q277:U277)=0,L277,INDEX(L277:P277,MATCH(MAX(Q277:U277),Q277:U277,0))))</f>
        <v/>
      </c>
      <c r="W277" s="59">
        <f>IFERROR(INDEX('Semrush Data'!$A$1:$Z$20000,MATCH(V277,'Semrush Data'!$A$1:$A$20000,0),MATCH("Volume",'Semrush Data'!$A$1:$Z$1,0)),"")</f>
        <v/>
      </c>
      <c r="X277" s="59">
        <f>IFERROR(INDEX('Semrush Data'!$A$1:$Z$20000,MATCH(V277,'Semrush Data'!$A$1:$A$20000,0),MATCH("Keyword Difficulty*",'Semrush Data'!$A$1:$Z$1,0)),"")</f>
        <v/>
      </c>
      <c r="Y277" s="61">
        <f>IFERROR(INDEX('Semrush Data'!$A$1:$Z$20000,MATCH(V277,'Semrush Data'!$A$1:$A$20000,0),MATCH("CPC*",'Semrush Data'!$A$1:$Z$1,0)),"")</f>
        <v/>
      </c>
      <c r="Z277" s="58" t="inlineStr">
        <is>
          <t>dkny perfume · dkny perfume for women · floral perfume for women uk</t>
        </is>
      </c>
      <c r="AA277" s="58" t="inlineStr">
        <is>
          <t>dkny be tempted perfume · dkny be tempted 100ml · dkny be tempted 50ml · dkny be tempted notes · dkny be tempted review · dkny be tempted eau de parfum</t>
        </is>
      </c>
      <c r="AB277" s="58" t="inlineStr">
        <is>
          <t>DKNY Be Tempted Eau de Parfum</t>
        </is>
      </c>
      <c r="AC277" s="58" t="inlineStr">
        <is>
          <t>DKNY Be Tempted Eau de Parfum | Buy Online UK | Swansura</t>
        </is>
      </c>
      <c r="AD277" s="58">
        <f>LEN(AC277)</f>
        <v/>
      </c>
      <c r="AE277" s="58" t="inlineStr">
        <is>
          <t>Buy DKNY Be Tempted Eau de Parfum online in the UK at Swansura. A floral women's eau de parfum, 100ml. 100% authentic, fast UK delivery, free over £50.</t>
        </is>
      </c>
      <c r="AF277" s="58">
        <f>LEN(AE277)</f>
        <v/>
      </c>
    </row>
    <row r="278" ht="15" customHeight="1" s="37">
      <c r="A278" s="58" t="inlineStr">
        <is>
          <t>FR-118</t>
        </is>
      </c>
      <c r="B278" s="58" t="inlineStr">
        <is>
          <t>Fragrance Catalogue</t>
        </is>
      </c>
      <c r="C278" s="58" t="n">
        <v>118</v>
      </c>
      <c r="D278" s="58" t="inlineStr">
        <is>
          <t>DKNY</t>
        </is>
      </c>
      <c r="E278" s="58" t="n"/>
      <c r="F278" s="58" t="inlineStr">
        <is>
          <t>Gift Set</t>
        </is>
      </c>
      <c r="G278" s="58" t="inlineStr">
        <is>
          <t>Eau de Parfum (EDP)</t>
        </is>
      </c>
      <c r="H278" s="58" t="inlineStr">
        <is>
          <t>Fresh · Women's Fragrance</t>
        </is>
      </c>
      <c r="I278" s="58" t="inlineStr">
        <is>
          <t>DKNY Be Delicious &amp; Be Delicious Fresh Blossom Eau de Parfum Gift Set 2x30ml – Women's Fragrance Duo</t>
        </is>
      </c>
      <c r="J278" s="58" t="inlineStr">
        <is>
          <t>2x30ml</t>
        </is>
      </c>
      <c r="K278" s="58" t="n">
        <v>41.99</v>
      </c>
      <c r="L278" s="58" t="inlineStr">
        <is>
          <t>dkny be delicious &amp; be delicious fresh blossom gift set</t>
        </is>
      </c>
      <c r="M278" s="58" t="inlineStr">
        <is>
          <t>dkny be delicious &amp; be delicious fresh blossom gift set uk</t>
        </is>
      </c>
      <c r="N278" s="58" t="inlineStr">
        <is>
          <t>buy dkny be delicious &amp; be delicious fresh blossom gift set online</t>
        </is>
      </c>
      <c r="O278" s="58" t="inlineStr">
        <is>
          <t>dkny be delicious &amp; be delicious fresh blossom gift set price</t>
        </is>
      </c>
      <c r="P278" s="58" t="n"/>
      <c r="Q278" s="59">
        <f>IF(L278="","",IFERROR(INDEX('Semrush Data'!$A$1:$Z$20000,MATCH(L278,'Semrush Data'!$A$1:$A$20000,0),MATCH("Volume",'Semrush Data'!$A$1:$Z$1,0)),""))</f>
        <v/>
      </c>
      <c r="R278" s="59">
        <f>IF(M278="","",IFERROR(INDEX('Semrush Data'!$A$1:$Z$20000,MATCH(M278,'Semrush Data'!$A$1:$A$20000,0),MATCH("Volume",'Semrush Data'!$A$1:$Z$1,0)),""))</f>
        <v/>
      </c>
      <c r="S278" s="59">
        <f>IF(N278="","",IFERROR(INDEX('Semrush Data'!$A$1:$Z$20000,MATCH(N278,'Semrush Data'!$A$1:$A$20000,0),MATCH("Volume",'Semrush Data'!$A$1:$Z$1,0)),""))</f>
        <v/>
      </c>
      <c r="T278" s="59">
        <f>IF(O278="","",IFERROR(INDEX('Semrush Data'!$A$1:$Z$20000,MATCH(O278,'Semrush Data'!$A$1:$A$20000,0),MATCH("Volume",'Semrush Data'!$A$1:$Z$1,0)),""))</f>
        <v/>
      </c>
      <c r="U278" s="59">
        <f>IF(P278="","",IFERROR(INDEX('Semrush Data'!$A$1:$Z$20000,MATCH(P278,'Semrush Data'!$A$1:$A$20000,0),MATCH("Volume",'Semrush Data'!$A$1:$Z$1,0)),""))</f>
        <v/>
      </c>
      <c r="V278" s="60">
        <f>IF(COUNT(Q278:U278)=0,L278,IF(MAX(Q278:U278)=0,L278,INDEX(L278:P278,MATCH(MAX(Q278:U278),Q278:U278,0))))</f>
        <v/>
      </c>
      <c r="W278" s="59">
        <f>IFERROR(INDEX('Semrush Data'!$A$1:$Z$20000,MATCH(V278,'Semrush Data'!$A$1:$A$20000,0),MATCH("Volume",'Semrush Data'!$A$1:$Z$1,0)),"")</f>
        <v/>
      </c>
      <c r="X278" s="59">
        <f>IFERROR(INDEX('Semrush Data'!$A$1:$Z$20000,MATCH(V278,'Semrush Data'!$A$1:$A$20000,0),MATCH("Keyword Difficulty*",'Semrush Data'!$A$1:$Z$1,0)),"")</f>
        <v/>
      </c>
      <c r="Y278" s="61">
        <f>IFERROR(INDEX('Semrush Data'!$A$1:$Z$20000,MATCH(V278,'Semrush Data'!$A$1:$A$20000,0),MATCH("CPC*",'Semrush Data'!$A$1:$Z$1,0)),"")</f>
        <v/>
      </c>
      <c r="Z278" s="58" t="inlineStr">
        <is>
          <t>dkny perfume · dkny perfume for women · fresh perfume for women uk</t>
        </is>
      </c>
      <c r="AA278" s="58" t="inlineStr">
        <is>
          <t>dkny be delicious fresh blossom gift set · dkny be delicious fresh blossom gift set 30ml edp 7ml edp · dkny be delicious gift set 30ml be delicious edp 30ml fresh blossom edp · dkny be delicious fresh blossom review</t>
        </is>
      </c>
      <c r="AB278" s="58" t="inlineStr">
        <is>
          <t>DKNY Be Delicious &amp; Be Delicious Fresh Blossom Eau de Parfum Gift Set 2x30ml</t>
        </is>
      </c>
      <c r="AC278" s="58" t="inlineStr">
        <is>
          <t>DKNY Be Delicious &amp; Be Delicious Fresh | Swansura UK</t>
        </is>
      </c>
      <c r="AD278" s="58">
        <f>LEN(AC278)</f>
        <v/>
      </c>
      <c r="AE278" s="58" t="inlineStr">
        <is>
          <t>Buy DKNY Be Delicious &amp; Be Delicious Fresh Blossom Eau de Parfum Gift Set 2x30ml at Swansura UK. Fresh eau de parfum. 100% authentic, free UK delivery over £50.</t>
        </is>
      </c>
      <c r="AF278" s="58">
        <f>LEN(AE278)</f>
        <v/>
      </c>
    </row>
    <row r="279" ht="15" customHeight="1" s="37">
      <c r="A279" s="58" t="inlineStr">
        <is>
          <t>FR-119</t>
        </is>
      </c>
      <c r="B279" s="58" t="inlineStr">
        <is>
          <t>Fragrance Catalogue</t>
        </is>
      </c>
      <c r="C279" s="58" t="n">
        <v>119</v>
      </c>
      <c r="D279" s="58" t="inlineStr">
        <is>
          <t>DKNY</t>
        </is>
      </c>
      <c r="E279" s="58" t="n"/>
      <c r="F279" s="58" t="inlineStr">
        <is>
          <t>Gift Set</t>
        </is>
      </c>
      <c r="G279" s="58" t="inlineStr">
        <is>
          <t>Eau de Parfum (EDP)</t>
        </is>
      </c>
      <c r="H279" s="58" t="inlineStr">
        <is>
          <t>Woody · Women's Fragrance</t>
        </is>
      </c>
      <c r="I279" s="58" t="inlineStr">
        <is>
          <t>DKNY Women's Miniature Eau de Parfum Set 4x7ml – Be Delicious, Golden Delicious, Be Extra Delicious 100%</t>
        </is>
      </c>
      <c r="J279" s="58" t="inlineStr">
        <is>
          <t>4x7ml</t>
        </is>
      </c>
      <c r="K279" s="58" t="n">
        <v>35.99</v>
      </c>
      <c r="L279" s="58" t="inlineStr">
        <is>
          <t>dkny miniature set</t>
        </is>
      </c>
      <c r="M279" s="58" t="inlineStr">
        <is>
          <t>dkny miniature set uk</t>
        </is>
      </c>
      <c r="N279" s="58" t="inlineStr">
        <is>
          <t>buy dkny miniature set online</t>
        </is>
      </c>
      <c r="O279" s="58" t="inlineStr">
        <is>
          <t>dkny miniature set price</t>
        </is>
      </c>
      <c r="P279" s="58" t="n"/>
      <c r="Q279" s="59">
        <f>IF(L279="","",IFERROR(INDEX('Semrush Data'!$A$1:$Z$20000,MATCH(L279,'Semrush Data'!$A$1:$A$20000,0),MATCH("Volume",'Semrush Data'!$A$1:$Z$1,0)),""))</f>
        <v/>
      </c>
      <c r="R279" s="59">
        <f>IF(M279="","",IFERROR(INDEX('Semrush Data'!$A$1:$Z$20000,MATCH(M279,'Semrush Data'!$A$1:$A$20000,0),MATCH("Volume",'Semrush Data'!$A$1:$Z$1,0)),""))</f>
        <v/>
      </c>
      <c r="S279" s="59">
        <f>IF(N279="","",IFERROR(INDEX('Semrush Data'!$A$1:$Z$20000,MATCH(N279,'Semrush Data'!$A$1:$A$20000,0),MATCH("Volume",'Semrush Data'!$A$1:$Z$1,0)),""))</f>
        <v/>
      </c>
      <c r="T279" s="59">
        <f>IF(O279="","",IFERROR(INDEX('Semrush Data'!$A$1:$Z$20000,MATCH(O279,'Semrush Data'!$A$1:$A$20000,0),MATCH("Volume",'Semrush Data'!$A$1:$Z$1,0)),""))</f>
        <v/>
      </c>
      <c r="U279" s="59">
        <f>IF(P279="","",IFERROR(INDEX('Semrush Data'!$A$1:$Z$20000,MATCH(P279,'Semrush Data'!$A$1:$A$20000,0),MATCH("Volume",'Semrush Data'!$A$1:$Z$1,0)),""))</f>
        <v/>
      </c>
      <c r="V279" s="60">
        <f>IF(COUNT(Q279:U279)=0,L279,IF(MAX(Q279:U279)=0,L279,INDEX(L279:P279,MATCH(MAX(Q279:U279),Q279:U279,0))))</f>
        <v/>
      </c>
      <c r="W279" s="59">
        <f>IFERROR(INDEX('Semrush Data'!$A$1:$Z$20000,MATCH(V279,'Semrush Data'!$A$1:$A$20000,0),MATCH("Volume",'Semrush Data'!$A$1:$Z$1,0)),"")</f>
        <v/>
      </c>
      <c r="X279" s="59">
        <f>IFERROR(INDEX('Semrush Data'!$A$1:$Z$20000,MATCH(V279,'Semrush Data'!$A$1:$A$20000,0),MATCH("Keyword Difficulty*",'Semrush Data'!$A$1:$Z$1,0)),"")</f>
        <v/>
      </c>
      <c r="Y279" s="61">
        <f>IFERROR(INDEX('Semrush Data'!$A$1:$Z$20000,MATCH(V279,'Semrush Data'!$A$1:$A$20000,0),MATCH("CPC*",'Semrush Data'!$A$1:$Z$1,0)),"")</f>
        <v/>
      </c>
      <c r="Z279" s="58" t="inlineStr">
        <is>
          <t>dkny perfume · dkny perfume for women · woody perfume for women uk</t>
        </is>
      </c>
      <c r="AA279" s="58" t="inlineStr">
        <is>
          <t>dkny mini set · dkny mini set perfume · dkny miniature perfume set · dkny miniature gift set</t>
        </is>
      </c>
      <c r="AB279" s="58" t="inlineStr">
        <is>
          <t>DKNY Women's Miniature Eau de Parfum Set 4x7ml</t>
        </is>
      </c>
      <c r="AC279" s="58" t="inlineStr">
        <is>
          <t>DKNY Women's Miniature Eau de Parfum Set 4x7ml | Swansura UK</t>
        </is>
      </c>
      <c r="AD279" s="58">
        <f>LEN(AC279)</f>
        <v/>
      </c>
      <c r="AE279" s="58" t="inlineStr">
        <is>
          <t>Buy DKNY Women's Miniature Eau de Parfum Set 4x7ml online in the UK at Swansura. A woody women's eau de parfum. 100% authentic, fast UK delivery, free over £50.</t>
        </is>
      </c>
      <c r="AF279" s="58">
        <f>LEN(AE279)</f>
        <v/>
      </c>
    </row>
    <row r="280" ht="15" customHeight="1" s="37">
      <c r="A280" s="58" t="inlineStr">
        <is>
          <t>FR-120</t>
        </is>
      </c>
      <c r="B280" s="58" t="inlineStr">
        <is>
          <t>Fragrance Catalogue</t>
        </is>
      </c>
      <c r="C280" s="58" t="n">
        <v>120</v>
      </c>
      <c r="D280" s="58" t="inlineStr">
        <is>
          <t>Dolce &amp; Gabbana</t>
        </is>
      </c>
      <c r="E280" s="58" t="n"/>
      <c r="F280" s="58" t="inlineStr">
        <is>
          <t>Fragrance</t>
        </is>
      </c>
      <c r="G280" s="58" t="inlineStr">
        <is>
          <t>Eau de Parfum (EDP)</t>
        </is>
      </c>
      <c r="H280" s="58" t="inlineStr">
        <is>
          <t>Gourmand · Women's Fragrance</t>
        </is>
      </c>
      <c r="I280" s="58" t="inlineStr">
        <is>
          <t>Dolce &amp; Gabbana Devotion Eau de Parfum 100ml – Luxury Women's Gourmand Fragrance</t>
        </is>
      </c>
      <c r="J280" s="58" t="inlineStr">
        <is>
          <t>100ml</t>
        </is>
      </c>
      <c r="K280" s="58" t="n">
        <v>54.99</v>
      </c>
      <c r="L280" s="58" t="inlineStr">
        <is>
          <t>dolce &amp; gabbana devotion</t>
        </is>
      </c>
      <c r="M280" s="58" t="inlineStr">
        <is>
          <t>dolce &amp; gabbana devotion uk</t>
        </is>
      </c>
      <c r="N280" s="58" t="inlineStr">
        <is>
          <t>buy dolce &amp; gabbana devotion online</t>
        </is>
      </c>
      <c r="O280" s="58" t="inlineStr">
        <is>
          <t>dolce &amp; gabbana devotion price</t>
        </is>
      </c>
      <c r="P280" s="58" t="inlineStr">
        <is>
          <t>dolce &amp; gabbana devotion eau de parfum</t>
        </is>
      </c>
      <c r="Q280" s="59">
        <f>IF(L280="","",IFERROR(INDEX('Semrush Data'!$A$1:$Z$20000,MATCH(L280,'Semrush Data'!$A$1:$A$20000,0),MATCH("Volume",'Semrush Data'!$A$1:$Z$1,0)),""))</f>
        <v/>
      </c>
      <c r="R280" s="59">
        <f>IF(M280="","",IFERROR(INDEX('Semrush Data'!$A$1:$Z$20000,MATCH(M280,'Semrush Data'!$A$1:$A$20000,0),MATCH("Volume",'Semrush Data'!$A$1:$Z$1,0)),""))</f>
        <v/>
      </c>
      <c r="S280" s="59">
        <f>IF(N280="","",IFERROR(INDEX('Semrush Data'!$A$1:$Z$20000,MATCH(N280,'Semrush Data'!$A$1:$A$20000,0),MATCH("Volume",'Semrush Data'!$A$1:$Z$1,0)),""))</f>
        <v/>
      </c>
      <c r="T280" s="59">
        <f>IF(O280="","",IFERROR(INDEX('Semrush Data'!$A$1:$Z$20000,MATCH(O280,'Semrush Data'!$A$1:$A$20000,0),MATCH("Volume",'Semrush Data'!$A$1:$Z$1,0)),""))</f>
        <v/>
      </c>
      <c r="U280" s="59">
        <f>IF(P280="","",IFERROR(INDEX('Semrush Data'!$A$1:$Z$20000,MATCH(P280,'Semrush Data'!$A$1:$A$20000,0),MATCH("Volume",'Semrush Data'!$A$1:$Z$1,0)),""))</f>
        <v/>
      </c>
      <c r="V280" s="60">
        <f>IF(COUNT(Q280:U280)=0,L280,IF(MAX(Q280:U280)=0,L280,INDEX(L280:P280,MATCH(MAX(Q280:U280),Q280:U280,0))))</f>
        <v/>
      </c>
      <c r="W280" s="59">
        <f>IFERROR(INDEX('Semrush Data'!$A$1:$Z$20000,MATCH(V280,'Semrush Data'!$A$1:$A$20000,0),MATCH("Volume",'Semrush Data'!$A$1:$Z$1,0)),"")</f>
        <v/>
      </c>
      <c r="X280" s="59">
        <f>IFERROR(INDEX('Semrush Data'!$A$1:$Z$20000,MATCH(V280,'Semrush Data'!$A$1:$A$20000,0),MATCH("Keyword Difficulty*",'Semrush Data'!$A$1:$Z$1,0)),"")</f>
        <v/>
      </c>
      <c r="Y280" s="61">
        <f>IFERROR(INDEX('Semrush Data'!$A$1:$Z$20000,MATCH(V280,'Semrush Data'!$A$1:$A$20000,0),MATCH("CPC*",'Semrush Data'!$A$1:$Z$1,0)),"")</f>
        <v/>
      </c>
      <c r="Z280" s="58" t="inlineStr">
        <is>
          <t>dolce &amp; gabbana perfume · dolce &amp; gabbana perfume for women · gourmand perfume for women uk</t>
        </is>
      </c>
      <c r="AA280" s="58" t="inlineStr">
        <is>
          <t>dolce &amp; gabbana devotion eau de parfum · dolce &amp; gabbana devotion for men · dolce &amp; gabbana devotion parfum · dolce &amp; gabbana devotion perfume · dolce &amp; gabbana devotion for women</t>
        </is>
      </c>
      <c r="AB280" s="58" t="inlineStr">
        <is>
          <t>Dolce &amp; Gabbana Devotion Eau de Parfum</t>
        </is>
      </c>
      <c r="AC280" s="58" t="inlineStr">
        <is>
          <t>Dolce &amp; Gabbana Devotion Eau de Parfum | Swansura UK</t>
        </is>
      </c>
      <c r="AD280" s="58">
        <f>LEN(AC280)</f>
        <v/>
      </c>
      <c r="AE280" s="58" t="inlineStr">
        <is>
          <t>Buy Dolce &amp; Gabbana Devotion Eau de Parfum online in the UK at Swansura. A gourmand women's eau de parfum, 100ml. 100% authentic, free UK delivery over £50.</t>
        </is>
      </c>
      <c r="AF280" s="58">
        <f>LEN(AE280)</f>
        <v/>
      </c>
    </row>
    <row r="281" ht="15" customHeight="1" s="37">
      <c r="A281" s="58" t="inlineStr">
        <is>
          <t>FR-121</t>
        </is>
      </c>
      <c r="B281" s="58" t="inlineStr">
        <is>
          <t>Fragrance Catalogue</t>
        </is>
      </c>
      <c r="C281" s="58" t="n">
        <v>121</v>
      </c>
      <c r="D281" s="58" t="inlineStr">
        <is>
          <t>Dolce &amp; Gabbana</t>
        </is>
      </c>
      <c r="E281" s="58" t="n"/>
      <c r="F281" s="58" t="inlineStr">
        <is>
          <t>Fragrance</t>
        </is>
      </c>
      <c r="G281" s="58" t="inlineStr">
        <is>
          <t>Eau de Parfum (EDP)</t>
        </is>
      </c>
      <c r="H281" s="58" t="inlineStr">
        <is>
          <t>Floral · Women's Fragrance</t>
        </is>
      </c>
      <c r="I281" s="58" t="inlineStr">
        <is>
          <t>Dolce &amp; Gabbana Q Eau de Parfum 100ml – Luxury Women's Fruity Floral Fragrance</t>
        </is>
      </c>
      <c r="J281" s="58" t="inlineStr">
        <is>
          <t>100ml</t>
        </is>
      </c>
      <c r="K281" s="58" t="n">
        <v>53.99</v>
      </c>
      <c r="L281" s="58" t="inlineStr">
        <is>
          <t>dolce &amp; gabbana q</t>
        </is>
      </c>
      <c r="M281" s="58" t="inlineStr">
        <is>
          <t>dolce &amp; gabbana q uk</t>
        </is>
      </c>
      <c r="N281" s="58" t="inlineStr">
        <is>
          <t>buy dolce &amp; gabbana q online</t>
        </is>
      </c>
      <c r="O281" s="58" t="inlineStr">
        <is>
          <t>dolce &amp; gabbana q price</t>
        </is>
      </c>
      <c r="P281" s="58" t="inlineStr">
        <is>
          <t>dolce &amp; gabbana q eau de parfum</t>
        </is>
      </c>
      <c r="Q281" s="59">
        <f>IF(L281="","",IFERROR(INDEX('Semrush Data'!$A$1:$Z$20000,MATCH(L281,'Semrush Data'!$A$1:$A$20000,0),MATCH("Volume",'Semrush Data'!$A$1:$Z$1,0)),""))</f>
        <v/>
      </c>
      <c r="R281" s="59">
        <f>IF(M281="","",IFERROR(INDEX('Semrush Data'!$A$1:$Z$20000,MATCH(M281,'Semrush Data'!$A$1:$A$20000,0),MATCH("Volume",'Semrush Data'!$A$1:$Z$1,0)),""))</f>
        <v/>
      </c>
      <c r="S281" s="59">
        <f>IF(N281="","",IFERROR(INDEX('Semrush Data'!$A$1:$Z$20000,MATCH(N281,'Semrush Data'!$A$1:$A$20000,0),MATCH("Volume",'Semrush Data'!$A$1:$Z$1,0)),""))</f>
        <v/>
      </c>
      <c r="T281" s="59">
        <f>IF(O281="","",IFERROR(INDEX('Semrush Data'!$A$1:$Z$20000,MATCH(O281,'Semrush Data'!$A$1:$A$20000,0),MATCH("Volume",'Semrush Data'!$A$1:$Z$1,0)),""))</f>
        <v/>
      </c>
      <c r="U281" s="59">
        <f>IF(P281="","",IFERROR(INDEX('Semrush Data'!$A$1:$Z$20000,MATCH(P281,'Semrush Data'!$A$1:$A$20000,0),MATCH("Volume",'Semrush Data'!$A$1:$Z$1,0)),""))</f>
        <v/>
      </c>
      <c r="V281" s="60">
        <f>IF(COUNT(Q281:U281)=0,L281,IF(MAX(Q281:U281)=0,L281,INDEX(L281:P281,MATCH(MAX(Q281:U281),Q281:U281,0))))</f>
        <v/>
      </c>
      <c r="W281" s="59">
        <f>IFERROR(INDEX('Semrush Data'!$A$1:$Z$20000,MATCH(V281,'Semrush Data'!$A$1:$A$20000,0),MATCH("Volume",'Semrush Data'!$A$1:$Z$1,0)),"")</f>
        <v/>
      </c>
      <c r="X281" s="59">
        <f>IFERROR(INDEX('Semrush Data'!$A$1:$Z$20000,MATCH(V281,'Semrush Data'!$A$1:$A$20000,0),MATCH("Keyword Difficulty*",'Semrush Data'!$A$1:$Z$1,0)),"")</f>
        <v/>
      </c>
      <c r="Y281" s="61">
        <f>IFERROR(INDEX('Semrush Data'!$A$1:$Z$20000,MATCH(V281,'Semrush Data'!$A$1:$A$20000,0),MATCH("CPC*",'Semrush Data'!$A$1:$Z$1,0)),"")</f>
        <v/>
      </c>
      <c r="Z281" s="58" t="inlineStr">
        <is>
          <t>dolce &amp; gabbana perfume · dolce &amp; gabbana perfume for women · floral perfume for women uk</t>
        </is>
      </c>
      <c r="AA281" s="58" t="inlineStr">
        <is>
          <t>dolce &amp; gabbana q eau de parfum · dolce &amp; gabbana q parfum · dolce &amp; gabbana q perfume</t>
        </is>
      </c>
      <c r="AB281" s="58" t="inlineStr">
        <is>
          <t>Dolce &amp; Gabbana Q Eau de Parfum</t>
        </is>
      </c>
      <c r="AC281" s="58" t="inlineStr">
        <is>
          <t>Dolce &amp; Gabbana Q Eau de Parfum | Buy Online UK | Swansura</t>
        </is>
      </c>
      <c r="AD281" s="58">
        <f>LEN(AC281)</f>
        <v/>
      </c>
      <c r="AE281" s="58" t="inlineStr">
        <is>
          <t>Buy Dolce &amp; Gabbana Q Eau de Parfum online in the UK at Swansura. A floral women's eau de parfum, 100ml. 100% authentic, fast UK delivery, free over £50.</t>
        </is>
      </c>
      <c r="AF281" s="58">
        <f>LEN(AE281)</f>
        <v/>
      </c>
    </row>
    <row r="282" ht="15" customHeight="1" s="37">
      <c r="A282" s="58" t="inlineStr">
        <is>
          <t>FR-122</t>
        </is>
      </c>
      <c r="B282" s="58" t="inlineStr">
        <is>
          <t>Fragrance Catalogue</t>
        </is>
      </c>
      <c r="C282" s="58" t="n">
        <v>122</v>
      </c>
      <c r="D282" s="58" t="inlineStr">
        <is>
          <t>Dolce &amp; Gabbana</t>
        </is>
      </c>
      <c r="E282" s="58" t="n"/>
      <c r="F282" s="58" t="inlineStr">
        <is>
          <t>Fragrance</t>
        </is>
      </c>
      <c r="G282" s="58" t="inlineStr">
        <is>
          <t>Eau de Parfum (EDP)</t>
        </is>
      </c>
      <c r="H282" s="58" t="inlineStr">
        <is>
          <t>Woody · Men's Fragrance</t>
        </is>
      </c>
      <c r="I282" s="58" t="inlineStr">
        <is>
          <t>Dolce &amp; Gabbana The One for Men Eau de Parfum 100ml – Luxury Men's Fragrance</t>
        </is>
      </c>
      <c r="J282" s="58" t="inlineStr">
        <is>
          <t>100ml</t>
        </is>
      </c>
      <c r="K282" s="58" t="n">
        <v>54.99</v>
      </c>
      <c r="L282" s="58" t="inlineStr">
        <is>
          <t>dolce &amp; gabbana the one</t>
        </is>
      </c>
      <c r="M282" s="58" t="inlineStr">
        <is>
          <t>dolce &amp; gabbana the one uk</t>
        </is>
      </c>
      <c r="N282" s="58" t="inlineStr">
        <is>
          <t>buy dolce &amp; gabbana the one online</t>
        </is>
      </c>
      <c r="O282" s="58" t="inlineStr">
        <is>
          <t>dolce &amp; gabbana the one price</t>
        </is>
      </c>
      <c r="P282" s="58" t="inlineStr">
        <is>
          <t>dolce &amp; gabbana the one eau de parfum</t>
        </is>
      </c>
      <c r="Q282" s="59">
        <f>IF(L282="","",IFERROR(INDEX('Semrush Data'!$A$1:$Z$20000,MATCH(L282,'Semrush Data'!$A$1:$A$20000,0),MATCH("Volume",'Semrush Data'!$A$1:$Z$1,0)),""))</f>
        <v/>
      </c>
      <c r="R282" s="59">
        <f>IF(M282="","",IFERROR(INDEX('Semrush Data'!$A$1:$Z$20000,MATCH(M282,'Semrush Data'!$A$1:$A$20000,0),MATCH("Volume",'Semrush Data'!$A$1:$Z$1,0)),""))</f>
        <v/>
      </c>
      <c r="S282" s="59">
        <f>IF(N282="","",IFERROR(INDEX('Semrush Data'!$A$1:$Z$20000,MATCH(N282,'Semrush Data'!$A$1:$A$20000,0),MATCH("Volume",'Semrush Data'!$A$1:$Z$1,0)),""))</f>
        <v/>
      </c>
      <c r="T282" s="59">
        <f>IF(O282="","",IFERROR(INDEX('Semrush Data'!$A$1:$Z$20000,MATCH(O282,'Semrush Data'!$A$1:$A$20000,0),MATCH("Volume",'Semrush Data'!$A$1:$Z$1,0)),""))</f>
        <v/>
      </c>
      <c r="U282" s="59">
        <f>IF(P282="","",IFERROR(INDEX('Semrush Data'!$A$1:$Z$20000,MATCH(P282,'Semrush Data'!$A$1:$A$20000,0),MATCH("Volume",'Semrush Data'!$A$1:$Z$1,0)),""))</f>
        <v/>
      </c>
      <c r="V282" s="60">
        <f>IF(COUNT(Q282:U282)=0,L282,IF(MAX(Q282:U282)=0,L282,INDEX(L282:P282,MATCH(MAX(Q282:U282),Q282:U282,0))))</f>
        <v/>
      </c>
      <c r="W282" s="59">
        <f>IFERROR(INDEX('Semrush Data'!$A$1:$Z$20000,MATCH(V282,'Semrush Data'!$A$1:$A$20000,0),MATCH("Volume",'Semrush Data'!$A$1:$Z$1,0)),"")</f>
        <v/>
      </c>
      <c r="X282" s="59">
        <f>IFERROR(INDEX('Semrush Data'!$A$1:$Z$20000,MATCH(V282,'Semrush Data'!$A$1:$A$20000,0),MATCH("Keyword Difficulty*",'Semrush Data'!$A$1:$Z$1,0)),"")</f>
        <v/>
      </c>
      <c r="Y282" s="61">
        <f>IFERROR(INDEX('Semrush Data'!$A$1:$Z$20000,MATCH(V282,'Semrush Data'!$A$1:$A$20000,0),MATCH("CPC*",'Semrush Data'!$A$1:$Z$1,0)),"")</f>
        <v/>
      </c>
      <c r="Z282" s="58" t="inlineStr">
        <is>
          <t>dolce &amp; gabbana perfume · dolce &amp; gabbana perfume for men · woody perfume for men uk</t>
        </is>
      </c>
      <c r="AA282" s="58" t="inlineStr">
        <is>
          <t>dolce &amp; gabbana the one for men · dolce &amp; gabbana the one edp · dolce &amp; gabbana the one parfum · dolce &amp; gabbana the one eau de parfum · dolce &amp; gabbana the one for men eau de parfum · dolce &amp; gabbana the one for men edp</t>
        </is>
      </c>
      <c r="AB282" s="58" t="inlineStr">
        <is>
          <t>Dolce &amp; Gabbana The One for Men Eau de Parfum</t>
        </is>
      </c>
      <c r="AC282" s="58" t="inlineStr">
        <is>
          <t>Dolce &amp; Gabbana The One for Men Eau de Parfum | Swansura UK</t>
        </is>
      </c>
      <c r="AD282" s="58">
        <f>LEN(AC282)</f>
        <v/>
      </c>
      <c r="AE282" s="58" t="inlineStr">
        <is>
          <t>Buy Dolce &amp; Gabbana The One for Men Eau de Parfum online in the UK at Swansura. A woody men's eau de parfum, 100ml. 100% authentic, free UK delivery over £50.</t>
        </is>
      </c>
      <c r="AF282" s="58">
        <f>LEN(AE282)</f>
        <v/>
      </c>
    </row>
    <row r="283" ht="15" customHeight="1" s="37">
      <c r="A283" s="58" t="inlineStr">
        <is>
          <t>FR-123</t>
        </is>
      </c>
      <c r="B283" s="58" t="inlineStr">
        <is>
          <t>Fragrance Catalogue</t>
        </is>
      </c>
      <c r="C283" s="58" t="n">
        <v>123</v>
      </c>
      <c r="D283" s="58" t="inlineStr">
        <is>
          <t>Dolce &amp; Gabbana</t>
        </is>
      </c>
      <c r="E283" s="58" t="n"/>
      <c r="F283" s="58" t="inlineStr">
        <is>
          <t>Fragrance</t>
        </is>
      </c>
      <c r="G283" s="58" t="inlineStr">
        <is>
          <t>Eau de Parfum (EDP)</t>
        </is>
      </c>
      <c r="H283" s="58" t="inlineStr">
        <is>
          <t>Woody · Men's Fragrance</t>
        </is>
      </c>
      <c r="I283" s="58" t="inlineStr">
        <is>
          <t>Dolce &amp; Gabbana The One for Men Eau de Parfum 150ml – Luxury Men's Fragrance</t>
        </is>
      </c>
      <c r="J283" s="58" t="inlineStr">
        <is>
          <t>150ml</t>
        </is>
      </c>
      <c r="K283" s="58" t="n">
        <v>69.98999999999999</v>
      </c>
      <c r="L283" s="58" t="inlineStr">
        <is>
          <t>dolce &amp; gabbana the one</t>
        </is>
      </c>
      <c r="M283" s="58" t="inlineStr">
        <is>
          <t>dolce &amp; gabbana the one uk</t>
        </is>
      </c>
      <c r="N283" s="58" t="inlineStr">
        <is>
          <t>buy dolce &amp; gabbana the one online</t>
        </is>
      </c>
      <c r="O283" s="58" t="inlineStr">
        <is>
          <t>dolce &amp; gabbana the one price</t>
        </is>
      </c>
      <c r="P283" s="58" t="inlineStr">
        <is>
          <t>dolce &amp; gabbana the one eau de parfum</t>
        </is>
      </c>
      <c r="Q283" s="59">
        <f>IF(L283="","",IFERROR(INDEX('Semrush Data'!$A$1:$Z$20000,MATCH(L283,'Semrush Data'!$A$1:$A$20000,0),MATCH("Volume",'Semrush Data'!$A$1:$Z$1,0)),""))</f>
        <v/>
      </c>
      <c r="R283" s="59">
        <f>IF(M283="","",IFERROR(INDEX('Semrush Data'!$A$1:$Z$20000,MATCH(M283,'Semrush Data'!$A$1:$A$20000,0),MATCH("Volume",'Semrush Data'!$A$1:$Z$1,0)),""))</f>
        <v/>
      </c>
      <c r="S283" s="59">
        <f>IF(N283="","",IFERROR(INDEX('Semrush Data'!$A$1:$Z$20000,MATCH(N283,'Semrush Data'!$A$1:$A$20000,0),MATCH("Volume",'Semrush Data'!$A$1:$Z$1,0)),""))</f>
        <v/>
      </c>
      <c r="T283" s="59">
        <f>IF(O283="","",IFERROR(INDEX('Semrush Data'!$A$1:$Z$20000,MATCH(O283,'Semrush Data'!$A$1:$A$20000,0),MATCH("Volume",'Semrush Data'!$A$1:$Z$1,0)),""))</f>
        <v/>
      </c>
      <c r="U283" s="59">
        <f>IF(P283="","",IFERROR(INDEX('Semrush Data'!$A$1:$Z$20000,MATCH(P283,'Semrush Data'!$A$1:$A$20000,0),MATCH("Volume",'Semrush Data'!$A$1:$Z$1,0)),""))</f>
        <v/>
      </c>
      <c r="V283" s="60">
        <f>IF(COUNT(Q283:U283)=0,L283,IF(MAX(Q283:U283)=0,L283,INDEX(L283:P283,MATCH(MAX(Q283:U283),Q283:U283,0))))</f>
        <v/>
      </c>
      <c r="W283" s="59">
        <f>IFERROR(INDEX('Semrush Data'!$A$1:$Z$20000,MATCH(V283,'Semrush Data'!$A$1:$A$20000,0),MATCH("Volume",'Semrush Data'!$A$1:$Z$1,0)),"")</f>
        <v/>
      </c>
      <c r="X283" s="59">
        <f>IFERROR(INDEX('Semrush Data'!$A$1:$Z$20000,MATCH(V283,'Semrush Data'!$A$1:$A$20000,0),MATCH("Keyword Difficulty*",'Semrush Data'!$A$1:$Z$1,0)),"")</f>
        <v/>
      </c>
      <c r="Y283" s="61">
        <f>IFERROR(INDEX('Semrush Data'!$A$1:$Z$20000,MATCH(V283,'Semrush Data'!$A$1:$A$20000,0),MATCH("CPC*",'Semrush Data'!$A$1:$Z$1,0)),"")</f>
        <v/>
      </c>
      <c r="Z283" s="58" t="inlineStr">
        <is>
          <t>dolce &amp; gabbana perfume · dolce &amp; gabbana perfume for men · woody perfume for men uk</t>
        </is>
      </c>
      <c r="AA283" s="58" t="inlineStr">
        <is>
          <t>dolce &amp; gabbana the one for men · dolce &amp; gabbana the one edp · dolce &amp; gabbana the one parfum · dolce &amp; gabbana the one eau de parfum · dolce &amp; gabbana the one for men eau de parfum · dolce &amp; gabbana the one for men edp</t>
        </is>
      </c>
      <c r="AB283" s="58" t="inlineStr">
        <is>
          <t>Dolce &amp; Gabbana The One for Men Eau de Parfum</t>
        </is>
      </c>
      <c r="AC283" s="58" t="inlineStr">
        <is>
          <t>Dolce &amp; Gabbana The One for Men Eau de Parfum | Swansura UK</t>
        </is>
      </c>
      <c r="AD283" s="58">
        <f>LEN(AC283)</f>
        <v/>
      </c>
      <c r="AE283" s="58" t="inlineStr">
        <is>
          <t>Buy Dolce &amp; Gabbana The One for Men Eau de Parfum online in the UK at Swansura. A woody men's eau de parfum, 150ml. 100% authentic, free UK delivery over £50.</t>
        </is>
      </c>
      <c r="AF283" s="58">
        <f>LEN(AE283)</f>
        <v/>
      </c>
    </row>
    <row r="284" ht="15" customHeight="1" s="37">
      <c r="A284" s="58" t="inlineStr">
        <is>
          <t>FR-124</t>
        </is>
      </c>
      <c r="B284" s="58" t="inlineStr">
        <is>
          <t>Fragrance Catalogue</t>
        </is>
      </c>
      <c r="C284" s="58" t="n">
        <v>124</v>
      </c>
      <c r="D284" s="58" t="inlineStr">
        <is>
          <t>Dolce &amp; Gabbana</t>
        </is>
      </c>
      <c r="E284" s="58" t="n"/>
      <c r="F284" s="58" t="inlineStr">
        <is>
          <t>Fragrance</t>
        </is>
      </c>
      <c r="G284" s="58" t="inlineStr">
        <is>
          <t>Eau de Parfum (EDP)</t>
        </is>
      </c>
      <c r="H284" s="58" t="inlineStr">
        <is>
          <t>Woody · Men's Fragrance</t>
        </is>
      </c>
      <c r="I284" s="58" t="inlineStr">
        <is>
          <t>Dolce &amp; Gabbana The One for Men Eau de Parfum Intense 100ml – Luxury Men's Fragrance</t>
        </is>
      </c>
      <c r="J284" s="58" t="inlineStr">
        <is>
          <t>100ml</t>
        </is>
      </c>
      <c r="K284" s="58" t="n">
        <v>54.99</v>
      </c>
      <c r="L284" s="58" t="inlineStr">
        <is>
          <t>dolce &amp; gabbana the one intense</t>
        </is>
      </c>
      <c r="M284" s="58" t="inlineStr">
        <is>
          <t>dolce &amp; gabbana the one intense uk</t>
        </is>
      </c>
      <c r="N284" s="58" t="inlineStr">
        <is>
          <t>buy dolce &amp; gabbana the one intense online</t>
        </is>
      </c>
      <c r="O284" s="58" t="inlineStr">
        <is>
          <t>dolce &amp; gabbana the one intense price</t>
        </is>
      </c>
      <c r="P284" s="58" t="inlineStr">
        <is>
          <t>dolce &amp; gabbana the one intense eau de parfum</t>
        </is>
      </c>
      <c r="Q284" s="59">
        <f>IF(L284="","",IFERROR(INDEX('Semrush Data'!$A$1:$Z$20000,MATCH(L284,'Semrush Data'!$A$1:$A$20000,0),MATCH("Volume",'Semrush Data'!$A$1:$Z$1,0)),""))</f>
        <v/>
      </c>
      <c r="R284" s="59">
        <f>IF(M284="","",IFERROR(INDEX('Semrush Data'!$A$1:$Z$20000,MATCH(M284,'Semrush Data'!$A$1:$A$20000,0),MATCH("Volume",'Semrush Data'!$A$1:$Z$1,0)),""))</f>
        <v/>
      </c>
      <c r="S284" s="59">
        <f>IF(N284="","",IFERROR(INDEX('Semrush Data'!$A$1:$Z$20000,MATCH(N284,'Semrush Data'!$A$1:$A$20000,0),MATCH("Volume",'Semrush Data'!$A$1:$Z$1,0)),""))</f>
        <v/>
      </c>
      <c r="T284" s="59">
        <f>IF(O284="","",IFERROR(INDEX('Semrush Data'!$A$1:$Z$20000,MATCH(O284,'Semrush Data'!$A$1:$A$20000,0),MATCH("Volume",'Semrush Data'!$A$1:$Z$1,0)),""))</f>
        <v/>
      </c>
      <c r="U284" s="59">
        <f>IF(P284="","",IFERROR(INDEX('Semrush Data'!$A$1:$Z$20000,MATCH(P284,'Semrush Data'!$A$1:$A$20000,0),MATCH("Volume",'Semrush Data'!$A$1:$Z$1,0)),""))</f>
        <v/>
      </c>
      <c r="V284" s="60">
        <f>IF(COUNT(Q284:U284)=0,L284,IF(MAX(Q284:U284)=0,L284,INDEX(L284:P284,MATCH(MAX(Q284:U284),Q284:U284,0))))</f>
        <v/>
      </c>
      <c r="W284" s="59">
        <f>IFERROR(INDEX('Semrush Data'!$A$1:$Z$20000,MATCH(V284,'Semrush Data'!$A$1:$A$20000,0),MATCH("Volume",'Semrush Data'!$A$1:$Z$1,0)),"")</f>
        <v/>
      </c>
      <c r="X284" s="59">
        <f>IFERROR(INDEX('Semrush Data'!$A$1:$Z$20000,MATCH(V284,'Semrush Data'!$A$1:$A$20000,0),MATCH("Keyword Difficulty*",'Semrush Data'!$A$1:$Z$1,0)),"")</f>
        <v/>
      </c>
      <c r="Y284" s="61">
        <f>IFERROR(INDEX('Semrush Data'!$A$1:$Z$20000,MATCH(V284,'Semrush Data'!$A$1:$A$20000,0),MATCH("CPC*",'Semrush Data'!$A$1:$Z$1,0)),"")</f>
        <v/>
      </c>
      <c r="Z284" s="58" t="inlineStr">
        <is>
          <t>dolce &amp; gabbana perfume · dolce &amp; gabbana perfume for men · woody perfume for men uk</t>
        </is>
      </c>
      <c r="AA284" s="58" t="inlineStr">
        <is>
          <t>dolce &amp; gabbana the one intense men · dolce &amp; gabbana the one intense eau de parfum · dolce &amp; gabbana the one intense edp · dolce &amp; gabbana the one intense notes · dolce &amp; gabbana the one intense for women · dolce &amp; gabbana the one intense eau de parfum 100ml</t>
        </is>
      </c>
      <c r="AB284" s="58" t="inlineStr">
        <is>
          <t>Dolce &amp; Gabbana The One for Men Eau de Parfum Intense</t>
        </is>
      </c>
      <c r="AC284" s="58" t="inlineStr">
        <is>
          <t>Dolce &amp; Gabbana The One for Men Intense 100ml | Swansura UK</t>
        </is>
      </c>
      <c r="AD284" s="58">
        <f>LEN(AC284)</f>
        <v/>
      </c>
      <c r="AE284" s="58" t="inlineStr">
        <is>
          <t>Buy Dolce &amp; Gabbana The One for Men Eau de Parfum Intense online in the UK at Swansura. A woody men's eau de parfum. 100% authentic, free UK delivery over £50.</t>
        </is>
      </c>
      <c r="AF284" s="58">
        <f>LEN(AE284)</f>
        <v/>
      </c>
    </row>
    <row r="285" ht="15" customHeight="1" s="37">
      <c r="A285" s="58" t="inlineStr">
        <is>
          <t>FR-125</t>
        </is>
      </c>
      <c r="B285" s="58" t="inlineStr">
        <is>
          <t>Fragrance Catalogue</t>
        </is>
      </c>
      <c r="C285" s="58" t="n">
        <v>125</v>
      </c>
      <c r="D285" s="58" t="inlineStr">
        <is>
          <t>Dolce &amp; Gabbana</t>
        </is>
      </c>
      <c r="E285" s="58" t="n"/>
      <c r="F285" s="58" t="inlineStr">
        <is>
          <t>Fragrance</t>
        </is>
      </c>
      <c r="G285" s="58" t="inlineStr">
        <is>
          <t>Eau de Parfum (EDP)</t>
        </is>
      </c>
      <c r="H285" s="58" t="inlineStr">
        <is>
          <t>Woody · Men's Fragrance</t>
        </is>
      </c>
      <c r="I285" s="58" t="inlineStr">
        <is>
          <t>Dolce &amp; Gabbana The One Gold for Men Eau de Parfum Intense 100ml – Luxury Men's Fragrance</t>
        </is>
      </c>
      <c r="J285" s="58" t="inlineStr">
        <is>
          <t>100ml</t>
        </is>
      </c>
      <c r="K285" s="58" t="n">
        <v>54.99</v>
      </c>
      <c r="L285" s="58" t="inlineStr">
        <is>
          <t>dolce &amp; gabbana the one gold intense</t>
        </is>
      </c>
      <c r="M285" s="58" t="inlineStr">
        <is>
          <t>dolce &amp; gabbana the one gold intense uk</t>
        </is>
      </c>
      <c r="N285" s="58" t="inlineStr">
        <is>
          <t>buy dolce &amp; gabbana the one gold intense online</t>
        </is>
      </c>
      <c r="O285" s="58" t="inlineStr">
        <is>
          <t>dolce &amp; gabbana the one gold intense price</t>
        </is>
      </c>
      <c r="P285" s="58" t="inlineStr">
        <is>
          <t>dolce &amp; gabbana the one gold intense eau de parfum</t>
        </is>
      </c>
      <c r="Q285" s="59">
        <f>IF(L285="","",IFERROR(INDEX('Semrush Data'!$A$1:$Z$20000,MATCH(L285,'Semrush Data'!$A$1:$A$20000,0),MATCH("Volume",'Semrush Data'!$A$1:$Z$1,0)),""))</f>
        <v/>
      </c>
      <c r="R285" s="59">
        <f>IF(M285="","",IFERROR(INDEX('Semrush Data'!$A$1:$Z$20000,MATCH(M285,'Semrush Data'!$A$1:$A$20000,0),MATCH("Volume",'Semrush Data'!$A$1:$Z$1,0)),""))</f>
        <v/>
      </c>
      <c r="S285" s="59">
        <f>IF(N285="","",IFERROR(INDEX('Semrush Data'!$A$1:$Z$20000,MATCH(N285,'Semrush Data'!$A$1:$A$20000,0),MATCH("Volume",'Semrush Data'!$A$1:$Z$1,0)),""))</f>
        <v/>
      </c>
      <c r="T285" s="59">
        <f>IF(O285="","",IFERROR(INDEX('Semrush Data'!$A$1:$Z$20000,MATCH(O285,'Semrush Data'!$A$1:$A$20000,0),MATCH("Volume",'Semrush Data'!$A$1:$Z$1,0)),""))</f>
        <v/>
      </c>
      <c r="U285" s="59">
        <f>IF(P285="","",IFERROR(INDEX('Semrush Data'!$A$1:$Z$20000,MATCH(P285,'Semrush Data'!$A$1:$A$20000,0),MATCH("Volume",'Semrush Data'!$A$1:$Z$1,0)),""))</f>
        <v/>
      </c>
      <c r="V285" s="60">
        <f>IF(COUNT(Q285:U285)=0,L285,IF(MAX(Q285:U285)=0,L285,INDEX(L285:P285,MATCH(MAX(Q285:U285),Q285:U285,0))))</f>
        <v/>
      </c>
      <c r="W285" s="59">
        <f>IFERROR(INDEX('Semrush Data'!$A$1:$Z$20000,MATCH(V285,'Semrush Data'!$A$1:$A$20000,0),MATCH("Volume",'Semrush Data'!$A$1:$Z$1,0)),"")</f>
        <v/>
      </c>
      <c r="X285" s="59">
        <f>IFERROR(INDEX('Semrush Data'!$A$1:$Z$20000,MATCH(V285,'Semrush Data'!$A$1:$A$20000,0),MATCH("Keyword Difficulty*",'Semrush Data'!$A$1:$Z$1,0)),"")</f>
        <v/>
      </c>
      <c r="Y285" s="61">
        <f>IFERROR(INDEX('Semrush Data'!$A$1:$Z$20000,MATCH(V285,'Semrush Data'!$A$1:$A$20000,0),MATCH("CPC*",'Semrush Data'!$A$1:$Z$1,0)),"")</f>
        <v/>
      </c>
      <c r="Z285" s="58" t="inlineStr">
        <is>
          <t>dolce &amp; gabbana perfume · dolce &amp; gabbana perfume for men · woody perfume for men uk</t>
        </is>
      </c>
      <c r="AA285" s="58" t="inlineStr">
        <is>
          <t>dolce &amp; gabbana the one gold intense eau de parfum · dolce &amp; gabbana the one gold intense edp · dolce gabbana the one gold intense women · dolce gabbana the one gold intense 100ml · dolce gabbana the one gold intense men · dolce &amp; gabbana the one gold intense edp 100ml</t>
        </is>
      </c>
      <c r="AB285" s="58" t="inlineStr">
        <is>
          <t>Dolce &amp; Gabbana The One Gold for Men Eau de Parfum Intense</t>
        </is>
      </c>
      <c r="AC285" s="58" t="inlineStr">
        <is>
          <t>Dolce &amp; Gabbana The One Gold for Men Intense | Swansura UK</t>
        </is>
      </c>
      <c r="AD285" s="58">
        <f>LEN(AC285)</f>
        <v/>
      </c>
      <c r="AE285" s="58" t="inlineStr">
        <is>
          <t>Buy Dolce &amp; Gabbana The One Gold for Men Eau de Parfum Intense at Swansura UK. A woody men's eau de parfum, 100ml. 100% authentic, free UK delivery over £50.</t>
        </is>
      </c>
      <c r="AF285" s="58">
        <f>LEN(AE285)</f>
        <v/>
      </c>
    </row>
    <row r="286" ht="15" customHeight="1" s="37">
      <c r="A286" s="58" t="inlineStr">
        <is>
          <t>FR-126</t>
        </is>
      </c>
      <c r="B286" s="58" t="inlineStr">
        <is>
          <t>Fragrance Catalogue</t>
        </is>
      </c>
      <c r="C286" s="58" t="n">
        <v>126</v>
      </c>
      <c r="D286" s="58" t="inlineStr">
        <is>
          <t>Dolce &amp; Gabbana</t>
        </is>
      </c>
      <c r="E286" s="58" t="n"/>
      <c r="F286" s="58" t="inlineStr">
        <is>
          <t>Fragrance</t>
        </is>
      </c>
      <c r="G286" s="58" t="inlineStr">
        <is>
          <t>Eau de Toilette (EDT)</t>
        </is>
      </c>
      <c r="H286" s="58" t="inlineStr">
        <is>
          <t>Floral · Women's Fragrance</t>
        </is>
      </c>
      <c r="I286" s="58" t="inlineStr">
        <is>
          <t>Dolce &amp; Gabbana L'Imperatrice Eau de Toilette 100ml – Women's Fruity Floral Fragrance</t>
        </is>
      </c>
      <c r="J286" s="58" t="inlineStr">
        <is>
          <t>100ml</t>
        </is>
      </c>
      <c r="K286" s="58" t="n">
        <v>34.99</v>
      </c>
      <c r="L286" s="58" t="inlineStr">
        <is>
          <t>dolce &amp; gabbana l'imperatrice</t>
        </is>
      </c>
      <c r="M286" s="58" t="inlineStr">
        <is>
          <t>dolce &amp; gabbana l'imperatrice uk</t>
        </is>
      </c>
      <c r="N286" s="58" t="inlineStr">
        <is>
          <t>buy dolce &amp; gabbana l'imperatrice online</t>
        </is>
      </c>
      <c r="O286" s="58" t="inlineStr">
        <is>
          <t>dolce &amp; gabbana l'imperatrice price</t>
        </is>
      </c>
      <c r="P286" s="58" t="inlineStr">
        <is>
          <t>dolce &amp; gabbana l'imperatrice eau de toilette</t>
        </is>
      </c>
      <c r="Q286" s="59">
        <f>IF(L286="","",IFERROR(INDEX('Semrush Data'!$A$1:$Z$20000,MATCH(L286,'Semrush Data'!$A$1:$A$20000,0),MATCH("Volume",'Semrush Data'!$A$1:$Z$1,0)),""))</f>
        <v/>
      </c>
      <c r="R286" s="59">
        <f>IF(M286="","",IFERROR(INDEX('Semrush Data'!$A$1:$Z$20000,MATCH(M286,'Semrush Data'!$A$1:$A$20000,0),MATCH("Volume",'Semrush Data'!$A$1:$Z$1,0)),""))</f>
        <v/>
      </c>
      <c r="S286" s="59">
        <f>IF(N286="","",IFERROR(INDEX('Semrush Data'!$A$1:$Z$20000,MATCH(N286,'Semrush Data'!$A$1:$A$20000,0),MATCH("Volume",'Semrush Data'!$A$1:$Z$1,0)),""))</f>
        <v/>
      </c>
      <c r="T286" s="59">
        <f>IF(O286="","",IFERROR(INDEX('Semrush Data'!$A$1:$Z$20000,MATCH(O286,'Semrush Data'!$A$1:$A$20000,0),MATCH("Volume",'Semrush Data'!$A$1:$Z$1,0)),""))</f>
        <v/>
      </c>
      <c r="U286" s="59">
        <f>IF(P286="","",IFERROR(INDEX('Semrush Data'!$A$1:$Z$20000,MATCH(P286,'Semrush Data'!$A$1:$A$20000,0),MATCH("Volume",'Semrush Data'!$A$1:$Z$1,0)),""))</f>
        <v/>
      </c>
      <c r="V286" s="60">
        <f>IF(COUNT(Q286:U286)=0,L286,IF(MAX(Q286:U286)=0,L286,INDEX(L286:P286,MATCH(MAX(Q286:U286),Q286:U286,0))))</f>
        <v/>
      </c>
      <c r="W286" s="59">
        <f>IFERROR(INDEX('Semrush Data'!$A$1:$Z$20000,MATCH(V286,'Semrush Data'!$A$1:$A$20000,0),MATCH("Volume",'Semrush Data'!$A$1:$Z$1,0)),"")</f>
        <v/>
      </c>
      <c r="X286" s="59">
        <f>IFERROR(INDEX('Semrush Data'!$A$1:$Z$20000,MATCH(V286,'Semrush Data'!$A$1:$A$20000,0),MATCH("Keyword Difficulty*",'Semrush Data'!$A$1:$Z$1,0)),"")</f>
        <v/>
      </c>
      <c r="Y286" s="61">
        <f>IFERROR(INDEX('Semrush Data'!$A$1:$Z$20000,MATCH(V286,'Semrush Data'!$A$1:$A$20000,0),MATCH("CPC*",'Semrush Data'!$A$1:$Z$1,0)),"")</f>
        <v/>
      </c>
      <c r="Z286" s="58" t="inlineStr">
        <is>
          <t>dolce &amp; gabbana perfume · dolce &amp; gabbana perfume for women · floral perfume for women uk</t>
        </is>
      </c>
      <c r="AA286" s="58" t="inlineStr">
        <is>
          <t>dolce &amp; gabbana l'imperatrice 3 · dolce &amp; gabbana l'imperatrice 100ml price · dolce &amp; gabbana l'imperatrice edt · dolce &amp; gabbana l'imperatrice 100ml · dolce &amp; gabbana l'imperatrice perfume</t>
        </is>
      </c>
      <c r="AB286" s="58" t="inlineStr">
        <is>
          <t>Dolce &amp; Gabbana L'Imperatrice Eau de Toilette</t>
        </is>
      </c>
      <c r="AC286" s="58" t="inlineStr">
        <is>
          <t>Dolce &amp; Gabbana L'Imperatrice Eau de Toilette | Swansura UK</t>
        </is>
      </c>
      <c r="AD286" s="58">
        <f>LEN(AC286)</f>
        <v/>
      </c>
      <c r="AE286" s="58" t="inlineStr">
        <is>
          <t>Buy Dolce &amp; Gabbana L'Imperatrice Eau de Toilette online in the UK at Swansura. A floral women's eau de toilette. 100% authentic, free UK delivery over £50.</t>
        </is>
      </c>
      <c r="AF286" s="58">
        <f>LEN(AE286)</f>
        <v/>
      </c>
    </row>
    <row r="287" ht="15" customHeight="1" s="37">
      <c r="A287" s="58" t="inlineStr">
        <is>
          <t>FR-127</t>
        </is>
      </c>
      <c r="B287" s="58" t="inlineStr">
        <is>
          <t>Fragrance Catalogue</t>
        </is>
      </c>
      <c r="C287" s="58" t="n">
        <v>127</v>
      </c>
      <c r="D287" s="58" t="inlineStr">
        <is>
          <t>Dolce &amp; Gabbana</t>
        </is>
      </c>
      <c r="E287" s="58" t="n"/>
      <c r="F287" s="58" t="inlineStr">
        <is>
          <t>Gift Set</t>
        </is>
      </c>
      <c r="G287" s="58" t="inlineStr">
        <is>
          <t>Eau de Parfum (EDP)</t>
        </is>
      </c>
      <c r="H287" s="58" t="inlineStr">
        <is>
          <t>Woody · Women's Fragrance</t>
        </is>
      </c>
      <c r="I287" s="58" t="inlineStr">
        <is>
          <t>Dolce &amp; Gabbana Devotion Eau de Parfum Gift Set 50ml + 10ml – Women's Fragrance Set</t>
        </is>
      </c>
      <c r="J287" s="58" t="inlineStr">
        <is>
          <t>50ml</t>
        </is>
      </c>
      <c r="K287" s="58" t="n">
        <v>54.99</v>
      </c>
      <c r="L287" s="58" t="inlineStr">
        <is>
          <t>dolce &amp; gabbana devotion gift set</t>
        </is>
      </c>
      <c r="M287" s="58" t="inlineStr">
        <is>
          <t>dolce &amp; gabbana devotion gift set uk</t>
        </is>
      </c>
      <c r="N287" s="58" t="inlineStr">
        <is>
          <t>buy dolce &amp; gabbana devotion gift set online</t>
        </is>
      </c>
      <c r="O287" s="58" t="inlineStr">
        <is>
          <t>dolce &amp; gabbana devotion gift set price</t>
        </is>
      </c>
      <c r="P287" s="58" t="n"/>
      <c r="Q287" s="59">
        <f>IF(L287="","",IFERROR(INDEX('Semrush Data'!$A$1:$Z$20000,MATCH(L287,'Semrush Data'!$A$1:$A$20000,0),MATCH("Volume",'Semrush Data'!$A$1:$Z$1,0)),""))</f>
        <v/>
      </c>
      <c r="R287" s="59">
        <f>IF(M287="","",IFERROR(INDEX('Semrush Data'!$A$1:$Z$20000,MATCH(M287,'Semrush Data'!$A$1:$A$20000,0),MATCH("Volume",'Semrush Data'!$A$1:$Z$1,0)),""))</f>
        <v/>
      </c>
      <c r="S287" s="59">
        <f>IF(N287="","",IFERROR(INDEX('Semrush Data'!$A$1:$Z$20000,MATCH(N287,'Semrush Data'!$A$1:$A$20000,0),MATCH("Volume",'Semrush Data'!$A$1:$Z$1,0)),""))</f>
        <v/>
      </c>
      <c r="T287" s="59">
        <f>IF(O287="","",IFERROR(INDEX('Semrush Data'!$A$1:$Z$20000,MATCH(O287,'Semrush Data'!$A$1:$A$20000,0),MATCH("Volume",'Semrush Data'!$A$1:$Z$1,0)),""))</f>
        <v/>
      </c>
      <c r="U287" s="59">
        <f>IF(P287="","",IFERROR(INDEX('Semrush Data'!$A$1:$Z$20000,MATCH(P287,'Semrush Data'!$A$1:$A$20000,0),MATCH("Volume",'Semrush Data'!$A$1:$Z$1,0)),""))</f>
        <v/>
      </c>
      <c r="V287" s="60">
        <f>IF(COUNT(Q287:U287)=0,L287,IF(MAX(Q287:U287)=0,L287,INDEX(L287:P287,MATCH(MAX(Q287:U287),Q287:U287,0))))</f>
        <v/>
      </c>
      <c r="W287" s="59">
        <f>IFERROR(INDEX('Semrush Data'!$A$1:$Z$20000,MATCH(V287,'Semrush Data'!$A$1:$A$20000,0),MATCH("Volume",'Semrush Data'!$A$1:$Z$1,0)),"")</f>
        <v/>
      </c>
      <c r="X287" s="59">
        <f>IFERROR(INDEX('Semrush Data'!$A$1:$Z$20000,MATCH(V287,'Semrush Data'!$A$1:$A$20000,0),MATCH("Keyword Difficulty*",'Semrush Data'!$A$1:$Z$1,0)),"")</f>
        <v/>
      </c>
      <c r="Y287" s="61">
        <f>IFERROR(INDEX('Semrush Data'!$A$1:$Z$20000,MATCH(V287,'Semrush Data'!$A$1:$A$20000,0),MATCH("CPC*",'Semrush Data'!$A$1:$Z$1,0)),"")</f>
        <v/>
      </c>
      <c r="Z287" s="58" t="inlineStr">
        <is>
          <t>dolce &amp; gabbana perfume · dolce &amp; gabbana perfume for women · woody perfume for women uk</t>
        </is>
      </c>
      <c r="AA287" s="58" t="inlineStr">
        <is>
          <t>dolce gabbana devotion perfume gift set · dolce gabbana devotion men gift set · dolce gabbana devotion set · dolce gabbana devotion set mini</t>
        </is>
      </c>
      <c r="AB287" s="58" t="inlineStr">
        <is>
          <t>Dolce &amp; Gabbana Devotion Eau de Parfum Gift Set</t>
        </is>
      </c>
      <c r="AC287" s="58" t="inlineStr">
        <is>
          <t>Dolce &amp; Gabbana Devotion Gift Set EDP 50ml | Swansura UK</t>
        </is>
      </c>
      <c r="AD287" s="58">
        <f>LEN(AC287)</f>
        <v/>
      </c>
      <c r="AE287" s="58" t="inlineStr">
        <is>
          <t>Buy Dolce &amp; Gabbana Devotion Eau de Parfum Gift Set online in the UK at Swansura. A woody women's eau de parfum. 100% authentic, free UK delivery over £50.</t>
        </is>
      </c>
      <c r="AF287" s="58">
        <f>LEN(AE287)</f>
        <v/>
      </c>
    </row>
    <row r="288" ht="15" customHeight="1" s="37">
      <c r="A288" s="58" t="inlineStr">
        <is>
          <t>FR-128</t>
        </is>
      </c>
      <c r="B288" s="58" t="inlineStr">
        <is>
          <t>Fragrance Catalogue</t>
        </is>
      </c>
      <c r="C288" s="58" t="n">
        <v>128</v>
      </c>
      <c r="D288" s="58" t="inlineStr">
        <is>
          <t>Dolce &amp; Gabbana</t>
        </is>
      </c>
      <c r="E288" s="58" t="n"/>
      <c r="F288" s="58" t="inlineStr">
        <is>
          <t>Gift Set</t>
        </is>
      </c>
      <c r="G288" s="58" t="inlineStr">
        <is>
          <t>Eau de Parfum (EDP)</t>
        </is>
      </c>
      <c r="H288" s="58" t="inlineStr">
        <is>
          <t>Woody · Men's Fragrance</t>
        </is>
      </c>
      <c r="I288" s="58" t="inlineStr">
        <is>
          <t>Dolce &amp; Gabbana K Eau de Parfum Gift Set 50ml + 5ml – Men's Fragrance Set</t>
        </is>
      </c>
      <c r="J288" s="58" t="inlineStr">
        <is>
          <t>50ml</t>
        </is>
      </c>
      <c r="K288" s="58" t="n">
        <v>54.99</v>
      </c>
      <c r="L288" s="58" t="inlineStr">
        <is>
          <t>dolce &amp; gabbana k gift set</t>
        </is>
      </c>
      <c r="M288" s="58" t="inlineStr">
        <is>
          <t>dolce &amp; gabbana k gift set uk</t>
        </is>
      </c>
      <c r="N288" s="58" t="inlineStr">
        <is>
          <t>buy dolce &amp; gabbana k gift set online</t>
        </is>
      </c>
      <c r="O288" s="58" t="inlineStr">
        <is>
          <t>dolce &amp; gabbana k gift set price</t>
        </is>
      </c>
      <c r="P288" s="58" t="n"/>
      <c r="Q288" s="59">
        <f>IF(L288="","",IFERROR(INDEX('Semrush Data'!$A$1:$Z$20000,MATCH(L288,'Semrush Data'!$A$1:$A$20000,0),MATCH("Volume",'Semrush Data'!$A$1:$Z$1,0)),""))</f>
        <v/>
      </c>
      <c r="R288" s="59">
        <f>IF(M288="","",IFERROR(INDEX('Semrush Data'!$A$1:$Z$20000,MATCH(M288,'Semrush Data'!$A$1:$A$20000,0),MATCH("Volume",'Semrush Data'!$A$1:$Z$1,0)),""))</f>
        <v/>
      </c>
      <c r="S288" s="59">
        <f>IF(N288="","",IFERROR(INDEX('Semrush Data'!$A$1:$Z$20000,MATCH(N288,'Semrush Data'!$A$1:$A$20000,0),MATCH("Volume",'Semrush Data'!$A$1:$Z$1,0)),""))</f>
        <v/>
      </c>
      <c r="T288" s="59">
        <f>IF(O288="","",IFERROR(INDEX('Semrush Data'!$A$1:$Z$20000,MATCH(O288,'Semrush Data'!$A$1:$A$20000,0),MATCH("Volume",'Semrush Data'!$A$1:$Z$1,0)),""))</f>
        <v/>
      </c>
      <c r="U288" s="59">
        <f>IF(P288="","",IFERROR(INDEX('Semrush Data'!$A$1:$Z$20000,MATCH(P288,'Semrush Data'!$A$1:$A$20000,0),MATCH("Volume",'Semrush Data'!$A$1:$Z$1,0)),""))</f>
        <v/>
      </c>
      <c r="V288" s="60">
        <f>IF(COUNT(Q288:U288)=0,L288,IF(MAX(Q288:U288)=0,L288,INDEX(L288:P288,MATCH(MAX(Q288:U288),Q288:U288,0))))</f>
        <v/>
      </c>
      <c r="W288" s="59">
        <f>IFERROR(INDEX('Semrush Data'!$A$1:$Z$20000,MATCH(V288,'Semrush Data'!$A$1:$A$20000,0),MATCH("Volume",'Semrush Data'!$A$1:$Z$1,0)),"")</f>
        <v/>
      </c>
      <c r="X288" s="59">
        <f>IFERROR(INDEX('Semrush Data'!$A$1:$Z$20000,MATCH(V288,'Semrush Data'!$A$1:$A$20000,0),MATCH("Keyword Difficulty*",'Semrush Data'!$A$1:$Z$1,0)),"")</f>
        <v/>
      </c>
      <c r="Y288" s="61">
        <f>IFERROR(INDEX('Semrush Data'!$A$1:$Z$20000,MATCH(V288,'Semrush Data'!$A$1:$A$20000,0),MATCH("CPC*",'Semrush Data'!$A$1:$Z$1,0)),"")</f>
        <v/>
      </c>
      <c r="Z288" s="58" t="inlineStr">
        <is>
          <t>dolce &amp; gabbana perfume · dolce &amp; gabbana perfume for men · woody perfume for men uk</t>
        </is>
      </c>
      <c r="AA288" s="58" t="inlineStr">
        <is>
          <t>dolce &amp; gabbana k gift set for men · dolce gabbana k gift set · dolce and gabbana k gift set 100ml · dolce gabbana k edp gift set · dolce &amp; gabbana k edt gift set · dolce &amp; gabbana k eau de parfum gift set 100ml</t>
        </is>
      </c>
      <c r="AB288" s="58" t="inlineStr">
        <is>
          <t>Dolce &amp; Gabbana K Eau de Parfum Gift Set</t>
        </is>
      </c>
      <c r="AC288" s="58" t="inlineStr">
        <is>
          <t>Dolce &amp; Gabbana K Eau de Parfum Gift Set | Swansura UK</t>
        </is>
      </c>
      <c r="AD288" s="58">
        <f>LEN(AC288)</f>
        <v/>
      </c>
      <c r="AE288" s="58" t="inlineStr">
        <is>
          <t>Buy Dolce &amp; Gabbana K Eau de Parfum Gift Set online in the UK at Swansura. A woody men's eau de parfum, 50ml. 100% authentic, fast UK delivery, free over £50.</t>
        </is>
      </c>
      <c r="AF288" s="58">
        <f>LEN(AE288)</f>
        <v/>
      </c>
    </row>
    <row r="289" ht="15" customHeight="1" s="37">
      <c r="A289" s="58" t="inlineStr">
        <is>
          <t>FR-129</t>
        </is>
      </c>
      <c r="B289" s="58" t="inlineStr">
        <is>
          <t>Fragrance Catalogue</t>
        </is>
      </c>
      <c r="C289" s="58" t="n">
        <v>129</v>
      </c>
      <c r="D289" s="58" t="inlineStr">
        <is>
          <t>Dolce &amp; Gabbana</t>
        </is>
      </c>
      <c r="E289" s="58" t="n"/>
      <c r="F289" s="58" t="inlineStr">
        <is>
          <t>Gift Set</t>
        </is>
      </c>
      <c r="G289" s="58" t="inlineStr">
        <is>
          <t>Eau de Parfum (EDP)</t>
        </is>
      </c>
      <c r="H289" s="58" t="inlineStr">
        <is>
          <t>Fresh · Men's Fragrance</t>
        </is>
      </c>
      <c r="I289" s="58" t="inlineStr">
        <is>
          <t>Dolce &amp; Gabbana Men's Miniature Fragrance Set – Devotion, K EDT, K EDP, The One &amp; Light Blue Pour Homme</t>
        </is>
      </c>
      <c r="J289" s="58" t="inlineStr">
        <is>
          <t>4x5ml</t>
        </is>
      </c>
      <c r="K289" s="58" t="n">
        <v>34.99</v>
      </c>
      <c r="L289" s="58" t="inlineStr">
        <is>
          <t>dolce &amp; gabbana miniature set</t>
        </is>
      </c>
      <c r="M289" s="58" t="inlineStr">
        <is>
          <t>dolce &amp; gabbana miniature set uk</t>
        </is>
      </c>
      <c r="N289" s="58" t="inlineStr">
        <is>
          <t>buy dolce &amp; gabbana miniature set online</t>
        </is>
      </c>
      <c r="O289" s="58" t="inlineStr">
        <is>
          <t>dolce &amp; gabbana miniature set price</t>
        </is>
      </c>
      <c r="P289" s="58" t="n"/>
      <c r="Q289" s="59">
        <f>IF(L289="","",IFERROR(INDEX('Semrush Data'!$A$1:$Z$20000,MATCH(L289,'Semrush Data'!$A$1:$A$20000,0),MATCH("Volume",'Semrush Data'!$A$1:$Z$1,0)),""))</f>
        <v/>
      </c>
      <c r="R289" s="59">
        <f>IF(M289="","",IFERROR(INDEX('Semrush Data'!$A$1:$Z$20000,MATCH(M289,'Semrush Data'!$A$1:$A$20000,0),MATCH("Volume",'Semrush Data'!$A$1:$Z$1,0)),""))</f>
        <v/>
      </c>
      <c r="S289" s="59">
        <f>IF(N289="","",IFERROR(INDEX('Semrush Data'!$A$1:$Z$20000,MATCH(N289,'Semrush Data'!$A$1:$A$20000,0),MATCH("Volume",'Semrush Data'!$A$1:$Z$1,0)),""))</f>
        <v/>
      </c>
      <c r="T289" s="59">
        <f>IF(O289="","",IFERROR(INDEX('Semrush Data'!$A$1:$Z$20000,MATCH(O289,'Semrush Data'!$A$1:$A$20000,0),MATCH("Volume",'Semrush Data'!$A$1:$Z$1,0)),""))</f>
        <v/>
      </c>
      <c r="U289" s="59">
        <f>IF(P289="","",IFERROR(INDEX('Semrush Data'!$A$1:$Z$20000,MATCH(P289,'Semrush Data'!$A$1:$A$20000,0),MATCH("Volume",'Semrush Data'!$A$1:$Z$1,0)),""))</f>
        <v/>
      </c>
      <c r="V289" s="60">
        <f>IF(COUNT(Q289:U289)=0,L289,IF(MAX(Q289:U289)=0,L289,INDEX(L289:P289,MATCH(MAX(Q289:U289),Q289:U289,0))))</f>
        <v/>
      </c>
      <c r="W289" s="59">
        <f>IFERROR(INDEX('Semrush Data'!$A$1:$Z$20000,MATCH(V289,'Semrush Data'!$A$1:$A$20000,0),MATCH("Volume",'Semrush Data'!$A$1:$Z$1,0)),"")</f>
        <v/>
      </c>
      <c r="X289" s="59">
        <f>IFERROR(INDEX('Semrush Data'!$A$1:$Z$20000,MATCH(V289,'Semrush Data'!$A$1:$A$20000,0),MATCH("Keyword Difficulty*",'Semrush Data'!$A$1:$Z$1,0)),"")</f>
        <v/>
      </c>
      <c r="Y289" s="61">
        <f>IFERROR(INDEX('Semrush Data'!$A$1:$Z$20000,MATCH(V289,'Semrush Data'!$A$1:$A$20000,0),MATCH("CPC*",'Semrush Data'!$A$1:$Z$1,0)),"")</f>
        <v/>
      </c>
      <c r="Z289" s="58" t="inlineStr">
        <is>
          <t>dolce &amp; gabbana perfume · dolce &amp; gabbana perfume for men · fresh perfume for men uk</t>
        </is>
      </c>
      <c r="AA289" s="58" t="inlineStr">
        <is>
          <t>dolce and gabbana miniature set · dolce gabbana mini set · dolce gabbana mini set perfume · dolce gabbana mini set men · dolce gabbana miniature perfume set · dolce and gabbana miniature gift set</t>
        </is>
      </c>
      <c r="AB289" s="58" t="inlineStr">
        <is>
          <t>Dolce &amp; Gabbana Men's Miniature Fragrance Set</t>
        </is>
      </c>
      <c r="AC289" s="58" t="inlineStr">
        <is>
          <t>Dolce &amp; Gabbana Men's Miniature Fragrance Set | Swansura UK</t>
        </is>
      </c>
      <c r="AD289" s="58">
        <f>LEN(AC289)</f>
        <v/>
      </c>
      <c r="AE289" s="58" t="inlineStr">
        <is>
          <t>Buy Dolce &amp; Gabbana Men's Miniature Fragrance Set online in the UK at Swansura. A fresh men's eau de parfum, 4x5ml. 100% authentic, free UK delivery over £50.</t>
        </is>
      </c>
      <c r="AF289" s="58">
        <f>LEN(AE289)</f>
        <v/>
      </c>
    </row>
    <row r="290" ht="15" customHeight="1" s="37">
      <c r="A290" s="58" t="inlineStr">
        <is>
          <t>FR-130</t>
        </is>
      </c>
      <c r="B290" s="58" t="inlineStr">
        <is>
          <t>Fragrance Catalogue</t>
        </is>
      </c>
      <c r="C290" s="58" t="n">
        <v>130</v>
      </c>
      <c r="D290" s="58" t="inlineStr">
        <is>
          <t>Dolce &amp; Gabbana</t>
        </is>
      </c>
      <c r="E290" s="58" t="n"/>
      <c r="F290" s="58" t="inlineStr">
        <is>
          <t>Gift Set</t>
        </is>
      </c>
      <c r="G290" s="58" t="inlineStr">
        <is>
          <t>Eau de Parfum (EDP)</t>
        </is>
      </c>
      <c r="H290" s="58" t="inlineStr">
        <is>
          <t>Woody · Women's Fragrance</t>
        </is>
      </c>
      <c r="I290" s="58" t="inlineStr">
        <is>
          <t>Dolce &amp; Gabbana The One for Women Eau de Parfum Gift Set 50ml + 50ml – Luxury Women's Fragrance Set</t>
        </is>
      </c>
      <c r="J290" s="58" t="inlineStr">
        <is>
          <t>50ml</t>
        </is>
      </c>
      <c r="K290" s="58" t="n">
        <v>64.98999999999999</v>
      </c>
      <c r="L290" s="58" t="inlineStr">
        <is>
          <t>dolce &amp; gabbana the one gift set</t>
        </is>
      </c>
      <c r="M290" s="58" t="inlineStr">
        <is>
          <t>dolce &amp; gabbana the one gift set uk</t>
        </is>
      </c>
      <c r="N290" s="58" t="inlineStr">
        <is>
          <t>buy dolce &amp; gabbana the one gift set online</t>
        </is>
      </c>
      <c r="O290" s="58" t="inlineStr">
        <is>
          <t>dolce &amp; gabbana the one gift set price</t>
        </is>
      </c>
      <c r="P290" s="58" t="n"/>
      <c r="Q290" s="59">
        <f>IF(L290="","",IFERROR(INDEX('Semrush Data'!$A$1:$Z$20000,MATCH(L290,'Semrush Data'!$A$1:$A$20000,0),MATCH("Volume",'Semrush Data'!$A$1:$Z$1,0)),""))</f>
        <v/>
      </c>
      <c r="R290" s="59">
        <f>IF(M290="","",IFERROR(INDEX('Semrush Data'!$A$1:$Z$20000,MATCH(M290,'Semrush Data'!$A$1:$A$20000,0),MATCH("Volume",'Semrush Data'!$A$1:$Z$1,0)),""))</f>
        <v/>
      </c>
      <c r="S290" s="59">
        <f>IF(N290="","",IFERROR(INDEX('Semrush Data'!$A$1:$Z$20000,MATCH(N290,'Semrush Data'!$A$1:$A$20000,0),MATCH("Volume",'Semrush Data'!$A$1:$Z$1,0)),""))</f>
        <v/>
      </c>
      <c r="T290" s="59">
        <f>IF(O290="","",IFERROR(INDEX('Semrush Data'!$A$1:$Z$20000,MATCH(O290,'Semrush Data'!$A$1:$A$20000,0),MATCH("Volume",'Semrush Data'!$A$1:$Z$1,0)),""))</f>
        <v/>
      </c>
      <c r="U290" s="59">
        <f>IF(P290="","",IFERROR(INDEX('Semrush Data'!$A$1:$Z$20000,MATCH(P290,'Semrush Data'!$A$1:$A$20000,0),MATCH("Volume",'Semrush Data'!$A$1:$Z$1,0)),""))</f>
        <v/>
      </c>
      <c r="V290" s="60">
        <f>IF(COUNT(Q290:U290)=0,L290,IF(MAX(Q290:U290)=0,L290,INDEX(L290:P290,MATCH(MAX(Q290:U290),Q290:U290,0))))</f>
        <v/>
      </c>
      <c r="W290" s="59">
        <f>IFERROR(INDEX('Semrush Data'!$A$1:$Z$20000,MATCH(V290,'Semrush Data'!$A$1:$A$20000,0),MATCH("Volume",'Semrush Data'!$A$1:$Z$1,0)),"")</f>
        <v/>
      </c>
      <c r="X290" s="59">
        <f>IFERROR(INDEX('Semrush Data'!$A$1:$Z$20000,MATCH(V290,'Semrush Data'!$A$1:$A$20000,0),MATCH("Keyword Difficulty*",'Semrush Data'!$A$1:$Z$1,0)),"")</f>
        <v/>
      </c>
      <c r="Y290" s="61">
        <f>IFERROR(INDEX('Semrush Data'!$A$1:$Z$20000,MATCH(V290,'Semrush Data'!$A$1:$A$20000,0),MATCH("CPC*",'Semrush Data'!$A$1:$Z$1,0)),"")</f>
        <v/>
      </c>
      <c r="Z290" s="58" t="inlineStr">
        <is>
          <t>dolce &amp; gabbana perfume · dolce &amp; gabbana perfume for women · woody perfume for women uk</t>
        </is>
      </c>
      <c r="AA290" s="58" t="inlineStr">
        <is>
          <t>dolce gabbana the one gift set men · dolce gabbana the one set · dolce gabbana the one set women · dolce gabbana the one set men · dolce &amp; gabbana the one for women eau de parfum gift set 75ml</t>
        </is>
      </c>
      <c r="AB290" s="58" t="inlineStr">
        <is>
          <t>Dolce &amp; Gabbana The One for Women Eau de Parfum Gift Set</t>
        </is>
      </c>
      <c r="AC290" s="58" t="inlineStr">
        <is>
          <t>Dolce &amp; Gabbana The One for Women Gift Set | Swansura UK</t>
        </is>
      </c>
      <c r="AD290" s="58">
        <f>LEN(AC290)</f>
        <v/>
      </c>
      <c r="AE290" s="58" t="inlineStr">
        <is>
          <t>Buy Dolce &amp; Gabbana The One for Women Eau de Parfum Gift Set online in the UK at Swansura. Woody eau de parfum. 100% authentic, fast UK delivery, free over £50.</t>
        </is>
      </c>
      <c r="AF290" s="58">
        <f>LEN(AE290)</f>
        <v/>
      </c>
    </row>
    <row r="291" ht="15" customHeight="1" s="37">
      <c r="A291" s="58" t="inlineStr">
        <is>
          <t>FR-131</t>
        </is>
      </c>
      <c r="B291" s="58" t="inlineStr">
        <is>
          <t>Fragrance Catalogue</t>
        </is>
      </c>
      <c r="C291" s="58" t="n">
        <v>131</v>
      </c>
      <c r="D291" s="58" t="inlineStr">
        <is>
          <t>Dolce &amp; Gabbana</t>
        </is>
      </c>
      <c r="E291" s="58" t="n"/>
      <c r="F291" s="58" t="inlineStr">
        <is>
          <t>Gift Set</t>
        </is>
      </c>
      <c r="G291" s="58" t="inlineStr">
        <is>
          <t>Fragrance Gift Set</t>
        </is>
      </c>
      <c r="H291" s="58" t="inlineStr">
        <is>
          <t>Floral · Women's Fragrance</t>
        </is>
      </c>
      <c r="I291" s="58" t="inlineStr">
        <is>
          <t>Dolce &amp; Gabbana Women's Miniature Fragrance Set – Devotion, Q, Blue Jasmine, The One &amp; Light Blue</t>
        </is>
      </c>
      <c r="J291" s="58" t="inlineStr">
        <is>
          <t>4x5ml</t>
        </is>
      </c>
      <c r="K291" s="58" t="n">
        <v>39.99</v>
      </c>
      <c r="L291" s="58" t="inlineStr">
        <is>
          <t>dolce &amp; gabbana miniature set</t>
        </is>
      </c>
      <c r="M291" s="58" t="inlineStr">
        <is>
          <t>dolce &amp; gabbana miniature set uk</t>
        </is>
      </c>
      <c r="N291" s="58" t="inlineStr">
        <is>
          <t>buy dolce &amp; gabbana miniature set online</t>
        </is>
      </c>
      <c r="O291" s="58" t="inlineStr">
        <is>
          <t>dolce &amp; gabbana miniature set price</t>
        </is>
      </c>
      <c r="P291" s="58" t="n"/>
      <c r="Q291" s="59">
        <f>IF(L291="","",IFERROR(INDEX('Semrush Data'!$A$1:$Z$20000,MATCH(L291,'Semrush Data'!$A$1:$A$20000,0),MATCH("Volume",'Semrush Data'!$A$1:$Z$1,0)),""))</f>
        <v/>
      </c>
      <c r="R291" s="59">
        <f>IF(M291="","",IFERROR(INDEX('Semrush Data'!$A$1:$Z$20000,MATCH(M291,'Semrush Data'!$A$1:$A$20000,0),MATCH("Volume",'Semrush Data'!$A$1:$Z$1,0)),""))</f>
        <v/>
      </c>
      <c r="S291" s="59">
        <f>IF(N291="","",IFERROR(INDEX('Semrush Data'!$A$1:$Z$20000,MATCH(N291,'Semrush Data'!$A$1:$A$20000,0),MATCH("Volume",'Semrush Data'!$A$1:$Z$1,0)),""))</f>
        <v/>
      </c>
      <c r="T291" s="59">
        <f>IF(O291="","",IFERROR(INDEX('Semrush Data'!$A$1:$Z$20000,MATCH(O291,'Semrush Data'!$A$1:$A$20000,0),MATCH("Volume",'Semrush Data'!$A$1:$Z$1,0)),""))</f>
        <v/>
      </c>
      <c r="U291" s="59">
        <f>IF(P291="","",IFERROR(INDEX('Semrush Data'!$A$1:$Z$20000,MATCH(P291,'Semrush Data'!$A$1:$A$20000,0),MATCH("Volume",'Semrush Data'!$A$1:$Z$1,0)),""))</f>
        <v/>
      </c>
      <c r="V291" s="60">
        <f>IF(COUNT(Q291:U291)=0,L291,IF(MAX(Q291:U291)=0,L291,INDEX(L291:P291,MATCH(MAX(Q291:U291),Q291:U291,0))))</f>
        <v/>
      </c>
      <c r="W291" s="59">
        <f>IFERROR(INDEX('Semrush Data'!$A$1:$Z$20000,MATCH(V291,'Semrush Data'!$A$1:$A$20000,0),MATCH("Volume",'Semrush Data'!$A$1:$Z$1,0)),"")</f>
        <v/>
      </c>
      <c r="X291" s="59">
        <f>IFERROR(INDEX('Semrush Data'!$A$1:$Z$20000,MATCH(V291,'Semrush Data'!$A$1:$A$20000,0),MATCH("Keyword Difficulty*",'Semrush Data'!$A$1:$Z$1,0)),"")</f>
        <v/>
      </c>
      <c r="Y291" s="61">
        <f>IFERROR(INDEX('Semrush Data'!$A$1:$Z$20000,MATCH(V291,'Semrush Data'!$A$1:$A$20000,0),MATCH("CPC*",'Semrush Data'!$A$1:$Z$1,0)),"")</f>
        <v/>
      </c>
      <c r="Z291" s="58" t="inlineStr">
        <is>
          <t>dolce &amp; gabbana perfume · dolce &amp; gabbana perfume for women · floral perfume for women uk</t>
        </is>
      </c>
      <c r="AA291" s="58" t="inlineStr">
        <is>
          <t>dolce and gabbana miniature set · dolce gabbana mini set · dolce gabbana mini set perfume · dolce gabbana mini set men · dolce gabbana miniature perfume set · dolce and gabbana miniature gift set</t>
        </is>
      </c>
      <c r="AB291" s="58" t="inlineStr">
        <is>
          <t>Dolce &amp; Gabbana Women's Miniature Fragrance Set</t>
        </is>
      </c>
      <c r="AC291" s="58" t="inlineStr">
        <is>
          <t>Dolce &amp; Gabbana Women's Miniature Fragrance | Swansura UK</t>
        </is>
      </c>
      <c r="AD291" s="58">
        <f>LEN(AC291)</f>
        <v/>
      </c>
      <c r="AE291" s="58" t="inlineStr">
        <is>
          <t>Buy Dolce &amp; Gabbana Women's Miniature Fragrance Set online in the UK at Swansura. A floral women's fragrance, 4x5ml. 100% authentic, free UK delivery over £50.</t>
        </is>
      </c>
      <c r="AF291" s="58">
        <f>LEN(AE291)</f>
        <v/>
      </c>
    </row>
    <row r="292" ht="15" customHeight="1" s="37">
      <c r="A292" s="58" t="inlineStr">
        <is>
          <t>FR-132</t>
        </is>
      </c>
      <c r="B292" s="58" t="inlineStr">
        <is>
          <t>Fragrance Catalogue</t>
        </is>
      </c>
      <c r="C292" s="58" t="n">
        <v>132</v>
      </c>
      <c r="D292" s="58" t="inlineStr">
        <is>
          <t>Dunhill</t>
        </is>
      </c>
      <c r="E292" s="58" t="n"/>
      <c r="F292" s="58" t="inlineStr">
        <is>
          <t>Fragrance</t>
        </is>
      </c>
      <c r="G292" s="58" t="inlineStr">
        <is>
          <t>Eau de Parfum (EDP)</t>
        </is>
      </c>
      <c r="H292" s="58" t="inlineStr">
        <is>
          <t>Woody · Men's Fragrance</t>
        </is>
      </c>
      <c r="I292" s="58" t="inlineStr">
        <is>
          <t>Dunhill Signature Collection Agar Wood Eau de Parfum 100ml – Men's Woody Spicy Fragrance</t>
        </is>
      </c>
      <c r="J292" s="58" t="inlineStr">
        <is>
          <t>100ml</t>
        </is>
      </c>
      <c r="K292" s="58" t="n">
        <v>45.99</v>
      </c>
      <c r="L292" s="58" t="inlineStr">
        <is>
          <t>dunhill signature collection agar wood</t>
        </is>
      </c>
      <c r="M292" s="58" t="inlineStr">
        <is>
          <t>dunhill signature collection agar wood uk</t>
        </is>
      </c>
      <c r="N292" s="58" t="inlineStr">
        <is>
          <t>buy dunhill signature collection agar wood online</t>
        </is>
      </c>
      <c r="O292" s="58" t="inlineStr">
        <is>
          <t>dunhill signature collection agar wood price</t>
        </is>
      </c>
      <c r="P292" s="58" t="inlineStr">
        <is>
          <t>dunhill signature collection agar wood eau de parfum</t>
        </is>
      </c>
      <c r="Q292" s="59">
        <f>IF(L292="","",IFERROR(INDEX('Semrush Data'!$A$1:$Z$20000,MATCH(L292,'Semrush Data'!$A$1:$A$20000,0),MATCH("Volume",'Semrush Data'!$A$1:$Z$1,0)),""))</f>
        <v/>
      </c>
      <c r="R292" s="59">
        <f>IF(M292="","",IFERROR(INDEX('Semrush Data'!$A$1:$Z$20000,MATCH(M292,'Semrush Data'!$A$1:$A$20000,0),MATCH("Volume",'Semrush Data'!$A$1:$Z$1,0)),""))</f>
        <v/>
      </c>
      <c r="S292" s="59">
        <f>IF(N292="","",IFERROR(INDEX('Semrush Data'!$A$1:$Z$20000,MATCH(N292,'Semrush Data'!$A$1:$A$20000,0),MATCH("Volume",'Semrush Data'!$A$1:$Z$1,0)),""))</f>
        <v/>
      </c>
      <c r="T292" s="59">
        <f>IF(O292="","",IFERROR(INDEX('Semrush Data'!$A$1:$Z$20000,MATCH(O292,'Semrush Data'!$A$1:$A$20000,0),MATCH("Volume",'Semrush Data'!$A$1:$Z$1,0)),""))</f>
        <v/>
      </c>
      <c r="U292" s="59">
        <f>IF(P292="","",IFERROR(INDEX('Semrush Data'!$A$1:$Z$20000,MATCH(P292,'Semrush Data'!$A$1:$A$20000,0),MATCH("Volume",'Semrush Data'!$A$1:$Z$1,0)),""))</f>
        <v/>
      </c>
      <c r="V292" s="60">
        <f>IF(COUNT(Q292:U292)=0,L292,IF(MAX(Q292:U292)=0,L292,INDEX(L292:P292,MATCH(MAX(Q292:U292),Q292:U292,0))))</f>
        <v/>
      </c>
      <c r="W292" s="59">
        <f>IFERROR(INDEX('Semrush Data'!$A$1:$Z$20000,MATCH(V292,'Semrush Data'!$A$1:$A$20000,0),MATCH("Volume",'Semrush Data'!$A$1:$Z$1,0)),"")</f>
        <v/>
      </c>
      <c r="X292" s="59">
        <f>IFERROR(INDEX('Semrush Data'!$A$1:$Z$20000,MATCH(V292,'Semrush Data'!$A$1:$A$20000,0),MATCH("Keyword Difficulty*",'Semrush Data'!$A$1:$Z$1,0)),"")</f>
        <v/>
      </c>
      <c r="Y292" s="61">
        <f>IFERROR(INDEX('Semrush Data'!$A$1:$Z$20000,MATCH(V292,'Semrush Data'!$A$1:$A$20000,0),MATCH("CPC*",'Semrush Data'!$A$1:$Z$1,0)),"")</f>
        <v/>
      </c>
      <c r="Z292" s="58" t="inlineStr">
        <is>
          <t>dunhill perfume · dunhill perfume for men · woody perfume for men uk</t>
        </is>
      </c>
      <c r="AA292" s="58" t="inlineStr">
        <is>
          <t>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is>
      </c>
      <c r="AB292" s="58" t="inlineStr">
        <is>
          <t>Dunhill Signature Collection Agar Wood Eau de Parfum</t>
        </is>
      </c>
      <c r="AC292" s="58" t="inlineStr">
        <is>
          <t>Dunhill Signature Collection Agar Wood 100ml | Swansura UK</t>
        </is>
      </c>
      <c r="AD292" s="58">
        <f>LEN(AC292)</f>
        <v/>
      </c>
      <c r="AE292" s="58" t="inlineStr">
        <is>
          <t>Buy Dunhill Signature Collection Agar Wood Eau de Parfum online in the UK at Swansura. A woody men's eau de parfum. 100% authentic, free UK delivery over £50.</t>
        </is>
      </c>
      <c r="AF292" s="58">
        <f>LEN(AE292)</f>
        <v/>
      </c>
    </row>
    <row r="293" ht="15" customHeight="1" s="37">
      <c r="A293" s="58" t="inlineStr">
        <is>
          <t>FR-133</t>
        </is>
      </c>
      <c r="B293" s="58" t="inlineStr">
        <is>
          <t>Fragrance Catalogue</t>
        </is>
      </c>
      <c r="C293" s="58" t="n">
        <v>133</v>
      </c>
      <c r="D293" s="58" t="inlineStr">
        <is>
          <t>Dunhill</t>
        </is>
      </c>
      <c r="E293" s="58" t="n"/>
      <c r="F293" s="58" t="inlineStr">
        <is>
          <t>Fragrance</t>
        </is>
      </c>
      <c r="G293" s="58" t="inlineStr">
        <is>
          <t>Eau de Parfum (EDP)</t>
        </is>
      </c>
      <c r="H293" s="58" t="inlineStr">
        <is>
          <t>Citrus · Men's Fragrance</t>
        </is>
      </c>
      <c r="I293" s="58" t="inlineStr">
        <is>
          <t>Dunhill Signature Collection Amalfi Citrus Eau de Parfum 100ml – Men's Citrus Aromatic Fragrance</t>
        </is>
      </c>
      <c r="J293" s="58" t="inlineStr">
        <is>
          <t>100ml</t>
        </is>
      </c>
      <c r="K293" s="58" t="n">
        <v>45.99</v>
      </c>
      <c r="L293" s="58" t="inlineStr">
        <is>
          <t>dunhill signature collection amalfi citrus</t>
        </is>
      </c>
      <c r="M293" s="58" t="inlineStr">
        <is>
          <t>dunhill signature collection amalfi citrus uk</t>
        </is>
      </c>
      <c r="N293" s="58" t="inlineStr">
        <is>
          <t>buy dunhill signature collection amalfi citrus online</t>
        </is>
      </c>
      <c r="O293" s="58" t="inlineStr">
        <is>
          <t>dunhill signature collection amalfi citrus price</t>
        </is>
      </c>
      <c r="P293" s="58" t="inlineStr">
        <is>
          <t>dunhill signature collection amalfi citrus eau de parfum</t>
        </is>
      </c>
      <c r="Q293" s="59">
        <f>IF(L293="","",IFERROR(INDEX('Semrush Data'!$A$1:$Z$20000,MATCH(L293,'Semrush Data'!$A$1:$A$20000,0),MATCH("Volume",'Semrush Data'!$A$1:$Z$1,0)),""))</f>
        <v/>
      </c>
      <c r="R293" s="59">
        <f>IF(M293="","",IFERROR(INDEX('Semrush Data'!$A$1:$Z$20000,MATCH(M293,'Semrush Data'!$A$1:$A$20000,0),MATCH("Volume",'Semrush Data'!$A$1:$Z$1,0)),""))</f>
        <v/>
      </c>
      <c r="S293" s="59">
        <f>IF(N293="","",IFERROR(INDEX('Semrush Data'!$A$1:$Z$20000,MATCH(N293,'Semrush Data'!$A$1:$A$20000,0),MATCH("Volume",'Semrush Data'!$A$1:$Z$1,0)),""))</f>
        <v/>
      </c>
      <c r="T293" s="59">
        <f>IF(O293="","",IFERROR(INDEX('Semrush Data'!$A$1:$Z$20000,MATCH(O293,'Semrush Data'!$A$1:$A$20000,0),MATCH("Volume",'Semrush Data'!$A$1:$Z$1,0)),""))</f>
        <v/>
      </c>
      <c r="U293" s="59">
        <f>IF(P293="","",IFERROR(INDEX('Semrush Data'!$A$1:$Z$20000,MATCH(P293,'Semrush Data'!$A$1:$A$20000,0),MATCH("Volume",'Semrush Data'!$A$1:$Z$1,0)),""))</f>
        <v/>
      </c>
      <c r="V293" s="60">
        <f>IF(COUNT(Q293:U293)=0,L293,IF(MAX(Q293:U293)=0,L293,INDEX(L293:P293,MATCH(MAX(Q293:U293),Q293:U293,0))))</f>
        <v/>
      </c>
      <c r="W293" s="59">
        <f>IFERROR(INDEX('Semrush Data'!$A$1:$Z$20000,MATCH(V293,'Semrush Data'!$A$1:$A$20000,0),MATCH("Volume",'Semrush Data'!$A$1:$Z$1,0)),"")</f>
        <v/>
      </c>
      <c r="X293" s="59">
        <f>IFERROR(INDEX('Semrush Data'!$A$1:$Z$20000,MATCH(V293,'Semrush Data'!$A$1:$A$20000,0),MATCH("Keyword Difficulty*",'Semrush Data'!$A$1:$Z$1,0)),"")</f>
        <v/>
      </c>
      <c r="Y293" s="61">
        <f>IFERROR(INDEX('Semrush Data'!$A$1:$Z$20000,MATCH(V293,'Semrush Data'!$A$1:$A$20000,0),MATCH("CPC*",'Semrush Data'!$A$1:$Z$1,0)),"")</f>
        <v/>
      </c>
      <c r="Z293" s="58" t="inlineStr">
        <is>
          <t>dunhill perfume · dunhill perfume for men · citrus perfume for men uk</t>
        </is>
      </c>
      <c r="AA293" s="58" t="inlineStr">
        <is>
          <t>dunhill signature collection amalfi citrus eau de parfum · dunhill signature collection amalfi citrus review · dunhill signature collection amalfi citrus edp · dunhill signature collection amalfi citrus eau de parfum for men · dunhill signature amalfi citrus</t>
        </is>
      </c>
      <c r="AB293" s="58" t="inlineStr">
        <is>
          <t>Dunhill Signature Collection Amalfi Citrus Eau de Parfum</t>
        </is>
      </c>
      <c r="AC293" s="58" t="inlineStr">
        <is>
          <t>Dunhill Signature Collection Amalfi Citrus | Swansura UK</t>
        </is>
      </c>
      <c r="AD293" s="58">
        <f>LEN(AC293)</f>
        <v/>
      </c>
      <c r="AE293" s="58" t="inlineStr">
        <is>
          <t>Buy Dunhill Signature Collection Amalfi Citrus Eau de Parfum at Swansura UK. A citrus men's eau de parfum, 100ml. 100% authentic, free UK delivery over £50.</t>
        </is>
      </c>
      <c r="AF293" s="58">
        <f>LEN(AE293)</f>
        <v/>
      </c>
    </row>
    <row r="294" ht="15" customHeight="1" s="37">
      <c r="A294" s="58" t="inlineStr">
        <is>
          <t>FR-134</t>
        </is>
      </c>
      <c r="B294" s="58" t="inlineStr">
        <is>
          <t>Fragrance Catalogue</t>
        </is>
      </c>
      <c r="C294" s="58" t="n">
        <v>134</v>
      </c>
      <c r="D294" s="58" t="inlineStr">
        <is>
          <t>Dunhill</t>
        </is>
      </c>
      <c r="E294" s="58" t="n"/>
      <c r="F294" s="58" t="inlineStr">
        <is>
          <t>Fragrance</t>
        </is>
      </c>
      <c r="G294" s="58" t="inlineStr">
        <is>
          <t>Eau de Parfum (EDP)</t>
        </is>
      </c>
      <c r="H294" s="58" t="inlineStr">
        <is>
          <t>Woody · Men's Fragrance</t>
        </is>
      </c>
      <c r="I294" s="58" t="inlineStr">
        <is>
          <t>Dunhill Signature Collection Arabian Desert Eau de Parfum 100ml – Men's Amber Woody Fragrance</t>
        </is>
      </c>
      <c r="J294" s="58" t="inlineStr">
        <is>
          <t>100ml</t>
        </is>
      </c>
      <c r="K294" s="58" t="n">
        <v>45.99</v>
      </c>
      <c r="L294" s="58" t="inlineStr">
        <is>
          <t>dunhill signature collection arabian desert</t>
        </is>
      </c>
      <c r="M294" s="58" t="inlineStr">
        <is>
          <t>dunhill signature collection arabian desert uk</t>
        </is>
      </c>
      <c r="N294" s="58" t="inlineStr">
        <is>
          <t>buy dunhill signature collection arabian desert online</t>
        </is>
      </c>
      <c r="O294" s="58" t="inlineStr">
        <is>
          <t>dunhill signature collection arabian desert price</t>
        </is>
      </c>
      <c r="P294" s="58" t="inlineStr">
        <is>
          <t>dunhill signature collection arabian desert eau de parfum</t>
        </is>
      </c>
      <c r="Q294" s="59">
        <f>IF(L294="","",IFERROR(INDEX('Semrush Data'!$A$1:$Z$20000,MATCH(L294,'Semrush Data'!$A$1:$A$20000,0),MATCH("Volume",'Semrush Data'!$A$1:$Z$1,0)),""))</f>
        <v/>
      </c>
      <c r="R294" s="59">
        <f>IF(M294="","",IFERROR(INDEX('Semrush Data'!$A$1:$Z$20000,MATCH(M294,'Semrush Data'!$A$1:$A$20000,0),MATCH("Volume",'Semrush Data'!$A$1:$Z$1,0)),""))</f>
        <v/>
      </c>
      <c r="S294" s="59">
        <f>IF(N294="","",IFERROR(INDEX('Semrush Data'!$A$1:$Z$20000,MATCH(N294,'Semrush Data'!$A$1:$A$20000,0),MATCH("Volume",'Semrush Data'!$A$1:$Z$1,0)),""))</f>
        <v/>
      </c>
      <c r="T294" s="59">
        <f>IF(O294="","",IFERROR(INDEX('Semrush Data'!$A$1:$Z$20000,MATCH(O294,'Semrush Data'!$A$1:$A$20000,0),MATCH("Volume",'Semrush Data'!$A$1:$Z$1,0)),""))</f>
        <v/>
      </c>
      <c r="U294" s="59">
        <f>IF(P294="","",IFERROR(INDEX('Semrush Data'!$A$1:$Z$20000,MATCH(P294,'Semrush Data'!$A$1:$A$20000,0),MATCH("Volume",'Semrush Data'!$A$1:$Z$1,0)),""))</f>
        <v/>
      </c>
      <c r="V294" s="60">
        <f>IF(COUNT(Q294:U294)=0,L294,IF(MAX(Q294:U294)=0,L294,INDEX(L294:P294,MATCH(MAX(Q294:U294),Q294:U294,0))))</f>
        <v/>
      </c>
      <c r="W294" s="59">
        <f>IFERROR(INDEX('Semrush Data'!$A$1:$Z$20000,MATCH(V294,'Semrush Data'!$A$1:$A$20000,0),MATCH("Volume",'Semrush Data'!$A$1:$Z$1,0)),"")</f>
        <v/>
      </c>
      <c r="X294" s="59">
        <f>IFERROR(INDEX('Semrush Data'!$A$1:$Z$20000,MATCH(V294,'Semrush Data'!$A$1:$A$20000,0),MATCH("Keyword Difficulty*",'Semrush Data'!$A$1:$Z$1,0)),"")</f>
        <v/>
      </c>
      <c r="Y294" s="61">
        <f>IFERROR(INDEX('Semrush Data'!$A$1:$Z$20000,MATCH(V294,'Semrush Data'!$A$1:$A$20000,0),MATCH("CPC*",'Semrush Data'!$A$1:$Z$1,0)),"")</f>
        <v/>
      </c>
      <c r="Z294" s="58" t="inlineStr">
        <is>
          <t>dunhill perfume · dunhill perfume for men · woody perfume for men uk</t>
        </is>
      </c>
      <c r="AA294" s="58" t="inlineStr">
        <is>
          <t>dunhill signature collection arabian desert eau de parfum · dunhill signature collection arabian desert review · dunhill signature arabian desert · dunhill signature arabian desert edp · dunhill arabian desert review</t>
        </is>
      </c>
      <c r="AB294" s="58" t="inlineStr">
        <is>
          <t>Dunhill Signature Collection Arabian Desert Eau de Parfum</t>
        </is>
      </c>
      <c r="AC294" s="58" t="inlineStr">
        <is>
          <t>Dunhill Signature Collection Arabian Desert | Swansura UK</t>
        </is>
      </c>
      <c r="AD294" s="58">
        <f>LEN(AC294)</f>
        <v/>
      </c>
      <c r="AE294" s="58" t="inlineStr">
        <is>
          <t>Buy Dunhill Signature Collection Arabian Desert Eau de Parfum at Swansura UK. A woody men's eau de parfum, 100ml. 100% authentic, free UK delivery over £50.</t>
        </is>
      </c>
      <c r="AF294" s="58">
        <f>LEN(AE294)</f>
        <v/>
      </c>
    </row>
    <row r="295" ht="15" customHeight="1" s="37">
      <c r="A295" s="58" t="inlineStr">
        <is>
          <t>FR-135</t>
        </is>
      </c>
      <c r="B295" s="58" t="inlineStr">
        <is>
          <t>Fragrance Catalogue</t>
        </is>
      </c>
      <c r="C295" s="58" t="n">
        <v>135</v>
      </c>
      <c r="D295" s="58" t="inlineStr">
        <is>
          <t>Dunhill</t>
        </is>
      </c>
      <c r="E295" s="58" t="n"/>
      <c r="F295" s="58" t="inlineStr">
        <is>
          <t>Fragrance</t>
        </is>
      </c>
      <c r="G295" s="58" t="inlineStr">
        <is>
          <t>Eau de Parfum (EDP)</t>
        </is>
      </c>
      <c r="H295" s="58" t="inlineStr">
        <is>
          <t>Woody · Men's Fragrance</t>
        </is>
      </c>
      <c r="I295" s="58" t="inlineStr">
        <is>
          <t>Dunhill Signature Collection British Leather Eau de Parfum 100ml – Men's Leather Woody Fragrance</t>
        </is>
      </c>
      <c r="J295" s="58" t="inlineStr">
        <is>
          <t>100ml</t>
        </is>
      </c>
      <c r="K295" s="58" t="n">
        <v>45.99</v>
      </c>
      <c r="L295" s="58" t="inlineStr">
        <is>
          <t>dunhill signature collection british leather</t>
        </is>
      </c>
      <c r="M295" s="58" t="inlineStr">
        <is>
          <t>dunhill signature collection british leather uk</t>
        </is>
      </c>
      <c r="N295" s="58" t="inlineStr">
        <is>
          <t>buy dunhill signature collection british leather online</t>
        </is>
      </c>
      <c r="O295" s="58" t="inlineStr">
        <is>
          <t>dunhill signature collection british leather price</t>
        </is>
      </c>
      <c r="P295" s="58" t="inlineStr">
        <is>
          <t>dunhill signature collection british leather eau de parfum</t>
        </is>
      </c>
      <c r="Q295" s="59">
        <f>IF(L295="","",IFERROR(INDEX('Semrush Data'!$A$1:$Z$20000,MATCH(L295,'Semrush Data'!$A$1:$A$20000,0),MATCH("Volume",'Semrush Data'!$A$1:$Z$1,0)),""))</f>
        <v/>
      </c>
      <c r="R295" s="59">
        <f>IF(M295="","",IFERROR(INDEX('Semrush Data'!$A$1:$Z$20000,MATCH(M295,'Semrush Data'!$A$1:$A$20000,0),MATCH("Volume",'Semrush Data'!$A$1:$Z$1,0)),""))</f>
        <v/>
      </c>
      <c r="S295" s="59">
        <f>IF(N295="","",IFERROR(INDEX('Semrush Data'!$A$1:$Z$20000,MATCH(N295,'Semrush Data'!$A$1:$A$20000,0),MATCH("Volume",'Semrush Data'!$A$1:$Z$1,0)),""))</f>
        <v/>
      </c>
      <c r="T295" s="59">
        <f>IF(O295="","",IFERROR(INDEX('Semrush Data'!$A$1:$Z$20000,MATCH(O295,'Semrush Data'!$A$1:$A$20000,0),MATCH("Volume",'Semrush Data'!$A$1:$Z$1,0)),""))</f>
        <v/>
      </c>
      <c r="U295" s="59">
        <f>IF(P295="","",IFERROR(INDEX('Semrush Data'!$A$1:$Z$20000,MATCH(P295,'Semrush Data'!$A$1:$A$20000,0),MATCH("Volume",'Semrush Data'!$A$1:$Z$1,0)),""))</f>
        <v/>
      </c>
      <c r="V295" s="60">
        <f>IF(COUNT(Q295:U295)=0,L295,IF(MAX(Q295:U295)=0,L295,INDEX(L295:P295,MATCH(MAX(Q295:U295),Q295:U295,0))))</f>
        <v/>
      </c>
      <c r="W295" s="59">
        <f>IFERROR(INDEX('Semrush Data'!$A$1:$Z$20000,MATCH(V295,'Semrush Data'!$A$1:$A$20000,0),MATCH("Volume",'Semrush Data'!$A$1:$Z$1,0)),"")</f>
        <v/>
      </c>
      <c r="X295" s="59">
        <f>IFERROR(INDEX('Semrush Data'!$A$1:$Z$20000,MATCH(V295,'Semrush Data'!$A$1:$A$20000,0),MATCH("Keyword Difficulty*",'Semrush Data'!$A$1:$Z$1,0)),"")</f>
        <v/>
      </c>
      <c r="Y295" s="61">
        <f>IFERROR(INDEX('Semrush Data'!$A$1:$Z$20000,MATCH(V295,'Semrush Data'!$A$1:$A$20000,0),MATCH("CPC*",'Semrush Data'!$A$1:$Z$1,0)),"")</f>
        <v/>
      </c>
      <c r="Z295" s="58" t="inlineStr">
        <is>
          <t>dunhill perfume · dunhill perfume for men · woody perfume for men uk</t>
        </is>
      </c>
      <c r="AA295" s="58" t="inlineStr">
        <is>
          <t>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is>
      </c>
      <c r="AB295" s="58" t="inlineStr">
        <is>
          <t>Dunhill Signature Collection British Leather Eau de Parfum</t>
        </is>
      </c>
      <c r="AC295" s="58" t="inlineStr">
        <is>
          <t>Dunhill Signature Collection British Leather | Swansura UK</t>
        </is>
      </c>
      <c r="AD295" s="58">
        <f>LEN(AC295)</f>
        <v/>
      </c>
      <c r="AE295" s="58" t="inlineStr">
        <is>
          <t>Buy Dunhill Signature Collection British Leather Eau de Parfum at Swansura UK. A woody men's eau de parfum, 100ml. 100% authentic, free UK delivery over £50.</t>
        </is>
      </c>
      <c r="AF295" s="58">
        <f>LEN(AE295)</f>
        <v/>
      </c>
    </row>
    <row r="296" ht="15" customHeight="1" s="37">
      <c r="A296" s="58" t="inlineStr">
        <is>
          <t>FR-136</t>
        </is>
      </c>
      <c r="B296" s="58" t="inlineStr">
        <is>
          <t>Fragrance Catalogue</t>
        </is>
      </c>
      <c r="C296" s="58" t="n">
        <v>136</v>
      </c>
      <c r="D296" s="58" t="inlineStr">
        <is>
          <t>Dunhill</t>
        </is>
      </c>
      <c r="E296" s="58" t="n"/>
      <c r="F296" s="58" t="inlineStr">
        <is>
          <t>Fragrance</t>
        </is>
      </c>
      <c r="G296" s="58" t="inlineStr">
        <is>
          <t>Eau de Parfum (EDP)</t>
        </is>
      </c>
      <c r="H296" s="58" t="inlineStr">
        <is>
          <t>Amber · Men's Fragrance</t>
        </is>
      </c>
      <c r="I296" s="58" t="inlineStr">
        <is>
          <t>Dunhill Signature Collection Egyptian Smoke Eau de Parfum 100ml – Men's Amber Spicy Fragrance</t>
        </is>
      </c>
      <c r="J296" s="58" t="inlineStr">
        <is>
          <t>100ml</t>
        </is>
      </c>
      <c r="K296" s="58" t="n">
        <v>45.99</v>
      </c>
      <c r="L296" s="58" t="inlineStr">
        <is>
          <t>dunhill signature collection egyptian smoke</t>
        </is>
      </c>
      <c r="M296" s="58" t="inlineStr">
        <is>
          <t>dunhill signature collection egyptian smoke uk</t>
        </is>
      </c>
      <c r="N296" s="58" t="inlineStr">
        <is>
          <t>buy dunhill signature collection egyptian smoke online</t>
        </is>
      </c>
      <c r="O296" s="58" t="inlineStr">
        <is>
          <t>dunhill signature collection egyptian smoke price</t>
        </is>
      </c>
      <c r="P296" s="58" t="inlineStr">
        <is>
          <t>dunhill signature collection egyptian smoke eau de parfum</t>
        </is>
      </c>
      <c r="Q296" s="59">
        <f>IF(L296="","",IFERROR(INDEX('Semrush Data'!$A$1:$Z$20000,MATCH(L296,'Semrush Data'!$A$1:$A$20000,0),MATCH("Volume",'Semrush Data'!$A$1:$Z$1,0)),""))</f>
        <v/>
      </c>
      <c r="R296" s="59">
        <f>IF(M296="","",IFERROR(INDEX('Semrush Data'!$A$1:$Z$20000,MATCH(M296,'Semrush Data'!$A$1:$A$20000,0),MATCH("Volume",'Semrush Data'!$A$1:$Z$1,0)),""))</f>
        <v/>
      </c>
      <c r="S296" s="59">
        <f>IF(N296="","",IFERROR(INDEX('Semrush Data'!$A$1:$Z$20000,MATCH(N296,'Semrush Data'!$A$1:$A$20000,0),MATCH("Volume",'Semrush Data'!$A$1:$Z$1,0)),""))</f>
        <v/>
      </c>
      <c r="T296" s="59">
        <f>IF(O296="","",IFERROR(INDEX('Semrush Data'!$A$1:$Z$20000,MATCH(O296,'Semrush Data'!$A$1:$A$20000,0),MATCH("Volume",'Semrush Data'!$A$1:$Z$1,0)),""))</f>
        <v/>
      </c>
      <c r="U296" s="59">
        <f>IF(P296="","",IFERROR(INDEX('Semrush Data'!$A$1:$Z$20000,MATCH(P296,'Semrush Data'!$A$1:$A$20000,0),MATCH("Volume",'Semrush Data'!$A$1:$Z$1,0)),""))</f>
        <v/>
      </c>
      <c r="V296" s="60">
        <f>IF(COUNT(Q296:U296)=0,L296,IF(MAX(Q296:U296)=0,L296,INDEX(L296:P296,MATCH(MAX(Q296:U296),Q296:U296,0))))</f>
        <v/>
      </c>
      <c r="W296" s="59">
        <f>IFERROR(INDEX('Semrush Data'!$A$1:$Z$20000,MATCH(V296,'Semrush Data'!$A$1:$A$20000,0),MATCH("Volume",'Semrush Data'!$A$1:$Z$1,0)),"")</f>
        <v/>
      </c>
      <c r="X296" s="59">
        <f>IFERROR(INDEX('Semrush Data'!$A$1:$Z$20000,MATCH(V296,'Semrush Data'!$A$1:$A$20000,0),MATCH("Keyword Difficulty*",'Semrush Data'!$A$1:$Z$1,0)),"")</f>
        <v/>
      </c>
      <c r="Y296" s="61">
        <f>IFERROR(INDEX('Semrush Data'!$A$1:$Z$20000,MATCH(V296,'Semrush Data'!$A$1:$A$20000,0),MATCH("CPC*",'Semrush Data'!$A$1:$Z$1,0)),"")</f>
        <v/>
      </c>
      <c r="Z296" s="58" t="inlineStr">
        <is>
          <t>dunhill perfume · dunhill perfume for men · amber perfume for men uk</t>
        </is>
      </c>
      <c r="AA296" s="58" t="inlineStr">
        <is>
          <t>dunhill signature collection egyptian smoke eau de parfum · dunhill signature collection egyptian smoke edp 100ml · dunhill signature collection egyptian smoke review · dunhill signature egyptian smoke · dunhill signature collection review</t>
        </is>
      </c>
      <c r="AB296" s="58" t="inlineStr">
        <is>
          <t>Dunhill Signature Collection Egyptian Smoke Eau de Parfum</t>
        </is>
      </c>
      <c r="AC296" s="58" t="inlineStr">
        <is>
          <t>Dunhill Signature Collection Egyptian Smoke | Swansura UK</t>
        </is>
      </c>
      <c r="AD296" s="58">
        <f>LEN(AC296)</f>
        <v/>
      </c>
      <c r="AE296" s="58" t="inlineStr">
        <is>
          <t>Buy Dunhill Signature Collection Egyptian Smoke Eau de Parfum at Swansura UK. An amber men's eau de parfum, 100ml. 100% authentic, free UK delivery over £50.</t>
        </is>
      </c>
      <c r="AF296" s="58">
        <f>LEN(AE296)</f>
        <v/>
      </c>
    </row>
    <row r="297" ht="15" customHeight="1" s="37">
      <c r="A297" s="58" t="inlineStr">
        <is>
          <t>FR-137</t>
        </is>
      </c>
      <c r="B297" s="58" t="inlineStr">
        <is>
          <t>Fragrance Catalogue</t>
        </is>
      </c>
      <c r="C297" s="58" t="n">
        <v>137</v>
      </c>
      <c r="D297" s="58" t="inlineStr">
        <is>
          <t>Dunhill</t>
        </is>
      </c>
      <c r="E297" s="58" t="n"/>
      <c r="F297" s="58" t="inlineStr">
        <is>
          <t>Fragrance</t>
        </is>
      </c>
      <c r="G297" s="58" t="inlineStr">
        <is>
          <t>Eau de Parfum (EDP)</t>
        </is>
      </c>
      <c r="H297" s="58" t="inlineStr">
        <is>
          <t>Woody · Men's Fragrance</t>
        </is>
      </c>
      <c r="I297" s="58" t="inlineStr">
        <is>
          <t>Dunhill Signature Collection Indian Sandalwood Eau de Parfum 100ml – Men's Woody Spicy Fragrance</t>
        </is>
      </c>
      <c r="J297" s="58" t="inlineStr">
        <is>
          <t>100ml</t>
        </is>
      </c>
      <c r="K297" s="58" t="n">
        <v>45.99</v>
      </c>
      <c r="L297" s="58" t="inlineStr">
        <is>
          <t>dunhill signature collection indian sandalwood</t>
        </is>
      </c>
      <c r="M297" s="58" t="inlineStr">
        <is>
          <t>dunhill signature collection indian sandalwood uk</t>
        </is>
      </c>
      <c r="N297" s="58" t="inlineStr">
        <is>
          <t>buy dunhill signature collection indian sandalwood online</t>
        </is>
      </c>
      <c r="O297" s="58" t="inlineStr">
        <is>
          <t>dunhill signature collection indian sandalwood price</t>
        </is>
      </c>
      <c r="P297" s="58" t="inlineStr">
        <is>
          <t>dunhill signature collection indian sandalwood eau de parfum</t>
        </is>
      </c>
      <c r="Q297" s="59">
        <f>IF(L297="","",IFERROR(INDEX('Semrush Data'!$A$1:$Z$20000,MATCH(L297,'Semrush Data'!$A$1:$A$20000,0),MATCH("Volume",'Semrush Data'!$A$1:$Z$1,0)),""))</f>
        <v/>
      </c>
      <c r="R297" s="59">
        <f>IF(M297="","",IFERROR(INDEX('Semrush Data'!$A$1:$Z$20000,MATCH(M297,'Semrush Data'!$A$1:$A$20000,0),MATCH("Volume",'Semrush Data'!$A$1:$Z$1,0)),""))</f>
        <v/>
      </c>
      <c r="S297" s="59">
        <f>IF(N297="","",IFERROR(INDEX('Semrush Data'!$A$1:$Z$20000,MATCH(N297,'Semrush Data'!$A$1:$A$20000,0),MATCH("Volume",'Semrush Data'!$A$1:$Z$1,0)),""))</f>
        <v/>
      </c>
      <c r="T297" s="59">
        <f>IF(O297="","",IFERROR(INDEX('Semrush Data'!$A$1:$Z$20000,MATCH(O297,'Semrush Data'!$A$1:$A$20000,0),MATCH("Volume",'Semrush Data'!$A$1:$Z$1,0)),""))</f>
        <v/>
      </c>
      <c r="U297" s="59">
        <f>IF(P297="","",IFERROR(INDEX('Semrush Data'!$A$1:$Z$20000,MATCH(P297,'Semrush Data'!$A$1:$A$20000,0),MATCH("Volume",'Semrush Data'!$A$1:$Z$1,0)),""))</f>
        <v/>
      </c>
      <c r="V297" s="60">
        <f>IF(COUNT(Q297:U297)=0,L297,IF(MAX(Q297:U297)=0,L297,INDEX(L297:P297,MATCH(MAX(Q297:U297),Q297:U297,0))))</f>
        <v/>
      </c>
      <c r="W297" s="59">
        <f>IFERROR(INDEX('Semrush Data'!$A$1:$Z$20000,MATCH(V297,'Semrush Data'!$A$1:$A$20000,0),MATCH("Volume",'Semrush Data'!$A$1:$Z$1,0)),"")</f>
        <v/>
      </c>
      <c r="X297" s="59">
        <f>IFERROR(INDEX('Semrush Data'!$A$1:$Z$20000,MATCH(V297,'Semrush Data'!$A$1:$A$20000,0),MATCH("Keyword Difficulty*",'Semrush Data'!$A$1:$Z$1,0)),"")</f>
        <v/>
      </c>
      <c r="Y297" s="61">
        <f>IFERROR(INDEX('Semrush Data'!$A$1:$Z$20000,MATCH(V297,'Semrush Data'!$A$1:$A$20000,0),MATCH("CPC*",'Semrush Data'!$A$1:$Z$1,0)),"")</f>
        <v/>
      </c>
      <c r="Z297" s="58" t="inlineStr">
        <is>
          <t>dunhill perfume · dunhill perfume for men · woody perfume for men uk</t>
        </is>
      </c>
      <c r="AA297" s="58" t="inlineStr">
        <is>
          <t>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is>
      </c>
      <c r="AB297" s="58" t="inlineStr">
        <is>
          <t>Dunhill Signature Collection Indian Sandalwood Eau de Parfum</t>
        </is>
      </c>
      <c r="AC297" s="58" t="inlineStr">
        <is>
          <t>Dunhill Signature Collection Indian Sandalwood | Swansura UK</t>
        </is>
      </c>
      <c r="AD297" s="58">
        <f>LEN(AC297)</f>
        <v/>
      </c>
      <c r="AE297" s="58" t="inlineStr">
        <is>
          <t>Buy Dunhill Signature Collection Indian Sandalwood Eau de Parfum at Swansura UK. A woody men's eau de parfum, 100ml. 100% authentic, free UK delivery over £50.</t>
        </is>
      </c>
      <c r="AF297" s="58">
        <f>LEN(AE297)</f>
        <v/>
      </c>
    </row>
    <row r="298" ht="15" customHeight="1" s="37">
      <c r="A298" s="58" t="inlineStr">
        <is>
          <t>FR-138</t>
        </is>
      </c>
      <c r="B298" s="58" t="inlineStr">
        <is>
          <t>Fragrance Catalogue</t>
        </is>
      </c>
      <c r="C298" s="58" t="n">
        <v>138</v>
      </c>
      <c r="D298" s="58" t="inlineStr">
        <is>
          <t>Dunhill</t>
        </is>
      </c>
      <c r="E298" s="58" t="n"/>
      <c r="F298" s="58" t="inlineStr">
        <is>
          <t>Fragrance</t>
        </is>
      </c>
      <c r="G298" s="58" t="inlineStr">
        <is>
          <t>Eau de Parfum (EDP)</t>
        </is>
      </c>
      <c r="H298" s="58" t="inlineStr">
        <is>
          <t>Woody · Men's Fragrance</t>
        </is>
      </c>
      <c r="I298" s="58" t="inlineStr">
        <is>
          <t>Dunhill Signature Collection Mongolian Cashmere Eau de Parfum 100ml – Men's Woody Amber Fragrance</t>
        </is>
      </c>
      <c r="J298" s="58" t="inlineStr">
        <is>
          <t>100ml</t>
        </is>
      </c>
      <c r="K298" s="58" t="n">
        <v>45.99</v>
      </c>
      <c r="L298" s="58" t="inlineStr">
        <is>
          <t>dunhill signature collection mongolian cashmere</t>
        </is>
      </c>
      <c r="M298" s="58" t="inlineStr">
        <is>
          <t>dunhill signature collection mongolian cashmere uk</t>
        </is>
      </c>
      <c r="N298" s="58" t="inlineStr">
        <is>
          <t>buy dunhill signature collection mongolian cashmere online</t>
        </is>
      </c>
      <c r="O298" s="58" t="inlineStr">
        <is>
          <t>dunhill signature collection mongolian cashmere price</t>
        </is>
      </c>
      <c r="P298" s="58" t="inlineStr">
        <is>
          <t>dunhill signature collection mongolian cashmere eau de parfum</t>
        </is>
      </c>
      <c r="Q298" s="59">
        <f>IF(L298="","",IFERROR(INDEX('Semrush Data'!$A$1:$Z$20000,MATCH(L298,'Semrush Data'!$A$1:$A$20000,0),MATCH("Volume",'Semrush Data'!$A$1:$Z$1,0)),""))</f>
        <v/>
      </c>
      <c r="R298" s="59">
        <f>IF(M298="","",IFERROR(INDEX('Semrush Data'!$A$1:$Z$20000,MATCH(M298,'Semrush Data'!$A$1:$A$20000,0),MATCH("Volume",'Semrush Data'!$A$1:$Z$1,0)),""))</f>
        <v/>
      </c>
      <c r="S298" s="59">
        <f>IF(N298="","",IFERROR(INDEX('Semrush Data'!$A$1:$Z$20000,MATCH(N298,'Semrush Data'!$A$1:$A$20000,0),MATCH("Volume",'Semrush Data'!$A$1:$Z$1,0)),""))</f>
        <v/>
      </c>
      <c r="T298" s="59">
        <f>IF(O298="","",IFERROR(INDEX('Semrush Data'!$A$1:$Z$20000,MATCH(O298,'Semrush Data'!$A$1:$A$20000,0),MATCH("Volume",'Semrush Data'!$A$1:$Z$1,0)),""))</f>
        <v/>
      </c>
      <c r="U298" s="59">
        <f>IF(P298="","",IFERROR(INDEX('Semrush Data'!$A$1:$Z$20000,MATCH(P298,'Semrush Data'!$A$1:$A$20000,0),MATCH("Volume",'Semrush Data'!$A$1:$Z$1,0)),""))</f>
        <v/>
      </c>
      <c r="V298" s="60">
        <f>IF(COUNT(Q298:U298)=0,L298,IF(MAX(Q298:U298)=0,L298,INDEX(L298:P298,MATCH(MAX(Q298:U298),Q298:U298,0))))</f>
        <v/>
      </c>
      <c r="W298" s="59">
        <f>IFERROR(INDEX('Semrush Data'!$A$1:$Z$20000,MATCH(V298,'Semrush Data'!$A$1:$A$20000,0),MATCH("Volume",'Semrush Data'!$A$1:$Z$1,0)),"")</f>
        <v/>
      </c>
      <c r="X298" s="59">
        <f>IFERROR(INDEX('Semrush Data'!$A$1:$Z$20000,MATCH(V298,'Semrush Data'!$A$1:$A$20000,0),MATCH("Keyword Difficulty*",'Semrush Data'!$A$1:$Z$1,0)),"")</f>
        <v/>
      </c>
      <c r="Y298" s="61">
        <f>IFERROR(INDEX('Semrush Data'!$A$1:$Z$20000,MATCH(V298,'Semrush Data'!$A$1:$A$20000,0),MATCH("CPC*",'Semrush Data'!$A$1:$Z$1,0)),"")</f>
        <v/>
      </c>
      <c r="Z298" s="58" t="inlineStr">
        <is>
          <t>dunhill perfume · dunhill perfume for men · woody perfume for men uk</t>
        </is>
      </c>
      <c r="AA298" s="58" t="inlineStr">
        <is>
          <t>dunhill signature collection mongolian cashmere eau de parfum · dunhill signature collection mongolian cashmere eau de parfum 100ml · dunhill signature mongolian cashmere · dunhill signature mongolian cashmere edp</t>
        </is>
      </c>
      <c r="AB298" s="58" t="inlineStr">
        <is>
          <t>Dunhill Signature Collection Mongolian Cashmere Eau de Parfum</t>
        </is>
      </c>
      <c r="AC298" s="58" t="inlineStr">
        <is>
          <t>Dunhill Signature Collection Mongolian | Swansura UK</t>
        </is>
      </c>
      <c r="AD298" s="58">
        <f>LEN(AC298)</f>
        <v/>
      </c>
      <c r="AE298" s="58" t="inlineStr">
        <is>
          <t>Buy Dunhill Signature Collection Mongolian Cashmere Eau de Parfum at Swansura UK. A woody men's eau de parfum, 100ml. 100% authentic, free UK delivery over £50.</t>
        </is>
      </c>
      <c r="AF298" s="58">
        <f>LEN(AE298)</f>
        <v/>
      </c>
    </row>
    <row r="299" ht="15" customHeight="1" s="37">
      <c r="A299" s="58" t="inlineStr">
        <is>
          <t>FR-139</t>
        </is>
      </c>
      <c r="B299" s="58" t="inlineStr">
        <is>
          <t>Fragrance Catalogue</t>
        </is>
      </c>
      <c r="C299" s="58" t="n">
        <v>139</v>
      </c>
      <c r="D299" s="58" t="inlineStr">
        <is>
          <t>Dunhill</t>
        </is>
      </c>
      <c r="E299" s="58" t="n"/>
      <c r="F299" s="58" t="inlineStr">
        <is>
          <t>Fragrance</t>
        </is>
      </c>
      <c r="G299" s="58" t="inlineStr">
        <is>
          <t>Eau de Parfum (EDP)</t>
        </is>
      </c>
      <c r="H299" s="58" t="inlineStr">
        <is>
          <t>Amber · Men's Fragrance</t>
        </is>
      </c>
      <c r="I299" s="58" t="inlineStr">
        <is>
          <t>Dunhill Signature Collection Moroccan Amber Eau de Parfum 100ml – Men's Amber Spicy Fragrance</t>
        </is>
      </c>
      <c r="J299" s="58" t="inlineStr">
        <is>
          <t>100ml</t>
        </is>
      </c>
      <c r="K299" s="58" t="n">
        <v>45.99</v>
      </c>
      <c r="L299" s="58" t="inlineStr">
        <is>
          <t>dunhill signature collection moroccan amber</t>
        </is>
      </c>
      <c r="M299" s="58" t="inlineStr">
        <is>
          <t>dunhill signature collection moroccan amber uk</t>
        </is>
      </c>
      <c r="N299" s="58" t="inlineStr">
        <is>
          <t>buy dunhill signature collection moroccan amber online</t>
        </is>
      </c>
      <c r="O299" s="58" t="inlineStr">
        <is>
          <t>dunhill signature collection moroccan amber price</t>
        </is>
      </c>
      <c r="P299" s="58" t="inlineStr">
        <is>
          <t>dunhill signature collection moroccan amber eau de parfum</t>
        </is>
      </c>
      <c r="Q299" s="59">
        <f>IF(L299="","",IFERROR(INDEX('Semrush Data'!$A$1:$Z$20000,MATCH(L299,'Semrush Data'!$A$1:$A$20000,0),MATCH("Volume",'Semrush Data'!$A$1:$Z$1,0)),""))</f>
        <v/>
      </c>
      <c r="R299" s="59">
        <f>IF(M299="","",IFERROR(INDEX('Semrush Data'!$A$1:$Z$20000,MATCH(M299,'Semrush Data'!$A$1:$A$20000,0),MATCH("Volume",'Semrush Data'!$A$1:$Z$1,0)),""))</f>
        <v/>
      </c>
      <c r="S299" s="59">
        <f>IF(N299="","",IFERROR(INDEX('Semrush Data'!$A$1:$Z$20000,MATCH(N299,'Semrush Data'!$A$1:$A$20000,0),MATCH("Volume",'Semrush Data'!$A$1:$Z$1,0)),""))</f>
        <v/>
      </c>
      <c r="T299" s="59">
        <f>IF(O299="","",IFERROR(INDEX('Semrush Data'!$A$1:$Z$20000,MATCH(O299,'Semrush Data'!$A$1:$A$20000,0),MATCH("Volume",'Semrush Data'!$A$1:$Z$1,0)),""))</f>
        <v/>
      </c>
      <c r="U299" s="59">
        <f>IF(P299="","",IFERROR(INDEX('Semrush Data'!$A$1:$Z$20000,MATCH(P299,'Semrush Data'!$A$1:$A$20000,0),MATCH("Volume",'Semrush Data'!$A$1:$Z$1,0)),""))</f>
        <v/>
      </c>
      <c r="V299" s="60">
        <f>IF(COUNT(Q299:U299)=0,L299,IF(MAX(Q299:U299)=0,L299,INDEX(L299:P299,MATCH(MAX(Q299:U299),Q299:U299,0))))</f>
        <v/>
      </c>
      <c r="W299" s="59">
        <f>IFERROR(INDEX('Semrush Data'!$A$1:$Z$20000,MATCH(V299,'Semrush Data'!$A$1:$A$20000,0),MATCH("Volume",'Semrush Data'!$A$1:$Z$1,0)),"")</f>
        <v/>
      </c>
      <c r="X299" s="59">
        <f>IFERROR(INDEX('Semrush Data'!$A$1:$Z$20000,MATCH(V299,'Semrush Data'!$A$1:$A$20000,0),MATCH("Keyword Difficulty*",'Semrush Data'!$A$1:$Z$1,0)),"")</f>
        <v/>
      </c>
      <c r="Y299" s="61">
        <f>IFERROR(INDEX('Semrush Data'!$A$1:$Z$20000,MATCH(V299,'Semrush Data'!$A$1:$A$20000,0),MATCH("CPC*",'Semrush Data'!$A$1:$Z$1,0)),"")</f>
        <v/>
      </c>
      <c r="Z299" s="58" t="inlineStr">
        <is>
          <t>dunhill perfume · dunhill perfume for men · amber perfume for men uk</t>
        </is>
      </c>
      <c r="AA299" s="58" t="inlineStr">
        <is>
          <t>dunhill signature collection moroccan amber review · dunhill signature collection moroccan amber for men · dunhill signature collection moroccan amber edp 100ml · dunhill signature collection moroccan amber eau de parfum · dunhill signature moroccan amber</t>
        </is>
      </c>
      <c r="AB299" s="58" t="inlineStr">
        <is>
          <t>Dunhill Signature Collection Moroccan Amber Eau de Parfum</t>
        </is>
      </c>
      <c r="AC299" s="58" t="inlineStr">
        <is>
          <t>Dunhill Signature Collection Moroccan Amber | Swansura UK</t>
        </is>
      </c>
      <c r="AD299" s="58">
        <f>LEN(AC299)</f>
        <v/>
      </c>
      <c r="AE299" s="58" t="inlineStr">
        <is>
          <t>Buy Dunhill Signature Collection Moroccan Amber Eau de Parfum at Swansura UK. An amber men's eau de parfum, 100ml. 100% authentic, free UK delivery over £50.</t>
        </is>
      </c>
      <c r="AF299" s="58">
        <f>LEN(AE299)</f>
        <v/>
      </c>
    </row>
    <row r="300" ht="15" customHeight="1" s="37">
      <c r="A300" s="58" t="inlineStr">
        <is>
          <t>FR-140</t>
        </is>
      </c>
      <c r="B300" s="58" t="inlineStr">
        <is>
          <t>Fragrance Catalogue</t>
        </is>
      </c>
      <c r="C300" s="58" t="n">
        <v>140</v>
      </c>
      <c r="D300" s="58" t="inlineStr">
        <is>
          <t>Dunhill</t>
        </is>
      </c>
      <c r="E300" s="58" t="n"/>
      <c r="F300" s="58" t="inlineStr">
        <is>
          <t>Fragrance</t>
        </is>
      </c>
      <c r="G300" s="58" t="inlineStr">
        <is>
          <t>Eau de Parfum (EDP)</t>
        </is>
      </c>
      <c r="H300" s="58" t="inlineStr">
        <is>
          <t>Woody · Men's Fragrance</t>
        </is>
      </c>
      <c r="I300" s="58" t="inlineStr">
        <is>
          <t>Dunhill Signature Collection Nordic Fougère Eau de Parfum 100ml – Men's Aromatic Woody Fragrance</t>
        </is>
      </c>
      <c r="J300" s="58" t="inlineStr">
        <is>
          <t>100ml</t>
        </is>
      </c>
      <c r="K300" s="58" t="n">
        <v>45.99</v>
      </c>
      <c r="L300" s="58" t="inlineStr">
        <is>
          <t>dunhill signature collection nordic fougere</t>
        </is>
      </c>
      <c r="M300" s="58" t="inlineStr">
        <is>
          <t>dunhill signature collection nordic fougere uk</t>
        </is>
      </c>
      <c r="N300" s="58" t="inlineStr">
        <is>
          <t>buy dunhill signature collection nordic fougere online</t>
        </is>
      </c>
      <c r="O300" s="58" t="inlineStr">
        <is>
          <t>dunhill signature collection nordic fougere price</t>
        </is>
      </c>
      <c r="P300" s="58" t="inlineStr">
        <is>
          <t>dunhill signature collection nordic fougere eau de parfum</t>
        </is>
      </c>
      <c r="Q300" s="59">
        <f>IF(L300="","",IFERROR(INDEX('Semrush Data'!$A$1:$Z$20000,MATCH(L300,'Semrush Data'!$A$1:$A$20000,0),MATCH("Volume",'Semrush Data'!$A$1:$Z$1,0)),""))</f>
        <v/>
      </c>
      <c r="R300" s="59">
        <f>IF(M300="","",IFERROR(INDEX('Semrush Data'!$A$1:$Z$20000,MATCH(M300,'Semrush Data'!$A$1:$A$20000,0),MATCH("Volume",'Semrush Data'!$A$1:$Z$1,0)),""))</f>
        <v/>
      </c>
      <c r="S300" s="59">
        <f>IF(N300="","",IFERROR(INDEX('Semrush Data'!$A$1:$Z$20000,MATCH(N300,'Semrush Data'!$A$1:$A$20000,0),MATCH("Volume",'Semrush Data'!$A$1:$Z$1,0)),""))</f>
        <v/>
      </c>
      <c r="T300" s="59">
        <f>IF(O300="","",IFERROR(INDEX('Semrush Data'!$A$1:$Z$20000,MATCH(O300,'Semrush Data'!$A$1:$A$20000,0),MATCH("Volume",'Semrush Data'!$A$1:$Z$1,0)),""))</f>
        <v/>
      </c>
      <c r="U300" s="59">
        <f>IF(P300="","",IFERROR(INDEX('Semrush Data'!$A$1:$Z$20000,MATCH(P300,'Semrush Data'!$A$1:$A$20000,0),MATCH("Volume",'Semrush Data'!$A$1:$Z$1,0)),""))</f>
        <v/>
      </c>
      <c r="V300" s="60">
        <f>IF(COUNT(Q300:U300)=0,L300,IF(MAX(Q300:U300)=0,L300,INDEX(L300:P300,MATCH(MAX(Q300:U300),Q300:U300,0))))</f>
        <v/>
      </c>
      <c r="W300" s="59">
        <f>IFERROR(INDEX('Semrush Data'!$A$1:$Z$20000,MATCH(V300,'Semrush Data'!$A$1:$A$20000,0),MATCH("Volume",'Semrush Data'!$A$1:$Z$1,0)),"")</f>
        <v/>
      </c>
      <c r="X300" s="59">
        <f>IFERROR(INDEX('Semrush Data'!$A$1:$Z$20000,MATCH(V300,'Semrush Data'!$A$1:$A$20000,0),MATCH("Keyword Difficulty*",'Semrush Data'!$A$1:$Z$1,0)),"")</f>
        <v/>
      </c>
      <c r="Y300" s="61">
        <f>IFERROR(INDEX('Semrush Data'!$A$1:$Z$20000,MATCH(V300,'Semrush Data'!$A$1:$A$20000,0),MATCH("CPC*",'Semrush Data'!$A$1:$Z$1,0)),"")</f>
        <v/>
      </c>
      <c r="Z300" s="58" t="inlineStr">
        <is>
          <t>dunhill perfume · dunhill perfume for men · woody perfume for men uk</t>
        </is>
      </c>
      <c r="AA300" s="58" t="inlineStr">
        <is>
          <t>dunhill signature collection nordic fougere eau de parfum · dunhill signature collection nordic fougere edp · dunhill signature collection nordic fougere edp 100ml · dunhill signature nordic fougere edp · dunhill signature collection review</t>
        </is>
      </c>
      <c r="AB300" s="58" t="inlineStr">
        <is>
          <t>Dunhill Signature Collection Nordic Fougère Eau de Parfum</t>
        </is>
      </c>
      <c r="AC300" s="58" t="inlineStr">
        <is>
          <t>Dunhill Signature Collection Nordic Fougère | Swansura UK</t>
        </is>
      </c>
      <c r="AD300" s="58">
        <f>LEN(AC300)</f>
        <v/>
      </c>
      <c r="AE300" s="58" t="inlineStr">
        <is>
          <t>Buy Dunhill Signature Collection Nordic Fougère Eau de Parfum at Swansura UK. A woody men's eau de parfum, 100ml. 100% authentic, free UK delivery over £50.</t>
        </is>
      </c>
      <c r="AF300" s="58">
        <f>LEN(AE300)</f>
        <v/>
      </c>
    </row>
    <row r="301" ht="15" customHeight="1" s="37">
      <c r="A301" s="58" t="inlineStr">
        <is>
          <t>FR-141</t>
        </is>
      </c>
      <c r="B301" s="58" t="inlineStr">
        <is>
          <t>Fragrance Catalogue</t>
        </is>
      </c>
      <c r="C301" s="58" t="n">
        <v>141</v>
      </c>
      <c r="D301" s="58" t="inlineStr">
        <is>
          <t>Dunhill</t>
        </is>
      </c>
      <c r="E301" s="58" t="n"/>
      <c r="F301" s="58" t="inlineStr">
        <is>
          <t>Fragrance</t>
        </is>
      </c>
      <c r="G301" s="58" t="inlineStr">
        <is>
          <t>Eau de Parfum (EDP)</t>
        </is>
      </c>
      <c r="H301" s="58" t="inlineStr">
        <is>
          <t>Aromatic · Men's Fragrance</t>
        </is>
      </c>
      <c r="I301" s="58" t="inlineStr">
        <is>
          <t>Dunhill Signature Collection Valensole Lavender Eau de Parfum 100ml – Men's Aromatic Fougere Fragrance</t>
        </is>
      </c>
      <c r="J301" s="58" t="inlineStr">
        <is>
          <t>100ml</t>
        </is>
      </c>
      <c r="K301" s="58" t="n">
        <v>45.99</v>
      </c>
      <c r="L301" s="58" t="inlineStr">
        <is>
          <t>dunhill signature collection valensole lavender</t>
        </is>
      </c>
      <c r="M301" s="58" t="inlineStr">
        <is>
          <t>dunhill signature collection valensole lavender uk</t>
        </is>
      </c>
      <c r="N301" s="58" t="inlineStr">
        <is>
          <t>buy dunhill signature collection valensole lavender online</t>
        </is>
      </c>
      <c r="O301" s="58" t="inlineStr">
        <is>
          <t>dunhill signature collection valensole lavender price</t>
        </is>
      </c>
      <c r="P301" s="58" t="inlineStr">
        <is>
          <t>dunhill signature collection valensole lavender eau de parfum</t>
        </is>
      </c>
      <c r="Q301" s="59">
        <f>IF(L301="","",IFERROR(INDEX('Semrush Data'!$A$1:$Z$20000,MATCH(L301,'Semrush Data'!$A$1:$A$20000,0),MATCH("Volume",'Semrush Data'!$A$1:$Z$1,0)),""))</f>
        <v/>
      </c>
      <c r="R301" s="59">
        <f>IF(M301="","",IFERROR(INDEX('Semrush Data'!$A$1:$Z$20000,MATCH(M301,'Semrush Data'!$A$1:$A$20000,0),MATCH("Volume",'Semrush Data'!$A$1:$Z$1,0)),""))</f>
        <v/>
      </c>
      <c r="S301" s="59">
        <f>IF(N301="","",IFERROR(INDEX('Semrush Data'!$A$1:$Z$20000,MATCH(N301,'Semrush Data'!$A$1:$A$20000,0),MATCH("Volume",'Semrush Data'!$A$1:$Z$1,0)),""))</f>
        <v/>
      </c>
      <c r="T301" s="59">
        <f>IF(O301="","",IFERROR(INDEX('Semrush Data'!$A$1:$Z$20000,MATCH(O301,'Semrush Data'!$A$1:$A$20000,0),MATCH("Volume",'Semrush Data'!$A$1:$Z$1,0)),""))</f>
        <v/>
      </c>
      <c r="U301" s="59">
        <f>IF(P301="","",IFERROR(INDEX('Semrush Data'!$A$1:$Z$20000,MATCH(P301,'Semrush Data'!$A$1:$A$20000,0),MATCH("Volume",'Semrush Data'!$A$1:$Z$1,0)),""))</f>
        <v/>
      </c>
      <c r="V301" s="60">
        <f>IF(COUNT(Q301:U301)=0,L301,IF(MAX(Q301:U301)=0,L301,INDEX(L301:P301,MATCH(MAX(Q301:U301),Q301:U301,0))))</f>
        <v/>
      </c>
      <c r="W301" s="59">
        <f>IFERROR(INDEX('Semrush Data'!$A$1:$Z$20000,MATCH(V301,'Semrush Data'!$A$1:$A$20000,0),MATCH("Volume",'Semrush Data'!$A$1:$Z$1,0)),"")</f>
        <v/>
      </c>
      <c r="X301" s="59">
        <f>IFERROR(INDEX('Semrush Data'!$A$1:$Z$20000,MATCH(V301,'Semrush Data'!$A$1:$A$20000,0),MATCH("Keyword Difficulty*",'Semrush Data'!$A$1:$Z$1,0)),"")</f>
        <v/>
      </c>
      <c r="Y301" s="61">
        <f>IFERROR(INDEX('Semrush Data'!$A$1:$Z$20000,MATCH(V301,'Semrush Data'!$A$1:$A$20000,0),MATCH("CPC*",'Semrush Data'!$A$1:$Z$1,0)),"")</f>
        <v/>
      </c>
      <c r="Z301" s="58" t="inlineStr">
        <is>
          <t>dunhill perfume · dunhill perfume for men · aromatic perfume for men uk</t>
        </is>
      </c>
      <c r="AA301" s="58" t="inlineStr">
        <is>
          <t>dunhill signature collection valensole lavender eau de parfum · dunhill signature collection valensole lavender edp · dunhill signature collection valensole lavender eau de parfum 100ml · dunhill signature valensole lavender</t>
        </is>
      </c>
      <c r="AB301" s="58" t="inlineStr">
        <is>
          <t>Dunhill Signature Collection Valensole Lavender Eau de Parfum</t>
        </is>
      </c>
      <c r="AC301" s="58" t="inlineStr">
        <is>
          <t>Dunhill Signature Collection Valensole | Swansura UK</t>
        </is>
      </c>
      <c r="AD301" s="58">
        <f>LEN(AC301)</f>
        <v/>
      </c>
      <c r="AE301" s="58" t="inlineStr">
        <is>
          <t>Buy Dunhill Signature Collection Valensole Lavender Eau de Parfum at Swansura UK. An aromatic men's eau de parfum. 100% authentic, free UK delivery over £50.</t>
        </is>
      </c>
      <c r="AF301" s="58">
        <f>LEN(AE301)</f>
        <v/>
      </c>
    </row>
    <row r="302" ht="15" customHeight="1" s="37">
      <c r="A302" s="58" t="inlineStr">
        <is>
          <t>FR-142</t>
        </is>
      </c>
      <c r="B302" s="58" t="inlineStr">
        <is>
          <t>Fragrance Catalogue</t>
        </is>
      </c>
      <c r="C302" s="58" t="n">
        <v>142</v>
      </c>
      <c r="D302" s="58" t="inlineStr">
        <is>
          <t>Dunhill</t>
        </is>
      </c>
      <c r="E302" s="58" t="n"/>
      <c r="F302" s="58" t="inlineStr">
        <is>
          <t>Fragrance</t>
        </is>
      </c>
      <c r="G302" s="58" t="inlineStr">
        <is>
          <t>Eau de Toilette (EDT)</t>
        </is>
      </c>
      <c r="H302" s="58" t="inlineStr">
        <is>
          <t>Woody · Men's Fragrance</t>
        </is>
      </c>
      <c r="I302" s="58" t="inlineStr">
        <is>
          <t>Dunhill Desire Black Eau de Toilette 100ml – Men's Spicy Woody Fragrance</t>
        </is>
      </c>
      <c r="J302" s="58" t="inlineStr">
        <is>
          <t>100ml</t>
        </is>
      </c>
      <c r="K302" s="58" t="n">
        <v>28.99</v>
      </c>
      <c r="L302" s="58" t="inlineStr">
        <is>
          <t>dunhill desire black</t>
        </is>
      </c>
      <c r="M302" s="58" t="inlineStr">
        <is>
          <t>dunhill desire black uk</t>
        </is>
      </c>
      <c r="N302" s="58" t="inlineStr">
        <is>
          <t>buy dunhill desire black online</t>
        </is>
      </c>
      <c r="O302" s="58" t="inlineStr">
        <is>
          <t>dunhill desire black price</t>
        </is>
      </c>
      <c r="P302" s="58" t="inlineStr">
        <is>
          <t>dunhill desire black eau de toilette</t>
        </is>
      </c>
      <c r="Q302" s="59">
        <f>IF(L302="","",IFERROR(INDEX('Semrush Data'!$A$1:$Z$20000,MATCH(L302,'Semrush Data'!$A$1:$A$20000,0),MATCH("Volume",'Semrush Data'!$A$1:$Z$1,0)),""))</f>
        <v/>
      </c>
      <c r="R302" s="59">
        <f>IF(M302="","",IFERROR(INDEX('Semrush Data'!$A$1:$Z$20000,MATCH(M302,'Semrush Data'!$A$1:$A$20000,0),MATCH("Volume",'Semrush Data'!$A$1:$Z$1,0)),""))</f>
        <v/>
      </c>
      <c r="S302" s="59">
        <f>IF(N302="","",IFERROR(INDEX('Semrush Data'!$A$1:$Z$20000,MATCH(N302,'Semrush Data'!$A$1:$A$20000,0),MATCH("Volume",'Semrush Data'!$A$1:$Z$1,0)),""))</f>
        <v/>
      </c>
      <c r="T302" s="59">
        <f>IF(O302="","",IFERROR(INDEX('Semrush Data'!$A$1:$Z$20000,MATCH(O302,'Semrush Data'!$A$1:$A$20000,0),MATCH("Volume",'Semrush Data'!$A$1:$Z$1,0)),""))</f>
        <v/>
      </c>
      <c r="U302" s="59">
        <f>IF(P302="","",IFERROR(INDEX('Semrush Data'!$A$1:$Z$20000,MATCH(P302,'Semrush Data'!$A$1:$A$20000,0),MATCH("Volume",'Semrush Data'!$A$1:$Z$1,0)),""))</f>
        <v/>
      </c>
      <c r="V302" s="60">
        <f>IF(COUNT(Q302:U302)=0,L302,IF(MAX(Q302:U302)=0,L302,INDEX(L302:P302,MATCH(MAX(Q302:U302),Q302:U302,0))))</f>
        <v/>
      </c>
      <c r="W302" s="59">
        <f>IFERROR(INDEX('Semrush Data'!$A$1:$Z$20000,MATCH(V302,'Semrush Data'!$A$1:$A$20000,0),MATCH("Volume",'Semrush Data'!$A$1:$Z$1,0)),"")</f>
        <v/>
      </c>
      <c r="X302" s="59">
        <f>IFERROR(INDEX('Semrush Data'!$A$1:$Z$20000,MATCH(V302,'Semrush Data'!$A$1:$A$20000,0),MATCH("Keyword Difficulty*",'Semrush Data'!$A$1:$Z$1,0)),"")</f>
        <v/>
      </c>
      <c r="Y302" s="61">
        <f>IFERROR(INDEX('Semrush Data'!$A$1:$Z$20000,MATCH(V302,'Semrush Data'!$A$1:$A$20000,0),MATCH("CPC*",'Semrush Data'!$A$1:$Z$1,0)),"")</f>
        <v/>
      </c>
      <c r="Z302" s="58" t="inlineStr">
        <is>
          <t>dunhill perfume · dunhill perfume for men · woody perfume for men uk</t>
        </is>
      </c>
      <c r="AA302" s="58" t="inlineStr">
        <is>
          <t>dunhill desire black perfume · dunhill desire black notes · dunhill desire black review · dunhill desire black price · dunhill desire black edt</t>
        </is>
      </c>
      <c r="AB302" s="58" t="inlineStr">
        <is>
          <t>Dunhill Desire Black Eau de Toilette</t>
        </is>
      </c>
      <c r="AC302" s="58" t="inlineStr">
        <is>
          <t>Dunhill Desire Black EDT 100ml | Buy Online UK | Swansura</t>
        </is>
      </c>
      <c r="AD302" s="58">
        <f>LEN(AC302)</f>
        <v/>
      </c>
      <c r="AE302" s="58" t="inlineStr">
        <is>
          <t>Buy Dunhill Desire Black Eau de Toilette online in the UK at Swansura. A woody men's eau de toilette, 100ml. 100% authentic, fast UK delivery, free over £50.</t>
        </is>
      </c>
      <c r="AF302" s="58">
        <f>LEN(AE302)</f>
        <v/>
      </c>
    </row>
    <row r="303" ht="15" customHeight="1" s="37">
      <c r="A303" s="58" t="inlineStr">
        <is>
          <t>FR-143</t>
        </is>
      </c>
      <c r="B303" s="58" t="inlineStr">
        <is>
          <t>Fragrance Catalogue</t>
        </is>
      </c>
      <c r="C303" s="58" t="n">
        <v>143</v>
      </c>
      <c r="D303" s="58" t="inlineStr">
        <is>
          <t>Dunhill</t>
        </is>
      </c>
      <c r="E303" s="58" t="n"/>
      <c r="F303" s="58" t="inlineStr">
        <is>
          <t>Fragrance</t>
        </is>
      </c>
      <c r="G303" s="58" t="inlineStr">
        <is>
          <t>Eau de Toilette (EDT)</t>
        </is>
      </c>
      <c r="H303" s="58" t="inlineStr">
        <is>
          <t>Fresh · Men's Fragrance</t>
        </is>
      </c>
      <c r="I303" s="58" t="inlineStr">
        <is>
          <t>Dunhill Desire Blue Eau de Toilette 100ml – Men's Fresh Aquatic Fragrance</t>
        </is>
      </c>
      <c r="J303" s="58" t="inlineStr">
        <is>
          <t>100ml</t>
        </is>
      </c>
      <c r="K303" s="58" t="n">
        <v>28.99</v>
      </c>
      <c r="L303" s="58" t="inlineStr">
        <is>
          <t>dunhill desire blue</t>
        </is>
      </c>
      <c r="M303" s="58" t="inlineStr">
        <is>
          <t>dunhill desire blue uk</t>
        </is>
      </c>
      <c r="N303" s="58" t="inlineStr">
        <is>
          <t>buy dunhill desire blue online</t>
        </is>
      </c>
      <c r="O303" s="58" t="inlineStr">
        <is>
          <t>dunhill desire blue price</t>
        </is>
      </c>
      <c r="P303" s="58" t="inlineStr">
        <is>
          <t>dunhill desire blue eau de toilette</t>
        </is>
      </c>
      <c r="Q303" s="59">
        <f>IF(L303="","",IFERROR(INDEX('Semrush Data'!$A$1:$Z$20000,MATCH(L303,'Semrush Data'!$A$1:$A$20000,0),MATCH("Volume",'Semrush Data'!$A$1:$Z$1,0)),""))</f>
        <v/>
      </c>
      <c r="R303" s="59">
        <f>IF(M303="","",IFERROR(INDEX('Semrush Data'!$A$1:$Z$20000,MATCH(M303,'Semrush Data'!$A$1:$A$20000,0),MATCH("Volume",'Semrush Data'!$A$1:$Z$1,0)),""))</f>
        <v/>
      </c>
      <c r="S303" s="59">
        <f>IF(N303="","",IFERROR(INDEX('Semrush Data'!$A$1:$Z$20000,MATCH(N303,'Semrush Data'!$A$1:$A$20000,0),MATCH("Volume",'Semrush Data'!$A$1:$Z$1,0)),""))</f>
        <v/>
      </c>
      <c r="T303" s="59">
        <f>IF(O303="","",IFERROR(INDEX('Semrush Data'!$A$1:$Z$20000,MATCH(O303,'Semrush Data'!$A$1:$A$20000,0),MATCH("Volume",'Semrush Data'!$A$1:$Z$1,0)),""))</f>
        <v/>
      </c>
      <c r="U303" s="59">
        <f>IF(P303="","",IFERROR(INDEX('Semrush Data'!$A$1:$Z$20000,MATCH(P303,'Semrush Data'!$A$1:$A$20000,0),MATCH("Volume",'Semrush Data'!$A$1:$Z$1,0)),""))</f>
        <v/>
      </c>
      <c r="V303" s="60">
        <f>IF(COUNT(Q303:U303)=0,L303,IF(MAX(Q303:U303)=0,L303,INDEX(L303:P303,MATCH(MAX(Q303:U303),Q303:U303,0))))</f>
        <v/>
      </c>
      <c r="W303" s="59">
        <f>IFERROR(INDEX('Semrush Data'!$A$1:$Z$20000,MATCH(V303,'Semrush Data'!$A$1:$A$20000,0),MATCH("Volume",'Semrush Data'!$A$1:$Z$1,0)),"")</f>
        <v/>
      </c>
      <c r="X303" s="59">
        <f>IFERROR(INDEX('Semrush Data'!$A$1:$Z$20000,MATCH(V303,'Semrush Data'!$A$1:$A$20000,0),MATCH("Keyword Difficulty*",'Semrush Data'!$A$1:$Z$1,0)),"")</f>
        <v/>
      </c>
      <c r="Y303" s="61">
        <f>IFERROR(INDEX('Semrush Data'!$A$1:$Z$20000,MATCH(V303,'Semrush Data'!$A$1:$A$20000,0),MATCH("CPC*",'Semrush Data'!$A$1:$Z$1,0)),"")</f>
        <v/>
      </c>
      <c r="Z303" s="58" t="inlineStr">
        <is>
          <t>dunhill perfume · dunhill perfume for men · fresh perfume for men uk</t>
        </is>
      </c>
      <c r="AA303" s="58" t="inlineStr">
        <is>
          <t>dunhill desire blue perfume · dunhill desire blue price · dunhill desire blue notes · dunhill desire blue original · dunhill desire blue review</t>
        </is>
      </c>
      <c r="AB303" s="58" t="inlineStr">
        <is>
          <t>Dunhill Desire Blue Eau de Toilette</t>
        </is>
      </c>
      <c r="AC303" s="58" t="inlineStr">
        <is>
          <t>Dunhill Desire Blue EDT 100ml | Buy Online UK | Swansura</t>
        </is>
      </c>
      <c r="AD303" s="58">
        <f>LEN(AC303)</f>
        <v/>
      </c>
      <c r="AE303" s="58" t="inlineStr">
        <is>
          <t>Buy Dunhill Desire Blue Eau de Toilette online in the UK at Swansura. A fresh men's eau de toilette, 100ml. 100% authentic, fast UK delivery, free over £50.</t>
        </is>
      </c>
      <c r="AF303" s="58">
        <f>LEN(AE303)</f>
        <v/>
      </c>
    </row>
    <row r="304" ht="15" customHeight="1" s="37">
      <c r="A304" s="58" t="inlineStr">
        <is>
          <t>FR-144</t>
        </is>
      </c>
      <c r="B304" s="58" t="inlineStr">
        <is>
          <t>Fragrance Catalogue</t>
        </is>
      </c>
      <c r="C304" s="58" t="n">
        <v>144</v>
      </c>
      <c r="D304" s="58" t="inlineStr">
        <is>
          <t>Dunhill</t>
        </is>
      </c>
      <c r="E304" s="58" t="n"/>
      <c r="F304" s="58" t="inlineStr">
        <is>
          <t>Fragrance</t>
        </is>
      </c>
      <c r="G304" s="58" t="inlineStr">
        <is>
          <t>Eau de Toilette (EDT)</t>
        </is>
      </c>
      <c r="H304" s="58" t="inlineStr">
        <is>
          <t>Woody · Men's Fragrance</t>
        </is>
      </c>
      <c r="I304" s="58" t="inlineStr">
        <is>
          <t>Dunhill Desire Gold Eau de Toilette 100ml – Men's Woody Spicy Fragrance</t>
        </is>
      </c>
      <c r="J304" s="58" t="inlineStr">
        <is>
          <t>100ml</t>
        </is>
      </c>
      <c r="K304" s="58" t="n">
        <v>28.99</v>
      </c>
      <c r="L304" s="58" t="inlineStr">
        <is>
          <t>dunhill desire gold</t>
        </is>
      </c>
      <c r="M304" s="58" t="inlineStr">
        <is>
          <t>dunhill desire gold uk</t>
        </is>
      </c>
      <c r="N304" s="58" t="inlineStr">
        <is>
          <t>buy dunhill desire gold online</t>
        </is>
      </c>
      <c r="O304" s="58" t="inlineStr">
        <is>
          <t>dunhill desire gold price</t>
        </is>
      </c>
      <c r="P304" s="58" t="inlineStr">
        <is>
          <t>dunhill desire gold eau de toilette</t>
        </is>
      </c>
      <c r="Q304" s="59">
        <f>IF(L304="","",IFERROR(INDEX('Semrush Data'!$A$1:$Z$20000,MATCH(L304,'Semrush Data'!$A$1:$A$20000,0),MATCH("Volume",'Semrush Data'!$A$1:$Z$1,0)),""))</f>
        <v/>
      </c>
      <c r="R304" s="59">
        <f>IF(M304="","",IFERROR(INDEX('Semrush Data'!$A$1:$Z$20000,MATCH(M304,'Semrush Data'!$A$1:$A$20000,0),MATCH("Volume",'Semrush Data'!$A$1:$Z$1,0)),""))</f>
        <v/>
      </c>
      <c r="S304" s="59">
        <f>IF(N304="","",IFERROR(INDEX('Semrush Data'!$A$1:$Z$20000,MATCH(N304,'Semrush Data'!$A$1:$A$20000,0),MATCH("Volume",'Semrush Data'!$A$1:$Z$1,0)),""))</f>
        <v/>
      </c>
      <c r="T304" s="59">
        <f>IF(O304="","",IFERROR(INDEX('Semrush Data'!$A$1:$Z$20000,MATCH(O304,'Semrush Data'!$A$1:$A$20000,0),MATCH("Volume",'Semrush Data'!$A$1:$Z$1,0)),""))</f>
        <v/>
      </c>
      <c r="U304" s="59">
        <f>IF(P304="","",IFERROR(INDEX('Semrush Data'!$A$1:$Z$20000,MATCH(P304,'Semrush Data'!$A$1:$A$20000,0),MATCH("Volume",'Semrush Data'!$A$1:$Z$1,0)),""))</f>
        <v/>
      </c>
      <c r="V304" s="60">
        <f>IF(COUNT(Q304:U304)=0,L304,IF(MAX(Q304:U304)=0,L304,INDEX(L304:P304,MATCH(MAX(Q304:U304),Q304:U304,0))))</f>
        <v/>
      </c>
      <c r="W304" s="59">
        <f>IFERROR(INDEX('Semrush Data'!$A$1:$Z$20000,MATCH(V304,'Semrush Data'!$A$1:$A$20000,0),MATCH("Volume",'Semrush Data'!$A$1:$Z$1,0)),"")</f>
        <v/>
      </c>
      <c r="X304" s="59">
        <f>IFERROR(INDEX('Semrush Data'!$A$1:$Z$20000,MATCH(V304,'Semrush Data'!$A$1:$A$20000,0),MATCH("Keyword Difficulty*",'Semrush Data'!$A$1:$Z$1,0)),"")</f>
        <v/>
      </c>
      <c r="Y304" s="61">
        <f>IFERROR(INDEX('Semrush Data'!$A$1:$Z$20000,MATCH(V304,'Semrush Data'!$A$1:$A$20000,0),MATCH("CPC*",'Semrush Data'!$A$1:$Z$1,0)),"")</f>
        <v/>
      </c>
      <c r="Z304" s="58" t="inlineStr">
        <is>
          <t>dunhill perfume · dunhill perfume for men · woody perfume for men uk</t>
        </is>
      </c>
      <c r="AA304" s="58" t="inlineStr">
        <is>
          <t>dunhill desire gold perfume · dunhill desire gold for men · dunhill desire gold review · dunhill desire gold price · dunhill desire gold edt · dunhill desire gold edt 100ml</t>
        </is>
      </c>
      <c r="AB304" s="58" t="inlineStr">
        <is>
          <t>Dunhill Desire Gold Eau de Toilette</t>
        </is>
      </c>
      <c r="AC304" s="58" t="inlineStr">
        <is>
          <t>Dunhill Desire Gold EDT 100ml | Buy Online UK | Swansura</t>
        </is>
      </c>
      <c r="AD304" s="58">
        <f>LEN(AC304)</f>
        <v/>
      </c>
      <c r="AE304" s="58" t="inlineStr">
        <is>
          <t>Buy Dunhill Desire Gold Eau de Toilette online in the UK at Swansura. A woody men's eau de toilette, 100ml. 100% authentic, fast UK delivery, free over £50.</t>
        </is>
      </c>
      <c r="AF304" s="58">
        <f>LEN(AE304)</f>
        <v/>
      </c>
    </row>
    <row r="305" ht="15" customHeight="1" s="37">
      <c r="A305" s="58" t="inlineStr">
        <is>
          <t>FR-145</t>
        </is>
      </c>
      <c r="B305" s="58" t="inlineStr">
        <is>
          <t>Fragrance Catalogue</t>
        </is>
      </c>
      <c r="C305" s="58" t="n">
        <v>145</v>
      </c>
      <c r="D305" s="58" t="inlineStr">
        <is>
          <t>Dunhill</t>
        </is>
      </c>
      <c r="E305" s="58" t="n"/>
      <c r="F305" s="58" t="inlineStr">
        <is>
          <t>Fragrance</t>
        </is>
      </c>
      <c r="G305" s="58" t="inlineStr">
        <is>
          <t>Eau de Toilette (EDT)</t>
        </is>
      </c>
      <c r="H305" s="58" t="inlineStr">
        <is>
          <t>Woody · Men's Fragrance</t>
        </is>
      </c>
      <c r="I305" s="58" t="inlineStr">
        <is>
          <t>Dunhill Desire Silver Eau de Toilette 100ml – Men's Fresh Woody Fragrance</t>
        </is>
      </c>
      <c r="J305" s="58" t="inlineStr">
        <is>
          <t>100ml</t>
        </is>
      </c>
      <c r="K305" s="58" t="n">
        <v>28.99</v>
      </c>
      <c r="L305" s="58" t="inlineStr">
        <is>
          <t>dunhill desire silver</t>
        </is>
      </c>
      <c r="M305" s="58" t="inlineStr">
        <is>
          <t>dunhill desire silver uk</t>
        </is>
      </c>
      <c r="N305" s="58" t="inlineStr">
        <is>
          <t>buy dunhill desire silver online</t>
        </is>
      </c>
      <c r="O305" s="58" t="inlineStr">
        <is>
          <t>dunhill desire silver price</t>
        </is>
      </c>
      <c r="P305" s="58" t="inlineStr">
        <is>
          <t>dunhill desire silver eau de toilette</t>
        </is>
      </c>
      <c r="Q305" s="59">
        <f>IF(L305="","",IFERROR(INDEX('Semrush Data'!$A$1:$Z$20000,MATCH(L305,'Semrush Data'!$A$1:$A$20000,0),MATCH("Volume",'Semrush Data'!$A$1:$Z$1,0)),""))</f>
        <v/>
      </c>
      <c r="R305" s="59">
        <f>IF(M305="","",IFERROR(INDEX('Semrush Data'!$A$1:$Z$20000,MATCH(M305,'Semrush Data'!$A$1:$A$20000,0),MATCH("Volume",'Semrush Data'!$A$1:$Z$1,0)),""))</f>
        <v/>
      </c>
      <c r="S305" s="59">
        <f>IF(N305="","",IFERROR(INDEX('Semrush Data'!$A$1:$Z$20000,MATCH(N305,'Semrush Data'!$A$1:$A$20000,0),MATCH("Volume",'Semrush Data'!$A$1:$Z$1,0)),""))</f>
        <v/>
      </c>
      <c r="T305" s="59">
        <f>IF(O305="","",IFERROR(INDEX('Semrush Data'!$A$1:$Z$20000,MATCH(O305,'Semrush Data'!$A$1:$A$20000,0),MATCH("Volume",'Semrush Data'!$A$1:$Z$1,0)),""))</f>
        <v/>
      </c>
      <c r="U305" s="59">
        <f>IF(P305="","",IFERROR(INDEX('Semrush Data'!$A$1:$Z$20000,MATCH(P305,'Semrush Data'!$A$1:$A$20000,0),MATCH("Volume",'Semrush Data'!$A$1:$Z$1,0)),""))</f>
        <v/>
      </c>
      <c r="V305" s="60">
        <f>IF(COUNT(Q305:U305)=0,L305,IF(MAX(Q305:U305)=0,L305,INDEX(L305:P305,MATCH(MAX(Q305:U305),Q305:U305,0))))</f>
        <v/>
      </c>
      <c r="W305" s="59">
        <f>IFERROR(INDEX('Semrush Data'!$A$1:$Z$20000,MATCH(V305,'Semrush Data'!$A$1:$A$20000,0),MATCH("Volume",'Semrush Data'!$A$1:$Z$1,0)),"")</f>
        <v/>
      </c>
      <c r="X305" s="59">
        <f>IFERROR(INDEX('Semrush Data'!$A$1:$Z$20000,MATCH(V305,'Semrush Data'!$A$1:$A$20000,0),MATCH("Keyword Difficulty*",'Semrush Data'!$A$1:$Z$1,0)),"")</f>
        <v/>
      </c>
      <c r="Y305" s="61">
        <f>IFERROR(INDEX('Semrush Data'!$A$1:$Z$20000,MATCH(V305,'Semrush Data'!$A$1:$A$20000,0),MATCH("CPC*",'Semrush Data'!$A$1:$Z$1,0)),"")</f>
        <v/>
      </c>
      <c r="Z305" s="58" t="inlineStr">
        <is>
          <t>dunhill perfume · dunhill perfume for men · woody perfume for men uk</t>
        </is>
      </c>
      <c r="AA305" s="58" t="inlineStr">
        <is>
          <t>dunhill desire silver perfume · dunhill desire silver review · dunhill desire silver 100ml · dunhill desire silver notes · dunhill desire silver edt · dunhill desire silver price</t>
        </is>
      </c>
      <c r="AB305" s="58" t="inlineStr">
        <is>
          <t>Dunhill Desire Silver Eau de Toilette</t>
        </is>
      </c>
      <c r="AC305" s="58" t="inlineStr">
        <is>
          <t>Dunhill Desire Silver EDT 100ml | Buy Online UK | Swansura</t>
        </is>
      </c>
      <c r="AD305" s="58">
        <f>LEN(AC305)</f>
        <v/>
      </c>
      <c r="AE305" s="58" t="inlineStr">
        <is>
          <t>Buy Dunhill Desire Silver Eau de Toilette online in the UK at Swansura. A woody men's eau de toilette, 100ml. 100% authentic, fast UK delivery, free over £50.</t>
        </is>
      </c>
      <c r="AF305" s="58">
        <f>LEN(AE305)</f>
        <v/>
      </c>
    </row>
    <row r="306" ht="15" customHeight="1" s="37">
      <c r="A306" s="58" t="inlineStr">
        <is>
          <t>FR-146</t>
        </is>
      </c>
      <c r="B306" s="58" t="inlineStr">
        <is>
          <t>Fragrance Catalogue</t>
        </is>
      </c>
      <c r="C306" s="58" t="n">
        <v>146</v>
      </c>
      <c r="D306" s="58" t="inlineStr">
        <is>
          <t>Elie Saab</t>
        </is>
      </c>
      <c r="E306" s="58" t="n"/>
      <c r="F306" s="58" t="inlineStr">
        <is>
          <t>Fragrance</t>
        </is>
      </c>
      <c r="G306" s="58" t="inlineStr">
        <is>
          <t>Eau de Parfum (EDP)</t>
        </is>
      </c>
      <c r="H306" s="58" t="inlineStr">
        <is>
          <t>Floral · Women's Fragrance</t>
        </is>
      </c>
      <c r="I306" s="58" t="inlineStr">
        <is>
          <t>Elie Saab Elixir Eau de Parfum 50ml – Women's Floral Amber Fragrance</t>
        </is>
      </c>
      <c r="J306" s="58" t="inlineStr">
        <is>
          <t>50ml</t>
        </is>
      </c>
      <c r="K306" s="58" t="n">
        <v>31.99</v>
      </c>
      <c r="L306" s="58" t="inlineStr">
        <is>
          <t>elie saab elixir</t>
        </is>
      </c>
      <c r="M306" s="58" t="inlineStr">
        <is>
          <t>elie saab elixir uk</t>
        </is>
      </c>
      <c r="N306" s="58" t="inlineStr">
        <is>
          <t>buy elie saab elixir online</t>
        </is>
      </c>
      <c r="O306" s="58" t="inlineStr">
        <is>
          <t>elie saab elixir price</t>
        </is>
      </c>
      <c r="P306" s="58" t="inlineStr">
        <is>
          <t>elie saab elixir eau de parfum</t>
        </is>
      </c>
      <c r="Q306" s="59">
        <f>IF(L306="","",IFERROR(INDEX('Semrush Data'!$A$1:$Z$20000,MATCH(L306,'Semrush Data'!$A$1:$A$20000,0),MATCH("Volume",'Semrush Data'!$A$1:$Z$1,0)),""))</f>
        <v/>
      </c>
      <c r="R306" s="59">
        <f>IF(M306="","",IFERROR(INDEX('Semrush Data'!$A$1:$Z$20000,MATCH(M306,'Semrush Data'!$A$1:$A$20000,0),MATCH("Volume",'Semrush Data'!$A$1:$Z$1,0)),""))</f>
        <v/>
      </c>
      <c r="S306" s="59">
        <f>IF(N306="","",IFERROR(INDEX('Semrush Data'!$A$1:$Z$20000,MATCH(N306,'Semrush Data'!$A$1:$A$20000,0),MATCH("Volume",'Semrush Data'!$A$1:$Z$1,0)),""))</f>
        <v/>
      </c>
      <c r="T306" s="59">
        <f>IF(O306="","",IFERROR(INDEX('Semrush Data'!$A$1:$Z$20000,MATCH(O306,'Semrush Data'!$A$1:$A$20000,0),MATCH("Volume",'Semrush Data'!$A$1:$Z$1,0)),""))</f>
        <v/>
      </c>
      <c r="U306" s="59">
        <f>IF(P306="","",IFERROR(INDEX('Semrush Data'!$A$1:$Z$20000,MATCH(P306,'Semrush Data'!$A$1:$A$20000,0),MATCH("Volume",'Semrush Data'!$A$1:$Z$1,0)),""))</f>
        <v/>
      </c>
      <c r="V306" s="60">
        <f>IF(COUNT(Q306:U306)=0,L306,IF(MAX(Q306:U306)=0,L306,INDEX(L306:P306,MATCH(MAX(Q306:U306),Q306:U306,0))))</f>
        <v/>
      </c>
      <c r="W306" s="59">
        <f>IFERROR(INDEX('Semrush Data'!$A$1:$Z$20000,MATCH(V306,'Semrush Data'!$A$1:$A$20000,0),MATCH("Volume",'Semrush Data'!$A$1:$Z$1,0)),"")</f>
        <v/>
      </c>
      <c r="X306" s="59">
        <f>IFERROR(INDEX('Semrush Data'!$A$1:$Z$20000,MATCH(V306,'Semrush Data'!$A$1:$A$20000,0),MATCH("Keyword Difficulty*",'Semrush Data'!$A$1:$Z$1,0)),"")</f>
        <v/>
      </c>
      <c r="Y306" s="61">
        <f>IFERROR(INDEX('Semrush Data'!$A$1:$Z$20000,MATCH(V306,'Semrush Data'!$A$1:$A$20000,0),MATCH("CPC*",'Semrush Data'!$A$1:$Z$1,0)),"")</f>
        <v/>
      </c>
      <c r="Z306" s="58" t="inlineStr">
        <is>
          <t>elie saab perfume · elie saab perfume for women · floral perfume for women uk</t>
        </is>
      </c>
      <c r="AA306" s="58" t="inlineStr">
        <is>
          <t>elie saab elixir perfume · elie saab elixir eau de parfum · elie saab elixir 30ml · elie saab elixir 100ml · elie saab elixir notes · elie saab elixir reviews</t>
        </is>
      </c>
      <c r="AB306" s="58" t="inlineStr">
        <is>
          <t>Elie Saab Elixir Eau de Parfum</t>
        </is>
      </c>
      <c r="AC306" s="58" t="inlineStr">
        <is>
          <t>Elie Saab Elixir Eau de Parfum | Buy Online UK | Swansura</t>
        </is>
      </c>
      <c r="AD306" s="58">
        <f>LEN(AC306)</f>
        <v/>
      </c>
      <c r="AE306" s="58" t="inlineStr">
        <is>
          <t>Buy Elie Saab Elixir Eau de Parfum online in the UK at Swansura. A floral women's eau de parfum, 50ml. 100% authentic, fast UK delivery, free over £50.</t>
        </is>
      </c>
      <c r="AF306" s="58">
        <f>LEN(AE306)</f>
        <v/>
      </c>
    </row>
    <row r="307" ht="15" customHeight="1" s="37">
      <c r="A307" s="58" t="inlineStr">
        <is>
          <t>FR-147</t>
        </is>
      </c>
      <c r="B307" s="58" t="inlineStr">
        <is>
          <t>Fragrance Catalogue</t>
        </is>
      </c>
      <c r="C307" s="58" t="n">
        <v>147</v>
      </c>
      <c r="D307" s="58" t="inlineStr">
        <is>
          <t>Elie Saab</t>
        </is>
      </c>
      <c r="E307" s="58" t="n"/>
      <c r="F307" s="58" t="inlineStr">
        <is>
          <t>Fragrance</t>
        </is>
      </c>
      <c r="G307" s="58" t="inlineStr">
        <is>
          <t>Eau de Parfum (EDP)</t>
        </is>
      </c>
      <c r="H307" s="58" t="inlineStr">
        <is>
          <t>Floral · Unisex Fragrance</t>
        </is>
      </c>
      <c r="I307" s="58" t="inlineStr">
        <is>
          <t>Elie Saab La Collection des Essences No. 1 Rose Eau de Parfum 100ml – Luxury Unisex Rose Fragrance</t>
        </is>
      </c>
      <c r="J307" s="58" t="inlineStr">
        <is>
          <t>100ml</t>
        </is>
      </c>
      <c r="K307" s="58" t="n">
        <v>45.99</v>
      </c>
      <c r="L307" s="58" t="inlineStr">
        <is>
          <t>elie saab la collection des essences no. 1 rose</t>
        </is>
      </c>
      <c r="M307" s="58" t="inlineStr">
        <is>
          <t>elie saab la collection des essences no. 1 rose uk</t>
        </is>
      </c>
      <c r="N307" s="58" t="inlineStr">
        <is>
          <t>buy elie saab la collection des essences no. 1 rose online</t>
        </is>
      </c>
      <c r="O307" s="58" t="inlineStr">
        <is>
          <t>elie saab la collection des essences no. 1 rose price</t>
        </is>
      </c>
      <c r="P307" s="58" t="inlineStr">
        <is>
          <t>elie saab la collection des essences no. 1 rose eau de parfum</t>
        </is>
      </c>
      <c r="Q307" s="59">
        <f>IF(L307="","",IFERROR(INDEX('Semrush Data'!$A$1:$Z$20000,MATCH(L307,'Semrush Data'!$A$1:$A$20000,0),MATCH("Volume",'Semrush Data'!$A$1:$Z$1,0)),""))</f>
        <v/>
      </c>
      <c r="R307" s="59">
        <f>IF(M307="","",IFERROR(INDEX('Semrush Data'!$A$1:$Z$20000,MATCH(M307,'Semrush Data'!$A$1:$A$20000,0),MATCH("Volume",'Semrush Data'!$A$1:$Z$1,0)),""))</f>
        <v/>
      </c>
      <c r="S307" s="59">
        <f>IF(N307="","",IFERROR(INDEX('Semrush Data'!$A$1:$Z$20000,MATCH(N307,'Semrush Data'!$A$1:$A$20000,0),MATCH("Volume",'Semrush Data'!$A$1:$Z$1,0)),""))</f>
        <v/>
      </c>
      <c r="T307" s="59">
        <f>IF(O307="","",IFERROR(INDEX('Semrush Data'!$A$1:$Z$20000,MATCH(O307,'Semrush Data'!$A$1:$A$20000,0),MATCH("Volume",'Semrush Data'!$A$1:$Z$1,0)),""))</f>
        <v/>
      </c>
      <c r="U307" s="59">
        <f>IF(P307="","",IFERROR(INDEX('Semrush Data'!$A$1:$Z$20000,MATCH(P307,'Semrush Data'!$A$1:$A$20000,0),MATCH("Volume",'Semrush Data'!$A$1:$Z$1,0)),""))</f>
        <v/>
      </c>
      <c r="V307" s="60">
        <f>IF(COUNT(Q307:U307)=0,L307,IF(MAX(Q307:U307)=0,L307,INDEX(L307:P307,MATCH(MAX(Q307:U307),Q307:U307,0))))</f>
        <v/>
      </c>
      <c r="W307" s="59">
        <f>IFERROR(INDEX('Semrush Data'!$A$1:$Z$20000,MATCH(V307,'Semrush Data'!$A$1:$A$20000,0),MATCH("Volume",'Semrush Data'!$A$1:$Z$1,0)),"")</f>
        <v/>
      </c>
      <c r="X307" s="59">
        <f>IFERROR(INDEX('Semrush Data'!$A$1:$Z$20000,MATCH(V307,'Semrush Data'!$A$1:$A$20000,0),MATCH("Keyword Difficulty*",'Semrush Data'!$A$1:$Z$1,0)),"")</f>
        <v/>
      </c>
      <c r="Y307" s="61">
        <f>IFERROR(INDEX('Semrush Data'!$A$1:$Z$20000,MATCH(V307,'Semrush Data'!$A$1:$A$20000,0),MATCH("CPC*",'Semrush Data'!$A$1:$Z$1,0)),"")</f>
        <v/>
      </c>
      <c r="Z307" s="58" t="inlineStr">
        <is>
          <t>elie saab perfume · floral perfume uk</t>
        </is>
      </c>
      <c r="AA307" s="58" t="n"/>
      <c r="AB307" s="58" t="inlineStr">
        <is>
          <t>Elie Saab La Collection des Essences No. 1 Rose Eau de Parfum</t>
        </is>
      </c>
      <c r="AC307" s="58" t="inlineStr">
        <is>
          <t>Elie Saab La Collection des Essences No. 1 | Swansura UK</t>
        </is>
      </c>
      <c r="AD307" s="58">
        <f>LEN(AC307)</f>
        <v/>
      </c>
      <c r="AE307" s="58" t="inlineStr">
        <is>
          <t>Buy Elie Saab La Collection des Essences No. 1 Rose Eau de Parfum online in the UK at Swansura. A floral unisex eau de parfum, 100ml. Free UK delivery over £50.</t>
        </is>
      </c>
      <c r="AF307" s="58">
        <f>LEN(AE307)</f>
        <v/>
      </c>
    </row>
    <row r="308" ht="15" customHeight="1" s="37">
      <c r="A308" s="58" t="inlineStr">
        <is>
          <t>FR-148</t>
        </is>
      </c>
      <c r="B308" s="58" t="inlineStr">
        <is>
          <t>Fragrance Catalogue</t>
        </is>
      </c>
      <c r="C308" s="58" t="n">
        <v>148</v>
      </c>
      <c r="D308" s="58" t="inlineStr">
        <is>
          <t>Elie Saab</t>
        </is>
      </c>
      <c r="E308" s="58" t="n"/>
      <c r="F308" s="58" t="inlineStr">
        <is>
          <t>Fragrance</t>
        </is>
      </c>
      <c r="G308" s="58" t="inlineStr">
        <is>
          <t>Eau de Parfum (EDP)</t>
        </is>
      </c>
      <c r="H308" s="58" t="inlineStr">
        <is>
          <t>Oud · Unisex Fragrance</t>
        </is>
      </c>
      <c r="I308" s="58" t="inlineStr">
        <is>
          <t>Elie Saab La Collection des Essences No. 4 Oud Eau de Parfum 100ml – Luxury Unisex Oud Fragrance</t>
        </is>
      </c>
      <c r="J308" s="58" t="inlineStr">
        <is>
          <t>100ml</t>
        </is>
      </c>
      <c r="K308" s="58" t="n">
        <v>51.99</v>
      </c>
      <c r="L308" s="58" t="inlineStr">
        <is>
          <t>elie saab la collection des essences no. 4 oud</t>
        </is>
      </c>
      <c r="M308" s="58" t="inlineStr">
        <is>
          <t>elie saab la collection des essences no. 4 oud uk</t>
        </is>
      </c>
      <c r="N308" s="58" t="inlineStr">
        <is>
          <t>buy elie saab la collection des essences no. 4 oud online</t>
        </is>
      </c>
      <c r="O308" s="58" t="inlineStr">
        <is>
          <t>elie saab la collection des essences no. 4 oud price</t>
        </is>
      </c>
      <c r="P308" s="58" t="inlineStr">
        <is>
          <t>elie saab la collection des essences no. 4 oud eau de parfum</t>
        </is>
      </c>
      <c r="Q308" s="59">
        <f>IF(L308="","",IFERROR(INDEX('Semrush Data'!$A$1:$Z$20000,MATCH(L308,'Semrush Data'!$A$1:$A$20000,0),MATCH("Volume",'Semrush Data'!$A$1:$Z$1,0)),""))</f>
        <v/>
      </c>
      <c r="R308" s="59">
        <f>IF(M308="","",IFERROR(INDEX('Semrush Data'!$A$1:$Z$20000,MATCH(M308,'Semrush Data'!$A$1:$A$20000,0),MATCH("Volume",'Semrush Data'!$A$1:$Z$1,0)),""))</f>
        <v/>
      </c>
      <c r="S308" s="59">
        <f>IF(N308="","",IFERROR(INDEX('Semrush Data'!$A$1:$Z$20000,MATCH(N308,'Semrush Data'!$A$1:$A$20000,0),MATCH("Volume",'Semrush Data'!$A$1:$Z$1,0)),""))</f>
        <v/>
      </c>
      <c r="T308" s="59">
        <f>IF(O308="","",IFERROR(INDEX('Semrush Data'!$A$1:$Z$20000,MATCH(O308,'Semrush Data'!$A$1:$A$20000,0),MATCH("Volume",'Semrush Data'!$A$1:$Z$1,0)),""))</f>
        <v/>
      </c>
      <c r="U308" s="59">
        <f>IF(P308="","",IFERROR(INDEX('Semrush Data'!$A$1:$Z$20000,MATCH(P308,'Semrush Data'!$A$1:$A$20000,0),MATCH("Volume",'Semrush Data'!$A$1:$Z$1,0)),""))</f>
        <v/>
      </c>
      <c r="V308" s="60">
        <f>IF(COUNT(Q308:U308)=0,L308,IF(MAX(Q308:U308)=0,L308,INDEX(L308:P308,MATCH(MAX(Q308:U308),Q308:U308,0))))</f>
        <v/>
      </c>
      <c r="W308" s="59">
        <f>IFERROR(INDEX('Semrush Data'!$A$1:$Z$20000,MATCH(V308,'Semrush Data'!$A$1:$A$20000,0),MATCH("Volume",'Semrush Data'!$A$1:$Z$1,0)),"")</f>
        <v/>
      </c>
      <c r="X308" s="59">
        <f>IFERROR(INDEX('Semrush Data'!$A$1:$Z$20000,MATCH(V308,'Semrush Data'!$A$1:$A$20000,0),MATCH("Keyword Difficulty*",'Semrush Data'!$A$1:$Z$1,0)),"")</f>
        <v/>
      </c>
      <c r="Y308" s="61">
        <f>IFERROR(INDEX('Semrush Data'!$A$1:$Z$20000,MATCH(V308,'Semrush Data'!$A$1:$A$20000,0),MATCH("CPC*",'Semrush Data'!$A$1:$Z$1,0)),"")</f>
        <v/>
      </c>
      <c r="Z308" s="58" t="inlineStr">
        <is>
          <t>elie saab perfume · oud perfume uk</t>
        </is>
      </c>
      <c r="AA308" s="58" t="n"/>
      <c r="AB308" s="58" t="inlineStr">
        <is>
          <t>Elie Saab La Collection des Essences No. 4 Oud Eau de Parfum</t>
        </is>
      </c>
      <c r="AC308" s="58" t="inlineStr">
        <is>
          <t>Elie Saab La Collection des Essences No. 4 Oud | Swansura UK</t>
        </is>
      </c>
      <c r="AD308" s="58">
        <f>LEN(AC308)</f>
        <v/>
      </c>
      <c r="AE308" s="58" t="inlineStr">
        <is>
          <t>Buy Elie Saab La Collection des Essences No. 4 Oud Eau de Parfum at Swansura UK. An oud unisex eau de parfum, 100ml. 100% authentic, free UK delivery over £50.</t>
        </is>
      </c>
      <c r="AF308" s="58">
        <f>LEN(AE308)</f>
        <v/>
      </c>
    </row>
    <row r="309" ht="15" customHeight="1" s="37">
      <c r="A309" s="58" t="inlineStr">
        <is>
          <t>FR-149</t>
        </is>
      </c>
      <c r="B309" s="58" t="inlineStr">
        <is>
          <t>Fragrance Catalogue</t>
        </is>
      </c>
      <c r="C309" s="58" t="n">
        <v>149</v>
      </c>
      <c r="D309" s="58" t="inlineStr">
        <is>
          <t>Elie Saab</t>
        </is>
      </c>
      <c r="E309" s="58" t="n"/>
      <c r="F309" s="58" t="inlineStr">
        <is>
          <t>Fragrance</t>
        </is>
      </c>
      <c r="G309" s="58" t="inlineStr">
        <is>
          <t>Eau de Parfum (EDP)</t>
        </is>
      </c>
      <c r="H309" s="58" t="inlineStr">
        <is>
          <t>Floral · Women's Fragrance</t>
        </is>
      </c>
      <c r="I309" s="58" t="inlineStr">
        <is>
          <t>Elie Saab Le Parfum Bridal Eau de Parfum 90ml – Women's Floral Amber Fragrance</t>
        </is>
      </c>
      <c r="J309" s="58" t="inlineStr">
        <is>
          <t>90ml</t>
        </is>
      </c>
      <c r="K309" s="58" t="n">
        <v>44.99</v>
      </c>
      <c r="L309" s="58" t="inlineStr">
        <is>
          <t>elie saab le parfum bridal</t>
        </is>
      </c>
      <c r="M309" s="58" t="inlineStr">
        <is>
          <t>elie saab le parfum bridal uk</t>
        </is>
      </c>
      <c r="N309" s="58" t="inlineStr">
        <is>
          <t>buy elie saab le parfum bridal online</t>
        </is>
      </c>
      <c r="O309" s="58" t="inlineStr">
        <is>
          <t>elie saab le parfum bridal price</t>
        </is>
      </c>
      <c r="P309" s="58" t="inlineStr">
        <is>
          <t>elie saab le parfum bridal eau de parfum</t>
        </is>
      </c>
      <c r="Q309" s="59">
        <f>IF(L309="","",IFERROR(INDEX('Semrush Data'!$A$1:$Z$20000,MATCH(L309,'Semrush Data'!$A$1:$A$20000,0),MATCH("Volume",'Semrush Data'!$A$1:$Z$1,0)),""))</f>
        <v/>
      </c>
      <c r="R309" s="59">
        <f>IF(M309="","",IFERROR(INDEX('Semrush Data'!$A$1:$Z$20000,MATCH(M309,'Semrush Data'!$A$1:$A$20000,0),MATCH("Volume",'Semrush Data'!$A$1:$Z$1,0)),""))</f>
        <v/>
      </c>
      <c r="S309" s="59">
        <f>IF(N309="","",IFERROR(INDEX('Semrush Data'!$A$1:$Z$20000,MATCH(N309,'Semrush Data'!$A$1:$A$20000,0),MATCH("Volume",'Semrush Data'!$A$1:$Z$1,0)),""))</f>
        <v/>
      </c>
      <c r="T309" s="59">
        <f>IF(O309="","",IFERROR(INDEX('Semrush Data'!$A$1:$Z$20000,MATCH(O309,'Semrush Data'!$A$1:$A$20000,0),MATCH("Volume",'Semrush Data'!$A$1:$Z$1,0)),""))</f>
        <v/>
      </c>
      <c r="U309" s="59">
        <f>IF(P309="","",IFERROR(INDEX('Semrush Data'!$A$1:$Z$20000,MATCH(P309,'Semrush Data'!$A$1:$A$20000,0),MATCH("Volume",'Semrush Data'!$A$1:$Z$1,0)),""))</f>
        <v/>
      </c>
      <c r="V309" s="60">
        <f>IF(COUNT(Q309:U309)=0,L309,IF(MAX(Q309:U309)=0,L309,INDEX(L309:P309,MATCH(MAX(Q309:U309),Q309:U309,0))))</f>
        <v/>
      </c>
      <c r="W309" s="59">
        <f>IFERROR(INDEX('Semrush Data'!$A$1:$Z$20000,MATCH(V309,'Semrush Data'!$A$1:$A$20000,0),MATCH("Volume",'Semrush Data'!$A$1:$Z$1,0)),"")</f>
        <v/>
      </c>
      <c r="X309" s="59">
        <f>IFERROR(INDEX('Semrush Data'!$A$1:$Z$20000,MATCH(V309,'Semrush Data'!$A$1:$A$20000,0),MATCH("Keyword Difficulty*",'Semrush Data'!$A$1:$Z$1,0)),"")</f>
        <v/>
      </c>
      <c r="Y309" s="61">
        <f>IFERROR(INDEX('Semrush Data'!$A$1:$Z$20000,MATCH(V309,'Semrush Data'!$A$1:$A$20000,0),MATCH("CPC*",'Semrush Data'!$A$1:$Z$1,0)),"")</f>
        <v/>
      </c>
      <c r="Z309" s="58" t="inlineStr">
        <is>
          <t>elie saab perfume · elie saab perfume for women · floral perfume for women uk</t>
        </is>
      </c>
      <c r="AA309" s="58" t="inlineStr">
        <is>
          <t>elie saab le parfum bridal eau de parfum · elie saab le parfum bridal review · elie saab le parfum bridal notes · elie saab le parfum bridal edp · elie saab le parfum bridal 90ml · elie saab le parfum bridal 30ml</t>
        </is>
      </c>
      <c r="AB309" s="58" t="inlineStr">
        <is>
          <t>Elie Saab Le Parfum Bridal Eau de Parfum</t>
        </is>
      </c>
      <c r="AC309" s="58" t="inlineStr">
        <is>
          <t>Elie Saab Le Bridal EDP 90ml | Buy Online UK | Swansura</t>
        </is>
      </c>
      <c r="AD309" s="58">
        <f>LEN(AC309)</f>
        <v/>
      </c>
      <c r="AE309" s="58" t="inlineStr">
        <is>
          <t>Buy Elie Saab Le Parfum Bridal Eau de Parfum online in the UK at Swansura. A floral women's eau de parfum, 90ml. 100% authentic, free UK delivery over £50.</t>
        </is>
      </c>
      <c r="AF309" s="58">
        <f>LEN(AE309)</f>
        <v/>
      </c>
    </row>
    <row r="310" ht="15" customHeight="1" s="37">
      <c r="A310" s="58" t="inlineStr">
        <is>
          <t>FR-150</t>
        </is>
      </c>
      <c r="B310" s="58" t="inlineStr">
        <is>
          <t>Fragrance Catalogue</t>
        </is>
      </c>
      <c r="C310" s="58" t="n">
        <v>150</v>
      </c>
      <c r="D310" s="58" t="inlineStr">
        <is>
          <t>Elie Saab</t>
        </is>
      </c>
      <c r="E310" s="58" t="n"/>
      <c r="F310" s="58" t="inlineStr">
        <is>
          <t>Fragrance</t>
        </is>
      </c>
      <c r="G310" s="58" t="inlineStr">
        <is>
          <t>Eau de Parfum (EDP)</t>
        </is>
      </c>
      <c r="H310" s="58" t="inlineStr">
        <is>
          <t>Floral · Women's Fragrance</t>
        </is>
      </c>
      <c r="I310" s="58" t="inlineStr">
        <is>
          <t>Elie Saab Le Parfum Eau de Parfum 50ml – Women's Floral Amber Fragrance</t>
        </is>
      </c>
      <c r="J310" s="58" t="inlineStr">
        <is>
          <t>50ml</t>
        </is>
      </c>
      <c r="K310" s="58" t="n">
        <v>45.99</v>
      </c>
      <c r="L310" s="58" t="inlineStr">
        <is>
          <t>elie saab le</t>
        </is>
      </c>
      <c r="M310" s="58" t="inlineStr">
        <is>
          <t>elie saab le uk</t>
        </is>
      </c>
      <c r="N310" s="58" t="inlineStr">
        <is>
          <t>buy elie saab le online</t>
        </is>
      </c>
      <c r="O310" s="58" t="inlineStr">
        <is>
          <t>elie saab le price</t>
        </is>
      </c>
      <c r="P310" s="58" t="inlineStr">
        <is>
          <t>elie saab le eau de parfum</t>
        </is>
      </c>
      <c r="Q310" s="59">
        <f>IF(L310="","",IFERROR(INDEX('Semrush Data'!$A$1:$Z$20000,MATCH(L310,'Semrush Data'!$A$1:$A$20000,0),MATCH("Volume",'Semrush Data'!$A$1:$Z$1,0)),""))</f>
        <v/>
      </c>
      <c r="R310" s="59">
        <f>IF(M310="","",IFERROR(INDEX('Semrush Data'!$A$1:$Z$20000,MATCH(M310,'Semrush Data'!$A$1:$A$20000,0),MATCH("Volume",'Semrush Data'!$A$1:$Z$1,0)),""))</f>
        <v/>
      </c>
      <c r="S310" s="59">
        <f>IF(N310="","",IFERROR(INDEX('Semrush Data'!$A$1:$Z$20000,MATCH(N310,'Semrush Data'!$A$1:$A$20000,0),MATCH("Volume",'Semrush Data'!$A$1:$Z$1,0)),""))</f>
        <v/>
      </c>
      <c r="T310" s="59">
        <f>IF(O310="","",IFERROR(INDEX('Semrush Data'!$A$1:$Z$20000,MATCH(O310,'Semrush Data'!$A$1:$A$20000,0),MATCH("Volume",'Semrush Data'!$A$1:$Z$1,0)),""))</f>
        <v/>
      </c>
      <c r="U310" s="59">
        <f>IF(P310="","",IFERROR(INDEX('Semrush Data'!$A$1:$Z$20000,MATCH(P310,'Semrush Data'!$A$1:$A$20000,0),MATCH("Volume",'Semrush Data'!$A$1:$Z$1,0)),""))</f>
        <v/>
      </c>
      <c r="V310" s="60">
        <f>IF(COUNT(Q310:U310)=0,L310,IF(MAX(Q310:U310)=0,L310,INDEX(L310:P310,MATCH(MAX(Q310:U310),Q310:U310,0))))</f>
        <v/>
      </c>
      <c r="W310" s="59">
        <f>IFERROR(INDEX('Semrush Data'!$A$1:$Z$20000,MATCH(V310,'Semrush Data'!$A$1:$A$20000,0),MATCH("Volume",'Semrush Data'!$A$1:$Z$1,0)),"")</f>
        <v/>
      </c>
      <c r="X310" s="59">
        <f>IFERROR(INDEX('Semrush Data'!$A$1:$Z$20000,MATCH(V310,'Semrush Data'!$A$1:$A$20000,0),MATCH("Keyword Difficulty*",'Semrush Data'!$A$1:$Z$1,0)),"")</f>
        <v/>
      </c>
      <c r="Y310" s="61">
        <f>IFERROR(INDEX('Semrush Data'!$A$1:$Z$20000,MATCH(V310,'Semrush Data'!$A$1:$A$20000,0),MATCH("CPC*",'Semrush Data'!$A$1:$Z$1,0)),"")</f>
        <v/>
      </c>
      <c r="Z310" s="58" t="inlineStr">
        <is>
          <t>elie saab perfume · elie saab perfume for women · floral perfume for women uk</t>
        </is>
      </c>
      <c r="AA310" s="58" t="inlineStr">
        <is>
          <t>elie saab le parfum · elie saab le parfum notes · elie saab le parfum eau de parfum</t>
        </is>
      </c>
      <c r="AB310" s="58" t="inlineStr">
        <is>
          <t>Elie Saab Le Parfum Eau de Parfum</t>
        </is>
      </c>
      <c r="AC310" s="58" t="inlineStr">
        <is>
          <t>Elie Saab Le Parfum Eau de Parfum | Buy Online UK | Swansura</t>
        </is>
      </c>
      <c r="AD310" s="58">
        <f>LEN(AC310)</f>
        <v/>
      </c>
      <c r="AE310" s="58" t="inlineStr">
        <is>
          <t>Buy Elie Saab Le Parfum Eau de Parfum online in the UK at Swansura. A floral women's eau de parfum, 50ml. 100% authentic, fast UK delivery, free over £50.</t>
        </is>
      </c>
      <c r="AF310" s="58">
        <f>LEN(AE310)</f>
        <v/>
      </c>
    </row>
    <row r="311" ht="15" customHeight="1" s="37">
      <c r="A311" s="58" t="inlineStr">
        <is>
          <t>FR-151</t>
        </is>
      </c>
      <c r="B311" s="58" t="inlineStr">
        <is>
          <t>Fragrance Catalogue</t>
        </is>
      </c>
      <c r="C311" s="58" t="n">
        <v>151</v>
      </c>
      <c r="D311" s="58" t="inlineStr">
        <is>
          <t>Elie Saab</t>
        </is>
      </c>
      <c r="E311" s="58" t="n"/>
      <c r="F311" s="58" t="inlineStr">
        <is>
          <t>Fragrance</t>
        </is>
      </c>
      <c r="G311" s="58" t="inlineStr">
        <is>
          <t>Eau de Parfum (EDP)</t>
        </is>
      </c>
      <c r="H311" s="58" t="inlineStr">
        <is>
          <t>Floral · Women's Fragrance</t>
        </is>
      </c>
      <c r="I311" s="58" t="inlineStr">
        <is>
          <t>Elie Saab Le Parfum Eau de Parfum Intense 90ml – Women's Floral Amber Fragrance</t>
        </is>
      </c>
      <c r="J311" s="58" t="inlineStr">
        <is>
          <t>90ml</t>
        </is>
      </c>
      <c r="K311" s="58" t="n">
        <v>49.99</v>
      </c>
      <c r="L311" s="58" t="inlineStr">
        <is>
          <t>elie saab le parfum intense</t>
        </is>
      </c>
      <c r="M311" s="58" t="inlineStr">
        <is>
          <t>elie saab le parfum intense uk</t>
        </is>
      </c>
      <c r="N311" s="58" t="inlineStr">
        <is>
          <t>buy elie saab le parfum intense online</t>
        </is>
      </c>
      <c r="O311" s="58" t="inlineStr">
        <is>
          <t>elie saab le parfum intense price</t>
        </is>
      </c>
      <c r="P311" s="58" t="inlineStr">
        <is>
          <t>elie saab le parfum intense eau de parfum</t>
        </is>
      </c>
      <c r="Q311" s="59">
        <f>IF(L311="","",IFERROR(INDEX('Semrush Data'!$A$1:$Z$20000,MATCH(L311,'Semrush Data'!$A$1:$A$20000,0),MATCH("Volume",'Semrush Data'!$A$1:$Z$1,0)),""))</f>
        <v/>
      </c>
      <c r="R311" s="59">
        <f>IF(M311="","",IFERROR(INDEX('Semrush Data'!$A$1:$Z$20000,MATCH(M311,'Semrush Data'!$A$1:$A$20000,0),MATCH("Volume",'Semrush Data'!$A$1:$Z$1,0)),""))</f>
        <v/>
      </c>
      <c r="S311" s="59">
        <f>IF(N311="","",IFERROR(INDEX('Semrush Data'!$A$1:$Z$20000,MATCH(N311,'Semrush Data'!$A$1:$A$20000,0),MATCH("Volume",'Semrush Data'!$A$1:$Z$1,0)),""))</f>
        <v/>
      </c>
      <c r="T311" s="59">
        <f>IF(O311="","",IFERROR(INDEX('Semrush Data'!$A$1:$Z$20000,MATCH(O311,'Semrush Data'!$A$1:$A$20000,0),MATCH("Volume",'Semrush Data'!$A$1:$Z$1,0)),""))</f>
        <v/>
      </c>
      <c r="U311" s="59">
        <f>IF(P311="","",IFERROR(INDEX('Semrush Data'!$A$1:$Z$20000,MATCH(P311,'Semrush Data'!$A$1:$A$20000,0),MATCH("Volume",'Semrush Data'!$A$1:$Z$1,0)),""))</f>
        <v/>
      </c>
      <c r="V311" s="60">
        <f>IF(COUNT(Q311:U311)=0,L311,IF(MAX(Q311:U311)=0,L311,INDEX(L311:P311,MATCH(MAX(Q311:U311),Q311:U311,0))))</f>
        <v/>
      </c>
      <c r="W311" s="59">
        <f>IFERROR(INDEX('Semrush Data'!$A$1:$Z$20000,MATCH(V311,'Semrush Data'!$A$1:$A$20000,0),MATCH("Volume",'Semrush Data'!$A$1:$Z$1,0)),"")</f>
        <v/>
      </c>
      <c r="X311" s="59">
        <f>IFERROR(INDEX('Semrush Data'!$A$1:$Z$20000,MATCH(V311,'Semrush Data'!$A$1:$A$20000,0),MATCH("Keyword Difficulty*",'Semrush Data'!$A$1:$Z$1,0)),"")</f>
        <v/>
      </c>
      <c r="Y311" s="61">
        <f>IFERROR(INDEX('Semrush Data'!$A$1:$Z$20000,MATCH(V311,'Semrush Data'!$A$1:$A$20000,0),MATCH("CPC*",'Semrush Data'!$A$1:$Z$1,0)),"")</f>
        <v/>
      </c>
      <c r="Z311" s="58" t="inlineStr">
        <is>
          <t>elie saab perfume · elie saab perfume for women · floral perfume for women uk</t>
        </is>
      </c>
      <c r="AA311" s="58" t="inlineStr">
        <is>
          <t>elie saab le parfum intense review · elie saab le parfum intense notes · elie saab le parfum intense 90ml · elie saab le parfum intense edp · elie saab le parfum intense edp 90ml · elie saab le parfum intense price</t>
        </is>
      </c>
      <c r="AB311" s="58" t="inlineStr">
        <is>
          <t>Elie Saab Le Parfum Eau de Parfum Intense</t>
        </is>
      </c>
      <c r="AC311" s="58" t="inlineStr">
        <is>
          <t>Elie Saab Le Intense EDP 90ml | Buy Online UK | Swansura</t>
        </is>
      </c>
      <c r="AD311" s="58">
        <f>LEN(AC311)</f>
        <v/>
      </c>
      <c r="AE311" s="58" t="inlineStr">
        <is>
          <t>Buy Elie Saab Le Parfum Eau de Parfum Intense online in the UK at Swansura. A floral women's eau de parfum, 90ml. 100% authentic, free UK delivery over £50.</t>
        </is>
      </c>
      <c r="AF311" s="58">
        <f>LEN(AE311)</f>
        <v/>
      </c>
    </row>
    <row r="312" ht="15" customHeight="1" s="37">
      <c r="A312" s="58" t="inlineStr">
        <is>
          <t>FR-152</t>
        </is>
      </c>
      <c r="B312" s="58" t="inlineStr">
        <is>
          <t>Fragrance Catalogue</t>
        </is>
      </c>
      <c r="C312" s="58" t="n">
        <v>152</v>
      </c>
      <c r="D312" s="58" t="inlineStr">
        <is>
          <t>Elie Saab</t>
        </is>
      </c>
      <c r="E312" s="58" t="n"/>
      <c r="F312" s="58" t="inlineStr">
        <is>
          <t>Fragrance</t>
        </is>
      </c>
      <c r="G312" s="58" t="inlineStr">
        <is>
          <t>Eau de Parfum (EDP)</t>
        </is>
      </c>
      <c r="H312" s="58" t="inlineStr">
        <is>
          <t>Floral · Women's Fragrance</t>
        </is>
      </c>
      <c r="I312" s="58" t="inlineStr">
        <is>
          <t>Elie Saab Nuit Noor Eau de Parfum 90ml – Women's Amber Floral Fragrance</t>
        </is>
      </c>
      <c r="J312" s="58" t="inlineStr">
        <is>
          <t>90ml</t>
        </is>
      </c>
      <c r="K312" s="58" t="n">
        <v>37.99</v>
      </c>
      <c r="L312" s="58" t="inlineStr">
        <is>
          <t>elie saab nuit noor</t>
        </is>
      </c>
      <c r="M312" s="58" t="inlineStr">
        <is>
          <t>elie saab nuit noor uk</t>
        </is>
      </c>
      <c r="N312" s="58" t="inlineStr">
        <is>
          <t>buy elie saab nuit noor online</t>
        </is>
      </c>
      <c r="O312" s="58" t="inlineStr">
        <is>
          <t>elie saab nuit noor price</t>
        </is>
      </c>
      <c r="P312" s="58" t="inlineStr">
        <is>
          <t>elie saab nuit noor eau de parfum</t>
        </is>
      </c>
      <c r="Q312" s="59">
        <f>IF(L312="","",IFERROR(INDEX('Semrush Data'!$A$1:$Z$20000,MATCH(L312,'Semrush Data'!$A$1:$A$20000,0),MATCH("Volume",'Semrush Data'!$A$1:$Z$1,0)),""))</f>
        <v/>
      </c>
      <c r="R312" s="59">
        <f>IF(M312="","",IFERROR(INDEX('Semrush Data'!$A$1:$Z$20000,MATCH(M312,'Semrush Data'!$A$1:$A$20000,0),MATCH("Volume",'Semrush Data'!$A$1:$Z$1,0)),""))</f>
        <v/>
      </c>
      <c r="S312" s="59">
        <f>IF(N312="","",IFERROR(INDEX('Semrush Data'!$A$1:$Z$20000,MATCH(N312,'Semrush Data'!$A$1:$A$20000,0),MATCH("Volume",'Semrush Data'!$A$1:$Z$1,0)),""))</f>
        <v/>
      </c>
      <c r="T312" s="59">
        <f>IF(O312="","",IFERROR(INDEX('Semrush Data'!$A$1:$Z$20000,MATCH(O312,'Semrush Data'!$A$1:$A$20000,0),MATCH("Volume",'Semrush Data'!$A$1:$Z$1,0)),""))</f>
        <v/>
      </c>
      <c r="U312" s="59">
        <f>IF(P312="","",IFERROR(INDEX('Semrush Data'!$A$1:$Z$20000,MATCH(P312,'Semrush Data'!$A$1:$A$20000,0),MATCH("Volume",'Semrush Data'!$A$1:$Z$1,0)),""))</f>
        <v/>
      </c>
      <c r="V312" s="60">
        <f>IF(COUNT(Q312:U312)=0,L312,IF(MAX(Q312:U312)=0,L312,INDEX(L312:P312,MATCH(MAX(Q312:U312),Q312:U312,0))))</f>
        <v/>
      </c>
      <c r="W312" s="59">
        <f>IFERROR(INDEX('Semrush Data'!$A$1:$Z$20000,MATCH(V312,'Semrush Data'!$A$1:$A$20000,0),MATCH("Volume",'Semrush Data'!$A$1:$Z$1,0)),"")</f>
        <v/>
      </c>
      <c r="X312" s="59">
        <f>IFERROR(INDEX('Semrush Data'!$A$1:$Z$20000,MATCH(V312,'Semrush Data'!$A$1:$A$20000,0),MATCH("Keyword Difficulty*",'Semrush Data'!$A$1:$Z$1,0)),"")</f>
        <v/>
      </c>
      <c r="Y312" s="61">
        <f>IFERROR(INDEX('Semrush Data'!$A$1:$Z$20000,MATCH(V312,'Semrush Data'!$A$1:$A$20000,0),MATCH("CPC*",'Semrush Data'!$A$1:$Z$1,0)),"")</f>
        <v/>
      </c>
      <c r="Z312" s="58" t="inlineStr">
        <is>
          <t>elie saab perfume · elie saab perfume for women · floral perfume for women uk</t>
        </is>
      </c>
      <c r="AA312" s="58" t="inlineStr">
        <is>
          <t>elie saab nuit noor eau de parfum · elie saab nuit noor notes · elie saab nuit noor edp 90ml · elie saab nuit noor perfume · elie saab nuit noor edp · elie saab nuit noor review</t>
        </is>
      </c>
      <c r="AB312" s="58" t="inlineStr">
        <is>
          <t>Elie Saab Nuit Noor Eau de Parfum</t>
        </is>
      </c>
      <c r="AC312" s="58" t="inlineStr">
        <is>
          <t>Elie Saab Nuit Noor Eau de Parfum | Buy Online UK | Swansura</t>
        </is>
      </c>
      <c r="AD312" s="58">
        <f>LEN(AC312)</f>
        <v/>
      </c>
      <c r="AE312" s="58" t="inlineStr">
        <is>
          <t>Buy Elie Saab Nuit Noor Eau de Parfum online in the UK at Swansura. A floral women's eau de parfum, 90ml. 100% authentic, fast UK delivery, free over £50.</t>
        </is>
      </c>
      <c r="AF312" s="58">
        <f>LEN(AE312)</f>
        <v/>
      </c>
    </row>
    <row r="313" ht="15" customHeight="1" s="37">
      <c r="A313" s="58" t="inlineStr">
        <is>
          <t>FR-153</t>
        </is>
      </c>
      <c r="B313" s="58" t="inlineStr">
        <is>
          <t>Fragrance Catalogue</t>
        </is>
      </c>
      <c r="C313" s="58" t="n">
        <v>153</v>
      </c>
      <c r="D313" s="58" t="inlineStr">
        <is>
          <t>Elie Saab</t>
        </is>
      </c>
      <c r="E313" s="58" t="n"/>
      <c r="F313" s="58" t="inlineStr">
        <is>
          <t>Gift Set</t>
        </is>
      </c>
      <c r="G313" s="58" t="inlineStr">
        <is>
          <t>Eau de Parfum (EDP)</t>
        </is>
      </c>
      <c r="H313" s="58" t="inlineStr">
        <is>
          <t>Woody · Women's Fragrance</t>
        </is>
      </c>
      <c r="I313" s="58" t="inlineStr">
        <is>
          <t>Elie Saab Girl of Now Lovely Eau de Parfum Gift Set 50ml + Body Lotion 75ml – New Pack Women's Fragrance Set</t>
        </is>
      </c>
      <c r="J313" s="58" t="inlineStr">
        <is>
          <t>50ml</t>
        </is>
      </c>
      <c r="K313" s="58" t="n">
        <v>38.99</v>
      </c>
      <c r="L313" s="58" t="inlineStr">
        <is>
          <t>elie saab girl of now lovely gift set</t>
        </is>
      </c>
      <c r="M313" s="58" t="inlineStr">
        <is>
          <t>elie saab girl of now lovely gift set uk</t>
        </is>
      </c>
      <c r="N313" s="58" t="inlineStr">
        <is>
          <t>buy elie saab girl of now lovely gift set online</t>
        </is>
      </c>
      <c r="O313" s="58" t="inlineStr">
        <is>
          <t>elie saab girl of now lovely gift set price</t>
        </is>
      </c>
      <c r="P313" s="58" t="n"/>
      <c r="Q313" s="59">
        <f>IF(L313="","",IFERROR(INDEX('Semrush Data'!$A$1:$Z$20000,MATCH(L313,'Semrush Data'!$A$1:$A$20000,0),MATCH("Volume",'Semrush Data'!$A$1:$Z$1,0)),""))</f>
        <v/>
      </c>
      <c r="R313" s="59">
        <f>IF(M313="","",IFERROR(INDEX('Semrush Data'!$A$1:$Z$20000,MATCH(M313,'Semrush Data'!$A$1:$A$20000,0),MATCH("Volume",'Semrush Data'!$A$1:$Z$1,0)),""))</f>
        <v/>
      </c>
      <c r="S313" s="59">
        <f>IF(N313="","",IFERROR(INDEX('Semrush Data'!$A$1:$Z$20000,MATCH(N313,'Semrush Data'!$A$1:$A$20000,0),MATCH("Volume",'Semrush Data'!$A$1:$Z$1,0)),""))</f>
        <v/>
      </c>
      <c r="T313" s="59">
        <f>IF(O313="","",IFERROR(INDEX('Semrush Data'!$A$1:$Z$20000,MATCH(O313,'Semrush Data'!$A$1:$A$20000,0),MATCH("Volume",'Semrush Data'!$A$1:$Z$1,0)),""))</f>
        <v/>
      </c>
      <c r="U313" s="59">
        <f>IF(P313="","",IFERROR(INDEX('Semrush Data'!$A$1:$Z$20000,MATCH(P313,'Semrush Data'!$A$1:$A$20000,0),MATCH("Volume",'Semrush Data'!$A$1:$Z$1,0)),""))</f>
        <v/>
      </c>
      <c r="V313" s="60">
        <f>IF(COUNT(Q313:U313)=0,L313,IF(MAX(Q313:U313)=0,L313,INDEX(L313:P313,MATCH(MAX(Q313:U313),Q313:U313,0))))</f>
        <v/>
      </c>
      <c r="W313" s="59">
        <f>IFERROR(INDEX('Semrush Data'!$A$1:$Z$20000,MATCH(V313,'Semrush Data'!$A$1:$A$20000,0),MATCH("Volume",'Semrush Data'!$A$1:$Z$1,0)),"")</f>
        <v/>
      </c>
      <c r="X313" s="59">
        <f>IFERROR(INDEX('Semrush Data'!$A$1:$Z$20000,MATCH(V313,'Semrush Data'!$A$1:$A$20000,0),MATCH("Keyword Difficulty*",'Semrush Data'!$A$1:$Z$1,0)),"")</f>
        <v/>
      </c>
      <c r="Y313" s="61">
        <f>IFERROR(INDEX('Semrush Data'!$A$1:$Z$20000,MATCH(V313,'Semrush Data'!$A$1:$A$20000,0),MATCH("CPC*",'Semrush Data'!$A$1:$Z$1,0)),"")</f>
        <v/>
      </c>
      <c r="Z313" s="58" t="inlineStr">
        <is>
          <t>elie saab perfume · elie saab perfume for women · woody perfume for women uk</t>
        </is>
      </c>
      <c r="AA313" s="58" t="inlineStr">
        <is>
          <t>elie saab girl of now lovely set</t>
        </is>
      </c>
      <c r="AB313" s="58" t="inlineStr">
        <is>
          <t>Elie Saab Girl of Now Lovely Eau de Parfum Gift Set</t>
        </is>
      </c>
      <c r="AC313" s="58" t="inlineStr">
        <is>
          <t>Elie Saab Girl of Now Lovely Gift Set EDP 50ml | Swansura UK</t>
        </is>
      </c>
      <c r="AD313" s="58">
        <f>LEN(AC313)</f>
        <v/>
      </c>
      <c r="AE313" s="58" t="inlineStr">
        <is>
          <t>Buy Elie Saab Girl of Now Lovely Eau de Parfum Gift Set online in the UK at Swansura. A woody women's eau de parfum. 100% authentic, free UK delivery over £50.</t>
        </is>
      </c>
      <c r="AF313" s="58">
        <f>LEN(AE313)</f>
        <v/>
      </c>
    </row>
    <row r="314" ht="15" customHeight="1" s="37">
      <c r="A314" s="58" t="inlineStr">
        <is>
          <t>FR-154</t>
        </is>
      </c>
      <c r="B314" s="58" t="inlineStr">
        <is>
          <t>Fragrance Catalogue</t>
        </is>
      </c>
      <c r="C314" s="58" t="n">
        <v>154</v>
      </c>
      <c r="D314" s="58" t="inlineStr">
        <is>
          <t>Elie Saab</t>
        </is>
      </c>
      <c r="E314" s="58" t="n"/>
      <c r="F314" s="58" t="inlineStr">
        <is>
          <t>Gift Set</t>
        </is>
      </c>
      <c r="G314" s="58" t="inlineStr">
        <is>
          <t>Eau de Parfum (EDP)</t>
        </is>
      </c>
      <c r="H314" s="58" t="inlineStr">
        <is>
          <t>Woody · Women's Fragrance</t>
        </is>
      </c>
      <c r="I314" s="58" t="inlineStr">
        <is>
          <t>Elie Saab Le Parfum Eau de Parfum Gift Set 90ml + Body Lotion 75ml + Shower Gel 75ml – Women's Fragrance Set</t>
        </is>
      </c>
      <c r="J314" s="58" t="inlineStr">
        <is>
          <t>90ml</t>
        </is>
      </c>
      <c r="K314" s="58" t="n">
        <v>52.99</v>
      </c>
      <c r="L314" s="58" t="inlineStr">
        <is>
          <t>elie saab le parfum gift set</t>
        </is>
      </c>
      <c r="M314" s="58" t="inlineStr">
        <is>
          <t>elie saab le parfum gift set uk</t>
        </is>
      </c>
      <c r="N314" s="58" t="inlineStr">
        <is>
          <t>buy elie saab le parfum gift set online</t>
        </is>
      </c>
      <c r="O314" s="58" t="inlineStr">
        <is>
          <t>elie saab le parfum gift set price</t>
        </is>
      </c>
      <c r="P314" s="58" t="n"/>
      <c r="Q314" s="59">
        <f>IF(L314="","",IFERROR(INDEX('Semrush Data'!$A$1:$Z$20000,MATCH(L314,'Semrush Data'!$A$1:$A$20000,0),MATCH("Volume",'Semrush Data'!$A$1:$Z$1,0)),""))</f>
        <v/>
      </c>
      <c r="R314" s="59">
        <f>IF(M314="","",IFERROR(INDEX('Semrush Data'!$A$1:$Z$20000,MATCH(M314,'Semrush Data'!$A$1:$A$20000,0),MATCH("Volume",'Semrush Data'!$A$1:$Z$1,0)),""))</f>
        <v/>
      </c>
      <c r="S314" s="59">
        <f>IF(N314="","",IFERROR(INDEX('Semrush Data'!$A$1:$Z$20000,MATCH(N314,'Semrush Data'!$A$1:$A$20000,0),MATCH("Volume",'Semrush Data'!$A$1:$Z$1,0)),""))</f>
        <v/>
      </c>
      <c r="T314" s="59">
        <f>IF(O314="","",IFERROR(INDEX('Semrush Data'!$A$1:$Z$20000,MATCH(O314,'Semrush Data'!$A$1:$A$20000,0),MATCH("Volume",'Semrush Data'!$A$1:$Z$1,0)),""))</f>
        <v/>
      </c>
      <c r="U314" s="59">
        <f>IF(P314="","",IFERROR(INDEX('Semrush Data'!$A$1:$Z$20000,MATCH(P314,'Semrush Data'!$A$1:$A$20000,0),MATCH("Volume",'Semrush Data'!$A$1:$Z$1,0)),""))</f>
        <v/>
      </c>
      <c r="V314" s="60">
        <f>IF(COUNT(Q314:U314)=0,L314,IF(MAX(Q314:U314)=0,L314,INDEX(L314:P314,MATCH(MAX(Q314:U314),Q314:U314,0))))</f>
        <v/>
      </c>
      <c r="W314" s="59">
        <f>IFERROR(INDEX('Semrush Data'!$A$1:$Z$20000,MATCH(V314,'Semrush Data'!$A$1:$A$20000,0),MATCH("Volume",'Semrush Data'!$A$1:$Z$1,0)),"")</f>
        <v/>
      </c>
      <c r="X314" s="59">
        <f>IFERROR(INDEX('Semrush Data'!$A$1:$Z$20000,MATCH(V314,'Semrush Data'!$A$1:$A$20000,0),MATCH("Keyword Difficulty*",'Semrush Data'!$A$1:$Z$1,0)),"")</f>
        <v/>
      </c>
      <c r="Y314" s="61">
        <f>IFERROR(INDEX('Semrush Data'!$A$1:$Z$20000,MATCH(V314,'Semrush Data'!$A$1:$A$20000,0),MATCH("CPC*",'Semrush Data'!$A$1:$Z$1,0)),"")</f>
        <v/>
      </c>
      <c r="Z314" s="58" t="inlineStr">
        <is>
          <t>elie saab perfume · elie saab perfume for women · woody perfume for women uk</t>
        </is>
      </c>
      <c r="AA314" s="58" t="inlineStr">
        <is>
          <t>elie saab le parfum gift set 90ml · elie saab le parfum gift set 50ml · elie saab eau de parfum gift set · elie saab le parfum eau de parfum gift set 50ml · elie saab le parfum set</t>
        </is>
      </c>
      <c r="AB314" s="58" t="inlineStr">
        <is>
          <t>Elie Saab Le Parfum Eau de Parfum Gift Set</t>
        </is>
      </c>
      <c r="AC314" s="58" t="inlineStr">
        <is>
          <t>Elie Saab Le Gift Set EDP 90ml | Buy Online UK | Swansura</t>
        </is>
      </c>
      <c r="AD314" s="58">
        <f>LEN(AC314)</f>
        <v/>
      </c>
      <c r="AE314" s="58" t="inlineStr">
        <is>
          <t>Buy Elie Saab Le Parfum Eau de Parfum Gift Set online in the UK at Swansura. A woody women's eau de parfum, 90ml. 100% authentic, free UK delivery over £50.</t>
        </is>
      </c>
      <c r="AF314" s="58">
        <f>LEN(AE314)</f>
        <v/>
      </c>
    </row>
    <row r="315" ht="15" customHeight="1" s="37">
      <c r="A315" s="58" t="inlineStr">
        <is>
          <t>FR-155</t>
        </is>
      </c>
      <c r="B315" s="58" t="inlineStr">
        <is>
          <t>Fragrance Catalogue</t>
        </is>
      </c>
      <c r="C315" s="58" t="n">
        <v>155</v>
      </c>
      <c r="D315" s="58" t="inlineStr">
        <is>
          <t>Elie Saab</t>
        </is>
      </c>
      <c r="E315" s="58" t="n"/>
      <c r="F315" s="58" t="inlineStr">
        <is>
          <t>Gift Set</t>
        </is>
      </c>
      <c r="G315" s="58" t="inlineStr">
        <is>
          <t>Eau de Parfum (EDP)</t>
        </is>
      </c>
      <c r="H315" s="58" t="inlineStr">
        <is>
          <t>Woody · Women's Fragrance</t>
        </is>
      </c>
      <c r="I315" s="58" t="inlineStr">
        <is>
          <t>Elie Saab Le Parfum Lumière Eau de Parfum Gift Set 90ml + 10ml + Body Lotion 75ml – Women's Fragrance Set</t>
        </is>
      </c>
      <c r="J315" s="58" t="inlineStr">
        <is>
          <t>90ml</t>
        </is>
      </c>
      <c r="K315" s="58" t="n">
        <v>48.99</v>
      </c>
      <c r="L315" s="58" t="inlineStr">
        <is>
          <t>elie saab le parfum lumiere gift set</t>
        </is>
      </c>
      <c r="M315" s="58" t="inlineStr">
        <is>
          <t>elie saab le parfum lumiere gift set uk</t>
        </is>
      </c>
      <c r="N315" s="58" t="inlineStr">
        <is>
          <t>buy elie saab le parfum lumiere gift set online</t>
        </is>
      </c>
      <c r="O315" s="58" t="inlineStr">
        <is>
          <t>elie saab le parfum lumiere gift set price</t>
        </is>
      </c>
      <c r="P315" s="58" t="n"/>
      <c r="Q315" s="59">
        <f>IF(L315="","",IFERROR(INDEX('Semrush Data'!$A$1:$Z$20000,MATCH(L315,'Semrush Data'!$A$1:$A$20000,0),MATCH("Volume",'Semrush Data'!$A$1:$Z$1,0)),""))</f>
        <v/>
      </c>
      <c r="R315" s="59">
        <f>IF(M315="","",IFERROR(INDEX('Semrush Data'!$A$1:$Z$20000,MATCH(M315,'Semrush Data'!$A$1:$A$20000,0),MATCH("Volume",'Semrush Data'!$A$1:$Z$1,0)),""))</f>
        <v/>
      </c>
      <c r="S315" s="59">
        <f>IF(N315="","",IFERROR(INDEX('Semrush Data'!$A$1:$Z$20000,MATCH(N315,'Semrush Data'!$A$1:$A$20000,0),MATCH("Volume",'Semrush Data'!$A$1:$Z$1,0)),""))</f>
        <v/>
      </c>
      <c r="T315" s="59">
        <f>IF(O315="","",IFERROR(INDEX('Semrush Data'!$A$1:$Z$20000,MATCH(O315,'Semrush Data'!$A$1:$A$20000,0),MATCH("Volume",'Semrush Data'!$A$1:$Z$1,0)),""))</f>
        <v/>
      </c>
      <c r="U315" s="59">
        <f>IF(P315="","",IFERROR(INDEX('Semrush Data'!$A$1:$Z$20000,MATCH(P315,'Semrush Data'!$A$1:$A$20000,0),MATCH("Volume",'Semrush Data'!$A$1:$Z$1,0)),""))</f>
        <v/>
      </c>
      <c r="V315" s="60">
        <f>IF(COUNT(Q315:U315)=0,L315,IF(MAX(Q315:U315)=0,L315,INDEX(L315:P315,MATCH(MAX(Q315:U315),Q315:U315,0))))</f>
        <v/>
      </c>
      <c r="W315" s="59">
        <f>IFERROR(INDEX('Semrush Data'!$A$1:$Z$20000,MATCH(V315,'Semrush Data'!$A$1:$A$20000,0),MATCH("Volume",'Semrush Data'!$A$1:$Z$1,0)),"")</f>
        <v/>
      </c>
      <c r="X315" s="59">
        <f>IFERROR(INDEX('Semrush Data'!$A$1:$Z$20000,MATCH(V315,'Semrush Data'!$A$1:$A$20000,0),MATCH("Keyword Difficulty*",'Semrush Data'!$A$1:$Z$1,0)),"")</f>
        <v/>
      </c>
      <c r="Y315" s="61">
        <f>IFERROR(INDEX('Semrush Data'!$A$1:$Z$20000,MATCH(V315,'Semrush Data'!$A$1:$A$20000,0),MATCH("CPC*",'Semrush Data'!$A$1:$Z$1,0)),"")</f>
        <v/>
      </c>
      <c r="Z315" s="58" t="inlineStr">
        <is>
          <t>elie saab perfume · elie saab perfume for women · woody perfume for women uk</t>
        </is>
      </c>
      <c r="AA315" s="58" t="inlineStr">
        <is>
          <t>elie saab le parfum lumiere set</t>
        </is>
      </c>
      <c r="AB315" s="58" t="inlineStr">
        <is>
          <t>Elie Saab Le Parfum Lumière Eau de Parfum Gift Set</t>
        </is>
      </c>
      <c r="AC315" s="58" t="inlineStr">
        <is>
          <t>Elie Saab Le Lumière Gift Set EDP 90ml | Swansura UK</t>
        </is>
      </c>
      <c r="AD315" s="58">
        <f>LEN(AC315)</f>
        <v/>
      </c>
      <c r="AE315" s="58" t="inlineStr">
        <is>
          <t>Buy Elie Saab Le Parfum Lumière Eau de Parfum Gift Set online in the UK at Swansura. A woody women's eau de parfum. 100% authentic, free UK delivery over £50.</t>
        </is>
      </c>
      <c r="AF315" s="58">
        <f>LEN(AE315)</f>
        <v/>
      </c>
    </row>
    <row r="316" ht="15" customHeight="1" s="37">
      <c r="A316" s="58" t="inlineStr">
        <is>
          <t>FR-156</t>
        </is>
      </c>
      <c r="B316" s="58" t="inlineStr">
        <is>
          <t>Fragrance Catalogue</t>
        </is>
      </c>
      <c r="C316" s="58" t="n">
        <v>156</v>
      </c>
      <c r="D316" s="58" t="inlineStr">
        <is>
          <t>Elizabeth Arden</t>
        </is>
      </c>
      <c r="E316" s="58" t="n"/>
      <c r="F316" s="58" t="inlineStr">
        <is>
          <t>Fragrance</t>
        </is>
      </c>
      <c r="G316" s="58" t="inlineStr">
        <is>
          <t>Eau de Parfum (EDP)</t>
        </is>
      </c>
      <c r="H316" s="58" t="inlineStr">
        <is>
          <t>Floral · Women's Fragrance</t>
        </is>
      </c>
      <c r="I316" s="58" t="inlineStr">
        <is>
          <t>Elizabeth Arden Beauty Eau de Parfum 100ml – Women's Floral Green Fragrance</t>
        </is>
      </c>
      <c r="J316" s="58" t="inlineStr">
        <is>
          <t>100ml</t>
        </is>
      </c>
      <c r="K316" s="58" t="n">
        <v>16.99</v>
      </c>
      <c r="L316" s="58" t="inlineStr">
        <is>
          <t>elizabeth arden beauty</t>
        </is>
      </c>
      <c r="M316" s="58" t="inlineStr">
        <is>
          <t>elizabeth arden beauty uk</t>
        </is>
      </c>
      <c r="N316" s="58" t="inlineStr">
        <is>
          <t>buy elizabeth arden beauty online</t>
        </is>
      </c>
      <c r="O316" s="58" t="inlineStr">
        <is>
          <t>elizabeth arden beauty price</t>
        </is>
      </c>
      <c r="P316" s="58" t="inlineStr">
        <is>
          <t>elizabeth arden beauty eau de parfum</t>
        </is>
      </c>
      <c r="Q316" s="59">
        <f>IF(L316="","",IFERROR(INDEX('Semrush Data'!$A$1:$Z$20000,MATCH(L316,'Semrush Data'!$A$1:$A$20000,0),MATCH("Volume",'Semrush Data'!$A$1:$Z$1,0)),""))</f>
        <v/>
      </c>
      <c r="R316" s="59">
        <f>IF(M316="","",IFERROR(INDEX('Semrush Data'!$A$1:$Z$20000,MATCH(M316,'Semrush Data'!$A$1:$A$20000,0),MATCH("Volume",'Semrush Data'!$A$1:$Z$1,0)),""))</f>
        <v/>
      </c>
      <c r="S316" s="59">
        <f>IF(N316="","",IFERROR(INDEX('Semrush Data'!$A$1:$Z$20000,MATCH(N316,'Semrush Data'!$A$1:$A$20000,0),MATCH("Volume",'Semrush Data'!$A$1:$Z$1,0)),""))</f>
        <v/>
      </c>
      <c r="T316" s="59">
        <f>IF(O316="","",IFERROR(INDEX('Semrush Data'!$A$1:$Z$20000,MATCH(O316,'Semrush Data'!$A$1:$A$20000,0),MATCH("Volume",'Semrush Data'!$A$1:$Z$1,0)),""))</f>
        <v/>
      </c>
      <c r="U316" s="59">
        <f>IF(P316="","",IFERROR(INDEX('Semrush Data'!$A$1:$Z$20000,MATCH(P316,'Semrush Data'!$A$1:$A$20000,0),MATCH("Volume",'Semrush Data'!$A$1:$Z$1,0)),""))</f>
        <v/>
      </c>
      <c r="V316" s="60">
        <f>IF(COUNT(Q316:U316)=0,L316,IF(MAX(Q316:U316)=0,L316,INDEX(L316:P316,MATCH(MAX(Q316:U316),Q316:U316,0))))</f>
        <v/>
      </c>
      <c r="W316" s="59">
        <f>IFERROR(INDEX('Semrush Data'!$A$1:$Z$20000,MATCH(V316,'Semrush Data'!$A$1:$A$20000,0),MATCH("Volume",'Semrush Data'!$A$1:$Z$1,0)),"")</f>
        <v/>
      </c>
      <c r="X316" s="59">
        <f>IFERROR(INDEX('Semrush Data'!$A$1:$Z$20000,MATCH(V316,'Semrush Data'!$A$1:$A$20000,0),MATCH("Keyword Difficulty*",'Semrush Data'!$A$1:$Z$1,0)),"")</f>
        <v/>
      </c>
      <c r="Y316" s="61">
        <f>IFERROR(INDEX('Semrush Data'!$A$1:$Z$20000,MATCH(V316,'Semrush Data'!$A$1:$A$20000,0),MATCH("CPC*",'Semrush Data'!$A$1:$Z$1,0)),"")</f>
        <v/>
      </c>
      <c r="Z316" s="58" t="inlineStr">
        <is>
          <t>elizabeth arden perfume · elizabeth arden perfume for women · floral perfume for women uk</t>
        </is>
      </c>
      <c r="AA316" s="58" t="inlineStr">
        <is>
          <t>elizabeth arden beauty perfume · elizabeth arden beauty perfume review · elizabeth arden beauty perfume 100ml · elizabeth arden beauty eau de parfum · elizabeth arden beauty eau de parfum 100ml · elizabeth arden beauty edp</t>
        </is>
      </c>
      <c r="AB316" s="58" t="inlineStr">
        <is>
          <t>Elizabeth Arden Beauty Eau de Parfum</t>
        </is>
      </c>
      <c r="AC316" s="58" t="inlineStr">
        <is>
          <t>Elizabeth Arden Beauty EDP 100ml | Buy Online UK | Swansura</t>
        </is>
      </c>
      <c r="AD316" s="58">
        <f>LEN(AC316)</f>
        <v/>
      </c>
      <c r="AE316" s="58" t="inlineStr">
        <is>
          <t>Buy Elizabeth Arden Beauty Eau de Parfum online in the UK at Swansura. A floral women's eau de parfum, 100ml. 100% authentic, fast UK delivery, free over £50.</t>
        </is>
      </c>
      <c r="AF316" s="58">
        <f>LEN(AE316)</f>
        <v/>
      </c>
    </row>
    <row r="317" ht="15" customHeight="1" s="37">
      <c r="A317" s="58" t="inlineStr">
        <is>
          <t>FR-157</t>
        </is>
      </c>
      <c r="B317" s="58" t="inlineStr">
        <is>
          <t>Fragrance Catalogue</t>
        </is>
      </c>
      <c r="C317" s="58" t="n">
        <v>157</v>
      </c>
      <c r="D317" s="58" t="inlineStr">
        <is>
          <t>Escada</t>
        </is>
      </c>
      <c r="E317" s="58" t="n"/>
      <c r="F317" s="58" t="inlineStr">
        <is>
          <t>Fragrance</t>
        </is>
      </c>
      <c r="G317" s="58" t="inlineStr">
        <is>
          <t>Eau de Parfum (EDP)</t>
        </is>
      </c>
      <c r="H317" s="58" t="inlineStr">
        <is>
          <t>Floral · Women's Fragrance</t>
        </is>
      </c>
      <c r="I317" s="58" t="inlineStr">
        <is>
          <t>Escada Magnetic Dream Eau de Parfum 75ml – Women's Fruity Floral Fragrance</t>
        </is>
      </c>
      <c r="J317" s="58" t="inlineStr">
        <is>
          <t>75ml</t>
        </is>
      </c>
      <c r="K317" s="58" t="n">
        <v>32.99</v>
      </c>
      <c r="L317" s="58" t="inlineStr">
        <is>
          <t>escada magnetic dream</t>
        </is>
      </c>
      <c r="M317" s="58" t="inlineStr">
        <is>
          <t>escada magnetic dream uk</t>
        </is>
      </c>
      <c r="N317" s="58" t="inlineStr">
        <is>
          <t>buy escada magnetic dream online</t>
        </is>
      </c>
      <c r="O317" s="58" t="inlineStr">
        <is>
          <t>escada magnetic dream price</t>
        </is>
      </c>
      <c r="P317" s="58" t="inlineStr">
        <is>
          <t>escada magnetic dream eau de parfum</t>
        </is>
      </c>
      <c r="Q317" s="59">
        <f>IF(L317="","",IFERROR(INDEX('Semrush Data'!$A$1:$Z$20000,MATCH(L317,'Semrush Data'!$A$1:$A$20000,0),MATCH("Volume",'Semrush Data'!$A$1:$Z$1,0)),""))</f>
        <v/>
      </c>
      <c r="R317" s="59">
        <f>IF(M317="","",IFERROR(INDEX('Semrush Data'!$A$1:$Z$20000,MATCH(M317,'Semrush Data'!$A$1:$A$20000,0),MATCH("Volume",'Semrush Data'!$A$1:$Z$1,0)),""))</f>
        <v/>
      </c>
      <c r="S317" s="59">
        <f>IF(N317="","",IFERROR(INDEX('Semrush Data'!$A$1:$Z$20000,MATCH(N317,'Semrush Data'!$A$1:$A$20000,0),MATCH("Volume",'Semrush Data'!$A$1:$Z$1,0)),""))</f>
        <v/>
      </c>
      <c r="T317" s="59">
        <f>IF(O317="","",IFERROR(INDEX('Semrush Data'!$A$1:$Z$20000,MATCH(O317,'Semrush Data'!$A$1:$A$20000,0),MATCH("Volume",'Semrush Data'!$A$1:$Z$1,0)),""))</f>
        <v/>
      </c>
      <c r="U317" s="59">
        <f>IF(P317="","",IFERROR(INDEX('Semrush Data'!$A$1:$Z$20000,MATCH(P317,'Semrush Data'!$A$1:$A$20000,0),MATCH("Volume",'Semrush Data'!$A$1:$Z$1,0)),""))</f>
        <v/>
      </c>
      <c r="V317" s="60">
        <f>IF(COUNT(Q317:U317)=0,L317,IF(MAX(Q317:U317)=0,L317,INDEX(L317:P317,MATCH(MAX(Q317:U317),Q317:U317,0))))</f>
        <v/>
      </c>
      <c r="W317" s="59">
        <f>IFERROR(INDEX('Semrush Data'!$A$1:$Z$20000,MATCH(V317,'Semrush Data'!$A$1:$A$20000,0),MATCH("Volume",'Semrush Data'!$A$1:$Z$1,0)),"")</f>
        <v/>
      </c>
      <c r="X317" s="59">
        <f>IFERROR(INDEX('Semrush Data'!$A$1:$Z$20000,MATCH(V317,'Semrush Data'!$A$1:$A$20000,0),MATCH("Keyword Difficulty*",'Semrush Data'!$A$1:$Z$1,0)),"")</f>
        <v/>
      </c>
      <c r="Y317" s="61">
        <f>IFERROR(INDEX('Semrush Data'!$A$1:$Z$20000,MATCH(V317,'Semrush Data'!$A$1:$A$20000,0),MATCH("CPC*",'Semrush Data'!$A$1:$Z$1,0)),"")</f>
        <v/>
      </c>
      <c r="Z317" s="58" t="inlineStr">
        <is>
          <t>escada perfume · escada perfume for women · floral perfume for women uk</t>
        </is>
      </c>
      <c r="AA317" s="58" t="inlineStr">
        <is>
          <t>escada magnetic dream eau de parfum · escada magnetic dream review · escada magnetic dream notes · escada magnetic dream edp 75ml</t>
        </is>
      </c>
      <c r="AB317" s="58" t="inlineStr">
        <is>
          <t>Escada Magnetic Dream Eau de Parfum</t>
        </is>
      </c>
      <c r="AC317" s="58" t="inlineStr">
        <is>
          <t>Escada Magnetic Dream EDP 75ml | Buy Online UK | Swansura</t>
        </is>
      </c>
      <c r="AD317" s="58">
        <f>LEN(AC317)</f>
        <v/>
      </c>
      <c r="AE317" s="58" t="inlineStr">
        <is>
          <t>Buy Escada Magnetic Dream Eau de Parfum online in the UK at Swansura. A floral women's eau de parfum, 75ml. 100% authentic, fast UK delivery, free over £50.</t>
        </is>
      </c>
      <c r="AF317" s="58">
        <f>LEN(AE317)</f>
        <v/>
      </c>
    </row>
    <row r="318" ht="15" customHeight="1" s="37">
      <c r="A318" s="58" t="inlineStr">
        <is>
          <t>FR-158</t>
        </is>
      </c>
      <c r="B318" s="58" t="inlineStr">
        <is>
          <t>Fragrance Catalogue</t>
        </is>
      </c>
      <c r="C318" s="58" t="n">
        <v>158</v>
      </c>
      <c r="D318" s="58" t="inlineStr">
        <is>
          <t>Escada</t>
        </is>
      </c>
      <c r="E318" s="58" t="n"/>
      <c r="F318" s="58" t="inlineStr">
        <is>
          <t>Fragrance</t>
        </is>
      </c>
      <c r="G318" s="58" t="inlineStr">
        <is>
          <t>Eau de Parfum (EDP)</t>
        </is>
      </c>
      <c r="H318" s="58" t="inlineStr">
        <is>
          <t>Floral · Women's Fragrance</t>
        </is>
      </c>
      <c r="I318" s="58" t="inlineStr">
        <is>
          <t>Escada Magnetism Eau de Parfum 25ml – Women's Fruity Floral Fragrance</t>
        </is>
      </c>
      <c r="J318" s="58" t="inlineStr">
        <is>
          <t>25ml</t>
        </is>
      </c>
      <c r="K318" s="58" t="n">
        <v>17.99</v>
      </c>
      <c r="L318" s="58" t="inlineStr">
        <is>
          <t>escada magnetism</t>
        </is>
      </c>
      <c r="M318" s="58" t="inlineStr">
        <is>
          <t>escada magnetism uk</t>
        </is>
      </c>
      <c r="N318" s="58" t="inlineStr">
        <is>
          <t>buy escada magnetism online</t>
        </is>
      </c>
      <c r="O318" s="58" t="inlineStr">
        <is>
          <t>escada magnetism price</t>
        </is>
      </c>
      <c r="P318" s="58" t="inlineStr">
        <is>
          <t>escada magnetism eau de parfum</t>
        </is>
      </c>
      <c r="Q318" s="59">
        <f>IF(L318="","",IFERROR(INDEX('Semrush Data'!$A$1:$Z$20000,MATCH(L318,'Semrush Data'!$A$1:$A$20000,0),MATCH("Volume",'Semrush Data'!$A$1:$Z$1,0)),""))</f>
        <v/>
      </c>
      <c r="R318" s="59">
        <f>IF(M318="","",IFERROR(INDEX('Semrush Data'!$A$1:$Z$20000,MATCH(M318,'Semrush Data'!$A$1:$A$20000,0),MATCH("Volume",'Semrush Data'!$A$1:$Z$1,0)),""))</f>
        <v/>
      </c>
      <c r="S318" s="59">
        <f>IF(N318="","",IFERROR(INDEX('Semrush Data'!$A$1:$Z$20000,MATCH(N318,'Semrush Data'!$A$1:$A$20000,0),MATCH("Volume",'Semrush Data'!$A$1:$Z$1,0)),""))</f>
        <v/>
      </c>
      <c r="T318" s="59">
        <f>IF(O318="","",IFERROR(INDEX('Semrush Data'!$A$1:$Z$20000,MATCH(O318,'Semrush Data'!$A$1:$A$20000,0),MATCH("Volume",'Semrush Data'!$A$1:$Z$1,0)),""))</f>
        <v/>
      </c>
      <c r="U318" s="59">
        <f>IF(P318="","",IFERROR(INDEX('Semrush Data'!$A$1:$Z$20000,MATCH(P318,'Semrush Data'!$A$1:$A$20000,0),MATCH("Volume",'Semrush Data'!$A$1:$Z$1,0)),""))</f>
        <v/>
      </c>
      <c r="V318" s="60">
        <f>IF(COUNT(Q318:U318)=0,L318,IF(MAX(Q318:U318)=0,L318,INDEX(L318:P318,MATCH(MAX(Q318:U318),Q318:U318,0))))</f>
        <v/>
      </c>
      <c r="W318" s="59">
        <f>IFERROR(INDEX('Semrush Data'!$A$1:$Z$20000,MATCH(V318,'Semrush Data'!$A$1:$A$20000,0),MATCH("Volume",'Semrush Data'!$A$1:$Z$1,0)),"")</f>
        <v/>
      </c>
      <c r="X318" s="59">
        <f>IFERROR(INDEX('Semrush Data'!$A$1:$Z$20000,MATCH(V318,'Semrush Data'!$A$1:$A$20000,0),MATCH("Keyword Difficulty*",'Semrush Data'!$A$1:$Z$1,0)),"")</f>
        <v/>
      </c>
      <c r="Y318" s="61">
        <f>IFERROR(INDEX('Semrush Data'!$A$1:$Z$20000,MATCH(V318,'Semrush Data'!$A$1:$A$20000,0),MATCH("CPC*",'Semrush Data'!$A$1:$Z$1,0)),"")</f>
        <v/>
      </c>
      <c r="Z318" s="58" t="inlineStr">
        <is>
          <t>escada perfume · escada perfume for women · floral perfume for women uk</t>
        </is>
      </c>
      <c r="AA318" s="58" t="inlineStr">
        <is>
          <t>escada magnetism perfume · escada magnetism men · escada magnetism notes · escada magnetism price · escada magnetism women · escada magnetism review</t>
        </is>
      </c>
      <c r="AB318" s="58" t="inlineStr">
        <is>
          <t>Escada Magnetism Eau de Parfum</t>
        </is>
      </c>
      <c r="AC318" s="58" t="inlineStr">
        <is>
          <t>Escada Magnetism Eau de Parfum | Buy Online UK | Swansura</t>
        </is>
      </c>
      <c r="AD318" s="58">
        <f>LEN(AC318)</f>
        <v/>
      </c>
      <c r="AE318" s="58" t="inlineStr">
        <is>
          <t>Buy Escada Magnetism Eau de Parfum online in the UK at Swansura. A floral women's eau de parfum, 25ml. 100% authentic, fast UK delivery, free over £50.</t>
        </is>
      </c>
      <c r="AF318" s="58">
        <f>LEN(AE318)</f>
        <v/>
      </c>
    </row>
    <row r="319" ht="15" customHeight="1" s="37">
      <c r="A319" s="58" t="inlineStr">
        <is>
          <t>FR-159</t>
        </is>
      </c>
      <c r="B319" s="58" t="inlineStr">
        <is>
          <t>Fragrance Catalogue</t>
        </is>
      </c>
      <c r="C319" s="58" t="n">
        <v>159</v>
      </c>
      <c r="D319" s="58" t="inlineStr">
        <is>
          <t>Escada</t>
        </is>
      </c>
      <c r="E319" s="58" t="n"/>
      <c r="F319" s="58" t="inlineStr">
        <is>
          <t>Fragrance</t>
        </is>
      </c>
      <c r="G319" s="58" t="inlineStr">
        <is>
          <t>Eau de Parfum (EDP)</t>
        </is>
      </c>
      <c r="H319" s="58" t="inlineStr">
        <is>
          <t>Fruity · Women's Fragrance</t>
        </is>
      </c>
      <c r="I319" s="58" t="inlineStr">
        <is>
          <t>Escada Party Love Eau de Parfum 100ml – Women's Fruity Gourmand Fragrance</t>
        </is>
      </c>
      <c r="J319" s="58" t="inlineStr">
        <is>
          <t>100ml</t>
        </is>
      </c>
      <c r="K319" s="58" t="n">
        <v>23.99</v>
      </c>
      <c r="L319" s="58" t="inlineStr">
        <is>
          <t>escada party love</t>
        </is>
      </c>
      <c r="M319" s="58" t="inlineStr">
        <is>
          <t>escada party love uk</t>
        </is>
      </c>
      <c r="N319" s="58" t="inlineStr">
        <is>
          <t>buy escada party love online</t>
        </is>
      </c>
      <c r="O319" s="58" t="inlineStr">
        <is>
          <t>escada party love price</t>
        </is>
      </c>
      <c r="P319" s="58" t="inlineStr">
        <is>
          <t>escada party love eau de parfum</t>
        </is>
      </c>
      <c r="Q319" s="59">
        <f>IF(L319="","",IFERROR(INDEX('Semrush Data'!$A$1:$Z$20000,MATCH(L319,'Semrush Data'!$A$1:$A$20000,0),MATCH("Volume",'Semrush Data'!$A$1:$Z$1,0)),""))</f>
        <v/>
      </c>
      <c r="R319" s="59">
        <f>IF(M319="","",IFERROR(INDEX('Semrush Data'!$A$1:$Z$20000,MATCH(M319,'Semrush Data'!$A$1:$A$20000,0),MATCH("Volume",'Semrush Data'!$A$1:$Z$1,0)),""))</f>
        <v/>
      </c>
      <c r="S319" s="59">
        <f>IF(N319="","",IFERROR(INDEX('Semrush Data'!$A$1:$Z$20000,MATCH(N319,'Semrush Data'!$A$1:$A$20000,0),MATCH("Volume",'Semrush Data'!$A$1:$Z$1,0)),""))</f>
        <v/>
      </c>
      <c r="T319" s="59">
        <f>IF(O319="","",IFERROR(INDEX('Semrush Data'!$A$1:$Z$20000,MATCH(O319,'Semrush Data'!$A$1:$A$20000,0),MATCH("Volume",'Semrush Data'!$A$1:$Z$1,0)),""))</f>
        <v/>
      </c>
      <c r="U319" s="59">
        <f>IF(P319="","",IFERROR(INDEX('Semrush Data'!$A$1:$Z$20000,MATCH(P319,'Semrush Data'!$A$1:$A$20000,0),MATCH("Volume",'Semrush Data'!$A$1:$Z$1,0)),""))</f>
        <v/>
      </c>
      <c r="V319" s="60">
        <f>IF(COUNT(Q319:U319)=0,L319,IF(MAX(Q319:U319)=0,L319,INDEX(L319:P319,MATCH(MAX(Q319:U319),Q319:U319,0))))</f>
        <v/>
      </c>
      <c r="W319" s="59">
        <f>IFERROR(INDEX('Semrush Data'!$A$1:$Z$20000,MATCH(V319,'Semrush Data'!$A$1:$A$20000,0),MATCH("Volume",'Semrush Data'!$A$1:$Z$1,0)),"")</f>
        <v/>
      </c>
      <c r="X319" s="59">
        <f>IFERROR(INDEX('Semrush Data'!$A$1:$Z$20000,MATCH(V319,'Semrush Data'!$A$1:$A$20000,0),MATCH("Keyword Difficulty*",'Semrush Data'!$A$1:$Z$1,0)),"")</f>
        <v/>
      </c>
      <c r="Y319" s="61">
        <f>IFERROR(INDEX('Semrush Data'!$A$1:$Z$20000,MATCH(V319,'Semrush Data'!$A$1:$A$20000,0),MATCH("CPC*",'Semrush Data'!$A$1:$Z$1,0)),"")</f>
        <v/>
      </c>
      <c r="Z319" s="58" t="inlineStr">
        <is>
          <t>escada perfume · escada perfume for women · fruity perfume for women uk</t>
        </is>
      </c>
      <c r="AA319" s="58" t="inlineStr">
        <is>
          <t>escada party love perfume · escada party love notes · escada party love 100ml · escada party love perfume notes · escada party love review · escada party love price</t>
        </is>
      </c>
      <c r="AB319" s="58" t="inlineStr">
        <is>
          <t>Escada Party Love Eau de Parfum</t>
        </is>
      </c>
      <c r="AC319" s="58" t="inlineStr">
        <is>
          <t>Escada Party Love Eau de Parfum | Buy Online UK | Swansura</t>
        </is>
      </c>
      <c r="AD319" s="58">
        <f>LEN(AC319)</f>
        <v/>
      </c>
      <c r="AE319" s="58" t="inlineStr">
        <is>
          <t>Buy Escada Party Love Eau de Parfum online in the UK at Swansura. A fruity women's eau de parfum, 100ml. 100% authentic, fast UK delivery, free over £50.</t>
        </is>
      </c>
      <c r="AF319" s="58">
        <f>LEN(AE319)</f>
        <v/>
      </c>
    </row>
    <row r="320" ht="15" customHeight="1" s="37">
      <c r="A320" s="58" t="inlineStr">
        <is>
          <t>FR-160</t>
        </is>
      </c>
      <c r="B320" s="58" t="inlineStr">
        <is>
          <t>Fragrance Catalogue</t>
        </is>
      </c>
      <c r="C320" s="58" t="n">
        <v>160</v>
      </c>
      <c r="D320" s="58" t="inlineStr">
        <is>
          <t>Estée Lauder</t>
        </is>
      </c>
      <c r="E320" s="58" t="n"/>
      <c r="F320" s="58" t="inlineStr">
        <is>
          <t>Fragrance</t>
        </is>
      </c>
      <c r="G320" s="58" t="inlineStr">
        <is>
          <t>Eau de Parfum (EDP)</t>
        </is>
      </c>
      <c r="H320" s="58" t="inlineStr">
        <is>
          <t>Floral · Women's Fragrance</t>
        </is>
      </c>
      <c r="I320" s="58" t="inlineStr">
        <is>
          <t>Estée Lauder SpellBound Eau de Parfum 50ml – Women's Warm Spicy Floral Fragrance</t>
        </is>
      </c>
      <c r="J320" s="58" t="inlineStr">
        <is>
          <t>50ml</t>
        </is>
      </c>
      <c r="K320" s="58" t="n">
        <v>49.99</v>
      </c>
      <c r="L320" s="58" t="inlineStr">
        <is>
          <t>estee lauder spellbound</t>
        </is>
      </c>
      <c r="M320" s="58" t="inlineStr">
        <is>
          <t>estee lauder spellbound uk</t>
        </is>
      </c>
      <c r="N320" s="58" t="inlineStr">
        <is>
          <t>buy estee lauder spellbound online</t>
        </is>
      </c>
      <c r="O320" s="58" t="inlineStr">
        <is>
          <t>estee lauder spellbound price</t>
        </is>
      </c>
      <c r="P320" s="58" t="inlineStr">
        <is>
          <t>estee lauder spellbound eau de parfum</t>
        </is>
      </c>
      <c r="Q320" s="59">
        <f>IF(L320="","",IFERROR(INDEX('Semrush Data'!$A$1:$Z$20000,MATCH(L320,'Semrush Data'!$A$1:$A$20000,0),MATCH("Volume",'Semrush Data'!$A$1:$Z$1,0)),""))</f>
        <v/>
      </c>
      <c r="R320" s="59">
        <f>IF(M320="","",IFERROR(INDEX('Semrush Data'!$A$1:$Z$20000,MATCH(M320,'Semrush Data'!$A$1:$A$20000,0),MATCH("Volume",'Semrush Data'!$A$1:$Z$1,0)),""))</f>
        <v/>
      </c>
      <c r="S320" s="59">
        <f>IF(N320="","",IFERROR(INDEX('Semrush Data'!$A$1:$Z$20000,MATCH(N320,'Semrush Data'!$A$1:$A$20000,0),MATCH("Volume",'Semrush Data'!$A$1:$Z$1,0)),""))</f>
        <v/>
      </c>
      <c r="T320" s="59">
        <f>IF(O320="","",IFERROR(INDEX('Semrush Data'!$A$1:$Z$20000,MATCH(O320,'Semrush Data'!$A$1:$A$20000,0),MATCH("Volume",'Semrush Data'!$A$1:$Z$1,0)),""))</f>
        <v/>
      </c>
      <c r="U320" s="59">
        <f>IF(P320="","",IFERROR(INDEX('Semrush Data'!$A$1:$Z$20000,MATCH(P320,'Semrush Data'!$A$1:$A$20000,0),MATCH("Volume",'Semrush Data'!$A$1:$Z$1,0)),""))</f>
        <v/>
      </c>
      <c r="V320" s="60">
        <f>IF(COUNT(Q320:U320)=0,L320,IF(MAX(Q320:U320)=0,L320,INDEX(L320:P320,MATCH(MAX(Q320:U320),Q320:U320,0))))</f>
        <v/>
      </c>
      <c r="W320" s="59">
        <f>IFERROR(INDEX('Semrush Data'!$A$1:$Z$20000,MATCH(V320,'Semrush Data'!$A$1:$A$20000,0),MATCH("Volume",'Semrush Data'!$A$1:$Z$1,0)),"")</f>
        <v/>
      </c>
      <c r="X320" s="59">
        <f>IFERROR(INDEX('Semrush Data'!$A$1:$Z$20000,MATCH(V320,'Semrush Data'!$A$1:$A$20000,0),MATCH("Keyword Difficulty*",'Semrush Data'!$A$1:$Z$1,0)),"")</f>
        <v/>
      </c>
      <c r="Y320" s="61">
        <f>IFERROR(INDEX('Semrush Data'!$A$1:$Z$20000,MATCH(V320,'Semrush Data'!$A$1:$A$20000,0),MATCH("CPC*",'Semrush Data'!$A$1:$Z$1,0)),"")</f>
        <v/>
      </c>
      <c r="Z320" s="58" t="inlineStr">
        <is>
          <t>estée lauder perfume · estée lauder perfume for women · floral perfume for women uk</t>
        </is>
      </c>
      <c r="AA320" s="58" t="inlineStr">
        <is>
          <t>estee lauder spellbound perfume · estee lauder spellbound review · estee lauder spellbound original · estee lauder spellbound dupe · estee lauder spellbound notes · estee lauder spellbound edp</t>
        </is>
      </c>
      <c r="AB320" s="58" t="inlineStr">
        <is>
          <t>Estée Lauder SpellBound Eau de Parfum</t>
        </is>
      </c>
      <c r="AC320" s="58" t="inlineStr">
        <is>
          <t>Estée Lauder SpellBound EDP 50ml | Buy Online UK | Swansura</t>
        </is>
      </c>
      <c r="AD320" s="58">
        <f>LEN(AC320)</f>
        <v/>
      </c>
      <c r="AE320" s="58" t="inlineStr">
        <is>
          <t>Buy Estée Lauder SpellBound Eau de Parfum online in the UK at Swansura. A floral women's eau de parfum, 50ml. 100% authentic, fast UK delivery, free over £50.</t>
        </is>
      </c>
      <c r="AF320" s="58">
        <f>LEN(AE320)</f>
        <v/>
      </c>
    </row>
    <row r="321" ht="15" customHeight="1" s="37">
      <c r="A321" s="58" t="inlineStr">
        <is>
          <t>FR-161</t>
        </is>
      </c>
      <c r="B321" s="58" t="inlineStr">
        <is>
          <t>Fragrance Catalogue</t>
        </is>
      </c>
      <c r="C321" s="58" t="n">
        <v>161</v>
      </c>
      <c r="D321" s="58" t="inlineStr">
        <is>
          <t>Etienne Aigner</t>
        </is>
      </c>
      <c r="E321" s="58" t="n"/>
      <c r="F321" s="58" t="inlineStr">
        <is>
          <t>Fragrance</t>
        </is>
      </c>
      <c r="G321" s="58" t="inlineStr">
        <is>
          <t>Eau de Toilette (EDT)</t>
        </is>
      </c>
      <c r="H321" s="58" t="inlineStr">
        <is>
          <t>Woody · Men's Fragrance</t>
        </is>
      </c>
      <c r="I321" s="58" t="inlineStr">
        <is>
          <t>Etienne Aigner First Class Explorer Eau de Toilette 100ml – Men's Woody Aromatic Fragrance</t>
        </is>
      </c>
      <c r="J321" s="58" t="inlineStr">
        <is>
          <t>100ml</t>
        </is>
      </c>
      <c r="K321" s="58" t="n">
        <v>32.99</v>
      </c>
      <c r="L321" s="58" t="inlineStr">
        <is>
          <t>etienne aigner first class explorer</t>
        </is>
      </c>
      <c r="M321" s="58" t="inlineStr">
        <is>
          <t>etienne aigner first class explorer uk</t>
        </is>
      </c>
      <c r="N321" s="58" t="inlineStr">
        <is>
          <t>buy etienne aigner first class explorer online</t>
        </is>
      </c>
      <c r="O321" s="58" t="inlineStr">
        <is>
          <t>etienne aigner first class explorer price</t>
        </is>
      </c>
      <c r="P321" s="58" t="inlineStr">
        <is>
          <t>etienne aigner first class explorer eau de toilette</t>
        </is>
      </c>
      <c r="Q321" s="59">
        <f>IF(L321="","",IFERROR(INDEX('Semrush Data'!$A$1:$Z$20000,MATCH(L321,'Semrush Data'!$A$1:$A$20000,0),MATCH("Volume",'Semrush Data'!$A$1:$Z$1,0)),""))</f>
        <v/>
      </c>
      <c r="R321" s="59">
        <f>IF(M321="","",IFERROR(INDEX('Semrush Data'!$A$1:$Z$20000,MATCH(M321,'Semrush Data'!$A$1:$A$20000,0),MATCH("Volume",'Semrush Data'!$A$1:$Z$1,0)),""))</f>
        <v/>
      </c>
      <c r="S321" s="59">
        <f>IF(N321="","",IFERROR(INDEX('Semrush Data'!$A$1:$Z$20000,MATCH(N321,'Semrush Data'!$A$1:$A$20000,0),MATCH("Volume",'Semrush Data'!$A$1:$Z$1,0)),""))</f>
        <v/>
      </c>
      <c r="T321" s="59">
        <f>IF(O321="","",IFERROR(INDEX('Semrush Data'!$A$1:$Z$20000,MATCH(O321,'Semrush Data'!$A$1:$A$20000,0),MATCH("Volume",'Semrush Data'!$A$1:$Z$1,0)),""))</f>
        <v/>
      </c>
      <c r="U321" s="59">
        <f>IF(P321="","",IFERROR(INDEX('Semrush Data'!$A$1:$Z$20000,MATCH(P321,'Semrush Data'!$A$1:$A$20000,0),MATCH("Volume",'Semrush Data'!$A$1:$Z$1,0)),""))</f>
        <v/>
      </c>
      <c r="V321" s="60">
        <f>IF(COUNT(Q321:U321)=0,L321,IF(MAX(Q321:U321)=0,L321,INDEX(L321:P321,MATCH(MAX(Q321:U321),Q321:U321,0))))</f>
        <v/>
      </c>
      <c r="W321" s="59">
        <f>IFERROR(INDEX('Semrush Data'!$A$1:$Z$20000,MATCH(V321,'Semrush Data'!$A$1:$A$20000,0),MATCH("Volume",'Semrush Data'!$A$1:$Z$1,0)),"")</f>
        <v/>
      </c>
      <c r="X321" s="59">
        <f>IFERROR(INDEX('Semrush Data'!$A$1:$Z$20000,MATCH(V321,'Semrush Data'!$A$1:$A$20000,0),MATCH("Keyword Difficulty*",'Semrush Data'!$A$1:$Z$1,0)),"")</f>
        <v/>
      </c>
      <c r="Y321" s="61">
        <f>IFERROR(INDEX('Semrush Data'!$A$1:$Z$20000,MATCH(V321,'Semrush Data'!$A$1:$A$20000,0),MATCH("CPC*",'Semrush Data'!$A$1:$Z$1,0)),"")</f>
        <v/>
      </c>
      <c r="Z321" s="58" t="inlineStr">
        <is>
          <t>etienne aigner perfume · etienne aigner perfume for men · woody perfume for men uk</t>
        </is>
      </c>
      <c r="AA321" s="58" t="inlineStr">
        <is>
          <t>first class explorer etienne aigner for men</t>
        </is>
      </c>
      <c r="AB321" s="58" t="inlineStr">
        <is>
          <t>Etienne Aigner First Class Explorer Eau de Toilette</t>
        </is>
      </c>
      <c r="AC321" s="58" t="inlineStr">
        <is>
          <t>Etienne Aigner First Class Explorer EDT 100ml | Swansura UK</t>
        </is>
      </c>
      <c r="AD321" s="58">
        <f>LEN(AC321)</f>
        <v/>
      </c>
      <c r="AE321" s="58" t="inlineStr">
        <is>
          <t>Buy Etienne Aigner First Class Explorer Eau de Toilette online in the UK at Swansura. A woody men's eau de toilette. 100% authentic, free UK delivery over £50.</t>
        </is>
      </c>
      <c r="AF321" s="58">
        <f>LEN(AE321)</f>
        <v/>
      </c>
    </row>
    <row r="322" ht="15" customHeight="1" s="37">
      <c r="A322" s="58" t="inlineStr">
        <is>
          <t>FR-162</t>
        </is>
      </c>
      <c r="B322" s="58" t="inlineStr">
        <is>
          <t>Fragrance Catalogue</t>
        </is>
      </c>
      <c r="C322" s="58" t="n">
        <v>162</v>
      </c>
      <c r="D322" s="58" t="inlineStr">
        <is>
          <t>Etienne Aigner</t>
        </is>
      </c>
      <c r="E322" s="58" t="n"/>
      <c r="F322" s="58" t="inlineStr">
        <is>
          <t>Fragrance</t>
        </is>
      </c>
      <c r="G322" s="58" t="inlineStr">
        <is>
          <t>Eau de Toilette (EDT)</t>
        </is>
      </c>
      <c r="H322" s="58" t="inlineStr">
        <is>
          <t>Woody · Men's Fragrance</t>
        </is>
      </c>
      <c r="I322" s="58" t="inlineStr">
        <is>
          <t>Etienne Aigner No. 1 Intense Eau de Toilette 100ml – Men's Woody Spicy Fragrance</t>
        </is>
      </c>
      <c r="J322" s="58" t="inlineStr">
        <is>
          <t>100ml</t>
        </is>
      </c>
      <c r="K322" s="58" t="n">
        <v>27.99</v>
      </c>
      <c r="L322" s="58" t="inlineStr">
        <is>
          <t>etienne aigner no. 1 intense</t>
        </is>
      </c>
      <c r="M322" s="58" t="inlineStr">
        <is>
          <t>etienne aigner no. 1 intense uk</t>
        </is>
      </c>
      <c r="N322" s="58" t="inlineStr">
        <is>
          <t>buy etienne aigner no. 1 intense online</t>
        </is>
      </c>
      <c r="O322" s="58" t="inlineStr">
        <is>
          <t>etienne aigner no. 1 intense price</t>
        </is>
      </c>
      <c r="P322" s="58" t="inlineStr">
        <is>
          <t>etienne aigner no. 1 intense eau de toilette</t>
        </is>
      </c>
      <c r="Q322" s="59">
        <f>IF(L322="","",IFERROR(INDEX('Semrush Data'!$A$1:$Z$20000,MATCH(L322,'Semrush Data'!$A$1:$A$20000,0),MATCH("Volume",'Semrush Data'!$A$1:$Z$1,0)),""))</f>
        <v/>
      </c>
      <c r="R322" s="59">
        <f>IF(M322="","",IFERROR(INDEX('Semrush Data'!$A$1:$Z$20000,MATCH(M322,'Semrush Data'!$A$1:$A$20000,0),MATCH("Volume",'Semrush Data'!$A$1:$Z$1,0)),""))</f>
        <v/>
      </c>
      <c r="S322" s="59">
        <f>IF(N322="","",IFERROR(INDEX('Semrush Data'!$A$1:$Z$20000,MATCH(N322,'Semrush Data'!$A$1:$A$20000,0),MATCH("Volume",'Semrush Data'!$A$1:$Z$1,0)),""))</f>
        <v/>
      </c>
      <c r="T322" s="59">
        <f>IF(O322="","",IFERROR(INDEX('Semrush Data'!$A$1:$Z$20000,MATCH(O322,'Semrush Data'!$A$1:$A$20000,0),MATCH("Volume",'Semrush Data'!$A$1:$Z$1,0)),""))</f>
        <v/>
      </c>
      <c r="U322" s="59">
        <f>IF(P322="","",IFERROR(INDEX('Semrush Data'!$A$1:$Z$20000,MATCH(P322,'Semrush Data'!$A$1:$A$20000,0),MATCH("Volume",'Semrush Data'!$A$1:$Z$1,0)),""))</f>
        <v/>
      </c>
      <c r="V322" s="60">
        <f>IF(COUNT(Q322:U322)=0,L322,IF(MAX(Q322:U322)=0,L322,INDEX(L322:P322,MATCH(MAX(Q322:U322),Q322:U322,0))))</f>
        <v/>
      </c>
      <c r="W322" s="59">
        <f>IFERROR(INDEX('Semrush Data'!$A$1:$Z$20000,MATCH(V322,'Semrush Data'!$A$1:$A$20000,0),MATCH("Volume",'Semrush Data'!$A$1:$Z$1,0)),"")</f>
        <v/>
      </c>
      <c r="X322" s="59">
        <f>IFERROR(INDEX('Semrush Data'!$A$1:$Z$20000,MATCH(V322,'Semrush Data'!$A$1:$A$20000,0),MATCH("Keyword Difficulty*",'Semrush Data'!$A$1:$Z$1,0)),"")</f>
        <v/>
      </c>
      <c r="Y322" s="61">
        <f>IFERROR(INDEX('Semrush Data'!$A$1:$Z$20000,MATCH(V322,'Semrush Data'!$A$1:$A$20000,0),MATCH("CPC*",'Semrush Data'!$A$1:$Z$1,0)),"")</f>
        <v/>
      </c>
      <c r="Z322" s="58" t="inlineStr">
        <is>
          <t>etienne aigner perfume · etienne aigner perfume for men · woody perfume for men uk</t>
        </is>
      </c>
      <c r="AA322" s="58" t="inlineStr">
        <is>
          <t>etienne aigner no 1 intense</t>
        </is>
      </c>
      <c r="AB322" s="58" t="inlineStr">
        <is>
          <t>Etienne Aigner No. 1 Intense Eau de Toilette</t>
        </is>
      </c>
      <c r="AC322" s="58" t="inlineStr">
        <is>
          <t>Etienne Aigner No. 1 Intense Eau de Toilette | Swansura UK</t>
        </is>
      </c>
      <c r="AD322" s="58">
        <f>LEN(AC322)</f>
        <v/>
      </c>
      <c r="AE322" s="58" t="inlineStr">
        <is>
          <t>Buy Etienne Aigner No. 1 Intense Eau de Toilette online in the UK at Swansura. A woody men's eau de toilette, 100ml. 100% authentic, free UK delivery over £50.</t>
        </is>
      </c>
      <c r="AF322" s="58">
        <f>LEN(AE322)</f>
        <v/>
      </c>
    </row>
    <row r="323" ht="15" customHeight="1" s="37">
      <c r="A323" s="58" t="inlineStr">
        <is>
          <t>FR-163</t>
        </is>
      </c>
      <c r="B323" s="58" t="inlineStr">
        <is>
          <t>Fragrance Catalogue</t>
        </is>
      </c>
      <c r="C323" s="58" t="n">
        <v>163</v>
      </c>
      <c r="D323" s="58" t="inlineStr">
        <is>
          <t>Fumeri</t>
        </is>
      </c>
      <c r="E323" s="58" t="n"/>
      <c r="F323" s="58" t="inlineStr">
        <is>
          <t>Fragrance</t>
        </is>
      </c>
      <c r="G323" s="58" t="inlineStr">
        <is>
          <t>Eau de Parfum (EDP)</t>
        </is>
      </c>
      <c r="H323" s="58" t="inlineStr">
        <is>
          <t>Amber · Unisex Fragrance</t>
        </is>
      </c>
      <c r="I323" s="58" t="inlineStr">
        <is>
          <t>Fumeri 540 Unisex Eau De Parfum 100ML</t>
        </is>
      </c>
      <c r="J323" s="58" t="inlineStr">
        <is>
          <t>100ml</t>
        </is>
      </c>
      <c r="K323" s="58" t="n">
        <v>23</v>
      </c>
      <c r="L323" s="58" t="inlineStr">
        <is>
          <t>fumeri 540</t>
        </is>
      </c>
      <c r="M323" s="58" t="inlineStr">
        <is>
          <t>fumeri 540 uk</t>
        </is>
      </c>
      <c r="N323" s="58" t="inlineStr">
        <is>
          <t>buy fumeri 540 online</t>
        </is>
      </c>
      <c r="O323" s="58" t="inlineStr">
        <is>
          <t>fumeri 540 price</t>
        </is>
      </c>
      <c r="P323" s="58" t="inlineStr">
        <is>
          <t>fumeri 540 eau de parfum</t>
        </is>
      </c>
      <c r="Q323" s="59">
        <f>IF(L323="","",IFERROR(INDEX('Semrush Data'!$A$1:$Z$20000,MATCH(L323,'Semrush Data'!$A$1:$A$20000,0),MATCH("Volume",'Semrush Data'!$A$1:$Z$1,0)),""))</f>
        <v/>
      </c>
      <c r="R323" s="59">
        <f>IF(M323="","",IFERROR(INDEX('Semrush Data'!$A$1:$Z$20000,MATCH(M323,'Semrush Data'!$A$1:$A$20000,0),MATCH("Volume",'Semrush Data'!$A$1:$Z$1,0)),""))</f>
        <v/>
      </c>
      <c r="S323" s="59">
        <f>IF(N323="","",IFERROR(INDEX('Semrush Data'!$A$1:$Z$20000,MATCH(N323,'Semrush Data'!$A$1:$A$20000,0),MATCH("Volume",'Semrush Data'!$A$1:$Z$1,0)),""))</f>
        <v/>
      </c>
      <c r="T323" s="59">
        <f>IF(O323="","",IFERROR(INDEX('Semrush Data'!$A$1:$Z$20000,MATCH(O323,'Semrush Data'!$A$1:$A$20000,0),MATCH("Volume",'Semrush Data'!$A$1:$Z$1,0)),""))</f>
        <v/>
      </c>
      <c r="U323" s="59">
        <f>IF(P323="","",IFERROR(INDEX('Semrush Data'!$A$1:$Z$20000,MATCH(P323,'Semrush Data'!$A$1:$A$20000,0),MATCH("Volume",'Semrush Data'!$A$1:$Z$1,0)),""))</f>
        <v/>
      </c>
      <c r="V323" s="60">
        <f>IF(COUNT(Q323:U323)=0,L323,IF(MAX(Q323:U323)=0,L323,INDEX(L323:P323,MATCH(MAX(Q323:U323),Q323:U323,0))))</f>
        <v/>
      </c>
      <c r="W323" s="59">
        <f>IFERROR(INDEX('Semrush Data'!$A$1:$Z$20000,MATCH(V323,'Semrush Data'!$A$1:$A$20000,0),MATCH("Volume",'Semrush Data'!$A$1:$Z$1,0)),"")</f>
        <v/>
      </c>
      <c r="X323" s="59">
        <f>IFERROR(INDEX('Semrush Data'!$A$1:$Z$20000,MATCH(V323,'Semrush Data'!$A$1:$A$20000,0),MATCH("Keyword Difficulty*",'Semrush Data'!$A$1:$Z$1,0)),"")</f>
        <v/>
      </c>
      <c r="Y323" s="61">
        <f>IFERROR(INDEX('Semrush Data'!$A$1:$Z$20000,MATCH(V323,'Semrush Data'!$A$1:$A$20000,0),MATCH("CPC*",'Semrush Data'!$A$1:$Z$1,0)),"")</f>
        <v/>
      </c>
      <c r="Z323" s="58" t="inlineStr">
        <is>
          <t>fumeri perfume · amber perfume uk</t>
        </is>
      </c>
      <c r="AA323" s="58" t="inlineStr">
        <is>
          <t>fumeri 540 perfume</t>
        </is>
      </c>
      <c r="AB323" s="58" t="inlineStr">
        <is>
          <t>Fumeri 540 Unisex Eau De Parfum</t>
        </is>
      </c>
      <c r="AC323" s="58" t="inlineStr">
        <is>
          <t>Fumeri 540 Unisex Eau De Parfum | Buy Online UK | Swansura</t>
        </is>
      </c>
      <c r="AD323" s="58">
        <f>LEN(AC323)</f>
        <v/>
      </c>
      <c r="AE323" s="58" t="inlineStr">
        <is>
          <t>Buy Fumeri 540 Unisex Eau De Parfum online in the UK at Swansura. An amber unisex eau de parfum, 100ml. 100% authentic, fast UK delivery, free over £50.</t>
        </is>
      </c>
      <c r="AF323" s="58">
        <f>LEN(AE323)</f>
        <v/>
      </c>
    </row>
    <row r="324" ht="15" customHeight="1" s="37">
      <c r="A324" s="58" t="inlineStr">
        <is>
          <t>FR-164</t>
        </is>
      </c>
      <c r="B324" s="58" t="inlineStr">
        <is>
          <t>Fragrance Catalogue</t>
        </is>
      </c>
      <c r="C324" s="58" t="n">
        <v>164</v>
      </c>
      <c r="D324" s="58" t="inlineStr">
        <is>
          <t>Fumeri</t>
        </is>
      </c>
      <c r="E324" s="58" t="n"/>
      <c r="F324" s="58" t="inlineStr">
        <is>
          <t>Fragrance</t>
        </is>
      </c>
      <c r="G324" s="58" t="inlineStr">
        <is>
          <t>Eau de Parfum (EDP)</t>
        </is>
      </c>
      <c r="H324" s="58" t="inlineStr">
        <is>
          <t>Amber · Unisex Fragrance</t>
        </is>
      </c>
      <c r="I324" s="58" t="inlineStr">
        <is>
          <t>Fumeri Adore Unisex EDP 100ML</t>
        </is>
      </c>
      <c r="J324" s="58" t="inlineStr">
        <is>
          <t>100ml</t>
        </is>
      </c>
      <c r="K324" s="58" t="n">
        <v>37.95</v>
      </c>
      <c r="L324" s="58" t="inlineStr">
        <is>
          <t>fumeri adore</t>
        </is>
      </c>
      <c r="M324" s="58" t="inlineStr">
        <is>
          <t>fumeri adore uk</t>
        </is>
      </c>
      <c r="N324" s="58" t="inlineStr">
        <is>
          <t>buy fumeri adore online</t>
        </is>
      </c>
      <c r="O324" s="58" t="inlineStr">
        <is>
          <t>fumeri adore price</t>
        </is>
      </c>
      <c r="P324" s="58" t="inlineStr">
        <is>
          <t>fumeri adore edp</t>
        </is>
      </c>
      <c r="Q324" s="59">
        <f>IF(L324="","",IFERROR(INDEX('Semrush Data'!$A$1:$Z$20000,MATCH(L324,'Semrush Data'!$A$1:$A$20000,0),MATCH("Volume",'Semrush Data'!$A$1:$Z$1,0)),""))</f>
        <v/>
      </c>
      <c r="R324" s="59">
        <f>IF(M324="","",IFERROR(INDEX('Semrush Data'!$A$1:$Z$20000,MATCH(M324,'Semrush Data'!$A$1:$A$20000,0),MATCH("Volume",'Semrush Data'!$A$1:$Z$1,0)),""))</f>
        <v/>
      </c>
      <c r="S324" s="59">
        <f>IF(N324="","",IFERROR(INDEX('Semrush Data'!$A$1:$Z$20000,MATCH(N324,'Semrush Data'!$A$1:$A$20000,0),MATCH("Volume",'Semrush Data'!$A$1:$Z$1,0)),""))</f>
        <v/>
      </c>
      <c r="T324" s="59">
        <f>IF(O324="","",IFERROR(INDEX('Semrush Data'!$A$1:$Z$20000,MATCH(O324,'Semrush Data'!$A$1:$A$20000,0),MATCH("Volume",'Semrush Data'!$A$1:$Z$1,0)),""))</f>
        <v/>
      </c>
      <c r="U324" s="59">
        <f>IF(P324="","",IFERROR(INDEX('Semrush Data'!$A$1:$Z$20000,MATCH(P324,'Semrush Data'!$A$1:$A$20000,0),MATCH("Volume",'Semrush Data'!$A$1:$Z$1,0)),""))</f>
        <v/>
      </c>
      <c r="V324" s="60">
        <f>IF(COUNT(Q324:U324)=0,L324,IF(MAX(Q324:U324)=0,L324,INDEX(L324:P324,MATCH(MAX(Q324:U324),Q324:U324,0))))</f>
        <v/>
      </c>
      <c r="W324" s="59">
        <f>IFERROR(INDEX('Semrush Data'!$A$1:$Z$20000,MATCH(V324,'Semrush Data'!$A$1:$A$20000,0),MATCH("Volume",'Semrush Data'!$A$1:$Z$1,0)),"")</f>
        <v/>
      </c>
      <c r="X324" s="59">
        <f>IFERROR(INDEX('Semrush Data'!$A$1:$Z$20000,MATCH(V324,'Semrush Data'!$A$1:$A$20000,0),MATCH("Keyword Difficulty*",'Semrush Data'!$A$1:$Z$1,0)),"")</f>
        <v/>
      </c>
      <c r="Y324" s="61">
        <f>IFERROR(INDEX('Semrush Data'!$A$1:$Z$20000,MATCH(V324,'Semrush Data'!$A$1:$A$20000,0),MATCH("CPC*",'Semrush Data'!$A$1:$Z$1,0)),"")</f>
        <v/>
      </c>
      <c r="Z324" s="58" t="inlineStr">
        <is>
          <t>fumeri perfume · amber perfume uk</t>
        </is>
      </c>
      <c r="AA324" s="58" t="inlineStr">
        <is>
          <t>fumeri adore perfume</t>
        </is>
      </c>
      <c r="AB324" s="58" t="inlineStr">
        <is>
          <t>Fumeri Adore Unisex EDP</t>
        </is>
      </c>
      <c r="AC324" s="58" t="inlineStr">
        <is>
          <t>Fumeri Adore Unisex EDP | Buy Online UK | Swansura</t>
        </is>
      </c>
      <c r="AD324" s="58">
        <f>LEN(AC324)</f>
        <v/>
      </c>
      <c r="AE324" s="58" t="inlineStr">
        <is>
          <t>Buy Fumeri Adore Unisex EDP online in the UK at Swansura. An amber unisex eau de parfum, 100ml. 100% authentic, fast UK delivery, free over £50.</t>
        </is>
      </c>
      <c r="AF324" s="58">
        <f>LEN(AE324)</f>
        <v/>
      </c>
    </row>
    <row r="325" ht="15" customHeight="1" s="37">
      <c r="A325" s="58" t="inlineStr">
        <is>
          <t>FR-165</t>
        </is>
      </c>
      <c r="B325" s="58" t="inlineStr">
        <is>
          <t>Fragrance Catalogue</t>
        </is>
      </c>
      <c r="C325" s="58" t="n">
        <v>165</v>
      </c>
      <c r="D325" s="58" t="inlineStr">
        <is>
          <t>Fumeri</t>
        </is>
      </c>
      <c r="E325" s="58" t="n"/>
      <c r="F325" s="58" t="inlineStr">
        <is>
          <t>Fragrance</t>
        </is>
      </c>
      <c r="G325" s="58" t="inlineStr">
        <is>
          <t>Eau de Parfum (EDP)</t>
        </is>
      </c>
      <c r="H325" s="58" t="inlineStr">
        <is>
          <t>Amber · Unisex Fragrance</t>
        </is>
      </c>
      <c r="I325" s="58" t="inlineStr">
        <is>
          <t>Fumeri Ambre Night Unisex EDP 100ML</t>
        </is>
      </c>
      <c r="J325" s="58" t="inlineStr">
        <is>
          <t>100ml</t>
        </is>
      </c>
      <c r="K325" s="58" t="n">
        <v>23.95</v>
      </c>
      <c r="L325" s="58" t="inlineStr">
        <is>
          <t>fumeri ambre night</t>
        </is>
      </c>
      <c r="M325" s="58" t="inlineStr">
        <is>
          <t>fumeri ambre night uk</t>
        </is>
      </c>
      <c r="N325" s="58" t="inlineStr">
        <is>
          <t>buy fumeri ambre night online</t>
        </is>
      </c>
      <c r="O325" s="58" t="inlineStr">
        <is>
          <t>fumeri ambre night price</t>
        </is>
      </c>
      <c r="P325" s="58" t="inlineStr">
        <is>
          <t>fumeri ambre night edp</t>
        </is>
      </c>
      <c r="Q325" s="59">
        <f>IF(L325="","",IFERROR(INDEX('Semrush Data'!$A$1:$Z$20000,MATCH(L325,'Semrush Data'!$A$1:$A$20000,0),MATCH("Volume",'Semrush Data'!$A$1:$Z$1,0)),""))</f>
        <v/>
      </c>
      <c r="R325" s="59">
        <f>IF(M325="","",IFERROR(INDEX('Semrush Data'!$A$1:$Z$20000,MATCH(M325,'Semrush Data'!$A$1:$A$20000,0),MATCH("Volume",'Semrush Data'!$A$1:$Z$1,0)),""))</f>
        <v/>
      </c>
      <c r="S325" s="59">
        <f>IF(N325="","",IFERROR(INDEX('Semrush Data'!$A$1:$Z$20000,MATCH(N325,'Semrush Data'!$A$1:$A$20000,0),MATCH("Volume",'Semrush Data'!$A$1:$Z$1,0)),""))</f>
        <v/>
      </c>
      <c r="T325" s="59">
        <f>IF(O325="","",IFERROR(INDEX('Semrush Data'!$A$1:$Z$20000,MATCH(O325,'Semrush Data'!$A$1:$A$20000,0),MATCH("Volume",'Semrush Data'!$A$1:$Z$1,0)),""))</f>
        <v/>
      </c>
      <c r="U325" s="59">
        <f>IF(P325="","",IFERROR(INDEX('Semrush Data'!$A$1:$Z$20000,MATCH(P325,'Semrush Data'!$A$1:$A$20000,0),MATCH("Volume",'Semrush Data'!$A$1:$Z$1,0)),""))</f>
        <v/>
      </c>
      <c r="V325" s="60">
        <f>IF(COUNT(Q325:U325)=0,L325,IF(MAX(Q325:U325)=0,L325,INDEX(L325:P325,MATCH(MAX(Q325:U325),Q325:U325,0))))</f>
        <v/>
      </c>
      <c r="W325" s="59">
        <f>IFERROR(INDEX('Semrush Data'!$A$1:$Z$20000,MATCH(V325,'Semrush Data'!$A$1:$A$20000,0),MATCH("Volume",'Semrush Data'!$A$1:$Z$1,0)),"")</f>
        <v/>
      </c>
      <c r="X325" s="59">
        <f>IFERROR(INDEX('Semrush Data'!$A$1:$Z$20000,MATCH(V325,'Semrush Data'!$A$1:$A$20000,0),MATCH("Keyword Difficulty*",'Semrush Data'!$A$1:$Z$1,0)),"")</f>
        <v/>
      </c>
      <c r="Y325" s="61">
        <f>IFERROR(INDEX('Semrush Data'!$A$1:$Z$20000,MATCH(V325,'Semrush Data'!$A$1:$A$20000,0),MATCH("CPC*",'Semrush Data'!$A$1:$Z$1,0)),"")</f>
        <v/>
      </c>
      <c r="Z325" s="58" t="inlineStr">
        <is>
          <t>fumeri perfume · amber perfume uk</t>
        </is>
      </c>
      <c r="AA325" s="58" t="inlineStr">
        <is>
          <t>fumeri ambre night perfume · fumeri ambre night price</t>
        </is>
      </c>
      <c r="AB325" s="58" t="inlineStr">
        <is>
          <t>Fumeri Ambre Night Unisex EDP</t>
        </is>
      </c>
      <c r="AC325" s="58" t="inlineStr">
        <is>
          <t>Fumeri Ambre Night Unisex EDP | Buy Online UK | Swansura</t>
        </is>
      </c>
      <c r="AD325" s="58">
        <f>LEN(AC325)</f>
        <v/>
      </c>
      <c r="AE325" s="58" t="inlineStr">
        <is>
          <t>Buy Fumeri Ambre Night Unisex EDP online in the UK at Swansura. An amber unisex eau de parfum, 100ml. 100% authentic, fast UK delivery, free over £50.</t>
        </is>
      </c>
      <c r="AF325" s="58">
        <f>LEN(AE325)</f>
        <v/>
      </c>
    </row>
    <row r="326" ht="15" customHeight="1" s="37">
      <c r="A326" s="58" t="inlineStr">
        <is>
          <t>FR-166</t>
        </is>
      </c>
      <c r="B326" s="58" t="inlineStr">
        <is>
          <t>Fragrance Catalogue</t>
        </is>
      </c>
      <c r="C326" s="58" t="n">
        <v>166</v>
      </c>
      <c r="D326" s="58" t="inlineStr">
        <is>
          <t>Fumeri</t>
        </is>
      </c>
      <c r="E326" s="58" t="n"/>
      <c r="F326" s="58" t="inlineStr">
        <is>
          <t>Fragrance</t>
        </is>
      </c>
      <c r="G326" s="58" t="inlineStr">
        <is>
          <t>Eau de Parfum (EDP)</t>
        </is>
      </c>
      <c r="H326" s="58" t="inlineStr">
        <is>
          <t>Woody · Women's Fragrance</t>
        </is>
      </c>
      <c r="I326" s="58" t="inlineStr">
        <is>
          <t>Fumeri Angel For Women EDP 100ML</t>
        </is>
      </c>
      <c r="J326" s="58" t="inlineStr">
        <is>
          <t>100ml</t>
        </is>
      </c>
      <c r="K326" s="58" t="n">
        <v>37.95</v>
      </c>
      <c r="L326" s="58" t="inlineStr">
        <is>
          <t>fumeri angel</t>
        </is>
      </c>
      <c r="M326" s="58" t="inlineStr">
        <is>
          <t>fumeri angel uk</t>
        </is>
      </c>
      <c r="N326" s="58" t="inlineStr">
        <is>
          <t>buy fumeri angel online</t>
        </is>
      </c>
      <c r="O326" s="58" t="inlineStr">
        <is>
          <t>fumeri angel price</t>
        </is>
      </c>
      <c r="P326" s="58" t="inlineStr">
        <is>
          <t>fumeri angel edp</t>
        </is>
      </c>
      <c r="Q326" s="59">
        <f>IF(L326="","",IFERROR(INDEX('Semrush Data'!$A$1:$Z$20000,MATCH(L326,'Semrush Data'!$A$1:$A$20000,0),MATCH("Volume",'Semrush Data'!$A$1:$Z$1,0)),""))</f>
        <v/>
      </c>
      <c r="R326" s="59">
        <f>IF(M326="","",IFERROR(INDEX('Semrush Data'!$A$1:$Z$20000,MATCH(M326,'Semrush Data'!$A$1:$A$20000,0),MATCH("Volume",'Semrush Data'!$A$1:$Z$1,0)),""))</f>
        <v/>
      </c>
      <c r="S326" s="59">
        <f>IF(N326="","",IFERROR(INDEX('Semrush Data'!$A$1:$Z$20000,MATCH(N326,'Semrush Data'!$A$1:$A$20000,0),MATCH("Volume",'Semrush Data'!$A$1:$Z$1,0)),""))</f>
        <v/>
      </c>
      <c r="T326" s="59">
        <f>IF(O326="","",IFERROR(INDEX('Semrush Data'!$A$1:$Z$20000,MATCH(O326,'Semrush Data'!$A$1:$A$20000,0),MATCH("Volume",'Semrush Data'!$A$1:$Z$1,0)),""))</f>
        <v/>
      </c>
      <c r="U326" s="59">
        <f>IF(P326="","",IFERROR(INDEX('Semrush Data'!$A$1:$Z$20000,MATCH(P326,'Semrush Data'!$A$1:$A$20000,0),MATCH("Volume",'Semrush Data'!$A$1:$Z$1,0)),""))</f>
        <v/>
      </c>
      <c r="V326" s="60">
        <f>IF(COUNT(Q326:U326)=0,L326,IF(MAX(Q326:U326)=0,L326,INDEX(L326:P326,MATCH(MAX(Q326:U326),Q326:U326,0))))</f>
        <v/>
      </c>
      <c r="W326" s="59">
        <f>IFERROR(INDEX('Semrush Data'!$A$1:$Z$20000,MATCH(V326,'Semrush Data'!$A$1:$A$20000,0),MATCH("Volume",'Semrush Data'!$A$1:$Z$1,0)),"")</f>
        <v/>
      </c>
      <c r="X326" s="59">
        <f>IFERROR(INDEX('Semrush Data'!$A$1:$Z$20000,MATCH(V326,'Semrush Data'!$A$1:$A$20000,0),MATCH("Keyword Difficulty*",'Semrush Data'!$A$1:$Z$1,0)),"")</f>
        <v/>
      </c>
      <c r="Y326" s="61">
        <f>IFERROR(INDEX('Semrush Data'!$A$1:$Z$20000,MATCH(V326,'Semrush Data'!$A$1:$A$20000,0),MATCH("CPC*",'Semrush Data'!$A$1:$Z$1,0)),"")</f>
        <v/>
      </c>
      <c r="Z326" s="58" t="inlineStr">
        <is>
          <t>fumeri perfume · fumeri perfume for women · woody perfume for women uk</t>
        </is>
      </c>
      <c r="AA326" s="58" t="inlineStr">
        <is>
          <t>fumeri angel perfume</t>
        </is>
      </c>
      <c r="AB326" s="58" t="inlineStr">
        <is>
          <t>Fumeri Angel For Women EDP</t>
        </is>
      </c>
      <c r="AC326" s="58" t="inlineStr">
        <is>
          <t>Fumeri Angel For Women EDP | Buy Online UK | Swansura</t>
        </is>
      </c>
      <c r="AD326" s="58">
        <f>LEN(AC326)</f>
        <v/>
      </c>
      <c r="AE326" s="58" t="inlineStr">
        <is>
          <t>Buy Fumeri Angel For Women EDP online in the UK at Swansura. A woody women's eau de parfum, 100ml. 100% authentic, fast UK delivery, free over £50.</t>
        </is>
      </c>
      <c r="AF326" s="58">
        <f>LEN(AE326)</f>
        <v/>
      </c>
    </row>
    <row r="327" ht="15" customHeight="1" s="37">
      <c r="A327" s="58" t="inlineStr">
        <is>
          <t>FR-167</t>
        </is>
      </c>
      <c r="B327" s="58" t="inlineStr">
        <is>
          <t>Fragrance Catalogue</t>
        </is>
      </c>
      <c r="C327" s="58" t="n">
        <v>167</v>
      </c>
      <c r="D327" s="58" t="inlineStr">
        <is>
          <t>Fumeri</t>
        </is>
      </c>
      <c r="E327" s="58" t="n"/>
      <c r="F327" s="58" t="inlineStr">
        <is>
          <t>Fragrance</t>
        </is>
      </c>
      <c r="G327" s="58" t="inlineStr">
        <is>
          <t>Eau de Parfum (EDP)</t>
        </is>
      </c>
      <c r="H327" s="58" t="inlineStr">
        <is>
          <t>Fresh · Men's Fragrance</t>
        </is>
      </c>
      <c r="I327" s="58" t="inlineStr">
        <is>
          <t>Fumeri Blue For Men EDP 100ML</t>
        </is>
      </c>
      <c r="J327" s="58" t="inlineStr">
        <is>
          <t>100ml</t>
        </is>
      </c>
      <c r="K327" s="58" t="n">
        <v>23.95</v>
      </c>
      <c r="L327" s="58" t="inlineStr">
        <is>
          <t>fumeri blue</t>
        </is>
      </c>
      <c r="M327" s="58" t="inlineStr">
        <is>
          <t>fumeri blue uk</t>
        </is>
      </c>
      <c r="N327" s="58" t="inlineStr">
        <is>
          <t>buy fumeri blue online</t>
        </is>
      </c>
      <c r="O327" s="58" t="inlineStr">
        <is>
          <t>fumeri blue price</t>
        </is>
      </c>
      <c r="P327" s="58" t="inlineStr">
        <is>
          <t>fumeri blue edp</t>
        </is>
      </c>
      <c r="Q327" s="59">
        <f>IF(L327="","",IFERROR(INDEX('Semrush Data'!$A$1:$Z$20000,MATCH(L327,'Semrush Data'!$A$1:$A$20000,0),MATCH("Volume",'Semrush Data'!$A$1:$Z$1,0)),""))</f>
        <v/>
      </c>
      <c r="R327" s="59">
        <f>IF(M327="","",IFERROR(INDEX('Semrush Data'!$A$1:$Z$20000,MATCH(M327,'Semrush Data'!$A$1:$A$20000,0),MATCH("Volume",'Semrush Data'!$A$1:$Z$1,0)),""))</f>
        <v/>
      </c>
      <c r="S327" s="59">
        <f>IF(N327="","",IFERROR(INDEX('Semrush Data'!$A$1:$Z$20000,MATCH(N327,'Semrush Data'!$A$1:$A$20000,0),MATCH("Volume",'Semrush Data'!$A$1:$Z$1,0)),""))</f>
        <v/>
      </c>
      <c r="T327" s="59">
        <f>IF(O327="","",IFERROR(INDEX('Semrush Data'!$A$1:$Z$20000,MATCH(O327,'Semrush Data'!$A$1:$A$20000,0),MATCH("Volume",'Semrush Data'!$A$1:$Z$1,0)),""))</f>
        <v/>
      </c>
      <c r="U327" s="59">
        <f>IF(P327="","",IFERROR(INDEX('Semrush Data'!$A$1:$Z$20000,MATCH(P327,'Semrush Data'!$A$1:$A$20000,0),MATCH("Volume",'Semrush Data'!$A$1:$Z$1,0)),""))</f>
        <v/>
      </c>
      <c r="V327" s="60">
        <f>IF(COUNT(Q327:U327)=0,L327,IF(MAX(Q327:U327)=0,L327,INDEX(L327:P327,MATCH(MAX(Q327:U327),Q327:U327,0))))</f>
        <v/>
      </c>
      <c r="W327" s="59">
        <f>IFERROR(INDEX('Semrush Data'!$A$1:$Z$20000,MATCH(V327,'Semrush Data'!$A$1:$A$20000,0),MATCH("Volume",'Semrush Data'!$A$1:$Z$1,0)),"")</f>
        <v/>
      </c>
      <c r="X327" s="59">
        <f>IFERROR(INDEX('Semrush Data'!$A$1:$Z$20000,MATCH(V327,'Semrush Data'!$A$1:$A$20000,0),MATCH("Keyword Difficulty*",'Semrush Data'!$A$1:$Z$1,0)),"")</f>
        <v/>
      </c>
      <c r="Y327" s="61">
        <f>IFERROR(INDEX('Semrush Data'!$A$1:$Z$20000,MATCH(V327,'Semrush Data'!$A$1:$A$20000,0),MATCH("CPC*",'Semrush Data'!$A$1:$Z$1,0)),"")</f>
        <v/>
      </c>
      <c r="Z327" s="58" t="inlineStr">
        <is>
          <t>fumeri perfume · fumeri perfume for men · fresh perfume for men uk</t>
        </is>
      </c>
      <c r="AA327" s="58" t="inlineStr">
        <is>
          <t>fumeri blue perfume · fumeri blue perfume price · fumeri blue price</t>
        </is>
      </c>
      <c r="AB327" s="58" t="inlineStr">
        <is>
          <t>Fumeri Blue For Men EDP</t>
        </is>
      </c>
      <c r="AC327" s="58" t="inlineStr">
        <is>
          <t>Fumeri Blue For Men EDP | Buy Online UK | Swansura</t>
        </is>
      </c>
      <c r="AD327" s="58">
        <f>LEN(AC327)</f>
        <v/>
      </c>
      <c r="AE327" s="58" t="inlineStr">
        <is>
          <t>Buy Fumeri Blue For Men EDP online in the UK at Swansura. A fresh men's eau de parfum, 100ml. 100% authentic, fast UK delivery, free over £50.</t>
        </is>
      </c>
      <c r="AF327" s="58">
        <f>LEN(AE327)</f>
        <v/>
      </c>
    </row>
    <row r="328" ht="15" customHeight="1" s="37">
      <c r="A328" s="58" t="inlineStr">
        <is>
          <t>FR-168</t>
        </is>
      </c>
      <c r="B328" s="58" t="inlineStr">
        <is>
          <t>Fragrance Catalogue</t>
        </is>
      </c>
      <c r="C328" s="58" t="n">
        <v>168</v>
      </c>
      <c r="D328" s="58" t="inlineStr">
        <is>
          <t>Fumeri</t>
        </is>
      </c>
      <c r="E328" s="58" t="n"/>
      <c r="F328" s="58" t="inlineStr">
        <is>
          <t>Fragrance</t>
        </is>
      </c>
      <c r="G328" s="58" t="inlineStr">
        <is>
          <t>Eau de Parfum (EDP)</t>
        </is>
      </c>
      <c r="H328" s="58" t="inlineStr">
        <is>
          <t>Amber · Unisex Fragrance</t>
        </is>
      </c>
      <c r="I328" s="58" t="inlineStr">
        <is>
          <t>Fumeri Elixir Unisex EDP 100ML</t>
        </is>
      </c>
      <c r="J328" s="58" t="inlineStr">
        <is>
          <t>100ml</t>
        </is>
      </c>
      <c r="K328" s="58" t="n">
        <v>37.95</v>
      </c>
      <c r="L328" s="58" t="inlineStr">
        <is>
          <t>fumeri elixir</t>
        </is>
      </c>
      <c r="M328" s="58" t="inlineStr">
        <is>
          <t>fumeri elixir uk</t>
        </is>
      </c>
      <c r="N328" s="58" t="inlineStr">
        <is>
          <t>buy fumeri elixir online</t>
        </is>
      </c>
      <c r="O328" s="58" t="inlineStr">
        <is>
          <t>fumeri elixir price</t>
        </is>
      </c>
      <c r="P328" s="58" t="inlineStr">
        <is>
          <t>fumeri elixir edp</t>
        </is>
      </c>
      <c r="Q328" s="59">
        <f>IF(L328="","",IFERROR(INDEX('Semrush Data'!$A$1:$Z$20000,MATCH(L328,'Semrush Data'!$A$1:$A$20000,0),MATCH("Volume",'Semrush Data'!$A$1:$Z$1,0)),""))</f>
        <v/>
      </c>
      <c r="R328" s="59">
        <f>IF(M328="","",IFERROR(INDEX('Semrush Data'!$A$1:$Z$20000,MATCH(M328,'Semrush Data'!$A$1:$A$20000,0),MATCH("Volume",'Semrush Data'!$A$1:$Z$1,0)),""))</f>
        <v/>
      </c>
      <c r="S328" s="59">
        <f>IF(N328="","",IFERROR(INDEX('Semrush Data'!$A$1:$Z$20000,MATCH(N328,'Semrush Data'!$A$1:$A$20000,0),MATCH("Volume",'Semrush Data'!$A$1:$Z$1,0)),""))</f>
        <v/>
      </c>
      <c r="T328" s="59">
        <f>IF(O328="","",IFERROR(INDEX('Semrush Data'!$A$1:$Z$20000,MATCH(O328,'Semrush Data'!$A$1:$A$20000,0),MATCH("Volume",'Semrush Data'!$A$1:$Z$1,0)),""))</f>
        <v/>
      </c>
      <c r="U328" s="59">
        <f>IF(P328="","",IFERROR(INDEX('Semrush Data'!$A$1:$Z$20000,MATCH(P328,'Semrush Data'!$A$1:$A$20000,0),MATCH("Volume",'Semrush Data'!$A$1:$Z$1,0)),""))</f>
        <v/>
      </c>
      <c r="V328" s="60">
        <f>IF(COUNT(Q328:U328)=0,L328,IF(MAX(Q328:U328)=0,L328,INDEX(L328:P328,MATCH(MAX(Q328:U328),Q328:U328,0))))</f>
        <v/>
      </c>
      <c r="W328" s="59">
        <f>IFERROR(INDEX('Semrush Data'!$A$1:$Z$20000,MATCH(V328,'Semrush Data'!$A$1:$A$20000,0),MATCH("Volume",'Semrush Data'!$A$1:$Z$1,0)),"")</f>
        <v/>
      </c>
      <c r="X328" s="59">
        <f>IFERROR(INDEX('Semrush Data'!$A$1:$Z$20000,MATCH(V328,'Semrush Data'!$A$1:$A$20000,0),MATCH("Keyword Difficulty*",'Semrush Data'!$A$1:$Z$1,0)),"")</f>
        <v/>
      </c>
      <c r="Y328" s="61">
        <f>IFERROR(INDEX('Semrush Data'!$A$1:$Z$20000,MATCH(V328,'Semrush Data'!$A$1:$A$20000,0),MATCH("CPC*",'Semrush Data'!$A$1:$Z$1,0)),"")</f>
        <v/>
      </c>
      <c r="Z328" s="58" t="inlineStr">
        <is>
          <t>fumeri perfume · amber perfume uk</t>
        </is>
      </c>
      <c r="AA328" s="58" t="inlineStr">
        <is>
          <t>fumeri elixir perfume · fumeri elixir perfume price</t>
        </is>
      </c>
      <c r="AB328" s="58" t="inlineStr">
        <is>
          <t>Fumeri Elixir Unisex EDP</t>
        </is>
      </c>
      <c r="AC328" s="58" t="inlineStr">
        <is>
          <t>Fumeri Elixir Unisex EDP | Buy Online UK | Swansura</t>
        </is>
      </c>
      <c r="AD328" s="58">
        <f>LEN(AC328)</f>
        <v/>
      </c>
      <c r="AE328" s="58" t="inlineStr">
        <is>
          <t>Buy Fumeri Elixir Unisex EDP online in the UK at Swansura. An amber unisex eau de parfum, 100ml. 100% authentic, fast UK delivery, free over £50.</t>
        </is>
      </c>
      <c r="AF328" s="58">
        <f>LEN(AE328)</f>
        <v/>
      </c>
    </row>
    <row r="329" ht="15" customHeight="1" s="37">
      <c r="A329" s="58" t="inlineStr">
        <is>
          <t>FR-169</t>
        </is>
      </c>
      <c r="B329" s="58" t="inlineStr">
        <is>
          <t>Fragrance Catalogue</t>
        </is>
      </c>
      <c r="C329" s="58" t="n">
        <v>169</v>
      </c>
      <c r="D329" s="58" t="inlineStr">
        <is>
          <t>Fumeri</t>
        </is>
      </c>
      <c r="E329" s="58" t="n"/>
      <c r="F329" s="58" t="inlineStr">
        <is>
          <t>Fragrance</t>
        </is>
      </c>
      <c r="G329" s="58" t="inlineStr">
        <is>
          <t>Eau de Parfum (EDP)</t>
        </is>
      </c>
      <c r="H329" s="58" t="inlineStr">
        <is>
          <t>Amber · Unisex Fragrance</t>
        </is>
      </c>
      <c r="I329" s="58" t="inlineStr">
        <is>
          <t>Fumeri Flirt Eau de Parfum 100ML</t>
        </is>
      </c>
      <c r="J329" s="58" t="inlineStr">
        <is>
          <t>100ml</t>
        </is>
      </c>
      <c r="K329" s="58" t="n">
        <v>37.95</v>
      </c>
      <c r="L329" s="58" t="inlineStr">
        <is>
          <t>fumeri flirt</t>
        </is>
      </c>
      <c r="M329" s="58" t="inlineStr">
        <is>
          <t>fumeri flirt uk</t>
        </is>
      </c>
      <c r="N329" s="58" t="inlineStr">
        <is>
          <t>buy fumeri flirt online</t>
        </is>
      </c>
      <c r="O329" s="58" t="inlineStr">
        <is>
          <t>fumeri flirt price</t>
        </is>
      </c>
      <c r="P329" s="58" t="inlineStr">
        <is>
          <t>fumeri flirt eau de parfum</t>
        </is>
      </c>
      <c r="Q329" s="59">
        <f>IF(L329="","",IFERROR(INDEX('Semrush Data'!$A$1:$Z$20000,MATCH(L329,'Semrush Data'!$A$1:$A$20000,0),MATCH("Volume",'Semrush Data'!$A$1:$Z$1,0)),""))</f>
        <v/>
      </c>
      <c r="R329" s="59">
        <f>IF(M329="","",IFERROR(INDEX('Semrush Data'!$A$1:$Z$20000,MATCH(M329,'Semrush Data'!$A$1:$A$20000,0),MATCH("Volume",'Semrush Data'!$A$1:$Z$1,0)),""))</f>
        <v/>
      </c>
      <c r="S329" s="59">
        <f>IF(N329="","",IFERROR(INDEX('Semrush Data'!$A$1:$Z$20000,MATCH(N329,'Semrush Data'!$A$1:$A$20000,0),MATCH("Volume",'Semrush Data'!$A$1:$Z$1,0)),""))</f>
        <v/>
      </c>
      <c r="T329" s="59">
        <f>IF(O329="","",IFERROR(INDEX('Semrush Data'!$A$1:$Z$20000,MATCH(O329,'Semrush Data'!$A$1:$A$20000,0),MATCH("Volume",'Semrush Data'!$A$1:$Z$1,0)),""))</f>
        <v/>
      </c>
      <c r="U329" s="59">
        <f>IF(P329="","",IFERROR(INDEX('Semrush Data'!$A$1:$Z$20000,MATCH(P329,'Semrush Data'!$A$1:$A$20000,0),MATCH("Volume",'Semrush Data'!$A$1:$Z$1,0)),""))</f>
        <v/>
      </c>
      <c r="V329" s="60">
        <f>IF(COUNT(Q329:U329)=0,L329,IF(MAX(Q329:U329)=0,L329,INDEX(L329:P329,MATCH(MAX(Q329:U329),Q329:U329,0))))</f>
        <v/>
      </c>
      <c r="W329" s="59">
        <f>IFERROR(INDEX('Semrush Data'!$A$1:$Z$20000,MATCH(V329,'Semrush Data'!$A$1:$A$20000,0),MATCH("Volume",'Semrush Data'!$A$1:$Z$1,0)),"")</f>
        <v/>
      </c>
      <c r="X329" s="59">
        <f>IFERROR(INDEX('Semrush Data'!$A$1:$Z$20000,MATCH(V329,'Semrush Data'!$A$1:$A$20000,0),MATCH("Keyword Difficulty*",'Semrush Data'!$A$1:$Z$1,0)),"")</f>
        <v/>
      </c>
      <c r="Y329" s="61">
        <f>IFERROR(INDEX('Semrush Data'!$A$1:$Z$20000,MATCH(V329,'Semrush Data'!$A$1:$A$20000,0),MATCH("CPC*",'Semrush Data'!$A$1:$Z$1,0)),"")</f>
        <v/>
      </c>
      <c r="Z329" s="58" t="inlineStr">
        <is>
          <t>fumeri perfume · amber perfume uk</t>
        </is>
      </c>
      <c r="AA329" s="58" t="n"/>
      <c r="AB329" s="58" t="inlineStr">
        <is>
          <t>Fumeri Flirt Eau de Parfum</t>
        </is>
      </c>
      <c r="AC329" s="58" t="inlineStr">
        <is>
          <t>Fumeri Flirt Eau de Parfum | Buy Online UK | Swansura</t>
        </is>
      </c>
      <c r="AD329" s="58">
        <f>LEN(AC329)</f>
        <v/>
      </c>
      <c r="AE329" s="58" t="inlineStr">
        <is>
          <t>Buy Fumeri Flirt Eau de Parfum online in the UK at Swansura. An amber unisex eau de parfum, 100ml. 100% authentic, fast UK delivery, free over £50.</t>
        </is>
      </c>
      <c r="AF329" s="58">
        <f>LEN(AE329)</f>
        <v/>
      </c>
    </row>
    <row r="330" ht="15" customHeight="1" s="37">
      <c r="A330" s="58" t="inlineStr">
        <is>
          <t>FR-170</t>
        </is>
      </c>
      <c r="B330" s="58" t="inlineStr">
        <is>
          <t>Fragrance Catalogue</t>
        </is>
      </c>
      <c r="C330" s="58" t="n">
        <v>170</v>
      </c>
      <c r="D330" s="58" t="inlineStr">
        <is>
          <t>Fumeri</t>
        </is>
      </c>
      <c r="E330" s="58" t="n"/>
      <c r="F330" s="58" t="inlineStr">
        <is>
          <t>Fragrance</t>
        </is>
      </c>
      <c r="G330" s="58" t="inlineStr">
        <is>
          <t>Eau de Parfum (EDP)</t>
        </is>
      </c>
      <c r="H330" s="58" t="inlineStr">
        <is>
          <t>Amber · Unisex Fragrance</t>
        </is>
      </c>
      <c r="I330" s="58" t="inlineStr">
        <is>
          <t>Fumeri Gabriella Eau de Parfum 100ML</t>
        </is>
      </c>
      <c r="J330" s="58" t="inlineStr">
        <is>
          <t>100ml</t>
        </is>
      </c>
      <c r="K330" s="58" t="n">
        <v>37.95</v>
      </c>
      <c r="L330" s="58" t="inlineStr">
        <is>
          <t>fumeri gabriella</t>
        </is>
      </c>
      <c r="M330" s="58" t="inlineStr">
        <is>
          <t>fumeri gabriella uk</t>
        </is>
      </c>
      <c r="N330" s="58" t="inlineStr">
        <is>
          <t>buy fumeri gabriella online</t>
        </is>
      </c>
      <c r="O330" s="58" t="inlineStr">
        <is>
          <t>fumeri gabriella price</t>
        </is>
      </c>
      <c r="P330" s="58" t="inlineStr">
        <is>
          <t>fumeri gabriella eau de parfum</t>
        </is>
      </c>
      <c r="Q330" s="59">
        <f>IF(L330="","",IFERROR(INDEX('Semrush Data'!$A$1:$Z$20000,MATCH(L330,'Semrush Data'!$A$1:$A$20000,0),MATCH("Volume",'Semrush Data'!$A$1:$Z$1,0)),""))</f>
        <v/>
      </c>
      <c r="R330" s="59">
        <f>IF(M330="","",IFERROR(INDEX('Semrush Data'!$A$1:$Z$20000,MATCH(M330,'Semrush Data'!$A$1:$A$20000,0),MATCH("Volume",'Semrush Data'!$A$1:$Z$1,0)),""))</f>
        <v/>
      </c>
      <c r="S330" s="59">
        <f>IF(N330="","",IFERROR(INDEX('Semrush Data'!$A$1:$Z$20000,MATCH(N330,'Semrush Data'!$A$1:$A$20000,0),MATCH("Volume",'Semrush Data'!$A$1:$Z$1,0)),""))</f>
        <v/>
      </c>
      <c r="T330" s="59">
        <f>IF(O330="","",IFERROR(INDEX('Semrush Data'!$A$1:$Z$20000,MATCH(O330,'Semrush Data'!$A$1:$A$20000,0),MATCH("Volume",'Semrush Data'!$A$1:$Z$1,0)),""))</f>
        <v/>
      </c>
      <c r="U330" s="59">
        <f>IF(P330="","",IFERROR(INDEX('Semrush Data'!$A$1:$Z$20000,MATCH(P330,'Semrush Data'!$A$1:$A$20000,0),MATCH("Volume",'Semrush Data'!$A$1:$Z$1,0)),""))</f>
        <v/>
      </c>
      <c r="V330" s="60">
        <f>IF(COUNT(Q330:U330)=0,L330,IF(MAX(Q330:U330)=0,L330,INDEX(L330:P330,MATCH(MAX(Q330:U330),Q330:U330,0))))</f>
        <v/>
      </c>
      <c r="W330" s="59">
        <f>IFERROR(INDEX('Semrush Data'!$A$1:$Z$20000,MATCH(V330,'Semrush Data'!$A$1:$A$20000,0),MATCH("Volume",'Semrush Data'!$A$1:$Z$1,0)),"")</f>
        <v/>
      </c>
      <c r="X330" s="59">
        <f>IFERROR(INDEX('Semrush Data'!$A$1:$Z$20000,MATCH(V330,'Semrush Data'!$A$1:$A$20000,0),MATCH("Keyword Difficulty*",'Semrush Data'!$A$1:$Z$1,0)),"")</f>
        <v/>
      </c>
      <c r="Y330" s="61">
        <f>IFERROR(INDEX('Semrush Data'!$A$1:$Z$20000,MATCH(V330,'Semrush Data'!$A$1:$A$20000,0),MATCH("CPC*",'Semrush Data'!$A$1:$Z$1,0)),"")</f>
        <v/>
      </c>
      <c r="Z330" s="58" t="inlineStr">
        <is>
          <t>fumeri perfume · amber perfume uk</t>
        </is>
      </c>
      <c r="AA330" s="58" t="n"/>
      <c r="AB330" s="58" t="inlineStr">
        <is>
          <t>Fumeri Gabriella Eau de Parfum</t>
        </is>
      </c>
      <c r="AC330" s="58" t="inlineStr">
        <is>
          <t>Fumeri Gabriella Eau de Parfum | Buy Online UK | Swansura</t>
        </is>
      </c>
      <c r="AD330" s="58">
        <f>LEN(AC330)</f>
        <v/>
      </c>
      <c r="AE330" s="58" t="inlineStr">
        <is>
          <t>Buy Fumeri Gabriella Eau de Parfum online in the UK at Swansura. An amber unisex eau de parfum, 100ml. 100% authentic, fast UK delivery, free over £50.</t>
        </is>
      </c>
      <c r="AF330" s="58">
        <f>LEN(AE330)</f>
        <v/>
      </c>
    </row>
    <row r="331" ht="15" customHeight="1" s="37">
      <c r="A331" s="58" t="inlineStr">
        <is>
          <t>FR-171</t>
        </is>
      </c>
      <c r="B331" s="58" t="inlineStr">
        <is>
          <t>Fragrance Catalogue</t>
        </is>
      </c>
      <c r="C331" s="58" t="n">
        <v>171</v>
      </c>
      <c r="D331" s="58" t="inlineStr">
        <is>
          <t>Fumeri</t>
        </is>
      </c>
      <c r="E331" s="58" t="n"/>
      <c r="F331" s="58" t="inlineStr">
        <is>
          <t>Fragrance</t>
        </is>
      </c>
      <c r="G331" s="58" t="inlineStr">
        <is>
          <t>Eau de Parfum (EDP)</t>
        </is>
      </c>
      <c r="H331" s="58" t="inlineStr">
        <is>
          <t>Amber · Unisex Fragrance</t>
        </is>
      </c>
      <c r="I331" s="58" t="inlineStr">
        <is>
          <t>Fumeri Gris Unisex Eau De Parfum 100ML</t>
        </is>
      </c>
      <c r="J331" s="58" t="inlineStr">
        <is>
          <t>100ml</t>
        </is>
      </c>
      <c r="K331" s="58" t="n">
        <v>37.95</v>
      </c>
      <c r="L331" s="58" t="inlineStr">
        <is>
          <t>fumeri gris</t>
        </is>
      </c>
      <c r="M331" s="58" t="inlineStr">
        <is>
          <t>fumeri gris uk</t>
        </is>
      </c>
      <c r="N331" s="58" t="inlineStr">
        <is>
          <t>buy fumeri gris online</t>
        </is>
      </c>
      <c r="O331" s="58" t="inlineStr">
        <is>
          <t>fumeri gris price</t>
        </is>
      </c>
      <c r="P331" s="58" t="inlineStr">
        <is>
          <t>fumeri gris eau de parfum</t>
        </is>
      </c>
      <c r="Q331" s="59">
        <f>IF(L331="","",IFERROR(INDEX('Semrush Data'!$A$1:$Z$20000,MATCH(L331,'Semrush Data'!$A$1:$A$20000,0),MATCH("Volume",'Semrush Data'!$A$1:$Z$1,0)),""))</f>
        <v/>
      </c>
      <c r="R331" s="59">
        <f>IF(M331="","",IFERROR(INDEX('Semrush Data'!$A$1:$Z$20000,MATCH(M331,'Semrush Data'!$A$1:$A$20000,0),MATCH("Volume",'Semrush Data'!$A$1:$Z$1,0)),""))</f>
        <v/>
      </c>
      <c r="S331" s="59">
        <f>IF(N331="","",IFERROR(INDEX('Semrush Data'!$A$1:$Z$20000,MATCH(N331,'Semrush Data'!$A$1:$A$20000,0),MATCH("Volume",'Semrush Data'!$A$1:$Z$1,0)),""))</f>
        <v/>
      </c>
      <c r="T331" s="59">
        <f>IF(O331="","",IFERROR(INDEX('Semrush Data'!$A$1:$Z$20000,MATCH(O331,'Semrush Data'!$A$1:$A$20000,0),MATCH("Volume",'Semrush Data'!$A$1:$Z$1,0)),""))</f>
        <v/>
      </c>
      <c r="U331" s="59">
        <f>IF(P331="","",IFERROR(INDEX('Semrush Data'!$A$1:$Z$20000,MATCH(P331,'Semrush Data'!$A$1:$A$20000,0),MATCH("Volume",'Semrush Data'!$A$1:$Z$1,0)),""))</f>
        <v/>
      </c>
      <c r="V331" s="60">
        <f>IF(COUNT(Q331:U331)=0,L331,IF(MAX(Q331:U331)=0,L331,INDEX(L331:P331,MATCH(MAX(Q331:U331),Q331:U331,0))))</f>
        <v/>
      </c>
      <c r="W331" s="59">
        <f>IFERROR(INDEX('Semrush Data'!$A$1:$Z$20000,MATCH(V331,'Semrush Data'!$A$1:$A$20000,0),MATCH("Volume",'Semrush Data'!$A$1:$Z$1,0)),"")</f>
        <v/>
      </c>
      <c r="X331" s="59">
        <f>IFERROR(INDEX('Semrush Data'!$A$1:$Z$20000,MATCH(V331,'Semrush Data'!$A$1:$A$20000,0),MATCH("Keyword Difficulty*",'Semrush Data'!$A$1:$Z$1,0)),"")</f>
        <v/>
      </c>
      <c r="Y331" s="61">
        <f>IFERROR(INDEX('Semrush Data'!$A$1:$Z$20000,MATCH(V331,'Semrush Data'!$A$1:$A$20000,0),MATCH("CPC*",'Semrush Data'!$A$1:$Z$1,0)),"")</f>
        <v/>
      </c>
      <c r="Z331" s="58" t="inlineStr">
        <is>
          <t>fumeri perfume · amber perfume uk</t>
        </is>
      </c>
      <c r="AA331" s="58" t="inlineStr">
        <is>
          <t>fumeri gris perfume</t>
        </is>
      </c>
      <c r="AB331" s="58" t="inlineStr">
        <is>
          <t>Fumeri Gris Unisex Eau De Parfum</t>
        </is>
      </c>
      <c r="AC331" s="58" t="inlineStr">
        <is>
          <t>Fumeri Gris Unisex Eau De Parfum | Buy Online UK | Swansura</t>
        </is>
      </c>
      <c r="AD331" s="58">
        <f>LEN(AC331)</f>
        <v/>
      </c>
      <c r="AE331" s="58" t="inlineStr">
        <is>
          <t>Buy Fumeri Gris Unisex Eau De Parfum online in the UK at Swansura. An amber unisex eau de parfum, 100ml. 100% authentic, fast UK delivery, free over £50.</t>
        </is>
      </c>
      <c r="AF331" s="58">
        <f>LEN(AE331)</f>
        <v/>
      </c>
    </row>
    <row r="332" ht="15" customHeight="1" s="37">
      <c r="A332" s="58" t="inlineStr">
        <is>
          <t>FR-172</t>
        </is>
      </c>
      <c r="B332" s="58" t="inlineStr">
        <is>
          <t>Fragrance Catalogue</t>
        </is>
      </c>
      <c r="C332" s="58" t="n">
        <v>172</v>
      </c>
      <c r="D332" s="58" t="inlineStr">
        <is>
          <t>Fumeri</t>
        </is>
      </c>
      <c r="E332" s="58" t="n"/>
      <c r="F332" s="58" t="inlineStr">
        <is>
          <t>Fragrance</t>
        </is>
      </c>
      <c r="G332" s="58" t="inlineStr">
        <is>
          <t>Eau de Parfum (EDP)</t>
        </is>
      </c>
      <c r="H332" s="58" t="inlineStr">
        <is>
          <t>Woody · Women's Fragrance</t>
        </is>
      </c>
      <c r="I332" s="58" t="inlineStr">
        <is>
          <t>Fumeri Orchid Noir For Women Eau De Parfum 100ML</t>
        </is>
      </c>
      <c r="J332" s="58" t="inlineStr">
        <is>
          <t>100ml</t>
        </is>
      </c>
      <c r="K332" s="58" t="n">
        <v>23.95</v>
      </c>
      <c r="L332" s="58" t="inlineStr">
        <is>
          <t>fumeri orchid noir</t>
        </is>
      </c>
      <c r="M332" s="58" t="inlineStr">
        <is>
          <t>fumeri orchid noir uk</t>
        </is>
      </c>
      <c r="N332" s="58" t="inlineStr">
        <is>
          <t>buy fumeri orchid noir online</t>
        </is>
      </c>
      <c r="O332" s="58" t="inlineStr">
        <is>
          <t>fumeri orchid noir price</t>
        </is>
      </c>
      <c r="P332" s="58" t="inlineStr">
        <is>
          <t>fumeri orchid noir eau de parfum</t>
        </is>
      </c>
      <c r="Q332" s="59">
        <f>IF(L332="","",IFERROR(INDEX('Semrush Data'!$A$1:$Z$20000,MATCH(L332,'Semrush Data'!$A$1:$A$20000,0),MATCH("Volume",'Semrush Data'!$A$1:$Z$1,0)),""))</f>
        <v/>
      </c>
      <c r="R332" s="59">
        <f>IF(M332="","",IFERROR(INDEX('Semrush Data'!$A$1:$Z$20000,MATCH(M332,'Semrush Data'!$A$1:$A$20000,0),MATCH("Volume",'Semrush Data'!$A$1:$Z$1,0)),""))</f>
        <v/>
      </c>
      <c r="S332" s="59">
        <f>IF(N332="","",IFERROR(INDEX('Semrush Data'!$A$1:$Z$20000,MATCH(N332,'Semrush Data'!$A$1:$A$20000,0),MATCH("Volume",'Semrush Data'!$A$1:$Z$1,0)),""))</f>
        <v/>
      </c>
      <c r="T332" s="59">
        <f>IF(O332="","",IFERROR(INDEX('Semrush Data'!$A$1:$Z$20000,MATCH(O332,'Semrush Data'!$A$1:$A$20000,0),MATCH("Volume",'Semrush Data'!$A$1:$Z$1,0)),""))</f>
        <v/>
      </c>
      <c r="U332" s="59">
        <f>IF(P332="","",IFERROR(INDEX('Semrush Data'!$A$1:$Z$20000,MATCH(P332,'Semrush Data'!$A$1:$A$20000,0),MATCH("Volume",'Semrush Data'!$A$1:$Z$1,0)),""))</f>
        <v/>
      </c>
      <c r="V332" s="60">
        <f>IF(COUNT(Q332:U332)=0,L332,IF(MAX(Q332:U332)=0,L332,INDEX(L332:P332,MATCH(MAX(Q332:U332),Q332:U332,0))))</f>
        <v/>
      </c>
      <c r="W332" s="59">
        <f>IFERROR(INDEX('Semrush Data'!$A$1:$Z$20000,MATCH(V332,'Semrush Data'!$A$1:$A$20000,0),MATCH("Volume",'Semrush Data'!$A$1:$Z$1,0)),"")</f>
        <v/>
      </c>
      <c r="X332" s="59">
        <f>IFERROR(INDEX('Semrush Data'!$A$1:$Z$20000,MATCH(V332,'Semrush Data'!$A$1:$A$20000,0),MATCH("Keyword Difficulty*",'Semrush Data'!$A$1:$Z$1,0)),"")</f>
        <v/>
      </c>
      <c r="Y332" s="61">
        <f>IFERROR(INDEX('Semrush Data'!$A$1:$Z$20000,MATCH(V332,'Semrush Data'!$A$1:$A$20000,0),MATCH("CPC*",'Semrush Data'!$A$1:$Z$1,0)),"")</f>
        <v/>
      </c>
      <c r="Z332" s="58" t="inlineStr">
        <is>
          <t>fumeri perfume · fumeri perfume for women · woody perfume for women uk</t>
        </is>
      </c>
      <c r="AA332" s="58" t="inlineStr">
        <is>
          <t>fumeri orchid noir perfume · fumeri orchid noir price</t>
        </is>
      </c>
      <c r="AB332" s="58" t="inlineStr">
        <is>
          <t>Fumeri Orchid Noir For Women Eau De Parfum</t>
        </is>
      </c>
      <c r="AC332" s="58" t="inlineStr">
        <is>
          <t>Fumeri Orchid Noir For Women Eau De Parfum | Swansura UK</t>
        </is>
      </c>
      <c r="AD332" s="58">
        <f>LEN(AC332)</f>
        <v/>
      </c>
      <c r="AE332" s="58" t="inlineStr">
        <is>
          <t>Buy Fumeri Orchid Noir For Women Eau De Parfum online in the UK at Swansura. A woody women's eau de parfum, 100ml. 100% authentic, free UK delivery over £50.</t>
        </is>
      </c>
      <c r="AF332" s="58">
        <f>LEN(AE332)</f>
        <v/>
      </c>
    </row>
    <row r="333" ht="15" customHeight="1" s="37">
      <c r="A333" s="58" t="inlineStr">
        <is>
          <t>FR-173</t>
        </is>
      </c>
      <c r="B333" s="58" t="inlineStr">
        <is>
          <t>Fragrance Catalogue</t>
        </is>
      </c>
      <c r="C333" s="58" t="n">
        <v>173</v>
      </c>
      <c r="D333" s="58" t="inlineStr">
        <is>
          <t>Fumeri</t>
        </is>
      </c>
      <c r="E333" s="58" t="n"/>
      <c r="F333" s="58" t="inlineStr">
        <is>
          <t>Fragrance</t>
        </is>
      </c>
      <c r="G333" s="58" t="inlineStr">
        <is>
          <t>Eau de Parfum (EDP)</t>
        </is>
      </c>
      <c r="H333" s="58" t="inlineStr">
        <is>
          <t>Amber · Unisex Fragrance</t>
        </is>
      </c>
      <c r="I333" s="58" t="inlineStr">
        <is>
          <t>Fumeri Orpheon Unisex Eau De Parfum 100ML</t>
        </is>
      </c>
      <c r="J333" s="58" t="inlineStr">
        <is>
          <t>100ml</t>
        </is>
      </c>
      <c r="K333" s="58" t="n">
        <v>37.95</v>
      </c>
      <c r="L333" s="58" t="inlineStr">
        <is>
          <t>fumeri orpheon</t>
        </is>
      </c>
      <c r="M333" s="58" t="inlineStr">
        <is>
          <t>fumeri orpheon uk</t>
        </is>
      </c>
      <c r="N333" s="58" t="inlineStr">
        <is>
          <t>buy fumeri orpheon online</t>
        </is>
      </c>
      <c r="O333" s="58" t="inlineStr">
        <is>
          <t>fumeri orpheon price</t>
        </is>
      </c>
      <c r="P333" s="58" t="inlineStr">
        <is>
          <t>fumeri orpheon eau de parfum</t>
        </is>
      </c>
      <c r="Q333" s="59">
        <f>IF(L333="","",IFERROR(INDEX('Semrush Data'!$A$1:$Z$20000,MATCH(L333,'Semrush Data'!$A$1:$A$20000,0),MATCH("Volume",'Semrush Data'!$A$1:$Z$1,0)),""))</f>
        <v/>
      </c>
      <c r="R333" s="59">
        <f>IF(M333="","",IFERROR(INDEX('Semrush Data'!$A$1:$Z$20000,MATCH(M333,'Semrush Data'!$A$1:$A$20000,0),MATCH("Volume",'Semrush Data'!$A$1:$Z$1,0)),""))</f>
        <v/>
      </c>
      <c r="S333" s="59">
        <f>IF(N333="","",IFERROR(INDEX('Semrush Data'!$A$1:$Z$20000,MATCH(N333,'Semrush Data'!$A$1:$A$20000,0),MATCH("Volume",'Semrush Data'!$A$1:$Z$1,0)),""))</f>
        <v/>
      </c>
      <c r="T333" s="59">
        <f>IF(O333="","",IFERROR(INDEX('Semrush Data'!$A$1:$Z$20000,MATCH(O333,'Semrush Data'!$A$1:$A$20000,0),MATCH("Volume",'Semrush Data'!$A$1:$Z$1,0)),""))</f>
        <v/>
      </c>
      <c r="U333" s="59">
        <f>IF(P333="","",IFERROR(INDEX('Semrush Data'!$A$1:$Z$20000,MATCH(P333,'Semrush Data'!$A$1:$A$20000,0),MATCH("Volume",'Semrush Data'!$A$1:$Z$1,0)),""))</f>
        <v/>
      </c>
      <c r="V333" s="60">
        <f>IF(COUNT(Q333:U333)=0,L333,IF(MAX(Q333:U333)=0,L333,INDEX(L333:P333,MATCH(MAX(Q333:U333),Q333:U333,0))))</f>
        <v/>
      </c>
      <c r="W333" s="59">
        <f>IFERROR(INDEX('Semrush Data'!$A$1:$Z$20000,MATCH(V333,'Semrush Data'!$A$1:$A$20000,0),MATCH("Volume",'Semrush Data'!$A$1:$Z$1,0)),"")</f>
        <v/>
      </c>
      <c r="X333" s="59">
        <f>IFERROR(INDEX('Semrush Data'!$A$1:$Z$20000,MATCH(V333,'Semrush Data'!$A$1:$A$20000,0),MATCH("Keyword Difficulty*",'Semrush Data'!$A$1:$Z$1,0)),"")</f>
        <v/>
      </c>
      <c r="Y333" s="61">
        <f>IFERROR(INDEX('Semrush Data'!$A$1:$Z$20000,MATCH(V333,'Semrush Data'!$A$1:$A$20000,0),MATCH("CPC*",'Semrush Data'!$A$1:$Z$1,0)),"")</f>
        <v/>
      </c>
      <c r="Z333" s="58" t="inlineStr">
        <is>
          <t>fumeri perfume · amber perfume uk</t>
        </is>
      </c>
      <c r="AA333" s="58" t="n"/>
      <c r="AB333" s="58" t="inlineStr">
        <is>
          <t>Fumeri Orpheon Unisex Eau De Parfum</t>
        </is>
      </c>
      <c r="AC333" s="58" t="inlineStr">
        <is>
          <t>Fumeri Orpheon Unisex EDP 100ml | Buy Online UK | Swansura</t>
        </is>
      </c>
      <c r="AD333" s="58">
        <f>LEN(AC333)</f>
        <v/>
      </c>
      <c r="AE333" s="58" t="inlineStr">
        <is>
          <t>Buy Fumeri Orpheon Unisex Eau De Parfum online in the UK at Swansura. An amber unisex eau de parfum, 100ml. 100% authentic, fast UK delivery, free over £50.</t>
        </is>
      </c>
      <c r="AF333" s="58">
        <f>LEN(AE333)</f>
        <v/>
      </c>
    </row>
    <row r="334" ht="15" customHeight="1" s="37">
      <c r="A334" s="58" t="inlineStr">
        <is>
          <t>FR-174</t>
        </is>
      </c>
      <c r="B334" s="58" t="inlineStr">
        <is>
          <t>Fragrance Catalogue</t>
        </is>
      </c>
      <c r="C334" s="58" t="n">
        <v>174</v>
      </c>
      <c r="D334" s="58" t="inlineStr">
        <is>
          <t>Fumeri</t>
        </is>
      </c>
      <c r="E334" s="58" t="n"/>
      <c r="F334" s="58" t="inlineStr">
        <is>
          <t>Fragrance</t>
        </is>
      </c>
      <c r="G334" s="58" t="inlineStr">
        <is>
          <t>Eau de Parfum (EDP)</t>
        </is>
      </c>
      <c r="H334" s="58" t="inlineStr">
        <is>
          <t>Oud · Men's Fragrance</t>
        </is>
      </c>
      <c r="I334" s="58" t="inlineStr">
        <is>
          <t>Fumeri Oud Saffron For Men Eau De Parfum 100ML</t>
        </is>
      </c>
      <c r="J334" s="58" t="inlineStr">
        <is>
          <t>100ml</t>
        </is>
      </c>
      <c r="K334" s="58" t="n">
        <v>23.95</v>
      </c>
      <c r="L334" s="58" t="inlineStr">
        <is>
          <t>fumeri oud saffron</t>
        </is>
      </c>
      <c r="M334" s="58" t="inlineStr">
        <is>
          <t>fumeri oud saffron uk</t>
        </is>
      </c>
      <c r="N334" s="58" t="inlineStr">
        <is>
          <t>buy fumeri oud saffron online</t>
        </is>
      </c>
      <c r="O334" s="58" t="inlineStr">
        <is>
          <t>fumeri oud saffron price</t>
        </is>
      </c>
      <c r="P334" s="58" t="inlineStr">
        <is>
          <t>fumeri oud saffron eau de parfum</t>
        </is>
      </c>
      <c r="Q334" s="59">
        <f>IF(L334="","",IFERROR(INDEX('Semrush Data'!$A$1:$Z$20000,MATCH(L334,'Semrush Data'!$A$1:$A$20000,0),MATCH("Volume",'Semrush Data'!$A$1:$Z$1,0)),""))</f>
        <v/>
      </c>
      <c r="R334" s="59">
        <f>IF(M334="","",IFERROR(INDEX('Semrush Data'!$A$1:$Z$20000,MATCH(M334,'Semrush Data'!$A$1:$A$20000,0),MATCH("Volume",'Semrush Data'!$A$1:$Z$1,0)),""))</f>
        <v/>
      </c>
      <c r="S334" s="59">
        <f>IF(N334="","",IFERROR(INDEX('Semrush Data'!$A$1:$Z$20000,MATCH(N334,'Semrush Data'!$A$1:$A$20000,0),MATCH("Volume",'Semrush Data'!$A$1:$Z$1,0)),""))</f>
        <v/>
      </c>
      <c r="T334" s="59">
        <f>IF(O334="","",IFERROR(INDEX('Semrush Data'!$A$1:$Z$20000,MATCH(O334,'Semrush Data'!$A$1:$A$20000,0),MATCH("Volume",'Semrush Data'!$A$1:$Z$1,0)),""))</f>
        <v/>
      </c>
      <c r="U334" s="59">
        <f>IF(P334="","",IFERROR(INDEX('Semrush Data'!$A$1:$Z$20000,MATCH(P334,'Semrush Data'!$A$1:$A$20000,0),MATCH("Volume",'Semrush Data'!$A$1:$Z$1,0)),""))</f>
        <v/>
      </c>
      <c r="V334" s="60">
        <f>IF(COUNT(Q334:U334)=0,L334,IF(MAX(Q334:U334)=0,L334,INDEX(L334:P334,MATCH(MAX(Q334:U334),Q334:U334,0))))</f>
        <v/>
      </c>
      <c r="W334" s="59">
        <f>IFERROR(INDEX('Semrush Data'!$A$1:$Z$20000,MATCH(V334,'Semrush Data'!$A$1:$A$20000,0),MATCH("Volume",'Semrush Data'!$A$1:$Z$1,0)),"")</f>
        <v/>
      </c>
      <c r="X334" s="59">
        <f>IFERROR(INDEX('Semrush Data'!$A$1:$Z$20000,MATCH(V334,'Semrush Data'!$A$1:$A$20000,0),MATCH("Keyword Difficulty*",'Semrush Data'!$A$1:$Z$1,0)),"")</f>
        <v/>
      </c>
      <c r="Y334" s="61">
        <f>IFERROR(INDEX('Semrush Data'!$A$1:$Z$20000,MATCH(V334,'Semrush Data'!$A$1:$A$20000,0),MATCH("CPC*",'Semrush Data'!$A$1:$Z$1,0)),"")</f>
        <v/>
      </c>
      <c r="Z334" s="58" t="inlineStr">
        <is>
          <t>fumeri perfume · fumeri perfume for men · oud perfume for men uk</t>
        </is>
      </c>
      <c r="AA334" s="58" t="inlineStr">
        <is>
          <t>fumeri perfume oud saffron</t>
        </is>
      </c>
      <c r="AB334" s="58" t="inlineStr">
        <is>
          <t>Fumeri Oud Saffron For Men Eau De Parfum</t>
        </is>
      </c>
      <c r="AC334" s="58" t="inlineStr">
        <is>
          <t>Fumeri Oud Saffron For Men Eau De Parfum | Swansura UK</t>
        </is>
      </c>
      <c r="AD334" s="58">
        <f>LEN(AC334)</f>
        <v/>
      </c>
      <c r="AE334" s="58" t="inlineStr">
        <is>
          <t>Buy Fumeri Oud Saffron For Men Eau De Parfum online in the UK at Swansura. An oud men's eau de parfum, 100ml. 100% authentic, fast UK delivery, free over £50.</t>
        </is>
      </c>
      <c r="AF334" s="58">
        <f>LEN(AE334)</f>
        <v/>
      </c>
    </row>
    <row r="335" ht="15" customHeight="1" s="37">
      <c r="A335" s="58" t="inlineStr">
        <is>
          <t>FR-175</t>
        </is>
      </c>
      <c r="B335" s="58" t="inlineStr">
        <is>
          <t>Fragrance Catalogue</t>
        </is>
      </c>
      <c r="C335" s="58" t="n">
        <v>175</v>
      </c>
      <c r="D335" s="58" t="inlineStr">
        <is>
          <t>Fumeri</t>
        </is>
      </c>
      <c r="E335" s="58" t="n"/>
      <c r="F335" s="58" t="inlineStr">
        <is>
          <t>Fragrance</t>
        </is>
      </c>
      <c r="G335" s="58" t="inlineStr">
        <is>
          <t>Eau de Parfum (EDP)</t>
        </is>
      </c>
      <c r="H335" s="58" t="inlineStr">
        <is>
          <t>Fruity · Unisex Fragrance</t>
        </is>
      </c>
      <c r="I335" s="58" t="inlineStr">
        <is>
          <t>Fumeri Peach Unisex Eau De Parfum 100ML</t>
        </is>
      </c>
      <c r="J335" s="58" t="inlineStr">
        <is>
          <t>100ml</t>
        </is>
      </c>
      <c r="K335" s="58" t="n">
        <v>37.95</v>
      </c>
      <c r="L335" s="58" t="inlineStr">
        <is>
          <t>fumeri peach</t>
        </is>
      </c>
      <c r="M335" s="58" t="inlineStr">
        <is>
          <t>fumeri peach uk</t>
        </is>
      </c>
      <c r="N335" s="58" t="inlineStr">
        <is>
          <t>buy fumeri peach online</t>
        </is>
      </c>
      <c r="O335" s="58" t="inlineStr">
        <is>
          <t>fumeri peach price</t>
        </is>
      </c>
      <c r="P335" s="58" t="inlineStr">
        <is>
          <t>fumeri peach eau de parfum</t>
        </is>
      </c>
      <c r="Q335" s="59">
        <f>IF(L335="","",IFERROR(INDEX('Semrush Data'!$A$1:$Z$20000,MATCH(L335,'Semrush Data'!$A$1:$A$20000,0),MATCH("Volume",'Semrush Data'!$A$1:$Z$1,0)),""))</f>
        <v/>
      </c>
      <c r="R335" s="59">
        <f>IF(M335="","",IFERROR(INDEX('Semrush Data'!$A$1:$Z$20000,MATCH(M335,'Semrush Data'!$A$1:$A$20000,0),MATCH("Volume",'Semrush Data'!$A$1:$Z$1,0)),""))</f>
        <v/>
      </c>
      <c r="S335" s="59">
        <f>IF(N335="","",IFERROR(INDEX('Semrush Data'!$A$1:$Z$20000,MATCH(N335,'Semrush Data'!$A$1:$A$20000,0),MATCH("Volume",'Semrush Data'!$A$1:$Z$1,0)),""))</f>
        <v/>
      </c>
      <c r="T335" s="59">
        <f>IF(O335="","",IFERROR(INDEX('Semrush Data'!$A$1:$Z$20000,MATCH(O335,'Semrush Data'!$A$1:$A$20000,0),MATCH("Volume",'Semrush Data'!$A$1:$Z$1,0)),""))</f>
        <v/>
      </c>
      <c r="U335" s="59">
        <f>IF(P335="","",IFERROR(INDEX('Semrush Data'!$A$1:$Z$20000,MATCH(P335,'Semrush Data'!$A$1:$A$20000,0),MATCH("Volume",'Semrush Data'!$A$1:$Z$1,0)),""))</f>
        <v/>
      </c>
      <c r="V335" s="60">
        <f>IF(COUNT(Q335:U335)=0,L335,IF(MAX(Q335:U335)=0,L335,INDEX(L335:P335,MATCH(MAX(Q335:U335),Q335:U335,0))))</f>
        <v/>
      </c>
      <c r="W335" s="59">
        <f>IFERROR(INDEX('Semrush Data'!$A$1:$Z$20000,MATCH(V335,'Semrush Data'!$A$1:$A$20000,0),MATCH("Volume",'Semrush Data'!$A$1:$Z$1,0)),"")</f>
        <v/>
      </c>
      <c r="X335" s="59">
        <f>IFERROR(INDEX('Semrush Data'!$A$1:$Z$20000,MATCH(V335,'Semrush Data'!$A$1:$A$20000,0),MATCH("Keyword Difficulty*",'Semrush Data'!$A$1:$Z$1,0)),"")</f>
        <v/>
      </c>
      <c r="Y335" s="61">
        <f>IFERROR(INDEX('Semrush Data'!$A$1:$Z$20000,MATCH(V335,'Semrush Data'!$A$1:$A$20000,0),MATCH("CPC*",'Semrush Data'!$A$1:$Z$1,0)),"")</f>
        <v/>
      </c>
      <c r="Z335" s="58" t="inlineStr">
        <is>
          <t>fumeri perfume · fruity perfume uk</t>
        </is>
      </c>
      <c r="AA335" s="58" t="inlineStr">
        <is>
          <t>fumeri peach perfume</t>
        </is>
      </c>
      <c r="AB335" s="58" t="inlineStr">
        <is>
          <t>Fumeri Peach Unisex Eau De Parfum</t>
        </is>
      </c>
      <c r="AC335" s="58" t="inlineStr">
        <is>
          <t>Fumeri Peach Unisex Eau De Parfum | Buy Online UK | Swansura</t>
        </is>
      </c>
      <c r="AD335" s="58">
        <f>LEN(AC335)</f>
        <v/>
      </c>
      <c r="AE335" s="58" t="inlineStr">
        <is>
          <t>Buy Fumeri Peach Unisex Eau De Parfum online in the UK at Swansura. A fruity unisex eau de parfum, 100ml. 100% authentic, fast UK delivery, free over £50.</t>
        </is>
      </c>
      <c r="AF335" s="58">
        <f>LEN(AE335)</f>
        <v/>
      </c>
    </row>
    <row r="336" ht="15" customHeight="1" s="37">
      <c r="A336" s="58" t="inlineStr">
        <is>
          <t>FR-176</t>
        </is>
      </c>
      <c r="B336" s="58" t="inlineStr">
        <is>
          <t>Fragrance Catalogue</t>
        </is>
      </c>
      <c r="C336" s="58" t="n">
        <v>176</v>
      </c>
      <c r="D336" s="58" t="inlineStr">
        <is>
          <t>Fumeri</t>
        </is>
      </c>
      <c r="E336" s="58" t="n"/>
      <c r="F336" s="58" t="inlineStr">
        <is>
          <t>Fragrance</t>
        </is>
      </c>
      <c r="G336" s="58" t="inlineStr">
        <is>
          <t>Eau de Parfum (EDP)</t>
        </is>
      </c>
      <c r="H336" s="58" t="inlineStr">
        <is>
          <t>Leather · Unisex Fragrance</t>
        </is>
      </c>
      <c r="I336" s="58" t="inlineStr">
        <is>
          <t>Fumeri Smokey Leather Unisex Eau De Parfum 100ML</t>
        </is>
      </c>
      <c r="J336" s="58" t="inlineStr">
        <is>
          <t>100ml</t>
        </is>
      </c>
      <c r="K336" s="58" t="n">
        <v>23.95</v>
      </c>
      <c r="L336" s="58" t="inlineStr">
        <is>
          <t>fumeri smokey leather</t>
        </is>
      </c>
      <c r="M336" s="58" t="inlineStr">
        <is>
          <t>fumeri smokey leather uk</t>
        </is>
      </c>
      <c r="N336" s="58" t="inlineStr">
        <is>
          <t>buy fumeri smokey leather online</t>
        </is>
      </c>
      <c r="O336" s="58" t="inlineStr">
        <is>
          <t>fumeri smokey leather price</t>
        </is>
      </c>
      <c r="P336" s="58" t="inlineStr">
        <is>
          <t>fumeri smokey leather eau de parfum</t>
        </is>
      </c>
      <c r="Q336" s="59">
        <f>IF(L336="","",IFERROR(INDEX('Semrush Data'!$A$1:$Z$20000,MATCH(L336,'Semrush Data'!$A$1:$A$20000,0),MATCH("Volume",'Semrush Data'!$A$1:$Z$1,0)),""))</f>
        <v/>
      </c>
      <c r="R336" s="59">
        <f>IF(M336="","",IFERROR(INDEX('Semrush Data'!$A$1:$Z$20000,MATCH(M336,'Semrush Data'!$A$1:$A$20000,0),MATCH("Volume",'Semrush Data'!$A$1:$Z$1,0)),""))</f>
        <v/>
      </c>
      <c r="S336" s="59">
        <f>IF(N336="","",IFERROR(INDEX('Semrush Data'!$A$1:$Z$20000,MATCH(N336,'Semrush Data'!$A$1:$A$20000,0),MATCH("Volume",'Semrush Data'!$A$1:$Z$1,0)),""))</f>
        <v/>
      </c>
      <c r="T336" s="59">
        <f>IF(O336="","",IFERROR(INDEX('Semrush Data'!$A$1:$Z$20000,MATCH(O336,'Semrush Data'!$A$1:$A$20000,0),MATCH("Volume",'Semrush Data'!$A$1:$Z$1,0)),""))</f>
        <v/>
      </c>
      <c r="U336" s="59">
        <f>IF(P336="","",IFERROR(INDEX('Semrush Data'!$A$1:$Z$20000,MATCH(P336,'Semrush Data'!$A$1:$A$20000,0),MATCH("Volume",'Semrush Data'!$A$1:$Z$1,0)),""))</f>
        <v/>
      </c>
      <c r="V336" s="60">
        <f>IF(COUNT(Q336:U336)=0,L336,IF(MAX(Q336:U336)=0,L336,INDEX(L336:P336,MATCH(MAX(Q336:U336),Q336:U336,0))))</f>
        <v/>
      </c>
      <c r="W336" s="59">
        <f>IFERROR(INDEX('Semrush Data'!$A$1:$Z$20000,MATCH(V336,'Semrush Data'!$A$1:$A$20000,0),MATCH("Volume",'Semrush Data'!$A$1:$Z$1,0)),"")</f>
        <v/>
      </c>
      <c r="X336" s="59">
        <f>IFERROR(INDEX('Semrush Data'!$A$1:$Z$20000,MATCH(V336,'Semrush Data'!$A$1:$A$20000,0),MATCH("Keyword Difficulty*",'Semrush Data'!$A$1:$Z$1,0)),"")</f>
        <v/>
      </c>
      <c r="Y336" s="61">
        <f>IFERROR(INDEX('Semrush Data'!$A$1:$Z$20000,MATCH(V336,'Semrush Data'!$A$1:$A$20000,0),MATCH("CPC*",'Semrush Data'!$A$1:$Z$1,0)),"")</f>
        <v/>
      </c>
      <c r="Z336" s="58" t="inlineStr">
        <is>
          <t>fumeri perfume · leather perfume uk</t>
        </is>
      </c>
      <c r="AA336" s="58" t="n"/>
      <c r="AB336" s="58" t="inlineStr">
        <is>
          <t>Fumeri Smokey Leather Unisex Eau De Parfum</t>
        </is>
      </c>
      <c r="AC336" s="58" t="inlineStr">
        <is>
          <t>Fumeri Smokey Leather Unisex Eau De Parfum | Swansura UK</t>
        </is>
      </c>
      <c r="AD336" s="58">
        <f>LEN(AC336)</f>
        <v/>
      </c>
      <c r="AE336" s="58" t="inlineStr">
        <is>
          <t>Buy Fumeri Smokey Leather Unisex Eau De Parfum online in the UK at Swansura. A leather unisex eau de parfum, 100ml. 100% authentic, free UK delivery over £50.</t>
        </is>
      </c>
      <c r="AF336" s="58">
        <f>LEN(AE336)</f>
        <v/>
      </c>
    </row>
    <row r="337" ht="15" customHeight="1" s="37">
      <c r="A337" s="58" t="inlineStr">
        <is>
          <t>FR-177</t>
        </is>
      </c>
      <c r="B337" s="58" t="inlineStr">
        <is>
          <t>Fragrance Catalogue</t>
        </is>
      </c>
      <c r="C337" s="58" t="n">
        <v>177</v>
      </c>
      <c r="D337" s="58" t="inlineStr">
        <is>
          <t>Fumeri</t>
        </is>
      </c>
      <c r="E337" s="58" t="n"/>
      <c r="F337" s="58" t="inlineStr">
        <is>
          <t>Fragrance</t>
        </is>
      </c>
      <c r="G337" s="58" t="inlineStr">
        <is>
          <t>Eau de Parfum (EDP)</t>
        </is>
      </c>
      <c r="H337" s="58" t="inlineStr">
        <is>
          <t>Amber · Unisex Fragrance</t>
        </is>
      </c>
      <c r="I337" s="58" t="inlineStr">
        <is>
          <t>Fumeri Style 33 Unisex Eau De Parfum 100ML</t>
        </is>
      </c>
      <c r="J337" s="58" t="inlineStr">
        <is>
          <t>100ml</t>
        </is>
      </c>
      <c r="K337" s="58" t="n">
        <v>37.95</v>
      </c>
      <c r="L337" s="58" t="inlineStr">
        <is>
          <t>fumeri style 33</t>
        </is>
      </c>
      <c r="M337" s="58" t="inlineStr">
        <is>
          <t>fumeri style 33 uk</t>
        </is>
      </c>
      <c r="N337" s="58" t="inlineStr">
        <is>
          <t>buy fumeri style 33 online</t>
        </is>
      </c>
      <c r="O337" s="58" t="inlineStr">
        <is>
          <t>fumeri style 33 price</t>
        </is>
      </c>
      <c r="P337" s="58" t="inlineStr">
        <is>
          <t>fumeri style 33 eau de parfum</t>
        </is>
      </c>
      <c r="Q337" s="59">
        <f>IF(L337="","",IFERROR(INDEX('Semrush Data'!$A$1:$Z$20000,MATCH(L337,'Semrush Data'!$A$1:$A$20000,0),MATCH("Volume",'Semrush Data'!$A$1:$Z$1,0)),""))</f>
        <v/>
      </c>
      <c r="R337" s="59">
        <f>IF(M337="","",IFERROR(INDEX('Semrush Data'!$A$1:$Z$20000,MATCH(M337,'Semrush Data'!$A$1:$A$20000,0),MATCH("Volume",'Semrush Data'!$A$1:$Z$1,0)),""))</f>
        <v/>
      </c>
      <c r="S337" s="59">
        <f>IF(N337="","",IFERROR(INDEX('Semrush Data'!$A$1:$Z$20000,MATCH(N337,'Semrush Data'!$A$1:$A$20000,0),MATCH("Volume",'Semrush Data'!$A$1:$Z$1,0)),""))</f>
        <v/>
      </c>
      <c r="T337" s="59">
        <f>IF(O337="","",IFERROR(INDEX('Semrush Data'!$A$1:$Z$20000,MATCH(O337,'Semrush Data'!$A$1:$A$20000,0),MATCH("Volume",'Semrush Data'!$A$1:$Z$1,0)),""))</f>
        <v/>
      </c>
      <c r="U337" s="59">
        <f>IF(P337="","",IFERROR(INDEX('Semrush Data'!$A$1:$Z$20000,MATCH(P337,'Semrush Data'!$A$1:$A$20000,0),MATCH("Volume",'Semrush Data'!$A$1:$Z$1,0)),""))</f>
        <v/>
      </c>
      <c r="V337" s="60">
        <f>IF(COUNT(Q337:U337)=0,L337,IF(MAX(Q337:U337)=0,L337,INDEX(L337:P337,MATCH(MAX(Q337:U337),Q337:U337,0))))</f>
        <v/>
      </c>
      <c r="W337" s="59">
        <f>IFERROR(INDEX('Semrush Data'!$A$1:$Z$20000,MATCH(V337,'Semrush Data'!$A$1:$A$20000,0),MATCH("Volume",'Semrush Data'!$A$1:$Z$1,0)),"")</f>
        <v/>
      </c>
      <c r="X337" s="59">
        <f>IFERROR(INDEX('Semrush Data'!$A$1:$Z$20000,MATCH(V337,'Semrush Data'!$A$1:$A$20000,0),MATCH("Keyword Difficulty*",'Semrush Data'!$A$1:$Z$1,0)),"")</f>
        <v/>
      </c>
      <c r="Y337" s="61">
        <f>IFERROR(INDEX('Semrush Data'!$A$1:$Z$20000,MATCH(V337,'Semrush Data'!$A$1:$A$20000,0),MATCH("CPC*",'Semrush Data'!$A$1:$Z$1,0)),"")</f>
        <v/>
      </c>
      <c r="Z337" s="58" t="inlineStr">
        <is>
          <t>fumeri perfume · amber perfume uk</t>
        </is>
      </c>
      <c r="AA337" s="58" t="inlineStr">
        <is>
          <t>fumeri style 33 review · fumeri style 33 perfume</t>
        </is>
      </c>
      <c r="AB337" s="58" t="inlineStr">
        <is>
          <t>Fumeri Style 33 Unisex Eau De Parfum</t>
        </is>
      </c>
      <c r="AC337" s="58" t="inlineStr">
        <is>
          <t>Fumeri Style 33 Unisex EDP 100ml | Buy Online UK | Swansura</t>
        </is>
      </c>
      <c r="AD337" s="58">
        <f>LEN(AC337)</f>
        <v/>
      </c>
      <c r="AE337" s="58" t="inlineStr">
        <is>
          <t>Buy Fumeri Style 33 Unisex Eau De Parfum online in the UK at Swansura. An amber unisex eau de parfum, 100ml. 100% authentic, fast UK delivery, free over £50.</t>
        </is>
      </c>
      <c r="AF337" s="58">
        <f>LEN(AE337)</f>
        <v/>
      </c>
    </row>
    <row r="338" ht="15" customHeight="1" s="37">
      <c r="A338" s="58" t="inlineStr">
        <is>
          <t>FR-178</t>
        </is>
      </c>
      <c r="B338" s="58" t="inlineStr">
        <is>
          <t>Fragrance Catalogue</t>
        </is>
      </c>
      <c r="C338" s="58" t="n">
        <v>178</v>
      </c>
      <c r="D338" s="58" t="inlineStr">
        <is>
          <t>Fumeri</t>
        </is>
      </c>
      <c r="E338" s="58" t="n"/>
      <c r="F338" s="58" t="inlineStr">
        <is>
          <t>Fragrance</t>
        </is>
      </c>
      <c r="G338" s="58" t="inlineStr">
        <is>
          <t>Eau de Parfum (EDP)</t>
        </is>
      </c>
      <c r="H338" s="58" t="inlineStr">
        <is>
          <t>Woody · Men's Fragrance</t>
        </is>
      </c>
      <c r="I338" s="58" t="inlineStr">
        <is>
          <t>Fumeri Victorious For Men Eau De Parfum 100ML</t>
        </is>
      </c>
      <c r="J338" s="58" t="inlineStr">
        <is>
          <t>100ml</t>
        </is>
      </c>
      <c r="K338" s="58" t="n">
        <v>23.95</v>
      </c>
      <c r="L338" s="58" t="inlineStr">
        <is>
          <t>fumeri victorious</t>
        </is>
      </c>
      <c r="M338" s="58" t="inlineStr">
        <is>
          <t>fumeri victorious uk</t>
        </is>
      </c>
      <c r="N338" s="58" t="inlineStr">
        <is>
          <t>buy fumeri victorious online</t>
        </is>
      </c>
      <c r="O338" s="58" t="inlineStr">
        <is>
          <t>fumeri victorious price</t>
        </is>
      </c>
      <c r="P338" s="58" t="inlineStr">
        <is>
          <t>fumeri victorious eau de parfum</t>
        </is>
      </c>
      <c r="Q338" s="59">
        <f>IF(L338="","",IFERROR(INDEX('Semrush Data'!$A$1:$Z$20000,MATCH(L338,'Semrush Data'!$A$1:$A$20000,0),MATCH("Volume",'Semrush Data'!$A$1:$Z$1,0)),""))</f>
        <v/>
      </c>
      <c r="R338" s="59">
        <f>IF(M338="","",IFERROR(INDEX('Semrush Data'!$A$1:$Z$20000,MATCH(M338,'Semrush Data'!$A$1:$A$20000,0),MATCH("Volume",'Semrush Data'!$A$1:$Z$1,0)),""))</f>
        <v/>
      </c>
      <c r="S338" s="59">
        <f>IF(N338="","",IFERROR(INDEX('Semrush Data'!$A$1:$Z$20000,MATCH(N338,'Semrush Data'!$A$1:$A$20000,0),MATCH("Volume",'Semrush Data'!$A$1:$Z$1,0)),""))</f>
        <v/>
      </c>
      <c r="T338" s="59">
        <f>IF(O338="","",IFERROR(INDEX('Semrush Data'!$A$1:$Z$20000,MATCH(O338,'Semrush Data'!$A$1:$A$20000,0),MATCH("Volume",'Semrush Data'!$A$1:$Z$1,0)),""))</f>
        <v/>
      </c>
      <c r="U338" s="59">
        <f>IF(P338="","",IFERROR(INDEX('Semrush Data'!$A$1:$Z$20000,MATCH(P338,'Semrush Data'!$A$1:$A$20000,0),MATCH("Volume",'Semrush Data'!$A$1:$Z$1,0)),""))</f>
        <v/>
      </c>
      <c r="V338" s="60">
        <f>IF(COUNT(Q338:U338)=0,L338,IF(MAX(Q338:U338)=0,L338,INDEX(L338:P338,MATCH(MAX(Q338:U338),Q338:U338,0))))</f>
        <v/>
      </c>
      <c r="W338" s="59">
        <f>IFERROR(INDEX('Semrush Data'!$A$1:$Z$20000,MATCH(V338,'Semrush Data'!$A$1:$A$20000,0),MATCH("Volume",'Semrush Data'!$A$1:$Z$1,0)),"")</f>
        <v/>
      </c>
      <c r="X338" s="59">
        <f>IFERROR(INDEX('Semrush Data'!$A$1:$Z$20000,MATCH(V338,'Semrush Data'!$A$1:$A$20000,0),MATCH("Keyword Difficulty*",'Semrush Data'!$A$1:$Z$1,0)),"")</f>
        <v/>
      </c>
      <c r="Y338" s="61">
        <f>IFERROR(INDEX('Semrush Data'!$A$1:$Z$20000,MATCH(V338,'Semrush Data'!$A$1:$A$20000,0),MATCH("CPC*",'Semrush Data'!$A$1:$Z$1,0)),"")</f>
        <v/>
      </c>
      <c r="Z338" s="58" t="inlineStr">
        <is>
          <t>fumeri perfume · fumeri perfume for men · woody perfume for men uk</t>
        </is>
      </c>
      <c r="AA338" s="58" t="inlineStr">
        <is>
          <t>fumeri victorious perfume · fumeri victorious perfume price</t>
        </is>
      </c>
      <c r="AB338" s="58" t="inlineStr">
        <is>
          <t>Fumeri Victorious For Men Eau De Parfum</t>
        </is>
      </c>
      <c r="AC338" s="58" t="inlineStr">
        <is>
          <t>Fumeri Victorious For Men Eau De Parfum | Swansura UK</t>
        </is>
      </c>
      <c r="AD338" s="58">
        <f>LEN(AC338)</f>
        <v/>
      </c>
      <c r="AE338" s="58" t="inlineStr">
        <is>
          <t>Buy Fumeri Victorious For Men Eau De Parfum online in the UK at Swansura. A woody men's eau de parfum, 100ml. 100% authentic, fast UK delivery, free over £50.</t>
        </is>
      </c>
      <c r="AF338" s="58">
        <f>LEN(AE338)</f>
        <v/>
      </c>
    </row>
    <row r="339" ht="15" customHeight="1" s="37">
      <c r="A339" s="58" t="inlineStr">
        <is>
          <t>FR-179</t>
        </is>
      </c>
      <c r="B339" s="58" t="inlineStr">
        <is>
          <t>Fragrance Catalogue</t>
        </is>
      </c>
      <c r="C339" s="58" t="n">
        <v>179</v>
      </c>
      <c r="D339" s="58" t="inlineStr">
        <is>
          <t>Fumeri</t>
        </is>
      </c>
      <c r="E339" s="58" t="n"/>
      <c r="F339" s="58" t="inlineStr">
        <is>
          <t>Fragrance</t>
        </is>
      </c>
      <c r="G339" s="58" t="inlineStr">
        <is>
          <t>Eau de Parfum (EDP)</t>
        </is>
      </c>
      <c r="H339" s="58" t="inlineStr">
        <is>
          <t>Amber · Unisex Fragrance</t>
        </is>
      </c>
      <c r="I339" s="58" t="inlineStr">
        <is>
          <t>Fumeri Wild Unisex Eau De Parfum 100ML</t>
        </is>
      </c>
      <c r="J339" s="58" t="inlineStr">
        <is>
          <t>100ml</t>
        </is>
      </c>
      <c r="K339" s="58" t="n">
        <v>37.95</v>
      </c>
      <c r="L339" s="58" t="inlineStr">
        <is>
          <t>fumeri wild</t>
        </is>
      </c>
      <c r="M339" s="58" t="inlineStr">
        <is>
          <t>fumeri wild uk</t>
        </is>
      </c>
      <c r="N339" s="58" t="inlineStr">
        <is>
          <t>buy fumeri wild online</t>
        </is>
      </c>
      <c r="O339" s="58" t="inlineStr">
        <is>
          <t>fumeri wild price</t>
        </is>
      </c>
      <c r="P339" s="58" t="inlineStr">
        <is>
          <t>fumeri wild eau de parfum</t>
        </is>
      </c>
      <c r="Q339" s="59">
        <f>IF(L339="","",IFERROR(INDEX('Semrush Data'!$A$1:$Z$20000,MATCH(L339,'Semrush Data'!$A$1:$A$20000,0),MATCH("Volume",'Semrush Data'!$A$1:$Z$1,0)),""))</f>
        <v/>
      </c>
      <c r="R339" s="59">
        <f>IF(M339="","",IFERROR(INDEX('Semrush Data'!$A$1:$Z$20000,MATCH(M339,'Semrush Data'!$A$1:$A$20000,0),MATCH("Volume",'Semrush Data'!$A$1:$Z$1,0)),""))</f>
        <v/>
      </c>
      <c r="S339" s="59">
        <f>IF(N339="","",IFERROR(INDEX('Semrush Data'!$A$1:$Z$20000,MATCH(N339,'Semrush Data'!$A$1:$A$20000,0),MATCH("Volume",'Semrush Data'!$A$1:$Z$1,0)),""))</f>
        <v/>
      </c>
      <c r="T339" s="59">
        <f>IF(O339="","",IFERROR(INDEX('Semrush Data'!$A$1:$Z$20000,MATCH(O339,'Semrush Data'!$A$1:$A$20000,0),MATCH("Volume",'Semrush Data'!$A$1:$Z$1,0)),""))</f>
        <v/>
      </c>
      <c r="U339" s="59">
        <f>IF(P339="","",IFERROR(INDEX('Semrush Data'!$A$1:$Z$20000,MATCH(P339,'Semrush Data'!$A$1:$A$20000,0),MATCH("Volume",'Semrush Data'!$A$1:$Z$1,0)),""))</f>
        <v/>
      </c>
      <c r="V339" s="60">
        <f>IF(COUNT(Q339:U339)=0,L339,IF(MAX(Q339:U339)=0,L339,INDEX(L339:P339,MATCH(MAX(Q339:U339),Q339:U339,0))))</f>
        <v/>
      </c>
      <c r="W339" s="59">
        <f>IFERROR(INDEX('Semrush Data'!$A$1:$Z$20000,MATCH(V339,'Semrush Data'!$A$1:$A$20000,0),MATCH("Volume",'Semrush Data'!$A$1:$Z$1,0)),"")</f>
        <v/>
      </c>
      <c r="X339" s="59">
        <f>IFERROR(INDEX('Semrush Data'!$A$1:$Z$20000,MATCH(V339,'Semrush Data'!$A$1:$A$20000,0),MATCH("Keyword Difficulty*",'Semrush Data'!$A$1:$Z$1,0)),"")</f>
        <v/>
      </c>
      <c r="Y339" s="61">
        <f>IFERROR(INDEX('Semrush Data'!$A$1:$Z$20000,MATCH(V339,'Semrush Data'!$A$1:$A$20000,0),MATCH("CPC*",'Semrush Data'!$A$1:$Z$1,0)),"")</f>
        <v/>
      </c>
      <c r="Z339" s="58" t="inlineStr">
        <is>
          <t>fumeri perfume · amber perfume uk</t>
        </is>
      </c>
      <c r="AA339" s="58" t="inlineStr">
        <is>
          <t>fumeri wild perfume · fumeri wild perfume price · fumeri wild eau de parfum</t>
        </is>
      </c>
      <c r="AB339" s="58" t="inlineStr">
        <is>
          <t>Fumeri Wild Unisex Eau De Parfum</t>
        </is>
      </c>
      <c r="AC339" s="58" t="inlineStr">
        <is>
          <t>Fumeri Wild Unisex Eau De Parfum | Buy Online UK | Swansura</t>
        </is>
      </c>
      <c r="AD339" s="58">
        <f>LEN(AC339)</f>
        <v/>
      </c>
      <c r="AE339" s="58" t="inlineStr">
        <is>
          <t>Buy Fumeri Wild Unisex Eau De Parfum online in the UK at Swansura. An amber unisex eau de parfum, 100ml. 100% authentic, fast UK delivery, free over £50.</t>
        </is>
      </c>
      <c r="AF339" s="58">
        <f>LEN(AE339)</f>
        <v/>
      </c>
    </row>
    <row r="340" ht="15" customHeight="1" s="37">
      <c r="A340" s="58" t="inlineStr">
        <is>
          <t>FR-180</t>
        </is>
      </c>
      <c r="B340" s="58" t="inlineStr">
        <is>
          <t>Fragrance Catalogue</t>
        </is>
      </c>
      <c r="C340" s="58" t="n">
        <v>180</v>
      </c>
      <c r="D340" s="58" t="inlineStr">
        <is>
          <t>Generic</t>
        </is>
      </c>
      <c r="E340" s="58" t="inlineStr">
        <is>
          <t>Real brand missing</t>
        </is>
      </c>
      <c r="F340" s="58" t="inlineStr">
        <is>
          <t>Fragrance</t>
        </is>
      </c>
      <c r="G340" s="58" t="inlineStr">
        <is>
          <t>Eau de Parfum (EDP)</t>
        </is>
      </c>
      <c r="H340" s="58" t="inlineStr">
        <is>
          <t>Woody · Men's Fragrance</t>
        </is>
      </c>
      <c r="I340" s="58" t="inlineStr">
        <is>
          <t>Game Of Spades Bid For Men | Eau De Parfum 100ml</t>
        </is>
      </c>
      <c r="J340" s="58" t="inlineStr">
        <is>
          <t>100ml</t>
        </is>
      </c>
      <c r="K340" s="58" t="n">
        <v>84.98999999999999</v>
      </c>
      <c r="L340" s="58" t="inlineStr">
        <is>
          <t>game of spades bid</t>
        </is>
      </c>
      <c r="M340" s="58" t="inlineStr">
        <is>
          <t>game of spades bid uk</t>
        </is>
      </c>
      <c r="N340" s="58" t="inlineStr">
        <is>
          <t>buy game of spades bid online</t>
        </is>
      </c>
      <c r="O340" s="58" t="inlineStr">
        <is>
          <t>game of spades bid price</t>
        </is>
      </c>
      <c r="P340" s="58" t="inlineStr">
        <is>
          <t>game of spades bid eau de parfum</t>
        </is>
      </c>
      <c r="Q340" s="59">
        <f>IF(L340="","",IFERROR(INDEX('Semrush Data'!$A$1:$Z$20000,MATCH(L340,'Semrush Data'!$A$1:$A$20000,0),MATCH("Volume",'Semrush Data'!$A$1:$Z$1,0)),""))</f>
        <v/>
      </c>
      <c r="R340" s="59">
        <f>IF(M340="","",IFERROR(INDEX('Semrush Data'!$A$1:$Z$20000,MATCH(M340,'Semrush Data'!$A$1:$A$20000,0),MATCH("Volume",'Semrush Data'!$A$1:$Z$1,0)),""))</f>
        <v/>
      </c>
      <c r="S340" s="59">
        <f>IF(N340="","",IFERROR(INDEX('Semrush Data'!$A$1:$Z$20000,MATCH(N340,'Semrush Data'!$A$1:$A$20000,0),MATCH("Volume",'Semrush Data'!$A$1:$Z$1,0)),""))</f>
        <v/>
      </c>
      <c r="T340" s="59">
        <f>IF(O340="","",IFERROR(INDEX('Semrush Data'!$A$1:$Z$20000,MATCH(O340,'Semrush Data'!$A$1:$A$20000,0),MATCH("Volume",'Semrush Data'!$A$1:$Z$1,0)),""))</f>
        <v/>
      </c>
      <c r="U340" s="59">
        <f>IF(P340="","",IFERROR(INDEX('Semrush Data'!$A$1:$Z$20000,MATCH(P340,'Semrush Data'!$A$1:$A$20000,0),MATCH("Volume",'Semrush Data'!$A$1:$Z$1,0)),""))</f>
        <v/>
      </c>
      <c r="V340" s="60">
        <f>IF(COUNT(Q340:U340)=0,L340,IF(MAX(Q340:U340)=0,L340,INDEX(L340:P340,MATCH(MAX(Q340:U340),Q340:U340,0))))</f>
        <v/>
      </c>
      <c r="W340" s="59">
        <f>IFERROR(INDEX('Semrush Data'!$A$1:$Z$20000,MATCH(V340,'Semrush Data'!$A$1:$A$20000,0),MATCH("Volume",'Semrush Data'!$A$1:$Z$1,0)),"")</f>
        <v/>
      </c>
      <c r="X340" s="59">
        <f>IFERROR(INDEX('Semrush Data'!$A$1:$Z$20000,MATCH(V340,'Semrush Data'!$A$1:$A$20000,0),MATCH("Keyword Difficulty*",'Semrush Data'!$A$1:$Z$1,0)),"")</f>
        <v/>
      </c>
      <c r="Y340" s="61">
        <f>IFERROR(INDEX('Semrush Data'!$A$1:$Z$20000,MATCH(V340,'Semrush Data'!$A$1:$A$20000,0),MATCH("CPC*",'Semrush Data'!$A$1:$Z$1,0)),"")</f>
        <v/>
      </c>
      <c r="Z340" s="58" t="inlineStr">
        <is>
          <t>woody perfume for men uk</t>
        </is>
      </c>
      <c r="AA340" s="58" t="inlineStr">
        <is>
          <t>game of spades bid dupe of · game of spades bid perfume · game of spades bid notes · game of spades bid review · game of spades bid parfum</t>
        </is>
      </c>
      <c r="AB340" s="58" t="inlineStr">
        <is>
          <t>Game Of Spades Bid For Men</t>
        </is>
      </c>
      <c r="AC340" s="58" t="inlineStr">
        <is>
          <t>Game Of Spades Bid For Men | Buy Online UK | Swansura</t>
        </is>
      </c>
      <c r="AD340" s="58">
        <f>LEN(AC340)</f>
        <v/>
      </c>
      <c r="AE340" s="58" t="inlineStr">
        <is>
          <t>Buy Game Of Spades Bid For Men online in the UK at Swansura. A woody men's eau de parfum, 100ml. 100% authentic, fast UK delivery, free over £50.</t>
        </is>
      </c>
      <c r="AF340" s="58">
        <f>LEN(AE340)</f>
        <v/>
      </c>
    </row>
    <row r="341" ht="15" customHeight="1" s="37">
      <c r="A341" s="58" t="inlineStr">
        <is>
          <t>FR-181</t>
        </is>
      </c>
      <c r="B341" s="58" t="inlineStr">
        <is>
          <t>Fragrance Catalogue</t>
        </is>
      </c>
      <c r="C341" s="58" t="n">
        <v>181</v>
      </c>
      <c r="D341" s="58" t="inlineStr">
        <is>
          <t>Generic</t>
        </is>
      </c>
      <c r="E341" s="58" t="inlineStr">
        <is>
          <t>Real brand missing</t>
        </is>
      </c>
      <c r="F341" s="58" t="inlineStr">
        <is>
          <t>Fragrance</t>
        </is>
      </c>
      <c r="G341" s="58" t="inlineStr">
        <is>
          <t>Eau de Parfum (EDP)</t>
        </is>
      </c>
      <c r="H341" s="58" t="inlineStr">
        <is>
          <t>Woody · Unisex Fragrance</t>
        </is>
      </c>
      <c r="I341" s="58" t="inlineStr">
        <is>
          <t>Game Of Spades Blind-Bid | Eau De Parfum 100ml | Long Lasting Luxury Unisex Perfume for Men &amp; Women</t>
        </is>
      </c>
      <c r="J341" s="58" t="inlineStr">
        <is>
          <t>100ml</t>
        </is>
      </c>
      <c r="K341" s="58" t="n">
        <v>89.98999999999999</v>
      </c>
      <c r="L341" s="58" t="inlineStr">
        <is>
          <t>game of spades blind-bid</t>
        </is>
      </c>
      <c r="M341" s="58" t="inlineStr">
        <is>
          <t>game of spades blind-bid uk</t>
        </is>
      </c>
      <c r="N341" s="58" t="inlineStr">
        <is>
          <t>buy game of spades blind-bid online</t>
        </is>
      </c>
      <c r="O341" s="58" t="inlineStr">
        <is>
          <t>game of spades blind-bid price</t>
        </is>
      </c>
      <c r="P341" s="58" t="inlineStr">
        <is>
          <t>game of spades blind-bid eau de parfum</t>
        </is>
      </c>
      <c r="Q341" s="59">
        <f>IF(L341="","",IFERROR(INDEX('Semrush Data'!$A$1:$Z$20000,MATCH(L341,'Semrush Data'!$A$1:$A$20000,0),MATCH("Volume",'Semrush Data'!$A$1:$Z$1,0)),""))</f>
        <v/>
      </c>
      <c r="R341" s="59">
        <f>IF(M341="","",IFERROR(INDEX('Semrush Data'!$A$1:$Z$20000,MATCH(M341,'Semrush Data'!$A$1:$A$20000,0),MATCH("Volume",'Semrush Data'!$A$1:$Z$1,0)),""))</f>
        <v/>
      </c>
      <c r="S341" s="59">
        <f>IF(N341="","",IFERROR(INDEX('Semrush Data'!$A$1:$Z$20000,MATCH(N341,'Semrush Data'!$A$1:$A$20000,0),MATCH("Volume",'Semrush Data'!$A$1:$Z$1,0)),""))</f>
        <v/>
      </c>
      <c r="T341" s="59">
        <f>IF(O341="","",IFERROR(INDEX('Semrush Data'!$A$1:$Z$20000,MATCH(O341,'Semrush Data'!$A$1:$A$20000,0),MATCH("Volume",'Semrush Data'!$A$1:$Z$1,0)),""))</f>
        <v/>
      </c>
      <c r="U341" s="59">
        <f>IF(P341="","",IFERROR(INDEX('Semrush Data'!$A$1:$Z$20000,MATCH(P341,'Semrush Data'!$A$1:$A$20000,0),MATCH("Volume",'Semrush Data'!$A$1:$Z$1,0)),""))</f>
        <v/>
      </c>
      <c r="V341" s="60">
        <f>IF(COUNT(Q341:U341)=0,L341,IF(MAX(Q341:U341)=0,L341,INDEX(L341:P341,MATCH(MAX(Q341:U341),Q341:U341,0))))</f>
        <v/>
      </c>
      <c r="W341" s="59">
        <f>IFERROR(INDEX('Semrush Data'!$A$1:$Z$20000,MATCH(V341,'Semrush Data'!$A$1:$A$20000,0),MATCH("Volume",'Semrush Data'!$A$1:$Z$1,0)),"")</f>
        <v/>
      </c>
      <c r="X341" s="59">
        <f>IFERROR(INDEX('Semrush Data'!$A$1:$Z$20000,MATCH(V341,'Semrush Data'!$A$1:$A$20000,0),MATCH("Keyword Difficulty*",'Semrush Data'!$A$1:$Z$1,0)),"")</f>
        <v/>
      </c>
      <c r="Y341" s="61">
        <f>IFERROR(INDEX('Semrush Data'!$A$1:$Z$20000,MATCH(V341,'Semrush Data'!$A$1:$A$20000,0),MATCH("CPC*",'Semrush Data'!$A$1:$Z$1,0)),"")</f>
        <v/>
      </c>
      <c r="Z341" s="58" t="inlineStr">
        <is>
          <t>woody perfume uk</t>
        </is>
      </c>
      <c r="AA341" s="58" t="inlineStr">
        <is>
          <t>game of spades blind bid dupe · game of spades blind bid notes · game of spades blind bid review · game of spades blind bid smells like · game of spades blind bid perfume review</t>
        </is>
      </c>
      <c r="AB341" s="58" t="inlineStr">
        <is>
          <t>Game Of Spades Blind-Bid</t>
        </is>
      </c>
      <c r="AC341" s="58" t="inlineStr">
        <is>
          <t>Game Of Spades Blind-Bid | Buy Online UK | Swansura</t>
        </is>
      </c>
      <c r="AD341" s="58">
        <f>LEN(AC341)</f>
        <v/>
      </c>
      <c r="AE341" s="58" t="inlineStr">
        <is>
          <t>Buy Game Of Spades Blind-Bid online in the UK at Swansura. A woody unisex eau de parfum, 100ml. 100% authentic, fast UK delivery, free over £50.</t>
        </is>
      </c>
      <c r="AF341" s="58">
        <f>LEN(AE341)</f>
        <v/>
      </c>
    </row>
    <row r="342" ht="15" customHeight="1" s="37">
      <c r="A342" s="58" t="inlineStr">
        <is>
          <t>FR-182</t>
        </is>
      </c>
      <c r="B342" s="58" t="inlineStr">
        <is>
          <t>Fragrance Catalogue</t>
        </is>
      </c>
      <c r="C342" s="58" t="n">
        <v>182</v>
      </c>
      <c r="D342" s="58" t="inlineStr">
        <is>
          <t>Generic</t>
        </is>
      </c>
      <c r="E342" s="58" t="inlineStr">
        <is>
          <t>Real brand missing</t>
        </is>
      </c>
      <c r="F342" s="58" t="inlineStr">
        <is>
          <t>Fragrance</t>
        </is>
      </c>
      <c r="G342" s="58" t="inlineStr">
        <is>
          <t>Eau de Parfum (EDP)</t>
        </is>
      </c>
      <c r="H342" s="58" t="inlineStr">
        <is>
          <t>Woody · Men's Fragrance</t>
        </is>
      </c>
      <c r="I342" s="58" t="inlineStr">
        <is>
          <t>Game Of Spades Boston For Men | Eau De Parfum 100ml</t>
        </is>
      </c>
      <c r="J342" s="58" t="inlineStr">
        <is>
          <t>100ml</t>
        </is>
      </c>
      <c r="K342" s="58" t="n">
        <v>89.98999999999999</v>
      </c>
      <c r="L342" s="58" t="inlineStr">
        <is>
          <t>game of spades boston</t>
        </is>
      </c>
      <c r="M342" s="58" t="inlineStr">
        <is>
          <t>game of spades boston uk</t>
        </is>
      </c>
      <c r="N342" s="58" t="inlineStr">
        <is>
          <t>buy game of spades boston online</t>
        </is>
      </c>
      <c r="O342" s="58" t="inlineStr">
        <is>
          <t>game of spades boston price</t>
        </is>
      </c>
      <c r="P342" s="58" t="inlineStr">
        <is>
          <t>game of spades boston eau de parfum</t>
        </is>
      </c>
      <c r="Q342" s="59">
        <f>IF(L342="","",IFERROR(INDEX('Semrush Data'!$A$1:$Z$20000,MATCH(L342,'Semrush Data'!$A$1:$A$20000,0),MATCH("Volume",'Semrush Data'!$A$1:$Z$1,0)),""))</f>
        <v/>
      </c>
      <c r="R342" s="59">
        <f>IF(M342="","",IFERROR(INDEX('Semrush Data'!$A$1:$Z$20000,MATCH(M342,'Semrush Data'!$A$1:$A$20000,0),MATCH("Volume",'Semrush Data'!$A$1:$Z$1,0)),""))</f>
        <v/>
      </c>
      <c r="S342" s="59">
        <f>IF(N342="","",IFERROR(INDEX('Semrush Data'!$A$1:$Z$20000,MATCH(N342,'Semrush Data'!$A$1:$A$20000,0),MATCH("Volume",'Semrush Data'!$A$1:$Z$1,0)),""))</f>
        <v/>
      </c>
      <c r="T342" s="59">
        <f>IF(O342="","",IFERROR(INDEX('Semrush Data'!$A$1:$Z$20000,MATCH(O342,'Semrush Data'!$A$1:$A$20000,0),MATCH("Volume",'Semrush Data'!$A$1:$Z$1,0)),""))</f>
        <v/>
      </c>
      <c r="U342" s="59">
        <f>IF(P342="","",IFERROR(INDEX('Semrush Data'!$A$1:$Z$20000,MATCH(P342,'Semrush Data'!$A$1:$A$20000,0),MATCH("Volume",'Semrush Data'!$A$1:$Z$1,0)),""))</f>
        <v/>
      </c>
      <c r="V342" s="60">
        <f>IF(COUNT(Q342:U342)=0,L342,IF(MAX(Q342:U342)=0,L342,INDEX(L342:P342,MATCH(MAX(Q342:U342),Q342:U342,0))))</f>
        <v/>
      </c>
      <c r="W342" s="59">
        <f>IFERROR(INDEX('Semrush Data'!$A$1:$Z$20000,MATCH(V342,'Semrush Data'!$A$1:$A$20000,0),MATCH("Volume",'Semrush Data'!$A$1:$Z$1,0)),"")</f>
        <v/>
      </c>
      <c r="X342" s="59">
        <f>IFERROR(INDEX('Semrush Data'!$A$1:$Z$20000,MATCH(V342,'Semrush Data'!$A$1:$A$20000,0),MATCH("Keyword Difficulty*",'Semrush Data'!$A$1:$Z$1,0)),"")</f>
        <v/>
      </c>
      <c r="Y342" s="61">
        <f>IFERROR(INDEX('Semrush Data'!$A$1:$Z$20000,MATCH(V342,'Semrush Data'!$A$1:$A$20000,0),MATCH("CPC*",'Semrush Data'!$A$1:$Z$1,0)),"")</f>
        <v/>
      </c>
      <c r="Z342" s="58" t="inlineStr">
        <is>
          <t>woody perfume for men uk</t>
        </is>
      </c>
      <c r="AA342" s="58" t="inlineStr">
        <is>
          <t>game of spades boston dupe of · game of spades boston notes · game of spades boston review · game of spades boston perfume</t>
        </is>
      </c>
      <c r="AB342" s="58" t="inlineStr">
        <is>
          <t>Game Of Spades Boston For Men</t>
        </is>
      </c>
      <c r="AC342" s="58" t="inlineStr">
        <is>
          <t>Game Of Spades Boston For Men | Buy Online UK | Swansura</t>
        </is>
      </c>
      <c r="AD342" s="58">
        <f>LEN(AC342)</f>
        <v/>
      </c>
      <c r="AE342" s="58" t="inlineStr">
        <is>
          <t>Buy Game Of Spades Boston For Men online in the UK at Swansura. A woody men's eau de parfum, 100ml. 100% authentic, fast UK delivery, free over £50.</t>
        </is>
      </c>
      <c r="AF342" s="58">
        <f>LEN(AE342)</f>
        <v/>
      </c>
    </row>
    <row r="343" ht="15" customHeight="1" s="37">
      <c r="A343" s="58" t="inlineStr">
        <is>
          <t>FR-183</t>
        </is>
      </c>
      <c r="B343" s="58" t="inlineStr">
        <is>
          <t>Fragrance Catalogue</t>
        </is>
      </c>
      <c r="C343" s="58" t="n">
        <v>183</v>
      </c>
      <c r="D343" s="58" t="inlineStr">
        <is>
          <t>Generic</t>
        </is>
      </c>
      <c r="E343" s="58" t="inlineStr">
        <is>
          <t>Real brand missing</t>
        </is>
      </c>
      <c r="F343" s="58" t="inlineStr">
        <is>
          <t>Fragrance</t>
        </is>
      </c>
      <c r="G343" s="58" t="inlineStr">
        <is>
          <t>Eau de Parfum (EDP)</t>
        </is>
      </c>
      <c r="H343" s="58" t="inlineStr">
        <is>
          <t>Woody · Men's Fragrance</t>
        </is>
      </c>
      <c r="I343" s="58" t="inlineStr">
        <is>
          <t>Game of Spades Diamond Eau de Parfum Spray 100ml | Luxury Long Lasting Perfume for Men</t>
        </is>
      </c>
      <c r="J343" s="58" t="inlineStr">
        <is>
          <t>100ml</t>
        </is>
      </c>
      <c r="K343" s="58" t="n">
        <v>85.98999999999999</v>
      </c>
      <c r="L343" s="58" t="inlineStr">
        <is>
          <t>game of spades diamond</t>
        </is>
      </c>
      <c r="M343" s="58" t="inlineStr">
        <is>
          <t>game of spades diamond uk</t>
        </is>
      </c>
      <c r="N343" s="58" t="inlineStr">
        <is>
          <t>buy game of spades diamond online</t>
        </is>
      </c>
      <c r="O343" s="58" t="inlineStr">
        <is>
          <t>game of spades diamond price</t>
        </is>
      </c>
      <c r="P343" s="58" t="inlineStr">
        <is>
          <t>game of spades diamond eau de parfum</t>
        </is>
      </c>
      <c r="Q343" s="59">
        <f>IF(L343="","",IFERROR(INDEX('Semrush Data'!$A$1:$Z$20000,MATCH(L343,'Semrush Data'!$A$1:$A$20000,0),MATCH("Volume",'Semrush Data'!$A$1:$Z$1,0)),""))</f>
        <v/>
      </c>
      <c r="R343" s="59">
        <f>IF(M343="","",IFERROR(INDEX('Semrush Data'!$A$1:$Z$20000,MATCH(M343,'Semrush Data'!$A$1:$A$20000,0),MATCH("Volume",'Semrush Data'!$A$1:$Z$1,0)),""))</f>
        <v/>
      </c>
      <c r="S343" s="59">
        <f>IF(N343="","",IFERROR(INDEX('Semrush Data'!$A$1:$Z$20000,MATCH(N343,'Semrush Data'!$A$1:$A$20000,0),MATCH("Volume",'Semrush Data'!$A$1:$Z$1,0)),""))</f>
        <v/>
      </c>
      <c r="T343" s="59">
        <f>IF(O343="","",IFERROR(INDEX('Semrush Data'!$A$1:$Z$20000,MATCH(O343,'Semrush Data'!$A$1:$A$20000,0),MATCH("Volume",'Semrush Data'!$A$1:$Z$1,0)),""))</f>
        <v/>
      </c>
      <c r="U343" s="59">
        <f>IF(P343="","",IFERROR(INDEX('Semrush Data'!$A$1:$Z$20000,MATCH(P343,'Semrush Data'!$A$1:$A$20000,0),MATCH("Volume",'Semrush Data'!$A$1:$Z$1,0)),""))</f>
        <v/>
      </c>
      <c r="V343" s="60">
        <f>IF(COUNT(Q343:U343)=0,L343,IF(MAX(Q343:U343)=0,L343,INDEX(L343:P343,MATCH(MAX(Q343:U343),Q343:U343,0))))</f>
        <v/>
      </c>
      <c r="W343" s="59">
        <f>IFERROR(INDEX('Semrush Data'!$A$1:$Z$20000,MATCH(V343,'Semrush Data'!$A$1:$A$20000,0),MATCH("Volume",'Semrush Data'!$A$1:$Z$1,0)),"")</f>
        <v/>
      </c>
      <c r="X343" s="59">
        <f>IFERROR(INDEX('Semrush Data'!$A$1:$Z$20000,MATCH(V343,'Semrush Data'!$A$1:$A$20000,0),MATCH("Keyword Difficulty*",'Semrush Data'!$A$1:$Z$1,0)),"")</f>
        <v/>
      </c>
      <c r="Y343" s="61">
        <f>IFERROR(INDEX('Semrush Data'!$A$1:$Z$20000,MATCH(V343,'Semrush Data'!$A$1:$A$20000,0),MATCH("CPC*",'Semrush Data'!$A$1:$Z$1,0)),"")</f>
        <v/>
      </c>
      <c r="Z343" s="58" t="inlineStr">
        <is>
          <t>woody perfume for men uk</t>
        </is>
      </c>
      <c r="AA343" s="58" t="inlineStr">
        <is>
          <t>game of spades diamond dupe of · game of spades diamond notes · game of spades diamond perfume · game of spades diamond review · game of spades diamond 30ml</t>
        </is>
      </c>
      <c r="AB343" s="58" t="inlineStr">
        <is>
          <t>Game of Spades Diamond Eau de Parfum Spray</t>
        </is>
      </c>
      <c r="AC343" s="58" t="inlineStr">
        <is>
          <t>Game of Spades Diamond Eau de Parfum Spray | Swansura UK</t>
        </is>
      </c>
      <c r="AD343" s="58">
        <f>LEN(AC343)</f>
        <v/>
      </c>
      <c r="AE343" s="58" t="inlineStr">
        <is>
          <t>Buy Game of Spades Diamond Eau de Parfum Spray online in the UK at Swansura. A woody men's eau de parfum, 100ml. 100% authentic, free UK delivery over £50.</t>
        </is>
      </c>
      <c r="AF343" s="58">
        <f>LEN(AE343)</f>
        <v/>
      </c>
    </row>
    <row r="344" ht="15" customHeight="1" s="37">
      <c r="A344" s="58" t="inlineStr">
        <is>
          <t>FR-184</t>
        </is>
      </c>
      <c r="B344" s="58" t="inlineStr">
        <is>
          <t>Fragrance Catalogue</t>
        </is>
      </c>
      <c r="C344" s="58" t="n">
        <v>184</v>
      </c>
      <c r="D344" s="58" t="inlineStr">
        <is>
          <t>Generic</t>
        </is>
      </c>
      <c r="E344" s="58" t="inlineStr">
        <is>
          <t>Real brand missing</t>
        </is>
      </c>
      <c r="F344" s="58" t="inlineStr">
        <is>
          <t>Fragrance</t>
        </is>
      </c>
      <c r="G344" s="58" t="inlineStr">
        <is>
          <t>Eau de Parfum (EDP)</t>
        </is>
      </c>
      <c r="H344" s="58" t="inlineStr">
        <is>
          <t>Amber · Unisex Fragrance</t>
        </is>
      </c>
      <c r="I344" s="58" t="inlineStr">
        <is>
          <t>Game of Spades Full House Unisex Eau de Parfum 100ml</t>
        </is>
      </c>
      <c r="J344" s="58" t="inlineStr">
        <is>
          <t>100ml</t>
        </is>
      </c>
      <c r="K344" s="58" t="n">
        <v>92.98999999999999</v>
      </c>
      <c r="L344" s="58" t="inlineStr">
        <is>
          <t>game of spades full house</t>
        </is>
      </c>
      <c r="M344" s="58" t="inlineStr">
        <is>
          <t>game of spades full house uk</t>
        </is>
      </c>
      <c r="N344" s="58" t="inlineStr">
        <is>
          <t>buy game of spades full house online</t>
        </is>
      </c>
      <c r="O344" s="58" t="inlineStr">
        <is>
          <t>game of spades full house price</t>
        </is>
      </c>
      <c r="P344" s="58" t="inlineStr">
        <is>
          <t>game of spades full house eau de parfum</t>
        </is>
      </c>
      <c r="Q344" s="59">
        <f>IF(L344="","",IFERROR(INDEX('Semrush Data'!$A$1:$Z$20000,MATCH(L344,'Semrush Data'!$A$1:$A$20000,0),MATCH("Volume",'Semrush Data'!$A$1:$Z$1,0)),""))</f>
        <v/>
      </c>
      <c r="R344" s="59">
        <f>IF(M344="","",IFERROR(INDEX('Semrush Data'!$A$1:$Z$20000,MATCH(M344,'Semrush Data'!$A$1:$A$20000,0),MATCH("Volume",'Semrush Data'!$A$1:$Z$1,0)),""))</f>
        <v/>
      </c>
      <c r="S344" s="59">
        <f>IF(N344="","",IFERROR(INDEX('Semrush Data'!$A$1:$Z$20000,MATCH(N344,'Semrush Data'!$A$1:$A$20000,0),MATCH("Volume",'Semrush Data'!$A$1:$Z$1,0)),""))</f>
        <v/>
      </c>
      <c r="T344" s="59">
        <f>IF(O344="","",IFERROR(INDEX('Semrush Data'!$A$1:$Z$20000,MATCH(O344,'Semrush Data'!$A$1:$A$20000,0),MATCH("Volume",'Semrush Data'!$A$1:$Z$1,0)),""))</f>
        <v/>
      </c>
      <c r="U344" s="59">
        <f>IF(P344="","",IFERROR(INDEX('Semrush Data'!$A$1:$Z$20000,MATCH(P344,'Semrush Data'!$A$1:$A$20000,0),MATCH("Volume",'Semrush Data'!$A$1:$Z$1,0)),""))</f>
        <v/>
      </c>
      <c r="V344" s="60">
        <f>IF(COUNT(Q344:U344)=0,L344,IF(MAX(Q344:U344)=0,L344,INDEX(L344:P344,MATCH(MAX(Q344:U344),Q344:U344,0))))</f>
        <v/>
      </c>
      <c r="W344" s="59">
        <f>IFERROR(INDEX('Semrush Data'!$A$1:$Z$20000,MATCH(V344,'Semrush Data'!$A$1:$A$20000,0),MATCH("Volume",'Semrush Data'!$A$1:$Z$1,0)),"")</f>
        <v/>
      </c>
      <c r="X344" s="59">
        <f>IFERROR(INDEX('Semrush Data'!$A$1:$Z$20000,MATCH(V344,'Semrush Data'!$A$1:$A$20000,0),MATCH("Keyword Difficulty*",'Semrush Data'!$A$1:$Z$1,0)),"")</f>
        <v/>
      </c>
      <c r="Y344" s="61">
        <f>IFERROR(INDEX('Semrush Data'!$A$1:$Z$20000,MATCH(V344,'Semrush Data'!$A$1:$A$20000,0),MATCH("CPC*",'Semrush Data'!$A$1:$Z$1,0)),"")</f>
        <v/>
      </c>
      <c r="Z344" s="58" t="inlineStr">
        <is>
          <t>amber perfume uk</t>
        </is>
      </c>
      <c r="AA344" s="58" t="inlineStr">
        <is>
          <t>game of spades full house dupe · game of spades full house notes · game of spades full house perfume · game of spades full house price · game of spades full house review</t>
        </is>
      </c>
      <c r="AB344" s="58" t="inlineStr">
        <is>
          <t>Game of Spades Full House Unisex Eau de Parfum</t>
        </is>
      </c>
      <c r="AC344" s="58" t="inlineStr">
        <is>
          <t>Game of Spades Full House Unisex Eau de Parfum | Swansura UK</t>
        </is>
      </c>
      <c r="AD344" s="58">
        <f>LEN(AC344)</f>
        <v/>
      </c>
      <c r="AE344" s="58" t="inlineStr">
        <is>
          <t>Buy Game of Spades Full House Unisex Eau de Parfum online in the UK at Swansura. An amber unisex eau de parfum. 100% authentic, fast UK delivery, free over £50.</t>
        </is>
      </c>
      <c r="AF344" s="58">
        <f>LEN(AE344)</f>
        <v/>
      </c>
    </row>
    <row r="345" ht="15" customHeight="1" s="37">
      <c r="A345" s="58" t="inlineStr">
        <is>
          <t>FR-185</t>
        </is>
      </c>
      <c r="B345" s="58" t="inlineStr">
        <is>
          <t>Fragrance Catalogue</t>
        </is>
      </c>
      <c r="C345" s="58" t="n">
        <v>185</v>
      </c>
      <c r="D345" s="58" t="inlineStr">
        <is>
          <t>Generic</t>
        </is>
      </c>
      <c r="E345" s="58" t="inlineStr">
        <is>
          <t>Real brand missing</t>
        </is>
      </c>
      <c r="F345" s="58" t="inlineStr">
        <is>
          <t>Fragrance</t>
        </is>
      </c>
      <c r="G345" s="58" t="inlineStr">
        <is>
          <t>Eau de Parfum (EDP)</t>
        </is>
      </c>
      <c r="H345" s="58" t="inlineStr">
        <is>
          <t>Amber · Unisex Fragrance</t>
        </is>
      </c>
      <c r="I345" s="58" t="inlineStr">
        <is>
          <t>Game Of Spades High Roller Unisex Eau De Parfum 100ml</t>
        </is>
      </c>
      <c r="J345" s="58" t="inlineStr">
        <is>
          <t>100ml</t>
        </is>
      </c>
      <c r="K345" s="58" t="n">
        <v>109.99</v>
      </c>
      <c r="L345" s="58" t="inlineStr">
        <is>
          <t>game of spades high roller</t>
        </is>
      </c>
      <c r="M345" s="58" t="inlineStr">
        <is>
          <t>game of spades high roller uk</t>
        </is>
      </c>
      <c r="N345" s="58" t="inlineStr">
        <is>
          <t>buy game of spades high roller online</t>
        </is>
      </c>
      <c r="O345" s="58" t="inlineStr">
        <is>
          <t>game of spades high roller price</t>
        </is>
      </c>
      <c r="P345" s="58" t="inlineStr">
        <is>
          <t>game of spades high roller eau de parfum</t>
        </is>
      </c>
      <c r="Q345" s="59">
        <f>IF(L345="","",IFERROR(INDEX('Semrush Data'!$A$1:$Z$20000,MATCH(L345,'Semrush Data'!$A$1:$A$20000,0),MATCH("Volume",'Semrush Data'!$A$1:$Z$1,0)),""))</f>
        <v/>
      </c>
      <c r="R345" s="59">
        <f>IF(M345="","",IFERROR(INDEX('Semrush Data'!$A$1:$Z$20000,MATCH(M345,'Semrush Data'!$A$1:$A$20000,0),MATCH("Volume",'Semrush Data'!$A$1:$Z$1,0)),""))</f>
        <v/>
      </c>
      <c r="S345" s="59">
        <f>IF(N345="","",IFERROR(INDEX('Semrush Data'!$A$1:$Z$20000,MATCH(N345,'Semrush Data'!$A$1:$A$20000,0),MATCH("Volume",'Semrush Data'!$A$1:$Z$1,0)),""))</f>
        <v/>
      </c>
      <c r="T345" s="59">
        <f>IF(O345="","",IFERROR(INDEX('Semrush Data'!$A$1:$Z$20000,MATCH(O345,'Semrush Data'!$A$1:$A$20000,0),MATCH("Volume",'Semrush Data'!$A$1:$Z$1,0)),""))</f>
        <v/>
      </c>
      <c r="U345" s="59">
        <f>IF(P345="","",IFERROR(INDEX('Semrush Data'!$A$1:$Z$20000,MATCH(P345,'Semrush Data'!$A$1:$A$20000,0),MATCH("Volume",'Semrush Data'!$A$1:$Z$1,0)),""))</f>
        <v/>
      </c>
      <c r="V345" s="60">
        <f>IF(COUNT(Q345:U345)=0,L345,IF(MAX(Q345:U345)=0,L345,INDEX(L345:P345,MATCH(MAX(Q345:U345),Q345:U345,0))))</f>
        <v/>
      </c>
      <c r="W345" s="59">
        <f>IFERROR(INDEX('Semrush Data'!$A$1:$Z$20000,MATCH(V345,'Semrush Data'!$A$1:$A$20000,0),MATCH("Volume",'Semrush Data'!$A$1:$Z$1,0)),"")</f>
        <v/>
      </c>
      <c r="X345" s="59">
        <f>IFERROR(INDEX('Semrush Data'!$A$1:$Z$20000,MATCH(V345,'Semrush Data'!$A$1:$A$20000,0),MATCH("Keyword Difficulty*",'Semrush Data'!$A$1:$Z$1,0)),"")</f>
        <v/>
      </c>
      <c r="Y345" s="61">
        <f>IFERROR(INDEX('Semrush Data'!$A$1:$Z$20000,MATCH(V345,'Semrush Data'!$A$1:$A$20000,0),MATCH("CPC*",'Semrush Data'!$A$1:$Z$1,0)),"")</f>
        <v/>
      </c>
      <c r="Z345" s="58" t="inlineStr">
        <is>
          <t>amber perfume uk</t>
        </is>
      </c>
      <c r="AA345" s="58" t="inlineStr">
        <is>
          <t>game of spades high roller dupe of · game of spades high roller notes · game of spades high roller review</t>
        </is>
      </c>
      <c r="AB345" s="58" t="inlineStr">
        <is>
          <t>Game Of Spades High Roller Unisex Eau De Parfum</t>
        </is>
      </c>
      <c r="AC345" s="58" t="inlineStr">
        <is>
          <t>Game Of Spades High Roller Unisex EDP 100ml | Swansura UK</t>
        </is>
      </c>
      <c r="AD345" s="58">
        <f>LEN(AC345)</f>
        <v/>
      </c>
      <c r="AE345" s="58" t="inlineStr">
        <is>
          <t>Buy Game Of Spades High Roller Unisex Eau De Parfum online in the UK at Swansura. An amber unisex eau de parfum. 100% authentic, free UK delivery over £50.</t>
        </is>
      </c>
      <c r="AF345" s="58">
        <f>LEN(AE345)</f>
        <v/>
      </c>
    </row>
    <row r="346" ht="15" customHeight="1" s="37">
      <c r="A346" s="58" t="inlineStr">
        <is>
          <t>FR-186</t>
        </is>
      </c>
      <c r="B346" s="58" t="inlineStr">
        <is>
          <t>Fragrance Catalogue</t>
        </is>
      </c>
      <c r="C346" s="58" t="n">
        <v>186</v>
      </c>
      <c r="D346" s="58" t="inlineStr">
        <is>
          <t>Generic</t>
        </is>
      </c>
      <c r="E346" s="58" t="inlineStr">
        <is>
          <t>Real brand missing</t>
        </is>
      </c>
      <c r="F346" s="58" t="inlineStr">
        <is>
          <t>Fragrance</t>
        </is>
      </c>
      <c r="G346" s="58" t="inlineStr">
        <is>
          <t>Eau de Parfum (EDP)</t>
        </is>
      </c>
      <c r="H346" s="58" t="inlineStr">
        <is>
          <t>Woody · Unisex Fragrance</t>
        </is>
      </c>
      <c r="I346" s="58" t="inlineStr">
        <is>
          <t>Game Of Spades Jackpot | Eau De Parfum 100ml | Long Lasting Fragrance For Men and Women</t>
        </is>
      </c>
      <c r="J346" s="58" t="inlineStr">
        <is>
          <t>100ml</t>
        </is>
      </c>
      <c r="K346" s="58" t="n">
        <v>79.98999999999999</v>
      </c>
      <c r="L346" s="58" t="inlineStr">
        <is>
          <t>game of spades jackpot</t>
        </is>
      </c>
      <c r="M346" s="58" t="inlineStr">
        <is>
          <t>game of spades jackpot uk</t>
        </is>
      </c>
      <c r="N346" s="58" t="inlineStr">
        <is>
          <t>buy game of spades jackpot online</t>
        </is>
      </c>
      <c r="O346" s="58" t="inlineStr">
        <is>
          <t>game of spades jackpot price</t>
        </is>
      </c>
      <c r="P346" s="58" t="inlineStr">
        <is>
          <t>game of spades jackpot eau de parfum</t>
        </is>
      </c>
      <c r="Q346" s="59">
        <f>IF(L346="","",IFERROR(INDEX('Semrush Data'!$A$1:$Z$20000,MATCH(L346,'Semrush Data'!$A$1:$A$20000,0),MATCH("Volume",'Semrush Data'!$A$1:$Z$1,0)),""))</f>
        <v/>
      </c>
      <c r="R346" s="59">
        <f>IF(M346="","",IFERROR(INDEX('Semrush Data'!$A$1:$Z$20000,MATCH(M346,'Semrush Data'!$A$1:$A$20000,0),MATCH("Volume",'Semrush Data'!$A$1:$Z$1,0)),""))</f>
        <v/>
      </c>
      <c r="S346" s="59">
        <f>IF(N346="","",IFERROR(INDEX('Semrush Data'!$A$1:$Z$20000,MATCH(N346,'Semrush Data'!$A$1:$A$20000,0),MATCH("Volume",'Semrush Data'!$A$1:$Z$1,0)),""))</f>
        <v/>
      </c>
      <c r="T346" s="59">
        <f>IF(O346="","",IFERROR(INDEX('Semrush Data'!$A$1:$Z$20000,MATCH(O346,'Semrush Data'!$A$1:$A$20000,0),MATCH("Volume",'Semrush Data'!$A$1:$Z$1,0)),""))</f>
        <v/>
      </c>
      <c r="U346" s="59">
        <f>IF(P346="","",IFERROR(INDEX('Semrush Data'!$A$1:$Z$20000,MATCH(P346,'Semrush Data'!$A$1:$A$20000,0),MATCH("Volume",'Semrush Data'!$A$1:$Z$1,0)),""))</f>
        <v/>
      </c>
      <c r="V346" s="60">
        <f>IF(COUNT(Q346:U346)=0,L346,IF(MAX(Q346:U346)=0,L346,INDEX(L346:P346,MATCH(MAX(Q346:U346),Q346:U346,0))))</f>
        <v/>
      </c>
      <c r="W346" s="59">
        <f>IFERROR(INDEX('Semrush Data'!$A$1:$Z$20000,MATCH(V346,'Semrush Data'!$A$1:$A$20000,0),MATCH("Volume",'Semrush Data'!$A$1:$Z$1,0)),"")</f>
        <v/>
      </c>
      <c r="X346" s="59">
        <f>IFERROR(INDEX('Semrush Data'!$A$1:$Z$20000,MATCH(V346,'Semrush Data'!$A$1:$A$20000,0),MATCH("Keyword Difficulty*",'Semrush Data'!$A$1:$Z$1,0)),"")</f>
        <v/>
      </c>
      <c r="Y346" s="61">
        <f>IFERROR(INDEX('Semrush Data'!$A$1:$Z$20000,MATCH(V346,'Semrush Data'!$A$1:$A$20000,0),MATCH("CPC*",'Semrush Data'!$A$1:$Z$1,0)),"")</f>
        <v/>
      </c>
      <c r="Z346" s="58" t="inlineStr">
        <is>
          <t>woody perfume uk</t>
        </is>
      </c>
      <c r="AA346" s="58" t="inlineStr">
        <is>
          <t>game of spades jackpot dupe of · game of spades jackpot notes · game of spades jackpot review</t>
        </is>
      </c>
      <c r="AB346" s="58" t="inlineStr">
        <is>
          <t>Game Of Spades Jackpot</t>
        </is>
      </c>
      <c r="AC346" s="58" t="inlineStr">
        <is>
          <t>Game Of Spades Jackpot 100ml | Buy Online UK | Swansura</t>
        </is>
      </c>
      <c r="AD346" s="58">
        <f>LEN(AC346)</f>
        <v/>
      </c>
      <c r="AE346" s="58" t="inlineStr">
        <is>
          <t>Buy Game Of Spades Jackpot online in the UK at Swansura. A woody unisex eau de parfum, 100ml. 100% authentic, fast UK delivery, free over £50.</t>
        </is>
      </c>
      <c r="AF346" s="58">
        <f>LEN(AE346)</f>
        <v/>
      </c>
    </row>
    <row r="347" ht="15" customHeight="1" s="37">
      <c r="A347" s="58" t="inlineStr">
        <is>
          <t>FR-187</t>
        </is>
      </c>
      <c r="B347" s="58" t="inlineStr">
        <is>
          <t>Fragrance Catalogue</t>
        </is>
      </c>
      <c r="C347" s="58" t="n">
        <v>187</v>
      </c>
      <c r="D347" s="58" t="inlineStr">
        <is>
          <t>Generic</t>
        </is>
      </c>
      <c r="E347" s="58" t="inlineStr">
        <is>
          <t>Real brand missing</t>
        </is>
      </c>
      <c r="F347" s="58" t="inlineStr">
        <is>
          <t>Fragrance</t>
        </is>
      </c>
      <c r="G347" s="58" t="inlineStr">
        <is>
          <t>Eau de Parfum (EDP)</t>
        </is>
      </c>
      <c r="H347" s="58" t="inlineStr">
        <is>
          <t>Woody · Unisex Fragrance</t>
        </is>
      </c>
      <c r="I347" s="58" t="inlineStr">
        <is>
          <t>Game Of Spades King Eau De Parfum 100ml | Perfume for Men and Women | Long Lasting Luxury Fragrance</t>
        </is>
      </c>
      <c r="J347" s="58" t="inlineStr">
        <is>
          <t>100ml</t>
        </is>
      </c>
      <c r="K347" s="58" t="n">
        <v>73.98999999999999</v>
      </c>
      <c r="L347" s="58" t="inlineStr">
        <is>
          <t>game of spades king</t>
        </is>
      </c>
      <c r="M347" s="58" t="inlineStr">
        <is>
          <t>game of spades king uk</t>
        </is>
      </c>
      <c r="N347" s="58" t="inlineStr">
        <is>
          <t>buy game of spades king online</t>
        </is>
      </c>
      <c r="O347" s="58" t="inlineStr">
        <is>
          <t>game of spades king price</t>
        </is>
      </c>
      <c r="P347" s="58" t="inlineStr">
        <is>
          <t>game of spades king eau de parfum</t>
        </is>
      </c>
      <c r="Q347" s="59">
        <f>IF(L347="","",IFERROR(INDEX('Semrush Data'!$A$1:$Z$20000,MATCH(L347,'Semrush Data'!$A$1:$A$20000,0),MATCH("Volume",'Semrush Data'!$A$1:$Z$1,0)),""))</f>
        <v/>
      </c>
      <c r="R347" s="59">
        <f>IF(M347="","",IFERROR(INDEX('Semrush Data'!$A$1:$Z$20000,MATCH(M347,'Semrush Data'!$A$1:$A$20000,0),MATCH("Volume",'Semrush Data'!$A$1:$Z$1,0)),""))</f>
        <v/>
      </c>
      <c r="S347" s="59">
        <f>IF(N347="","",IFERROR(INDEX('Semrush Data'!$A$1:$Z$20000,MATCH(N347,'Semrush Data'!$A$1:$A$20000,0),MATCH("Volume",'Semrush Data'!$A$1:$Z$1,0)),""))</f>
        <v/>
      </c>
      <c r="T347" s="59">
        <f>IF(O347="","",IFERROR(INDEX('Semrush Data'!$A$1:$Z$20000,MATCH(O347,'Semrush Data'!$A$1:$A$20000,0),MATCH("Volume",'Semrush Data'!$A$1:$Z$1,0)),""))</f>
        <v/>
      </c>
      <c r="U347" s="59">
        <f>IF(P347="","",IFERROR(INDEX('Semrush Data'!$A$1:$Z$20000,MATCH(P347,'Semrush Data'!$A$1:$A$20000,0),MATCH("Volume",'Semrush Data'!$A$1:$Z$1,0)),""))</f>
        <v/>
      </c>
      <c r="V347" s="60">
        <f>IF(COUNT(Q347:U347)=0,L347,IF(MAX(Q347:U347)=0,L347,INDEX(L347:P347,MATCH(MAX(Q347:U347),Q347:U347,0))))</f>
        <v/>
      </c>
      <c r="W347" s="59">
        <f>IFERROR(INDEX('Semrush Data'!$A$1:$Z$20000,MATCH(V347,'Semrush Data'!$A$1:$A$20000,0),MATCH("Volume",'Semrush Data'!$A$1:$Z$1,0)),"")</f>
        <v/>
      </c>
      <c r="X347" s="59">
        <f>IFERROR(INDEX('Semrush Data'!$A$1:$Z$20000,MATCH(V347,'Semrush Data'!$A$1:$A$20000,0),MATCH("Keyword Difficulty*",'Semrush Data'!$A$1:$Z$1,0)),"")</f>
        <v/>
      </c>
      <c r="Y347" s="61">
        <f>IFERROR(INDEX('Semrush Data'!$A$1:$Z$20000,MATCH(V347,'Semrush Data'!$A$1:$A$20000,0),MATCH("CPC*",'Semrush Data'!$A$1:$Z$1,0)),"")</f>
        <v/>
      </c>
      <c r="Z347" s="58" t="inlineStr">
        <is>
          <t>woody perfume uk</t>
        </is>
      </c>
      <c r="AA347" s="58" t="inlineStr">
        <is>
          <t>game of spades king dupe of · game of spades king notes · game of spades king perfume · game of spades king review · game of spades king 30ml · game of spades king price</t>
        </is>
      </c>
      <c r="AB347" s="58" t="inlineStr">
        <is>
          <t>Game Of Spades King Eau De Parfum</t>
        </is>
      </c>
      <c r="AC347" s="58" t="inlineStr">
        <is>
          <t>Game Of Spades King Eau De Parfum | Buy Online UK | Swansura</t>
        </is>
      </c>
      <c r="AD347" s="58">
        <f>LEN(AC347)</f>
        <v/>
      </c>
      <c r="AE347" s="58" t="inlineStr">
        <is>
          <t>Buy Game Of Spades King Eau De Parfum online in the UK at Swansura. A woody unisex eau de parfum, 100ml. 100% authentic, fast UK delivery, free over £50.</t>
        </is>
      </c>
      <c r="AF347" s="58">
        <f>LEN(AE347)</f>
        <v/>
      </c>
    </row>
    <row r="348" ht="15" customHeight="1" s="37">
      <c r="A348" s="58" t="inlineStr">
        <is>
          <t>FR-188</t>
        </is>
      </c>
      <c r="B348" s="58" t="inlineStr">
        <is>
          <t>Fragrance Catalogue</t>
        </is>
      </c>
      <c r="C348" s="58" t="n">
        <v>188</v>
      </c>
      <c r="D348" s="58" t="inlineStr">
        <is>
          <t>Generic</t>
        </is>
      </c>
      <c r="E348" s="58" t="inlineStr">
        <is>
          <t>Real brand missing</t>
        </is>
      </c>
      <c r="F348" s="58" t="inlineStr">
        <is>
          <t>Fragrance</t>
        </is>
      </c>
      <c r="G348" s="58" t="inlineStr">
        <is>
          <t>Eau de Parfum (EDP)</t>
        </is>
      </c>
      <c r="H348" s="58" t="inlineStr">
        <is>
          <t>Woody · Unisex Fragrance</t>
        </is>
      </c>
      <c r="I348" s="58" t="inlineStr">
        <is>
          <t>Game Of Spades Moon Unisex | Eau De Parfum 100ml | For Men &amp; Women</t>
        </is>
      </c>
      <c r="J348" s="58" t="inlineStr">
        <is>
          <t>100ml</t>
        </is>
      </c>
      <c r="K348" s="58" t="n">
        <v>85.98999999999999</v>
      </c>
      <c r="L348" s="58" t="inlineStr">
        <is>
          <t>game of spades moon</t>
        </is>
      </c>
      <c r="M348" s="58" t="inlineStr">
        <is>
          <t>game of spades moon uk</t>
        </is>
      </c>
      <c r="N348" s="58" t="inlineStr">
        <is>
          <t>buy game of spades moon online</t>
        </is>
      </c>
      <c r="O348" s="58" t="inlineStr">
        <is>
          <t>game of spades moon price</t>
        </is>
      </c>
      <c r="P348" s="58" t="inlineStr">
        <is>
          <t>game of spades moon eau de parfum</t>
        </is>
      </c>
      <c r="Q348" s="59">
        <f>IF(L348="","",IFERROR(INDEX('Semrush Data'!$A$1:$Z$20000,MATCH(L348,'Semrush Data'!$A$1:$A$20000,0),MATCH("Volume",'Semrush Data'!$A$1:$Z$1,0)),""))</f>
        <v/>
      </c>
      <c r="R348" s="59">
        <f>IF(M348="","",IFERROR(INDEX('Semrush Data'!$A$1:$Z$20000,MATCH(M348,'Semrush Data'!$A$1:$A$20000,0),MATCH("Volume",'Semrush Data'!$A$1:$Z$1,0)),""))</f>
        <v/>
      </c>
      <c r="S348" s="59">
        <f>IF(N348="","",IFERROR(INDEX('Semrush Data'!$A$1:$Z$20000,MATCH(N348,'Semrush Data'!$A$1:$A$20000,0),MATCH("Volume",'Semrush Data'!$A$1:$Z$1,0)),""))</f>
        <v/>
      </c>
      <c r="T348" s="59">
        <f>IF(O348="","",IFERROR(INDEX('Semrush Data'!$A$1:$Z$20000,MATCH(O348,'Semrush Data'!$A$1:$A$20000,0),MATCH("Volume",'Semrush Data'!$A$1:$Z$1,0)),""))</f>
        <v/>
      </c>
      <c r="U348" s="59">
        <f>IF(P348="","",IFERROR(INDEX('Semrush Data'!$A$1:$Z$20000,MATCH(P348,'Semrush Data'!$A$1:$A$20000,0),MATCH("Volume",'Semrush Data'!$A$1:$Z$1,0)),""))</f>
        <v/>
      </c>
      <c r="V348" s="60">
        <f>IF(COUNT(Q348:U348)=0,L348,IF(MAX(Q348:U348)=0,L348,INDEX(L348:P348,MATCH(MAX(Q348:U348),Q348:U348,0))))</f>
        <v/>
      </c>
      <c r="W348" s="59">
        <f>IFERROR(INDEX('Semrush Data'!$A$1:$Z$20000,MATCH(V348,'Semrush Data'!$A$1:$A$20000,0),MATCH("Volume",'Semrush Data'!$A$1:$Z$1,0)),"")</f>
        <v/>
      </c>
      <c r="X348" s="59">
        <f>IFERROR(INDEX('Semrush Data'!$A$1:$Z$20000,MATCH(V348,'Semrush Data'!$A$1:$A$20000,0),MATCH("Keyword Difficulty*",'Semrush Data'!$A$1:$Z$1,0)),"")</f>
        <v/>
      </c>
      <c r="Y348" s="61">
        <f>IFERROR(INDEX('Semrush Data'!$A$1:$Z$20000,MATCH(V348,'Semrush Data'!$A$1:$A$20000,0),MATCH("CPC*",'Semrush Data'!$A$1:$Z$1,0)),"")</f>
        <v/>
      </c>
      <c r="Z348" s="58" t="inlineStr">
        <is>
          <t>woody perfume uk</t>
        </is>
      </c>
      <c r="AA348" s="58" t="inlineStr">
        <is>
          <t>game of spades moon dupe of · game of spades moon notes · game of spades moon perfume · game of spades moon review · game of spades moon price</t>
        </is>
      </c>
      <c r="AB348" s="58" t="inlineStr">
        <is>
          <t>Game Of Spades Moon Unisex</t>
        </is>
      </c>
      <c r="AC348" s="58" t="inlineStr">
        <is>
          <t>Game Of Spades Moon Unisex | Buy Online UK | Swansura</t>
        </is>
      </c>
      <c r="AD348" s="58">
        <f>LEN(AC348)</f>
        <v/>
      </c>
      <c r="AE348" s="58" t="inlineStr">
        <is>
          <t>Buy Game Of Spades Moon Unisex online in the UK at Swansura. A woody unisex eau de parfum, 100ml. 100% authentic, fast UK delivery, free over £50.</t>
        </is>
      </c>
      <c r="AF348" s="58">
        <f>LEN(AE348)</f>
        <v/>
      </c>
    </row>
    <row r="349" ht="15" customHeight="1" s="37">
      <c r="A349" s="58" t="inlineStr">
        <is>
          <t>FR-189</t>
        </is>
      </c>
      <c r="B349" s="58" t="inlineStr">
        <is>
          <t>Fragrance Catalogue</t>
        </is>
      </c>
      <c r="C349" s="58" t="n">
        <v>189</v>
      </c>
      <c r="D349" s="58" t="inlineStr">
        <is>
          <t>Generic</t>
        </is>
      </c>
      <c r="E349" s="58" t="inlineStr">
        <is>
          <t>Real brand missing</t>
        </is>
      </c>
      <c r="F349" s="58" t="inlineStr">
        <is>
          <t>Fragrance</t>
        </is>
      </c>
      <c r="G349" s="58" t="inlineStr">
        <is>
          <t>Eau de Parfum (EDP)</t>
        </is>
      </c>
      <c r="H349" s="58" t="inlineStr">
        <is>
          <t>Floral · Unisex Fragrance</t>
        </is>
      </c>
      <c r="I349" s="58" t="inlineStr">
        <is>
          <t>Game Of Spades Opal Eau De Parfum Spray 100 ml | Long Lasting Unisex Luxury Perfume | Citrus-Floral and Woody Amber Fragrance</t>
        </is>
      </c>
      <c r="J349" s="58" t="inlineStr">
        <is>
          <t>100 ml</t>
        </is>
      </c>
      <c r="K349" s="58" t="n">
        <v>109.99</v>
      </c>
      <c r="L349" s="58" t="inlineStr">
        <is>
          <t>game of spades opal</t>
        </is>
      </c>
      <c r="M349" s="58" t="inlineStr">
        <is>
          <t>game of spades opal uk</t>
        </is>
      </c>
      <c r="N349" s="58" t="inlineStr">
        <is>
          <t>buy game of spades opal online</t>
        </is>
      </c>
      <c r="O349" s="58" t="inlineStr">
        <is>
          <t>game of spades opal price</t>
        </is>
      </c>
      <c r="P349" s="58" t="inlineStr">
        <is>
          <t>game of spades opal eau de parfum</t>
        </is>
      </c>
      <c r="Q349" s="59">
        <f>IF(L349="","",IFERROR(INDEX('Semrush Data'!$A$1:$Z$20000,MATCH(L349,'Semrush Data'!$A$1:$A$20000,0),MATCH("Volume",'Semrush Data'!$A$1:$Z$1,0)),""))</f>
        <v/>
      </c>
      <c r="R349" s="59">
        <f>IF(M349="","",IFERROR(INDEX('Semrush Data'!$A$1:$Z$20000,MATCH(M349,'Semrush Data'!$A$1:$A$20000,0),MATCH("Volume",'Semrush Data'!$A$1:$Z$1,0)),""))</f>
        <v/>
      </c>
      <c r="S349" s="59">
        <f>IF(N349="","",IFERROR(INDEX('Semrush Data'!$A$1:$Z$20000,MATCH(N349,'Semrush Data'!$A$1:$A$20000,0),MATCH("Volume",'Semrush Data'!$A$1:$Z$1,0)),""))</f>
        <v/>
      </c>
      <c r="T349" s="59">
        <f>IF(O349="","",IFERROR(INDEX('Semrush Data'!$A$1:$Z$20000,MATCH(O349,'Semrush Data'!$A$1:$A$20000,0),MATCH("Volume",'Semrush Data'!$A$1:$Z$1,0)),""))</f>
        <v/>
      </c>
      <c r="U349" s="59">
        <f>IF(P349="","",IFERROR(INDEX('Semrush Data'!$A$1:$Z$20000,MATCH(P349,'Semrush Data'!$A$1:$A$20000,0),MATCH("Volume",'Semrush Data'!$A$1:$Z$1,0)),""))</f>
        <v/>
      </c>
      <c r="V349" s="60">
        <f>IF(COUNT(Q349:U349)=0,L349,IF(MAX(Q349:U349)=0,L349,INDEX(L349:P349,MATCH(MAX(Q349:U349),Q349:U349,0))))</f>
        <v/>
      </c>
      <c r="W349" s="59">
        <f>IFERROR(INDEX('Semrush Data'!$A$1:$Z$20000,MATCH(V349,'Semrush Data'!$A$1:$A$20000,0),MATCH("Volume",'Semrush Data'!$A$1:$Z$1,0)),"")</f>
        <v/>
      </c>
      <c r="X349" s="59">
        <f>IFERROR(INDEX('Semrush Data'!$A$1:$Z$20000,MATCH(V349,'Semrush Data'!$A$1:$A$20000,0),MATCH("Keyword Difficulty*",'Semrush Data'!$A$1:$Z$1,0)),"")</f>
        <v/>
      </c>
      <c r="Y349" s="61">
        <f>IFERROR(INDEX('Semrush Data'!$A$1:$Z$20000,MATCH(V349,'Semrush Data'!$A$1:$A$20000,0),MATCH("CPC*",'Semrush Data'!$A$1:$Z$1,0)),"")</f>
        <v/>
      </c>
      <c r="Z349" s="58" t="inlineStr">
        <is>
          <t>floral perfume uk</t>
        </is>
      </c>
      <c r="AA349" s="58" t="inlineStr">
        <is>
          <t>game of spades opal dupe of · game of spades opal notes · game of spades opal review · game of spades opal smells like</t>
        </is>
      </c>
      <c r="AB349" s="58" t="inlineStr">
        <is>
          <t>Game Of Spades Opal Eau De Parfum Spray</t>
        </is>
      </c>
      <c r="AC349" s="58" t="inlineStr">
        <is>
          <t>Game Of Spades Opal Eau De Parfum Spray | Swansura UK</t>
        </is>
      </c>
      <c r="AD349" s="58">
        <f>LEN(AC349)</f>
        <v/>
      </c>
      <c r="AE349" s="58" t="inlineStr">
        <is>
          <t>Buy Game Of Spades Opal Eau De Parfum Spray online in the UK at Swansura. A floral unisex eau de parfum, 100ml. 100% authentic, fast UK delivery, free over £50.</t>
        </is>
      </c>
      <c r="AF349" s="58">
        <f>LEN(AE349)</f>
        <v/>
      </c>
    </row>
    <row r="350" ht="15" customHeight="1" s="37">
      <c r="A350" s="58" t="inlineStr">
        <is>
          <t>FR-190</t>
        </is>
      </c>
      <c r="B350" s="58" t="inlineStr">
        <is>
          <t>Fragrance Catalogue</t>
        </is>
      </c>
      <c r="C350" s="58" t="n">
        <v>190</v>
      </c>
      <c r="D350" s="58" t="inlineStr">
        <is>
          <t>Generic</t>
        </is>
      </c>
      <c r="E350" s="58" t="inlineStr">
        <is>
          <t>Real brand missing</t>
        </is>
      </c>
      <c r="F350" s="58" t="inlineStr">
        <is>
          <t>Fragrance</t>
        </is>
      </c>
      <c r="G350" s="58" t="inlineStr">
        <is>
          <t>Eau de Parfum (EDP)</t>
        </is>
      </c>
      <c r="H350" s="58" t="inlineStr">
        <is>
          <t>Amber · Unisex Fragrance</t>
        </is>
      </c>
      <c r="I350" s="58" t="inlineStr">
        <is>
          <t>Game of Spades Rouge Unisex Eau de Parfum 100ml</t>
        </is>
      </c>
      <c r="J350" s="58" t="inlineStr">
        <is>
          <t>100ml</t>
        </is>
      </c>
      <c r="K350" s="58" t="n">
        <v>85.98999999999999</v>
      </c>
      <c r="L350" s="58" t="inlineStr">
        <is>
          <t>game of spades rouge</t>
        </is>
      </c>
      <c r="M350" s="58" t="inlineStr">
        <is>
          <t>game of spades rouge uk</t>
        </is>
      </c>
      <c r="N350" s="58" t="inlineStr">
        <is>
          <t>buy game of spades rouge online</t>
        </is>
      </c>
      <c r="O350" s="58" t="inlineStr">
        <is>
          <t>game of spades rouge price</t>
        </is>
      </c>
      <c r="P350" s="58" t="inlineStr">
        <is>
          <t>game of spades rouge eau de parfum</t>
        </is>
      </c>
      <c r="Q350" s="59">
        <f>IF(L350="","",IFERROR(INDEX('Semrush Data'!$A$1:$Z$20000,MATCH(L350,'Semrush Data'!$A$1:$A$20000,0),MATCH("Volume",'Semrush Data'!$A$1:$Z$1,0)),""))</f>
        <v/>
      </c>
      <c r="R350" s="59">
        <f>IF(M350="","",IFERROR(INDEX('Semrush Data'!$A$1:$Z$20000,MATCH(M350,'Semrush Data'!$A$1:$A$20000,0),MATCH("Volume",'Semrush Data'!$A$1:$Z$1,0)),""))</f>
        <v/>
      </c>
      <c r="S350" s="59">
        <f>IF(N350="","",IFERROR(INDEX('Semrush Data'!$A$1:$Z$20000,MATCH(N350,'Semrush Data'!$A$1:$A$20000,0),MATCH("Volume",'Semrush Data'!$A$1:$Z$1,0)),""))</f>
        <v/>
      </c>
      <c r="T350" s="59">
        <f>IF(O350="","",IFERROR(INDEX('Semrush Data'!$A$1:$Z$20000,MATCH(O350,'Semrush Data'!$A$1:$A$20000,0),MATCH("Volume",'Semrush Data'!$A$1:$Z$1,0)),""))</f>
        <v/>
      </c>
      <c r="U350" s="59">
        <f>IF(P350="","",IFERROR(INDEX('Semrush Data'!$A$1:$Z$20000,MATCH(P350,'Semrush Data'!$A$1:$A$20000,0),MATCH("Volume",'Semrush Data'!$A$1:$Z$1,0)),""))</f>
        <v/>
      </c>
      <c r="V350" s="60">
        <f>IF(COUNT(Q350:U350)=0,L350,IF(MAX(Q350:U350)=0,L350,INDEX(L350:P350,MATCH(MAX(Q350:U350),Q350:U350,0))))</f>
        <v/>
      </c>
      <c r="W350" s="59">
        <f>IFERROR(INDEX('Semrush Data'!$A$1:$Z$20000,MATCH(V350,'Semrush Data'!$A$1:$A$20000,0),MATCH("Volume",'Semrush Data'!$A$1:$Z$1,0)),"")</f>
        <v/>
      </c>
      <c r="X350" s="59">
        <f>IFERROR(INDEX('Semrush Data'!$A$1:$Z$20000,MATCH(V350,'Semrush Data'!$A$1:$A$20000,0),MATCH("Keyword Difficulty*",'Semrush Data'!$A$1:$Z$1,0)),"")</f>
        <v/>
      </c>
      <c r="Y350" s="61">
        <f>IFERROR(INDEX('Semrush Data'!$A$1:$Z$20000,MATCH(V350,'Semrush Data'!$A$1:$A$20000,0),MATCH("CPC*",'Semrush Data'!$A$1:$Z$1,0)),"")</f>
        <v/>
      </c>
      <c r="Z350" s="58" t="inlineStr">
        <is>
          <t>amber perfume uk</t>
        </is>
      </c>
      <c r="AA350" s="58" t="inlineStr">
        <is>
          <t>game of spades rouge extrait · game of spades rouge dupe of · game of spades rouge extrait de parfum · game of spades rouge notes · game of spades rouge parfum · game of spades rouge review</t>
        </is>
      </c>
      <c r="AB350" s="58" t="inlineStr">
        <is>
          <t>Game of Spades Rouge Unisex Eau de Parfum</t>
        </is>
      </c>
      <c r="AC350" s="58" t="inlineStr">
        <is>
          <t>Game of Spades Rouge Unisex Eau de Parfum | Swansura UK</t>
        </is>
      </c>
      <c r="AD350" s="58">
        <f>LEN(AC350)</f>
        <v/>
      </c>
      <c r="AE350" s="58" t="inlineStr">
        <is>
          <t>Buy Game of Spades Rouge Unisex Eau de Parfum online in the UK at Swansura. An amber unisex eau de parfum, 100ml. 100% authentic, free UK delivery over £50.</t>
        </is>
      </c>
      <c r="AF350" s="58">
        <f>LEN(AE350)</f>
        <v/>
      </c>
    </row>
    <row r="351" ht="15" customHeight="1" s="37">
      <c r="A351" s="58" t="inlineStr">
        <is>
          <t>FR-191</t>
        </is>
      </c>
      <c r="B351" s="58" t="inlineStr">
        <is>
          <t>Fragrance Catalogue</t>
        </is>
      </c>
      <c r="C351" s="58" t="n">
        <v>191</v>
      </c>
      <c r="D351" s="58" t="inlineStr">
        <is>
          <t>Generic</t>
        </is>
      </c>
      <c r="E351" s="58" t="inlineStr">
        <is>
          <t>Real brand missing</t>
        </is>
      </c>
      <c r="F351" s="58" t="inlineStr">
        <is>
          <t>Fragrance</t>
        </is>
      </c>
      <c r="G351" s="58" t="inlineStr">
        <is>
          <t>Eau de Parfum (EDP)</t>
        </is>
      </c>
      <c r="H351" s="58" t="inlineStr">
        <is>
          <t>Amber · Unisex Fragrance</t>
        </is>
      </c>
      <c r="I351" s="58" t="inlineStr">
        <is>
          <t>Game Of Spades Royale Unisex Eau De Parfum 100ml</t>
        </is>
      </c>
      <c r="J351" s="58" t="inlineStr">
        <is>
          <t>100ml</t>
        </is>
      </c>
      <c r="K351" s="58" t="n">
        <v>85.98999999999999</v>
      </c>
      <c r="L351" s="58" t="inlineStr">
        <is>
          <t>game of spades royale</t>
        </is>
      </c>
      <c r="M351" s="58" t="inlineStr">
        <is>
          <t>game of spades royale uk</t>
        </is>
      </c>
      <c r="N351" s="58" t="inlineStr">
        <is>
          <t>buy game of spades royale online</t>
        </is>
      </c>
      <c r="O351" s="58" t="inlineStr">
        <is>
          <t>game of spades royale price</t>
        </is>
      </c>
      <c r="P351" s="58" t="inlineStr">
        <is>
          <t>game of spades royale eau de parfum</t>
        </is>
      </c>
      <c r="Q351" s="59">
        <f>IF(L351="","",IFERROR(INDEX('Semrush Data'!$A$1:$Z$20000,MATCH(L351,'Semrush Data'!$A$1:$A$20000,0),MATCH("Volume",'Semrush Data'!$A$1:$Z$1,0)),""))</f>
        <v/>
      </c>
      <c r="R351" s="59">
        <f>IF(M351="","",IFERROR(INDEX('Semrush Data'!$A$1:$Z$20000,MATCH(M351,'Semrush Data'!$A$1:$A$20000,0),MATCH("Volume",'Semrush Data'!$A$1:$Z$1,0)),""))</f>
        <v/>
      </c>
      <c r="S351" s="59">
        <f>IF(N351="","",IFERROR(INDEX('Semrush Data'!$A$1:$Z$20000,MATCH(N351,'Semrush Data'!$A$1:$A$20000,0),MATCH("Volume",'Semrush Data'!$A$1:$Z$1,0)),""))</f>
        <v/>
      </c>
      <c r="T351" s="59">
        <f>IF(O351="","",IFERROR(INDEX('Semrush Data'!$A$1:$Z$20000,MATCH(O351,'Semrush Data'!$A$1:$A$20000,0),MATCH("Volume",'Semrush Data'!$A$1:$Z$1,0)),""))</f>
        <v/>
      </c>
      <c r="U351" s="59">
        <f>IF(P351="","",IFERROR(INDEX('Semrush Data'!$A$1:$Z$20000,MATCH(P351,'Semrush Data'!$A$1:$A$20000,0),MATCH("Volume",'Semrush Data'!$A$1:$Z$1,0)),""))</f>
        <v/>
      </c>
      <c r="V351" s="60">
        <f>IF(COUNT(Q351:U351)=0,L351,IF(MAX(Q351:U351)=0,L351,INDEX(L351:P351,MATCH(MAX(Q351:U351),Q351:U351,0))))</f>
        <v/>
      </c>
      <c r="W351" s="59">
        <f>IFERROR(INDEX('Semrush Data'!$A$1:$Z$20000,MATCH(V351,'Semrush Data'!$A$1:$A$20000,0),MATCH("Volume",'Semrush Data'!$A$1:$Z$1,0)),"")</f>
        <v/>
      </c>
      <c r="X351" s="59">
        <f>IFERROR(INDEX('Semrush Data'!$A$1:$Z$20000,MATCH(V351,'Semrush Data'!$A$1:$A$20000,0),MATCH("Keyword Difficulty*",'Semrush Data'!$A$1:$Z$1,0)),"")</f>
        <v/>
      </c>
      <c r="Y351" s="61">
        <f>IFERROR(INDEX('Semrush Data'!$A$1:$Z$20000,MATCH(V351,'Semrush Data'!$A$1:$A$20000,0),MATCH("CPC*",'Semrush Data'!$A$1:$Z$1,0)),"")</f>
        <v/>
      </c>
      <c r="Z351" s="58" t="inlineStr">
        <is>
          <t>amber perfume uk</t>
        </is>
      </c>
      <c r="AA351" s="58" t="inlineStr">
        <is>
          <t>game of spades royale dupe of · game of spades royale notes · game of spades royale perfume · game of spades royale parfum · game of spades royale review · game of spades royale price</t>
        </is>
      </c>
      <c r="AB351" s="58" t="inlineStr">
        <is>
          <t>Game Of Spades Royale Unisex Eau De Parfum</t>
        </is>
      </c>
      <c r="AC351" s="58" t="inlineStr">
        <is>
          <t>Game Of Spades Royale Unisex Eau De Parfum | Swansura UK</t>
        </is>
      </c>
      <c r="AD351" s="58">
        <f>LEN(AC351)</f>
        <v/>
      </c>
      <c r="AE351" s="58" t="inlineStr">
        <is>
          <t>Buy Game Of Spades Royale Unisex Eau De Parfum online in the UK at Swansura. An amber unisex eau de parfum, 100ml. 100% authentic, free UK delivery over £50.</t>
        </is>
      </c>
      <c r="AF351" s="58">
        <f>LEN(AE351)</f>
        <v/>
      </c>
    </row>
    <row r="352" ht="15" customHeight="1" s="37">
      <c r="A352" s="58" t="inlineStr">
        <is>
          <t>FR-192</t>
        </is>
      </c>
      <c r="B352" s="58" t="inlineStr">
        <is>
          <t>Fragrance Catalogue</t>
        </is>
      </c>
      <c r="C352" s="58" t="n">
        <v>192</v>
      </c>
      <c r="D352" s="58" t="inlineStr">
        <is>
          <t>Generic</t>
        </is>
      </c>
      <c r="E352" s="58" t="inlineStr">
        <is>
          <t>Real brand missing</t>
        </is>
      </c>
      <c r="F352" s="58" t="inlineStr">
        <is>
          <t>Fragrance</t>
        </is>
      </c>
      <c r="G352" s="58" t="inlineStr">
        <is>
          <t>Eau de Parfum (EDP)</t>
        </is>
      </c>
      <c r="H352" s="58" t="inlineStr">
        <is>
          <t>Amber · Unisex Fragrance</t>
        </is>
      </c>
      <c r="I352" s="58" t="inlineStr">
        <is>
          <t>Game of Spades Ruby Unisex Eau de Parfum 100ml</t>
        </is>
      </c>
      <c r="J352" s="58" t="inlineStr">
        <is>
          <t>100ml</t>
        </is>
      </c>
      <c r="K352" s="58" t="n">
        <v>89.98999999999999</v>
      </c>
      <c r="L352" s="58" t="inlineStr">
        <is>
          <t>game of spades ruby</t>
        </is>
      </c>
      <c r="M352" s="58" t="inlineStr">
        <is>
          <t>game of spades ruby uk</t>
        </is>
      </c>
      <c r="N352" s="58" t="inlineStr">
        <is>
          <t>buy game of spades ruby online</t>
        </is>
      </c>
      <c r="O352" s="58" t="inlineStr">
        <is>
          <t>game of spades ruby price</t>
        </is>
      </c>
      <c r="P352" s="58" t="inlineStr">
        <is>
          <t>game of spades ruby eau de parfum</t>
        </is>
      </c>
      <c r="Q352" s="59">
        <f>IF(L352="","",IFERROR(INDEX('Semrush Data'!$A$1:$Z$20000,MATCH(L352,'Semrush Data'!$A$1:$A$20000,0),MATCH("Volume",'Semrush Data'!$A$1:$Z$1,0)),""))</f>
        <v/>
      </c>
      <c r="R352" s="59">
        <f>IF(M352="","",IFERROR(INDEX('Semrush Data'!$A$1:$Z$20000,MATCH(M352,'Semrush Data'!$A$1:$A$20000,0),MATCH("Volume",'Semrush Data'!$A$1:$Z$1,0)),""))</f>
        <v/>
      </c>
      <c r="S352" s="59">
        <f>IF(N352="","",IFERROR(INDEX('Semrush Data'!$A$1:$Z$20000,MATCH(N352,'Semrush Data'!$A$1:$A$20000,0),MATCH("Volume",'Semrush Data'!$A$1:$Z$1,0)),""))</f>
        <v/>
      </c>
      <c r="T352" s="59">
        <f>IF(O352="","",IFERROR(INDEX('Semrush Data'!$A$1:$Z$20000,MATCH(O352,'Semrush Data'!$A$1:$A$20000,0),MATCH("Volume",'Semrush Data'!$A$1:$Z$1,0)),""))</f>
        <v/>
      </c>
      <c r="U352" s="59">
        <f>IF(P352="","",IFERROR(INDEX('Semrush Data'!$A$1:$Z$20000,MATCH(P352,'Semrush Data'!$A$1:$A$20000,0),MATCH("Volume",'Semrush Data'!$A$1:$Z$1,0)),""))</f>
        <v/>
      </c>
      <c r="V352" s="60">
        <f>IF(COUNT(Q352:U352)=0,L352,IF(MAX(Q352:U352)=0,L352,INDEX(L352:P352,MATCH(MAX(Q352:U352),Q352:U352,0))))</f>
        <v/>
      </c>
      <c r="W352" s="59">
        <f>IFERROR(INDEX('Semrush Data'!$A$1:$Z$20000,MATCH(V352,'Semrush Data'!$A$1:$A$20000,0),MATCH("Volume",'Semrush Data'!$A$1:$Z$1,0)),"")</f>
        <v/>
      </c>
      <c r="X352" s="59">
        <f>IFERROR(INDEX('Semrush Data'!$A$1:$Z$20000,MATCH(V352,'Semrush Data'!$A$1:$A$20000,0),MATCH("Keyword Difficulty*",'Semrush Data'!$A$1:$Z$1,0)),"")</f>
        <v/>
      </c>
      <c r="Y352" s="61">
        <f>IFERROR(INDEX('Semrush Data'!$A$1:$Z$20000,MATCH(V352,'Semrush Data'!$A$1:$A$20000,0),MATCH("CPC*",'Semrush Data'!$A$1:$Z$1,0)),"")</f>
        <v/>
      </c>
      <c r="Z352" s="58" t="inlineStr">
        <is>
          <t>amber perfume uk</t>
        </is>
      </c>
      <c r="AA352" s="58" t="inlineStr">
        <is>
          <t>game of spades ruby dupe of · game of spades ruby notes · game of spades ruby parfum · game of spades ruby review</t>
        </is>
      </c>
      <c r="AB352" s="58" t="inlineStr">
        <is>
          <t>Game of Spades Ruby Unisex Eau de Parfum</t>
        </is>
      </c>
      <c r="AC352" s="58" t="inlineStr">
        <is>
          <t>Game of Spades Ruby Unisex Eau de Parfum | Swansura UK</t>
        </is>
      </c>
      <c r="AD352" s="58">
        <f>LEN(AC352)</f>
        <v/>
      </c>
      <c r="AE352" s="58" t="inlineStr">
        <is>
          <t>Buy Game of Spades Ruby Unisex Eau de Parfum online in the UK at Swansura. An amber unisex eau de parfum, 100ml. 100% authentic, free UK delivery over £50.</t>
        </is>
      </c>
      <c r="AF352" s="58">
        <f>LEN(AE352)</f>
        <v/>
      </c>
    </row>
    <row r="353" ht="15" customHeight="1" s="37">
      <c r="A353" s="58" t="inlineStr">
        <is>
          <t>FR-193</t>
        </is>
      </c>
      <c r="B353" s="58" t="inlineStr">
        <is>
          <t>Fragrance Catalogue</t>
        </is>
      </c>
      <c r="C353" s="58" t="n">
        <v>193</v>
      </c>
      <c r="D353" s="58" t="inlineStr">
        <is>
          <t>Generic</t>
        </is>
      </c>
      <c r="E353" s="58" t="inlineStr">
        <is>
          <t>Real brand missing</t>
        </is>
      </c>
      <c r="F353" s="58" t="inlineStr">
        <is>
          <t>Fragrance</t>
        </is>
      </c>
      <c r="G353" s="58" t="inlineStr">
        <is>
          <t>Eau de Parfum (EDP)</t>
        </is>
      </c>
      <c r="H353" s="58" t="inlineStr">
        <is>
          <t>Amber · Unisex Fragrance</t>
        </is>
      </c>
      <c r="I353" s="58" t="inlineStr">
        <is>
          <t>Game of Spades Wildcard Unisex Eau de Parfum 100ml</t>
        </is>
      </c>
      <c r="J353" s="58" t="inlineStr">
        <is>
          <t>100ml</t>
        </is>
      </c>
      <c r="K353" s="58" t="n">
        <v>94.98999999999999</v>
      </c>
      <c r="L353" s="58" t="inlineStr">
        <is>
          <t>game of spades wildcard</t>
        </is>
      </c>
      <c r="M353" s="58" t="inlineStr">
        <is>
          <t>game of spades wildcard uk</t>
        </is>
      </c>
      <c r="N353" s="58" t="inlineStr">
        <is>
          <t>buy game of spades wildcard online</t>
        </is>
      </c>
      <c r="O353" s="58" t="inlineStr">
        <is>
          <t>game of spades wildcard price</t>
        </is>
      </c>
      <c r="P353" s="58" t="inlineStr">
        <is>
          <t>game of spades wildcard eau de parfum</t>
        </is>
      </c>
      <c r="Q353" s="59">
        <f>IF(L353="","",IFERROR(INDEX('Semrush Data'!$A$1:$Z$20000,MATCH(L353,'Semrush Data'!$A$1:$A$20000,0),MATCH("Volume",'Semrush Data'!$A$1:$Z$1,0)),""))</f>
        <v/>
      </c>
      <c r="R353" s="59">
        <f>IF(M353="","",IFERROR(INDEX('Semrush Data'!$A$1:$Z$20000,MATCH(M353,'Semrush Data'!$A$1:$A$20000,0),MATCH("Volume",'Semrush Data'!$A$1:$Z$1,0)),""))</f>
        <v/>
      </c>
      <c r="S353" s="59">
        <f>IF(N353="","",IFERROR(INDEX('Semrush Data'!$A$1:$Z$20000,MATCH(N353,'Semrush Data'!$A$1:$A$20000,0),MATCH("Volume",'Semrush Data'!$A$1:$Z$1,0)),""))</f>
        <v/>
      </c>
      <c r="T353" s="59">
        <f>IF(O353="","",IFERROR(INDEX('Semrush Data'!$A$1:$Z$20000,MATCH(O353,'Semrush Data'!$A$1:$A$20000,0),MATCH("Volume",'Semrush Data'!$A$1:$Z$1,0)),""))</f>
        <v/>
      </c>
      <c r="U353" s="59">
        <f>IF(P353="","",IFERROR(INDEX('Semrush Data'!$A$1:$Z$20000,MATCH(P353,'Semrush Data'!$A$1:$A$20000,0),MATCH("Volume",'Semrush Data'!$A$1:$Z$1,0)),""))</f>
        <v/>
      </c>
      <c r="V353" s="60">
        <f>IF(COUNT(Q353:U353)=0,L353,IF(MAX(Q353:U353)=0,L353,INDEX(L353:P353,MATCH(MAX(Q353:U353),Q353:U353,0))))</f>
        <v/>
      </c>
      <c r="W353" s="59">
        <f>IFERROR(INDEX('Semrush Data'!$A$1:$Z$20000,MATCH(V353,'Semrush Data'!$A$1:$A$20000,0),MATCH("Volume",'Semrush Data'!$A$1:$Z$1,0)),"")</f>
        <v/>
      </c>
      <c r="X353" s="59">
        <f>IFERROR(INDEX('Semrush Data'!$A$1:$Z$20000,MATCH(V353,'Semrush Data'!$A$1:$A$20000,0),MATCH("Keyword Difficulty*",'Semrush Data'!$A$1:$Z$1,0)),"")</f>
        <v/>
      </c>
      <c r="Y353" s="61">
        <f>IFERROR(INDEX('Semrush Data'!$A$1:$Z$20000,MATCH(V353,'Semrush Data'!$A$1:$A$20000,0),MATCH("CPC*",'Semrush Data'!$A$1:$Z$1,0)),"")</f>
        <v/>
      </c>
      <c r="Z353" s="58" t="inlineStr">
        <is>
          <t>amber perfume uk</t>
        </is>
      </c>
      <c r="AA353" s="58" t="inlineStr">
        <is>
          <t>game of spades wildcard dupe of · game of spades wildcard notes · game of spades wildcard price · game of spades wildcard review · game of spades wildcard parfum · game of spades wildcard perfume</t>
        </is>
      </c>
      <c r="AB353" s="58" t="inlineStr">
        <is>
          <t>Game of Spades Wildcard Unisex Eau de Parfum</t>
        </is>
      </c>
      <c r="AC353" s="58" t="inlineStr">
        <is>
          <t>Game of Spades Wildcard Unisex Eau de Parfum | Swansura UK</t>
        </is>
      </c>
      <c r="AD353" s="58">
        <f>LEN(AC353)</f>
        <v/>
      </c>
      <c r="AE353" s="58" t="inlineStr">
        <is>
          <t>Buy Game of Spades Wildcard Unisex Eau de Parfum online in the UK at Swansura. An amber unisex eau de parfum, 100ml. 100% authentic, free UK delivery over £50.</t>
        </is>
      </c>
      <c r="AF353" s="58">
        <f>LEN(AE353)</f>
        <v/>
      </c>
    </row>
    <row r="354" ht="15" customHeight="1" s="37">
      <c r="A354" s="58" t="inlineStr">
        <is>
          <t>FR-194</t>
        </is>
      </c>
      <c r="B354" s="58" t="inlineStr">
        <is>
          <t>Fragrance Catalogue</t>
        </is>
      </c>
      <c r="C354" s="58" t="n">
        <v>194</v>
      </c>
      <c r="D354" s="58" t="inlineStr">
        <is>
          <t>Generic</t>
        </is>
      </c>
      <c r="E354" s="58" t="inlineStr">
        <is>
          <t>Real brand missing</t>
        </is>
      </c>
      <c r="F354" s="58" t="inlineStr">
        <is>
          <t>Fragrance</t>
        </is>
      </c>
      <c r="G354" s="58" t="inlineStr">
        <is>
          <t>Eau de Parfum (EDP)</t>
        </is>
      </c>
      <c r="H354" s="58" t="inlineStr">
        <is>
          <t>Woody · Men's Fragrance</t>
        </is>
      </c>
      <c r="I354" s="58" t="inlineStr">
        <is>
          <t>Game Of Spades Win | Eau De Parfum 100ml | Long-Lasting Luxury Perfume for Men &amp; Women</t>
        </is>
      </c>
      <c r="J354" s="58" t="inlineStr">
        <is>
          <t>100ml</t>
        </is>
      </c>
      <c r="K354" s="58" t="n">
        <v>79.98999999999999</v>
      </c>
      <c r="L354" s="58" t="inlineStr">
        <is>
          <t>game of spades win</t>
        </is>
      </c>
      <c r="M354" s="58" t="inlineStr">
        <is>
          <t>game of spades win uk</t>
        </is>
      </c>
      <c r="N354" s="58" t="inlineStr">
        <is>
          <t>buy game of spades win online</t>
        </is>
      </c>
      <c r="O354" s="58" t="inlineStr">
        <is>
          <t>game of spades win price</t>
        </is>
      </c>
      <c r="P354" s="58" t="inlineStr">
        <is>
          <t>game of spades win eau de parfum</t>
        </is>
      </c>
      <c r="Q354" s="59">
        <f>IF(L354="","",IFERROR(INDEX('Semrush Data'!$A$1:$Z$20000,MATCH(L354,'Semrush Data'!$A$1:$A$20000,0),MATCH("Volume",'Semrush Data'!$A$1:$Z$1,0)),""))</f>
        <v/>
      </c>
      <c r="R354" s="59">
        <f>IF(M354="","",IFERROR(INDEX('Semrush Data'!$A$1:$Z$20000,MATCH(M354,'Semrush Data'!$A$1:$A$20000,0),MATCH("Volume",'Semrush Data'!$A$1:$Z$1,0)),""))</f>
        <v/>
      </c>
      <c r="S354" s="59">
        <f>IF(N354="","",IFERROR(INDEX('Semrush Data'!$A$1:$Z$20000,MATCH(N354,'Semrush Data'!$A$1:$A$20000,0),MATCH("Volume",'Semrush Data'!$A$1:$Z$1,0)),""))</f>
        <v/>
      </c>
      <c r="T354" s="59">
        <f>IF(O354="","",IFERROR(INDEX('Semrush Data'!$A$1:$Z$20000,MATCH(O354,'Semrush Data'!$A$1:$A$20000,0),MATCH("Volume",'Semrush Data'!$A$1:$Z$1,0)),""))</f>
        <v/>
      </c>
      <c r="U354" s="59">
        <f>IF(P354="","",IFERROR(INDEX('Semrush Data'!$A$1:$Z$20000,MATCH(P354,'Semrush Data'!$A$1:$A$20000,0),MATCH("Volume",'Semrush Data'!$A$1:$Z$1,0)),""))</f>
        <v/>
      </c>
      <c r="V354" s="60">
        <f>IF(COUNT(Q354:U354)=0,L354,IF(MAX(Q354:U354)=0,L354,INDEX(L354:P354,MATCH(MAX(Q354:U354),Q354:U354,0))))</f>
        <v/>
      </c>
      <c r="W354" s="59">
        <f>IFERROR(INDEX('Semrush Data'!$A$1:$Z$20000,MATCH(V354,'Semrush Data'!$A$1:$A$20000,0),MATCH("Volume",'Semrush Data'!$A$1:$Z$1,0)),"")</f>
        <v/>
      </c>
      <c r="X354" s="59">
        <f>IFERROR(INDEX('Semrush Data'!$A$1:$Z$20000,MATCH(V354,'Semrush Data'!$A$1:$A$20000,0),MATCH("Keyword Difficulty*",'Semrush Data'!$A$1:$Z$1,0)),"")</f>
        <v/>
      </c>
      <c r="Y354" s="61">
        <f>IFERROR(INDEX('Semrush Data'!$A$1:$Z$20000,MATCH(V354,'Semrush Data'!$A$1:$A$20000,0),MATCH("CPC*",'Semrush Data'!$A$1:$Z$1,0)),"")</f>
        <v/>
      </c>
      <c r="Z354" s="58" t="inlineStr">
        <is>
          <t>woody perfume for men uk</t>
        </is>
      </c>
      <c r="AA354" s="58" t="inlineStr">
        <is>
          <t>game of spades win notes · game of spades win perfume · game of spades win review · game of spades win 30ml</t>
        </is>
      </c>
      <c r="AB354" s="58" t="inlineStr">
        <is>
          <t>Game Of Spades Win</t>
        </is>
      </c>
      <c r="AC354" s="58" t="inlineStr">
        <is>
          <t>Game Of Spades Win 100ml | Buy Online UK | Swansura</t>
        </is>
      </c>
      <c r="AD354" s="58">
        <f>LEN(AC354)</f>
        <v/>
      </c>
      <c r="AE354" s="58" t="inlineStr">
        <is>
          <t>Buy Game Of Spades Win online in the UK at Swansura. A woody men's eau de parfum, 100ml. 100% authentic, fast UK delivery, free over £50.</t>
        </is>
      </c>
      <c r="AF354" s="58">
        <f>LEN(AE354)</f>
        <v/>
      </c>
    </row>
    <row r="355" ht="15" customHeight="1" s="37">
      <c r="A355" s="58" t="inlineStr">
        <is>
          <t>FR-195</t>
        </is>
      </c>
      <c r="B355" s="58" t="inlineStr">
        <is>
          <t>Fragrance Catalogue</t>
        </is>
      </c>
      <c r="C355" s="58" t="n">
        <v>195</v>
      </c>
      <c r="D355" s="58" t="inlineStr">
        <is>
          <t>Generic</t>
        </is>
      </c>
      <c r="E355" s="58" t="inlineStr">
        <is>
          <t>Real brand missing</t>
        </is>
      </c>
      <c r="F355" s="58" t="inlineStr">
        <is>
          <t>Fragrance</t>
        </is>
      </c>
      <c r="G355" s="58" t="inlineStr">
        <is>
          <t>Eau de Parfum (EDP)</t>
        </is>
      </c>
      <c r="H355" s="58" t="inlineStr">
        <is>
          <t>Amber · Unisex Fragrance</t>
        </is>
      </c>
      <c r="I355" s="58" t="inlineStr">
        <is>
          <t>Game of Spades Yellow Sapphire Unisex Eau de Parfum 100ml</t>
        </is>
      </c>
      <c r="J355" s="58" t="inlineStr">
        <is>
          <t>100ml</t>
        </is>
      </c>
      <c r="K355" s="58" t="n">
        <v>76.98999999999999</v>
      </c>
      <c r="L355" s="58" t="inlineStr">
        <is>
          <t>game of spades yellow sapphire</t>
        </is>
      </c>
      <c r="M355" s="58" t="inlineStr">
        <is>
          <t>game of spades yellow sapphire uk</t>
        </is>
      </c>
      <c r="N355" s="58" t="inlineStr">
        <is>
          <t>buy game of spades yellow sapphire online</t>
        </is>
      </c>
      <c r="O355" s="58" t="inlineStr">
        <is>
          <t>game of spades yellow sapphire price</t>
        </is>
      </c>
      <c r="P355" s="58" t="inlineStr">
        <is>
          <t>game of spades yellow sapphire eau de parfum</t>
        </is>
      </c>
      <c r="Q355" s="59">
        <f>IF(L355="","",IFERROR(INDEX('Semrush Data'!$A$1:$Z$20000,MATCH(L355,'Semrush Data'!$A$1:$A$20000,0),MATCH("Volume",'Semrush Data'!$A$1:$Z$1,0)),""))</f>
        <v/>
      </c>
      <c r="R355" s="59">
        <f>IF(M355="","",IFERROR(INDEX('Semrush Data'!$A$1:$Z$20000,MATCH(M355,'Semrush Data'!$A$1:$A$20000,0),MATCH("Volume",'Semrush Data'!$A$1:$Z$1,0)),""))</f>
        <v/>
      </c>
      <c r="S355" s="59">
        <f>IF(N355="","",IFERROR(INDEX('Semrush Data'!$A$1:$Z$20000,MATCH(N355,'Semrush Data'!$A$1:$A$20000,0),MATCH("Volume",'Semrush Data'!$A$1:$Z$1,0)),""))</f>
        <v/>
      </c>
      <c r="T355" s="59">
        <f>IF(O355="","",IFERROR(INDEX('Semrush Data'!$A$1:$Z$20000,MATCH(O355,'Semrush Data'!$A$1:$A$20000,0),MATCH("Volume",'Semrush Data'!$A$1:$Z$1,0)),""))</f>
        <v/>
      </c>
      <c r="U355" s="59">
        <f>IF(P355="","",IFERROR(INDEX('Semrush Data'!$A$1:$Z$20000,MATCH(P355,'Semrush Data'!$A$1:$A$20000,0),MATCH("Volume",'Semrush Data'!$A$1:$Z$1,0)),""))</f>
        <v/>
      </c>
      <c r="V355" s="60">
        <f>IF(COUNT(Q355:U355)=0,L355,IF(MAX(Q355:U355)=0,L355,INDEX(L355:P355,MATCH(MAX(Q355:U355),Q355:U355,0))))</f>
        <v/>
      </c>
      <c r="W355" s="59">
        <f>IFERROR(INDEX('Semrush Data'!$A$1:$Z$20000,MATCH(V355,'Semrush Data'!$A$1:$A$20000,0),MATCH("Volume",'Semrush Data'!$A$1:$Z$1,0)),"")</f>
        <v/>
      </c>
      <c r="X355" s="59">
        <f>IFERROR(INDEX('Semrush Data'!$A$1:$Z$20000,MATCH(V355,'Semrush Data'!$A$1:$A$20000,0),MATCH("Keyword Difficulty*",'Semrush Data'!$A$1:$Z$1,0)),"")</f>
        <v/>
      </c>
      <c r="Y355" s="61">
        <f>IFERROR(INDEX('Semrush Data'!$A$1:$Z$20000,MATCH(V355,'Semrush Data'!$A$1:$A$20000,0),MATCH("CPC*",'Semrush Data'!$A$1:$Z$1,0)),"")</f>
        <v/>
      </c>
      <c r="Z355" s="58" t="inlineStr">
        <is>
          <t>amber perfume uk</t>
        </is>
      </c>
      <c r="AA355" s="58" t="inlineStr">
        <is>
          <t>game of spades yellow sapphire dupe of · game of spades yellow sapphire notes · game.of.spades.yellow sapphire smells like</t>
        </is>
      </c>
      <c r="AB355" s="58" t="inlineStr">
        <is>
          <t>Game of Spades Yellow Sapphire Unisex Eau de Parfum</t>
        </is>
      </c>
      <c r="AC355" s="58" t="inlineStr">
        <is>
          <t>Game of Spades Yellow Sapphire Unisex 100ml | Swansura UK</t>
        </is>
      </c>
      <c r="AD355" s="58">
        <f>LEN(AC355)</f>
        <v/>
      </c>
      <c r="AE355" s="58" t="inlineStr">
        <is>
          <t>Buy Game of Spades Yellow Sapphire Unisex Eau de Parfum online in the UK at Swansura. An amber unisex eau de parfum. 100% authentic, free UK delivery over £50.</t>
        </is>
      </c>
      <c r="AF355" s="58">
        <f>LEN(AE355)</f>
        <v/>
      </c>
    </row>
    <row r="356" ht="15" customHeight="1" s="37">
      <c r="A356" s="58" t="inlineStr">
        <is>
          <t>FR-196</t>
        </is>
      </c>
      <c r="B356" s="58" t="inlineStr">
        <is>
          <t>Fragrance Catalogue</t>
        </is>
      </c>
      <c r="C356" s="58" t="n">
        <v>196</v>
      </c>
      <c r="D356" s="58" t="inlineStr">
        <is>
          <t>Generic</t>
        </is>
      </c>
      <c r="E356" s="58" t="inlineStr">
        <is>
          <t>Real brand missing</t>
        </is>
      </c>
      <c r="F356" s="58" t="inlineStr">
        <is>
          <t>Fragrance</t>
        </is>
      </c>
      <c r="G356" s="58" t="inlineStr">
        <is>
          <t>Eau de Parfum (EDP)</t>
        </is>
      </c>
      <c r="H356" s="58" t="inlineStr">
        <is>
          <t>Woody · Men's Fragrance</t>
        </is>
      </c>
      <c r="I356" s="58" t="inlineStr">
        <is>
          <t>Maison de Milan Amalfi Bleu - Eau de Parfum for Men 100ml – Long Lasting Luxury Fragrance</t>
        </is>
      </c>
      <c r="J356" s="58" t="inlineStr">
        <is>
          <t>100ml</t>
        </is>
      </c>
      <c r="K356" s="58" t="n">
        <v>17.99</v>
      </c>
      <c r="L356" s="58" t="inlineStr">
        <is>
          <t>maison de milan amalfi bleu</t>
        </is>
      </c>
      <c r="M356" s="58" t="inlineStr">
        <is>
          <t>maison de milan amalfi bleu uk</t>
        </is>
      </c>
      <c r="N356" s="58" t="inlineStr">
        <is>
          <t>buy maison de milan amalfi bleu online</t>
        </is>
      </c>
      <c r="O356" s="58" t="inlineStr">
        <is>
          <t>maison de milan amalfi bleu price</t>
        </is>
      </c>
      <c r="P356" s="58" t="inlineStr">
        <is>
          <t>maison de milan amalfi bleu eau de parfum</t>
        </is>
      </c>
      <c r="Q356" s="59">
        <f>IF(L356="","",IFERROR(INDEX('Semrush Data'!$A$1:$Z$20000,MATCH(L356,'Semrush Data'!$A$1:$A$20000,0),MATCH("Volume",'Semrush Data'!$A$1:$Z$1,0)),""))</f>
        <v/>
      </c>
      <c r="R356" s="59">
        <f>IF(M356="","",IFERROR(INDEX('Semrush Data'!$A$1:$Z$20000,MATCH(M356,'Semrush Data'!$A$1:$A$20000,0),MATCH("Volume",'Semrush Data'!$A$1:$Z$1,0)),""))</f>
        <v/>
      </c>
      <c r="S356" s="59">
        <f>IF(N356="","",IFERROR(INDEX('Semrush Data'!$A$1:$Z$20000,MATCH(N356,'Semrush Data'!$A$1:$A$20000,0),MATCH("Volume",'Semrush Data'!$A$1:$Z$1,0)),""))</f>
        <v/>
      </c>
      <c r="T356" s="59">
        <f>IF(O356="","",IFERROR(INDEX('Semrush Data'!$A$1:$Z$20000,MATCH(O356,'Semrush Data'!$A$1:$A$20000,0),MATCH("Volume",'Semrush Data'!$A$1:$Z$1,0)),""))</f>
        <v/>
      </c>
      <c r="U356" s="59">
        <f>IF(P356="","",IFERROR(INDEX('Semrush Data'!$A$1:$Z$20000,MATCH(P356,'Semrush Data'!$A$1:$A$20000,0),MATCH("Volume",'Semrush Data'!$A$1:$Z$1,0)),""))</f>
        <v/>
      </c>
      <c r="V356" s="60">
        <f>IF(COUNT(Q356:U356)=0,L356,IF(MAX(Q356:U356)=0,L356,INDEX(L356:P356,MATCH(MAX(Q356:U356),Q356:U356,0))))</f>
        <v/>
      </c>
      <c r="W356" s="59">
        <f>IFERROR(INDEX('Semrush Data'!$A$1:$Z$20000,MATCH(V356,'Semrush Data'!$A$1:$A$20000,0),MATCH("Volume",'Semrush Data'!$A$1:$Z$1,0)),"")</f>
        <v/>
      </c>
      <c r="X356" s="59">
        <f>IFERROR(INDEX('Semrush Data'!$A$1:$Z$20000,MATCH(V356,'Semrush Data'!$A$1:$A$20000,0),MATCH("Keyword Difficulty*",'Semrush Data'!$A$1:$Z$1,0)),"")</f>
        <v/>
      </c>
      <c r="Y356" s="61">
        <f>IFERROR(INDEX('Semrush Data'!$A$1:$Z$20000,MATCH(V356,'Semrush Data'!$A$1:$A$20000,0),MATCH("CPC*",'Semrush Data'!$A$1:$Z$1,0)),"")</f>
        <v/>
      </c>
      <c r="Z356" s="58" t="inlineStr">
        <is>
          <t>woody perfume for men uk</t>
        </is>
      </c>
      <c r="AA356" s="58" t="n"/>
      <c r="AB356" s="58" t="inlineStr">
        <is>
          <t>Maison de Milan Amalfi Bleu</t>
        </is>
      </c>
      <c r="AC356" s="58" t="inlineStr">
        <is>
          <t>Maison de Milan Amalfi Bleu | Buy Online UK | Swansura</t>
        </is>
      </c>
      <c r="AD356" s="58">
        <f>LEN(AC356)</f>
        <v/>
      </c>
      <c r="AE356" s="58" t="inlineStr">
        <is>
          <t>Buy Maison de Milan Amalfi Bleu online in the UK at Swansura. A woody men's eau de parfum, 100ml. 100% authentic, fast UK delivery, free over £50.</t>
        </is>
      </c>
      <c r="AF356" s="58">
        <f>LEN(AE356)</f>
        <v/>
      </c>
    </row>
    <row r="357" ht="15" customHeight="1" s="37">
      <c r="A357" s="58" t="inlineStr">
        <is>
          <t>FR-197</t>
        </is>
      </c>
      <c r="B357" s="58" t="inlineStr">
        <is>
          <t>Fragrance Catalogue</t>
        </is>
      </c>
      <c r="C357" s="58" t="n">
        <v>197</v>
      </c>
      <c r="D357" s="58" t="inlineStr">
        <is>
          <t>Generic</t>
        </is>
      </c>
      <c r="E357" s="58" t="inlineStr">
        <is>
          <t>Real brand missing</t>
        </is>
      </c>
      <c r="F357" s="58" t="inlineStr">
        <is>
          <t>Fragrance</t>
        </is>
      </c>
      <c r="G357" s="58" t="inlineStr">
        <is>
          <t>Eau de Parfum (EDP)</t>
        </is>
      </c>
      <c r="H357" s="58" t="inlineStr">
        <is>
          <t>Woody · Women's Fragrance</t>
        </is>
      </c>
      <c r="I357" s="58" t="inlineStr">
        <is>
          <t>Maison De Milan Bliss Rouge - Eau de Parfum for Women 100ml – Long Lasting Luxury Fragrance</t>
        </is>
      </c>
      <c r="J357" s="58" t="inlineStr">
        <is>
          <t>100ml</t>
        </is>
      </c>
      <c r="K357" s="58" t="n">
        <v>17.99</v>
      </c>
      <c r="L357" s="58" t="inlineStr">
        <is>
          <t>maison de milan bliss rouge</t>
        </is>
      </c>
      <c r="M357" s="58" t="inlineStr">
        <is>
          <t>maison de milan bliss rouge uk</t>
        </is>
      </c>
      <c r="N357" s="58" t="inlineStr">
        <is>
          <t>buy maison de milan bliss rouge online</t>
        </is>
      </c>
      <c r="O357" s="58" t="inlineStr">
        <is>
          <t>maison de milan bliss rouge price</t>
        </is>
      </c>
      <c r="P357" s="58" t="inlineStr">
        <is>
          <t>maison de milan bliss rouge eau de parfum</t>
        </is>
      </c>
      <c r="Q357" s="59">
        <f>IF(L357="","",IFERROR(INDEX('Semrush Data'!$A$1:$Z$20000,MATCH(L357,'Semrush Data'!$A$1:$A$20000,0),MATCH("Volume",'Semrush Data'!$A$1:$Z$1,0)),""))</f>
        <v/>
      </c>
      <c r="R357" s="59">
        <f>IF(M357="","",IFERROR(INDEX('Semrush Data'!$A$1:$Z$20000,MATCH(M357,'Semrush Data'!$A$1:$A$20000,0),MATCH("Volume",'Semrush Data'!$A$1:$Z$1,0)),""))</f>
        <v/>
      </c>
      <c r="S357" s="59">
        <f>IF(N357="","",IFERROR(INDEX('Semrush Data'!$A$1:$Z$20000,MATCH(N357,'Semrush Data'!$A$1:$A$20000,0),MATCH("Volume",'Semrush Data'!$A$1:$Z$1,0)),""))</f>
        <v/>
      </c>
      <c r="T357" s="59">
        <f>IF(O357="","",IFERROR(INDEX('Semrush Data'!$A$1:$Z$20000,MATCH(O357,'Semrush Data'!$A$1:$A$20000,0),MATCH("Volume",'Semrush Data'!$A$1:$Z$1,0)),""))</f>
        <v/>
      </c>
      <c r="U357" s="59">
        <f>IF(P357="","",IFERROR(INDEX('Semrush Data'!$A$1:$Z$20000,MATCH(P357,'Semrush Data'!$A$1:$A$20000,0),MATCH("Volume",'Semrush Data'!$A$1:$Z$1,0)),""))</f>
        <v/>
      </c>
      <c r="V357" s="60">
        <f>IF(COUNT(Q357:U357)=0,L357,IF(MAX(Q357:U357)=0,L357,INDEX(L357:P357,MATCH(MAX(Q357:U357),Q357:U357,0))))</f>
        <v/>
      </c>
      <c r="W357" s="59">
        <f>IFERROR(INDEX('Semrush Data'!$A$1:$Z$20000,MATCH(V357,'Semrush Data'!$A$1:$A$20000,0),MATCH("Volume",'Semrush Data'!$A$1:$Z$1,0)),"")</f>
        <v/>
      </c>
      <c r="X357" s="59">
        <f>IFERROR(INDEX('Semrush Data'!$A$1:$Z$20000,MATCH(V357,'Semrush Data'!$A$1:$A$20000,0),MATCH("Keyword Difficulty*",'Semrush Data'!$A$1:$Z$1,0)),"")</f>
        <v/>
      </c>
      <c r="Y357" s="61">
        <f>IFERROR(INDEX('Semrush Data'!$A$1:$Z$20000,MATCH(V357,'Semrush Data'!$A$1:$A$20000,0),MATCH("CPC*",'Semrush Data'!$A$1:$Z$1,0)),"")</f>
        <v/>
      </c>
      <c r="Z357" s="58" t="inlineStr">
        <is>
          <t>woody perfume for women uk</t>
        </is>
      </c>
      <c r="AA357" s="58" t="n"/>
      <c r="AB357" s="58" t="inlineStr">
        <is>
          <t>Maison De Milan Bliss Rouge</t>
        </is>
      </c>
      <c r="AC357" s="58" t="inlineStr">
        <is>
          <t>Maison De Milan Bliss Rouge | Buy Online UK | Swansura</t>
        </is>
      </c>
      <c r="AD357" s="58">
        <f>LEN(AC357)</f>
        <v/>
      </c>
      <c r="AE357" s="58" t="inlineStr">
        <is>
          <t>Buy Maison De Milan Bliss Rouge online in the UK at Swansura. A woody women's eau de parfum, 100ml. 100% authentic, fast UK delivery, free over £50.</t>
        </is>
      </c>
      <c r="AF357" s="58">
        <f>LEN(AE357)</f>
        <v/>
      </c>
    </row>
    <row r="358" ht="15" customHeight="1" s="37">
      <c r="A358" s="58" t="inlineStr">
        <is>
          <t>FR-198</t>
        </is>
      </c>
      <c r="B358" s="58" t="inlineStr">
        <is>
          <t>Fragrance Catalogue</t>
        </is>
      </c>
      <c r="C358" s="58" t="n">
        <v>198</v>
      </c>
      <c r="D358" s="58" t="inlineStr">
        <is>
          <t>Generic</t>
        </is>
      </c>
      <c r="E358" s="58" t="inlineStr">
        <is>
          <t>Real brand missing</t>
        </is>
      </c>
      <c r="F358" s="58" t="inlineStr">
        <is>
          <t>Fragrance</t>
        </is>
      </c>
      <c r="G358" s="58" t="inlineStr">
        <is>
          <t>Eau de Parfum (EDP)</t>
        </is>
      </c>
      <c r="H358" s="58" t="inlineStr">
        <is>
          <t>Woody · Unisex Fragrance</t>
        </is>
      </c>
      <c r="I358" s="58" t="inlineStr">
        <is>
          <t>Maison de Milan Brave Lad - Eau de Parfum for Men and Women 100ml – Long Lasting Luxury Fragrance</t>
        </is>
      </c>
      <c r="J358" s="58" t="inlineStr">
        <is>
          <t>100ml</t>
        </is>
      </c>
      <c r="K358" s="58" t="n">
        <v>17.99</v>
      </c>
      <c r="L358" s="58" t="inlineStr">
        <is>
          <t>maison de milan brave lad</t>
        </is>
      </c>
      <c r="M358" s="58" t="inlineStr">
        <is>
          <t>maison de milan brave lad uk</t>
        </is>
      </c>
      <c r="N358" s="58" t="inlineStr">
        <is>
          <t>buy maison de milan brave lad online</t>
        </is>
      </c>
      <c r="O358" s="58" t="inlineStr">
        <is>
          <t>maison de milan brave lad price</t>
        </is>
      </c>
      <c r="P358" s="58" t="inlineStr">
        <is>
          <t>maison de milan brave lad eau de parfum</t>
        </is>
      </c>
      <c r="Q358" s="59">
        <f>IF(L358="","",IFERROR(INDEX('Semrush Data'!$A$1:$Z$20000,MATCH(L358,'Semrush Data'!$A$1:$A$20000,0),MATCH("Volume",'Semrush Data'!$A$1:$Z$1,0)),""))</f>
        <v/>
      </c>
      <c r="R358" s="59">
        <f>IF(M358="","",IFERROR(INDEX('Semrush Data'!$A$1:$Z$20000,MATCH(M358,'Semrush Data'!$A$1:$A$20000,0),MATCH("Volume",'Semrush Data'!$A$1:$Z$1,0)),""))</f>
        <v/>
      </c>
      <c r="S358" s="59">
        <f>IF(N358="","",IFERROR(INDEX('Semrush Data'!$A$1:$Z$20000,MATCH(N358,'Semrush Data'!$A$1:$A$20000,0),MATCH("Volume",'Semrush Data'!$A$1:$Z$1,0)),""))</f>
        <v/>
      </c>
      <c r="T358" s="59">
        <f>IF(O358="","",IFERROR(INDEX('Semrush Data'!$A$1:$Z$20000,MATCH(O358,'Semrush Data'!$A$1:$A$20000,0),MATCH("Volume",'Semrush Data'!$A$1:$Z$1,0)),""))</f>
        <v/>
      </c>
      <c r="U358" s="59">
        <f>IF(P358="","",IFERROR(INDEX('Semrush Data'!$A$1:$Z$20000,MATCH(P358,'Semrush Data'!$A$1:$A$20000,0),MATCH("Volume",'Semrush Data'!$A$1:$Z$1,0)),""))</f>
        <v/>
      </c>
      <c r="V358" s="60">
        <f>IF(COUNT(Q358:U358)=0,L358,IF(MAX(Q358:U358)=0,L358,INDEX(L358:P358,MATCH(MAX(Q358:U358),Q358:U358,0))))</f>
        <v/>
      </c>
      <c r="W358" s="59">
        <f>IFERROR(INDEX('Semrush Data'!$A$1:$Z$20000,MATCH(V358,'Semrush Data'!$A$1:$A$20000,0),MATCH("Volume",'Semrush Data'!$A$1:$Z$1,0)),"")</f>
        <v/>
      </c>
      <c r="X358" s="59">
        <f>IFERROR(INDEX('Semrush Data'!$A$1:$Z$20000,MATCH(V358,'Semrush Data'!$A$1:$A$20000,0),MATCH("Keyword Difficulty*",'Semrush Data'!$A$1:$Z$1,0)),"")</f>
        <v/>
      </c>
      <c r="Y358" s="61">
        <f>IFERROR(INDEX('Semrush Data'!$A$1:$Z$20000,MATCH(V358,'Semrush Data'!$A$1:$A$20000,0),MATCH("CPC*",'Semrush Data'!$A$1:$Z$1,0)),"")</f>
        <v/>
      </c>
      <c r="Z358" s="58" t="inlineStr">
        <is>
          <t>woody perfume uk</t>
        </is>
      </c>
      <c r="AA358" s="58" t="n"/>
      <c r="AB358" s="58" t="inlineStr">
        <is>
          <t>Maison de Milan Brave Lad</t>
        </is>
      </c>
      <c r="AC358" s="58" t="inlineStr">
        <is>
          <t>Maison de Milan Brave Lad | Buy Online UK | Swansura</t>
        </is>
      </c>
      <c r="AD358" s="58">
        <f>LEN(AC358)</f>
        <v/>
      </c>
      <c r="AE358" s="58" t="inlineStr">
        <is>
          <t>Buy Maison de Milan Brave Lad online in the UK at Swansura. A woody unisex eau de parfum, 100ml. 100% authentic, fast UK delivery, free over £50.</t>
        </is>
      </c>
      <c r="AF358" s="58">
        <f>LEN(AE358)</f>
        <v/>
      </c>
    </row>
    <row r="359" ht="15" customHeight="1" s="37">
      <c r="A359" s="58" t="inlineStr">
        <is>
          <t>FR-199</t>
        </is>
      </c>
      <c r="B359" s="58" t="inlineStr">
        <is>
          <t>Fragrance Catalogue</t>
        </is>
      </c>
      <c r="C359" s="58" t="n">
        <v>199</v>
      </c>
      <c r="D359" s="58" t="inlineStr">
        <is>
          <t>Generic</t>
        </is>
      </c>
      <c r="E359" s="58" t="inlineStr">
        <is>
          <t>Real brand missing</t>
        </is>
      </c>
      <c r="F359" s="58" t="inlineStr">
        <is>
          <t>Fragrance</t>
        </is>
      </c>
      <c r="G359" s="58" t="inlineStr">
        <is>
          <t>Eau de Parfum (EDP)</t>
        </is>
      </c>
      <c r="H359" s="58" t="inlineStr">
        <is>
          <t>Woody · Women's Fragrance</t>
        </is>
      </c>
      <c r="I359" s="58" t="inlineStr">
        <is>
          <t>Maison de Milan Delight Pour Femme - Eau de Parfum for Women 100ml – Long Lasting Luxury Fragrance</t>
        </is>
      </c>
      <c r="J359" s="58" t="inlineStr">
        <is>
          <t>100ml</t>
        </is>
      </c>
      <c r="K359" s="58" t="n">
        <v>17.99</v>
      </c>
      <c r="L359" s="58" t="inlineStr">
        <is>
          <t>maison de milan delight pour femme</t>
        </is>
      </c>
      <c r="M359" s="58" t="inlineStr">
        <is>
          <t>maison de milan delight pour femme uk</t>
        </is>
      </c>
      <c r="N359" s="58" t="inlineStr">
        <is>
          <t>buy maison de milan delight pour femme online</t>
        </is>
      </c>
      <c r="O359" s="58" t="inlineStr">
        <is>
          <t>maison de milan delight pour femme price</t>
        </is>
      </c>
      <c r="P359" s="58" t="inlineStr">
        <is>
          <t>maison de milan delight pour femme eau de parfum</t>
        </is>
      </c>
      <c r="Q359" s="59">
        <f>IF(L359="","",IFERROR(INDEX('Semrush Data'!$A$1:$Z$20000,MATCH(L359,'Semrush Data'!$A$1:$A$20000,0),MATCH("Volume",'Semrush Data'!$A$1:$Z$1,0)),""))</f>
        <v/>
      </c>
      <c r="R359" s="59">
        <f>IF(M359="","",IFERROR(INDEX('Semrush Data'!$A$1:$Z$20000,MATCH(M359,'Semrush Data'!$A$1:$A$20000,0),MATCH("Volume",'Semrush Data'!$A$1:$Z$1,0)),""))</f>
        <v/>
      </c>
      <c r="S359" s="59">
        <f>IF(N359="","",IFERROR(INDEX('Semrush Data'!$A$1:$Z$20000,MATCH(N359,'Semrush Data'!$A$1:$A$20000,0),MATCH("Volume",'Semrush Data'!$A$1:$Z$1,0)),""))</f>
        <v/>
      </c>
      <c r="T359" s="59">
        <f>IF(O359="","",IFERROR(INDEX('Semrush Data'!$A$1:$Z$20000,MATCH(O359,'Semrush Data'!$A$1:$A$20000,0),MATCH("Volume",'Semrush Data'!$A$1:$Z$1,0)),""))</f>
        <v/>
      </c>
      <c r="U359" s="59">
        <f>IF(P359="","",IFERROR(INDEX('Semrush Data'!$A$1:$Z$20000,MATCH(P359,'Semrush Data'!$A$1:$A$20000,0),MATCH("Volume",'Semrush Data'!$A$1:$Z$1,0)),""))</f>
        <v/>
      </c>
      <c r="V359" s="60">
        <f>IF(COUNT(Q359:U359)=0,L359,IF(MAX(Q359:U359)=0,L359,INDEX(L359:P359,MATCH(MAX(Q359:U359),Q359:U359,0))))</f>
        <v/>
      </c>
      <c r="W359" s="59">
        <f>IFERROR(INDEX('Semrush Data'!$A$1:$Z$20000,MATCH(V359,'Semrush Data'!$A$1:$A$20000,0),MATCH("Volume",'Semrush Data'!$A$1:$Z$1,0)),"")</f>
        <v/>
      </c>
      <c r="X359" s="59">
        <f>IFERROR(INDEX('Semrush Data'!$A$1:$Z$20000,MATCH(V359,'Semrush Data'!$A$1:$A$20000,0),MATCH("Keyword Difficulty*",'Semrush Data'!$A$1:$Z$1,0)),"")</f>
        <v/>
      </c>
      <c r="Y359" s="61">
        <f>IFERROR(INDEX('Semrush Data'!$A$1:$Z$20000,MATCH(V359,'Semrush Data'!$A$1:$A$20000,0),MATCH("CPC*",'Semrush Data'!$A$1:$Z$1,0)),"")</f>
        <v/>
      </c>
      <c r="Z359" s="58" t="inlineStr">
        <is>
          <t>woody perfume for women uk</t>
        </is>
      </c>
      <c r="AA359" s="58" t="n"/>
      <c r="AB359" s="58" t="inlineStr">
        <is>
          <t>Maison de Milan Delight Pour Femme</t>
        </is>
      </c>
      <c r="AC359" s="58" t="inlineStr">
        <is>
          <t>Maison de Milan Delight Pour Femme EDP 100ml | Swansura UK</t>
        </is>
      </c>
      <c r="AD359" s="58">
        <f>LEN(AC359)</f>
        <v/>
      </c>
      <c r="AE359" s="58" t="inlineStr">
        <is>
          <t>Buy Maison de Milan Delight Pour Femme online in the UK at Swansura. A woody women's eau de parfum, 100ml. 100% authentic, fast UK delivery, free over £50.</t>
        </is>
      </c>
      <c r="AF359" s="58">
        <f>LEN(AE359)</f>
        <v/>
      </c>
    </row>
    <row r="360" ht="15" customHeight="1" s="37">
      <c r="A360" s="58" t="inlineStr">
        <is>
          <t>FR-200</t>
        </is>
      </c>
      <c r="B360" s="58" t="inlineStr">
        <is>
          <t>Fragrance Catalogue</t>
        </is>
      </c>
      <c r="C360" s="58" t="n">
        <v>200</v>
      </c>
      <c r="D360" s="58" t="inlineStr">
        <is>
          <t>Generic</t>
        </is>
      </c>
      <c r="E360" s="58" t="inlineStr">
        <is>
          <t>Real brand missing</t>
        </is>
      </c>
      <c r="F360" s="58" t="inlineStr">
        <is>
          <t>Fragrance</t>
        </is>
      </c>
      <c r="G360" s="58" t="inlineStr">
        <is>
          <t>Eau de Parfum (EDP)</t>
        </is>
      </c>
      <c r="H360" s="58" t="inlineStr">
        <is>
          <t>Woody · Women's Fragrance</t>
        </is>
      </c>
      <c r="I360" s="58" t="inlineStr">
        <is>
          <t>Maison de Milan Elegance Pour Femme - Eau de Parfum for Women 100ml – Long Lasting Luxury Fragrance</t>
        </is>
      </c>
      <c r="J360" s="58" t="inlineStr">
        <is>
          <t>100ml</t>
        </is>
      </c>
      <c r="K360" s="58" t="n">
        <v>17.99</v>
      </c>
      <c r="L360" s="58" t="inlineStr">
        <is>
          <t>maison de milan elegance pour femme</t>
        </is>
      </c>
      <c r="M360" s="58" t="inlineStr">
        <is>
          <t>maison de milan elegance pour femme uk</t>
        </is>
      </c>
      <c r="N360" s="58" t="inlineStr">
        <is>
          <t>buy maison de milan elegance pour femme online</t>
        </is>
      </c>
      <c r="O360" s="58" t="inlineStr">
        <is>
          <t>maison de milan elegance pour femme price</t>
        </is>
      </c>
      <c r="P360" s="58" t="inlineStr">
        <is>
          <t>maison de milan elegance pour femme eau de parfum</t>
        </is>
      </c>
      <c r="Q360" s="59">
        <f>IF(L360="","",IFERROR(INDEX('Semrush Data'!$A$1:$Z$20000,MATCH(L360,'Semrush Data'!$A$1:$A$20000,0),MATCH("Volume",'Semrush Data'!$A$1:$Z$1,0)),""))</f>
        <v/>
      </c>
      <c r="R360" s="59">
        <f>IF(M360="","",IFERROR(INDEX('Semrush Data'!$A$1:$Z$20000,MATCH(M360,'Semrush Data'!$A$1:$A$20000,0),MATCH("Volume",'Semrush Data'!$A$1:$Z$1,0)),""))</f>
        <v/>
      </c>
      <c r="S360" s="59">
        <f>IF(N360="","",IFERROR(INDEX('Semrush Data'!$A$1:$Z$20000,MATCH(N360,'Semrush Data'!$A$1:$A$20000,0),MATCH("Volume",'Semrush Data'!$A$1:$Z$1,0)),""))</f>
        <v/>
      </c>
      <c r="T360" s="59">
        <f>IF(O360="","",IFERROR(INDEX('Semrush Data'!$A$1:$Z$20000,MATCH(O360,'Semrush Data'!$A$1:$A$20000,0),MATCH("Volume",'Semrush Data'!$A$1:$Z$1,0)),""))</f>
        <v/>
      </c>
      <c r="U360" s="59">
        <f>IF(P360="","",IFERROR(INDEX('Semrush Data'!$A$1:$Z$20000,MATCH(P360,'Semrush Data'!$A$1:$A$20000,0),MATCH("Volume",'Semrush Data'!$A$1:$Z$1,0)),""))</f>
        <v/>
      </c>
      <c r="V360" s="60">
        <f>IF(COUNT(Q360:U360)=0,L360,IF(MAX(Q360:U360)=0,L360,INDEX(L360:P360,MATCH(MAX(Q360:U360),Q360:U360,0))))</f>
        <v/>
      </c>
      <c r="W360" s="59">
        <f>IFERROR(INDEX('Semrush Data'!$A$1:$Z$20000,MATCH(V360,'Semrush Data'!$A$1:$A$20000,0),MATCH("Volume",'Semrush Data'!$A$1:$Z$1,0)),"")</f>
        <v/>
      </c>
      <c r="X360" s="59">
        <f>IFERROR(INDEX('Semrush Data'!$A$1:$Z$20000,MATCH(V360,'Semrush Data'!$A$1:$A$20000,0),MATCH("Keyword Difficulty*",'Semrush Data'!$A$1:$Z$1,0)),"")</f>
        <v/>
      </c>
      <c r="Y360" s="61">
        <f>IFERROR(INDEX('Semrush Data'!$A$1:$Z$20000,MATCH(V360,'Semrush Data'!$A$1:$A$20000,0),MATCH("CPC*",'Semrush Data'!$A$1:$Z$1,0)),"")</f>
        <v/>
      </c>
      <c r="Z360" s="58" t="inlineStr">
        <is>
          <t>woody perfume for women uk</t>
        </is>
      </c>
      <c r="AA360" s="58" t="n"/>
      <c r="AB360" s="58" t="inlineStr">
        <is>
          <t>Maison de Milan Elegance Pour Femme</t>
        </is>
      </c>
      <c r="AC360" s="58" t="inlineStr">
        <is>
          <t>Maison de Milan Elegance Pour Femme EDP 100ml | Swansura UK</t>
        </is>
      </c>
      <c r="AD360" s="58">
        <f>LEN(AC360)</f>
        <v/>
      </c>
      <c r="AE360" s="58" t="inlineStr">
        <is>
          <t>Buy Maison de Milan Elegance Pour Femme online in the UK at Swansura. A woody women's eau de parfum, 100ml. 100% authentic, fast UK delivery, free over £50.</t>
        </is>
      </c>
      <c r="AF360" s="58">
        <f>LEN(AE360)</f>
        <v/>
      </c>
    </row>
    <row r="361" ht="15" customHeight="1" s="37">
      <c r="A361" s="58" t="inlineStr">
        <is>
          <t>FR-201</t>
        </is>
      </c>
      <c r="B361" s="58" t="inlineStr">
        <is>
          <t>Fragrance Catalogue</t>
        </is>
      </c>
      <c r="C361" s="58" t="n">
        <v>201</v>
      </c>
      <c r="D361" s="58" t="inlineStr">
        <is>
          <t>Generic</t>
        </is>
      </c>
      <c r="E361" s="58" t="inlineStr">
        <is>
          <t>Real brand missing</t>
        </is>
      </c>
      <c r="F361" s="58" t="inlineStr">
        <is>
          <t>Fragrance</t>
        </is>
      </c>
      <c r="G361" s="58" t="inlineStr">
        <is>
          <t>Eau de Parfum (EDP)</t>
        </is>
      </c>
      <c r="H361" s="58" t="inlineStr">
        <is>
          <t>Woody · Women's Fragrance</t>
        </is>
      </c>
      <c r="I361" s="58" t="inlineStr">
        <is>
          <t>Maison de Milan Gossip Pour Femme - Eau de Parfum for Women 100ml – Long Lasting Luxury Fragrance</t>
        </is>
      </c>
      <c r="J361" s="58" t="inlineStr">
        <is>
          <t>100ml</t>
        </is>
      </c>
      <c r="K361" s="58" t="n">
        <v>17.99</v>
      </c>
      <c r="L361" s="58" t="inlineStr">
        <is>
          <t>maison de milan gossip pour femme</t>
        </is>
      </c>
      <c r="M361" s="58" t="inlineStr">
        <is>
          <t>maison de milan gossip pour femme uk</t>
        </is>
      </c>
      <c r="N361" s="58" t="inlineStr">
        <is>
          <t>buy maison de milan gossip pour femme online</t>
        </is>
      </c>
      <c r="O361" s="58" t="inlineStr">
        <is>
          <t>maison de milan gossip pour femme price</t>
        </is>
      </c>
      <c r="P361" s="58" t="inlineStr">
        <is>
          <t>maison de milan gossip pour femme eau de parfum</t>
        </is>
      </c>
      <c r="Q361" s="59">
        <f>IF(L361="","",IFERROR(INDEX('Semrush Data'!$A$1:$Z$20000,MATCH(L361,'Semrush Data'!$A$1:$A$20000,0),MATCH("Volume",'Semrush Data'!$A$1:$Z$1,0)),""))</f>
        <v/>
      </c>
      <c r="R361" s="59">
        <f>IF(M361="","",IFERROR(INDEX('Semrush Data'!$A$1:$Z$20000,MATCH(M361,'Semrush Data'!$A$1:$A$20000,0),MATCH("Volume",'Semrush Data'!$A$1:$Z$1,0)),""))</f>
        <v/>
      </c>
      <c r="S361" s="59">
        <f>IF(N361="","",IFERROR(INDEX('Semrush Data'!$A$1:$Z$20000,MATCH(N361,'Semrush Data'!$A$1:$A$20000,0),MATCH("Volume",'Semrush Data'!$A$1:$Z$1,0)),""))</f>
        <v/>
      </c>
      <c r="T361" s="59">
        <f>IF(O361="","",IFERROR(INDEX('Semrush Data'!$A$1:$Z$20000,MATCH(O361,'Semrush Data'!$A$1:$A$20000,0),MATCH("Volume",'Semrush Data'!$A$1:$Z$1,0)),""))</f>
        <v/>
      </c>
      <c r="U361" s="59">
        <f>IF(P361="","",IFERROR(INDEX('Semrush Data'!$A$1:$Z$20000,MATCH(P361,'Semrush Data'!$A$1:$A$20000,0),MATCH("Volume",'Semrush Data'!$A$1:$Z$1,0)),""))</f>
        <v/>
      </c>
      <c r="V361" s="60">
        <f>IF(COUNT(Q361:U361)=0,L361,IF(MAX(Q361:U361)=0,L361,INDEX(L361:P361,MATCH(MAX(Q361:U361),Q361:U361,0))))</f>
        <v/>
      </c>
      <c r="W361" s="59">
        <f>IFERROR(INDEX('Semrush Data'!$A$1:$Z$20000,MATCH(V361,'Semrush Data'!$A$1:$A$20000,0),MATCH("Volume",'Semrush Data'!$A$1:$Z$1,0)),"")</f>
        <v/>
      </c>
      <c r="X361" s="59">
        <f>IFERROR(INDEX('Semrush Data'!$A$1:$Z$20000,MATCH(V361,'Semrush Data'!$A$1:$A$20000,0),MATCH("Keyword Difficulty*",'Semrush Data'!$A$1:$Z$1,0)),"")</f>
        <v/>
      </c>
      <c r="Y361" s="61">
        <f>IFERROR(INDEX('Semrush Data'!$A$1:$Z$20000,MATCH(V361,'Semrush Data'!$A$1:$A$20000,0),MATCH("CPC*",'Semrush Data'!$A$1:$Z$1,0)),"")</f>
        <v/>
      </c>
      <c r="Z361" s="58" t="inlineStr">
        <is>
          <t>woody perfume for women uk</t>
        </is>
      </c>
      <c r="AA361" s="58" t="n"/>
      <c r="AB361" s="58" t="inlineStr">
        <is>
          <t>Maison de Milan Gossip Pour Femme</t>
        </is>
      </c>
      <c r="AC361" s="58" t="inlineStr">
        <is>
          <t>Maison de Milan Gossip Pour Femme | Buy Online UK | Swansura</t>
        </is>
      </c>
      <c r="AD361" s="58">
        <f>LEN(AC361)</f>
        <v/>
      </c>
      <c r="AE361" s="58" t="inlineStr">
        <is>
          <t>Buy Maison de Milan Gossip Pour Femme online in the UK at Swansura. A woody women's eau de parfum, 100ml. 100% authentic, fast UK delivery, free over £50.</t>
        </is>
      </c>
      <c r="AF361" s="58">
        <f>LEN(AE361)</f>
        <v/>
      </c>
    </row>
    <row r="362" ht="15" customHeight="1" s="37">
      <c r="A362" s="58" t="inlineStr">
        <is>
          <t>FR-202</t>
        </is>
      </c>
      <c r="B362" s="58" t="inlineStr">
        <is>
          <t>Fragrance Catalogue</t>
        </is>
      </c>
      <c r="C362" s="58" t="n">
        <v>202</v>
      </c>
      <c r="D362" s="58" t="inlineStr">
        <is>
          <t>Generic</t>
        </is>
      </c>
      <c r="E362" s="58" t="inlineStr">
        <is>
          <t>Real brand missing</t>
        </is>
      </c>
      <c r="F362" s="58" t="inlineStr">
        <is>
          <t>Fragrance</t>
        </is>
      </c>
      <c r="G362" s="58" t="inlineStr">
        <is>
          <t>Eau de Parfum (EDP)</t>
        </is>
      </c>
      <c r="H362" s="58" t="inlineStr">
        <is>
          <t>Woody · Women's Fragrance</t>
        </is>
      </c>
      <c r="I362" s="58" t="inlineStr">
        <is>
          <t>Maison de Milan Invincible - Eau de Parfum for Women 100ml – Long Lasting Luxury Fragrance</t>
        </is>
      </c>
      <c r="J362" s="58" t="inlineStr">
        <is>
          <t>100ml</t>
        </is>
      </c>
      <c r="K362" s="58" t="n">
        <v>17.99</v>
      </c>
      <c r="L362" s="58" t="inlineStr">
        <is>
          <t>maison de milan invincible</t>
        </is>
      </c>
      <c r="M362" s="58" t="inlineStr">
        <is>
          <t>maison de milan invincible uk</t>
        </is>
      </c>
      <c r="N362" s="58" t="inlineStr">
        <is>
          <t>buy maison de milan invincible online</t>
        </is>
      </c>
      <c r="O362" s="58" t="inlineStr">
        <is>
          <t>maison de milan invincible price</t>
        </is>
      </c>
      <c r="P362" s="58" t="inlineStr">
        <is>
          <t>maison de milan invincible eau de parfum</t>
        </is>
      </c>
      <c r="Q362" s="59">
        <f>IF(L362="","",IFERROR(INDEX('Semrush Data'!$A$1:$Z$20000,MATCH(L362,'Semrush Data'!$A$1:$A$20000,0),MATCH("Volume",'Semrush Data'!$A$1:$Z$1,0)),""))</f>
        <v/>
      </c>
      <c r="R362" s="59">
        <f>IF(M362="","",IFERROR(INDEX('Semrush Data'!$A$1:$Z$20000,MATCH(M362,'Semrush Data'!$A$1:$A$20000,0),MATCH("Volume",'Semrush Data'!$A$1:$Z$1,0)),""))</f>
        <v/>
      </c>
      <c r="S362" s="59">
        <f>IF(N362="","",IFERROR(INDEX('Semrush Data'!$A$1:$Z$20000,MATCH(N362,'Semrush Data'!$A$1:$A$20000,0),MATCH("Volume",'Semrush Data'!$A$1:$Z$1,0)),""))</f>
        <v/>
      </c>
      <c r="T362" s="59">
        <f>IF(O362="","",IFERROR(INDEX('Semrush Data'!$A$1:$Z$20000,MATCH(O362,'Semrush Data'!$A$1:$A$20000,0),MATCH("Volume",'Semrush Data'!$A$1:$Z$1,0)),""))</f>
        <v/>
      </c>
      <c r="U362" s="59">
        <f>IF(P362="","",IFERROR(INDEX('Semrush Data'!$A$1:$Z$20000,MATCH(P362,'Semrush Data'!$A$1:$A$20000,0),MATCH("Volume",'Semrush Data'!$A$1:$Z$1,0)),""))</f>
        <v/>
      </c>
      <c r="V362" s="60">
        <f>IF(COUNT(Q362:U362)=0,L362,IF(MAX(Q362:U362)=0,L362,INDEX(L362:P362,MATCH(MAX(Q362:U362),Q362:U362,0))))</f>
        <v/>
      </c>
      <c r="W362" s="59">
        <f>IFERROR(INDEX('Semrush Data'!$A$1:$Z$20000,MATCH(V362,'Semrush Data'!$A$1:$A$20000,0),MATCH("Volume",'Semrush Data'!$A$1:$Z$1,0)),"")</f>
        <v/>
      </c>
      <c r="X362" s="59">
        <f>IFERROR(INDEX('Semrush Data'!$A$1:$Z$20000,MATCH(V362,'Semrush Data'!$A$1:$A$20000,0),MATCH("Keyword Difficulty*",'Semrush Data'!$A$1:$Z$1,0)),"")</f>
        <v/>
      </c>
      <c r="Y362" s="61">
        <f>IFERROR(INDEX('Semrush Data'!$A$1:$Z$20000,MATCH(V362,'Semrush Data'!$A$1:$A$20000,0),MATCH("CPC*",'Semrush Data'!$A$1:$Z$1,0)),"")</f>
        <v/>
      </c>
      <c r="Z362" s="58" t="inlineStr">
        <is>
          <t>woody perfume for women uk</t>
        </is>
      </c>
      <c r="AA362" s="58" t="inlineStr">
        <is>
          <t>invincible maison de milan · maison de milan invincible 100ml · invincible perfume maison de milan</t>
        </is>
      </c>
      <c r="AB362" s="58" t="inlineStr">
        <is>
          <t>Maison de Milan Invincible</t>
        </is>
      </c>
      <c r="AC362" s="58" t="inlineStr">
        <is>
          <t>Maison de Milan Invincible | Buy Online UK | Swansura</t>
        </is>
      </c>
      <c r="AD362" s="58">
        <f>LEN(AC362)</f>
        <v/>
      </c>
      <c r="AE362" s="58" t="inlineStr">
        <is>
          <t>Buy Maison de Milan Invincible online in the UK at Swansura. A woody women's eau de parfum, 100ml. 100% authentic, fast UK delivery, free over £50.</t>
        </is>
      </c>
      <c r="AF362" s="58">
        <f>LEN(AE362)</f>
        <v/>
      </c>
    </row>
    <row r="363" ht="15" customHeight="1" s="37">
      <c r="A363" s="58" t="inlineStr">
        <is>
          <t>FR-203</t>
        </is>
      </c>
      <c r="B363" s="58" t="inlineStr">
        <is>
          <t>Fragrance Catalogue</t>
        </is>
      </c>
      <c r="C363" s="58" t="n">
        <v>203</v>
      </c>
      <c r="D363" s="58" t="inlineStr">
        <is>
          <t>Generic</t>
        </is>
      </c>
      <c r="E363" s="58" t="inlineStr">
        <is>
          <t>Real brand missing</t>
        </is>
      </c>
      <c r="F363" s="58" t="inlineStr">
        <is>
          <t>Fragrance</t>
        </is>
      </c>
      <c r="G363" s="58" t="inlineStr">
        <is>
          <t>Eau de Parfum (EDP)</t>
        </is>
      </c>
      <c r="H363" s="58" t="inlineStr">
        <is>
          <t>Woody · Men's Fragrance</t>
        </is>
      </c>
      <c r="I363" s="58" t="inlineStr">
        <is>
          <t>Maison de Milan L'Homme Suave - Eau de Parfum for Men 100ml – Long Lasting Luxury Fragrance</t>
        </is>
      </c>
      <c r="J363" s="58" t="inlineStr">
        <is>
          <t>100ml</t>
        </is>
      </c>
      <c r="K363" s="58" t="n">
        <v>17.99</v>
      </c>
      <c r="L363" s="58" t="inlineStr">
        <is>
          <t>maison de milan l'homme suave</t>
        </is>
      </c>
      <c r="M363" s="58" t="inlineStr">
        <is>
          <t>maison de milan l'homme suave uk</t>
        </is>
      </c>
      <c r="N363" s="58" t="inlineStr">
        <is>
          <t>buy maison de milan l'homme suave online</t>
        </is>
      </c>
      <c r="O363" s="58" t="inlineStr">
        <is>
          <t>maison de milan l'homme suave price</t>
        </is>
      </c>
      <c r="P363" s="58" t="inlineStr">
        <is>
          <t>maison de milan l'homme suave eau de parfum</t>
        </is>
      </c>
      <c r="Q363" s="59">
        <f>IF(L363="","",IFERROR(INDEX('Semrush Data'!$A$1:$Z$20000,MATCH(L363,'Semrush Data'!$A$1:$A$20000,0),MATCH("Volume",'Semrush Data'!$A$1:$Z$1,0)),""))</f>
        <v/>
      </c>
      <c r="R363" s="59">
        <f>IF(M363="","",IFERROR(INDEX('Semrush Data'!$A$1:$Z$20000,MATCH(M363,'Semrush Data'!$A$1:$A$20000,0),MATCH("Volume",'Semrush Data'!$A$1:$Z$1,0)),""))</f>
        <v/>
      </c>
      <c r="S363" s="59">
        <f>IF(N363="","",IFERROR(INDEX('Semrush Data'!$A$1:$Z$20000,MATCH(N363,'Semrush Data'!$A$1:$A$20000,0),MATCH("Volume",'Semrush Data'!$A$1:$Z$1,0)),""))</f>
        <v/>
      </c>
      <c r="T363" s="59">
        <f>IF(O363="","",IFERROR(INDEX('Semrush Data'!$A$1:$Z$20000,MATCH(O363,'Semrush Data'!$A$1:$A$20000,0),MATCH("Volume",'Semrush Data'!$A$1:$Z$1,0)),""))</f>
        <v/>
      </c>
      <c r="U363" s="59">
        <f>IF(P363="","",IFERROR(INDEX('Semrush Data'!$A$1:$Z$20000,MATCH(P363,'Semrush Data'!$A$1:$A$20000,0),MATCH("Volume",'Semrush Data'!$A$1:$Z$1,0)),""))</f>
        <v/>
      </c>
      <c r="V363" s="60">
        <f>IF(COUNT(Q363:U363)=0,L363,IF(MAX(Q363:U363)=0,L363,INDEX(L363:P363,MATCH(MAX(Q363:U363),Q363:U363,0))))</f>
        <v/>
      </c>
      <c r="W363" s="59">
        <f>IFERROR(INDEX('Semrush Data'!$A$1:$Z$20000,MATCH(V363,'Semrush Data'!$A$1:$A$20000,0),MATCH("Volume",'Semrush Data'!$A$1:$Z$1,0)),"")</f>
        <v/>
      </c>
      <c r="X363" s="59">
        <f>IFERROR(INDEX('Semrush Data'!$A$1:$Z$20000,MATCH(V363,'Semrush Data'!$A$1:$A$20000,0),MATCH("Keyword Difficulty*",'Semrush Data'!$A$1:$Z$1,0)),"")</f>
        <v/>
      </c>
      <c r="Y363" s="61">
        <f>IFERROR(INDEX('Semrush Data'!$A$1:$Z$20000,MATCH(V363,'Semrush Data'!$A$1:$A$20000,0),MATCH("CPC*",'Semrush Data'!$A$1:$Z$1,0)),"")</f>
        <v/>
      </c>
      <c r="Z363" s="58" t="inlineStr">
        <is>
          <t>woody perfume for men uk</t>
        </is>
      </c>
      <c r="AA363" s="58" t="n"/>
      <c r="AB363" s="58" t="inlineStr">
        <is>
          <t>Maison de Milan L'Homme Suave</t>
        </is>
      </c>
      <c r="AC363" s="58" t="inlineStr">
        <is>
          <t>Maison de Milan L'Homme Suave | Buy Online UK | Swansura</t>
        </is>
      </c>
      <c r="AD363" s="58">
        <f>LEN(AC363)</f>
        <v/>
      </c>
      <c r="AE363" s="58" t="inlineStr">
        <is>
          <t>Buy Maison de Milan L'Homme Suave online in the UK at Swansura. A woody men's eau de parfum, 100ml. 100% authentic, fast UK delivery, free over £50.</t>
        </is>
      </c>
      <c r="AF363" s="58">
        <f>LEN(AE363)</f>
        <v/>
      </c>
    </row>
    <row r="364" ht="15" customHeight="1" s="37">
      <c r="A364" s="58" t="inlineStr">
        <is>
          <t>FR-204</t>
        </is>
      </c>
      <c r="B364" s="58" t="inlineStr">
        <is>
          <t>Fragrance Catalogue</t>
        </is>
      </c>
      <c r="C364" s="58" t="n">
        <v>204</v>
      </c>
      <c r="D364" s="58" t="inlineStr">
        <is>
          <t>Generic</t>
        </is>
      </c>
      <c r="E364" s="58" t="inlineStr">
        <is>
          <t>Real brand missing</t>
        </is>
      </c>
      <c r="F364" s="58" t="inlineStr">
        <is>
          <t>Fragrance</t>
        </is>
      </c>
      <c r="G364" s="58" t="inlineStr">
        <is>
          <t>Eau de Parfum (EDP)</t>
        </is>
      </c>
      <c r="H364" s="58" t="inlineStr">
        <is>
          <t>Woody · Unisex Fragrance</t>
        </is>
      </c>
      <c r="I364" s="58" t="inlineStr">
        <is>
          <t>Maison de Milan M - Eau de Parfum Unisex – Long Lasting Fragrance - 100 ml Spray for Men and Women</t>
        </is>
      </c>
      <c r="J364" s="58" t="inlineStr">
        <is>
          <t>100 ml</t>
        </is>
      </c>
      <c r="K364" s="58" t="n">
        <v>17.99</v>
      </c>
      <c r="L364" s="58" t="inlineStr">
        <is>
          <t>maison de milan m</t>
        </is>
      </c>
      <c r="M364" s="58" t="inlineStr">
        <is>
          <t>maison de milan m uk</t>
        </is>
      </c>
      <c r="N364" s="58" t="inlineStr">
        <is>
          <t>buy maison de milan m online</t>
        </is>
      </c>
      <c r="O364" s="58" t="inlineStr">
        <is>
          <t>maison de milan m price</t>
        </is>
      </c>
      <c r="P364" s="58" t="inlineStr">
        <is>
          <t>maison de milan m eau de parfum</t>
        </is>
      </c>
      <c r="Q364" s="59">
        <f>IF(L364="","",IFERROR(INDEX('Semrush Data'!$A$1:$Z$20000,MATCH(L364,'Semrush Data'!$A$1:$A$20000,0),MATCH("Volume",'Semrush Data'!$A$1:$Z$1,0)),""))</f>
        <v/>
      </c>
      <c r="R364" s="59">
        <f>IF(M364="","",IFERROR(INDEX('Semrush Data'!$A$1:$Z$20000,MATCH(M364,'Semrush Data'!$A$1:$A$20000,0),MATCH("Volume",'Semrush Data'!$A$1:$Z$1,0)),""))</f>
        <v/>
      </c>
      <c r="S364" s="59">
        <f>IF(N364="","",IFERROR(INDEX('Semrush Data'!$A$1:$Z$20000,MATCH(N364,'Semrush Data'!$A$1:$A$20000,0),MATCH("Volume",'Semrush Data'!$A$1:$Z$1,0)),""))</f>
        <v/>
      </c>
      <c r="T364" s="59">
        <f>IF(O364="","",IFERROR(INDEX('Semrush Data'!$A$1:$Z$20000,MATCH(O364,'Semrush Data'!$A$1:$A$20000,0),MATCH("Volume",'Semrush Data'!$A$1:$Z$1,0)),""))</f>
        <v/>
      </c>
      <c r="U364" s="59">
        <f>IF(P364="","",IFERROR(INDEX('Semrush Data'!$A$1:$Z$20000,MATCH(P364,'Semrush Data'!$A$1:$A$20000,0),MATCH("Volume",'Semrush Data'!$A$1:$Z$1,0)),""))</f>
        <v/>
      </c>
      <c r="V364" s="60">
        <f>IF(COUNT(Q364:U364)=0,L364,IF(MAX(Q364:U364)=0,L364,INDEX(L364:P364,MATCH(MAX(Q364:U364),Q364:U364,0))))</f>
        <v/>
      </c>
      <c r="W364" s="59">
        <f>IFERROR(INDEX('Semrush Data'!$A$1:$Z$20000,MATCH(V364,'Semrush Data'!$A$1:$A$20000,0),MATCH("Volume",'Semrush Data'!$A$1:$Z$1,0)),"")</f>
        <v/>
      </c>
      <c r="X364" s="59">
        <f>IFERROR(INDEX('Semrush Data'!$A$1:$Z$20000,MATCH(V364,'Semrush Data'!$A$1:$A$20000,0),MATCH("Keyword Difficulty*",'Semrush Data'!$A$1:$Z$1,0)),"")</f>
        <v/>
      </c>
      <c r="Y364" s="61">
        <f>IFERROR(INDEX('Semrush Data'!$A$1:$Z$20000,MATCH(V364,'Semrush Data'!$A$1:$A$20000,0),MATCH("CPC*",'Semrush Data'!$A$1:$Z$1,0)),"")</f>
        <v/>
      </c>
      <c r="Z364" s="58" t="inlineStr">
        <is>
          <t>woody perfume uk</t>
        </is>
      </c>
      <c r="AA364" s="58" t="n"/>
      <c r="AB364" s="58" t="inlineStr">
        <is>
          <t>Maison de Milan M</t>
        </is>
      </c>
      <c r="AC364" s="58" t="inlineStr">
        <is>
          <t>Maison de Milan M 100ml | Buy Online UK | Swansura</t>
        </is>
      </c>
      <c r="AD364" s="58">
        <f>LEN(AC364)</f>
        <v/>
      </c>
      <c r="AE364" s="58" t="inlineStr">
        <is>
          <t>Buy Maison de Milan M online in the UK at Swansura. A woody unisex eau de parfum, 100ml. 100% authentic, fast UK delivery, free over £50.</t>
        </is>
      </c>
      <c r="AF364" s="58">
        <f>LEN(AE364)</f>
        <v/>
      </c>
    </row>
    <row r="365" ht="15" customHeight="1" s="37">
      <c r="A365" s="58" t="inlineStr">
        <is>
          <t>FR-205</t>
        </is>
      </c>
      <c r="B365" s="58" t="inlineStr">
        <is>
          <t>Fragrance Catalogue</t>
        </is>
      </c>
      <c r="C365" s="58" t="n">
        <v>205</v>
      </c>
      <c r="D365" s="58" t="inlineStr">
        <is>
          <t>Generic</t>
        </is>
      </c>
      <c r="E365" s="58" t="inlineStr">
        <is>
          <t>Real brand missing</t>
        </is>
      </c>
      <c r="F365" s="58" t="inlineStr">
        <is>
          <t>Fragrance</t>
        </is>
      </c>
      <c r="G365" s="58" t="inlineStr">
        <is>
          <t>Eau de Parfum (EDP)</t>
        </is>
      </c>
      <c r="H365" s="58" t="inlineStr">
        <is>
          <t>Woody · Women's Fragrance</t>
        </is>
      </c>
      <c r="I365" s="58" t="inlineStr">
        <is>
          <t>Maison De Milan Milano Girl Black – Eau de Parfum for Women – 100 ml Spray luxury fragrance</t>
        </is>
      </c>
      <c r="J365" s="58" t="inlineStr">
        <is>
          <t>100 ml</t>
        </is>
      </c>
      <c r="K365" s="58" t="n">
        <v>17.99</v>
      </c>
      <c r="L365" s="58" t="inlineStr">
        <is>
          <t>maison de milan milano girl black</t>
        </is>
      </c>
      <c r="M365" s="58" t="inlineStr">
        <is>
          <t>maison de milan milano girl black uk</t>
        </is>
      </c>
      <c r="N365" s="58" t="inlineStr">
        <is>
          <t>buy maison de milan milano girl black online</t>
        </is>
      </c>
      <c r="O365" s="58" t="inlineStr">
        <is>
          <t>maison de milan milano girl black price</t>
        </is>
      </c>
      <c r="P365" s="58" t="inlineStr">
        <is>
          <t>maison de milan milano girl black eau de parfum</t>
        </is>
      </c>
      <c r="Q365" s="59">
        <f>IF(L365="","",IFERROR(INDEX('Semrush Data'!$A$1:$Z$20000,MATCH(L365,'Semrush Data'!$A$1:$A$20000,0),MATCH("Volume",'Semrush Data'!$A$1:$Z$1,0)),""))</f>
        <v/>
      </c>
      <c r="R365" s="59">
        <f>IF(M365="","",IFERROR(INDEX('Semrush Data'!$A$1:$Z$20000,MATCH(M365,'Semrush Data'!$A$1:$A$20000,0),MATCH("Volume",'Semrush Data'!$A$1:$Z$1,0)),""))</f>
        <v/>
      </c>
      <c r="S365" s="59">
        <f>IF(N365="","",IFERROR(INDEX('Semrush Data'!$A$1:$Z$20000,MATCH(N365,'Semrush Data'!$A$1:$A$20000,0),MATCH("Volume",'Semrush Data'!$A$1:$Z$1,0)),""))</f>
        <v/>
      </c>
      <c r="T365" s="59">
        <f>IF(O365="","",IFERROR(INDEX('Semrush Data'!$A$1:$Z$20000,MATCH(O365,'Semrush Data'!$A$1:$A$20000,0),MATCH("Volume",'Semrush Data'!$A$1:$Z$1,0)),""))</f>
        <v/>
      </c>
      <c r="U365" s="59">
        <f>IF(P365="","",IFERROR(INDEX('Semrush Data'!$A$1:$Z$20000,MATCH(P365,'Semrush Data'!$A$1:$A$20000,0),MATCH("Volume",'Semrush Data'!$A$1:$Z$1,0)),""))</f>
        <v/>
      </c>
      <c r="V365" s="60">
        <f>IF(COUNT(Q365:U365)=0,L365,IF(MAX(Q365:U365)=0,L365,INDEX(L365:P365,MATCH(MAX(Q365:U365),Q365:U365,0))))</f>
        <v/>
      </c>
      <c r="W365" s="59">
        <f>IFERROR(INDEX('Semrush Data'!$A$1:$Z$20000,MATCH(V365,'Semrush Data'!$A$1:$A$20000,0),MATCH("Volume",'Semrush Data'!$A$1:$Z$1,0)),"")</f>
        <v/>
      </c>
      <c r="X365" s="59">
        <f>IFERROR(INDEX('Semrush Data'!$A$1:$Z$20000,MATCH(V365,'Semrush Data'!$A$1:$A$20000,0),MATCH("Keyword Difficulty*",'Semrush Data'!$A$1:$Z$1,0)),"")</f>
        <v/>
      </c>
      <c r="Y365" s="61">
        <f>IFERROR(INDEX('Semrush Data'!$A$1:$Z$20000,MATCH(V365,'Semrush Data'!$A$1:$A$20000,0),MATCH("CPC*",'Semrush Data'!$A$1:$Z$1,0)),"")</f>
        <v/>
      </c>
      <c r="Z365" s="58" t="inlineStr">
        <is>
          <t>woody perfume for women uk</t>
        </is>
      </c>
      <c r="AA365" s="58" t="n"/>
      <c r="AB365" s="58" t="inlineStr">
        <is>
          <t>Maison De Milan Milano Girl Black</t>
        </is>
      </c>
      <c r="AC365" s="58" t="inlineStr">
        <is>
          <t>Maison De Milan Milano Girl Black | Buy Online UK | Swansura</t>
        </is>
      </c>
      <c r="AD365" s="58">
        <f>LEN(AC365)</f>
        <v/>
      </c>
      <c r="AE365" s="58" t="inlineStr">
        <is>
          <t>Buy Maison De Milan Milano Girl Black online in the UK at Swansura. A woody women's eau de parfum, 100ml. 100% authentic, fast UK delivery, free over £50.</t>
        </is>
      </c>
      <c r="AF365" s="58">
        <f>LEN(AE365)</f>
        <v/>
      </c>
    </row>
    <row r="366" ht="15" customHeight="1" s="37">
      <c r="A366" s="58" t="inlineStr">
        <is>
          <t>FR-206</t>
        </is>
      </c>
      <c r="B366" s="58" t="inlineStr">
        <is>
          <t>Fragrance Catalogue</t>
        </is>
      </c>
      <c r="C366" s="58" t="n">
        <v>206</v>
      </c>
      <c r="D366" s="58" t="inlineStr">
        <is>
          <t>Generic</t>
        </is>
      </c>
      <c r="E366" s="58" t="inlineStr">
        <is>
          <t>Real brand missing</t>
        </is>
      </c>
      <c r="F366" s="58" t="inlineStr">
        <is>
          <t>Fragrance</t>
        </is>
      </c>
      <c r="G366" s="58" t="inlineStr">
        <is>
          <t>Eau de Parfum (EDP)</t>
        </is>
      </c>
      <c r="H366" s="58" t="inlineStr">
        <is>
          <t>Woody · Women's Fragrance</t>
        </is>
      </c>
      <c r="I366" s="58" t="inlineStr">
        <is>
          <t>Maison De Milan Milano Girl Red - Eau de Parfum for Women 100ml – Long Lasting Luxury Fragrance</t>
        </is>
      </c>
      <c r="J366" s="58" t="inlineStr">
        <is>
          <t>100ml</t>
        </is>
      </c>
      <c r="K366" s="58" t="n">
        <v>19.99</v>
      </c>
      <c r="L366" s="58" t="inlineStr">
        <is>
          <t>maison de milan milano girl red</t>
        </is>
      </c>
      <c r="M366" s="58" t="inlineStr">
        <is>
          <t>maison de milan milano girl red uk</t>
        </is>
      </c>
      <c r="N366" s="58" t="inlineStr">
        <is>
          <t>buy maison de milan milano girl red online</t>
        </is>
      </c>
      <c r="O366" s="58" t="inlineStr">
        <is>
          <t>maison de milan milano girl red price</t>
        </is>
      </c>
      <c r="P366" s="58" t="inlineStr">
        <is>
          <t>maison de milan milano girl red eau de parfum</t>
        </is>
      </c>
      <c r="Q366" s="59">
        <f>IF(L366="","",IFERROR(INDEX('Semrush Data'!$A$1:$Z$20000,MATCH(L366,'Semrush Data'!$A$1:$A$20000,0),MATCH("Volume",'Semrush Data'!$A$1:$Z$1,0)),""))</f>
        <v/>
      </c>
      <c r="R366" s="59">
        <f>IF(M366="","",IFERROR(INDEX('Semrush Data'!$A$1:$Z$20000,MATCH(M366,'Semrush Data'!$A$1:$A$20000,0),MATCH("Volume",'Semrush Data'!$A$1:$Z$1,0)),""))</f>
        <v/>
      </c>
      <c r="S366" s="59">
        <f>IF(N366="","",IFERROR(INDEX('Semrush Data'!$A$1:$Z$20000,MATCH(N366,'Semrush Data'!$A$1:$A$20000,0),MATCH("Volume",'Semrush Data'!$A$1:$Z$1,0)),""))</f>
        <v/>
      </c>
      <c r="T366" s="59">
        <f>IF(O366="","",IFERROR(INDEX('Semrush Data'!$A$1:$Z$20000,MATCH(O366,'Semrush Data'!$A$1:$A$20000,0),MATCH("Volume",'Semrush Data'!$A$1:$Z$1,0)),""))</f>
        <v/>
      </c>
      <c r="U366" s="59">
        <f>IF(P366="","",IFERROR(INDEX('Semrush Data'!$A$1:$Z$20000,MATCH(P366,'Semrush Data'!$A$1:$A$20000,0),MATCH("Volume",'Semrush Data'!$A$1:$Z$1,0)),""))</f>
        <v/>
      </c>
      <c r="V366" s="60">
        <f>IF(COUNT(Q366:U366)=0,L366,IF(MAX(Q366:U366)=0,L366,INDEX(L366:P366,MATCH(MAX(Q366:U366),Q366:U366,0))))</f>
        <v/>
      </c>
      <c r="W366" s="59">
        <f>IFERROR(INDEX('Semrush Data'!$A$1:$Z$20000,MATCH(V366,'Semrush Data'!$A$1:$A$20000,0),MATCH("Volume",'Semrush Data'!$A$1:$Z$1,0)),"")</f>
        <v/>
      </c>
      <c r="X366" s="59">
        <f>IFERROR(INDEX('Semrush Data'!$A$1:$Z$20000,MATCH(V366,'Semrush Data'!$A$1:$A$20000,0),MATCH("Keyword Difficulty*",'Semrush Data'!$A$1:$Z$1,0)),"")</f>
        <v/>
      </c>
      <c r="Y366" s="61">
        <f>IFERROR(INDEX('Semrush Data'!$A$1:$Z$20000,MATCH(V366,'Semrush Data'!$A$1:$A$20000,0),MATCH("CPC*",'Semrush Data'!$A$1:$Z$1,0)),"")</f>
        <v/>
      </c>
      <c r="Z366" s="58" t="inlineStr">
        <is>
          <t>woody perfume for women uk</t>
        </is>
      </c>
      <c r="AA366" s="58" t="n"/>
      <c r="AB366" s="58" t="inlineStr">
        <is>
          <t>Maison De Milan Milano Girl Red</t>
        </is>
      </c>
      <c r="AC366" s="58" t="inlineStr">
        <is>
          <t>Maison De Milan Milano Girl Red | Buy Online UK | Swansura</t>
        </is>
      </c>
      <c r="AD366" s="58">
        <f>LEN(AC366)</f>
        <v/>
      </c>
      <c r="AE366" s="58" t="inlineStr">
        <is>
          <t>Buy Maison De Milan Milano Girl Red online in the UK at Swansura. A woody women's eau de parfum, 100ml. 100% authentic, fast UK delivery, free over £50.</t>
        </is>
      </c>
      <c r="AF366" s="58">
        <f>LEN(AE366)</f>
        <v/>
      </c>
    </row>
    <row r="367" ht="15" customHeight="1" s="37">
      <c r="A367" s="58" t="inlineStr">
        <is>
          <t>FR-207</t>
        </is>
      </c>
      <c r="B367" s="58" t="inlineStr">
        <is>
          <t>Fragrance Catalogue</t>
        </is>
      </c>
      <c r="C367" s="58" t="n">
        <v>207</v>
      </c>
      <c r="D367" s="58" t="inlineStr">
        <is>
          <t>Generic</t>
        </is>
      </c>
      <c r="E367" s="58" t="inlineStr">
        <is>
          <t>Real brand missing</t>
        </is>
      </c>
      <c r="F367" s="58" t="inlineStr">
        <is>
          <t>Fragrance</t>
        </is>
      </c>
      <c r="G367" s="58" t="inlineStr">
        <is>
          <t>Eau de Parfum (EDP)</t>
        </is>
      </c>
      <c r="H367" s="58" t="inlineStr">
        <is>
          <t>Woody · Women's Fragrance</t>
        </is>
      </c>
      <c r="I367" s="58" t="inlineStr">
        <is>
          <t>Maison De Milan Milano Girl White – Eau de Parfum for Women 100ml – Long Lasting Luxury Fragrance</t>
        </is>
      </c>
      <c r="J367" s="58" t="inlineStr">
        <is>
          <t>100ml</t>
        </is>
      </c>
      <c r="K367" s="58" t="n">
        <v>19.99</v>
      </c>
      <c r="L367" s="58" t="inlineStr">
        <is>
          <t>maison de milan milano girl white</t>
        </is>
      </c>
      <c r="M367" s="58" t="inlineStr">
        <is>
          <t>maison de milan milano girl white uk</t>
        </is>
      </c>
      <c r="N367" s="58" t="inlineStr">
        <is>
          <t>buy maison de milan milano girl white online</t>
        </is>
      </c>
      <c r="O367" s="58" t="inlineStr">
        <is>
          <t>maison de milan milano girl white price</t>
        </is>
      </c>
      <c r="P367" s="58" t="inlineStr">
        <is>
          <t>maison de milan milano girl white eau de parfum</t>
        </is>
      </c>
      <c r="Q367" s="59">
        <f>IF(L367="","",IFERROR(INDEX('Semrush Data'!$A$1:$Z$20000,MATCH(L367,'Semrush Data'!$A$1:$A$20000,0),MATCH("Volume",'Semrush Data'!$A$1:$Z$1,0)),""))</f>
        <v/>
      </c>
      <c r="R367" s="59">
        <f>IF(M367="","",IFERROR(INDEX('Semrush Data'!$A$1:$Z$20000,MATCH(M367,'Semrush Data'!$A$1:$A$20000,0),MATCH("Volume",'Semrush Data'!$A$1:$Z$1,0)),""))</f>
        <v/>
      </c>
      <c r="S367" s="59">
        <f>IF(N367="","",IFERROR(INDEX('Semrush Data'!$A$1:$Z$20000,MATCH(N367,'Semrush Data'!$A$1:$A$20000,0),MATCH("Volume",'Semrush Data'!$A$1:$Z$1,0)),""))</f>
        <v/>
      </c>
      <c r="T367" s="59">
        <f>IF(O367="","",IFERROR(INDEX('Semrush Data'!$A$1:$Z$20000,MATCH(O367,'Semrush Data'!$A$1:$A$20000,0),MATCH("Volume",'Semrush Data'!$A$1:$Z$1,0)),""))</f>
        <v/>
      </c>
      <c r="U367" s="59">
        <f>IF(P367="","",IFERROR(INDEX('Semrush Data'!$A$1:$Z$20000,MATCH(P367,'Semrush Data'!$A$1:$A$20000,0),MATCH("Volume",'Semrush Data'!$A$1:$Z$1,0)),""))</f>
        <v/>
      </c>
      <c r="V367" s="60">
        <f>IF(COUNT(Q367:U367)=0,L367,IF(MAX(Q367:U367)=0,L367,INDEX(L367:P367,MATCH(MAX(Q367:U367),Q367:U367,0))))</f>
        <v/>
      </c>
      <c r="W367" s="59">
        <f>IFERROR(INDEX('Semrush Data'!$A$1:$Z$20000,MATCH(V367,'Semrush Data'!$A$1:$A$20000,0),MATCH("Volume",'Semrush Data'!$A$1:$Z$1,0)),"")</f>
        <v/>
      </c>
      <c r="X367" s="59">
        <f>IFERROR(INDEX('Semrush Data'!$A$1:$Z$20000,MATCH(V367,'Semrush Data'!$A$1:$A$20000,0),MATCH("Keyword Difficulty*",'Semrush Data'!$A$1:$Z$1,0)),"")</f>
        <v/>
      </c>
      <c r="Y367" s="61">
        <f>IFERROR(INDEX('Semrush Data'!$A$1:$Z$20000,MATCH(V367,'Semrush Data'!$A$1:$A$20000,0),MATCH("CPC*",'Semrush Data'!$A$1:$Z$1,0)),"")</f>
        <v/>
      </c>
      <c r="Z367" s="58" t="inlineStr">
        <is>
          <t>woody perfume for women uk</t>
        </is>
      </c>
      <c r="AA367" s="58" t="n"/>
      <c r="AB367" s="58" t="inlineStr">
        <is>
          <t>Maison De Milan Milano Girl White</t>
        </is>
      </c>
      <c r="AC367" s="58" t="inlineStr">
        <is>
          <t>Maison De Milan Milano Girl White | Buy Online UK | Swansura</t>
        </is>
      </c>
      <c r="AD367" s="58">
        <f>LEN(AC367)</f>
        <v/>
      </c>
      <c r="AE367" s="58" t="inlineStr">
        <is>
          <t>Buy Maison De Milan Milano Girl White online in the UK at Swansura. A woody women's eau de parfum, 100ml. 100% authentic, fast UK delivery, free over £50.</t>
        </is>
      </c>
      <c r="AF367" s="58">
        <f>LEN(AE367)</f>
        <v/>
      </c>
    </row>
    <row r="368" ht="15" customHeight="1" s="37">
      <c r="A368" s="58" t="inlineStr">
        <is>
          <t>FR-208</t>
        </is>
      </c>
      <c r="B368" s="58" t="inlineStr">
        <is>
          <t>Fragrance Catalogue</t>
        </is>
      </c>
      <c r="C368" s="58" t="n">
        <v>208</v>
      </c>
      <c r="D368" s="58" t="inlineStr">
        <is>
          <t>Generic</t>
        </is>
      </c>
      <c r="E368" s="58" t="inlineStr">
        <is>
          <t>Real brand missing</t>
        </is>
      </c>
      <c r="F368" s="58" t="inlineStr">
        <is>
          <t>Fragrance</t>
        </is>
      </c>
      <c r="G368" s="58" t="inlineStr">
        <is>
          <t>Eau de Parfum (EDP)</t>
        </is>
      </c>
      <c r="H368" s="58" t="inlineStr">
        <is>
          <t>Woody · Unisex Fragrance</t>
        </is>
      </c>
      <c r="I368" s="58" t="inlineStr">
        <is>
          <t>Maison de Milan Opulent Gold - Eau de Parfum for Men and Women 100ml – Long Lasting Luxury Fragrance</t>
        </is>
      </c>
      <c r="J368" s="58" t="inlineStr">
        <is>
          <t>100ml</t>
        </is>
      </c>
      <c r="K368" s="58" t="n">
        <v>17.99</v>
      </c>
      <c r="L368" s="58" t="inlineStr">
        <is>
          <t>maison de milan opulent gold</t>
        </is>
      </c>
      <c r="M368" s="58" t="inlineStr">
        <is>
          <t>maison de milan opulent gold uk</t>
        </is>
      </c>
      <c r="N368" s="58" t="inlineStr">
        <is>
          <t>buy maison de milan opulent gold online</t>
        </is>
      </c>
      <c r="O368" s="58" t="inlineStr">
        <is>
          <t>maison de milan opulent gold price</t>
        </is>
      </c>
      <c r="P368" s="58" t="inlineStr">
        <is>
          <t>maison de milan opulent gold eau de parfum</t>
        </is>
      </c>
      <c r="Q368" s="59">
        <f>IF(L368="","",IFERROR(INDEX('Semrush Data'!$A$1:$Z$20000,MATCH(L368,'Semrush Data'!$A$1:$A$20000,0),MATCH("Volume",'Semrush Data'!$A$1:$Z$1,0)),""))</f>
        <v/>
      </c>
      <c r="R368" s="59">
        <f>IF(M368="","",IFERROR(INDEX('Semrush Data'!$A$1:$Z$20000,MATCH(M368,'Semrush Data'!$A$1:$A$20000,0),MATCH("Volume",'Semrush Data'!$A$1:$Z$1,0)),""))</f>
        <v/>
      </c>
      <c r="S368" s="59">
        <f>IF(N368="","",IFERROR(INDEX('Semrush Data'!$A$1:$Z$20000,MATCH(N368,'Semrush Data'!$A$1:$A$20000,0),MATCH("Volume",'Semrush Data'!$A$1:$Z$1,0)),""))</f>
        <v/>
      </c>
      <c r="T368" s="59">
        <f>IF(O368="","",IFERROR(INDEX('Semrush Data'!$A$1:$Z$20000,MATCH(O368,'Semrush Data'!$A$1:$A$20000,0),MATCH("Volume",'Semrush Data'!$A$1:$Z$1,0)),""))</f>
        <v/>
      </c>
      <c r="U368" s="59">
        <f>IF(P368="","",IFERROR(INDEX('Semrush Data'!$A$1:$Z$20000,MATCH(P368,'Semrush Data'!$A$1:$A$20000,0),MATCH("Volume",'Semrush Data'!$A$1:$Z$1,0)),""))</f>
        <v/>
      </c>
      <c r="V368" s="60">
        <f>IF(COUNT(Q368:U368)=0,L368,IF(MAX(Q368:U368)=0,L368,INDEX(L368:P368,MATCH(MAX(Q368:U368),Q368:U368,0))))</f>
        <v/>
      </c>
      <c r="W368" s="59">
        <f>IFERROR(INDEX('Semrush Data'!$A$1:$Z$20000,MATCH(V368,'Semrush Data'!$A$1:$A$20000,0),MATCH("Volume",'Semrush Data'!$A$1:$Z$1,0)),"")</f>
        <v/>
      </c>
      <c r="X368" s="59">
        <f>IFERROR(INDEX('Semrush Data'!$A$1:$Z$20000,MATCH(V368,'Semrush Data'!$A$1:$A$20000,0),MATCH("Keyword Difficulty*",'Semrush Data'!$A$1:$Z$1,0)),"")</f>
        <v/>
      </c>
      <c r="Y368" s="61">
        <f>IFERROR(INDEX('Semrush Data'!$A$1:$Z$20000,MATCH(V368,'Semrush Data'!$A$1:$A$20000,0),MATCH("CPC*",'Semrush Data'!$A$1:$Z$1,0)),"")</f>
        <v/>
      </c>
      <c r="Z368" s="58" t="inlineStr">
        <is>
          <t>woody perfume uk</t>
        </is>
      </c>
      <c r="AA368" s="58" t="n"/>
      <c r="AB368" s="58" t="inlineStr">
        <is>
          <t>Maison de Milan Opulent Gold</t>
        </is>
      </c>
      <c r="AC368" s="58" t="inlineStr">
        <is>
          <t>Maison de Milan Opulent Gold | Buy Online UK | Swansura</t>
        </is>
      </c>
      <c r="AD368" s="58">
        <f>LEN(AC368)</f>
        <v/>
      </c>
      <c r="AE368" s="58" t="inlineStr">
        <is>
          <t>Buy Maison de Milan Opulent Gold online in the UK at Swansura. A woody unisex eau de parfum, 100ml. 100% authentic, fast UK delivery, free over £50.</t>
        </is>
      </c>
      <c r="AF368" s="58">
        <f>LEN(AE368)</f>
        <v/>
      </c>
    </row>
    <row r="369" ht="15" customHeight="1" s="37">
      <c r="A369" s="58" t="inlineStr">
        <is>
          <t>FR-209</t>
        </is>
      </c>
      <c r="B369" s="58" t="inlineStr">
        <is>
          <t>Fragrance Catalogue</t>
        </is>
      </c>
      <c r="C369" s="58" t="n">
        <v>209</v>
      </c>
      <c r="D369" s="58" t="inlineStr">
        <is>
          <t>Generic</t>
        </is>
      </c>
      <c r="E369" s="58" t="inlineStr">
        <is>
          <t>Real brand missing</t>
        </is>
      </c>
      <c r="F369" s="58" t="inlineStr">
        <is>
          <t>Fragrance</t>
        </is>
      </c>
      <c r="G369" s="58" t="inlineStr">
        <is>
          <t>Eau de Parfum (EDP)</t>
        </is>
      </c>
      <c r="H369" s="58" t="inlineStr">
        <is>
          <t>Woody · Unisex Fragrance</t>
        </is>
      </c>
      <c r="I369" s="58" t="inlineStr">
        <is>
          <t>Maison de Milan Valiant Pour Homme - Eau de Parfum for Men and Women 100ml – Long Lasting Luxury Fragrance</t>
        </is>
      </c>
      <c r="J369" s="58" t="inlineStr">
        <is>
          <t>100ml</t>
        </is>
      </c>
      <c r="K369" s="58" t="n">
        <v>17.99</v>
      </c>
      <c r="L369" s="58" t="inlineStr">
        <is>
          <t>maison de milan valiant pour homme</t>
        </is>
      </c>
      <c r="M369" s="58" t="inlineStr">
        <is>
          <t>maison de milan valiant pour homme uk</t>
        </is>
      </c>
      <c r="N369" s="58" t="inlineStr">
        <is>
          <t>buy maison de milan valiant pour homme online</t>
        </is>
      </c>
      <c r="O369" s="58" t="inlineStr">
        <is>
          <t>maison de milan valiant pour homme price</t>
        </is>
      </c>
      <c r="P369" s="58" t="inlineStr">
        <is>
          <t>maison de milan valiant pour homme eau de parfum</t>
        </is>
      </c>
      <c r="Q369" s="59">
        <f>IF(L369="","",IFERROR(INDEX('Semrush Data'!$A$1:$Z$20000,MATCH(L369,'Semrush Data'!$A$1:$A$20000,0),MATCH("Volume",'Semrush Data'!$A$1:$Z$1,0)),""))</f>
        <v/>
      </c>
      <c r="R369" s="59">
        <f>IF(M369="","",IFERROR(INDEX('Semrush Data'!$A$1:$Z$20000,MATCH(M369,'Semrush Data'!$A$1:$A$20000,0),MATCH("Volume",'Semrush Data'!$A$1:$Z$1,0)),""))</f>
        <v/>
      </c>
      <c r="S369" s="59">
        <f>IF(N369="","",IFERROR(INDEX('Semrush Data'!$A$1:$Z$20000,MATCH(N369,'Semrush Data'!$A$1:$A$20000,0),MATCH("Volume",'Semrush Data'!$A$1:$Z$1,0)),""))</f>
        <v/>
      </c>
      <c r="T369" s="59">
        <f>IF(O369="","",IFERROR(INDEX('Semrush Data'!$A$1:$Z$20000,MATCH(O369,'Semrush Data'!$A$1:$A$20000,0),MATCH("Volume",'Semrush Data'!$A$1:$Z$1,0)),""))</f>
        <v/>
      </c>
      <c r="U369" s="59">
        <f>IF(P369="","",IFERROR(INDEX('Semrush Data'!$A$1:$Z$20000,MATCH(P369,'Semrush Data'!$A$1:$A$20000,0),MATCH("Volume",'Semrush Data'!$A$1:$Z$1,0)),""))</f>
        <v/>
      </c>
      <c r="V369" s="60">
        <f>IF(COUNT(Q369:U369)=0,L369,IF(MAX(Q369:U369)=0,L369,INDEX(L369:P369,MATCH(MAX(Q369:U369),Q369:U369,0))))</f>
        <v/>
      </c>
      <c r="W369" s="59">
        <f>IFERROR(INDEX('Semrush Data'!$A$1:$Z$20000,MATCH(V369,'Semrush Data'!$A$1:$A$20000,0),MATCH("Volume",'Semrush Data'!$A$1:$Z$1,0)),"")</f>
        <v/>
      </c>
      <c r="X369" s="59">
        <f>IFERROR(INDEX('Semrush Data'!$A$1:$Z$20000,MATCH(V369,'Semrush Data'!$A$1:$A$20000,0),MATCH("Keyword Difficulty*",'Semrush Data'!$A$1:$Z$1,0)),"")</f>
        <v/>
      </c>
      <c r="Y369" s="61">
        <f>IFERROR(INDEX('Semrush Data'!$A$1:$Z$20000,MATCH(V369,'Semrush Data'!$A$1:$A$20000,0),MATCH("CPC*",'Semrush Data'!$A$1:$Z$1,0)),"")</f>
        <v/>
      </c>
      <c r="Z369" s="58" t="inlineStr">
        <is>
          <t>woody perfume uk</t>
        </is>
      </c>
      <c r="AA369" s="58" t="n"/>
      <c r="AB369" s="58" t="inlineStr">
        <is>
          <t>Maison de Milan Valiant Pour Homme</t>
        </is>
      </c>
      <c r="AC369" s="58" t="inlineStr">
        <is>
          <t>Maison de Milan Valiant Pour Homme EDP 100ml | Swansura UK</t>
        </is>
      </c>
      <c r="AD369" s="58">
        <f>LEN(AC369)</f>
        <v/>
      </c>
      <c r="AE369" s="58" t="inlineStr">
        <is>
          <t>Buy Maison de Milan Valiant Pour Homme online in the UK at Swansura. A woody unisex eau de parfum, 100ml. 100% authentic, fast UK delivery, free over £50.</t>
        </is>
      </c>
      <c r="AF369" s="58">
        <f>LEN(AE369)</f>
        <v/>
      </c>
    </row>
    <row r="370" ht="15" customHeight="1" s="37">
      <c r="A370" s="58" t="inlineStr">
        <is>
          <t>FR-210</t>
        </is>
      </c>
      <c r="B370" s="58" t="inlineStr">
        <is>
          <t>Fragrance Catalogue</t>
        </is>
      </c>
      <c r="C370" s="58" t="n">
        <v>210</v>
      </c>
      <c r="D370" s="58" t="inlineStr">
        <is>
          <t>Generic</t>
        </is>
      </c>
      <c r="E370" s="58" t="inlineStr">
        <is>
          <t>Real brand missing</t>
        </is>
      </c>
      <c r="F370" s="58" t="inlineStr">
        <is>
          <t>Fragrance</t>
        </is>
      </c>
      <c r="G370" s="58" t="inlineStr">
        <is>
          <t>Eau de Parfum (EDP)</t>
        </is>
      </c>
      <c r="H370" s="58" t="inlineStr">
        <is>
          <t>Amber · Unisex Fragrance</t>
        </is>
      </c>
      <c r="I370" s="58" t="inlineStr">
        <is>
          <t>Roll It 1 Unisex Eau de Parfum 100ml</t>
        </is>
      </c>
      <c r="J370" s="58" t="inlineStr">
        <is>
          <t>100ml</t>
        </is>
      </c>
      <c r="K370" s="58" t="n">
        <v>99.98999999999999</v>
      </c>
      <c r="L370" s="58" t="inlineStr">
        <is>
          <t>roll it 1</t>
        </is>
      </c>
      <c r="M370" s="58" t="inlineStr">
        <is>
          <t>roll it 1 uk</t>
        </is>
      </c>
      <c r="N370" s="58" t="inlineStr">
        <is>
          <t>buy roll it 1 online</t>
        </is>
      </c>
      <c r="O370" s="58" t="inlineStr">
        <is>
          <t>roll it 1 price</t>
        </is>
      </c>
      <c r="P370" s="58" t="inlineStr">
        <is>
          <t>roll it 1 eau de parfum</t>
        </is>
      </c>
      <c r="Q370" s="59">
        <f>IF(L370="","",IFERROR(INDEX('Semrush Data'!$A$1:$Z$20000,MATCH(L370,'Semrush Data'!$A$1:$A$20000,0),MATCH("Volume",'Semrush Data'!$A$1:$Z$1,0)),""))</f>
        <v/>
      </c>
      <c r="R370" s="59">
        <f>IF(M370="","",IFERROR(INDEX('Semrush Data'!$A$1:$Z$20000,MATCH(M370,'Semrush Data'!$A$1:$A$20000,0),MATCH("Volume",'Semrush Data'!$A$1:$Z$1,0)),""))</f>
        <v/>
      </c>
      <c r="S370" s="59">
        <f>IF(N370="","",IFERROR(INDEX('Semrush Data'!$A$1:$Z$20000,MATCH(N370,'Semrush Data'!$A$1:$A$20000,0),MATCH("Volume",'Semrush Data'!$A$1:$Z$1,0)),""))</f>
        <v/>
      </c>
      <c r="T370" s="59">
        <f>IF(O370="","",IFERROR(INDEX('Semrush Data'!$A$1:$Z$20000,MATCH(O370,'Semrush Data'!$A$1:$A$20000,0),MATCH("Volume",'Semrush Data'!$A$1:$Z$1,0)),""))</f>
        <v/>
      </c>
      <c r="U370" s="59">
        <f>IF(P370="","",IFERROR(INDEX('Semrush Data'!$A$1:$Z$20000,MATCH(P370,'Semrush Data'!$A$1:$A$20000,0),MATCH("Volume",'Semrush Data'!$A$1:$Z$1,0)),""))</f>
        <v/>
      </c>
      <c r="V370" s="60">
        <f>IF(COUNT(Q370:U370)=0,L370,IF(MAX(Q370:U370)=0,L370,INDEX(L370:P370,MATCH(MAX(Q370:U370),Q370:U370,0))))</f>
        <v/>
      </c>
      <c r="W370" s="59">
        <f>IFERROR(INDEX('Semrush Data'!$A$1:$Z$20000,MATCH(V370,'Semrush Data'!$A$1:$A$20000,0),MATCH("Volume",'Semrush Data'!$A$1:$Z$1,0)),"")</f>
        <v/>
      </c>
      <c r="X370" s="59">
        <f>IFERROR(INDEX('Semrush Data'!$A$1:$Z$20000,MATCH(V370,'Semrush Data'!$A$1:$A$20000,0),MATCH("Keyword Difficulty*",'Semrush Data'!$A$1:$Z$1,0)),"")</f>
        <v/>
      </c>
      <c r="Y370" s="61">
        <f>IFERROR(INDEX('Semrush Data'!$A$1:$Z$20000,MATCH(V370,'Semrush Data'!$A$1:$A$20000,0),MATCH("CPC*",'Semrush Data'!$A$1:$Z$1,0)),"")</f>
        <v/>
      </c>
      <c r="Z370" s="58" t="inlineStr">
        <is>
          <t>amber perfume uk</t>
        </is>
      </c>
      <c r="AA370" s="58" t="inlineStr">
        <is>
          <t>roll it 18 · roll it 18 dupe of · roll it 1 dupe of</t>
        </is>
      </c>
      <c r="AB370" s="58" t="inlineStr">
        <is>
          <t>Roll It 1 Unisex Eau de Parfum</t>
        </is>
      </c>
      <c r="AC370" s="58" t="inlineStr">
        <is>
          <t>Roll It 1 Unisex Eau de Parfum | Buy Online UK | Swansura</t>
        </is>
      </c>
      <c r="AD370" s="58">
        <f>LEN(AC370)</f>
        <v/>
      </c>
      <c r="AE370" s="58" t="inlineStr">
        <is>
          <t>Buy Roll It 1 Unisex Eau de Parfum online in the UK at Swansura. An amber unisex eau de parfum, 100ml. 100% authentic, fast UK delivery, free over £50.</t>
        </is>
      </c>
      <c r="AF370" s="58">
        <f>LEN(AE370)</f>
        <v/>
      </c>
    </row>
    <row r="371" ht="15" customHeight="1" s="37">
      <c r="A371" s="58" t="inlineStr">
        <is>
          <t>FR-211</t>
        </is>
      </c>
      <c r="B371" s="58" t="inlineStr">
        <is>
          <t>Fragrance Catalogue</t>
        </is>
      </c>
      <c r="C371" s="58" t="n">
        <v>211</v>
      </c>
      <c r="D371" s="58" t="inlineStr">
        <is>
          <t>Generic</t>
        </is>
      </c>
      <c r="E371" s="58" t="inlineStr">
        <is>
          <t>Real brand missing</t>
        </is>
      </c>
      <c r="F371" s="58" t="inlineStr">
        <is>
          <t>Fragrance</t>
        </is>
      </c>
      <c r="G371" s="58" t="inlineStr">
        <is>
          <t>Parfum / Extrait de Parfum</t>
        </is>
      </c>
      <c r="H371" s="58" t="inlineStr">
        <is>
          <t>Woody · Unisex Fragrance</t>
        </is>
      </c>
      <c r="I371" s="58" t="inlineStr">
        <is>
          <t>Game Of Spades Rouge Extrait | Perfume for Men and Women | 100ml | Long Lasting Luxury Fragrance</t>
        </is>
      </c>
      <c r="J371" s="58" t="inlineStr">
        <is>
          <t>100ml</t>
        </is>
      </c>
      <c r="K371" s="58" t="n">
        <v>85.98999999999999</v>
      </c>
      <c r="L371" s="58" t="inlineStr">
        <is>
          <t>game of spades rouge extrait</t>
        </is>
      </c>
      <c r="M371" s="58" t="inlineStr">
        <is>
          <t>game of spades rouge extrait uk</t>
        </is>
      </c>
      <c r="N371" s="58" t="inlineStr">
        <is>
          <t>buy game of spades rouge extrait online</t>
        </is>
      </c>
      <c r="O371" s="58" t="inlineStr">
        <is>
          <t>game of spades rouge extrait price</t>
        </is>
      </c>
      <c r="P371" s="58" t="n"/>
      <c r="Q371" s="59">
        <f>IF(L371="","",IFERROR(INDEX('Semrush Data'!$A$1:$Z$20000,MATCH(L371,'Semrush Data'!$A$1:$A$20000,0),MATCH("Volume",'Semrush Data'!$A$1:$Z$1,0)),""))</f>
        <v/>
      </c>
      <c r="R371" s="59">
        <f>IF(M371="","",IFERROR(INDEX('Semrush Data'!$A$1:$Z$20000,MATCH(M371,'Semrush Data'!$A$1:$A$20000,0),MATCH("Volume",'Semrush Data'!$A$1:$Z$1,0)),""))</f>
        <v/>
      </c>
      <c r="S371" s="59">
        <f>IF(N371="","",IFERROR(INDEX('Semrush Data'!$A$1:$Z$20000,MATCH(N371,'Semrush Data'!$A$1:$A$20000,0),MATCH("Volume",'Semrush Data'!$A$1:$Z$1,0)),""))</f>
        <v/>
      </c>
      <c r="T371" s="59">
        <f>IF(O371="","",IFERROR(INDEX('Semrush Data'!$A$1:$Z$20000,MATCH(O371,'Semrush Data'!$A$1:$A$20000,0),MATCH("Volume",'Semrush Data'!$A$1:$Z$1,0)),""))</f>
        <v/>
      </c>
      <c r="U371" s="59">
        <f>IF(P371="","",IFERROR(INDEX('Semrush Data'!$A$1:$Z$20000,MATCH(P371,'Semrush Data'!$A$1:$A$20000,0),MATCH("Volume",'Semrush Data'!$A$1:$Z$1,0)),""))</f>
        <v/>
      </c>
      <c r="V371" s="60">
        <f>IF(COUNT(Q371:U371)=0,L371,IF(MAX(Q371:U371)=0,L371,INDEX(L371:P371,MATCH(MAX(Q371:U371),Q371:U371,0))))</f>
        <v/>
      </c>
      <c r="W371" s="59">
        <f>IFERROR(INDEX('Semrush Data'!$A$1:$Z$20000,MATCH(V371,'Semrush Data'!$A$1:$A$20000,0),MATCH("Volume",'Semrush Data'!$A$1:$Z$1,0)),"")</f>
        <v/>
      </c>
      <c r="X371" s="59">
        <f>IFERROR(INDEX('Semrush Data'!$A$1:$Z$20000,MATCH(V371,'Semrush Data'!$A$1:$A$20000,0),MATCH("Keyword Difficulty*",'Semrush Data'!$A$1:$Z$1,0)),"")</f>
        <v/>
      </c>
      <c r="Y371" s="61">
        <f>IFERROR(INDEX('Semrush Data'!$A$1:$Z$20000,MATCH(V371,'Semrush Data'!$A$1:$A$20000,0),MATCH("CPC*",'Semrush Data'!$A$1:$Z$1,0)),"")</f>
        <v/>
      </c>
      <c r="Z371" s="58" t="inlineStr">
        <is>
          <t>woody perfume uk</t>
        </is>
      </c>
      <c r="AA371" s="58" t="inlineStr">
        <is>
          <t>game of spades rouge extrait de parfum · game of spades rouge extrait notes · game of spades rouge extrait dupe of · game of spades rouge extrait review · game of spades rouge extrait de parfum notes</t>
        </is>
      </c>
      <c r="AB371" s="58" t="inlineStr">
        <is>
          <t>Game Of Spades Rouge Extrait</t>
        </is>
      </c>
      <c r="AC371" s="58" t="inlineStr">
        <is>
          <t>Game Of Spades Rouge Extrait | Buy Online UK | Swansura</t>
        </is>
      </c>
      <c r="AD371" s="58">
        <f>LEN(AC371)</f>
        <v/>
      </c>
      <c r="AE371" s="58" t="inlineStr">
        <is>
          <t>Buy Game Of Spades Rouge Extrait online in the UK at Swansura. A woody unisex fragrance, 100ml. 100% authentic, fast UK delivery, free over £50.</t>
        </is>
      </c>
      <c r="AF371" s="58">
        <f>LEN(AE371)</f>
        <v/>
      </c>
    </row>
    <row r="372" ht="15" customHeight="1" s="37">
      <c r="A372" s="58" t="inlineStr">
        <is>
          <t>FR-212</t>
        </is>
      </c>
      <c r="B372" s="58" t="inlineStr">
        <is>
          <t>Fragrance Catalogue</t>
        </is>
      </c>
      <c r="C372" s="58" t="n">
        <v>212</v>
      </c>
      <c r="D372" s="58" t="inlineStr">
        <is>
          <t>Giorgia Armani</t>
        </is>
      </c>
      <c r="E372" s="58" t="n"/>
      <c r="F372" s="58" t="inlineStr">
        <is>
          <t>Fragrance</t>
        </is>
      </c>
      <c r="G372" s="58" t="inlineStr">
        <is>
          <t>Eau de Toilette (EDT)</t>
        </is>
      </c>
      <c r="H372" s="58" t="inlineStr">
        <is>
          <t>Woody · Men's Fragrance</t>
        </is>
      </c>
      <c r="I372" s="58" t="inlineStr">
        <is>
          <t>Giorgio Armani Code EDT 125ml Refillable for Men</t>
        </is>
      </c>
      <c r="J372" s="58" t="inlineStr">
        <is>
          <t>125ml</t>
        </is>
      </c>
      <c r="K372" s="58" t="n">
        <v>84.98999999999999</v>
      </c>
      <c r="L372" s="58" t="inlineStr">
        <is>
          <t>giorgia armani giorgio armani code refillable</t>
        </is>
      </c>
      <c r="M372" s="58" t="inlineStr">
        <is>
          <t>giorgia armani giorgio armani code refillable uk</t>
        </is>
      </c>
      <c r="N372" s="58" t="inlineStr">
        <is>
          <t>buy giorgia armani giorgio armani code refillable online</t>
        </is>
      </c>
      <c r="O372" s="58" t="inlineStr">
        <is>
          <t>giorgia armani giorgio armani code refillable price</t>
        </is>
      </c>
      <c r="P372" s="58" t="inlineStr">
        <is>
          <t>giorgia armani giorgio armani code refillable edt</t>
        </is>
      </c>
      <c r="Q372" s="59">
        <f>IF(L372="","",IFERROR(INDEX('Semrush Data'!$A$1:$Z$20000,MATCH(L372,'Semrush Data'!$A$1:$A$20000,0),MATCH("Volume",'Semrush Data'!$A$1:$Z$1,0)),""))</f>
        <v/>
      </c>
      <c r="R372" s="59">
        <f>IF(M372="","",IFERROR(INDEX('Semrush Data'!$A$1:$Z$20000,MATCH(M372,'Semrush Data'!$A$1:$A$20000,0),MATCH("Volume",'Semrush Data'!$A$1:$Z$1,0)),""))</f>
        <v/>
      </c>
      <c r="S372" s="59">
        <f>IF(N372="","",IFERROR(INDEX('Semrush Data'!$A$1:$Z$20000,MATCH(N372,'Semrush Data'!$A$1:$A$20000,0),MATCH("Volume",'Semrush Data'!$A$1:$Z$1,0)),""))</f>
        <v/>
      </c>
      <c r="T372" s="59">
        <f>IF(O372="","",IFERROR(INDEX('Semrush Data'!$A$1:$Z$20000,MATCH(O372,'Semrush Data'!$A$1:$A$20000,0),MATCH("Volume",'Semrush Data'!$A$1:$Z$1,0)),""))</f>
        <v/>
      </c>
      <c r="U372" s="59">
        <f>IF(P372="","",IFERROR(INDEX('Semrush Data'!$A$1:$Z$20000,MATCH(P372,'Semrush Data'!$A$1:$A$20000,0),MATCH("Volume",'Semrush Data'!$A$1:$Z$1,0)),""))</f>
        <v/>
      </c>
      <c r="V372" s="60">
        <f>IF(COUNT(Q372:U372)=0,L372,IF(MAX(Q372:U372)=0,L372,INDEX(L372:P372,MATCH(MAX(Q372:U372),Q372:U372,0))))</f>
        <v/>
      </c>
      <c r="W372" s="59">
        <f>IFERROR(INDEX('Semrush Data'!$A$1:$Z$20000,MATCH(V372,'Semrush Data'!$A$1:$A$20000,0),MATCH("Volume",'Semrush Data'!$A$1:$Z$1,0)),"")</f>
        <v/>
      </c>
      <c r="X372" s="59">
        <f>IFERROR(INDEX('Semrush Data'!$A$1:$Z$20000,MATCH(V372,'Semrush Data'!$A$1:$A$20000,0),MATCH("Keyword Difficulty*",'Semrush Data'!$A$1:$Z$1,0)),"")</f>
        <v/>
      </c>
      <c r="Y372" s="61">
        <f>IFERROR(INDEX('Semrush Data'!$A$1:$Z$20000,MATCH(V372,'Semrush Data'!$A$1:$A$20000,0),MATCH("CPC*",'Semrush Data'!$A$1:$Z$1,0)),"")</f>
        <v/>
      </c>
      <c r="Z372" s="58" t="inlineStr">
        <is>
          <t>giorgia armani perfume · giorgia armani perfume for men · woody perfume for men uk</t>
        </is>
      </c>
      <c r="AA372" s="58" t="n"/>
      <c r="AB372" s="58" t="inlineStr">
        <is>
          <t>Giorgio Armani Code EDT Refillable for Men</t>
        </is>
      </c>
      <c r="AC372" s="58" t="inlineStr">
        <is>
          <t>Giorgio Armani Code EDT Refillable for Men | Swansura UK</t>
        </is>
      </c>
      <c r="AD372" s="58">
        <f>LEN(AC372)</f>
        <v/>
      </c>
      <c r="AE372" s="58" t="inlineStr">
        <is>
          <t>Buy Giorgio Armani Code EDT Refillable for Men online in the UK at Swansura. A woody men's eau de toilette, 125ml. 100% authentic, free UK delivery over £50.</t>
        </is>
      </c>
      <c r="AF372" s="58">
        <f>LEN(AE372)</f>
        <v/>
      </c>
    </row>
    <row r="373" ht="15" customHeight="1" s="37">
      <c r="A373" s="58" t="inlineStr">
        <is>
          <t>FR-213</t>
        </is>
      </c>
      <c r="B373" s="58" t="inlineStr">
        <is>
          <t>Fragrance Catalogue</t>
        </is>
      </c>
      <c r="C373" s="58" t="n">
        <v>213</v>
      </c>
      <c r="D373" s="58" t="inlineStr">
        <is>
          <t>Giorgio Armani</t>
        </is>
      </c>
      <c r="E373" s="58" t="n"/>
      <c r="F373" s="58" t="inlineStr">
        <is>
          <t>Fragrance</t>
        </is>
      </c>
      <c r="G373" s="58" t="inlineStr">
        <is>
          <t>Eau de Toilette (EDT)</t>
        </is>
      </c>
      <c r="H373" s="58" t="inlineStr">
        <is>
          <t>Woody · Men's Fragrance</t>
        </is>
      </c>
      <c r="I373" s="58" t="inlineStr">
        <is>
          <t>Giorgio Armani Code Eau de Toilette 125ml Refillable – Men's Woody Aromatic Fragrance</t>
        </is>
      </c>
      <c r="J373" s="58" t="inlineStr">
        <is>
          <t>125ml</t>
        </is>
      </c>
      <c r="K373" s="58" t="n">
        <v>66.98999999999999</v>
      </c>
      <c r="L373" s="58" t="inlineStr">
        <is>
          <t>giorgio armani code refillable</t>
        </is>
      </c>
      <c r="M373" s="58" t="inlineStr">
        <is>
          <t>giorgio armani code refillable uk</t>
        </is>
      </c>
      <c r="N373" s="58" t="inlineStr">
        <is>
          <t>buy giorgio armani code refillable online</t>
        </is>
      </c>
      <c r="O373" s="58" t="inlineStr">
        <is>
          <t>giorgio armani code refillable price</t>
        </is>
      </c>
      <c r="P373" s="58" t="inlineStr">
        <is>
          <t>giorgio armani code refillable eau de toilette</t>
        </is>
      </c>
      <c r="Q373" s="59">
        <f>IF(L373="","",IFERROR(INDEX('Semrush Data'!$A$1:$Z$20000,MATCH(L373,'Semrush Data'!$A$1:$A$20000,0),MATCH("Volume",'Semrush Data'!$A$1:$Z$1,0)),""))</f>
        <v/>
      </c>
      <c r="R373" s="59">
        <f>IF(M373="","",IFERROR(INDEX('Semrush Data'!$A$1:$Z$20000,MATCH(M373,'Semrush Data'!$A$1:$A$20000,0),MATCH("Volume",'Semrush Data'!$A$1:$Z$1,0)),""))</f>
        <v/>
      </c>
      <c r="S373" s="59">
        <f>IF(N373="","",IFERROR(INDEX('Semrush Data'!$A$1:$Z$20000,MATCH(N373,'Semrush Data'!$A$1:$A$20000,0),MATCH("Volume",'Semrush Data'!$A$1:$Z$1,0)),""))</f>
        <v/>
      </c>
      <c r="T373" s="59">
        <f>IF(O373="","",IFERROR(INDEX('Semrush Data'!$A$1:$Z$20000,MATCH(O373,'Semrush Data'!$A$1:$A$20000,0),MATCH("Volume",'Semrush Data'!$A$1:$Z$1,0)),""))</f>
        <v/>
      </c>
      <c r="U373" s="59">
        <f>IF(P373="","",IFERROR(INDEX('Semrush Data'!$A$1:$Z$20000,MATCH(P373,'Semrush Data'!$A$1:$A$20000,0),MATCH("Volume",'Semrush Data'!$A$1:$Z$1,0)),""))</f>
        <v/>
      </c>
      <c r="V373" s="60">
        <f>IF(COUNT(Q373:U373)=0,L373,IF(MAX(Q373:U373)=0,L373,INDEX(L373:P373,MATCH(MAX(Q373:U373),Q373:U373,0))))</f>
        <v/>
      </c>
      <c r="W373" s="59">
        <f>IFERROR(INDEX('Semrush Data'!$A$1:$Z$20000,MATCH(V373,'Semrush Data'!$A$1:$A$20000,0),MATCH("Volume",'Semrush Data'!$A$1:$Z$1,0)),"")</f>
        <v/>
      </c>
      <c r="X373" s="59">
        <f>IFERROR(INDEX('Semrush Data'!$A$1:$Z$20000,MATCH(V373,'Semrush Data'!$A$1:$A$20000,0),MATCH("Keyword Difficulty*",'Semrush Data'!$A$1:$Z$1,0)),"")</f>
        <v/>
      </c>
      <c r="Y373" s="61">
        <f>IFERROR(INDEX('Semrush Data'!$A$1:$Z$20000,MATCH(V373,'Semrush Data'!$A$1:$A$20000,0),MATCH("CPC*",'Semrush Data'!$A$1:$Z$1,0)),"")</f>
        <v/>
      </c>
      <c r="Z373" s="58" t="inlineStr">
        <is>
          <t>giorgio armani perfume · giorgio armani perfume for men · woody perfume for men uk</t>
        </is>
      </c>
      <c r="AA373" s="58" t="inlineStr">
        <is>
          <t>giorgio armani code refillable edt 75ml · giorgio armani code refillable parfum · giorgio armani perfume refillable</t>
        </is>
      </c>
      <c r="AB373" s="58" t="inlineStr">
        <is>
          <t>Giorgio Armani Code Eau de Toilette Refillable</t>
        </is>
      </c>
      <c r="AC373" s="58" t="inlineStr">
        <is>
          <t>Giorgio Armani Code Eau de Toilette Refillable | Swansura UK</t>
        </is>
      </c>
      <c r="AD373" s="58">
        <f>LEN(AC373)</f>
        <v/>
      </c>
      <c r="AE373" s="58" t="inlineStr">
        <is>
          <t>Buy Giorgio Armani Code Eau de Toilette Refillable online in the UK at Swansura. A woody men's eau de toilette. 100% authentic, fast UK delivery, free over £50.</t>
        </is>
      </c>
      <c r="AF373" s="58">
        <f>LEN(AE373)</f>
        <v/>
      </c>
    </row>
    <row r="374" ht="15" customHeight="1" s="37">
      <c r="A374" s="58" t="inlineStr">
        <is>
          <t>FR-214</t>
        </is>
      </c>
      <c r="B374" s="58" t="inlineStr">
        <is>
          <t>Fragrance Catalogue</t>
        </is>
      </c>
      <c r="C374" s="58" t="n">
        <v>214</v>
      </c>
      <c r="D374" s="58" t="inlineStr">
        <is>
          <t>Givenchy</t>
        </is>
      </c>
      <c r="E374" s="58" t="n"/>
      <c r="F374" s="58" t="inlineStr">
        <is>
          <t>Fragrance</t>
        </is>
      </c>
      <c r="G374" s="58" t="inlineStr">
        <is>
          <t>Eau de Toilette (EDT)</t>
        </is>
      </c>
      <c r="H374" s="58" t="inlineStr">
        <is>
          <t>Floral · Women's Fragrance</t>
        </is>
      </c>
      <c r="I374" s="58" t="inlineStr">
        <is>
          <t>Givenchy Amarige Eau de Toilette 100ml – Women's Floral Fragrance</t>
        </is>
      </c>
      <c r="J374" s="58" t="inlineStr">
        <is>
          <t>100ml</t>
        </is>
      </c>
      <c r="K374" s="58" t="n">
        <v>52.99</v>
      </c>
      <c r="L374" s="58" t="inlineStr">
        <is>
          <t>givenchy amarige</t>
        </is>
      </c>
      <c r="M374" s="58" t="inlineStr">
        <is>
          <t>givenchy amarige uk</t>
        </is>
      </c>
      <c r="N374" s="58" t="inlineStr">
        <is>
          <t>buy givenchy amarige online</t>
        </is>
      </c>
      <c r="O374" s="58" t="inlineStr">
        <is>
          <t>givenchy amarige price</t>
        </is>
      </c>
      <c r="P374" s="58" t="inlineStr">
        <is>
          <t>givenchy amarige eau de toilette</t>
        </is>
      </c>
      <c r="Q374" s="59">
        <f>IF(L374="","",IFERROR(INDEX('Semrush Data'!$A$1:$Z$20000,MATCH(L374,'Semrush Data'!$A$1:$A$20000,0),MATCH("Volume",'Semrush Data'!$A$1:$Z$1,0)),""))</f>
        <v/>
      </c>
      <c r="R374" s="59">
        <f>IF(M374="","",IFERROR(INDEX('Semrush Data'!$A$1:$Z$20000,MATCH(M374,'Semrush Data'!$A$1:$A$20000,0),MATCH("Volume",'Semrush Data'!$A$1:$Z$1,0)),""))</f>
        <v/>
      </c>
      <c r="S374" s="59">
        <f>IF(N374="","",IFERROR(INDEX('Semrush Data'!$A$1:$Z$20000,MATCH(N374,'Semrush Data'!$A$1:$A$20000,0),MATCH("Volume",'Semrush Data'!$A$1:$Z$1,0)),""))</f>
        <v/>
      </c>
      <c r="T374" s="59">
        <f>IF(O374="","",IFERROR(INDEX('Semrush Data'!$A$1:$Z$20000,MATCH(O374,'Semrush Data'!$A$1:$A$20000,0),MATCH("Volume",'Semrush Data'!$A$1:$Z$1,0)),""))</f>
        <v/>
      </c>
      <c r="U374" s="59">
        <f>IF(P374="","",IFERROR(INDEX('Semrush Data'!$A$1:$Z$20000,MATCH(P374,'Semrush Data'!$A$1:$A$20000,0),MATCH("Volume",'Semrush Data'!$A$1:$Z$1,0)),""))</f>
        <v/>
      </c>
      <c r="V374" s="60">
        <f>IF(COUNT(Q374:U374)=0,L374,IF(MAX(Q374:U374)=0,L374,INDEX(L374:P374,MATCH(MAX(Q374:U374),Q374:U374,0))))</f>
        <v/>
      </c>
      <c r="W374" s="59">
        <f>IFERROR(INDEX('Semrush Data'!$A$1:$Z$20000,MATCH(V374,'Semrush Data'!$A$1:$A$20000,0),MATCH("Volume",'Semrush Data'!$A$1:$Z$1,0)),"")</f>
        <v/>
      </c>
      <c r="X374" s="59">
        <f>IFERROR(INDEX('Semrush Data'!$A$1:$Z$20000,MATCH(V374,'Semrush Data'!$A$1:$A$20000,0),MATCH("Keyword Difficulty*",'Semrush Data'!$A$1:$Z$1,0)),"")</f>
        <v/>
      </c>
      <c r="Y374" s="61">
        <f>IFERROR(INDEX('Semrush Data'!$A$1:$Z$20000,MATCH(V374,'Semrush Data'!$A$1:$A$20000,0),MATCH("CPC*",'Semrush Data'!$A$1:$Z$1,0)),"")</f>
        <v/>
      </c>
      <c r="Z374" s="58" t="inlineStr">
        <is>
          <t>givenchy perfume · givenchy perfume for women · floral perfume for women uk</t>
        </is>
      </c>
      <c r="AA374" s="58" t="inlineStr">
        <is>
          <t>givenchy amarige perfume · givenchy amarige eau de parfum · givenchy amarige 100ml · givenchy amarige edt 100ml · givenchy amarige notes · givenchy amarige edp 100ml</t>
        </is>
      </c>
      <c r="AB374" s="58" t="inlineStr">
        <is>
          <t>Givenchy Amarige Eau de Toilette</t>
        </is>
      </c>
      <c r="AC374" s="58" t="inlineStr">
        <is>
          <t>Givenchy Amarige Eau de Toilette | Buy Online UK | Swansura</t>
        </is>
      </c>
      <c r="AD374" s="58">
        <f>LEN(AC374)</f>
        <v/>
      </c>
      <c r="AE374" s="58" t="inlineStr">
        <is>
          <t>Buy Givenchy Amarige Eau de Toilette online in the UK at Swansura. A floral women's eau de toilette, 100ml. 100% authentic, fast UK delivery, free over £50.</t>
        </is>
      </c>
      <c r="AF374" s="58">
        <f>LEN(AE374)</f>
        <v/>
      </c>
    </row>
    <row r="375" ht="15" customHeight="1" s="37">
      <c r="A375" s="58" t="inlineStr">
        <is>
          <t>FR-215</t>
        </is>
      </c>
      <c r="B375" s="58" t="inlineStr">
        <is>
          <t>Fragrance Catalogue</t>
        </is>
      </c>
      <c r="C375" s="58" t="n">
        <v>215</v>
      </c>
      <c r="D375" s="58" t="inlineStr">
        <is>
          <t>Givenchy</t>
        </is>
      </c>
      <c r="E375" s="58" t="n"/>
      <c r="F375" s="58" t="inlineStr">
        <is>
          <t>Fragrance</t>
        </is>
      </c>
      <c r="G375" s="58" t="inlineStr">
        <is>
          <t>Eau de Toilette (EDT)</t>
        </is>
      </c>
      <c r="H375" s="58" t="inlineStr">
        <is>
          <t>Woody · Men's Fragrance</t>
        </is>
      </c>
      <c r="I375" s="58" t="inlineStr">
        <is>
          <t>Givenchy Gentleman Originale Eau de Toilette 100ml – Men's Woody Aromatic Fragrance</t>
        </is>
      </c>
      <c r="J375" s="58" t="inlineStr">
        <is>
          <t>100ml</t>
        </is>
      </c>
      <c r="K375" s="58" t="n">
        <v>49.99</v>
      </c>
      <c r="L375" s="58" t="inlineStr">
        <is>
          <t>givenchy gentleman originale</t>
        </is>
      </c>
      <c r="M375" s="58" t="inlineStr">
        <is>
          <t>givenchy gentleman originale uk</t>
        </is>
      </c>
      <c r="N375" s="58" t="inlineStr">
        <is>
          <t>buy givenchy gentleman originale online</t>
        </is>
      </c>
      <c r="O375" s="58" t="inlineStr">
        <is>
          <t>givenchy gentleman originale price</t>
        </is>
      </c>
      <c r="P375" s="58" t="inlineStr">
        <is>
          <t>givenchy gentleman originale eau de toilette</t>
        </is>
      </c>
      <c r="Q375" s="59">
        <f>IF(L375="","",IFERROR(INDEX('Semrush Data'!$A$1:$Z$20000,MATCH(L375,'Semrush Data'!$A$1:$A$20000,0),MATCH("Volume",'Semrush Data'!$A$1:$Z$1,0)),""))</f>
        <v/>
      </c>
      <c r="R375" s="59">
        <f>IF(M375="","",IFERROR(INDEX('Semrush Data'!$A$1:$Z$20000,MATCH(M375,'Semrush Data'!$A$1:$A$20000,0),MATCH("Volume",'Semrush Data'!$A$1:$Z$1,0)),""))</f>
        <v/>
      </c>
      <c r="S375" s="59">
        <f>IF(N375="","",IFERROR(INDEX('Semrush Data'!$A$1:$Z$20000,MATCH(N375,'Semrush Data'!$A$1:$A$20000,0),MATCH("Volume",'Semrush Data'!$A$1:$Z$1,0)),""))</f>
        <v/>
      </c>
      <c r="T375" s="59">
        <f>IF(O375="","",IFERROR(INDEX('Semrush Data'!$A$1:$Z$20000,MATCH(O375,'Semrush Data'!$A$1:$A$20000,0),MATCH("Volume",'Semrush Data'!$A$1:$Z$1,0)),""))</f>
        <v/>
      </c>
      <c r="U375" s="59">
        <f>IF(P375="","",IFERROR(INDEX('Semrush Data'!$A$1:$Z$20000,MATCH(P375,'Semrush Data'!$A$1:$A$20000,0),MATCH("Volume",'Semrush Data'!$A$1:$Z$1,0)),""))</f>
        <v/>
      </c>
      <c r="V375" s="60">
        <f>IF(COUNT(Q375:U375)=0,L375,IF(MAX(Q375:U375)=0,L375,INDEX(L375:P375,MATCH(MAX(Q375:U375),Q375:U375,0))))</f>
        <v/>
      </c>
      <c r="W375" s="59">
        <f>IFERROR(INDEX('Semrush Data'!$A$1:$Z$20000,MATCH(V375,'Semrush Data'!$A$1:$A$20000,0),MATCH("Volume",'Semrush Data'!$A$1:$Z$1,0)),"")</f>
        <v/>
      </c>
      <c r="X375" s="59">
        <f>IFERROR(INDEX('Semrush Data'!$A$1:$Z$20000,MATCH(V375,'Semrush Data'!$A$1:$A$20000,0),MATCH("Keyword Difficulty*",'Semrush Data'!$A$1:$Z$1,0)),"")</f>
        <v/>
      </c>
      <c r="Y375" s="61">
        <f>IFERROR(INDEX('Semrush Data'!$A$1:$Z$20000,MATCH(V375,'Semrush Data'!$A$1:$A$20000,0),MATCH("CPC*",'Semrush Data'!$A$1:$Z$1,0)),"")</f>
        <v/>
      </c>
      <c r="Z375" s="58" t="inlineStr">
        <is>
          <t>givenchy perfume · givenchy perfume for men · woody perfume for men uk</t>
        </is>
      </c>
      <c r="AA375" s="58" t="inlineStr">
        <is>
          <t>givenchy gentleman originale edt · givenchy gentleman originale for men edt · givenchy gentleman original review · givenchy gentleman original 2024 · givenchy gentleman originale 100ml · givenchy gentleman originale edp</t>
        </is>
      </c>
      <c r="AB375" s="58" t="inlineStr">
        <is>
          <t>Givenchy Gentleman Originale Eau de Toilette</t>
        </is>
      </c>
      <c r="AC375" s="58" t="inlineStr">
        <is>
          <t>Givenchy Gentleman Originale Eau de Toilette | Swansura UK</t>
        </is>
      </c>
      <c r="AD375" s="58">
        <f>LEN(AC375)</f>
        <v/>
      </c>
      <c r="AE375" s="58" t="inlineStr">
        <is>
          <t>Buy Givenchy Gentleman Originale Eau de Toilette online in the UK at Swansura. A woody men's eau de toilette, 100ml. 100% authentic, free UK delivery over £50.</t>
        </is>
      </c>
      <c r="AF375" s="58">
        <f>LEN(AE375)</f>
        <v/>
      </c>
    </row>
    <row r="376" ht="15" customHeight="1" s="37">
      <c r="A376" s="58" t="inlineStr">
        <is>
          <t>FR-216</t>
        </is>
      </c>
      <c r="B376" s="58" t="inlineStr">
        <is>
          <t>Fragrance Catalogue</t>
        </is>
      </c>
      <c r="C376" s="58" t="n">
        <v>216</v>
      </c>
      <c r="D376" s="58" t="inlineStr">
        <is>
          <t>Gucci</t>
        </is>
      </c>
      <c r="E376" s="58" t="n"/>
      <c r="F376" s="58" t="inlineStr">
        <is>
          <t>Fragrance</t>
        </is>
      </c>
      <c r="G376" s="58" t="inlineStr">
        <is>
          <t>Eau de Parfum (EDP)</t>
        </is>
      </c>
      <c r="H376" s="58" t="inlineStr">
        <is>
          <t>Floral · Women's Fragrance</t>
        </is>
      </c>
      <c r="I376" s="58" t="inlineStr">
        <is>
          <t>Gucci Bloom Profumo di Fiori Eau de Parfum 10ml Pen Spray – Women's Floral Fragrance</t>
        </is>
      </c>
      <c r="J376" s="58" t="inlineStr">
        <is>
          <t>10ml</t>
        </is>
      </c>
      <c r="K376" s="58" t="n">
        <v>16.95</v>
      </c>
      <c r="L376" s="58" t="inlineStr">
        <is>
          <t>gucci bloom profumo di fiori pen</t>
        </is>
      </c>
      <c r="M376" s="58" t="inlineStr">
        <is>
          <t>gucci bloom profumo di fiori pen uk</t>
        </is>
      </c>
      <c r="N376" s="58" t="inlineStr">
        <is>
          <t>buy gucci bloom profumo di fiori pen online</t>
        </is>
      </c>
      <c r="O376" s="58" t="inlineStr">
        <is>
          <t>gucci bloom profumo di fiori pen price</t>
        </is>
      </c>
      <c r="P376" s="58" t="inlineStr">
        <is>
          <t>gucci bloom profumo di fiori pen eau de parfum</t>
        </is>
      </c>
      <c r="Q376" s="59">
        <f>IF(L376="","",IFERROR(INDEX('Semrush Data'!$A$1:$Z$20000,MATCH(L376,'Semrush Data'!$A$1:$A$20000,0),MATCH("Volume",'Semrush Data'!$A$1:$Z$1,0)),""))</f>
        <v/>
      </c>
      <c r="R376" s="59">
        <f>IF(M376="","",IFERROR(INDEX('Semrush Data'!$A$1:$Z$20000,MATCH(M376,'Semrush Data'!$A$1:$A$20000,0),MATCH("Volume",'Semrush Data'!$A$1:$Z$1,0)),""))</f>
        <v/>
      </c>
      <c r="S376" s="59">
        <f>IF(N376="","",IFERROR(INDEX('Semrush Data'!$A$1:$Z$20000,MATCH(N376,'Semrush Data'!$A$1:$A$20000,0),MATCH("Volume",'Semrush Data'!$A$1:$Z$1,0)),""))</f>
        <v/>
      </c>
      <c r="T376" s="59">
        <f>IF(O376="","",IFERROR(INDEX('Semrush Data'!$A$1:$Z$20000,MATCH(O376,'Semrush Data'!$A$1:$A$20000,0),MATCH("Volume",'Semrush Data'!$A$1:$Z$1,0)),""))</f>
        <v/>
      </c>
      <c r="U376" s="59">
        <f>IF(P376="","",IFERROR(INDEX('Semrush Data'!$A$1:$Z$20000,MATCH(P376,'Semrush Data'!$A$1:$A$20000,0),MATCH("Volume",'Semrush Data'!$A$1:$Z$1,0)),""))</f>
        <v/>
      </c>
      <c r="V376" s="60">
        <f>IF(COUNT(Q376:U376)=0,L376,IF(MAX(Q376:U376)=0,L376,INDEX(L376:P376,MATCH(MAX(Q376:U376),Q376:U376,0))))</f>
        <v/>
      </c>
      <c r="W376" s="59">
        <f>IFERROR(INDEX('Semrush Data'!$A$1:$Z$20000,MATCH(V376,'Semrush Data'!$A$1:$A$20000,0),MATCH("Volume",'Semrush Data'!$A$1:$Z$1,0)),"")</f>
        <v/>
      </c>
      <c r="X376" s="59">
        <f>IFERROR(INDEX('Semrush Data'!$A$1:$Z$20000,MATCH(V376,'Semrush Data'!$A$1:$A$20000,0),MATCH("Keyword Difficulty*",'Semrush Data'!$A$1:$Z$1,0)),"")</f>
        <v/>
      </c>
      <c r="Y376" s="61">
        <f>IFERROR(INDEX('Semrush Data'!$A$1:$Z$20000,MATCH(V376,'Semrush Data'!$A$1:$A$20000,0),MATCH("CPC*",'Semrush Data'!$A$1:$Z$1,0)),"")</f>
        <v/>
      </c>
      <c r="Z376" s="58" t="inlineStr">
        <is>
          <t>gucci perfume · gucci perfume for women · floral perfume for women uk</t>
        </is>
      </c>
      <c r="AA376" s="58" t="n"/>
      <c r="AB376" s="58" t="inlineStr">
        <is>
          <t>Gucci Bloom Profumo di Fiori Eau de Parfum Pen Spray</t>
        </is>
      </c>
      <c r="AC376" s="58" t="inlineStr">
        <is>
          <t>Gucci Bloom Profumo di Fiori Pen Spray 10ml | Swansura UK</t>
        </is>
      </c>
      <c r="AD376" s="58">
        <f>LEN(AC376)</f>
        <v/>
      </c>
      <c r="AE376" s="58" t="inlineStr">
        <is>
          <t>Buy Gucci Bloom Profumo di Fiori Eau de Parfum Pen Spray at Swansura UK. A floral women's eau de parfum, 10ml. 100% authentic, fast UK delivery, free over £50.</t>
        </is>
      </c>
      <c r="AF376" s="58">
        <f>LEN(AE376)</f>
        <v/>
      </c>
    </row>
    <row r="377" ht="15" customHeight="1" s="37">
      <c r="A377" s="58" t="inlineStr">
        <is>
          <t>FR-217</t>
        </is>
      </c>
      <c r="B377" s="58" t="inlineStr">
        <is>
          <t>Fragrance Catalogue</t>
        </is>
      </c>
      <c r="C377" s="58" t="n">
        <v>217</v>
      </c>
      <c r="D377" s="58" t="inlineStr">
        <is>
          <t>Gucci</t>
        </is>
      </c>
      <c r="E377" s="58" t="n"/>
      <c r="F377" s="58" t="inlineStr">
        <is>
          <t>Fragrance</t>
        </is>
      </c>
      <c r="G377" s="58" t="inlineStr">
        <is>
          <t>Eau de Parfum (EDP)</t>
        </is>
      </c>
      <c r="H377" s="58" t="inlineStr">
        <is>
          <t>Floral · Women's Fragrance</t>
        </is>
      </c>
      <c r="I377" s="58" t="inlineStr">
        <is>
          <t>Gucci Flora Gorgeous Gardenia Eau de Parfum 50ml – Women's Floral Fragrance</t>
        </is>
      </c>
      <c r="J377" s="58" t="inlineStr">
        <is>
          <t>50ml</t>
        </is>
      </c>
      <c r="K377" s="58" t="n">
        <v>59.99</v>
      </c>
      <c r="L377" s="58" t="inlineStr">
        <is>
          <t>gucci flora gorgeous gardenia</t>
        </is>
      </c>
      <c r="M377" s="58" t="inlineStr">
        <is>
          <t>gucci flora gorgeous gardenia uk</t>
        </is>
      </c>
      <c r="N377" s="58" t="inlineStr">
        <is>
          <t>buy gucci flora gorgeous gardenia online</t>
        </is>
      </c>
      <c r="O377" s="58" t="inlineStr">
        <is>
          <t>gucci flora gorgeous gardenia price</t>
        </is>
      </c>
      <c r="P377" s="58" t="inlineStr">
        <is>
          <t>gucci flora gorgeous gardenia eau de parfum</t>
        </is>
      </c>
      <c r="Q377" s="59">
        <f>IF(L377="","",IFERROR(INDEX('Semrush Data'!$A$1:$Z$20000,MATCH(L377,'Semrush Data'!$A$1:$A$20000,0),MATCH("Volume",'Semrush Data'!$A$1:$Z$1,0)),""))</f>
        <v/>
      </c>
      <c r="R377" s="59">
        <f>IF(M377="","",IFERROR(INDEX('Semrush Data'!$A$1:$Z$20000,MATCH(M377,'Semrush Data'!$A$1:$A$20000,0),MATCH("Volume",'Semrush Data'!$A$1:$Z$1,0)),""))</f>
        <v/>
      </c>
      <c r="S377" s="59">
        <f>IF(N377="","",IFERROR(INDEX('Semrush Data'!$A$1:$Z$20000,MATCH(N377,'Semrush Data'!$A$1:$A$20000,0),MATCH("Volume",'Semrush Data'!$A$1:$Z$1,0)),""))</f>
        <v/>
      </c>
      <c r="T377" s="59">
        <f>IF(O377="","",IFERROR(INDEX('Semrush Data'!$A$1:$Z$20000,MATCH(O377,'Semrush Data'!$A$1:$A$20000,0),MATCH("Volume",'Semrush Data'!$A$1:$Z$1,0)),""))</f>
        <v/>
      </c>
      <c r="U377" s="59">
        <f>IF(P377="","",IFERROR(INDEX('Semrush Data'!$A$1:$Z$20000,MATCH(P377,'Semrush Data'!$A$1:$A$20000,0),MATCH("Volume",'Semrush Data'!$A$1:$Z$1,0)),""))</f>
        <v/>
      </c>
      <c r="V377" s="60">
        <f>IF(COUNT(Q377:U377)=0,L377,IF(MAX(Q377:U377)=0,L377,INDEX(L377:P377,MATCH(MAX(Q377:U377),Q377:U377,0))))</f>
        <v/>
      </c>
      <c r="W377" s="59">
        <f>IFERROR(INDEX('Semrush Data'!$A$1:$Z$20000,MATCH(V377,'Semrush Data'!$A$1:$A$20000,0),MATCH("Volume",'Semrush Data'!$A$1:$Z$1,0)),"")</f>
        <v/>
      </c>
      <c r="X377" s="59">
        <f>IFERROR(INDEX('Semrush Data'!$A$1:$Z$20000,MATCH(V377,'Semrush Data'!$A$1:$A$20000,0),MATCH("Keyword Difficulty*",'Semrush Data'!$A$1:$Z$1,0)),"")</f>
        <v/>
      </c>
      <c r="Y377" s="61">
        <f>IFERROR(INDEX('Semrush Data'!$A$1:$Z$20000,MATCH(V377,'Semrush Data'!$A$1:$A$20000,0),MATCH("CPC*",'Semrush Data'!$A$1:$Z$1,0)),"")</f>
        <v/>
      </c>
      <c r="Z377" s="58" t="inlineStr">
        <is>
          <t>gucci perfume · gucci perfume for women · floral perfume for women uk</t>
        </is>
      </c>
      <c r="AA377" s="58" t="inlineStr">
        <is>
          <t>gucci flora gorgeous gardenia eau de parfum · gucci flora gorgeous gardenia notes · gucci flora gorgeous gardenia dupe · gucci flora gorgeous gardenia 100ml · gucci flora gorgeous gardenia 50ml · gucci flora gorgeous gardenia perfume</t>
        </is>
      </c>
      <c r="AB377" s="58" t="inlineStr">
        <is>
          <t>Gucci Flora Gorgeous Gardenia Eau de Parfum</t>
        </is>
      </c>
      <c r="AC377" s="58" t="inlineStr">
        <is>
          <t>Gucci Flora Gorgeous Gardenia Eau de Parfum | Swansura UK</t>
        </is>
      </c>
      <c r="AD377" s="58">
        <f>LEN(AC377)</f>
        <v/>
      </c>
      <c r="AE377" s="58" t="inlineStr">
        <is>
          <t>Buy Gucci Flora Gorgeous Gardenia Eau de Parfum online in the UK at Swansura. A floral women's eau de parfum, 50ml. 100% authentic, free UK delivery over £50.</t>
        </is>
      </c>
      <c r="AF377" s="58">
        <f>LEN(AE377)</f>
        <v/>
      </c>
    </row>
    <row r="378" ht="15" customHeight="1" s="37">
      <c r="A378" s="58" t="inlineStr">
        <is>
          <t>FR-218</t>
        </is>
      </c>
      <c r="B378" s="58" t="inlineStr">
        <is>
          <t>Fragrance Catalogue</t>
        </is>
      </c>
      <c r="C378" s="58" t="n">
        <v>218</v>
      </c>
      <c r="D378" s="58" t="inlineStr">
        <is>
          <t>Gucci</t>
        </is>
      </c>
      <c r="E378" s="58" t="n"/>
      <c r="F378" s="58" t="inlineStr">
        <is>
          <t>Fragrance</t>
        </is>
      </c>
      <c r="G378" s="58" t="inlineStr">
        <is>
          <t>Eau de Parfum (EDP)</t>
        </is>
      </c>
      <c r="H378" s="58" t="inlineStr">
        <is>
          <t>Floral · Women's Fragrance</t>
        </is>
      </c>
      <c r="I378" s="58" t="inlineStr">
        <is>
          <t>Gucci Flora Gorgeous Orchid Eau de Parfum 10ml Miniature – Women's Floral Gourmand Fragrance</t>
        </is>
      </c>
      <c r="J378" s="58" t="inlineStr">
        <is>
          <t>10ml</t>
        </is>
      </c>
      <c r="K378" s="58" t="n">
        <v>17.99</v>
      </c>
      <c r="L378" s="58" t="inlineStr">
        <is>
          <t>gucci flora gorgeous orchid miniature</t>
        </is>
      </c>
      <c r="M378" s="58" t="inlineStr">
        <is>
          <t>gucci flora gorgeous orchid miniature uk</t>
        </is>
      </c>
      <c r="N378" s="58" t="inlineStr">
        <is>
          <t>buy gucci flora gorgeous orchid miniature online</t>
        </is>
      </c>
      <c r="O378" s="58" t="inlineStr">
        <is>
          <t>gucci flora gorgeous orchid miniature price</t>
        </is>
      </c>
      <c r="P378" s="58" t="inlineStr">
        <is>
          <t>gucci flora gorgeous orchid miniature eau de parfum</t>
        </is>
      </c>
      <c r="Q378" s="59">
        <f>IF(L378="","",IFERROR(INDEX('Semrush Data'!$A$1:$Z$20000,MATCH(L378,'Semrush Data'!$A$1:$A$20000,0),MATCH("Volume",'Semrush Data'!$A$1:$Z$1,0)),""))</f>
        <v/>
      </c>
      <c r="R378" s="59">
        <f>IF(M378="","",IFERROR(INDEX('Semrush Data'!$A$1:$Z$20000,MATCH(M378,'Semrush Data'!$A$1:$A$20000,0),MATCH("Volume",'Semrush Data'!$A$1:$Z$1,0)),""))</f>
        <v/>
      </c>
      <c r="S378" s="59">
        <f>IF(N378="","",IFERROR(INDEX('Semrush Data'!$A$1:$Z$20000,MATCH(N378,'Semrush Data'!$A$1:$A$20000,0),MATCH("Volume",'Semrush Data'!$A$1:$Z$1,0)),""))</f>
        <v/>
      </c>
      <c r="T378" s="59">
        <f>IF(O378="","",IFERROR(INDEX('Semrush Data'!$A$1:$Z$20000,MATCH(O378,'Semrush Data'!$A$1:$A$20000,0),MATCH("Volume",'Semrush Data'!$A$1:$Z$1,0)),""))</f>
        <v/>
      </c>
      <c r="U378" s="59">
        <f>IF(P378="","",IFERROR(INDEX('Semrush Data'!$A$1:$Z$20000,MATCH(P378,'Semrush Data'!$A$1:$A$20000,0),MATCH("Volume",'Semrush Data'!$A$1:$Z$1,0)),""))</f>
        <v/>
      </c>
      <c r="V378" s="60">
        <f>IF(COUNT(Q378:U378)=0,L378,IF(MAX(Q378:U378)=0,L378,INDEX(L378:P378,MATCH(MAX(Q378:U378),Q378:U378,0))))</f>
        <v/>
      </c>
      <c r="W378" s="59">
        <f>IFERROR(INDEX('Semrush Data'!$A$1:$Z$20000,MATCH(V378,'Semrush Data'!$A$1:$A$20000,0),MATCH("Volume",'Semrush Data'!$A$1:$Z$1,0)),"")</f>
        <v/>
      </c>
      <c r="X378" s="59">
        <f>IFERROR(INDEX('Semrush Data'!$A$1:$Z$20000,MATCH(V378,'Semrush Data'!$A$1:$A$20000,0),MATCH("Keyword Difficulty*",'Semrush Data'!$A$1:$Z$1,0)),"")</f>
        <v/>
      </c>
      <c r="Y378" s="61">
        <f>IFERROR(INDEX('Semrush Data'!$A$1:$Z$20000,MATCH(V378,'Semrush Data'!$A$1:$A$20000,0),MATCH("CPC*",'Semrush Data'!$A$1:$Z$1,0)),"")</f>
        <v/>
      </c>
      <c r="Z378" s="58" t="inlineStr">
        <is>
          <t>gucci perfume · gucci perfume for women · floral perfume for women uk</t>
        </is>
      </c>
      <c r="AA378" s="58" t="n"/>
      <c r="AB378" s="58" t="inlineStr">
        <is>
          <t>Gucci Flora Gorgeous Orchid Eau de Parfum Miniature</t>
        </is>
      </c>
      <c r="AC378" s="58" t="inlineStr">
        <is>
          <t>Gucci Flora Gorgeous Orchid Miniature EDP 10ml | Swansura UK</t>
        </is>
      </c>
      <c r="AD378" s="58">
        <f>LEN(AC378)</f>
        <v/>
      </c>
      <c r="AE378" s="58" t="inlineStr">
        <is>
          <t>Buy Gucci Flora Gorgeous Orchid Eau de Parfum Miniature online in the UK at Swansura. A floral women's eau de parfum. 100% authentic, free UK delivery over £50.</t>
        </is>
      </c>
      <c r="AF378" s="58">
        <f>LEN(AE378)</f>
        <v/>
      </c>
    </row>
    <row r="379" ht="15" customHeight="1" s="37">
      <c r="A379" s="58" t="inlineStr">
        <is>
          <t>FR-219</t>
        </is>
      </c>
      <c r="B379" s="58" t="inlineStr">
        <is>
          <t>Fragrance Catalogue</t>
        </is>
      </c>
      <c r="C379" s="58" t="n">
        <v>219</v>
      </c>
      <c r="D379" s="58" t="inlineStr">
        <is>
          <t>Gucci</t>
        </is>
      </c>
      <c r="E379" s="58" t="n"/>
      <c r="F379" s="58" t="inlineStr">
        <is>
          <t>Fragrance</t>
        </is>
      </c>
      <c r="G379" s="58" t="inlineStr">
        <is>
          <t>Eau de Parfum (EDP)</t>
        </is>
      </c>
      <c r="H379" s="58" t="inlineStr">
        <is>
          <t>Woody · Women's Fragrance</t>
        </is>
      </c>
      <c r="I379" s="58" t="inlineStr">
        <is>
          <t>Gucci Guilty Pour Femme Eau de Parfum 10ml Miniature Perfume Spray – Women's Fragrance</t>
        </is>
      </c>
      <c r="J379" s="58" t="inlineStr">
        <is>
          <t>10ml</t>
        </is>
      </c>
      <c r="K379" s="58" t="n">
        <v>19.99</v>
      </c>
      <c r="L379" s="58" t="inlineStr">
        <is>
          <t>gucci guilty pour femme miniature</t>
        </is>
      </c>
      <c r="M379" s="58" t="inlineStr">
        <is>
          <t>gucci guilty pour femme miniature uk</t>
        </is>
      </c>
      <c r="N379" s="58" t="inlineStr">
        <is>
          <t>buy gucci guilty pour femme miniature online</t>
        </is>
      </c>
      <c r="O379" s="58" t="inlineStr">
        <is>
          <t>gucci guilty pour femme miniature price</t>
        </is>
      </c>
      <c r="P379" s="58" t="inlineStr">
        <is>
          <t>gucci guilty pour femme miniature eau de parfum</t>
        </is>
      </c>
      <c r="Q379" s="59">
        <f>IF(L379="","",IFERROR(INDEX('Semrush Data'!$A$1:$Z$20000,MATCH(L379,'Semrush Data'!$A$1:$A$20000,0),MATCH("Volume",'Semrush Data'!$A$1:$Z$1,0)),""))</f>
        <v/>
      </c>
      <c r="R379" s="59">
        <f>IF(M379="","",IFERROR(INDEX('Semrush Data'!$A$1:$Z$20000,MATCH(M379,'Semrush Data'!$A$1:$A$20000,0),MATCH("Volume",'Semrush Data'!$A$1:$Z$1,0)),""))</f>
        <v/>
      </c>
      <c r="S379" s="59">
        <f>IF(N379="","",IFERROR(INDEX('Semrush Data'!$A$1:$Z$20000,MATCH(N379,'Semrush Data'!$A$1:$A$20000,0),MATCH("Volume",'Semrush Data'!$A$1:$Z$1,0)),""))</f>
        <v/>
      </c>
      <c r="T379" s="59">
        <f>IF(O379="","",IFERROR(INDEX('Semrush Data'!$A$1:$Z$20000,MATCH(O379,'Semrush Data'!$A$1:$A$20000,0),MATCH("Volume",'Semrush Data'!$A$1:$Z$1,0)),""))</f>
        <v/>
      </c>
      <c r="U379" s="59">
        <f>IF(P379="","",IFERROR(INDEX('Semrush Data'!$A$1:$Z$20000,MATCH(P379,'Semrush Data'!$A$1:$A$20000,0),MATCH("Volume",'Semrush Data'!$A$1:$Z$1,0)),""))</f>
        <v/>
      </c>
      <c r="V379" s="60">
        <f>IF(COUNT(Q379:U379)=0,L379,IF(MAX(Q379:U379)=0,L379,INDEX(L379:P379,MATCH(MAX(Q379:U379),Q379:U379,0))))</f>
        <v/>
      </c>
      <c r="W379" s="59">
        <f>IFERROR(INDEX('Semrush Data'!$A$1:$Z$20000,MATCH(V379,'Semrush Data'!$A$1:$A$20000,0),MATCH("Volume",'Semrush Data'!$A$1:$Z$1,0)),"")</f>
        <v/>
      </c>
      <c r="X379" s="59">
        <f>IFERROR(INDEX('Semrush Data'!$A$1:$Z$20000,MATCH(V379,'Semrush Data'!$A$1:$A$20000,0),MATCH("Keyword Difficulty*",'Semrush Data'!$A$1:$Z$1,0)),"")</f>
        <v/>
      </c>
      <c r="Y379" s="61">
        <f>IFERROR(INDEX('Semrush Data'!$A$1:$Z$20000,MATCH(V379,'Semrush Data'!$A$1:$A$20000,0),MATCH("CPC*",'Semrush Data'!$A$1:$Z$1,0)),"")</f>
        <v/>
      </c>
      <c r="Z379" s="58" t="inlineStr">
        <is>
          <t>gucci perfume · gucci perfume for women · woody perfume for women uk</t>
        </is>
      </c>
      <c r="AA379" s="58" t="inlineStr">
        <is>
          <t>gucci guilty pour femme price</t>
        </is>
      </c>
      <c r="AB379" s="58" t="inlineStr">
        <is>
          <t>Gucci Guilty Pour Femme Eau de Parfum Miniature Perfume Spray</t>
        </is>
      </c>
      <c r="AC379" s="58" t="inlineStr">
        <is>
          <t>Gucci Guilty Pour Femme Miniature Perfume | Swansura UK</t>
        </is>
      </c>
      <c r="AD379" s="58">
        <f>LEN(AC379)</f>
        <v/>
      </c>
      <c r="AE379" s="58" t="inlineStr">
        <is>
          <t>Buy Gucci Guilty Pour Femme Eau de Parfum Miniature Perfume Spray online in the UK at Swansura. A woody women's eau de parfum, 10ml. Free UK delivery over £50.</t>
        </is>
      </c>
      <c r="AF379" s="58">
        <f>LEN(AE379)</f>
        <v/>
      </c>
    </row>
    <row r="380" ht="15" customHeight="1" s="37">
      <c r="A380" s="58" t="inlineStr">
        <is>
          <t>FR-220</t>
        </is>
      </c>
      <c r="B380" s="58" t="inlineStr">
        <is>
          <t>Fragrance Catalogue</t>
        </is>
      </c>
      <c r="C380" s="58" t="n">
        <v>220</v>
      </c>
      <c r="D380" s="58" t="inlineStr">
        <is>
          <t>Gucci</t>
        </is>
      </c>
      <c r="E380" s="58" t="n"/>
      <c r="F380" s="58" t="inlineStr">
        <is>
          <t>Fragrance</t>
        </is>
      </c>
      <c r="G380" s="58" t="inlineStr">
        <is>
          <t>Eau de Parfum (EDP)</t>
        </is>
      </c>
      <c r="H380" s="58" t="inlineStr">
        <is>
          <t>Oud · Unisex Fragrance</t>
        </is>
      </c>
      <c r="I380" s="58" t="inlineStr">
        <is>
          <t>Gucci Intense Oud Eau de Parfum Spray 90ml – Long Lasting Luxury Unisex Oud Fragrance</t>
        </is>
      </c>
      <c r="J380" s="58" t="inlineStr">
        <is>
          <t>90ml</t>
        </is>
      </c>
      <c r="K380" s="58" t="n">
        <v>73.98999999999999</v>
      </c>
      <c r="L380" s="58" t="inlineStr">
        <is>
          <t>gucci intense oud</t>
        </is>
      </c>
      <c r="M380" s="58" t="inlineStr">
        <is>
          <t>gucci intense oud uk</t>
        </is>
      </c>
      <c r="N380" s="58" t="inlineStr">
        <is>
          <t>buy gucci intense oud online</t>
        </is>
      </c>
      <c r="O380" s="58" t="inlineStr">
        <is>
          <t>gucci intense oud price</t>
        </is>
      </c>
      <c r="P380" s="58" t="inlineStr">
        <is>
          <t>gucci intense oud eau de parfum</t>
        </is>
      </c>
      <c r="Q380" s="59">
        <f>IF(L380="","",IFERROR(INDEX('Semrush Data'!$A$1:$Z$20000,MATCH(L380,'Semrush Data'!$A$1:$A$20000,0),MATCH("Volume",'Semrush Data'!$A$1:$Z$1,0)),""))</f>
        <v/>
      </c>
      <c r="R380" s="59">
        <f>IF(M380="","",IFERROR(INDEX('Semrush Data'!$A$1:$Z$20000,MATCH(M380,'Semrush Data'!$A$1:$A$20000,0),MATCH("Volume",'Semrush Data'!$A$1:$Z$1,0)),""))</f>
        <v/>
      </c>
      <c r="S380" s="59">
        <f>IF(N380="","",IFERROR(INDEX('Semrush Data'!$A$1:$Z$20000,MATCH(N380,'Semrush Data'!$A$1:$A$20000,0),MATCH("Volume",'Semrush Data'!$A$1:$Z$1,0)),""))</f>
        <v/>
      </c>
      <c r="T380" s="59">
        <f>IF(O380="","",IFERROR(INDEX('Semrush Data'!$A$1:$Z$20000,MATCH(O380,'Semrush Data'!$A$1:$A$20000,0),MATCH("Volume",'Semrush Data'!$A$1:$Z$1,0)),""))</f>
        <v/>
      </c>
      <c r="U380" s="59">
        <f>IF(P380="","",IFERROR(INDEX('Semrush Data'!$A$1:$Z$20000,MATCH(P380,'Semrush Data'!$A$1:$A$20000,0),MATCH("Volume",'Semrush Data'!$A$1:$Z$1,0)),""))</f>
        <v/>
      </c>
      <c r="V380" s="60">
        <f>IF(COUNT(Q380:U380)=0,L380,IF(MAX(Q380:U380)=0,L380,INDEX(L380:P380,MATCH(MAX(Q380:U380),Q380:U380,0))))</f>
        <v/>
      </c>
      <c r="W380" s="59">
        <f>IFERROR(INDEX('Semrush Data'!$A$1:$Z$20000,MATCH(V380,'Semrush Data'!$A$1:$A$20000,0),MATCH("Volume",'Semrush Data'!$A$1:$Z$1,0)),"")</f>
        <v/>
      </c>
      <c r="X380" s="59">
        <f>IFERROR(INDEX('Semrush Data'!$A$1:$Z$20000,MATCH(V380,'Semrush Data'!$A$1:$A$20000,0),MATCH("Keyword Difficulty*",'Semrush Data'!$A$1:$Z$1,0)),"")</f>
        <v/>
      </c>
      <c r="Y380" s="61">
        <f>IFERROR(INDEX('Semrush Data'!$A$1:$Z$20000,MATCH(V380,'Semrush Data'!$A$1:$A$20000,0),MATCH("CPC*",'Semrush Data'!$A$1:$Z$1,0)),"")</f>
        <v/>
      </c>
      <c r="Z380" s="58" t="inlineStr">
        <is>
          <t>gucci perfume · oud perfume uk</t>
        </is>
      </c>
      <c r="AA380" s="58" t="inlineStr">
        <is>
          <t>gucci intense oud price · gucci intense oud review · gucci intense oud dupe · gucci intense oud notes · gucci intense oud eau de parfum · gucci intense oud 90ml</t>
        </is>
      </c>
      <c r="AB380" s="58" t="inlineStr">
        <is>
          <t>Gucci Intense Oud Eau de Parfum Spray</t>
        </is>
      </c>
      <c r="AC380" s="58" t="inlineStr">
        <is>
          <t>Gucci Intense Oud Spray EDP 90ml | Buy Online UK | Swansura</t>
        </is>
      </c>
      <c r="AD380" s="58">
        <f>LEN(AC380)</f>
        <v/>
      </c>
      <c r="AE380" s="58" t="inlineStr">
        <is>
          <t>Buy Gucci Intense Oud Eau de Parfum Spray online in the UK at Swansura. An oud unisex eau de parfum, 90ml. 100% authentic, fast UK delivery, free over £50.</t>
        </is>
      </c>
      <c r="AF380" s="58">
        <f>LEN(AE380)</f>
        <v/>
      </c>
    </row>
    <row r="381" ht="15" customHeight="1" s="37">
      <c r="A381" s="58" t="inlineStr">
        <is>
          <t>FR-221</t>
        </is>
      </c>
      <c r="B381" s="58" t="inlineStr">
        <is>
          <t>Fragrance Catalogue</t>
        </is>
      </c>
      <c r="C381" s="58" t="n">
        <v>221</v>
      </c>
      <c r="D381" s="58" t="inlineStr">
        <is>
          <t>Gucci</t>
        </is>
      </c>
      <c r="E381" s="58" t="n"/>
      <c r="F381" s="58" t="inlineStr">
        <is>
          <t>Fragrance</t>
        </is>
      </c>
      <c r="G381" s="58" t="inlineStr">
        <is>
          <t>Eau de Toilette (EDT)</t>
        </is>
      </c>
      <c r="H381" s="58" t="inlineStr">
        <is>
          <t>Floral · Women's Fragrance</t>
        </is>
      </c>
      <c r="I381" s="58" t="inlineStr">
        <is>
          <t>Gucci Bloom Eau de Toilette 10ml Miniature – Women's Floral Perfume Spray</t>
        </is>
      </c>
      <c r="J381" s="58" t="inlineStr">
        <is>
          <t>10ml</t>
        </is>
      </c>
      <c r="K381" s="58" t="n">
        <v>18.95</v>
      </c>
      <c r="L381" s="58" t="inlineStr">
        <is>
          <t>gucci bloom miniature</t>
        </is>
      </c>
      <c r="M381" s="58" t="inlineStr">
        <is>
          <t>gucci bloom miniature uk</t>
        </is>
      </c>
      <c r="N381" s="58" t="inlineStr">
        <is>
          <t>buy gucci bloom miniature online</t>
        </is>
      </c>
      <c r="O381" s="58" t="inlineStr">
        <is>
          <t>gucci bloom miniature price</t>
        </is>
      </c>
      <c r="P381" s="58" t="inlineStr">
        <is>
          <t>gucci bloom miniature eau de toilette</t>
        </is>
      </c>
      <c r="Q381" s="59">
        <f>IF(L381="","",IFERROR(INDEX('Semrush Data'!$A$1:$Z$20000,MATCH(L381,'Semrush Data'!$A$1:$A$20000,0),MATCH("Volume",'Semrush Data'!$A$1:$Z$1,0)),""))</f>
        <v/>
      </c>
      <c r="R381" s="59">
        <f>IF(M381="","",IFERROR(INDEX('Semrush Data'!$A$1:$Z$20000,MATCH(M381,'Semrush Data'!$A$1:$A$20000,0),MATCH("Volume",'Semrush Data'!$A$1:$Z$1,0)),""))</f>
        <v/>
      </c>
      <c r="S381" s="59">
        <f>IF(N381="","",IFERROR(INDEX('Semrush Data'!$A$1:$Z$20000,MATCH(N381,'Semrush Data'!$A$1:$A$20000,0),MATCH("Volume",'Semrush Data'!$A$1:$Z$1,0)),""))</f>
        <v/>
      </c>
      <c r="T381" s="59">
        <f>IF(O381="","",IFERROR(INDEX('Semrush Data'!$A$1:$Z$20000,MATCH(O381,'Semrush Data'!$A$1:$A$20000,0),MATCH("Volume",'Semrush Data'!$A$1:$Z$1,0)),""))</f>
        <v/>
      </c>
      <c r="U381" s="59">
        <f>IF(P381="","",IFERROR(INDEX('Semrush Data'!$A$1:$Z$20000,MATCH(P381,'Semrush Data'!$A$1:$A$20000,0),MATCH("Volume",'Semrush Data'!$A$1:$Z$1,0)),""))</f>
        <v/>
      </c>
      <c r="V381" s="60">
        <f>IF(COUNT(Q381:U381)=0,L381,IF(MAX(Q381:U381)=0,L381,INDEX(L381:P381,MATCH(MAX(Q381:U381),Q381:U381,0))))</f>
        <v/>
      </c>
      <c r="W381" s="59">
        <f>IFERROR(INDEX('Semrush Data'!$A$1:$Z$20000,MATCH(V381,'Semrush Data'!$A$1:$A$20000,0),MATCH("Volume",'Semrush Data'!$A$1:$Z$1,0)),"")</f>
        <v/>
      </c>
      <c r="X381" s="59">
        <f>IFERROR(INDEX('Semrush Data'!$A$1:$Z$20000,MATCH(V381,'Semrush Data'!$A$1:$A$20000,0),MATCH("Keyword Difficulty*",'Semrush Data'!$A$1:$Z$1,0)),"")</f>
        <v/>
      </c>
      <c r="Y381" s="61">
        <f>IFERROR(INDEX('Semrush Data'!$A$1:$Z$20000,MATCH(V381,'Semrush Data'!$A$1:$A$20000,0),MATCH("CPC*",'Semrush Data'!$A$1:$Z$1,0)),"")</f>
        <v/>
      </c>
      <c r="Z381" s="58" t="inlineStr">
        <is>
          <t>gucci perfume · gucci perfume for women · floral perfume for women uk</t>
        </is>
      </c>
      <c r="AA381" s="58" t="inlineStr">
        <is>
          <t>gucci bloom miniature set · gucci bloom miniature perfume · gucci bloom mini</t>
        </is>
      </c>
      <c r="AB381" s="58" t="inlineStr">
        <is>
          <t>Gucci Bloom Eau de Toilette Miniature</t>
        </is>
      </c>
      <c r="AC381" s="58" t="inlineStr">
        <is>
          <t>Gucci Bloom Miniature EDT 10ml | Buy Online UK | Swansura</t>
        </is>
      </c>
      <c r="AD381" s="58">
        <f>LEN(AC381)</f>
        <v/>
      </c>
      <c r="AE381" s="58" t="inlineStr">
        <is>
          <t>Buy Gucci Bloom Eau de Toilette Miniature online in the UK at Swansura. A floral women's eau de toilette, 10ml. 100% authentic, fast UK delivery, free over £50.</t>
        </is>
      </c>
      <c r="AF381" s="58">
        <f>LEN(AE381)</f>
        <v/>
      </c>
    </row>
    <row r="382" ht="15" customHeight="1" s="37">
      <c r="A382" s="58" t="inlineStr">
        <is>
          <t>FR-222</t>
        </is>
      </c>
      <c r="B382" s="58" t="inlineStr">
        <is>
          <t>Fragrance Catalogue</t>
        </is>
      </c>
      <c r="C382" s="58" t="n">
        <v>222</v>
      </c>
      <c r="D382" s="58" t="inlineStr">
        <is>
          <t>Gucci</t>
        </is>
      </c>
      <c r="E382" s="58" t="n"/>
      <c r="F382" s="58" t="inlineStr">
        <is>
          <t>Fragrance</t>
        </is>
      </c>
      <c r="G382" s="58" t="inlineStr">
        <is>
          <t>Eau de Toilette (EDT)</t>
        </is>
      </c>
      <c r="H382" s="58" t="inlineStr">
        <is>
          <t>Woody · Men's Fragrance</t>
        </is>
      </c>
      <c r="I382" s="58" t="inlineStr">
        <is>
          <t>Gucci Guilty Pour Homme Eau de Toilette 90ml – Men's Woody Aromatic Fragrance</t>
        </is>
      </c>
      <c r="J382" s="58" t="inlineStr">
        <is>
          <t>90ml</t>
        </is>
      </c>
      <c r="K382" s="58" t="n">
        <v>59.99</v>
      </c>
      <c r="L382" s="58" t="inlineStr">
        <is>
          <t>gucci guilty pour homme</t>
        </is>
      </c>
      <c r="M382" s="58" t="inlineStr">
        <is>
          <t>gucci guilty pour homme uk</t>
        </is>
      </c>
      <c r="N382" s="58" t="inlineStr">
        <is>
          <t>buy gucci guilty pour homme online</t>
        </is>
      </c>
      <c r="O382" s="58" t="inlineStr">
        <is>
          <t>gucci guilty pour homme price</t>
        </is>
      </c>
      <c r="P382" s="58" t="inlineStr">
        <is>
          <t>gucci guilty pour homme eau de toilette</t>
        </is>
      </c>
      <c r="Q382" s="59">
        <f>IF(L382="","",IFERROR(INDEX('Semrush Data'!$A$1:$Z$20000,MATCH(L382,'Semrush Data'!$A$1:$A$20000,0),MATCH("Volume",'Semrush Data'!$A$1:$Z$1,0)),""))</f>
        <v/>
      </c>
      <c r="R382" s="59">
        <f>IF(M382="","",IFERROR(INDEX('Semrush Data'!$A$1:$Z$20000,MATCH(M382,'Semrush Data'!$A$1:$A$20000,0),MATCH("Volume",'Semrush Data'!$A$1:$Z$1,0)),""))</f>
        <v/>
      </c>
      <c r="S382" s="59">
        <f>IF(N382="","",IFERROR(INDEX('Semrush Data'!$A$1:$Z$20000,MATCH(N382,'Semrush Data'!$A$1:$A$20000,0),MATCH("Volume",'Semrush Data'!$A$1:$Z$1,0)),""))</f>
        <v/>
      </c>
      <c r="T382" s="59">
        <f>IF(O382="","",IFERROR(INDEX('Semrush Data'!$A$1:$Z$20000,MATCH(O382,'Semrush Data'!$A$1:$A$20000,0),MATCH("Volume",'Semrush Data'!$A$1:$Z$1,0)),""))</f>
        <v/>
      </c>
      <c r="U382" s="59">
        <f>IF(P382="","",IFERROR(INDEX('Semrush Data'!$A$1:$Z$20000,MATCH(P382,'Semrush Data'!$A$1:$A$20000,0),MATCH("Volume",'Semrush Data'!$A$1:$Z$1,0)),""))</f>
        <v/>
      </c>
      <c r="V382" s="60">
        <f>IF(COUNT(Q382:U382)=0,L382,IF(MAX(Q382:U382)=0,L382,INDEX(L382:P382,MATCH(MAX(Q382:U382),Q382:U382,0))))</f>
        <v/>
      </c>
      <c r="W382" s="59">
        <f>IFERROR(INDEX('Semrush Data'!$A$1:$Z$20000,MATCH(V382,'Semrush Data'!$A$1:$A$20000,0),MATCH("Volume",'Semrush Data'!$A$1:$Z$1,0)),"")</f>
        <v/>
      </c>
      <c r="X382" s="59">
        <f>IFERROR(INDEX('Semrush Data'!$A$1:$Z$20000,MATCH(V382,'Semrush Data'!$A$1:$A$20000,0),MATCH("Keyword Difficulty*",'Semrush Data'!$A$1:$Z$1,0)),"")</f>
        <v/>
      </c>
      <c r="Y382" s="61">
        <f>IFERROR(INDEX('Semrush Data'!$A$1:$Z$20000,MATCH(V382,'Semrush Data'!$A$1:$A$20000,0),MATCH("CPC*",'Semrush Data'!$A$1:$Z$1,0)),"")</f>
        <v/>
      </c>
      <c r="Z382" s="58" t="inlineStr">
        <is>
          <t>gucci perfume · gucci perfume for men · woody perfume for men uk</t>
        </is>
      </c>
      <c r="AA382" s="58" t="inlineStr">
        <is>
          <t>gucci guilty pour homme eau de parfum · gucci guilty pour homme parfum · gucci guilty pour homme edt · gucci guilty pour homme edp · gucci guilty pour homme notes · gucci guilty pour homme review</t>
        </is>
      </c>
      <c r="AB382" s="58" t="inlineStr">
        <is>
          <t>Gucci Guilty Pour Homme Eau de Toilette</t>
        </is>
      </c>
      <c r="AC382" s="58" t="inlineStr">
        <is>
          <t>Gucci Guilty Pour Homme EDT 90ml | Buy Online UK | Swansura</t>
        </is>
      </c>
      <c r="AD382" s="58">
        <f>LEN(AC382)</f>
        <v/>
      </c>
      <c r="AE382" s="58" t="inlineStr">
        <is>
          <t>Buy Gucci Guilty Pour Homme Eau de Toilette online in the UK at Swansura. A woody men's eau de toilette, 90ml. 100% authentic, fast UK delivery, free over £50.</t>
        </is>
      </c>
      <c r="AF382" s="58">
        <f>LEN(AE382)</f>
        <v/>
      </c>
    </row>
    <row r="383" ht="15" customHeight="1" s="37">
      <c r="A383" s="58" t="inlineStr">
        <is>
          <t>FR-223</t>
        </is>
      </c>
      <c r="B383" s="58" t="inlineStr">
        <is>
          <t>Fragrance Catalogue</t>
        </is>
      </c>
      <c r="C383" s="58" t="n">
        <v>223</v>
      </c>
      <c r="D383" s="58" t="inlineStr">
        <is>
          <t>Gucci</t>
        </is>
      </c>
      <c r="E383" s="58" t="n"/>
      <c r="F383" s="58" t="inlineStr">
        <is>
          <t>Gift Set</t>
        </is>
      </c>
      <c r="G383" s="58" t="inlineStr">
        <is>
          <t>Eau de Parfum (EDP)</t>
        </is>
      </c>
      <c r="H383" s="58" t="inlineStr">
        <is>
          <t>Woody · Women's Fragrance</t>
        </is>
      </c>
      <c r="I383" s="58" t="inlineStr">
        <is>
          <t>Gucci Bloom Eau de Parfum Gift Set 100ml + 10ml + Body Lotion 100ml – Women's Fragrance Set</t>
        </is>
      </c>
      <c r="J383" s="58" t="inlineStr">
        <is>
          <t>100ml</t>
        </is>
      </c>
      <c r="K383" s="58" t="n">
        <v>84.98999999999999</v>
      </c>
      <c r="L383" s="58" t="inlineStr">
        <is>
          <t>gucci bloom gift set</t>
        </is>
      </c>
      <c r="M383" s="58" t="inlineStr">
        <is>
          <t>gucci bloom gift set uk</t>
        </is>
      </c>
      <c r="N383" s="58" t="inlineStr">
        <is>
          <t>buy gucci bloom gift set online</t>
        </is>
      </c>
      <c r="O383" s="58" t="inlineStr">
        <is>
          <t>gucci bloom gift set price</t>
        </is>
      </c>
      <c r="P383" s="58" t="n"/>
      <c r="Q383" s="59">
        <f>IF(L383="","",IFERROR(INDEX('Semrush Data'!$A$1:$Z$20000,MATCH(L383,'Semrush Data'!$A$1:$A$20000,0),MATCH("Volume",'Semrush Data'!$A$1:$Z$1,0)),""))</f>
        <v/>
      </c>
      <c r="R383" s="59">
        <f>IF(M383="","",IFERROR(INDEX('Semrush Data'!$A$1:$Z$20000,MATCH(M383,'Semrush Data'!$A$1:$A$20000,0),MATCH("Volume",'Semrush Data'!$A$1:$Z$1,0)),""))</f>
        <v/>
      </c>
      <c r="S383" s="59">
        <f>IF(N383="","",IFERROR(INDEX('Semrush Data'!$A$1:$Z$20000,MATCH(N383,'Semrush Data'!$A$1:$A$20000,0),MATCH("Volume",'Semrush Data'!$A$1:$Z$1,0)),""))</f>
        <v/>
      </c>
      <c r="T383" s="59">
        <f>IF(O383="","",IFERROR(INDEX('Semrush Data'!$A$1:$Z$20000,MATCH(O383,'Semrush Data'!$A$1:$A$20000,0),MATCH("Volume",'Semrush Data'!$A$1:$Z$1,0)),""))</f>
        <v/>
      </c>
      <c r="U383" s="59">
        <f>IF(P383="","",IFERROR(INDEX('Semrush Data'!$A$1:$Z$20000,MATCH(P383,'Semrush Data'!$A$1:$A$20000,0),MATCH("Volume",'Semrush Data'!$A$1:$Z$1,0)),""))</f>
        <v/>
      </c>
      <c r="V383" s="60">
        <f>IF(COUNT(Q383:U383)=0,L383,IF(MAX(Q383:U383)=0,L383,INDEX(L383:P383,MATCH(MAX(Q383:U383),Q383:U383,0))))</f>
        <v/>
      </c>
      <c r="W383" s="59">
        <f>IFERROR(INDEX('Semrush Data'!$A$1:$Z$20000,MATCH(V383,'Semrush Data'!$A$1:$A$20000,0),MATCH("Volume",'Semrush Data'!$A$1:$Z$1,0)),"")</f>
        <v/>
      </c>
      <c r="X383" s="59">
        <f>IFERROR(INDEX('Semrush Data'!$A$1:$Z$20000,MATCH(V383,'Semrush Data'!$A$1:$A$20000,0),MATCH("Keyword Difficulty*",'Semrush Data'!$A$1:$Z$1,0)),"")</f>
        <v/>
      </c>
      <c r="Y383" s="61">
        <f>IFERROR(INDEX('Semrush Data'!$A$1:$Z$20000,MATCH(V383,'Semrush Data'!$A$1:$A$20000,0),MATCH("CPC*",'Semrush Data'!$A$1:$Z$1,0)),"")</f>
        <v/>
      </c>
      <c r="Z383" s="58" t="inlineStr">
        <is>
          <t>gucci perfume · gucci perfume for women · woody perfume for women uk</t>
        </is>
      </c>
      <c r="AA383" s="58" t="inlineStr">
        <is>
          <t>gucci bloom gift set 100ml · gucci bloom gift set 50ml · gucci bloom gift set sale · gucci bloom gift set price · gucci bloom gift set boots</t>
        </is>
      </c>
      <c r="AB383" s="58" t="inlineStr">
        <is>
          <t>Gucci Bloom Eau de Parfum Gift Set</t>
        </is>
      </c>
      <c r="AC383" s="58" t="inlineStr">
        <is>
          <t>Gucci Bloom Gift Set EDP 100ml | Buy Online UK | Swansura</t>
        </is>
      </c>
      <c r="AD383" s="58">
        <f>LEN(AC383)</f>
        <v/>
      </c>
      <c r="AE383" s="58" t="inlineStr">
        <is>
          <t>Buy Gucci Bloom Eau de Parfum Gift Set online in the UK at Swansura. A woody women's eau de parfum, 100ml. 100% authentic, fast UK delivery, free over £50.</t>
        </is>
      </c>
      <c r="AF383" s="58">
        <f>LEN(AE383)</f>
        <v/>
      </c>
    </row>
    <row r="384" ht="15" customHeight="1" s="37">
      <c r="A384" s="58" t="inlineStr">
        <is>
          <t>FR-224</t>
        </is>
      </c>
      <c r="B384" s="58" t="inlineStr">
        <is>
          <t>Fragrance Catalogue</t>
        </is>
      </c>
      <c r="C384" s="58" t="n">
        <v>224</v>
      </c>
      <c r="D384" s="58" t="inlineStr">
        <is>
          <t>Gucci</t>
        </is>
      </c>
      <c r="E384" s="58" t="n"/>
      <c r="F384" s="58" t="inlineStr">
        <is>
          <t>Gift Set</t>
        </is>
      </c>
      <c r="G384" s="58" t="inlineStr">
        <is>
          <t>Fragrance Gift Set</t>
        </is>
      </c>
      <c r="H384" s="58" t="inlineStr">
        <is>
          <t>Amber · Unisex Fragrance</t>
        </is>
      </c>
      <c r="I384" s="58" t="inlineStr">
        <is>
          <t>Gucci Flora Gorgeous Miniature Perfume Set 3x5ml – Gardenia, Magnolia &amp; Orchid</t>
        </is>
      </c>
      <c r="J384" s="58" t="inlineStr">
        <is>
          <t>3x5ml</t>
        </is>
      </c>
      <c r="K384" s="58" t="n">
        <v>44.99</v>
      </c>
      <c r="L384" s="58" t="inlineStr">
        <is>
          <t>gucci flora gorgeous miniature set</t>
        </is>
      </c>
      <c r="M384" s="58" t="inlineStr">
        <is>
          <t>gucci flora gorgeous miniature set uk</t>
        </is>
      </c>
      <c r="N384" s="58" t="inlineStr">
        <is>
          <t>buy gucci flora gorgeous miniature set online</t>
        </is>
      </c>
      <c r="O384" s="58" t="inlineStr">
        <is>
          <t>gucci flora gorgeous miniature set price</t>
        </is>
      </c>
      <c r="P384" s="58" t="n"/>
      <c r="Q384" s="59">
        <f>IF(L384="","",IFERROR(INDEX('Semrush Data'!$A$1:$Z$20000,MATCH(L384,'Semrush Data'!$A$1:$A$20000,0),MATCH("Volume",'Semrush Data'!$A$1:$Z$1,0)),""))</f>
        <v/>
      </c>
      <c r="R384" s="59">
        <f>IF(M384="","",IFERROR(INDEX('Semrush Data'!$A$1:$Z$20000,MATCH(M384,'Semrush Data'!$A$1:$A$20000,0),MATCH("Volume",'Semrush Data'!$A$1:$Z$1,0)),""))</f>
        <v/>
      </c>
      <c r="S384" s="59">
        <f>IF(N384="","",IFERROR(INDEX('Semrush Data'!$A$1:$Z$20000,MATCH(N384,'Semrush Data'!$A$1:$A$20000,0),MATCH("Volume",'Semrush Data'!$A$1:$Z$1,0)),""))</f>
        <v/>
      </c>
      <c r="T384" s="59">
        <f>IF(O384="","",IFERROR(INDEX('Semrush Data'!$A$1:$Z$20000,MATCH(O384,'Semrush Data'!$A$1:$A$20000,0),MATCH("Volume",'Semrush Data'!$A$1:$Z$1,0)),""))</f>
        <v/>
      </c>
      <c r="U384" s="59">
        <f>IF(P384="","",IFERROR(INDEX('Semrush Data'!$A$1:$Z$20000,MATCH(P384,'Semrush Data'!$A$1:$A$20000,0),MATCH("Volume",'Semrush Data'!$A$1:$Z$1,0)),""))</f>
        <v/>
      </c>
      <c r="V384" s="60">
        <f>IF(COUNT(Q384:U384)=0,L384,IF(MAX(Q384:U384)=0,L384,INDEX(L384:P384,MATCH(MAX(Q384:U384),Q384:U384,0))))</f>
        <v/>
      </c>
      <c r="W384" s="59">
        <f>IFERROR(INDEX('Semrush Data'!$A$1:$Z$20000,MATCH(V384,'Semrush Data'!$A$1:$A$20000,0),MATCH("Volume",'Semrush Data'!$A$1:$Z$1,0)),"")</f>
        <v/>
      </c>
      <c r="X384" s="59">
        <f>IFERROR(INDEX('Semrush Data'!$A$1:$Z$20000,MATCH(V384,'Semrush Data'!$A$1:$A$20000,0),MATCH("Keyword Difficulty*",'Semrush Data'!$A$1:$Z$1,0)),"")</f>
        <v/>
      </c>
      <c r="Y384" s="61">
        <f>IFERROR(INDEX('Semrush Data'!$A$1:$Z$20000,MATCH(V384,'Semrush Data'!$A$1:$A$20000,0),MATCH("CPC*",'Semrush Data'!$A$1:$Z$1,0)),"")</f>
        <v/>
      </c>
      <c r="Z384" s="58" t="inlineStr">
        <is>
          <t>gucci perfume · amber perfume uk</t>
        </is>
      </c>
      <c r="AA384" s="58" t="inlineStr">
        <is>
          <t>gucci flora gorgeous mini set · gucci flora gorgeous miniature gift set</t>
        </is>
      </c>
      <c r="AB384" s="58" t="inlineStr">
        <is>
          <t>Gucci Flora Gorgeous Miniature Perfume Set 3x5ml</t>
        </is>
      </c>
      <c r="AC384" s="58" t="inlineStr">
        <is>
          <t>Gucci Flora Gorgeous Miniature Perfume Set | Swansura UK</t>
        </is>
      </c>
      <c r="AD384" s="58">
        <f>LEN(AC384)</f>
        <v/>
      </c>
      <c r="AE384" s="58" t="inlineStr">
        <is>
          <t>Buy Gucci Flora Gorgeous Miniature Perfume Set 3x5ml online in the UK at Swansura. An amber unisex fragrance, 3x5ml. 100% authentic, free UK delivery over £50.</t>
        </is>
      </c>
      <c r="AF384" s="58">
        <f>LEN(AE384)</f>
        <v/>
      </c>
    </row>
    <row r="385" ht="15" customHeight="1" s="37">
      <c r="A385" s="58" t="inlineStr">
        <is>
          <t>FR-225</t>
        </is>
      </c>
      <c r="B385" s="58" t="inlineStr">
        <is>
          <t>Fragrance Catalogue</t>
        </is>
      </c>
      <c r="C385" s="58" t="n">
        <v>225</v>
      </c>
      <c r="D385" s="58" t="inlineStr">
        <is>
          <t>Gucci</t>
        </is>
      </c>
      <c r="E385" s="58" t="n"/>
      <c r="F385" s="58" t="inlineStr">
        <is>
          <t>Gift Set</t>
        </is>
      </c>
      <c r="G385" s="58" t="inlineStr">
        <is>
          <t>Eau de Parfum (EDP)</t>
        </is>
      </c>
      <c r="H385" s="58" t="inlineStr">
        <is>
          <t>Woody · Women's Fragrance</t>
        </is>
      </c>
      <c r="I385" s="58" t="inlineStr">
        <is>
          <t>Gucci Guilty Pour Femme Eau de Parfum Gift Set 50ml + Body Lotion 50ml – Women's Fragrance Set</t>
        </is>
      </c>
      <c r="J385" s="58" t="inlineStr">
        <is>
          <t>50ml</t>
        </is>
      </c>
      <c r="K385" s="58" t="n">
        <v>47.99</v>
      </c>
      <c r="L385" s="58" t="inlineStr">
        <is>
          <t>gucci guilty pour femme gift set</t>
        </is>
      </c>
      <c r="M385" s="58" t="inlineStr">
        <is>
          <t>gucci guilty pour femme gift set uk</t>
        </is>
      </c>
      <c r="N385" s="58" t="inlineStr">
        <is>
          <t>buy gucci guilty pour femme gift set online</t>
        </is>
      </c>
      <c r="O385" s="58" t="inlineStr">
        <is>
          <t>gucci guilty pour femme gift set price</t>
        </is>
      </c>
      <c r="P385" s="58" t="n"/>
      <c r="Q385" s="59">
        <f>IF(L385="","",IFERROR(INDEX('Semrush Data'!$A$1:$Z$20000,MATCH(L385,'Semrush Data'!$A$1:$A$20000,0),MATCH("Volume",'Semrush Data'!$A$1:$Z$1,0)),""))</f>
        <v/>
      </c>
      <c r="R385" s="59">
        <f>IF(M385="","",IFERROR(INDEX('Semrush Data'!$A$1:$Z$20000,MATCH(M385,'Semrush Data'!$A$1:$A$20000,0),MATCH("Volume",'Semrush Data'!$A$1:$Z$1,0)),""))</f>
        <v/>
      </c>
      <c r="S385" s="59">
        <f>IF(N385="","",IFERROR(INDEX('Semrush Data'!$A$1:$Z$20000,MATCH(N385,'Semrush Data'!$A$1:$A$20000,0),MATCH("Volume",'Semrush Data'!$A$1:$Z$1,0)),""))</f>
        <v/>
      </c>
      <c r="T385" s="59">
        <f>IF(O385="","",IFERROR(INDEX('Semrush Data'!$A$1:$Z$20000,MATCH(O385,'Semrush Data'!$A$1:$A$20000,0),MATCH("Volume",'Semrush Data'!$A$1:$Z$1,0)),""))</f>
        <v/>
      </c>
      <c r="U385" s="59">
        <f>IF(P385="","",IFERROR(INDEX('Semrush Data'!$A$1:$Z$20000,MATCH(P385,'Semrush Data'!$A$1:$A$20000,0),MATCH("Volume",'Semrush Data'!$A$1:$Z$1,0)),""))</f>
        <v/>
      </c>
      <c r="V385" s="60">
        <f>IF(COUNT(Q385:U385)=0,L385,IF(MAX(Q385:U385)=0,L385,INDEX(L385:P385,MATCH(MAX(Q385:U385),Q385:U385,0))))</f>
        <v/>
      </c>
      <c r="W385" s="59">
        <f>IFERROR(INDEX('Semrush Data'!$A$1:$Z$20000,MATCH(V385,'Semrush Data'!$A$1:$A$20000,0),MATCH("Volume",'Semrush Data'!$A$1:$Z$1,0)),"")</f>
        <v/>
      </c>
      <c r="X385" s="59">
        <f>IFERROR(INDEX('Semrush Data'!$A$1:$Z$20000,MATCH(V385,'Semrush Data'!$A$1:$A$20000,0),MATCH("Keyword Difficulty*",'Semrush Data'!$A$1:$Z$1,0)),"")</f>
        <v/>
      </c>
      <c r="Y385" s="61">
        <f>IFERROR(INDEX('Semrush Data'!$A$1:$Z$20000,MATCH(V385,'Semrush Data'!$A$1:$A$20000,0),MATCH("CPC*",'Semrush Data'!$A$1:$Z$1,0)),"")</f>
        <v/>
      </c>
      <c r="Z385" s="58" t="inlineStr">
        <is>
          <t>gucci perfume · gucci perfume for women · woody perfume for women uk</t>
        </is>
      </c>
      <c r="AA385" s="58" t="inlineStr">
        <is>
          <t>gucci guilty pour femme set · gucci guilty pour femme eau de parfum gift set</t>
        </is>
      </c>
      <c r="AB385" s="58" t="inlineStr">
        <is>
          <t>Gucci Guilty Pour Femme Eau de Parfum Gift Set</t>
        </is>
      </c>
      <c r="AC385" s="58" t="inlineStr">
        <is>
          <t>Gucci Guilty Pour Femme Eau de Parfum Gift Set | Swansura UK</t>
        </is>
      </c>
      <c r="AD385" s="58">
        <f>LEN(AC385)</f>
        <v/>
      </c>
      <c r="AE385" s="58" t="inlineStr">
        <is>
          <t>Buy Gucci Guilty Pour Femme Eau de Parfum Gift Set online in the UK at Swansura. A woody women's eau de parfum, 50ml. 100% authentic, free UK delivery over £50.</t>
        </is>
      </c>
      <c r="AF385" s="58">
        <f>LEN(AE385)</f>
        <v/>
      </c>
    </row>
    <row r="386" ht="15" customHeight="1" s="37">
      <c r="A386" s="58" t="inlineStr">
        <is>
          <t>FR-226</t>
        </is>
      </c>
      <c r="B386" s="58" t="inlineStr">
        <is>
          <t>Fragrance Catalogue</t>
        </is>
      </c>
      <c r="C386" s="58" t="n">
        <v>226</v>
      </c>
      <c r="D386" s="58" t="inlineStr">
        <is>
          <t>Gucci</t>
        </is>
      </c>
      <c r="E386" s="58" t="n"/>
      <c r="F386" s="58" t="inlineStr">
        <is>
          <t>Gift Set</t>
        </is>
      </c>
      <c r="G386" s="58" t="inlineStr">
        <is>
          <t>Eau de Parfum (EDP)</t>
        </is>
      </c>
      <c r="H386" s="58" t="inlineStr">
        <is>
          <t>Woody · Women's Fragrance</t>
        </is>
      </c>
      <c r="I386" s="58" t="inlineStr">
        <is>
          <t>Gucci Women's Miniature Perfume Set 4x5ml – Bloom EDP &amp; Flora Gorgeous Gardenia EDP</t>
        </is>
      </c>
      <c r="J386" s="58" t="inlineStr">
        <is>
          <t>Not specified</t>
        </is>
      </c>
      <c r="K386" s="58" t="n">
        <v>39.99</v>
      </c>
      <c r="L386" s="58" t="inlineStr">
        <is>
          <t>gucci miniature set</t>
        </is>
      </c>
      <c r="M386" s="58" t="inlineStr">
        <is>
          <t>gucci miniature set uk</t>
        </is>
      </c>
      <c r="N386" s="58" t="inlineStr">
        <is>
          <t>buy gucci miniature set online</t>
        </is>
      </c>
      <c r="O386" s="58" t="inlineStr">
        <is>
          <t>gucci miniature set price</t>
        </is>
      </c>
      <c r="P386" s="58" t="n"/>
      <c r="Q386" s="59">
        <f>IF(L386="","",IFERROR(INDEX('Semrush Data'!$A$1:$Z$20000,MATCH(L386,'Semrush Data'!$A$1:$A$20000,0),MATCH("Volume",'Semrush Data'!$A$1:$Z$1,0)),""))</f>
        <v/>
      </c>
      <c r="R386" s="59">
        <f>IF(M386="","",IFERROR(INDEX('Semrush Data'!$A$1:$Z$20000,MATCH(M386,'Semrush Data'!$A$1:$A$20000,0),MATCH("Volume",'Semrush Data'!$A$1:$Z$1,0)),""))</f>
        <v/>
      </c>
      <c r="S386" s="59">
        <f>IF(N386="","",IFERROR(INDEX('Semrush Data'!$A$1:$Z$20000,MATCH(N386,'Semrush Data'!$A$1:$A$20000,0),MATCH("Volume",'Semrush Data'!$A$1:$Z$1,0)),""))</f>
        <v/>
      </c>
      <c r="T386" s="59">
        <f>IF(O386="","",IFERROR(INDEX('Semrush Data'!$A$1:$Z$20000,MATCH(O386,'Semrush Data'!$A$1:$A$20000,0),MATCH("Volume",'Semrush Data'!$A$1:$Z$1,0)),""))</f>
        <v/>
      </c>
      <c r="U386" s="59">
        <f>IF(P386="","",IFERROR(INDEX('Semrush Data'!$A$1:$Z$20000,MATCH(P386,'Semrush Data'!$A$1:$A$20000,0),MATCH("Volume",'Semrush Data'!$A$1:$Z$1,0)),""))</f>
        <v/>
      </c>
      <c r="V386" s="60">
        <f>IF(COUNT(Q386:U386)=0,L386,IF(MAX(Q386:U386)=0,L386,INDEX(L386:P386,MATCH(MAX(Q386:U386),Q386:U386,0))))</f>
        <v/>
      </c>
      <c r="W386" s="59">
        <f>IFERROR(INDEX('Semrush Data'!$A$1:$Z$20000,MATCH(V386,'Semrush Data'!$A$1:$A$20000,0),MATCH("Volume",'Semrush Data'!$A$1:$Z$1,0)),"")</f>
        <v/>
      </c>
      <c r="X386" s="59">
        <f>IFERROR(INDEX('Semrush Data'!$A$1:$Z$20000,MATCH(V386,'Semrush Data'!$A$1:$A$20000,0),MATCH("Keyword Difficulty*",'Semrush Data'!$A$1:$Z$1,0)),"")</f>
        <v/>
      </c>
      <c r="Y386" s="61">
        <f>IFERROR(INDEX('Semrush Data'!$A$1:$Z$20000,MATCH(V386,'Semrush Data'!$A$1:$A$20000,0),MATCH("CPC*",'Semrush Data'!$A$1:$Z$1,0)),"")</f>
        <v/>
      </c>
      <c r="Z386" s="58" t="inlineStr">
        <is>
          <t>gucci perfume · gucci perfume for women · woody perfume for women uk</t>
        </is>
      </c>
      <c r="AA386" s="58" t="inlineStr">
        <is>
          <t>gucci mini set · gucci mini set perfume · gucci mini set of 4 · gucci mini set men</t>
        </is>
      </c>
      <c r="AB386" s="58" t="inlineStr">
        <is>
          <t>Gucci Women's Miniature Perfume Set 4x5ml</t>
        </is>
      </c>
      <c r="AC386" s="58" t="inlineStr">
        <is>
          <t>Gucci Women's Miniature Perfume Set 4x5ml | Swansura UK</t>
        </is>
      </c>
      <c r="AD386" s="58">
        <f>LEN(AC386)</f>
        <v/>
      </c>
      <c r="AE386" s="58" t="inlineStr">
        <is>
          <t>Buy Gucci Women's Miniature Perfume Set 4x5ml online in the UK at Swansura. A woody women's eau de parfum. 100% authentic, fast UK delivery, free over £50.</t>
        </is>
      </c>
      <c r="AF386" s="58">
        <f>LEN(AE386)</f>
        <v/>
      </c>
    </row>
    <row r="387" ht="15" customHeight="1" s="37">
      <c r="A387" s="58" t="inlineStr">
        <is>
          <t>FR-227</t>
        </is>
      </c>
      <c r="B387" s="58" t="inlineStr">
        <is>
          <t>Fragrance Catalogue</t>
        </is>
      </c>
      <c r="C387" s="58" t="n">
        <v>227</v>
      </c>
      <c r="D387" s="58" t="inlineStr">
        <is>
          <t>Gucci</t>
        </is>
      </c>
      <c r="E387" s="58" t="n"/>
      <c r="F387" s="58" t="inlineStr">
        <is>
          <t>Gift Set</t>
        </is>
      </c>
      <c r="G387" s="58" t="inlineStr">
        <is>
          <t>Eau de Toilette (EDT)</t>
        </is>
      </c>
      <c r="H387" s="58" t="inlineStr">
        <is>
          <t>Woody · Women's Fragrance</t>
        </is>
      </c>
      <c r="I387" s="58" t="inlineStr">
        <is>
          <t>Gucci Women's Perfume Set 4x5ml – Guilty EDT, Flora Gorgeous Orchid, Flora Gorgeous Gardenia &amp; Bloom</t>
        </is>
      </c>
      <c r="J387" s="58" t="inlineStr">
        <is>
          <t>4x5ml</t>
        </is>
      </c>
      <c r="K387" s="58" t="n">
        <v>37.99</v>
      </c>
      <c r="L387" s="58" t="inlineStr">
        <is>
          <t>gucci set</t>
        </is>
      </c>
      <c r="M387" s="58" t="inlineStr">
        <is>
          <t>gucci set uk</t>
        </is>
      </c>
      <c r="N387" s="58" t="inlineStr">
        <is>
          <t>buy gucci set online</t>
        </is>
      </c>
      <c r="O387" s="58" t="inlineStr">
        <is>
          <t>gucci set price</t>
        </is>
      </c>
      <c r="P387" s="58" t="n"/>
      <c r="Q387" s="59">
        <f>IF(L387="","",IFERROR(INDEX('Semrush Data'!$A$1:$Z$20000,MATCH(L387,'Semrush Data'!$A$1:$A$20000,0),MATCH("Volume",'Semrush Data'!$A$1:$Z$1,0)),""))</f>
        <v/>
      </c>
      <c r="R387" s="59">
        <f>IF(M387="","",IFERROR(INDEX('Semrush Data'!$A$1:$Z$20000,MATCH(M387,'Semrush Data'!$A$1:$A$20000,0),MATCH("Volume",'Semrush Data'!$A$1:$Z$1,0)),""))</f>
        <v/>
      </c>
      <c r="S387" s="59">
        <f>IF(N387="","",IFERROR(INDEX('Semrush Data'!$A$1:$Z$20000,MATCH(N387,'Semrush Data'!$A$1:$A$20000,0),MATCH("Volume",'Semrush Data'!$A$1:$Z$1,0)),""))</f>
        <v/>
      </c>
      <c r="T387" s="59">
        <f>IF(O387="","",IFERROR(INDEX('Semrush Data'!$A$1:$Z$20000,MATCH(O387,'Semrush Data'!$A$1:$A$20000,0),MATCH("Volume",'Semrush Data'!$A$1:$Z$1,0)),""))</f>
        <v/>
      </c>
      <c r="U387" s="59">
        <f>IF(P387="","",IFERROR(INDEX('Semrush Data'!$A$1:$Z$20000,MATCH(P387,'Semrush Data'!$A$1:$A$20000,0),MATCH("Volume",'Semrush Data'!$A$1:$Z$1,0)),""))</f>
        <v/>
      </c>
      <c r="V387" s="60">
        <f>IF(COUNT(Q387:U387)=0,L387,IF(MAX(Q387:U387)=0,L387,INDEX(L387:P387,MATCH(MAX(Q387:U387),Q387:U387,0))))</f>
        <v/>
      </c>
      <c r="W387" s="59">
        <f>IFERROR(INDEX('Semrush Data'!$A$1:$Z$20000,MATCH(V387,'Semrush Data'!$A$1:$A$20000,0),MATCH("Volume",'Semrush Data'!$A$1:$Z$1,0)),"")</f>
        <v/>
      </c>
      <c r="X387" s="59">
        <f>IFERROR(INDEX('Semrush Data'!$A$1:$Z$20000,MATCH(V387,'Semrush Data'!$A$1:$A$20000,0),MATCH("Keyword Difficulty*",'Semrush Data'!$A$1:$Z$1,0)),"")</f>
        <v/>
      </c>
      <c r="Y387" s="61">
        <f>IFERROR(INDEX('Semrush Data'!$A$1:$Z$20000,MATCH(V387,'Semrush Data'!$A$1:$A$20000,0),MATCH("CPC*",'Semrush Data'!$A$1:$Z$1,0)),"")</f>
        <v/>
      </c>
      <c r="Z387" s="58" t="inlineStr">
        <is>
          <t>gucci perfume · gucci perfume for women · woody perfume for women uk</t>
        </is>
      </c>
      <c r="AA387" s="58" t="inlineStr">
        <is>
          <t>gucci set women · gucci set perfume · gucci set perfume for women</t>
        </is>
      </c>
      <c r="AB387" s="58" t="inlineStr">
        <is>
          <t>Gucci Women's Perfume Set 4x5ml</t>
        </is>
      </c>
      <c r="AC387" s="58" t="inlineStr">
        <is>
          <t>Gucci Women's Perfume Set 4x5ml | Buy Online UK | Swansura</t>
        </is>
      </c>
      <c r="AD387" s="58">
        <f>LEN(AC387)</f>
        <v/>
      </c>
      <c r="AE387" s="58" t="inlineStr">
        <is>
          <t>Buy Gucci Women's Perfume Set 4x5ml online in the UK at Swansura. A woody women's eau de toilette, 4x5ml. 100% authentic, fast UK delivery, free over £50.</t>
        </is>
      </c>
      <c r="AF387" s="58">
        <f>LEN(AE387)</f>
        <v/>
      </c>
    </row>
    <row r="388" ht="15" customHeight="1" s="37">
      <c r="A388" s="58" t="inlineStr">
        <is>
          <t>FR-228</t>
        </is>
      </c>
      <c r="B388" s="58" t="inlineStr">
        <is>
          <t>Fragrance Catalogue</t>
        </is>
      </c>
      <c r="C388" s="58" t="n">
        <v>228</v>
      </c>
      <c r="D388" s="58" t="inlineStr">
        <is>
          <t>Gucci</t>
        </is>
      </c>
      <c r="E388" s="58" t="n"/>
      <c r="F388" s="58" t="inlineStr">
        <is>
          <t>Fragrance</t>
        </is>
      </c>
      <c r="G388" s="58" t="inlineStr">
        <is>
          <t>Parfum</t>
        </is>
      </c>
      <c r="H388" s="58" t="inlineStr">
        <is>
          <t>Floral · Women's Fragrance</t>
        </is>
      </c>
      <c r="I388" s="58" t="inlineStr">
        <is>
          <t>Gucci Bloom Parfum 10ml Miniature Spray – Luxury Women's Floral Fragrance</t>
        </is>
      </c>
      <c r="J388" s="58" t="inlineStr">
        <is>
          <t>10ml</t>
        </is>
      </c>
      <c r="K388" s="58" t="n">
        <v>19.99</v>
      </c>
      <c r="L388" s="58" t="inlineStr">
        <is>
          <t>gucci bloom parfum miniature</t>
        </is>
      </c>
      <c r="M388" s="58" t="inlineStr">
        <is>
          <t>gucci bloom parfum miniature uk</t>
        </is>
      </c>
      <c r="N388" s="58" t="inlineStr">
        <is>
          <t>buy gucci bloom parfum miniature online</t>
        </is>
      </c>
      <c r="O388" s="58" t="inlineStr">
        <is>
          <t>gucci bloom parfum miniature price</t>
        </is>
      </c>
      <c r="P388" s="58" t="inlineStr">
        <is>
          <t>gucci bloom parfum miniature parfum</t>
        </is>
      </c>
      <c r="Q388" s="59">
        <f>IF(L388="","",IFERROR(INDEX('Semrush Data'!$A$1:$Z$20000,MATCH(L388,'Semrush Data'!$A$1:$A$20000,0),MATCH("Volume",'Semrush Data'!$A$1:$Z$1,0)),""))</f>
        <v/>
      </c>
      <c r="R388" s="59">
        <f>IF(M388="","",IFERROR(INDEX('Semrush Data'!$A$1:$Z$20000,MATCH(M388,'Semrush Data'!$A$1:$A$20000,0),MATCH("Volume",'Semrush Data'!$A$1:$Z$1,0)),""))</f>
        <v/>
      </c>
      <c r="S388" s="59">
        <f>IF(N388="","",IFERROR(INDEX('Semrush Data'!$A$1:$Z$20000,MATCH(N388,'Semrush Data'!$A$1:$A$20000,0),MATCH("Volume",'Semrush Data'!$A$1:$Z$1,0)),""))</f>
        <v/>
      </c>
      <c r="T388" s="59">
        <f>IF(O388="","",IFERROR(INDEX('Semrush Data'!$A$1:$Z$20000,MATCH(O388,'Semrush Data'!$A$1:$A$20000,0),MATCH("Volume",'Semrush Data'!$A$1:$Z$1,0)),""))</f>
        <v/>
      </c>
      <c r="U388" s="59">
        <f>IF(P388="","",IFERROR(INDEX('Semrush Data'!$A$1:$Z$20000,MATCH(P388,'Semrush Data'!$A$1:$A$20000,0),MATCH("Volume",'Semrush Data'!$A$1:$Z$1,0)),""))</f>
        <v/>
      </c>
      <c r="V388" s="60">
        <f>IF(COUNT(Q388:U388)=0,L388,IF(MAX(Q388:U388)=0,L388,INDEX(L388:P388,MATCH(MAX(Q388:U388),Q388:U388,0))))</f>
        <v/>
      </c>
      <c r="W388" s="59">
        <f>IFERROR(INDEX('Semrush Data'!$A$1:$Z$20000,MATCH(V388,'Semrush Data'!$A$1:$A$20000,0),MATCH("Volume",'Semrush Data'!$A$1:$Z$1,0)),"")</f>
        <v/>
      </c>
      <c r="X388" s="59">
        <f>IFERROR(INDEX('Semrush Data'!$A$1:$Z$20000,MATCH(V388,'Semrush Data'!$A$1:$A$20000,0),MATCH("Keyword Difficulty*",'Semrush Data'!$A$1:$Z$1,0)),"")</f>
        <v/>
      </c>
      <c r="Y388" s="61">
        <f>IFERROR(INDEX('Semrush Data'!$A$1:$Z$20000,MATCH(V388,'Semrush Data'!$A$1:$A$20000,0),MATCH("CPC*",'Semrush Data'!$A$1:$Z$1,0)),"")</f>
        <v/>
      </c>
      <c r="Z388" s="58" t="inlineStr">
        <is>
          <t>gucci perfume · gucci perfume for women · floral perfume for women uk</t>
        </is>
      </c>
      <c r="AA388" s="58" t="inlineStr">
        <is>
          <t>gucci bloom perfume miniature · gucci bloom perfume mini · gucci bloom perfume mini set · gucci bloom eau de parfum miniature · gucci bloom mini perfume price · miniature parfum gucci bloom</t>
        </is>
      </c>
      <c r="AB388" s="58" t="inlineStr">
        <is>
          <t>Gucci Bloom Parfum Miniature Spray</t>
        </is>
      </c>
      <c r="AC388" s="58" t="inlineStr">
        <is>
          <t>Gucci Bloom Miniature Spray Parfum 10ml | Swansura UK</t>
        </is>
      </c>
      <c r="AD388" s="58">
        <f>LEN(AC388)</f>
        <v/>
      </c>
      <c r="AE388" s="58" t="inlineStr">
        <is>
          <t>Buy Gucci Bloom Parfum Miniature Spray online in the UK at Swansura. A floral women's parfum, 10ml. 100% authentic, fast UK delivery, free over £50.</t>
        </is>
      </c>
      <c r="AF388" s="58">
        <f>LEN(AE388)</f>
        <v/>
      </c>
    </row>
    <row r="389" ht="15" customHeight="1" s="37">
      <c r="A389" s="58" t="inlineStr">
        <is>
          <t>FR-229</t>
        </is>
      </c>
      <c r="B389" s="58" t="inlineStr">
        <is>
          <t>Fragrance Catalogue</t>
        </is>
      </c>
      <c r="C389" s="58" t="n">
        <v>229</v>
      </c>
      <c r="D389" s="58" t="inlineStr">
        <is>
          <t>Guerlain</t>
        </is>
      </c>
      <c r="E389" s="58" t="n"/>
      <c r="F389" s="58" t="inlineStr">
        <is>
          <t>Fragrance</t>
        </is>
      </c>
      <c r="G389" s="58" t="inlineStr">
        <is>
          <t>Eau de Parfum (EDP)</t>
        </is>
      </c>
      <c r="H389" s="58" t="inlineStr">
        <is>
          <t>Woody · Men's Fragrance</t>
        </is>
      </c>
      <c r="I389" s="58" t="inlineStr">
        <is>
          <t>Guerlain Habit Rouge Eau de Parfum 100ml – Luxury Men's Amber Woody Fragrance</t>
        </is>
      </c>
      <c r="J389" s="58" t="inlineStr">
        <is>
          <t>100ml</t>
        </is>
      </c>
      <c r="K389" s="58" t="n">
        <v>64.98999999999999</v>
      </c>
      <c r="L389" s="58" t="inlineStr">
        <is>
          <t>guerlain habit rouge</t>
        </is>
      </c>
      <c r="M389" s="58" t="inlineStr">
        <is>
          <t>guerlain habit rouge uk</t>
        </is>
      </c>
      <c r="N389" s="58" t="inlineStr">
        <is>
          <t>buy guerlain habit rouge online</t>
        </is>
      </c>
      <c r="O389" s="58" t="inlineStr">
        <is>
          <t>guerlain habit rouge price</t>
        </is>
      </c>
      <c r="P389" s="58" t="inlineStr">
        <is>
          <t>guerlain habit rouge eau de parfum</t>
        </is>
      </c>
      <c r="Q389" s="59">
        <f>IF(L389="","",IFERROR(INDEX('Semrush Data'!$A$1:$Z$20000,MATCH(L389,'Semrush Data'!$A$1:$A$20000,0),MATCH("Volume",'Semrush Data'!$A$1:$Z$1,0)),""))</f>
        <v/>
      </c>
      <c r="R389" s="59">
        <f>IF(M389="","",IFERROR(INDEX('Semrush Data'!$A$1:$Z$20000,MATCH(M389,'Semrush Data'!$A$1:$A$20000,0),MATCH("Volume",'Semrush Data'!$A$1:$Z$1,0)),""))</f>
        <v/>
      </c>
      <c r="S389" s="59">
        <f>IF(N389="","",IFERROR(INDEX('Semrush Data'!$A$1:$Z$20000,MATCH(N389,'Semrush Data'!$A$1:$A$20000,0),MATCH("Volume",'Semrush Data'!$A$1:$Z$1,0)),""))</f>
        <v/>
      </c>
      <c r="T389" s="59">
        <f>IF(O389="","",IFERROR(INDEX('Semrush Data'!$A$1:$Z$20000,MATCH(O389,'Semrush Data'!$A$1:$A$20000,0),MATCH("Volume",'Semrush Data'!$A$1:$Z$1,0)),""))</f>
        <v/>
      </c>
      <c r="U389" s="59">
        <f>IF(P389="","",IFERROR(INDEX('Semrush Data'!$A$1:$Z$20000,MATCH(P389,'Semrush Data'!$A$1:$A$20000,0),MATCH("Volume",'Semrush Data'!$A$1:$Z$1,0)),""))</f>
        <v/>
      </c>
      <c r="V389" s="60">
        <f>IF(COUNT(Q389:U389)=0,L389,IF(MAX(Q389:U389)=0,L389,INDEX(L389:P389,MATCH(MAX(Q389:U389),Q389:U389,0))))</f>
        <v/>
      </c>
      <c r="W389" s="59">
        <f>IFERROR(INDEX('Semrush Data'!$A$1:$Z$20000,MATCH(V389,'Semrush Data'!$A$1:$A$20000,0),MATCH("Volume",'Semrush Data'!$A$1:$Z$1,0)),"")</f>
        <v/>
      </c>
      <c r="X389" s="59">
        <f>IFERROR(INDEX('Semrush Data'!$A$1:$Z$20000,MATCH(V389,'Semrush Data'!$A$1:$A$20000,0),MATCH("Keyword Difficulty*",'Semrush Data'!$A$1:$Z$1,0)),"")</f>
        <v/>
      </c>
      <c r="Y389" s="61">
        <f>IFERROR(INDEX('Semrush Data'!$A$1:$Z$20000,MATCH(V389,'Semrush Data'!$A$1:$A$20000,0),MATCH("CPC*",'Semrush Data'!$A$1:$Z$1,0)),"")</f>
        <v/>
      </c>
      <c r="Z389" s="58" t="inlineStr">
        <is>
          <t>guerlain perfume · guerlain perfume for men · woody perfume for men uk</t>
        </is>
      </c>
      <c r="AA389" s="58" t="inlineStr">
        <is>
          <t>guerlain habit rouge parfum · guerlain habit rouge edp · guerlain habit rouge edt · guerlain habit rouge eau de parfum · guerlain habit rouge parfum 100ml</t>
        </is>
      </c>
      <c r="AB389" s="58" t="inlineStr">
        <is>
          <t>Guerlain Habit Rouge Eau de Parfum</t>
        </is>
      </c>
      <c r="AC389" s="58" t="inlineStr">
        <is>
          <t>Guerlain Habit Rouge EDP 100ml | Buy Online UK | Swansura</t>
        </is>
      </c>
      <c r="AD389" s="58">
        <f>LEN(AC389)</f>
        <v/>
      </c>
      <c r="AE389" s="58" t="inlineStr">
        <is>
          <t>Buy Guerlain Habit Rouge Eau de Parfum online in the UK at Swansura. A woody men's eau de parfum, 100ml. 100% authentic, fast UK delivery, free over £50.</t>
        </is>
      </c>
      <c r="AF389" s="58">
        <f>LEN(AE389)</f>
        <v/>
      </c>
    </row>
    <row r="390" ht="15" customHeight="1" s="37">
      <c r="A390" s="58" t="inlineStr">
        <is>
          <t>FR-230</t>
        </is>
      </c>
      <c r="B390" s="58" t="inlineStr">
        <is>
          <t>Fragrance Catalogue</t>
        </is>
      </c>
      <c r="C390" s="58" t="n">
        <v>230</v>
      </c>
      <c r="D390" s="58" t="inlineStr">
        <is>
          <t>Guerlain</t>
        </is>
      </c>
      <c r="E390" s="58" t="n"/>
      <c r="F390" s="58" t="inlineStr">
        <is>
          <t>Fragrance</t>
        </is>
      </c>
      <c r="G390" s="58" t="inlineStr">
        <is>
          <t>Eau de Parfum (EDP)</t>
        </is>
      </c>
      <c r="H390" s="58" t="inlineStr">
        <is>
          <t>Floral · Women's Fragrance</t>
        </is>
      </c>
      <c r="I390" s="58" t="inlineStr">
        <is>
          <t>Guerlain L'Instant de Guerlain Eau de Parfum 75ml – Luxury Women's Floral Amber Fragrance</t>
        </is>
      </c>
      <c r="J390" s="58" t="inlineStr">
        <is>
          <t>75ml</t>
        </is>
      </c>
      <c r="K390" s="58" t="n">
        <v>64.98999999999999</v>
      </c>
      <c r="L390" s="58" t="inlineStr">
        <is>
          <t>guerlain l'instant de guerlain</t>
        </is>
      </c>
      <c r="M390" s="58" t="inlineStr">
        <is>
          <t>guerlain l'instant de guerlain uk</t>
        </is>
      </c>
      <c r="N390" s="58" t="inlineStr">
        <is>
          <t>buy guerlain l'instant de guerlain online</t>
        </is>
      </c>
      <c r="O390" s="58" t="inlineStr">
        <is>
          <t>guerlain l'instant de guerlain price</t>
        </is>
      </c>
      <c r="P390" s="58" t="inlineStr">
        <is>
          <t>guerlain l'instant de guerlain eau de parfum</t>
        </is>
      </c>
      <c r="Q390" s="59">
        <f>IF(L390="","",IFERROR(INDEX('Semrush Data'!$A$1:$Z$20000,MATCH(L390,'Semrush Data'!$A$1:$A$20000,0),MATCH("Volume",'Semrush Data'!$A$1:$Z$1,0)),""))</f>
        <v/>
      </c>
      <c r="R390" s="59">
        <f>IF(M390="","",IFERROR(INDEX('Semrush Data'!$A$1:$Z$20000,MATCH(M390,'Semrush Data'!$A$1:$A$20000,0),MATCH("Volume",'Semrush Data'!$A$1:$Z$1,0)),""))</f>
        <v/>
      </c>
      <c r="S390" s="59">
        <f>IF(N390="","",IFERROR(INDEX('Semrush Data'!$A$1:$Z$20000,MATCH(N390,'Semrush Data'!$A$1:$A$20000,0),MATCH("Volume",'Semrush Data'!$A$1:$Z$1,0)),""))</f>
        <v/>
      </c>
      <c r="T390" s="59">
        <f>IF(O390="","",IFERROR(INDEX('Semrush Data'!$A$1:$Z$20000,MATCH(O390,'Semrush Data'!$A$1:$A$20000,0),MATCH("Volume",'Semrush Data'!$A$1:$Z$1,0)),""))</f>
        <v/>
      </c>
      <c r="U390" s="59">
        <f>IF(P390="","",IFERROR(INDEX('Semrush Data'!$A$1:$Z$20000,MATCH(P390,'Semrush Data'!$A$1:$A$20000,0),MATCH("Volume",'Semrush Data'!$A$1:$Z$1,0)),""))</f>
        <v/>
      </c>
      <c r="V390" s="60">
        <f>IF(COUNT(Q390:U390)=0,L390,IF(MAX(Q390:U390)=0,L390,INDEX(L390:P390,MATCH(MAX(Q390:U390),Q390:U390,0))))</f>
        <v/>
      </c>
      <c r="W390" s="59">
        <f>IFERROR(INDEX('Semrush Data'!$A$1:$Z$20000,MATCH(V390,'Semrush Data'!$A$1:$A$20000,0),MATCH("Volume",'Semrush Data'!$A$1:$Z$1,0)),"")</f>
        <v/>
      </c>
      <c r="X390" s="59">
        <f>IFERROR(INDEX('Semrush Data'!$A$1:$Z$20000,MATCH(V390,'Semrush Data'!$A$1:$A$20000,0),MATCH("Keyword Difficulty*",'Semrush Data'!$A$1:$Z$1,0)),"")</f>
        <v/>
      </c>
      <c r="Y390" s="61">
        <f>IFERROR(INDEX('Semrush Data'!$A$1:$Z$20000,MATCH(V390,'Semrush Data'!$A$1:$A$20000,0),MATCH("CPC*",'Semrush Data'!$A$1:$Z$1,0)),"")</f>
        <v/>
      </c>
      <c r="Z390" s="58" t="inlineStr">
        <is>
          <t>guerlain perfume · guerlain perfume for women · floral perfume for women uk</t>
        </is>
      </c>
      <c r="AA390" s="58" t="inlineStr">
        <is>
          <t>guerlain l'instant de guerlain eau de parfum · guerlain l'instant de guerlain edp · guerlain l'instant de guerlain edt</t>
        </is>
      </c>
      <c r="AB390" s="58" t="inlineStr">
        <is>
          <t>Guerlain L'Instant de Guerlain Eau de Parfum</t>
        </is>
      </c>
      <c r="AC390" s="58" t="inlineStr">
        <is>
          <t>Guerlain L'Instant de Guerlain Eau de Parfum | Swansura UK</t>
        </is>
      </c>
      <c r="AD390" s="58">
        <f>LEN(AC390)</f>
        <v/>
      </c>
      <c r="AE390" s="58" t="inlineStr">
        <is>
          <t>Buy Guerlain L'Instant de Guerlain Eau de Parfum online in the UK at Swansura. A floral women's eau de parfum, 75ml. 100% authentic, free UK delivery over £50.</t>
        </is>
      </c>
      <c r="AF390" s="58">
        <f>LEN(AE390)</f>
        <v/>
      </c>
    </row>
    <row r="391" ht="15" customHeight="1" s="37">
      <c r="A391" s="58" t="inlineStr">
        <is>
          <t>FR-231</t>
        </is>
      </c>
      <c r="B391" s="58" t="inlineStr">
        <is>
          <t>Fragrance Catalogue</t>
        </is>
      </c>
      <c r="C391" s="58" t="n">
        <v>231</v>
      </c>
      <c r="D391" s="58" t="inlineStr">
        <is>
          <t>Guerlain</t>
        </is>
      </c>
      <c r="E391" s="58" t="n"/>
      <c r="F391" s="58" t="inlineStr">
        <is>
          <t>Fragrance</t>
        </is>
      </c>
      <c r="G391" s="58" t="inlineStr">
        <is>
          <t>Eau de Parfum (EDP)</t>
        </is>
      </c>
      <c r="H391" s="58" t="inlineStr">
        <is>
          <t>Woody · Unisex Fragrance</t>
        </is>
      </c>
      <c r="I391" s="58" t="inlineStr">
        <is>
          <t>Guerlain Musc Noble Eau de Parfum 125ml – Luxury Unisex Musky Woody Fragrance</t>
        </is>
      </c>
      <c r="J391" s="58" t="inlineStr">
        <is>
          <t>125ml</t>
        </is>
      </c>
      <c r="K391" s="58" t="n">
        <v>74.98999999999999</v>
      </c>
      <c r="L391" s="58" t="inlineStr">
        <is>
          <t>guerlain musc noble</t>
        </is>
      </c>
      <c r="M391" s="58" t="inlineStr">
        <is>
          <t>guerlain musc noble uk</t>
        </is>
      </c>
      <c r="N391" s="58" t="inlineStr">
        <is>
          <t>buy guerlain musc noble online</t>
        </is>
      </c>
      <c r="O391" s="58" t="inlineStr">
        <is>
          <t>guerlain musc noble price</t>
        </is>
      </c>
      <c r="P391" s="58" t="inlineStr">
        <is>
          <t>guerlain musc noble eau de parfum</t>
        </is>
      </c>
      <c r="Q391" s="59">
        <f>IF(L391="","",IFERROR(INDEX('Semrush Data'!$A$1:$Z$20000,MATCH(L391,'Semrush Data'!$A$1:$A$20000,0),MATCH("Volume",'Semrush Data'!$A$1:$Z$1,0)),""))</f>
        <v/>
      </c>
      <c r="R391" s="59">
        <f>IF(M391="","",IFERROR(INDEX('Semrush Data'!$A$1:$Z$20000,MATCH(M391,'Semrush Data'!$A$1:$A$20000,0),MATCH("Volume",'Semrush Data'!$A$1:$Z$1,0)),""))</f>
        <v/>
      </c>
      <c r="S391" s="59">
        <f>IF(N391="","",IFERROR(INDEX('Semrush Data'!$A$1:$Z$20000,MATCH(N391,'Semrush Data'!$A$1:$A$20000,0),MATCH("Volume",'Semrush Data'!$A$1:$Z$1,0)),""))</f>
        <v/>
      </c>
      <c r="T391" s="59">
        <f>IF(O391="","",IFERROR(INDEX('Semrush Data'!$A$1:$Z$20000,MATCH(O391,'Semrush Data'!$A$1:$A$20000,0),MATCH("Volume",'Semrush Data'!$A$1:$Z$1,0)),""))</f>
        <v/>
      </c>
      <c r="U391" s="59">
        <f>IF(P391="","",IFERROR(INDEX('Semrush Data'!$A$1:$Z$20000,MATCH(P391,'Semrush Data'!$A$1:$A$20000,0),MATCH("Volume",'Semrush Data'!$A$1:$Z$1,0)),""))</f>
        <v/>
      </c>
      <c r="V391" s="60">
        <f>IF(COUNT(Q391:U391)=0,L391,IF(MAX(Q391:U391)=0,L391,INDEX(L391:P391,MATCH(MAX(Q391:U391),Q391:U391,0))))</f>
        <v/>
      </c>
      <c r="W391" s="59">
        <f>IFERROR(INDEX('Semrush Data'!$A$1:$Z$20000,MATCH(V391,'Semrush Data'!$A$1:$A$20000,0),MATCH("Volume",'Semrush Data'!$A$1:$Z$1,0)),"")</f>
        <v/>
      </c>
      <c r="X391" s="59">
        <f>IFERROR(INDEX('Semrush Data'!$A$1:$Z$20000,MATCH(V391,'Semrush Data'!$A$1:$A$20000,0),MATCH("Keyword Difficulty*",'Semrush Data'!$A$1:$Z$1,0)),"")</f>
        <v/>
      </c>
      <c r="Y391" s="61">
        <f>IFERROR(INDEX('Semrush Data'!$A$1:$Z$20000,MATCH(V391,'Semrush Data'!$A$1:$A$20000,0),MATCH("CPC*",'Semrush Data'!$A$1:$Z$1,0)),"")</f>
        <v/>
      </c>
      <c r="Z391" s="58" t="inlineStr">
        <is>
          <t>guerlain perfume · woody perfume uk</t>
        </is>
      </c>
      <c r="AA391" s="58" t="inlineStr">
        <is>
          <t>guerlain musc noble eau de parfum · guerlain musc noble review · guerlain musc noble notes · guerlain musc noble edp · guerlain musc noble dupe · guerlain musc noble ingredients</t>
        </is>
      </c>
      <c r="AB391" s="58" t="inlineStr">
        <is>
          <t>Guerlain Musc Noble Eau de Parfum</t>
        </is>
      </c>
      <c r="AC391" s="58" t="inlineStr">
        <is>
          <t>Guerlain Musc Noble Eau de Parfum | Buy Online UK | Swansura</t>
        </is>
      </c>
      <c r="AD391" s="58">
        <f>LEN(AC391)</f>
        <v/>
      </c>
      <c r="AE391" s="58" t="inlineStr">
        <is>
          <t>Buy Guerlain Musc Noble Eau de Parfum online in the UK at Swansura. A woody unisex eau de parfum, 125ml. 100% authentic, fast UK delivery, free over £50.</t>
        </is>
      </c>
      <c r="AF391" s="58">
        <f>LEN(AE391)</f>
        <v/>
      </c>
    </row>
    <row r="392" ht="15" customHeight="1" s="37">
      <c r="A392" s="58" t="inlineStr">
        <is>
          <t>FR-232</t>
        </is>
      </c>
      <c r="B392" s="58" t="inlineStr">
        <is>
          <t>Fragrance Catalogue</t>
        </is>
      </c>
      <c r="C392" s="58" t="n">
        <v>232</v>
      </c>
      <c r="D392" s="58" t="inlineStr">
        <is>
          <t>Guerlain</t>
        </is>
      </c>
      <c r="E392" s="58" t="n"/>
      <c r="F392" s="58" t="inlineStr">
        <is>
          <t>Fragrance</t>
        </is>
      </c>
      <c r="G392" s="58" t="inlineStr">
        <is>
          <t>Eau de Parfum (EDP)</t>
        </is>
      </c>
      <c r="H392" s="58" t="inlineStr">
        <is>
          <t>Woody · Unisex Fragrance</t>
        </is>
      </c>
      <c r="I392" s="58" t="inlineStr">
        <is>
          <t>Guerlain Oud Essentiel Eau de Parfum 125ml – Luxury Unisex Oud Woody Fragrance</t>
        </is>
      </c>
      <c r="J392" s="58" t="inlineStr">
        <is>
          <t>125ml</t>
        </is>
      </c>
      <c r="K392" s="58" t="n">
        <v>94.98999999999999</v>
      </c>
      <c r="L392" s="58" t="inlineStr">
        <is>
          <t>guerlain oud essentiel</t>
        </is>
      </c>
      <c r="M392" s="58" t="inlineStr">
        <is>
          <t>guerlain oud essentiel uk</t>
        </is>
      </c>
      <c r="N392" s="58" t="inlineStr">
        <is>
          <t>buy guerlain oud essentiel online</t>
        </is>
      </c>
      <c r="O392" s="58" t="inlineStr">
        <is>
          <t>guerlain oud essentiel price</t>
        </is>
      </c>
      <c r="P392" s="58" t="inlineStr">
        <is>
          <t>guerlain oud essentiel eau de parfum</t>
        </is>
      </c>
      <c r="Q392" s="59">
        <f>IF(L392="","",IFERROR(INDEX('Semrush Data'!$A$1:$Z$20000,MATCH(L392,'Semrush Data'!$A$1:$A$20000,0),MATCH("Volume",'Semrush Data'!$A$1:$Z$1,0)),""))</f>
        <v/>
      </c>
      <c r="R392" s="59">
        <f>IF(M392="","",IFERROR(INDEX('Semrush Data'!$A$1:$Z$20000,MATCH(M392,'Semrush Data'!$A$1:$A$20000,0),MATCH("Volume",'Semrush Data'!$A$1:$Z$1,0)),""))</f>
        <v/>
      </c>
      <c r="S392" s="59">
        <f>IF(N392="","",IFERROR(INDEX('Semrush Data'!$A$1:$Z$20000,MATCH(N392,'Semrush Data'!$A$1:$A$20000,0),MATCH("Volume",'Semrush Data'!$A$1:$Z$1,0)),""))</f>
        <v/>
      </c>
      <c r="T392" s="59">
        <f>IF(O392="","",IFERROR(INDEX('Semrush Data'!$A$1:$Z$20000,MATCH(O392,'Semrush Data'!$A$1:$A$20000,0),MATCH("Volume",'Semrush Data'!$A$1:$Z$1,0)),""))</f>
        <v/>
      </c>
      <c r="U392" s="59">
        <f>IF(P392="","",IFERROR(INDEX('Semrush Data'!$A$1:$Z$20000,MATCH(P392,'Semrush Data'!$A$1:$A$20000,0),MATCH("Volume",'Semrush Data'!$A$1:$Z$1,0)),""))</f>
        <v/>
      </c>
      <c r="V392" s="60">
        <f>IF(COUNT(Q392:U392)=0,L392,IF(MAX(Q392:U392)=0,L392,INDEX(L392:P392,MATCH(MAX(Q392:U392),Q392:U392,0))))</f>
        <v/>
      </c>
      <c r="W392" s="59">
        <f>IFERROR(INDEX('Semrush Data'!$A$1:$Z$20000,MATCH(V392,'Semrush Data'!$A$1:$A$20000,0),MATCH("Volume",'Semrush Data'!$A$1:$Z$1,0)),"")</f>
        <v/>
      </c>
      <c r="X392" s="59">
        <f>IFERROR(INDEX('Semrush Data'!$A$1:$Z$20000,MATCH(V392,'Semrush Data'!$A$1:$A$20000,0),MATCH("Keyword Difficulty*",'Semrush Data'!$A$1:$Z$1,0)),"")</f>
        <v/>
      </c>
      <c r="Y392" s="61">
        <f>IFERROR(INDEX('Semrush Data'!$A$1:$Z$20000,MATCH(V392,'Semrush Data'!$A$1:$A$20000,0),MATCH("CPC*",'Semrush Data'!$A$1:$Z$1,0)),"")</f>
        <v/>
      </c>
      <c r="Z392" s="58" t="inlineStr">
        <is>
          <t>guerlain perfume · woody perfume uk</t>
        </is>
      </c>
      <c r="AA392" s="58" t="inlineStr">
        <is>
          <t>guerlain oud essentiel eau de parfum · guerlain oud essentiel review · guerlain oud essentiel perfume · guerlain oud essentiel notes · guerlain oud essentiel price · guerlain oud essentiel edp</t>
        </is>
      </c>
      <c r="AB392" s="58" t="inlineStr">
        <is>
          <t>Guerlain Oud Essentiel Eau de Parfum</t>
        </is>
      </c>
      <c r="AC392" s="58" t="inlineStr">
        <is>
          <t>Guerlain Oud Essentiel EDP 125ml | Buy Online UK | Swansura</t>
        </is>
      </c>
      <c r="AD392" s="58">
        <f>LEN(AC392)</f>
        <v/>
      </c>
      <c r="AE392" s="58" t="inlineStr">
        <is>
          <t>Buy Guerlain Oud Essentiel Eau de Parfum online in the UK at Swansura. A woody unisex eau de parfum, 125ml. 100% authentic, fast UK delivery, free over £50.</t>
        </is>
      </c>
      <c r="AF392" s="58">
        <f>LEN(AE392)</f>
        <v/>
      </c>
    </row>
    <row r="393" ht="15" customHeight="1" s="37">
      <c r="A393" s="58" t="inlineStr">
        <is>
          <t>FR-233</t>
        </is>
      </c>
      <c r="B393" s="58" t="inlineStr">
        <is>
          <t>Fragrance Catalogue</t>
        </is>
      </c>
      <c r="C393" s="58" t="n">
        <v>233</v>
      </c>
      <c r="D393" s="58" t="inlineStr">
        <is>
          <t>Guerlain</t>
        </is>
      </c>
      <c r="E393" s="58" t="n"/>
      <c r="F393" s="58" t="inlineStr">
        <is>
          <t>Fragrance</t>
        </is>
      </c>
      <c r="G393" s="58" t="inlineStr">
        <is>
          <t>Eau de Parfum (EDP)</t>
        </is>
      </c>
      <c r="H393" s="58" t="inlineStr">
        <is>
          <t>Floral · Women's Fragrance</t>
        </is>
      </c>
      <c r="I393" s="58" t="inlineStr">
        <is>
          <t>Guerlain Samsara Eau de Parfum 75ml – Luxury Women's Floral Woody Longlasting Fragrance</t>
        </is>
      </c>
      <c r="J393" s="58" t="inlineStr">
        <is>
          <t>75ml</t>
        </is>
      </c>
      <c r="K393" s="58" t="n">
        <v>69.98999999999999</v>
      </c>
      <c r="L393" s="58" t="inlineStr">
        <is>
          <t>guerlain samsara</t>
        </is>
      </c>
      <c r="M393" s="58" t="inlineStr">
        <is>
          <t>guerlain samsara uk</t>
        </is>
      </c>
      <c r="N393" s="58" t="inlineStr">
        <is>
          <t>buy guerlain samsara online</t>
        </is>
      </c>
      <c r="O393" s="58" t="inlineStr">
        <is>
          <t>guerlain samsara price</t>
        </is>
      </c>
      <c r="P393" s="58" t="inlineStr">
        <is>
          <t>guerlain samsara eau de parfum</t>
        </is>
      </c>
      <c r="Q393" s="59">
        <f>IF(L393="","",IFERROR(INDEX('Semrush Data'!$A$1:$Z$20000,MATCH(L393,'Semrush Data'!$A$1:$A$20000,0),MATCH("Volume",'Semrush Data'!$A$1:$Z$1,0)),""))</f>
        <v/>
      </c>
      <c r="R393" s="59">
        <f>IF(M393="","",IFERROR(INDEX('Semrush Data'!$A$1:$Z$20000,MATCH(M393,'Semrush Data'!$A$1:$A$20000,0),MATCH("Volume",'Semrush Data'!$A$1:$Z$1,0)),""))</f>
        <v/>
      </c>
      <c r="S393" s="59">
        <f>IF(N393="","",IFERROR(INDEX('Semrush Data'!$A$1:$Z$20000,MATCH(N393,'Semrush Data'!$A$1:$A$20000,0),MATCH("Volume",'Semrush Data'!$A$1:$Z$1,0)),""))</f>
        <v/>
      </c>
      <c r="T393" s="59">
        <f>IF(O393="","",IFERROR(INDEX('Semrush Data'!$A$1:$Z$20000,MATCH(O393,'Semrush Data'!$A$1:$A$20000,0),MATCH("Volume",'Semrush Data'!$A$1:$Z$1,0)),""))</f>
        <v/>
      </c>
      <c r="U393" s="59">
        <f>IF(P393="","",IFERROR(INDEX('Semrush Data'!$A$1:$Z$20000,MATCH(P393,'Semrush Data'!$A$1:$A$20000,0),MATCH("Volume",'Semrush Data'!$A$1:$Z$1,0)),""))</f>
        <v/>
      </c>
      <c r="V393" s="60">
        <f>IF(COUNT(Q393:U393)=0,L393,IF(MAX(Q393:U393)=0,L393,INDEX(L393:P393,MATCH(MAX(Q393:U393),Q393:U393,0))))</f>
        <v/>
      </c>
      <c r="W393" s="59">
        <f>IFERROR(INDEX('Semrush Data'!$A$1:$Z$20000,MATCH(V393,'Semrush Data'!$A$1:$A$20000,0),MATCH("Volume",'Semrush Data'!$A$1:$Z$1,0)),"")</f>
        <v/>
      </c>
      <c r="X393" s="59">
        <f>IFERROR(INDEX('Semrush Data'!$A$1:$Z$20000,MATCH(V393,'Semrush Data'!$A$1:$A$20000,0),MATCH("Keyword Difficulty*",'Semrush Data'!$A$1:$Z$1,0)),"")</f>
        <v/>
      </c>
      <c r="Y393" s="61">
        <f>IFERROR(INDEX('Semrush Data'!$A$1:$Z$20000,MATCH(V393,'Semrush Data'!$A$1:$A$20000,0),MATCH("CPC*",'Semrush Data'!$A$1:$Z$1,0)),"")</f>
        <v/>
      </c>
      <c r="Z393" s="58" t="inlineStr">
        <is>
          <t>guerlain perfume · guerlain perfume for women · floral perfume for women uk</t>
        </is>
      </c>
      <c r="AA393" s="58" t="inlineStr">
        <is>
          <t>guerlain samsara perfume · guerlain samsara eau de parfum · guerlain samsara edp · guerlain samsara edt · guerlain samsara original · guerlain samsara notes</t>
        </is>
      </c>
      <c r="AB393" s="58" t="inlineStr">
        <is>
          <t>Guerlain Samsara Eau de Parfum</t>
        </is>
      </c>
      <c r="AC393" s="58" t="inlineStr">
        <is>
          <t>Guerlain Samsara Eau de Parfum | Buy Online UK | Swansura</t>
        </is>
      </c>
      <c r="AD393" s="58">
        <f>LEN(AC393)</f>
        <v/>
      </c>
      <c r="AE393" s="58" t="inlineStr">
        <is>
          <t>Buy Guerlain Samsara Eau de Parfum online in the UK at Swansura. A floral women's eau de parfum, 75ml. 100% authentic, fast UK delivery, free over £50.</t>
        </is>
      </c>
      <c r="AF393" s="58">
        <f>LEN(AE393)</f>
        <v/>
      </c>
    </row>
    <row r="394" ht="15" customHeight="1" s="37">
      <c r="A394" s="58" t="inlineStr">
        <is>
          <t>FR-234</t>
        </is>
      </c>
      <c r="B394" s="58" t="inlineStr">
        <is>
          <t>Fragrance Catalogue</t>
        </is>
      </c>
      <c r="C394" s="58" t="n">
        <v>234</v>
      </c>
      <c r="D394" s="58" t="inlineStr">
        <is>
          <t>Guerlain</t>
        </is>
      </c>
      <c r="E394" s="58" t="n"/>
      <c r="F394" s="58" t="inlineStr">
        <is>
          <t>Fragrance</t>
        </is>
      </c>
      <c r="G394" s="58" t="inlineStr">
        <is>
          <t>Eau de Parfum (EDP)</t>
        </is>
      </c>
      <c r="H394" s="58" t="inlineStr">
        <is>
          <t>Woody · Unisex Fragrance</t>
        </is>
      </c>
      <c r="I394" s="58" t="inlineStr">
        <is>
          <t>Guerlain Épices Exquises Eau de Parfum 125ml – Luxury Unisex Spicy Woody Fragrance</t>
        </is>
      </c>
      <c r="J394" s="58" t="inlineStr">
        <is>
          <t>125ml</t>
        </is>
      </c>
      <c r="K394" s="58" t="n">
        <v>86.98999999999999</v>
      </c>
      <c r="L394" s="58" t="inlineStr">
        <is>
          <t>guerlain epices exquises</t>
        </is>
      </c>
      <c r="M394" s="58" t="inlineStr">
        <is>
          <t>guerlain epices exquises uk</t>
        </is>
      </c>
      <c r="N394" s="58" t="inlineStr">
        <is>
          <t>buy guerlain epices exquises online</t>
        </is>
      </c>
      <c r="O394" s="58" t="inlineStr">
        <is>
          <t>guerlain epices exquises price</t>
        </is>
      </c>
      <c r="P394" s="58" t="inlineStr">
        <is>
          <t>guerlain epices exquises eau de parfum</t>
        </is>
      </c>
      <c r="Q394" s="59">
        <f>IF(L394="","",IFERROR(INDEX('Semrush Data'!$A$1:$Z$20000,MATCH(L394,'Semrush Data'!$A$1:$A$20000,0),MATCH("Volume",'Semrush Data'!$A$1:$Z$1,0)),""))</f>
        <v/>
      </c>
      <c r="R394" s="59">
        <f>IF(M394="","",IFERROR(INDEX('Semrush Data'!$A$1:$Z$20000,MATCH(M394,'Semrush Data'!$A$1:$A$20000,0),MATCH("Volume",'Semrush Data'!$A$1:$Z$1,0)),""))</f>
        <v/>
      </c>
      <c r="S394" s="59">
        <f>IF(N394="","",IFERROR(INDEX('Semrush Data'!$A$1:$Z$20000,MATCH(N394,'Semrush Data'!$A$1:$A$20000,0),MATCH("Volume",'Semrush Data'!$A$1:$Z$1,0)),""))</f>
        <v/>
      </c>
      <c r="T394" s="59">
        <f>IF(O394="","",IFERROR(INDEX('Semrush Data'!$A$1:$Z$20000,MATCH(O394,'Semrush Data'!$A$1:$A$20000,0),MATCH("Volume",'Semrush Data'!$A$1:$Z$1,0)),""))</f>
        <v/>
      </c>
      <c r="U394" s="59">
        <f>IF(P394="","",IFERROR(INDEX('Semrush Data'!$A$1:$Z$20000,MATCH(P394,'Semrush Data'!$A$1:$A$20000,0),MATCH("Volume",'Semrush Data'!$A$1:$Z$1,0)),""))</f>
        <v/>
      </c>
      <c r="V394" s="60">
        <f>IF(COUNT(Q394:U394)=0,L394,IF(MAX(Q394:U394)=0,L394,INDEX(L394:P394,MATCH(MAX(Q394:U394),Q394:U394,0))))</f>
        <v/>
      </c>
      <c r="W394" s="59">
        <f>IFERROR(INDEX('Semrush Data'!$A$1:$Z$20000,MATCH(V394,'Semrush Data'!$A$1:$A$20000,0),MATCH("Volume",'Semrush Data'!$A$1:$Z$1,0)),"")</f>
        <v/>
      </c>
      <c r="X394" s="59">
        <f>IFERROR(INDEX('Semrush Data'!$A$1:$Z$20000,MATCH(V394,'Semrush Data'!$A$1:$A$20000,0),MATCH("Keyword Difficulty*",'Semrush Data'!$A$1:$Z$1,0)),"")</f>
        <v/>
      </c>
      <c r="Y394" s="61">
        <f>IFERROR(INDEX('Semrush Data'!$A$1:$Z$20000,MATCH(V394,'Semrush Data'!$A$1:$A$20000,0),MATCH("CPC*",'Semrush Data'!$A$1:$Z$1,0)),"")</f>
        <v/>
      </c>
      <c r="Z394" s="58" t="inlineStr">
        <is>
          <t>guerlain perfume · woody perfume uk</t>
        </is>
      </c>
      <c r="AA394" s="58" t="inlineStr">
        <is>
          <t>guerlain epices exquises eau de parfum · guerlain epices exquises review · guerlain epices exquises edp · guerlain epices exquises notes · guerlain epices exquises edp 125ml · guerlain epices exquises eau de parfum 125ml</t>
        </is>
      </c>
      <c r="AB394" s="58" t="inlineStr">
        <is>
          <t>Guerlain Épices Exquises Eau de Parfum</t>
        </is>
      </c>
      <c r="AC394" s="58" t="inlineStr">
        <is>
          <t>Guerlain Épices Exquises Eau de Parfum | Swansura UK</t>
        </is>
      </c>
      <c r="AD394" s="58">
        <f>LEN(AC394)</f>
        <v/>
      </c>
      <c r="AE394" s="58" t="inlineStr">
        <is>
          <t>Buy Guerlain Épices Exquises Eau de Parfum online in the UK at Swansura. A woody unisex eau de parfum, 125ml. 100% authentic, fast UK delivery, free over £50.</t>
        </is>
      </c>
      <c r="AF394" s="58">
        <f>LEN(AE394)</f>
        <v/>
      </c>
    </row>
    <row r="395" ht="15" customHeight="1" s="37">
      <c r="A395" s="58" t="inlineStr">
        <is>
          <t>FR-235</t>
        </is>
      </c>
      <c r="B395" s="58" t="inlineStr">
        <is>
          <t>Fragrance Catalogue</t>
        </is>
      </c>
      <c r="C395" s="58" t="n">
        <v>235</v>
      </c>
      <c r="D395" s="58" t="inlineStr">
        <is>
          <t>Guerlain</t>
        </is>
      </c>
      <c r="E395" s="58" t="n"/>
      <c r="F395" s="58" t="inlineStr">
        <is>
          <t>Fragrance</t>
        </is>
      </c>
      <c r="G395" s="58" t="inlineStr">
        <is>
          <t>Eau de Toilette (EDT)</t>
        </is>
      </c>
      <c r="H395" s="58" t="inlineStr">
        <is>
          <t>Floral · Women's Fragrance</t>
        </is>
      </c>
      <c r="I395" s="58" t="inlineStr">
        <is>
          <t>Guerlain La Petite Robe Noire Ma Robe Cocktail Eau de Toilette 100ml – Women's Fruity Floral Fragrance</t>
        </is>
      </c>
      <c r="J395" s="58" t="inlineStr">
        <is>
          <t>100ml</t>
        </is>
      </c>
      <c r="K395" s="58" t="n">
        <v>49.99</v>
      </c>
      <c r="L395" s="58" t="inlineStr">
        <is>
          <t>guerlain la petite robe noire ma robe cocktail</t>
        </is>
      </c>
      <c r="M395" s="58" t="inlineStr">
        <is>
          <t>guerlain la petite robe noire ma robe cocktail uk</t>
        </is>
      </c>
      <c r="N395" s="58" t="inlineStr">
        <is>
          <t>buy guerlain la petite robe noire ma robe cocktail online</t>
        </is>
      </c>
      <c r="O395" s="58" t="inlineStr">
        <is>
          <t>guerlain la petite robe noire ma robe cocktail price</t>
        </is>
      </c>
      <c r="P395" s="58" t="inlineStr">
        <is>
          <t>guerlain la petite robe noire ma robe cocktail eau de toilette</t>
        </is>
      </c>
      <c r="Q395" s="59">
        <f>IF(L395="","",IFERROR(INDEX('Semrush Data'!$A$1:$Z$20000,MATCH(L395,'Semrush Data'!$A$1:$A$20000,0),MATCH("Volume",'Semrush Data'!$A$1:$Z$1,0)),""))</f>
        <v/>
      </c>
      <c r="R395" s="59">
        <f>IF(M395="","",IFERROR(INDEX('Semrush Data'!$A$1:$Z$20000,MATCH(M395,'Semrush Data'!$A$1:$A$20000,0),MATCH("Volume",'Semrush Data'!$A$1:$Z$1,0)),""))</f>
        <v/>
      </c>
      <c r="S395" s="59">
        <f>IF(N395="","",IFERROR(INDEX('Semrush Data'!$A$1:$Z$20000,MATCH(N395,'Semrush Data'!$A$1:$A$20000,0),MATCH("Volume",'Semrush Data'!$A$1:$Z$1,0)),""))</f>
        <v/>
      </c>
      <c r="T395" s="59">
        <f>IF(O395="","",IFERROR(INDEX('Semrush Data'!$A$1:$Z$20000,MATCH(O395,'Semrush Data'!$A$1:$A$20000,0),MATCH("Volume",'Semrush Data'!$A$1:$Z$1,0)),""))</f>
        <v/>
      </c>
      <c r="U395" s="59">
        <f>IF(P395="","",IFERROR(INDEX('Semrush Data'!$A$1:$Z$20000,MATCH(P395,'Semrush Data'!$A$1:$A$20000,0),MATCH("Volume",'Semrush Data'!$A$1:$Z$1,0)),""))</f>
        <v/>
      </c>
      <c r="V395" s="60">
        <f>IF(COUNT(Q395:U395)=0,L395,IF(MAX(Q395:U395)=0,L395,INDEX(L395:P395,MATCH(MAX(Q395:U395),Q395:U395,0))))</f>
        <v/>
      </c>
      <c r="W395" s="59">
        <f>IFERROR(INDEX('Semrush Data'!$A$1:$Z$20000,MATCH(V395,'Semrush Data'!$A$1:$A$20000,0),MATCH("Volume",'Semrush Data'!$A$1:$Z$1,0)),"")</f>
        <v/>
      </c>
      <c r="X395" s="59">
        <f>IFERROR(INDEX('Semrush Data'!$A$1:$Z$20000,MATCH(V395,'Semrush Data'!$A$1:$A$20000,0),MATCH("Keyword Difficulty*",'Semrush Data'!$A$1:$Z$1,0)),"")</f>
        <v/>
      </c>
      <c r="Y395" s="61">
        <f>IFERROR(INDEX('Semrush Data'!$A$1:$Z$20000,MATCH(V395,'Semrush Data'!$A$1:$A$20000,0),MATCH("CPC*",'Semrush Data'!$A$1:$Z$1,0)),"")</f>
        <v/>
      </c>
      <c r="Z395" s="58" t="inlineStr">
        <is>
          <t>guerlain perfume · guerlain perfume for women · floral perfume for women uk</t>
        </is>
      </c>
      <c r="AA395" s="58" t="inlineStr">
        <is>
          <t>guerlain la petite robe noire ma robe cocktail edt · guerlain la petite robe noire ma robe cocktail отзывы · guerlain perfume la petite robe noire price · guerlain la petite robe noire review</t>
        </is>
      </c>
      <c r="AB395" s="58" t="inlineStr">
        <is>
          <t>Guerlain La Petite Robe Noire Ma Robe Cocktail Eau de Toilette</t>
        </is>
      </c>
      <c r="AC395" s="58" t="inlineStr">
        <is>
          <t>Guerlain La Petite Robe Noire Ma Robe Cocktail | Swansura UK</t>
        </is>
      </c>
      <c r="AD395" s="58">
        <f>LEN(AC395)</f>
        <v/>
      </c>
      <c r="AE395" s="58" t="inlineStr">
        <is>
          <t>Buy Guerlain La Petite Robe Noire Ma Robe Cocktail Eau de Toilette at Swansura UK. A floral women's eau de toilette. 100% authentic, free UK delivery over £50.</t>
        </is>
      </c>
      <c r="AF395" s="58">
        <f>LEN(AE395)</f>
        <v/>
      </c>
    </row>
    <row r="396" ht="15" customHeight="1" s="37">
      <c r="A396" s="58" t="inlineStr">
        <is>
          <t>FR-236</t>
        </is>
      </c>
      <c r="B396" s="58" t="inlineStr">
        <is>
          <t>Fragrance Catalogue</t>
        </is>
      </c>
      <c r="C396" s="58" t="n">
        <v>236</v>
      </c>
      <c r="D396" s="58" t="inlineStr">
        <is>
          <t>Guerlain</t>
        </is>
      </c>
      <c r="E396" s="58" t="n"/>
      <c r="F396" s="58" t="inlineStr">
        <is>
          <t>Gift Set</t>
        </is>
      </c>
      <c r="G396" s="58" t="inlineStr">
        <is>
          <t>Fragrance Gift Set</t>
        </is>
      </c>
      <c r="H396" s="58" t="inlineStr">
        <is>
          <t>Woody · Women's Fragrance</t>
        </is>
      </c>
      <c r="I396" s="58" t="inlineStr">
        <is>
          <t>Guerlain Mon Guerlain Miniature Perfume Gift Set 4x5ml – Women's Fragrance Collection</t>
        </is>
      </c>
      <c r="J396" s="58" t="inlineStr">
        <is>
          <t>Not specified</t>
        </is>
      </c>
      <c r="K396" s="58" t="n">
        <v>44.99</v>
      </c>
      <c r="L396" s="58" t="inlineStr">
        <is>
          <t>guerlain mon guerlain miniature gift set</t>
        </is>
      </c>
      <c r="M396" s="58" t="inlineStr">
        <is>
          <t>guerlain mon guerlain miniature gift set uk</t>
        </is>
      </c>
      <c r="N396" s="58" t="inlineStr">
        <is>
          <t>buy guerlain mon guerlain miniature gift set online</t>
        </is>
      </c>
      <c r="O396" s="58" t="inlineStr">
        <is>
          <t>guerlain mon guerlain miniature gift set price</t>
        </is>
      </c>
      <c r="P396" s="58" t="n"/>
      <c r="Q396" s="59">
        <f>IF(L396="","",IFERROR(INDEX('Semrush Data'!$A$1:$Z$20000,MATCH(L396,'Semrush Data'!$A$1:$A$20000,0),MATCH("Volume",'Semrush Data'!$A$1:$Z$1,0)),""))</f>
        <v/>
      </c>
      <c r="R396" s="59">
        <f>IF(M396="","",IFERROR(INDEX('Semrush Data'!$A$1:$Z$20000,MATCH(M396,'Semrush Data'!$A$1:$A$20000,0),MATCH("Volume",'Semrush Data'!$A$1:$Z$1,0)),""))</f>
        <v/>
      </c>
      <c r="S396" s="59">
        <f>IF(N396="","",IFERROR(INDEX('Semrush Data'!$A$1:$Z$20000,MATCH(N396,'Semrush Data'!$A$1:$A$20000,0),MATCH("Volume",'Semrush Data'!$A$1:$Z$1,0)),""))</f>
        <v/>
      </c>
      <c r="T396" s="59">
        <f>IF(O396="","",IFERROR(INDEX('Semrush Data'!$A$1:$Z$20000,MATCH(O396,'Semrush Data'!$A$1:$A$20000,0),MATCH("Volume",'Semrush Data'!$A$1:$Z$1,0)),""))</f>
        <v/>
      </c>
      <c r="U396" s="59">
        <f>IF(P396="","",IFERROR(INDEX('Semrush Data'!$A$1:$Z$20000,MATCH(P396,'Semrush Data'!$A$1:$A$20000,0),MATCH("Volume",'Semrush Data'!$A$1:$Z$1,0)),""))</f>
        <v/>
      </c>
      <c r="V396" s="60">
        <f>IF(COUNT(Q396:U396)=0,L396,IF(MAX(Q396:U396)=0,L396,INDEX(L396:P396,MATCH(MAX(Q396:U396),Q396:U396,0))))</f>
        <v/>
      </c>
      <c r="W396" s="59">
        <f>IFERROR(INDEX('Semrush Data'!$A$1:$Z$20000,MATCH(V396,'Semrush Data'!$A$1:$A$20000,0),MATCH("Volume",'Semrush Data'!$A$1:$Z$1,0)),"")</f>
        <v/>
      </c>
      <c r="X396" s="59">
        <f>IFERROR(INDEX('Semrush Data'!$A$1:$Z$20000,MATCH(V396,'Semrush Data'!$A$1:$A$20000,0),MATCH("Keyword Difficulty*",'Semrush Data'!$A$1:$Z$1,0)),"")</f>
        <v/>
      </c>
      <c r="Y396" s="61">
        <f>IFERROR(INDEX('Semrush Data'!$A$1:$Z$20000,MATCH(V396,'Semrush Data'!$A$1:$A$20000,0),MATCH("CPC*",'Semrush Data'!$A$1:$Z$1,0)),"")</f>
        <v/>
      </c>
      <c r="Z396" s="58" t="inlineStr">
        <is>
          <t>guerlain perfume · guerlain perfume for women · woody perfume for women uk</t>
        </is>
      </c>
      <c r="AA396" s="58" t="n"/>
      <c r="AB396" s="58" t="inlineStr">
        <is>
          <t>Guerlain Mon Guerlain Miniature Perfume Gift Set 4x5ml</t>
        </is>
      </c>
      <c r="AC396" s="58" t="inlineStr">
        <is>
          <t>Guerlain Mon Guerlain Miniature Perfume Gift | Swansura UK</t>
        </is>
      </c>
      <c r="AD396" s="58">
        <f>LEN(AC396)</f>
        <v/>
      </c>
      <c r="AE396" s="58" t="inlineStr">
        <is>
          <t>Buy Guerlain Mon Guerlain Miniature Perfume Gift Set 4x5ml online in the UK at Swansura. A woody women's fragrance. 100% authentic, free UK delivery over £50.</t>
        </is>
      </c>
      <c r="AF396" s="58">
        <f>LEN(AE396)</f>
        <v/>
      </c>
    </row>
    <row r="397" ht="15" customHeight="1" s="37">
      <c r="A397" s="58" t="inlineStr">
        <is>
          <t>FR-237</t>
        </is>
      </c>
      <c r="B397" s="58" t="inlineStr">
        <is>
          <t>Fragrance Catalogue</t>
        </is>
      </c>
      <c r="C397" s="58" t="n">
        <v>237</v>
      </c>
      <c r="D397" s="58" t="inlineStr">
        <is>
          <t>Hemel</t>
        </is>
      </c>
      <c r="E397" s="58" t="n"/>
      <c r="F397" s="58" t="inlineStr">
        <is>
          <t>Fragrance</t>
        </is>
      </c>
      <c r="G397" s="58" t="inlineStr">
        <is>
          <t>Eau de Parfum (EDP)</t>
        </is>
      </c>
      <c r="H397" s="58" t="inlineStr">
        <is>
          <t>Floral · Unisex Fragrance</t>
        </is>
      </c>
      <c r="I397" s="58" t="inlineStr">
        <is>
          <t>Hemel Amethyst Dream Eau de Parfum 100ml – Luxury Unisex Floral Fruity Fragrance</t>
        </is>
      </c>
      <c r="J397" s="58" t="inlineStr">
        <is>
          <t>100ml</t>
        </is>
      </c>
      <c r="K397" s="58" t="n">
        <v>61.99</v>
      </c>
      <c r="L397" s="58" t="inlineStr">
        <is>
          <t>hemel amethyst dream</t>
        </is>
      </c>
      <c r="M397" s="58" t="inlineStr">
        <is>
          <t>hemel amethyst dream uk</t>
        </is>
      </c>
      <c r="N397" s="58" t="inlineStr">
        <is>
          <t>buy hemel amethyst dream online</t>
        </is>
      </c>
      <c r="O397" s="58" t="inlineStr">
        <is>
          <t>hemel amethyst dream price</t>
        </is>
      </c>
      <c r="P397" s="58" t="inlineStr">
        <is>
          <t>hemel amethyst dream eau de parfum</t>
        </is>
      </c>
      <c r="Q397" s="59">
        <f>IF(L397="","",IFERROR(INDEX('Semrush Data'!$A$1:$Z$20000,MATCH(L397,'Semrush Data'!$A$1:$A$20000,0),MATCH("Volume",'Semrush Data'!$A$1:$Z$1,0)),""))</f>
        <v/>
      </c>
      <c r="R397" s="59">
        <f>IF(M397="","",IFERROR(INDEX('Semrush Data'!$A$1:$Z$20000,MATCH(M397,'Semrush Data'!$A$1:$A$20000,0),MATCH("Volume",'Semrush Data'!$A$1:$Z$1,0)),""))</f>
        <v/>
      </c>
      <c r="S397" s="59">
        <f>IF(N397="","",IFERROR(INDEX('Semrush Data'!$A$1:$Z$20000,MATCH(N397,'Semrush Data'!$A$1:$A$20000,0),MATCH("Volume",'Semrush Data'!$A$1:$Z$1,0)),""))</f>
        <v/>
      </c>
      <c r="T397" s="59">
        <f>IF(O397="","",IFERROR(INDEX('Semrush Data'!$A$1:$Z$20000,MATCH(O397,'Semrush Data'!$A$1:$A$20000,0),MATCH("Volume",'Semrush Data'!$A$1:$Z$1,0)),""))</f>
        <v/>
      </c>
      <c r="U397" s="59">
        <f>IF(P397="","",IFERROR(INDEX('Semrush Data'!$A$1:$Z$20000,MATCH(P397,'Semrush Data'!$A$1:$A$20000,0),MATCH("Volume",'Semrush Data'!$A$1:$Z$1,0)),""))</f>
        <v/>
      </c>
      <c r="V397" s="60">
        <f>IF(COUNT(Q397:U397)=0,L397,IF(MAX(Q397:U397)=0,L397,INDEX(L397:P397,MATCH(MAX(Q397:U397),Q397:U397,0))))</f>
        <v/>
      </c>
      <c r="W397" s="59">
        <f>IFERROR(INDEX('Semrush Data'!$A$1:$Z$20000,MATCH(V397,'Semrush Data'!$A$1:$A$20000,0),MATCH("Volume",'Semrush Data'!$A$1:$Z$1,0)),"")</f>
        <v/>
      </c>
      <c r="X397" s="59">
        <f>IFERROR(INDEX('Semrush Data'!$A$1:$Z$20000,MATCH(V397,'Semrush Data'!$A$1:$A$20000,0),MATCH("Keyword Difficulty*",'Semrush Data'!$A$1:$Z$1,0)),"")</f>
        <v/>
      </c>
      <c r="Y397" s="61">
        <f>IFERROR(INDEX('Semrush Data'!$A$1:$Z$20000,MATCH(V397,'Semrush Data'!$A$1:$A$20000,0),MATCH("CPC*",'Semrush Data'!$A$1:$Z$1,0)),"")</f>
        <v/>
      </c>
      <c r="Z397" s="58" t="inlineStr">
        <is>
          <t>hemel perfume · floral perfume uk</t>
        </is>
      </c>
      <c r="AA397" s="58" t="n"/>
      <c r="AB397" s="58" t="inlineStr">
        <is>
          <t>Hemel Amethyst Dream Eau de Parfum</t>
        </is>
      </c>
      <c r="AC397" s="58" t="inlineStr">
        <is>
          <t>Hemel Amethyst Dream EDP 100ml | Buy Online UK | Swansura</t>
        </is>
      </c>
      <c r="AD397" s="58">
        <f>LEN(AC397)</f>
        <v/>
      </c>
      <c r="AE397" s="58" t="inlineStr">
        <is>
          <t>Buy Hemel Amethyst Dream Eau de Parfum online in the UK at Swansura. A floral unisex eau de parfum, 100ml. 100% authentic, fast UK delivery, free over £50.</t>
        </is>
      </c>
      <c r="AF397" s="58">
        <f>LEN(AE397)</f>
        <v/>
      </c>
    </row>
    <row r="398" ht="15" customHeight="1" s="37">
      <c r="A398" s="58" t="inlineStr">
        <is>
          <t>FR-238</t>
        </is>
      </c>
      <c r="B398" s="58" t="inlineStr">
        <is>
          <t>Fragrance Catalogue</t>
        </is>
      </c>
      <c r="C398" s="58" t="n">
        <v>238</v>
      </c>
      <c r="D398" s="58" t="inlineStr">
        <is>
          <t>Hemel</t>
        </is>
      </c>
      <c r="E398" s="58" t="n"/>
      <c r="F398" s="58" t="inlineStr">
        <is>
          <t>Fragrance</t>
        </is>
      </c>
      <c r="G398" s="58" t="inlineStr">
        <is>
          <t>Eau de Parfum (EDP)</t>
        </is>
      </c>
      <c r="H398" s="58" t="inlineStr">
        <is>
          <t>Amber · Unisex Fragrance</t>
        </is>
      </c>
      <c r="I398" s="58" t="inlineStr">
        <is>
          <t>Hemel Amethyst Dream Unisex EDP 100ML</t>
        </is>
      </c>
      <c r="J398" s="58" t="inlineStr">
        <is>
          <t>100ml</t>
        </is>
      </c>
      <c r="K398" s="58" t="n">
        <v>87.95</v>
      </c>
      <c r="L398" s="58" t="inlineStr">
        <is>
          <t>hemel amethyst dream</t>
        </is>
      </c>
      <c r="M398" s="58" t="inlineStr">
        <is>
          <t>hemel amethyst dream uk</t>
        </is>
      </c>
      <c r="N398" s="58" t="inlineStr">
        <is>
          <t>buy hemel amethyst dream online</t>
        </is>
      </c>
      <c r="O398" s="58" t="inlineStr">
        <is>
          <t>hemel amethyst dream price</t>
        </is>
      </c>
      <c r="P398" s="58" t="inlineStr">
        <is>
          <t>hemel amethyst dream edp</t>
        </is>
      </c>
      <c r="Q398" s="59">
        <f>IF(L398="","",IFERROR(INDEX('Semrush Data'!$A$1:$Z$20000,MATCH(L398,'Semrush Data'!$A$1:$A$20000,0),MATCH("Volume",'Semrush Data'!$A$1:$Z$1,0)),""))</f>
        <v/>
      </c>
      <c r="R398" s="59">
        <f>IF(M398="","",IFERROR(INDEX('Semrush Data'!$A$1:$Z$20000,MATCH(M398,'Semrush Data'!$A$1:$A$20000,0),MATCH("Volume",'Semrush Data'!$A$1:$Z$1,0)),""))</f>
        <v/>
      </c>
      <c r="S398" s="59">
        <f>IF(N398="","",IFERROR(INDEX('Semrush Data'!$A$1:$Z$20000,MATCH(N398,'Semrush Data'!$A$1:$A$20000,0),MATCH("Volume",'Semrush Data'!$A$1:$Z$1,0)),""))</f>
        <v/>
      </c>
      <c r="T398" s="59">
        <f>IF(O398="","",IFERROR(INDEX('Semrush Data'!$A$1:$Z$20000,MATCH(O398,'Semrush Data'!$A$1:$A$20000,0),MATCH("Volume",'Semrush Data'!$A$1:$Z$1,0)),""))</f>
        <v/>
      </c>
      <c r="U398" s="59">
        <f>IF(P398="","",IFERROR(INDEX('Semrush Data'!$A$1:$Z$20000,MATCH(P398,'Semrush Data'!$A$1:$A$20000,0),MATCH("Volume",'Semrush Data'!$A$1:$Z$1,0)),""))</f>
        <v/>
      </c>
      <c r="V398" s="60">
        <f>IF(COUNT(Q398:U398)=0,L398,IF(MAX(Q398:U398)=0,L398,INDEX(L398:P398,MATCH(MAX(Q398:U398),Q398:U398,0))))</f>
        <v/>
      </c>
      <c r="W398" s="59">
        <f>IFERROR(INDEX('Semrush Data'!$A$1:$Z$20000,MATCH(V398,'Semrush Data'!$A$1:$A$20000,0),MATCH("Volume",'Semrush Data'!$A$1:$Z$1,0)),"")</f>
        <v/>
      </c>
      <c r="X398" s="59">
        <f>IFERROR(INDEX('Semrush Data'!$A$1:$Z$20000,MATCH(V398,'Semrush Data'!$A$1:$A$20000,0),MATCH("Keyword Difficulty*",'Semrush Data'!$A$1:$Z$1,0)),"")</f>
        <v/>
      </c>
      <c r="Y398" s="61">
        <f>IFERROR(INDEX('Semrush Data'!$A$1:$Z$20000,MATCH(V398,'Semrush Data'!$A$1:$A$20000,0),MATCH("CPC*",'Semrush Data'!$A$1:$Z$1,0)),"")</f>
        <v/>
      </c>
      <c r="Z398" s="58" t="inlineStr">
        <is>
          <t>hemel perfume · amber perfume uk</t>
        </is>
      </c>
      <c r="AA398" s="58" t="n"/>
      <c r="AB398" s="58" t="inlineStr">
        <is>
          <t>Hemel Amethyst Dream Unisex EDP</t>
        </is>
      </c>
      <c r="AC398" s="58" t="inlineStr">
        <is>
          <t>Hemel Amethyst Dream Unisex EDP | Buy Online UK | Swansura</t>
        </is>
      </c>
      <c r="AD398" s="58">
        <f>LEN(AC398)</f>
        <v/>
      </c>
      <c r="AE398" s="58" t="inlineStr">
        <is>
          <t>Buy Hemel Amethyst Dream Unisex EDP online in the UK at Swansura. An amber unisex eau de parfum, 100ml. 100% authentic, fast UK delivery, free over £50.</t>
        </is>
      </c>
      <c r="AF398" s="58">
        <f>LEN(AE398)</f>
        <v/>
      </c>
    </row>
    <row r="399" ht="15" customHeight="1" s="37">
      <c r="A399" s="58" t="inlineStr">
        <is>
          <t>FR-239</t>
        </is>
      </c>
      <c r="B399" s="58" t="inlineStr">
        <is>
          <t>Fragrance Catalogue</t>
        </is>
      </c>
      <c r="C399" s="58" t="n">
        <v>239</v>
      </c>
      <c r="D399" s="58" t="inlineStr">
        <is>
          <t>Hemel</t>
        </is>
      </c>
      <c r="E399" s="58" t="n"/>
      <c r="F399" s="58" t="inlineStr">
        <is>
          <t>Fragrance</t>
        </is>
      </c>
      <c r="G399" s="58" t="inlineStr">
        <is>
          <t>Eau de Parfum (EDP)</t>
        </is>
      </c>
      <c r="H399" s="58" t="inlineStr">
        <is>
          <t>Amber · Unisex Fragrance</t>
        </is>
      </c>
      <c r="I399" s="58" t="inlineStr">
        <is>
          <t>Hemel Dorado Eau de Parfum 100ml – Luxury Unisex Leather Amber Fragrance</t>
        </is>
      </c>
      <c r="J399" s="58" t="inlineStr">
        <is>
          <t>100ml</t>
        </is>
      </c>
      <c r="K399" s="58" t="n">
        <v>49.99</v>
      </c>
      <c r="L399" s="58" t="inlineStr">
        <is>
          <t>hemel dorado</t>
        </is>
      </c>
      <c r="M399" s="58" t="inlineStr">
        <is>
          <t>hemel dorado uk</t>
        </is>
      </c>
      <c r="N399" s="58" t="inlineStr">
        <is>
          <t>buy hemel dorado online</t>
        </is>
      </c>
      <c r="O399" s="58" t="inlineStr">
        <is>
          <t>hemel dorado price</t>
        </is>
      </c>
      <c r="P399" s="58" t="inlineStr">
        <is>
          <t>hemel dorado eau de parfum</t>
        </is>
      </c>
      <c r="Q399" s="59">
        <f>IF(L399="","",IFERROR(INDEX('Semrush Data'!$A$1:$Z$20000,MATCH(L399,'Semrush Data'!$A$1:$A$20000,0),MATCH("Volume",'Semrush Data'!$A$1:$Z$1,0)),""))</f>
        <v/>
      </c>
      <c r="R399" s="59">
        <f>IF(M399="","",IFERROR(INDEX('Semrush Data'!$A$1:$Z$20000,MATCH(M399,'Semrush Data'!$A$1:$A$20000,0),MATCH("Volume",'Semrush Data'!$A$1:$Z$1,0)),""))</f>
        <v/>
      </c>
      <c r="S399" s="59">
        <f>IF(N399="","",IFERROR(INDEX('Semrush Data'!$A$1:$Z$20000,MATCH(N399,'Semrush Data'!$A$1:$A$20000,0),MATCH("Volume",'Semrush Data'!$A$1:$Z$1,0)),""))</f>
        <v/>
      </c>
      <c r="T399" s="59">
        <f>IF(O399="","",IFERROR(INDEX('Semrush Data'!$A$1:$Z$20000,MATCH(O399,'Semrush Data'!$A$1:$A$20000,0),MATCH("Volume",'Semrush Data'!$A$1:$Z$1,0)),""))</f>
        <v/>
      </c>
      <c r="U399" s="59">
        <f>IF(P399="","",IFERROR(INDEX('Semrush Data'!$A$1:$Z$20000,MATCH(P399,'Semrush Data'!$A$1:$A$20000,0),MATCH("Volume",'Semrush Data'!$A$1:$Z$1,0)),""))</f>
        <v/>
      </c>
      <c r="V399" s="60">
        <f>IF(COUNT(Q399:U399)=0,L399,IF(MAX(Q399:U399)=0,L399,INDEX(L399:P399,MATCH(MAX(Q399:U399),Q399:U399,0))))</f>
        <v/>
      </c>
      <c r="W399" s="59">
        <f>IFERROR(INDEX('Semrush Data'!$A$1:$Z$20000,MATCH(V399,'Semrush Data'!$A$1:$A$20000,0),MATCH("Volume",'Semrush Data'!$A$1:$Z$1,0)),"")</f>
        <v/>
      </c>
      <c r="X399" s="59">
        <f>IFERROR(INDEX('Semrush Data'!$A$1:$Z$20000,MATCH(V399,'Semrush Data'!$A$1:$A$20000,0),MATCH("Keyword Difficulty*",'Semrush Data'!$A$1:$Z$1,0)),"")</f>
        <v/>
      </c>
      <c r="Y399" s="61">
        <f>IFERROR(INDEX('Semrush Data'!$A$1:$Z$20000,MATCH(V399,'Semrush Data'!$A$1:$A$20000,0),MATCH("CPC*",'Semrush Data'!$A$1:$Z$1,0)),"")</f>
        <v/>
      </c>
      <c r="Z399" s="58" t="inlineStr">
        <is>
          <t>hemel perfume · amber perfume uk</t>
        </is>
      </c>
      <c r="AA399" s="58" t="inlineStr">
        <is>
          <t>hemel dorado perfume</t>
        </is>
      </c>
      <c r="AB399" s="58" t="inlineStr">
        <is>
          <t>Hemel Dorado Eau de Parfum</t>
        </is>
      </c>
      <c r="AC399" s="58" t="inlineStr">
        <is>
          <t>Hemel Dorado Eau de Parfum | Buy Online UK | Swansura</t>
        </is>
      </c>
      <c r="AD399" s="58">
        <f>LEN(AC399)</f>
        <v/>
      </c>
      <c r="AE399" s="58" t="inlineStr">
        <is>
          <t>Buy Hemel Dorado Eau de Parfum online in the UK at Swansura. An amber unisex eau de parfum, 100ml. 100% authentic, fast UK delivery, free over £50.</t>
        </is>
      </c>
      <c r="AF399" s="58">
        <f>LEN(AE399)</f>
        <v/>
      </c>
    </row>
    <row r="400" ht="15" customHeight="1" s="37">
      <c r="A400" s="58" t="inlineStr">
        <is>
          <t>FR-240</t>
        </is>
      </c>
      <c r="B400" s="58" t="inlineStr">
        <is>
          <t>Fragrance Catalogue</t>
        </is>
      </c>
      <c r="C400" s="58" t="n">
        <v>240</v>
      </c>
      <c r="D400" s="58" t="inlineStr">
        <is>
          <t>Hemel</t>
        </is>
      </c>
      <c r="E400" s="58" t="n"/>
      <c r="F400" s="58" t="inlineStr">
        <is>
          <t>Fragrance</t>
        </is>
      </c>
      <c r="G400" s="58" t="inlineStr">
        <is>
          <t>Eau de Parfum (EDP)</t>
        </is>
      </c>
      <c r="H400" s="58" t="inlineStr">
        <is>
          <t>Amber · Unisex Fragrance</t>
        </is>
      </c>
      <c r="I400" s="58" t="inlineStr">
        <is>
          <t>Hemel Favourite Black Eau de Parfum 100ml – Luxury Unisex Leather Amber Fragrance</t>
        </is>
      </c>
      <c r="J400" s="58" t="inlineStr">
        <is>
          <t>100ml</t>
        </is>
      </c>
      <c r="K400" s="58" t="n">
        <v>61.99</v>
      </c>
      <c r="L400" s="58" t="inlineStr">
        <is>
          <t>hemel favourite black</t>
        </is>
      </c>
      <c r="M400" s="58" t="inlineStr">
        <is>
          <t>hemel favourite black uk</t>
        </is>
      </c>
      <c r="N400" s="58" t="inlineStr">
        <is>
          <t>buy hemel favourite black online</t>
        </is>
      </c>
      <c r="O400" s="58" t="inlineStr">
        <is>
          <t>hemel favourite black price</t>
        </is>
      </c>
      <c r="P400" s="58" t="inlineStr">
        <is>
          <t>hemel favourite black eau de parfum</t>
        </is>
      </c>
      <c r="Q400" s="59">
        <f>IF(L400="","",IFERROR(INDEX('Semrush Data'!$A$1:$Z$20000,MATCH(L400,'Semrush Data'!$A$1:$A$20000,0),MATCH("Volume",'Semrush Data'!$A$1:$Z$1,0)),""))</f>
        <v/>
      </c>
      <c r="R400" s="59">
        <f>IF(M400="","",IFERROR(INDEX('Semrush Data'!$A$1:$Z$20000,MATCH(M400,'Semrush Data'!$A$1:$A$20000,0),MATCH("Volume",'Semrush Data'!$A$1:$Z$1,0)),""))</f>
        <v/>
      </c>
      <c r="S400" s="59">
        <f>IF(N400="","",IFERROR(INDEX('Semrush Data'!$A$1:$Z$20000,MATCH(N400,'Semrush Data'!$A$1:$A$20000,0),MATCH("Volume",'Semrush Data'!$A$1:$Z$1,0)),""))</f>
        <v/>
      </c>
      <c r="T400" s="59">
        <f>IF(O400="","",IFERROR(INDEX('Semrush Data'!$A$1:$Z$20000,MATCH(O400,'Semrush Data'!$A$1:$A$20000,0),MATCH("Volume",'Semrush Data'!$A$1:$Z$1,0)),""))</f>
        <v/>
      </c>
      <c r="U400" s="59">
        <f>IF(P400="","",IFERROR(INDEX('Semrush Data'!$A$1:$Z$20000,MATCH(P400,'Semrush Data'!$A$1:$A$20000,0),MATCH("Volume",'Semrush Data'!$A$1:$Z$1,0)),""))</f>
        <v/>
      </c>
      <c r="V400" s="60">
        <f>IF(COUNT(Q400:U400)=0,L400,IF(MAX(Q400:U400)=0,L400,INDEX(L400:P400,MATCH(MAX(Q400:U400),Q400:U400,0))))</f>
        <v/>
      </c>
      <c r="W400" s="59">
        <f>IFERROR(INDEX('Semrush Data'!$A$1:$Z$20000,MATCH(V400,'Semrush Data'!$A$1:$A$20000,0),MATCH("Volume",'Semrush Data'!$A$1:$Z$1,0)),"")</f>
        <v/>
      </c>
      <c r="X400" s="59">
        <f>IFERROR(INDEX('Semrush Data'!$A$1:$Z$20000,MATCH(V400,'Semrush Data'!$A$1:$A$20000,0),MATCH("Keyword Difficulty*",'Semrush Data'!$A$1:$Z$1,0)),"")</f>
        <v/>
      </c>
      <c r="Y400" s="61">
        <f>IFERROR(INDEX('Semrush Data'!$A$1:$Z$20000,MATCH(V400,'Semrush Data'!$A$1:$A$20000,0),MATCH("CPC*",'Semrush Data'!$A$1:$Z$1,0)),"")</f>
        <v/>
      </c>
      <c r="Z400" s="58" t="inlineStr">
        <is>
          <t>hemel perfume · amber perfume uk</t>
        </is>
      </c>
      <c r="AA400" s="58" t="n"/>
      <c r="AB400" s="58" t="inlineStr">
        <is>
          <t>Hemel Favourite Black Eau de Parfum</t>
        </is>
      </c>
      <c r="AC400" s="58" t="inlineStr">
        <is>
          <t>Hemel Favourite Black EDP 100ml | Buy Online UK | Swansura</t>
        </is>
      </c>
      <c r="AD400" s="58">
        <f>LEN(AC400)</f>
        <v/>
      </c>
      <c r="AE400" s="58" t="inlineStr">
        <is>
          <t>Buy Hemel Favourite Black Eau de Parfum online in the UK at Swansura. An amber unisex eau de parfum, 100ml. 100% authentic, fast UK delivery, free over £50.</t>
        </is>
      </c>
      <c r="AF400" s="58">
        <f>LEN(AE400)</f>
        <v/>
      </c>
    </row>
    <row r="401" ht="15" customHeight="1" s="37">
      <c r="A401" s="58" t="inlineStr">
        <is>
          <t>FR-241</t>
        </is>
      </c>
      <c r="B401" s="58" t="inlineStr">
        <is>
          <t>Fragrance Catalogue</t>
        </is>
      </c>
      <c r="C401" s="58" t="n">
        <v>241</v>
      </c>
      <c r="D401" s="58" t="inlineStr">
        <is>
          <t>Hemel</t>
        </is>
      </c>
      <c r="E401" s="58" t="n"/>
      <c r="F401" s="58" t="inlineStr">
        <is>
          <t>Fragrance</t>
        </is>
      </c>
      <c r="G401" s="58" t="inlineStr">
        <is>
          <t>Eau de Parfum (EDP)</t>
        </is>
      </c>
      <c r="H401" s="58" t="inlineStr">
        <is>
          <t>Amber · Unisex Fragrance</t>
        </is>
      </c>
      <c r="I401" s="58" t="inlineStr">
        <is>
          <t>Hemel Favourite Black Unisex Eau De Parfum 100ML</t>
        </is>
      </c>
      <c r="J401" s="58" t="inlineStr">
        <is>
          <t>100ml</t>
        </is>
      </c>
      <c r="K401" s="58" t="n">
        <v>87.95</v>
      </c>
      <c r="L401" s="58" t="inlineStr">
        <is>
          <t>hemel favourite black</t>
        </is>
      </c>
      <c r="M401" s="58" t="inlineStr">
        <is>
          <t>hemel favourite black uk</t>
        </is>
      </c>
      <c r="N401" s="58" t="inlineStr">
        <is>
          <t>buy hemel favourite black online</t>
        </is>
      </c>
      <c r="O401" s="58" t="inlineStr">
        <is>
          <t>hemel favourite black price</t>
        </is>
      </c>
      <c r="P401" s="58" t="inlineStr">
        <is>
          <t>hemel favourite black eau de parfum</t>
        </is>
      </c>
      <c r="Q401" s="59">
        <f>IF(L401="","",IFERROR(INDEX('Semrush Data'!$A$1:$Z$20000,MATCH(L401,'Semrush Data'!$A$1:$A$20000,0),MATCH("Volume",'Semrush Data'!$A$1:$Z$1,0)),""))</f>
        <v/>
      </c>
      <c r="R401" s="59">
        <f>IF(M401="","",IFERROR(INDEX('Semrush Data'!$A$1:$Z$20000,MATCH(M401,'Semrush Data'!$A$1:$A$20000,0),MATCH("Volume",'Semrush Data'!$A$1:$Z$1,0)),""))</f>
        <v/>
      </c>
      <c r="S401" s="59">
        <f>IF(N401="","",IFERROR(INDEX('Semrush Data'!$A$1:$Z$20000,MATCH(N401,'Semrush Data'!$A$1:$A$20000,0),MATCH("Volume",'Semrush Data'!$A$1:$Z$1,0)),""))</f>
        <v/>
      </c>
      <c r="T401" s="59">
        <f>IF(O401="","",IFERROR(INDEX('Semrush Data'!$A$1:$Z$20000,MATCH(O401,'Semrush Data'!$A$1:$A$20000,0),MATCH("Volume",'Semrush Data'!$A$1:$Z$1,0)),""))</f>
        <v/>
      </c>
      <c r="U401" s="59">
        <f>IF(P401="","",IFERROR(INDEX('Semrush Data'!$A$1:$Z$20000,MATCH(P401,'Semrush Data'!$A$1:$A$20000,0),MATCH("Volume",'Semrush Data'!$A$1:$Z$1,0)),""))</f>
        <v/>
      </c>
      <c r="V401" s="60">
        <f>IF(COUNT(Q401:U401)=0,L401,IF(MAX(Q401:U401)=0,L401,INDEX(L401:P401,MATCH(MAX(Q401:U401),Q401:U401,0))))</f>
        <v/>
      </c>
      <c r="W401" s="59">
        <f>IFERROR(INDEX('Semrush Data'!$A$1:$Z$20000,MATCH(V401,'Semrush Data'!$A$1:$A$20000,0),MATCH("Volume",'Semrush Data'!$A$1:$Z$1,0)),"")</f>
        <v/>
      </c>
      <c r="X401" s="59">
        <f>IFERROR(INDEX('Semrush Data'!$A$1:$Z$20000,MATCH(V401,'Semrush Data'!$A$1:$A$20000,0),MATCH("Keyword Difficulty*",'Semrush Data'!$A$1:$Z$1,0)),"")</f>
        <v/>
      </c>
      <c r="Y401" s="61">
        <f>IFERROR(INDEX('Semrush Data'!$A$1:$Z$20000,MATCH(V401,'Semrush Data'!$A$1:$A$20000,0),MATCH("CPC*",'Semrush Data'!$A$1:$Z$1,0)),"")</f>
        <v/>
      </c>
      <c r="Z401" s="58" t="inlineStr">
        <is>
          <t>hemel perfume · amber perfume uk</t>
        </is>
      </c>
      <c r="AA401" s="58" t="n"/>
      <c r="AB401" s="58" t="inlineStr">
        <is>
          <t>Hemel Favourite Black Unisex Eau De Parfum</t>
        </is>
      </c>
      <c r="AC401" s="58" t="inlineStr">
        <is>
          <t>Hemel Favourite Black Unisex Eau De Parfum | Swansura UK</t>
        </is>
      </c>
      <c r="AD401" s="58">
        <f>LEN(AC401)</f>
        <v/>
      </c>
      <c r="AE401" s="58" t="inlineStr">
        <is>
          <t>Buy Hemel Favourite Black Unisex Eau De Parfum online in the UK at Swansura. An amber unisex eau de parfum, 100ml. 100% authentic, free UK delivery over £50.</t>
        </is>
      </c>
      <c r="AF401" s="58">
        <f>LEN(AE401)</f>
        <v/>
      </c>
    </row>
    <row r="402" ht="15" customHeight="1" s="37">
      <c r="A402" s="58" t="inlineStr">
        <is>
          <t>FR-242</t>
        </is>
      </c>
      <c r="B402" s="58" t="inlineStr">
        <is>
          <t>Fragrance Catalogue</t>
        </is>
      </c>
      <c r="C402" s="58" t="n">
        <v>242</v>
      </c>
      <c r="D402" s="58" t="inlineStr">
        <is>
          <t>Hemel</t>
        </is>
      </c>
      <c r="E402" s="58" t="n"/>
      <c r="F402" s="58" t="inlineStr">
        <is>
          <t>Fragrance</t>
        </is>
      </c>
      <c r="G402" s="58" t="inlineStr">
        <is>
          <t>Eau de Parfum (EDP)</t>
        </is>
      </c>
      <c r="H402" s="58" t="inlineStr">
        <is>
          <t>Floral · Unisex Fragrance</t>
        </is>
      </c>
      <c r="I402" s="58" t="inlineStr">
        <is>
          <t>Hemel Fragrance Affair Eau de Parfum 100ml – Luxury Unisex Floral Spicy Fragrance</t>
        </is>
      </c>
      <c r="J402" s="58" t="inlineStr">
        <is>
          <t>100ml</t>
        </is>
      </c>
      <c r="K402" s="58" t="n">
        <v>61.99</v>
      </c>
      <c r="L402" s="58" t="inlineStr">
        <is>
          <t>hemel affair</t>
        </is>
      </c>
      <c r="M402" s="58" t="inlineStr">
        <is>
          <t>hemel affair uk</t>
        </is>
      </c>
      <c r="N402" s="58" t="inlineStr">
        <is>
          <t>buy hemel affair online</t>
        </is>
      </c>
      <c r="O402" s="58" t="inlineStr">
        <is>
          <t>hemel affair price</t>
        </is>
      </c>
      <c r="P402" s="58" t="inlineStr">
        <is>
          <t>hemel affair eau de parfum</t>
        </is>
      </c>
      <c r="Q402" s="59">
        <f>IF(L402="","",IFERROR(INDEX('Semrush Data'!$A$1:$Z$20000,MATCH(L402,'Semrush Data'!$A$1:$A$20000,0),MATCH("Volume",'Semrush Data'!$A$1:$Z$1,0)),""))</f>
        <v/>
      </c>
      <c r="R402" s="59">
        <f>IF(M402="","",IFERROR(INDEX('Semrush Data'!$A$1:$Z$20000,MATCH(M402,'Semrush Data'!$A$1:$A$20000,0),MATCH("Volume",'Semrush Data'!$A$1:$Z$1,0)),""))</f>
        <v/>
      </c>
      <c r="S402" s="59">
        <f>IF(N402="","",IFERROR(INDEX('Semrush Data'!$A$1:$Z$20000,MATCH(N402,'Semrush Data'!$A$1:$A$20000,0),MATCH("Volume",'Semrush Data'!$A$1:$Z$1,0)),""))</f>
        <v/>
      </c>
      <c r="T402" s="59">
        <f>IF(O402="","",IFERROR(INDEX('Semrush Data'!$A$1:$Z$20000,MATCH(O402,'Semrush Data'!$A$1:$A$20000,0),MATCH("Volume",'Semrush Data'!$A$1:$Z$1,0)),""))</f>
        <v/>
      </c>
      <c r="U402" s="59">
        <f>IF(P402="","",IFERROR(INDEX('Semrush Data'!$A$1:$Z$20000,MATCH(P402,'Semrush Data'!$A$1:$A$20000,0),MATCH("Volume",'Semrush Data'!$A$1:$Z$1,0)),""))</f>
        <v/>
      </c>
      <c r="V402" s="60">
        <f>IF(COUNT(Q402:U402)=0,L402,IF(MAX(Q402:U402)=0,L402,INDEX(L402:P402,MATCH(MAX(Q402:U402),Q402:U402,0))))</f>
        <v/>
      </c>
      <c r="W402" s="59">
        <f>IFERROR(INDEX('Semrush Data'!$A$1:$Z$20000,MATCH(V402,'Semrush Data'!$A$1:$A$20000,0),MATCH("Volume",'Semrush Data'!$A$1:$Z$1,0)),"")</f>
        <v/>
      </c>
      <c r="X402" s="59">
        <f>IFERROR(INDEX('Semrush Data'!$A$1:$Z$20000,MATCH(V402,'Semrush Data'!$A$1:$A$20000,0),MATCH("Keyword Difficulty*",'Semrush Data'!$A$1:$Z$1,0)),"")</f>
        <v/>
      </c>
      <c r="Y402" s="61">
        <f>IFERROR(INDEX('Semrush Data'!$A$1:$Z$20000,MATCH(V402,'Semrush Data'!$A$1:$A$20000,0),MATCH("CPC*",'Semrush Data'!$A$1:$Z$1,0)),"")</f>
        <v/>
      </c>
      <c r="Z402" s="58" t="inlineStr">
        <is>
          <t>hemel perfume · floral perfume uk</t>
        </is>
      </c>
      <c r="AA402" s="58" t="n"/>
      <c r="AB402" s="58" t="inlineStr">
        <is>
          <t>Hemel Fragrance Affair Eau de Parfum</t>
        </is>
      </c>
      <c r="AC402" s="58" t="inlineStr">
        <is>
          <t>Hemel Fragrance Affair EDP 100ml | Buy Online UK | Swansura</t>
        </is>
      </c>
      <c r="AD402" s="58">
        <f>LEN(AC402)</f>
        <v/>
      </c>
      <c r="AE402" s="58" t="inlineStr">
        <is>
          <t>Buy Hemel Fragrance Affair Eau de Parfum online in the UK at Swansura. A floral unisex eau de parfum, 100ml. 100% authentic, fast UK delivery, free over £50.</t>
        </is>
      </c>
      <c r="AF402" s="58">
        <f>LEN(AE402)</f>
        <v/>
      </c>
    </row>
    <row r="403" ht="15" customHeight="1" s="37">
      <c r="A403" s="58" t="inlineStr">
        <is>
          <t>FR-243</t>
        </is>
      </c>
      <c r="B403" s="58" t="inlineStr">
        <is>
          <t>Fragrance Catalogue</t>
        </is>
      </c>
      <c r="C403" s="58" t="n">
        <v>243</v>
      </c>
      <c r="D403" s="58" t="inlineStr">
        <is>
          <t>Hemel</t>
        </is>
      </c>
      <c r="E403" s="58" t="n"/>
      <c r="F403" s="58" t="inlineStr">
        <is>
          <t>Fragrance</t>
        </is>
      </c>
      <c r="G403" s="58" t="inlineStr">
        <is>
          <t>Eau de Parfum (EDP)</t>
        </is>
      </c>
      <c r="H403" s="58" t="inlineStr">
        <is>
          <t>Amber · Unisex Fragrance</t>
        </is>
      </c>
      <c r="I403" s="58" t="inlineStr">
        <is>
          <t>Hemel Fragrance Affair Unisex Eau De Parfum 100ML</t>
        </is>
      </c>
      <c r="J403" s="58" t="inlineStr">
        <is>
          <t>100ml</t>
        </is>
      </c>
      <c r="K403" s="58" t="n">
        <v>87.95</v>
      </c>
      <c r="L403" s="58" t="inlineStr">
        <is>
          <t>hemel affair</t>
        </is>
      </c>
      <c r="M403" s="58" t="inlineStr">
        <is>
          <t>hemel affair uk</t>
        </is>
      </c>
      <c r="N403" s="58" t="inlineStr">
        <is>
          <t>buy hemel affair online</t>
        </is>
      </c>
      <c r="O403" s="58" t="inlineStr">
        <is>
          <t>hemel affair price</t>
        </is>
      </c>
      <c r="P403" s="58" t="inlineStr">
        <is>
          <t>hemel affair eau de parfum</t>
        </is>
      </c>
      <c r="Q403" s="59">
        <f>IF(L403="","",IFERROR(INDEX('Semrush Data'!$A$1:$Z$20000,MATCH(L403,'Semrush Data'!$A$1:$A$20000,0),MATCH("Volume",'Semrush Data'!$A$1:$Z$1,0)),""))</f>
        <v/>
      </c>
      <c r="R403" s="59">
        <f>IF(M403="","",IFERROR(INDEX('Semrush Data'!$A$1:$Z$20000,MATCH(M403,'Semrush Data'!$A$1:$A$20000,0),MATCH("Volume",'Semrush Data'!$A$1:$Z$1,0)),""))</f>
        <v/>
      </c>
      <c r="S403" s="59">
        <f>IF(N403="","",IFERROR(INDEX('Semrush Data'!$A$1:$Z$20000,MATCH(N403,'Semrush Data'!$A$1:$A$20000,0),MATCH("Volume",'Semrush Data'!$A$1:$Z$1,0)),""))</f>
        <v/>
      </c>
      <c r="T403" s="59">
        <f>IF(O403="","",IFERROR(INDEX('Semrush Data'!$A$1:$Z$20000,MATCH(O403,'Semrush Data'!$A$1:$A$20000,0),MATCH("Volume",'Semrush Data'!$A$1:$Z$1,0)),""))</f>
        <v/>
      </c>
      <c r="U403" s="59">
        <f>IF(P403="","",IFERROR(INDEX('Semrush Data'!$A$1:$Z$20000,MATCH(P403,'Semrush Data'!$A$1:$A$20000,0),MATCH("Volume",'Semrush Data'!$A$1:$Z$1,0)),""))</f>
        <v/>
      </c>
      <c r="V403" s="60">
        <f>IF(COUNT(Q403:U403)=0,L403,IF(MAX(Q403:U403)=0,L403,INDEX(L403:P403,MATCH(MAX(Q403:U403),Q403:U403,0))))</f>
        <v/>
      </c>
      <c r="W403" s="59">
        <f>IFERROR(INDEX('Semrush Data'!$A$1:$Z$20000,MATCH(V403,'Semrush Data'!$A$1:$A$20000,0),MATCH("Volume",'Semrush Data'!$A$1:$Z$1,0)),"")</f>
        <v/>
      </c>
      <c r="X403" s="59">
        <f>IFERROR(INDEX('Semrush Data'!$A$1:$Z$20000,MATCH(V403,'Semrush Data'!$A$1:$A$20000,0),MATCH("Keyword Difficulty*",'Semrush Data'!$A$1:$Z$1,0)),"")</f>
        <v/>
      </c>
      <c r="Y403" s="61">
        <f>IFERROR(INDEX('Semrush Data'!$A$1:$Z$20000,MATCH(V403,'Semrush Data'!$A$1:$A$20000,0),MATCH("CPC*",'Semrush Data'!$A$1:$Z$1,0)),"")</f>
        <v/>
      </c>
      <c r="Z403" s="58" t="inlineStr">
        <is>
          <t>hemel perfume · amber perfume uk</t>
        </is>
      </c>
      <c r="AA403" s="58" t="n"/>
      <c r="AB403" s="58" t="inlineStr">
        <is>
          <t>Hemel Fragrance Affair Unisex Eau De Parfum</t>
        </is>
      </c>
      <c r="AC403" s="58" t="inlineStr">
        <is>
          <t>Hemel Fragrance Affair Unisex Eau De Parfum | Swansura UK</t>
        </is>
      </c>
      <c r="AD403" s="58">
        <f>LEN(AC403)</f>
        <v/>
      </c>
      <c r="AE403" s="58" t="inlineStr">
        <is>
          <t>Buy Hemel Fragrance Affair Unisex Eau De Parfum online in the UK at Swansura. An amber unisex eau de parfum, 100ml. 100% authentic, free UK delivery over £50.</t>
        </is>
      </c>
      <c r="AF403" s="58">
        <f>LEN(AE403)</f>
        <v/>
      </c>
    </row>
    <row r="404" ht="15" customHeight="1" s="37">
      <c r="A404" s="58" t="inlineStr">
        <is>
          <t>FR-244</t>
        </is>
      </c>
      <c r="B404" s="58" t="inlineStr">
        <is>
          <t>Fragrance Catalogue</t>
        </is>
      </c>
      <c r="C404" s="58" t="n">
        <v>244</v>
      </c>
      <c r="D404" s="58" t="inlineStr">
        <is>
          <t>Hemel</t>
        </is>
      </c>
      <c r="E404" s="58" t="n"/>
      <c r="F404" s="58" t="inlineStr">
        <is>
          <t>Fragrance</t>
        </is>
      </c>
      <c r="G404" s="58" t="inlineStr">
        <is>
          <t>Eau de Parfum (EDP)</t>
        </is>
      </c>
      <c r="H404" s="58" t="inlineStr">
        <is>
          <t>Woody · Unisex Fragrance</t>
        </is>
      </c>
      <c r="I404" s="58" t="inlineStr">
        <is>
          <t>Hemel Gris Eau de Parfum 100ml – Luxury Unisex Citrus Woody Fragrance</t>
        </is>
      </c>
      <c r="J404" s="58" t="inlineStr">
        <is>
          <t>100ml</t>
        </is>
      </c>
      <c r="K404" s="58" t="n">
        <v>49.99</v>
      </c>
      <c r="L404" s="58" t="inlineStr">
        <is>
          <t>hemel gris</t>
        </is>
      </c>
      <c r="M404" s="58" t="inlineStr">
        <is>
          <t>hemel gris uk</t>
        </is>
      </c>
      <c r="N404" s="58" t="inlineStr">
        <is>
          <t>buy hemel gris online</t>
        </is>
      </c>
      <c r="O404" s="58" t="inlineStr">
        <is>
          <t>hemel gris price</t>
        </is>
      </c>
      <c r="P404" s="58" t="inlineStr">
        <is>
          <t>hemel gris eau de parfum</t>
        </is>
      </c>
      <c r="Q404" s="59">
        <f>IF(L404="","",IFERROR(INDEX('Semrush Data'!$A$1:$Z$20000,MATCH(L404,'Semrush Data'!$A$1:$A$20000,0),MATCH("Volume",'Semrush Data'!$A$1:$Z$1,0)),""))</f>
        <v/>
      </c>
      <c r="R404" s="59">
        <f>IF(M404="","",IFERROR(INDEX('Semrush Data'!$A$1:$Z$20000,MATCH(M404,'Semrush Data'!$A$1:$A$20000,0),MATCH("Volume",'Semrush Data'!$A$1:$Z$1,0)),""))</f>
        <v/>
      </c>
      <c r="S404" s="59">
        <f>IF(N404="","",IFERROR(INDEX('Semrush Data'!$A$1:$Z$20000,MATCH(N404,'Semrush Data'!$A$1:$A$20000,0),MATCH("Volume",'Semrush Data'!$A$1:$Z$1,0)),""))</f>
        <v/>
      </c>
      <c r="T404" s="59">
        <f>IF(O404="","",IFERROR(INDEX('Semrush Data'!$A$1:$Z$20000,MATCH(O404,'Semrush Data'!$A$1:$A$20000,0),MATCH("Volume",'Semrush Data'!$A$1:$Z$1,0)),""))</f>
        <v/>
      </c>
      <c r="U404" s="59">
        <f>IF(P404="","",IFERROR(INDEX('Semrush Data'!$A$1:$Z$20000,MATCH(P404,'Semrush Data'!$A$1:$A$20000,0),MATCH("Volume",'Semrush Data'!$A$1:$Z$1,0)),""))</f>
        <v/>
      </c>
      <c r="V404" s="60">
        <f>IF(COUNT(Q404:U404)=0,L404,IF(MAX(Q404:U404)=0,L404,INDEX(L404:P404,MATCH(MAX(Q404:U404),Q404:U404,0))))</f>
        <v/>
      </c>
      <c r="W404" s="59">
        <f>IFERROR(INDEX('Semrush Data'!$A$1:$Z$20000,MATCH(V404,'Semrush Data'!$A$1:$A$20000,0),MATCH("Volume",'Semrush Data'!$A$1:$Z$1,0)),"")</f>
        <v/>
      </c>
      <c r="X404" s="59">
        <f>IFERROR(INDEX('Semrush Data'!$A$1:$Z$20000,MATCH(V404,'Semrush Data'!$A$1:$A$20000,0),MATCH("Keyword Difficulty*",'Semrush Data'!$A$1:$Z$1,0)),"")</f>
        <v/>
      </c>
      <c r="Y404" s="61">
        <f>IFERROR(INDEX('Semrush Data'!$A$1:$Z$20000,MATCH(V404,'Semrush Data'!$A$1:$A$20000,0),MATCH("CPC*",'Semrush Data'!$A$1:$Z$1,0)),"")</f>
        <v/>
      </c>
      <c r="Z404" s="58" t="inlineStr">
        <is>
          <t>hemel perfume · woody perfume uk</t>
        </is>
      </c>
      <c r="AA404" s="58" t="inlineStr">
        <is>
          <t>hemel gris perfume · hemel gris edp · hemel gris eau de parfum</t>
        </is>
      </c>
      <c r="AB404" s="58" t="inlineStr">
        <is>
          <t>Hemel Gris Eau de Parfum</t>
        </is>
      </c>
      <c r="AC404" s="58" t="inlineStr">
        <is>
          <t>Hemel Gris Eau de Parfum | Buy Online UK | Swansura</t>
        </is>
      </c>
      <c r="AD404" s="58">
        <f>LEN(AC404)</f>
        <v/>
      </c>
      <c r="AE404" s="58" t="inlineStr">
        <is>
          <t>Buy Hemel Gris Eau de Parfum online in the UK at Swansura. A woody unisex eau de parfum, 100ml. 100% authentic, fast UK delivery, free over £50.</t>
        </is>
      </c>
      <c r="AF404" s="58">
        <f>LEN(AE404)</f>
        <v/>
      </c>
    </row>
    <row r="405" ht="15" customHeight="1" s="37">
      <c r="A405" s="58" t="inlineStr">
        <is>
          <t>FR-245</t>
        </is>
      </c>
      <c r="B405" s="58" t="inlineStr">
        <is>
          <t>Fragrance Catalogue</t>
        </is>
      </c>
      <c r="C405" s="58" t="n">
        <v>245</v>
      </c>
      <c r="D405" s="58" t="inlineStr">
        <is>
          <t>Hemel</t>
        </is>
      </c>
      <c r="E405" s="58" t="n"/>
      <c r="F405" s="58" t="inlineStr">
        <is>
          <t>Fragrance</t>
        </is>
      </c>
      <c r="G405" s="58" t="inlineStr">
        <is>
          <t>Eau de Parfum (EDP)</t>
        </is>
      </c>
      <c r="H405" s="58" t="inlineStr">
        <is>
          <t>Amber · Unisex Fragrance</t>
        </is>
      </c>
      <c r="I405" s="58" t="inlineStr">
        <is>
          <t>Hemel Paris Dorado EDP Unisex 100ML</t>
        </is>
      </c>
      <c r="J405" s="58" t="inlineStr">
        <is>
          <t>100ml</t>
        </is>
      </c>
      <c r="K405" s="58" t="n">
        <v>87.95</v>
      </c>
      <c r="L405" s="58" t="inlineStr">
        <is>
          <t>hemel paris dorado</t>
        </is>
      </c>
      <c r="M405" s="58" t="inlineStr">
        <is>
          <t>hemel paris dorado uk</t>
        </is>
      </c>
      <c r="N405" s="58" t="inlineStr">
        <is>
          <t>buy hemel paris dorado online</t>
        </is>
      </c>
      <c r="O405" s="58" t="inlineStr">
        <is>
          <t>hemel paris dorado price</t>
        </is>
      </c>
      <c r="P405" s="58" t="inlineStr">
        <is>
          <t>hemel paris dorado edp</t>
        </is>
      </c>
      <c r="Q405" s="59">
        <f>IF(L405="","",IFERROR(INDEX('Semrush Data'!$A$1:$Z$20000,MATCH(L405,'Semrush Data'!$A$1:$A$20000,0),MATCH("Volume",'Semrush Data'!$A$1:$Z$1,0)),""))</f>
        <v/>
      </c>
      <c r="R405" s="59">
        <f>IF(M405="","",IFERROR(INDEX('Semrush Data'!$A$1:$Z$20000,MATCH(M405,'Semrush Data'!$A$1:$A$20000,0),MATCH("Volume",'Semrush Data'!$A$1:$Z$1,0)),""))</f>
        <v/>
      </c>
      <c r="S405" s="59">
        <f>IF(N405="","",IFERROR(INDEX('Semrush Data'!$A$1:$Z$20000,MATCH(N405,'Semrush Data'!$A$1:$A$20000,0),MATCH("Volume",'Semrush Data'!$A$1:$Z$1,0)),""))</f>
        <v/>
      </c>
      <c r="T405" s="59">
        <f>IF(O405="","",IFERROR(INDEX('Semrush Data'!$A$1:$Z$20000,MATCH(O405,'Semrush Data'!$A$1:$A$20000,0),MATCH("Volume",'Semrush Data'!$A$1:$Z$1,0)),""))</f>
        <v/>
      </c>
      <c r="U405" s="59">
        <f>IF(P405="","",IFERROR(INDEX('Semrush Data'!$A$1:$Z$20000,MATCH(P405,'Semrush Data'!$A$1:$A$20000,0),MATCH("Volume",'Semrush Data'!$A$1:$Z$1,0)),""))</f>
        <v/>
      </c>
      <c r="V405" s="60">
        <f>IF(COUNT(Q405:U405)=0,L405,IF(MAX(Q405:U405)=0,L405,INDEX(L405:P405,MATCH(MAX(Q405:U405),Q405:U405,0))))</f>
        <v/>
      </c>
      <c r="W405" s="59">
        <f>IFERROR(INDEX('Semrush Data'!$A$1:$Z$20000,MATCH(V405,'Semrush Data'!$A$1:$A$20000,0),MATCH("Volume",'Semrush Data'!$A$1:$Z$1,0)),"")</f>
        <v/>
      </c>
      <c r="X405" s="59">
        <f>IFERROR(INDEX('Semrush Data'!$A$1:$Z$20000,MATCH(V405,'Semrush Data'!$A$1:$A$20000,0),MATCH("Keyword Difficulty*",'Semrush Data'!$A$1:$Z$1,0)),"")</f>
        <v/>
      </c>
      <c r="Y405" s="61">
        <f>IFERROR(INDEX('Semrush Data'!$A$1:$Z$20000,MATCH(V405,'Semrush Data'!$A$1:$A$20000,0),MATCH("CPC*",'Semrush Data'!$A$1:$Z$1,0)),"")</f>
        <v/>
      </c>
      <c r="Z405" s="58" t="inlineStr">
        <is>
          <t>hemel perfume · amber perfume uk</t>
        </is>
      </c>
      <c r="AA405" s="58" t="n"/>
      <c r="AB405" s="58" t="inlineStr">
        <is>
          <t>Hemel Paris Dorado EDP Unisex</t>
        </is>
      </c>
      <c r="AC405" s="58" t="inlineStr">
        <is>
          <t>Hemel Paris Dorado EDP Unisex | Buy Online UK | Swansura</t>
        </is>
      </c>
      <c r="AD405" s="58">
        <f>LEN(AC405)</f>
        <v/>
      </c>
      <c r="AE405" s="58" t="inlineStr">
        <is>
          <t>Buy Hemel Paris Dorado EDP Unisex online in the UK at Swansura. An amber unisex eau de parfum, 100ml. 100% authentic, fast UK delivery, free over £50.</t>
        </is>
      </c>
      <c r="AF405" s="58">
        <f>LEN(AE405)</f>
        <v/>
      </c>
    </row>
    <row r="406" ht="15" customHeight="1" s="37">
      <c r="A406" s="58" t="inlineStr">
        <is>
          <t>FR-246</t>
        </is>
      </c>
      <c r="B406" s="58" t="inlineStr">
        <is>
          <t>Fragrance Catalogue</t>
        </is>
      </c>
      <c r="C406" s="58" t="n">
        <v>246</v>
      </c>
      <c r="D406" s="58" t="inlineStr">
        <is>
          <t>Hemel</t>
        </is>
      </c>
      <c r="E406" s="58" t="n"/>
      <c r="F406" s="58" t="inlineStr">
        <is>
          <t>Fragrance</t>
        </is>
      </c>
      <c r="G406" s="58" t="inlineStr">
        <is>
          <t>Eau de Parfum (EDP)</t>
        </is>
      </c>
      <c r="H406" s="58" t="inlineStr">
        <is>
          <t>Amber · Unisex Fragrance</t>
        </is>
      </c>
      <c r="I406" s="58" t="inlineStr">
        <is>
          <t>Hemel Paris Gris Eau De Parfum for all 100ML</t>
        </is>
      </c>
      <c r="J406" s="58" t="inlineStr">
        <is>
          <t>100ml</t>
        </is>
      </c>
      <c r="K406" s="58" t="n">
        <v>87.95</v>
      </c>
      <c r="L406" s="58" t="inlineStr">
        <is>
          <t>hemel paris gris for all</t>
        </is>
      </c>
      <c r="M406" s="58" t="inlineStr">
        <is>
          <t>hemel paris gris for all uk</t>
        </is>
      </c>
      <c r="N406" s="58" t="inlineStr">
        <is>
          <t>buy hemel paris gris for all online</t>
        </is>
      </c>
      <c r="O406" s="58" t="inlineStr">
        <is>
          <t>hemel paris gris for all price</t>
        </is>
      </c>
      <c r="P406" s="58" t="inlineStr">
        <is>
          <t>hemel paris gris for all eau de parfum</t>
        </is>
      </c>
      <c r="Q406" s="59">
        <f>IF(L406="","",IFERROR(INDEX('Semrush Data'!$A$1:$Z$20000,MATCH(L406,'Semrush Data'!$A$1:$A$20000,0),MATCH("Volume",'Semrush Data'!$A$1:$Z$1,0)),""))</f>
        <v/>
      </c>
      <c r="R406" s="59">
        <f>IF(M406="","",IFERROR(INDEX('Semrush Data'!$A$1:$Z$20000,MATCH(M406,'Semrush Data'!$A$1:$A$20000,0),MATCH("Volume",'Semrush Data'!$A$1:$Z$1,0)),""))</f>
        <v/>
      </c>
      <c r="S406" s="59">
        <f>IF(N406="","",IFERROR(INDEX('Semrush Data'!$A$1:$Z$20000,MATCH(N406,'Semrush Data'!$A$1:$A$20000,0),MATCH("Volume",'Semrush Data'!$A$1:$Z$1,0)),""))</f>
        <v/>
      </c>
      <c r="T406" s="59">
        <f>IF(O406="","",IFERROR(INDEX('Semrush Data'!$A$1:$Z$20000,MATCH(O406,'Semrush Data'!$A$1:$A$20000,0),MATCH("Volume",'Semrush Data'!$A$1:$Z$1,0)),""))</f>
        <v/>
      </c>
      <c r="U406" s="59">
        <f>IF(P406="","",IFERROR(INDEX('Semrush Data'!$A$1:$Z$20000,MATCH(P406,'Semrush Data'!$A$1:$A$20000,0),MATCH("Volume",'Semrush Data'!$A$1:$Z$1,0)),""))</f>
        <v/>
      </c>
      <c r="V406" s="60">
        <f>IF(COUNT(Q406:U406)=0,L406,IF(MAX(Q406:U406)=0,L406,INDEX(L406:P406,MATCH(MAX(Q406:U406),Q406:U406,0))))</f>
        <v/>
      </c>
      <c r="W406" s="59">
        <f>IFERROR(INDEX('Semrush Data'!$A$1:$Z$20000,MATCH(V406,'Semrush Data'!$A$1:$A$20000,0),MATCH("Volume",'Semrush Data'!$A$1:$Z$1,0)),"")</f>
        <v/>
      </c>
      <c r="X406" s="59">
        <f>IFERROR(INDEX('Semrush Data'!$A$1:$Z$20000,MATCH(V406,'Semrush Data'!$A$1:$A$20000,0),MATCH("Keyword Difficulty*",'Semrush Data'!$A$1:$Z$1,0)),"")</f>
        <v/>
      </c>
      <c r="Y406" s="61">
        <f>IFERROR(INDEX('Semrush Data'!$A$1:$Z$20000,MATCH(V406,'Semrush Data'!$A$1:$A$20000,0),MATCH("CPC*",'Semrush Data'!$A$1:$Z$1,0)),"")</f>
        <v/>
      </c>
      <c r="Z406" s="58" t="inlineStr">
        <is>
          <t>hemel perfume · amber perfume uk</t>
        </is>
      </c>
      <c r="AA406" s="58" t="n"/>
      <c r="AB406" s="58" t="inlineStr">
        <is>
          <t>Hemel Paris Gris Eau De Parfum for All</t>
        </is>
      </c>
      <c r="AC406" s="58" t="inlineStr">
        <is>
          <t>Hemel Paris Gris Eau De Parfum for All | Swansura UK</t>
        </is>
      </c>
      <c r="AD406" s="58">
        <f>LEN(AC406)</f>
        <v/>
      </c>
      <c r="AE406" s="58" t="inlineStr">
        <is>
          <t>Buy Hemel Paris Gris Eau De Parfum for All online in the UK at Swansura. An amber unisex eau de parfum, 100ml. 100% authentic, fast UK delivery, free over £50.</t>
        </is>
      </c>
      <c r="AF406" s="58">
        <f>LEN(AE406)</f>
        <v/>
      </c>
    </row>
    <row r="407" ht="15" customHeight="1" s="37">
      <c r="A407" s="58" t="inlineStr">
        <is>
          <t>FR-247</t>
        </is>
      </c>
      <c r="B407" s="58" t="inlineStr">
        <is>
          <t>Fragrance Catalogue</t>
        </is>
      </c>
      <c r="C407" s="58" t="n">
        <v>247</v>
      </c>
      <c r="D407" s="58" t="inlineStr">
        <is>
          <t>Hemel</t>
        </is>
      </c>
      <c r="E407" s="58" t="n"/>
      <c r="F407" s="58" t="inlineStr">
        <is>
          <t>Fragrance</t>
        </is>
      </c>
      <c r="G407" s="58" t="inlineStr">
        <is>
          <t>Eau de Parfum (EDP)</t>
        </is>
      </c>
      <c r="H407" s="58" t="inlineStr">
        <is>
          <t>Woody · Unisex Fragrance</t>
        </is>
      </c>
      <c r="I407" s="58" t="inlineStr">
        <is>
          <t>Hemel Patchouli For All Eau De Parfum 100ML</t>
        </is>
      </c>
      <c r="J407" s="58" t="inlineStr">
        <is>
          <t>100ml</t>
        </is>
      </c>
      <c r="K407" s="58" t="n">
        <v>87.95</v>
      </c>
      <c r="L407" s="58" t="inlineStr">
        <is>
          <t>hemel patchouli for all</t>
        </is>
      </c>
      <c r="M407" s="58" t="inlineStr">
        <is>
          <t>hemel patchouli for all uk</t>
        </is>
      </c>
      <c r="N407" s="58" t="inlineStr">
        <is>
          <t>buy hemel patchouli for all online</t>
        </is>
      </c>
      <c r="O407" s="58" t="inlineStr">
        <is>
          <t>hemel patchouli for all price</t>
        </is>
      </c>
      <c r="P407" s="58" t="inlineStr">
        <is>
          <t>hemel patchouli for all eau de parfum</t>
        </is>
      </c>
      <c r="Q407" s="59">
        <f>IF(L407="","",IFERROR(INDEX('Semrush Data'!$A$1:$Z$20000,MATCH(L407,'Semrush Data'!$A$1:$A$20000,0),MATCH("Volume",'Semrush Data'!$A$1:$Z$1,0)),""))</f>
        <v/>
      </c>
      <c r="R407" s="59">
        <f>IF(M407="","",IFERROR(INDEX('Semrush Data'!$A$1:$Z$20000,MATCH(M407,'Semrush Data'!$A$1:$A$20000,0),MATCH("Volume",'Semrush Data'!$A$1:$Z$1,0)),""))</f>
        <v/>
      </c>
      <c r="S407" s="59">
        <f>IF(N407="","",IFERROR(INDEX('Semrush Data'!$A$1:$Z$20000,MATCH(N407,'Semrush Data'!$A$1:$A$20000,0),MATCH("Volume",'Semrush Data'!$A$1:$Z$1,0)),""))</f>
        <v/>
      </c>
      <c r="T407" s="59">
        <f>IF(O407="","",IFERROR(INDEX('Semrush Data'!$A$1:$Z$20000,MATCH(O407,'Semrush Data'!$A$1:$A$20000,0),MATCH("Volume",'Semrush Data'!$A$1:$Z$1,0)),""))</f>
        <v/>
      </c>
      <c r="U407" s="59">
        <f>IF(P407="","",IFERROR(INDEX('Semrush Data'!$A$1:$Z$20000,MATCH(P407,'Semrush Data'!$A$1:$A$20000,0),MATCH("Volume",'Semrush Data'!$A$1:$Z$1,0)),""))</f>
        <v/>
      </c>
      <c r="V407" s="60">
        <f>IF(COUNT(Q407:U407)=0,L407,IF(MAX(Q407:U407)=0,L407,INDEX(L407:P407,MATCH(MAX(Q407:U407),Q407:U407,0))))</f>
        <v/>
      </c>
      <c r="W407" s="59">
        <f>IFERROR(INDEX('Semrush Data'!$A$1:$Z$20000,MATCH(V407,'Semrush Data'!$A$1:$A$20000,0),MATCH("Volume",'Semrush Data'!$A$1:$Z$1,0)),"")</f>
        <v/>
      </c>
      <c r="X407" s="59">
        <f>IFERROR(INDEX('Semrush Data'!$A$1:$Z$20000,MATCH(V407,'Semrush Data'!$A$1:$A$20000,0),MATCH("Keyword Difficulty*",'Semrush Data'!$A$1:$Z$1,0)),"")</f>
        <v/>
      </c>
      <c r="Y407" s="61">
        <f>IFERROR(INDEX('Semrush Data'!$A$1:$Z$20000,MATCH(V407,'Semrush Data'!$A$1:$A$20000,0),MATCH("CPC*",'Semrush Data'!$A$1:$Z$1,0)),"")</f>
        <v/>
      </c>
      <c r="Z407" s="58" t="inlineStr">
        <is>
          <t>hemel perfume · woody perfume uk</t>
        </is>
      </c>
      <c r="AA407" s="58" t="inlineStr">
        <is>
          <t>hemel patchouli for all eau de parfum · hemel patchouli for all price · hemel patchouli for all review</t>
        </is>
      </c>
      <c r="AB407" s="58" t="inlineStr">
        <is>
          <t>Hemel Patchouli For All Eau De Parfum</t>
        </is>
      </c>
      <c r="AC407" s="58" t="inlineStr">
        <is>
          <t>Hemel Patchouli For All EDP 100ml | Buy Online UK | Swansura</t>
        </is>
      </c>
      <c r="AD407" s="58">
        <f>LEN(AC407)</f>
        <v/>
      </c>
      <c r="AE407" s="58" t="inlineStr">
        <is>
          <t>Buy Hemel Patchouli For All Eau De Parfum online in the UK at Swansura. A woody unisex eau de parfum, 100ml. 100% authentic, fast UK delivery, free over £50.</t>
        </is>
      </c>
      <c r="AF407" s="58">
        <f>LEN(AE407)</f>
        <v/>
      </c>
    </row>
    <row r="408" ht="15" customHeight="1" s="37">
      <c r="A408" s="58" t="inlineStr">
        <is>
          <t>FR-248</t>
        </is>
      </c>
      <c r="B408" s="58" t="inlineStr">
        <is>
          <t>Fragrance Catalogue</t>
        </is>
      </c>
      <c r="C408" s="58" t="n">
        <v>248</v>
      </c>
      <c r="D408" s="58" t="inlineStr">
        <is>
          <t>Hemel</t>
        </is>
      </c>
      <c r="E408" s="58" t="n"/>
      <c r="F408" s="58" t="inlineStr">
        <is>
          <t>Fragrance</t>
        </is>
      </c>
      <c r="G408" s="58" t="inlineStr">
        <is>
          <t>Eau de Parfum (EDP)</t>
        </is>
      </c>
      <c r="H408" s="58" t="inlineStr">
        <is>
          <t>Woody · Unisex Fragrance</t>
        </is>
      </c>
      <c r="I408" s="58" t="inlineStr">
        <is>
          <t>Hemel Patchouli For All Eau de Parfum 100ml – Luxury Unisex Woody Patchouli Fragrance</t>
        </is>
      </c>
      <c r="J408" s="58" t="inlineStr">
        <is>
          <t>100ml</t>
        </is>
      </c>
      <c r="K408" s="58" t="n">
        <v>61.99</v>
      </c>
      <c r="L408" s="58" t="inlineStr">
        <is>
          <t>hemel patchouli for all</t>
        </is>
      </c>
      <c r="M408" s="58" t="inlineStr">
        <is>
          <t>hemel patchouli for all uk</t>
        </is>
      </c>
      <c r="N408" s="58" t="inlineStr">
        <is>
          <t>buy hemel patchouli for all online</t>
        </is>
      </c>
      <c r="O408" s="58" t="inlineStr">
        <is>
          <t>hemel patchouli for all price</t>
        </is>
      </c>
      <c r="P408" s="58" t="inlineStr">
        <is>
          <t>hemel patchouli for all eau de parfum</t>
        </is>
      </c>
      <c r="Q408" s="59">
        <f>IF(L408="","",IFERROR(INDEX('Semrush Data'!$A$1:$Z$20000,MATCH(L408,'Semrush Data'!$A$1:$A$20000,0),MATCH("Volume",'Semrush Data'!$A$1:$Z$1,0)),""))</f>
        <v/>
      </c>
      <c r="R408" s="59">
        <f>IF(M408="","",IFERROR(INDEX('Semrush Data'!$A$1:$Z$20000,MATCH(M408,'Semrush Data'!$A$1:$A$20000,0),MATCH("Volume",'Semrush Data'!$A$1:$Z$1,0)),""))</f>
        <v/>
      </c>
      <c r="S408" s="59">
        <f>IF(N408="","",IFERROR(INDEX('Semrush Data'!$A$1:$Z$20000,MATCH(N408,'Semrush Data'!$A$1:$A$20000,0),MATCH("Volume",'Semrush Data'!$A$1:$Z$1,0)),""))</f>
        <v/>
      </c>
      <c r="T408" s="59">
        <f>IF(O408="","",IFERROR(INDEX('Semrush Data'!$A$1:$Z$20000,MATCH(O408,'Semrush Data'!$A$1:$A$20000,0),MATCH("Volume",'Semrush Data'!$A$1:$Z$1,0)),""))</f>
        <v/>
      </c>
      <c r="U408" s="59">
        <f>IF(P408="","",IFERROR(INDEX('Semrush Data'!$A$1:$Z$20000,MATCH(P408,'Semrush Data'!$A$1:$A$20000,0),MATCH("Volume",'Semrush Data'!$A$1:$Z$1,0)),""))</f>
        <v/>
      </c>
      <c r="V408" s="60">
        <f>IF(COUNT(Q408:U408)=0,L408,IF(MAX(Q408:U408)=0,L408,INDEX(L408:P408,MATCH(MAX(Q408:U408),Q408:U408,0))))</f>
        <v/>
      </c>
      <c r="W408" s="59">
        <f>IFERROR(INDEX('Semrush Data'!$A$1:$Z$20000,MATCH(V408,'Semrush Data'!$A$1:$A$20000,0),MATCH("Volume",'Semrush Data'!$A$1:$Z$1,0)),"")</f>
        <v/>
      </c>
      <c r="X408" s="59">
        <f>IFERROR(INDEX('Semrush Data'!$A$1:$Z$20000,MATCH(V408,'Semrush Data'!$A$1:$A$20000,0),MATCH("Keyword Difficulty*",'Semrush Data'!$A$1:$Z$1,0)),"")</f>
        <v/>
      </c>
      <c r="Y408" s="61">
        <f>IFERROR(INDEX('Semrush Data'!$A$1:$Z$20000,MATCH(V408,'Semrush Data'!$A$1:$A$20000,0),MATCH("CPC*",'Semrush Data'!$A$1:$Z$1,0)),"")</f>
        <v/>
      </c>
      <c r="Z408" s="58" t="inlineStr">
        <is>
          <t>hemel perfume · woody perfume uk</t>
        </is>
      </c>
      <c r="AA408" s="58" t="inlineStr">
        <is>
          <t>hemel patchouli for all eau de parfum · hemel patchouli for all price · hemel patchouli for all review</t>
        </is>
      </c>
      <c r="AB408" s="58" t="inlineStr">
        <is>
          <t>Hemel Patchouli For All Eau de Parfum</t>
        </is>
      </c>
      <c r="AC408" s="58" t="inlineStr">
        <is>
          <t>Hemel Patchouli For All EDP 100ml | Buy Online UK | Swansura</t>
        </is>
      </c>
      <c r="AD408" s="58">
        <f>LEN(AC408)</f>
        <v/>
      </c>
      <c r="AE408" s="58" t="inlineStr">
        <is>
          <t>Buy Hemel Patchouli For All Eau de Parfum online in the UK at Swansura. A woody unisex eau de parfum, 100ml. 100% authentic, fast UK delivery, free over £50.</t>
        </is>
      </c>
      <c r="AF408" s="58">
        <f>LEN(AE408)</f>
        <v/>
      </c>
    </row>
    <row r="409" ht="15" customHeight="1" s="37">
      <c r="A409" s="58" t="inlineStr">
        <is>
          <t>FR-249</t>
        </is>
      </c>
      <c r="B409" s="58" t="inlineStr">
        <is>
          <t>Fragrance Catalogue</t>
        </is>
      </c>
      <c r="C409" s="58" t="n">
        <v>249</v>
      </c>
      <c r="D409" s="58" t="inlineStr">
        <is>
          <t>Hemel</t>
        </is>
      </c>
      <c r="E409" s="58" t="n"/>
      <c r="F409" s="58" t="inlineStr">
        <is>
          <t>Fragrance</t>
        </is>
      </c>
      <c r="G409" s="58" t="inlineStr">
        <is>
          <t>Eau de Parfum (EDP)</t>
        </is>
      </c>
      <c r="H409" s="58" t="inlineStr">
        <is>
          <t>Woody · Unisex Fragrance</t>
        </is>
      </c>
      <c r="I409" s="58" t="inlineStr">
        <is>
          <t>Hemel Plateado Eau de Parfum 100ml – Luxury Unisex Spicy Woody Fragrance</t>
        </is>
      </c>
      <c r="J409" s="58" t="inlineStr">
        <is>
          <t>100ml</t>
        </is>
      </c>
      <c r="K409" s="58" t="n">
        <v>49.99</v>
      </c>
      <c r="L409" s="58" t="inlineStr">
        <is>
          <t>hemel plateado</t>
        </is>
      </c>
      <c r="M409" s="58" t="inlineStr">
        <is>
          <t>hemel plateado uk</t>
        </is>
      </c>
      <c r="N409" s="58" t="inlineStr">
        <is>
          <t>buy hemel plateado online</t>
        </is>
      </c>
      <c r="O409" s="58" t="inlineStr">
        <is>
          <t>hemel plateado price</t>
        </is>
      </c>
      <c r="P409" s="58" t="inlineStr">
        <is>
          <t>hemel plateado eau de parfum</t>
        </is>
      </c>
      <c r="Q409" s="59">
        <f>IF(L409="","",IFERROR(INDEX('Semrush Data'!$A$1:$Z$20000,MATCH(L409,'Semrush Data'!$A$1:$A$20000,0),MATCH("Volume",'Semrush Data'!$A$1:$Z$1,0)),""))</f>
        <v/>
      </c>
      <c r="R409" s="59">
        <f>IF(M409="","",IFERROR(INDEX('Semrush Data'!$A$1:$Z$20000,MATCH(M409,'Semrush Data'!$A$1:$A$20000,0),MATCH("Volume",'Semrush Data'!$A$1:$Z$1,0)),""))</f>
        <v/>
      </c>
      <c r="S409" s="59">
        <f>IF(N409="","",IFERROR(INDEX('Semrush Data'!$A$1:$Z$20000,MATCH(N409,'Semrush Data'!$A$1:$A$20000,0),MATCH("Volume",'Semrush Data'!$A$1:$Z$1,0)),""))</f>
        <v/>
      </c>
      <c r="T409" s="59">
        <f>IF(O409="","",IFERROR(INDEX('Semrush Data'!$A$1:$Z$20000,MATCH(O409,'Semrush Data'!$A$1:$A$20000,0),MATCH("Volume",'Semrush Data'!$A$1:$Z$1,0)),""))</f>
        <v/>
      </c>
      <c r="U409" s="59">
        <f>IF(P409="","",IFERROR(INDEX('Semrush Data'!$A$1:$Z$20000,MATCH(P409,'Semrush Data'!$A$1:$A$20000,0),MATCH("Volume",'Semrush Data'!$A$1:$Z$1,0)),""))</f>
        <v/>
      </c>
      <c r="V409" s="60">
        <f>IF(COUNT(Q409:U409)=0,L409,IF(MAX(Q409:U409)=0,L409,INDEX(L409:P409,MATCH(MAX(Q409:U409),Q409:U409,0))))</f>
        <v/>
      </c>
      <c r="W409" s="59">
        <f>IFERROR(INDEX('Semrush Data'!$A$1:$Z$20000,MATCH(V409,'Semrush Data'!$A$1:$A$20000,0),MATCH("Volume",'Semrush Data'!$A$1:$Z$1,0)),"")</f>
        <v/>
      </c>
      <c r="X409" s="59">
        <f>IFERROR(INDEX('Semrush Data'!$A$1:$Z$20000,MATCH(V409,'Semrush Data'!$A$1:$A$20000,0),MATCH("Keyword Difficulty*",'Semrush Data'!$A$1:$Z$1,0)),"")</f>
        <v/>
      </c>
      <c r="Y409" s="61">
        <f>IFERROR(INDEX('Semrush Data'!$A$1:$Z$20000,MATCH(V409,'Semrush Data'!$A$1:$A$20000,0),MATCH("CPC*",'Semrush Data'!$A$1:$Z$1,0)),"")</f>
        <v/>
      </c>
      <c r="Z409" s="58" t="inlineStr">
        <is>
          <t>hemel perfume · woody perfume uk</t>
        </is>
      </c>
      <c r="AA409" s="58" t="n"/>
      <c r="AB409" s="58" t="inlineStr">
        <is>
          <t>Hemel Plateado Eau de Parfum</t>
        </is>
      </c>
      <c r="AC409" s="58" t="inlineStr">
        <is>
          <t>Hemel Plateado Eau de Parfum | Buy Online UK | Swansura</t>
        </is>
      </c>
      <c r="AD409" s="58">
        <f>LEN(AC409)</f>
        <v/>
      </c>
      <c r="AE409" s="58" t="inlineStr">
        <is>
          <t>Buy Hemel Plateado Eau de Parfum online in the UK at Swansura. A woody unisex eau de parfum, 100ml. 100% authentic, fast UK delivery, free over £50.</t>
        </is>
      </c>
      <c r="AF409" s="58">
        <f>LEN(AE409)</f>
        <v/>
      </c>
    </row>
    <row r="410" ht="15" customHeight="1" s="37">
      <c r="A410" s="58" t="inlineStr">
        <is>
          <t>FR-250</t>
        </is>
      </c>
      <c r="B410" s="58" t="inlineStr">
        <is>
          <t>Fragrance Catalogue</t>
        </is>
      </c>
      <c r="C410" s="58" t="n">
        <v>250</v>
      </c>
      <c r="D410" s="58" t="inlineStr">
        <is>
          <t>Hemel</t>
        </is>
      </c>
      <c r="E410" s="58" t="n"/>
      <c r="F410" s="58" t="inlineStr">
        <is>
          <t>Fragrance</t>
        </is>
      </c>
      <c r="G410" s="58" t="inlineStr">
        <is>
          <t>Eau de Parfum (EDP)</t>
        </is>
      </c>
      <c r="H410" s="58" t="inlineStr">
        <is>
          <t>Amber · Unisex Fragrance</t>
        </is>
      </c>
      <c r="I410" s="58" t="inlineStr">
        <is>
          <t>Hemel Plateado Eau De Parfum Unisex 100ML</t>
        </is>
      </c>
      <c r="J410" s="58" t="inlineStr">
        <is>
          <t>100ml</t>
        </is>
      </c>
      <c r="K410" s="58" t="n">
        <v>87.95</v>
      </c>
      <c r="L410" s="58" t="inlineStr">
        <is>
          <t>hemel plateado</t>
        </is>
      </c>
      <c r="M410" s="58" t="inlineStr">
        <is>
          <t>hemel plateado uk</t>
        </is>
      </c>
      <c r="N410" s="58" t="inlineStr">
        <is>
          <t>buy hemel plateado online</t>
        </is>
      </c>
      <c r="O410" s="58" t="inlineStr">
        <is>
          <t>hemel plateado price</t>
        </is>
      </c>
      <c r="P410" s="58" t="inlineStr">
        <is>
          <t>hemel plateado eau de parfum</t>
        </is>
      </c>
      <c r="Q410" s="59">
        <f>IF(L410="","",IFERROR(INDEX('Semrush Data'!$A$1:$Z$20000,MATCH(L410,'Semrush Data'!$A$1:$A$20000,0),MATCH("Volume",'Semrush Data'!$A$1:$Z$1,0)),""))</f>
        <v/>
      </c>
      <c r="R410" s="59">
        <f>IF(M410="","",IFERROR(INDEX('Semrush Data'!$A$1:$Z$20000,MATCH(M410,'Semrush Data'!$A$1:$A$20000,0),MATCH("Volume",'Semrush Data'!$A$1:$Z$1,0)),""))</f>
        <v/>
      </c>
      <c r="S410" s="59">
        <f>IF(N410="","",IFERROR(INDEX('Semrush Data'!$A$1:$Z$20000,MATCH(N410,'Semrush Data'!$A$1:$A$20000,0),MATCH("Volume",'Semrush Data'!$A$1:$Z$1,0)),""))</f>
        <v/>
      </c>
      <c r="T410" s="59">
        <f>IF(O410="","",IFERROR(INDEX('Semrush Data'!$A$1:$Z$20000,MATCH(O410,'Semrush Data'!$A$1:$A$20000,0),MATCH("Volume",'Semrush Data'!$A$1:$Z$1,0)),""))</f>
        <v/>
      </c>
      <c r="U410" s="59">
        <f>IF(P410="","",IFERROR(INDEX('Semrush Data'!$A$1:$Z$20000,MATCH(P410,'Semrush Data'!$A$1:$A$20000,0),MATCH("Volume",'Semrush Data'!$A$1:$Z$1,0)),""))</f>
        <v/>
      </c>
      <c r="V410" s="60">
        <f>IF(COUNT(Q410:U410)=0,L410,IF(MAX(Q410:U410)=0,L410,INDEX(L410:P410,MATCH(MAX(Q410:U410),Q410:U410,0))))</f>
        <v/>
      </c>
      <c r="W410" s="59">
        <f>IFERROR(INDEX('Semrush Data'!$A$1:$Z$20000,MATCH(V410,'Semrush Data'!$A$1:$A$20000,0),MATCH("Volume",'Semrush Data'!$A$1:$Z$1,0)),"")</f>
        <v/>
      </c>
      <c r="X410" s="59">
        <f>IFERROR(INDEX('Semrush Data'!$A$1:$Z$20000,MATCH(V410,'Semrush Data'!$A$1:$A$20000,0),MATCH("Keyword Difficulty*",'Semrush Data'!$A$1:$Z$1,0)),"")</f>
        <v/>
      </c>
      <c r="Y410" s="61">
        <f>IFERROR(INDEX('Semrush Data'!$A$1:$Z$20000,MATCH(V410,'Semrush Data'!$A$1:$A$20000,0),MATCH("CPC*",'Semrush Data'!$A$1:$Z$1,0)),"")</f>
        <v/>
      </c>
      <c r="Z410" s="58" t="inlineStr">
        <is>
          <t>hemel perfume · amber perfume uk</t>
        </is>
      </c>
      <c r="AA410" s="58" t="n"/>
      <c r="AB410" s="58" t="inlineStr">
        <is>
          <t>Hemel Plateado Eau De Parfum Unisex</t>
        </is>
      </c>
      <c r="AC410" s="58" t="inlineStr">
        <is>
          <t>Hemel Plateado Unisex EDP 100ml | Buy Online UK | Swansura</t>
        </is>
      </c>
      <c r="AD410" s="58">
        <f>LEN(AC410)</f>
        <v/>
      </c>
      <c r="AE410" s="58" t="inlineStr">
        <is>
          <t>Buy Hemel Plateado Eau De Parfum Unisex online in the UK at Swansura. An amber unisex eau de parfum, 100ml. 100% authentic, fast UK delivery, free over £50.</t>
        </is>
      </c>
      <c r="AF410" s="58">
        <f>LEN(AE410)</f>
        <v/>
      </c>
    </row>
    <row r="411" ht="15" customHeight="1" s="37">
      <c r="A411" s="58" t="inlineStr">
        <is>
          <t>FR-251</t>
        </is>
      </c>
      <c r="B411" s="58" t="inlineStr">
        <is>
          <t>Fragrance Catalogue</t>
        </is>
      </c>
      <c r="C411" s="58" t="n">
        <v>251</v>
      </c>
      <c r="D411" s="58" t="inlineStr">
        <is>
          <t>Hemel</t>
        </is>
      </c>
      <c r="E411" s="58" t="n"/>
      <c r="F411" s="58" t="inlineStr">
        <is>
          <t>Fragrance</t>
        </is>
      </c>
      <c r="G411" s="58" t="inlineStr">
        <is>
          <t>Eau de Parfum (EDP)</t>
        </is>
      </c>
      <c r="H411" s="58" t="inlineStr">
        <is>
          <t>Floral · Unisex Fragrance</t>
        </is>
      </c>
      <c r="I411" s="58" t="inlineStr">
        <is>
          <t>Hemel Rosado Eau de Parfum 100ml – Luxury Unisex Floral Amber Long lasting Fragrance</t>
        </is>
      </c>
      <c r="J411" s="58" t="inlineStr">
        <is>
          <t>100ml</t>
        </is>
      </c>
      <c r="K411" s="58" t="n">
        <v>49.99</v>
      </c>
      <c r="L411" s="58" t="inlineStr">
        <is>
          <t>hemel rosado</t>
        </is>
      </c>
      <c r="M411" s="58" t="inlineStr">
        <is>
          <t>hemel rosado uk</t>
        </is>
      </c>
      <c r="N411" s="58" t="inlineStr">
        <is>
          <t>buy hemel rosado online</t>
        </is>
      </c>
      <c r="O411" s="58" t="inlineStr">
        <is>
          <t>hemel rosado price</t>
        </is>
      </c>
      <c r="P411" s="58" t="inlineStr">
        <is>
          <t>hemel rosado eau de parfum</t>
        </is>
      </c>
      <c r="Q411" s="59">
        <f>IF(L411="","",IFERROR(INDEX('Semrush Data'!$A$1:$Z$20000,MATCH(L411,'Semrush Data'!$A$1:$A$20000,0),MATCH("Volume",'Semrush Data'!$A$1:$Z$1,0)),""))</f>
        <v/>
      </c>
      <c r="R411" s="59">
        <f>IF(M411="","",IFERROR(INDEX('Semrush Data'!$A$1:$Z$20000,MATCH(M411,'Semrush Data'!$A$1:$A$20000,0),MATCH("Volume",'Semrush Data'!$A$1:$Z$1,0)),""))</f>
        <v/>
      </c>
      <c r="S411" s="59">
        <f>IF(N411="","",IFERROR(INDEX('Semrush Data'!$A$1:$Z$20000,MATCH(N411,'Semrush Data'!$A$1:$A$20000,0),MATCH("Volume",'Semrush Data'!$A$1:$Z$1,0)),""))</f>
        <v/>
      </c>
      <c r="T411" s="59">
        <f>IF(O411="","",IFERROR(INDEX('Semrush Data'!$A$1:$Z$20000,MATCH(O411,'Semrush Data'!$A$1:$A$20000,0),MATCH("Volume",'Semrush Data'!$A$1:$Z$1,0)),""))</f>
        <v/>
      </c>
      <c r="U411" s="59">
        <f>IF(P411="","",IFERROR(INDEX('Semrush Data'!$A$1:$Z$20000,MATCH(P411,'Semrush Data'!$A$1:$A$20000,0),MATCH("Volume",'Semrush Data'!$A$1:$Z$1,0)),""))</f>
        <v/>
      </c>
      <c r="V411" s="60">
        <f>IF(COUNT(Q411:U411)=0,L411,IF(MAX(Q411:U411)=0,L411,INDEX(L411:P411,MATCH(MAX(Q411:U411),Q411:U411,0))))</f>
        <v/>
      </c>
      <c r="W411" s="59">
        <f>IFERROR(INDEX('Semrush Data'!$A$1:$Z$20000,MATCH(V411,'Semrush Data'!$A$1:$A$20000,0),MATCH("Volume",'Semrush Data'!$A$1:$Z$1,0)),"")</f>
        <v/>
      </c>
      <c r="X411" s="59">
        <f>IFERROR(INDEX('Semrush Data'!$A$1:$Z$20000,MATCH(V411,'Semrush Data'!$A$1:$A$20000,0),MATCH("Keyword Difficulty*",'Semrush Data'!$A$1:$Z$1,0)),"")</f>
        <v/>
      </c>
      <c r="Y411" s="61">
        <f>IFERROR(INDEX('Semrush Data'!$A$1:$Z$20000,MATCH(V411,'Semrush Data'!$A$1:$A$20000,0),MATCH("CPC*",'Semrush Data'!$A$1:$Z$1,0)),"")</f>
        <v/>
      </c>
      <c r="Z411" s="58" t="inlineStr">
        <is>
          <t>hemel perfume · floral perfume uk</t>
        </is>
      </c>
      <c r="AA411" s="58" t="inlineStr">
        <is>
          <t>hemel rosado perfume</t>
        </is>
      </c>
      <c r="AB411" s="58" t="inlineStr">
        <is>
          <t>Hemel Rosado Eau de Parfum</t>
        </is>
      </c>
      <c r="AC411" s="58" t="inlineStr">
        <is>
          <t>Hemel Rosado Eau de Parfum | Buy Online UK | Swansura</t>
        </is>
      </c>
      <c r="AD411" s="58">
        <f>LEN(AC411)</f>
        <v/>
      </c>
      <c r="AE411" s="58" t="inlineStr">
        <is>
          <t>Buy Hemel Rosado Eau de Parfum online in the UK at Swansura. A floral unisex eau de parfum, 100ml. 100% authentic, fast UK delivery, free over £50.</t>
        </is>
      </c>
      <c r="AF411" s="58">
        <f>LEN(AE411)</f>
        <v/>
      </c>
    </row>
    <row r="412" ht="15" customHeight="1" s="37">
      <c r="A412" s="58" t="inlineStr">
        <is>
          <t>FR-252</t>
        </is>
      </c>
      <c r="B412" s="58" t="inlineStr">
        <is>
          <t>Fragrance Catalogue</t>
        </is>
      </c>
      <c r="C412" s="58" t="n">
        <v>252</v>
      </c>
      <c r="D412" s="58" t="inlineStr">
        <is>
          <t>Hemel</t>
        </is>
      </c>
      <c r="E412" s="58" t="n"/>
      <c r="F412" s="58" t="inlineStr">
        <is>
          <t>Fragrance</t>
        </is>
      </c>
      <c r="G412" s="58" t="inlineStr">
        <is>
          <t>Eau de Parfum (EDP)</t>
        </is>
      </c>
      <c r="H412" s="58" t="inlineStr">
        <is>
          <t>Amber · Unisex Fragrance</t>
        </is>
      </c>
      <c r="I412" s="58" t="inlineStr">
        <is>
          <t>Hemel Rosado Eau De Parfum Unisex 100ML</t>
        </is>
      </c>
      <c r="J412" s="58" t="inlineStr">
        <is>
          <t>100ml</t>
        </is>
      </c>
      <c r="K412" s="58" t="n">
        <v>87.95</v>
      </c>
      <c r="L412" s="58" t="inlineStr">
        <is>
          <t>hemel rosado</t>
        </is>
      </c>
      <c r="M412" s="58" t="inlineStr">
        <is>
          <t>hemel rosado uk</t>
        </is>
      </c>
      <c r="N412" s="58" t="inlineStr">
        <is>
          <t>buy hemel rosado online</t>
        </is>
      </c>
      <c r="O412" s="58" t="inlineStr">
        <is>
          <t>hemel rosado price</t>
        </is>
      </c>
      <c r="P412" s="58" t="inlineStr">
        <is>
          <t>hemel rosado eau de parfum</t>
        </is>
      </c>
      <c r="Q412" s="59">
        <f>IF(L412="","",IFERROR(INDEX('Semrush Data'!$A$1:$Z$20000,MATCH(L412,'Semrush Data'!$A$1:$A$20000,0),MATCH("Volume",'Semrush Data'!$A$1:$Z$1,0)),""))</f>
        <v/>
      </c>
      <c r="R412" s="59">
        <f>IF(M412="","",IFERROR(INDEX('Semrush Data'!$A$1:$Z$20000,MATCH(M412,'Semrush Data'!$A$1:$A$20000,0),MATCH("Volume",'Semrush Data'!$A$1:$Z$1,0)),""))</f>
        <v/>
      </c>
      <c r="S412" s="59">
        <f>IF(N412="","",IFERROR(INDEX('Semrush Data'!$A$1:$Z$20000,MATCH(N412,'Semrush Data'!$A$1:$A$20000,0),MATCH("Volume",'Semrush Data'!$A$1:$Z$1,0)),""))</f>
        <v/>
      </c>
      <c r="T412" s="59">
        <f>IF(O412="","",IFERROR(INDEX('Semrush Data'!$A$1:$Z$20000,MATCH(O412,'Semrush Data'!$A$1:$A$20000,0),MATCH("Volume",'Semrush Data'!$A$1:$Z$1,0)),""))</f>
        <v/>
      </c>
      <c r="U412" s="59">
        <f>IF(P412="","",IFERROR(INDEX('Semrush Data'!$A$1:$Z$20000,MATCH(P412,'Semrush Data'!$A$1:$A$20000,0),MATCH("Volume",'Semrush Data'!$A$1:$Z$1,0)),""))</f>
        <v/>
      </c>
      <c r="V412" s="60">
        <f>IF(COUNT(Q412:U412)=0,L412,IF(MAX(Q412:U412)=0,L412,INDEX(L412:P412,MATCH(MAX(Q412:U412),Q412:U412,0))))</f>
        <v/>
      </c>
      <c r="W412" s="59">
        <f>IFERROR(INDEX('Semrush Data'!$A$1:$Z$20000,MATCH(V412,'Semrush Data'!$A$1:$A$20000,0),MATCH("Volume",'Semrush Data'!$A$1:$Z$1,0)),"")</f>
        <v/>
      </c>
      <c r="X412" s="59">
        <f>IFERROR(INDEX('Semrush Data'!$A$1:$Z$20000,MATCH(V412,'Semrush Data'!$A$1:$A$20000,0),MATCH("Keyword Difficulty*",'Semrush Data'!$A$1:$Z$1,0)),"")</f>
        <v/>
      </c>
      <c r="Y412" s="61">
        <f>IFERROR(INDEX('Semrush Data'!$A$1:$Z$20000,MATCH(V412,'Semrush Data'!$A$1:$A$20000,0),MATCH("CPC*",'Semrush Data'!$A$1:$Z$1,0)),"")</f>
        <v/>
      </c>
      <c r="Z412" s="58" t="inlineStr">
        <is>
          <t>hemel perfume · amber perfume uk</t>
        </is>
      </c>
      <c r="AA412" s="58" t="inlineStr">
        <is>
          <t>hemel rosado perfume</t>
        </is>
      </c>
      <c r="AB412" s="58" t="inlineStr">
        <is>
          <t>Hemel Rosado Eau De Parfum Unisex</t>
        </is>
      </c>
      <c r="AC412" s="58" t="inlineStr">
        <is>
          <t>Hemel Rosado Eau De Parfum Unisex | Buy Online UK | Swansura</t>
        </is>
      </c>
      <c r="AD412" s="58">
        <f>LEN(AC412)</f>
        <v/>
      </c>
      <c r="AE412" s="58" t="inlineStr">
        <is>
          <t>Buy Hemel Rosado Eau De Parfum Unisex online in the UK at Swansura. An amber unisex eau de parfum, 100ml. 100% authentic, fast UK delivery, free over £50.</t>
        </is>
      </c>
      <c r="AF412" s="58">
        <f>LEN(AE412)</f>
        <v/>
      </c>
    </row>
    <row r="413" ht="15" customHeight="1" s="37">
      <c r="A413" s="58" t="inlineStr">
        <is>
          <t>FR-253</t>
        </is>
      </c>
      <c r="B413" s="58" t="inlineStr">
        <is>
          <t>Fragrance Catalogue</t>
        </is>
      </c>
      <c r="C413" s="58" t="n">
        <v>253</v>
      </c>
      <c r="D413" s="58" t="inlineStr">
        <is>
          <t>Hemel</t>
        </is>
      </c>
      <c r="E413" s="58" t="n"/>
      <c r="F413" s="58" t="inlineStr">
        <is>
          <t>Fragrance</t>
        </is>
      </c>
      <c r="G413" s="58" t="inlineStr">
        <is>
          <t>Eau de Parfum (EDP)</t>
        </is>
      </c>
      <c r="H413" s="58" t="inlineStr">
        <is>
          <t>Floral · Unisex Fragrance</t>
        </is>
      </c>
      <c r="I413" s="58" t="inlineStr">
        <is>
          <t>Hemel Valley of Diamond Eau de Parfum 100ml – Luxury Unisex Floral Woody Fragrance</t>
        </is>
      </c>
      <c r="J413" s="58" t="inlineStr">
        <is>
          <t>100ml</t>
        </is>
      </c>
      <c r="K413" s="58" t="n">
        <v>61.99</v>
      </c>
      <c r="L413" s="58" t="inlineStr">
        <is>
          <t>hemel valley of diamond</t>
        </is>
      </c>
      <c r="M413" s="58" t="inlineStr">
        <is>
          <t>hemel valley of diamond uk</t>
        </is>
      </c>
      <c r="N413" s="58" t="inlineStr">
        <is>
          <t>buy hemel valley of diamond online</t>
        </is>
      </c>
      <c r="O413" s="58" t="inlineStr">
        <is>
          <t>hemel valley of diamond price</t>
        </is>
      </c>
      <c r="P413" s="58" t="inlineStr">
        <is>
          <t>hemel valley of diamond eau de parfum</t>
        </is>
      </c>
      <c r="Q413" s="59">
        <f>IF(L413="","",IFERROR(INDEX('Semrush Data'!$A$1:$Z$20000,MATCH(L413,'Semrush Data'!$A$1:$A$20000,0),MATCH("Volume",'Semrush Data'!$A$1:$Z$1,0)),""))</f>
        <v/>
      </c>
      <c r="R413" s="59">
        <f>IF(M413="","",IFERROR(INDEX('Semrush Data'!$A$1:$Z$20000,MATCH(M413,'Semrush Data'!$A$1:$A$20000,0),MATCH("Volume",'Semrush Data'!$A$1:$Z$1,0)),""))</f>
        <v/>
      </c>
      <c r="S413" s="59">
        <f>IF(N413="","",IFERROR(INDEX('Semrush Data'!$A$1:$Z$20000,MATCH(N413,'Semrush Data'!$A$1:$A$20000,0),MATCH("Volume",'Semrush Data'!$A$1:$Z$1,0)),""))</f>
        <v/>
      </c>
      <c r="T413" s="59">
        <f>IF(O413="","",IFERROR(INDEX('Semrush Data'!$A$1:$Z$20000,MATCH(O413,'Semrush Data'!$A$1:$A$20000,0),MATCH("Volume",'Semrush Data'!$A$1:$Z$1,0)),""))</f>
        <v/>
      </c>
      <c r="U413" s="59">
        <f>IF(P413="","",IFERROR(INDEX('Semrush Data'!$A$1:$Z$20000,MATCH(P413,'Semrush Data'!$A$1:$A$20000,0),MATCH("Volume",'Semrush Data'!$A$1:$Z$1,0)),""))</f>
        <v/>
      </c>
      <c r="V413" s="60">
        <f>IF(COUNT(Q413:U413)=0,L413,IF(MAX(Q413:U413)=0,L413,INDEX(L413:P413,MATCH(MAX(Q413:U413),Q413:U413,0))))</f>
        <v/>
      </c>
      <c r="W413" s="59">
        <f>IFERROR(INDEX('Semrush Data'!$A$1:$Z$20000,MATCH(V413,'Semrush Data'!$A$1:$A$20000,0),MATCH("Volume",'Semrush Data'!$A$1:$Z$1,0)),"")</f>
        <v/>
      </c>
      <c r="X413" s="59">
        <f>IFERROR(INDEX('Semrush Data'!$A$1:$Z$20000,MATCH(V413,'Semrush Data'!$A$1:$A$20000,0),MATCH("Keyword Difficulty*",'Semrush Data'!$A$1:$Z$1,0)),"")</f>
        <v/>
      </c>
      <c r="Y413" s="61">
        <f>IFERROR(INDEX('Semrush Data'!$A$1:$Z$20000,MATCH(V413,'Semrush Data'!$A$1:$A$20000,0),MATCH("CPC*",'Semrush Data'!$A$1:$Z$1,0)),"")</f>
        <v/>
      </c>
      <c r="Z413" s="58" t="inlineStr">
        <is>
          <t>hemel perfume · floral perfume uk</t>
        </is>
      </c>
      <c r="AA413" s="58" t="inlineStr">
        <is>
          <t>hemel valley of diamond edp</t>
        </is>
      </c>
      <c r="AB413" s="58" t="inlineStr">
        <is>
          <t>Hemel Valley of Diamond Eau de Parfum</t>
        </is>
      </c>
      <c r="AC413" s="58" t="inlineStr">
        <is>
          <t>Hemel Valley of Diamond EDP 100ml | Buy Online UK | Swansura</t>
        </is>
      </c>
      <c r="AD413" s="58">
        <f>LEN(AC413)</f>
        <v/>
      </c>
      <c r="AE413" s="58" t="inlineStr">
        <is>
          <t>Buy Hemel Valley of Diamond Eau de Parfum online in the UK at Swansura. A floral unisex eau de parfum, 100ml. 100% authentic, fast UK delivery, free over £50.</t>
        </is>
      </c>
      <c r="AF413" s="58">
        <f>LEN(AE413)</f>
        <v/>
      </c>
    </row>
    <row r="414" ht="15" customHeight="1" s="37">
      <c r="A414" s="58" t="inlineStr">
        <is>
          <t>FR-254</t>
        </is>
      </c>
      <c r="B414" s="58" t="inlineStr">
        <is>
          <t>Fragrance Catalogue</t>
        </is>
      </c>
      <c r="C414" s="58" t="n">
        <v>254</v>
      </c>
      <c r="D414" s="58" t="inlineStr">
        <is>
          <t>Hemel</t>
        </is>
      </c>
      <c r="E414" s="58" t="n"/>
      <c r="F414" s="58" t="inlineStr">
        <is>
          <t>Fragrance</t>
        </is>
      </c>
      <c r="G414" s="58" t="inlineStr">
        <is>
          <t>Eau de Parfum (EDP)</t>
        </is>
      </c>
      <c r="H414" s="58" t="inlineStr">
        <is>
          <t>Amber · Unisex Fragrance</t>
        </is>
      </c>
      <c r="I414" s="58" t="inlineStr">
        <is>
          <t>Hemel Valley Of Diamond Unisex Eau De Parfum 100ML</t>
        </is>
      </c>
      <c r="J414" s="58" t="inlineStr">
        <is>
          <t>100ml</t>
        </is>
      </c>
      <c r="K414" s="58" t="n">
        <v>87.95</v>
      </c>
      <c r="L414" s="58" t="inlineStr">
        <is>
          <t>hemel valley of diamond</t>
        </is>
      </c>
      <c r="M414" s="58" t="inlineStr">
        <is>
          <t>hemel valley of diamond uk</t>
        </is>
      </c>
      <c r="N414" s="58" t="inlineStr">
        <is>
          <t>buy hemel valley of diamond online</t>
        </is>
      </c>
      <c r="O414" s="58" t="inlineStr">
        <is>
          <t>hemel valley of diamond price</t>
        </is>
      </c>
      <c r="P414" s="58" t="inlineStr">
        <is>
          <t>hemel valley of diamond eau de parfum</t>
        </is>
      </c>
      <c r="Q414" s="59">
        <f>IF(L414="","",IFERROR(INDEX('Semrush Data'!$A$1:$Z$20000,MATCH(L414,'Semrush Data'!$A$1:$A$20000,0),MATCH("Volume",'Semrush Data'!$A$1:$Z$1,0)),""))</f>
        <v/>
      </c>
      <c r="R414" s="59">
        <f>IF(M414="","",IFERROR(INDEX('Semrush Data'!$A$1:$Z$20000,MATCH(M414,'Semrush Data'!$A$1:$A$20000,0),MATCH("Volume",'Semrush Data'!$A$1:$Z$1,0)),""))</f>
        <v/>
      </c>
      <c r="S414" s="59">
        <f>IF(N414="","",IFERROR(INDEX('Semrush Data'!$A$1:$Z$20000,MATCH(N414,'Semrush Data'!$A$1:$A$20000,0),MATCH("Volume",'Semrush Data'!$A$1:$Z$1,0)),""))</f>
        <v/>
      </c>
      <c r="T414" s="59">
        <f>IF(O414="","",IFERROR(INDEX('Semrush Data'!$A$1:$Z$20000,MATCH(O414,'Semrush Data'!$A$1:$A$20000,0),MATCH("Volume",'Semrush Data'!$A$1:$Z$1,0)),""))</f>
        <v/>
      </c>
      <c r="U414" s="59">
        <f>IF(P414="","",IFERROR(INDEX('Semrush Data'!$A$1:$Z$20000,MATCH(P414,'Semrush Data'!$A$1:$A$20000,0),MATCH("Volume",'Semrush Data'!$A$1:$Z$1,0)),""))</f>
        <v/>
      </c>
      <c r="V414" s="60">
        <f>IF(COUNT(Q414:U414)=0,L414,IF(MAX(Q414:U414)=0,L414,INDEX(L414:P414,MATCH(MAX(Q414:U414),Q414:U414,0))))</f>
        <v/>
      </c>
      <c r="W414" s="59">
        <f>IFERROR(INDEX('Semrush Data'!$A$1:$Z$20000,MATCH(V414,'Semrush Data'!$A$1:$A$20000,0),MATCH("Volume",'Semrush Data'!$A$1:$Z$1,0)),"")</f>
        <v/>
      </c>
      <c r="X414" s="59">
        <f>IFERROR(INDEX('Semrush Data'!$A$1:$Z$20000,MATCH(V414,'Semrush Data'!$A$1:$A$20000,0),MATCH("Keyword Difficulty*",'Semrush Data'!$A$1:$Z$1,0)),"")</f>
        <v/>
      </c>
      <c r="Y414" s="61">
        <f>IFERROR(INDEX('Semrush Data'!$A$1:$Z$20000,MATCH(V414,'Semrush Data'!$A$1:$A$20000,0),MATCH("CPC*",'Semrush Data'!$A$1:$Z$1,0)),"")</f>
        <v/>
      </c>
      <c r="Z414" s="58" t="inlineStr">
        <is>
          <t>hemel perfume · amber perfume uk</t>
        </is>
      </c>
      <c r="AA414" s="58" t="inlineStr">
        <is>
          <t>hemel valley of diamond edp</t>
        </is>
      </c>
      <c r="AB414" s="58" t="inlineStr">
        <is>
          <t>Hemel Valley Of Diamond Unisex Eau De Parfum</t>
        </is>
      </c>
      <c r="AC414" s="58" t="inlineStr">
        <is>
          <t>Hemel Valley Of Diamond Unisex Eau De Parfum | Swansura UK</t>
        </is>
      </c>
      <c r="AD414" s="58">
        <f>LEN(AC414)</f>
        <v/>
      </c>
      <c r="AE414" s="58" t="inlineStr">
        <is>
          <t>Buy Hemel Valley Of Diamond Unisex Eau De Parfum online in the UK at Swansura. An amber unisex eau de parfum, 100ml. 100% authentic, free UK delivery over £50.</t>
        </is>
      </c>
      <c r="AF414" s="58">
        <f>LEN(AE414)</f>
        <v/>
      </c>
    </row>
    <row r="415" ht="15" customHeight="1" s="37">
      <c r="A415" s="58" t="inlineStr">
        <is>
          <t>FR-255</t>
        </is>
      </c>
      <c r="B415" s="58" t="inlineStr">
        <is>
          <t>Fragrance Catalogue</t>
        </is>
      </c>
      <c r="C415" s="58" t="n">
        <v>255</v>
      </c>
      <c r="D415" s="58" t="inlineStr">
        <is>
          <t>Hermes</t>
        </is>
      </c>
      <c r="E415" s="58" t="n"/>
      <c r="F415" s="58" t="inlineStr">
        <is>
          <t>Fragrance</t>
        </is>
      </c>
      <c r="G415" s="58" t="inlineStr">
        <is>
          <t>Eau de Toilette (EDT)</t>
        </is>
      </c>
      <c r="H415" s="58" t="inlineStr">
        <is>
          <t>Amber · Unisex Fragrance</t>
        </is>
      </c>
      <c r="I415" s="58" t="inlineStr">
        <is>
          <t>Hermès Un Jardin à Cythère Unisex EDT 15ml Miniature</t>
        </is>
      </c>
      <c r="J415" s="58" t="inlineStr">
        <is>
          <t>15ml</t>
        </is>
      </c>
      <c r="K415" s="58" t="n">
        <v>25.99</v>
      </c>
      <c r="L415" s="58" t="inlineStr">
        <is>
          <t>hermes hermes un jardin a cythere miniature</t>
        </is>
      </c>
      <c r="M415" s="58" t="inlineStr">
        <is>
          <t>hermes hermes un jardin a cythere miniature uk</t>
        </is>
      </c>
      <c r="N415" s="58" t="inlineStr">
        <is>
          <t>buy hermes hermes un jardin a cythere miniature online</t>
        </is>
      </c>
      <c r="O415" s="58" t="inlineStr">
        <is>
          <t>hermes hermes un jardin a cythere miniature price</t>
        </is>
      </c>
      <c r="P415" s="58" t="inlineStr">
        <is>
          <t>hermes hermes un jardin a cythere miniature edt</t>
        </is>
      </c>
      <c r="Q415" s="59">
        <f>IF(L415="","",IFERROR(INDEX('Semrush Data'!$A$1:$Z$20000,MATCH(L415,'Semrush Data'!$A$1:$A$20000,0),MATCH("Volume",'Semrush Data'!$A$1:$Z$1,0)),""))</f>
        <v/>
      </c>
      <c r="R415" s="59">
        <f>IF(M415="","",IFERROR(INDEX('Semrush Data'!$A$1:$Z$20000,MATCH(M415,'Semrush Data'!$A$1:$A$20000,0),MATCH("Volume",'Semrush Data'!$A$1:$Z$1,0)),""))</f>
        <v/>
      </c>
      <c r="S415" s="59">
        <f>IF(N415="","",IFERROR(INDEX('Semrush Data'!$A$1:$Z$20000,MATCH(N415,'Semrush Data'!$A$1:$A$20000,0),MATCH("Volume",'Semrush Data'!$A$1:$Z$1,0)),""))</f>
        <v/>
      </c>
      <c r="T415" s="59">
        <f>IF(O415="","",IFERROR(INDEX('Semrush Data'!$A$1:$Z$20000,MATCH(O415,'Semrush Data'!$A$1:$A$20000,0),MATCH("Volume",'Semrush Data'!$A$1:$Z$1,0)),""))</f>
        <v/>
      </c>
      <c r="U415" s="59">
        <f>IF(P415="","",IFERROR(INDEX('Semrush Data'!$A$1:$Z$20000,MATCH(P415,'Semrush Data'!$A$1:$A$20000,0),MATCH("Volume",'Semrush Data'!$A$1:$Z$1,0)),""))</f>
        <v/>
      </c>
      <c r="V415" s="60">
        <f>IF(COUNT(Q415:U415)=0,L415,IF(MAX(Q415:U415)=0,L415,INDEX(L415:P415,MATCH(MAX(Q415:U415),Q415:U415,0))))</f>
        <v/>
      </c>
      <c r="W415" s="59">
        <f>IFERROR(INDEX('Semrush Data'!$A$1:$Z$20000,MATCH(V415,'Semrush Data'!$A$1:$A$20000,0),MATCH("Volume",'Semrush Data'!$A$1:$Z$1,0)),"")</f>
        <v/>
      </c>
      <c r="X415" s="59">
        <f>IFERROR(INDEX('Semrush Data'!$A$1:$Z$20000,MATCH(V415,'Semrush Data'!$A$1:$A$20000,0),MATCH("Keyword Difficulty*",'Semrush Data'!$A$1:$Z$1,0)),"")</f>
        <v/>
      </c>
      <c r="Y415" s="61">
        <f>IFERROR(INDEX('Semrush Data'!$A$1:$Z$20000,MATCH(V415,'Semrush Data'!$A$1:$A$20000,0),MATCH("CPC*",'Semrush Data'!$A$1:$Z$1,0)),"")</f>
        <v/>
      </c>
      <c r="Z415" s="58" t="inlineStr">
        <is>
          <t>hermes perfume · amber perfume uk</t>
        </is>
      </c>
      <c r="AA415" s="58" t="n"/>
      <c r="AB415" s="58" t="inlineStr">
        <is>
          <t>Hermès Un Jardin À Cythère Unisex EDT Miniature</t>
        </is>
      </c>
      <c r="AC415" s="58" t="inlineStr">
        <is>
          <t>Hermès Un Jardin À Cythère Unisex Miniature | Swansura UK</t>
        </is>
      </c>
      <c r="AD415" s="58">
        <f>LEN(AC415)</f>
        <v/>
      </c>
      <c r="AE415" s="58" t="inlineStr">
        <is>
          <t>Buy Hermès Un Jardin À Cythère Unisex EDT Miniature online in the UK at Swansura. An amber unisex eau de toilette. 100% authentic, free UK delivery over £50.</t>
        </is>
      </c>
      <c r="AF415" s="58">
        <f>LEN(AE415)</f>
        <v/>
      </c>
    </row>
    <row r="416" ht="15" customHeight="1" s="37">
      <c r="A416" s="58" t="inlineStr">
        <is>
          <t>FR-256</t>
        </is>
      </c>
      <c r="B416" s="58" t="inlineStr">
        <is>
          <t>Fragrance Catalogue</t>
        </is>
      </c>
      <c r="C416" s="58" t="n">
        <v>256</v>
      </c>
      <c r="D416" s="58" t="inlineStr">
        <is>
          <t>Hollister</t>
        </is>
      </c>
      <c r="E416" s="58" t="n"/>
      <c r="F416" s="58" t="inlineStr">
        <is>
          <t>Fragrance</t>
        </is>
      </c>
      <c r="G416" s="58" t="inlineStr">
        <is>
          <t>Eau de Toilette (EDT)</t>
        </is>
      </c>
      <c r="H416" s="58" t="inlineStr">
        <is>
          <t>Aromatic · Men's Fragrance</t>
        </is>
      </c>
      <c r="I416" s="58" t="inlineStr">
        <is>
          <t>Hollister Festival Vibes for Him Eau de Toilette 100ml – Men's Aromatic Fougere Fragrance</t>
        </is>
      </c>
      <c r="J416" s="58" t="inlineStr">
        <is>
          <t>100ml</t>
        </is>
      </c>
      <c r="K416" s="58" t="n">
        <v>21.99</v>
      </c>
      <c r="L416" s="58" t="inlineStr">
        <is>
          <t>hollister festival vibes</t>
        </is>
      </c>
      <c r="M416" s="58" t="inlineStr">
        <is>
          <t>hollister festival vibes uk</t>
        </is>
      </c>
      <c r="N416" s="58" t="inlineStr">
        <is>
          <t>buy hollister festival vibes online</t>
        </is>
      </c>
      <c r="O416" s="58" t="inlineStr">
        <is>
          <t>hollister festival vibes price</t>
        </is>
      </c>
      <c r="P416" s="58" t="inlineStr">
        <is>
          <t>hollister festival vibes eau de toilette</t>
        </is>
      </c>
      <c r="Q416" s="59">
        <f>IF(L416="","",IFERROR(INDEX('Semrush Data'!$A$1:$Z$20000,MATCH(L416,'Semrush Data'!$A$1:$A$20000,0),MATCH("Volume",'Semrush Data'!$A$1:$Z$1,0)),""))</f>
        <v/>
      </c>
      <c r="R416" s="59">
        <f>IF(M416="","",IFERROR(INDEX('Semrush Data'!$A$1:$Z$20000,MATCH(M416,'Semrush Data'!$A$1:$A$20000,0),MATCH("Volume",'Semrush Data'!$A$1:$Z$1,0)),""))</f>
        <v/>
      </c>
      <c r="S416" s="59">
        <f>IF(N416="","",IFERROR(INDEX('Semrush Data'!$A$1:$Z$20000,MATCH(N416,'Semrush Data'!$A$1:$A$20000,0),MATCH("Volume",'Semrush Data'!$A$1:$Z$1,0)),""))</f>
        <v/>
      </c>
      <c r="T416" s="59">
        <f>IF(O416="","",IFERROR(INDEX('Semrush Data'!$A$1:$Z$20000,MATCH(O416,'Semrush Data'!$A$1:$A$20000,0),MATCH("Volume",'Semrush Data'!$A$1:$Z$1,0)),""))</f>
        <v/>
      </c>
      <c r="U416" s="59">
        <f>IF(P416="","",IFERROR(INDEX('Semrush Data'!$A$1:$Z$20000,MATCH(P416,'Semrush Data'!$A$1:$A$20000,0),MATCH("Volume",'Semrush Data'!$A$1:$Z$1,0)),""))</f>
        <v/>
      </c>
      <c r="V416" s="60">
        <f>IF(COUNT(Q416:U416)=0,L416,IF(MAX(Q416:U416)=0,L416,INDEX(L416:P416,MATCH(MAX(Q416:U416),Q416:U416,0))))</f>
        <v/>
      </c>
      <c r="W416" s="59">
        <f>IFERROR(INDEX('Semrush Data'!$A$1:$Z$20000,MATCH(V416,'Semrush Data'!$A$1:$A$20000,0),MATCH("Volume",'Semrush Data'!$A$1:$Z$1,0)),"")</f>
        <v/>
      </c>
      <c r="X416" s="59">
        <f>IFERROR(INDEX('Semrush Data'!$A$1:$Z$20000,MATCH(V416,'Semrush Data'!$A$1:$A$20000,0),MATCH("Keyword Difficulty*",'Semrush Data'!$A$1:$Z$1,0)),"")</f>
        <v/>
      </c>
      <c r="Y416" s="61">
        <f>IFERROR(INDEX('Semrush Data'!$A$1:$Z$20000,MATCH(V416,'Semrush Data'!$A$1:$A$20000,0),MATCH("CPC*",'Semrush Data'!$A$1:$Z$1,0)),"")</f>
        <v/>
      </c>
      <c r="Z416" s="58" t="inlineStr">
        <is>
          <t>hollister perfume · hollister perfume for men · aromatic perfume for men uk</t>
        </is>
      </c>
      <c r="AA416" s="58" t="inlineStr">
        <is>
          <t>hollister festival vibes perfume · hollister festival vibes notes · hollister festival vibes price · hollister festival vibes review</t>
        </is>
      </c>
      <c r="AB416" s="58" t="inlineStr">
        <is>
          <t>Hollister Festival Vibes for Him Eau de Toilette</t>
        </is>
      </c>
      <c r="AC416" s="58" t="inlineStr">
        <is>
          <t>Hollister Festival Vibes for Him EDT 100ml | Swansura UK</t>
        </is>
      </c>
      <c r="AD416" s="58">
        <f>LEN(AC416)</f>
        <v/>
      </c>
      <c r="AE416" s="58" t="inlineStr">
        <is>
          <t>Buy Hollister Festival Vibes for Him Eau de Toilette online in the UK at Swansura. An aromatic men's eau de toilette. 100% authentic, free UK delivery over £50.</t>
        </is>
      </c>
      <c r="AF416" s="58">
        <f>LEN(AE416)</f>
        <v/>
      </c>
    </row>
    <row r="417" ht="15" customHeight="1" s="37">
      <c r="A417" s="58" t="inlineStr">
        <is>
          <t>FR-257</t>
        </is>
      </c>
      <c r="B417" s="58" t="inlineStr">
        <is>
          <t>Fragrance Catalogue</t>
        </is>
      </c>
      <c r="C417" s="58" t="n">
        <v>257</v>
      </c>
      <c r="D417" s="58" t="inlineStr">
        <is>
          <t>HugoBoss</t>
        </is>
      </c>
      <c r="E417" s="58" t="inlineStr">
        <is>
          <t>Spelling: Hugo Boss</t>
        </is>
      </c>
      <c r="F417" s="58" t="inlineStr">
        <is>
          <t>Fragrance</t>
        </is>
      </c>
      <c r="G417" s="58" t="inlineStr">
        <is>
          <t>Eau de Parfum (EDP)</t>
        </is>
      </c>
      <c r="H417" s="58" t="inlineStr">
        <is>
          <t>Woody · Men's Fragrance</t>
        </is>
      </c>
      <c r="I417" s="58" t="inlineStr">
        <is>
          <t>Hugo Boss Bottled Eau de Parfum 200ml for Men</t>
        </is>
      </c>
      <c r="J417" s="58" t="inlineStr">
        <is>
          <t>200ml</t>
        </is>
      </c>
      <c r="K417" s="58" t="n">
        <v>63.99</v>
      </c>
      <c r="L417" s="58" t="inlineStr">
        <is>
          <t>hugo boss bottled</t>
        </is>
      </c>
      <c r="M417" s="58" t="inlineStr">
        <is>
          <t>hugo boss bottled uk</t>
        </is>
      </c>
      <c r="N417" s="58" t="inlineStr">
        <is>
          <t>buy hugo boss bottled online</t>
        </is>
      </c>
      <c r="O417" s="58" t="inlineStr">
        <is>
          <t>hugo boss bottled price</t>
        </is>
      </c>
      <c r="P417" s="58" t="inlineStr">
        <is>
          <t>hugo boss bottled eau de parfum</t>
        </is>
      </c>
      <c r="Q417" s="59">
        <f>IF(L417="","",IFERROR(INDEX('Semrush Data'!$A$1:$Z$20000,MATCH(L417,'Semrush Data'!$A$1:$A$20000,0),MATCH("Volume",'Semrush Data'!$A$1:$Z$1,0)),""))</f>
        <v/>
      </c>
      <c r="R417" s="59">
        <f>IF(M417="","",IFERROR(INDEX('Semrush Data'!$A$1:$Z$20000,MATCH(M417,'Semrush Data'!$A$1:$A$20000,0),MATCH("Volume",'Semrush Data'!$A$1:$Z$1,0)),""))</f>
        <v/>
      </c>
      <c r="S417" s="59">
        <f>IF(N417="","",IFERROR(INDEX('Semrush Data'!$A$1:$Z$20000,MATCH(N417,'Semrush Data'!$A$1:$A$20000,0),MATCH("Volume",'Semrush Data'!$A$1:$Z$1,0)),""))</f>
        <v/>
      </c>
      <c r="T417" s="59">
        <f>IF(O417="","",IFERROR(INDEX('Semrush Data'!$A$1:$Z$20000,MATCH(O417,'Semrush Data'!$A$1:$A$20000,0),MATCH("Volume",'Semrush Data'!$A$1:$Z$1,0)),""))</f>
        <v/>
      </c>
      <c r="U417" s="59">
        <f>IF(P417="","",IFERROR(INDEX('Semrush Data'!$A$1:$Z$20000,MATCH(P417,'Semrush Data'!$A$1:$A$20000,0),MATCH("Volume",'Semrush Data'!$A$1:$Z$1,0)),""))</f>
        <v/>
      </c>
      <c r="V417" s="60">
        <f>IF(COUNT(Q417:U417)=0,L417,IF(MAX(Q417:U417)=0,L417,INDEX(L417:P417,MATCH(MAX(Q417:U417),Q417:U417,0))))</f>
        <v/>
      </c>
      <c r="W417" s="59">
        <f>IFERROR(INDEX('Semrush Data'!$A$1:$Z$20000,MATCH(V417,'Semrush Data'!$A$1:$A$20000,0),MATCH("Volume",'Semrush Data'!$A$1:$Z$1,0)),"")</f>
        <v/>
      </c>
      <c r="X417" s="59">
        <f>IFERROR(INDEX('Semrush Data'!$A$1:$Z$20000,MATCH(V417,'Semrush Data'!$A$1:$A$20000,0),MATCH("Keyword Difficulty*",'Semrush Data'!$A$1:$Z$1,0)),"")</f>
        <v/>
      </c>
      <c r="Y417" s="61">
        <f>IFERROR(INDEX('Semrush Data'!$A$1:$Z$20000,MATCH(V417,'Semrush Data'!$A$1:$A$20000,0),MATCH("CPC*",'Semrush Data'!$A$1:$Z$1,0)),"")</f>
        <v/>
      </c>
      <c r="Z417" s="58" t="inlineStr">
        <is>
          <t>hugo boss perfume · hugo boss perfume for men · woody perfume for men uk</t>
        </is>
      </c>
      <c r="AA417" s="58" t="n"/>
      <c r="AB417" s="58" t="inlineStr">
        <is>
          <t>Hugo Boss Bottled Eau de Parfum for Men</t>
        </is>
      </c>
      <c r="AC417" s="58" t="inlineStr">
        <is>
          <t>Hugo Boss Bottled Eau de Parfum for Men | Swansura UK</t>
        </is>
      </c>
      <c r="AD417" s="58">
        <f>LEN(AC417)</f>
        <v/>
      </c>
      <c r="AE417" s="58" t="inlineStr">
        <is>
          <t>Buy Hugo Boss Bottled Eau de Parfum for Men online in the UK at Swansura. A woody men's eau de parfum, 200ml. 100% authentic, fast UK delivery, free over £50.</t>
        </is>
      </c>
      <c r="AF417" s="58">
        <f>LEN(AE417)</f>
        <v/>
      </c>
    </row>
    <row r="418" ht="15" customHeight="1" s="37">
      <c r="A418" s="58" t="inlineStr">
        <is>
          <t>FR-258</t>
        </is>
      </c>
      <c r="B418" s="58" t="inlineStr">
        <is>
          <t>Fragrance Catalogue</t>
        </is>
      </c>
      <c r="C418" s="58" t="n">
        <v>258</v>
      </c>
      <c r="D418" s="58" t="inlineStr">
        <is>
          <t>HugoBoss</t>
        </is>
      </c>
      <c r="E418" s="58" t="inlineStr">
        <is>
          <t>Spelling: Hugo Boss</t>
        </is>
      </c>
      <c r="F418" s="58" t="inlineStr">
        <is>
          <t>Fragrance</t>
        </is>
      </c>
      <c r="G418" s="58" t="inlineStr">
        <is>
          <t>Eau de Parfum (EDP)</t>
        </is>
      </c>
      <c r="H418" s="58" t="inlineStr">
        <is>
          <t>Oud · Men's Fragrance</t>
        </is>
      </c>
      <c r="I418" s="58" t="inlineStr">
        <is>
          <t>Hugo Boss The Collection Confident Oud Eau de Parfum Intense 100ml for Men</t>
        </is>
      </c>
      <c r="J418" s="58" t="inlineStr">
        <is>
          <t>100ml</t>
        </is>
      </c>
      <c r="K418" s="58" t="n">
        <v>70.98999999999999</v>
      </c>
      <c r="L418" s="58" t="inlineStr">
        <is>
          <t>hugo boss the collection confident oud intense</t>
        </is>
      </c>
      <c r="M418" s="58" t="inlineStr">
        <is>
          <t>hugo boss the collection confident oud intense uk</t>
        </is>
      </c>
      <c r="N418" s="58" t="inlineStr">
        <is>
          <t>buy hugo boss the collection confident oud intense online</t>
        </is>
      </c>
      <c r="O418" s="58" t="inlineStr">
        <is>
          <t>hugo boss the collection confident oud intense price</t>
        </is>
      </c>
      <c r="P418" s="58" t="inlineStr">
        <is>
          <t>hugo boss the collection confident oud intense eau de parfum</t>
        </is>
      </c>
      <c r="Q418" s="59">
        <f>IF(L418="","",IFERROR(INDEX('Semrush Data'!$A$1:$Z$20000,MATCH(L418,'Semrush Data'!$A$1:$A$20000,0),MATCH("Volume",'Semrush Data'!$A$1:$Z$1,0)),""))</f>
        <v/>
      </c>
      <c r="R418" s="59">
        <f>IF(M418="","",IFERROR(INDEX('Semrush Data'!$A$1:$Z$20000,MATCH(M418,'Semrush Data'!$A$1:$A$20000,0),MATCH("Volume",'Semrush Data'!$A$1:$Z$1,0)),""))</f>
        <v/>
      </c>
      <c r="S418" s="59">
        <f>IF(N418="","",IFERROR(INDEX('Semrush Data'!$A$1:$Z$20000,MATCH(N418,'Semrush Data'!$A$1:$A$20000,0),MATCH("Volume",'Semrush Data'!$A$1:$Z$1,0)),""))</f>
        <v/>
      </c>
      <c r="T418" s="59">
        <f>IF(O418="","",IFERROR(INDEX('Semrush Data'!$A$1:$Z$20000,MATCH(O418,'Semrush Data'!$A$1:$A$20000,0),MATCH("Volume",'Semrush Data'!$A$1:$Z$1,0)),""))</f>
        <v/>
      </c>
      <c r="U418" s="59">
        <f>IF(P418="","",IFERROR(INDEX('Semrush Data'!$A$1:$Z$20000,MATCH(P418,'Semrush Data'!$A$1:$A$20000,0),MATCH("Volume",'Semrush Data'!$A$1:$Z$1,0)),""))</f>
        <v/>
      </c>
      <c r="V418" s="60">
        <f>IF(COUNT(Q418:U418)=0,L418,IF(MAX(Q418:U418)=0,L418,INDEX(L418:P418,MATCH(MAX(Q418:U418),Q418:U418,0))))</f>
        <v/>
      </c>
      <c r="W418" s="59">
        <f>IFERROR(INDEX('Semrush Data'!$A$1:$Z$20000,MATCH(V418,'Semrush Data'!$A$1:$A$20000,0),MATCH("Volume",'Semrush Data'!$A$1:$Z$1,0)),"")</f>
        <v/>
      </c>
      <c r="X418" s="59">
        <f>IFERROR(INDEX('Semrush Data'!$A$1:$Z$20000,MATCH(V418,'Semrush Data'!$A$1:$A$20000,0),MATCH("Keyword Difficulty*",'Semrush Data'!$A$1:$Z$1,0)),"")</f>
        <v/>
      </c>
      <c r="Y418" s="61">
        <f>IFERROR(INDEX('Semrush Data'!$A$1:$Z$20000,MATCH(V418,'Semrush Data'!$A$1:$A$20000,0),MATCH("CPC*",'Semrush Data'!$A$1:$Z$1,0)),"")</f>
        <v/>
      </c>
      <c r="Z418" s="58" t="inlineStr">
        <is>
          <t>hugo boss perfume · hugo boss perfume for men · oud perfume for men uk</t>
        </is>
      </c>
      <c r="AA418" s="58" t="n"/>
      <c r="AB418" s="58" t="inlineStr">
        <is>
          <t>Hugo Boss The Collection Confident Oud Eau de Parfum Intense for Men</t>
        </is>
      </c>
      <c r="AC418" s="58" t="inlineStr">
        <is>
          <t>Hugo Boss The Collection Confident Oud | Swansura UK</t>
        </is>
      </c>
      <c r="AD418" s="58">
        <f>LEN(AC418)</f>
        <v/>
      </c>
      <c r="AE418" s="58" t="inlineStr">
        <is>
          <t>Buy Hugo Boss The Collection Confident Oud Eau de Parfum Intense for Men at Swansura UK. An oud men's eau de parfum. 100% authentic, free UK delivery over £50.</t>
        </is>
      </c>
      <c r="AF418" s="58">
        <f>LEN(AE418)</f>
        <v/>
      </c>
    </row>
    <row r="419" ht="15" customHeight="1" s="37">
      <c r="A419" s="58" t="inlineStr">
        <is>
          <t>FR-259</t>
        </is>
      </c>
      <c r="B419" s="58" t="inlineStr">
        <is>
          <t>Fragrance Catalogue</t>
        </is>
      </c>
      <c r="C419" s="58" t="n">
        <v>259</v>
      </c>
      <c r="D419" s="58" t="inlineStr">
        <is>
          <t>HugoBoss</t>
        </is>
      </c>
      <c r="E419" s="58" t="inlineStr">
        <is>
          <t>Spelling: Hugo Boss</t>
        </is>
      </c>
      <c r="F419" s="58" t="inlineStr">
        <is>
          <t>Fragrance</t>
        </is>
      </c>
      <c r="G419" s="58" t="inlineStr">
        <is>
          <t>Eau de Toilette (EDT)</t>
        </is>
      </c>
      <c r="H419" s="58" t="inlineStr">
        <is>
          <t>Spicy · Men's Fragrance</t>
        </is>
      </c>
      <c r="I419" s="58" t="inlineStr">
        <is>
          <t>Hugo Boss BOSS The Scent Eau de Toilette 100ml Tester – Men's Warm Spicy Fragrance</t>
        </is>
      </c>
      <c r="J419" s="58" t="inlineStr">
        <is>
          <t>100ml</t>
        </is>
      </c>
      <c r="K419" s="58" t="n">
        <v>58.99</v>
      </c>
      <c r="L419" s="58" t="inlineStr">
        <is>
          <t>hugo boss boss the scent tester</t>
        </is>
      </c>
      <c r="M419" s="58" t="inlineStr">
        <is>
          <t>hugo boss boss the scent tester uk</t>
        </is>
      </c>
      <c r="N419" s="58" t="inlineStr">
        <is>
          <t>buy hugo boss boss the scent tester online</t>
        </is>
      </c>
      <c r="O419" s="58" t="inlineStr">
        <is>
          <t>hugo boss boss the scent tester price</t>
        </is>
      </c>
      <c r="P419" s="58" t="inlineStr">
        <is>
          <t>hugo boss boss the scent tester eau de toilette</t>
        </is>
      </c>
      <c r="Q419" s="59">
        <f>IF(L419="","",IFERROR(INDEX('Semrush Data'!$A$1:$Z$20000,MATCH(L419,'Semrush Data'!$A$1:$A$20000,0),MATCH("Volume",'Semrush Data'!$A$1:$Z$1,0)),""))</f>
        <v/>
      </c>
      <c r="R419" s="59">
        <f>IF(M419="","",IFERROR(INDEX('Semrush Data'!$A$1:$Z$20000,MATCH(M419,'Semrush Data'!$A$1:$A$20000,0),MATCH("Volume",'Semrush Data'!$A$1:$Z$1,0)),""))</f>
        <v/>
      </c>
      <c r="S419" s="59">
        <f>IF(N419="","",IFERROR(INDEX('Semrush Data'!$A$1:$Z$20000,MATCH(N419,'Semrush Data'!$A$1:$A$20000,0),MATCH("Volume",'Semrush Data'!$A$1:$Z$1,0)),""))</f>
        <v/>
      </c>
      <c r="T419" s="59">
        <f>IF(O419="","",IFERROR(INDEX('Semrush Data'!$A$1:$Z$20000,MATCH(O419,'Semrush Data'!$A$1:$A$20000,0),MATCH("Volume",'Semrush Data'!$A$1:$Z$1,0)),""))</f>
        <v/>
      </c>
      <c r="U419" s="59">
        <f>IF(P419="","",IFERROR(INDEX('Semrush Data'!$A$1:$Z$20000,MATCH(P419,'Semrush Data'!$A$1:$A$20000,0),MATCH("Volume",'Semrush Data'!$A$1:$Z$1,0)),""))</f>
        <v/>
      </c>
      <c r="V419" s="60">
        <f>IF(COUNT(Q419:U419)=0,L419,IF(MAX(Q419:U419)=0,L419,INDEX(L419:P419,MATCH(MAX(Q419:U419),Q419:U419,0))))</f>
        <v/>
      </c>
      <c r="W419" s="59">
        <f>IFERROR(INDEX('Semrush Data'!$A$1:$Z$20000,MATCH(V419,'Semrush Data'!$A$1:$A$20000,0),MATCH("Volume",'Semrush Data'!$A$1:$Z$1,0)),"")</f>
        <v/>
      </c>
      <c r="X419" s="59">
        <f>IFERROR(INDEX('Semrush Data'!$A$1:$Z$20000,MATCH(V419,'Semrush Data'!$A$1:$A$20000,0),MATCH("Keyword Difficulty*",'Semrush Data'!$A$1:$Z$1,0)),"")</f>
        <v/>
      </c>
      <c r="Y419" s="61">
        <f>IFERROR(INDEX('Semrush Data'!$A$1:$Z$20000,MATCH(V419,'Semrush Data'!$A$1:$A$20000,0),MATCH("CPC*",'Semrush Data'!$A$1:$Z$1,0)),"")</f>
        <v/>
      </c>
      <c r="Z419" s="58" t="inlineStr">
        <is>
          <t>hugo boss perfume · hugo boss perfume for men · spicy perfume for men uk</t>
        </is>
      </c>
      <c r="AA419" s="58" t="n"/>
      <c r="AB419" s="58" t="inlineStr">
        <is>
          <t>Hugo Boss BOSS The Scent Eau de Toilette Tester</t>
        </is>
      </c>
      <c r="AC419" s="58" t="inlineStr">
        <is>
          <t>Hugo Boss BOSS The Scent Tester EDT 100ml | Swansura UK</t>
        </is>
      </c>
      <c r="AD419" s="58">
        <f>LEN(AC419)</f>
        <v/>
      </c>
      <c r="AE419" s="58" t="inlineStr">
        <is>
          <t>Buy Hugo Boss BOSS The Scent Eau de Toilette Tester online in the UK at Swansura. A spicy men's eau de toilette. 100% authentic, free UK delivery over £50.</t>
        </is>
      </c>
      <c r="AF419" s="58">
        <f>LEN(AE419)</f>
        <v/>
      </c>
    </row>
    <row r="420" ht="15" customHeight="1" s="37">
      <c r="A420" s="58" t="inlineStr">
        <is>
          <t>FR-260</t>
        </is>
      </c>
      <c r="B420" s="58" t="inlineStr">
        <is>
          <t>Fragrance Catalogue</t>
        </is>
      </c>
      <c r="C420" s="58" t="n">
        <v>260</v>
      </c>
      <c r="D420" s="58" t="inlineStr">
        <is>
          <t>HugoBoss</t>
        </is>
      </c>
      <c r="E420" s="58" t="inlineStr">
        <is>
          <t>Spelling: Hugo Boss</t>
        </is>
      </c>
      <c r="F420" s="58" t="inlineStr">
        <is>
          <t>Fragrance</t>
        </is>
      </c>
      <c r="G420" s="58" t="inlineStr">
        <is>
          <t>Eau de Toilette (EDT)</t>
        </is>
      </c>
      <c r="H420" s="58" t="inlineStr">
        <is>
          <t>Woody · Men's Fragrance</t>
        </is>
      </c>
      <c r="I420" s="58" t="inlineStr">
        <is>
          <t>Hugo Boss HUGO Man Eau de Toilette 125ml for Men</t>
        </is>
      </c>
      <c r="J420" s="58" t="inlineStr">
        <is>
          <t>125ml</t>
        </is>
      </c>
      <c r="K420" s="58" t="n">
        <v>40.99</v>
      </c>
      <c r="L420" s="58" t="inlineStr">
        <is>
          <t>hugo boss hugo man</t>
        </is>
      </c>
      <c r="M420" s="58" t="inlineStr">
        <is>
          <t>hugo boss hugo man uk</t>
        </is>
      </c>
      <c r="N420" s="58" t="inlineStr">
        <is>
          <t>buy hugo boss hugo man online</t>
        </is>
      </c>
      <c r="O420" s="58" t="inlineStr">
        <is>
          <t>hugo boss hugo man price</t>
        </is>
      </c>
      <c r="P420" s="58" t="inlineStr">
        <is>
          <t>hugo boss hugo man eau de toilette</t>
        </is>
      </c>
      <c r="Q420" s="59">
        <f>IF(L420="","",IFERROR(INDEX('Semrush Data'!$A$1:$Z$20000,MATCH(L420,'Semrush Data'!$A$1:$A$20000,0),MATCH("Volume",'Semrush Data'!$A$1:$Z$1,0)),""))</f>
        <v/>
      </c>
      <c r="R420" s="59">
        <f>IF(M420="","",IFERROR(INDEX('Semrush Data'!$A$1:$Z$20000,MATCH(M420,'Semrush Data'!$A$1:$A$20000,0),MATCH("Volume",'Semrush Data'!$A$1:$Z$1,0)),""))</f>
        <v/>
      </c>
      <c r="S420" s="59">
        <f>IF(N420="","",IFERROR(INDEX('Semrush Data'!$A$1:$Z$20000,MATCH(N420,'Semrush Data'!$A$1:$A$20000,0),MATCH("Volume",'Semrush Data'!$A$1:$Z$1,0)),""))</f>
        <v/>
      </c>
      <c r="T420" s="59">
        <f>IF(O420="","",IFERROR(INDEX('Semrush Data'!$A$1:$Z$20000,MATCH(O420,'Semrush Data'!$A$1:$A$20000,0),MATCH("Volume",'Semrush Data'!$A$1:$Z$1,0)),""))</f>
        <v/>
      </c>
      <c r="U420" s="59">
        <f>IF(P420="","",IFERROR(INDEX('Semrush Data'!$A$1:$Z$20000,MATCH(P420,'Semrush Data'!$A$1:$A$20000,0),MATCH("Volume",'Semrush Data'!$A$1:$Z$1,0)),""))</f>
        <v/>
      </c>
      <c r="V420" s="60">
        <f>IF(COUNT(Q420:U420)=0,L420,IF(MAX(Q420:U420)=0,L420,INDEX(L420:P420,MATCH(MAX(Q420:U420),Q420:U420,0))))</f>
        <v/>
      </c>
      <c r="W420" s="59">
        <f>IFERROR(INDEX('Semrush Data'!$A$1:$Z$20000,MATCH(V420,'Semrush Data'!$A$1:$A$20000,0),MATCH("Volume",'Semrush Data'!$A$1:$Z$1,0)),"")</f>
        <v/>
      </c>
      <c r="X420" s="59">
        <f>IFERROR(INDEX('Semrush Data'!$A$1:$Z$20000,MATCH(V420,'Semrush Data'!$A$1:$A$20000,0),MATCH("Keyword Difficulty*",'Semrush Data'!$A$1:$Z$1,0)),"")</f>
        <v/>
      </c>
      <c r="Y420" s="61">
        <f>IFERROR(INDEX('Semrush Data'!$A$1:$Z$20000,MATCH(V420,'Semrush Data'!$A$1:$A$20000,0),MATCH("CPC*",'Semrush Data'!$A$1:$Z$1,0)),"")</f>
        <v/>
      </c>
      <c r="Z420" s="58" t="inlineStr">
        <is>
          <t>hugo boss perfume · hugo boss perfume for men · woody perfume for men uk</t>
        </is>
      </c>
      <c r="AA420" s="58" t="n"/>
      <c r="AB420" s="58" t="inlineStr">
        <is>
          <t>Hugo Boss HUGO Man Eau de Toilette for Men</t>
        </is>
      </c>
      <c r="AC420" s="58" t="inlineStr">
        <is>
          <t>Hugo Boss HUGO Man Eau de Toilette for Men | Swansura UK</t>
        </is>
      </c>
      <c r="AD420" s="58">
        <f>LEN(AC420)</f>
        <v/>
      </c>
      <c r="AE420" s="58" t="inlineStr">
        <is>
          <t>Buy Hugo Boss HUGO Man Eau de Toilette for Men online in the UK at Swansura. A woody men's eau de toilette, 125ml. 100% authentic, free UK delivery over £50.</t>
        </is>
      </c>
      <c r="AF420" s="58">
        <f>LEN(AE420)</f>
        <v/>
      </c>
    </row>
    <row r="421" ht="15" customHeight="1" s="37">
      <c r="A421" s="58" t="inlineStr">
        <is>
          <t>FR-261</t>
        </is>
      </c>
      <c r="B421" s="58" t="inlineStr">
        <is>
          <t>Fragrance Catalogue</t>
        </is>
      </c>
      <c r="C421" s="58" t="n">
        <v>261</v>
      </c>
      <c r="D421" s="58" t="inlineStr">
        <is>
          <t>HugoBoss</t>
        </is>
      </c>
      <c r="E421" s="58" t="inlineStr">
        <is>
          <t>Spelling: Hugo Boss</t>
        </is>
      </c>
      <c r="F421" s="58" t="inlineStr">
        <is>
          <t>Gift Set</t>
        </is>
      </c>
      <c r="G421" s="58" t="inlineStr">
        <is>
          <t>Eau de Parfum (EDP)</t>
        </is>
      </c>
      <c r="H421" s="58" t="inlineStr">
        <is>
          <t>Woody · Women's Fragrance</t>
        </is>
      </c>
      <c r="I421" s="58" t="inlineStr">
        <is>
          <t>Hugo Boss Alive Eau de Parfum 80ml + Body Lotion 75ml Gift Set for Women</t>
        </is>
      </c>
      <c r="J421" s="58" t="inlineStr">
        <is>
          <t>80ml + 75ml</t>
        </is>
      </c>
      <c r="K421" s="58" t="n">
        <v>64.98999999999999</v>
      </c>
      <c r="L421" s="58" t="inlineStr">
        <is>
          <t>hugo boss alive</t>
        </is>
      </c>
      <c r="M421" s="58" t="inlineStr">
        <is>
          <t>hugo boss alive uk</t>
        </is>
      </c>
      <c r="N421" s="58" t="inlineStr">
        <is>
          <t>buy hugo boss alive online</t>
        </is>
      </c>
      <c r="O421" s="58" t="inlineStr">
        <is>
          <t>hugo boss alive price</t>
        </is>
      </c>
      <c r="P421" s="58" t="inlineStr">
        <is>
          <t>hugo boss alive eau de parfum</t>
        </is>
      </c>
      <c r="Q421" s="59">
        <f>IF(L421="","",IFERROR(INDEX('Semrush Data'!$A$1:$Z$20000,MATCH(L421,'Semrush Data'!$A$1:$A$20000,0),MATCH("Volume",'Semrush Data'!$A$1:$Z$1,0)),""))</f>
        <v/>
      </c>
      <c r="R421" s="59">
        <f>IF(M421="","",IFERROR(INDEX('Semrush Data'!$A$1:$Z$20000,MATCH(M421,'Semrush Data'!$A$1:$A$20000,0),MATCH("Volume",'Semrush Data'!$A$1:$Z$1,0)),""))</f>
        <v/>
      </c>
      <c r="S421" s="59">
        <f>IF(N421="","",IFERROR(INDEX('Semrush Data'!$A$1:$Z$20000,MATCH(N421,'Semrush Data'!$A$1:$A$20000,0),MATCH("Volume",'Semrush Data'!$A$1:$Z$1,0)),""))</f>
        <v/>
      </c>
      <c r="T421" s="59">
        <f>IF(O421="","",IFERROR(INDEX('Semrush Data'!$A$1:$Z$20000,MATCH(O421,'Semrush Data'!$A$1:$A$20000,0),MATCH("Volume",'Semrush Data'!$A$1:$Z$1,0)),""))</f>
        <v/>
      </c>
      <c r="U421" s="59">
        <f>IF(P421="","",IFERROR(INDEX('Semrush Data'!$A$1:$Z$20000,MATCH(P421,'Semrush Data'!$A$1:$A$20000,0),MATCH("Volume",'Semrush Data'!$A$1:$Z$1,0)),""))</f>
        <v/>
      </c>
      <c r="V421" s="60">
        <f>IF(COUNT(Q421:U421)=0,L421,IF(MAX(Q421:U421)=0,L421,INDEX(L421:P421,MATCH(MAX(Q421:U421),Q421:U421,0))))</f>
        <v/>
      </c>
      <c r="W421" s="59">
        <f>IFERROR(INDEX('Semrush Data'!$A$1:$Z$20000,MATCH(V421,'Semrush Data'!$A$1:$A$20000,0),MATCH("Volume",'Semrush Data'!$A$1:$Z$1,0)),"")</f>
        <v/>
      </c>
      <c r="X421" s="59">
        <f>IFERROR(INDEX('Semrush Data'!$A$1:$Z$20000,MATCH(V421,'Semrush Data'!$A$1:$A$20000,0),MATCH("Keyword Difficulty*",'Semrush Data'!$A$1:$Z$1,0)),"")</f>
        <v/>
      </c>
      <c r="Y421" s="61">
        <f>IFERROR(INDEX('Semrush Data'!$A$1:$Z$20000,MATCH(V421,'Semrush Data'!$A$1:$A$20000,0),MATCH("CPC*",'Semrush Data'!$A$1:$Z$1,0)),"")</f>
        <v/>
      </c>
      <c r="Z421" s="58" t="inlineStr">
        <is>
          <t>hugo boss perfume · hugo boss perfume for women · woody perfume for women uk</t>
        </is>
      </c>
      <c r="AA421" s="58" t="n"/>
      <c r="AB421" s="58" t="inlineStr">
        <is>
          <t>Hugo Boss Alive Eau de Parfum</t>
        </is>
      </c>
      <c r="AC421" s="58" t="inlineStr">
        <is>
          <t>Hugo Boss Alive Eau de Parfum | Buy Online UK | Swansura</t>
        </is>
      </c>
      <c r="AD421" s="58">
        <f>LEN(AC421)</f>
        <v/>
      </c>
      <c r="AE421" s="58" t="inlineStr">
        <is>
          <t>Buy Hugo Boss Alive Eau de Parfum online in the UK at Swansura. A woody women's eau de parfum, 80ml+75ml. 100% authentic, fast UK delivery, free over £50.</t>
        </is>
      </c>
      <c r="AF421" s="58">
        <f>LEN(AE421)</f>
        <v/>
      </c>
    </row>
    <row r="422" ht="15" customHeight="1" s="37">
      <c r="A422" s="58" t="inlineStr">
        <is>
          <t>FR-262</t>
        </is>
      </c>
      <c r="B422" s="58" t="inlineStr">
        <is>
          <t>Fragrance Catalogue</t>
        </is>
      </c>
      <c r="C422" s="58" t="n">
        <v>262</v>
      </c>
      <c r="D422" s="58" t="inlineStr">
        <is>
          <t>Jean Paul</t>
        </is>
      </c>
      <c r="E422" s="58" t="n"/>
      <c r="F422" s="58" t="inlineStr">
        <is>
          <t>Fragrance</t>
        </is>
      </c>
      <c r="G422" s="58" t="inlineStr">
        <is>
          <t>Eau de Parfum (EDP)</t>
        </is>
      </c>
      <c r="H422" s="58" t="inlineStr">
        <is>
          <t>Chypre · Women's Fragrance</t>
        </is>
      </c>
      <c r="I422" s="58" t="inlineStr">
        <is>
          <t>Jean Paul Gaultier Scandal Gold Eau de Parfum 80ml – Luxury Women's Chypre Fragrance</t>
        </is>
      </c>
      <c r="J422" s="58" t="inlineStr">
        <is>
          <t>80ml</t>
        </is>
      </c>
      <c r="K422" s="58" t="n">
        <v>62.99</v>
      </c>
      <c r="L422" s="58" t="inlineStr">
        <is>
          <t>jean paul gaultier scandal gold</t>
        </is>
      </c>
      <c r="M422" s="58" t="inlineStr">
        <is>
          <t>jean paul gaultier scandal gold uk</t>
        </is>
      </c>
      <c r="N422" s="58" t="inlineStr">
        <is>
          <t>buy jean paul gaultier scandal gold online</t>
        </is>
      </c>
      <c r="O422" s="58" t="inlineStr">
        <is>
          <t>jean paul gaultier scandal gold price</t>
        </is>
      </c>
      <c r="P422" s="58" t="inlineStr">
        <is>
          <t>jean paul gaultier scandal gold eau de parfum</t>
        </is>
      </c>
      <c r="Q422" s="59">
        <f>IF(L422="","",IFERROR(INDEX('Semrush Data'!$A$1:$Z$20000,MATCH(L422,'Semrush Data'!$A$1:$A$20000,0),MATCH("Volume",'Semrush Data'!$A$1:$Z$1,0)),""))</f>
        <v/>
      </c>
      <c r="R422" s="59">
        <f>IF(M422="","",IFERROR(INDEX('Semrush Data'!$A$1:$Z$20000,MATCH(M422,'Semrush Data'!$A$1:$A$20000,0),MATCH("Volume",'Semrush Data'!$A$1:$Z$1,0)),""))</f>
        <v/>
      </c>
      <c r="S422" s="59">
        <f>IF(N422="","",IFERROR(INDEX('Semrush Data'!$A$1:$Z$20000,MATCH(N422,'Semrush Data'!$A$1:$A$20000,0),MATCH("Volume",'Semrush Data'!$A$1:$Z$1,0)),""))</f>
        <v/>
      </c>
      <c r="T422" s="59">
        <f>IF(O422="","",IFERROR(INDEX('Semrush Data'!$A$1:$Z$20000,MATCH(O422,'Semrush Data'!$A$1:$A$20000,0),MATCH("Volume",'Semrush Data'!$A$1:$Z$1,0)),""))</f>
        <v/>
      </c>
      <c r="U422" s="59">
        <f>IF(P422="","",IFERROR(INDEX('Semrush Data'!$A$1:$Z$20000,MATCH(P422,'Semrush Data'!$A$1:$A$20000,0),MATCH("Volume",'Semrush Data'!$A$1:$Z$1,0)),""))</f>
        <v/>
      </c>
      <c r="V422" s="60">
        <f>IF(COUNT(Q422:U422)=0,L422,IF(MAX(Q422:U422)=0,L422,INDEX(L422:P422,MATCH(MAX(Q422:U422),Q422:U422,0))))</f>
        <v/>
      </c>
      <c r="W422" s="59">
        <f>IFERROR(INDEX('Semrush Data'!$A$1:$Z$20000,MATCH(V422,'Semrush Data'!$A$1:$A$20000,0),MATCH("Volume",'Semrush Data'!$A$1:$Z$1,0)),"")</f>
        <v/>
      </c>
      <c r="X422" s="59">
        <f>IFERROR(INDEX('Semrush Data'!$A$1:$Z$20000,MATCH(V422,'Semrush Data'!$A$1:$A$20000,0),MATCH("Keyword Difficulty*",'Semrush Data'!$A$1:$Z$1,0)),"")</f>
        <v/>
      </c>
      <c r="Y422" s="61">
        <f>IFERROR(INDEX('Semrush Data'!$A$1:$Z$20000,MATCH(V422,'Semrush Data'!$A$1:$A$20000,0),MATCH("CPC*",'Semrush Data'!$A$1:$Z$1,0)),"")</f>
        <v/>
      </c>
      <c r="Z422" s="58" t="inlineStr">
        <is>
          <t>jean paul perfume · jean paul perfume for women · chypre perfume for women uk</t>
        </is>
      </c>
      <c r="AA422" s="58" t="inlineStr">
        <is>
          <t>jean paul gaultier scandal gold eau de parfum · jean paul gaultier scandal gold edp · jean paul gaultier scandal gold perfume · jean paul gaultier scandal gold men · jean paul gaultier scandal gold eau de parfum 80ml · jean paul gaultier scandal gold edp 80ml</t>
        </is>
      </c>
      <c r="AB422" s="58" t="inlineStr">
        <is>
          <t>Jean Paul Gaultier Scandal Gold Eau de Parfum</t>
        </is>
      </c>
      <c r="AC422" s="58" t="inlineStr">
        <is>
          <t>Jean Paul Gaultier Scandal Gold Eau de Parfum | Swansura UK</t>
        </is>
      </c>
      <c r="AD422" s="58">
        <f>LEN(AC422)</f>
        <v/>
      </c>
      <c r="AE422" s="58" t="inlineStr">
        <is>
          <t>Buy Jean Paul Gaultier Scandal Gold Eau de Parfum online in the UK at Swansura. A chypre women's eau de parfum, 80ml. 100% authentic, free UK delivery over £50.</t>
        </is>
      </c>
      <c r="AF422" s="58">
        <f>LEN(AE422)</f>
        <v/>
      </c>
    </row>
    <row r="423" ht="15" customHeight="1" s="37">
      <c r="A423" s="58" t="inlineStr">
        <is>
          <t>FR-263</t>
        </is>
      </c>
      <c r="B423" s="58" t="inlineStr">
        <is>
          <t>Fragrance Catalogue</t>
        </is>
      </c>
      <c r="C423" s="58" t="n">
        <v>263</v>
      </c>
      <c r="D423" s="58" t="inlineStr">
        <is>
          <t>Jean Paul</t>
        </is>
      </c>
      <c r="E423" s="58" t="n"/>
      <c r="F423" s="58" t="inlineStr">
        <is>
          <t>Fragrance</t>
        </is>
      </c>
      <c r="G423" s="58" t="inlineStr">
        <is>
          <t>Perfumed Shower Gel</t>
        </is>
      </c>
      <c r="H423" s="58" t="inlineStr">
        <is>
          <t>Woody · Women's Fragrance</t>
        </is>
      </c>
      <c r="I423" s="58" t="inlineStr">
        <is>
          <t>Jean Paul Gaultier Classique Perfumed Shower Gel 200ml – Women's Body Wash</t>
        </is>
      </c>
      <c r="J423" s="58" t="inlineStr">
        <is>
          <t>200ml</t>
        </is>
      </c>
      <c r="K423" s="58" t="n">
        <v>22.99</v>
      </c>
      <c r="L423" s="58" t="inlineStr">
        <is>
          <t>jean paul gaultier classique perfumed shower gel</t>
        </is>
      </c>
      <c r="M423" s="58" t="inlineStr">
        <is>
          <t>jean paul gaultier classique perfumed shower gel uk</t>
        </is>
      </c>
      <c r="N423" s="58" t="inlineStr">
        <is>
          <t>buy jean paul gaultier classique perfumed shower gel online</t>
        </is>
      </c>
      <c r="O423" s="58" t="inlineStr">
        <is>
          <t>jean paul gaultier classique perfumed shower gel price</t>
        </is>
      </c>
      <c r="P423" s="58" t="n"/>
      <c r="Q423" s="59">
        <f>IF(L423="","",IFERROR(INDEX('Semrush Data'!$A$1:$Z$20000,MATCH(L423,'Semrush Data'!$A$1:$A$20000,0),MATCH("Volume",'Semrush Data'!$A$1:$Z$1,0)),""))</f>
        <v/>
      </c>
      <c r="R423" s="59">
        <f>IF(M423="","",IFERROR(INDEX('Semrush Data'!$A$1:$Z$20000,MATCH(M423,'Semrush Data'!$A$1:$A$20000,0),MATCH("Volume",'Semrush Data'!$A$1:$Z$1,0)),""))</f>
        <v/>
      </c>
      <c r="S423" s="59">
        <f>IF(N423="","",IFERROR(INDEX('Semrush Data'!$A$1:$Z$20000,MATCH(N423,'Semrush Data'!$A$1:$A$20000,0),MATCH("Volume",'Semrush Data'!$A$1:$Z$1,0)),""))</f>
        <v/>
      </c>
      <c r="T423" s="59">
        <f>IF(O423="","",IFERROR(INDEX('Semrush Data'!$A$1:$Z$20000,MATCH(O423,'Semrush Data'!$A$1:$A$20000,0),MATCH("Volume",'Semrush Data'!$A$1:$Z$1,0)),""))</f>
        <v/>
      </c>
      <c r="U423" s="59">
        <f>IF(P423="","",IFERROR(INDEX('Semrush Data'!$A$1:$Z$20000,MATCH(P423,'Semrush Data'!$A$1:$A$20000,0),MATCH("Volume",'Semrush Data'!$A$1:$Z$1,0)),""))</f>
        <v/>
      </c>
      <c r="V423" s="60">
        <f>IF(COUNT(Q423:U423)=0,L423,IF(MAX(Q423:U423)=0,L423,INDEX(L423:P423,MATCH(MAX(Q423:U423),Q423:U423,0))))</f>
        <v/>
      </c>
      <c r="W423" s="59">
        <f>IFERROR(INDEX('Semrush Data'!$A$1:$Z$20000,MATCH(V423,'Semrush Data'!$A$1:$A$20000,0),MATCH("Volume",'Semrush Data'!$A$1:$Z$1,0)),"")</f>
        <v/>
      </c>
      <c r="X423" s="59">
        <f>IFERROR(INDEX('Semrush Data'!$A$1:$Z$20000,MATCH(V423,'Semrush Data'!$A$1:$A$20000,0),MATCH("Keyword Difficulty*",'Semrush Data'!$A$1:$Z$1,0)),"")</f>
        <v/>
      </c>
      <c r="Y423" s="61">
        <f>IFERROR(INDEX('Semrush Data'!$A$1:$Z$20000,MATCH(V423,'Semrush Data'!$A$1:$A$20000,0),MATCH("CPC*",'Semrush Data'!$A$1:$Z$1,0)),"")</f>
        <v/>
      </c>
      <c r="Z423" s="58" t="inlineStr">
        <is>
          <t>jean paul perfume · jean paul perfume for women · woody perfume for women uk</t>
        </is>
      </c>
      <c r="AA423" s="58" t="inlineStr">
        <is>
          <t>jean.paul.gaultier perfume and shower gel · jean paul gaultier classique ingredients</t>
        </is>
      </c>
      <c r="AB423" s="58" t="inlineStr">
        <is>
          <t>Jean Paul Gaultier Classique Perfumed Shower Gel</t>
        </is>
      </c>
      <c r="AC423" s="58" t="inlineStr">
        <is>
          <t>Jean Paul Gaultier Classique Perfumed Shower | Swansura UK</t>
        </is>
      </c>
      <c r="AD423" s="58">
        <f>LEN(AC423)</f>
        <v/>
      </c>
      <c r="AE423" s="58" t="inlineStr">
        <is>
          <t>Buy Jean Paul Gaultier Classique Perfumed Shower Gel online in the UK at Swansura. A woody women's fragrance, 200ml. 100% authentic, free UK delivery over £50.</t>
        </is>
      </c>
      <c r="AF423" s="58">
        <f>LEN(AE423)</f>
        <v/>
      </c>
    </row>
    <row r="424" ht="15" customHeight="1" s="37">
      <c r="A424" s="58" t="inlineStr">
        <is>
          <t>FR-264</t>
        </is>
      </c>
      <c r="B424" s="58" t="inlineStr">
        <is>
          <t>Fragrance Catalogue</t>
        </is>
      </c>
      <c r="C424" s="58" t="n">
        <v>264</v>
      </c>
      <c r="D424" s="58" t="inlineStr">
        <is>
          <t>Jimmy Choo</t>
        </is>
      </c>
      <c r="E424" s="58" t="n"/>
      <c r="F424" s="58" t="inlineStr">
        <is>
          <t>Fragrance</t>
        </is>
      </c>
      <c r="G424" s="58" t="inlineStr">
        <is>
          <t>Eau de Parfum (EDP)</t>
        </is>
      </c>
      <c r="H424" s="58" t="inlineStr">
        <is>
          <t>Floral · Women's Fragrance</t>
        </is>
      </c>
      <c r="I424" s="58" t="inlineStr">
        <is>
          <t>Jimmy Choo I Want Choo Forever Eau de Parfum 4.5ml Miniature – Women's Floral Gourmand Fragrance</t>
        </is>
      </c>
      <c r="J424" s="58" t="inlineStr">
        <is>
          <t>4.5ml</t>
        </is>
      </c>
      <c r="K424" s="58" t="n">
        <v>14.99</v>
      </c>
      <c r="L424" s="58" t="inlineStr">
        <is>
          <t>jimmy choo i want choo forever miniature</t>
        </is>
      </c>
      <c r="M424" s="58" t="inlineStr">
        <is>
          <t>jimmy choo i want choo forever miniature uk</t>
        </is>
      </c>
      <c r="N424" s="58" t="inlineStr">
        <is>
          <t>buy jimmy choo i want choo forever miniature online</t>
        </is>
      </c>
      <c r="O424" s="58" t="inlineStr">
        <is>
          <t>jimmy choo i want choo forever miniature price</t>
        </is>
      </c>
      <c r="P424" s="58" t="inlineStr">
        <is>
          <t>jimmy choo i want choo forever miniature eau de parfum</t>
        </is>
      </c>
      <c r="Q424" s="59">
        <f>IF(L424="","",IFERROR(INDEX('Semrush Data'!$A$1:$Z$20000,MATCH(L424,'Semrush Data'!$A$1:$A$20000,0),MATCH("Volume",'Semrush Data'!$A$1:$Z$1,0)),""))</f>
        <v/>
      </c>
      <c r="R424" s="59">
        <f>IF(M424="","",IFERROR(INDEX('Semrush Data'!$A$1:$Z$20000,MATCH(M424,'Semrush Data'!$A$1:$A$20000,0),MATCH("Volume",'Semrush Data'!$A$1:$Z$1,0)),""))</f>
        <v/>
      </c>
      <c r="S424" s="59">
        <f>IF(N424="","",IFERROR(INDEX('Semrush Data'!$A$1:$Z$20000,MATCH(N424,'Semrush Data'!$A$1:$A$20000,0),MATCH("Volume",'Semrush Data'!$A$1:$Z$1,0)),""))</f>
        <v/>
      </c>
      <c r="T424" s="59">
        <f>IF(O424="","",IFERROR(INDEX('Semrush Data'!$A$1:$Z$20000,MATCH(O424,'Semrush Data'!$A$1:$A$20000,0),MATCH("Volume",'Semrush Data'!$A$1:$Z$1,0)),""))</f>
        <v/>
      </c>
      <c r="U424" s="59">
        <f>IF(P424="","",IFERROR(INDEX('Semrush Data'!$A$1:$Z$20000,MATCH(P424,'Semrush Data'!$A$1:$A$20000,0),MATCH("Volume",'Semrush Data'!$A$1:$Z$1,0)),""))</f>
        <v/>
      </c>
      <c r="V424" s="60">
        <f>IF(COUNT(Q424:U424)=0,L424,IF(MAX(Q424:U424)=0,L424,INDEX(L424:P424,MATCH(MAX(Q424:U424),Q424:U424,0))))</f>
        <v/>
      </c>
      <c r="W424" s="59">
        <f>IFERROR(INDEX('Semrush Data'!$A$1:$Z$20000,MATCH(V424,'Semrush Data'!$A$1:$A$20000,0),MATCH("Volume",'Semrush Data'!$A$1:$Z$1,0)),"")</f>
        <v/>
      </c>
      <c r="X424" s="59">
        <f>IFERROR(INDEX('Semrush Data'!$A$1:$Z$20000,MATCH(V424,'Semrush Data'!$A$1:$A$20000,0),MATCH("Keyword Difficulty*",'Semrush Data'!$A$1:$Z$1,0)),"")</f>
        <v/>
      </c>
      <c r="Y424" s="61">
        <f>IFERROR(INDEX('Semrush Data'!$A$1:$Z$20000,MATCH(V424,'Semrush Data'!$A$1:$A$20000,0),MATCH("CPC*",'Semrush Data'!$A$1:$Z$1,0)),"")</f>
        <v/>
      </c>
      <c r="Z424" s="58" t="inlineStr">
        <is>
          <t>jimmy choo perfume · jimmy choo perfume for women · floral perfume for women uk</t>
        </is>
      </c>
      <c r="AA424" s="58" t="n"/>
      <c r="AB424" s="58" t="inlineStr">
        <is>
          <t>Jimmy Choo I Want Choo Forever Eau de Parfum Miniature</t>
        </is>
      </c>
      <c r="AC424" s="58" t="inlineStr">
        <is>
          <t>Jimmy Choo I Want Choo Forever Miniature 4.5ml | Swansura UK</t>
        </is>
      </c>
      <c r="AD424" s="58">
        <f>LEN(AC424)</f>
        <v/>
      </c>
      <c r="AE424" s="58" t="inlineStr">
        <is>
          <t>Buy Jimmy Choo I Want Choo Forever Eau de Parfum Miniature online in the UK at Swansura. Floral eau de parfum. 100% authentic, fast UK delivery, free over £50.</t>
        </is>
      </c>
      <c r="AF424" s="58">
        <f>LEN(AE424)</f>
        <v/>
      </c>
    </row>
    <row r="425" ht="15" customHeight="1" s="37">
      <c r="A425" s="58" t="inlineStr">
        <is>
          <t>FR-265</t>
        </is>
      </c>
      <c r="B425" s="58" t="inlineStr">
        <is>
          <t>Fragrance Catalogue</t>
        </is>
      </c>
      <c r="C425" s="58" t="n">
        <v>265</v>
      </c>
      <c r="D425" s="58" t="inlineStr">
        <is>
          <t>Jimmy Choo</t>
        </is>
      </c>
      <c r="E425" s="58" t="n"/>
      <c r="F425" s="58" t="inlineStr">
        <is>
          <t>Gift Set</t>
        </is>
      </c>
      <c r="G425" s="58" t="inlineStr">
        <is>
          <t>Fragrance Gift Set</t>
        </is>
      </c>
      <c r="H425" s="58" t="inlineStr">
        <is>
          <t>Woody · Women's Fragrance</t>
        </is>
      </c>
      <c r="I425" s="58" t="inlineStr">
        <is>
          <t>Jimmy Choo Women's Miniature Fragrance Gift Set 5x4.5ml – 5 Piece Perfume Collection</t>
        </is>
      </c>
      <c r="J425" s="58" t="inlineStr">
        <is>
          <t>5ml</t>
        </is>
      </c>
      <c r="K425" s="58" t="n">
        <v>42.99</v>
      </c>
      <c r="L425" s="58" t="inlineStr">
        <is>
          <t>jimmy choo miniature gift set 5x4.</t>
        </is>
      </c>
      <c r="M425" s="58" t="inlineStr">
        <is>
          <t>jimmy choo miniature gift set 5x4. uk</t>
        </is>
      </c>
      <c r="N425" s="58" t="inlineStr">
        <is>
          <t>buy jimmy choo miniature gift set 5x4. online</t>
        </is>
      </c>
      <c r="O425" s="58" t="inlineStr">
        <is>
          <t>jimmy choo miniature gift set 5x4. price</t>
        </is>
      </c>
      <c r="P425" s="58" t="n"/>
      <c r="Q425" s="59">
        <f>IF(L425="","",IFERROR(INDEX('Semrush Data'!$A$1:$Z$20000,MATCH(L425,'Semrush Data'!$A$1:$A$20000,0),MATCH("Volume",'Semrush Data'!$A$1:$Z$1,0)),""))</f>
        <v/>
      </c>
      <c r="R425" s="59">
        <f>IF(M425="","",IFERROR(INDEX('Semrush Data'!$A$1:$Z$20000,MATCH(M425,'Semrush Data'!$A$1:$A$20000,0),MATCH("Volume",'Semrush Data'!$A$1:$Z$1,0)),""))</f>
        <v/>
      </c>
      <c r="S425" s="59">
        <f>IF(N425="","",IFERROR(INDEX('Semrush Data'!$A$1:$Z$20000,MATCH(N425,'Semrush Data'!$A$1:$A$20000,0),MATCH("Volume",'Semrush Data'!$A$1:$Z$1,0)),""))</f>
        <v/>
      </c>
      <c r="T425" s="59">
        <f>IF(O425="","",IFERROR(INDEX('Semrush Data'!$A$1:$Z$20000,MATCH(O425,'Semrush Data'!$A$1:$A$20000,0),MATCH("Volume",'Semrush Data'!$A$1:$Z$1,0)),""))</f>
        <v/>
      </c>
      <c r="U425" s="59">
        <f>IF(P425="","",IFERROR(INDEX('Semrush Data'!$A$1:$Z$20000,MATCH(P425,'Semrush Data'!$A$1:$A$20000,0),MATCH("Volume",'Semrush Data'!$A$1:$Z$1,0)),""))</f>
        <v/>
      </c>
      <c r="V425" s="60">
        <f>IF(COUNT(Q425:U425)=0,L425,IF(MAX(Q425:U425)=0,L425,INDEX(L425:P425,MATCH(MAX(Q425:U425),Q425:U425,0))))</f>
        <v/>
      </c>
      <c r="W425" s="59">
        <f>IFERROR(INDEX('Semrush Data'!$A$1:$Z$20000,MATCH(V425,'Semrush Data'!$A$1:$A$20000,0),MATCH("Volume",'Semrush Data'!$A$1:$Z$1,0)),"")</f>
        <v/>
      </c>
      <c r="X425" s="59">
        <f>IFERROR(INDEX('Semrush Data'!$A$1:$Z$20000,MATCH(V425,'Semrush Data'!$A$1:$A$20000,0),MATCH("Keyword Difficulty*",'Semrush Data'!$A$1:$Z$1,0)),"")</f>
        <v/>
      </c>
      <c r="Y425" s="61">
        <f>IFERROR(INDEX('Semrush Data'!$A$1:$Z$20000,MATCH(V425,'Semrush Data'!$A$1:$A$20000,0),MATCH("CPC*",'Semrush Data'!$A$1:$Z$1,0)),"")</f>
        <v/>
      </c>
      <c r="Z425" s="58" t="inlineStr">
        <is>
          <t>jimmy choo perfume · jimmy choo perfume for women · woody perfume for women uk</t>
        </is>
      </c>
      <c r="AA425" s="58" t="n"/>
      <c r="AB425" s="58" t="inlineStr">
        <is>
          <t>Jimmy Choo Women's Miniature Fragrance Gift Set 5x4.</t>
        </is>
      </c>
      <c r="AC425" s="58" t="inlineStr">
        <is>
          <t>Jimmy Choo Women's Miniature Fragrance Gift | Swansura UK</t>
        </is>
      </c>
      <c r="AD425" s="58">
        <f>LEN(AC425)</f>
        <v/>
      </c>
      <c r="AE425" s="58" t="inlineStr">
        <is>
          <t>Buy Jimmy Choo Women's Miniature Fragrance Gift Set 5x4. online in the UK at Swansura. A woody women's fragrance. 100% authentic, free UK delivery over £50.</t>
        </is>
      </c>
      <c r="AF425" s="58">
        <f>LEN(AE425)</f>
        <v/>
      </c>
    </row>
    <row r="426" ht="15" customHeight="1" s="37">
      <c r="A426" s="58" t="inlineStr">
        <is>
          <t>FR-266</t>
        </is>
      </c>
      <c r="B426" s="58" t="inlineStr">
        <is>
          <t>Fragrance Catalogue</t>
        </is>
      </c>
      <c r="C426" s="58" t="n">
        <v>266</v>
      </c>
      <c r="D426" s="58" t="inlineStr">
        <is>
          <t>Jo Milano</t>
        </is>
      </c>
      <c r="E426" s="58" t="n"/>
      <c r="F426" s="58" t="inlineStr">
        <is>
          <t>Fragrance</t>
        </is>
      </c>
      <c r="G426" s="58" t="inlineStr">
        <is>
          <t>Perfume Spray</t>
        </is>
      </c>
      <c r="H426" s="58" t="inlineStr">
        <is>
          <t>Amber · Unisex Fragrance</t>
        </is>
      </c>
      <c r="I426" s="58" t="inlineStr">
        <is>
          <t>Jo Milano Game Of Spades Queen for Unisex Perfume Spray 100 ml</t>
        </is>
      </c>
      <c r="J426" s="58" t="inlineStr">
        <is>
          <t>100 ml</t>
        </is>
      </c>
      <c r="K426" s="58" t="n">
        <v>83.98999999999999</v>
      </c>
      <c r="L426" s="58" t="inlineStr">
        <is>
          <t>jo milano game of spades queen for</t>
        </is>
      </c>
      <c r="M426" s="58" t="inlineStr">
        <is>
          <t>jo milano game of spades queen for uk</t>
        </is>
      </c>
      <c r="N426" s="58" t="inlineStr">
        <is>
          <t>buy jo milano game of spades queen for online</t>
        </is>
      </c>
      <c r="O426" s="58" t="inlineStr">
        <is>
          <t>jo milano game of spades queen for price</t>
        </is>
      </c>
      <c r="P426" s="58" t="n"/>
      <c r="Q426" s="59">
        <f>IF(L426="","",IFERROR(INDEX('Semrush Data'!$A$1:$Z$20000,MATCH(L426,'Semrush Data'!$A$1:$A$20000,0),MATCH("Volume",'Semrush Data'!$A$1:$Z$1,0)),""))</f>
        <v/>
      </c>
      <c r="R426" s="59">
        <f>IF(M426="","",IFERROR(INDEX('Semrush Data'!$A$1:$Z$20000,MATCH(M426,'Semrush Data'!$A$1:$A$20000,0),MATCH("Volume",'Semrush Data'!$A$1:$Z$1,0)),""))</f>
        <v/>
      </c>
      <c r="S426" s="59">
        <f>IF(N426="","",IFERROR(INDEX('Semrush Data'!$A$1:$Z$20000,MATCH(N426,'Semrush Data'!$A$1:$A$20000,0),MATCH("Volume",'Semrush Data'!$A$1:$Z$1,0)),""))</f>
        <v/>
      </c>
      <c r="T426" s="59">
        <f>IF(O426="","",IFERROR(INDEX('Semrush Data'!$A$1:$Z$20000,MATCH(O426,'Semrush Data'!$A$1:$A$20000,0),MATCH("Volume",'Semrush Data'!$A$1:$Z$1,0)),""))</f>
        <v/>
      </c>
      <c r="U426" s="59">
        <f>IF(P426="","",IFERROR(INDEX('Semrush Data'!$A$1:$Z$20000,MATCH(P426,'Semrush Data'!$A$1:$A$20000,0),MATCH("Volume",'Semrush Data'!$A$1:$Z$1,0)),""))</f>
        <v/>
      </c>
      <c r="V426" s="60">
        <f>IF(COUNT(Q426:U426)=0,L426,IF(MAX(Q426:U426)=0,L426,INDEX(L426:P426,MATCH(MAX(Q426:U426),Q426:U426,0))))</f>
        <v/>
      </c>
      <c r="W426" s="59">
        <f>IFERROR(INDEX('Semrush Data'!$A$1:$Z$20000,MATCH(V426,'Semrush Data'!$A$1:$A$20000,0),MATCH("Volume",'Semrush Data'!$A$1:$Z$1,0)),"")</f>
        <v/>
      </c>
      <c r="X426" s="59">
        <f>IFERROR(INDEX('Semrush Data'!$A$1:$Z$20000,MATCH(V426,'Semrush Data'!$A$1:$A$20000,0),MATCH("Keyword Difficulty*",'Semrush Data'!$A$1:$Z$1,0)),"")</f>
        <v/>
      </c>
      <c r="Y426" s="61">
        <f>IFERROR(INDEX('Semrush Data'!$A$1:$Z$20000,MATCH(V426,'Semrush Data'!$A$1:$A$20000,0),MATCH("CPC*",'Semrush Data'!$A$1:$Z$1,0)),"")</f>
        <v/>
      </c>
      <c r="Z426" s="58" t="inlineStr">
        <is>
          <t>jo milano perfume · amber perfume uk</t>
        </is>
      </c>
      <c r="AA426" s="58" t="n"/>
      <c r="AB426" s="58" t="inlineStr">
        <is>
          <t>Jo Milano Game Of Spades Queen for Unisex Perfume Spray</t>
        </is>
      </c>
      <c r="AC426" s="58" t="inlineStr">
        <is>
          <t>Jo Milano Game Of Spades Queen for Unisex | Swansura UK</t>
        </is>
      </c>
      <c r="AD426" s="58">
        <f>LEN(AC426)</f>
        <v/>
      </c>
      <c r="AE426" s="58" t="inlineStr">
        <is>
          <t>Buy Jo Milano Game Of Spades Queen for Unisex Perfume Spray online in the UK at Swansura. An amber unisex fragrance. 100% authentic, free UK delivery over £50.</t>
        </is>
      </c>
      <c r="AF426" s="58">
        <f>LEN(AE426)</f>
        <v/>
      </c>
    </row>
    <row r="427" ht="15" customHeight="1" s="37">
      <c r="A427" s="58" t="inlineStr">
        <is>
          <t>FR-267</t>
        </is>
      </c>
      <c r="B427" s="58" t="inlineStr">
        <is>
          <t>Fragrance Catalogue</t>
        </is>
      </c>
      <c r="C427" s="58" t="n">
        <v>267</v>
      </c>
      <c r="D427" s="58" t="inlineStr">
        <is>
          <t>Jo Milano</t>
        </is>
      </c>
      <c r="E427" s="58" t="n"/>
      <c r="F427" s="58" t="inlineStr">
        <is>
          <t>Fragrance</t>
        </is>
      </c>
      <c r="G427" s="58" t="inlineStr">
        <is>
          <t>Parfum</t>
        </is>
      </c>
      <c r="H427" s="58" t="inlineStr">
        <is>
          <t>Amber · Unisex Fragrance</t>
        </is>
      </c>
      <c r="I427" s="58" t="inlineStr">
        <is>
          <t>Jo Milano Game Of Spades Wildcard for Unisex Parfum Spray, 3.4 Ounce</t>
        </is>
      </c>
      <c r="J427" s="58" t="inlineStr">
        <is>
          <t>Not specified</t>
        </is>
      </c>
      <c r="K427" s="58" t="n">
        <v>88.98999999999999</v>
      </c>
      <c r="L427" s="58" t="inlineStr">
        <is>
          <t>jo milano game of spades wildcard for parfum , 3.4 ounce</t>
        </is>
      </c>
      <c r="M427" s="58" t="inlineStr">
        <is>
          <t>jo milano game of spades wildcard for parfum , 3.4 ounce uk</t>
        </is>
      </c>
      <c r="N427" s="58" t="inlineStr">
        <is>
          <t>buy jo milano game of spades wildcard for parfum , 3.4 ounce online</t>
        </is>
      </c>
      <c r="O427" s="58" t="inlineStr">
        <is>
          <t>jo milano game of spades wildcard for parfum , 3.4 ounce price</t>
        </is>
      </c>
      <c r="P427" s="58" t="inlineStr">
        <is>
          <t>jo milano game of spades wildcard for parfum , 3.4 ounce parfum</t>
        </is>
      </c>
      <c r="Q427" s="59">
        <f>IF(L427="","",IFERROR(INDEX('Semrush Data'!$A$1:$Z$20000,MATCH(L427,'Semrush Data'!$A$1:$A$20000,0),MATCH("Volume",'Semrush Data'!$A$1:$Z$1,0)),""))</f>
        <v/>
      </c>
      <c r="R427" s="59">
        <f>IF(M427="","",IFERROR(INDEX('Semrush Data'!$A$1:$Z$20000,MATCH(M427,'Semrush Data'!$A$1:$A$20000,0),MATCH("Volume",'Semrush Data'!$A$1:$Z$1,0)),""))</f>
        <v/>
      </c>
      <c r="S427" s="59">
        <f>IF(N427="","",IFERROR(INDEX('Semrush Data'!$A$1:$Z$20000,MATCH(N427,'Semrush Data'!$A$1:$A$20000,0),MATCH("Volume",'Semrush Data'!$A$1:$Z$1,0)),""))</f>
        <v/>
      </c>
      <c r="T427" s="59">
        <f>IF(O427="","",IFERROR(INDEX('Semrush Data'!$A$1:$Z$20000,MATCH(O427,'Semrush Data'!$A$1:$A$20000,0),MATCH("Volume",'Semrush Data'!$A$1:$Z$1,0)),""))</f>
        <v/>
      </c>
      <c r="U427" s="59">
        <f>IF(P427="","",IFERROR(INDEX('Semrush Data'!$A$1:$Z$20000,MATCH(P427,'Semrush Data'!$A$1:$A$20000,0),MATCH("Volume",'Semrush Data'!$A$1:$Z$1,0)),""))</f>
        <v/>
      </c>
      <c r="V427" s="60">
        <f>IF(COUNT(Q427:U427)=0,L427,IF(MAX(Q427:U427)=0,L427,INDEX(L427:P427,MATCH(MAX(Q427:U427),Q427:U427,0))))</f>
        <v/>
      </c>
      <c r="W427" s="59">
        <f>IFERROR(INDEX('Semrush Data'!$A$1:$Z$20000,MATCH(V427,'Semrush Data'!$A$1:$A$20000,0),MATCH("Volume",'Semrush Data'!$A$1:$Z$1,0)),"")</f>
        <v/>
      </c>
      <c r="X427" s="59">
        <f>IFERROR(INDEX('Semrush Data'!$A$1:$Z$20000,MATCH(V427,'Semrush Data'!$A$1:$A$20000,0),MATCH("Keyword Difficulty*",'Semrush Data'!$A$1:$Z$1,0)),"")</f>
        <v/>
      </c>
      <c r="Y427" s="61">
        <f>IFERROR(INDEX('Semrush Data'!$A$1:$Z$20000,MATCH(V427,'Semrush Data'!$A$1:$A$20000,0),MATCH("CPC*",'Semrush Data'!$A$1:$Z$1,0)),"")</f>
        <v/>
      </c>
      <c r="Z427" s="58" t="inlineStr">
        <is>
          <t>jo milano perfume · amber perfume uk</t>
        </is>
      </c>
      <c r="AA427" s="58" t="n"/>
      <c r="AB427" s="58" t="inlineStr">
        <is>
          <t>Jo Milano Game Of Spades Wildcard for Unisex Parfum Spray, 3.4 Ounce</t>
        </is>
      </c>
      <c r="AC427" s="58" t="inlineStr">
        <is>
          <t>Jo Milano Game Of Spades Wildcard for Unisex | Swansura UK</t>
        </is>
      </c>
      <c r="AD427" s="58">
        <f>LEN(AC427)</f>
        <v/>
      </c>
      <c r="AE427" s="58" t="inlineStr">
        <is>
          <t>Buy Jo Milano Game Of Spades Wildcard for Unisex Parfum Spray, 3.4 Ounce online in the UK at Swansura. Amber parfum. 100% authentic, free UK delivery over £50.</t>
        </is>
      </c>
      <c r="AF427" s="58">
        <f>LEN(AE427)</f>
        <v/>
      </c>
    </row>
    <row r="428" ht="15" customHeight="1" s="37">
      <c r="A428" s="58" t="inlineStr">
        <is>
          <t>FR-268</t>
        </is>
      </c>
      <c r="B428" s="58" t="inlineStr">
        <is>
          <t>Fragrance Catalogue</t>
        </is>
      </c>
      <c r="C428" s="58" t="n">
        <v>268</v>
      </c>
      <c r="D428" s="58" t="inlineStr">
        <is>
          <t>john varvatos</t>
        </is>
      </c>
      <c r="E428" s="58" t="n"/>
      <c r="F428" s="58" t="inlineStr">
        <is>
          <t>Fragrance</t>
        </is>
      </c>
      <c r="G428" s="58" t="inlineStr">
        <is>
          <t>Eau de Toilette (EDT)</t>
        </is>
      </c>
      <c r="H428" s="58" t="inlineStr">
        <is>
          <t>Woody · Men's Fragrance</t>
        </is>
      </c>
      <c r="I428" s="58" t="inlineStr">
        <is>
          <t>John Varvatos Artisan Eau de Toilette 75ml – Men's Citrus Woody Long lasting Fragrance</t>
        </is>
      </c>
      <c r="J428" s="58" t="inlineStr">
        <is>
          <t>75ml</t>
        </is>
      </c>
      <c r="K428" s="58" t="n">
        <v>32.99</v>
      </c>
      <c r="L428" s="58" t="inlineStr">
        <is>
          <t>john varvatos artisan</t>
        </is>
      </c>
      <c r="M428" s="58" t="inlineStr">
        <is>
          <t>john varvatos artisan uk</t>
        </is>
      </c>
      <c r="N428" s="58" t="inlineStr">
        <is>
          <t>buy john varvatos artisan online</t>
        </is>
      </c>
      <c r="O428" s="58" t="inlineStr">
        <is>
          <t>john varvatos artisan price</t>
        </is>
      </c>
      <c r="P428" s="58" t="inlineStr">
        <is>
          <t>john varvatos artisan eau de toilette</t>
        </is>
      </c>
      <c r="Q428" s="59">
        <f>IF(L428="","",IFERROR(INDEX('Semrush Data'!$A$1:$Z$20000,MATCH(L428,'Semrush Data'!$A$1:$A$20000,0),MATCH("Volume",'Semrush Data'!$A$1:$Z$1,0)),""))</f>
        <v/>
      </c>
      <c r="R428" s="59">
        <f>IF(M428="","",IFERROR(INDEX('Semrush Data'!$A$1:$Z$20000,MATCH(M428,'Semrush Data'!$A$1:$A$20000,0),MATCH("Volume",'Semrush Data'!$A$1:$Z$1,0)),""))</f>
        <v/>
      </c>
      <c r="S428" s="59">
        <f>IF(N428="","",IFERROR(INDEX('Semrush Data'!$A$1:$Z$20000,MATCH(N428,'Semrush Data'!$A$1:$A$20000,0),MATCH("Volume",'Semrush Data'!$A$1:$Z$1,0)),""))</f>
        <v/>
      </c>
      <c r="T428" s="59">
        <f>IF(O428="","",IFERROR(INDEX('Semrush Data'!$A$1:$Z$20000,MATCH(O428,'Semrush Data'!$A$1:$A$20000,0),MATCH("Volume",'Semrush Data'!$A$1:$Z$1,0)),""))</f>
        <v/>
      </c>
      <c r="U428" s="59">
        <f>IF(P428="","",IFERROR(INDEX('Semrush Data'!$A$1:$Z$20000,MATCH(P428,'Semrush Data'!$A$1:$A$20000,0),MATCH("Volume",'Semrush Data'!$A$1:$Z$1,0)),""))</f>
        <v/>
      </c>
      <c r="V428" s="60">
        <f>IF(COUNT(Q428:U428)=0,L428,IF(MAX(Q428:U428)=0,L428,INDEX(L428:P428,MATCH(MAX(Q428:U428),Q428:U428,0))))</f>
        <v/>
      </c>
      <c r="W428" s="59">
        <f>IFERROR(INDEX('Semrush Data'!$A$1:$Z$20000,MATCH(V428,'Semrush Data'!$A$1:$A$20000,0),MATCH("Volume",'Semrush Data'!$A$1:$Z$1,0)),"")</f>
        <v/>
      </c>
      <c r="X428" s="59">
        <f>IFERROR(INDEX('Semrush Data'!$A$1:$Z$20000,MATCH(V428,'Semrush Data'!$A$1:$A$20000,0),MATCH("Keyword Difficulty*",'Semrush Data'!$A$1:$Z$1,0)),"")</f>
        <v/>
      </c>
      <c r="Y428" s="61">
        <f>IFERROR(INDEX('Semrush Data'!$A$1:$Z$20000,MATCH(V428,'Semrush Data'!$A$1:$A$20000,0),MATCH("CPC*",'Semrush Data'!$A$1:$Z$1,0)),"")</f>
        <v/>
      </c>
      <c r="Z428" s="58" t="inlineStr">
        <is>
          <t>john varvatos perfume · john varvatos perfume for men · woody perfume for men uk</t>
        </is>
      </c>
      <c r="AA428" s="58" t="n"/>
      <c r="AB428" s="58" t="inlineStr">
        <is>
          <t>John Varvatos Artisan Eau de Toilette</t>
        </is>
      </c>
      <c r="AC428" s="58" t="inlineStr">
        <is>
          <t>John Varvatos Artisan EDT 75ml | Buy Online UK | Swansura</t>
        </is>
      </c>
      <c r="AD428" s="58">
        <f>LEN(AC428)</f>
        <v/>
      </c>
      <c r="AE428" s="58" t="inlineStr">
        <is>
          <t>Buy John Varvatos Artisan Eau de Toilette online in the UK at Swansura. A woody men's eau de toilette, 75ml. 100% authentic, fast UK delivery, free over £50.</t>
        </is>
      </c>
      <c r="AF428" s="58">
        <f>LEN(AE428)</f>
        <v/>
      </c>
    </row>
    <row r="429" ht="15" customHeight="1" s="37">
      <c r="A429" s="58" t="inlineStr">
        <is>
          <t>FR-269</t>
        </is>
      </c>
      <c r="B429" s="58" t="inlineStr">
        <is>
          <t>Fragrance Catalogue</t>
        </is>
      </c>
      <c r="C429" s="58" t="n">
        <v>269</v>
      </c>
      <c r="D429" s="58" t="inlineStr">
        <is>
          <t>joop homme</t>
        </is>
      </c>
      <c r="E429" s="58" t="n"/>
      <c r="F429" s="58" t="inlineStr">
        <is>
          <t>Fragrance</t>
        </is>
      </c>
      <c r="G429" s="58" t="inlineStr">
        <is>
          <t>Eau de Toilette (EDT)</t>
        </is>
      </c>
      <c r="H429" s="58" t="inlineStr">
        <is>
          <t>Spicy · Men's Fragrance</t>
        </is>
      </c>
      <c r="I429" s="58" t="inlineStr">
        <is>
          <t>Joop! Homme Eau de Toilette 200ml – Men's Warm Spicy Long lasting Fragrance</t>
        </is>
      </c>
      <c r="J429" s="58" t="inlineStr">
        <is>
          <t>200ml</t>
        </is>
      </c>
      <c r="K429" s="58" t="n">
        <v>34.99</v>
      </c>
      <c r="L429" s="58" t="inlineStr">
        <is>
          <t>joop! homme</t>
        </is>
      </c>
      <c r="M429" s="58" t="inlineStr">
        <is>
          <t>joop! homme uk</t>
        </is>
      </c>
      <c r="N429" s="58" t="inlineStr">
        <is>
          <t>buy joop! homme online</t>
        </is>
      </c>
      <c r="O429" s="58" t="inlineStr">
        <is>
          <t>joop! homme price</t>
        </is>
      </c>
      <c r="P429" s="58" t="inlineStr">
        <is>
          <t>joop! homme eau de toilette</t>
        </is>
      </c>
      <c r="Q429" s="59">
        <f>IF(L429="","",IFERROR(INDEX('Semrush Data'!$A$1:$Z$20000,MATCH(L429,'Semrush Data'!$A$1:$A$20000,0),MATCH("Volume",'Semrush Data'!$A$1:$Z$1,0)),""))</f>
        <v/>
      </c>
      <c r="R429" s="59">
        <f>IF(M429="","",IFERROR(INDEX('Semrush Data'!$A$1:$Z$20000,MATCH(M429,'Semrush Data'!$A$1:$A$20000,0),MATCH("Volume",'Semrush Data'!$A$1:$Z$1,0)),""))</f>
        <v/>
      </c>
      <c r="S429" s="59">
        <f>IF(N429="","",IFERROR(INDEX('Semrush Data'!$A$1:$Z$20000,MATCH(N429,'Semrush Data'!$A$1:$A$20000,0),MATCH("Volume",'Semrush Data'!$A$1:$Z$1,0)),""))</f>
        <v/>
      </c>
      <c r="T429" s="59">
        <f>IF(O429="","",IFERROR(INDEX('Semrush Data'!$A$1:$Z$20000,MATCH(O429,'Semrush Data'!$A$1:$A$20000,0),MATCH("Volume",'Semrush Data'!$A$1:$Z$1,0)),""))</f>
        <v/>
      </c>
      <c r="U429" s="59">
        <f>IF(P429="","",IFERROR(INDEX('Semrush Data'!$A$1:$Z$20000,MATCH(P429,'Semrush Data'!$A$1:$A$20000,0),MATCH("Volume",'Semrush Data'!$A$1:$Z$1,0)),""))</f>
        <v/>
      </c>
      <c r="V429" s="60">
        <f>IF(COUNT(Q429:U429)=0,L429,IF(MAX(Q429:U429)=0,L429,INDEX(L429:P429,MATCH(MAX(Q429:U429),Q429:U429,0))))</f>
        <v/>
      </c>
      <c r="W429" s="59">
        <f>IFERROR(INDEX('Semrush Data'!$A$1:$Z$20000,MATCH(V429,'Semrush Data'!$A$1:$A$20000,0),MATCH("Volume",'Semrush Data'!$A$1:$Z$1,0)),"")</f>
        <v/>
      </c>
      <c r="X429" s="59">
        <f>IFERROR(INDEX('Semrush Data'!$A$1:$Z$20000,MATCH(V429,'Semrush Data'!$A$1:$A$20000,0),MATCH("Keyword Difficulty*",'Semrush Data'!$A$1:$Z$1,0)),"")</f>
        <v/>
      </c>
      <c r="Y429" s="61">
        <f>IFERROR(INDEX('Semrush Data'!$A$1:$Z$20000,MATCH(V429,'Semrush Data'!$A$1:$A$20000,0),MATCH("CPC*",'Semrush Data'!$A$1:$Z$1,0)),"")</f>
        <v/>
      </c>
      <c r="Z429" s="58" t="inlineStr">
        <is>
          <t>joop homme perfume · joop homme perfume for men · spicy perfume for men uk</t>
        </is>
      </c>
      <c r="AA429" s="58" t="inlineStr">
        <is>
          <t>joop homme · joop homme 200ml · joop homme perfume · joop homme eau de parfum · joop homme edp · joop homme notes</t>
        </is>
      </c>
      <c r="AB429" s="58" t="inlineStr">
        <is>
          <t>Joop! Homme Eau de Toilette</t>
        </is>
      </c>
      <c r="AC429" s="58" t="inlineStr">
        <is>
          <t>Joop! Homme Eau de Toilette | Buy Online UK | Swansura</t>
        </is>
      </c>
      <c r="AD429" s="58">
        <f>LEN(AC429)</f>
        <v/>
      </c>
      <c r="AE429" s="58" t="inlineStr">
        <is>
          <t>Buy Joop! Homme Eau de Toilette online in the UK at Swansura. A spicy men's eau de toilette, 200ml. 100% authentic, fast UK delivery, free over £50.</t>
        </is>
      </c>
      <c r="AF429" s="58">
        <f>LEN(AE429)</f>
        <v/>
      </c>
    </row>
    <row r="430" ht="15" customHeight="1" s="37">
      <c r="A430" s="58" t="inlineStr">
        <is>
          <t>FR-270</t>
        </is>
      </c>
      <c r="B430" s="58" t="inlineStr">
        <is>
          <t>Fragrance Catalogue</t>
        </is>
      </c>
      <c r="C430" s="58" t="n">
        <v>270</v>
      </c>
      <c r="D430" s="58" t="inlineStr">
        <is>
          <t>joop homme</t>
        </is>
      </c>
      <c r="E430" s="58" t="n"/>
      <c r="F430" s="58" t="inlineStr">
        <is>
          <t>Fragrance</t>
        </is>
      </c>
      <c r="G430" s="58" t="inlineStr">
        <is>
          <t>Parfum</t>
        </is>
      </c>
      <c r="H430" s="58" t="inlineStr">
        <is>
          <t>Amber · Men's Fragrance</t>
        </is>
      </c>
      <c r="I430" s="58" t="inlineStr">
        <is>
          <t>Joop! Homme Le Parfum 75ml – Men's Warm Spicy Amber Long lasting Fragrance</t>
        </is>
      </c>
      <c r="J430" s="58" t="inlineStr">
        <is>
          <t>75ml</t>
        </is>
      </c>
      <c r="K430" s="58" t="n">
        <v>32.99</v>
      </c>
      <c r="L430" s="58" t="inlineStr">
        <is>
          <t>joop! homme le</t>
        </is>
      </c>
      <c r="M430" s="58" t="inlineStr">
        <is>
          <t>joop! homme le uk</t>
        </is>
      </c>
      <c r="N430" s="58" t="inlineStr">
        <is>
          <t>buy joop! homme le online</t>
        </is>
      </c>
      <c r="O430" s="58" t="inlineStr">
        <is>
          <t>joop! homme le price</t>
        </is>
      </c>
      <c r="P430" s="58" t="inlineStr">
        <is>
          <t>joop! homme le parfum</t>
        </is>
      </c>
      <c r="Q430" s="59">
        <f>IF(L430="","",IFERROR(INDEX('Semrush Data'!$A$1:$Z$20000,MATCH(L430,'Semrush Data'!$A$1:$A$20000,0),MATCH("Volume",'Semrush Data'!$A$1:$Z$1,0)),""))</f>
        <v/>
      </c>
      <c r="R430" s="59">
        <f>IF(M430="","",IFERROR(INDEX('Semrush Data'!$A$1:$Z$20000,MATCH(M430,'Semrush Data'!$A$1:$A$20000,0),MATCH("Volume",'Semrush Data'!$A$1:$Z$1,0)),""))</f>
        <v/>
      </c>
      <c r="S430" s="59">
        <f>IF(N430="","",IFERROR(INDEX('Semrush Data'!$A$1:$Z$20000,MATCH(N430,'Semrush Data'!$A$1:$A$20000,0),MATCH("Volume",'Semrush Data'!$A$1:$Z$1,0)),""))</f>
        <v/>
      </c>
      <c r="T430" s="59">
        <f>IF(O430="","",IFERROR(INDEX('Semrush Data'!$A$1:$Z$20000,MATCH(O430,'Semrush Data'!$A$1:$A$20000,0),MATCH("Volume",'Semrush Data'!$A$1:$Z$1,0)),""))</f>
        <v/>
      </c>
      <c r="U430" s="59">
        <f>IF(P430="","",IFERROR(INDEX('Semrush Data'!$A$1:$Z$20000,MATCH(P430,'Semrush Data'!$A$1:$A$20000,0),MATCH("Volume",'Semrush Data'!$A$1:$Z$1,0)),""))</f>
        <v/>
      </c>
      <c r="V430" s="60">
        <f>IF(COUNT(Q430:U430)=0,L430,IF(MAX(Q430:U430)=0,L430,INDEX(L430:P430,MATCH(MAX(Q430:U430),Q430:U430,0))))</f>
        <v/>
      </c>
      <c r="W430" s="59">
        <f>IFERROR(INDEX('Semrush Data'!$A$1:$Z$20000,MATCH(V430,'Semrush Data'!$A$1:$A$20000,0),MATCH("Volume",'Semrush Data'!$A$1:$Z$1,0)),"")</f>
        <v/>
      </c>
      <c r="X430" s="59">
        <f>IFERROR(INDEX('Semrush Data'!$A$1:$Z$20000,MATCH(V430,'Semrush Data'!$A$1:$A$20000,0),MATCH("Keyword Difficulty*",'Semrush Data'!$A$1:$Z$1,0)),"")</f>
        <v/>
      </c>
      <c r="Y430" s="61">
        <f>IFERROR(INDEX('Semrush Data'!$A$1:$Z$20000,MATCH(V430,'Semrush Data'!$A$1:$A$20000,0),MATCH("CPC*",'Semrush Data'!$A$1:$Z$1,0)),"")</f>
        <v/>
      </c>
      <c r="Z430" s="58" t="inlineStr">
        <is>
          <t>joop homme perfume · joop homme perfume for men · amber perfume for men uk</t>
        </is>
      </c>
      <c r="AA430" s="58" t="inlineStr">
        <is>
          <t>joop homme le parfum · joop homme le parfum 125ml · joop homme le parfum price · joop homme le parfum review · joop homme le parfum notes · joop homme le parfum for men</t>
        </is>
      </c>
      <c r="AB430" s="58" t="inlineStr">
        <is>
          <t>Joop! Homme Le Parfum</t>
        </is>
      </c>
      <c r="AC430" s="58" t="inlineStr">
        <is>
          <t>Joop! Homme Le Parfum 75ml | Buy Online UK | Swansura</t>
        </is>
      </c>
      <c r="AD430" s="58">
        <f>LEN(AC430)</f>
        <v/>
      </c>
      <c r="AE430" s="58" t="inlineStr">
        <is>
          <t>Buy Joop! Homme Le Parfum online in the UK at Swansura. An amber men's parfum, 75ml. 100% authentic, fast UK delivery, free over £50.</t>
        </is>
      </c>
      <c r="AF430" s="58">
        <f>LEN(AE430)</f>
        <v/>
      </c>
    </row>
    <row r="431" ht="15" customHeight="1" s="37">
      <c r="A431" s="58" t="inlineStr">
        <is>
          <t>FR-271</t>
        </is>
      </c>
      <c r="B431" s="58" t="inlineStr">
        <is>
          <t>Fragrance Catalogue</t>
        </is>
      </c>
      <c r="C431" s="58" t="n">
        <v>271</v>
      </c>
      <c r="D431" s="58" t="inlineStr">
        <is>
          <t>Juicy Couture</t>
        </is>
      </c>
      <c r="E431" s="58" t="n"/>
      <c r="F431" s="58" t="inlineStr">
        <is>
          <t>Fragrance</t>
        </is>
      </c>
      <c r="G431" s="58" t="inlineStr">
        <is>
          <t>Eau de Parfum (EDP)</t>
        </is>
      </c>
      <c r="H431" s="58" t="inlineStr">
        <is>
          <t>Floral · Women's Fragrance</t>
        </is>
      </c>
      <c r="I431" s="58" t="inlineStr">
        <is>
          <t>Juicy Couture Viva La Juicy Rosé Eau de Parfum 50ml – Women's Floral Fruity Fragrance</t>
        </is>
      </c>
      <c r="J431" s="58" t="inlineStr">
        <is>
          <t>50ml</t>
        </is>
      </c>
      <c r="K431" s="58" t="n">
        <v>31.99</v>
      </c>
      <c r="L431" s="58" t="inlineStr">
        <is>
          <t>juicy couture viva la juicy rose</t>
        </is>
      </c>
      <c r="M431" s="58" t="inlineStr">
        <is>
          <t>juicy couture viva la juicy rose uk</t>
        </is>
      </c>
      <c r="N431" s="58" t="inlineStr">
        <is>
          <t>buy juicy couture viva la juicy rose online</t>
        </is>
      </c>
      <c r="O431" s="58" t="inlineStr">
        <is>
          <t>juicy couture viva la juicy rose price</t>
        </is>
      </c>
      <c r="P431" s="58" t="inlineStr">
        <is>
          <t>juicy couture viva la juicy rose eau de parfum</t>
        </is>
      </c>
      <c r="Q431" s="59">
        <f>IF(L431="","",IFERROR(INDEX('Semrush Data'!$A$1:$Z$20000,MATCH(L431,'Semrush Data'!$A$1:$A$20000,0),MATCH("Volume",'Semrush Data'!$A$1:$Z$1,0)),""))</f>
        <v/>
      </c>
      <c r="R431" s="59">
        <f>IF(M431="","",IFERROR(INDEX('Semrush Data'!$A$1:$Z$20000,MATCH(M431,'Semrush Data'!$A$1:$A$20000,0),MATCH("Volume",'Semrush Data'!$A$1:$Z$1,0)),""))</f>
        <v/>
      </c>
      <c r="S431" s="59">
        <f>IF(N431="","",IFERROR(INDEX('Semrush Data'!$A$1:$Z$20000,MATCH(N431,'Semrush Data'!$A$1:$A$20000,0),MATCH("Volume",'Semrush Data'!$A$1:$Z$1,0)),""))</f>
        <v/>
      </c>
      <c r="T431" s="59">
        <f>IF(O431="","",IFERROR(INDEX('Semrush Data'!$A$1:$Z$20000,MATCH(O431,'Semrush Data'!$A$1:$A$20000,0),MATCH("Volume",'Semrush Data'!$A$1:$Z$1,0)),""))</f>
        <v/>
      </c>
      <c r="U431" s="59">
        <f>IF(P431="","",IFERROR(INDEX('Semrush Data'!$A$1:$Z$20000,MATCH(P431,'Semrush Data'!$A$1:$A$20000,0),MATCH("Volume",'Semrush Data'!$A$1:$Z$1,0)),""))</f>
        <v/>
      </c>
      <c r="V431" s="60">
        <f>IF(COUNT(Q431:U431)=0,L431,IF(MAX(Q431:U431)=0,L431,INDEX(L431:P431,MATCH(MAX(Q431:U431),Q431:U431,0))))</f>
        <v/>
      </c>
      <c r="W431" s="59">
        <f>IFERROR(INDEX('Semrush Data'!$A$1:$Z$20000,MATCH(V431,'Semrush Data'!$A$1:$A$20000,0),MATCH("Volume",'Semrush Data'!$A$1:$Z$1,0)),"")</f>
        <v/>
      </c>
      <c r="X431" s="59">
        <f>IFERROR(INDEX('Semrush Data'!$A$1:$Z$20000,MATCH(V431,'Semrush Data'!$A$1:$A$20000,0),MATCH("Keyword Difficulty*",'Semrush Data'!$A$1:$Z$1,0)),"")</f>
        <v/>
      </c>
      <c r="Y431" s="61">
        <f>IFERROR(INDEX('Semrush Data'!$A$1:$Z$20000,MATCH(V431,'Semrush Data'!$A$1:$A$20000,0),MATCH("CPC*",'Semrush Data'!$A$1:$Z$1,0)),"")</f>
        <v/>
      </c>
      <c r="Z431" s="58" t="inlineStr">
        <is>
          <t>juicy couture perfume · juicy couture perfume for women · floral perfume for women uk</t>
        </is>
      </c>
      <c r="AA431" s="58" t="inlineStr">
        <is>
          <t>juicy couture viva la juicy rose eau de parfum · juicy couture viva la juicy rose edp 100ml · juicy couture viva la juicy rose edp · juicy couture viva la juicy rose notes · juicy couture viva la juicy rose 100ml · juicy couture viva la juicy rose eau de parfum 100ml</t>
        </is>
      </c>
      <c r="AB431" s="58" t="inlineStr">
        <is>
          <t>Juicy Couture Viva La Juicy Rosé Eau de Parfum</t>
        </is>
      </c>
      <c r="AC431" s="58" t="inlineStr">
        <is>
          <t>Juicy Couture Viva La Juicy Rosé Eau de Parfum | Swansura UK</t>
        </is>
      </c>
      <c r="AD431" s="58">
        <f>LEN(AC431)</f>
        <v/>
      </c>
      <c r="AE431" s="58" t="inlineStr">
        <is>
          <t>Buy Juicy Couture Viva La Juicy Rosé Eau de Parfum online in the UK at Swansura. A floral women's eau de parfum. 100% authentic, free UK delivery over £50.</t>
        </is>
      </c>
      <c r="AF431" s="58">
        <f>LEN(AE431)</f>
        <v/>
      </c>
    </row>
    <row r="432" ht="15" customHeight="1" s="37">
      <c r="A432" s="58" t="inlineStr">
        <is>
          <t>FR-272</t>
        </is>
      </c>
      <c r="B432" s="58" t="inlineStr">
        <is>
          <t>Fragrance Catalogue</t>
        </is>
      </c>
      <c r="C432" s="58" t="n">
        <v>272</v>
      </c>
      <c r="D432" s="58" t="inlineStr">
        <is>
          <t>Juicy Couture</t>
        </is>
      </c>
      <c r="E432" s="58" t="n"/>
      <c r="F432" s="58" t="inlineStr">
        <is>
          <t>Fragrance</t>
        </is>
      </c>
      <c r="G432" s="58" t="inlineStr">
        <is>
          <t>Eau de Parfum (EDP)</t>
        </is>
      </c>
      <c r="H432" s="58" t="inlineStr">
        <is>
          <t>Floral · Women's Fragrance</t>
        </is>
      </c>
      <c r="I432" s="58" t="inlineStr">
        <is>
          <t>Juicy Couture Viva La Juicy Rosé Eau de Parfum – Women's Floral Fruity Fragrance</t>
        </is>
      </c>
      <c r="J432" s="58" t="inlineStr">
        <is>
          <t>50ml</t>
        </is>
      </c>
      <c r="K432" s="58" t="n">
        <v>39.99</v>
      </c>
      <c r="L432" s="58" t="inlineStr">
        <is>
          <t>juicy couture viva la juicy rose</t>
        </is>
      </c>
      <c r="M432" s="58" t="inlineStr">
        <is>
          <t>juicy couture viva la juicy rose uk</t>
        </is>
      </c>
      <c r="N432" s="58" t="inlineStr">
        <is>
          <t>buy juicy couture viva la juicy rose online</t>
        </is>
      </c>
      <c r="O432" s="58" t="inlineStr">
        <is>
          <t>juicy couture viva la juicy rose price</t>
        </is>
      </c>
      <c r="P432" s="58" t="inlineStr">
        <is>
          <t>juicy couture viva la juicy rose eau de parfum</t>
        </is>
      </c>
      <c r="Q432" s="59">
        <f>IF(L432="","",IFERROR(INDEX('Semrush Data'!$A$1:$Z$20000,MATCH(L432,'Semrush Data'!$A$1:$A$20000,0),MATCH("Volume",'Semrush Data'!$A$1:$Z$1,0)),""))</f>
        <v/>
      </c>
      <c r="R432" s="59">
        <f>IF(M432="","",IFERROR(INDEX('Semrush Data'!$A$1:$Z$20000,MATCH(M432,'Semrush Data'!$A$1:$A$20000,0),MATCH("Volume",'Semrush Data'!$A$1:$Z$1,0)),""))</f>
        <v/>
      </c>
      <c r="S432" s="59">
        <f>IF(N432="","",IFERROR(INDEX('Semrush Data'!$A$1:$Z$20000,MATCH(N432,'Semrush Data'!$A$1:$A$20000,0),MATCH("Volume",'Semrush Data'!$A$1:$Z$1,0)),""))</f>
        <v/>
      </c>
      <c r="T432" s="59">
        <f>IF(O432="","",IFERROR(INDEX('Semrush Data'!$A$1:$Z$20000,MATCH(O432,'Semrush Data'!$A$1:$A$20000,0),MATCH("Volume",'Semrush Data'!$A$1:$Z$1,0)),""))</f>
        <v/>
      </c>
      <c r="U432" s="59">
        <f>IF(P432="","",IFERROR(INDEX('Semrush Data'!$A$1:$Z$20000,MATCH(P432,'Semrush Data'!$A$1:$A$20000,0),MATCH("Volume",'Semrush Data'!$A$1:$Z$1,0)),""))</f>
        <v/>
      </c>
      <c r="V432" s="60">
        <f>IF(COUNT(Q432:U432)=0,L432,IF(MAX(Q432:U432)=0,L432,INDEX(L432:P432,MATCH(MAX(Q432:U432),Q432:U432,0))))</f>
        <v/>
      </c>
      <c r="W432" s="59">
        <f>IFERROR(INDEX('Semrush Data'!$A$1:$Z$20000,MATCH(V432,'Semrush Data'!$A$1:$A$20000,0),MATCH("Volume",'Semrush Data'!$A$1:$Z$1,0)),"")</f>
        <v/>
      </c>
      <c r="X432" s="59">
        <f>IFERROR(INDEX('Semrush Data'!$A$1:$Z$20000,MATCH(V432,'Semrush Data'!$A$1:$A$20000,0),MATCH("Keyword Difficulty*",'Semrush Data'!$A$1:$Z$1,0)),"")</f>
        <v/>
      </c>
      <c r="Y432" s="61">
        <f>IFERROR(INDEX('Semrush Data'!$A$1:$Z$20000,MATCH(V432,'Semrush Data'!$A$1:$A$20000,0),MATCH("CPC*",'Semrush Data'!$A$1:$Z$1,0)),"")</f>
        <v/>
      </c>
      <c r="Z432" s="58" t="inlineStr">
        <is>
          <t>juicy couture perfume · juicy couture perfume for women · floral perfume for women uk</t>
        </is>
      </c>
      <c r="AA432" s="58" t="inlineStr">
        <is>
          <t>juicy couture viva la juicy rose eau de parfum · juicy couture viva la juicy rose edp 100ml · juicy couture viva la juicy rose edp · juicy couture viva la juicy rose notes · juicy couture viva la juicy rose 100ml · juicy couture viva la juicy rose eau de parfum 100ml</t>
        </is>
      </c>
      <c r="AB432" s="58" t="inlineStr">
        <is>
          <t>Juicy Couture Viva La Juicy Rosé Eau de Parfum</t>
        </is>
      </c>
      <c r="AC432" s="58" t="inlineStr">
        <is>
          <t>Juicy Couture Viva La Juicy Rosé Eau de Parfum | Swansura UK</t>
        </is>
      </c>
      <c r="AD432" s="58">
        <f>LEN(AC432)</f>
        <v/>
      </c>
      <c r="AE432" s="58" t="inlineStr">
        <is>
          <t>Buy Juicy Couture Viva La Juicy Rosé Eau de Parfum online in the UK at Swansura. A floral women's eau de parfum. 100% authentic, free UK delivery over £50.</t>
        </is>
      </c>
      <c r="AF432" s="58">
        <f>LEN(AE432)</f>
        <v/>
      </c>
    </row>
    <row r="433" ht="15" customHeight="1" s="37">
      <c r="A433" s="58" t="inlineStr">
        <is>
          <t>FR-273</t>
        </is>
      </c>
      <c r="B433" s="58" t="inlineStr">
        <is>
          <t>Fragrance Catalogue</t>
        </is>
      </c>
      <c r="C433" s="58" t="n">
        <v>273</v>
      </c>
      <c r="D433" s="58" t="inlineStr">
        <is>
          <t>Juicy Couture</t>
        </is>
      </c>
      <c r="E433" s="58" t="n"/>
      <c r="F433" s="58" t="inlineStr">
        <is>
          <t>Fragrance</t>
        </is>
      </c>
      <c r="G433" s="58" t="inlineStr">
        <is>
          <t>Eau de Parfum (EDP)</t>
        </is>
      </c>
      <c r="H433" s="58" t="inlineStr">
        <is>
          <t>Floral · Women's Fragrance</t>
        </is>
      </c>
      <c r="I433" s="58" t="inlineStr">
        <is>
          <t>Juicy Couture Viva La Juicy Rosé Eau de Parfum – Women's Floral Fruity Fragrance</t>
        </is>
      </c>
      <c r="J433" s="58" t="inlineStr">
        <is>
          <t>50ml</t>
        </is>
      </c>
      <c r="K433" s="58" t="n">
        <v>31.99</v>
      </c>
      <c r="L433" s="58" t="inlineStr">
        <is>
          <t>juicy couture viva la juicy rose</t>
        </is>
      </c>
      <c r="M433" s="58" t="inlineStr">
        <is>
          <t>juicy couture viva la juicy rose uk</t>
        </is>
      </c>
      <c r="N433" s="58" t="inlineStr">
        <is>
          <t>buy juicy couture viva la juicy rose online</t>
        </is>
      </c>
      <c r="O433" s="58" t="inlineStr">
        <is>
          <t>juicy couture viva la juicy rose price</t>
        </is>
      </c>
      <c r="P433" s="58" t="inlineStr">
        <is>
          <t>juicy couture viva la juicy rose eau de parfum</t>
        </is>
      </c>
      <c r="Q433" s="59">
        <f>IF(L433="","",IFERROR(INDEX('Semrush Data'!$A$1:$Z$20000,MATCH(L433,'Semrush Data'!$A$1:$A$20000,0),MATCH("Volume",'Semrush Data'!$A$1:$Z$1,0)),""))</f>
        <v/>
      </c>
      <c r="R433" s="59">
        <f>IF(M433="","",IFERROR(INDEX('Semrush Data'!$A$1:$Z$20000,MATCH(M433,'Semrush Data'!$A$1:$A$20000,0),MATCH("Volume",'Semrush Data'!$A$1:$Z$1,0)),""))</f>
        <v/>
      </c>
      <c r="S433" s="59">
        <f>IF(N433="","",IFERROR(INDEX('Semrush Data'!$A$1:$Z$20000,MATCH(N433,'Semrush Data'!$A$1:$A$20000,0),MATCH("Volume",'Semrush Data'!$A$1:$Z$1,0)),""))</f>
        <v/>
      </c>
      <c r="T433" s="59">
        <f>IF(O433="","",IFERROR(INDEX('Semrush Data'!$A$1:$Z$20000,MATCH(O433,'Semrush Data'!$A$1:$A$20000,0),MATCH("Volume",'Semrush Data'!$A$1:$Z$1,0)),""))</f>
        <v/>
      </c>
      <c r="U433" s="59">
        <f>IF(P433="","",IFERROR(INDEX('Semrush Data'!$A$1:$Z$20000,MATCH(P433,'Semrush Data'!$A$1:$A$20000,0),MATCH("Volume",'Semrush Data'!$A$1:$Z$1,0)),""))</f>
        <v/>
      </c>
      <c r="V433" s="60">
        <f>IF(COUNT(Q433:U433)=0,L433,IF(MAX(Q433:U433)=0,L433,INDEX(L433:P433,MATCH(MAX(Q433:U433),Q433:U433,0))))</f>
        <v/>
      </c>
      <c r="W433" s="59">
        <f>IFERROR(INDEX('Semrush Data'!$A$1:$Z$20000,MATCH(V433,'Semrush Data'!$A$1:$A$20000,0),MATCH("Volume",'Semrush Data'!$A$1:$Z$1,0)),"")</f>
        <v/>
      </c>
      <c r="X433" s="59">
        <f>IFERROR(INDEX('Semrush Data'!$A$1:$Z$20000,MATCH(V433,'Semrush Data'!$A$1:$A$20000,0),MATCH("Keyword Difficulty*",'Semrush Data'!$A$1:$Z$1,0)),"")</f>
        <v/>
      </c>
      <c r="Y433" s="61">
        <f>IFERROR(INDEX('Semrush Data'!$A$1:$Z$20000,MATCH(V433,'Semrush Data'!$A$1:$A$20000,0),MATCH("CPC*",'Semrush Data'!$A$1:$Z$1,0)),"")</f>
        <v/>
      </c>
      <c r="Z433" s="58" t="inlineStr">
        <is>
          <t>juicy couture perfume · juicy couture perfume for women · floral perfume for women uk</t>
        </is>
      </c>
      <c r="AA433" s="58" t="inlineStr">
        <is>
          <t>juicy couture viva la juicy rose eau de parfum · juicy couture viva la juicy rose edp 100ml · juicy couture viva la juicy rose edp · juicy couture viva la juicy rose notes · juicy couture viva la juicy rose 100ml · juicy couture viva la juicy rose eau de parfum 100ml</t>
        </is>
      </c>
      <c r="AB433" s="58" t="inlineStr">
        <is>
          <t>Juicy Couture Viva La Juicy Rosé Eau de Parfum</t>
        </is>
      </c>
      <c r="AC433" s="58" t="inlineStr">
        <is>
          <t>Juicy Couture Viva La Juicy Rosé Eau de Parfum | Swansura UK</t>
        </is>
      </c>
      <c r="AD433" s="58">
        <f>LEN(AC433)</f>
        <v/>
      </c>
      <c r="AE433" s="58" t="inlineStr">
        <is>
          <t>Buy Juicy Couture Viva La Juicy Rosé Eau de Parfum online in the UK at Swansura. A floral women's eau de parfum. 100% authentic, free UK delivery over £50.</t>
        </is>
      </c>
      <c r="AF433" s="58">
        <f>LEN(AE433)</f>
        <v/>
      </c>
    </row>
    <row r="434" ht="15" customHeight="1" s="37">
      <c r="A434" s="58" t="inlineStr">
        <is>
          <t>FR-274</t>
        </is>
      </c>
      <c r="B434" s="58" t="inlineStr">
        <is>
          <t>Fragrance Catalogue</t>
        </is>
      </c>
      <c r="C434" s="58" t="n">
        <v>274</v>
      </c>
      <c r="D434" s="58" t="inlineStr">
        <is>
          <t>Kenneth Cole</t>
        </is>
      </c>
      <c r="E434" s="58" t="n"/>
      <c r="F434" s="58" t="inlineStr">
        <is>
          <t>Fragrance</t>
        </is>
      </c>
      <c r="G434" s="58" t="inlineStr">
        <is>
          <t>Eau de Toilette (EDT)</t>
        </is>
      </c>
      <c r="H434" s="58" t="inlineStr">
        <is>
          <t>Woody · Men's Fragrance</t>
        </is>
      </c>
      <c r="I434" s="58" t="inlineStr">
        <is>
          <t>Kenneth Cole Moonlight Blue Eau de Toilette 100ml – Men's Fresh Woody Fragrance</t>
        </is>
      </c>
      <c r="J434" s="58" t="inlineStr">
        <is>
          <t>100ml</t>
        </is>
      </c>
      <c r="K434" s="58" t="n">
        <v>31.99</v>
      </c>
      <c r="L434" s="58" t="inlineStr">
        <is>
          <t>kenneth cole moonlight blue</t>
        </is>
      </c>
      <c r="M434" s="58" t="inlineStr">
        <is>
          <t>kenneth cole moonlight blue uk</t>
        </is>
      </c>
      <c r="N434" s="58" t="inlineStr">
        <is>
          <t>buy kenneth cole moonlight blue online</t>
        </is>
      </c>
      <c r="O434" s="58" t="inlineStr">
        <is>
          <t>kenneth cole moonlight blue price</t>
        </is>
      </c>
      <c r="P434" s="58" t="inlineStr">
        <is>
          <t>kenneth cole moonlight blue eau de toilette</t>
        </is>
      </c>
      <c r="Q434" s="59">
        <f>IF(L434="","",IFERROR(INDEX('Semrush Data'!$A$1:$Z$20000,MATCH(L434,'Semrush Data'!$A$1:$A$20000,0),MATCH("Volume",'Semrush Data'!$A$1:$Z$1,0)),""))</f>
        <v/>
      </c>
      <c r="R434" s="59">
        <f>IF(M434="","",IFERROR(INDEX('Semrush Data'!$A$1:$Z$20000,MATCH(M434,'Semrush Data'!$A$1:$A$20000,0),MATCH("Volume",'Semrush Data'!$A$1:$Z$1,0)),""))</f>
        <v/>
      </c>
      <c r="S434" s="59">
        <f>IF(N434="","",IFERROR(INDEX('Semrush Data'!$A$1:$Z$20000,MATCH(N434,'Semrush Data'!$A$1:$A$20000,0),MATCH("Volume",'Semrush Data'!$A$1:$Z$1,0)),""))</f>
        <v/>
      </c>
      <c r="T434" s="59">
        <f>IF(O434="","",IFERROR(INDEX('Semrush Data'!$A$1:$Z$20000,MATCH(O434,'Semrush Data'!$A$1:$A$20000,0),MATCH("Volume",'Semrush Data'!$A$1:$Z$1,0)),""))</f>
        <v/>
      </c>
      <c r="U434" s="59">
        <f>IF(P434="","",IFERROR(INDEX('Semrush Data'!$A$1:$Z$20000,MATCH(P434,'Semrush Data'!$A$1:$A$20000,0),MATCH("Volume",'Semrush Data'!$A$1:$Z$1,0)),""))</f>
        <v/>
      </c>
      <c r="V434" s="60">
        <f>IF(COUNT(Q434:U434)=0,L434,IF(MAX(Q434:U434)=0,L434,INDEX(L434:P434,MATCH(MAX(Q434:U434),Q434:U434,0))))</f>
        <v/>
      </c>
      <c r="W434" s="59">
        <f>IFERROR(INDEX('Semrush Data'!$A$1:$Z$20000,MATCH(V434,'Semrush Data'!$A$1:$A$20000,0),MATCH("Volume",'Semrush Data'!$A$1:$Z$1,0)),"")</f>
        <v/>
      </c>
      <c r="X434" s="59">
        <f>IFERROR(INDEX('Semrush Data'!$A$1:$Z$20000,MATCH(V434,'Semrush Data'!$A$1:$A$20000,0),MATCH("Keyword Difficulty*",'Semrush Data'!$A$1:$Z$1,0)),"")</f>
        <v/>
      </c>
      <c r="Y434" s="61">
        <f>IFERROR(INDEX('Semrush Data'!$A$1:$Z$20000,MATCH(V434,'Semrush Data'!$A$1:$A$20000,0),MATCH("CPC*",'Semrush Data'!$A$1:$Z$1,0)),"")</f>
        <v/>
      </c>
      <c r="Z434" s="58" t="inlineStr">
        <is>
          <t>kenneth cole perfume · kenneth cole perfume for men · woody perfume for men uk</t>
        </is>
      </c>
      <c r="AA434" s="58" t="inlineStr">
        <is>
          <t>kenneth cole moonlight blue review · kenneth cole moonlight blue notes</t>
        </is>
      </c>
      <c r="AB434" s="58" t="inlineStr">
        <is>
          <t>Kenneth Cole Moonlight Blue Eau de Toilette</t>
        </is>
      </c>
      <c r="AC434" s="58" t="inlineStr">
        <is>
          <t>Kenneth Cole Moonlight Blue Eau de Toilette | Swansura UK</t>
        </is>
      </c>
      <c r="AD434" s="58">
        <f>LEN(AC434)</f>
        <v/>
      </c>
      <c r="AE434" s="58" t="inlineStr">
        <is>
          <t>Buy Kenneth Cole Moonlight Blue Eau de Toilette online in the UK at Swansura. A woody men's eau de toilette, 100ml. 100% authentic, free UK delivery over £50.</t>
        </is>
      </c>
      <c r="AF434" s="58">
        <f>LEN(AE434)</f>
        <v/>
      </c>
    </row>
    <row r="435" ht="15" customHeight="1" s="37">
      <c r="A435" s="58" t="inlineStr">
        <is>
          <t>FR-275</t>
        </is>
      </c>
      <c r="B435" s="58" t="inlineStr">
        <is>
          <t>Fragrance Catalogue</t>
        </is>
      </c>
      <c r="C435" s="58" t="n">
        <v>275</v>
      </c>
      <c r="D435" s="58" t="inlineStr">
        <is>
          <t>Korloff</t>
        </is>
      </c>
      <c r="E435" s="58" t="n"/>
      <c r="F435" s="58" t="inlineStr">
        <is>
          <t>Fragrance</t>
        </is>
      </c>
      <c r="G435" s="58" t="inlineStr">
        <is>
          <t>Eau de Parfum (EDP)</t>
        </is>
      </c>
      <c r="H435" s="58" t="inlineStr">
        <is>
          <t>Amber · Unisex Fragrance</t>
        </is>
      </c>
      <c r="I435" s="58" t="inlineStr">
        <is>
          <t>Korloff Cuir Mythique Eau De Parfum 100ML</t>
        </is>
      </c>
      <c r="J435" s="58" t="inlineStr">
        <is>
          <t>100ml</t>
        </is>
      </c>
      <c r="K435" s="58" t="n">
        <v>82.98999999999999</v>
      </c>
      <c r="L435" s="58" t="inlineStr">
        <is>
          <t>korloff cuir mythique</t>
        </is>
      </c>
      <c r="M435" s="58" t="inlineStr">
        <is>
          <t>korloff cuir mythique uk</t>
        </is>
      </c>
      <c r="N435" s="58" t="inlineStr">
        <is>
          <t>buy korloff cuir mythique online</t>
        </is>
      </c>
      <c r="O435" s="58" t="inlineStr">
        <is>
          <t>korloff cuir mythique price</t>
        </is>
      </c>
      <c r="P435" s="58" t="inlineStr">
        <is>
          <t>korloff cuir mythique eau de parfum</t>
        </is>
      </c>
      <c r="Q435" s="59">
        <f>IF(L435="","",IFERROR(INDEX('Semrush Data'!$A$1:$Z$20000,MATCH(L435,'Semrush Data'!$A$1:$A$20000,0),MATCH("Volume",'Semrush Data'!$A$1:$Z$1,0)),""))</f>
        <v/>
      </c>
      <c r="R435" s="59">
        <f>IF(M435="","",IFERROR(INDEX('Semrush Data'!$A$1:$Z$20000,MATCH(M435,'Semrush Data'!$A$1:$A$20000,0),MATCH("Volume",'Semrush Data'!$A$1:$Z$1,0)),""))</f>
        <v/>
      </c>
      <c r="S435" s="59">
        <f>IF(N435="","",IFERROR(INDEX('Semrush Data'!$A$1:$Z$20000,MATCH(N435,'Semrush Data'!$A$1:$A$20000,0),MATCH("Volume",'Semrush Data'!$A$1:$Z$1,0)),""))</f>
        <v/>
      </c>
      <c r="T435" s="59">
        <f>IF(O435="","",IFERROR(INDEX('Semrush Data'!$A$1:$Z$20000,MATCH(O435,'Semrush Data'!$A$1:$A$20000,0),MATCH("Volume",'Semrush Data'!$A$1:$Z$1,0)),""))</f>
        <v/>
      </c>
      <c r="U435" s="59">
        <f>IF(P435="","",IFERROR(INDEX('Semrush Data'!$A$1:$Z$20000,MATCH(P435,'Semrush Data'!$A$1:$A$20000,0),MATCH("Volume",'Semrush Data'!$A$1:$Z$1,0)),""))</f>
        <v/>
      </c>
      <c r="V435" s="60">
        <f>IF(COUNT(Q435:U435)=0,L435,IF(MAX(Q435:U435)=0,L435,INDEX(L435:P435,MATCH(MAX(Q435:U435),Q435:U435,0))))</f>
        <v/>
      </c>
      <c r="W435" s="59">
        <f>IFERROR(INDEX('Semrush Data'!$A$1:$Z$20000,MATCH(V435,'Semrush Data'!$A$1:$A$20000,0),MATCH("Volume",'Semrush Data'!$A$1:$Z$1,0)),"")</f>
        <v/>
      </c>
      <c r="X435" s="59">
        <f>IFERROR(INDEX('Semrush Data'!$A$1:$Z$20000,MATCH(V435,'Semrush Data'!$A$1:$A$20000,0),MATCH("Keyword Difficulty*",'Semrush Data'!$A$1:$Z$1,0)),"")</f>
        <v/>
      </c>
      <c r="Y435" s="61">
        <f>IFERROR(INDEX('Semrush Data'!$A$1:$Z$20000,MATCH(V435,'Semrush Data'!$A$1:$A$20000,0),MATCH("CPC*",'Semrush Data'!$A$1:$Z$1,0)),"")</f>
        <v/>
      </c>
      <c r="Z435" s="58" t="inlineStr">
        <is>
          <t>korloff perfume · amber perfume uk</t>
        </is>
      </c>
      <c r="AA435" s="58" t="inlineStr">
        <is>
          <t>korloff cuir mythique eau de parfum · korloff cuir mythique review · korloff cuir mythique edp · korloff cuir mythique отзывы · korloff perfume cuir mythique</t>
        </is>
      </c>
      <c r="AB435" s="58" t="inlineStr">
        <is>
          <t>Korloff Cuir Mythique Eau De Parfum</t>
        </is>
      </c>
      <c r="AC435" s="58" t="inlineStr">
        <is>
          <t>Korloff Cuir Mythique EDP 100ml | Buy Online UK | Swansura</t>
        </is>
      </c>
      <c r="AD435" s="58">
        <f>LEN(AC435)</f>
        <v/>
      </c>
      <c r="AE435" s="58" t="inlineStr">
        <is>
          <t>Buy Korloff Cuir Mythique Eau De Parfum online in the UK at Swansura. An amber unisex eau de parfum, 100ml. 100% authentic, fast UK delivery, free over £50.</t>
        </is>
      </c>
      <c r="AF435" s="58">
        <f>LEN(AE435)</f>
        <v/>
      </c>
    </row>
    <row r="436" ht="15" customHeight="1" s="37">
      <c r="A436" s="58" t="inlineStr">
        <is>
          <t>FR-276</t>
        </is>
      </c>
      <c r="B436" s="58" t="inlineStr">
        <is>
          <t>Fragrance Catalogue</t>
        </is>
      </c>
      <c r="C436" s="58" t="n">
        <v>276</v>
      </c>
      <c r="D436" s="58" t="inlineStr">
        <is>
          <t>Korloff</t>
        </is>
      </c>
      <c r="E436" s="58" t="n"/>
      <c r="F436" s="58" t="inlineStr">
        <is>
          <t>Fragrance</t>
        </is>
      </c>
      <c r="G436" s="58" t="inlineStr">
        <is>
          <t>Eau de Parfum (EDP)</t>
        </is>
      </c>
      <c r="H436" s="58" t="inlineStr">
        <is>
          <t>Amber · Unisex Fragrance</t>
        </is>
      </c>
      <c r="I436" s="58" t="inlineStr">
        <is>
          <t>Korloff In Love Eau De Parfum 100ML</t>
        </is>
      </c>
      <c r="J436" s="58" t="inlineStr">
        <is>
          <t>100ML</t>
        </is>
      </c>
      <c r="K436" s="58" t="n">
        <v>26.99</v>
      </c>
      <c r="L436" s="58" t="inlineStr">
        <is>
          <t>korloff in love</t>
        </is>
      </c>
      <c r="M436" s="58" t="inlineStr">
        <is>
          <t>korloff in love uk</t>
        </is>
      </c>
      <c r="N436" s="58" t="inlineStr">
        <is>
          <t>buy korloff in love online</t>
        </is>
      </c>
      <c r="O436" s="58" t="inlineStr">
        <is>
          <t>korloff in love price</t>
        </is>
      </c>
      <c r="P436" s="58" t="inlineStr">
        <is>
          <t>korloff in love eau de parfum</t>
        </is>
      </c>
      <c r="Q436" s="59">
        <f>IF(L436="","",IFERROR(INDEX('Semrush Data'!$A$1:$Z$20000,MATCH(L436,'Semrush Data'!$A$1:$A$20000,0),MATCH("Volume",'Semrush Data'!$A$1:$Z$1,0)),""))</f>
        <v/>
      </c>
      <c r="R436" s="59">
        <f>IF(M436="","",IFERROR(INDEX('Semrush Data'!$A$1:$Z$20000,MATCH(M436,'Semrush Data'!$A$1:$A$20000,0),MATCH("Volume",'Semrush Data'!$A$1:$Z$1,0)),""))</f>
        <v/>
      </c>
      <c r="S436" s="59">
        <f>IF(N436="","",IFERROR(INDEX('Semrush Data'!$A$1:$Z$20000,MATCH(N436,'Semrush Data'!$A$1:$A$20000,0),MATCH("Volume",'Semrush Data'!$A$1:$Z$1,0)),""))</f>
        <v/>
      </c>
      <c r="T436" s="59">
        <f>IF(O436="","",IFERROR(INDEX('Semrush Data'!$A$1:$Z$20000,MATCH(O436,'Semrush Data'!$A$1:$A$20000,0),MATCH("Volume",'Semrush Data'!$A$1:$Z$1,0)),""))</f>
        <v/>
      </c>
      <c r="U436" s="59">
        <f>IF(P436="","",IFERROR(INDEX('Semrush Data'!$A$1:$Z$20000,MATCH(P436,'Semrush Data'!$A$1:$A$20000,0),MATCH("Volume",'Semrush Data'!$A$1:$Z$1,0)),""))</f>
        <v/>
      </c>
      <c r="V436" s="60">
        <f>IF(COUNT(Q436:U436)=0,L436,IF(MAX(Q436:U436)=0,L436,INDEX(L436:P436,MATCH(MAX(Q436:U436),Q436:U436,0))))</f>
        <v/>
      </c>
      <c r="W436" s="59">
        <f>IFERROR(INDEX('Semrush Data'!$A$1:$Z$20000,MATCH(V436,'Semrush Data'!$A$1:$A$20000,0),MATCH("Volume",'Semrush Data'!$A$1:$Z$1,0)),"")</f>
        <v/>
      </c>
      <c r="X436" s="59">
        <f>IFERROR(INDEX('Semrush Data'!$A$1:$Z$20000,MATCH(V436,'Semrush Data'!$A$1:$A$20000,0),MATCH("Keyword Difficulty*",'Semrush Data'!$A$1:$Z$1,0)),"")</f>
        <v/>
      </c>
      <c r="Y436" s="61">
        <f>IFERROR(INDEX('Semrush Data'!$A$1:$Z$20000,MATCH(V436,'Semrush Data'!$A$1:$A$20000,0),MATCH("CPC*",'Semrush Data'!$A$1:$Z$1,0)),"")</f>
        <v/>
      </c>
      <c r="Z436" s="58" t="inlineStr">
        <is>
          <t>korloff perfume · amber perfume uk</t>
        </is>
      </c>
      <c r="AA436" s="58" t="inlineStr">
        <is>
          <t>korloff in love perfume price · korloff in love perfume · korloff in love edp 100ml · korloff in love eau de parfum · korloff love review</t>
        </is>
      </c>
      <c r="AB436" s="58" t="inlineStr">
        <is>
          <t>Korloff In Love Eau De Parfum</t>
        </is>
      </c>
      <c r="AC436" s="58" t="inlineStr">
        <is>
          <t>Korloff In Love Eau De Parfum | Buy Online UK | Swansura</t>
        </is>
      </c>
      <c r="AD436" s="58">
        <f>LEN(AC436)</f>
        <v/>
      </c>
      <c r="AE436" s="58" t="inlineStr">
        <is>
          <t>Buy Korloff In Love Eau De Parfum online in the UK at Swansura. An amber unisex eau de parfum, 100ML. 100% authentic, fast UK delivery, free over £50.</t>
        </is>
      </c>
      <c r="AF436" s="58">
        <f>LEN(AE436)</f>
        <v/>
      </c>
    </row>
    <row r="437" ht="15" customHeight="1" s="37">
      <c r="A437" s="58" t="inlineStr">
        <is>
          <t>FR-277</t>
        </is>
      </c>
      <c r="B437" s="58" t="inlineStr">
        <is>
          <t>Fragrance Catalogue</t>
        </is>
      </c>
      <c r="C437" s="58" t="n">
        <v>277</v>
      </c>
      <c r="D437" s="58" t="inlineStr">
        <is>
          <t>Korloff</t>
        </is>
      </c>
      <c r="E437" s="58" t="n"/>
      <c r="F437" s="58" t="inlineStr">
        <is>
          <t>Fragrance</t>
        </is>
      </c>
      <c r="G437" s="58" t="inlineStr">
        <is>
          <t>Eau de Parfum (EDP)</t>
        </is>
      </c>
      <c r="H437" s="58" t="inlineStr">
        <is>
          <t>Amber · Unisex Fragrance</t>
        </is>
      </c>
      <c r="I437" s="58" t="inlineStr">
        <is>
          <t>Korloff Lady Intense Eau De Parfum 88ML</t>
        </is>
      </c>
      <c r="J437" s="58" t="inlineStr">
        <is>
          <t>88ML</t>
        </is>
      </c>
      <c r="K437" s="58" t="n">
        <v>35.99</v>
      </c>
      <c r="L437" s="58" t="inlineStr">
        <is>
          <t>korloff lady intense</t>
        </is>
      </c>
      <c r="M437" s="58" t="inlineStr">
        <is>
          <t>korloff lady intense uk</t>
        </is>
      </c>
      <c r="N437" s="58" t="inlineStr">
        <is>
          <t>buy korloff lady intense online</t>
        </is>
      </c>
      <c r="O437" s="58" t="inlineStr">
        <is>
          <t>korloff lady intense price</t>
        </is>
      </c>
      <c r="P437" s="58" t="inlineStr">
        <is>
          <t>korloff lady intense eau de parfum</t>
        </is>
      </c>
      <c r="Q437" s="59">
        <f>IF(L437="","",IFERROR(INDEX('Semrush Data'!$A$1:$Z$20000,MATCH(L437,'Semrush Data'!$A$1:$A$20000,0),MATCH("Volume",'Semrush Data'!$A$1:$Z$1,0)),""))</f>
        <v/>
      </c>
      <c r="R437" s="59">
        <f>IF(M437="","",IFERROR(INDEX('Semrush Data'!$A$1:$Z$20000,MATCH(M437,'Semrush Data'!$A$1:$A$20000,0),MATCH("Volume",'Semrush Data'!$A$1:$Z$1,0)),""))</f>
        <v/>
      </c>
      <c r="S437" s="59">
        <f>IF(N437="","",IFERROR(INDEX('Semrush Data'!$A$1:$Z$20000,MATCH(N437,'Semrush Data'!$A$1:$A$20000,0),MATCH("Volume",'Semrush Data'!$A$1:$Z$1,0)),""))</f>
        <v/>
      </c>
      <c r="T437" s="59">
        <f>IF(O437="","",IFERROR(INDEX('Semrush Data'!$A$1:$Z$20000,MATCH(O437,'Semrush Data'!$A$1:$A$20000,0),MATCH("Volume",'Semrush Data'!$A$1:$Z$1,0)),""))</f>
        <v/>
      </c>
      <c r="U437" s="59">
        <f>IF(P437="","",IFERROR(INDEX('Semrush Data'!$A$1:$Z$20000,MATCH(P437,'Semrush Data'!$A$1:$A$20000,0),MATCH("Volume",'Semrush Data'!$A$1:$Z$1,0)),""))</f>
        <v/>
      </c>
      <c r="V437" s="60">
        <f>IF(COUNT(Q437:U437)=0,L437,IF(MAX(Q437:U437)=0,L437,INDEX(L437:P437,MATCH(MAX(Q437:U437),Q437:U437,0))))</f>
        <v/>
      </c>
      <c r="W437" s="59">
        <f>IFERROR(INDEX('Semrush Data'!$A$1:$Z$20000,MATCH(V437,'Semrush Data'!$A$1:$A$20000,0),MATCH("Volume",'Semrush Data'!$A$1:$Z$1,0)),"")</f>
        <v/>
      </c>
      <c r="X437" s="59">
        <f>IFERROR(INDEX('Semrush Data'!$A$1:$Z$20000,MATCH(V437,'Semrush Data'!$A$1:$A$20000,0),MATCH("Keyword Difficulty*",'Semrush Data'!$A$1:$Z$1,0)),"")</f>
        <v/>
      </c>
      <c r="Y437" s="61">
        <f>IFERROR(INDEX('Semrush Data'!$A$1:$Z$20000,MATCH(V437,'Semrush Data'!$A$1:$A$20000,0),MATCH("CPC*",'Semrush Data'!$A$1:$Z$1,0)),"")</f>
        <v/>
      </c>
      <c r="Z437" s="58" t="inlineStr">
        <is>
          <t>korloff perfume · amber perfume uk</t>
        </is>
      </c>
      <c r="AA437" s="58" t="inlineStr">
        <is>
          <t>korloff lady intense review · korloff lady intense price · korloff lady intense edp · lady korloff intense perfume · lady korloff intense отзывы · lady korloff intense notes</t>
        </is>
      </c>
      <c r="AB437" s="58" t="inlineStr">
        <is>
          <t>Korloff Lady Intense Eau De Parfum</t>
        </is>
      </c>
      <c r="AC437" s="58" t="inlineStr">
        <is>
          <t>Korloff Lady Intense EDP 88ML | Buy Online UK | Swansura</t>
        </is>
      </c>
      <c r="AD437" s="58">
        <f>LEN(AC437)</f>
        <v/>
      </c>
      <c r="AE437" s="58" t="inlineStr">
        <is>
          <t>Buy Korloff Lady Intense Eau De Parfum online in the UK at Swansura. An amber unisex eau de parfum, 88ML. 100% authentic, fast UK delivery, free over £50.</t>
        </is>
      </c>
      <c r="AF437" s="58">
        <f>LEN(AE437)</f>
        <v/>
      </c>
    </row>
    <row r="438" ht="15" customHeight="1" s="37">
      <c r="A438" s="58" t="inlineStr">
        <is>
          <t>FR-278</t>
        </is>
      </c>
      <c r="B438" s="58" t="inlineStr">
        <is>
          <t>Fragrance Catalogue</t>
        </is>
      </c>
      <c r="C438" s="58" t="n">
        <v>278</v>
      </c>
      <c r="D438" s="58" t="inlineStr">
        <is>
          <t>Korloff</t>
        </is>
      </c>
      <c r="E438" s="58" t="n"/>
      <c r="F438" s="58" t="inlineStr">
        <is>
          <t>Fragrance</t>
        </is>
      </c>
      <c r="G438" s="58" t="inlineStr">
        <is>
          <t>Eau de Parfum (EDP)</t>
        </is>
      </c>
      <c r="H438" s="58" t="inlineStr">
        <is>
          <t>Floral · Unisex Fragrance</t>
        </is>
      </c>
      <c r="I438" s="58" t="inlineStr">
        <is>
          <t>Korloff Royal Rose Eau De Parfum 88ML</t>
        </is>
      </c>
      <c r="J438" s="58" t="inlineStr">
        <is>
          <t>88ml</t>
        </is>
      </c>
      <c r="K438" s="58" t="n">
        <v>47.99</v>
      </c>
      <c r="L438" s="58" t="inlineStr">
        <is>
          <t>korloff royal rose</t>
        </is>
      </c>
      <c r="M438" s="58" t="inlineStr">
        <is>
          <t>korloff royal rose uk</t>
        </is>
      </c>
      <c r="N438" s="58" t="inlineStr">
        <is>
          <t>buy korloff royal rose online</t>
        </is>
      </c>
      <c r="O438" s="58" t="inlineStr">
        <is>
          <t>korloff royal rose price</t>
        </is>
      </c>
      <c r="P438" s="58" t="inlineStr">
        <is>
          <t>korloff royal rose eau de parfum</t>
        </is>
      </c>
      <c r="Q438" s="59">
        <f>IF(L438="","",IFERROR(INDEX('Semrush Data'!$A$1:$Z$20000,MATCH(L438,'Semrush Data'!$A$1:$A$20000,0),MATCH("Volume",'Semrush Data'!$A$1:$Z$1,0)),""))</f>
        <v/>
      </c>
      <c r="R438" s="59">
        <f>IF(M438="","",IFERROR(INDEX('Semrush Data'!$A$1:$Z$20000,MATCH(M438,'Semrush Data'!$A$1:$A$20000,0),MATCH("Volume",'Semrush Data'!$A$1:$Z$1,0)),""))</f>
        <v/>
      </c>
      <c r="S438" s="59">
        <f>IF(N438="","",IFERROR(INDEX('Semrush Data'!$A$1:$Z$20000,MATCH(N438,'Semrush Data'!$A$1:$A$20000,0),MATCH("Volume",'Semrush Data'!$A$1:$Z$1,0)),""))</f>
        <v/>
      </c>
      <c r="T438" s="59">
        <f>IF(O438="","",IFERROR(INDEX('Semrush Data'!$A$1:$Z$20000,MATCH(O438,'Semrush Data'!$A$1:$A$20000,0),MATCH("Volume",'Semrush Data'!$A$1:$Z$1,0)),""))</f>
        <v/>
      </c>
      <c r="U438" s="59">
        <f>IF(P438="","",IFERROR(INDEX('Semrush Data'!$A$1:$Z$20000,MATCH(P438,'Semrush Data'!$A$1:$A$20000,0),MATCH("Volume",'Semrush Data'!$A$1:$Z$1,0)),""))</f>
        <v/>
      </c>
      <c r="V438" s="60">
        <f>IF(COUNT(Q438:U438)=0,L438,IF(MAX(Q438:U438)=0,L438,INDEX(L438:P438,MATCH(MAX(Q438:U438),Q438:U438,0))))</f>
        <v/>
      </c>
      <c r="W438" s="59">
        <f>IFERROR(INDEX('Semrush Data'!$A$1:$Z$20000,MATCH(V438,'Semrush Data'!$A$1:$A$20000,0),MATCH("Volume",'Semrush Data'!$A$1:$Z$1,0)),"")</f>
        <v/>
      </c>
      <c r="X438" s="59">
        <f>IFERROR(INDEX('Semrush Data'!$A$1:$Z$20000,MATCH(V438,'Semrush Data'!$A$1:$A$20000,0),MATCH("Keyword Difficulty*",'Semrush Data'!$A$1:$Z$1,0)),"")</f>
        <v/>
      </c>
      <c r="Y438" s="61">
        <f>IFERROR(INDEX('Semrush Data'!$A$1:$Z$20000,MATCH(V438,'Semrush Data'!$A$1:$A$20000,0),MATCH("CPC*",'Semrush Data'!$A$1:$Z$1,0)),"")</f>
        <v/>
      </c>
      <c r="Z438" s="58" t="inlineStr">
        <is>
          <t>korloff perfume · floral perfume uk</t>
        </is>
      </c>
      <c r="AA438" s="58" t="inlineStr">
        <is>
          <t>korloff royal rose price · korloff royal rose review · korloff royal rose edp 88ml · korloff royal rose отзывы · korloff royal rose eau de parfum · korloff perfume royal rose</t>
        </is>
      </c>
      <c r="AB438" s="58" t="inlineStr">
        <is>
          <t>Korloff Royal Rose Eau De Parfum</t>
        </is>
      </c>
      <c r="AC438" s="58" t="inlineStr">
        <is>
          <t>Korloff Royal Rose Eau De Parfum | Buy Online UK | Swansura</t>
        </is>
      </c>
      <c r="AD438" s="58">
        <f>LEN(AC438)</f>
        <v/>
      </c>
      <c r="AE438" s="58" t="inlineStr">
        <is>
          <t>Buy Korloff Royal Rose Eau De Parfum online in the UK at Swansura. A floral unisex eau de parfum, 88ml. 100% authentic, fast UK delivery, free over £50.</t>
        </is>
      </c>
      <c r="AF438" s="58">
        <f>LEN(AE438)</f>
        <v/>
      </c>
    </row>
    <row r="439" ht="15" customHeight="1" s="37">
      <c r="A439" s="58" t="inlineStr">
        <is>
          <t>FR-279</t>
        </is>
      </c>
      <c r="B439" s="58" t="inlineStr">
        <is>
          <t>Fragrance Catalogue</t>
        </is>
      </c>
      <c r="C439" s="58" t="n">
        <v>279</v>
      </c>
      <c r="D439" s="58" t="inlineStr">
        <is>
          <t>Korloff</t>
        </is>
      </c>
      <c r="E439" s="58" t="n"/>
      <c r="F439" s="58" t="inlineStr">
        <is>
          <t>Fragrance</t>
        </is>
      </c>
      <c r="G439" s="58" t="inlineStr">
        <is>
          <t>Eau de Parfum (EDP)</t>
        </is>
      </c>
      <c r="H439" s="58" t="inlineStr">
        <is>
          <t>Amber · Unisex Fragrance</t>
        </is>
      </c>
      <c r="I439" s="58" t="inlineStr">
        <is>
          <t>Korloff Un Soir À Paris Eau De Parfum 100ML</t>
        </is>
      </c>
      <c r="J439" s="58" t="inlineStr">
        <is>
          <t>100ML</t>
        </is>
      </c>
      <c r="K439" s="58" t="n">
        <v>25.99</v>
      </c>
      <c r="L439" s="58" t="inlineStr">
        <is>
          <t>korloff un soir a paris</t>
        </is>
      </c>
      <c r="M439" s="58" t="inlineStr">
        <is>
          <t>korloff un soir a paris uk</t>
        </is>
      </c>
      <c r="N439" s="58" t="inlineStr">
        <is>
          <t>buy korloff un soir a paris online</t>
        </is>
      </c>
      <c r="O439" s="58" t="inlineStr">
        <is>
          <t>korloff un soir a paris price</t>
        </is>
      </c>
      <c r="P439" s="58" t="inlineStr">
        <is>
          <t>korloff un soir a paris eau de parfum</t>
        </is>
      </c>
      <c r="Q439" s="59">
        <f>IF(L439="","",IFERROR(INDEX('Semrush Data'!$A$1:$Z$20000,MATCH(L439,'Semrush Data'!$A$1:$A$20000,0),MATCH("Volume",'Semrush Data'!$A$1:$Z$1,0)),""))</f>
        <v/>
      </c>
      <c r="R439" s="59">
        <f>IF(M439="","",IFERROR(INDEX('Semrush Data'!$A$1:$Z$20000,MATCH(M439,'Semrush Data'!$A$1:$A$20000,0),MATCH("Volume",'Semrush Data'!$A$1:$Z$1,0)),""))</f>
        <v/>
      </c>
      <c r="S439" s="59">
        <f>IF(N439="","",IFERROR(INDEX('Semrush Data'!$A$1:$Z$20000,MATCH(N439,'Semrush Data'!$A$1:$A$20000,0),MATCH("Volume",'Semrush Data'!$A$1:$Z$1,0)),""))</f>
        <v/>
      </c>
      <c r="T439" s="59">
        <f>IF(O439="","",IFERROR(INDEX('Semrush Data'!$A$1:$Z$20000,MATCH(O439,'Semrush Data'!$A$1:$A$20000,0),MATCH("Volume",'Semrush Data'!$A$1:$Z$1,0)),""))</f>
        <v/>
      </c>
      <c r="U439" s="59">
        <f>IF(P439="","",IFERROR(INDEX('Semrush Data'!$A$1:$Z$20000,MATCH(P439,'Semrush Data'!$A$1:$A$20000,0),MATCH("Volume",'Semrush Data'!$A$1:$Z$1,0)),""))</f>
        <v/>
      </c>
      <c r="V439" s="60">
        <f>IF(COUNT(Q439:U439)=0,L439,IF(MAX(Q439:U439)=0,L439,INDEX(L439:P439,MATCH(MAX(Q439:U439),Q439:U439,0))))</f>
        <v/>
      </c>
      <c r="W439" s="59">
        <f>IFERROR(INDEX('Semrush Data'!$A$1:$Z$20000,MATCH(V439,'Semrush Data'!$A$1:$A$20000,0),MATCH("Volume",'Semrush Data'!$A$1:$Z$1,0)),"")</f>
        <v/>
      </c>
      <c r="X439" s="59">
        <f>IFERROR(INDEX('Semrush Data'!$A$1:$Z$20000,MATCH(V439,'Semrush Data'!$A$1:$A$20000,0),MATCH("Keyword Difficulty*",'Semrush Data'!$A$1:$Z$1,0)),"")</f>
        <v/>
      </c>
      <c r="Y439" s="61">
        <f>IFERROR(INDEX('Semrush Data'!$A$1:$Z$20000,MATCH(V439,'Semrush Data'!$A$1:$A$20000,0),MATCH("CPC*",'Semrush Data'!$A$1:$Z$1,0)),"")</f>
        <v/>
      </c>
      <c r="Z439" s="58" t="inlineStr">
        <is>
          <t>korloff perfume · amber perfume uk</t>
        </is>
      </c>
      <c r="AA439" s="58" t="inlineStr">
        <is>
          <t>korloff un soir a paris eau de parfum · parfum korloff un soir a paris · korloff un soir a paris отзывы</t>
        </is>
      </c>
      <c r="AB439" s="58" t="inlineStr">
        <is>
          <t>Korloff Un Soir À Paris Eau De Parfum</t>
        </is>
      </c>
      <c r="AC439" s="58" t="inlineStr">
        <is>
          <t>Korloff Un Soir À Paris EDP 100ML | Buy Online UK | Swansura</t>
        </is>
      </c>
      <c r="AD439" s="58">
        <f>LEN(AC439)</f>
        <v/>
      </c>
      <c r="AE439" s="58" t="inlineStr">
        <is>
          <t>Buy Korloff Un Soir À Paris Eau De Parfum online in the UK at Swansura. An amber unisex eau de parfum, 100ML. 100% authentic, fast UK delivery, free over £50.</t>
        </is>
      </c>
      <c r="AF439" s="58">
        <f>LEN(AE439)</f>
        <v/>
      </c>
    </row>
    <row r="440" ht="15" customHeight="1" s="37">
      <c r="A440" s="58" t="inlineStr">
        <is>
          <t>FR-280</t>
        </is>
      </c>
      <c r="B440" s="58" t="inlineStr">
        <is>
          <t>Fragrance Catalogue</t>
        </is>
      </c>
      <c r="C440" s="58" t="n">
        <v>280</v>
      </c>
      <c r="D440" s="58" t="inlineStr">
        <is>
          <t>Korloff</t>
        </is>
      </c>
      <c r="E440" s="58" t="n"/>
      <c r="F440" s="58" t="inlineStr">
        <is>
          <t>Fragrance</t>
        </is>
      </c>
      <c r="G440" s="58" t="inlineStr">
        <is>
          <t>Eau de Parfum (EDP)</t>
        </is>
      </c>
      <c r="H440" s="58" t="inlineStr">
        <is>
          <t>Amber · Unisex Fragrance</t>
        </is>
      </c>
      <c r="I440" s="58" t="inlineStr">
        <is>
          <t>Miss Korloff Eau De Parfum 88ML</t>
        </is>
      </c>
      <c r="J440" s="58" t="inlineStr">
        <is>
          <t>88ML</t>
        </is>
      </c>
      <c r="K440" s="58" t="n">
        <v>35.99</v>
      </c>
      <c r="L440" s="58" t="inlineStr">
        <is>
          <t>korloff miss korloff</t>
        </is>
      </c>
      <c r="M440" s="58" t="inlineStr">
        <is>
          <t>korloff miss korloff uk</t>
        </is>
      </c>
      <c r="N440" s="58" t="inlineStr">
        <is>
          <t>buy korloff miss korloff online</t>
        </is>
      </c>
      <c r="O440" s="58" t="inlineStr">
        <is>
          <t>korloff miss korloff price</t>
        </is>
      </c>
      <c r="P440" s="58" t="inlineStr">
        <is>
          <t>korloff miss korloff eau de parfum</t>
        </is>
      </c>
      <c r="Q440" s="59">
        <f>IF(L440="","",IFERROR(INDEX('Semrush Data'!$A$1:$Z$20000,MATCH(L440,'Semrush Data'!$A$1:$A$20000,0),MATCH("Volume",'Semrush Data'!$A$1:$Z$1,0)),""))</f>
        <v/>
      </c>
      <c r="R440" s="59">
        <f>IF(M440="","",IFERROR(INDEX('Semrush Data'!$A$1:$Z$20000,MATCH(M440,'Semrush Data'!$A$1:$A$20000,0),MATCH("Volume",'Semrush Data'!$A$1:$Z$1,0)),""))</f>
        <v/>
      </c>
      <c r="S440" s="59">
        <f>IF(N440="","",IFERROR(INDEX('Semrush Data'!$A$1:$Z$20000,MATCH(N440,'Semrush Data'!$A$1:$A$20000,0),MATCH("Volume",'Semrush Data'!$A$1:$Z$1,0)),""))</f>
        <v/>
      </c>
      <c r="T440" s="59">
        <f>IF(O440="","",IFERROR(INDEX('Semrush Data'!$A$1:$Z$20000,MATCH(O440,'Semrush Data'!$A$1:$A$20000,0),MATCH("Volume",'Semrush Data'!$A$1:$Z$1,0)),""))</f>
        <v/>
      </c>
      <c r="U440" s="59">
        <f>IF(P440="","",IFERROR(INDEX('Semrush Data'!$A$1:$Z$20000,MATCH(P440,'Semrush Data'!$A$1:$A$20000,0),MATCH("Volume",'Semrush Data'!$A$1:$Z$1,0)),""))</f>
        <v/>
      </c>
      <c r="V440" s="60">
        <f>IF(COUNT(Q440:U440)=0,L440,IF(MAX(Q440:U440)=0,L440,INDEX(L440:P440,MATCH(MAX(Q440:U440),Q440:U440,0))))</f>
        <v/>
      </c>
      <c r="W440" s="59">
        <f>IFERROR(INDEX('Semrush Data'!$A$1:$Z$20000,MATCH(V440,'Semrush Data'!$A$1:$A$20000,0),MATCH("Volume",'Semrush Data'!$A$1:$Z$1,0)),"")</f>
        <v/>
      </c>
      <c r="X440" s="59">
        <f>IFERROR(INDEX('Semrush Data'!$A$1:$Z$20000,MATCH(V440,'Semrush Data'!$A$1:$A$20000,0),MATCH("Keyword Difficulty*",'Semrush Data'!$A$1:$Z$1,0)),"")</f>
        <v/>
      </c>
      <c r="Y440" s="61">
        <f>IFERROR(INDEX('Semrush Data'!$A$1:$Z$20000,MATCH(V440,'Semrush Data'!$A$1:$A$20000,0),MATCH("CPC*",'Semrush Data'!$A$1:$Z$1,0)),"")</f>
        <v/>
      </c>
      <c r="Z440" s="58" t="inlineStr">
        <is>
          <t>korloff perfume · amber perfume uk</t>
        </is>
      </c>
      <c r="AA440" s="58" t="n"/>
      <c r="AB440" s="58" t="inlineStr">
        <is>
          <t>Miss Korloff Eau De Parfum</t>
        </is>
      </c>
      <c r="AC440" s="58" t="inlineStr">
        <is>
          <t>Miss Korloff Eau De Parfum | Buy Online UK | Swansura</t>
        </is>
      </c>
      <c r="AD440" s="58">
        <f>LEN(AC440)</f>
        <v/>
      </c>
      <c r="AE440" s="58" t="inlineStr">
        <is>
          <t>Buy Miss Korloff Eau De Parfum online in the UK at Swansura. An amber unisex eau de parfum, 88ML. 100% authentic, fast UK delivery, free over £50.</t>
        </is>
      </c>
      <c r="AF440" s="58">
        <f>LEN(AE440)</f>
        <v/>
      </c>
    </row>
    <row r="441" ht="15" customHeight="1" s="37">
      <c r="A441" s="58" t="inlineStr">
        <is>
          <t>FR-281</t>
        </is>
      </c>
      <c r="B441" s="58" t="inlineStr">
        <is>
          <t>Fragrance Catalogue</t>
        </is>
      </c>
      <c r="C441" s="58" t="n">
        <v>281</v>
      </c>
      <c r="D441" s="58" t="inlineStr">
        <is>
          <t>Korloff</t>
        </is>
      </c>
      <c r="E441" s="58" t="n"/>
      <c r="F441" s="58" t="inlineStr">
        <is>
          <t>Fragrance</t>
        </is>
      </c>
      <c r="G441" s="58" t="inlineStr">
        <is>
          <t>Eau de Parfum (EDP)</t>
        </is>
      </c>
      <c r="H441" s="58" t="inlineStr">
        <is>
          <t>Oud · Unisex Fragrance</t>
        </is>
      </c>
      <c r="I441" s="58" t="inlineStr">
        <is>
          <t>Royal Oud Korloff Paris Eau De Parfum 88ML</t>
        </is>
      </c>
      <c r="J441" s="58" t="inlineStr">
        <is>
          <t>88ML</t>
        </is>
      </c>
      <c r="K441" s="58" t="n">
        <v>47.99</v>
      </c>
      <c r="L441" s="58" t="inlineStr">
        <is>
          <t>korloff royal oud korloff paris</t>
        </is>
      </c>
      <c r="M441" s="58" t="inlineStr">
        <is>
          <t>korloff royal oud korloff paris uk</t>
        </is>
      </c>
      <c r="N441" s="58" t="inlineStr">
        <is>
          <t>buy korloff royal oud korloff paris online</t>
        </is>
      </c>
      <c r="O441" s="58" t="inlineStr">
        <is>
          <t>korloff royal oud korloff paris price</t>
        </is>
      </c>
      <c r="P441" s="58" t="inlineStr">
        <is>
          <t>korloff royal oud korloff paris eau de parfum</t>
        </is>
      </c>
      <c r="Q441" s="59">
        <f>IF(L441="","",IFERROR(INDEX('Semrush Data'!$A$1:$Z$20000,MATCH(L441,'Semrush Data'!$A$1:$A$20000,0),MATCH("Volume",'Semrush Data'!$A$1:$Z$1,0)),""))</f>
        <v/>
      </c>
      <c r="R441" s="59">
        <f>IF(M441="","",IFERROR(INDEX('Semrush Data'!$A$1:$Z$20000,MATCH(M441,'Semrush Data'!$A$1:$A$20000,0),MATCH("Volume",'Semrush Data'!$A$1:$Z$1,0)),""))</f>
        <v/>
      </c>
      <c r="S441" s="59">
        <f>IF(N441="","",IFERROR(INDEX('Semrush Data'!$A$1:$Z$20000,MATCH(N441,'Semrush Data'!$A$1:$A$20000,0),MATCH("Volume",'Semrush Data'!$A$1:$Z$1,0)),""))</f>
        <v/>
      </c>
      <c r="T441" s="59">
        <f>IF(O441="","",IFERROR(INDEX('Semrush Data'!$A$1:$Z$20000,MATCH(O441,'Semrush Data'!$A$1:$A$20000,0),MATCH("Volume",'Semrush Data'!$A$1:$Z$1,0)),""))</f>
        <v/>
      </c>
      <c r="U441" s="59">
        <f>IF(P441="","",IFERROR(INDEX('Semrush Data'!$A$1:$Z$20000,MATCH(P441,'Semrush Data'!$A$1:$A$20000,0),MATCH("Volume",'Semrush Data'!$A$1:$Z$1,0)),""))</f>
        <v/>
      </c>
      <c r="V441" s="60">
        <f>IF(COUNT(Q441:U441)=0,L441,IF(MAX(Q441:U441)=0,L441,INDEX(L441:P441,MATCH(MAX(Q441:U441),Q441:U441,0))))</f>
        <v/>
      </c>
      <c r="W441" s="59">
        <f>IFERROR(INDEX('Semrush Data'!$A$1:$Z$20000,MATCH(V441,'Semrush Data'!$A$1:$A$20000,0),MATCH("Volume",'Semrush Data'!$A$1:$Z$1,0)),"")</f>
        <v/>
      </c>
      <c r="X441" s="59">
        <f>IFERROR(INDEX('Semrush Data'!$A$1:$Z$20000,MATCH(V441,'Semrush Data'!$A$1:$A$20000,0),MATCH("Keyword Difficulty*",'Semrush Data'!$A$1:$Z$1,0)),"")</f>
        <v/>
      </c>
      <c r="Y441" s="61">
        <f>IFERROR(INDEX('Semrush Data'!$A$1:$Z$20000,MATCH(V441,'Semrush Data'!$A$1:$A$20000,0),MATCH("CPC*",'Semrush Data'!$A$1:$Z$1,0)),"")</f>
        <v/>
      </c>
      <c r="Z441" s="58" t="inlineStr">
        <is>
          <t>korloff perfume · oud perfume uk</t>
        </is>
      </c>
      <c r="AA441" s="58" t="inlineStr">
        <is>
          <t>royal oud korloff paris · korloff royal oud price</t>
        </is>
      </c>
      <c r="AB441" s="58" t="inlineStr">
        <is>
          <t>Royal Oud Korloff Paris Eau De Parfum</t>
        </is>
      </c>
      <c r="AC441" s="58" t="inlineStr">
        <is>
          <t>Royal Oud Korloff Paris EDP 88ML | Buy Online UK | Swansura</t>
        </is>
      </c>
      <c r="AD441" s="58">
        <f>LEN(AC441)</f>
        <v/>
      </c>
      <c r="AE441" s="58" t="inlineStr">
        <is>
          <t>Buy Royal Oud Korloff Paris Eau De Parfum online in the UK at Swansura. An oud unisex eau de parfum, 88ML. 100% authentic, fast UK delivery, free over £50.</t>
        </is>
      </c>
      <c r="AF441" s="58">
        <f>LEN(AE441)</f>
        <v/>
      </c>
    </row>
    <row r="442" ht="15" customHeight="1" s="37">
      <c r="A442" s="58" t="inlineStr">
        <is>
          <t>FR-282</t>
        </is>
      </c>
      <c r="B442" s="58" t="inlineStr">
        <is>
          <t>Fragrance Catalogue</t>
        </is>
      </c>
      <c r="C442" s="58" t="n">
        <v>282</v>
      </c>
      <c r="D442" s="58" t="inlineStr">
        <is>
          <t>Korloff</t>
        </is>
      </c>
      <c r="E442" s="58" t="n"/>
      <c r="F442" s="58" t="inlineStr">
        <is>
          <t>Gift Set</t>
        </is>
      </c>
      <c r="G442" s="58" t="inlineStr">
        <is>
          <t>Eau de Parfum (EDP)</t>
        </is>
      </c>
      <c r="H442" s="58" t="inlineStr">
        <is>
          <t>Amber · Unisex Fragrance</t>
        </is>
      </c>
      <c r="I442" s="58" t="inlineStr">
        <is>
          <t>Korloff Paris Discovery Set Eau De Parfum 3x10ML</t>
        </is>
      </c>
      <c r="J442" s="58" t="inlineStr">
        <is>
          <t>3x10ml</t>
        </is>
      </c>
      <c r="K442" s="58" t="n">
        <v>19.99</v>
      </c>
      <c r="L442" s="58" t="inlineStr">
        <is>
          <t>korloff paris discovery set</t>
        </is>
      </c>
      <c r="M442" s="58" t="inlineStr">
        <is>
          <t>korloff paris discovery set uk</t>
        </is>
      </c>
      <c r="N442" s="58" t="inlineStr">
        <is>
          <t>buy korloff paris discovery set online</t>
        </is>
      </c>
      <c r="O442" s="58" t="inlineStr">
        <is>
          <t>korloff paris discovery set price</t>
        </is>
      </c>
      <c r="P442" s="58" t="n"/>
      <c r="Q442" s="59">
        <f>IF(L442="","",IFERROR(INDEX('Semrush Data'!$A$1:$Z$20000,MATCH(L442,'Semrush Data'!$A$1:$A$20000,0),MATCH("Volume",'Semrush Data'!$A$1:$Z$1,0)),""))</f>
        <v/>
      </c>
      <c r="R442" s="59">
        <f>IF(M442="","",IFERROR(INDEX('Semrush Data'!$A$1:$Z$20000,MATCH(M442,'Semrush Data'!$A$1:$A$20000,0),MATCH("Volume",'Semrush Data'!$A$1:$Z$1,0)),""))</f>
        <v/>
      </c>
      <c r="S442" s="59">
        <f>IF(N442="","",IFERROR(INDEX('Semrush Data'!$A$1:$Z$20000,MATCH(N442,'Semrush Data'!$A$1:$A$20000,0),MATCH("Volume",'Semrush Data'!$A$1:$Z$1,0)),""))</f>
        <v/>
      </c>
      <c r="T442" s="59">
        <f>IF(O442="","",IFERROR(INDEX('Semrush Data'!$A$1:$Z$20000,MATCH(O442,'Semrush Data'!$A$1:$A$20000,0),MATCH("Volume",'Semrush Data'!$A$1:$Z$1,0)),""))</f>
        <v/>
      </c>
      <c r="U442" s="59">
        <f>IF(P442="","",IFERROR(INDEX('Semrush Data'!$A$1:$Z$20000,MATCH(P442,'Semrush Data'!$A$1:$A$20000,0),MATCH("Volume",'Semrush Data'!$A$1:$Z$1,0)),""))</f>
        <v/>
      </c>
      <c r="V442" s="60">
        <f>IF(COUNT(Q442:U442)=0,L442,IF(MAX(Q442:U442)=0,L442,INDEX(L442:P442,MATCH(MAX(Q442:U442),Q442:U442,0))))</f>
        <v/>
      </c>
      <c r="W442" s="59">
        <f>IFERROR(INDEX('Semrush Data'!$A$1:$Z$20000,MATCH(V442,'Semrush Data'!$A$1:$A$20000,0),MATCH("Volume",'Semrush Data'!$A$1:$Z$1,0)),"")</f>
        <v/>
      </c>
      <c r="X442" s="59">
        <f>IFERROR(INDEX('Semrush Data'!$A$1:$Z$20000,MATCH(V442,'Semrush Data'!$A$1:$A$20000,0),MATCH("Keyword Difficulty*",'Semrush Data'!$A$1:$Z$1,0)),"")</f>
        <v/>
      </c>
      <c r="Y442" s="61">
        <f>IFERROR(INDEX('Semrush Data'!$A$1:$Z$20000,MATCH(V442,'Semrush Data'!$A$1:$A$20000,0),MATCH("CPC*",'Semrush Data'!$A$1:$Z$1,0)),"")</f>
        <v/>
      </c>
      <c r="Z442" s="58" t="inlineStr">
        <is>
          <t>korloff perfume · amber perfume uk</t>
        </is>
      </c>
      <c r="AA442" s="58" t="n"/>
      <c r="AB442" s="58" t="inlineStr">
        <is>
          <t>Korloff Paris Discovery Set Eau De Parfum 3x10ML</t>
        </is>
      </c>
      <c r="AC442" s="58" t="inlineStr">
        <is>
          <t>Korloff Paris Discovery Set 3x10ML EDP 3x10ml | Swansura UK</t>
        </is>
      </c>
      <c r="AD442" s="58">
        <f>LEN(AC442)</f>
        <v/>
      </c>
      <c r="AE442" s="58" t="inlineStr">
        <is>
          <t>Buy Korloff Paris Discovery Set Eau De Parfum 3x10ML online in the UK at Swansura. An amber unisex eau de parfum. 100% authentic, free UK delivery over £50.</t>
        </is>
      </c>
      <c r="AF442" s="58">
        <f>LEN(AE442)</f>
        <v/>
      </c>
    </row>
    <row r="443" ht="15" customHeight="1" s="37">
      <c r="A443" s="58" t="inlineStr">
        <is>
          <t>FR-283</t>
        </is>
      </c>
      <c r="B443" s="58" t="inlineStr">
        <is>
          <t>Fragrance Catalogue</t>
        </is>
      </c>
      <c r="C443" s="58" t="n">
        <v>283</v>
      </c>
      <c r="D443" s="58" t="inlineStr">
        <is>
          <t>La Maison</t>
        </is>
      </c>
      <c r="E443" s="58" t="n"/>
      <c r="F443" s="58" t="inlineStr">
        <is>
          <t>Fragrance</t>
        </is>
      </c>
      <c r="G443" s="58" t="inlineStr">
        <is>
          <t>Eau de Parfum (EDP)</t>
        </is>
      </c>
      <c r="H443" s="58" t="inlineStr">
        <is>
          <t>Amber · Unisex Fragrance</t>
        </is>
      </c>
      <c r="I443" s="58" t="inlineStr">
        <is>
          <t>La Maison de la Vanille Absolu de Vanille Eau de Parfum 100ml</t>
        </is>
      </c>
      <c r="J443" s="58" t="inlineStr">
        <is>
          <t>100ml</t>
        </is>
      </c>
      <c r="K443" s="58" t="n">
        <v>19.99</v>
      </c>
      <c r="L443" s="58" t="inlineStr">
        <is>
          <t>la maison de la vanille absolu de vanille</t>
        </is>
      </c>
      <c r="M443" s="58" t="inlineStr">
        <is>
          <t>la maison de la vanille absolu de vanille uk</t>
        </is>
      </c>
      <c r="N443" s="58" t="inlineStr">
        <is>
          <t>buy la maison de la vanille absolu de vanille online</t>
        </is>
      </c>
      <c r="O443" s="58" t="inlineStr">
        <is>
          <t>la maison de la vanille absolu de vanille price</t>
        </is>
      </c>
      <c r="P443" s="58" t="inlineStr">
        <is>
          <t>la maison de la vanille absolu de vanille eau de parfum</t>
        </is>
      </c>
      <c r="Q443" s="59">
        <f>IF(L443="","",IFERROR(INDEX('Semrush Data'!$A$1:$Z$20000,MATCH(L443,'Semrush Data'!$A$1:$A$20000,0),MATCH("Volume",'Semrush Data'!$A$1:$Z$1,0)),""))</f>
        <v/>
      </c>
      <c r="R443" s="59">
        <f>IF(M443="","",IFERROR(INDEX('Semrush Data'!$A$1:$Z$20000,MATCH(M443,'Semrush Data'!$A$1:$A$20000,0),MATCH("Volume",'Semrush Data'!$A$1:$Z$1,0)),""))</f>
        <v/>
      </c>
      <c r="S443" s="59">
        <f>IF(N443="","",IFERROR(INDEX('Semrush Data'!$A$1:$Z$20000,MATCH(N443,'Semrush Data'!$A$1:$A$20000,0),MATCH("Volume",'Semrush Data'!$A$1:$Z$1,0)),""))</f>
        <v/>
      </c>
      <c r="T443" s="59">
        <f>IF(O443="","",IFERROR(INDEX('Semrush Data'!$A$1:$Z$20000,MATCH(O443,'Semrush Data'!$A$1:$A$20000,0),MATCH("Volume",'Semrush Data'!$A$1:$Z$1,0)),""))</f>
        <v/>
      </c>
      <c r="U443" s="59">
        <f>IF(P443="","",IFERROR(INDEX('Semrush Data'!$A$1:$Z$20000,MATCH(P443,'Semrush Data'!$A$1:$A$20000,0),MATCH("Volume",'Semrush Data'!$A$1:$Z$1,0)),""))</f>
        <v/>
      </c>
      <c r="V443" s="60">
        <f>IF(COUNT(Q443:U443)=0,L443,IF(MAX(Q443:U443)=0,L443,INDEX(L443:P443,MATCH(MAX(Q443:U443),Q443:U443,0))))</f>
        <v/>
      </c>
      <c r="W443" s="59">
        <f>IFERROR(INDEX('Semrush Data'!$A$1:$Z$20000,MATCH(V443,'Semrush Data'!$A$1:$A$20000,0),MATCH("Volume",'Semrush Data'!$A$1:$Z$1,0)),"")</f>
        <v/>
      </c>
      <c r="X443" s="59">
        <f>IFERROR(INDEX('Semrush Data'!$A$1:$Z$20000,MATCH(V443,'Semrush Data'!$A$1:$A$20000,0),MATCH("Keyword Difficulty*",'Semrush Data'!$A$1:$Z$1,0)),"")</f>
        <v/>
      </c>
      <c r="Y443" s="61">
        <f>IFERROR(INDEX('Semrush Data'!$A$1:$Z$20000,MATCH(V443,'Semrush Data'!$A$1:$A$20000,0),MATCH("CPC*",'Semrush Data'!$A$1:$Z$1,0)),"")</f>
        <v/>
      </c>
      <c r="Z443" s="58" t="inlineStr">
        <is>
          <t>la maison perfume · amber perfume uk</t>
        </is>
      </c>
      <c r="AA443" s="58" t="inlineStr">
        <is>
          <t>la maison de la vanille absolu de vanille отзывы · la maison de la vanille absolu de vanille edp 100 ml · la maison de la vanille absolu de vanille eau de parfum</t>
        </is>
      </c>
      <c r="AB443" s="58" t="inlineStr">
        <is>
          <t>La Maison de la Vanille Absolu de Vanille Eau de Parfum</t>
        </is>
      </c>
      <c r="AC443" s="58" t="inlineStr">
        <is>
          <t>La Maison de la Vanille Absolu de Vanille | Swansura UK</t>
        </is>
      </c>
      <c r="AD443" s="58">
        <f>LEN(AC443)</f>
        <v/>
      </c>
      <c r="AE443" s="58" t="inlineStr">
        <is>
          <t>Buy La Maison de la Vanille Absolu de Vanille Eau de Parfum online in the UK at Swansura. Amber eau de parfum. 100% authentic, fast UK delivery, free over £50.</t>
        </is>
      </c>
      <c r="AF443" s="58">
        <f>LEN(AE443)</f>
        <v/>
      </c>
    </row>
    <row r="444" ht="15" customHeight="1" s="37">
      <c r="A444" s="58" t="inlineStr">
        <is>
          <t>FR-284</t>
        </is>
      </c>
      <c r="B444" s="58" t="inlineStr">
        <is>
          <t>Fragrance Catalogue</t>
        </is>
      </c>
      <c r="C444" s="58" t="n">
        <v>284</v>
      </c>
      <c r="D444" s="58" t="inlineStr">
        <is>
          <t>La Maison</t>
        </is>
      </c>
      <c r="E444" s="58" t="n"/>
      <c r="F444" s="58" t="inlineStr">
        <is>
          <t>Fragrance</t>
        </is>
      </c>
      <c r="G444" s="58" t="inlineStr">
        <is>
          <t>Eau de Parfum (EDP)</t>
        </is>
      </c>
      <c r="H444" s="58" t="inlineStr">
        <is>
          <t>Amber · Unisex Fragrance</t>
        </is>
      </c>
      <c r="I444" s="58" t="inlineStr">
        <is>
          <t>La Maison de la Vanille Ambre Secret Eau de Parfum 100ml</t>
        </is>
      </c>
      <c r="J444" s="58" t="inlineStr">
        <is>
          <t>100ml</t>
        </is>
      </c>
      <c r="K444" s="58" t="n">
        <v>19.99</v>
      </c>
      <c r="L444" s="58" t="inlineStr">
        <is>
          <t>la maison de la vanille ambre secret</t>
        </is>
      </c>
      <c r="M444" s="58" t="inlineStr">
        <is>
          <t>la maison de la vanille ambre secret uk</t>
        </is>
      </c>
      <c r="N444" s="58" t="inlineStr">
        <is>
          <t>buy la maison de la vanille ambre secret online</t>
        </is>
      </c>
      <c r="O444" s="58" t="inlineStr">
        <is>
          <t>la maison de la vanille ambre secret price</t>
        </is>
      </c>
      <c r="P444" s="58" t="inlineStr">
        <is>
          <t>la maison de la vanille ambre secret eau de parfum</t>
        </is>
      </c>
      <c r="Q444" s="59">
        <f>IF(L444="","",IFERROR(INDEX('Semrush Data'!$A$1:$Z$20000,MATCH(L444,'Semrush Data'!$A$1:$A$20000,0),MATCH("Volume",'Semrush Data'!$A$1:$Z$1,0)),""))</f>
        <v/>
      </c>
      <c r="R444" s="59">
        <f>IF(M444="","",IFERROR(INDEX('Semrush Data'!$A$1:$Z$20000,MATCH(M444,'Semrush Data'!$A$1:$A$20000,0),MATCH("Volume",'Semrush Data'!$A$1:$Z$1,0)),""))</f>
        <v/>
      </c>
      <c r="S444" s="59">
        <f>IF(N444="","",IFERROR(INDEX('Semrush Data'!$A$1:$Z$20000,MATCH(N444,'Semrush Data'!$A$1:$A$20000,0),MATCH("Volume",'Semrush Data'!$A$1:$Z$1,0)),""))</f>
        <v/>
      </c>
      <c r="T444" s="59">
        <f>IF(O444="","",IFERROR(INDEX('Semrush Data'!$A$1:$Z$20000,MATCH(O444,'Semrush Data'!$A$1:$A$20000,0),MATCH("Volume",'Semrush Data'!$A$1:$Z$1,0)),""))</f>
        <v/>
      </c>
      <c r="U444" s="59">
        <f>IF(P444="","",IFERROR(INDEX('Semrush Data'!$A$1:$Z$20000,MATCH(P444,'Semrush Data'!$A$1:$A$20000,0),MATCH("Volume",'Semrush Data'!$A$1:$Z$1,0)),""))</f>
        <v/>
      </c>
      <c r="V444" s="60">
        <f>IF(COUNT(Q444:U444)=0,L444,IF(MAX(Q444:U444)=0,L444,INDEX(L444:P444,MATCH(MAX(Q444:U444),Q444:U444,0))))</f>
        <v/>
      </c>
      <c r="W444" s="59">
        <f>IFERROR(INDEX('Semrush Data'!$A$1:$Z$20000,MATCH(V444,'Semrush Data'!$A$1:$A$20000,0),MATCH("Volume",'Semrush Data'!$A$1:$Z$1,0)),"")</f>
        <v/>
      </c>
      <c r="X444" s="59">
        <f>IFERROR(INDEX('Semrush Data'!$A$1:$Z$20000,MATCH(V444,'Semrush Data'!$A$1:$A$20000,0),MATCH("Keyword Difficulty*",'Semrush Data'!$A$1:$Z$1,0)),"")</f>
        <v/>
      </c>
      <c r="Y444" s="61">
        <f>IFERROR(INDEX('Semrush Data'!$A$1:$Z$20000,MATCH(V444,'Semrush Data'!$A$1:$A$20000,0),MATCH("CPC*",'Semrush Data'!$A$1:$Z$1,0)),"")</f>
        <v/>
      </c>
      <c r="Z444" s="58" t="inlineStr">
        <is>
          <t>la maison perfume · amber perfume uk</t>
        </is>
      </c>
      <c r="AA444" s="58" t="inlineStr">
        <is>
          <t>la maison de la vanille ambre secret eau de parfum · la maison de la vanille ambre secret отзывы</t>
        </is>
      </c>
      <c r="AB444" s="58" t="inlineStr">
        <is>
          <t>La Maison de la Vanille Ambre Secret Eau de Parfum</t>
        </is>
      </c>
      <c r="AC444" s="58" t="inlineStr">
        <is>
          <t>La Maison de la Vanille Ambre Secret EDP 100ml | Swansura UK</t>
        </is>
      </c>
      <c r="AD444" s="58">
        <f>LEN(AC444)</f>
        <v/>
      </c>
      <c r="AE444" s="58" t="inlineStr">
        <is>
          <t>Buy La Maison de la Vanille Ambre Secret Eau de Parfum online in the UK at Swansura. An amber unisex eau de parfum. 100% authentic, free UK delivery over £50.</t>
        </is>
      </c>
      <c r="AF444" s="58">
        <f>LEN(AE444)</f>
        <v/>
      </c>
    </row>
    <row r="445" ht="15" customHeight="1" s="37">
      <c r="A445" s="58" t="inlineStr">
        <is>
          <t>FR-285</t>
        </is>
      </c>
      <c r="B445" s="58" t="inlineStr">
        <is>
          <t>Fragrance Catalogue</t>
        </is>
      </c>
      <c r="C445" s="58" t="n">
        <v>285</v>
      </c>
      <c r="D445" s="58" t="inlineStr">
        <is>
          <t>La Maison</t>
        </is>
      </c>
      <c r="E445" s="58" t="n"/>
      <c r="F445" s="58" t="inlineStr">
        <is>
          <t>Fragrance</t>
        </is>
      </c>
      <c r="G445" s="58" t="inlineStr">
        <is>
          <t>Eau de Parfum (EDP)</t>
        </is>
      </c>
      <c r="H445" s="58" t="inlineStr">
        <is>
          <t>Oud · Unisex Fragrance</t>
        </is>
      </c>
      <c r="I445" s="58" t="inlineStr">
        <is>
          <t>La Maison de la Vanille Royal Oud Eau de Parfum 100ml</t>
        </is>
      </c>
      <c r="J445" s="58" t="inlineStr">
        <is>
          <t>100ml</t>
        </is>
      </c>
      <c r="K445" s="58" t="n">
        <v>19.99</v>
      </c>
      <c r="L445" s="58" t="inlineStr">
        <is>
          <t>la maison de la vanille royal oud</t>
        </is>
      </c>
      <c r="M445" s="58" t="inlineStr">
        <is>
          <t>la maison de la vanille royal oud uk</t>
        </is>
      </c>
      <c r="N445" s="58" t="inlineStr">
        <is>
          <t>buy la maison de la vanille royal oud online</t>
        </is>
      </c>
      <c r="O445" s="58" t="inlineStr">
        <is>
          <t>la maison de la vanille royal oud price</t>
        </is>
      </c>
      <c r="P445" s="58" t="inlineStr">
        <is>
          <t>la maison de la vanille royal oud eau de parfum</t>
        </is>
      </c>
      <c r="Q445" s="59">
        <f>IF(L445="","",IFERROR(INDEX('Semrush Data'!$A$1:$Z$20000,MATCH(L445,'Semrush Data'!$A$1:$A$20000,0),MATCH("Volume",'Semrush Data'!$A$1:$Z$1,0)),""))</f>
        <v/>
      </c>
      <c r="R445" s="59">
        <f>IF(M445="","",IFERROR(INDEX('Semrush Data'!$A$1:$Z$20000,MATCH(M445,'Semrush Data'!$A$1:$A$20000,0),MATCH("Volume",'Semrush Data'!$A$1:$Z$1,0)),""))</f>
        <v/>
      </c>
      <c r="S445" s="59">
        <f>IF(N445="","",IFERROR(INDEX('Semrush Data'!$A$1:$Z$20000,MATCH(N445,'Semrush Data'!$A$1:$A$20000,0),MATCH("Volume",'Semrush Data'!$A$1:$Z$1,0)),""))</f>
        <v/>
      </c>
      <c r="T445" s="59">
        <f>IF(O445="","",IFERROR(INDEX('Semrush Data'!$A$1:$Z$20000,MATCH(O445,'Semrush Data'!$A$1:$A$20000,0),MATCH("Volume",'Semrush Data'!$A$1:$Z$1,0)),""))</f>
        <v/>
      </c>
      <c r="U445" s="59">
        <f>IF(P445="","",IFERROR(INDEX('Semrush Data'!$A$1:$Z$20000,MATCH(P445,'Semrush Data'!$A$1:$A$20000,0),MATCH("Volume",'Semrush Data'!$A$1:$Z$1,0)),""))</f>
        <v/>
      </c>
      <c r="V445" s="60">
        <f>IF(COUNT(Q445:U445)=0,L445,IF(MAX(Q445:U445)=0,L445,INDEX(L445:P445,MATCH(MAX(Q445:U445),Q445:U445,0))))</f>
        <v/>
      </c>
      <c r="W445" s="59">
        <f>IFERROR(INDEX('Semrush Data'!$A$1:$Z$20000,MATCH(V445,'Semrush Data'!$A$1:$A$20000,0),MATCH("Volume",'Semrush Data'!$A$1:$Z$1,0)),"")</f>
        <v/>
      </c>
      <c r="X445" s="59">
        <f>IFERROR(INDEX('Semrush Data'!$A$1:$Z$20000,MATCH(V445,'Semrush Data'!$A$1:$A$20000,0),MATCH("Keyword Difficulty*",'Semrush Data'!$A$1:$Z$1,0)),"")</f>
        <v/>
      </c>
      <c r="Y445" s="61">
        <f>IFERROR(INDEX('Semrush Data'!$A$1:$Z$20000,MATCH(V445,'Semrush Data'!$A$1:$A$20000,0),MATCH("CPC*",'Semrush Data'!$A$1:$Z$1,0)),"")</f>
        <v/>
      </c>
      <c r="Z445" s="58" t="inlineStr">
        <is>
          <t>la maison perfume · oud perfume uk</t>
        </is>
      </c>
      <c r="AA445" s="58" t="inlineStr">
        <is>
          <t>la maison de la vanille royal oud eau de parfum · royal oud perfume la maison de la vanille · la maison de la vanille royal oud отзывы</t>
        </is>
      </c>
      <c r="AB445" s="58" t="inlineStr">
        <is>
          <t>La Maison de la Vanille Royal Oud Eau de Parfum</t>
        </is>
      </c>
      <c r="AC445" s="58" t="inlineStr">
        <is>
          <t>La Maison de la Vanille Royal Oud EDP 100ml | Swansura UK</t>
        </is>
      </c>
      <c r="AD445" s="58">
        <f>LEN(AC445)</f>
        <v/>
      </c>
      <c r="AE445" s="58" t="inlineStr">
        <is>
          <t>Buy La Maison de la Vanille Royal Oud Eau de Parfum online in the UK at Swansura. An oud unisex eau de parfum, 100ml. 100% authentic, free UK delivery over £50.</t>
        </is>
      </c>
      <c r="AF445" s="58">
        <f>LEN(AE445)</f>
        <v/>
      </c>
    </row>
    <row r="446" ht="15" customHeight="1" s="37">
      <c r="A446" s="58" t="inlineStr">
        <is>
          <t>FR-286</t>
        </is>
      </c>
      <c r="B446" s="58" t="inlineStr">
        <is>
          <t>Fragrance Catalogue</t>
        </is>
      </c>
      <c r="C446" s="58" t="n">
        <v>286</v>
      </c>
      <c r="D446" s="58" t="inlineStr">
        <is>
          <t>La Maison</t>
        </is>
      </c>
      <c r="E446" s="58" t="n"/>
      <c r="F446" s="58" t="inlineStr">
        <is>
          <t>Gift Set</t>
        </is>
      </c>
      <c r="G446" s="58" t="inlineStr">
        <is>
          <t>Eau de Toilette (EDT)</t>
        </is>
      </c>
      <c r="H446" s="58" t="inlineStr">
        <is>
          <t>Amber · Unisex Fragrance</t>
        </is>
      </c>
      <c r="I446" s="58" t="inlineStr">
        <is>
          <t>La Maison de la wooden coffret 5X30ML EDT - Vanilles Des Origines</t>
        </is>
      </c>
      <c r="J446" s="58" t="inlineStr">
        <is>
          <t>Not specified</t>
        </is>
      </c>
      <c r="K446" s="58" t="n">
        <v>84.98999999999999</v>
      </c>
      <c r="L446" s="58" t="inlineStr">
        <is>
          <t>la maison de la wooden coffret</t>
        </is>
      </c>
      <c r="M446" s="58" t="inlineStr">
        <is>
          <t>la maison de la wooden coffret uk</t>
        </is>
      </c>
      <c r="N446" s="58" t="inlineStr">
        <is>
          <t>buy la maison de la wooden coffret online</t>
        </is>
      </c>
      <c r="O446" s="58" t="inlineStr">
        <is>
          <t>la maison de la wooden coffret price</t>
        </is>
      </c>
      <c r="P446" s="58" t="inlineStr">
        <is>
          <t>la maison de la wooden coffret edt</t>
        </is>
      </c>
      <c r="Q446" s="59">
        <f>IF(L446="","",IFERROR(INDEX('Semrush Data'!$A$1:$Z$20000,MATCH(L446,'Semrush Data'!$A$1:$A$20000,0),MATCH("Volume",'Semrush Data'!$A$1:$Z$1,0)),""))</f>
        <v/>
      </c>
      <c r="R446" s="59">
        <f>IF(M446="","",IFERROR(INDEX('Semrush Data'!$A$1:$Z$20000,MATCH(M446,'Semrush Data'!$A$1:$A$20000,0),MATCH("Volume",'Semrush Data'!$A$1:$Z$1,0)),""))</f>
        <v/>
      </c>
      <c r="S446" s="59">
        <f>IF(N446="","",IFERROR(INDEX('Semrush Data'!$A$1:$Z$20000,MATCH(N446,'Semrush Data'!$A$1:$A$20000,0),MATCH("Volume",'Semrush Data'!$A$1:$Z$1,0)),""))</f>
        <v/>
      </c>
      <c r="T446" s="59">
        <f>IF(O446="","",IFERROR(INDEX('Semrush Data'!$A$1:$Z$20000,MATCH(O446,'Semrush Data'!$A$1:$A$20000,0),MATCH("Volume",'Semrush Data'!$A$1:$Z$1,0)),""))</f>
        <v/>
      </c>
      <c r="U446" s="59">
        <f>IF(P446="","",IFERROR(INDEX('Semrush Data'!$A$1:$Z$20000,MATCH(P446,'Semrush Data'!$A$1:$A$20000,0),MATCH("Volume",'Semrush Data'!$A$1:$Z$1,0)),""))</f>
        <v/>
      </c>
      <c r="V446" s="60">
        <f>IF(COUNT(Q446:U446)=0,L446,IF(MAX(Q446:U446)=0,L446,INDEX(L446:P446,MATCH(MAX(Q446:U446),Q446:U446,0))))</f>
        <v/>
      </c>
      <c r="W446" s="59">
        <f>IFERROR(INDEX('Semrush Data'!$A$1:$Z$20000,MATCH(V446,'Semrush Data'!$A$1:$A$20000,0),MATCH("Volume",'Semrush Data'!$A$1:$Z$1,0)),"")</f>
        <v/>
      </c>
      <c r="X446" s="59">
        <f>IFERROR(INDEX('Semrush Data'!$A$1:$Z$20000,MATCH(V446,'Semrush Data'!$A$1:$A$20000,0),MATCH("Keyword Difficulty*",'Semrush Data'!$A$1:$Z$1,0)),"")</f>
        <v/>
      </c>
      <c r="Y446" s="61">
        <f>IFERROR(INDEX('Semrush Data'!$A$1:$Z$20000,MATCH(V446,'Semrush Data'!$A$1:$A$20000,0),MATCH("CPC*",'Semrush Data'!$A$1:$Z$1,0)),"")</f>
        <v/>
      </c>
      <c r="Z446" s="58" t="inlineStr">
        <is>
          <t>la maison perfume · amber perfume uk</t>
        </is>
      </c>
      <c r="AA446" s="58" t="n"/>
      <c r="AB446" s="58" t="inlineStr">
        <is>
          <t>La Maison de la Wooden Coffret 5X30ML EDT</t>
        </is>
      </c>
      <c r="AC446" s="58" t="inlineStr">
        <is>
          <t>La Maison de la Wooden Coffret 5X30ML EDT | Swansura UK</t>
        </is>
      </c>
      <c r="AD446" s="58">
        <f>LEN(AC446)</f>
        <v/>
      </c>
      <c r="AE446" s="58" t="inlineStr">
        <is>
          <t>Buy La Maison de la Wooden Coffret 5X30ML EDT online in the UK at Swansura. An amber unisex eau de toilette. 100% authentic, fast UK delivery, free over £50.</t>
        </is>
      </c>
      <c r="AF446" s="58">
        <f>LEN(AE446)</f>
        <v/>
      </c>
    </row>
    <row r="447" ht="15" customHeight="1" s="37">
      <c r="A447" s="58" t="inlineStr">
        <is>
          <t>FR-287</t>
        </is>
      </c>
      <c r="B447" s="58" t="inlineStr">
        <is>
          <t>Fragrance Catalogue</t>
        </is>
      </c>
      <c r="C447" s="58" t="n">
        <v>287</v>
      </c>
      <c r="D447" s="58" t="inlineStr">
        <is>
          <t>Lancôme</t>
        </is>
      </c>
      <c r="E447" s="58" t="n"/>
      <c r="F447" s="58" t="inlineStr">
        <is>
          <t>Fragrance</t>
        </is>
      </c>
      <c r="G447" s="58" t="inlineStr">
        <is>
          <t>Eau de Parfum (EDP)</t>
        </is>
      </c>
      <c r="H447" s="58" t="inlineStr">
        <is>
          <t>Floral · Women's Fragrance</t>
        </is>
      </c>
      <c r="I447" s="58" t="inlineStr">
        <is>
          <t>Lancôme Idôle Nectar Eau de Parfum 25ml – Women's Floral Gourmand Fragrance</t>
        </is>
      </c>
      <c r="J447" s="58" t="inlineStr">
        <is>
          <t>25ml</t>
        </is>
      </c>
      <c r="K447" s="58" t="n">
        <v>39.99</v>
      </c>
      <c r="L447" s="58" t="inlineStr">
        <is>
          <t>lancome idole nectar</t>
        </is>
      </c>
      <c r="M447" s="58" t="inlineStr">
        <is>
          <t>lancome idole nectar uk</t>
        </is>
      </c>
      <c r="N447" s="58" t="inlineStr">
        <is>
          <t>buy lancome idole nectar online</t>
        </is>
      </c>
      <c r="O447" s="58" t="inlineStr">
        <is>
          <t>lancome idole nectar price</t>
        </is>
      </c>
      <c r="P447" s="58" t="inlineStr">
        <is>
          <t>lancome idole nectar eau de parfum</t>
        </is>
      </c>
      <c r="Q447" s="59">
        <f>IF(L447="","",IFERROR(INDEX('Semrush Data'!$A$1:$Z$20000,MATCH(L447,'Semrush Data'!$A$1:$A$20000,0),MATCH("Volume",'Semrush Data'!$A$1:$Z$1,0)),""))</f>
        <v/>
      </c>
      <c r="R447" s="59">
        <f>IF(M447="","",IFERROR(INDEX('Semrush Data'!$A$1:$Z$20000,MATCH(M447,'Semrush Data'!$A$1:$A$20000,0),MATCH("Volume",'Semrush Data'!$A$1:$Z$1,0)),""))</f>
        <v/>
      </c>
      <c r="S447" s="59">
        <f>IF(N447="","",IFERROR(INDEX('Semrush Data'!$A$1:$Z$20000,MATCH(N447,'Semrush Data'!$A$1:$A$20000,0),MATCH("Volume",'Semrush Data'!$A$1:$Z$1,0)),""))</f>
        <v/>
      </c>
      <c r="T447" s="59">
        <f>IF(O447="","",IFERROR(INDEX('Semrush Data'!$A$1:$Z$20000,MATCH(O447,'Semrush Data'!$A$1:$A$20000,0),MATCH("Volume",'Semrush Data'!$A$1:$Z$1,0)),""))</f>
        <v/>
      </c>
      <c r="U447" s="59">
        <f>IF(P447="","",IFERROR(INDEX('Semrush Data'!$A$1:$Z$20000,MATCH(P447,'Semrush Data'!$A$1:$A$20000,0),MATCH("Volume",'Semrush Data'!$A$1:$Z$1,0)),""))</f>
        <v/>
      </c>
      <c r="V447" s="60">
        <f>IF(COUNT(Q447:U447)=0,L447,IF(MAX(Q447:U447)=0,L447,INDEX(L447:P447,MATCH(MAX(Q447:U447),Q447:U447,0))))</f>
        <v/>
      </c>
      <c r="W447" s="59">
        <f>IFERROR(INDEX('Semrush Data'!$A$1:$Z$20000,MATCH(V447,'Semrush Data'!$A$1:$A$20000,0),MATCH("Volume",'Semrush Data'!$A$1:$Z$1,0)),"")</f>
        <v/>
      </c>
      <c r="X447" s="59">
        <f>IFERROR(INDEX('Semrush Data'!$A$1:$Z$20000,MATCH(V447,'Semrush Data'!$A$1:$A$20000,0),MATCH("Keyword Difficulty*",'Semrush Data'!$A$1:$Z$1,0)),"")</f>
        <v/>
      </c>
      <c r="Y447" s="61">
        <f>IFERROR(INDEX('Semrush Data'!$A$1:$Z$20000,MATCH(V447,'Semrush Data'!$A$1:$A$20000,0),MATCH("CPC*",'Semrush Data'!$A$1:$Z$1,0)),"")</f>
        <v/>
      </c>
      <c r="Z447" s="58" t="inlineStr">
        <is>
          <t>lancôme perfume · lancôme perfume for women · floral perfume for women uk</t>
        </is>
      </c>
      <c r="AA447" s="58" t="inlineStr">
        <is>
          <t>lancome idole nectar perfume · lancome idole nectar eau de parfum · lancome idole nectar dupe · lancome idole nectar eau de parfum 100ml · lancome idole nectar notes · lancome idole nectar 50ml</t>
        </is>
      </c>
      <c r="AB447" s="58" t="inlineStr">
        <is>
          <t>Lancôme Idôle Nectar Eau de Parfum</t>
        </is>
      </c>
      <c r="AC447" s="58" t="inlineStr">
        <is>
          <t>Lancôme Idôle Nectar EDP 25ml | Buy Online UK | Swansura</t>
        </is>
      </c>
      <c r="AD447" s="58">
        <f>LEN(AC447)</f>
        <v/>
      </c>
      <c r="AE447" s="58" t="inlineStr">
        <is>
          <t>Buy Lancôme Idôle Nectar Eau de Parfum online in the UK at Swansura. A floral women's eau de parfum, 25ml. 100% authentic, fast UK delivery, free over £50.</t>
        </is>
      </c>
      <c r="AF447" s="58">
        <f>LEN(AE447)</f>
        <v/>
      </c>
    </row>
    <row r="448" ht="15" customHeight="1" s="37">
      <c r="A448" s="58" t="inlineStr">
        <is>
          <t>FR-288</t>
        </is>
      </c>
      <c r="B448" s="58" t="inlineStr">
        <is>
          <t>Fragrance Catalogue</t>
        </is>
      </c>
      <c r="C448" s="58" t="n">
        <v>288</v>
      </c>
      <c r="D448" s="58" t="inlineStr">
        <is>
          <t>Lancôme</t>
        </is>
      </c>
      <c r="E448" s="58" t="n"/>
      <c r="F448" s="58" t="inlineStr">
        <is>
          <t>Fragrance</t>
        </is>
      </c>
      <c r="G448" s="58" t="inlineStr">
        <is>
          <t>Eau de Parfum (EDP)</t>
        </is>
      </c>
      <c r="H448" s="58" t="inlineStr">
        <is>
          <t>Floral · Women's Fragrance</t>
        </is>
      </c>
      <c r="I448" s="58" t="inlineStr">
        <is>
          <t>Lancôme Idôle Now Eau de Parfum Florale 50ml – Women's Floral Fragrance</t>
        </is>
      </c>
      <c r="J448" s="58" t="inlineStr">
        <is>
          <t>50ml</t>
        </is>
      </c>
      <c r="K448" s="58" t="n">
        <v>55.99</v>
      </c>
      <c r="L448" s="58" t="inlineStr">
        <is>
          <t>lancome idole now florale</t>
        </is>
      </c>
      <c r="M448" s="58" t="inlineStr">
        <is>
          <t>lancome idole now florale uk</t>
        </is>
      </c>
      <c r="N448" s="58" t="inlineStr">
        <is>
          <t>buy lancome idole now florale online</t>
        </is>
      </c>
      <c r="O448" s="58" t="inlineStr">
        <is>
          <t>lancome idole now florale price</t>
        </is>
      </c>
      <c r="P448" s="58" t="inlineStr">
        <is>
          <t>lancome idole now florale eau de parfum</t>
        </is>
      </c>
      <c r="Q448" s="59">
        <f>IF(L448="","",IFERROR(INDEX('Semrush Data'!$A$1:$Z$20000,MATCH(L448,'Semrush Data'!$A$1:$A$20000,0),MATCH("Volume",'Semrush Data'!$A$1:$Z$1,0)),""))</f>
        <v/>
      </c>
      <c r="R448" s="59">
        <f>IF(M448="","",IFERROR(INDEX('Semrush Data'!$A$1:$Z$20000,MATCH(M448,'Semrush Data'!$A$1:$A$20000,0),MATCH("Volume",'Semrush Data'!$A$1:$Z$1,0)),""))</f>
        <v/>
      </c>
      <c r="S448" s="59">
        <f>IF(N448="","",IFERROR(INDEX('Semrush Data'!$A$1:$Z$20000,MATCH(N448,'Semrush Data'!$A$1:$A$20000,0),MATCH("Volume",'Semrush Data'!$A$1:$Z$1,0)),""))</f>
        <v/>
      </c>
      <c r="T448" s="59">
        <f>IF(O448="","",IFERROR(INDEX('Semrush Data'!$A$1:$Z$20000,MATCH(O448,'Semrush Data'!$A$1:$A$20000,0),MATCH("Volume",'Semrush Data'!$A$1:$Z$1,0)),""))</f>
        <v/>
      </c>
      <c r="U448" s="59">
        <f>IF(P448="","",IFERROR(INDEX('Semrush Data'!$A$1:$Z$20000,MATCH(P448,'Semrush Data'!$A$1:$A$20000,0),MATCH("Volume",'Semrush Data'!$A$1:$Z$1,0)),""))</f>
        <v/>
      </c>
      <c r="V448" s="60">
        <f>IF(COUNT(Q448:U448)=0,L448,IF(MAX(Q448:U448)=0,L448,INDEX(L448:P448,MATCH(MAX(Q448:U448),Q448:U448,0))))</f>
        <v/>
      </c>
      <c r="W448" s="59">
        <f>IFERROR(INDEX('Semrush Data'!$A$1:$Z$20000,MATCH(V448,'Semrush Data'!$A$1:$A$20000,0),MATCH("Volume",'Semrush Data'!$A$1:$Z$1,0)),"")</f>
        <v/>
      </c>
      <c r="X448" s="59">
        <f>IFERROR(INDEX('Semrush Data'!$A$1:$Z$20000,MATCH(V448,'Semrush Data'!$A$1:$A$20000,0),MATCH("Keyword Difficulty*",'Semrush Data'!$A$1:$Z$1,0)),"")</f>
        <v/>
      </c>
      <c r="Y448" s="61">
        <f>IFERROR(INDEX('Semrush Data'!$A$1:$Z$20000,MATCH(V448,'Semrush Data'!$A$1:$A$20000,0),MATCH("CPC*",'Semrush Data'!$A$1:$Z$1,0)),"")</f>
        <v/>
      </c>
      <c r="Z448" s="58" t="inlineStr">
        <is>
          <t>lancôme perfume · lancôme perfume for women · floral perfume for women uk</t>
        </is>
      </c>
      <c r="AA448" s="58" t="inlineStr">
        <is>
          <t>lancome idole now florale perfume · lancome idole now florale edp 100ml · lancome idole now florale eau de parfum · lancome idole now florale 50ml · lancome idole now florale 100ml · lancome idole now edp florale</t>
        </is>
      </c>
      <c r="AB448" s="58" t="inlineStr">
        <is>
          <t>Lancôme Idôle Now Eau de Parfum Florale</t>
        </is>
      </c>
      <c r="AC448" s="58" t="inlineStr">
        <is>
          <t>Lancôme Idôle Now Eau de Parfum Florale | Swansura UK</t>
        </is>
      </c>
      <c r="AD448" s="58">
        <f>LEN(AC448)</f>
        <v/>
      </c>
      <c r="AE448" s="58" t="inlineStr">
        <is>
          <t>Buy Lancôme Idôle Now Eau de Parfum Florale online in the UK at Swansura. A floral women's eau de parfum, 50ml. 100% authentic, fast UK delivery, free over £50.</t>
        </is>
      </c>
      <c r="AF448" s="58">
        <f>LEN(AE448)</f>
        <v/>
      </c>
    </row>
    <row r="449" ht="15" customHeight="1" s="37">
      <c r="A449" s="58" t="inlineStr">
        <is>
          <t>FR-289</t>
        </is>
      </c>
      <c r="B449" s="58" t="inlineStr">
        <is>
          <t>Fragrance Catalogue</t>
        </is>
      </c>
      <c r="C449" s="58" t="n">
        <v>289</v>
      </c>
      <c r="D449" s="58" t="inlineStr">
        <is>
          <t>Mancera</t>
        </is>
      </c>
      <c r="E449" s="58" t="n"/>
      <c r="F449" s="58" t="inlineStr">
        <is>
          <t>Fragrance</t>
        </is>
      </c>
      <c r="G449" s="58" t="inlineStr">
        <is>
          <t>Eau de Parfum (EDP)</t>
        </is>
      </c>
      <c r="H449" s="58" t="inlineStr">
        <is>
          <t>Oud · Unisex Fragrance</t>
        </is>
      </c>
      <c r="I449" s="58" t="inlineStr">
        <is>
          <t>Mancera Black Noir Eau de Parfum 120ml – Luxury Unisex Oud Tobacco Longlasting Fragrance</t>
        </is>
      </c>
      <c r="J449" s="58" t="inlineStr">
        <is>
          <t>120ml</t>
        </is>
      </c>
      <c r="K449" s="58" t="n">
        <v>69.98999999999999</v>
      </c>
      <c r="L449" s="58" t="inlineStr">
        <is>
          <t>mancera black noir</t>
        </is>
      </c>
      <c r="M449" s="58" t="inlineStr">
        <is>
          <t>mancera black noir uk</t>
        </is>
      </c>
      <c r="N449" s="58" t="inlineStr">
        <is>
          <t>buy mancera black noir online</t>
        </is>
      </c>
      <c r="O449" s="58" t="inlineStr">
        <is>
          <t>mancera black noir price</t>
        </is>
      </c>
      <c r="P449" s="58" t="inlineStr">
        <is>
          <t>mancera black noir eau de parfum</t>
        </is>
      </c>
      <c r="Q449" s="59">
        <f>IF(L449="","",IFERROR(INDEX('Semrush Data'!$A$1:$Z$20000,MATCH(L449,'Semrush Data'!$A$1:$A$20000,0),MATCH("Volume",'Semrush Data'!$A$1:$Z$1,0)),""))</f>
        <v/>
      </c>
      <c r="R449" s="59">
        <f>IF(M449="","",IFERROR(INDEX('Semrush Data'!$A$1:$Z$20000,MATCH(M449,'Semrush Data'!$A$1:$A$20000,0),MATCH("Volume",'Semrush Data'!$A$1:$Z$1,0)),""))</f>
        <v/>
      </c>
      <c r="S449" s="59">
        <f>IF(N449="","",IFERROR(INDEX('Semrush Data'!$A$1:$Z$20000,MATCH(N449,'Semrush Data'!$A$1:$A$20000,0),MATCH("Volume",'Semrush Data'!$A$1:$Z$1,0)),""))</f>
        <v/>
      </c>
      <c r="T449" s="59">
        <f>IF(O449="","",IFERROR(INDEX('Semrush Data'!$A$1:$Z$20000,MATCH(O449,'Semrush Data'!$A$1:$A$20000,0),MATCH("Volume",'Semrush Data'!$A$1:$Z$1,0)),""))</f>
        <v/>
      </c>
      <c r="U449" s="59">
        <f>IF(P449="","",IFERROR(INDEX('Semrush Data'!$A$1:$Z$20000,MATCH(P449,'Semrush Data'!$A$1:$A$20000,0),MATCH("Volume",'Semrush Data'!$A$1:$Z$1,0)),""))</f>
        <v/>
      </c>
      <c r="V449" s="60">
        <f>IF(COUNT(Q449:U449)=0,L449,IF(MAX(Q449:U449)=0,L449,INDEX(L449:P449,MATCH(MAX(Q449:U449),Q449:U449,0))))</f>
        <v/>
      </c>
      <c r="W449" s="59">
        <f>IFERROR(INDEX('Semrush Data'!$A$1:$Z$20000,MATCH(V449,'Semrush Data'!$A$1:$A$20000,0),MATCH("Volume",'Semrush Data'!$A$1:$Z$1,0)),"")</f>
        <v/>
      </c>
      <c r="X449" s="59">
        <f>IFERROR(INDEX('Semrush Data'!$A$1:$Z$20000,MATCH(V449,'Semrush Data'!$A$1:$A$20000,0),MATCH("Keyword Difficulty*",'Semrush Data'!$A$1:$Z$1,0)),"")</f>
        <v/>
      </c>
      <c r="Y449" s="61">
        <f>IFERROR(INDEX('Semrush Data'!$A$1:$Z$20000,MATCH(V449,'Semrush Data'!$A$1:$A$20000,0),MATCH("CPC*",'Semrush Data'!$A$1:$Z$1,0)),"")</f>
        <v/>
      </c>
      <c r="Z449" s="58" t="inlineStr">
        <is>
          <t>mancera perfume · oud perfume uk</t>
        </is>
      </c>
      <c r="AA449" s="58" t="inlineStr">
        <is>
          <t>mancera black noir review · mancera black noir notes · mancera black noir eau de parfum · mancera black noir edp · mancera black noir price · mancera black noir edp 120ml</t>
        </is>
      </c>
      <c r="AB449" s="58" t="inlineStr">
        <is>
          <t>Mancera Black Noir Eau de Parfum</t>
        </is>
      </c>
      <c r="AC449" s="58" t="inlineStr">
        <is>
          <t>Mancera Black Noir Eau de Parfum | Buy Online UK | Swansura</t>
        </is>
      </c>
      <c r="AD449" s="58">
        <f>LEN(AC449)</f>
        <v/>
      </c>
      <c r="AE449" s="58" t="inlineStr">
        <is>
          <t>Buy Mancera Black Noir Eau de Parfum online in the UK at Swansura. An oud unisex eau de parfum, 120ml. 100% authentic, fast UK delivery, free over £50.</t>
        </is>
      </c>
      <c r="AF449" s="58">
        <f>LEN(AE449)</f>
        <v/>
      </c>
    </row>
    <row r="450" ht="15" customHeight="1" s="37">
      <c r="A450" s="58" t="inlineStr">
        <is>
          <t>FR-290</t>
        </is>
      </c>
      <c r="B450" s="58" t="inlineStr">
        <is>
          <t>Fragrance Catalogue</t>
        </is>
      </c>
      <c r="C450" s="58" t="n">
        <v>290</v>
      </c>
      <c r="D450" s="58" t="inlineStr">
        <is>
          <t>Mancera</t>
        </is>
      </c>
      <c r="E450" s="58" t="n"/>
      <c r="F450" s="58" t="inlineStr">
        <is>
          <t>Fragrance</t>
        </is>
      </c>
      <c r="G450" s="58" t="inlineStr">
        <is>
          <t>Extrait de Parfum</t>
        </is>
      </c>
      <c r="H450" s="58" t="inlineStr">
        <is>
          <t>Spicy · Unisex Fragrance</t>
        </is>
      </c>
      <c r="I450" s="58" t="inlineStr">
        <is>
          <t>Mancera Intense Red Tobacco Extrait de Parfum 120ml – Luxury Unisex Spicy Tobacco Fragrance</t>
        </is>
      </c>
      <c r="J450" s="58" t="inlineStr">
        <is>
          <t>120ml</t>
        </is>
      </c>
      <c r="K450" s="58" t="n">
        <v>79.98999999999999</v>
      </c>
      <c r="L450" s="58" t="inlineStr">
        <is>
          <t>mancera intense red tobacco</t>
        </is>
      </c>
      <c r="M450" s="58" t="inlineStr">
        <is>
          <t>mancera intense red tobacco uk</t>
        </is>
      </c>
      <c r="N450" s="58" t="inlineStr">
        <is>
          <t>buy mancera intense red tobacco online</t>
        </is>
      </c>
      <c r="O450" s="58" t="inlineStr">
        <is>
          <t>mancera intense red tobacco price</t>
        </is>
      </c>
      <c r="P450" s="58" t="inlineStr">
        <is>
          <t>mancera intense red tobacco extrait de parfum</t>
        </is>
      </c>
      <c r="Q450" s="59">
        <f>IF(L450="","",IFERROR(INDEX('Semrush Data'!$A$1:$Z$20000,MATCH(L450,'Semrush Data'!$A$1:$A$20000,0),MATCH("Volume",'Semrush Data'!$A$1:$Z$1,0)),""))</f>
        <v/>
      </c>
      <c r="R450" s="59">
        <f>IF(M450="","",IFERROR(INDEX('Semrush Data'!$A$1:$Z$20000,MATCH(M450,'Semrush Data'!$A$1:$A$20000,0),MATCH("Volume",'Semrush Data'!$A$1:$Z$1,0)),""))</f>
        <v/>
      </c>
      <c r="S450" s="59">
        <f>IF(N450="","",IFERROR(INDEX('Semrush Data'!$A$1:$Z$20000,MATCH(N450,'Semrush Data'!$A$1:$A$20000,0),MATCH("Volume",'Semrush Data'!$A$1:$Z$1,0)),""))</f>
        <v/>
      </c>
      <c r="T450" s="59">
        <f>IF(O450="","",IFERROR(INDEX('Semrush Data'!$A$1:$Z$20000,MATCH(O450,'Semrush Data'!$A$1:$A$20000,0),MATCH("Volume",'Semrush Data'!$A$1:$Z$1,0)),""))</f>
        <v/>
      </c>
      <c r="U450" s="59">
        <f>IF(P450="","",IFERROR(INDEX('Semrush Data'!$A$1:$Z$20000,MATCH(P450,'Semrush Data'!$A$1:$A$20000,0),MATCH("Volume",'Semrush Data'!$A$1:$Z$1,0)),""))</f>
        <v/>
      </c>
      <c r="V450" s="60">
        <f>IF(COUNT(Q450:U450)=0,L450,IF(MAX(Q450:U450)=0,L450,INDEX(L450:P450,MATCH(MAX(Q450:U450),Q450:U450,0))))</f>
        <v/>
      </c>
      <c r="W450" s="59">
        <f>IFERROR(INDEX('Semrush Data'!$A$1:$Z$20000,MATCH(V450,'Semrush Data'!$A$1:$A$20000,0),MATCH("Volume",'Semrush Data'!$A$1:$Z$1,0)),"")</f>
        <v/>
      </c>
      <c r="X450" s="59">
        <f>IFERROR(INDEX('Semrush Data'!$A$1:$Z$20000,MATCH(V450,'Semrush Data'!$A$1:$A$20000,0),MATCH("Keyword Difficulty*",'Semrush Data'!$A$1:$Z$1,0)),"")</f>
        <v/>
      </c>
      <c r="Y450" s="61">
        <f>IFERROR(INDEX('Semrush Data'!$A$1:$Z$20000,MATCH(V450,'Semrush Data'!$A$1:$A$20000,0),MATCH("CPC*",'Semrush Data'!$A$1:$Z$1,0)),"")</f>
        <v/>
      </c>
      <c r="Z450" s="58" t="inlineStr">
        <is>
          <t>mancera perfume · spicy perfume uk</t>
        </is>
      </c>
      <c r="AA450" s="58" t="inlineStr">
        <is>
          <t>mancera intense red tobacco extrait de parfum · mancera intense red tobacco review · mancera intense red tobacco price · mancera intense red tobacco 120ml · mancera intense red tobacco eau de parfum · mancera intense red tobacco edp 120ml</t>
        </is>
      </c>
      <c r="AB450" s="58" t="inlineStr">
        <is>
          <t>Mancera Intense Red Tobacco Extrait de Parfum</t>
        </is>
      </c>
      <c r="AC450" s="58" t="inlineStr">
        <is>
          <t>Mancera Intense Red Tobacco Extrait de Parfum | Swansura UK</t>
        </is>
      </c>
      <c r="AD450" s="58">
        <f>LEN(AC450)</f>
        <v/>
      </c>
      <c r="AE450" s="58" t="inlineStr">
        <is>
          <t>Buy Mancera Intense Red Tobacco Extrait de Parfum online in the UK at Swansura. A spicy unisex extrait de parfum. 100% authentic, free UK delivery over £50.</t>
        </is>
      </c>
      <c r="AF450" s="58">
        <f>LEN(AE450)</f>
        <v/>
      </c>
    </row>
    <row r="451" ht="15" customHeight="1" s="37">
      <c r="A451" s="58" t="inlineStr">
        <is>
          <t>FR-291</t>
        </is>
      </c>
      <c r="B451" s="58" t="inlineStr">
        <is>
          <t>Fragrance Catalogue</t>
        </is>
      </c>
      <c r="C451" s="58" t="n">
        <v>291</v>
      </c>
      <c r="D451" s="58" t="inlineStr">
        <is>
          <t>Marc Jacobs</t>
        </is>
      </c>
      <c r="E451" s="58" t="n"/>
      <c r="F451" s="58" t="inlineStr">
        <is>
          <t>Fragrance</t>
        </is>
      </c>
      <c r="G451" s="58" t="inlineStr">
        <is>
          <t>Eau de Parfum (EDP)</t>
        </is>
      </c>
      <c r="H451" s="58" t="inlineStr">
        <is>
          <t>Floral · Women's Fragrance</t>
        </is>
      </c>
      <c r="I451" s="58" t="inlineStr">
        <is>
          <t>Marc Jacobs Honey Eau de Parfum 100ml – Women's Floral Fruity Fragrance</t>
        </is>
      </c>
      <c r="J451" s="58" t="inlineStr">
        <is>
          <t>100ml</t>
        </is>
      </c>
      <c r="K451" s="58" t="n">
        <v>35.99</v>
      </c>
      <c r="L451" s="58" t="inlineStr">
        <is>
          <t>marc jacobs honey</t>
        </is>
      </c>
      <c r="M451" s="58" t="inlineStr">
        <is>
          <t>marc jacobs honey uk</t>
        </is>
      </c>
      <c r="N451" s="58" t="inlineStr">
        <is>
          <t>buy marc jacobs honey online</t>
        </is>
      </c>
      <c r="O451" s="58" t="inlineStr">
        <is>
          <t>marc jacobs honey price</t>
        </is>
      </c>
      <c r="P451" s="58" t="inlineStr">
        <is>
          <t>marc jacobs honey eau de parfum</t>
        </is>
      </c>
      <c r="Q451" s="59">
        <f>IF(L451="","",IFERROR(INDEX('Semrush Data'!$A$1:$Z$20000,MATCH(L451,'Semrush Data'!$A$1:$A$20000,0),MATCH("Volume",'Semrush Data'!$A$1:$Z$1,0)),""))</f>
        <v/>
      </c>
      <c r="R451" s="59">
        <f>IF(M451="","",IFERROR(INDEX('Semrush Data'!$A$1:$Z$20000,MATCH(M451,'Semrush Data'!$A$1:$A$20000,0),MATCH("Volume",'Semrush Data'!$A$1:$Z$1,0)),""))</f>
        <v/>
      </c>
      <c r="S451" s="59">
        <f>IF(N451="","",IFERROR(INDEX('Semrush Data'!$A$1:$Z$20000,MATCH(N451,'Semrush Data'!$A$1:$A$20000,0),MATCH("Volume",'Semrush Data'!$A$1:$Z$1,0)),""))</f>
        <v/>
      </c>
      <c r="T451" s="59">
        <f>IF(O451="","",IFERROR(INDEX('Semrush Data'!$A$1:$Z$20000,MATCH(O451,'Semrush Data'!$A$1:$A$20000,0),MATCH("Volume",'Semrush Data'!$A$1:$Z$1,0)),""))</f>
        <v/>
      </c>
      <c r="U451" s="59">
        <f>IF(P451="","",IFERROR(INDEX('Semrush Data'!$A$1:$Z$20000,MATCH(P451,'Semrush Data'!$A$1:$A$20000,0),MATCH("Volume",'Semrush Data'!$A$1:$Z$1,0)),""))</f>
        <v/>
      </c>
      <c r="V451" s="60">
        <f>IF(COUNT(Q451:U451)=0,L451,IF(MAX(Q451:U451)=0,L451,INDEX(L451:P451,MATCH(MAX(Q451:U451),Q451:U451,0))))</f>
        <v/>
      </c>
      <c r="W451" s="59">
        <f>IFERROR(INDEX('Semrush Data'!$A$1:$Z$20000,MATCH(V451,'Semrush Data'!$A$1:$A$20000,0),MATCH("Volume",'Semrush Data'!$A$1:$Z$1,0)),"")</f>
        <v/>
      </c>
      <c r="X451" s="59">
        <f>IFERROR(INDEX('Semrush Data'!$A$1:$Z$20000,MATCH(V451,'Semrush Data'!$A$1:$A$20000,0),MATCH("Keyword Difficulty*",'Semrush Data'!$A$1:$Z$1,0)),"")</f>
        <v/>
      </c>
      <c r="Y451" s="61">
        <f>IFERROR(INDEX('Semrush Data'!$A$1:$Z$20000,MATCH(V451,'Semrush Data'!$A$1:$A$20000,0),MATCH("CPC*",'Semrush Data'!$A$1:$Z$1,0)),"")</f>
        <v/>
      </c>
      <c r="Z451" s="58" t="inlineStr">
        <is>
          <t>marc jacobs perfume · marc jacobs perfume for women · floral perfume for women uk</t>
        </is>
      </c>
      <c r="AA451" s="58" t="inlineStr">
        <is>
          <t>marc jacobs honey perfume · marc jacobs honey 100ml · marc jacobs honey notes · marc jacobs honey review · marc jacobs honey eau de parfum · marc jacobs honey edp 100ml</t>
        </is>
      </c>
      <c r="AB451" s="58" t="inlineStr">
        <is>
          <t>Marc Jacobs Honey Eau de Parfum</t>
        </is>
      </c>
      <c r="AC451" s="58" t="inlineStr">
        <is>
          <t>Marc Jacobs Honey Eau de Parfum | Buy Online UK | Swansura</t>
        </is>
      </c>
      <c r="AD451" s="58">
        <f>LEN(AC451)</f>
        <v/>
      </c>
      <c r="AE451" s="58" t="inlineStr">
        <is>
          <t>Buy Marc Jacobs Honey Eau de Parfum online in the UK at Swansura. A floral women's eau de parfum, 100ml. 100% authentic, fast UK delivery, free over £50.</t>
        </is>
      </c>
      <c r="AF451" s="58">
        <f>LEN(AE451)</f>
        <v/>
      </c>
    </row>
    <row r="452" ht="15" customHeight="1" s="37">
      <c r="A452" s="58" t="inlineStr">
        <is>
          <t>FR-292</t>
        </is>
      </c>
      <c r="B452" s="58" t="inlineStr">
        <is>
          <t>Fragrance Catalogue</t>
        </is>
      </c>
      <c r="C452" s="58" t="n">
        <v>292</v>
      </c>
      <c r="D452" s="58" t="inlineStr">
        <is>
          <t>Marc Jacobs</t>
        </is>
      </c>
      <c r="E452" s="58" t="n"/>
      <c r="F452" s="58" t="inlineStr">
        <is>
          <t>Fragrance</t>
        </is>
      </c>
      <c r="G452" s="58" t="inlineStr">
        <is>
          <t>Eau de Parfum (EDP)</t>
        </is>
      </c>
      <c r="H452" s="58" t="inlineStr">
        <is>
          <t>Floral · Women's Fragrance</t>
        </is>
      </c>
      <c r="I452" s="58" t="inlineStr">
        <is>
          <t>Marc Jacobs Perfect Eau de Parfum 50ml – Women's Floral Fragrance</t>
        </is>
      </c>
      <c r="J452" s="58" t="inlineStr">
        <is>
          <t>50ml</t>
        </is>
      </c>
      <c r="K452" s="58" t="n">
        <v>52.99</v>
      </c>
      <c r="L452" s="58" t="inlineStr">
        <is>
          <t>marc jacobs perfect</t>
        </is>
      </c>
      <c r="M452" s="58" t="inlineStr">
        <is>
          <t>marc jacobs perfect uk</t>
        </is>
      </c>
      <c r="N452" s="58" t="inlineStr">
        <is>
          <t>buy marc jacobs perfect online</t>
        </is>
      </c>
      <c r="O452" s="58" t="inlineStr">
        <is>
          <t>marc jacobs perfect price</t>
        </is>
      </c>
      <c r="P452" s="58" t="inlineStr">
        <is>
          <t>marc jacobs perfect eau de parfum</t>
        </is>
      </c>
      <c r="Q452" s="59">
        <f>IF(L452="","",IFERROR(INDEX('Semrush Data'!$A$1:$Z$20000,MATCH(L452,'Semrush Data'!$A$1:$A$20000,0),MATCH("Volume",'Semrush Data'!$A$1:$Z$1,0)),""))</f>
        <v/>
      </c>
      <c r="R452" s="59">
        <f>IF(M452="","",IFERROR(INDEX('Semrush Data'!$A$1:$Z$20000,MATCH(M452,'Semrush Data'!$A$1:$A$20000,0),MATCH("Volume",'Semrush Data'!$A$1:$Z$1,0)),""))</f>
        <v/>
      </c>
      <c r="S452" s="59">
        <f>IF(N452="","",IFERROR(INDEX('Semrush Data'!$A$1:$Z$20000,MATCH(N452,'Semrush Data'!$A$1:$A$20000,0),MATCH("Volume",'Semrush Data'!$A$1:$Z$1,0)),""))</f>
        <v/>
      </c>
      <c r="T452" s="59">
        <f>IF(O452="","",IFERROR(INDEX('Semrush Data'!$A$1:$Z$20000,MATCH(O452,'Semrush Data'!$A$1:$A$20000,0),MATCH("Volume",'Semrush Data'!$A$1:$Z$1,0)),""))</f>
        <v/>
      </c>
      <c r="U452" s="59">
        <f>IF(P452="","",IFERROR(INDEX('Semrush Data'!$A$1:$Z$20000,MATCH(P452,'Semrush Data'!$A$1:$A$20000,0),MATCH("Volume",'Semrush Data'!$A$1:$Z$1,0)),""))</f>
        <v/>
      </c>
      <c r="V452" s="60">
        <f>IF(COUNT(Q452:U452)=0,L452,IF(MAX(Q452:U452)=0,L452,INDEX(L452:P452,MATCH(MAX(Q452:U452),Q452:U452,0))))</f>
        <v/>
      </c>
      <c r="W452" s="59">
        <f>IFERROR(INDEX('Semrush Data'!$A$1:$Z$20000,MATCH(V452,'Semrush Data'!$A$1:$A$20000,0),MATCH("Volume",'Semrush Data'!$A$1:$Z$1,0)),"")</f>
        <v/>
      </c>
      <c r="X452" s="59">
        <f>IFERROR(INDEX('Semrush Data'!$A$1:$Z$20000,MATCH(V452,'Semrush Data'!$A$1:$A$20000,0),MATCH("Keyword Difficulty*",'Semrush Data'!$A$1:$Z$1,0)),"")</f>
        <v/>
      </c>
      <c r="Y452" s="61">
        <f>IFERROR(INDEX('Semrush Data'!$A$1:$Z$20000,MATCH(V452,'Semrush Data'!$A$1:$A$20000,0),MATCH("CPC*",'Semrush Data'!$A$1:$Z$1,0)),"")</f>
        <v/>
      </c>
      <c r="Z452" s="58" t="inlineStr">
        <is>
          <t>marc jacobs perfume · marc jacobs perfume for women · floral perfume for women uk</t>
        </is>
      </c>
      <c r="AA452" s="58" t="inlineStr">
        <is>
          <t>marc jacobs perfect perfume · marc jacobs perfect notes · marc jacobs perfect eau de parfum · marc jacobs perfect 100ml · marc jacobs perfect edp</t>
        </is>
      </c>
      <c r="AB452" s="58" t="inlineStr">
        <is>
          <t>Marc Jacobs Perfect Eau de Parfum</t>
        </is>
      </c>
      <c r="AC452" s="58" t="inlineStr">
        <is>
          <t>Marc Jacobs Perfect Eau de Parfum | Buy Online UK | Swansura</t>
        </is>
      </c>
      <c r="AD452" s="58">
        <f>LEN(AC452)</f>
        <v/>
      </c>
      <c r="AE452" s="58" t="inlineStr">
        <is>
          <t>Buy Marc Jacobs Perfect Eau de Parfum online in the UK at Swansura. A floral women's eau de parfum, 50ml. 100% authentic, fast UK delivery, free over £50.</t>
        </is>
      </c>
      <c r="AF452" s="58">
        <f>LEN(AE452)</f>
        <v/>
      </c>
    </row>
    <row r="453" ht="15" customHeight="1" s="37">
      <c r="A453" s="58" t="inlineStr">
        <is>
          <t>FR-293</t>
        </is>
      </c>
      <c r="B453" s="58" t="inlineStr">
        <is>
          <t>Fragrance Catalogue</t>
        </is>
      </c>
      <c r="C453" s="58" t="n">
        <v>293</v>
      </c>
      <c r="D453" s="58" t="inlineStr">
        <is>
          <t>Marc Jacobs</t>
        </is>
      </c>
      <c r="E453" s="58" t="n"/>
      <c r="F453" s="58" t="inlineStr">
        <is>
          <t>Fragrance</t>
        </is>
      </c>
      <c r="G453" s="58" t="inlineStr">
        <is>
          <t>Eau de Parfum (EDP)</t>
        </is>
      </c>
      <c r="H453" s="58" t="inlineStr">
        <is>
          <t>Floral · Women's Fragrance</t>
        </is>
      </c>
      <c r="I453" s="58" t="inlineStr">
        <is>
          <t>Marc Jacobs Perfect Elixir Eau de Parfum 10ml Miniature – Women's Floral Gourmand Fragrance</t>
        </is>
      </c>
      <c r="J453" s="58" t="inlineStr">
        <is>
          <t>10ml</t>
        </is>
      </c>
      <c r="K453" s="58" t="n">
        <v>19.99</v>
      </c>
      <c r="L453" s="58" t="inlineStr">
        <is>
          <t>marc jacobs perfect elixir miniature</t>
        </is>
      </c>
      <c r="M453" s="58" t="inlineStr">
        <is>
          <t>marc jacobs perfect elixir miniature uk</t>
        </is>
      </c>
      <c r="N453" s="58" t="inlineStr">
        <is>
          <t>buy marc jacobs perfect elixir miniature online</t>
        </is>
      </c>
      <c r="O453" s="58" t="inlineStr">
        <is>
          <t>marc jacobs perfect elixir miniature price</t>
        </is>
      </c>
      <c r="P453" s="58" t="inlineStr">
        <is>
          <t>marc jacobs perfect elixir miniature eau de parfum</t>
        </is>
      </c>
      <c r="Q453" s="59">
        <f>IF(L453="","",IFERROR(INDEX('Semrush Data'!$A$1:$Z$20000,MATCH(L453,'Semrush Data'!$A$1:$A$20000,0),MATCH("Volume",'Semrush Data'!$A$1:$Z$1,0)),""))</f>
        <v/>
      </c>
      <c r="R453" s="59">
        <f>IF(M453="","",IFERROR(INDEX('Semrush Data'!$A$1:$Z$20000,MATCH(M453,'Semrush Data'!$A$1:$A$20000,0),MATCH("Volume",'Semrush Data'!$A$1:$Z$1,0)),""))</f>
        <v/>
      </c>
      <c r="S453" s="59">
        <f>IF(N453="","",IFERROR(INDEX('Semrush Data'!$A$1:$Z$20000,MATCH(N453,'Semrush Data'!$A$1:$A$20000,0),MATCH("Volume",'Semrush Data'!$A$1:$Z$1,0)),""))</f>
        <v/>
      </c>
      <c r="T453" s="59">
        <f>IF(O453="","",IFERROR(INDEX('Semrush Data'!$A$1:$Z$20000,MATCH(O453,'Semrush Data'!$A$1:$A$20000,0),MATCH("Volume",'Semrush Data'!$A$1:$Z$1,0)),""))</f>
        <v/>
      </c>
      <c r="U453" s="59">
        <f>IF(P453="","",IFERROR(INDEX('Semrush Data'!$A$1:$Z$20000,MATCH(P453,'Semrush Data'!$A$1:$A$20000,0),MATCH("Volume",'Semrush Data'!$A$1:$Z$1,0)),""))</f>
        <v/>
      </c>
      <c r="V453" s="60">
        <f>IF(COUNT(Q453:U453)=0,L453,IF(MAX(Q453:U453)=0,L453,INDEX(L453:P453,MATCH(MAX(Q453:U453),Q453:U453,0))))</f>
        <v/>
      </c>
      <c r="W453" s="59">
        <f>IFERROR(INDEX('Semrush Data'!$A$1:$Z$20000,MATCH(V453,'Semrush Data'!$A$1:$A$20000,0),MATCH("Volume",'Semrush Data'!$A$1:$Z$1,0)),"")</f>
        <v/>
      </c>
      <c r="X453" s="59">
        <f>IFERROR(INDEX('Semrush Data'!$A$1:$Z$20000,MATCH(V453,'Semrush Data'!$A$1:$A$20000,0),MATCH("Keyword Difficulty*",'Semrush Data'!$A$1:$Z$1,0)),"")</f>
        <v/>
      </c>
      <c r="Y453" s="61">
        <f>IFERROR(INDEX('Semrush Data'!$A$1:$Z$20000,MATCH(V453,'Semrush Data'!$A$1:$A$20000,0),MATCH("CPC*",'Semrush Data'!$A$1:$Z$1,0)),"")</f>
        <v/>
      </c>
      <c r="Z453" s="58" t="inlineStr">
        <is>
          <t>marc jacobs perfume · marc jacobs perfume for women · floral perfume for women uk</t>
        </is>
      </c>
      <c r="AA453" s="58" t="n"/>
      <c r="AB453" s="58" t="inlineStr">
        <is>
          <t>Marc Jacobs Perfect Elixir Eau de Parfum Miniature</t>
        </is>
      </c>
      <c r="AC453" s="58" t="inlineStr">
        <is>
          <t>Marc Jacobs Perfect Elixir Miniature EDP 10ml | Swansura UK</t>
        </is>
      </c>
      <c r="AD453" s="58">
        <f>LEN(AC453)</f>
        <v/>
      </c>
      <c r="AE453" s="58" t="inlineStr">
        <is>
          <t>Buy Marc Jacobs Perfect Elixir Eau de Parfum Miniature online in the UK at Swansura. A floral women's eau de parfum. 100% authentic, free UK delivery over £50.</t>
        </is>
      </c>
      <c r="AF453" s="58">
        <f>LEN(AE453)</f>
        <v/>
      </c>
    </row>
    <row r="454" ht="15" customHeight="1" s="37">
      <c r="A454" s="58" t="inlineStr">
        <is>
          <t>FR-294</t>
        </is>
      </c>
      <c r="B454" s="58" t="inlineStr">
        <is>
          <t>Fragrance Catalogue</t>
        </is>
      </c>
      <c r="C454" s="58" t="n">
        <v>294</v>
      </c>
      <c r="D454" s="58" t="inlineStr">
        <is>
          <t>Marc Jacobs</t>
        </is>
      </c>
      <c r="E454" s="58" t="n"/>
      <c r="F454" s="58" t="inlineStr">
        <is>
          <t>Fragrance</t>
        </is>
      </c>
      <c r="G454" s="58" t="inlineStr">
        <is>
          <t>Eau de Toilette (EDT)</t>
        </is>
      </c>
      <c r="H454" s="58" t="inlineStr">
        <is>
          <t>Floral · Women's Fragrance</t>
        </is>
      </c>
      <c r="I454" s="58" t="inlineStr">
        <is>
          <t>Marc Jacobs Daisy Love Eau de Toilette 10ml Miniature – Women's Floral Fruity Fragrance</t>
        </is>
      </c>
      <c r="J454" s="58" t="inlineStr">
        <is>
          <t>10ml</t>
        </is>
      </c>
      <c r="K454" s="58" t="n">
        <v>19.99</v>
      </c>
      <c r="L454" s="58" t="inlineStr">
        <is>
          <t>marc jacobs daisy love miniature</t>
        </is>
      </c>
      <c r="M454" s="58" t="inlineStr">
        <is>
          <t>marc jacobs daisy love miniature uk</t>
        </is>
      </c>
      <c r="N454" s="58" t="inlineStr">
        <is>
          <t>buy marc jacobs daisy love miniature online</t>
        </is>
      </c>
      <c r="O454" s="58" t="inlineStr">
        <is>
          <t>marc jacobs daisy love miniature price</t>
        </is>
      </c>
      <c r="P454" s="58" t="inlineStr">
        <is>
          <t>marc jacobs daisy love miniature eau de toilette</t>
        </is>
      </c>
      <c r="Q454" s="59">
        <f>IF(L454="","",IFERROR(INDEX('Semrush Data'!$A$1:$Z$20000,MATCH(L454,'Semrush Data'!$A$1:$A$20000,0),MATCH("Volume",'Semrush Data'!$A$1:$Z$1,0)),""))</f>
        <v/>
      </c>
      <c r="R454" s="59">
        <f>IF(M454="","",IFERROR(INDEX('Semrush Data'!$A$1:$Z$20000,MATCH(M454,'Semrush Data'!$A$1:$A$20000,0),MATCH("Volume",'Semrush Data'!$A$1:$Z$1,0)),""))</f>
        <v/>
      </c>
      <c r="S454" s="59">
        <f>IF(N454="","",IFERROR(INDEX('Semrush Data'!$A$1:$Z$20000,MATCH(N454,'Semrush Data'!$A$1:$A$20000,0),MATCH("Volume",'Semrush Data'!$A$1:$Z$1,0)),""))</f>
        <v/>
      </c>
      <c r="T454" s="59">
        <f>IF(O454="","",IFERROR(INDEX('Semrush Data'!$A$1:$Z$20000,MATCH(O454,'Semrush Data'!$A$1:$A$20000,0),MATCH("Volume",'Semrush Data'!$A$1:$Z$1,0)),""))</f>
        <v/>
      </c>
      <c r="U454" s="59">
        <f>IF(P454="","",IFERROR(INDEX('Semrush Data'!$A$1:$Z$20000,MATCH(P454,'Semrush Data'!$A$1:$A$20000,0),MATCH("Volume",'Semrush Data'!$A$1:$Z$1,0)),""))</f>
        <v/>
      </c>
      <c r="V454" s="60">
        <f>IF(COUNT(Q454:U454)=0,L454,IF(MAX(Q454:U454)=0,L454,INDEX(L454:P454,MATCH(MAX(Q454:U454),Q454:U454,0))))</f>
        <v/>
      </c>
      <c r="W454" s="59">
        <f>IFERROR(INDEX('Semrush Data'!$A$1:$Z$20000,MATCH(V454,'Semrush Data'!$A$1:$A$20000,0),MATCH("Volume",'Semrush Data'!$A$1:$Z$1,0)),"")</f>
        <v/>
      </c>
      <c r="X454" s="59">
        <f>IFERROR(INDEX('Semrush Data'!$A$1:$Z$20000,MATCH(V454,'Semrush Data'!$A$1:$A$20000,0),MATCH("Keyword Difficulty*",'Semrush Data'!$A$1:$Z$1,0)),"")</f>
        <v/>
      </c>
      <c r="Y454" s="61">
        <f>IFERROR(INDEX('Semrush Data'!$A$1:$Z$20000,MATCH(V454,'Semrush Data'!$A$1:$A$20000,0),MATCH("CPC*",'Semrush Data'!$A$1:$Z$1,0)),"")</f>
        <v/>
      </c>
      <c r="Z454" s="58" t="inlineStr">
        <is>
          <t>marc jacobs perfume · marc jacobs perfume for women · floral perfume for women uk</t>
        </is>
      </c>
      <c r="AA454" s="58" t="inlineStr">
        <is>
          <t>daisy love marc jacobs price</t>
        </is>
      </c>
      <c r="AB454" s="58" t="inlineStr">
        <is>
          <t>Marc Jacobs Daisy Love Eau de Toilette Miniature</t>
        </is>
      </c>
      <c r="AC454" s="58" t="inlineStr">
        <is>
          <t>Marc Jacobs Daisy Love Miniature EDT 10ml | Swansura UK</t>
        </is>
      </c>
      <c r="AD454" s="58">
        <f>LEN(AC454)</f>
        <v/>
      </c>
      <c r="AE454" s="58" t="inlineStr">
        <is>
          <t>Buy Marc Jacobs Daisy Love Eau de Toilette Miniature online in the UK at Swansura. A floral women's eau de toilette. 100% authentic, free UK delivery over £50.</t>
        </is>
      </c>
      <c r="AF454" s="58">
        <f>LEN(AE454)</f>
        <v/>
      </c>
    </row>
    <row r="455" ht="15" customHeight="1" s="37">
      <c r="A455" s="58" t="inlineStr">
        <is>
          <t>FR-295</t>
        </is>
      </c>
      <c r="B455" s="58" t="inlineStr">
        <is>
          <t>Fragrance Catalogue</t>
        </is>
      </c>
      <c r="C455" s="58" t="n">
        <v>295</v>
      </c>
      <c r="D455" s="58" t="inlineStr">
        <is>
          <t>Marc Jacobs</t>
        </is>
      </c>
      <c r="E455" s="58" t="n"/>
      <c r="F455" s="58" t="inlineStr">
        <is>
          <t>Fragrance</t>
        </is>
      </c>
      <c r="G455" s="58" t="inlineStr">
        <is>
          <t>Eau de Toilette (EDT)</t>
        </is>
      </c>
      <c r="H455" s="58" t="inlineStr">
        <is>
          <t>Floral · Women's Fragrance</t>
        </is>
      </c>
      <c r="I455" s="58" t="inlineStr">
        <is>
          <t>Marc Jacobs Daisy Love Glow Limited Edition Eau de Toilette 50ml – Women's Floral Fragrance</t>
        </is>
      </c>
      <c r="J455" s="58" t="inlineStr">
        <is>
          <t>50ml</t>
        </is>
      </c>
      <c r="K455" s="58" t="n">
        <v>39.99</v>
      </c>
      <c r="L455" s="58" t="inlineStr">
        <is>
          <t>marc jacobs daisy love glow limited edition</t>
        </is>
      </c>
      <c r="M455" s="58" t="inlineStr">
        <is>
          <t>marc jacobs daisy love glow limited edition uk</t>
        </is>
      </c>
      <c r="N455" s="58" t="inlineStr">
        <is>
          <t>buy marc jacobs daisy love glow limited edition online</t>
        </is>
      </c>
      <c r="O455" s="58" t="inlineStr">
        <is>
          <t>marc jacobs daisy love glow limited edition price</t>
        </is>
      </c>
      <c r="P455" s="58" t="inlineStr">
        <is>
          <t>marc jacobs daisy love glow limited edition eau de toilette</t>
        </is>
      </c>
      <c r="Q455" s="59">
        <f>IF(L455="","",IFERROR(INDEX('Semrush Data'!$A$1:$Z$20000,MATCH(L455,'Semrush Data'!$A$1:$A$20000,0),MATCH("Volume",'Semrush Data'!$A$1:$Z$1,0)),""))</f>
        <v/>
      </c>
      <c r="R455" s="59">
        <f>IF(M455="","",IFERROR(INDEX('Semrush Data'!$A$1:$Z$20000,MATCH(M455,'Semrush Data'!$A$1:$A$20000,0),MATCH("Volume",'Semrush Data'!$A$1:$Z$1,0)),""))</f>
        <v/>
      </c>
      <c r="S455" s="59">
        <f>IF(N455="","",IFERROR(INDEX('Semrush Data'!$A$1:$Z$20000,MATCH(N455,'Semrush Data'!$A$1:$A$20000,0),MATCH("Volume",'Semrush Data'!$A$1:$Z$1,0)),""))</f>
        <v/>
      </c>
      <c r="T455" s="59">
        <f>IF(O455="","",IFERROR(INDEX('Semrush Data'!$A$1:$Z$20000,MATCH(O455,'Semrush Data'!$A$1:$A$20000,0),MATCH("Volume",'Semrush Data'!$A$1:$Z$1,0)),""))</f>
        <v/>
      </c>
      <c r="U455" s="59">
        <f>IF(P455="","",IFERROR(INDEX('Semrush Data'!$A$1:$Z$20000,MATCH(P455,'Semrush Data'!$A$1:$A$20000,0),MATCH("Volume",'Semrush Data'!$A$1:$Z$1,0)),""))</f>
        <v/>
      </c>
      <c r="V455" s="60">
        <f>IF(COUNT(Q455:U455)=0,L455,IF(MAX(Q455:U455)=0,L455,INDEX(L455:P455,MATCH(MAX(Q455:U455),Q455:U455,0))))</f>
        <v/>
      </c>
      <c r="W455" s="59">
        <f>IFERROR(INDEX('Semrush Data'!$A$1:$Z$20000,MATCH(V455,'Semrush Data'!$A$1:$A$20000,0),MATCH("Volume",'Semrush Data'!$A$1:$Z$1,0)),"")</f>
        <v/>
      </c>
      <c r="X455" s="59">
        <f>IFERROR(INDEX('Semrush Data'!$A$1:$Z$20000,MATCH(V455,'Semrush Data'!$A$1:$A$20000,0),MATCH("Keyword Difficulty*",'Semrush Data'!$A$1:$Z$1,0)),"")</f>
        <v/>
      </c>
      <c r="Y455" s="61">
        <f>IFERROR(INDEX('Semrush Data'!$A$1:$Z$20000,MATCH(V455,'Semrush Data'!$A$1:$A$20000,0),MATCH("CPC*",'Semrush Data'!$A$1:$Z$1,0)),"")</f>
        <v/>
      </c>
      <c r="Z455" s="58" t="inlineStr">
        <is>
          <t>marc jacobs perfume · marc jacobs perfume for women · floral perfume for women uk</t>
        </is>
      </c>
      <c r="AA455" s="58" t="inlineStr">
        <is>
          <t>marc jacobs daisy love glow limited edition edt 50 ml · daisy love marc jacobs price</t>
        </is>
      </c>
      <c r="AB455" s="58" t="inlineStr">
        <is>
          <t>Marc Jacobs Daisy Love Glow Limited Edition Eau de Toilette</t>
        </is>
      </c>
      <c r="AC455" s="58" t="inlineStr">
        <is>
          <t>Marc Jacobs Daisy Love Glow Limited Edition | Swansura UK</t>
        </is>
      </c>
      <c r="AD455" s="58">
        <f>LEN(AC455)</f>
        <v/>
      </c>
      <c r="AE455" s="58" t="inlineStr">
        <is>
          <t>Buy Marc Jacobs Daisy Love Glow Limited Edition Eau de Toilette online in the UK at Swansura. A floral women's eau de toilette, 50ml. Free UK delivery over £50.</t>
        </is>
      </c>
      <c r="AF455" s="58">
        <f>LEN(AE455)</f>
        <v/>
      </c>
    </row>
    <row r="456" ht="15" customHeight="1" s="37">
      <c r="A456" s="58" t="inlineStr">
        <is>
          <t>FR-296</t>
        </is>
      </c>
      <c r="B456" s="58" t="inlineStr">
        <is>
          <t>Fragrance Catalogue</t>
        </is>
      </c>
      <c r="C456" s="58" t="n">
        <v>296</v>
      </c>
      <c r="D456" s="58" t="inlineStr">
        <is>
          <t>Marc Jacobs</t>
        </is>
      </c>
      <c r="E456" s="58" t="n"/>
      <c r="F456" s="58" t="inlineStr">
        <is>
          <t>Fragrance</t>
        </is>
      </c>
      <c r="G456" s="58" t="inlineStr">
        <is>
          <t>Eau de Toilette (EDT)</t>
        </is>
      </c>
      <c r="H456" s="58" t="inlineStr">
        <is>
          <t>Floral · Women's Fragrance</t>
        </is>
      </c>
      <c r="I456" s="58" t="inlineStr">
        <is>
          <t>Marc Jacobs Perfect Eau de Toilette 10ml Miniature – Women's Floral Fragrance</t>
        </is>
      </c>
      <c r="J456" s="58" t="inlineStr">
        <is>
          <t>75ml</t>
        </is>
      </c>
      <c r="K456" s="58" t="n">
        <v>19.99</v>
      </c>
      <c r="L456" s="58" t="inlineStr">
        <is>
          <t>marc jacobs perfect miniature</t>
        </is>
      </c>
      <c r="M456" s="58" t="inlineStr">
        <is>
          <t>marc jacobs perfect miniature uk</t>
        </is>
      </c>
      <c r="N456" s="58" t="inlineStr">
        <is>
          <t>buy marc jacobs perfect miniature online</t>
        </is>
      </c>
      <c r="O456" s="58" t="inlineStr">
        <is>
          <t>marc jacobs perfect miniature price</t>
        </is>
      </c>
      <c r="P456" s="58" t="inlineStr">
        <is>
          <t>marc jacobs perfect miniature eau de toilette</t>
        </is>
      </c>
      <c r="Q456" s="59">
        <f>IF(L456="","",IFERROR(INDEX('Semrush Data'!$A$1:$Z$20000,MATCH(L456,'Semrush Data'!$A$1:$A$20000,0),MATCH("Volume",'Semrush Data'!$A$1:$Z$1,0)),""))</f>
        <v/>
      </c>
      <c r="R456" s="59">
        <f>IF(M456="","",IFERROR(INDEX('Semrush Data'!$A$1:$Z$20000,MATCH(M456,'Semrush Data'!$A$1:$A$20000,0),MATCH("Volume",'Semrush Data'!$A$1:$Z$1,0)),""))</f>
        <v/>
      </c>
      <c r="S456" s="59">
        <f>IF(N456="","",IFERROR(INDEX('Semrush Data'!$A$1:$Z$20000,MATCH(N456,'Semrush Data'!$A$1:$A$20000,0),MATCH("Volume",'Semrush Data'!$A$1:$Z$1,0)),""))</f>
        <v/>
      </c>
      <c r="T456" s="59">
        <f>IF(O456="","",IFERROR(INDEX('Semrush Data'!$A$1:$Z$20000,MATCH(O456,'Semrush Data'!$A$1:$A$20000,0),MATCH("Volume",'Semrush Data'!$A$1:$Z$1,0)),""))</f>
        <v/>
      </c>
      <c r="U456" s="59">
        <f>IF(P456="","",IFERROR(INDEX('Semrush Data'!$A$1:$Z$20000,MATCH(P456,'Semrush Data'!$A$1:$A$20000,0),MATCH("Volume",'Semrush Data'!$A$1:$Z$1,0)),""))</f>
        <v/>
      </c>
      <c r="V456" s="60">
        <f>IF(COUNT(Q456:U456)=0,L456,IF(MAX(Q456:U456)=0,L456,INDEX(L456:P456,MATCH(MAX(Q456:U456),Q456:U456,0))))</f>
        <v/>
      </c>
      <c r="W456" s="59">
        <f>IFERROR(INDEX('Semrush Data'!$A$1:$Z$20000,MATCH(V456,'Semrush Data'!$A$1:$A$20000,0),MATCH("Volume",'Semrush Data'!$A$1:$Z$1,0)),"")</f>
        <v/>
      </c>
      <c r="X456" s="59">
        <f>IFERROR(INDEX('Semrush Data'!$A$1:$Z$20000,MATCH(V456,'Semrush Data'!$A$1:$A$20000,0),MATCH("Keyword Difficulty*",'Semrush Data'!$A$1:$Z$1,0)),"")</f>
        <v/>
      </c>
      <c r="Y456" s="61">
        <f>IFERROR(INDEX('Semrush Data'!$A$1:$Z$20000,MATCH(V456,'Semrush Data'!$A$1:$A$20000,0),MATCH("CPC*",'Semrush Data'!$A$1:$Z$1,0)),"")</f>
        <v/>
      </c>
      <c r="Z456" s="58" t="inlineStr">
        <is>
          <t>marc jacobs perfume · marc jacobs perfume for women · floral perfume for women uk</t>
        </is>
      </c>
      <c r="AA456" s="58" t="n"/>
      <c r="AB456" s="58" t="inlineStr">
        <is>
          <t>Marc Jacobs Perfect Eau de Toilette Miniature</t>
        </is>
      </c>
      <c r="AC456" s="58" t="inlineStr">
        <is>
          <t>Marc Jacobs Perfect Eau de Toilette Miniature | Swansura UK</t>
        </is>
      </c>
      <c r="AD456" s="58">
        <f>LEN(AC456)</f>
        <v/>
      </c>
      <c r="AE456" s="58" t="inlineStr">
        <is>
          <t>Buy Marc Jacobs Perfect Eau de Toilette Miniature online in the UK at Swansura. A floral women's eau de toilette. 100% authentic, free UK delivery over £50.</t>
        </is>
      </c>
      <c r="AF456" s="58">
        <f>LEN(AE456)</f>
        <v/>
      </c>
    </row>
    <row r="457" ht="15" customHeight="1" s="37">
      <c r="A457" s="58" t="inlineStr">
        <is>
          <t>FR-297</t>
        </is>
      </c>
      <c r="B457" s="58" t="inlineStr">
        <is>
          <t>Fragrance Catalogue</t>
        </is>
      </c>
      <c r="C457" s="58" t="n">
        <v>297</v>
      </c>
      <c r="D457" s="58" t="inlineStr">
        <is>
          <t>Marc Jacobs</t>
        </is>
      </c>
      <c r="E457" s="58" t="n"/>
      <c r="F457" s="58" t="inlineStr">
        <is>
          <t>Gift Set</t>
        </is>
      </c>
      <c r="G457" s="58" t="inlineStr">
        <is>
          <t>Fragrance Gift Set</t>
        </is>
      </c>
      <c r="H457" s="58" t="inlineStr">
        <is>
          <t>Fresh · Women's Fragrance</t>
        </is>
      </c>
      <c r="I457" s="58" t="inlineStr">
        <is>
          <t>Marc Jacobs Women's Miniature Fragrance Gift Set 2025 – Daisy, Daisy Eau So Fresh, Perfect &amp; Daisy Wild</t>
        </is>
      </c>
      <c r="J457" s="58" t="inlineStr">
        <is>
          <t>20ml</t>
        </is>
      </c>
      <c r="K457" s="58" t="n">
        <v>39.99</v>
      </c>
      <c r="L457" s="58" t="inlineStr">
        <is>
          <t>marc jacobs miniature gift set 2025</t>
        </is>
      </c>
      <c r="M457" s="58" t="inlineStr">
        <is>
          <t>marc jacobs miniature gift set 2025 uk</t>
        </is>
      </c>
      <c r="N457" s="58" t="inlineStr">
        <is>
          <t>buy marc jacobs miniature gift set 2025 online</t>
        </is>
      </c>
      <c r="O457" s="58" t="inlineStr">
        <is>
          <t>marc jacobs miniature gift set 2025 price</t>
        </is>
      </c>
      <c r="P457" s="58" t="n"/>
      <c r="Q457" s="59">
        <f>IF(L457="","",IFERROR(INDEX('Semrush Data'!$A$1:$Z$20000,MATCH(L457,'Semrush Data'!$A$1:$A$20000,0),MATCH("Volume",'Semrush Data'!$A$1:$Z$1,0)),""))</f>
        <v/>
      </c>
      <c r="R457" s="59">
        <f>IF(M457="","",IFERROR(INDEX('Semrush Data'!$A$1:$Z$20000,MATCH(M457,'Semrush Data'!$A$1:$A$20000,0),MATCH("Volume",'Semrush Data'!$A$1:$Z$1,0)),""))</f>
        <v/>
      </c>
      <c r="S457" s="59">
        <f>IF(N457="","",IFERROR(INDEX('Semrush Data'!$A$1:$Z$20000,MATCH(N457,'Semrush Data'!$A$1:$A$20000,0),MATCH("Volume",'Semrush Data'!$A$1:$Z$1,0)),""))</f>
        <v/>
      </c>
      <c r="T457" s="59">
        <f>IF(O457="","",IFERROR(INDEX('Semrush Data'!$A$1:$Z$20000,MATCH(O457,'Semrush Data'!$A$1:$A$20000,0),MATCH("Volume",'Semrush Data'!$A$1:$Z$1,0)),""))</f>
        <v/>
      </c>
      <c r="U457" s="59">
        <f>IF(P457="","",IFERROR(INDEX('Semrush Data'!$A$1:$Z$20000,MATCH(P457,'Semrush Data'!$A$1:$A$20000,0),MATCH("Volume",'Semrush Data'!$A$1:$Z$1,0)),""))</f>
        <v/>
      </c>
      <c r="V457" s="60">
        <f>IF(COUNT(Q457:U457)=0,L457,IF(MAX(Q457:U457)=0,L457,INDEX(L457:P457,MATCH(MAX(Q457:U457),Q457:U457,0))))</f>
        <v/>
      </c>
      <c r="W457" s="59">
        <f>IFERROR(INDEX('Semrush Data'!$A$1:$Z$20000,MATCH(V457,'Semrush Data'!$A$1:$A$20000,0),MATCH("Volume",'Semrush Data'!$A$1:$Z$1,0)),"")</f>
        <v/>
      </c>
      <c r="X457" s="59">
        <f>IFERROR(INDEX('Semrush Data'!$A$1:$Z$20000,MATCH(V457,'Semrush Data'!$A$1:$A$20000,0),MATCH("Keyword Difficulty*",'Semrush Data'!$A$1:$Z$1,0)),"")</f>
        <v/>
      </c>
      <c r="Y457" s="61">
        <f>IFERROR(INDEX('Semrush Data'!$A$1:$Z$20000,MATCH(V457,'Semrush Data'!$A$1:$A$20000,0),MATCH("CPC*",'Semrush Data'!$A$1:$Z$1,0)),"")</f>
        <v/>
      </c>
      <c r="Z457" s="58" t="inlineStr">
        <is>
          <t>marc jacobs perfume · marc jacobs perfume for women · fresh perfume for women uk</t>
        </is>
      </c>
      <c r="AA457" s="58" t="n"/>
      <c r="AB457" s="58" t="inlineStr">
        <is>
          <t>Marc Jacobs Women's Miniature Fragrance Gift Set 2025</t>
        </is>
      </c>
      <c r="AC457" s="58" t="inlineStr">
        <is>
          <t>Marc Jacobs Women's Miniature Fragrance Gift | Swansura UK</t>
        </is>
      </c>
      <c r="AD457" s="58">
        <f>LEN(AC457)</f>
        <v/>
      </c>
      <c r="AE457" s="58" t="inlineStr">
        <is>
          <t>Buy Marc Jacobs Women's Miniature Fragrance Gift Set 2025 online in the UK at Swansura. A fresh women's fragrance. 100% authentic, free UK delivery over £50.</t>
        </is>
      </c>
      <c r="AF457" s="58">
        <f>LEN(AE457)</f>
        <v/>
      </c>
    </row>
    <row r="458" ht="15" customHeight="1" s="37">
      <c r="A458" s="58" t="inlineStr">
        <is>
          <t>FR-298</t>
        </is>
      </c>
      <c r="B458" s="58" t="inlineStr">
        <is>
          <t>Fragrance Catalogue</t>
        </is>
      </c>
      <c r="C458" s="58" t="n">
        <v>298</v>
      </c>
      <c r="D458" s="58" t="inlineStr">
        <is>
          <t>Montale</t>
        </is>
      </c>
      <c r="E458" s="58" t="n"/>
      <c r="F458" s="58" t="inlineStr">
        <is>
          <t>Fragrance</t>
        </is>
      </c>
      <c r="G458" s="58" t="inlineStr">
        <is>
          <t>Eau de Parfum (EDP)</t>
        </is>
      </c>
      <c r="H458" s="58" t="inlineStr">
        <is>
          <t>Oud · Women's Fragrance</t>
        </is>
      </c>
      <c r="I458" s="58" t="inlineStr">
        <is>
          <t>Montale Aoud Damascus Eau de Parfum 100ml – Women's Rose Oud Longlasting Fragrance</t>
        </is>
      </c>
      <c r="J458" s="58" t="inlineStr">
        <is>
          <t>100ml</t>
        </is>
      </c>
      <c r="K458" s="58" t="n">
        <v>52.99</v>
      </c>
      <c r="L458" s="58" t="inlineStr">
        <is>
          <t>montale aoud damascus</t>
        </is>
      </c>
      <c r="M458" s="58" t="inlineStr">
        <is>
          <t>montale aoud damascus uk</t>
        </is>
      </c>
      <c r="N458" s="58" t="inlineStr">
        <is>
          <t>buy montale aoud damascus online</t>
        </is>
      </c>
      <c r="O458" s="58" t="inlineStr">
        <is>
          <t>montale aoud damascus price</t>
        </is>
      </c>
      <c r="P458" s="58" t="inlineStr">
        <is>
          <t>montale aoud damascus eau de parfum</t>
        </is>
      </c>
      <c r="Q458" s="59">
        <f>IF(L458="","",IFERROR(INDEX('Semrush Data'!$A$1:$Z$20000,MATCH(L458,'Semrush Data'!$A$1:$A$20000,0),MATCH("Volume",'Semrush Data'!$A$1:$Z$1,0)),""))</f>
        <v/>
      </c>
      <c r="R458" s="59">
        <f>IF(M458="","",IFERROR(INDEX('Semrush Data'!$A$1:$Z$20000,MATCH(M458,'Semrush Data'!$A$1:$A$20000,0),MATCH("Volume",'Semrush Data'!$A$1:$Z$1,0)),""))</f>
        <v/>
      </c>
      <c r="S458" s="59">
        <f>IF(N458="","",IFERROR(INDEX('Semrush Data'!$A$1:$Z$20000,MATCH(N458,'Semrush Data'!$A$1:$A$20000,0),MATCH("Volume",'Semrush Data'!$A$1:$Z$1,0)),""))</f>
        <v/>
      </c>
      <c r="T458" s="59">
        <f>IF(O458="","",IFERROR(INDEX('Semrush Data'!$A$1:$Z$20000,MATCH(O458,'Semrush Data'!$A$1:$A$20000,0),MATCH("Volume",'Semrush Data'!$A$1:$Z$1,0)),""))</f>
        <v/>
      </c>
      <c r="U458" s="59">
        <f>IF(P458="","",IFERROR(INDEX('Semrush Data'!$A$1:$Z$20000,MATCH(P458,'Semrush Data'!$A$1:$A$20000,0),MATCH("Volume",'Semrush Data'!$A$1:$Z$1,0)),""))</f>
        <v/>
      </c>
      <c r="V458" s="60">
        <f>IF(COUNT(Q458:U458)=0,L458,IF(MAX(Q458:U458)=0,L458,INDEX(L458:P458,MATCH(MAX(Q458:U458),Q458:U458,0))))</f>
        <v/>
      </c>
      <c r="W458" s="59">
        <f>IFERROR(INDEX('Semrush Data'!$A$1:$Z$20000,MATCH(V458,'Semrush Data'!$A$1:$A$20000,0),MATCH("Volume",'Semrush Data'!$A$1:$Z$1,0)),"")</f>
        <v/>
      </c>
      <c r="X458" s="59">
        <f>IFERROR(INDEX('Semrush Data'!$A$1:$Z$20000,MATCH(V458,'Semrush Data'!$A$1:$A$20000,0),MATCH("Keyword Difficulty*",'Semrush Data'!$A$1:$Z$1,0)),"")</f>
        <v/>
      </c>
      <c r="Y458" s="61">
        <f>IFERROR(INDEX('Semrush Data'!$A$1:$Z$20000,MATCH(V458,'Semrush Data'!$A$1:$A$20000,0),MATCH("CPC*",'Semrush Data'!$A$1:$Z$1,0)),"")</f>
        <v/>
      </c>
      <c r="Z458" s="58" t="inlineStr">
        <is>
          <t>montale perfume · montale perfume for women · oud perfume for women uk</t>
        </is>
      </c>
      <c r="AA458" s="58" t="inlineStr">
        <is>
          <t>montale aoud damascus eau de parfum · montale aoud damascus edp · montale aoud damascus review · montale aoud damascus edp 100ml · montale aoud damascus perfume · montale aoud damascus отзывы</t>
        </is>
      </c>
      <c r="AB458" s="58" t="inlineStr">
        <is>
          <t>Montale Aoud Damascus Eau de Parfum</t>
        </is>
      </c>
      <c r="AC458" s="58" t="inlineStr">
        <is>
          <t>Montale Aoud Damascus EDP 100ml | Buy Online UK | Swansura</t>
        </is>
      </c>
      <c r="AD458" s="58">
        <f>LEN(AC458)</f>
        <v/>
      </c>
      <c r="AE458" s="58" t="inlineStr">
        <is>
          <t>Buy Montale Aoud Damascus Eau de Parfum online in the UK at Swansura. An oud women's eau de parfum, 100ml. 100% authentic, fast UK delivery, free over £50.</t>
        </is>
      </c>
      <c r="AF458" s="58">
        <f>LEN(AE458)</f>
        <v/>
      </c>
    </row>
    <row r="459" ht="15" customHeight="1" s="37">
      <c r="A459" s="58" t="inlineStr">
        <is>
          <t>FR-299</t>
        </is>
      </c>
      <c r="B459" s="58" t="inlineStr">
        <is>
          <t>Fragrance Catalogue</t>
        </is>
      </c>
      <c r="C459" s="58" t="n">
        <v>299</v>
      </c>
      <c r="D459" s="58" t="inlineStr">
        <is>
          <t>Montale</t>
        </is>
      </c>
      <c r="E459" s="58" t="n"/>
      <c r="F459" s="58" t="inlineStr">
        <is>
          <t>Fragrance</t>
        </is>
      </c>
      <c r="G459" s="58" t="inlineStr">
        <is>
          <t>Eau de Parfum (EDP)</t>
        </is>
      </c>
      <c r="H459" s="58" t="inlineStr">
        <is>
          <t>Oud · Unisex Fragrance</t>
        </is>
      </c>
      <c r="I459" s="58" t="inlineStr">
        <is>
          <t>Montale Aoud Safran Eau de Parfum 100ml – Luxury Unisex Saffron Oud Fragrance</t>
        </is>
      </c>
      <c r="J459" s="58" t="inlineStr">
        <is>
          <t>100ml</t>
        </is>
      </c>
      <c r="K459" s="58" t="n">
        <v>54.99</v>
      </c>
      <c r="L459" s="58" t="inlineStr">
        <is>
          <t>montale aoud safran</t>
        </is>
      </c>
      <c r="M459" s="58" t="inlineStr">
        <is>
          <t>montale aoud safran uk</t>
        </is>
      </c>
      <c r="N459" s="58" t="inlineStr">
        <is>
          <t>buy montale aoud safran online</t>
        </is>
      </c>
      <c r="O459" s="58" t="inlineStr">
        <is>
          <t>montale aoud safran price</t>
        </is>
      </c>
      <c r="P459" s="58" t="inlineStr">
        <is>
          <t>montale aoud safran eau de parfum</t>
        </is>
      </c>
      <c r="Q459" s="59">
        <f>IF(L459="","",IFERROR(INDEX('Semrush Data'!$A$1:$Z$20000,MATCH(L459,'Semrush Data'!$A$1:$A$20000,0),MATCH("Volume",'Semrush Data'!$A$1:$Z$1,0)),""))</f>
        <v/>
      </c>
      <c r="R459" s="59">
        <f>IF(M459="","",IFERROR(INDEX('Semrush Data'!$A$1:$Z$20000,MATCH(M459,'Semrush Data'!$A$1:$A$20000,0),MATCH("Volume",'Semrush Data'!$A$1:$Z$1,0)),""))</f>
        <v/>
      </c>
      <c r="S459" s="59">
        <f>IF(N459="","",IFERROR(INDEX('Semrush Data'!$A$1:$Z$20000,MATCH(N459,'Semrush Data'!$A$1:$A$20000,0),MATCH("Volume",'Semrush Data'!$A$1:$Z$1,0)),""))</f>
        <v/>
      </c>
      <c r="T459" s="59">
        <f>IF(O459="","",IFERROR(INDEX('Semrush Data'!$A$1:$Z$20000,MATCH(O459,'Semrush Data'!$A$1:$A$20000,0),MATCH("Volume",'Semrush Data'!$A$1:$Z$1,0)),""))</f>
        <v/>
      </c>
      <c r="U459" s="59">
        <f>IF(P459="","",IFERROR(INDEX('Semrush Data'!$A$1:$Z$20000,MATCH(P459,'Semrush Data'!$A$1:$A$20000,0),MATCH("Volume",'Semrush Data'!$A$1:$Z$1,0)),""))</f>
        <v/>
      </c>
      <c r="V459" s="60">
        <f>IF(COUNT(Q459:U459)=0,L459,IF(MAX(Q459:U459)=0,L459,INDEX(L459:P459,MATCH(MAX(Q459:U459),Q459:U459,0))))</f>
        <v/>
      </c>
      <c r="W459" s="59">
        <f>IFERROR(INDEX('Semrush Data'!$A$1:$Z$20000,MATCH(V459,'Semrush Data'!$A$1:$A$20000,0),MATCH("Volume",'Semrush Data'!$A$1:$Z$1,0)),"")</f>
        <v/>
      </c>
      <c r="X459" s="59">
        <f>IFERROR(INDEX('Semrush Data'!$A$1:$Z$20000,MATCH(V459,'Semrush Data'!$A$1:$A$20000,0),MATCH("Keyword Difficulty*",'Semrush Data'!$A$1:$Z$1,0)),"")</f>
        <v/>
      </c>
      <c r="Y459" s="61">
        <f>IFERROR(INDEX('Semrush Data'!$A$1:$Z$20000,MATCH(V459,'Semrush Data'!$A$1:$A$20000,0),MATCH("CPC*",'Semrush Data'!$A$1:$Z$1,0)),"")</f>
        <v/>
      </c>
      <c r="Z459" s="58" t="inlineStr">
        <is>
          <t>montale perfume · oud perfume uk</t>
        </is>
      </c>
      <c r="AA459" s="58" t="inlineStr">
        <is>
          <t>montale aoud safran review · montale aoud safran edp · montale aoud safran notes · montale aoud safran отзывы · montale aoud safran eau de parfum · montale aoud safran edp 100ml</t>
        </is>
      </c>
      <c r="AB459" s="58" t="inlineStr">
        <is>
          <t>Montale Aoud Safran Eau de Parfum</t>
        </is>
      </c>
      <c r="AC459" s="58" t="inlineStr">
        <is>
          <t>Montale Aoud Safran Eau de Parfum | Buy Online UK | Swansura</t>
        </is>
      </c>
      <c r="AD459" s="58">
        <f>LEN(AC459)</f>
        <v/>
      </c>
      <c r="AE459" s="58" t="inlineStr">
        <is>
          <t>Buy Montale Aoud Safran Eau de Parfum online in the UK at Swansura. An oud unisex eau de parfum, 100ml. 100% authentic, fast UK delivery, free over £50.</t>
        </is>
      </c>
      <c r="AF459" s="58">
        <f>LEN(AE459)</f>
        <v/>
      </c>
    </row>
    <row r="460" ht="15" customHeight="1" s="37">
      <c r="A460" s="58" t="inlineStr">
        <is>
          <t>FR-300</t>
        </is>
      </c>
      <c r="B460" s="58" t="inlineStr">
        <is>
          <t>Fragrance Catalogue</t>
        </is>
      </c>
      <c r="C460" s="58" t="n">
        <v>300</v>
      </c>
      <c r="D460" s="58" t="inlineStr">
        <is>
          <t>Nina Ricci</t>
        </is>
      </c>
      <c r="E460" s="58" t="n"/>
      <c r="F460" s="58" t="inlineStr">
        <is>
          <t>Fragrance</t>
        </is>
      </c>
      <c r="G460" s="58" t="inlineStr">
        <is>
          <t>Eau de Parfum (EDP)</t>
        </is>
      </c>
      <c r="H460" s="58" t="inlineStr">
        <is>
          <t>Floral · Women's Fragrance</t>
        </is>
      </c>
      <c r="I460" s="58" t="inlineStr">
        <is>
          <t>Nina Ricci Nina Illusion Eau de Parfum 50ml – Women's Floral Fruity Fragrance</t>
        </is>
      </c>
      <c r="J460" s="58" t="inlineStr">
        <is>
          <t>50ml</t>
        </is>
      </c>
      <c r="K460" s="58" t="n">
        <v>38.99</v>
      </c>
      <c r="L460" s="58" t="inlineStr">
        <is>
          <t>nina ricci nina illusion</t>
        </is>
      </c>
      <c r="M460" s="58" t="inlineStr">
        <is>
          <t>nina ricci nina illusion uk</t>
        </is>
      </c>
      <c r="N460" s="58" t="inlineStr">
        <is>
          <t>buy nina ricci nina illusion online</t>
        </is>
      </c>
      <c r="O460" s="58" t="inlineStr">
        <is>
          <t>nina ricci nina illusion price</t>
        </is>
      </c>
      <c r="P460" s="58" t="inlineStr">
        <is>
          <t>nina ricci nina illusion eau de parfum</t>
        </is>
      </c>
      <c r="Q460" s="59">
        <f>IF(L460="","",IFERROR(INDEX('Semrush Data'!$A$1:$Z$20000,MATCH(L460,'Semrush Data'!$A$1:$A$20000,0),MATCH("Volume",'Semrush Data'!$A$1:$Z$1,0)),""))</f>
        <v/>
      </c>
      <c r="R460" s="59">
        <f>IF(M460="","",IFERROR(INDEX('Semrush Data'!$A$1:$Z$20000,MATCH(M460,'Semrush Data'!$A$1:$A$20000,0),MATCH("Volume",'Semrush Data'!$A$1:$Z$1,0)),""))</f>
        <v/>
      </c>
      <c r="S460" s="59">
        <f>IF(N460="","",IFERROR(INDEX('Semrush Data'!$A$1:$Z$20000,MATCH(N460,'Semrush Data'!$A$1:$A$20000,0),MATCH("Volume",'Semrush Data'!$A$1:$Z$1,0)),""))</f>
        <v/>
      </c>
      <c r="T460" s="59">
        <f>IF(O460="","",IFERROR(INDEX('Semrush Data'!$A$1:$Z$20000,MATCH(O460,'Semrush Data'!$A$1:$A$20000,0),MATCH("Volume",'Semrush Data'!$A$1:$Z$1,0)),""))</f>
        <v/>
      </c>
      <c r="U460" s="59">
        <f>IF(P460="","",IFERROR(INDEX('Semrush Data'!$A$1:$Z$20000,MATCH(P460,'Semrush Data'!$A$1:$A$20000,0),MATCH("Volume",'Semrush Data'!$A$1:$Z$1,0)),""))</f>
        <v/>
      </c>
      <c r="V460" s="60">
        <f>IF(COUNT(Q460:U460)=0,L460,IF(MAX(Q460:U460)=0,L460,INDEX(L460:P460,MATCH(MAX(Q460:U460),Q460:U460,0))))</f>
        <v/>
      </c>
      <c r="W460" s="59">
        <f>IFERROR(INDEX('Semrush Data'!$A$1:$Z$20000,MATCH(V460,'Semrush Data'!$A$1:$A$20000,0),MATCH("Volume",'Semrush Data'!$A$1:$Z$1,0)),"")</f>
        <v/>
      </c>
      <c r="X460" s="59">
        <f>IFERROR(INDEX('Semrush Data'!$A$1:$Z$20000,MATCH(V460,'Semrush Data'!$A$1:$A$20000,0),MATCH("Keyword Difficulty*",'Semrush Data'!$A$1:$Z$1,0)),"")</f>
        <v/>
      </c>
      <c r="Y460" s="61">
        <f>IFERROR(INDEX('Semrush Data'!$A$1:$Z$20000,MATCH(V460,'Semrush Data'!$A$1:$A$20000,0),MATCH("CPC*",'Semrush Data'!$A$1:$Z$1,0)),"")</f>
        <v/>
      </c>
      <c r="Z460" s="58" t="inlineStr">
        <is>
          <t>nina ricci perfume · nina ricci perfume for women · floral perfume for women uk</t>
        </is>
      </c>
      <c r="AA460" s="58" t="inlineStr">
        <is>
          <t>nina ricci nina illusion eau de parfum · nina ricci nina illusion review · nina ricci nina illusion отзывы · nina ricci nina illusion edp · nina ricci nina illusion eau de parfum 30 ml · nina ricci nina illusion купить</t>
        </is>
      </c>
      <c r="AB460" s="58" t="inlineStr">
        <is>
          <t>Nina Ricci Nina Illusion Eau de Parfum</t>
        </is>
      </c>
      <c r="AC460" s="58" t="inlineStr">
        <is>
          <t>Nina Ricci Nina Illusion EDP 50ml | Buy Online UK | Swansura</t>
        </is>
      </c>
      <c r="AD460" s="58">
        <f>LEN(AC460)</f>
        <v/>
      </c>
      <c r="AE460" s="58" t="inlineStr">
        <is>
          <t>Buy Nina Ricci Nina Illusion Eau de Parfum online in the UK at Swansura. A floral women's eau de parfum, 50ml. 100% authentic, fast UK delivery, free over £50.</t>
        </is>
      </c>
      <c r="AF460" s="58">
        <f>LEN(AE460)</f>
        <v/>
      </c>
    </row>
    <row r="461" ht="15" customHeight="1" s="37">
      <c r="A461" s="58" t="inlineStr">
        <is>
          <t>FR-301</t>
        </is>
      </c>
      <c r="B461" s="58" t="inlineStr">
        <is>
          <t>Fragrance Catalogue</t>
        </is>
      </c>
      <c r="C461" s="58" t="n">
        <v>301</v>
      </c>
      <c r="D461" s="58" t="inlineStr">
        <is>
          <t>Nina Ricci</t>
        </is>
      </c>
      <c r="E461" s="58" t="n"/>
      <c r="F461" s="58" t="inlineStr">
        <is>
          <t>Fragrance</t>
        </is>
      </c>
      <c r="G461" s="58" t="inlineStr">
        <is>
          <t>Eau de Parfum (EDP)</t>
        </is>
      </c>
      <c r="H461" s="58" t="inlineStr">
        <is>
          <t>Floral · Women's Fragrance</t>
        </is>
      </c>
      <c r="I461" s="58" t="inlineStr">
        <is>
          <t>Nina Ricci Nina Precious Gold Eau de Parfum 50ml – Women's Floral Gourmand Fragrance</t>
        </is>
      </c>
      <c r="J461" s="58" t="inlineStr">
        <is>
          <t>50ml</t>
        </is>
      </c>
      <c r="K461" s="58" t="n">
        <v>40.99</v>
      </c>
      <c r="L461" s="58" t="inlineStr">
        <is>
          <t>nina ricci nina precious gold</t>
        </is>
      </c>
      <c r="M461" s="58" t="inlineStr">
        <is>
          <t>nina ricci nina precious gold uk</t>
        </is>
      </c>
      <c r="N461" s="58" t="inlineStr">
        <is>
          <t>buy nina ricci nina precious gold online</t>
        </is>
      </c>
      <c r="O461" s="58" t="inlineStr">
        <is>
          <t>nina ricci nina precious gold price</t>
        </is>
      </c>
      <c r="P461" s="58" t="inlineStr">
        <is>
          <t>nina ricci nina precious gold eau de parfum</t>
        </is>
      </c>
      <c r="Q461" s="59">
        <f>IF(L461="","",IFERROR(INDEX('Semrush Data'!$A$1:$Z$20000,MATCH(L461,'Semrush Data'!$A$1:$A$20000,0),MATCH("Volume",'Semrush Data'!$A$1:$Z$1,0)),""))</f>
        <v/>
      </c>
      <c r="R461" s="59">
        <f>IF(M461="","",IFERROR(INDEX('Semrush Data'!$A$1:$Z$20000,MATCH(M461,'Semrush Data'!$A$1:$A$20000,0),MATCH("Volume",'Semrush Data'!$A$1:$Z$1,0)),""))</f>
        <v/>
      </c>
      <c r="S461" s="59">
        <f>IF(N461="","",IFERROR(INDEX('Semrush Data'!$A$1:$Z$20000,MATCH(N461,'Semrush Data'!$A$1:$A$20000,0),MATCH("Volume",'Semrush Data'!$A$1:$Z$1,0)),""))</f>
        <v/>
      </c>
      <c r="T461" s="59">
        <f>IF(O461="","",IFERROR(INDEX('Semrush Data'!$A$1:$Z$20000,MATCH(O461,'Semrush Data'!$A$1:$A$20000,0),MATCH("Volume",'Semrush Data'!$A$1:$Z$1,0)),""))</f>
        <v/>
      </c>
      <c r="U461" s="59">
        <f>IF(P461="","",IFERROR(INDEX('Semrush Data'!$A$1:$Z$20000,MATCH(P461,'Semrush Data'!$A$1:$A$20000,0),MATCH("Volume",'Semrush Data'!$A$1:$Z$1,0)),""))</f>
        <v/>
      </c>
      <c r="V461" s="60">
        <f>IF(COUNT(Q461:U461)=0,L461,IF(MAX(Q461:U461)=0,L461,INDEX(L461:P461,MATCH(MAX(Q461:U461),Q461:U461,0))))</f>
        <v/>
      </c>
      <c r="W461" s="59">
        <f>IFERROR(INDEX('Semrush Data'!$A$1:$Z$20000,MATCH(V461,'Semrush Data'!$A$1:$A$20000,0),MATCH("Volume",'Semrush Data'!$A$1:$Z$1,0)),"")</f>
        <v/>
      </c>
      <c r="X461" s="59">
        <f>IFERROR(INDEX('Semrush Data'!$A$1:$Z$20000,MATCH(V461,'Semrush Data'!$A$1:$A$20000,0),MATCH("Keyword Difficulty*",'Semrush Data'!$A$1:$Z$1,0)),"")</f>
        <v/>
      </c>
      <c r="Y461" s="61">
        <f>IFERROR(INDEX('Semrush Data'!$A$1:$Z$20000,MATCH(V461,'Semrush Data'!$A$1:$A$20000,0),MATCH("CPC*",'Semrush Data'!$A$1:$Z$1,0)),"")</f>
        <v/>
      </c>
      <c r="Z461" s="58" t="inlineStr">
        <is>
          <t>nina ricci perfume · nina ricci perfume for women · floral perfume for women uk</t>
        </is>
      </c>
      <c r="AA461" s="58" t="inlineStr">
        <is>
          <t>nina ricci nina precious gold eau de parfum · nina ricci nina precious gold edp · nina ricci precious gold notes · nina ricci perfume precious gold · nina ricci precious gold отзывы · nina ricci precious gold 50ml</t>
        </is>
      </c>
      <c r="AB461" s="58" t="inlineStr">
        <is>
          <t>Nina Ricci Nina Precious Gold Eau de Parfum</t>
        </is>
      </c>
      <c r="AC461" s="58" t="inlineStr">
        <is>
          <t>Nina Ricci Nina Precious Gold Eau de Parfum | Swansura UK</t>
        </is>
      </c>
      <c r="AD461" s="58">
        <f>LEN(AC461)</f>
        <v/>
      </c>
      <c r="AE461" s="58" t="inlineStr">
        <is>
          <t>Buy Nina Ricci Nina Precious Gold Eau de Parfum online in the UK at Swansura. A floral women's eau de parfum, 50ml. 100% authentic, free UK delivery over £50.</t>
        </is>
      </c>
      <c r="AF461" s="58">
        <f>LEN(AE461)</f>
        <v/>
      </c>
    </row>
    <row r="462" ht="15" customHeight="1" s="37">
      <c r="A462" s="58" t="inlineStr">
        <is>
          <t>FR-302</t>
        </is>
      </c>
      <c r="B462" s="58" t="inlineStr">
        <is>
          <t>Fragrance Catalogue</t>
        </is>
      </c>
      <c r="C462" s="58" t="n">
        <v>302</v>
      </c>
      <c r="D462" s="58" t="inlineStr">
        <is>
          <t>Nina Ricci</t>
        </is>
      </c>
      <c r="E462" s="58" t="n"/>
      <c r="F462" s="58" t="inlineStr">
        <is>
          <t>Fragrance</t>
        </is>
      </c>
      <c r="G462" s="58" t="inlineStr">
        <is>
          <t>Eau de Toilette (EDT)</t>
        </is>
      </c>
      <c r="H462" s="58" t="inlineStr">
        <is>
          <t>Floral · Women's Fragrance</t>
        </is>
      </c>
      <c r="I462" s="58" t="inlineStr">
        <is>
          <t>Nina Ricci L'Air du Temps Eau de Toilette– Women's Floral Fragrance</t>
        </is>
      </c>
      <c r="J462" s="58" t="inlineStr">
        <is>
          <t>100ml</t>
        </is>
      </c>
      <c r="K462" s="58" t="n">
        <v>43.99</v>
      </c>
      <c r="L462" s="58" t="inlineStr">
        <is>
          <t>nina ricci l'air du temps</t>
        </is>
      </c>
      <c r="M462" s="58" t="inlineStr">
        <is>
          <t>nina ricci l'air du temps uk</t>
        </is>
      </c>
      <c r="N462" s="58" t="inlineStr">
        <is>
          <t>buy nina ricci l'air du temps online</t>
        </is>
      </c>
      <c r="O462" s="58" t="inlineStr">
        <is>
          <t>nina ricci l'air du temps price</t>
        </is>
      </c>
      <c r="P462" s="58" t="inlineStr">
        <is>
          <t>nina ricci l'air du temps eau de toilette</t>
        </is>
      </c>
      <c r="Q462" s="59">
        <f>IF(L462="","",IFERROR(INDEX('Semrush Data'!$A$1:$Z$20000,MATCH(L462,'Semrush Data'!$A$1:$A$20000,0),MATCH("Volume",'Semrush Data'!$A$1:$Z$1,0)),""))</f>
        <v/>
      </c>
      <c r="R462" s="59">
        <f>IF(M462="","",IFERROR(INDEX('Semrush Data'!$A$1:$Z$20000,MATCH(M462,'Semrush Data'!$A$1:$A$20000,0),MATCH("Volume",'Semrush Data'!$A$1:$Z$1,0)),""))</f>
        <v/>
      </c>
      <c r="S462" s="59">
        <f>IF(N462="","",IFERROR(INDEX('Semrush Data'!$A$1:$Z$20000,MATCH(N462,'Semrush Data'!$A$1:$A$20000,0),MATCH("Volume",'Semrush Data'!$A$1:$Z$1,0)),""))</f>
        <v/>
      </c>
      <c r="T462" s="59">
        <f>IF(O462="","",IFERROR(INDEX('Semrush Data'!$A$1:$Z$20000,MATCH(O462,'Semrush Data'!$A$1:$A$20000,0),MATCH("Volume",'Semrush Data'!$A$1:$Z$1,0)),""))</f>
        <v/>
      </c>
      <c r="U462" s="59">
        <f>IF(P462="","",IFERROR(INDEX('Semrush Data'!$A$1:$Z$20000,MATCH(P462,'Semrush Data'!$A$1:$A$20000,0),MATCH("Volume",'Semrush Data'!$A$1:$Z$1,0)),""))</f>
        <v/>
      </c>
      <c r="V462" s="60">
        <f>IF(COUNT(Q462:U462)=0,L462,IF(MAX(Q462:U462)=0,L462,INDEX(L462:P462,MATCH(MAX(Q462:U462),Q462:U462,0))))</f>
        <v/>
      </c>
      <c r="W462" s="59">
        <f>IFERROR(INDEX('Semrush Data'!$A$1:$Z$20000,MATCH(V462,'Semrush Data'!$A$1:$A$20000,0),MATCH("Volume",'Semrush Data'!$A$1:$Z$1,0)),"")</f>
        <v/>
      </c>
      <c r="X462" s="59">
        <f>IFERROR(INDEX('Semrush Data'!$A$1:$Z$20000,MATCH(V462,'Semrush Data'!$A$1:$A$20000,0),MATCH("Keyword Difficulty*",'Semrush Data'!$A$1:$Z$1,0)),"")</f>
        <v/>
      </c>
      <c r="Y462" s="61">
        <f>IFERROR(INDEX('Semrush Data'!$A$1:$Z$20000,MATCH(V462,'Semrush Data'!$A$1:$A$20000,0),MATCH("CPC*",'Semrush Data'!$A$1:$Z$1,0)),"")</f>
        <v/>
      </c>
      <c r="Z462" s="58" t="inlineStr">
        <is>
          <t>nina ricci perfume · nina ricci perfume for women · floral perfume for women uk</t>
        </is>
      </c>
      <c r="AA462" s="58" t="inlineStr">
        <is>
          <t>nina ricci l'air du temps perfume · nina ricci l'air du temps eau de parfum · nina ricci l'air du temps 100ml · nina ricci l'air du temps notes</t>
        </is>
      </c>
      <c r="AB462" s="58" t="inlineStr">
        <is>
          <t>Nina Ricci L'Air du Temps Eau de Toilette</t>
        </is>
      </c>
      <c r="AC462" s="58" t="inlineStr">
        <is>
          <t>Nina Ricci L'Air du Temps Eau de Toilette | Swansura UK</t>
        </is>
      </c>
      <c r="AD462" s="58">
        <f>LEN(AC462)</f>
        <v/>
      </c>
      <c r="AE462" s="58" t="inlineStr">
        <is>
          <t>Buy Nina Ricci L'Air du Temps Eau de Toilette online in the UK at Swansura. A floral women's eau de toilette, 100ml. 100% authentic, free UK delivery over £50.</t>
        </is>
      </c>
      <c r="AF462" s="58">
        <f>LEN(AE462)</f>
        <v/>
      </c>
    </row>
    <row r="463" ht="15" customHeight="1" s="37">
      <c r="A463" s="58" t="inlineStr">
        <is>
          <t>FR-303</t>
        </is>
      </c>
      <c r="B463" s="58" t="inlineStr">
        <is>
          <t>Fragrance Catalogue</t>
        </is>
      </c>
      <c r="C463" s="58" t="n">
        <v>303</v>
      </c>
      <c r="D463" s="58" t="inlineStr">
        <is>
          <t>Nina Ricci</t>
        </is>
      </c>
      <c r="E463" s="58" t="n"/>
      <c r="F463" s="58" t="inlineStr">
        <is>
          <t>Fragrance</t>
        </is>
      </c>
      <c r="G463" s="58" t="inlineStr">
        <is>
          <t>Eau de Toilette (EDT)</t>
        </is>
      </c>
      <c r="H463" s="58" t="inlineStr">
        <is>
          <t>Floral · Women's Fragrance</t>
        </is>
      </c>
      <c r="I463" s="58" t="inlineStr">
        <is>
          <t>Nina Ricci L'Air du Temps Eau de Toilette– Women's Floral Fragrance</t>
        </is>
      </c>
      <c r="J463" s="58" t="inlineStr">
        <is>
          <t>100ml</t>
        </is>
      </c>
      <c r="K463" s="58" t="n">
        <v>28.99</v>
      </c>
      <c r="L463" s="58" t="inlineStr">
        <is>
          <t>nina ricci l'air du temps</t>
        </is>
      </c>
      <c r="M463" s="58" t="inlineStr">
        <is>
          <t>nina ricci l'air du temps uk</t>
        </is>
      </c>
      <c r="N463" s="58" t="inlineStr">
        <is>
          <t>buy nina ricci l'air du temps online</t>
        </is>
      </c>
      <c r="O463" s="58" t="inlineStr">
        <is>
          <t>nina ricci l'air du temps price</t>
        </is>
      </c>
      <c r="P463" s="58" t="inlineStr">
        <is>
          <t>nina ricci l'air du temps eau de toilette</t>
        </is>
      </c>
      <c r="Q463" s="59">
        <f>IF(L463="","",IFERROR(INDEX('Semrush Data'!$A$1:$Z$20000,MATCH(L463,'Semrush Data'!$A$1:$A$20000,0),MATCH("Volume",'Semrush Data'!$A$1:$Z$1,0)),""))</f>
        <v/>
      </c>
      <c r="R463" s="59">
        <f>IF(M463="","",IFERROR(INDEX('Semrush Data'!$A$1:$Z$20000,MATCH(M463,'Semrush Data'!$A$1:$A$20000,0),MATCH("Volume",'Semrush Data'!$A$1:$Z$1,0)),""))</f>
        <v/>
      </c>
      <c r="S463" s="59">
        <f>IF(N463="","",IFERROR(INDEX('Semrush Data'!$A$1:$Z$20000,MATCH(N463,'Semrush Data'!$A$1:$A$20000,0),MATCH("Volume",'Semrush Data'!$A$1:$Z$1,0)),""))</f>
        <v/>
      </c>
      <c r="T463" s="59">
        <f>IF(O463="","",IFERROR(INDEX('Semrush Data'!$A$1:$Z$20000,MATCH(O463,'Semrush Data'!$A$1:$A$20000,0),MATCH("Volume",'Semrush Data'!$A$1:$Z$1,0)),""))</f>
        <v/>
      </c>
      <c r="U463" s="59">
        <f>IF(P463="","",IFERROR(INDEX('Semrush Data'!$A$1:$Z$20000,MATCH(P463,'Semrush Data'!$A$1:$A$20000,0),MATCH("Volume",'Semrush Data'!$A$1:$Z$1,0)),""))</f>
        <v/>
      </c>
      <c r="V463" s="60">
        <f>IF(COUNT(Q463:U463)=0,L463,IF(MAX(Q463:U463)=0,L463,INDEX(L463:P463,MATCH(MAX(Q463:U463),Q463:U463,0))))</f>
        <v/>
      </c>
      <c r="W463" s="59">
        <f>IFERROR(INDEX('Semrush Data'!$A$1:$Z$20000,MATCH(V463,'Semrush Data'!$A$1:$A$20000,0),MATCH("Volume",'Semrush Data'!$A$1:$Z$1,0)),"")</f>
        <v/>
      </c>
      <c r="X463" s="59">
        <f>IFERROR(INDEX('Semrush Data'!$A$1:$Z$20000,MATCH(V463,'Semrush Data'!$A$1:$A$20000,0),MATCH("Keyword Difficulty*",'Semrush Data'!$A$1:$Z$1,0)),"")</f>
        <v/>
      </c>
      <c r="Y463" s="61">
        <f>IFERROR(INDEX('Semrush Data'!$A$1:$Z$20000,MATCH(V463,'Semrush Data'!$A$1:$A$20000,0),MATCH("CPC*",'Semrush Data'!$A$1:$Z$1,0)),"")</f>
        <v/>
      </c>
      <c r="Z463" s="58" t="inlineStr">
        <is>
          <t>nina ricci perfume · nina ricci perfume for women · floral perfume for women uk</t>
        </is>
      </c>
      <c r="AA463" s="58" t="inlineStr">
        <is>
          <t>nina ricci l'air du temps perfume · nina ricci l'air du temps eau de parfum · nina ricci l'air du temps 100ml · nina ricci l'air du temps notes</t>
        </is>
      </c>
      <c r="AB463" s="58" t="inlineStr">
        <is>
          <t>Nina Ricci L'Air du Temps Eau de Toilette</t>
        </is>
      </c>
      <c r="AC463" s="58" t="inlineStr">
        <is>
          <t>Nina Ricci L'Air du Temps Eau de Toilette | Swansura UK</t>
        </is>
      </c>
      <c r="AD463" s="58">
        <f>LEN(AC463)</f>
        <v/>
      </c>
      <c r="AE463" s="58" t="inlineStr">
        <is>
          <t>Buy Nina Ricci L'Air du Temps Eau de Toilette online in the UK at Swansura. A floral women's eau de toilette, 100ml. 100% authentic, free UK delivery over £50.</t>
        </is>
      </c>
      <c r="AF463" s="58">
        <f>LEN(AE463)</f>
        <v/>
      </c>
    </row>
    <row r="464" ht="15" customHeight="1" s="37">
      <c r="A464" s="58" t="inlineStr">
        <is>
          <t>FR-304</t>
        </is>
      </c>
      <c r="B464" s="58" t="inlineStr">
        <is>
          <t>Fragrance Catalogue</t>
        </is>
      </c>
      <c r="C464" s="58" t="n">
        <v>304</v>
      </c>
      <c r="D464" s="58" t="inlineStr">
        <is>
          <t>Paloma</t>
        </is>
      </c>
      <c r="E464" s="58" t="n"/>
      <c r="F464" s="58" t="inlineStr">
        <is>
          <t>Fragrance</t>
        </is>
      </c>
      <c r="G464" s="58" t="inlineStr">
        <is>
          <t>Eau de Toilette (EDT)</t>
        </is>
      </c>
      <c r="H464" s="58" t="inlineStr">
        <is>
          <t>Floral · Women's Fragrance</t>
        </is>
      </c>
      <c r="I464" s="58" t="inlineStr">
        <is>
          <t>Paloma Picasso Eau de Toilette 100ml – Women's Chypre Floral Fragrance</t>
        </is>
      </c>
      <c r="J464" s="58" t="inlineStr">
        <is>
          <t>100ml</t>
        </is>
      </c>
      <c r="K464" s="58" t="n">
        <v>37.99</v>
      </c>
      <c r="L464" s="58" t="inlineStr">
        <is>
          <t>paloma picasso</t>
        </is>
      </c>
      <c r="M464" s="58" t="inlineStr">
        <is>
          <t>paloma picasso uk</t>
        </is>
      </c>
      <c r="N464" s="58" t="inlineStr">
        <is>
          <t>buy paloma picasso online</t>
        </is>
      </c>
      <c r="O464" s="58" t="inlineStr">
        <is>
          <t>paloma picasso price</t>
        </is>
      </c>
      <c r="P464" s="58" t="inlineStr">
        <is>
          <t>paloma picasso eau de toilette</t>
        </is>
      </c>
      <c r="Q464" s="59">
        <f>IF(L464="","",IFERROR(INDEX('Semrush Data'!$A$1:$Z$20000,MATCH(L464,'Semrush Data'!$A$1:$A$20000,0),MATCH("Volume",'Semrush Data'!$A$1:$Z$1,0)),""))</f>
        <v/>
      </c>
      <c r="R464" s="59">
        <f>IF(M464="","",IFERROR(INDEX('Semrush Data'!$A$1:$Z$20000,MATCH(M464,'Semrush Data'!$A$1:$A$20000,0),MATCH("Volume",'Semrush Data'!$A$1:$Z$1,0)),""))</f>
        <v/>
      </c>
      <c r="S464" s="59">
        <f>IF(N464="","",IFERROR(INDEX('Semrush Data'!$A$1:$Z$20000,MATCH(N464,'Semrush Data'!$A$1:$A$20000,0),MATCH("Volume",'Semrush Data'!$A$1:$Z$1,0)),""))</f>
        <v/>
      </c>
      <c r="T464" s="59">
        <f>IF(O464="","",IFERROR(INDEX('Semrush Data'!$A$1:$Z$20000,MATCH(O464,'Semrush Data'!$A$1:$A$20000,0),MATCH("Volume",'Semrush Data'!$A$1:$Z$1,0)),""))</f>
        <v/>
      </c>
      <c r="U464" s="59">
        <f>IF(P464="","",IFERROR(INDEX('Semrush Data'!$A$1:$Z$20000,MATCH(P464,'Semrush Data'!$A$1:$A$20000,0),MATCH("Volume",'Semrush Data'!$A$1:$Z$1,0)),""))</f>
        <v/>
      </c>
      <c r="V464" s="60">
        <f>IF(COUNT(Q464:U464)=0,L464,IF(MAX(Q464:U464)=0,L464,INDEX(L464:P464,MATCH(MAX(Q464:U464),Q464:U464,0))))</f>
        <v/>
      </c>
      <c r="W464" s="59">
        <f>IFERROR(INDEX('Semrush Data'!$A$1:$Z$20000,MATCH(V464,'Semrush Data'!$A$1:$A$20000,0),MATCH("Volume",'Semrush Data'!$A$1:$Z$1,0)),"")</f>
        <v/>
      </c>
      <c r="X464" s="59">
        <f>IFERROR(INDEX('Semrush Data'!$A$1:$Z$20000,MATCH(V464,'Semrush Data'!$A$1:$A$20000,0),MATCH("Keyword Difficulty*",'Semrush Data'!$A$1:$Z$1,0)),"")</f>
        <v/>
      </c>
      <c r="Y464" s="61">
        <f>IFERROR(INDEX('Semrush Data'!$A$1:$Z$20000,MATCH(V464,'Semrush Data'!$A$1:$A$20000,0),MATCH("CPC*",'Semrush Data'!$A$1:$Z$1,0)),"")</f>
        <v/>
      </c>
      <c r="Z464" s="58" t="inlineStr">
        <is>
          <t>paloma perfume · paloma perfume for women · floral perfume for women uk</t>
        </is>
      </c>
      <c r="AA464" s="58" t="inlineStr">
        <is>
          <t>paloma picasso perfume · paloma picasso perfume 100ml · paloma picasso eau de parfum</t>
        </is>
      </c>
      <c r="AB464" s="58" t="inlineStr">
        <is>
          <t>Paloma Picasso Eau de Toilette</t>
        </is>
      </c>
      <c r="AC464" s="58" t="inlineStr">
        <is>
          <t>Paloma Picasso Eau de Toilette | Buy Online UK | Swansura</t>
        </is>
      </c>
      <c r="AD464" s="58">
        <f>LEN(AC464)</f>
        <v/>
      </c>
      <c r="AE464" s="58" t="inlineStr">
        <is>
          <t>Buy Paloma Picasso Eau de Toilette online in the UK at Swansura. A floral women's eau de toilette, 100ml. 100% authentic, fast UK delivery, free over £50.</t>
        </is>
      </c>
      <c r="AF464" s="58">
        <f>LEN(AE464)</f>
        <v/>
      </c>
    </row>
    <row r="465" ht="15" customHeight="1" s="37">
      <c r="A465" s="58" t="inlineStr">
        <is>
          <t>FR-305</t>
        </is>
      </c>
      <c r="B465" s="58" t="inlineStr">
        <is>
          <t>Fragrance Catalogue</t>
        </is>
      </c>
      <c r="C465" s="58" t="n">
        <v>305</v>
      </c>
      <c r="D465" s="58" t="inlineStr">
        <is>
          <t>phillip plein</t>
        </is>
      </c>
      <c r="E465" s="58" t="inlineStr">
        <is>
          <t>Spelling: Philipp Plein</t>
        </is>
      </c>
      <c r="F465" s="58" t="inlineStr">
        <is>
          <t>Fragrance</t>
        </is>
      </c>
      <c r="G465" s="58" t="inlineStr">
        <is>
          <t>Deodorant</t>
        </is>
      </c>
      <c r="H465" s="58" t="inlineStr">
        <is>
          <t>Woody · Men's Fragrance</t>
        </is>
      </c>
      <c r="I465" s="58" t="inlineStr">
        <is>
          <t>Philipp Plein No Limits Deodorant Stick 75g – Men's Fragranced Deodorant</t>
        </is>
      </c>
      <c r="J465" s="58" t="inlineStr">
        <is>
          <t>75g</t>
        </is>
      </c>
      <c r="K465" s="58" t="n">
        <v>16.99</v>
      </c>
      <c r="L465" s="58" t="inlineStr">
        <is>
          <t>philipp plein no limits deodorant stick</t>
        </is>
      </c>
      <c r="M465" s="58" t="inlineStr">
        <is>
          <t>philipp plein no limits deodorant stick uk</t>
        </is>
      </c>
      <c r="N465" s="58" t="inlineStr">
        <is>
          <t>buy philipp plein no limits deodorant stick online</t>
        </is>
      </c>
      <c r="O465" s="58" t="inlineStr">
        <is>
          <t>philipp plein no limits deodorant stick price</t>
        </is>
      </c>
      <c r="P465" s="58" t="n"/>
      <c r="Q465" s="59">
        <f>IF(L465="","",IFERROR(INDEX('Semrush Data'!$A$1:$Z$20000,MATCH(L465,'Semrush Data'!$A$1:$A$20000,0),MATCH("Volume",'Semrush Data'!$A$1:$Z$1,0)),""))</f>
        <v/>
      </c>
      <c r="R465" s="59">
        <f>IF(M465="","",IFERROR(INDEX('Semrush Data'!$A$1:$Z$20000,MATCH(M465,'Semrush Data'!$A$1:$A$20000,0),MATCH("Volume",'Semrush Data'!$A$1:$Z$1,0)),""))</f>
        <v/>
      </c>
      <c r="S465" s="59">
        <f>IF(N465="","",IFERROR(INDEX('Semrush Data'!$A$1:$Z$20000,MATCH(N465,'Semrush Data'!$A$1:$A$20000,0),MATCH("Volume",'Semrush Data'!$A$1:$Z$1,0)),""))</f>
        <v/>
      </c>
      <c r="T465" s="59">
        <f>IF(O465="","",IFERROR(INDEX('Semrush Data'!$A$1:$Z$20000,MATCH(O465,'Semrush Data'!$A$1:$A$20000,0),MATCH("Volume",'Semrush Data'!$A$1:$Z$1,0)),""))</f>
        <v/>
      </c>
      <c r="U465" s="59">
        <f>IF(P465="","",IFERROR(INDEX('Semrush Data'!$A$1:$Z$20000,MATCH(P465,'Semrush Data'!$A$1:$A$20000,0),MATCH("Volume",'Semrush Data'!$A$1:$Z$1,0)),""))</f>
        <v/>
      </c>
      <c r="V465" s="60">
        <f>IF(COUNT(Q465:U465)=0,L465,IF(MAX(Q465:U465)=0,L465,INDEX(L465:P465,MATCH(MAX(Q465:U465),Q465:U465,0))))</f>
        <v/>
      </c>
      <c r="W465" s="59">
        <f>IFERROR(INDEX('Semrush Data'!$A$1:$Z$20000,MATCH(V465,'Semrush Data'!$A$1:$A$20000,0),MATCH("Volume",'Semrush Data'!$A$1:$Z$1,0)),"")</f>
        <v/>
      </c>
      <c r="X465" s="59">
        <f>IFERROR(INDEX('Semrush Data'!$A$1:$Z$20000,MATCH(V465,'Semrush Data'!$A$1:$A$20000,0),MATCH("Keyword Difficulty*",'Semrush Data'!$A$1:$Z$1,0)),"")</f>
        <v/>
      </c>
      <c r="Y465" s="61">
        <f>IFERROR(INDEX('Semrush Data'!$A$1:$Z$20000,MATCH(V465,'Semrush Data'!$A$1:$A$20000,0),MATCH("CPC*",'Semrush Data'!$A$1:$Z$1,0)),"")</f>
        <v/>
      </c>
      <c r="Z465" s="58" t="inlineStr">
        <is>
          <t>philipp plein perfume · philipp plein perfume for men · woody perfume for men uk</t>
        </is>
      </c>
      <c r="AA465" s="58" t="n"/>
      <c r="AB465" s="58" t="inlineStr">
        <is>
          <t>Philipp Plein No Limits Deodorant Stick</t>
        </is>
      </c>
      <c r="AC465" s="58" t="inlineStr">
        <is>
          <t>Philipp Plein No Limits Deodorant Stick | Swansura UK</t>
        </is>
      </c>
      <c r="AD465" s="58">
        <f>LEN(AC465)</f>
        <v/>
      </c>
      <c r="AE465" s="58" t="inlineStr">
        <is>
          <t>Buy Philipp Plein No Limits Deodorant Stick online in the UK at Swansura. A woody men's fragrance, 75g. 100% authentic, fast UK delivery, free over £50.</t>
        </is>
      </c>
      <c r="AF465" s="58">
        <f>LEN(AE465)</f>
        <v/>
      </c>
    </row>
    <row r="466" ht="15" customHeight="1" s="37">
      <c r="A466" s="58" t="inlineStr">
        <is>
          <t>FR-306</t>
        </is>
      </c>
      <c r="B466" s="58" t="inlineStr">
        <is>
          <t>Fragrance Catalogue</t>
        </is>
      </c>
      <c r="C466" s="58" t="n">
        <v>306</v>
      </c>
      <c r="D466" s="58" t="inlineStr">
        <is>
          <t>phillip plein</t>
        </is>
      </c>
      <c r="E466" s="58" t="inlineStr">
        <is>
          <t>Spelling: Philipp Plein</t>
        </is>
      </c>
      <c r="F466" s="58" t="inlineStr">
        <is>
          <t>Fragrance</t>
        </is>
      </c>
      <c r="G466" s="58" t="inlineStr">
        <is>
          <t>Eau de Toilette (EDT)</t>
        </is>
      </c>
      <c r="H466" s="58" t="inlineStr">
        <is>
          <t>Woody · Men's Fragrance</t>
        </is>
      </c>
      <c r="I466" s="58" t="inlineStr">
        <is>
          <t>Philipp Plein No Limits Super Fresh Eau de Toilette 50ml – Men's Fresh Woody Leather Fragrance</t>
        </is>
      </c>
      <c r="J466" s="58" t="inlineStr">
        <is>
          <t>50ml</t>
        </is>
      </c>
      <c r="K466" s="58" t="n">
        <v>25.99</v>
      </c>
      <c r="L466" s="58" t="inlineStr">
        <is>
          <t>philipp plein no limits super fresh</t>
        </is>
      </c>
      <c r="M466" s="58" t="inlineStr">
        <is>
          <t>philipp plein no limits super fresh uk</t>
        </is>
      </c>
      <c r="N466" s="58" t="inlineStr">
        <is>
          <t>buy philipp plein no limits super fresh online</t>
        </is>
      </c>
      <c r="O466" s="58" t="inlineStr">
        <is>
          <t>philipp plein no limits super fresh price</t>
        </is>
      </c>
      <c r="P466" s="58" t="inlineStr">
        <is>
          <t>philipp plein no limits super fresh eau de toilette</t>
        </is>
      </c>
      <c r="Q466" s="59">
        <f>IF(L466="","",IFERROR(INDEX('Semrush Data'!$A$1:$Z$20000,MATCH(L466,'Semrush Data'!$A$1:$A$20000,0),MATCH("Volume",'Semrush Data'!$A$1:$Z$1,0)),""))</f>
        <v/>
      </c>
      <c r="R466" s="59">
        <f>IF(M466="","",IFERROR(INDEX('Semrush Data'!$A$1:$Z$20000,MATCH(M466,'Semrush Data'!$A$1:$A$20000,0),MATCH("Volume",'Semrush Data'!$A$1:$Z$1,0)),""))</f>
        <v/>
      </c>
      <c r="S466" s="59">
        <f>IF(N466="","",IFERROR(INDEX('Semrush Data'!$A$1:$Z$20000,MATCH(N466,'Semrush Data'!$A$1:$A$20000,0),MATCH("Volume",'Semrush Data'!$A$1:$Z$1,0)),""))</f>
        <v/>
      </c>
      <c r="T466" s="59">
        <f>IF(O466="","",IFERROR(INDEX('Semrush Data'!$A$1:$Z$20000,MATCH(O466,'Semrush Data'!$A$1:$A$20000,0),MATCH("Volume",'Semrush Data'!$A$1:$Z$1,0)),""))</f>
        <v/>
      </c>
      <c r="U466" s="59">
        <f>IF(P466="","",IFERROR(INDEX('Semrush Data'!$A$1:$Z$20000,MATCH(P466,'Semrush Data'!$A$1:$A$20000,0),MATCH("Volume",'Semrush Data'!$A$1:$Z$1,0)),""))</f>
        <v/>
      </c>
      <c r="V466" s="60">
        <f>IF(COUNT(Q466:U466)=0,L466,IF(MAX(Q466:U466)=0,L466,INDEX(L466:P466,MATCH(MAX(Q466:U466),Q466:U466,0))))</f>
        <v/>
      </c>
      <c r="W466" s="59">
        <f>IFERROR(INDEX('Semrush Data'!$A$1:$Z$20000,MATCH(V466,'Semrush Data'!$A$1:$A$20000,0),MATCH("Volume",'Semrush Data'!$A$1:$Z$1,0)),"")</f>
        <v/>
      </c>
      <c r="X466" s="59">
        <f>IFERROR(INDEX('Semrush Data'!$A$1:$Z$20000,MATCH(V466,'Semrush Data'!$A$1:$A$20000,0),MATCH("Keyword Difficulty*",'Semrush Data'!$A$1:$Z$1,0)),"")</f>
        <v/>
      </c>
      <c r="Y466" s="61">
        <f>IFERROR(INDEX('Semrush Data'!$A$1:$Z$20000,MATCH(V466,'Semrush Data'!$A$1:$A$20000,0),MATCH("CPC*",'Semrush Data'!$A$1:$Z$1,0)),"")</f>
        <v/>
      </c>
      <c r="Z466" s="58" t="inlineStr">
        <is>
          <t>philipp plein perfume · philipp plein perfume for men · woody perfume for men uk</t>
        </is>
      </c>
      <c r="AA466" s="58" t="n"/>
      <c r="AB466" s="58" t="inlineStr">
        <is>
          <t>Philipp Plein No Limits Super Fresh Eau de Toilette</t>
        </is>
      </c>
      <c r="AC466" s="58" t="inlineStr">
        <is>
          <t>Philipp Plein No Limits Super Fresh EDT 50ml | Swansura UK</t>
        </is>
      </c>
      <c r="AD466" s="58">
        <f>LEN(AC466)</f>
        <v/>
      </c>
      <c r="AE466" s="58" t="inlineStr">
        <is>
          <t>Buy Philipp Plein No Limits Super Fresh Eau de Toilette online in the UK at Swansura. A woody men's eau de toilette. 100% authentic, free UK delivery over £50.</t>
        </is>
      </c>
      <c r="AF466" s="58">
        <f>LEN(AE466)</f>
        <v/>
      </c>
    </row>
    <row r="467" ht="15" customHeight="1" s="37">
      <c r="A467" s="58" t="inlineStr">
        <is>
          <t>FR-307</t>
        </is>
      </c>
      <c r="B467" s="58" t="inlineStr">
        <is>
          <t>Fragrance Catalogue</t>
        </is>
      </c>
      <c r="C467" s="58" t="n">
        <v>307</v>
      </c>
      <c r="D467" s="58" t="inlineStr">
        <is>
          <t>phillip plein</t>
        </is>
      </c>
      <c r="E467" s="58" t="inlineStr">
        <is>
          <t>Spelling: Philipp Plein</t>
        </is>
      </c>
      <c r="F467" s="58" t="inlineStr">
        <is>
          <t>Fragrance</t>
        </is>
      </c>
      <c r="G467" s="58" t="inlineStr">
        <is>
          <t>Aftershave Balm</t>
        </is>
      </c>
      <c r="H467" s="58" t="inlineStr">
        <is>
          <t>Woody · Men's Fragrance</t>
        </is>
      </c>
      <c r="I467" s="58" t="inlineStr">
        <is>
          <t>Philipp Plein No Limits After Shave Balm 150ml – Men's Grooming &amp; Fragrance Care</t>
        </is>
      </c>
      <c r="J467" s="58" t="inlineStr">
        <is>
          <t>150ml</t>
        </is>
      </c>
      <c r="K467" s="58" t="n">
        <v>23.99</v>
      </c>
      <c r="L467" s="58" t="inlineStr">
        <is>
          <t>philipp plein no limits after shave balm</t>
        </is>
      </c>
      <c r="M467" s="58" t="inlineStr">
        <is>
          <t>philipp plein no limits after shave balm uk</t>
        </is>
      </c>
      <c r="N467" s="58" t="inlineStr">
        <is>
          <t>buy philipp plein no limits after shave balm online</t>
        </is>
      </c>
      <c r="O467" s="58" t="inlineStr">
        <is>
          <t>philipp plein no limits after shave balm price</t>
        </is>
      </c>
      <c r="P467" s="58" t="n"/>
      <c r="Q467" s="59">
        <f>IF(L467="","",IFERROR(INDEX('Semrush Data'!$A$1:$Z$20000,MATCH(L467,'Semrush Data'!$A$1:$A$20000,0),MATCH("Volume",'Semrush Data'!$A$1:$Z$1,0)),""))</f>
        <v/>
      </c>
      <c r="R467" s="59">
        <f>IF(M467="","",IFERROR(INDEX('Semrush Data'!$A$1:$Z$20000,MATCH(M467,'Semrush Data'!$A$1:$A$20000,0),MATCH("Volume",'Semrush Data'!$A$1:$Z$1,0)),""))</f>
        <v/>
      </c>
      <c r="S467" s="59">
        <f>IF(N467="","",IFERROR(INDEX('Semrush Data'!$A$1:$Z$20000,MATCH(N467,'Semrush Data'!$A$1:$A$20000,0),MATCH("Volume",'Semrush Data'!$A$1:$Z$1,0)),""))</f>
        <v/>
      </c>
      <c r="T467" s="59">
        <f>IF(O467="","",IFERROR(INDEX('Semrush Data'!$A$1:$Z$20000,MATCH(O467,'Semrush Data'!$A$1:$A$20000,0),MATCH("Volume",'Semrush Data'!$A$1:$Z$1,0)),""))</f>
        <v/>
      </c>
      <c r="U467" s="59">
        <f>IF(P467="","",IFERROR(INDEX('Semrush Data'!$A$1:$Z$20000,MATCH(P467,'Semrush Data'!$A$1:$A$20000,0),MATCH("Volume",'Semrush Data'!$A$1:$Z$1,0)),""))</f>
        <v/>
      </c>
      <c r="V467" s="60">
        <f>IF(COUNT(Q467:U467)=0,L467,IF(MAX(Q467:U467)=0,L467,INDEX(L467:P467,MATCH(MAX(Q467:U467),Q467:U467,0))))</f>
        <v/>
      </c>
      <c r="W467" s="59">
        <f>IFERROR(INDEX('Semrush Data'!$A$1:$Z$20000,MATCH(V467,'Semrush Data'!$A$1:$A$20000,0),MATCH("Volume",'Semrush Data'!$A$1:$Z$1,0)),"")</f>
        <v/>
      </c>
      <c r="X467" s="59">
        <f>IFERROR(INDEX('Semrush Data'!$A$1:$Z$20000,MATCH(V467,'Semrush Data'!$A$1:$A$20000,0),MATCH("Keyword Difficulty*",'Semrush Data'!$A$1:$Z$1,0)),"")</f>
        <v/>
      </c>
      <c r="Y467" s="61">
        <f>IFERROR(INDEX('Semrush Data'!$A$1:$Z$20000,MATCH(V467,'Semrush Data'!$A$1:$A$20000,0),MATCH("CPC*",'Semrush Data'!$A$1:$Z$1,0)),"")</f>
        <v/>
      </c>
      <c r="Z467" s="58" t="inlineStr">
        <is>
          <t>philipp plein perfume · philipp plein perfume for men · woody perfume for men uk</t>
        </is>
      </c>
      <c r="AA467" s="58" t="n"/>
      <c r="AB467" s="58" t="inlineStr">
        <is>
          <t>Philipp Plein No Limits After Shave Balm</t>
        </is>
      </c>
      <c r="AC467" s="58" t="inlineStr">
        <is>
          <t>Philipp Plein No Limits After Shave Balm | Swansura UK</t>
        </is>
      </c>
      <c r="AD467" s="58">
        <f>LEN(AC467)</f>
        <v/>
      </c>
      <c r="AE467" s="58" t="inlineStr">
        <is>
          <t>Buy Philipp Plein No Limits After Shave Balm online in the UK at Swansura. A woody men's fragrance, 150ml. 100% authentic, fast UK delivery, free over £50.</t>
        </is>
      </c>
      <c r="AF467" s="58">
        <f>LEN(AE467)</f>
        <v/>
      </c>
    </row>
    <row r="468" ht="15" customHeight="1" s="37">
      <c r="A468" s="58" t="inlineStr">
        <is>
          <t>FR-308</t>
        </is>
      </c>
      <c r="B468" s="58" t="inlineStr">
        <is>
          <t>Fragrance Catalogue</t>
        </is>
      </c>
      <c r="C468" s="58" t="n">
        <v>308</v>
      </c>
      <c r="D468" s="58" t="inlineStr">
        <is>
          <t>Rihanah</t>
        </is>
      </c>
      <c r="E468" s="58" t="n"/>
      <c r="F468" s="58" t="inlineStr">
        <is>
          <t>Fragrance</t>
        </is>
      </c>
      <c r="G468" s="58" t="inlineStr">
        <is>
          <t>Eau de Parfum (EDP)</t>
        </is>
      </c>
      <c r="H468" s="58" t="inlineStr">
        <is>
          <t>Oud · Unisex Fragrance</t>
        </is>
      </c>
      <c r="I468" s="58" t="inlineStr">
        <is>
          <t>Rihanah Ajwaa Oud Eau De Parfum Spray (Unisex) 100ml</t>
        </is>
      </c>
      <c r="J468" s="58" t="inlineStr">
        <is>
          <t>100ml</t>
        </is>
      </c>
      <c r="K468" s="58" t="n">
        <v>17.99</v>
      </c>
      <c r="L468" s="58" t="inlineStr">
        <is>
          <t>rihanah ajwaa oud</t>
        </is>
      </c>
      <c r="M468" s="58" t="inlineStr">
        <is>
          <t>rihanah ajwaa oud uk</t>
        </is>
      </c>
      <c r="N468" s="58" t="inlineStr">
        <is>
          <t>buy rihanah ajwaa oud online</t>
        </is>
      </c>
      <c r="O468" s="58" t="inlineStr">
        <is>
          <t>rihanah ajwaa oud price</t>
        </is>
      </c>
      <c r="P468" s="58" t="inlineStr">
        <is>
          <t>rihanah ajwaa oud eau de parfum</t>
        </is>
      </c>
      <c r="Q468" s="59">
        <f>IF(L468="","",IFERROR(INDEX('Semrush Data'!$A$1:$Z$20000,MATCH(L468,'Semrush Data'!$A$1:$A$20000,0),MATCH("Volume",'Semrush Data'!$A$1:$Z$1,0)),""))</f>
        <v/>
      </c>
      <c r="R468" s="59">
        <f>IF(M468="","",IFERROR(INDEX('Semrush Data'!$A$1:$Z$20000,MATCH(M468,'Semrush Data'!$A$1:$A$20000,0),MATCH("Volume",'Semrush Data'!$A$1:$Z$1,0)),""))</f>
        <v/>
      </c>
      <c r="S468" s="59">
        <f>IF(N468="","",IFERROR(INDEX('Semrush Data'!$A$1:$Z$20000,MATCH(N468,'Semrush Data'!$A$1:$A$20000,0),MATCH("Volume",'Semrush Data'!$A$1:$Z$1,0)),""))</f>
        <v/>
      </c>
      <c r="T468" s="59">
        <f>IF(O468="","",IFERROR(INDEX('Semrush Data'!$A$1:$Z$20000,MATCH(O468,'Semrush Data'!$A$1:$A$20000,0),MATCH("Volume",'Semrush Data'!$A$1:$Z$1,0)),""))</f>
        <v/>
      </c>
      <c r="U468" s="59">
        <f>IF(P468="","",IFERROR(INDEX('Semrush Data'!$A$1:$Z$20000,MATCH(P468,'Semrush Data'!$A$1:$A$20000,0),MATCH("Volume",'Semrush Data'!$A$1:$Z$1,0)),""))</f>
        <v/>
      </c>
      <c r="V468" s="60">
        <f>IF(COUNT(Q468:U468)=0,L468,IF(MAX(Q468:U468)=0,L468,INDEX(L468:P468,MATCH(MAX(Q468:U468),Q468:U468,0))))</f>
        <v/>
      </c>
      <c r="W468" s="59">
        <f>IFERROR(INDEX('Semrush Data'!$A$1:$Z$20000,MATCH(V468,'Semrush Data'!$A$1:$A$20000,0),MATCH("Volume",'Semrush Data'!$A$1:$Z$1,0)),"")</f>
        <v/>
      </c>
      <c r="X468" s="59">
        <f>IFERROR(INDEX('Semrush Data'!$A$1:$Z$20000,MATCH(V468,'Semrush Data'!$A$1:$A$20000,0),MATCH("Keyword Difficulty*",'Semrush Data'!$A$1:$Z$1,0)),"")</f>
        <v/>
      </c>
      <c r="Y468" s="61">
        <f>IFERROR(INDEX('Semrush Data'!$A$1:$Z$20000,MATCH(V468,'Semrush Data'!$A$1:$A$20000,0),MATCH("CPC*",'Semrush Data'!$A$1:$Z$1,0)),"")</f>
        <v/>
      </c>
      <c r="Z468" s="58" t="inlineStr">
        <is>
          <t>rihanah perfume · oud perfume uk</t>
        </is>
      </c>
      <c r="AA468" s="58" t="n"/>
      <c r="AB468" s="58" t="inlineStr">
        <is>
          <t>Rihanah Ajwaa Oud Eau De Parfum Spray (Unisex)</t>
        </is>
      </c>
      <c r="AC468" s="58" t="inlineStr">
        <is>
          <t>Rihanah Ajwaa Oud Eau De Parfum Spray (Unisex) | Swansura UK</t>
        </is>
      </c>
      <c r="AD468" s="58">
        <f>LEN(AC468)</f>
        <v/>
      </c>
      <c r="AE468" s="58" t="inlineStr">
        <is>
          <t>Buy Rihanah Ajwaa Oud Eau De Parfum Spray (Unisex) online in the UK at Swansura. An oud unisex eau de parfum, 100ml. 100% authentic, free UK delivery over £50.</t>
        </is>
      </c>
      <c r="AF468" s="58">
        <f>LEN(AE468)</f>
        <v/>
      </c>
    </row>
    <row r="469" ht="15" customHeight="1" s="37">
      <c r="A469" s="58" t="inlineStr">
        <is>
          <t>FR-309</t>
        </is>
      </c>
      <c r="B469" s="58" t="inlineStr">
        <is>
          <t>Fragrance Catalogue</t>
        </is>
      </c>
      <c r="C469" s="58" t="n">
        <v>309</v>
      </c>
      <c r="D469" s="58" t="inlineStr">
        <is>
          <t>S.T. Dupont</t>
        </is>
      </c>
      <c r="E469" s="58" t="n"/>
      <c r="F469" s="58" t="inlineStr">
        <is>
          <t>Fragrance</t>
        </is>
      </c>
      <c r="G469" s="58" t="inlineStr">
        <is>
          <t>Eau de Parfum (EDP)</t>
        </is>
      </c>
      <c r="H469" s="58" t="inlineStr">
        <is>
          <t>Woody · Unisex Fragrance</t>
        </is>
      </c>
      <c r="I469" s="58" t="inlineStr">
        <is>
          <t>S.T. Dupont Perfect Tobacco Eau de Parfum 100ml – Unisex Woody Spicy Tobacco Fragrance</t>
        </is>
      </c>
      <c r="J469" s="58" t="inlineStr">
        <is>
          <t>100ml</t>
        </is>
      </c>
      <c r="K469" s="58" t="n">
        <v>43.99</v>
      </c>
      <c r="L469" s="58" t="inlineStr">
        <is>
          <t>s.t. dupont perfect tobacco</t>
        </is>
      </c>
      <c r="M469" s="58" t="inlineStr">
        <is>
          <t>s.t. dupont perfect tobacco uk</t>
        </is>
      </c>
      <c r="N469" s="58" t="inlineStr">
        <is>
          <t>buy s.t. dupont perfect tobacco online</t>
        </is>
      </c>
      <c r="O469" s="58" t="inlineStr">
        <is>
          <t>s.t. dupont perfect tobacco price</t>
        </is>
      </c>
      <c r="P469" s="58" t="inlineStr">
        <is>
          <t>s.t. dupont perfect tobacco eau de parfum</t>
        </is>
      </c>
      <c r="Q469" s="59">
        <f>IF(L469="","",IFERROR(INDEX('Semrush Data'!$A$1:$Z$20000,MATCH(L469,'Semrush Data'!$A$1:$A$20000,0),MATCH("Volume",'Semrush Data'!$A$1:$Z$1,0)),""))</f>
        <v/>
      </c>
      <c r="R469" s="59">
        <f>IF(M469="","",IFERROR(INDEX('Semrush Data'!$A$1:$Z$20000,MATCH(M469,'Semrush Data'!$A$1:$A$20000,0),MATCH("Volume",'Semrush Data'!$A$1:$Z$1,0)),""))</f>
        <v/>
      </c>
      <c r="S469" s="59">
        <f>IF(N469="","",IFERROR(INDEX('Semrush Data'!$A$1:$Z$20000,MATCH(N469,'Semrush Data'!$A$1:$A$20000,0),MATCH("Volume",'Semrush Data'!$A$1:$Z$1,0)),""))</f>
        <v/>
      </c>
      <c r="T469" s="59">
        <f>IF(O469="","",IFERROR(INDEX('Semrush Data'!$A$1:$Z$20000,MATCH(O469,'Semrush Data'!$A$1:$A$20000,0),MATCH("Volume",'Semrush Data'!$A$1:$Z$1,0)),""))</f>
        <v/>
      </c>
      <c r="U469" s="59">
        <f>IF(P469="","",IFERROR(INDEX('Semrush Data'!$A$1:$Z$20000,MATCH(P469,'Semrush Data'!$A$1:$A$20000,0),MATCH("Volume",'Semrush Data'!$A$1:$Z$1,0)),""))</f>
        <v/>
      </c>
      <c r="V469" s="60">
        <f>IF(COUNT(Q469:U469)=0,L469,IF(MAX(Q469:U469)=0,L469,INDEX(L469:P469,MATCH(MAX(Q469:U469),Q469:U469,0))))</f>
        <v/>
      </c>
      <c r="W469" s="59">
        <f>IFERROR(INDEX('Semrush Data'!$A$1:$Z$20000,MATCH(V469,'Semrush Data'!$A$1:$A$20000,0),MATCH("Volume",'Semrush Data'!$A$1:$Z$1,0)),"")</f>
        <v/>
      </c>
      <c r="X469" s="59">
        <f>IFERROR(INDEX('Semrush Data'!$A$1:$Z$20000,MATCH(V469,'Semrush Data'!$A$1:$A$20000,0),MATCH("Keyword Difficulty*",'Semrush Data'!$A$1:$Z$1,0)),"")</f>
        <v/>
      </c>
      <c r="Y469" s="61">
        <f>IFERROR(INDEX('Semrush Data'!$A$1:$Z$20000,MATCH(V469,'Semrush Data'!$A$1:$A$20000,0),MATCH("CPC*",'Semrush Data'!$A$1:$Z$1,0)),"")</f>
        <v/>
      </c>
      <c r="Z469" s="58" t="inlineStr">
        <is>
          <t>s.t. dupont perfume · woody perfume uk</t>
        </is>
      </c>
      <c r="AA469" s="58" t="n"/>
      <c r="AB469" s="58" t="inlineStr">
        <is>
          <t>S.T. Dupont Perfect Tobacco Eau de Parfum</t>
        </is>
      </c>
      <c r="AC469" s="58" t="inlineStr">
        <is>
          <t>S.T. Dupont Perfect Tobacco Eau de Parfum | Swansura UK</t>
        </is>
      </c>
      <c r="AD469" s="58">
        <f>LEN(AC469)</f>
        <v/>
      </c>
      <c r="AE469" s="58" t="inlineStr">
        <is>
          <t>Buy S.T. Dupont Perfect Tobacco Eau de Parfum online in the UK at Swansura. A woody unisex eau de parfum, 100ml. 100% authentic, free UK delivery over £50.</t>
        </is>
      </c>
      <c r="AF469" s="58">
        <f>LEN(AE469)</f>
        <v/>
      </c>
    </row>
    <row r="470" ht="15" customHeight="1" s="37">
      <c r="A470" s="58" t="inlineStr">
        <is>
          <t>FR-310</t>
        </is>
      </c>
      <c r="B470" s="58" t="inlineStr">
        <is>
          <t>Fragrance Catalogue</t>
        </is>
      </c>
      <c r="C470" s="58" t="n">
        <v>310</v>
      </c>
      <c r="D470" s="58" t="inlineStr">
        <is>
          <t>S.T. Dupont</t>
        </is>
      </c>
      <c r="E470" s="58" t="n"/>
      <c r="F470" s="58" t="inlineStr">
        <is>
          <t>Fragrance</t>
        </is>
      </c>
      <c r="G470" s="58" t="inlineStr">
        <is>
          <t>Eau de Parfum (EDP)</t>
        </is>
      </c>
      <c r="H470" s="58" t="inlineStr">
        <is>
          <t>Floral · Women's Fragrance</t>
        </is>
      </c>
      <c r="I470" s="58" t="inlineStr">
        <is>
          <t>S.T. Dupont Pure Bloom Eau de Parfum 100ml – Women's Floral Fruity Fragrance</t>
        </is>
      </c>
      <c r="J470" s="58" t="inlineStr">
        <is>
          <t>100ml</t>
        </is>
      </c>
      <c r="K470" s="58" t="n">
        <v>43.99</v>
      </c>
      <c r="L470" s="58" t="inlineStr">
        <is>
          <t>s.t. dupont pure bloom</t>
        </is>
      </c>
      <c r="M470" s="58" t="inlineStr">
        <is>
          <t>s.t. dupont pure bloom uk</t>
        </is>
      </c>
      <c r="N470" s="58" t="inlineStr">
        <is>
          <t>buy s.t. dupont pure bloom online</t>
        </is>
      </c>
      <c r="O470" s="58" t="inlineStr">
        <is>
          <t>s.t. dupont pure bloom price</t>
        </is>
      </c>
      <c r="P470" s="58" t="inlineStr">
        <is>
          <t>s.t. dupont pure bloom eau de parfum</t>
        </is>
      </c>
      <c r="Q470" s="59">
        <f>IF(L470="","",IFERROR(INDEX('Semrush Data'!$A$1:$Z$20000,MATCH(L470,'Semrush Data'!$A$1:$A$20000,0),MATCH("Volume",'Semrush Data'!$A$1:$Z$1,0)),""))</f>
        <v/>
      </c>
      <c r="R470" s="59">
        <f>IF(M470="","",IFERROR(INDEX('Semrush Data'!$A$1:$Z$20000,MATCH(M470,'Semrush Data'!$A$1:$A$20000,0),MATCH("Volume",'Semrush Data'!$A$1:$Z$1,0)),""))</f>
        <v/>
      </c>
      <c r="S470" s="59">
        <f>IF(N470="","",IFERROR(INDEX('Semrush Data'!$A$1:$Z$20000,MATCH(N470,'Semrush Data'!$A$1:$A$20000,0),MATCH("Volume",'Semrush Data'!$A$1:$Z$1,0)),""))</f>
        <v/>
      </c>
      <c r="T470" s="59">
        <f>IF(O470="","",IFERROR(INDEX('Semrush Data'!$A$1:$Z$20000,MATCH(O470,'Semrush Data'!$A$1:$A$20000,0),MATCH("Volume",'Semrush Data'!$A$1:$Z$1,0)),""))</f>
        <v/>
      </c>
      <c r="U470" s="59">
        <f>IF(P470="","",IFERROR(INDEX('Semrush Data'!$A$1:$Z$20000,MATCH(P470,'Semrush Data'!$A$1:$A$20000,0),MATCH("Volume",'Semrush Data'!$A$1:$Z$1,0)),""))</f>
        <v/>
      </c>
      <c r="V470" s="60">
        <f>IF(COUNT(Q470:U470)=0,L470,IF(MAX(Q470:U470)=0,L470,INDEX(L470:P470,MATCH(MAX(Q470:U470),Q470:U470,0))))</f>
        <v/>
      </c>
      <c r="W470" s="59">
        <f>IFERROR(INDEX('Semrush Data'!$A$1:$Z$20000,MATCH(V470,'Semrush Data'!$A$1:$A$20000,0),MATCH("Volume",'Semrush Data'!$A$1:$Z$1,0)),"")</f>
        <v/>
      </c>
      <c r="X470" s="59">
        <f>IFERROR(INDEX('Semrush Data'!$A$1:$Z$20000,MATCH(V470,'Semrush Data'!$A$1:$A$20000,0),MATCH("Keyword Difficulty*",'Semrush Data'!$A$1:$Z$1,0)),"")</f>
        <v/>
      </c>
      <c r="Y470" s="61">
        <f>IFERROR(INDEX('Semrush Data'!$A$1:$Z$20000,MATCH(V470,'Semrush Data'!$A$1:$A$20000,0),MATCH("CPC*",'Semrush Data'!$A$1:$Z$1,0)),"")</f>
        <v/>
      </c>
      <c r="Z470" s="58" t="inlineStr">
        <is>
          <t>s.t. dupont perfume · s.t. dupont perfume for women · floral perfume for women uk</t>
        </is>
      </c>
      <c r="AA470" s="58" t="n"/>
      <c r="AB470" s="58" t="inlineStr">
        <is>
          <t>S.T. Dupont Pure Bloom Eau de Parfum</t>
        </is>
      </c>
      <c r="AC470" s="58" t="inlineStr">
        <is>
          <t>S.T. Dupont Pure Bloom EDP 100ml | Buy Online UK | Swansura</t>
        </is>
      </c>
      <c r="AD470" s="58">
        <f>LEN(AC470)</f>
        <v/>
      </c>
      <c r="AE470" s="58" t="inlineStr">
        <is>
          <t>Buy S.T. Dupont Pure Bloom Eau de Parfum online in the UK at Swansura. A floral women's eau de parfum, 100ml. 100% authentic, fast UK delivery, free over £50.</t>
        </is>
      </c>
      <c r="AF470" s="58">
        <f>LEN(AE470)</f>
        <v/>
      </c>
    </row>
    <row r="471" ht="15" customHeight="1" s="37">
      <c r="A471" s="58" t="inlineStr">
        <is>
          <t>FR-311</t>
        </is>
      </c>
      <c r="B471" s="58" t="inlineStr">
        <is>
          <t>Fragrance Catalogue</t>
        </is>
      </c>
      <c r="C471" s="58" t="n">
        <v>311</v>
      </c>
      <c r="D471" s="58" t="inlineStr">
        <is>
          <t>S.T. Dupont</t>
        </is>
      </c>
      <c r="E471" s="58" t="n"/>
      <c r="F471" s="58" t="inlineStr">
        <is>
          <t>Fragrance</t>
        </is>
      </c>
      <c r="G471" s="58" t="inlineStr">
        <is>
          <t>Eau de Parfum (EDP)</t>
        </is>
      </c>
      <c r="H471" s="58" t="inlineStr">
        <is>
          <t>Woody · Unisex Fragrance</t>
        </is>
      </c>
      <c r="I471" s="58" t="inlineStr">
        <is>
          <t>S.T. Dupont Royal Amber Eau de Parfum 100ml – Unisex Amber Woody Fragrance</t>
        </is>
      </c>
      <c r="J471" s="58" t="inlineStr">
        <is>
          <t>100ml</t>
        </is>
      </c>
      <c r="K471" s="58" t="n">
        <v>43.99</v>
      </c>
      <c r="L471" s="58" t="inlineStr">
        <is>
          <t>s.t. dupont royal amber</t>
        </is>
      </c>
      <c r="M471" s="58" t="inlineStr">
        <is>
          <t>s.t. dupont royal amber uk</t>
        </is>
      </c>
      <c r="N471" s="58" t="inlineStr">
        <is>
          <t>buy s.t. dupont royal amber online</t>
        </is>
      </c>
      <c r="O471" s="58" t="inlineStr">
        <is>
          <t>s.t. dupont royal amber price</t>
        </is>
      </c>
      <c r="P471" s="58" t="inlineStr">
        <is>
          <t>s.t. dupont royal amber eau de parfum</t>
        </is>
      </c>
      <c r="Q471" s="59">
        <f>IF(L471="","",IFERROR(INDEX('Semrush Data'!$A$1:$Z$20000,MATCH(L471,'Semrush Data'!$A$1:$A$20000,0),MATCH("Volume",'Semrush Data'!$A$1:$Z$1,0)),""))</f>
        <v/>
      </c>
      <c r="R471" s="59">
        <f>IF(M471="","",IFERROR(INDEX('Semrush Data'!$A$1:$Z$20000,MATCH(M471,'Semrush Data'!$A$1:$A$20000,0),MATCH("Volume",'Semrush Data'!$A$1:$Z$1,0)),""))</f>
        <v/>
      </c>
      <c r="S471" s="59">
        <f>IF(N471="","",IFERROR(INDEX('Semrush Data'!$A$1:$Z$20000,MATCH(N471,'Semrush Data'!$A$1:$A$20000,0),MATCH("Volume",'Semrush Data'!$A$1:$Z$1,0)),""))</f>
        <v/>
      </c>
      <c r="T471" s="59">
        <f>IF(O471="","",IFERROR(INDEX('Semrush Data'!$A$1:$Z$20000,MATCH(O471,'Semrush Data'!$A$1:$A$20000,0),MATCH("Volume",'Semrush Data'!$A$1:$Z$1,0)),""))</f>
        <v/>
      </c>
      <c r="U471" s="59">
        <f>IF(P471="","",IFERROR(INDEX('Semrush Data'!$A$1:$Z$20000,MATCH(P471,'Semrush Data'!$A$1:$A$20000,0),MATCH("Volume",'Semrush Data'!$A$1:$Z$1,0)),""))</f>
        <v/>
      </c>
      <c r="V471" s="60">
        <f>IF(COUNT(Q471:U471)=0,L471,IF(MAX(Q471:U471)=0,L471,INDEX(L471:P471,MATCH(MAX(Q471:U471),Q471:U471,0))))</f>
        <v/>
      </c>
      <c r="W471" s="59">
        <f>IFERROR(INDEX('Semrush Data'!$A$1:$Z$20000,MATCH(V471,'Semrush Data'!$A$1:$A$20000,0),MATCH("Volume",'Semrush Data'!$A$1:$Z$1,0)),"")</f>
        <v/>
      </c>
      <c r="X471" s="59">
        <f>IFERROR(INDEX('Semrush Data'!$A$1:$Z$20000,MATCH(V471,'Semrush Data'!$A$1:$A$20000,0),MATCH("Keyword Difficulty*",'Semrush Data'!$A$1:$Z$1,0)),"")</f>
        <v/>
      </c>
      <c r="Y471" s="61">
        <f>IFERROR(INDEX('Semrush Data'!$A$1:$Z$20000,MATCH(V471,'Semrush Data'!$A$1:$A$20000,0),MATCH("CPC*",'Semrush Data'!$A$1:$Z$1,0)),"")</f>
        <v/>
      </c>
      <c r="Z471" s="58" t="inlineStr">
        <is>
          <t>s.t. dupont perfume · woody perfume uk</t>
        </is>
      </c>
      <c r="AA471" s="58" t="n"/>
      <c r="AB471" s="58" t="inlineStr">
        <is>
          <t>S.T. Dupont Royal Amber Eau de Parfum</t>
        </is>
      </c>
      <c r="AC471" s="58" t="inlineStr">
        <is>
          <t>S.T. Dupont Royal Amber EDP 100ml | Buy Online UK | Swansura</t>
        </is>
      </c>
      <c r="AD471" s="58">
        <f>LEN(AC471)</f>
        <v/>
      </c>
      <c r="AE471" s="58" t="inlineStr">
        <is>
          <t>Buy S.T. Dupont Royal Amber Eau de Parfum online in the UK at Swansura. A woody unisex eau de parfum, 100ml. 100% authentic, fast UK delivery, free over £50.</t>
        </is>
      </c>
      <c r="AF471" s="58">
        <f>LEN(AE471)</f>
        <v/>
      </c>
    </row>
    <row r="472" ht="15" customHeight="1" s="37">
      <c r="A472" s="58" t="inlineStr">
        <is>
          <t>FR-312</t>
        </is>
      </c>
      <c r="B472" s="58" t="inlineStr">
        <is>
          <t>Fragrance Catalogue</t>
        </is>
      </c>
      <c r="C472" s="58" t="n">
        <v>312</v>
      </c>
      <c r="D472" s="58" t="inlineStr">
        <is>
          <t>SAP</t>
        </is>
      </c>
      <c r="E472" s="58" t="n"/>
      <c r="F472" s="58" t="inlineStr">
        <is>
          <t>Fragrance</t>
        </is>
      </c>
      <c r="G472" s="58" t="inlineStr">
        <is>
          <t>Extrait de Parfum</t>
        </is>
      </c>
      <c r="H472" s="58" t="inlineStr">
        <is>
          <t>Amber · Unisex Fragrance</t>
        </is>
      </c>
      <c r="I472" s="58" t="inlineStr">
        <is>
          <t>Sap Le Roi Extrait De Parfum 100ML</t>
        </is>
      </c>
      <c r="J472" s="58" t="inlineStr">
        <is>
          <t>100ml</t>
        </is>
      </c>
      <c r="K472" s="58" t="n">
        <v>37.95</v>
      </c>
      <c r="L472" s="58" t="inlineStr">
        <is>
          <t>sap le roi</t>
        </is>
      </c>
      <c r="M472" s="58" t="inlineStr">
        <is>
          <t>sap le roi uk</t>
        </is>
      </c>
      <c r="N472" s="58" t="inlineStr">
        <is>
          <t>buy sap le roi online</t>
        </is>
      </c>
      <c r="O472" s="58" t="inlineStr">
        <is>
          <t>sap le roi price</t>
        </is>
      </c>
      <c r="P472" s="58" t="inlineStr">
        <is>
          <t>sap le roi extrait de parfum</t>
        </is>
      </c>
      <c r="Q472" s="59">
        <f>IF(L472="","",IFERROR(INDEX('Semrush Data'!$A$1:$Z$20000,MATCH(L472,'Semrush Data'!$A$1:$A$20000,0),MATCH("Volume",'Semrush Data'!$A$1:$Z$1,0)),""))</f>
        <v/>
      </c>
      <c r="R472" s="59">
        <f>IF(M472="","",IFERROR(INDEX('Semrush Data'!$A$1:$Z$20000,MATCH(M472,'Semrush Data'!$A$1:$A$20000,0),MATCH("Volume",'Semrush Data'!$A$1:$Z$1,0)),""))</f>
        <v/>
      </c>
      <c r="S472" s="59">
        <f>IF(N472="","",IFERROR(INDEX('Semrush Data'!$A$1:$Z$20000,MATCH(N472,'Semrush Data'!$A$1:$A$20000,0),MATCH("Volume",'Semrush Data'!$A$1:$Z$1,0)),""))</f>
        <v/>
      </c>
      <c r="T472" s="59">
        <f>IF(O472="","",IFERROR(INDEX('Semrush Data'!$A$1:$Z$20000,MATCH(O472,'Semrush Data'!$A$1:$A$20000,0),MATCH("Volume",'Semrush Data'!$A$1:$Z$1,0)),""))</f>
        <v/>
      </c>
      <c r="U472" s="59">
        <f>IF(P472="","",IFERROR(INDEX('Semrush Data'!$A$1:$Z$20000,MATCH(P472,'Semrush Data'!$A$1:$A$20000,0),MATCH("Volume",'Semrush Data'!$A$1:$Z$1,0)),""))</f>
        <v/>
      </c>
      <c r="V472" s="60">
        <f>IF(COUNT(Q472:U472)=0,L472,IF(MAX(Q472:U472)=0,L472,INDEX(L472:P472,MATCH(MAX(Q472:U472),Q472:U472,0))))</f>
        <v/>
      </c>
      <c r="W472" s="59">
        <f>IFERROR(INDEX('Semrush Data'!$A$1:$Z$20000,MATCH(V472,'Semrush Data'!$A$1:$A$20000,0),MATCH("Volume",'Semrush Data'!$A$1:$Z$1,0)),"")</f>
        <v/>
      </c>
      <c r="X472" s="59">
        <f>IFERROR(INDEX('Semrush Data'!$A$1:$Z$20000,MATCH(V472,'Semrush Data'!$A$1:$A$20000,0),MATCH("Keyword Difficulty*",'Semrush Data'!$A$1:$Z$1,0)),"")</f>
        <v/>
      </c>
      <c r="Y472" s="61">
        <f>IFERROR(INDEX('Semrush Data'!$A$1:$Z$20000,MATCH(V472,'Semrush Data'!$A$1:$A$20000,0),MATCH("CPC*",'Semrush Data'!$A$1:$Z$1,0)),"")</f>
        <v/>
      </c>
      <c r="Z472" s="58" t="inlineStr">
        <is>
          <t>sap perfume · amber perfume uk</t>
        </is>
      </c>
      <c r="AA472" s="58" t="inlineStr">
        <is>
          <t>sap le roi extrait de parfum · sap le roi perfume · sap le roi extrait · sap le roi parfum · sap le roi extrait de parfum 100ml</t>
        </is>
      </c>
      <c r="AB472" s="58" t="inlineStr">
        <is>
          <t>Sap Le Roi Extrait De Parfum</t>
        </is>
      </c>
      <c r="AC472" s="58" t="inlineStr">
        <is>
          <t>Sap Le Roi Extrait De Parfum | Buy Online UK | Swansura</t>
        </is>
      </c>
      <c r="AD472" s="58">
        <f>LEN(AC472)</f>
        <v/>
      </c>
      <c r="AE472" s="58" t="inlineStr">
        <is>
          <t>Buy Sap Le Roi Extrait De Parfum online in the UK at Swansura. An amber unisex extrait de parfum, 100ml. 100% authentic, fast UK delivery, free over £50.</t>
        </is>
      </c>
      <c r="AF472" s="58">
        <f>LEN(AE472)</f>
        <v/>
      </c>
    </row>
    <row r="473" ht="15" customHeight="1" s="37">
      <c r="A473" s="58" t="inlineStr">
        <is>
          <t>FR-313</t>
        </is>
      </c>
      <c r="B473" s="58" t="inlineStr">
        <is>
          <t>Fragrance Catalogue</t>
        </is>
      </c>
      <c r="C473" s="58" t="n">
        <v>313</v>
      </c>
      <c r="D473" s="58" t="inlineStr">
        <is>
          <t>SAP</t>
        </is>
      </c>
      <c r="E473" s="58" t="n"/>
      <c r="F473" s="58" t="inlineStr">
        <is>
          <t>Fragrance</t>
        </is>
      </c>
      <c r="G473" s="58" t="inlineStr">
        <is>
          <t>Extrait de Parfum</t>
        </is>
      </c>
      <c r="H473" s="58" t="inlineStr">
        <is>
          <t>Oud · Unisex Fragrance</t>
        </is>
      </c>
      <c r="I473" s="58" t="inlineStr">
        <is>
          <t>Sap Oud Leopard FR Extrait De Parfum 100ML</t>
        </is>
      </c>
      <c r="J473" s="58" t="inlineStr">
        <is>
          <t>100ml</t>
        </is>
      </c>
      <c r="K473" s="58" t="n">
        <v>37.95</v>
      </c>
      <c r="L473" s="58" t="inlineStr">
        <is>
          <t>sap oud leopard fr</t>
        </is>
      </c>
      <c r="M473" s="58" t="inlineStr">
        <is>
          <t>sap oud leopard fr uk</t>
        </is>
      </c>
      <c r="N473" s="58" t="inlineStr">
        <is>
          <t>buy sap oud leopard fr online</t>
        </is>
      </c>
      <c r="O473" s="58" t="inlineStr">
        <is>
          <t>sap oud leopard fr price</t>
        </is>
      </c>
      <c r="P473" s="58" t="inlineStr">
        <is>
          <t>sap oud leopard fr extrait de parfum</t>
        </is>
      </c>
      <c r="Q473" s="59">
        <f>IF(L473="","",IFERROR(INDEX('Semrush Data'!$A$1:$Z$20000,MATCH(L473,'Semrush Data'!$A$1:$A$20000,0),MATCH("Volume",'Semrush Data'!$A$1:$Z$1,0)),""))</f>
        <v/>
      </c>
      <c r="R473" s="59">
        <f>IF(M473="","",IFERROR(INDEX('Semrush Data'!$A$1:$Z$20000,MATCH(M473,'Semrush Data'!$A$1:$A$20000,0),MATCH("Volume",'Semrush Data'!$A$1:$Z$1,0)),""))</f>
        <v/>
      </c>
      <c r="S473" s="59">
        <f>IF(N473="","",IFERROR(INDEX('Semrush Data'!$A$1:$Z$20000,MATCH(N473,'Semrush Data'!$A$1:$A$20000,0),MATCH("Volume",'Semrush Data'!$A$1:$Z$1,0)),""))</f>
        <v/>
      </c>
      <c r="T473" s="59">
        <f>IF(O473="","",IFERROR(INDEX('Semrush Data'!$A$1:$Z$20000,MATCH(O473,'Semrush Data'!$A$1:$A$20000,0),MATCH("Volume",'Semrush Data'!$A$1:$Z$1,0)),""))</f>
        <v/>
      </c>
      <c r="U473" s="59">
        <f>IF(P473="","",IFERROR(INDEX('Semrush Data'!$A$1:$Z$20000,MATCH(P473,'Semrush Data'!$A$1:$A$20000,0),MATCH("Volume",'Semrush Data'!$A$1:$Z$1,0)),""))</f>
        <v/>
      </c>
      <c r="V473" s="60">
        <f>IF(COUNT(Q473:U473)=0,L473,IF(MAX(Q473:U473)=0,L473,INDEX(L473:P473,MATCH(MAX(Q473:U473),Q473:U473,0))))</f>
        <v/>
      </c>
      <c r="W473" s="59">
        <f>IFERROR(INDEX('Semrush Data'!$A$1:$Z$20000,MATCH(V473,'Semrush Data'!$A$1:$A$20000,0),MATCH("Volume",'Semrush Data'!$A$1:$Z$1,0)),"")</f>
        <v/>
      </c>
      <c r="X473" s="59">
        <f>IFERROR(INDEX('Semrush Data'!$A$1:$Z$20000,MATCH(V473,'Semrush Data'!$A$1:$A$20000,0),MATCH("Keyword Difficulty*",'Semrush Data'!$A$1:$Z$1,0)),"")</f>
        <v/>
      </c>
      <c r="Y473" s="61">
        <f>IFERROR(INDEX('Semrush Data'!$A$1:$Z$20000,MATCH(V473,'Semrush Data'!$A$1:$A$20000,0),MATCH("CPC*",'Semrush Data'!$A$1:$Z$1,0)),"")</f>
        <v/>
      </c>
      <c r="Z473" s="58" t="inlineStr">
        <is>
          <t>sap perfume · oud perfume uk</t>
        </is>
      </c>
      <c r="AA473" s="58" t="n"/>
      <c r="AB473" s="58" t="inlineStr">
        <is>
          <t>Sap Oud Leopard FR Extrait De Parfum</t>
        </is>
      </c>
      <c r="AC473" s="58" t="inlineStr">
        <is>
          <t>Sap Oud Leopard FR Extrait 100ml | Buy Online UK | Swansura</t>
        </is>
      </c>
      <c r="AD473" s="58">
        <f>LEN(AC473)</f>
        <v/>
      </c>
      <c r="AE473" s="58" t="inlineStr">
        <is>
          <t>Buy Sap Oud Leopard FR Extrait De Parfum online in the UK at Swansura. An oud unisex extrait de parfum, 100ml. 100% authentic, fast UK delivery, free over £50.</t>
        </is>
      </c>
      <c r="AF473" s="58">
        <f>LEN(AE473)</f>
        <v/>
      </c>
    </row>
    <row r="474" ht="15" customHeight="1" s="37">
      <c r="A474" s="58" t="inlineStr">
        <is>
          <t>FR-314</t>
        </is>
      </c>
      <c r="B474" s="58" t="inlineStr">
        <is>
          <t>Fragrance Catalogue</t>
        </is>
      </c>
      <c r="C474" s="58" t="n">
        <v>314</v>
      </c>
      <c r="D474" s="58" t="inlineStr">
        <is>
          <t>SAP</t>
        </is>
      </c>
      <c r="E474" s="58" t="n"/>
      <c r="F474" s="58" t="inlineStr">
        <is>
          <t>Fragrance</t>
        </is>
      </c>
      <c r="G474" s="58" t="inlineStr">
        <is>
          <t>Extrait de Parfum</t>
        </is>
      </c>
      <c r="H474" s="58" t="inlineStr">
        <is>
          <t>Woody · Unisex Fragrance</t>
        </is>
      </c>
      <c r="I474" s="58" t="inlineStr">
        <is>
          <t>Sap Patchouli Intense Extrait De Parfum 100ML</t>
        </is>
      </c>
      <c r="J474" s="58" t="inlineStr">
        <is>
          <t>100ml</t>
        </is>
      </c>
      <c r="K474" s="58" t="n">
        <v>37.95</v>
      </c>
      <c r="L474" s="58" t="inlineStr">
        <is>
          <t>sap patchouli intense</t>
        </is>
      </c>
      <c r="M474" s="58" t="inlineStr">
        <is>
          <t>sap patchouli intense uk</t>
        </is>
      </c>
      <c r="N474" s="58" t="inlineStr">
        <is>
          <t>buy sap patchouli intense online</t>
        </is>
      </c>
      <c r="O474" s="58" t="inlineStr">
        <is>
          <t>sap patchouli intense price</t>
        </is>
      </c>
      <c r="P474" s="58" t="inlineStr">
        <is>
          <t>sap patchouli intense extrait de parfum</t>
        </is>
      </c>
      <c r="Q474" s="59">
        <f>IF(L474="","",IFERROR(INDEX('Semrush Data'!$A$1:$Z$20000,MATCH(L474,'Semrush Data'!$A$1:$A$20000,0),MATCH("Volume",'Semrush Data'!$A$1:$Z$1,0)),""))</f>
        <v/>
      </c>
      <c r="R474" s="59">
        <f>IF(M474="","",IFERROR(INDEX('Semrush Data'!$A$1:$Z$20000,MATCH(M474,'Semrush Data'!$A$1:$A$20000,0),MATCH("Volume",'Semrush Data'!$A$1:$Z$1,0)),""))</f>
        <v/>
      </c>
      <c r="S474" s="59">
        <f>IF(N474="","",IFERROR(INDEX('Semrush Data'!$A$1:$Z$20000,MATCH(N474,'Semrush Data'!$A$1:$A$20000,0),MATCH("Volume",'Semrush Data'!$A$1:$Z$1,0)),""))</f>
        <v/>
      </c>
      <c r="T474" s="59">
        <f>IF(O474="","",IFERROR(INDEX('Semrush Data'!$A$1:$Z$20000,MATCH(O474,'Semrush Data'!$A$1:$A$20000,0),MATCH("Volume",'Semrush Data'!$A$1:$Z$1,0)),""))</f>
        <v/>
      </c>
      <c r="U474" s="59">
        <f>IF(P474="","",IFERROR(INDEX('Semrush Data'!$A$1:$Z$20000,MATCH(P474,'Semrush Data'!$A$1:$A$20000,0),MATCH("Volume",'Semrush Data'!$A$1:$Z$1,0)),""))</f>
        <v/>
      </c>
      <c r="V474" s="60">
        <f>IF(COUNT(Q474:U474)=0,L474,IF(MAX(Q474:U474)=0,L474,INDEX(L474:P474,MATCH(MAX(Q474:U474),Q474:U474,0))))</f>
        <v/>
      </c>
      <c r="W474" s="59">
        <f>IFERROR(INDEX('Semrush Data'!$A$1:$Z$20000,MATCH(V474,'Semrush Data'!$A$1:$A$20000,0),MATCH("Volume",'Semrush Data'!$A$1:$Z$1,0)),"")</f>
        <v/>
      </c>
      <c r="X474" s="59">
        <f>IFERROR(INDEX('Semrush Data'!$A$1:$Z$20000,MATCH(V474,'Semrush Data'!$A$1:$A$20000,0),MATCH("Keyword Difficulty*",'Semrush Data'!$A$1:$Z$1,0)),"")</f>
        <v/>
      </c>
      <c r="Y474" s="61">
        <f>IFERROR(INDEX('Semrush Data'!$A$1:$Z$20000,MATCH(V474,'Semrush Data'!$A$1:$A$20000,0),MATCH("CPC*",'Semrush Data'!$A$1:$Z$1,0)),"")</f>
        <v/>
      </c>
      <c r="Z474" s="58" t="inlineStr">
        <is>
          <t>sap perfume · woody perfume uk</t>
        </is>
      </c>
      <c r="AA474" s="58" t="inlineStr">
        <is>
          <t>sap patchouli intense extrait de parfum 100ml · sap patchouli intense extrait de parfum · sap perfume patchouli intense</t>
        </is>
      </c>
      <c r="AB474" s="58" t="inlineStr">
        <is>
          <t>Sap Patchouli Intense Extrait De Parfum</t>
        </is>
      </c>
      <c r="AC474" s="58" t="inlineStr">
        <is>
          <t>Sap Patchouli Intense Extrait De Parfum | Swansura UK</t>
        </is>
      </c>
      <c r="AD474" s="58">
        <f>LEN(AC474)</f>
        <v/>
      </c>
      <c r="AE474" s="58" t="inlineStr">
        <is>
          <t>Buy Sap Patchouli Intense Extrait De Parfum online in the UK at Swansura. A woody unisex extrait de parfum, 100ml. 100% authentic, free UK delivery over £50.</t>
        </is>
      </c>
      <c r="AF474" s="58">
        <f>LEN(AE474)</f>
        <v/>
      </c>
    </row>
    <row r="475" ht="15" customHeight="1" s="37">
      <c r="A475" s="58" t="inlineStr">
        <is>
          <t>FR-315</t>
        </is>
      </c>
      <c r="B475" s="58" t="inlineStr">
        <is>
          <t>Fragrance Catalogue</t>
        </is>
      </c>
      <c r="C475" s="58" t="n">
        <v>315</v>
      </c>
      <c r="D475" s="58" t="inlineStr">
        <is>
          <t>SAP</t>
        </is>
      </c>
      <c r="E475" s="58" t="n"/>
      <c r="F475" s="58" t="inlineStr">
        <is>
          <t>Fragrance</t>
        </is>
      </c>
      <c r="G475" s="58" t="inlineStr">
        <is>
          <t>Extrait de Parfum</t>
        </is>
      </c>
      <c r="H475" s="58" t="inlineStr">
        <is>
          <t>Oud · Unisex Fragrance</t>
        </is>
      </c>
      <c r="I475" s="58" t="inlineStr">
        <is>
          <t>Sap Saffron Oud Extrait De Parfum 100ML</t>
        </is>
      </c>
      <c r="J475" s="58" t="inlineStr">
        <is>
          <t>100ml</t>
        </is>
      </c>
      <c r="K475" s="58" t="n">
        <v>37.95</v>
      </c>
      <c r="L475" s="58" t="inlineStr">
        <is>
          <t>sap saffron oud</t>
        </is>
      </c>
      <c r="M475" s="58" t="inlineStr">
        <is>
          <t>sap saffron oud uk</t>
        </is>
      </c>
      <c r="N475" s="58" t="inlineStr">
        <is>
          <t>buy sap saffron oud online</t>
        </is>
      </c>
      <c r="O475" s="58" t="inlineStr">
        <is>
          <t>sap saffron oud price</t>
        </is>
      </c>
      <c r="P475" s="58" t="inlineStr">
        <is>
          <t>sap saffron oud extrait de parfum</t>
        </is>
      </c>
      <c r="Q475" s="59">
        <f>IF(L475="","",IFERROR(INDEX('Semrush Data'!$A$1:$Z$20000,MATCH(L475,'Semrush Data'!$A$1:$A$20000,0),MATCH("Volume",'Semrush Data'!$A$1:$Z$1,0)),""))</f>
        <v/>
      </c>
      <c r="R475" s="59">
        <f>IF(M475="","",IFERROR(INDEX('Semrush Data'!$A$1:$Z$20000,MATCH(M475,'Semrush Data'!$A$1:$A$20000,0),MATCH("Volume",'Semrush Data'!$A$1:$Z$1,0)),""))</f>
        <v/>
      </c>
      <c r="S475" s="59">
        <f>IF(N475="","",IFERROR(INDEX('Semrush Data'!$A$1:$Z$20000,MATCH(N475,'Semrush Data'!$A$1:$A$20000,0),MATCH("Volume",'Semrush Data'!$A$1:$Z$1,0)),""))</f>
        <v/>
      </c>
      <c r="T475" s="59">
        <f>IF(O475="","",IFERROR(INDEX('Semrush Data'!$A$1:$Z$20000,MATCH(O475,'Semrush Data'!$A$1:$A$20000,0),MATCH("Volume",'Semrush Data'!$A$1:$Z$1,0)),""))</f>
        <v/>
      </c>
      <c r="U475" s="59">
        <f>IF(P475="","",IFERROR(INDEX('Semrush Data'!$A$1:$Z$20000,MATCH(P475,'Semrush Data'!$A$1:$A$20000,0),MATCH("Volume",'Semrush Data'!$A$1:$Z$1,0)),""))</f>
        <v/>
      </c>
      <c r="V475" s="60">
        <f>IF(COUNT(Q475:U475)=0,L475,IF(MAX(Q475:U475)=0,L475,INDEX(L475:P475,MATCH(MAX(Q475:U475),Q475:U475,0))))</f>
        <v/>
      </c>
      <c r="W475" s="59">
        <f>IFERROR(INDEX('Semrush Data'!$A$1:$Z$20000,MATCH(V475,'Semrush Data'!$A$1:$A$20000,0),MATCH("Volume",'Semrush Data'!$A$1:$Z$1,0)),"")</f>
        <v/>
      </c>
      <c r="X475" s="59">
        <f>IFERROR(INDEX('Semrush Data'!$A$1:$Z$20000,MATCH(V475,'Semrush Data'!$A$1:$A$20000,0),MATCH("Keyword Difficulty*",'Semrush Data'!$A$1:$Z$1,0)),"")</f>
        <v/>
      </c>
      <c r="Y475" s="61">
        <f>IFERROR(INDEX('Semrush Data'!$A$1:$Z$20000,MATCH(V475,'Semrush Data'!$A$1:$A$20000,0),MATCH("CPC*",'Semrush Data'!$A$1:$Z$1,0)),"")</f>
        <v/>
      </c>
      <c r="Z475" s="58" t="inlineStr">
        <is>
          <t>sap perfume · oud perfume uk</t>
        </is>
      </c>
      <c r="AA475" s="58" t="inlineStr">
        <is>
          <t>sap saffron oud extrait de parfum · sap perfume saffron oud</t>
        </is>
      </c>
      <c r="AB475" s="58" t="inlineStr">
        <is>
          <t>Sap Saffron Oud Extrait De Parfum</t>
        </is>
      </c>
      <c r="AC475" s="58" t="inlineStr">
        <is>
          <t>Sap Saffron Oud Extrait De Parfum | Buy Online UK | Swansura</t>
        </is>
      </c>
      <c r="AD475" s="58">
        <f>LEN(AC475)</f>
        <v/>
      </c>
      <c r="AE475" s="58" t="inlineStr">
        <is>
          <t>Buy Sap Saffron Oud Extrait De Parfum online in the UK at Swansura. An oud unisex extrait de parfum, 100ml. 100% authentic, fast UK delivery, free over £50.</t>
        </is>
      </c>
      <c r="AF475" s="58">
        <f>LEN(AE475)</f>
        <v/>
      </c>
    </row>
    <row r="476" ht="15" customHeight="1" s="37">
      <c r="A476" s="58" t="inlineStr">
        <is>
          <t>FR-316</t>
        </is>
      </c>
      <c r="B476" s="58" t="inlineStr">
        <is>
          <t>Fragrance Catalogue</t>
        </is>
      </c>
      <c r="C476" s="58" t="n">
        <v>316</v>
      </c>
      <c r="D476" s="58" t="inlineStr">
        <is>
          <t>SAP</t>
        </is>
      </c>
      <c r="E476" s="58" t="n"/>
      <c r="F476" s="58" t="inlineStr">
        <is>
          <t>Fragrance</t>
        </is>
      </c>
      <c r="G476" s="58" t="inlineStr">
        <is>
          <t>Extrait de Parfum</t>
        </is>
      </c>
      <c r="H476" s="58" t="inlineStr">
        <is>
          <t>Amber · Unisex Fragrance</t>
        </is>
      </c>
      <c r="I476" s="58" t="inlineStr">
        <is>
          <t>Sap Vert Club Extrait De Parfum 100ML</t>
        </is>
      </c>
      <c r="J476" s="58" t="inlineStr">
        <is>
          <t>100ml</t>
        </is>
      </c>
      <c r="K476" s="58" t="n">
        <v>37.95</v>
      </c>
      <c r="L476" s="58" t="inlineStr">
        <is>
          <t>sap vert club</t>
        </is>
      </c>
      <c r="M476" s="58" t="inlineStr">
        <is>
          <t>sap vert club uk</t>
        </is>
      </c>
      <c r="N476" s="58" t="inlineStr">
        <is>
          <t>buy sap vert club online</t>
        </is>
      </c>
      <c r="O476" s="58" t="inlineStr">
        <is>
          <t>sap vert club price</t>
        </is>
      </c>
      <c r="P476" s="58" t="inlineStr">
        <is>
          <t>sap vert club extrait de parfum</t>
        </is>
      </c>
      <c r="Q476" s="59">
        <f>IF(L476="","",IFERROR(INDEX('Semrush Data'!$A$1:$Z$20000,MATCH(L476,'Semrush Data'!$A$1:$A$20000,0),MATCH("Volume",'Semrush Data'!$A$1:$Z$1,0)),""))</f>
        <v/>
      </c>
      <c r="R476" s="59">
        <f>IF(M476="","",IFERROR(INDEX('Semrush Data'!$A$1:$Z$20000,MATCH(M476,'Semrush Data'!$A$1:$A$20000,0),MATCH("Volume",'Semrush Data'!$A$1:$Z$1,0)),""))</f>
        <v/>
      </c>
      <c r="S476" s="59">
        <f>IF(N476="","",IFERROR(INDEX('Semrush Data'!$A$1:$Z$20000,MATCH(N476,'Semrush Data'!$A$1:$A$20000,0),MATCH("Volume",'Semrush Data'!$A$1:$Z$1,0)),""))</f>
        <v/>
      </c>
      <c r="T476" s="59">
        <f>IF(O476="","",IFERROR(INDEX('Semrush Data'!$A$1:$Z$20000,MATCH(O476,'Semrush Data'!$A$1:$A$20000,0),MATCH("Volume",'Semrush Data'!$A$1:$Z$1,0)),""))</f>
        <v/>
      </c>
      <c r="U476" s="59">
        <f>IF(P476="","",IFERROR(INDEX('Semrush Data'!$A$1:$Z$20000,MATCH(P476,'Semrush Data'!$A$1:$A$20000,0),MATCH("Volume",'Semrush Data'!$A$1:$Z$1,0)),""))</f>
        <v/>
      </c>
      <c r="V476" s="60">
        <f>IF(COUNT(Q476:U476)=0,L476,IF(MAX(Q476:U476)=0,L476,INDEX(L476:P476,MATCH(MAX(Q476:U476),Q476:U476,0))))</f>
        <v/>
      </c>
      <c r="W476" s="59">
        <f>IFERROR(INDEX('Semrush Data'!$A$1:$Z$20000,MATCH(V476,'Semrush Data'!$A$1:$A$20000,0),MATCH("Volume",'Semrush Data'!$A$1:$Z$1,0)),"")</f>
        <v/>
      </c>
      <c r="X476" s="59">
        <f>IFERROR(INDEX('Semrush Data'!$A$1:$Z$20000,MATCH(V476,'Semrush Data'!$A$1:$A$20000,0),MATCH("Keyword Difficulty*",'Semrush Data'!$A$1:$Z$1,0)),"")</f>
        <v/>
      </c>
      <c r="Y476" s="61">
        <f>IFERROR(INDEX('Semrush Data'!$A$1:$Z$20000,MATCH(V476,'Semrush Data'!$A$1:$A$20000,0),MATCH("CPC*",'Semrush Data'!$A$1:$Z$1,0)),"")</f>
        <v/>
      </c>
      <c r="Z476" s="58" t="inlineStr">
        <is>
          <t>sap perfume · amber perfume uk</t>
        </is>
      </c>
      <c r="AA476" s="58" t="inlineStr">
        <is>
          <t>sap perfume vert club</t>
        </is>
      </c>
      <c r="AB476" s="58" t="inlineStr">
        <is>
          <t>Sap Vert Club Extrait De Parfum</t>
        </is>
      </c>
      <c r="AC476" s="58" t="inlineStr">
        <is>
          <t>Sap Vert Club Extrait De Parfum | Buy Online UK | Swansura</t>
        </is>
      </c>
      <c r="AD476" s="58">
        <f>LEN(AC476)</f>
        <v/>
      </c>
      <c r="AE476" s="58" t="inlineStr">
        <is>
          <t>Buy Sap Vert Club Extrait De Parfum online in the UK at Swansura. An amber unisex extrait de parfum, 100ml. 100% authentic, fast UK delivery, free over £50.</t>
        </is>
      </c>
      <c r="AF476" s="58">
        <f>LEN(AE476)</f>
        <v/>
      </c>
    </row>
    <row r="477" ht="15" customHeight="1" s="37">
      <c r="A477" s="58" t="inlineStr">
        <is>
          <t>FR-317</t>
        </is>
      </c>
      <c r="B477" s="58" t="inlineStr">
        <is>
          <t>Fragrance Catalogue</t>
        </is>
      </c>
      <c r="C477" s="58" t="n">
        <v>317</v>
      </c>
      <c r="D477" s="58" t="inlineStr">
        <is>
          <t>Serge Lutens</t>
        </is>
      </c>
      <c r="E477" s="58" t="n"/>
      <c r="F477" s="58" t="inlineStr">
        <is>
          <t>Fragrance</t>
        </is>
      </c>
      <c r="G477" s="58" t="inlineStr">
        <is>
          <t>Eau de Parfum (EDP)</t>
        </is>
      </c>
      <c r="H477" s="58" t="inlineStr">
        <is>
          <t>Floral · Unisex Fragrance</t>
        </is>
      </c>
      <c r="I477" s="58" t="inlineStr">
        <is>
          <t>Serge Lutens La Fille de Berlin Eau de Parfum 50ml – Luxury Unisex Rose Fragrance</t>
        </is>
      </c>
      <c r="J477" s="58" t="inlineStr">
        <is>
          <t>50ml</t>
        </is>
      </c>
      <c r="K477" s="58" t="n">
        <v>44.99</v>
      </c>
      <c r="L477" s="58" t="inlineStr">
        <is>
          <t>serge lutens la fille de berlin</t>
        </is>
      </c>
      <c r="M477" s="58" t="inlineStr">
        <is>
          <t>serge lutens la fille de berlin uk</t>
        </is>
      </c>
      <c r="N477" s="58" t="inlineStr">
        <is>
          <t>buy serge lutens la fille de berlin online</t>
        </is>
      </c>
      <c r="O477" s="58" t="inlineStr">
        <is>
          <t>serge lutens la fille de berlin price</t>
        </is>
      </c>
      <c r="P477" s="58" t="inlineStr">
        <is>
          <t>serge lutens la fille de berlin eau de parfum</t>
        </is>
      </c>
      <c r="Q477" s="59">
        <f>IF(L477="","",IFERROR(INDEX('Semrush Data'!$A$1:$Z$20000,MATCH(L477,'Semrush Data'!$A$1:$A$20000,0),MATCH("Volume",'Semrush Data'!$A$1:$Z$1,0)),""))</f>
        <v/>
      </c>
      <c r="R477" s="59">
        <f>IF(M477="","",IFERROR(INDEX('Semrush Data'!$A$1:$Z$20000,MATCH(M477,'Semrush Data'!$A$1:$A$20000,0),MATCH("Volume",'Semrush Data'!$A$1:$Z$1,0)),""))</f>
        <v/>
      </c>
      <c r="S477" s="59">
        <f>IF(N477="","",IFERROR(INDEX('Semrush Data'!$A$1:$Z$20000,MATCH(N477,'Semrush Data'!$A$1:$A$20000,0),MATCH("Volume",'Semrush Data'!$A$1:$Z$1,0)),""))</f>
        <v/>
      </c>
      <c r="T477" s="59">
        <f>IF(O477="","",IFERROR(INDEX('Semrush Data'!$A$1:$Z$20000,MATCH(O477,'Semrush Data'!$A$1:$A$20000,0),MATCH("Volume",'Semrush Data'!$A$1:$Z$1,0)),""))</f>
        <v/>
      </c>
      <c r="U477" s="59">
        <f>IF(P477="","",IFERROR(INDEX('Semrush Data'!$A$1:$Z$20000,MATCH(P477,'Semrush Data'!$A$1:$A$20000,0),MATCH("Volume",'Semrush Data'!$A$1:$Z$1,0)),""))</f>
        <v/>
      </c>
      <c r="V477" s="60">
        <f>IF(COUNT(Q477:U477)=0,L477,IF(MAX(Q477:U477)=0,L477,INDEX(L477:P477,MATCH(MAX(Q477:U477),Q477:U477,0))))</f>
        <v/>
      </c>
      <c r="W477" s="59">
        <f>IFERROR(INDEX('Semrush Data'!$A$1:$Z$20000,MATCH(V477,'Semrush Data'!$A$1:$A$20000,0),MATCH("Volume",'Semrush Data'!$A$1:$Z$1,0)),"")</f>
        <v/>
      </c>
      <c r="X477" s="59">
        <f>IFERROR(INDEX('Semrush Data'!$A$1:$Z$20000,MATCH(V477,'Semrush Data'!$A$1:$A$20000,0),MATCH("Keyword Difficulty*",'Semrush Data'!$A$1:$Z$1,0)),"")</f>
        <v/>
      </c>
      <c r="Y477" s="61">
        <f>IFERROR(INDEX('Semrush Data'!$A$1:$Z$20000,MATCH(V477,'Semrush Data'!$A$1:$A$20000,0),MATCH("CPC*",'Semrush Data'!$A$1:$Z$1,0)),"")</f>
        <v/>
      </c>
      <c r="Z477" s="58" t="inlineStr">
        <is>
          <t>serge lutens perfume · floral perfume uk</t>
        </is>
      </c>
      <c r="AA477" s="58" t="inlineStr">
        <is>
          <t>serge lutens la fille de berlin notes · serge lutens la fille de berlin eau de parfum · serge lutens la fille de berlin review · serge lutens la fille de berlin edp · serge lutens la fille de berlin dupe · serge lutens la fille de berlin 100ml</t>
        </is>
      </c>
      <c r="AB477" s="58" t="inlineStr">
        <is>
          <t>Serge Lutens La Fille de Berlin Eau de Parfum</t>
        </is>
      </c>
      <c r="AC477" s="58" t="inlineStr">
        <is>
          <t>Serge Lutens La Fille de Berlin Eau de Parfum | Swansura UK</t>
        </is>
      </c>
      <c r="AD477" s="58">
        <f>LEN(AC477)</f>
        <v/>
      </c>
      <c r="AE477" s="58" t="inlineStr">
        <is>
          <t>Buy Serge Lutens La Fille de Berlin Eau de Parfum online in the UK at Swansura. A floral unisex eau de parfum, 50ml. 100% authentic, free UK delivery over £50.</t>
        </is>
      </c>
      <c r="AF477" s="58">
        <f>LEN(AE477)</f>
        <v/>
      </c>
    </row>
    <row r="478" ht="15" customHeight="1" s="37">
      <c r="A478" s="58" t="inlineStr">
        <is>
          <t>FR-318</t>
        </is>
      </c>
      <c r="B478" s="58" t="inlineStr">
        <is>
          <t>Fragrance Catalogue</t>
        </is>
      </c>
      <c r="C478" s="58" t="n">
        <v>318</v>
      </c>
      <c r="D478" s="58" t="inlineStr">
        <is>
          <t>Shiseido</t>
        </is>
      </c>
      <c r="E478" s="58" t="n"/>
      <c r="F478" s="58" t="inlineStr">
        <is>
          <t>Fragrance</t>
        </is>
      </c>
      <c r="G478" s="58" t="inlineStr">
        <is>
          <t>Eau de Parfum (EDP)</t>
        </is>
      </c>
      <c r="H478" s="58" t="inlineStr">
        <is>
          <t>Floral · Women's Fragrance</t>
        </is>
      </c>
      <c r="I478" s="58" t="inlineStr">
        <is>
          <t>Shiseido Zen Eau de Parfum 100ml – Women's Floral Woody Fragrance</t>
        </is>
      </c>
      <c r="J478" s="58" t="inlineStr">
        <is>
          <t>100ml</t>
        </is>
      </c>
      <c r="K478" s="58" t="n">
        <v>47.99</v>
      </c>
      <c r="L478" s="58" t="inlineStr">
        <is>
          <t>shiseido zen</t>
        </is>
      </c>
      <c r="M478" s="58" t="inlineStr">
        <is>
          <t>shiseido zen uk</t>
        </is>
      </c>
      <c r="N478" s="58" t="inlineStr">
        <is>
          <t>buy shiseido zen online</t>
        </is>
      </c>
      <c r="O478" s="58" t="inlineStr">
        <is>
          <t>shiseido zen price</t>
        </is>
      </c>
      <c r="P478" s="58" t="inlineStr">
        <is>
          <t>shiseido zen eau de parfum</t>
        </is>
      </c>
      <c r="Q478" s="59">
        <f>IF(L478="","",IFERROR(INDEX('Semrush Data'!$A$1:$Z$20000,MATCH(L478,'Semrush Data'!$A$1:$A$20000,0),MATCH("Volume",'Semrush Data'!$A$1:$Z$1,0)),""))</f>
        <v/>
      </c>
      <c r="R478" s="59">
        <f>IF(M478="","",IFERROR(INDEX('Semrush Data'!$A$1:$Z$20000,MATCH(M478,'Semrush Data'!$A$1:$A$20000,0),MATCH("Volume",'Semrush Data'!$A$1:$Z$1,0)),""))</f>
        <v/>
      </c>
      <c r="S478" s="59">
        <f>IF(N478="","",IFERROR(INDEX('Semrush Data'!$A$1:$Z$20000,MATCH(N478,'Semrush Data'!$A$1:$A$20000,0),MATCH("Volume",'Semrush Data'!$A$1:$Z$1,0)),""))</f>
        <v/>
      </c>
      <c r="T478" s="59">
        <f>IF(O478="","",IFERROR(INDEX('Semrush Data'!$A$1:$Z$20000,MATCH(O478,'Semrush Data'!$A$1:$A$20000,0),MATCH("Volume",'Semrush Data'!$A$1:$Z$1,0)),""))</f>
        <v/>
      </c>
      <c r="U478" s="59">
        <f>IF(P478="","",IFERROR(INDEX('Semrush Data'!$A$1:$Z$20000,MATCH(P478,'Semrush Data'!$A$1:$A$20000,0),MATCH("Volume",'Semrush Data'!$A$1:$Z$1,0)),""))</f>
        <v/>
      </c>
      <c r="V478" s="60">
        <f>IF(COUNT(Q478:U478)=0,L478,IF(MAX(Q478:U478)=0,L478,INDEX(L478:P478,MATCH(MAX(Q478:U478),Q478:U478,0))))</f>
        <v/>
      </c>
      <c r="W478" s="59">
        <f>IFERROR(INDEX('Semrush Data'!$A$1:$Z$20000,MATCH(V478,'Semrush Data'!$A$1:$A$20000,0),MATCH("Volume",'Semrush Data'!$A$1:$Z$1,0)),"")</f>
        <v/>
      </c>
      <c r="X478" s="59">
        <f>IFERROR(INDEX('Semrush Data'!$A$1:$Z$20000,MATCH(V478,'Semrush Data'!$A$1:$A$20000,0),MATCH("Keyword Difficulty*",'Semrush Data'!$A$1:$Z$1,0)),"")</f>
        <v/>
      </c>
      <c r="Y478" s="61">
        <f>IFERROR(INDEX('Semrush Data'!$A$1:$Z$20000,MATCH(V478,'Semrush Data'!$A$1:$A$20000,0),MATCH("CPC*",'Semrush Data'!$A$1:$Z$1,0)),"")</f>
        <v/>
      </c>
      <c r="Z478" s="58" t="inlineStr">
        <is>
          <t>shiseido perfume · shiseido perfume for women · floral perfume for women uk</t>
        </is>
      </c>
      <c r="AA478" s="58" t="inlineStr">
        <is>
          <t>shiseido zen perfume · shiseido zen eau de parfum · shiseido zen for men · shiseido zen perfume price · shiseido zen parfum</t>
        </is>
      </c>
      <c r="AB478" s="58" t="inlineStr">
        <is>
          <t>Shiseido Zen Eau de Parfum</t>
        </is>
      </c>
      <c r="AC478" s="58" t="inlineStr">
        <is>
          <t>Shiseido Zen Eau de Parfum | Buy Online UK | Swansura</t>
        </is>
      </c>
      <c r="AD478" s="58">
        <f>LEN(AC478)</f>
        <v/>
      </c>
      <c r="AE478" s="58" t="inlineStr">
        <is>
          <t>Buy Shiseido Zen Eau de Parfum online in the UK at Swansura. A floral women's eau de parfum, 100ml. 100% authentic, fast UK delivery, free over £50.</t>
        </is>
      </c>
      <c r="AF478" s="58">
        <f>LEN(AE478)</f>
        <v/>
      </c>
    </row>
    <row r="479" ht="15" customHeight="1" s="37">
      <c r="A479" s="58" t="inlineStr">
        <is>
          <t>FR-319</t>
        </is>
      </c>
      <c r="B479" s="58" t="inlineStr">
        <is>
          <t>Fragrance Catalogue</t>
        </is>
      </c>
      <c r="C479" s="58" t="n">
        <v>319</v>
      </c>
      <c r="D479" s="58" t="inlineStr">
        <is>
          <t>Signature D'orient</t>
        </is>
      </c>
      <c r="E479" s="58" t="n"/>
      <c r="F479" s="58" t="inlineStr">
        <is>
          <t>Fragrance</t>
        </is>
      </c>
      <c r="G479" s="58" t="inlineStr">
        <is>
          <t>Eau de Parfum (EDP)</t>
        </is>
      </c>
      <c r="H479" s="58" t="inlineStr">
        <is>
          <t>Amber · Unisex Fragrance</t>
        </is>
      </c>
      <c r="I479" s="58" t="inlineStr">
        <is>
          <t>Signature Ambre Eau De Parfum 100ml+15ml+Funnel (UNISEX)</t>
        </is>
      </c>
      <c r="J479" s="58" t="inlineStr">
        <is>
          <t>100ml</t>
        </is>
      </c>
      <c r="K479" s="58" t="n">
        <v>65.98999999999999</v>
      </c>
      <c r="L479" s="58" t="inlineStr">
        <is>
          <t>signature ambre</t>
        </is>
      </c>
      <c r="M479" s="58" t="inlineStr">
        <is>
          <t>signature ambre uk</t>
        </is>
      </c>
      <c r="N479" s="58" t="inlineStr">
        <is>
          <t>buy signature ambre online</t>
        </is>
      </c>
      <c r="O479" s="58" t="inlineStr">
        <is>
          <t>signature ambre price</t>
        </is>
      </c>
      <c r="P479" s="58" t="inlineStr">
        <is>
          <t>signature ambre eau de parfum</t>
        </is>
      </c>
      <c r="Q479" s="59">
        <f>IF(L479="","",IFERROR(INDEX('Semrush Data'!$A$1:$Z$20000,MATCH(L479,'Semrush Data'!$A$1:$A$20000,0),MATCH("Volume",'Semrush Data'!$A$1:$Z$1,0)),""))</f>
        <v/>
      </c>
      <c r="R479" s="59">
        <f>IF(M479="","",IFERROR(INDEX('Semrush Data'!$A$1:$Z$20000,MATCH(M479,'Semrush Data'!$A$1:$A$20000,0),MATCH("Volume",'Semrush Data'!$A$1:$Z$1,0)),""))</f>
        <v/>
      </c>
      <c r="S479" s="59">
        <f>IF(N479="","",IFERROR(INDEX('Semrush Data'!$A$1:$Z$20000,MATCH(N479,'Semrush Data'!$A$1:$A$20000,0),MATCH("Volume",'Semrush Data'!$A$1:$Z$1,0)),""))</f>
        <v/>
      </c>
      <c r="T479" s="59">
        <f>IF(O479="","",IFERROR(INDEX('Semrush Data'!$A$1:$Z$20000,MATCH(O479,'Semrush Data'!$A$1:$A$20000,0),MATCH("Volume",'Semrush Data'!$A$1:$Z$1,0)),""))</f>
        <v/>
      </c>
      <c r="U479" s="59">
        <f>IF(P479="","",IFERROR(INDEX('Semrush Data'!$A$1:$Z$20000,MATCH(P479,'Semrush Data'!$A$1:$A$20000,0),MATCH("Volume",'Semrush Data'!$A$1:$Z$1,0)),""))</f>
        <v/>
      </c>
      <c r="V479" s="60">
        <f>IF(COUNT(Q479:U479)=0,L479,IF(MAX(Q479:U479)=0,L479,INDEX(L479:P479,MATCH(MAX(Q479:U479),Q479:U479,0))))</f>
        <v/>
      </c>
      <c r="W479" s="59">
        <f>IFERROR(INDEX('Semrush Data'!$A$1:$Z$20000,MATCH(V479,'Semrush Data'!$A$1:$A$20000,0),MATCH("Volume",'Semrush Data'!$A$1:$Z$1,0)),"")</f>
        <v/>
      </c>
      <c r="X479" s="59">
        <f>IFERROR(INDEX('Semrush Data'!$A$1:$Z$20000,MATCH(V479,'Semrush Data'!$A$1:$A$20000,0),MATCH("Keyword Difficulty*",'Semrush Data'!$A$1:$Z$1,0)),"")</f>
        <v/>
      </c>
      <c r="Y479" s="61">
        <f>IFERROR(INDEX('Semrush Data'!$A$1:$Z$20000,MATCH(V479,'Semrush Data'!$A$1:$A$20000,0),MATCH("CPC*",'Semrush Data'!$A$1:$Z$1,0)),"")</f>
        <v/>
      </c>
      <c r="Z479" s="58" t="inlineStr">
        <is>
          <t>signature d'orient perfume · amber perfume uk</t>
        </is>
      </c>
      <c r="AA479" s="58" t="inlineStr">
        <is>
          <t>signature ambre perfume · signature ambre perfume for men · signature ambre отзывы · signature ambre eau de parfum · signature ambre parfum · signature d'orient ambre</t>
        </is>
      </c>
      <c r="AB479" s="58" t="inlineStr">
        <is>
          <t>Signature Ambre Eau De Parfum</t>
        </is>
      </c>
      <c r="AC479" s="58" t="inlineStr">
        <is>
          <t>Signature Ambre Eau De Parfum | Buy Online UK | Swansura</t>
        </is>
      </c>
      <c r="AD479" s="58">
        <f>LEN(AC479)</f>
        <v/>
      </c>
      <c r="AE479" s="58" t="inlineStr">
        <is>
          <t>Buy Signature Ambre Eau De Parfum online in the UK at Swansura. An amber unisex eau de parfum, 100ml. 100% authentic, fast UK delivery, free over £50.</t>
        </is>
      </c>
      <c r="AF479" s="58">
        <f>LEN(AE479)</f>
        <v/>
      </c>
    </row>
    <row r="480" ht="15" customHeight="1" s="37">
      <c r="A480" s="58" t="inlineStr">
        <is>
          <t>FR-320</t>
        </is>
      </c>
      <c r="B480" s="58" t="inlineStr">
        <is>
          <t>Fragrance Catalogue</t>
        </is>
      </c>
      <c r="C480" s="58" t="n">
        <v>320</v>
      </c>
      <c r="D480" s="58" t="inlineStr">
        <is>
          <t>Signature D'orient</t>
        </is>
      </c>
      <c r="E480" s="58" t="n"/>
      <c r="F480" s="58" t="inlineStr">
        <is>
          <t>Fragrance</t>
        </is>
      </c>
      <c r="G480" s="58" t="inlineStr">
        <is>
          <t>Eau de Parfum (EDP)</t>
        </is>
      </c>
      <c r="H480" s="58" t="inlineStr">
        <is>
          <t>Amber · Unisex Fragrance</t>
        </is>
      </c>
      <c r="I480" s="58" t="inlineStr">
        <is>
          <t>Signature Aura EDP 100ML+15ML Refillable Travel Spray</t>
        </is>
      </c>
      <c r="J480" s="58" t="inlineStr">
        <is>
          <t>100ml</t>
        </is>
      </c>
      <c r="K480" s="58" t="n">
        <v>74.95</v>
      </c>
      <c r="L480" s="58" t="inlineStr">
        <is>
          <t>signature aura</t>
        </is>
      </c>
      <c r="M480" s="58" t="inlineStr">
        <is>
          <t>signature aura uk</t>
        </is>
      </c>
      <c r="N480" s="58" t="inlineStr">
        <is>
          <t>buy signature aura online</t>
        </is>
      </c>
      <c r="O480" s="58" t="inlineStr">
        <is>
          <t>signature aura price</t>
        </is>
      </c>
      <c r="P480" s="58" t="inlineStr">
        <is>
          <t>signature aura edp</t>
        </is>
      </c>
      <c r="Q480" s="59">
        <f>IF(L480="","",IFERROR(INDEX('Semrush Data'!$A$1:$Z$20000,MATCH(L480,'Semrush Data'!$A$1:$A$20000,0),MATCH("Volume",'Semrush Data'!$A$1:$Z$1,0)),""))</f>
        <v/>
      </c>
      <c r="R480" s="59">
        <f>IF(M480="","",IFERROR(INDEX('Semrush Data'!$A$1:$Z$20000,MATCH(M480,'Semrush Data'!$A$1:$A$20000,0),MATCH("Volume",'Semrush Data'!$A$1:$Z$1,0)),""))</f>
        <v/>
      </c>
      <c r="S480" s="59">
        <f>IF(N480="","",IFERROR(INDEX('Semrush Data'!$A$1:$Z$20000,MATCH(N480,'Semrush Data'!$A$1:$A$20000,0),MATCH("Volume",'Semrush Data'!$A$1:$Z$1,0)),""))</f>
        <v/>
      </c>
      <c r="T480" s="59">
        <f>IF(O480="","",IFERROR(INDEX('Semrush Data'!$A$1:$Z$20000,MATCH(O480,'Semrush Data'!$A$1:$A$20000,0),MATCH("Volume",'Semrush Data'!$A$1:$Z$1,0)),""))</f>
        <v/>
      </c>
      <c r="U480" s="59">
        <f>IF(P480="","",IFERROR(INDEX('Semrush Data'!$A$1:$Z$20000,MATCH(P480,'Semrush Data'!$A$1:$A$20000,0),MATCH("Volume",'Semrush Data'!$A$1:$Z$1,0)),""))</f>
        <v/>
      </c>
      <c r="V480" s="60">
        <f>IF(COUNT(Q480:U480)=0,L480,IF(MAX(Q480:U480)=0,L480,INDEX(L480:P480,MATCH(MAX(Q480:U480),Q480:U480,0))))</f>
        <v/>
      </c>
      <c r="W480" s="59">
        <f>IFERROR(INDEX('Semrush Data'!$A$1:$Z$20000,MATCH(V480,'Semrush Data'!$A$1:$A$20000,0),MATCH("Volume",'Semrush Data'!$A$1:$Z$1,0)),"")</f>
        <v/>
      </c>
      <c r="X480" s="59">
        <f>IFERROR(INDEX('Semrush Data'!$A$1:$Z$20000,MATCH(V480,'Semrush Data'!$A$1:$A$20000,0),MATCH("Keyword Difficulty*",'Semrush Data'!$A$1:$Z$1,0)),"")</f>
        <v/>
      </c>
      <c r="Y480" s="61">
        <f>IFERROR(INDEX('Semrush Data'!$A$1:$Z$20000,MATCH(V480,'Semrush Data'!$A$1:$A$20000,0),MATCH("CPC*",'Semrush Data'!$A$1:$Z$1,0)),"")</f>
        <v/>
      </c>
      <c r="Z480" s="58" t="inlineStr">
        <is>
          <t>signature d'orient perfume · amber perfume uk</t>
        </is>
      </c>
      <c r="AA480" s="58" t="inlineStr">
        <is>
          <t>signature aura perfume</t>
        </is>
      </c>
      <c r="AB480" s="58" t="inlineStr">
        <is>
          <t>Signature Aura EDP</t>
        </is>
      </c>
      <c r="AC480" s="58" t="inlineStr">
        <is>
          <t>Signature Aura EDP 100ml | Buy Online UK | Swansura</t>
        </is>
      </c>
      <c r="AD480" s="58">
        <f>LEN(AC480)</f>
        <v/>
      </c>
      <c r="AE480" s="58" t="inlineStr">
        <is>
          <t>Buy Signature Aura EDP online in the UK at Swansura. An amber unisex eau de parfum, 100ml. 100% authentic, fast UK delivery, free over £50.</t>
        </is>
      </c>
      <c r="AF480" s="58">
        <f>LEN(AE480)</f>
        <v/>
      </c>
    </row>
    <row r="481" ht="15" customHeight="1" s="37">
      <c r="A481" s="58" t="inlineStr">
        <is>
          <t>FR-321</t>
        </is>
      </c>
      <c r="B481" s="58" t="inlineStr">
        <is>
          <t>Fragrance Catalogue</t>
        </is>
      </c>
      <c r="C481" s="58" t="n">
        <v>321</v>
      </c>
      <c r="D481" s="58" t="inlineStr">
        <is>
          <t>Signature D'orient</t>
        </is>
      </c>
      <c r="E481" s="58" t="n"/>
      <c r="F481" s="58" t="inlineStr">
        <is>
          <t>Fragrance</t>
        </is>
      </c>
      <c r="G481" s="58" t="inlineStr">
        <is>
          <t>Eau de Parfum (EDP)</t>
        </is>
      </c>
      <c r="H481" s="58" t="inlineStr">
        <is>
          <t>Woody · Men's Fragrance</t>
        </is>
      </c>
      <c r="I481" s="58" t="inlineStr">
        <is>
          <t>Signature Black Pour Homme 100ml EDP</t>
        </is>
      </c>
      <c r="J481" s="58" t="inlineStr">
        <is>
          <t>100ml</t>
        </is>
      </c>
      <c r="K481" s="58" t="n">
        <v>38.99</v>
      </c>
      <c r="L481" s="58" t="inlineStr">
        <is>
          <t>signature black pour homme</t>
        </is>
      </c>
      <c r="M481" s="58" t="inlineStr">
        <is>
          <t>signature black pour homme uk</t>
        </is>
      </c>
      <c r="N481" s="58" t="inlineStr">
        <is>
          <t>buy signature black pour homme online</t>
        </is>
      </c>
      <c r="O481" s="58" t="inlineStr">
        <is>
          <t>signature black pour homme price</t>
        </is>
      </c>
      <c r="P481" s="58" t="inlineStr">
        <is>
          <t>signature black pour homme edp</t>
        </is>
      </c>
      <c r="Q481" s="59">
        <f>IF(L481="","",IFERROR(INDEX('Semrush Data'!$A$1:$Z$20000,MATCH(L481,'Semrush Data'!$A$1:$A$20000,0),MATCH("Volume",'Semrush Data'!$A$1:$Z$1,0)),""))</f>
        <v/>
      </c>
      <c r="R481" s="59">
        <f>IF(M481="","",IFERROR(INDEX('Semrush Data'!$A$1:$Z$20000,MATCH(M481,'Semrush Data'!$A$1:$A$20000,0),MATCH("Volume",'Semrush Data'!$A$1:$Z$1,0)),""))</f>
        <v/>
      </c>
      <c r="S481" s="59">
        <f>IF(N481="","",IFERROR(INDEX('Semrush Data'!$A$1:$Z$20000,MATCH(N481,'Semrush Data'!$A$1:$A$20000,0),MATCH("Volume",'Semrush Data'!$A$1:$Z$1,0)),""))</f>
        <v/>
      </c>
      <c r="T481" s="59">
        <f>IF(O481="","",IFERROR(INDEX('Semrush Data'!$A$1:$Z$20000,MATCH(O481,'Semrush Data'!$A$1:$A$20000,0),MATCH("Volume",'Semrush Data'!$A$1:$Z$1,0)),""))</f>
        <v/>
      </c>
      <c r="U481" s="59">
        <f>IF(P481="","",IFERROR(INDEX('Semrush Data'!$A$1:$Z$20000,MATCH(P481,'Semrush Data'!$A$1:$A$20000,0),MATCH("Volume",'Semrush Data'!$A$1:$Z$1,0)),""))</f>
        <v/>
      </c>
      <c r="V481" s="60">
        <f>IF(COUNT(Q481:U481)=0,L481,IF(MAX(Q481:U481)=0,L481,INDEX(L481:P481,MATCH(MAX(Q481:U481),Q481:U481,0))))</f>
        <v/>
      </c>
      <c r="W481" s="59">
        <f>IFERROR(INDEX('Semrush Data'!$A$1:$Z$20000,MATCH(V481,'Semrush Data'!$A$1:$A$20000,0),MATCH("Volume",'Semrush Data'!$A$1:$Z$1,0)),"")</f>
        <v/>
      </c>
      <c r="X481" s="59">
        <f>IFERROR(INDEX('Semrush Data'!$A$1:$Z$20000,MATCH(V481,'Semrush Data'!$A$1:$A$20000,0),MATCH("Keyword Difficulty*",'Semrush Data'!$A$1:$Z$1,0)),"")</f>
        <v/>
      </c>
      <c r="Y481" s="61">
        <f>IFERROR(INDEX('Semrush Data'!$A$1:$Z$20000,MATCH(V481,'Semrush Data'!$A$1:$A$20000,0),MATCH("CPC*",'Semrush Data'!$A$1:$Z$1,0)),"")</f>
        <v/>
      </c>
      <c r="Z481" s="58" t="inlineStr">
        <is>
          <t>signature d'orient perfume · signature d'orient perfume for men · woody perfume for men uk</t>
        </is>
      </c>
      <c r="AA481" s="58" t="inlineStr">
        <is>
          <t>signature black perfume pour homme · signature pour homme black</t>
        </is>
      </c>
      <c r="AB481" s="58" t="inlineStr">
        <is>
          <t>Signature Black Pour Homme EDP</t>
        </is>
      </c>
      <c r="AC481" s="58" t="inlineStr">
        <is>
          <t>Signature Black Pour Homme EDP | Buy Online UK | Swansura</t>
        </is>
      </c>
      <c r="AD481" s="58">
        <f>LEN(AC481)</f>
        <v/>
      </c>
      <c r="AE481" s="58" t="inlineStr">
        <is>
          <t>Buy Signature Black Pour Homme EDP online in the UK at Swansura. A woody men's eau de parfum, 100ml. 100% authentic, fast UK delivery, free over £50.</t>
        </is>
      </c>
      <c r="AF481" s="58">
        <f>LEN(AE481)</f>
        <v/>
      </c>
    </row>
    <row r="482" ht="15" customHeight="1" s="37">
      <c r="A482" s="58" t="inlineStr">
        <is>
          <t>FR-322</t>
        </is>
      </c>
      <c r="B482" s="58" t="inlineStr">
        <is>
          <t>Fragrance Catalogue</t>
        </is>
      </c>
      <c r="C482" s="58" t="n">
        <v>322</v>
      </c>
      <c r="D482" s="58" t="inlineStr">
        <is>
          <t>Signature D'orient</t>
        </is>
      </c>
      <c r="E482" s="58" t="n"/>
      <c r="F482" s="58" t="inlineStr">
        <is>
          <t>Fragrance</t>
        </is>
      </c>
      <c r="G482" s="58" t="inlineStr">
        <is>
          <t>Eau de Parfum (EDP)</t>
        </is>
      </c>
      <c r="H482" s="58" t="inlineStr">
        <is>
          <t>Amber · Unisex Fragrance</t>
        </is>
      </c>
      <c r="I482" s="58" t="inlineStr">
        <is>
          <t>Signature Charm EDP 100ML+15ML Refillable Travel Spray</t>
        </is>
      </c>
      <c r="J482" s="58" t="inlineStr">
        <is>
          <t>100ml</t>
        </is>
      </c>
      <c r="K482" s="58" t="n">
        <v>74.95</v>
      </c>
      <c r="L482" s="58" t="inlineStr">
        <is>
          <t>signature charm</t>
        </is>
      </c>
      <c r="M482" s="58" t="inlineStr">
        <is>
          <t>signature charm uk</t>
        </is>
      </c>
      <c r="N482" s="58" t="inlineStr">
        <is>
          <t>buy signature charm online</t>
        </is>
      </c>
      <c r="O482" s="58" t="inlineStr">
        <is>
          <t>signature charm price</t>
        </is>
      </c>
      <c r="P482" s="58" t="inlineStr">
        <is>
          <t>signature charm edp</t>
        </is>
      </c>
      <c r="Q482" s="59">
        <f>IF(L482="","",IFERROR(INDEX('Semrush Data'!$A$1:$Z$20000,MATCH(L482,'Semrush Data'!$A$1:$A$20000,0),MATCH("Volume",'Semrush Data'!$A$1:$Z$1,0)),""))</f>
        <v/>
      </c>
      <c r="R482" s="59">
        <f>IF(M482="","",IFERROR(INDEX('Semrush Data'!$A$1:$Z$20000,MATCH(M482,'Semrush Data'!$A$1:$A$20000,0),MATCH("Volume",'Semrush Data'!$A$1:$Z$1,0)),""))</f>
        <v/>
      </c>
      <c r="S482" s="59">
        <f>IF(N482="","",IFERROR(INDEX('Semrush Data'!$A$1:$Z$20000,MATCH(N482,'Semrush Data'!$A$1:$A$20000,0),MATCH("Volume",'Semrush Data'!$A$1:$Z$1,0)),""))</f>
        <v/>
      </c>
      <c r="T482" s="59">
        <f>IF(O482="","",IFERROR(INDEX('Semrush Data'!$A$1:$Z$20000,MATCH(O482,'Semrush Data'!$A$1:$A$20000,0),MATCH("Volume",'Semrush Data'!$A$1:$Z$1,0)),""))</f>
        <v/>
      </c>
      <c r="U482" s="59">
        <f>IF(P482="","",IFERROR(INDEX('Semrush Data'!$A$1:$Z$20000,MATCH(P482,'Semrush Data'!$A$1:$A$20000,0),MATCH("Volume",'Semrush Data'!$A$1:$Z$1,0)),""))</f>
        <v/>
      </c>
      <c r="V482" s="60">
        <f>IF(COUNT(Q482:U482)=0,L482,IF(MAX(Q482:U482)=0,L482,INDEX(L482:P482,MATCH(MAX(Q482:U482),Q482:U482,0))))</f>
        <v/>
      </c>
      <c r="W482" s="59">
        <f>IFERROR(INDEX('Semrush Data'!$A$1:$Z$20000,MATCH(V482,'Semrush Data'!$A$1:$A$20000,0),MATCH("Volume",'Semrush Data'!$A$1:$Z$1,0)),"")</f>
        <v/>
      </c>
      <c r="X482" s="59">
        <f>IFERROR(INDEX('Semrush Data'!$A$1:$Z$20000,MATCH(V482,'Semrush Data'!$A$1:$A$20000,0),MATCH("Keyword Difficulty*",'Semrush Data'!$A$1:$Z$1,0)),"")</f>
        <v/>
      </c>
      <c r="Y482" s="61">
        <f>IFERROR(INDEX('Semrush Data'!$A$1:$Z$20000,MATCH(V482,'Semrush Data'!$A$1:$A$20000,0),MATCH("CPC*",'Semrush Data'!$A$1:$Z$1,0)),"")</f>
        <v/>
      </c>
      <c r="Z482" s="58" t="inlineStr">
        <is>
          <t>signature d'orient perfume · amber perfume uk</t>
        </is>
      </c>
      <c r="AA482" s="58" t="inlineStr">
        <is>
          <t>signature charm perfume</t>
        </is>
      </c>
      <c r="AB482" s="58" t="inlineStr">
        <is>
          <t>Signature Charm EDP</t>
        </is>
      </c>
      <c r="AC482" s="58" t="inlineStr">
        <is>
          <t>Signature Charm EDP 100ml | Buy Online UK | Swansura</t>
        </is>
      </c>
      <c r="AD482" s="58">
        <f>LEN(AC482)</f>
        <v/>
      </c>
      <c r="AE482" s="58" t="inlineStr">
        <is>
          <t>Buy Signature Charm EDP online in the UK at Swansura. An amber unisex eau de parfum, 100ml. 100% authentic, fast UK delivery, free over £50.</t>
        </is>
      </c>
      <c r="AF482" s="58">
        <f>LEN(AE482)</f>
        <v/>
      </c>
    </row>
    <row r="483" ht="15" customHeight="1" s="37">
      <c r="A483" s="58" t="inlineStr">
        <is>
          <t>FR-323</t>
        </is>
      </c>
      <c r="B483" s="58" t="inlineStr">
        <is>
          <t>Fragrance Catalogue</t>
        </is>
      </c>
      <c r="C483" s="58" t="n">
        <v>323</v>
      </c>
      <c r="D483" s="58" t="inlineStr">
        <is>
          <t>Signature D'orient</t>
        </is>
      </c>
      <c r="E483" s="58" t="n"/>
      <c r="F483" s="58" t="inlineStr">
        <is>
          <t>Fragrance</t>
        </is>
      </c>
      <c r="G483" s="58" t="inlineStr">
        <is>
          <t>Eau de Parfum (EDP)</t>
        </is>
      </c>
      <c r="H483" s="58" t="inlineStr">
        <is>
          <t>Floral · Women's Fragrance</t>
        </is>
      </c>
      <c r="I483" s="58" t="inlineStr">
        <is>
          <t>Signature Le Femme Gold 100ml EDP Spray</t>
        </is>
      </c>
      <c r="J483" s="58" t="inlineStr">
        <is>
          <t>100ml</t>
        </is>
      </c>
      <c r="K483" s="58" t="n">
        <v>42.99</v>
      </c>
      <c r="L483" s="58" t="inlineStr">
        <is>
          <t>signature le femme gold</t>
        </is>
      </c>
      <c r="M483" s="58" t="inlineStr">
        <is>
          <t>signature le femme gold uk</t>
        </is>
      </c>
      <c r="N483" s="58" t="inlineStr">
        <is>
          <t>buy signature le femme gold online</t>
        </is>
      </c>
      <c r="O483" s="58" t="inlineStr">
        <is>
          <t>signature le femme gold price</t>
        </is>
      </c>
      <c r="P483" s="58" t="inlineStr">
        <is>
          <t>signature le femme gold edp</t>
        </is>
      </c>
      <c r="Q483" s="59">
        <f>IF(L483="","",IFERROR(INDEX('Semrush Data'!$A$1:$Z$20000,MATCH(L483,'Semrush Data'!$A$1:$A$20000,0),MATCH("Volume",'Semrush Data'!$A$1:$Z$1,0)),""))</f>
        <v/>
      </c>
      <c r="R483" s="59">
        <f>IF(M483="","",IFERROR(INDEX('Semrush Data'!$A$1:$Z$20000,MATCH(M483,'Semrush Data'!$A$1:$A$20000,0),MATCH("Volume",'Semrush Data'!$A$1:$Z$1,0)),""))</f>
        <v/>
      </c>
      <c r="S483" s="59">
        <f>IF(N483="","",IFERROR(INDEX('Semrush Data'!$A$1:$Z$20000,MATCH(N483,'Semrush Data'!$A$1:$A$20000,0),MATCH("Volume",'Semrush Data'!$A$1:$Z$1,0)),""))</f>
        <v/>
      </c>
      <c r="T483" s="59">
        <f>IF(O483="","",IFERROR(INDEX('Semrush Data'!$A$1:$Z$20000,MATCH(O483,'Semrush Data'!$A$1:$A$20000,0),MATCH("Volume",'Semrush Data'!$A$1:$Z$1,0)),""))</f>
        <v/>
      </c>
      <c r="U483" s="59">
        <f>IF(P483="","",IFERROR(INDEX('Semrush Data'!$A$1:$Z$20000,MATCH(P483,'Semrush Data'!$A$1:$A$20000,0),MATCH("Volume",'Semrush Data'!$A$1:$Z$1,0)),""))</f>
        <v/>
      </c>
      <c r="V483" s="60">
        <f>IF(COUNT(Q483:U483)=0,L483,IF(MAX(Q483:U483)=0,L483,INDEX(L483:P483,MATCH(MAX(Q483:U483),Q483:U483,0))))</f>
        <v/>
      </c>
      <c r="W483" s="59">
        <f>IFERROR(INDEX('Semrush Data'!$A$1:$Z$20000,MATCH(V483,'Semrush Data'!$A$1:$A$20000,0),MATCH("Volume",'Semrush Data'!$A$1:$Z$1,0)),"")</f>
        <v/>
      </c>
      <c r="X483" s="59">
        <f>IFERROR(INDEX('Semrush Data'!$A$1:$Z$20000,MATCH(V483,'Semrush Data'!$A$1:$A$20000,0),MATCH("Keyword Difficulty*",'Semrush Data'!$A$1:$Z$1,0)),"")</f>
        <v/>
      </c>
      <c r="Y483" s="61">
        <f>IFERROR(INDEX('Semrush Data'!$A$1:$Z$20000,MATCH(V483,'Semrush Data'!$A$1:$A$20000,0),MATCH("CPC*",'Semrush Data'!$A$1:$Z$1,0)),"")</f>
        <v/>
      </c>
      <c r="Z483" s="58" t="inlineStr">
        <is>
          <t>signature d'orient perfume · signature d'orient perfume for women · floral perfume for women uk</t>
        </is>
      </c>
      <c r="AA483" s="58" t="n"/>
      <c r="AB483" s="58" t="inlineStr">
        <is>
          <t>Signature Le Femme Gold EDP Spray</t>
        </is>
      </c>
      <c r="AC483" s="58" t="inlineStr">
        <is>
          <t>Signature Le Femme Gold EDP Spray | Buy Online UK | Swansura</t>
        </is>
      </c>
      <c r="AD483" s="58">
        <f>LEN(AC483)</f>
        <v/>
      </c>
      <c r="AE483" s="58" t="inlineStr">
        <is>
          <t>Buy Signature Le Femme Gold EDP Spray online in the UK at Swansura. A floral women's eau de parfum, 100ml. 100% authentic, fast UK delivery, free over £50.</t>
        </is>
      </c>
      <c r="AF483" s="58">
        <f>LEN(AE483)</f>
        <v/>
      </c>
    </row>
    <row r="484" ht="15" customHeight="1" s="37">
      <c r="A484" s="58" t="inlineStr">
        <is>
          <t>FR-324</t>
        </is>
      </c>
      <c r="B484" s="58" t="inlineStr">
        <is>
          <t>Fragrance Catalogue</t>
        </is>
      </c>
      <c r="C484" s="58" t="n">
        <v>324</v>
      </c>
      <c r="D484" s="58" t="inlineStr">
        <is>
          <t>Signature D'orient</t>
        </is>
      </c>
      <c r="E484" s="58" t="n"/>
      <c r="F484" s="58" t="inlineStr">
        <is>
          <t>Fragrance</t>
        </is>
      </c>
      <c r="G484" s="58" t="inlineStr">
        <is>
          <t>Eau de Parfum (EDP)</t>
        </is>
      </c>
      <c r="H484" s="58" t="inlineStr">
        <is>
          <t>Musk · Unisex Fragrance</t>
        </is>
      </c>
      <c r="I484" s="58" t="inlineStr">
        <is>
          <t>Signature Musk Eau De Parfum 100ml+15ml+Funnel (UNISEX)</t>
        </is>
      </c>
      <c r="J484" s="58" t="inlineStr">
        <is>
          <t>100ml</t>
        </is>
      </c>
      <c r="K484" s="58" t="n">
        <v>64.98999999999999</v>
      </c>
      <c r="L484" s="58" t="inlineStr">
        <is>
          <t>signature musk</t>
        </is>
      </c>
      <c r="M484" s="58" t="inlineStr">
        <is>
          <t>signature musk uk</t>
        </is>
      </c>
      <c r="N484" s="58" t="inlineStr">
        <is>
          <t>buy signature musk online</t>
        </is>
      </c>
      <c r="O484" s="58" t="inlineStr">
        <is>
          <t>signature musk price</t>
        </is>
      </c>
      <c r="P484" s="58" t="inlineStr">
        <is>
          <t>signature musk eau de parfum</t>
        </is>
      </c>
      <c r="Q484" s="59">
        <f>IF(L484="","",IFERROR(INDEX('Semrush Data'!$A$1:$Z$20000,MATCH(L484,'Semrush Data'!$A$1:$A$20000,0),MATCH("Volume",'Semrush Data'!$A$1:$Z$1,0)),""))</f>
        <v/>
      </c>
      <c r="R484" s="59">
        <f>IF(M484="","",IFERROR(INDEX('Semrush Data'!$A$1:$Z$20000,MATCH(M484,'Semrush Data'!$A$1:$A$20000,0),MATCH("Volume",'Semrush Data'!$A$1:$Z$1,0)),""))</f>
        <v/>
      </c>
      <c r="S484" s="59">
        <f>IF(N484="","",IFERROR(INDEX('Semrush Data'!$A$1:$Z$20000,MATCH(N484,'Semrush Data'!$A$1:$A$20000,0),MATCH("Volume",'Semrush Data'!$A$1:$Z$1,0)),""))</f>
        <v/>
      </c>
      <c r="T484" s="59">
        <f>IF(O484="","",IFERROR(INDEX('Semrush Data'!$A$1:$Z$20000,MATCH(O484,'Semrush Data'!$A$1:$A$20000,0),MATCH("Volume",'Semrush Data'!$A$1:$Z$1,0)),""))</f>
        <v/>
      </c>
      <c r="U484" s="59">
        <f>IF(P484="","",IFERROR(INDEX('Semrush Data'!$A$1:$Z$20000,MATCH(P484,'Semrush Data'!$A$1:$A$20000,0),MATCH("Volume",'Semrush Data'!$A$1:$Z$1,0)),""))</f>
        <v/>
      </c>
      <c r="V484" s="60">
        <f>IF(COUNT(Q484:U484)=0,L484,IF(MAX(Q484:U484)=0,L484,INDEX(L484:P484,MATCH(MAX(Q484:U484),Q484:U484,0))))</f>
        <v/>
      </c>
      <c r="W484" s="59">
        <f>IFERROR(INDEX('Semrush Data'!$A$1:$Z$20000,MATCH(V484,'Semrush Data'!$A$1:$A$20000,0),MATCH("Volume",'Semrush Data'!$A$1:$Z$1,0)),"")</f>
        <v/>
      </c>
      <c r="X484" s="59">
        <f>IFERROR(INDEX('Semrush Data'!$A$1:$Z$20000,MATCH(V484,'Semrush Data'!$A$1:$A$20000,0),MATCH("Keyword Difficulty*",'Semrush Data'!$A$1:$Z$1,0)),"")</f>
        <v/>
      </c>
      <c r="Y484" s="61">
        <f>IFERROR(INDEX('Semrush Data'!$A$1:$Z$20000,MATCH(V484,'Semrush Data'!$A$1:$A$20000,0),MATCH("CPC*",'Semrush Data'!$A$1:$Z$1,0)),"")</f>
        <v/>
      </c>
      <c r="Z484" s="58" t="inlineStr">
        <is>
          <t>signature d'orient perfume · musk perfume uk</t>
        </is>
      </c>
      <c r="AA484" s="58" t="inlineStr">
        <is>
          <t>signature musk perfume</t>
        </is>
      </c>
      <c r="AB484" s="58" t="inlineStr">
        <is>
          <t>Signature Musk Eau De Parfum</t>
        </is>
      </c>
      <c r="AC484" s="58" t="inlineStr">
        <is>
          <t>Signature Musk Eau De Parfum | Buy Online UK | Swansura</t>
        </is>
      </c>
      <c r="AD484" s="58">
        <f>LEN(AC484)</f>
        <v/>
      </c>
      <c r="AE484" s="58" t="inlineStr">
        <is>
          <t>Buy Signature Musk Eau De Parfum online in the UK at Swansura. A musk unisex eau de parfum, 100ml. 100% authentic, fast UK delivery, free over £50.</t>
        </is>
      </c>
      <c r="AF484" s="58">
        <f>LEN(AE484)</f>
        <v/>
      </c>
    </row>
    <row r="485" ht="15" customHeight="1" s="37">
      <c r="A485" s="58" t="inlineStr">
        <is>
          <t>FR-325</t>
        </is>
      </c>
      <c r="B485" s="58" t="inlineStr">
        <is>
          <t>Fragrance Catalogue</t>
        </is>
      </c>
      <c r="C485" s="58" t="n">
        <v>325</v>
      </c>
      <c r="D485" s="58" t="inlineStr">
        <is>
          <t>Signature D'orient</t>
        </is>
      </c>
      <c r="E485" s="58" t="n"/>
      <c r="F485" s="58" t="inlineStr">
        <is>
          <t>Fragrance</t>
        </is>
      </c>
      <c r="G485" s="58" t="inlineStr">
        <is>
          <t>Eau de Parfum (EDP)</t>
        </is>
      </c>
      <c r="H485" s="58" t="inlineStr">
        <is>
          <t>Amber · Unisex Fragrance</t>
        </is>
      </c>
      <c r="I485" s="58" t="inlineStr">
        <is>
          <t>Signature Onyx Eau De Parfum 100ml+15ml+Funnel (UNISEX)</t>
        </is>
      </c>
      <c r="J485" s="58" t="inlineStr">
        <is>
          <t>100ml</t>
        </is>
      </c>
      <c r="K485" s="58" t="n">
        <v>64.98999999999999</v>
      </c>
      <c r="L485" s="58" t="inlineStr">
        <is>
          <t>signature onyx</t>
        </is>
      </c>
      <c r="M485" s="58" t="inlineStr">
        <is>
          <t>signature onyx uk</t>
        </is>
      </c>
      <c r="N485" s="58" t="inlineStr">
        <is>
          <t>buy signature onyx online</t>
        </is>
      </c>
      <c r="O485" s="58" t="inlineStr">
        <is>
          <t>signature onyx price</t>
        </is>
      </c>
      <c r="P485" s="58" t="inlineStr">
        <is>
          <t>signature onyx eau de parfum</t>
        </is>
      </c>
      <c r="Q485" s="59">
        <f>IF(L485="","",IFERROR(INDEX('Semrush Data'!$A$1:$Z$20000,MATCH(L485,'Semrush Data'!$A$1:$A$20000,0),MATCH("Volume",'Semrush Data'!$A$1:$Z$1,0)),""))</f>
        <v/>
      </c>
      <c r="R485" s="59">
        <f>IF(M485="","",IFERROR(INDEX('Semrush Data'!$A$1:$Z$20000,MATCH(M485,'Semrush Data'!$A$1:$A$20000,0),MATCH("Volume",'Semrush Data'!$A$1:$Z$1,0)),""))</f>
        <v/>
      </c>
      <c r="S485" s="59">
        <f>IF(N485="","",IFERROR(INDEX('Semrush Data'!$A$1:$Z$20000,MATCH(N485,'Semrush Data'!$A$1:$A$20000,0),MATCH("Volume",'Semrush Data'!$A$1:$Z$1,0)),""))</f>
        <v/>
      </c>
      <c r="T485" s="59">
        <f>IF(O485="","",IFERROR(INDEX('Semrush Data'!$A$1:$Z$20000,MATCH(O485,'Semrush Data'!$A$1:$A$20000,0),MATCH("Volume",'Semrush Data'!$A$1:$Z$1,0)),""))</f>
        <v/>
      </c>
      <c r="U485" s="59">
        <f>IF(P485="","",IFERROR(INDEX('Semrush Data'!$A$1:$Z$20000,MATCH(P485,'Semrush Data'!$A$1:$A$20000,0),MATCH("Volume",'Semrush Data'!$A$1:$Z$1,0)),""))</f>
        <v/>
      </c>
      <c r="V485" s="60">
        <f>IF(COUNT(Q485:U485)=0,L485,IF(MAX(Q485:U485)=0,L485,INDEX(L485:P485,MATCH(MAX(Q485:U485),Q485:U485,0))))</f>
        <v/>
      </c>
      <c r="W485" s="59">
        <f>IFERROR(INDEX('Semrush Data'!$A$1:$Z$20000,MATCH(V485,'Semrush Data'!$A$1:$A$20000,0),MATCH("Volume",'Semrush Data'!$A$1:$Z$1,0)),"")</f>
        <v/>
      </c>
      <c r="X485" s="59">
        <f>IFERROR(INDEX('Semrush Data'!$A$1:$Z$20000,MATCH(V485,'Semrush Data'!$A$1:$A$20000,0),MATCH("Keyword Difficulty*",'Semrush Data'!$A$1:$Z$1,0)),"")</f>
        <v/>
      </c>
      <c r="Y485" s="61">
        <f>IFERROR(INDEX('Semrush Data'!$A$1:$Z$20000,MATCH(V485,'Semrush Data'!$A$1:$A$20000,0),MATCH("CPC*",'Semrush Data'!$A$1:$Z$1,0)),"")</f>
        <v/>
      </c>
      <c r="Z485" s="58" t="inlineStr">
        <is>
          <t>signature d'orient perfume · amber perfume uk</t>
        </is>
      </c>
      <c r="AA485" s="58" t="inlineStr">
        <is>
          <t>signature onyx perfume · signature onyx eau de parfum · signature onyx perfume price · signature onyx 100ml · signature onyx edp</t>
        </is>
      </c>
      <c r="AB485" s="58" t="inlineStr">
        <is>
          <t>Signature Onyx Eau De Parfum</t>
        </is>
      </c>
      <c r="AC485" s="58" t="inlineStr">
        <is>
          <t>Signature Onyx Eau De Parfum | Buy Online UK | Swansura</t>
        </is>
      </c>
      <c r="AD485" s="58">
        <f>LEN(AC485)</f>
        <v/>
      </c>
      <c r="AE485" s="58" t="inlineStr">
        <is>
          <t>Buy Signature Onyx Eau De Parfum online in the UK at Swansura. An amber unisex eau de parfum, 100ml. 100% authentic, fast UK delivery, free over £50.</t>
        </is>
      </c>
      <c r="AF485" s="58">
        <f>LEN(AE485)</f>
        <v/>
      </c>
    </row>
    <row r="486" ht="15" customHeight="1" s="37">
      <c r="A486" s="58" t="inlineStr">
        <is>
          <t>FR-326</t>
        </is>
      </c>
      <c r="B486" s="58" t="inlineStr">
        <is>
          <t>Fragrance Catalogue</t>
        </is>
      </c>
      <c r="C486" s="58" t="n">
        <v>326</v>
      </c>
      <c r="D486" s="58" t="inlineStr">
        <is>
          <t>Signature D'orient</t>
        </is>
      </c>
      <c r="E486" s="58" t="n"/>
      <c r="F486" s="58" t="inlineStr">
        <is>
          <t>Fragrance</t>
        </is>
      </c>
      <c r="G486" s="58" t="inlineStr">
        <is>
          <t>Eau de Parfum (EDP)</t>
        </is>
      </c>
      <c r="H486" s="58" t="inlineStr">
        <is>
          <t>Amber · Unisex Fragrance</t>
        </is>
      </c>
      <c r="I486" s="58" t="inlineStr">
        <is>
          <t>Signature Opal 100ml + 15ml Eau De Parfum</t>
        </is>
      </c>
      <c r="J486" s="58" t="inlineStr">
        <is>
          <t>100ml</t>
        </is>
      </c>
      <c r="K486" s="58" t="n">
        <v>64.98999999999999</v>
      </c>
      <c r="L486" s="58" t="inlineStr">
        <is>
          <t>signature opal</t>
        </is>
      </c>
      <c r="M486" s="58" t="inlineStr">
        <is>
          <t>signature opal uk</t>
        </is>
      </c>
      <c r="N486" s="58" t="inlineStr">
        <is>
          <t>buy signature opal online</t>
        </is>
      </c>
      <c r="O486" s="58" t="inlineStr">
        <is>
          <t>signature opal price</t>
        </is>
      </c>
      <c r="P486" s="58" t="inlineStr">
        <is>
          <t>signature opal eau de parfum</t>
        </is>
      </c>
      <c r="Q486" s="59">
        <f>IF(L486="","",IFERROR(INDEX('Semrush Data'!$A$1:$Z$20000,MATCH(L486,'Semrush Data'!$A$1:$A$20000,0),MATCH("Volume",'Semrush Data'!$A$1:$Z$1,0)),""))</f>
        <v/>
      </c>
      <c r="R486" s="59">
        <f>IF(M486="","",IFERROR(INDEX('Semrush Data'!$A$1:$Z$20000,MATCH(M486,'Semrush Data'!$A$1:$A$20000,0),MATCH("Volume",'Semrush Data'!$A$1:$Z$1,0)),""))</f>
        <v/>
      </c>
      <c r="S486" s="59">
        <f>IF(N486="","",IFERROR(INDEX('Semrush Data'!$A$1:$Z$20000,MATCH(N486,'Semrush Data'!$A$1:$A$20000,0),MATCH("Volume",'Semrush Data'!$A$1:$Z$1,0)),""))</f>
        <v/>
      </c>
      <c r="T486" s="59">
        <f>IF(O486="","",IFERROR(INDEX('Semrush Data'!$A$1:$Z$20000,MATCH(O486,'Semrush Data'!$A$1:$A$20000,0),MATCH("Volume",'Semrush Data'!$A$1:$Z$1,0)),""))</f>
        <v/>
      </c>
      <c r="U486" s="59">
        <f>IF(P486="","",IFERROR(INDEX('Semrush Data'!$A$1:$Z$20000,MATCH(P486,'Semrush Data'!$A$1:$A$20000,0),MATCH("Volume",'Semrush Data'!$A$1:$Z$1,0)),""))</f>
        <v/>
      </c>
      <c r="V486" s="60">
        <f>IF(COUNT(Q486:U486)=0,L486,IF(MAX(Q486:U486)=0,L486,INDEX(L486:P486,MATCH(MAX(Q486:U486),Q486:U486,0))))</f>
        <v/>
      </c>
      <c r="W486" s="59">
        <f>IFERROR(INDEX('Semrush Data'!$A$1:$Z$20000,MATCH(V486,'Semrush Data'!$A$1:$A$20000,0),MATCH("Volume",'Semrush Data'!$A$1:$Z$1,0)),"")</f>
        <v/>
      </c>
      <c r="X486" s="59">
        <f>IFERROR(INDEX('Semrush Data'!$A$1:$Z$20000,MATCH(V486,'Semrush Data'!$A$1:$A$20000,0),MATCH("Keyword Difficulty*",'Semrush Data'!$A$1:$Z$1,0)),"")</f>
        <v/>
      </c>
      <c r="Y486" s="61">
        <f>IFERROR(INDEX('Semrush Data'!$A$1:$Z$20000,MATCH(V486,'Semrush Data'!$A$1:$A$20000,0),MATCH("CPC*",'Semrush Data'!$A$1:$Z$1,0)),"")</f>
        <v/>
      </c>
      <c r="Z486" s="58" t="inlineStr">
        <is>
          <t>signature d'orient perfume · amber perfume uk</t>
        </is>
      </c>
      <c r="AA486" s="58" t="inlineStr">
        <is>
          <t>signature opal perfume · signature opal edp · signature opal отзывы · signature opal parfum</t>
        </is>
      </c>
      <c r="AB486" s="58" t="inlineStr">
        <is>
          <t>Signature Opal</t>
        </is>
      </c>
      <c r="AC486" s="58" t="inlineStr">
        <is>
          <t>Signature Opal EDP 100ml | Buy Online UK | Swansura</t>
        </is>
      </c>
      <c r="AD486" s="58">
        <f>LEN(AC486)</f>
        <v/>
      </c>
      <c r="AE486" s="58" t="inlineStr">
        <is>
          <t>Buy Signature Opal online in the UK at Swansura. An amber unisex eau de parfum, 100ml. 100% authentic, fast UK delivery, free over £50.</t>
        </is>
      </c>
      <c r="AF486" s="58">
        <f>LEN(AE486)</f>
        <v/>
      </c>
    </row>
    <row r="487" ht="15" customHeight="1" s="37">
      <c r="A487" s="58" t="inlineStr">
        <is>
          <t>FR-327</t>
        </is>
      </c>
      <c r="B487" s="58" t="inlineStr">
        <is>
          <t>Fragrance Catalogue</t>
        </is>
      </c>
      <c r="C487" s="58" t="n">
        <v>327</v>
      </c>
      <c r="D487" s="58" t="inlineStr">
        <is>
          <t>Signature D'orient</t>
        </is>
      </c>
      <c r="E487" s="58" t="n"/>
      <c r="F487" s="58" t="inlineStr">
        <is>
          <t>Fragrance</t>
        </is>
      </c>
      <c r="G487" s="58" t="inlineStr">
        <is>
          <t>Eau de Parfum (EDP)</t>
        </is>
      </c>
      <c r="H487" s="58" t="inlineStr">
        <is>
          <t>Amber · Unisex Fragrance</t>
        </is>
      </c>
      <c r="I487" s="58" t="inlineStr">
        <is>
          <t>Signature Paradiso EDP 100ML+15ML Refillable Travel Spray</t>
        </is>
      </c>
      <c r="J487" s="58" t="inlineStr">
        <is>
          <t>100ml</t>
        </is>
      </c>
      <c r="K487" s="58" t="n">
        <v>74.95</v>
      </c>
      <c r="L487" s="58" t="inlineStr">
        <is>
          <t>signature paradiso</t>
        </is>
      </c>
      <c r="M487" s="58" t="inlineStr">
        <is>
          <t>signature paradiso uk</t>
        </is>
      </c>
      <c r="N487" s="58" t="inlineStr">
        <is>
          <t>buy signature paradiso online</t>
        </is>
      </c>
      <c r="O487" s="58" t="inlineStr">
        <is>
          <t>signature paradiso price</t>
        </is>
      </c>
      <c r="P487" s="58" t="inlineStr">
        <is>
          <t>signature paradiso edp</t>
        </is>
      </c>
      <c r="Q487" s="59">
        <f>IF(L487="","",IFERROR(INDEX('Semrush Data'!$A$1:$Z$20000,MATCH(L487,'Semrush Data'!$A$1:$A$20000,0),MATCH("Volume",'Semrush Data'!$A$1:$Z$1,0)),""))</f>
        <v/>
      </c>
      <c r="R487" s="59">
        <f>IF(M487="","",IFERROR(INDEX('Semrush Data'!$A$1:$Z$20000,MATCH(M487,'Semrush Data'!$A$1:$A$20000,0),MATCH("Volume",'Semrush Data'!$A$1:$Z$1,0)),""))</f>
        <v/>
      </c>
      <c r="S487" s="59">
        <f>IF(N487="","",IFERROR(INDEX('Semrush Data'!$A$1:$Z$20000,MATCH(N487,'Semrush Data'!$A$1:$A$20000,0),MATCH("Volume",'Semrush Data'!$A$1:$Z$1,0)),""))</f>
        <v/>
      </c>
      <c r="T487" s="59">
        <f>IF(O487="","",IFERROR(INDEX('Semrush Data'!$A$1:$Z$20000,MATCH(O487,'Semrush Data'!$A$1:$A$20000,0),MATCH("Volume",'Semrush Data'!$A$1:$Z$1,0)),""))</f>
        <v/>
      </c>
      <c r="U487" s="59">
        <f>IF(P487="","",IFERROR(INDEX('Semrush Data'!$A$1:$Z$20000,MATCH(P487,'Semrush Data'!$A$1:$A$20000,0),MATCH("Volume",'Semrush Data'!$A$1:$Z$1,0)),""))</f>
        <v/>
      </c>
      <c r="V487" s="60">
        <f>IF(COUNT(Q487:U487)=0,L487,IF(MAX(Q487:U487)=0,L487,INDEX(L487:P487,MATCH(MAX(Q487:U487),Q487:U487,0))))</f>
        <v/>
      </c>
      <c r="W487" s="59">
        <f>IFERROR(INDEX('Semrush Data'!$A$1:$Z$20000,MATCH(V487,'Semrush Data'!$A$1:$A$20000,0),MATCH("Volume",'Semrush Data'!$A$1:$Z$1,0)),"")</f>
        <v/>
      </c>
      <c r="X487" s="59">
        <f>IFERROR(INDEX('Semrush Data'!$A$1:$Z$20000,MATCH(V487,'Semrush Data'!$A$1:$A$20000,0),MATCH("Keyword Difficulty*",'Semrush Data'!$A$1:$Z$1,0)),"")</f>
        <v/>
      </c>
      <c r="Y487" s="61">
        <f>IFERROR(INDEX('Semrush Data'!$A$1:$Z$20000,MATCH(V487,'Semrush Data'!$A$1:$A$20000,0),MATCH("CPC*",'Semrush Data'!$A$1:$Z$1,0)),"")</f>
        <v/>
      </c>
      <c r="Z487" s="58" t="inlineStr">
        <is>
          <t>signature d'orient perfume · amber perfume uk</t>
        </is>
      </c>
      <c r="AA487" s="58" t="inlineStr">
        <is>
          <t>signature paradiso perfume · signature paradiso eau de parfum · signature paradiso edt · signature paradiso parfum · signature paradiso отзывы</t>
        </is>
      </c>
      <c r="AB487" s="58" t="inlineStr">
        <is>
          <t>Signature Paradiso EDP</t>
        </is>
      </c>
      <c r="AC487" s="58" t="inlineStr">
        <is>
          <t>Signature Paradiso EDP 100ml | Buy Online UK | Swansura</t>
        </is>
      </c>
      <c r="AD487" s="58">
        <f>LEN(AC487)</f>
        <v/>
      </c>
      <c r="AE487" s="58" t="inlineStr">
        <is>
          <t>Buy Signature Paradiso EDP online in the UK at Swansura. An amber unisex eau de parfum, 100ml. 100% authentic, fast UK delivery, free over £50.</t>
        </is>
      </c>
      <c r="AF487" s="58">
        <f>LEN(AE487)</f>
        <v/>
      </c>
    </row>
    <row r="488" ht="15" customHeight="1" s="37">
      <c r="A488" s="58" t="inlineStr">
        <is>
          <t>FR-328</t>
        </is>
      </c>
      <c r="B488" s="58" t="inlineStr">
        <is>
          <t>Fragrance Catalogue</t>
        </is>
      </c>
      <c r="C488" s="58" t="n">
        <v>328</v>
      </c>
      <c r="D488" s="58" t="inlineStr">
        <is>
          <t>Signature D'orient</t>
        </is>
      </c>
      <c r="E488" s="58" t="n"/>
      <c r="F488" s="58" t="inlineStr">
        <is>
          <t>Fragrance</t>
        </is>
      </c>
      <c r="G488" s="58" t="inlineStr">
        <is>
          <t>Eau de Parfum (EDP)</t>
        </is>
      </c>
      <c r="H488" s="58" t="inlineStr">
        <is>
          <t>Amber · Unisex Fragrance</t>
        </is>
      </c>
      <c r="I488" s="58" t="inlineStr">
        <is>
          <t>Signature Santal Eau De Parfum 100ml+15ml (UNISEX)</t>
        </is>
      </c>
      <c r="J488" s="58" t="inlineStr">
        <is>
          <t>100ml</t>
        </is>
      </c>
      <c r="K488" s="58" t="n">
        <v>65.98999999999999</v>
      </c>
      <c r="L488" s="58" t="inlineStr">
        <is>
          <t>signature santal</t>
        </is>
      </c>
      <c r="M488" s="58" t="inlineStr">
        <is>
          <t>signature santal uk</t>
        </is>
      </c>
      <c r="N488" s="58" t="inlineStr">
        <is>
          <t>buy signature santal online</t>
        </is>
      </c>
      <c r="O488" s="58" t="inlineStr">
        <is>
          <t>signature santal price</t>
        </is>
      </c>
      <c r="P488" s="58" t="inlineStr">
        <is>
          <t>signature santal eau de parfum</t>
        </is>
      </c>
      <c r="Q488" s="59">
        <f>IF(L488="","",IFERROR(INDEX('Semrush Data'!$A$1:$Z$20000,MATCH(L488,'Semrush Data'!$A$1:$A$20000,0),MATCH("Volume",'Semrush Data'!$A$1:$Z$1,0)),""))</f>
        <v/>
      </c>
      <c r="R488" s="59">
        <f>IF(M488="","",IFERROR(INDEX('Semrush Data'!$A$1:$Z$20000,MATCH(M488,'Semrush Data'!$A$1:$A$20000,0),MATCH("Volume",'Semrush Data'!$A$1:$Z$1,0)),""))</f>
        <v/>
      </c>
      <c r="S488" s="59">
        <f>IF(N488="","",IFERROR(INDEX('Semrush Data'!$A$1:$Z$20000,MATCH(N488,'Semrush Data'!$A$1:$A$20000,0),MATCH("Volume",'Semrush Data'!$A$1:$Z$1,0)),""))</f>
        <v/>
      </c>
      <c r="T488" s="59">
        <f>IF(O488="","",IFERROR(INDEX('Semrush Data'!$A$1:$Z$20000,MATCH(O488,'Semrush Data'!$A$1:$A$20000,0),MATCH("Volume",'Semrush Data'!$A$1:$Z$1,0)),""))</f>
        <v/>
      </c>
      <c r="U488" s="59">
        <f>IF(P488="","",IFERROR(INDEX('Semrush Data'!$A$1:$Z$20000,MATCH(P488,'Semrush Data'!$A$1:$A$20000,0),MATCH("Volume",'Semrush Data'!$A$1:$Z$1,0)),""))</f>
        <v/>
      </c>
      <c r="V488" s="60">
        <f>IF(COUNT(Q488:U488)=0,L488,IF(MAX(Q488:U488)=0,L488,INDEX(L488:P488,MATCH(MAX(Q488:U488),Q488:U488,0))))</f>
        <v/>
      </c>
      <c r="W488" s="59">
        <f>IFERROR(INDEX('Semrush Data'!$A$1:$Z$20000,MATCH(V488,'Semrush Data'!$A$1:$A$20000,0),MATCH("Volume",'Semrush Data'!$A$1:$Z$1,0)),"")</f>
        <v/>
      </c>
      <c r="X488" s="59">
        <f>IFERROR(INDEX('Semrush Data'!$A$1:$Z$20000,MATCH(V488,'Semrush Data'!$A$1:$A$20000,0),MATCH("Keyword Difficulty*",'Semrush Data'!$A$1:$Z$1,0)),"")</f>
        <v/>
      </c>
      <c r="Y488" s="61">
        <f>IFERROR(INDEX('Semrush Data'!$A$1:$Z$20000,MATCH(V488,'Semrush Data'!$A$1:$A$20000,0),MATCH("CPC*",'Semrush Data'!$A$1:$Z$1,0)),"")</f>
        <v/>
      </c>
      <c r="Z488" s="58" t="inlineStr">
        <is>
          <t>signature d'orient perfume · amber perfume uk</t>
        </is>
      </c>
      <c r="AA488" s="58" t="inlineStr">
        <is>
          <t>signature santal perfume · signature santal edp · signature santal notes · signature santal oil · signature santal eau de parfum · signature santal отзывы</t>
        </is>
      </c>
      <c r="AB488" s="58" t="inlineStr">
        <is>
          <t>Signature Santal Eau De Parfum</t>
        </is>
      </c>
      <c r="AC488" s="58" t="inlineStr">
        <is>
          <t>Signature Santal Eau De Parfum | Buy Online UK | Swansura</t>
        </is>
      </c>
      <c r="AD488" s="58">
        <f>LEN(AC488)</f>
        <v/>
      </c>
      <c r="AE488" s="58" t="inlineStr">
        <is>
          <t>Buy Signature Santal Eau De Parfum online in the UK at Swansura. An amber unisex eau de parfum, 100ml. 100% authentic, fast UK delivery, free over £50.</t>
        </is>
      </c>
      <c r="AF488" s="58">
        <f>LEN(AE488)</f>
        <v/>
      </c>
    </row>
    <row r="489" ht="15" customHeight="1" s="37">
      <c r="A489" s="58" t="inlineStr">
        <is>
          <t>FR-329</t>
        </is>
      </c>
      <c r="B489" s="58" t="inlineStr">
        <is>
          <t>Fragrance Catalogue</t>
        </is>
      </c>
      <c r="C489" s="58" t="n">
        <v>329</v>
      </c>
      <c r="D489" s="58" t="inlineStr">
        <is>
          <t>Signature D'orient</t>
        </is>
      </c>
      <c r="E489" s="58" t="n"/>
      <c r="F489" s="58" t="inlineStr">
        <is>
          <t>Fragrance</t>
        </is>
      </c>
      <c r="G489" s="58" t="inlineStr">
        <is>
          <t>Eau de Parfum (EDP)</t>
        </is>
      </c>
      <c r="H489" s="58" t="inlineStr">
        <is>
          <t>Amber · Unisex Fragrance</t>
        </is>
      </c>
      <c r="I489" s="58" t="inlineStr">
        <is>
          <t>Signature Sapphire Eau De Parfum 100ml+15ml+Funnel (UNISEX)</t>
        </is>
      </c>
      <c r="J489" s="58" t="inlineStr">
        <is>
          <t>100ml</t>
        </is>
      </c>
      <c r="K489" s="58" t="n">
        <v>64.98999999999999</v>
      </c>
      <c r="L489" s="58" t="inlineStr">
        <is>
          <t>signature sapphire</t>
        </is>
      </c>
      <c r="M489" s="58" t="inlineStr">
        <is>
          <t>signature sapphire uk</t>
        </is>
      </c>
      <c r="N489" s="58" t="inlineStr">
        <is>
          <t>buy signature sapphire online</t>
        </is>
      </c>
      <c r="O489" s="58" t="inlineStr">
        <is>
          <t>signature sapphire price</t>
        </is>
      </c>
      <c r="P489" s="58" t="inlineStr">
        <is>
          <t>signature sapphire eau de parfum</t>
        </is>
      </c>
      <c r="Q489" s="59">
        <f>IF(L489="","",IFERROR(INDEX('Semrush Data'!$A$1:$Z$20000,MATCH(L489,'Semrush Data'!$A$1:$A$20000,0),MATCH("Volume",'Semrush Data'!$A$1:$Z$1,0)),""))</f>
        <v/>
      </c>
      <c r="R489" s="59">
        <f>IF(M489="","",IFERROR(INDEX('Semrush Data'!$A$1:$Z$20000,MATCH(M489,'Semrush Data'!$A$1:$A$20000,0),MATCH("Volume",'Semrush Data'!$A$1:$Z$1,0)),""))</f>
        <v/>
      </c>
      <c r="S489" s="59">
        <f>IF(N489="","",IFERROR(INDEX('Semrush Data'!$A$1:$Z$20000,MATCH(N489,'Semrush Data'!$A$1:$A$20000,0),MATCH("Volume",'Semrush Data'!$A$1:$Z$1,0)),""))</f>
        <v/>
      </c>
      <c r="T489" s="59">
        <f>IF(O489="","",IFERROR(INDEX('Semrush Data'!$A$1:$Z$20000,MATCH(O489,'Semrush Data'!$A$1:$A$20000,0),MATCH("Volume",'Semrush Data'!$A$1:$Z$1,0)),""))</f>
        <v/>
      </c>
      <c r="U489" s="59">
        <f>IF(P489="","",IFERROR(INDEX('Semrush Data'!$A$1:$Z$20000,MATCH(P489,'Semrush Data'!$A$1:$A$20000,0),MATCH("Volume",'Semrush Data'!$A$1:$Z$1,0)),""))</f>
        <v/>
      </c>
      <c r="V489" s="60">
        <f>IF(COUNT(Q489:U489)=0,L489,IF(MAX(Q489:U489)=0,L489,INDEX(L489:P489,MATCH(MAX(Q489:U489),Q489:U489,0))))</f>
        <v/>
      </c>
      <c r="W489" s="59">
        <f>IFERROR(INDEX('Semrush Data'!$A$1:$Z$20000,MATCH(V489,'Semrush Data'!$A$1:$A$20000,0),MATCH("Volume",'Semrush Data'!$A$1:$Z$1,0)),"")</f>
        <v/>
      </c>
      <c r="X489" s="59">
        <f>IFERROR(INDEX('Semrush Data'!$A$1:$Z$20000,MATCH(V489,'Semrush Data'!$A$1:$A$20000,0),MATCH("Keyword Difficulty*",'Semrush Data'!$A$1:$Z$1,0)),"")</f>
        <v/>
      </c>
      <c r="Y489" s="61">
        <f>IFERROR(INDEX('Semrush Data'!$A$1:$Z$20000,MATCH(V489,'Semrush Data'!$A$1:$A$20000,0),MATCH("CPC*",'Semrush Data'!$A$1:$Z$1,0)),"")</f>
        <v/>
      </c>
      <c r="Z489" s="58" t="inlineStr">
        <is>
          <t>signature d'orient perfume · amber perfume uk</t>
        </is>
      </c>
      <c r="AA489" s="58" t="inlineStr">
        <is>
          <t>signature sapphire perfume · signature sapphire eau de parfum · signature sapphire edp · sapphire signature sale</t>
        </is>
      </c>
      <c r="AB489" s="58" t="inlineStr">
        <is>
          <t>Signature Sapphire Eau De Parfum</t>
        </is>
      </c>
      <c r="AC489" s="58" t="inlineStr">
        <is>
          <t>Signature Sapphire Eau De Parfum | Buy Online UK | Swansura</t>
        </is>
      </c>
      <c r="AD489" s="58">
        <f>LEN(AC489)</f>
        <v/>
      </c>
      <c r="AE489" s="58" t="inlineStr">
        <is>
          <t>Buy Signature Sapphire Eau De Parfum online in the UK at Swansura. An amber unisex eau de parfum, 100ml. 100% authentic, fast UK delivery, free over £50.</t>
        </is>
      </c>
      <c r="AF489" s="58">
        <f>LEN(AE489)</f>
        <v/>
      </c>
    </row>
    <row r="490" ht="15" customHeight="1" s="37">
      <c r="A490" s="58" t="inlineStr">
        <is>
          <t>FR-330</t>
        </is>
      </c>
      <c r="B490" s="58" t="inlineStr">
        <is>
          <t>Fragrance Catalogue</t>
        </is>
      </c>
      <c r="C490" s="58" t="n">
        <v>330</v>
      </c>
      <c r="D490" s="58" t="inlineStr">
        <is>
          <t>Signature D'orient</t>
        </is>
      </c>
      <c r="E490" s="58" t="n"/>
      <c r="F490" s="58" t="inlineStr">
        <is>
          <t>Gift Set</t>
        </is>
      </c>
      <c r="G490" s="58" t="inlineStr">
        <is>
          <t>Eau de Parfum (EDP)</t>
        </is>
      </c>
      <c r="H490" s="58" t="inlineStr">
        <is>
          <t>Amber · Unisex Fragrance</t>
        </is>
      </c>
      <c r="I490" s="58" t="inlineStr">
        <is>
          <t>Signature Diamond 100ml +15ml Eau De Parfum Set</t>
        </is>
      </c>
      <c r="J490" s="58" t="inlineStr">
        <is>
          <t>100ml</t>
        </is>
      </c>
      <c r="K490" s="58" t="n">
        <v>64.98999999999999</v>
      </c>
      <c r="L490" s="58" t="inlineStr">
        <is>
          <t>signature diamond</t>
        </is>
      </c>
      <c r="M490" s="58" t="inlineStr">
        <is>
          <t>signature diamond uk</t>
        </is>
      </c>
      <c r="N490" s="58" t="inlineStr">
        <is>
          <t>buy signature diamond online</t>
        </is>
      </c>
      <c r="O490" s="58" t="inlineStr">
        <is>
          <t>signature diamond price</t>
        </is>
      </c>
      <c r="P490" s="58" t="inlineStr">
        <is>
          <t>signature diamond eau de parfum</t>
        </is>
      </c>
      <c r="Q490" s="59">
        <f>IF(L490="","",IFERROR(INDEX('Semrush Data'!$A$1:$Z$20000,MATCH(L490,'Semrush Data'!$A$1:$A$20000,0),MATCH("Volume",'Semrush Data'!$A$1:$Z$1,0)),""))</f>
        <v/>
      </c>
      <c r="R490" s="59">
        <f>IF(M490="","",IFERROR(INDEX('Semrush Data'!$A$1:$Z$20000,MATCH(M490,'Semrush Data'!$A$1:$A$20000,0),MATCH("Volume",'Semrush Data'!$A$1:$Z$1,0)),""))</f>
        <v/>
      </c>
      <c r="S490" s="59">
        <f>IF(N490="","",IFERROR(INDEX('Semrush Data'!$A$1:$Z$20000,MATCH(N490,'Semrush Data'!$A$1:$A$20000,0),MATCH("Volume",'Semrush Data'!$A$1:$Z$1,0)),""))</f>
        <v/>
      </c>
      <c r="T490" s="59">
        <f>IF(O490="","",IFERROR(INDEX('Semrush Data'!$A$1:$Z$20000,MATCH(O490,'Semrush Data'!$A$1:$A$20000,0),MATCH("Volume",'Semrush Data'!$A$1:$Z$1,0)),""))</f>
        <v/>
      </c>
      <c r="U490" s="59">
        <f>IF(P490="","",IFERROR(INDEX('Semrush Data'!$A$1:$Z$20000,MATCH(P490,'Semrush Data'!$A$1:$A$20000,0),MATCH("Volume",'Semrush Data'!$A$1:$Z$1,0)),""))</f>
        <v/>
      </c>
      <c r="V490" s="60">
        <f>IF(COUNT(Q490:U490)=0,L490,IF(MAX(Q490:U490)=0,L490,INDEX(L490:P490,MATCH(MAX(Q490:U490),Q490:U490,0))))</f>
        <v/>
      </c>
      <c r="W490" s="59">
        <f>IFERROR(INDEX('Semrush Data'!$A$1:$Z$20000,MATCH(V490,'Semrush Data'!$A$1:$A$20000,0),MATCH("Volume",'Semrush Data'!$A$1:$Z$1,0)),"")</f>
        <v/>
      </c>
      <c r="X490" s="59">
        <f>IFERROR(INDEX('Semrush Data'!$A$1:$Z$20000,MATCH(V490,'Semrush Data'!$A$1:$A$20000,0),MATCH("Keyword Difficulty*",'Semrush Data'!$A$1:$Z$1,0)),"")</f>
        <v/>
      </c>
      <c r="Y490" s="61">
        <f>IFERROR(INDEX('Semrush Data'!$A$1:$Z$20000,MATCH(V490,'Semrush Data'!$A$1:$A$20000,0),MATCH("CPC*",'Semrush Data'!$A$1:$Z$1,0)),"")</f>
        <v/>
      </c>
      <c r="Z490" s="58" t="inlineStr">
        <is>
          <t>signature d'orient perfume · amber perfume uk</t>
        </is>
      </c>
      <c r="AA490" s="58" t="inlineStr">
        <is>
          <t>signature diamond perfume</t>
        </is>
      </c>
      <c r="AB490" s="58" t="inlineStr">
        <is>
          <t>Signature Diamond</t>
        </is>
      </c>
      <c r="AC490" s="58" t="inlineStr">
        <is>
          <t>Signature Diamond 100ml | Buy Online UK | Swansura</t>
        </is>
      </c>
      <c r="AD490" s="58">
        <f>LEN(AC490)</f>
        <v/>
      </c>
      <c r="AE490" s="58" t="inlineStr">
        <is>
          <t>Buy Signature Diamond online in the UK at Swansura. An amber unisex eau de parfum, 100ml. 100% authentic, fast UK delivery, free over £50.</t>
        </is>
      </c>
      <c r="AF490" s="58">
        <f>LEN(AE490)</f>
        <v/>
      </c>
    </row>
    <row r="491" ht="15" customHeight="1" s="37">
      <c r="A491" s="58" t="inlineStr">
        <is>
          <t>FR-331</t>
        </is>
      </c>
      <c r="B491" s="58" t="inlineStr">
        <is>
          <t>Fragrance Catalogue</t>
        </is>
      </c>
      <c r="C491" s="58" t="n">
        <v>331</v>
      </c>
      <c r="D491" s="58" t="inlineStr">
        <is>
          <t>Signature D'orient</t>
        </is>
      </c>
      <c r="E491" s="58" t="n"/>
      <c r="F491" s="58" t="inlineStr">
        <is>
          <t>Gift Set</t>
        </is>
      </c>
      <c r="G491" s="58" t="inlineStr">
        <is>
          <t>Fragrance Gift Set</t>
        </is>
      </c>
      <c r="H491" s="58" t="inlineStr">
        <is>
          <t>Amber · Unisex Fragrance</t>
        </is>
      </c>
      <c r="I491" s="58" t="inlineStr">
        <is>
          <t>Signature Discovery Set 10x10ml</t>
        </is>
      </c>
      <c r="J491" s="58" t="inlineStr">
        <is>
          <t>10x10ml</t>
        </is>
      </c>
      <c r="K491" s="58" t="n">
        <v>75.98999999999999</v>
      </c>
      <c r="L491" s="58" t="inlineStr">
        <is>
          <t>signature discovery set</t>
        </is>
      </c>
      <c r="M491" s="58" t="inlineStr">
        <is>
          <t>signature discovery set uk</t>
        </is>
      </c>
      <c r="N491" s="58" t="inlineStr">
        <is>
          <t>buy signature discovery set online</t>
        </is>
      </c>
      <c r="O491" s="58" t="inlineStr">
        <is>
          <t>signature discovery set price</t>
        </is>
      </c>
      <c r="P491" s="58" t="n"/>
      <c r="Q491" s="59">
        <f>IF(L491="","",IFERROR(INDEX('Semrush Data'!$A$1:$Z$20000,MATCH(L491,'Semrush Data'!$A$1:$A$20000,0),MATCH("Volume",'Semrush Data'!$A$1:$Z$1,0)),""))</f>
        <v/>
      </c>
      <c r="R491" s="59">
        <f>IF(M491="","",IFERROR(INDEX('Semrush Data'!$A$1:$Z$20000,MATCH(M491,'Semrush Data'!$A$1:$A$20000,0),MATCH("Volume",'Semrush Data'!$A$1:$Z$1,0)),""))</f>
        <v/>
      </c>
      <c r="S491" s="59">
        <f>IF(N491="","",IFERROR(INDEX('Semrush Data'!$A$1:$Z$20000,MATCH(N491,'Semrush Data'!$A$1:$A$20000,0),MATCH("Volume",'Semrush Data'!$A$1:$Z$1,0)),""))</f>
        <v/>
      </c>
      <c r="T491" s="59">
        <f>IF(O491="","",IFERROR(INDEX('Semrush Data'!$A$1:$Z$20000,MATCH(O491,'Semrush Data'!$A$1:$A$20000,0),MATCH("Volume",'Semrush Data'!$A$1:$Z$1,0)),""))</f>
        <v/>
      </c>
      <c r="U491" s="59">
        <f>IF(P491="","",IFERROR(INDEX('Semrush Data'!$A$1:$Z$20000,MATCH(P491,'Semrush Data'!$A$1:$A$20000,0),MATCH("Volume",'Semrush Data'!$A$1:$Z$1,0)),""))</f>
        <v/>
      </c>
      <c r="V491" s="60">
        <f>IF(COUNT(Q491:U491)=0,L491,IF(MAX(Q491:U491)=0,L491,INDEX(L491:P491,MATCH(MAX(Q491:U491),Q491:U491,0))))</f>
        <v/>
      </c>
      <c r="W491" s="59">
        <f>IFERROR(INDEX('Semrush Data'!$A$1:$Z$20000,MATCH(V491,'Semrush Data'!$A$1:$A$20000,0),MATCH("Volume",'Semrush Data'!$A$1:$Z$1,0)),"")</f>
        <v/>
      </c>
      <c r="X491" s="59">
        <f>IFERROR(INDEX('Semrush Data'!$A$1:$Z$20000,MATCH(V491,'Semrush Data'!$A$1:$A$20000,0),MATCH("Keyword Difficulty*",'Semrush Data'!$A$1:$Z$1,0)),"")</f>
        <v/>
      </c>
      <c r="Y491" s="61">
        <f>IFERROR(INDEX('Semrush Data'!$A$1:$Z$20000,MATCH(V491,'Semrush Data'!$A$1:$A$20000,0),MATCH("CPC*",'Semrush Data'!$A$1:$Z$1,0)),"")</f>
        <v/>
      </c>
      <c r="Z491" s="58" t="inlineStr">
        <is>
          <t>signature d'orient perfume · amber perfume uk</t>
        </is>
      </c>
      <c r="AA491" s="58" t="inlineStr">
        <is>
          <t>signature mini discovery set · signature parfum discovery set</t>
        </is>
      </c>
      <c r="AB491" s="58" t="inlineStr">
        <is>
          <t>Signature Discovery Set 10x10ml</t>
        </is>
      </c>
      <c r="AC491" s="58" t="inlineStr">
        <is>
          <t>Signature Discovery Set 10x10ml | Buy Online UK | Swansura</t>
        </is>
      </c>
      <c r="AD491" s="58">
        <f>LEN(AC491)</f>
        <v/>
      </c>
      <c r="AE491" s="58" t="inlineStr">
        <is>
          <t>Buy Signature Discovery Set 10x10ml online in the UK at Swansura. An amber unisex fragrance, 10x10ml. 100% authentic, fast UK delivery, free over £50.</t>
        </is>
      </c>
      <c r="AF491" s="58">
        <f>LEN(AE491)</f>
        <v/>
      </c>
    </row>
    <row r="492" ht="15" customHeight="1" s="37">
      <c r="A492" s="58" t="inlineStr">
        <is>
          <t>FR-332</t>
        </is>
      </c>
      <c r="B492" s="58" t="inlineStr">
        <is>
          <t>Fragrance Catalogue</t>
        </is>
      </c>
      <c r="C492" s="58" t="n">
        <v>332</v>
      </c>
      <c r="D492" s="58" t="inlineStr">
        <is>
          <t>Signature D'orient</t>
        </is>
      </c>
      <c r="E492" s="58" t="n"/>
      <c r="F492" s="58" t="inlineStr">
        <is>
          <t>Fragrance</t>
        </is>
      </c>
      <c r="G492" s="58" t="inlineStr">
        <is>
          <t>Eau de Parfum (EDP)</t>
        </is>
      </c>
      <c r="H492" s="58" t="inlineStr">
        <is>
          <t>Fresh · Unisex Fragrance</t>
        </is>
      </c>
      <c r="I492" s="58" t="inlineStr">
        <is>
          <t>Signature Blue 100ml Edp</t>
        </is>
      </c>
      <c r="J492" s="58" t="inlineStr">
        <is>
          <t>100ml</t>
        </is>
      </c>
      <c r="K492" s="58" t="n">
        <v>38.99</v>
      </c>
      <c r="L492" s="58" t="inlineStr">
        <is>
          <t>signature blue</t>
        </is>
      </c>
      <c r="M492" s="58" t="inlineStr">
        <is>
          <t>signature blue uk</t>
        </is>
      </c>
      <c r="N492" s="58" t="inlineStr">
        <is>
          <t>buy signature blue online</t>
        </is>
      </c>
      <c r="O492" s="58" t="inlineStr">
        <is>
          <t>signature blue price</t>
        </is>
      </c>
      <c r="P492" s="58" t="inlineStr">
        <is>
          <t>signature blue edp</t>
        </is>
      </c>
      <c r="Q492" s="59">
        <f>IF(L492="","",IFERROR(INDEX('Semrush Data'!$A$1:$Z$20000,MATCH(L492,'Semrush Data'!$A$1:$A$20000,0),MATCH("Volume",'Semrush Data'!$A$1:$Z$1,0)),""))</f>
        <v/>
      </c>
      <c r="R492" s="59">
        <f>IF(M492="","",IFERROR(INDEX('Semrush Data'!$A$1:$Z$20000,MATCH(M492,'Semrush Data'!$A$1:$A$20000,0),MATCH("Volume",'Semrush Data'!$A$1:$Z$1,0)),""))</f>
        <v/>
      </c>
      <c r="S492" s="59">
        <f>IF(N492="","",IFERROR(INDEX('Semrush Data'!$A$1:$Z$20000,MATCH(N492,'Semrush Data'!$A$1:$A$20000,0),MATCH("Volume",'Semrush Data'!$A$1:$Z$1,0)),""))</f>
        <v/>
      </c>
      <c r="T492" s="59">
        <f>IF(O492="","",IFERROR(INDEX('Semrush Data'!$A$1:$Z$20000,MATCH(O492,'Semrush Data'!$A$1:$A$20000,0),MATCH("Volume",'Semrush Data'!$A$1:$Z$1,0)),""))</f>
        <v/>
      </c>
      <c r="U492" s="59">
        <f>IF(P492="","",IFERROR(INDEX('Semrush Data'!$A$1:$Z$20000,MATCH(P492,'Semrush Data'!$A$1:$A$20000,0),MATCH("Volume",'Semrush Data'!$A$1:$Z$1,0)),""))</f>
        <v/>
      </c>
      <c r="V492" s="60">
        <f>IF(COUNT(Q492:U492)=0,L492,IF(MAX(Q492:U492)=0,L492,INDEX(L492:P492,MATCH(MAX(Q492:U492),Q492:U492,0))))</f>
        <v/>
      </c>
      <c r="W492" s="59">
        <f>IFERROR(INDEX('Semrush Data'!$A$1:$Z$20000,MATCH(V492,'Semrush Data'!$A$1:$A$20000,0),MATCH("Volume",'Semrush Data'!$A$1:$Z$1,0)),"")</f>
        <v/>
      </c>
      <c r="X492" s="59">
        <f>IFERROR(INDEX('Semrush Data'!$A$1:$Z$20000,MATCH(V492,'Semrush Data'!$A$1:$A$20000,0),MATCH("Keyword Difficulty*",'Semrush Data'!$A$1:$Z$1,0)),"")</f>
        <v/>
      </c>
      <c r="Y492" s="61">
        <f>IFERROR(INDEX('Semrush Data'!$A$1:$Z$20000,MATCH(V492,'Semrush Data'!$A$1:$A$20000,0),MATCH("CPC*",'Semrush Data'!$A$1:$Z$1,0)),"")</f>
        <v/>
      </c>
      <c r="Z492" s="58" t="inlineStr">
        <is>
          <t>signature d'orient perfume · fresh perfume uk</t>
        </is>
      </c>
      <c r="AA492" s="58" t="inlineStr">
        <is>
          <t>signature blue perfume</t>
        </is>
      </c>
      <c r="AB492" s="58" t="inlineStr">
        <is>
          <t>Signature Blue Edp</t>
        </is>
      </c>
      <c r="AC492" s="58" t="inlineStr">
        <is>
          <t>Signature Blue Edp 100ml | Buy Online UK | Swansura</t>
        </is>
      </c>
      <c r="AD492" s="58">
        <f>LEN(AC492)</f>
        <v/>
      </c>
      <c r="AE492" s="58" t="inlineStr">
        <is>
          <t>Buy Signature Blue Edp online in the UK at Swansura. A fresh unisex eau de parfum, 100ml. 100% authentic, fast UK delivery, free over £50.</t>
        </is>
      </c>
      <c r="AF492" s="58">
        <f>LEN(AE492)</f>
        <v/>
      </c>
    </row>
    <row r="493" ht="15" customHeight="1" s="37">
      <c r="A493" s="58" t="inlineStr">
        <is>
          <t>FR-333</t>
        </is>
      </c>
      <c r="B493" s="58" t="inlineStr">
        <is>
          <t>Fragrance Catalogue</t>
        </is>
      </c>
      <c r="C493" s="58" t="n">
        <v>333</v>
      </c>
      <c r="D493" s="58" t="inlineStr">
        <is>
          <t>Signature D'orient</t>
        </is>
      </c>
      <c r="E493" s="58" t="n"/>
      <c r="F493" s="58" t="inlineStr">
        <is>
          <t>Fragrance</t>
        </is>
      </c>
      <c r="G493" s="58" t="inlineStr">
        <is>
          <t>Eau de Parfum (EDP)</t>
        </is>
      </c>
      <c r="H493" s="58" t="inlineStr">
        <is>
          <t>Amber · Unisex Fragrance</t>
        </is>
      </c>
      <c r="I493" s="58" t="inlineStr">
        <is>
          <t>Signature Jade 100ml Edp + 15ml Travel Spray</t>
        </is>
      </c>
      <c r="J493" s="58" t="inlineStr">
        <is>
          <t>100ml</t>
        </is>
      </c>
      <c r="K493" s="58" t="n">
        <v>64.98999999999999</v>
      </c>
      <c r="L493" s="58" t="inlineStr">
        <is>
          <t>signature jade</t>
        </is>
      </c>
      <c r="M493" s="58" t="inlineStr">
        <is>
          <t>signature jade uk</t>
        </is>
      </c>
      <c r="N493" s="58" t="inlineStr">
        <is>
          <t>buy signature jade online</t>
        </is>
      </c>
      <c r="O493" s="58" t="inlineStr">
        <is>
          <t>signature jade price</t>
        </is>
      </c>
      <c r="P493" s="58" t="inlineStr">
        <is>
          <t>signature jade edp</t>
        </is>
      </c>
      <c r="Q493" s="59">
        <f>IF(L493="","",IFERROR(INDEX('Semrush Data'!$A$1:$Z$20000,MATCH(L493,'Semrush Data'!$A$1:$A$20000,0),MATCH("Volume",'Semrush Data'!$A$1:$Z$1,0)),""))</f>
        <v/>
      </c>
      <c r="R493" s="59">
        <f>IF(M493="","",IFERROR(INDEX('Semrush Data'!$A$1:$Z$20000,MATCH(M493,'Semrush Data'!$A$1:$A$20000,0),MATCH("Volume",'Semrush Data'!$A$1:$Z$1,0)),""))</f>
        <v/>
      </c>
      <c r="S493" s="59">
        <f>IF(N493="","",IFERROR(INDEX('Semrush Data'!$A$1:$Z$20000,MATCH(N493,'Semrush Data'!$A$1:$A$20000,0),MATCH("Volume",'Semrush Data'!$A$1:$Z$1,0)),""))</f>
        <v/>
      </c>
      <c r="T493" s="59">
        <f>IF(O493="","",IFERROR(INDEX('Semrush Data'!$A$1:$Z$20000,MATCH(O493,'Semrush Data'!$A$1:$A$20000,0),MATCH("Volume",'Semrush Data'!$A$1:$Z$1,0)),""))</f>
        <v/>
      </c>
      <c r="U493" s="59">
        <f>IF(P493="","",IFERROR(INDEX('Semrush Data'!$A$1:$Z$20000,MATCH(P493,'Semrush Data'!$A$1:$A$20000,0),MATCH("Volume",'Semrush Data'!$A$1:$Z$1,0)),""))</f>
        <v/>
      </c>
      <c r="V493" s="60">
        <f>IF(COUNT(Q493:U493)=0,L493,IF(MAX(Q493:U493)=0,L493,INDEX(L493:P493,MATCH(MAX(Q493:U493),Q493:U493,0))))</f>
        <v/>
      </c>
      <c r="W493" s="59">
        <f>IFERROR(INDEX('Semrush Data'!$A$1:$Z$20000,MATCH(V493,'Semrush Data'!$A$1:$A$20000,0),MATCH("Volume",'Semrush Data'!$A$1:$Z$1,0)),"")</f>
        <v/>
      </c>
      <c r="X493" s="59">
        <f>IFERROR(INDEX('Semrush Data'!$A$1:$Z$20000,MATCH(V493,'Semrush Data'!$A$1:$A$20000,0),MATCH("Keyword Difficulty*",'Semrush Data'!$A$1:$Z$1,0)),"")</f>
        <v/>
      </c>
      <c r="Y493" s="61">
        <f>IFERROR(INDEX('Semrush Data'!$A$1:$Z$20000,MATCH(V493,'Semrush Data'!$A$1:$A$20000,0),MATCH("CPC*",'Semrush Data'!$A$1:$Z$1,0)),"")</f>
        <v/>
      </c>
      <c r="Z493" s="58" t="inlineStr">
        <is>
          <t>signature d'orient perfume · amber perfume uk</t>
        </is>
      </c>
      <c r="AA493" s="58" t="inlineStr">
        <is>
          <t>signature jade perfume · signature jade eau de parfum · signature jade perfume price · signature jade edp · signature jade edp 100ml</t>
        </is>
      </c>
      <c r="AB493" s="58" t="inlineStr">
        <is>
          <t>Signature Jade Edp</t>
        </is>
      </c>
      <c r="AC493" s="58" t="inlineStr">
        <is>
          <t>Signature Jade Edp 100ml | Buy Online UK | Swansura</t>
        </is>
      </c>
      <c r="AD493" s="58">
        <f>LEN(AC493)</f>
        <v/>
      </c>
      <c r="AE493" s="58" t="inlineStr">
        <is>
          <t>Buy Signature Jade Edp online in the UK at Swansura. An amber unisex eau de parfum, 100ml. 100% authentic, fast UK delivery, free over £50.</t>
        </is>
      </c>
      <c r="AF493" s="58">
        <f>LEN(AE493)</f>
        <v/>
      </c>
    </row>
    <row r="494" ht="15" customHeight="1" s="37">
      <c r="A494" s="58" t="inlineStr">
        <is>
          <t>FR-334</t>
        </is>
      </c>
      <c r="B494" s="58" t="inlineStr">
        <is>
          <t>Fragrance Catalogue</t>
        </is>
      </c>
      <c r="C494" s="58" t="n">
        <v>334</v>
      </c>
      <c r="D494" s="58" t="inlineStr">
        <is>
          <t>Signature D'orient</t>
        </is>
      </c>
      <c r="E494" s="58" t="n"/>
      <c r="F494" s="58" t="inlineStr">
        <is>
          <t>Fragrance</t>
        </is>
      </c>
      <c r="G494" s="58" t="inlineStr">
        <is>
          <t>Eau de Parfum (EDP)</t>
        </is>
      </c>
      <c r="H494" s="58" t="inlineStr">
        <is>
          <t>Floral · Unisex Fragrance</t>
        </is>
      </c>
      <c r="I494" s="58" t="inlineStr">
        <is>
          <t>Signature Rose 100ml Edp +15ml Travel Spray</t>
        </is>
      </c>
      <c r="J494" s="58" t="inlineStr">
        <is>
          <t>100ml</t>
        </is>
      </c>
      <c r="K494" s="58" t="n">
        <v>44.99</v>
      </c>
      <c r="L494" s="58" t="inlineStr">
        <is>
          <t>signature rose</t>
        </is>
      </c>
      <c r="M494" s="58" t="inlineStr">
        <is>
          <t>signature rose uk</t>
        </is>
      </c>
      <c r="N494" s="58" t="inlineStr">
        <is>
          <t>buy signature rose online</t>
        </is>
      </c>
      <c r="O494" s="58" t="inlineStr">
        <is>
          <t>signature rose price</t>
        </is>
      </c>
      <c r="P494" s="58" t="inlineStr">
        <is>
          <t>signature rose edp</t>
        </is>
      </c>
      <c r="Q494" s="59">
        <f>IF(L494="","",IFERROR(INDEX('Semrush Data'!$A$1:$Z$20000,MATCH(L494,'Semrush Data'!$A$1:$A$20000,0),MATCH("Volume",'Semrush Data'!$A$1:$Z$1,0)),""))</f>
        <v/>
      </c>
      <c r="R494" s="59">
        <f>IF(M494="","",IFERROR(INDEX('Semrush Data'!$A$1:$Z$20000,MATCH(M494,'Semrush Data'!$A$1:$A$20000,0),MATCH("Volume",'Semrush Data'!$A$1:$Z$1,0)),""))</f>
        <v/>
      </c>
      <c r="S494" s="59">
        <f>IF(N494="","",IFERROR(INDEX('Semrush Data'!$A$1:$Z$20000,MATCH(N494,'Semrush Data'!$A$1:$A$20000,0),MATCH("Volume",'Semrush Data'!$A$1:$Z$1,0)),""))</f>
        <v/>
      </c>
      <c r="T494" s="59">
        <f>IF(O494="","",IFERROR(INDEX('Semrush Data'!$A$1:$Z$20000,MATCH(O494,'Semrush Data'!$A$1:$A$20000,0),MATCH("Volume",'Semrush Data'!$A$1:$Z$1,0)),""))</f>
        <v/>
      </c>
      <c r="U494" s="59">
        <f>IF(P494="","",IFERROR(INDEX('Semrush Data'!$A$1:$Z$20000,MATCH(P494,'Semrush Data'!$A$1:$A$20000,0),MATCH("Volume",'Semrush Data'!$A$1:$Z$1,0)),""))</f>
        <v/>
      </c>
      <c r="V494" s="60">
        <f>IF(COUNT(Q494:U494)=0,L494,IF(MAX(Q494:U494)=0,L494,INDEX(L494:P494,MATCH(MAX(Q494:U494),Q494:U494,0))))</f>
        <v/>
      </c>
      <c r="W494" s="59">
        <f>IFERROR(INDEX('Semrush Data'!$A$1:$Z$20000,MATCH(V494,'Semrush Data'!$A$1:$A$20000,0),MATCH("Volume",'Semrush Data'!$A$1:$Z$1,0)),"")</f>
        <v/>
      </c>
      <c r="X494" s="59">
        <f>IFERROR(INDEX('Semrush Data'!$A$1:$Z$20000,MATCH(V494,'Semrush Data'!$A$1:$A$20000,0),MATCH("Keyword Difficulty*",'Semrush Data'!$A$1:$Z$1,0)),"")</f>
        <v/>
      </c>
      <c r="Y494" s="61">
        <f>IFERROR(INDEX('Semrush Data'!$A$1:$Z$20000,MATCH(V494,'Semrush Data'!$A$1:$A$20000,0),MATCH("CPC*",'Semrush Data'!$A$1:$Z$1,0)),"")</f>
        <v/>
      </c>
      <c r="Z494" s="58" t="inlineStr">
        <is>
          <t>signature d'orient perfume · floral perfume uk</t>
        </is>
      </c>
      <c r="AA494" s="58" t="inlineStr">
        <is>
          <t>signature rose perfume</t>
        </is>
      </c>
      <c r="AB494" s="58" t="inlineStr">
        <is>
          <t>Signature Rose Edp</t>
        </is>
      </c>
      <c r="AC494" s="58" t="inlineStr">
        <is>
          <t>Signature Rose Edp 100ml | Buy Online UK | Swansura</t>
        </is>
      </c>
      <c r="AD494" s="58">
        <f>LEN(AC494)</f>
        <v/>
      </c>
      <c r="AE494" s="58" t="inlineStr">
        <is>
          <t>Buy Signature Rose Edp online in the UK at Swansura. A floral unisex eau de parfum, 100ml. 100% authentic, fast UK delivery, free over £50.</t>
        </is>
      </c>
      <c r="AF494" s="58">
        <f>LEN(AE494)</f>
        <v/>
      </c>
    </row>
    <row r="495" ht="15" customHeight="1" s="37">
      <c r="A495" s="58" t="inlineStr">
        <is>
          <t>FR-335</t>
        </is>
      </c>
      <c r="B495" s="58" t="inlineStr">
        <is>
          <t>Fragrance Catalogue</t>
        </is>
      </c>
      <c r="C495" s="58" t="n">
        <v>335</v>
      </c>
      <c r="D495" s="58" t="inlineStr">
        <is>
          <t>Swansura - The Body Studio</t>
        </is>
      </c>
      <c r="E495" s="58" t="inlineStr">
        <is>
          <t>Real brand missing</t>
        </is>
      </c>
      <c r="F495" s="58" t="inlineStr">
        <is>
          <t>Fragrance</t>
        </is>
      </c>
      <c r="G495" s="58" t="inlineStr">
        <is>
          <t>Eau de Parfum (EDP)</t>
        </is>
      </c>
      <c r="H495" s="58" t="inlineStr">
        <is>
          <t>Amber · Unisex Fragrance</t>
        </is>
      </c>
      <c r="I495" s="58" t="inlineStr">
        <is>
          <t>Acqua di Parma Zafferano EDP 20ml Unisex</t>
        </is>
      </c>
      <c r="J495" s="58" t="inlineStr">
        <is>
          <t>20ml</t>
        </is>
      </c>
      <c r="K495" s="58" t="n">
        <v>40.99</v>
      </c>
      <c r="L495" s="58" t="inlineStr">
        <is>
          <t>acqua di parma zafferano</t>
        </is>
      </c>
      <c r="M495" s="58" t="inlineStr">
        <is>
          <t>acqua di parma zafferano uk</t>
        </is>
      </c>
      <c r="N495" s="58" t="inlineStr">
        <is>
          <t>buy acqua di parma zafferano online</t>
        </is>
      </c>
      <c r="O495" s="58" t="inlineStr">
        <is>
          <t>acqua di parma zafferano price</t>
        </is>
      </c>
      <c r="P495" s="58" t="inlineStr">
        <is>
          <t>acqua di parma zafferano edp</t>
        </is>
      </c>
      <c r="Q495" s="59">
        <f>IF(L495="","",IFERROR(INDEX('Semrush Data'!$A$1:$Z$20000,MATCH(L495,'Semrush Data'!$A$1:$A$20000,0),MATCH("Volume",'Semrush Data'!$A$1:$Z$1,0)),""))</f>
        <v/>
      </c>
      <c r="R495" s="59">
        <f>IF(M495="","",IFERROR(INDEX('Semrush Data'!$A$1:$Z$20000,MATCH(M495,'Semrush Data'!$A$1:$A$20000,0),MATCH("Volume",'Semrush Data'!$A$1:$Z$1,0)),""))</f>
        <v/>
      </c>
      <c r="S495" s="59">
        <f>IF(N495="","",IFERROR(INDEX('Semrush Data'!$A$1:$Z$20000,MATCH(N495,'Semrush Data'!$A$1:$A$20000,0),MATCH("Volume",'Semrush Data'!$A$1:$Z$1,0)),""))</f>
        <v/>
      </c>
      <c r="T495" s="59">
        <f>IF(O495="","",IFERROR(INDEX('Semrush Data'!$A$1:$Z$20000,MATCH(O495,'Semrush Data'!$A$1:$A$20000,0),MATCH("Volume",'Semrush Data'!$A$1:$Z$1,0)),""))</f>
        <v/>
      </c>
      <c r="U495" s="59">
        <f>IF(P495="","",IFERROR(INDEX('Semrush Data'!$A$1:$Z$20000,MATCH(P495,'Semrush Data'!$A$1:$A$20000,0),MATCH("Volume",'Semrush Data'!$A$1:$Z$1,0)),""))</f>
        <v/>
      </c>
      <c r="V495" s="60">
        <f>IF(COUNT(Q495:U495)=0,L495,IF(MAX(Q495:U495)=0,L495,INDEX(L495:P495,MATCH(MAX(Q495:U495),Q495:U495,0))))</f>
        <v/>
      </c>
      <c r="W495" s="59">
        <f>IFERROR(INDEX('Semrush Data'!$A$1:$Z$20000,MATCH(V495,'Semrush Data'!$A$1:$A$20000,0),MATCH("Volume",'Semrush Data'!$A$1:$Z$1,0)),"")</f>
        <v/>
      </c>
      <c r="X495" s="59">
        <f>IFERROR(INDEX('Semrush Data'!$A$1:$Z$20000,MATCH(V495,'Semrush Data'!$A$1:$A$20000,0),MATCH("Keyword Difficulty*",'Semrush Data'!$A$1:$Z$1,0)),"")</f>
        <v/>
      </c>
      <c r="Y495" s="61">
        <f>IFERROR(INDEX('Semrush Data'!$A$1:$Z$20000,MATCH(V495,'Semrush Data'!$A$1:$A$20000,0),MATCH("CPC*",'Semrush Data'!$A$1:$Z$1,0)),"")</f>
        <v/>
      </c>
      <c r="Z495" s="58" t="inlineStr">
        <is>
          <t>amber perfume uk</t>
        </is>
      </c>
      <c r="AA495" s="58" t="inlineStr">
        <is>
          <t>acqua di parma zafferano review · acqua di parma zafferano eau de parfum · acqua di parma zafferano 100ml · acqua di parma zafferano dupe · acqua di parma zafferano edp</t>
        </is>
      </c>
      <c r="AB495" s="58" t="inlineStr">
        <is>
          <t>Acqua di Parma Zafferano EDP Unisex</t>
        </is>
      </c>
      <c r="AC495" s="58" t="inlineStr">
        <is>
          <t>Acqua di Parma Zafferano Unisex EDP 20ml | Swansura UK</t>
        </is>
      </c>
      <c r="AD495" s="58">
        <f>LEN(AC495)</f>
        <v/>
      </c>
      <c r="AE495" s="58" t="inlineStr">
        <is>
          <t>Buy Acqua di Parma Zafferano EDP Unisex online in the UK at Swansura. An amber unisex eau de parfum, 20ml. 100% authentic, fast UK delivery, free over £50.</t>
        </is>
      </c>
      <c r="AF495" s="58">
        <f>LEN(AE495)</f>
        <v/>
      </c>
    </row>
    <row r="496" ht="15" customHeight="1" s="37">
      <c r="A496" s="58" t="inlineStr">
        <is>
          <t>FR-336</t>
        </is>
      </c>
      <c r="B496" s="58" t="inlineStr">
        <is>
          <t>Fragrance Catalogue</t>
        </is>
      </c>
      <c r="C496" s="58" t="n">
        <v>336</v>
      </c>
      <c r="D496" s="58" t="inlineStr">
        <is>
          <t>Swansura - The Body Studio</t>
        </is>
      </c>
      <c r="E496" s="58" t="inlineStr">
        <is>
          <t>Real brand missing</t>
        </is>
      </c>
      <c r="F496" s="58" t="inlineStr">
        <is>
          <t>Fragrance</t>
        </is>
      </c>
      <c r="G496" s="58" t="inlineStr">
        <is>
          <t>Eau de Toilette (EDT)</t>
        </is>
      </c>
      <c r="H496" s="58" t="inlineStr">
        <is>
          <t>Amber · Unisex Fragrance</t>
        </is>
      </c>
      <c r="I496" s="58" t="inlineStr">
        <is>
          <t>Hermès Un Jardin en Méditerranée EDT 15ml Miniature Unisex Fragrance</t>
        </is>
      </c>
      <c r="J496" s="58" t="inlineStr">
        <is>
          <t>15ml</t>
        </is>
      </c>
      <c r="K496" s="58" t="n">
        <v>24.99</v>
      </c>
      <c r="L496" s="58" t="inlineStr">
        <is>
          <t>hermes un jardin en mediterranee miniature</t>
        </is>
      </c>
      <c r="M496" s="58" t="inlineStr">
        <is>
          <t>hermes un jardin en mediterranee miniature uk</t>
        </is>
      </c>
      <c r="N496" s="58" t="inlineStr">
        <is>
          <t>buy hermes un jardin en mediterranee miniature online</t>
        </is>
      </c>
      <c r="O496" s="58" t="inlineStr">
        <is>
          <t>hermes un jardin en mediterranee miniature price</t>
        </is>
      </c>
      <c r="P496" s="58" t="inlineStr">
        <is>
          <t>hermes un jardin en mediterranee miniature edt</t>
        </is>
      </c>
      <c r="Q496" s="59">
        <f>IF(L496="","",IFERROR(INDEX('Semrush Data'!$A$1:$Z$20000,MATCH(L496,'Semrush Data'!$A$1:$A$20000,0),MATCH("Volume",'Semrush Data'!$A$1:$Z$1,0)),""))</f>
        <v/>
      </c>
      <c r="R496" s="59">
        <f>IF(M496="","",IFERROR(INDEX('Semrush Data'!$A$1:$Z$20000,MATCH(M496,'Semrush Data'!$A$1:$A$20000,0),MATCH("Volume",'Semrush Data'!$A$1:$Z$1,0)),""))</f>
        <v/>
      </c>
      <c r="S496" s="59">
        <f>IF(N496="","",IFERROR(INDEX('Semrush Data'!$A$1:$Z$20000,MATCH(N496,'Semrush Data'!$A$1:$A$20000,0),MATCH("Volume",'Semrush Data'!$A$1:$Z$1,0)),""))</f>
        <v/>
      </c>
      <c r="T496" s="59">
        <f>IF(O496="","",IFERROR(INDEX('Semrush Data'!$A$1:$Z$20000,MATCH(O496,'Semrush Data'!$A$1:$A$20000,0),MATCH("Volume",'Semrush Data'!$A$1:$Z$1,0)),""))</f>
        <v/>
      </c>
      <c r="U496" s="59">
        <f>IF(P496="","",IFERROR(INDEX('Semrush Data'!$A$1:$Z$20000,MATCH(P496,'Semrush Data'!$A$1:$A$20000,0),MATCH("Volume",'Semrush Data'!$A$1:$Z$1,0)),""))</f>
        <v/>
      </c>
      <c r="V496" s="60">
        <f>IF(COUNT(Q496:U496)=0,L496,IF(MAX(Q496:U496)=0,L496,INDEX(L496:P496,MATCH(MAX(Q496:U496),Q496:U496,0))))</f>
        <v/>
      </c>
      <c r="W496" s="59">
        <f>IFERROR(INDEX('Semrush Data'!$A$1:$Z$20000,MATCH(V496,'Semrush Data'!$A$1:$A$20000,0),MATCH("Volume",'Semrush Data'!$A$1:$Z$1,0)),"")</f>
        <v/>
      </c>
      <c r="X496" s="59">
        <f>IFERROR(INDEX('Semrush Data'!$A$1:$Z$20000,MATCH(V496,'Semrush Data'!$A$1:$A$20000,0),MATCH("Keyword Difficulty*",'Semrush Data'!$A$1:$Z$1,0)),"")</f>
        <v/>
      </c>
      <c r="Y496" s="61">
        <f>IFERROR(INDEX('Semrush Data'!$A$1:$Z$20000,MATCH(V496,'Semrush Data'!$A$1:$A$20000,0),MATCH("CPC*",'Semrush Data'!$A$1:$Z$1,0)),"")</f>
        <v/>
      </c>
      <c r="Z496" s="58" t="inlineStr">
        <is>
          <t>amber perfume uk</t>
        </is>
      </c>
      <c r="AA496" s="58" t="n"/>
      <c r="AB496" s="58" t="inlineStr">
        <is>
          <t>Hermès Un Jardin En Méditerranée EDT Miniature Unisex Fragrance</t>
        </is>
      </c>
      <c r="AC496" s="58" t="inlineStr">
        <is>
          <t>Hermès Un Jardin En Méditerranée Miniature | Swansura UK</t>
        </is>
      </c>
      <c r="AD496" s="58">
        <f>LEN(AC496)</f>
        <v/>
      </c>
      <c r="AE496" s="58" t="inlineStr">
        <is>
          <t>Buy Hermès Un Jardin En Méditerranée EDT Miniature Unisex Fragrance at Swansura UK. An amber unisex eau de toilette. 100% authentic, free UK delivery over £50.</t>
        </is>
      </c>
      <c r="AF496" s="58">
        <f>LEN(AE496)</f>
        <v/>
      </c>
    </row>
    <row r="497" ht="15" customHeight="1" s="37">
      <c r="A497" s="58" t="inlineStr">
        <is>
          <t>FR-337</t>
        </is>
      </c>
      <c r="B497" s="58" t="inlineStr">
        <is>
          <t>Fragrance Catalogue</t>
        </is>
      </c>
      <c r="C497" s="58" t="n">
        <v>337</v>
      </c>
      <c r="D497" s="58" t="inlineStr">
        <is>
          <t>Swansura - The Body Studio</t>
        </is>
      </c>
      <c r="E497" s="58" t="inlineStr">
        <is>
          <t>Real brand missing</t>
        </is>
      </c>
      <c r="F497" s="58" t="inlineStr">
        <is>
          <t>Fragrance</t>
        </is>
      </c>
      <c r="G497" s="58" t="inlineStr">
        <is>
          <t>Eau de Toilette (EDT)</t>
        </is>
      </c>
      <c r="H497" s="58" t="inlineStr">
        <is>
          <t>Amber · Unisex Fragrance</t>
        </is>
      </c>
      <c r="I497" s="58" t="inlineStr">
        <is>
          <t>Hermès Un Jardin Sur Le Toit Eau de Toilette 15ml Miniature Unisex Fragrance</t>
        </is>
      </c>
      <c r="J497" s="58" t="inlineStr">
        <is>
          <t>15ml</t>
        </is>
      </c>
      <c r="K497" s="58" t="n">
        <v>24.99</v>
      </c>
      <c r="L497" s="58" t="inlineStr">
        <is>
          <t>hermes un jardin sur le toit miniature</t>
        </is>
      </c>
      <c r="M497" s="58" t="inlineStr">
        <is>
          <t>hermes un jardin sur le toit miniature uk</t>
        </is>
      </c>
      <c r="N497" s="58" t="inlineStr">
        <is>
          <t>buy hermes un jardin sur le toit miniature online</t>
        </is>
      </c>
      <c r="O497" s="58" t="inlineStr">
        <is>
          <t>hermes un jardin sur le toit miniature price</t>
        </is>
      </c>
      <c r="P497" s="58" t="inlineStr">
        <is>
          <t>hermes un jardin sur le toit miniature eau de toilette</t>
        </is>
      </c>
      <c r="Q497" s="59">
        <f>IF(L497="","",IFERROR(INDEX('Semrush Data'!$A$1:$Z$20000,MATCH(L497,'Semrush Data'!$A$1:$A$20000,0),MATCH("Volume",'Semrush Data'!$A$1:$Z$1,0)),""))</f>
        <v/>
      </c>
      <c r="R497" s="59">
        <f>IF(M497="","",IFERROR(INDEX('Semrush Data'!$A$1:$Z$20000,MATCH(M497,'Semrush Data'!$A$1:$A$20000,0),MATCH("Volume",'Semrush Data'!$A$1:$Z$1,0)),""))</f>
        <v/>
      </c>
      <c r="S497" s="59">
        <f>IF(N497="","",IFERROR(INDEX('Semrush Data'!$A$1:$Z$20000,MATCH(N497,'Semrush Data'!$A$1:$A$20000,0),MATCH("Volume",'Semrush Data'!$A$1:$Z$1,0)),""))</f>
        <v/>
      </c>
      <c r="T497" s="59">
        <f>IF(O497="","",IFERROR(INDEX('Semrush Data'!$A$1:$Z$20000,MATCH(O497,'Semrush Data'!$A$1:$A$20000,0),MATCH("Volume",'Semrush Data'!$A$1:$Z$1,0)),""))</f>
        <v/>
      </c>
      <c r="U497" s="59">
        <f>IF(P497="","",IFERROR(INDEX('Semrush Data'!$A$1:$Z$20000,MATCH(P497,'Semrush Data'!$A$1:$A$20000,0),MATCH("Volume",'Semrush Data'!$A$1:$Z$1,0)),""))</f>
        <v/>
      </c>
      <c r="V497" s="60">
        <f>IF(COUNT(Q497:U497)=0,L497,IF(MAX(Q497:U497)=0,L497,INDEX(L497:P497,MATCH(MAX(Q497:U497),Q497:U497,0))))</f>
        <v/>
      </c>
      <c r="W497" s="59">
        <f>IFERROR(INDEX('Semrush Data'!$A$1:$Z$20000,MATCH(V497,'Semrush Data'!$A$1:$A$20000,0),MATCH("Volume",'Semrush Data'!$A$1:$Z$1,0)),"")</f>
        <v/>
      </c>
      <c r="X497" s="59">
        <f>IFERROR(INDEX('Semrush Data'!$A$1:$Z$20000,MATCH(V497,'Semrush Data'!$A$1:$A$20000,0),MATCH("Keyword Difficulty*",'Semrush Data'!$A$1:$Z$1,0)),"")</f>
        <v/>
      </c>
      <c r="Y497" s="61">
        <f>IFERROR(INDEX('Semrush Data'!$A$1:$Z$20000,MATCH(V497,'Semrush Data'!$A$1:$A$20000,0),MATCH("CPC*",'Semrush Data'!$A$1:$Z$1,0)),"")</f>
        <v/>
      </c>
      <c r="Z497" s="58" t="inlineStr">
        <is>
          <t>amber perfume uk</t>
        </is>
      </c>
      <c r="AA497" s="58" t="inlineStr">
        <is>
          <t>hermes un jardin sur le toit mini</t>
        </is>
      </c>
      <c r="AB497" s="58" t="inlineStr">
        <is>
          <t>Hermès Un Jardin Sur Le Toit Eau de Toilette Miniature Unisex Fragrance</t>
        </is>
      </c>
      <c r="AC497" s="58" t="inlineStr">
        <is>
          <t>Hermès Un Jardin Sur Le Toit Miniature Unisex | Swansura UK</t>
        </is>
      </c>
      <c r="AD497" s="58">
        <f>LEN(AC497)</f>
        <v/>
      </c>
      <c r="AE497" s="58" t="inlineStr">
        <is>
          <t>Buy Hermès Un Jardin Sur Le Toit Eau de Toilette Miniature Unisex Fragrance at Swansura UK. An amber unisex eau de toilette, 15ml. Free UK delivery over £50.</t>
        </is>
      </c>
      <c r="AF497" s="58">
        <f>LEN(AE497)</f>
        <v/>
      </c>
    </row>
    <row r="498" ht="15" customHeight="1" s="37">
      <c r="A498" s="58" t="inlineStr">
        <is>
          <t>FR-338</t>
        </is>
      </c>
      <c r="B498" s="58" t="inlineStr">
        <is>
          <t>Fragrance Catalogue</t>
        </is>
      </c>
      <c r="C498" s="58" t="n">
        <v>338</v>
      </c>
      <c r="D498" s="58" t="inlineStr">
        <is>
          <t>Swansura - The Body Studio</t>
        </is>
      </c>
      <c r="E498" s="58" t="inlineStr">
        <is>
          <t>Real brand missing</t>
        </is>
      </c>
      <c r="F498" s="58" t="inlineStr">
        <is>
          <t>Fragrance</t>
        </is>
      </c>
      <c r="G498" s="58" t="inlineStr">
        <is>
          <t>Eau de Toilette (EDT)</t>
        </is>
      </c>
      <c r="H498" s="58" t="inlineStr">
        <is>
          <t>Amber · Unisex Fragrance</t>
        </is>
      </c>
      <c r="I498" s="58" t="inlineStr">
        <is>
          <t>Hermès Un Jardin à Cythère Eau de Toilette 15ml Miniature Unisex Fragrance</t>
        </is>
      </c>
      <c r="J498" s="58" t="inlineStr">
        <is>
          <t>15ml</t>
        </is>
      </c>
      <c r="K498" s="58" t="n">
        <v>24.99</v>
      </c>
      <c r="L498" s="58" t="inlineStr">
        <is>
          <t>hermes un jardin a cythere miniature</t>
        </is>
      </c>
      <c r="M498" s="58" t="inlineStr">
        <is>
          <t>hermes un jardin a cythere miniature uk</t>
        </is>
      </c>
      <c r="N498" s="58" t="inlineStr">
        <is>
          <t>buy hermes un jardin a cythere miniature online</t>
        </is>
      </c>
      <c r="O498" s="58" t="inlineStr">
        <is>
          <t>hermes un jardin a cythere miniature price</t>
        </is>
      </c>
      <c r="P498" s="58" t="inlineStr">
        <is>
          <t>hermes un jardin a cythere miniature eau de toilette</t>
        </is>
      </c>
      <c r="Q498" s="59">
        <f>IF(L498="","",IFERROR(INDEX('Semrush Data'!$A$1:$Z$20000,MATCH(L498,'Semrush Data'!$A$1:$A$20000,0),MATCH("Volume",'Semrush Data'!$A$1:$Z$1,0)),""))</f>
        <v/>
      </c>
      <c r="R498" s="59">
        <f>IF(M498="","",IFERROR(INDEX('Semrush Data'!$A$1:$Z$20000,MATCH(M498,'Semrush Data'!$A$1:$A$20000,0),MATCH("Volume",'Semrush Data'!$A$1:$Z$1,0)),""))</f>
        <v/>
      </c>
      <c r="S498" s="59">
        <f>IF(N498="","",IFERROR(INDEX('Semrush Data'!$A$1:$Z$20000,MATCH(N498,'Semrush Data'!$A$1:$A$20000,0),MATCH("Volume",'Semrush Data'!$A$1:$Z$1,0)),""))</f>
        <v/>
      </c>
      <c r="T498" s="59">
        <f>IF(O498="","",IFERROR(INDEX('Semrush Data'!$A$1:$Z$20000,MATCH(O498,'Semrush Data'!$A$1:$A$20000,0),MATCH("Volume",'Semrush Data'!$A$1:$Z$1,0)),""))</f>
        <v/>
      </c>
      <c r="U498" s="59">
        <f>IF(P498="","",IFERROR(INDEX('Semrush Data'!$A$1:$Z$20000,MATCH(P498,'Semrush Data'!$A$1:$A$20000,0),MATCH("Volume",'Semrush Data'!$A$1:$Z$1,0)),""))</f>
        <v/>
      </c>
      <c r="V498" s="60">
        <f>IF(COUNT(Q498:U498)=0,L498,IF(MAX(Q498:U498)=0,L498,INDEX(L498:P498,MATCH(MAX(Q498:U498),Q498:U498,0))))</f>
        <v/>
      </c>
      <c r="W498" s="59">
        <f>IFERROR(INDEX('Semrush Data'!$A$1:$Z$20000,MATCH(V498,'Semrush Data'!$A$1:$A$20000,0),MATCH("Volume",'Semrush Data'!$A$1:$Z$1,0)),"")</f>
        <v/>
      </c>
      <c r="X498" s="59">
        <f>IFERROR(INDEX('Semrush Data'!$A$1:$Z$20000,MATCH(V498,'Semrush Data'!$A$1:$A$20000,0),MATCH("Keyword Difficulty*",'Semrush Data'!$A$1:$Z$1,0)),"")</f>
        <v/>
      </c>
      <c r="Y498" s="61">
        <f>IFERROR(INDEX('Semrush Data'!$A$1:$Z$20000,MATCH(V498,'Semrush Data'!$A$1:$A$20000,0),MATCH("CPC*",'Semrush Data'!$A$1:$Z$1,0)),"")</f>
        <v/>
      </c>
      <c r="Z498" s="58" t="inlineStr">
        <is>
          <t>amber perfume uk</t>
        </is>
      </c>
      <c r="AA498" s="58" t="n"/>
      <c r="AB498" s="58" t="inlineStr">
        <is>
          <t>Hermès Un Jardin À Cythère Eau de Toilette Miniature Unisex Fragrance</t>
        </is>
      </c>
      <c r="AC498" s="58" t="inlineStr">
        <is>
          <t>Hermès Un Jardin À Cythère Miniature Unisex | Swansura UK</t>
        </is>
      </c>
      <c r="AD498" s="58">
        <f>LEN(AC498)</f>
        <v/>
      </c>
      <c r="AE498" s="58" t="inlineStr">
        <is>
          <t>Buy Hermès Un Jardin À Cythère Eau de Toilette Miniature Unisex Fragrance at Swansura UK. An amber unisex eau de toilette, 15ml. Free UK delivery over £50.</t>
        </is>
      </c>
      <c r="AF498" s="58">
        <f>LEN(AE498)</f>
        <v/>
      </c>
    </row>
    <row r="499" ht="15" customHeight="1" s="37">
      <c r="A499" s="58" t="inlineStr">
        <is>
          <t>FR-339</t>
        </is>
      </c>
      <c r="B499" s="58" t="inlineStr">
        <is>
          <t>Fragrance Catalogue</t>
        </is>
      </c>
      <c r="C499" s="58" t="n">
        <v>339</v>
      </c>
      <c r="D499" s="58" t="inlineStr">
        <is>
          <t>Swansura - The Body Studio</t>
        </is>
      </c>
      <c r="E499" s="58" t="inlineStr">
        <is>
          <t>Real brand missing</t>
        </is>
      </c>
      <c r="F499" s="58" t="inlineStr">
        <is>
          <t>Fragrance</t>
        </is>
      </c>
      <c r="G499" s="58" t="inlineStr">
        <is>
          <t>Eau de Toilette (EDT)</t>
        </is>
      </c>
      <c r="H499" s="58" t="inlineStr">
        <is>
          <t>Amber · Unisex Fragrance</t>
        </is>
      </c>
      <c r="I499" s="58" t="inlineStr">
        <is>
          <t>Korloff In White Eau De Toilette 88ML</t>
        </is>
      </c>
      <c r="J499" s="58" t="inlineStr">
        <is>
          <t>88ML</t>
        </is>
      </c>
      <c r="K499" s="58" t="n">
        <v>32.99</v>
      </c>
      <c r="L499" s="58" t="inlineStr">
        <is>
          <t>korloff in white</t>
        </is>
      </c>
      <c r="M499" s="58" t="inlineStr">
        <is>
          <t>korloff in white uk</t>
        </is>
      </c>
      <c r="N499" s="58" t="inlineStr">
        <is>
          <t>buy korloff in white online</t>
        </is>
      </c>
      <c r="O499" s="58" t="inlineStr">
        <is>
          <t>korloff in white price</t>
        </is>
      </c>
      <c r="P499" s="58" t="inlineStr">
        <is>
          <t>korloff in white eau de toilette</t>
        </is>
      </c>
      <c r="Q499" s="59">
        <f>IF(L499="","",IFERROR(INDEX('Semrush Data'!$A$1:$Z$20000,MATCH(L499,'Semrush Data'!$A$1:$A$20000,0),MATCH("Volume",'Semrush Data'!$A$1:$Z$1,0)),""))</f>
        <v/>
      </c>
      <c r="R499" s="59">
        <f>IF(M499="","",IFERROR(INDEX('Semrush Data'!$A$1:$Z$20000,MATCH(M499,'Semrush Data'!$A$1:$A$20000,0),MATCH("Volume",'Semrush Data'!$A$1:$Z$1,0)),""))</f>
        <v/>
      </c>
      <c r="S499" s="59">
        <f>IF(N499="","",IFERROR(INDEX('Semrush Data'!$A$1:$Z$20000,MATCH(N499,'Semrush Data'!$A$1:$A$20000,0),MATCH("Volume",'Semrush Data'!$A$1:$Z$1,0)),""))</f>
        <v/>
      </c>
      <c r="T499" s="59">
        <f>IF(O499="","",IFERROR(INDEX('Semrush Data'!$A$1:$Z$20000,MATCH(O499,'Semrush Data'!$A$1:$A$20000,0),MATCH("Volume",'Semrush Data'!$A$1:$Z$1,0)),""))</f>
        <v/>
      </c>
      <c r="U499" s="59">
        <f>IF(P499="","",IFERROR(INDEX('Semrush Data'!$A$1:$Z$20000,MATCH(P499,'Semrush Data'!$A$1:$A$20000,0),MATCH("Volume",'Semrush Data'!$A$1:$Z$1,0)),""))</f>
        <v/>
      </c>
      <c r="V499" s="60">
        <f>IF(COUNT(Q499:U499)=0,L499,IF(MAX(Q499:U499)=0,L499,INDEX(L499:P499,MATCH(MAX(Q499:U499),Q499:U499,0))))</f>
        <v/>
      </c>
      <c r="W499" s="59">
        <f>IFERROR(INDEX('Semrush Data'!$A$1:$Z$20000,MATCH(V499,'Semrush Data'!$A$1:$A$20000,0),MATCH("Volume",'Semrush Data'!$A$1:$Z$1,0)),"")</f>
        <v/>
      </c>
      <c r="X499" s="59">
        <f>IFERROR(INDEX('Semrush Data'!$A$1:$Z$20000,MATCH(V499,'Semrush Data'!$A$1:$A$20000,0),MATCH("Keyword Difficulty*",'Semrush Data'!$A$1:$Z$1,0)),"")</f>
        <v/>
      </c>
      <c r="Y499" s="61">
        <f>IFERROR(INDEX('Semrush Data'!$A$1:$Z$20000,MATCH(V499,'Semrush Data'!$A$1:$A$20000,0),MATCH("CPC*",'Semrush Data'!$A$1:$Z$1,0)),"")</f>
        <v/>
      </c>
      <c r="Z499" s="58" t="inlineStr">
        <is>
          <t>amber perfume uk</t>
        </is>
      </c>
      <c r="AA499" s="58" t="inlineStr">
        <is>
          <t>korloff in white perfume · korloff in white price</t>
        </is>
      </c>
      <c r="AB499" s="58" t="inlineStr">
        <is>
          <t>Korloff In White Eau De Toilette</t>
        </is>
      </c>
      <c r="AC499" s="58" t="inlineStr">
        <is>
          <t>Korloff In White Eau De Toilette | Buy Online UK | Swansura</t>
        </is>
      </c>
      <c r="AD499" s="58">
        <f>LEN(AC499)</f>
        <v/>
      </c>
      <c r="AE499" s="58" t="inlineStr">
        <is>
          <t>Buy Korloff In White Eau De Toilette online in the UK at Swansura. An amber unisex eau de toilette, 88ML. 100% authentic, fast UK delivery, free over £50.</t>
        </is>
      </c>
      <c r="AF499" s="58">
        <f>LEN(AE499)</f>
        <v/>
      </c>
    </row>
    <row r="500" ht="15" customHeight="1" s="37">
      <c r="A500" s="58" t="inlineStr">
        <is>
          <t>FR-340</t>
        </is>
      </c>
      <c r="B500" s="58" t="inlineStr">
        <is>
          <t>Fragrance Catalogue</t>
        </is>
      </c>
      <c r="C500" s="58" t="n">
        <v>340</v>
      </c>
      <c r="D500" s="58" t="inlineStr">
        <is>
          <t>Swansura - The Body Studio</t>
        </is>
      </c>
      <c r="E500" s="58" t="inlineStr">
        <is>
          <t>Real brand missing</t>
        </is>
      </c>
      <c r="F500" s="58" t="inlineStr">
        <is>
          <t>Gift Set</t>
        </is>
      </c>
      <c r="G500" s="58" t="inlineStr">
        <is>
          <t>Eau de Toilette (EDT)</t>
        </is>
      </c>
      <c r="H500" s="58" t="inlineStr">
        <is>
          <t>Amber · Unisex Fragrance</t>
        </is>
      </c>
      <c r="I500" s="58" t="inlineStr">
        <is>
          <t>Hermès Miniature EDT Gift Set 4 x 7.5ml Unisex Fragrances</t>
        </is>
      </c>
      <c r="J500" s="58" t="inlineStr">
        <is>
          <t>7.5ml</t>
        </is>
      </c>
      <c r="K500" s="58" t="n">
        <v>64.98999999999999</v>
      </c>
      <c r="L500" s="58" t="inlineStr">
        <is>
          <t>hermes miniature gift set 4 x fragrances</t>
        </is>
      </c>
      <c r="M500" s="58" t="inlineStr">
        <is>
          <t>hermes miniature gift set 4 x fragrances uk</t>
        </is>
      </c>
      <c r="N500" s="58" t="inlineStr">
        <is>
          <t>buy hermes miniature gift set 4 x fragrances online</t>
        </is>
      </c>
      <c r="O500" s="58" t="inlineStr">
        <is>
          <t>hermes miniature gift set 4 x fragrances price</t>
        </is>
      </c>
      <c r="P500" s="58" t="n"/>
      <c r="Q500" s="59">
        <f>IF(L500="","",IFERROR(INDEX('Semrush Data'!$A$1:$Z$20000,MATCH(L500,'Semrush Data'!$A$1:$A$20000,0),MATCH("Volume",'Semrush Data'!$A$1:$Z$1,0)),""))</f>
        <v/>
      </c>
      <c r="R500" s="59">
        <f>IF(M500="","",IFERROR(INDEX('Semrush Data'!$A$1:$Z$20000,MATCH(M500,'Semrush Data'!$A$1:$A$20000,0),MATCH("Volume",'Semrush Data'!$A$1:$Z$1,0)),""))</f>
        <v/>
      </c>
      <c r="S500" s="59">
        <f>IF(N500="","",IFERROR(INDEX('Semrush Data'!$A$1:$Z$20000,MATCH(N500,'Semrush Data'!$A$1:$A$20000,0),MATCH("Volume",'Semrush Data'!$A$1:$Z$1,0)),""))</f>
        <v/>
      </c>
      <c r="T500" s="59">
        <f>IF(O500="","",IFERROR(INDEX('Semrush Data'!$A$1:$Z$20000,MATCH(O500,'Semrush Data'!$A$1:$A$20000,0),MATCH("Volume",'Semrush Data'!$A$1:$Z$1,0)),""))</f>
        <v/>
      </c>
      <c r="U500" s="59">
        <f>IF(P500="","",IFERROR(INDEX('Semrush Data'!$A$1:$Z$20000,MATCH(P500,'Semrush Data'!$A$1:$A$20000,0),MATCH("Volume",'Semrush Data'!$A$1:$Z$1,0)),""))</f>
        <v/>
      </c>
      <c r="V500" s="60">
        <f>IF(COUNT(Q500:U500)=0,L500,IF(MAX(Q500:U500)=0,L500,INDEX(L500:P500,MATCH(MAX(Q500:U500),Q500:U500,0))))</f>
        <v/>
      </c>
      <c r="W500" s="59">
        <f>IFERROR(INDEX('Semrush Data'!$A$1:$Z$20000,MATCH(V500,'Semrush Data'!$A$1:$A$20000,0),MATCH("Volume",'Semrush Data'!$A$1:$Z$1,0)),"")</f>
        <v/>
      </c>
      <c r="X500" s="59">
        <f>IFERROR(INDEX('Semrush Data'!$A$1:$Z$20000,MATCH(V500,'Semrush Data'!$A$1:$A$20000,0),MATCH("Keyword Difficulty*",'Semrush Data'!$A$1:$Z$1,0)),"")</f>
        <v/>
      </c>
      <c r="Y500" s="61">
        <f>IFERROR(INDEX('Semrush Data'!$A$1:$Z$20000,MATCH(V500,'Semrush Data'!$A$1:$A$20000,0),MATCH("CPC*",'Semrush Data'!$A$1:$Z$1,0)),"")</f>
        <v/>
      </c>
      <c r="Z500" s="58" t="inlineStr">
        <is>
          <t>amber perfume uk</t>
        </is>
      </c>
      <c r="AA500" s="58" t="n"/>
      <c r="AB500" s="58" t="inlineStr">
        <is>
          <t>Hermès Miniature EDT Gift Set 4 X Unisex Fragrances</t>
        </is>
      </c>
      <c r="AC500" s="58" t="inlineStr">
        <is>
          <t>Hermès Miniature Gift Set 4 X Unisex | Swansura UK</t>
        </is>
      </c>
      <c r="AD500" s="58">
        <f>LEN(AC500)</f>
        <v/>
      </c>
      <c r="AE500" s="58" t="inlineStr">
        <is>
          <t>Buy Hermès Miniature EDT Gift Set 4 X Unisex Fragrances at Swansura UK. An amber unisex eau de toilette, 7.5ml. 100% authentic, fast UK delivery, free over £50.</t>
        </is>
      </c>
      <c r="AF500" s="58">
        <f>LEN(AE500)</f>
        <v/>
      </c>
    </row>
    <row r="501" ht="15" customHeight="1" s="37">
      <c r="A501" s="58" t="inlineStr">
        <is>
          <t>FR-341</t>
        </is>
      </c>
      <c r="B501" s="58" t="inlineStr">
        <is>
          <t>Fragrance Catalogue</t>
        </is>
      </c>
      <c r="C501" s="58" t="n">
        <v>341</v>
      </c>
      <c r="D501" s="58" t="inlineStr">
        <is>
          <t>Swansura - The Body Studio</t>
        </is>
      </c>
      <c r="E501" s="58" t="inlineStr">
        <is>
          <t>Real brand missing</t>
        </is>
      </c>
      <c r="F501" s="58" t="inlineStr">
        <is>
          <t>Fragrance</t>
        </is>
      </c>
      <c r="G501" s="58" t="inlineStr">
        <is>
          <t>Extrait de Parfum</t>
        </is>
      </c>
      <c r="H501" s="58" t="inlineStr">
        <is>
          <t>Amber · Unisex Fragrance</t>
        </is>
      </c>
      <c r="I501" s="58" t="inlineStr">
        <is>
          <t>Casanova Anniversary Extrait de Parfum 100ml – Unisex Luxury Niche Perfume</t>
        </is>
      </c>
      <c r="J501" s="58" t="inlineStr">
        <is>
          <t>100ml</t>
        </is>
      </c>
      <c r="K501" s="58" t="n">
        <v>121.99</v>
      </c>
      <c r="L501" s="58" t="inlineStr">
        <is>
          <t>casanova anniversary</t>
        </is>
      </c>
      <c r="M501" s="58" t="inlineStr">
        <is>
          <t>casanova anniversary uk</t>
        </is>
      </c>
      <c r="N501" s="58" t="inlineStr">
        <is>
          <t>buy casanova anniversary online</t>
        </is>
      </c>
      <c r="O501" s="58" t="inlineStr">
        <is>
          <t>casanova anniversary price</t>
        </is>
      </c>
      <c r="P501" s="58" t="inlineStr">
        <is>
          <t>casanova anniversary extrait de parfum</t>
        </is>
      </c>
      <c r="Q501" s="59">
        <f>IF(L501="","",IFERROR(INDEX('Semrush Data'!$A$1:$Z$20000,MATCH(L501,'Semrush Data'!$A$1:$A$20000,0),MATCH("Volume",'Semrush Data'!$A$1:$Z$1,0)),""))</f>
        <v/>
      </c>
      <c r="R501" s="59">
        <f>IF(M501="","",IFERROR(INDEX('Semrush Data'!$A$1:$Z$20000,MATCH(M501,'Semrush Data'!$A$1:$A$20000,0),MATCH("Volume",'Semrush Data'!$A$1:$Z$1,0)),""))</f>
        <v/>
      </c>
      <c r="S501" s="59">
        <f>IF(N501="","",IFERROR(INDEX('Semrush Data'!$A$1:$Z$20000,MATCH(N501,'Semrush Data'!$A$1:$A$20000,0),MATCH("Volume",'Semrush Data'!$A$1:$Z$1,0)),""))</f>
        <v/>
      </c>
      <c r="T501" s="59">
        <f>IF(O501="","",IFERROR(INDEX('Semrush Data'!$A$1:$Z$20000,MATCH(O501,'Semrush Data'!$A$1:$A$20000,0),MATCH("Volume",'Semrush Data'!$A$1:$Z$1,0)),""))</f>
        <v/>
      </c>
      <c r="U501" s="59">
        <f>IF(P501="","",IFERROR(INDEX('Semrush Data'!$A$1:$Z$20000,MATCH(P501,'Semrush Data'!$A$1:$A$20000,0),MATCH("Volume",'Semrush Data'!$A$1:$Z$1,0)),""))</f>
        <v/>
      </c>
      <c r="V501" s="60">
        <f>IF(COUNT(Q501:U501)=0,L501,IF(MAX(Q501:U501)=0,L501,INDEX(L501:P501,MATCH(MAX(Q501:U501),Q501:U501,0))))</f>
        <v/>
      </c>
      <c r="W501" s="59">
        <f>IFERROR(INDEX('Semrush Data'!$A$1:$Z$20000,MATCH(V501,'Semrush Data'!$A$1:$A$20000,0),MATCH("Volume",'Semrush Data'!$A$1:$Z$1,0)),"")</f>
        <v/>
      </c>
      <c r="X501" s="59">
        <f>IFERROR(INDEX('Semrush Data'!$A$1:$Z$20000,MATCH(V501,'Semrush Data'!$A$1:$A$20000,0),MATCH("Keyword Difficulty*",'Semrush Data'!$A$1:$Z$1,0)),"")</f>
        <v/>
      </c>
      <c r="Y501" s="61">
        <f>IFERROR(INDEX('Semrush Data'!$A$1:$Z$20000,MATCH(V501,'Semrush Data'!$A$1:$A$20000,0),MATCH("CPC*",'Semrush Data'!$A$1:$Z$1,0)),"")</f>
        <v/>
      </c>
      <c r="Z501" s="58" t="inlineStr">
        <is>
          <t>amber perfume uk</t>
        </is>
      </c>
      <c r="AA501" s="58" t="inlineStr">
        <is>
          <t>anniversary casanova</t>
        </is>
      </c>
      <c r="AB501" s="58" t="inlineStr">
        <is>
          <t>Casanova Anniversary Extrait de Parfum</t>
        </is>
      </c>
      <c r="AC501" s="58" t="inlineStr">
        <is>
          <t>Casanova Anniversary Extrait de Parfum | Swansura UK</t>
        </is>
      </c>
      <c r="AD501" s="58">
        <f>LEN(AC501)</f>
        <v/>
      </c>
      <c r="AE501" s="58" t="inlineStr">
        <is>
          <t>Buy Casanova Anniversary Extrait de Parfum online in the UK at Swansura. An amber unisex extrait de parfum, 100ml. 100% authentic, free UK delivery over £50.</t>
        </is>
      </c>
      <c r="AF501" s="58">
        <f>LEN(AE501)</f>
        <v/>
      </c>
    </row>
    <row r="502" ht="15" customHeight="1" s="37">
      <c r="A502" s="58" t="inlineStr">
        <is>
          <t>FR-342</t>
        </is>
      </c>
      <c r="B502" s="58" t="inlineStr">
        <is>
          <t>Fragrance Catalogue</t>
        </is>
      </c>
      <c r="C502" s="58" t="n">
        <v>342</v>
      </c>
      <c r="D502" s="58" t="inlineStr">
        <is>
          <t>The Woods Collection</t>
        </is>
      </c>
      <c r="E502" s="58" t="n"/>
      <c r="F502" s="58" t="inlineStr">
        <is>
          <t>Fragrance</t>
        </is>
      </c>
      <c r="G502" s="58" t="inlineStr">
        <is>
          <t>Eau de Parfum (EDP)</t>
        </is>
      </c>
      <c r="H502" s="58" t="inlineStr">
        <is>
          <t>Amber · Unisex Fragrance</t>
        </is>
      </c>
      <c r="I502" s="58" t="inlineStr">
        <is>
          <t>The Woods Collection Azure Eau De Parfum 100ML</t>
        </is>
      </c>
      <c r="J502" s="58" t="inlineStr">
        <is>
          <t>100ml</t>
        </is>
      </c>
      <c r="K502" s="58" t="n">
        <v>44.99</v>
      </c>
      <c r="L502" s="58" t="inlineStr">
        <is>
          <t>the woods collection azure</t>
        </is>
      </c>
      <c r="M502" s="58" t="inlineStr">
        <is>
          <t>the woods collection azure uk</t>
        </is>
      </c>
      <c r="N502" s="58" t="inlineStr">
        <is>
          <t>buy the woods collection azure online</t>
        </is>
      </c>
      <c r="O502" s="58" t="inlineStr">
        <is>
          <t>the woods collection azure price</t>
        </is>
      </c>
      <c r="P502" s="58" t="inlineStr">
        <is>
          <t>the woods collection azure eau de parfum</t>
        </is>
      </c>
      <c r="Q502" s="59">
        <f>IF(L502="","",IFERROR(INDEX('Semrush Data'!$A$1:$Z$20000,MATCH(L502,'Semrush Data'!$A$1:$A$20000,0),MATCH("Volume",'Semrush Data'!$A$1:$Z$1,0)),""))</f>
        <v/>
      </c>
      <c r="R502" s="59">
        <f>IF(M502="","",IFERROR(INDEX('Semrush Data'!$A$1:$Z$20000,MATCH(M502,'Semrush Data'!$A$1:$A$20000,0),MATCH("Volume",'Semrush Data'!$A$1:$Z$1,0)),""))</f>
        <v/>
      </c>
      <c r="S502" s="59">
        <f>IF(N502="","",IFERROR(INDEX('Semrush Data'!$A$1:$Z$20000,MATCH(N502,'Semrush Data'!$A$1:$A$20000,0),MATCH("Volume",'Semrush Data'!$A$1:$Z$1,0)),""))</f>
        <v/>
      </c>
      <c r="T502" s="59">
        <f>IF(O502="","",IFERROR(INDEX('Semrush Data'!$A$1:$Z$20000,MATCH(O502,'Semrush Data'!$A$1:$A$20000,0),MATCH("Volume",'Semrush Data'!$A$1:$Z$1,0)),""))</f>
        <v/>
      </c>
      <c r="U502" s="59">
        <f>IF(P502="","",IFERROR(INDEX('Semrush Data'!$A$1:$Z$20000,MATCH(P502,'Semrush Data'!$A$1:$A$20000,0),MATCH("Volume",'Semrush Data'!$A$1:$Z$1,0)),""))</f>
        <v/>
      </c>
      <c r="V502" s="60">
        <f>IF(COUNT(Q502:U502)=0,L502,IF(MAX(Q502:U502)=0,L502,INDEX(L502:P502,MATCH(MAX(Q502:U502),Q502:U502,0))))</f>
        <v/>
      </c>
      <c r="W502" s="59">
        <f>IFERROR(INDEX('Semrush Data'!$A$1:$Z$20000,MATCH(V502,'Semrush Data'!$A$1:$A$20000,0),MATCH("Volume",'Semrush Data'!$A$1:$Z$1,0)),"")</f>
        <v/>
      </c>
      <c r="X502" s="59">
        <f>IFERROR(INDEX('Semrush Data'!$A$1:$Z$20000,MATCH(V502,'Semrush Data'!$A$1:$A$20000,0),MATCH("Keyword Difficulty*",'Semrush Data'!$A$1:$Z$1,0)),"")</f>
        <v/>
      </c>
      <c r="Y502" s="61">
        <f>IFERROR(INDEX('Semrush Data'!$A$1:$Z$20000,MATCH(V502,'Semrush Data'!$A$1:$A$20000,0),MATCH("CPC*",'Semrush Data'!$A$1:$Z$1,0)),"")</f>
        <v/>
      </c>
      <c r="Z502" s="58" t="inlineStr">
        <is>
          <t>the woods collection perfume · amber perfume uk</t>
        </is>
      </c>
      <c r="AA502" s="58" t="inlineStr">
        <is>
          <t>the woods collection azure review · the woods collection azure eau de parfum · the woods collection azure отзывы · the woods collection azure фрагрантика</t>
        </is>
      </c>
      <c r="AB502" s="58" t="inlineStr">
        <is>
          <t>The Woods Collection Azure Eau De Parfum</t>
        </is>
      </c>
      <c r="AC502" s="58" t="inlineStr">
        <is>
          <t>The Woods Collection Azure Eau De Parfum | Swansura UK</t>
        </is>
      </c>
      <c r="AD502" s="58">
        <f>LEN(AC502)</f>
        <v/>
      </c>
      <c r="AE502" s="58" t="inlineStr">
        <is>
          <t>Buy The Woods Collection Azure Eau De Parfum online in the UK at Swansura. An amber unisex eau de parfum, 100ml. 100% authentic, free UK delivery over £50.</t>
        </is>
      </c>
      <c r="AF502" s="58">
        <f>LEN(AE502)</f>
        <v/>
      </c>
    </row>
    <row r="503" ht="15" customHeight="1" s="37">
      <c r="A503" s="58" t="inlineStr">
        <is>
          <t>FR-343</t>
        </is>
      </c>
      <c r="B503" s="58" t="inlineStr">
        <is>
          <t>Fragrance Catalogue</t>
        </is>
      </c>
      <c r="C503" s="58" t="n">
        <v>343</v>
      </c>
      <c r="D503" s="58" t="inlineStr">
        <is>
          <t>The Woods Collection</t>
        </is>
      </c>
      <c r="E503" s="58" t="n"/>
      <c r="F503" s="58" t="inlineStr">
        <is>
          <t>Fragrance</t>
        </is>
      </c>
      <c r="G503" s="58" t="inlineStr">
        <is>
          <t>Eau de Parfum (EDP)</t>
        </is>
      </c>
      <c r="H503" s="58" t="inlineStr">
        <is>
          <t>Amber · Unisex Fragrance</t>
        </is>
      </c>
      <c r="I503" s="58" t="inlineStr">
        <is>
          <t>The Woods Collection Eden Eau De Parfum 100ML</t>
        </is>
      </c>
      <c r="J503" s="58" t="inlineStr">
        <is>
          <t>100ml</t>
        </is>
      </c>
      <c r="K503" s="58" t="n">
        <v>44.99</v>
      </c>
      <c r="L503" s="58" t="inlineStr">
        <is>
          <t>the woods collection eden</t>
        </is>
      </c>
      <c r="M503" s="58" t="inlineStr">
        <is>
          <t>the woods collection eden uk</t>
        </is>
      </c>
      <c r="N503" s="58" t="inlineStr">
        <is>
          <t>buy the woods collection eden online</t>
        </is>
      </c>
      <c r="O503" s="58" t="inlineStr">
        <is>
          <t>the woods collection eden price</t>
        </is>
      </c>
      <c r="P503" s="58" t="inlineStr">
        <is>
          <t>the woods collection eden eau de parfum</t>
        </is>
      </c>
      <c r="Q503" s="59">
        <f>IF(L503="","",IFERROR(INDEX('Semrush Data'!$A$1:$Z$20000,MATCH(L503,'Semrush Data'!$A$1:$A$20000,0),MATCH("Volume",'Semrush Data'!$A$1:$Z$1,0)),""))</f>
        <v/>
      </c>
      <c r="R503" s="59">
        <f>IF(M503="","",IFERROR(INDEX('Semrush Data'!$A$1:$Z$20000,MATCH(M503,'Semrush Data'!$A$1:$A$20000,0),MATCH("Volume",'Semrush Data'!$A$1:$Z$1,0)),""))</f>
        <v/>
      </c>
      <c r="S503" s="59">
        <f>IF(N503="","",IFERROR(INDEX('Semrush Data'!$A$1:$Z$20000,MATCH(N503,'Semrush Data'!$A$1:$A$20000,0),MATCH("Volume",'Semrush Data'!$A$1:$Z$1,0)),""))</f>
        <v/>
      </c>
      <c r="T503" s="59">
        <f>IF(O503="","",IFERROR(INDEX('Semrush Data'!$A$1:$Z$20000,MATCH(O503,'Semrush Data'!$A$1:$A$20000,0),MATCH("Volume",'Semrush Data'!$A$1:$Z$1,0)),""))</f>
        <v/>
      </c>
      <c r="U503" s="59">
        <f>IF(P503="","",IFERROR(INDEX('Semrush Data'!$A$1:$Z$20000,MATCH(P503,'Semrush Data'!$A$1:$A$20000,0),MATCH("Volume",'Semrush Data'!$A$1:$Z$1,0)),""))</f>
        <v/>
      </c>
      <c r="V503" s="60">
        <f>IF(COUNT(Q503:U503)=0,L503,IF(MAX(Q503:U503)=0,L503,INDEX(L503:P503,MATCH(MAX(Q503:U503),Q503:U503,0))))</f>
        <v/>
      </c>
      <c r="W503" s="59">
        <f>IFERROR(INDEX('Semrush Data'!$A$1:$Z$20000,MATCH(V503,'Semrush Data'!$A$1:$A$20000,0),MATCH("Volume",'Semrush Data'!$A$1:$Z$1,0)),"")</f>
        <v/>
      </c>
      <c r="X503" s="59">
        <f>IFERROR(INDEX('Semrush Data'!$A$1:$Z$20000,MATCH(V503,'Semrush Data'!$A$1:$A$20000,0),MATCH("Keyword Difficulty*",'Semrush Data'!$A$1:$Z$1,0)),"")</f>
        <v/>
      </c>
      <c r="Y503" s="61">
        <f>IFERROR(INDEX('Semrush Data'!$A$1:$Z$20000,MATCH(V503,'Semrush Data'!$A$1:$A$20000,0),MATCH("CPC*",'Semrush Data'!$A$1:$Z$1,0)),"")</f>
        <v/>
      </c>
      <c r="Z503" s="58" t="inlineStr">
        <is>
          <t>the woods collection perfume · amber perfume uk</t>
        </is>
      </c>
      <c r="AA503" s="58" t="inlineStr">
        <is>
          <t>the woods collection eden review · the woods collection eden eau de parfum · the woods collection eden отзывы · the woods collection eden edp 100ml · عطر the woods collection eden · the woods collection eden фрагрантика</t>
        </is>
      </c>
      <c r="AB503" s="58" t="inlineStr">
        <is>
          <t>The Woods Collection Eden Eau De Parfum</t>
        </is>
      </c>
      <c r="AC503" s="58" t="inlineStr">
        <is>
          <t>The Woods Collection Eden Eau De Parfum | Swansura UK</t>
        </is>
      </c>
      <c r="AD503" s="58">
        <f>LEN(AC503)</f>
        <v/>
      </c>
      <c r="AE503" s="58" t="inlineStr">
        <is>
          <t>Buy The Woods Collection Eden Eau De Parfum online in the UK at Swansura. An amber unisex eau de parfum, 100ml. 100% authentic, fast UK delivery, free over £50.</t>
        </is>
      </c>
      <c r="AF503" s="58">
        <f>LEN(AE503)</f>
        <v/>
      </c>
    </row>
    <row r="504" ht="15" customHeight="1" s="37">
      <c r="A504" s="58" t="inlineStr">
        <is>
          <t>FR-344</t>
        </is>
      </c>
      <c r="B504" s="58" t="inlineStr">
        <is>
          <t>Fragrance Catalogue</t>
        </is>
      </c>
      <c r="C504" s="58" t="n">
        <v>344</v>
      </c>
      <c r="D504" s="58" t="inlineStr">
        <is>
          <t>The Woods Collection</t>
        </is>
      </c>
      <c r="E504" s="58" t="n"/>
      <c r="F504" s="58" t="inlineStr">
        <is>
          <t>Fragrance</t>
        </is>
      </c>
      <c r="G504" s="58" t="inlineStr">
        <is>
          <t>Eau de Parfum (EDP)</t>
        </is>
      </c>
      <c r="H504" s="58" t="inlineStr">
        <is>
          <t>Amber · Unisex Fragrance</t>
        </is>
      </c>
      <c r="I504" s="58" t="inlineStr">
        <is>
          <t>The Woods Collection Elysian Eau De Parfum 100ML</t>
        </is>
      </c>
      <c r="J504" s="58" t="inlineStr">
        <is>
          <t>100ml</t>
        </is>
      </c>
      <c r="K504" s="58" t="n">
        <v>44.99</v>
      </c>
      <c r="L504" s="58" t="inlineStr">
        <is>
          <t>the woods collection elysian</t>
        </is>
      </c>
      <c r="M504" s="58" t="inlineStr">
        <is>
          <t>the woods collection elysian uk</t>
        </is>
      </c>
      <c r="N504" s="58" t="inlineStr">
        <is>
          <t>buy the woods collection elysian online</t>
        </is>
      </c>
      <c r="O504" s="58" t="inlineStr">
        <is>
          <t>the woods collection elysian price</t>
        </is>
      </c>
      <c r="P504" s="58" t="inlineStr">
        <is>
          <t>the woods collection elysian eau de parfum</t>
        </is>
      </c>
      <c r="Q504" s="59">
        <f>IF(L504="","",IFERROR(INDEX('Semrush Data'!$A$1:$Z$20000,MATCH(L504,'Semrush Data'!$A$1:$A$20000,0),MATCH("Volume",'Semrush Data'!$A$1:$Z$1,0)),""))</f>
        <v/>
      </c>
      <c r="R504" s="59">
        <f>IF(M504="","",IFERROR(INDEX('Semrush Data'!$A$1:$Z$20000,MATCH(M504,'Semrush Data'!$A$1:$A$20000,0),MATCH("Volume",'Semrush Data'!$A$1:$Z$1,0)),""))</f>
        <v/>
      </c>
      <c r="S504" s="59">
        <f>IF(N504="","",IFERROR(INDEX('Semrush Data'!$A$1:$Z$20000,MATCH(N504,'Semrush Data'!$A$1:$A$20000,0),MATCH("Volume",'Semrush Data'!$A$1:$Z$1,0)),""))</f>
        <v/>
      </c>
      <c r="T504" s="59">
        <f>IF(O504="","",IFERROR(INDEX('Semrush Data'!$A$1:$Z$20000,MATCH(O504,'Semrush Data'!$A$1:$A$20000,0),MATCH("Volume",'Semrush Data'!$A$1:$Z$1,0)),""))</f>
        <v/>
      </c>
      <c r="U504" s="59">
        <f>IF(P504="","",IFERROR(INDEX('Semrush Data'!$A$1:$Z$20000,MATCH(P504,'Semrush Data'!$A$1:$A$20000,0),MATCH("Volume",'Semrush Data'!$A$1:$Z$1,0)),""))</f>
        <v/>
      </c>
      <c r="V504" s="60">
        <f>IF(COUNT(Q504:U504)=0,L504,IF(MAX(Q504:U504)=0,L504,INDEX(L504:P504,MATCH(MAX(Q504:U504),Q504:U504,0))))</f>
        <v/>
      </c>
      <c r="W504" s="59">
        <f>IFERROR(INDEX('Semrush Data'!$A$1:$Z$20000,MATCH(V504,'Semrush Data'!$A$1:$A$20000,0),MATCH("Volume",'Semrush Data'!$A$1:$Z$1,0)),"")</f>
        <v/>
      </c>
      <c r="X504" s="59">
        <f>IFERROR(INDEX('Semrush Data'!$A$1:$Z$20000,MATCH(V504,'Semrush Data'!$A$1:$A$20000,0),MATCH("Keyword Difficulty*",'Semrush Data'!$A$1:$Z$1,0)),"")</f>
        <v/>
      </c>
      <c r="Y504" s="61">
        <f>IFERROR(INDEX('Semrush Data'!$A$1:$Z$20000,MATCH(V504,'Semrush Data'!$A$1:$A$20000,0),MATCH("CPC*",'Semrush Data'!$A$1:$Z$1,0)),"")</f>
        <v/>
      </c>
      <c r="Z504" s="58" t="inlineStr">
        <is>
          <t>the woods collection perfume · amber perfume uk</t>
        </is>
      </c>
      <c r="AA504" s="58" t="n"/>
      <c r="AB504" s="58" t="inlineStr">
        <is>
          <t>The Woods Collection Elysian Eau De Parfum</t>
        </is>
      </c>
      <c r="AC504" s="58" t="inlineStr">
        <is>
          <t>The Woods Collection Elysian Eau De Parfum | Swansura UK</t>
        </is>
      </c>
      <c r="AD504" s="58">
        <f>LEN(AC504)</f>
        <v/>
      </c>
      <c r="AE504" s="58" t="inlineStr">
        <is>
          <t>Buy The Woods Collection Elysian Eau De Parfum online in the UK at Swansura. An amber unisex eau de parfum, 100ml. 100% authentic, free UK delivery over £50.</t>
        </is>
      </c>
      <c r="AF504" s="58">
        <f>LEN(AE504)</f>
        <v/>
      </c>
    </row>
    <row r="505" ht="15" customHeight="1" s="37">
      <c r="A505" s="58" t="inlineStr">
        <is>
          <t>FR-345</t>
        </is>
      </c>
      <c r="B505" s="58" t="inlineStr">
        <is>
          <t>Fragrance Catalogue</t>
        </is>
      </c>
      <c r="C505" s="58" t="n">
        <v>345</v>
      </c>
      <c r="D505" s="58" t="inlineStr">
        <is>
          <t>The Woods Collection</t>
        </is>
      </c>
      <c r="E505" s="58" t="n"/>
      <c r="F505" s="58" t="inlineStr">
        <is>
          <t>Fragrance</t>
        </is>
      </c>
      <c r="G505" s="58" t="inlineStr">
        <is>
          <t>Eau de Parfum (EDP)</t>
        </is>
      </c>
      <c r="H505" s="58" t="inlineStr">
        <is>
          <t>Green · Unisex Fragrance</t>
        </is>
      </c>
      <c r="I505" s="58" t="inlineStr">
        <is>
          <t>The Woods Collection Green Walk Eau De Parfum 100ML</t>
        </is>
      </c>
      <c r="J505" s="58" t="inlineStr">
        <is>
          <t>100ml</t>
        </is>
      </c>
      <c r="K505" s="58" t="n">
        <v>44.99</v>
      </c>
      <c r="L505" s="58" t="inlineStr">
        <is>
          <t>the woods collection green walk</t>
        </is>
      </c>
      <c r="M505" s="58" t="inlineStr">
        <is>
          <t>the woods collection green walk uk</t>
        </is>
      </c>
      <c r="N505" s="58" t="inlineStr">
        <is>
          <t>buy the woods collection green walk online</t>
        </is>
      </c>
      <c r="O505" s="58" t="inlineStr">
        <is>
          <t>the woods collection green walk price</t>
        </is>
      </c>
      <c r="P505" s="58" t="inlineStr">
        <is>
          <t>the woods collection green walk eau de parfum</t>
        </is>
      </c>
      <c r="Q505" s="59">
        <f>IF(L505="","",IFERROR(INDEX('Semrush Data'!$A$1:$Z$20000,MATCH(L505,'Semrush Data'!$A$1:$A$20000,0),MATCH("Volume",'Semrush Data'!$A$1:$Z$1,0)),""))</f>
        <v/>
      </c>
      <c r="R505" s="59">
        <f>IF(M505="","",IFERROR(INDEX('Semrush Data'!$A$1:$Z$20000,MATCH(M505,'Semrush Data'!$A$1:$A$20000,0),MATCH("Volume",'Semrush Data'!$A$1:$Z$1,0)),""))</f>
        <v/>
      </c>
      <c r="S505" s="59">
        <f>IF(N505="","",IFERROR(INDEX('Semrush Data'!$A$1:$Z$20000,MATCH(N505,'Semrush Data'!$A$1:$A$20000,0),MATCH("Volume",'Semrush Data'!$A$1:$Z$1,0)),""))</f>
        <v/>
      </c>
      <c r="T505" s="59">
        <f>IF(O505="","",IFERROR(INDEX('Semrush Data'!$A$1:$Z$20000,MATCH(O505,'Semrush Data'!$A$1:$A$20000,0),MATCH("Volume",'Semrush Data'!$A$1:$Z$1,0)),""))</f>
        <v/>
      </c>
      <c r="U505" s="59">
        <f>IF(P505="","",IFERROR(INDEX('Semrush Data'!$A$1:$Z$20000,MATCH(P505,'Semrush Data'!$A$1:$A$20000,0),MATCH("Volume",'Semrush Data'!$A$1:$Z$1,0)),""))</f>
        <v/>
      </c>
      <c r="V505" s="60">
        <f>IF(COUNT(Q505:U505)=0,L505,IF(MAX(Q505:U505)=0,L505,INDEX(L505:P505,MATCH(MAX(Q505:U505),Q505:U505,0))))</f>
        <v/>
      </c>
      <c r="W505" s="59">
        <f>IFERROR(INDEX('Semrush Data'!$A$1:$Z$20000,MATCH(V505,'Semrush Data'!$A$1:$A$20000,0),MATCH("Volume",'Semrush Data'!$A$1:$Z$1,0)),"")</f>
        <v/>
      </c>
      <c r="X505" s="59">
        <f>IFERROR(INDEX('Semrush Data'!$A$1:$Z$20000,MATCH(V505,'Semrush Data'!$A$1:$A$20000,0),MATCH("Keyword Difficulty*",'Semrush Data'!$A$1:$Z$1,0)),"")</f>
        <v/>
      </c>
      <c r="Y505" s="61">
        <f>IFERROR(INDEX('Semrush Data'!$A$1:$Z$20000,MATCH(V505,'Semrush Data'!$A$1:$A$20000,0),MATCH("CPC*",'Semrush Data'!$A$1:$Z$1,0)),"")</f>
        <v/>
      </c>
      <c r="Z505" s="58" t="inlineStr">
        <is>
          <t>the woods collection perfume · green perfume uk</t>
        </is>
      </c>
      <c r="AA505" s="58" t="inlineStr">
        <is>
          <t>the woods collection green walk eau de parfum · the woods collection green walk review · the woods collection green walk отзывы · the woods green walk</t>
        </is>
      </c>
      <c r="AB505" s="58" t="inlineStr">
        <is>
          <t>The Woods Collection Green Walk Eau De Parfum</t>
        </is>
      </c>
      <c r="AC505" s="58" t="inlineStr">
        <is>
          <t>The Woods Collection Green Walk Eau De Parfum | Swansura UK</t>
        </is>
      </c>
      <c r="AD505" s="58">
        <f>LEN(AC505)</f>
        <v/>
      </c>
      <c r="AE505" s="58" t="inlineStr">
        <is>
          <t>Buy The Woods Collection Green Walk Eau De Parfum online in the UK at Swansura. A green unisex eau de parfum, 100ml. 100% authentic, free UK delivery over £50.</t>
        </is>
      </c>
      <c r="AF505" s="58">
        <f>LEN(AE505)</f>
        <v/>
      </c>
    </row>
    <row r="506" ht="15" customHeight="1" s="37">
      <c r="A506" s="58" t="inlineStr">
        <is>
          <t>FR-346</t>
        </is>
      </c>
      <c r="B506" s="58" t="inlineStr">
        <is>
          <t>Fragrance Catalogue</t>
        </is>
      </c>
      <c r="C506" s="58" t="n">
        <v>346</v>
      </c>
      <c r="D506" s="58" t="inlineStr">
        <is>
          <t>The Woods Collection</t>
        </is>
      </c>
      <c r="E506" s="58" t="n"/>
      <c r="F506" s="58" t="inlineStr">
        <is>
          <t>Fragrance</t>
        </is>
      </c>
      <c r="G506" s="58" t="inlineStr">
        <is>
          <t>Eau de Parfum (EDP)</t>
        </is>
      </c>
      <c r="H506" s="58" t="inlineStr">
        <is>
          <t>Amber · Unisex Fragrance</t>
        </is>
      </c>
      <c r="I506" s="58" t="inlineStr">
        <is>
          <t>The Woods Collection Mirage Eau De Parfum 100ML</t>
        </is>
      </c>
      <c r="J506" s="58" t="inlineStr">
        <is>
          <t>100ml</t>
        </is>
      </c>
      <c r="K506" s="58" t="n">
        <v>44.99</v>
      </c>
      <c r="L506" s="58" t="inlineStr">
        <is>
          <t>the woods collection mirage</t>
        </is>
      </c>
      <c r="M506" s="58" t="inlineStr">
        <is>
          <t>the woods collection mirage uk</t>
        </is>
      </c>
      <c r="N506" s="58" t="inlineStr">
        <is>
          <t>buy the woods collection mirage online</t>
        </is>
      </c>
      <c r="O506" s="58" t="inlineStr">
        <is>
          <t>the woods collection mirage price</t>
        </is>
      </c>
      <c r="P506" s="58" t="inlineStr">
        <is>
          <t>the woods collection mirage eau de parfum</t>
        </is>
      </c>
      <c r="Q506" s="59">
        <f>IF(L506="","",IFERROR(INDEX('Semrush Data'!$A$1:$Z$20000,MATCH(L506,'Semrush Data'!$A$1:$A$20000,0),MATCH("Volume",'Semrush Data'!$A$1:$Z$1,0)),""))</f>
        <v/>
      </c>
      <c r="R506" s="59">
        <f>IF(M506="","",IFERROR(INDEX('Semrush Data'!$A$1:$Z$20000,MATCH(M506,'Semrush Data'!$A$1:$A$20000,0),MATCH("Volume",'Semrush Data'!$A$1:$Z$1,0)),""))</f>
        <v/>
      </c>
      <c r="S506" s="59">
        <f>IF(N506="","",IFERROR(INDEX('Semrush Data'!$A$1:$Z$20000,MATCH(N506,'Semrush Data'!$A$1:$A$20000,0),MATCH("Volume",'Semrush Data'!$A$1:$Z$1,0)),""))</f>
        <v/>
      </c>
      <c r="T506" s="59">
        <f>IF(O506="","",IFERROR(INDEX('Semrush Data'!$A$1:$Z$20000,MATCH(O506,'Semrush Data'!$A$1:$A$20000,0),MATCH("Volume",'Semrush Data'!$A$1:$Z$1,0)),""))</f>
        <v/>
      </c>
      <c r="U506" s="59">
        <f>IF(P506="","",IFERROR(INDEX('Semrush Data'!$A$1:$Z$20000,MATCH(P506,'Semrush Data'!$A$1:$A$20000,0),MATCH("Volume",'Semrush Data'!$A$1:$Z$1,0)),""))</f>
        <v/>
      </c>
      <c r="V506" s="60">
        <f>IF(COUNT(Q506:U506)=0,L506,IF(MAX(Q506:U506)=0,L506,INDEX(L506:P506,MATCH(MAX(Q506:U506),Q506:U506,0))))</f>
        <v/>
      </c>
      <c r="W506" s="59">
        <f>IFERROR(INDEX('Semrush Data'!$A$1:$Z$20000,MATCH(V506,'Semrush Data'!$A$1:$A$20000,0),MATCH("Volume",'Semrush Data'!$A$1:$Z$1,0)),"")</f>
        <v/>
      </c>
      <c r="X506" s="59">
        <f>IFERROR(INDEX('Semrush Data'!$A$1:$Z$20000,MATCH(V506,'Semrush Data'!$A$1:$A$20000,0),MATCH("Keyword Difficulty*",'Semrush Data'!$A$1:$Z$1,0)),"")</f>
        <v/>
      </c>
      <c r="Y506" s="61">
        <f>IFERROR(INDEX('Semrush Data'!$A$1:$Z$20000,MATCH(V506,'Semrush Data'!$A$1:$A$20000,0),MATCH("CPC*",'Semrush Data'!$A$1:$Z$1,0)),"")</f>
        <v/>
      </c>
      <c r="Z506" s="58" t="inlineStr">
        <is>
          <t>the woods collection perfume · amber perfume uk</t>
        </is>
      </c>
      <c r="AA506" s="58" t="inlineStr">
        <is>
          <t>the woods collection mirage review · the woods collection mirage notes · the woods collection mirage отзывы · the woods collection mirage eau de parfum · the woods collection mirage edp</t>
        </is>
      </c>
      <c r="AB506" s="58" t="inlineStr">
        <is>
          <t>The Woods Collection Mirage Eau De Parfum</t>
        </is>
      </c>
      <c r="AC506" s="58" t="inlineStr">
        <is>
          <t>The Woods Collection Mirage Eau De Parfum | Swansura UK</t>
        </is>
      </c>
      <c r="AD506" s="58">
        <f>LEN(AC506)</f>
        <v/>
      </c>
      <c r="AE506" s="58" t="inlineStr">
        <is>
          <t>Buy The Woods Collection Mirage Eau De Parfum online in the UK at Swansura. An amber unisex eau de parfum, 100ml. 100% authentic, free UK delivery over £50.</t>
        </is>
      </c>
      <c r="AF506" s="58">
        <f>LEN(AE506)</f>
        <v/>
      </c>
    </row>
    <row r="507" ht="15" customHeight="1" s="37">
      <c r="A507" s="58" t="inlineStr">
        <is>
          <t>FR-347</t>
        </is>
      </c>
      <c r="B507" s="58" t="inlineStr">
        <is>
          <t>Fragrance Catalogue</t>
        </is>
      </c>
      <c r="C507" s="58" t="n">
        <v>347</v>
      </c>
      <c r="D507" s="58" t="inlineStr">
        <is>
          <t>The Woods Collection</t>
        </is>
      </c>
      <c r="E507" s="58" t="n"/>
      <c r="F507" s="58" t="inlineStr">
        <is>
          <t>Fragrance</t>
        </is>
      </c>
      <c r="G507" s="58" t="inlineStr">
        <is>
          <t>Eau de Parfum (EDP)</t>
        </is>
      </c>
      <c r="H507" s="58" t="inlineStr">
        <is>
          <t>Amber · Unisex Fragrance</t>
        </is>
      </c>
      <c r="I507" s="58" t="inlineStr">
        <is>
          <t>The Woods Collection Pure Shine Eau De Parfum 100ML</t>
        </is>
      </c>
      <c r="J507" s="58" t="inlineStr">
        <is>
          <t>100ml</t>
        </is>
      </c>
      <c r="K507" s="58" t="n">
        <v>44.99</v>
      </c>
      <c r="L507" s="58" t="inlineStr">
        <is>
          <t>the woods collection pure shine</t>
        </is>
      </c>
      <c r="M507" s="58" t="inlineStr">
        <is>
          <t>the woods collection pure shine uk</t>
        </is>
      </c>
      <c r="N507" s="58" t="inlineStr">
        <is>
          <t>buy the woods collection pure shine online</t>
        </is>
      </c>
      <c r="O507" s="58" t="inlineStr">
        <is>
          <t>the woods collection pure shine price</t>
        </is>
      </c>
      <c r="P507" s="58" t="inlineStr">
        <is>
          <t>the woods collection pure shine eau de parfum</t>
        </is>
      </c>
      <c r="Q507" s="59">
        <f>IF(L507="","",IFERROR(INDEX('Semrush Data'!$A$1:$Z$20000,MATCH(L507,'Semrush Data'!$A$1:$A$20000,0),MATCH("Volume",'Semrush Data'!$A$1:$Z$1,0)),""))</f>
        <v/>
      </c>
      <c r="R507" s="59">
        <f>IF(M507="","",IFERROR(INDEX('Semrush Data'!$A$1:$Z$20000,MATCH(M507,'Semrush Data'!$A$1:$A$20000,0),MATCH("Volume",'Semrush Data'!$A$1:$Z$1,0)),""))</f>
        <v/>
      </c>
      <c r="S507" s="59">
        <f>IF(N507="","",IFERROR(INDEX('Semrush Data'!$A$1:$Z$20000,MATCH(N507,'Semrush Data'!$A$1:$A$20000,0),MATCH("Volume",'Semrush Data'!$A$1:$Z$1,0)),""))</f>
        <v/>
      </c>
      <c r="T507" s="59">
        <f>IF(O507="","",IFERROR(INDEX('Semrush Data'!$A$1:$Z$20000,MATCH(O507,'Semrush Data'!$A$1:$A$20000,0),MATCH("Volume",'Semrush Data'!$A$1:$Z$1,0)),""))</f>
        <v/>
      </c>
      <c r="U507" s="59">
        <f>IF(P507="","",IFERROR(INDEX('Semrush Data'!$A$1:$Z$20000,MATCH(P507,'Semrush Data'!$A$1:$A$20000,0),MATCH("Volume",'Semrush Data'!$A$1:$Z$1,0)),""))</f>
        <v/>
      </c>
      <c r="V507" s="60">
        <f>IF(COUNT(Q507:U507)=0,L507,IF(MAX(Q507:U507)=0,L507,INDEX(L507:P507,MATCH(MAX(Q507:U507),Q507:U507,0))))</f>
        <v/>
      </c>
      <c r="W507" s="59">
        <f>IFERROR(INDEX('Semrush Data'!$A$1:$Z$20000,MATCH(V507,'Semrush Data'!$A$1:$A$20000,0),MATCH("Volume",'Semrush Data'!$A$1:$Z$1,0)),"")</f>
        <v/>
      </c>
      <c r="X507" s="59">
        <f>IFERROR(INDEX('Semrush Data'!$A$1:$Z$20000,MATCH(V507,'Semrush Data'!$A$1:$A$20000,0),MATCH("Keyword Difficulty*",'Semrush Data'!$A$1:$Z$1,0)),"")</f>
        <v/>
      </c>
      <c r="Y507" s="61">
        <f>IFERROR(INDEX('Semrush Data'!$A$1:$Z$20000,MATCH(V507,'Semrush Data'!$A$1:$A$20000,0),MATCH("CPC*",'Semrush Data'!$A$1:$Z$1,0)),"")</f>
        <v/>
      </c>
      <c r="Z507" s="58" t="inlineStr">
        <is>
          <t>the woods collection perfume · amber perfume uk</t>
        </is>
      </c>
      <c r="AA507" s="58" t="inlineStr">
        <is>
          <t>the woods collection pure shine edp · the woods collection pure shine eau de parfum · the woods collection pure shine review · the woods collection pure shine отзывы · the woods collection pure shine edp 100ml · the woods pure shine</t>
        </is>
      </c>
      <c r="AB507" s="58" t="inlineStr">
        <is>
          <t>The Woods Collection Pure Shine Eau De Parfum</t>
        </is>
      </c>
      <c r="AC507" s="58" t="inlineStr">
        <is>
          <t>The Woods Collection Pure Shine Eau De Parfum | Swansura UK</t>
        </is>
      </c>
      <c r="AD507" s="58">
        <f>LEN(AC507)</f>
        <v/>
      </c>
      <c r="AE507" s="58" t="inlineStr">
        <is>
          <t>Buy The Woods Collection Pure Shine Eau De Parfum online in the UK at Swansura. An amber unisex eau de parfum, 100ml. 100% authentic, free UK delivery over £50.</t>
        </is>
      </c>
      <c r="AF507" s="58">
        <f>LEN(AE507)</f>
        <v/>
      </c>
    </row>
    <row r="508" ht="15" customHeight="1" s="37">
      <c r="A508" s="58" t="inlineStr">
        <is>
          <t>FR-348</t>
        </is>
      </c>
      <c r="B508" s="58" t="inlineStr">
        <is>
          <t>Fragrance Catalogue</t>
        </is>
      </c>
      <c r="C508" s="58" t="n">
        <v>348</v>
      </c>
      <c r="D508" s="58" t="inlineStr">
        <is>
          <t>The Woods Collection</t>
        </is>
      </c>
      <c r="E508" s="58" t="n"/>
      <c r="F508" s="58" t="inlineStr">
        <is>
          <t>Fragrance</t>
        </is>
      </c>
      <c r="G508" s="58" t="inlineStr">
        <is>
          <t>Eau de Parfum (EDP)</t>
        </is>
      </c>
      <c r="H508" s="58" t="inlineStr">
        <is>
          <t>Amber · Unisex Fragrance</t>
        </is>
      </c>
      <c r="I508" s="58" t="inlineStr">
        <is>
          <t>The Woods Collection Secret Source Eau De Parfum 100ML</t>
        </is>
      </c>
      <c r="J508" s="58" t="inlineStr">
        <is>
          <t>100ml</t>
        </is>
      </c>
      <c r="K508" s="58" t="n">
        <v>44.99</v>
      </c>
      <c r="L508" s="58" t="inlineStr">
        <is>
          <t>the woods collection secret source</t>
        </is>
      </c>
      <c r="M508" s="58" t="inlineStr">
        <is>
          <t>the woods collection secret source uk</t>
        </is>
      </c>
      <c r="N508" s="58" t="inlineStr">
        <is>
          <t>buy the woods collection secret source online</t>
        </is>
      </c>
      <c r="O508" s="58" t="inlineStr">
        <is>
          <t>the woods collection secret source price</t>
        </is>
      </c>
      <c r="P508" s="58" t="inlineStr">
        <is>
          <t>the woods collection secret source eau de parfum</t>
        </is>
      </c>
      <c r="Q508" s="59">
        <f>IF(L508="","",IFERROR(INDEX('Semrush Data'!$A$1:$Z$20000,MATCH(L508,'Semrush Data'!$A$1:$A$20000,0),MATCH("Volume",'Semrush Data'!$A$1:$Z$1,0)),""))</f>
        <v/>
      </c>
      <c r="R508" s="59">
        <f>IF(M508="","",IFERROR(INDEX('Semrush Data'!$A$1:$Z$20000,MATCH(M508,'Semrush Data'!$A$1:$A$20000,0),MATCH("Volume",'Semrush Data'!$A$1:$Z$1,0)),""))</f>
        <v/>
      </c>
      <c r="S508" s="59">
        <f>IF(N508="","",IFERROR(INDEX('Semrush Data'!$A$1:$Z$20000,MATCH(N508,'Semrush Data'!$A$1:$A$20000,0),MATCH("Volume",'Semrush Data'!$A$1:$Z$1,0)),""))</f>
        <v/>
      </c>
      <c r="T508" s="59">
        <f>IF(O508="","",IFERROR(INDEX('Semrush Data'!$A$1:$Z$20000,MATCH(O508,'Semrush Data'!$A$1:$A$20000,0),MATCH("Volume",'Semrush Data'!$A$1:$Z$1,0)),""))</f>
        <v/>
      </c>
      <c r="U508" s="59">
        <f>IF(P508="","",IFERROR(INDEX('Semrush Data'!$A$1:$Z$20000,MATCH(P508,'Semrush Data'!$A$1:$A$20000,0),MATCH("Volume",'Semrush Data'!$A$1:$Z$1,0)),""))</f>
        <v/>
      </c>
      <c r="V508" s="60">
        <f>IF(COUNT(Q508:U508)=0,L508,IF(MAX(Q508:U508)=0,L508,INDEX(L508:P508,MATCH(MAX(Q508:U508),Q508:U508,0))))</f>
        <v/>
      </c>
      <c r="W508" s="59">
        <f>IFERROR(INDEX('Semrush Data'!$A$1:$Z$20000,MATCH(V508,'Semrush Data'!$A$1:$A$20000,0),MATCH("Volume",'Semrush Data'!$A$1:$Z$1,0)),"")</f>
        <v/>
      </c>
      <c r="X508" s="59">
        <f>IFERROR(INDEX('Semrush Data'!$A$1:$Z$20000,MATCH(V508,'Semrush Data'!$A$1:$A$20000,0),MATCH("Keyword Difficulty*",'Semrush Data'!$A$1:$Z$1,0)),"")</f>
        <v/>
      </c>
      <c r="Y508" s="61">
        <f>IFERROR(INDEX('Semrush Data'!$A$1:$Z$20000,MATCH(V508,'Semrush Data'!$A$1:$A$20000,0),MATCH("CPC*",'Semrush Data'!$A$1:$Z$1,0)),"")</f>
        <v/>
      </c>
      <c r="Z508" s="58" t="inlineStr">
        <is>
          <t>the woods collection perfume · amber perfume uk</t>
        </is>
      </c>
      <c r="AA508" s="58" t="inlineStr">
        <is>
          <t>the woods collection secret source eau de parfum · the woods collection secret source perfume · the woods collection secret source edp · the woods secret source · secret source the woods collection фрагрантика · the woods collection secret source отзывы</t>
        </is>
      </c>
      <c r="AB508" s="58" t="inlineStr">
        <is>
          <t>The Woods Collection Secret Source Eau De Parfum</t>
        </is>
      </c>
      <c r="AC508" s="58" t="inlineStr">
        <is>
          <t>The Woods Collection Secret Source EDP 100ml | Swansura UK</t>
        </is>
      </c>
      <c r="AD508" s="58">
        <f>LEN(AC508)</f>
        <v/>
      </c>
      <c r="AE508" s="58" t="inlineStr">
        <is>
          <t>Buy The Woods Collection Secret Source Eau De Parfum online in the UK at Swansura. An amber unisex eau de parfum. 100% authentic, free UK delivery over £50.</t>
        </is>
      </c>
      <c r="AF508" s="58">
        <f>LEN(AE508)</f>
        <v/>
      </c>
    </row>
    <row r="509" ht="15" customHeight="1" s="37">
      <c r="A509" s="58" t="inlineStr">
        <is>
          <t>FR-349</t>
        </is>
      </c>
      <c r="B509" s="58" t="inlineStr">
        <is>
          <t>Fragrance Catalogue</t>
        </is>
      </c>
      <c r="C509" s="58" t="n">
        <v>349</v>
      </c>
      <c r="D509" s="58" t="inlineStr">
        <is>
          <t>The Woods Collection</t>
        </is>
      </c>
      <c r="E509" s="58" t="n"/>
      <c r="F509" s="58" t="inlineStr">
        <is>
          <t>Fragrance</t>
        </is>
      </c>
      <c r="G509" s="58" t="inlineStr">
        <is>
          <t>Eau de Parfum (EDP)</t>
        </is>
      </c>
      <c r="H509" s="58" t="inlineStr">
        <is>
          <t>Amber · Unisex Fragrance</t>
        </is>
      </c>
      <c r="I509" s="58" t="inlineStr">
        <is>
          <t>The Woods Collection Sunrise Eau De Parfum 100ML</t>
        </is>
      </c>
      <c r="J509" s="58" t="inlineStr">
        <is>
          <t>100ml</t>
        </is>
      </c>
      <c r="K509" s="58" t="n">
        <v>44.99</v>
      </c>
      <c r="L509" s="58" t="inlineStr">
        <is>
          <t>the woods collection sunrise</t>
        </is>
      </c>
      <c r="M509" s="58" t="inlineStr">
        <is>
          <t>the woods collection sunrise uk</t>
        </is>
      </c>
      <c r="N509" s="58" t="inlineStr">
        <is>
          <t>buy the woods collection sunrise online</t>
        </is>
      </c>
      <c r="O509" s="58" t="inlineStr">
        <is>
          <t>the woods collection sunrise price</t>
        </is>
      </c>
      <c r="P509" s="58" t="inlineStr">
        <is>
          <t>the woods collection sunrise eau de parfum</t>
        </is>
      </c>
      <c r="Q509" s="59">
        <f>IF(L509="","",IFERROR(INDEX('Semrush Data'!$A$1:$Z$20000,MATCH(L509,'Semrush Data'!$A$1:$A$20000,0),MATCH("Volume",'Semrush Data'!$A$1:$Z$1,0)),""))</f>
        <v/>
      </c>
      <c r="R509" s="59">
        <f>IF(M509="","",IFERROR(INDEX('Semrush Data'!$A$1:$Z$20000,MATCH(M509,'Semrush Data'!$A$1:$A$20000,0),MATCH("Volume",'Semrush Data'!$A$1:$Z$1,0)),""))</f>
        <v/>
      </c>
      <c r="S509" s="59">
        <f>IF(N509="","",IFERROR(INDEX('Semrush Data'!$A$1:$Z$20000,MATCH(N509,'Semrush Data'!$A$1:$A$20000,0),MATCH("Volume",'Semrush Data'!$A$1:$Z$1,0)),""))</f>
        <v/>
      </c>
      <c r="T509" s="59">
        <f>IF(O509="","",IFERROR(INDEX('Semrush Data'!$A$1:$Z$20000,MATCH(O509,'Semrush Data'!$A$1:$A$20000,0),MATCH("Volume",'Semrush Data'!$A$1:$Z$1,0)),""))</f>
        <v/>
      </c>
      <c r="U509" s="59">
        <f>IF(P509="","",IFERROR(INDEX('Semrush Data'!$A$1:$Z$20000,MATCH(P509,'Semrush Data'!$A$1:$A$20000,0),MATCH("Volume",'Semrush Data'!$A$1:$Z$1,0)),""))</f>
        <v/>
      </c>
      <c r="V509" s="60">
        <f>IF(COUNT(Q509:U509)=0,L509,IF(MAX(Q509:U509)=0,L509,INDEX(L509:P509,MATCH(MAX(Q509:U509),Q509:U509,0))))</f>
        <v/>
      </c>
      <c r="W509" s="59">
        <f>IFERROR(INDEX('Semrush Data'!$A$1:$Z$20000,MATCH(V509,'Semrush Data'!$A$1:$A$20000,0),MATCH("Volume",'Semrush Data'!$A$1:$Z$1,0)),"")</f>
        <v/>
      </c>
      <c r="X509" s="59">
        <f>IFERROR(INDEX('Semrush Data'!$A$1:$Z$20000,MATCH(V509,'Semrush Data'!$A$1:$A$20000,0),MATCH("Keyword Difficulty*",'Semrush Data'!$A$1:$Z$1,0)),"")</f>
        <v/>
      </c>
      <c r="Y509" s="61">
        <f>IFERROR(INDEX('Semrush Data'!$A$1:$Z$20000,MATCH(V509,'Semrush Data'!$A$1:$A$20000,0),MATCH("CPC*",'Semrush Data'!$A$1:$Z$1,0)),"")</f>
        <v/>
      </c>
      <c r="Z509" s="58" t="inlineStr">
        <is>
          <t>the woods collection perfume · amber perfume uk</t>
        </is>
      </c>
      <c r="AA509" s="58" t="inlineStr">
        <is>
          <t>the woods collection sunrise review · the woods collection sunrise eau de parfum · the woods collection sunrise edp · the woods collection sunrise отзывы · the woods collection sunrise фрагрантика</t>
        </is>
      </c>
      <c r="AB509" s="58" t="inlineStr">
        <is>
          <t>The Woods Collection Sunrise Eau De Parfum</t>
        </is>
      </c>
      <c r="AC509" s="58" t="inlineStr">
        <is>
          <t>The Woods Collection Sunrise Eau De Parfum | Swansura UK</t>
        </is>
      </c>
      <c r="AD509" s="58">
        <f>LEN(AC509)</f>
        <v/>
      </c>
      <c r="AE509" s="58" t="inlineStr">
        <is>
          <t>Buy The Woods Collection Sunrise Eau De Parfum online in the UK at Swansura. An amber unisex eau de parfum, 100ml. 100% authentic, free UK delivery over £50.</t>
        </is>
      </c>
      <c r="AF509" s="58">
        <f>LEN(AE509)</f>
        <v/>
      </c>
    </row>
    <row r="510" ht="15" customHeight="1" s="37">
      <c r="A510" s="58" t="inlineStr">
        <is>
          <t>FR-350</t>
        </is>
      </c>
      <c r="B510" s="58" t="inlineStr">
        <is>
          <t>Fragrance Catalogue</t>
        </is>
      </c>
      <c r="C510" s="58" t="n">
        <v>350</v>
      </c>
      <c r="D510" s="58" t="inlineStr">
        <is>
          <t>The Woods Collection</t>
        </is>
      </c>
      <c r="E510" s="58" t="n"/>
      <c r="F510" s="58" t="inlineStr">
        <is>
          <t>Fragrance</t>
        </is>
      </c>
      <c r="G510" s="58" t="inlineStr">
        <is>
          <t>Eau de Parfum (EDP)</t>
        </is>
      </c>
      <c r="H510" s="58" t="inlineStr">
        <is>
          <t>Amber · Unisex Fragrance</t>
        </is>
      </c>
      <c r="I510" s="58" t="inlineStr">
        <is>
          <t>The Woods Collection Timeless Sands Eau De Parfum 100ML</t>
        </is>
      </c>
      <c r="J510" s="58" t="inlineStr">
        <is>
          <t>100ml</t>
        </is>
      </c>
      <c r="K510" s="58" t="n">
        <v>44.99</v>
      </c>
      <c r="L510" s="58" t="inlineStr">
        <is>
          <t>the woods collection timeless sands</t>
        </is>
      </c>
      <c r="M510" s="58" t="inlineStr">
        <is>
          <t>the woods collection timeless sands uk</t>
        </is>
      </c>
      <c r="N510" s="58" t="inlineStr">
        <is>
          <t>buy the woods collection timeless sands online</t>
        </is>
      </c>
      <c r="O510" s="58" t="inlineStr">
        <is>
          <t>the woods collection timeless sands price</t>
        </is>
      </c>
      <c r="P510" s="58" t="inlineStr">
        <is>
          <t>the woods collection timeless sands eau de parfum</t>
        </is>
      </c>
      <c r="Q510" s="59">
        <f>IF(L510="","",IFERROR(INDEX('Semrush Data'!$A$1:$Z$20000,MATCH(L510,'Semrush Data'!$A$1:$A$20000,0),MATCH("Volume",'Semrush Data'!$A$1:$Z$1,0)),""))</f>
        <v/>
      </c>
      <c r="R510" s="59">
        <f>IF(M510="","",IFERROR(INDEX('Semrush Data'!$A$1:$Z$20000,MATCH(M510,'Semrush Data'!$A$1:$A$20000,0),MATCH("Volume",'Semrush Data'!$A$1:$Z$1,0)),""))</f>
        <v/>
      </c>
      <c r="S510" s="59">
        <f>IF(N510="","",IFERROR(INDEX('Semrush Data'!$A$1:$Z$20000,MATCH(N510,'Semrush Data'!$A$1:$A$20000,0),MATCH("Volume",'Semrush Data'!$A$1:$Z$1,0)),""))</f>
        <v/>
      </c>
      <c r="T510" s="59">
        <f>IF(O510="","",IFERROR(INDEX('Semrush Data'!$A$1:$Z$20000,MATCH(O510,'Semrush Data'!$A$1:$A$20000,0),MATCH("Volume",'Semrush Data'!$A$1:$Z$1,0)),""))</f>
        <v/>
      </c>
      <c r="U510" s="59">
        <f>IF(P510="","",IFERROR(INDEX('Semrush Data'!$A$1:$Z$20000,MATCH(P510,'Semrush Data'!$A$1:$A$20000,0),MATCH("Volume",'Semrush Data'!$A$1:$Z$1,0)),""))</f>
        <v/>
      </c>
      <c r="V510" s="60">
        <f>IF(COUNT(Q510:U510)=0,L510,IF(MAX(Q510:U510)=0,L510,INDEX(L510:P510,MATCH(MAX(Q510:U510),Q510:U510,0))))</f>
        <v/>
      </c>
      <c r="W510" s="59">
        <f>IFERROR(INDEX('Semrush Data'!$A$1:$Z$20000,MATCH(V510,'Semrush Data'!$A$1:$A$20000,0),MATCH("Volume",'Semrush Data'!$A$1:$Z$1,0)),"")</f>
        <v/>
      </c>
      <c r="X510" s="59">
        <f>IFERROR(INDEX('Semrush Data'!$A$1:$Z$20000,MATCH(V510,'Semrush Data'!$A$1:$A$20000,0),MATCH("Keyword Difficulty*",'Semrush Data'!$A$1:$Z$1,0)),"")</f>
        <v/>
      </c>
      <c r="Y510" s="61">
        <f>IFERROR(INDEX('Semrush Data'!$A$1:$Z$20000,MATCH(V510,'Semrush Data'!$A$1:$A$20000,0),MATCH("CPC*",'Semrush Data'!$A$1:$Z$1,0)),"")</f>
        <v/>
      </c>
      <c r="Z510" s="58" t="inlineStr">
        <is>
          <t>the woods collection perfume · amber perfume uk</t>
        </is>
      </c>
      <c r="AA510" s="58" t="inlineStr">
        <is>
          <t>the woods collection timeless sands eau de parfum · the woods collection timeless sands review · the woods collection timeless sands edp · the woods timeless sands · the woods collection timeless sands отзывы · the woods collection timeless sands фрагрантика</t>
        </is>
      </c>
      <c r="AB510" s="58" t="inlineStr">
        <is>
          <t>The Woods Collection Timeless Sands Eau De Parfum</t>
        </is>
      </c>
      <c r="AC510" s="58" t="inlineStr">
        <is>
          <t>The Woods Collection Timeless Sands EDP 100ml | Swansura UK</t>
        </is>
      </c>
      <c r="AD510" s="58">
        <f>LEN(AC510)</f>
        <v/>
      </c>
      <c r="AE510" s="58" t="inlineStr">
        <is>
          <t>Buy The Woods Collection Timeless Sands Eau De Parfum online in the UK at Swansura. An amber unisex eau de parfum. 100% authentic, free UK delivery over £50.</t>
        </is>
      </c>
      <c r="AF510" s="58">
        <f>LEN(AE510)</f>
        <v/>
      </c>
    </row>
    <row r="511" ht="15" customHeight="1" s="37">
      <c r="A511" s="58" t="inlineStr">
        <is>
          <t>FR-351</t>
        </is>
      </c>
      <c r="B511" s="58" t="inlineStr">
        <is>
          <t>Fragrance Catalogue</t>
        </is>
      </c>
      <c r="C511" s="58" t="n">
        <v>351</v>
      </c>
      <c r="D511" s="58" t="inlineStr">
        <is>
          <t>The Woods Collection</t>
        </is>
      </c>
      <c r="E511" s="58" t="n"/>
      <c r="F511" s="58" t="inlineStr">
        <is>
          <t>Fragrance</t>
        </is>
      </c>
      <c r="G511" s="58" t="inlineStr">
        <is>
          <t>Eau de Parfum (EDP)</t>
        </is>
      </c>
      <c r="H511" s="58" t="inlineStr">
        <is>
          <t>Amber · Unisex Fragrance</t>
        </is>
      </c>
      <c r="I511" s="58" t="inlineStr">
        <is>
          <t>The Woods Collection Twilight Eau De Parfum 100ML</t>
        </is>
      </c>
      <c r="J511" s="58" t="inlineStr">
        <is>
          <t>100ml</t>
        </is>
      </c>
      <c r="K511" s="58" t="n">
        <v>44.99</v>
      </c>
      <c r="L511" s="58" t="inlineStr">
        <is>
          <t>the woods collection twilight</t>
        </is>
      </c>
      <c r="M511" s="58" t="inlineStr">
        <is>
          <t>the woods collection twilight uk</t>
        </is>
      </c>
      <c r="N511" s="58" t="inlineStr">
        <is>
          <t>buy the woods collection twilight online</t>
        </is>
      </c>
      <c r="O511" s="58" t="inlineStr">
        <is>
          <t>the woods collection twilight price</t>
        </is>
      </c>
      <c r="P511" s="58" t="inlineStr">
        <is>
          <t>the woods collection twilight eau de parfum</t>
        </is>
      </c>
      <c r="Q511" s="59">
        <f>IF(L511="","",IFERROR(INDEX('Semrush Data'!$A$1:$Z$20000,MATCH(L511,'Semrush Data'!$A$1:$A$20000,0),MATCH("Volume",'Semrush Data'!$A$1:$Z$1,0)),""))</f>
        <v/>
      </c>
      <c r="R511" s="59">
        <f>IF(M511="","",IFERROR(INDEX('Semrush Data'!$A$1:$Z$20000,MATCH(M511,'Semrush Data'!$A$1:$A$20000,0),MATCH("Volume",'Semrush Data'!$A$1:$Z$1,0)),""))</f>
        <v/>
      </c>
      <c r="S511" s="59">
        <f>IF(N511="","",IFERROR(INDEX('Semrush Data'!$A$1:$Z$20000,MATCH(N511,'Semrush Data'!$A$1:$A$20000,0),MATCH("Volume",'Semrush Data'!$A$1:$Z$1,0)),""))</f>
        <v/>
      </c>
      <c r="T511" s="59">
        <f>IF(O511="","",IFERROR(INDEX('Semrush Data'!$A$1:$Z$20000,MATCH(O511,'Semrush Data'!$A$1:$A$20000,0),MATCH("Volume",'Semrush Data'!$A$1:$Z$1,0)),""))</f>
        <v/>
      </c>
      <c r="U511" s="59">
        <f>IF(P511="","",IFERROR(INDEX('Semrush Data'!$A$1:$Z$20000,MATCH(P511,'Semrush Data'!$A$1:$A$20000,0),MATCH("Volume",'Semrush Data'!$A$1:$Z$1,0)),""))</f>
        <v/>
      </c>
      <c r="V511" s="60">
        <f>IF(COUNT(Q511:U511)=0,L511,IF(MAX(Q511:U511)=0,L511,INDEX(L511:P511,MATCH(MAX(Q511:U511),Q511:U511,0))))</f>
        <v/>
      </c>
      <c r="W511" s="59">
        <f>IFERROR(INDEX('Semrush Data'!$A$1:$Z$20000,MATCH(V511,'Semrush Data'!$A$1:$A$20000,0),MATCH("Volume",'Semrush Data'!$A$1:$Z$1,0)),"")</f>
        <v/>
      </c>
      <c r="X511" s="59">
        <f>IFERROR(INDEX('Semrush Data'!$A$1:$Z$20000,MATCH(V511,'Semrush Data'!$A$1:$A$20000,0),MATCH("Keyword Difficulty*",'Semrush Data'!$A$1:$Z$1,0)),"")</f>
        <v/>
      </c>
      <c r="Y511" s="61">
        <f>IFERROR(INDEX('Semrush Data'!$A$1:$Z$20000,MATCH(V511,'Semrush Data'!$A$1:$A$20000,0),MATCH("CPC*",'Semrush Data'!$A$1:$Z$1,0)),"")</f>
        <v/>
      </c>
      <c r="Z511" s="58" t="inlineStr">
        <is>
          <t>the woods collection perfume · amber perfume uk</t>
        </is>
      </c>
      <c r="AA511" s="58" t="inlineStr">
        <is>
          <t>the woods collection twilight eau de parfum · the woods collection twilight perfume · the woods collection twilight edp · the woods collection twilight review · the woods collection twilight dupe of</t>
        </is>
      </c>
      <c r="AB511" s="58" t="inlineStr">
        <is>
          <t>The Woods Collection Twilight Eau De Parfum</t>
        </is>
      </c>
      <c r="AC511" s="58" t="inlineStr">
        <is>
          <t>The Woods Collection Twilight Eau De Parfum | Swansura UK</t>
        </is>
      </c>
      <c r="AD511" s="58">
        <f>LEN(AC511)</f>
        <v/>
      </c>
      <c r="AE511" s="58" t="inlineStr">
        <is>
          <t>Buy The Woods Collection Twilight Eau De Parfum online in the UK at Swansura. An amber unisex eau de parfum, 100ml. 100% authentic, free UK delivery over £50.</t>
        </is>
      </c>
      <c r="AF511" s="58">
        <f>LEN(AE511)</f>
        <v/>
      </c>
    </row>
    <row r="512" ht="15" customHeight="1" s="37">
      <c r="A512" s="58" t="inlineStr">
        <is>
          <t>FR-352</t>
        </is>
      </c>
      <c r="B512" s="58" t="inlineStr">
        <is>
          <t>Fragrance Catalogue</t>
        </is>
      </c>
      <c r="C512" s="58" t="n">
        <v>352</v>
      </c>
      <c r="D512" s="58" t="inlineStr">
        <is>
          <t>The Woods Collection</t>
        </is>
      </c>
      <c r="E512" s="58" t="n"/>
      <c r="F512" s="58" t="inlineStr">
        <is>
          <t>Fragrance</t>
        </is>
      </c>
      <c r="G512" s="58" t="inlineStr">
        <is>
          <t>Eau de Parfum (EDP)</t>
        </is>
      </c>
      <c r="H512" s="58" t="inlineStr">
        <is>
          <t>Amber · Unisex Fragrance</t>
        </is>
      </c>
      <c r="I512" s="58" t="inlineStr">
        <is>
          <t>The Woods Collection Wild Roses Eau De Parfum 100ML</t>
        </is>
      </c>
      <c r="J512" s="58" t="inlineStr">
        <is>
          <t>100ml</t>
        </is>
      </c>
      <c r="K512" s="58" t="n">
        <v>44.99</v>
      </c>
      <c r="L512" s="58" t="inlineStr">
        <is>
          <t>the woods collection wild roses</t>
        </is>
      </c>
      <c r="M512" s="58" t="inlineStr">
        <is>
          <t>the woods collection wild roses uk</t>
        </is>
      </c>
      <c r="N512" s="58" t="inlineStr">
        <is>
          <t>buy the woods collection wild roses online</t>
        </is>
      </c>
      <c r="O512" s="58" t="inlineStr">
        <is>
          <t>the woods collection wild roses price</t>
        </is>
      </c>
      <c r="P512" s="58" t="inlineStr">
        <is>
          <t>the woods collection wild roses eau de parfum</t>
        </is>
      </c>
      <c r="Q512" s="59">
        <f>IF(L512="","",IFERROR(INDEX('Semrush Data'!$A$1:$Z$20000,MATCH(L512,'Semrush Data'!$A$1:$A$20000,0),MATCH("Volume",'Semrush Data'!$A$1:$Z$1,0)),""))</f>
        <v/>
      </c>
      <c r="R512" s="59">
        <f>IF(M512="","",IFERROR(INDEX('Semrush Data'!$A$1:$Z$20000,MATCH(M512,'Semrush Data'!$A$1:$A$20000,0),MATCH("Volume",'Semrush Data'!$A$1:$Z$1,0)),""))</f>
        <v/>
      </c>
      <c r="S512" s="59">
        <f>IF(N512="","",IFERROR(INDEX('Semrush Data'!$A$1:$Z$20000,MATCH(N512,'Semrush Data'!$A$1:$A$20000,0),MATCH("Volume",'Semrush Data'!$A$1:$Z$1,0)),""))</f>
        <v/>
      </c>
      <c r="T512" s="59">
        <f>IF(O512="","",IFERROR(INDEX('Semrush Data'!$A$1:$Z$20000,MATCH(O512,'Semrush Data'!$A$1:$A$20000,0),MATCH("Volume",'Semrush Data'!$A$1:$Z$1,0)),""))</f>
        <v/>
      </c>
      <c r="U512" s="59">
        <f>IF(P512="","",IFERROR(INDEX('Semrush Data'!$A$1:$Z$20000,MATCH(P512,'Semrush Data'!$A$1:$A$20000,0),MATCH("Volume",'Semrush Data'!$A$1:$Z$1,0)),""))</f>
        <v/>
      </c>
      <c r="V512" s="60">
        <f>IF(COUNT(Q512:U512)=0,L512,IF(MAX(Q512:U512)=0,L512,INDEX(L512:P512,MATCH(MAX(Q512:U512),Q512:U512,0))))</f>
        <v/>
      </c>
      <c r="W512" s="59">
        <f>IFERROR(INDEX('Semrush Data'!$A$1:$Z$20000,MATCH(V512,'Semrush Data'!$A$1:$A$20000,0),MATCH("Volume",'Semrush Data'!$A$1:$Z$1,0)),"")</f>
        <v/>
      </c>
      <c r="X512" s="59">
        <f>IFERROR(INDEX('Semrush Data'!$A$1:$Z$20000,MATCH(V512,'Semrush Data'!$A$1:$A$20000,0),MATCH("Keyword Difficulty*",'Semrush Data'!$A$1:$Z$1,0)),"")</f>
        <v/>
      </c>
      <c r="Y512" s="61">
        <f>IFERROR(INDEX('Semrush Data'!$A$1:$Z$20000,MATCH(V512,'Semrush Data'!$A$1:$A$20000,0),MATCH("CPC*",'Semrush Data'!$A$1:$Z$1,0)),"")</f>
        <v/>
      </c>
      <c r="Z512" s="58" t="inlineStr">
        <is>
          <t>the woods collection perfume · amber perfume uk</t>
        </is>
      </c>
      <c r="AA512" s="58" t="inlineStr">
        <is>
          <t>the woods collection wild roses price · the woods collection wild roses edp · the woods collection wild roses отзывы · the woods collection wild roses eau de parfum · the woods wild roses · the woods collection wild roses 🥰</t>
        </is>
      </c>
      <c r="AB512" s="58" t="inlineStr">
        <is>
          <t>The Woods Collection Wild Roses Eau De Parfum</t>
        </is>
      </c>
      <c r="AC512" s="58" t="inlineStr">
        <is>
          <t>The Woods Collection Wild Roses Eau De Parfum | Swansura UK</t>
        </is>
      </c>
      <c r="AD512" s="58">
        <f>LEN(AC512)</f>
        <v/>
      </c>
      <c r="AE512" s="58" t="inlineStr">
        <is>
          <t>Buy The Woods Collection Wild Roses Eau De Parfum online in the UK at Swansura. An amber unisex eau de parfum, 100ml. 100% authentic, free UK delivery over £50.</t>
        </is>
      </c>
      <c r="AF512" s="58">
        <f>LEN(AE512)</f>
        <v/>
      </c>
    </row>
    <row r="513" ht="15" customHeight="1" s="37">
      <c r="A513" s="58" t="inlineStr">
        <is>
          <t>FR-353</t>
        </is>
      </c>
      <c r="B513" s="58" t="inlineStr">
        <is>
          <t>Fragrance Catalogue</t>
        </is>
      </c>
      <c r="C513" s="58" t="n">
        <v>353</v>
      </c>
      <c r="D513" s="58" t="inlineStr">
        <is>
          <t>Tiziana Terenzi</t>
        </is>
      </c>
      <c r="E513" s="58" t="n"/>
      <c r="F513" s="58" t="inlineStr">
        <is>
          <t>Fragrance</t>
        </is>
      </c>
      <c r="G513" s="58" t="inlineStr">
        <is>
          <t>Extrait de Parfum</t>
        </is>
      </c>
      <c r="H513" s="58" t="inlineStr">
        <is>
          <t>Amber · Unisex Fragrance</t>
        </is>
      </c>
      <c r="I513" s="58" t="inlineStr">
        <is>
          <t>Akragas Extrait de Parfum 100ml – Classic Collection Unisex Niche Perfume</t>
        </is>
      </c>
      <c r="J513" s="58" t="inlineStr">
        <is>
          <t>100ml</t>
        </is>
      </c>
      <c r="K513" s="58" t="n">
        <v>85.98999999999999</v>
      </c>
      <c r="L513" s="58" t="inlineStr">
        <is>
          <t>tiziana terenzi akragas</t>
        </is>
      </c>
      <c r="M513" s="58" t="inlineStr">
        <is>
          <t>tiziana terenzi akragas uk</t>
        </is>
      </c>
      <c r="N513" s="58" t="inlineStr">
        <is>
          <t>buy tiziana terenzi akragas online</t>
        </is>
      </c>
      <c r="O513" s="58" t="inlineStr">
        <is>
          <t>tiziana terenzi akragas price</t>
        </is>
      </c>
      <c r="P513" s="58" t="inlineStr">
        <is>
          <t>tiziana terenzi akragas extrait de parfum</t>
        </is>
      </c>
      <c r="Q513" s="59">
        <f>IF(L513="","",IFERROR(INDEX('Semrush Data'!$A$1:$Z$20000,MATCH(L513,'Semrush Data'!$A$1:$A$20000,0),MATCH("Volume",'Semrush Data'!$A$1:$Z$1,0)),""))</f>
        <v/>
      </c>
      <c r="R513" s="59">
        <f>IF(M513="","",IFERROR(INDEX('Semrush Data'!$A$1:$Z$20000,MATCH(M513,'Semrush Data'!$A$1:$A$20000,0),MATCH("Volume",'Semrush Data'!$A$1:$Z$1,0)),""))</f>
        <v/>
      </c>
      <c r="S513" s="59">
        <f>IF(N513="","",IFERROR(INDEX('Semrush Data'!$A$1:$Z$20000,MATCH(N513,'Semrush Data'!$A$1:$A$20000,0),MATCH("Volume",'Semrush Data'!$A$1:$Z$1,0)),""))</f>
        <v/>
      </c>
      <c r="T513" s="59">
        <f>IF(O513="","",IFERROR(INDEX('Semrush Data'!$A$1:$Z$20000,MATCH(O513,'Semrush Data'!$A$1:$A$20000,0),MATCH("Volume",'Semrush Data'!$A$1:$Z$1,0)),""))</f>
        <v/>
      </c>
      <c r="U513" s="59">
        <f>IF(P513="","",IFERROR(INDEX('Semrush Data'!$A$1:$Z$20000,MATCH(P513,'Semrush Data'!$A$1:$A$20000,0),MATCH("Volume",'Semrush Data'!$A$1:$Z$1,0)),""))</f>
        <v/>
      </c>
      <c r="V513" s="60">
        <f>IF(COUNT(Q513:U513)=0,L513,IF(MAX(Q513:U513)=0,L513,INDEX(L513:P513,MATCH(MAX(Q513:U513),Q513:U513,0))))</f>
        <v/>
      </c>
      <c r="W513" s="59">
        <f>IFERROR(INDEX('Semrush Data'!$A$1:$Z$20000,MATCH(V513,'Semrush Data'!$A$1:$A$20000,0),MATCH("Volume",'Semrush Data'!$A$1:$Z$1,0)),"")</f>
        <v/>
      </c>
      <c r="X513" s="59">
        <f>IFERROR(INDEX('Semrush Data'!$A$1:$Z$20000,MATCH(V513,'Semrush Data'!$A$1:$A$20000,0),MATCH("Keyword Difficulty*",'Semrush Data'!$A$1:$Z$1,0)),"")</f>
        <v/>
      </c>
      <c r="Y513" s="61">
        <f>IFERROR(INDEX('Semrush Data'!$A$1:$Z$20000,MATCH(V513,'Semrush Data'!$A$1:$A$20000,0),MATCH("CPC*",'Semrush Data'!$A$1:$Z$1,0)),"")</f>
        <v/>
      </c>
      <c r="Z513" s="58" t="inlineStr">
        <is>
          <t>tiziana terenzi perfume · amber perfume uk</t>
        </is>
      </c>
      <c r="AA513" s="58" t="inlineStr">
        <is>
          <t>tiziana terenzi akragas extrait de parfum · tiziana terenzi akragas review · tiziana terenzi akragas extrait de parfum 100ml · tiziana terenzi akragas отзывы · tiziana terenzi akragas extrait · tiziana terenzi akragas edp 100ml</t>
        </is>
      </c>
      <c r="AB513" s="58" t="inlineStr">
        <is>
          <t>Akragas Extrait de Parfum</t>
        </is>
      </c>
      <c r="AC513" s="58" t="inlineStr">
        <is>
          <t>Akragas Extrait de Parfum | Buy Online UK | Swansura</t>
        </is>
      </c>
      <c r="AD513" s="58">
        <f>LEN(AC513)</f>
        <v/>
      </c>
      <c r="AE513" s="58" t="inlineStr">
        <is>
          <t>Buy Akragas Extrait de Parfum online in the UK at Swansura. An amber unisex extrait de parfum, 100ml. 100% authentic, fast UK delivery, free over £50.</t>
        </is>
      </c>
      <c r="AF513" s="58">
        <f>LEN(AE513)</f>
        <v/>
      </c>
    </row>
    <row r="514" ht="15" customHeight="1" s="37">
      <c r="A514" s="58" t="inlineStr">
        <is>
          <t>FR-354</t>
        </is>
      </c>
      <c r="B514" s="58" t="inlineStr">
        <is>
          <t>Fragrance Catalogue</t>
        </is>
      </c>
      <c r="C514" s="58" t="n">
        <v>354</v>
      </c>
      <c r="D514" s="58" t="inlineStr">
        <is>
          <t>Tiziana Terenzi</t>
        </is>
      </c>
      <c r="E514" s="58" t="n"/>
      <c r="F514" s="58" t="inlineStr">
        <is>
          <t>Fragrance</t>
        </is>
      </c>
      <c r="G514" s="58" t="inlineStr">
        <is>
          <t>Extrait de Parfum</t>
        </is>
      </c>
      <c r="H514" s="58" t="inlineStr">
        <is>
          <t>Amber · Unisex Fragrance</t>
        </is>
      </c>
      <c r="I514" s="58" t="inlineStr">
        <is>
          <t>Andromeda Extrait de Parfum 100ml – Unisex Luxury Niche Perfume</t>
        </is>
      </c>
      <c r="J514" s="58" t="inlineStr">
        <is>
          <t>100ml</t>
        </is>
      </c>
      <c r="K514" s="58" t="n">
        <v>109.99</v>
      </c>
      <c r="L514" s="58" t="inlineStr">
        <is>
          <t>tiziana terenzi andromeda</t>
        </is>
      </c>
      <c r="M514" s="58" t="inlineStr">
        <is>
          <t>tiziana terenzi andromeda uk</t>
        </is>
      </c>
      <c r="N514" s="58" t="inlineStr">
        <is>
          <t>buy tiziana terenzi andromeda online</t>
        </is>
      </c>
      <c r="O514" s="58" t="inlineStr">
        <is>
          <t>tiziana terenzi andromeda price</t>
        </is>
      </c>
      <c r="P514" s="58" t="inlineStr">
        <is>
          <t>tiziana terenzi andromeda extrait de parfum</t>
        </is>
      </c>
      <c r="Q514" s="59">
        <f>IF(L514="","",IFERROR(INDEX('Semrush Data'!$A$1:$Z$20000,MATCH(L514,'Semrush Data'!$A$1:$A$20000,0),MATCH("Volume",'Semrush Data'!$A$1:$Z$1,0)),""))</f>
        <v/>
      </c>
      <c r="R514" s="59">
        <f>IF(M514="","",IFERROR(INDEX('Semrush Data'!$A$1:$Z$20000,MATCH(M514,'Semrush Data'!$A$1:$A$20000,0),MATCH("Volume",'Semrush Data'!$A$1:$Z$1,0)),""))</f>
        <v/>
      </c>
      <c r="S514" s="59">
        <f>IF(N514="","",IFERROR(INDEX('Semrush Data'!$A$1:$Z$20000,MATCH(N514,'Semrush Data'!$A$1:$A$20000,0),MATCH("Volume",'Semrush Data'!$A$1:$Z$1,0)),""))</f>
        <v/>
      </c>
      <c r="T514" s="59">
        <f>IF(O514="","",IFERROR(INDEX('Semrush Data'!$A$1:$Z$20000,MATCH(O514,'Semrush Data'!$A$1:$A$20000,0),MATCH("Volume",'Semrush Data'!$A$1:$Z$1,0)),""))</f>
        <v/>
      </c>
      <c r="U514" s="59">
        <f>IF(P514="","",IFERROR(INDEX('Semrush Data'!$A$1:$Z$20000,MATCH(P514,'Semrush Data'!$A$1:$A$20000,0),MATCH("Volume",'Semrush Data'!$A$1:$Z$1,0)),""))</f>
        <v/>
      </c>
      <c r="V514" s="60">
        <f>IF(COUNT(Q514:U514)=0,L514,IF(MAX(Q514:U514)=0,L514,INDEX(L514:P514,MATCH(MAX(Q514:U514),Q514:U514,0))))</f>
        <v/>
      </c>
      <c r="W514" s="59">
        <f>IFERROR(INDEX('Semrush Data'!$A$1:$Z$20000,MATCH(V514,'Semrush Data'!$A$1:$A$20000,0),MATCH("Volume",'Semrush Data'!$A$1:$Z$1,0)),"")</f>
        <v/>
      </c>
      <c r="X514" s="59">
        <f>IFERROR(INDEX('Semrush Data'!$A$1:$Z$20000,MATCH(V514,'Semrush Data'!$A$1:$A$20000,0),MATCH("Keyword Difficulty*",'Semrush Data'!$A$1:$Z$1,0)),"")</f>
        <v/>
      </c>
      <c r="Y514" s="61">
        <f>IFERROR(INDEX('Semrush Data'!$A$1:$Z$20000,MATCH(V514,'Semrush Data'!$A$1:$A$20000,0),MATCH("CPC*",'Semrush Data'!$A$1:$Z$1,0)),"")</f>
        <v/>
      </c>
      <c r="Z514" s="58" t="inlineStr">
        <is>
          <t>tiziana terenzi perfume · amber perfume uk</t>
        </is>
      </c>
      <c r="AA514" s="58" t="inlineStr">
        <is>
          <t>tiziana terenzi andromeda extrait de parfum · tiziana terenzi andromeda price · tiziana terenzi andromeda notes · tiziana terenzi andromeda dupe · tiziana terenzi andromeda review · tiziana terenzi andromeda edp 100ml</t>
        </is>
      </c>
      <c r="AB514" s="58" t="inlineStr">
        <is>
          <t>Andromeda Extrait de Parfum</t>
        </is>
      </c>
      <c r="AC514" s="58" t="inlineStr">
        <is>
          <t>Andromeda Extrait de Parfum | Buy Online UK | Swansura</t>
        </is>
      </c>
      <c r="AD514" s="58">
        <f>LEN(AC514)</f>
        <v/>
      </c>
      <c r="AE514" s="58" t="inlineStr">
        <is>
          <t>Buy Andromeda Extrait de Parfum online in the UK at Swansura. An amber unisex extrait de parfum, 100ml. 100% authentic, fast UK delivery, free over £50.</t>
        </is>
      </c>
      <c r="AF514" s="58">
        <f>LEN(AE514)</f>
        <v/>
      </c>
    </row>
    <row r="515" ht="15" customHeight="1" s="37">
      <c r="A515" s="58" t="inlineStr">
        <is>
          <t>FR-355</t>
        </is>
      </c>
      <c r="B515" s="58" t="inlineStr">
        <is>
          <t>Fragrance Catalogue</t>
        </is>
      </c>
      <c r="C515" s="58" t="n">
        <v>355</v>
      </c>
      <c r="D515" s="58" t="inlineStr">
        <is>
          <t>Tiziana Terenzi</t>
        </is>
      </c>
      <c r="E515" s="58" t="n"/>
      <c r="F515" s="58" t="inlineStr">
        <is>
          <t>Fragrance</t>
        </is>
      </c>
      <c r="G515" s="58" t="inlineStr">
        <is>
          <t>Extrait de Parfum</t>
        </is>
      </c>
      <c r="H515" s="58" t="inlineStr">
        <is>
          <t>Amber · Unisex Fragrance</t>
        </is>
      </c>
      <c r="I515" s="58" t="inlineStr">
        <is>
          <t>Borelli Extrait de Parfum Linea TT 100ml – Comete Collection Luxury Unisex Perfume</t>
        </is>
      </c>
      <c r="J515" s="58" t="inlineStr">
        <is>
          <t>100ml</t>
        </is>
      </c>
      <c r="K515" s="58" t="n">
        <v>132.99</v>
      </c>
      <c r="L515" s="58" t="inlineStr">
        <is>
          <t>tiziana terenzi borelli linea tt</t>
        </is>
      </c>
      <c r="M515" s="58" t="inlineStr">
        <is>
          <t>tiziana terenzi borelli linea tt uk</t>
        </is>
      </c>
      <c r="N515" s="58" t="inlineStr">
        <is>
          <t>buy tiziana terenzi borelli linea tt online</t>
        </is>
      </c>
      <c r="O515" s="58" t="inlineStr">
        <is>
          <t>tiziana terenzi borelli linea tt price</t>
        </is>
      </c>
      <c r="P515" s="58" t="inlineStr">
        <is>
          <t>tiziana terenzi borelli linea tt extrait de parfum</t>
        </is>
      </c>
      <c r="Q515" s="59">
        <f>IF(L515="","",IFERROR(INDEX('Semrush Data'!$A$1:$Z$20000,MATCH(L515,'Semrush Data'!$A$1:$A$20000,0),MATCH("Volume",'Semrush Data'!$A$1:$Z$1,0)),""))</f>
        <v/>
      </c>
      <c r="R515" s="59">
        <f>IF(M515="","",IFERROR(INDEX('Semrush Data'!$A$1:$Z$20000,MATCH(M515,'Semrush Data'!$A$1:$A$20000,0),MATCH("Volume",'Semrush Data'!$A$1:$Z$1,0)),""))</f>
        <v/>
      </c>
      <c r="S515" s="59">
        <f>IF(N515="","",IFERROR(INDEX('Semrush Data'!$A$1:$Z$20000,MATCH(N515,'Semrush Data'!$A$1:$A$20000,0),MATCH("Volume",'Semrush Data'!$A$1:$Z$1,0)),""))</f>
        <v/>
      </c>
      <c r="T515" s="59">
        <f>IF(O515="","",IFERROR(INDEX('Semrush Data'!$A$1:$Z$20000,MATCH(O515,'Semrush Data'!$A$1:$A$20000,0),MATCH("Volume",'Semrush Data'!$A$1:$Z$1,0)),""))</f>
        <v/>
      </c>
      <c r="U515" s="59">
        <f>IF(P515="","",IFERROR(INDEX('Semrush Data'!$A$1:$Z$20000,MATCH(P515,'Semrush Data'!$A$1:$A$20000,0),MATCH("Volume",'Semrush Data'!$A$1:$Z$1,0)),""))</f>
        <v/>
      </c>
      <c r="V515" s="60">
        <f>IF(COUNT(Q515:U515)=0,L515,IF(MAX(Q515:U515)=0,L515,INDEX(L515:P515,MATCH(MAX(Q515:U515),Q515:U515,0))))</f>
        <v/>
      </c>
      <c r="W515" s="59">
        <f>IFERROR(INDEX('Semrush Data'!$A$1:$Z$20000,MATCH(V515,'Semrush Data'!$A$1:$A$20000,0),MATCH("Volume",'Semrush Data'!$A$1:$Z$1,0)),"")</f>
        <v/>
      </c>
      <c r="X515" s="59">
        <f>IFERROR(INDEX('Semrush Data'!$A$1:$Z$20000,MATCH(V515,'Semrush Data'!$A$1:$A$20000,0),MATCH("Keyword Difficulty*",'Semrush Data'!$A$1:$Z$1,0)),"")</f>
        <v/>
      </c>
      <c r="Y515" s="61">
        <f>IFERROR(INDEX('Semrush Data'!$A$1:$Z$20000,MATCH(V515,'Semrush Data'!$A$1:$A$20000,0),MATCH("CPC*",'Semrush Data'!$A$1:$Z$1,0)),"")</f>
        <v/>
      </c>
      <c r="Z515" s="58" t="inlineStr">
        <is>
          <t>tiziana terenzi perfume · amber perfume uk</t>
        </is>
      </c>
      <c r="AA515" s="58" t="n"/>
      <c r="AB515" s="58" t="inlineStr">
        <is>
          <t>Borelli Extrait de Parfum Linea TT</t>
        </is>
      </c>
      <c r="AC515" s="58" t="inlineStr">
        <is>
          <t>Borelli Linea TT Extrait 100ml | Buy Online UK | Swansura</t>
        </is>
      </c>
      <c r="AD515" s="58">
        <f>LEN(AC515)</f>
        <v/>
      </c>
      <c r="AE515" s="58" t="inlineStr">
        <is>
          <t>Buy Borelli Extrait de Parfum Linea TT online in the UK at Swansura. An amber unisex extrait de parfum, 100ml. 100% authentic, fast UK delivery, free over £50.</t>
        </is>
      </c>
      <c r="AF515" s="58">
        <f>LEN(AE515)</f>
        <v/>
      </c>
    </row>
    <row r="516" ht="15" customHeight="1" s="37">
      <c r="A516" s="58" t="inlineStr">
        <is>
          <t>FR-356</t>
        </is>
      </c>
      <c r="B516" s="58" t="inlineStr">
        <is>
          <t>Fragrance Catalogue</t>
        </is>
      </c>
      <c r="C516" s="58" t="n">
        <v>356</v>
      </c>
      <c r="D516" s="58" t="inlineStr">
        <is>
          <t>Tiziana Terenzi</t>
        </is>
      </c>
      <c r="E516" s="58" t="n"/>
      <c r="F516" s="58" t="inlineStr">
        <is>
          <t>Fragrance</t>
        </is>
      </c>
      <c r="G516" s="58" t="inlineStr">
        <is>
          <t>Extrait de Parfum</t>
        </is>
      </c>
      <c r="H516" s="58" t="inlineStr">
        <is>
          <t>Amber · Unisex Fragrance</t>
        </is>
      </c>
      <c r="I516" s="58" t="inlineStr">
        <is>
          <t>Caput Mundi Extrait de Parfum 100ml – Luna Collection Luxury Unisex Perfume</t>
        </is>
      </c>
      <c r="J516" s="58" t="inlineStr">
        <is>
          <t>100ml</t>
        </is>
      </c>
      <c r="K516" s="58" t="n">
        <v>99.98999999999999</v>
      </c>
      <c r="L516" s="58" t="inlineStr">
        <is>
          <t>tiziana terenzi caput mundi</t>
        </is>
      </c>
      <c r="M516" s="58" t="inlineStr">
        <is>
          <t>tiziana terenzi caput mundi uk</t>
        </is>
      </c>
      <c r="N516" s="58" t="inlineStr">
        <is>
          <t>buy tiziana terenzi caput mundi online</t>
        </is>
      </c>
      <c r="O516" s="58" t="inlineStr">
        <is>
          <t>tiziana terenzi caput mundi price</t>
        </is>
      </c>
      <c r="P516" s="58" t="inlineStr">
        <is>
          <t>tiziana terenzi caput mundi extrait de parfum</t>
        </is>
      </c>
      <c r="Q516" s="59">
        <f>IF(L516="","",IFERROR(INDEX('Semrush Data'!$A$1:$Z$20000,MATCH(L516,'Semrush Data'!$A$1:$A$20000,0),MATCH("Volume",'Semrush Data'!$A$1:$Z$1,0)),""))</f>
        <v/>
      </c>
      <c r="R516" s="59">
        <f>IF(M516="","",IFERROR(INDEX('Semrush Data'!$A$1:$Z$20000,MATCH(M516,'Semrush Data'!$A$1:$A$20000,0),MATCH("Volume",'Semrush Data'!$A$1:$Z$1,0)),""))</f>
        <v/>
      </c>
      <c r="S516" s="59">
        <f>IF(N516="","",IFERROR(INDEX('Semrush Data'!$A$1:$Z$20000,MATCH(N516,'Semrush Data'!$A$1:$A$20000,0),MATCH("Volume",'Semrush Data'!$A$1:$Z$1,0)),""))</f>
        <v/>
      </c>
      <c r="T516" s="59">
        <f>IF(O516="","",IFERROR(INDEX('Semrush Data'!$A$1:$Z$20000,MATCH(O516,'Semrush Data'!$A$1:$A$20000,0),MATCH("Volume",'Semrush Data'!$A$1:$Z$1,0)),""))</f>
        <v/>
      </c>
      <c r="U516" s="59">
        <f>IF(P516="","",IFERROR(INDEX('Semrush Data'!$A$1:$Z$20000,MATCH(P516,'Semrush Data'!$A$1:$A$20000,0),MATCH("Volume",'Semrush Data'!$A$1:$Z$1,0)),""))</f>
        <v/>
      </c>
      <c r="V516" s="60">
        <f>IF(COUNT(Q516:U516)=0,L516,IF(MAX(Q516:U516)=0,L516,INDEX(L516:P516,MATCH(MAX(Q516:U516),Q516:U516,0))))</f>
        <v/>
      </c>
      <c r="W516" s="59">
        <f>IFERROR(INDEX('Semrush Data'!$A$1:$Z$20000,MATCH(V516,'Semrush Data'!$A$1:$A$20000,0),MATCH("Volume",'Semrush Data'!$A$1:$Z$1,0)),"")</f>
        <v/>
      </c>
      <c r="X516" s="59">
        <f>IFERROR(INDEX('Semrush Data'!$A$1:$Z$20000,MATCH(V516,'Semrush Data'!$A$1:$A$20000,0),MATCH("Keyword Difficulty*",'Semrush Data'!$A$1:$Z$1,0)),"")</f>
        <v/>
      </c>
      <c r="Y516" s="61">
        <f>IFERROR(INDEX('Semrush Data'!$A$1:$Z$20000,MATCH(V516,'Semrush Data'!$A$1:$A$20000,0),MATCH("CPC*",'Semrush Data'!$A$1:$Z$1,0)),"")</f>
        <v/>
      </c>
      <c r="Z516" s="58" t="inlineStr">
        <is>
          <t>tiziana terenzi perfume · amber perfume uk</t>
        </is>
      </c>
      <c r="AA516" s="58" t="inlineStr">
        <is>
          <t>tiziana terenzi caput mundi extrait de parfum · tiziana terenzi caput mundi review · tiziana terenzi caput mundi extrait · tiziana terenzi caput mundi edp 100ml · tiziana terenzi caput mundi notes · tiziana terenzi caput mundi отзывы</t>
        </is>
      </c>
      <c r="AB516" s="58" t="inlineStr">
        <is>
          <t>Caput Mundi Extrait de Parfum</t>
        </is>
      </c>
      <c r="AC516" s="58" t="inlineStr">
        <is>
          <t>Caput Mundi Extrait de Parfum | Buy Online UK | Swansura</t>
        </is>
      </c>
      <c r="AD516" s="58">
        <f>LEN(AC516)</f>
        <v/>
      </c>
      <c r="AE516" s="58" t="inlineStr">
        <is>
          <t>Buy Caput Mundi Extrait de Parfum online in the UK at Swansura. An amber unisex extrait de parfum, 100ml. 100% authentic, fast UK delivery, free over £50.</t>
        </is>
      </c>
      <c r="AF516" s="58">
        <f>LEN(AE516)</f>
        <v/>
      </c>
    </row>
    <row r="517" ht="15" customHeight="1" s="37">
      <c r="A517" s="58" t="inlineStr">
        <is>
          <t>FR-357</t>
        </is>
      </c>
      <c r="B517" s="58" t="inlineStr">
        <is>
          <t>Fragrance Catalogue</t>
        </is>
      </c>
      <c r="C517" s="58" t="n">
        <v>357</v>
      </c>
      <c r="D517" s="58" t="inlineStr">
        <is>
          <t>Tiziana Terenzi</t>
        </is>
      </c>
      <c r="E517" s="58" t="n"/>
      <c r="F517" s="58" t="inlineStr">
        <is>
          <t>Fragrance</t>
        </is>
      </c>
      <c r="G517" s="58" t="inlineStr">
        <is>
          <t>Extrait de Parfum</t>
        </is>
      </c>
      <c r="H517" s="58" t="inlineStr">
        <is>
          <t>Oud · Unisex Fragrance</t>
        </is>
      </c>
      <c r="I517" s="58" t="inlineStr">
        <is>
          <t>Caput Mundi Extrait de Parfum 100ml – Luxury Unisex Oud Perfume</t>
        </is>
      </c>
      <c r="J517" s="58" t="inlineStr">
        <is>
          <t>100ml</t>
        </is>
      </c>
      <c r="K517" s="58" t="n">
        <v>106.99</v>
      </c>
      <c r="L517" s="58" t="inlineStr">
        <is>
          <t>tiziana terenzi caput mundi</t>
        </is>
      </c>
      <c r="M517" s="58" t="inlineStr">
        <is>
          <t>tiziana terenzi caput mundi uk</t>
        </is>
      </c>
      <c r="N517" s="58" t="inlineStr">
        <is>
          <t>buy tiziana terenzi caput mundi online</t>
        </is>
      </c>
      <c r="O517" s="58" t="inlineStr">
        <is>
          <t>tiziana terenzi caput mundi price</t>
        </is>
      </c>
      <c r="P517" s="58" t="inlineStr">
        <is>
          <t>tiziana terenzi caput mundi extrait de parfum</t>
        </is>
      </c>
      <c r="Q517" s="59">
        <f>IF(L517="","",IFERROR(INDEX('Semrush Data'!$A$1:$Z$20000,MATCH(L517,'Semrush Data'!$A$1:$A$20000,0),MATCH("Volume",'Semrush Data'!$A$1:$Z$1,0)),""))</f>
        <v/>
      </c>
      <c r="R517" s="59">
        <f>IF(M517="","",IFERROR(INDEX('Semrush Data'!$A$1:$Z$20000,MATCH(M517,'Semrush Data'!$A$1:$A$20000,0),MATCH("Volume",'Semrush Data'!$A$1:$Z$1,0)),""))</f>
        <v/>
      </c>
      <c r="S517" s="59">
        <f>IF(N517="","",IFERROR(INDEX('Semrush Data'!$A$1:$Z$20000,MATCH(N517,'Semrush Data'!$A$1:$A$20000,0),MATCH("Volume",'Semrush Data'!$A$1:$Z$1,0)),""))</f>
        <v/>
      </c>
      <c r="T517" s="59">
        <f>IF(O517="","",IFERROR(INDEX('Semrush Data'!$A$1:$Z$20000,MATCH(O517,'Semrush Data'!$A$1:$A$20000,0),MATCH("Volume",'Semrush Data'!$A$1:$Z$1,0)),""))</f>
        <v/>
      </c>
      <c r="U517" s="59">
        <f>IF(P517="","",IFERROR(INDEX('Semrush Data'!$A$1:$Z$20000,MATCH(P517,'Semrush Data'!$A$1:$A$20000,0),MATCH("Volume",'Semrush Data'!$A$1:$Z$1,0)),""))</f>
        <v/>
      </c>
      <c r="V517" s="60">
        <f>IF(COUNT(Q517:U517)=0,L517,IF(MAX(Q517:U517)=0,L517,INDEX(L517:P517,MATCH(MAX(Q517:U517),Q517:U517,0))))</f>
        <v/>
      </c>
      <c r="W517" s="59">
        <f>IFERROR(INDEX('Semrush Data'!$A$1:$Z$20000,MATCH(V517,'Semrush Data'!$A$1:$A$20000,0),MATCH("Volume",'Semrush Data'!$A$1:$Z$1,0)),"")</f>
        <v/>
      </c>
      <c r="X517" s="59">
        <f>IFERROR(INDEX('Semrush Data'!$A$1:$Z$20000,MATCH(V517,'Semrush Data'!$A$1:$A$20000,0),MATCH("Keyword Difficulty*",'Semrush Data'!$A$1:$Z$1,0)),"")</f>
        <v/>
      </c>
      <c r="Y517" s="61">
        <f>IFERROR(INDEX('Semrush Data'!$A$1:$Z$20000,MATCH(V517,'Semrush Data'!$A$1:$A$20000,0),MATCH("CPC*",'Semrush Data'!$A$1:$Z$1,0)),"")</f>
        <v/>
      </c>
      <c r="Z517" s="58" t="inlineStr">
        <is>
          <t>tiziana terenzi perfume · oud perfume uk</t>
        </is>
      </c>
      <c r="AA517" s="58" t="inlineStr">
        <is>
          <t>tiziana terenzi caput mundi extrait de parfum · tiziana terenzi caput mundi review · tiziana terenzi caput mundi extrait · tiziana terenzi caput mundi edp 100ml · tiziana terenzi caput mundi notes · tiziana terenzi caput mundi отзывы</t>
        </is>
      </c>
      <c r="AB517" s="58" t="inlineStr">
        <is>
          <t>Caput Mundi Extrait de Parfum</t>
        </is>
      </c>
      <c r="AC517" s="58" t="inlineStr">
        <is>
          <t>Caput Mundi Extrait de Parfum | Buy Online UK | Swansura</t>
        </is>
      </c>
      <c r="AD517" s="58">
        <f>LEN(AC517)</f>
        <v/>
      </c>
      <c r="AE517" s="58" t="inlineStr">
        <is>
          <t>Buy Caput Mundi Extrait de Parfum online in the UK at Swansura. An oud unisex extrait de parfum, 100ml. 100% authentic, fast UK delivery, free over £50.</t>
        </is>
      </c>
      <c r="AF517" s="58">
        <f>LEN(AE517)</f>
        <v/>
      </c>
    </row>
    <row r="518" ht="15" customHeight="1" s="37">
      <c r="A518" s="58" t="inlineStr">
        <is>
          <t>FR-358</t>
        </is>
      </c>
      <c r="B518" s="58" t="inlineStr">
        <is>
          <t>Fragrance Catalogue</t>
        </is>
      </c>
      <c r="C518" s="58" t="n">
        <v>358</v>
      </c>
      <c r="D518" s="58" t="inlineStr">
        <is>
          <t>Tiziana Terenzi</t>
        </is>
      </c>
      <c r="E518" s="58" t="n"/>
      <c r="F518" s="58" t="inlineStr">
        <is>
          <t>Fragrance</t>
        </is>
      </c>
      <c r="G518" s="58" t="inlineStr">
        <is>
          <t>Extrait de Parfum</t>
        </is>
      </c>
      <c r="H518" s="58" t="inlineStr">
        <is>
          <t>Amber · Unisex Fragrance</t>
        </is>
      </c>
      <c r="I518" s="58" t="inlineStr">
        <is>
          <t>Chimaera Anniversary Extrait de Parfum 100ml – Unisex Luxury Niche Perfume</t>
        </is>
      </c>
      <c r="J518" s="58" t="inlineStr">
        <is>
          <t>100ml</t>
        </is>
      </c>
      <c r="K518" s="58" t="n">
        <v>119.99</v>
      </c>
      <c r="L518" s="58" t="inlineStr">
        <is>
          <t>tiziana terenzi chimaera anniversary</t>
        </is>
      </c>
      <c r="M518" s="58" t="inlineStr">
        <is>
          <t>tiziana terenzi chimaera anniversary uk</t>
        </is>
      </c>
      <c r="N518" s="58" t="inlineStr">
        <is>
          <t>buy tiziana terenzi chimaera anniversary online</t>
        </is>
      </c>
      <c r="O518" s="58" t="inlineStr">
        <is>
          <t>tiziana terenzi chimaera anniversary price</t>
        </is>
      </c>
      <c r="P518" s="58" t="inlineStr">
        <is>
          <t>tiziana terenzi chimaera anniversary extrait de parfum</t>
        </is>
      </c>
      <c r="Q518" s="59">
        <f>IF(L518="","",IFERROR(INDEX('Semrush Data'!$A$1:$Z$20000,MATCH(L518,'Semrush Data'!$A$1:$A$20000,0),MATCH("Volume",'Semrush Data'!$A$1:$Z$1,0)),""))</f>
        <v/>
      </c>
      <c r="R518" s="59">
        <f>IF(M518="","",IFERROR(INDEX('Semrush Data'!$A$1:$Z$20000,MATCH(M518,'Semrush Data'!$A$1:$A$20000,0),MATCH("Volume",'Semrush Data'!$A$1:$Z$1,0)),""))</f>
        <v/>
      </c>
      <c r="S518" s="59">
        <f>IF(N518="","",IFERROR(INDEX('Semrush Data'!$A$1:$Z$20000,MATCH(N518,'Semrush Data'!$A$1:$A$20000,0),MATCH("Volume",'Semrush Data'!$A$1:$Z$1,0)),""))</f>
        <v/>
      </c>
      <c r="T518" s="59">
        <f>IF(O518="","",IFERROR(INDEX('Semrush Data'!$A$1:$Z$20000,MATCH(O518,'Semrush Data'!$A$1:$A$20000,0),MATCH("Volume",'Semrush Data'!$A$1:$Z$1,0)),""))</f>
        <v/>
      </c>
      <c r="U518" s="59">
        <f>IF(P518="","",IFERROR(INDEX('Semrush Data'!$A$1:$Z$20000,MATCH(P518,'Semrush Data'!$A$1:$A$20000,0),MATCH("Volume",'Semrush Data'!$A$1:$Z$1,0)),""))</f>
        <v/>
      </c>
      <c r="V518" s="60">
        <f>IF(COUNT(Q518:U518)=0,L518,IF(MAX(Q518:U518)=0,L518,INDEX(L518:P518,MATCH(MAX(Q518:U518),Q518:U518,0))))</f>
        <v/>
      </c>
      <c r="W518" s="59">
        <f>IFERROR(INDEX('Semrush Data'!$A$1:$Z$20000,MATCH(V518,'Semrush Data'!$A$1:$A$20000,0),MATCH("Volume",'Semrush Data'!$A$1:$Z$1,0)),"")</f>
        <v/>
      </c>
      <c r="X518" s="59">
        <f>IFERROR(INDEX('Semrush Data'!$A$1:$Z$20000,MATCH(V518,'Semrush Data'!$A$1:$A$20000,0),MATCH("Keyword Difficulty*",'Semrush Data'!$A$1:$Z$1,0)),"")</f>
        <v/>
      </c>
      <c r="Y518" s="61">
        <f>IFERROR(INDEX('Semrush Data'!$A$1:$Z$20000,MATCH(V518,'Semrush Data'!$A$1:$A$20000,0),MATCH("CPC*",'Semrush Data'!$A$1:$Z$1,0)),"")</f>
        <v/>
      </c>
      <c r="Z518" s="58" t="inlineStr">
        <is>
          <t>tiziana terenzi perfume · amber perfume uk</t>
        </is>
      </c>
      <c r="AA518" s="58" t="n"/>
      <c r="AB518" s="58" t="inlineStr">
        <is>
          <t>Chimaera Anniversary Extrait de Parfum</t>
        </is>
      </c>
      <c r="AC518" s="58" t="inlineStr">
        <is>
          <t>Chimaera Anniversary Extrait de Parfum | Swansura UK</t>
        </is>
      </c>
      <c r="AD518" s="58">
        <f>LEN(AC518)</f>
        <v/>
      </c>
      <c r="AE518" s="58" t="inlineStr">
        <is>
          <t>Buy Chimaera Anniversary Extrait de Parfum online in the UK at Swansura. An amber unisex extrait de parfum, 100ml. 100% authentic, free UK delivery over £50.</t>
        </is>
      </c>
      <c r="AF518" s="58">
        <f>LEN(AE518)</f>
        <v/>
      </c>
    </row>
    <row r="519" ht="15" customHeight="1" s="37">
      <c r="A519" s="58" t="inlineStr">
        <is>
          <t>FR-359</t>
        </is>
      </c>
      <c r="B519" s="58" t="inlineStr">
        <is>
          <t>Fragrance Catalogue</t>
        </is>
      </c>
      <c r="C519" s="58" t="n">
        <v>359</v>
      </c>
      <c r="D519" s="58" t="inlineStr">
        <is>
          <t>Tiziana Terenzi</t>
        </is>
      </c>
      <c r="E519" s="58" t="n"/>
      <c r="F519" s="58" t="inlineStr">
        <is>
          <t>Fragrance</t>
        </is>
      </c>
      <c r="G519" s="58" t="inlineStr">
        <is>
          <t>Extrait de Parfum</t>
        </is>
      </c>
      <c r="H519" s="58" t="inlineStr">
        <is>
          <t>Amber · Unisex Fragrance</t>
        </is>
      </c>
      <c r="I519" s="58" t="inlineStr">
        <is>
          <t>Draconis Extrait de Parfum 100ml – Luxury Unisex Niche Perfume</t>
        </is>
      </c>
      <c r="J519" s="58" t="inlineStr">
        <is>
          <t>100ml</t>
        </is>
      </c>
      <c r="K519" s="58" t="n">
        <v>118.99</v>
      </c>
      <c r="L519" s="58" t="inlineStr">
        <is>
          <t>tiziana terenzi draconis</t>
        </is>
      </c>
      <c r="M519" s="58" t="inlineStr">
        <is>
          <t>tiziana terenzi draconis uk</t>
        </is>
      </c>
      <c r="N519" s="58" t="inlineStr">
        <is>
          <t>buy tiziana terenzi draconis online</t>
        </is>
      </c>
      <c r="O519" s="58" t="inlineStr">
        <is>
          <t>tiziana terenzi draconis price</t>
        </is>
      </c>
      <c r="P519" s="58" t="inlineStr">
        <is>
          <t>tiziana terenzi draconis extrait de parfum</t>
        </is>
      </c>
      <c r="Q519" s="59">
        <f>IF(L519="","",IFERROR(INDEX('Semrush Data'!$A$1:$Z$20000,MATCH(L519,'Semrush Data'!$A$1:$A$20000,0),MATCH("Volume",'Semrush Data'!$A$1:$Z$1,0)),""))</f>
        <v/>
      </c>
      <c r="R519" s="59">
        <f>IF(M519="","",IFERROR(INDEX('Semrush Data'!$A$1:$Z$20000,MATCH(M519,'Semrush Data'!$A$1:$A$20000,0),MATCH("Volume",'Semrush Data'!$A$1:$Z$1,0)),""))</f>
        <v/>
      </c>
      <c r="S519" s="59">
        <f>IF(N519="","",IFERROR(INDEX('Semrush Data'!$A$1:$Z$20000,MATCH(N519,'Semrush Data'!$A$1:$A$20000,0),MATCH("Volume",'Semrush Data'!$A$1:$Z$1,0)),""))</f>
        <v/>
      </c>
      <c r="T519" s="59">
        <f>IF(O519="","",IFERROR(INDEX('Semrush Data'!$A$1:$Z$20000,MATCH(O519,'Semrush Data'!$A$1:$A$20000,0),MATCH("Volume",'Semrush Data'!$A$1:$Z$1,0)),""))</f>
        <v/>
      </c>
      <c r="U519" s="59">
        <f>IF(P519="","",IFERROR(INDEX('Semrush Data'!$A$1:$Z$20000,MATCH(P519,'Semrush Data'!$A$1:$A$20000,0),MATCH("Volume",'Semrush Data'!$A$1:$Z$1,0)),""))</f>
        <v/>
      </c>
      <c r="V519" s="60">
        <f>IF(COUNT(Q519:U519)=0,L519,IF(MAX(Q519:U519)=0,L519,INDEX(L519:P519,MATCH(MAX(Q519:U519),Q519:U519,0))))</f>
        <v/>
      </c>
      <c r="W519" s="59">
        <f>IFERROR(INDEX('Semrush Data'!$A$1:$Z$20000,MATCH(V519,'Semrush Data'!$A$1:$A$20000,0),MATCH("Volume",'Semrush Data'!$A$1:$Z$1,0)),"")</f>
        <v/>
      </c>
      <c r="X519" s="59">
        <f>IFERROR(INDEX('Semrush Data'!$A$1:$Z$20000,MATCH(V519,'Semrush Data'!$A$1:$A$20000,0),MATCH("Keyword Difficulty*",'Semrush Data'!$A$1:$Z$1,0)),"")</f>
        <v/>
      </c>
      <c r="Y519" s="61">
        <f>IFERROR(INDEX('Semrush Data'!$A$1:$Z$20000,MATCH(V519,'Semrush Data'!$A$1:$A$20000,0),MATCH("CPC*",'Semrush Data'!$A$1:$Z$1,0)),"")</f>
        <v/>
      </c>
      <c r="Z519" s="58" t="inlineStr">
        <is>
          <t>tiziana terenzi perfume · amber perfume uk</t>
        </is>
      </c>
      <c r="AA519" s="58" t="inlineStr">
        <is>
          <t>tiziana terenzi draconis extrait de parfum · tiziana terenzi draconis review · tiziana terenzi draconis extrait de parfum 100ml · tiziana terenzi draconis 100ml · tiziana terenzi draconis price · tiziana terenzi draconis edp 100ml</t>
        </is>
      </c>
      <c r="AB519" s="58" t="inlineStr">
        <is>
          <t>Draconis Extrait de Parfum</t>
        </is>
      </c>
      <c r="AC519" s="58" t="inlineStr">
        <is>
          <t>Draconis Extrait de Parfum | Buy Online UK | Swansura</t>
        </is>
      </c>
      <c r="AD519" s="58">
        <f>LEN(AC519)</f>
        <v/>
      </c>
      <c r="AE519" s="58" t="inlineStr">
        <is>
          <t>Buy Draconis Extrait de Parfum online in the UK at Swansura. An amber unisex extrait de parfum, 100ml. 100% authentic, fast UK delivery, free over £50.</t>
        </is>
      </c>
      <c r="AF519" s="58">
        <f>LEN(AE519)</f>
        <v/>
      </c>
    </row>
    <row r="520" ht="15" customHeight="1" s="37">
      <c r="A520" s="58" t="inlineStr">
        <is>
          <t>FR-360</t>
        </is>
      </c>
      <c r="B520" s="58" t="inlineStr">
        <is>
          <t>Fragrance Catalogue</t>
        </is>
      </c>
      <c r="C520" s="58" t="n">
        <v>360</v>
      </c>
      <c r="D520" s="58" t="inlineStr">
        <is>
          <t>Tiziana Terenzi</t>
        </is>
      </c>
      <c r="E520" s="58" t="n"/>
      <c r="F520" s="58" t="inlineStr">
        <is>
          <t>Fragrance</t>
        </is>
      </c>
      <c r="G520" s="58" t="inlineStr">
        <is>
          <t>Extrait de Parfum</t>
        </is>
      </c>
      <c r="H520" s="58" t="inlineStr">
        <is>
          <t>Amber · Unisex Fragrance</t>
        </is>
      </c>
      <c r="I520" s="58" t="inlineStr">
        <is>
          <t>Dubhe Assoluto Extrait de Parfum 100ml – Luxury Unisex Niche Perfume</t>
        </is>
      </c>
      <c r="J520" s="58" t="inlineStr">
        <is>
          <t>100ml</t>
        </is>
      </c>
      <c r="K520" s="58" t="n">
        <v>299.99</v>
      </c>
      <c r="L520" s="58" t="inlineStr">
        <is>
          <t>tiziana terenzi dubhe assoluto</t>
        </is>
      </c>
      <c r="M520" s="58" t="inlineStr">
        <is>
          <t>tiziana terenzi dubhe assoluto uk</t>
        </is>
      </c>
      <c r="N520" s="58" t="inlineStr">
        <is>
          <t>buy tiziana terenzi dubhe assoluto online</t>
        </is>
      </c>
      <c r="O520" s="58" t="inlineStr">
        <is>
          <t>tiziana terenzi dubhe assoluto price</t>
        </is>
      </c>
      <c r="P520" s="58" t="inlineStr">
        <is>
          <t>tiziana terenzi dubhe assoluto extrait de parfum</t>
        </is>
      </c>
      <c r="Q520" s="59">
        <f>IF(L520="","",IFERROR(INDEX('Semrush Data'!$A$1:$Z$20000,MATCH(L520,'Semrush Data'!$A$1:$A$20000,0),MATCH("Volume",'Semrush Data'!$A$1:$Z$1,0)),""))</f>
        <v/>
      </c>
      <c r="R520" s="59">
        <f>IF(M520="","",IFERROR(INDEX('Semrush Data'!$A$1:$Z$20000,MATCH(M520,'Semrush Data'!$A$1:$A$20000,0),MATCH("Volume",'Semrush Data'!$A$1:$Z$1,0)),""))</f>
        <v/>
      </c>
      <c r="S520" s="59">
        <f>IF(N520="","",IFERROR(INDEX('Semrush Data'!$A$1:$Z$20000,MATCH(N520,'Semrush Data'!$A$1:$A$20000,0),MATCH("Volume",'Semrush Data'!$A$1:$Z$1,0)),""))</f>
        <v/>
      </c>
      <c r="T520" s="59">
        <f>IF(O520="","",IFERROR(INDEX('Semrush Data'!$A$1:$Z$20000,MATCH(O520,'Semrush Data'!$A$1:$A$20000,0),MATCH("Volume",'Semrush Data'!$A$1:$Z$1,0)),""))</f>
        <v/>
      </c>
      <c r="U520" s="59">
        <f>IF(P520="","",IFERROR(INDEX('Semrush Data'!$A$1:$Z$20000,MATCH(P520,'Semrush Data'!$A$1:$A$20000,0),MATCH("Volume",'Semrush Data'!$A$1:$Z$1,0)),""))</f>
        <v/>
      </c>
      <c r="V520" s="60">
        <f>IF(COUNT(Q520:U520)=0,L520,IF(MAX(Q520:U520)=0,L520,INDEX(L520:P520,MATCH(MAX(Q520:U520),Q520:U520,0))))</f>
        <v/>
      </c>
      <c r="W520" s="59">
        <f>IFERROR(INDEX('Semrush Data'!$A$1:$Z$20000,MATCH(V520,'Semrush Data'!$A$1:$A$20000,0),MATCH("Volume",'Semrush Data'!$A$1:$Z$1,0)),"")</f>
        <v/>
      </c>
      <c r="X520" s="59">
        <f>IFERROR(INDEX('Semrush Data'!$A$1:$Z$20000,MATCH(V520,'Semrush Data'!$A$1:$A$20000,0),MATCH("Keyword Difficulty*",'Semrush Data'!$A$1:$Z$1,0)),"")</f>
        <v/>
      </c>
      <c r="Y520" s="61">
        <f>IFERROR(INDEX('Semrush Data'!$A$1:$Z$20000,MATCH(V520,'Semrush Data'!$A$1:$A$20000,0),MATCH("CPC*",'Semrush Data'!$A$1:$Z$1,0)),"")</f>
        <v/>
      </c>
      <c r="Z520" s="58" t="inlineStr">
        <is>
          <t>tiziana terenzi perfume · amber perfume uk</t>
        </is>
      </c>
      <c r="AA520" s="58" t="inlineStr">
        <is>
          <t>tiziana terenzi dubhe assoluto extrait de parfum</t>
        </is>
      </c>
      <c r="AB520" s="58" t="inlineStr">
        <is>
          <t>Dubhe Assoluto Extrait de Parfum</t>
        </is>
      </c>
      <c r="AC520" s="58" t="inlineStr">
        <is>
          <t>Dubhe Assoluto Extrait de Parfum | Buy Online UK | Swansura</t>
        </is>
      </c>
      <c r="AD520" s="58">
        <f>LEN(AC520)</f>
        <v/>
      </c>
      <c r="AE520" s="58" t="inlineStr">
        <is>
          <t>Buy Dubhe Assoluto Extrait de Parfum online in the UK at Swansura. An amber unisex extrait de parfum, 100ml. 100% authentic, fast UK delivery, free over £50.</t>
        </is>
      </c>
      <c r="AF520" s="58">
        <f>LEN(AE520)</f>
        <v/>
      </c>
    </row>
    <row r="521" ht="15" customHeight="1" s="37">
      <c r="A521" s="58" t="inlineStr">
        <is>
          <t>FR-361</t>
        </is>
      </c>
      <c r="B521" s="58" t="inlineStr">
        <is>
          <t>Fragrance Catalogue</t>
        </is>
      </c>
      <c r="C521" s="58" t="n">
        <v>361</v>
      </c>
      <c r="D521" s="58" t="inlineStr">
        <is>
          <t>Tiziana Terenzi</t>
        </is>
      </c>
      <c r="E521" s="58" t="n"/>
      <c r="F521" s="58" t="inlineStr">
        <is>
          <t>Fragrance</t>
        </is>
      </c>
      <c r="G521" s="58" t="inlineStr">
        <is>
          <t>Extrait de Parfum</t>
        </is>
      </c>
      <c r="H521" s="58" t="inlineStr">
        <is>
          <t>Amber · Unisex Fragrance</t>
        </is>
      </c>
      <c r="I521" s="58" t="inlineStr">
        <is>
          <t>Ecstasy Extrait de Parfum 100ml – Luxury Unisex Niche Perfume</t>
        </is>
      </c>
      <c r="J521" s="58" t="inlineStr">
        <is>
          <t>100ml</t>
        </is>
      </c>
      <c r="K521" s="58" t="n">
        <v>95.98999999999999</v>
      </c>
      <c r="L521" s="58" t="inlineStr">
        <is>
          <t>tiziana terenzi ecstasy</t>
        </is>
      </c>
      <c r="M521" s="58" t="inlineStr">
        <is>
          <t>tiziana terenzi ecstasy uk</t>
        </is>
      </c>
      <c r="N521" s="58" t="inlineStr">
        <is>
          <t>buy tiziana terenzi ecstasy online</t>
        </is>
      </c>
      <c r="O521" s="58" t="inlineStr">
        <is>
          <t>tiziana terenzi ecstasy price</t>
        </is>
      </c>
      <c r="P521" s="58" t="inlineStr">
        <is>
          <t>tiziana terenzi ecstasy extrait de parfum</t>
        </is>
      </c>
      <c r="Q521" s="59">
        <f>IF(L521="","",IFERROR(INDEX('Semrush Data'!$A$1:$Z$20000,MATCH(L521,'Semrush Data'!$A$1:$A$20000,0),MATCH("Volume",'Semrush Data'!$A$1:$Z$1,0)),""))</f>
        <v/>
      </c>
      <c r="R521" s="59">
        <f>IF(M521="","",IFERROR(INDEX('Semrush Data'!$A$1:$Z$20000,MATCH(M521,'Semrush Data'!$A$1:$A$20000,0),MATCH("Volume",'Semrush Data'!$A$1:$Z$1,0)),""))</f>
        <v/>
      </c>
      <c r="S521" s="59">
        <f>IF(N521="","",IFERROR(INDEX('Semrush Data'!$A$1:$Z$20000,MATCH(N521,'Semrush Data'!$A$1:$A$20000,0),MATCH("Volume",'Semrush Data'!$A$1:$Z$1,0)),""))</f>
        <v/>
      </c>
      <c r="T521" s="59">
        <f>IF(O521="","",IFERROR(INDEX('Semrush Data'!$A$1:$Z$20000,MATCH(O521,'Semrush Data'!$A$1:$A$20000,0),MATCH("Volume",'Semrush Data'!$A$1:$Z$1,0)),""))</f>
        <v/>
      </c>
      <c r="U521" s="59">
        <f>IF(P521="","",IFERROR(INDEX('Semrush Data'!$A$1:$Z$20000,MATCH(P521,'Semrush Data'!$A$1:$A$20000,0),MATCH("Volume",'Semrush Data'!$A$1:$Z$1,0)),""))</f>
        <v/>
      </c>
      <c r="V521" s="60">
        <f>IF(COUNT(Q521:U521)=0,L521,IF(MAX(Q521:U521)=0,L521,INDEX(L521:P521,MATCH(MAX(Q521:U521),Q521:U521,0))))</f>
        <v/>
      </c>
      <c r="W521" s="59">
        <f>IFERROR(INDEX('Semrush Data'!$A$1:$Z$20000,MATCH(V521,'Semrush Data'!$A$1:$A$20000,0),MATCH("Volume",'Semrush Data'!$A$1:$Z$1,0)),"")</f>
        <v/>
      </c>
      <c r="X521" s="59">
        <f>IFERROR(INDEX('Semrush Data'!$A$1:$Z$20000,MATCH(V521,'Semrush Data'!$A$1:$A$20000,0),MATCH("Keyword Difficulty*",'Semrush Data'!$A$1:$Z$1,0)),"")</f>
        <v/>
      </c>
      <c r="Y521" s="61">
        <f>IFERROR(INDEX('Semrush Data'!$A$1:$Z$20000,MATCH(V521,'Semrush Data'!$A$1:$A$20000,0),MATCH("CPC*",'Semrush Data'!$A$1:$Z$1,0)),"")</f>
        <v/>
      </c>
      <c r="Z521" s="58" t="inlineStr">
        <is>
          <t>tiziana terenzi perfume · amber perfume uk</t>
        </is>
      </c>
      <c r="AA521" s="58" t="inlineStr">
        <is>
          <t>tiziana terenzi ecstasy extrait de parfum · tiziana terenzi ecstasy review · tiziana terenzi ecstasy perfume · tiziana terenzi ecstasy extrait de parfum 100ml · tiziana terenzi ecstasy extrait · tiziana terenzi ecstasy notes</t>
        </is>
      </c>
      <c r="AB521" s="58" t="inlineStr">
        <is>
          <t>Ecstasy Extrait de Parfum</t>
        </is>
      </c>
      <c r="AC521" s="58" t="inlineStr">
        <is>
          <t>Ecstasy Extrait de Parfum | Buy Online UK | Swansura</t>
        </is>
      </c>
      <c r="AD521" s="58">
        <f>LEN(AC521)</f>
        <v/>
      </c>
      <c r="AE521" s="58" t="inlineStr">
        <is>
          <t>Buy Ecstasy Extrait de Parfum online in the UK at Swansura. An amber unisex extrait de parfum, 100ml. 100% authentic, fast UK delivery, free over £50.</t>
        </is>
      </c>
      <c r="AF521" s="58">
        <f>LEN(AE521)</f>
        <v/>
      </c>
    </row>
    <row r="522" ht="15" customHeight="1" s="37">
      <c r="A522" s="58" t="inlineStr">
        <is>
          <t>FR-362</t>
        </is>
      </c>
      <c r="B522" s="58" t="inlineStr">
        <is>
          <t>Fragrance Catalogue</t>
        </is>
      </c>
      <c r="C522" s="58" t="n">
        <v>362</v>
      </c>
      <c r="D522" s="58" t="inlineStr">
        <is>
          <t>Tiziana Terenzi</t>
        </is>
      </c>
      <c r="E522" s="58" t="n"/>
      <c r="F522" s="58" t="inlineStr">
        <is>
          <t>Fragrance</t>
        </is>
      </c>
      <c r="G522" s="58" t="inlineStr">
        <is>
          <t>Extrait de Parfum</t>
        </is>
      </c>
      <c r="H522" s="58" t="inlineStr">
        <is>
          <t>Oud · Unisex Fragrance</t>
        </is>
      </c>
      <c r="I522" s="58" t="inlineStr">
        <is>
          <t>Gold Rose Oudh Extrait de Parfum 100ml – Luxury Unisex Oud Perfume</t>
        </is>
      </c>
      <c r="J522" s="58" t="inlineStr">
        <is>
          <t>100ml</t>
        </is>
      </c>
      <c r="K522" s="58" t="n">
        <v>84.98999999999999</v>
      </c>
      <c r="L522" s="58" t="inlineStr">
        <is>
          <t>tiziana terenzi gold rose oudh</t>
        </is>
      </c>
      <c r="M522" s="58" t="inlineStr">
        <is>
          <t>tiziana terenzi gold rose oudh uk</t>
        </is>
      </c>
      <c r="N522" s="58" t="inlineStr">
        <is>
          <t>buy tiziana terenzi gold rose oudh online</t>
        </is>
      </c>
      <c r="O522" s="58" t="inlineStr">
        <is>
          <t>tiziana terenzi gold rose oudh price</t>
        </is>
      </c>
      <c r="P522" s="58" t="inlineStr">
        <is>
          <t>tiziana terenzi gold rose oudh extrait de parfum</t>
        </is>
      </c>
      <c r="Q522" s="59">
        <f>IF(L522="","",IFERROR(INDEX('Semrush Data'!$A$1:$Z$20000,MATCH(L522,'Semrush Data'!$A$1:$A$20000,0),MATCH("Volume",'Semrush Data'!$A$1:$Z$1,0)),""))</f>
        <v/>
      </c>
      <c r="R522" s="59">
        <f>IF(M522="","",IFERROR(INDEX('Semrush Data'!$A$1:$Z$20000,MATCH(M522,'Semrush Data'!$A$1:$A$20000,0),MATCH("Volume",'Semrush Data'!$A$1:$Z$1,0)),""))</f>
        <v/>
      </c>
      <c r="S522" s="59">
        <f>IF(N522="","",IFERROR(INDEX('Semrush Data'!$A$1:$Z$20000,MATCH(N522,'Semrush Data'!$A$1:$A$20000,0),MATCH("Volume",'Semrush Data'!$A$1:$Z$1,0)),""))</f>
        <v/>
      </c>
      <c r="T522" s="59">
        <f>IF(O522="","",IFERROR(INDEX('Semrush Data'!$A$1:$Z$20000,MATCH(O522,'Semrush Data'!$A$1:$A$20000,0),MATCH("Volume",'Semrush Data'!$A$1:$Z$1,0)),""))</f>
        <v/>
      </c>
      <c r="U522" s="59">
        <f>IF(P522="","",IFERROR(INDEX('Semrush Data'!$A$1:$Z$20000,MATCH(P522,'Semrush Data'!$A$1:$A$20000,0),MATCH("Volume",'Semrush Data'!$A$1:$Z$1,0)),""))</f>
        <v/>
      </c>
      <c r="V522" s="60">
        <f>IF(COUNT(Q522:U522)=0,L522,IF(MAX(Q522:U522)=0,L522,INDEX(L522:P522,MATCH(MAX(Q522:U522),Q522:U522,0))))</f>
        <v/>
      </c>
      <c r="W522" s="59">
        <f>IFERROR(INDEX('Semrush Data'!$A$1:$Z$20000,MATCH(V522,'Semrush Data'!$A$1:$A$20000,0),MATCH("Volume",'Semrush Data'!$A$1:$Z$1,0)),"")</f>
        <v/>
      </c>
      <c r="X522" s="59">
        <f>IFERROR(INDEX('Semrush Data'!$A$1:$Z$20000,MATCH(V522,'Semrush Data'!$A$1:$A$20000,0),MATCH("Keyword Difficulty*",'Semrush Data'!$A$1:$Z$1,0)),"")</f>
        <v/>
      </c>
      <c r="Y522" s="61">
        <f>IFERROR(INDEX('Semrush Data'!$A$1:$Z$20000,MATCH(V522,'Semrush Data'!$A$1:$A$20000,0),MATCH("CPC*",'Semrush Data'!$A$1:$Z$1,0)),"")</f>
        <v/>
      </c>
      <c r="Z522" s="58" t="inlineStr">
        <is>
          <t>tiziana terenzi perfume · oud perfume uk</t>
        </is>
      </c>
      <c r="AA522" s="58" t="inlineStr">
        <is>
          <t>tiziana terenzi gold rose oudh extrait de parfum · tiziana terenzi gold rose oudh review · tiziana terenzi gold rose oudh price · tiziana terenzi gold rose oudh extrait de parfum 100ml · tiziana terenzi gold rose oudh perfume · tiziana terenzi gold rose oudh 50ml</t>
        </is>
      </c>
      <c r="AB522" s="58" t="inlineStr">
        <is>
          <t>Gold Rose Oudh Extrait de Parfum</t>
        </is>
      </c>
      <c r="AC522" s="58" t="inlineStr">
        <is>
          <t>Gold Rose Oudh Extrait de Parfum | Buy Online UK | Swansura</t>
        </is>
      </c>
      <c r="AD522" s="58">
        <f>LEN(AC522)</f>
        <v/>
      </c>
      <c r="AE522" s="58" t="inlineStr">
        <is>
          <t>Buy Gold Rose Oudh Extrait de Parfum online in the UK at Swansura. An oud unisex extrait de parfum, 100ml. 100% authentic, fast UK delivery, free over £50.</t>
        </is>
      </c>
      <c r="AF522" s="58">
        <f>LEN(AE522)</f>
        <v/>
      </c>
    </row>
    <row r="523" ht="15" customHeight="1" s="37">
      <c r="A523" s="58" t="inlineStr">
        <is>
          <t>FR-363</t>
        </is>
      </c>
      <c r="B523" s="58" t="inlineStr">
        <is>
          <t>Fragrance Catalogue</t>
        </is>
      </c>
      <c r="C523" s="58" t="n">
        <v>363</v>
      </c>
      <c r="D523" s="58" t="inlineStr">
        <is>
          <t>Tiziana Terenzi</t>
        </is>
      </c>
      <c r="E523" s="58" t="n"/>
      <c r="F523" s="58" t="inlineStr">
        <is>
          <t>Fragrance</t>
        </is>
      </c>
      <c r="G523" s="58" t="inlineStr">
        <is>
          <t>Extrait de Parfum</t>
        </is>
      </c>
      <c r="H523" s="58" t="inlineStr">
        <is>
          <t>Amber · Unisex Fragrance</t>
        </is>
      </c>
      <c r="I523" s="58" t="inlineStr">
        <is>
          <t>Gumin Extrait de Parfum 100ml – Luxury Unisex Niche Perfume</t>
        </is>
      </c>
      <c r="J523" s="58" t="inlineStr">
        <is>
          <t>100ml</t>
        </is>
      </c>
      <c r="K523" s="58" t="n">
        <v>159.99</v>
      </c>
      <c r="L523" s="58" t="inlineStr">
        <is>
          <t>tiziana terenzi gumin</t>
        </is>
      </c>
      <c r="M523" s="58" t="inlineStr">
        <is>
          <t>tiziana terenzi gumin uk</t>
        </is>
      </c>
      <c r="N523" s="58" t="inlineStr">
        <is>
          <t>buy tiziana terenzi gumin online</t>
        </is>
      </c>
      <c r="O523" s="58" t="inlineStr">
        <is>
          <t>tiziana terenzi gumin price</t>
        </is>
      </c>
      <c r="P523" s="58" t="inlineStr">
        <is>
          <t>tiziana terenzi gumin extrait de parfum</t>
        </is>
      </c>
      <c r="Q523" s="59">
        <f>IF(L523="","",IFERROR(INDEX('Semrush Data'!$A$1:$Z$20000,MATCH(L523,'Semrush Data'!$A$1:$A$20000,0),MATCH("Volume",'Semrush Data'!$A$1:$Z$1,0)),""))</f>
        <v/>
      </c>
      <c r="R523" s="59">
        <f>IF(M523="","",IFERROR(INDEX('Semrush Data'!$A$1:$Z$20000,MATCH(M523,'Semrush Data'!$A$1:$A$20000,0),MATCH("Volume",'Semrush Data'!$A$1:$Z$1,0)),""))</f>
        <v/>
      </c>
      <c r="S523" s="59">
        <f>IF(N523="","",IFERROR(INDEX('Semrush Data'!$A$1:$Z$20000,MATCH(N523,'Semrush Data'!$A$1:$A$20000,0),MATCH("Volume",'Semrush Data'!$A$1:$Z$1,0)),""))</f>
        <v/>
      </c>
      <c r="T523" s="59">
        <f>IF(O523="","",IFERROR(INDEX('Semrush Data'!$A$1:$Z$20000,MATCH(O523,'Semrush Data'!$A$1:$A$20000,0),MATCH("Volume",'Semrush Data'!$A$1:$Z$1,0)),""))</f>
        <v/>
      </c>
      <c r="U523" s="59">
        <f>IF(P523="","",IFERROR(INDEX('Semrush Data'!$A$1:$Z$20000,MATCH(P523,'Semrush Data'!$A$1:$A$20000,0),MATCH("Volume",'Semrush Data'!$A$1:$Z$1,0)),""))</f>
        <v/>
      </c>
      <c r="V523" s="60">
        <f>IF(COUNT(Q523:U523)=0,L523,IF(MAX(Q523:U523)=0,L523,INDEX(L523:P523,MATCH(MAX(Q523:U523),Q523:U523,0))))</f>
        <v/>
      </c>
      <c r="W523" s="59">
        <f>IFERROR(INDEX('Semrush Data'!$A$1:$Z$20000,MATCH(V523,'Semrush Data'!$A$1:$A$20000,0),MATCH("Volume",'Semrush Data'!$A$1:$Z$1,0)),"")</f>
        <v/>
      </c>
      <c r="X523" s="59">
        <f>IFERROR(INDEX('Semrush Data'!$A$1:$Z$20000,MATCH(V523,'Semrush Data'!$A$1:$A$20000,0),MATCH("Keyword Difficulty*",'Semrush Data'!$A$1:$Z$1,0)),"")</f>
        <v/>
      </c>
      <c r="Y523" s="61">
        <f>IFERROR(INDEX('Semrush Data'!$A$1:$Z$20000,MATCH(V523,'Semrush Data'!$A$1:$A$20000,0),MATCH("CPC*",'Semrush Data'!$A$1:$Z$1,0)),"")</f>
        <v/>
      </c>
      <c r="Z523" s="58" t="inlineStr">
        <is>
          <t>tiziana terenzi perfume · amber perfume uk</t>
        </is>
      </c>
      <c r="AA523" s="58" t="inlineStr">
        <is>
          <t>tiziana terenzi gumin extrait de parfum · tiziana terenzi gumin price · tiziana terenzi gumin review · tiziana terenzi gumin notes · tiziana terenzi gumin perfume · tiziana terenzi gumin perfume price</t>
        </is>
      </c>
      <c r="AB523" s="58" t="inlineStr">
        <is>
          <t>Gumin Extrait de Parfum</t>
        </is>
      </c>
      <c r="AC523" s="58" t="inlineStr">
        <is>
          <t>Gumin Extrait de Parfum | Buy Online UK | Swansura</t>
        </is>
      </c>
      <c r="AD523" s="58">
        <f>LEN(AC523)</f>
        <v/>
      </c>
      <c r="AE523" s="58" t="inlineStr">
        <is>
          <t>Buy Gumin Extrait de Parfum online in the UK at Swansura. An amber unisex extrait de parfum, 100ml. 100% authentic, fast UK delivery, free over £50.</t>
        </is>
      </c>
      <c r="AF523" s="58">
        <f>LEN(AE523)</f>
        <v/>
      </c>
    </row>
    <row r="524" ht="15" customHeight="1" s="37">
      <c r="A524" s="58" t="inlineStr">
        <is>
          <t>FR-364</t>
        </is>
      </c>
      <c r="B524" s="58" t="inlineStr">
        <is>
          <t>Fragrance Catalogue</t>
        </is>
      </c>
      <c r="C524" s="58" t="n">
        <v>364</v>
      </c>
      <c r="D524" s="58" t="inlineStr">
        <is>
          <t>Tiziana Terenzi</t>
        </is>
      </c>
      <c r="E524" s="58" t="n"/>
      <c r="F524" s="58" t="inlineStr">
        <is>
          <t>Fragrance</t>
        </is>
      </c>
      <c r="G524" s="58" t="inlineStr">
        <is>
          <t>Extrait de Parfum</t>
        </is>
      </c>
      <c r="H524" s="58" t="inlineStr">
        <is>
          <t>Amber · Unisex Fragrance</t>
        </is>
      </c>
      <c r="I524" s="58" t="inlineStr">
        <is>
          <t>Kaff Extrait de Parfum 100ml – Luxury Unisex Niche Perfume</t>
        </is>
      </c>
      <c r="J524" s="58" t="inlineStr">
        <is>
          <t>100ml</t>
        </is>
      </c>
      <c r="K524" s="58" t="n">
        <v>144.99</v>
      </c>
      <c r="L524" s="58" t="inlineStr">
        <is>
          <t>tiziana terenzi kaff</t>
        </is>
      </c>
      <c r="M524" s="58" t="inlineStr">
        <is>
          <t>tiziana terenzi kaff uk</t>
        </is>
      </c>
      <c r="N524" s="58" t="inlineStr">
        <is>
          <t>buy tiziana terenzi kaff online</t>
        </is>
      </c>
      <c r="O524" s="58" t="inlineStr">
        <is>
          <t>tiziana terenzi kaff price</t>
        </is>
      </c>
      <c r="P524" s="58" t="inlineStr">
        <is>
          <t>tiziana terenzi kaff extrait de parfum</t>
        </is>
      </c>
      <c r="Q524" s="59">
        <f>IF(L524="","",IFERROR(INDEX('Semrush Data'!$A$1:$Z$20000,MATCH(L524,'Semrush Data'!$A$1:$A$20000,0),MATCH("Volume",'Semrush Data'!$A$1:$Z$1,0)),""))</f>
        <v/>
      </c>
      <c r="R524" s="59">
        <f>IF(M524="","",IFERROR(INDEX('Semrush Data'!$A$1:$Z$20000,MATCH(M524,'Semrush Data'!$A$1:$A$20000,0),MATCH("Volume",'Semrush Data'!$A$1:$Z$1,0)),""))</f>
        <v/>
      </c>
      <c r="S524" s="59">
        <f>IF(N524="","",IFERROR(INDEX('Semrush Data'!$A$1:$Z$20000,MATCH(N524,'Semrush Data'!$A$1:$A$20000,0),MATCH("Volume",'Semrush Data'!$A$1:$Z$1,0)),""))</f>
        <v/>
      </c>
      <c r="T524" s="59">
        <f>IF(O524="","",IFERROR(INDEX('Semrush Data'!$A$1:$Z$20000,MATCH(O524,'Semrush Data'!$A$1:$A$20000,0),MATCH("Volume",'Semrush Data'!$A$1:$Z$1,0)),""))</f>
        <v/>
      </c>
      <c r="U524" s="59">
        <f>IF(P524="","",IFERROR(INDEX('Semrush Data'!$A$1:$Z$20000,MATCH(P524,'Semrush Data'!$A$1:$A$20000,0),MATCH("Volume",'Semrush Data'!$A$1:$Z$1,0)),""))</f>
        <v/>
      </c>
      <c r="V524" s="60">
        <f>IF(COUNT(Q524:U524)=0,L524,IF(MAX(Q524:U524)=0,L524,INDEX(L524:P524,MATCH(MAX(Q524:U524),Q524:U524,0))))</f>
        <v/>
      </c>
      <c r="W524" s="59">
        <f>IFERROR(INDEX('Semrush Data'!$A$1:$Z$20000,MATCH(V524,'Semrush Data'!$A$1:$A$20000,0),MATCH("Volume",'Semrush Data'!$A$1:$Z$1,0)),"")</f>
        <v/>
      </c>
      <c r="X524" s="59">
        <f>IFERROR(INDEX('Semrush Data'!$A$1:$Z$20000,MATCH(V524,'Semrush Data'!$A$1:$A$20000,0),MATCH("Keyword Difficulty*",'Semrush Data'!$A$1:$Z$1,0)),"")</f>
        <v/>
      </c>
      <c r="Y524" s="61">
        <f>IFERROR(INDEX('Semrush Data'!$A$1:$Z$20000,MATCH(V524,'Semrush Data'!$A$1:$A$20000,0),MATCH("CPC*",'Semrush Data'!$A$1:$Z$1,0)),"")</f>
        <v/>
      </c>
      <c r="Z524" s="58" t="inlineStr">
        <is>
          <t>tiziana terenzi perfume · amber perfume uk</t>
        </is>
      </c>
      <c r="AA524" s="58" t="inlineStr">
        <is>
          <t>tiziana terenzi kaff extrait de parfum · tiziana terenzi kaff parfum · tiziana terenzi kaff review · tiziana terenzi kaff extrait de parfum 100ml · tiziana terenzi kaff perfume · tiziana terenzi kaff price</t>
        </is>
      </c>
      <c r="AB524" s="58" t="inlineStr">
        <is>
          <t>Kaff Extrait de Parfum</t>
        </is>
      </c>
      <c r="AC524" s="58" t="inlineStr">
        <is>
          <t>Kaff Extrait de Parfum 100ml | Buy Online UK | Swansura</t>
        </is>
      </c>
      <c r="AD524" s="58">
        <f>LEN(AC524)</f>
        <v/>
      </c>
      <c r="AE524" s="58" t="inlineStr">
        <is>
          <t>Buy Kaff Extrait de Parfum online in the UK at Swansura. An amber unisex extrait de parfum, 100ml. 100% authentic, fast UK delivery, free over £50.</t>
        </is>
      </c>
      <c r="AF524" s="58">
        <f>LEN(AE524)</f>
        <v/>
      </c>
    </row>
    <row r="525" ht="15" customHeight="1" s="37">
      <c r="A525" s="58" t="inlineStr">
        <is>
          <t>FR-365</t>
        </is>
      </c>
      <c r="B525" s="58" t="inlineStr">
        <is>
          <t>Fragrance Catalogue</t>
        </is>
      </c>
      <c r="C525" s="58" t="n">
        <v>365</v>
      </c>
      <c r="D525" s="58" t="inlineStr">
        <is>
          <t>Tiziana Terenzi</t>
        </is>
      </c>
      <c r="E525" s="58" t="n"/>
      <c r="F525" s="58" t="inlineStr">
        <is>
          <t>Fragrance</t>
        </is>
      </c>
      <c r="G525" s="58" t="inlineStr">
        <is>
          <t>Extrait de Parfum</t>
        </is>
      </c>
      <c r="H525" s="58" t="inlineStr">
        <is>
          <t>Fruity · Unisex Fragrance</t>
        </is>
      </c>
      <c r="I525" s="58" t="inlineStr">
        <is>
          <t>Kirke Extrait de Parfum 100ml – Luxury Unisex Fruity Niche Perfume</t>
        </is>
      </c>
      <c r="J525" s="58" t="inlineStr">
        <is>
          <t>100ml</t>
        </is>
      </c>
      <c r="K525" s="58" t="n">
        <v>82.98999999999999</v>
      </c>
      <c r="L525" s="58" t="inlineStr">
        <is>
          <t>tiziana terenzi kirke</t>
        </is>
      </c>
      <c r="M525" s="58" t="inlineStr">
        <is>
          <t>tiziana terenzi kirke uk</t>
        </is>
      </c>
      <c r="N525" s="58" t="inlineStr">
        <is>
          <t>buy tiziana terenzi kirke online</t>
        </is>
      </c>
      <c r="O525" s="58" t="inlineStr">
        <is>
          <t>tiziana terenzi kirke price</t>
        </is>
      </c>
      <c r="P525" s="58" t="inlineStr">
        <is>
          <t>tiziana terenzi kirke extrait de parfum</t>
        </is>
      </c>
      <c r="Q525" s="59">
        <f>IF(L525="","",IFERROR(INDEX('Semrush Data'!$A$1:$Z$20000,MATCH(L525,'Semrush Data'!$A$1:$A$20000,0),MATCH("Volume",'Semrush Data'!$A$1:$Z$1,0)),""))</f>
        <v/>
      </c>
      <c r="R525" s="59">
        <f>IF(M525="","",IFERROR(INDEX('Semrush Data'!$A$1:$Z$20000,MATCH(M525,'Semrush Data'!$A$1:$A$20000,0),MATCH("Volume",'Semrush Data'!$A$1:$Z$1,0)),""))</f>
        <v/>
      </c>
      <c r="S525" s="59">
        <f>IF(N525="","",IFERROR(INDEX('Semrush Data'!$A$1:$Z$20000,MATCH(N525,'Semrush Data'!$A$1:$A$20000,0),MATCH("Volume",'Semrush Data'!$A$1:$Z$1,0)),""))</f>
        <v/>
      </c>
      <c r="T525" s="59">
        <f>IF(O525="","",IFERROR(INDEX('Semrush Data'!$A$1:$Z$20000,MATCH(O525,'Semrush Data'!$A$1:$A$20000,0),MATCH("Volume",'Semrush Data'!$A$1:$Z$1,0)),""))</f>
        <v/>
      </c>
      <c r="U525" s="59">
        <f>IF(P525="","",IFERROR(INDEX('Semrush Data'!$A$1:$Z$20000,MATCH(P525,'Semrush Data'!$A$1:$A$20000,0),MATCH("Volume",'Semrush Data'!$A$1:$Z$1,0)),""))</f>
        <v/>
      </c>
      <c r="V525" s="60">
        <f>IF(COUNT(Q525:U525)=0,L525,IF(MAX(Q525:U525)=0,L525,INDEX(L525:P525,MATCH(MAX(Q525:U525),Q525:U525,0))))</f>
        <v/>
      </c>
      <c r="W525" s="59">
        <f>IFERROR(INDEX('Semrush Data'!$A$1:$Z$20000,MATCH(V525,'Semrush Data'!$A$1:$A$20000,0),MATCH("Volume",'Semrush Data'!$A$1:$Z$1,0)),"")</f>
        <v/>
      </c>
      <c r="X525" s="59">
        <f>IFERROR(INDEX('Semrush Data'!$A$1:$Z$20000,MATCH(V525,'Semrush Data'!$A$1:$A$20000,0),MATCH("Keyword Difficulty*",'Semrush Data'!$A$1:$Z$1,0)),"")</f>
        <v/>
      </c>
      <c r="Y525" s="61">
        <f>IFERROR(INDEX('Semrush Data'!$A$1:$Z$20000,MATCH(V525,'Semrush Data'!$A$1:$A$20000,0),MATCH("CPC*",'Semrush Data'!$A$1:$Z$1,0)),"")</f>
        <v/>
      </c>
      <c r="Z525" s="58" t="inlineStr">
        <is>
          <t>tiziana terenzi perfume · fruity perfume uk</t>
        </is>
      </c>
      <c r="AA525" s="58" t="inlineStr">
        <is>
          <t>tiziana terenzi kirke extrait de parfum · tiziana terenzi kirke price · tiziana terenzi kirke perfume · tiziana terenzi kirke notes · tiziana terenzi kirke dupe · tiziana terenzi kirke review</t>
        </is>
      </c>
      <c r="AB525" s="58" t="inlineStr">
        <is>
          <t>Kirke Extrait de Parfum</t>
        </is>
      </c>
      <c r="AC525" s="58" t="inlineStr">
        <is>
          <t>Kirke Extrait de Parfum | Buy Online UK | Swansura</t>
        </is>
      </c>
      <c r="AD525" s="58">
        <f>LEN(AC525)</f>
        <v/>
      </c>
      <c r="AE525" s="58" t="inlineStr">
        <is>
          <t>Buy Kirke Extrait de Parfum online in the UK at Swansura. A fruity unisex extrait de parfum, 100ml. 100% authentic, fast UK delivery, free over £50.</t>
        </is>
      </c>
      <c r="AF525" s="58">
        <f>LEN(AE525)</f>
        <v/>
      </c>
    </row>
    <row r="526" ht="15" customHeight="1" s="37">
      <c r="A526" s="58" t="inlineStr">
        <is>
          <t>FR-366</t>
        </is>
      </c>
      <c r="B526" s="58" t="inlineStr">
        <is>
          <t>Fragrance Catalogue</t>
        </is>
      </c>
      <c r="C526" s="58" t="n">
        <v>366</v>
      </c>
      <c r="D526" s="58" t="inlineStr">
        <is>
          <t>Tiziana Terenzi</t>
        </is>
      </c>
      <c r="E526" s="58" t="n"/>
      <c r="F526" s="58" t="inlineStr">
        <is>
          <t>Fragrance</t>
        </is>
      </c>
      <c r="G526" s="58" t="inlineStr">
        <is>
          <t>Extrait de Parfum</t>
        </is>
      </c>
      <c r="H526" s="58" t="inlineStr">
        <is>
          <t>Amber · Unisex Fragrance</t>
        </is>
      </c>
      <c r="I526" s="58" t="inlineStr">
        <is>
          <t>Leo Extrait de Parfum 100ml – Luna Collection Luxury Unisex Perfume</t>
        </is>
      </c>
      <c r="J526" s="58" t="inlineStr">
        <is>
          <t>100ml</t>
        </is>
      </c>
      <c r="K526" s="58" t="n">
        <v>109.99</v>
      </c>
      <c r="L526" s="58" t="inlineStr">
        <is>
          <t>tiziana terenzi leo</t>
        </is>
      </c>
      <c r="M526" s="58" t="inlineStr">
        <is>
          <t>tiziana terenzi leo uk</t>
        </is>
      </c>
      <c r="N526" s="58" t="inlineStr">
        <is>
          <t>buy tiziana terenzi leo online</t>
        </is>
      </c>
      <c r="O526" s="58" t="inlineStr">
        <is>
          <t>tiziana terenzi leo price</t>
        </is>
      </c>
      <c r="P526" s="58" t="inlineStr">
        <is>
          <t>tiziana terenzi leo extrait de parfum</t>
        </is>
      </c>
      <c r="Q526" s="59">
        <f>IF(L526="","",IFERROR(INDEX('Semrush Data'!$A$1:$Z$20000,MATCH(L526,'Semrush Data'!$A$1:$A$20000,0),MATCH("Volume",'Semrush Data'!$A$1:$Z$1,0)),""))</f>
        <v/>
      </c>
      <c r="R526" s="59">
        <f>IF(M526="","",IFERROR(INDEX('Semrush Data'!$A$1:$Z$20000,MATCH(M526,'Semrush Data'!$A$1:$A$20000,0),MATCH("Volume",'Semrush Data'!$A$1:$Z$1,0)),""))</f>
        <v/>
      </c>
      <c r="S526" s="59">
        <f>IF(N526="","",IFERROR(INDEX('Semrush Data'!$A$1:$Z$20000,MATCH(N526,'Semrush Data'!$A$1:$A$20000,0),MATCH("Volume",'Semrush Data'!$A$1:$Z$1,0)),""))</f>
        <v/>
      </c>
      <c r="T526" s="59">
        <f>IF(O526="","",IFERROR(INDEX('Semrush Data'!$A$1:$Z$20000,MATCH(O526,'Semrush Data'!$A$1:$A$20000,0),MATCH("Volume",'Semrush Data'!$A$1:$Z$1,0)),""))</f>
        <v/>
      </c>
      <c r="U526" s="59">
        <f>IF(P526="","",IFERROR(INDEX('Semrush Data'!$A$1:$Z$20000,MATCH(P526,'Semrush Data'!$A$1:$A$20000,0),MATCH("Volume",'Semrush Data'!$A$1:$Z$1,0)),""))</f>
        <v/>
      </c>
      <c r="V526" s="60">
        <f>IF(COUNT(Q526:U526)=0,L526,IF(MAX(Q526:U526)=0,L526,INDEX(L526:P526,MATCH(MAX(Q526:U526),Q526:U526,0))))</f>
        <v/>
      </c>
      <c r="W526" s="59">
        <f>IFERROR(INDEX('Semrush Data'!$A$1:$Z$20000,MATCH(V526,'Semrush Data'!$A$1:$A$20000,0),MATCH("Volume",'Semrush Data'!$A$1:$Z$1,0)),"")</f>
        <v/>
      </c>
      <c r="X526" s="59">
        <f>IFERROR(INDEX('Semrush Data'!$A$1:$Z$20000,MATCH(V526,'Semrush Data'!$A$1:$A$20000,0),MATCH("Keyword Difficulty*",'Semrush Data'!$A$1:$Z$1,0)),"")</f>
        <v/>
      </c>
      <c r="Y526" s="61">
        <f>IFERROR(INDEX('Semrush Data'!$A$1:$Z$20000,MATCH(V526,'Semrush Data'!$A$1:$A$20000,0),MATCH("CPC*",'Semrush Data'!$A$1:$Z$1,0)),"")</f>
        <v/>
      </c>
      <c r="Z526" s="58" t="inlineStr">
        <is>
          <t>tiziana terenzi perfume · amber perfume uk</t>
        </is>
      </c>
      <c r="AA526" s="58" t="inlineStr">
        <is>
          <t>tiziana terenzi leo review · tiziana terenzi leo extrait de parfum · tiziana terenzi leo perfume · tiziana terenzi leo price · tiziana terenzi leo notes · tiziana terenzi leo extrait de parfum 100ml</t>
        </is>
      </c>
      <c r="AB526" s="58" t="inlineStr">
        <is>
          <t>Leo Extrait de Parfum</t>
        </is>
      </c>
      <c r="AC526" s="58" t="inlineStr">
        <is>
          <t>Leo Extrait de Parfum 100ml | Buy Online UK | Swansura</t>
        </is>
      </c>
      <c r="AD526" s="58">
        <f>LEN(AC526)</f>
        <v/>
      </c>
      <c r="AE526" s="58" t="inlineStr">
        <is>
          <t>Buy Leo Extrait de Parfum online in the UK at Swansura. An amber unisex extrait de parfum, 100ml. 100% authentic, fast UK delivery, free over £50.</t>
        </is>
      </c>
      <c r="AF526" s="58">
        <f>LEN(AE526)</f>
        <v/>
      </c>
    </row>
    <row r="527" ht="15" customHeight="1" s="37">
      <c r="A527" s="58" t="inlineStr">
        <is>
          <t>FR-367</t>
        </is>
      </c>
      <c r="B527" s="58" t="inlineStr">
        <is>
          <t>Fragrance Catalogue</t>
        </is>
      </c>
      <c r="C527" s="58" t="n">
        <v>367</v>
      </c>
      <c r="D527" s="58" t="inlineStr">
        <is>
          <t>Tiziana Terenzi</t>
        </is>
      </c>
      <c r="E527" s="58" t="n"/>
      <c r="F527" s="58" t="inlineStr">
        <is>
          <t>Fragrance</t>
        </is>
      </c>
      <c r="G527" s="58" t="inlineStr">
        <is>
          <t>Extrait de Parfum</t>
        </is>
      </c>
      <c r="H527" s="58" t="inlineStr">
        <is>
          <t>Amber · Unisex Fragrance</t>
        </is>
      </c>
      <c r="I527" s="58" t="inlineStr">
        <is>
          <t>Moro di Venezia Extrait de Parfum 100ml – Luna Collection Luxury Unisex Perfume</t>
        </is>
      </c>
      <c r="J527" s="58" t="inlineStr">
        <is>
          <t>100ml</t>
        </is>
      </c>
      <c r="K527" s="58" t="n">
        <v>99.98999999999999</v>
      </c>
      <c r="L527" s="58" t="inlineStr">
        <is>
          <t>tiziana terenzi moro di venezia</t>
        </is>
      </c>
      <c r="M527" s="58" t="inlineStr">
        <is>
          <t>tiziana terenzi moro di venezia uk</t>
        </is>
      </c>
      <c r="N527" s="58" t="inlineStr">
        <is>
          <t>buy tiziana terenzi moro di venezia online</t>
        </is>
      </c>
      <c r="O527" s="58" t="inlineStr">
        <is>
          <t>tiziana terenzi moro di venezia price</t>
        </is>
      </c>
      <c r="P527" s="58" t="inlineStr">
        <is>
          <t>tiziana terenzi moro di venezia extrait de parfum</t>
        </is>
      </c>
      <c r="Q527" s="59">
        <f>IF(L527="","",IFERROR(INDEX('Semrush Data'!$A$1:$Z$20000,MATCH(L527,'Semrush Data'!$A$1:$A$20000,0),MATCH("Volume",'Semrush Data'!$A$1:$Z$1,0)),""))</f>
        <v/>
      </c>
      <c r="R527" s="59">
        <f>IF(M527="","",IFERROR(INDEX('Semrush Data'!$A$1:$Z$20000,MATCH(M527,'Semrush Data'!$A$1:$A$20000,0),MATCH("Volume",'Semrush Data'!$A$1:$Z$1,0)),""))</f>
        <v/>
      </c>
      <c r="S527" s="59">
        <f>IF(N527="","",IFERROR(INDEX('Semrush Data'!$A$1:$Z$20000,MATCH(N527,'Semrush Data'!$A$1:$A$20000,0),MATCH("Volume",'Semrush Data'!$A$1:$Z$1,0)),""))</f>
        <v/>
      </c>
      <c r="T527" s="59">
        <f>IF(O527="","",IFERROR(INDEX('Semrush Data'!$A$1:$Z$20000,MATCH(O527,'Semrush Data'!$A$1:$A$20000,0),MATCH("Volume",'Semrush Data'!$A$1:$Z$1,0)),""))</f>
        <v/>
      </c>
      <c r="U527" s="59">
        <f>IF(P527="","",IFERROR(INDEX('Semrush Data'!$A$1:$Z$20000,MATCH(P527,'Semrush Data'!$A$1:$A$20000,0),MATCH("Volume",'Semrush Data'!$A$1:$Z$1,0)),""))</f>
        <v/>
      </c>
      <c r="V527" s="60">
        <f>IF(COUNT(Q527:U527)=0,L527,IF(MAX(Q527:U527)=0,L527,INDEX(L527:P527,MATCH(MAX(Q527:U527),Q527:U527,0))))</f>
        <v/>
      </c>
      <c r="W527" s="59">
        <f>IFERROR(INDEX('Semrush Data'!$A$1:$Z$20000,MATCH(V527,'Semrush Data'!$A$1:$A$20000,0),MATCH("Volume",'Semrush Data'!$A$1:$Z$1,0)),"")</f>
        <v/>
      </c>
      <c r="X527" s="59">
        <f>IFERROR(INDEX('Semrush Data'!$A$1:$Z$20000,MATCH(V527,'Semrush Data'!$A$1:$A$20000,0),MATCH("Keyword Difficulty*",'Semrush Data'!$A$1:$Z$1,0)),"")</f>
        <v/>
      </c>
      <c r="Y527" s="61">
        <f>IFERROR(INDEX('Semrush Data'!$A$1:$Z$20000,MATCH(V527,'Semrush Data'!$A$1:$A$20000,0),MATCH("CPC*",'Semrush Data'!$A$1:$Z$1,0)),"")</f>
        <v/>
      </c>
      <c r="Z527" s="58" t="inlineStr">
        <is>
          <t>tiziana terenzi perfume · amber perfume uk</t>
        </is>
      </c>
      <c r="AA527" s="58" t="inlineStr">
        <is>
          <t>tiziana terenzi moro di venezia extrait de parfum · tiziana terenzi moro di venezia extrait de parfum 100ml · tiziana terenzi moro di venezia perfume · tiziana terenzi moro di venezia extrait · tiziana terenzi moro di venezia notes · tiziana terenzi moro di venezia 100ml</t>
        </is>
      </c>
      <c r="AB527" s="58" t="inlineStr">
        <is>
          <t>Moro di Venezia Extrait de Parfum</t>
        </is>
      </c>
      <c r="AC527" s="58" t="inlineStr">
        <is>
          <t>Moro di Venezia Extrait de Parfum | Buy Online UK | Swansura</t>
        </is>
      </c>
      <c r="AD527" s="58">
        <f>LEN(AC527)</f>
        <v/>
      </c>
      <c r="AE527" s="58" t="inlineStr">
        <is>
          <t>Buy Moro di Venezia Extrait de Parfum online in the UK at Swansura. An amber unisex extrait de parfum, 100ml. 100% authentic, fast UK delivery, free over £50.</t>
        </is>
      </c>
      <c r="AF527" s="58">
        <f>LEN(AE527)</f>
        <v/>
      </c>
    </row>
    <row r="528" ht="15" customHeight="1" s="37">
      <c r="A528" s="58" t="inlineStr">
        <is>
          <t>FR-368</t>
        </is>
      </c>
      <c r="B528" s="58" t="inlineStr">
        <is>
          <t>Fragrance Catalogue</t>
        </is>
      </c>
      <c r="C528" s="58" t="n">
        <v>368</v>
      </c>
      <c r="D528" s="58" t="inlineStr">
        <is>
          <t>Tiziana Terenzi</t>
        </is>
      </c>
      <c r="E528" s="58" t="n"/>
      <c r="F528" s="58" t="inlineStr">
        <is>
          <t>Fragrance</t>
        </is>
      </c>
      <c r="G528" s="58" t="inlineStr">
        <is>
          <t>Extrait de Parfum</t>
        </is>
      </c>
      <c r="H528" s="58" t="inlineStr">
        <is>
          <t>Amber · Unisex Fragrance</t>
        </is>
      </c>
      <c r="I528" s="58" t="inlineStr">
        <is>
          <t>Orion Extrait de Parfum 100ml – Luxury Unisex Niche Perfume</t>
        </is>
      </c>
      <c r="J528" s="58" t="inlineStr">
        <is>
          <t>100ml</t>
        </is>
      </c>
      <c r="K528" s="58" t="n">
        <v>109.99</v>
      </c>
      <c r="L528" s="58" t="inlineStr">
        <is>
          <t>tiziana terenzi orion</t>
        </is>
      </c>
      <c r="M528" s="58" t="inlineStr">
        <is>
          <t>tiziana terenzi orion uk</t>
        </is>
      </c>
      <c r="N528" s="58" t="inlineStr">
        <is>
          <t>buy tiziana terenzi orion online</t>
        </is>
      </c>
      <c r="O528" s="58" t="inlineStr">
        <is>
          <t>tiziana terenzi orion price</t>
        </is>
      </c>
      <c r="P528" s="58" t="inlineStr">
        <is>
          <t>tiziana terenzi orion extrait de parfum</t>
        </is>
      </c>
      <c r="Q528" s="59">
        <f>IF(L528="","",IFERROR(INDEX('Semrush Data'!$A$1:$Z$20000,MATCH(L528,'Semrush Data'!$A$1:$A$20000,0),MATCH("Volume",'Semrush Data'!$A$1:$Z$1,0)),""))</f>
        <v/>
      </c>
      <c r="R528" s="59">
        <f>IF(M528="","",IFERROR(INDEX('Semrush Data'!$A$1:$Z$20000,MATCH(M528,'Semrush Data'!$A$1:$A$20000,0),MATCH("Volume",'Semrush Data'!$A$1:$Z$1,0)),""))</f>
        <v/>
      </c>
      <c r="S528" s="59">
        <f>IF(N528="","",IFERROR(INDEX('Semrush Data'!$A$1:$Z$20000,MATCH(N528,'Semrush Data'!$A$1:$A$20000,0),MATCH("Volume",'Semrush Data'!$A$1:$Z$1,0)),""))</f>
        <v/>
      </c>
      <c r="T528" s="59">
        <f>IF(O528="","",IFERROR(INDEX('Semrush Data'!$A$1:$Z$20000,MATCH(O528,'Semrush Data'!$A$1:$A$20000,0),MATCH("Volume",'Semrush Data'!$A$1:$Z$1,0)),""))</f>
        <v/>
      </c>
      <c r="U528" s="59">
        <f>IF(P528="","",IFERROR(INDEX('Semrush Data'!$A$1:$Z$20000,MATCH(P528,'Semrush Data'!$A$1:$A$20000,0),MATCH("Volume",'Semrush Data'!$A$1:$Z$1,0)),""))</f>
        <v/>
      </c>
      <c r="V528" s="60">
        <f>IF(COUNT(Q528:U528)=0,L528,IF(MAX(Q528:U528)=0,L528,INDEX(L528:P528,MATCH(MAX(Q528:U528),Q528:U528,0))))</f>
        <v/>
      </c>
      <c r="W528" s="59">
        <f>IFERROR(INDEX('Semrush Data'!$A$1:$Z$20000,MATCH(V528,'Semrush Data'!$A$1:$A$20000,0),MATCH("Volume",'Semrush Data'!$A$1:$Z$1,0)),"")</f>
        <v/>
      </c>
      <c r="X528" s="59">
        <f>IFERROR(INDEX('Semrush Data'!$A$1:$Z$20000,MATCH(V528,'Semrush Data'!$A$1:$A$20000,0),MATCH("Keyword Difficulty*",'Semrush Data'!$A$1:$Z$1,0)),"")</f>
        <v/>
      </c>
      <c r="Y528" s="61">
        <f>IFERROR(INDEX('Semrush Data'!$A$1:$Z$20000,MATCH(V528,'Semrush Data'!$A$1:$A$20000,0),MATCH("CPC*",'Semrush Data'!$A$1:$Z$1,0)),"")</f>
        <v/>
      </c>
      <c r="Z528" s="58" t="inlineStr">
        <is>
          <t>tiziana terenzi perfume · amber perfume uk</t>
        </is>
      </c>
      <c r="AA528" s="58" t="inlineStr">
        <is>
          <t>tiziana terenzi orion extrait de parfum · tiziana terenzi orion notes · tiziana terenzi orion review · tiziana terenzi orion price</t>
        </is>
      </c>
      <c r="AB528" s="58" t="inlineStr">
        <is>
          <t>Orion Extrait de Parfum</t>
        </is>
      </c>
      <c r="AC528" s="58" t="inlineStr">
        <is>
          <t>Orion Extrait de Parfum | Buy Online UK | Swansura</t>
        </is>
      </c>
      <c r="AD528" s="58">
        <f>LEN(AC528)</f>
        <v/>
      </c>
      <c r="AE528" s="58" t="inlineStr">
        <is>
          <t>Buy Orion Extrait de Parfum online in the UK at Swansura. An amber unisex extrait de parfum, 100ml. 100% authentic, fast UK delivery, free over £50.</t>
        </is>
      </c>
      <c r="AF528" s="58">
        <f>LEN(AE528)</f>
        <v/>
      </c>
    </row>
    <row r="529" ht="15" customHeight="1" s="37">
      <c r="A529" s="58" t="inlineStr">
        <is>
          <t>FR-369</t>
        </is>
      </c>
      <c r="B529" s="58" t="inlineStr">
        <is>
          <t>Fragrance Catalogue</t>
        </is>
      </c>
      <c r="C529" s="58" t="n">
        <v>369</v>
      </c>
      <c r="D529" s="58" t="inlineStr">
        <is>
          <t>Tiziana Terenzi</t>
        </is>
      </c>
      <c r="E529" s="58" t="n"/>
      <c r="F529" s="58" t="inlineStr">
        <is>
          <t>Fragrance</t>
        </is>
      </c>
      <c r="G529" s="58" t="inlineStr">
        <is>
          <t>Extrait de Parfum</t>
        </is>
      </c>
      <c r="H529" s="58" t="inlineStr">
        <is>
          <t>Amber · Unisex Fragrance</t>
        </is>
      </c>
      <c r="I529" s="58" t="inlineStr">
        <is>
          <t>Orza Extrait de Parfum Linea TT 100ml – Luxury Unisex Niche Perfume</t>
        </is>
      </c>
      <c r="J529" s="58" t="inlineStr">
        <is>
          <t>100ml</t>
        </is>
      </c>
      <c r="K529" s="58" t="n">
        <v>164.99</v>
      </c>
      <c r="L529" s="58" t="inlineStr">
        <is>
          <t>tiziana terenzi orza linea tt</t>
        </is>
      </c>
      <c r="M529" s="58" t="inlineStr">
        <is>
          <t>tiziana terenzi orza linea tt uk</t>
        </is>
      </c>
      <c r="N529" s="58" t="inlineStr">
        <is>
          <t>buy tiziana terenzi orza linea tt online</t>
        </is>
      </c>
      <c r="O529" s="58" t="inlineStr">
        <is>
          <t>tiziana terenzi orza linea tt price</t>
        </is>
      </c>
      <c r="P529" s="58" t="inlineStr">
        <is>
          <t>tiziana terenzi orza linea tt extrait de parfum</t>
        </is>
      </c>
      <c r="Q529" s="59">
        <f>IF(L529="","",IFERROR(INDEX('Semrush Data'!$A$1:$Z$20000,MATCH(L529,'Semrush Data'!$A$1:$A$20000,0),MATCH("Volume",'Semrush Data'!$A$1:$Z$1,0)),""))</f>
        <v/>
      </c>
      <c r="R529" s="59">
        <f>IF(M529="","",IFERROR(INDEX('Semrush Data'!$A$1:$Z$20000,MATCH(M529,'Semrush Data'!$A$1:$A$20000,0),MATCH("Volume",'Semrush Data'!$A$1:$Z$1,0)),""))</f>
        <v/>
      </c>
      <c r="S529" s="59">
        <f>IF(N529="","",IFERROR(INDEX('Semrush Data'!$A$1:$Z$20000,MATCH(N529,'Semrush Data'!$A$1:$A$20000,0),MATCH("Volume",'Semrush Data'!$A$1:$Z$1,0)),""))</f>
        <v/>
      </c>
      <c r="T529" s="59">
        <f>IF(O529="","",IFERROR(INDEX('Semrush Data'!$A$1:$Z$20000,MATCH(O529,'Semrush Data'!$A$1:$A$20000,0),MATCH("Volume",'Semrush Data'!$A$1:$Z$1,0)),""))</f>
        <v/>
      </c>
      <c r="U529" s="59">
        <f>IF(P529="","",IFERROR(INDEX('Semrush Data'!$A$1:$Z$20000,MATCH(P529,'Semrush Data'!$A$1:$A$20000,0),MATCH("Volume",'Semrush Data'!$A$1:$Z$1,0)),""))</f>
        <v/>
      </c>
      <c r="V529" s="60">
        <f>IF(COUNT(Q529:U529)=0,L529,IF(MAX(Q529:U529)=0,L529,INDEX(L529:P529,MATCH(MAX(Q529:U529),Q529:U529,0))))</f>
        <v/>
      </c>
      <c r="W529" s="59">
        <f>IFERROR(INDEX('Semrush Data'!$A$1:$Z$20000,MATCH(V529,'Semrush Data'!$A$1:$A$20000,0),MATCH("Volume",'Semrush Data'!$A$1:$Z$1,0)),"")</f>
        <v/>
      </c>
      <c r="X529" s="59">
        <f>IFERROR(INDEX('Semrush Data'!$A$1:$Z$20000,MATCH(V529,'Semrush Data'!$A$1:$A$20000,0),MATCH("Keyword Difficulty*",'Semrush Data'!$A$1:$Z$1,0)),"")</f>
        <v/>
      </c>
      <c r="Y529" s="61">
        <f>IFERROR(INDEX('Semrush Data'!$A$1:$Z$20000,MATCH(V529,'Semrush Data'!$A$1:$A$20000,0),MATCH("CPC*",'Semrush Data'!$A$1:$Z$1,0)),"")</f>
        <v/>
      </c>
      <c r="Z529" s="58" t="inlineStr">
        <is>
          <t>tiziana terenzi perfume · amber perfume uk</t>
        </is>
      </c>
      <c r="AA529" s="58" t="n"/>
      <c r="AB529" s="58" t="inlineStr">
        <is>
          <t>Orza Extrait de Parfum Linea TT</t>
        </is>
      </c>
      <c r="AC529" s="58" t="inlineStr">
        <is>
          <t>Orza Extrait de Parfum Linea TT | Buy Online UK | Swansura</t>
        </is>
      </c>
      <c r="AD529" s="58">
        <f>LEN(AC529)</f>
        <v/>
      </c>
      <c r="AE529" s="58" t="inlineStr">
        <is>
          <t>Buy Orza Extrait de Parfum Linea TT online in the UK at Swansura. An amber unisex extrait de parfum, 100ml. 100% authentic, fast UK delivery, free over £50.</t>
        </is>
      </c>
      <c r="AF529" s="58">
        <f>LEN(AE529)</f>
        <v/>
      </c>
    </row>
    <row r="530" ht="15" customHeight="1" s="37">
      <c r="A530" s="58" t="inlineStr">
        <is>
          <t>FR-370</t>
        </is>
      </c>
      <c r="B530" s="58" t="inlineStr">
        <is>
          <t>Fragrance Catalogue</t>
        </is>
      </c>
      <c r="C530" s="58" t="n">
        <v>370</v>
      </c>
      <c r="D530" s="58" t="inlineStr">
        <is>
          <t>Tiziana Terenzi</t>
        </is>
      </c>
      <c r="E530" s="58" t="n"/>
      <c r="F530" s="58" t="inlineStr">
        <is>
          <t>Fragrance</t>
        </is>
      </c>
      <c r="G530" s="58" t="inlineStr">
        <is>
          <t>Extrait de Parfum</t>
        </is>
      </c>
      <c r="H530" s="58" t="inlineStr">
        <is>
          <t>Amber · Unisex Fragrance</t>
        </is>
      </c>
      <c r="I530" s="58" t="inlineStr">
        <is>
          <t>Porpora Extrait de Parfum 100ml – Luna Collection Red Moon Luxury Perfume</t>
        </is>
      </c>
      <c r="J530" s="58" t="inlineStr">
        <is>
          <t>100ml</t>
        </is>
      </c>
      <c r="K530" s="58" t="n">
        <v>99.98999999999999</v>
      </c>
      <c r="L530" s="58" t="inlineStr">
        <is>
          <t>tiziana terenzi porpora</t>
        </is>
      </c>
      <c r="M530" s="58" t="inlineStr">
        <is>
          <t>tiziana terenzi porpora uk</t>
        </is>
      </c>
      <c r="N530" s="58" t="inlineStr">
        <is>
          <t>buy tiziana terenzi porpora online</t>
        </is>
      </c>
      <c r="O530" s="58" t="inlineStr">
        <is>
          <t>tiziana terenzi porpora price</t>
        </is>
      </c>
      <c r="P530" s="58" t="inlineStr">
        <is>
          <t>tiziana terenzi porpora extrait de parfum</t>
        </is>
      </c>
      <c r="Q530" s="59">
        <f>IF(L530="","",IFERROR(INDEX('Semrush Data'!$A$1:$Z$20000,MATCH(L530,'Semrush Data'!$A$1:$A$20000,0),MATCH("Volume",'Semrush Data'!$A$1:$Z$1,0)),""))</f>
        <v/>
      </c>
      <c r="R530" s="59">
        <f>IF(M530="","",IFERROR(INDEX('Semrush Data'!$A$1:$Z$20000,MATCH(M530,'Semrush Data'!$A$1:$A$20000,0),MATCH("Volume",'Semrush Data'!$A$1:$Z$1,0)),""))</f>
        <v/>
      </c>
      <c r="S530" s="59">
        <f>IF(N530="","",IFERROR(INDEX('Semrush Data'!$A$1:$Z$20000,MATCH(N530,'Semrush Data'!$A$1:$A$20000,0),MATCH("Volume",'Semrush Data'!$A$1:$Z$1,0)),""))</f>
        <v/>
      </c>
      <c r="T530" s="59">
        <f>IF(O530="","",IFERROR(INDEX('Semrush Data'!$A$1:$Z$20000,MATCH(O530,'Semrush Data'!$A$1:$A$20000,0),MATCH("Volume",'Semrush Data'!$A$1:$Z$1,0)),""))</f>
        <v/>
      </c>
      <c r="U530" s="59">
        <f>IF(P530="","",IFERROR(INDEX('Semrush Data'!$A$1:$Z$20000,MATCH(P530,'Semrush Data'!$A$1:$A$20000,0),MATCH("Volume",'Semrush Data'!$A$1:$Z$1,0)),""))</f>
        <v/>
      </c>
      <c r="V530" s="60">
        <f>IF(COUNT(Q530:U530)=0,L530,IF(MAX(Q530:U530)=0,L530,INDEX(L530:P530,MATCH(MAX(Q530:U530),Q530:U530,0))))</f>
        <v/>
      </c>
      <c r="W530" s="59">
        <f>IFERROR(INDEX('Semrush Data'!$A$1:$Z$20000,MATCH(V530,'Semrush Data'!$A$1:$A$20000,0),MATCH("Volume",'Semrush Data'!$A$1:$Z$1,0)),"")</f>
        <v/>
      </c>
      <c r="X530" s="59">
        <f>IFERROR(INDEX('Semrush Data'!$A$1:$Z$20000,MATCH(V530,'Semrush Data'!$A$1:$A$20000,0),MATCH("Keyword Difficulty*",'Semrush Data'!$A$1:$Z$1,0)),"")</f>
        <v/>
      </c>
      <c r="Y530" s="61">
        <f>IFERROR(INDEX('Semrush Data'!$A$1:$Z$20000,MATCH(V530,'Semrush Data'!$A$1:$A$20000,0),MATCH("CPC*",'Semrush Data'!$A$1:$Z$1,0)),"")</f>
        <v/>
      </c>
      <c r="Z530" s="58" t="inlineStr">
        <is>
          <t>tiziana terenzi perfume · amber perfume uk</t>
        </is>
      </c>
      <c r="AA530" s="58" t="inlineStr">
        <is>
          <t>tiziana terenzi porpora extrait de parfum · tiziana terenzi porpora perfume · tiziana terenzi porpora extrait de parfum 100ml · tiziana terenzi porpora extrait · tiziana terenzi porpora review · tiziana terenzi porpora notes</t>
        </is>
      </c>
      <c r="AB530" s="58" t="inlineStr">
        <is>
          <t>Porpora Extrait de Parfum</t>
        </is>
      </c>
      <c r="AC530" s="58" t="inlineStr">
        <is>
          <t>Porpora Extrait de Parfum | Buy Online UK | Swansura</t>
        </is>
      </c>
      <c r="AD530" s="58">
        <f>LEN(AC530)</f>
        <v/>
      </c>
      <c r="AE530" s="58" t="inlineStr">
        <is>
          <t>Buy Porpora Extrait de Parfum online in the UK at Swansura. An amber unisex extrait de parfum, 100ml. 100% authentic, fast UK delivery, free over £50.</t>
        </is>
      </c>
      <c r="AF530" s="58">
        <f>LEN(AE530)</f>
        <v/>
      </c>
    </row>
    <row r="531" ht="15" customHeight="1" s="37">
      <c r="A531" s="58" t="inlineStr">
        <is>
          <t>FR-371</t>
        </is>
      </c>
      <c r="B531" s="58" t="inlineStr">
        <is>
          <t>Fragrance Catalogue</t>
        </is>
      </c>
      <c r="C531" s="58" t="n">
        <v>371</v>
      </c>
      <c r="D531" s="58" t="inlineStr">
        <is>
          <t>Tiziana Terenzi</t>
        </is>
      </c>
      <c r="E531" s="58" t="n"/>
      <c r="F531" s="58" t="inlineStr">
        <is>
          <t>Fragrance</t>
        </is>
      </c>
      <c r="G531" s="58" t="inlineStr">
        <is>
          <t>Extrait de Parfum</t>
        </is>
      </c>
      <c r="H531" s="58" t="inlineStr">
        <is>
          <t>Amber · Unisex Fragrance</t>
        </is>
      </c>
      <c r="I531" s="58" t="inlineStr">
        <is>
          <t>Saiph Extrait de Parfum 100ml – Luna Stars Gold Luxury Unisex Perfume</t>
        </is>
      </c>
      <c r="J531" s="58" t="inlineStr">
        <is>
          <t>100ml</t>
        </is>
      </c>
      <c r="K531" s="58" t="n">
        <v>134.99</v>
      </c>
      <c r="L531" s="58" t="inlineStr">
        <is>
          <t>tiziana terenzi saiph</t>
        </is>
      </c>
      <c r="M531" s="58" t="inlineStr">
        <is>
          <t>tiziana terenzi saiph uk</t>
        </is>
      </c>
      <c r="N531" s="58" t="inlineStr">
        <is>
          <t>buy tiziana terenzi saiph online</t>
        </is>
      </c>
      <c r="O531" s="58" t="inlineStr">
        <is>
          <t>tiziana terenzi saiph price</t>
        </is>
      </c>
      <c r="P531" s="58" t="inlineStr">
        <is>
          <t>tiziana terenzi saiph extrait de parfum</t>
        </is>
      </c>
      <c r="Q531" s="59">
        <f>IF(L531="","",IFERROR(INDEX('Semrush Data'!$A$1:$Z$20000,MATCH(L531,'Semrush Data'!$A$1:$A$20000,0),MATCH("Volume",'Semrush Data'!$A$1:$Z$1,0)),""))</f>
        <v/>
      </c>
      <c r="R531" s="59">
        <f>IF(M531="","",IFERROR(INDEX('Semrush Data'!$A$1:$Z$20000,MATCH(M531,'Semrush Data'!$A$1:$A$20000,0),MATCH("Volume",'Semrush Data'!$A$1:$Z$1,0)),""))</f>
        <v/>
      </c>
      <c r="S531" s="59">
        <f>IF(N531="","",IFERROR(INDEX('Semrush Data'!$A$1:$Z$20000,MATCH(N531,'Semrush Data'!$A$1:$A$20000,0),MATCH("Volume",'Semrush Data'!$A$1:$Z$1,0)),""))</f>
        <v/>
      </c>
      <c r="T531" s="59">
        <f>IF(O531="","",IFERROR(INDEX('Semrush Data'!$A$1:$Z$20000,MATCH(O531,'Semrush Data'!$A$1:$A$20000,0),MATCH("Volume",'Semrush Data'!$A$1:$Z$1,0)),""))</f>
        <v/>
      </c>
      <c r="U531" s="59">
        <f>IF(P531="","",IFERROR(INDEX('Semrush Data'!$A$1:$Z$20000,MATCH(P531,'Semrush Data'!$A$1:$A$20000,0),MATCH("Volume",'Semrush Data'!$A$1:$Z$1,0)),""))</f>
        <v/>
      </c>
      <c r="V531" s="60">
        <f>IF(COUNT(Q531:U531)=0,L531,IF(MAX(Q531:U531)=0,L531,INDEX(L531:P531,MATCH(MAX(Q531:U531),Q531:U531,0))))</f>
        <v/>
      </c>
      <c r="W531" s="59">
        <f>IFERROR(INDEX('Semrush Data'!$A$1:$Z$20000,MATCH(V531,'Semrush Data'!$A$1:$A$20000,0),MATCH("Volume",'Semrush Data'!$A$1:$Z$1,0)),"")</f>
        <v/>
      </c>
      <c r="X531" s="59">
        <f>IFERROR(INDEX('Semrush Data'!$A$1:$Z$20000,MATCH(V531,'Semrush Data'!$A$1:$A$20000,0),MATCH("Keyword Difficulty*",'Semrush Data'!$A$1:$Z$1,0)),"")</f>
        <v/>
      </c>
      <c r="Y531" s="61">
        <f>IFERROR(INDEX('Semrush Data'!$A$1:$Z$20000,MATCH(V531,'Semrush Data'!$A$1:$A$20000,0),MATCH("CPC*",'Semrush Data'!$A$1:$Z$1,0)),"")</f>
        <v/>
      </c>
      <c r="Z531" s="58" t="inlineStr">
        <is>
          <t>tiziana terenzi perfume · amber perfume uk</t>
        </is>
      </c>
      <c r="AA531" s="58" t="inlineStr">
        <is>
          <t>tiziana terenzi saiph extrait de parfum · tiziana terenzi saiph review · tiziana terenzi saiph extrait de parfum 100ml · tiziana terenzi saiph perfume · tiziana terenzi saiph price · tiziana terenzi saiph extrait</t>
        </is>
      </c>
      <c r="AB531" s="58" t="inlineStr">
        <is>
          <t>Saiph Extrait de Parfum</t>
        </is>
      </c>
      <c r="AC531" s="58" t="inlineStr">
        <is>
          <t>Saiph Extrait de Parfum | Buy Online UK | Swansura</t>
        </is>
      </c>
      <c r="AD531" s="58">
        <f>LEN(AC531)</f>
        <v/>
      </c>
      <c r="AE531" s="58" t="inlineStr">
        <is>
          <t>Buy Saiph Extrait de Parfum online in the UK at Swansura. An amber unisex extrait de parfum, 100ml. 100% authentic, fast UK delivery, free over £50.</t>
        </is>
      </c>
      <c r="AF531" s="58">
        <f>LEN(AE531)</f>
        <v/>
      </c>
    </row>
    <row r="532" ht="15" customHeight="1" s="37">
      <c r="A532" s="58" t="inlineStr">
        <is>
          <t>FR-372</t>
        </is>
      </c>
      <c r="B532" s="58" t="inlineStr">
        <is>
          <t>Fragrance Catalogue</t>
        </is>
      </c>
      <c r="C532" s="58" t="n">
        <v>372</v>
      </c>
      <c r="D532" s="58" t="inlineStr">
        <is>
          <t>Tiziana Terenzi</t>
        </is>
      </c>
      <c r="E532" s="58" t="n"/>
      <c r="F532" s="58" t="inlineStr">
        <is>
          <t>Fragrance</t>
        </is>
      </c>
      <c r="G532" s="58" t="inlineStr">
        <is>
          <t>Extrait de Parfum</t>
        </is>
      </c>
      <c r="H532" s="58" t="inlineStr">
        <is>
          <t>Aquatic · Unisex Fragrance</t>
        </is>
      </c>
      <c r="I532" s="58" t="inlineStr">
        <is>
          <t>Sea Stars Collection Deriva Extrait De Parfum 100ML</t>
        </is>
      </c>
      <c r="J532" s="58" t="inlineStr">
        <is>
          <t>100ML</t>
        </is>
      </c>
      <c r="K532" s="58" t="n">
        <v>119.99</v>
      </c>
      <c r="L532" s="58" t="inlineStr">
        <is>
          <t>tiziana terenzi sea stars collection deriva</t>
        </is>
      </c>
      <c r="M532" s="58" t="inlineStr">
        <is>
          <t>tiziana terenzi sea stars collection deriva uk</t>
        </is>
      </c>
      <c r="N532" s="58" t="inlineStr">
        <is>
          <t>buy tiziana terenzi sea stars collection deriva online</t>
        </is>
      </c>
      <c r="O532" s="58" t="inlineStr">
        <is>
          <t>tiziana terenzi sea stars collection deriva price</t>
        </is>
      </c>
      <c r="P532" s="58" t="inlineStr">
        <is>
          <t>tiziana terenzi sea stars collection deriva extrait de parfum</t>
        </is>
      </c>
      <c r="Q532" s="59">
        <f>IF(L532="","",IFERROR(INDEX('Semrush Data'!$A$1:$Z$20000,MATCH(L532,'Semrush Data'!$A$1:$A$20000,0),MATCH("Volume",'Semrush Data'!$A$1:$Z$1,0)),""))</f>
        <v/>
      </c>
      <c r="R532" s="59">
        <f>IF(M532="","",IFERROR(INDEX('Semrush Data'!$A$1:$Z$20000,MATCH(M532,'Semrush Data'!$A$1:$A$20000,0),MATCH("Volume",'Semrush Data'!$A$1:$Z$1,0)),""))</f>
        <v/>
      </c>
      <c r="S532" s="59">
        <f>IF(N532="","",IFERROR(INDEX('Semrush Data'!$A$1:$Z$20000,MATCH(N532,'Semrush Data'!$A$1:$A$20000,0),MATCH("Volume",'Semrush Data'!$A$1:$Z$1,0)),""))</f>
        <v/>
      </c>
      <c r="T532" s="59">
        <f>IF(O532="","",IFERROR(INDEX('Semrush Data'!$A$1:$Z$20000,MATCH(O532,'Semrush Data'!$A$1:$A$20000,0),MATCH("Volume",'Semrush Data'!$A$1:$Z$1,0)),""))</f>
        <v/>
      </c>
      <c r="U532" s="59">
        <f>IF(P532="","",IFERROR(INDEX('Semrush Data'!$A$1:$Z$20000,MATCH(P532,'Semrush Data'!$A$1:$A$20000,0),MATCH("Volume",'Semrush Data'!$A$1:$Z$1,0)),""))</f>
        <v/>
      </c>
      <c r="V532" s="60">
        <f>IF(COUNT(Q532:U532)=0,L532,IF(MAX(Q532:U532)=0,L532,INDEX(L532:P532,MATCH(MAX(Q532:U532),Q532:U532,0))))</f>
        <v/>
      </c>
      <c r="W532" s="59">
        <f>IFERROR(INDEX('Semrush Data'!$A$1:$Z$20000,MATCH(V532,'Semrush Data'!$A$1:$A$20000,0),MATCH("Volume",'Semrush Data'!$A$1:$Z$1,0)),"")</f>
        <v/>
      </c>
      <c r="X532" s="59">
        <f>IFERROR(INDEX('Semrush Data'!$A$1:$Z$20000,MATCH(V532,'Semrush Data'!$A$1:$A$20000,0),MATCH("Keyword Difficulty*",'Semrush Data'!$A$1:$Z$1,0)),"")</f>
        <v/>
      </c>
      <c r="Y532" s="61">
        <f>IFERROR(INDEX('Semrush Data'!$A$1:$Z$20000,MATCH(V532,'Semrush Data'!$A$1:$A$20000,0),MATCH("CPC*",'Semrush Data'!$A$1:$Z$1,0)),"")</f>
        <v/>
      </c>
      <c r="Z532" s="58" t="inlineStr">
        <is>
          <t>tiziana terenzi perfume · aquatic perfume uk</t>
        </is>
      </c>
      <c r="AA532" s="58" t="n"/>
      <c r="AB532" s="58" t="inlineStr">
        <is>
          <t>Sea Stars Collection Deriva Extrait De Parfum</t>
        </is>
      </c>
      <c r="AC532" s="58" t="inlineStr">
        <is>
          <t>Sea Stars Collection Deriva Extrait De Parfum | Swansura UK</t>
        </is>
      </c>
      <c r="AD532" s="58">
        <f>LEN(AC532)</f>
        <v/>
      </c>
      <c r="AE532" s="58" t="inlineStr">
        <is>
          <t>Buy Sea Stars Collection Deriva Extrait De Parfum online in the UK at Swansura. An aquatic unisex extrait de parfum. 100% authentic, free UK delivery over £50.</t>
        </is>
      </c>
      <c r="AF532" s="58">
        <f>LEN(AE532)</f>
        <v/>
      </c>
    </row>
    <row r="533" ht="15" customHeight="1" s="37">
      <c r="A533" s="58" t="inlineStr">
        <is>
          <t>FR-373</t>
        </is>
      </c>
      <c r="B533" s="58" t="inlineStr">
        <is>
          <t>Fragrance Catalogue</t>
        </is>
      </c>
      <c r="C533" s="58" t="n">
        <v>373</v>
      </c>
      <c r="D533" s="58" t="inlineStr">
        <is>
          <t>Tiziana Terenzi</t>
        </is>
      </c>
      <c r="E533" s="58" t="n"/>
      <c r="F533" s="58" t="inlineStr">
        <is>
          <t>Fragrance</t>
        </is>
      </c>
      <c r="G533" s="58" t="inlineStr">
        <is>
          <t>Extrait de Parfum</t>
        </is>
      </c>
      <c r="H533" s="58" t="inlineStr">
        <is>
          <t>Amber · Unisex Fragrance</t>
        </is>
      </c>
      <c r="I533" s="58" t="inlineStr">
        <is>
          <t>White Fire Extrait de Parfum 100ml – Luxury Unisex Niche Perfume</t>
        </is>
      </c>
      <c r="J533" s="58" t="inlineStr">
        <is>
          <t>100ml</t>
        </is>
      </c>
      <c r="K533" s="58" t="n">
        <v>76.98999999999999</v>
      </c>
      <c r="L533" s="58" t="inlineStr">
        <is>
          <t>tiziana terenzi white fire</t>
        </is>
      </c>
      <c r="M533" s="58" t="inlineStr">
        <is>
          <t>tiziana terenzi white fire uk</t>
        </is>
      </c>
      <c r="N533" s="58" t="inlineStr">
        <is>
          <t>buy tiziana terenzi white fire online</t>
        </is>
      </c>
      <c r="O533" s="58" t="inlineStr">
        <is>
          <t>tiziana terenzi white fire price</t>
        </is>
      </c>
      <c r="P533" s="58" t="inlineStr">
        <is>
          <t>tiziana terenzi white fire extrait de parfum</t>
        </is>
      </c>
      <c r="Q533" s="59">
        <f>IF(L533="","",IFERROR(INDEX('Semrush Data'!$A$1:$Z$20000,MATCH(L533,'Semrush Data'!$A$1:$A$20000,0),MATCH("Volume",'Semrush Data'!$A$1:$Z$1,0)),""))</f>
        <v/>
      </c>
      <c r="R533" s="59">
        <f>IF(M533="","",IFERROR(INDEX('Semrush Data'!$A$1:$Z$20000,MATCH(M533,'Semrush Data'!$A$1:$A$20000,0),MATCH("Volume",'Semrush Data'!$A$1:$Z$1,0)),""))</f>
        <v/>
      </c>
      <c r="S533" s="59">
        <f>IF(N533="","",IFERROR(INDEX('Semrush Data'!$A$1:$Z$20000,MATCH(N533,'Semrush Data'!$A$1:$A$20000,0),MATCH("Volume",'Semrush Data'!$A$1:$Z$1,0)),""))</f>
        <v/>
      </c>
      <c r="T533" s="59">
        <f>IF(O533="","",IFERROR(INDEX('Semrush Data'!$A$1:$Z$20000,MATCH(O533,'Semrush Data'!$A$1:$A$20000,0),MATCH("Volume",'Semrush Data'!$A$1:$Z$1,0)),""))</f>
        <v/>
      </c>
      <c r="U533" s="59">
        <f>IF(P533="","",IFERROR(INDEX('Semrush Data'!$A$1:$Z$20000,MATCH(P533,'Semrush Data'!$A$1:$A$20000,0),MATCH("Volume",'Semrush Data'!$A$1:$Z$1,0)),""))</f>
        <v/>
      </c>
      <c r="V533" s="60">
        <f>IF(COUNT(Q533:U533)=0,L533,IF(MAX(Q533:U533)=0,L533,INDEX(L533:P533,MATCH(MAX(Q533:U533),Q533:U533,0))))</f>
        <v/>
      </c>
      <c r="W533" s="59">
        <f>IFERROR(INDEX('Semrush Data'!$A$1:$Z$20000,MATCH(V533,'Semrush Data'!$A$1:$A$20000,0),MATCH("Volume",'Semrush Data'!$A$1:$Z$1,0)),"")</f>
        <v/>
      </c>
      <c r="X533" s="59">
        <f>IFERROR(INDEX('Semrush Data'!$A$1:$Z$20000,MATCH(V533,'Semrush Data'!$A$1:$A$20000,0),MATCH("Keyword Difficulty*",'Semrush Data'!$A$1:$Z$1,0)),"")</f>
        <v/>
      </c>
      <c r="Y533" s="61">
        <f>IFERROR(INDEX('Semrush Data'!$A$1:$Z$20000,MATCH(V533,'Semrush Data'!$A$1:$A$20000,0),MATCH("CPC*",'Semrush Data'!$A$1:$Z$1,0)),"")</f>
        <v/>
      </c>
      <c r="Z533" s="58" t="inlineStr">
        <is>
          <t>tiziana terenzi perfume · amber perfume uk</t>
        </is>
      </c>
      <c r="AA533" s="58" t="inlineStr">
        <is>
          <t>tiziana terenzi white fire review · tiziana terenzi white fire extrait de parfum · tiziana terenzi white fire price · tiziana terenzi white fire extrait · tiziana terenzi white fire notes · tiziana terenzi white fire edp 100ml</t>
        </is>
      </c>
      <c r="AB533" s="58" t="inlineStr">
        <is>
          <t>White Fire Extrait de Parfum</t>
        </is>
      </c>
      <c r="AC533" s="58" t="inlineStr">
        <is>
          <t>White Fire Extrait de Parfum | Buy Online UK | Swansura</t>
        </is>
      </c>
      <c r="AD533" s="58">
        <f>LEN(AC533)</f>
        <v/>
      </c>
      <c r="AE533" s="58" t="inlineStr">
        <is>
          <t>Buy White Fire Extrait de Parfum online in the UK at Swansura. An amber unisex extrait de parfum, 100ml. 100% authentic, fast UK delivery, free over £50.</t>
        </is>
      </c>
      <c r="AF533" s="58">
        <f>LEN(AE533)</f>
        <v/>
      </c>
    </row>
    <row r="534" ht="15" customHeight="1" s="37">
      <c r="A534" s="58" t="inlineStr">
        <is>
          <t>FR-374</t>
        </is>
      </c>
      <c r="B534" s="58" t="inlineStr">
        <is>
          <t>Fragrance Catalogue</t>
        </is>
      </c>
      <c r="C534" s="58" t="n">
        <v>374</v>
      </c>
      <c r="D534" s="58" t="inlineStr">
        <is>
          <t>Tomford</t>
        </is>
      </c>
      <c r="E534" s="58" t="inlineStr">
        <is>
          <t>Spelling: Tom Ford</t>
        </is>
      </c>
      <c r="F534" s="58" t="inlineStr">
        <is>
          <t>Fragrance</t>
        </is>
      </c>
      <c r="G534" s="58" t="inlineStr">
        <is>
          <t>Eau de Parfum (EDP)</t>
        </is>
      </c>
      <c r="H534" s="58" t="inlineStr">
        <is>
          <t>Amber · Unisex Fragrance</t>
        </is>
      </c>
      <c r="I534" s="58" t="inlineStr">
        <is>
          <t>Tom Ford Neroli Portofino Eau de Parfum 50ml Unisex</t>
        </is>
      </c>
      <c r="J534" s="58" t="inlineStr">
        <is>
          <t>50ml</t>
        </is>
      </c>
      <c r="K534" s="58" t="n">
        <v>164.99</v>
      </c>
      <c r="L534" s="58" t="inlineStr">
        <is>
          <t>tom ford neroli portofino</t>
        </is>
      </c>
      <c r="M534" s="58" t="inlineStr">
        <is>
          <t>tom ford neroli portofino uk</t>
        </is>
      </c>
      <c r="N534" s="58" t="inlineStr">
        <is>
          <t>buy tom ford neroli portofino online</t>
        </is>
      </c>
      <c r="O534" s="58" t="inlineStr">
        <is>
          <t>tom ford neroli portofino price</t>
        </is>
      </c>
      <c r="P534" s="58" t="inlineStr">
        <is>
          <t>tom ford neroli portofino eau de parfum</t>
        </is>
      </c>
      <c r="Q534" s="59">
        <f>IF(L534="","",IFERROR(INDEX('Semrush Data'!$A$1:$Z$20000,MATCH(L534,'Semrush Data'!$A$1:$A$20000,0),MATCH("Volume",'Semrush Data'!$A$1:$Z$1,0)),""))</f>
        <v/>
      </c>
      <c r="R534" s="59">
        <f>IF(M534="","",IFERROR(INDEX('Semrush Data'!$A$1:$Z$20000,MATCH(M534,'Semrush Data'!$A$1:$A$20000,0),MATCH("Volume",'Semrush Data'!$A$1:$Z$1,0)),""))</f>
        <v/>
      </c>
      <c r="S534" s="59">
        <f>IF(N534="","",IFERROR(INDEX('Semrush Data'!$A$1:$Z$20000,MATCH(N534,'Semrush Data'!$A$1:$A$20000,0),MATCH("Volume",'Semrush Data'!$A$1:$Z$1,0)),""))</f>
        <v/>
      </c>
      <c r="T534" s="59">
        <f>IF(O534="","",IFERROR(INDEX('Semrush Data'!$A$1:$Z$20000,MATCH(O534,'Semrush Data'!$A$1:$A$20000,0),MATCH("Volume",'Semrush Data'!$A$1:$Z$1,0)),""))</f>
        <v/>
      </c>
      <c r="U534" s="59">
        <f>IF(P534="","",IFERROR(INDEX('Semrush Data'!$A$1:$Z$20000,MATCH(P534,'Semrush Data'!$A$1:$A$20000,0),MATCH("Volume",'Semrush Data'!$A$1:$Z$1,0)),""))</f>
        <v/>
      </c>
      <c r="V534" s="60">
        <f>IF(COUNT(Q534:U534)=0,L534,IF(MAX(Q534:U534)=0,L534,INDEX(L534:P534,MATCH(MAX(Q534:U534),Q534:U534,0))))</f>
        <v/>
      </c>
      <c r="W534" s="59">
        <f>IFERROR(INDEX('Semrush Data'!$A$1:$Z$20000,MATCH(V534,'Semrush Data'!$A$1:$A$20000,0),MATCH("Volume",'Semrush Data'!$A$1:$Z$1,0)),"")</f>
        <v/>
      </c>
      <c r="X534" s="59">
        <f>IFERROR(INDEX('Semrush Data'!$A$1:$Z$20000,MATCH(V534,'Semrush Data'!$A$1:$A$20000,0),MATCH("Keyword Difficulty*",'Semrush Data'!$A$1:$Z$1,0)),"")</f>
        <v/>
      </c>
      <c r="Y534" s="61">
        <f>IFERROR(INDEX('Semrush Data'!$A$1:$Z$20000,MATCH(V534,'Semrush Data'!$A$1:$A$20000,0),MATCH("CPC*",'Semrush Data'!$A$1:$Z$1,0)),"")</f>
        <v/>
      </c>
      <c r="Z534" s="58" t="inlineStr">
        <is>
          <t>tom ford perfume · amber perfume uk</t>
        </is>
      </c>
      <c r="AA534" s="58" t="n"/>
      <c r="AB534" s="58" t="inlineStr">
        <is>
          <t>Tom Ford Neroli Portofino Eau de Parfum Unisex</t>
        </is>
      </c>
      <c r="AC534" s="58" t="inlineStr">
        <is>
          <t>Tom Ford Neroli Portofino Eau de Parfum Unisex | Swansura UK</t>
        </is>
      </c>
      <c r="AD534" s="58">
        <f>LEN(AC534)</f>
        <v/>
      </c>
      <c r="AE534" s="58" t="inlineStr">
        <is>
          <t>Buy Tom Ford Neroli Portofino Eau de Parfum Unisex online in the UK at Swansura. An amber unisex eau de parfum, 50ml. 100% authentic, free UK delivery over £50.</t>
        </is>
      </c>
      <c r="AF534" s="58">
        <f>LEN(AE534)</f>
        <v/>
      </c>
    </row>
    <row r="535" ht="15" customHeight="1" s="37">
      <c r="A535" s="58" t="inlineStr">
        <is>
          <t>FR-375</t>
        </is>
      </c>
      <c r="B535" s="58" t="inlineStr">
        <is>
          <t>Fragrance Catalogue</t>
        </is>
      </c>
      <c r="C535" s="58" t="n">
        <v>375</v>
      </c>
      <c r="D535" s="58" t="inlineStr">
        <is>
          <t>Tomford</t>
        </is>
      </c>
      <c r="E535" s="58" t="inlineStr">
        <is>
          <t>Spelling: Tom Ford</t>
        </is>
      </c>
      <c r="F535" s="58" t="inlineStr">
        <is>
          <t>Fragrance</t>
        </is>
      </c>
      <c r="G535" s="58" t="inlineStr">
        <is>
          <t>Eau de Parfum (EDP)</t>
        </is>
      </c>
      <c r="H535" s="58" t="inlineStr">
        <is>
          <t>Oud · Unisex Fragrance</t>
        </is>
      </c>
      <c r="I535" s="58" t="inlineStr">
        <is>
          <t>Tom Ford Oud Wood Eau de Parfum 50ml Unisex</t>
        </is>
      </c>
      <c r="J535" s="58" t="inlineStr">
        <is>
          <t>50ml</t>
        </is>
      </c>
      <c r="K535" s="58" t="n">
        <v>124.99</v>
      </c>
      <c r="L535" s="58" t="inlineStr">
        <is>
          <t>tom ford oud wood</t>
        </is>
      </c>
      <c r="M535" s="58" t="inlineStr">
        <is>
          <t>tom ford oud wood uk</t>
        </is>
      </c>
      <c r="N535" s="58" t="inlineStr">
        <is>
          <t>buy tom ford oud wood online</t>
        </is>
      </c>
      <c r="O535" s="58" t="inlineStr">
        <is>
          <t>tom ford oud wood price</t>
        </is>
      </c>
      <c r="P535" s="58" t="inlineStr">
        <is>
          <t>tom ford oud wood eau de parfum</t>
        </is>
      </c>
      <c r="Q535" s="59">
        <f>IF(L535="","",IFERROR(INDEX('Semrush Data'!$A$1:$Z$20000,MATCH(L535,'Semrush Data'!$A$1:$A$20000,0),MATCH("Volume",'Semrush Data'!$A$1:$Z$1,0)),""))</f>
        <v/>
      </c>
      <c r="R535" s="59">
        <f>IF(M535="","",IFERROR(INDEX('Semrush Data'!$A$1:$Z$20000,MATCH(M535,'Semrush Data'!$A$1:$A$20000,0),MATCH("Volume",'Semrush Data'!$A$1:$Z$1,0)),""))</f>
        <v/>
      </c>
      <c r="S535" s="59">
        <f>IF(N535="","",IFERROR(INDEX('Semrush Data'!$A$1:$Z$20000,MATCH(N535,'Semrush Data'!$A$1:$A$20000,0),MATCH("Volume",'Semrush Data'!$A$1:$Z$1,0)),""))</f>
        <v/>
      </c>
      <c r="T535" s="59">
        <f>IF(O535="","",IFERROR(INDEX('Semrush Data'!$A$1:$Z$20000,MATCH(O535,'Semrush Data'!$A$1:$A$20000,0),MATCH("Volume",'Semrush Data'!$A$1:$Z$1,0)),""))</f>
        <v/>
      </c>
      <c r="U535" s="59">
        <f>IF(P535="","",IFERROR(INDEX('Semrush Data'!$A$1:$Z$20000,MATCH(P535,'Semrush Data'!$A$1:$A$20000,0),MATCH("Volume",'Semrush Data'!$A$1:$Z$1,0)),""))</f>
        <v/>
      </c>
      <c r="V535" s="60">
        <f>IF(COUNT(Q535:U535)=0,L535,IF(MAX(Q535:U535)=0,L535,INDEX(L535:P535,MATCH(MAX(Q535:U535),Q535:U535,0))))</f>
        <v/>
      </c>
      <c r="W535" s="59">
        <f>IFERROR(INDEX('Semrush Data'!$A$1:$Z$20000,MATCH(V535,'Semrush Data'!$A$1:$A$20000,0),MATCH("Volume",'Semrush Data'!$A$1:$Z$1,0)),"")</f>
        <v/>
      </c>
      <c r="X535" s="59">
        <f>IFERROR(INDEX('Semrush Data'!$A$1:$Z$20000,MATCH(V535,'Semrush Data'!$A$1:$A$20000,0),MATCH("Keyword Difficulty*",'Semrush Data'!$A$1:$Z$1,0)),"")</f>
        <v/>
      </c>
      <c r="Y535" s="61">
        <f>IFERROR(INDEX('Semrush Data'!$A$1:$Z$20000,MATCH(V535,'Semrush Data'!$A$1:$A$20000,0),MATCH("CPC*",'Semrush Data'!$A$1:$Z$1,0)),"")</f>
        <v/>
      </c>
      <c r="Z535" s="58" t="inlineStr">
        <is>
          <t>tom ford perfume · oud perfume uk</t>
        </is>
      </c>
      <c r="AA535" s="58" t="n"/>
      <c r="AB535" s="58" t="inlineStr">
        <is>
          <t>Tom Ford Oud Wood Eau de Parfum Unisex</t>
        </is>
      </c>
      <c r="AC535" s="58" t="inlineStr">
        <is>
          <t>Tom Ford Oud Wood Unisex EDP 50ml | Buy Online UK | Swansura</t>
        </is>
      </c>
      <c r="AD535" s="58">
        <f>LEN(AC535)</f>
        <v/>
      </c>
      <c r="AE535" s="58" t="inlineStr">
        <is>
          <t>Buy Tom Ford Oud Wood Eau de Parfum Unisex online in the UK at Swansura. An oud unisex eau de parfum, 50ml. 100% authentic, fast UK delivery, free over £50.</t>
        </is>
      </c>
      <c r="AF535" s="58">
        <f>LEN(AE535)</f>
        <v/>
      </c>
    </row>
    <row r="536" ht="15" customHeight="1" s="37">
      <c r="A536" s="58" t="inlineStr">
        <is>
          <t>FR-376</t>
        </is>
      </c>
      <c r="B536" s="58" t="inlineStr">
        <is>
          <t>Fragrance Catalogue</t>
        </is>
      </c>
      <c r="C536" s="58" t="n">
        <v>376</v>
      </c>
      <c r="D536" s="58" t="inlineStr">
        <is>
          <t>Tomford</t>
        </is>
      </c>
      <c r="E536" s="58" t="inlineStr">
        <is>
          <t>Spelling: Tom Ford</t>
        </is>
      </c>
      <c r="F536" s="58" t="inlineStr">
        <is>
          <t>Fragrance</t>
        </is>
      </c>
      <c r="G536" s="58" t="inlineStr">
        <is>
          <t>Eau de Parfum (EDP)</t>
        </is>
      </c>
      <c r="H536" s="58" t="inlineStr">
        <is>
          <t>Oud · Unisex Fragrance</t>
        </is>
      </c>
      <c r="I536" s="58" t="inlineStr">
        <is>
          <t>Tom Ford Oud Wood Eau de Parfum Unisex</t>
        </is>
      </c>
      <c r="J536" s="58" t="inlineStr">
        <is>
          <t>Not specified</t>
        </is>
      </c>
      <c r="K536" s="58" t="n">
        <v>115.99</v>
      </c>
      <c r="L536" s="58" t="inlineStr">
        <is>
          <t>tom ford oud wood</t>
        </is>
      </c>
      <c r="M536" s="58" t="inlineStr">
        <is>
          <t>tom ford oud wood uk</t>
        </is>
      </c>
      <c r="N536" s="58" t="inlineStr">
        <is>
          <t>buy tom ford oud wood online</t>
        </is>
      </c>
      <c r="O536" s="58" t="inlineStr">
        <is>
          <t>tom ford oud wood price</t>
        </is>
      </c>
      <c r="P536" s="58" t="inlineStr">
        <is>
          <t>tom ford oud wood eau de parfum</t>
        </is>
      </c>
      <c r="Q536" s="59">
        <f>IF(L536="","",IFERROR(INDEX('Semrush Data'!$A$1:$Z$20000,MATCH(L536,'Semrush Data'!$A$1:$A$20000,0),MATCH("Volume",'Semrush Data'!$A$1:$Z$1,0)),""))</f>
        <v/>
      </c>
      <c r="R536" s="59">
        <f>IF(M536="","",IFERROR(INDEX('Semrush Data'!$A$1:$Z$20000,MATCH(M536,'Semrush Data'!$A$1:$A$20000,0),MATCH("Volume",'Semrush Data'!$A$1:$Z$1,0)),""))</f>
        <v/>
      </c>
      <c r="S536" s="59">
        <f>IF(N536="","",IFERROR(INDEX('Semrush Data'!$A$1:$Z$20000,MATCH(N536,'Semrush Data'!$A$1:$A$20000,0),MATCH("Volume",'Semrush Data'!$A$1:$Z$1,0)),""))</f>
        <v/>
      </c>
      <c r="T536" s="59">
        <f>IF(O536="","",IFERROR(INDEX('Semrush Data'!$A$1:$Z$20000,MATCH(O536,'Semrush Data'!$A$1:$A$20000,0),MATCH("Volume",'Semrush Data'!$A$1:$Z$1,0)),""))</f>
        <v/>
      </c>
      <c r="U536" s="59">
        <f>IF(P536="","",IFERROR(INDEX('Semrush Data'!$A$1:$Z$20000,MATCH(P536,'Semrush Data'!$A$1:$A$20000,0),MATCH("Volume",'Semrush Data'!$A$1:$Z$1,0)),""))</f>
        <v/>
      </c>
      <c r="V536" s="60">
        <f>IF(COUNT(Q536:U536)=0,L536,IF(MAX(Q536:U536)=0,L536,INDEX(L536:P536,MATCH(MAX(Q536:U536),Q536:U536,0))))</f>
        <v/>
      </c>
      <c r="W536" s="59">
        <f>IFERROR(INDEX('Semrush Data'!$A$1:$Z$20000,MATCH(V536,'Semrush Data'!$A$1:$A$20000,0),MATCH("Volume",'Semrush Data'!$A$1:$Z$1,0)),"")</f>
        <v/>
      </c>
      <c r="X536" s="59">
        <f>IFERROR(INDEX('Semrush Data'!$A$1:$Z$20000,MATCH(V536,'Semrush Data'!$A$1:$A$20000,0),MATCH("Keyword Difficulty*",'Semrush Data'!$A$1:$Z$1,0)),"")</f>
        <v/>
      </c>
      <c r="Y536" s="61">
        <f>IFERROR(INDEX('Semrush Data'!$A$1:$Z$20000,MATCH(V536,'Semrush Data'!$A$1:$A$20000,0),MATCH("CPC*",'Semrush Data'!$A$1:$Z$1,0)),"")</f>
        <v/>
      </c>
      <c r="Z536" s="58" t="inlineStr">
        <is>
          <t>tom ford perfume · oud perfume uk</t>
        </is>
      </c>
      <c r="AA536" s="58" t="n"/>
      <c r="AB536" s="58" t="inlineStr">
        <is>
          <t>Tom Ford Oud Wood Eau de Parfum Unisex</t>
        </is>
      </c>
      <c r="AC536" s="58" t="inlineStr">
        <is>
          <t>Tom Ford Oud Wood Eau de Parfum Unisex | Swansura UK</t>
        </is>
      </c>
      <c r="AD536" s="58">
        <f>LEN(AC536)</f>
        <v/>
      </c>
      <c r="AE536" s="58" t="inlineStr">
        <is>
          <t>Buy Tom Ford Oud Wood Eau de Parfum Unisex online in the UK at Swansura. An oud unisex eau de parfum, Notspecified. 100% authentic, free UK delivery over £50.</t>
        </is>
      </c>
      <c r="AF536" s="58">
        <f>LEN(AE536)</f>
        <v/>
      </c>
    </row>
    <row r="537" ht="15" customHeight="1" s="37">
      <c r="A537" s="58" t="inlineStr">
        <is>
          <t>FR-377</t>
        </is>
      </c>
      <c r="B537" s="58" t="inlineStr">
        <is>
          <t>Fragrance Catalogue</t>
        </is>
      </c>
      <c r="C537" s="58" t="n">
        <v>377</v>
      </c>
      <c r="D537" s="58" t="inlineStr">
        <is>
          <t>Tomford</t>
        </is>
      </c>
      <c r="E537" s="58" t="inlineStr">
        <is>
          <t>Spelling: Tom Ford</t>
        </is>
      </c>
      <c r="F537" s="58" t="inlineStr">
        <is>
          <t>Fragrance</t>
        </is>
      </c>
      <c r="G537" s="58" t="inlineStr">
        <is>
          <t>Eau de Parfum (EDP)</t>
        </is>
      </c>
      <c r="H537" s="58" t="inlineStr">
        <is>
          <t>Amber · Unisex Fragrance</t>
        </is>
      </c>
      <c r="I537" s="58" t="inlineStr">
        <is>
          <t>Tom Ford Ébène Fumé Eau de Parfum 50ml Unisex</t>
        </is>
      </c>
      <c r="J537" s="58" t="inlineStr">
        <is>
          <t>50ml</t>
        </is>
      </c>
      <c r="K537" s="58" t="n">
        <v>184.99</v>
      </c>
      <c r="L537" s="58" t="inlineStr">
        <is>
          <t>tom ford ebene fume</t>
        </is>
      </c>
      <c r="M537" s="58" t="inlineStr">
        <is>
          <t>tom ford ebene fume uk</t>
        </is>
      </c>
      <c r="N537" s="58" t="inlineStr">
        <is>
          <t>buy tom ford ebene fume online</t>
        </is>
      </c>
      <c r="O537" s="58" t="inlineStr">
        <is>
          <t>tom ford ebene fume price</t>
        </is>
      </c>
      <c r="P537" s="58" t="inlineStr">
        <is>
          <t>tom ford ebene fume eau de parfum</t>
        </is>
      </c>
      <c r="Q537" s="59">
        <f>IF(L537="","",IFERROR(INDEX('Semrush Data'!$A$1:$Z$20000,MATCH(L537,'Semrush Data'!$A$1:$A$20000,0),MATCH("Volume",'Semrush Data'!$A$1:$Z$1,0)),""))</f>
        <v/>
      </c>
      <c r="R537" s="59">
        <f>IF(M537="","",IFERROR(INDEX('Semrush Data'!$A$1:$Z$20000,MATCH(M537,'Semrush Data'!$A$1:$A$20000,0),MATCH("Volume",'Semrush Data'!$A$1:$Z$1,0)),""))</f>
        <v/>
      </c>
      <c r="S537" s="59">
        <f>IF(N537="","",IFERROR(INDEX('Semrush Data'!$A$1:$Z$20000,MATCH(N537,'Semrush Data'!$A$1:$A$20000,0),MATCH("Volume",'Semrush Data'!$A$1:$Z$1,0)),""))</f>
        <v/>
      </c>
      <c r="T537" s="59">
        <f>IF(O537="","",IFERROR(INDEX('Semrush Data'!$A$1:$Z$20000,MATCH(O537,'Semrush Data'!$A$1:$A$20000,0),MATCH("Volume",'Semrush Data'!$A$1:$Z$1,0)),""))</f>
        <v/>
      </c>
      <c r="U537" s="59">
        <f>IF(P537="","",IFERROR(INDEX('Semrush Data'!$A$1:$Z$20000,MATCH(P537,'Semrush Data'!$A$1:$A$20000,0),MATCH("Volume",'Semrush Data'!$A$1:$Z$1,0)),""))</f>
        <v/>
      </c>
      <c r="V537" s="60">
        <f>IF(COUNT(Q537:U537)=0,L537,IF(MAX(Q537:U537)=0,L537,INDEX(L537:P537,MATCH(MAX(Q537:U537),Q537:U537,0))))</f>
        <v/>
      </c>
      <c r="W537" s="59">
        <f>IFERROR(INDEX('Semrush Data'!$A$1:$Z$20000,MATCH(V537,'Semrush Data'!$A$1:$A$20000,0),MATCH("Volume",'Semrush Data'!$A$1:$Z$1,0)),"")</f>
        <v/>
      </c>
      <c r="X537" s="59">
        <f>IFERROR(INDEX('Semrush Data'!$A$1:$Z$20000,MATCH(V537,'Semrush Data'!$A$1:$A$20000,0),MATCH("Keyword Difficulty*",'Semrush Data'!$A$1:$Z$1,0)),"")</f>
        <v/>
      </c>
      <c r="Y537" s="61">
        <f>IFERROR(INDEX('Semrush Data'!$A$1:$Z$20000,MATCH(V537,'Semrush Data'!$A$1:$A$20000,0),MATCH("CPC*",'Semrush Data'!$A$1:$Z$1,0)),"")</f>
        <v/>
      </c>
      <c r="Z537" s="58" t="inlineStr">
        <is>
          <t>tom ford perfume · amber perfume uk</t>
        </is>
      </c>
      <c r="AA537" s="58" t="n"/>
      <c r="AB537" s="58" t="inlineStr">
        <is>
          <t>Tom Ford Ébène Fumé Eau de Parfum Unisex</t>
        </is>
      </c>
      <c r="AC537" s="58" t="inlineStr">
        <is>
          <t>Tom Ford Ébène Fumé Eau de Parfum Unisex | Swansura UK</t>
        </is>
      </c>
      <c r="AD537" s="58">
        <f>LEN(AC537)</f>
        <v/>
      </c>
      <c r="AE537" s="58" t="inlineStr">
        <is>
          <t>Buy Tom Ford Ébène Fumé Eau de Parfum Unisex online in the UK at Swansura. An amber unisex eau de parfum, 50ml. 100% authentic, fast UK delivery, free over £50.</t>
        </is>
      </c>
      <c r="AF537" s="58">
        <f>LEN(AE537)</f>
        <v/>
      </c>
    </row>
    <row r="538" ht="15" customHeight="1" s="37">
      <c r="A538" s="58" t="inlineStr">
        <is>
          <t>FR-378</t>
        </is>
      </c>
      <c r="B538" s="58" t="inlineStr">
        <is>
          <t>Fragrance Catalogue</t>
        </is>
      </c>
      <c r="C538" s="58" t="n">
        <v>378</v>
      </c>
      <c r="D538" s="58" t="inlineStr">
        <is>
          <t>Tomford</t>
        </is>
      </c>
      <c r="E538" s="58" t="inlineStr">
        <is>
          <t>Spelling: Tom Ford</t>
        </is>
      </c>
      <c r="F538" s="58" t="inlineStr">
        <is>
          <t>Fragrance</t>
        </is>
      </c>
      <c r="G538" s="58" t="inlineStr">
        <is>
          <t>Parfum</t>
        </is>
      </c>
      <c r="H538" s="58" t="inlineStr">
        <is>
          <t>Amber · Unisex Fragrance</t>
        </is>
      </c>
      <c r="I538" s="58" t="inlineStr">
        <is>
          <t>Tom Ford Black Orchid Parfum 100ml Unisex</t>
        </is>
      </c>
      <c r="J538" s="58" t="inlineStr">
        <is>
          <t>100ml</t>
        </is>
      </c>
      <c r="K538" s="58" t="n">
        <v>153.99</v>
      </c>
      <c r="L538" s="58" t="inlineStr">
        <is>
          <t>tom ford black orchid</t>
        </is>
      </c>
      <c r="M538" s="58" t="inlineStr">
        <is>
          <t>tom ford black orchid uk</t>
        </is>
      </c>
      <c r="N538" s="58" t="inlineStr">
        <is>
          <t>buy tom ford black orchid online</t>
        </is>
      </c>
      <c r="O538" s="58" t="inlineStr">
        <is>
          <t>tom ford black orchid price</t>
        </is>
      </c>
      <c r="P538" s="58" t="inlineStr">
        <is>
          <t>tom ford black orchid parfum</t>
        </is>
      </c>
      <c r="Q538" s="59">
        <f>IF(L538="","",IFERROR(INDEX('Semrush Data'!$A$1:$Z$20000,MATCH(L538,'Semrush Data'!$A$1:$A$20000,0),MATCH("Volume",'Semrush Data'!$A$1:$Z$1,0)),""))</f>
        <v/>
      </c>
      <c r="R538" s="59">
        <f>IF(M538="","",IFERROR(INDEX('Semrush Data'!$A$1:$Z$20000,MATCH(M538,'Semrush Data'!$A$1:$A$20000,0),MATCH("Volume",'Semrush Data'!$A$1:$Z$1,0)),""))</f>
        <v/>
      </c>
      <c r="S538" s="59">
        <f>IF(N538="","",IFERROR(INDEX('Semrush Data'!$A$1:$Z$20000,MATCH(N538,'Semrush Data'!$A$1:$A$20000,0),MATCH("Volume",'Semrush Data'!$A$1:$Z$1,0)),""))</f>
        <v/>
      </c>
      <c r="T538" s="59">
        <f>IF(O538="","",IFERROR(INDEX('Semrush Data'!$A$1:$Z$20000,MATCH(O538,'Semrush Data'!$A$1:$A$20000,0),MATCH("Volume",'Semrush Data'!$A$1:$Z$1,0)),""))</f>
        <v/>
      </c>
      <c r="U538" s="59">
        <f>IF(P538="","",IFERROR(INDEX('Semrush Data'!$A$1:$Z$20000,MATCH(P538,'Semrush Data'!$A$1:$A$20000,0),MATCH("Volume",'Semrush Data'!$A$1:$Z$1,0)),""))</f>
        <v/>
      </c>
      <c r="V538" s="60">
        <f>IF(COUNT(Q538:U538)=0,L538,IF(MAX(Q538:U538)=0,L538,INDEX(L538:P538,MATCH(MAX(Q538:U538),Q538:U538,0))))</f>
        <v/>
      </c>
      <c r="W538" s="59">
        <f>IFERROR(INDEX('Semrush Data'!$A$1:$Z$20000,MATCH(V538,'Semrush Data'!$A$1:$A$20000,0),MATCH("Volume",'Semrush Data'!$A$1:$Z$1,0)),"")</f>
        <v/>
      </c>
      <c r="X538" s="59">
        <f>IFERROR(INDEX('Semrush Data'!$A$1:$Z$20000,MATCH(V538,'Semrush Data'!$A$1:$A$20000,0),MATCH("Keyword Difficulty*",'Semrush Data'!$A$1:$Z$1,0)),"")</f>
        <v/>
      </c>
      <c r="Y538" s="61">
        <f>IFERROR(INDEX('Semrush Data'!$A$1:$Z$20000,MATCH(V538,'Semrush Data'!$A$1:$A$20000,0),MATCH("CPC*",'Semrush Data'!$A$1:$Z$1,0)),"")</f>
        <v/>
      </c>
      <c r="Z538" s="58" t="inlineStr">
        <is>
          <t>tom ford perfume · amber perfume uk</t>
        </is>
      </c>
      <c r="AA538" s="58" t="n"/>
      <c r="AB538" s="58" t="inlineStr">
        <is>
          <t>Tom Ford Black Orchid Parfum Unisex</t>
        </is>
      </c>
      <c r="AC538" s="58" t="inlineStr">
        <is>
          <t>Tom Ford Black Orchid Unisex Parfum 100ml | Swansura UK</t>
        </is>
      </c>
      <c r="AD538" s="58">
        <f>LEN(AC538)</f>
        <v/>
      </c>
      <c r="AE538" s="58" t="inlineStr">
        <is>
          <t>Buy Tom Ford Black Orchid Parfum Unisex online in the UK at Swansura. An amber unisex parfum, 100ml. 100% authentic, fast UK delivery, free over £50.</t>
        </is>
      </c>
      <c r="AF538" s="58">
        <f>LEN(AE538)</f>
        <v/>
      </c>
    </row>
    <row r="539" ht="15" customHeight="1" s="37">
      <c r="A539" s="58" t="inlineStr">
        <is>
          <t>FR-379</t>
        </is>
      </c>
      <c r="B539" s="58" t="inlineStr">
        <is>
          <t>Fragrance Catalogue</t>
        </is>
      </c>
      <c r="C539" s="58" t="n">
        <v>379</v>
      </c>
      <c r="D539" s="58" t="inlineStr">
        <is>
          <t>Tomford</t>
        </is>
      </c>
      <c r="E539" s="58" t="inlineStr">
        <is>
          <t>Spelling: Tom Ford</t>
        </is>
      </c>
      <c r="F539" s="58" t="inlineStr">
        <is>
          <t>Fragrance</t>
        </is>
      </c>
      <c r="G539" s="58" t="inlineStr">
        <is>
          <t>Parfum</t>
        </is>
      </c>
      <c r="H539" s="58" t="inlineStr">
        <is>
          <t>Woody · Men's Fragrance</t>
        </is>
      </c>
      <c r="I539" s="58" t="inlineStr">
        <is>
          <t>Tom Ford Noir Extreme Parfum 100ml for Men</t>
        </is>
      </c>
      <c r="J539" s="58" t="inlineStr">
        <is>
          <t>100ml</t>
        </is>
      </c>
      <c r="K539" s="58" t="n">
        <v>144.99</v>
      </c>
      <c r="L539" s="58" t="inlineStr">
        <is>
          <t>tom ford noir extreme</t>
        </is>
      </c>
      <c r="M539" s="58" t="inlineStr">
        <is>
          <t>tom ford noir extreme uk</t>
        </is>
      </c>
      <c r="N539" s="58" t="inlineStr">
        <is>
          <t>buy tom ford noir extreme online</t>
        </is>
      </c>
      <c r="O539" s="58" t="inlineStr">
        <is>
          <t>tom ford noir extreme price</t>
        </is>
      </c>
      <c r="P539" s="58" t="inlineStr">
        <is>
          <t>tom ford noir extreme parfum</t>
        </is>
      </c>
      <c r="Q539" s="59">
        <f>IF(L539="","",IFERROR(INDEX('Semrush Data'!$A$1:$Z$20000,MATCH(L539,'Semrush Data'!$A$1:$A$20000,0),MATCH("Volume",'Semrush Data'!$A$1:$Z$1,0)),""))</f>
        <v/>
      </c>
      <c r="R539" s="59">
        <f>IF(M539="","",IFERROR(INDEX('Semrush Data'!$A$1:$Z$20000,MATCH(M539,'Semrush Data'!$A$1:$A$20000,0),MATCH("Volume",'Semrush Data'!$A$1:$Z$1,0)),""))</f>
        <v/>
      </c>
      <c r="S539" s="59">
        <f>IF(N539="","",IFERROR(INDEX('Semrush Data'!$A$1:$Z$20000,MATCH(N539,'Semrush Data'!$A$1:$A$20000,0),MATCH("Volume",'Semrush Data'!$A$1:$Z$1,0)),""))</f>
        <v/>
      </c>
      <c r="T539" s="59">
        <f>IF(O539="","",IFERROR(INDEX('Semrush Data'!$A$1:$Z$20000,MATCH(O539,'Semrush Data'!$A$1:$A$20000,0),MATCH("Volume",'Semrush Data'!$A$1:$Z$1,0)),""))</f>
        <v/>
      </c>
      <c r="U539" s="59">
        <f>IF(P539="","",IFERROR(INDEX('Semrush Data'!$A$1:$Z$20000,MATCH(P539,'Semrush Data'!$A$1:$A$20000,0),MATCH("Volume",'Semrush Data'!$A$1:$Z$1,0)),""))</f>
        <v/>
      </c>
      <c r="V539" s="60">
        <f>IF(COUNT(Q539:U539)=0,L539,IF(MAX(Q539:U539)=0,L539,INDEX(L539:P539,MATCH(MAX(Q539:U539),Q539:U539,0))))</f>
        <v/>
      </c>
      <c r="W539" s="59">
        <f>IFERROR(INDEX('Semrush Data'!$A$1:$Z$20000,MATCH(V539,'Semrush Data'!$A$1:$A$20000,0),MATCH("Volume",'Semrush Data'!$A$1:$Z$1,0)),"")</f>
        <v/>
      </c>
      <c r="X539" s="59">
        <f>IFERROR(INDEX('Semrush Data'!$A$1:$Z$20000,MATCH(V539,'Semrush Data'!$A$1:$A$20000,0),MATCH("Keyword Difficulty*",'Semrush Data'!$A$1:$Z$1,0)),"")</f>
        <v/>
      </c>
      <c r="Y539" s="61">
        <f>IFERROR(INDEX('Semrush Data'!$A$1:$Z$20000,MATCH(V539,'Semrush Data'!$A$1:$A$20000,0),MATCH("CPC*",'Semrush Data'!$A$1:$Z$1,0)),"")</f>
        <v/>
      </c>
      <c r="Z539" s="58" t="inlineStr">
        <is>
          <t>tom ford perfume · tom ford perfume for men · woody perfume for men uk</t>
        </is>
      </c>
      <c r="AA539" s="58" t="n"/>
      <c r="AB539" s="58" t="inlineStr">
        <is>
          <t>Tom Ford Noir Extreme Parfum for Men</t>
        </is>
      </c>
      <c r="AC539" s="58" t="inlineStr">
        <is>
          <t>Tom Ford Noir Extreme Parfum for Men | Swansura UK</t>
        </is>
      </c>
      <c r="AD539" s="58">
        <f>LEN(AC539)</f>
        <v/>
      </c>
      <c r="AE539" s="58" t="inlineStr">
        <is>
          <t>Buy Tom Ford Noir Extreme Parfum for Men online in the UK at Swansura. A woody men's parfum, 100ml. 100% authentic, fast UK delivery, free over £50.</t>
        </is>
      </c>
      <c r="AF539" s="58">
        <f>LEN(AE539)</f>
        <v/>
      </c>
    </row>
    <row r="540" ht="15" customHeight="1" s="37">
      <c r="A540" s="58" t="inlineStr">
        <is>
          <t>FR-380</t>
        </is>
      </c>
      <c r="B540" s="58" t="inlineStr">
        <is>
          <t>Fragrance Catalogue</t>
        </is>
      </c>
      <c r="C540" s="58" t="n">
        <v>380</v>
      </c>
      <c r="D540" s="58" t="inlineStr">
        <is>
          <t>Trussardi</t>
        </is>
      </c>
      <c r="E540" s="58" t="n"/>
      <c r="F540" s="58" t="inlineStr">
        <is>
          <t>Fragrance</t>
        </is>
      </c>
      <c r="G540" s="58" t="inlineStr">
        <is>
          <t>Eau de Parfum (EDP)</t>
        </is>
      </c>
      <c r="H540" s="58" t="inlineStr">
        <is>
          <t>Floral · Women's Fragrance</t>
        </is>
      </c>
      <c r="I540" s="58" t="inlineStr">
        <is>
          <t>Trussardi Pure Jasmine Eau de Parfum 7ml Miniature – Women's Floral Fragrance</t>
        </is>
      </c>
      <c r="J540" s="58" t="inlineStr">
        <is>
          <t>7ml</t>
        </is>
      </c>
      <c r="K540" s="58" t="n">
        <v>14.99</v>
      </c>
      <c r="L540" s="58" t="inlineStr">
        <is>
          <t>trussardi pure jasmine miniature</t>
        </is>
      </c>
      <c r="M540" s="58" t="inlineStr">
        <is>
          <t>trussardi pure jasmine miniature uk</t>
        </is>
      </c>
      <c r="N540" s="58" t="inlineStr">
        <is>
          <t>buy trussardi pure jasmine miniature online</t>
        </is>
      </c>
      <c r="O540" s="58" t="inlineStr">
        <is>
          <t>trussardi pure jasmine miniature price</t>
        </is>
      </c>
      <c r="P540" s="58" t="inlineStr">
        <is>
          <t>trussardi pure jasmine miniature eau de parfum</t>
        </is>
      </c>
      <c r="Q540" s="59">
        <f>IF(L540="","",IFERROR(INDEX('Semrush Data'!$A$1:$Z$20000,MATCH(L540,'Semrush Data'!$A$1:$A$20000,0),MATCH("Volume",'Semrush Data'!$A$1:$Z$1,0)),""))</f>
        <v/>
      </c>
      <c r="R540" s="59">
        <f>IF(M540="","",IFERROR(INDEX('Semrush Data'!$A$1:$Z$20000,MATCH(M540,'Semrush Data'!$A$1:$A$20000,0),MATCH("Volume",'Semrush Data'!$A$1:$Z$1,0)),""))</f>
        <v/>
      </c>
      <c r="S540" s="59">
        <f>IF(N540="","",IFERROR(INDEX('Semrush Data'!$A$1:$Z$20000,MATCH(N540,'Semrush Data'!$A$1:$A$20000,0),MATCH("Volume",'Semrush Data'!$A$1:$Z$1,0)),""))</f>
        <v/>
      </c>
      <c r="T540" s="59">
        <f>IF(O540="","",IFERROR(INDEX('Semrush Data'!$A$1:$Z$20000,MATCH(O540,'Semrush Data'!$A$1:$A$20000,0),MATCH("Volume",'Semrush Data'!$A$1:$Z$1,0)),""))</f>
        <v/>
      </c>
      <c r="U540" s="59">
        <f>IF(P540="","",IFERROR(INDEX('Semrush Data'!$A$1:$Z$20000,MATCH(P540,'Semrush Data'!$A$1:$A$20000,0),MATCH("Volume",'Semrush Data'!$A$1:$Z$1,0)),""))</f>
        <v/>
      </c>
      <c r="V540" s="60">
        <f>IF(COUNT(Q540:U540)=0,L540,IF(MAX(Q540:U540)=0,L540,INDEX(L540:P540,MATCH(MAX(Q540:U540),Q540:U540,0))))</f>
        <v/>
      </c>
      <c r="W540" s="59">
        <f>IFERROR(INDEX('Semrush Data'!$A$1:$Z$20000,MATCH(V540,'Semrush Data'!$A$1:$A$20000,0),MATCH("Volume",'Semrush Data'!$A$1:$Z$1,0)),"")</f>
        <v/>
      </c>
      <c r="X540" s="59">
        <f>IFERROR(INDEX('Semrush Data'!$A$1:$Z$20000,MATCH(V540,'Semrush Data'!$A$1:$A$20000,0),MATCH("Keyword Difficulty*",'Semrush Data'!$A$1:$Z$1,0)),"")</f>
        <v/>
      </c>
      <c r="Y540" s="61">
        <f>IFERROR(INDEX('Semrush Data'!$A$1:$Z$20000,MATCH(V540,'Semrush Data'!$A$1:$A$20000,0),MATCH("CPC*",'Semrush Data'!$A$1:$Z$1,0)),"")</f>
        <v/>
      </c>
      <c r="Z540" s="58" t="inlineStr">
        <is>
          <t>trussardi perfume · trussardi perfume for women · floral perfume for women uk</t>
        </is>
      </c>
      <c r="AA540" s="58" t="n"/>
      <c r="AB540" s="58" t="inlineStr">
        <is>
          <t>Trussardi Pure Jasmine Eau de Parfum Miniature</t>
        </is>
      </c>
      <c r="AC540" s="58" t="inlineStr">
        <is>
          <t>Trussardi Pure Jasmine Eau de Parfum Miniature | Swansura UK</t>
        </is>
      </c>
      <c r="AD540" s="58">
        <f>LEN(AC540)</f>
        <v/>
      </c>
      <c r="AE540" s="58" t="inlineStr">
        <is>
          <t>Buy Trussardi Pure Jasmine Eau de Parfum Miniature online in the UK at Swansura. A floral women's eau de parfum, 7ml. 100% authentic, free UK delivery over £50.</t>
        </is>
      </c>
      <c r="AF540" s="58">
        <f>LEN(AE540)</f>
        <v/>
      </c>
    </row>
    <row r="541" ht="15" customHeight="1" s="37">
      <c r="A541" s="58" t="inlineStr">
        <is>
          <t>FR-381</t>
        </is>
      </c>
      <c r="B541" s="58" t="inlineStr">
        <is>
          <t>Fragrance Catalogue</t>
        </is>
      </c>
      <c r="C541" s="58" t="n">
        <v>381</v>
      </c>
      <c r="D541" s="58" t="inlineStr">
        <is>
          <t>Trussardi</t>
        </is>
      </c>
      <c r="E541" s="58" t="n"/>
      <c r="F541" s="58" t="inlineStr">
        <is>
          <t>Fragrance</t>
        </is>
      </c>
      <c r="G541" s="58" t="inlineStr">
        <is>
          <t>Eau de Parfum (EDP)</t>
        </is>
      </c>
      <c r="H541" s="58" t="inlineStr">
        <is>
          <t>Floral · Women's Fragrance</t>
        </is>
      </c>
      <c r="I541" s="58" t="inlineStr">
        <is>
          <t>Trussardi Pure Jasmine Eau de Parfum 90ml – Women's Floral Fragrance</t>
        </is>
      </c>
      <c r="J541" s="58" t="inlineStr">
        <is>
          <t>90ml</t>
        </is>
      </c>
      <c r="K541" s="58" t="n">
        <v>42.99</v>
      </c>
      <c r="L541" s="58" t="inlineStr">
        <is>
          <t>trussardi pure jasmine</t>
        </is>
      </c>
      <c r="M541" s="58" t="inlineStr">
        <is>
          <t>trussardi pure jasmine uk</t>
        </is>
      </c>
      <c r="N541" s="58" t="inlineStr">
        <is>
          <t>buy trussardi pure jasmine online</t>
        </is>
      </c>
      <c r="O541" s="58" t="inlineStr">
        <is>
          <t>trussardi pure jasmine price</t>
        </is>
      </c>
      <c r="P541" s="58" t="inlineStr">
        <is>
          <t>trussardi pure jasmine eau de parfum</t>
        </is>
      </c>
      <c r="Q541" s="59">
        <f>IF(L541="","",IFERROR(INDEX('Semrush Data'!$A$1:$Z$20000,MATCH(L541,'Semrush Data'!$A$1:$A$20000,0),MATCH("Volume",'Semrush Data'!$A$1:$Z$1,0)),""))</f>
        <v/>
      </c>
      <c r="R541" s="59">
        <f>IF(M541="","",IFERROR(INDEX('Semrush Data'!$A$1:$Z$20000,MATCH(M541,'Semrush Data'!$A$1:$A$20000,0),MATCH("Volume",'Semrush Data'!$A$1:$Z$1,0)),""))</f>
        <v/>
      </c>
      <c r="S541" s="59">
        <f>IF(N541="","",IFERROR(INDEX('Semrush Data'!$A$1:$Z$20000,MATCH(N541,'Semrush Data'!$A$1:$A$20000,0),MATCH("Volume",'Semrush Data'!$A$1:$Z$1,0)),""))</f>
        <v/>
      </c>
      <c r="T541" s="59">
        <f>IF(O541="","",IFERROR(INDEX('Semrush Data'!$A$1:$Z$20000,MATCH(O541,'Semrush Data'!$A$1:$A$20000,0),MATCH("Volume",'Semrush Data'!$A$1:$Z$1,0)),""))</f>
        <v/>
      </c>
      <c r="U541" s="59">
        <f>IF(P541="","",IFERROR(INDEX('Semrush Data'!$A$1:$Z$20000,MATCH(P541,'Semrush Data'!$A$1:$A$20000,0),MATCH("Volume",'Semrush Data'!$A$1:$Z$1,0)),""))</f>
        <v/>
      </c>
      <c r="V541" s="60">
        <f>IF(COUNT(Q541:U541)=0,L541,IF(MAX(Q541:U541)=0,L541,INDEX(L541:P541,MATCH(MAX(Q541:U541),Q541:U541,0))))</f>
        <v/>
      </c>
      <c r="W541" s="59">
        <f>IFERROR(INDEX('Semrush Data'!$A$1:$Z$20000,MATCH(V541,'Semrush Data'!$A$1:$A$20000,0),MATCH("Volume",'Semrush Data'!$A$1:$Z$1,0)),"")</f>
        <v/>
      </c>
      <c r="X541" s="59">
        <f>IFERROR(INDEX('Semrush Data'!$A$1:$Z$20000,MATCH(V541,'Semrush Data'!$A$1:$A$20000,0),MATCH("Keyword Difficulty*",'Semrush Data'!$A$1:$Z$1,0)),"")</f>
        <v/>
      </c>
      <c r="Y541" s="61">
        <f>IFERROR(INDEX('Semrush Data'!$A$1:$Z$20000,MATCH(V541,'Semrush Data'!$A$1:$A$20000,0),MATCH("CPC*",'Semrush Data'!$A$1:$Z$1,0)),"")</f>
        <v/>
      </c>
      <c r="Z541" s="58" t="inlineStr">
        <is>
          <t>trussardi perfume · trussardi perfume for women · floral perfume for women uk</t>
        </is>
      </c>
      <c r="AA541" s="58" t="inlineStr">
        <is>
          <t>trussardi pure jasmine eau de parfum · trussardi pure jasmine review · trussardi pure jasmine price · trussardi pure jasmine edp · trussardi pure jasmine perfume · trussardi pure jasmine отзывы</t>
        </is>
      </c>
      <c r="AB541" s="58" t="inlineStr">
        <is>
          <t>Trussardi Pure Jasmine Eau de Parfum</t>
        </is>
      </c>
      <c r="AC541" s="58" t="inlineStr">
        <is>
          <t>Trussardi Pure Jasmine EDP 90ml | Buy Online UK | Swansura</t>
        </is>
      </c>
      <c r="AD541" s="58">
        <f>LEN(AC541)</f>
        <v/>
      </c>
      <c r="AE541" s="58" t="inlineStr">
        <is>
          <t>Buy Trussardi Pure Jasmine Eau de Parfum online in the UK at Swansura. A floral women's eau de parfum, 90ml. 100% authentic, fast UK delivery, free over £50.</t>
        </is>
      </c>
      <c r="AF541" s="58">
        <f>LEN(AE541)</f>
        <v/>
      </c>
    </row>
    <row r="542" ht="15" customHeight="1" s="37">
      <c r="A542" s="58" t="inlineStr">
        <is>
          <t>FR-382</t>
        </is>
      </c>
      <c r="B542" s="58" t="inlineStr">
        <is>
          <t>Fragrance Catalogue</t>
        </is>
      </c>
      <c r="C542" s="58" t="n">
        <v>382</v>
      </c>
      <c r="D542" s="58" t="inlineStr">
        <is>
          <t>Trussardi</t>
        </is>
      </c>
      <c r="E542" s="58" t="n"/>
      <c r="F542" s="58" t="inlineStr">
        <is>
          <t>Fragrance</t>
        </is>
      </c>
      <c r="G542" s="58" t="inlineStr">
        <is>
          <t>Eau de Toilette (EDT)</t>
        </is>
      </c>
      <c r="H542" s="58" t="inlineStr">
        <is>
          <t>Woody · Men's Fragrance</t>
        </is>
      </c>
      <c r="I542" s="58" t="inlineStr">
        <is>
          <t>Trussardi Black Extreme Eau de Toilette 7ml Miniature – Men's Woody Leather Fragrance</t>
        </is>
      </c>
      <c r="J542" s="58" t="inlineStr">
        <is>
          <t>7ml</t>
        </is>
      </c>
      <c r="K542" s="58" t="n">
        <v>14.99</v>
      </c>
      <c r="L542" s="58" t="inlineStr">
        <is>
          <t>trussardi black extreme miniature</t>
        </is>
      </c>
      <c r="M542" s="58" t="inlineStr">
        <is>
          <t>trussardi black extreme miniature uk</t>
        </is>
      </c>
      <c r="N542" s="58" t="inlineStr">
        <is>
          <t>buy trussardi black extreme miniature online</t>
        </is>
      </c>
      <c r="O542" s="58" t="inlineStr">
        <is>
          <t>trussardi black extreme miniature price</t>
        </is>
      </c>
      <c r="P542" s="58" t="inlineStr">
        <is>
          <t>trussardi black extreme miniature eau de toilette</t>
        </is>
      </c>
      <c r="Q542" s="59">
        <f>IF(L542="","",IFERROR(INDEX('Semrush Data'!$A$1:$Z$20000,MATCH(L542,'Semrush Data'!$A$1:$A$20000,0),MATCH("Volume",'Semrush Data'!$A$1:$Z$1,0)),""))</f>
        <v/>
      </c>
      <c r="R542" s="59">
        <f>IF(M542="","",IFERROR(INDEX('Semrush Data'!$A$1:$Z$20000,MATCH(M542,'Semrush Data'!$A$1:$A$20000,0),MATCH("Volume",'Semrush Data'!$A$1:$Z$1,0)),""))</f>
        <v/>
      </c>
      <c r="S542" s="59">
        <f>IF(N542="","",IFERROR(INDEX('Semrush Data'!$A$1:$Z$20000,MATCH(N542,'Semrush Data'!$A$1:$A$20000,0),MATCH("Volume",'Semrush Data'!$A$1:$Z$1,0)),""))</f>
        <v/>
      </c>
      <c r="T542" s="59">
        <f>IF(O542="","",IFERROR(INDEX('Semrush Data'!$A$1:$Z$20000,MATCH(O542,'Semrush Data'!$A$1:$A$20000,0),MATCH("Volume",'Semrush Data'!$A$1:$Z$1,0)),""))</f>
        <v/>
      </c>
      <c r="U542" s="59">
        <f>IF(P542="","",IFERROR(INDEX('Semrush Data'!$A$1:$Z$20000,MATCH(P542,'Semrush Data'!$A$1:$A$20000,0),MATCH("Volume",'Semrush Data'!$A$1:$Z$1,0)),""))</f>
        <v/>
      </c>
      <c r="V542" s="60">
        <f>IF(COUNT(Q542:U542)=0,L542,IF(MAX(Q542:U542)=0,L542,INDEX(L542:P542,MATCH(MAX(Q542:U542),Q542:U542,0))))</f>
        <v/>
      </c>
      <c r="W542" s="59">
        <f>IFERROR(INDEX('Semrush Data'!$A$1:$Z$20000,MATCH(V542,'Semrush Data'!$A$1:$A$20000,0),MATCH("Volume",'Semrush Data'!$A$1:$Z$1,0)),"")</f>
        <v/>
      </c>
      <c r="X542" s="59">
        <f>IFERROR(INDEX('Semrush Data'!$A$1:$Z$20000,MATCH(V542,'Semrush Data'!$A$1:$A$20000,0),MATCH("Keyword Difficulty*",'Semrush Data'!$A$1:$Z$1,0)),"")</f>
        <v/>
      </c>
      <c r="Y542" s="61">
        <f>IFERROR(INDEX('Semrush Data'!$A$1:$Z$20000,MATCH(V542,'Semrush Data'!$A$1:$A$20000,0),MATCH("CPC*",'Semrush Data'!$A$1:$Z$1,0)),"")</f>
        <v/>
      </c>
      <c r="Z542" s="58" t="inlineStr">
        <is>
          <t>trussardi perfume · trussardi perfume for men · woody perfume for men uk</t>
        </is>
      </c>
      <c r="AA542" s="58" t="n"/>
      <c r="AB542" s="58" t="inlineStr">
        <is>
          <t>Trussardi Black Extreme Eau de Toilette Miniature</t>
        </is>
      </c>
      <c r="AC542" s="58" t="inlineStr">
        <is>
          <t>Trussardi Black Extreme Miniature EDT 7ml | Swansura UK</t>
        </is>
      </c>
      <c r="AD542" s="58">
        <f>LEN(AC542)</f>
        <v/>
      </c>
      <c r="AE542" s="58" t="inlineStr">
        <is>
          <t>Buy Trussardi Black Extreme Eau de Toilette Miniature online in the UK at Swansura. A woody men's eau de toilette. 100% authentic, free UK delivery over £50.</t>
        </is>
      </c>
      <c r="AF542" s="58">
        <f>LEN(AE542)</f>
        <v/>
      </c>
    </row>
    <row r="543" ht="15" customHeight="1" s="37">
      <c r="A543" s="58" t="inlineStr">
        <is>
          <t>FR-383</t>
        </is>
      </c>
      <c r="B543" s="58" t="inlineStr">
        <is>
          <t>Fragrance Catalogue</t>
        </is>
      </c>
      <c r="C543" s="58" t="n">
        <v>383</v>
      </c>
      <c r="D543" s="58" t="inlineStr">
        <is>
          <t>Trussardi</t>
        </is>
      </c>
      <c r="E543" s="58" t="n"/>
      <c r="F543" s="58" t="inlineStr">
        <is>
          <t>Fragrance</t>
        </is>
      </c>
      <c r="G543" s="58" t="inlineStr">
        <is>
          <t>Eau de Toilette (EDT)</t>
        </is>
      </c>
      <c r="H543" s="58" t="inlineStr">
        <is>
          <t>Floral · Women's Fragrance</t>
        </is>
      </c>
      <c r="I543" s="58" t="inlineStr">
        <is>
          <t>Trussardi Delicate Rose Eau de Toilette – Women's Floral Fruity Fragrance</t>
        </is>
      </c>
      <c r="J543" s="58" t="inlineStr">
        <is>
          <t>50ml</t>
        </is>
      </c>
      <c r="K543" s="58" t="n">
        <v>42.99</v>
      </c>
      <c r="L543" s="58" t="inlineStr">
        <is>
          <t>trussardi delicate rose</t>
        </is>
      </c>
      <c r="M543" s="58" t="inlineStr">
        <is>
          <t>trussardi delicate rose uk</t>
        </is>
      </c>
      <c r="N543" s="58" t="inlineStr">
        <is>
          <t>buy trussardi delicate rose online</t>
        </is>
      </c>
      <c r="O543" s="58" t="inlineStr">
        <is>
          <t>trussardi delicate rose price</t>
        </is>
      </c>
      <c r="P543" s="58" t="inlineStr">
        <is>
          <t>trussardi delicate rose eau de toilette</t>
        </is>
      </c>
      <c r="Q543" s="59">
        <f>IF(L543="","",IFERROR(INDEX('Semrush Data'!$A$1:$Z$20000,MATCH(L543,'Semrush Data'!$A$1:$A$20000,0),MATCH("Volume",'Semrush Data'!$A$1:$Z$1,0)),""))</f>
        <v/>
      </c>
      <c r="R543" s="59">
        <f>IF(M543="","",IFERROR(INDEX('Semrush Data'!$A$1:$Z$20000,MATCH(M543,'Semrush Data'!$A$1:$A$20000,0),MATCH("Volume",'Semrush Data'!$A$1:$Z$1,0)),""))</f>
        <v/>
      </c>
      <c r="S543" s="59">
        <f>IF(N543="","",IFERROR(INDEX('Semrush Data'!$A$1:$Z$20000,MATCH(N543,'Semrush Data'!$A$1:$A$20000,0),MATCH("Volume",'Semrush Data'!$A$1:$Z$1,0)),""))</f>
        <v/>
      </c>
      <c r="T543" s="59">
        <f>IF(O543="","",IFERROR(INDEX('Semrush Data'!$A$1:$Z$20000,MATCH(O543,'Semrush Data'!$A$1:$A$20000,0),MATCH("Volume",'Semrush Data'!$A$1:$Z$1,0)),""))</f>
        <v/>
      </c>
      <c r="U543" s="59">
        <f>IF(P543="","",IFERROR(INDEX('Semrush Data'!$A$1:$Z$20000,MATCH(P543,'Semrush Data'!$A$1:$A$20000,0),MATCH("Volume",'Semrush Data'!$A$1:$Z$1,0)),""))</f>
        <v/>
      </c>
      <c r="V543" s="60">
        <f>IF(COUNT(Q543:U543)=0,L543,IF(MAX(Q543:U543)=0,L543,INDEX(L543:P543,MATCH(MAX(Q543:U543),Q543:U543,0))))</f>
        <v/>
      </c>
      <c r="W543" s="59">
        <f>IFERROR(INDEX('Semrush Data'!$A$1:$Z$20000,MATCH(V543,'Semrush Data'!$A$1:$A$20000,0),MATCH("Volume",'Semrush Data'!$A$1:$Z$1,0)),"")</f>
        <v/>
      </c>
      <c r="X543" s="59">
        <f>IFERROR(INDEX('Semrush Data'!$A$1:$Z$20000,MATCH(V543,'Semrush Data'!$A$1:$A$20000,0),MATCH("Keyword Difficulty*",'Semrush Data'!$A$1:$Z$1,0)),"")</f>
        <v/>
      </c>
      <c r="Y543" s="61">
        <f>IFERROR(INDEX('Semrush Data'!$A$1:$Z$20000,MATCH(V543,'Semrush Data'!$A$1:$A$20000,0),MATCH("CPC*",'Semrush Data'!$A$1:$Z$1,0)),"")</f>
        <v/>
      </c>
      <c r="Z543" s="58" t="inlineStr">
        <is>
          <t>trussardi perfume · trussardi perfume for women · floral perfume for women uk</t>
        </is>
      </c>
      <c r="AA543" s="58" t="inlineStr">
        <is>
          <t>trussardi delicate rose perfume · trussardi delicate rose price · trussardi delicate rose review · trussardi delicate rose edt · trussardi delicate rose notes · trussardi delicate rose 100ml</t>
        </is>
      </c>
      <c r="AB543" s="58" t="inlineStr">
        <is>
          <t>Trussardi Delicate Rose Eau de Toilette</t>
        </is>
      </c>
      <c r="AC543" s="58" t="inlineStr">
        <is>
          <t>Trussardi Delicate Rose EDT 50ml | Buy Online UK | Swansura</t>
        </is>
      </c>
      <c r="AD543" s="58">
        <f>LEN(AC543)</f>
        <v/>
      </c>
      <c r="AE543" s="58" t="inlineStr">
        <is>
          <t>Buy Trussardi Delicate Rose Eau de Toilette online in the UK at Swansura. A floral women's eau de toilette, 50ml. 100% authentic, free UK delivery over £50.</t>
        </is>
      </c>
      <c r="AF543" s="58">
        <f>LEN(AE543)</f>
        <v/>
      </c>
    </row>
    <row r="544" ht="15" customHeight="1" s="37">
      <c r="A544" s="58" t="inlineStr">
        <is>
          <t>FR-384</t>
        </is>
      </c>
      <c r="B544" s="58" t="inlineStr">
        <is>
          <t>Fragrance Catalogue</t>
        </is>
      </c>
      <c r="C544" s="58" t="n">
        <v>384</v>
      </c>
      <c r="D544" s="58" t="inlineStr">
        <is>
          <t>Trussardi</t>
        </is>
      </c>
      <c r="E544" s="58" t="n"/>
      <c r="F544" s="58" t="inlineStr">
        <is>
          <t>Gift Set</t>
        </is>
      </c>
      <c r="G544" s="58" t="inlineStr">
        <is>
          <t>Eau de Parfum (EDP)</t>
        </is>
      </c>
      <c r="H544" s="58" t="inlineStr">
        <is>
          <t>Floral · Unisex Fragrance</t>
        </is>
      </c>
      <c r="I544" s="58" t="inlineStr">
        <is>
          <t>Trussardi Pure Jasmine Lifestyle Mini Gift Set – Eau de Parfum 60ml + 10ml + 7ml</t>
        </is>
      </c>
      <c r="J544" s="58" t="inlineStr">
        <is>
          <t>60ml</t>
        </is>
      </c>
      <c r="K544" s="58" t="n">
        <v>29.99</v>
      </c>
      <c r="L544" s="58" t="inlineStr">
        <is>
          <t>trussardi pure jasmine lifestyle mini gift set</t>
        </is>
      </c>
      <c r="M544" s="58" t="inlineStr">
        <is>
          <t>trussardi pure jasmine lifestyle mini gift set uk</t>
        </is>
      </c>
      <c r="N544" s="58" t="inlineStr">
        <is>
          <t>buy trussardi pure jasmine lifestyle mini gift set online</t>
        </is>
      </c>
      <c r="O544" s="58" t="inlineStr">
        <is>
          <t>trussardi pure jasmine lifestyle mini gift set price</t>
        </is>
      </c>
      <c r="P544" s="58" t="n"/>
      <c r="Q544" s="59">
        <f>IF(L544="","",IFERROR(INDEX('Semrush Data'!$A$1:$Z$20000,MATCH(L544,'Semrush Data'!$A$1:$A$20000,0),MATCH("Volume",'Semrush Data'!$A$1:$Z$1,0)),""))</f>
        <v/>
      </c>
      <c r="R544" s="59">
        <f>IF(M544="","",IFERROR(INDEX('Semrush Data'!$A$1:$Z$20000,MATCH(M544,'Semrush Data'!$A$1:$A$20000,0),MATCH("Volume",'Semrush Data'!$A$1:$Z$1,0)),""))</f>
        <v/>
      </c>
      <c r="S544" s="59">
        <f>IF(N544="","",IFERROR(INDEX('Semrush Data'!$A$1:$Z$20000,MATCH(N544,'Semrush Data'!$A$1:$A$20000,0),MATCH("Volume",'Semrush Data'!$A$1:$Z$1,0)),""))</f>
        <v/>
      </c>
      <c r="T544" s="59">
        <f>IF(O544="","",IFERROR(INDEX('Semrush Data'!$A$1:$Z$20000,MATCH(O544,'Semrush Data'!$A$1:$A$20000,0),MATCH("Volume",'Semrush Data'!$A$1:$Z$1,0)),""))</f>
        <v/>
      </c>
      <c r="U544" s="59">
        <f>IF(P544="","",IFERROR(INDEX('Semrush Data'!$A$1:$Z$20000,MATCH(P544,'Semrush Data'!$A$1:$A$20000,0),MATCH("Volume",'Semrush Data'!$A$1:$Z$1,0)),""))</f>
        <v/>
      </c>
      <c r="V544" s="60">
        <f>IF(COUNT(Q544:U544)=0,L544,IF(MAX(Q544:U544)=0,L544,INDEX(L544:P544,MATCH(MAX(Q544:U544),Q544:U544,0))))</f>
        <v/>
      </c>
      <c r="W544" s="59">
        <f>IFERROR(INDEX('Semrush Data'!$A$1:$Z$20000,MATCH(V544,'Semrush Data'!$A$1:$A$20000,0),MATCH("Volume",'Semrush Data'!$A$1:$Z$1,0)),"")</f>
        <v/>
      </c>
      <c r="X544" s="59">
        <f>IFERROR(INDEX('Semrush Data'!$A$1:$Z$20000,MATCH(V544,'Semrush Data'!$A$1:$A$20000,0),MATCH("Keyword Difficulty*",'Semrush Data'!$A$1:$Z$1,0)),"")</f>
        <v/>
      </c>
      <c r="Y544" s="61">
        <f>IFERROR(INDEX('Semrush Data'!$A$1:$Z$20000,MATCH(V544,'Semrush Data'!$A$1:$A$20000,0),MATCH("CPC*",'Semrush Data'!$A$1:$Z$1,0)),"")</f>
        <v/>
      </c>
      <c r="Z544" s="58" t="inlineStr">
        <is>
          <t>trussardi perfume · floral perfume uk</t>
        </is>
      </c>
      <c r="AA544" s="58" t="n"/>
      <c r="AB544" s="58" t="inlineStr">
        <is>
          <t>Trussardi Pure Jasmine Lifestyle Mini Gift Set</t>
        </is>
      </c>
      <c r="AC544" s="58" t="inlineStr">
        <is>
          <t>Trussardi Pure Jasmine Lifestyle Mini Gift Set | Swansura UK</t>
        </is>
      </c>
      <c r="AD544" s="58">
        <f>LEN(AC544)</f>
        <v/>
      </c>
      <c r="AE544" s="58" t="inlineStr">
        <is>
          <t>Buy Trussardi Pure Jasmine Lifestyle Mini Gift Set online in the UK at Swansura. A floral unisex eau de parfum, 60ml. 100% authentic, free UK delivery over £50.</t>
        </is>
      </c>
      <c r="AF544" s="58">
        <f>LEN(AE544)</f>
        <v/>
      </c>
    </row>
    <row r="545" ht="15" customHeight="1" s="37">
      <c r="A545" s="58" t="inlineStr">
        <is>
          <t>FR-385</t>
        </is>
      </c>
      <c r="B545" s="58" t="inlineStr">
        <is>
          <t>Fragrance Catalogue</t>
        </is>
      </c>
      <c r="C545" s="58" t="n">
        <v>385</v>
      </c>
      <c r="D545" s="58" t="inlineStr">
        <is>
          <t>Trussardi</t>
        </is>
      </c>
      <c r="E545" s="58" t="n"/>
      <c r="F545" s="58" t="inlineStr">
        <is>
          <t>Gift Set</t>
        </is>
      </c>
      <c r="G545" s="58" t="inlineStr">
        <is>
          <t>Eau de Parfum (EDP)</t>
        </is>
      </c>
      <c r="H545" s="58" t="inlineStr">
        <is>
          <t>Woody · Women's Fragrance</t>
        </is>
      </c>
      <c r="I545" s="58" t="inlineStr">
        <is>
          <t>Trussardi Ruby Red Eau de Parfum Gift Set 60ml + Stardust Body Emulsion 125ml – Women's Fragrance Set</t>
        </is>
      </c>
      <c r="J545" s="58" t="inlineStr">
        <is>
          <t>60ml</t>
        </is>
      </c>
      <c r="K545" s="58" t="n">
        <v>29.99</v>
      </c>
      <c r="L545" s="58" t="inlineStr">
        <is>
          <t>trussardi ruby red gift set</t>
        </is>
      </c>
      <c r="M545" s="58" t="inlineStr">
        <is>
          <t>trussardi ruby red gift set uk</t>
        </is>
      </c>
      <c r="N545" s="58" t="inlineStr">
        <is>
          <t>buy trussardi ruby red gift set online</t>
        </is>
      </c>
      <c r="O545" s="58" t="inlineStr">
        <is>
          <t>trussardi ruby red gift set price</t>
        </is>
      </c>
      <c r="P545" s="58" t="n"/>
      <c r="Q545" s="59">
        <f>IF(L545="","",IFERROR(INDEX('Semrush Data'!$A$1:$Z$20000,MATCH(L545,'Semrush Data'!$A$1:$A$20000,0),MATCH("Volume",'Semrush Data'!$A$1:$Z$1,0)),""))</f>
        <v/>
      </c>
      <c r="R545" s="59">
        <f>IF(M545="","",IFERROR(INDEX('Semrush Data'!$A$1:$Z$20000,MATCH(M545,'Semrush Data'!$A$1:$A$20000,0),MATCH("Volume",'Semrush Data'!$A$1:$Z$1,0)),""))</f>
        <v/>
      </c>
      <c r="S545" s="59">
        <f>IF(N545="","",IFERROR(INDEX('Semrush Data'!$A$1:$Z$20000,MATCH(N545,'Semrush Data'!$A$1:$A$20000,0),MATCH("Volume",'Semrush Data'!$A$1:$Z$1,0)),""))</f>
        <v/>
      </c>
      <c r="T545" s="59">
        <f>IF(O545="","",IFERROR(INDEX('Semrush Data'!$A$1:$Z$20000,MATCH(O545,'Semrush Data'!$A$1:$A$20000,0),MATCH("Volume",'Semrush Data'!$A$1:$Z$1,0)),""))</f>
        <v/>
      </c>
      <c r="U545" s="59">
        <f>IF(P545="","",IFERROR(INDEX('Semrush Data'!$A$1:$Z$20000,MATCH(P545,'Semrush Data'!$A$1:$A$20000,0),MATCH("Volume",'Semrush Data'!$A$1:$Z$1,0)),""))</f>
        <v/>
      </c>
      <c r="V545" s="60">
        <f>IF(COUNT(Q545:U545)=0,L545,IF(MAX(Q545:U545)=0,L545,INDEX(L545:P545,MATCH(MAX(Q545:U545),Q545:U545,0))))</f>
        <v/>
      </c>
      <c r="W545" s="59">
        <f>IFERROR(INDEX('Semrush Data'!$A$1:$Z$20000,MATCH(V545,'Semrush Data'!$A$1:$A$20000,0),MATCH("Volume",'Semrush Data'!$A$1:$Z$1,0)),"")</f>
        <v/>
      </c>
      <c r="X545" s="59">
        <f>IFERROR(INDEX('Semrush Data'!$A$1:$Z$20000,MATCH(V545,'Semrush Data'!$A$1:$A$20000,0),MATCH("Keyword Difficulty*",'Semrush Data'!$A$1:$Z$1,0)),"")</f>
        <v/>
      </c>
      <c r="Y545" s="61">
        <f>IFERROR(INDEX('Semrush Data'!$A$1:$Z$20000,MATCH(V545,'Semrush Data'!$A$1:$A$20000,0),MATCH("CPC*",'Semrush Data'!$A$1:$Z$1,0)),"")</f>
        <v/>
      </c>
      <c r="Z545" s="58" t="inlineStr">
        <is>
          <t>trussardi perfume · trussardi perfume for women · woody perfume for women uk</t>
        </is>
      </c>
      <c r="AA545" s="58" t="inlineStr">
        <is>
          <t>trussardi ruby red set</t>
        </is>
      </c>
      <c r="AB545" s="58" t="inlineStr">
        <is>
          <t>Trussardi Ruby Red Eau de Parfum Gift Set</t>
        </is>
      </c>
      <c r="AC545" s="58" t="inlineStr">
        <is>
          <t>Trussardi Ruby Red Eau de Parfum Gift Set | Swansura UK</t>
        </is>
      </c>
      <c r="AD545" s="58">
        <f>LEN(AC545)</f>
        <v/>
      </c>
      <c r="AE545" s="58" t="inlineStr">
        <is>
          <t>Buy Trussardi Ruby Red Eau de Parfum Gift Set online in the UK at Swansura. A woody women's eau de parfum, 60ml. 100% authentic, free UK delivery over £50.</t>
        </is>
      </c>
      <c r="AF545" s="58">
        <f>LEN(AE545)</f>
        <v/>
      </c>
    </row>
    <row r="546" ht="15" customHeight="1" s="37">
      <c r="A546" s="58" t="inlineStr">
        <is>
          <t>FR-386</t>
        </is>
      </c>
      <c r="B546" s="58" t="inlineStr">
        <is>
          <t>Fragrance Catalogue</t>
        </is>
      </c>
      <c r="C546" s="58" t="n">
        <v>386</v>
      </c>
      <c r="D546" s="58" t="inlineStr">
        <is>
          <t>Viktor &amp; Rolf</t>
        </is>
      </c>
      <c r="E546" s="58" t="n"/>
      <c r="F546" s="58" t="inlineStr">
        <is>
          <t>Fragrance</t>
        </is>
      </c>
      <c r="G546" s="58" t="inlineStr">
        <is>
          <t>Eau de Parfum (EDP)</t>
        </is>
      </c>
      <c r="H546" s="58" t="inlineStr">
        <is>
          <t>Floral · Women's Fragrance</t>
        </is>
      </c>
      <c r="I546" s="58" t="inlineStr">
        <is>
          <t>Viktor &amp; Rolf Good Fortune Eau de Parfum 10ml Miniature – Women's Floral Fragrance</t>
        </is>
      </c>
      <c r="J546" s="58" t="inlineStr">
        <is>
          <t>10ml</t>
        </is>
      </c>
      <c r="K546" s="58" t="n">
        <v>19.99</v>
      </c>
      <c r="L546" s="58" t="inlineStr">
        <is>
          <t>viktor &amp; rolf good fortune miniature</t>
        </is>
      </c>
      <c r="M546" s="58" t="inlineStr">
        <is>
          <t>viktor &amp; rolf good fortune miniature uk</t>
        </is>
      </c>
      <c r="N546" s="58" t="inlineStr">
        <is>
          <t>buy viktor &amp; rolf good fortune miniature online</t>
        </is>
      </c>
      <c r="O546" s="58" t="inlineStr">
        <is>
          <t>viktor &amp; rolf good fortune miniature price</t>
        </is>
      </c>
      <c r="P546" s="58" t="inlineStr">
        <is>
          <t>viktor &amp; rolf good fortune miniature eau de parfum</t>
        </is>
      </c>
      <c r="Q546" s="59">
        <f>IF(L546="","",IFERROR(INDEX('Semrush Data'!$A$1:$Z$20000,MATCH(L546,'Semrush Data'!$A$1:$A$20000,0),MATCH("Volume",'Semrush Data'!$A$1:$Z$1,0)),""))</f>
        <v/>
      </c>
      <c r="R546" s="59">
        <f>IF(M546="","",IFERROR(INDEX('Semrush Data'!$A$1:$Z$20000,MATCH(M546,'Semrush Data'!$A$1:$A$20000,0),MATCH("Volume",'Semrush Data'!$A$1:$Z$1,0)),""))</f>
        <v/>
      </c>
      <c r="S546" s="59">
        <f>IF(N546="","",IFERROR(INDEX('Semrush Data'!$A$1:$Z$20000,MATCH(N546,'Semrush Data'!$A$1:$A$20000,0),MATCH("Volume",'Semrush Data'!$A$1:$Z$1,0)),""))</f>
        <v/>
      </c>
      <c r="T546" s="59">
        <f>IF(O546="","",IFERROR(INDEX('Semrush Data'!$A$1:$Z$20000,MATCH(O546,'Semrush Data'!$A$1:$A$20000,0),MATCH("Volume",'Semrush Data'!$A$1:$Z$1,0)),""))</f>
        <v/>
      </c>
      <c r="U546" s="59">
        <f>IF(P546="","",IFERROR(INDEX('Semrush Data'!$A$1:$Z$20000,MATCH(P546,'Semrush Data'!$A$1:$A$20000,0),MATCH("Volume",'Semrush Data'!$A$1:$Z$1,0)),""))</f>
        <v/>
      </c>
      <c r="V546" s="60">
        <f>IF(COUNT(Q546:U546)=0,L546,IF(MAX(Q546:U546)=0,L546,INDEX(L546:P546,MATCH(MAX(Q546:U546),Q546:U546,0))))</f>
        <v/>
      </c>
      <c r="W546" s="59">
        <f>IFERROR(INDEX('Semrush Data'!$A$1:$Z$20000,MATCH(V546,'Semrush Data'!$A$1:$A$20000,0),MATCH("Volume",'Semrush Data'!$A$1:$Z$1,0)),"")</f>
        <v/>
      </c>
      <c r="X546" s="59">
        <f>IFERROR(INDEX('Semrush Data'!$A$1:$Z$20000,MATCH(V546,'Semrush Data'!$A$1:$A$20000,0),MATCH("Keyword Difficulty*",'Semrush Data'!$A$1:$Z$1,0)),"")</f>
        <v/>
      </c>
      <c r="Y546" s="61">
        <f>IFERROR(INDEX('Semrush Data'!$A$1:$Z$20000,MATCH(V546,'Semrush Data'!$A$1:$A$20000,0),MATCH("CPC*",'Semrush Data'!$A$1:$Z$1,0)),"")</f>
        <v/>
      </c>
      <c r="Z546" s="58" t="inlineStr">
        <is>
          <t>viktor &amp; rolf perfume · viktor &amp; rolf perfume for women · floral perfume for women uk</t>
        </is>
      </c>
      <c r="AA546" s="58" t="n"/>
      <c r="AB546" s="58" t="inlineStr">
        <is>
          <t>Viktor &amp; Rolf Good Fortune Eau de Parfum Miniature</t>
        </is>
      </c>
      <c r="AC546" s="58" t="inlineStr">
        <is>
          <t>Viktor &amp; Rolf Good Fortune Miniature EDP 10ml | Swansura UK</t>
        </is>
      </c>
      <c r="AD546" s="58">
        <f>LEN(AC546)</f>
        <v/>
      </c>
      <c r="AE546" s="58" t="inlineStr">
        <is>
          <t>Buy Viktor &amp; Rolf Good Fortune Eau de Parfum Miniature online in the UK at Swansura. A floral women's eau de parfum. 100% authentic, free UK delivery over £50.</t>
        </is>
      </c>
      <c r="AF546" s="58">
        <f>LEN(AE546)</f>
        <v/>
      </c>
    </row>
    <row r="547" ht="15" customHeight="1" s="37">
      <c r="A547" s="58" t="inlineStr">
        <is>
          <t>FR-387</t>
        </is>
      </c>
      <c r="B547" s="58" t="inlineStr">
        <is>
          <t>Fragrance Catalogue</t>
        </is>
      </c>
      <c r="C547" s="58" t="n">
        <v>387</v>
      </c>
      <c r="D547" s="58" t="inlineStr">
        <is>
          <t>YSL</t>
        </is>
      </c>
      <c r="E547" s="58" t="n"/>
      <c r="F547" s="58" t="inlineStr">
        <is>
          <t>Fragrance</t>
        </is>
      </c>
      <c r="G547" s="58" t="inlineStr">
        <is>
          <t>Eau de Toilette (EDT)</t>
        </is>
      </c>
      <c r="H547" s="58" t="inlineStr">
        <is>
          <t>Amber · Unisex Fragrance</t>
        </is>
      </c>
      <c r="I547" s="58" t="inlineStr">
        <is>
          <t>Yves Saint Laurent Yvresse Eau de Toilette (W) 80ml</t>
        </is>
      </c>
      <c r="J547" s="58" t="inlineStr">
        <is>
          <t>80ml</t>
        </is>
      </c>
      <c r="K547" s="58" t="n">
        <v>94.98999999999999</v>
      </c>
      <c r="L547" s="58" t="inlineStr">
        <is>
          <t>ysl yves saint laurent yvresse w</t>
        </is>
      </c>
      <c r="M547" s="58" t="inlineStr">
        <is>
          <t>ysl yves saint laurent yvresse w uk</t>
        </is>
      </c>
      <c r="N547" s="58" t="inlineStr">
        <is>
          <t>buy ysl yves saint laurent yvresse w online</t>
        </is>
      </c>
      <c r="O547" s="58" t="inlineStr">
        <is>
          <t>ysl yves saint laurent yvresse w price</t>
        </is>
      </c>
      <c r="P547" s="58" t="inlineStr">
        <is>
          <t>ysl yves saint laurent yvresse w eau de toilette</t>
        </is>
      </c>
      <c r="Q547" s="59">
        <f>IF(L547="","",IFERROR(INDEX('Semrush Data'!$A$1:$Z$20000,MATCH(L547,'Semrush Data'!$A$1:$A$20000,0),MATCH("Volume",'Semrush Data'!$A$1:$Z$1,0)),""))</f>
        <v/>
      </c>
      <c r="R547" s="59">
        <f>IF(M547="","",IFERROR(INDEX('Semrush Data'!$A$1:$Z$20000,MATCH(M547,'Semrush Data'!$A$1:$A$20000,0),MATCH("Volume",'Semrush Data'!$A$1:$Z$1,0)),""))</f>
        <v/>
      </c>
      <c r="S547" s="59">
        <f>IF(N547="","",IFERROR(INDEX('Semrush Data'!$A$1:$Z$20000,MATCH(N547,'Semrush Data'!$A$1:$A$20000,0),MATCH("Volume",'Semrush Data'!$A$1:$Z$1,0)),""))</f>
        <v/>
      </c>
      <c r="T547" s="59">
        <f>IF(O547="","",IFERROR(INDEX('Semrush Data'!$A$1:$Z$20000,MATCH(O547,'Semrush Data'!$A$1:$A$20000,0),MATCH("Volume",'Semrush Data'!$A$1:$Z$1,0)),""))</f>
        <v/>
      </c>
      <c r="U547" s="59">
        <f>IF(P547="","",IFERROR(INDEX('Semrush Data'!$A$1:$Z$20000,MATCH(P547,'Semrush Data'!$A$1:$A$20000,0),MATCH("Volume",'Semrush Data'!$A$1:$Z$1,0)),""))</f>
        <v/>
      </c>
      <c r="V547" s="60">
        <f>IF(COUNT(Q547:U547)=0,L547,IF(MAX(Q547:U547)=0,L547,INDEX(L547:P547,MATCH(MAX(Q547:U547),Q547:U547,0))))</f>
        <v/>
      </c>
      <c r="W547" s="59">
        <f>IFERROR(INDEX('Semrush Data'!$A$1:$Z$20000,MATCH(V547,'Semrush Data'!$A$1:$A$20000,0),MATCH("Volume",'Semrush Data'!$A$1:$Z$1,0)),"")</f>
        <v/>
      </c>
      <c r="X547" s="59">
        <f>IFERROR(INDEX('Semrush Data'!$A$1:$Z$20000,MATCH(V547,'Semrush Data'!$A$1:$A$20000,0),MATCH("Keyword Difficulty*",'Semrush Data'!$A$1:$Z$1,0)),"")</f>
        <v/>
      </c>
      <c r="Y547" s="61">
        <f>IFERROR(INDEX('Semrush Data'!$A$1:$Z$20000,MATCH(V547,'Semrush Data'!$A$1:$A$20000,0),MATCH("CPC*",'Semrush Data'!$A$1:$Z$1,0)),"")</f>
        <v/>
      </c>
      <c r="Z547" s="58" t="inlineStr">
        <is>
          <t>ysl perfume · amber perfume uk</t>
        </is>
      </c>
      <c r="AA547" s="58" t="n"/>
      <c r="AB547" s="58" t="inlineStr">
        <is>
          <t>Yves Saint Laurent Yvresse Eau de Toilette (W)</t>
        </is>
      </c>
      <c r="AC547" s="58" t="inlineStr">
        <is>
          <t>Yves Saint Laurent Yvresse Eau de Toilette (W) | Swansura UK</t>
        </is>
      </c>
      <c r="AD547" s="58">
        <f>LEN(AC547)</f>
        <v/>
      </c>
      <c r="AE547" s="58" t="inlineStr">
        <is>
          <t>Buy Yves Saint Laurent Yvresse Eau de Toilette (W) online in the UK at Swansura. An amber unisex eau de toilette. 100% authentic, free UK delivery over £50.</t>
        </is>
      </c>
      <c r="AF547" s="58">
        <f>LEN(AE547)</f>
        <v/>
      </c>
    </row>
  </sheetData>
  <autoFilter ref="A1:AF547"/>
  <conditionalFormatting sqref="AD2:AD547">
    <cfRule type="expression" rank="0" priority="2" equalAverage="0" aboveAverage="0" dxfId="7" text="" percent="0" bottom="0">
      <formula>OR(AD2&lt;50,AD2&gt;60)</formula>
    </cfRule>
  </conditionalFormatting>
  <conditionalFormatting sqref="AF2:AF547">
    <cfRule type="expression" rank="0" priority="3" equalAverage="0" aboveAverage="0" dxfId="7" text="" percent="0" bottom="0">
      <formula>OR(AF2&lt;140,AF2&gt;160)</formula>
    </cfRule>
  </conditionalFormatting>
  <conditionalFormatting sqref="E2:E547">
    <cfRule type="expression" rank="0" priority="4" equalAverage="0" aboveAverage="0" dxfId="9" text="" percent="0" bottom="0">
      <formula>E2&lt;&gt;""</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384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36" min="1" max="1"/>
    <col width="24" customWidth="1" style="36" min="2" max="2"/>
    <col width="6" customWidth="1" style="36" min="3" max="3"/>
    <col width="9" customWidth="1" style="36" min="4" max="5"/>
    <col width="40" customWidth="1" style="36" min="6" max="6"/>
    <col width="10" customWidth="1" style="36" min="7" max="8"/>
    <col width="9" customWidth="1" style="36" min="9" max="9"/>
    <col width="16" customWidth="1" style="36" min="10" max="10"/>
  </cols>
  <sheetData>
    <row r="1" ht="31.5" customHeight="1" s="37">
      <c r="A1" s="43" t="inlineStr">
        <is>
          <t>Keyword</t>
        </is>
      </c>
      <c r="B1" s="43" t="inlineStr">
        <is>
          <t>Type</t>
        </is>
      </c>
      <c r="C1" s="43" t="inlineStr">
        <is>
          <t>Tier</t>
        </is>
      </c>
      <c r="D1" s="43" t="inlineStr">
        <is>
          <t>Semrush batch</t>
        </is>
      </c>
      <c r="E1" s="43" t="inlineStr">
        <is>
          <t>No. of products</t>
        </is>
      </c>
      <c r="F1" s="43" t="inlineStr">
        <is>
          <t>Product IDs</t>
        </is>
      </c>
      <c r="G1" s="44" t="inlineStr">
        <is>
          <t>Volume</t>
        </is>
      </c>
      <c r="H1" s="44" t="inlineStr">
        <is>
          <t>Keyword Difficulty</t>
        </is>
      </c>
      <c r="I1" s="44" t="inlineStr">
        <is>
          <t>CPC ($)</t>
        </is>
      </c>
      <c r="J1" s="44" t="inlineStr">
        <is>
          <t>Intent</t>
        </is>
      </c>
    </row>
    <row r="2" ht="15" customHeight="1" s="37">
      <c r="A2" s="42" t="inlineStr">
        <is>
          <t>buy deyga products online</t>
        </is>
      </c>
      <c r="B2" s="42" t="inlineStr">
        <is>
          <t>Brand</t>
        </is>
      </c>
      <c r="C2" s="42" t="n">
        <v>1</v>
      </c>
      <c r="D2" s="42" t="n">
        <v>1</v>
      </c>
      <c r="E2" s="42" t="n">
        <v>0</v>
      </c>
      <c r="F2" s="42" t="n"/>
      <c r="G2" s="55">
        <f>IFERROR(INDEX('Semrush Data'!$A$1:$Z$20000,MATCH(A2,'Semrush Data'!$A$1:$A$20000,0),MATCH("Volume",'Semrush Data'!$A$1:$Z$1,0)),"")</f>
        <v/>
      </c>
      <c r="H2" s="42">
        <f>IFERROR(INDEX('Semrush Data'!$A$1:$Z$20000,MATCH(A2,'Semrush Data'!$A$1:$A$20000,0),MATCH("Keyword Difficulty*",'Semrush Data'!$A$1:$Z$1,0)),"")</f>
        <v/>
      </c>
      <c r="I2" s="56">
        <f>IFERROR(INDEX('Semrush Data'!$A$1:$Z$20000,MATCH(A2,'Semrush Data'!$A$1:$A$20000,0),MATCH("CPC*",'Semrush Data'!$A$1:$Z$1,0)),"")</f>
        <v/>
      </c>
      <c r="J2" s="42">
        <f>IFERROR(INDEX('Semrush Data'!$A$1:$Z$20000,MATCH(A2,'Semrush Data'!$A$1:$A$20000,0),MATCH("Intent",'Semrush Data'!$A$1:$Z$1,0)),"")</f>
        <v/>
      </c>
    </row>
    <row r="3" ht="15" customHeight="1" s="37">
      <c r="A3" s="42" t="inlineStr">
        <is>
          <t>buy vilvah products online</t>
        </is>
      </c>
      <c r="B3" s="42" t="inlineStr">
        <is>
          <t>Brand</t>
        </is>
      </c>
      <c r="C3" s="42" t="n">
        <v>1</v>
      </c>
      <c r="D3" s="42" t="n">
        <v>1</v>
      </c>
      <c r="E3" s="42" t="n">
        <v>0</v>
      </c>
      <c r="F3" s="42" t="n"/>
      <c r="G3" s="55">
        <f>IFERROR(INDEX('Semrush Data'!$A$1:$Z$20000,MATCH(A3,'Semrush Data'!$A$1:$A$20000,0),MATCH("Volume",'Semrush Data'!$A$1:$Z$1,0)),"")</f>
        <v/>
      </c>
      <c r="H3" s="42">
        <f>IFERROR(INDEX('Semrush Data'!$A$1:$Z$20000,MATCH(A3,'Semrush Data'!$A$1:$A$20000,0),MATCH("Keyword Difficulty*",'Semrush Data'!$A$1:$Z$1,0)),"")</f>
        <v/>
      </c>
      <c r="I3" s="56">
        <f>IFERROR(INDEX('Semrush Data'!$A$1:$Z$20000,MATCH(A3,'Semrush Data'!$A$1:$A$20000,0),MATCH("CPC*",'Semrush Data'!$A$1:$Z$1,0)),"")</f>
        <v/>
      </c>
      <c r="J3" s="42">
        <f>IFERROR(INDEX('Semrush Data'!$A$1:$Z$20000,MATCH(A3,'Semrush Data'!$A$1:$A$20000,0),MATCH("Intent",'Semrush Data'!$A$1:$Z$1,0)),"")</f>
        <v/>
      </c>
    </row>
    <row r="4" ht="15" customHeight="1" s="37">
      <c r="A4" s="42" t="inlineStr">
        <is>
          <t>deyga</t>
        </is>
      </c>
      <c r="B4" s="42" t="inlineStr">
        <is>
          <t>Brand</t>
        </is>
      </c>
      <c r="C4" s="42" t="n">
        <v>1</v>
      </c>
      <c r="D4" s="42" t="n">
        <v>1</v>
      </c>
      <c r="E4" s="42" t="n">
        <v>0</v>
      </c>
      <c r="F4" s="42" t="n"/>
      <c r="G4" s="55">
        <f>IFERROR(INDEX('Semrush Data'!$A$1:$Z$20000,MATCH(A4,'Semrush Data'!$A$1:$A$20000,0),MATCH("Volume",'Semrush Data'!$A$1:$Z$1,0)),"")</f>
        <v/>
      </c>
      <c r="H4" s="42">
        <f>IFERROR(INDEX('Semrush Data'!$A$1:$Z$20000,MATCH(A4,'Semrush Data'!$A$1:$A$20000,0),MATCH("Keyword Difficulty*",'Semrush Data'!$A$1:$Z$1,0)),"")</f>
        <v/>
      </c>
      <c r="I4" s="56">
        <f>IFERROR(INDEX('Semrush Data'!$A$1:$Z$20000,MATCH(A4,'Semrush Data'!$A$1:$A$20000,0),MATCH("CPC*",'Semrush Data'!$A$1:$Z$1,0)),"")</f>
        <v/>
      </c>
      <c r="J4" s="42">
        <f>IFERROR(INDEX('Semrush Data'!$A$1:$Z$20000,MATCH(A4,'Semrush Data'!$A$1:$A$20000,0),MATCH("Intent",'Semrush Data'!$A$1:$Z$1,0)),"")</f>
        <v/>
      </c>
    </row>
    <row r="5" ht="15" customHeight="1" s="37">
      <c r="A5" s="42" t="inlineStr">
        <is>
          <t>deyga official website</t>
        </is>
      </c>
      <c r="B5" s="42" t="inlineStr">
        <is>
          <t>Brand</t>
        </is>
      </c>
      <c r="C5" s="42" t="n">
        <v>1</v>
      </c>
      <c r="D5" s="42" t="n">
        <v>1</v>
      </c>
      <c r="E5" s="42" t="n">
        <v>0</v>
      </c>
      <c r="F5" s="42" t="n"/>
      <c r="G5" s="55">
        <f>IFERROR(INDEX('Semrush Data'!$A$1:$Z$20000,MATCH(A5,'Semrush Data'!$A$1:$A$20000,0),MATCH("Volume",'Semrush Data'!$A$1:$Z$1,0)),"")</f>
        <v/>
      </c>
      <c r="H5" s="42">
        <f>IFERROR(INDEX('Semrush Data'!$A$1:$Z$20000,MATCH(A5,'Semrush Data'!$A$1:$A$20000,0),MATCH("Keyword Difficulty*",'Semrush Data'!$A$1:$Z$1,0)),"")</f>
        <v/>
      </c>
      <c r="I5" s="56">
        <f>IFERROR(INDEX('Semrush Data'!$A$1:$Z$20000,MATCH(A5,'Semrush Data'!$A$1:$A$20000,0),MATCH("CPC*",'Semrush Data'!$A$1:$Z$1,0)),"")</f>
        <v/>
      </c>
      <c r="J5" s="42">
        <f>IFERROR(INDEX('Semrush Data'!$A$1:$Z$20000,MATCH(A5,'Semrush Data'!$A$1:$A$20000,0),MATCH("Intent",'Semrush Data'!$A$1:$Z$1,0)),"")</f>
        <v/>
      </c>
    </row>
    <row r="6" ht="15" customHeight="1" s="37">
      <c r="A6" s="42" t="inlineStr">
        <is>
          <t>deyga products</t>
        </is>
      </c>
      <c r="B6" s="42" t="inlineStr">
        <is>
          <t>Brand</t>
        </is>
      </c>
      <c r="C6" s="42" t="n">
        <v>1</v>
      </c>
      <c r="D6" s="42" t="n">
        <v>1</v>
      </c>
      <c r="E6" s="42" t="n">
        <v>0</v>
      </c>
      <c r="F6" s="42" t="n"/>
      <c r="G6" s="55">
        <f>IFERROR(INDEX('Semrush Data'!$A$1:$Z$20000,MATCH(A6,'Semrush Data'!$A$1:$A$20000,0),MATCH("Volume",'Semrush Data'!$A$1:$Z$1,0)),"")</f>
        <v/>
      </c>
      <c r="H6" s="42">
        <f>IFERROR(INDEX('Semrush Data'!$A$1:$Z$20000,MATCH(A6,'Semrush Data'!$A$1:$A$20000,0),MATCH("Keyword Difficulty*",'Semrush Data'!$A$1:$Z$1,0)),"")</f>
        <v/>
      </c>
      <c r="I6" s="56">
        <f>IFERROR(INDEX('Semrush Data'!$A$1:$Z$20000,MATCH(A6,'Semrush Data'!$A$1:$A$20000,0),MATCH("CPC*",'Semrush Data'!$A$1:$Z$1,0)),"")</f>
        <v/>
      </c>
      <c r="J6" s="42">
        <f>IFERROR(INDEX('Semrush Data'!$A$1:$Z$20000,MATCH(A6,'Semrush Data'!$A$1:$A$20000,0),MATCH("Intent",'Semrush Data'!$A$1:$Z$1,0)),"")</f>
        <v/>
      </c>
    </row>
    <row r="7" ht="15" customHeight="1" s="37">
      <c r="A7" s="42" t="inlineStr">
        <is>
          <t>deyga products uk</t>
        </is>
      </c>
      <c r="B7" s="42" t="inlineStr">
        <is>
          <t>Brand</t>
        </is>
      </c>
      <c r="C7" s="42" t="n">
        <v>1</v>
      </c>
      <c r="D7" s="42" t="n">
        <v>1</v>
      </c>
      <c r="E7" s="42" t="n">
        <v>0</v>
      </c>
      <c r="F7" s="42" t="n"/>
      <c r="G7" s="55">
        <f>IFERROR(INDEX('Semrush Data'!$A$1:$Z$20000,MATCH(A7,'Semrush Data'!$A$1:$A$20000,0),MATCH("Volume",'Semrush Data'!$A$1:$Z$1,0)),"")</f>
        <v/>
      </c>
      <c r="H7" s="42">
        <f>IFERROR(INDEX('Semrush Data'!$A$1:$Z$20000,MATCH(A7,'Semrush Data'!$A$1:$A$20000,0),MATCH("Keyword Difficulty*",'Semrush Data'!$A$1:$Z$1,0)),"")</f>
        <v/>
      </c>
      <c r="I7" s="56">
        <f>IFERROR(INDEX('Semrush Data'!$A$1:$Z$20000,MATCH(A7,'Semrush Data'!$A$1:$A$20000,0),MATCH("CPC*",'Semrush Data'!$A$1:$Z$1,0)),"")</f>
        <v/>
      </c>
      <c r="J7" s="42">
        <f>IFERROR(INDEX('Semrush Data'!$A$1:$Z$20000,MATCH(A7,'Semrush Data'!$A$1:$A$20000,0),MATCH("Intent",'Semrush Data'!$A$1:$Z$1,0)),"")</f>
        <v/>
      </c>
    </row>
    <row r="8" ht="15" customHeight="1" s="37">
      <c r="A8" s="42" t="inlineStr">
        <is>
          <t>deyga uk</t>
        </is>
      </c>
      <c r="B8" s="42" t="inlineStr">
        <is>
          <t>Brand</t>
        </is>
      </c>
      <c r="C8" s="42" t="n">
        <v>1</v>
      </c>
      <c r="D8" s="42" t="n">
        <v>1</v>
      </c>
      <c r="E8" s="42" t="n">
        <v>0</v>
      </c>
      <c r="F8" s="42" t="n"/>
      <c r="G8" s="55">
        <f>IFERROR(INDEX('Semrush Data'!$A$1:$Z$20000,MATCH(A8,'Semrush Data'!$A$1:$A$20000,0),MATCH("Volume",'Semrush Data'!$A$1:$Z$1,0)),"")</f>
        <v/>
      </c>
      <c r="H8" s="42">
        <f>IFERROR(INDEX('Semrush Data'!$A$1:$Z$20000,MATCH(A8,'Semrush Data'!$A$1:$A$20000,0),MATCH("Keyword Difficulty*",'Semrush Data'!$A$1:$Z$1,0)),"")</f>
        <v/>
      </c>
      <c r="I8" s="56">
        <f>IFERROR(INDEX('Semrush Data'!$A$1:$Z$20000,MATCH(A8,'Semrush Data'!$A$1:$A$20000,0),MATCH("CPC*",'Semrush Data'!$A$1:$Z$1,0)),"")</f>
        <v/>
      </c>
      <c r="J8" s="42">
        <f>IFERROR(INDEX('Semrush Data'!$A$1:$Z$20000,MATCH(A8,'Semrush Data'!$A$1:$A$20000,0),MATCH("Intent",'Semrush Data'!$A$1:$Z$1,0)),"")</f>
        <v/>
      </c>
    </row>
    <row r="9" ht="15" customHeight="1" s="37">
      <c r="A9" s="42" t="inlineStr">
        <is>
          <t>vilvah</t>
        </is>
      </c>
      <c r="B9" s="42" t="inlineStr">
        <is>
          <t>Brand</t>
        </is>
      </c>
      <c r="C9" s="42" t="n">
        <v>1</v>
      </c>
      <c r="D9" s="42" t="n">
        <v>1</v>
      </c>
      <c r="E9" s="42" t="n">
        <v>0</v>
      </c>
      <c r="F9" s="42" t="n"/>
      <c r="G9" s="55">
        <f>IFERROR(INDEX('Semrush Data'!$A$1:$Z$20000,MATCH(A9,'Semrush Data'!$A$1:$A$20000,0),MATCH("Volume",'Semrush Data'!$A$1:$Z$1,0)),"")</f>
        <v/>
      </c>
      <c r="H9" s="42">
        <f>IFERROR(INDEX('Semrush Data'!$A$1:$Z$20000,MATCH(A9,'Semrush Data'!$A$1:$A$20000,0),MATCH("Keyword Difficulty*",'Semrush Data'!$A$1:$Z$1,0)),"")</f>
        <v/>
      </c>
      <c r="I9" s="56">
        <f>IFERROR(INDEX('Semrush Data'!$A$1:$Z$20000,MATCH(A9,'Semrush Data'!$A$1:$A$20000,0),MATCH("CPC*",'Semrush Data'!$A$1:$Z$1,0)),"")</f>
        <v/>
      </c>
      <c r="J9" s="42">
        <f>IFERROR(INDEX('Semrush Data'!$A$1:$Z$20000,MATCH(A9,'Semrush Data'!$A$1:$A$20000,0),MATCH("Intent",'Semrush Data'!$A$1:$Z$1,0)),"")</f>
        <v/>
      </c>
    </row>
    <row r="10" ht="15" customHeight="1" s="37">
      <c r="A10" s="42" t="inlineStr">
        <is>
          <t>vilvah official website</t>
        </is>
      </c>
      <c r="B10" s="42" t="inlineStr">
        <is>
          <t>Brand</t>
        </is>
      </c>
      <c r="C10" s="42" t="n">
        <v>1</v>
      </c>
      <c r="D10" s="42" t="n">
        <v>1</v>
      </c>
      <c r="E10" s="42" t="n">
        <v>0</v>
      </c>
      <c r="F10" s="42" t="n"/>
      <c r="G10" s="55">
        <f>IFERROR(INDEX('Semrush Data'!$A$1:$Z$20000,MATCH(A10,'Semrush Data'!$A$1:$A$20000,0),MATCH("Volume",'Semrush Data'!$A$1:$Z$1,0)),"")</f>
        <v/>
      </c>
      <c r="H10" s="42">
        <f>IFERROR(INDEX('Semrush Data'!$A$1:$Z$20000,MATCH(A10,'Semrush Data'!$A$1:$A$20000,0),MATCH("Keyword Difficulty*",'Semrush Data'!$A$1:$Z$1,0)),"")</f>
        <v/>
      </c>
      <c r="I10" s="56">
        <f>IFERROR(INDEX('Semrush Data'!$A$1:$Z$20000,MATCH(A10,'Semrush Data'!$A$1:$A$20000,0),MATCH("CPC*",'Semrush Data'!$A$1:$Z$1,0)),"")</f>
        <v/>
      </c>
      <c r="J10" s="42">
        <f>IFERROR(INDEX('Semrush Data'!$A$1:$Z$20000,MATCH(A10,'Semrush Data'!$A$1:$A$20000,0),MATCH("Intent",'Semrush Data'!$A$1:$Z$1,0)),"")</f>
        <v/>
      </c>
    </row>
    <row r="11" ht="15" customHeight="1" s="37">
      <c r="A11" s="42" t="inlineStr">
        <is>
          <t>vilvah products</t>
        </is>
      </c>
      <c r="B11" s="42" t="inlineStr">
        <is>
          <t>Brand</t>
        </is>
      </c>
      <c r="C11" s="42" t="n">
        <v>1</v>
      </c>
      <c r="D11" s="42" t="n">
        <v>1</v>
      </c>
      <c r="E11" s="42" t="n">
        <v>0</v>
      </c>
      <c r="F11" s="42" t="n"/>
      <c r="G11" s="55">
        <f>IFERROR(INDEX('Semrush Data'!$A$1:$Z$20000,MATCH(A11,'Semrush Data'!$A$1:$A$20000,0),MATCH("Volume",'Semrush Data'!$A$1:$Z$1,0)),"")</f>
        <v/>
      </c>
      <c r="H11" s="42">
        <f>IFERROR(INDEX('Semrush Data'!$A$1:$Z$20000,MATCH(A11,'Semrush Data'!$A$1:$A$20000,0),MATCH("Keyword Difficulty*",'Semrush Data'!$A$1:$Z$1,0)),"")</f>
        <v/>
      </c>
      <c r="I11" s="56">
        <f>IFERROR(INDEX('Semrush Data'!$A$1:$Z$20000,MATCH(A11,'Semrush Data'!$A$1:$A$20000,0),MATCH("CPC*",'Semrush Data'!$A$1:$Z$1,0)),"")</f>
        <v/>
      </c>
      <c r="J11" s="42">
        <f>IFERROR(INDEX('Semrush Data'!$A$1:$Z$20000,MATCH(A11,'Semrush Data'!$A$1:$A$20000,0),MATCH("Intent",'Semrush Data'!$A$1:$Z$1,0)),"")</f>
        <v/>
      </c>
    </row>
    <row r="12" ht="15" customHeight="1" s="37">
      <c r="A12" s="42" t="inlineStr">
        <is>
          <t>vilvah products uk</t>
        </is>
      </c>
      <c r="B12" s="42" t="inlineStr">
        <is>
          <t>Brand</t>
        </is>
      </c>
      <c r="C12" s="42" t="n">
        <v>1</v>
      </c>
      <c r="D12" s="42" t="n">
        <v>1</v>
      </c>
      <c r="E12" s="42" t="n">
        <v>0</v>
      </c>
      <c r="F12" s="42" t="n"/>
      <c r="G12" s="55">
        <f>IFERROR(INDEX('Semrush Data'!$A$1:$Z$20000,MATCH(A12,'Semrush Data'!$A$1:$A$20000,0),MATCH("Volume",'Semrush Data'!$A$1:$Z$1,0)),"")</f>
        <v/>
      </c>
      <c r="H12" s="42">
        <f>IFERROR(INDEX('Semrush Data'!$A$1:$Z$20000,MATCH(A12,'Semrush Data'!$A$1:$A$20000,0),MATCH("Keyword Difficulty*",'Semrush Data'!$A$1:$Z$1,0)),"")</f>
        <v/>
      </c>
      <c r="I12" s="56">
        <f>IFERROR(INDEX('Semrush Data'!$A$1:$Z$20000,MATCH(A12,'Semrush Data'!$A$1:$A$20000,0),MATCH("CPC*",'Semrush Data'!$A$1:$Z$1,0)),"")</f>
        <v/>
      </c>
      <c r="J12" s="42">
        <f>IFERROR(INDEX('Semrush Data'!$A$1:$Z$20000,MATCH(A12,'Semrush Data'!$A$1:$A$20000,0),MATCH("Intent",'Semrush Data'!$A$1:$Z$1,0)),"")</f>
        <v/>
      </c>
    </row>
    <row r="13" ht="15" customHeight="1" s="37">
      <c r="A13" s="42" t="inlineStr">
        <is>
          <t>vilvah skincare</t>
        </is>
      </c>
      <c r="B13" s="42" t="inlineStr">
        <is>
          <t>Brand</t>
        </is>
      </c>
      <c r="C13" s="42" t="n">
        <v>1</v>
      </c>
      <c r="D13" s="42" t="n">
        <v>1</v>
      </c>
      <c r="E13" s="42" t="n">
        <v>0</v>
      </c>
      <c r="F13" s="42" t="n"/>
      <c r="G13" s="55">
        <f>IFERROR(INDEX('Semrush Data'!$A$1:$Z$20000,MATCH(A13,'Semrush Data'!$A$1:$A$20000,0),MATCH("Volume",'Semrush Data'!$A$1:$Z$1,0)),"")</f>
        <v/>
      </c>
      <c r="H13" s="42">
        <f>IFERROR(INDEX('Semrush Data'!$A$1:$Z$20000,MATCH(A13,'Semrush Data'!$A$1:$A$20000,0),MATCH("Keyword Difficulty*",'Semrush Data'!$A$1:$Z$1,0)),"")</f>
        <v/>
      </c>
      <c r="I13" s="56">
        <f>IFERROR(INDEX('Semrush Data'!$A$1:$Z$20000,MATCH(A13,'Semrush Data'!$A$1:$A$20000,0),MATCH("CPC*",'Semrush Data'!$A$1:$Z$1,0)),"")</f>
        <v/>
      </c>
      <c r="J13" s="42">
        <f>IFERROR(INDEX('Semrush Data'!$A$1:$Z$20000,MATCH(A13,'Semrush Data'!$A$1:$A$20000,0),MATCH("Intent",'Semrush Data'!$A$1:$Z$1,0)),"")</f>
        <v/>
      </c>
    </row>
    <row r="14" ht="15" customHeight="1" s="37">
      <c r="A14" s="42" t="inlineStr">
        <is>
          <t>vilvah uk</t>
        </is>
      </c>
      <c r="B14" s="42" t="inlineStr">
        <is>
          <t>Brand</t>
        </is>
      </c>
      <c r="C14" s="42" t="n">
        <v>1</v>
      </c>
      <c r="D14" s="42" t="n">
        <v>1</v>
      </c>
      <c r="E14" s="42" t="n">
        <v>0</v>
      </c>
      <c r="F14" s="42" t="n"/>
      <c r="G14" s="55">
        <f>IFERROR(INDEX('Semrush Data'!$A$1:$Z$20000,MATCH(A14,'Semrush Data'!$A$1:$A$20000,0),MATCH("Volume",'Semrush Data'!$A$1:$Z$1,0)),"")</f>
        <v/>
      </c>
      <c r="H14" s="42">
        <f>IFERROR(INDEX('Semrush Data'!$A$1:$Z$20000,MATCH(A14,'Semrush Data'!$A$1:$A$20000,0),MATCH("Keyword Difficulty*",'Semrush Data'!$A$1:$Z$1,0)),"")</f>
        <v/>
      </c>
      <c r="I14" s="56">
        <f>IFERROR(INDEX('Semrush Data'!$A$1:$Z$20000,MATCH(A14,'Semrush Data'!$A$1:$A$20000,0),MATCH("CPC*",'Semrush Data'!$A$1:$Z$1,0)),"")</f>
        <v/>
      </c>
      <c r="J14" s="42">
        <f>IFERROR(INDEX('Semrush Data'!$A$1:$Z$20000,MATCH(A14,'Semrush Data'!$A$1:$A$20000,0),MATCH("Intent",'Semrush Data'!$A$1:$Z$1,0)),"")</f>
        <v/>
      </c>
    </row>
    <row r="15" ht="15" customHeight="1" s="37">
      <c r="A15" s="42" t="inlineStr">
        <is>
          <t>abercrombie &amp; fitch perfume</t>
        </is>
      </c>
      <c r="B15" s="42" t="inlineStr">
        <is>
          <t>Brand / family</t>
        </is>
      </c>
      <c r="C15" s="42" t="n">
        <v>1</v>
      </c>
      <c r="D15" s="42" t="n">
        <v>1</v>
      </c>
      <c r="E15" s="42" t="n">
        <v>2</v>
      </c>
      <c r="F15" s="42" t="inlineStr">
        <is>
          <t>FR-001, FR-002</t>
        </is>
      </c>
      <c r="G15" s="55">
        <f>IFERROR(INDEX('Semrush Data'!$A$1:$Z$20000,MATCH(A15,'Semrush Data'!$A$1:$A$20000,0),MATCH("Volume",'Semrush Data'!$A$1:$Z$1,0)),"")</f>
        <v/>
      </c>
      <c r="H15" s="42">
        <f>IFERROR(INDEX('Semrush Data'!$A$1:$Z$20000,MATCH(A15,'Semrush Data'!$A$1:$A$20000,0),MATCH("Keyword Difficulty*",'Semrush Data'!$A$1:$Z$1,0)),"")</f>
        <v/>
      </c>
      <c r="I15" s="56">
        <f>IFERROR(INDEX('Semrush Data'!$A$1:$Z$20000,MATCH(A15,'Semrush Data'!$A$1:$A$20000,0),MATCH("CPC*",'Semrush Data'!$A$1:$Z$1,0)),"")</f>
        <v/>
      </c>
      <c r="J15" s="42">
        <f>IFERROR(INDEX('Semrush Data'!$A$1:$Z$20000,MATCH(A15,'Semrush Data'!$A$1:$A$20000,0),MATCH("Intent",'Semrush Data'!$A$1:$Z$1,0)),"")</f>
        <v/>
      </c>
    </row>
    <row r="16" ht="15" customHeight="1" s="37">
      <c r="A16" s="42" t="inlineStr">
        <is>
          <t>abercrombie &amp; fitch perfume for women</t>
        </is>
      </c>
      <c r="B16" s="42" t="inlineStr">
        <is>
          <t>Brand / family</t>
        </is>
      </c>
      <c r="C16" s="42" t="n">
        <v>1</v>
      </c>
      <c r="D16" s="42" t="n">
        <v>1</v>
      </c>
      <c r="E16" s="42" t="n">
        <v>2</v>
      </c>
      <c r="F16" s="42" t="inlineStr">
        <is>
          <t>FR-001, FR-002</t>
        </is>
      </c>
      <c r="G16" s="55">
        <f>IFERROR(INDEX('Semrush Data'!$A$1:$Z$20000,MATCH(A16,'Semrush Data'!$A$1:$A$20000,0),MATCH("Volume",'Semrush Data'!$A$1:$Z$1,0)),"")</f>
        <v/>
      </c>
      <c r="H16" s="42">
        <f>IFERROR(INDEX('Semrush Data'!$A$1:$Z$20000,MATCH(A16,'Semrush Data'!$A$1:$A$20000,0),MATCH("Keyword Difficulty*",'Semrush Data'!$A$1:$Z$1,0)),"")</f>
        <v/>
      </c>
      <c r="I16" s="56">
        <f>IFERROR(INDEX('Semrush Data'!$A$1:$Z$20000,MATCH(A16,'Semrush Data'!$A$1:$A$20000,0),MATCH("CPC*",'Semrush Data'!$A$1:$Z$1,0)),"")</f>
        <v/>
      </c>
      <c r="J16" s="42">
        <f>IFERROR(INDEX('Semrush Data'!$A$1:$Z$20000,MATCH(A16,'Semrush Data'!$A$1:$A$20000,0),MATCH("Intent",'Semrush Data'!$A$1:$Z$1,0)),"")</f>
        <v/>
      </c>
    </row>
    <row r="17" ht="15" customHeight="1" s="37">
      <c r="A17" s="42" t="inlineStr">
        <is>
          <t>acqua di parma perfume</t>
        </is>
      </c>
      <c r="B17" s="42" t="inlineStr">
        <is>
          <t>Brand / family</t>
        </is>
      </c>
      <c r="C17" s="42" t="n">
        <v>1</v>
      </c>
      <c r="D17" s="42" t="n">
        <v>1</v>
      </c>
      <c r="E17" s="42" t="n">
        <v>8</v>
      </c>
      <c r="F17" s="42" t="inlineStr">
        <is>
          <t>FR-003, FR-004, FR-005, FR-006, FR-007, FR-008, FR-009, FR-010</t>
        </is>
      </c>
      <c r="G17" s="55">
        <f>IFERROR(INDEX('Semrush Data'!$A$1:$Z$20000,MATCH(A17,'Semrush Data'!$A$1:$A$20000,0),MATCH("Volume",'Semrush Data'!$A$1:$Z$1,0)),"")</f>
        <v/>
      </c>
      <c r="H17" s="42">
        <f>IFERROR(INDEX('Semrush Data'!$A$1:$Z$20000,MATCH(A17,'Semrush Data'!$A$1:$A$20000,0),MATCH("Keyword Difficulty*",'Semrush Data'!$A$1:$Z$1,0)),"")</f>
        <v/>
      </c>
      <c r="I17" s="56">
        <f>IFERROR(INDEX('Semrush Data'!$A$1:$Z$20000,MATCH(A17,'Semrush Data'!$A$1:$A$20000,0),MATCH("CPC*",'Semrush Data'!$A$1:$Z$1,0)),"")</f>
        <v/>
      </c>
      <c r="J17" s="42">
        <f>IFERROR(INDEX('Semrush Data'!$A$1:$Z$20000,MATCH(A17,'Semrush Data'!$A$1:$A$20000,0),MATCH("Intent",'Semrush Data'!$A$1:$Z$1,0)),"")</f>
        <v/>
      </c>
    </row>
    <row r="18" ht="15" customHeight="1" s="37">
      <c r="A18" s="42" t="inlineStr">
        <is>
          <t>acqua di parma perfume for men</t>
        </is>
      </c>
      <c r="B18" s="42" t="inlineStr">
        <is>
          <t>Brand / family</t>
        </is>
      </c>
      <c r="C18" s="42" t="n">
        <v>1</v>
      </c>
      <c r="D18" s="42" t="n">
        <v>1</v>
      </c>
      <c r="E18" s="42" t="n">
        <v>1</v>
      </c>
      <c r="F18" s="42" t="inlineStr">
        <is>
          <t>FR-005</t>
        </is>
      </c>
      <c r="G18" s="55">
        <f>IFERROR(INDEX('Semrush Data'!$A$1:$Z$20000,MATCH(A18,'Semrush Data'!$A$1:$A$20000,0),MATCH("Volume",'Semrush Data'!$A$1:$Z$1,0)),"")</f>
        <v/>
      </c>
      <c r="H18" s="42">
        <f>IFERROR(INDEX('Semrush Data'!$A$1:$Z$20000,MATCH(A18,'Semrush Data'!$A$1:$A$20000,0),MATCH("Keyword Difficulty*",'Semrush Data'!$A$1:$Z$1,0)),"")</f>
        <v/>
      </c>
      <c r="I18" s="56">
        <f>IFERROR(INDEX('Semrush Data'!$A$1:$Z$20000,MATCH(A18,'Semrush Data'!$A$1:$A$20000,0),MATCH("CPC*",'Semrush Data'!$A$1:$Z$1,0)),"")</f>
        <v/>
      </c>
      <c r="J18" s="42">
        <f>IFERROR(INDEX('Semrush Data'!$A$1:$Z$20000,MATCH(A18,'Semrush Data'!$A$1:$A$20000,0),MATCH("Intent",'Semrush Data'!$A$1:$Z$1,0)),"")</f>
        <v/>
      </c>
    </row>
    <row r="19" ht="15" customHeight="1" s="37">
      <c r="A19" s="42" t="inlineStr">
        <is>
          <t>acqua di parma perfume for women</t>
        </is>
      </c>
      <c r="B19" s="42" t="inlineStr">
        <is>
          <t>Brand / family</t>
        </is>
      </c>
      <c r="C19" s="42" t="n">
        <v>1</v>
      </c>
      <c r="D19" s="42" t="n">
        <v>1</v>
      </c>
      <c r="E19" s="42" t="n">
        <v>1</v>
      </c>
      <c r="F19" s="42" t="inlineStr">
        <is>
          <t>FR-006</t>
        </is>
      </c>
      <c r="G19" s="55">
        <f>IFERROR(INDEX('Semrush Data'!$A$1:$Z$20000,MATCH(A19,'Semrush Data'!$A$1:$A$20000,0),MATCH("Volume",'Semrush Data'!$A$1:$Z$1,0)),"")</f>
        <v/>
      </c>
      <c r="H19" s="42">
        <f>IFERROR(INDEX('Semrush Data'!$A$1:$Z$20000,MATCH(A19,'Semrush Data'!$A$1:$A$20000,0),MATCH("Keyword Difficulty*",'Semrush Data'!$A$1:$Z$1,0)),"")</f>
        <v/>
      </c>
      <c r="I19" s="56">
        <f>IFERROR(INDEX('Semrush Data'!$A$1:$Z$20000,MATCH(A19,'Semrush Data'!$A$1:$A$20000,0),MATCH("CPC*",'Semrush Data'!$A$1:$Z$1,0)),"")</f>
        <v/>
      </c>
      <c r="J19" s="42">
        <f>IFERROR(INDEX('Semrush Data'!$A$1:$Z$20000,MATCH(A19,'Semrush Data'!$A$1:$A$20000,0),MATCH("Intent",'Semrush Data'!$A$1:$Z$1,0)),"")</f>
        <v/>
      </c>
    </row>
    <row r="20" ht="15" customHeight="1" s="37">
      <c r="A20" s="42" t="inlineStr">
        <is>
          <t>al haramain perfume</t>
        </is>
      </c>
      <c r="B20" s="42" t="inlineStr">
        <is>
          <t>Brand / family</t>
        </is>
      </c>
      <c r="C20" s="42" t="n">
        <v>1</v>
      </c>
      <c r="D20" s="42" t="n">
        <v>1</v>
      </c>
      <c r="E20" s="42" t="n">
        <v>16</v>
      </c>
      <c r="F20" s="42" t="inlineStr">
        <is>
          <t>FR-011, FR-012, FR-013, FR-014, FR-015, FR-016, FR-017, FR-018, FR-019, FR-020, FR-021, FR-022 …</t>
        </is>
      </c>
      <c r="G20" s="55">
        <f>IFERROR(INDEX('Semrush Data'!$A$1:$Z$20000,MATCH(A20,'Semrush Data'!$A$1:$A$20000,0),MATCH("Volume",'Semrush Data'!$A$1:$Z$1,0)),"")</f>
        <v/>
      </c>
      <c r="H20" s="42">
        <f>IFERROR(INDEX('Semrush Data'!$A$1:$Z$20000,MATCH(A20,'Semrush Data'!$A$1:$A$20000,0),MATCH("Keyword Difficulty*",'Semrush Data'!$A$1:$Z$1,0)),"")</f>
        <v/>
      </c>
      <c r="I20" s="56">
        <f>IFERROR(INDEX('Semrush Data'!$A$1:$Z$20000,MATCH(A20,'Semrush Data'!$A$1:$A$20000,0),MATCH("CPC*",'Semrush Data'!$A$1:$Z$1,0)),"")</f>
        <v/>
      </c>
      <c r="J20" s="42">
        <f>IFERROR(INDEX('Semrush Data'!$A$1:$Z$20000,MATCH(A20,'Semrush Data'!$A$1:$A$20000,0),MATCH("Intent",'Semrush Data'!$A$1:$Z$1,0)),"")</f>
        <v/>
      </c>
    </row>
    <row r="21" ht="15" customHeight="1" s="37">
      <c r="A21" s="42" t="inlineStr">
        <is>
          <t>al haramain perfume for men</t>
        </is>
      </c>
      <c r="B21" s="42" t="inlineStr">
        <is>
          <t>Brand / family</t>
        </is>
      </c>
      <c r="C21" s="42" t="n">
        <v>1</v>
      </c>
      <c r="D21" s="42" t="n">
        <v>1</v>
      </c>
      <c r="E21" s="42" t="n">
        <v>3</v>
      </c>
      <c r="F21" s="42" t="inlineStr">
        <is>
          <t>FR-014, FR-022, FR-025</t>
        </is>
      </c>
      <c r="G21" s="55">
        <f>IFERROR(INDEX('Semrush Data'!$A$1:$Z$20000,MATCH(A21,'Semrush Data'!$A$1:$A$20000,0),MATCH("Volume",'Semrush Data'!$A$1:$Z$1,0)),"")</f>
        <v/>
      </c>
      <c r="H21" s="42">
        <f>IFERROR(INDEX('Semrush Data'!$A$1:$Z$20000,MATCH(A21,'Semrush Data'!$A$1:$A$20000,0),MATCH("Keyword Difficulty*",'Semrush Data'!$A$1:$Z$1,0)),"")</f>
        <v/>
      </c>
      <c r="I21" s="56">
        <f>IFERROR(INDEX('Semrush Data'!$A$1:$Z$20000,MATCH(A21,'Semrush Data'!$A$1:$A$20000,0),MATCH("CPC*",'Semrush Data'!$A$1:$Z$1,0)),"")</f>
        <v/>
      </c>
      <c r="J21" s="42">
        <f>IFERROR(INDEX('Semrush Data'!$A$1:$Z$20000,MATCH(A21,'Semrush Data'!$A$1:$A$20000,0),MATCH("Intent",'Semrush Data'!$A$1:$Z$1,0)),"")</f>
        <v/>
      </c>
    </row>
    <row r="22" ht="15" customHeight="1" s="37">
      <c r="A22" s="42" t="inlineStr">
        <is>
          <t>al haramain perfume for women</t>
        </is>
      </c>
      <c r="B22" s="42" t="inlineStr">
        <is>
          <t>Brand / family</t>
        </is>
      </c>
      <c r="C22" s="42" t="n">
        <v>1</v>
      </c>
      <c r="D22" s="42" t="n">
        <v>1</v>
      </c>
      <c r="E22" s="42" t="n">
        <v>3</v>
      </c>
      <c r="F22" s="42" t="inlineStr">
        <is>
          <t>FR-019, FR-023, FR-024</t>
        </is>
      </c>
      <c r="G22" s="55">
        <f>IFERROR(INDEX('Semrush Data'!$A$1:$Z$20000,MATCH(A22,'Semrush Data'!$A$1:$A$20000,0),MATCH("Volume",'Semrush Data'!$A$1:$Z$1,0)),"")</f>
        <v/>
      </c>
      <c r="H22" s="42">
        <f>IFERROR(INDEX('Semrush Data'!$A$1:$Z$20000,MATCH(A22,'Semrush Data'!$A$1:$A$20000,0),MATCH("Keyword Difficulty*",'Semrush Data'!$A$1:$Z$1,0)),"")</f>
        <v/>
      </c>
      <c r="I22" s="56">
        <f>IFERROR(INDEX('Semrush Data'!$A$1:$Z$20000,MATCH(A22,'Semrush Data'!$A$1:$A$20000,0),MATCH("CPC*",'Semrush Data'!$A$1:$Z$1,0)),"")</f>
        <v/>
      </c>
      <c r="J22" s="42">
        <f>IFERROR(INDEX('Semrush Data'!$A$1:$Z$20000,MATCH(A22,'Semrush Data'!$A$1:$A$20000,0),MATCH("Intent",'Semrush Data'!$A$1:$Z$1,0)),"")</f>
        <v/>
      </c>
    </row>
    <row r="23" ht="15" customHeight="1" s="37">
      <c r="A23" s="42" t="inlineStr">
        <is>
          <t>amber perfume for men uk</t>
        </is>
      </c>
      <c r="B23" s="42" t="inlineStr">
        <is>
          <t>Brand / family</t>
        </is>
      </c>
      <c r="C23" s="42" t="n">
        <v>1</v>
      </c>
      <c r="D23" s="42" t="n">
        <v>1</v>
      </c>
      <c r="E23" s="42" t="n">
        <v>6</v>
      </c>
      <c r="F23" s="42" t="inlineStr">
        <is>
          <t>FR-062, FR-088, FR-089, FR-136, FR-139, FR-270</t>
        </is>
      </c>
      <c r="G23" s="55">
        <f>IFERROR(INDEX('Semrush Data'!$A$1:$Z$20000,MATCH(A23,'Semrush Data'!$A$1:$A$20000,0),MATCH("Volume",'Semrush Data'!$A$1:$Z$1,0)),"")</f>
        <v/>
      </c>
      <c r="H23" s="42">
        <f>IFERROR(INDEX('Semrush Data'!$A$1:$Z$20000,MATCH(A23,'Semrush Data'!$A$1:$A$20000,0),MATCH("Keyword Difficulty*",'Semrush Data'!$A$1:$Z$1,0)),"")</f>
        <v/>
      </c>
      <c r="I23" s="56">
        <f>IFERROR(INDEX('Semrush Data'!$A$1:$Z$20000,MATCH(A23,'Semrush Data'!$A$1:$A$20000,0),MATCH("CPC*",'Semrush Data'!$A$1:$Z$1,0)),"")</f>
        <v/>
      </c>
      <c r="J23" s="42">
        <f>IFERROR(INDEX('Semrush Data'!$A$1:$Z$20000,MATCH(A23,'Semrush Data'!$A$1:$A$20000,0),MATCH("Intent",'Semrush Data'!$A$1:$Z$1,0)),"")</f>
        <v/>
      </c>
    </row>
    <row r="24" ht="15" customHeight="1" s="37">
      <c r="A24" s="42" t="inlineStr">
        <is>
          <t>amber perfume uk</t>
        </is>
      </c>
      <c r="B24" s="42" t="inlineStr">
        <is>
          <t>Brand / family</t>
        </is>
      </c>
      <c r="C24" s="42" t="n">
        <v>1</v>
      </c>
      <c r="D24" s="42" t="n">
        <v>1</v>
      </c>
      <c r="E24" s="42" t="n">
        <v>121</v>
      </c>
      <c r="F24" s="42" t="inlineStr">
        <is>
          <t>FR-008, FR-009, FR-010, FR-011, FR-016, FR-018, FR-020, FR-026, FR-027, FR-028, FR-029, FR-030 …</t>
        </is>
      </c>
      <c r="G24" s="55">
        <f>IFERROR(INDEX('Semrush Data'!$A$1:$Z$20000,MATCH(A24,'Semrush Data'!$A$1:$A$20000,0),MATCH("Volume",'Semrush Data'!$A$1:$Z$1,0)),"")</f>
        <v/>
      </c>
      <c r="H24" s="42">
        <f>IFERROR(INDEX('Semrush Data'!$A$1:$Z$20000,MATCH(A24,'Semrush Data'!$A$1:$A$20000,0),MATCH("Keyword Difficulty*",'Semrush Data'!$A$1:$Z$1,0)),"")</f>
        <v/>
      </c>
      <c r="I24" s="56">
        <f>IFERROR(INDEX('Semrush Data'!$A$1:$Z$20000,MATCH(A24,'Semrush Data'!$A$1:$A$20000,0),MATCH("CPC*",'Semrush Data'!$A$1:$Z$1,0)),"")</f>
        <v/>
      </c>
      <c r="J24" s="42">
        <f>IFERROR(INDEX('Semrush Data'!$A$1:$Z$20000,MATCH(A24,'Semrush Data'!$A$1:$A$20000,0),MATCH("Intent",'Semrush Data'!$A$1:$Z$1,0)),"")</f>
        <v/>
      </c>
    </row>
    <row r="25" ht="15" customHeight="1" s="37">
      <c r="A25" s="42" t="inlineStr">
        <is>
          <t>anatome perfume</t>
        </is>
      </c>
      <c r="B25" s="42" t="inlineStr">
        <is>
          <t>Brand / family</t>
        </is>
      </c>
      <c r="C25" s="42" t="n">
        <v>1</v>
      </c>
      <c r="D25" s="42" t="n">
        <v>1</v>
      </c>
      <c r="E25" s="42" t="n">
        <v>16</v>
      </c>
      <c r="F25" s="42" t="inlineStr">
        <is>
          <t>FR-027, FR-028, FR-029, FR-030, FR-031, FR-032, FR-033, FR-034, FR-035, FR-036, FR-037, FR-038 …</t>
        </is>
      </c>
      <c r="G25" s="55">
        <f>IFERROR(INDEX('Semrush Data'!$A$1:$Z$20000,MATCH(A25,'Semrush Data'!$A$1:$A$20000,0),MATCH("Volume",'Semrush Data'!$A$1:$Z$1,0)),"")</f>
        <v/>
      </c>
      <c r="H25" s="42">
        <f>IFERROR(INDEX('Semrush Data'!$A$1:$Z$20000,MATCH(A25,'Semrush Data'!$A$1:$A$20000,0),MATCH("Keyword Difficulty*",'Semrush Data'!$A$1:$Z$1,0)),"")</f>
        <v/>
      </c>
      <c r="I25" s="56">
        <f>IFERROR(INDEX('Semrush Data'!$A$1:$Z$20000,MATCH(A25,'Semrush Data'!$A$1:$A$20000,0),MATCH("CPC*",'Semrush Data'!$A$1:$Z$1,0)),"")</f>
        <v/>
      </c>
      <c r="J25" s="42">
        <f>IFERROR(INDEX('Semrush Data'!$A$1:$Z$20000,MATCH(A25,'Semrush Data'!$A$1:$A$20000,0),MATCH("Intent",'Semrush Data'!$A$1:$Z$1,0)),"")</f>
        <v/>
      </c>
    </row>
    <row r="26" ht="15" customHeight="1" s="37">
      <c r="A26" s="42" t="inlineStr">
        <is>
          <t>anna sui perfume</t>
        </is>
      </c>
      <c r="B26" s="42" t="inlineStr">
        <is>
          <t>Brand / family</t>
        </is>
      </c>
      <c r="C26" s="42" t="n">
        <v>1</v>
      </c>
      <c r="D26" s="42" t="n">
        <v>1</v>
      </c>
      <c r="E26" s="42" t="n">
        <v>1</v>
      </c>
      <c r="F26" s="42" t="inlineStr">
        <is>
          <t>FR-043</t>
        </is>
      </c>
      <c r="G26" s="55">
        <f>IFERROR(INDEX('Semrush Data'!$A$1:$Z$20000,MATCH(A26,'Semrush Data'!$A$1:$A$20000,0),MATCH("Volume",'Semrush Data'!$A$1:$Z$1,0)),"")</f>
        <v/>
      </c>
      <c r="H26" s="42">
        <f>IFERROR(INDEX('Semrush Data'!$A$1:$Z$20000,MATCH(A26,'Semrush Data'!$A$1:$A$20000,0),MATCH("Keyword Difficulty*",'Semrush Data'!$A$1:$Z$1,0)),"")</f>
        <v/>
      </c>
      <c r="I26" s="56">
        <f>IFERROR(INDEX('Semrush Data'!$A$1:$Z$20000,MATCH(A26,'Semrush Data'!$A$1:$A$20000,0),MATCH("CPC*",'Semrush Data'!$A$1:$Z$1,0)),"")</f>
        <v/>
      </c>
      <c r="J26" s="42">
        <f>IFERROR(INDEX('Semrush Data'!$A$1:$Z$20000,MATCH(A26,'Semrush Data'!$A$1:$A$20000,0),MATCH("Intent",'Semrush Data'!$A$1:$Z$1,0)),"")</f>
        <v/>
      </c>
    </row>
    <row r="27" ht="15" customHeight="1" s="37">
      <c r="A27" s="42" t="inlineStr">
        <is>
          <t>anna sui perfume for women</t>
        </is>
      </c>
      <c r="B27" s="42" t="inlineStr">
        <is>
          <t>Brand / family</t>
        </is>
      </c>
      <c r="C27" s="42" t="n">
        <v>1</v>
      </c>
      <c r="D27" s="42" t="n">
        <v>1</v>
      </c>
      <c r="E27" s="42" t="n">
        <v>1</v>
      </c>
      <c r="F27" s="42" t="inlineStr">
        <is>
          <t>FR-043</t>
        </is>
      </c>
      <c r="G27" s="55">
        <f>IFERROR(INDEX('Semrush Data'!$A$1:$Z$20000,MATCH(A27,'Semrush Data'!$A$1:$A$20000,0),MATCH("Volume",'Semrush Data'!$A$1:$Z$1,0)),"")</f>
        <v/>
      </c>
      <c r="H27" s="42">
        <f>IFERROR(INDEX('Semrush Data'!$A$1:$Z$20000,MATCH(A27,'Semrush Data'!$A$1:$A$20000,0),MATCH("Keyword Difficulty*",'Semrush Data'!$A$1:$Z$1,0)),"")</f>
        <v/>
      </c>
      <c r="I27" s="56">
        <f>IFERROR(INDEX('Semrush Data'!$A$1:$Z$20000,MATCH(A27,'Semrush Data'!$A$1:$A$20000,0),MATCH("CPC*",'Semrush Data'!$A$1:$Z$1,0)),"")</f>
        <v/>
      </c>
      <c r="J27" s="42">
        <f>IFERROR(INDEX('Semrush Data'!$A$1:$Z$20000,MATCH(A27,'Semrush Data'!$A$1:$A$20000,0),MATCH("Intent",'Semrush Data'!$A$1:$Z$1,0)),"")</f>
        <v/>
      </c>
    </row>
    <row r="28" ht="15" customHeight="1" s="37">
      <c r="A28" s="42" t="inlineStr">
        <is>
          <t>antonio banderas perfume</t>
        </is>
      </c>
      <c r="B28" s="42" t="inlineStr">
        <is>
          <t>Brand / family</t>
        </is>
      </c>
      <c r="C28" s="42" t="n">
        <v>1</v>
      </c>
      <c r="D28" s="42" t="n">
        <v>1</v>
      </c>
      <c r="E28" s="42" t="n">
        <v>6</v>
      </c>
      <c r="F28" s="42" t="inlineStr">
        <is>
          <t>FR-044, FR-045, FR-046, FR-047, FR-048, FR-049</t>
        </is>
      </c>
      <c r="G28" s="55">
        <f>IFERROR(INDEX('Semrush Data'!$A$1:$Z$20000,MATCH(A28,'Semrush Data'!$A$1:$A$20000,0),MATCH("Volume",'Semrush Data'!$A$1:$Z$1,0)),"")</f>
        <v/>
      </c>
      <c r="H28" s="42">
        <f>IFERROR(INDEX('Semrush Data'!$A$1:$Z$20000,MATCH(A28,'Semrush Data'!$A$1:$A$20000,0),MATCH("Keyword Difficulty*",'Semrush Data'!$A$1:$Z$1,0)),"")</f>
        <v/>
      </c>
      <c r="I28" s="56">
        <f>IFERROR(INDEX('Semrush Data'!$A$1:$Z$20000,MATCH(A28,'Semrush Data'!$A$1:$A$20000,0),MATCH("CPC*",'Semrush Data'!$A$1:$Z$1,0)),"")</f>
        <v/>
      </c>
      <c r="J28" s="42">
        <f>IFERROR(INDEX('Semrush Data'!$A$1:$Z$20000,MATCH(A28,'Semrush Data'!$A$1:$A$20000,0),MATCH("Intent",'Semrush Data'!$A$1:$Z$1,0)),"")</f>
        <v/>
      </c>
    </row>
    <row r="29" ht="15" customHeight="1" s="37">
      <c r="A29" s="42" t="inlineStr">
        <is>
          <t>antonio banderas perfume for men</t>
        </is>
      </c>
      <c r="B29" s="42" t="inlineStr">
        <is>
          <t>Brand / family</t>
        </is>
      </c>
      <c r="C29" s="42" t="n">
        <v>1</v>
      </c>
      <c r="D29" s="42" t="n">
        <v>1</v>
      </c>
      <c r="E29" s="42" t="n">
        <v>2</v>
      </c>
      <c r="F29" s="42" t="inlineStr">
        <is>
          <t>FR-046, FR-049</t>
        </is>
      </c>
      <c r="G29" s="55">
        <f>IFERROR(INDEX('Semrush Data'!$A$1:$Z$20000,MATCH(A29,'Semrush Data'!$A$1:$A$20000,0),MATCH("Volume",'Semrush Data'!$A$1:$Z$1,0)),"")</f>
        <v/>
      </c>
      <c r="H29" s="42">
        <f>IFERROR(INDEX('Semrush Data'!$A$1:$Z$20000,MATCH(A29,'Semrush Data'!$A$1:$A$20000,0),MATCH("Keyword Difficulty*",'Semrush Data'!$A$1:$Z$1,0)),"")</f>
        <v/>
      </c>
      <c r="I29" s="56">
        <f>IFERROR(INDEX('Semrush Data'!$A$1:$Z$20000,MATCH(A29,'Semrush Data'!$A$1:$A$20000,0),MATCH("CPC*",'Semrush Data'!$A$1:$Z$1,0)),"")</f>
        <v/>
      </c>
      <c r="J29" s="42">
        <f>IFERROR(INDEX('Semrush Data'!$A$1:$Z$20000,MATCH(A29,'Semrush Data'!$A$1:$A$20000,0),MATCH("Intent",'Semrush Data'!$A$1:$Z$1,0)),"")</f>
        <v/>
      </c>
    </row>
    <row r="30" ht="15" customHeight="1" s="37">
      <c r="A30" s="42" t="inlineStr">
        <is>
          <t>antonio banderas perfume for women</t>
        </is>
      </c>
      <c r="B30" s="42" t="inlineStr">
        <is>
          <t>Brand / family</t>
        </is>
      </c>
      <c r="C30" s="42" t="n">
        <v>1</v>
      </c>
      <c r="D30" s="42" t="n">
        <v>1</v>
      </c>
      <c r="E30" s="42" t="n">
        <v>2</v>
      </c>
      <c r="F30" s="42" t="inlineStr">
        <is>
          <t>FR-047, FR-048</t>
        </is>
      </c>
      <c r="G30" s="55">
        <f>IFERROR(INDEX('Semrush Data'!$A$1:$Z$20000,MATCH(A30,'Semrush Data'!$A$1:$A$20000,0),MATCH("Volume",'Semrush Data'!$A$1:$Z$1,0)),"")</f>
        <v/>
      </c>
      <c r="H30" s="42">
        <f>IFERROR(INDEX('Semrush Data'!$A$1:$Z$20000,MATCH(A30,'Semrush Data'!$A$1:$A$20000,0),MATCH("Keyword Difficulty*",'Semrush Data'!$A$1:$Z$1,0)),"")</f>
        <v/>
      </c>
      <c r="I30" s="56">
        <f>IFERROR(INDEX('Semrush Data'!$A$1:$Z$20000,MATCH(A30,'Semrush Data'!$A$1:$A$20000,0),MATCH("CPC*",'Semrush Data'!$A$1:$Z$1,0)),"")</f>
        <v/>
      </c>
      <c r="J30" s="42">
        <f>IFERROR(INDEX('Semrush Data'!$A$1:$Z$20000,MATCH(A30,'Semrush Data'!$A$1:$A$20000,0),MATCH("Intent",'Semrush Data'!$A$1:$Z$1,0)),"")</f>
        <v/>
      </c>
    </row>
    <row r="31" ht="15" customHeight="1" s="37">
      <c r="A31" s="42" t="inlineStr">
        <is>
          <t>aquatic perfume uk</t>
        </is>
      </c>
      <c r="B31" s="42" t="inlineStr">
        <is>
          <t>Brand / family</t>
        </is>
      </c>
      <c r="C31" s="42" t="n">
        <v>1</v>
      </c>
      <c r="D31" s="42" t="n">
        <v>1</v>
      </c>
      <c r="E31" s="42" t="n">
        <v>1</v>
      </c>
      <c r="F31" s="42" t="inlineStr">
        <is>
          <t>FR-372</t>
        </is>
      </c>
      <c r="G31" s="55">
        <f>IFERROR(INDEX('Semrush Data'!$A$1:$Z$20000,MATCH(A31,'Semrush Data'!$A$1:$A$20000,0),MATCH("Volume",'Semrush Data'!$A$1:$Z$1,0)),"")</f>
        <v/>
      </c>
      <c r="H31" s="42">
        <f>IFERROR(INDEX('Semrush Data'!$A$1:$Z$20000,MATCH(A31,'Semrush Data'!$A$1:$A$20000,0),MATCH("Keyword Difficulty*",'Semrush Data'!$A$1:$Z$1,0)),"")</f>
        <v/>
      </c>
      <c r="I31" s="56">
        <f>IFERROR(INDEX('Semrush Data'!$A$1:$Z$20000,MATCH(A31,'Semrush Data'!$A$1:$A$20000,0),MATCH("CPC*",'Semrush Data'!$A$1:$Z$1,0)),"")</f>
        <v/>
      </c>
      <c r="J31" s="42">
        <f>IFERROR(INDEX('Semrush Data'!$A$1:$Z$20000,MATCH(A31,'Semrush Data'!$A$1:$A$20000,0),MATCH("Intent",'Semrush Data'!$A$1:$Z$1,0)),"")</f>
        <v/>
      </c>
    </row>
    <row r="32" ht="15" customHeight="1" s="37">
      <c r="A32" s="42" t="inlineStr">
        <is>
          <t>ariana grande perfume</t>
        </is>
      </c>
      <c r="B32" s="42" t="inlineStr">
        <is>
          <t>Brand / family</t>
        </is>
      </c>
      <c r="C32" s="42" t="n">
        <v>1</v>
      </c>
      <c r="D32" s="42" t="n">
        <v>1</v>
      </c>
      <c r="E32" s="42" t="n">
        <v>1</v>
      </c>
      <c r="F32" s="42" t="inlineStr">
        <is>
          <t>FR-050</t>
        </is>
      </c>
      <c r="G32" s="55">
        <f>IFERROR(INDEX('Semrush Data'!$A$1:$Z$20000,MATCH(A32,'Semrush Data'!$A$1:$A$20000,0),MATCH("Volume",'Semrush Data'!$A$1:$Z$1,0)),"")</f>
        <v/>
      </c>
      <c r="H32" s="42">
        <f>IFERROR(INDEX('Semrush Data'!$A$1:$Z$20000,MATCH(A32,'Semrush Data'!$A$1:$A$20000,0),MATCH("Keyword Difficulty*",'Semrush Data'!$A$1:$Z$1,0)),"")</f>
        <v/>
      </c>
      <c r="I32" s="56">
        <f>IFERROR(INDEX('Semrush Data'!$A$1:$Z$20000,MATCH(A32,'Semrush Data'!$A$1:$A$20000,0),MATCH("CPC*",'Semrush Data'!$A$1:$Z$1,0)),"")</f>
        <v/>
      </c>
      <c r="J32" s="42">
        <f>IFERROR(INDEX('Semrush Data'!$A$1:$Z$20000,MATCH(A32,'Semrush Data'!$A$1:$A$20000,0),MATCH("Intent",'Semrush Data'!$A$1:$Z$1,0)),"")</f>
        <v/>
      </c>
    </row>
    <row r="33" ht="15" customHeight="1" s="37">
      <c r="A33" s="42" t="inlineStr">
        <is>
          <t>ariana grande perfume for women</t>
        </is>
      </c>
      <c r="B33" s="42" t="inlineStr">
        <is>
          <t>Brand / family</t>
        </is>
      </c>
      <c r="C33" s="42" t="n">
        <v>1</v>
      </c>
      <c r="D33" s="42" t="n">
        <v>1</v>
      </c>
      <c r="E33" s="42" t="n">
        <v>1</v>
      </c>
      <c r="F33" s="42" t="inlineStr">
        <is>
          <t>FR-050</t>
        </is>
      </c>
      <c r="G33" s="55">
        <f>IFERROR(INDEX('Semrush Data'!$A$1:$Z$20000,MATCH(A33,'Semrush Data'!$A$1:$A$20000,0),MATCH("Volume",'Semrush Data'!$A$1:$Z$1,0)),"")</f>
        <v/>
      </c>
      <c r="H33" s="42">
        <f>IFERROR(INDEX('Semrush Data'!$A$1:$Z$20000,MATCH(A33,'Semrush Data'!$A$1:$A$20000,0),MATCH("Keyword Difficulty*",'Semrush Data'!$A$1:$Z$1,0)),"")</f>
        <v/>
      </c>
      <c r="I33" s="56">
        <f>IFERROR(INDEX('Semrush Data'!$A$1:$Z$20000,MATCH(A33,'Semrush Data'!$A$1:$A$20000,0),MATCH("CPC*",'Semrush Data'!$A$1:$Z$1,0)),"")</f>
        <v/>
      </c>
      <c r="J33" s="42">
        <f>IFERROR(INDEX('Semrush Data'!$A$1:$Z$20000,MATCH(A33,'Semrush Data'!$A$1:$A$20000,0),MATCH("Intent",'Semrush Data'!$A$1:$Z$1,0)),"")</f>
        <v/>
      </c>
    </row>
    <row r="34" ht="15" customHeight="1" s="37">
      <c r="A34" s="42" t="inlineStr">
        <is>
          <t>armaf perfume</t>
        </is>
      </c>
      <c r="B34" s="42" t="inlineStr">
        <is>
          <t>Brand / family</t>
        </is>
      </c>
      <c r="C34" s="42" t="n">
        <v>1</v>
      </c>
      <c r="D34" s="42" t="n">
        <v>1</v>
      </c>
      <c r="E34" s="42" t="n">
        <v>1</v>
      </c>
      <c r="F34" s="42" t="inlineStr">
        <is>
          <t>FR-051</t>
        </is>
      </c>
      <c r="G34" s="55">
        <f>IFERROR(INDEX('Semrush Data'!$A$1:$Z$20000,MATCH(A34,'Semrush Data'!$A$1:$A$20000,0),MATCH("Volume",'Semrush Data'!$A$1:$Z$1,0)),"")</f>
        <v/>
      </c>
      <c r="H34" s="42">
        <f>IFERROR(INDEX('Semrush Data'!$A$1:$Z$20000,MATCH(A34,'Semrush Data'!$A$1:$A$20000,0),MATCH("Keyword Difficulty*",'Semrush Data'!$A$1:$Z$1,0)),"")</f>
        <v/>
      </c>
      <c r="I34" s="56">
        <f>IFERROR(INDEX('Semrush Data'!$A$1:$Z$20000,MATCH(A34,'Semrush Data'!$A$1:$A$20000,0),MATCH("CPC*",'Semrush Data'!$A$1:$Z$1,0)),"")</f>
        <v/>
      </c>
      <c r="J34" s="42">
        <f>IFERROR(INDEX('Semrush Data'!$A$1:$Z$20000,MATCH(A34,'Semrush Data'!$A$1:$A$20000,0),MATCH("Intent",'Semrush Data'!$A$1:$Z$1,0)),"")</f>
        <v/>
      </c>
    </row>
    <row r="35" ht="15" customHeight="1" s="37">
      <c r="A35" s="42" t="inlineStr">
        <is>
          <t>armaf perfume for men</t>
        </is>
      </c>
      <c r="B35" s="42" t="inlineStr">
        <is>
          <t>Brand / family</t>
        </is>
      </c>
      <c r="C35" s="42" t="n">
        <v>1</v>
      </c>
      <c r="D35" s="42" t="n">
        <v>1</v>
      </c>
      <c r="E35" s="42" t="n">
        <v>1</v>
      </c>
      <c r="F35" s="42" t="inlineStr">
        <is>
          <t>FR-051</t>
        </is>
      </c>
      <c r="G35" s="55">
        <f>IFERROR(INDEX('Semrush Data'!$A$1:$Z$20000,MATCH(A35,'Semrush Data'!$A$1:$A$20000,0),MATCH("Volume",'Semrush Data'!$A$1:$Z$1,0)),"")</f>
        <v/>
      </c>
      <c r="H35" s="42">
        <f>IFERROR(INDEX('Semrush Data'!$A$1:$Z$20000,MATCH(A35,'Semrush Data'!$A$1:$A$20000,0),MATCH("Keyword Difficulty*",'Semrush Data'!$A$1:$Z$1,0)),"")</f>
        <v/>
      </c>
      <c r="I35" s="56">
        <f>IFERROR(INDEX('Semrush Data'!$A$1:$Z$20000,MATCH(A35,'Semrush Data'!$A$1:$A$20000,0),MATCH("CPC*",'Semrush Data'!$A$1:$Z$1,0)),"")</f>
        <v/>
      </c>
      <c r="J35" s="42">
        <f>IFERROR(INDEX('Semrush Data'!$A$1:$Z$20000,MATCH(A35,'Semrush Data'!$A$1:$A$20000,0),MATCH("Intent",'Semrush Data'!$A$1:$Z$1,0)),"")</f>
        <v/>
      </c>
    </row>
    <row r="36" ht="15" customHeight="1" s="37">
      <c r="A36" s="42" t="inlineStr">
        <is>
          <t>aromatic perfume for men uk</t>
        </is>
      </c>
      <c r="B36" s="42" t="inlineStr">
        <is>
          <t>Brand / family</t>
        </is>
      </c>
      <c r="C36" s="42" t="n">
        <v>1</v>
      </c>
      <c r="D36" s="42" t="n">
        <v>1</v>
      </c>
      <c r="E36" s="42" t="n">
        <v>5</v>
      </c>
      <c r="F36" s="42" t="inlineStr">
        <is>
          <t>FR-052, FR-086, FR-111, FR-141, FR-256</t>
        </is>
      </c>
      <c r="G36" s="55">
        <f>IFERROR(INDEX('Semrush Data'!$A$1:$Z$20000,MATCH(A36,'Semrush Data'!$A$1:$A$20000,0),MATCH("Volume",'Semrush Data'!$A$1:$Z$1,0)),"")</f>
        <v/>
      </c>
      <c r="H36" s="42">
        <f>IFERROR(INDEX('Semrush Data'!$A$1:$Z$20000,MATCH(A36,'Semrush Data'!$A$1:$A$20000,0),MATCH("Keyword Difficulty*",'Semrush Data'!$A$1:$Z$1,0)),"")</f>
        <v/>
      </c>
      <c r="I36" s="56">
        <f>IFERROR(INDEX('Semrush Data'!$A$1:$Z$20000,MATCH(A36,'Semrush Data'!$A$1:$A$20000,0),MATCH("CPC*",'Semrush Data'!$A$1:$Z$1,0)),"")</f>
        <v/>
      </c>
      <c r="J36" s="42">
        <f>IFERROR(INDEX('Semrush Data'!$A$1:$Z$20000,MATCH(A36,'Semrush Data'!$A$1:$A$20000,0),MATCH("Intent",'Semrush Data'!$A$1:$Z$1,0)),"")</f>
        <v/>
      </c>
    </row>
    <row r="37" ht="15" customHeight="1" s="37">
      <c r="A37" s="42" t="inlineStr">
        <is>
          <t>bentley perfume</t>
        </is>
      </c>
      <c r="B37" s="42" t="inlineStr">
        <is>
          <t>Brand / family</t>
        </is>
      </c>
      <c r="C37" s="42" t="n">
        <v>1</v>
      </c>
      <c r="D37" s="42" t="n">
        <v>1</v>
      </c>
      <c r="E37" s="42" t="n">
        <v>11</v>
      </c>
      <c r="F37" s="42" t="inlineStr">
        <is>
          <t>FR-052, FR-053, FR-054, FR-055, FR-056, FR-057, FR-058, FR-059, FR-060, FR-061, FR-062</t>
        </is>
      </c>
      <c r="G37" s="55">
        <f>IFERROR(INDEX('Semrush Data'!$A$1:$Z$20000,MATCH(A37,'Semrush Data'!$A$1:$A$20000,0),MATCH("Volume",'Semrush Data'!$A$1:$Z$1,0)),"")</f>
        <v/>
      </c>
      <c r="H37" s="42">
        <f>IFERROR(INDEX('Semrush Data'!$A$1:$Z$20000,MATCH(A37,'Semrush Data'!$A$1:$A$20000,0),MATCH("Keyword Difficulty*",'Semrush Data'!$A$1:$Z$1,0)),"")</f>
        <v/>
      </c>
      <c r="I37" s="56">
        <f>IFERROR(INDEX('Semrush Data'!$A$1:$Z$20000,MATCH(A37,'Semrush Data'!$A$1:$A$20000,0),MATCH("CPC*",'Semrush Data'!$A$1:$Z$1,0)),"")</f>
        <v/>
      </c>
      <c r="J37" s="42">
        <f>IFERROR(INDEX('Semrush Data'!$A$1:$Z$20000,MATCH(A37,'Semrush Data'!$A$1:$A$20000,0),MATCH("Intent",'Semrush Data'!$A$1:$Z$1,0)),"")</f>
        <v/>
      </c>
    </row>
    <row r="38" ht="15" customHeight="1" s="37">
      <c r="A38" s="42" t="inlineStr">
        <is>
          <t>bentley perfume for men</t>
        </is>
      </c>
      <c r="B38" s="42" t="inlineStr">
        <is>
          <t>Brand / family</t>
        </is>
      </c>
      <c r="C38" s="42" t="n">
        <v>1</v>
      </c>
      <c r="D38" s="42" t="n">
        <v>1</v>
      </c>
      <c r="E38" s="42" t="n">
        <v>11</v>
      </c>
      <c r="F38" s="42" t="inlineStr">
        <is>
          <t>FR-052, FR-053, FR-054, FR-055, FR-056, FR-057, FR-058, FR-059, FR-060, FR-061, FR-062</t>
        </is>
      </c>
      <c r="G38" s="55">
        <f>IFERROR(INDEX('Semrush Data'!$A$1:$Z$20000,MATCH(A38,'Semrush Data'!$A$1:$A$20000,0),MATCH("Volume",'Semrush Data'!$A$1:$Z$1,0)),"")</f>
        <v/>
      </c>
      <c r="H38" s="42">
        <f>IFERROR(INDEX('Semrush Data'!$A$1:$Z$20000,MATCH(A38,'Semrush Data'!$A$1:$A$20000,0),MATCH("Keyword Difficulty*",'Semrush Data'!$A$1:$Z$1,0)),"")</f>
        <v/>
      </c>
      <c r="I38" s="56">
        <f>IFERROR(INDEX('Semrush Data'!$A$1:$Z$20000,MATCH(A38,'Semrush Data'!$A$1:$A$20000,0),MATCH("CPC*",'Semrush Data'!$A$1:$Z$1,0)),"")</f>
        <v/>
      </c>
      <c r="J38" s="42">
        <f>IFERROR(INDEX('Semrush Data'!$A$1:$Z$20000,MATCH(A38,'Semrush Data'!$A$1:$A$20000,0),MATCH("Intent",'Semrush Data'!$A$1:$Z$1,0)),"")</f>
        <v/>
      </c>
    </row>
    <row r="39" ht="15" customHeight="1" s="37">
      <c r="A39" s="42" t="inlineStr">
        <is>
          <t>burberry perfume</t>
        </is>
      </c>
      <c r="B39" s="42" t="inlineStr">
        <is>
          <t>Brand / family</t>
        </is>
      </c>
      <c r="C39" s="42" t="n">
        <v>1</v>
      </c>
      <c r="D39" s="42" t="n">
        <v>1</v>
      </c>
      <c r="E39" s="42" t="n">
        <v>5</v>
      </c>
      <c r="F39" s="42" t="inlineStr">
        <is>
          <t>FR-063, FR-064, FR-065, FR-066, FR-067</t>
        </is>
      </c>
      <c r="G39" s="55">
        <f>IFERROR(INDEX('Semrush Data'!$A$1:$Z$20000,MATCH(A39,'Semrush Data'!$A$1:$A$20000,0),MATCH("Volume",'Semrush Data'!$A$1:$Z$1,0)),"")</f>
        <v/>
      </c>
      <c r="H39" s="42">
        <f>IFERROR(INDEX('Semrush Data'!$A$1:$Z$20000,MATCH(A39,'Semrush Data'!$A$1:$A$20000,0),MATCH("Keyword Difficulty*",'Semrush Data'!$A$1:$Z$1,0)),"")</f>
        <v/>
      </c>
      <c r="I39" s="56">
        <f>IFERROR(INDEX('Semrush Data'!$A$1:$Z$20000,MATCH(A39,'Semrush Data'!$A$1:$A$20000,0),MATCH("CPC*",'Semrush Data'!$A$1:$Z$1,0)),"")</f>
        <v/>
      </c>
      <c r="J39" s="42">
        <f>IFERROR(INDEX('Semrush Data'!$A$1:$Z$20000,MATCH(A39,'Semrush Data'!$A$1:$A$20000,0),MATCH("Intent",'Semrush Data'!$A$1:$Z$1,0)),"")</f>
        <v/>
      </c>
    </row>
    <row r="40" ht="15" customHeight="1" s="37">
      <c r="A40" s="42" t="inlineStr">
        <is>
          <t>burberry perfume for women</t>
        </is>
      </c>
      <c r="B40" s="42" t="inlineStr">
        <is>
          <t>Brand / family</t>
        </is>
      </c>
      <c r="C40" s="42" t="n">
        <v>1</v>
      </c>
      <c r="D40" s="42" t="n">
        <v>1</v>
      </c>
      <c r="E40" s="42" t="n">
        <v>5</v>
      </c>
      <c r="F40" s="42" t="inlineStr">
        <is>
          <t>FR-063, FR-064, FR-065, FR-066, FR-067</t>
        </is>
      </c>
      <c r="G40" s="55">
        <f>IFERROR(INDEX('Semrush Data'!$A$1:$Z$20000,MATCH(A40,'Semrush Data'!$A$1:$A$20000,0),MATCH("Volume",'Semrush Data'!$A$1:$Z$1,0)),"")</f>
        <v/>
      </c>
      <c r="H40" s="42">
        <f>IFERROR(INDEX('Semrush Data'!$A$1:$Z$20000,MATCH(A40,'Semrush Data'!$A$1:$A$20000,0),MATCH("Keyword Difficulty*",'Semrush Data'!$A$1:$Z$1,0)),"")</f>
        <v/>
      </c>
      <c r="I40" s="56">
        <f>IFERROR(INDEX('Semrush Data'!$A$1:$Z$20000,MATCH(A40,'Semrush Data'!$A$1:$A$20000,0),MATCH("CPC*",'Semrush Data'!$A$1:$Z$1,0)),"")</f>
        <v/>
      </c>
      <c r="J40" s="42">
        <f>IFERROR(INDEX('Semrush Data'!$A$1:$Z$20000,MATCH(A40,'Semrush Data'!$A$1:$A$20000,0),MATCH("Intent",'Semrush Data'!$A$1:$Z$1,0)),"")</f>
        <v/>
      </c>
    </row>
    <row r="41" ht="15" customHeight="1" s="37">
      <c r="A41" s="42" t="inlineStr">
        <is>
          <t>bvlgari perfume</t>
        </is>
      </c>
      <c r="B41" s="42" t="inlineStr">
        <is>
          <t>Brand / family</t>
        </is>
      </c>
      <c r="C41" s="42" t="n">
        <v>1</v>
      </c>
      <c r="D41" s="42" t="n">
        <v>1</v>
      </c>
      <c r="E41" s="42" t="n">
        <v>8</v>
      </c>
      <c r="F41" s="42" t="inlineStr">
        <is>
          <t>FR-068, FR-069, FR-070, FR-071, FR-072, FR-073, FR-074, FR-075</t>
        </is>
      </c>
      <c r="G41" s="55">
        <f>IFERROR(INDEX('Semrush Data'!$A$1:$Z$20000,MATCH(A41,'Semrush Data'!$A$1:$A$20000,0),MATCH("Volume",'Semrush Data'!$A$1:$Z$1,0)),"")</f>
        <v/>
      </c>
      <c r="H41" s="42">
        <f>IFERROR(INDEX('Semrush Data'!$A$1:$Z$20000,MATCH(A41,'Semrush Data'!$A$1:$A$20000,0),MATCH("Keyword Difficulty*",'Semrush Data'!$A$1:$Z$1,0)),"")</f>
        <v/>
      </c>
      <c r="I41" s="56">
        <f>IFERROR(INDEX('Semrush Data'!$A$1:$Z$20000,MATCH(A41,'Semrush Data'!$A$1:$A$20000,0),MATCH("CPC*",'Semrush Data'!$A$1:$Z$1,0)),"")</f>
        <v/>
      </c>
      <c r="J41" s="42">
        <f>IFERROR(INDEX('Semrush Data'!$A$1:$Z$20000,MATCH(A41,'Semrush Data'!$A$1:$A$20000,0),MATCH("Intent",'Semrush Data'!$A$1:$Z$1,0)),"")</f>
        <v/>
      </c>
    </row>
    <row r="42" ht="15" customHeight="1" s="37">
      <c r="A42" s="42" t="inlineStr">
        <is>
          <t>bvlgari perfume for men</t>
        </is>
      </c>
      <c r="B42" s="42" t="inlineStr">
        <is>
          <t>Brand / family</t>
        </is>
      </c>
      <c r="C42" s="42" t="n">
        <v>1</v>
      </c>
      <c r="D42" s="42" t="n">
        <v>1</v>
      </c>
      <c r="E42" s="42" t="n">
        <v>5</v>
      </c>
      <c r="F42" s="42" t="inlineStr">
        <is>
          <t>FR-068, FR-071, FR-072, FR-073, FR-074</t>
        </is>
      </c>
      <c r="G42" s="55">
        <f>IFERROR(INDEX('Semrush Data'!$A$1:$Z$20000,MATCH(A42,'Semrush Data'!$A$1:$A$20000,0),MATCH("Volume",'Semrush Data'!$A$1:$Z$1,0)),"")</f>
        <v/>
      </c>
      <c r="H42" s="42">
        <f>IFERROR(INDEX('Semrush Data'!$A$1:$Z$20000,MATCH(A42,'Semrush Data'!$A$1:$A$20000,0),MATCH("Keyword Difficulty*",'Semrush Data'!$A$1:$Z$1,0)),"")</f>
        <v/>
      </c>
      <c r="I42" s="56">
        <f>IFERROR(INDEX('Semrush Data'!$A$1:$Z$20000,MATCH(A42,'Semrush Data'!$A$1:$A$20000,0),MATCH("CPC*",'Semrush Data'!$A$1:$Z$1,0)),"")</f>
        <v/>
      </c>
      <c r="J42" s="42">
        <f>IFERROR(INDEX('Semrush Data'!$A$1:$Z$20000,MATCH(A42,'Semrush Data'!$A$1:$A$20000,0),MATCH("Intent",'Semrush Data'!$A$1:$Z$1,0)),"")</f>
        <v/>
      </c>
    </row>
    <row r="43" ht="15" customHeight="1" s="37">
      <c r="A43" s="42" t="inlineStr">
        <is>
          <t>bvlgari perfume for women</t>
        </is>
      </c>
      <c r="B43" s="42" t="inlineStr">
        <is>
          <t>Brand / family</t>
        </is>
      </c>
      <c r="C43" s="42" t="n">
        <v>1</v>
      </c>
      <c r="D43" s="42" t="n">
        <v>1</v>
      </c>
      <c r="E43" s="42" t="n">
        <v>3</v>
      </c>
      <c r="F43" s="42" t="inlineStr">
        <is>
          <t>FR-069, FR-070, FR-075</t>
        </is>
      </c>
      <c r="G43" s="55">
        <f>IFERROR(INDEX('Semrush Data'!$A$1:$Z$20000,MATCH(A43,'Semrush Data'!$A$1:$A$20000,0),MATCH("Volume",'Semrush Data'!$A$1:$Z$1,0)),"")</f>
        <v/>
      </c>
      <c r="H43" s="42">
        <f>IFERROR(INDEX('Semrush Data'!$A$1:$Z$20000,MATCH(A43,'Semrush Data'!$A$1:$A$20000,0),MATCH("Keyword Difficulty*",'Semrush Data'!$A$1:$Z$1,0)),"")</f>
        <v/>
      </c>
      <c r="I43" s="56">
        <f>IFERROR(INDEX('Semrush Data'!$A$1:$Z$20000,MATCH(A43,'Semrush Data'!$A$1:$A$20000,0),MATCH("CPC*",'Semrush Data'!$A$1:$Z$1,0)),"")</f>
        <v/>
      </c>
      <c r="J43" s="42">
        <f>IFERROR(INDEX('Semrush Data'!$A$1:$Z$20000,MATCH(A43,'Semrush Data'!$A$1:$A$20000,0),MATCH("Intent",'Semrush Data'!$A$1:$Z$1,0)),"")</f>
        <v/>
      </c>
    </row>
    <row r="44" ht="15" customHeight="1" s="37">
      <c r="A44" s="42" t="inlineStr">
        <is>
          <t>calvin klein perfume</t>
        </is>
      </c>
      <c r="B44" s="42" t="inlineStr">
        <is>
          <t>Brand / family</t>
        </is>
      </c>
      <c r="C44" s="42" t="n">
        <v>1</v>
      </c>
      <c r="D44" s="42" t="n">
        <v>1</v>
      </c>
      <c r="E44" s="42" t="n">
        <v>11</v>
      </c>
      <c r="F44" s="42" t="inlineStr">
        <is>
          <t>FR-076, FR-077, FR-078, FR-079, FR-080, FR-081, FR-082, FR-083, FR-084, FR-085, FR-086</t>
        </is>
      </c>
      <c r="G44" s="55">
        <f>IFERROR(INDEX('Semrush Data'!$A$1:$Z$20000,MATCH(A44,'Semrush Data'!$A$1:$A$20000,0),MATCH("Volume",'Semrush Data'!$A$1:$Z$1,0)),"")</f>
        <v/>
      </c>
      <c r="H44" s="42">
        <f>IFERROR(INDEX('Semrush Data'!$A$1:$Z$20000,MATCH(A44,'Semrush Data'!$A$1:$A$20000,0),MATCH("Keyword Difficulty*",'Semrush Data'!$A$1:$Z$1,0)),"")</f>
        <v/>
      </c>
      <c r="I44" s="56">
        <f>IFERROR(INDEX('Semrush Data'!$A$1:$Z$20000,MATCH(A44,'Semrush Data'!$A$1:$A$20000,0),MATCH("CPC*",'Semrush Data'!$A$1:$Z$1,0)),"")</f>
        <v/>
      </c>
      <c r="J44" s="42">
        <f>IFERROR(INDEX('Semrush Data'!$A$1:$Z$20000,MATCH(A44,'Semrush Data'!$A$1:$A$20000,0),MATCH("Intent",'Semrush Data'!$A$1:$Z$1,0)),"")</f>
        <v/>
      </c>
    </row>
    <row r="45" ht="15" customHeight="1" s="37">
      <c r="A45" s="42" t="inlineStr">
        <is>
          <t>calvin klein perfume for men</t>
        </is>
      </c>
      <c r="B45" s="42" t="inlineStr">
        <is>
          <t>Brand / family</t>
        </is>
      </c>
      <c r="C45" s="42" t="n">
        <v>1</v>
      </c>
      <c r="D45" s="42" t="n">
        <v>1</v>
      </c>
      <c r="E45" s="42" t="n">
        <v>7</v>
      </c>
      <c r="F45" s="42" t="inlineStr">
        <is>
          <t>FR-076, FR-079, FR-081, FR-082, FR-083, FR-084, FR-086</t>
        </is>
      </c>
      <c r="G45" s="55">
        <f>IFERROR(INDEX('Semrush Data'!$A$1:$Z$20000,MATCH(A45,'Semrush Data'!$A$1:$A$20000,0),MATCH("Volume",'Semrush Data'!$A$1:$Z$1,0)),"")</f>
        <v/>
      </c>
      <c r="H45" s="42">
        <f>IFERROR(INDEX('Semrush Data'!$A$1:$Z$20000,MATCH(A45,'Semrush Data'!$A$1:$A$20000,0),MATCH("Keyword Difficulty*",'Semrush Data'!$A$1:$Z$1,0)),"")</f>
        <v/>
      </c>
      <c r="I45" s="56">
        <f>IFERROR(INDEX('Semrush Data'!$A$1:$Z$20000,MATCH(A45,'Semrush Data'!$A$1:$A$20000,0),MATCH("CPC*",'Semrush Data'!$A$1:$Z$1,0)),"")</f>
        <v/>
      </c>
      <c r="J45" s="42">
        <f>IFERROR(INDEX('Semrush Data'!$A$1:$Z$20000,MATCH(A45,'Semrush Data'!$A$1:$A$20000,0),MATCH("Intent",'Semrush Data'!$A$1:$Z$1,0)),"")</f>
        <v/>
      </c>
    </row>
    <row r="46" ht="15" customHeight="1" s="37">
      <c r="A46" s="42" t="inlineStr">
        <is>
          <t>calvin klein perfume for women</t>
        </is>
      </c>
      <c r="B46" s="42" t="inlineStr">
        <is>
          <t>Brand / family</t>
        </is>
      </c>
      <c r="C46" s="42" t="n">
        <v>1</v>
      </c>
      <c r="D46" s="42" t="n">
        <v>1</v>
      </c>
      <c r="E46" s="42" t="n">
        <v>4</v>
      </c>
      <c r="F46" s="42" t="inlineStr">
        <is>
          <t>FR-077, FR-078, FR-080, FR-085</t>
        </is>
      </c>
      <c r="G46" s="55">
        <f>IFERROR(INDEX('Semrush Data'!$A$1:$Z$20000,MATCH(A46,'Semrush Data'!$A$1:$A$20000,0),MATCH("Volume",'Semrush Data'!$A$1:$Z$1,0)),"")</f>
        <v/>
      </c>
      <c r="H46" s="42">
        <f>IFERROR(INDEX('Semrush Data'!$A$1:$Z$20000,MATCH(A46,'Semrush Data'!$A$1:$A$20000,0),MATCH("Keyword Difficulty*",'Semrush Data'!$A$1:$Z$1,0)),"")</f>
        <v/>
      </c>
      <c r="I46" s="56">
        <f>IFERROR(INDEX('Semrush Data'!$A$1:$Z$20000,MATCH(A46,'Semrush Data'!$A$1:$A$20000,0),MATCH("CPC*",'Semrush Data'!$A$1:$Z$1,0)),"")</f>
        <v/>
      </c>
      <c r="J46" s="42">
        <f>IFERROR(INDEX('Semrush Data'!$A$1:$Z$20000,MATCH(A46,'Semrush Data'!$A$1:$A$20000,0),MATCH("Intent",'Semrush Data'!$A$1:$Z$1,0)),"")</f>
        <v/>
      </c>
    </row>
    <row r="47" ht="15" customHeight="1" s="37">
      <c r="A47" s="42" t="inlineStr">
        <is>
          <t>carolina herrera perfume</t>
        </is>
      </c>
      <c r="B47" s="42" t="inlineStr">
        <is>
          <t>Brand / family</t>
        </is>
      </c>
      <c r="C47" s="42" t="n">
        <v>1</v>
      </c>
      <c r="D47" s="42" t="n">
        <v>1</v>
      </c>
      <c r="E47" s="42" t="n">
        <v>8</v>
      </c>
      <c r="F47" s="42" t="inlineStr">
        <is>
          <t>FR-087, FR-088, FR-089, FR-090, FR-091, FR-092, FR-093, FR-094</t>
        </is>
      </c>
      <c r="G47" s="55">
        <f>IFERROR(INDEX('Semrush Data'!$A$1:$Z$20000,MATCH(A47,'Semrush Data'!$A$1:$A$20000,0),MATCH("Volume",'Semrush Data'!$A$1:$Z$1,0)),"")</f>
        <v/>
      </c>
      <c r="H47" s="42">
        <f>IFERROR(INDEX('Semrush Data'!$A$1:$Z$20000,MATCH(A47,'Semrush Data'!$A$1:$A$20000,0),MATCH("Keyword Difficulty*",'Semrush Data'!$A$1:$Z$1,0)),"")</f>
        <v/>
      </c>
      <c r="I47" s="56">
        <f>IFERROR(INDEX('Semrush Data'!$A$1:$Z$20000,MATCH(A47,'Semrush Data'!$A$1:$A$20000,0),MATCH("CPC*",'Semrush Data'!$A$1:$Z$1,0)),"")</f>
        <v/>
      </c>
      <c r="J47" s="42">
        <f>IFERROR(INDEX('Semrush Data'!$A$1:$Z$20000,MATCH(A47,'Semrush Data'!$A$1:$A$20000,0),MATCH("Intent",'Semrush Data'!$A$1:$Z$1,0)),"")</f>
        <v/>
      </c>
    </row>
    <row r="48" ht="15" customHeight="1" s="37">
      <c r="A48" s="42" t="inlineStr">
        <is>
          <t>carolina herrera perfume for men</t>
        </is>
      </c>
      <c r="B48" s="42" t="inlineStr">
        <is>
          <t>Brand / family</t>
        </is>
      </c>
      <c r="C48" s="42" t="n">
        <v>1</v>
      </c>
      <c r="D48" s="42" t="n">
        <v>1</v>
      </c>
      <c r="E48" s="42" t="n">
        <v>6</v>
      </c>
      <c r="F48" s="42" t="inlineStr">
        <is>
          <t>FR-088, FR-089, FR-090, FR-091, FR-092, FR-093</t>
        </is>
      </c>
      <c r="G48" s="55">
        <f>IFERROR(INDEX('Semrush Data'!$A$1:$Z$20000,MATCH(A48,'Semrush Data'!$A$1:$A$20000,0),MATCH("Volume",'Semrush Data'!$A$1:$Z$1,0)),"")</f>
        <v/>
      </c>
      <c r="H48" s="42">
        <f>IFERROR(INDEX('Semrush Data'!$A$1:$Z$20000,MATCH(A48,'Semrush Data'!$A$1:$A$20000,0),MATCH("Keyword Difficulty*",'Semrush Data'!$A$1:$Z$1,0)),"")</f>
        <v/>
      </c>
      <c r="I48" s="56">
        <f>IFERROR(INDEX('Semrush Data'!$A$1:$Z$20000,MATCH(A48,'Semrush Data'!$A$1:$A$20000,0),MATCH("CPC*",'Semrush Data'!$A$1:$Z$1,0)),"")</f>
        <v/>
      </c>
      <c r="J48" s="42">
        <f>IFERROR(INDEX('Semrush Data'!$A$1:$Z$20000,MATCH(A48,'Semrush Data'!$A$1:$A$20000,0),MATCH("Intent",'Semrush Data'!$A$1:$Z$1,0)),"")</f>
        <v/>
      </c>
    </row>
    <row r="49" ht="15" customHeight="1" s="37">
      <c r="A49" s="42" t="inlineStr">
        <is>
          <t>carolina herrera perfume for women</t>
        </is>
      </c>
      <c r="B49" s="42" t="inlineStr">
        <is>
          <t>Brand / family</t>
        </is>
      </c>
      <c r="C49" s="42" t="n">
        <v>1</v>
      </c>
      <c r="D49" s="42" t="n">
        <v>1</v>
      </c>
      <c r="E49" s="42" t="n">
        <v>2</v>
      </c>
      <c r="F49" s="42" t="inlineStr">
        <is>
          <t>FR-087, FR-094</t>
        </is>
      </c>
      <c r="G49" s="55">
        <f>IFERROR(INDEX('Semrush Data'!$A$1:$Z$20000,MATCH(A49,'Semrush Data'!$A$1:$A$20000,0),MATCH("Volume",'Semrush Data'!$A$1:$Z$1,0)),"")</f>
        <v/>
      </c>
      <c r="H49" s="42">
        <f>IFERROR(INDEX('Semrush Data'!$A$1:$Z$20000,MATCH(A49,'Semrush Data'!$A$1:$A$20000,0),MATCH("Keyword Difficulty*",'Semrush Data'!$A$1:$Z$1,0)),"")</f>
        <v/>
      </c>
      <c r="I49" s="56">
        <f>IFERROR(INDEX('Semrush Data'!$A$1:$Z$20000,MATCH(A49,'Semrush Data'!$A$1:$A$20000,0),MATCH("CPC*",'Semrush Data'!$A$1:$Z$1,0)),"")</f>
        <v/>
      </c>
      <c r="J49" s="42">
        <f>IFERROR(INDEX('Semrush Data'!$A$1:$Z$20000,MATCH(A49,'Semrush Data'!$A$1:$A$20000,0),MATCH("Intent",'Semrush Data'!$A$1:$Z$1,0)),"")</f>
        <v/>
      </c>
    </row>
    <row r="50" ht="15" customHeight="1" s="37">
      <c r="A50" s="42" t="inlineStr">
        <is>
          <t>chloe perfume</t>
        </is>
      </c>
      <c r="B50" s="42" t="inlineStr">
        <is>
          <t>Brand / family</t>
        </is>
      </c>
      <c r="C50" s="42" t="n">
        <v>1</v>
      </c>
      <c r="D50" s="42" t="n">
        <v>1</v>
      </c>
      <c r="E50" s="42" t="n">
        <v>7</v>
      </c>
      <c r="F50" s="42" t="inlineStr">
        <is>
          <t>FR-095, FR-096, FR-097, FR-098, FR-099, FR-100, FR-101</t>
        </is>
      </c>
      <c r="G50" s="55">
        <f>IFERROR(INDEX('Semrush Data'!$A$1:$Z$20000,MATCH(A50,'Semrush Data'!$A$1:$A$20000,0),MATCH("Volume",'Semrush Data'!$A$1:$Z$1,0)),"")</f>
        <v/>
      </c>
      <c r="H50" s="42">
        <f>IFERROR(INDEX('Semrush Data'!$A$1:$Z$20000,MATCH(A50,'Semrush Data'!$A$1:$A$20000,0),MATCH("Keyword Difficulty*",'Semrush Data'!$A$1:$Z$1,0)),"")</f>
        <v/>
      </c>
      <c r="I50" s="56">
        <f>IFERROR(INDEX('Semrush Data'!$A$1:$Z$20000,MATCH(A50,'Semrush Data'!$A$1:$A$20000,0),MATCH("CPC*",'Semrush Data'!$A$1:$Z$1,0)),"")</f>
        <v/>
      </c>
      <c r="J50" s="42">
        <f>IFERROR(INDEX('Semrush Data'!$A$1:$Z$20000,MATCH(A50,'Semrush Data'!$A$1:$A$20000,0),MATCH("Intent",'Semrush Data'!$A$1:$Z$1,0)),"")</f>
        <v/>
      </c>
    </row>
    <row r="51" ht="15" customHeight="1" s="37">
      <c r="A51" s="42" t="inlineStr">
        <is>
          <t>chloe perfume for women</t>
        </is>
      </c>
      <c r="B51" s="42" t="inlineStr">
        <is>
          <t>Brand / family</t>
        </is>
      </c>
      <c r="C51" s="42" t="n">
        <v>1</v>
      </c>
      <c r="D51" s="42" t="n">
        <v>1</v>
      </c>
      <c r="E51" s="42" t="n">
        <v>7</v>
      </c>
      <c r="F51" s="42" t="inlineStr">
        <is>
          <t>FR-095, FR-096, FR-097, FR-098, FR-099, FR-100, FR-101</t>
        </is>
      </c>
      <c r="G51" s="55">
        <f>IFERROR(INDEX('Semrush Data'!$A$1:$Z$20000,MATCH(A51,'Semrush Data'!$A$1:$A$20000,0),MATCH("Volume",'Semrush Data'!$A$1:$Z$1,0)),"")</f>
        <v/>
      </c>
      <c r="H51" s="42">
        <f>IFERROR(INDEX('Semrush Data'!$A$1:$Z$20000,MATCH(A51,'Semrush Data'!$A$1:$A$20000,0),MATCH("Keyword Difficulty*",'Semrush Data'!$A$1:$Z$1,0)),"")</f>
        <v/>
      </c>
      <c r="I51" s="56">
        <f>IFERROR(INDEX('Semrush Data'!$A$1:$Z$20000,MATCH(A51,'Semrush Data'!$A$1:$A$20000,0),MATCH("CPC*",'Semrush Data'!$A$1:$Z$1,0)),"")</f>
        <v/>
      </c>
      <c r="J51" s="42">
        <f>IFERROR(INDEX('Semrush Data'!$A$1:$Z$20000,MATCH(A51,'Semrush Data'!$A$1:$A$20000,0),MATCH("Intent",'Semrush Data'!$A$1:$Z$1,0)),"")</f>
        <v/>
      </c>
    </row>
    <row r="52" ht="15" customHeight="1" s="37">
      <c r="A52" s="42" t="inlineStr">
        <is>
          <t>chopard perfume</t>
        </is>
      </c>
      <c r="B52" s="42" t="inlineStr">
        <is>
          <t>Brand / family</t>
        </is>
      </c>
      <c r="C52" s="42" t="n">
        <v>1</v>
      </c>
      <c r="D52" s="42" t="n">
        <v>1</v>
      </c>
      <c r="E52" s="42" t="n">
        <v>5</v>
      </c>
      <c r="F52" s="42" t="inlineStr">
        <is>
          <t>FR-102, FR-103, FR-104, FR-105, FR-106</t>
        </is>
      </c>
      <c r="G52" s="55">
        <f>IFERROR(INDEX('Semrush Data'!$A$1:$Z$20000,MATCH(A52,'Semrush Data'!$A$1:$A$20000,0),MATCH("Volume",'Semrush Data'!$A$1:$Z$1,0)),"")</f>
        <v/>
      </c>
      <c r="H52" s="42">
        <f>IFERROR(INDEX('Semrush Data'!$A$1:$Z$20000,MATCH(A52,'Semrush Data'!$A$1:$A$20000,0),MATCH("Keyword Difficulty*",'Semrush Data'!$A$1:$Z$1,0)),"")</f>
        <v/>
      </c>
      <c r="I52" s="56">
        <f>IFERROR(INDEX('Semrush Data'!$A$1:$Z$20000,MATCH(A52,'Semrush Data'!$A$1:$A$20000,0),MATCH("CPC*",'Semrush Data'!$A$1:$Z$1,0)),"")</f>
        <v/>
      </c>
      <c r="J52" s="42">
        <f>IFERROR(INDEX('Semrush Data'!$A$1:$Z$20000,MATCH(A52,'Semrush Data'!$A$1:$A$20000,0),MATCH("Intent",'Semrush Data'!$A$1:$Z$1,0)),"")</f>
        <v/>
      </c>
    </row>
    <row r="53" ht="15" customHeight="1" s="37">
      <c r="A53" s="42" t="inlineStr">
        <is>
          <t>chopard perfume for men</t>
        </is>
      </c>
      <c r="B53" s="42" t="inlineStr">
        <is>
          <t>Brand / family</t>
        </is>
      </c>
      <c r="C53" s="42" t="n">
        <v>1</v>
      </c>
      <c r="D53" s="42" t="n">
        <v>1</v>
      </c>
      <c r="E53" s="42" t="n">
        <v>1</v>
      </c>
      <c r="F53" s="42" t="inlineStr">
        <is>
          <t>FR-105</t>
        </is>
      </c>
      <c r="G53" s="55">
        <f>IFERROR(INDEX('Semrush Data'!$A$1:$Z$20000,MATCH(A53,'Semrush Data'!$A$1:$A$20000,0),MATCH("Volume",'Semrush Data'!$A$1:$Z$1,0)),"")</f>
        <v/>
      </c>
      <c r="H53" s="42">
        <f>IFERROR(INDEX('Semrush Data'!$A$1:$Z$20000,MATCH(A53,'Semrush Data'!$A$1:$A$20000,0),MATCH("Keyword Difficulty*",'Semrush Data'!$A$1:$Z$1,0)),"")</f>
        <v/>
      </c>
      <c r="I53" s="56">
        <f>IFERROR(INDEX('Semrush Data'!$A$1:$Z$20000,MATCH(A53,'Semrush Data'!$A$1:$A$20000,0),MATCH("CPC*",'Semrush Data'!$A$1:$Z$1,0)),"")</f>
        <v/>
      </c>
      <c r="J53" s="42">
        <f>IFERROR(INDEX('Semrush Data'!$A$1:$Z$20000,MATCH(A53,'Semrush Data'!$A$1:$A$20000,0),MATCH("Intent",'Semrush Data'!$A$1:$Z$1,0)),"")</f>
        <v/>
      </c>
    </row>
    <row r="54" ht="15" customHeight="1" s="37">
      <c r="A54" s="42" t="inlineStr">
        <is>
          <t>chopard perfume for women</t>
        </is>
      </c>
      <c r="B54" s="42" t="inlineStr">
        <is>
          <t>Brand / family</t>
        </is>
      </c>
      <c r="C54" s="42" t="n">
        <v>1</v>
      </c>
      <c r="D54" s="42" t="n">
        <v>1</v>
      </c>
      <c r="E54" s="42" t="n">
        <v>1</v>
      </c>
      <c r="F54" s="42" t="inlineStr">
        <is>
          <t>FR-104</t>
        </is>
      </c>
      <c r="G54" s="55">
        <f>IFERROR(INDEX('Semrush Data'!$A$1:$Z$20000,MATCH(A54,'Semrush Data'!$A$1:$A$20000,0),MATCH("Volume",'Semrush Data'!$A$1:$Z$1,0)),"")</f>
        <v/>
      </c>
      <c r="H54" s="42">
        <f>IFERROR(INDEX('Semrush Data'!$A$1:$Z$20000,MATCH(A54,'Semrush Data'!$A$1:$A$20000,0),MATCH("Keyword Difficulty*",'Semrush Data'!$A$1:$Z$1,0)),"")</f>
        <v/>
      </c>
      <c r="I54" s="56">
        <f>IFERROR(INDEX('Semrush Data'!$A$1:$Z$20000,MATCH(A54,'Semrush Data'!$A$1:$A$20000,0),MATCH("CPC*",'Semrush Data'!$A$1:$Z$1,0)),"")</f>
        <v/>
      </c>
      <c r="J54" s="42">
        <f>IFERROR(INDEX('Semrush Data'!$A$1:$Z$20000,MATCH(A54,'Semrush Data'!$A$1:$A$20000,0),MATCH("Intent",'Semrush Data'!$A$1:$Z$1,0)),"")</f>
        <v/>
      </c>
    </row>
    <row r="55" ht="15" customHeight="1" s="37">
      <c r="A55" s="42" t="inlineStr">
        <is>
          <t>chris adams perfume</t>
        </is>
      </c>
      <c r="B55" s="42" t="inlineStr">
        <is>
          <t>Brand / family</t>
        </is>
      </c>
      <c r="C55" s="42" t="n">
        <v>1</v>
      </c>
      <c r="D55" s="42" t="n">
        <v>1</v>
      </c>
      <c r="E55" s="42" t="n">
        <v>2</v>
      </c>
      <c r="F55" s="42" t="inlineStr">
        <is>
          <t>FR-107, FR-108</t>
        </is>
      </c>
      <c r="G55" s="55">
        <f>IFERROR(INDEX('Semrush Data'!$A$1:$Z$20000,MATCH(A55,'Semrush Data'!$A$1:$A$20000,0),MATCH("Volume",'Semrush Data'!$A$1:$Z$1,0)),"")</f>
        <v/>
      </c>
      <c r="H55" s="42">
        <f>IFERROR(INDEX('Semrush Data'!$A$1:$Z$20000,MATCH(A55,'Semrush Data'!$A$1:$A$20000,0),MATCH("Keyword Difficulty*",'Semrush Data'!$A$1:$Z$1,0)),"")</f>
        <v/>
      </c>
      <c r="I55" s="56">
        <f>IFERROR(INDEX('Semrush Data'!$A$1:$Z$20000,MATCH(A55,'Semrush Data'!$A$1:$A$20000,0),MATCH("CPC*",'Semrush Data'!$A$1:$Z$1,0)),"")</f>
        <v/>
      </c>
      <c r="J55" s="42">
        <f>IFERROR(INDEX('Semrush Data'!$A$1:$Z$20000,MATCH(A55,'Semrush Data'!$A$1:$A$20000,0),MATCH("Intent",'Semrush Data'!$A$1:$Z$1,0)),"")</f>
        <v/>
      </c>
    </row>
    <row r="56" ht="15" customHeight="1" s="37">
      <c r="A56" s="42" t="inlineStr">
        <is>
          <t>chris adams perfume for men</t>
        </is>
      </c>
      <c r="B56" s="42" t="inlineStr">
        <is>
          <t>Brand / family</t>
        </is>
      </c>
      <c r="C56" s="42" t="n">
        <v>1</v>
      </c>
      <c r="D56" s="42" t="n">
        <v>1</v>
      </c>
      <c r="E56" s="42" t="n">
        <v>2</v>
      </c>
      <c r="F56" s="42" t="inlineStr">
        <is>
          <t>FR-107, FR-108</t>
        </is>
      </c>
      <c r="G56" s="55">
        <f>IFERROR(INDEX('Semrush Data'!$A$1:$Z$20000,MATCH(A56,'Semrush Data'!$A$1:$A$20000,0),MATCH("Volume",'Semrush Data'!$A$1:$Z$1,0)),"")</f>
        <v/>
      </c>
      <c r="H56" s="42">
        <f>IFERROR(INDEX('Semrush Data'!$A$1:$Z$20000,MATCH(A56,'Semrush Data'!$A$1:$A$20000,0),MATCH("Keyword Difficulty*",'Semrush Data'!$A$1:$Z$1,0)),"")</f>
        <v/>
      </c>
      <c r="I56" s="56">
        <f>IFERROR(INDEX('Semrush Data'!$A$1:$Z$20000,MATCH(A56,'Semrush Data'!$A$1:$A$20000,0),MATCH("CPC*",'Semrush Data'!$A$1:$Z$1,0)),"")</f>
        <v/>
      </c>
      <c r="J56" s="42">
        <f>IFERROR(INDEX('Semrush Data'!$A$1:$Z$20000,MATCH(A56,'Semrush Data'!$A$1:$A$20000,0),MATCH("Intent",'Semrush Data'!$A$1:$Z$1,0)),"")</f>
        <v/>
      </c>
    </row>
    <row r="57" ht="15" customHeight="1" s="37">
      <c r="A57" s="42" t="inlineStr">
        <is>
          <t>chypre perfume for women uk</t>
        </is>
      </c>
      <c r="B57" s="42" t="inlineStr">
        <is>
          <t>Brand / family</t>
        </is>
      </c>
      <c r="C57" s="42" t="n">
        <v>1</v>
      </c>
      <c r="D57" s="42" t="n">
        <v>1</v>
      </c>
      <c r="E57" s="42" t="n">
        <v>1</v>
      </c>
      <c r="F57" s="42" t="inlineStr">
        <is>
          <t>FR-262</t>
        </is>
      </c>
      <c r="G57" s="55">
        <f>IFERROR(INDEX('Semrush Data'!$A$1:$Z$20000,MATCH(A57,'Semrush Data'!$A$1:$A$20000,0),MATCH("Volume",'Semrush Data'!$A$1:$Z$1,0)),"")</f>
        <v/>
      </c>
      <c r="H57" s="42">
        <f>IFERROR(INDEX('Semrush Data'!$A$1:$Z$20000,MATCH(A57,'Semrush Data'!$A$1:$A$20000,0),MATCH("Keyword Difficulty*",'Semrush Data'!$A$1:$Z$1,0)),"")</f>
        <v/>
      </c>
      <c r="I57" s="56">
        <f>IFERROR(INDEX('Semrush Data'!$A$1:$Z$20000,MATCH(A57,'Semrush Data'!$A$1:$A$20000,0),MATCH("CPC*",'Semrush Data'!$A$1:$Z$1,0)),"")</f>
        <v/>
      </c>
      <c r="J57" s="42">
        <f>IFERROR(INDEX('Semrush Data'!$A$1:$Z$20000,MATCH(A57,'Semrush Data'!$A$1:$A$20000,0),MATCH("Intent",'Semrush Data'!$A$1:$Z$1,0)),"")</f>
        <v/>
      </c>
    </row>
    <row r="58" ht="15" customHeight="1" s="37">
      <c r="A58" s="42" t="inlineStr">
        <is>
          <t>citrus perfume for men uk</t>
        </is>
      </c>
      <c r="B58" s="42" t="inlineStr">
        <is>
          <t>Brand / family</t>
        </is>
      </c>
      <c r="C58" s="42" t="n">
        <v>1</v>
      </c>
      <c r="D58" s="42" t="n">
        <v>1</v>
      </c>
      <c r="E58" s="42" t="n">
        <v>1</v>
      </c>
      <c r="F58" s="42" t="inlineStr">
        <is>
          <t>FR-133</t>
        </is>
      </c>
      <c r="G58" s="55">
        <f>IFERROR(INDEX('Semrush Data'!$A$1:$Z$20000,MATCH(A58,'Semrush Data'!$A$1:$A$20000,0),MATCH("Volume",'Semrush Data'!$A$1:$Z$1,0)),"")</f>
        <v/>
      </c>
      <c r="H58" s="42">
        <f>IFERROR(INDEX('Semrush Data'!$A$1:$Z$20000,MATCH(A58,'Semrush Data'!$A$1:$A$20000,0),MATCH("Keyword Difficulty*",'Semrush Data'!$A$1:$Z$1,0)),"")</f>
        <v/>
      </c>
      <c r="I58" s="56">
        <f>IFERROR(INDEX('Semrush Data'!$A$1:$Z$20000,MATCH(A58,'Semrush Data'!$A$1:$A$20000,0),MATCH("CPC*",'Semrush Data'!$A$1:$Z$1,0)),"")</f>
        <v/>
      </c>
      <c r="J58" s="42">
        <f>IFERROR(INDEX('Semrush Data'!$A$1:$Z$20000,MATCH(A58,'Semrush Data'!$A$1:$A$20000,0),MATCH("Intent",'Semrush Data'!$A$1:$Z$1,0)),"")</f>
        <v/>
      </c>
    </row>
    <row r="59" ht="15" customHeight="1" s="37">
      <c r="A59" s="42" t="inlineStr">
        <is>
          <t>citrus perfume uk</t>
        </is>
      </c>
      <c r="B59" s="42" t="inlineStr">
        <is>
          <t>Brand / family</t>
        </is>
      </c>
      <c r="C59" s="42" t="n">
        <v>1</v>
      </c>
      <c r="D59" s="42" t="n">
        <v>1</v>
      </c>
      <c r="E59" s="42" t="n">
        <v>2</v>
      </c>
      <c r="F59" s="42" t="inlineStr">
        <is>
          <t>FR-003, FR-004</t>
        </is>
      </c>
      <c r="G59" s="55">
        <f>IFERROR(INDEX('Semrush Data'!$A$1:$Z$20000,MATCH(A59,'Semrush Data'!$A$1:$A$20000,0),MATCH("Volume",'Semrush Data'!$A$1:$Z$1,0)),"")</f>
        <v/>
      </c>
      <c r="H59" s="42">
        <f>IFERROR(INDEX('Semrush Data'!$A$1:$Z$20000,MATCH(A59,'Semrush Data'!$A$1:$A$20000,0),MATCH("Keyword Difficulty*",'Semrush Data'!$A$1:$Z$1,0)),"")</f>
        <v/>
      </c>
      <c r="I59" s="56">
        <f>IFERROR(INDEX('Semrush Data'!$A$1:$Z$20000,MATCH(A59,'Semrush Data'!$A$1:$A$20000,0),MATCH("CPC*",'Semrush Data'!$A$1:$Z$1,0)),"")</f>
        <v/>
      </c>
      <c r="J59" s="42">
        <f>IFERROR(INDEX('Semrush Data'!$A$1:$Z$20000,MATCH(A59,'Semrush Data'!$A$1:$A$20000,0),MATCH("Intent",'Semrush Data'!$A$1:$Z$1,0)),"")</f>
        <v/>
      </c>
    </row>
    <row r="60" ht="15" customHeight="1" s="37">
      <c r="A60" s="42" t="inlineStr">
        <is>
          <t>davidoff perfume</t>
        </is>
      </c>
      <c r="B60" s="42" t="inlineStr">
        <is>
          <t>Brand / family</t>
        </is>
      </c>
      <c r="C60" s="42" t="n">
        <v>1</v>
      </c>
      <c r="D60" s="42" t="n">
        <v>1</v>
      </c>
      <c r="E60" s="42" t="n">
        <v>4</v>
      </c>
      <c r="F60" s="42" t="inlineStr">
        <is>
          <t>FR-109, FR-110, FR-111, FR-112</t>
        </is>
      </c>
      <c r="G60" s="55">
        <f>IFERROR(INDEX('Semrush Data'!$A$1:$Z$20000,MATCH(A60,'Semrush Data'!$A$1:$A$20000,0),MATCH("Volume",'Semrush Data'!$A$1:$Z$1,0)),"")</f>
        <v/>
      </c>
      <c r="H60" s="42">
        <f>IFERROR(INDEX('Semrush Data'!$A$1:$Z$20000,MATCH(A60,'Semrush Data'!$A$1:$A$20000,0),MATCH("Keyword Difficulty*",'Semrush Data'!$A$1:$Z$1,0)),"")</f>
        <v/>
      </c>
      <c r="I60" s="56">
        <f>IFERROR(INDEX('Semrush Data'!$A$1:$Z$20000,MATCH(A60,'Semrush Data'!$A$1:$A$20000,0),MATCH("CPC*",'Semrush Data'!$A$1:$Z$1,0)),"")</f>
        <v/>
      </c>
      <c r="J60" s="42">
        <f>IFERROR(INDEX('Semrush Data'!$A$1:$Z$20000,MATCH(A60,'Semrush Data'!$A$1:$A$20000,0),MATCH("Intent",'Semrush Data'!$A$1:$Z$1,0)),"")</f>
        <v/>
      </c>
    </row>
    <row r="61" ht="15" customHeight="1" s="37">
      <c r="A61" s="42" t="inlineStr">
        <is>
          <t>davidoff perfume for men</t>
        </is>
      </c>
      <c r="B61" s="42" t="inlineStr">
        <is>
          <t>Brand / family</t>
        </is>
      </c>
      <c r="C61" s="42" t="n">
        <v>1</v>
      </c>
      <c r="D61" s="42" t="n">
        <v>1</v>
      </c>
      <c r="E61" s="42" t="n">
        <v>3</v>
      </c>
      <c r="F61" s="42" t="inlineStr">
        <is>
          <t>FR-110, FR-111, FR-112</t>
        </is>
      </c>
      <c r="G61" s="55">
        <f>IFERROR(INDEX('Semrush Data'!$A$1:$Z$20000,MATCH(A61,'Semrush Data'!$A$1:$A$20000,0),MATCH("Volume",'Semrush Data'!$A$1:$Z$1,0)),"")</f>
        <v/>
      </c>
      <c r="H61" s="42">
        <f>IFERROR(INDEX('Semrush Data'!$A$1:$Z$20000,MATCH(A61,'Semrush Data'!$A$1:$A$20000,0),MATCH("Keyword Difficulty*",'Semrush Data'!$A$1:$Z$1,0)),"")</f>
        <v/>
      </c>
      <c r="I61" s="56">
        <f>IFERROR(INDEX('Semrush Data'!$A$1:$Z$20000,MATCH(A61,'Semrush Data'!$A$1:$A$20000,0),MATCH("CPC*",'Semrush Data'!$A$1:$Z$1,0)),"")</f>
        <v/>
      </c>
      <c r="J61" s="42">
        <f>IFERROR(INDEX('Semrush Data'!$A$1:$Z$20000,MATCH(A61,'Semrush Data'!$A$1:$A$20000,0),MATCH("Intent",'Semrush Data'!$A$1:$Z$1,0)),"")</f>
        <v/>
      </c>
    </row>
    <row r="62" ht="15" customHeight="1" s="37">
      <c r="A62" s="42" t="inlineStr">
        <is>
          <t>davidoff perfume for women</t>
        </is>
      </c>
      <c r="B62" s="42" t="inlineStr">
        <is>
          <t>Brand / family</t>
        </is>
      </c>
      <c r="C62" s="42" t="n">
        <v>1</v>
      </c>
      <c r="D62" s="42" t="n">
        <v>1</v>
      </c>
      <c r="E62" s="42" t="n">
        <v>1</v>
      </c>
      <c r="F62" s="42" t="inlineStr">
        <is>
          <t>FR-109</t>
        </is>
      </c>
      <c r="G62" s="55">
        <f>IFERROR(INDEX('Semrush Data'!$A$1:$Z$20000,MATCH(A62,'Semrush Data'!$A$1:$A$20000,0),MATCH("Volume",'Semrush Data'!$A$1:$Z$1,0)),"")</f>
        <v/>
      </c>
      <c r="H62" s="42">
        <f>IFERROR(INDEX('Semrush Data'!$A$1:$Z$20000,MATCH(A62,'Semrush Data'!$A$1:$A$20000,0),MATCH("Keyword Difficulty*",'Semrush Data'!$A$1:$Z$1,0)),"")</f>
        <v/>
      </c>
      <c r="I62" s="56">
        <f>IFERROR(INDEX('Semrush Data'!$A$1:$Z$20000,MATCH(A62,'Semrush Data'!$A$1:$A$20000,0),MATCH("CPC*",'Semrush Data'!$A$1:$Z$1,0)),"")</f>
        <v/>
      </c>
      <c r="J62" s="42">
        <f>IFERROR(INDEX('Semrush Data'!$A$1:$Z$20000,MATCH(A62,'Semrush Data'!$A$1:$A$20000,0),MATCH("Intent",'Semrush Data'!$A$1:$Z$1,0)),"")</f>
        <v/>
      </c>
    </row>
    <row r="63" ht="15" customHeight="1" s="37">
      <c r="A63" s="42" t="inlineStr">
        <is>
          <t>dior perfume</t>
        </is>
      </c>
      <c r="B63" s="42" t="inlineStr">
        <is>
          <t>Brand / family</t>
        </is>
      </c>
      <c r="C63" s="42" t="n">
        <v>1</v>
      </c>
      <c r="D63" s="42" t="n">
        <v>1</v>
      </c>
      <c r="E63" s="42" t="n">
        <v>3</v>
      </c>
      <c r="F63" s="42" t="inlineStr">
        <is>
          <t>FR-113, FR-114, FR-115</t>
        </is>
      </c>
      <c r="G63" s="55">
        <f>IFERROR(INDEX('Semrush Data'!$A$1:$Z$20000,MATCH(A63,'Semrush Data'!$A$1:$A$20000,0),MATCH("Volume",'Semrush Data'!$A$1:$Z$1,0)),"")</f>
        <v/>
      </c>
      <c r="H63" s="42">
        <f>IFERROR(INDEX('Semrush Data'!$A$1:$Z$20000,MATCH(A63,'Semrush Data'!$A$1:$A$20000,0),MATCH("Keyword Difficulty*",'Semrush Data'!$A$1:$Z$1,0)),"")</f>
        <v/>
      </c>
      <c r="I63" s="56">
        <f>IFERROR(INDEX('Semrush Data'!$A$1:$Z$20000,MATCH(A63,'Semrush Data'!$A$1:$A$20000,0),MATCH("CPC*",'Semrush Data'!$A$1:$Z$1,0)),"")</f>
        <v/>
      </c>
      <c r="J63" s="42">
        <f>IFERROR(INDEX('Semrush Data'!$A$1:$Z$20000,MATCH(A63,'Semrush Data'!$A$1:$A$20000,0),MATCH("Intent",'Semrush Data'!$A$1:$Z$1,0)),"")</f>
        <v/>
      </c>
    </row>
    <row r="64" ht="15" customHeight="1" s="37">
      <c r="A64" s="42" t="inlineStr">
        <is>
          <t>dior perfume for men</t>
        </is>
      </c>
      <c r="B64" s="42" t="inlineStr">
        <is>
          <t>Brand / family</t>
        </is>
      </c>
      <c r="C64" s="42" t="n">
        <v>1</v>
      </c>
      <c r="D64" s="42" t="n">
        <v>1</v>
      </c>
      <c r="E64" s="42" t="n">
        <v>1</v>
      </c>
      <c r="F64" s="42" t="inlineStr">
        <is>
          <t>FR-115</t>
        </is>
      </c>
      <c r="G64" s="55">
        <f>IFERROR(INDEX('Semrush Data'!$A$1:$Z$20000,MATCH(A64,'Semrush Data'!$A$1:$A$20000,0),MATCH("Volume",'Semrush Data'!$A$1:$Z$1,0)),"")</f>
        <v/>
      </c>
      <c r="H64" s="42">
        <f>IFERROR(INDEX('Semrush Data'!$A$1:$Z$20000,MATCH(A64,'Semrush Data'!$A$1:$A$20000,0),MATCH("Keyword Difficulty*",'Semrush Data'!$A$1:$Z$1,0)),"")</f>
        <v/>
      </c>
      <c r="I64" s="56">
        <f>IFERROR(INDEX('Semrush Data'!$A$1:$Z$20000,MATCH(A64,'Semrush Data'!$A$1:$A$20000,0),MATCH("CPC*",'Semrush Data'!$A$1:$Z$1,0)),"")</f>
        <v/>
      </c>
      <c r="J64" s="42">
        <f>IFERROR(INDEX('Semrush Data'!$A$1:$Z$20000,MATCH(A64,'Semrush Data'!$A$1:$A$20000,0),MATCH("Intent",'Semrush Data'!$A$1:$Z$1,0)),"")</f>
        <v/>
      </c>
    </row>
    <row r="65" ht="15" customHeight="1" s="37">
      <c r="A65" s="42" t="inlineStr">
        <is>
          <t>dior perfume for women</t>
        </is>
      </c>
      <c r="B65" s="42" t="inlineStr">
        <is>
          <t>Brand / family</t>
        </is>
      </c>
      <c r="C65" s="42" t="n">
        <v>1</v>
      </c>
      <c r="D65" s="42" t="n">
        <v>1</v>
      </c>
      <c r="E65" s="42" t="n">
        <v>1</v>
      </c>
      <c r="F65" s="42" t="inlineStr">
        <is>
          <t>FR-113</t>
        </is>
      </c>
      <c r="G65" s="55">
        <f>IFERROR(INDEX('Semrush Data'!$A$1:$Z$20000,MATCH(A65,'Semrush Data'!$A$1:$A$20000,0),MATCH("Volume",'Semrush Data'!$A$1:$Z$1,0)),"")</f>
        <v/>
      </c>
      <c r="H65" s="42">
        <f>IFERROR(INDEX('Semrush Data'!$A$1:$Z$20000,MATCH(A65,'Semrush Data'!$A$1:$A$20000,0),MATCH("Keyword Difficulty*",'Semrush Data'!$A$1:$Z$1,0)),"")</f>
        <v/>
      </c>
      <c r="I65" s="56">
        <f>IFERROR(INDEX('Semrush Data'!$A$1:$Z$20000,MATCH(A65,'Semrush Data'!$A$1:$A$20000,0),MATCH("CPC*",'Semrush Data'!$A$1:$Z$1,0)),"")</f>
        <v/>
      </c>
      <c r="J65" s="42">
        <f>IFERROR(INDEX('Semrush Data'!$A$1:$Z$20000,MATCH(A65,'Semrush Data'!$A$1:$A$20000,0),MATCH("Intent",'Semrush Data'!$A$1:$Z$1,0)),"")</f>
        <v/>
      </c>
    </row>
    <row r="66" ht="15" customHeight="1" s="37">
      <c r="A66" s="42" t="inlineStr">
        <is>
          <t>dkny perfume</t>
        </is>
      </c>
      <c r="B66" s="42" t="inlineStr">
        <is>
          <t>Brand / family</t>
        </is>
      </c>
      <c r="C66" s="42" t="n">
        <v>1</v>
      </c>
      <c r="D66" s="42" t="n">
        <v>1</v>
      </c>
      <c r="E66" s="42" t="n">
        <v>4</v>
      </c>
      <c r="F66" s="42" t="inlineStr">
        <is>
          <t>FR-116, FR-117, FR-118, FR-119</t>
        </is>
      </c>
      <c r="G66" s="55">
        <f>IFERROR(INDEX('Semrush Data'!$A$1:$Z$20000,MATCH(A66,'Semrush Data'!$A$1:$A$20000,0),MATCH("Volume",'Semrush Data'!$A$1:$Z$1,0)),"")</f>
        <v/>
      </c>
      <c r="H66" s="42">
        <f>IFERROR(INDEX('Semrush Data'!$A$1:$Z$20000,MATCH(A66,'Semrush Data'!$A$1:$A$20000,0),MATCH("Keyword Difficulty*",'Semrush Data'!$A$1:$Z$1,0)),"")</f>
        <v/>
      </c>
      <c r="I66" s="56">
        <f>IFERROR(INDEX('Semrush Data'!$A$1:$Z$20000,MATCH(A66,'Semrush Data'!$A$1:$A$20000,0),MATCH("CPC*",'Semrush Data'!$A$1:$Z$1,0)),"")</f>
        <v/>
      </c>
      <c r="J66" s="42">
        <f>IFERROR(INDEX('Semrush Data'!$A$1:$Z$20000,MATCH(A66,'Semrush Data'!$A$1:$A$20000,0),MATCH("Intent",'Semrush Data'!$A$1:$Z$1,0)),"")</f>
        <v/>
      </c>
    </row>
    <row r="67" ht="15" customHeight="1" s="37">
      <c r="A67" s="42" t="inlineStr">
        <is>
          <t>dkny perfume for women</t>
        </is>
      </c>
      <c r="B67" s="42" t="inlineStr">
        <is>
          <t>Brand / family</t>
        </is>
      </c>
      <c r="C67" s="42" t="n">
        <v>1</v>
      </c>
      <c r="D67" s="42" t="n">
        <v>1</v>
      </c>
      <c r="E67" s="42" t="n">
        <v>4</v>
      </c>
      <c r="F67" s="42" t="inlineStr">
        <is>
          <t>FR-116, FR-117, FR-118, FR-119</t>
        </is>
      </c>
      <c r="G67" s="55">
        <f>IFERROR(INDEX('Semrush Data'!$A$1:$Z$20000,MATCH(A67,'Semrush Data'!$A$1:$A$20000,0),MATCH("Volume",'Semrush Data'!$A$1:$Z$1,0)),"")</f>
        <v/>
      </c>
      <c r="H67" s="42">
        <f>IFERROR(INDEX('Semrush Data'!$A$1:$Z$20000,MATCH(A67,'Semrush Data'!$A$1:$A$20000,0),MATCH("Keyword Difficulty*",'Semrush Data'!$A$1:$Z$1,0)),"")</f>
        <v/>
      </c>
      <c r="I67" s="56">
        <f>IFERROR(INDEX('Semrush Data'!$A$1:$Z$20000,MATCH(A67,'Semrush Data'!$A$1:$A$20000,0),MATCH("CPC*",'Semrush Data'!$A$1:$Z$1,0)),"")</f>
        <v/>
      </c>
      <c r="J67" s="42">
        <f>IFERROR(INDEX('Semrush Data'!$A$1:$Z$20000,MATCH(A67,'Semrush Data'!$A$1:$A$20000,0),MATCH("Intent",'Semrush Data'!$A$1:$Z$1,0)),"")</f>
        <v/>
      </c>
    </row>
    <row r="68" ht="15" customHeight="1" s="37">
      <c r="A68" s="42" t="inlineStr">
        <is>
          <t>dolce &amp; gabbana perfume</t>
        </is>
      </c>
      <c r="B68" s="42" t="inlineStr">
        <is>
          <t>Brand / family</t>
        </is>
      </c>
      <c r="C68" s="42" t="n">
        <v>1</v>
      </c>
      <c r="D68" s="42" t="n">
        <v>1</v>
      </c>
      <c r="E68" s="42" t="n">
        <v>12</v>
      </c>
      <c r="F68" s="42" t="inlineStr">
        <is>
          <t>FR-120, FR-121, FR-122, FR-123, FR-124, FR-125, FR-126, FR-127, FR-128, FR-129, FR-130, FR-131</t>
        </is>
      </c>
      <c r="G68" s="55">
        <f>IFERROR(INDEX('Semrush Data'!$A$1:$Z$20000,MATCH(A68,'Semrush Data'!$A$1:$A$20000,0),MATCH("Volume",'Semrush Data'!$A$1:$Z$1,0)),"")</f>
        <v/>
      </c>
      <c r="H68" s="42">
        <f>IFERROR(INDEX('Semrush Data'!$A$1:$Z$20000,MATCH(A68,'Semrush Data'!$A$1:$A$20000,0),MATCH("Keyword Difficulty*",'Semrush Data'!$A$1:$Z$1,0)),"")</f>
        <v/>
      </c>
      <c r="I68" s="56">
        <f>IFERROR(INDEX('Semrush Data'!$A$1:$Z$20000,MATCH(A68,'Semrush Data'!$A$1:$A$20000,0),MATCH("CPC*",'Semrush Data'!$A$1:$Z$1,0)),"")</f>
        <v/>
      </c>
      <c r="J68" s="42">
        <f>IFERROR(INDEX('Semrush Data'!$A$1:$Z$20000,MATCH(A68,'Semrush Data'!$A$1:$A$20000,0),MATCH("Intent",'Semrush Data'!$A$1:$Z$1,0)),"")</f>
        <v/>
      </c>
    </row>
    <row r="69" ht="15" customHeight="1" s="37">
      <c r="A69" s="42" t="inlineStr">
        <is>
          <t>dolce &amp; gabbana perfume for men</t>
        </is>
      </c>
      <c r="B69" s="42" t="inlineStr">
        <is>
          <t>Brand / family</t>
        </is>
      </c>
      <c r="C69" s="42" t="n">
        <v>1</v>
      </c>
      <c r="D69" s="42" t="n">
        <v>1</v>
      </c>
      <c r="E69" s="42" t="n">
        <v>6</v>
      </c>
      <c r="F69" s="42" t="inlineStr">
        <is>
          <t>FR-122, FR-123, FR-124, FR-125, FR-128, FR-129</t>
        </is>
      </c>
      <c r="G69" s="55">
        <f>IFERROR(INDEX('Semrush Data'!$A$1:$Z$20000,MATCH(A69,'Semrush Data'!$A$1:$A$20000,0),MATCH("Volume",'Semrush Data'!$A$1:$Z$1,0)),"")</f>
        <v/>
      </c>
      <c r="H69" s="42">
        <f>IFERROR(INDEX('Semrush Data'!$A$1:$Z$20000,MATCH(A69,'Semrush Data'!$A$1:$A$20000,0),MATCH("Keyword Difficulty*",'Semrush Data'!$A$1:$Z$1,0)),"")</f>
        <v/>
      </c>
      <c r="I69" s="56">
        <f>IFERROR(INDEX('Semrush Data'!$A$1:$Z$20000,MATCH(A69,'Semrush Data'!$A$1:$A$20000,0),MATCH("CPC*",'Semrush Data'!$A$1:$Z$1,0)),"")</f>
        <v/>
      </c>
      <c r="J69" s="42">
        <f>IFERROR(INDEX('Semrush Data'!$A$1:$Z$20000,MATCH(A69,'Semrush Data'!$A$1:$A$20000,0),MATCH("Intent",'Semrush Data'!$A$1:$Z$1,0)),"")</f>
        <v/>
      </c>
    </row>
    <row r="70" ht="15" customHeight="1" s="37">
      <c r="A70" s="42" t="inlineStr">
        <is>
          <t>dolce &amp; gabbana perfume for women</t>
        </is>
      </c>
      <c r="B70" s="42" t="inlineStr">
        <is>
          <t>Brand / family</t>
        </is>
      </c>
      <c r="C70" s="42" t="n">
        <v>1</v>
      </c>
      <c r="D70" s="42" t="n">
        <v>1</v>
      </c>
      <c r="E70" s="42" t="n">
        <v>6</v>
      </c>
      <c r="F70" s="42" t="inlineStr">
        <is>
          <t>FR-120, FR-121, FR-126, FR-127, FR-130, FR-131</t>
        </is>
      </c>
      <c r="G70" s="55">
        <f>IFERROR(INDEX('Semrush Data'!$A$1:$Z$20000,MATCH(A70,'Semrush Data'!$A$1:$A$20000,0),MATCH("Volume",'Semrush Data'!$A$1:$Z$1,0)),"")</f>
        <v/>
      </c>
      <c r="H70" s="42">
        <f>IFERROR(INDEX('Semrush Data'!$A$1:$Z$20000,MATCH(A70,'Semrush Data'!$A$1:$A$20000,0),MATCH("Keyword Difficulty*",'Semrush Data'!$A$1:$Z$1,0)),"")</f>
        <v/>
      </c>
      <c r="I70" s="56">
        <f>IFERROR(INDEX('Semrush Data'!$A$1:$Z$20000,MATCH(A70,'Semrush Data'!$A$1:$A$20000,0),MATCH("CPC*",'Semrush Data'!$A$1:$Z$1,0)),"")</f>
        <v/>
      </c>
      <c r="J70" s="42">
        <f>IFERROR(INDEX('Semrush Data'!$A$1:$Z$20000,MATCH(A70,'Semrush Data'!$A$1:$A$20000,0),MATCH("Intent",'Semrush Data'!$A$1:$Z$1,0)),"")</f>
        <v/>
      </c>
    </row>
    <row r="71" ht="15" customHeight="1" s="37">
      <c r="A71" s="42" t="inlineStr">
        <is>
          <t>dunhill perfume</t>
        </is>
      </c>
      <c r="B71" s="42" t="inlineStr">
        <is>
          <t>Brand / family</t>
        </is>
      </c>
      <c r="C71" s="42" t="n">
        <v>1</v>
      </c>
      <c r="D71" s="42" t="n">
        <v>1</v>
      </c>
      <c r="E71" s="42" t="n">
        <v>14</v>
      </c>
      <c r="F71" s="42" t="inlineStr">
        <is>
          <t>FR-132, FR-133, FR-134, FR-135, FR-136, FR-137, FR-138, FR-139, FR-140, FR-141, FR-142, FR-143 …</t>
        </is>
      </c>
      <c r="G71" s="55">
        <f>IFERROR(INDEX('Semrush Data'!$A$1:$Z$20000,MATCH(A71,'Semrush Data'!$A$1:$A$20000,0),MATCH("Volume",'Semrush Data'!$A$1:$Z$1,0)),"")</f>
        <v/>
      </c>
      <c r="H71" s="42">
        <f>IFERROR(INDEX('Semrush Data'!$A$1:$Z$20000,MATCH(A71,'Semrush Data'!$A$1:$A$20000,0),MATCH("Keyword Difficulty*",'Semrush Data'!$A$1:$Z$1,0)),"")</f>
        <v/>
      </c>
      <c r="I71" s="56">
        <f>IFERROR(INDEX('Semrush Data'!$A$1:$Z$20000,MATCH(A71,'Semrush Data'!$A$1:$A$20000,0),MATCH("CPC*",'Semrush Data'!$A$1:$Z$1,0)),"")</f>
        <v/>
      </c>
      <c r="J71" s="42">
        <f>IFERROR(INDEX('Semrush Data'!$A$1:$Z$20000,MATCH(A71,'Semrush Data'!$A$1:$A$20000,0),MATCH("Intent",'Semrush Data'!$A$1:$Z$1,0)),"")</f>
        <v/>
      </c>
    </row>
    <row r="72" ht="15" customHeight="1" s="37">
      <c r="A72" s="42" t="inlineStr">
        <is>
          <t>dunhill perfume for men</t>
        </is>
      </c>
      <c r="B72" s="42" t="inlineStr">
        <is>
          <t>Brand / family</t>
        </is>
      </c>
      <c r="C72" s="42" t="n">
        <v>1</v>
      </c>
      <c r="D72" s="42" t="n">
        <v>1</v>
      </c>
      <c r="E72" s="42" t="n">
        <v>14</v>
      </c>
      <c r="F72" s="42" t="inlineStr">
        <is>
          <t>FR-132, FR-133, FR-134, FR-135, FR-136, FR-137, FR-138, FR-139, FR-140, FR-141, FR-142, FR-143 …</t>
        </is>
      </c>
      <c r="G72" s="55">
        <f>IFERROR(INDEX('Semrush Data'!$A$1:$Z$20000,MATCH(A72,'Semrush Data'!$A$1:$A$20000,0),MATCH("Volume",'Semrush Data'!$A$1:$Z$1,0)),"")</f>
        <v/>
      </c>
      <c r="H72" s="42">
        <f>IFERROR(INDEX('Semrush Data'!$A$1:$Z$20000,MATCH(A72,'Semrush Data'!$A$1:$A$20000,0),MATCH("Keyword Difficulty*",'Semrush Data'!$A$1:$Z$1,0)),"")</f>
        <v/>
      </c>
      <c r="I72" s="56">
        <f>IFERROR(INDEX('Semrush Data'!$A$1:$Z$20000,MATCH(A72,'Semrush Data'!$A$1:$A$20000,0),MATCH("CPC*",'Semrush Data'!$A$1:$Z$1,0)),"")</f>
        <v/>
      </c>
      <c r="J72" s="42">
        <f>IFERROR(INDEX('Semrush Data'!$A$1:$Z$20000,MATCH(A72,'Semrush Data'!$A$1:$A$20000,0),MATCH("Intent",'Semrush Data'!$A$1:$Z$1,0)),"")</f>
        <v/>
      </c>
    </row>
    <row r="73" ht="15" customHeight="1" s="37">
      <c r="A73" s="42" t="inlineStr">
        <is>
          <t>elie saab perfume</t>
        </is>
      </c>
      <c r="B73" s="42" t="inlineStr">
        <is>
          <t>Brand / family</t>
        </is>
      </c>
      <c r="C73" s="42" t="n">
        <v>1</v>
      </c>
      <c r="D73" s="42" t="n">
        <v>1</v>
      </c>
      <c r="E73" s="42" t="n">
        <v>10</v>
      </c>
      <c r="F73" s="42" t="inlineStr">
        <is>
          <t>FR-146, FR-147, FR-148, FR-149, FR-150, FR-151, FR-152, FR-153, FR-154, FR-155</t>
        </is>
      </c>
      <c r="G73" s="55">
        <f>IFERROR(INDEX('Semrush Data'!$A$1:$Z$20000,MATCH(A73,'Semrush Data'!$A$1:$A$20000,0),MATCH("Volume",'Semrush Data'!$A$1:$Z$1,0)),"")</f>
        <v/>
      </c>
      <c r="H73" s="42">
        <f>IFERROR(INDEX('Semrush Data'!$A$1:$Z$20000,MATCH(A73,'Semrush Data'!$A$1:$A$20000,0),MATCH("Keyword Difficulty*",'Semrush Data'!$A$1:$Z$1,0)),"")</f>
        <v/>
      </c>
      <c r="I73" s="56">
        <f>IFERROR(INDEX('Semrush Data'!$A$1:$Z$20000,MATCH(A73,'Semrush Data'!$A$1:$A$20000,0),MATCH("CPC*",'Semrush Data'!$A$1:$Z$1,0)),"")</f>
        <v/>
      </c>
      <c r="J73" s="42">
        <f>IFERROR(INDEX('Semrush Data'!$A$1:$Z$20000,MATCH(A73,'Semrush Data'!$A$1:$A$20000,0),MATCH("Intent",'Semrush Data'!$A$1:$Z$1,0)),"")</f>
        <v/>
      </c>
    </row>
    <row r="74" ht="15" customHeight="1" s="37">
      <c r="A74" s="42" t="inlineStr">
        <is>
          <t>elie saab perfume for women</t>
        </is>
      </c>
      <c r="B74" s="42" t="inlineStr">
        <is>
          <t>Brand / family</t>
        </is>
      </c>
      <c r="C74" s="42" t="n">
        <v>1</v>
      </c>
      <c r="D74" s="42" t="n">
        <v>1</v>
      </c>
      <c r="E74" s="42" t="n">
        <v>8</v>
      </c>
      <c r="F74" s="42" t="inlineStr">
        <is>
          <t>FR-146, FR-149, FR-150, FR-151, FR-152, FR-153, FR-154, FR-155</t>
        </is>
      </c>
      <c r="G74" s="55">
        <f>IFERROR(INDEX('Semrush Data'!$A$1:$Z$20000,MATCH(A74,'Semrush Data'!$A$1:$A$20000,0),MATCH("Volume",'Semrush Data'!$A$1:$Z$1,0)),"")</f>
        <v/>
      </c>
      <c r="H74" s="42">
        <f>IFERROR(INDEX('Semrush Data'!$A$1:$Z$20000,MATCH(A74,'Semrush Data'!$A$1:$A$20000,0),MATCH("Keyword Difficulty*",'Semrush Data'!$A$1:$Z$1,0)),"")</f>
        <v/>
      </c>
      <c r="I74" s="56">
        <f>IFERROR(INDEX('Semrush Data'!$A$1:$Z$20000,MATCH(A74,'Semrush Data'!$A$1:$A$20000,0),MATCH("CPC*",'Semrush Data'!$A$1:$Z$1,0)),"")</f>
        <v/>
      </c>
      <c r="J74" s="42">
        <f>IFERROR(INDEX('Semrush Data'!$A$1:$Z$20000,MATCH(A74,'Semrush Data'!$A$1:$A$20000,0),MATCH("Intent",'Semrush Data'!$A$1:$Z$1,0)),"")</f>
        <v/>
      </c>
    </row>
    <row r="75" ht="15" customHeight="1" s="37">
      <c r="A75" s="42" t="inlineStr">
        <is>
          <t>elizabeth arden perfume</t>
        </is>
      </c>
      <c r="B75" s="42" t="inlineStr">
        <is>
          <t>Brand / family</t>
        </is>
      </c>
      <c r="C75" s="42" t="n">
        <v>1</v>
      </c>
      <c r="D75" s="42" t="n">
        <v>1</v>
      </c>
      <c r="E75" s="42" t="n">
        <v>1</v>
      </c>
      <c r="F75" s="42" t="inlineStr">
        <is>
          <t>FR-156</t>
        </is>
      </c>
      <c r="G75" s="55">
        <f>IFERROR(INDEX('Semrush Data'!$A$1:$Z$20000,MATCH(A75,'Semrush Data'!$A$1:$A$20000,0),MATCH("Volume",'Semrush Data'!$A$1:$Z$1,0)),"")</f>
        <v/>
      </c>
      <c r="H75" s="42">
        <f>IFERROR(INDEX('Semrush Data'!$A$1:$Z$20000,MATCH(A75,'Semrush Data'!$A$1:$A$20000,0),MATCH("Keyword Difficulty*",'Semrush Data'!$A$1:$Z$1,0)),"")</f>
        <v/>
      </c>
      <c r="I75" s="56">
        <f>IFERROR(INDEX('Semrush Data'!$A$1:$Z$20000,MATCH(A75,'Semrush Data'!$A$1:$A$20000,0),MATCH("CPC*",'Semrush Data'!$A$1:$Z$1,0)),"")</f>
        <v/>
      </c>
      <c r="J75" s="42">
        <f>IFERROR(INDEX('Semrush Data'!$A$1:$Z$20000,MATCH(A75,'Semrush Data'!$A$1:$A$20000,0),MATCH("Intent",'Semrush Data'!$A$1:$Z$1,0)),"")</f>
        <v/>
      </c>
    </row>
    <row r="76" ht="15" customHeight="1" s="37">
      <c r="A76" s="42" t="inlineStr">
        <is>
          <t>elizabeth arden perfume for women</t>
        </is>
      </c>
      <c r="B76" s="42" t="inlineStr">
        <is>
          <t>Brand / family</t>
        </is>
      </c>
      <c r="C76" s="42" t="n">
        <v>1</v>
      </c>
      <c r="D76" s="42" t="n">
        <v>1</v>
      </c>
      <c r="E76" s="42" t="n">
        <v>1</v>
      </c>
      <c r="F76" s="42" t="inlineStr">
        <is>
          <t>FR-156</t>
        </is>
      </c>
      <c r="G76" s="55">
        <f>IFERROR(INDEX('Semrush Data'!$A$1:$Z$20000,MATCH(A76,'Semrush Data'!$A$1:$A$20000,0),MATCH("Volume",'Semrush Data'!$A$1:$Z$1,0)),"")</f>
        <v/>
      </c>
      <c r="H76" s="42">
        <f>IFERROR(INDEX('Semrush Data'!$A$1:$Z$20000,MATCH(A76,'Semrush Data'!$A$1:$A$20000,0),MATCH("Keyword Difficulty*",'Semrush Data'!$A$1:$Z$1,0)),"")</f>
        <v/>
      </c>
      <c r="I76" s="56">
        <f>IFERROR(INDEX('Semrush Data'!$A$1:$Z$20000,MATCH(A76,'Semrush Data'!$A$1:$A$20000,0),MATCH("CPC*",'Semrush Data'!$A$1:$Z$1,0)),"")</f>
        <v/>
      </c>
      <c r="J76" s="42">
        <f>IFERROR(INDEX('Semrush Data'!$A$1:$Z$20000,MATCH(A76,'Semrush Data'!$A$1:$A$20000,0),MATCH("Intent",'Semrush Data'!$A$1:$Z$1,0)),"")</f>
        <v/>
      </c>
    </row>
    <row r="77" ht="15" customHeight="1" s="37">
      <c r="A77" s="42" t="inlineStr">
        <is>
          <t>escada perfume</t>
        </is>
      </c>
      <c r="B77" s="42" t="inlineStr">
        <is>
          <t>Brand / family</t>
        </is>
      </c>
      <c r="C77" s="42" t="n">
        <v>1</v>
      </c>
      <c r="D77" s="42" t="n">
        <v>1</v>
      </c>
      <c r="E77" s="42" t="n">
        <v>3</v>
      </c>
      <c r="F77" s="42" t="inlineStr">
        <is>
          <t>FR-157, FR-158, FR-159</t>
        </is>
      </c>
      <c r="G77" s="55">
        <f>IFERROR(INDEX('Semrush Data'!$A$1:$Z$20000,MATCH(A77,'Semrush Data'!$A$1:$A$20000,0),MATCH("Volume",'Semrush Data'!$A$1:$Z$1,0)),"")</f>
        <v/>
      </c>
      <c r="H77" s="42">
        <f>IFERROR(INDEX('Semrush Data'!$A$1:$Z$20000,MATCH(A77,'Semrush Data'!$A$1:$A$20000,0),MATCH("Keyword Difficulty*",'Semrush Data'!$A$1:$Z$1,0)),"")</f>
        <v/>
      </c>
      <c r="I77" s="56">
        <f>IFERROR(INDEX('Semrush Data'!$A$1:$Z$20000,MATCH(A77,'Semrush Data'!$A$1:$A$20000,0),MATCH("CPC*",'Semrush Data'!$A$1:$Z$1,0)),"")</f>
        <v/>
      </c>
      <c r="J77" s="42">
        <f>IFERROR(INDEX('Semrush Data'!$A$1:$Z$20000,MATCH(A77,'Semrush Data'!$A$1:$A$20000,0),MATCH("Intent",'Semrush Data'!$A$1:$Z$1,0)),"")</f>
        <v/>
      </c>
    </row>
    <row r="78" ht="15" customHeight="1" s="37">
      <c r="A78" s="42" t="inlineStr">
        <is>
          <t>escada perfume for women</t>
        </is>
      </c>
      <c r="B78" s="42" t="inlineStr">
        <is>
          <t>Brand / family</t>
        </is>
      </c>
      <c r="C78" s="42" t="n">
        <v>1</v>
      </c>
      <c r="D78" s="42" t="n">
        <v>1</v>
      </c>
      <c r="E78" s="42" t="n">
        <v>3</v>
      </c>
      <c r="F78" s="42" t="inlineStr">
        <is>
          <t>FR-157, FR-158, FR-159</t>
        </is>
      </c>
      <c r="G78" s="55">
        <f>IFERROR(INDEX('Semrush Data'!$A$1:$Z$20000,MATCH(A78,'Semrush Data'!$A$1:$A$20000,0),MATCH("Volume",'Semrush Data'!$A$1:$Z$1,0)),"")</f>
        <v/>
      </c>
      <c r="H78" s="42">
        <f>IFERROR(INDEX('Semrush Data'!$A$1:$Z$20000,MATCH(A78,'Semrush Data'!$A$1:$A$20000,0),MATCH("Keyword Difficulty*",'Semrush Data'!$A$1:$Z$1,0)),"")</f>
        <v/>
      </c>
      <c r="I78" s="56">
        <f>IFERROR(INDEX('Semrush Data'!$A$1:$Z$20000,MATCH(A78,'Semrush Data'!$A$1:$A$20000,0),MATCH("CPC*",'Semrush Data'!$A$1:$Z$1,0)),"")</f>
        <v/>
      </c>
      <c r="J78" s="42">
        <f>IFERROR(INDEX('Semrush Data'!$A$1:$Z$20000,MATCH(A78,'Semrush Data'!$A$1:$A$20000,0),MATCH("Intent",'Semrush Data'!$A$1:$Z$1,0)),"")</f>
        <v/>
      </c>
    </row>
    <row r="79" ht="15" customHeight="1" s="37">
      <c r="A79" s="42" t="inlineStr">
        <is>
          <t>estee lauder perfume</t>
        </is>
      </c>
      <c r="B79" s="42" t="inlineStr">
        <is>
          <t>Brand / family</t>
        </is>
      </c>
      <c r="C79" s="42" t="n">
        <v>1</v>
      </c>
      <c r="D79" s="42" t="n">
        <v>1</v>
      </c>
      <c r="E79" s="42" t="n">
        <v>1</v>
      </c>
      <c r="F79" s="42" t="inlineStr">
        <is>
          <t>FR-160</t>
        </is>
      </c>
      <c r="G79" s="55">
        <f>IFERROR(INDEX('Semrush Data'!$A$1:$Z$20000,MATCH(A79,'Semrush Data'!$A$1:$A$20000,0),MATCH("Volume",'Semrush Data'!$A$1:$Z$1,0)),"")</f>
        <v/>
      </c>
      <c r="H79" s="42">
        <f>IFERROR(INDEX('Semrush Data'!$A$1:$Z$20000,MATCH(A79,'Semrush Data'!$A$1:$A$20000,0),MATCH("Keyword Difficulty*",'Semrush Data'!$A$1:$Z$1,0)),"")</f>
        <v/>
      </c>
      <c r="I79" s="56">
        <f>IFERROR(INDEX('Semrush Data'!$A$1:$Z$20000,MATCH(A79,'Semrush Data'!$A$1:$A$20000,0),MATCH("CPC*",'Semrush Data'!$A$1:$Z$1,0)),"")</f>
        <v/>
      </c>
      <c r="J79" s="42">
        <f>IFERROR(INDEX('Semrush Data'!$A$1:$Z$20000,MATCH(A79,'Semrush Data'!$A$1:$A$20000,0),MATCH("Intent",'Semrush Data'!$A$1:$Z$1,0)),"")</f>
        <v/>
      </c>
    </row>
    <row r="80" ht="15" customHeight="1" s="37">
      <c r="A80" s="42" t="inlineStr">
        <is>
          <t>estee lauder perfume for women</t>
        </is>
      </c>
      <c r="B80" s="42" t="inlineStr">
        <is>
          <t>Brand / family</t>
        </is>
      </c>
      <c r="C80" s="42" t="n">
        <v>1</v>
      </c>
      <c r="D80" s="42" t="n">
        <v>1</v>
      </c>
      <c r="E80" s="42" t="n">
        <v>1</v>
      </c>
      <c r="F80" s="42" t="inlineStr">
        <is>
          <t>FR-160</t>
        </is>
      </c>
      <c r="G80" s="55">
        <f>IFERROR(INDEX('Semrush Data'!$A$1:$Z$20000,MATCH(A80,'Semrush Data'!$A$1:$A$20000,0),MATCH("Volume",'Semrush Data'!$A$1:$Z$1,0)),"")</f>
        <v/>
      </c>
      <c r="H80" s="42">
        <f>IFERROR(INDEX('Semrush Data'!$A$1:$Z$20000,MATCH(A80,'Semrush Data'!$A$1:$A$20000,0),MATCH("Keyword Difficulty*",'Semrush Data'!$A$1:$Z$1,0)),"")</f>
        <v/>
      </c>
      <c r="I80" s="56">
        <f>IFERROR(INDEX('Semrush Data'!$A$1:$Z$20000,MATCH(A80,'Semrush Data'!$A$1:$A$20000,0),MATCH("CPC*",'Semrush Data'!$A$1:$Z$1,0)),"")</f>
        <v/>
      </c>
      <c r="J80" s="42">
        <f>IFERROR(INDEX('Semrush Data'!$A$1:$Z$20000,MATCH(A80,'Semrush Data'!$A$1:$A$20000,0),MATCH("Intent",'Semrush Data'!$A$1:$Z$1,0)),"")</f>
        <v/>
      </c>
    </row>
    <row r="81" ht="15" customHeight="1" s="37">
      <c r="A81" s="42" t="inlineStr">
        <is>
          <t>etienne aigner perfume</t>
        </is>
      </c>
      <c r="B81" s="42" t="inlineStr">
        <is>
          <t>Brand / family</t>
        </is>
      </c>
      <c r="C81" s="42" t="n">
        <v>1</v>
      </c>
      <c r="D81" s="42" t="n">
        <v>1</v>
      </c>
      <c r="E81" s="42" t="n">
        <v>2</v>
      </c>
      <c r="F81" s="42" t="inlineStr">
        <is>
          <t>FR-161, FR-162</t>
        </is>
      </c>
      <c r="G81" s="55">
        <f>IFERROR(INDEX('Semrush Data'!$A$1:$Z$20000,MATCH(A81,'Semrush Data'!$A$1:$A$20000,0),MATCH("Volume",'Semrush Data'!$A$1:$Z$1,0)),"")</f>
        <v/>
      </c>
      <c r="H81" s="42">
        <f>IFERROR(INDEX('Semrush Data'!$A$1:$Z$20000,MATCH(A81,'Semrush Data'!$A$1:$A$20000,0),MATCH("Keyword Difficulty*",'Semrush Data'!$A$1:$Z$1,0)),"")</f>
        <v/>
      </c>
      <c r="I81" s="56">
        <f>IFERROR(INDEX('Semrush Data'!$A$1:$Z$20000,MATCH(A81,'Semrush Data'!$A$1:$A$20000,0),MATCH("CPC*",'Semrush Data'!$A$1:$Z$1,0)),"")</f>
        <v/>
      </c>
      <c r="J81" s="42">
        <f>IFERROR(INDEX('Semrush Data'!$A$1:$Z$20000,MATCH(A81,'Semrush Data'!$A$1:$A$20000,0),MATCH("Intent",'Semrush Data'!$A$1:$Z$1,0)),"")</f>
        <v/>
      </c>
    </row>
    <row r="82" ht="15" customHeight="1" s="37">
      <c r="A82" s="42" t="inlineStr">
        <is>
          <t>etienne aigner perfume for men</t>
        </is>
      </c>
      <c r="B82" s="42" t="inlineStr">
        <is>
          <t>Brand / family</t>
        </is>
      </c>
      <c r="C82" s="42" t="n">
        <v>1</v>
      </c>
      <c r="D82" s="42" t="n">
        <v>1</v>
      </c>
      <c r="E82" s="42" t="n">
        <v>2</v>
      </c>
      <c r="F82" s="42" t="inlineStr">
        <is>
          <t>FR-161, FR-162</t>
        </is>
      </c>
      <c r="G82" s="55">
        <f>IFERROR(INDEX('Semrush Data'!$A$1:$Z$20000,MATCH(A82,'Semrush Data'!$A$1:$A$20000,0),MATCH("Volume",'Semrush Data'!$A$1:$Z$1,0)),"")</f>
        <v/>
      </c>
      <c r="H82" s="42">
        <f>IFERROR(INDEX('Semrush Data'!$A$1:$Z$20000,MATCH(A82,'Semrush Data'!$A$1:$A$20000,0),MATCH("Keyword Difficulty*",'Semrush Data'!$A$1:$Z$1,0)),"")</f>
        <v/>
      </c>
      <c r="I82" s="56">
        <f>IFERROR(INDEX('Semrush Data'!$A$1:$Z$20000,MATCH(A82,'Semrush Data'!$A$1:$A$20000,0),MATCH("CPC*",'Semrush Data'!$A$1:$Z$1,0)),"")</f>
        <v/>
      </c>
      <c r="J82" s="42">
        <f>IFERROR(INDEX('Semrush Data'!$A$1:$Z$20000,MATCH(A82,'Semrush Data'!$A$1:$A$20000,0),MATCH("Intent",'Semrush Data'!$A$1:$Z$1,0)),"")</f>
        <v/>
      </c>
    </row>
    <row r="83" ht="15" customHeight="1" s="37">
      <c r="A83" s="42" t="inlineStr">
        <is>
          <t>floral perfume for women uk</t>
        </is>
      </c>
      <c r="B83" s="42" t="inlineStr">
        <is>
          <t>Brand / family</t>
        </is>
      </c>
      <c r="C83" s="42" t="n">
        <v>1</v>
      </c>
      <c r="D83" s="42" t="n">
        <v>1</v>
      </c>
      <c r="E83" s="42" t="n">
        <v>76</v>
      </c>
      <c r="F83" s="42" t="inlineStr">
        <is>
          <t>FR-001, FR-002, FR-019, FR-023, FR-024, FR-043, FR-047, FR-048, FR-050, FR-063, FR-064, FR-066 …</t>
        </is>
      </c>
      <c r="G83" s="55">
        <f>IFERROR(INDEX('Semrush Data'!$A$1:$Z$20000,MATCH(A83,'Semrush Data'!$A$1:$A$20000,0),MATCH("Volume",'Semrush Data'!$A$1:$Z$1,0)),"")</f>
        <v/>
      </c>
      <c r="H83" s="42">
        <f>IFERROR(INDEX('Semrush Data'!$A$1:$Z$20000,MATCH(A83,'Semrush Data'!$A$1:$A$20000,0),MATCH("Keyword Difficulty*",'Semrush Data'!$A$1:$Z$1,0)),"")</f>
        <v/>
      </c>
      <c r="I83" s="56">
        <f>IFERROR(INDEX('Semrush Data'!$A$1:$Z$20000,MATCH(A83,'Semrush Data'!$A$1:$A$20000,0),MATCH("CPC*",'Semrush Data'!$A$1:$Z$1,0)),"")</f>
        <v/>
      </c>
      <c r="J83" s="42">
        <f>IFERROR(INDEX('Semrush Data'!$A$1:$Z$20000,MATCH(A83,'Semrush Data'!$A$1:$A$20000,0),MATCH("Intent",'Semrush Data'!$A$1:$Z$1,0)),"")</f>
        <v/>
      </c>
    </row>
    <row r="84" ht="15" customHeight="1" s="37">
      <c r="A84" s="42" t="inlineStr">
        <is>
          <t>floral perfume uk</t>
        </is>
      </c>
      <c r="B84" s="42" t="inlineStr">
        <is>
          <t>Brand / family</t>
        </is>
      </c>
      <c r="C84" s="42" t="n">
        <v>1</v>
      </c>
      <c r="D84" s="42" t="n">
        <v>1</v>
      </c>
      <c r="E84" s="42" t="n">
        <v>13</v>
      </c>
      <c r="F84" s="42" t="inlineStr">
        <is>
          <t>FR-007, FR-017, FR-021, FR-147, FR-189, FR-237, FR-242, FR-251, FR-253, FR-278, FR-317, FR-334 …</t>
        </is>
      </c>
      <c r="G84" s="55">
        <f>IFERROR(INDEX('Semrush Data'!$A$1:$Z$20000,MATCH(A84,'Semrush Data'!$A$1:$A$20000,0),MATCH("Volume",'Semrush Data'!$A$1:$Z$1,0)),"")</f>
        <v/>
      </c>
      <c r="H84" s="42">
        <f>IFERROR(INDEX('Semrush Data'!$A$1:$Z$20000,MATCH(A84,'Semrush Data'!$A$1:$A$20000,0),MATCH("Keyword Difficulty*",'Semrush Data'!$A$1:$Z$1,0)),"")</f>
        <v/>
      </c>
      <c r="I84" s="56">
        <f>IFERROR(INDEX('Semrush Data'!$A$1:$Z$20000,MATCH(A84,'Semrush Data'!$A$1:$A$20000,0),MATCH("CPC*",'Semrush Data'!$A$1:$Z$1,0)),"")</f>
        <v/>
      </c>
      <c r="J84" s="42">
        <f>IFERROR(INDEX('Semrush Data'!$A$1:$Z$20000,MATCH(A84,'Semrush Data'!$A$1:$A$20000,0),MATCH("Intent",'Semrush Data'!$A$1:$Z$1,0)),"")</f>
        <v/>
      </c>
    </row>
    <row r="85" ht="15" customHeight="1" s="37">
      <c r="A85" s="42" t="inlineStr">
        <is>
          <t>fresh perfume for men uk</t>
        </is>
      </c>
      <c r="B85" s="42" t="inlineStr">
        <is>
          <t>Brand / family</t>
        </is>
      </c>
      <c r="C85" s="42" t="n">
        <v>1</v>
      </c>
      <c r="D85" s="42" t="n">
        <v>1</v>
      </c>
      <c r="E85" s="42" t="n">
        <v>7</v>
      </c>
      <c r="F85" s="42" t="inlineStr">
        <is>
          <t>FR-049, FR-056, FR-057, FR-079, FR-129, FR-143, FR-167</t>
        </is>
      </c>
      <c r="G85" s="55">
        <f>IFERROR(INDEX('Semrush Data'!$A$1:$Z$20000,MATCH(A85,'Semrush Data'!$A$1:$A$20000,0),MATCH("Volume",'Semrush Data'!$A$1:$Z$1,0)),"")</f>
        <v/>
      </c>
      <c r="H85" s="42">
        <f>IFERROR(INDEX('Semrush Data'!$A$1:$Z$20000,MATCH(A85,'Semrush Data'!$A$1:$A$20000,0),MATCH("Keyword Difficulty*",'Semrush Data'!$A$1:$Z$1,0)),"")</f>
        <v/>
      </c>
      <c r="I85" s="56">
        <f>IFERROR(INDEX('Semrush Data'!$A$1:$Z$20000,MATCH(A85,'Semrush Data'!$A$1:$A$20000,0),MATCH("CPC*",'Semrush Data'!$A$1:$Z$1,0)),"")</f>
        <v/>
      </c>
      <c r="J85" s="42">
        <f>IFERROR(INDEX('Semrush Data'!$A$1:$Z$20000,MATCH(A85,'Semrush Data'!$A$1:$A$20000,0),MATCH("Intent",'Semrush Data'!$A$1:$Z$1,0)),"")</f>
        <v/>
      </c>
    </row>
    <row r="86" ht="15" customHeight="1" s="37">
      <c r="A86" s="42" t="inlineStr">
        <is>
          <t>fresh perfume for women uk</t>
        </is>
      </c>
      <c r="B86" s="42" t="inlineStr">
        <is>
          <t>Brand / family</t>
        </is>
      </c>
      <c r="C86" s="42" t="n">
        <v>1</v>
      </c>
      <c r="D86" s="42" t="n">
        <v>1</v>
      </c>
      <c r="E86" s="42" t="n">
        <v>2</v>
      </c>
      <c r="F86" s="42" t="inlineStr">
        <is>
          <t>FR-118, FR-297</t>
        </is>
      </c>
      <c r="G86" s="55">
        <f>IFERROR(INDEX('Semrush Data'!$A$1:$Z$20000,MATCH(A86,'Semrush Data'!$A$1:$A$20000,0),MATCH("Volume",'Semrush Data'!$A$1:$Z$1,0)),"")</f>
        <v/>
      </c>
      <c r="H86" s="42">
        <f>IFERROR(INDEX('Semrush Data'!$A$1:$Z$20000,MATCH(A86,'Semrush Data'!$A$1:$A$20000,0),MATCH("Keyword Difficulty*",'Semrush Data'!$A$1:$Z$1,0)),"")</f>
        <v/>
      </c>
      <c r="I86" s="56">
        <f>IFERROR(INDEX('Semrush Data'!$A$1:$Z$20000,MATCH(A86,'Semrush Data'!$A$1:$A$20000,0),MATCH("CPC*",'Semrush Data'!$A$1:$Z$1,0)),"")</f>
        <v/>
      </c>
      <c r="J86" s="42">
        <f>IFERROR(INDEX('Semrush Data'!$A$1:$Z$20000,MATCH(A86,'Semrush Data'!$A$1:$A$20000,0),MATCH("Intent",'Semrush Data'!$A$1:$Z$1,0)),"")</f>
        <v/>
      </c>
    </row>
    <row r="87" ht="15" customHeight="1" s="37">
      <c r="A87" s="42" t="inlineStr">
        <is>
          <t>fresh perfume uk</t>
        </is>
      </c>
      <c r="B87" s="42" t="inlineStr">
        <is>
          <t>Brand / family</t>
        </is>
      </c>
      <c r="C87" s="42" t="n">
        <v>1</v>
      </c>
      <c r="D87" s="42" t="n">
        <v>1</v>
      </c>
      <c r="E87" s="42" t="n">
        <v>1</v>
      </c>
      <c r="F87" s="42" t="inlineStr">
        <is>
          <t>FR-332</t>
        </is>
      </c>
      <c r="G87" s="55">
        <f>IFERROR(INDEX('Semrush Data'!$A$1:$Z$20000,MATCH(A87,'Semrush Data'!$A$1:$A$20000,0),MATCH("Volume",'Semrush Data'!$A$1:$Z$1,0)),"")</f>
        <v/>
      </c>
      <c r="H87" s="42">
        <f>IFERROR(INDEX('Semrush Data'!$A$1:$Z$20000,MATCH(A87,'Semrush Data'!$A$1:$A$20000,0),MATCH("Keyword Difficulty*",'Semrush Data'!$A$1:$Z$1,0)),"")</f>
        <v/>
      </c>
      <c r="I87" s="56">
        <f>IFERROR(INDEX('Semrush Data'!$A$1:$Z$20000,MATCH(A87,'Semrush Data'!$A$1:$A$20000,0),MATCH("CPC*",'Semrush Data'!$A$1:$Z$1,0)),"")</f>
        <v/>
      </c>
      <c r="J87" s="42">
        <f>IFERROR(INDEX('Semrush Data'!$A$1:$Z$20000,MATCH(A87,'Semrush Data'!$A$1:$A$20000,0),MATCH("Intent",'Semrush Data'!$A$1:$Z$1,0)),"")</f>
        <v/>
      </c>
    </row>
    <row r="88" ht="15" customHeight="1" s="37">
      <c r="A88" s="42" t="inlineStr">
        <is>
          <t>fruity perfume for women uk</t>
        </is>
      </c>
      <c r="B88" s="42" t="inlineStr">
        <is>
          <t>Brand / family</t>
        </is>
      </c>
      <c r="C88" s="42" t="n">
        <v>1</v>
      </c>
      <c r="D88" s="42" t="n">
        <v>1</v>
      </c>
      <c r="E88" s="42" t="n">
        <v>1</v>
      </c>
      <c r="F88" s="42" t="inlineStr">
        <is>
          <t>FR-159</t>
        </is>
      </c>
      <c r="G88" s="55">
        <f>IFERROR(INDEX('Semrush Data'!$A$1:$Z$20000,MATCH(A88,'Semrush Data'!$A$1:$A$20000,0),MATCH("Volume",'Semrush Data'!$A$1:$Z$1,0)),"")</f>
        <v/>
      </c>
      <c r="H88" s="42">
        <f>IFERROR(INDEX('Semrush Data'!$A$1:$Z$20000,MATCH(A88,'Semrush Data'!$A$1:$A$20000,0),MATCH("Keyword Difficulty*",'Semrush Data'!$A$1:$Z$1,0)),"")</f>
        <v/>
      </c>
      <c r="I88" s="56">
        <f>IFERROR(INDEX('Semrush Data'!$A$1:$Z$20000,MATCH(A88,'Semrush Data'!$A$1:$A$20000,0),MATCH("CPC*",'Semrush Data'!$A$1:$Z$1,0)),"")</f>
        <v/>
      </c>
      <c r="J88" s="42">
        <f>IFERROR(INDEX('Semrush Data'!$A$1:$Z$20000,MATCH(A88,'Semrush Data'!$A$1:$A$20000,0),MATCH("Intent",'Semrush Data'!$A$1:$Z$1,0)),"")</f>
        <v/>
      </c>
    </row>
    <row r="89" ht="15" customHeight="1" s="37">
      <c r="A89" s="42" t="inlineStr">
        <is>
          <t>fruity perfume uk</t>
        </is>
      </c>
      <c r="B89" s="42" t="inlineStr">
        <is>
          <t>Brand / family</t>
        </is>
      </c>
      <c r="C89" s="42" t="n">
        <v>1</v>
      </c>
      <c r="D89" s="42" t="n">
        <v>1</v>
      </c>
      <c r="E89" s="42" t="n">
        <v>2</v>
      </c>
      <c r="F89" s="42" t="inlineStr">
        <is>
          <t>FR-175, FR-365</t>
        </is>
      </c>
      <c r="G89" s="55">
        <f>IFERROR(INDEX('Semrush Data'!$A$1:$Z$20000,MATCH(A89,'Semrush Data'!$A$1:$A$20000,0),MATCH("Volume",'Semrush Data'!$A$1:$Z$1,0)),"")</f>
        <v/>
      </c>
      <c r="H89" s="42">
        <f>IFERROR(INDEX('Semrush Data'!$A$1:$Z$20000,MATCH(A89,'Semrush Data'!$A$1:$A$20000,0),MATCH("Keyword Difficulty*",'Semrush Data'!$A$1:$Z$1,0)),"")</f>
        <v/>
      </c>
      <c r="I89" s="56">
        <f>IFERROR(INDEX('Semrush Data'!$A$1:$Z$20000,MATCH(A89,'Semrush Data'!$A$1:$A$20000,0),MATCH("CPC*",'Semrush Data'!$A$1:$Z$1,0)),"")</f>
        <v/>
      </c>
      <c r="J89" s="42">
        <f>IFERROR(INDEX('Semrush Data'!$A$1:$Z$20000,MATCH(A89,'Semrush Data'!$A$1:$A$20000,0),MATCH("Intent",'Semrush Data'!$A$1:$Z$1,0)),"")</f>
        <v/>
      </c>
    </row>
    <row r="90" ht="15" customHeight="1" s="37">
      <c r="A90" s="42" t="inlineStr">
        <is>
          <t>fumeri perfume</t>
        </is>
      </c>
      <c r="B90" s="42" t="inlineStr">
        <is>
          <t>Brand / family</t>
        </is>
      </c>
      <c r="C90" s="42" t="n">
        <v>1</v>
      </c>
      <c r="D90" s="42" t="n">
        <v>1</v>
      </c>
      <c r="E90" s="42" t="n">
        <v>17</v>
      </c>
      <c r="F90" s="42" t="inlineStr">
        <is>
          <t>FR-163, FR-164, FR-165, FR-166, FR-167, FR-168, FR-169, FR-170, FR-171, FR-172, FR-173, FR-174 …</t>
        </is>
      </c>
      <c r="G90" s="55">
        <f>IFERROR(INDEX('Semrush Data'!$A$1:$Z$20000,MATCH(A90,'Semrush Data'!$A$1:$A$20000,0),MATCH("Volume",'Semrush Data'!$A$1:$Z$1,0)),"")</f>
        <v/>
      </c>
      <c r="H90" s="42">
        <f>IFERROR(INDEX('Semrush Data'!$A$1:$Z$20000,MATCH(A90,'Semrush Data'!$A$1:$A$20000,0),MATCH("Keyword Difficulty*",'Semrush Data'!$A$1:$Z$1,0)),"")</f>
        <v/>
      </c>
      <c r="I90" s="56">
        <f>IFERROR(INDEX('Semrush Data'!$A$1:$Z$20000,MATCH(A90,'Semrush Data'!$A$1:$A$20000,0),MATCH("CPC*",'Semrush Data'!$A$1:$Z$1,0)),"")</f>
        <v/>
      </c>
      <c r="J90" s="42">
        <f>IFERROR(INDEX('Semrush Data'!$A$1:$Z$20000,MATCH(A90,'Semrush Data'!$A$1:$A$20000,0),MATCH("Intent",'Semrush Data'!$A$1:$Z$1,0)),"")</f>
        <v/>
      </c>
    </row>
    <row r="91" ht="15" customHeight="1" s="37">
      <c r="A91" s="42" t="inlineStr">
        <is>
          <t>fumeri perfume for men</t>
        </is>
      </c>
      <c r="B91" s="42" t="inlineStr">
        <is>
          <t>Brand / family</t>
        </is>
      </c>
      <c r="C91" s="42" t="n">
        <v>1</v>
      </c>
      <c r="D91" s="42" t="n">
        <v>1</v>
      </c>
      <c r="E91" s="42" t="n">
        <v>3</v>
      </c>
      <c r="F91" s="42" t="inlineStr">
        <is>
          <t>FR-167, FR-174, FR-178</t>
        </is>
      </c>
      <c r="G91" s="55">
        <f>IFERROR(INDEX('Semrush Data'!$A$1:$Z$20000,MATCH(A91,'Semrush Data'!$A$1:$A$20000,0),MATCH("Volume",'Semrush Data'!$A$1:$Z$1,0)),"")</f>
        <v/>
      </c>
      <c r="H91" s="42">
        <f>IFERROR(INDEX('Semrush Data'!$A$1:$Z$20000,MATCH(A91,'Semrush Data'!$A$1:$A$20000,0),MATCH("Keyword Difficulty*",'Semrush Data'!$A$1:$Z$1,0)),"")</f>
        <v/>
      </c>
      <c r="I91" s="56">
        <f>IFERROR(INDEX('Semrush Data'!$A$1:$Z$20000,MATCH(A91,'Semrush Data'!$A$1:$A$20000,0),MATCH("CPC*",'Semrush Data'!$A$1:$Z$1,0)),"")</f>
        <v/>
      </c>
      <c r="J91" s="42">
        <f>IFERROR(INDEX('Semrush Data'!$A$1:$Z$20000,MATCH(A91,'Semrush Data'!$A$1:$A$20000,0),MATCH("Intent",'Semrush Data'!$A$1:$Z$1,0)),"")</f>
        <v/>
      </c>
    </row>
    <row r="92" ht="15" customHeight="1" s="37">
      <c r="A92" s="42" t="inlineStr">
        <is>
          <t>fumeri perfume for women</t>
        </is>
      </c>
      <c r="B92" s="42" t="inlineStr">
        <is>
          <t>Brand / family</t>
        </is>
      </c>
      <c r="C92" s="42" t="n">
        <v>1</v>
      </c>
      <c r="D92" s="42" t="n">
        <v>1</v>
      </c>
      <c r="E92" s="42" t="n">
        <v>2</v>
      </c>
      <c r="F92" s="42" t="inlineStr">
        <is>
          <t>FR-166, FR-172</t>
        </is>
      </c>
      <c r="G92" s="55">
        <f>IFERROR(INDEX('Semrush Data'!$A$1:$Z$20000,MATCH(A92,'Semrush Data'!$A$1:$A$20000,0),MATCH("Volume",'Semrush Data'!$A$1:$Z$1,0)),"")</f>
        <v/>
      </c>
      <c r="H92" s="42">
        <f>IFERROR(INDEX('Semrush Data'!$A$1:$Z$20000,MATCH(A92,'Semrush Data'!$A$1:$A$20000,0),MATCH("Keyword Difficulty*",'Semrush Data'!$A$1:$Z$1,0)),"")</f>
        <v/>
      </c>
      <c r="I92" s="56">
        <f>IFERROR(INDEX('Semrush Data'!$A$1:$Z$20000,MATCH(A92,'Semrush Data'!$A$1:$A$20000,0),MATCH("CPC*",'Semrush Data'!$A$1:$Z$1,0)),"")</f>
        <v/>
      </c>
      <c r="J92" s="42">
        <f>IFERROR(INDEX('Semrush Data'!$A$1:$Z$20000,MATCH(A92,'Semrush Data'!$A$1:$A$20000,0),MATCH("Intent",'Semrush Data'!$A$1:$Z$1,0)),"")</f>
        <v/>
      </c>
    </row>
    <row r="93" ht="15" customHeight="1" s="37">
      <c r="A93" s="42" t="inlineStr">
        <is>
          <t>giorgia armani perfume</t>
        </is>
      </c>
      <c r="B93" s="42" t="inlineStr">
        <is>
          <t>Brand / family</t>
        </is>
      </c>
      <c r="C93" s="42" t="n">
        <v>1</v>
      </c>
      <c r="D93" s="42" t="n">
        <v>1</v>
      </c>
      <c r="E93" s="42" t="n">
        <v>1</v>
      </c>
      <c r="F93" s="42" t="inlineStr">
        <is>
          <t>FR-212</t>
        </is>
      </c>
      <c r="G93" s="55">
        <f>IFERROR(INDEX('Semrush Data'!$A$1:$Z$20000,MATCH(A93,'Semrush Data'!$A$1:$A$20000,0),MATCH("Volume",'Semrush Data'!$A$1:$Z$1,0)),"")</f>
        <v/>
      </c>
      <c r="H93" s="42">
        <f>IFERROR(INDEX('Semrush Data'!$A$1:$Z$20000,MATCH(A93,'Semrush Data'!$A$1:$A$20000,0),MATCH("Keyword Difficulty*",'Semrush Data'!$A$1:$Z$1,0)),"")</f>
        <v/>
      </c>
      <c r="I93" s="56">
        <f>IFERROR(INDEX('Semrush Data'!$A$1:$Z$20000,MATCH(A93,'Semrush Data'!$A$1:$A$20000,0),MATCH("CPC*",'Semrush Data'!$A$1:$Z$1,0)),"")</f>
        <v/>
      </c>
      <c r="J93" s="42">
        <f>IFERROR(INDEX('Semrush Data'!$A$1:$Z$20000,MATCH(A93,'Semrush Data'!$A$1:$A$20000,0),MATCH("Intent",'Semrush Data'!$A$1:$Z$1,0)),"")</f>
        <v/>
      </c>
    </row>
    <row r="94" ht="15" customHeight="1" s="37">
      <c r="A94" s="42" t="inlineStr">
        <is>
          <t>giorgia armani perfume for men</t>
        </is>
      </c>
      <c r="B94" s="42" t="inlineStr">
        <is>
          <t>Brand / family</t>
        </is>
      </c>
      <c r="C94" s="42" t="n">
        <v>1</v>
      </c>
      <c r="D94" s="42" t="n">
        <v>1</v>
      </c>
      <c r="E94" s="42" t="n">
        <v>1</v>
      </c>
      <c r="F94" s="42" t="inlineStr">
        <is>
          <t>FR-212</t>
        </is>
      </c>
      <c r="G94" s="55">
        <f>IFERROR(INDEX('Semrush Data'!$A$1:$Z$20000,MATCH(A94,'Semrush Data'!$A$1:$A$20000,0),MATCH("Volume",'Semrush Data'!$A$1:$Z$1,0)),"")</f>
        <v/>
      </c>
      <c r="H94" s="42">
        <f>IFERROR(INDEX('Semrush Data'!$A$1:$Z$20000,MATCH(A94,'Semrush Data'!$A$1:$A$20000,0),MATCH("Keyword Difficulty*",'Semrush Data'!$A$1:$Z$1,0)),"")</f>
        <v/>
      </c>
      <c r="I94" s="56">
        <f>IFERROR(INDEX('Semrush Data'!$A$1:$Z$20000,MATCH(A94,'Semrush Data'!$A$1:$A$20000,0),MATCH("CPC*",'Semrush Data'!$A$1:$Z$1,0)),"")</f>
        <v/>
      </c>
      <c r="J94" s="42">
        <f>IFERROR(INDEX('Semrush Data'!$A$1:$Z$20000,MATCH(A94,'Semrush Data'!$A$1:$A$20000,0),MATCH("Intent",'Semrush Data'!$A$1:$Z$1,0)),"")</f>
        <v/>
      </c>
    </row>
    <row r="95" ht="15" customHeight="1" s="37">
      <c r="A95" s="42" t="inlineStr">
        <is>
          <t>giorgio armani perfume</t>
        </is>
      </c>
      <c r="B95" s="42" t="inlineStr">
        <is>
          <t>Brand / family</t>
        </is>
      </c>
      <c r="C95" s="42" t="n">
        <v>1</v>
      </c>
      <c r="D95" s="42" t="n">
        <v>1</v>
      </c>
      <c r="E95" s="42" t="n">
        <v>1</v>
      </c>
      <c r="F95" s="42" t="inlineStr">
        <is>
          <t>FR-213</t>
        </is>
      </c>
      <c r="G95" s="55">
        <f>IFERROR(INDEX('Semrush Data'!$A$1:$Z$20000,MATCH(A95,'Semrush Data'!$A$1:$A$20000,0),MATCH("Volume",'Semrush Data'!$A$1:$Z$1,0)),"")</f>
        <v/>
      </c>
      <c r="H95" s="42">
        <f>IFERROR(INDEX('Semrush Data'!$A$1:$Z$20000,MATCH(A95,'Semrush Data'!$A$1:$A$20000,0),MATCH("Keyword Difficulty*",'Semrush Data'!$A$1:$Z$1,0)),"")</f>
        <v/>
      </c>
      <c r="I95" s="56">
        <f>IFERROR(INDEX('Semrush Data'!$A$1:$Z$20000,MATCH(A95,'Semrush Data'!$A$1:$A$20000,0),MATCH("CPC*",'Semrush Data'!$A$1:$Z$1,0)),"")</f>
        <v/>
      </c>
      <c r="J95" s="42">
        <f>IFERROR(INDEX('Semrush Data'!$A$1:$Z$20000,MATCH(A95,'Semrush Data'!$A$1:$A$20000,0),MATCH("Intent",'Semrush Data'!$A$1:$Z$1,0)),"")</f>
        <v/>
      </c>
    </row>
    <row r="96" ht="15" customHeight="1" s="37">
      <c r="A96" s="42" t="inlineStr">
        <is>
          <t>giorgio armani perfume for men</t>
        </is>
      </c>
      <c r="B96" s="42" t="inlineStr">
        <is>
          <t>Brand / family</t>
        </is>
      </c>
      <c r="C96" s="42" t="n">
        <v>1</v>
      </c>
      <c r="D96" s="42" t="n">
        <v>1</v>
      </c>
      <c r="E96" s="42" t="n">
        <v>1</v>
      </c>
      <c r="F96" s="42" t="inlineStr">
        <is>
          <t>FR-213</t>
        </is>
      </c>
      <c r="G96" s="55">
        <f>IFERROR(INDEX('Semrush Data'!$A$1:$Z$20000,MATCH(A96,'Semrush Data'!$A$1:$A$20000,0),MATCH("Volume",'Semrush Data'!$A$1:$Z$1,0)),"")</f>
        <v/>
      </c>
      <c r="H96" s="42">
        <f>IFERROR(INDEX('Semrush Data'!$A$1:$Z$20000,MATCH(A96,'Semrush Data'!$A$1:$A$20000,0),MATCH("Keyword Difficulty*",'Semrush Data'!$A$1:$Z$1,0)),"")</f>
        <v/>
      </c>
      <c r="I96" s="56">
        <f>IFERROR(INDEX('Semrush Data'!$A$1:$Z$20000,MATCH(A96,'Semrush Data'!$A$1:$A$20000,0),MATCH("CPC*",'Semrush Data'!$A$1:$Z$1,0)),"")</f>
        <v/>
      </c>
      <c r="J96" s="42">
        <f>IFERROR(INDEX('Semrush Data'!$A$1:$Z$20000,MATCH(A96,'Semrush Data'!$A$1:$A$20000,0),MATCH("Intent",'Semrush Data'!$A$1:$Z$1,0)),"")</f>
        <v/>
      </c>
    </row>
    <row r="97" ht="15" customHeight="1" s="37">
      <c r="A97" s="42" t="inlineStr">
        <is>
          <t>givenchy perfume</t>
        </is>
      </c>
      <c r="B97" s="42" t="inlineStr">
        <is>
          <t>Brand / family</t>
        </is>
      </c>
      <c r="C97" s="42" t="n">
        <v>1</v>
      </c>
      <c r="D97" s="42" t="n">
        <v>1</v>
      </c>
      <c r="E97" s="42" t="n">
        <v>2</v>
      </c>
      <c r="F97" s="42" t="inlineStr">
        <is>
          <t>FR-214, FR-215</t>
        </is>
      </c>
      <c r="G97" s="55">
        <f>IFERROR(INDEX('Semrush Data'!$A$1:$Z$20000,MATCH(A97,'Semrush Data'!$A$1:$A$20000,0),MATCH("Volume",'Semrush Data'!$A$1:$Z$1,0)),"")</f>
        <v/>
      </c>
      <c r="H97" s="42">
        <f>IFERROR(INDEX('Semrush Data'!$A$1:$Z$20000,MATCH(A97,'Semrush Data'!$A$1:$A$20000,0),MATCH("Keyword Difficulty*",'Semrush Data'!$A$1:$Z$1,0)),"")</f>
        <v/>
      </c>
      <c r="I97" s="56">
        <f>IFERROR(INDEX('Semrush Data'!$A$1:$Z$20000,MATCH(A97,'Semrush Data'!$A$1:$A$20000,0),MATCH("CPC*",'Semrush Data'!$A$1:$Z$1,0)),"")</f>
        <v/>
      </c>
      <c r="J97" s="42">
        <f>IFERROR(INDEX('Semrush Data'!$A$1:$Z$20000,MATCH(A97,'Semrush Data'!$A$1:$A$20000,0),MATCH("Intent",'Semrush Data'!$A$1:$Z$1,0)),"")</f>
        <v/>
      </c>
    </row>
    <row r="98" ht="15" customHeight="1" s="37">
      <c r="A98" s="42" t="inlineStr">
        <is>
          <t>givenchy perfume for men</t>
        </is>
      </c>
      <c r="B98" s="42" t="inlineStr">
        <is>
          <t>Brand / family</t>
        </is>
      </c>
      <c r="C98" s="42" t="n">
        <v>1</v>
      </c>
      <c r="D98" s="42" t="n">
        <v>1</v>
      </c>
      <c r="E98" s="42" t="n">
        <v>1</v>
      </c>
      <c r="F98" s="42" t="inlineStr">
        <is>
          <t>FR-215</t>
        </is>
      </c>
      <c r="G98" s="55">
        <f>IFERROR(INDEX('Semrush Data'!$A$1:$Z$20000,MATCH(A98,'Semrush Data'!$A$1:$A$20000,0),MATCH("Volume",'Semrush Data'!$A$1:$Z$1,0)),"")</f>
        <v/>
      </c>
      <c r="H98" s="42">
        <f>IFERROR(INDEX('Semrush Data'!$A$1:$Z$20000,MATCH(A98,'Semrush Data'!$A$1:$A$20000,0),MATCH("Keyword Difficulty*",'Semrush Data'!$A$1:$Z$1,0)),"")</f>
        <v/>
      </c>
      <c r="I98" s="56">
        <f>IFERROR(INDEX('Semrush Data'!$A$1:$Z$20000,MATCH(A98,'Semrush Data'!$A$1:$A$20000,0),MATCH("CPC*",'Semrush Data'!$A$1:$Z$1,0)),"")</f>
        <v/>
      </c>
      <c r="J98" s="42">
        <f>IFERROR(INDEX('Semrush Data'!$A$1:$Z$20000,MATCH(A98,'Semrush Data'!$A$1:$A$20000,0),MATCH("Intent",'Semrush Data'!$A$1:$Z$1,0)),"")</f>
        <v/>
      </c>
    </row>
    <row r="99" ht="15" customHeight="1" s="37">
      <c r="A99" s="42" t="inlineStr">
        <is>
          <t>givenchy perfume for women</t>
        </is>
      </c>
      <c r="B99" s="42" t="inlineStr">
        <is>
          <t>Brand / family</t>
        </is>
      </c>
      <c r="C99" s="42" t="n">
        <v>1</v>
      </c>
      <c r="D99" s="42" t="n">
        <v>1</v>
      </c>
      <c r="E99" s="42" t="n">
        <v>1</v>
      </c>
      <c r="F99" s="42" t="inlineStr">
        <is>
          <t>FR-214</t>
        </is>
      </c>
      <c r="G99" s="55">
        <f>IFERROR(INDEX('Semrush Data'!$A$1:$Z$20000,MATCH(A99,'Semrush Data'!$A$1:$A$20000,0),MATCH("Volume",'Semrush Data'!$A$1:$Z$1,0)),"")</f>
        <v/>
      </c>
      <c r="H99" s="42">
        <f>IFERROR(INDEX('Semrush Data'!$A$1:$Z$20000,MATCH(A99,'Semrush Data'!$A$1:$A$20000,0),MATCH("Keyword Difficulty*",'Semrush Data'!$A$1:$Z$1,0)),"")</f>
        <v/>
      </c>
      <c r="I99" s="56">
        <f>IFERROR(INDEX('Semrush Data'!$A$1:$Z$20000,MATCH(A99,'Semrush Data'!$A$1:$A$20000,0),MATCH("CPC*",'Semrush Data'!$A$1:$Z$1,0)),"")</f>
        <v/>
      </c>
      <c r="J99" s="42">
        <f>IFERROR(INDEX('Semrush Data'!$A$1:$Z$20000,MATCH(A99,'Semrush Data'!$A$1:$A$20000,0),MATCH("Intent",'Semrush Data'!$A$1:$Z$1,0)),"")</f>
        <v/>
      </c>
    </row>
    <row r="100" ht="15" customHeight="1" s="37">
      <c r="A100" s="42" t="inlineStr">
        <is>
          <t>gourmand perfume for women uk</t>
        </is>
      </c>
      <c r="B100" s="42" t="inlineStr">
        <is>
          <t>Brand / family</t>
        </is>
      </c>
      <c r="C100" s="42" t="n">
        <v>1</v>
      </c>
      <c r="D100" s="42" t="n">
        <v>1</v>
      </c>
      <c r="E100" s="42" t="n">
        <v>1</v>
      </c>
      <c r="F100" s="42" t="inlineStr">
        <is>
          <t>FR-120</t>
        </is>
      </c>
      <c r="G100" s="55">
        <f>IFERROR(INDEX('Semrush Data'!$A$1:$Z$20000,MATCH(A100,'Semrush Data'!$A$1:$A$20000,0),MATCH("Volume",'Semrush Data'!$A$1:$Z$1,0)),"")</f>
        <v/>
      </c>
      <c r="H100" s="42">
        <f>IFERROR(INDEX('Semrush Data'!$A$1:$Z$20000,MATCH(A100,'Semrush Data'!$A$1:$A$20000,0),MATCH("Keyword Difficulty*",'Semrush Data'!$A$1:$Z$1,0)),"")</f>
        <v/>
      </c>
      <c r="I100" s="56">
        <f>IFERROR(INDEX('Semrush Data'!$A$1:$Z$20000,MATCH(A100,'Semrush Data'!$A$1:$A$20000,0),MATCH("CPC*",'Semrush Data'!$A$1:$Z$1,0)),"")</f>
        <v/>
      </c>
      <c r="J100" s="42">
        <f>IFERROR(INDEX('Semrush Data'!$A$1:$Z$20000,MATCH(A100,'Semrush Data'!$A$1:$A$20000,0),MATCH("Intent",'Semrush Data'!$A$1:$Z$1,0)),"")</f>
        <v/>
      </c>
    </row>
    <row r="101" ht="15" customHeight="1" s="37">
      <c r="A101" s="42" t="inlineStr">
        <is>
          <t>green perfume uk</t>
        </is>
      </c>
      <c r="B101" s="42" t="inlineStr">
        <is>
          <t>Brand / family</t>
        </is>
      </c>
      <c r="C101" s="42" t="n">
        <v>1</v>
      </c>
      <c r="D101" s="42" t="n">
        <v>1</v>
      </c>
      <c r="E101" s="42" t="n">
        <v>1</v>
      </c>
      <c r="F101" s="42" t="inlineStr">
        <is>
          <t>FR-345</t>
        </is>
      </c>
      <c r="G101" s="55">
        <f>IFERROR(INDEX('Semrush Data'!$A$1:$Z$20000,MATCH(A101,'Semrush Data'!$A$1:$A$20000,0),MATCH("Volume",'Semrush Data'!$A$1:$Z$1,0)),"")</f>
        <v/>
      </c>
      <c r="H101" s="42">
        <f>IFERROR(INDEX('Semrush Data'!$A$1:$Z$20000,MATCH(A101,'Semrush Data'!$A$1:$A$20000,0),MATCH("Keyword Difficulty*",'Semrush Data'!$A$1:$Z$1,0)),"")</f>
        <v/>
      </c>
      <c r="I101" s="56">
        <f>IFERROR(INDEX('Semrush Data'!$A$1:$Z$20000,MATCH(A101,'Semrush Data'!$A$1:$A$20000,0),MATCH("CPC*",'Semrush Data'!$A$1:$Z$1,0)),"")</f>
        <v/>
      </c>
      <c r="J101" s="42">
        <f>IFERROR(INDEX('Semrush Data'!$A$1:$Z$20000,MATCH(A101,'Semrush Data'!$A$1:$A$20000,0),MATCH("Intent",'Semrush Data'!$A$1:$Z$1,0)),"")</f>
        <v/>
      </c>
    </row>
    <row r="102" ht="15" customHeight="1" s="37">
      <c r="A102" s="42" t="inlineStr">
        <is>
          <t>gucci perfume</t>
        </is>
      </c>
      <c r="B102" s="42" t="inlineStr">
        <is>
          <t>Brand / family</t>
        </is>
      </c>
      <c r="C102" s="42" t="n">
        <v>1</v>
      </c>
      <c r="D102" s="42" t="n">
        <v>2</v>
      </c>
      <c r="E102" s="42" t="n">
        <v>13</v>
      </c>
      <c r="F102" s="42" t="inlineStr">
        <is>
          <t>FR-216, FR-217, FR-218, FR-219, FR-220, FR-221, FR-222, FR-223, FR-224, FR-225, FR-226, FR-227 …</t>
        </is>
      </c>
      <c r="G102" s="55">
        <f>IFERROR(INDEX('Semrush Data'!$A$1:$Z$20000,MATCH(A102,'Semrush Data'!$A$1:$A$20000,0),MATCH("Volume",'Semrush Data'!$A$1:$Z$1,0)),"")</f>
        <v/>
      </c>
      <c r="H102" s="42">
        <f>IFERROR(INDEX('Semrush Data'!$A$1:$Z$20000,MATCH(A102,'Semrush Data'!$A$1:$A$20000,0),MATCH("Keyword Difficulty*",'Semrush Data'!$A$1:$Z$1,0)),"")</f>
        <v/>
      </c>
      <c r="I102" s="56">
        <f>IFERROR(INDEX('Semrush Data'!$A$1:$Z$20000,MATCH(A102,'Semrush Data'!$A$1:$A$20000,0),MATCH("CPC*",'Semrush Data'!$A$1:$Z$1,0)),"")</f>
        <v/>
      </c>
      <c r="J102" s="42">
        <f>IFERROR(INDEX('Semrush Data'!$A$1:$Z$20000,MATCH(A102,'Semrush Data'!$A$1:$A$20000,0),MATCH("Intent",'Semrush Data'!$A$1:$Z$1,0)),"")</f>
        <v/>
      </c>
    </row>
    <row r="103" ht="15" customHeight="1" s="37">
      <c r="A103" s="42" t="inlineStr">
        <is>
          <t>gucci perfume for men</t>
        </is>
      </c>
      <c r="B103" s="42" t="inlineStr">
        <is>
          <t>Brand / family</t>
        </is>
      </c>
      <c r="C103" s="42" t="n">
        <v>1</v>
      </c>
      <c r="D103" s="42" t="n">
        <v>2</v>
      </c>
      <c r="E103" s="42" t="n">
        <v>1</v>
      </c>
      <c r="F103" s="42" t="inlineStr">
        <is>
          <t>FR-222</t>
        </is>
      </c>
      <c r="G103" s="55">
        <f>IFERROR(INDEX('Semrush Data'!$A$1:$Z$20000,MATCH(A103,'Semrush Data'!$A$1:$A$20000,0),MATCH("Volume",'Semrush Data'!$A$1:$Z$1,0)),"")</f>
        <v/>
      </c>
      <c r="H103" s="42">
        <f>IFERROR(INDEX('Semrush Data'!$A$1:$Z$20000,MATCH(A103,'Semrush Data'!$A$1:$A$20000,0),MATCH("Keyword Difficulty*",'Semrush Data'!$A$1:$Z$1,0)),"")</f>
        <v/>
      </c>
      <c r="I103" s="56">
        <f>IFERROR(INDEX('Semrush Data'!$A$1:$Z$20000,MATCH(A103,'Semrush Data'!$A$1:$A$20000,0),MATCH("CPC*",'Semrush Data'!$A$1:$Z$1,0)),"")</f>
        <v/>
      </c>
      <c r="J103" s="42">
        <f>IFERROR(INDEX('Semrush Data'!$A$1:$Z$20000,MATCH(A103,'Semrush Data'!$A$1:$A$20000,0),MATCH("Intent",'Semrush Data'!$A$1:$Z$1,0)),"")</f>
        <v/>
      </c>
    </row>
    <row r="104" ht="15" customHeight="1" s="37">
      <c r="A104" s="42" t="inlineStr">
        <is>
          <t>gucci perfume for women</t>
        </is>
      </c>
      <c r="B104" s="42" t="inlineStr">
        <is>
          <t>Brand / family</t>
        </is>
      </c>
      <c r="C104" s="42" t="n">
        <v>1</v>
      </c>
      <c r="D104" s="42" t="n">
        <v>2</v>
      </c>
      <c r="E104" s="42" t="n">
        <v>10</v>
      </c>
      <c r="F104" s="42" t="inlineStr">
        <is>
          <t>FR-216, FR-217, FR-218, FR-219, FR-221, FR-223, FR-225, FR-226, FR-227, FR-228</t>
        </is>
      </c>
      <c r="G104" s="55">
        <f>IFERROR(INDEX('Semrush Data'!$A$1:$Z$20000,MATCH(A104,'Semrush Data'!$A$1:$A$20000,0),MATCH("Volume",'Semrush Data'!$A$1:$Z$1,0)),"")</f>
        <v/>
      </c>
      <c r="H104" s="42">
        <f>IFERROR(INDEX('Semrush Data'!$A$1:$Z$20000,MATCH(A104,'Semrush Data'!$A$1:$A$20000,0),MATCH("Keyword Difficulty*",'Semrush Data'!$A$1:$Z$1,0)),"")</f>
        <v/>
      </c>
      <c r="I104" s="56">
        <f>IFERROR(INDEX('Semrush Data'!$A$1:$Z$20000,MATCH(A104,'Semrush Data'!$A$1:$A$20000,0),MATCH("CPC*",'Semrush Data'!$A$1:$Z$1,0)),"")</f>
        <v/>
      </c>
      <c r="J104" s="42">
        <f>IFERROR(INDEX('Semrush Data'!$A$1:$Z$20000,MATCH(A104,'Semrush Data'!$A$1:$A$20000,0),MATCH("Intent",'Semrush Data'!$A$1:$Z$1,0)),"")</f>
        <v/>
      </c>
    </row>
    <row r="105" ht="15" customHeight="1" s="37">
      <c r="A105" s="42" t="inlineStr">
        <is>
          <t>guerlain perfume</t>
        </is>
      </c>
      <c r="B105" s="42" t="inlineStr">
        <is>
          <t>Brand / family</t>
        </is>
      </c>
      <c r="C105" s="42" t="n">
        <v>1</v>
      </c>
      <c r="D105" s="42" t="n">
        <v>2</v>
      </c>
      <c r="E105" s="42" t="n">
        <v>8</v>
      </c>
      <c r="F105" s="42" t="inlineStr">
        <is>
          <t>FR-229, FR-230, FR-231, FR-232, FR-233, FR-234, FR-235, FR-236</t>
        </is>
      </c>
      <c r="G105" s="55">
        <f>IFERROR(INDEX('Semrush Data'!$A$1:$Z$20000,MATCH(A105,'Semrush Data'!$A$1:$A$20000,0),MATCH("Volume",'Semrush Data'!$A$1:$Z$1,0)),"")</f>
        <v/>
      </c>
      <c r="H105" s="42">
        <f>IFERROR(INDEX('Semrush Data'!$A$1:$Z$20000,MATCH(A105,'Semrush Data'!$A$1:$A$20000,0),MATCH("Keyword Difficulty*",'Semrush Data'!$A$1:$Z$1,0)),"")</f>
        <v/>
      </c>
      <c r="I105" s="56">
        <f>IFERROR(INDEX('Semrush Data'!$A$1:$Z$20000,MATCH(A105,'Semrush Data'!$A$1:$A$20000,0),MATCH("CPC*",'Semrush Data'!$A$1:$Z$1,0)),"")</f>
        <v/>
      </c>
      <c r="J105" s="42">
        <f>IFERROR(INDEX('Semrush Data'!$A$1:$Z$20000,MATCH(A105,'Semrush Data'!$A$1:$A$20000,0),MATCH("Intent",'Semrush Data'!$A$1:$Z$1,0)),"")</f>
        <v/>
      </c>
    </row>
    <row r="106" ht="15" customHeight="1" s="37">
      <c r="A106" s="42" t="inlineStr">
        <is>
          <t>guerlain perfume for men</t>
        </is>
      </c>
      <c r="B106" s="42" t="inlineStr">
        <is>
          <t>Brand / family</t>
        </is>
      </c>
      <c r="C106" s="42" t="n">
        <v>1</v>
      </c>
      <c r="D106" s="42" t="n">
        <v>2</v>
      </c>
      <c r="E106" s="42" t="n">
        <v>1</v>
      </c>
      <c r="F106" s="42" t="inlineStr">
        <is>
          <t>FR-229</t>
        </is>
      </c>
      <c r="G106" s="55">
        <f>IFERROR(INDEX('Semrush Data'!$A$1:$Z$20000,MATCH(A106,'Semrush Data'!$A$1:$A$20000,0),MATCH("Volume",'Semrush Data'!$A$1:$Z$1,0)),"")</f>
        <v/>
      </c>
      <c r="H106" s="42">
        <f>IFERROR(INDEX('Semrush Data'!$A$1:$Z$20000,MATCH(A106,'Semrush Data'!$A$1:$A$20000,0),MATCH("Keyword Difficulty*",'Semrush Data'!$A$1:$Z$1,0)),"")</f>
        <v/>
      </c>
      <c r="I106" s="56">
        <f>IFERROR(INDEX('Semrush Data'!$A$1:$Z$20000,MATCH(A106,'Semrush Data'!$A$1:$A$20000,0),MATCH("CPC*",'Semrush Data'!$A$1:$Z$1,0)),"")</f>
        <v/>
      </c>
      <c r="J106" s="42">
        <f>IFERROR(INDEX('Semrush Data'!$A$1:$Z$20000,MATCH(A106,'Semrush Data'!$A$1:$A$20000,0),MATCH("Intent",'Semrush Data'!$A$1:$Z$1,0)),"")</f>
        <v/>
      </c>
    </row>
    <row r="107" ht="15" customHeight="1" s="37">
      <c r="A107" s="42" t="inlineStr">
        <is>
          <t>guerlain perfume for women</t>
        </is>
      </c>
      <c r="B107" s="42" t="inlineStr">
        <is>
          <t>Brand / family</t>
        </is>
      </c>
      <c r="C107" s="42" t="n">
        <v>1</v>
      </c>
      <c r="D107" s="42" t="n">
        <v>2</v>
      </c>
      <c r="E107" s="42" t="n">
        <v>4</v>
      </c>
      <c r="F107" s="42" t="inlineStr">
        <is>
          <t>FR-230, FR-233, FR-235, FR-236</t>
        </is>
      </c>
      <c r="G107" s="55">
        <f>IFERROR(INDEX('Semrush Data'!$A$1:$Z$20000,MATCH(A107,'Semrush Data'!$A$1:$A$20000,0),MATCH("Volume",'Semrush Data'!$A$1:$Z$1,0)),"")</f>
        <v/>
      </c>
      <c r="H107" s="42">
        <f>IFERROR(INDEX('Semrush Data'!$A$1:$Z$20000,MATCH(A107,'Semrush Data'!$A$1:$A$20000,0),MATCH("Keyword Difficulty*",'Semrush Data'!$A$1:$Z$1,0)),"")</f>
        <v/>
      </c>
      <c r="I107" s="56">
        <f>IFERROR(INDEX('Semrush Data'!$A$1:$Z$20000,MATCH(A107,'Semrush Data'!$A$1:$A$20000,0),MATCH("CPC*",'Semrush Data'!$A$1:$Z$1,0)),"")</f>
        <v/>
      </c>
      <c r="J107" s="42">
        <f>IFERROR(INDEX('Semrush Data'!$A$1:$Z$20000,MATCH(A107,'Semrush Data'!$A$1:$A$20000,0),MATCH("Intent",'Semrush Data'!$A$1:$Z$1,0)),"")</f>
        <v/>
      </c>
    </row>
    <row r="108" ht="15" customHeight="1" s="37">
      <c r="A108" s="42" t="inlineStr">
        <is>
          <t>hemel perfume</t>
        </is>
      </c>
      <c r="B108" s="42" t="inlineStr">
        <is>
          <t>Brand / family</t>
        </is>
      </c>
      <c r="C108" s="42" t="n">
        <v>1</v>
      </c>
      <c r="D108" s="42" t="n">
        <v>2</v>
      </c>
      <c r="E108" s="42" t="n">
        <v>18</v>
      </c>
      <c r="F108" s="42" t="inlineStr">
        <is>
          <t>FR-237, FR-238, FR-239, FR-240, FR-241, FR-242, FR-243, FR-244, FR-245, FR-246, FR-247, FR-248 …</t>
        </is>
      </c>
      <c r="G108" s="55">
        <f>IFERROR(INDEX('Semrush Data'!$A$1:$Z$20000,MATCH(A108,'Semrush Data'!$A$1:$A$20000,0),MATCH("Volume",'Semrush Data'!$A$1:$Z$1,0)),"")</f>
        <v/>
      </c>
      <c r="H108" s="42">
        <f>IFERROR(INDEX('Semrush Data'!$A$1:$Z$20000,MATCH(A108,'Semrush Data'!$A$1:$A$20000,0),MATCH("Keyword Difficulty*",'Semrush Data'!$A$1:$Z$1,0)),"")</f>
        <v/>
      </c>
      <c r="I108" s="56">
        <f>IFERROR(INDEX('Semrush Data'!$A$1:$Z$20000,MATCH(A108,'Semrush Data'!$A$1:$A$20000,0),MATCH("CPC*",'Semrush Data'!$A$1:$Z$1,0)),"")</f>
        <v/>
      </c>
      <c r="J108" s="42">
        <f>IFERROR(INDEX('Semrush Data'!$A$1:$Z$20000,MATCH(A108,'Semrush Data'!$A$1:$A$20000,0),MATCH("Intent",'Semrush Data'!$A$1:$Z$1,0)),"")</f>
        <v/>
      </c>
    </row>
    <row r="109" ht="15" customHeight="1" s="37">
      <c r="A109" s="42" t="inlineStr">
        <is>
          <t>hermes perfume</t>
        </is>
      </c>
      <c r="B109" s="42" t="inlineStr">
        <is>
          <t>Brand / family</t>
        </is>
      </c>
      <c r="C109" s="42" t="n">
        <v>1</v>
      </c>
      <c r="D109" s="42" t="n">
        <v>2</v>
      </c>
      <c r="E109" s="42" t="n">
        <v>1</v>
      </c>
      <c r="F109" s="42" t="inlineStr">
        <is>
          <t>FR-255</t>
        </is>
      </c>
      <c r="G109" s="55">
        <f>IFERROR(INDEX('Semrush Data'!$A$1:$Z$20000,MATCH(A109,'Semrush Data'!$A$1:$A$20000,0),MATCH("Volume",'Semrush Data'!$A$1:$Z$1,0)),"")</f>
        <v/>
      </c>
      <c r="H109" s="42">
        <f>IFERROR(INDEX('Semrush Data'!$A$1:$Z$20000,MATCH(A109,'Semrush Data'!$A$1:$A$20000,0),MATCH("Keyword Difficulty*",'Semrush Data'!$A$1:$Z$1,0)),"")</f>
        <v/>
      </c>
      <c r="I109" s="56">
        <f>IFERROR(INDEX('Semrush Data'!$A$1:$Z$20000,MATCH(A109,'Semrush Data'!$A$1:$A$20000,0),MATCH("CPC*",'Semrush Data'!$A$1:$Z$1,0)),"")</f>
        <v/>
      </c>
      <c r="J109" s="42">
        <f>IFERROR(INDEX('Semrush Data'!$A$1:$Z$20000,MATCH(A109,'Semrush Data'!$A$1:$A$20000,0),MATCH("Intent",'Semrush Data'!$A$1:$Z$1,0)),"")</f>
        <v/>
      </c>
    </row>
    <row r="110" ht="15" customHeight="1" s="37">
      <c r="A110" s="42" t="inlineStr">
        <is>
          <t>hollister perfume</t>
        </is>
      </c>
      <c r="B110" s="42" t="inlineStr">
        <is>
          <t>Brand / family</t>
        </is>
      </c>
      <c r="C110" s="42" t="n">
        <v>1</v>
      </c>
      <c r="D110" s="42" t="n">
        <v>2</v>
      </c>
      <c r="E110" s="42" t="n">
        <v>1</v>
      </c>
      <c r="F110" s="42" t="inlineStr">
        <is>
          <t>FR-256</t>
        </is>
      </c>
      <c r="G110" s="55">
        <f>IFERROR(INDEX('Semrush Data'!$A$1:$Z$20000,MATCH(A110,'Semrush Data'!$A$1:$A$20000,0),MATCH("Volume",'Semrush Data'!$A$1:$Z$1,0)),"")</f>
        <v/>
      </c>
      <c r="H110" s="42">
        <f>IFERROR(INDEX('Semrush Data'!$A$1:$Z$20000,MATCH(A110,'Semrush Data'!$A$1:$A$20000,0),MATCH("Keyword Difficulty*",'Semrush Data'!$A$1:$Z$1,0)),"")</f>
        <v/>
      </c>
      <c r="I110" s="56">
        <f>IFERROR(INDEX('Semrush Data'!$A$1:$Z$20000,MATCH(A110,'Semrush Data'!$A$1:$A$20000,0),MATCH("CPC*",'Semrush Data'!$A$1:$Z$1,0)),"")</f>
        <v/>
      </c>
      <c r="J110" s="42">
        <f>IFERROR(INDEX('Semrush Data'!$A$1:$Z$20000,MATCH(A110,'Semrush Data'!$A$1:$A$20000,0),MATCH("Intent",'Semrush Data'!$A$1:$Z$1,0)),"")</f>
        <v/>
      </c>
    </row>
    <row r="111" ht="15" customHeight="1" s="37">
      <c r="A111" s="42" t="inlineStr">
        <is>
          <t>hollister perfume for men</t>
        </is>
      </c>
      <c r="B111" s="42" t="inlineStr">
        <is>
          <t>Brand / family</t>
        </is>
      </c>
      <c r="C111" s="42" t="n">
        <v>1</v>
      </c>
      <c r="D111" s="42" t="n">
        <v>2</v>
      </c>
      <c r="E111" s="42" t="n">
        <v>1</v>
      </c>
      <c r="F111" s="42" t="inlineStr">
        <is>
          <t>FR-256</t>
        </is>
      </c>
      <c r="G111" s="55">
        <f>IFERROR(INDEX('Semrush Data'!$A$1:$Z$20000,MATCH(A111,'Semrush Data'!$A$1:$A$20000,0),MATCH("Volume",'Semrush Data'!$A$1:$Z$1,0)),"")</f>
        <v/>
      </c>
      <c r="H111" s="42">
        <f>IFERROR(INDEX('Semrush Data'!$A$1:$Z$20000,MATCH(A111,'Semrush Data'!$A$1:$A$20000,0),MATCH("Keyword Difficulty*",'Semrush Data'!$A$1:$Z$1,0)),"")</f>
        <v/>
      </c>
      <c r="I111" s="56">
        <f>IFERROR(INDEX('Semrush Data'!$A$1:$Z$20000,MATCH(A111,'Semrush Data'!$A$1:$A$20000,0),MATCH("CPC*",'Semrush Data'!$A$1:$Z$1,0)),"")</f>
        <v/>
      </c>
      <c r="J111" s="42">
        <f>IFERROR(INDEX('Semrush Data'!$A$1:$Z$20000,MATCH(A111,'Semrush Data'!$A$1:$A$20000,0),MATCH("Intent",'Semrush Data'!$A$1:$Z$1,0)),"")</f>
        <v/>
      </c>
    </row>
    <row r="112" ht="15" customHeight="1" s="37">
      <c r="A112" s="42" t="inlineStr">
        <is>
          <t>hugo boss perfume</t>
        </is>
      </c>
      <c r="B112" s="42" t="inlineStr">
        <is>
          <t>Brand / family</t>
        </is>
      </c>
      <c r="C112" s="42" t="n">
        <v>1</v>
      </c>
      <c r="D112" s="42" t="n">
        <v>2</v>
      </c>
      <c r="E112" s="42" t="n">
        <v>5</v>
      </c>
      <c r="F112" s="42" t="inlineStr">
        <is>
          <t>FR-257, FR-258, FR-259, FR-260, FR-261</t>
        </is>
      </c>
      <c r="G112" s="55">
        <f>IFERROR(INDEX('Semrush Data'!$A$1:$Z$20000,MATCH(A112,'Semrush Data'!$A$1:$A$20000,0),MATCH("Volume",'Semrush Data'!$A$1:$Z$1,0)),"")</f>
        <v/>
      </c>
      <c r="H112" s="42">
        <f>IFERROR(INDEX('Semrush Data'!$A$1:$Z$20000,MATCH(A112,'Semrush Data'!$A$1:$A$20000,0),MATCH("Keyword Difficulty*",'Semrush Data'!$A$1:$Z$1,0)),"")</f>
        <v/>
      </c>
      <c r="I112" s="56">
        <f>IFERROR(INDEX('Semrush Data'!$A$1:$Z$20000,MATCH(A112,'Semrush Data'!$A$1:$A$20000,0),MATCH("CPC*",'Semrush Data'!$A$1:$Z$1,0)),"")</f>
        <v/>
      </c>
      <c r="J112" s="42">
        <f>IFERROR(INDEX('Semrush Data'!$A$1:$Z$20000,MATCH(A112,'Semrush Data'!$A$1:$A$20000,0),MATCH("Intent",'Semrush Data'!$A$1:$Z$1,0)),"")</f>
        <v/>
      </c>
    </row>
    <row r="113" ht="15" customHeight="1" s="37">
      <c r="A113" s="42" t="inlineStr">
        <is>
          <t>hugo boss perfume for men</t>
        </is>
      </c>
      <c r="B113" s="42" t="inlineStr">
        <is>
          <t>Brand / family</t>
        </is>
      </c>
      <c r="C113" s="42" t="n">
        <v>1</v>
      </c>
      <c r="D113" s="42" t="n">
        <v>2</v>
      </c>
      <c r="E113" s="42" t="n">
        <v>4</v>
      </c>
      <c r="F113" s="42" t="inlineStr">
        <is>
          <t>FR-257, FR-258, FR-259, FR-260</t>
        </is>
      </c>
      <c r="G113" s="55">
        <f>IFERROR(INDEX('Semrush Data'!$A$1:$Z$20000,MATCH(A113,'Semrush Data'!$A$1:$A$20000,0),MATCH("Volume",'Semrush Data'!$A$1:$Z$1,0)),"")</f>
        <v/>
      </c>
      <c r="H113" s="42">
        <f>IFERROR(INDEX('Semrush Data'!$A$1:$Z$20000,MATCH(A113,'Semrush Data'!$A$1:$A$20000,0),MATCH("Keyword Difficulty*",'Semrush Data'!$A$1:$Z$1,0)),"")</f>
        <v/>
      </c>
      <c r="I113" s="56">
        <f>IFERROR(INDEX('Semrush Data'!$A$1:$Z$20000,MATCH(A113,'Semrush Data'!$A$1:$A$20000,0),MATCH("CPC*",'Semrush Data'!$A$1:$Z$1,0)),"")</f>
        <v/>
      </c>
      <c r="J113" s="42">
        <f>IFERROR(INDEX('Semrush Data'!$A$1:$Z$20000,MATCH(A113,'Semrush Data'!$A$1:$A$20000,0),MATCH("Intent",'Semrush Data'!$A$1:$Z$1,0)),"")</f>
        <v/>
      </c>
    </row>
    <row r="114" ht="15" customHeight="1" s="37">
      <c r="A114" s="42" t="inlineStr">
        <is>
          <t>hugo boss perfume for women</t>
        </is>
      </c>
      <c r="B114" s="42" t="inlineStr">
        <is>
          <t>Brand / family</t>
        </is>
      </c>
      <c r="C114" s="42" t="n">
        <v>1</v>
      </c>
      <c r="D114" s="42" t="n">
        <v>2</v>
      </c>
      <c r="E114" s="42" t="n">
        <v>1</v>
      </c>
      <c r="F114" s="42" t="inlineStr">
        <is>
          <t>FR-261</t>
        </is>
      </c>
      <c r="G114" s="55">
        <f>IFERROR(INDEX('Semrush Data'!$A$1:$Z$20000,MATCH(A114,'Semrush Data'!$A$1:$A$20000,0),MATCH("Volume",'Semrush Data'!$A$1:$Z$1,0)),"")</f>
        <v/>
      </c>
      <c r="H114" s="42">
        <f>IFERROR(INDEX('Semrush Data'!$A$1:$Z$20000,MATCH(A114,'Semrush Data'!$A$1:$A$20000,0),MATCH("Keyword Difficulty*",'Semrush Data'!$A$1:$Z$1,0)),"")</f>
        <v/>
      </c>
      <c r="I114" s="56">
        <f>IFERROR(INDEX('Semrush Data'!$A$1:$Z$20000,MATCH(A114,'Semrush Data'!$A$1:$A$20000,0),MATCH("CPC*",'Semrush Data'!$A$1:$Z$1,0)),"")</f>
        <v/>
      </c>
      <c r="J114" s="42">
        <f>IFERROR(INDEX('Semrush Data'!$A$1:$Z$20000,MATCH(A114,'Semrush Data'!$A$1:$A$20000,0),MATCH("Intent",'Semrush Data'!$A$1:$Z$1,0)),"")</f>
        <v/>
      </c>
    </row>
    <row r="115" ht="15" customHeight="1" s="37">
      <c r="A115" s="42" t="inlineStr">
        <is>
          <t>jean paul perfume</t>
        </is>
      </c>
      <c r="B115" s="42" t="inlineStr">
        <is>
          <t>Brand / family</t>
        </is>
      </c>
      <c r="C115" s="42" t="n">
        <v>1</v>
      </c>
      <c r="D115" s="42" t="n">
        <v>2</v>
      </c>
      <c r="E115" s="42" t="n">
        <v>2</v>
      </c>
      <c r="F115" s="42" t="inlineStr">
        <is>
          <t>FR-262, FR-263</t>
        </is>
      </c>
      <c r="G115" s="55">
        <f>IFERROR(INDEX('Semrush Data'!$A$1:$Z$20000,MATCH(A115,'Semrush Data'!$A$1:$A$20000,0),MATCH("Volume",'Semrush Data'!$A$1:$Z$1,0)),"")</f>
        <v/>
      </c>
      <c r="H115" s="42">
        <f>IFERROR(INDEX('Semrush Data'!$A$1:$Z$20000,MATCH(A115,'Semrush Data'!$A$1:$A$20000,0),MATCH("Keyword Difficulty*",'Semrush Data'!$A$1:$Z$1,0)),"")</f>
        <v/>
      </c>
      <c r="I115" s="56">
        <f>IFERROR(INDEX('Semrush Data'!$A$1:$Z$20000,MATCH(A115,'Semrush Data'!$A$1:$A$20000,0),MATCH("CPC*",'Semrush Data'!$A$1:$Z$1,0)),"")</f>
        <v/>
      </c>
      <c r="J115" s="42">
        <f>IFERROR(INDEX('Semrush Data'!$A$1:$Z$20000,MATCH(A115,'Semrush Data'!$A$1:$A$20000,0),MATCH("Intent",'Semrush Data'!$A$1:$Z$1,0)),"")</f>
        <v/>
      </c>
    </row>
    <row r="116" ht="15" customHeight="1" s="37">
      <c r="A116" s="42" t="inlineStr">
        <is>
          <t>jean paul perfume for women</t>
        </is>
      </c>
      <c r="B116" s="42" t="inlineStr">
        <is>
          <t>Brand / family</t>
        </is>
      </c>
      <c r="C116" s="42" t="n">
        <v>1</v>
      </c>
      <c r="D116" s="42" t="n">
        <v>2</v>
      </c>
      <c r="E116" s="42" t="n">
        <v>2</v>
      </c>
      <c r="F116" s="42" t="inlineStr">
        <is>
          <t>FR-262, FR-263</t>
        </is>
      </c>
      <c r="G116" s="55">
        <f>IFERROR(INDEX('Semrush Data'!$A$1:$Z$20000,MATCH(A116,'Semrush Data'!$A$1:$A$20000,0),MATCH("Volume",'Semrush Data'!$A$1:$Z$1,0)),"")</f>
        <v/>
      </c>
      <c r="H116" s="42">
        <f>IFERROR(INDEX('Semrush Data'!$A$1:$Z$20000,MATCH(A116,'Semrush Data'!$A$1:$A$20000,0),MATCH("Keyword Difficulty*",'Semrush Data'!$A$1:$Z$1,0)),"")</f>
        <v/>
      </c>
      <c r="I116" s="56">
        <f>IFERROR(INDEX('Semrush Data'!$A$1:$Z$20000,MATCH(A116,'Semrush Data'!$A$1:$A$20000,0),MATCH("CPC*",'Semrush Data'!$A$1:$Z$1,0)),"")</f>
        <v/>
      </c>
      <c r="J116" s="42">
        <f>IFERROR(INDEX('Semrush Data'!$A$1:$Z$20000,MATCH(A116,'Semrush Data'!$A$1:$A$20000,0),MATCH("Intent",'Semrush Data'!$A$1:$Z$1,0)),"")</f>
        <v/>
      </c>
    </row>
    <row r="117" ht="15" customHeight="1" s="37">
      <c r="A117" s="42" t="inlineStr">
        <is>
          <t>jimmy choo perfume</t>
        </is>
      </c>
      <c r="B117" s="42" t="inlineStr">
        <is>
          <t>Brand / family</t>
        </is>
      </c>
      <c r="C117" s="42" t="n">
        <v>1</v>
      </c>
      <c r="D117" s="42" t="n">
        <v>2</v>
      </c>
      <c r="E117" s="42" t="n">
        <v>2</v>
      </c>
      <c r="F117" s="42" t="inlineStr">
        <is>
          <t>FR-264, FR-265</t>
        </is>
      </c>
      <c r="G117" s="55">
        <f>IFERROR(INDEX('Semrush Data'!$A$1:$Z$20000,MATCH(A117,'Semrush Data'!$A$1:$A$20000,0),MATCH("Volume",'Semrush Data'!$A$1:$Z$1,0)),"")</f>
        <v/>
      </c>
      <c r="H117" s="42">
        <f>IFERROR(INDEX('Semrush Data'!$A$1:$Z$20000,MATCH(A117,'Semrush Data'!$A$1:$A$20000,0),MATCH("Keyword Difficulty*",'Semrush Data'!$A$1:$Z$1,0)),"")</f>
        <v/>
      </c>
      <c r="I117" s="56">
        <f>IFERROR(INDEX('Semrush Data'!$A$1:$Z$20000,MATCH(A117,'Semrush Data'!$A$1:$A$20000,0),MATCH("CPC*",'Semrush Data'!$A$1:$Z$1,0)),"")</f>
        <v/>
      </c>
      <c r="J117" s="42">
        <f>IFERROR(INDEX('Semrush Data'!$A$1:$Z$20000,MATCH(A117,'Semrush Data'!$A$1:$A$20000,0),MATCH("Intent",'Semrush Data'!$A$1:$Z$1,0)),"")</f>
        <v/>
      </c>
    </row>
    <row r="118" ht="15" customHeight="1" s="37">
      <c r="A118" s="42" t="inlineStr">
        <is>
          <t>jimmy choo perfume for women</t>
        </is>
      </c>
      <c r="B118" s="42" t="inlineStr">
        <is>
          <t>Brand / family</t>
        </is>
      </c>
      <c r="C118" s="42" t="n">
        <v>1</v>
      </c>
      <c r="D118" s="42" t="n">
        <v>2</v>
      </c>
      <c r="E118" s="42" t="n">
        <v>2</v>
      </c>
      <c r="F118" s="42" t="inlineStr">
        <is>
          <t>FR-264, FR-265</t>
        </is>
      </c>
      <c r="G118" s="55">
        <f>IFERROR(INDEX('Semrush Data'!$A$1:$Z$20000,MATCH(A118,'Semrush Data'!$A$1:$A$20000,0),MATCH("Volume",'Semrush Data'!$A$1:$Z$1,0)),"")</f>
        <v/>
      </c>
      <c r="H118" s="42">
        <f>IFERROR(INDEX('Semrush Data'!$A$1:$Z$20000,MATCH(A118,'Semrush Data'!$A$1:$A$20000,0),MATCH("Keyword Difficulty*",'Semrush Data'!$A$1:$Z$1,0)),"")</f>
        <v/>
      </c>
      <c r="I118" s="56">
        <f>IFERROR(INDEX('Semrush Data'!$A$1:$Z$20000,MATCH(A118,'Semrush Data'!$A$1:$A$20000,0),MATCH("CPC*",'Semrush Data'!$A$1:$Z$1,0)),"")</f>
        <v/>
      </c>
      <c r="J118" s="42">
        <f>IFERROR(INDEX('Semrush Data'!$A$1:$Z$20000,MATCH(A118,'Semrush Data'!$A$1:$A$20000,0),MATCH("Intent",'Semrush Data'!$A$1:$Z$1,0)),"")</f>
        <v/>
      </c>
    </row>
    <row r="119" ht="15" customHeight="1" s="37">
      <c r="A119" s="42" t="inlineStr">
        <is>
          <t>jo milano perfume</t>
        </is>
      </c>
      <c r="B119" s="42" t="inlineStr">
        <is>
          <t>Brand / family</t>
        </is>
      </c>
      <c r="C119" s="42" t="n">
        <v>1</v>
      </c>
      <c r="D119" s="42" t="n">
        <v>2</v>
      </c>
      <c r="E119" s="42" t="n">
        <v>2</v>
      </c>
      <c r="F119" s="42" t="inlineStr">
        <is>
          <t>FR-266, FR-267</t>
        </is>
      </c>
      <c r="G119" s="55">
        <f>IFERROR(INDEX('Semrush Data'!$A$1:$Z$20000,MATCH(A119,'Semrush Data'!$A$1:$A$20000,0),MATCH("Volume",'Semrush Data'!$A$1:$Z$1,0)),"")</f>
        <v/>
      </c>
      <c r="H119" s="42">
        <f>IFERROR(INDEX('Semrush Data'!$A$1:$Z$20000,MATCH(A119,'Semrush Data'!$A$1:$A$20000,0),MATCH("Keyword Difficulty*",'Semrush Data'!$A$1:$Z$1,0)),"")</f>
        <v/>
      </c>
      <c r="I119" s="56">
        <f>IFERROR(INDEX('Semrush Data'!$A$1:$Z$20000,MATCH(A119,'Semrush Data'!$A$1:$A$20000,0),MATCH("CPC*",'Semrush Data'!$A$1:$Z$1,0)),"")</f>
        <v/>
      </c>
      <c r="J119" s="42">
        <f>IFERROR(INDEX('Semrush Data'!$A$1:$Z$20000,MATCH(A119,'Semrush Data'!$A$1:$A$20000,0),MATCH("Intent",'Semrush Data'!$A$1:$Z$1,0)),"")</f>
        <v/>
      </c>
    </row>
    <row r="120" ht="15" customHeight="1" s="37">
      <c r="A120" s="42" t="inlineStr">
        <is>
          <t>john varvatos perfume</t>
        </is>
      </c>
      <c r="B120" s="42" t="inlineStr">
        <is>
          <t>Brand / family</t>
        </is>
      </c>
      <c r="C120" s="42" t="n">
        <v>1</v>
      </c>
      <c r="D120" s="42" t="n">
        <v>2</v>
      </c>
      <c r="E120" s="42" t="n">
        <v>1</v>
      </c>
      <c r="F120" s="42" t="inlineStr">
        <is>
          <t>FR-268</t>
        </is>
      </c>
      <c r="G120" s="55">
        <f>IFERROR(INDEX('Semrush Data'!$A$1:$Z$20000,MATCH(A120,'Semrush Data'!$A$1:$A$20000,0),MATCH("Volume",'Semrush Data'!$A$1:$Z$1,0)),"")</f>
        <v/>
      </c>
      <c r="H120" s="42">
        <f>IFERROR(INDEX('Semrush Data'!$A$1:$Z$20000,MATCH(A120,'Semrush Data'!$A$1:$A$20000,0),MATCH("Keyword Difficulty*",'Semrush Data'!$A$1:$Z$1,0)),"")</f>
        <v/>
      </c>
      <c r="I120" s="56">
        <f>IFERROR(INDEX('Semrush Data'!$A$1:$Z$20000,MATCH(A120,'Semrush Data'!$A$1:$A$20000,0),MATCH("CPC*",'Semrush Data'!$A$1:$Z$1,0)),"")</f>
        <v/>
      </c>
      <c r="J120" s="42">
        <f>IFERROR(INDEX('Semrush Data'!$A$1:$Z$20000,MATCH(A120,'Semrush Data'!$A$1:$A$20000,0),MATCH("Intent",'Semrush Data'!$A$1:$Z$1,0)),"")</f>
        <v/>
      </c>
    </row>
    <row r="121" ht="15" customHeight="1" s="37">
      <c r="A121" s="42" t="inlineStr">
        <is>
          <t>john varvatos perfume for men</t>
        </is>
      </c>
      <c r="B121" s="42" t="inlineStr">
        <is>
          <t>Brand / family</t>
        </is>
      </c>
      <c r="C121" s="42" t="n">
        <v>1</v>
      </c>
      <c r="D121" s="42" t="n">
        <v>2</v>
      </c>
      <c r="E121" s="42" t="n">
        <v>1</v>
      </c>
      <c r="F121" s="42" t="inlineStr">
        <is>
          <t>FR-268</t>
        </is>
      </c>
      <c r="G121" s="55">
        <f>IFERROR(INDEX('Semrush Data'!$A$1:$Z$20000,MATCH(A121,'Semrush Data'!$A$1:$A$20000,0),MATCH("Volume",'Semrush Data'!$A$1:$Z$1,0)),"")</f>
        <v/>
      </c>
      <c r="H121" s="42">
        <f>IFERROR(INDEX('Semrush Data'!$A$1:$Z$20000,MATCH(A121,'Semrush Data'!$A$1:$A$20000,0),MATCH("Keyword Difficulty*",'Semrush Data'!$A$1:$Z$1,0)),"")</f>
        <v/>
      </c>
      <c r="I121" s="56">
        <f>IFERROR(INDEX('Semrush Data'!$A$1:$Z$20000,MATCH(A121,'Semrush Data'!$A$1:$A$20000,0),MATCH("CPC*",'Semrush Data'!$A$1:$Z$1,0)),"")</f>
        <v/>
      </c>
      <c r="J121" s="42">
        <f>IFERROR(INDEX('Semrush Data'!$A$1:$Z$20000,MATCH(A121,'Semrush Data'!$A$1:$A$20000,0),MATCH("Intent",'Semrush Data'!$A$1:$Z$1,0)),"")</f>
        <v/>
      </c>
    </row>
    <row r="122" ht="15" customHeight="1" s="37">
      <c r="A122" s="42" t="inlineStr">
        <is>
          <t>joop homme perfume</t>
        </is>
      </c>
      <c r="B122" s="42" t="inlineStr">
        <is>
          <t>Brand / family</t>
        </is>
      </c>
      <c r="C122" s="42" t="n">
        <v>1</v>
      </c>
      <c r="D122" s="42" t="n">
        <v>2</v>
      </c>
      <c r="E122" s="42" t="n">
        <v>2</v>
      </c>
      <c r="F122" s="42" t="inlineStr">
        <is>
          <t>FR-269, FR-270</t>
        </is>
      </c>
      <c r="G122" s="55">
        <f>IFERROR(INDEX('Semrush Data'!$A$1:$Z$20000,MATCH(A122,'Semrush Data'!$A$1:$A$20000,0),MATCH("Volume",'Semrush Data'!$A$1:$Z$1,0)),"")</f>
        <v/>
      </c>
      <c r="H122" s="42">
        <f>IFERROR(INDEX('Semrush Data'!$A$1:$Z$20000,MATCH(A122,'Semrush Data'!$A$1:$A$20000,0),MATCH("Keyword Difficulty*",'Semrush Data'!$A$1:$Z$1,0)),"")</f>
        <v/>
      </c>
      <c r="I122" s="56">
        <f>IFERROR(INDEX('Semrush Data'!$A$1:$Z$20000,MATCH(A122,'Semrush Data'!$A$1:$A$20000,0),MATCH("CPC*",'Semrush Data'!$A$1:$Z$1,0)),"")</f>
        <v/>
      </c>
      <c r="J122" s="42">
        <f>IFERROR(INDEX('Semrush Data'!$A$1:$Z$20000,MATCH(A122,'Semrush Data'!$A$1:$A$20000,0),MATCH("Intent",'Semrush Data'!$A$1:$Z$1,0)),"")</f>
        <v/>
      </c>
    </row>
    <row r="123" ht="15" customHeight="1" s="37">
      <c r="A123" s="42" t="inlineStr">
        <is>
          <t>joop homme perfume for men</t>
        </is>
      </c>
      <c r="B123" s="42" t="inlineStr">
        <is>
          <t>Brand / family</t>
        </is>
      </c>
      <c r="C123" s="42" t="n">
        <v>1</v>
      </c>
      <c r="D123" s="42" t="n">
        <v>2</v>
      </c>
      <c r="E123" s="42" t="n">
        <v>2</v>
      </c>
      <c r="F123" s="42" t="inlineStr">
        <is>
          <t>FR-269, FR-270</t>
        </is>
      </c>
      <c r="G123" s="55">
        <f>IFERROR(INDEX('Semrush Data'!$A$1:$Z$20000,MATCH(A123,'Semrush Data'!$A$1:$A$20000,0),MATCH("Volume",'Semrush Data'!$A$1:$Z$1,0)),"")</f>
        <v/>
      </c>
      <c r="H123" s="42">
        <f>IFERROR(INDEX('Semrush Data'!$A$1:$Z$20000,MATCH(A123,'Semrush Data'!$A$1:$A$20000,0),MATCH("Keyword Difficulty*",'Semrush Data'!$A$1:$Z$1,0)),"")</f>
        <v/>
      </c>
      <c r="I123" s="56">
        <f>IFERROR(INDEX('Semrush Data'!$A$1:$Z$20000,MATCH(A123,'Semrush Data'!$A$1:$A$20000,0),MATCH("CPC*",'Semrush Data'!$A$1:$Z$1,0)),"")</f>
        <v/>
      </c>
      <c r="J123" s="42">
        <f>IFERROR(INDEX('Semrush Data'!$A$1:$Z$20000,MATCH(A123,'Semrush Data'!$A$1:$A$20000,0),MATCH("Intent",'Semrush Data'!$A$1:$Z$1,0)),"")</f>
        <v/>
      </c>
    </row>
    <row r="124" ht="15" customHeight="1" s="37">
      <c r="A124" s="42" t="inlineStr">
        <is>
          <t>juicy couture perfume</t>
        </is>
      </c>
      <c r="B124" s="42" t="inlineStr">
        <is>
          <t>Brand / family</t>
        </is>
      </c>
      <c r="C124" s="42" t="n">
        <v>1</v>
      </c>
      <c r="D124" s="42" t="n">
        <v>2</v>
      </c>
      <c r="E124" s="42" t="n">
        <v>3</v>
      </c>
      <c r="F124" s="42" t="inlineStr">
        <is>
          <t>FR-271, FR-272, FR-273</t>
        </is>
      </c>
      <c r="G124" s="55">
        <f>IFERROR(INDEX('Semrush Data'!$A$1:$Z$20000,MATCH(A124,'Semrush Data'!$A$1:$A$20000,0),MATCH("Volume",'Semrush Data'!$A$1:$Z$1,0)),"")</f>
        <v/>
      </c>
      <c r="H124" s="42">
        <f>IFERROR(INDEX('Semrush Data'!$A$1:$Z$20000,MATCH(A124,'Semrush Data'!$A$1:$A$20000,0),MATCH("Keyword Difficulty*",'Semrush Data'!$A$1:$Z$1,0)),"")</f>
        <v/>
      </c>
      <c r="I124" s="56">
        <f>IFERROR(INDEX('Semrush Data'!$A$1:$Z$20000,MATCH(A124,'Semrush Data'!$A$1:$A$20000,0),MATCH("CPC*",'Semrush Data'!$A$1:$Z$1,0)),"")</f>
        <v/>
      </c>
      <c r="J124" s="42">
        <f>IFERROR(INDEX('Semrush Data'!$A$1:$Z$20000,MATCH(A124,'Semrush Data'!$A$1:$A$20000,0),MATCH("Intent",'Semrush Data'!$A$1:$Z$1,0)),"")</f>
        <v/>
      </c>
    </row>
    <row r="125" ht="15" customHeight="1" s="37">
      <c r="A125" s="42" t="inlineStr">
        <is>
          <t>juicy couture perfume for women</t>
        </is>
      </c>
      <c r="B125" s="42" t="inlineStr">
        <is>
          <t>Brand / family</t>
        </is>
      </c>
      <c r="C125" s="42" t="n">
        <v>1</v>
      </c>
      <c r="D125" s="42" t="n">
        <v>2</v>
      </c>
      <c r="E125" s="42" t="n">
        <v>3</v>
      </c>
      <c r="F125" s="42" t="inlineStr">
        <is>
          <t>FR-271, FR-272, FR-273</t>
        </is>
      </c>
      <c r="G125" s="55">
        <f>IFERROR(INDEX('Semrush Data'!$A$1:$Z$20000,MATCH(A125,'Semrush Data'!$A$1:$A$20000,0),MATCH("Volume",'Semrush Data'!$A$1:$Z$1,0)),"")</f>
        <v/>
      </c>
      <c r="H125" s="42">
        <f>IFERROR(INDEX('Semrush Data'!$A$1:$Z$20000,MATCH(A125,'Semrush Data'!$A$1:$A$20000,0),MATCH("Keyword Difficulty*",'Semrush Data'!$A$1:$Z$1,0)),"")</f>
        <v/>
      </c>
      <c r="I125" s="56">
        <f>IFERROR(INDEX('Semrush Data'!$A$1:$Z$20000,MATCH(A125,'Semrush Data'!$A$1:$A$20000,0),MATCH("CPC*",'Semrush Data'!$A$1:$Z$1,0)),"")</f>
        <v/>
      </c>
      <c r="J125" s="42">
        <f>IFERROR(INDEX('Semrush Data'!$A$1:$Z$20000,MATCH(A125,'Semrush Data'!$A$1:$A$20000,0),MATCH("Intent",'Semrush Data'!$A$1:$Z$1,0)),"")</f>
        <v/>
      </c>
    </row>
    <row r="126" ht="15" customHeight="1" s="37">
      <c r="A126" s="42" t="inlineStr">
        <is>
          <t>kenneth cole perfume</t>
        </is>
      </c>
      <c r="B126" s="42" t="inlineStr">
        <is>
          <t>Brand / family</t>
        </is>
      </c>
      <c r="C126" s="42" t="n">
        <v>1</v>
      </c>
      <c r="D126" s="42" t="n">
        <v>2</v>
      </c>
      <c r="E126" s="42" t="n">
        <v>1</v>
      </c>
      <c r="F126" s="42" t="inlineStr">
        <is>
          <t>FR-274</t>
        </is>
      </c>
      <c r="G126" s="55">
        <f>IFERROR(INDEX('Semrush Data'!$A$1:$Z$20000,MATCH(A126,'Semrush Data'!$A$1:$A$20000,0),MATCH("Volume",'Semrush Data'!$A$1:$Z$1,0)),"")</f>
        <v/>
      </c>
      <c r="H126" s="42">
        <f>IFERROR(INDEX('Semrush Data'!$A$1:$Z$20000,MATCH(A126,'Semrush Data'!$A$1:$A$20000,0),MATCH("Keyword Difficulty*",'Semrush Data'!$A$1:$Z$1,0)),"")</f>
        <v/>
      </c>
      <c r="I126" s="56">
        <f>IFERROR(INDEX('Semrush Data'!$A$1:$Z$20000,MATCH(A126,'Semrush Data'!$A$1:$A$20000,0),MATCH("CPC*",'Semrush Data'!$A$1:$Z$1,0)),"")</f>
        <v/>
      </c>
      <c r="J126" s="42">
        <f>IFERROR(INDEX('Semrush Data'!$A$1:$Z$20000,MATCH(A126,'Semrush Data'!$A$1:$A$20000,0),MATCH("Intent",'Semrush Data'!$A$1:$Z$1,0)),"")</f>
        <v/>
      </c>
    </row>
    <row r="127" ht="15" customHeight="1" s="37">
      <c r="A127" s="42" t="inlineStr">
        <is>
          <t>kenneth cole perfume for men</t>
        </is>
      </c>
      <c r="B127" s="42" t="inlineStr">
        <is>
          <t>Brand / family</t>
        </is>
      </c>
      <c r="C127" s="42" t="n">
        <v>1</v>
      </c>
      <c r="D127" s="42" t="n">
        <v>2</v>
      </c>
      <c r="E127" s="42" t="n">
        <v>1</v>
      </c>
      <c r="F127" s="42" t="inlineStr">
        <is>
          <t>FR-274</t>
        </is>
      </c>
      <c r="G127" s="55">
        <f>IFERROR(INDEX('Semrush Data'!$A$1:$Z$20000,MATCH(A127,'Semrush Data'!$A$1:$A$20000,0),MATCH("Volume",'Semrush Data'!$A$1:$Z$1,0)),"")</f>
        <v/>
      </c>
      <c r="H127" s="42">
        <f>IFERROR(INDEX('Semrush Data'!$A$1:$Z$20000,MATCH(A127,'Semrush Data'!$A$1:$A$20000,0),MATCH("Keyword Difficulty*",'Semrush Data'!$A$1:$Z$1,0)),"")</f>
        <v/>
      </c>
      <c r="I127" s="56">
        <f>IFERROR(INDEX('Semrush Data'!$A$1:$Z$20000,MATCH(A127,'Semrush Data'!$A$1:$A$20000,0),MATCH("CPC*",'Semrush Data'!$A$1:$Z$1,0)),"")</f>
        <v/>
      </c>
      <c r="J127" s="42">
        <f>IFERROR(INDEX('Semrush Data'!$A$1:$Z$20000,MATCH(A127,'Semrush Data'!$A$1:$A$20000,0),MATCH("Intent",'Semrush Data'!$A$1:$Z$1,0)),"")</f>
        <v/>
      </c>
    </row>
    <row r="128" ht="15" customHeight="1" s="37">
      <c r="A128" s="42" t="inlineStr">
        <is>
          <t>korloff perfume</t>
        </is>
      </c>
      <c r="B128" s="42" t="inlineStr">
        <is>
          <t>Brand / family</t>
        </is>
      </c>
      <c r="C128" s="42" t="n">
        <v>1</v>
      </c>
      <c r="D128" s="42" t="n">
        <v>2</v>
      </c>
      <c r="E128" s="42" t="n">
        <v>8</v>
      </c>
      <c r="F128" s="42" t="inlineStr">
        <is>
          <t>FR-275, FR-276, FR-277, FR-278, FR-279, FR-280, FR-281, FR-282</t>
        </is>
      </c>
      <c r="G128" s="55">
        <f>IFERROR(INDEX('Semrush Data'!$A$1:$Z$20000,MATCH(A128,'Semrush Data'!$A$1:$A$20000,0),MATCH("Volume",'Semrush Data'!$A$1:$Z$1,0)),"")</f>
        <v/>
      </c>
      <c r="H128" s="42">
        <f>IFERROR(INDEX('Semrush Data'!$A$1:$Z$20000,MATCH(A128,'Semrush Data'!$A$1:$A$20000,0),MATCH("Keyword Difficulty*",'Semrush Data'!$A$1:$Z$1,0)),"")</f>
        <v/>
      </c>
      <c r="I128" s="56">
        <f>IFERROR(INDEX('Semrush Data'!$A$1:$Z$20000,MATCH(A128,'Semrush Data'!$A$1:$A$20000,0),MATCH("CPC*",'Semrush Data'!$A$1:$Z$1,0)),"")</f>
        <v/>
      </c>
      <c r="J128" s="42">
        <f>IFERROR(INDEX('Semrush Data'!$A$1:$Z$20000,MATCH(A128,'Semrush Data'!$A$1:$A$20000,0),MATCH("Intent",'Semrush Data'!$A$1:$Z$1,0)),"")</f>
        <v/>
      </c>
    </row>
    <row r="129" ht="15" customHeight="1" s="37">
      <c r="A129" s="42" t="inlineStr">
        <is>
          <t>la maison perfume</t>
        </is>
      </c>
      <c r="B129" s="42" t="inlineStr">
        <is>
          <t>Brand / family</t>
        </is>
      </c>
      <c r="C129" s="42" t="n">
        <v>1</v>
      </c>
      <c r="D129" s="42" t="n">
        <v>2</v>
      </c>
      <c r="E129" s="42" t="n">
        <v>4</v>
      </c>
      <c r="F129" s="42" t="inlineStr">
        <is>
          <t>FR-283, FR-284, FR-285, FR-286</t>
        </is>
      </c>
      <c r="G129" s="55">
        <f>IFERROR(INDEX('Semrush Data'!$A$1:$Z$20000,MATCH(A129,'Semrush Data'!$A$1:$A$20000,0),MATCH("Volume",'Semrush Data'!$A$1:$Z$1,0)),"")</f>
        <v/>
      </c>
      <c r="H129" s="42">
        <f>IFERROR(INDEX('Semrush Data'!$A$1:$Z$20000,MATCH(A129,'Semrush Data'!$A$1:$A$20000,0),MATCH("Keyword Difficulty*",'Semrush Data'!$A$1:$Z$1,0)),"")</f>
        <v/>
      </c>
      <c r="I129" s="56">
        <f>IFERROR(INDEX('Semrush Data'!$A$1:$Z$20000,MATCH(A129,'Semrush Data'!$A$1:$A$20000,0),MATCH("CPC*",'Semrush Data'!$A$1:$Z$1,0)),"")</f>
        <v/>
      </c>
      <c r="J129" s="42">
        <f>IFERROR(INDEX('Semrush Data'!$A$1:$Z$20000,MATCH(A129,'Semrush Data'!$A$1:$A$20000,0),MATCH("Intent",'Semrush Data'!$A$1:$Z$1,0)),"")</f>
        <v/>
      </c>
    </row>
    <row r="130" ht="15" customHeight="1" s="37">
      <c r="A130" s="42" t="inlineStr">
        <is>
          <t>lancome perfume</t>
        </is>
      </c>
      <c r="B130" s="42" t="inlineStr">
        <is>
          <t>Brand / family</t>
        </is>
      </c>
      <c r="C130" s="42" t="n">
        <v>1</v>
      </c>
      <c r="D130" s="42" t="n">
        <v>2</v>
      </c>
      <c r="E130" s="42" t="n">
        <v>2</v>
      </c>
      <c r="F130" s="42" t="inlineStr">
        <is>
          <t>FR-287, FR-288</t>
        </is>
      </c>
      <c r="G130" s="55">
        <f>IFERROR(INDEX('Semrush Data'!$A$1:$Z$20000,MATCH(A130,'Semrush Data'!$A$1:$A$20000,0),MATCH("Volume",'Semrush Data'!$A$1:$Z$1,0)),"")</f>
        <v/>
      </c>
      <c r="H130" s="42">
        <f>IFERROR(INDEX('Semrush Data'!$A$1:$Z$20000,MATCH(A130,'Semrush Data'!$A$1:$A$20000,0),MATCH("Keyword Difficulty*",'Semrush Data'!$A$1:$Z$1,0)),"")</f>
        <v/>
      </c>
      <c r="I130" s="56">
        <f>IFERROR(INDEX('Semrush Data'!$A$1:$Z$20000,MATCH(A130,'Semrush Data'!$A$1:$A$20000,0),MATCH("CPC*",'Semrush Data'!$A$1:$Z$1,0)),"")</f>
        <v/>
      </c>
      <c r="J130" s="42">
        <f>IFERROR(INDEX('Semrush Data'!$A$1:$Z$20000,MATCH(A130,'Semrush Data'!$A$1:$A$20000,0),MATCH("Intent",'Semrush Data'!$A$1:$Z$1,0)),"")</f>
        <v/>
      </c>
    </row>
    <row r="131" ht="15" customHeight="1" s="37">
      <c r="A131" s="42" t="inlineStr">
        <is>
          <t>lancome perfume for women</t>
        </is>
      </c>
      <c r="B131" s="42" t="inlineStr">
        <is>
          <t>Brand / family</t>
        </is>
      </c>
      <c r="C131" s="42" t="n">
        <v>1</v>
      </c>
      <c r="D131" s="42" t="n">
        <v>2</v>
      </c>
      <c r="E131" s="42" t="n">
        <v>2</v>
      </c>
      <c r="F131" s="42" t="inlineStr">
        <is>
          <t>FR-287, FR-288</t>
        </is>
      </c>
      <c r="G131" s="55">
        <f>IFERROR(INDEX('Semrush Data'!$A$1:$Z$20000,MATCH(A131,'Semrush Data'!$A$1:$A$20000,0),MATCH("Volume",'Semrush Data'!$A$1:$Z$1,0)),"")</f>
        <v/>
      </c>
      <c r="H131" s="42">
        <f>IFERROR(INDEX('Semrush Data'!$A$1:$Z$20000,MATCH(A131,'Semrush Data'!$A$1:$A$20000,0),MATCH("Keyword Difficulty*",'Semrush Data'!$A$1:$Z$1,0)),"")</f>
        <v/>
      </c>
      <c r="I131" s="56">
        <f>IFERROR(INDEX('Semrush Data'!$A$1:$Z$20000,MATCH(A131,'Semrush Data'!$A$1:$A$20000,0),MATCH("CPC*",'Semrush Data'!$A$1:$Z$1,0)),"")</f>
        <v/>
      </c>
      <c r="J131" s="42">
        <f>IFERROR(INDEX('Semrush Data'!$A$1:$Z$20000,MATCH(A131,'Semrush Data'!$A$1:$A$20000,0),MATCH("Intent",'Semrush Data'!$A$1:$Z$1,0)),"")</f>
        <v/>
      </c>
    </row>
    <row r="132" ht="15" customHeight="1" s="37">
      <c r="A132" s="42" t="inlineStr">
        <is>
          <t>leather perfume uk</t>
        </is>
      </c>
      <c r="B132" s="42" t="inlineStr">
        <is>
          <t>Brand / family</t>
        </is>
      </c>
      <c r="C132" s="42" t="n">
        <v>1</v>
      </c>
      <c r="D132" s="42" t="n">
        <v>2</v>
      </c>
      <c r="E132" s="42" t="n">
        <v>1</v>
      </c>
      <c r="F132" s="42" t="inlineStr">
        <is>
          <t>FR-176</t>
        </is>
      </c>
      <c r="G132" s="55">
        <f>IFERROR(INDEX('Semrush Data'!$A$1:$Z$20000,MATCH(A132,'Semrush Data'!$A$1:$A$20000,0),MATCH("Volume",'Semrush Data'!$A$1:$Z$1,0)),"")</f>
        <v/>
      </c>
      <c r="H132" s="42">
        <f>IFERROR(INDEX('Semrush Data'!$A$1:$Z$20000,MATCH(A132,'Semrush Data'!$A$1:$A$20000,0),MATCH("Keyword Difficulty*",'Semrush Data'!$A$1:$Z$1,0)),"")</f>
        <v/>
      </c>
      <c r="I132" s="56">
        <f>IFERROR(INDEX('Semrush Data'!$A$1:$Z$20000,MATCH(A132,'Semrush Data'!$A$1:$A$20000,0),MATCH("CPC*",'Semrush Data'!$A$1:$Z$1,0)),"")</f>
        <v/>
      </c>
      <c r="J132" s="42">
        <f>IFERROR(INDEX('Semrush Data'!$A$1:$Z$20000,MATCH(A132,'Semrush Data'!$A$1:$A$20000,0),MATCH("Intent",'Semrush Data'!$A$1:$Z$1,0)),"")</f>
        <v/>
      </c>
    </row>
    <row r="133" ht="15" customHeight="1" s="37">
      <c r="A133" s="42" t="inlineStr">
        <is>
          <t>mancera perfume</t>
        </is>
      </c>
      <c r="B133" s="42" t="inlineStr">
        <is>
          <t>Brand / family</t>
        </is>
      </c>
      <c r="C133" s="42" t="n">
        <v>1</v>
      </c>
      <c r="D133" s="42" t="n">
        <v>2</v>
      </c>
      <c r="E133" s="42" t="n">
        <v>2</v>
      </c>
      <c r="F133" s="42" t="inlineStr">
        <is>
          <t>FR-289, FR-290</t>
        </is>
      </c>
      <c r="G133" s="55">
        <f>IFERROR(INDEX('Semrush Data'!$A$1:$Z$20000,MATCH(A133,'Semrush Data'!$A$1:$A$20000,0),MATCH("Volume",'Semrush Data'!$A$1:$Z$1,0)),"")</f>
        <v/>
      </c>
      <c r="H133" s="42">
        <f>IFERROR(INDEX('Semrush Data'!$A$1:$Z$20000,MATCH(A133,'Semrush Data'!$A$1:$A$20000,0),MATCH("Keyword Difficulty*",'Semrush Data'!$A$1:$Z$1,0)),"")</f>
        <v/>
      </c>
      <c r="I133" s="56">
        <f>IFERROR(INDEX('Semrush Data'!$A$1:$Z$20000,MATCH(A133,'Semrush Data'!$A$1:$A$20000,0),MATCH("CPC*",'Semrush Data'!$A$1:$Z$1,0)),"")</f>
        <v/>
      </c>
      <c r="J133" s="42">
        <f>IFERROR(INDEX('Semrush Data'!$A$1:$Z$20000,MATCH(A133,'Semrush Data'!$A$1:$A$20000,0),MATCH("Intent",'Semrush Data'!$A$1:$Z$1,0)),"")</f>
        <v/>
      </c>
    </row>
    <row r="134" ht="15" customHeight="1" s="37">
      <c r="A134" s="42" t="inlineStr">
        <is>
          <t>marc jacobs perfume</t>
        </is>
      </c>
      <c r="B134" s="42" t="inlineStr">
        <is>
          <t>Brand / family</t>
        </is>
      </c>
      <c r="C134" s="42" t="n">
        <v>1</v>
      </c>
      <c r="D134" s="42" t="n">
        <v>2</v>
      </c>
      <c r="E134" s="42" t="n">
        <v>7</v>
      </c>
      <c r="F134" s="42" t="inlineStr">
        <is>
          <t>FR-291, FR-292, FR-293, FR-294, FR-295, FR-296, FR-297</t>
        </is>
      </c>
      <c r="G134" s="55">
        <f>IFERROR(INDEX('Semrush Data'!$A$1:$Z$20000,MATCH(A134,'Semrush Data'!$A$1:$A$20000,0),MATCH("Volume",'Semrush Data'!$A$1:$Z$1,0)),"")</f>
        <v/>
      </c>
      <c r="H134" s="42">
        <f>IFERROR(INDEX('Semrush Data'!$A$1:$Z$20000,MATCH(A134,'Semrush Data'!$A$1:$A$20000,0),MATCH("Keyword Difficulty*",'Semrush Data'!$A$1:$Z$1,0)),"")</f>
        <v/>
      </c>
      <c r="I134" s="56">
        <f>IFERROR(INDEX('Semrush Data'!$A$1:$Z$20000,MATCH(A134,'Semrush Data'!$A$1:$A$20000,0),MATCH("CPC*",'Semrush Data'!$A$1:$Z$1,0)),"")</f>
        <v/>
      </c>
      <c r="J134" s="42">
        <f>IFERROR(INDEX('Semrush Data'!$A$1:$Z$20000,MATCH(A134,'Semrush Data'!$A$1:$A$20000,0),MATCH("Intent",'Semrush Data'!$A$1:$Z$1,0)),"")</f>
        <v/>
      </c>
    </row>
    <row r="135" ht="15" customHeight="1" s="37">
      <c r="A135" s="42" t="inlineStr">
        <is>
          <t>marc jacobs perfume for women</t>
        </is>
      </c>
      <c r="B135" s="42" t="inlineStr">
        <is>
          <t>Brand / family</t>
        </is>
      </c>
      <c r="C135" s="42" t="n">
        <v>1</v>
      </c>
      <c r="D135" s="42" t="n">
        <v>2</v>
      </c>
      <c r="E135" s="42" t="n">
        <v>7</v>
      </c>
      <c r="F135" s="42" t="inlineStr">
        <is>
          <t>FR-291, FR-292, FR-293, FR-294, FR-295, FR-296, FR-297</t>
        </is>
      </c>
      <c r="G135" s="55">
        <f>IFERROR(INDEX('Semrush Data'!$A$1:$Z$20000,MATCH(A135,'Semrush Data'!$A$1:$A$20000,0),MATCH("Volume",'Semrush Data'!$A$1:$Z$1,0)),"")</f>
        <v/>
      </c>
      <c r="H135" s="42">
        <f>IFERROR(INDEX('Semrush Data'!$A$1:$Z$20000,MATCH(A135,'Semrush Data'!$A$1:$A$20000,0),MATCH("Keyword Difficulty*",'Semrush Data'!$A$1:$Z$1,0)),"")</f>
        <v/>
      </c>
      <c r="I135" s="56">
        <f>IFERROR(INDEX('Semrush Data'!$A$1:$Z$20000,MATCH(A135,'Semrush Data'!$A$1:$A$20000,0),MATCH("CPC*",'Semrush Data'!$A$1:$Z$1,0)),"")</f>
        <v/>
      </c>
      <c r="J135" s="42">
        <f>IFERROR(INDEX('Semrush Data'!$A$1:$Z$20000,MATCH(A135,'Semrush Data'!$A$1:$A$20000,0),MATCH("Intent",'Semrush Data'!$A$1:$Z$1,0)),"")</f>
        <v/>
      </c>
    </row>
    <row r="136" ht="15" customHeight="1" s="37">
      <c r="A136" s="42" t="inlineStr">
        <is>
          <t>montale perfume</t>
        </is>
      </c>
      <c r="B136" s="42" t="inlineStr">
        <is>
          <t>Brand / family</t>
        </is>
      </c>
      <c r="C136" s="42" t="n">
        <v>1</v>
      </c>
      <c r="D136" s="42" t="n">
        <v>2</v>
      </c>
      <c r="E136" s="42" t="n">
        <v>2</v>
      </c>
      <c r="F136" s="42" t="inlineStr">
        <is>
          <t>FR-298, FR-299</t>
        </is>
      </c>
      <c r="G136" s="55">
        <f>IFERROR(INDEX('Semrush Data'!$A$1:$Z$20000,MATCH(A136,'Semrush Data'!$A$1:$A$20000,0),MATCH("Volume",'Semrush Data'!$A$1:$Z$1,0)),"")</f>
        <v/>
      </c>
      <c r="H136" s="42">
        <f>IFERROR(INDEX('Semrush Data'!$A$1:$Z$20000,MATCH(A136,'Semrush Data'!$A$1:$A$20000,0),MATCH("Keyword Difficulty*",'Semrush Data'!$A$1:$Z$1,0)),"")</f>
        <v/>
      </c>
      <c r="I136" s="56">
        <f>IFERROR(INDEX('Semrush Data'!$A$1:$Z$20000,MATCH(A136,'Semrush Data'!$A$1:$A$20000,0),MATCH("CPC*",'Semrush Data'!$A$1:$Z$1,0)),"")</f>
        <v/>
      </c>
      <c r="J136" s="42">
        <f>IFERROR(INDEX('Semrush Data'!$A$1:$Z$20000,MATCH(A136,'Semrush Data'!$A$1:$A$20000,0),MATCH("Intent",'Semrush Data'!$A$1:$Z$1,0)),"")</f>
        <v/>
      </c>
    </row>
    <row r="137" ht="15" customHeight="1" s="37">
      <c r="A137" s="42" t="inlineStr">
        <is>
          <t>montale perfume for women</t>
        </is>
      </c>
      <c r="B137" s="42" t="inlineStr">
        <is>
          <t>Brand / family</t>
        </is>
      </c>
      <c r="C137" s="42" t="n">
        <v>1</v>
      </c>
      <c r="D137" s="42" t="n">
        <v>2</v>
      </c>
      <c r="E137" s="42" t="n">
        <v>1</v>
      </c>
      <c r="F137" s="42" t="inlineStr">
        <is>
          <t>FR-298</t>
        </is>
      </c>
      <c r="G137" s="55">
        <f>IFERROR(INDEX('Semrush Data'!$A$1:$Z$20000,MATCH(A137,'Semrush Data'!$A$1:$A$20000,0),MATCH("Volume",'Semrush Data'!$A$1:$Z$1,0)),"")</f>
        <v/>
      </c>
      <c r="H137" s="42">
        <f>IFERROR(INDEX('Semrush Data'!$A$1:$Z$20000,MATCH(A137,'Semrush Data'!$A$1:$A$20000,0),MATCH("Keyword Difficulty*",'Semrush Data'!$A$1:$Z$1,0)),"")</f>
        <v/>
      </c>
      <c r="I137" s="56">
        <f>IFERROR(INDEX('Semrush Data'!$A$1:$Z$20000,MATCH(A137,'Semrush Data'!$A$1:$A$20000,0),MATCH("CPC*",'Semrush Data'!$A$1:$Z$1,0)),"")</f>
        <v/>
      </c>
      <c r="J137" s="42">
        <f>IFERROR(INDEX('Semrush Data'!$A$1:$Z$20000,MATCH(A137,'Semrush Data'!$A$1:$A$20000,0),MATCH("Intent",'Semrush Data'!$A$1:$Z$1,0)),"")</f>
        <v/>
      </c>
    </row>
    <row r="138" ht="15" customHeight="1" s="37">
      <c r="A138" s="42" t="inlineStr">
        <is>
          <t>musk perfume uk</t>
        </is>
      </c>
      <c r="B138" s="42" t="inlineStr">
        <is>
          <t>Brand / family</t>
        </is>
      </c>
      <c r="C138" s="42" t="n">
        <v>1</v>
      </c>
      <c r="D138" s="42" t="n">
        <v>2</v>
      </c>
      <c r="E138" s="42" t="n">
        <v>1</v>
      </c>
      <c r="F138" s="42" t="inlineStr">
        <is>
          <t>FR-324</t>
        </is>
      </c>
      <c r="G138" s="55">
        <f>IFERROR(INDEX('Semrush Data'!$A$1:$Z$20000,MATCH(A138,'Semrush Data'!$A$1:$A$20000,0),MATCH("Volume",'Semrush Data'!$A$1:$Z$1,0)),"")</f>
        <v/>
      </c>
      <c r="H138" s="42">
        <f>IFERROR(INDEX('Semrush Data'!$A$1:$Z$20000,MATCH(A138,'Semrush Data'!$A$1:$A$20000,0),MATCH("Keyword Difficulty*",'Semrush Data'!$A$1:$Z$1,0)),"")</f>
        <v/>
      </c>
      <c r="I138" s="56">
        <f>IFERROR(INDEX('Semrush Data'!$A$1:$Z$20000,MATCH(A138,'Semrush Data'!$A$1:$A$20000,0),MATCH("CPC*",'Semrush Data'!$A$1:$Z$1,0)),"")</f>
        <v/>
      </c>
      <c r="J138" s="42">
        <f>IFERROR(INDEX('Semrush Data'!$A$1:$Z$20000,MATCH(A138,'Semrush Data'!$A$1:$A$20000,0),MATCH("Intent",'Semrush Data'!$A$1:$Z$1,0)),"")</f>
        <v/>
      </c>
    </row>
    <row r="139" ht="15" customHeight="1" s="37">
      <c r="A139" s="42" t="inlineStr">
        <is>
          <t>nina ricci perfume</t>
        </is>
      </c>
      <c r="B139" s="42" t="inlineStr">
        <is>
          <t>Brand / family</t>
        </is>
      </c>
      <c r="C139" s="42" t="n">
        <v>1</v>
      </c>
      <c r="D139" s="42" t="n">
        <v>2</v>
      </c>
      <c r="E139" s="42" t="n">
        <v>4</v>
      </c>
      <c r="F139" s="42" t="inlineStr">
        <is>
          <t>FR-300, FR-301, FR-302, FR-303</t>
        </is>
      </c>
      <c r="G139" s="55">
        <f>IFERROR(INDEX('Semrush Data'!$A$1:$Z$20000,MATCH(A139,'Semrush Data'!$A$1:$A$20000,0),MATCH("Volume",'Semrush Data'!$A$1:$Z$1,0)),"")</f>
        <v/>
      </c>
      <c r="H139" s="42">
        <f>IFERROR(INDEX('Semrush Data'!$A$1:$Z$20000,MATCH(A139,'Semrush Data'!$A$1:$A$20000,0),MATCH("Keyword Difficulty*",'Semrush Data'!$A$1:$Z$1,0)),"")</f>
        <v/>
      </c>
      <c r="I139" s="56">
        <f>IFERROR(INDEX('Semrush Data'!$A$1:$Z$20000,MATCH(A139,'Semrush Data'!$A$1:$A$20000,0),MATCH("CPC*",'Semrush Data'!$A$1:$Z$1,0)),"")</f>
        <v/>
      </c>
      <c r="J139" s="42">
        <f>IFERROR(INDEX('Semrush Data'!$A$1:$Z$20000,MATCH(A139,'Semrush Data'!$A$1:$A$20000,0),MATCH("Intent",'Semrush Data'!$A$1:$Z$1,0)),"")</f>
        <v/>
      </c>
    </row>
    <row r="140" ht="15" customHeight="1" s="37">
      <c r="A140" s="42" t="inlineStr">
        <is>
          <t>nina ricci perfume for women</t>
        </is>
      </c>
      <c r="B140" s="42" t="inlineStr">
        <is>
          <t>Brand / family</t>
        </is>
      </c>
      <c r="C140" s="42" t="n">
        <v>1</v>
      </c>
      <c r="D140" s="42" t="n">
        <v>2</v>
      </c>
      <c r="E140" s="42" t="n">
        <v>4</v>
      </c>
      <c r="F140" s="42" t="inlineStr">
        <is>
          <t>FR-300, FR-301, FR-302, FR-303</t>
        </is>
      </c>
      <c r="G140" s="55">
        <f>IFERROR(INDEX('Semrush Data'!$A$1:$Z$20000,MATCH(A140,'Semrush Data'!$A$1:$A$20000,0),MATCH("Volume",'Semrush Data'!$A$1:$Z$1,0)),"")</f>
        <v/>
      </c>
      <c r="H140" s="42">
        <f>IFERROR(INDEX('Semrush Data'!$A$1:$Z$20000,MATCH(A140,'Semrush Data'!$A$1:$A$20000,0),MATCH("Keyword Difficulty*",'Semrush Data'!$A$1:$Z$1,0)),"")</f>
        <v/>
      </c>
      <c r="I140" s="56">
        <f>IFERROR(INDEX('Semrush Data'!$A$1:$Z$20000,MATCH(A140,'Semrush Data'!$A$1:$A$20000,0),MATCH("CPC*",'Semrush Data'!$A$1:$Z$1,0)),"")</f>
        <v/>
      </c>
      <c r="J140" s="42">
        <f>IFERROR(INDEX('Semrush Data'!$A$1:$Z$20000,MATCH(A140,'Semrush Data'!$A$1:$A$20000,0),MATCH("Intent",'Semrush Data'!$A$1:$Z$1,0)),"")</f>
        <v/>
      </c>
    </row>
    <row r="141" ht="15" customHeight="1" s="37">
      <c r="A141" s="42" t="inlineStr">
        <is>
          <t>oud perfume for men uk</t>
        </is>
      </c>
      <c r="B141" s="42" t="inlineStr">
        <is>
          <t>Brand / family</t>
        </is>
      </c>
      <c r="C141" s="42" t="n">
        <v>1</v>
      </c>
      <c r="D141" s="42" t="n">
        <v>2</v>
      </c>
      <c r="E141" s="42" t="n">
        <v>4</v>
      </c>
      <c r="F141" s="42" t="inlineStr">
        <is>
          <t>FR-005, FR-105, FR-174, FR-258</t>
        </is>
      </c>
      <c r="G141" s="55">
        <f>IFERROR(INDEX('Semrush Data'!$A$1:$Z$20000,MATCH(A141,'Semrush Data'!$A$1:$A$20000,0),MATCH("Volume",'Semrush Data'!$A$1:$Z$1,0)),"")</f>
        <v/>
      </c>
      <c r="H141" s="42">
        <f>IFERROR(INDEX('Semrush Data'!$A$1:$Z$20000,MATCH(A141,'Semrush Data'!$A$1:$A$20000,0),MATCH("Keyword Difficulty*",'Semrush Data'!$A$1:$Z$1,0)),"")</f>
        <v/>
      </c>
      <c r="I141" s="56">
        <f>IFERROR(INDEX('Semrush Data'!$A$1:$Z$20000,MATCH(A141,'Semrush Data'!$A$1:$A$20000,0),MATCH("CPC*",'Semrush Data'!$A$1:$Z$1,0)),"")</f>
        <v/>
      </c>
      <c r="J141" s="42">
        <f>IFERROR(INDEX('Semrush Data'!$A$1:$Z$20000,MATCH(A141,'Semrush Data'!$A$1:$A$20000,0),MATCH("Intent",'Semrush Data'!$A$1:$Z$1,0)),"")</f>
        <v/>
      </c>
    </row>
    <row r="142" ht="15" customHeight="1" s="37">
      <c r="A142" s="42" t="inlineStr">
        <is>
          <t>oud perfume for women uk</t>
        </is>
      </c>
      <c r="B142" s="42" t="inlineStr">
        <is>
          <t>Brand / family</t>
        </is>
      </c>
      <c r="C142" s="42" t="n">
        <v>1</v>
      </c>
      <c r="D142" s="42" t="n">
        <v>2</v>
      </c>
      <c r="E142" s="42" t="n">
        <v>1</v>
      </c>
      <c r="F142" s="42" t="inlineStr">
        <is>
          <t>FR-298</t>
        </is>
      </c>
      <c r="G142" s="55">
        <f>IFERROR(INDEX('Semrush Data'!$A$1:$Z$20000,MATCH(A142,'Semrush Data'!$A$1:$A$20000,0),MATCH("Volume",'Semrush Data'!$A$1:$Z$1,0)),"")</f>
        <v/>
      </c>
      <c r="H142" s="42">
        <f>IFERROR(INDEX('Semrush Data'!$A$1:$Z$20000,MATCH(A142,'Semrush Data'!$A$1:$A$20000,0),MATCH("Keyword Difficulty*",'Semrush Data'!$A$1:$Z$1,0)),"")</f>
        <v/>
      </c>
      <c r="I142" s="56">
        <f>IFERROR(INDEX('Semrush Data'!$A$1:$Z$20000,MATCH(A142,'Semrush Data'!$A$1:$A$20000,0),MATCH("CPC*",'Semrush Data'!$A$1:$Z$1,0)),"")</f>
        <v/>
      </c>
      <c r="J142" s="42">
        <f>IFERROR(INDEX('Semrush Data'!$A$1:$Z$20000,MATCH(A142,'Semrush Data'!$A$1:$A$20000,0),MATCH("Intent",'Semrush Data'!$A$1:$Z$1,0)),"")</f>
        <v/>
      </c>
    </row>
    <row r="143" ht="15" customHeight="1" s="37">
      <c r="A143" s="42" t="inlineStr">
        <is>
          <t>oud perfume uk</t>
        </is>
      </c>
      <c r="B143" s="42" t="inlineStr">
        <is>
          <t>Brand / family</t>
        </is>
      </c>
      <c r="C143" s="42" t="n">
        <v>1</v>
      </c>
      <c r="D143" s="42" t="n">
        <v>2</v>
      </c>
      <c r="E143" s="42" t="n">
        <v>13</v>
      </c>
      <c r="F143" s="42" t="inlineStr">
        <is>
          <t>FR-148, FR-220, FR-281, FR-285, FR-289, FR-299, FR-308, FR-313, FR-315, FR-357, FR-362, FR-375 …</t>
        </is>
      </c>
      <c r="G143" s="55">
        <f>IFERROR(INDEX('Semrush Data'!$A$1:$Z$20000,MATCH(A143,'Semrush Data'!$A$1:$A$20000,0),MATCH("Volume",'Semrush Data'!$A$1:$Z$1,0)),"")</f>
        <v/>
      </c>
      <c r="H143" s="42">
        <f>IFERROR(INDEX('Semrush Data'!$A$1:$Z$20000,MATCH(A143,'Semrush Data'!$A$1:$A$20000,0),MATCH("Keyword Difficulty*",'Semrush Data'!$A$1:$Z$1,0)),"")</f>
        <v/>
      </c>
      <c r="I143" s="56">
        <f>IFERROR(INDEX('Semrush Data'!$A$1:$Z$20000,MATCH(A143,'Semrush Data'!$A$1:$A$20000,0),MATCH("CPC*",'Semrush Data'!$A$1:$Z$1,0)),"")</f>
        <v/>
      </c>
      <c r="J143" s="42">
        <f>IFERROR(INDEX('Semrush Data'!$A$1:$Z$20000,MATCH(A143,'Semrush Data'!$A$1:$A$20000,0),MATCH("Intent",'Semrush Data'!$A$1:$Z$1,0)),"")</f>
        <v/>
      </c>
    </row>
    <row r="144" ht="15" customHeight="1" s="37">
      <c r="A144" s="42" t="inlineStr">
        <is>
          <t>paloma perfume</t>
        </is>
      </c>
      <c r="B144" s="42" t="inlineStr">
        <is>
          <t>Brand / family</t>
        </is>
      </c>
      <c r="C144" s="42" t="n">
        <v>1</v>
      </c>
      <c r="D144" s="42" t="n">
        <v>2</v>
      </c>
      <c r="E144" s="42" t="n">
        <v>1</v>
      </c>
      <c r="F144" s="42" t="inlineStr">
        <is>
          <t>FR-304</t>
        </is>
      </c>
      <c r="G144" s="55">
        <f>IFERROR(INDEX('Semrush Data'!$A$1:$Z$20000,MATCH(A144,'Semrush Data'!$A$1:$A$20000,0),MATCH("Volume",'Semrush Data'!$A$1:$Z$1,0)),"")</f>
        <v/>
      </c>
      <c r="H144" s="42">
        <f>IFERROR(INDEX('Semrush Data'!$A$1:$Z$20000,MATCH(A144,'Semrush Data'!$A$1:$A$20000,0),MATCH("Keyword Difficulty*",'Semrush Data'!$A$1:$Z$1,0)),"")</f>
        <v/>
      </c>
      <c r="I144" s="56">
        <f>IFERROR(INDEX('Semrush Data'!$A$1:$Z$20000,MATCH(A144,'Semrush Data'!$A$1:$A$20000,0),MATCH("CPC*",'Semrush Data'!$A$1:$Z$1,0)),"")</f>
        <v/>
      </c>
      <c r="J144" s="42">
        <f>IFERROR(INDEX('Semrush Data'!$A$1:$Z$20000,MATCH(A144,'Semrush Data'!$A$1:$A$20000,0),MATCH("Intent",'Semrush Data'!$A$1:$Z$1,0)),"")</f>
        <v/>
      </c>
    </row>
    <row r="145" ht="15" customHeight="1" s="37">
      <c r="A145" s="42" t="inlineStr">
        <is>
          <t>paloma perfume for women</t>
        </is>
      </c>
      <c r="B145" s="42" t="inlineStr">
        <is>
          <t>Brand / family</t>
        </is>
      </c>
      <c r="C145" s="42" t="n">
        <v>1</v>
      </c>
      <c r="D145" s="42" t="n">
        <v>2</v>
      </c>
      <c r="E145" s="42" t="n">
        <v>1</v>
      </c>
      <c r="F145" s="42" t="inlineStr">
        <is>
          <t>FR-304</t>
        </is>
      </c>
      <c r="G145" s="55">
        <f>IFERROR(INDEX('Semrush Data'!$A$1:$Z$20000,MATCH(A145,'Semrush Data'!$A$1:$A$20000,0),MATCH("Volume",'Semrush Data'!$A$1:$Z$1,0)),"")</f>
        <v/>
      </c>
      <c r="H145" s="42">
        <f>IFERROR(INDEX('Semrush Data'!$A$1:$Z$20000,MATCH(A145,'Semrush Data'!$A$1:$A$20000,0),MATCH("Keyword Difficulty*",'Semrush Data'!$A$1:$Z$1,0)),"")</f>
        <v/>
      </c>
      <c r="I145" s="56">
        <f>IFERROR(INDEX('Semrush Data'!$A$1:$Z$20000,MATCH(A145,'Semrush Data'!$A$1:$A$20000,0),MATCH("CPC*",'Semrush Data'!$A$1:$Z$1,0)),"")</f>
        <v/>
      </c>
      <c r="J145" s="42">
        <f>IFERROR(INDEX('Semrush Data'!$A$1:$Z$20000,MATCH(A145,'Semrush Data'!$A$1:$A$20000,0),MATCH("Intent",'Semrush Data'!$A$1:$Z$1,0)),"")</f>
        <v/>
      </c>
    </row>
    <row r="146" ht="15" customHeight="1" s="37">
      <c r="A146" s="42" t="inlineStr">
        <is>
          <t>philipp plein perfume</t>
        </is>
      </c>
      <c r="B146" s="42" t="inlineStr">
        <is>
          <t>Brand / family</t>
        </is>
      </c>
      <c r="C146" s="42" t="n">
        <v>1</v>
      </c>
      <c r="D146" s="42" t="n">
        <v>2</v>
      </c>
      <c r="E146" s="42" t="n">
        <v>3</v>
      </c>
      <c r="F146" s="42" t="inlineStr">
        <is>
          <t>FR-305, FR-306, FR-307</t>
        </is>
      </c>
      <c r="G146" s="55">
        <f>IFERROR(INDEX('Semrush Data'!$A$1:$Z$20000,MATCH(A146,'Semrush Data'!$A$1:$A$20000,0),MATCH("Volume",'Semrush Data'!$A$1:$Z$1,0)),"")</f>
        <v/>
      </c>
      <c r="H146" s="42">
        <f>IFERROR(INDEX('Semrush Data'!$A$1:$Z$20000,MATCH(A146,'Semrush Data'!$A$1:$A$20000,0),MATCH("Keyword Difficulty*",'Semrush Data'!$A$1:$Z$1,0)),"")</f>
        <v/>
      </c>
      <c r="I146" s="56">
        <f>IFERROR(INDEX('Semrush Data'!$A$1:$Z$20000,MATCH(A146,'Semrush Data'!$A$1:$A$20000,0),MATCH("CPC*",'Semrush Data'!$A$1:$Z$1,0)),"")</f>
        <v/>
      </c>
      <c r="J146" s="42">
        <f>IFERROR(INDEX('Semrush Data'!$A$1:$Z$20000,MATCH(A146,'Semrush Data'!$A$1:$A$20000,0),MATCH("Intent",'Semrush Data'!$A$1:$Z$1,0)),"")</f>
        <v/>
      </c>
    </row>
    <row r="147" ht="15" customHeight="1" s="37">
      <c r="A147" s="42" t="inlineStr">
        <is>
          <t>philipp plein perfume for men</t>
        </is>
      </c>
      <c r="B147" s="42" t="inlineStr">
        <is>
          <t>Brand / family</t>
        </is>
      </c>
      <c r="C147" s="42" t="n">
        <v>1</v>
      </c>
      <c r="D147" s="42" t="n">
        <v>2</v>
      </c>
      <c r="E147" s="42" t="n">
        <v>3</v>
      </c>
      <c r="F147" s="42" t="inlineStr">
        <is>
          <t>FR-305, FR-306, FR-307</t>
        </is>
      </c>
      <c r="G147" s="55">
        <f>IFERROR(INDEX('Semrush Data'!$A$1:$Z$20000,MATCH(A147,'Semrush Data'!$A$1:$A$20000,0),MATCH("Volume",'Semrush Data'!$A$1:$Z$1,0)),"")</f>
        <v/>
      </c>
      <c r="H147" s="42">
        <f>IFERROR(INDEX('Semrush Data'!$A$1:$Z$20000,MATCH(A147,'Semrush Data'!$A$1:$A$20000,0),MATCH("Keyword Difficulty*",'Semrush Data'!$A$1:$Z$1,0)),"")</f>
        <v/>
      </c>
      <c r="I147" s="56">
        <f>IFERROR(INDEX('Semrush Data'!$A$1:$Z$20000,MATCH(A147,'Semrush Data'!$A$1:$A$20000,0),MATCH("CPC*",'Semrush Data'!$A$1:$Z$1,0)),"")</f>
        <v/>
      </c>
      <c r="J147" s="42">
        <f>IFERROR(INDEX('Semrush Data'!$A$1:$Z$20000,MATCH(A147,'Semrush Data'!$A$1:$A$20000,0),MATCH("Intent",'Semrush Data'!$A$1:$Z$1,0)),"")</f>
        <v/>
      </c>
    </row>
    <row r="148" ht="15" customHeight="1" s="37">
      <c r="A148" s="42" t="inlineStr">
        <is>
          <t>rihanah perfume</t>
        </is>
      </c>
      <c r="B148" s="42" t="inlineStr">
        <is>
          <t>Brand / family</t>
        </is>
      </c>
      <c r="C148" s="42" t="n">
        <v>1</v>
      </c>
      <c r="D148" s="42" t="n">
        <v>2</v>
      </c>
      <c r="E148" s="42" t="n">
        <v>1</v>
      </c>
      <c r="F148" s="42" t="inlineStr">
        <is>
          <t>FR-308</t>
        </is>
      </c>
      <c r="G148" s="55">
        <f>IFERROR(INDEX('Semrush Data'!$A$1:$Z$20000,MATCH(A148,'Semrush Data'!$A$1:$A$20000,0),MATCH("Volume",'Semrush Data'!$A$1:$Z$1,0)),"")</f>
        <v/>
      </c>
      <c r="H148" s="42">
        <f>IFERROR(INDEX('Semrush Data'!$A$1:$Z$20000,MATCH(A148,'Semrush Data'!$A$1:$A$20000,0),MATCH("Keyword Difficulty*",'Semrush Data'!$A$1:$Z$1,0)),"")</f>
        <v/>
      </c>
      <c r="I148" s="56">
        <f>IFERROR(INDEX('Semrush Data'!$A$1:$Z$20000,MATCH(A148,'Semrush Data'!$A$1:$A$20000,0),MATCH("CPC*",'Semrush Data'!$A$1:$Z$1,0)),"")</f>
        <v/>
      </c>
      <c r="J148" s="42">
        <f>IFERROR(INDEX('Semrush Data'!$A$1:$Z$20000,MATCH(A148,'Semrush Data'!$A$1:$A$20000,0),MATCH("Intent",'Semrush Data'!$A$1:$Z$1,0)),"")</f>
        <v/>
      </c>
    </row>
    <row r="149" ht="15" customHeight="1" s="37">
      <c r="A149" s="42" t="inlineStr">
        <is>
          <t>s.t. dupont perfume</t>
        </is>
      </c>
      <c r="B149" s="42" t="inlineStr">
        <is>
          <t>Brand / family</t>
        </is>
      </c>
      <c r="C149" s="42" t="n">
        <v>1</v>
      </c>
      <c r="D149" s="42" t="n">
        <v>2</v>
      </c>
      <c r="E149" s="42" t="n">
        <v>3</v>
      </c>
      <c r="F149" s="42" t="inlineStr">
        <is>
          <t>FR-309, FR-310, FR-311</t>
        </is>
      </c>
      <c r="G149" s="55">
        <f>IFERROR(INDEX('Semrush Data'!$A$1:$Z$20000,MATCH(A149,'Semrush Data'!$A$1:$A$20000,0),MATCH("Volume",'Semrush Data'!$A$1:$Z$1,0)),"")</f>
        <v/>
      </c>
      <c r="H149" s="42">
        <f>IFERROR(INDEX('Semrush Data'!$A$1:$Z$20000,MATCH(A149,'Semrush Data'!$A$1:$A$20000,0),MATCH("Keyword Difficulty*",'Semrush Data'!$A$1:$Z$1,0)),"")</f>
        <v/>
      </c>
      <c r="I149" s="56">
        <f>IFERROR(INDEX('Semrush Data'!$A$1:$Z$20000,MATCH(A149,'Semrush Data'!$A$1:$A$20000,0),MATCH("CPC*",'Semrush Data'!$A$1:$Z$1,0)),"")</f>
        <v/>
      </c>
      <c r="J149" s="42">
        <f>IFERROR(INDEX('Semrush Data'!$A$1:$Z$20000,MATCH(A149,'Semrush Data'!$A$1:$A$20000,0),MATCH("Intent",'Semrush Data'!$A$1:$Z$1,0)),"")</f>
        <v/>
      </c>
    </row>
    <row r="150" ht="15" customHeight="1" s="37">
      <c r="A150" s="42" t="inlineStr">
        <is>
          <t>s.t. dupont perfume for women</t>
        </is>
      </c>
      <c r="B150" s="42" t="inlineStr">
        <is>
          <t>Brand / family</t>
        </is>
      </c>
      <c r="C150" s="42" t="n">
        <v>1</v>
      </c>
      <c r="D150" s="42" t="n">
        <v>2</v>
      </c>
      <c r="E150" s="42" t="n">
        <v>1</v>
      </c>
      <c r="F150" s="42" t="inlineStr">
        <is>
          <t>FR-310</t>
        </is>
      </c>
      <c r="G150" s="55">
        <f>IFERROR(INDEX('Semrush Data'!$A$1:$Z$20000,MATCH(A150,'Semrush Data'!$A$1:$A$20000,0),MATCH("Volume",'Semrush Data'!$A$1:$Z$1,0)),"")</f>
        <v/>
      </c>
      <c r="H150" s="42">
        <f>IFERROR(INDEX('Semrush Data'!$A$1:$Z$20000,MATCH(A150,'Semrush Data'!$A$1:$A$20000,0),MATCH("Keyword Difficulty*",'Semrush Data'!$A$1:$Z$1,0)),"")</f>
        <v/>
      </c>
      <c r="I150" s="56">
        <f>IFERROR(INDEX('Semrush Data'!$A$1:$Z$20000,MATCH(A150,'Semrush Data'!$A$1:$A$20000,0),MATCH("CPC*",'Semrush Data'!$A$1:$Z$1,0)),"")</f>
        <v/>
      </c>
      <c r="J150" s="42">
        <f>IFERROR(INDEX('Semrush Data'!$A$1:$Z$20000,MATCH(A150,'Semrush Data'!$A$1:$A$20000,0),MATCH("Intent",'Semrush Data'!$A$1:$Z$1,0)),"")</f>
        <v/>
      </c>
    </row>
    <row r="151" ht="15" customHeight="1" s="37">
      <c r="A151" s="42" t="inlineStr">
        <is>
          <t>sap perfume</t>
        </is>
      </c>
      <c r="B151" s="42" t="inlineStr">
        <is>
          <t>Brand / family</t>
        </is>
      </c>
      <c r="C151" s="42" t="n">
        <v>1</v>
      </c>
      <c r="D151" s="42" t="n">
        <v>2</v>
      </c>
      <c r="E151" s="42" t="n">
        <v>5</v>
      </c>
      <c r="F151" s="42" t="inlineStr">
        <is>
          <t>FR-312, FR-313, FR-314, FR-315, FR-316</t>
        </is>
      </c>
      <c r="G151" s="55">
        <f>IFERROR(INDEX('Semrush Data'!$A$1:$Z$20000,MATCH(A151,'Semrush Data'!$A$1:$A$20000,0),MATCH("Volume",'Semrush Data'!$A$1:$Z$1,0)),"")</f>
        <v/>
      </c>
      <c r="H151" s="42">
        <f>IFERROR(INDEX('Semrush Data'!$A$1:$Z$20000,MATCH(A151,'Semrush Data'!$A$1:$A$20000,0),MATCH("Keyword Difficulty*",'Semrush Data'!$A$1:$Z$1,0)),"")</f>
        <v/>
      </c>
      <c r="I151" s="56">
        <f>IFERROR(INDEX('Semrush Data'!$A$1:$Z$20000,MATCH(A151,'Semrush Data'!$A$1:$A$20000,0),MATCH("CPC*",'Semrush Data'!$A$1:$Z$1,0)),"")</f>
        <v/>
      </c>
      <c r="J151" s="42">
        <f>IFERROR(INDEX('Semrush Data'!$A$1:$Z$20000,MATCH(A151,'Semrush Data'!$A$1:$A$20000,0),MATCH("Intent",'Semrush Data'!$A$1:$Z$1,0)),"")</f>
        <v/>
      </c>
    </row>
    <row r="152" ht="15" customHeight="1" s="37">
      <c r="A152" s="42" t="inlineStr">
        <is>
          <t>serge lutens perfume</t>
        </is>
      </c>
      <c r="B152" s="42" t="inlineStr">
        <is>
          <t>Brand / family</t>
        </is>
      </c>
      <c r="C152" s="42" t="n">
        <v>1</v>
      </c>
      <c r="D152" s="42" t="n">
        <v>2</v>
      </c>
      <c r="E152" s="42" t="n">
        <v>1</v>
      </c>
      <c r="F152" s="42" t="inlineStr">
        <is>
          <t>FR-317</t>
        </is>
      </c>
      <c r="G152" s="55">
        <f>IFERROR(INDEX('Semrush Data'!$A$1:$Z$20000,MATCH(A152,'Semrush Data'!$A$1:$A$20000,0),MATCH("Volume",'Semrush Data'!$A$1:$Z$1,0)),"")</f>
        <v/>
      </c>
      <c r="H152" s="42">
        <f>IFERROR(INDEX('Semrush Data'!$A$1:$Z$20000,MATCH(A152,'Semrush Data'!$A$1:$A$20000,0),MATCH("Keyword Difficulty*",'Semrush Data'!$A$1:$Z$1,0)),"")</f>
        <v/>
      </c>
      <c r="I152" s="56">
        <f>IFERROR(INDEX('Semrush Data'!$A$1:$Z$20000,MATCH(A152,'Semrush Data'!$A$1:$A$20000,0),MATCH("CPC*",'Semrush Data'!$A$1:$Z$1,0)),"")</f>
        <v/>
      </c>
      <c r="J152" s="42">
        <f>IFERROR(INDEX('Semrush Data'!$A$1:$Z$20000,MATCH(A152,'Semrush Data'!$A$1:$A$20000,0),MATCH("Intent",'Semrush Data'!$A$1:$Z$1,0)),"")</f>
        <v/>
      </c>
    </row>
    <row r="153" ht="15" customHeight="1" s="37">
      <c r="A153" s="42" t="inlineStr">
        <is>
          <t>shiseido perfume</t>
        </is>
      </c>
      <c r="B153" s="42" t="inlineStr">
        <is>
          <t>Brand / family</t>
        </is>
      </c>
      <c r="C153" s="42" t="n">
        <v>1</v>
      </c>
      <c r="D153" s="42" t="n">
        <v>2</v>
      </c>
      <c r="E153" s="42" t="n">
        <v>1</v>
      </c>
      <c r="F153" s="42" t="inlineStr">
        <is>
          <t>FR-318</t>
        </is>
      </c>
      <c r="G153" s="55">
        <f>IFERROR(INDEX('Semrush Data'!$A$1:$Z$20000,MATCH(A153,'Semrush Data'!$A$1:$A$20000,0),MATCH("Volume",'Semrush Data'!$A$1:$Z$1,0)),"")</f>
        <v/>
      </c>
      <c r="H153" s="42">
        <f>IFERROR(INDEX('Semrush Data'!$A$1:$Z$20000,MATCH(A153,'Semrush Data'!$A$1:$A$20000,0),MATCH("Keyword Difficulty*",'Semrush Data'!$A$1:$Z$1,0)),"")</f>
        <v/>
      </c>
      <c r="I153" s="56">
        <f>IFERROR(INDEX('Semrush Data'!$A$1:$Z$20000,MATCH(A153,'Semrush Data'!$A$1:$A$20000,0),MATCH("CPC*",'Semrush Data'!$A$1:$Z$1,0)),"")</f>
        <v/>
      </c>
      <c r="J153" s="42">
        <f>IFERROR(INDEX('Semrush Data'!$A$1:$Z$20000,MATCH(A153,'Semrush Data'!$A$1:$A$20000,0),MATCH("Intent",'Semrush Data'!$A$1:$Z$1,0)),"")</f>
        <v/>
      </c>
    </row>
    <row r="154" ht="15" customHeight="1" s="37">
      <c r="A154" s="42" t="inlineStr">
        <is>
          <t>shiseido perfume for women</t>
        </is>
      </c>
      <c r="B154" s="42" t="inlineStr">
        <is>
          <t>Brand / family</t>
        </is>
      </c>
      <c r="C154" s="42" t="n">
        <v>1</v>
      </c>
      <c r="D154" s="42" t="n">
        <v>2</v>
      </c>
      <c r="E154" s="42" t="n">
        <v>1</v>
      </c>
      <c r="F154" s="42" t="inlineStr">
        <is>
          <t>FR-318</t>
        </is>
      </c>
      <c r="G154" s="55">
        <f>IFERROR(INDEX('Semrush Data'!$A$1:$Z$20000,MATCH(A154,'Semrush Data'!$A$1:$A$20000,0),MATCH("Volume",'Semrush Data'!$A$1:$Z$1,0)),"")</f>
        <v/>
      </c>
      <c r="H154" s="42">
        <f>IFERROR(INDEX('Semrush Data'!$A$1:$Z$20000,MATCH(A154,'Semrush Data'!$A$1:$A$20000,0),MATCH("Keyword Difficulty*",'Semrush Data'!$A$1:$Z$1,0)),"")</f>
        <v/>
      </c>
      <c r="I154" s="56">
        <f>IFERROR(INDEX('Semrush Data'!$A$1:$Z$20000,MATCH(A154,'Semrush Data'!$A$1:$A$20000,0),MATCH("CPC*",'Semrush Data'!$A$1:$Z$1,0)),"")</f>
        <v/>
      </c>
      <c r="J154" s="42">
        <f>IFERROR(INDEX('Semrush Data'!$A$1:$Z$20000,MATCH(A154,'Semrush Data'!$A$1:$A$20000,0),MATCH("Intent",'Semrush Data'!$A$1:$Z$1,0)),"")</f>
        <v/>
      </c>
    </row>
    <row r="155" ht="15" customHeight="1" s="37">
      <c r="A155" s="42" t="inlineStr">
        <is>
          <t>signature d'orient perfume</t>
        </is>
      </c>
      <c r="B155" s="42" t="inlineStr">
        <is>
          <t>Brand / family</t>
        </is>
      </c>
      <c r="C155" s="42" t="n">
        <v>1</v>
      </c>
      <c r="D155" s="42" t="n">
        <v>2</v>
      </c>
      <c r="E155" s="42" t="n">
        <v>16</v>
      </c>
      <c r="F155" s="42" t="inlineStr">
        <is>
          <t>FR-319, FR-320, FR-321, FR-322, FR-323, FR-324, FR-325, FR-326, FR-327, FR-328, FR-329, FR-330 …</t>
        </is>
      </c>
      <c r="G155" s="55">
        <f>IFERROR(INDEX('Semrush Data'!$A$1:$Z$20000,MATCH(A155,'Semrush Data'!$A$1:$A$20000,0),MATCH("Volume",'Semrush Data'!$A$1:$Z$1,0)),"")</f>
        <v/>
      </c>
      <c r="H155" s="42">
        <f>IFERROR(INDEX('Semrush Data'!$A$1:$Z$20000,MATCH(A155,'Semrush Data'!$A$1:$A$20000,0),MATCH("Keyword Difficulty*",'Semrush Data'!$A$1:$Z$1,0)),"")</f>
        <v/>
      </c>
      <c r="I155" s="56">
        <f>IFERROR(INDEX('Semrush Data'!$A$1:$Z$20000,MATCH(A155,'Semrush Data'!$A$1:$A$20000,0),MATCH("CPC*",'Semrush Data'!$A$1:$Z$1,0)),"")</f>
        <v/>
      </c>
      <c r="J155" s="42">
        <f>IFERROR(INDEX('Semrush Data'!$A$1:$Z$20000,MATCH(A155,'Semrush Data'!$A$1:$A$20000,0),MATCH("Intent",'Semrush Data'!$A$1:$Z$1,0)),"")</f>
        <v/>
      </c>
    </row>
    <row r="156" ht="15" customHeight="1" s="37">
      <c r="A156" s="42" t="inlineStr">
        <is>
          <t>signature d'orient perfume for men</t>
        </is>
      </c>
      <c r="B156" s="42" t="inlineStr">
        <is>
          <t>Brand / family</t>
        </is>
      </c>
      <c r="C156" s="42" t="n">
        <v>1</v>
      </c>
      <c r="D156" s="42" t="n">
        <v>2</v>
      </c>
      <c r="E156" s="42" t="n">
        <v>1</v>
      </c>
      <c r="F156" s="42" t="inlineStr">
        <is>
          <t>FR-321</t>
        </is>
      </c>
      <c r="G156" s="55">
        <f>IFERROR(INDEX('Semrush Data'!$A$1:$Z$20000,MATCH(A156,'Semrush Data'!$A$1:$A$20000,0),MATCH("Volume",'Semrush Data'!$A$1:$Z$1,0)),"")</f>
        <v/>
      </c>
      <c r="H156" s="42">
        <f>IFERROR(INDEX('Semrush Data'!$A$1:$Z$20000,MATCH(A156,'Semrush Data'!$A$1:$A$20000,0),MATCH("Keyword Difficulty*",'Semrush Data'!$A$1:$Z$1,0)),"")</f>
        <v/>
      </c>
      <c r="I156" s="56">
        <f>IFERROR(INDEX('Semrush Data'!$A$1:$Z$20000,MATCH(A156,'Semrush Data'!$A$1:$A$20000,0),MATCH("CPC*",'Semrush Data'!$A$1:$Z$1,0)),"")</f>
        <v/>
      </c>
      <c r="J156" s="42">
        <f>IFERROR(INDEX('Semrush Data'!$A$1:$Z$20000,MATCH(A156,'Semrush Data'!$A$1:$A$20000,0),MATCH("Intent",'Semrush Data'!$A$1:$Z$1,0)),"")</f>
        <v/>
      </c>
    </row>
    <row r="157" ht="15" customHeight="1" s="37">
      <c r="A157" s="42" t="inlineStr">
        <is>
          <t>signature d'orient perfume for women</t>
        </is>
      </c>
      <c r="B157" s="42" t="inlineStr">
        <is>
          <t>Brand / family</t>
        </is>
      </c>
      <c r="C157" s="42" t="n">
        <v>1</v>
      </c>
      <c r="D157" s="42" t="n">
        <v>2</v>
      </c>
      <c r="E157" s="42" t="n">
        <v>1</v>
      </c>
      <c r="F157" s="42" t="inlineStr">
        <is>
          <t>FR-323</t>
        </is>
      </c>
      <c r="G157" s="55">
        <f>IFERROR(INDEX('Semrush Data'!$A$1:$Z$20000,MATCH(A157,'Semrush Data'!$A$1:$A$20000,0),MATCH("Volume",'Semrush Data'!$A$1:$Z$1,0)),"")</f>
        <v/>
      </c>
      <c r="H157" s="42">
        <f>IFERROR(INDEX('Semrush Data'!$A$1:$Z$20000,MATCH(A157,'Semrush Data'!$A$1:$A$20000,0),MATCH("Keyword Difficulty*",'Semrush Data'!$A$1:$Z$1,0)),"")</f>
        <v/>
      </c>
      <c r="I157" s="56">
        <f>IFERROR(INDEX('Semrush Data'!$A$1:$Z$20000,MATCH(A157,'Semrush Data'!$A$1:$A$20000,0),MATCH("CPC*",'Semrush Data'!$A$1:$Z$1,0)),"")</f>
        <v/>
      </c>
      <c r="J157" s="42">
        <f>IFERROR(INDEX('Semrush Data'!$A$1:$Z$20000,MATCH(A157,'Semrush Data'!$A$1:$A$20000,0),MATCH("Intent",'Semrush Data'!$A$1:$Z$1,0)),"")</f>
        <v/>
      </c>
    </row>
    <row r="158" ht="15" customHeight="1" s="37">
      <c r="A158" s="42" t="inlineStr">
        <is>
          <t>spicy perfume for men uk</t>
        </is>
      </c>
      <c r="B158" s="42" t="inlineStr">
        <is>
          <t>Brand / family</t>
        </is>
      </c>
      <c r="C158" s="42" t="n">
        <v>1</v>
      </c>
      <c r="D158" s="42" t="n">
        <v>2</v>
      </c>
      <c r="E158" s="42" t="n">
        <v>3</v>
      </c>
      <c r="F158" s="42" t="inlineStr">
        <is>
          <t>FR-092, FR-259, FR-269</t>
        </is>
      </c>
      <c r="G158" s="55">
        <f>IFERROR(INDEX('Semrush Data'!$A$1:$Z$20000,MATCH(A158,'Semrush Data'!$A$1:$A$20000,0),MATCH("Volume",'Semrush Data'!$A$1:$Z$1,0)),"")</f>
        <v/>
      </c>
      <c r="H158" s="42">
        <f>IFERROR(INDEX('Semrush Data'!$A$1:$Z$20000,MATCH(A158,'Semrush Data'!$A$1:$A$20000,0),MATCH("Keyword Difficulty*",'Semrush Data'!$A$1:$Z$1,0)),"")</f>
        <v/>
      </c>
      <c r="I158" s="56">
        <f>IFERROR(INDEX('Semrush Data'!$A$1:$Z$20000,MATCH(A158,'Semrush Data'!$A$1:$A$20000,0),MATCH("CPC*",'Semrush Data'!$A$1:$Z$1,0)),"")</f>
        <v/>
      </c>
      <c r="J158" s="42">
        <f>IFERROR(INDEX('Semrush Data'!$A$1:$Z$20000,MATCH(A158,'Semrush Data'!$A$1:$A$20000,0),MATCH("Intent",'Semrush Data'!$A$1:$Z$1,0)),"")</f>
        <v/>
      </c>
    </row>
    <row r="159" ht="15" customHeight="1" s="37">
      <c r="A159" s="42" t="inlineStr">
        <is>
          <t>spicy perfume uk</t>
        </is>
      </c>
      <c r="B159" s="42" t="inlineStr">
        <is>
          <t>Brand / family</t>
        </is>
      </c>
      <c r="C159" s="42" t="n">
        <v>1</v>
      </c>
      <c r="D159" s="42" t="n">
        <v>2</v>
      </c>
      <c r="E159" s="42" t="n">
        <v>1</v>
      </c>
      <c r="F159" s="42" t="inlineStr">
        <is>
          <t>FR-290</t>
        </is>
      </c>
      <c r="G159" s="55">
        <f>IFERROR(INDEX('Semrush Data'!$A$1:$Z$20000,MATCH(A159,'Semrush Data'!$A$1:$A$20000,0),MATCH("Volume",'Semrush Data'!$A$1:$Z$1,0)),"")</f>
        <v/>
      </c>
      <c r="H159" s="42">
        <f>IFERROR(INDEX('Semrush Data'!$A$1:$Z$20000,MATCH(A159,'Semrush Data'!$A$1:$A$20000,0),MATCH("Keyword Difficulty*",'Semrush Data'!$A$1:$Z$1,0)),"")</f>
        <v/>
      </c>
      <c r="I159" s="56">
        <f>IFERROR(INDEX('Semrush Data'!$A$1:$Z$20000,MATCH(A159,'Semrush Data'!$A$1:$A$20000,0),MATCH("CPC*",'Semrush Data'!$A$1:$Z$1,0)),"")</f>
        <v/>
      </c>
      <c r="J159" s="42">
        <f>IFERROR(INDEX('Semrush Data'!$A$1:$Z$20000,MATCH(A159,'Semrush Data'!$A$1:$A$20000,0),MATCH("Intent",'Semrush Data'!$A$1:$Z$1,0)),"")</f>
        <v/>
      </c>
    </row>
    <row r="160" ht="15" customHeight="1" s="37">
      <c r="A160" s="42" t="inlineStr">
        <is>
          <t>the woods collection perfume</t>
        </is>
      </c>
      <c r="B160" s="42" t="inlineStr">
        <is>
          <t>Brand / family</t>
        </is>
      </c>
      <c r="C160" s="42" t="n">
        <v>1</v>
      </c>
      <c r="D160" s="42" t="n">
        <v>2</v>
      </c>
      <c r="E160" s="42" t="n">
        <v>11</v>
      </c>
      <c r="F160" s="42" t="inlineStr">
        <is>
          <t>FR-342, FR-343, FR-344, FR-345, FR-346, FR-347, FR-348, FR-349, FR-350, FR-351, FR-352</t>
        </is>
      </c>
      <c r="G160" s="55">
        <f>IFERROR(INDEX('Semrush Data'!$A$1:$Z$20000,MATCH(A160,'Semrush Data'!$A$1:$A$20000,0),MATCH("Volume",'Semrush Data'!$A$1:$Z$1,0)),"")</f>
        <v/>
      </c>
      <c r="H160" s="42">
        <f>IFERROR(INDEX('Semrush Data'!$A$1:$Z$20000,MATCH(A160,'Semrush Data'!$A$1:$A$20000,0),MATCH("Keyword Difficulty*",'Semrush Data'!$A$1:$Z$1,0)),"")</f>
        <v/>
      </c>
      <c r="I160" s="56">
        <f>IFERROR(INDEX('Semrush Data'!$A$1:$Z$20000,MATCH(A160,'Semrush Data'!$A$1:$A$20000,0),MATCH("CPC*",'Semrush Data'!$A$1:$Z$1,0)),"")</f>
        <v/>
      </c>
      <c r="J160" s="42">
        <f>IFERROR(INDEX('Semrush Data'!$A$1:$Z$20000,MATCH(A160,'Semrush Data'!$A$1:$A$20000,0),MATCH("Intent",'Semrush Data'!$A$1:$Z$1,0)),"")</f>
        <v/>
      </c>
    </row>
    <row r="161" ht="15" customHeight="1" s="37">
      <c r="A161" s="42" t="inlineStr">
        <is>
          <t>tiziana terenzi perfume</t>
        </is>
      </c>
      <c r="B161" s="42" t="inlineStr">
        <is>
          <t>Brand / family</t>
        </is>
      </c>
      <c r="C161" s="42" t="n">
        <v>1</v>
      </c>
      <c r="D161" s="42" t="n">
        <v>2</v>
      </c>
      <c r="E161" s="42" t="n">
        <v>21</v>
      </c>
      <c r="F161" s="42" t="inlineStr">
        <is>
          <t>FR-353, FR-354, FR-355, FR-356, FR-357, FR-358, FR-359, FR-360, FR-361, FR-362, FR-363, FR-364 …</t>
        </is>
      </c>
      <c r="G161" s="55">
        <f>IFERROR(INDEX('Semrush Data'!$A$1:$Z$20000,MATCH(A161,'Semrush Data'!$A$1:$A$20000,0),MATCH("Volume",'Semrush Data'!$A$1:$Z$1,0)),"")</f>
        <v/>
      </c>
      <c r="H161" s="42">
        <f>IFERROR(INDEX('Semrush Data'!$A$1:$Z$20000,MATCH(A161,'Semrush Data'!$A$1:$A$20000,0),MATCH("Keyword Difficulty*",'Semrush Data'!$A$1:$Z$1,0)),"")</f>
        <v/>
      </c>
      <c r="I161" s="56">
        <f>IFERROR(INDEX('Semrush Data'!$A$1:$Z$20000,MATCH(A161,'Semrush Data'!$A$1:$A$20000,0),MATCH("CPC*",'Semrush Data'!$A$1:$Z$1,0)),"")</f>
        <v/>
      </c>
      <c r="J161" s="42">
        <f>IFERROR(INDEX('Semrush Data'!$A$1:$Z$20000,MATCH(A161,'Semrush Data'!$A$1:$A$20000,0),MATCH("Intent",'Semrush Data'!$A$1:$Z$1,0)),"")</f>
        <v/>
      </c>
    </row>
    <row r="162" ht="15" customHeight="1" s="37">
      <c r="A162" s="42" t="inlineStr">
        <is>
          <t>tom ford perfume</t>
        </is>
      </c>
      <c r="B162" s="42" t="inlineStr">
        <is>
          <t>Brand / family</t>
        </is>
      </c>
      <c r="C162" s="42" t="n">
        <v>1</v>
      </c>
      <c r="D162" s="42" t="n">
        <v>2</v>
      </c>
      <c r="E162" s="42" t="n">
        <v>6</v>
      </c>
      <c r="F162" s="42" t="inlineStr">
        <is>
          <t>FR-374, FR-375, FR-376, FR-377, FR-378, FR-379</t>
        </is>
      </c>
      <c r="G162" s="55">
        <f>IFERROR(INDEX('Semrush Data'!$A$1:$Z$20000,MATCH(A162,'Semrush Data'!$A$1:$A$20000,0),MATCH("Volume",'Semrush Data'!$A$1:$Z$1,0)),"")</f>
        <v/>
      </c>
      <c r="H162" s="42">
        <f>IFERROR(INDEX('Semrush Data'!$A$1:$Z$20000,MATCH(A162,'Semrush Data'!$A$1:$A$20000,0),MATCH("Keyword Difficulty*",'Semrush Data'!$A$1:$Z$1,0)),"")</f>
        <v/>
      </c>
      <c r="I162" s="56">
        <f>IFERROR(INDEX('Semrush Data'!$A$1:$Z$20000,MATCH(A162,'Semrush Data'!$A$1:$A$20000,0),MATCH("CPC*",'Semrush Data'!$A$1:$Z$1,0)),"")</f>
        <v/>
      </c>
      <c r="J162" s="42">
        <f>IFERROR(INDEX('Semrush Data'!$A$1:$Z$20000,MATCH(A162,'Semrush Data'!$A$1:$A$20000,0),MATCH("Intent",'Semrush Data'!$A$1:$Z$1,0)),"")</f>
        <v/>
      </c>
    </row>
    <row r="163" ht="15" customHeight="1" s="37">
      <c r="A163" s="42" t="inlineStr">
        <is>
          <t>tom ford perfume for men</t>
        </is>
      </c>
      <c r="B163" s="42" t="inlineStr">
        <is>
          <t>Brand / family</t>
        </is>
      </c>
      <c r="C163" s="42" t="n">
        <v>1</v>
      </c>
      <c r="D163" s="42" t="n">
        <v>2</v>
      </c>
      <c r="E163" s="42" t="n">
        <v>1</v>
      </c>
      <c r="F163" s="42" t="inlineStr">
        <is>
          <t>FR-379</t>
        </is>
      </c>
      <c r="G163" s="55">
        <f>IFERROR(INDEX('Semrush Data'!$A$1:$Z$20000,MATCH(A163,'Semrush Data'!$A$1:$A$20000,0),MATCH("Volume",'Semrush Data'!$A$1:$Z$1,0)),"")</f>
        <v/>
      </c>
      <c r="H163" s="42">
        <f>IFERROR(INDEX('Semrush Data'!$A$1:$Z$20000,MATCH(A163,'Semrush Data'!$A$1:$A$20000,0),MATCH("Keyword Difficulty*",'Semrush Data'!$A$1:$Z$1,0)),"")</f>
        <v/>
      </c>
      <c r="I163" s="56">
        <f>IFERROR(INDEX('Semrush Data'!$A$1:$Z$20000,MATCH(A163,'Semrush Data'!$A$1:$A$20000,0),MATCH("CPC*",'Semrush Data'!$A$1:$Z$1,0)),"")</f>
        <v/>
      </c>
      <c r="J163" s="42">
        <f>IFERROR(INDEX('Semrush Data'!$A$1:$Z$20000,MATCH(A163,'Semrush Data'!$A$1:$A$20000,0),MATCH("Intent",'Semrush Data'!$A$1:$Z$1,0)),"")</f>
        <v/>
      </c>
    </row>
    <row r="164" ht="15" customHeight="1" s="37">
      <c r="A164" s="42" t="inlineStr">
        <is>
          <t>trussardi perfume</t>
        </is>
      </c>
      <c r="B164" s="42" t="inlineStr">
        <is>
          <t>Brand / family</t>
        </is>
      </c>
      <c r="C164" s="42" t="n">
        <v>1</v>
      </c>
      <c r="D164" s="42" t="n">
        <v>2</v>
      </c>
      <c r="E164" s="42" t="n">
        <v>6</v>
      </c>
      <c r="F164" s="42" t="inlineStr">
        <is>
          <t>FR-380, FR-381, FR-382, FR-383, FR-384, FR-385</t>
        </is>
      </c>
      <c r="G164" s="55">
        <f>IFERROR(INDEX('Semrush Data'!$A$1:$Z$20000,MATCH(A164,'Semrush Data'!$A$1:$A$20000,0),MATCH("Volume",'Semrush Data'!$A$1:$Z$1,0)),"")</f>
        <v/>
      </c>
      <c r="H164" s="42">
        <f>IFERROR(INDEX('Semrush Data'!$A$1:$Z$20000,MATCH(A164,'Semrush Data'!$A$1:$A$20000,0),MATCH("Keyword Difficulty*",'Semrush Data'!$A$1:$Z$1,0)),"")</f>
        <v/>
      </c>
      <c r="I164" s="56">
        <f>IFERROR(INDEX('Semrush Data'!$A$1:$Z$20000,MATCH(A164,'Semrush Data'!$A$1:$A$20000,0),MATCH("CPC*",'Semrush Data'!$A$1:$Z$1,0)),"")</f>
        <v/>
      </c>
      <c r="J164" s="42">
        <f>IFERROR(INDEX('Semrush Data'!$A$1:$Z$20000,MATCH(A164,'Semrush Data'!$A$1:$A$20000,0),MATCH("Intent",'Semrush Data'!$A$1:$Z$1,0)),"")</f>
        <v/>
      </c>
    </row>
    <row r="165" ht="15" customHeight="1" s="37">
      <c r="A165" s="42" t="inlineStr">
        <is>
          <t>trussardi perfume for men</t>
        </is>
      </c>
      <c r="B165" s="42" t="inlineStr">
        <is>
          <t>Brand / family</t>
        </is>
      </c>
      <c r="C165" s="42" t="n">
        <v>1</v>
      </c>
      <c r="D165" s="42" t="n">
        <v>2</v>
      </c>
      <c r="E165" s="42" t="n">
        <v>1</v>
      </c>
      <c r="F165" s="42" t="inlineStr">
        <is>
          <t>FR-382</t>
        </is>
      </c>
      <c r="G165" s="55">
        <f>IFERROR(INDEX('Semrush Data'!$A$1:$Z$20000,MATCH(A165,'Semrush Data'!$A$1:$A$20000,0),MATCH("Volume",'Semrush Data'!$A$1:$Z$1,0)),"")</f>
        <v/>
      </c>
      <c r="H165" s="42">
        <f>IFERROR(INDEX('Semrush Data'!$A$1:$Z$20000,MATCH(A165,'Semrush Data'!$A$1:$A$20000,0),MATCH("Keyword Difficulty*",'Semrush Data'!$A$1:$Z$1,0)),"")</f>
        <v/>
      </c>
      <c r="I165" s="56">
        <f>IFERROR(INDEX('Semrush Data'!$A$1:$Z$20000,MATCH(A165,'Semrush Data'!$A$1:$A$20000,0),MATCH("CPC*",'Semrush Data'!$A$1:$Z$1,0)),"")</f>
        <v/>
      </c>
      <c r="J165" s="42">
        <f>IFERROR(INDEX('Semrush Data'!$A$1:$Z$20000,MATCH(A165,'Semrush Data'!$A$1:$A$20000,0),MATCH("Intent",'Semrush Data'!$A$1:$Z$1,0)),"")</f>
        <v/>
      </c>
    </row>
    <row r="166" ht="15" customHeight="1" s="37">
      <c r="A166" s="42" t="inlineStr">
        <is>
          <t>trussardi perfume for women</t>
        </is>
      </c>
      <c r="B166" s="42" t="inlineStr">
        <is>
          <t>Brand / family</t>
        </is>
      </c>
      <c r="C166" s="42" t="n">
        <v>1</v>
      </c>
      <c r="D166" s="42" t="n">
        <v>2</v>
      </c>
      <c r="E166" s="42" t="n">
        <v>4</v>
      </c>
      <c r="F166" s="42" t="inlineStr">
        <is>
          <t>FR-380, FR-381, FR-383, FR-385</t>
        </is>
      </c>
      <c r="G166" s="55">
        <f>IFERROR(INDEX('Semrush Data'!$A$1:$Z$20000,MATCH(A166,'Semrush Data'!$A$1:$A$20000,0),MATCH("Volume",'Semrush Data'!$A$1:$Z$1,0)),"")</f>
        <v/>
      </c>
      <c r="H166" s="42">
        <f>IFERROR(INDEX('Semrush Data'!$A$1:$Z$20000,MATCH(A166,'Semrush Data'!$A$1:$A$20000,0),MATCH("Keyword Difficulty*",'Semrush Data'!$A$1:$Z$1,0)),"")</f>
        <v/>
      </c>
      <c r="I166" s="56">
        <f>IFERROR(INDEX('Semrush Data'!$A$1:$Z$20000,MATCH(A166,'Semrush Data'!$A$1:$A$20000,0),MATCH("CPC*",'Semrush Data'!$A$1:$Z$1,0)),"")</f>
        <v/>
      </c>
      <c r="J166" s="42">
        <f>IFERROR(INDEX('Semrush Data'!$A$1:$Z$20000,MATCH(A166,'Semrush Data'!$A$1:$A$20000,0),MATCH("Intent",'Semrush Data'!$A$1:$Z$1,0)),"")</f>
        <v/>
      </c>
    </row>
    <row r="167" ht="15" customHeight="1" s="37">
      <c r="A167" s="42" t="inlineStr">
        <is>
          <t>viktor &amp; rolf perfume</t>
        </is>
      </c>
      <c r="B167" s="42" t="inlineStr">
        <is>
          <t>Brand / family</t>
        </is>
      </c>
      <c r="C167" s="42" t="n">
        <v>1</v>
      </c>
      <c r="D167" s="42" t="n">
        <v>2</v>
      </c>
      <c r="E167" s="42" t="n">
        <v>1</v>
      </c>
      <c r="F167" s="42" t="inlineStr">
        <is>
          <t>FR-386</t>
        </is>
      </c>
      <c r="G167" s="55">
        <f>IFERROR(INDEX('Semrush Data'!$A$1:$Z$20000,MATCH(A167,'Semrush Data'!$A$1:$A$20000,0),MATCH("Volume",'Semrush Data'!$A$1:$Z$1,0)),"")</f>
        <v/>
      </c>
      <c r="H167" s="42">
        <f>IFERROR(INDEX('Semrush Data'!$A$1:$Z$20000,MATCH(A167,'Semrush Data'!$A$1:$A$20000,0),MATCH("Keyword Difficulty*",'Semrush Data'!$A$1:$Z$1,0)),"")</f>
        <v/>
      </c>
      <c r="I167" s="56">
        <f>IFERROR(INDEX('Semrush Data'!$A$1:$Z$20000,MATCH(A167,'Semrush Data'!$A$1:$A$20000,0),MATCH("CPC*",'Semrush Data'!$A$1:$Z$1,0)),"")</f>
        <v/>
      </c>
      <c r="J167" s="42">
        <f>IFERROR(INDEX('Semrush Data'!$A$1:$Z$20000,MATCH(A167,'Semrush Data'!$A$1:$A$20000,0),MATCH("Intent",'Semrush Data'!$A$1:$Z$1,0)),"")</f>
        <v/>
      </c>
    </row>
    <row r="168" ht="15" customHeight="1" s="37">
      <c r="A168" s="42" t="inlineStr">
        <is>
          <t>viktor &amp; rolf perfume for women</t>
        </is>
      </c>
      <c r="B168" s="42" t="inlineStr">
        <is>
          <t>Brand / family</t>
        </is>
      </c>
      <c r="C168" s="42" t="n">
        <v>1</v>
      </c>
      <c r="D168" s="42" t="n">
        <v>2</v>
      </c>
      <c r="E168" s="42" t="n">
        <v>1</v>
      </c>
      <c r="F168" s="42" t="inlineStr">
        <is>
          <t>FR-386</t>
        </is>
      </c>
      <c r="G168" s="55">
        <f>IFERROR(INDEX('Semrush Data'!$A$1:$Z$20000,MATCH(A168,'Semrush Data'!$A$1:$A$20000,0),MATCH("Volume",'Semrush Data'!$A$1:$Z$1,0)),"")</f>
        <v/>
      </c>
      <c r="H168" s="42">
        <f>IFERROR(INDEX('Semrush Data'!$A$1:$Z$20000,MATCH(A168,'Semrush Data'!$A$1:$A$20000,0),MATCH("Keyword Difficulty*",'Semrush Data'!$A$1:$Z$1,0)),"")</f>
        <v/>
      </c>
      <c r="I168" s="56">
        <f>IFERROR(INDEX('Semrush Data'!$A$1:$Z$20000,MATCH(A168,'Semrush Data'!$A$1:$A$20000,0),MATCH("CPC*",'Semrush Data'!$A$1:$Z$1,0)),"")</f>
        <v/>
      </c>
      <c r="J168" s="42">
        <f>IFERROR(INDEX('Semrush Data'!$A$1:$Z$20000,MATCH(A168,'Semrush Data'!$A$1:$A$20000,0),MATCH("Intent",'Semrush Data'!$A$1:$Z$1,0)),"")</f>
        <v/>
      </c>
    </row>
    <row r="169" ht="15" customHeight="1" s="37">
      <c r="A169" s="42" t="inlineStr">
        <is>
          <t>woody perfume for men uk</t>
        </is>
      </c>
      <c r="B169" s="42" t="inlineStr">
        <is>
          <t>Brand / family</t>
        </is>
      </c>
      <c r="C169" s="42" t="n">
        <v>1</v>
      </c>
      <c r="D169" s="42" t="n">
        <v>2</v>
      </c>
      <c r="E169" s="42" t="n">
        <v>68</v>
      </c>
      <c r="F169" s="42" t="inlineStr">
        <is>
          <t>FR-014, FR-022, FR-025, FR-046, FR-051, FR-053, FR-054, FR-055, FR-058, FR-059, FR-060, FR-061 …</t>
        </is>
      </c>
      <c r="G169" s="55">
        <f>IFERROR(INDEX('Semrush Data'!$A$1:$Z$20000,MATCH(A169,'Semrush Data'!$A$1:$A$20000,0),MATCH("Volume",'Semrush Data'!$A$1:$Z$1,0)),"")</f>
        <v/>
      </c>
      <c r="H169" s="42">
        <f>IFERROR(INDEX('Semrush Data'!$A$1:$Z$20000,MATCH(A169,'Semrush Data'!$A$1:$A$20000,0),MATCH("Keyword Difficulty*",'Semrush Data'!$A$1:$Z$1,0)),"")</f>
        <v/>
      </c>
      <c r="I169" s="56">
        <f>IFERROR(INDEX('Semrush Data'!$A$1:$Z$20000,MATCH(A169,'Semrush Data'!$A$1:$A$20000,0),MATCH("CPC*",'Semrush Data'!$A$1:$Z$1,0)),"")</f>
        <v/>
      </c>
      <c r="J169" s="42">
        <f>IFERROR(INDEX('Semrush Data'!$A$1:$Z$20000,MATCH(A169,'Semrush Data'!$A$1:$A$20000,0),MATCH("Intent",'Semrush Data'!$A$1:$Z$1,0)),"")</f>
        <v/>
      </c>
    </row>
    <row r="170" ht="15" customHeight="1" s="37">
      <c r="A170" s="42" t="inlineStr">
        <is>
          <t>woody perfume for women uk</t>
        </is>
      </c>
      <c r="B170" s="42" t="inlineStr">
        <is>
          <t>Brand / family</t>
        </is>
      </c>
      <c r="C170" s="42" t="n">
        <v>1</v>
      </c>
      <c r="D170" s="42" t="n">
        <v>2</v>
      </c>
      <c r="E170" s="42" t="n">
        <v>31</v>
      </c>
      <c r="F170" s="42" t="inlineStr">
        <is>
          <t>FR-006, FR-065, FR-080, FR-100, FR-113, FR-119, FR-127, FR-130, FR-153, FR-154, FR-155, FR-166 …</t>
        </is>
      </c>
      <c r="G170" s="55">
        <f>IFERROR(INDEX('Semrush Data'!$A$1:$Z$20000,MATCH(A170,'Semrush Data'!$A$1:$A$20000,0),MATCH("Volume",'Semrush Data'!$A$1:$Z$1,0)),"")</f>
        <v/>
      </c>
      <c r="H170" s="42">
        <f>IFERROR(INDEX('Semrush Data'!$A$1:$Z$20000,MATCH(A170,'Semrush Data'!$A$1:$A$20000,0),MATCH("Keyword Difficulty*",'Semrush Data'!$A$1:$Z$1,0)),"")</f>
        <v/>
      </c>
      <c r="I170" s="56">
        <f>IFERROR(INDEX('Semrush Data'!$A$1:$Z$20000,MATCH(A170,'Semrush Data'!$A$1:$A$20000,0),MATCH("CPC*",'Semrush Data'!$A$1:$Z$1,0)),"")</f>
        <v/>
      </c>
      <c r="J170" s="42">
        <f>IFERROR(INDEX('Semrush Data'!$A$1:$Z$20000,MATCH(A170,'Semrush Data'!$A$1:$A$20000,0),MATCH("Intent",'Semrush Data'!$A$1:$Z$1,0)),"")</f>
        <v/>
      </c>
    </row>
    <row r="171" ht="15" customHeight="1" s="37">
      <c r="A171" s="42" t="inlineStr">
        <is>
          <t>woody perfume uk</t>
        </is>
      </c>
      <c r="B171" s="42" t="inlineStr">
        <is>
          <t>Brand / family</t>
        </is>
      </c>
      <c r="C171" s="42" t="n">
        <v>1</v>
      </c>
      <c r="D171" s="42" t="n">
        <v>2</v>
      </c>
      <c r="E171" s="42" t="n">
        <v>23</v>
      </c>
      <c r="F171" s="42" t="inlineStr">
        <is>
          <t>FR-012, FR-013, FR-015, FR-044, FR-181, FR-186, FR-187, FR-188, FR-198, FR-204, FR-208, FR-209 …</t>
        </is>
      </c>
      <c r="G171" s="55">
        <f>IFERROR(INDEX('Semrush Data'!$A$1:$Z$20000,MATCH(A171,'Semrush Data'!$A$1:$A$20000,0),MATCH("Volume",'Semrush Data'!$A$1:$Z$1,0)),"")</f>
        <v/>
      </c>
      <c r="H171" s="42">
        <f>IFERROR(INDEX('Semrush Data'!$A$1:$Z$20000,MATCH(A171,'Semrush Data'!$A$1:$A$20000,0),MATCH("Keyword Difficulty*",'Semrush Data'!$A$1:$Z$1,0)),"")</f>
        <v/>
      </c>
      <c r="I171" s="56">
        <f>IFERROR(INDEX('Semrush Data'!$A$1:$Z$20000,MATCH(A171,'Semrush Data'!$A$1:$A$20000,0),MATCH("CPC*",'Semrush Data'!$A$1:$Z$1,0)),"")</f>
        <v/>
      </c>
      <c r="J171" s="42">
        <f>IFERROR(INDEX('Semrush Data'!$A$1:$Z$20000,MATCH(A171,'Semrush Data'!$A$1:$A$20000,0),MATCH("Intent",'Semrush Data'!$A$1:$Z$1,0)),"")</f>
        <v/>
      </c>
    </row>
    <row r="172" ht="15" customHeight="1" s="37">
      <c r="A172" s="42" t="inlineStr">
        <is>
          <t>ysl perfume</t>
        </is>
      </c>
      <c r="B172" s="42" t="inlineStr">
        <is>
          <t>Brand / family</t>
        </is>
      </c>
      <c r="C172" s="42" t="n">
        <v>1</v>
      </c>
      <c r="D172" s="42" t="n">
        <v>2</v>
      </c>
      <c r="E172" s="42" t="n">
        <v>1</v>
      </c>
      <c r="F172" s="42" t="inlineStr">
        <is>
          <t>FR-387</t>
        </is>
      </c>
      <c r="G172" s="55">
        <f>IFERROR(INDEX('Semrush Data'!$A$1:$Z$20000,MATCH(A172,'Semrush Data'!$A$1:$A$20000,0),MATCH("Volume",'Semrush Data'!$A$1:$Z$1,0)),"")</f>
        <v/>
      </c>
      <c r="H172" s="42">
        <f>IFERROR(INDEX('Semrush Data'!$A$1:$Z$20000,MATCH(A172,'Semrush Data'!$A$1:$A$20000,0),MATCH("Keyword Difficulty*",'Semrush Data'!$A$1:$Z$1,0)),"")</f>
        <v/>
      </c>
      <c r="I172" s="56">
        <f>IFERROR(INDEX('Semrush Data'!$A$1:$Z$20000,MATCH(A172,'Semrush Data'!$A$1:$A$20000,0),MATCH("CPC*",'Semrush Data'!$A$1:$Z$1,0)),"")</f>
        <v/>
      </c>
      <c r="J172" s="42">
        <f>IFERROR(INDEX('Semrush Data'!$A$1:$Z$20000,MATCH(A172,'Semrush Data'!$A$1:$A$20000,0),MATCH("Intent",'Semrush Data'!$A$1:$Z$1,0)),"")</f>
        <v/>
      </c>
    </row>
    <row r="173" ht="15" customHeight="1" s="37">
      <c r="A173" s="42" t="inlineStr">
        <is>
          <t>body butter for dry skin</t>
        </is>
      </c>
      <c r="B173" s="42" t="inlineStr">
        <is>
          <t>Category / concern</t>
        </is>
      </c>
      <c r="C173" s="42" t="n">
        <v>1</v>
      </c>
      <c r="D173" s="42" t="n">
        <v>2</v>
      </c>
      <c r="E173" s="42" t="n">
        <v>3</v>
      </c>
      <c r="F173" s="42" t="inlineStr">
        <is>
          <t>VD-082, VD-091, VD-128</t>
        </is>
      </c>
      <c r="G173" s="55">
        <f>IFERROR(INDEX('Semrush Data'!$A$1:$Z$20000,MATCH(A173,'Semrush Data'!$A$1:$A$20000,0),MATCH("Volume",'Semrush Data'!$A$1:$Z$1,0)),"")</f>
        <v/>
      </c>
      <c r="H173" s="42">
        <f>IFERROR(INDEX('Semrush Data'!$A$1:$Z$20000,MATCH(A173,'Semrush Data'!$A$1:$A$20000,0),MATCH("Keyword Difficulty*",'Semrush Data'!$A$1:$Z$1,0)),"")</f>
        <v/>
      </c>
      <c r="I173" s="56">
        <f>IFERROR(INDEX('Semrush Data'!$A$1:$Z$20000,MATCH(A173,'Semrush Data'!$A$1:$A$20000,0),MATCH("CPC*",'Semrush Data'!$A$1:$Z$1,0)),"")</f>
        <v/>
      </c>
      <c r="J173" s="42">
        <f>IFERROR(INDEX('Semrush Data'!$A$1:$Z$20000,MATCH(A173,'Semrush Data'!$A$1:$A$20000,0),MATCH("Intent",'Semrush Data'!$A$1:$Z$1,0)),"")</f>
        <v/>
      </c>
    </row>
    <row r="174" ht="15" customHeight="1" s="37">
      <c r="A174" s="42" t="inlineStr">
        <is>
          <t>body care for body hydration</t>
        </is>
      </c>
      <c r="B174" s="42" t="inlineStr">
        <is>
          <t>Category / concern</t>
        </is>
      </c>
      <c r="C174" s="42" t="n">
        <v>1</v>
      </c>
      <c r="D174" s="42" t="n">
        <v>2</v>
      </c>
      <c r="E174" s="42" t="n">
        <v>6</v>
      </c>
      <c r="F174" s="42" t="inlineStr">
        <is>
          <t>VD-107, VD-108, VD-109, VD-110, VD-121, VD-129</t>
        </is>
      </c>
      <c r="G174" s="55">
        <f>IFERROR(INDEX('Semrush Data'!$A$1:$Z$20000,MATCH(A174,'Semrush Data'!$A$1:$A$20000,0),MATCH("Volume",'Semrush Data'!$A$1:$Z$1,0)),"")</f>
        <v/>
      </c>
      <c r="H174" s="42">
        <f>IFERROR(INDEX('Semrush Data'!$A$1:$Z$20000,MATCH(A174,'Semrush Data'!$A$1:$A$20000,0),MATCH("Keyword Difficulty*",'Semrush Data'!$A$1:$Z$1,0)),"")</f>
        <v/>
      </c>
      <c r="I174" s="56">
        <f>IFERROR(INDEX('Semrush Data'!$A$1:$Z$20000,MATCH(A174,'Semrush Data'!$A$1:$A$20000,0),MATCH("CPC*",'Semrush Data'!$A$1:$Z$1,0)),"")</f>
        <v/>
      </c>
      <c r="J174" s="42">
        <f>IFERROR(INDEX('Semrush Data'!$A$1:$Z$20000,MATCH(A174,'Semrush Data'!$A$1:$A$20000,0),MATCH("Intent",'Semrush Data'!$A$1:$Z$1,0)),"")</f>
        <v/>
      </c>
    </row>
    <row r="175" ht="15" customHeight="1" s="37">
      <c r="A175" s="42" t="inlineStr">
        <is>
          <t>body care for dry skin</t>
        </is>
      </c>
      <c r="B175" s="42" t="inlineStr">
        <is>
          <t>Category / concern</t>
        </is>
      </c>
      <c r="C175" s="42" t="n">
        <v>1</v>
      </c>
      <c r="D175" s="42" t="n">
        <v>2</v>
      </c>
      <c r="E175" s="42" t="n">
        <v>3</v>
      </c>
      <c r="F175" s="42" t="inlineStr">
        <is>
          <t>VD-094, VD-102, VD-118</t>
        </is>
      </c>
      <c r="G175" s="55">
        <f>IFERROR(INDEX('Semrush Data'!$A$1:$Z$20000,MATCH(A175,'Semrush Data'!$A$1:$A$20000,0),MATCH("Volume",'Semrush Data'!$A$1:$Z$1,0)),"")</f>
        <v/>
      </c>
      <c r="H175" s="42">
        <f>IFERROR(INDEX('Semrush Data'!$A$1:$Z$20000,MATCH(A175,'Semrush Data'!$A$1:$A$20000,0),MATCH("Keyword Difficulty*",'Semrush Data'!$A$1:$Z$1,0)),"")</f>
        <v/>
      </c>
      <c r="I175" s="56">
        <f>IFERROR(INDEX('Semrush Data'!$A$1:$Z$20000,MATCH(A175,'Semrush Data'!$A$1:$A$20000,0),MATCH("CPC*",'Semrush Data'!$A$1:$Z$1,0)),"")</f>
        <v/>
      </c>
      <c r="J175" s="42">
        <f>IFERROR(INDEX('Semrush Data'!$A$1:$Z$20000,MATCH(A175,'Semrush Data'!$A$1:$A$20000,0),MATCH("Intent",'Semrush Data'!$A$1:$Z$1,0)),"")</f>
        <v/>
      </c>
    </row>
    <row r="176" ht="15" customHeight="1" s="37">
      <c r="A176" s="42" t="inlineStr">
        <is>
          <t>body lotion for dry skin</t>
        </is>
      </c>
      <c r="B176" s="42" t="inlineStr">
        <is>
          <t>Category / concern</t>
        </is>
      </c>
      <c r="C176" s="42" t="n">
        <v>1</v>
      </c>
      <c r="D176" s="42" t="n">
        <v>2</v>
      </c>
      <c r="E176" s="42" t="n">
        <v>4</v>
      </c>
      <c r="F176" s="42" t="inlineStr">
        <is>
          <t>VD-016, VD-025, VD-030, VD-114</t>
        </is>
      </c>
      <c r="G176" s="55">
        <f>IFERROR(INDEX('Semrush Data'!$A$1:$Z$20000,MATCH(A176,'Semrush Data'!$A$1:$A$20000,0),MATCH("Volume",'Semrush Data'!$A$1:$Z$1,0)),"")</f>
        <v/>
      </c>
      <c r="H176" s="42">
        <f>IFERROR(INDEX('Semrush Data'!$A$1:$Z$20000,MATCH(A176,'Semrush Data'!$A$1:$A$20000,0),MATCH("Keyword Difficulty*",'Semrush Data'!$A$1:$Z$1,0)),"")</f>
        <v/>
      </c>
      <c r="I176" s="56">
        <f>IFERROR(INDEX('Semrush Data'!$A$1:$Z$20000,MATCH(A176,'Semrush Data'!$A$1:$A$20000,0),MATCH("CPC*",'Semrush Data'!$A$1:$Z$1,0)),"")</f>
        <v/>
      </c>
      <c r="J176" s="42">
        <f>IFERROR(INDEX('Semrush Data'!$A$1:$Z$20000,MATCH(A176,'Semrush Data'!$A$1:$A$20000,0),MATCH("Intent",'Semrush Data'!$A$1:$Z$1,0)),"")</f>
        <v/>
      </c>
    </row>
    <row r="177" ht="15" customHeight="1" s="37">
      <c r="A177" s="42" t="inlineStr">
        <is>
          <t>body oil for body hydration</t>
        </is>
      </c>
      <c r="B177" s="42" t="inlineStr">
        <is>
          <t>Category / concern</t>
        </is>
      </c>
      <c r="C177" s="42" t="n">
        <v>1</v>
      </c>
      <c r="D177" s="42" t="n">
        <v>2</v>
      </c>
      <c r="E177" s="42" t="n">
        <v>1</v>
      </c>
      <c r="F177" s="42" t="inlineStr">
        <is>
          <t>VD-097</t>
        </is>
      </c>
      <c r="G177" s="55">
        <f>IFERROR(INDEX('Semrush Data'!$A$1:$Z$20000,MATCH(A177,'Semrush Data'!$A$1:$A$20000,0),MATCH("Volume",'Semrush Data'!$A$1:$Z$1,0)),"")</f>
        <v/>
      </c>
      <c r="H177" s="42">
        <f>IFERROR(INDEX('Semrush Data'!$A$1:$Z$20000,MATCH(A177,'Semrush Data'!$A$1:$A$20000,0),MATCH("Keyword Difficulty*",'Semrush Data'!$A$1:$Z$1,0)),"")</f>
        <v/>
      </c>
      <c r="I177" s="56">
        <f>IFERROR(INDEX('Semrush Data'!$A$1:$Z$20000,MATCH(A177,'Semrush Data'!$A$1:$A$20000,0),MATCH("CPC*",'Semrush Data'!$A$1:$Z$1,0)),"")</f>
        <v/>
      </c>
      <c r="J177" s="42">
        <f>IFERROR(INDEX('Semrush Data'!$A$1:$Z$20000,MATCH(A177,'Semrush Data'!$A$1:$A$20000,0),MATCH("Intent",'Semrush Data'!$A$1:$Z$1,0)),"")</f>
        <v/>
      </c>
    </row>
    <row r="178" ht="15" customHeight="1" s="37">
      <c r="A178" s="42" t="inlineStr">
        <is>
          <t>body scrub for dry skin</t>
        </is>
      </c>
      <c r="B178" s="42" t="inlineStr">
        <is>
          <t>Category / concern</t>
        </is>
      </c>
      <c r="C178" s="42" t="n">
        <v>1</v>
      </c>
      <c r="D178" s="42" t="n">
        <v>2</v>
      </c>
      <c r="E178" s="42" t="n">
        <v>2</v>
      </c>
      <c r="F178" s="42" t="inlineStr">
        <is>
          <t>VD-085, VD-103</t>
        </is>
      </c>
      <c r="G178" s="55">
        <f>IFERROR(INDEX('Semrush Data'!$A$1:$Z$20000,MATCH(A178,'Semrush Data'!$A$1:$A$20000,0),MATCH("Volume",'Semrush Data'!$A$1:$Z$1,0)),"")</f>
        <v/>
      </c>
      <c r="H178" s="42">
        <f>IFERROR(INDEX('Semrush Data'!$A$1:$Z$20000,MATCH(A178,'Semrush Data'!$A$1:$A$20000,0),MATCH("Keyword Difficulty*",'Semrush Data'!$A$1:$Z$1,0)),"")</f>
        <v/>
      </c>
      <c r="I178" s="56">
        <f>IFERROR(INDEX('Semrush Data'!$A$1:$Z$20000,MATCH(A178,'Semrush Data'!$A$1:$A$20000,0),MATCH("CPC*",'Semrush Data'!$A$1:$Z$1,0)),"")</f>
        <v/>
      </c>
      <c r="J178" s="42">
        <f>IFERROR(INDEX('Semrush Data'!$A$1:$Z$20000,MATCH(A178,'Semrush Data'!$A$1:$A$20000,0),MATCH("Intent",'Semrush Data'!$A$1:$Z$1,0)),"")</f>
        <v/>
      </c>
    </row>
    <row r="179" ht="15" customHeight="1" s="37">
      <c r="A179" s="42" t="inlineStr">
        <is>
          <t>body scrub for dull skin</t>
        </is>
      </c>
      <c r="B179" s="42" t="inlineStr">
        <is>
          <t>Category / concern</t>
        </is>
      </c>
      <c r="C179" s="42" t="n">
        <v>1</v>
      </c>
      <c r="D179" s="42" t="n">
        <v>2</v>
      </c>
      <c r="E179" s="42" t="n">
        <v>1</v>
      </c>
      <c r="F179" s="42" t="inlineStr">
        <is>
          <t>VD-026</t>
        </is>
      </c>
      <c r="G179" s="55">
        <f>IFERROR(INDEX('Semrush Data'!$A$1:$Z$20000,MATCH(A179,'Semrush Data'!$A$1:$A$20000,0),MATCH("Volume",'Semrush Data'!$A$1:$Z$1,0)),"")</f>
        <v/>
      </c>
      <c r="H179" s="42">
        <f>IFERROR(INDEX('Semrush Data'!$A$1:$Z$20000,MATCH(A179,'Semrush Data'!$A$1:$A$20000,0),MATCH("Keyword Difficulty*",'Semrush Data'!$A$1:$Z$1,0)),"")</f>
        <v/>
      </c>
      <c r="I179" s="56">
        <f>IFERROR(INDEX('Semrush Data'!$A$1:$Z$20000,MATCH(A179,'Semrush Data'!$A$1:$A$20000,0),MATCH("CPC*",'Semrush Data'!$A$1:$Z$1,0)),"")</f>
        <v/>
      </c>
      <c r="J179" s="42">
        <f>IFERROR(INDEX('Semrush Data'!$A$1:$Z$20000,MATCH(A179,'Semrush Data'!$A$1:$A$20000,0),MATCH("Intent",'Semrush Data'!$A$1:$Z$1,0)),"")</f>
        <v/>
      </c>
    </row>
    <row r="180" ht="15" customHeight="1" s="37">
      <c r="A180" s="42" t="inlineStr">
        <is>
          <t>body wash for body cleansing</t>
        </is>
      </c>
      <c r="B180" s="42" t="inlineStr">
        <is>
          <t>Category / concern</t>
        </is>
      </c>
      <c r="C180" s="42" t="n">
        <v>1</v>
      </c>
      <c r="D180" s="42" t="n">
        <v>2</v>
      </c>
      <c r="E180" s="42" t="n">
        <v>7</v>
      </c>
      <c r="F180" s="42" t="inlineStr">
        <is>
          <t>VD-003, VD-008, VD-009, VD-011, VD-028, VD-084, VD-096</t>
        </is>
      </c>
      <c r="G180" s="55">
        <f>IFERROR(INDEX('Semrush Data'!$A$1:$Z$20000,MATCH(A180,'Semrush Data'!$A$1:$A$20000,0),MATCH("Volume",'Semrush Data'!$A$1:$Z$1,0)),"")</f>
        <v/>
      </c>
      <c r="H180" s="42">
        <f>IFERROR(INDEX('Semrush Data'!$A$1:$Z$20000,MATCH(A180,'Semrush Data'!$A$1:$A$20000,0),MATCH("Keyword Difficulty*",'Semrush Data'!$A$1:$Z$1,0)),"")</f>
        <v/>
      </c>
      <c r="I180" s="56">
        <f>IFERROR(INDEX('Semrush Data'!$A$1:$Z$20000,MATCH(A180,'Semrush Data'!$A$1:$A$20000,0),MATCH("CPC*",'Semrush Data'!$A$1:$Z$1,0)),"")</f>
        <v/>
      </c>
      <c r="J180" s="42">
        <f>IFERROR(INDEX('Semrush Data'!$A$1:$Z$20000,MATCH(A180,'Semrush Data'!$A$1:$A$20000,0),MATCH("Intent",'Semrush Data'!$A$1:$Z$1,0)),"")</f>
        <v/>
      </c>
    </row>
    <row r="181" ht="15" customHeight="1" s="37">
      <c r="A181" s="42" t="inlineStr">
        <is>
          <t>conditioner for hair nourishment</t>
        </is>
      </c>
      <c r="B181" s="42" t="inlineStr">
        <is>
          <t>Category / concern</t>
        </is>
      </c>
      <c r="C181" s="42" t="n">
        <v>1</v>
      </c>
      <c r="D181" s="42" t="n">
        <v>2</v>
      </c>
      <c r="E181" s="42" t="n">
        <v>2</v>
      </c>
      <c r="F181" s="42" t="inlineStr">
        <is>
          <t>VD-012, VD-127</t>
        </is>
      </c>
      <c r="G181" s="55">
        <f>IFERROR(INDEX('Semrush Data'!$A$1:$Z$20000,MATCH(A181,'Semrush Data'!$A$1:$A$20000,0),MATCH("Volume",'Semrush Data'!$A$1:$Z$1,0)),"")</f>
        <v/>
      </c>
      <c r="H181" s="42">
        <f>IFERROR(INDEX('Semrush Data'!$A$1:$Z$20000,MATCH(A181,'Semrush Data'!$A$1:$A$20000,0),MATCH("Keyword Difficulty*",'Semrush Data'!$A$1:$Z$1,0)),"")</f>
        <v/>
      </c>
      <c r="I181" s="56">
        <f>IFERROR(INDEX('Semrush Data'!$A$1:$Z$20000,MATCH(A181,'Semrush Data'!$A$1:$A$20000,0),MATCH("CPC*",'Semrush Data'!$A$1:$Z$1,0)),"")</f>
        <v/>
      </c>
      <c r="J181" s="42">
        <f>IFERROR(INDEX('Semrush Data'!$A$1:$Z$20000,MATCH(A181,'Semrush Data'!$A$1:$A$20000,0),MATCH("Intent",'Semrush Data'!$A$1:$Z$1,0)),"")</f>
        <v/>
      </c>
    </row>
    <row r="182" ht="15" customHeight="1" s="37">
      <c r="A182" s="42" t="inlineStr">
        <is>
          <t>deyga body butter</t>
        </is>
      </c>
      <c r="B182" s="42" t="inlineStr">
        <is>
          <t>Category / concern</t>
        </is>
      </c>
      <c r="C182" s="42" t="n">
        <v>1</v>
      </c>
      <c r="D182" s="42" t="n">
        <v>2</v>
      </c>
      <c r="E182" s="42" t="n">
        <v>3</v>
      </c>
      <c r="F182" s="42" t="inlineStr">
        <is>
          <t>VD-082, VD-091, VD-128</t>
        </is>
      </c>
      <c r="G182" s="55">
        <f>IFERROR(INDEX('Semrush Data'!$A$1:$Z$20000,MATCH(A182,'Semrush Data'!$A$1:$A$20000,0),MATCH("Volume",'Semrush Data'!$A$1:$Z$1,0)),"")</f>
        <v/>
      </c>
      <c r="H182" s="42">
        <f>IFERROR(INDEX('Semrush Data'!$A$1:$Z$20000,MATCH(A182,'Semrush Data'!$A$1:$A$20000,0),MATCH("Keyword Difficulty*",'Semrush Data'!$A$1:$Z$1,0)),"")</f>
        <v/>
      </c>
      <c r="I182" s="56">
        <f>IFERROR(INDEX('Semrush Data'!$A$1:$Z$20000,MATCH(A182,'Semrush Data'!$A$1:$A$20000,0),MATCH("CPC*",'Semrush Data'!$A$1:$Z$1,0)),"")</f>
        <v/>
      </c>
      <c r="J182" s="42">
        <f>IFERROR(INDEX('Semrush Data'!$A$1:$Z$20000,MATCH(A182,'Semrush Data'!$A$1:$A$20000,0),MATCH("Intent",'Semrush Data'!$A$1:$Z$1,0)),"")</f>
        <v/>
      </c>
    </row>
    <row r="183" ht="15" customHeight="1" s="37">
      <c r="A183" s="42" t="inlineStr">
        <is>
          <t>deyga body care</t>
        </is>
      </c>
      <c r="B183" s="42" t="inlineStr">
        <is>
          <t>Category / concern</t>
        </is>
      </c>
      <c r="C183" s="42" t="n">
        <v>1</v>
      </c>
      <c r="D183" s="42" t="n">
        <v>2</v>
      </c>
      <c r="E183" s="42" t="n">
        <v>9</v>
      </c>
      <c r="F183" s="42" t="inlineStr">
        <is>
          <t>VD-094, VD-102, VD-107, VD-108, VD-109, VD-110, VD-118, VD-121, VD-129</t>
        </is>
      </c>
      <c r="G183" s="55">
        <f>IFERROR(INDEX('Semrush Data'!$A$1:$Z$20000,MATCH(A183,'Semrush Data'!$A$1:$A$20000,0),MATCH("Volume",'Semrush Data'!$A$1:$Z$1,0)),"")</f>
        <v/>
      </c>
      <c r="H183" s="42">
        <f>IFERROR(INDEX('Semrush Data'!$A$1:$Z$20000,MATCH(A183,'Semrush Data'!$A$1:$A$20000,0),MATCH("Keyword Difficulty*",'Semrush Data'!$A$1:$Z$1,0)),"")</f>
        <v/>
      </c>
      <c r="I183" s="56">
        <f>IFERROR(INDEX('Semrush Data'!$A$1:$Z$20000,MATCH(A183,'Semrush Data'!$A$1:$A$20000,0),MATCH("CPC*",'Semrush Data'!$A$1:$Z$1,0)),"")</f>
        <v/>
      </c>
      <c r="J183" s="42">
        <f>IFERROR(INDEX('Semrush Data'!$A$1:$Z$20000,MATCH(A183,'Semrush Data'!$A$1:$A$20000,0),MATCH("Intent",'Semrush Data'!$A$1:$Z$1,0)),"")</f>
        <v/>
      </c>
    </row>
    <row r="184" ht="15" customHeight="1" s="37">
      <c r="A184" s="42" t="inlineStr">
        <is>
          <t>deyga body lotion</t>
        </is>
      </c>
      <c r="B184" s="42" t="inlineStr">
        <is>
          <t>Category / concern</t>
        </is>
      </c>
      <c r="C184" s="42" t="n">
        <v>1</v>
      </c>
      <c r="D184" s="42" t="n">
        <v>2</v>
      </c>
      <c r="E184" s="42" t="n">
        <v>1</v>
      </c>
      <c r="F184" s="42" t="inlineStr">
        <is>
          <t>VD-114</t>
        </is>
      </c>
      <c r="G184" s="55">
        <f>IFERROR(INDEX('Semrush Data'!$A$1:$Z$20000,MATCH(A184,'Semrush Data'!$A$1:$A$20000,0),MATCH("Volume",'Semrush Data'!$A$1:$Z$1,0)),"")</f>
        <v/>
      </c>
      <c r="H184" s="42">
        <f>IFERROR(INDEX('Semrush Data'!$A$1:$Z$20000,MATCH(A184,'Semrush Data'!$A$1:$A$20000,0),MATCH("Keyword Difficulty*",'Semrush Data'!$A$1:$Z$1,0)),"")</f>
        <v/>
      </c>
      <c r="I184" s="56">
        <f>IFERROR(INDEX('Semrush Data'!$A$1:$Z$20000,MATCH(A184,'Semrush Data'!$A$1:$A$20000,0),MATCH("CPC*",'Semrush Data'!$A$1:$Z$1,0)),"")</f>
        <v/>
      </c>
      <c r="J184" s="42">
        <f>IFERROR(INDEX('Semrush Data'!$A$1:$Z$20000,MATCH(A184,'Semrush Data'!$A$1:$A$20000,0),MATCH("Intent",'Semrush Data'!$A$1:$Z$1,0)),"")</f>
        <v/>
      </c>
    </row>
    <row r="185" ht="15" customHeight="1" s="37">
      <c r="A185" s="42" t="inlineStr">
        <is>
          <t>deyga body oil</t>
        </is>
      </c>
      <c r="B185" s="42" t="inlineStr">
        <is>
          <t>Category / concern</t>
        </is>
      </c>
      <c r="C185" s="42" t="n">
        <v>1</v>
      </c>
      <c r="D185" s="42" t="n">
        <v>2</v>
      </c>
      <c r="E185" s="42" t="n">
        <v>1</v>
      </c>
      <c r="F185" s="42" t="inlineStr">
        <is>
          <t>VD-097</t>
        </is>
      </c>
      <c r="G185" s="55">
        <f>IFERROR(INDEX('Semrush Data'!$A$1:$Z$20000,MATCH(A185,'Semrush Data'!$A$1:$A$20000,0),MATCH("Volume",'Semrush Data'!$A$1:$Z$1,0)),"")</f>
        <v/>
      </c>
      <c r="H185" s="42">
        <f>IFERROR(INDEX('Semrush Data'!$A$1:$Z$20000,MATCH(A185,'Semrush Data'!$A$1:$A$20000,0),MATCH("Keyword Difficulty*",'Semrush Data'!$A$1:$Z$1,0)),"")</f>
        <v/>
      </c>
      <c r="I185" s="56">
        <f>IFERROR(INDEX('Semrush Data'!$A$1:$Z$20000,MATCH(A185,'Semrush Data'!$A$1:$A$20000,0),MATCH("CPC*",'Semrush Data'!$A$1:$Z$1,0)),"")</f>
        <v/>
      </c>
      <c r="J185" s="42">
        <f>IFERROR(INDEX('Semrush Data'!$A$1:$Z$20000,MATCH(A185,'Semrush Data'!$A$1:$A$20000,0),MATCH("Intent",'Semrush Data'!$A$1:$Z$1,0)),"")</f>
        <v/>
      </c>
    </row>
    <row r="186" ht="15" customHeight="1" s="37">
      <c r="A186" s="42" t="inlineStr">
        <is>
          <t>deyga body wash</t>
        </is>
      </c>
      <c r="B186" s="42" t="inlineStr">
        <is>
          <t>Category / concern</t>
        </is>
      </c>
      <c r="C186" s="42" t="n">
        <v>1</v>
      </c>
      <c r="D186" s="42" t="n">
        <v>2</v>
      </c>
      <c r="E186" s="42" t="n">
        <v>3</v>
      </c>
      <c r="F186" s="42" t="inlineStr">
        <is>
          <t>VD-084, VD-096, VD-085</t>
        </is>
      </c>
      <c r="G186" s="55">
        <f>IFERROR(INDEX('Semrush Data'!$A$1:$Z$20000,MATCH(A186,'Semrush Data'!$A$1:$A$20000,0),MATCH("Volume",'Semrush Data'!$A$1:$Z$1,0)),"")</f>
        <v/>
      </c>
      <c r="H186" s="42">
        <f>IFERROR(INDEX('Semrush Data'!$A$1:$Z$20000,MATCH(A186,'Semrush Data'!$A$1:$A$20000,0),MATCH("Keyword Difficulty*",'Semrush Data'!$A$1:$Z$1,0)),"")</f>
        <v/>
      </c>
      <c r="I186" s="56">
        <f>IFERROR(INDEX('Semrush Data'!$A$1:$Z$20000,MATCH(A186,'Semrush Data'!$A$1:$A$20000,0),MATCH("CPC*",'Semrush Data'!$A$1:$Z$1,0)),"")</f>
        <v/>
      </c>
      <c r="J186" s="42">
        <f>IFERROR(INDEX('Semrush Data'!$A$1:$Z$20000,MATCH(A186,'Semrush Data'!$A$1:$A$20000,0),MATCH("Intent",'Semrush Data'!$A$1:$Z$1,0)),"")</f>
        <v/>
      </c>
    </row>
    <row r="187" ht="15" customHeight="1" s="37">
      <c r="A187" s="42" t="inlineStr">
        <is>
          <t>deyga conditioner</t>
        </is>
      </c>
      <c r="B187" s="42" t="inlineStr">
        <is>
          <t>Category / concern</t>
        </is>
      </c>
      <c r="C187" s="42" t="n">
        <v>1</v>
      </c>
      <c r="D187" s="42" t="n">
        <v>2</v>
      </c>
      <c r="E187" s="42" t="n">
        <v>1</v>
      </c>
      <c r="F187" s="42" t="inlineStr">
        <is>
          <t>VD-127</t>
        </is>
      </c>
      <c r="G187" s="55">
        <f>IFERROR(INDEX('Semrush Data'!$A$1:$Z$20000,MATCH(A187,'Semrush Data'!$A$1:$A$20000,0),MATCH("Volume",'Semrush Data'!$A$1:$Z$1,0)),"")</f>
        <v/>
      </c>
      <c r="H187" s="42">
        <f>IFERROR(INDEX('Semrush Data'!$A$1:$Z$20000,MATCH(A187,'Semrush Data'!$A$1:$A$20000,0),MATCH("Keyword Difficulty*",'Semrush Data'!$A$1:$Z$1,0)),"")</f>
        <v/>
      </c>
      <c r="I187" s="56">
        <f>IFERROR(INDEX('Semrush Data'!$A$1:$Z$20000,MATCH(A187,'Semrush Data'!$A$1:$A$20000,0),MATCH("CPC*",'Semrush Data'!$A$1:$Z$1,0)),"")</f>
        <v/>
      </c>
      <c r="J187" s="42">
        <f>IFERROR(INDEX('Semrush Data'!$A$1:$Z$20000,MATCH(A187,'Semrush Data'!$A$1:$A$20000,0),MATCH("Intent",'Semrush Data'!$A$1:$Z$1,0)),"")</f>
        <v/>
      </c>
    </row>
    <row r="188" ht="15" customHeight="1" s="37">
      <c r="A188" s="42" t="inlineStr">
        <is>
          <t>deyga face mask</t>
        </is>
      </c>
      <c r="B188" s="42" t="inlineStr">
        <is>
          <t>Category / concern</t>
        </is>
      </c>
      <c r="C188" s="42" t="n">
        <v>1</v>
      </c>
      <c r="D188" s="42" t="n">
        <v>2</v>
      </c>
      <c r="E188" s="42" t="n">
        <v>1</v>
      </c>
      <c r="F188" s="42" t="inlineStr">
        <is>
          <t>VD-083</t>
        </is>
      </c>
      <c r="G188" s="55">
        <f>IFERROR(INDEX('Semrush Data'!$A$1:$Z$20000,MATCH(A188,'Semrush Data'!$A$1:$A$20000,0),MATCH("Volume",'Semrush Data'!$A$1:$Z$1,0)),"")</f>
        <v/>
      </c>
      <c r="H188" s="42">
        <f>IFERROR(INDEX('Semrush Data'!$A$1:$Z$20000,MATCH(A188,'Semrush Data'!$A$1:$A$20000,0),MATCH("Keyword Difficulty*",'Semrush Data'!$A$1:$Z$1,0)),"")</f>
        <v/>
      </c>
      <c r="I188" s="56">
        <f>IFERROR(INDEX('Semrush Data'!$A$1:$Z$20000,MATCH(A188,'Semrush Data'!$A$1:$A$20000,0),MATCH("CPC*",'Semrush Data'!$A$1:$Z$1,0)),"")</f>
        <v/>
      </c>
      <c r="J188" s="42">
        <f>IFERROR(INDEX('Semrush Data'!$A$1:$Z$20000,MATCH(A188,'Semrush Data'!$A$1:$A$20000,0),MATCH("Intent",'Semrush Data'!$A$1:$Z$1,0)),"")</f>
        <v/>
      </c>
    </row>
    <row r="189" ht="15" customHeight="1" s="37">
      <c r="A189" s="42" t="inlineStr">
        <is>
          <t>deyga face serum</t>
        </is>
      </c>
      <c r="B189" s="42" t="inlineStr">
        <is>
          <t>Category / concern</t>
        </is>
      </c>
      <c r="C189" s="42" t="n">
        <v>1</v>
      </c>
      <c r="D189" s="42" t="n">
        <v>2</v>
      </c>
      <c r="E189" s="42" t="n">
        <v>4</v>
      </c>
      <c r="F189" s="42" t="inlineStr">
        <is>
          <t>VD-087, VD-092, VD-120, VD-134</t>
        </is>
      </c>
      <c r="G189" s="55">
        <f>IFERROR(INDEX('Semrush Data'!$A$1:$Z$20000,MATCH(A189,'Semrush Data'!$A$1:$A$20000,0),MATCH("Volume",'Semrush Data'!$A$1:$Z$1,0)),"")</f>
        <v/>
      </c>
      <c r="H189" s="42">
        <f>IFERROR(INDEX('Semrush Data'!$A$1:$Z$20000,MATCH(A189,'Semrush Data'!$A$1:$A$20000,0),MATCH("Keyword Difficulty*",'Semrush Data'!$A$1:$Z$1,0)),"")</f>
        <v/>
      </c>
      <c r="I189" s="56">
        <f>IFERROR(INDEX('Semrush Data'!$A$1:$Z$20000,MATCH(A189,'Semrush Data'!$A$1:$A$20000,0),MATCH("CPC*",'Semrush Data'!$A$1:$Z$1,0)),"")</f>
        <v/>
      </c>
      <c r="J189" s="42">
        <f>IFERROR(INDEX('Semrush Data'!$A$1:$Z$20000,MATCH(A189,'Semrush Data'!$A$1:$A$20000,0),MATCH("Intent",'Semrush Data'!$A$1:$Z$1,0)),"")</f>
        <v/>
      </c>
    </row>
    <row r="190" ht="15" customHeight="1" s="37">
      <c r="A190" s="42" t="inlineStr">
        <is>
          <t>deyga face wash</t>
        </is>
      </c>
      <c r="B190" s="42" t="inlineStr">
        <is>
          <t>Category / concern</t>
        </is>
      </c>
      <c r="C190" s="42" t="n">
        <v>1</v>
      </c>
      <c r="D190" s="42" t="n">
        <v>2</v>
      </c>
      <c r="E190" s="42" t="n">
        <v>3</v>
      </c>
      <c r="F190" s="42" t="inlineStr">
        <is>
          <t>VD-095, VD-113, VD-123</t>
        </is>
      </c>
      <c r="G190" s="55">
        <f>IFERROR(INDEX('Semrush Data'!$A$1:$Z$20000,MATCH(A190,'Semrush Data'!$A$1:$A$20000,0),MATCH("Volume",'Semrush Data'!$A$1:$Z$1,0)),"")</f>
        <v/>
      </c>
      <c r="H190" s="42">
        <f>IFERROR(INDEX('Semrush Data'!$A$1:$Z$20000,MATCH(A190,'Semrush Data'!$A$1:$A$20000,0),MATCH("Keyword Difficulty*",'Semrush Data'!$A$1:$Z$1,0)),"")</f>
        <v/>
      </c>
      <c r="I190" s="56">
        <f>IFERROR(INDEX('Semrush Data'!$A$1:$Z$20000,MATCH(A190,'Semrush Data'!$A$1:$A$20000,0),MATCH("CPC*",'Semrush Data'!$A$1:$Z$1,0)),"")</f>
        <v/>
      </c>
      <c r="J190" s="42">
        <f>IFERROR(INDEX('Semrush Data'!$A$1:$Z$20000,MATCH(A190,'Semrush Data'!$A$1:$A$20000,0),MATCH("Intent",'Semrush Data'!$A$1:$Z$1,0)),"")</f>
        <v/>
      </c>
    </row>
    <row r="191" ht="15" customHeight="1" s="37">
      <c r="A191" s="42" t="inlineStr">
        <is>
          <t>deyga hair oil</t>
        </is>
      </c>
      <c r="B191" s="42" t="inlineStr">
        <is>
          <t>Category / concern</t>
        </is>
      </c>
      <c r="C191" s="42" t="n">
        <v>1</v>
      </c>
      <c r="D191" s="42" t="n">
        <v>2</v>
      </c>
      <c r="E191" s="42" t="n">
        <v>3</v>
      </c>
      <c r="F191" s="42" t="inlineStr">
        <is>
          <t>VD-089, VD-090, VD-122</t>
        </is>
      </c>
      <c r="G191" s="55">
        <f>IFERROR(INDEX('Semrush Data'!$A$1:$Z$20000,MATCH(A191,'Semrush Data'!$A$1:$A$20000,0),MATCH("Volume",'Semrush Data'!$A$1:$Z$1,0)),"")</f>
        <v/>
      </c>
      <c r="H191" s="42">
        <f>IFERROR(INDEX('Semrush Data'!$A$1:$Z$20000,MATCH(A191,'Semrush Data'!$A$1:$A$20000,0),MATCH("Keyword Difficulty*",'Semrush Data'!$A$1:$Z$1,0)),"")</f>
        <v/>
      </c>
      <c r="I191" s="56">
        <f>IFERROR(INDEX('Semrush Data'!$A$1:$Z$20000,MATCH(A191,'Semrush Data'!$A$1:$A$20000,0),MATCH("CPC*",'Semrush Data'!$A$1:$Z$1,0)),"")</f>
        <v/>
      </c>
      <c r="J191" s="42">
        <f>IFERROR(INDEX('Semrush Data'!$A$1:$Z$20000,MATCH(A191,'Semrush Data'!$A$1:$A$20000,0),MATCH("Intent",'Semrush Data'!$A$1:$Z$1,0)),"")</f>
        <v/>
      </c>
    </row>
    <row r="192" ht="15" customHeight="1" s="37">
      <c r="A192" s="42" t="inlineStr">
        <is>
          <t>deyga hair treatment</t>
        </is>
      </c>
      <c r="B192" s="42" t="inlineStr">
        <is>
          <t>Category / concern</t>
        </is>
      </c>
      <c r="C192" s="42" t="n">
        <v>1</v>
      </c>
      <c r="D192" s="42" t="n">
        <v>2</v>
      </c>
      <c r="E192" s="42" t="n">
        <v>2</v>
      </c>
      <c r="F192" s="42" t="inlineStr">
        <is>
          <t>VD-112, VD-125</t>
        </is>
      </c>
      <c r="G192" s="55">
        <f>IFERROR(INDEX('Semrush Data'!$A$1:$Z$20000,MATCH(A192,'Semrush Data'!$A$1:$A$20000,0),MATCH("Volume",'Semrush Data'!$A$1:$Z$1,0)),"")</f>
        <v/>
      </c>
      <c r="H192" s="42">
        <f>IFERROR(INDEX('Semrush Data'!$A$1:$Z$20000,MATCH(A192,'Semrush Data'!$A$1:$A$20000,0),MATCH("Keyword Difficulty*",'Semrush Data'!$A$1:$Z$1,0)),"")</f>
        <v/>
      </c>
      <c r="I192" s="56">
        <f>IFERROR(INDEX('Semrush Data'!$A$1:$Z$20000,MATCH(A192,'Semrush Data'!$A$1:$A$20000,0),MATCH("CPC*",'Semrush Data'!$A$1:$Z$1,0)),"")</f>
        <v/>
      </c>
      <c r="J192" s="42">
        <f>IFERROR(INDEX('Semrush Data'!$A$1:$Z$20000,MATCH(A192,'Semrush Data'!$A$1:$A$20000,0),MATCH("Intent",'Semrush Data'!$A$1:$Z$1,0)),"")</f>
        <v/>
      </c>
    </row>
    <row r="193" ht="15" customHeight="1" s="37">
      <c r="A193" s="42" t="inlineStr">
        <is>
          <t>deyga lip balm</t>
        </is>
      </c>
      <c r="B193" s="42" t="inlineStr">
        <is>
          <t>Category / concern</t>
        </is>
      </c>
      <c r="C193" s="42" t="n">
        <v>1</v>
      </c>
      <c r="D193" s="42" t="n">
        <v>2</v>
      </c>
      <c r="E193" s="42" t="n">
        <v>5</v>
      </c>
      <c r="F193" s="42" t="inlineStr">
        <is>
          <t>VD-106, VD-111, VD-117, VD-131, VD-132</t>
        </is>
      </c>
      <c r="G193" s="55">
        <f>IFERROR(INDEX('Semrush Data'!$A$1:$Z$20000,MATCH(A193,'Semrush Data'!$A$1:$A$20000,0),MATCH("Volume",'Semrush Data'!$A$1:$Z$1,0)),"")</f>
        <v/>
      </c>
      <c r="H193" s="42">
        <f>IFERROR(INDEX('Semrush Data'!$A$1:$Z$20000,MATCH(A193,'Semrush Data'!$A$1:$A$20000,0),MATCH("Keyword Difficulty*",'Semrush Data'!$A$1:$Z$1,0)),"")</f>
        <v/>
      </c>
      <c r="I193" s="56">
        <f>IFERROR(INDEX('Semrush Data'!$A$1:$Z$20000,MATCH(A193,'Semrush Data'!$A$1:$A$20000,0),MATCH("CPC*",'Semrush Data'!$A$1:$Z$1,0)),"")</f>
        <v/>
      </c>
      <c r="J193" s="42">
        <f>IFERROR(INDEX('Semrush Data'!$A$1:$Z$20000,MATCH(A193,'Semrush Data'!$A$1:$A$20000,0),MATCH("Intent",'Semrush Data'!$A$1:$Z$1,0)),"")</f>
        <v/>
      </c>
    </row>
    <row r="194" ht="15" customHeight="1" s="37">
      <c r="A194" s="42" t="inlineStr">
        <is>
          <t>deyga moisturiser</t>
        </is>
      </c>
      <c r="B194" s="42" t="inlineStr">
        <is>
          <t>Category / concern</t>
        </is>
      </c>
      <c r="C194" s="42" t="n">
        <v>1</v>
      </c>
      <c r="D194" s="42" t="n">
        <v>2</v>
      </c>
      <c r="E194" s="42" t="n">
        <v>4</v>
      </c>
      <c r="F194" s="42" t="inlineStr">
        <is>
          <t>VD-086, VD-093, VD-124, VD-133</t>
        </is>
      </c>
      <c r="G194" s="55">
        <f>IFERROR(INDEX('Semrush Data'!$A$1:$Z$20000,MATCH(A194,'Semrush Data'!$A$1:$A$20000,0),MATCH("Volume",'Semrush Data'!$A$1:$Z$1,0)),"")</f>
        <v/>
      </c>
      <c r="H194" s="42">
        <f>IFERROR(INDEX('Semrush Data'!$A$1:$Z$20000,MATCH(A194,'Semrush Data'!$A$1:$A$20000,0),MATCH("Keyword Difficulty*",'Semrush Data'!$A$1:$Z$1,0)),"")</f>
        <v/>
      </c>
      <c r="I194" s="56">
        <f>IFERROR(INDEX('Semrush Data'!$A$1:$Z$20000,MATCH(A194,'Semrush Data'!$A$1:$A$20000,0),MATCH("CPC*",'Semrush Data'!$A$1:$Z$1,0)),"")</f>
        <v/>
      </c>
      <c r="J194" s="42">
        <f>IFERROR(INDEX('Semrush Data'!$A$1:$Z$20000,MATCH(A194,'Semrush Data'!$A$1:$A$20000,0),MATCH("Intent",'Semrush Data'!$A$1:$Z$1,0)),"")</f>
        <v/>
      </c>
    </row>
    <row r="195" ht="15" customHeight="1" s="37">
      <c r="A195" s="42" t="inlineStr">
        <is>
          <t>deyga shampoo</t>
        </is>
      </c>
      <c r="B195" s="42" t="inlineStr">
        <is>
          <t>Category / concern</t>
        </is>
      </c>
      <c r="C195" s="42" t="n">
        <v>1</v>
      </c>
      <c r="D195" s="42" t="n">
        <v>2</v>
      </c>
      <c r="E195" s="42" t="n">
        <v>2</v>
      </c>
      <c r="F195" s="42" t="inlineStr">
        <is>
          <t>VD-126, VD-130</t>
        </is>
      </c>
      <c r="G195" s="55">
        <f>IFERROR(INDEX('Semrush Data'!$A$1:$Z$20000,MATCH(A195,'Semrush Data'!$A$1:$A$20000,0),MATCH("Volume",'Semrush Data'!$A$1:$Z$1,0)),"")</f>
        <v/>
      </c>
      <c r="H195" s="42">
        <f>IFERROR(INDEX('Semrush Data'!$A$1:$Z$20000,MATCH(A195,'Semrush Data'!$A$1:$A$20000,0),MATCH("Keyword Difficulty*",'Semrush Data'!$A$1:$Z$1,0)),"")</f>
        <v/>
      </c>
      <c r="I195" s="56">
        <f>IFERROR(INDEX('Semrush Data'!$A$1:$Z$20000,MATCH(A195,'Semrush Data'!$A$1:$A$20000,0),MATCH("CPC*",'Semrush Data'!$A$1:$Z$1,0)),"")</f>
        <v/>
      </c>
      <c r="J195" s="42">
        <f>IFERROR(INDEX('Semrush Data'!$A$1:$Z$20000,MATCH(A195,'Semrush Data'!$A$1:$A$20000,0),MATCH("Intent",'Semrush Data'!$A$1:$Z$1,0)),"")</f>
        <v/>
      </c>
    </row>
    <row r="196" ht="15" customHeight="1" s="37">
      <c r="A196" s="42" t="inlineStr">
        <is>
          <t>deyga skincare</t>
        </is>
      </c>
      <c r="B196" s="42" t="inlineStr">
        <is>
          <t>Category / concern</t>
        </is>
      </c>
      <c r="C196" s="42" t="n">
        <v>1</v>
      </c>
      <c r="D196" s="42" t="n">
        <v>2</v>
      </c>
      <c r="E196" s="42" t="n">
        <v>8</v>
      </c>
      <c r="F196" s="42" t="inlineStr">
        <is>
          <t>VD-088, VD-098, VD-099, VD-101, VD-104, VD-116, VD-119, VD-135</t>
        </is>
      </c>
      <c r="G196" s="55">
        <f>IFERROR(INDEX('Semrush Data'!$A$1:$Z$20000,MATCH(A196,'Semrush Data'!$A$1:$A$20000,0),MATCH("Volume",'Semrush Data'!$A$1:$Z$1,0)),"")</f>
        <v/>
      </c>
      <c r="H196" s="42">
        <f>IFERROR(INDEX('Semrush Data'!$A$1:$Z$20000,MATCH(A196,'Semrush Data'!$A$1:$A$20000,0),MATCH("Keyword Difficulty*",'Semrush Data'!$A$1:$Z$1,0)),"")</f>
        <v/>
      </c>
      <c r="I196" s="56">
        <f>IFERROR(INDEX('Semrush Data'!$A$1:$Z$20000,MATCH(A196,'Semrush Data'!$A$1:$A$20000,0),MATCH("CPC*",'Semrush Data'!$A$1:$Z$1,0)),"")</f>
        <v/>
      </c>
      <c r="J196" s="42">
        <f>IFERROR(INDEX('Semrush Data'!$A$1:$Z$20000,MATCH(A196,'Semrush Data'!$A$1:$A$20000,0),MATCH("Intent",'Semrush Data'!$A$1:$Z$1,0)),"")</f>
        <v/>
      </c>
    </row>
    <row r="197" ht="15" customHeight="1" s="37">
      <c r="A197" s="42" t="inlineStr">
        <is>
          <t>deyga skincare gift set</t>
        </is>
      </c>
      <c r="B197" s="42" t="inlineStr">
        <is>
          <t>Category / concern</t>
        </is>
      </c>
      <c r="C197" s="42" t="n">
        <v>1</v>
      </c>
      <c r="D197" s="42" t="n">
        <v>2</v>
      </c>
      <c r="E197" s="42" t="n">
        <v>24</v>
      </c>
      <c r="F197" s="42" t="inlineStr">
        <is>
          <t>VD-136, VD-137, VD-138, VD-139, VD-140, VD-141, VD-142, VD-143, VD-144, VD-145, VD-146, VD-147 …</t>
        </is>
      </c>
      <c r="G197" s="55">
        <f>IFERROR(INDEX('Semrush Data'!$A$1:$Z$20000,MATCH(A197,'Semrush Data'!$A$1:$A$20000,0),MATCH("Volume",'Semrush Data'!$A$1:$Z$1,0)),"")</f>
        <v/>
      </c>
      <c r="H197" s="42">
        <f>IFERROR(INDEX('Semrush Data'!$A$1:$Z$20000,MATCH(A197,'Semrush Data'!$A$1:$A$20000,0),MATCH("Keyword Difficulty*",'Semrush Data'!$A$1:$Z$1,0)),"")</f>
        <v/>
      </c>
      <c r="I197" s="56">
        <f>IFERROR(INDEX('Semrush Data'!$A$1:$Z$20000,MATCH(A197,'Semrush Data'!$A$1:$A$20000,0),MATCH("CPC*",'Semrush Data'!$A$1:$Z$1,0)),"")</f>
        <v/>
      </c>
      <c r="J197" s="42">
        <f>IFERROR(INDEX('Semrush Data'!$A$1:$Z$20000,MATCH(A197,'Semrush Data'!$A$1:$A$20000,0),MATCH("Intent",'Semrush Data'!$A$1:$Z$1,0)),"")</f>
        <v/>
      </c>
    </row>
    <row r="198" ht="15" customHeight="1" s="37">
      <c r="A198" s="42" t="inlineStr">
        <is>
          <t>deyga toner</t>
        </is>
      </c>
      <c r="B198" s="42" t="inlineStr">
        <is>
          <t>Category / concern</t>
        </is>
      </c>
      <c r="C198" s="42" t="n">
        <v>1</v>
      </c>
      <c r="D198" s="42" t="n">
        <v>2</v>
      </c>
      <c r="E198" s="42" t="n">
        <v>2</v>
      </c>
      <c r="F198" s="42" t="inlineStr">
        <is>
          <t>VD-100, VD-115</t>
        </is>
      </c>
      <c r="G198" s="55">
        <f>IFERROR(INDEX('Semrush Data'!$A$1:$Z$20000,MATCH(A198,'Semrush Data'!$A$1:$A$20000,0),MATCH("Volume",'Semrush Data'!$A$1:$Z$1,0)),"")</f>
        <v/>
      </c>
      <c r="H198" s="42">
        <f>IFERROR(INDEX('Semrush Data'!$A$1:$Z$20000,MATCH(A198,'Semrush Data'!$A$1:$A$20000,0),MATCH("Keyword Difficulty*",'Semrush Data'!$A$1:$Z$1,0)),"")</f>
        <v/>
      </c>
      <c r="I198" s="56">
        <f>IFERROR(INDEX('Semrush Data'!$A$1:$Z$20000,MATCH(A198,'Semrush Data'!$A$1:$A$20000,0),MATCH("CPC*",'Semrush Data'!$A$1:$Z$1,0)),"")</f>
        <v/>
      </c>
      <c r="J198" s="42">
        <f>IFERROR(INDEX('Semrush Data'!$A$1:$Z$20000,MATCH(A198,'Semrush Data'!$A$1:$A$20000,0),MATCH("Intent",'Semrush Data'!$A$1:$Z$1,0)),"")</f>
        <v/>
      </c>
    </row>
    <row r="199" ht="15" customHeight="1" s="37">
      <c r="A199" s="42" t="inlineStr">
        <is>
          <t>face mask for oily skin</t>
        </is>
      </c>
      <c r="B199" s="42" t="inlineStr">
        <is>
          <t>Category / concern</t>
        </is>
      </c>
      <c r="C199" s="42" t="n">
        <v>1</v>
      </c>
      <c r="D199" s="42" t="n">
        <v>2</v>
      </c>
      <c r="E199" s="42" t="n">
        <v>2</v>
      </c>
      <c r="F199" s="42" t="inlineStr">
        <is>
          <t>VD-024, VD-083</t>
        </is>
      </c>
      <c r="G199" s="55">
        <f>IFERROR(INDEX('Semrush Data'!$A$1:$Z$20000,MATCH(A199,'Semrush Data'!$A$1:$A$20000,0),MATCH("Volume",'Semrush Data'!$A$1:$Z$1,0)),"")</f>
        <v/>
      </c>
      <c r="H199" s="42">
        <f>IFERROR(INDEX('Semrush Data'!$A$1:$Z$20000,MATCH(A199,'Semrush Data'!$A$1:$A$20000,0),MATCH("Keyword Difficulty*",'Semrush Data'!$A$1:$Z$1,0)),"")</f>
        <v/>
      </c>
      <c r="I199" s="56">
        <f>IFERROR(INDEX('Semrush Data'!$A$1:$Z$20000,MATCH(A199,'Semrush Data'!$A$1:$A$20000,0),MATCH("CPC*",'Semrush Data'!$A$1:$Z$1,0)),"")</f>
        <v/>
      </c>
      <c r="J199" s="42">
        <f>IFERROR(INDEX('Semrush Data'!$A$1:$Z$20000,MATCH(A199,'Semrush Data'!$A$1:$A$20000,0),MATCH("Intent",'Semrush Data'!$A$1:$Z$1,0)),"")</f>
        <v/>
      </c>
    </row>
    <row r="200" ht="15" customHeight="1" s="37">
      <c r="A200" s="42" t="inlineStr">
        <is>
          <t>face mask for skin nourishment</t>
        </is>
      </c>
      <c r="B200" s="42" t="inlineStr">
        <is>
          <t>Category / concern</t>
        </is>
      </c>
      <c r="C200" s="42" t="n">
        <v>1</v>
      </c>
      <c r="D200" s="42" t="n">
        <v>2</v>
      </c>
      <c r="E200" s="42" t="n">
        <v>2</v>
      </c>
      <c r="F200" s="42" t="inlineStr">
        <is>
          <t>VD-018, VD-019</t>
        </is>
      </c>
      <c r="G200" s="55">
        <f>IFERROR(INDEX('Semrush Data'!$A$1:$Z$20000,MATCH(A200,'Semrush Data'!$A$1:$A$20000,0),MATCH("Volume",'Semrush Data'!$A$1:$Z$1,0)),"")</f>
        <v/>
      </c>
      <c r="H200" s="42">
        <f>IFERROR(INDEX('Semrush Data'!$A$1:$Z$20000,MATCH(A200,'Semrush Data'!$A$1:$A$20000,0),MATCH("Keyword Difficulty*",'Semrush Data'!$A$1:$Z$1,0)),"")</f>
        <v/>
      </c>
      <c r="I200" s="56">
        <f>IFERROR(INDEX('Semrush Data'!$A$1:$Z$20000,MATCH(A200,'Semrush Data'!$A$1:$A$20000,0),MATCH("CPC*",'Semrush Data'!$A$1:$Z$1,0)),"")</f>
        <v/>
      </c>
      <c r="J200" s="42">
        <f>IFERROR(INDEX('Semrush Data'!$A$1:$Z$20000,MATCH(A200,'Semrush Data'!$A$1:$A$20000,0),MATCH("Intent",'Semrush Data'!$A$1:$Z$1,0)),"")</f>
        <v/>
      </c>
    </row>
    <row r="201" ht="15" customHeight="1" s="37">
      <c r="A201" s="42" t="inlineStr">
        <is>
          <t>face serum for anti ageing</t>
        </is>
      </c>
      <c r="B201" s="42" t="inlineStr">
        <is>
          <t>Category / concern</t>
        </is>
      </c>
      <c r="C201" s="42" t="n">
        <v>1</v>
      </c>
      <c r="D201" s="42" t="n">
        <v>2</v>
      </c>
      <c r="E201" s="42" t="n">
        <v>1</v>
      </c>
      <c r="F201" s="42" t="inlineStr">
        <is>
          <t>VD-023</t>
        </is>
      </c>
      <c r="G201" s="55">
        <f>IFERROR(INDEX('Semrush Data'!$A$1:$Z$20000,MATCH(A201,'Semrush Data'!$A$1:$A$20000,0),MATCH("Volume",'Semrush Data'!$A$1:$Z$1,0)),"")</f>
        <v/>
      </c>
      <c r="H201" s="42">
        <f>IFERROR(INDEX('Semrush Data'!$A$1:$Z$20000,MATCH(A201,'Semrush Data'!$A$1:$A$20000,0),MATCH("Keyword Difficulty*",'Semrush Data'!$A$1:$Z$1,0)),"")</f>
        <v/>
      </c>
      <c r="I201" s="56">
        <f>IFERROR(INDEX('Semrush Data'!$A$1:$Z$20000,MATCH(A201,'Semrush Data'!$A$1:$A$20000,0),MATCH("CPC*",'Semrush Data'!$A$1:$Z$1,0)),"")</f>
        <v/>
      </c>
      <c r="J201" s="42">
        <f>IFERROR(INDEX('Semrush Data'!$A$1:$Z$20000,MATCH(A201,'Semrush Data'!$A$1:$A$20000,0),MATCH("Intent",'Semrush Data'!$A$1:$Z$1,0)),"")</f>
        <v/>
      </c>
    </row>
    <row r="202" ht="15" customHeight="1" s="37">
      <c r="A202" s="42" t="inlineStr">
        <is>
          <t>face serum for dull skin</t>
        </is>
      </c>
      <c r="B202" s="42" t="inlineStr">
        <is>
          <t>Category / concern</t>
        </is>
      </c>
      <c r="C202" s="42" t="n">
        <v>1</v>
      </c>
      <c r="D202" s="42" t="n">
        <v>3</v>
      </c>
      <c r="E202" s="42" t="n">
        <v>6</v>
      </c>
      <c r="F202" s="42" t="inlineStr">
        <is>
          <t>VD-038, VD-039, VD-087, VD-092, VD-120, VD-134</t>
        </is>
      </c>
      <c r="G202" s="55">
        <f>IFERROR(INDEX('Semrush Data'!$A$1:$Z$20000,MATCH(A202,'Semrush Data'!$A$1:$A$20000,0),MATCH("Volume",'Semrush Data'!$A$1:$Z$1,0)),"")</f>
        <v/>
      </c>
      <c r="H202" s="42">
        <f>IFERROR(INDEX('Semrush Data'!$A$1:$Z$20000,MATCH(A202,'Semrush Data'!$A$1:$A$20000,0),MATCH("Keyword Difficulty*",'Semrush Data'!$A$1:$Z$1,0)),"")</f>
        <v/>
      </c>
      <c r="I202" s="56">
        <f>IFERROR(INDEX('Semrush Data'!$A$1:$Z$20000,MATCH(A202,'Semrush Data'!$A$1:$A$20000,0),MATCH("CPC*",'Semrush Data'!$A$1:$Z$1,0)),"")</f>
        <v/>
      </c>
      <c r="J202" s="42">
        <f>IFERROR(INDEX('Semrush Data'!$A$1:$Z$20000,MATCH(A202,'Semrush Data'!$A$1:$A$20000,0),MATCH("Intent",'Semrush Data'!$A$1:$Z$1,0)),"")</f>
        <v/>
      </c>
    </row>
    <row r="203" ht="15" customHeight="1" s="37">
      <c r="A203" s="42" t="inlineStr">
        <is>
          <t>face wash for dry skin</t>
        </is>
      </c>
      <c r="B203" s="42" t="inlineStr">
        <is>
          <t>Category / concern</t>
        </is>
      </c>
      <c r="C203" s="42" t="n">
        <v>1</v>
      </c>
      <c r="D203" s="42" t="n">
        <v>3</v>
      </c>
      <c r="E203" s="42" t="n">
        <v>1</v>
      </c>
      <c r="F203" s="42" t="inlineStr">
        <is>
          <t>VD-113</t>
        </is>
      </c>
      <c r="G203" s="55">
        <f>IFERROR(INDEX('Semrush Data'!$A$1:$Z$20000,MATCH(A203,'Semrush Data'!$A$1:$A$20000,0),MATCH("Volume",'Semrush Data'!$A$1:$Z$1,0)),"")</f>
        <v/>
      </c>
      <c r="H203" s="42">
        <f>IFERROR(INDEX('Semrush Data'!$A$1:$Z$20000,MATCH(A203,'Semrush Data'!$A$1:$A$20000,0),MATCH("Keyword Difficulty*",'Semrush Data'!$A$1:$Z$1,0)),"")</f>
        <v/>
      </c>
      <c r="I203" s="56">
        <f>IFERROR(INDEX('Semrush Data'!$A$1:$Z$20000,MATCH(A203,'Semrush Data'!$A$1:$A$20000,0),MATCH("CPC*",'Semrush Data'!$A$1:$Z$1,0)),"")</f>
        <v/>
      </c>
      <c r="J203" s="42">
        <f>IFERROR(INDEX('Semrush Data'!$A$1:$Z$20000,MATCH(A203,'Semrush Data'!$A$1:$A$20000,0),MATCH("Intent",'Semrush Data'!$A$1:$Z$1,0)),"")</f>
        <v/>
      </c>
    </row>
    <row r="204" ht="15" customHeight="1" s="37">
      <c r="A204" s="42" t="inlineStr">
        <is>
          <t>face wash for oily skin</t>
        </is>
      </c>
      <c r="B204" s="42" t="inlineStr">
        <is>
          <t>Category / concern</t>
        </is>
      </c>
      <c r="C204" s="42" t="n">
        <v>1</v>
      </c>
      <c r="D204" s="42" t="n">
        <v>3</v>
      </c>
      <c r="E204" s="42" t="n">
        <v>1</v>
      </c>
      <c r="F204" s="42" t="inlineStr">
        <is>
          <t>VD-123</t>
        </is>
      </c>
      <c r="G204" s="55">
        <f>IFERROR(INDEX('Semrush Data'!$A$1:$Z$20000,MATCH(A204,'Semrush Data'!$A$1:$A$20000,0),MATCH("Volume",'Semrush Data'!$A$1:$Z$1,0)),"")</f>
        <v/>
      </c>
      <c r="H204" s="42">
        <f>IFERROR(INDEX('Semrush Data'!$A$1:$Z$20000,MATCH(A204,'Semrush Data'!$A$1:$A$20000,0),MATCH("Keyword Difficulty*",'Semrush Data'!$A$1:$Z$1,0)),"")</f>
        <v/>
      </c>
      <c r="I204" s="56">
        <f>IFERROR(INDEX('Semrush Data'!$A$1:$Z$20000,MATCH(A204,'Semrush Data'!$A$1:$A$20000,0),MATCH("CPC*",'Semrush Data'!$A$1:$Z$1,0)),"")</f>
        <v/>
      </c>
      <c r="J204" s="42">
        <f>IFERROR(INDEX('Semrush Data'!$A$1:$Z$20000,MATCH(A204,'Semrush Data'!$A$1:$A$20000,0),MATCH("Intent",'Semrush Data'!$A$1:$Z$1,0)),"")</f>
        <v/>
      </c>
    </row>
    <row r="205" ht="15" customHeight="1" s="37">
      <c r="A205" s="42" t="inlineStr">
        <is>
          <t>face wash for skin nourishment</t>
        </is>
      </c>
      <c r="B205" s="42" t="inlineStr">
        <is>
          <t>Category / concern</t>
        </is>
      </c>
      <c r="C205" s="42" t="n">
        <v>1</v>
      </c>
      <c r="D205" s="42" t="n">
        <v>3</v>
      </c>
      <c r="E205" s="42" t="n">
        <v>4</v>
      </c>
      <c r="F205" s="42" t="inlineStr">
        <is>
          <t>VD-006, VD-014, VD-027, VD-095</t>
        </is>
      </c>
      <c r="G205" s="55">
        <f>IFERROR(INDEX('Semrush Data'!$A$1:$Z$20000,MATCH(A205,'Semrush Data'!$A$1:$A$20000,0),MATCH("Volume",'Semrush Data'!$A$1:$Z$1,0)),"")</f>
        <v/>
      </c>
      <c r="H205" s="42">
        <f>IFERROR(INDEX('Semrush Data'!$A$1:$Z$20000,MATCH(A205,'Semrush Data'!$A$1:$A$20000,0),MATCH("Keyword Difficulty*",'Semrush Data'!$A$1:$Z$1,0)),"")</f>
        <v/>
      </c>
      <c r="I205" s="56">
        <f>IFERROR(INDEX('Semrush Data'!$A$1:$Z$20000,MATCH(A205,'Semrush Data'!$A$1:$A$20000,0),MATCH("CPC*",'Semrush Data'!$A$1:$Z$1,0)),"")</f>
        <v/>
      </c>
      <c r="J205" s="42">
        <f>IFERROR(INDEX('Semrush Data'!$A$1:$Z$20000,MATCH(A205,'Semrush Data'!$A$1:$A$20000,0),MATCH("Intent",'Semrush Data'!$A$1:$Z$1,0)),"")</f>
        <v/>
      </c>
    </row>
    <row r="206" ht="15" customHeight="1" s="37">
      <c r="A206" s="42" t="inlineStr">
        <is>
          <t>hair accessories for hair nourishment</t>
        </is>
      </c>
      <c r="B206" s="42" t="inlineStr">
        <is>
          <t>Category / concern</t>
        </is>
      </c>
      <c r="C206" s="42" t="n">
        <v>1</v>
      </c>
      <c r="D206" s="42" t="n">
        <v>3</v>
      </c>
      <c r="E206" s="42" t="n">
        <v>2</v>
      </c>
      <c r="F206" s="42" t="inlineStr">
        <is>
          <t>VD-041, VD-042</t>
        </is>
      </c>
      <c r="G206" s="55">
        <f>IFERROR(INDEX('Semrush Data'!$A$1:$Z$20000,MATCH(A206,'Semrush Data'!$A$1:$A$20000,0),MATCH("Volume",'Semrush Data'!$A$1:$Z$1,0)),"")</f>
        <v/>
      </c>
      <c r="H206" s="42">
        <f>IFERROR(INDEX('Semrush Data'!$A$1:$Z$20000,MATCH(A206,'Semrush Data'!$A$1:$A$20000,0),MATCH("Keyword Difficulty*",'Semrush Data'!$A$1:$Z$1,0)),"")</f>
        <v/>
      </c>
      <c r="I206" s="56">
        <f>IFERROR(INDEX('Semrush Data'!$A$1:$Z$20000,MATCH(A206,'Semrush Data'!$A$1:$A$20000,0),MATCH("CPC*",'Semrush Data'!$A$1:$Z$1,0)),"")</f>
        <v/>
      </c>
      <c r="J206" s="42">
        <f>IFERROR(INDEX('Semrush Data'!$A$1:$Z$20000,MATCH(A206,'Semrush Data'!$A$1:$A$20000,0),MATCH("Intent",'Semrush Data'!$A$1:$Z$1,0)),"")</f>
        <v/>
      </c>
    </row>
    <row r="207" ht="15" customHeight="1" s="37">
      <c r="A207" s="42" t="inlineStr">
        <is>
          <t>hair mask for dry hair</t>
        </is>
      </c>
      <c r="B207" s="42" t="inlineStr">
        <is>
          <t>Category / concern</t>
        </is>
      </c>
      <c r="C207" s="42" t="n">
        <v>1</v>
      </c>
      <c r="D207" s="42" t="n">
        <v>3</v>
      </c>
      <c r="E207" s="42" t="n">
        <v>1</v>
      </c>
      <c r="F207" s="42" t="inlineStr">
        <is>
          <t>VD-031</t>
        </is>
      </c>
      <c r="G207" s="55">
        <f>IFERROR(INDEX('Semrush Data'!$A$1:$Z$20000,MATCH(A207,'Semrush Data'!$A$1:$A$20000,0),MATCH("Volume",'Semrush Data'!$A$1:$Z$1,0)),"")</f>
        <v/>
      </c>
      <c r="H207" s="42">
        <f>IFERROR(INDEX('Semrush Data'!$A$1:$Z$20000,MATCH(A207,'Semrush Data'!$A$1:$A$20000,0),MATCH("Keyword Difficulty*",'Semrush Data'!$A$1:$Z$1,0)),"")</f>
        <v/>
      </c>
      <c r="I207" s="56">
        <f>IFERROR(INDEX('Semrush Data'!$A$1:$Z$20000,MATCH(A207,'Semrush Data'!$A$1:$A$20000,0),MATCH("CPC*",'Semrush Data'!$A$1:$Z$1,0)),"")</f>
        <v/>
      </c>
      <c r="J207" s="42">
        <f>IFERROR(INDEX('Semrush Data'!$A$1:$Z$20000,MATCH(A207,'Semrush Data'!$A$1:$A$20000,0),MATCH("Intent",'Semrush Data'!$A$1:$Z$1,0)),"")</f>
        <v/>
      </c>
    </row>
    <row r="208" ht="15" customHeight="1" s="37">
      <c r="A208" s="42" t="inlineStr">
        <is>
          <t>hair oil for dandruff</t>
        </is>
      </c>
      <c r="B208" s="42" t="inlineStr">
        <is>
          <t>Category / concern</t>
        </is>
      </c>
      <c r="C208" s="42" t="n">
        <v>1</v>
      </c>
      <c r="D208" s="42" t="n">
        <v>3</v>
      </c>
      <c r="E208" s="42" t="n">
        <v>2</v>
      </c>
      <c r="F208" s="42" t="inlineStr">
        <is>
          <t>VD-021, VD-090</t>
        </is>
      </c>
      <c r="G208" s="55">
        <f>IFERROR(INDEX('Semrush Data'!$A$1:$Z$20000,MATCH(A208,'Semrush Data'!$A$1:$A$20000,0),MATCH("Volume",'Semrush Data'!$A$1:$Z$1,0)),"")</f>
        <v/>
      </c>
      <c r="H208" s="42">
        <f>IFERROR(INDEX('Semrush Data'!$A$1:$Z$20000,MATCH(A208,'Semrush Data'!$A$1:$A$20000,0),MATCH("Keyword Difficulty*",'Semrush Data'!$A$1:$Z$1,0)),"")</f>
        <v/>
      </c>
      <c r="I208" s="56">
        <f>IFERROR(INDEX('Semrush Data'!$A$1:$Z$20000,MATCH(A208,'Semrush Data'!$A$1:$A$20000,0),MATCH("CPC*",'Semrush Data'!$A$1:$Z$1,0)),"")</f>
        <v/>
      </c>
      <c r="J208" s="42">
        <f>IFERROR(INDEX('Semrush Data'!$A$1:$Z$20000,MATCH(A208,'Semrush Data'!$A$1:$A$20000,0),MATCH("Intent",'Semrush Data'!$A$1:$Z$1,0)),"")</f>
        <v/>
      </c>
    </row>
    <row r="209" ht="15" customHeight="1" s="37">
      <c r="A209" s="42" t="inlineStr">
        <is>
          <t>hair oil for dry hair</t>
        </is>
      </c>
      <c r="B209" s="42" t="inlineStr">
        <is>
          <t>Category / concern</t>
        </is>
      </c>
      <c r="C209" s="42" t="n">
        <v>1</v>
      </c>
      <c r="D209" s="42" t="n">
        <v>3</v>
      </c>
      <c r="E209" s="42" t="n">
        <v>1</v>
      </c>
      <c r="F209" s="42" t="inlineStr">
        <is>
          <t>VD-089</t>
        </is>
      </c>
      <c r="G209" s="55">
        <f>IFERROR(INDEX('Semrush Data'!$A$1:$Z$20000,MATCH(A209,'Semrush Data'!$A$1:$A$20000,0),MATCH("Volume",'Semrush Data'!$A$1:$Z$1,0)),"")</f>
        <v/>
      </c>
      <c r="H209" s="42">
        <f>IFERROR(INDEX('Semrush Data'!$A$1:$Z$20000,MATCH(A209,'Semrush Data'!$A$1:$A$20000,0),MATCH("Keyword Difficulty*",'Semrush Data'!$A$1:$Z$1,0)),"")</f>
        <v/>
      </c>
      <c r="I209" s="56">
        <f>IFERROR(INDEX('Semrush Data'!$A$1:$Z$20000,MATCH(A209,'Semrush Data'!$A$1:$A$20000,0),MATCH("CPC*",'Semrush Data'!$A$1:$Z$1,0)),"")</f>
        <v/>
      </c>
      <c r="J209" s="42">
        <f>IFERROR(INDEX('Semrush Data'!$A$1:$Z$20000,MATCH(A209,'Semrush Data'!$A$1:$A$20000,0),MATCH("Intent",'Semrush Data'!$A$1:$Z$1,0)),"")</f>
        <v/>
      </c>
    </row>
    <row r="210" ht="15" customHeight="1" s="37">
      <c r="A210" s="42" t="inlineStr">
        <is>
          <t>hair oil for hair loss</t>
        </is>
      </c>
      <c r="B210" s="42" t="inlineStr">
        <is>
          <t>Category / concern</t>
        </is>
      </c>
      <c r="C210" s="42" t="n">
        <v>1</v>
      </c>
      <c r="D210" s="42" t="n">
        <v>3</v>
      </c>
      <c r="E210" s="42" t="n">
        <v>4</v>
      </c>
      <c r="F210" s="42" t="inlineStr">
        <is>
          <t>VD-002, VD-032, VD-033, VD-122</t>
        </is>
      </c>
      <c r="G210" s="55">
        <f>IFERROR(INDEX('Semrush Data'!$A$1:$Z$20000,MATCH(A210,'Semrush Data'!$A$1:$A$20000,0),MATCH("Volume",'Semrush Data'!$A$1:$Z$1,0)),"")</f>
        <v/>
      </c>
      <c r="H210" s="42">
        <f>IFERROR(INDEX('Semrush Data'!$A$1:$Z$20000,MATCH(A210,'Semrush Data'!$A$1:$A$20000,0),MATCH("Keyword Difficulty*",'Semrush Data'!$A$1:$Z$1,0)),"")</f>
        <v/>
      </c>
      <c r="I210" s="56">
        <f>IFERROR(INDEX('Semrush Data'!$A$1:$Z$20000,MATCH(A210,'Semrush Data'!$A$1:$A$20000,0),MATCH("CPC*",'Semrush Data'!$A$1:$Z$1,0)),"")</f>
        <v/>
      </c>
      <c r="J210" s="42">
        <f>IFERROR(INDEX('Semrush Data'!$A$1:$Z$20000,MATCH(A210,'Semrush Data'!$A$1:$A$20000,0),MATCH("Intent",'Semrush Data'!$A$1:$Z$1,0)),"")</f>
        <v/>
      </c>
    </row>
    <row r="211" ht="15" customHeight="1" s="37">
      <c r="A211" s="42" t="inlineStr">
        <is>
          <t>hair serum for frizzy hair</t>
        </is>
      </c>
      <c r="B211" s="42" t="inlineStr">
        <is>
          <t>Category / concern</t>
        </is>
      </c>
      <c r="C211" s="42" t="n">
        <v>1</v>
      </c>
      <c r="D211" s="42" t="n">
        <v>3</v>
      </c>
      <c r="E211" s="42" t="n">
        <v>1</v>
      </c>
      <c r="F211" s="42" t="inlineStr">
        <is>
          <t>VD-022</t>
        </is>
      </c>
      <c r="G211" s="55">
        <f>IFERROR(INDEX('Semrush Data'!$A$1:$Z$20000,MATCH(A211,'Semrush Data'!$A$1:$A$20000,0),MATCH("Volume",'Semrush Data'!$A$1:$Z$1,0)),"")</f>
        <v/>
      </c>
      <c r="H211" s="42">
        <f>IFERROR(INDEX('Semrush Data'!$A$1:$Z$20000,MATCH(A211,'Semrush Data'!$A$1:$A$20000,0),MATCH("Keyword Difficulty*",'Semrush Data'!$A$1:$Z$1,0)),"")</f>
        <v/>
      </c>
      <c r="I211" s="56">
        <f>IFERROR(INDEX('Semrush Data'!$A$1:$Z$20000,MATCH(A211,'Semrush Data'!$A$1:$A$20000,0),MATCH("CPC*",'Semrush Data'!$A$1:$Z$1,0)),"")</f>
        <v/>
      </c>
      <c r="J211" s="42">
        <f>IFERROR(INDEX('Semrush Data'!$A$1:$Z$20000,MATCH(A211,'Semrush Data'!$A$1:$A$20000,0),MATCH("Intent",'Semrush Data'!$A$1:$Z$1,0)),"")</f>
        <v/>
      </c>
    </row>
    <row r="212" ht="15" customHeight="1" s="37">
      <c r="A212" s="42" t="inlineStr">
        <is>
          <t>hair treatment for dry hair</t>
        </is>
      </c>
      <c r="B212" s="42" t="inlineStr">
        <is>
          <t>Category / concern</t>
        </is>
      </c>
      <c r="C212" s="42" t="n">
        <v>1</v>
      </c>
      <c r="D212" s="42" t="n">
        <v>3</v>
      </c>
      <c r="E212" s="42" t="n">
        <v>2</v>
      </c>
      <c r="F212" s="42" t="inlineStr">
        <is>
          <t>VD-112, VD-125</t>
        </is>
      </c>
      <c r="G212" s="55">
        <f>IFERROR(INDEX('Semrush Data'!$A$1:$Z$20000,MATCH(A212,'Semrush Data'!$A$1:$A$20000,0),MATCH("Volume",'Semrush Data'!$A$1:$Z$1,0)),"")</f>
        <v/>
      </c>
      <c r="H212" s="42">
        <f>IFERROR(INDEX('Semrush Data'!$A$1:$Z$20000,MATCH(A212,'Semrush Data'!$A$1:$A$20000,0),MATCH("Keyword Difficulty*",'Semrush Data'!$A$1:$Z$1,0)),"")</f>
        <v/>
      </c>
      <c r="I212" s="56">
        <f>IFERROR(INDEX('Semrush Data'!$A$1:$Z$20000,MATCH(A212,'Semrush Data'!$A$1:$A$20000,0),MATCH("CPC*",'Semrush Data'!$A$1:$Z$1,0)),"")</f>
        <v/>
      </c>
      <c r="J212" s="42">
        <f>IFERROR(INDEX('Semrush Data'!$A$1:$Z$20000,MATCH(A212,'Semrush Data'!$A$1:$A$20000,0),MATCH("Intent",'Semrush Data'!$A$1:$Z$1,0)),"")</f>
        <v/>
      </c>
    </row>
    <row r="213" ht="15" customHeight="1" s="37">
      <c r="A213" s="42" t="inlineStr">
        <is>
          <t>lip balm for dry lips</t>
        </is>
      </c>
      <c r="B213" s="42" t="inlineStr">
        <is>
          <t>Category / concern</t>
        </is>
      </c>
      <c r="C213" s="42" t="n">
        <v>1</v>
      </c>
      <c r="D213" s="42" t="n">
        <v>3</v>
      </c>
      <c r="E213" s="42" t="n">
        <v>10</v>
      </c>
      <c r="F213" s="42" t="inlineStr">
        <is>
          <t>VD-010, VD-015, VD-035, VD-040, VD-044, VD-045, VD-046, VD-106, VD-117, VD-132</t>
        </is>
      </c>
      <c r="G213" s="55">
        <f>IFERROR(INDEX('Semrush Data'!$A$1:$Z$20000,MATCH(A213,'Semrush Data'!$A$1:$A$20000,0),MATCH("Volume",'Semrush Data'!$A$1:$Z$1,0)),"")</f>
        <v/>
      </c>
      <c r="H213" s="42">
        <f>IFERROR(INDEX('Semrush Data'!$A$1:$Z$20000,MATCH(A213,'Semrush Data'!$A$1:$A$20000,0),MATCH("Keyword Difficulty*",'Semrush Data'!$A$1:$Z$1,0)),"")</f>
        <v/>
      </c>
      <c r="I213" s="56">
        <f>IFERROR(INDEX('Semrush Data'!$A$1:$Z$20000,MATCH(A213,'Semrush Data'!$A$1:$A$20000,0),MATCH("CPC*",'Semrush Data'!$A$1:$Z$1,0)),"")</f>
        <v/>
      </c>
      <c r="J213" s="42">
        <f>IFERROR(INDEX('Semrush Data'!$A$1:$Z$20000,MATCH(A213,'Semrush Data'!$A$1:$A$20000,0),MATCH("Intent",'Semrush Data'!$A$1:$Z$1,0)),"")</f>
        <v/>
      </c>
    </row>
    <row r="214" ht="15" customHeight="1" s="37">
      <c r="A214" s="42" t="inlineStr">
        <is>
          <t>moisturiser for dark circles</t>
        </is>
      </c>
      <c r="B214" s="42" t="inlineStr">
        <is>
          <t>Category / concern</t>
        </is>
      </c>
      <c r="C214" s="42" t="n">
        <v>1</v>
      </c>
      <c r="D214" s="42" t="n">
        <v>3</v>
      </c>
      <c r="E214" s="42" t="n">
        <v>1</v>
      </c>
      <c r="F214" s="42" t="inlineStr">
        <is>
          <t>VD-043</t>
        </is>
      </c>
      <c r="G214" s="55">
        <f>IFERROR(INDEX('Semrush Data'!$A$1:$Z$20000,MATCH(A214,'Semrush Data'!$A$1:$A$20000,0),MATCH("Volume",'Semrush Data'!$A$1:$Z$1,0)),"")</f>
        <v/>
      </c>
      <c r="H214" s="42">
        <f>IFERROR(INDEX('Semrush Data'!$A$1:$Z$20000,MATCH(A214,'Semrush Data'!$A$1:$A$20000,0),MATCH("Keyword Difficulty*",'Semrush Data'!$A$1:$Z$1,0)),"")</f>
        <v/>
      </c>
      <c r="I214" s="56">
        <f>IFERROR(INDEX('Semrush Data'!$A$1:$Z$20000,MATCH(A214,'Semrush Data'!$A$1:$A$20000,0),MATCH("CPC*",'Semrush Data'!$A$1:$Z$1,0)),"")</f>
        <v/>
      </c>
      <c r="J214" s="42">
        <f>IFERROR(INDEX('Semrush Data'!$A$1:$Z$20000,MATCH(A214,'Semrush Data'!$A$1:$A$20000,0),MATCH("Intent",'Semrush Data'!$A$1:$Z$1,0)),"")</f>
        <v/>
      </c>
    </row>
    <row r="215" ht="15" customHeight="1" s="37">
      <c r="A215" s="42" t="inlineStr">
        <is>
          <t>moisturiser for dry skin</t>
        </is>
      </c>
      <c r="B215" s="42" t="inlineStr">
        <is>
          <t>Category / concern</t>
        </is>
      </c>
      <c r="C215" s="42" t="n">
        <v>1</v>
      </c>
      <c r="D215" s="42" t="n">
        <v>3</v>
      </c>
      <c r="E215" s="42" t="n">
        <v>3</v>
      </c>
      <c r="F215" s="42" t="inlineStr">
        <is>
          <t>VD-007, VD-086, VD-093</t>
        </is>
      </c>
      <c r="G215" s="55">
        <f>IFERROR(INDEX('Semrush Data'!$A$1:$Z$20000,MATCH(A215,'Semrush Data'!$A$1:$A$20000,0),MATCH("Volume",'Semrush Data'!$A$1:$Z$1,0)),"")</f>
        <v/>
      </c>
      <c r="H215" s="42">
        <f>IFERROR(INDEX('Semrush Data'!$A$1:$Z$20000,MATCH(A215,'Semrush Data'!$A$1:$A$20000,0),MATCH("Keyword Difficulty*",'Semrush Data'!$A$1:$Z$1,0)),"")</f>
        <v/>
      </c>
      <c r="I215" s="56">
        <f>IFERROR(INDEX('Semrush Data'!$A$1:$Z$20000,MATCH(A215,'Semrush Data'!$A$1:$A$20000,0),MATCH("CPC*",'Semrush Data'!$A$1:$Z$1,0)),"")</f>
        <v/>
      </c>
      <c r="J215" s="42">
        <f>IFERROR(INDEX('Semrush Data'!$A$1:$Z$20000,MATCH(A215,'Semrush Data'!$A$1:$A$20000,0),MATCH("Intent",'Semrush Data'!$A$1:$Z$1,0)),"")</f>
        <v/>
      </c>
    </row>
    <row r="216" ht="15" customHeight="1" s="37">
      <c r="A216" s="42" t="inlineStr">
        <is>
          <t>moisturiser for skin nourishment</t>
        </is>
      </c>
      <c r="B216" s="42" t="inlineStr">
        <is>
          <t>Category / concern</t>
        </is>
      </c>
      <c r="C216" s="42" t="n">
        <v>1</v>
      </c>
      <c r="D216" s="42" t="n">
        <v>3</v>
      </c>
      <c r="E216" s="42" t="n">
        <v>3</v>
      </c>
      <c r="F216" s="42" t="inlineStr">
        <is>
          <t>VD-020, VD-124, VD-133</t>
        </is>
      </c>
      <c r="G216" s="55">
        <f>IFERROR(INDEX('Semrush Data'!$A$1:$Z$20000,MATCH(A216,'Semrush Data'!$A$1:$A$20000,0),MATCH("Volume",'Semrush Data'!$A$1:$Z$1,0)),"")</f>
        <v/>
      </c>
      <c r="H216" s="42">
        <f>IFERROR(INDEX('Semrush Data'!$A$1:$Z$20000,MATCH(A216,'Semrush Data'!$A$1:$A$20000,0),MATCH("Keyword Difficulty*",'Semrush Data'!$A$1:$Z$1,0)),"")</f>
        <v/>
      </c>
      <c r="I216" s="56">
        <f>IFERROR(INDEX('Semrush Data'!$A$1:$Z$20000,MATCH(A216,'Semrush Data'!$A$1:$A$20000,0),MATCH("CPC*",'Semrush Data'!$A$1:$Z$1,0)),"")</f>
        <v/>
      </c>
      <c r="J216" s="42">
        <f>IFERROR(INDEX('Semrush Data'!$A$1:$Z$20000,MATCH(A216,'Semrush Data'!$A$1:$A$20000,0),MATCH("Intent",'Semrush Data'!$A$1:$Z$1,0)),"")</f>
        <v/>
      </c>
    </row>
    <row r="217" ht="15" customHeight="1" s="37">
      <c r="A217" s="42" t="inlineStr">
        <is>
          <t>natural body butter uk</t>
        </is>
      </c>
      <c r="B217" s="42" t="inlineStr">
        <is>
          <t>Category / concern</t>
        </is>
      </c>
      <c r="C217" s="42" t="n">
        <v>1</v>
      </c>
      <c r="D217" s="42" t="n">
        <v>3</v>
      </c>
      <c r="E217" s="42" t="n">
        <v>3</v>
      </c>
      <c r="F217" s="42" t="inlineStr">
        <is>
          <t>VD-082, VD-091, VD-128</t>
        </is>
      </c>
      <c r="G217" s="55">
        <f>IFERROR(INDEX('Semrush Data'!$A$1:$Z$20000,MATCH(A217,'Semrush Data'!$A$1:$A$20000,0),MATCH("Volume",'Semrush Data'!$A$1:$Z$1,0)),"")</f>
        <v/>
      </c>
      <c r="H217" s="42">
        <f>IFERROR(INDEX('Semrush Data'!$A$1:$Z$20000,MATCH(A217,'Semrush Data'!$A$1:$A$20000,0),MATCH("Keyword Difficulty*",'Semrush Data'!$A$1:$Z$1,0)),"")</f>
        <v/>
      </c>
      <c r="I217" s="56">
        <f>IFERROR(INDEX('Semrush Data'!$A$1:$Z$20000,MATCH(A217,'Semrush Data'!$A$1:$A$20000,0),MATCH("CPC*",'Semrush Data'!$A$1:$Z$1,0)),"")</f>
        <v/>
      </c>
      <c r="J217" s="42">
        <f>IFERROR(INDEX('Semrush Data'!$A$1:$Z$20000,MATCH(A217,'Semrush Data'!$A$1:$A$20000,0),MATCH("Intent",'Semrush Data'!$A$1:$Z$1,0)),"")</f>
        <v/>
      </c>
    </row>
    <row r="218" ht="15" customHeight="1" s="37">
      <c r="A218" s="42" t="inlineStr">
        <is>
          <t>natural body care uk</t>
        </is>
      </c>
      <c r="B218" s="42" t="inlineStr">
        <is>
          <t>Category / concern</t>
        </is>
      </c>
      <c r="C218" s="42" t="n">
        <v>1</v>
      </c>
      <c r="D218" s="42" t="n">
        <v>3</v>
      </c>
      <c r="E218" s="42" t="n">
        <v>9</v>
      </c>
      <c r="F218" s="42" t="inlineStr">
        <is>
          <t>VD-094, VD-102, VD-107, VD-108, VD-109, VD-110, VD-118, VD-121, VD-129</t>
        </is>
      </c>
      <c r="G218" s="55">
        <f>IFERROR(INDEX('Semrush Data'!$A$1:$Z$20000,MATCH(A218,'Semrush Data'!$A$1:$A$20000,0),MATCH("Volume",'Semrush Data'!$A$1:$Z$1,0)),"")</f>
        <v/>
      </c>
      <c r="H218" s="42">
        <f>IFERROR(INDEX('Semrush Data'!$A$1:$Z$20000,MATCH(A218,'Semrush Data'!$A$1:$A$20000,0),MATCH("Keyword Difficulty*",'Semrush Data'!$A$1:$Z$1,0)),"")</f>
        <v/>
      </c>
      <c r="I218" s="56">
        <f>IFERROR(INDEX('Semrush Data'!$A$1:$Z$20000,MATCH(A218,'Semrush Data'!$A$1:$A$20000,0),MATCH("CPC*",'Semrush Data'!$A$1:$Z$1,0)),"")</f>
        <v/>
      </c>
      <c r="J218" s="42">
        <f>IFERROR(INDEX('Semrush Data'!$A$1:$Z$20000,MATCH(A218,'Semrush Data'!$A$1:$A$20000,0),MATCH("Intent",'Semrush Data'!$A$1:$Z$1,0)),"")</f>
        <v/>
      </c>
    </row>
    <row r="219" ht="15" customHeight="1" s="37">
      <c r="A219" s="42" t="inlineStr">
        <is>
          <t>natural body lotion uk</t>
        </is>
      </c>
      <c r="B219" s="42" t="inlineStr">
        <is>
          <t>Category / concern</t>
        </is>
      </c>
      <c r="C219" s="42" t="n">
        <v>1</v>
      </c>
      <c r="D219" s="42" t="n">
        <v>3</v>
      </c>
      <c r="E219" s="42" t="n">
        <v>4</v>
      </c>
      <c r="F219" s="42" t="inlineStr">
        <is>
          <t>VD-016, VD-025, VD-030, VD-114</t>
        </is>
      </c>
      <c r="G219" s="55">
        <f>IFERROR(INDEX('Semrush Data'!$A$1:$Z$20000,MATCH(A219,'Semrush Data'!$A$1:$A$20000,0),MATCH("Volume",'Semrush Data'!$A$1:$Z$1,0)),"")</f>
        <v/>
      </c>
      <c r="H219" s="42">
        <f>IFERROR(INDEX('Semrush Data'!$A$1:$Z$20000,MATCH(A219,'Semrush Data'!$A$1:$A$20000,0),MATCH("Keyword Difficulty*",'Semrush Data'!$A$1:$Z$1,0)),"")</f>
        <v/>
      </c>
      <c r="I219" s="56">
        <f>IFERROR(INDEX('Semrush Data'!$A$1:$Z$20000,MATCH(A219,'Semrush Data'!$A$1:$A$20000,0),MATCH("CPC*",'Semrush Data'!$A$1:$Z$1,0)),"")</f>
        <v/>
      </c>
      <c r="J219" s="42">
        <f>IFERROR(INDEX('Semrush Data'!$A$1:$Z$20000,MATCH(A219,'Semrush Data'!$A$1:$A$20000,0),MATCH("Intent",'Semrush Data'!$A$1:$Z$1,0)),"")</f>
        <v/>
      </c>
    </row>
    <row r="220" ht="15" customHeight="1" s="37">
      <c r="A220" s="42" t="inlineStr">
        <is>
          <t>natural body oil uk</t>
        </is>
      </c>
      <c r="B220" s="42" t="inlineStr">
        <is>
          <t>Category / concern</t>
        </is>
      </c>
      <c r="C220" s="42" t="n">
        <v>1</v>
      </c>
      <c r="D220" s="42" t="n">
        <v>3</v>
      </c>
      <c r="E220" s="42" t="n">
        <v>1</v>
      </c>
      <c r="F220" s="42" t="inlineStr">
        <is>
          <t>VD-097</t>
        </is>
      </c>
      <c r="G220" s="55">
        <f>IFERROR(INDEX('Semrush Data'!$A$1:$Z$20000,MATCH(A220,'Semrush Data'!$A$1:$A$20000,0),MATCH("Volume",'Semrush Data'!$A$1:$Z$1,0)),"")</f>
        <v/>
      </c>
      <c r="H220" s="42">
        <f>IFERROR(INDEX('Semrush Data'!$A$1:$Z$20000,MATCH(A220,'Semrush Data'!$A$1:$A$20000,0),MATCH("Keyword Difficulty*",'Semrush Data'!$A$1:$Z$1,0)),"")</f>
        <v/>
      </c>
      <c r="I220" s="56">
        <f>IFERROR(INDEX('Semrush Data'!$A$1:$Z$20000,MATCH(A220,'Semrush Data'!$A$1:$A$20000,0),MATCH("CPC*",'Semrush Data'!$A$1:$Z$1,0)),"")</f>
        <v/>
      </c>
      <c r="J220" s="42">
        <f>IFERROR(INDEX('Semrush Data'!$A$1:$Z$20000,MATCH(A220,'Semrush Data'!$A$1:$A$20000,0),MATCH("Intent",'Semrush Data'!$A$1:$Z$1,0)),"")</f>
        <v/>
      </c>
    </row>
    <row r="221" ht="15" customHeight="1" s="37">
      <c r="A221" s="42" t="inlineStr">
        <is>
          <t>natural body scrub uk</t>
        </is>
      </c>
      <c r="B221" s="42" t="inlineStr">
        <is>
          <t>Category / concern</t>
        </is>
      </c>
      <c r="C221" s="42" t="n">
        <v>1</v>
      </c>
      <c r="D221" s="42" t="n">
        <v>3</v>
      </c>
      <c r="E221" s="42" t="n">
        <v>3</v>
      </c>
      <c r="F221" s="42" t="inlineStr">
        <is>
          <t>VD-026, VD-085, VD-103</t>
        </is>
      </c>
      <c r="G221" s="55">
        <f>IFERROR(INDEX('Semrush Data'!$A$1:$Z$20000,MATCH(A221,'Semrush Data'!$A$1:$A$20000,0),MATCH("Volume",'Semrush Data'!$A$1:$Z$1,0)),"")</f>
        <v/>
      </c>
      <c r="H221" s="42">
        <f>IFERROR(INDEX('Semrush Data'!$A$1:$Z$20000,MATCH(A221,'Semrush Data'!$A$1:$A$20000,0),MATCH("Keyword Difficulty*",'Semrush Data'!$A$1:$Z$1,0)),"")</f>
        <v/>
      </c>
      <c r="I221" s="56">
        <f>IFERROR(INDEX('Semrush Data'!$A$1:$Z$20000,MATCH(A221,'Semrush Data'!$A$1:$A$20000,0),MATCH("CPC*",'Semrush Data'!$A$1:$Z$1,0)),"")</f>
        <v/>
      </c>
      <c r="J221" s="42">
        <f>IFERROR(INDEX('Semrush Data'!$A$1:$Z$20000,MATCH(A221,'Semrush Data'!$A$1:$A$20000,0),MATCH("Intent",'Semrush Data'!$A$1:$Z$1,0)),"")</f>
        <v/>
      </c>
    </row>
    <row r="222" ht="15" customHeight="1" s="37">
      <c r="A222" s="42" t="inlineStr">
        <is>
          <t>natural body wash uk</t>
        </is>
      </c>
      <c r="B222" s="42" t="inlineStr">
        <is>
          <t>Category / concern</t>
        </is>
      </c>
      <c r="C222" s="42" t="n">
        <v>1</v>
      </c>
      <c r="D222" s="42" t="n">
        <v>3</v>
      </c>
      <c r="E222" s="42" t="n">
        <v>7</v>
      </c>
      <c r="F222" s="42" t="inlineStr">
        <is>
          <t>VD-003, VD-008, VD-009, VD-011, VD-028, VD-084, VD-096</t>
        </is>
      </c>
      <c r="G222" s="55">
        <f>IFERROR(INDEX('Semrush Data'!$A$1:$Z$20000,MATCH(A222,'Semrush Data'!$A$1:$A$20000,0),MATCH("Volume",'Semrush Data'!$A$1:$Z$1,0)),"")</f>
        <v/>
      </c>
      <c r="H222" s="42">
        <f>IFERROR(INDEX('Semrush Data'!$A$1:$Z$20000,MATCH(A222,'Semrush Data'!$A$1:$A$20000,0),MATCH("Keyword Difficulty*",'Semrush Data'!$A$1:$Z$1,0)),"")</f>
        <v/>
      </c>
      <c r="I222" s="56">
        <f>IFERROR(INDEX('Semrush Data'!$A$1:$Z$20000,MATCH(A222,'Semrush Data'!$A$1:$A$20000,0),MATCH("CPC*",'Semrush Data'!$A$1:$Z$1,0)),"")</f>
        <v/>
      </c>
      <c r="J222" s="42">
        <f>IFERROR(INDEX('Semrush Data'!$A$1:$Z$20000,MATCH(A222,'Semrush Data'!$A$1:$A$20000,0),MATCH("Intent",'Semrush Data'!$A$1:$Z$1,0)),"")</f>
        <v/>
      </c>
    </row>
    <row r="223" ht="15" customHeight="1" s="37">
      <c r="A223" s="42" t="inlineStr">
        <is>
          <t>natural conditioner uk</t>
        </is>
      </c>
      <c r="B223" s="42" t="inlineStr">
        <is>
          <t>Category / concern</t>
        </is>
      </c>
      <c r="C223" s="42" t="n">
        <v>1</v>
      </c>
      <c r="D223" s="42" t="n">
        <v>3</v>
      </c>
      <c r="E223" s="42" t="n">
        <v>2</v>
      </c>
      <c r="F223" s="42" t="inlineStr">
        <is>
          <t>VD-012, VD-127</t>
        </is>
      </c>
      <c r="G223" s="55">
        <f>IFERROR(INDEX('Semrush Data'!$A$1:$Z$20000,MATCH(A223,'Semrush Data'!$A$1:$A$20000,0),MATCH("Volume",'Semrush Data'!$A$1:$Z$1,0)),"")</f>
        <v/>
      </c>
      <c r="H223" s="42">
        <f>IFERROR(INDEX('Semrush Data'!$A$1:$Z$20000,MATCH(A223,'Semrush Data'!$A$1:$A$20000,0),MATCH("Keyword Difficulty*",'Semrush Data'!$A$1:$Z$1,0)),"")</f>
        <v/>
      </c>
      <c r="I223" s="56">
        <f>IFERROR(INDEX('Semrush Data'!$A$1:$Z$20000,MATCH(A223,'Semrush Data'!$A$1:$A$20000,0),MATCH("CPC*",'Semrush Data'!$A$1:$Z$1,0)),"")</f>
        <v/>
      </c>
      <c r="J223" s="42">
        <f>IFERROR(INDEX('Semrush Data'!$A$1:$Z$20000,MATCH(A223,'Semrush Data'!$A$1:$A$20000,0),MATCH("Intent",'Semrush Data'!$A$1:$Z$1,0)),"")</f>
        <v/>
      </c>
    </row>
    <row r="224" ht="15" customHeight="1" s="37">
      <c r="A224" s="42" t="inlineStr">
        <is>
          <t>natural deodorant for body hydration</t>
        </is>
      </c>
      <c r="B224" s="42" t="inlineStr">
        <is>
          <t>Category / concern</t>
        </is>
      </c>
      <c r="C224" s="42" t="n">
        <v>1</v>
      </c>
      <c r="D224" s="42" t="n">
        <v>3</v>
      </c>
      <c r="E224" s="42" t="n">
        <v>2</v>
      </c>
      <c r="F224" s="42" t="inlineStr">
        <is>
          <t>VD-004, VD-029</t>
        </is>
      </c>
      <c r="G224" s="55">
        <f>IFERROR(INDEX('Semrush Data'!$A$1:$Z$20000,MATCH(A224,'Semrush Data'!$A$1:$A$20000,0),MATCH("Volume",'Semrush Data'!$A$1:$Z$1,0)),"")</f>
        <v/>
      </c>
      <c r="H224" s="42">
        <f>IFERROR(INDEX('Semrush Data'!$A$1:$Z$20000,MATCH(A224,'Semrush Data'!$A$1:$A$20000,0),MATCH("Keyword Difficulty*",'Semrush Data'!$A$1:$Z$1,0)),"")</f>
        <v/>
      </c>
      <c r="I224" s="56">
        <f>IFERROR(INDEX('Semrush Data'!$A$1:$Z$20000,MATCH(A224,'Semrush Data'!$A$1:$A$20000,0),MATCH("CPC*",'Semrush Data'!$A$1:$Z$1,0)),"")</f>
        <v/>
      </c>
      <c r="J224" s="42">
        <f>IFERROR(INDEX('Semrush Data'!$A$1:$Z$20000,MATCH(A224,'Semrush Data'!$A$1:$A$20000,0),MATCH("Intent",'Semrush Data'!$A$1:$Z$1,0)),"")</f>
        <v/>
      </c>
    </row>
    <row r="225" ht="15" customHeight="1" s="37">
      <c r="A225" s="42" t="inlineStr">
        <is>
          <t>natural face mask uk</t>
        </is>
      </c>
      <c r="B225" s="42" t="inlineStr">
        <is>
          <t>Category / concern</t>
        </is>
      </c>
      <c r="C225" s="42" t="n">
        <v>1</v>
      </c>
      <c r="D225" s="42" t="n">
        <v>3</v>
      </c>
      <c r="E225" s="42" t="n">
        <v>4</v>
      </c>
      <c r="F225" s="42" t="inlineStr">
        <is>
          <t>VD-018, VD-019, VD-024, VD-083</t>
        </is>
      </c>
      <c r="G225" s="55">
        <f>IFERROR(INDEX('Semrush Data'!$A$1:$Z$20000,MATCH(A225,'Semrush Data'!$A$1:$A$20000,0),MATCH("Volume",'Semrush Data'!$A$1:$Z$1,0)),"")</f>
        <v/>
      </c>
      <c r="H225" s="42">
        <f>IFERROR(INDEX('Semrush Data'!$A$1:$Z$20000,MATCH(A225,'Semrush Data'!$A$1:$A$20000,0),MATCH("Keyword Difficulty*",'Semrush Data'!$A$1:$Z$1,0)),"")</f>
        <v/>
      </c>
      <c r="I225" s="56">
        <f>IFERROR(INDEX('Semrush Data'!$A$1:$Z$20000,MATCH(A225,'Semrush Data'!$A$1:$A$20000,0),MATCH("CPC*",'Semrush Data'!$A$1:$Z$1,0)),"")</f>
        <v/>
      </c>
      <c r="J225" s="42">
        <f>IFERROR(INDEX('Semrush Data'!$A$1:$Z$20000,MATCH(A225,'Semrush Data'!$A$1:$A$20000,0),MATCH("Intent",'Semrush Data'!$A$1:$Z$1,0)),"")</f>
        <v/>
      </c>
    </row>
    <row r="226" ht="15" customHeight="1" s="37">
      <c r="A226" s="42" t="inlineStr">
        <is>
          <t>natural face serum uk</t>
        </is>
      </c>
      <c r="B226" s="42" t="inlineStr">
        <is>
          <t>Category / concern</t>
        </is>
      </c>
      <c r="C226" s="42" t="n">
        <v>1</v>
      </c>
      <c r="D226" s="42" t="n">
        <v>3</v>
      </c>
      <c r="E226" s="42" t="n">
        <v>7</v>
      </c>
      <c r="F226" s="42" t="inlineStr">
        <is>
          <t>VD-023, VD-038, VD-039, VD-087, VD-092, VD-120, VD-134</t>
        </is>
      </c>
      <c r="G226" s="55">
        <f>IFERROR(INDEX('Semrush Data'!$A$1:$Z$20000,MATCH(A226,'Semrush Data'!$A$1:$A$20000,0),MATCH("Volume",'Semrush Data'!$A$1:$Z$1,0)),"")</f>
        <v/>
      </c>
      <c r="H226" s="42">
        <f>IFERROR(INDEX('Semrush Data'!$A$1:$Z$20000,MATCH(A226,'Semrush Data'!$A$1:$A$20000,0),MATCH("Keyword Difficulty*",'Semrush Data'!$A$1:$Z$1,0)),"")</f>
        <v/>
      </c>
      <c r="I226" s="56">
        <f>IFERROR(INDEX('Semrush Data'!$A$1:$Z$20000,MATCH(A226,'Semrush Data'!$A$1:$A$20000,0),MATCH("CPC*",'Semrush Data'!$A$1:$Z$1,0)),"")</f>
        <v/>
      </c>
      <c r="J226" s="42">
        <f>IFERROR(INDEX('Semrush Data'!$A$1:$Z$20000,MATCH(A226,'Semrush Data'!$A$1:$A$20000,0),MATCH("Intent",'Semrush Data'!$A$1:$Z$1,0)),"")</f>
        <v/>
      </c>
    </row>
    <row r="227" ht="15" customHeight="1" s="37">
      <c r="A227" s="42" t="inlineStr">
        <is>
          <t>natural face wash uk</t>
        </is>
      </c>
      <c r="B227" s="42" t="inlineStr">
        <is>
          <t>Category / concern</t>
        </is>
      </c>
      <c r="C227" s="42" t="n">
        <v>1</v>
      </c>
      <c r="D227" s="42" t="n">
        <v>3</v>
      </c>
      <c r="E227" s="42" t="n">
        <v>6</v>
      </c>
      <c r="F227" s="42" t="inlineStr">
        <is>
          <t>VD-006, VD-014, VD-027, VD-095, VD-113, VD-123</t>
        </is>
      </c>
      <c r="G227" s="55">
        <f>IFERROR(INDEX('Semrush Data'!$A$1:$Z$20000,MATCH(A227,'Semrush Data'!$A$1:$A$20000,0),MATCH("Volume",'Semrush Data'!$A$1:$Z$1,0)),"")</f>
        <v/>
      </c>
      <c r="H227" s="42">
        <f>IFERROR(INDEX('Semrush Data'!$A$1:$Z$20000,MATCH(A227,'Semrush Data'!$A$1:$A$20000,0),MATCH("Keyword Difficulty*",'Semrush Data'!$A$1:$Z$1,0)),"")</f>
        <v/>
      </c>
      <c r="I227" s="56">
        <f>IFERROR(INDEX('Semrush Data'!$A$1:$Z$20000,MATCH(A227,'Semrush Data'!$A$1:$A$20000,0),MATCH("CPC*",'Semrush Data'!$A$1:$Z$1,0)),"")</f>
        <v/>
      </c>
      <c r="J227" s="42">
        <f>IFERROR(INDEX('Semrush Data'!$A$1:$Z$20000,MATCH(A227,'Semrush Data'!$A$1:$A$20000,0),MATCH("Intent",'Semrush Data'!$A$1:$Z$1,0)),"")</f>
        <v/>
      </c>
    </row>
    <row r="228" ht="15" customHeight="1" s="37">
      <c r="A228" s="42" t="inlineStr">
        <is>
          <t>natural hair accessories uk</t>
        </is>
      </c>
      <c r="B228" s="42" t="inlineStr">
        <is>
          <t>Category / concern</t>
        </is>
      </c>
      <c r="C228" s="42" t="n">
        <v>1</v>
      </c>
      <c r="D228" s="42" t="n">
        <v>3</v>
      </c>
      <c r="E228" s="42" t="n">
        <v>3</v>
      </c>
      <c r="F228" s="42" t="inlineStr">
        <is>
          <t>VD-037, VD-041, VD-042</t>
        </is>
      </c>
      <c r="G228" s="55">
        <f>IFERROR(INDEX('Semrush Data'!$A$1:$Z$20000,MATCH(A228,'Semrush Data'!$A$1:$A$20000,0),MATCH("Volume",'Semrush Data'!$A$1:$Z$1,0)),"")</f>
        <v/>
      </c>
      <c r="H228" s="42">
        <f>IFERROR(INDEX('Semrush Data'!$A$1:$Z$20000,MATCH(A228,'Semrush Data'!$A$1:$A$20000,0),MATCH("Keyword Difficulty*",'Semrush Data'!$A$1:$Z$1,0)),"")</f>
        <v/>
      </c>
      <c r="I228" s="56">
        <f>IFERROR(INDEX('Semrush Data'!$A$1:$Z$20000,MATCH(A228,'Semrush Data'!$A$1:$A$20000,0),MATCH("CPC*",'Semrush Data'!$A$1:$Z$1,0)),"")</f>
        <v/>
      </c>
      <c r="J228" s="42">
        <f>IFERROR(INDEX('Semrush Data'!$A$1:$Z$20000,MATCH(A228,'Semrush Data'!$A$1:$A$20000,0),MATCH("Intent",'Semrush Data'!$A$1:$Z$1,0)),"")</f>
        <v/>
      </c>
    </row>
    <row r="229" ht="15" customHeight="1" s="37">
      <c r="A229" s="42" t="inlineStr">
        <is>
          <t>natural hair mask uk</t>
        </is>
      </c>
      <c r="B229" s="42" t="inlineStr">
        <is>
          <t>Category / concern</t>
        </is>
      </c>
      <c r="C229" s="42" t="n">
        <v>1</v>
      </c>
      <c r="D229" s="42" t="n">
        <v>3</v>
      </c>
      <c r="E229" s="42" t="n">
        <v>1</v>
      </c>
      <c r="F229" s="42" t="inlineStr">
        <is>
          <t>VD-031</t>
        </is>
      </c>
      <c r="G229" s="55">
        <f>IFERROR(INDEX('Semrush Data'!$A$1:$Z$20000,MATCH(A229,'Semrush Data'!$A$1:$A$20000,0),MATCH("Volume",'Semrush Data'!$A$1:$Z$1,0)),"")</f>
        <v/>
      </c>
      <c r="H229" s="42">
        <f>IFERROR(INDEX('Semrush Data'!$A$1:$Z$20000,MATCH(A229,'Semrush Data'!$A$1:$A$20000,0),MATCH("Keyword Difficulty*",'Semrush Data'!$A$1:$Z$1,0)),"")</f>
        <v/>
      </c>
      <c r="I229" s="56">
        <f>IFERROR(INDEX('Semrush Data'!$A$1:$Z$20000,MATCH(A229,'Semrush Data'!$A$1:$A$20000,0),MATCH("CPC*",'Semrush Data'!$A$1:$Z$1,0)),"")</f>
        <v/>
      </c>
      <c r="J229" s="42">
        <f>IFERROR(INDEX('Semrush Data'!$A$1:$Z$20000,MATCH(A229,'Semrush Data'!$A$1:$A$20000,0),MATCH("Intent",'Semrush Data'!$A$1:$Z$1,0)),"")</f>
        <v/>
      </c>
    </row>
    <row r="230" ht="15" customHeight="1" s="37">
      <c r="A230" s="42" t="inlineStr">
        <is>
          <t>natural hair oil uk</t>
        </is>
      </c>
      <c r="B230" s="42" t="inlineStr">
        <is>
          <t>Category / concern</t>
        </is>
      </c>
      <c r="C230" s="42" t="n">
        <v>1</v>
      </c>
      <c r="D230" s="42" t="n">
        <v>3</v>
      </c>
      <c r="E230" s="42" t="n">
        <v>7</v>
      </c>
      <c r="F230" s="42" t="inlineStr">
        <is>
          <t>VD-002, VD-021, VD-032, VD-033, VD-089, VD-090, VD-122</t>
        </is>
      </c>
      <c r="G230" s="55">
        <f>IFERROR(INDEX('Semrush Data'!$A$1:$Z$20000,MATCH(A230,'Semrush Data'!$A$1:$A$20000,0),MATCH("Volume",'Semrush Data'!$A$1:$Z$1,0)),"")</f>
        <v/>
      </c>
      <c r="H230" s="42">
        <f>IFERROR(INDEX('Semrush Data'!$A$1:$Z$20000,MATCH(A230,'Semrush Data'!$A$1:$A$20000,0),MATCH("Keyword Difficulty*",'Semrush Data'!$A$1:$Z$1,0)),"")</f>
        <v/>
      </c>
      <c r="I230" s="56">
        <f>IFERROR(INDEX('Semrush Data'!$A$1:$Z$20000,MATCH(A230,'Semrush Data'!$A$1:$A$20000,0),MATCH("CPC*",'Semrush Data'!$A$1:$Z$1,0)),"")</f>
        <v/>
      </c>
      <c r="J230" s="42">
        <f>IFERROR(INDEX('Semrush Data'!$A$1:$Z$20000,MATCH(A230,'Semrush Data'!$A$1:$A$20000,0),MATCH("Intent",'Semrush Data'!$A$1:$Z$1,0)),"")</f>
        <v/>
      </c>
    </row>
    <row r="231" ht="15" customHeight="1" s="37">
      <c r="A231" s="42" t="inlineStr">
        <is>
          <t>natural hair serum uk</t>
        </is>
      </c>
      <c r="B231" s="42" t="inlineStr">
        <is>
          <t>Category / concern</t>
        </is>
      </c>
      <c r="C231" s="42" t="n">
        <v>1</v>
      </c>
      <c r="D231" s="42" t="n">
        <v>3</v>
      </c>
      <c r="E231" s="42" t="n">
        <v>1</v>
      </c>
      <c r="F231" s="42" t="inlineStr">
        <is>
          <t>VD-022</t>
        </is>
      </c>
      <c r="G231" s="55">
        <f>IFERROR(INDEX('Semrush Data'!$A$1:$Z$20000,MATCH(A231,'Semrush Data'!$A$1:$A$20000,0),MATCH("Volume",'Semrush Data'!$A$1:$Z$1,0)),"")</f>
        <v/>
      </c>
      <c r="H231" s="42">
        <f>IFERROR(INDEX('Semrush Data'!$A$1:$Z$20000,MATCH(A231,'Semrush Data'!$A$1:$A$20000,0),MATCH("Keyword Difficulty*",'Semrush Data'!$A$1:$Z$1,0)),"")</f>
        <v/>
      </c>
      <c r="I231" s="56">
        <f>IFERROR(INDEX('Semrush Data'!$A$1:$Z$20000,MATCH(A231,'Semrush Data'!$A$1:$A$20000,0),MATCH("CPC*",'Semrush Data'!$A$1:$Z$1,0)),"")</f>
        <v/>
      </c>
      <c r="J231" s="42">
        <f>IFERROR(INDEX('Semrush Data'!$A$1:$Z$20000,MATCH(A231,'Semrush Data'!$A$1:$A$20000,0),MATCH("Intent",'Semrush Data'!$A$1:$Z$1,0)),"")</f>
        <v/>
      </c>
    </row>
    <row r="232" ht="15" customHeight="1" s="37">
      <c r="A232" s="42" t="inlineStr">
        <is>
          <t>natural hair treatment uk</t>
        </is>
      </c>
      <c r="B232" s="42" t="inlineStr">
        <is>
          <t>Category / concern</t>
        </is>
      </c>
      <c r="C232" s="42" t="n">
        <v>1</v>
      </c>
      <c r="D232" s="42" t="n">
        <v>3</v>
      </c>
      <c r="E232" s="42" t="n">
        <v>2</v>
      </c>
      <c r="F232" s="42" t="inlineStr">
        <is>
          <t>VD-112, VD-125</t>
        </is>
      </c>
      <c r="G232" s="55">
        <f>IFERROR(INDEX('Semrush Data'!$A$1:$Z$20000,MATCH(A232,'Semrush Data'!$A$1:$A$20000,0),MATCH("Volume",'Semrush Data'!$A$1:$Z$1,0)),"")</f>
        <v/>
      </c>
      <c r="H232" s="42">
        <f>IFERROR(INDEX('Semrush Data'!$A$1:$Z$20000,MATCH(A232,'Semrush Data'!$A$1:$A$20000,0),MATCH("Keyword Difficulty*",'Semrush Data'!$A$1:$Z$1,0)),"")</f>
        <v/>
      </c>
      <c r="I232" s="56">
        <f>IFERROR(INDEX('Semrush Data'!$A$1:$Z$20000,MATCH(A232,'Semrush Data'!$A$1:$A$20000,0),MATCH("CPC*",'Semrush Data'!$A$1:$Z$1,0)),"")</f>
        <v/>
      </c>
      <c r="J232" s="42">
        <f>IFERROR(INDEX('Semrush Data'!$A$1:$Z$20000,MATCH(A232,'Semrush Data'!$A$1:$A$20000,0),MATCH("Intent",'Semrush Data'!$A$1:$Z$1,0)),"")</f>
        <v/>
      </c>
    </row>
    <row r="233" ht="15" customHeight="1" s="37">
      <c r="A233" s="42" t="inlineStr">
        <is>
          <t>natural lip balm uk</t>
        </is>
      </c>
      <c r="B233" s="42" t="inlineStr">
        <is>
          <t>Category / concern</t>
        </is>
      </c>
      <c r="C233" s="42" t="n">
        <v>1</v>
      </c>
      <c r="D233" s="42" t="n">
        <v>3</v>
      </c>
      <c r="E233" s="42" t="n">
        <v>13</v>
      </c>
      <c r="F233" s="42" t="inlineStr">
        <is>
          <t>VD-010, VD-015, VD-035, VD-036, VD-040, VD-044, VD-045, VD-046, VD-106, VD-111, VD-117, VD-131 …</t>
        </is>
      </c>
      <c r="G233" s="55">
        <f>IFERROR(INDEX('Semrush Data'!$A$1:$Z$20000,MATCH(A233,'Semrush Data'!$A$1:$A$20000,0),MATCH("Volume",'Semrush Data'!$A$1:$Z$1,0)),"")</f>
        <v/>
      </c>
      <c r="H233" s="42">
        <f>IFERROR(INDEX('Semrush Data'!$A$1:$Z$20000,MATCH(A233,'Semrush Data'!$A$1:$A$20000,0),MATCH("Keyword Difficulty*",'Semrush Data'!$A$1:$Z$1,0)),"")</f>
        <v/>
      </c>
      <c r="I233" s="56">
        <f>IFERROR(INDEX('Semrush Data'!$A$1:$Z$20000,MATCH(A233,'Semrush Data'!$A$1:$A$20000,0),MATCH("CPC*",'Semrush Data'!$A$1:$Z$1,0)),"")</f>
        <v/>
      </c>
      <c r="J233" s="42">
        <f>IFERROR(INDEX('Semrush Data'!$A$1:$Z$20000,MATCH(A233,'Semrush Data'!$A$1:$A$20000,0),MATCH("Intent",'Semrush Data'!$A$1:$Z$1,0)),"")</f>
        <v/>
      </c>
    </row>
    <row r="234" ht="15" customHeight="1" s="37">
      <c r="A234" s="42" t="inlineStr">
        <is>
          <t>natural moisturiser uk</t>
        </is>
      </c>
      <c r="B234" s="42" t="inlineStr">
        <is>
          <t>Category / concern</t>
        </is>
      </c>
      <c r="C234" s="42" t="n">
        <v>1</v>
      </c>
      <c r="D234" s="42" t="n">
        <v>3</v>
      </c>
      <c r="E234" s="42" t="n">
        <v>7</v>
      </c>
      <c r="F234" s="42" t="inlineStr">
        <is>
          <t>VD-007, VD-020, VD-043, VD-086, VD-093, VD-124, VD-133</t>
        </is>
      </c>
      <c r="G234" s="55">
        <f>IFERROR(INDEX('Semrush Data'!$A$1:$Z$20000,MATCH(A234,'Semrush Data'!$A$1:$A$20000,0),MATCH("Volume",'Semrush Data'!$A$1:$Z$1,0)),"")</f>
        <v/>
      </c>
      <c r="H234" s="42">
        <f>IFERROR(INDEX('Semrush Data'!$A$1:$Z$20000,MATCH(A234,'Semrush Data'!$A$1:$A$20000,0),MATCH("Keyword Difficulty*",'Semrush Data'!$A$1:$Z$1,0)),"")</f>
        <v/>
      </c>
      <c r="I234" s="56">
        <f>IFERROR(INDEX('Semrush Data'!$A$1:$Z$20000,MATCH(A234,'Semrush Data'!$A$1:$A$20000,0),MATCH("CPC*",'Semrush Data'!$A$1:$Z$1,0)),"")</f>
        <v/>
      </c>
      <c r="J234" s="42">
        <f>IFERROR(INDEX('Semrush Data'!$A$1:$Z$20000,MATCH(A234,'Semrush Data'!$A$1:$A$20000,0),MATCH("Intent",'Semrush Data'!$A$1:$Z$1,0)),"")</f>
        <v/>
      </c>
    </row>
    <row r="235" ht="15" customHeight="1" s="37">
      <c r="A235" s="42" t="inlineStr">
        <is>
          <t>natural natural deodorant uk</t>
        </is>
      </c>
      <c r="B235" s="42" t="inlineStr">
        <is>
          <t>Category / concern</t>
        </is>
      </c>
      <c r="C235" s="42" t="n">
        <v>1</v>
      </c>
      <c r="D235" s="42" t="n">
        <v>3</v>
      </c>
      <c r="E235" s="42" t="n">
        <v>2</v>
      </c>
      <c r="F235" s="42" t="inlineStr">
        <is>
          <t>VD-004, VD-029</t>
        </is>
      </c>
      <c r="G235" s="55">
        <f>IFERROR(INDEX('Semrush Data'!$A$1:$Z$20000,MATCH(A235,'Semrush Data'!$A$1:$A$20000,0),MATCH("Volume",'Semrush Data'!$A$1:$Z$1,0)),"")</f>
        <v/>
      </c>
      <c r="H235" s="42">
        <f>IFERROR(INDEX('Semrush Data'!$A$1:$Z$20000,MATCH(A235,'Semrush Data'!$A$1:$A$20000,0),MATCH("Keyword Difficulty*",'Semrush Data'!$A$1:$Z$1,0)),"")</f>
        <v/>
      </c>
      <c r="I235" s="56">
        <f>IFERROR(INDEX('Semrush Data'!$A$1:$Z$20000,MATCH(A235,'Semrush Data'!$A$1:$A$20000,0),MATCH("CPC*",'Semrush Data'!$A$1:$Z$1,0)),"")</f>
        <v/>
      </c>
      <c r="J235" s="42">
        <f>IFERROR(INDEX('Semrush Data'!$A$1:$Z$20000,MATCH(A235,'Semrush Data'!$A$1:$A$20000,0),MATCH("Intent",'Semrush Data'!$A$1:$Z$1,0)),"")</f>
        <v/>
      </c>
    </row>
    <row r="236" ht="15" customHeight="1" s="37">
      <c r="A236" s="42" t="inlineStr">
        <is>
          <t>natural shampoo uk</t>
        </is>
      </c>
      <c r="B236" s="42" t="inlineStr">
        <is>
          <t>Category / concern</t>
        </is>
      </c>
      <c r="C236" s="42" t="n">
        <v>1</v>
      </c>
      <c r="D236" s="42" t="n">
        <v>3</v>
      </c>
      <c r="E236" s="42" t="n">
        <v>4</v>
      </c>
      <c r="F236" s="42" t="inlineStr">
        <is>
          <t>VD-013, VD-034, VD-126, VD-130</t>
        </is>
      </c>
      <c r="G236" s="55">
        <f>IFERROR(INDEX('Semrush Data'!$A$1:$Z$20000,MATCH(A236,'Semrush Data'!$A$1:$A$20000,0),MATCH("Volume",'Semrush Data'!$A$1:$Z$1,0)),"")</f>
        <v/>
      </c>
      <c r="H236" s="42">
        <f>IFERROR(INDEX('Semrush Data'!$A$1:$Z$20000,MATCH(A236,'Semrush Data'!$A$1:$A$20000,0),MATCH("Keyword Difficulty*",'Semrush Data'!$A$1:$Z$1,0)),"")</f>
        <v/>
      </c>
      <c r="I236" s="56">
        <f>IFERROR(INDEX('Semrush Data'!$A$1:$Z$20000,MATCH(A236,'Semrush Data'!$A$1:$A$20000,0),MATCH("CPC*",'Semrush Data'!$A$1:$Z$1,0)),"")</f>
        <v/>
      </c>
      <c r="J236" s="42">
        <f>IFERROR(INDEX('Semrush Data'!$A$1:$Z$20000,MATCH(A236,'Semrush Data'!$A$1:$A$20000,0),MATCH("Intent",'Semrush Data'!$A$1:$Z$1,0)),"")</f>
        <v/>
      </c>
    </row>
    <row r="237" ht="15" customHeight="1" s="37">
      <c r="A237" s="42" t="inlineStr">
        <is>
          <t>natural skincare uk</t>
        </is>
      </c>
      <c r="B237" s="42" t="inlineStr">
        <is>
          <t>Category / concern</t>
        </is>
      </c>
      <c r="C237" s="42" t="n">
        <v>1</v>
      </c>
      <c r="D237" s="42" t="n">
        <v>3</v>
      </c>
      <c r="E237" s="42" t="n">
        <v>8</v>
      </c>
      <c r="F237" s="42" t="inlineStr">
        <is>
          <t>VD-088, VD-098, VD-099, VD-101, VD-104, VD-116, VD-119, VD-135</t>
        </is>
      </c>
      <c r="G237" s="55">
        <f>IFERROR(INDEX('Semrush Data'!$A$1:$Z$20000,MATCH(A237,'Semrush Data'!$A$1:$A$20000,0),MATCH("Volume",'Semrush Data'!$A$1:$Z$1,0)),"")</f>
        <v/>
      </c>
      <c r="H237" s="42">
        <f>IFERROR(INDEX('Semrush Data'!$A$1:$Z$20000,MATCH(A237,'Semrush Data'!$A$1:$A$20000,0),MATCH("Keyword Difficulty*",'Semrush Data'!$A$1:$Z$1,0)),"")</f>
        <v/>
      </c>
      <c r="I237" s="56">
        <f>IFERROR(INDEX('Semrush Data'!$A$1:$Z$20000,MATCH(A237,'Semrush Data'!$A$1:$A$20000,0),MATCH("CPC*",'Semrush Data'!$A$1:$Z$1,0)),"")</f>
        <v/>
      </c>
      <c r="J237" s="42">
        <f>IFERROR(INDEX('Semrush Data'!$A$1:$Z$20000,MATCH(A237,'Semrush Data'!$A$1:$A$20000,0),MATCH("Intent",'Semrush Data'!$A$1:$Z$1,0)),"")</f>
        <v/>
      </c>
    </row>
    <row r="238" ht="15" customHeight="1" s="37">
      <c r="A238" s="42" t="inlineStr">
        <is>
          <t>natural sunscreen uk</t>
        </is>
      </c>
      <c r="B238" s="42" t="inlineStr">
        <is>
          <t>Category / concern</t>
        </is>
      </c>
      <c r="C238" s="42" t="n">
        <v>1</v>
      </c>
      <c r="D238" s="42" t="n">
        <v>3</v>
      </c>
      <c r="E238" s="42" t="n">
        <v>2</v>
      </c>
      <c r="F238" s="42" t="inlineStr">
        <is>
          <t>VD-005, VD-105</t>
        </is>
      </c>
      <c r="G238" s="55">
        <f>IFERROR(INDEX('Semrush Data'!$A$1:$Z$20000,MATCH(A238,'Semrush Data'!$A$1:$A$20000,0),MATCH("Volume",'Semrush Data'!$A$1:$Z$1,0)),"")</f>
        <v/>
      </c>
      <c r="H238" s="42">
        <f>IFERROR(INDEX('Semrush Data'!$A$1:$Z$20000,MATCH(A238,'Semrush Data'!$A$1:$A$20000,0),MATCH("Keyword Difficulty*",'Semrush Data'!$A$1:$Z$1,0)),"")</f>
        <v/>
      </c>
      <c r="I238" s="56">
        <f>IFERROR(INDEX('Semrush Data'!$A$1:$Z$20000,MATCH(A238,'Semrush Data'!$A$1:$A$20000,0),MATCH("CPC*",'Semrush Data'!$A$1:$Z$1,0)),"")</f>
        <v/>
      </c>
      <c r="J238" s="42">
        <f>IFERROR(INDEX('Semrush Data'!$A$1:$Z$20000,MATCH(A238,'Semrush Data'!$A$1:$A$20000,0),MATCH("Intent",'Semrush Data'!$A$1:$Z$1,0)),"")</f>
        <v/>
      </c>
    </row>
    <row r="239" ht="15" customHeight="1" s="37">
      <c r="A239" s="42" t="inlineStr">
        <is>
          <t>natural toner uk</t>
        </is>
      </c>
      <c r="B239" s="42" t="inlineStr">
        <is>
          <t>Category / concern</t>
        </is>
      </c>
      <c r="C239" s="42" t="n">
        <v>1</v>
      </c>
      <c r="D239" s="42" t="n">
        <v>3</v>
      </c>
      <c r="E239" s="42" t="n">
        <v>4</v>
      </c>
      <c r="F239" s="42" t="inlineStr">
        <is>
          <t>VD-001, VD-017, VD-100, VD-115</t>
        </is>
      </c>
      <c r="G239" s="55">
        <f>IFERROR(INDEX('Semrush Data'!$A$1:$Z$20000,MATCH(A239,'Semrush Data'!$A$1:$A$20000,0),MATCH("Volume",'Semrush Data'!$A$1:$Z$1,0)),"")</f>
        <v/>
      </c>
      <c r="H239" s="42">
        <f>IFERROR(INDEX('Semrush Data'!$A$1:$Z$20000,MATCH(A239,'Semrush Data'!$A$1:$A$20000,0),MATCH("Keyword Difficulty*",'Semrush Data'!$A$1:$Z$1,0)),"")</f>
        <v/>
      </c>
      <c r="I239" s="56">
        <f>IFERROR(INDEX('Semrush Data'!$A$1:$Z$20000,MATCH(A239,'Semrush Data'!$A$1:$A$20000,0),MATCH("CPC*",'Semrush Data'!$A$1:$Z$1,0)),"")</f>
        <v/>
      </c>
      <c r="J239" s="42">
        <f>IFERROR(INDEX('Semrush Data'!$A$1:$Z$20000,MATCH(A239,'Semrush Data'!$A$1:$A$20000,0),MATCH("Intent",'Semrush Data'!$A$1:$Z$1,0)),"")</f>
        <v/>
      </c>
    </row>
    <row r="240" ht="15" customHeight="1" s="37">
      <c r="A240" s="42" t="inlineStr">
        <is>
          <t>shampoo for dandruff</t>
        </is>
      </c>
      <c r="B240" s="42" t="inlineStr">
        <is>
          <t>Category / concern</t>
        </is>
      </c>
      <c r="C240" s="42" t="n">
        <v>1</v>
      </c>
      <c r="D240" s="42" t="n">
        <v>3</v>
      </c>
      <c r="E240" s="42" t="n">
        <v>2</v>
      </c>
      <c r="F240" s="42" t="inlineStr">
        <is>
          <t>VD-034, VD-130</t>
        </is>
      </c>
      <c r="G240" s="55">
        <f>IFERROR(INDEX('Semrush Data'!$A$1:$Z$20000,MATCH(A240,'Semrush Data'!$A$1:$A$20000,0),MATCH("Volume",'Semrush Data'!$A$1:$Z$1,0)),"")</f>
        <v/>
      </c>
      <c r="H240" s="42">
        <f>IFERROR(INDEX('Semrush Data'!$A$1:$Z$20000,MATCH(A240,'Semrush Data'!$A$1:$A$20000,0),MATCH("Keyword Difficulty*",'Semrush Data'!$A$1:$Z$1,0)),"")</f>
        <v/>
      </c>
      <c r="I240" s="56">
        <f>IFERROR(INDEX('Semrush Data'!$A$1:$Z$20000,MATCH(A240,'Semrush Data'!$A$1:$A$20000,0),MATCH("CPC*",'Semrush Data'!$A$1:$Z$1,0)),"")</f>
        <v/>
      </c>
      <c r="J240" s="42">
        <f>IFERROR(INDEX('Semrush Data'!$A$1:$Z$20000,MATCH(A240,'Semrush Data'!$A$1:$A$20000,0),MATCH("Intent",'Semrush Data'!$A$1:$Z$1,0)),"")</f>
        <v/>
      </c>
    </row>
    <row r="241" ht="15" customHeight="1" s="37">
      <c r="A241" s="42" t="inlineStr">
        <is>
          <t>shampoo for dry skin</t>
        </is>
      </c>
      <c r="B241" s="42" t="inlineStr">
        <is>
          <t>Category / concern</t>
        </is>
      </c>
      <c r="C241" s="42" t="n">
        <v>1</v>
      </c>
      <c r="D241" s="42" t="n">
        <v>3</v>
      </c>
      <c r="E241" s="42" t="n">
        <v>1</v>
      </c>
      <c r="F241" s="42" t="inlineStr">
        <is>
          <t>VD-013</t>
        </is>
      </c>
      <c r="G241" s="55">
        <f>IFERROR(INDEX('Semrush Data'!$A$1:$Z$20000,MATCH(A241,'Semrush Data'!$A$1:$A$20000,0),MATCH("Volume",'Semrush Data'!$A$1:$Z$1,0)),"")</f>
        <v/>
      </c>
      <c r="H241" s="42">
        <f>IFERROR(INDEX('Semrush Data'!$A$1:$Z$20000,MATCH(A241,'Semrush Data'!$A$1:$A$20000,0),MATCH("Keyword Difficulty*",'Semrush Data'!$A$1:$Z$1,0)),"")</f>
        <v/>
      </c>
      <c r="I241" s="56">
        <f>IFERROR(INDEX('Semrush Data'!$A$1:$Z$20000,MATCH(A241,'Semrush Data'!$A$1:$A$20000,0),MATCH("CPC*",'Semrush Data'!$A$1:$Z$1,0)),"")</f>
        <v/>
      </c>
      <c r="J241" s="42">
        <f>IFERROR(INDEX('Semrush Data'!$A$1:$Z$20000,MATCH(A241,'Semrush Data'!$A$1:$A$20000,0),MATCH("Intent",'Semrush Data'!$A$1:$Z$1,0)),"")</f>
        <v/>
      </c>
    </row>
    <row r="242" ht="15" customHeight="1" s="37">
      <c r="A242" s="42" t="inlineStr">
        <is>
          <t>shampoo for hair nourishment</t>
        </is>
      </c>
      <c r="B242" s="42" t="inlineStr">
        <is>
          <t>Category / concern</t>
        </is>
      </c>
      <c r="C242" s="42" t="n">
        <v>1</v>
      </c>
      <c r="D242" s="42" t="n">
        <v>3</v>
      </c>
      <c r="E242" s="42" t="n">
        <v>1</v>
      </c>
      <c r="F242" s="42" t="inlineStr">
        <is>
          <t>VD-126</t>
        </is>
      </c>
      <c r="G242" s="55">
        <f>IFERROR(INDEX('Semrush Data'!$A$1:$Z$20000,MATCH(A242,'Semrush Data'!$A$1:$A$20000,0),MATCH("Volume",'Semrush Data'!$A$1:$Z$1,0)),"")</f>
        <v/>
      </c>
      <c r="H242" s="42">
        <f>IFERROR(INDEX('Semrush Data'!$A$1:$Z$20000,MATCH(A242,'Semrush Data'!$A$1:$A$20000,0),MATCH("Keyword Difficulty*",'Semrush Data'!$A$1:$Z$1,0)),"")</f>
        <v/>
      </c>
      <c r="I242" s="56">
        <f>IFERROR(INDEX('Semrush Data'!$A$1:$Z$20000,MATCH(A242,'Semrush Data'!$A$1:$A$20000,0),MATCH("CPC*",'Semrush Data'!$A$1:$Z$1,0)),"")</f>
        <v/>
      </c>
      <c r="J242" s="42">
        <f>IFERROR(INDEX('Semrush Data'!$A$1:$Z$20000,MATCH(A242,'Semrush Data'!$A$1:$A$20000,0),MATCH("Intent",'Semrush Data'!$A$1:$Z$1,0)),"")</f>
        <v/>
      </c>
    </row>
    <row r="243" ht="15" customHeight="1" s="37">
      <c r="A243" s="42" t="inlineStr">
        <is>
          <t>skincare for dull skin</t>
        </is>
      </c>
      <c r="B243" s="42" t="inlineStr">
        <is>
          <t>Category / concern</t>
        </is>
      </c>
      <c r="C243" s="42" t="n">
        <v>1</v>
      </c>
      <c r="D243" s="42" t="n">
        <v>3</v>
      </c>
      <c r="E243" s="42" t="n">
        <v>2</v>
      </c>
      <c r="F243" s="42" t="inlineStr">
        <is>
          <t>VD-116, VD-119</t>
        </is>
      </c>
      <c r="G243" s="55">
        <f>IFERROR(INDEX('Semrush Data'!$A$1:$Z$20000,MATCH(A243,'Semrush Data'!$A$1:$A$20000,0),MATCH("Volume",'Semrush Data'!$A$1:$Z$1,0)),"")</f>
        <v/>
      </c>
      <c r="H243" s="42">
        <f>IFERROR(INDEX('Semrush Data'!$A$1:$Z$20000,MATCH(A243,'Semrush Data'!$A$1:$A$20000,0),MATCH("Keyword Difficulty*",'Semrush Data'!$A$1:$Z$1,0)),"")</f>
        <v/>
      </c>
      <c r="I243" s="56">
        <f>IFERROR(INDEX('Semrush Data'!$A$1:$Z$20000,MATCH(A243,'Semrush Data'!$A$1:$A$20000,0),MATCH("CPC*",'Semrush Data'!$A$1:$Z$1,0)),"")</f>
        <v/>
      </c>
      <c r="J243" s="42">
        <f>IFERROR(INDEX('Semrush Data'!$A$1:$Z$20000,MATCH(A243,'Semrush Data'!$A$1:$A$20000,0),MATCH("Intent",'Semrush Data'!$A$1:$Z$1,0)),"")</f>
        <v/>
      </c>
    </row>
    <row r="244" ht="15" customHeight="1" s="37">
      <c r="A244" s="42" t="inlineStr">
        <is>
          <t>skincare for skin nourishment</t>
        </is>
      </c>
      <c r="B244" s="42" t="inlineStr">
        <is>
          <t>Category / concern</t>
        </is>
      </c>
      <c r="C244" s="42" t="n">
        <v>1</v>
      </c>
      <c r="D244" s="42" t="n">
        <v>3</v>
      </c>
      <c r="E244" s="42" t="n">
        <v>5</v>
      </c>
      <c r="F244" s="42" t="inlineStr">
        <is>
          <t>VD-088, VD-098, VD-099, VD-104, VD-135</t>
        </is>
      </c>
      <c r="G244" s="55">
        <f>IFERROR(INDEX('Semrush Data'!$A$1:$Z$20000,MATCH(A244,'Semrush Data'!$A$1:$A$20000,0),MATCH("Volume",'Semrush Data'!$A$1:$Z$1,0)),"")</f>
        <v/>
      </c>
      <c r="H244" s="42">
        <f>IFERROR(INDEX('Semrush Data'!$A$1:$Z$20000,MATCH(A244,'Semrush Data'!$A$1:$A$20000,0),MATCH("Keyword Difficulty*",'Semrush Data'!$A$1:$Z$1,0)),"")</f>
        <v/>
      </c>
      <c r="I244" s="56">
        <f>IFERROR(INDEX('Semrush Data'!$A$1:$Z$20000,MATCH(A244,'Semrush Data'!$A$1:$A$20000,0),MATCH("CPC*",'Semrush Data'!$A$1:$Z$1,0)),"")</f>
        <v/>
      </c>
      <c r="J244" s="42">
        <f>IFERROR(INDEX('Semrush Data'!$A$1:$Z$20000,MATCH(A244,'Semrush Data'!$A$1:$A$20000,0),MATCH("Intent",'Semrush Data'!$A$1:$Z$1,0)),"")</f>
        <v/>
      </c>
    </row>
    <row r="245" ht="15" customHeight="1" s="37">
      <c r="A245" s="42" t="inlineStr">
        <is>
          <t>toner for dry skin</t>
        </is>
      </c>
      <c r="B245" s="42" t="inlineStr">
        <is>
          <t>Category / concern</t>
        </is>
      </c>
      <c r="C245" s="42" t="n">
        <v>1</v>
      </c>
      <c r="D245" s="42" t="n">
        <v>3</v>
      </c>
      <c r="E245" s="42" t="n">
        <v>1</v>
      </c>
      <c r="F245" s="42" t="inlineStr">
        <is>
          <t>VD-017</t>
        </is>
      </c>
      <c r="G245" s="55">
        <f>IFERROR(INDEX('Semrush Data'!$A$1:$Z$20000,MATCH(A245,'Semrush Data'!$A$1:$A$20000,0),MATCH("Volume",'Semrush Data'!$A$1:$Z$1,0)),"")</f>
        <v/>
      </c>
      <c r="H245" s="42">
        <f>IFERROR(INDEX('Semrush Data'!$A$1:$Z$20000,MATCH(A245,'Semrush Data'!$A$1:$A$20000,0),MATCH("Keyword Difficulty*",'Semrush Data'!$A$1:$Z$1,0)),"")</f>
        <v/>
      </c>
      <c r="I245" s="56">
        <f>IFERROR(INDEX('Semrush Data'!$A$1:$Z$20000,MATCH(A245,'Semrush Data'!$A$1:$A$20000,0),MATCH("CPC*",'Semrush Data'!$A$1:$Z$1,0)),"")</f>
        <v/>
      </c>
      <c r="J245" s="42">
        <f>IFERROR(INDEX('Semrush Data'!$A$1:$Z$20000,MATCH(A245,'Semrush Data'!$A$1:$A$20000,0),MATCH("Intent",'Semrush Data'!$A$1:$Z$1,0)),"")</f>
        <v/>
      </c>
    </row>
    <row r="246" ht="15" customHeight="1" s="37">
      <c r="A246" s="42" t="inlineStr">
        <is>
          <t>toner for skin nourishment</t>
        </is>
      </c>
      <c r="B246" s="42" t="inlineStr">
        <is>
          <t>Category / concern</t>
        </is>
      </c>
      <c r="C246" s="42" t="n">
        <v>1</v>
      </c>
      <c r="D246" s="42" t="n">
        <v>3</v>
      </c>
      <c r="E246" s="42" t="n">
        <v>3</v>
      </c>
      <c r="F246" s="42" t="inlineStr">
        <is>
          <t>VD-001, VD-100, VD-115</t>
        </is>
      </c>
      <c r="G246" s="55">
        <f>IFERROR(INDEX('Semrush Data'!$A$1:$Z$20000,MATCH(A246,'Semrush Data'!$A$1:$A$20000,0),MATCH("Volume",'Semrush Data'!$A$1:$Z$1,0)),"")</f>
        <v/>
      </c>
      <c r="H246" s="42">
        <f>IFERROR(INDEX('Semrush Data'!$A$1:$Z$20000,MATCH(A246,'Semrush Data'!$A$1:$A$20000,0),MATCH("Keyword Difficulty*",'Semrush Data'!$A$1:$Z$1,0)),"")</f>
        <v/>
      </c>
      <c r="I246" s="56">
        <f>IFERROR(INDEX('Semrush Data'!$A$1:$Z$20000,MATCH(A246,'Semrush Data'!$A$1:$A$20000,0),MATCH("CPC*",'Semrush Data'!$A$1:$Z$1,0)),"")</f>
        <v/>
      </c>
      <c r="J246" s="42">
        <f>IFERROR(INDEX('Semrush Data'!$A$1:$Z$20000,MATCH(A246,'Semrush Data'!$A$1:$A$20000,0),MATCH("Intent",'Semrush Data'!$A$1:$Z$1,0)),"")</f>
        <v/>
      </c>
    </row>
    <row r="247" ht="15" customHeight="1" s="37">
      <c r="A247" s="42" t="inlineStr">
        <is>
          <t>vilvah body lotion</t>
        </is>
      </c>
      <c r="B247" s="42" t="inlineStr">
        <is>
          <t>Category / concern</t>
        </is>
      </c>
      <c r="C247" s="42" t="n">
        <v>1</v>
      </c>
      <c r="D247" s="42" t="n">
        <v>3</v>
      </c>
      <c r="E247" s="42" t="n">
        <v>3</v>
      </c>
      <c r="F247" s="42" t="inlineStr">
        <is>
          <t>VD-016, VD-025, VD-030</t>
        </is>
      </c>
      <c r="G247" s="55">
        <f>IFERROR(INDEX('Semrush Data'!$A$1:$Z$20000,MATCH(A247,'Semrush Data'!$A$1:$A$20000,0),MATCH("Volume",'Semrush Data'!$A$1:$Z$1,0)),"")</f>
        <v/>
      </c>
      <c r="H247" s="42">
        <f>IFERROR(INDEX('Semrush Data'!$A$1:$Z$20000,MATCH(A247,'Semrush Data'!$A$1:$A$20000,0),MATCH("Keyword Difficulty*",'Semrush Data'!$A$1:$Z$1,0)),"")</f>
        <v/>
      </c>
      <c r="I247" s="56">
        <f>IFERROR(INDEX('Semrush Data'!$A$1:$Z$20000,MATCH(A247,'Semrush Data'!$A$1:$A$20000,0),MATCH("CPC*",'Semrush Data'!$A$1:$Z$1,0)),"")</f>
        <v/>
      </c>
      <c r="J247" s="42">
        <f>IFERROR(INDEX('Semrush Data'!$A$1:$Z$20000,MATCH(A247,'Semrush Data'!$A$1:$A$20000,0),MATCH("Intent",'Semrush Data'!$A$1:$Z$1,0)),"")</f>
        <v/>
      </c>
    </row>
    <row r="248" ht="15" customHeight="1" s="37">
      <c r="A248" s="42" t="inlineStr">
        <is>
          <t>vilvah body scrub</t>
        </is>
      </c>
      <c r="B248" s="42" t="inlineStr">
        <is>
          <t>Category / concern</t>
        </is>
      </c>
      <c r="C248" s="42" t="n">
        <v>1</v>
      </c>
      <c r="D248" s="42" t="n">
        <v>3</v>
      </c>
      <c r="E248" s="42" t="n">
        <v>1</v>
      </c>
      <c r="F248" s="42" t="inlineStr">
        <is>
          <t>VD-026</t>
        </is>
      </c>
      <c r="G248" s="55">
        <f>IFERROR(INDEX('Semrush Data'!$A$1:$Z$20000,MATCH(A248,'Semrush Data'!$A$1:$A$20000,0),MATCH("Volume",'Semrush Data'!$A$1:$Z$1,0)),"")</f>
        <v/>
      </c>
      <c r="H248" s="42">
        <f>IFERROR(INDEX('Semrush Data'!$A$1:$Z$20000,MATCH(A248,'Semrush Data'!$A$1:$A$20000,0),MATCH("Keyword Difficulty*",'Semrush Data'!$A$1:$Z$1,0)),"")</f>
        <v/>
      </c>
      <c r="I248" s="56">
        <f>IFERROR(INDEX('Semrush Data'!$A$1:$Z$20000,MATCH(A248,'Semrush Data'!$A$1:$A$20000,0),MATCH("CPC*",'Semrush Data'!$A$1:$Z$1,0)),"")</f>
        <v/>
      </c>
      <c r="J248" s="42">
        <f>IFERROR(INDEX('Semrush Data'!$A$1:$Z$20000,MATCH(A248,'Semrush Data'!$A$1:$A$20000,0),MATCH("Intent",'Semrush Data'!$A$1:$Z$1,0)),"")</f>
        <v/>
      </c>
    </row>
    <row r="249" ht="15" customHeight="1" s="37">
      <c r="A249" s="42" t="inlineStr">
        <is>
          <t>vilvah body wash</t>
        </is>
      </c>
      <c r="B249" s="42" t="inlineStr">
        <is>
          <t>Category / concern</t>
        </is>
      </c>
      <c r="C249" s="42" t="n">
        <v>1</v>
      </c>
      <c r="D249" s="42" t="n">
        <v>3</v>
      </c>
      <c r="E249" s="42" t="n">
        <v>5</v>
      </c>
      <c r="F249" s="42" t="inlineStr">
        <is>
          <t>VD-003, VD-008, VD-009, VD-011, VD-028</t>
        </is>
      </c>
      <c r="G249" s="55">
        <f>IFERROR(INDEX('Semrush Data'!$A$1:$Z$20000,MATCH(A249,'Semrush Data'!$A$1:$A$20000,0),MATCH("Volume",'Semrush Data'!$A$1:$Z$1,0)),"")</f>
        <v/>
      </c>
      <c r="H249" s="42">
        <f>IFERROR(INDEX('Semrush Data'!$A$1:$Z$20000,MATCH(A249,'Semrush Data'!$A$1:$A$20000,0),MATCH("Keyword Difficulty*",'Semrush Data'!$A$1:$Z$1,0)),"")</f>
        <v/>
      </c>
      <c r="I249" s="56">
        <f>IFERROR(INDEX('Semrush Data'!$A$1:$Z$20000,MATCH(A249,'Semrush Data'!$A$1:$A$20000,0),MATCH("CPC*",'Semrush Data'!$A$1:$Z$1,0)),"")</f>
        <v/>
      </c>
      <c r="J249" s="42">
        <f>IFERROR(INDEX('Semrush Data'!$A$1:$Z$20000,MATCH(A249,'Semrush Data'!$A$1:$A$20000,0),MATCH("Intent",'Semrush Data'!$A$1:$Z$1,0)),"")</f>
        <v/>
      </c>
    </row>
    <row r="250" ht="15" customHeight="1" s="37">
      <c r="A250" s="42" t="inlineStr">
        <is>
          <t>vilvah conditioner</t>
        </is>
      </c>
      <c r="B250" s="42" t="inlineStr">
        <is>
          <t>Category / concern</t>
        </is>
      </c>
      <c r="C250" s="42" t="n">
        <v>1</v>
      </c>
      <c r="D250" s="42" t="n">
        <v>3</v>
      </c>
      <c r="E250" s="42" t="n">
        <v>1</v>
      </c>
      <c r="F250" s="42" t="inlineStr">
        <is>
          <t>VD-012</t>
        </is>
      </c>
      <c r="G250" s="55">
        <f>IFERROR(INDEX('Semrush Data'!$A$1:$Z$20000,MATCH(A250,'Semrush Data'!$A$1:$A$20000,0),MATCH("Volume",'Semrush Data'!$A$1:$Z$1,0)),"")</f>
        <v/>
      </c>
      <c r="H250" s="42">
        <f>IFERROR(INDEX('Semrush Data'!$A$1:$Z$20000,MATCH(A250,'Semrush Data'!$A$1:$A$20000,0),MATCH("Keyword Difficulty*",'Semrush Data'!$A$1:$Z$1,0)),"")</f>
        <v/>
      </c>
      <c r="I250" s="56">
        <f>IFERROR(INDEX('Semrush Data'!$A$1:$Z$20000,MATCH(A250,'Semrush Data'!$A$1:$A$20000,0),MATCH("CPC*",'Semrush Data'!$A$1:$Z$1,0)),"")</f>
        <v/>
      </c>
      <c r="J250" s="42">
        <f>IFERROR(INDEX('Semrush Data'!$A$1:$Z$20000,MATCH(A250,'Semrush Data'!$A$1:$A$20000,0),MATCH("Intent",'Semrush Data'!$A$1:$Z$1,0)),"")</f>
        <v/>
      </c>
    </row>
    <row r="251" ht="15" customHeight="1" s="37">
      <c r="A251" s="42" t="inlineStr">
        <is>
          <t>vilvah face mask</t>
        </is>
      </c>
      <c r="B251" s="42" t="inlineStr">
        <is>
          <t>Category / concern</t>
        </is>
      </c>
      <c r="C251" s="42" t="n">
        <v>1</v>
      </c>
      <c r="D251" s="42" t="n">
        <v>3</v>
      </c>
      <c r="E251" s="42" t="n">
        <v>3</v>
      </c>
      <c r="F251" s="42" t="inlineStr">
        <is>
          <t>VD-018, VD-019, VD-024</t>
        </is>
      </c>
      <c r="G251" s="55">
        <f>IFERROR(INDEX('Semrush Data'!$A$1:$Z$20000,MATCH(A251,'Semrush Data'!$A$1:$A$20000,0),MATCH("Volume",'Semrush Data'!$A$1:$Z$1,0)),"")</f>
        <v/>
      </c>
      <c r="H251" s="42">
        <f>IFERROR(INDEX('Semrush Data'!$A$1:$Z$20000,MATCH(A251,'Semrush Data'!$A$1:$A$20000,0),MATCH("Keyword Difficulty*",'Semrush Data'!$A$1:$Z$1,0)),"")</f>
        <v/>
      </c>
      <c r="I251" s="56">
        <f>IFERROR(INDEX('Semrush Data'!$A$1:$Z$20000,MATCH(A251,'Semrush Data'!$A$1:$A$20000,0),MATCH("CPC*",'Semrush Data'!$A$1:$Z$1,0)),"")</f>
        <v/>
      </c>
      <c r="J251" s="42">
        <f>IFERROR(INDEX('Semrush Data'!$A$1:$Z$20000,MATCH(A251,'Semrush Data'!$A$1:$A$20000,0),MATCH("Intent",'Semrush Data'!$A$1:$Z$1,0)),"")</f>
        <v/>
      </c>
    </row>
    <row r="252" ht="15" customHeight="1" s="37">
      <c r="A252" s="42" t="inlineStr">
        <is>
          <t>vilvah face serum</t>
        </is>
      </c>
      <c r="B252" s="42" t="inlineStr">
        <is>
          <t>Category / concern</t>
        </is>
      </c>
      <c r="C252" s="42" t="n">
        <v>1</v>
      </c>
      <c r="D252" s="42" t="n">
        <v>3</v>
      </c>
      <c r="E252" s="42" t="n">
        <v>3</v>
      </c>
      <c r="F252" s="42" t="inlineStr">
        <is>
          <t>VD-023, VD-038, VD-039</t>
        </is>
      </c>
      <c r="G252" s="55">
        <f>IFERROR(INDEX('Semrush Data'!$A$1:$Z$20000,MATCH(A252,'Semrush Data'!$A$1:$A$20000,0),MATCH("Volume",'Semrush Data'!$A$1:$Z$1,0)),"")</f>
        <v/>
      </c>
      <c r="H252" s="42">
        <f>IFERROR(INDEX('Semrush Data'!$A$1:$Z$20000,MATCH(A252,'Semrush Data'!$A$1:$A$20000,0),MATCH("Keyword Difficulty*",'Semrush Data'!$A$1:$Z$1,0)),"")</f>
        <v/>
      </c>
      <c r="I252" s="56">
        <f>IFERROR(INDEX('Semrush Data'!$A$1:$Z$20000,MATCH(A252,'Semrush Data'!$A$1:$A$20000,0),MATCH("CPC*",'Semrush Data'!$A$1:$Z$1,0)),"")</f>
        <v/>
      </c>
      <c r="J252" s="42">
        <f>IFERROR(INDEX('Semrush Data'!$A$1:$Z$20000,MATCH(A252,'Semrush Data'!$A$1:$A$20000,0),MATCH("Intent",'Semrush Data'!$A$1:$Z$1,0)),"")</f>
        <v/>
      </c>
    </row>
    <row r="253" ht="15" customHeight="1" s="37">
      <c r="A253" s="42" t="inlineStr">
        <is>
          <t>vilvah face wash</t>
        </is>
      </c>
      <c r="B253" s="42" t="inlineStr">
        <is>
          <t>Category / concern</t>
        </is>
      </c>
      <c r="C253" s="42" t="n">
        <v>1</v>
      </c>
      <c r="D253" s="42" t="n">
        <v>3</v>
      </c>
      <c r="E253" s="42" t="n">
        <v>3</v>
      </c>
      <c r="F253" s="42" t="inlineStr">
        <is>
          <t>VD-006, VD-014, VD-027</t>
        </is>
      </c>
      <c r="G253" s="55">
        <f>IFERROR(INDEX('Semrush Data'!$A$1:$Z$20000,MATCH(A253,'Semrush Data'!$A$1:$A$20000,0),MATCH("Volume",'Semrush Data'!$A$1:$Z$1,0)),"")</f>
        <v/>
      </c>
      <c r="H253" s="42">
        <f>IFERROR(INDEX('Semrush Data'!$A$1:$Z$20000,MATCH(A253,'Semrush Data'!$A$1:$A$20000,0),MATCH("Keyword Difficulty*",'Semrush Data'!$A$1:$Z$1,0)),"")</f>
        <v/>
      </c>
      <c r="I253" s="56">
        <f>IFERROR(INDEX('Semrush Data'!$A$1:$Z$20000,MATCH(A253,'Semrush Data'!$A$1:$A$20000,0),MATCH("CPC*",'Semrush Data'!$A$1:$Z$1,0)),"")</f>
        <v/>
      </c>
      <c r="J253" s="42">
        <f>IFERROR(INDEX('Semrush Data'!$A$1:$Z$20000,MATCH(A253,'Semrush Data'!$A$1:$A$20000,0),MATCH("Intent",'Semrush Data'!$A$1:$Z$1,0)),"")</f>
        <v/>
      </c>
    </row>
    <row r="254" ht="15" customHeight="1" s="37">
      <c r="A254" s="42" t="inlineStr">
        <is>
          <t>vilvah hair accessories</t>
        </is>
      </c>
      <c r="B254" s="42" t="inlineStr">
        <is>
          <t>Category / concern</t>
        </is>
      </c>
      <c r="C254" s="42" t="n">
        <v>1</v>
      </c>
      <c r="D254" s="42" t="n">
        <v>3</v>
      </c>
      <c r="E254" s="42" t="n">
        <v>3</v>
      </c>
      <c r="F254" s="42" t="inlineStr">
        <is>
          <t>VD-037, VD-041, VD-042</t>
        </is>
      </c>
      <c r="G254" s="55">
        <f>IFERROR(INDEX('Semrush Data'!$A$1:$Z$20000,MATCH(A254,'Semrush Data'!$A$1:$A$20000,0),MATCH("Volume",'Semrush Data'!$A$1:$Z$1,0)),"")</f>
        <v/>
      </c>
      <c r="H254" s="42">
        <f>IFERROR(INDEX('Semrush Data'!$A$1:$Z$20000,MATCH(A254,'Semrush Data'!$A$1:$A$20000,0),MATCH("Keyword Difficulty*",'Semrush Data'!$A$1:$Z$1,0)),"")</f>
        <v/>
      </c>
      <c r="I254" s="56">
        <f>IFERROR(INDEX('Semrush Data'!$A$1:$Z$20000,MATCH(A254,'Semrush Data'!$A$1:$A$20000,0),MATCH("CPC*",'Semrush Data'!$A$1:$Z$1,0)),"")</f>
        <v/>
      </c>
      <c r="J254" s="42">
        <f>IFERROR(INDEX('Semrush Data'!$A$1:$Z$20000,MATCH(A254,'Semrush Data'!$A$1:$A$20000,0),MATCH("Intent",'Semrush Data'!$A$1:$Z$1,0)),"")</f>
        <v/>
      </c>
    </row>
    <row r="255" ht="15" customHeight="1" s="37">
      <c r="A255" s="42" t="inlineStr">
        <is>
          <t>vilvah hair mask</t>
        </is>
      </c>
      <c r="B255" s="42" t="inlineStr">
        <is>
          <t>Category / concern</t>
        </is>
      </c>
      <c r="C255" s="42" t="n">
        <v>1</v>
      </c>
      <c r="D255" s="42" t="n">
        <v>3</v>
      </c>
      <c r="E255" s="42" t="n">
        <v>1</v>
      </c>
      <c r="F255" s="42" t="inlineStr">
        <is>
          <t>VD-031</t>
        </is>
      </c>
      <c r="G255" s="55">
        <f>IFERROR(INDEX('Semrush Data'!$A$1:$Z$20000,MATCH(A255,'Semrush Data'!$A$1:$A$20000,0),MATCH("Volume",'Semrush Data'!$A$1:$Z$1,0)),"")</f>
        <v/>
      </c>
      <c r="H255" s="42">
        <f>IFERROR(INDEX('Semrush Data'!$A$1:$Z$20000,MATCH(A255,'Semrush Data'!$A$1:$A$20000,0),MATCH("Keyword Difficulty*",'Semrush Data'!$A$1:$Z$1,0)),"")</f>
        <v/>
      </c>
      <c r="I255" s="56">
        <f>IFERROR(INDEX('Semrush Data'!$A$1:$Z$20000,MATCH(A255,'Semrush Data'!$A$1:$A$20000,0),MATCH("CPC*",'Semrush Data'!$A$1:$Z$1,0)),"")</f>
        <v/>
      </c>
      <c r="J255" s="42">
        <f>IFERROR(INDEX('Semrush Data'!$A$1:$Z$20000,MATCH(A255,'Semrush Data'!$A$1:$A$20000,0),MATCH("Intent",'Semrush Data'!$A$1:$Z$1,0)),"")</f>
        <v/>
      </c>
    </row>
    <row r="256" ht="15" customHeight="1" s="37">
      <c r="A256" s="42" t="inlineStr">
        <is>
          <t>vilvah hair oil</t>
        </is>
      </c>
      <c r="B256" s="42" t="inlineStr">
        <is>
          <t>Category / concern</t>
        </is>
      </c>
      <c r="C256" s="42" t="n">
        <v>1</v>
      </c>
      <c r="D256" s="42" t="n">
        <v>3</v>
      </c>
      <c r="E256" s="42" t="n">
        <v>4</v>
      </c>
      <c r="F256" s="42" t="inlineStr">
        <is>
          <t>VD-002, VD-021, VD-032, VD-033</t>
        </is>
      </c>
      <c r="G256" s="55">
        <f>IFERROR(INDEX('Semrush Data'!$A$1:$Z$20000,MATCH(A256,'Semrush Data'!$A$1:$A$20000,0),MATCH("Volume",'Semrush Data'!$A$1:$Z$1,0)),"")</f>
        <v/>
      </c>
      <c r="H256" s="42">
        <f>IFERROR(INDEX('Semrush Data'!$A$1:$Z$20000,MATCH(A256,'Semrush Data'!$A$1:$A$20000,0),MATCH("Keyword Difficulty*",'Semrush Data'!$A$1:$Z$1,0)),"")</f>
        <v/>
      </c>
      <c r="I256" s="56">
        <f>IFERROR(INDEX('Semrush Data'!$A$1:$Z$20000,MATCH(A256,'Semrush Data'!$A$1:$A$20000,0),MATCH("CPC*",'Semrush Data'!$A$1:$Z$1,0)),"")</f>
        <v/>
      </c>
      <c r="J256" s="42">
        <f>IFERROR(INDEX('Semrush Data'!$A$1:$Z$20000,MATCH(A256,'Semrush Data'!$A$1:$A$20000,0),MATCH("Intent",'Semrush Data'!$A$1:$Z$1,0)),"")</f>
        <v/>
      </c>
    </row>
    <row r="257" ht="15" customHeight="1" s="37">
      <c r="A257" s="42" t="inlineStr">
        <is>
          <t>vilvah hair serum</t>
        </is>
      </c>
      <c r="B257" s="42" t="inlineStr">
        <is>
          <t>Category / concern</t>
        </is>
      </c>
      <c r="C257" s="42" t="n">
        <v>1</v>
      </c>
      <c r="D257" s="42" t="n">
        <v>3</v>
      </c>
      <c r="E257" s="42" t="n">
        <v>1</v>
      </c>
      <c r="F257" s="42" t="inlineStr">
        <is>
          <t>VD-022</t>
        </is>
      </c>
      <c r="G257" s="55">
        <f>IFERROR(INDEX('Semrush Data'!$A$1:$Z$20000,MATCH(A257,'Semrush Data'!$A$1:$A$20000,0),MATCH("Volume",'Semrush Data'!$A$1:$Z$1,0)),"")</f>
        <v/>
      </c>
      <c r="H257" s="42">
        <f>IFERROR(INDEX('Semrush Data'!$A$1:$Z$20000,MATCH(A257,'Semrush Data'!$A$1:$A$20000,0),MATCH("Keyword Difficulty*",'Semrush Data'!$A$1:$Z$1,0)),"")</f>
        <v/>
      </c>
      <c r="I257" s="56">
        <f>IFERROR(INDEX('Semrush Data'!$A$1:$Z$20000,MATCH(A257,'Semrush Data'!$A$1:$A$20000,0),MATCH("CPC*",'Semrush Data'!$A$1:$Z$1,0)),"")</f>
        <v/>
      </c>
      <c r="J257" s="42">
        <f>IFERROR(INDEX('Semrush Data'!$A$1:$Z$20000,MATCH(A257,'Semrush Data'!$A$1:$A$20000,0),MATCH("Intent",'Semrush Data'!$A$1:$Z$1,0)),"")</f>
        <v/>
      </c>
    </row>
    <row r="258" ht="15" customHeight="1" s="37">
      <c r="A258" s="42" t="inlineStr">
        <is>
          <t>vilvah lip balm</t>
        </is>
      </c>
      <c r="B258" s="42" t="inlineStr">
        <is>
          <t>Category / concern</t>
        </is>
      </c>
      <c r="C258" s="42" t="n">
        <v>1</v>
      </c>
      <c r="D258" s="42" t="n">
        <v>3</v>
      </c>
      <c r="E258" s="42" t="n">
        <v>8</v>
      </c>
      <c r="F258" s="42" t="inlineStr">
        <is>
          <t>VD-010, VD-015, VD-035, VD-036, VD-040, VD-044, VD-045, VD-046</t>
        </is>
      </c>
      <c r="G258" s="55">
        <f>IFERROR(INDEX('Semrush Data'!$A$1:$Z$20000,MATCH(A258,'Semrush Data'!$A$1:$A$20000,0),MATCH("Volume",'Semrush Data'!$A$1:$Z$1,0)),"")</f>
        <v/>
      </c>
      <c r="H258" s="42">
        <f>IFERROR(INDEX('Semrush Data'!$A$1:$Z$20000,MATCH(A258,'Semrush Data'!$A$1:$A$20000,0),MATCH("Keyword Difficulty*",'Semrush Data'!$A$1:$Z$1,0)),"")</f>
        <v/>
      </c>
      <c r="I258" s="56">
        <f>IFERROR(INDEX('Semrush Data'!$A$1:$Z$20000,MATCH(A258,'Semrush Data'!$A$1:$A$20000,0),MATCH("CPC*",'Semrush Data'!$A$1:$Z$1,0)),"")</f>
        <v/>
      </c>
      <c r="J258" s="42">
        <f>IFERROR(INDEX('Semrush Data'!$A$1:$Z$20000,MATCH(A258,'Semrush Data'!$A$1:$A$20000,0),MATCH("Intent",'Semrush Data'!$A$1:$Z$1,0)),"")</f>
        <v/>
      </c>
    </row>
    <row r="259" ht="15" customHeight="1" s="37">
      <c r="A259" s="42" t="inlineStr">
        <is>
          <t>vilvah moisturiser</t>
        </is>
      </c>
      <c r="B259" s="42" t="inlineStr">
        <is>
          <t>Category / concern</t>
        </is>
      </c>
      <c r="C259" s="42" t="n">
        <v>1</v>
      </c>
      <c r="D259" s="42" t="n">
        <v>3</v>
      </c>
      <c r="E259" s="42" t="n">
        <v>3</v>
      </c>
      <c r="F259" s="42" t="inlineStr">
        <is>
          <t>VD-007, VD-020, VD-043</t>
        </is>
      </c>
      <c r="G259" s="55">
        <f>IFERROR(INDEX('Semrush Data'!$A$1:$Z$20000,MATCH(A259,'Semrush Data'!$A$1:$A$20000,0),MATCH("Volume",'Semrush Data'!$A$1:$Z$1,0)),"")</f>
        <v/>
      </c>
      <c r="H259" s="42">
        <f>IFERROR(INDEX('Semrush Data'!$A$1:$Z$20000,MATCH(A259,'Semrush Data'!$A$1:$A$20000,0),MATCH("Keyword Difficulty*",'Semrush Data'!$A$1:$Z$1,0)),"")</f>
        <v/>
      </c>
      <c r="I259" s="56">
        <f>IFERROR(INDEX('Semrush Data'!$A$1:$Z$20000,MATCH(A259,'Semrush Data'!$A$1:$A$20000,0),MATCH("CPC*",'Semrush Data'!$A$1:$Z$1,0)),"")</f>
        <v/>
      </c>
      <c r="J259" s="42">
        <f>IFERROR(INDEX('Semrush Data'!$A$1:$Z$20000,MATCH(A259,'Semrush Data'!$A$1:$A$20000,0),MATCH("Intent",'Semrush Data'!$A$1:$Z$1,0)),"")</f>
        <v/>
      </c>
    </row>
    <row r="260" ht="15" customHeight="1" s="37">
      <c r="A260" s="42" t="inlineStr">
        <is>
          <t>vilvah natural deodorant</t>
        </is>
      </c>
      <c r="B260" s="42" t="inlineStr">
        <is>
          <t>Category / concern</t>
        </is>
      </c>
      <c r="C260" s="42" t="n">
        <v>1</v>
      </c>
      <c r="D260" s="42" t="n">
        <v>3</v>
      </c>
      <c r="E260" s="42" t="n">
        <v>2</v>
      </c>
      <c r="F260" s="42" t="inlineStr">
        <is>
          <t>VD-004, VD-029</t>
        </is>
      </c>
      <c r="G260" s="55">
        <f>IFERROR(INDEX('Semrush Data'!$A$1:$Z$20000,MATCH(A260,'Semrush Data'!$A$1:$A$20000,0),MATCH("Volume",'Semrush Data'!$A$1:$Z$1,0)),"")</f>
        <v/>
      </c>
      <c r="H260" s="42">
        <f>IFERROR(INDEX('Semrush Data'!$A$1:$Z$20000,MATCH(A260,'Semrush Data'!$A$1:$A$20000,0),MATCH("Keyword Difficulty*",'Semrush Data'!$A$1:$Z$1,0)),"")</f>
        <v/>
      </c>
      <c r="I260" s="56">
        <f>IFERROR(INDEX('Semrush Data'!$A$1:$Z$20000,MATCH(A260,'Semrush Data'!$A$1:$A$20000,0),MATCH("CPC*",'Semrush Data'!$A$1:$Z$1,0)),"")</f>
        <v/>
      </c>
      <c r="J260" s="42">
        <f>IFERROR(INDEX('Semrush Data'!$A$1:$Z$20000,MATCH(A260,'Semrush Data'!$A$1:$A$20000,0),MATCH("Intent",'Semrush Data'!$A$1:$Z$1,0)),"")</f>
        <v/>
      </c>
    </row>
    <row r="261" ht="15" customHeight="1" s="37">
      <c r="A261" s="42" t="inlineStr">
        <is>
          <t>vilvah shampoo</t>
        </is>
      </c>
      <c r="B261" s="42" t="inlineStr">
        <is>
          <t>Category / concern</t>
        </is>
      </c>
      <c r="C261" s="42" t="n">
        <v>1</v>
      </c>
      <c r="D261" s="42" t="n">
        <v>3</v>
      </c>
      <c r="E261" s="42" t="n">
        <v>2</v>
      </c>
      <c r="F261" s="42" t="inlineStr">
        <is>
          <t>VD-013, VD-034</t>
        </is>
      </c>
      <c r="G261" s="55">
        <f>IFERROR(INDEX('Semrush Data'!$A$1:$Z$20000,MATCH(A261,'Semrush Data'!$A$1:$A$20000,0),MATCH("Volume",'Semrush Data'!$A$1:$Z$1,0)),"")</f>
        <v/>
      </c>
      <c r="H261" s="42">
        <f>IFERROR(INDEX('Semrush Data'!$A$1:$Z$20000,MATCH(A261,'Semrush Data'!$A$1:$A$20000,0),MATCH("Keyword Difficulty*",'Semrush Data'!$A$1:$Z$1,0)),"")</f>
        <v/>
      </c>
      <c r="I261" s="56">
        <f>IFERROR(INDEX('Semrush Data'!$A$1:$Z$20000,MATCH(A261,'Semrush Data'!$A$1:$A$20000,0),MATCH("CPC*",'Semrush Data'!$A$1:$Z$1,0)),"")</f>
        <v/>
      </c>
      <c r="J261" s="42">
        <f>IFERROR(INDEX('Semrush Data'!$A$1:$Z$20000,MATCH(A261,'Semrush Data'!$A$1:$A$20000,0),MATCH("Intent",'Semrush Data'!$A$1:$Z$1,0)),"")</f>
        <v/>
      </c>
    </row>
    <row r="262" ht="15" customHeight="1" s="37">
      <c r="A262" s="42" t="inlineStr">
        <is>
          <t>vilvah skincare gift set</t>
        </is>
      </c>
      <c r="B262" s="42" t="inlineStr">
        <is>
          <t>Category / concern</t>
        </is>
      </c>
      <c r="C262" s="42" t="n">
        <v>1</v>
      </c>
      <c r="D262" s="42" t="n">
        <v>3</v>
      </c>
      <c r="E262" s="42" t="n">
        <v>35</v>
      </c>
      <c r="F262" s="42" t="inlineStr">
        <is>
          <t>VD-047, VD-048, VD-049, VD-050, VD-051, VD-052, VD-053, VD-054, VD-055, VD-056, VD-057, VD-058 …</t>
        </is>
      </c>
      <c r="G262" s="55">
        <f>IFERROR(INDEX('Semrush Data'!$A$1:$Z$20000,MATCH(A262,'Semrush Data'!$A$1:$A$20000,0),MATCH("Volume",'Semrush Data'!$A$1:$Z$1,0)),"")</f>
        <v/>
      </c>
      <c r="H262" s="42">
        <f>IFERROR(INDEX('Semrush Data'!$A$1:$Z$20000,MATCH(A262,'Semrush Data'!$A$1:$A$20000,0),MATCH("Keyword Difficulty*",'Semrush Data'!$A$1:$Z$1,0)),"")</f>
        <v/>
      </c>
      <c r="I262" s="56">
        <f>IFERROR(INDEX('Semrush Data'!$A$1:$Z$20000,MATCH(A262,'Semrush Data'!$A$1:$A$20000,0),MATCH("CPC*",'Semrush Data'!$A$1:$Z$1,0)),"")</f>
        <v/>
      </c>
      <c r="J262" s="42">
        <f>IFERROR(INDEX('Semrush Data'!$A$1:$Z$20000,MATCH(A262,'Semrush Data'!$A$1:$A$20000,0),MATCH("Intent",'Semrush Data'!$A$1:$Z$1,0)),"")</f>
        <v/>
      </c>
    </row>
    <row r="263" ht="15" customHeight="1" s="37">
      <c r="A263" s="42" t="inlineStr">
        <is>
          <t>vilvah sunscreen</t>
        </is>
      </c>
      <c r="B263" s="42" t="inlineStr">
        <is>
          <t>Category / concern</t>
        </is>
      </c>
      <c r="C263" s="42" t="n">
        <v>1</v>
      </c>
      <c r="D263" s="42" t="n">
        <v>3</v>
      </c>
      <c r="E263" s="42" t="n">
        <v>1</v>
      </c>
      <c r="F263" s="42" t="inlineStr">
        <is>
          <t>VD-005</t>
        </is>
      </c>
      <c r="G263" s="55">
        <f>IFERROR(INDEX('Semrush Data'!$A$1:$Z$20000,MATCH(A263,'Semrush Data'!$A$1:$A$20000,0),MATCH("Volume",'Semrush Data'!$A$1:$Z$1,0)),"")</f>
        <v/>
      </c>
      <c r="H263" s="42">
        <f>IFERROR(INDEX('Semrush Data'!$A$1:$Z$20000,MATCH(A263,'Semrush Data'!$A$1:$A$20000,0),MATCH("Keyword Difficulty*",'Semrush Data'!$A$1:$Z$1,0)),"")</f>
        <v/>
      </c>
      <c r="I263" s="56">
        <f>IFERROR(INDEX('Semrush Data'!$A$1:$Z$20000,MATCH(A263,'Semrush Data'!$A$1:$A$20000,0),MATCH("CPC*",'Semrush Data'!$A$1:$Z$1,0)),"")</f>
        <v/>
      </c>
      <c r="J263" s="42">
        <f>IFERROR(INDEX('Semrush Data'!$A$1:$Z$20000,MATCH(A263,'Semrush Data'!$A$1:$A$20000,0),MATCH("Intent",'Semrush Data'!$A$1:$Z$1,0)),"")</f>
        <v/>
      </c>
    </row>
    <row r="264" ht="15" customHeight="1" s="37">
      <c r="A264" s="42" t="inlineStr">
        <is>
          <t>vilvah toner</t>
        </is>
      </c>
      <c r="B264" s="42" t="inlineStr">
        <is>
          <t>Category / concern</t>
        </is>
      </c>
      <c r="C264" s="42" t="n">
        <v>1</v>
      </c>
      <c r="D264" s="42" t="n">
        <v>3</v>
      </c>
      <c r="E264" s="42" t="n">
        <v>2</v>
      </c>
      <c r="F264" s="42" t="inlineStr">
        <is>
          <t>VD-001, VD-017</t>
        </is>
      </c>
      <c r="G264" s="55">
        <f>IFERROR(INDEX('Semrush Data'!$A$1:$Z$20000,MATCH(A264,'Semrush Data'!$A$1:$A$20000,0),MATCH("Volume",'Semrush Data'!$A$1:$Z$1,0)),"")</f>
        <v/>
      </c>
      <c r="H264" s="42">
        <f>IFERROR(INDEX('Semrush Data'!$A$1:$Z$20000,MATCH(A264,'Semrush Data'!$A$1:$A$20000,0),MATCH("Keyword Difficulty*",'Semrush Data'!$A$1:$Z$1,0)),"")</f>
        <v/>
      </c>
      <c r="I264" s="56">
        <f>IFERROR(INDEX('Semrush Data'!$A$1:$Z$20000,MATCH(A264,'Semrush Data'!$A$1:$A$20000,0),MATCH("CPC*",'Semrush Data'!$A$1:$Z$1,0)),"")</f>
        <v/>
      </c>
      <c r="J264" s="42">
        <f>IFERROR(INDEX('Semrush Data'!$A$1:$Z$20000,MATCH(A264,'Semrush Data'!$A$1:$A$20000,0),MATCH("Intent",'Semrush Data'!$A$1:$Z$1,0)),"")</f>
        <v/>
      </c>
    </row>
    <row r="265" ht="15" customHeight="1" s="37">
      <c r="A265" s="42" t="inlineStr">
        <is>
          <t>buy deyga beetroot lip balm</t>
        </is>
      </c>
      <c r="B265" s="42" t="inlineStr">
        <is>
          <t>Google suggest (brand)</t>
        </is>
      </c>
      <c r="C265" s="42" t="n">
        <v>1</v>
      </c>
      <c r="D265" s="42" t="n">
        <v>3</v>
      </c>
      <c r="E265" s="42" t="n">
        <v>0</v>
      </c>
      <c r="F265" s="42" t="n"/>
      <c r="G265" s="55">
        <f>IFERROR(INDEX('Semrush Data'!$A$1:$Z$20000,MATCH(A265,'Semrush Data'!$A$1:$A$20000,0),MATCH("Volume",'Semrush Data'!$A$1:$Z$1,0)),"")</f>
        <v/>
      </c>
      <c r="H265" s="42">
        <f>IFERROR(INDEX('Semrush Data'!$A$1:$Z$20000,MATCH(A265,'Semrush Data'!$A$1:$A$20000,0),MATCH("Keyword Difficulty*",'Semrush Data'!$A$1:$Z$1,0)),"")</f>
        <v/>
      </c>
      <c r="I265" s="56">
        <f>IFERROR(INDEX('Semrush Data'!$A$1:$Z$20000,MATCH(A265,'Semrush Data'!$A$1:$A$20000,0),MATCH("CPC*",'Semrush Data'!$A$1:$Z$1,0)),"")</f>
        <v/>
      </c>
      <c r="J265" s="42">
        <f>IFERROR(INDEX('Semrush Data'!$A$1:$Z$20000,MATCH(A265,'Semrush Data'!$A$1:$A$20000,0),MATCH("Intent",'Semrush Data'!$A$1:$Z$1,0)),"")</f>
        <v/>
      </c>
    </row>
    <row r="266" ht="15" customHeight="1" s="37">
      <c r="A266" s="42" t="inlineStr">
        <is>
          <t>buy deyga hair removal powder</t>
        </is>
      </c>
      <c r="B266" s="42" t="inlineStr">
        <is>
          <t>Google suggest (brand)</t>
        </is>
      </c>
      <c r="C266" s="42" t="n">
        <v>1</v>
      </c>
      <c r="D266" s="42" t="n">
        <v>3</v>
      </c>
      <c r="E266" s="42" t="n">
        <v>0</v>
      </c>
      <c r="F266" s="42" t="n"/>
      <c r="G266" s="55">
        <f>IFERROR(INDEX('Semrush Data'!$A$1:$Z$20000,MATCH(A266,'Semrush Data'!$A$1:$A$20000,0),MATCH("Volume",'Semrush Data'!$A$1:$Z$1,0)),"")</f>
        <v/>
      </c>
      <c r="H266" s="42">
        <f>IFERROR(INDEX('Semrush Data'!$A$1:$Z$20000,MATCH(A266,'Semrush Data'!$A$1:$A$20000,0),MATCH("Keyword Difficulty*",'Semrush Data'!$A$1:$Z$1,0)),"")</f>
        <v/>
      </c>
      <c r="I266" s="56">
        <f>IFERROR(INDEX('Semrush Data'!$A$1:$Z$20000,MATCH(A266,'Semrush Data'!$A$1:$A$20000,0),MATCH("CPC*",'Semrush Data'!$A$1:$Z$1,0)),"")</f>
        <v/>
      </c>
      <c r="J266" s="42">
        <f>IFERROR(INDEX('Semrush Data'!$A$1:$Z$20000,MATCH(A266,'Semrush Data'!$A$1:$A$20000,0),MATCH("Intent",'Semrush Data'!$A$1:$Z$1,0)),"")</f>
        <v/>
      </c>
    </row>
    <row r="267" ht="15" customHeight="1" s="37">
      <c r="A267" s="42" t="inlineStr">
        <is>
          <t>buy deyga lip balm</t>
        </is>
      </c>
      <c r="B267" s="42" t="inlineStr">
        <is>
          <t>Google suggest (brand)</t>
        </is>
      </c>
      <c r="C267" s="42" t="n">
        <v>1</v>
      </c>
      <c r="D267" s="42" t="n">
        <v>3</v>
      </c>
      <c r="E267" s="42" t="n">
        <v>0</v>
      </c>
      <c r="F267" s="42" t="n"/>
      <c r="G267" s="55">
        <f>IFERROR(INDEX('Semrush Data'!$A$1:$Z$20000,MATCH(A267,'Semrush Data'!$A$1:$A$20000,0),MATCH("Volume",'Semrush Data'!$A$1:$Z$1,0)),"")</f>
        <v/>
      </c>
      <c r="H267" s="42">
        <f>IFERROR(INDEX('Semrush Data'!$A$1:$Z$20000,MATCH(A267,'Semrush Data'!$A$1:$A$20000,0),MATCH("Keyword Difficulty*",'Semrush Data'!$A$1:$Z$1,0)),"")</f>
        <v/>
      </c>
      <c r="I267" s="56">
        <f>IFERROR(INDEX('Semrush Data'!$A$1:$Z$20000,MATCH(A267,'Semrush Data'!$A$1:$A$20000,0),MATCH("CPC*",'Semrush Data'!$A$1:$Z$1,0)),"")</f>
        <v/>
      </c>
      <c r="J267" s="42">
        <f>IFERROR(INDEX('Semrush Data'!$A$1:$Z$20000,MATCH(A267,'Semrush Data'!$A$1:$A$20000,0),MATCH("Intent",'Semrush Data'!$A$1:$Z$1,0)),"")</f>
        <v/>
      </c>
    </row>
    <row r="268" ht="15" customHeight="1" s="37">
      <c r="A268" s="42" t="inlineStr">
        <is>
          <t>buy vilvah</t>
        </is>
      </c>
      <c r="B268" s="42" t="inlineStr">
        <is>
          <t>Google suggest (brand)</t>
        </is>
      </c>
      <c r="C268" s="42" t="n">
        <v>1</v>
      </c>
      <c r="D268" s="42" t="n">
        <v>3</v>
      </c>
      <c r="E268" s="42" t="n">
        <v>0</v>
      </c>
      <c r="F268" s="42" t="n"/>
      <c r="G268" s="55">
        <f>IFERROR(INDEX('Semrush Data'!$A$1:$Z$20000,MATCH(A268,'Semrush Data'!$A$1:$A$20000,0),MATCH("Volume",'Semrush Data'!$A$1:$Z$1,0)),"")</f>
        <v/>
      </c>
      <c r="H268" s="42">
        <f>IFERROR(INDEX('Semrush Data'!$A$1:$Z$20000,MATCH(A268,'Semrush Data'!$A$1:$A$20000,0),MATCH("Keyword Difficulty*",'Semrush Data'!$A$1:$Z$1,0)),"")</f>
        <v/>
      </c>
      <c r="I268" s="56">
        <f>IFERROR(INDEX('Semrush Data'!$A$1:$Z$20000,MATCH(A268,'Semrush Data'!$A$1:$A$20000,0),MATCH("CPC*",'Semrush Data'!$A$1:$Z$1,0)),"")</f>
        <v/>
      </c>
      <c r="J268" s="42">
        <f>IFERROR(INDEX('Semrush Data'!$A$1:$Z$20000,MATCH(A268,'Semrush Data'!$A$1:$A$20000,0),MATCH("Intent",'Semrush Data'!$A$1:$Z$1,0)),"")</f>
        <v/>
      </c>
    </row>
    <row r="269" ht="15" customHeight="1" s="37">
      <c r="A269" s="42" t="inlineStr">
        <is>
          <t>buy vilvah aloe vera gel</t>
        </is>
      </c>
      <c r="B269" s="42" t="inlineStr">
        <is>
          <t>Google suggest (brand)</t>
        </is>
      </c>
      <c r="C269" s="42" t="n">
        <v>1</v>
      </c>
      <c r="D269" s="42" t="n">
        <v>3</v>
      </c>
      <c r="E269" s="42" t="n">
        <v>0</v>
      </c>
      <c r="F269" s="42" t="n"/>
      <c r="G269" s="55">
        <f>IFERROR(INDEX('Semrush Data'!$A$1:$Z$20000,MATCH(A269,'Semrush Data'!$A$1:$A$20000,0),MATCH("Volume",'Semrush Data'!$A$1:$Z$1,0)),"")</f>
        <v/>
      </c>
      <c r="H269" s="42">
        <f>IFERROR(INDEX('Semrush Data'!$A$1:$Z$20000,MATCH(A269,'Semrush Data'!$A$1:$A$20000,0),MATCH("Keyword Difficulty*",'Semrush Data'!$A$1:$Z$1,0)),"")</f>
        <v/>
      </c>
      <c r="I269" s="56">
        <f>IFERROR(INDEX('Semrush Data'!$A$1:$Z$20000,MATCH(A269,'Semrush Data'!$A$1:$A$20000,0),MATCH("CPC*",'Semrush Data'!$A$1:$Z$1,0)),"")</f>
        <v/>
      </c>
      <c r="J269" s="42">
        <f>IFERROR(INDEX('Semrush Data'!$A$1:$Z$20000,MATCH(A269,'Semrush Data'!$A$1:$A$20000,0),MATCH("Intent",'Semrush Data'!$A$1:$Z$1,0)),"")</f>
        <v/>
      </c>
    </row>
    <row r="270" ht="15" customHeight="1" s="37">
      <c r="A270" s="42" t="inlineStr">
        <is>
          <t>buy vilvah face wash</t>
        </is>
      </c>
      <c r="B270" s="42" t="inlineStr">
        <is>
          <t>Google suggest (brand)</t>
        </is>
      </c>
      <c r="C270" s="42" t="n">
        <v>1</v>
      </c>
      <c r="D270" s="42" t="n">
        <v>3</v>
      </c>
      <c r="E270" s="42" t="n">
        <v>0</v>
      </c>
      <c r="F270" s="42" t="n"/>
      <c r="G270" s="55">
        <f>IFERROR(INDEX('Semrush Data'!$A$1:$Z$20000,MATCH(A270,'Semrush Data'!$A$1:$A$20000,0),MATCH("Volume",'Semrush Data'!$A$1:$Z$1,0)),"")</f>
        <v/>
      </c>
      <c r="H270" s="42">
        <f>IFERROR(INDEX('Semrush Data'!$A$1:$Z$20000,MATCH(A270,'Semrush Data'!$A$1:$A$20000,0),MATCH("Keyword Difficulty*",'Semrush Data'!$A$1:$Z$1,0)),"")</f>
        <v/>
      </c>
      <c r="I270" s="56">
        <f>IFERROR(INDEX('Semrush Data'!$A$1:$Z$20000,MATCH(A270,'Semrush Data'!$A$1:$A$20000,0),MATCH("CPC*",'Semrush Data'!$A$1:$Z$1,0)),"")</f>
        <v/>
      </c>
      <c r="J270" s="42">
        <f>IFERROR(INDEX('Semrush Data'!$A$1:$Z$20000,MATCH(A270,'Semrush Data'!$A$1:$A$20000,0),MATCH("Intent",'Semrush Data'!$A$1:$Z$1,0)),"")</f>
        <v/>
      </c>
    </row>
    <row r="271" ht="15" customHeight="1" s="37">
      <c r="A271" s="42" t="inlineStr">
        <is>
          <t>buy vilvah foot cream</t>
        </is>
      </c>
      <c r="B271" s="42" t="inlineStr">
        <is>
          <t>Google suggest (brand)</t>
        </is>
      </c>
      <c r="C271" s="42" t="n">
        <v>1</v>
      </c>
      <c r="D271" s="42" t="n">
        <v>3</v>
      </c>
      <c r="E271" s="42" t="n">
        <v>0</v>
      </c>
      <c r="F271" s="42" t="n"/>
      <c r="G271" s="55">
        <f>IFERROR(INDEX('Semrush Data'!$A$1:$Z$20000,MATCH(A271,'Semrush Data'!$A$1:$A$20000,0),MATCH("Volume",'Semrush Data'!$A$1:$Z$1,0)),"")</f>
        <v/>
      </c>
      <c r="H271" s="42">
        <f>IFERROR(INDEX('Semrush Data'!$A$1:$Z$20000,MATCH(A271,'Semrush Data'!$A$1:$A$20000,0),MATCH("Keyword Difficulty*",'Semrush Data'!$A$1:$Z$1,0)),"")</f>
        <v/>
      </c>
      <c r="I271" s="56">
        <f>IFERROR(INDEX('Semrush Data'!$A$1:$Z$20000,MATCH(A271,'Semrush Data'!$A$1:$A$20000,0),MATCH("CPC*",'Semrush Data'!$A$1:$Z$1,0)),"")</f>
        <v/>
      </c>
      <c r="J271" s="42">
        <f>IFERROR(INDEX('Semrush Data'!$A$1:$Z$20000,MATCH(A271,'Semrush Data'!$A$1:$A$20000,0),MATCH("Intent",'Semrush Data'!$A$1:$Z$1,0)),"")</f>
        <v/>
      </c>
    </row>
    <row r="272" ht="15" customHeight="1" s="37">
      <c r="A272" s="42" t="inlineStr">
        <is>
          <t>buy vilvah lip balm</t>
        </is>
      </c>
      <c r="B272" s="42" t="inlineStr">
        <is>
          <t>Google suggest (brand)</t>
        </is>
      </c>
      <c r="C272" s="42" t="n">
        <v>1</v>
      </c>
      <c r="D272" s="42" t="n">
        <v>3</v>
      </c>
      <c r="E272" s="42" t="n">
        <v>0</v>
      </c>
      <c r="F272" s="42" t="n"/>
      <c r="G272" s="55">
        <f>IFERROR(INDEX('Semrush Data'!$A$1:$Z$20000,MATCH(A272,'Semrush Data'!$A$1:$A$20000,0),MATCH("Volume",'Semrush Data'!$A$1:$Z$1,0)),"")</f>
        <v/>
      </c>
      <c r="H272" s="42">
        <f>IFERROR(INDEX('Semrush Data'!$A$1:$Z$20000,MATCH(A272,'Semrush Data'!$A$1:$A$20000,0),MATCH("Keyword Difficulty*",'Semrush Data'!$A$1:$Z$1,0)),"")</f>
        <v/>
      </c>
      <c r="I272" s="56">
        <f>IFERROR(INDEX('Semrush Data'!$A$1:$Z$20000,MATCH(A272,'Semrush Data'!$A$1:$A$20000,0),MATCH("CPC*",'Semrush Data'!$A$1:$Z$1,0)),"")</f>
        <v/>
      </c>
      <c r="J272" s="42">
        <f>IFERROR(INDEX('Semrush Data'!$A$1:$Z$20000,MATCH(A272,'Semrush Data'!$A$1:$A$20000,0),MATCH("Intent",'Semrush Data'!$A$1:$Z$1,0)),"")</f>
        <v/>
      </c>
    </row>
    <row r="273" ht="15" customHeight="1" s="37">
      <c r="A273" s="42" t="inlineStr">
        <is>
          <t>buy vilvah milk drops</t>
        </is>
      </c>
      <c r="B273" s="42" t="inlineStr">
        <is>
          <t>Google suggest (brand)</t>
        </is>
      </c>
      <c r="C273" s="42" t="n">
        <v>1</v>
      </c>
      <c r="D273" s="42" t="n">
        <v>3</v>
      </c>
      <c r="E273" s="42" t="n">
        <v>0</v>
      </c>
      <c r="F273" s="42" t="n"/>
      <c r="G273" s="55">
        <f>IFERROR(INDEX('Semrush Data'!$A$1:$Z$20000,MATCH(A273,'Semrush Data'!$A$1:$A$20000,0),MATCH("Volume",'Semrush Data'!$A$1:$Z$1,0)),"")</f>
        <v/>
      </c>
      <c r="H273" s="42">
        <f>IFERROR(INDEX('Semrush Data'!$A$1:$Z$20000,MATCH(A273,'Semrush Data'!$A$1:$A$20000,0),MATCH("Keyword Difficulty*",'Semrush Data'!$A$1:$Z$1,0)),"")</f>
        <v/>
      </c>
      <c r="I273" s="56">
        <f>IFERROR(INDEX('Semrush Data'!$A$1:$Z$20000,MATCH(A273,'Semrush Data'!$A$1:$A$20000,0),MATCH("CPC*",'Semrush Data'!$A$1:$Z$1,0)),"")</f>
        <v/>
      </c>
      <c r="J273" s="42">
        <f>IFERROR(INDEX('Semrush Data'!$A$1:$Z$20000,MATCH(A273,'Semrush Data'!$A$1:$A$20000,0),MATCH("Intent",'Semrush Data'!$A$1:$Z$1,0)),"")</f>
        <v/>
      </c>
    </row>
    <row r="274" ht="15" customHeight="1" s="37">
      <c r="A274" s="42" t="inlineStr">
        <is>
          <t>buy vilvah milk drops serum</t>
        </is>
      </c>
      <c r="B274" s="42" t="inlineStr">
        <is>
          <t>Google suggest (brand)</t>
        </is>
      </c>
      <c r="C274" s="42" t="n">
        <v>1</v>
      </c>
      <c r="D274" s="42" t="n">
        <v>3</v>
      </c>
      <c r="E274" s="42" t="n">
        <v>0</v>
      </c>
      <c r="F274" s="42" t="n"/>
      <c r="G274" s="55">
        <f>IFERROR(INDEX('Semrush Data'!$A$1:$Z$20000,MATCH(A274,'Semrush Data'!$A$1:$A$20000,0),MATCH("Volume",'Semrush Data'!$A$1:$Z$1,0)),"")</f>
        <v/>
      </c>
      <c r="H274" s="42">
        <f>IFERROR(INDEX('Semrush Data'!$A$1:$Z$20000,MATCH(A274,'Semrush Data'!$A$1:$A$20000,0),MATCH("Keyword Difficulty*",'Semrush Data'!$A$1:$Z$1,0)),"")</f>
        <v/>
      </c>
      <c r="I274" s="56">
        <f>IFERROR(INDEX('Semrush Data'!$A$1:$Z$20000,MATCH(A274,'Semrush Data'!$A$1:$A$20000,0),MATCH("CPC*",'Semrush Data'!$A$1:$Z$1,0)),"")</f>
        <v/>
      </c>
      <c r="J274" s="42">
        <f>IFERROR(INDEX('Semrush Data'!$A$1:$Z$20000,MATCH(A274,'Semrush Data'!$A$1:$A$20000,0),MATCH("Intent",'Semrush Data'!$A$1:$Z$1,0)),"")</f>
        <v/>
      </c>
    </row>
    <row r="275" ht="15" customHeight="1" s="37">
      <c r="A275" s="42" t="inlineStr">
        <is>
          <t>buy vilvah products</t>
        </is>
      </c>
      <c r="B275" s="42" t="inlineStr">
        <is>
          <t>Google suggest (brand)</t>
        </is>
      </c>
      <c r="C275" s="42" t="n">
        <v>1</v>
      </c>
      <c r="D275" s="42" t="n">
        <v>3</v>
      </c>
      <c r="E275" s="42" t="n">
        <v>0</v>
      </c>
      <c r="F275" s="42" t="n"/>
      <c r="G275" s="55">
        <f>IFERROR(INDEX('Semrush Data'!$A$1:$Z$20000,MATCH(A275,'Semrush Data'!$A$1:$A$20000,0),MATCH("Volume",'Semrush Data'!$A$1:$Z$1,0)),"")</f>
        <v/>
      </c>
      <c r="H275" s="42">
        <f>IFERROR(INDEX('Semrush Data'!$A$1:$Z$20000,MATCH(A275,'Semrush Data'!$A$1:$A$20000,0),MATCH("Keyword Difficulty*",'Semrush Data'!$A$1:$Z$1,0)),"")</f>
        <v/>
      </c>
      <c r="I275" s="56">
        <f>IFERROR(INDEX('Semrush Data'!$A$1:$Z$20000,MATCH(A275,'Semrush Data'!$A$1:$A$20000,0),MATCH("CPC*",'Semrush Data'!$A$1:$Z$1,0)),"")</f>
        <v/>
      </c>
      <c r="J275" s="42">
        <f>IFERROR(INDEX('Semrush Data'!$A$1:$Z$20000,MATCH(A275,'Semrush Data'!$A$1:$A$20000,0),MATCH("Intent",'Semrush Data'!$A$1:$Z$1,0)),"")</f>
        <v/>
      </c>
    </row>
    <row r="276" ht="15" customHeight="1" s="37">
      <c r="A276" s="42" t="inlineStr">
        <is>
          <t>buy vilvah sunscreen</t>
        </is>
      </c>
      <c r="B276" s="42" t="inlineStr">
        <is>
          <t>Google suggest (brand)</t>
        </is>
      </c>
      <c r="C276" s="42" t="n">
        <v>1</v>
      </c>
      <c r="D276" s="42" t="n">
        <v>3</v>
      </c>
      <c r="E276" s="42" t="n">
        <v>0</v>
      </c>
      <c r="F276" s="42" t="n"/>
      <c r="G276" s="55">
        <f>IFERROR(INDEX('Semrush Data'!$A$1:$Z$20000,MATCH(A276,'Semrush Data'!$A$1:$A$20000,0),MATCH("Volume",'Semrush Data'!$A$1:$Z$1,0)),"")</f>
        <v/>
      </c>
      <c r="H276" s="42">
        <f>IFERROR(INDEX('Semrush Data'!$A$1:$Z$20000,MATCH(A276,'Semrush Data'!$A$1:$A$20000,0),MATCH("Keyword Difficulty*",'Semrush Data'!$A$1:$Z$1,0)),"")</f>
        <v/>
      </c>
      <c r="I276" s="56">
        <f>IFERROR(INDEX('Semrush Data'!$A$1:$Z$20000,MATCH(A276,'Semrush Data'!$A$1:$A$20000,0),MATCH("CPC*",'Semrush Data'!$A$1:$Z$1,0)),"")</f>
        <v/>
      </c>
      <c r="J276" s="42">
        <f>IFERROR(INDEX('Semrush Data'!$A$1:$Z$20000,MATCH(A276,'Semrush Data'!$A$1:$A$20000,0),MATCH("Intent",'Semrush Data'!$A$1:$Z$1,0)),"")</f>
        <v/>
      </c>
    </row>
    <row r="277" ht="15" customHeight="1" s="37">
      <c r="A277" s="42" t="inlineStr">
        <is>
          <t>buy vilvah under eye cream</t>
        </is>
      </c>
      <c r="B277" s="42" t="inlineStr">
        <is>
          <t>Google suggest (brand)</t>
        </is>
      </c>
      <c r="C277" s="42" t="n">
        <v>1</v>
      </c>
      <c r="D277" s="42" t="n">
        <v>3</v>
      </c>
      <c r="E277" s="42" t="n">
        <v>0</v>
      </c>
      <c r="F277" s="42" t="n"/>
      <c r="G277" s="55">
        <f>IFERROR(INDEX('Semrush Data'!$A$1:$Z$20000,MATCH(A277,'Semrush Data'!$A$1:$A$20000,0),MATCH("Volume",'Semrush Data'!$A$1:$Z$1,0)),"")</f>
        <v/>
      </c>
      <c r="H277" s="42">
        <f>IFERROR(INDEX('Semrush Data'!$A$1:$Z$20000,MATCH(A277,'Semrush Data'!$A$1:$A$20000,0),MATCH("Keyword Difficulty*",'Semrush Data'!$A$1:$Z$1,0)),"")</f>
        <v/>
      </c>
      <c r="I277" s="56">
        <f>IFERROR(INDEX('Semrush Data'!$A$1:$Z$20000,MATCH(A277,'Semrush Data'!$A$1:$A$20000,0),MATCH("CPC*",'Semrush Data'!$A$1:$Z$1,0)),"")</f>
        <v/>
      </c>
      <c r="J277" s="42">
        <f>IFERROR(INDEX('Semrush Data'!$A$1:$Z$20000,MATCH(A277,'Semrush Data'!$A$1:$A$20000,0),MATCH("Intent",'Semrush Data'!$A$1:$Z$1,0)),"")</f>
        <v/>
      </c>
    </row>
    <row r="278" ht="15" customHeight="1" s="37">
      <c r="A278" s="42" t="inlineStr">
        <is>
          <t>deyga beetroot lip balm</t>
        </is>
      </c>
      <c r="B278" s="42" t="inlineStr">
        <is>
          <t>Google suggest (brand)</t>
        </is>
      </c>
      <c r="C278" s="42" t="n">
        <v>1</v>
      </c>
      <c r="D278" s="42" t="n">
        <v>3</v>
      </c>
      <c r="E278" s="42" t="n">
        <v>0</v>
      </c>
      <c r="F278" s="42" t="n"/>
      <c r="G278" s="55">
        <f>IFERROR(INDEX('Semrush Data'!$A$1:$Z$20000,MATCH(A278,'Semrush Data'!$A$1:$A$20000,0),MATCH("Volume",'Semrush Data'!$A$1:$Z$1,0)),"")</f>
        <v/>
      </c>
      <c r="H278" s="42">
        <f>IFERROR(INDEX('Semrush Data'!$A$1:$Z$20000,MATCH(A278,'Semrush Data'!$A$1:$A$20000,0),MATCH("Keyword Difficulty*",'Semrush Data'!$A$1:$Z$1,0)),"")</f>
        <v/>
      </c>
      <c r="I278" s="56">
        <f>IFERROR(INDEX('Semrush Data'!$A$1:$Z$20000,MATCH(A278,'Semrush Data'!$A$1:$A$20000,0),MATCH("CPC*",'Semrush Data'!$A$1:$Z$1,0)),"")</f>
        <v/>
      </c>
      <c r="J278" s="42">
        <f>IFERROR(INDEX('Semrush Data'!$A$1:$Z$20000,MATCH(A278,'Semrush Data'!$A$1:$A$20000,0),MATCH("Intent",'Semrush Data'!$A$1:$Z$1,0)),"")</f>
        <v/>
      </c>
    </row>
    <row r="279" ht="15" customHeight="1" s="37">
      <c r="A279" s="42" t="inlineStr">
        <is>
          <t>deyga buy 5 at 999</t>
        </is>
      </c>
      <c r="B279" s="42" t="inlineStr">
        <is>
          <t>Google suggest (brand)</t>
        </is>
      </c>
      <c r="C279" s="42" t="n">
        <v>1</v>
      </c>
      <c r="D279" s="42" t="n">
        <v>3</v>
      </c>
      <c r="E279" s="42" t="n">
        <v>0</v>
      </c>
      <c r="F279" s="42" t="n"/>
      <c r="G279" s="55">
        <f>IFERROR(INDEX('Semrush Data'!$A$1:$Z$20000,MATCH(A279,'Semrush Data'!$A$1:$A$20000,0),MATCH("Volume",'Semrush Data'!$A$1:$Z$1,0)),"")</f>
        <v/>
      </c>
      <c r="H279" s="42">
        <f>IFERROR(INDEX('Semrush Data'!$A$1:$Z$20000,MATCH(A279,'Semrush Data'!$A$1:$A$20000,0),MATCH("Keyword Difficulty*",'Semrush Data'!$A$1:$Z$1,0)),"")</f>
        <v/>
      </c>
      <c r="I279" s="56">
        <f>IFERROR(INDEX('Semrush Data'!$A$1:$Z$20000,MATCH(A279,'Semrush Data'!$A$1:$A$20000,0),MATCH("CPC*",'Semrush Data'!$A$1:$Z$1,0)),"")</f>
        <v/>
      </c>
      <c r="J279" s="42">
        <f>IFERROR(INDEX('Semrush Data'!$A$1:$Z$20000,MATCH(A279,'Semrush Data'!$A$1:$A$20000,0),MATCH("Intent",'Semrush Data'!$A$1:$Z$1,0)),"")</f>
        <v/>
      </c>
    </row>
    <row r="280" ht="15" customHeight="1" s="37">
      <c r="A280" s="42" t="inlineStr">
        <is>
          <t>deyga buy one get one</t>
        </is>
      </c>
      <c r="B280" s="42" t="inlineStr">
        <is>
          <t>Google suggest (brand)</t>
        </is>
      </c>
      <c r="C280" s="42" t="n">
        <v>1</v>
      </c>
      <c r="D280" s="42" t="n">
        <v>3</v>
      </c>
      <c r="E280" s="42" t="n">
        <v>0</v>
      </c>
      <c r="F280" s="42" t="n"/>
      <c r="G280" s="55">
        <f>IFERROR(INDEX('Semrush Data'!$A$1:$Z$20000,MATCH(A280,'Semrush Data'!$A$1:$A$20000,0),MATCH("Volume",'Semrush Data'!$A$1:$Z$1,0)),"")</f>
        <v/>
      </c>
      <c r="H280" s="42">
        <f>IFERROR(INDEX('Semrush Data'!$A$1:$Z$20000,MATCH(A280,'Semrush Data'!$A$1:$A$20000,0),MATCH("Keyword Difficulty*",'Semrush Data'!$A$1:$Z$1,0)),"")</f>
        <v/>
      </c>
      <c r="I280" s="56">
        <f>IFERROR(INDEX('Semrush Data'!$A$1:$Z$20000,MATCH(A280,'Semrush Data'!$A$1:$A$20000,0),MATCH("CPC*",'Semrush Data'!$A$1:$Z$1,0)),"")</f>
        <v/>
      </c>
      <c r="J280" s="42">
        <f>IFERROR(INDEX('Semrush Data'!$A$1:$Z$20000,MATCH(A280,'Semrush Data'!$A$1:$A$20000,0),MATCH("Intent",'Semrush Data'!$A$1:$Z$1,0)),"")</f>
        <v/>
      </c>
    </row>
    <row r="281" ht="15" customHeight="1" s="37">
      <c r="A281" s="42" t="inlineStr">
        <is>
          <t>deyga charcoal soap</t>
        </is>
      </c>
      <c r="B281" s="42" t="inlineStr">
        <is>
          <t>Google suggest (brand)</t>
        </is>
      </c>
      <c r="C281" s="42" t="n">
        <v>1</v>
      </c>
      <c r="D281" s="42" t="n">
        <v>3</v>
      </c>
      <c r="E281" s="42" t="n">
        <v>0</v>
      </c>
      <c r="F281" s="42" t="n"/>
      <c r="G281" s="55">
        <f>IFERROR(INDEX('Semrush Data'!$A$1:$Z$20000,MATCH(A281,'Semrush Data'!$A$1:$A$20000,0),MATCH("Volume",'Semrush Data'!$A$1:$Z$1,0)),"")</f>
        <v/>
      </c>
      <c r="H281" s="42">
        <f>IFERROR(INDEX('Semrush Data'!$A$1:$Z$20000,MATCH(A281,'Semrush Data'!$A$1:$A$20000,0),MATCH("Keyword Difficulty*",'Semrush Data'!$A$1:$Z$1,0)),"")</f>
        <v/>
      </c>
      <c r="I281" s="56">
        <f>IFERROR(INDEX('Semrush Data'!$A$1:$Z$20000,MATCH(A281,'Semrush Data'!$A$1:$A$20000,0),MATCH("CPC*",'Semrush Data'!$A$1:$Z$1,0)),"")</f>
        <v/>
      </c>
      <c r="J281" s="42">
        <f>IFERROR(INDEX('Semrush Data'!$A$1:$Z$20000,MATCH(A281,'Semrush Data'!$A$1:$A$20000,0),MATCH("Intent",'Semrush Data'!$A$1:$Z$1,0)),"")</f>
        <v/>
      </c>
    </row>
    <row r="282" ht="15" customHeight="1" s="37">
      <c r="A282" s="42" t="inlineStr">
        <is>
          <t>deyga hair color</t>
        </is>
      </c>
      <c r="B282" s="42" t="inlineStr">
        <is>
          <t>Google suggest (brand)</t>
        </is>
      </c>
      <c r="C282" s="42" t="n">
        <v>1</v>
      </c>
      <c r="D282" s="42" t="n">
        <v>3</v>
      </c>
      <c r="E282" s="42" t="n">
        <v>0</v>
      </c>
      <c r="F282" s="42" t="n"/>
      <c r="G282" s="55">
        <f>IFERROR(INDEX('Semrush Data'!$A$1:$Z$20000,MATCH(A282,'Semrush Data'!$A$1:$A$20000,0),MATCH("Volume",'Semrush Data'!$A$1:$Z$1,0)),"")</f>
        <v/>
      </c>
      <c r="H282" s="42">
        <f>IFERROR(INDEX('Semrush Data'!$A$1:$Z$20000,MATCH(A282,'Semrush Data'!$A$1:$A$20000,0),MATCH("Keyword Difficulty*",'Semrush Data'!$A$1:$Z$1,0)),"")</f>
        <v/>
      </c>
      <c r="I282" s="56">
        <f>IFERROR(INDEX('Semrush Data'!$A$1:$Z$20000,MATCH(A282,'Semrush Data'!$A$1:$A$20000,0),MATCH("CPC*",'Semrush Data'!$A$1:$Z$1,0)),"")</f>
        <v/>
      </c>
      <c r="J282" s="42">
        <f>IFERROR(INDEX('Semrush Data'!$A$1:$Z$20000,MATCH(A282,'Semrush Data'!$A$1:$A$20000,0),MATCH("Intent",'Semrush Data'!$A$1:$Z$1,0)),"")</f>
        <v/>
      </c>
    </row>
    <row r="283" ht="15" customHeight="1" s="37">
      <c r="A283" s="42" t="inlineStr">
        <is>
          <t>deyga hair dye</t>
        </is>
      </c>
      <c r="B283" s="42" t="inlineStr">
        <is>
          <t>Google suggest (brand)</t>
        </is>
      </c>
      <c r="C283" s="42" t="n">
        <v>1</v>
      </c>
      <c r="D283" s="42" t="n">
        <v>3</v>
      </c>
      <c r="E283" s="42" t="n">
        <v>0</v>
      </c>
      <c r="F283" s="42" t="n"/>
      <c r="G283" s="55">
        <f>IFERROR(INDEX('Semrush Data'!$A$1:$Z$20000,MATCH(A283,'Semrush Data'!$A$1:$A$20000,0),MATCH("Volume",'Semrush Data'!$A$1:$Z$1,0)),"")</f>
        <v/>
      </c>
      <c r="H283" s="42">
        <f>IFERROR(INDEX('Semrush Data'!$A$1:$Z$20000,MATCH(A283,'Semrush Data'!$A$1:$A$20000,0),MATCH("Keyword Difficulty*",'Semrush Data'!$A$1:$Z$1,0)),"")</f>
        <v/>
      </c>
      <c r="I283" s="56">
        <f>IFERROR(INDEX('Semrush Data'!$A$1:$Z$20000,MATCH(A283,'Semrush Data'!$A$1:$A$20000,0),MATCH("CPC*",'Semrush Data'!$A$1:$Z$1,0)),"")</f>
        <v/>
      </c>
      <c r="J283" s="42">
        <f>IFERROR(INDEX('Semrush Data'!$A$1:$Z$20000,MATCH(A283,'Semrush Data'!$A$1:$A$20000,0),MATCH("Intent",'Semrush Data'!$A$1:$Z$1,0)),"")</f>
        <v/>
      </c>
    </row>
    <row r="284" ht="15" customHeight="1" s="37">
      <c r="A284" s="42" t="inlineStr">
        <is>
          <t>deyga organics</t>
        </is>
      </c>
      <c r="B284" s="42" t="inlineStr">
        <is>
          <t>Google suggest (brand)</t>
        </is>
      </c>
      <c r="C284" s="42" t="n">
        <v>1</v>
      </c>
      <c r="D284" s="42" t="n">
        <v>3</v>
      </c>
      <c r="E284" s="42" t="n">
        <v>0</v>
      </c>
      <c r="F284" s="42" t="n"/>
      <c r="G284" s="55">
        <f>IFERROR(INDEX('Semrush Data'!$A$1:$Z$20000,MATCH(A284,'Semrush Data'!$A$1:$A$20000,0),MATCH("Volume",'Semrush Data'!$A$1:$Z$1,0)),"")</f>
        <v/>
      </c>
      <c r="H284" s="42">
        <f>IFERROR(INDEX('Semrush Data'!$A$1:$Z$20000,MATCH(A284,'Semrush Data'!$A$1:$A$20000,0),MATCH("Keyword Difficulty*",'Semrush Data'!$A$1:$Z$1,0)),"")</f>
        <v/>
      </c>
      <c r="I284" s="56">
        <f>IFERROR(INDEX('Semrush Data'!$A$1:$Z$20000,MATCH(A284,'Semrush Data'!$A$1:$A$20000,0),MATCH("CPC*",'Semrush Data'!$A$1:$Z$1,0)),"")</f>
        <v/>
      </c>
      <c r="J284" s="42">
        <f>IFERROR(INDEX('Semrush Data'!$A$1:$Z$20000,MATCH(A284,'Semrush Data'!$A$1:$A$20000,0),MATCH("Intent",'Semrush Data'!$A$1:$Z$1,0)),"")</f>
        <v/>
      </c>
    </row>
    <row r="285" ht="15" customHeight="1" s="37">
      <c r="A285" s="42" t="inlineStr">
        <is>
          <t>deyga organics uk</t>
        </is>
      </c>
      <c r="B285" s="42" t="inlineStr">
        <is>
          <t>Google suggest (brand)</t>
        </is>
      </c>
      <c r="C285" s="42" t="n">
        <v>1</v>
      </c>
      <c r="D285" s="42" t="n">
        <v>3</v>
      </c>
      <c r="E285" s="42" t="n">
        <v>0</v>
      </c>
      <c r="F285" s="42" t="n"/>
      <c r="G285" s="55">
        <f>IFERROR(INDEX('Semrush Data'!$A$1:$Z$20000,MATCH(A285,'Semrush Data'!$A$1:$A$20000,0),MATCH("Volume",'Semrush Data'!$A$1:$Z$1,0)),"")</f>
        <v/>
      </c>
      <c r="H285" s="42">
        <f>IFERROR(INDEX('Semrush Data'!$A$1:$Z$20000,MATCH(A285,'Semrush Data'!$A$1:$A$20000,0),MATCH("Keyword Difficulty*",'Semrush Data'!$A$1:$Z$1,0)),"")</f>
        <v/>
      </c>
      <c r="I285" s="56">
        <f>IFERROR(INDEX('Semrush Data'!$A$1:$Z$20000,MATCH(A285,'Semrush Data'!$A$1:$A$20000,0),MATCH("CPC*",'Semrush Data'!$A$1:$Z$1,0)),"")</f>
        <v/>
      </c>
      <c r="J285" s="42">
        <f>IFERROR(INDEX('Semrush Data'!$A$1:$Z$20000,MATCH(A285,'Semrush Data'!$A$1:$A$20000,0),MATCH("Intent",'Semrush Data'!$A$1:$Z$1,0)),"")</f>
        <v/>
      </c>
    </row>
    <row r="286" ht="15" customHeight="1" s="37">
      <c r="A286" s="42" t="inlineStr">
        <is>
          <t>deyga products near me</t>
        </is>
      </c>
      <c r="B286" s="42" t="inlineStr">
        <is>
          <t>Google suggest (brand)</t>
        </is>
      </c>
      <c r="C286" s="42" t="n">
        <v>1</v>
      </c>
      <c r="D286" s="42" t="n">
        <v>3</v>
      </c>
      <c r="E286" s="42" t="n">
        <v>0</v>
      </c>
      <c r="F286" s="42" t="n"/>
      <c r="G286" s="55">
        <f>IFERROR(INDEX('Semrush Data'!$A$1:$Z$20000,MATCH(A286,'Semrush Data'!$A$1:$A$20000,0),MATCH("Volume",'Semrush Data'!$A$1:$Z$1,0)),"")</f>
        <v/>
      </c>
      <c r="H286" s="42">
        <f>IFERROR(INDEX('Semrush Data'!$A$1:$Z$20000,MATCH(A286,'Semrush Data'!$A$1:$A$20000,0),MATCH("Keyword Difficulty*",'Semrush Data'!$A$1:$Z$1,0)),"")</f>
        <v/>
      </c>
      <c r="I286" s="56">
        <f>IFERROR(INDEX('Semrush Data'!$A$1:$Z$20000,MATCH(A286,'Semrush Data'!$A$1:$A$20000,0),MATCH("CPC*",'Semrush Data'!$A$1:$Z$1,0)),"")</f>
        <v/>
      </c>
      <c r="J286" s="42">
        <f>IFERROR(INDEX('Semrush Data'!$A$1:$Z$20000,MATCH(A286,'Semrush Data'!$A$1:$A$20000,0),MATCH("Intent",'Semrush Data'!$A$1:$Z$1,0)),"")</f>
        <v/>
      </c>
    </row>
    <row r="287" ht="15" customHeight="1" s="37">
      <c r="A287" s="42" t="inlineStr">
        <is>
          <t>deyga shop near me</t>
        </is>
      </c>
      <c r="B287" s="42" t="inlineStr">
        <is>
          <t>Google suggest (brand)</t>
        </is>
      </c>
      <c r="C287" s="42" t="n">
        <v>1</v>
      </c>
      <c r="D287" s="42" t="n">
        <v>3</v>
      </c>
      <c r="E287" s="42" t="n">
        <v>0</v>
      </c>
      <c r="F287" s="42" t="n"/>
      <c r="G287" s="55">
        <f>IFERROR(INDEX('Semrush Data'!$A$1:$Z$20000,MATCH(A287,'Semrush Data'!$A$1:$A$20000,0),MATCH("Volume",'Semrush Data'!$A$1:$Z$1,0)),"")</f>
        <v/>
      </c>
      <c r="H287" s="42">
        <f>IFERROR(INDEX('Semrush Data'!$A$1:$Z$20000,MATCH(A287,'Semrush Data'!$A$1:$A$20000,0),MATCH("Keyword Difficulty*",'Semrush Data'!$A$1:$Z$1,0)),"")</f>
        <v/>
      </c>
      <c r="I287" s="56">
        <f>IFERROR(INDEX('Semrush Data'!$A$1:$Z$20000,MATCH(A287,'Semrush Data'!$A$1:$A$20000,0),MATCH("CPC*",'Semrush Data'!$A$1:$Z$1,0)),"")</f>
        <v/>
      </c>
      <c r="J287" s="42">
        <f>IFERROR(INDEX('Semrush Data'!$A$1:$Z$20000,MATCH(A287,'Semrush Data'!$A$1:$A$20000,0),MATCH("Intent",'Semrush Data'!$A$1:$Z$1,0)),"")</f>
        <v/>
      </c>
    </row>
    <row r="288" ht="15" customHeight="1" s="37">
      <c r="A288" s="42" t="inlineStr">
        <is>
          <t>vilvah contact</t>
        </is>
      </c>
      <c r="B288" s="42" t="inlineStr">
        <is>
          <t>Google suggest (brand)</t>
        </is>
      </c>
      <c r="C288" s="42" t="n">
        <v>1</v>
      </c>
      <c r="D288" s="42" t="n">
        <v>3</v>
      </c>
      <c r="E288" s="42" t="n">
        <v>0</v>
      </c>
      <c r="F288" s="42" t="n"/>
      <c r="G288" s="55">
        <f>IFERROR(INDEX('Semrush Data'!$A$1:$Z$20000,MATCH(A288,'Semrush Data'!$A$1:$A$20000,0),MATCH("Volume",'Semrush Data'!$A$1:$Z$1,0)),"")</f>
        <v/>
      </c>
      <c r="H288" s="42">
        <f>IFERROR(INDEX('Semrush Data'!$A$1:$Z$20000,MATCH(A288,'Semrush Data'!$A$1:$A$20000,0),MATCH("Keyword Difficulty*",'Semrush Data'!$A$1:$Z$1,0)),"")</f>
        <v/>
      </c>
      <c r="I288" s="56">
        <f>IFERROR(INDEX('Semrush Data'!$A$1:$Z$20000,MATCH(A288,'Semrush Data'!$A$1:$A$20000,0),MATCH("CPC*",'Semrush Data'!$A$1:$Z$1,0)),"")</f>
        <v/>
      </c>
      <c r="J288" s="42">
        <f>IFERROR(INDEX('Semrush Data'!$A$1:$Z$20000,MATCH(A288,'Semrush Data'!$A$1:$A$20000,0),MATCH("Intent",'Semrush Data'!$A$1:$Z$1,0)),"")</f>
        <v/>
      </c>
    </row>
    <row r="289" ht="15" customHeight="1" s="37">
      <c r="A289" s="42" t="inlineStr">
        <is>
          <t>vilvah milk drops</t>
        </is>
      </c>
      <c r="B289" s="42" t="inlineStr">
        <is>
          <t>Google suggest (brand)</t>
        </is>
      </c>
      <c r="C289" s="42" t="n">
        <v>1</v>
      </c>
      <c r="D289" s="42" t="n">
        <v>3</v>
      </c>
      <c r="E289" s="42" t="n">
        <v>0</v>
      </c>
      <c r="F289" s="42" t="n"/>
      <c r="G289" s="55">
        <f>IFERROR(INDEX('Semrush Data'!$A$1:$Z$20000,MATCH(A289,'Semrush Data'!$A$1:$A$20000,0),MATCH("Volume",'Semrush Data'!$A$1:$Z$1,0)),"")</f>
        <v/>
      </c>
      <c r="H289" s="42">
        <f>IFERROR(INDEX('Semrush Data'!$A$1:$Z$20000,MATCH(A289,'Semrush Data'!$A$1:$A$20000,0),MATCH("Keyword Difficulty*",'Semrush Data'!$A$1:$Z$1,0)),"")</f>
        <v/>
      </c>
      <c r="I289" s="56">
        <f>IFERROR(INDEX('Semrush Data'!$A$1:$Z$20000,MATCH(A289,'Semrush Data'!$A$1:$A$20000,0),MATCH("CPC*",'Semrush Data'!$A$1:$Z$1,0)),"")</f>
        <v/>
      </c>
      <c r="J289" s="42">
        <f>IFERROR(INDEX('Semrush Data'!$A$1:$Z$20000,MATCH(A289,'Semrush Data'!$A$1:$A$20000,0),MATCH("Intent",'Semrush Data'!$A$1:$Z$1,0)),"")</f>
        <v/>
      </c>
    </row>
    <row r="290" ht="15" customHeight="1" s="37">
      <c r="A290" s="42" t="inlineStr">
        <is>
          <t>vilvah milk drops uk</t>
        </is>
      </c>
      <c r="B290" s="42" t="inlineStr">
        <is>
          <t>Google suggest (brand)</t>
        </is>
      </c>
      <c r="C290" s="42" t="n">
        <v>1</v>
      </c>
      <c r="D290" s="42" t="n">
        <v>3</v>
      </c>
      <c r="E290" s="42" t="n">
        <v>0</v>
      </c>
      <c r="F290" s="42" t="n"/>
      <c r="G290" s="55">
        <f>IFERROR(INDEX('Semrush Data'!$A$1:$Z$20000,MATCH(A290,'Semrush Data'!$A$1:$A$20000,0),MATCH("Volume",'Semrush Data'!$A$1:$Z$1,0)),"")</f>
        <v/>
      </c>
      <c r="H290" s="42">
        <f>IFERROR(INDEX('Semrush Data'!$A$1:$Z$20000,MATCH(A290,'Semrush Data'!$A$1:$A$20000,0),MATCH("Keyword Difficulty*",'Semrush Data'!$A$1:$Z$1,0)),"")</f>
        <v/>
      </c>
      <c r="I290" s="56">
        <f>IFERROR(INDEX('Semrush Data'!$A$1:$Z$20000,MATCH(A290,'Semrush Data'!$A$1:$A$20000,0),MATCH("CPC*",'Semrush Data'!$A$1:$Z$1,0)),"")</f>
        <v/>
      </c>
      <c r="J290" s="42">
        <f>IFERROR(INDEX('Semrush Data'!$A$1:$Z$20000,MATCH(A290,'Semrush Data'!$A$1:$A$20000,0),MATCH("Intent",'Semrush Data'!$A$1:$Z$1,0)),"")</f>
        <v/>
      </c>
    </row>
    <row r="291" ht="15" customHeight="1" s="37">
      <c r="A291" s="42" t="inlineStr">
        <is>
          <t>vilvah milk serum</t>
        </is>
      </c>
      <c r="B291" s="42" t="inlineStr">
        <is>
          <t>Google suggest (brand)</t>
        </is>
      </c>
      <c r="C291" s="42" t="n">
        <v>1</v>
      </c>
      <c r="D291" s="42" t="n">
        <v>3</v>
      </c>
      <c r="E291" s="42" t="n">
        <v>0</v>
      </c>
      <c r="F291" s="42" t="n"/>
      <c r="G291" s="55">
        <f>IFERROR(INDEX('Semrush Data'!$A$1:$Z$20000,MATCH(A291,'Semrush Data'!$A$1:$A$20000,0),MATCH("Volume",'Semrush Data'!$A$1:$Z$1,0)),"")</f>
        <v/>
      </c>
      <c r="H291" s="42">
        <f>IFERROR(INDEX('Semrush Data'!$A$1:$Z$20000,MATCH(A291,'Semrush Data'!$A$1:$A$20000,0),MATCH("Keyword Difficulty*",'Semrush Data'!$A$1:$Z$1,0)),"")</f>
        <v/>
      </c>
      <c r="I291" s="56">
        <f>IFERROR(INDEX('Semrush Data'!$A$1:$Z$20000,MATCH(A291,'Semrush Data'!$A$1:$A$20000,0),MATCH("CPC*",'Semrush Data'!$A$1:$Z$1,0)),"")</f>
        <v/>
      </c>
      <c r="J291" s="42">
        <f>IFERROR(INDEX('Semrush Data'!$A$1:$Z$20000,MATCH(A291,'Semrush Data'!$A$1:$A$20000,0),MATCH("Intent",'Semrush Data'!$A$1:$Z$1,0)),"")</f>
        <v/>
      </c>
    </row>
    <row r="292" ht="15" customHeight="1" s="37">
      <c r="A292" s="42" t="inlineStr">
        <is>
          <t>vilvah near me</t>
        </is>
      </c>
      <c r="B292" s="42" t="inlineStr">
        <is>
          <t>Google suggest (brand)</t>
        </is>
      </c>
      <c r="C292" s="42" t="n">
        <v>1</v>
      </c>
      <c r="D292" s="42" t="n">
        <v>3</v>
      </c>
      <c r="E292" s="42" t="n">
        <v>0</v>
      </c>
      <c r="F292" s="42" t="n"/>
      <c r="G292" s="55">
        <f>IFERROR(INDEX('Semrush Data'!$A$1:$Z$20000,MATCH(A292,'Semrush Data'!$A$1:$A$20000,0),MATCH("Volume",'Semrush Data'!$A$1:$Z$1,0)),"")</f>
        <v/>
      </c>
      <c r="H292" s="42">
        <f>IFERROR(INDEX('Semrush Data'!$A$1:$Z$20000,MATCH(A292,'Semrush Data'!$A$1:$A$20000,0),MATCH("Keyword Difficulty*",'Semrush Data'!$A$1:$Z$1,0)),"")</f>
        <v/>
      </c>
      <c r="I292" s="56">
        <f>IFERROR(INDEX('Semrush Data'!$A$1:$Z$20000,MATCH(A292,'Semrush Data'!$A$1:$A$20000,0),MATCH("CPC*",'Semrush Data'!$A$1:$Z$1,0)),"")</f>
        <v/>
      </c>
      <c r="J292" s="42">
        <f>IFERROR(INDEX('Semrush Data'!$A$1:$Z$20000,MATCH(A292,'Semrush Data'!$A$1:$A$20000,0),MATCH("Intent",'Semrush Data'!$A$1:$Z$1,0)),"")</f>
        <v/>
      </c>
    </row>
    <row r="293" ht="15" customHeight="1" s="37">
      <c r="A293" s="42" t="inlineStr">
        <is>
          <t>vilvah review</t>
        </is>
      </c>
      <c r="B293" s="42" t="inlineStr">
        <is>
          <t>Google suggest (brand)</t>
        </is>
      </c>
      <c r="C293" s="42" t="n">
        <v>1</v>
      </c>
      <c r="D293" s="42" t="n">
        <v>3</v>
      </c>
      <c r="E293" s="42" t="n">
        <v>0</v>
      </c>
      <c r="F293" s="42" t="n"/>
      <c r="G293" s="55">
        <f>IFERROR(INDEX('Semrush Data'!$A$1:$Z$20000,MATCH(A293,'Semrush Data'!$A$1:$A$20000,0),MATCH("Volume",'Semrush Data'!$A$1:$Z$1,0)),"")</f>
        <v/>
      </c>
      <c r="H293" s="42">
        <f>IFERROR(INDEX('Semrush Data'!$A$1:$Z$20000,MATCH(A293,'Semrush Data'!$A$1:$A$20000,0),MATCH("Keyword Difficulty*",'Semrush Data'!$A$1:$Z$1,0)),"")</f>
        <v/>
      </c>
      <c r="I293" s="56">
        <f>IFERROR(INDEX('Semrush Data'!$A$1:$Z$20000,MATCH(A293,'Semrush Data'!$A$1:$A$20000,0),MATCH("CPC*",'Semrush Data'!$A$1:$Z$1,0)),"")</f>
        <v/>
      </c>
      <c r="J293" s="42">
        <f>IFERROR(INDEX('Semrush Data'!$A$1:$Z$20000,MATCH(A293,'Semrush Data'!$A$1:$A$20000,0),MATCH("Intent",'Semrush Data'!$A$1:$Z$1,0)),"")</f>
        <v/>
      </c>
    </row>
    <row r="294" ht="15" customHeight="1" s="37">
      <c r="A294" s="42" t="inlineStr">
        <is>
          <t>vilvah store</t>
        </is>
      </c>
      <c r="B294" s="42" t="inlineStr">
        <is>
          <t>Google suggest (brand)</t>
        </is>
      </c>
      <c r="C294" s="42" t="n">
        <v>1</v>
      </c>
      <c r="D294" s="42" t="n">
        <v>3</v>
      </c>
      <c r="E294" s="42" t="n">
        <v>0</v>
      </c>
      <c r="F294" s="42" t="n"/>
      <c r="G294" s="55">
        <f>IFERROR(INDEX('Semrush Data'!$A$1:$Z$20000,MATCH(A294,'Semrush Data'!$A$1:$A$20000,0),MATCH("Volume",'Semrush Data'!$A$1:$Z$1,0)),"")</f>
        <v/>
      </c>
      <c r="H294" s="42">
        <f>IFERROR(INDEX('Semrush Data'!$A$1:$Z$20000,MATCH(A294,'Semrush Data'!$A$1:$A$20000,0),MATCH("Keyword Difficulty*",'Semrush Data'!$A$1:$Z$1,0)),"")</f>
        <v/>
      </c>
      <c r="I294" s="56">
        <f>IFERROR(INDEX('Semrush Data'!$A$1:$Z$20000,MATCH(A294,'Semrush Data'!$A$1:$A$20000,0),MATCH("CPC*",'Semrush Data'!$A$1:$Z$1,0)),"")</f>
        <v/>
      </c>
      <c r="J294" s="42">
        <f>IFERROR(INDEX('Semrush Data'!$A$1:$Z$20000,MATCH(A294,'Semrush Data'!$A$1:$A$20000,0),MATCH("Intent",'Semrush Data'!$A$1:$Z$1,0)),"")</f>
        <v/>
      </c>
    </row>
    <row r="295" ht="15" customHeight="1" s="37">
      <c r="A295" s="42" t="inlineStr">
        <is>
          <t>vilvah store uk</t>
        </is>
      </c>
      <c r="B295" s="42" t="inlineStr">
        <is>
          <t>Google suggest (brand)</t>
        </is>
      </c>
      <c r="C295" s="42" t="n">
        <v>1</v>
      </c>
      <c r="D295" s="42" t="n">
        <v>3</v>
      </c>
      <c r="E295" s="42" t="n">
        <v>0</v>
      </c>
      <c r="F295" s="42" t="n"/>
      <c r="G295" s="55">
        <f>IFERROR(INDEX('Semrush Data'!$A$1:$Z$20000,MATCH(A295,'Semrush Data'!$A$1:$A$20000,0),MATCH("Volume",'Semrush Data'!$A$1:$Z$1,0)),"")</f>
        <v/>
      </c>
      <c r="H295" s="42">
        <f>IFERROR(INDEX('Semrush Data'!$A$1:$Z$20000,MATCH(A295,'Semrush Data'!$A$1:$A$20000,0),MATCH("Keyword Difficulty*",'Semrush Data'!$A$1:$Z$1,0)),"")</f>
        <v/>
      </c>
      <c r="I295" s="56">
        <f>IFERROR(INDEX('Semrush Data'!$A$1:$Z$20000,MATCH(A295,'Semrush Data'!$A$1:$A$20000,0),MATCH("CPC*",'Semrush Data'!$A$1:$Z$1,0)),"")</f>
        <v/>
      </c>
      <c r="J295" s="42">
        <f>IFERROR(INDEX('Semrush Data'!$A$1:$Z$20000,MATCH(A295,'Semrush Data'!$A$1:$A$20000,0),MATCH("Intent",'Semrush Data'!$A$1:$Z$1,0)),"")</f>
        <v/>
      </c>
    </row>
    <row r="296" ht="15" customHeight="1" s="37">
      <c r="A296" s="42" t="inlineStr">
        <is>
          <t>vilvah under eye cream</t>
        </is>
      </c>
      <c r="B296" s="42" t="inlineStr">
        <is>
          <t>Google suggest (brand)</t>
        </is>
      </c>
      <c r="C296" s="42" t="n">
        <v>1</v>
      </c>
      <c r="D296" s="42" t="n">
        <v>3</v>
      </c>
      <c r="E296" s="42" t="n">
        <v>0</v>
      </c>
      <c r="F296" s="42" t="n"/>
      <c r="G296" s="55">
        <f>IFERROR(INDEX('Semrush Data'!$A$1:$Z$20000,MATCH(A296,'Semrush Data'!$A$1:$A$20000,0),MATCH("Volume",'Semrush Data'!$A$1:$Z$1,0)),"")</f>
        <v/>
      </c>
      <c r="H296" s="42">
        <f>IFERROR(INDEX('Semrush Data'!$A$1:$Z$20000,MATCH(A296,'Semrush Data'!$A$1:$A$20000,0),MATCH("Keyword Difficulty*",'Semrush Data'!$A$1:$Z$1,0)),"")</f>
        <v/>
      </c>
      <c r="I296" s="56">
        <f>IFERROR(INDEX('Semrush Data'!$A$1:$Z$20000,MATCH(A296,'Semrush Data'!$A$1:$A$20000,0),MATCH("CPC*",'Semrush Data'!$A$1:$Z$1,0)),"")</f>
        <v/>
      </c>
      <c r="J296" s="42">
        <f>IFERROR(INDEX('Semrush Data'!$A$1:$Z$20000,MATCH(A296,'Semrush Data'!$A$1:$A$20000,0),MATCH("Intent",'Semrush Data'!$A$1:$Z$1,0)),"")</f>
        <v/>
      </c>
    </row>
    <row r="297" ht="15" customHeight="1" s="37">
      <c r="A297" s="42" t="inlineStr">
        <is>
          <t>abercrombie &amp; fitch first instinct together</t>
        </is>
      </c>
      <c r="B297" s="42" t="inlineStr">
        <is>
          <t>Product</t>
        </is>
      </c>
      <c r="C297" s="42" t="n">
        <v>1</v>
      </c>
      <c r="D297" s="42" t="n">
        <v>3</v>
      </c>
      <c r="E297" s="42" t="n">
        <v>1</v>
      </c>
      <c r="F297" s="42" t="inlineStr">
        <is>
          <t>FR-001</t>
        </is>
      </c>
      <c r="G297" s="55">
        <f>IFERROR(INDEX('Semrush Data'!$A$1:$Z$20000,MATCH(A297,'Semrush Data'!$A$1:$A$20000,0),MATCH("Volume",'Semrush Data'!$A$1:$Z$1,0)),"")</f>
        <v/>
      </c>
      <c r="H297" s="42">
        <f>IFERROR(INDEX('Semrush Data'!$A$1:$Z$20000,MATCH(A297,'Semrush Data'!$A$1:$A$20000,0),MATCH("Keyword Difficulty*",'Semrush Data'!$A$1:$Z$1,0)),"")</f>
        <v/>
      </c>
      <c r="I297" s="56">
        <f>IFERROR(INDEX('Semrush Data'!$A$1:$Z$20000,MATCH(A297,'Semrush Data'!$A$1:$A$20000,0),MATCH("CPC*",'Semrush Data'!$A$1:$Z$1,0)),"")</f>
        <v/>
      </c>
      <c r="J297" s="42">
        <f>IFERROR(INDEX('Semrush Data'!$A$1:$Z$20000,MATCH(A297,'Semrush Data'!$A$1:$A$20000,0),MATCH("Intent",'Semrush Data'!$A$1:$Z$1,0)),"")</f>
        <v/>
      </c>
    </row>
    <row r="298" ht="15" customHeight="1" s="37">
      <c r="A298" s="42" t="inlineStr">
        <is>
          <t>abercrombie &amp; fitch naturally fierce</t>
        </is>
      </c>
      <c r="B298" s="42" t="inlineStr">
        <is>
          <t>Product</t>
        </is>
      </c>
      <c r="C298" s="42" t="n">
        <v>1</v>
      </c>
      <c r="D298" s="42" t="n">
        <v>3</v>
      </c>
      <c r="E298" s="42" t="n">
        <v>1</v>
      </c>
      <c r="F298" s="42" t="inlineStr">
        <is>
          <t>FR-002</t>
        </is>
      </c>
      <c r="G298" s="55">
        <f>IFERROR(INDEX('Semrush Data'!$A$1:$Z$20000,MATCH(A298,'Semrush Data'!$A$1:$A$20000,0),MATCH("Volume",'Semrush Data'!$A$1:$Z$1,0)),"")</f>
        <v/>
      </c>
      <c r="H298" s="42">
        <f>IFERROR(INDEX('Semrush Data'!$A$1:$Z$20000,MATCH(A298,'Semrush Data'!$A$1:$A$20000,0),MATCH("Keyword Difficulty*",'Semrush Data'!$A$1:$Z$1,0)),"")</f>
        <v/>
      </c>
      <c r="I298" s="56">
        <f>IFERROR(INDEX('Semrush Data'!$A$1:$Z$20000,MATCH(A298,'Semrush Data'!$A$1:$A$20000,0),MATCH("CPC*",'Semrush Data'!$A$1:$Z$1,0)),"")</f>
        <v/>
      </c>
      <c r="J298" s="42">
        <f>IFERROR(INDEX('Semrush Data'!$A$1:$Z$20000,MATCH(A298,'Semrush Data'!$A$1:$A$20000,0),MATCH("Intent",'Semrush Data'!$A$1:$Z$1,0)),"")</f>
        <v/>
      </c>
    </row>
    <row r="299" ht="15" customHeight="1" s="37">
      <c r="A299" s="42" t="inlineStr">
        <is>
          <t>acqua di parma blu mediterraneo discovery set</t>
        </is>
      </c>
      <c r="B299" s="42" t="inlineStr">
        <is>
          <t>Product</t>
        </is>
      </c>
      <c r="C299" s="42" t="n">
        <v>1</v>
      </c>
      <c r="D299" s="42" t="n">
        <v>3</v>
      </c>
      <c r="E299" s="42" t="n">
        <v>1</v>
      </c>
      <c r="F299" s="42" t="inlineStr">
        <is>
          <t>FR-009</t>
        </is>
      </c>
      <c r="G299" s="55">
        <f>IFERROR(INDEX('Semrush Data'!$A$1:$Z$20000,MATCH(A299,'Semrush Data'!$A$1:$A$20000,0),MATCH("Volume",'Semrush Data'!$A$1:$Z$1,0)),"")</f>
        <v/>
      </c>
      <c r="H299" s="42">
        <f>IFERROR(INDEX('Semrush Data'!$A$1:$Z$20000,MATCH(A299,'Semrush Data'!$A$1:$A$20000,0),MATCH("Keyword Difficulty*",'Semrush Data'!$A$1:$Z$1,0)),"")</f>
        <v/>
      </c>
      <c r="I299" s="56">
        <f>IFERROR(INDEX('Semrush Data'!$A$1:$Z$20000,MATCH(A299,'Semrush Data'!$A$1:$A$20000,0),MATCH("CPC*",'Semrush Data'!$A$1:$Z$1,0)),"")</f>
        <v/>
      </c>
      <c r="J299" s="42">
        <f>IFERROR(INDEX('Semrush Data'!$A$1:$Z$20000,MATCH(A299,'Semrush Data'!$A$1:$A$20000,0),MATCH("Intent",'Semrush Data'!$A$1:$Z$1,0)),"")</f>
        <v/>
      </c>
    </row>
    <row r="300" ht="15" customHeight="1" s="37">
      <c r="A300" s="42" t="inlineStr">
        <is>
          <t>acqua di parma colonia essenza deodorant stick</t>
        </is>
      </c>
      <c r="B300" s="42" t="inlineStr">
        <is>
          <t>Product</t>
        </is>
      </c>
      <c r="C300" s="42" t="n">
        <v>1</v>
      </c>
      <c r="D300" s="42" t="n">
        <v>3</v>
      </c>
      <c r="E300" s="42" t="n">
        <v>1</v>
      </c>
      <c r="F300" s="42" t="inlineStr">
        <is>
          <t>FR-004</t>
        </is>
      </c>
      <c r="G300" s="55">
        <f>IFERROR(INDEX('Semrush Data'!$A$1:$Z$20000,MATCH(A300,'Semrush Data'!$A$1:$A$20000,0),MATCH("Volume",'Semrush Data'!$A$1:$Z$1,0)),"")</f>
        <v/>
      </c>
      <c r="H300" s="42">
        <f>IFERROR(INDEX('Semrush Data'!$A$1:$Z$20000,MATCH(A300,'Semrush Data'!$A$1:$A$20000,0),MATCH("Keyword Difficulty*",'Semrush Data'!$A$1:$Z$1,0)),"")</f>
        <v/>
      </c>
      <c r="I300" s="56">
        <f>IFERROR(INDEX('Semrush Data'!$A$1:$Z$20000,MATCH(A300,'Semrush Data'!$A$1:$A$20000,0),MATCH("CPC*",'Semrush Data'!$A$1:$Z$1,0)),"")</f>
        <v/>
      </c>
      <c r="J300" s="42">
        <f>IFERROR(INDEX('Semrush Data'!$A$1:$Z$20000,MATCH(A300,'Semrush Data'!$A$1:$A$20000,0),MATCH("Intent",'Semrush Data'!$A$1:$Z$1,0)),"")</f>
        <v/>
      </c>
    </row>
    <row r="301" ht="15" customHeight="1" s="37">
      <c r="A301" s="42" t="inlineStr">
        <is>
          <t>acqua di parma colonia pura</t>
        </is>
      </c>
      <c r="B301" s="42" t="inlineStr">
        <is>
          <t>Product</t>
        </is>
      </c>
      <c r="C301" s="42" t="n">
        <v>1</v>
      </c>
      <c r="D301" s="42" t="n">
        <v>3</v>
      </c>
      <c r="E301" s="42" t="n">
        <v>1</v>
      </c>
      <c r="F301" s="42" t="inlineStr">
        <is>
          <t>FR-003</t>
        </is>
      </c>
      <c r="G301" s="55">
        <f>IFERROR(INDEX('Semrush Data'!$A$1:$Z$20000,MATCH(A301,'Semrush Data'!$A$1:$A$20000,0),MATCH("Volume",'Semrush Data'!$A$1:$Z$1,0)),"")</f>
        <v/>
      </c>
      <c r="H301" s="42">
        <f>IFERROR(INDEX('Semrush Data'!$A$1:$Z$20000,MATCH(A301,'Semrush Data'!$A$1:$A$20000,0),MATCH("Keyword Difficulty*",'Semrush Data'!$A$1:$Z$1,0)),"")</f>
        <v/>
      </c>
      <c r="I301" s="56">
        <f>IFERROR(INDEX('Semrush Data'!$A$1:$Z$20000,MATCH(A301,'Semrush Data'!$A$1:$A$20000,0),MATCH("CPC*",'Semrush Data'!$A$1:$Z$1,0)),"")</f>
        <v/>
      </c>
      <c r="J301" s="42">
        <f>IFERROR(INDEX('Semrush Data'!$A$1:$Z$20000,MATCH(A301,'Semrush Data'!$A$1:$A$20000,0),MATCH("Intent",'Semrush Data'!$A$1:$Z$1,0)),"")</f>
        <v/>
      </c>
    </row>
    <row r="302" ht="15" customHeight="1" s="37">
      <c r="A302" s="42" t="inlineStr">
        <is>
          <t>acqua di parma holiday discovery set</t>
        </is>
      </c>
      <c r="B302" s="42" t="inlineStr">
        <is>
          <t>Product</t>
        </is>
      </c>
      <c r="C302" s="42" t="n">
        <v>1</v>
      </c>
      <c r="D302" s="42" t="n">
        <v>4</v>
      </c>
      <c r="E302" s="42" t="n">
        <v>1</v>
      </c>
      <c r="F302" s="42" t="inlineStr">
        <is>
          <t>FR-010</t>
        </is>
      </c>
      <c r="G302" s="55">
        <f>IFERROR(INDEX('Semrush Data'!$A$1:$Z$20000,MATCH(A302,'Semrush Data'!$A$1:$A$20000,0),MATCH("Volume",'Semrush Data'!$A$1:$Z$1,0)),"")</f>
        <v/>
      </c>
      <c r="H302" s="42">
        <f>IFERROR(INDEX('Semrush Data'!$A$1:$Z$20000,MATCH(A302,'Semrush Data'!$A$1:$A$20000,0),MATCH("Keyword Difficulty*",'Semrush Data'!$A$1:$Z$1,0)),"")</f>
        <v/>
      </c>
      <c r="I302" s="56">
        <f>IFERROR(INDEX('Semrush Data'!$A$1:$Z$20000,MATCH(A302,'Semrush Data'!$A$1:$A$20000,0),MATCH("CPC*",'Semrush Data'!$A$1:$Z$1,0)),"")</f>
        <v/>
      </c>
      <c r="J302" s="42">
        <f>IFERROR(INDEX('Semrush Data'!$A$1:$Z$20000,MATCH(A302,'Semrush Data'!$A$1:$A$20000,0),MATCH("Intent",'Semrush Data'!$A$1:$Z$1,0)),"")</f>
        <v/>
      </c>
    </row>
    <row r="303" ht="15" customHeight="1" s="37">
      <c r="A303" s="42" t="inlineStr">
        <is>
          <t>acqua di parma oud &amp; spice</t>
        </is>
      </c>
      <c r="B303" s="42" t="inlineStr">
        <is>
          <t>Product</t>
        </is>
      </c>
      <c r="C303" s="42" t="n">
        <v>1</v>
      </c>
      <c r="D303" s="42" t="n">
        <v>4</v>
      </c>
      <c r="E303" s="42" t="n">
        <v>1</v>
      </c>
      <c r="F303" s="42" t="inlineStr">
        <is>
          <t>FR-005</t>
        </is>
      </c>
      <c r="G303" s="55">
        <f>IFERROR(INDEX('Semrush Data'!$A$1:$Z$20000,MATCH(A303,'Semrush Data'!$A$1:$A$20000,0),MATCH("Volume",'Semrush Data'!$A$1:$Z$1,0)),"")</f>
        <v/>
      </c>
      <c r="H303" s="42">
        <f>IFERROR(INDEX('Semrush Data'!$A$1:$Z$20000,MATCH(A303,'Semrush Data'!$A$1:$A$20000,0),MATCH("Keyword Difficulty*",'Semrush Data'!$A$1:$Z$1,0)),"")</f>
        <v/>
      </c>
      <c r="I303" s="56">
        <f>IFERROR(INDEX('Semrush Data'!$A$1:$Z$20000,MATCH(A303,'Semrush Data'!$A$1:$A$20000,0),MATCH("CPC*",'Semrush Data'!$A$1:$Z$1,0)),"")</f>
        <v/>
      </c>
      <c r="J303" s="42">
        <f>IFERROR(INDEX('Semrush Data'!$A$1:$Z$20000,MATCH(A303,'Semrush Data'!$A$1:$A$20000,0),MATCH("Intent",'Semrush Data'!$A$1:$Z$1,0)),"")</f>
        <v/>
      </c>
    </row>
    <row r="304" ht="15" customHeight="1" s="37">
      <c r="A304" s="42" t="inlineStr">
        <is>
          <t>acqua di parma rosa nobile</t>
        </is>
      </c>
      <c r="B304" s="42" t="inlineStr">
        <is>
          <t>Product</t>
        </is>
      </c>
      <c r="C304" s="42" t="n">
        <v>1</v>
      </c>
      <c r="D304" s="42" t="n">
        <v>4</v>
      </c>
      <c r="E304" s="42" t="n">
        <v>1</v>
      </c>
      <c r="F304" s="42" t="inlineStr">
        <is>
          <t>FR-006</t>
        </is>
      </c>
      <c r="G304" s="55">
        <f>IFERROR(INDEX('Semrush Data'!$A$1:$Z$20000,MATCH(A304,'Semrush Data'!$A$1:$A$20000,0),MATCH("Volume",'Semrush Data'!$A$1:$Z$1,0)),"")</f>
        <v/>
      </c>
      <c r="H304" s="42">
        <f>IFERROR(INDEX('Semrush Data'!$A$1:$Z$20000,MATCH(A304,'Semrush Data'!$A$1:$A$20000,0),MATCH("Keyword Difficulty*",'Semrush Data'!$A$1:$Z$1,0)),"")</f>
        <v/>
      </c>
      <c r="I304" s="56">
        <f>IFERROR(INDEX('Semrush Data'!$A$1:$Z$20000,MATCH(A304,'Semrush Data'!$A$1:$A$20000,0),MATCH("CPC*",'Semrush Data'!$A$1:$Z$1,0)),"")</f>
        <v/>
      </c>
      <c r="J304" s="42">
        <f>IFERROR(INDEX('Semrush Data'!$A$1:$Z$20000,MATCH(A304,'Semrush Data'!$A$1:$A$20000,0),MATCH("Intent",'Semrush Data'!$A$1:$Z$1,0)),"")</f>
        <v/>
      </c>
    </row>
    <row r="305" ht="15" customHeight="1" s="37">
      <c r="A305" s="42" t="inlineStr">
        <is>
          <t>acqua di parma sakura</t>
        </is>
      </c>
      <c r="B305" s="42" t="inlineStr">
        <is>
          <t>Product</t>
        </is>
      </c>
      <c r="C305" s="42" t="n">
        <v>1</v>
      </c>
      <c r="D305" s="42" t="n">
        <v>4</v>
      </c>
      <c r="E305" s="42" t="n">
        <v>1</v>
      </c>
      <c r="F305" s="42" t="inlineStr">
        <is>
          <t>FR-007</t>
        </is>
      </c>
      <c r="G305" s="55">
        <f>IFERROR(INDEX('Semrush Data'!$A$1:$Z$20000,MATCH(A305,'Semrush Data'!$A$1:$A$20000,0),MATCH("Volume",'Semrush Data'!$A$1:$Z$1,0)),"")</f>
        <v/>
      </c>
      <c r="H305" s="42">
        <f>IFERROR(INDEX('Semrush Data'!$A$1:$Z$20000,MATCH(A305,'Semrush Data'!$A$1:$A$20000,0),MATCH("Keyword Difficulty*",'Semrush Data'!$A$1:$Z$1,0)),"")</f>
        <v/>
      </c>
      <c r="I305" s="56">
        <f>IFERROR(INDEX('Semrush Data'!$A$1:$Z$20000,MATCH(A305,'Semrush Data'!$A$1:$A$20000,0),MATCH("CPC*",'Semrush Data'!$A$1:$Z$1,0)),"")</f>
        <v/>
      </c>
      <c r="J305" s="42">
        <f>IFERROR(INDEX('Semrush Data'!$A$1:$Z$20000,MATCH(A305,'Semrush Data'!$A$1:$A$20000,0),MATCH("Intent",'Semrush Data'!$A$1:$Z$1,0)),"")</f>
        <v/>
      </c>
    </row>
    <row r="306" ht="15" customHeight="1" s="37">
      <c r="A306" s="42" t="inlineStr">
        <is>
          <t>acqua di parma sandalo</t>
        </is>
      </c>
      <c r="B306" s="42" t="inlineStr">
        <is>
          <t>Product</t>
        </is>
      </c>
      <c r="C306" s="42" t="n">
        <v>1</v>
      </c>
      <c r="D306" s="42" t="n">
        <v>4</v>
      </c>
      <c r="E306" s="42" t="n">
        <v>1</v>
      </c>
      <c r="F306" s="42" t="inlineStr">
        <is>
          <t>FR-008</t>
        </is>
      </c>
      <c r="G306" s="55">
        <f>IFERROR(INDEX('Semrush Data'!$A$1:$Z$20000,MATCH(A306,'Semrush Data'!$A$1:$A$20000,0),MATCH("Volume",'Semrush Data'!$A$1:$Z$1,0)),"")</f>
        <v/>
      </c>
      <c r="H306" s="42">
        <f>IFERROR(INDEX('Semrush Data'!$A$1:$Z$20000,MATCH(A306,'Semrush Data'!$A$1:$A$20000,0),MATCH("Keyword Difficulty*",'Semrush Data'!$A$1:$Z$1,0)),"")</f>
        <v/>
      </c>
      <c r="I306" s="56">
        <f>IFERROR(INDEX('Semrush Data'!$A$1:$Z$20000,MATCH(A306,'Semrush Data'!$A$1:$A$20000,0),MATCH("CPC*",'Semrush Data'!$A$1:$Z$1,0)),"")</f>
        <v/>
      </c>
      <c r="J306" s="42">
        <f>IFERROR(INDEX('Semrush Data'!$A$1:$Z$20000,MATCH(A306,'Semrush Data'!$A$1:$A$20000,0),MATCH("Intent",'Semrush Data'!$A$1:$Z$1,0)),"")</f>
        <v/>
      </c>
    </row>
    <row r="307" ht="15" customHeight="1" s="37">
      <c r="A307" s="42" t="inlineStr">
        <is>
          <t>acqua di parma zafferano</t>
        </is>
      </c>
      <c r="B307" s="42" t="inlineStr">
        <is>
          <t>Product</t>
        </is>
      </c>
      <c r="C307" s="42" t="n">
        <v>1</v>
      </c>
      <c r="D307" s="42" t="n">
        <v>4</v>
      </c>
      <c r="E307" s="42" t="n">
        <v>1</v>
      </c>
      <c r="F307" s="42" t="inlineStr">
        <is>
          <t>FR-335</t>
        </is>
      </c>
      <c r="G307" s="55">
        <f>IFERROR(INDEX('Semrush Data'!$A$1:$Z$20000,MATCH(A307,'Semrush Data'!$A$1:$A$20000,0),MATCH("Volume",'Semrush Data'!$A$1:$Z$1,0)),"")</f>
        <v/>
      </c>
      <c r="H307" s="42">
        <f>IFERROR(INDEX('Semrush Data'!$A$1:$Z$20000,MATCH(A307,'Semrush Data'!$A$1:$A$20000,0),MATCH("Keyword Difficulty*",'Semrush Data'!$A$1:$Z$1,0)),"")</f>
        <v/>
      </c>
      <c r="I307" s="56">
        <f>IFERROR(INDEX('Semrush Data'!$A$1:$Z$20000,MATCH(A307,'Semrush Data'!$A$1:$A$20000,0),MATCH("CPC*",'Semrush Data'!$A$1:$Z$1,0)),"")</f>
        <v/>
      </c>
      <c r="J307" s="42">
        <f>IFERROR(INDEX('Semrush Data'!$A$1:$Z$20000,MATCH(A307,'Semrush Data'!$A$1:$A$20000,0),MATCH("Intent",'Semrush Data'!$A$1:$Z$1,0)),"")</f>
        <v/>
      </c>
    </row>
    <row r="308" ht="15" customHeight="1" s="37">
      <c r="A308" s="42" t="inlineStr">
        <is>
          <t>al haramain amber musk</t>
        </is>
      </c>
      <c r="B308" s="42" t="inlineStr">
        <is>
          <t>Product</t>
        </is>
      </c>
      <c r="C308" s="42" t="n">
        <v>1</v>
      </c>
      <c r="D308" s="42" t="n">
        <v>4</v>
      </c>
      <c r="E308" s="42" t="n">
        <v>1</v>
      </c>
      <c r="F308" s="42" t="inlineStr">
        <is>
          <t>FR-011</t>
        </is>
      </c>
      <c r="G308" s="55">
        <f>IFERROR(INDEX('Semrush Data'!$A$1:$Z$20000,MATCH(A308,'Semrush Data'!$A$1:$A$20000,0),MATCH("Volume",'Semrush Data'!$A$1:$Z$1,0)),"")</f>
        <v/>
      </c>
      <c r="H308" s="42">
        <f>IFERROR(INDEX('Semrush Data'!$A$1:$Z$20000,MATCH(A308,'Semrush Data'!$A$1:$A$20000,0),MATCH("Keyword Difficulty*",'Semrush Data'!$A$1:$Z$1,0)),"")</f>
        <v/>
      </c>
      <c r="I308" s="56">
        <f>IFERROR(INDEX('Semrush Data'!$A$1:$Z$20000,MATCH(A308,'Semrush Data'!$A$1:$A$20000,0),MATCH("CPC*",'Semrush Data'!$A$1:$Z$1,0)),"")</f>
        <v/>
      </c>
      <c r="J308" s="42">
        <f>IFERROR(INDEX('Semrush Data'!$A$1:$Z$20000,MATCH(A308,'Semrush Data'!$A$1:$A$20000,0),MATCH("Intent",'Semrush Data'!$A$1:$Z$1,0)),"")</f>
        <v/>
      </c>
    </row>
    <row r="309" ht="15" customHeight="1" s="37">
      <c r="A309" s="42" t="inlineStr">
        <is>
          <t>al haramain amber oud</t>
        </is>
      </c>
      <c r="B309" s="42" t="inlineStr">
        <is>
          <t>Product</t>
        </is>
      </c>
      <c r="C309" s="42" t="n">
        <v>1</v>
      </c>
      <c r="D309" s="42" t="n">
        <v>4</v>
      </c>
      <c r="E309" s="42" t="n">
        <v>1</v>
      </c>
      <c r="F309" s="42" t="inlineStr">
        <is>
          <t>FR-015</t>
        </is>
      </c>
      <c r="G309" s="55">
        <f>IFERROR(INDEX('Semrush Data'!$A$1:$Z$20000,MATCH(A309,'Semrush Data'!$A$1:$A$20000,0),MATCH("Volume",'Semrush Data'!$A$1:$Z$1,0)),"")</f>
        <v/>
      </c>
      <c r="H309" s="42">
        <f>IFERROR(INDEX('Semrush Data'!$A$1:$Z$20000,MATCH(A309,'Semrush Data'!$A$1:$A$20000,0),MATCH("Keyword Difficulty*",'Semrush Data'!$A$1:$Z$1,0)),"")</f>
        <v/>
      </c>
      <c r="I309" s="56">
        <f>IFERROR(INDEX('Semrush Data'!$A$1:$Z$20000,MATCH(A309,'Semrush Data'!$A$1:$A$20000,0),MATCH("CPC*",'Semrush Data'!$A$1:$Z$1,0)),"")</f>
        <v/>
      </c>
      <c r="J309" s="42">
        <f>IFERROR(INDEX('Semrush Data'!$A$1:$Z$20000,MATCH(A309,'Semrush Data'!$A$1:$A$20000,0),MATCH("Intent",'Semrush Data'!$A$1:$Z$1,0)),"")</f>
        <v/>
      </c>
    </row>
    <row r="310" ht="15" customHeight="1" s="37">
      <c r="A310" s="42" t="inlineStr">
        <is>
          <t>al haramain amber oud black edition</t>
        </is>
      </c>
      <c r="B310" s="42" t="inlineStr">
        <is>
          <t>Product</t>
        </is>
      </c>
      <c r="C310" s="42" t="n">
        <v>1</v>
      </c>
      <c r="D310" s="42" t="n">
        <v>4</v>
      </c>
      <c r="E310" s="42" t="n">
        <v>1</v>
      </c>
      <c r="F310" s="42" t="inlineStr">
        <is>
          <t>FR-012</t>
        </is>
      </c>
      <c r="G310" s="55">
        <f>IFERROR(INDEX('Semrush Data'!$A$1:$Z$20000,MATCH(A310,'Semrush Data'!$A$1:$A$20000,0),MATCH("Volume",'Semrush Data'!$A$1:$Z$1,0)),"")</f>
        <v/>
      </c>
      <c r="H310" s="42">
        <f>IFERROR(INDEX('Semrush Data'!$A$1:$Z$20000,MATCH(A310,'Semrush Data'!$A$1:$A$20000,0),MATCH("Keyword Difficulty*",'Semrush Data'!$A$1:$Z$1,0)),"")</f>
        <v/>
      </c>
      <c r="I310" s="56">
        <f>IFERROR(INDEX('Semrush Data'!$A$1:$Z$20000,MATCH(A310,'Semrush Data'!$A$1:$A$20000,0),MATCH("CPC*",'Semrush Data'!$A$1:$Z$1,0)),"")</f>
        <v/>
      </c>
      <c r="J310" s="42">
        <f>IFERROR(INDEX('Semrush Data'!$A$1:$Z$20000,MATCH(A310,'Semrush Data'!$A$1:$A$20000,0),MATCH("Intent",'Semrush Data'!$A$1:$Z$1,0)),"")</f>
        <v/>
      </c>
    </row>
    <row r="311" ht="15" customHeight="1" s="37">
      <c r="A311" s="42" t="inlineStr">
        <is>
          <t>al haramain amber oud bleu edition</t>
        </is>
      </c>
      <c r="B311" s="42" t="inlineStr">
        <is>
          <t>Product</t>
        </is>
      </c>
      <c r="C311" s="42" t="n">
        <v>1</v>
      </c>
      <c r="D311" s="42" t="n">
        <v>4</v>
      </c>
      <c r="E311" s="42" t="n">
        <v>1</v>
      </c>
      <c r="F311" s="42" t="inlineStr">
        <is>
          <t>FR-013</t>
        </is>
      </c>
      <c r="G311" s="55">
        <f>IFERROR(INDEX('Semrush Data'!$A$1:$Z$20000,MATCH(A311,'Semrush Data'!$A$1:$A$20000,0),MATCH("Volume",'Semrush Data'!$A$1:$Z$1,0)),"")</f>
        <v/>
      </c>
      <c r="H311" s="42">
        <f>IFERROR(INDEX('Semrush Data'!$A$1:$Z$20000,MATCH(A311,'Semrush Data'!$A$1:$A$20000,0),MATCH("Keyword Difficulty*",'Semrush Data'!$A$1:$Z$1,0)),"")</f>
        <v/>
      </c>
      <c r="I311" s="56">
        <f>IFERROR(INDEX('Semrush Data'!$A$1:$Z$20000,MATCH(A311,'Semrush Data'!$A$1:$A$20000,0),MATCH("CPC*",'Semrush Data'!$A$1:$Z$1,0)),"")</f>
        <v/>
      </c>
      <c r="J311" s="42">
        <f>IFERROR(INDEX('Semrush Data'!$A$1:$Z$20000,MATCH(A311,'Semrush Data'!$A$1:$A$20000,0),MATCH("Intent",'Semrush Data'!$A$1:$Z$1,0)),"")</f>
        <v/>
      </c>
    </row>
    <row r="312" ht="15" customHeight="1" s="37">
      <c r="A312" s="42" t="inlineStr">
        <is>
          <t>al haramain amber oud carbon edition</t>
        </is>
      </c>
      <c r="B312" s="42" t="inlineStr">
        <is>
          <t>Product</t>
        </is>
      </c>
      <c r="C312" s="42" t="n">
        <v>1</v>
      </c>
      <c r="D312" s="42" t="n">
        <v>4</v>
      </c>
      <c r="E312" s="42" t="n">
        <v>1</v>
      </c>
      <c r="F312" s="42" t="inlineStr">
        <is>
          <t>FR-014</t>
        </is>
      </c>
      <c r="G312" s="55">
        <f>IFERROR(INDEX('Semrush Data'!$A$1:$Z$20000,MATCH(A312,'Semrush Data'!$A$1:$A$20000,0),MATCH("Volume",'Semrush Data'!$A$1:$Z$1,0)),"")</f>
        <v/>
      </c>
      <c r="H312" s="42">
        <f>IFERROR(INDEX('Semrush Data'!$A$1:$Z$20000,MATCH(A312,'Semrush Data'!$A$1:$A$20000,0),MATCH("Keyword Difficulty*",'Semrush Data'!$A$1:$Z$1,0)),"")</f>
        <v/>
      </c>
      <c r="I312" s="56">
        <f>IFERROR(INDEX('Semrush Data'!$A$1:$Z$20000,MATCH(A312,'Semrush Data'!$A$1:$A$20000,0),MATCH("CPC*",'Semrush Data'!$A$1:$Z$1,0)),"")</f>
        <v/>
      </c>
      <c r="J312" s="42">
        <f>IFERROR(INDEX('Semrush Data'!$A$1:$Z$20000,MATCH(A312,'Semrush Data'!$A$1:$A$20000,0),MATCH("Intent",'Semrush Data'!$A$1:$Z$1,0)),"")</f>
        <v/>
      </c>
    </row>
    <row r="313" ht="15" customHeight="1" s="37">
      <c r="A313" s="42" t="inlineStr">
        <is>
          <t>al haramain amber oud extreme gold edition</t>
        </is>
      </c>
      <c r="B313" s="42" t="inlineStr">
        <is>
          <t>Product</t>
        </is>
      </c>
      <c r="C313" s="42" t="n">
        <v>1</v>
      </c>
      <c r="D313" s="42" t="n">
        <v>4</v>
      </c>
      <c r="E313" s="42" t="n">
        <v>1</v>
      </c>
      <c r="F313" s="42" t="inlineStr">
        <is>
          <t>FR-026</t>
        </is>
      </c>
      <c r="G313" s="55">
        <f>IFERROR(INDEX('Semrush Data'!$A$1:$Z$20000,MATCH(A313,'Semrush Data'!$A$1:$A$20000,0),MATCH("Volume",'Semrush Data'!$A$1:$Z$1,0)),"")</f>
        <v/>
      </c>
      <c r="H313" s="42">
        <f>IFERROR(INDEX('Semrush Data'!$A$1:$Z$20000,MATCH(A313,'Semrush Data'!$A$1:$A$20000,0),MATCH("Keyword Difficulty*",'Semrush Data'!$A$1:$Z$1,0)),"")</f>
        <v/>
      </c>
      <c r="I313" s="56">
        <f>IFERROR(INDEX('Semrush Data'!$A$1:$Z$20000,MATCH(A313,'Semrush Data'!$A$1:$A$20000,0),MATCH("CPC*",'Semrush Data'!$A$1:$Z$1,0)),"")</f>
        <v/>
      </c>
      <c r="J313" s="42">
        <f>IFERROR(INDEX('Semrush Data'!$A$1:$Z$20000,MATCH(A313,'Semrush Data'!$A$1:$A$20000,0),MATCH("Intent",'Semrush Data'!$A$1:$Z$1,0)),"")</f>
        <v/>
      </c>
    </row>
    <row r="314" ht="15" customHeight="1" s="37">
      <c r="A314" s="42" t="inlineStr">
        <is>
          <t>al haramain amber oud gold edition</t>
        </is>
      </c>
      <c r="B314" s="42" t="inlineStr">
        <is>
          <t>Product</t>
        </is>
      </c>
      <c r="C314" s="42" t="n">
        <v>1</v>
      </c>
      <c r="D314" s="42" t="n">
        <v>4</v>
      </c>
      <c r="E314" s="42" t="n">
        <v>1</v>
      </c>
      <c r="F314" s="42" t="inlineStr">
        <is>
          <t>FR-016</t>
        </is>
      </c>
      <c r="G314" s="55">
        <f>IFERROR(INDEX('Semrush Data'!$A$1:$Z$20000,MATCH(A314,'Semrush Data'!$A$1:$A$20000,0),MATCH("Volume",'Semrush Data'!$A$1:$Z$1,0)),"")</f>
        <v/>
      </c>
      <c r="H314" s="42">
        <f>IFERROR(INDEX('Semrush Data'!$A$1:$Z$20000,MATCH(A314,'Semrush Data'!$A$1:$A$20000,0),MATCH("Keyword Difficulty*",'Semrush Data'!$A$1:$Z$1,0)),"")</f>
        <v/>
      </c>
      <c r="I314" s="56">
        <f>IFERROR(INDEX('Semrush Data'!$A$1:$Z$20000,MATCH(A314,'Semrush Data'!$A$1:$A$20000,0),MATCH("CPC*",'Semrush Data'!$A$1:$Z$1,0)),"")</f>
        <v/>
      </c>
      <c r="J314" s="42">
        <f>IFERROR(INDEX('Semrush Data'!$A$1:$Z$20000,MATCH(A314,'Semrush Data'!$A$1:$A$20000,0),MATCH("Intent",'Semrush Data'!$A$1:$Z$1,0)),"")</f>
        <v/>
      </c>
    </row>
    <row r="315" ht="15" customHeight="1" s="37">
      <c r="A315" s="42" t="inlineStr">
        <is>
          <t>al haramain amber oud ruby edition</t>
        </is>
      </c>
      <c r="B315" s="42" t="inlineStr">
        <is>
          <t>Product</t>
        </is>
      </c>
      <c r="C315" s="42" t="n">
        <v>1</v>
      </c>
      <c r="D315" s="42" t="n">
        <v>4</v>
      </c>
      <c r="E315" s="42" t="n">
        <v>1</v>
      </c>
      <c r="F315" s="42" t="inlineStr">
        <is>
          <t>FR-017</t>
        </is>
      </c>
      <c r="G315" s="55">
        <f>IFERROR(INDEX('Semrush Data'!$A$1:$Z$20000,MATCH(A315,'Semrush Data'!$A$1:$A$20000,0),MATCH("Volume",'Semrush Data'!$A$1:$Z$1,0)),"")</f>
        <v/>
      </c>
      <c r="H315" s="42">
        <f>IFERROR(INDEX('Semrush Data'!$A$1:$Z$20000,MATCH(A315,'Semrush Data'!$A$1:$A$20000,0),MATCH("Keyword Difficulty*",'Semrush Data'!$A$1:$Z$1,0)),"")</f>
        <v/>
      </c>
      <c r="I315" s="56">
        <f>IFERROR(INDEX('Semrush Data'!$A$1:$Z$20000,MATCH(A315,'Semrush Data'!$A$1:$A$20000,0),MATCH("CPC*",'Semrush Data'!$A$1:$Z$1,0)),"")</f>
        <v/>
      </c>
      <c r="J315" s="42">
        <f>IFERROR(INDEX('Semrush Data'!$A$1:$Z$20000,MATCH(A315,'Semrush Data'!$A$1:$A$20000,0),MATCH("Intent",'Semrush Data'!$A$1:$Z$1,0)),"")</f>
        <v/>
      </c>
    </row>
    <row r="316" ht="15" customHeight="1" s="37">
      <c r="A316" s="42" t="inlineStr">
        <is>
          <t>al haramain amber oud tobacco edition</t>
        </is>
      </c>
      <c r="B316" s="42" t="inlineStr">
        <is>
          <t>Product</t>
        </is>
      </c>
      <c r="C316" s="42" t="n">
        <v>1</v>
      </c>
      <c r="D316" s="42" t="n">
        <v>4</v>
      </c>
      <c r="E316" s="42" t="n">
        <v>1</v>
      </c>
      <c r="F316" s="42" t="inlineStr">
        <is>
          <t>FR-018</t>
        </is>
      </c>
      <c r="G316" s="55">
        <f>IFERROR(INDEX('Semrush Data'!$A$1:$Z$20000,MATCH(A316,'Semrush Data'!$A$1:$A$20000,0),MATCH("Volume",'Semrush Data'!$A$1:$Z$1,0)),"")</f>
        <v/>
      </c>
      <c r="H316" s="42">
        <f>IFERROR(INDEX('Semrush Data'!$A$1:$Z$20000,MATCH(A316,'Semrush Data'!$A$1:$A$20000,0),MATCH("Keyword Difficulty*",'Semrush Data'!$A$1:$Z$1,0)),"")</f>
        <v/>
      </c>
      <c r="I316" s="56">
        <f>IFERROR(INDEX('Semrush Data'!$A$1:$Z$20000,MATCH(A316,'Semrush Data'!$A$1:$A$20000,0),MATCH("CPC*",'Semrush Data'!$A$1:$Z$1,0)),"")</f>
        <v/>
      </c>
      <c r="J316" s="42">
        <f>IFERROR(INDEX('Semrush Data'!$A$1:$Z$20000,MATCH(A316,'Semrush Data'!$A$1:$A$20000,0),MATCH("Intent",'Semrush Data'!$A$1:$Z$1,0)),"")</f>
        <v/>
      </c>
    </row>
    <row r="317" ht="15" customHeight="1" s="37">
      <c r="A317" s="42" t="inlineStr">
        <is>
          <t>al haramain amber oud white edition</t>
        </is>
      </c>
      <c r="B317" s="42" t="inlineStr">
        <is>
          <t>Product</t>
        </is>
      </c>
      <c r="C317" s="42" t="n">
        <v>1</v>
      </c>
      <c r="D317" s="42" t="n">
        <v>4</v>
      </c>
      <c r="E317" s="42" t="n">
        <v>1</v>
      </c>
      <c r="F317" s="42" t="inlineStr">
        <is>
          <t>FR-019</t>
        </is>
      </c>
      <c r="G317" s="55">
        <f>IFERROR(INDEX('Semrush Data'!$A$1:$Z$20000,MATCH(A317,'Semrush Data'!$A$1:$A$20000,0),MATCH("Volume",'Semrush Data'!$A$1:$Z$1,0)),"")</f>
        <v/>
      </c>
      <c r="H317" s="42">
        <f>IFERROR(INDEX('Semrush Data'!$A$1:$Z$20000,MATCH(A317,'Semrush Data'!$A$1:$A$20000,0),MATCH("Keyword Difficulty*",'Semrush Data'!$A$1:$Z$1,0)),"")</f>
        <v/>
      </c>
      <c r="I317" s="56">
        <f>IFERROR(INDEX('Semrush Data'!$A$1:$Z$20000,MATCH(A317,'Semrush Data'!$A$1:$A$20000,0),MATCH("CPC*",'Semrush Data'!$A$1:$Z$1,0)),"")</f>
        <v/>
      </c>
      <c r="J317" s="42">
        <f>IFERROR(INDEX('Semrush Data'!$A$1:$Z$20000,MATCH(A317,'Semrush Data'!$A$1:$A$20000,0),MATCH("Intent",'Semrush Data'!$A$1:$Z$1,0)),"")</f>
        <v/>
      </c>
    </row>
    <row r="318" ht="15" customHeight="1" s="37">
      <c r="A318" s="42" t="inlineStr">
        <is>
          <t>al haramain detour noir</t>
        </is>
      </c>
      <c r="B318" s="42" t="inlineStr">
        <is>
          <t>Product</t>
        </is>
      </c>
      <c r="C318" s="42" t="n">
        <v>1</v>
      </c>
      <c r="D318" s="42" t="n">
        <v>4</v>
      </c>
      <c r="E318" s="42" t="n">
        <v>1</v>
      </c>
      <c r="F318" s="42" t="inlineStr">
        <is>
          <t>FR-020</t>
        </is>
      </c>
      <c r="G318" s="55">
        <f>IFERROR(INDEX('Semrush Data'!$A$1:$Z$20000,MATCH(A318,'Semrush Data'!$A$1:$A$20000,0),MATCH("Volume",'Semrush Data'!$A$1:$Z$1,0)),"")</f>
        <v/>
      </c>
      <c r="H318" s="42">
        <f>IFERROR(INDEX('Semrush Data'!$A$1:$Z$20000,MATCH(A318,'Semrush Data'!$A$1:$A$20000,0),MATCH("Keyword Difficulty*",'Semrush Data'!$A$1:$Z$1,0)),"")</f>
        <v/>
      </c>
      <c r="I318" s="56">
        <f>IFERROR(INDEX('Semrush Data'!$A$1:$Z$20000,MATCH(A318,'Semrush Data'!$A$1:$A$20000,0),MATCH("CPC*",'Semrush Data'!$A$1:$Z$1,0)),"")</f>
        <v/>
      </c>
      <c r="J318" s="42">
        <f>IFERROR(INDEX('Semrush Data'!$A$1:$Z$20000,MATCH(A318,'Semrush Data'!$A$1:$A$20000,0),MATCH("Intent",'Semrush Data'!$A$1:$Z$1,0)),"")</f>
        <v/>
      </c>
    </row>
    <row r="319" ht="15" customHeight="1" s="37">
      <c r="A319" s="42" t="inlineStr">
        <is>
          <t>al haramain l'aventure</t>
        </is>
      </c>
      <c r="B319" s="42" t="inlineStr">
        <is>
          <t>Product</t>
        </is>
      </c>
      <c r="C319" s="42" t="n">
        <v>1</v>
      </c>
      <c r="D319" s="42" t="n">
        <v>4</v>
      </c>
      <c r="E319" s="42" t="n">
        <v>1</v>
      </c>
      <c r="F319" s="42" t="inlineStr">
        <is>
          <t>FR-022</t>
        </is>
      </c>
      <c r="G319" s="55">
        <f>IFERROR(INDEX('Semrush Data'!$A$1:$Z$20000,MATCH(A319,'Semrush Data'!$A$1:$A$20000,0),MATCH("Volume",'Semrush Data'!$A$1:$Z$1,0)),"")</f>
        <v/>
      </c>
      <c r="H319" s="42">
        <f>IFERROR(INDEX('Semrush Data'!$A$1:$Z$20000,MATCH(A319,'Semrush Data'!$A$1:$A$20000,0),MATCH("Keyword Difficulty*",'Semrush Data'!$A$1:$Z$1,0)),"")</f>
        <v/>
      </c>
      <c r="I319" s="56">
        <f>IFERROR(INDEX('Semrush Data'!$A$1:$Z$20000,MATCH(A319,'Semrush Data'!$A$1:$A$20000,0),MATCH("CPC*",'Semrush Data'!$A$1:$Z$1,0)),"")</f>
        <v/>
      </c>
      <c r="J319" s="42">
        <f>IFERROR(INDEX('Semrush Data'!$A$1:$Z$20000,MATCH(A319,'Semrush Data'!$A$1:$A$20000,0),MATCH("Intent",'Semrush Data'!$A$1:$Z$1,0)),"")</f>
        <v/>
      </c>
    </row>
    <row r="320" ht="15" customHeight="1" s="37">
      <c r="A320" s="42" t="inlineStr">
        <is>
          <t>al haramain l'aventure blanche</t>
        </is>
      </c>
      <c r="B320" s="42" t="inlineStr">
        <is>
          <t>Product</t>
        </is>
      </c>
      <c r="C320" s="42" t="n">
        <v>1</v>
      </c>
      <c r="D320" s="42" t="n">
        <v>4</v>
      </c>
      <c r="E320" s="42" t="n">
        <v>1</v>
      </c>
      <c r="F320" s="42" t="inlineStr">
        <is>
          <t>FR-021</t>
        </is>
      </c>
      <c r="G320" s="55">
        <f>IFERROR(INDEX('Semrush Data'!$A$1:$Z$20000,MATCH(A320,'Semrush Data'!$A$1:$A$20000,0),MATCH("Volume",'Semrush Data'!$A$1:$Z$1,0)),"")</f>
        <v/>
      </c>
      <c r="H320" s="42">
        <f>IFERROR(INDEX('Semrush Data'!$A$1:$Z$20000,MATCH(A320,'Semrush Data'!$A$1:$A$20000,0),MATCH("Keyword Difficulty*",'Semrush Data'!$A$1:$Z$1,0)),"")</f>
        <v/>
      </c>
      <c r="I320" s="56">
        <f>IFERROR(INDEX('Semrush Data'!$A$1:$Z$20000,MATCH(A320,'Semrush Data'!$A$1:$A$20000,0),MATCH("CPC*",'Semrush Data'!$A$1:$Z$1,0)),"")</f>
        <v/>
      </c>
      <c r="J320" s="42">
        <f>IFERROR(INDEX('Semrush Data'!$A$1:$Z$20000,MATCH(A320,'Semrush Data'!$A$1:$A$20000,0),MATCH("Intent",'Semrush Data'!$A$1:$Z$1,0)),"")</f>
        <v/>
      </c>
    </row>
    <row r="321" ht="15" customHeight="1" s="37">
      <c r="A321" s="42" t="inlineStr">
        <is>
          <t>al haramain l'aventure femme</t>
        </is>
      </c>
      <c r="B321" s="42" t="inlineStr">
        <is>
          <t>Product</t>
        </is>
      </c>
      <c r="C321" s="42" t="n">
        <v>1</v>
      </c>
      <c r="D321" s="42" t="n">
        <v>4</v>
      </c>
      <c r="E321" s="42" t="n">
        <v>1</v>
      </c>
      <c r="F321" s="42" t="inlineStr">
        <is>
          <t>FR-023</t>
        </is>
      </c>
      <c r="G321" s="55">
        <f>IFERROR(INDEX('Semrush Data'!$A$1:$Z$20000,MATCH(A321,'Semrush Data'!$A$1:$A$20000,0),MATCH("Volume",'Semrush Data'!$A$1:$Z$1,0)),"")</f>
        <v/>
      </c>
      <c r="H321" s="42">
        <f>IFERROR(INDEX('Semrush Data'!$A$1:$Z$20000,MATCH(A321,'Semrush Data'!$A$1:$A$20000,0),MATCH("Keyword Difficulty*",'Semrush Data'!$A$1:$Z$1,0)),"")</f>
        <v/>
      </c>
      <c r="I321" s="56">
        <f>IFERROR(INDEX('Semrush Data'!$A$1:$Z$20000,MATCH(A321,'Semrush Data'!$A$1:$A$20000,0),MATCH("CPC*",'Semrush Data'!$A$1:$Z$1,0)),"")</f>
        <v/>
      </c>
      <c r="J321" s="42">
        <f>IFERROR(INDEX('Semrush Data'!$A$1:$Z$20000,MATCH(A321,'Semrush Data'!$A$1:$A$20000,0),MATCH("Intent",'Semrush Data'!$A$1:$Z$1,0)),"")</f>
        <v/>
      </c>
    </row>
    <row r="322" ht="15" customHeight="1" s="37">
      <c r="A322" s="42" t="inlineStr">
        <is>
          <t>al haramain l'aventure gold</t>
        </is>
      </c>
      <c r="B322" s="42" t="inlineStr">
        <is>
          <t>Product</t>
        </is>
      </c>
      <c r="C322" s="42" t="n">
        <v>1</v>
      </c>
      <c r="D322" s="42" t="n">
        <v>4</v>
      </c>
      <c r="E322" s="42" t="n">
        <v>1</v>
      </c>
      <c r="F322" s="42" t="inlineStr">
        <is>
          <t>FR-024</t>
        </is>
      </c>
      <c r="G322" s="55">
        <f>IFERROR(INDEX('Semrush Data'!$A$1:$Z$20000,MATCH(A322,'Semrush Data'!$A$1:$A$20000,0),MATCH("Volume",'Semrush Data'!$A$1:$Z$1,0)),"")</f>
        <v/>
      </c>
      <c r="H322" s="42">
        <f>IFERROR(INDEX('Semrush Data'!$A$1:$Z$20000,MATCH(A322,'Semrush Data'!$A$1:$A$20000,0),MATCH("Keyword Difficulty*",'Semrush Data'!$A$1:$Z$1,0)),"")</f>
        <v/>
      </c>
      <c r="I322" s="56">
        <f>IFERROR(INDEX('Semrush Data'!$A$1:$Z$20000,MATCH(A322,'Semrush Data'!$A$1:$A$20000,0),MATCH("CPC*",'Semrush Data'!$A$1:$Z$1,0)),"")</f>
        <v/>
      </c>
      <c r="J322" s="42">
        <f>IFERROR(INDEX('Semrush Data'!$A$1:$Z$20000,MATCH(A322,'Semrush Data'!$A$1:$A$20000,0),MATCH("Intent",'Semrush Data'!$A$1:$Z$1,0)),"")</f>
        <v/>
      </c>
    </row>
    <row r="323" ht="15" customHeight="1" s="37">
      <c r="A323" s="42" t="inlineStr">
        <is>
          <t>al haramain l'aventure intense</t>
        </is>
      </c>
      <c r="B323" s="42" t="inlineStr">
        <is>
          <t>Product</t>
        </is>
      </c>
      <c r="C323" s="42" t="n">
        <v>1</v>
      </c>
      <c r="D323" s="42" t="n">
        <v>4</v>
      </c>
      <c r="E323" s="42" t="n">
        <v>1</v>
      </c>
      <c r="F323" s="42" t="inlineStr">
        <is>
          <t>FR-025</t>
        </is>
      </c>
      <c r="G323" s="55">
        <f>IFERROR(INDEX('Semrush Data'!$A$1:$Z$20000,MATCH(A323,'Semrush Data'!$A$1:$A$20000,0),MATCH("Volume",'Semrush Data'!$A$1:$Z$1,0)),"")</f>
        <v/>
      </c>
      <c r="H323" s="42">
        <f>IFERROR(INDEX('Semrush Data'!$A$1:$Z$20000,MATCH(A323,'Semrush Data'!$A$1:$A$20000,0),MATCH("Keyword Difficulty*",'Semrush Data'!$A$1:$Z$1,0)),"")</f>
        <v/>
      </c>
      <c r="I323" s="56">
        <f>IFERROR(INDEX('Semrush Data'!$A$1:$Z$20000,MATCH(A323,'Semrush Data'!$A$1:$A$20000,0),MATCH("CPC*",'Semrush Data'!$A$1:$Z$1,0)),"")</f>
        <v/>
      </c>
      <c r="J323" s="42">
        <f>IFERROR(INDEX('Semrush Data'!$A$1:$Z$20000,MATCH(A323,'Semrush Data'!$A$1:$A$20000,0),MATCH("Intent",'Semrush Data'!$A$1:$Z$1,0)),"")</f>
        <v/>
      </c>
    </row>
    <row r="324" ht="15" customHeight="1" s="37">
      <c r="A324" s="42" t="inlineStr">
        <is>
          <t>anatome balance</t>
        </is>
      </c>
      <c r="B324" s="42" t="inlineStr">
        <is>
          <t>Product</t>
        </is>
      </c>
      <c r="C324" s="42" t="n">
        <v>1</v>
      </c>
      <c r="D324" s="42" t="n">
        <v>4</v>
      </c>
      <c r="E324" s="42" t="n">
        <v>3</v>
      </c>
      <c r="F324" s="42" t="inlineStr">
        <is>
          <t>FR-027, FR-028, FR-029</t>
        </is>
      </c>
      <c r="G324" s="55">
        <f>IFERROR(INDEX('Semrush Data'!$A$1:$Z$20000,MATCH(A324,'Semrush Data'!$A$1:$A$20000,0),MATCH("Volume",'Semrush Data'!$A$1:$Z$1,0)),"")</f>
        <v/>
      </c>
      <c r="H324" s="42">
        <f>IFERROR(INDEX('Semrush Data'!$A$1:$Z$20000,MATCH(A324,'Semrush Data'!$A$1:$A$20000,0),MATCH("Keyword Difficulty*",'Semrush Data'!$A$1:$Z$1,0)),"")</f>
        <v/>
      </c>
      <c r="I324" s="56">
        <f>IFERROR(INDEX('Semrush Data'!$A$1:$Z$20000,MATCH(A324,'Semrush Data'!$A$1:$A$20000,0),MATCH("CPC*",'Semrush Data'!$A$1:$Z$1,0)),"")</f>
        <v/>
      </c>
      <c r="J324" s="42">
        <f>IFERROR(INDEX('Semrush Data'!$A$1:$Z$20000,MATCH(A324,'Semrush Data'!$A$1:$A$20000,0),MATCH("Intent",'Semrush Data'!$A$1:$Z$1,0)),"")</f>
        <v/>
      </c>
    </row>
    <row r="325" ht="15" customHeight="1" s="37">
      <c r="A325" s="42" t="inlineStr">
        <is>
          <t>anatome energy</t>
        </is>
      </c>
      <c r="B325" s="42" t="inlineStr">
        <is>
          <t>Product</t>
        </is>
      </c>
      <c r="C325" s="42" t="n">
        <v>1</v>
      </c>
      <c r="D325" s="42" t="n">
        <v>4</v>
      </c>
      <c r="E325" s="42" t="n">
        <v>3</v>
      </c>
      <c r="F325" s="42" t="inlineStr">
        <is>
          <t>FR-030, FR-031, FR-032</t>
        </is>
      </c>
      <c r="G325" s="55">
        <f>IFERROR(INDEX('Semrush Data'!$A$1:$Z$20000,MATCH(A325,'Semrush Data'!$A$1:$A$20000,0),MATCH("Volume",'Semrush Data'!$A$1:$Z$1,0)),"")</f>
        <v/>
      </c>
      <c r="H325" s="42">
        <f>IFERROR(INDEX('Semrush Data'!$A$1:$Z$20000,MATCH(A325,'Semrush Data'!$A$1:$A$20000,0),MATCH("Keyword Difficulty*",'Semrush Data'!$A$1:$Z$1,0)),"")</f>
        <v/>
      </c>
      <c r="I325" s="56">
        <f>IFERROR(INDEX('Semrush Data'!$A$1:$Z$20000,MATCH(A325,'Semrush Data'!$A$1:$A$20000,0),MATCH("CPC*",'Semrush Data'!$A$1:$Z$1,0)),"")</f>
        <v/>
      </c>
      <c r="J325" s="42">
        <f>IFERROR(INDEX('Semrush Data'!$A$1:$Z$20000,MATCH(A325,'Semrush Data'!$A$1:$A$20000,0),MATCH("Intent",'Semrush Data'!$A$1:$Z$1,0)),"")</f>
        <v/>
      </c>
    </row>
    <row r="326" ht="15" customHeight="1" s="37">
      <c r="A326" s="42" t="inlineStr">
        <is>
          <t>anatome expression</t>
        </is>
      </c>
      <c r="B326" s="42" t="inlineStr">
        <is>
          <t>Product</t>
        </is>
      </c>
      <c r="C326" s="42" t="n">
        <v>1</v>
      </c>
      <c r="D326" s="42" t="n">
        <v>4</v>
      </c>
      <c r="E326" s="42" t="n">
        <v>3</v>
      </c>
      <c r="F326" s="42" t="inlineStr">
        <is>
          <t>FR-033, FR-034, FR-035</t>
        </is>
      </c>
      <c r="G326" s="55">
        <f>IFERROR(INDEX('Semrush Data'!$A$1:$Z$20000,MATCH(A326,'Semrush Data'!$A$1:$A$20000,0),MATCH("Volume",'Semrush Data'!$A$1:$Z$1,0)),"")</f>
        <v/>
      </c>
      <c r="H326" s="42">
        <f>IFERROR(INDEX('Semrush Data'!$A$1:$Z$20000,MATCH(A326,'Semrush Data'!$A$1:$A$20000,0),MATCH("Keyword Difficulty*",'Semrush Data'!$A$1:$Z$1,0)),"")</f>
        <v/>
      </c>
      <c r="I326" s="56">
        <f>IFERROR(INDEX('Semrush Data'!$A$1:$Z$20000,MATCH(A326,'Semrush Data'!$A$1:$A$20000,0),MATCH("CPC*",'Semrush Data'!$A$1:$Z$1,0)),"")</f>
        <v/>
      </c>
      <c r="J326" s="42">
        <f>IFERROR(INDEX('Semrush Data'!$A$1:$Z$20000,MATCH(A326,'Semrush Data'!$A$1:$A$20000,0),MATCH("Intent",'Semrush Data'!$A$1:$Z$1,0)),"")</f>
        <v/>
      </c>
    </row>
    <row r="327" ht="15" customHeight="1" s="37">
      <c r="A327" s="42" t="inlineStr">
        <is>
          <t>anatome focus</t>
        </is>
      </c>
      <c r="B327" s="42" t="inlineStr">
        <is>
          <t>Product</t>
        </is>
      </c>
      <c r="C327" s="42" t="n">
        <v>1</v>
      </c>
      <c r="D327" s="42" t="n">
        <v>4</v>
      </c>
      <c r="E327" s="42" t="n">
        <v>3</v>
      </c>
      <c r="F327" s="42" t="inlineStr">
        <is>
          <t>FR-036, FR-037, FR-038</t>
        </is>
      </c>
      <c r="G327" s="55">
        <f>IFERROR(INDEX('Semrush Data'!$A$1:$Z$20000,MATCH(A327,'Semrush Data'!$A$1:$A$20000,0),MATCH("Volume",'Semrush Data'!$A$1:$Z$1,0)),"")</f>
        <v/>
      </c>
      <c r="H327" s="42">
        <f>IFERROR(INDEX('Semrush Data'!$A$1:$Z$20000,MATCH(A327,'Semrush Data'!$A$1:$A$20000,0),MATCH("Keyword Difficulty*",'Semrush Data'!$A$1:$Z$1,0)),"")</f>
        <v/>
      </c>
      <c r="I327" s="56">
        <f>IFERROR(INDEX('Semrush Data'!$A$1:$Z$20000,MATCH(A327,'Semrush Data'!$A$1:$A$20000,0),MATCH("CPC*",'Semrush Data'!$A$1:$Z$1,0)),"")</f>
        <v/>
      </c>
      <c r="J327" s="42">
        <f>IFERROR(INDEX('Semrush Data'!$A$1:$Z$20000,MATCH(A327,'Semrush Data'!$A$1:$A$20000,0),MATCH("Intent",'Semrush Data'!$A$1:$Z$1,0)),"")</f>
        <v/>
      </c>
    </row>
    <row r="328" ht="15" customHeight="1" s="37">
      <c r="A328" s="42" t="inlineStr">
        <is>
          <t>anatome support</t>
        </is>
      </c>
      <c r="B328" s="42" t="inlineStr">
        <is>
          <t>Product</t>
        </is>
      </c>
      <c r="C328" s="42" t="n">
        <v>1</v>
      </c>
      <c r="D328" s="42" t="n">
        <v>4</v>
      </c>
      <c r="E328" s="42" t="n">
        <v>4</v>
      </c>
      <c r="F328" s="42" t="inlineStr">
        <is>
          <t>FR-039, FR-040, FR-041, FR-042</t>
        </is>
      </c>
      <c r="G328" s="55">
        <f>IFERROR(INDEX('Semrush Data'!$A$1:$Z$20000,MATCH(A328,'Semrush Data'!$A$1:$A$20000,0),MATCH("Volume",'Semrush Data'!$A$1:$Z$1,0)),"")</f>
        <v/>
      </c>
      <c r="H328" s="42">
        <f>IFERROR(INDEX('Semrush Data'!$A$1:$Z$20000,MATCH(A328,'Semrush Data'!$A$1:$A$20000,0),MATCH("Keyword Difficulty*",'Semrush Data'!$A$1:$Z$1,0)),"")</f>
        <v/>
      </c>
      <c r="I328" s="56">
        <f>IFERROR(INDEX('Semrush Data'!$A$1:$Z$20000,MATCH(A328,'Semrush Data'!$A$1:$A$20000,0),MATCH("CPC*",'Semrush Data'!$A$1:$Z$1,0)),"")</f>
        <v/>
      </c>
      <c r="J328" s="42">
        <f>IFERROR(INDEX('Semrush Data'!$A$1:$Z$20000,MATCH(A328,'Semrush Data'!$A$1:$A$20000,0),MATCH("Intent",'Semrush Data'!$A$1:$Z$1,0)),"")</f>
        <v/>
      </c>
    </row>
    <row r="329" ht="15" customHeight="1" s="37">
      <c r="A329" s="42" t="inlineStr">
        <is>
          <t>anna sui sky</t>
        </is>
      </c>
      <c r="B329" s="42" t="inlineStr">
        <is>
          <t>Product</t>
        </is>
      </c>
      <c r="C329" s="42" t="n">
        <v>1</v>
      </c>
      <c r="D329" s="42" t="n">
        <v>4</v>
      </c>
      <c r="E329" s="42" t="n">
        <v>1</v>
      </c>
      <c r="F329" s="42" t="inlineStr">
        <is>
          <t>FR-043</t>
        </is>
      </c>
      <c r="G329" s="55">
        <f>IFERROR(INDEX('Semrush Data'!$A$1:$Z$20000,MATCH(A329,'Semrush Data'!$A$1:$A$20000,0),MATCH("Volume",'Semrush Data'!$A$1:$Z$1,0)),"")</f>
        <v/>
      </c>
      <c r="H329" s="42">
        <f>IFERROR(INDEX('Semrush Data'!$A$1:$Z$20000,MATCH(A329,'Semrush Data'!$A$1:$A$20000,0),MATCH("Keyword Difficulty*",'Semrush Data'!$A$1:$Z$1,0)),"")</f>
        <v/>
      </c>
      <c r="I329" s="56">
        <f>IFERROR(INDEX('Semrush Data'!$A$1:$Z$20000,MATCH(A329,'Semrush Data'!$A$1:$A$20000,0),MATCH("CPC*",'Semrush Data'!$A$1:$Z$1,0)),"")</f>
        <v/>
      </c>
      <c r="J329" s="42">
        <f>IFERROR(INDEX('Semrush Data'!$A$1:$Z$20000,MATCH(A329,'Semrush Data'!$A$1:$A$20000,0),MATCH("Intent",'Semrush Data'!$A$1:$Z$1,0)),"")</f>
        <v/>
      </c>
    </row>
    <row r="330" ht="15" customHeight="1" s="37">
      <c r="A330" s="42" t="inlineStr">
        <is>
          <t>antonio banderas boucheron patchouli d'angkor</t>
        </is>
      </c>
      <c r="B330" s="42" t="inlineStr">
        <is>
          <t>Product</t>
        </is>
      </c>
      <c r="C330" s="42" t="n">
        <v>1</v>
      </c>
      <c r="D330" s="42" t="n">
        <v>4</v>
      </c>
      <c r="E330" s="42" t="n">
        <v>1</v>
      </c>
      <c r="F330" s="42" t="inlineStr">
        <is>
          <t>FR-044</t>
        </is>
      </c>
      <c r="G330" s="55">
        <f>IFERROR(INDEX('Semrush Data'!$A$1:$Z$20000,MATCH(A330,'Semrush Data'!$A$1:$A$20000,0),MATCH("Volume",'Semrush Data'!$A$1:$Z$1,0)),"")</f>
        <v/>
      </c>
      <c r="H330" s="42">
        <f>IFERROR(INDEX('Semrush Data'!$A$1:$Z$20000,MATCH(A330,'Semrush Data'!$A$1:$A$20000,0),MATCH("Keyword Difficulty*",'Semrush Data'!$A$1:$Z$1,0)),"")</f>
        <v/>
      </c>
      <c r="I330" s="56">
        <f>IFERROR(INDEX('Semrush Data'!$A$1:$Z$20000,MATCH(A330,'Semrush Data'!$A$1:$A$20000,0),MATCH("CPC*",'Semrush Data'!$A$1:$Z$1,0)),"")</f>
        <v/>
      </c>
      <c r="J330" s="42">
        <f>IFERROR(INDEX('Semrush Data'!$A$1:$Z$20000,MATCH(A330,'Semrush Data'!$A$1:$A$20000,0),MATCH("Intent",'Semrush Data'!$A$1:$Z$1,0)),"")</f>
        <v/>
      </c>
    </row>
    <row r="331" ht="15" customHeight="1" s="37">
      <c r="A331" s="42" t="inlineStr">
        <is>
          <t>antonio banderas boucheron rose d'isparta</t>
        </is>
      </c>
      <c r="B331" s="42" t="inlineStr">
        <is>
          <t>Product</t>
        </is>
      </c>
      <c r="C331" s="42" t="n">
        <v>1</v>
      </c>
      <c r="D331" s="42" t="n">
        <v>4</v>
      </c>
      <c r="E331" s="42" t="n">
        <v>1</v>
      </c>
      <c r="F331" s="42" t="inlineStr">
        <is>
          <t>FR-045</t>
        </is>
      </c>
      <c r="G331" s="55">
        <f>IFERROR(INDEX('Semrush Data'!$A$1:$Z$20000,MATCH(A331,'Semrush Data'!$A$1:$A$20000,0),MATCH("Volume",'Semrush Data'!$A$1:$Z$1,0)),"")</f>
        <v/>
      </c>
      <c r="H331" s="42">
        <f>IFERROR(INDEX('Semrush Data'!$A$1:$Z$20000,MATCH(A331,'Semrush Data'!$A$1:$A$20000,0),MATCH("Keyword Difficulty*",'Semrush Data'!$A$1:$Z$1,0)),"")</f>
        <v/>
      </c>
      <c r="I331" s="56">
        <f>IFERROR(INDEX('Semrush Data'!$A$1:$Z$20000,MATCH(A331,'Semrush Data'!$A$1:$A$20000,0),MATCH("CPC*",'Semrush Data'!$A$1:$Z$1,0)),"")</f>
        <v/>
      </c>
      <c r="J331" s="42">
        <f>IFERROR(INDEX('Semrush Data'!$A$1:$Z$20000,MATCH(A331,'Semrush Data'!$A$1:$A$20000,0),MATCH("Intent",'Semrush Data'!$A$1:$Z$1,0)),"")</f>
        <v/>
      </c>
    </row>
    <row r="332" ht="15" customHeight="1" s="37">
      <c r="A332" s="42" t="inlineStr">
        <is>
          <t>antonio banderas diavolo</t>
        </is>
      </c>
      <c r="B332" s="42" t="inlineStr">
        <is>
          <t>Product</t>
        </is>
      </c>
      <c r="C332" s="42" t="n">
        <v>1</v>
      </c>
      <c r="D332" s="42" t="n">
        <v>4</v>
      </c>
      <c r="E332" s="42" t="n">
        <v>1</v>
      </c>
      <c r="F332" s="42" t="inlineStr">
        <is>
          <t>FR-046</t>
        </is>
      </c>
      <c r="G332" s="55">
        <f>IFERROR(INDEX('Semrush Data'!$A$1:$Z$20000,MATCH(A332,'Semrush Data'!$A$1:$A$20000,0),MATCH("Volume",'Semrush Data'!$A$1:$Z$1,0)),"")</f>
        <v/>
      </c>
      <c r="H332" s="42">
        <f>IFERROR(INDEX('Semrush Data'!$A$1:$Z$20000,MATCH(A332,'Semrush Data'!$A$1:$A$20000,0),MATCH("Keyword Difficulty*",'Semrush Data'!$A$1:$Z$1,0)),"")</f>
        <v/>
      </c>
      <c r="I332" s="56">
        <f>IFERROR(INDEX('Semrush Data'!$A$1:$Z$20000,MATCH(A332,'Semrush Data'!$A$1:$A$20000,0),MATCH("CPC*",'Semrush Data'!$A$1:$Z$1,0)),"")</f>
        <v/>
      </c>
      <c r="J332" s="42">
        <f>IFERROR(INDEX('Semrush Data'!$A$1:$Z$20000,MATCH(A332,'Semrush Data'!$A$1:$A$20000,0),MATCH("Intent",'Semrush Data'!$A$1:$Z$1,0)),"")</f>
        <v/>
      </c>
    </row>
    <row r="333" ht="15" customHeight="1" s="37">
      <c r="A333" s="42" t="inlineStr">
        <is>
          <t>antonio banderas her secret desire</t>
        </is>
      </c>
      <c r="B333" s="42" t="inlineStr">
        <is>
          <t>Product</t>
        </is>
      </c>
      <c r="C333" s="42" t="n">
        <v>1</v>
      </c>
      <c r="D333" s="42" t="n">
        <v>4</v>
      </c>
      <c r="E333" s="42" t="n">
        <v>1</v>
      </c>
      <c r="F333" s="42" t="inlineStr">
        <is>
          <t>FR-047</t>
        </is>
      </c>
      <c r="G333" s="55">
        <f>IFERROR(INDEX('Semrush Data'!$A$1:$Z$20000,MATCH(A333,'Semrush Data'!$A$1:$A$20000,0),MATCH("Volume",'Semrush Data'!$A$1:$Z$1,0)),"")</f>
        <v/>
      </c>
      <c r="H333" s="42">
        <f>IFERROR(INDEX('Semrush Data'!$A$1:$Z$20000,MATCH(A333,'Semrush Data'!$A$1:$A$20000,0),MATCH("Keyword Difficulty*",'Semrush Data'!$A$1:$Z$1,0)),"")</f>
        <v/>
      </c>
      <c r="I333" s="56">
        <f>IFERROR(INDEX('Semrush Data'!$A$1:$Z$20000,MATCH(A333,'Semrush Data'!$A$1:$A$20000,0),MATCH("CPC*",'Semrush Data'!$A$1:$Z$1,0)),"")</f>
        <v/>
      </c>
      <c r="J333" s="42">
        <f>IFERROR(INDEX('Semrush Data'!$A$1:$Z$20000,MATCH(A333,'Semrush Data'!$A$1:$A$20000,0),MATCH("Intent",'Semrush Data'!$A$1:$Z$1,0)),"")</f>
        <v/>
      </c>
    </row>
    <row r="334" ht="15" customHeight="1" s="37">
      <c r="A334" s="42" t="inlineStr">
        <is>
          <t>antonio banderas her secret temptation</t>
        </is>
      </c>
      <c r="B334" s="42" t="inlineStr">
        <is>
          <t>Product</t>
        </is>
      </c>
      <c r="C334" s="42" t="n">
        <v>1</v>
      </c>
      <c r="D334" s="42" t="n">
        <v>4</v>
      </c>
      <c r="E334" s="42" t="n">
        <v>1</v>
      </c>
      <c r="F334" s="42" t="inlineStr">
        <is>
          <t>FR-048</t>
        </is>
      </c>
      <c r="G334" s="55">
        <f>IFERROR(INDEX('Semrush Data'!$A$1:$Z$20000,MATCH(A334,'Semrush Data'!$A$1:$A$20000,0),MATCH("Volume",'Semrush Data'!$A$1:$Z$1,0)),"")</f>
        <v/>
      </c>
      <c r="H334" s="42">
        <f>IFERROR(INDEX('Semrush Data'!$A$1:$Z$20000,MATCH(A334,'Semrush Data'!$A$1:$A$20000,0),MATCH("Keyword Difficulty*",'Semrush Data'!$A$1:$Z$1,0)),"")</f>
        <v/>
      </c>
      <c r="I334" s="56">
        <f>IFERROR(INDEX('Semrush Data'!$A$1:$Z$20000,MATCH(A334,'Semrush Data'!$A$1:$A$20000,0),MATCH("CPC*",'Semrush Data'!$A$1:$Z$1,0)),"")</f>
        <v/>
      </c>
      <c r="J334" s="42">
        <f>IFERROR(INDEX('Semrush Data'!$A$1:$Z$20000,MATCH(A334,'Semrush Data'!$A$1:$A$20000,0),MATCH("Intent",'Semrush Data'!$A$1:$Z$1,0)),"")</f>
        <v/>
      </c>
    </row>
    <row r="335" ht="15" customHeight="1" s="37">
      <c r="A335" s="42" t="inlineStr">
        <is>
          <t>antonio banderas power of seduction</t>
        </is>
      </c>
      <c r="B335" s="42" t="inlineStr">
        <is>
          <t>Product</t>
        </is>
      </c>
      <c r="C335" s="42" t="n">
        <v>1</v>
      </c>
      <c r="D335" s="42" t="n">
        <v>4</v>
      </c>
      <c r="E335" s="42" t="n">
        <v>1</v>
      </c>
      <c r="F335" s="42" t="inlineStr">
        <is>
          <t>FR-049</t>
        </is>
      </c>
      <c r="G335" s="55">
        <f>IFERROR(INDEX('Semrush Data'!$A$1:$Z$20000,MATCH(A335,'Semrush Data'!$A$1:$A$20000,0),MATCH("Volume",'Semrush Data'!$A$1:$Z$1,0)),"")</f>
        <v/>
      </c>
      <c r="H335" s="42">
        <f>IFERROR(INDEX('Semrush Data'!$A$1:$Z$20000,MATCH(A335,'Semrush Data'!$A$1:$A$20000,0),MATCH("Keyword Difficulty*",'Semrush Data'!$A$1:$Z$1,0)),"")</f>
        <v/>
      </c>
      <c r="I335" s="56">
        <f>IFERROR(INDEX('Semrush Data'!$A$1:$Z$20000,MATCH(A335,'Semrush Data'!$A$1:$A$20000,0),MATCH("CPC*",'Semrush Data'!$A$1:$Z$1,0)),"")</f>
        <v/>
      </c>
      <c r="J335" s="42">
        <f>IFERROR(INDEX('Semrush Data'!$A$1:$Z$20000,MATCH(A335,'Semrush Data'!$A$1:$A$20000,0),MATCH("Intent",'Semrush Data'!$A$1:$Z$1,0)),"")</f>
        <v/>
      </c>
    </row>
    <row r="336" ht="15" customHeight="1" s="37">
      <c r="A336" s="42" t="inlineStr">
        <is>
          <t>ariana grande thank u, next</t>
        </is>
      </c>
      <c r="B336" s="42" t="inlineStr">
        <is>
          <t>Product</t>
        </is>
      </c>
      <c r="C336" s="42" t="n">
        <v>1</v>
      </c>
      <c r="D336" s="42" t="n">
        <v>4</v>
      </c>
      <c r="E336" s="42" t="n">
        <v>1</v>
      </c>
      <c r="F336" s="42" t="inlineStr">
        <is>
          <t>FR-050</t>
        </is>
      </c>
      <c r="G336" s="55">
        <f>IFERROR(INDEX('Semrush Data'!$A$1:$Z$20000,MATCH(A336,'Semrush Data'!$A$1:$A$20000,0),MATCH("Volume",'Semrush Data'!$A$1:$Z$1,0)),"")</f>
        <v/>
      </c>
      <c r="H336" s="42">
        <f>IFERROR(INDEX('Semrush Data'!$A$1:$Z$20000,MATCH(A336,'Semrush Data'!$A$1:$A$20000,0),MATCH("Keyword Difficulty*",'Semrush Data'!$A$1:$Z$1,0)),"")</f>
        <v/>
      </c>
      <c r="I336" s="56">
        <f>IFERROR(INDEX('Semrush Data'!$A$1:$Z$20000,MATCH(A336,'Semrush Data'!$A$1:$A$20000,0),MATCH("CPC*",'Semrush Data'!$A$1:$Z$1,0)),"")</f>
        <v/>
      </c>
      <c r="J336" s="42">
        <f>IFERROR(INDEX('Semrush Data'!$A$1:$Z$20000,MATCH(A336,'Semrush Data'!$A$1:$A$20000,0),MATCH("Intent",'Semrush Data'!$A$1:$Z$1,0)),"")</f>
        <v/>
      </c>
    </row>
    <row r="337" ht="15" customHeight="1" s="37">
      <c r="A337" s="42" t="inlineStr">
        <is>
          <t>armaf hunter</t>
        </is>
      </c>
      <c r="B337" s="42" t="inlineStr">
        <is>
          <t>Product</t>
        </is>
      </c>
      <c r="C337" s="42" t="n">
        <v>1</v>
      </c>
      <c r="D337" s="42" t="n">
        <v>4</v>
      </c>
      <c r="E337" s="42" t="n">
        <v>1</v>
      </c>
      <c r="F337" s="42" t="inlineStr">
        <is>
          <t>FR-051</t>
        </is>
      </c>
      <c r="G337" s="55">
        <f>IFERROR(INDEX('Semrush Data'!$A$1:$Z$20000,MATCH(A337,'Semrush Data'!$A$1:$A$20000,0),MATCH("Volume",'Semrush Data'!$A$1:$Z$1,0)),"")</f>
        <v/>
      </c>
      <c r="H337" s="42">
        <f>IFERROR(INDEX('Semrush Data'!$A$1:$Z$20000,MATCH(A337,'Semrush Data'!$A$1:$A$20000,0),MATCH("Keyword Difficulty*",'Semrush Data'!$A$1:$Z$1,0)),"")</f>
        <v/>
      </c>
      <c r="I337" s="56">
        <f>IFERROR(INDEX('Semrush Data'!$A$1:$Z$20000,MATCH(A337,'Semrush Data'!$A$1:$A$20000,0),MATCH("CPC*",'Semrush Data'!$A$1:$Z$1,0)),"")</f>
        <v/>
      </c>
      <c r="J337" s="42">
        <f>IFERROR(INDEX('Semrush Data'!$A$1:$Z$20000,MATCH(A337,'Semrush Data'!$A$1:$A$20000,0),MATCH("Intent",'Semrush Data'!$A$1:$Z$1,0)),"")</f>
        <v/>
      </c>
    </row>
    <row r="338" ht="15" customHeight="1" s="37">
      <c r="A338" s="42" t="inlineStr">
        <is>
          <t>bentley absolute</t>
        </is>
      </c>
      <c r="B338" s="42" t="inlineStr">
        <is>
          <t>Product</t>
        </is>
      </c>
      <c r="C338" s="42" t="n">
        <v>1</v>
      </c>
      <c r="D338" s="42" t="n">
        <v>4</v>
      </c>
      <c r="E338" s="42" t="n">
        <v>1</v>
      </c>
      <c r="F338" s="42" t="inlineStr">
        <is>
          <t>FR-054</t>
        </is>
      </c>
      <c r="G338" s="55">
        <f>IFERROR(INDEX('Semrush Data'!$A$1:$Z$20000,MATCH(A338,'Semrush Data'!$A$1:$A$20000,0),MATCH("Volume",'Semrush Data'!$A$1:$Z$1,0)),"")</f>
        <v/>
      </c>
      <c r="H338" s="42">
        <f>IFERROR(INDEX('Semrush Data'!$A$1:$Z$20000,MATCH(A338,'Semrush Data'!$A$1:$A$20000,0),MATCH("Keyword Difficulty*",'Semrush Data'!$A$1:$Z$1,0)),"")</f>
        <v/>
      </c>
      <c r="I338" s="56">
        <f>IFERROR(INDEX('Semrush Data'!$A$1:$Z$20000,MATCH(A338,'Semrush Data'!$A$1:$A$20000,0),MATCH("CPC*",'Semrush Data'!$A$1:$Z$1,0)),"")</f>
        <v/>
      </c>
      <c r="J338" s="42">
        <f>IFERROR(INDEX('Semrush Data'!$A$1:$Z$20000,MATCH(A338,'Semrush Data'!$A$1:$A$20000,0),MATCH("Intent",'Semrush Data'!$A$1:$Z$1,0)),"")</f>
        <v/>
      </c>
    </row>
    <row r="339" ht="15" customHeight="1" s="37">
      <c r="A339" s="42" t="inlineStr">
        <is>
          <t>bentley azure</t>
        </is>
      </c>
      <c r="B339" s="42" t="inlineStr">
        <is>
          <t>Product</t>
        </is>
      </c>
      <c r="C339" s="42" t="n">
        <v>1</v>
      </c>
      <c r="D339" s="42" t="n">
        <v>4</v>
      </c>
      <c r="E339" s="42" t="n">
        <v>1</v>
      </c>
      <c r="F339" s="42" t="inlineStr">
        <is>
          <t>FR-058</t>
        </is>
      </c>
      <c r="G339" s="55">
        <f>IFERROR(INDEX('Semrush Data'!$A$1:$Z$20000,MATCH(A339,'Semrush Data'!$A$1:$A$20000,0),MATCH("Volume",'Semrush Data'!$A$1:$Z$1,0)),"")</f>
        <v/>
      </c>
      <c r="H339" s="42">
        <f>IFERROR(INDEX('Semrush Data'!$A$1:$Z$20000,MATCH(A339,'Semrush Data'!$A$1:$A$20000,0),MATCH("Keyword Difficulty*",'Semrush Data'!$A$1:$Z$1,0)),"")</f>
        <v/>
      </c>
      <c r="I339" s="56">
        <f>IFERROR(INDEX('Semrush Data'!$A$1:$Z$20000,MATCH(A339,'Semrush Data'!$A$1:$A$20000,0),MATCH("CPC*",'Semrush Data'!$A$1:$Z$1,0)),"")</f>
        <v/>
      </c>
      <c r="J339" s="42">
        <f>IFERROR(INDEX('Semrush Data'!$A$1:$Z$20000,MATCH(A339,'Semrush Data'!$A$1:$A$20000,0),MATCH("Intent",'Semrush Data'!$A$1:$Z$1,0)),"")</f>
        <v/>
      </c>
    </row>
    <row r="340" ht="15" customHeight="1" s="37">
      <c r="A340" s="42" t="inlineStr">
        <is>
          <t>bentley azzaro chrome legend</t>
        </is>
      </c>
      <c r="B340" s="42" t="inlineStr">
        <is>
          <t>Product</t>
        </is>
      </c>
      <c r="C340" s="42" t="n">
        <v>1</v>
      </c>
      <c r="D340" s="42" t="n">
        <v>4</v>
      </c>
      <c r="E340" s="42" t="n">
        <v>2</v>
      </c>
      <c r="F340" s="42" t="inlineStr">
        <is>
          <t>FR-056, FR-057</t>
        </is>
      </c>
      <c r="G340" s="55">
        <f>IFERROR(INDEX('Semrush Data'!$A$1:$Z$20000,MATCH(A340,'Semrush Data'!$A$1:$A$20000,0),MATCH("Volume",'Semrush Data'!$A$1:$Z$1,0)),"")</f>
        <v/>
      </c>
      <c r="H340" s="42">
        <f>IFERROR(INDEX('Semrush Data'!$A$1:$Z$20000,MATCH(A340,'Semrush Data'!$A$1:$A$20000,0),MATCH("Keyword Difficulty*",'Semrush Data'!$A$1:$Z$1,0)),"")</f>
        <v/>
      </c>
      <c r="I340" s="56">
        <f>IFERROR(INDEX('Semrush Data'!$A$1:$Z$20000,MATCH(A340,'Semrush Data'!$A$1:$A$20000,0),MATCH("CPC*",'Semrush Data'!$A$1:$Z$1,0)),"")</f>
        <v/>
      </c>
      <c r="J340" s="42">
        <f>IFERROR(INDEX('Semrush Data'!$A$1:$Z$20000,MATCH(A340,'Semrush Data'!$A$1:$A$20000,0),MATCH("Intent",'Semrush Data'!$A$1:$Z$1,0)),"")</f>
        <v/>
      </c>
    </row>
    <row r="341" ht="15" customHeight="1" s="37">
      <c r="A341" s="42" t="inlineStr">
        <is>
          <t>bentley azzaro pour homme deodorant</t>
        </is>
      </c>
      <c r="B341" s="42" t="inlineStr">
        <is>
          <t>Product</t>
        </is>
      </c>
      <c r="C341" s="42" t="n">
        <v>1</v>
      </c>
      <c r="D341" s="42" t="n">
        <v>4</v>
      </c>
      <c r="E341" s="42" t="n">
        <v>1</v>
      </c>
      <c r="F341" s="42" t="inlineStr">
        <is>
          <t>FR-052</t>
        </is>
      </c>
      <c r="G341" s="55">
        <f>IFERROR(INDEX('Semrush Data'!$A$1:$Z$20000,MATCH(A341,'Semrush Data'!$A$1:$A$20000,0),MATCH("Volume",'Semrush Data'!$A$1:$Z$1,0)),"")</f>
        <v/>
      </c>
      <c r="H341" s="42">
        <f>IFERROR(INDEX('Semrush Data'!$A$1:$Z$20000,MATCH(A341,'Semrush Data'!$A$1:$A$20000,0),MATCH("Keyword Difficulty*",'Semrush Data'!$A$1:$Z$1,0)),"")</f>
        <v/>
      </c>
      <c r="I341" s="56">
        <f>IFERROR(INDEX('Semrush Data'!$A$1:$Z$20000,MATCH(A341,'Semrush Data'!$A$1:$A$20000,0),MATCH("CPC*",'Semrush Data'!$A$1:$Z$1,0)),"")</f>
        <v/>
      </c>
      <c r="J341" s="42">
        <f>IFERROR(INDEX('Semrush Data'!$A$1:$Z$20000,MATCH(A341,'Semrush Data'!$A$1:$A$20000,0),MATCH("Intent",'Semrush Data'!$A$1:$Z$1,0)),"")</f>
        <v/>
      </c>
    </row>
    <row r="342" ht="15" customHeight="1" s="37">
      <c r="A342" s="42" t="inlineStr">
        <is>
          <t>bentley azzaro the most wanted</t>
        </is>
      </c>
      <c r="B342" s="42" t="inlineStr">
        <is>
          <t>Product</t>
        </is>
      </c>
      <c r="C342" s="42" t="n">
        <v>1</v>
      </c>
      <c r="D342" s="42" t="n">
        <v>4</v>
      </c>
      <c r="E342" s="42" t="n">
        <v>1</v>
      </c>
      <c r="F342" s="42" t="inlineStr">
        <is>
          <t>FR-062</t>
        </is>
      </c>
      <c r="G342" s="55">
        <f>IFERROR(INDEX('Semrush Data'!$A$1:$Z$20000,MATCH(A342,'Semrush Data'!$A$1:$A$20000,0),MATCH("Volume",'Semrush Data'!$A$1:$Z$1,0)),"")</f>
        <v/>
      </c>
      <c r="H342" s="42">
        <f>IFERROR(INDEX('Semrush Data'!$A$1:$Z$20000,MATCH(A342,'Semrush Data'!$A$1:$A$20000,0),MATCH("Keyword Difficulty*",'Semrush Data'!$A$1:$Z$1,0)),"")</f>
        <v/>
      </c>
      <c r="I342" s="56">
        <f>IFERROR(INDEX('Semrush Data'!$A$1:$Z$20000,MATCH(A342,'Semrush Data'!$A$1:$A$20000,0),MATCH("CPC*",'Semrush Data'!$A$1:$Z$1,0)),"")</f>
        <v/>
      </c>
      <c r="J342" s="42">
        <f>IFERROR(INDEX('Semrush Data'!$A$1:$Z$20000,MATCH(A342,'Semrush Data'!$A$1:$A$20000,0),MATCH("Intent",'Semrush Data'!$A$1:$Z$1,0)),"")</f>
        <v/>
      </c>
    </row>
    <row r="343" ht="15" customHeight="1" s="37">
      <c r="A343" s="42" t="inlineStr">
        <is>
          <t>bentley azzaro the most wanted intense gift set</t>
        </is>
      </c>
      <c r="B343" s="42" t="inlineStr">
        <is>
          <t>Product</t>
        </is>
      </c>
      <c r="C343" s="42" t="n">
        <v>1</v>
      </c>
      <c r="D343" s="42" t="n">
        <v>4</v>
      </c>
      <c r="E343" s="42" t="n">
        <v>1</v>
      </c>
      <c r="F343" s="42" t="inlineStr">
        <is>
          <t>FR-061</t>
        </is>
      </c>
      <c r="G343" s="55">
        <f>IFERROR(INDEX('Semrush Data'!$A$1:$Z$20000,MATCH(A343,'Semrush Data'!$A$1:$A$20000,0),MATCH("Volume",'Semrush Data'!$A$1:$Z$1,0)),"")</f>
        <v/>
      </c>
      <c r="H343" s="42">
        <f>IFERROR(INDEX('Semrush Data'!$A$1:$Z$20000,MATCH(A343,'Semrush Data'!$A$1:$A$20000,0),MATCH("Keyword Difficulty*",'Semrush Data'!$A$1:$Z$1,0)),"")</f>
        <v/>
      </c>
      <c r="I343" s="56">
        <f>IFERROR(INDEX('Semrush Data'!$A$1:$Z$20000,MATCH(A343,'Semrush Data'!$A$1:$A$20000,0),MATCH("CPC*",'Semrush Data'!$A$1:$Z$1,0)),"")</f>
        <v/>
      </c>
      <c r="J343" s="42">
        <f>IFERROR(INDEX('Semrush Data'!$A$1:$Z$20000,MATCH(A343,'Semrush Data'!$A$1:$A$20000,0),MATCH("Intent",'Semrush Data'!$A$1:$Z$1,0)),"")</f>
        <v/>
      </c>
    </row>
    <row r="344" ht="15" customHeight="1" s="37">
      <c r="A344" s="42" t="inlineStr">
        <is>
          <t>bentley become</t>
        </is>
      </c>
      <c r="B344" s="42" t="inlineStr">
        <is>
          <t>Product</t>
        </is>
      </c>
      <c r="C344" s="42" t="n">
        <v>1</v>
      </c>
      <c r="D344" s="42" t="n">
        <v>4</v>
      </c>
      <c r="E344" s="42" t="n">
        <v>1</v>
      </c>
      <c r="F344" s="42" t="inlineStr">
        <is>
          <t>FR-053</t>
        </is>
      </c>
      <c r="G344" s="55">
        <f>IFERROR(INDEX('Semrush Data'!$A$1:$Z$20000,MATCH(A344,'Semrush Data'!$A$1:$A$20000,0),MATCH("Volume",'Semrush Data'!$A$1:$Z$1,0)),"")</f>
        <v/>
      </c>
      <c r="H344" s="42">
        <f>IFERROR(INDEX('Semrush Data'!$A$1:$Z$20000,MATCH(A344,'Semrush Data'!$A$1:$A$20000,0),MATCH("Keyword Difficulty*",'Semrush Data'!$A$1:$Z$1,0)),"")</f>
        <v/>
      </c>
      <c r="I344" s="56">
        <f>IFERROR(INDEX('Semrush Data'!$A$1:$Z$20000,MATCH(A344,'Semrush Data'!$A$1:$A$20000,0),MATCH("CPC*",'Semrush Data'!$A$1:$Z$1,0)),"")</f>
        <v/>
      </c>
      <c r="J344" s="42">
        <f>IFERROR(INDEX('Semrush Data'!$A$1:$Z$20000,MATCH(A344,'Semrush Data'!$A$1:$A$20000,0),MATCH("Intent",'Semrush Data'!$A$1:$Z$1,0)),"")</f>
        <v/>
      </c>
    </row>
    <row r="345" ht="15" customHeight="1" s="37">
      <c r="A345" s="42" t="inlineStr">
        <is>
          <t>bentley infinite</t>
        </is>
      </c>
      <c r="B345" s="42" t="inlineStr">
        <is>
          <t>Product</t>
        </is>
      </c>
      <c r="C345" s="42" t="n">
        <v>1</v>
      </c>
      <c r="D345" s="42" t="n">
        <v>4</v>
      </c>
      <c r="E345" s="42" t="n">
        <v>1</v>
      </c>
      <c r="F345" s="42" t="inlineStr">
        <is>
          <t>FR-059</t>
        </is>
      </c>
      <c r="G345" s="55">
        <f>IFERROR(INDEX('Semrush Data'!$A$1:$Z$20000,MATCH(A345,'Semrush Data'!$A$1:$A$20000,0),MATCH("Volume",'Semrush Data'!$A$1:$Z$1,0)),"")</f>
        <v/>
      </c>
      <c r="H345" s="42">
        <f>IFERROR(INDEX('Semrush Data'!$A$1:$Z$20000,MATCH(A345,'Semrush Data'!$A$1:$A$20000,0),MATCH("Keyword Difficulty*",'Semrush Data'!$A$1:$Z$1,0)),"")</f>
        <v/>
      </c>
      <c r="I345" s="56">
        <f>IFERROR(INDEX('Semrush Data'!$A$1:$Z$20000,MATCH(A345,'Semrush Data'!$A$1:$A$20000,0),MATCH("CPC*",'Semrush Data'!$A$1:$Z$1,0)),"")</f>
        <v/>
      </c>
      <c r="J345" s="42">
        <f>IFERROR(INDEX('Semrush Data'!$A$1:$Z$20000,MATCH(A345,'Semrush Data'!$A$1:$A$20000,0),MATCH("Intent",'Semrush Data'!$A$1:$Z$1,0)),"")</f>
        <v/>
      </c>
    </row>
    <row r="346" ht="15" customHeight="1" s="37">
      <c r="A346" s="42" t="inlineStr">
        <is>
          <t>bentley momentum unlimited</t>
        </is>
      </c>
      <c r="B346" s="42" t="inlineStr">
        <is>
          <t>Product</t>
        </is>
      </c>
      <c r="C346" s="42" t="n">
        <v>1</v>
      </c>
      <c r="D346" s="42" t="n">
        <v>4</v>
      </c>
      <c r="E346" s="42" t="n">
        <v>1</v>
      </c>
      <c r="F346" s="42" t="inlineStr">
        <is>
          <t>FR-060</t>
        </is>
      </c>
      <c r="G346" s="55">
        <f>IFERROR(INDEX('Semrush Data'!$A$1:$Z$20000,MATCH(A346,'Semrush Data'!$A$1:$A$20000,0),MATCH("Volume",'Semrush Data'!$A$1:$Z$1,0)),"")</f>
        <v/>
      </c>
      <c r="H346" s="42">
        <f>IFERROR(INDEX('Semrush Data'!$A$1:$Z$20000,MATCH(A346,'Semrush Data'!$A$1:$A$20000,0),MATCH("Keyword Difficulty*",'Semrush Data'!$A$1:$Z$1,0)),"")</f>
        <v/>
      </c>
      <c r="I346" s="56">
        <f>IFERROR(INDEX('Semrush Data'!$A$1:$Z$20000,MATCH(A346,'Semrush Data'!$A$1:$A$20000,0),MATCH("CPC*",'Semrush Data'!$A$1:$Z$1,0)),"")</f>
        <v/>
      </c>
      <c r="J346" s="42">
        <f>IFERROR(INDEX('Semrush Data'!$A$1:$Z$20000,MATCH(A346,'Semrush Data'!$A$1:$A$20000,0),MATCH("Intent",'Semrush Data'!$A$1:$Z$1,0)),"")</f>
        <v/>
      </c>
    </row>
    <row r="347" ht="15" customHeight="1" s="37">
      <c r="A347" s="42" t="inlineStr">
        <is>
          <t>bentley silverlake</t>
        </is>
      </c>
      <c r="B347" s="42" t="inlineStr">
        <is>
          <t>Product</t>
        </is>
      </c>
      <c r="C347" s="42" t="n">
        <v>1</v>
      </c>
      <c r="D347" s="42" t="n">
        <v>4</v>
      </c>
      <c r="E347" s="42" t="n">
        <v>1</v>
      </c>
      <c r="F347" s="42" t="inlineStr">
        <is>
          <t>FR-055</t>
        </is>
      </c>
      <c r="G347" s="55">
        <f>IFERROR(INDEX('Semrush Data'!$A$1:$Z$20000,MATCH(A347,'Semrush Data'!$A$1:$A$20000,0),MATCH("Volume",'Semrush Data'!$A$1:$Z$1,0)),"")</f>
        <v/>
      </c>
      <c r="H347" s="42">
        <f>IFERROR(INDEX('Semrush Data'!$A$1:$Z$20000,MATCH(A347,'Semrush Data'!$A$1:$A$20000,0),MATCH("Keyword Difficulty*",'Semrush Data'!$A$1:$Z$1,0)),"")</f>
        <v/>
      </c>
      <c r="I347" s="56">
        <f>IFERROR(INDEX('Semrush Data'!$A$1:$Z$20000,MATCH(A347,'Semrush Data'!$A$1:$A$20000,0),MATCH("CPC*",'Semrush Data'!$A$1:$Z$1,0)),"")</f>
        <v/>
      </c>
      <c r="J347" s="42">
        <f>IFERROR(INDEX('Semrush Data'!$A$1:$Z$20000,MATCH(A347,'Semrush Data'!$A$1:$A$20000,0),MATCH("Intent",'Semrush Data'!$A$1:$Z$1,0)),"")</f>
        <v/>
      </c>
    </row>
    <row r="348" ht="15" customHeight="1" s="37">
      <c r="A348" s="42" t="inlineStr">
        <is>
          <t>burberry miniature set</t>
        </is>
      </c>
      <c r="B348" s="42" t="inlineStr">
        <is>
          <t>Product</t>
        </is>
      </c>
      <c r="C348" s="42" t="n">
        <v>1</v>
      </c>
      <c r="D348" s="42" t="n">
        <v>4</v>
      </c>
      <c r="E348" s="42" t="n">
        <v>1</v>
      </c>
      <c r="F348" s="42" t="inlineStr">
        <is>
          <t>FR-065</t>
        </is>
      </c>
      <c r="G348" s="55">
        <f>IFERROR(INDEX('Semrush Data'!$A$1:$Z$20000,MATCH(A348,'Semrush Data'!$A$1:$A$20000,0),MATCH("Volume",'Semrush Data'!$A$1:$Z$1,0)),"")</f>
        <v/>
      </c>
      <c r="H348" s="42">
        <f>IFERROR(INDEX('Semrush Data'!$A$1:$Z$20000,MATCH(A348,'Semrush Data'!$A$1:$A$20000,0),MATCH("Keyword Difficulty*",'Semrush Data'!$A$1:$Z$1,0)),"")</f>
        <v/>
      </c>
      <c r="I348" s="56">
        <f>IFERROR(INDEX('Semrush Data'!$A$1:$Z$20000,MATCH(A348,'Semrush Data'!$A$1:$A$20000,0),MATCH("CPC*",'Semrush Data'!$A$1:$Z$1,0)),"")</f>
        <v/>
      </c>
      <c r="J348" s="42">
        <f>IFERROR(INDEX('Semrush Data'!$A$1:$Z$20000,MATCH(A348,'Semrush Data'!$A$1:$A$20000,0),MATCH("Intent",'Semrush Data'!$A$1:$Z$1,0)),"")</f>
        <v/>
      </c>
    </row>
    <row r="349" ht="15" customHeight="1" s="37">
      <c r="A349" s="42" t="inlineStr">
        <is>
          <t>burberry my burberry</t>
        </is>
      </c>
      <c r="B349" s="42" t="inlineStr">
        <is>
          <t>Product</t>
        </is>
      </c>
      <c r="C349" s="42" t="n">
        <v>1</v>
      </c>
      <c r="D349" s="42" t="n">
        <v>4</v>
      </c>
      <c r="E349" s="42" t="n">
        <v>2</v>
      </c>
      <c r="F349" s="42" t="inlineStr">
        <is>
          <t>FR-063, FR-064</t>
        </is>
      </c>
      <c r="G349" s="55">
        <f>IFERROR(INDEX('Semrush Data'!$A$1:$Z$20000,MATCH(A349,'Semrush Data'!$A$1:$A$20000,0),MATCH("Volume",'Semrush Data'!$A$1:$Z$1,0)),"")</f>
        <v/>
      </c>
      <c r="H349" s="42">
        <f>IFERROR(INDEX('Semrush Data'!$A$1:$Z$20000,MATCH(A349,'Semrush Data'!$A$1:$A$20000,0),MATCH("Keyword Difficulty*",'Semrush Data'!$A$1:$Z$1,0)),"")</f>
        <v/>
      </c>
      <c r="I349" s="56">
        <f>IFERROR(INDEX('Semrush Data'!$A$1:$Z$20000,MATCH(A349,'Semrush Data'!$A$1:$A$20000,0),MATCH("CPC*",'Semrush Data'!$A$1:$Z$1,0)),"")</f>
        <v/>
      </c>
      <c r="J349" s="42">
        <f>IFERROR(INDEX('Semrush Data'!$A$1:$Z$20000,MATCH(A349,'Semrush Data'!$A$1:$A$20000,0),MATCH("Intent",'Semrush Data'!$A$1:$Z$1,0)),"")</f>
        <v/>
      </c>
    </row>
    <row r="350" ht="15" customHeight="1" s="37">
      <c r="A350" s="42" t="inlineStr">
        <is>
          <t>burberry my burberry black</t>
        </is>
      </c>
      <c r="B350" s="42" t="inlineStr">
        <is>
          <t>Product</t>
        </is>
      </c>
      <c r="C350" s="42" t="n">
        <v>1</v>
      </c>
      <c r="D350" s="42" t="n">
        <v>4</v>
      </c>
      <c r="E350" s="42" t="n">
        <v>2</v>
      </c>
      <c r="F350" s="42" t="inlineStr">
        <is>
          <t>FR-066, FR-067</t>
        </is>
      </c>
      <c r="G350" s="55">
        <f>IFERROR(INDEX('Semrush Data'!$A$1:$Z$20000,MATCH(A350,'Semrush Data'!$A$1:$A$20000,0),MATCH("Volume",'Semrush Data'!$A$1:$Z$1,0)),"")</f>
        <v/>
      </c>
      <c r="H350" s="42">
        <f>IFERROR(INDEX('Semrush Data'!$A$1:$Z$20000,MATCH(A350,'Semrush Data'!$A$1:$A$20000,0),MATCH("Keyword Difficulty*",'Semrush Data'!$A$1:$Z$1,0)),"")</f>
        <v/>
      </c>
      <c r="I350" s="56">
        <f>IFERROR(INDEX('Semrush Data'!$A$1:$Z$20000,MATCH(A350,'Semrush Data'!$A$1:$A$20000,0),MATCH("CPC*",'Semrush Data'!$A$1:$Z$1,0)),"")</f>
        <v/>
      </c>
      <c r="J350" s="42">
        <f>IFERROR(INDEX('Semrush Data'!$A$1:$Z$20000,MATCH(A350,'Semrush Data'!$A$1:$A$20000,0),MATCH("Intent",'Semrush Data'!$A$1:$Z$1,0)),"")</f>
        <v/>
      </c>
    </row>
    <row r="351" ht="15" customHeight="1" s="37">
      <c r="A351" s="42" t="inlineStr">
        <is>
          <t>bvlgari man glacial essence gift set</t>
        </is>
      </c>
      <c r="B351" s="42" t="inlineStr">
        <is>
          <t>Product</t>
        </is>
      </c>
      <c r="C351" s="42" t="n">
        <v>1</v>
      </c>
      <c r="D351" s="42" t="n">
        <v>4</v>
      </c>
      <c r="E351" s="42" t="n">
        <v>1</v>
      </c>
      <c r="F351" s="42" t="inlineStr">
        <is>
          <t>FR-071</t>
        </is>
      </c>
      <c r="G351" s="55">
        <f>IFERROR(INDEX('Semrush Data'!$A$1:$Z$20000,MATCH(A351,'Semrush Data'!$A$1:$A$20000,0),MATCH("Volume",'Semrush Data'!$A$1:$Z$1,0)),"")</f>
        <v/>
      </c>
      <c r="H351" s="42">
        <f>IFERROR(INDEX('Semrush Data'!$A$1:$Z$20000,MATCH(A351,'Semrush Data'!$A$1:$A$20000,0),MATCH("Keyword Difficulty*",'Semrush Data'!$A$1:$Z$1,0)),"")</f>
        <v/>
      </c>
      <c r="I351" s="56">
        <f>IFERROR(INDEX('Semrush Data'!$A$1:$Z$20000,MATCH(A351,'Semrush Data'!$A$1:$A$20000,0),MATCH("CPC*",'Semrush Data'!$A$1:$Z$1,0)),"")</f>
        <v/>
      </c>
      <c r="J351" s="42">
        <f>IFERROR(INDEX('Semrush Data'!$A$1:$Z$20000,MATCH(A351,'Semrush Data'!$A$1:$A$20000,0),MATCH("Intent",'Semrush Data'!$A$1:$Z$1,0)),"")</f>
        <v/>
      </c>
    </row>
    <row r="352" ht="15" customHeight="1" s="37">
      <c r="A352" s="42" t="inlineStr">
        <is>
          <t>bvlgari man in black</t>
        </is>
      </c>
      <c r="B352" s="42" t="inlineStr">
        <is>
          <t>Product</t>
        </is>
      </c>
      <c r="C352" s="42" t="n">
        <v>1</v>
      </c>
      <c r="D352" s="42" t="n">
        <v>4</v>
      </c>
      <c r="E352" s="42" t="n">
        <v>1</v>
      </c>
      <c r="F352" s="42" t="inlineStr">
        <is>
          <t>FR-068</t>
        </is>
      </c>
      <c r="G352" s="55">
        <f>IFERROR(INDEX('Semrush Data'!$A$1:$Z$20000,MATCH(A352,'Semrush Data'!$A$1:$A$20000,0),MATCH("Volume",'Semrush Data'!$A$1:$Z$1,0)),"")</f>
        <v/>
      </c>
      <c r="H352" s="42">
        <f>IFERROR(INDEX('Semrush Data'!$A$1:$Z$20000,MATCH(A352,'Semrush Data'!$A$1:$A$20000,0),MATCH("Keyword Difficulty*",'Semrush Data'!$A$1:$Z$1,0)),"")</f>
        <v/>
      </c>
      <c r="I352" s="56">
        <f>IFERROR(INDEX('Semrush Data'!$A$1:$Z$20000,MATCH(A352,'Semrush Data'!$A$1:$A$20000,0),MATCH("CPC*",'Semrush Data'!$A$1:$Z$1,0)),"")</f>
        <v/>
      </c>
      <c r="J352" s="42">
        <f>IFERROR(INDEX('Semrush Data'!$A$1:$Z$20000,MATCH(A352,'Semrush Data'!$A$1:$A$20000,0),MATCH("Intent",'Semrush Data'!$A$1:$Z$1,0)),"")</f>
        <v/>
      </c>
    </row>
    <row r="353" ht="15" customHeight="1" s="37">
      <c r="A353" s="42" t="inlineStr">
        <is>
          <t>bvlgari man rain essence gift set</t>
        </is>
      </c>
      <c r="B353" s="42" t="inlineStr">
        <is>
          <t>Product</t>
        </is>
      </c>
      <c r="C353" s="42" t="n">
        <v>1</v>
      </c>
      <c r="D353" s="42" t="n">
        <v>4</v>
      </c>
      <c r="E353" s="42" t="n">
        <v>1</v>
      </c>
      <c r="F353" s="42" t="inlineStr">
        <is>
          <t>FR-072</t>
        </is>
      </c>
      <c r="G353" s="55">
        <f>IFERROR(INDEX('Semrush Data'!$A$1:$Z$20000,MATCH(A353,'Semrush Data'!$A$1:$A$20000,0),MATCH("Volume",'Semrush Data'!$A$1:$Z$1,0)),"")</f>
        <v/>
      </c>
      <c r="H353" s="42">
        <f>IFERROR(INDEX('Semrush Data'!$A$1:$Z$20000,MATCH(A353,'Semrush Data'!$A$1:$A$20000,0),MATCH("Keyword Difficulty*",'Semrush Data'!$A$1:$Z$1,0)),"")</f>
        <v/>
      </c>
      <c r="I353" s="56">
        <f>IFERROR(INDEX('Semrush Data'!$A$1:$Z$20000,MATCH(A353,'Semrush Data'!$A$1:$A$20000,0),MATCH("CPC*",'Semrush Data'!$A$1:$Z$1,0)),"")</f>
        <v/>
      </c>
      <c r="J353" s="42">
        <f>IFERROR(INDEX('Semrush Data'!$A$1:$Z$20000,MATCH(A353,'Semrush Data'!$A$1:$A$20000,0),MATCH("Intent",'Semrush Data'!$A$1:$Z$1,0)),"")</f>
        <v/>
      </c>
    </row>
    <row r="354" ht="15" customHeight="1" s="37">
      <c r="A354" s="42" t="inlineStr">
        <is>
          <t>bvlgari man terrae essence gift set</t>
        </is>
      </c>
      <c r="B354" s="42" t="inlineStr">
        <is>
          <t>Product</t>
        </is>
      </c>
      <c r="C354" s="42" t="n">
        <v>1</v>
      </c>
      <c r="D354" s="42" t="n">
        <v>4</v>
      </c>
      <c r="E354" s="42" t="n">
        <v>1</v>
      </c>
      <c r="F354" s="42" t="inlineStr">
        <is>
          <t>FR-073</t>
        </is>
      </c>
      <c r="G354" s="55">
        <f>IFERROR(INDEX('Semrush Data'!$A$1:$Z$20000,MATCH(A354,'Semrush Data'!$A$1:$A$20000,0),MATCH("Volume",'Semrush Data'!$A$1:$Z$1,0)),"")</f>
        <v/>
      </c>
      <c r="H354" s="42">
        <f>IFERROR(INDEX('Semrush Data'!$A$1:$Z$20000,MATCH(A354,'Semrush Data'!$A$1:$A$20000,0),MATCH("Keyword Difficulty*",'Semrush Data'!$A$1:$Z$1,0)),"")</f>
        <v/>
      </c>
      <c r="I354" s="56">
        <f>IFERROR(INDEX('Semrush Data'!$A$1:$Z$20000,MATCH(A354,'Semrush Data'!$A$1:$A$20000,0),MATCH("CPC*",'Semrush Data'!$A$1:$Z$1,0)),"")</f>
        <v/>
      </c>
      <c r="J354" s="42">
        <f>IFERROR(INDEX('Semrush Data'!$A$1:$Z$20000,MATCH(A354,'Semrush Data'!$A$1:$A$20000,0),MATCH("Intent",'Semrush Data'!$A$1:$Z$1,0)),"")</f>
        <v/>
      </c>
    </row>
    <row r="355" ht="15" customHeight="1" s="37">
      <c r="A355" s="42" t="inlineStr">
        <is>
          <t>bvlgari man wood essence gift set</t>
        </is>
      </c>
      <c r="B355" s="42" t="inlineStr">
        <is>
          <t>Product</t>
        </is>
      </c>
      <c r="C355" s="42" t="n">
        <v>1</v>
      </c>
      <c r="D355" s="42" t="n">
        <v>4</v>
      </c>
      <c r="E355" s="42" t="n">
        <v>1</v>
      </c>
      <c r="F355" s="42" t="inlineStr">
        <is>
          <t>FR-074</t>
        </is>
      </c>
      <c r="G355" s="55">
        <f>IFERROR(INDEX('Semrush Data'!$A$1:$Z$20000,MATCH(A355,'Semrush Data'!$A$1:$A$20000,0),MATCH("Volume",'Semrush Data'!$A$1:$Z$1,0)),"")</f>
        <v/>
      </c>
      <c r="H355" s="42">
        <f>IFERROR(INDEX('Semrush Data'!$A$1:$Z$20000,MATCH(A355,'Semrush Data'!$A$1:$A$20000,0),MATCH("Keyword Difficulty*",'Semrush Data'!$A$1:$Z$1,0)),"")</f>
        <v/>
      </c>
      <c r="I355" s="56">
        <f>IFERROR(INDEX('Semrush Data'!$A$1:$Z$20000,MATCH(A355,'Semrush Data'!$A$1:$A$20000,0),MATCH("CPC*",'Semrush Data'!$A$1:$Z$1,0)),"")</f>
        <v/>
      </c>
      <c r="J355" s="42">
        <f>IFERROR(INDEX('Semrush Data'!$A$1:$Z$20000,MATCH(A355,'Semrush Data'!$A$1:$A$20000,0),MATCH("Intent",'Semrush Data'!$A$1:$Z$1,0)),"")</f>
        <v/>
      </c>
    </row>
    <row r="356" ht="15" customHeight="1" s="37">
      <c r="A356" s="42" t="inlineStr">
        <is>
          <t>bvlgari omnia amethyste</t>
        </is>
      </c>
      <c r="B356" s="42" t="inlineStr">
        <is>
          <t>Product</t>
        </is>
      </c>
      <c r="C356" s="42" t="n">
        <v>1</v>
      </c>
      <c r="D356" s="42" t="n">
        <v>4</v>
      </c>
      <c r="E356" s="42" t="n">
        <v>1</v>
      </c>
      <c r="F356" s="42" t="inlineStr">
        <is>
          <t>FR-070</t>
        </is>
      </c>
      <c r="G356" s="55">
        <f>IFERROR(INDEX('Semrush Data'!$A$1:$Z$20000,MATCH(A356,'Semrush Data'!$A$1:$A$20000,0),MATCH("Volume",'Semrush Data'!$A$1:$Z$1,0)),"")</f>
        <v/>
      </c>
      <c r="H356" s="42">
        <f>IFERROR(INDEX('Semrush Data'!$A$1:$Z$20000,MATCH(A356,'Semrush Data'!$A$1:$A$20000,0),MATCH("Keyword Difficulty*",'Semrush Data'!$A$1:$Z$1,0)),"")</f>
        <v/>
      </c>
      <c r="I356" s="56">
        <f>IFERROR(INDEX('Semrush Data'!$A$1:$Z$20000,MATCH(A356,'Semrush Data'!$A$1:$A$20000,0),MATCH("CPC*",'Semrush Data'!$A$1:$Z$1,0)),"")</f>
        <v/>
      </c>
      <c r="J356" s="42">
        <f>IFERROR(INDEX('Semrush Data'!$A$1:$Z$20000,MATCH(A356,'Semrush Data'!$A$1:$A$20000,0),MATCH("Intent",'Semrush Data'!$A$1:$Z$1,0)),"")</f>
        <v/>
      </c>
    </row>
    <row r="357" ht="15" customHeight="1" s="37">
      <c r="A357" s="42" t="inlineStr">
        <is>
          <t>bvlgari rose goldea blossom delight gift set</t>
        </is>
      </c>
      <c r="B357" s="42" t="inlineStr">
        <is>
          <t>Product</t>
        </is>
      </c>
      <c r="C357" s="42" t="n">
        <v>1</v>
      </c>
      <c r="D357" s="42" t="n">
        <v>4</v>
      </c>
      <c r="E357" s="42" t="n">
        <v>1</v>
      </c>
      <c r="F357" s="42" t="inlineStr">
        <is>
          <t>FR-075</t>
        </is>
      </c>
      <c r="G357" s="55">
        <f>IFERROR(INDEX('Semrush Data'!$A$1:$Z$20000,MATCH(A357,'Semrush Data'!$A$1:$A$20000,0),MATCH("Volume",'Semrush Data'!$A$1:$Z$1,0)),"")</f>
        <v/>
      </c>
      <c r="H357" s="42">
        <f>IFERROR(INDEX('Semrush Data'!$A$1:$Z$20000,MATCH(A357,'Semrush Data'!$A$1:$A$20000,0),MATCH("Keyword Difficulty*",'Semrush Data'!$A$1:$Z$1,0)),"")</f>
        <v/>
      </c>
      <c r="I357" s="56">
        <f>IFERROR(INDEX('Semrush Data'!$A$1:$Z$20000,MATCH(A357,'Semrush Data'!$A$1:$A$20000,0),MATCH("CPC*",'Semrush Data'!$A$1:$Z$1,0)),"")</f>
        <v/>
      </c>
      <c r="J357" s="42">
        <f>IFERROR(INDEX('Semrush Data'!$A$1:$Z$20000,MATCH(A357,'Semrush Data'!$A$1:$A$20000,0),MATCH("Intent",'Semrush Data'!$A$1:$Z$1,0)),"")</f>
        <v/>
      </c>
    </row>
    <row r="358" ht="15" customHeight="1" s="37">
      <c r="A358" s="42" t="inlineStr">
        <is>
          <t>bvlgari splendida tubereuse mystique</t>
        </is>
      </c>
      <c r="B358" s="42" t="inlineStr">
        <is>
          <t>Product</t>
        </is>
      </c>
      <c r="C358" s="42" t="n">
        <v>1</v>
      </c>
      <c r="D358" s="42" t="n">
        <v>4</v>
      </c>
      <c r="E358" s="42" t="n">
        <v>1</v>
      </c>
      <c r="F358" s="42" t="inlineStr">
        <is>
          <t>FR-069</t>
        </is>
      </c>
      <c r="G358" s="55">
        <f>IFERROR(INDEX('Semrush Data'!$A$1:$Z$20000,MATCH(A358,'Semrush Data'!$A$1:$A$20000,0),MATCH("Volume",'Semrush Data'!$A$1:$Z$1,0)),"")</f>
        <v/>
      </c>
      <c r="H358" s="42">
        <f>IFERROR(INDEX('Semrush Data'!$A$1:$Z$20000,MATCH(A358,'Semrush Data'!$A$1:$A$20000,0),MATCH("Keyword Difficulty*",'Semrush Data'!$A$1:$Z$1,0)),"")</f>
        <v/>
      </c>
      <c r="I358" s="56">
        <f>IFERROR(INDEX('Semrush Data'!$A$1:$Z$20000,MATCH(A358,'Semrush Data'!$A$1:$A$20000,0),MATCH("CPC*",'Semrush Data'!$A$1:$Z$1,0)),"")</f>
        <v/>
      </c>
      <c r="J358" s="42">
        <f>IFERROR(INDEX('Semrush Data'!$A$1:$Z$20000,MATCH(A358,'Semrush Data'!$A$1:$A$20000,0),MATCH("Intent",'Semrush Data'!$A$1:$Z$1,0)),"")</f>
        <v/>
      </c>
    </row>
    <row r="359" ht="15" customHeight="1" s="37">
      <c r="A359" s="42" t="inlineStr">
        <is>
          <t>calvin klein defy</t>
        </is>
      </c>
      <c r="B359" s="42" t="inlineStr">
        <is>
          <t>Product</t>
        </is>
      </c>
      <c r="C359" s="42" t="n">
        <v>1</v>
      </c>
      <c r="D359" s="42" t="n">
        <v>4</v>
      </c>
      <c r="E359" s="42" t="n">
        <v>2</v>
      </c>
      <c r="F359" s="42" t="inlineStr">
        <is>
          <t>FR-082, FR-083</t>
        </is>
      </c>
      <c r="G359" s="55">
        <f>IFERROR(INDEX('Semrush Data'!$A$1:$Z$20000,MATCH(A359,'Semrush Data'!$A$1:$A$20000,0),MATCH("Volume",'Semrush Data'!$A$1:$Z$1,0)),"")</f>
        <v/>
      </c>
      <c r="H359" s="42">
        <f>IFERROR(INDEX('Semrush Data'!$A$1:$Z$20000,MATCH(A359,'Semrush Data'!$A$1:$A$20000,0),MATCH("Keyword Difficulty*",'Semrush Data'!$A$1:$Z$1,0)),"")</f>
        <v/>
      </c>
      <c r="I359" s="56">
        <f>IFERROR(INDEX('Semrush Data'!$A$1:$Z$20000,MATCH(A359,'Semrush Data'!$A$1:$A$20000,0),MATCH("CPC*",'Semrush Data'!$A$1:$Z$1,0)),"")</f>
        <v/>
      </c>
      <c r="J359" s="42">
        <f>IFERROR(INDEX('Semrush Data'!$A$1:$Z$20000,MATCH(A359,'Semrush Data'!$A$1:$A$20000,0),MATCH("Intent",'Semrush Data'!$A$1:$Z$1,0)),"")</f>
        <v/>
      </c>
    </row>
    <row r="360" ht="15" customHeight="1" s="37">
      <c r="A360" s="42" t="inlineStr">
        <is>
          <t>calvin klein defy miniature</t>
        </is>
      </c>
      <c r="B360" s="42" t="inlineStr">
        <is>
          <t>Product</t>
        </is>
      </c>
      <c r="C360" s="42" t="n">
        <v>1</v>
      </c>
      <c r="D360" s="42" t="n">
        <v>4</v>
      </c>
      <c r="E360" s="42" t="n">
        <v>1</v>
      </c>
      <c r="F360" s="42" t="inlineStr">
        <is>
          <t>FR-076</t>
        </is>
      </c>
      <c r="G360" s="55">
        <f>IFERROR(INDEX('Semrush Data'!$A$1:$Z$20000,MATCH(A360,'Semrush Data'!$A$1:$A$20000,0),MATCH("Volume",'Semrush Data'!$A$1:$Z$1,0)),"")</f>
        <v/>
      </c>
      <c r="H360" s="42">
        <f>IFERROR(INDEX('Semrush Data'!$A$1:$Z$20000,MATCH(A360,'Semrush Data'!$A$1:$A$20000,0),MATCH("Keyword Difficulty*",'Semrush Data'!$A$1:$Z$1,0)),"")</f>
        <v/>
      </c>
      <c r="I360" s="56">
        <f>IFERROR(INDEX('Semrush Data'!$A$1:$Z$20000,MATCH(A360,'Semrush Data'!$A$1:$A$20000,0),MATCH("CPC*",'Semrush Data'!$A$1:$Z$1,0)),"")</f>
        <v/>
      </c>
      <c r="J360" s="42">
        <f>IFERROR(INDEX('Semrush Data'!$A$1:$Z$20000,MATCH(A360,'Semrush Data'!$A$1:$A$20000,0),MATCH("Intent",'Semrush Data'!$A$1:$Z$1,0)),"")</f>
        <v/>
      </c>
    </row>
    <row r="361" ht="15" customHeight="1" s="37">
      <c r="A361" s="42" t="inlineStr">
        <is>
          <t>calvin klein defy parfum miniature</t>
        </is>
      </c>
      <c r="B361" s="42" t="inlineStr">
        <is>
          <t>Product</t>
        </is>
      </c>
      <c r="C361" s="42" t="n">
        <v>1</v>
      </c>
      <c r="D361" s="42" t="n">
        <v>4</v>
      </c>
      <c r="E361" s="42" t="n">
        <v>1</v>
      </c>
      <c r="F361" s="42" t="inlineStr">
        <is>
          <t>FR-081</t>
        </is>
      </c>
      <c r="G361" s="55">
        <f>IFERROR(INDEX('Semrush Data'!$A$1:$Z$20000,MATCH(A361,'Semrush Data'!$A$1:$A$20000,0),MATCH("Volume",'Semrush Data'!$A$1:$Z$1,0)),"")</f>
        <v/>
      </c>
      <c r="H361" s="42">
        <f>IFERROR(INDEX('Semrush Data'!$A$1:$Z$20000,MATCH(A361,'Semrush Data'!$A$1:$A$20000,0),MATCH("Keyword Difficulty*",'Semrush Data'!$A$1:$Z$1,0)),"")</f>
        <v/>
      </c>
      <c r="I361" s="56">
        <f>IFERROR(INDEX('Semrush Data'!$A$1:$Z$20000,MATCH(A361,'Semrush Data'!$A$1:$A$20000,0),MATCH("CPC*",'Semrush Data'!$A$1:$Z$1,0)),"")</f>
        <v/>
      </c>
      <c r="J361" s="42">
        <f>IFERROR(INDEX('Semrush Data'!$A$1:$Z$20000,MATCH(A361,'Semrush Data'!$A$1:$A$20000,0),MATCH("Intent",'Semrush Data'!$A$1:$Z$1,0)),"")</f>
        <v/>
      </c>
    </row>
    <row r="362" ht="15" customHeight="1" s="37">
      <c r="A362" s="42" t="inlineStr">
        <is>
          <t>calvin klein eternity</t>
        </is>
      </c>
      <c r="B362" s="42" t="inlineStr">
        <is>
          <t>Product</t>
        </is>
      </c>
      <c r="C362" s="42" t="n">
        <v>1</v>
      </c>
      <c r="D362" s="42" t="n">
        <v>4</v>
      </c>
      <c r="E362" s="42" t="n">
        <v>2</v>
      </c>
      <c r="F362" s="42" t="inlineStr">
        <is>
          <t>FR-077, FR-079</t>
        </is>
      </c>
      <c r="G362" s="55">
        <f>IFERROR(INDEX('Semrush Data'!$A$1:$Z$20000,MATCH(A362,'Semrush Data'!$A$1:$A$20000,0),MATCH("Volume",'Semrush Data'!$A$1:$Z$1,0)),"")</f>
        <v/>
      </c>
      <c r="H362" s="42">
        <f>IFERROR(INDEX('Semrush Data'!$A$1:$Z$20000,MATCH(A362,'Semrush Data'!$A$1:$A$20000,0),MATCH("Keyword Difficulty*",'Semrush Data'!$A$1:$Z$1,0)),"")</f>
        <v/>
      </c>
      <c r="I362" s="56">
        <f>IFERROR(INDEX('Semrush Data'!$A$1:$Z$20000,MATCH(A362,'Semrush Data'!$A$1:$A$20000,0),MATCH("CPC*",'Semrush Data'!$A$1:$Z$1,0)),"")</f>
        <v/>
      </c>
      <c r="J362" s="42">
        <f>IFERROR(INDEX('Semrush Data'!$A$1:$Z$20000,MATCH(A362,'Semrush Data'!$A$1:$A$20000,0),MATCH("Intent",'Semrush Data'!$A$1:$Z$1,0)),"")</f>
        <v/>
      </c>
    </row>
    <row r="363" ht="15" customHeight="1" s="37">
      <c r="A363" s="42" t="inlineStr">
        <is>
          <t>calvin klein eternity aromatic essence parfum intense miniature</t>
        </is>
      </c>
      <c r="B363" s="42" t="inlineStr">
        <is>
          <t>Product</t>
        </is>
      </c>
      <c r="C363" s="42" t="n">
        <v>1</v>
      </c>
      <c r="D363" s="42" t="n">
        <v>4</v>
      </c>
      <c r="E363" s="42" t="n">
        <v>2</v>
      </c>
      <c r="F363" s="42" t="inlineStr">
        <is>
          <t>FR-084, FR-085</t>
        </is>
      </c>
      <c r="G363" s="55">
        <f>IFERROR(INDEX('Semrush Data'!$A$1:$Z$20000,MATCH(A363,'Semrush Data'!$A$1:$A$20000,0),MATCH("Volume",'Semrush Data'!$A$1:$Z$1,0)),"")</f>
        <v/>
      </c>
      <c r="H363" s="42">
        <f>IFERROR(INDEX('Semrush Data'!$A$1:$Z$20000,MATCH(A363,'Semrush Data'!$A$1:$A$20000,0),MATCH("Keyword Difficulty*",'Semrush Data'!$A$1:$Z$1,0)),"")</f>
        <v/>
      </c>
      <c r="I363" s="56">
        <f>IFERROR(INDEX('Semrush Data'!$A$1:$Z$20000,MATCH(A363,'Semrush Data'!$A$1:$A$20000,0),MATCH("CPC*",'Semrush Data'!$A$1:$Z$1,0)),"")</f>
        <v/>
      </c>
      <c r="J363" s="42">
        <f>IFERROR(INDEX('Semrush Data'!$A$1:$Z$20000,MATCH(A363,'Semrush Data'!$A$1:$A$20000,0),MATCH("Intent",'Semrush Data'!$A$1:$Z$1,0)),"")</f>
        <v/>
      </c>
    </row>
    <row r="364" ht="15" customHeight="1" s="37">
      <c r="A364" s="42" t="inlineStr">
        <is>
          <t>calvin klein eternity parfum miniature</t>
        </is>
      </c>
      <c r="B364" s="42" t="inlineStr">
        <is>
          <t>Product</t>
        </is>
      </c>
      <c r="C364" s="42" t="n">
        <v>1</v>
      </c>
      <c r="D364" s="42" t="n">
        <v>4</v>
      </c>
      <c r="E364" s="42" t="n">
        <v>1</v>
      </c>
      <c r="F364" s="42" t="inlineStr">
        <is>
          <t>FR-086</t>
        </is>
      </c>
      <c r="G364" s="55">
        <f>IFERROR(INDEX('Semrush Data'!$A$1:$Z$20000,MATCH(A364,'Semrush Data'!$A$1:$A$20000,0),MATCH("Volume",'Semrush Data'!$A$1:$Z$1,0)),"")</f>
        <v/>
      </c>
      <c r="H364" s="42">
        <f>IFERROR(INDEX('Semrush Data'!$A$1:$Z$20000,MATCH(A364,'Semrush Data'!$A$1:$A$20000,0),MATCH("Keyword Difficulty*",'Semrush Data'!$A$1:$Z$1,0)),"")</f>
        <v/>
      </c>
      <c r="I364" s="56">
        <f>IFERROR(INDEX('Semrush Data'!$A$1:$Z$20000,MATCH(A364,'Semrush Data'!$A$1:$A$20000,0),MATCH("CPC*",'Semrush Data'!$A$1:$Z$1,0)),"")</f>
        <v/>
      </c>
      <c r="J364" s="42">
        <f>IFERROR(INDEX('Semrush Data'!$A$1:$Z$20000,MATCH(A364,'Semrush Data'!$A$1:$A$20000,0),MATCH("Intent",'Semrush Data'!$A$1:$Z$1,0)),"")</f>
        <v/>
      </c>
    </row>
    <row r="365" ht="15" customHeight="1" s="37">
      <c r="A365" s="42" t="inlineStr">
        <is>
          <t>calvin klein miniature set</t>
        </is>
      </c>
      <c r="B365" s="42" t="inlineStr">
        <is>
          <t>Product</t>
        </is>
      </c>
      <c r="C365" s="42" t="n">
        <v>1</v>
      </c>
      <c r="D365" s="42" t="n">
        <v>4</v>
      </c>
      <c r="E365" s="42" t="n">
        <v>1</v>
      </c>
      <c r="F365" s="42" t="inlineStr">
        <is>
          <t>FR-080</t>
        </is>
      </c>
      <c r="G365" s="55">
        <f>IFERROR(INDEX('Semrush Data'!$A$1:$Z$20000,MATCH(A365,'Semrush Data'!$A$1:$A$20000,0),MATCH("Volume",'Semrush Data'!$A$1:$Z$1,0)),"")</f>
        <v/>
      </c>
      <c r="H365" s="42">
        <f>IFERROR(INDEX('Semrush Data'!$A$1:$Z$20000,MATCH(A365,'Semrush Data'!$A$1:$A$20000,0),MATCH("Keyword Difficulty*",'Semrush Data'!$A$1:$Z$1,0)),"")</f>
        <v/>
      </c>
      <c r="I365" s="56">
        <f>IFERROR(INDEX('Semrush Data'!$A$1:$Z$20000,MATCH(A365,'Semrush Data'!$A$1:$A$20000,0),MATCH("CPC*",'Semrush Data'!$A$1:$Z$1,0)),"")</f>
        <v/>
      </c>
      <c r="J365" s="42">
        <f>IFERROR(INDEX('Semrush Data'!$A$1:$Z$20000,MATCH(A365,'Semrush Data'!$A$1:$A$20000,0),MATCH("Intent",'Semrush Data'!$A$1:$Z$1,0)),"")</f>
        <v/>
      </c>
    </row>
    <row r="366" ht="15" customHeight="1" s="37">
      <c r="A366" s="42" t="inlineStr">
        <is>
          <t>calvin klein my euphoria miniature</t>
        </is>
      </c>
      <c r="B366" s="42" t="inlineStr">
        <is>
          <t>Product</t>
        </is>
      </c>
      <c r="C366" s="42" t="n">
        <v>1</v>
      </c>
      <c r="D366" s="42" t="n">
        <v>4</v>
      </c>
      <c r="E366" s="42" t="n">
        <v>1</v>
      </c>
      <c r="F366" s="42" t="inlineStr">
        <is>
          <t>FR-078</t>
        </is>
      </c>
      <c r="G366" s="55">
        <f>IFERROR(INDEX('Semrush Data'!$A$1:$Z$20000,MATCH(A366,'Semrush Data'!$A$1:$A$20000,0),MATCH("Volume",'Semrush Data'!$A$1:$Z$1,0)),"")</f>
        <v/>
      </c>
      <c r="H366" s="42">
        <f>IFERROR(INDEX('Semrush Data'!$A$1:$Z$20000,MATCH(A366,'Semrush Data'!$A$1:$A$20000,0),MATCH("Keyword Difficulty*",'Semrush Data'!$A$1:$Z$1,0)),"")</f>
        <v/>
      </c>
      <c r="I366" s="56">
        <f>IFERROR(INDEX('Semrush Data'!$A$1:$Z$20000,MATCH(A366,'Semrush Data'!$A$1:$A$20000,0),MATCH("CPC*",'Semrush Data'!$A$1:$Z$1,0)),"")</f>
        <v/>
      </c>
      <c r="J366" s="42">
        <f>IFERROR(INDEX('Semrush Data'!$A$1:$Z$20000,MATCH(A366,'Semrush Data'!$A$1:$A$20000,0),MATCH("Intent",'Semrush Data'!$A$1:$Z$1,0)),"")</f>
        <v/>
      </c>
    </row>
    <row r="367" ht="15" customHeight="1" s="37">
      <c r="A367" s="42" t="inlineStr">
        <is>
          <t>carolina herrera 212 sexy men</t>
        </is>
      </c>
      <c r="B367" s="42" t="inlineStr">
        <is>
          <t>Product</t>
        </is>
      </c>
      <c r="C367" s="42" t="n">
        <v>1</v>
      </c>
      <c r="D367" s="42" t="n">
        <v>4</v>
      </c>
      <c r="E367" s="42" t="n">
        <v>1</v>
      </c>
      <c r="F367" s="42" t="inlineStr">
        <is>
          <t>FR-092</t>
        </is>
      </c>
      <c r="G367" s="55">
        <f>IFERROR(INDEX('Semrush Data'!$A$1:$Z$20000,MATCH(A367,'Semrush Data'!$A$1:$A$20000,0),MATCH("Volume",'Semrush Data'!$A$1:$Z$1,0)),"")</f>
        <v/>
      </c>
      <c r="H367" s="42">
        <f>IFERROR(INDEX('Semrush Data'!$A$1:$Z$20000,MATCH(A367,'Semrush Data'!$A$1:$A$20000,0),MATCH("Keyword Difficulty*",'Semrush Data'!$A$1:$Z$1,0)),"")</f>
        <v/>
      </c>
      <c r="I367" s="56">
        <f>IFERROR(INDEX('Semrush Data'!$A$1:$Z$20000,MATCH(A367,'Semrush Data'!$A$1:$A$20000,0),MATCH("CPC*",'Semrush Data'!$A$1:$Z$1,0)),"")</f>
        <v/>
      </c>
      <c r="J367" s="42">
        <f>IFERROR(INDEX('Semrush Data'!$A$1:$Z$20000,MATCH(A367,'Semrush Data'!$A$1:$A$20000,0),MATCH("Intent",'Semrush Data'!$A$1:$Z$1,0)),"")</f>
        <v/>
      </c>
    </row>
    <row r="368" ht="15" customHeight="1" s="37">
      <c r="A368" s="42" t="inlineStr">
        <is>
          <t>carolina herrera 212 vip men</t>
        </is>
      </c>
      <c r="B368" s="42" t="inlineStr">
        <is>
          <t>Product</t>
        </is>
      </c>
      <c r="C368" s="42" t="n">
        <v>1</v>
      </c>
      <c r="D368" s="42" t="n">
        <v>4</v>
      </c>
      <c r="E368" s="42" t="n">
        <v>1</v>
      </c>
      <c r="F368" s="42" t="inlineStr">
        <is>
          <t>FR-093</t>
        </is>
      </c>
      <c r="G368" s="55">
        <f>IFERROR(INDEX('Semrush Data'!$A$1:$Z$20000,MATCH(A368,'Semrush Data'!$A$1:$A$20000,0),MATCH("Volume",'Semrush Data'!$A$1:$Z$1,0)),"")</f>
        <v/>
      </c>
      <c r="H368" s="42">
        <f>IFERROR(INDEX('Semrush Data'!$A$1:$Z$20000,MATCH(A368,'Semrush Data'!$A$1:$A$20000,0),MATCH("Keyword Difficulty*",'Semrush Data'!$A$1:$Z$1,0)),"")</f>
        <v/>
      </c>
      <c r="I368" s="56">
        <f>IFERROR(INDEX('Semrush Data'!$A$1:$Z$20000,MATCH(A368,'Semrush Data'!$A$1:$A$20000,0),MATCH("CPC*",'Semrush Data'!$A$1:$Z$1,0)),"")</f>
        <v/>
      </c>
      <c r="J368" s="42">
        <f>IFERROR(INDEX('Semrush Data'!$A$1:$Z$20000,MATCH(A368,'Semrush Data'!$A$1:$A$20000,0),MATCH("Intent",'Semrush Data'!$A$1:$Z$1,0)),"")</f>
        <v/>
      </c>
    </row>
    <row r="369" ht="15" customHeight="1" s="37">
      <c r="A369" s="42" t="inlineStr">
        <is>
          <t>carolina herrera 212 vip rose</t>
        </is>
      </c>
      <c r="B369" s="42" t="inlineStr">
        <is>
          <t>Product</t>
        </is>
      </c>
      <c r="C369" s="42" t="n">
        <v>1</v>
      </c>
      <c r="D369" s="42" t="n">
        <v>4</v>
      </c>
      <c r="E369" s="42" t="n">
        <v>1</v>
      </c>
      <c r="F369" s="42" t="inlineStr">
        <is>
          <t>FR-087</t>
        </is>
      </c>
      <c r="G369" s="55">
        <f>IFERROR(INDEX('Semrush Data'!$A$1:$Z$20000,MATCH(A369,'Semrush Data'!$A$1:$A$20000,0),MATCH("Volume",'Semrush Data'!$A$1:$Z$1,0)),"")</f>
        <v/>
      </c>
      <c r="H369" s="42">
        <f>IFERROR(INDEX('Semrush Data'!$A$1:$Z$20000,MATCH(A369,'Semrush Data'!$A$1:$A$20000,0),MATCH("Keyword Difficulty*",'Semrush Data'!$A$1:$Z$1,0)),"")</f>
        <v/>
      </c>
      <c r="I369" s="56">
        <f>IFERROR(INDEX('Semrush Data'!$A$1:$Z$20000,MATCH(A369,'Semrush Data'!$A$1:$A$20000,0),MATCH("CPC*",'Semrush Data'!$A$1:$Z$1,0)),"")</f>
        <v/>
      </c>
      <c r="J369" s="42">
        <f>IFERROR(INDEX('Semrush Data'!$A$1:$Z$20000,MATCH(A369,'Semrush Data'!$A$1:$A$20000,0),MATCH("Intent",'Semrush Data'!$A$1:$Z$1,0)),"")</f>
        <v/>
      </c>
    </row>
    <row r="370" ht="15" customHeight="1" s="37">
      <c r="A370" s="42" t="inlineStr">
        <is>
          <t>carolina herrera bad boy extreme</t>
        </is>
      </c>
      <c r="B370" s="42" t="inlineStr">
        <is>
          <t>Product</t>
        </is>
      </c>
      <c r="C370" s="42" t="n">
        <v>1</v>
      </c>
      <c r="D370" s="42" t="n">
        <v>4</v>
      </c>
      <c r="E370" s="42" t="n">
        <v>2</v>
      </c>
      <c r="F370" s="42" t="inlineStr">
        <is>
          <t>FR-088, FR-089</t>
        </is>
      </c>
      <c r="G370" s="55">
        <f>IFERROR(INDEX('Semrush Data'!$A$1:$Z$20000,MATCH(A370,'Semrush Data'!$A$1:$A$20000,0),MATCH("Volume",'Semrush Data'!$A$1:$Z$1,0)),"")</f>
        <v/>
      </c>
      <c r="H370" s="42">
        <f>IFERROR(INDEX('Semrush Data'!$A$1:$Z$20000,MATCH(A370,'Semrush Data'!$A$1:$A$20000,0),MATCH("Keyword Difficulty*",'Semrush Data'!$A$1:$Z$1,0)),"")</f>
        <v/>
      </c>
      <c r="I370" s="56">
        <f>IFERROR(INDEX('Semrush Data'!$A$1:$Z$20000,MATCH(A370,'Semrush Data'!$A$1:$A$20000,0),MATCH("CPC*",'Semrush Data'!$A$1:$Z$1,0)),"")</f>
        <v/>
      </c>
      <c r="J370" s="42">
        <f>IFERROR(INDEX('Semrush Data'!$A$1:$Z$20000,MATCH(A370,'Semrush Data'!$A$1:$A$20000,0),MATCH("Intent",'Semrush Data'!$A$1:$Z$1,0)),"")</f>
        <v/>
      </c>
    </row>
    <row r="371" ht="15" customHeight="1" s="37">
      <c r="A371" s="42" t="inlineStr">
        <is>
          <t>carolina herrera bad boy le</t>
        </is>
      </c>
      <c r="B371" s="42" t="inlineStr">
        <is>
          <t>Product</t>
        </is>
      </c>
      <c r="C371" s="42" t="n">
        <v>1</v>
      </c>
      <c r="D371" s="42" t="n">
        <v>4</v>
      </c>
      <c r="E371" s="42" t="n">
        <v>2</v>
      </c>
      <c r="F371" s="42" t="inlineStr">
        <is>
          <t>FR-090, FR-091</t>
        </is>
      </c>
      <c r="G371" s="55">
        <f>IFERROR(INDEX('Semrush Data'!$A$1:$Z$20000,MATCH(A371,'Semrush Data'!$A$1:$A$20000,0),MATCH("Volume",'Semrush Data'!$A$1:$Z$1,0)),"")</f>
        <v/>
      </c>
      <c r="H371" s="42">
        <f>IFERROR(INDEX('Semrush Data'!$A$1:$Z$20000,MATCH(A371,'Semrush Data'!$A$1:$A$20000,0),MATCH("Keyword Difficulty*",'Semrush Data'!$A$1:$Z$1,0)),"")</f>
        <v/>
      </c>
      <c r="I371" s="56">
        <f>IFERROR(INDEX('Semrush Data'!$A$1:$Z$20000,MATCH(A371,'Semrush Data'!$A$1:$A$20000,0),MATCH("CPC*",'Semrush Data'!$A$1:$Z$1,0)),"")</f>
        <v/>
      </c>
      <c r="J371" s="42">
        <f>IFERROR(INDEX('Semrush Data'!$A$1:$Z$20000,MATCH(A371,'Semrush Data'!$A$1:$A$20000,0),MATCH("Intent",'Semrush Data'!$A$1:$Z$1,0)),"")</f>
        <v/>
      </c>
    </row>
    <row r="372" ht="15" customHeight="1" s="37">
      <c r="A372" s="42" t="inlineStr">
        <is>
          <t>carolina herrera very good girl glam</t>
        </is>
      </c>
      <c r="B372" s="42" t="inlineStr">
        <is>
          <t>Product</t>
        </is>
      </c>
      <c r="C372" s="42" t="n">
        <v>1</v>
      </c>
      <c r="D372" s="42" t="n">
        <v>4</v>
      </c>
      <c r="E372" s="42" t="n">
        <v>1</v>
      </c>
      <c r="F372" s="42" t="inlineStr">
        <is>
          <t>FR-094</t>
        </is>
      </c>
      <c r="G372" s="55">
        <f>IFERROR(INDEX('Semrush Data'!$A$1:$Z$20000,MATCH(A372,'Semrush Data'!$A$1:$A$20000,0),MATCH("Volume",'Semrush Data'!$A$1:$Z$1,0)),"")</f>
        <v/>
      </c>
      <c r="H372" s="42">
        <f>IFERROR(INDEX('Semrush Data'!$A$1:$Z$20000,MATCH(A372,'Semrush Data'!$A$1:$A$20000,0),MATCH("Keyword Difficulty*",'Semrush Data'!$A$1:$Z$1,0)),"")</f>
        <v/>
      </c>
      <c r="I372" s="56">
        <f>IFERROR(INDEX('Semrush Data'!$A$1:$Z$20000,MATCH(A372,'Semrush Data'!$A$1:$A$20000,0),MATCH("CPC*",'Semrush Data'!$A$1:$Z$1,0)),"")</f>
        <v/>
      </c>
      <c r="J372" s="42">
        <f>IFERROR(INDEX('Semrush Data'!$A$1:$Z$20000,MATCH(A372,'Semrush Data'!$A$1:$A$20000,0),MATCH("Intent",'Semrush Data'!$A$1:$Z$1,0)),"")</f>
        <v/>
      </c>
    </row>
    <row r="373" ht="15" customHeight="1" s="37">
      <c r="A373" s="42" t="inlineStr">
        <is>
          <t>casanova anniversary</t>
        </is>
      </c>
      <c r="B373" s="42" t="inlineStr">
        <is>
          <t>Product</t>
        </is>
      </c>
      <c r="C373" s="42" t="n">
        <v>1</v>
      </c>
      <c r="D373" s="42" t="n">
        <v>4</v>
      </c>
      <c r="E373" s="42" t="n">
        <v>1</v>
      </c>
      <c r="F373" s="42" t="inlineStr">
        <is>
          <t>FR-341</t>
        </is>
      </c>
      <c r="G373" s="55">
        <f>IFERROR(INDEX('Semrush Data'!$A$1:$Z$20000,MATCH(A373,'Semrush Data'!$A$1:$A$20000,0),MATCH("Volume",'Semrush Data'!$A$1:$Z$1,0)),"")</f>
        <v/>
      </c>
      <c r="H373" s="42">
        <f>IFERROR(INDEX('Semrush Data'!$A$1:$Z$20000,MATCH(A373,'Semrush Data'!$A$1:$A$20000,0),MATCH("Keyword Difficulty*",'Semrush Data'!$A$1:$Z$1,0)),"")</f>
        <v/>
      </c>
      <c r="I373" s="56">
        <f>IFERROR(INDEX('Semrush Data'!$A$1:$Z$20000,MATCH(A373,'Semrush Data'!$A$1:$A$20000,0),MATCH("CPC*",'Semrush Data'!$A$1:$Z$1,0)),"")</f>
        <v/>
      </c>
      <c r="J373" s="42">
        <f>IFERROR(INDEX('Semrush Data'!$A$1:$Z$20000,MATCH(A373,'Semrush Data'!$A$1:$A$20000,0),MATCH("Intent",'Semrush Data'!$A$1:$Z$1,0)),"")</f>
        <v/>
      </c>
    </row>
    <row r="374" ht="15" customHeight="1" s="37">
      <c r="A374" s="42" t="inlineStr">
        <is>
          <t>chloe miniature gift set</t>
        </is>
      </c>
      <c r="B374" s="42" t="inlineStr">
        <is>
          <t>Product</t>
        </is>
      </c>
      <c r="C374" s="42" t="n">
        <v>1</v>
      </c>
      <c r="D374" s="42" t="n">
        <v>4</v>
      </c>
      <c r="E374" s="42" t="n">
        <v>2</v>
      </c>
      <c r="F374" s="42" t="inlineStr">
        <is>
          <t>FR-100, FR-101</t>
        </is>
      </c>
      <c r="G374" s="55">
        <f>IFERROR(INDEX('Semrush Data'!$A$1:$Z$20000,MATCH(A374,'Semrush Data'!$A$1:$A$20000,0),MATCH("Volume",'Semrush Data'!$A$1:$Z$1,0)),"")</f>
        <v/>
      </c>
      <c r="H374" s="42">
        <f>IFERROR(INDEX('Semrush Data'!$A$1:$Z$20000,MATCH(A374,'Semrush Data'!$A$1:$A$20000,0),MATCH("Keyword Difficulty*",'Semrush Data'!$A$1:$Z$1,0)),"")</f>
        <v/>
      </c>
      <c r="I374" s="56">
        <f>IFERROR(INDEX('Semrush Data'!$A$1:$Z$20000,MATCH(A374,'Semrush Data'!$A$1:$A$20000,0),MATCH("CPC*",'Semrush Data'!$A$1:$Z$1,0)),"")</f>
        <v/>
      </c>
      <c r="J374" s="42">
        <f>IFERROR(INDEX('Semrush Data'!$A$1:$Z$20000,MATCH(A374,'Semrush Data'!$A$1:$A$20000,0),MATCH("Intent",'Semrush Data'!$A$1:$Z$1,0)),"")</f>
        <v/>
      </c>
    </row>
    <row r="375" ht="15" customHeight="1" s="37">
      <c r="A375" s="42" t="inlineStr">
        <is>
          <t>chloe miniature set</t>
        </is>
      </c>
      <c r="B375" s="42" t="inlineStr">
        <is>
          <t>Product</t>
        </is>
      </c>
      <c r="C375" s="42" t="n">
        <v>1</v>
      </c>
      <c r="D375" s="42" t="n">
        <v>4</v>
      </c>
      <c r="E375" s="42" t="n">
        <v>1</v>
      </c>
      <c r="F375" s="42" t="inlineStr">
        <is>
          <t>FR-101</t>
        </is>
      </c>
      <c r="G375" s="55">
        <f>IFERROR(INDEX('Semrush Data'!$A$1:$Z$20000,MATCH(A375,'Semrush Data'!$A$1:$A$20000,0),MATCH("Volume",'Semrush Data'!$A$1:$Z$1,0)),"")</f>
        <v/>
      </c>
      <c r="H375" s="42">
        <f>IFERROR(INDEX('Semrush Data'!$A$1:$Z$20000,MATCH(A375,'Semrush Data'!$A$1:$A$20000,0),MATCH("Keyword Difficulty*",'Semrush Data'!$A$1:$Z$1,0)),"")</f>
        <v/>
      </c>
      <c r="I375" s="56">
        <f>IFERROR(INDEX('Semrush Data'!$A$1:$Z$20000,MATCH(A375,'Semrush Data'!$A$1:$A$20000,0),MATCH("CPC*",'Semrush Data'!$A$1:$Z$1,0)),"")</f>
        <v/>
      </c>
      <c r="J375" s="42">
        <f>IFERROR(INDEX('Semrush Data'!$A$1:$Z$20000,MATCH(A375,'Semrush Data'!$A$1:$A$20000,0),MATCH("Intent",'Semrush Data'!$A$1:$Z$1,0)),"")</f>
        <v/>
      </c>
    </row>
    <row r="376" ht="15" customHeight="1" s="37">
      <c r="A376" s="42" t="inlineStr">
        <is>
          <t>chloe nomade</t>
        </is>
      </c>
      <c r="B376" s="42" t="inlineStr">
        <is>
          <t>Product</t>
        </is>
      </c>
      <c r="C376" s="42" t="n">
        <v>1</v>
      </c>
      <c r="D376" s="42" t="n">
        <v>4</v>
      </c>
      <c r="E376" s="42" t="n">
        <v>1</v>
      </c>
      <c r="F376" s="42" t="inlineStr">
        <is>
          <t>FR-095</t>
        </is>
      </c>
      <c r="G376" s="55">
        <f>IFERROR(INDEX('Semrush Data'!$A$1:$Z$20000,MATCH(A376,'Semrush Data'!$A$1:$A$20000,0),MATCH("Volume",'Semrush Data'!$A$1:$Z$1,0)),"")</f>
        <v/>
      </c>
      <c r="H376" s="42">
        <f>IFERROR(INDEX('Semrush Data'!$A$1:$Z$20000,MATCH(A376,'Semrush Data'!$A$1:$A$20000,0),MATCH("Keyword Difficulty*",'Semrush Data'!$A$1:$Z$1,0)),"")</f>
        <v/>
      </c>
      <c r="I376" s="56">
        <f>IFERROR(INDEX('Semrush Data'!$A$1:$Z$20000,MATCH(A376,'Semrush Data'!$A$1:$A$20000,0),MATCH("CPC*",'Semrush Data'!$A$1:$Z$1,0)),"")</f>
        <v/>
      </c>
      <c r="J376" s="42">
        <f>IFERROR(INDEX('Semrush Data'!$A$1:$Z$20000,MATCH(A376,'Semrush Data'!$A$1:$A$20000,0),MATCH("Intent",'Semrush Data'!$A$1:$Z$1,0)),"")</f>
        <v/>
      </c>
    </row>
    <row r="377" ht="15" customHeight="1" s="37">
      <c r="A377" s="42" t="inlineStr">
        <is>
          <t>chloe nomade gift set</t>
        </is>
      </c>
      <c r="B377" s="42" t="inlineStr">
        <is>
          <t>Product</t>
        </is>
      </c>
      <c r="C377" s="42" t="n">
        <v>1</v>
      </c>
      <c r="D377" s="42" t="n">
        <v>4</v>
      </c>
      <c r="E377" s="42" t="n">
        <v>1</v>
      </c>
      <c r="F377" s="42" t="inlineStr">
        <is>
          <t>FR-099</t>
        </is>
      </c>
      <c r="G377" s="55">
        <f>IFERROR(INDEX('Semrush Data'!$A$1:$Z$20000,MATCH(A377,'Semrush Data'!$A$1:$A$20000,0),MATCH("Volume",'Semrush Data'!$A$1:$Z$1,0)),"")</f>
        <v/>
      </c>
      <c r="H377" s="42">
        <f>IFERROR(INDEX('Semrush Data'!$A$1:$Z$20000,MATCH(A377,'Semrush Data'!$A$1:$A$20000,0),MATCH("Keyword Difficulty*",'Semrush Data'!$A$1:$Z$1,0)),"")</f>
        <v/>
      </c>
      <c r="I377" s="56">
        <f>IFERROR(INDEX('Semrush Data'!$A$1:$Z$20000,MATCH(A377,'Semrush Data'!$A$1:$A$20000,0),MATCH("CPC*",'Semrush Data'!$A$1:$Z$1,0)),"")</f>
        <v/>
      </c>
      <c r="J377" s="42">
        <f>IFERROR(INDEX('Semrush Data'!$A$1:$Z$20000,MATCH(A377,'Semrush Data'!$A$1:$A$20000,0),MATCH("Intent",'Semrush Data'!$A$1:$Z$1,0)),"")</f>
        <v/>
      </c>
    </row>
    <row r="378" ht="15" customHeight="1" s="37">
      <c r="A378" s="42" t="inlineStr">
        <is>
          <t>chloe nomade jasmin naturel intense</t>
        </is>
      </c>
      <c r="B378" s="42" t="inlineStr">
        <is>
          <t>Product</t>
        </is>
      </c>
      <c r="C378" s="42" t="n">
        <v>1</v>
      </c>
      <c r="D378" s="42" t="n">
        <v>4</v>
      </c>
      <c r="E378" s="42" t="n">
        <v>1</v>
      </c>
      <c r="F378" s="42" t="inlineStr">
        <is>
          <t>FR-096</t>
        </is>
      </c>
      <c r="G378" s="55">
        <f>IFERROR(INDEX('Semrush Data'!$A$1:$Z$20000,MATCH(A378,'Semrush Data'!$A$1:$A$20000,0),MATCH("Volume",'Semrush Data'!$A$1:$Z$1,0)),"")</f>
        <v/>
      </c>
      <c r="H378" s="42">
        <f>IFERROR(INDEX('Semrush Data'!$A$1:$Z$20000,MATCH(A378,'Semrush Data'!$A$1:$A$20000,0),MATCH("Keyword Difficulty*",'Semrush Data'!$A$1:$Z$1,0)),"")</f>
        <v/>
      </c>
      <c r="I378" s="56">
        <f>IFERROR(INDEX('Semrush Data'!$A$1:$Z$20000,MATCH(A378,'Semrush Data'!$A$1:$A$20000,0),MATCH("CPC*",'Semrush Data'!$A$1:$Z$1,0)),"")</f>
        <v/>
      </c>
      <c r="J378" s="42">
        <f>IFERROR(INDEX('Semrush Data'!$A$1:$Z$20000,MATCH(A378,'Semrush Data'!$A$1:$A$20000,0),MATCH("Intent",'Semrush Data'!$A$1:$Z$1,0)),"")</f>
        <v/>
      </c>
    </row>
    <row r="379" ht="15" customHeight="1" s="37">
      <c r="A379" s="42" t="inlineStr">
        <is>
          <t>chloe nomade nuit d'egypte</t>
        </is>
      </c>
      <c r="B379" s="42" t="inlineStr">
        <is>
          <t>Product</t>
        </is>
      </c>
      <c r="C379" s="42" t="n">
        <v>1</v>
      </c>
      <c r="D379" s="42" t="n">
        <v>4</v>
      </c>
      <c r="E379" s="42" t="n">
        <v>1</v>
      </c>
      <c r="F379" s="42" t="inlineStr">
        <is>
          <t>FR-097</t>
        </is>
      </c>
      <c r="G379" s="55">
        <f>IFERROR(INDEX('Semrush Data'!$A$1:$Z$20000,MATCH(A379,'Semrush Data'!$A$1:$A$20000,0),MATCH("Volume",'Semrush Data'!$A$1:$Z$1,0)),"")</f>
        <v/>
      </c>
      <c r="H379" s="42">
        <f>IFERROR(INDEX('Semrush Data'!$A$1:$Z$20000,MATCH(A379,'Semrush Data'!$A$1:$A$20000,0),MATCH("Keyword Difficulty*",'Semrush Data'!$A$1:$Z$1,0)),"")</f>
        <v/>
      </c>
      <c r="I379" s="56">
        <f>IFERROR(INDEX('Semrush Data'!$A$1:$Z$20000,MATCH(A379,'Semrush Data'!$A$1:$A$20000,0),MATCH("CPC*",'Semrush Data'!$A$1:$Z$1,0)),"")</f>
        <v/>
      </c>
      <c r="J379" s="42">
        <f>IFERROR(INDEX('Semrush Data'!$A$1:$Z$20000,MATCH(A379,'Semrush Data'!$A$1:$A$20000,0),MATCH("Intent",'Semrush Data'!$A$1:$Z$1,0)),"")</f>
        <v/>
      </c>
    </row>
    <row r="380" ht="15" customHeight="1" s="37">
      <c r="A380" s="42" t="inlineStr">
        <is>
          <t>chloe rose naturelle intense</t>
        </is>
      </c>
      <c r="B380" s="42" t="inlineStr">
        <is>
          <t>Product</t>
        </is>
      </c>
      <c r="C380" s="42" t="n">
        <v>1</v>
      </c>
      <c r="D380" s="42" t="n">
        <v>4</v>
      </c>
      <c r="E380" s="42" t="n">
        <v>1</v>
      </c>
      <c r="F380" s="42" t="inlineStr">
        <is>
          <t>FR-098</t>
        </is>
      </c>
      <c r="G380" s="55">
        <f>IFERROR(INDEX('Semrush Data'!$A$1:$Z$20000,MATCH(A380,'Semrush Data'!$A$1:$A$20000,0),MATCH("Volume",'Semrush Data'!$A$1:$Z$1,0)),"")</f>
        <v/>
      </c>
      <c r="H380" s="42">
        <f>IFERROR(INDEX('Semrush Data'!$A$1:$Z$20000,MATCH(A380,'Semrush Data'!$A$1:$A$20000,0),MATCH("Keyword Difficulty*",'Semrush Data'!$A$1:$Z$1,0)),"")</f>
        <v/>
      </c>
      <c r="I380" s="56">
        <f>IFERROR(INDEX('Semrush Data'!$A$1:$Z$20000,MATCH(A380,'Semrush Data'!$A$1:$A$20000,0),MATCH("CPC*",'Semrush Data'!$A$1:$Z$1,0)),"")</f>
        <v/>
      </c>
      <c r="J380" s="42">
        <f>IFERROR(INDEX('Semrush Data'!$A$1:$Z$20000,MATCH(A380,'Semrush Data'!$A$1:$A$20000,0),MATCH("Intent",'Semrush Data'!$A$1:$Z$1,0)),"")</f>
        <v/>
      </c>
    </row>
    <row r="381" ht="15" customHeight="1" s="37">
      <c r="A381" s="42" t="inlineStr">
        <is>
          <t>chopard amber malaki</t>
        </is>
      </c>
      <c r="B381" s="42" t="inlineStr">
        <is>
          <t>Product</t>
        </is>
      </c>
      <c r="C381" s="42" t="n">
        <v>1</v>
      </c>
      <c r="D381" s="42" t="n">
        <v>4</v>
      </c>
      <c r="E381" s="42" t="n">
        <v>1</v>
      </c>
      <c r="F381" s="42" t="inlineStr">
        <is>
          <t>FR-102</t>
        </is>
      </c>
      <c r="G381" s="55">
        <f>IFERROR(INDEX('Semrush Data'!$A$1:$Z$20000,MATCH(A381,'Semrush Data'!$A$1:$A$20000,0),MATCH("Volume",'Semrush Data'!$A$1:$Z$1,0)),"")</f>
        <v/>
      </c>
      <c r="H381" s="42">
        <f>IFERROR(INDEX('Semrush Data'!$A$1:$Z$20000,MATCH(A381,'Semrush Data'!$A$1:$A$20000,0),MATCH("Keyword Difficulty*",'Semrush Data'!$A$1:$Z$1,0)),"")</f>
        <v/>
      </c>
      <c r="I381" s="56">
        <f>IFERROR(INDEX('Semrush Data'!$A$1:$Z$20000,MATCH(A381,'Semrush Data'!$A$1:$A$20000,0),MATCH("CPC*",'Semrush Data'!$A$1:$Z$1,0)),"")</f>
        <v/>
      </c>
      <c r="J381" s="42">
        <f>IFERROR(INDEX('Semrush Data'!$A$1:$Z$20000,MATCH(A381,'Semrush Data'!$A$1:$A$20000,0),MATCH("Intent",'Semrush Data'!$A$1:$Z$1,0)),"")</f>
        <v/>
      </c>
    </row>
    <row r="382" ht="15" customHeight="1" s="37">
      <c r="A382" s="42" t="inlineStr">
        <is>
          <t>chopard black incense malaki</t>
        </is>
      </c>
      <c r="B382" s="42" t="inlineStr">
        <is>
          <t>Product</t>
        </is>
      </c>
      <c r="C382" s="42" t="n">
        <v>1</v>
      </c>
      <c r="D382" s="42" t="n">
        <v>4</v>
      </c>
      <c r="E382" s="42" t="n">
        <v>1</v>
      </c>
      <c r="F382" s="42" t="inlineStr">
        <is>
          <t>FR-103</t>
        </is>
      </c>
      <c r="G382" s="55">
        <f>IFERROR(INDEX('Semrush Data'!$A$1:$Z$20000,MATCH(A382,'Semrush Data'!$A$1:$A$20000,0),MATCH("Volume",'Semrush Data'!$A$1:$Z$1,0)),"")</f>
        <v/>
      </c>
      <c r="H382" s="42">
        <f>IFERROR(INDEX('Semrush Data'!$A$1:$Z$20000,MATCH(A382,'Semrush Data'!$A$1:$A$20000,0),MATCH("Keyword Difficulty*",'Semrush Data'!$A$1:$Z$1,0)),"")</f>
        <v/>
      </c>
      <c r="I382" s="56">
        <f>IFERROR(INDEX('Semrush Data'!$A$1:$Z$20000,MATCH(A382,'Semrush Data'!$A$1:$A$20000,0),MATCH("CPC*",'Semrush Data'!$A$1:$Z$1,0)),"")</f>
        <v/>
      </c>
      <c r="J382" s="42">
        <f>IFERROR(INDEX('Semrush Data'!$A$1:$Z$20000,MATCH(A382,'Semrush Data'!$A$1:$A$20000,0),MATCH("Intent",'Semrush Data'!$A$1:$Z$1,0)),"")</f>
        <v/>
      </c>
    </row>
    <row r="383" ht="15" customHeight="1" s="37">
      <c r="A383" s="42" t="inlineStr">
        <is>
          <t>chopard gardens of paradise discovery set</t>
        </is>
      </c>
      <c r="B383" s="42" t="inlineStr">
        <is>
          <t>Product</t>
        </is>
      </c>
      <c r="C383" s="42" t="n">
        <v>1</v>
      </c>
      <c r="D383" s="42" t="n">
        <v>4</v>
      </c>
      <c r="E383" s="42" t="n">
        <v>1</v>
      </c>
      <c r="F383" s="42" t="inlineStr">
        <is>
          <t>FR-106</t>
        </is>
      </c>
      <c r="G383" s="55">
        <f>IFERROR(INDEX('Semrush Data'!$A$1:$Z$20000,MATCH(A383,'Semrush Data'!$A$1:$A$20000,0),MATCH("Volume",'Semrush Data'!$A$1:$Z$1,0)),"")</f>
        <v/>
      </c>
      <c r="H383" s="42">
        <f>IFERROR(INDEX('Semrush Data'!$A$1:$Z$20000,MATCH(A383,'Semrush Data'!$A$1:$A$20000,0),MATCH("Keyword Difficulty*",'Semrush Data'!$A$1:$Z$1,0)),"")</f>
        <v/>
      </c>
      <c r="I383" s="56">
        <f>IFERROR(INDEX('Semrush Data'!$A$1:$Z$20000,MATCH(A383,'Semrush Data'!$A$1:$A$20000,0),MATCH("CPC*",'Semrush Data'!$A$1:$Z$1,0)),"")</f>
        <v/>
      </c>
      <c r="J383" s="42">
        <f>IFERROR(INDEX('Semrush Data'!$A$1:$Z$20000,MATCH(A383,'Semrush Data'!$A$1:$A$20000,0),MATCH("Intent",'Semrush Data'!$A$1:$Z$1,0)),"")</f>
        <v/>
      </c>
    </row>
    <row r="384" ht="15" customHeight="1" s="37">
      <c r="A384" s="42" t="inlineStr">
        <is>
          <t>chopard imperiale iris malika</t>
        </is>
      </c>
      <c r="B384" s="42" t="inlineStr">
        <is>
          <t>Product</t>
        </is>
      </c>
      <c r="C384" s="42" t="n">
        <v>1</v>
      </c>
      <c r="D384" s="42" t="n">
        <v>4</v>
      </c>
      <c r="E384" s="42" t="n">
        <v>1</v>
      </c>
      <c r="F384" s="42" t="inlineStr">
        <is>
          <t>FR-104</t>
        </is>
      </c>
      <c r="G384" s="55">
        <f>IFERROR(INDEX('Semrush Data'!$A$1:$Z$20000,MATCH(A384,'Semrush Data'!$A$1:$A$20000,0),MATCH("Volume",'Semrush Data'!$A$1:$Z$1,0)),"")</f>
        <v/>
      </c>
      <c r="H384" s="42">
        <f>IFERROR(INDEX('Semrush Data'!$A$1:$Z$20000,MATCH(A384,'Semrush Data'!$A$1:$A$20000,0),MATCH("Keyword Difficulty*",'Semrush Data'!$A$1:$Z$1,0)),"")</f>
        <v/>
      </c>
      <c r="I384" s="56">
        <f>IFERROR(INDEX('Semrush Data'!$A$1:$Z$20000,MATCH(A384,'Semrush Data'!$A$1:$A$20000,0),MATCH("CPC*",'Semrush Data'!$A$1:$Z$1,0)),"")</f>
        <v/>
      </c>
      <c r="J384" s="42">
        <f>IFERROR(INDEX('Semrush Data'!$A$1:$Z$20000,MATCH(A384,'Semrush Data'!$A$1:$A$20000,0),MATCH("Intent",'Semrush Data'!$A$1:$Z$1,0)),"")</f>
        <v/>
      </c>
    </row>
    <row r="385" ht="15" customHeight="1" s="37">
      <c r="A385" s="42" t="inlineStr">
        <is>
          <t>chopard oud malaki</t>
        </is>
      </c>
      <c r="B385" s="42" t="inlineStr">
        <is>
          <t>Product</t>
        </is>
      </c>
      <c r="C385" s="42" t="n">
        <v>1</v>
      </c>
      <c r="D385" s="42" t="n">
        <v>4</v>
      </c>
      <c r="E385" s="42" t="n">
        <v>1</v>
      </c>
      <c r="F385" s="42" t="inlineStr">
        <is>
          <t>FR-105</t>
        </is>
      </c>
      <c r="G385" s="55">
        <f>IFERROR(INDEX('Semrush Data'!$A$1:$Z$20000,MATCH(A385,'Semrush Data'!$A$1:$A$20000,0),MATCH("Volume",'Semrush Data'!$A$1:$Z$1,0)),"")</f>
        <v/>
      </c>
      <c r="H385" s="42">
        <f>IFERROR(INDEX('Semrush Data'!$A$1:$Z$20000,MATCH(A385,'Semrush Data'!$A$1:$A$20000,0),MATCH("Keyword Difficulty*",'Semrush Data'!$A$1:$Z$1,0)),"")</f>
        <v/>
      </c>
      <c r="I385" s="56">
        <f>IFERROR(INDEX('Semrush Data'!$A$1:$Z$20000,MATCH(A385,'Semrush Data'!$A$1:$A$20000,0),MATCH("CPC*",'Semrush Data'!$A$1:$Z$1,0)),"")</f>
        <v/>
      </c>
      <c r="J385" s="42">
        <f>IFERROR(INDEX('Semrush Data'!$A$1:$Z$20000,MATCH(A385,'Semrush Data'!$A$1:$A$20000,0),MATCH("Intent",'Semrush Data'!$A$1:$Z$1,0)),"")</f>
        <v/>
      </c>
    </row>
    <row r="386" ht="15" customHeight="1" s="37">
      <c r="A386" s="42" t="inlineStr">
        <is>
          <t>chris adams black shadow pour homme</t>
        </is>
      </c>
      <c r="B386" s="42" t="inlineStr">
        <is>
          <t>Product</t>
        </is>
      </c>
      <c r="C386" s="42" t="n">
        <v>1</v>
      </c>
      <c r="D386" s="42" t="n">
        <v>4</v>
      </c>
      <c r="E386" s="42" t="n">
        <v>1</v>
      </c>
      <c r="F386" s="42" t="inlineStr">
        <is>
          <t>FR-108</t>
        </is>
      </c>
      <c r="G386" s="55">
        <f>IFERROR(INDEX('Semrush Data'!$A$1:$Z$20000,MATCH(A386,'Semrush Data'!$A$1:$A$20000,0),MATCH("Volume",'Semrush Data'!$A$1:$Z$1,0)),"")</f>
        <v/>
      </c>
      <c r="H386" s="42">
        <f>IFERROR(INDEX('Semrush Data'!$A$1:$Z$20000,MATCH(A386,'Semrush Data'!$A$1:$A$20000,0),MATCH("Keyword Difficulty*",'Semrush Data'!$A$1:$Z$1,0)),"")</f>
        <v/>
      </c>
      <c r="I386" s="56">
        <f>IFERROR(INDEX('Semrush Data'!$A$1:$Z$20000,MATCH(A386,'Semrush Data'!$A$1:$A$20000,0),MATCH("CPC*",'Semrush Data'!$A$1:$Z$1,0)),"")</f>
        <v/>
      </c>
      <c r="J386" s="42">
        <f>IFERROR(INDEX('Semrush Data'!$A$1:$Z$20000,MATCH(A386,'Semrush Data'!$A$1:$A$20000,0),MATCH("Intent",'Semrush Data'!$A$1:$Z$1,0)),"")</f>
        <v/>
      </c>
    </row>
    <row r="387" ht="15" customHeight="1" s="37">
      <c r="A387" s="42" t="inlineStr">
        <is>
          <t>chris adams ca dx 77 pour homme</t>
        </is>
      </c>
      <c r="B387" s="42" t="inlineStr">
        <is>
          <t>Product</t>
        </is>
      </c>
      <c r="C387" s="42" t="n">
        <v>1</v>
      </c>
      <c r="D387" s="42" t="n">
        <v>4</v>
      </c>
      <c r="E387" s="42" t="n">
        <v>1</v>
      </c>
      <c r="F387" s="42" t="inlineStr">
        <is>
          <t>FR-107</t>
        </is>
      </c>
      <c r="G387" s="55">
        <f>IFERROR(INDEX('Semrush Data'!$A$1:$Z$20000,MATCH(A387,'Semrush Data'!$A$1:$A$20000,0),MATCH("Volume",'Semrush Data'!$A$1:$Z$1,0)),"")</f>
        <v/>
      </c>
      <c r="H387" s="42">
        <f>IFERROR(INDEX('Semrush Data'!$A$1:$Z$20000,MATCH(A387,'Semrush Data'!$A$1:$A$20000,0),MATCH("Keyword Difficulty*",'Semrush Data'!$A$1:$Z$1,0)),"")</f>
        <v/>
      </c>
      <c r="I387" s="56">
        <f>IFERROR(INDEX('Semrush Data'!$A$1:$Z$20000,MATCH(A387,'Semrush Data'!$A$1:$A$20000,0),MATCH("CPC*",'Semrush Data'!$A$1:$Z$1,0)),"")</f>
        <v/>
      </c>
      <c r="J387" s="42">
        <f>IFERROR(INDEX('Semrush Data'!$A$1:$Z$20000,MATCH(A387,'Semrush Data'!$A$1:$A$20000,0),MATCH("Intent",'Semrush Data'!$A$1:$Z$1,0)),"")</f>
        <v/>
      </c>
    </row>
    <row r="388" ht="15" customHeight="1" s="37">
      <c r="A388" s="42" t="inlineStr">
        <is>
          <t>davidoff champion</t>
        </is>
      </c>
      <c r="B388" s="42" t="inlineStr">
        <is>
          <t>Product</t>
        </is>
      </c>
      <c r="C388" s="42" t="n">
        <v>1</v>
      </c>
      <c r="D388" s="42" t="n">
        <v>4</v>
      </c>
      <c r="E388" s="42" t="n">
        <v>1</v>
      </c>
      <c r="F388" s="42" t="inlineStr">
        <is>
          <t>FR-110</t>
        </is>
      </c>
      <c r="G388" s="55">
        <f>IFERROR(INDEX('Semrush Data'!$A$1:$Z$20000,MATCH(A388,'Semrush Data'!$A$1:$A$20000,0),MATCH("Volume",'Semrush Data'!$A$1:$Z$1,0)),"")</f>
        <v/>
      </c>
      <c r="H388" s="42">
        <f>IFERROR(INDEX('Semrush Data'!$A$1:$Z$20000,MATCH(A388,'Semrush Data'!$A$1:$A$20000,0),MATCH("Keyword Difficulty*",'Semrush Data'!$A$1:$Z$1,0)),"")</f>
        <v/>
      </c>
      <c r="I388" s="56">
        <f>IFERROR(INDEX('Semrush Data'!$A$1:$Z$20000,MATCH(A388,'Semrush Data'!$A$1:$A$20000,0),MATCH("CPC*",'Semrush Data'!$A$1:$Z$1,0)),"")</f>
        <v/>
      </c>
      <c r="J388" s="42">
        <f>IFERROR(INDEX('Semrush Data'!$A$1:$Z$20000,MATCH(A388,'Semrush Data'!$A$1:$A$20000,0),MATCH("Intent",'Semrush Data'!$A$1:$Z$1,0)),"")</f>
        <v/>
      </c>
    </row>
    <row r="389" ht="15" customHeight="1" s="37">
      <c r="A389" s="42" t="inlineStr">
        <is>
          <t>davidoff cool water reborn intense</t>
        </is>
      </c>
      <c r="B389" s="42" t="inlineStr">
        <is>
          <t>Product</t>
        </is>
      </c>
      <c r="C389" s="42" t="n">
        <v>1</v>
      </c>
      <c r="D389" s="42" t="n">
        <v>4</v>
      </c>
      <c r="E389" s="42" t="n">
        <v>1</v>
      </c>
      <c r="F389" s="42" t="inlineStr">
        <is>
          <t>FR-109</t>
        </is>
      </c>
      <c r="G389" s="55">
        <f>IFERROR(INDEX('Semrush Data'!$A$1:$Z$20000,MATCH(A389,'Semrush Data'!$A$1:$A$20000,0),MATCH("Volume",'Semrush Data'!$A$1:$Z$1,0)),"")</f>
        <v/>
      </c>
      <c r="H389" s="42">
        <f>IFERROR(INDEX('Semrush Data'!$A$1:$Z$20000,MATCH(A389,'Semrush Data'!$A$1:$A$20000,0),MATCH("Keyword Difficulty*",'Semrush Data'!$A$1:$Z$1,0)),"")</f>
        <v/>
      </c>
      <c r="I389" s="56">
        <f>IFERROR(INDEX('Semrush Data'!$A$1:$Z$20000,MATCH(A389,'Semrush Data'!$A$1:$A$20000,0),MATCH("CPC*",'Semrush Data'!$A$1:$Z$1,0)),"")</f>
        <v/>
      </c>
      <c r="J389" s="42">
        <f>IFERROR(INDEX('Semrush Data'!$A$1:$Z$20000,MATCH(A389,'Semrush Data'!$A$1:$A$20000,0),MATCH("Intent",'Semrush Data'!$A$1:$Z$1,0)),"")</f>
        <v/>
      </c>
    </row>
    <row r="390" ht="15" customHeight="1" s="37">
      <c r="A390" s="42" t="inlineStr">
        <is>
          <t>davidoff indigo</t>
        </is>
      </c>
      <c r="B390" s="42" t="inlineStr">
        <is>
          <t>Product</t>
        </is>
      </c>
      <c r="C390" s="42" t="n">
        <v>1</v>
      </c>
      <c r="D390" s="42" t="n">
        <v>4</v>
      </c>
      <c r="E390" s="42" t="n">
        <v>1</v>
      </c>
      <c r="F390" s="42" t="inlineStr">
        <is>
          <t>FR-111</t>
        </is>
      </c>
      <c r="G390" s="55">
        <f>IFERROR(INDEX('Semrush Data'!$A$1:$Z$20000,MATCH(A390,'Semrush Data'!$A$1:$A$20000,0),MATCH("Volume",'Semrush Data'!$A$1:$Z$1,0)),"")</f>
        <v/>
      </c>
      <c r="H390" s="42">
        <f>IFERROR(INDEX('Semrush Data'!$A$1:$Z$20000,MATCH(A390,'Semrush Data'!$A$1:$A$20000,0),MATCH("Keyword Difficulty*",'Semrush Data'!$A$1:$Z$1,0)),"")</f>
        <v/>
      </c>
      <c r="I390" s="56">
        <f>IFERROR(INDEX('Semrush Data'!$A$1:$Z$20000,MATCH(A390,'Semrush Data'!$A$1:$A$20000,0),MATCH("CPC*",'Semrush Data'!$A$1:$Z$1,0)),"")</f>
        <v/>
      </c>
      <c r="J390" s="42">
        <f>IFERROR(INDEX('Semrush Data'!$A$1:$Z$20000,MATCH(A390,'Semrush Data'!$A$1:$A$20000,0),MATCH("Intent",'Semrush Data'!$A$1:$Z$1,0)),"")</f>
        <v/>
      </c>
    </row>
    <row r="391" ht="15" customHeight="1" s="37">
      <c r="A391" s="42" t="inlineStr">
        <is>
          <t>davidoff the game</t>
        </is>
      </c>
      <c r="B391" s="42" t="inlineStr">
        <is>
          <t>Product</t>
        </is>
      </c>
      <c r="C391" s="42" t="n">
        <v>1</v>
      </c>
      <c r="D391" s="42" t="n">
        <v>4</v>
      </c>
      <c r="E391" s="42" t="n">
        <v>1</v>
      </c>
      <c r="F391" s="42" t="inlineStr">
        <is>
          <t>FR-112</t>
        </is>
      </c>
      <c r="G391" s="55">
        <f>IFERROR(INDEX('Semrush Data'!$A$1:$Z$20000,MATCH(A391,'Semrush Data'!$A$1:$A$20000,0),MATCH("Volume",'Semrush Data'!$A$1:$Z$1,0)),"")</f>
        <v/>
      </c>
      <c r="H391" s="42">
        <f>IFERROR(INDEX('Semrush Data'!$A$1:$Z$20000,MATCH(A391,'Semrush Data'!$A$1:$A$20000,0),MATCH("Keyword Difficulty*",'Semrush Data'!$A$1:$Z$1,0)),"")</f>
        <v/>
      </c>
      <c r="I391" s="56">
        <f>IFERROR(INDEX('Semrush Data'!$A$1:$Z$20000,MATCH(A391,'Semrush Data'!$A$1:$A$20000,0),MATCH("CPC*",'Semrush Data'!$A$1:$Z$1,0)),"")</f>
        <v/>
      </c>
      <c r="J391" s="42">
        <f>IFERROR(INDEX('Semrush Data'!$A$1:$Z$20000,MATCH(A391,'Semrush Data'!$A$1:$A$20000,0),MATCH("Intent",'Semrush Data'!$A$1:$Z$1,0)),"")</f>
        <v/>
      </c>
    </row>
    <row r="392" ht="15" customHeight="1" s="37">
      <c r="A392" s="42" t="inlineStr">
        <is>
          <t>deyga 10% vitamin c face serum</t>
        </is>
      </c>
      <c r="B392" s="42" t="inlineStr">
        <is>
          <t>Product</t>
        </is>
      </c>
      <c r="C392" s="42" t="n">
        <v>1</v>
      </c>
      <c r="D392" s="42" t="n">
        <v>4</v>
      </c>
      <c r="E392" s="42" t="n">
        <v>1</v>
      </c>
      <c r="F392" s="42" t="inlineStr">
        <is>
          <t>VD-134</t>
        </is>
      </c>
      <c r="G392" s="55">
        <f>IFERROR(INDEX('Semrush Data'!$A$1:$Z$20000,MATCH(A392,'Semrush Data'!$A$1:$A$20000,0),MATCH("Volume",'Semrush Data'!$A$1:$Z$1,0)),"")</f>
        <v/>
      </c>
      <c r="H392" s="42">
        <f>IFERROR(INDEX('Semrush Data'!$A$1:$Z$20000,MATCH(A392,'Semrush Data'!$A$1:$A$20000,0),MATCH("Keyword Difficulty*",'Semrush Data'!$A$1:$Z$1,0)),"")</f>
        <v/>
      </c>
      <c r="I392" s="56">
        <f>IFERROR(INDEX('Semrush Data'!$A$1:$Z$20000,MATCH(A392,'Semrush Data'!$A$1:$A$20000,0),MATCH("CPC*",'Semrush Data'!$A$1:$Z$1,0)),"")</f>
        <v/>
      </c>
      <c r="J392" s="42">
        <f>IFERROR(INDEX('Semrush Data'!$A$1:$Z$20000,MATCH(A392,'Semrush Data'!$A$1:$A$20000,0),MATCH("Intent",'Semrush Data'!$A$1:$Z$1,0)),"")</f>
        <v/>
      </c>
    </row>
    <row r="393" ht="15" customHeight="1" s="37">
      <c r="A393" s="42" t="inlineStr">
        <is>
          <t>deyga 2% hyaluronic acid serum</t>
        </is>
      </c>
      <c r="B393" s="42" t="inlineStr">
        <is>
          <t>Product</t>
        </is>
      </c>
      <c r="C393" s="42" t="n">
        <v>1</v>
      </c>
      <c r="D393" s="42" t="n">
        <v>4</v>
      </c>
      <c r="E393" s="42" t="n">
        <v>1</v>
      </c>
      <c r="F393" s="42" t="inlineStr">
        <is>
          <t>VD-087</t>
        </is>
      </c>
      <c r="G393" s="55">
        <f>IFERROR(INDEX('Semrush Data'!$A$1:$Z$20000,MATCH(A393,'Semrush Data'!$A$1:$A$20000,0),MATCH("Volume",'Semrush Data'!$A$1:$Z$1,0)),"")</f>
        <v/>
      </c>
      <c r="H393" s="42">
        <f>IFERROR(INDEX('Semrush Data'!$A$1:$Z$20000,MATCH(A393,'Semrush Data'!$A$1:$A$20000,0),MATCH("Keyword Difficulty*",'Semrush Data'!$A$1:$Z$1,0)),"")</f>
        <v/>
      </c>
      <c r="I393" s="56">
        <f>IFERROR(INDEX('Semrush Data'!$A$1:$Z$20000,MATCH(A393,'Semrush Data'!$A$1:$A$20000,0),MATCH("CPC*",'Semrush Data'!$A$1:$Z$1,0)),"")</f>
        <v/>
      </c>
      <c r="J393" s="42">
        <f>IFERROR(INDEX('Semrush Data'!$A$1:$Z$20000,MATCH(A393,'Semrush Data'!$A$1:$A$20000,0),MATCH("Intent",'Semrush Data'!$A$1:$Z$1,0)),"")</f>
        <v/>
      </c>
    </row>
    <row r="394" ht="15" customHeight="1" s="37">
      <c r="A394" s="42" t="inlineStr">
        <is>
          <t>deyga abc kit</t>
        </is>
      </c>
      <c r="B394" s="42" t="inlineStr">
        <is>
          <t>Product</t>
        </is>
      </c>
      <c r="C394" s="42" t="n">
        <v>1</v>
      </c>
      <c r="D394" s="42" t="n">
        <v>4</v>
      </c>
      <c r="E394" s="42" t="n">
        <v>1</v>
      </c>
      <c r="F394" s="42" t="inlineStr">
        <is>
          <t>VD-149</t>
        </is>
      </c>
      <c r="G394" s="55">
        <f>IFERROR(INDEX('Semrush Data'!$A$1:$Z$20000,MATCH(A394,'Semrush Data'!$A$1:$A$20000,0),MATCH("Volume",'Semrush Data'!$A$1:$Z$1,0)),"")</f>
        <v/>
      </c>
      <c r="H394" s="42">
        <f>IFERROR(INDEX('Semrush Data'!$A$1:$Z$20000,MATCH(A394,'Semrush Data'!$A$1:$A$20000,0),MATCH("Keyword Difficulty*",'Semrush Data'!$A$1:$Z$1,0)),"")</f>
        <v/>
      </c>
      <c r="I394" s="56">
        <f>IFERROR(INDEX('Semrush Data'!$A$1:$Z$20000,MATCH(A394,'Semrush Data'!$A$1:$A$20000,0),MATCH("CPC*",'Semrush Data'!$A$1:$Z$1,0)),"")</f>
        <v/>
      </c>
      <c r="J394" s="42">
        <f>IFERROR(INDEX('Semrush Data'!$A$1:$Z$20000,MATCH(A394,'Semrush Data'!$A$1:$A$20000,0),MATCH("Intent",'Semrush Data'!$A$1:$Z$1,0)),"")</f>
        <v/>
      </c>
    </row>
    <row r="395" ht="15" customHeight="1" s="37">
      <c r="A395" s="42" t="inlineStr">
        <is>
          <t>deyga acne relief combo</t>
        </is>
      </c>
      <c r="B395" s="42" t="inlineStr">
        <is>
          <t>Product</t>
        </is>
      </c>
      <c r="C395" s="42" t="n">
        <v>1</v>
      </c>
      <c r="D395" s="42" t="n">
        <v>4</v>
      </c>
      <c r="E395" s="42" t="n">
        <v>1</v>
      </c>
      <c r="F395" s="42" t="inlineStr">
        <is>
          <t>VD-138</t>
        </is>
      </c>
      <c r="G395" s="55">
        <f>IFERROR(INDEX('Semrush Data'!$A$1:$Z$20000,MATCH(A395,'Semrush Data'!$A$1:$A$20000,0),MATCH("Volume",'Semrush Data'!$A$1:$Z$1,0)),"")</f>
        <v/>
      </c>
      <c r="H395" s="42">
        <f>IFERROR(INDEX('Semrush Data'!$A$1:$Z$20000,MATCH(A395,'Semrush Data'!$A$1:$A$20000,0),MATCH("Keyword Difficulty*",'Semrush Data'!$A$1:$Z$1,0)),"")</f>
        <v/>
      </c>
      <c r="I395" s="56">
        <f>IFERROR(INDEX('Semrush Data'!$A$1:$Z$20000,MATCH(A395,'Semrush Data'!$A$1:$A$20000,0),MATCH("CPC*",'Semrush Data'!$A$1:$Z$1,0)),"")</f>
        <v/>
      </c>
      <c r="J395" s="42">
        <f>IFERROR(INDEX('Semrush Data'!$A$1:$Z$20000,MATCH(A395,'Semrush Data'!$A$1:$A$20000,0),MATCH("Intent",'Semrush Data'!$A$1:$Z$1,0)),"")</f>
        <v/>
      </c>
    </row>
    <row r="396" ht="15" customHeight="1" s="37">
      <c r="A396" s="42" t="inlineStr">
        <is>
          <t>deyga acne vanishing combo</t>
        </is>
      </c>
      <c r="B396" s="42" t="inlineStr">
        <is>
          <t>Product</t>
        </is>
      </c>
      <c r="C396" s="42" t="n">
        <v>1</v>
      </c>
      <c r="D396" s="42" t="n">
        <v>4</v>
      </c>
      <c r="E396" s="42" t="n">
        <v>1</v>
      </c>
      <c r="F396" s="42" t="inlineStr">
        <is>
          <t>VD-139</t>
        </is>
      </c>
      <c r="G396" s="55">
        <f>IFERROR(INDEX('Semrush Data'!$A$1:$Z$20000,MATCH(A396,'Semrush Data'!$A$1:$A$20000,0),MATCH("Volume",'Semrush Data'!$A$1:$Z$1,0)),"")</f>
        <v/>
      </c>
      <c r="H396" s="42">
        <f>IFERROR(INDEX('Semrush Data'!$A$1:$Z$20000,MATCH(A396,'Semrush Data'!$A$1:$A$20000,0),MATCH("Keyword Difficulty*",'Semrush Data'!$A$1:$Z$1,0)),"")</f>
        <v/>
      </c>
      <c r="I396" s="56">
        <f>IFERROR(INDEX('Semrush Data'!$A$1:$Z$20000,MATCH(A396,'Semrush Data'!$A$1:$A$20000,0),MATCH("CPC*",'Semrush Data'!$A$1:$Z$1,0)),"")</f>
        <v/>
      </c>
      <c r="J396" s="42">
        <f>IFERROR(INDEX('Semrush Data'!$A$1:$Z$20000,MATCH(A396,'Semrush Data'!$A$1:$A$20000,0),MATCH("Intent",'Semrush Data'!$A$1:$Z$1,0)),"")</f>
        <v/>
      </c>
    </row>
    <row r="397" ht="15" customHeight="1" s="37">
      <c r="A397" s="42" t="inlineStr">
        <is>
          <t>deyga activated charcoal body wash</t>
        </is>
      </c>
      <c r="B397" s="42" t="inlineStr">
        <is>
          <t>Product</t>
        </is>
      </c>
      <c r="C397" s="42" t="n">
        <v>1</v>
      </c>
      <c r="D397" s="42" t="n">
        <v>4</v>
      </c>
      <c r="E397" s="42" t="n">
        <v>1</v>
      </c>
      <c r="F397" s="42" t="inlineStr">
        <is>
          <t>VD-084</t>
        </is>
      </c>
      <c r="G397" s="55">
        <f>IFERROR(INDEX('Semrush Data'!$A$1:$Z$20000,MATCH(A397,'Semrush Data'!$A$1:$A$20000,0),MATCH("Volume",'Semrush Data'!$A$1:$Z$1,0)),"")</f>
        <v/>
      </c>
      <c r="H397" s="42">
        <f>IFERROR(INDEX('Semrush Data'!$A$1:$Z$20000,MATCH(A397,'Semrush Data'!$A$1:$A$20000,0),MATCH("Keyword Difficulty*",'Semrush Data'!$A$1:$Z$1,0)),"")</f>
        <v/>
      </c>
      <c r="I397" s="56">
        <f>IFERROR(INDEX('Semrush Data'!$A$1:$Z$20000,MATCH(A397,'Semrush Data'!$A$1:$A$20000,0),MATCH("CPC*",'Semrush Data'!$A$1:$Z$1,0)),"")</f>
        <v/>
      </c>
      <c r="J397" s="42">
        <f>IFERROR(INDEX('Semrush Data'!$A$1:$Z$20000,MATCH(A397,'Semrush Data'!$A$1:$A$20000,0),MATCH("Intent",'Semrush Data'!$A$1:$Z$1,0)),"")</f>
        <v/>
      </c>
    </row>
    <row r="398" ht="15" customHeight="1" s="37">
      <c r="A398" s="42" t="inlineStr">
        <is>
          <t>deyga almond milk body lotion</t>
        </is>
      </c>
      <c r="B398" s="42" t="inlineStr">
        <is>
          <t>Product</t>
        </is>
      </c>
      <c r="C398" s="42" t="n">
        <v>1</v>
      </c>
      <c r="D398" s="42" t="n">
        <v>4</v>
      </c>
      <c r="E398" s="42" t="n">
        <v>1</v>
      </c>
      <c r="F398" s="42" t="inlineStr">
        <is>
          <t>VD-114</t>
        </is>
      </c>
      <c r="G398" s="55">
        <f>IFERROR(INDEX('Semrush Data'!$A$1:$Z$20000,MATCH(A398,'Semrush Data'!$A$1:$A$20000,0),MATCH("Volume",'Semrush Data'!$A$1:$Z$1,0)),"")</f>
        <v/>
      </c>
      <c r="H398" s="42">
        <f>IFERROR(INDEX('Semrush Data'!$A$1:$Z$20000,MATCH(A398,'Semrush Data'!$A$1:$A$20000,0),MATCH("Keyword Difficulty*",'Semrush Data'!$A$1:$Z$1,0)),"")</f>
        <v/>
      </c>
      <c r="I398" s="56">
        <f>IFERROR(INDEX('Semrush Data'!$A$1:$Z$20000,MATCH(A398,'Semrush Data'!$A$1:$A$20000,0),MATCH("CPC*",'Semrush Data'!$A$1:$Z$1,0)),"")</f>
        <v/>
      </c>
      <c r="J398" s="42">
        <f>IFERROR(INDEX('Semrush Data'!$A$1:$Z$20000,MATCH(A398,'Semrush Data'!$A$1:$A$20000,0),MATCH("Intent",'Semrush Data'!$A$1:$Z$1,0)),"")</f>
        <v/>
      </c>
    </row>
    <row r="399" ht="15" customHeight="1" s="37">
      <c r="A399" s="42" t="inlineStr">
        <is>
          <t>deyga anti dandruff shampoo</t>
        </is>
      </c>
      <c r="B399" s="42" t="inlineStr">
        <is>
          <t>Product</t>
        </is>
      </c>
      <c r="C399" s="42" t="n">
        <v>1</v>
      </c>
      <c r="D399" s="42" t="n">
        <v>4</v>
      </c>
      <c r="E399" s="42" t="n">
        <v>1</v>
      </c>
      <c r="F399" s="42" t="inlineStr">
        <is>
          <t>VD-130</t>
        </is>
      </c>
      <c r="G399" s="55">
        <f>IFERROR(INDEX('Semrush Data'!$A$1:$Z$20000,MATCH(A399,'Semrush Data'!$A$1:$A$20000,0),MATCH("Volume",'Semrush Data'!$A$1:$Z$1,0)),"")</f>
        <v/>
      </c>
      <c r="H399" s="42">
        <f>IFERROR(INDEX('Semrush Data'!$A$1:$Z$20000,MATCH(A399,'Semrush Data'!$A$1:$A$20000,0),MATCH("Keyword Difficulty*",'Semrush Data'!$A$1:$Z$1,0)),"")</f>
        <v/>
      </c>
      <c r="I399" s="56">
        <f>IFERROR(INDEX('Semrush Data'!$A$1:$Z$20000,MATCH(A399,'Semrush Data'!$A$1:$A$20000,0),MATCH("CPC*",'Semrush Data'!$A$1:$Z$1,0)),"")</f>
        <v/>
      </c>
      <c r="J399" s="42">
        <f>IFERROR(INDEX('Semrush Data'!$A$1:$Z$20000,MATCH(A399,'Semrush Data'!$A$1:$A$20000,0),MATCH("Intent",'Semrush Data'!$A$1:$Z$1,0)),"")</f>
        <v/>
      </c>
    </row>
    <row r="400" ht="15" customHeight="1" s="37">
      <c r="A400" s="42" t="inlineStr">
        <is>
          <t>deyga anti-dandruff oil</t>
        </is>
      </c>
      <c r="B400" s="42" t="inlineStr">
        <is>
          <t>Product</t>
        </is>
      </c>
      <c r="C400" s="42" t="n">
        <v>1</v>
      </c>
      <c r="D400" s="42" t="n">
        <v>4</v>
      </c>
      <c r="E400" s="42" t="n">
        <v>1</v>
      </c>
      <c r="F400" s="42" t="inlineStr">
        <is>
          <t>VD-090</t>
        </is>
      </c>
      <c r="G400" s="55">
        <f>IFERROR(INDEX('Semrush Data'!$A$1:$Z$20000,MATCH(A400,'Semrush Data'!$A$1:$A$20000,0),MATCH("Volume",'Semrush Data'!$A$1:$Z$1,0)),"")</f>
        <v/>
      </c>
      <c r="H400" s="42">
        <f>IFERROR(INDEX('Semrush Data'!$A$1:$Z$20000,MATCH(A400,'Semrush Data'!$A$1:$A$20000,0),MATCH("Keyword Difficulty*",'Semrush Data'!$A$1:$Z$1,0)),"")</f>
        <v/>
      </c>
      <c r="I400" s="56">
        <f>IFERROR(INDEX('Semrush Data'!$A$1:$Z$20000,MATCH(A400,'Semrush Data'!$A$1:$A$20000,0),MATCH("CPC*",'Semrush Data'!$A$1:$Z$1,0)),"")</f>
        <v/>
      </c>
      <c r="J400" s="42">
        <f>IFERROR(INDEX('Semrush Data'!$A$1:$Z$20000,MATCH(A400,'Semrush Data'!$A$1:$A$20000,0),MATCH("Intent",'Semrush Data'!$A$1:$Z$1,0)),"")</f>
        <v/>
      </c>
    </row>
    <row r="401" ht="15" customHeight="1" s="37">
      <c r="A401" s="42" t="inlineStr">
        <is>
          <t>deyga baby bath bar</t>
        </is>
      </c>
      <c r="B401" s="42" t="inlineStr">
        <is>
          <t>Product</t>
        </is>
      </c>
      <c r="C401" s="42" t="n">
        <v>1</v>
      </c>
      <c r="D401" s="42" t="n">
        <v>4</v>
      </c>
      <c r="E401" s="42" t="n">
        <v>1</v>
      </c>
      <c r="F401" s="42" t="inlineStr">
        <is>
          <t>VD-129</t>
        </is>
      </c>
      <c r="G401" s="55">
        <f>IFERROR(INDEX('Semrush Data'!$A$1:$Z$20000,MATCH(A401,'Semrush Data'!$A$1:$A$20000,0),MATCH("Volume",'Semrush Data'!$A$1:$Z$1,0)),"")</f>
        <v/>
      </c>
      <c r="H401" s="42">
        <f>IFERROR(INDEX('Semrush Data'!$A$1:$Z$20000,MATCH(A401,'Semrush Data'!$A$1:$A$20000,0),MATCH("Keyword Difficulty*",'Semrush Data'!$A$1:$Z$1,0)),"")</f>
        <v/>
      </c>
      <c r="I401" s="56">
        <f>IFERROR(INDEX('Semrush Data'!$A$1:$Z$20000,MATCH(A401,'Semrush Data'!$A$1:$A$20000,0),MATCH("CPC*",'Semrush Data'!$A$1:$Z$1,0)),"")</f>
        <v/>
      </c>
      <c r="J401" s="42">
        <f>IFERROR(INDEX('Semrush Data'!$A$1:$Z$20000,MATCH(A401,'Semrush Data'!$A$1:$A$20000,0),MATCH("Intent",'Semrush Data'!$A$1:$Z$1,0)),"")</f>
        <v/>
      </c>
    </row>
    <row r="402" ht="15" customHeight="1" s="37">
      <c r="A402" s="42" t="inlineStr">
        <is>
          <t>deyga beautifying serum</t>
        </is>
      </c>
      <c r="B402" s="42" t="inlineStr">
        <is>
          <t>Product</t>
        </is>
      </c>
      <c r="C402" s="42" t="n">
        <v>1</v>
      </c>
      <c r="D402" s="42" t="n">
        <v>5</v>
      </c>
      <c r="E402" s="42" t="n">
        <v>1</v>
      </c>
      <c r="F402" s="42" t="inlineStr">
        <is>
          <t>VD-120</t>
        </is>
      </c>
      <c r="G402" s="55">
        <f>IFERROR(INDEX('Semrush Data'!$A$1:$Z$20000,MATCH(A402,'Semrush Data'!$A$1:$A$20000,0),MATCH("Volume",'Semrush Data'!$A$1:$Z$1,0)),"")</f>
        <v/>
      </c>
      <c r="H402" s="42">
        <f>IFERROR(INDEX('Semrush Data'!$A$1:$Z$20000,MATCH(A402,'Semrush Data'!$A$1:$A$20000,0),MATCH("Keyword Difficulty*",'Semrush Data'!$A$1:$Z$1,0)),"")</f>
        <v/>
      </c>
      <c r="I402" s="56">
        <f>IFERROR(INDEX('Semrush Data'!$A$1:$Z$20000,MATCH(A402,'Semrush Data'!$A$1:$A$20000,0),MATCH("CPC*",'Semrush Data'!$A$1:$Z$1,0)),"")</f>
        <v/>
      </c>
      <c r="J402" s="42">
        <f>IFERROR(INDEX('Semrush Data'!$A$1:$Z$20000,MATCH(A402,'Semrush Data'!$A$1:$A$20000,0),MATCH("Intent",'Semrush Data'!$A$1:$Z$1,0)),"")</f>
        <v/>
      </c>
    </row>
    <row r="403" ht="15" customHeight="1" s="37">
      <c r="A403" s="42" t="inlineStr">
        <is>
          <t>deyga beetroot lip balm classic</t>
        </is>
      </c>
      <c r="B403" s="42" t="inlineStr">
        <is>
          <t>Product</t>
        </is>
      </c>
      <c r="C403" s="42" t="n">
        <v>1</v>
      </c>
      <c r="D403" s="42" t="n">
        <v>5</v>
      </c>
      <c r="E403" s="42" t="n">
        <v>1</v>
      </c>
      <c r="F403" s="42" t="inlineStr">
        <is>
          <t>VD-132</t>
        </is>
      </c>
      <c r="G403" s="55">
        <f>IFERROR(INDEX('Semrush Data'!$A$1:$Z$20000,MATCH(A403,'Semrush Data'!$A$1:$A$20000,0),MATCH("Volume",'Semrush Data'!$A$1:$Z$1,0)),"")</f>
        <v/>
      </c>
      <c r="H403" s="42">
        <f>IFERROR(INDEX('Semrush Data'!$A$1:$Z$20000,MATCH(A403,'Semrush Data'!$A$1:$A$20000,0),MATCH("Keyword Difficulty*",'Semrush Data'!$A$1:$Z$1,0)),"")</f>
        <v/>
      </c>
      <c r="I403" s="56">
        <f>IFERROR(INDEX('Semrush Data'!$A$1:$Z$20000,MATCH(A403,'Semrush Data'!$A$1:$A$20000,0),MATCH("CPC*",'Semrush Data'!$A$1:$Z$1,0)),"")</f>
        <v/>
      </c>
      <c r="J403" s="42">
        <f>IFERROR(INDEX('Semrush Data'!$A$1:$Z$20000,MATCH(A403,'Semrush Data'!$A$1:$A$20000,0),MATCH("Intent",'Semrush Data'!$A$1:$Z$1,0)),"")</f>
        <v/>
      </c>
    </row>
    <row r="404" ht="15" customHeight="1" s="37">
      <c r="A404" s="42" t="inlineStr">
        <is>
          <t>deyga beetroot lip balm stick</t>
        </is>
      </c>
      <c r="B404" s="42" t="inlineStr">
        <is>
          <t>Product</t>
        </is>
      </c>
      <c r="C404" s="42" t="n">
        <v>1</v>
      </c>
      <c r="D404" s="42" t="n">
        <v>5</v>
      </c>
      <c r="E404" s="42" t="n">
        <v>1</v>
      </c>
      <c r="F404" s="42" t="inlineStr">
        <is>
          <t>VD-117</t>
        </is>
      </c>
      <c r="G404" s="55">
        <f>IFERROR(INDEX('Semrush Data'!$A$1:$Z$20000,MATCH(A404,'Semrush Data'!$A$1:$A$20000,0),MATCH("Volume",'Semrush Data'!$A$1:$Z$1,0)),"")</f>
        <v/>
      </c>
      <c r="H404" s="42">
        <f>IFERROR(INDEX('Semrush Data'!$A$1:$Z$20000,MATCH(A404,'Semrush Data'!$A$1:$A$20000,0),MATCH("Keyword Difficulty*",'Semrush Data'!$A$1:$Z$1,0)),"")</f>
        <v/>
      </c>
      <c r="I404" s="56">
        <f>IFERROR(INDEX('Semrush Data'!$A$1:$Z$20000,MATCH(A404,'Semrush Data'!$A$1:$A$20000,0),MATCH("CPC*",'Semrush Data'!$A$1:$Z$1,0)),"")</f>
        <v/>
      </c>
      <c r="J404" s="42">
        <f>IFERROR(INDEX('Semrush Data'!$A$1:$Z$20000,MATCH(A404,'Semrush Data'!$A$1:$A$20000,0),MATCH("Intent",'Semrush Data'!$A$1:$Z$1,0)),"")</f>
        <v/>
      </c>
    </row>
    <row r="405" ht="15" customHeight="1" s="37">
      <c r="A405" s="42" t="inlineStr">
        <is>
          <t>deyga best selling face care kit</t>
        </is>
      </c>
      <c r="B405" s="42" t="inlineStr">
        <is>
          <t>Product</t>
        </is>
      </c>
      <c r="C405" s="42" t="n">
        <v>1</v>
      </c>
      <c r="D405" s="42" t="n">
        <v>5</v>
      </c>
      <c r="E405" s="42" t="n">
        <v>1</v>
      </c>
      <c r="F405" s="42" t="inlineStr">
        <is>
          <t>VD-143</t>
        </is>
      </c>
      <c r="G405" s="55">
        <f>IFERROR(INDEX('Semrush Data'!$A$1:$Z$20000,MATCH(A405,'Semrush Data'!$A$1:$A$20000,0),MATCH("Volume",'Semrush Data'!$A$1:$Z$1,0)),"")</f>
        <v/>
      </c>
      <c r="H405" s="42">
        <f>IFERROR(INDEX('Semrush Data'!$A$1:$Z$20000,MATCH(A405,'Semrush Data'!$A$1:$A$20000,0),MATCH("Keyword Difficulty*",'Semrush Data'!$A$1:$Z$1,0)),"")</f>
        <v/>
      </c>
      <c r="I405" s="56">
        <f>IFERROR(INDEX('Semrush Data'!$A$1:$Z$20000,MATCH(A405,'Semrush Data'!$A$1:$A$20000,0),MATCH("CPC*",'Semrush Data'!$A$1:$Z$1,0)),"")</f>
        <v/>
      </c>
      <c r="J405" s="42">
        <f>IFERROR(INDEX('Semrush Data'!$A$1:$Z$20000,MATCH(A405,'Semrush Data'!$A$1:$A$20000,0),MATCH("Intent",'Semrush Data'!$A$1:$Z$1,0)),"")</f>
        <v/>
      </c>
    </row>
    <row r="406" ht="15" customHeight="1" s="37">
      <c r="A406" s="42" t="inlineStr">
        <is>
          <t>deyga body scrub</t>
        </is>
      </c>
      <c r="B406" s="42" t="inlineStr">
        <is>
          <t>Product</t>
        </is>
      </c>
      <c r="C406" s="42" t="n">
        <v>1</v>
      </c>
      <c r="D406" s="42" t="n">
        <v>5</v>
      </c>
      <c r="E406" s="42" t="n">
        <v>2</v>
      </c>
      <c r="F406" s="42" t="inlineStr">
        <is>
          <t>VD-085, VD-103</t>
        </is>
      </c>
      <c r="G406" s="55">
        <f>IFERROR(INDEX('Semrush Data'!$A$1:$Z$20000,MATCH(A406,'Semrush Data'!$A$1:$A$20000,0),MATCH("Volume",'Semrush Data'!$A$1:$Z$1,0)),"")</f>
        <v/>
      </c>
      <c r="H406" s="42">
        <f>IFERROR(INDEX('Semrush Data'!$A$1:$Z$20000,MATCH(A406,'Semrush Data'!$A$1:$A$20000,0),MATCH("Keyword Difficulty*",'Semrush Data'!$A$1:$Z$1,0)),"")</f>
        <v/>
      </c>
      <c r="I406" s="56">
        <f>IFERROR(INDEX('Semrush Data'!$A$1:$Z$20000,MATCH(A406,'Semrush Data'!$A$1:$A$20000,0),MATCH("CPC*",'Semrush Data'!$A$1:$Z$1,0)),"")</f>
        <v/>
      </c>
      <c r="J406" s="42">
        <f>IFERROR(INDEX('Semrush Data'!$A$1:$Z$20000,MATCH(A406,'Semrush Data'!$A$1:$A$20000,0),MATCH("Intent",'Semrush Data'!$A$1:$Z$1,0)),"")</f>
        <v/>
      </c>
    </row>
    <row r="407" ht="15" customHeight="1" s="37">
      <c r="A407" s="42" t="inlineStr">
        <is>
          <t>deyga charcoal bath bar</t>
        </is>
      </c>
      <c r="B407" s="42" t="inlineStr">
        <is>
          <t>Product</t>
        </is>
      </c>
      <c r="C407" s="42" t="n">
        <v>1</v>
      </c>
      <c r="D407" s="42" t="n">
        <v>5</v>
      </c>
      <c r="E407" s="42" t="n">
        <v>1</v>
      </c>
      <c r="F407" s="42" t="inlineStr">
        <is>
          <t>VD-121</t>
        </is>
      </c>
      <c r="G407" s="55">
        <f>IFERROR(INDEX('Semrush Data'!$A$1:$Z$20000,MATCH(A407,'Semrush Data'!$A$1:$A$20000,0),MATCH("Volume",'Semrush Data'!$A$1:$Z$1,0)),"")</f>
        <v/>
      </c>
      <c r="H407" s="42">
        <f>IFERROR(INDEX('Semrush Data'!$A$1:$Z$20000,MATCH(A407,'Semrush Data'!$A$1:$A$20000,0),MATCH("Keyword Difficulty*",'Semrush Data'!$A$1:$Z$1,0)),"")</f>
        <v/>
      </c>
      <c r="I407" s="56">
        <f>IFERROR(INDEX('Semrush Data'!$A$1:$Z$20000,MATCH(A407,'Semrush Data'!$A$1:$A$20000,0),MATCH("CPC*",'Semrush Data'!$A$1:$Z$1,0)),"")</f>
        <v/>
      </c>
      <c r="J407" s="42">
        <f>IFERROR(INDEX('Semrush Data'!$A$1:$Z$20000,MATCH(A407,'Semrush Data'!$A$1:$A$20000,0),MATCH("Intent",'Semrush Data'!$A$1:$Z$1,0)),"")</f>
        <v/>
      </c>
    </row>
    <row r="408" ht="15" customHeight="1" s="37">
      <c r="A408" s="42" t="inlineStr">
        <is>
          <t>deyga charcoal detox face mask</t>
        </is>
      </c>
      <c r="B408" s="42" t="inlineStr">
        <is>
          <t>Product</t>
        </is>
      </c>
      <c r="C408" s="42" t="n">
        <v>1</v>
      </c>
      <c r="D408" s="42" t="n">
        <v>5</v>
      </c>
      <c r="E408" s="42" t="n">
        <v>1</v>
      </c>
      <c r="F408" s="42" t="inlineStr">
        <is>
          <t>VD-083</t>
        </is>
      </c>
      <c r="G408" s="55">
        <f>IFERROR(INDEX('Semrush Data'!$A$1:$Z$20000,MATCH(A408,'Semrush Data'!$A$1:$A$20000,0),MATCH("Volume",'Semrush Data'!$A$1:$Z$1,0)),"")</f>
        <v/>
      </c>
      <c r="H408" s="42">
        <f>IFERROR(INDEX('Semrush Data'!$A$1:$Z$20000,MATCH(A408,'Semrush Data'!$A$1:$A$20000,0),MATCH("Keyword Difficulty*",'Semrush Data'!$A$1:$Z$1,0)),"")</f>
        <v/>
      </c>
      <c r="I408" s="56">
        <f>IFERROR(INDEX('Semrush Data'!$A$1:$Z$20000,MATCH(A408,'Semrush Data'!$A$1:$A$20000,0),MATCH("CPC*",'Semrush Data'!$A$1:$Z$1,0)),"")</f>
        <v/>
      </c>
      <c r="J408" s="42">
        <f>IFERROR(INDEX('Semrush Data'!$A$1:$Z$20000,MATCH(A408,'Semrush Data'!$A$1:$A$20000,0),MATCH("Intent",'Semrush Data'!$A$1:$Z$1,0)),"")</f>
        <v/>
      </c>
    </row>
    <row r="409" ht="15" customHeight="1" s="37">
      <c r="A409" s="42" t="inlineStr">
        <is>
          <t>deyga charcoal face wash</t>
        </is>
      </c>
      <c r="B409" s="42" t="inlineStr">
        <is>
          <t>Product</t>
        </is>
      </c>
      <c r="C409" s="42" t="n">
        <v>1</v>
      </c>
      <c r="D409" s="42" t="n">
        <v>5</v>
      </c>
      <c r="E409" s="42" t="n">
        <v>1</v>
      </c>
      <c r="F409" s="42" t="inlineStr">
        <is>
          <t>VD-123</t>
        </is>
      </c>
      <c r="G409" s="55">
        <f>IFERROR(INDEX('Semrush Data'!$A$1:$Z$20000,MATCH(A409,'Semrush Data'!$A$1:$A$20000,0),MATCH("Volume",'Semrush Data'!$A$1:$Z$1,0)),"")</f>
        <v/>
      </c>
      <c r="H409" s="42">
        <f>IFERROR(INDEX('Semrush Data'!$A$1:$Z$20000,MATCH(A409,'Semrush Data'!$A$1:$A$20000,0),MATCH("Keyword Difficulty*",'Semrush Data'!$A$1:$Z$1,0)),"")</f>
        <v/>
      </c>
      <c r="I409" s="56">
        <f>IFERROR(INDEX('Semrush Data'!$A$1:$Z$20000,MATCH(A409,'Semrush Data'!$A$1:$A$20000,0),MATCH("CPC*",'Semrush Data'!$A$1:$Z$1,0)),"")</f>
        <v/>
      </c>
      <c r="J409" s="42">
        <f>IFERROR(INDEX('Semrush Data'!$A$1:$Z$20000,MATCH(A409,'Semrush Data'!$A$1:$A$20000,0),MATCH("Intent",'Semrush Data'!$A$1:$Z$1,0)),"")</f>
        <v/>
      </c>
    </row>
    <row r="410" ht="15" customHeight="1" s="37">
      <c r="A410" s="42" t="inlineStr">
        <is>
          <t>deyga chocolate body butter</t>
        </is>
      </c>
      <c r="B410" s="42" t="inlineStr">
        <is>
          <t>Product</t>
        </is>
      </c>
      <c r="C410" s="42" t="n">
        <v>1</v>
      </c>
      <c r="D410" s="42" t="n">
        <v>5</v>
      </c>
      <c r="E410" s="42" t="n">
        <v>1</v>
      </c>
      <c r="F410" s="42" t="inlineStr">
        <is>
          <t>VD-082</t>
        </is>
      </c>
      <c r="G410" s="55">
        <f>IFERROR(INDEX('Semrush Data'!$A$1:$Z$20000,MATCH(A410,'Semrush Data'!$A$1:$A$20000,0),MATCH("Volume",'Semrush Data'!$A$1:$Z$1,0)),"")</f>
        <v/>
      </c>
      <c r="H410" s="42">
        <f>IFERROR(INDEX('Semrush Data'!$A$1:$Z$20000,MATCH(A410,'Semrush Data'!$A$1:$A$20000,0),MATCH("Keyword Difficulty*",'Semrush Data'!$A$1:$Z$1,0)),"")</f>
        <v/>
      </c>
      <c r="I410" s="56">
        <f>IFERROR(INDEX('Semrush Data'!$A$1:$Z$20000,MATCH(A410,'Semrush Data'!$A$1:$A$20000,0),MATCH("CPC*",'Semrush Data'!$A$1:$Z$1,0)),"")</f>
        <v/>
      </c>
      <c r="J410" s="42">
        <f>IFERROR(INDEX('Semrush Data'!$A$1:$Z$20000,MATCH(A410,'Semrush Data'!$A$1:$A$20000,0),MATCH("Intent",'Semrush Data'!$A$1:$Z$1,0)),"")</f>
        <v/>
      </c>
    </row>
    <row r="411" ht="15" customHeight="1" s="37">
      <c r="A411" s="42" t="inlineStr">
        <is>
          <t>deyga clear skin kit</t>
        </is>
      </c>
      <c r="B411" s="42" t="inlineStr">
        <is>
          <t>Product</t>
        </is>
      </c>
      <c r="C411" s="42" t="n">
        <v>1</v>
      </c>
      <c r="D411" s="42" t="n">
        <v>5</v>
      </c>
      <c r="E411" s="42" t="n">
        <v>1</v>
      </c>
      <c r="F411" s="42" t="inlineStr">
        <is>
          <t>VD-142</t>
        </is>
      </c>
      <c r="G411" s="55">
        <f>IFERROR(INDEX('Semrush Data'!$A$1:$Z$20000,MATCH(A411,'Semrush Data'!$A$1:$A$20000,0),MATCH("Volume",'Semrush Data'!$A$1:$Z$1,0)),"")</f>
        <v/>
      </c>
      <c r="H411" s="42">
        <f>IFERROR(INDEX('Semrush Data'!$A$1:$Z$20000,MATCH(A411,'Semrush Data'!$A$1:$A$20000,0),MATCH("Keyword Difficulty*",'Semrush Data'!$A$1:$Z$1,0)),"")</f>
        <v/>
      </c>
      <c r="I411" s="56">
        <f>IFERROR(INDEX('Semrush Data'!$A$1:$Z$20000,MATCH(A411,'Semrush Data'!$A$1:$A$20000,0),MATCH("CPC*",'Semrush Data'!$A$1:$Z$1,0)),"")</f>
        <v/>
      </c>
      <c r="J411" s="42">
        <f>IFERROR(INDEX('Semrush Data'!$A$1:$Z$20000,MATCH(A411,'Semrush Data'!$A$1:$A$20000,0),MATCH("Intent",'Semrush Data'!$A$1:$Z$1,0)),"")</f>
        <v/>
      </c>
    </row>
    <row r="412" ht="15" customHeight="1" s="37">
      <c r="A412" s="42" t="inlineStr">
        <is>
          <t>deyga daily essential kit</t>
        </is>
      </c>
      <c r="B412" s="42" t="inlineStr">
        <is>
          <t>Product</t>
        </is>
      </c>
      <c r="C412" s="42" t="n">
        <v>1</v>
      </c>
      <c r="D412" s="42" t="n">
        <v>5</v>
      </c>
      <c r="E412" s="42" t="n">
        <v>1</v>
      </c>
      <c r="F412" s="42" t="inlineStr">
        <is>
          <t>VD-141</t>
        </is>
      </c>
      <c r="G412" s="55">
        <f>IFERROR(INDEX('Semrush Data'!$A$1:$Z$20000,MATCH(A412,'Semrush Data'!$A$1:$A$20000,0),MATCH("Volume",'Semrush Data'!$A$1:$Z$1,0)),"")</f>
        <v/>
      </c>
      <c r="H412" s="42">
        <f>IFERROR(INDEX('Semrush Data'!$A$1:$Z$20000,MATCH(A412,'Semrush Data'!$A$1:$A$20000,0),MATCH("Keyword Difficulty*",'Semrush Data'!$A$1:$Z$1,0)),"")</f>
        <v/>
      </c>
      <c r="I412" s="56">
        <f>IFERROR(INDEX('Semrush Data'!$A$1:$Z$20000,MATCH(A412,'Semrush Data'!$A$1:$A$20000,0),MATCH("CPC*",'Semrush Data'!$A$1:$Z$1,0)),"")</f>
        <v/>
      </c>
      <c r="J412" s="42">
        <f>IFERROR(INDEX('Semrush Data'!$A$1:$Z$20000,MATCH(A412,'Semrush Data'!$A$1:$A$20000,0),MATCH("Intent",'Semrush Data'!$A$1:$Z$1,0)),"")</f>
        <v/>
      </c>
    </row>
    <row r="413" ht="15" customHeight="1" s="37">
      <c r="A413" s="42" t="inlineStr">
        <is>
          <t>deyga daily use healthy hair kit</t>
        </is>
      </c>
      <c r="B413" s="42" t="inlineStr">
        <is>
          <t>Product</t>
        </is>
      </c>
      <c r="C413" s="42" t="n">
        <v>1</v>
      </c>
      <c r="D413" s="42" t="n">
        <v>5</v>
      </c>
      <c r="E413" s="42" t="n">
        <v>1</v>
      </c>
      <c r="F413" s="42" t="inlineStr">
        <is>
          <t>VD-159</t>
        </is>
      </c>
      <c r="G413" s="55">
        <f>IFERROR(INDEX('Semrush Data'!$A$1:$Z$20000,MATCH(A413,'Semrush Data'!$A$1:$A$20000,0),MATCH("Volume",'Semrush Data'!$A$1:$Z$1,0)),"")</f>
        <v/>
      </c>
      <c r="H413" s="42">
        <f>IFERROR(INDEX('Semrush Data'!$A$1:$Z$20000,MATCH(A413,'Semrush Data'!$A$1:$A$20000,0),MATCH("Keyword Difficulty*",'Semrush Data'!$A$1:$Z$1,0)),"")</f>
        <v/>
      </c>
      <c r="I413" s="56">
        <f>IFERROR(INDEX('Semrush Data'!$A$1:$Z$20000,MATCH(A413,'Semrush Data'!$A$1:$A$20000,0),MATCH("CPC*",'Semrush Data'!$A$1:$Z$1,0)),"")</f>
        <v/>
      </c>
      <c r="J413" s="42">
        <f>IFERROR(INDEX('Semrush Data'!$A$1:$Z$20000,MATCH(A413,'Semrush Data'!$A$1:$A$20000,0),MATCH("Intent",'Semrush Data'!$A$1:$Z$1,0)),"")</f>
        <v/>
      </c>
    </row>
    <row r="414" ht="15" customHeight="1" s="37">
      <c r="A414" s="42" t="inlineStr">
        <is>
          <t>deyga de- tan &amp; pigmentation kit</t>
        </is>
      </c>
      <c r="B414" s="42" t="inlineStr">
        <is>
          <t>Product</t>
        </is>
      </c>
      <c r="C414" s="42" t="n">
        <v>1</v>
      </c>
      <c r="D414" s="42" t="n">
        <v>5</v>
      </c>
      <c r="E414" s="42" t="n">
        <v>1</v>
      </c>
      <c r="F414" s="42" t="inlineStr">
        <is>
          <t>VD-157</t>
        </is>
      </c>
      <c r="G414" s="55">
        <f>IFERROR(INDEX('Semrush Data'!$A$1:$Z$20000,MATCH(A414,'Semrush Data'!$A$1:$A$20000,0),MATCH("Volume",'Semrush Data'!$A$1:$Z$1,0)),"")</f>
        <v/>
      </c>
      <c r="H414" s="42">
        <f>IFERROR(INDEX('Semrush Data'!$A$1:$Z$20000,MATCH(A414,'Semrush Data'!$A$1:$A$20000,0),MATCH("Keyword Difficulty*",'Semrush Data'!$A$1:$Z$1,0)),"")</f>
        <v/>
      </c>
      <c r="I414" s="56">
        <f>IFERROR(INDEX('Semrush Data'!$A$1:$Z$20000,MATCH(A414,'Semrush Data'!$A$1:$A$20000,0),MATCH("CPC*",'Semrush Data'!$A$1:$Z$1,0)),"")</f>
        <v/>
      </c>
      <c r="J414" s="42">
        <f>IFERROR(INDEX('Semrush Data'!$A$1:$Z$20000,MATCH(A414,'Semrush Data'!$A$1:$A$20000,0),MATCH("Intent",'Semrush Data'!$A$1:$Z$1,0)),"")</f>
        <v/>
      </c>
    </row>
    <row r="415" ht="15" customHeight="1" s="37">
      <c r="A415" s="42" t="inlineStr">
        <is>
          <t>deyga deep moisturising face cream</t>
        </is>
      </c>
      <c r="B415" s="42" t="inlineStr">
        <is>
          <t>Product</t>
        </is>
      </c>
      <c r="C415" s="42" t="n">
        <v>1</v>
      </c>
      <c r="D415" s="42" t="n">
        <v>5</v>
      </c>
      <c r="E415" s="42" t="n">
        <v>1</v>
      </c>
      <c r="F415" s="42" t="inlineStr">
        <is>
          <t>VD-086</t>
        </is>
      </c>
      <c r="G415" s="55">
        <f>IFERROR(INDEX('Semrush Data'!$A$1:$Z$20000,MATCH(A415,'Semrush Data'!$A$1:$A$20000,0),MATCH("Volume",'Semrush Data'!$A$1:$Z$1,0)),"")</f>
        <v/>
      </c>
      <c r="H415" s="42">
        <f>IFERROR(INDEX('Semrush Data'!$A$1:$Z$20000,MATCH(A415,'Semrush Data'!$A$1:$A$20000,0),MATCH("Keyword Difficulty*",'Semrush Data'!$A$1:$Z$1,0)),"")</f>
        <v/>
      </c>
      <c r="I415" s="56">
        <f>IFERROR(INDEX('Semrush Data'!$A$1:$Z$20000,MATCH(A415,'Semrush Data'!$A$1:$A$20000,0),MATCH("CPC*",'Semrush Data'!$A$1:$Z$1,0)),"")</f>
        <v/>
      </c>
      <c r="J415" s="42">
        <f>IFERROR(INDEX('Semrush Data'!$A$1:$Z$20000,MATCH(A415,'Semrush Data'!$A$1:$A$20000,0),MATCH("Intent",'Semrush Data'!$A$1:$Z$1,0)),"")</f>
        <v/>
      </c>
    </row>
    <row r="416" ht="15" customHeight="1" s="37">
      <c r="A416" s="42" t="inlineStr">
        <is>
          <t>deyga double hydration kit</t>
        </is>
      </c>
      <c r="B416" s="42" t="inlineStr">
        <is>
          <t>Product</t>
        </is>
      </c>
      <c r="C416" s="42" t="n">
        <v>1</v>
      </c>
      <c r="D416" s="42" t="n">
        <v>5</v>
      </c>
      <c r="E416" s="42" t="n">
        <v>1</v>
      </c>
      <c r="F416" s="42" t="inlineStr">
        <is>
          <t>VD-155</t>
        </is>
      </c>
      <c r="G416" s="55">
        <f>IFERROR(INDEX('Semrush Data'!$A$1:$Z$20000,MATCH(A416,'Semrush Data'!$A$1:$A$20000,0),MATCH("Volume",'Semrush Data'!$A$1:$Z$1,0)),"")</f>
        <v/>
      </c>
      <c r="H416" s="42">
        <f>IFERROR(INDEX('Semrush Data'!$A$1:$Z$20000,MATCH(A416,'Semrush Data'!$A$1:$A$20000,0),MATCH("Keyword Difficulty*",'Semrush Data'!$A$1:$Z$1,0)),"")</f>
        <v/>
      </c>
      <c r="I416" s="56">
        <f>IFERROR(INDEX('Semrush Data'!$A$1:$Z$20000,MATCH(A416,'Semrush Data'!$A$1:$A$20000,0),MATCH("CPC*",'Semrush Data'!$A$1:$Z$1,0)),"")</f>
        <v/>
      </c>
      <c r="J416" s="42">
        <f>IFERROR(INDEX('Semrush Data'!$A$1:$Z$20000,MATCH(A416,'Semrush Data'!$A$1:$A$20000,0),MATCH("Intent",'Semrush Data'!$A$1:$Z$1,0)),"")</f>
        <v/>
      </c>
    </row>
    <row r="417" ht="15" customHeight="1" s="37">
      <c r="A417" s="42" t="inlineStr">
        <is>
          <t>deyga eyebrow growth oil</t>
        </is>
      </c>
      <c r="B417" s="42" t="inlineStr">
        <is>
          <t>Product</t>
        </is>
      </c>
      <c r="C417" s="42" t="n">
        <v>1</v>
      </c>
      <c r="D417" s="42" t="n">
        <v>5</v>
      </c>
      <c r="E417" s="42" t="n">
        <v>1</v>
      </c>
      <c r="F417" s="42" t="inlineStr">
        <is>
          <t>VD-104</t>
        </is>
      </c>
      <c r="G417" s="55">
        <f>IFERROR(INDEX('Semrush Data'!$A$1:$Z$20000,MATCH(A417,'Semrush Data'!$A$1:$A$20000,0),MATCH("Volume",'Semrush Data'!$A$1:$Z$1,0)),"")</f>
        <v/>
      </c>
      <c r="H417" s="42">
        <f>IFERROR(INDEX('Semrush Data'!$A$1:$Z$20000,MATCH(A417,'Semrush Data'!$A$1:$A$20000,0),MATCH("Keyword Difficulty*",'Semrush Data'!$A$1:$Z$1,0)),"")</f>
        <v/>
      </c>
      <c r="I417" s="56">
        <f>IFERROR(INDEX('Semrush Data'!$A$1:$Z$20000,MATCH(A417,'Semrush Data'!$A$1:$A$20000,0),MATCH("CPC*",'Semrush Data'!$A$1:$Z$1,0)),"")</f>
        <v/>
      </c>
      <c r="J417" s="42">
        <f>IFERROR(INDEX('Semrush Data'!$A$1:$Z$20000,MATCH(A417,'Semrush Data'!$A$1:$A$20000,0),MATCH("Intent",'Semrush Data'!$A$1:$Z$1,0)),"")</f>
        <v/>
      </c>
    </row>
    <row r="418" ht="15" customHeight="1" s="37">
      <c r="A418" s="42" t="inlineStr">
        <is>
          <t>deyga face &amp; body exfoliator powder</t>
        </is>
      </c>
      <c r="B418" s="42" t="inlineStr">
        <is>
          <t>Product</t>
        </is>
      </c>
      <c r="C418" s="42" t="n">
        <v>1</v>
      </c>
      <c r="D418" s="42" t="n">
        <v>5</v>
      </c>
      <c r="E418" s="42" t="n">
        <v>1</v>
      </c>
      <c r="F418" s="42" t="inlineStr">
        <is>
          <t>VD-118</t>
        </is>
      </c>
      <c r="G418" s="55">
        <f>IFERROR(INDEX('Semrush Data'!$A$1:$Z$20000,MATCH(A418,'Semrush Data'!$A$1:$A$20000,0),MATCH("Volume",'Semrush Data'!$A$1:$Z$1,0)),"")</f>
        <v/>
      </c>
      <c r="H418" s="42">
        <f>IFERROR(INDEX('Semrush Data'!$A$1:$Z$20000,MATCH(A418,'Semrush Data'!$A$1:$A$20000,0),MATCH("Keyword Difficulty*",'Semrush Data'!$A$1:$Z$1,0)),"")</f>
        <v/>
      </c>
      <c r="I418" s="56">
        <f>IFERROR(INDEX('Semrush Data'!$A$1:$Z$20000,MATCH(A418,'Semrush Data'!$A$1:$A$20000,0),MATCH("CPC*",'Semrush Data'!$A$1:$Z$1,0)),"")</f>
        <v/>
      </c>
      <c r="J418" s="42">
        <f>IFERROR(INDEX('Semrush Data'!$A$1:$Z$20000,MATCH(A418,'Semrush Data'!$A$1:$A$20000,0),MATCH("Intent",'Semrush Data'!$A$1:$Z$1,0)),"")</f>
        <v/>
      </c>
    </row>
    <row r="419" ht="15" customHeight="1" s="37">
      <c r="A419" s="42" t="inlineStr">
        <is>
          <t>deyga foot butter</t>
        </is>
      </c>
      <c r="B419" s="42" t="inlineStr">
        <is>
          <t>Product</t>
        </is>
      </c>
      <c r="C419" s="42" t="n">
        <v>1</v>
      </c>
      <c r="D419" s="42" t="n">
        <v>5</v>
      </c>
      <c r="E419" s="42" t="n">
        <v>1</v>
      </c>
      <c r="F419" s="42" t="inlineStr">
        <is>
          <t>VD-128</t>
        </is>
      </c>
      <c r="G419" s="55">
        <f>IFERROR(INDEX('Semrush Data'!$A$1:$Z$20000,MATCH(A419,'Semrush Data'!$A$1:$A$20000,0),MATCH("Volume",'Semrush Data'!$A$1:$Z$1,0)),"")</f>
        <v/>
      </c>
      <c r="H419" s="42">
        <f>IFERROR(INDEX('Semrush Data'!$A$1:$Z$20000,MATCH(A419,'Semrush Data'!$A$1:$A$20000,0),MATCH("Keyword Difficulty*",'Semrush Data'!$A$1:$Z$1,0)),"")</f>
        <v/>
      </c>
      <c r="I419" s="56">
        <f>IFERROR(INDEX('Semrush Data'!$A$1:$Z$20000,MATCH(A419,'Semrush Data'!$A$1:$A$20000,0),MATCH("CPC*",'Semrush Data'!$A$1:$Z$1,0)),"")</f>
        <v/>
      </c>
      <c r="J419" s="42">
        <f>IFERROR(INDEX('Semrush Data'!$A$1:$Z$20000,MATCH(A419,'Semrush Data'!$A$1:$A$20000,0),MATCH("Intent",'Semrush Data'!$A$1:$Z$1,0)),"")</f>
        <v/>
      </c>
    </row>
    <row r="420" ht="15" customHeight="1" s="37">
      <c r="A420" s="42" t="inlineStr">
        <is>
          <t>deyga foot scrub</t>
        </is>
      </c>
      <c r="B420" s="42" t="inlineStr">
        <is>
          <t>Product</t>
        </is>
      </c>
      <c r="C420" s="42" t="n">
        <v>1</v>
      </c>
      <c r="D420" s="42" t="n">
        <v>5</v>
      </c>
      <c r="E420" s="42" t="n">
        <v>1</v>
      </c>
      <c r="F420" s="42" t="inlineStr">
        <is>
          <t>VD-103</t>
        </is>
      </c>
      <c r="G420" s="55">
        <f>IFERROR(INDEX('Semrush Data'!$A$1:$Z$20000,MATCH(A420,'Semrush Data'!$A$1:$A$20000,0),MATCH("Volume",'Semrush Data'!$A$1:$Z$1,0)),"")</f>
        <v/>
      </c>
      <c r="H420" s="42">
        <f>IFERROR(INDEX('Semrush Data'!$A$1:$Z$20000,MATCH(A420,'Semrush Data'!$A$1:$A$20000,0),MATCH("Keyword Difficulty*",'Semrush Data'!$A$1:$Z$1,0)),"")</f>
        <v/>
      </c>
      <c r="I420" s="56">
        <f>IFERROR(INDEX('Semrush Data'!$A$1:$Z$20000,MATCH(A420,'Semrush Data'!$A$1:$A$20000,0),MATCH("CPC*",'Semrush Data'!$A$1:$Z$1,0)),"")</f>
        <v/>
      </c>
      <c r="J420" s="42">
        <f>IFERROR(INDEX('Semrush Data'!$A$1:$Z$20000,MATCH(A420,'Semrush Data'!$A$1:$A$20000,0),MATCH("Intent",'Semrush Data'!$A$1:$Z$1,0)),"")</f>
        <v/>
      </c>
    </row>
    <row r="421" ht="15" customHeight="1" s="37">
      <c r="A421" s="42" t="inlineStr">
        <is>
          <t>deyga foot soak powder</t>
        </is>
      </c>
      <c r="B421" s="42" t="inlineStr">
        <is>
          <t>Product</t>
        </is>
      </c>
      <c r="C421" s="42" t="n">
        <v>1</v>
      </c>
      <c r="D421" s="42" t="n">
        <v>5</v>
      </c>
      <c r="E421" s="42" t="n">
        <v>1</v>
      </c>
      <c r="F421" s="42" t="inlineStr">
        <is>
          <t>VD-094</t>
        </is>
      </c>
      <c r="G421" s="55">
        <f>IFERROR(INDEX('Semrush Data'!$A$1:$Z$20000,MATCH(A421,'Semrush Data'!$A$1:$A$20000,0),MATCH("Volume",'Semrush Data'!$A$1:$Z$1,0)),"")</f>
        <v/>
      </c>
      <c r="H421" s="42">
        <f>IFERROR(INDEX('Semrush Data'!$A$1:$Z$20000,MATCH(A421,'Semrush Data'!$A$1:$A$20000,0),MATCH("Keyword Difficulty*",'Semrush Data'!$A$1:$Z$1,0)),"")</f>
        <v/>
      </c>
      <c r="I421" s="56">
        <f>IFERROR(INDEX('Semrush Data'!$A$1:$Z$20000,MATCH(A421,'Semrush Data'!$A$1:$A$20000,0),MATCH("CPC*",'Semrush Data'!$A$1:$Z$1,0)),"")</f>
        <v/>
      </c>
      <c r="J421" s="42">
        <f>IFERROR(INDEX('Semrush Data'!$A$1:$Z$20000,MATCH(A421,'Semrush Data'!$A$1:$A$20000,0),MATCH("Intent",'Semrush Data'!$A$1:$Z$1,0)),"")</f>
        <v/>
      </c>
    </row>
    <row r="422" ht="15" customHeight="1" s="37">
      <c r="A422" s="42" t="inlineStr">
        <is>
          <t>deyga game changer face care kit</t>
        </is>
      </c>
      <c r="B422" s="42" t="inlineStr">
        <is>
          <t>Product</t>
        </is>
      </c>
      <c r="C422" s="42" t="n">
        <v>1</v>
      </c>
      <c r="D422" s="42" t="n">
        <v>5</v>
      </c>
      <c r="E422" s="42" t="n">
        <v>1</v>
      </c>
      <c r="F422" s="42" t="inlineStr">
        <is>
          <t>VD-158</t>
        </is>
      </c>
      <c r="G422" s="55">
        <f>IFERROR(INDEX('Semrush Data'!$A$1:$Z$20000,MATCH(A422,'Semrush Data'!$A$1:$A$20000,0),MATCH("Volume",'Semrush Data'!$A$1:$Z$1,0)),"")</f>
        <v/>
      </c>
      <c r="H422" s="42">
        <f>IFERROR(INDEX('Semrush Data'!$A$1:$Z$20000,MATCH(A422,'Semrush Data'!$A$1:$A$20000,0),MATCH("Keyword Difficulty*",'Semrush Data'!$A$1:$Z$1,0)),"")</f>
        <v/>
      </c>
      <c r="I422" s="56">
        <f>IFERROR(INDEX('Semrush Data'!$A$1:$Z$20000,MATCH(A422,'Semrush Data'!$A$1:$A$20000,0),MATCH("CPC*",'Semrush Data'!$A$1:$Z$1,0)),"")</f>
        <v/>
      </c>
      <c r="J422" s="42">
        <f>IFERROR(INDEX('Semrush Data'!$A$1:$Z$20000,MATCH(A422,'Semrush Data'!$A$1:$A$20000,0),MATCH("Intent",'Semrush Data'!$A$1:$Z$1,0)),"")</f>
        <v/>
      </c>
    </row>
    <row r="423" ht="15" customHeight="1" s="37">
      <c r="A423" s="42" t="inlineStr">
        <is>
          <t>deyga hair care kit</t>
        </is>
      </c>
      <c r="B423" s="42" t="inlineStr">
        <is>
          <t>Product</t>
        </is>
      </c>
      <c r="C423" s="42" t="n">
        <v>1</v>
      </c>
      <c r="D423" s="42" t="n">
        <v>5</v>
      </c>
      <c r="E423" s="42" t="n">
        <v>1</v>
      </c>
      <c r="F423" s="42" t="inlineStr">
        <is>
          <t>VD-151</t>
        </is>
      </c>
      <c r="G423" s="55">
        <f>IFERROR(INDEX('Semrush Data'!$A$1:$Z$20000,MATCH(A423,'Semrush Data'!$A$1:$A$20000,0),MATCH("Volume",'Semrush Data'!$A$1:$Z$1,0)),"")</f>
        <v/>
      </c>
      <c r="H423" s="42">
        <f>IFERROR(INDEX('Semrush Data'!$A$1:$Z$20000,MATCH(A423,'Semrush Data'!$A$1:$A$20000,0),MATCH("Keyword Difficulty*",'Semrush Data'!$A$1:$Z$1,0)),"")</f>
        <v/>
      </c>
      <c r="I423" s="56">
        <f>IFERROR(INDEX('Semrush Data'!$A$1:$Z$20000,MATCH(A423,'Semrush Data'!$A$1:$A$20000,0),MATCH("CPC*",'Semrush Data'!$A$1:$Z$1,0)),"")</f>
        <v/>
      </c>
      <c r="J423" s="42">
        <f>IFERROR(INDEX('Semrush Data'!$A$1:$Z$20000,MATCH(A423,'Semrush Data'!$A$1:$A$20000,0),MATCH("Intent",'Semrush Data'!$A$1:$Z$1,0)),"")</f>
        <v/>
      </c>
    </row>
    <row r="424" ht="15" customHeight="1" s="37">
      <c r="A424" s="42" t="inlineStr">
        <is>
          <t>deyga hair growth oil</t>
        </is>
      </c>
      <c r="B424" s="42" t="inlineStr">
        <is>
          <t>Product</t>
        </is>
      </c>
      <c r="C424" s="42" t="n">
        <v>1</v>
      </c>
      <c r="D424" s="42" t="n">
        <v>5</v>
      </c>
      <c r="E424" s="42" t="n">
        <v>1</v>
      </c>
      <c r="F424" s="42" t="inlineStr">
        <is>
          <t>VD-122</t>
        </is>
      </c>
      <c r="G424" s="55">
        <f>IFERROR(INDEX('Semrush Data'!$A$1:$Z$20000,MATCH(A424,'Semrush Data'!$A$1:$A$20000,0),MATCH("Volume",'Semrush Data'!$A$1:$Z$1,0)),"")</f>
        <v/>
      </c>
      <c r="H424" s="42">
        <f>IFERROR(INDEX('Semrush Data'!$A$1:$Z$20000,MATCH(A424,'Semrush Data'!$A$1:$A$20000,0),MATCH("Keyword Difficulty*",'Semrush Data'!$A$1:$Z$1,0)),"")</f>
        <v/>
      </c>
      <c r="I424" s="56">
        <f>IFERROR(INDEX('Semrush Data'!$A$1:$Z$20000,MATCH(A424,'Semrush Data'!$A$1:$A$20000,0),MATCH("CPC*",'Semrush Data'!$A$1:$Z$1,0)),"")</f>
        <v/>
      </c>
      <c r="J424" s="42">
        <f>IFERROR(INDEX('Semrush Data'!$A$1:$Z$20000,MATCH(A424,'Semrush Data'!$A$1:$A$20000,0),MATCH("Intent",'Semrush Data'!$A$1:$Z$1,0)),"")</f>
        <v/>
      </c>
    </row>
    <row r="425" ht="15" customHeight="1" s="37">
      <c r="A425" s="42" t="inlineStr">
        <is>
          <t>deyga hair nourishment kit</t>
        </is>
      </c>
      <c r="B425" s="42" t="inlineStr">
        <is>
          <t>Product</t>
        </is>
      </c>
      <c r="C425" s="42" t="n">
        <v>1</v>
      </c>
      <c r="D425" s="42" t="n">
        <v>5</v>
      </c>
      <c r="E425" s="42" t="n">
        <v>1</v>
      </c>
      <c r="F425" s="42" t="inlineStr">
        <is>
          <t>VD-147</t>
        </is>
      </c>
      <c r="G425" s="55">
        <f>IFERROR(INDEX('Semrush Data'!$A$1:$Z$20000,MATCH(A425,'Semrush Data'!$A$1:$A$20000,0),MATCH("Volume",'Semrush Data'!$A$1:$Z$1,0)),"")</f>
        <v/>
      </c>
      <c r="H425" s="42">
        <f>IFERROR(INDEX('Semrush Data'!$A$1:$Z$20000,MATCH(A425,'Semrush Data'!$A$1:$A$20000,0),MATCH("Keyword Difficulty*",'Semrush Data'!$A$1:$Z$1,0)),"")</f>
        <v/>
      </c>
      <c r="I425" s="56">
        <f>IFERROR(INDEX('Semrush Data'!$A$1:$Z$20000,MATCH(A425,'Semrush Data'!$A$1:$A$20000,0),MATCH("CPC*",'Semrush Data'!$A$1:$Z$1,0)),"")</f>
        <v/>
      </c>
      <c r="J425" s="42">
        <f>IFERROR(INDEX('Semrush Data'!$A$1:$Z$20000,MATCH(A425,'Semrush Data'!$A$1:$A$20000,0),MATCH("Intent",'Semrush Data'!$A$1:$Z$1,0)),"")</f>
        <v/>
      </c>
    </row>
    <row r="426" ht="15" customHeight="1" s="37">
      <c r="A426" s="42" t="inlineStr">
        <is>
          <t>deyga hair removal powder</t>
        </is>
      </c>
      <c r="B426" s="42" t="inlineStr">
        <is>
          <t>Product</t>
        </is>
      </c>
      <c r="C426" s="42" t="n">
        <v>1</v>
      </c>
      <c r="D426" s="42" t="n">
        <v>5</v>
      </c>
      <c r="E426" s="42" t="n">
        <v>1</v>
      </c>
      <c r="F426" s="42" t="inlineStr">
        <is>
          <t>VD-112</t>
        </is>
      </c>
      <c r="G426" s="55">
        <f>IFERROR(INDEX('Semrush Data'!$A$1:$Z$20000,MATCH(A426,'Semrush Data'!$A$1:$A$20000,0),MATCH("Volume",'Semrush Data'!$A$1:$Z$1,0)),"")</f>
        <v/>
      </c>
      <c r="H426" s="42">
        <f>IFERROR(INDEX('Semrush Data'!$A$1:$Z$20000,MATCH(A426,'Semrush Data'!$A$1:$A$20000,0),MATCH("Keyword Difficulty*",'Semrush Data'!$A$1:$Z$1,0)),"")</f>
        <v/>
      </c>
      <c r="I426" s="56">
        <f>IFERROR(INDEX('Semrush Data'!$A$1:$Z$20000,MATCH(A426,'Semrush Data'!$A$1:$A$20000,0),MATCH("CPC*",'Semrush Data'!$A$1:$Z$1,0)),"")</f>
        <v/>
      </c>
      <c r="J426" s="42">
        <f>IFERROR(INDEX('Semrush Data'!$A$1:$Z$20000,MATCH(A426,'Semrush Data'!$A$1:$A$20000,0),MATCH("Intent",'Semrush Data'!$A$1:$Z$1,0)),"")</f>
        <v/>
      </c>
    </row>
    <row r="427" ht="15" customHeight="1" s="37">
      <c r="A427" s="42" t="inlineStr">
        <is>
          <t>deyga hair strengthening kit</t>
        </is>
      </c>
      <c r="B427" s="42" t="inlineStr">
        <is>
          <t>Product</t>
        </is>
      </c>
      <c r="C427" s="42" t="n">
        <v>1</v>
      </c>
      <c r="D427" s="42" t="n">
        <v>5</v>
      </c>
      <c r="E427" s="42" t="n">
        <v>1</v>
      </c>
      <c r="F427" s="42" t="inlineStr">
        <is>
          <t>VD-152</t>
        </is>
      </c>
      <c r="G427" s="55">
        <f>IFERROR(INDEX('Semrush Data'!$A$1:$Z$20000,MATCH(A427,'Semrush Data'!$A$1:$A$20000,0),MATCH("Volume",'Semrush Data'!$A$1:$Z$1,0)),"")</f>
        <v/>
      </c>
      <c r="H427" s="42">
        <f>IFERROR(INDEX('Semrush Data'!$A$1:$Z$20000,MATCH(A427,'Semrush Data'!$A$1:$A$20000,0),MATCH("Keyword Difficulty*",'Semrush Data'!$A$1:$Z$1,0)),"")</f>
        <v/>
      </c>
      <c r="I427" s="56">
        <f>IFERROR(INDEX('Semrush Data'!$A$1:$Z$20000,MATCH(A427,'Semrush Data'!$A$1:$A$20000,0),MATCH("CPC*",'Semrush Data'!$A$1:$Z$1,0)),"")</f>
        <v/>
      </c>
      <c r="J427" s="42">
        <f>IFERROR(INDEX('Semrush Data'!$A$1:$Z$20000,MATCH(A427,'Semrush Data'!$A$1:$A$20000,0),MATCH("Intent",'Semrush Data'!$A$1:$Z$1,0)),"")</f>
        <v/>
      </c>
    </row>
    <row r="428" ht="15" customHeight="1" s="37">
      <c r="A428" s="42" t="inlineStr">
        <is>
          <t>deyga healthy glow kit</t>
        </is>
      </c>
      <c r="B428" s="42" t="inlineStr">
        <is>
          <t>Product</t>
        </is>
      </c>
      <c r="C428" s="42" t="n">
        <v>1</v>
      </c>
      <c r="D428" s="42" t="n">
        <v>5</v>
      </c>
      <c r="E428" s="42" t="n">
        <v>1</v>
      </c>
      <c r="F428" s="42" t="inlineStr">
        <is>
          <t>VD-146</t>
        </is>
      </c>
      <c r="G428" s="55">
        <f>IFERROR(INDEX('Semrush Data'!$A$1:$Z$20000,MATCH(A428,'Semrush Data'!$A$1:$A$20000,0),MATCH("Volume",'Semrush Data'!$A$1:$Z$1,0)),"")</f>
        <v/>
      </c>
      <c r="H428" s="42">
        <f>IFERROR(INDEX('Semrush Data'!$A$1:$Z$20000,MATCH(A428,'Semrush Data'!$A$1:$A$20000,0),MATCH("Keyword Difficulty*",'Semrush Data'!$A$1:$Z$1,0)),"")</f>
        <v/>
      </c>
      <c r="I428" s="56">
        <f>IFERROR(INDEX('Semrush Data'!$A$1:$Z$20000,MATCH(A428,'Semrush Data'!$A$1:$A$20000,0),MATCH("CPC*",'Semrush Data'!$A$1:$Z$1,0)),"")</f>
        <v/>
      </c>
      <c r="J428" s="42">
        <f>IFERROR(INDEX('Semrush Data'!$A$1:$Z$20000,MATCH(A428,'Semrush Data'!$A$1:$A$20000,0),MATCH("Intent",'Semrush Data'!$A$1:$Z$1,0)),"")</f>
        <v/>
      </c>
    </row>
    <row r="429" ht="15" customHeight="1" s="37">
      <c r="A429" s="42" t="inlineStr">
        <is>
          <t>deyga hydro boosting skin care kit</t>
        </is>
      </c>
      <c r="B429" s="42" t="inlineStr">
        <is>
          <t>Product</t>
        </is>
      </c>
      <c r="C429" s="42" t="n">
        <v>1</v>
      </c>
      <c r="D429" s="42" t="n">
        <v>5</v>
      </c>
      <c r="E429" s="42" t="n">
        <v>1</v>
      </c>
      <c r="F429" s="42" t="inlineStr">
        <is>
          <t>VD-150</t>
        </is>
      </c>
      <c r="G429" s="55">
        <f>IFERROR(INDEX('Semrush Data'!$A$1:$Z$20000,MATCH(A429,'Semrush Data'!$A$1:$A$20000,0),MATCH("Volume",'Semrush Data'!$A$1:$Z$1,0)),"")</f>
        <v/>
      </c>
      <c r="H429" s="42">
        <f>IFERROR(INDEX('Semrush Data'!$A$1:$Z$20000,MATCH(A429,'Semrush Data'!$A$1:$A$20000,0),MATCH("Keyword Difficulty*",'Semrush Data'!$A$1:$Z$1,0)),"")</f>
        <v/>
      </c>
      <c r="I429" s="56">
        <f>IFERROR(INDEX('Semrush Data'!$A$1:$Z$20000,MATCH(A429,'Semrush Data'!$A$1:$A$20000,0),MATCH("CPC*",'Semrush Data'!$A$1:$Z$1,0)),"")</f>
        <v/>
      </c>
      <c r="J429" s="42">
        <f>IFERROR(INDEX('Semrush Data'!$A$1:$Z$20000,MATCH(A429,'Semrush Data'!$A$1:$A$20000,0),MATCH("Intent",'Semrush Data'!$A$1:$Z$1,0)),"")</f>
        <v/>
      </c>
    </row>
    <row r="430" ht="15" customHeight="1" s="37">
      <c r="A430" s="42" t="inlineStr">
        <is>
          <t>deyga instant hair removal kit</t>
        </is>
      </c>
      <c r="B430" s="42" t="inlineStr">
        <is>
          <t>Product</t>
        </is>
      </c>
      <c r="C430" s="42" t="n">
        <v>1</v>
      </c>
      <c r="D430" s="42" t="n">
        <v>5</v>
      </c>
      <c r="E430" s="42" t="n">
        <v>1</v>
      </c>
      <c r="F430" s="42" t="inlineStr">
        <is>
          <t>VD-144</t>
        </is>
      </c>
      <c r="G430" s="55">
        <f>IFERROR(INDEX('Semrush Data'!$A$1:$Z$20000,MATCH(A430,'Semrush Data'!$A$1:$A$20000,0),MATCH("Volume",'Semrush Data'!$A$1:$Z$1,0)),"")</f>
        <v/>
      </c>
      <c r="H430" s="42">
        <f>IFERROR(INDEX('Semrush Data'!$A$1:$Z$20000,MATCH(A430,'Semrush Data'!$A$1:$A$20000,0),MATCH("Keyword Difficulty*",'Semrush Data'!$A$1:$Z$1,0)),"")</f>
        <v/>
      </c>
      <c r="I430" s="56">
        <f>IFERROR(INDEX('Semrush Data'!$A$1:$Z$20000,MATCH(A430,'Semrush Data'!$A$1:$A$20000,0),MATCH("CPC*",'Semrush Data'!$A$1:$Z$1,0)),"")</f>
        <v/>
      </c>
      <c r="J430" s="42">
        <f>IFERROR(INDEX('Semrush Data'!$A$1:$Z$20000,MATCH(A430,'Semrush Data'!$A$1:$A$20000,0),MATCH("Intent",'Semrush Data'!$A$1:$Z$1,0)),"")</f>
        <v/>
      </c>
    </row>
    <row r="431" ht="15" customHeight="1" s="37">
      <c r="A431" s="42" t="inlineStr">
        <is>
          <t>deyga instant hair removal kit with toner</t>
        </is>
      </c>
      <c r="B431" s="42" t="inlineStr">
        <is>
          <t>Product</t>
        </is>
      </c>
      <c r="C431" s="42" t="n">
        <v>1</v>
      </c>
      <c r="D431" s="42" t="n">
        <v>5</v>
      </c>
      <c r="E431" s="42" t="n">
        <v>1</v>
      </c>
      <c r="F431" s="42" t="inlineStr">
        <is>
          <t>VD-145</t>
        </is>
      </c>
      <c r="G431" s="55">
        <f>IFERROR(INDEX('Semrush Data'!$A$1:$Z$20000,MATCH(A431,'Semrush Data'!$A$1:$A$20000,0),MATCH("Volume",'Semrush Data'!$A$1:$Z$1,0)),"")</f>
        <v/>
      </c>
      <c r="H431" s="42">
        <f>IFERROR(INDEX('Semrush Data'!$A$1:$Z$20000,MATCH(A431,'Semrush Data'!$A$1:$A$20000,0),MATCH("Keyword Difficulty*",'Semrush Data'!$A$1:$Z$1,0)),"")</f>
        <v/>
      </c>
      <c r="I431" s="56">
        <f>IFERROR(INDEX('Semrush Data'!$A$1:$Z$20000,MATCH(A431,'Semrush Data'!$A$1:$A$20000,0),MATCH("CPC*",'Semrush Data'!$A$1:$Z$1,0)),"")</f>
        <v/>
      </c>
      <c r="J431" s="42">
        <f>IFERROR(INDEX('Semrush Data'!$A$1:$Z$20000,MATCH(A431,'Semrush Data'!$A$1:$A$20000,0),MATCH("Intent",'Semrush Data'!$A$1:$Z$1,0)),"")</f>
        <v/>
      </c>
    </row>
    <row r="432" ht="15" customHeight="1" s="37">
      <c r="A432" s="42" t="inlineStr">
        <is>
          <t>deyga light moisturising face cream</t>
        </is>
      </c>
      <c r="B432" s="42" t="inlineStr">
        <is>
          <t>Product</t>
        </is>
      </c>
      <c r="C432" s="42" t="n">
        <v>1</v>
      </c>
      <c r="D432" s="42" t="n">
        <v>5</v>
      </c>
      <c r="E432" s="42" t="n">
        <v>1</v>
      </c>
      <c r="F432" s="42" t="inlineStr">
        <is>
          <t>VD-093</t>
        </is>
      </c>
      <c r="G432" s="55">
        <f>IFERROR(INDEX('Semrush Data'!$A$1:$Z$20000,MATCH(A432,'Semrush Data'!$A$1:$A$20000,0),MATCH("Volume",'Semrush Data'!$A$1:$Z$1,0)),"")</f>
        <v/>
      </c>
      <c r="H432" s="42">
        <f>IFERROR(INDEX('Semrush Data'!$A$1:$Z$20000,MATCH(A432,'Semrush Data'!$A$1:$A$20000,0),MATCH("Keyword Difficulty*",'Semrush Data'!$A$1:$Z$1,0)),"")</f>
        <v/>
      </c>
      <c r="I432" s="56">
        <f>IFERROR(INDEX('Semrush Data'!$A$1:$Z$20000,MATCH(A432,'Semrush Data'!$A$1:$A$20000,0),MATCH("CPC*",'Semrush Data'!$A$1:$Z$1,0)),"")</f>
        <v/>
      </c>
      <c r="J432" s="42">
        <f>IFERROR(INDEX('Semrush Data'!$A$1:$Z$20000,MATCH(A432,'Semrush Data'!$A$1:$A$20000,0),MATCH("Intent",'Semrush Data'!$A$1:$Z$1,0)),"")</f>
        <v/>
      </c>
    </row>
    <row r="433" ht="15" customHeight="1" s="37">
      <c r="A433" s="42" t="inlineStr">
        <is>
          <t>deyga mini foot spa combo</t>
        </is>
      </c>
      <c r="B433" s="42" t="inlineStr">
        <is>
          <t>Product</t>
        </is>
      </c>
      <c r="C433" s="42" t="n">
        <v>1</v>
      </c>
      <c r="D433" s="42" t="n">
        <v>5</v>
      </c>
      <c r="E433" s="42" t="n">
        <v>1</v>
      </c>
      <c r="F433" s="42" t="inlineStr">
        <is>
          <t>VD-140</t>
        </is>
      </c>
      <c r="G433" s="55">
        <f>IFERROR(INDEX('Semrush Data'!$A$1:$Z$20000,MATCH(A433,'Semrush Data'!$A$1:$A$20000,0),MATCH("Volume",'Semrush Data'!$A$1:$Z$1,0)),"")</f>
        <v/>
      </c>
      <c r="H433" s="42">
        <f>IFERROR(INDEX('Semrush Data'!$A$1:$Z$20000,MATCH(A433,'Semrush Data'!$A$1:$A$20000,0),MATCH("Keyword Difficulty*",'Semrush Data'!$A$1:$Z$1,0)),"")</f>
        <v/>
      </c>
      <c r="I433" s="56">
        <f>IFERROR(INDEX('Semrush Data'!$A$1:$Z$20000,MATCH(A433,'Semrush Data'!$A$1:$A$20000,0),MATCH("CPC*",'Semrush Data'!$A$1:$Z$1,0)),"")</f>
        <v/>
      </c>
      <c r="J433" s="42">
        <f>IFERROR(INDEX('Semrush Data'!$A$1:$Z$20000,MATCH(A433,'Semrush Data'!$A$1:$A$20000,0),MATCH("Intent",'Semrush Data'!$A$1:$Z$1,0)),"")</f>
        <v/>
      </c>
    </row>
    <row r="434" ht="15" customHeight="1" s="37">
      <c r="A434" s="42" t="inlineStr">
        <is>
          <t>deyga mint lip scrub</t>
        </is>
      </c>
      <c r="B434" s="42" t="inlineStr">
        <is>
          <t>Product</t>
        </is>
      </c>
      <c r="C434" s="42" t="n">
        <v>1</v>
      </c>
      <c r="D434" s="42" t="n">
        <v>5</v>
      </c>
      <c r="E434" s="42" t="n">
        <v>1</v>
      </c>
      <c r="F434" s="42" t="inlineStr">
        <is>
          <t>VD-111</t>
        </is>
      </c>
      <c r="G434" s="55">
        <f>IFERROR(INDEX('Semrush Data'!$A$1:$Z$20000,MATCH(A434,'Semrush Data'!$A$1:$A$20000,0),MATCH("Volume",'Semrush Data'!$A$1:$Z$1,0)),"")</f>
        <v/>
      </c>
      <c r="H434" s="42">
        <f>IFERROR(INDEX('Semrush Data'!$A$1:$Z$20000,MATCH(A434,'Semrush Data'!$A$1:$A$20000,0),MATCH("Keyword Difficulty*",'Semrush Data'!$A$1:$Z$1,0)),"")</f>
        <v/>
      </c>
      <c r="I434" s="56">
        <f>IFERROR(INDEX('Semrush Data'!$A$1:$Z$20000,MATCH(A434,'Semrush Data'!$A$1:$A$20000,0),MATCH("CPC*",'Semrush Data'!$A$1:$Z$1,0)),"")</f>
        <v/>
      </c>
      <c r="J434" s="42">
        <f>IFERROR(INDEX('Semrush Data'!$A$1:$Z$20000,MATCH(A434,'Semrush Data'!$A$1:$A$20000,0),MATCH("Intent",'Semrush Data'!$A$1:$Z$1,0)),"")</f>
        <v/>
      </c>
    </row>
    <row r="435" ht="15" customHeight="1" s="37">
      <c r="A435" s="42" t="inlineStr">
        <is>
          <t>deyga natural hair care kit</t>
        </is>
      </c>
      <c r="B435" s="42" t="inlineStr">
        <is>
          <t>Product</t>
        </is>
      </c>
      <c r="C435" s="42" t="n">
        <v>1</v>
      </c>
      <c r="D435" s="42" t="n">
        <v>5</v>
      </c>
      <c r="E435" s="42" t="n">
        <v>1</v>
      </c>
      <c r="F435" s="42" t="inlineStr">
        <is>
          <t>VD-154</t>
        </is>
      </c>
      <c r="G435" s="55">
        <f>IFERROR(INDEX('Semrush Data'!$A$1:$Z$20000,MATCH(A435,'Semrush Data'!$A$1:$A$20000,0),MATCH("Volume",'Semrush Data'!$A$1:$Z$1,0)),"")</f>
        <v/>
      </c>
      <c r="H435" s="42">
        <f>IFERROR(INDEX('Semrush Data'!$A$1:$Z$20000,MATCH(A435,'Semrush Data'!$A$1:$A$20000,0),MATCH("Keyword Difficulty*",'Semrush Data'!$A$1:$Z$1,0)),"")</f>
        <v/>
      </c>
      <c r="I435" s="56">
        <f>IFERROR(INDEX('Semrush Data'!$A$1:$Z$20000,MATCH(A435,'Semrush Data'!$A$1:$A$20000,0),MATCH("CPC*",'Semrush Data'!$A$1:$Z$1,0)),"")</f>
        <v/>
      </c>
      <c r="J435" s="42">
        <f>IFERROR(INDEX('Semrush Data'!$A$1:$Z$20000,MATCH(A435,'Semrush Data'!$A$1:$A$20000,0),MATCH("Intent",'Semrush Data'!$A$1:$Z$1,0)),"")</f>
        <v/>
      </c>
    </row>
    <row r="436" ht="15" customHeight="1" s="37">
      <c r="A436" s="42" t="inlineStr">
        <is>
          <t>deyga natural lip balm</t>
        </is>
      </c>
      <c r="B436" s="42" t="inlineStr">
        <is>
          <t>Product</t>
        </is>
      </c>
      <c r="C436" s="42" t="n">
        <v>1</v>
      </c>
      <c r="D436" s="42" t="n">
        <v>5</v>
      </c>
      <c r="E436" s="42" t="n">
        <v>1</v>
      </c>
      <c r="F436" s="42" t="inlineStr">
        <is>
          <t>VD-106</t>
        </is>
      </c>
      <c r="G436" s="55">
        <f>IFERROR(INDEX('Semrush Data'!$A$1:$Z$20000,MATCH(A436,'Semrush Data'!$A$1:$A$20000,0),MATCH("Volume",'Semrush Data'!$A$1:$Z$1,0)),"")</f>
        <v/>
      </c>
      <c r="H436" s="42">
        <f>IFERROR(INDEX('Semrush Data'!$A$1:$Z$20000,MATCH(A436,'Semrush Data'!$A$1:$A$20000,0),MATCH("Keyword Difficulty*",'Semrush Data'!$A$1:$Z$1,0)),"")</f>
        <v/>
      </c>
      <c r="I436" s="56">
        <f>IFERROR(INDEX('Semrush Data'!$A$1:$Z$20000,MATCH(A436,'Semrush Data'!$A$1:$A$20000,0),MATCH("CPC*",'Semrush Data'!$A$1:$Z$1,0)),"")</f>
        <v/>
      </c>
      <c r="J436" s="42">
        <f>IFERROR(INDEX('Semrush Data'!$A$1:$Z$20000,MATCH(A436,'Semrush Data'!$A$1:$A$20000,0),MATCH("Intent",'Semrush Data'!$A$1:$Z$1,0)),"")</f>
        <v/>
      </c>
    </row>
    <row r="437" ht="15" customHeight="1" s="37">
      <c r="A437" s="42" t="inlineStr">
        <is>
          <t>deyga natural loose setting powder</t>
        </is>
      </c>
      <c r="B437" s="42" t="inlineStr">
        <is>
          <t>Product</t>
        </is>
      </c>
      <c r="C437" s="42" t="n">
        <v>1</v>
      </c>
      <c r="D437" s="42" t="n">
        <v>5</v>
      </c>
      <c r="E437" s="42" t="n">
        <v>1</v>
      </c>
      <c r="F437" s="42" t="inlineStr">
        <is>
          <t>VD-135</t>
        </is>
      </c>
      <c r="G437" s="55">
        <f>IFERROR(INDEX('Semrush Data'!$A$1:$Z$20000,MATCH(A437,'Semrush Data'!$A$1:$A$20000,0),MATCH("Volume",'Semrush Data'!$A$1:$Z$1,0)),"")</f>
        <v/>
      </c>
      <c r="H437" s="42">
        <f>IFERROR(INDEX('Semrush Data'!$A$1:$Z$20000,MATCH(A437,'Semrush Data'!$A$1:$A$20000,0),MATCH("Keyword Difficulty*",'Semrush Data'!$A$1:$Z$1,0)),"")</f>
        <v/>
      </c>
      <c r="I437" s="56">
        <f>IFERROR(INDEX('Semrush Data'!$A$1:$Z$20000,MATCH(A437,'Semrush Data'!$A$1:$A$20000,0),MATCH("CPC*",'Semrush Data'!$A$1:$Z$1,0)),"")</f>
        <v/>
      </c>
      <c r="J437" s="42">
        <f>IFERROR(INDEX('Semrush Data'!$A$1:$Z$20000,MATCH(A437,'Semrush Data'!$A$1:$A$20000,0),MATCH("Intent",'Semrush Data'!$A$1:$Z$1,0)),"")</f>
        <v/>
      </c>
    </row>
    <row r="438" ht="15" customHeight="1" s="37">
      <c r="A438" s="42" t="inlineStr">
        <is>
          <t>deyga neem &amp; turmeric bath bar</t>
        </is>
      </c>
      <c r="B438" s="42" t="inlineStr">
        <is>
          <t>Product</t>
        </is>
      </c>
      <c r="C438" s="42" t="n">
        <v>1</v>
      </c>
      <c r="D438" s="42" t="n">
        <v>5</v>
      </c>
      <c r="E438" s="42" t="n">
        <v>1</v>
      </c>
      <c r="F438" s="42" t="inlineStr">
        <is>
          <t>VD-110</t>
        </is>
      </c>
      <c r="G438" s="55">
        <f>IFERROR(INDEX('Semrush Data'!$A$1:$Z$20000,MATCH(A438,'Semrush Data'!$A$1:$A$20000,0),MATCH("Volume",'Semrush Data'!$A$1:$Z$1,0)),"")</f>
        <v/>
      </c>
      <c r="H438" s="42">
        <f>IFERROR(INDEX('Semrush Data'!$A$1:$Z$20000,MATCH(A438,'Semrush Data'!$A$1:$A$20000,0),MATCH("Keyword Difficulty*",'Semrush Data'!$A$1:$Z$1,0)),"")</f>
        <v/>
      </c>
      <c r="I438" s="56">
        <f>IFERROR(INDEX('Semrush Data'!$A$1:$Z$20000,MATCH(A438,'Semrush Data'!$A$1:$A$20000,0),MATCH("CPC*",'Semrush Data'!$A$1:$Z$1,0)),"")</f>
        <v/>
      </c>
      <c r="J438" s="42">
        <f>IFERROR(INDEX('Semrush Data'!$A$1:$Z$20000,MATCH(A438,'Semrush Data'!$A$1:$A$20000,0),MATCH("Intent",'Semrush Data'!$A$1:$Z$1,0)),"")</f>
        <v/>
      </c>
    </row>
    <row r="439" ht="15" customHeight="1" s="37">
      <c r="A439" s="42" t="inlineStr">
        <is>
          <t>deyga neem seed oil</t>
        </is>
      </c>
      <c r="B439" s="42" t="inlineStr">
        <is>
          <t>Product</t>
        </is>
      </c>
      <c r="C439" s="42" t="n">
        <v>1</v>
      </c>
      <c r="D439" s="42" t="n">
        <v>5</v>
      </c>
      <c r="E439" s="42" t="n">
        <v>1</v>
      </c>
      <c r="F439" s="42" t="inlineStr">
        <is>
          <t>VD-097</t>
        </is>
      </c>
      <c r="G439" s="55">
        <f>IFERROR(INDEX('Semrush Data'!$A$1:$Z$20000,MATCH(A439,'Semrush Data'!$A$1:$A$20000,0),MATCH("Volume",'Semrush Data'!$A$1:$Z$1,0)),"")</f>
        <v/>
      </c>
      <c r="H439" s="42">
        <f>IFERROR(INDEX('Semrush Data'!$A$1:$Z$20000,MATCH(A439,'Semrush Data'!$A$1:$A$20000,0),MATCH("Keyword Difficulty*",'Semrush Data'!$A$1:$Z$1,0)),"")</f>
        <v/>
      </c>
      <c r="I439" s="56">
        <f>IFERROR(INDEX('Semrush Data'!$A$1:$Z$20000,MATCH(A439,'Semrush Data'!$A$1:$A$20000,0),MATCH("CPC*",'Semrush Data'!$A$1:$Z$1,0)),"")</f>
        <v/>
      </c>
      <c r="J439" s="42">
        <f>IFERROR(INDEX('Semrush Data'!$A$1:$Z$20000,MATCH(A439,'Semrush Data'!$A$1:$A$20000,0),MATCH("Intent",'Semrush Data'!$A$1:$Z$1,0)),"")</f>
        <v/>
      </c>
    </row>
    <row r="440" ht="15" customHeight="1" s="37">
      <c r="A440" s="42" t="inlineStr">
        <is>
          <t>deyga nourished lip care kit</t>
        </is>
      </c>
      <c r="B440" s="42" t="inlineStr">
        <is>
          <t>Product</t>
        </is>
      </c>
      <c r="C440" s="42" t="n">
        <v>1</v>
      </c>
      <c r="D440" s="42" t="n">
        <v>5</v>
      </c>
      <c r="E440" s="42" t="n">
        <v>1</v>
      </c>
      <c r="F440" s="42" t="inlineStr">
        <is>
          <t>VD-153</t>
        </is>
      </c>
      <c r="G440" s="55">
        <f>IFERROR(INDEX('Semrush Data'!$A$1:$Z$20000,MATCH(A440,'Semrush Data'!$A$1:$A$20000,0),MATCH("Volume",'Semrush Data'!$A$1:$Z$1,0)),"")</f>
        <v/>
      </c>
      <c r="H440" s="42">
        <f>IFERROR(INDEX('Semrush Data'!$A$1:$Z$20000,MATCH(A440,'Semrush Data'!$A$1:$A$20000,0),MATCH("Keyword Difficulty*",'Semrush Data'!$A$1:$Z$1,0)),"")</f>
        <v/>
      </c>
      <c r="I440" s="56">
        <f>IFERROR(INDEX('Semrush Data'!$A$1:$Z$20000,MATCH(A440,'Semrush Data'!$A$1:$A$20000,0),MATCH("CPC*",'Semrush Data'!$A$1:$Z$1,0)),"")</f>
        <v/>
      </c>
      <c r="J440" s="42">
        <f>IFERROR(INDEX('Semrush Data'!$A$1:$Z$20000,MATCH(A440,'Semrush Data'!$A$1:$A$20000,0),MATCH("Intent",'Semrush Data'!$A$1:$Z$1,0)),"")</f>
        <v/>
      </c>
    </row>
    <row r="441" ht="15" customHeight="1" s="37">
      <c r="A441" s="42" t="inlineStr">
        <is>
          <t>deyga nourished lips stick kit</t>
        </is>
      </c>
      <c r="B441" s="42" t="inlineStr">
        <is>
          <t>Product</t>
        </is>
      </c>
      <c r="C441" s="42" t="n">
        <v>1</v>
      </c>
      <c r="D441" s="42" t="n">
        <v>5</v>
      </c>
      <c r="E441" s="42" t="n">
        <v>1</v>
      </c>
      <c r="F441" s="42" t="inlineStr">
        <is>
          <t>VD-156</t>
        </is>
      </c>
      <c r="G441" s="55">
        <f>IFERROR(INDEX('Semrush Data'!$A$1:$Z$20000,MATCH(A441,'Semrush Data'!$A$1:$A$20000,0),MATCH("Volume",'Semrush Data'!$A$1:$Z$1,0)),"")</f>
        <v/>
      </c>
      <c r="H441" s="42">
        <f>IFERROR(INDEX('Semrush Data'!$A$1:$Z$20000,MATCH(A441,'Semrush Data'!$A$1:$A$20000,0),MATCH("Keyword Difficulty*",'Semrush Data'!$A$1:$Z$1,0)),"")</f>
        <v/>
      </c>
      <c r="I441" s="56">
        <f>IFERROR(INDEX('Semrush Data'!$A$1:$Z$20000,MATCH(A441,'Semrush Data'!$A$1:$A$20000,0),MATCH("CPC*",'Semrush Data'!$A$1:$Z$1,0)),"")</f>
        <v/>
      </c>
      <c r="J441" s="42">
        <f>IFERROR(INDEX('Semrush Data'!$A$1:$Z$20000,MATCH(A441,'Semrush Data'!$A$1:$A$20000,0),MATCH("Intent",'Semrush Data'!$A$1:$Z$1,0)),"")</f>
        <v/>
      </c>
    </row>
    <row r="442" ht="15" customHeight="1" s="37">
      <c r="A442" s="42" t="inlineStr">
        <is>
          <t>deyga oat milk face wash</t>
        </is>
      </c>
      <c r="B442" s="42" t="inlineStr">
        <is>
          <t>Product</t>
        </is>
      </c>
      <c r="C442" s="42" t="n">
        <v>1</v>
      </c>
      <c r="D442" s="42" t="n">
        <v>5</v>
      </c>
      <c r="E442" s="42" t="n">
        <v>1</v>
      </c>
      <c r="F442" s="42" t="inlineStr">
        <is>
          <t>VD-113</t>
        </is>
      </c>
      <c r="G442" s="55">
        <f>IFERROR(INDEX('Semrush Data'!$A$1:$Z$20000,MATCH(A442,'Semrush Data'!$A$1:$A$20000,0),MATCH("Volume",'Semrush Data'!$A$1:$Z$1,0)),"")</f>
        <v/>
      </c>
      <c r="H442" s="42">
        <f>IFERROR(INDEX('Semrush Data'!$A$1:$Z$20000,MATCH(A442,'Semrush Data'!$A$1:$A$20000,0),MATCH("Keyword Difficulty*",'Semrush Data'!$A$1:$Z$1,0)),"")</f>
        <v/>
      </c>
      <c r="I442" s="56">
        <f>IFERROR(INDEX('Semrush Data'!$A$1:$Z$20000,MATCH(A442,'Semrush Data'!$A$1:$A$20000,0),MATCH("CPC*",'Semrush Data'!$A$1:$Z$1,0)),"")</f>
        <v/>
      </c>
      <c r="J442" s="42">
        <f>IFERROR(INDEX('Semrush Data'!$A$1:$Z$20000,MATCH(A442,'Semrush Data'!$A$1:$A$20000,0),MATCH("Intent",'Semrush Data'!$A$1:$Z$1,0)),"")</f>
        <v/>
      </c>
    </row>
    <row r="443" ht="15" customHeight="1" s="37">
      <c r="A443" s="42" t="inlineStr">
        <is>
          <t>deyga orange &amp; almond face pack powder</t>
        </is>
      </c>
      <c r="B443" s="42" t="inlineStr">
        <is>
          <t>Product</t>
        </is>
      </c>
      <c r="C443" s="42" t="n">
        <v>1</v>
      </c>
      <c r="D443" s="42" t="n">
        <v>5</v>
      </c>
      <c r="E443" s="42" t="n">
        <v>1</v>
      </c>
      <c r="F443" s="42" t="inlineStr">
        <is>
          <t>VD-088</t>
        </is>
      </c>
      <c r="G443" s="55">
        <f>IFERROR(INDEX('Semrush Data'!$A$1:$Z$20000,MATCH(A443,'Semrush Data'!$A$1:$A$20000,0),MATCH("Volume",'Semrush Data'!$A$1:$Z$1,0)),"")</f>
        <v/>
      </c>
      <c r="H443" s="42">
        <f>IFERROR(INDEX('Semrush Data'!$A$1:$Z$20000,MATCH(A443,'Semrush Data'!$A$1:$A$20000,0),MATCH("Keyword Difficulty*",'Semrush Data'!$A$1:$Z$1,0)),"")</f>
        <v/>
      </c>
      <c r="I443" s="56">
        <f>IFERROR(INDEX('Semrush Data'!$A$1:$Z$20000,MATCH(A443,'Semrush Data'!$A$1:$A$20000,0),MATCH("CPC*",'Semrush Data'!$A$1:$Z$1,0)),"")</f>
        <v/>
      </c>
      <c r="J443" s="42">
        <f>IFERROR(INDEX('Semrush Data'!$A$1:$Z$20000,MATCH(A443,'Semrush Data'!$A$1:$A$20000,0),MATCH("Intent",'Semrush Data'!$A$1:$Z$1,0)),"")</f>
        <v/>
      </c>
    </row>
    <row r="444" ht="15" customHeight="1" s="37">
      <c r="A444" s="42" t="inlineStr">
        <is>
          <t>deyga organic loofah for body exfoliation</t>
        </is>
      </c>
      <c r="B444" s="42" t="inlineStr">
        <is>
          <t>Product</t>
        </is>
      </c>
      <c r="C444" s="42" t="n">
        <v>1</v>
      </c>
      <c r="D444" s="42" t="n">
        <v>5</v>
      </c>
      <c r="E444" s="42" t="n">
        <v>1</v>
      </c>
      <c r="F444" s="42" t="inlineStr">
        <is>
          <t>VD-102</t>
        </is>
      </c>
      <c r="G444" s="55">
        <f>IFERROR(INDEX('Semrush Data'!$A$1:$Z$20000,MATCH(A444,'Semrush Data'!$A$1:$A$20000,0),MATCH("Volume",'Semrush Data'!$A$1:$Z$1,0)),"")</f>
        <v/>
      </c>
      <c r="H444" s="42">
        <f>IFERROR(INDEX('Semrush Data'!$A$1:$Z$20000,MATCH(A444,'Semrush Data'!$A$1:$A$20000,0),MATCH("Keyword Difficulty*",'Semrush Data'!$A$1:$Z$1,0)),"")</f>
        <v/>
      </c>
      <c r="I444" s="56">
        <f>IFERROR(INDEX('Semrush Data'!$A$1:$Z$20000,MATCH(A444,'Semrush Data'!$A$1:$A$20000,0),MATCH("CPC*",'Semrush Data'!$A$1:$Z$1,0)),"")</f>
        <v/>
      </c>
      <c r="J444" s="42">
        <f>IFERROR(INDEX('Semrush Data'!$A$1:$Z$20000,MATCH(A444,'Semrush Data'!$A$1:$A$20000,0),MATCH("Intent",'Semrush Data'!$A$1:$Z$1,0)),"")</f>
        <v/>
      </c>
    </row>
    <row r="445" ht="15" customHeight="1" s="37">
      <c r="A445" s="42" t="inlineStr">
        <is>
          <t>deyga plant based hair color – black</t>
        </is>
      </c>
      <c r="B445" s="42" t="inlineStr">
        <is>
          <t>Product</t>
        </is>
      </c>
      <c r="C445" s="42" t="n">
        <v>1</v>
      </c>
      <c r="D445" s="42" t="n">
        <v>5</v>
      </c>
      <c r="E445" s="42" t="n">
        <v>1</v>
      </c>
      <c r="F445" s="42" t="inlineStr">
        <is>
          <t>VD-125</t>
        </is>
      </c>
      <c r="G445" s="55">
        <f>IFERROR(INDEX('Semrush Data'!$A$1:$Z$20000,MATCH(A445,'Semrush Data'!$A$1:$A$20000,0),MATCH("Volume",'Semrush Data'!$A$1:$Z$1,0)),"")</f>
        <v/>
      </c>
      <c r="H445" s="42">
        <f>IFERROR(INDEX('Semrush Data'!$A$1:$Z$20000,MATCH(A445,'Semrush Data'!$A$1:$A$20000,0),MATCH("Keyword Difficulty*",'Semrush Data'!$A$1:$Z$1,0)),"")</f>
        <v/>
      </c>
      <c r="I445" s="56">
        <f>IFERROR(INDEX('Semrush Data'!$A$1:$Z$20000,MATCH(A445,'Semrush Data'!$A$1:$A$20000,0),MATCH("CPC*",'Semrush Data'!$A$1:$Z$1,0)),"")</f>
        <v/>
      </c>
      <c r="J445" s="42">
        <f>IFERROR(INDEX('Semrush Data'!$A$1:$Z$20000,MATCH(A445,'Semrush Data'!$A$1:$A$20000,0),MATCH("Intent",'Semrush Data'!$A$1:$Z$1,0)),"")</f>
        <v/>
      </c>
    </row>
    <row r="446" ht="15" customHeight="1" s="37">
      <c r="A446" s="42" t="inlineStr">
        <is>
          <t>deyga premature greying hair oil</t>
        </is>
      </c>
      <c r="B446" s="42" t="inlineStr">
        <is>
          <t>Product</t>
        </is>
      </c>
      <c r="C446" s="42" t="n">
        <v>1</v>
      </c>
      <c r="D446" s="42" t="n">
        <v>5</v>
      </c>
      <c r="E446" s="42" t="n">
        <v>1</v>
      </c>
      <c r="F446" s="42" t="inlineStr">
        <is>
          <t>VD-089</t>
        </is>
      </c>
      <c r="G446" s="55">
        <f>IFERROR(INDEX('Semrush Data'!$A$1:$Z$20000,MATCH(A446,'Semrush Data'!$A$1:$A$20000,0),MATCH("Volume",'Semrush Data'!$A$1:$Z$1,0)),"")</f>
        <v/>
      </c>
      <c r="H446" s="42">
        <f>IFERROR(INDEX('Semrush Data'!$A$1:$Z$20000,MATCH(A446,'Semrush Data'!$A$1:$A$20000,0),MATCH("Keyword Difficulty*",'Semrush Data'!$A$1:$Z$1,0)),"")</f>
        <v/>
      </c>
      <c r="I446" s="56">
        <f>IFERROR(INDEX('Semrush Data'!$A$1:$Z$20000,MATCH(A446,'Semrush Data'!$A$1:$A$20000,0),MATCH("CPC*",'Semrush Data'!$A$1:$Z$1,0)),"")</f>
        <v/>
      </c>
      <c r="J446" s="42">
        <f>IFERROR(INDEX('Semrush Data'!$A$1:$Z$20000,MATCH(A446,'Semrush Data'!$A$1:$A$20000,0),MATCH("Intent",'Semrush Data'!$A$1:$Z$1,0)),"")</f>
        <v/>
      </c>
    </row>
    <row r="447" ht="15" customHeight="1" s="37">
      <c r="A447" s="42" t="inlineStr">
        <is>
          <t>deyga pure aloe vera gel</t>
        </is>
      </c>
      <c r="B447" s="42" t="inlineStr">
        <is>
          <t>Product</t>
        </is>
      </c>
      <c r="C447" s="42" t="n">
        <v>1</v>
      </c>
      <c r="D447" s="42" t="n">
        <v>5</v>
      </c>
      <c r="E447" s="42" t="n">
        <v>1</v>
      </c>
      <c r="F447" s="42" t="inlineStr">
        <is>
          <t>VD-124</t>
        </is>
      </c>
      <c r="G447" s="55">
        <f>IFERROR(INDEX('Semrush Data'!$A$1:$Z$20000,MATCH(A447,'Semrush Data'!$A$1:$A$20000,0),MATCH("Volume",'Semrush Data'!$A$1:$Z$1,0)),"")</f>
        <v/>
      </c>
      <c r="H447" s="42">
        <f>IFERROR(INDEX('Semrush Data'!$A$1:$Z$20000,MATCH(A447,'Semrush Data'!$A$1:$A$20000,0),MATCH("Keyword Difficulty*",'Semrush Data'!$A$1:$Z$1,0)),"")</f>
        <v/>
      </c>
      <c r="I447" s="56">
        <f>IFERROR(INDEX('Semrush Data'!$A$1:$Z$20000,MATCH(A447,'Semrush Data'!$A$1:$A$20000,0),MATCH("CPC*",'Semrush Data'!$A$1:$Z$1,0)),"")</f>
        <v/>
      </c>
      <c r="J447" s="42">
        <f>IFERROR(INDEX('Semrush Data'!$A$1:$Z$20000,MATCH(A447,'Semrush Data'!$A$1:$A$20000,0),MATCH("Intent",'Semrush Data'!$A$1:$Z$1,0)),"")</f>
        <v/>
      </c>
    </row>
    <row r="448" ht="15" customHeight="1" s="37">
      <c r="A448" s="42" t="inlineStr">
        <is>
          <t>deyga pure rose water toner</t>
        </is>
      </c>
      <c r="B448" s="42" t="inlineStr">
        <is>
          <t>Product</t>
        </is>
      </c>
      <c r="C448" s="42" t="n">
        <v>1</v>
      </c>
      <c r="D448" s="42" t="n">
        <v>5</v>
      </c>
      <c r="E448" s="42" t="n">
        <v>1</v>
      </c>
      <c r="F448" s="42" t="inlineStr">
        <is>
          <t>VD-115</t>
        </is>
      </c>
      <c r="G448" s="55">
        <f>IFERROR(INDEX('Semrush Data'!$A$1:$Z$20000,MATCH(A448,'Semrush Data'!$A$1:$A$20000,0),MATCH("Volume",'Semrush Data'!$A$1:$Z$1,0)),"")</f>
        <v/>
      </c>
      <c r="H448" s="42">
        <f>IFERROR(INDEX('Semrush Data'!$A$1:$Z$20000,MATCH(A448,'Semrush Data'!$A$1:$A$20000,0),MATCH("Keyword Difficulty*",'Semrush Data'!$A$1:$Z$1,0)),"")</f>
        <v/>
      </c>
      <c r="I448" s="56">
        <f>IFERROR(INDEX('Semrush Data'!$A$1:$Z$20000,MATCH(A448,'Semrush Data'!$A$1:$A$20000,0),MATCH("CPC*",'Semrush Data'!$A$1:$Z$1,0)),"")</f>
        <v/>
      </c>
      <c r="J448" s="42">
        <f>IFERROR(INDEX('Semrush Data'!$A$1:$Z$20000,MATCH(A448,'Semrush Data'!$A$1:$A$20000,0),MATCH("Intent",'Semrush Data'!$A$1:$Z$1,0)),"")</f>
        <v/>
      </c>
    </row>
    <row r="449" ht="15" customHeight="1" s="37">
      <c r="A449" s="42" t="inlineStr">
        <is>
          <t>deyga rice water shampoo</t>
        </is>
      </c>
      <c r="B449" s="42" t="inlineStr">
        <is>
          <t>Product</t>
        </is>
      </c>
      <c r="C449" s="42" t="n">
        <v>1</v>
      </c>
      <c r="D449" s="42" t="n">
        <v>5</v>
      </c>
      <c r="E449" s="42" t="n">
        <v>1</v>
      </c>
      <c r="F449" s="42" t="inlineStr">
        <is>
          <t>VD-126</t>
        </is>
      </c>
      <c r="G449" s="55">
        <f>IFERROR(INDEX('Semrush Data'!$A$1:$Z$20000,MATCH(A449,'Semrush Data'!$A$1:$A$20000,0),MATCH("Volume",'Semrush Data'!$A$1:$Z$1,0)),"")</f>
        <v/>
      </c>
      <c r="H449" s="42">
        <f>IFERROR(INDEX('Semrush Data'!$A$1:$Z$20000,MATCH(A449,'Semrush Data'!$A$1:$A$20000,0),MATCH("Keyword Difficulty*",'Semrush Data'!$A$1:$Z$1,0)),"")</f>
        <v/>
      </c>
      <c r="I449" s="56">
        <f>IFERROR(INDEX('Semrush Data'!$A$1:$Z$20000,MATCH(A449,'Semrush Data'!$A$1:$A$20000,0),MATCH("CPC*",'Semrush Data'!$A$1:$Z$1,0)),"")</f>
        <v/>
      </c>
      <c r="J449" s="42">
        <f>IFERROR(INDEX('Semrush Data'!$A$1:$Z$20000,MATCH(A449,'Semrush Data'!$A$1:$A$20000,0),MATCH("Intent",'Semrush Data'!$A$1:$Z$1,0)),"")</f>
        <v/>
      </c>
    </row>
    <row r="450" ht="15" customHeight="1" s="37">
      <c r="A450" s="42" t="inlineStr">
        <is>
          <t>deyga rose &amp; geranium body butter</t>
        </is>
      </c>
      <c r="B450" s="42" t="inlineStr">
        <is>
          <t>Product</t>
        </is>
      </c>
      <c r="C450" s="42" t="n">
        <v>1</v>
      </c>
      <c r="D450" s="42" t="n">
        <v>5</v>
      </c>
      <c r="E450" s="42" t="n">
        <v>1</v>
      </c>
      <c r="F450" s="42" t="inlineStr">
        <is>
          <t>VD-091</t>
        </is>
      </c>
      <c r="G450" s="55">
        <f>IFERROR(INDEX('Semrush Data'!$A$1:$Z$20000,MATCH(A450,'Semrush Data'!$A$1:$A$20000,0),MATCH("Volume",'Semrush Data'!$A$1:$Z$1,0)),"")</f>
        <v/>
      </c>
      <c r="H450" s="42">
        <f>IFERROR(INDEX('Semrush Data'!$A$1:$Z$20000,MATCH(A450,'Semrush Data'!$A$1:$A$20000,0),MATCH("Keyword Difficulty*",'Semrush Data'!$A$1:$Z$1,0)),"")</f>
        <v/>
      </c>
      <c r="I450" s="56">
        <f>IFERROR(INDEX('Semrush Data'!$A$1:$Z$20000,MATCH(A450,'Semrush Data'!$A$1:$A$20000,0),MATCH("CPC*",'Semrush Data'!$A$1:$Z$1,0)),"")</f>
        <v/>
      </c>
      <c r="J450" s="42">
        <f>IFERROR(INDEX('Semrush Data'!$A$1:$Z$20000,MATCH(A450,'Semrush Data'!$A$1:$A$20000,0),MATCH("Intent",'Semrush Data'!$A$1:$Z$1,0)),"")</f>
        <v/>
      </c>
    </row>
    <row r="451" ht="15" customHeight="1" s="37">
      <c r="A451" s="42" t="inlineStr">
        <is>
          <t>deyga rose &amp; mulethi skin brightening pack</t>
        </is>
      </c>
      <c r="B451" s="42" t="inlineStr">
        <is>
          <t>Product</t>
        </is>
      </c>
      <c r="C451" s="42" t="n">
        <v>1</v>
      </c>
      <c r="D451" s="42" t="n">
        <v>5</v>
      </c>
      <c r="E451" s="42" t="n">
        <v>2</v>
      </c>
      <c r="F451" s="42" t="inlineStr">
        <is>
          <t>VD-116, VD-119</t>
        </is>
      </c>
      <c r="G451" s="55">
        <f>IFERROR(INDEX('Semrush Data'!$A$1:$Z$20000,MATCH(A451,'Semrush Data'!$A$1:$A$20000,0),MATCH("Volume",'Semrush Data'!$A$1:$Z$1,0)),"")</f>
        <v/>
      </c>
      <c r="H451" s="42">
        <f>IFERROR(INDEX('Semrush Data'!$A$1:$Z$20000,MATCH(A451,'Semrush Data'!$A$1:$A$20000,0),MATCH("Keyword Difficulty*",'Semrush Data'!$A$1:$Z$1,0)),"")</f>
        <v/>
      </c>
      <c r="I451" s="56">
        <f>IFERROR(INDEX('Semrush Data'!$A$1:$Z$20000,MATCH(A451,'Semrush Data'!$A$1:$A$20000,0),MATCH("CPC*",'Semrush Data'!$A$1:$Z$1,0)),"")</f>
        <v/>
      </c>
      <c r="J451" s="42">
        <f>IFERROR(INDEX('Semrush Data'!$A$1:$Z$20000,MATCH(A451,'Semrush Data'!$A$1:$A$20000,0),MATCH("Intent",'Semrush Data'!$A$1:$Z$1,0)),"")</f>
        <v/>
      </c>
    </row>
    <row r="452" ht="15" customHeight="1" s="37">
      <c r="A452" s="42" t="inlineStr">
        <is>
          <t>deyga rose glow serum</t>
        </is>
      </c>
      <c r="B452" s="42" t="inlineStr">
        <is>
          <t>Product</t>
        </is>
      </c>
      <c r="C452" s="42" t="n">
        <v>1</v>
      </c>
      <c r="D452" s="42" t="n">
        <v>5</v>
      </c>
      <c r="E452" s="42" t="n">
        <v>1</v>
      </c>
      <c r="F452" s="42" t="inlineStr">
        <is>
          <t>VD-092</t>
        </is>
      </c>
      <c r="G452" s="55">
        <f>IFERROR(INDEX('Semrush Data'!$A$1:$Z$20000,MATCH(A452,'Semrush Data'!$A$1:$A$20000,0),MATCH("Volume",'Semrush Data'!$A$1:$Z$1,0)),"")</f>
        <v/>
      </c>
      <c r="H452" s="42">
        <f>IFERROR(INDEX('Semrush Data'!$A$1:$Z$20000,MATCH(A452,'Semrush Data'!$A$1:$A$20000,0),MATCH("Keyword Difficulty*",'Semrush Data'!$A$1:$Z$1,0)),"")</f>
        <v/>
      </c>
      <c r="I452" s="56">
        <f>IFERROR(INDEX('Semrush Data'!$A$1:$Z$20000,MATCH(A452,'Semrush Data'!$A$1:$A$20000,0),MATCH("CPC*",'Semrush Data'!$A$1:$Z$1,0)),"")</f>
        <v/>
      </c>
      <c r="J452" s="42">
        <f>IFERROR(INDEX('Semrush Data'!$A$1:$Z$20000,MATCH(A452,'Semrush Data'!$A$1:$A$20000,0),MATCH("Intent",'Semrush Data'!$A$1:$Z$1,0)),"")</f>
        <v/>
      </c>
    </row>
    <row r="453" ht="15" customHeight="1" s="37">
      <c r="A453" s="42" t="inlineStr">
        <is>
          <t>deyga rose pink clay bath bar</t>
        </is>
      </c>
      <c r="B453" s="42" t="inlineStr">
        <is>
          <t>Product</t>
        </is>
      </c>
      <c r="C453" s="42" t="n">
        <v>1</v>
      </c>
      <c r="D453" s="42" t="n">
        <v>5</v>
      </c>
      <c r="E453" s="42" t="n">
        <v>1</v>
      </c>
      <c r="F453" s="42" t="inlineStr">
        <is>
          <t>VD-109</t>
        </is>
      </c>
      <c r="G453" s="55">
        <f>IFERROR(INDEX('Semrush Data'!$A$1:$Z$20000,MATCH(A453,'Semrush Data'!$A$1:$A$20000,0),MATCH("Volume",'Semrush Data'!$A$1:$Z$1,0)),"")</f>
        <v/>
      </c>
      <c r="H453" s="42">
        <f>IFERROR(INDEX('Semrush Data'!$A$1:$Z$20000,MATCH(A453,'Semrush Data'!$A$1:$A$20000,0),MATCH("Keyword Difficulty*",'Semrush Data'!$A$1:$Z$1,0)),"")</f>
        <v/>
      </c>
      <c r="I453" s="56">
        <f>IFERROR(INDEX('Semrush Data'!$A$1:$Z$20000,MATCH(A453,'Semrush Data'!$A$1:$A$20000,0),MATCH("CPC*",'Semrush Data'!$A$1:$Z$1,0)),"")</f>
        <v/>
      </c>
      <c r="J453" s="42">
        <f>IFERROR(INDEX('Semrush Data'!$A$1:$Z$20000,MATCH(A453,'Semrush Data'!$A$1:$A$20000,0),MATCH("Intent",'Semrush Data'!$A$1:$Z$1,0)),"")</f>
        <v/>
      </c>
    </row>
    <row r="454" ht="15" customHeight="1" s="37">
      <c r="A454" s="42" t="inlineStr">
        <is>
          <t>deyga sensitive skin kit</t>
        </is>
      </c>
      <c r="B454" s="42" t="inlineStr">
        <is>
          <t>Product</t>
        </is>
      </c>
      <c r="C454" s="42" t="n">
        <v>1</v>
      </c>
      <c r="D454" s="42" t="n">
        <v>5</v>
      </c>
      <c r="E454" s="42" t="n">
        <v>1</v>
      </c>
      <c r="F454" s="42" t="inlineStr">
        <is>
          <t>VD-148</t>
        </is>
      </c>
      <c r="G454" s="55">
        <f>IFERROR(INDEX('Semrush Data'!$A$1:$Z$20000,MATCH(A454,'Semrush Data'!$A$1:$A$20000,0),MATCH("Volume",'Semrush Data'!$A$1:$Z$1,0)),"")</f>
        <v/>
      </c>
      <c r="H454" s="42">
        <f>IFERROR(INDEX('Semrush Data'!$A$1:$Z$20000,MATCH(A454,'Semrush Data'!$A$1:$A$20000,0),MATCH("Keyword Difficulty*",'Semrush Data'!$A$1:$Z$1,0)),"")</f>
        <v/>
      </c>
      <c r="I454" s="56">
        <f>IFERROR(INDEX('Semrush Data'!$A$1:$Z$20000,MATCH(A454,'Semrush Data'!$A$1:$A$20000,0),MATCH("CPC*",'Semrush Data'!$A$1:$Z$1,0)),"")</f>
        <v/>
      </c>
      <c r="J454" s="42">
        <f>IFERROR(INDEX('Semrush Data'!$A$1:$Z$20000,MATCH(A454,'Semrush Data'!$A$1:$A$20000,0),MATCH("Intent",'Semrush Data'!$A$1:$Z$1,0)),"")</f>
        <v/>
      </c>
    </row>
    <row r="455" ht="15" customHeight="1" s="37">
      <c r="A455" s="42" t="inlineStr">
        <is>
          <t>deyga shea saffron bath bar</t>
        </is>
      </c>
      <c r="B455" s="42" t="inlineStr">
        <is>
          <t>Product</t>
        </is>
      </c>
      <c r="C455" s="42" t="n">
        <v>1</v>
      </c>
      <c r="D455" s="42" t="n">
        <v>5</v>
      </c>
      <c r="E455" s="42" t="n">
        <v>1</v>
      </c>
      <c r="F455" s="42" t="inlineStr">
        <is>
          <t>VD-108</t>
        </is>
      </c>
      <c r="G455" s="55">
        <f>IFERROR(INDEX('Semrush Data'!$A$1:$Z$20000,MATCH(A455,'Semrush Data'!$A$1:$A$20000,0),MATCH("Volume",'Semrush Data'!$A$1:$Z$1,0)),"")</f>
        <v/>
      </c>
      <c r="H455" s="42">
        <f>IFERROR(INDEX('Semrush Data'!$A$1:$Z$20000,MATCH(A455,'Semrush Data'!$A$1:$A$20000,0),MATCH("Keyword Difficulty*",'Semrush Data'!$A$1:$Z$1,0)),"")</f>
        <v/>
      </c>
      <c r="I455" s="56">
        <f>IFERROR(INDEX('Semrush Data'!$A$1:$Z$20000,MATCH(A455,'Semrush Data'!$A$1:$A$20000,0),MATCH("CPC*",'Semrush Data'!$A$1:$Z$1,0)),"")</f>
        <v/>
      </c>
      <c r="J455" s="42">
        <f>IFERROR(INDEX('Semrush Data'!$A$1:$Z$20000,MATCH(A455,'Semrush Data'!$A$1:$A$20000,0),MATCH("Intent",'Semrush Data'!$A$1:$Z$1,0)),"")</f>
        <v/>
      </c>
    </row>
    <row r="456" ht="15" customHeight="1" s="37">
      <c r="A456" s="42" t="inlineStr">
        <is>
          <t>deyga soft lip combo</t>
        </is>
      </c>
      <c r="B456" s="42" t="inlineStr">
        <is>
          <t>Product</t>
        </is>
      </c>
      <c r="C456" s="42" t="n">
        <v>1</v>
      </c>
      <c r="D456" s="42" t="n">
        <v>5</v>
      </c>
      <c r="E456" s="42" t="n">
        <v>1</v>
      </c>
      <c r="F456" s="42" t="inlineStr">
        <is>
          <t>VD-136</t>
        </is>
      </c>
      <c r="G456" s="55">
        <f>IFERROR(INDEX('Semrush Data'!$A$1:$Z$20000,MATCH(A456,'Semrush Data'!$A$1:$A$20000,0),MATCH("Volume",'Semrush Data'!$A$1:$Z$1,0)),"")</f>
        <v/>
      </c>
      <c r="H456" s="42">
        <f>IFERROR(INDEX('Semrush Data'!$A$1:$Z$20000,MATCH(A456,'Semrush Data'!$A$1:$A$20000,0),MATCH("Keyword Difficulty*",'Semrush Data'!$A$1:$Z$1,0)),"")</f>
        <v/>
      </c>
      <c r="I456" s="56">
        <f>IFERROR(INDEX('Semrush Data'!$A$1:$Z$20000,MATCH(A456,'Semrush Data'!$A$1:$A$20000,0),MATCH("CPC*",'Semrush Data'!$A$1:$Z$1,0)),"")</f>
        <v/>
      </c>
      <c r="J456" s="42">
        <f>IFERROR(INDEX('Semrush Data'!$A$1:$Z$20000,MATCH(A456,'Semrush Data'!$A$1:$A$20000,0),MATCH("Intent",'Semrush Data'!$A$1:$Z$1,0)),"")</f>
        <v/>
      </c>
    </row>
    <row r="457" ht="15" customHeight="1" s="37">
      <c r="A457" s="42" t="inlineStr">
        <is>
          <t>deyga soy milk conditioner</t>
        </is>
      </c>
      <c r="B457" s="42" t="inlineStr">
        <is>
          <t>Product</t>
        </is>
      </c>
      <c r="C457" s="42" t="n">
        <v>1</v>
      </c>
      <c r="D457" s="42" t="n">
        <v>5</v>
      </c>
      <c r="E457" s="42" t="n">
        <v>1</v>
      </c>
      <c r="F457" s="42" t="inlineStr">
        <is>
          <t>VD-127</t>
        </is>
      </c>
      <c r="G457" s="55">
        <f>IFERROR(INDEX('Semrush Data'!$A$1:$Z$20000,MATCH(A457,'Semrush Data'!$A$1:$A$20000,0),MATCH("Volume",'Semrush Data'!$A$1:$Z$1,0)),"")</f>
        <v/>
      </c>
      <c r="H457" s="42">
        <f>IFERROR(INDEX('Semrush Data'!$A$1:$Z$20000,MATCH(A457,'Semrush Data'!$A$1:$A$20000,0),MATCH("Keyword Difficulty*",'Semrush Data'!$A$1:$Z$1,0)),"")</f>
        <v/>
      </c>
      <c r="I457" s="56">
        <f>IFERROR(INDEX('Semrush Data'!$A$1:$Z$20000,MATCH(A457,'Semrush Data'!$A$1:$A$20000,0),MATCH("CPC*",'Semrush Data'!$A$1:$Z$1,0)),"")</f>
        <v/>
      </c>
      <c r="J457" s="42">
        <f>IFERROR(INDEX('Semrush Data'!$A$1:$Z$20000,MATCH(A457,'Semrush Data'!$A$1:$A$20000,0),MATCH("Intent",'Semrush Data'!$A$1:$Z$1,0)),"")</f>
        <v/>
      </c>
    </row>
    <row r="458" ht="15" customHeight="1" s="37">
      <c r="A458" s="42" t="inlineStr">
        <is>
          <t>deyga spinach &amp; cucumber bath bar</t>
        </is>
      </c>
      <c r="B458" s="42" t="inlineStr">
        <is>
          <t>Product</t>
        </is>
      </c>
      <c r="C458" s="42" t="n">
        <v>1</v>
      </c>
      <c r="D458" s="42" t="n">
        <v>5</v>
      </c>
      <c r="E458" s="42" t="n">
        <v>1</v>
      </c>
      <c r="F458" s="42" t="inlineStr">
        <is>
          <t>VD-107</t>
        </is>
      </c>
      <c r="G458" s="55">
        <f>IFERROR(INDEX('Semrush Data'!$A$1:$Z$20000,MATCH(A458,'Semrush Data'!$A$1:$A$20000,0),MATCH("Volume",'Semrush Data'!$A$1:$Z$1,0)),"")</f>
        <v/>
      </c>
      <c r="H458" s="42">
        <f>IFERROR(INDEX('Semrush Data'!$A$1:$Z$20000,MATCH(A458,'Semrush Data'!$A$1:$A$20000,0),MATCH("Keyword Difficulty*",'Semrush Data'!$A$1:$Z$1,0)),"")</f>
        <v/>
      </c>
      <c r="I458" s="56">
        <f>IFERROR(INDEX('Semrush Data'!$A$1:$Z$20000,MATCH(A458,'Semrush Data'!$A$1:$A$20000,0),MATCH("CPC*",'Semrush Data'!$A$1:$Z$1,0)),"")</f>
        <v/>
      </c>
      <c r="J458" s="42">
        <f>IFERROR(INDEX('Semrush Data'!$A$1:$Z$20000,MATCH(A458,'Semrush Data'!$A$1:$A$20000,0),MATCH("Intent",'Semrush Data'!$A$1:$Z$1,0)),"")</f>
        <v/>
      </c>
    </row>
    <row r="459" ht="15" customHeight="1" s="37">
      <c r="A459" s="42" t="inlineStr">
        <is>
          <t>deyga spirulina matcha face pack</t>
        </is>
      </c>
      <c r="B459" s="42" t="inlineStr">
        <is>
          <t>Product</t>
        </is>
      </c>
      <c r="C459" s="42" t="n">
        <v>1</v>
      </c>
      <c r="D459" s="42" t="n">
        <v>5</v>
      </c>
      <c r="E459" s="42" t="n">
        <v>1</v>
      </c>
      <c r="F459" s="42" t="inlineStr">
        <is>
          <t>VD-099</t>
        </is>
      </c>
      <c r="G459" s="55">
        <f>IFERROR(INDEX('Semrush Data'!$A$1:$Z$20000,MATCH(A459,'Semrush Data'!$A$1:$A$20000,0),MATCH("Volume",'Semrush Data'!$A$1:$Z$1,0)),"")</f>
        <v/>
      </c>
      <c r="H459" s="42">
        <f>IFERROR(INDEX('Semrush Data'!$A$1:$Z$20000,MATCH(A459,'Semrush Data'!$A$1:$A$20000,0),MATCH("Keyword Difficulty*",'Semrush Data'!$A$1:$Z$1,0)),"")</f>
        <v/>
      </c>
      <c r="I459" s="56">
        <f>IFERROR(INDEX('Semrush Data'!$A$1:$Z$20000,MATCH(A459,'Semrush Data'!$A$1:$A$20000,0),MATCH("CPC*",'Semrush Data'!$A$1:$Z$1,0)),"")</f>
        <v/>
      </c>
      <c r="J459" s="42">
        <f>IFERROR(INDEX('Semrush Data'!$A$1:$Z$20000,MATCH(A459,'Semrush Data'!$A$1:$A$20000,0),MATCH("Intent",'Semrush Data'!$A$1:$Z$1,0)),"")</f>
        <v/>
      </c>
    </row>
    <row r="460" ht="15" customHeight="1" s="37">
      <c r="A460" s="42" t="inlineStr">
        <is>
          <t>deyga strawberry lip scrub</t>
        </is>
      </c>
      <c r="B460" s="42" t="inlineStr">
        <is>
          <t>Product</t>
        </is>
      </c>
      <c r="C460" s="42" t="n">
        <v>1</v>
      </c>
      <c r="D460" s="42" t="n">
        <v>5</v>
      </c>
      <c r="E460" s="42" t="n">
        <v>1</v>
      </c>
      <c r="F460" s="42" t="inlineStr">
        <is>
          <t>VD-131</t>
        </is>
      </c>
      <c r="G460" s="55">
        <f>IFERROR(INDEX('Semrush Data'!$A$1:$Z$20000,MATCH(A460,'Semrush Data'!$A$1:$A$20000,0),MATCH("Volume",'Semrush Data'!$A$1:$Z$1,0)),"")</f>
        <v/>
      </c>
      <c r="H460" s="42">
        <f>IFERROR(INDEX('Semrush Data'!$A$1:$Z$20000,MATCH(A460,'Semrush Data'!$A$1:$A$20000,0),MATCH("Keyword Difficulty*",'Semrush Data'!$A$1:$Z$1,0)),"")</f>
        <v/>
      </c>
      <c r="I460" s="56">
        <f>IFERROR(INDEX('Semrush Data'!$A$1:$Z$20000,MATCH(A460,'Semrush Data'!$A$1:$A$20000,0),MATCH("CPC*",'Semrush Data'!$A$1:$Z$1,0)),"")</f>
        <v/>
      </c>
      <c r="J460" s="42">
        <f>IFERROR(INDEX('Semrush Data'!$A$1:$Z$20000,MATCH(A460,'Semrush Data'!$A$1:$A$20000,0),MATCH("Intent",'Semrush Data'!$A$1:$Z$1,0)),"")</f>
        <v/>
      </c>
    </row>
    <row r="461" ht="15" customHeight="1" s="37">
      <c r="A461" s="42" t="inlineStr">
        <is>
          <t>deyga sunscreen</t>
        </is>
      </c>
      <c r="B461" s="42" t="inlineStr">
        <is>
          <t>Product</t>
        </is>
      </c>
      <c r="C461" s="42" t="n">
        <v>1</v>
      </c>
      <c r="D461" s="42" t="n">
        <v>5</v>
      </c>
      <c r="E461" s="42" t="n">
        <v>1</v>
      </c>
      <c r="F461" s="42" t="inlineStr">
        <is>
          <t>VD-105</t>
        </is>
      </c>
      <c r="G461" s="55">
        <f>IFERROR(INDEX('Semrush Data'!$A$1:$Z$20000,MATCH(A461,'Semrush Data'!$A$1:$A$20000,0),MATCH("Volume",'Semrush Data'!$A$1:$Z$1,0)),"")</f>
        <v/>
      </c>
      <c r="H461" s="42">
        <f>IFERROR(INDEX('Semrush Data'!$A$1:$Z$20000,MATCH(A461,'Semrush Data'!$A$1:$A$20000,0),MATCH("Keyword Difficulty*",'Semrush Data'!$A$1:$Z$1,0)),"")</f>
        <v/>
      </c>
      <c r="I461" s="56">
        <f>IFERROR(INDEX('Semrush Data'!$A$1:$Z$20000,MATCH(A461,'Semrush Data'!$A$1:$A$20000,0),MATCH("CPC*",'Semrush Data'!$A$1:$Z$1,0)),"")</f>
        <v/>
      </c>
      <c r="J461" s="42">
        <f>IFERROR(INDEX('Semrush Data'!$A$1:$Z$20000,MATCH(A461,'Semrush Data'!$A$1:$A$20000,0),MATCH("Intent",'Semrush Data'!$A$1:$Z$1,0)),"")</f>
        <v/>
      </c>
    </row>
    <row r="462" ht="15" customHeight="1" s="37">
      <c r="A462" s="42" t="inlineStr">
        <is>
          <t>deyga tangerine cleansing balm for makeup removal</t>
        </is>
      </c>
      <c r="B462" s="42" t="inlineStr">
        <is>
          <t>Product</t>
        </is>
      </c>
      <c r="C462" s="42" t="n">
        <v>1</v>
      </c>
      <c r="D462" s="42" t="n">
        <v>5</v>
      </c>
      <c r="E462" s="42" t="n">
        <v>1</v>
      </c>
      <c r="F462" s="42" t="inlineStr">
        <is>
          <t>VD-101</t>
        </is>
      </c>
      <c r="G462" s="55">
        <f>IFERROR(INDEX('Semrush Data'!$A$1:$Z$20000,MATCH(A462,'Semrush Data'!$A$1:$A$20000,0),MATCH("Volume",'Semrush Data'!$A$1:$Z$1,0)),"")</f>
        <v/>
      </c>
      <c r="H462" s="42">
        <f>IFERROR(INDEX('Semrush Data'!$A$1:$Z$20000,MATCH(A462,'Semrush Data'!$A$1:$A$20000,0),MATCH("Keyword Difficulty*",'Semrush Data'!$A$1:$Z$1,0)),"")</f>
        <v/>
      </c>
      <c r="I462" s="56">
        <f>IFERROR(INDEX('Semrush Data'!$A$1:$Z$20000,MATCH(A462,'Semrush Data'!$A$1:$A$20000,0),MATCH("CPC*",'Semrush Data'!$A$1:$Z$1,0)),"")</f>
        <v/>
      </c>
      <c r="J462" s="42">
        <f>IFERROR(INDEX('Semrush Data'!$A$1:$Z$20000,MATCH(A462,'Semrush Data'!$A$1:$A$20000,0),MATCH("Intent",'Semrush Data'!$A$1:$Z$1,0)),"")</f>
        <v/>
      </c>
    </row>
    <row r="463" ht="15" customHeight="1" s="37">
      <c r="A463" s="42" t="inlineStr">
        <is>
          <t>deyga tea tree facial toner</t>
        </is>
      </c>
      <c r="B463" s="42" t="inlineStr">
        <is>
          <t>Product</t>
        </is>
      </c>
      <c r="C463" s="42" t="n">
        <v>1</v>
      </c>
      <c r="D463" s="42" t="n">
        <v>5</v>
      </c>
      <c r="E463" s="42" t="n">
        <v>1</v>
      </c>
      <c r="F463" s="42" t="inlineStr">
        <is>
          <t>VD-100</t>
        </is>
      </c>
      <c r="G463" s="55">
        <f>IFERROR(INDEX('Semrush Data'!$A$1:$Z$20000,MATCH(A463,'Semrush Data'!$A$1:$A$20000,0),MATCH("Volume",'Semrush Data'!$A$1:$Z$1,0)),"")</f>
        <v/>
      </c>
      <c r="H463" s="42">
        <f>IFERROR(INDEX('Semrush Data'!$A$1:$Z$20000,MATCH(A463,'Semrush Data'!$A$1:$A$20000,0),MATCH("Keyword Difficulty*",'Semrush Data'!$A$1:$Z$1,0)),"")</f>
        <v/>
      </c>
      <c r="I463" s="56">
        <f>IFERROR(INDEX('Semrush Data'!$A$1:$Z$20000,MATCH(A463,'Semrush Data'!$A$1:$A$20000,0),MATCH("CPC*",'Semrush Data'!$A$1:$Z$1,0)),"")</f>
        <v/>
      </c>
      <c r="J463" s="42">
        <f>IFERROR(INDEX('Semrush Data'!$A$1:$Z$20000,MATCH(A463,'Semrush Data'!$A$1:$A$20000,0),MATCH("Intent",'Semrush Data'!$A$1:$Z$1,0)),"")</f>
        <v/>
      </c>
    </row>
    <row r="464" ht="15" customHeight="1" s="37">
      <c r="A464" s="42" t="inlineStr">
        <is>
          <t>deyga under eye cream</t>
        </is>
      </c>
      <c r="B464" s="42" t="inlineStr">
        <is>
          <t>Product</t>
        </is>
      </c>
      <c r="C464" s="42" t="n">
        <v>1</v>
      </c>
      <c r="D464" s="42" t="n">
        <v>5</v>
      </c>
      <c r="E464" s="42" t="n">
        <v>1</v>
      </c>
      <c r="F464" s="42" t="inlineStr">
        <is>
          <t>VD-133</t>
        </is>
      </c>
      <c r="G464" s="55">
        <f>IFERROR(INDEX('Semrush Data'!$A$1:$Z$20000,MATCH(A464,'Semrush Data'!$A$1:$A$20000,0),MATCH("Volume",'Semrush Data'!$A$1:$Z$1,0)),"")</f>
        <v/>
      </c>
      <c r="H464" s="42">
        <f>IFERROR(INDEX('Semrush Data'!$A$1:$Z$20000,MATCH(A464,'Semrush Data'!$A$1:$A$20000,0),MATCH("Keyword Difficulty*",'Semrush Data'!$A$1:$Z$1,0)),"")</f>
        <v/>
      </c>
      <c r="I464" s="56">
        <f>IFERROR(INDEX('Semrush Data'!$A$1:$Z$20000,MATCH(A464,'Semrush Data'!$A$1:$A$20000,0),MATCH("CPC*",'Semrush Data'!$A$1:$Z$1,0)),"")</f>
        <v/>
      </c>
      <c r="J464" s="42">
        <f>IFERROR(INDEX('Semrush Data'!$A$1:$Z$20000,MATCH(A464,'Semrush Data'!$A$1:$A$20000,0),MATCH("Intent",'Semrush Data'!$A$1:$Z$1,0)),"")</f>
        <v/>
      </c>
    </row>
    <row r="465" ht="15" customHeight="1" s="37">
      <c r="A465" s="42" t="inlineStr">
        <is>
          <t>deyga under eye mask</t>
        </is>
      </c>
      <c r="B465" s="42" t="inlineStr">
        <is>
          <t>Product</t>
        </is>
      </c>
      <c r="C465" s="42" t="n">
        <v>1</v>
      </c>
      <c r="D465" s="42" t="n">
        <v>5</v>
      </c>
      <c r="E465" s="42" t="n">
        <v>1</v>
      </c>
      <c r="F465" s="42" t="inlineStr">
        <is>
          <t>VD-098</t>
        </is>
      </c>
      <c r="G465" s="55">
        <f>IFERROR(INDEX('Semrush Data'!$A$1:$Z$20000,MATCH(A465,'Semrush Data'!$A$1:$A$20000,0),MATCH("Volume",'Semrush Data'!$A$1:$Z$1,0)),"")</f>
        <v/>
      </c>
      <c r="H465" s="42">
        <f>IFERROR(INDEX('Semrush Data'!$A$1:$Z$20000,MATCH(A465,'Semrush Data'!$A$1:$A$20000,0),MATCH("Keyword Difficulty*",'Semrush Data'!$A$1:$Z$1,0)),"")</f>
        <v/>
      </c>
      <c r="I465" s="56">
        <f>IFERROR(INDEX('Semrush Data'!$A$1:$Z$20000,MATCH(A465,'Semrush Data'!$A$1:$A$20000,0),MATCH("CPC*",'Semrush Data'!$A$1:$Z$1,0)),"")</f>
        <v/>
      </c>
      <c r="J465" s="42">
        <f>IFERROR(INDEX('Semrush Data'!$A$1:$Z$20000,MATCH(A465,'Semrush Data'!$A$1:$A$20000,0),MATCH("Intent",'Semrush Data'!$A$1:$Z$1,0)),"")</f>
        <v/>
      </c>
    </row>
    <row r="466" ht="15" customHeight="1" s="37">
      <c r="A466" s="42" t="inlineStr">
        <is>
          <t>deyga vitamin c daily glow combo</t>
        </is>
      </c>
      <c r="B466" s="42" t="inlineStr">
        <is>
          <t>Product</t>
        </is>
      </c>
      <c r="C466" s="42" t="n">
        <v>1</v>
      </c>
      <c r="D466" s="42" t="n">
        <v>5</v>
      </c>
      <c r="E466" s="42" t="n">
        <v>1</v>
      </c>
      <c r="F466" s="42" t="inlineStr">
        <is>
          <t>VD-137</t>
        </is>
      </c>
      <c r="G466" s="55">
        <f>IFERROR(INDEX('Semrush Data'!$A$1:$Z$20000,MATCH(A466,'Semrush Data'!$A$1:$A$20000,0),MATCH("Volume",'Semrush Data'!$A$1:$Z$1,0)),"")</f>
        <v/>
      </c>
      <c r="H466" s="42">
        <f>IFERROR(INDEX('Semrush Data'!$A$1:$Z$20000,MATCH(A466,'Semrush Data'!$A$1:$A$20000,0),MATCH("Keyword Difficulty*",'Semrush Data'!$A$1:$Z$1,0)),"")</f>
        <v/>
      </c>
      <c r="I466" s="56">
        <f>IFERROR(INDEX('Semrush Data'!$A$1:$Z$20000,MATCH(A466,'Semrush Data'!$A$1:$A$20000,0),MATCH("CPC*",'Semrush Data'!$A$1:$Z$1,0)),"")</f>
        <v/>
      </c>
      <c r="J466" s="42">
        <f>IFERROR(INDEX('Semrush Data'!$A$1:$Z$20000,MATCH(A466,'Semrush Data'!$A$1:$A$20000,0),MATCH("Intent",'Semrush Data'!$A$1:$Z$1,0)),"")</f>
        <v/>
      </c>
    </row>
    <row r="467" ht="15" customHeight="1" s="37">
      <c r="A467" s="42" t="inlineStr">
        <is>
          <t>deyga vitamin c foaming face wash</t>
        </is>
      </c>
      <c r="B467" s="42" t="inlineStr">
        <is>
          <t>Product</t>
        </is>
      </c>
      <c r="C467" s="42" t="n">
        <v>1</v>
      </c>
      <c r="D467" s="42" t="n">
        <v>5</v>
      </c>
      <c r="E467" s="42" t="n">
        <v>1</v>
      </c>
      <c r="F467" s="42" t="inlineStr">
        <is>
          <t>VD-095</t>
        </is>
      </c>
      <c r="G467" s="55">
        <f>IFERROR(INDEX('Semrush Data'!$A$1:$Z$20000,MATCH(A467,'Semrush Data'!$A$1:$A$20000,0),MATCH("Volume",'Semrush Data'!$A$1:$Z$1,0)),"")</f>
        <v/>
      </c>
      <c r="H467" s="42">
        <f>IFERROR(INDEX('Semrush Data'!$A$1:$Z$20000,MATCH(A467,'Semrush Data'!$A$1:$A$20000,0),MATCH("Keyword Difficulty*",'Semrush Data'!$A$1:$Z$1,0)),"")</f>
        <v/>
      </c>
      <c r="I467" s="56">
        <f>IFERROR(INDEX('Semrush Data'!$A$1:$Z$20000,MATCH(A467,'Semrush Data'!$A$1:$A$20000,0),MATCH("CPC*",'Semrush Data'!$A$1:$Z$1,0)),"")</f>
        <v/>
      </c>
      <c r="J467" s="42">
        <f>IFERROR(INDEX('Semrush Data'!$A$1:$Z$20000,MATCH(A467,'Semrush Data'!$A$1:$A$20000,0),MATCH("Intent",'Semrush Data'!$A$1:$Z$1,0)),"")</f>
        <v/>
      </c>
    </row>
    <row r="468" ht="15" customHeight="1" s="37">
      <c r="A468" s="42" t="inlineStr">
        <is>
          <t>deyga wild berry body wash</t>
        </is>
      </c>
      <c r="B468" s="42" t="inlineStr">
        <is>
          <t>Product</t>
        </is>
      </c>
      <c r="C468" s="42" t="n">
        <v>1</v>
      </c>
      <c r="D468" s="42" t="n">
        <v>5</v>
      </c>
      <c r="E468" s="42" t="n">
        <v>1</v>
      </c>
      <c r="F468" s="42" t="inlineStr">
        <is>
          <t>VD-096</t>
        </is>
      </c>
      <c r="G468" s="55">
        <f>IFERROR(INDEX('Semrush Data'!$A$1:$Z$20000,MATCH(A468,'Semrush Data'!$A$1:$A$20000,0),MATCH("Volume",'Semrush Data'!$A$1:$Z$1,0)),"")</f>
        <v/>
      </c>
      <c r="H468" s="42">
        <f>IFERROR(INDEX('Semrush Data'!$A$1:$Z$20000,MATCH(A468,'Semrush Data'!$A$1:$A$20000,0),MATCH("Keyword Difficulty*",'Semrush Data'!$A$1:$Z$1,0)),"")</f>
        <v/>
      </c>
      <c r="I468" s="56">
        <f>IFERROR(INDEX('Semrush Data'!$A$1:$Z$20000,MATCH(A468,'Semrush Data'!$A$1:$A$20000,0),MATCH("CPC*",'Semrush Data'!$A$1:$Z$1,0)),"")</f>
        <v/>
      </c>
      <c r="J468" s="42">
        <f>IFERROR(INDEX('Semrush Data'!$A$1:$Z$20000,MATCH(A468,'Semrush Data'!$A$1:$A$20000,0),MATCH("Intent",'Semrush Data'!$A$1:$Z$1,0)),"")</f>
        <v/>
      </c>
    </row>
    <row r="469" ht="15" customHeight="1" s="37">
      <c r="A469" s="42" t="inlineStr">
        <is>
          <t>dior iconics mini discovery set</t>
        </is>
      </c>
      <c r="B469" s="42" t="inlineStr">
        <is>
          <t>Product</t>
        </is>
      </c>
      <c r="C469" s="42" t="n">
        <v>1</v>
      </c>
      <c r="D469" s="42" t="n">
        <v>5</v>
      </c>
      <c r="E469" s="42" t="n">
        <v>1</v>
      </c>
      <c r="F469" s="42" t="inlineStr">
        <is>
          <t>FR-114</t>
        </is>
      </c>
      <c r="G469" s="55">
        <f>IFERROR(INDEX('Semrush Data'!$A$1:$Z$20000,MATCH(A469,'Semrush Data'!$A$1:$A$20000,0),MATCH("Volume",'Semrush Data'!$A$1:$Z$1,0)),"")</f>
        <v/>
      </c>
      <c r="H469" s="42">
        <f>IFERROR(INDEX('Semrush Data'!$A$1:$Z$20000,MATCH(A469,'Semrush Data'!$A$1:$A$20000,0),MATCH("Keyword Difficulty*",'Semrush Data'!$A$1:$Z$1,0)),"")</f>
        <v/>
      </c>
      <c r="I469" s="56">
        <f>IFERROR(INDEX('Semrush Data'!$A$1:$Z$20000,MATCH(A469,'Semrush Data'!$A$1:$A$20000,0),MATCH("CPC*",'Semrush Data'!$A$1:$Z$1,0)),"")</f>
        <v/>
      </c>
      <c r="J469" s="42">
        <f>IFERROR(INDEX('Semrush Data'!$A$1:$Z$20000,MATCH(A469,'Semrush Data'!$A$1:$A$20000,0),MATCH("Intent",'Semrush Data'!$A$1:$Z$1,0)),"")</f>
        <v/>
      </c>
    </row>
    <row r="470" ht="15" customHeight="1" s="37">
      <c r="A470" s="42" t="inlineStr">
        <is>
          <t>dior miss dior roller-pearl</t>
        </is>
      </c>
      <c r="B470" s="42" t="inlineStr">
        <is>
          <t>Product</t>
        </is>
      </c>
      <c r="C470" s="42" t="n">
        <v>1</v>
      </c>
      <c r="D470" s="42" t="n">
        <v>5</v>
      </c>
      <c r="E470" s="42" t="n">
        <v>1</v>
      </c>
      <c r="F470" s="42" t="inlineStr">
        <is>
          <t>FR-113</t>
        </is>
      </c>
      <c r="G470" s="55">
        <f>IFERROR(INDEX('Semrush Data'!$A$1:$Z$20000,MATCH(A470,'Semrush Data'!$A$1:$A$20000,0),MATCH("Volume",'Semrush Data'!$A$1:$Z$1,0)),"")</f>
        <v/>
      </c>
      <c r="H470" s="42">
        <f>IFERROR(INDEX('Semrush Data'!$A$1:$Z$20000,MATCH(A470,'Semrush Data'!$A$1:$A$20000,0),MATCH("Keyword Difficulty*",'Semrush Data'!$A$1:$Z$1,0)),"")</f>
        <v/>
      </c>
      <c r="I470" s="56">
        <f>IFERROR(INDEX('Semrush Data'!$A$1:$Z$20000,MATCH(A470,'Semrush Data'!$A$1:$A$20000,0),MATCH("CPC*",'Semrush Data'!$A$1:$Z$1,0)),"")</f>
        <v/>
      </c>
      <c r="J470" s="42">
        <f>IFERROR(INDEX('Semrush Data'!$A$1:$Z$20000,MATCH(A470,'Semrush Data'!$A$1:$A$20000,0),MATCH("Intent",'Semrush Data'!$A$1:$Z$1,0)),"")</f>
        <v/>
      </c>
    </row>
    <row r="471" ht="15" customHeight="1" s="37">
      <c r="A471" s="42" t="inlineStr">
        <is>
          <t>dior sauvage</t>
        </is>
      </c>
      <c r="B471" s="42" t="inlineStr">
        <is>
          <t>Product</t>
        </is>
      </c>
      <c r="C471" s="42" t="n">
        <v>1</v>
      </c>
      <c r="D471" s="42" t="n">
        <v>5</v>
      </c>
      <c r="E471" s="42" t="n">
        <v>1</v>
      </c>
      <c r="F471" s="42" t="inlineStr">
        <is>
          <t>FR-115</t>
        </is>
      </c>
      <c r="G471" s="55">
        <f>IFERROR(INDEX('Semrush Data'!$A$1:$Z$20000,MATCH(A471,'Semrush Data'!$A$1:$A$20000,0),MATCH("Volume",'Semrush Data'!$A$1:$Z$1,0)),"")</f>
        <v/>
      </c>
      <c r="H471" s="42">
        <f>IFERROR(INDEX('Semrush Data'!$A$1:$Z$20000,MATCH(A471,'Semrush Data'!$A$1:$A$20000,0),MATCH("Keyword Difficulty*",'Semrush Data'!$A$1:$Z$1,0)),"")</f>
        <v/>
      </c>
      <c r="I471" s="56">
        <f>IFERROR(INDEX('Semrush Data'!$A$1:$Z$20000,MATCH(A471,'Semrush Data'!$A$1:$A$20000,0),MATCH("CPC*",'Semrush Data'!$A$1:$Z$1,0)),"")</f>
        <v/>
      </c>
      <c r="J471" s="42">
        <f>IFERROR(INDEX('Semrush Data'!$A$1:$Z$20000,MATCH(A471,'Semrush Data'!$A$1:$A$20000,0),MATCH("Intent",'Semrush Data'!$A$1:$Z$1,0)),"")</f>
        <v/>
      </c>
    </row>
    <row r="472" ht="15" customHeight="1" s="37">
      <c r="A472" s="42" t="inlineStr">
        <is>
          <t>dkny be delicious &amp; be delicious fresh blossom gift set</t>
        </is>
      </c>
      <c r="B472" s="42" t="inlineStr">
        <is>
          <t>Product</t>
        </is>
      </c>
      <c r="C472" s="42" t="n">
        <v>1</v>
      </c>
      <c r="D472" s="42" t="n">
        <v>5</v>
      </c>
      <c r="E472" s="42" t="n">
        <v>1</v>
      </c>
      <c r="F472" s="42" t="inlineStr">
        <is>
          <t>FR-118</t>
        </is>
      </c>
      <c r="G472" s="55">
        <f>IFERROR(INDEX('Semrush Data'!$A$1:$Z$20000,MATCH(A472,'Semrush Data'!$A$1:$A$20000,0),MATCH("Volume",'Semrush Data'!$A$1:$Z$1,0)),"")</f>
        <v/>
      </c>
      <c r="H472" s="42">
        <f>IFERROR(INDEX('Semrush Data'!$A$1:$Z$20000,MATCH(A472,'Semrush Data'!$A$1:$A$20000,0),MATCH("Keyword Difficulty*",'Semrush Data'!$A$1:$Z$1,0)),"")</f>
        <v/>
      </c>
      <c r="I472" s="56">
        <f>IFERROR(INDEX('Semrush Data'!$A$1:$Z$20000,MATCH(A472,'Semrush Data'!$A$1:$A$20000,0),MATCH("CPC*",'Semrush Data'!$A$1:$Z$1,0)),"")</f>
        <v/>
      </c>
      <c r="J472" s="42">
        <f>IFERROR(INDEX('Semrush Data'!$A$1:$Z$20000,MATCH(A472,'Semrush Data'!$A$1:$A$20000,0),MATCH("Intent",'Semrush Data'!$A$1:$Z$1,0)),"")</f>
        <v/>
      </c>
    </row>
    <row r="473" ht="15" customHeight="1" s="37">
      <c r="A473" s="42" t="inlineStr">
        <is>
          <t>dkny be delicious orchard street</t>
        </is>
      </c>
      <c r="B473" s="42" t="inlineStr">
        <is>
          <t>Product</t>
        </is>
      </c>
      <c r="C473" s="42" t="n">
        <v>1</v>
      </c>
      <c r="D473" s="42" t="n">
        <v>5</v>
      </c>
      <c r="E473" s="42" t="n">
        <v>1</v>
      </c>
      <c r="F473" s="42" t="inlineStr">
        <is>
          <t>FR-116</t>
        </is>
      </c>
      <c r="G473" s="55">
        <f>IFERROR(INDEX('Semrush Data'!$A$1:$Z$20000,MATCH(A473,'Semrush Data'!$A$1:$A$20000,0),MATCH("Volume",'Semrush Data'!$A$1:$Z$1,0)),"")</f>
        <v/>
      </c>
      <c r="H473" s="42">
        <f>IFERROR(INDEX('Semrush Data'!$A$1:$Z$20000,MATCH(A473,'Semrush Data'!$A$1:$A$20000,0),MATCH("Keyword Difficulty*",'Semrush Data'!$A$1:$Z$1,0)),"")</f>
        <v/>
      </c>
      <c r="I473" s="56">
        <f>IFERROR(INDEX('Semrush Data'!$A$1:$Z$20000,MATCH(A473,'Semrush Data'!$A$1:$A$20000,0),MATCH("CPC*",'Semrush Data'!$A$1:$Z$1,0)),"")</f>
        <v/>
      </c>
      <c r="J473" s="42">
        <f>IFERROR(INDEX('Semrush Data'!$A$1:$Z$20000,MATCH(A473,'Semrush Data'!$A$1:$A$20000,0),MATCH("Intent",'Semrush Data'!$A$1:$Z$1,0)),"")</f>
        <v/>
      </c>
    </row>
    <row r="474" ht="15" customHeight="1" s="37">
      <c r="A474" s="42" t="inlineStr">
        <is>
          <t>dkny be tempted</t>
        </is>
      </c>
      <c r="B474" s="42" t="inlineStr">
        <is>
          <t>Product</t>
        </is>
      </c>
      <c r="C474" s="42" t="n">
        <v>1</v>
      </c>
      <c r="D474" s="42" t="n">
        <v>5</v>
      </c>
      <c r="E474" s="42" t="n">
        <v>1</v>
      </c>
      <c r="F474" s="42" t="inlineStr">
        <is>
          <t>FR-117</t>
        </is>
      </c>
      <c r="G474" s="55">
        <f>IFERROR(INDEX('Semrush Data'!$A$1:$Z$20000,MATCH(A474,'Semrush Data'!$A$1:$A$20000,0),MATCH("Volume",'Semrush Data'!$A$1:$Z$1,0)),"")</f>
        <v/>
      </c>
      <c r="H474" s="42">
        <f>IFERROR(INDEX('Semrush Data'!$A$1:$Z$20000,MATCH(A474,'Semrush Data'!$A$1:$A$20000,0),MATCH("Keyword Difficulty*",'Semrush Data'!$A$1:$Z$1,0)),"")</f>
        <v/>
      </c>
      <c r="I474" s="56">
        <f>IFERROR(INDEX('Semrush Data'!$A$1:$Z$20000,MATCH(A474,'Semrush Data'!$A$1:$A$20000,0),MATCH("CPC*",'Semrush Data'!$A$1:$Z$1,0)),"")</f>
        <v/>
      </c>
      <c r="J474" s="42">
        <f>IFERROR(INDEX('Semrush Data'!$A$1:$Z$20000,MATCH(A474,'Semrush Data'!$A$1:$A$20000,0),MATCH("Intent",'Semrush Data'!$A$1:$Z$1,0)),"")</f>
        <v/>
      </c>
    </row>
    <row r="475" ht="15" customHeight="1" s="37">
      <c r="A475" s="42" t="inlineStr">
        <is>
          <t>dkny miniature set</t>
        </is>
      </c>
      <c r="B475" s="42" t="inlineStr">
        <is>
          <t>Product</t>
        </is>
      </c>
      <c r="C475" s="42" t="n">
        <v>1</v>
      </c>
      <c r="D475" s="42" t="n">
        <v>5</v>
      </c>
      <c r="E475" s="42" t="n">
        <v>1</v>
      </c>
      <c r="F475" s="42" t="inlineStr">
        <is>
          <t>FR-119</t>
        </is>
      </c>
      <c r="G475" s="55">
        <f>IFERROR(INDEX('Semrush Data'!$A$1:$Z$20000,MATCH(A475,'Semrush Data'!$A$1:$A$20000,0),MATCH("Volume",'Semrush Data'!$A$1:$Z$1,0)),"")</f>
        <v/>
      </c>
      <c r="H475" s="42">
        <f>IFERROR(INDEX('Semrush Data'!$A$1:$Z$20000,MATCH(A475,'Semrush Data'!$A$1:$A$20000,0),MATCH("Keyword Difficulty*",'Semrush Data'!$A$1:$Z$1,0)),"")</f>
        <v/>
      </c>
      <c r="I475" s="56">
        <f>IFERROR(INDEX('Semrush Data'!$A$1:$Z$20000,MATCH(A475,'Semrush Data'!$A$1:$A$20000,0),MATCH("CPC*",'Semrush Data'!$A$1:$Z$1,0)),"")</f>
        <v/>
      </c>
      <c r="J475" s="42">
        <f>IFERROR(INDEX('Semrush Data'!$A$1:$Z$20000,MATCH(A475,'Semrush Data'!$A$1:$A$20000,0),MATCH("Intent",'Semrush Data'!$A$1:$Z$1,0)),"")</f>
        <v/>
      </c>
    </row>
    <row r="476" ht="15" customHeight="1" s="37">
      <c r="A476" s="42" t="inlineStr">
        <is>
          <t>dolce &amp; gabbana devotion</t>
        </is>
      </c>
      <c r="B476" s="42" t="inlineStr">
        <is>
          <t>Product</t>
        </is>
      </c>
      <c r="C476" s="42" t="n">
        <v>1</v>
      </c>
      <c r="D476" s="42" t="n">
        <v>5</v>
      </c>
      <c r="E476" s="42" t="n">
        <v>1</v>
      </c>
      <c r="F476" s="42" t="inlineStr">
        <is>
          <t>FR-120</t>
        </is>
      </c>
      <c r="G476" s="55">
        <f>IFERROR(INDEX('Semrush Data'!$A$1:$Z$20000,MATCH(A476,'Semrush Data'!$A$1:$A$20000,0),MATCH("Volume",'Semrush Data'!$A$1:$Z$1,0)),"")</f>
        <v/>
      </c>
      <c r="H476" s="42">
        <f>IFERROR(INDEX('Semrush Data'!$A$1:$Z$20000,MATCH(A476,'Semrush Data'!$A$1:$A$20000,0),MATCH("Keyword Difficulty*",'Semrush Data'!$A$1:$Z$1,0)),"")</f>
        <v/>
      </c>
      <c r="I476" s="56">
        <f>IFERROR(INDEX('Semrush Data'!$A$1:$Z$20000,MATCH(A476,'Semrush Data'!$A$1:$A$20000,0),MATCH("CPC*",'Semrush Data'!$A$1:$Z$1,0)),"")</f>
        <v/>
      </c>
      <c r="J476" s="42">
        <f>IFERROR(INDEX('Semrush Data'!$A$1:$Z$20000,MATCH(A476,'Semrush Data'!$A$1:$A$20000,0),MATCH("Intent",'Semrush Data'!$A$1:$Z$1,0)),"")</f>
        <v/>
      </c>
    </row>
    <row r="477" ht="15" customHeight="1" s="37">
      <c r="A477" s="42" t="inlineStr">
        <is>
          <t>dolce &amp; gabbana devotion gift set</t>
        </is>
      </c>
      <c r="B477" s="42" t="inlineStr">
        <is>
          <t>Product</t>
        </is>
      </c>
      <c r="C477" s="42" t="n">
        <v>1</v>
      </c>
      <c r="D477" s="42" t="n">
        <v>5</v>
      </c>
      <c r="E477" s="42" t="n">
        <v>1</v>
      </c>
      <c r="F477" s="42" t="inlineStr">
        <is>
          <t>FR-127</t>
        </is>
      </c>
      <c r="G477" s="55">
        <f>IFERROR(INDEX('Semrush Data'!$A$1:$Z$20000,MATCH(A477,'Semrush Data'!$A$1:$A$20000,0),MATCH("Volume",'Semrush Data'!$A$1:$Z$1,0)),"")</f>
        <v/>
      </c>
      <c r="H477" s="42">
        <f>IFERROR(INDEX('Semrush Data'!$A$1:$Z$20000,MATCH(A477,'Semrush Data'!$A$1:$A$20000,0),MATCH("Keyword Difficulty*",'Semrush Data'!$A$1:$Z$1,0)),"")</f>
        <v/>
      </c>
      <c r="I477" s="56">
        <f>IFERROR(INDEX('Semrush Data'!$A$1:$Z$20000,MATCH(A477,'Semrush Data'!$A$1:$A$20000,0),MATCH("CPC*",'Semrush Data'!$A$1:$Z$1,0)),"")</f>
        <v/>
      </c>
      <c r="J477" s="42">
        <f>IFERROR(INDEX('Semrush Data'!$A$1:$Z$20000,MATCH(A477,'Semrush Data'!$A$1:$A$20000,0),MATCH("Intent",'Semrush Data'!$A$1:$Z$1,0)),"")</f>
        <v/>
      </c>
    </row>
    <row r="478" ht="15" customHeight="1" s="37">
      <c r="A478" s="42" t="inlineStr">
        <is>
          <t>dolce &amp; gabbana k gift set</t>
        </is>
      </c>
      <c r="B478" s="42" t="inlineStr">
        <is>
          <t>Product</t>
        </is>
      </c>
      <c r="C478" s="42" t="n">
        <v>1</v>
      </c>
      <c r="D478" s="42" t="n">
        <v>5</v>
      </c>
      <c r="E478" s="42" t="n">
        <v>1</v>
      </c>
      <c r="F478" s="42" t="inlineStr">
        <is>
          <t>FR-128</t>
        </is>
      </c>
      <c r="G478" s="55">
        <f>IFERROR(INDEX('Semrush Data'!$A$1:$Z$20000,MATCH(A478,'Semrush Data'!$A$1:$A$20000,0),MATCH("Volume",'Semrush Data'!$A$1:$Z$1,0)),"")</f>
        <v/>
      </c>
      <c r="H478" s="42">
        <f>IFERROR(INDEX('Semrush Data'!$A$1:$Z$20000,MATCH(A478,'Semrush Data'!$A$1:$A$20000,0),MATCH("Keyword Difficulty*",'Semrush Data'!$A$1:$Z$1,0)),"")</f>
        <v/>
      </c>
      <c r="I478" s="56">
        <f>IFERROR(INDEX('Semrush Data'!$A$1:$Z$20000,MATCH(A478,'Semrush Data'!$A$1:$A$20000,0),MATCH("CPC*",'Semrush Data'!$A$1:$Z$1,0)),"")</f>
        <v/>
      </c>
      <c r="J478" s="42">
        <f>IFERROR(INDEX('Semrush Data'!$A$1:$Z$20000,MATCH(A478,'Semrush Data'!$A$1:$A$20000,0),MATCH("Intent",'Semrush Data'!$A$1:$Z$1,0)),"")</f>
        <v/>
      </c>
    </row>
    <row r="479" ht="15" customHeight="1" s="37">
      <c r="A479" s="42" t="inlineStr">
        <is>
          <t>dolce &amp; gabbana l'imperatrice</t>
        </is>
      </c>
      <c r="B479" s="42" t="inlineStr">
        <is>
          <t>Product</t>
        </is>
      </c>
      <c r="C479" s="42" t="n">
        <v>1</v>
      </c>
      <c r="D479" s="42" t="n">
        <v>5</v>
      </c>
      <c r="E479" s="42" t="n">
        <v>1</v>
      </c>
      <c r="F479" s="42" t="inlineStr">
        <is>
          <t>FR-126</t>
        </is>
      </c>
      <c r="G479" s="55">
        <f>IFERROR(INDEX('Semrush Data'!$A$1:$Z$20000,MATCH(A479,'Semrush Data'!$A$1:$A$20000,0),MATCH("Volume",'Semrush Data'!$A$1:$Z$1,0)),"")</f>
        <v/>
      </c>
      <c r="H479" s="42">
        <f>IFERROR(INDEX('Semrush Data'!$A$1:$Z$20000,MATCH(A479,'Semrush Data'!$A$1:$A$20000,0),MATCH("Keyword Difficulty*",'Semrush Data'!$A$1:$Z$1,0)),"")</f>
        <v/>
      </c>
      <c r="I479" s="56">
        <f>IFERROR(INDEX('Semrush Data'!$A$1:$Z$20000,MATCH(A479,'Semrush Data'!$A$1:$A$20000,0),MATCH("CPC*",'Semrush Data'!$A$1:$Z$1,0)),"")</f>
        <v/>
      </c>
      <c r="J479" s="42">
        <f>IFERROR(INDEX('Semrush Data'!$A$1:$Z$20000,MATCH(A479,'Semrush Data'!$A$1:$A$20000,0),MATCH("Intent",'Semrush Data'!$A$1:$Z$1,0)),"")</f>
        <v/>
      </c>
    </row>
    <row r="480" ht="15" customHeight="1" s="37">
      <c r="A480" s="42" t="inlineStr">
        <is>
          <t>dolce &amp; gabbana miniature set</t>
        </is>
      </c>
      <c r="B480" s="42" t="inlineStr">
        <is>
          <t>Product</t>
        </is>
      </c>
      <c r="C480" s="42" t="n">
        <v>1</v>
      </c>
      <c r="D480" s="42" t="n">
        <v>5</v>
      </c>
      <c r="E480" s="42" t="n">
        <v>2</v>
      </c>
      <c r="F480" s="42" t="inlineStr">
        <is>
          <t>FR-129, FR-131</t>
        </is>
      </c>
      <c r="G480" s="55">
        <f>IFERROR(INDEX('Semrush Data'!$A$1:$Z$20000,MATCH(A480,'Semrush Data'!$A$1:$A$20000,0),MATCH("Volume",'Semrush Data'!$A$1:$Z$1,0)),"")</f>
        <v/>
      </c>
      <c r="H480" s="42">
        <f>IFERROR(INDEX('Semrush Data'!$A$1:$Z$20000,MATCH(A480,'Semrush Data'!$A$1:$A$20000,0),MATCH("Keyword Difficulty*",'Semrush Data'!$A$1:$Z$1,0)),"")</f>
        <v/>
      </c>
      <c r="I480" s="56">
        <f>IFERROR(INDEX('Semrush Data'!$A$1:$Z$20000,MATCH(A480,'Semrush Data'!$A$1:$A$20000,0),MATCH("CPC*",'Semrush Data'!$A$1:$Z$1,0)),"")</f>
        <v/>
      </c>
      <c r="J480" s="42">
        <f>IFERROR(INDEX('Semrush Data'!$A$1:$Z$20000,MATCH(A480,'Semrush Data'!$A$1:$A$20000,0),MATCH("Intent",'Semrush Data'!$A$1:$Z$1,0)),"")</f>
        <v/>
      </c>
    </row>
    <row r="481" ht="15" customHeight="1" s="37">
      <c r="A481" s="42" t="inlineStr">
        <is>
          <t>dolce &amp; gabbana q</t>
        </is>
      </c>
      <c r="B481" s="42" t="inlineStr">
        <is>
          <t>Product</t>
        </is>
      </c>
      <c r="C481" s="42" t="n">
        <v>1</v>
      </c>
      <c r="D481" s="42" t="n">
        <v>5</v>
      </c>
      <c r="E481" s="42" t="n">
        <v>1</v>
      </c>
      <c r="F481" s="42" t="inlineStr">
        <is>
          <t>FR-121</t>
        </is>
      </c>
      <c r="G481" s="55">
        <f>IFERROR(INDEX('Semrush Data'!$A$1:$Z$20000,MATCH(A481,'Semrush Data'!$A$1:$A$20000,0),MATCH("Volume",'Semrush Data'!$A$1:$Z$1,0)),"")</f>
        <v/>
      </c>
      <c r="H481" s="42">
        <f>IFERROR(INDEX('Semrush Data'!$A$1:$Z$20000,MATCH(A481,'Semrush Data'!$A$1:$A$20000,0),MATCH("Keyword Difficulty*",'Semrush Data'!$A$1:$Z$1,0)),"")</f>
        <v/>
      </c>
      <c r="I481" s="56">
        <f>IFERROR(INDEX('Semrush Data'!$A$1:$Z$20000,MATCH(A481,'Semrush Data'!$A$1:$A$20000,0),MATCH("CPC*",'Semrush Data'!$A$1:$Z$1,0)),"")</f>
        <v/>
      </c>
      <c r="J481" s="42">
        <f>IFERROR(INDEX('Semrush Data'!$A$1:$Z$20000,MATCH(A481,'Semrush Data'!$A$1:$A$20000,0),MATCH("Intent",'Semrush Data'!$A$1:$Z$1,0)),"")</f>
        <v/>
      </c>
    </row>
    <row r="482" ht="15" customHeight="1" s="37">
      <c r="A482" s="42" t="inlineStr">
        <is>
          <t>dolce &amp; gabbana the one</t>
        </is>
      </c>
      <c r="B482" s="42" t="inlineStr">
        <is>
          <t>Product</t>
        </is>
      </c>
      <c r="C482" s="42" t="n">
        <v>1</v>
      </c>
      <c r="D482" s="42" t="n">
        <v>5</v>
      </c>
      <c r="E482" s="42" t="n">
        <v>2</v>
      </c>
      <c r="F482" s="42" t="inlineStr">
        <is>
          <t>FR-122, FR-123</t>
        </is>
      </c>
      <c r="G482" s="55">
        <f>IFERROR(INDEX('Semrush Data'!$A$1:$Z$20000,MATCH(A482,'Semrush Data'!$A$1:$A$20000,0),MATCH("Volume",'Semrush Data'!$A$1:$Z$1,0)),"")</f>
        <v/>
      </c>
      <c r="H482" s="42">
        <f>IFERROR(INDEX('Semrush Data'!$A$1:$Z$20000,MATCH(A482,'Semrush Data'!$A$1:$A$20000,0),MATCH("Keyword Difficulty*",'Semrush Data'!$A$1:$Z$1,0)),"")</f>
        <v/>
      </c>
      <c r="I482" s="56">
        <f>IFERROR(INDEX('Semrush Data'!$A$1:$Z$20000,MATCH(A482,'Semrush Data'!$A$1:$A$20000,0),MATCH("CPC*",'Semrush Data'!$A$1:$Z$1,0)),"")</f>
        <v/>
      </c>
      <c r="J482" s="42">
        <f>IFERROR(INDEX('Semrush Data'!$A$1:$Z$20000,MATCH(A482,'Semrush Data'!$A$1:$A$20000,0),MATCH("Intent",'Semrush Data'!$A$1:$Z$1,0)),"")</f>
        <v/>
      </c>
    </row>
    <row r="483" ht="15" customHeight="1" s="37">
      <c r="A483" s="42" t="inlineStr">
        <is>
          <t>dolce &amp; gabbana the one gift set</t>
        </is>
      </c>
      <c r="B483" s="42" t="inlineStr">
        <is>
          <t>Product</t>
        </is>
      </c>
      <c r="C483" s="42" t="n">
        <v>1</v>
      </c>
      <c r="D483" s="42" t="n">
        <v>5</v>
      </c>
      <c r="E483" s="42" t="n">
        <v>1</v>
      </c>
      <c r="F483" s="42" t="inlineStr">
        <is>
          <t>FR-130</t>
        </is>
      </c>
      <c r="G483" s="55">
        <f>IFERROR(INDEX('Semrush Data'!$A$1:$Z$20000,MATCH(A483,'Semrush Data'!$A$1:$A$20000,0),MATCH("Volume",'Semrush Data'!$A$1:$Z$1,0)),"")</f>
        <v/>
      </c>
      <c r="H483" s="42">
        <f>IFERROR(INDEX('Semrush Data'!$A$1:$Z$20000,MATCH(A483,'Semrush Data'!$A$1:$A$20000,0),MATCH("Keyword Difficulty*",'Semrush Data'!$A$1:$Z$1,0)),"")</f>
        <v/>
      </c>
      <c r="I483" s="56">
        <f>IFERROR(INDEX('Semrush Data'!$A$1:$Z$20000,MATCH(A483,'Semrush Data'!$A$1:$A$20000,0),MATCH("CPC*",'Semrush Data'!$A$1:$Z$1,0)),"")</f>
        <v/>
      </c>
      <c r="J483" s="42">
        <f>IFERROR(INDEX('Semrush Data'!$A$1:$Z$20000,MATCH(A483,'Semrush Data'!$A$1:$A$20000,0),MATCH("Intent",'Semrush Data'!$A$1:$Z$1,0)),"")</f>
        <v/>
      </c>
    </row>
    <row r="484" ht="15" customHeight="1" s="37">
      <c r="A484" s="42" t="inlineStr">
        <is>
          <t>dolce &amp; gabbana the one gold intense</t>
        </is>
      </c>
      <c r="B484" s="42" t="inlineStr">
        <is>
          <t>Product</t>
        </is>
      </c>
      <c r="C484" s="42" t="n">
        <v>1</v>
      </c>
      <c r="D484" s="42" t="n">
        <v>5</v>
      </c>
      <c r="E484" s="42" t="n">
        <v>1</v>
      </c>
      <c r="F484" s="42" t="inlineStr">
        <is>
          <t>FR-125</t>
        </is>
      </c>
      <c r="G484" s="55">
        <f>IFERROR(INDEX('Semrush Data'!$A$1:$Z$20000,MATCH(A484,'Semrush Data'!$A$1:$A$20000,0),MATCH("Volume",'Semrush Data'!$A$1:$Z$1,0)),"")</f>
        <v/>
      </c>
      <c r="H484" s="42">
        <f>IFERROR(INDEX('Semrush Data'!$A$1:$Z$20000,MATCH(A484,'Semrush Data'!$A$1:$A$20000,0),MATCH("Keyword Difficulty*",'Semrush Data'!$A$1:$Z$1,0)),"")</f>
        <v/>
      </c>
      <c r="I484" s="56">
        <f>IFERROR(INDEX('Semrush Data'!$A$1:$Z$20000,MATCH(A484,'Semrush Data'!$A$1:$A$20000,0),MATCH("CPC*",'Semrush Data'!$A$1:$Z$1,0)),"")</f>
        <v/>
      </c>
      <c r="J484" s="42">
        <f>IFERROR(INDEX('Semrush Data'!$A$1:$Z$20000,MATCH(A484,'Semrush Data'!$A$1:$A$20000,0),MATCH("Intent",'Semrush Data'!$A$1:$Z$1,0)),"")</f>
        <v/>
      </c>
    </row>
    <row r="485" ht="15" customHeight="1" s="37">
      <c r="A485" s="42" t="inlineStr">
        <is>
          <t>dolce &amp; gabbana the one intense</t>
        </is>
      </c>
      <c r="B485" s="42" t="inlineStr">
        <is>
          <t>Product</t>
        </is>
      </c>
      <c r="C485" s="42" t="n">
        <v>1</v>
      </c>
      <c r="D485" s="42" t="n">
        <v>5</v>
      </c>
      <c r="E485" s="42" t="n">
        <v>1</v>
      </c>
      <c r="F485" s="42" t="inlineStr">
        <is>
          <t>FR-124</t>
        </is>
      </c>
      <c r="G485" s="55">
        <f>IFERROR(INDEX('Semrush Data'!$A$1:$Z$20000,MATCH(A485,'Semrush Data'!$A$1:$A$20000,0),MATCH("Volume",'Semrush Data'!$A$1:$Z$1,0)),"")</f>
        <v/>
      </c>
      <c r="H485" s="42">
        <f>IFERROR(INDEX('Semrush Data'!$A$1:$Z$20000,MATCH(A485,'Semrush Data'!$A$1:$A$20000,0),MATCH("Keyword Difficulty*",'Semrush Data'!$A$1:$Z$1,0)),"")</f>
        <v/>
      </c>
      <c r="I485" s="56">
        <f>IFERROR(INDEX('Semrush Data'!$A$1:$Z$20000,MATCH(A485,'Semrush Data'!$A$1:$A$20000,0),MATCH("CPC*",'Semrush Data'!$A$1:$Z$1,0)),"")</f>
        <v/>
      </c>
      <c r="J485" s="42">
        <f>IFERROR(INDEX('Semrush Data'!$A$1:$Z$20000,MATCH(A485,'Semrush Data'!$A$1:$A$20000,0),MATCH("Intent",'Semrush Data'!$A$1:$Z$1,0)),"")</f>
        <v/>
      </c>
    </row>
    <row r="486" ht="15" customHeight="1" s="37">
      <c r="A486" s="42" t="inlineStr">
        <is>
          <t>dunhill desire black</t>
        </is>
      </c>
      <c r="B486" s="42" t="inlineStr">
        <is>
          <t>Product</t>
        </is>
      </c>
      <c r="C486" s="42" t="n">
        <v>1</v>
      </c>
      <c r="D486" s="42" t="n">
        <v>5</v>
      </c>
      <c r="E486" s="42" t="n">
        <v>1</v>
      </c>
      <c r="F486" s="42" t="inlineStr">
        <is>
          <t>FR-142</t>
        </is>
      </c>
      <c r="G486" s="55">
        <f>IFERROR(INDEX('Semrush Data'!$A$1:$Z$20000,MATCH(A486,'Semrush Data'!$A$1:$A$20000,0),MATCH("Volume",'Semrush Data'!$A$1:$Z$1,0)),"")</f>
        <v/>
      </c>
      <c r="H486" s="42">
        <f>IFERROR(INDEX('Semrush Data'!$A$1:$Z$20000,MATCH(A486,'Semrush Data'!$A$1:$A$20000,0),MATCH("Keyword Difficulty*",'Semrush Data'!$A$1:$Z$1,0)),"")</f>
        <v/>
      </c>
      <c r="I486" s="56">
        <f>IFERROR(INDEX('Semrush Data'!$A$1:$Z$20000,MATCH(A486,'Semrush Data'!$A$1:$A$20000,0),MATCH("CPC*",'Semrush Data'!$A$1:$Z$1,0)),"")</f>
        <v/>
      </c>
      <c r="J486" s="42">
        <f>IFERROR(INDEX('Semrush Data'!$A$1:$Z$20000,MATCH(A486,'Semrush Data'!$A$1:$A$20000,0),MATCH("Intent",'Semrush Data'!$A$1:$Z$1,0)),"")</f>
        <v/>
      </c>
    </row>
    <row r="487" ht="15" customHeight="1" s="37">
      <c r="A487" s="42" t="inlineStr">
        <is>
          <t>dunhill desire blue</t>
        </is>
      </c>
      <c r="B487" s="42" t="inlineStr">
        <is>
          <t>Product</t>
        </is>
      </c>
      <c r="C487" s="42" t="n">
        <v>1</v>
      </c>
      <c r="D487" s="42" t="n">
        <v>5</v>
      </c>
      <c r="E487" s="42" t="n">
        <v>1</v>
      </c>
      <c r="F487" s="42" t="inlineStr">
        <is>
          <t>FR-143</t>
        </is>
      </c>
      <c r="G487" s="55">
        <f>IFERROR(INDEX('Semrush Data'!$A$1:$Z$20000,MATCH(A487,'Semrush Data'!$A$1:$A$20000,0),MATCH("Volume",'Semrush Data'!$A$1:$Z$1,0)),"")</f>
        <v/>
      </c>
      <c r="H487" s="42">
        <f>IFERROR(INDEX('Semrush Data'!$A$1:$Z$20000,MATCH(A487,'Semrush Data'!$A$1:$A$20000,0),MATCH("Keyword Difficulty*",'Semrush Data'!$A$1:$Z$1,0)),"")</f>
        <v/>
      </c>
      <c r="I487" s="56">
        <f>IFERROR(INDEX('Semrush Data'!$A$1:$Z$20000,MATCH(A487,'Semrush Data'!$A$1:$A$20000,0),MATCH("CPC*",'Semrush Data'!$A$1:$Z$1,0)),"")</f>
        <v/>
      </c>
      <c r="J487" s="42">
        <f>IFERROR(INDEX('Semrush Data'!$A$1:$Z$20000,MATCH(A487,'Semrush Data'!$A$1:$A$20000,0),MATCH("Intent",'Semrush Data'!$A$1:$Z$1,0)),"")</f>
        <v/>
      </c>
    </row>
    <row r="488" ht="15" customHeight="1" s="37">
      <c r="A488" s="42" t="inlineStr">
        <is>
          <t>dunhill desire gold</t>
        </is>
      </c>
      <c r="B488" s="42" t="inlineStr">
        <is>
          <t>Product</t>
        </is>
      </c>
      <c r="C488" s="42" t="n">
        <v>1</v>
      </c>
      <c r="D488" s="42" t="n">
        <v>5</v>
      </c>
      <c r="E488" s="42" t="n">
        <v>1</v>
      </c>
      <c r="F488" s="42" t="inlineStr">
        <is>
          <t>FR-144</t>
        </is>
      </c>
      <c r="G488" s="55">
        <f>IFERROR(INDEX('Semrush Data'!$A$1:$Z$20000,MATCH(A488,'Semrush Data'!$A$1:$A$20000,0),MATCH("Volume",'Semrush Data'!$A$1:$Z$1,0)),"")</f>
        <v/>
      </c>
      <c r="H488" s="42">
        <f>IFERROR(INDEX('Semrush Data'!$A$1:$Z$20000,MATCH(A488,'Semrush Data'!$A$1:$A$20000,0),MATCH("Keyword Difficulty*",'Semrush Data'!$A$1:$Z$1,0)),"")</f>
        <v/>
      </c>
      <c r="I488" s="56">
        <f>IFERROR(INDEX('Semrush Data'!$A$1:$Z$20000,MATCH(A488,'Semrush Data'!$A$1:$A$20000,0),MATCH("CPC*",'Semrush Data'!$A$1:$Z$1,0)),"")</f>
        <v/>
      </c>
      <c r="J488" s="42">
        <f>IFERROR(INDEX('Semrush Data'!$A$1:$Z$20000,MATCH(A488,'Semrush Data'!$A$1:$A$20000,0),MATCH("Intent",'Semrush Data'!$A$1:$Z$1,0)),"")</f>
        <v/>
      </c>
    </row>
    <row r="489" ht="15" customHeight="1" s="37">
      <c r="A489" s="42" t="inlineStr">
        <is>
          <t>dunhill desire silver</t>
        </is>
      </c>
      <c r="B489" s="42" t="inlineStr">
        <is>
          <t>Product</t>
        </is>
      </c>
      <c r="C489" s="42" t="n">
        <v>1</v>
      </c>
      <c r="D489" s="42" t="n">
        <v>5</v>
      </c>
      <c r="E489" s="42" t="n">
        <v>1</v>
      </c>
      <c r="F489" s="42" t="inlineStr">
        <is>
          <t>FR-145</t>
        </is>
      </c>
      <c r="G489" s="55">
        <f>IFERROR(INDEX('Semrush Data'!$A$1:$Z$20000,MATCH(A489,'Semrush Data'!$A$1:$A$20000,0),MATCH("Volume",'Semrush Data'!$A$1:$Z$1,0)),"")</f>
        <v/>
      </c>
      <c r="H489" s="42">
        <f>IFERROR(INDEX('Semrush Data'!$A$1:$Z$20000,MATCH(A489,'Semrush Data'!$A$1:$A$20000,0),MATCH("Keyword Difficulty*",'Semrush Data'!$A$1:$Z$1,0)),"")</f>
        <v/>
      </c>
      <c r="I489" s="56">
        <f>IFERROR(INDEX('Semrush Data'!$A$1:$Z$20000,MATCH(A489,'Semrush Data'!$A$1:$A$20000,0),MATCH("CPC*",'Semrush Data'!$A$1:$Z$1,0)),"")</f>
        <v/>
      </c>
      <c r="J489" s="42">
        <f>IFERROR(INDEX('Semrush Data'!$A$1:$Z$20000,MATCH(A489,'Semrush Data'!$A$1:$A$20000,0),MATCH("Intent",'Semrush Data'!$A$1:$Z$1,0)),"")</f>
        <v/>
      </c>
    </row>
    <row r="490" ht="15" customHeight="1" s="37">
      <c r="A490" s="42" t="inlineStr">
        <is>
          <t>dunhill signature collection agar wood</t>
        </is>
      </c>
      <c r="B490" s="42" t="inlineStr">
        <is>
          <t>Product</t>
        </is>
      </c>
      <c r="C490" s="42" t="n">
        <v>1</v>
      </c>
      <c r="D490" s="42" t="n">
        <v>5</v>
      </c>
      <c r="E490" s="42" t="n">
        <v>1</v>
      </c>
      <c r="F490" s="42" t="inlineStr">
        <is>
          <t>FR-132</t>
        </is>
      </c>
      <c r="G490" s="55">
        <f>IFERROR(INDEX('Semrush Data'!$A$1:$Z$20000,MATCH(A490,'Semrush Data'!$A$1:$A$20000,0),MATCH("Volume",'Semrush Data'!$A$1:$Z$1,0)),"")</f>
        <v/>
      </c>
      <c r="H490" s="42">
        <f>IFERROR(INDEX('Semrush Data'!$A$1:$Z$20000,MATCH(A490,'Semrush Data'!$A$1:$A$20000,0),MATCH("Keyword Difficulty*",'Semrush Data'!$A$1:$Z$1,0)),"")</f>
        <v/>
      </c>
      <c r="I490" s="56">
        <f>IFERROR(INDEX('Semrush Data'!$A$1:$Z$20000,MATCH(A490,'Semrush Data'!$A$1:$A$20000,0),MATCH("CPC*",'Semrush Data'!$A$1:$Z$1,0)),"")</f>
        <v/>
      </c>
      <c r="J490" s="42">
        <f>IFERROR(INDEX('Semrush Data'!$A$1:$Z$20000,MATCH(A490,'Semrush Data'!$A$1:$A$20000,0),MATCH("Intent",'Semrush Data'!$A$1:$Z$1,0)),"")</f>
        <v/>
      </c>
    </row>
    <row r="491" ht="15" customHeight="1" s="37">
      <c r="A491" s="42" t="inlineStr">
        <is>
          <t>dunhill signature collection amalfi citrus</t>
        </is>
      </c>
      <c r="B491" s="42" t="inlineStr">
        <is>
          <t>Product</t>
        </is>
      </c>
      <c r="C491" s="42" t="n">
        <v>1</v>
      </c>
      <c r="D491" s="42" t="n">
        <v>5</v>
      </c>
      <c r="E491" s="42" t="n">
        <v>1</v>
      </c>
      <c r="F491" s="42" t="inlineStr">
        <is>
          <t>FR-133</t>
        </is>
      </c>
      <c r="G491" s="55">
        <f>IFERROR(INDEX('Semrush Data'!$A$1:$Z$20000,MATCH(A491,'Semrush Data'!$A$1:$A$20000,0),MATCH("Volume",'Semrush Data'!$A$1:$Z$1,0)),"")</f>
        <v/>
      </c>
      <c r="H491" s="42">
        <f>IFERROR(INDEX('Semrush Data'!$A$1:$Z$20000,MATCH(A491,'Semrush Data'!$A$1:$A$20000,0),MATCH("Keyword Difficulty*",'Semrush Data'!$A$1:$Z$1,0)),"")</f>
        <v/>
      </c>
      <c r="I491" s="56">
        <f>IFERROR(INDEX('Semrush Data'!$A$1:$Z$20000,MATCH(A491,'Semrush Data'!$A$1:$A$20000,0),MATCH("CPC*",'Semrush Data'!$A$1:$Z$1,0)),"")</f>
        <v/>
      </c>
      <c r="J491" s="42">
        <f>IFERROR(INDEX('Semrush Data'!$A$1:$Z$20000,MATCH(A491,'Semrush Data'!$A$1:$A$20000,0),MATCH("Intent",'Semrush Data'!$A$1:$Z$1,0)),"")</f>
        <v/>
      </c>
    </row>
    <row r="492" ht="15" customHeight="1" s="37">
      <c r="A492" s="42" t="inlineStr">
        <is>
          <t>dunhill signature collection arabian desert</t>
        </is>
      </c>
      <c r="B492" s="42" t="inlineStr">
        <is>
          <t>Product</t>
        </is>
      </c>
      <c r="C492" s="42" t="n">
        <v>1</v>
      </c>
      <c r="D492" s="42" t="n">
        <v>5</v>
      </c>
      <c r="E492" s="42" t="n">
        <v>1</v>
      </c>
      <c r="F492" s="42" t="inlineStr">
        <is>
          <t>FR-134</t>
        </is>
      </c>
      <c r="G492" s="55">
        <f>IFERROR(INDEX('Semrush Data'!$A$1:$Z$20000,MATCH(A492,'Semrush Data'!$A$1:$A$20000,0),MATCH("Volume",'Semrush Data'!$A$1:$Z$1,0)),"")</f>
        <v/>
      </c>
      <c r="H492" s="42">
        <f>IFERROR(INDEX('Semrush Data'!$A$1:$Z$20000,MATCH(A492,'Semrush Data'!$A$1:$A$20000,0),MATCH("Keyword Difficulty*",'Semrush Data'!$A$1:$Z$1,0)),"")</f>
        <v/>
      </c>
      <c r="I492" s="56">
        <f>IFERROR(INDEX('Semrush Data'!$A$1:$Z$20000,MATCH(A492,'Semrush Data'!$A$1:$A$20000,0),MATCH("CPC*",'Semrush Data'!$A$1:$Z$1,0)),"")</f>
        <v/>
      </c>
      <c r="J492" s="42">
        <f>IFERROR(INDEX('Semrush Data'!$A$1:$Z$20000,MATCH(A492,'Semrush Data'!$A$1:$A$20000,0),MATCH("Intent",'Semrush Data'!$A$1:$Z$1,0)),"")</f>
        <v/>
      </c>
    </row>
    <row r="493" ht="15" customHeight="1" s="37">
      <c r="A493" s="42" t="inlineStr">
        <is>
          <t>dunhill signature collection british leather</t>
        </is>
      </c>
      <c r="B493" s="42" t="inlineStr">
        <is>
          <t>Product</t>
        </is>
      </c>
      <c r="C493" s="42" t="n">
        <v>1</v>
      </c>
      <c r="D493" s="42" t="n">
        <v>5</v>
      </c>
      <c r="E493" s="42" t="n">
        <v>1</v>
      </c>
      <c r="F493" s="42" t="inlineStr">
        <is>
          <t>FR-135</t>
        </is>
      </c>
      <c r="G493" s="55">
        <f>IFERROR(INDEX('Semrush Data'!$A$1:$Z$20000,MATCH(A493,'Semrush Data'!$A$1:$A$20000,0),MATCH("Volume",'Semrush Data'!$A$1:$Z$1,0)),"")</f>
        <v/>
      </c>
      <c r="H493" s="42">
        <f>IFERROR(INDEX('Semrush Data'!$A$1:$Z$20000,MATCH(A493,'Semrush Data'!$A$1:$A$20000,0),MATCH("Keyword Difficulty*",'Semrush Data'!$A$1:$Z$1,0)),"")</f>
        <v/>
      </c>
      <c r="I493" s="56">
        <f>IFERROR(INDEX('Semrush Data'!$A$1:$Z$20000,MATCH(A493,'Semrush Data'!$A$1:$A$20000,0),MATCH("CPC*",'Semrush Data'!$A$1:$Z$1,0)),"")</f>
        <v/>
      </c>
      <c r="J493" s="42">
        <f>IFERROR(INDEX('Semrush Data'!$A$1:$Z$20000,MATCH(A493,'Semrush Data'!$A$1:$A$20000,0),MATCH("Intent",'Semrush Data'!$A$1:$Z$1,0)),"")</f>
        <v/>
      </c>
    </row>
    <row r="494" ht="15" customHeight="1" s="37">
      <c r="A494" s="42" t="inlineStr">
        <is>
          <t>dunhill signature collection egyptian smoke</t>
        </is>
      </c>
      <c r="B494" s="42" t="inlineStr">
        <is>
          <t>Product</t>
        </is>
      </c>
      <c r="C494" s="42" t="n">
        <v>1</v>
      </c>
      <c r="D494" s="42" t="n">
        <v>5</v>
      </c>
      <c r="E494" s="42" t="n">
        <v>1</v>
      </c>
      <c r="F494" s="42" t="inlineStr">
        <is>
          <t>FR-136</t>
        </is>
      </c>
      <c r="G494" s="55">
        <f>IFERROR(INDEX('Semrush Data'!$A$1:$Z$20000,MATCH(A494,'Semrush Data'!$A$1:$A$20000,0),MATCH("Volume",'Semrush Data'!$A$1:$Z$1,0)),"")</f>
        <v/>
      </c>
      <c r="H494" s="42">
        <f>IFERROR(INDEX('Semrush Data'!$A$1:$Z$20000,MATCH(A494,'Semrush Data'!$A$1:$A$20000,0),MATCH("Keyword Difficulty*",'Semrush Data'!$A$1:$Z$1,0)),"")</f>
        <v/>
      </c>
      <c r="I494" s="56">
        <f>IFERROR(INDEX('Semrush Data'!$A$1:$Z$20000,MATCH(A494,'Semrush Data'!$A$1:$A$20000,0),MATCH("CPC*",'Semrush Data'!$A$1:$Z$1,0)),"")</f>
        <v/>
      </c>
      <c r="J494" s="42">
        <f>IFERROR(INDEX('Semrush Data'!$A$1:$Z$20000,MATCH(A494,'Semrush Data'!$A$1:$A$20000,0),MATCH("Intent",'Semrush Data'!$A$1:$Z$1,0)),"")</f>
        <v/>
      </c>
    </row>
    <row r="495" ht="15" customHeight="1" s="37">
      <c r="A495" s="42" t="inlineStr">
        <is>
          <t>dunhill signature collection indian sandalwood</t>
        </is>
      </c>
      <c r="B495" s="42" t="inlineStr">
        <is>
          <t>Product</t>
        </is>
      </c>
      <c r="C495" s="42" t="n">
        <v>1</v>
      </c>
      <c r="D495" s="42" t="n">
        <v>5</v>
      </c>
      <c r="E495" s="42" t="n">
        <v>1</v>
      </c>
      <c r="F495" s="42" t="inlineStr">
        <is>
          <t>FR-137</t>
        </is>
      </c>
      <c r="G495" s="55">
        <f>IFERROR(INDEX('Semrush Data'!$A$1:$Z$20000,MATCH(A495,'Semrush Data'!$A$1:$A$20000,0),MATCH("Volume",'Semrush Data'!$A$1:$Z$1,0)),"")</f>
        <v/>
      </c>
      <c r="H495" s="42">
        <f>IFERROR(INDEX('Semrush Data'!$A$1:$Z$20000,MATCH(A495,'Semrush Data'!$A$1:$A$20000,0),MATCH("Keyword Difficulty*",'Semrush Data'!$A$1:$Z$1,0)),"")</f>
        <v/>
      </c>
      <c r="I495" s="56">
        <f>IFERROR(INDEX('Semrush Data'!$A$1:$Z$20000,MATCH(A495,'Semrush Data'!$A$1:$A$20000,0),MATCH("CPC*",'Semrush Data'!$A$1:$Z$1,0)),"")</f>
        <v/>
      </c>
      <c r="J495" s="42">
        <f>IFERROR(INDEX('Semrush Data'!$A$1:$Z$20000,MATCH(A495,'Semrush Data'!$A$1:$A$20000,0),MATCH("Intent",'Semrush Data'!$A$1:$Z$1,0)),"")</f>
        <v/>
      </c>
    </row>
    <row r="496" ht="15" customHeight="1" s="37">
      <c r="A496" s="42" t="inlineStr">
        <is>
          <t>dunhill signature collection mongolian cashmere</t>
        </is>
      </c>
      <c r="B496" s="42" t="inlineStr">
        <is>
          <t>Product</t>
        </is>
      </c>
      <c r="C496" s="42" t="n">
        <v>1</v>
      </c>
      <c r="D496" s="42" t="n">
        <v>5</v>
      </c>
      <c r="E496" s="42" t="n">
        <v>1</v>
      </c>
      <c r="F496" s="42" t="inlineStr">
        <is>
          <t>FR-138</t>
        </is>
      </c>
      <c r="G496" s="55">
        <f>IFERROR(INDEX('Semrush Data'!$A$1:$Z$20000,MATCH(A496,'Semrush Data'!$A$1:$A$20000,0),MATCH("Volume",'Semrush Data'!$A$1:$Z$1,0)),"")</f>
        <v/>
      </c>
      <c r="H496" s="42">
        <f>IFERROR(INDEX('Semrush Data'!$A$1:$Z$20000,MATCH(A496,'Semrush Data'!$A$1:$A$20000,0),MATCH("Keyword Difficulty*",'Semrush Data'!$A$1:$Z$1,0)),"")</f>
        <v/>
      </c>
      <c r="I496" s="56">
        <f>IFERROR(INDEX('Semrush Data'!$A$1:$Z$20000,MATCH(A496,'Semrush Data'!$A$1:$A$20000,0),MATCH("CPC*",'Semrush Data'!$A$1:$Z$1,0)),"")</f>
        <v/>
      </c>
      <c r="J496" s="42">
        <f>IFERROR(INDEX('Semrush Data'!$A$1:$Z$20000,MATCH(A496,'Semrush Data'!$A$1:$A$20000,0),MATCH("Intent",'Semrush Data'!$A$1:$Z$1,0)),"")</f>
        <v/>
      </c>
    </row>
    <row r="497" ht="15" customHeight="1" s="37">
      <c r="A497" s="42" t="inlineStr">
        <is>
          <t>dunhill signature collection moroccan amber</t>
        </is>
      </c>
      <c r="B497" s="42" t="inlineStr">
        <is>
          <t>Product</t>
        </is>
      </c>
      <c r="C497" s="42" t="n">
        <v>1</v>
      </c>
      <c r="D497" s="42" t="n">
        <v>5</v>
      </c>
      <c r="E497" s="42" t="n">
        <v>1</v>
      </c>
      <c r="F497" s="42" t="inlineStr">
        <is>
          <t>FR-139</t>
        </is>
      </c>
      <c r="G497" s="55">
        <f>IFERROR(INDEX('Semrush Data'!$A$1:$Z$20000,MATCH(A497,'Semrush Data'!$A$1:$A$20000,0),MATCH("Volume",'Semrush Data'!$A$1:$Z$1,0)),"")</f>
        <v/>
      </c>
      <c r="H497" s="42">
        <f>IFERROR(INDEX('Semrush Data'!$A$1:$Z$20000,MATCH(A497,'Semrush Data'!$A$1:$A$20000,0),MATCH("Keyword Difficulty*",'Semrush Data'!$A$1:$Z$1,0)),"")</f>
        <v/>
      </c>
      <c r="I497" s="56">
        <f>IFERROR(INDEX('Semrush Data'!$A$1:$Z$20000,MATCH(A497,'Semrush Data'!$A$1:$A$20000,0),MATCH("CPC*",'Semrush Data'!$A$1:$Z$1,0)),"")</f>
        <v/>
      </c>
      <c r="J497" s="42">
        <f>IFERROR(INDEX('Semrush Data'!$A$1:$Z$20000,MATCH(A497,'Semrush Data'!$A$1:$A$20000,0),MATCH("Intent",'Semrush Data'!$A$1:$Z$1,0)),"")</f>
        <v/>
      </c>
    </row>
    <row r="498" ht="15" customHeight="1" s="37">
      <c r="A498" s="42" t="inlineStr">
        <is>
          <t>dunhill signature collection nordic fougere</t>
        </is>
      </c>
      <c r="B498" s="42" t="inlineStr">
        <is>
          <t>Product</t>
        </is>
      </c>
      <c r="C498" s="42" t="n">
        <v>1</v>
      </c>
      <c r="D498" s="42" t="n">
        <v>5</v>
      </c>
      <c r="E498" s="42" t="n">
        <v>1</v>
      </c>
      <c r="F498" s="42" t="inlineStr">
        <is>
          <t>FR-140</t>
        </is>
      </c>
      <c r="G498" s="55">
        <f>IFERROR(INDEX('Semrush Data'!$A$1:$Z$20000,MATCH(A498,'Semrush Data'!$A$1:$A$20000,0),MATCH("Volume",'Semrush Data'!$A$1:$Z$1,0)),"")</f>
        <v/>
      </c>
      <c r="H498" s="42">
        <f>IFERROR(INDEX('Semrush Data'!$A$1:$Z$20000,MATCH(A498,'Semrush Data'!$A$1:$A$20000,0),MATCH("Keyword Difficulty*",'Semrush Data'!$A$1:$Z$1,0)),"")</f>
        <v/>
      </c>
      <c r="I498" s="56">
        <f>IFERROR(INDEX('Semrush Data'!$A$1:$Z$20000,MATCH(A498,'Semrush Data'!$A$1:$A$20000,0),MATCH("CPC*",'Semrush Data'!$A$1:$Z$1,0)),"")</f>
        <v/>
      </c>
      <c r="J498" s="42">
        <f>IFERROR(INDEX('Semrush Data'!$A$1:$Z$20000,MATCH(A498,'Semrush Data'!$A$1:$A$20000,0),MATCH("Intent",'Semrush Data'!$A$1:$Z$1,0)),"")</f>
        <v/>
      </c>
    </row>
    <row r="499" ht="15" customHeight="1" s="37">
      <c r="A499" s="42" t="inlineStr">
        <is>
          <t>dunhill signature collection valensole lavender</t>
        </is>
      </c>
      <c r="B499" s="42" t="inlineStr">
        <is>
          <t>Product</t>
        </is>
      </c>
      <c r="C499" s="42" t="n">
        <v>1</v>
      </c>
      <c r="D499" s="42" t="n">
        <v>5</v>
      </c>
      <c r="E499" s="42" t="n">
        <v>1</v>
      </c>
      <c r="F499" s="42" t="inlineStr">
        <is>
          <t>FR-141</t>
        </is>
      </c>
      <c r="G499" s="55">
        <f>IFERROR(INDEX('Semrush Data'!$A$1:$Z$20000,MATCH(A499,'Semrush Data'!$A$1:$A$20000,0),MATCH("Volume",'Semrush Data'!$A$1:$Z$1,0)),"")</f>
        <v/>
      </c>
      <c r="H499" s="42">
        <f>IFERROR(INDEX('Semrush Data'!$A$1:$Z$20000,MATCH(A499,'Semrush Data'!$A$1:$A$20000,0),MATCH("Keyword Difficulty*",'Semrush Data'!$A$1:$Z$1,0)),"")</f>
        <v/>
      </c>
      <c r="I499" s="56">
        <f>IFERROR(INDEX('Semrush Data'!$A$1:$Z$20000,MATCH(A499,'Semrush Data'!$A$1:$A$20000,0),MATCH("CPC*",'Semrush Data'!$A$1:$Z$1,0)),"")</f>
        <v/>
      </c>
      <c r="J499" s="42">
        <f>IFERROR(INDEX('Semrush Data'!$A$1:$Z$20000,MATCH(A499,'Semrush Data'!$A$1:$A$20000,0),MATCH("Intent",'Semrush Data'!$A$1:$Z$1,0)),"")</f>
        <v/>
      </c>
    </row>
    <row r="500" ht="15" customHeight="1" s="37">
      <c r="A500" s="42" t="inlineStr">
        <is>
          <t>elie saab elixir</t>
        </is>
      </c>
      <c r="B500" s="42" t="inlineStr">
        <is>
          <t>Product</t>
        </is>
      </c>
      <c r="C500" s="42" t="n">
        <v>1</v>
      </c>
      <c r="D500" s="42" t="n">
        <v>5</v>
      </c>
      <c r="E500" s="42" t="n">
        <v>1</v>
      </c>
      <c r="F500" s="42" t="inlineStr">
        <is>
          <t>FR-146</t>
        </is>
      </c>
      <c r="G500" s="55">
        <f>IFERROR(INDEX('Semrush Data'!$A$1:$Z$20000,MATCH(A500,'Semrush Data'!$A$1:$A$20000,0),MATCH("Volume",'Semrush Data'!$A$1:$Z$1,0)),"")</f>
        <v/>
      </c>
      <c r="H500" s="42">
        <f>IFERROR(INDEX('Semrush Data'!$A$1:$Z$20000,MATCH(A500,'Semrush Data'!$A$1:$A$20000,0),MATCH("Keyword Difficulty*",'Semrush Data'!$A$1:$Z$1,0)),"")</f>
        <v/>
      </c>
      <c r="I500" s="56">
        <f>IFERROR(INDEX('Semrush Data'!$A$1:$Z$20000,MATCH(A500,'Semrush Data'!$A$1:$A$20000,0),MATCH("CPC*",'Semrush Data'!$A$1:$Z$1,0)),"")</f>
        <v/>
      </c>
      <c r="J500" s="42">
        <f>IFERROR(INDEX('Semrush Data'!$A$1:$Z$20000,MATCH(A500,'Semrush Data'!$A$1:$A$20000,0),MATCH("Intent",'Semrush Data'!$A$1:$Z$1,0)),"")</f>
        <v/>
      </c>
    </row>
    <row r="501" ht="15" customHeight="1" s="37">
      <c r="A501" s="42" t="inlineStr">
        <is>
          <t>elie saab girl of now lovely gift set</t>
        </is>
      </c>
      <c r="B501" s="42" t="inlineStr">
        <is>
          <t>Product</t>
        </is>
      </c>
      <c r="C501" s="42" t="n">
        <v>1</v>
      </c>
      <c r="D501" s="42" t="n">
        <v>5</v>
      </c>
      <c r="E501" s="42" t="n">
        <v>1</v>
      </c>
      <c r="F501" s="42" t="inlineStr">
        <is>
          <t>FR-153</t>
        </is>
      </c>
      <c r="G501" s="55">
        <f>IFERROR(INDEX('Semrush Data'!$A$1:$Z$20000,MATCH(A501,'Semrush Data'!$A$1:$A$20000,0),MATCH("Volume",'Semrush Data'!$A$1:$Z$1,0)),"")</f>
        <v/>
      </c>
      <c r="H501" s="42">
        <f>IFERROR(INDEX('Semrush Data'!$A$1:$Z$20000,MATCH(A501,'Semrush Data'!$A$1:$A$20000,0),MATCH("Keyword Difficulty*",'Semrush Data'!$A$1:$Z$1,0)),"")</f>
        <v/>
      </c>
      <c r="I501" s="56">
        <f>IFERROR(INDEX('Semrush Data'!$A$1:$Z$20000,MATCH(A501,'Semrush Data'!$A$1:$A$20000,0),MATCH("CPC*",'Semrush Data'!$A$1:$Z$1,0)),"")</f>
        <v/>
      </c>
      <c r="J501" s="42">
        <f>IFERROR(INDEX('Semrush Data'!$A$1:$Z$20000,MATCH(A501,'Semrush Data'!$A$1:$A$20000,0),MATCH("Intent",'Semrush Data'!$A$1:$Z$1,0)),"")</f>
        <v/>
      </c>
    </row>
    <row r="502" ht="15" customHeight="1" s="37">
      <c r="A502" s="42" t="inlineStr">
        <is>
          <t>elie saab la collection des essences no. 1 rose</t>
        </is>
      </c>
      <c r="B502" s="42" t="inlineStr">
        <is>
          <t>Product</t>
        </is>
      </c>
      <c r="C502" s="42" t="n">
        <v>1</v>
      </c>
      <c r="D502" s="42" t="n">
        <v>6</v>
      </c>
      <c r="E502" s="42" t="n">
        <v>1</v>
      </c>
      <c r="F502" s="42" t="inlineStr">
        <is>
          <t>FR-147</t>
        </is>
      </c>
      <c r="G502" s="55">
        <f>IFERROR(INDEX('Semrush Data'!$A$1:$Z$20000,MATCH(A502,'Semrush Data'!$A$1:$A$20000,0),MATCH("Volume",'Semrush Data'!$A$1:$Z$1,0)),"")</f>
        <v/>
      </c>
      <c r="H502" s="42">
        <f>IFERROR(INDEX('Semrush Data'!$A$1:$Z$20000,MATCH(A502,'Semrush Data'!$A$1:$A$20000,0),MATCH("Keyword Difficulty*",'Semrush Data'!$A$1:$Z$1,0)),"")</f>
        <v/>
      </c>
      <c r="I502" s="56">
        <f>IFERROR(INDEX('Semrush Data'!$A$1:$Z$20000,MATCH(A502,'Semrush Data'!$A$1:$A$20000,0),MATCH("CPC*",'Semrush Data'!$A$1:$Z$1,0)),"")</f>
        <v/>
      </c>
      <c r="J502" s="42">
        <f>IFERROR(INDEX('Semrush Data'!$A$1:$Z$20000,MATCH(A502,'Semrush Data'!$A$1:$A$20000,0),MATCH("Intent",'Semrush Data'!$A$1:$Z$1,0)),"")</f>
        <v/>
      </c>
    </row>
    <row r="503" ht="15" customHeight="1" s="37">
      <c r="A503" s="42" t="inlineStr">
        <is>
          <t>elie saab la collection des essences no. 4 oud</t>
        </is>
      </c>
      <c r="B503" s="42" t="inlineStr">
        <is>
          <t>Product</t>
        </is>
      </c>
      <c r="C503" s="42" t="n">
        <v>1</v>
      </c>
      <c r="D503" s="42" t="n">
        <v>6</v>
      </c>
      <c r="E503" s="42" t="n">
        <v>1</v>
      </c>
      <c r="F503" s="42" t="inlineStr">
        <is>
          <t>FR-148</t>
        </is>
      </c>
      <c r="G503" s="55">
        <f>IFERROR(INDEX('Semrush Data'!$A$1:$Z$20000,MATCH(A503,'Semrush Data'!$A$1:$A$20000,0),MATCH("Volume",'Semrush Data'!$A$1:$Z$1,0)),"")</f>
        <v/>
      </c>
      <c r="H503" s="42">
        <f>IFERROR(INDEX('Semrush Data'!$A$1:$Z$20000,MATCH(A503,'Semrush Data'!$A$1:$A$20000,0),MATCH("Keyword Difficulty*",'Semrush Data'!$A$1:$Z$1,0)),"")</f>
        <v/>
      </c>
      <c r="I503" s="56">
        <f>IFERROR(INDEX('Semrush Data'!$A$1:$Z$20000,MATCH(A503,'Semrush Data'!$A$1:$A$20000,0),MATCH("CPC*",'Semrush Data'!$A$1:$Z$1,0)),"")</f>
        <v/>
      </c>
      <c r="J503" s="42">
        <f>IFERROR(INDEX('Semrush Data'!$A$1:$Z$20000,MATCH(A503,'Semrush Data'!$A$1:$A$20000,0),MATCH("Intent",'Semrush Data'!$A$1:$Z$1,0)),"")</f>
        <v/>
      </c>
    </row>
    <row r="504" ht="15" customHeight="1" s="37">
      <c r="A504" s="42" t="inlineStr">
        <is>
          <t>elie saab le</t>
        </is>
      </c>
      <c r="B504" s="42" t="inlineStr">
        <is>
          <t>Product</t>
        </is>
      </c>
      <c r="C504" s="42" t="n">
        <v>1</v>
      </c>
      <c r="D504" s="42" t="n">
        <v>6</v>
      </c>
      <c r="E504" s="42" t="n">
        <v>1</v>
      </c>
      <c r="F504" s="42" t="inlineStr">
        <is>
          <t>FR-150</t>
        </is>
      </c>
      <c r="G504" s="55">
        <f>IFERROR(INDEX('Semrush Data'!$A$1:$Z$20000,MATCH(A504,'Semrush Data'!$A$1:$A$20000,0),MATCH("Volume",'Semrush Data'!$A$1:$Z$1,0)),"")</f>
        <v/>
      </c>
      <c r="H504" s="42">
        <f>IFERROR(INDEX('Semrush Data'!$A$1:$Z$20000,MATCH(A504,'Semrush Data'!$A$1:$A$20000,0),MATCH("Keyword Difficulty*",'Semrush Data'!$A$1:$Z$1,0)),"")</f>
        <v/>
      </c>
      <c r="I504" s="56">
        <f>IFERROR(INDEX('Semrush Data'!$A$1:$Z$20000,MATCH(A504,'Semrush Data'!$A$1:$A$20000,0),MATCH("CPC*",'Semrush Data'!$A$1:$Z$1,0)),"")</f>
        <v/>
      </c>
      <c r="J504" s="42">
        <f>IFERROR(INDEX('Semrush Data'!$A$1:$Z$20000,MATCH(A504,'Semrush Data'!$A$1:$A$20000,0),MATCH("Intent",'Semrush Data'!$A$1:$Z$1,0)),"")</f>
        <v/>
      </c>
    </row>
    <row r="505" ht="15" customHeight="1" s="37">
      <c r="A505" s="42" t="inlineStr">
        <is>
          <t>elie saab le parfum bridal</t>
        </is>
      </c>
      <c r="B505" s="42" t="inlineStr">
        <is>
          <t>Product</t>
        </is>
      </c>
      <c r="C505" s="42" t="n">
        <v>1</v>
      </c>
      <c r="D505" s="42" t="n">
        <v>6</v>
      </c>
      <c r="E505" s="42" t="n">
        <v>1</v>
      </c>
      <c r="F505" s="42" t="inlineStr">
        <is>
          <t>FR-149</t>
        </is>
      </c>
      <c r="G505" s="55">
        <f>IFERROR(INDEX('Semrush Data'!$A$1:$Z$20000,MATCH(A505,'Semrush Data'!$A$1:$A$20000,0),MATCH("Volume",'Semrush Data'!$A$1:$Z$1,0)),"")</f>
        <v/>
      </c>
      <c r="H505" s="42">
        <f>IFERROR(INDEX('Semrush Data'!$A$1:$Z$20000,MATCH(A505,'Semrush Data'!$A$1:$A$20000,0),MATCH("Keyword Difficulty*",'Semrush Data'!$A$1:$Z$1,0)),"")</f>
        <v/>
      </c>
      <c r="I505" s="56">
        <f>IFERROR(INDEX('Semrush Data'!$A$1:$Z$20000,MATCH(A505,'Semrush Data'!$A$1:$A$20000,0),MATCH("CPC*",'Semrush Data'!$A$1:$Z$1,0)),"")</f>
        <v/>
      </c>
      <c r="J505" s="42">
        <f>IFERROR(INDEX('Semrush Data'!$A$1:$Z$20000,MATCH(A505,'Semrush Data'!$A$1:$A$20000,0),MATCH("Intent",'Semrush Data'!$A$1:$Z$1,0)),"")</f>
        <v/>
      </c>
    </row>
    <row r="506" ht="15" customHeight="1" s="37">
      <c r="A506" s="42" t="inlineStr">
        <is>
          <t>elie saab le parfum gift set</t>
        </is>
      </c>
      <c r="B506" s="42" t="inlineStr">
        <is>
          <t>Product</t>
        </is>
      </c>
      <c r="C506" s="42" t="n">
        <v>1</v>
      </c>
      <c r="D506" s="42" t="n">
        <v>6</v>
      </c>
      <c r="E506" s="42" t="n">
        <v>1</v>
      </c>
      <c r="F506" s="42" t="inlineStr">
        <is>
          <t>FR-154</t>
        </is>
      </c>
      <c r="G506" s="55">
        <f>IFERROR(INDEX('Semrush Data'!$A$1:$Z$20000,MATCH(A506,'Semrush Data'!$A$1:$A$20000,0),MATCH("Volume",'Semrush Data'!$A$1:$Z$1,0)),"")</f>
        <v/>
      </c>
      <c r="H506" s="42">
        <f>IFERROR(INDEX('Semrush Data'!$A$1:$Z$20000,MATCH(A506,'Semrush Data'!$A$1:$A$20000,0),MATCH("Keyword Difficulty*",'Semrush Data'!$A$1:$Z$1,0)),"")</f>
        <v/>
      </c>
      <c r="I506" s="56">
        <f>IFERROR(INDEX('Semrush Data'!$A$1:$Z$20000,MATCH(A506,'Semrush Data'!$A$1:$A$20000,0),MATCH("CPC*",'Semrush Data'!$A$1:$Z$1,0)),"")</f>
        <v/>
      </c>
      <c r="J506" s="42">
        <f>IFERROR(INDEX('Semrush Data'!$A$1:$Z$20000,MATCH(A506,'Semrush Data'!$A$1:$A$20000,0),MATCH("Intent",'Semrush Data'!$A$1:$Z$1,0)),"")</f>
        <v/>
      </c>
    </row>
    <row r="507" ht="15" customHeight="1" s="37">
      <c r="A507" s="42" t="inlineStr">
        <is>
          <t>elie saab le parfum intense</t>
        </is>
      </c>
      <c r="B507" s="42" t="inlineStr">
        <is>
          <t>Product</t>
        </is>
      </c>
      <c r="C507" s="42" t="n">
        <v>1</v>
      </c>
      <c r="D507" s="42" t="n">
        <v>6</v>
      </c>
      <c r="E507" s="42" t="n">
        <v>1</v>
      </c>
      <c r="F507" s="42" t="inlineStr">
        <is>
          <t>FR-151</t>
        </is>
      </c>
      <c r="G507" s="55">
        <f>IFERROR(INDEX('Semrush Data'!$A$1:$Z$20000,MATCH(A507,'Semrush Data'!$A$1:$A$20000,0),MATCH("Volume",'Semrush Data'!$A$1:$Z$1,0)),"")</f>
        <v/>
      </c>
      <c r="H507" s="42">
        <f>IFERROR(INDEX('Semrush Data'!$A$1:$Z$20000,MATCH(A507,'Semrush Data'!$A$1:$A$20000,0),MATCH("Keyword Difficulty*",'Semrush Data'!$A$1:$Z$1,0)),"")</f>
        <v/>
      </c>
      <c r="I507" s="56">
        <f>IFERROR(INDEX('Semrush Data'!$A$1:$Z$20000,MATCH(A507,'Semrush Data'!$A$1:$A$20000,0),MATCH("CPC*",'Semrush Data'!$A$1:$Z$1,0)),"")</f>
        <v/>
      </c>
      <c r="J507" s="42">
        <f>IFERROR(INDEX('Semrush Data'!$A$1:$Z$20000,MATCH(A507,'Semrush Data'!$A$1:$A$20000,0),MATCH("Intent",'Semrush Data'!$A$1:$Z$1,0)),"")</f>
        <v/>
      </c>
    </row>
    <row r="508" ht="15" customHeight="1" s="37">
      <c r="A508" s="42" t="inlineStr">
        <is>
          <t>elie saab le parfum lumiere gift set</t>
        </is>
      </c>
      <c r="B508" s="42" t="inlineStr">
        <is>
          <t>Product</t>
        </is>
      </c>
      <c r="C508" s="42" t="n">
        <v>1</v>
      </c>
      <c r="D508" s="42" t="n">
        <v>6</v>
      </c>
      <c r="E508" s="42" t="n">
        <v>1</v>
      </c>
      <c r="F508" s="42" t="inlineStr">
        <is>
          <t>FR-155</t>
        </is>
      </c>
      <c r="G508" s="55">
        <f>IFERROR(INDEX('Semrush Data'!$A$1:$Z$20000,MATCH(A508,'Semrush Data'!$A$1:$A$20000,0),MATCH("Volume",'Semrush Data'!$A$1:$Z$1,0)),"")</f>
        <v/>
      </c>
      <c r="H508" s="42">
        <f>IFERROR(INDEX('Semrush Data'!$A$1:$Z$20000,MATCH(A508,'Semrush Data'!$A$1:$A$20000,0),MATCH("Keyword Difficulty*",'Semrush Data'!$A$1:$Z$1,0)),"")</f>
        <v/>
      </c>
      <c r="I508" s="56">
        <f>IFERROR(INDEX('Semrush Data'!$A$1:$Z$20000,MATCH(A508,'Semrush Data'!$A$1:$A$20000,0),MATCH("CPC*",'Semrush Data'!$A$1:$Z$1,0)),"")</f>
        <v/>
      </c>
      <c r="J508" s="42">
        <f>IFERROR(INDEX('Semrush Data'!$A$1:$Z$20000,MATCH(A508,'Semrush Data'!$A$1:$A$20000,0),MATCH("Intent",'Semrush Data'!$A$1:$Z$1,0)),"")</f>
        <v/>
      </c>
    </row>
    <row r="509" ht="15" customHeight="1" s="37">
      <c r="A509" s="42" t="inlineStr">
        <is>
          <t>elie saab nuit noor</t>
        </is>
      </c>
      <c r="B509" s="42" t="inlineStr">
        <is>
          <t>Product</t>
        </is>
      </c>
      <c r="C509" s="42" t="n">
        <v>1</v>
      </c>
      <c r="D509" s="42" t="n">
        <v>6</v>
      </c>
      <c r="E509" s="42" t="n">
        <v>1</v>
      </c>
      <c r="F509" s="42" t="inlineStr">
        <is>
          <t>FR-152</t>
        </is>
      </c>
      <c r="G509" s="55">
        <f>IFERROR(INDEX('Semrush Data'!$A$1:$Z$20000,MATCH(A509,'Semrush Data'!$A$1:$A$20000,0),MATCH("Volume",'Semrush Data'!$A$1:$Z$1,0)),"")</f>
        <v/>
      </c>
      <c r="H509" s="42">
        <f>IFERROR(INDEX('Semrush Data'!$A$1:$Z$20000,MATCH(A509,'Semrush Data'!$A$1:$A$20000,0),MATCH("Keyword Difficulty*",'Semrush Data'!$A$1:$Z$1,0)),"")</f>
        <v/>
      </c>
      <c r="I509" s="56">
        <f>IFERROR(INDEX('Semrush Data'!$A$1:$Z$20000,MATCH(A509,'Semrush Data'!$A$1:$A$20000,0),MATCH("CPC*",'Semrush Data'!$A$1:$Z$1,0)),"")</f>
        <v/>
      </c>
      <c r="J509" s="42">
        <f>IFERROR(INDEX('Semrush Data'!$A$1:$Z$20000,MATCH(A509,'Semrush Data'!$A$1:$A$20000,0),MATCH("Intent",'Semrush Data'!$A$1:$Z$1,0)),"")</f>
        <v/>
      </c>
    </row>
    <row r="510" ht="15" customHeight="1" s="37">
      <c r="A510" s="42" t="inlineStr">
        <is>
          <t>elizabeth arden beauty</t>
        </is>
      </c>
      <c r="B510" s="42" t="inlineStr">
        <is>
          <t>Product</t>
        </is>
      </c>
      <c r="C510" s="42" t="n">
        <v>1</v>
      </c>
      <c r="D510" s="42" t="n">
        <v>6</v>
      </c>
      <c r="E510" s="42" t="n">
        <v>1</v>
      </c>
      <c r="F510" s="42" t="inlineStr">
        <is>
          <t>FR-156</t>
        </is>
      </c>
      <c r="G510" s="55">
        <f>IFERROR(INDEX('Semrush Data'!$A$1:$Z$20000,MATCH(A510,'Semrush Data'!$A$1:$A$20000,0),MATCH("Volume",'Semrush Data'!$A$1:$Z$1,0)),"")</f>
        <v/>
      </c>
      <c r="H510" s="42">
        <f>IFERROR(INDEX('Semrush Data'!$A$1:$Z$20000,MATCH(A510,'Semrush Data'!$A$1:$A$20000,0),MATCH("Keyword Difficulty*",'Semrush Data'!$A$1:$Z$1,0)),"")</f>
        <v/>
      </c>
      <c r="I510" s="56">
        <f>IFERROR(INDEX('Semrush Data'!$A$1:$Z$20000,MATCH(A510,'Semrush Data'!$A$1:$A$20000,0),MATCH("CPC*",'Semrush Data'!$A$1:$Z$1,0)),"")</f>
        <v/>
      </c>
      <c r="J510" s="42">
        <f>IFERROR(INDEX('Semrush Data'!$A$1:$Z$20000,MATCH(A510,'Semrush Data'!$A$1:$A$20000,0),MATCH("Intent",'Semrush Data'!$A$1:$Z$1,0)),"")</f>
        <v/>
      </c>
    </row>
    <row r="511" ht="15" customHeight="1" s="37">
      <c r="A511" s="42" t="inlineStr">
        <is>
          <t>escada magnetic dream</t>
        </is>
      </c>
      <c r="B511" s="42" t="inlineStr">
        <is>
          <t>Product</t>
        </is>
      </c>
      <c r="C511" s="42" t="n">
        <v>1</v>
      </c>
      <c r="D511" s="42" t="n">
        <v>6</v>
      </c>
      <c r="E511" s="42" t="n">
        <v>1</v>
      </c>
      <c r="F511" s="42" t="inlineStr">
        <is>
          <t>FR-157</t>
        </is>
      </c>
      <c r="G511" s="55">
        <f>IFERROR(INDEX('Semrush Data'!$A$1:$Z$20000,MATCH(A511,'Semrush Data'!$A$1:$A$20000,0),MATCH("Volume",'Semrush Data'!$A$1:$Z$1,0)),"")</f>
        <v/>
      </c>
      <c r="H511" s="42">
        <f>IFERROR(INDEX('Semrush Data'!$A$1:$Z$20000,MATCH(A511,'Semrush Data'!$A$1:$A$20000,0),MATCH("Keyword Difficulty*",'Semrush Data'!$A$1:$Z$1,0)),"")</f>
        <v/>
      </c>
      <c r="I511" s="56">
        <f>IFERROR(INDEX('Semrush Data'!$A$1:$Z$20000,MATCH(A511,'Semrush Data'!$A$1:$A$20000,0),MATCH("CPC*",'Semrush Data'!$A$1:$Z$1,0)),"")</f>
        <v/>
      </c>
      <c r="J511" s="42">
        <f>IFERROR(INDEX('Semrush Data'!$A$1:$Z$20000,MATCH(A511,'Semrush Data'!$A$1:$A$20000,0),MATCH("Intent",'Semrush Data'!$A$1:$Z$1,0)),"")</f>
        <v/>
      </c>
    </row>
    <row r="512" ht="15" customHeight="1" s="37">
      <c r="A512" s="42" t="inlineStr">
        <is>
          <t>escada magnetism</t>
        </is>
      </c>
      <c r="B512" s="42" t="inlineStr">
        <is>
          <t>Product</t>
        </is>
      </c>
      <c r="C512" s="42" t="n">
        <v>1</v>
      </c>
      <c r="D512" s="42" t="n">
        <v>6</v>
      </c>
      <c r="E512" s="42" t="n">
        <v>1</v>
      </c>
      <c r="F512" s="42" t="inlineStr">
        <is>
          <t>FR-158</t>
        </is>
      </c>
      <c r="G512" s="55">
        <f>IFERROR(INDEX('Semrush Data'!$A$1:$Z$20000,MATCH(A512,'Semrush Data'!$A$1:$A$20000,0),MATCH("Volume",'Semrush Data'!$A$1:$Z$1,0)),"")</f>
        <v/>
      </c>
      <c r="H512" s="42">
        <f>IFERROR(INDEX('Semrush Data'!$A$1:$Z$20000,MATCH(A512,'Semrush Data'!$A$1:$A$20000,0),MATCH("Keyword Difficulty*",'Semrush Data'!$A$1:$Z$1,0)),"")</f>
        <v/>
      </c>
      <c r="I512" s="56">
        <f>IFERROR(INDEX('Semrush Data'!$A$1:$Z$20000,MATCH(A512,'Semrush Data'!$A$1:$A$20000,0),MATCH("CPC*",'Semrush Data'!$A$1:$Z$1,0)),"")</f>
        <v/>
      </c>
      <c r="J512" s="42">
        <f>IFERROR(INDEX('Semrush Data'!$A$1:$Z$20000,MATCH(A512,'Semrush Data'!$A$1:$A$20000,0),MATCH("Intent",'Semrush Data'!$A$1:$Z$1,0)),"")</f>
        <v/>
      </c>
    </row>
    <row r="513" ht="15" customHeight="1" s="37">
      <c r="A513" s="42" t="inlineStr">
        <is>
          <t>escada party love</t>
        </is>
      </c>
      <c r="B513" s="42" t="inlineStr">
        <is>
          <t>Product</t>
        </is>
      </c>
      <c r="C513" s="42" t="n">
        <v>1</v>
      </c>
      <c r="D513" s="42" t="n">
        <v>6</v>
      </c>
      <c r="E513" s="42" t="n">
        <v>1</v>
      </c>
      <c r="F513" s="42" t="inlineStr">
        <is>
          <t>FR-159</t>
        </is>
      </c>
      <c r="G513" s="55">
        <f>IFERROR(INDEX('Semrush Data'!$A$1:$Z$20000,MATCH(A513,'Semrush Data'!$A$1:$A$20000,0),MATCH("Volume",'Semrush Data'!$A$1:$Z$1,0)),"")</f>
        <v/>
      </c>
      <c r="H513" s="42">
        <f>IFERROR(INDEX('Semrush Data'!$A$1:$Z$20000,MATCH(A513,'Semrush Data'!$A$1:$A$20000,0),MATCH("Keyword Difficulty*",'Semrush Data'!$A$1:$Z$1,0)),"")</f>
        <v/>
      </c>
      <c r="I513" s="56">
        <f>IFERROR(INDEX('Semrush Data'!$A$1:$Z$20000,MATCH(A513,'Semrush Data'!$A$1:$A$20000,0),MATCH("CPC*",'Semrush Data'!$A$1:$Z$1,0)),"")</f>
        <v/>
      </c>
      <c r="J513" s="42">
        <f>IFERROR(INDEX('Semrush Data'!$A$1:$Z$20000,MATCH(A513,'Semrush Data'!$A$1:$A$20000,0),MATCH("Intent",'Semrush Data'!$A$1:$Z$1,0)),"")</f>
        <v/>
      </c>
    </row>
    <row r="514" ht="15" customHeight="1" s="37">
      <c r="A514" s="42" t="inlineStr">
        <is>
          <t>estee lauder spellbound</t>
        </is>
      </c>
      <c r="B514" s="42" t="inlineStr">
        <is>
          <t>Product</t>
        </is>
      </c>
      <c r="C514" s="42" t="n">
        <v>1</v>
      </c>
      <c r="D514" s="42" t="n">
        <v>6</v>
      </c>
      <c r="E514" s="42" t="n">
        <v>1</v>
      </c>
      <c r="F514" s="42" t="inlineStr">
        <is>
          <t>FR-160</t>
        </is>
      </c>
      <c r="G514" s="55">
        <f>IFERROR(INDEX('Semrush Data'!$A$1:$Z$20000,MATCH(A514,'Semrush Data'!$A$1:$A$20000,0),MATCH("Volume",'Semrush Data'!$A$1:$Z$1,0)),"")</f>
        <v/>
      </c>
      <c r="H514" s="42">
        <f>IFERROR(INDEX('Semrush Data'!$A$1:$Z$20000,MATCH(A514,'Semrush Data'!$A$1:$A$20000,0),MATCH("Keyword Difficulty*",'Semrush Data'!$A$1:$Z$1,0)),"")</f>
        <v/>
      </c>
      <c r="I514" s="56">
        <f>IFERROR(INDEX('Semrush Data'!$A$1:$Z$20000,MATCH(A514,'Semrush Data'!$A$1:$A$20000,0),MATCH("CPC*",'Semrush Data'!$A$1:$Z$1,0)),"")</f>
        <v/>
      </c>
      <c r="J514" s="42">
        <f>IFERROR(INDEX('Semrush Data'!$A$1:$Z$20000,MATCH(A514,'Semrush Data'!$A$1:$A$20000,0),MATCH("Intent",'Semrush Data'!$A$1:$Z$1,0)),"")</f>
        <v/>
      </c>
    </row>
    <row r="515" ht="15" customHeight="1" s="37">
      <c r="A515" s="42" t="inlineStr">
        <is>
          <t>etienne aigner first class explorer</t>
        </is>
      </c>
      <c r="B515" s="42" t="inlineStr">
        <is>
          <t>Product</t>
        </is>
      </c>
      <c r="C515" s="42" t="n">
        <v>1</v>
      </c>
      <c r="D515" s="42" t="n">
        <v>6</v>
      </c>
      <c r="E515" s="42" t="n">
        <v>1</v>
      </c>
      <c r="F515" s="42" t="inlineStr">
        <is>
          <t>FR-161</t>
        </is>
      </c>
      <c r="G515" s="55">
        <f>IFERROR(INDEX('Semrush Data'!$A$1:$Z$20000,MATCH(A515,'Semrush Data'!$A$1:$A$20000,0),MATCH("Volume",'Semrush Data'!$A$1:$Z$1,0)),"")</f>
        <v/>
      </c>
      <c r="H515" s="42">
        <f>IFERROR(INDEX('Semrush Data'!$A$1:$Z$20000,MATCH(A515,'Semrush Data'!$A$1:$A$20000,0),MATCH("Keyword Difficulty*",'Semrush Data'!$A$1:$Z$1,0)),"")</f>
        <v/>
      </c>
      <c r="I515" s="56">
        <f>IFERROR(INDEX('Semrush Data'!$A$1:$Z$20000,MATCH(A515,'Semrush Data'!$A$1:$A$20000,0),MATCH("CPC*",'Semrush Data'!$A$1:$Z$1,0)),"")</f>
        <v/>
      </c>
      <c r="J515" s="42">
        <f>IFERROR(INDEX('Semrush Data'!$A$1:$Z$20000,MATCH(A515,'Semrush Data'!$A$1:$A$20000,0),MATCH("Intent",'Semrush Data'!$A$1:$Z$1,0)),"")</f>
        <v/>
      </c>
    </row>
    <row r="516" ht="15" customHeight="1" s="37">
      <c r="A516" s="42" t="inlineStr">
        <is>
          <t>etienne aigner no. 1 intense</t>
        </is>
      </c>
      <c r="B516" s="42" t="inlineStr">
        <is>
          <t>Product</t>
        </is>
      </c>
      <c r="C516" s="42" t="n">
        <v>1</v>
      </c>
      <c r="D516" s="42" t="n">
        <v>6</v>
      </c>
      <c r="E516" s="42" t="n">
        <v>1</v>
      </c>
      <c r="F516" s="42" t="inlineStr">
        <is>
          <t>FR-162</t>
        </is>
      </c>
      <c r="G516" s="55">
        <f>IFERROR(INDEX('Semrush Data'!$A$1:$Z$20000,MATCH(A516,'Semrush Data'!$A$1:$A$20000,0),MATCH("Volume",'Semrush Data'!$A$1:$Z$1,0)),"")</f>
        <v/>
      </c>
      <c r="H516" s="42">
        <f>IFERROR(INDEX('Semrush Data'!$A$1:$Z$20000,MATCH(A516,'Semrush Data'!$A$1:$A$20000,0),MATCH("Keyword Difficulty*",'Semrush Data'!$A$1:$Z$1,0)),"")</f>
        <v/>
      </c>
      <c r="I516" s="56">
        <f>IFERROR(INDEX('Semrush Data'!$A$1:$Z$20000,MATCH(A516,'Semrush Data'!$A$1:$A$20000,0),MATCH("CPC*",'Semrush Data'!$A$1:$Z$1,0)),"")</f>
        <v/>
      </c>
      <c r="J516" s="42">
        <f>IFERROR(INDEX('Semrush Data'!$A$1:$Z$20000,MATCH(A516,'Semrush Data'!$A$1:$A$20000,0),MATCH("Intent",'Semrush Data'!$A$1:$Z$1,0)),"")</f>
        <v/>
      </c>
    </row>
    <row r="517" ht="15" customHeight="1" s="37">
      <c r="A517" s="42" t="inlineStr">
        <is>
          <t>fumeri 540</t>
        </is>
      </c>
      <c r="B517" s="42" t="inlineStr">
        <is>
          <t>Product</t>
        </is>
      </c>
      <c r="C517" s="42" t="n">
        <v>1</v>
      </c>
      <c r="D517" s="42" t="n">
        <v>6</v>
      </c>
      <c r="E517" s="42" t="n">
        <v>1</v>
      </c>
      <c r="F517" s="42" t="inlineStr">
        <is>
          <t>FR-163</t>
        </is>
      </c>
      <c r="G517" s="55">
        <f>IFERROR(INDEX('Semrush Data'!$A$1:$Z$20000,MATCH(A517,'Semrush Data'!$A$1:$A$20000,0),MATCH("Volume",'Semrush Data'!$A$1:$Z$1,0)),"")</f>
        <v/>
      </c>
      <c r="H517" s="42">
        <f>IFERROR(INDEX('Semrush Data'!$A$1:$Z$20000,MATCH(A517,'Semrush Data'!$A$1:$A$20000,0),MATCH("Keyword Difficulty*",'Semrush Data'!$A$1:$Z$1,0)),"")</f>
        <v/>
      </c>
      <c r="I517" s="56">
        <f>IFERROR(INDEX('Semrush Data'!$A$1:$Z$20000,MATCH(A517,'Semrush Data'!$A$1:$A$20000,0),MATCH("CPC*",'Semrush Data'!$A$1:$Z$1,0)),"")</f>
        <v/>
      </c>
      <c r="J517" s="42">
        <f>IFERROR(INDEX('Semrush Data'!$A$1:$Z$20000,MATCH(A517,'Semrush Data'!$A$1:$A$20000,0),MATCH("Intent",'Semrush Data'!$A$1:$Z$1,0)),"")</f>
        <v/>
      </c>
    </row>
    <row r="518" ht="15" customHeight="1" s="37">
      <c r="A518" s="42" t="inlineStr">
        <is>
          <t>fumeri adore</t>
        </is>
      </c>
      <c r="B518" s="42" t="inlineStr">
        <is>
          <t>Product</t>
        </is>
      </c>
      <c r="C518" s="42" t="n">
        <v>1</v>
      </c>
      <c r="D518" s="42" t="n">
        <v>6</v>
      </c>
      <c r="E518" s="42" t="n">
        <v>1</v>
      </c>
      <c r="F518" s="42" t="inlineStr">
        <is>
          <t>FR-164</t>
        </is>
      </c>
      <c r="G518" s="55">
        <f>IFERROR(INDEX('Semrush Data'!$A$1:$Z$20000,MATCH(A518,'Semrush Data'!$A$1:$A$20000,0),MATCH("Volume",'Semrush Data'!$A$1:$Z$1,0)),"")</f>
        <v/>
      </c>
      <c r="H518" s="42">
        <f>IFERROR(INDEX('Semrush Data'!$A$1:$Z$20000,MATCH(A518,'Semrush Data'!$A$1:$A$20000,0),MATCH("Keyword Difficulty*",'Semrush Data'!$A$1:$Z$1,0)),"")</f>
        <v/>
      </c>
      <c r="I518" s="56">
        <f>IFERROR(INDEX('Semrush Data'!$A$1:$Z$20000,MATCH(A518,'Semrush Data'!$A$1:$A$20000,0),MATCH("CPC*",'Semrush Data'!$A$1:$Z$1,0)),"")</f>
        <v/>
      </c>
      <c r="J518" s="42">
        <f>IFERROR(INDEX('Semrush Data'!$A$1:$Z$20000,MATCH(A518,'Semrush Data'!$A$1:$A$20000,0),MATCH("Intent",'Semrush Data'!$A$1:$Z$1,0)),"")</f>
        <v/>
      </c>
    </row>
    <row r="519" ht="15" customHeight="1" s="37">
      <c r="A519" s="42" t="inlineStr">
        <is>
          <t>fumeri ambre night</t>
        </is>
      </c>
      <c r="B519" s="42" t="inlineStr">
        <is>
          <t>Product</t>
        </is>
      </c>
      <c r="C519" s="42" t="n">
        <v>1</v>
      </c>
      <c r="D519" s="42" t="n">
        <v>6</v>
      </c>
      <c r="E519" s="42" t="n">
        <v>1</v>
      </c>
      <c r="F519" s="42" t="inlineStr">
        <is>
          <t>FR-165</t>
        </is>
      </c>
      <c r="G519" s="55">
        <f>IFERROR(INDEX('Semrush Data'!$A$1:$Z$20000,MATCH(A519,'Semrush Data'!$A$1:$A$20000,0),MATCH("Volume",'Semrush Data'!$A$1:$Z$1,0)),"")</f>
        <v/>
      </c>
      <c r="H519" s="42">
        <f>IFERROR(INDEX('Semrush Data'!$A$1:$Z$20000,MATCH(A519,'Semrush Data'!$A$1:$A$20000,0),MATCH("Keyword Difficulty*",'Semrush Data'!$A$1:$Z$1,0)),"")</f>
        <v/>
      </c>
      <c r="I519" s="56">
        <f>IFERROR(INDEX('Semrush Data'!$A$1:$Z$20000,MATCH(A519,'Semrush Data'!$A$1:$A$20000,0),MATCH("CPC*",'Semrush Data'!$A$1:$Z$1,0)),"")</f>
        <v/>
      </c>
      <c r="J519" s="42">
        <f>IFERROR(INDEX('Semrush Data'!$A$1:$Z$20000,MATCH(A519,'Semrush Data'!$A$1:$A$20000,0),MATCH("Intent",'Semrush Data'!$A$1:$Z$1,0)),"")</f>
        <v/>
      </c>
    </row>
    <row r="520" ht="15" customHeight="1" s="37">
      <c r="A520" s="42" t="inlineStr">
        <is>
          <t>fumeri angel</t>
        </is>
      </c>
      <c r="B520" s="42" t="inlineStr">
        <is>
          <t>Product</t>
        </is>
      </c>
      <c r="C520" s="42" t="n">
        <v>1</v>
      </c>
      <c r="D520" s="42" t="n">
        <v>6</v>
      </c>
      <c r="E520" s="42" t="n">
        <v>1</v>
      </c>
      <c r="F520" s="42" t="inlineStr">
        <is>
          <t>FR-166</t>
        </is>
      </c>
      <c r="G520" s="55">
        <f>IFERROR(INDEX('Semrush Data'!$A$1:$Z$20000,MATCH(A520,'Semrush Data'!$A$1:$A$20000,0),MATCH("Volume",'Semrush Data'!$A$1:$Z$1,0)),"")</f>
        <v/>
      </c>
      <c r="H520" s="42">
        <f>IFERROR(INDEX('Semrush Data'!$A$1:$Z$20000,MATCH(A520,'Semrush Data'!$A$1:$A$20000,0),MATCH("Keyword Difficulty*",'Semrush Data'!$A$1:$Z$1,0)),"")</f>
        <v/>
      </c>
      <c r="I520" s="56">
        <f>IFERROR(INDEX('Semrush Data'!$A$1:$Z$20000,MATCH(A520,'Semrush Data'!$A$1:$A$20000,0),MATCH("CPC*",'Semrush Data'!$A$1:$Z$1,0)),"")</f>
        <v/>
      </c>
      <c r="J520" s="42">
        <f>IFERROR(INDEX('Semrush Data'!$A$1:$Z$20000,MATCH(A520,'Semrush Data'!$A$1:$A$20000,0),MATCH("Intent",'Semrush Data'!$A$1:$Z$1,0)),"")</f>
        <v/>
      </c>
    </row>
    <row r="521" ht="15" customHeight="1" s="37">
      <c r="A521" s="42" t="inlineStr">
        <is>
          <t>fumeri blue</t>
        </is>
      </c>
      <c r="B521" s="42" t="inlineStr">
        <is>
          <t>Product</t>
        </is>
      </c>
      <c r="C521" s="42" t="n">
        <v>1</v>
      </c>
      <c r="D521" s="42" t="n">
        <v>6</v>
      </c>
      <c r="E521" s="42" t="n">
        <v>1</v>
      </c>
      <c r="F521" s="42" t="inlineStr">
        <is>
          <t>FR-167</t>
        </is>
      </c>
      <c r="G521" s="55">
        <f>IFERROR(INDEX('Semrush Data'!$A$1:$Z$20000,MATCH(A521,'Semrush Data'!$A$1:$A$20000,0),MATCH("Volume",'Semrush Data'!$A$1:$Z$1,0)),"")</f>
        <v/>
      </c>
      <c r="H521" s="42">
        <f>IFERROR(INDEX('Semrush Data'!$A$1:$Z$20000,MATCH(A521,'Semrush Data'!$A$1:$A$20000,0),MATCH("Keyword Difficulty*",'Semrush Data'!$A$1:$Z$1,0)),"")</f>
        <v/>
      </c>
      <c r="I521" s="56">
        <f>IFERROR(INDEX('Semrush Data'!$A$1:$Z$20000,MATCH(A521,'Semrush Data'!$A$1:$A$20000,0),MATCH("CPC*",'Semrush Data'!$A$1:$Z$1,0)),"")</f>
        <v/>
      </c>
      <c r="J521" s="42">
        <f>IFERROR(INDEX('Semrush Data'!$A$1:$Z$20000,MATCH(A521,'Semrush Data'!$A$1:$A$20000,0),MATCH("Intent",'Semrush Data'!$A$1:$Z$1,0)),"")</f>
        <v/>
      </c>
    </row>
    <row r="522" ht="15" customHeight="1" s="37">
      <c r="A522" s="42" t="inlineStr">
        <is>
          <t>fumeri elixir</t>
        </is>
      </c>
      <c r="B522" s="42" t="inlineStr">
        <is>
          <t>Product</t>
        </is>
      </c>
      <c r="C522" s="42" t="n">
        <v>1</v>
      </c>
      <c r="D522" s="42" t="n">
        <v>6</v>
      </c>
      <c r="E522" s="42" t="n">
        <v>1</v>
      </c>
      <c r="F522" s="42" t="inlineStr">
        <is>
          <t>FR-168</t>
        </is>
      </c>
      <c r="G522" s="55">
        <f>IFERROR(INDEX('Semrush Data'!$A$1:$Z$20000,MATCH(A522,'Semrush Data'!$A$1:$A$20000,0),MATCH("Volume",'Semrush Data'!$A$1:$Z$1,0)),"")</f>
        <v/>
      </c>
      <c r="H522" s="42">
        <f>IFERROR(INDEX('Semrush Data'!$A$1:$Z$20000,MATCH(A522,'Semrush Data'!$A$1:$A$20000,0),MATCH("Keyword Difficulty*",'Semrush Data'!$A$1:$Z$1,0)),"")</f>
        <v/>
      </c>
      <c r="I522" s="56">
        <f>IFERROR(INDEX('Semrush Data'!$A$1:$Z$20000,MATCH(A522,'Semrush Data'!$A$1:$A$20000,0),MATCH("CPC*",'Semrush Data'!$A$1:$Z$1,0)),"")</f>
        <v/>
      </c>
      <c r="J522" s="42">
        <f>IFERROR(INDEX('Semrush Data'!$A$1:$Z$20000,MATCH(A522,'Semrush Data'!$A$1:$A$20000,0),MATCH("Intent",'Semrush Data'!$A$1:$Z$1,0)),"")</f>
        <v/>
      </c>
    </row>
    <row r="523" ht="15" customHeight="1" s="37">
      <c r="A523" s="42" t="inlineStr">
        <is>
          <t>fumeri flirt</t>
        </is>
      </c>
      <c r="B523" s="42" t="inlineStr">
        <is>
          <t>Product</t>
        </is>
      </c>
      <c r="C523" s="42" t="n">
        <v>1</v>
      </c>
      <c r="D523" s="42" t="n">
        <v>6</v>
      </c>
      <c r="E523" s="42" t="n">
        <v>1</v>
      </c>
      <c r="F523" s="42" t="inlineStr">
        <is>
          <t>FR-169</t>
        </is>
      </c>
      <c r="G523" s="55">
        <f>IFERROR(INDEX('Semrush Data'!$A$1:$Z$20000,MATCH(A523,'Semrush Data'!$A$1:$A$20000,0),MATCH("Volume",'Semrush Data'!$A$1:$Z$1,0)),"")</f>
        <v/>
      </c>
      <c r="H523" s="42">
        <f>IFERROR(INDEX('Semrush Data'!$A$1:$Z$20000,MATCH(A523,'Semrush Data'!$A$1:$A$20000,0),MATCH("Keyword Difficulty*",'Semrush Data'!$A$1:$Z$1,0)),"")</f>
        <v/>
      </c>
      <c r="I523" s="56">
        <f>IFERROR(INDEX('Semrush Data'!$A$1:$Z$20000,MATCH(A523,'Semrush Data'!$A$1:$A$20000,0),MATCH("CPC*",'Semrush Data'!$A$1:$Z$1,0)),"")</f>
        <v/>
      </c>
      <c r="J523" s="42">
        <f>IFERROR(INDEX('Semrush Data'!$A$1:$Z$20000,MATCH(A523,'Semrush Data'!$A$1:$A$20000,0),MATCH("Intent",'Semrush Data'!$A$1:$Z$1,0)),"")</f>
        <v/>
      </c>
    </row>
    <row r="524" ht="15" customHeight="1" s="37">
      <c r="A524" s="42" t="inlineStr">
        <is>
          <t>fumeri gabriella</t>
        </is>
      </c>
      <c r="B524" s="42" t="inlineStr">
        <is>
          <t>Product</t>
        </is>
      </c>
      <c r="C524" s="42" t="n">
        <v>1</v>
      </c>
      <c r="D524" s="42" t="n">
        <v>6</v>
      </c>
      <c r="E524" s="42" t="n">
        <v>1</v>
      </c>
      <c r="F524" s="42" t="inlineStr">
        <is>
          <t>FR-170</t>
        </is>
      </c>
      <c r="G524" s="55">
        <f>IFERROR(INDEX('Semrush Data'!$A$1:$Z$20000,MATCH(A524,'Semrush Data'!$A$1:$A$20000,0),MATCH("Volume",'Semrush Data'!$A$1:$Z$1,0)),"")</f>
        <v/>
      </c>
      <c r="H524" s="42">
        <f>IFERROR(INDEX('Semrush Data'!$A$1:$Z$20000,MATCH(A524,'Semrush Data'!$A$1:$A$20000,0),MATCH("Keyword Difficulty*",'Semrush Data'!$A$1:$Z$1,0)),"")</f>
        <v/>
      </c>
      <c r="I524" s="56">
        <f>IFERROR(INDEX('Semrush Data'!$A$1:$Z$20000,MATCH(A524,'Semrush Data'!$A$1:$A$20000,0),MATCH("CPC*",'Semrush Data'!$A$1:$Z$1,0)),"")</f>
        <v/>
      </c>
      <c r="J524" s="42">
        <f>IFERROR(INDEX('Semrush Data'!$A$1:$Z$20000,MATCH(A524,'Semrush Data'!$A$1:$A$20000,0),MATCH("Intent",'Semrush Data'!$A$1:$Z$1,0)),"")</f>
        <v/>
      </c>
    </row>
    <row r="525" ht="15" customHeight="1" s="37">
      <c r="A525" s="42" t="inlineStr">
        <is>
          <t>fumeri gris</t>
        </is>
      </c>
      <c r="B525" s="42" t="inlineStr">
        <is>
          <t>Product</t>
        </is>
      </c>
      <c r="C525" s="42" t="n">
        <v>1</v>
      </c>
      <c r="D525" s="42" t="n">
        <v>6</v>
      </c>
      <c r="E525" s="42" t="n">
        <v>1</v>
      </c>
      <c r="F525" s="42" t="inlineStr">
        <is>
          <t>FR-171</t>
        </is>
      </c>
      <c r="G525" s="55">
        <f>IFERROR(INDEX('Semrush Data'!$A$1:$Z$20000,MATCH(A525,'Semrush Data'!$A$1:$A$20000,0),MATCH("Volume",'Semrush Data'!$A$1:$Z$1,0)),"")</f>
        <v/>
      </c>
      <c r="H525" s="42">
        <f>IFERROR(INDEX('Semrush Data'!$A$1:$Z$20000,MATCH(A525,'Semrush Data'!$A$1:$A$20000,0),MATCH("Keyword Difficulty*",'Semrush Data'!$A$1:$Z$1,0)),"")</f>
        <v/>
      </c>
      <c r="I525" s="56">
        <f>IFERROR(INDEX('Semrush Data'!$A$1:$Z$20000,MATCH(A525,'Semrush Data'!$A$1:$A$20000,0),MATCH("CPC*",'Semrush Data'!$A$1:$Z$1,0)),"")</f>
        <v/>
      </c>
      <c r="J525" s="42">
        <f>IFERROR(INDEX('Semrush Data'!$A$1:$Z$20000,MATCH(A525,'Semrush Data'!$A$1:$A$20000,0),MATCH("Intent",'Semrush Data'!$A$1:$Z$1,0)),"")</f>
        <v/>
      </c>
    </row>
    <row r="526" ht="15" customHeight="1" s="37">
      <c r="A526" s="42" t="inlineStr">
        <is>
          <t>fumeri orchid noir</t>
        </is>
      </c>
      <c r="B526" s="42" t="inlineStr">
        <is>
          <t>Product</t>
        </is>
      </c>
      <c r="C526" s="42" t="n">
        <v>1</v>
      </c>
      <c r="D526" s="42" t="n">
        <v>6</v>
      </c>
      <c r="E526" s="42" t="n">
        <v>1</v>
      </c>
      <c r="F526" s="42" t="inlineStr">
        <is>
          <t>FR-172</t>
        </is>
      </c>
      <c r="G526" s="55">
        <f>IFERROR(INDEX('Semrush Data'!$A$1:$Z$20000,MATCH(A526,'Semrush Data'!$A$1:$A$20000,0),MATCH("Volume",'Semrush Data'!$A$1:$Z$1,0)),"")</f>
        <v/>
      </c>
      <c r="H526" s="42">
        <f>IFERROR(INDEX('Semrush Data'!$A$1:$Z$20000,MATCH(A526,'Semrush Data'!$A$1:$A$20000,0),MATCH("Keyword Difficulty*",'Semrush Data'!$A$1:$Z$1,0)),"")</f>
        <v/>
      </c>
      <c r="I526" s="56">
        <f>IFERROR(INDEX('Semrush Data'!$A$1:$Z$20000,MATCH(A526,'Semrush Data'!$A$1:$A$20000,0),MATCH("CPC*",'Semrush Data'!$A$1:$Z$1,0)),"")</f>
        <v/>
      </c>
      <c r="J526" s="42">
        <f>IFERROR(INDEX('Semrush Data'!$A$1:$Z$20000,MATCH(A526,'Semrush Data'!$A$1:$A$20000,0),MATCH("Intent",'Semrush Data'!$A$1:$Z$1,0)),"")</f>
        <v/>
      </c>
    </row>
    <row r="527" ht="15" customHeight="1" s="37">
      <c r="A527" s="42" t="inlineStr">
        <is>
          <t>fumeri orpheon</t>
        </is>
      </c>
      <c r="B527" s="42" t="inlineStr">
        <is>
          <t>Product</t>
        </is>
      </c>
      <c r="C527" s="42" t="n">
        <v>1</v>
      </c>
      <c r="D527" s="42" t="n">
        <v>6</v>
      </c>
      <c r="E527" s="42" t="n">
        <v>1</v>
      </c>
      <c r="F527" s="42" t="inlineStr">
        <is>
          <t>FR-173</t>
        </is>
      </c>
      <c r="G527" s="55">
        <f>IFERROR(INDEX('Semrush Data'!$A$1:$Z$20000,MATCH(A527,'Semrush Data'!$A$1:$A$20000,0),MATCH("Volume",'Semrush Data'!$A$1:$Z$1,0)),"")</f>
        <v/>
      </c>
      <c r="H527" s="42">
        <f>IFERROR(INDEX('Semrush Data'!$A$1:$Z$20000,MATCH(A527,'Semrush Data'!$A$1:$A$20000,0),MATCH("Keyword Difficulty*",'Semrush Data'!$A$1:$Z$1,0)),"")</f>
        <v/>
      </c>
      <c r="I527" s="56">
        <f>IFERROR(INDEX('Semrush Data'!$A$1:$Z$20000,MATCH(A527,'Semrush Data'!$A$1:$A$20000,0),MATCH("CPC*",'Semrush Data'!$A$1:$Z$1,0)),"")</f>
        <v/>
      </c>
      <c r="J527" s="42">
        <f>IFERROR(INDEX('Semrush Data'!$A$1:$Z$20000,MATCH(A527,'Semrush Data'!$A$1:$A$20000,0),MATCH("Intent",'Semrush Data'!$A$1:$Z$1,0)),"")</f>
        <v/>
      </c>
    </row>
    <row r="528" ht="15" customHeight="1" s="37">
      <c r="A528" s="42" t="inlineStr">
        <is>
          <t>fumeri oud saffron</t>
        </is>
      </c>
      <c r="B528" s="42" t="inlineStr">
        <is>
          <t>Product</t>
        </is>
      </c>
      <c r="C528" s="42" t="n">
        <v>1</v>
      </c>
      <c r="D528" s="42" t="n">
        <v>6</v>
      </c>
      <c r="E528" s="42" t="n">
        <v>1</v>
      </c>
      <c r="F528" s="42" t="inlineStr">
        <is>
          <t>FR-174</t>
        </is>
      </c>
      <c r="G528" s="55">
        <f>IFERROR(INDEX('Semrush Data'!$A$1:$Z$20000,MATCH(A528,'Semrush Data'!$A$1:$A$20000,0),MATCH("Volume",'Semrush Data'!$A$1:$Z$1,0)),"")</f>
        <v/>
      </c>
      <c r="H528" s="42">
        <f>IFERROR(INDEX('Semrush Data'!$A$1:$Z$20000,MATCH(A528,'Semrush Data'!$A$1:$A$20000,0),MATCH("Keyword Difficulty*",'Semrush Data'!$A$1:$Z$1,0)),"")</f>
        <v/>
      </c>
      <c r="I528" s="56">
        <f>IFERROR(INDEX('Semrush Data'!$A$1:$Z$20000,MATCH(A528,'Semrush Data'!$A$1:$A$20000,0),MATCH("CPC*",'Semrush Data'!$A$1:$Z$1,0)),"")</f>
        <v/>
      </c>
      <c r="J528" s="42">
        <f>IFERROR(INDEX('Semrush Data'!$A$1:$Z$20000,MATCH(A528,'Semrush Data'!$A$1:$A$20000,0),MATCH("Intent",'Semrush Data'!$A$1:$Z$1,0)),"")</f>
        <v/>
      </c>
    </row>
    <row r="529" ht="15" customHeight="1" s="37">
      <c r="A529" s="42" t="inlineStr">
        <is>
          <t>fumeri peach</t>
        </is>
      </c>
      <c r="B529" s="42" t="inlineStr">
        <is>
          <t>Product</t>
        </is>
      </c>
      <c r="C529" s="42" t="n">
        <v>1</v>
      </c>
      <c r="D529" s="42" t="n">
        <v>6</v>
      </c>
      <c r="E529" s="42" t="n">
        <v>1</v>
      </c>
      <c r="F529" s="42" t="inlineStr">
        <is>
          <t>FR-175</t>
        </is>
      </c>
      <c r="G529" s="55">
        <f>IFERROR(INDEX('Semrush Data'!$A$1:$Z$20000,MATCH(A529,'Semrush Data'!$A$1:$A$20000,0),MATCH("Volume",'Semrush Data'!$A$1:$Z$1,0)),"")</f>
        <v/>
      </c>
      <c r="H529" s="42">
        <f>IFERROR(INDEX('Semrush Data'!$A$1:$Z$20000,MATCH(A529,'Semrush Data'!$A$1:$A$20000,0),MATCH("Keyword Difficulty*",'Semrush Data'!$A$1:$Z$1,0)),"")</f>
        <v/>
      </c>
      <c r="I529" s="56">
        <f>IFERROR(INDEX('Semrush Data'!$A$1:$Z$20000,MATCH(A529,'Semrush Data'!$A$1:$A$20000,0),MATCH("CPC*",'Semrush Data'!$A$1:$Z$1,0)),"")</f>
        <v/>
      </c>
      <c r="J529" s="42">
        <f>IFERROR(INDEX('Semrush Data'!$A$1:$Z$20000,MATCH(A529,'Semrush Data'!$A$1:$A$20000,0),MATCH("Intent",'Semrush Data'!$A$1:$Z$1,0)),"")</f>
        <v/>
      </c>
    </row>
    <row r="530" ht="15" customHeight="1" s="37">
      <c r="A530" s="42" t="inlineStr">
        <is>
          <t>fumeri smokey leather</t>
        </is>
      </c>
      <c r="B530" s="42" t="inlineStr">
        <is>
          <t>Product</t>
        </is>
      </c>
      <c r="C530" s="42" t="n">
        <v>1</v>
      </c>
      <c r="D530" s="42" t="n">
        <v>6</v>
      </c>
      <c r="E530" s="42" t="n">
        <v>1</v>
      </c>
      <c r="F530" s="42" t="inlineStr">
        <is>
          <t>FR-176</t>
        </is>
      </c>
      <c r="G530" s="55">
        <f>IFERROR(INDEX('Semrush Data'!$A$1:$Z$20000,MATCH(A530,'Semrush Data'!$A$1:$A$20000,0),MATCH("Volume",'Semrush Data'!$A$1:$Z$1,0)),"")</f>
        <v/>
      </c>
      <c r="H530" s="42">
        <f>IFERROR(INDEX('Semrush Data'!$A$1:$Z$20000,MATCH(A530,'Semrush Data'!$A$1:$A$20000,0),MATCH("Keyword Difficulty*",'Semrush Data'!$A$1:$Z$1,0)),"")</f>
        <v/>
      </c>
      <c r="I530" s="56">
        <f>IFERROR(INDEX('Semrush Data'!$A$1:$Z$20000,MATCH(A530,'Semrush Data'!$A$1:$A$20000,0),MATCH("CPC*",'Semrush Data'!$A$1:$Z$1,0)),"")</f>
        <v/>
      </c>
      <c r="J530" s="42">
        <f>IFERROR(INDEX('Semrush Data'!$A$1:$Z$20000,MATCH(A530,'Semrush Data'!$A$1:$A$20000,0),MATCH("Intent",'Semrush Data'!$A$1:$Z$1,0)),"")</f>
        <v/>
      </c>
    </row>
    <row r="531" ht="15" customHeight="1" s="37">
      <c r="A531" s="42" t="inlineStr">
        <is>
          <t>fumeri style 33</t>
        </is>
      </c>
      <c r="B531" s="42" t="inlineStr">
        <is>
          <t>Product</t>
        </is>
      </c>
      <c r="C531" s="42" t="n">
        <v>1</v>
      </c>
      <c r="D531" s="42" t="n">
        <v>6</v>
      </c>
      <c r="E531" s="42" t="n">
        <v>1</v>
      </c>
      <c r="F531" s="42" t="inlineStr">
        <is>
          <t>FR-177</t>
        </is>
      </c>
      <c r="G531" s="55">
        <f>IFERROR(INDEX('Semrush Data'!$A$1:$Z$20000,MATCH(A531,'Semrush Data'!$A$1:$A$20000,0),MATCH("Volume",'Semrush Data'!$A$1:$Z$1,0)),"")</f>
        <v/>
      </c>
      <c r="H531" s="42">
        <f>IFERROR(INDEX('Semrush Data'!$A$1:$Z$20000,MATCH(A531,'Semrush Data'!$A$1:$A$20000,0),MATCH("Keyword Difficulty*",'Semrush Data'!$A$1:$Z$1,0)),"")</f>
        <v/>
      </c>
      <c r="I531" s="56">
        <f>IFERROR(INDEX('Semrush Data'!$A$1:$Z$20000,MATCH(A531,'Semrush Data'!$A$1:$A$20000,0),MATCH("CPC*",'Semrush Data'!$A$1:$Z$1,0)),"")</f>
        <v/>
      </c>
      <c r="J531" s="42">
        <f>IFERROR(INDEX('Semrush Data'!$A$1:$Z$20000,MATCH(A531,'Semrush Data'!$A$1:$A$20000,0),MATCH("Intent",'Semrush Data'!$A$1:$Z$1,0)),"")</f>
        <v/>
      </c>
    </row>
    <row r="532" ht="15" customHeight="1" s="37">
      <c r="A532" s="42" t="inlineStr">
        <is>
          <t>fumeri victorious</t>
        </is>
      </c>
      <c r="B532" s="42" t="inlineStr">
        <is>
          <t>Product</t>
        </is>
      </c>
      <c r="C532" s="42" t="n">
        <v>1</v>
      </c>
      <c r="D532" s="42" t="n">
        <v>6</v>
      </c>
      <c r="E532" s="42" t="n">
        <v>1</v>
      </c>
      <c r="F532" s="42" t="inlineStr">
        <is>
          <t>FR-178</t>
        </is>
      </c>
      <c r="G532" s="55">
        <f>IFERROR(INDEX('Semrush Data'!$A$1:$Z$20000,MATCH(A532,'Semrush Data'!$A$1:$A$20000,0),MATCH("Volume",'Semrush Data'!$A$1:$Z$1,0)),"")</f>
        <v/>
      </c>
      <c r="H532" s="42">
        <f>IFERROR(INDEX('Semrush Data'!$A$1:$Z$20000,MATCH(A532,'Semrush Data'!$A$1:$A$20000,0),MATCH("Keyword Difficulty*",'Semrush Data'!$A$1:$Z$1,0)),"")</f>
        <v/>
      </c>
      <c r="I532" s="56">
        <f>IFERROR(INDEX('Semrush Data'!$A$1:$Z$20000,MATCH(A532,'Semrush Data'!$A$1:$A$20000,0),MATCH("CPC*",'Semrush Data'!$A$1:$Z$1,0)),"")</f>
        <v/>
      </c>
      <c r="J532" s="42">
        <f>IFERROR(INDEX('Semrush Data'!$A$1:$Z$20000,MATCH(A532,'Semrush Data'!$A$1:$A$20000,0),MATCH("Intent",'Semrush Data'!$A$1:$Z$1,0)),"")</f>
        <v/>
      </c>
    </row>
    <row r="533" ht="15" customHeight="1" s="37">
      <c r="A533" s="42" t="inlineStr">
        <is>
          <t>fumeri wild</t>
        </is>
      </c>
      <c r="B533" s="42" t="inlineStr">
        <is>
          <t>Product</t>
        </is>
      </c>
      <c r="C533" s="42" t="n">
        <v>1</v>
      </c>
      <c r="D533" s="42" t="n">
        <v>6</v>
      </c>
      <c r="E533" s="42" t="n">
        <v>1</v>
      </c>
      <c r="F533" s="42" t="inlineStr">
        <is>
          <t>FR-179</t>
        </is>
      </c>
      <c r="G533" s="55">
        <f>IFERROR(INDEX('Semrush Data'!$A$1:$Z$20000,MATCH(A533,'Semrush Data'!$A$1:$A$20000,0),MATCH("Volume",'Semrush Data'!$A$1:$Z$1,0)),"")</f>
        <v/>
      </c>
      <c r="H533" s="42">
        <f>IFERROR(INDEX('Semrush Data'!$A$1:$Z$20000,MATCH(A533,'Semrush Data'!$A$1:$A$20000,0),MATCH("Keyword Difficulty*",'Semrush Data'!$A$1:$Z$1,0)),"")</f>
        <v/>
      </c>
      <c r="I533" s="56">
        <f>IFERROR(INDEX('Semrush Data'!$A$1:$Z$20000,MATCH(A533,'Semrush Data'!$A$1:$A$20000,0),MATCH("CPC*",'Semrush Data'!$A$1:$Z$1,0)),"")</f>
        <v/>
      </c>
      <c r="J533" s="42">
        <f>IFERROR(INDEX('Semrush Data'!$A$1:$Z$20000,MATCH(A533,'Semrush Data'!$A$1:$A$20000,0),MATCH("Intent",'Semrush Data'!$A$1:$Z$1,0)),"")</f>
        <v/>
      </c>
    </row>
    <row r="534" ht="15" customHeight="1" s="37">
      <c r="A534" s="42" t="inlineStr">
        <is>
          <t>game of spades bid</t>
        </is>
      </c>
      <c r="B534" s="42" t="inlineStr">
        <is>
          <t>Product</t>
        </is>
      </c>
      <c r="C534" s="42" t="n">
        <v>1</v>
      </c>
      <c r="D534" s="42" t="n">
        <v>6</v>
      </c>
      <c r="E534" s="42" t="n">
        <v>1</v>
      </c>
      <c r="F534" s="42" t="inlineStr">
        <is>
          <t>FR-180</t>
        </is>
      </c>
      <c r="G534" s="55">
        <f>IFERROR(INDEX('Semrush Data'!$A$1:$Z$20000,MATCH(A534,'Semrush Data'!$A$1:$A$20000,0),MATCH("Volume",'Semrush Data'!$A$1:$Z$1,0)),"")</f>
        <v/>
      </c>
      <c r="H534" s="42">
        <f>IFERROR(INDEX('Semrush Data'!$A$1:$Z$20000,MATCH(A534,'Semrush Data'!$A$1:$A$20000,0),MATCH("Keyword Difficulty*",'Semrush Data'!$A$1:$Z$1,0)),"")</f>
        <v/>
      </c>
      <c r="I534" s="56">
        <f>IFERROR(INDEX('Semrush Data'!$A$1:$Z$20000,MATCH(A534,'Semrush Data'!$A$1:$A$20000,0),MATCH("CPC*",'Semrush Data'!$A$1:$Z$1,0)),"")</f>
        <v/>
      </c>
      <c r="J534" s="42">
        <f>IFERROR(INDEX('Semrush Data'!$A$1:$Z$20000,MATCH(A534,'Semrush Data'!$A$1:$A$20000,0),MATCH("Intent",'Semrush Data'!$A$1:$Z$1,0)),"")</f>
        <v/>
      </c>
    </row>
    <row r="535" ht="15" customHeight="1" s="37">
      <c r="A535" s="42" t="inlineStr">
        <is>
          <t>game of spades blind-bid</t>
        </is>
      </c>
      <c r="B535" s="42" t="inlineStr">
        <is>
          <t>Product</t>
        </is>
      </c>
      <c r="C535" s="42" t="n">
        <v>1</v>
      </c>
      <c r="D535" s="42" t="n">
        <v>6</v>
      </c>
      <c r="E535" s="42" t="n">
        <v>1</v>
      </c>
      <c r="F535" s="42" t="inlineStr">
        <is>
          <t>FR-181</t>
        </is>
      </c>
      <c r="G535" s="55">
        <f>IFERROR(INDEX('Semrush Data'!$A$1:$Z$20000,MATCH(A535,'Semrush Data'!$A$1:$A$20000,0),MATCH("Volume",'Semrush Data'!$A$1:$Z$1,0)),"")</f>
        <v/>
      </c>
      <c r="H535" s="42">
        <f>IFERROR(INDEX('Semrush Data'!$A$1:$Z$20000,MATCH(A535,'Semrush Data'!$A$1:$A$20000,0),MATCH("Keyword Difficulty*",'Semrush Data'!$A$1:$Z$1,0)),"")</f>
        <v/>
      </c>
      <c r="I535" s="56">
        <f>IFERROR(INDEX('Semrush Data'!$A$1:$Z$20000,MATCH(A535,'Semrush Data'!$A$1:$A$20000,0),MATCH("CPC*",'Semrush Data'!$A$1:$Z$1,0)),"")</f>
        <v/>
      </c>
      <c r="J535" s="42">
        <f>IFERROR(INDEX('Semrush Data'!$A$1:$Z$20000,MATCH(A535,'Semrush Data'!$A$1:$A$20000,0),MATCH("Intent",'Semrush Data'!$A$1:$Z$1,0)),"")</f>
        <v/>
      </c>
    </row>
    <row r="536" ht="15" customHeight="1" s="37">
      <c r="A536" s="42" t="inlineStr">
        <is>
          <t>game of spades boston</t>
        </is>
      </c>
      <c r="B536" s="42" t="inlineStr">
        <is>
          <t>Product</t>
        </is>
      </c>
      <c r="C536" s="42" t="n">
        <v>1</v>
      </c>
      <c r="D536" s="42" t="n">
        <v>6</v>
      </c>
      <c r="E536" s="42" t="n">
        <v>1</v>
      </c>
      <c r="F536" s="42" t="inlineStr">
        <is>
          <t>FR-182</t>
        </is>
      </c>
      <c r="G536" s="55">
        <f>IFERROR(INDEX('Semrush Data'!$A$1:$Z$20000,MATCH(A536,'Semrush Data'!$A$1:$A$20000,0),MATCH("Volume",'Semrush Data'!$A$1:$Z$1,0)),"")</f>
        <v/>
      </c>
      <c r="H536" s="42">
        <f>IFERROR(INDEX('Semrush Data'!$A$1:$Z$20000,MATCH(A536,'Semrush Data'!$A$1:$A$20000,0),MATCH("Keyword Difficulty*",'Semrush Data'!$A$1:$Z$1,0)),"")</f>
        <v/>
      </c>
      <c r="I536" s="56">
        <f>IFERROR(INDEX('Semrush Data'!$A$1:$Z$20000,MATCH(A536,'Semrush Data'!$A$1:$A$20000,0),MATCH("CPC*",'Semrush Data'!$A$1:$Z$1,0)),"")</f>
        <v/>
      </c>
      <c r="J536" s="42">
        <f>IFERROR(INDEX('Semrush Data'!$A$1:$Z$20000,MATCH(A536,'Semrush Data'!$A$1:$A$20000,0),MATCH("Intent",'Semrush Data'!$A$1:$Z$1,0)),"")</f>
        <v/>
      </c>
    </row>
    <row r="537" ht="15" customHeight="1" s="37">
      <c r="A537" s="42" t="inlineStr">
        <is>
          <t>game of spades diamond</t>
        </is>
      </c>
      <c r="B537" s="42" t="inlineStr">
        <is>
          <t>Product</t>
        </is>
      </c>
      <c r="C537" s="42" t="n">
        <v>1</v>
      </c>
      <c r="D537" s="42" t="n">
        <v>6</v>
      </c>
      <c r="E537" s="42" t="n">
        <v>1</v>
      </c>
      <c r="F537" s="42" t="inlineStr">
        <is>
          <t>FR-183</t>
        </is>
      </c>
      <c r="G537" s="55">
        <f>IFERROR(INDEX('Semrush Data'!$A$1:$Z$20000,MATCH(A537,'Semrush Data'!$A$1:$A$20000,0),MATCH("Volume",'Semrush Data'!$A$1:$Z$1,0)),"")</f>
        <v/>
      </c>
      <c r="H537" s="42">
        <f>IFERROR(INDEX('Semrush Data'!$A$1:$Z$20000,MATCH(A537,'Semrush Data'!$A$1:$A$20000,0),MATCH("Keyword Difficulty*",'Semrush Data'!$A$1:$Z$1,0)),"")</f>
        <v/>
      </c>
      <c r="I537" s="56">
        <f>IFERROR(INDEX('Semrush Data'!$A$1:$Z$20000,MATCH(A537,'Semrush Data'!$A$1:$A$20000,0),MATCH("CPC*",'Semrush Data'!$A$1:$Z$1,0)),"")</f>
        <v/>
      </c>
      <c r="J537" s="42">
        <f>IFERROR(INDEX('Semrush Data'!$A$1:$Z$20000,MATCH(A537,'Semrush Data'!$A$1:$A$20000,0),MATCH("Intent",'Semrush Data'!$A$1:$Z$1,0)),"")</f>
        <v/>
      </c>
    </row>
    <row r="538" ht="15" customHeight="1" s="37">
      <c r="A538" s="42" t="inlineStr">
        <is>
          <t>game of spades full house</t>
        </is>
      </c>
      <c r="B538" s="42" t="inlineStr">
        <is>
          <t>Product</t>
        </is>
      </c>
      <c r="C538" s="42" t="n">
        <v>1</v>
      </c>
      <c r="D538" s="42" t="n">
        <v>6</v>
      </c>
      <c r="E538" s="42" t="n">
        <v>1</v>
      </c>
      <c r="F538" s="42" t="inlineStr">
        <is>
          <t>FR-184</t>
        </is>
      </c>
      <c r="G538" s="55">
        <f>IFERROR(INDEX('Semrush Data'!$A$1:$Z$20000,MATCH(A538,'Semrush Data'!$A$1:$A$20000,0),MATCH("Volume",'Semrush Data'!$A$1:$Z$1,0)),"")</f>
        <v/>
      </c>
      <c r="H538" s="42">
        <f>IFERROR(INDEX('Semrush Data'!$A$1:$Z$20000,MATCH(A538,'Semrush Data'!$A$1:$A$20000,0),MATCH("Keyword Difficulty*",'Semrush Data'!$A$1:$Z$1,0)),"")</f>
        <v/>
      </c>
      <c r="I538" s="56">
        <f>IFERROR(INDEX('Semrush Data'!$A$1:$Z$20000,MATCH(A538,'Semrush Data'!$A$1:$A$20000,0),MATCH("CPC*",'Semrush Data'!$A$1:$Z$1,0)),"")</f>
        <v/>
      </c>
      <c r="J538" s="42">
        <f>IFERROR(INDEX('Semrush Data'!$A$1:$Z$20000,MATCH(A538,'Semrush Data'!$A$1:$A$20000,0),MATCH("Intent",'Semrush Data'!$A$1:$Z$1,0)),"")</f>
        <v/>
      </c>
    </row>
    <row r="539" ht="15" customHeight="1" s="37">
      <c r="A539" s="42" t="inlineStr">
        <is>
          <t>game of spades high roller</t>
        </is>
      </c>
      <c r="B539" s="42" t="inlineStr">
        <is>
          <t>Product</t>
        </is>
      </c>
      <c r="C539" s="42" t="n">
        <v>1</v>
      </c>
      <c r="D539" s="42" t="n">
        <v>6</v>
      </c>
      <c r="E539" s="42" t="n">
        <v>1</v>
      </c>
      <c r="F539" s="42" t="inlineStr">
        <is>
          <t>FR-185</t>
        </is>
      </c>
      <c r="G539" s="55">
        <f>IFERROR(INDEX('Semrush Data'!$A$1:$Z$20000,MATCH(A539,'Semrush Data'!$A$1:$A$20000,0),MATCH("Volume",'Semrush Data'!$A$1:$Z$1,0)),"")</f>
        <v/>
      </c>
      <c r="H539" s="42">
        <f>IFERROR(INDEX('Semrush Data'!$A$1:$Z$20000,MATCH(A539,'Semrush Data'!$A$1:$A$20000,0),MATCH("Keyword Difficulty*",'Semrush Data'!$A$1:$Z$1,0)),"")</f>
        <v/>
      </c>
      <c r="I539" s="56">
        <f>IFERROR(INDEX('Semrush Data'!$A$1:$Z$20000,MATCH(A539,'Semrush Data'!$A$1:$A$20000,0),MATCH("CPC*",'Semrush Data'!$A$1:$Z$1,0)),"")</f>
        <v/>
      </c>
      <c r="J539" s="42">
        <f>IFERROR(INDEX('Semrush Data'!$A$1:$Z$20000,MATCH(A539,'Semrush Data'!$A$1:$A$20000,0),MATCH("Intent",'Semrush Data'!$A$1:$Z$1,0)),"")</f>
        <v/>
      </c>
    </row>
    <row r="540" ht="15" customHeight="1" s="37">
      <c r="A540" s="42" t="inlineStr">
        <is>
          <t>game of spades jackpot</t>
        </is>
      </c>
      <c r="B540" s="42" t="inlineStr">
        <is>
          <t>Product</t>
        </is>
      </c>
      <c r="C540" s="42" t="n">
        <v>1</v>
      </c>
      <c r="D540" s="42" t="n">
        <v>6</v>
      </c>
      <c r="E540" s="42" t="n">
        <v>1</v>
      </c>
      <c r="F540" s="42" t="inlineStr">
        <is>
          <t>FR-186</t>
        </is>
      </c>
      <c r="G540" s="55">
        <f>IFERROR(INDEX('Semrush Data'!$A$1:$Z$20000,MATCH(A540,'Semrush Data'!$A$1:$A$20000,0),MATCH("Volume",'Semrush Data'!$A$1:$Z$1,0)),"")</f>
        <v/>
      </c>
      <c r="H540" s="42">
        <f>IFERROR(INDEX('Semrush Data'!$A$1:$Z$20000,MATCH(A540,'Semrush Data'!$A$1:$A$20000,0),MATCH("Keyword Difficulty*",'Semrush Data'!$A$1:$Z$1,0)),"")</f>
        <v/>
      </c>
      <c r="I540" s="56">
        <f>IFERROR(INDEX('Semrush Data'!$A$1:$Z$20000,MATCH(A540,'Semrush Data'!$A$1:$A$20000,0),MATCH("CPC*",'Semrush Data'!$A$1:$Z$1,0)),"")</f>
        <v/>
      </c>
      <c r="J540" s="42">
        <f>IFERROR(INDEX('Semrush Data'!$A$1:$Z$20000,MATCH(A540,'Semrush Data'!$A$1:$A$20000,0),MATCH("Intent",'Semrush Data'!$A$1:$Z$1,0)),"")</f>
        <v/>
      </c>
    </row>
    <row r="541" ht="15" customHeight="1" s="37">
      <c r="A541" s="42" t="inlineStr">
        <is>
          <t>game of spades king</t>
        </is>
      </c>
      <c r="B541" s="42" t="inlineStr">
        <is>
          <t>Product</t>
        </is>
      </c>
      <c r="C541" s="42" t="n">
        <v>1</v>
      </c>
      <c r="D541" s="42" t="n">
        <v>6</v>
      </c>
      <c r="E541" s="42" t="n">
        <v>1</v>
      </c>
      <c r="F541" s="42" t="inlineStr">
        <is>
          <t>FR-187</t>
        </is>
      </c>
      <c r="G541" s="55">
        <f>IFERROR(INDEX('Semrush Data'!$A$1:$Z$20000,MATCH(A541,'Semrush Data'!$A$1:$A$20000,0),MATCH("Volume",'Semrush Data'!$A$1:$Z$1,0)),"")</f>
        <v/>
      </c>
      <c r="H541" s="42">
        <f>IFERROR(INDEX('Semrush Data'!$A$1:$Z$20000,MATCH(A541,'Semrush Data'!$A$1:$A$20000,0),MATCH("Keyword Difficulty*",'Semrush Data'!$A$1:$Z$1,0)),"")</f>
        <v/>
      </c>
      <c r="I541" s="56">
        <f>IFERROR(INDEX('Semrush Data'!$A$1:$Z$20000,MATCH(A541,'Semrush Data'!$A$1:$A$20000,0),MATCH("CPC*",'Semrush Data'!$A$1:$Z$1,0)),"")</f>
        <v/>
      </c>
      <c r="J541" s="42">
        <f>IFERROR(INDEX('Semrush Data'!$A$1:$Z$20000,MATCH(A541,'Semrush Data'!$A$1:$A$20000,0),MATCH("Intent",'Semrush Data'!$A$1:$Z$1,0)),"")</f>
        <v/>
      </c>
    </row>
    <row r="542" ht="15" customHeight="1" s="37">
      <c r="A542" s="42" t="inlineStr">
        <is>
          <t>game of spades moon</t>
        </is>
      </c>
      <c r="B542" s="42" t="inlineStr">
        <is>
          <t>Product</t>
        </is>
      </c>
      <c r="C542" s="42" t="n">
        <v>1</v>
      </c>
      <c r="D542" s="42" t="n">
        <v>6</v>
      </c>
      <c r="E542" s="42" t="n">
        <v>1</v>
      </c>
      <c r="F542" s="42" t="inlineStr">
        <is>
          <t>FR-188</t>
        </is>
      </c>
      <c r="G542" s="55">
        <f>IFERROR(INDEX('Semrush Data'!$A$1:$Z$20000,MATCH(A542,'Semrush Data'!$A$1:$A$20000,0),MATCH("Volume",'Semrush Data'!$A$1:$Z$1,0)),"")</f>
        <v/>
      </c>
      <c r="H542" s="42">
        <f>IFERROR(INDEX('Semrush Data'!$A$1:$Z$20000,MATCH(A542,'Semrush Data'!$A$1:$A$20000,0),MATCH("Keyword Difficulty*",'Semrush Data'!$A$1:$Z$1,0)),"")</f>
        <v/>
      </c>
      <c r="I542" s="56">
        <f>IFERROR(INDEX('Semrush Data'!$A$1:$Z$20000,MATCH(A542,'Semrush Data'!$A$1:$A$20000,0),MATCH("CPC*",'Semrush Data'!$A$1:$Z$1,0)),"")</f>
        <v/>
      </c>
      <c r="J542" s="42">
        <f>IFERROR(INDEX('Semrush Data'!$A$1:$Z$20000,MATCH(A542,'Semrush Data'!$A$1:$A$20000,0),MATCH("Intent",'Semrush Data'!$A$1:$Z$1,0)),"")</f>
        <v/>
      </c>
    </row>
    <row r="543" ht="15" customHeight="1" s="37">
      <c r="A543" s="42" t="inlineStr">
        <is>
          <t>game of spades opal</t>
        </is>
      </c>
      <c r="B543" s="42" t="inlineStr">
        <is>
          <t>Product</t>
        </is>
      </c>
      <c r="C543" s="42" t="n">
        <v>1</v>
      </c>
      <c r="D543" s="42" t="n">
        <v>6</v>
      </c>
      <c r="E543" s="42" t="n">
        <v>1</v>
      </c>
      <c r="F543" s="42" t="inlineStr">
        <is>
          <t>FR-189</t>
        </is>
      </c>
      <c r="G543" s="55">
        <f>IFERROR(INDEX('Semrush Data'!$A$1:$Z$20000,MATCH(A543,'Semrush Data'!$A$1:$A$20000,0),MATCH("Volume",'Semrush Data'!$A$1:$Z$1,0)),"")</f>
        <v/>
      </c>
      <c r="H543" s="42">
        <f>IFERROR(INDEX('Semrush Data'!$A$1:$Z$20000,MATCH(A543,'Semrush Data'!$A$1:$A$20000,0),MATCH("Keyword Difficulty*",'Semrush Data'!$A$1:$Z$1,0)),"")</f>
        <v/>
      </c>
      <c r="I543" s="56">
        <f>IFERROR(INDEX('Semrush Data'!$A$1:$Z$20000,MATCH(A543,'Semrush Data'!$A$1:$A$20000,0),MATCH("CPC*",'Semrush Data'!$A$1:$Z$1,0)),"")</f>
        <v/>
      </c>
      <c r="J543" s="42">
        <f>IFERROR(INDEX('Semrush Data'!$A$1:$Z$20000,MATCH(A543,'Semrush Data'!$A$1:$A$20000,0),MATCH("Intent",'Semrush Data'!$A$1:$Z$1,0)),"")</f>
        <v/>
      </c>
    </row>
    <row r="544" ht="15" customHeight="1" s="37">
      <c r="A544" s="42" t="inlineStr">
        <is>
          <t>game of spades rouge</t>
        </is>
      </c>
      <c r="B544" s="42" t="inlineStr">
        <is>
          <t>Product</t>
        </is>
      </c>
      <c r="C544" s="42" t="n">
        <v>1</v>
      </c>
      <c r="D544" s="42" t="n">
        <v>6</v>
      </c>
      <c r="E544" s="42" t="n">
        <v>1</v>
      </c>
      <c r="F544" s="42" t="inlineStr">
        <is>
          <t>FR-190</t>
        </is>
      </c>
      <c r="G544" s="55">
        <f>IFERROR(INDEX('Semrush Data'!$A$1:$Z$20000,MATCH(A544,'Semrush Data'!$A$1:$A$20000,0),MATCH("Volume",'Semrush Data'!$A$1:$Z$1,0)),"")</f>
        <v/>
      </c>
      <c r="H544" s="42">
        <f>IFERROR(INDEX('Semrush Data'!$A$1:$Z$20000,MATCH(A544,'Semrush Data'!$A$1:$A$20000,0),MATCH("Keyword Difficulty*",'Semrush Data'!$A$1:$Z$1,0)),"")</f>
        <v/>
      </c>
      <c r="I544" s="56">
        <f>IFERROR(INDEX('Semrush Data'!$A$1:$Z$20000,MATCH(A544,'Semrush Data'!$A$1:$A$20000,0),MATCH("CPC*",'Semrush Data'!$A$1:$Z$1,0)),"")</f>
        <v/>
      </c>
      <c r="J544" s="42">
        <f>IFERROR(INDEX('Semrush Data'!$A$1:$Z$20000,MATCH(A544,'Semrush Data'!$A$1:$A$20000,0),MATCH("Intent",'Semrush Data'!$A$1:$Z$1,0)),"")</f>
        <v/>
      </c>
    </row>
    <row r="545" ht="15" customHeight="1" s="37">
      <c r="A545" s="42" t="inlineStr">
        <is>
          <t>game of spades rouge extrait</t>
        </is>
      </c>
      <c r="B545" s="42" t="inlineStr">
        <is>
          <t>Product</t>
        </is>
      </c>
      <c r="C545" s="42" t="n">
        <v>1</v>
      </c>
      <c r="D545" s="42" t="n">
        <v>6</v>
      </c>
      <c r="E545" s="42" t="n">
        <v>2</v>
      </c>
      <c r="F545" s="42" t="inlineStr">
        <is>
          <t>FR-211, FR-190</t>
        </is>
      </c>
      <c r="G545" s="55">
        <f>IFERROR(INDEX('Semrush Data'!$A$1:$Z$20000,MATCH(A545,'Semrush Data'!$A$1:$A$20000,0),MATCH("Volume",'Semrush Data'!$A$1:$Z$1,0)),"")</f>
        <v/>
      </c>
      <c r="H545" s="42">
        <f>IFERROR(INDEX('Semrush Data'!$A$1:$Z$20000,MATCH(A545,'Semrush Data'!$A$1:$A$20000,0),MATCH("Keyword Difficulty*",'Semrush Data'!$A$1:$Z$1,0)),"")</f>
        <v/>
      </c>
      <c r="I545" s="56">
        <f>IFERROR(INDEX('Semrush Data'!$A$1:$Z$20000,MATCH(A545,'Semrush Data'!$A$1:$A$20000,0),MATCH("CPC*",'Semrush Data'!$A$1:$Z$1,0)),"")</f>
        <v/>
      </c>
      <c r="J545" s="42">
        <f>IFERROR(INDEX('Semrush Data'!$A$1:$Z$20000,MATCH(A545,'Semrush Data'!$A$1:$A$20000,0),MATCH("Intent",'Semrush Data'!$A$1:$Z$1,0)),"")</f>
        <v/>
      </c>
    </row>
    <row r="546" ht="15" customHeight="1" s="37">
      <c r="A546" s="42" t="inlineStr">
        <is>
          <t>game of spades royale</t>
        </is>
      </c>
      <c r="B546" s="42" t="inlineStr">
        <is>
          <t>Product</t>
        </is>
      </c>
      <c r="C546" s="42" t="n">
        <v>1</v>
      </c>
      <c r="D546" s="42" t="n">
        <v>6</v>
      </c>
      <c r="E546" s="42" t="n">
        <v>1</v>
      </c>
      <c r="F546" s="42" t="inlineStr">
        <is>
          <t>FR-191</t>
        </is>
      </c>
      <c r="G546" s="55">
        <f>IFERROR(INDEX('Semrush Data'!$A$1:$Z$20000,MATCH(A546,'Semrush Data'!$A$1:$A$20000,0),MATCH("Volume",'Semrush Data'!$A$1:$Z$1,0)),"")</f>
        <v/>
      </c>
      <c r="H546" s="42">
        <f>IFERROR(INDEX('Semrush Data'!$A$1:$Z$20000,MATCH(A546,'Semrush Data'!$A$1:$A$20000,0),MATCH("Keyword Difficulty*",'Semrush Data'!$A$1:$Z$1,0)),"")</f>
        <v/>
      </c>
      <c r="I546" s="56">
        <f>IFERROR(INDEX('Semrush Data'!$A$1:$Z$20000,MATCH(A546,'Semrush Data'!$A$1:$A$20000,0),MATCH("CPC*",'Semrush Data'!$A$1:$Z$1,0)),"")</f>
        <v/>
      </c>
      <c r="J546" s="42">
        <f>IFERROR(INDEX('Semrush Data'!$A$1:$Z$20000,MATCH(A546,'Semrush Data'!$A$1:$A$20000,0),MATCH("Intent",'Semrush Data'!$A$1:$Z$1,0)),"")</f>
        <v/>
      </c>
    </row>
    <row r="547" ht="15" customHeight="1" s="37">
      <c r="A547" s="42" t="inlineStr">
        <is>
          <t>game of spades ruby</t>
        </is>
      </c>
      <c r="B547" s="42" t="inlineStr">
        <is>
          <t>Product</t>
        </is>
      </c>
      <c r="C547" s="42" t="n">
        <v>1</v>
      </c>
      <c r="D547" s="42" t="n">
        <v>6</v>
      </c>
      <c r="E547" s="42" t="n">
        <v>1</v>
      </c>
      <c r="F547" s="42" t="inlineStr">
        <is>
          <t>FR-192</t>
        </is>
      </c>
      <c r="G547" s="55">
        <f>IFERROR(INDEX('Semrush Data'!$A$1:$Z$20000,MATCH(A547,'Semrush Data'!$A$1:$A$20000,0),MATCH("Volume",'Semrush Data'!$A$1:$Z$1,0)),"")</f>
        <v/>
      </c>
      <c r="H547" s="42">
        <f>IFERROR(INDEX('Semrush Data'!$A$1:$Z$20000,MATCH(A547,'Semrush Data'!$A$1:$A$20000,0),MATCH("Keyword Difficulty*",'Semrush Data'!$A$1:$Z$1,0)),"")</f>
        <v/>
      </c>
      <c r="I547" s="56">
        <f>IFERROR(INDEX('Semrush Data'!$A$1:$Z$20000,MATCH(A547,'Semrush Data'!$A$1:$A$20000,0),MATCH("CPC*",'Semrush Data'!$A$1:$Z$1,0)),"")</f>
        <v/>
      </c>
      <c r="J547" s="42">
        <f>IFERROR(INDEX('Semrush Data'!$A$1:$Z$20000,MATCH(A547,'Semrush Data'!$A$1:$A$20000,0),MATCH("Intent",'Semrush Data'!$A$1:$Z$1,0)),"")</f>
        <v/>
      </c>
    </row>
    <row r="548" ht="15" customHeight="1" s="37">
      <c r="A548" s="42" t="inlineStr">
        <is>
          <t>game of spades wildcard</t>
        </is>
      </c>
      <c r="B548" s="42" t="inlineStr">
        <is>
          <t>Product</t>
        </is>
      </c>
      <c r="C548" s="42" t="n">
        <v>1</v>
      </c>
      <c r="D548" s="42" t="n">
        <v>6</v>
      </c>
      <c r="E548" s="42" t="n">
        <v>1</v>
      </c>
      <c r="F548" s="42" t="inlineStr">
        <is>
          <t>FR-193</t>
        </is>
      </c>
      <c r="G548" s="55">
        <f>IFERROR(INDEX('Semrush Data'!$A$1:$Z$20000,MATCH(A548,'Semrush Data'!$A$1:$A$20000,0),MATCH("Volume",'Semrush Data'!$A$1:$Z$1,0)),"")</f>
        <v/>
      </c>
      <c r="H548" s="42">
        <f>IFERROR(INDEX('Semrush Data'!$A$1:$Z$20000,MATCH(A548,'Semrush Data'!$A$1:$A$20000,0),MATCH("Keyword Difficulty*",'Semrush Data'!$A$1:$Z$1,0)),"")</f>
        <v/>
      </c>
      <c r="I548" s="56">
        <f>IFERROR(INDEX('Semrush Data'!$A$1:$Z$20000,MATCH(A548,'Semrush Data'!$A$1:$A$20000,0),MATCH("CPC*",'Semrush Data'!$A$1:$Z$1,0)),"")</f>
        <v/>
      </c>
      <c r="J548" s="42">
        <f>IFERROR(INDEX('Semrush Data'!$A$1:$Z$20000,MATCH(A548,'Semrush Data'!$A$1:$A$20000,0),MATCH("Intent",'Semrush Data'!$A$1:$Z$1,0)),"")</f>
        <v/>
      </c>
    </row>
    <row r="549" ht="15" customHeight="1" s="37">
      <c r="A549" s="42" t="inlineStr">
        <is>
          <t>game of spades win</t>
        </is>
      </c>
      <c r="B549" s="42" t="inlineStr">
        <is>
          <t>Product</t>
        </is>
      </c>
      <c r="C549" s="42" t="n">
        <v>1</v>
      </c>
      <c r="D549" s="42" t="n">
        <v>6</v>
      </c>
      <c r="E549" s="42" t="n">
        <v>1</v>
      </c>
      <c r="F549" s="42" t="inlineStr">
        <is>
          <t>FR-194</t>
        </is>
      </c>
      <c r="G549" s="55">
        <f>IFERROR(INDEX('Semrush Data'!$A$1:$Z$20000,MATCH(A549,'Semrush Data'!$A$1:$A$20000,0),MATCH("Volume",'Semrush Data'!$A$1:$Z$1,0)),"")</f>
        <v/>
      </c>
      <c r="H549" s="42">
        <f>IFERROR(INDEX('Semrush Data'!$A$1:$Z$20000,MATCH(A549,'Semrush Data'!$A$1:$A$20000,0),MATCH("Keyword Difficulty*",'Semrush Data'!$A$1:$Z$1,0)),"")</f>
        <v/>
      </c>
      <c r="I549" s="56">
        <f>IFERROR(INDEX('Semrush Data'!$A$1:$Z$20000,MATCH(A549,'Semrush Data'!$A$1:$A$20000,0),MATCH("CPC*",'Semrush Data'!$A$1:$Z$1,0)),"")</f>
        <v/>
      </c>
      <c r="J549" s="42">
        <f>IFERROR(INDEX('Semrush Data'!$A$1:$Z$20000,MATCH(A549,'Semrush Data'!$A$1:$A$20000,0),MATCH("Intent",'Semrush Data'!$A$1:$Z$1,0)),"")</f>
        <v/>
      </c>
    </row>
    <row r="550" ht="15" customHeight="1" s="37">
      <c r="A550" s="42" t="inlineStr">
        <is>
          <t>game of spades yellow sapphire</t>
        </is>
      </c>
      <c r="B550" s="42" t="inlineStr">
        <is>
          <t>Product</t>
        </is>
      </c>
      <c r="C550" s="42" t="n">
        <v>1</v>
      </c>
      <c r="D550" s="42" t="n">
        <v>6</v>
      </c>
      <c r="E550" s="42" t="n">
        <v>1</v>
      </c>
      <c r="F550" s="42" t="inlineStr">
        <is>
          <t>FR-195</t>
        </is>
      </c>
      <c r="G550" s="55">
        <f>IFERROR(INDEX('Semrush Data'!$A$1:$Z$20000,MATCH(A550,'Semrush Data'!$A$1:$A$20000,0),MATCH("Volume",'Semrush Data'!$A$1:$Z$1,0)),"")</f>
        <v/>
      </c>
      <c r="H550" s="42">
        <f>IFERROR(INDEX('Semrush Data'!$A$1:$Z$20000,MATCH(A550,'Semrush Data'!$A$1:$A$20000,0),MATCH("Keyword Difficulty*",'Semrush Data'!$A$1:$Z$1,0)),"")</f>
        <v/>
      </c>
      <c r="I550" s="56">
        <f>IFERROR(INDEX('Semrush Data'!$A$1:$Z$20000,MATCH(A550,'Semrush Data'!$A$1:$A$20000,0),MATCH("CPC*",'Semrush Data'!$A$1:$Z$1,0)),"")</f>
        <v/>
      </c>
      <c r="J550" s="42">
        <f>IFERROR(INDEX('Semrush Data'!$A$1:$Z$20000,MATCH(A550,'Semrush Data'!$A$1:$A$20000,0),MATCH("Intent",'Semrush Data'!$A$1:$Z$1,0)),"")</f>
        <v/>
      </c>
    </row>
    <row r="551" ht="15" customHeight="1" s="37">
      <c r="A551" s="42" t="inlineStr">
        <is>
          <t>giorgia armani giorgio armani code refillable</t>
        </is>
      </c>
      <c r="B551" s="42" t="inlineStr">
        <is>
          <t>Product</t>
        </is>
      </c>
      <c r="C551" s="42" t="n">
        <v>1</v>
      </c>
      <c r="D551" s="42" t="n">
        <v>6</v>
      </c>
      <c r="E551" s="42" t="n">
        <v>1</v>
      </c>
      <c r="F551" s="42" t="inlineStr">
        <is>
          <t>FR-212</t>
        </is>
      </c>
      <c r="G551" s="55">
        <f>IFERROR(INDEX('Semrush Data'!$A$1:$Z$20000,MATCH(A551,'Semrush Data'!$A$1:$A$20000,0),MATCH("Volume",'Semrush Data'!$A$1:$Z$1,0)),"")</f>
        <v/>
      </c>
      <c r="H551" s="42">
        <f>IFERROR(INDEX('Semrush Data'!$A$1:$Z$20000,MATCH(A551,'Semrush Data'!$A$1:$A$20000,0),MATCH("Keyword Difficulty*",'Semrush Data'!$A$1:$Z$1,0)),"")</f>
        <v/>
      </c>
      <c r="I551" s="56">
        <f>IFERROR(INDEX('Semrush Data'!$A$1:$Z$20000,MATCH(A551,'Semrush Data'!$A$1:$A$20000,0),MATCH("CPC*",'Semrush Data'!$A$1:$Z$1,0)),"")</f>
        <v/>
      </c>
      <c r="J551" s="42">
        <f>IFERROR(INDEX('Semrush Data'!$A$1:$Z$20000,MATCH(A551,'Semrush Data'!$A$1:$A$20000,0),MATCH("Intent",'Semrush Data'!$A$1:$Z$1,0)),"")</f>
        <v/>
      </c>
    </row>
    <row r="552" ht="15" customHeight="1" s="37">
      <c r="A552" s="42" t="inlineStr">
        <is>
          <t>giorgio armani code refillable</t>
        </is>
      </c>
      <c r="B552" s="42" t="inlineStr">
        <is>
          <t>Product</t>
        </is>
      </c>
      <c r="C552" s="42" t="n">
        <v>1</v>
      </c>
      <c r="D552" s="42" t="n">
        <v>6</v>
      </c>
      <c r="E552" s="42" t="n">
        <v>1</v>
      </c>
      <c r="F552" s="42" t="inlineStr">
        <is>
          <t>FR-213</t>
        </is>
      </c>
      <c r="G552" s="55">
        <f>IFERROR(INDEX('Semrush Data'!$A$1:$Z$20000,MATCH(A552,'Semrush Data'!$A$1:$A$20000,0),MATCH("Volume",'Semrush Data'!$A$1:$Z$1,0)),"")</f>
        <v/>
      </c>
      <c r="H552" s="42">
        <f>IFERROR(INDEX('Semrush Data'!$A$1:$Z$20000,MATCH(A552,'Semrush Data'!$A$1:$A$20000,0),MATCH("Keyword Difficulty*",'Semrush Data'!$A$1:$Z$1,0)),"")</f>
        <v/>
      </c>
      <c r="I552" s="56">
        <f>IFERROR(INDEX('Semrush Data'!$A$1:$Z$20000,MATCH(A552,'Semrush Data'!$A$1:$A$20000,0),MATCH("CPC*",'Semrush Data'!$A$1:$Z$1,0)),"")</f>
        <v/>
      </c>
      <c r="J552" s="42">
        <f>IFERROR(INDEX('Semrush Data'!$A$1:$Z$20000,MATCH(A552,'Semrush Data'!$A$1:$A$20000,0),MATCH("Intent",'Semrush Data'!$A$1:$Z$1,0)),"")</f>
        <v/>
      </c>
    </row>
    <row r="553" ht="15" customHeight="1" s="37">
      <c r="A553" s="42" t="inlineStr">
        <is>
          <t>givenchy amarige</t>
        </is>
      </c>
      <c r="B553" s="42" t="inlineStr">
        <is>
          <t>Product</t>
        </is>
      </c>
      <c r="C553" s="42" t="n">
        <v>1</v>
      </c>
      <c r="D553" s="42" t="n">
        <v>6</v>
      </c>
      <c r="E553" s="42" t="n">
        <v>1</v>
      </c>
      <c r="F553" s="42" t="inlineStr">
        <is>
          <t>FR-214</t>
        </is>
      </c>
      <c r="G553" s="55">
        <f>IFERROR(INDEX('Semrush Data'!$A$1:$Z$20000,MATCH(A553,'Semrush Data'!$A$1:$A$20000,0),MATCH("Volume",'Semrush Data'!$A$1:$Z$1,0)),"")</f>
        <v/>
      </c>
      <c r="H553" s="42">
        <f>IFERROR(INDEX('Semrush Data'!$A$1:$Z$20000,MATCH(A553,'Semrush Data'!$A$1:$A$20000,0),MATCH("Keyword Difficulty*",'Semrush Data'!$A$1:$Z$1,0)),"")</f>
        <v/>
      </c>
      <c r="I553" s="56">
        <f>IFERROR(INDEX('Semrush Data'!$A$1:$Z$20000,MATCH(A553,'Semrush Data'!$A$1:$A$20000,0),MATCH("CPC*",'Semrush Data'!$A$1:$Z$1,0)),"")</f>
        <v/>
      </c>
      <c r="J553" s="42">
        <f>IFERROR(INDEX('Semrush Data'!$A$1:$Z$20000,MATCH(A553,'Semrush Data'!$A$1:$A$20000,0),MATCH("Intent",'Semrush Data'!$A$1:$Z$1,0)),"")</f>
        <v/>
      </c>
    </row>
    <row r="554" ht="15" customHeight="1" s="37">
      <c r="A554" s="42" t="inlineStr">
        <is>
          <t>givenchy gentleman originale</t>
        </is>
      </c>
      <c r="B554" s="42" t="inlineStr">
        <is>
          <t>Product</t>
        </is>
      </c>
      <c r="C554" s="42" t="n">
        <v>1</v>
      </c>
      <c r="D554" s="42" t="n">
        <v>6</v>
      </c>
      <c r="E554" s="42" t="n">
        <v>1</v>
      </c>
      <c r="F554" s="42" t="inlineStr">
        <is>
          <t>FR-215</t>
        </is>
      </c>
      <c r="G554" s="55">
        <f>IFERROR(INDEX('Semrush Data'!$A$1:$Z$20000,MATCH(A554,'Semrush Data'!$A$1:$A$20000,0),MATCH("Volume",'Semrush Data'!$A$1:$Z$1,0)),"")</f>
        <v/>
      </c>
      <c r="H554" s="42">
        <f>IFERROR(INDEX('Semrush Data'!$A$1:$Z$20000,MATCH(A554,'Semrush Data'!$A$1:$A$20000,0),MATCH("Keyword Difficulty*",'Semrush Data'!$A$1:$Z$1,0)),"")</f>
        <v/>
      </c>
      <c r="I554" s="56">
        <f>IFERROR(INDEX('Semrush Data'!$A$1:$Z$20000,MATCH(A554,'Semrush Data'!$A$1:$A$20000,0),MATCH("CPC*",'Semrush Data'!$A$1:$Z$1,0)),"")</f>
        <v/>
      </c>
      <c r="J554" s="42">
        <f>IFERROR(INDEX('Semrush Data'!$A$1:$Z$20000,MATCH(A554,'Semrush Data'!$A$1:$A$20000,0),MATCH("Intent",'Semrush Data'!$A$1:$Z$1,0)),"")</f>
        <v/>
      </c>
    </row>
    <row r="555" ht="15" customHeight="1" s="37">
      <c r="A555" s="42" t="inlineStr">
        <is>
          <t>gucci bloom gift set</t>
        </is>
      </c>
      <c r="B555" s="42" t="inlineStr">
        <is>
          <t>Product</t>
        </is>
      </c>
      <c r="C555" s="42" t="n">
        <v>1</v>
      </c>
      <c r="D555" s="42" t="n">
        <v>6</v>
      </c>
      <c r="E555" s="42" t="n">
        <v>1</v>
      </c>
      <c r="F555" s="42" t="inlineStr">
        <is>
          <t>FR-223</t>
        </is>
      </c>
      <c r="G555" s="55">
        <f>IFERROR(INDEX('Semrush Data'!$A$1:$Z$20000,MATCH(A555,'Semrush Data'!$A$1:$A$20000,0),MATCH("Volume",'Semrush Data'!$A$1:$Z$1,0)),"")</f>
        <v/>
      </c>
      <c r="H555" s="42">
        <f>IFERROR(INDEX('Semrush Data'!$A$1:$Z$20000,MATCH(A555,'Semrush Data'!$A$1:$A$20000,0),MATCH("Keyword Difficulty*",'Semrush Data'!$A$1:$Z$1,0)),"")</f>
        <v/>
      </c>
      <c r="I555" s="56">
        <f>IFERROR(INDEX('Semrush Data'!$A$1:$Z$20000,MATCH(A555,'Semrush Data'!$A$1:$A$20000,0),MATCH("CPC*",'Semrush Data'!$A$1:$Z$1,0)),"")</f>
        <v/>
      </c>
      <c r="J555" s="42">
        <f>IFERROR(INDEX('Semrush Data'!$A$1:$Z$20000,MATCH(A555,'Semrush Data'!$A$1:$A$20000,0),MATCH("Intent",'Semrush Data'!$A$1:$Z$1,0)),"")</f>
        <v/>
      </c>
    </row>
    <row r="556" ht="15" customHeight="1" s="37">
      <c r="A556" s="42" t="inlineStr">
        <is>
          <t>gucci bloom miniature</t>
        </is>
      </c>
      <c r="B556" s="42" t="inlineStr">
        <is>
          <t>Product</t>
        </is>
      </c>
      <c r="C556" s="42" t="n">
        <v>1</v>
      </c>
      <c r="D556" s="42" t="n">
        <v>6</v>
      </c>
      <c r="E556" s="42" t="n">
        <v>1</v>
      </c>
      <c r="F556" s="42" t="inlineStr">
        <is>
          <t>FR-221</t>
        </is>
      </c>
      <c r="G556" s="55">
        <f>IFERROR(INDEX('Semrush Data'!$A$1:$Z$20000,MATCH(A556,'Semrush Data'!$A$1:$A$20000,0),MATCH("Volume",'Semrush Data'!$A$1:$Z$1,0)),"")</f>
        <v/>
      </c>
      <c r="H556" s="42">
        <f>IFERROR(INDEX('Semrush Data'!$A$1:$Z$20000,MATCH(A556,'Semrush Data'!$A$1:$A$20000,0),MATCH("Keyword Difficulty*",'Semrush Data'!$A$1:$Z$1,0)),"")</f>
        <v/>
      </c>
      <c r="I556" s="56">
        <f>IFERROR(INDEX('Semrush Data'!$A$1:$Z$20000,MATCH(A556,'Semrush Data'!$A$1:$A$20000,0),MATCH("CPC*",'Semrush Data'!$A$1:$Z$1,0)),"")</f>
        <v/>
      </c>
      <c r="J556" s="42">
        <f>IFERROR(INDEX('Semrush Data'!$A$1:$Z$20000,MATCH(A556,'Semrush Data'!$A$1:$A$20000,0),MATCH("Intent",'Semrush Data'!$A$1:$Z$1,0)),"")</f>
        <v/>
      </c>
    </row>
    <row r="557" ht="15" customHeight="1" s="37">
      <c r="A557" s="42" t="inlineStr">
        <is>
          <t>gucci bloom parfum miniature</t>
        </is>
      </c>
      <c r="B557" s="42" t="inlineStr">
        <is>
          <t>Product</t>
        </is>
      </c>
      <c r="C557" s="42" t="n">
        <v>1</v>
      </c>
      <c r="D557" s="42" t="n">
        <v>6</v>
      </c>
      <c r="E557" s="42" t="n">
        <v>1</v>
      </c>
      <c r="F557" s="42" t="inlineStr">
        <is>
          <t>FR-228</t>
        </is>
      </c>
      <c r="G557" s="55">
        <f>IFERROR(INDEX('Semrush Data'!$A$1:$Z$20000,MATCH(A557,'Semrush Data'!$A$1:$A$20000,0),MATCH("Volume",'Semrush Data'!$A$1:$Z$1,0)),"")</f>
        <v/>
      </c>
      <c r="H557" s="42">
        <f>IFERROR(INDEX('Semrush Data'!$A$1:$Z$20000,MATCH(A557,'Semrush Data'!$A$1:$A$20000,0),MATCH("Keyword Difficulty*",'Semrush Data'!$A$1:$Z$1,0)),"")</f>
        <v/>
      </c>
      <c r="I557" s="56">
        <f>IFERROR(INDEX('Semrush Data'!$A$1:$Z$20000,MATCH(A557,'Semrush Data'!$A$1:$A$20000,0),MATCH("CPC*",'Semrush Data'!$A$1:$Z$1,0)),"")</f>
        <v/>
      </c>
      <c r="J557" s="42">
        <f>IFERROR(INDEX('Semrush Data'!$A$1:$Z$20000,MATCH(A557,'Semrush Data'!$A$1:$A$20000,0),MATCH("Intent",'Semrush Data'!$A$1:$Z$1,0)),"")</f>
        <v/>
      </c>
    </row>
    <row r="558" ht="15" customHeight="1" s="37">
      <c r="A558" s="42" t="inlineStr">
        <is>
          <t>gucci bloom profumo di fiori pen</t>
        </is>
      </c>
      <c r="B558" s="42" t="inlineStr">
        <is>
          <t>Product</t>
        </is>
      </c>
      <c r="C558" s="42" t="n">
        <v>1</v>
      </c>
      <c r="D558" s="42" t="n">
        <v>6</v>
      </c>
      <c r="E558" s="42" t="n">
        <v>1</v>
      </c>
      <c r="F558" s="42" t="inlineStr">
        <is>
          <t>FR-216</t>
        </is>
      </c>
      <c r="G558" s="55">
        <f>IFERROR(INDEX('Semrush Data'!$A$1:$Z$20000,MATCH(A558,'Semrush Data'!$A$1:$A$20000,0),MATCH("Volume",'Semrush Data'!$A$1:$Z$1,0)),"")</f>
        <v/>
      </c>
      <c r="H558" s="42">
        <f>IFERROR(INDEX('Semrush Data'!$A$1:$Z$20000,MATCH(A558,'Semrush Data'!$A$1:$A$20000,0),MATCH("Keyword Difficulty*",'Semrush Data'!$A$1:$Z$1,0)),"")</f>
        <v/>
      </c>
      <c r="I558" s="56">
        <f>IFERROR(INDEX('Semrush Data'!$A$1:$Z$20000,MATCH(A558,'Semrush Data'!$A$1:$A$20000,0),MATCH("CPC*",'Semrush Data'!$A$1:$Z$1,0)),"")</f>
        <v/>
      </c>
      <c r="J558" s="42">
        <f>IFERROR(INDEX('Semrush Data'!$A$1:$Z$20000,MATCH(A558,'Semrush Data'!$A$1:$A$20000,0),MATCH("Intent",'Semrush Data'!$A$1:$Z$1,0)),"")</f>
        <v/>
      </c>
    </row>
    <row r="559" ht="15" customHeight="1" s="37">
      <c r="A559" s="42" t="inlineStr">
        <is>
          <t>gucci flora gorgeous gardenia</t>
        </is>
      </c>
      <c r="B559" s="42" t="inlineStr">
        <is>
          <t>Product</t>
        </is>
      </c>
      <c r="C559" s="42" t="n">
        <v>1</v>
      </c>
      <c r="D559" s="42" t="n">
        <v>6</v>
      </c>
      <c r="E559" s="42" t="n">
        <v>1</v>
      </c>
      <c r="F559" s="42" t="inlineStr">
        <is>
          <t>FR-217</t>
        </is>
      </c>
      <c r="G559" s="55">
        <f>IFERROR(INDEX('Semrush Data'!$A$1:$Z$20000,MATCH(A559,'Semrush Data'!$A$1:$A$20000,0),MATCH("Volume",'Semrush Data'!$A$1:$Z$1,0)),"")</f>
        <v/>
      </c>
      <c r="H559" s="42">
        <f>IFERROR(INDEX('Semrush Data'!$A$1:$Z$20000,MATCH(A559,'Semrush Data'!$A$1:$A$20000,0),MATCH("Keyword Difficulty*",'Semrush Data'!$A$1:$Z$1,0)),"")</f>
        <v/>
      </c>
      <c r="I559" s="56">
        <f>IFERROR(INDEX('Semrush Data'!$A$1:$Z$20000,MATCH(A559,'Semrush Data'!$A$1:$A$20000,0),MATCH("CPC*",'Semrush Data'!$A$1:$Z$1,0)),"")</f>
        <v/>
      </c>
      <c r="J559" s="42">
        <f>IFERROR(INDEX('Semrush Data'!$A$1:$Z$20000,MATCH(A559,'Semrush Data'!$A$1:$A$20000,0),MATCH("Intent",'Semrush Data'!$A$1:$Z$1,0)),"")</f>
        <v/>
      </c>
    </row>
    <row r="560" ht="15" customHeight="1" s="37">
      <c r="A560" s="42" t="inlineStr">
        <is>
          <t>gucci flora gorgeous miniature set</t>
        </is>
      </c>
      <c r="B560" s="42" t="inlineStr">
        <is>
          <t>Product</t>
        </is>
      </c>
      <c r="C560" s="42" t="n">
        <v>1</v>
      </c>
      <c r="D560" s="42" t="n">
        <v>6</v>
      </c>
      <c r="E560" s="42" t="n">
        <v>1</v>
      </c>
      <c r="F560" s="42" t="inlineStr">
        <is>
          <t>FR-224</t>
        </is>
      </c>
      <c r="G560" s="55">
        <f>IFERROR(INDEX('Semrush Data'!$A$1:$Z$20000,MATCH(A560,'Semrush Data'!$A$1:$A$20000,0),MATCH("Volume",'Semrush Data'!$A$1:$Z$1,0)),"")</f>
        <v/>
      </c>
      <c r="H560" s="42">
        <f>IFERROR(INDEX('Semrush Data'!$A$1:$Z$20000,MATCH(A560,'Semrush Data'!$A$1:$A$20000,0),MATCH("Keyword Difficulty*",'Semrush Data'!$A$1:$Z$1,0)),"")</f>
        <v/>
      </c>
      <c r="I560" s="56">
        <f>IFERROR(INDEX('Semrush Data'!$A$1:$Z$20000,MATCH(A560,'Semrush Data'!$A$1:$A$20000,0),MATCH("CPC*",'Semrush Data'!$A$1:$Z$1,0)),"")</f>
        <v/>
      </c>
      <c r="J560" s="42">
        <f>IFERROR(INDEX('Semrush Data'!$A$1:$Z$20000,MATCH(A560,'Semrush Data'!$A$1:$A$20000,0),MATCH("Intent",'Semrush Data'!$A$1:$Z$1,0)),"")</f>
        <v/>
      </c>
    </row>
    <row r="561" ht="15" customHeight="1" s="37">
      <c r="A561" s="42" t="inlineStr">
        <is>
          <t>gucci flora gorgeous orchid miniature</t>
        </is>
      </c>
      <c r="B561" s="42" t="inlineStr">
        <is>
          <t>Product</t>
        </is>
      </c>
      <c r="C561" s="42" t="n">
        <v>1</v>
      </c>
      <c r="D561" s="42" t="n">
        <v>6</v>
      </c>
      <c r="E561" s="42" t="n">
        <v>1</v>
      </c>
      <c r="F561" s="42" t="inlineStr">
        <is>
          <t>FR-218</t>
        </is>
      </c>
      <c r="G561" s="55">
        <f>IFERROR(INDEX('Semrush Data'!$A$1:$Z$20000,MATCH(A561,'Semrush Data'!$A$1:$A$20000,0),MATCH("Volume",'Semrush Data'!$A$1:$Z$1,0)),"")</f>
        <v/>
      </c>
      <c r="H561" s="42">
        <f>IFERROR(INDEX('Semrush Data'!$A$1:$Z$20000,MATCH(A561,'Semrush Data'!$A$1:$A$20000,0),MATCH("Keyword Difficulty*",'Semrush Data'!$A$1:$Z$1,0)),"")</f>
        <v/>
      </c>
      <c r="I561" s="56">
        <f>IFERROR(INDEX('Semrush Data'!$A$1:$Z$20000,MATCH(A561,'Semrush Data'!$A$1:$A$20000,0),MATCH("CPC*",'Semrush Data'!$A$1:$Z$1,0)),"")</f>
        <v/>
      </c>
      <c r="J561" s="42">
        <f>IFERROR(INDEX('Semrush Data'!$A$1:$Z$20000,MATCH(A561,'Semrush Data'!$A$1:$A$20000,0),MATCH("Intent",'Semrush Data'!$A$1:$Z$1,0)),"")</f>
        <v/>
      </c>
    </row>
    <row r="562" ht="15" customHeight="1" s="37">
      <c r="A562" s="42" t="inlineStr">
        <is>
          <t>gucci guilty pour femme gift set</t>
        </is>
      </c>
      <c r="B562" s="42" t="inlineStr">
        <is>
          <t>Product</t>
        </is>
      </c>
      <c r="C562" s="42" t="n">
        <v>1</v>
      </c>
      <c r="D562" s="42" t="n">
        <v>6</v>
      </c>
      <c r="E562" s="42" t="n">
        <v>1</v>
      </c>
      <c r="F562" s="42" t="inlineStr">
        <is>
          <t>FR-225</t>
        </is>
      </c>
      <c r="G562" s="55">
        <f>IFERROR(INDEX('Semrush Data'!$A$1:$Z$20000,MATCH(A562,'Semrush Data'!$A$1:$A$20000,0),MATCH("Volume",'Semrush Data'!$A$1:$Z$1,0)),"")</f>
        <v/>
      </c>
      <c r="H562" s="42">
        <f>IFERROR(INDEX('Semrush Data'!$A$1:$Z$20000,MATCH(A562,'Semrush Data'!$A$1:$A$20000,0),MATCH("Keyword Difficulty*",'Semrush Data'!$A$1:$Z$1,0)),"")</f>
        <v/>
      </c>
      <c r="I562" s="56">
        <f>IFERROR(INDEX('Semrush Data'!$A$1:$Z$20000,MATCH(A562,'Semrush Data'!$A$1:$A$20000,0),MATCH("CPC*",'Semrush Data'!$A$1:$Z$1,0)),"")</f>
        <v/>
      </c>
      <c r="J562" s="42">
        <f>IFERROR(INDEX('Semrush Data'!$A$1:$Z$20000,MATCH(A562,'Semrush Data'!$A$1:$A$20000,0),MATCH("Intent",'Semrush Data'!$A$1:$Z$1,0)),"")</f>
        <v/>
      </c>
    </row>
    <row r="563" ht="15" customHeight="1" s="37">
      <c r="A563" s="42" t="inlineStr">
        <is>
          <t>gucci guilty pour femme miniature</t>
        </is>
      </c>
      <c r="B563" s="42" t="inlineStr">
        <is>
          <t>Product</t>
        </is>
      </c>
      <c r="C563" s="42" t="n">
        <v>1</v>
      </c>
      <c r="D563" s="42" t="n">
        <v>6</v>
      </c>
      <c r="E563" s="42" t="n">
        <v>1</v>
      </c>
      <c r="F563" s="42" t="inlineStr">
        <is>
          <t>FR-219</t>
        </is>
      </c>
      <c r="G563" s="55">
        <f>IFERROR(INDEX('Semrush Data'!$A$1:$Z$20000,MATCH(A563,'Semrush Data'!$A$1:$A$20000,0),MATCH("Volume",'Semrush Data'!$A$1:$Z$1,0)),"")</f>
        <v/>
      </c>
      <c r="H563" s="42">
        <f>IFERROR(INDEX('Semrush Data'!$A$1:$Z$20000,MATCH(A563,'Semrush Data'!$A$1:$A$20000,0),MATCH("Keyword Difficulty*",'Semrush Data'!$A$1:$Z$1,0)),"")</f>
        <v/>
      </c>
      <c r="I563" s="56">
        <f>IFERROR(INDEX('Semrush Data'!$A$1:$Z$20000,MATCH(A563,'Semrush Data'!$A$1:$A$20000,0),MATCH("CPC*",'Semrush Data'!$A$1:$Z$1,0)),"")</f>
        <v/>
      </c>
      <c r="J563" s="42">
        <f>IFERROR(INDEX('Semrush Data'!$A$1:$Z$20000,MATCH(A563,'Semrush Data'!$A$1:$A$20000,0),MATCH("Intent",'Semrush Data'!$A$1:$Z$1,0)),"")</f>
        <v/>
      </c>
    </row>
    <row r="564" ht="15" customHeight="1" s="37">
      <c r="A564" s="42" t="inlineStr">
        <is>
          <t>gucci guilty pour homme</t>
        </is>
      </c>
      <c r="B564" s="42" t="inlineStr">
        <is>
          <t>Product</t>
        </is>
      </c>
      <c r="C564" s="42" t="n">
        <v>1</v>
      </c>
      <c r="D564" s="42" t="n">
        <v>6</v>
      </c>
      <c r="E564" s="42" t="n">
        <v>1</v>
      </c>
      <c r="F564" s="42" t="inlineStr">
        <is>
          <t>FR-222</t>
        </is>
      </c>
      <c r="G564" s="55">
        <f>IFERROR(INDEX('Semrush Data'!$A$1:$Z$20000,MATCH(A564,'Semrush Data'!$A$1:$A$20000,0),MATCH("Volume",'Semrush Data'!$A$1:$Z$1,0)),"")</f>
        <v/>
      </c>
      <c r="H564" s="42">
        <f>IFERROR(INDEX('Semrush Data'!$A$1:$Z$20000,MATCH(A564,'Semrush Data'!$A$1:$A$20000,0),MATCH("Keyword Difficulty*",'Semrush Data'!$A$1:$Z$1,0)),"")</f>
        <v/>
      </c>
      <c r="I564" s="56">
        <f>IFERROR(INDEX('Semrush Data'!$A$1:$Z$20000,MATCH(A564,'Semrush Data'!$A$1:$A$20000,0),MATCH("CPC*",'Semrush Data'!$A$1:$Z$1,0)),"")</f>
        <v/>
      </c>
      <c r="J564" s="42">
        <f>IFERROR(INDEX('Semrush Data'!$A$1:$Z$20000,MATCH(A564,'Semrush Data'!$A$1:$A$20000,0),MATCH("Intent",'Semrush Data'!$A$1:$Z$1,0)),"")</f>
        <v/>
      </c>
    </row>
    <row r="565" ht="15" customHeight="1" s="37">
      <c r="A565" s="42" t="inlineStr">
        <is>
          <t>gucci intense oud</t>
        </is>
      </c>
      <c r="B565" s="42" t="inlineStr">
        <is>
          <t>Product</t>
        </is>
      </c>
      <c r="C565" s="42" t="n">
        <v>1</v>
      </c>
      <c r="D565" s="42" t="n">
        <v>6</v>
      </c>
      <c r="E565" s="42" t="n">
        <v>1</v>
      </c>
      <c r="F565" s="42" t="inlineStr">
        <is>
          <t>FR-220</t>
        </is>
      </c>
      <c r="G565" s="55">
        <f>IFERROR(INDEX('Semrush Data'!$A$1:$Z$20000,MATCH(A565,'Semrush Data'!$A$1:$A$20000,0),MATCH("Volume",'Semrush Data'!$A$1:$Z$1,0)),"")</f>
        <v/>
      </c>
      <c r="H565" s="42">
        <f>IFERROR(INDEX('Semrush Data'!$A$1:$Z$20000,MATCH(A565,'Semrush Data'!$A$1:$A$20000,0),MATCH("Keyword Difficulty*",'Semrush Data'!$A$1:$Z$1,0)),"")</f>
        <v/>
      </c>
      <c r="I565" s="56">
        <f>IFERROR(INDEX('Semrush Data'!$A$1:$Z$20000,MATCH(A565,'Semrush Data'!$A$1:$A$20000,0),MATCH("CPC*",'Semrush Data'!$A$1:$Z$1,0)),"")</f>
        <v/>
      </c>
      <c r="J565" s="42">
        <f>IFERROR(INDEX('Semrush Data'!$A$1:$Z$20000,MATCH(A565,'Semrush Data'!$A$1:$A$20000,0),MATCH("Intent",'Semrush Data'!$A$1:$Z$1,0)),"")</f>
        <v/>
      </c>
    </row>
    <row r="566" ht="15" customHeight="1" s="37">
      <c r="A566" s="42" t="inlineStr">
        <is>
          <t>gucci miniature set</t>
        </is>
      </c>
      <c r="B566" s="42" t="inlineStr">
        <is>
          <t>Product</t>
        </is>
      </c>
      <c r="C566" s="42" t="n">
        <v>1</v>
      </c>
      <c r="D566" s="42" t="n">
        <v>6</v>
      </c>
      <c r="E566" s="42" t="n">
        <v>1</v>
      </c>
      <c r="F566" s="42" t="inlineStr">
        <is>
          <t>FR-226</t>
        </is>
      </c>
      <c r="G566" s="55">
        <f>IFERROR(INDEX('Semrush Data'!$A$1:$Z$20000,MATCH(A566,'Semrush Data'!$A$1:$A$20000,0),MATCH("Volume",'Semrush Data'!$A$1:$Z$1,0)),"")</f>
        <v/>
      </c>
      <c r="H566" s="42">
        <f>IFERROR(INDEX('Semrush Data'!$A$1:$Z$20000,MATCH(A566,'Semrush Data'!$A$1:$A$20000,0),MATCH("Keyword Difficulty*",'Semrush Data'!$A$1:$Z$1,0)),"")</f>
        <v/>
      </c>
      <c r="I566" s="56">
        <f>IFERROR(INDEX('Semrush Data'!$A$1:$Z$20000,MATCH(A566,'Semrush Data'!$A$1:$A$20000,0),MATCH("CPC*",'Semrush Data'!$A$1:$Z$1,0)),"")</f>
        <v/>
      </c>
      <c r="J566" s="42">
        <f>IFERROR(INDEX('Semrush Data'!$A$1:$Z$20000,MATCH(A566,'Semrush Data'!$A$1:$A$20000,0),MATCH("Intent",'Semrush Data'!$A$1:$Z$1,0)),"")</f>
        <v/>
      </c>
    </row>
    <row r="567" ht="15" customHeight="1" s="37">
      <c r="A567" s="42" t="inlineStr">
        <is>
          <t>gucci set</t>
        </is>
      </c>
      <c r="B567" s="42" t="inlineStr">
        <is>
          <t>Product</t>
        </is>
      </c>
      <c r="C567" s="42" t="n">
        <v>1</v>
      </c>
      <c r="D567" s="42" t="n">
        <v>6</v>
      </c>
      <c r="E567" s="42" t="n">
        <v>1</v>
      </c>
      <c r="F567" s="42" t="inlineStr">
        <is>
          <t>FR-227</t>
        </is>
      </c>
      <c r="G567" s="55">
        <f>IFERROR(INDEX('Semrush Data'!$A$1:$Z$20000,MATCH(A567,'Semrush Data'!$A$1:$A$20000,0),MATCH("Volume",'Semrush Data'!$A$1:$Z$1,0)),"")</f>
        <v/>
      </c>
      <c r="H567" s="42">
        <f>IFERROR(INDEX('Semrush Data'!$A$1:$Z$20000,MATCH(A567,'Semrush Data'!$A$1:$A$20000,0),MATCH("Keyword Difficulty*",'Semrush Data'!$A$1:$Z$1,0)),"")</f>
        <v/>
      </c>
      <c r="I567" s="56">
        <f>IFERROR(INDEX('Semrush Data'!$A$1:$Z$20000,MATCH(A567,'Semrush Data'!$A$1:$A$20000,0),MATCH("CPC*",'Semrush Data'!$A$1:$Z$1,0)),"")</f>
        <v/>
      </c>
      <c r="J567" s="42">
        <f>IFERROR(INDEX('Semrush Data'!$A$1:$Z$20000,MATCH(A567,'Semrush Data'!$A$1:$A$20000,0),MATCH("Intent",'Semrush Data'!$A$1:$Z$1,0)),"")</f>
        <v/>
      </c>
    </row>
    <row r="568" ht="15" customHeight="1" s="37">
      <c r="A568" s="42" t="inlineStr">
        <is>
          <t>guerlain epices exquises</t>
        </is>
      </c>
      <c r="B568" s="42" t="inlineStr">
        <is>
          <t>Product</t>
        </is>
      </c>
      <c r="C568" s="42" t="n">
        <v>1</v>
      </c>
      <c r="D568" s="42" t="n">
        <v>6</v>
      </c>
      <c r="E568" s="42" t="n">
        <v>1</v>
      </c>
      <c r="F568" s="42" t="inlineStr">
        <is>
          <t>FR-234</t>
        </is>
      </c>
      <c r="G568" s="55">
        <f>IFERROR(INDEX('Semrush Data'!$A$1:$Z$20000,MATCH(A568,'Semrush Data'!$A$1:$A$20000,0),MATCH("Volume",'Semrush Data'!$A$1:$Z$1,0)),"")</f>
        <v/>
      </c>
      <c r="H568" s="42">
        <f>IFERROR(INDEX('Semrush Data'!$A$1:$Z$20000,MATCH(A568,'Semrush Data'!$A$1:$A$20000,0),MATCH("Keyword Difficulty*",'Semrush Data'!$A$1:$Z$1,0)),"")</f>
        <v/>
      </c>
      <c r="I568" s="56">
        <f>IFERROR(INDEX('Semrush Data'!$A$1:$Z$20000,MATCH(A568,'Semrush Data'!$A$1:$A$20000,0),MATCH("CPC*",'Semrush Data'!$A$1:$Z$1,0)),"")</f>
        <v/>
      </c>
      <c r="J568" s="42">
        <f>IFERROR(INDEX('Semrush Data'!$A$1:$Z$20000,MATCH(A568,'Semrush Data'!$A$1:$A$20000,0),MATCH("Intent",'Semrush Data'!$A$1:$Z$1,0)),"")</f>
        <v/>
      </c>
    </row>
    <row r="569" ht="15" customHeight="1" s="37">
      <c r="A569" s="42" t="inlineStr">
        <is>
          <t>guerlain habit rouge</t>
        </is>
      </c>
      <c r="B569" s="42" t="inlineStr">
        <is>
          <t>Product</t>
        </is>
      </c>
      <c r="C569" s="42" t="n">
        <v>1</v>
      </c>
      <c r="D569" s="42" t="n">
        <v>6</v>
      </c>
      <c r="E569" s="42" t="n">
        <v>1</v>
      </c>
      <c r="F569" s="42" t="inlineStr">
        <is>
          <t>FR-229</t>
        </is>
      </c>
      <c r="G569" s="55">
        <f>IFERROR(INDEX('Semrush Data'!$A$1:$Z$20000,MATCH(A569,'Semrush Data'!$A$1:$A$20000,0),MATCH("Volume",'Semrush Data'!$A$1:$Z$1,0)),"")</f>
        <v/>
      </c>
      <c r="H569" s="42">
        <f>IFERROR(INDEX('Semrush Data'!$A$1:$Z$20000,MATCH(A569,'Semrush Data'!$A$1:$A$20000,0),MATCH("Keyword Difficulty*",'Semrush Data'!$A$1:$Z$1,0)),"")</f>
        <v/>
      </c>
      <c r="I569" s="56">
        <f>IFERROR(INDEX('Semrush Data'!$A$1:$Z$20000,MATCH(A569,'Semrush Data'!$A$1:$A$20000,0),MATCH("CPC*",'Semrush Data'!$A$1:$Z$1,0)),"")</f>
        <v/>
      </c>
      <c r="J569" s="42">
        <f>IFERROR(INDEX('Semrush Data'!$A$1:$Z$20000,MATCH(A569,'Semrush Data'!$A$1:$A$20000,0),MATCH("Intent",'Semrush Data'!$A$1:$Z$1,0)),"")</f>
        <v/>
      </c>
    </row>
    <row r="570" ht="15" customHeight="1" s="37">
      <c r="A570" s="42" t="inlineStr">
        <is>
          <t>guerlain l'instant de guerlain</t>
        </is>
      </c>
      <c r="B570" s="42" t="inlineStr">
        <is>
          <t>Product</t>
        </is>
      </c>
      <c r="C570" s="42" t="n">
        <v>1</v>
      </c>
      <c r="D570" s="42" t="n">
        <v>6</v>
      </c>
      <c r="E570" s="42" t="n">
        <v>1</v>
      </c>
      <c r="F570" s="42" t="inlineStr">
        <is>
          <t>FR-230</t>
        </is>
      </c>
      <c r="G570" s="55">
        <f>IFERROR(INDEX('Semrush Data'!$A$1:$Z$20000,MATCH(A570,'Semrush Data'!$A$1:$A$20000,0),MATCH("Volume",'Semrush Data'!$A$1:$Z$1,0)),"")</f>
        <v/>
      </c>
      <c r="H570" s="42">
        <f>IFERROR(INDEX('Semrush Data'!$A$1:$Z$20000,MATCH(A570,'Semrush Data'!$A$1:$A$20000,0),MATCH("Keyword Difficulty*",'Semrush Data'!$A$1:$Z$1,0)),"")</f>
        <v/>
      </c>
      <c r="I570" s="56">
        <f>IFERROR(INDEX('Semrush Data'!$A$1:$Z$20000,MATCH(A570,'Semrush Data'!$A$1:$A$20000,0),MATCH("CPC*",'Semrush Data'!$A$1:$Z$1,0)),"")</f>
        <v/>
      </c>
      <c r="J570" s="42">
        <f>IFERROR(INDEX('Semrush Data'!$A$1:$Z$20000,MATCH(A570,'Semrush Data'!$A$1:$A$20000,0),MATCH("Intent",'Semrush Data'!$A$1:$Z$1,0)),"")</f>
        <v/>
      </c>
    </row>
    <row r="571" ht="15" customHeight="1" s="37">
      <c r="A571" s="42" t="inlineStr">
        <is>
          <t>guerlain la petite robe noire ma robe cocktail</t>
        </is>
      </c>
      <c r="B571" s="42" t="inlineStr">
        <is>
          <t>Product</t>
        </is>
      </c>
      <c r="C571" s="42" t="n">
        <v>1</v>
      </c>
      <c r="D571" s="42" t="n">
        <v>6</v>
      </c>
      <c r="E571" s="42" t="n">
        <v>1</v>
      </c>
      <c r="F571" s="42" t="inlineStr">
        <is>
          <t>FR-235</t>
        </is>
      </c>
      <c r="G571" s="55">
        <f>IFERROR(INDEX('Semrush Data'!$A$1:$Z$20000,MATCH(A571,'Semrush Data'!$A$1:$A$20000,0),MATCH("Volume",'Semrush Data'!$A$1:$Z$1,0)),"")</f>
        <v/>
      </c>
      <c r="H571" s="42">
        <f>IFERROR(INDEX('Semrush Data'!$A$1:$Z$20000,MATCH(A571,'Semrush Data'!$A$1:$A$20000,0),MATCH("Keyword Difficulty*",'Semrush Data'!$A$1:$Z$1,0)),"")</f>
        <v/>
      </c>
      <c r="I571" s="56">
        <f>IFERROR(INDEX('Semrush Data'!$A$1:$Z$20000,MATCH(A571,'Semrush Data'!$A$1:$A$20000,0),MATCH("CPC*",'Semrush Data'!$A$1:$Z$1,0)),"")</f>
        <v/>
      </c>
      <c r="J571" s="42">
        <f>IFERROR(INDEX('Semrush Data'!$A$1:$Z$20000,MATCH(A571,'Semrush Data'!$A$1:$A$20000,0),MATCH("Intent",'Semrush Data'!$A$1:$Z$1,0)),"")</f>
        <v/>
      </c>
    </row>
    <row r="572" ht="15" customHeight="1" s="37">
      <c r="A572" s="42" t="inlineStr">
        <is>
          <t>guerlain mon guerlain miniature gift set</t>
        </is>
      </c>
      <c r="B572" s="42" t="inlineStr">
        <is>
          <t>Product</t>
        </is>
      </c>
      <c r="C572" s="42" t="n">
        <v>1</v>
      </c>
      <c r="D572" s="42" t="n">
        <v>6</v>
      </c>
      <c r="E572" s="42" t="n">
        <v>1</v>
      </c>
      <c r="F572" s="42" t="inlineStr">
        <is>
          <t>FR-236</t>
        </is>
      </c>
      <c r="G572" s="55">
        <f>IFERROR(INDEX('Semrush Data'!$A$1:$Z$20000,MATCH(A572,'Semrush Data'!$A$1:$A$20000,0),MATCH("Volume",'Semrush Data'!$A$1:$Z$1,0)),"")</f>
        <v/>
      </c>
      <c r="H572" s="42">
        <f>IFERROR(INDEX('Semrush Data'!$A$1:$Z$20000,MATCH(A572,'Semrush Data'!$A$1:$A$20000,0),MATCH("Keyword Difficulty*",'Semrush Data'!$A$1:$Z$1,0)),"")</f>
        <v/>
      </c>
      <c r="I572" s="56">
        <f>IFERROR(INDEX('Semrush Data'!$A$1:$Z$20000,MATCH(A572,'Semrush Data'!$A$1:$A$20000,0),MATCH("CPC*",'Semrush Data'!$A$1:$Z$1,0)),"")</f>
        <v/>
      </c>
      <c r="J572" s="42">
        <f>IFERROR(INDEX('Semrush Data'!$A$1:$Z$20000,MATCH(A572,'Semrush Data'!$A$1:$A$20000,0),MATCH("Intent",'Semrush Data'!$A$1:$Z$1,0)),"")</f>
        <v/>
      </c>
    </row>
    <row r="573" ht="15" customHeight="1" s="37">
      <c r="A573" s="42" t="inlineStr">
        <is>
          <t>guerlain musc noble</t>
        </is>
      </c>
      <c r="B573" s="42" t="inlineStr">
        <is>
          <t>Product</t>
        </is>
      </c>
      <c r="C573" s="42" t="n">
        <v>1</v>
      </c>
      <c r="D573" s="42" t="n">
        <v>6</v>
      </c>
      <c r="E573" s="42" t="n">
        <v>1</v>
      </c>
      <c r="F573" s="42" t="inlineStr">
        <is>
          <t>FR-231</t>
        </is>
      </c>
      <c r="G573" s="55">
        <f>IFERROR(INDEX('Semrush Data'!$A$1:$Z$20000,MATCH(A573,'Semrush Data'!$A$1:$A$20000,0),MATCH("Volume",'Semrush Data'!$A$1:$Z$1,0)),"")</f>
        <v/>
      </c>
      <c r="H573" s="42">
        <f>IFERROR(INDEX('Semrush Data'!$A$1:$Z$20000,MATCH(A573,'Semrush Data'!$A$1:$A$20000,0),MATCH("Keyword Difficulty*",'Semrush Data'!$A$1:$Z$1,0)),"")</f>
        <v/>
      </c>
      <c r="I573" s="56">
        <f>IFERROR(INDEX('Semrush Data'!$A$1:$Z$20000,MATCH(A573,'Semrush Data'!$A$1:$A$20000,0),MATCH("CPC*",'Semrush Data'!$A$1:$Z$1,0)),"")</f>
        <v/>
      </c>
      <c r="J573" s="42">
        <f>IFERROR(INDEX('Semrush Data'!$A$1:$Z$20000,MATCH(A573,'Semrush Data'!$A$1:$A$20000,0),MATCH("Intent",'Semrush Data'!$A$1:$Z$1,0)),"")</f>
        <v/>
      </c>
    </row>
    <row r="574" ht="15" customHeight="1" s="37">
      <c r="A574" s="42" t="inlineStr">
        <is>
          <t>guerlain oud essentiel</t>
        </is>
      </c>
      <c r="B574" s="42" t="inlineStr">
        <is>
          <t>Product</t>
        </is>
      </c>
      <c r="C574" s="42" t="n">
        <v>1</v>
      </c>
      <c r="D574" s="42" t="n">
        <v>6</v>
      </c>
      <c r="E574" s="42" t="n">
        <v>1</v>
      </c>
      <c r="F574" s="42" t="inlineStr">
        <is>
          <t>FR-232</t>
        </is>
      </c>
      <c r="G574" s="55">
        <f>IFERROR(INDEX('Semrush Data'!$A$1:$Z$20000,MATCH(A574,'Semrush Data'!$A$1:$A$20000,0),MATCH("Volume",'Semrush Data'!$A$1:$Z$1,0)),"")</f>
        <v/>
      </c>
      <c r="H574" s="42">
        <f>IFERROR(INDEX('Semrush Data'!$A$1:$Z$20000,MATCH(A574,'Semrush Data'!$A$1:$A$20000,0),MATCH("Keyword Difficulty*",'Semrush Data'!$A$1:$Z$1,0)),"")</f>
        <v/>
      </c>
      <c r="I574" s="56">
        <f>IFERROR(INDEX('Semrush Data'!$A$1:$Z$20000,MATCH(A574,'Semrush Data'!$A$1:$A$20000,0),MATCH("CPC*",'Semrush Data'!$A$1:$Z$1,0)),"")</f>
        <v/>
      </c>
      <c r="J574" s="42">
        <f>IFERROR(INDEX('Semrush Data'!$A$1:$Z$20000,MATCH(A574,'Semrush Data'!$A$1:$A$20000,0),MATCH("Intent",'Semrush Data'!$A$1:$Z$1,0)),"")</f>
        <v/>
      </c>
    </row>
    <row r="575" ht="15" customHeight="1" s="37">
      <c r="A575" s="42" t="inlineStr">
        <is>
          <t>guerlain samsara</t>
        </is>
      </c>
      <c r="B575" s="42" t="inlineStr">
        <is>
          <t>Product</t>
        </is>
      </c>
      <c r="C575" s="42" t="n">
        <v>1</v>
      </c>
      <c r="D575" s="42" t="n">
        <v>6</v>
      </c>
      <c r="E575" s="42" t="n">
        <v>1</v>
      </c>
      <c r="F575" s="42" t="inlineStr">
        <is>
          <t>FR-233</t>
        </is>
      </c>
      <c r="G575" s="55">
        <f>IFERROR(INDEX('Semrush Data'!$A$1:$Z$20000,MATCH(A575,'Semrush Data'!$A$1:$A$20000,0),MATCH("Volume",'Semrush Data'!$A$1:$Z$1,0)),"")</f>
        <v/>
      </c>
      <c r="H575" s="42">
        <f>IFERROR(INDEX('Semrush Data'!$A$1:$Z$20000,MATCH(A575,'Semrush Data'!$A$1:$A$20000,0),MATCH("Keyword Difficulty*",'Semrush Data'!$A$1:$Z$1,0)),"")</f>
        <v/>
      </c>
      <c r="I575" s="56">
        <f>IFERROR(INDEX('Semrush Data'!$A$1:$Z$20000,MATCH(A575,'Semrush Data'!$A$1:$A$20000,0),MATCH("CPC*",'Semrush Data'!$A$1:$Z$1,0)),"")</f>
        <v/>
      </c>
      <c r="J575" s="42">
        <f>IFERROR(INDEX('Semrush Data'!$A$1:$Z$20000,MATCH(A575,'Semrush Data'!$A$1:$A$20000,0),MATCH("Intent",'Semrush Data'!$A$1:$Z$1,0)),"")</f>
        <v/>
      </c>
    </row>
    <row r="576" ht="15" customHeight="1" s="37">
      <c r="A576" s="42" t="inlineStr">
        <is>
          <t>hemel affair</t>
        </is>
      </c>
      <c r="B576" s="42" t="inlineStr">
        <is>
          <t>Product</t>
        </is>
      </c>
      <c r="C576" s="42" t="n">
        <v>1</v>
      </c>
      <c r="D576" s="42" t="n">
        <v>6</v>
      </c>
      <c r="E576" s="42" t="n">
        <v>2</v>
      </c>
      <c r="F576" s="42" t="inlineStr">
        <is>
          <t>FR-242, FR-243</t>
        </is>
      </c>
      <c r="G576" s="55">
        <f>IFERROR(INDEX('Semrush Data'!$A$1:$Z$20000,MATCH(A576,'Semrush Data'!$A$1:$A$20000,0),MATCH("Volume",'Semrush Data'!$A$1:$Z$1,0)),"")</f>
        <v/>
      </c>
      <c r="H576" s="42">
        <f>IFERROR(INDEX('Semrush Data'!$A$1:$Z$20000,MATCH(A576,'Semrush Data'!$A$1:$A$20000,0),MATCH("Keyword Difficulty*",'Semrush Data'!$A$1:$Z$1,0)),"")</f>
        <v/>
      </c>
      <c r="I576" s="56">
        <f>IFERROR(INDEX('Semrush Data'!$A$1:$Z$20000,MATCH(A576,'Semrush Data'!$A$1:$A$20000,0),MATCH("CPC*",'Semrush Data'!$A$1:$Z$1,0)),"")</f>
        <v/>
      </c>
      <c r="J576" s="42">
        <f>IFERROR(INDEX('Semrush Data'!$A$1:$Z$20000,MATCH(A576,'Semrush Data'!$A$1:$A$20000,0),MATCH("Intent",'Semrush Data'!$A$1:$Z$1,0)),"")</f>
        <v/>
      </c>
    </row>
    <row r="577" ht="15" customHeight="1" s="37">
      <c r="A577" s="42" t="inlineStr">
        <is>
          <t>hemel amethyst dream</t>
        </is>
      </c>
      <c r="B577" s="42" t="inlineStr">
        <is>
          <t>Product</t>
        </is>
      </c>
      <c r="C577" s="42" t="n">
        <v>1</v>
      </c>
      <c r="D577" s="42" t="n">
        <v>6</v>
      </c>
      <c r="E577" s="42" t="n">
        <v>2</v>
      </c>
      <c r="F577" s="42" t="inlineStr">
        <is>
          <t>FR-237, FR-238</t>
        </is>
      </c>
      <c r="G577" s="55">
        <f>IFERROR(INDEX('Semrush Data'!$A$1:$Z$20000,MATCH(A577,'Semrush Data'!$A$1:$A$20000,0),MATCH("Volume",'Semrush Data'!$A$1:$Z$1,0)),"")</f>
        <v/>
      </c>
      <c r="H577" s="42">
        <f>IFERROR(INDEX('Semrush Data'!$A$1:$Z$20000,MATCH(A577,'Semrush Data'!$A$1:$A$20000,0),MATCH("Keyword Difficulty*",'Semrush Data'!$A$1:$Z$1,0)),"")</f>
        <v/>
      </c>
      <c r="I577" s="56">
        <f>IFERROR(INDEX('Semrush Data'!$A$1:$Z$20000,MATCH(A577,'Semrush Data'!$A$1:$A$20000,0),MATCH("CPC*",'Semrush Data'!$A$1:$Z$1,0)),"")</f>
        <v/>
      </c>
      <c r="J577" s="42">
        <f>IFERROR(INDEX('Semrush Data'!$A$1:$Z$20000,MATCH(A577,'Semrush Data'!$A$1:$A$20000,0),MATCH("Intent",'Semrush Data'!$A$1:$Z$1,0)),"")</f>
        <v/>
      </c>
    </row>
    <row r="578" ht="15" customHeight="1" s="37">
      <c r="A578" s="42" t="inlineStr">
        <is>
          <t>hemel dorado</t>
        </is>
      </c>
      <c r="B578" s="42" t="inlineStr">
        <is>
          <t>Product</t>
        </is>
      </c>
      <c r="C578" s="42" t="n">
        <v>1</v>
      </c>
      <c r="D578" s="42" t="n">
        <v>6</v>
      </c>
      <c r="E578" s="42" t="n">
        <v>1</v>
      </c>
      <c r="F578" s="42" t="inlineStr">
        <is>
          <t>FR-239</t>
        </is>
      </c>
      <c r="G578" s="55">
        <f>IFERROR(INDEX('Semrush Data'!$A$1:$Z$20000,MATCH(A578,'Semrush Data'!$A$1:$A$20000,0),MATCH("Volume",'Semrush Data'!$A$1:$Z$1,0)),"")</f>
        <v/>
      </c>
      <c r="H578" s="42">
        <f>IFERROR(INDEX('Semrush Data'!$A$1:$Z$20000,MATCH(A578,'Semrush Data'!$A$1:$A$20000,0),MATCH("Keyword Difficulty*",'Semrush Data'!$A$1:$Z$1,0)),"")</f>
        <v/>
      </c>
      <c r="I578" s="56">
        <f>IFERROR(INDEX('Semrush Data'!$A$1:$Z$20000,MATCH(A578,'Semrush Data'!$A$1:$A$20000,0),MATCH("CPC*",'Semrush Data'!$A$1:$Z$1,0)),"")</f>
        <v/>
      </c>
      <c r="J578" s="42">
        <f>IFERROR(INDEX('Semrush Data'!$A$1:$Z$20000,MATCH(A578,'Semrush Data'!$A$1:$A$20000,0),MATCH("Intent",'Semrush Data'!$A$1:$Z$1,0)),"")</f>
        <v/>
      </c>
    </row>
    <row r="579" ht="15" customHeight="1" s="37">
      <c r="A579" s="42" t="inlineStr">
        <is>
          <t>hemel favourite black</t>
        </is>
      </c>
      <c r="B579" s="42" t="inlineStr">
        <is>
          <t>Product</t>
        </is>
      </c>
      <c r="C579" s="42" t="n">
        <v>1</v>
      </c>
      <c r="D579" s="42" t="n">
        <v>6</v>
      </c>
      <c r="E579" s="42" t="n">
        <v>2</v>
      </c>
      <c r="F579" s="42" t="inlineStr">
        <is>
          <t>FR-240, FR-241</t>
        </is>
      </c>
      <c r="G579" s="55">
        <f>IFERROR(INDEX('Semrush Data'!$A$1:$Z$20000,MATCH(A579,'Semrush Data'!$A$1:$A$20000,0),MATCH("Volume",'Semrush Data'!$A$1:$Z$1,0)),"")</f>
        <v/>
      </c>
      <c r="H579" s="42">
        <f>IFERROR(INDEX('Semrush Data'!$A$1:$Z$20000,MATCH(A579,'Semrush Data'!$A$1:$A$20000,0),MATCH("Keyword Difficulty*",'Semrush Data'!$A$1:$Z$1,0)),"")</f>
        <v/>
      </c>
      <c r="I579" s="56">
        <f>IFERROR(INDEX('Semrush Data'!$A$1:$Z$20000,MATCH(A579,'Semrush Data'!$A$1:$A$20000,0),MATCH("CPC*",'Semrush Data'!$A$1:$Z$1,0)),"")</f>
        <v/>
      </c>
      <c r="J579" s="42">
        <f>IFERROR(INDEX('Semrush Data'!$A$1:$Z$20000,MATCH(A579,'Semrush Data'!$A$1:$A$20000,0),MATCH("Intent",'Semrush Data'!$A$1:$Z$1,0)),"")</f>
        <v/>
      </c>
    </row>
    <row r="580" ht="15" customHeight="1" s="37">
      <c r="A580" s="42" t="inlineStr">
        <is>
          <t>hemel gris</t>
        </is>
      </c>
      <c r="B580" s="42" t="inlineStr">
        <is>
          <t>Product</t>
        </is>
      </c>
      <c r="C580" s="42" t="n">
        <v>1</v>
      </c>
      <c r="D580" s="42" t="n">
        <v>6</v>
      </c>
      <c r="E580" s="42" t="n">
        <v>1</v>
      </c>
      <c r="F580" s="42" t="inlineStr">
        <is>
          <t>FR-244</t>
        </is>
      </c>
      <c r="G580" s="55">
        <f>IFERROR(INDEX('Semrush Data'!$A$1:$Z$20000,MATCH(A580,'Semrush Data'!$A$1:$A$20000,0),MATCH("Volume",'Semrush Data'!$A$1:$Z$1,0)),"")</f>
        <v/>
      </c>
      <c r="H580" s="42">
        <f>IFERROR(INDEX('Semrush Data'!$A$1:$Z$20000,MATCH(A580,'Semrush Data'!$A$1:$A$20000,0),MATCH("Keyword Difficulty*",'Semrush Data'!$A$1:$Z$1,0)),"")</f>
        <v/>
      </c>
      <c r="I580" s="56">
        <f>IFERROR(INDEX('Semrush Data'!$A$1:$Z$20000,MATCH(A580,'Semrush Data'!$A$1:$A$20000,0),MATCH("CPC*",'Semrush Data'!$A$1:$Z$1,0)),"")</f>
        <v/>
      </c>
      <c r="J580" s="42">
        <f>IFERROR(INDEX('Semrush Data'!$A$1:$Z$20000,MATCH(A580,'Semrush Data'!$A$1:$A$20000,0),MATCH("Intent",'Semrush Data'!$A$1:$Z$1,0)),"")</f>
        <v/>
      </c>
    </row>
    <row r="581" ht="15" customHeight="1" s="37">
      <c r="A581" s="42" t="inlineStr">
        <is>
          <t>hemel paris dorado</t>
        </is>
      </c>
      <c r="B581" s="42" t="inlineStr">
        <is>
          <t>Product</t>
        </is>
      </c>
      <c r="C581" s="42" t="n">
        <v>1</v>
      </c>
      <c r="D581" s="42" t="n">
        <v>6</v>
      </c>
      <c r="E581" s="42" t="n">
        <v>1</v>
      </c>
      <c r="F581" s="42" t="inlineStr">
        <is>
          <t>FR-245</t>
        </is>
      </c>
      <c r="G581" s="55">
        <f>IFERROR(INDEX('Semrush Data'!$A$1:$Z$20000,MATCH(A581,'Semrush Data'!$A$1:$A$20000,0),MATCH("Volume",'Semrush Data'!$A$1:$Z$1,0)),"")</f>
        <v/>
      </c>
      <c r="H581" s="42">
        <f>IFERROR(INDEX('Semrush Data'!$A$1:$Z$20000,MATCH(A581,'Semrush Data'!$A$1:$A$20000,0),MATCH("Keyword Difficulty*",'Semrush Data'!$A$1:$Z$1,0)),"")</f>
        <v/>
      </c>
      <c r="I581" s="56">
        <f>IFERROR(INDEX('Semrush Data'!$A$1:$Z$20000,MATCH(A581,'Semrush Data'!$A$1:$A$20000,0),MATCH("CPC*",'Semrush Data'!$A$1:$Z$1,0)),"")</f>
        <v/>
      </c>
      <c r="J581" s="42">
        <f>IFERROR(INDEX('Semrush Data'!$A$1:$Z$20000,MATCH(A581,'Semrush Data'!$A$1:$A$20000,0),MATCH("Intent",'Semrush Data'!$A$1:$Z$1,0)),"")</f>
        <v/>
      </c>
    </row>
    <row r="582" ht="15" customHeight="1" s="37">
      <c r="A582" s="42" t="inlineStr">
        <is>
          <t>hemel paris gris for all</t>
        </is>
      </c>
      <c r="B582" s="42" t="inlineStr">
        <is>
          <t>Product</t>
        </is>
      </c>
      <c r="C582" s="42" t="n">
        <v>1</v>
      </c>
      <c r="D582" s="42" t="n">
        <v>6</v>
      </c>
      <c r="E582" s="42" t="n">
        <v>1</v>
      </c>
      <c r="F582" s="42" t="inlineStr">
        <is>
          <t>FR-246</t>
        </is>
      </c>
      <c r="G582" s="55">
        <f>IFERROR(INDEX('Semrush Data'!$A$1:$Z$20000,MATCH(A582,'Semrush Data'!$A$1:$A$20000,0),MATCH("Volume",'Semrush Data'!$A$1:$Z$1,0)),"")</f>
        <v/>
      </c>
      <c r="H582" s="42">
        <f>IFERROR(INDEX('Semrush Data'!$A$1:$Z$20000,MATCH(A582,'Semrush Data'!$A$1:$A$20000,0),MATCH("Keyword Difficulty*",'Semrush Data'!$A$1:$Z$1,0)),"")</f>
        <v/>
      </c>
      <c r="I582" s="56">
        <f>IFERROR(INDEX('Semrush Data'!$A$1:$Z$20000,MATCH(A582,'Semrush Data'!$A$1:$A$20000,0),MATCH("CPC*",'Semrush Data'!$A$1:$Z$1,0)),"")</f>
        <v/>
      </c>
      <c r="J582" s="42">
        <f>IFERROR(INDEX('Semrush Data'!$A$1:$Z$20000,MATCH(A582,'Semrush Data'!$A$1:$A$20000,0),MATCH("Intent",'Semrush Data'!$A$1:$Z$1,0)),"")</f>
        <v/>
      </c>
    </row>
    <row r="583" ht="15" customHeight="1" s="37">
      <c r="A583" s="42" t="inlineStr">
        <is>
          <t>hemel patchouli for all</t>
        </is>
      </c>
      <c r="B583" s="42" t="inlineStr">
        <is>
          <t>Product</t>
        </is>
      </c>
      <c r="C583" s="42" t="n">
        <v>1</v>
      </c>
      <c r="D583" s="42" t="n">
        <v>6</v>
      </c>
      <c r="E583" s="42" t="n">
        <v>2</v>
      </c>
      <c r="F583" s="42" t="inlineStr">
        <is>
          <t>FR-247, FR-248</t>
        </is>
      </c>
      <c r="G583" s="55">
        <f>IFERROR(INDEX('Semrush Data'!$A$1:$Z$20000,MATCH(A583,'Semrush Data'!$A$1:$A$20000,0),MATCH("Volume",'Semrush Data'!$A$1:$Z$1,0)),"")</f>
        <v/>
      </c>
      <c r="H583" s="42">
        <f>IFERROR(INDEX('Semrush Data'!$A$1:$Z$20000,MATCH(A583,'Semrush Data'!$A$1:$A$20000,0),MATCH("Keyword Difficulty*",'Semrush Data'!$A$1:$Z$1,0)),"")</f>
        <v/>
      </c>
      <c r="I583" s="56">
        <f>IFERROR(INDEX('Semrush Data'!$A$1:$Z$20000,MATCH(A583,'Semrush Data'!$A$1:$A$20000,0),MATCH("CPC*",'Semrush Data'!$A$1:$Z$1,0)),"")</f>
        <v/>
      </c>
      <c r="J583" s="42">
        <f>IFERROR(INDEX('Semrush Data'!$A$1:$Z$20000,MATCH(A583,'Semrush Data'!$A$1:$A$20000,0),MATCH("Intent",'Semrush Data'!$A$1:$Z$1,0)),"")</f>
        <v/>
      </c>
    </row>
    <row r="584" ht="15" customHeight="1" s="37">
      <c r="A584" s="42" t="inlineStr">
        <is>
          <t>hemel plateado</t>
        </is>
      </c>
      <c r="B584" s="42" t="inlineStr">
        <is>
          <t>Product</t>
        </is>
      </c>
      <c r="C584" s="42" t="n">
        <v>1</v>
      </c>
      <c r="D584" s="42" t="n">
        <v>6</v>
      </c>
      <c r="E584" s="42" t="n">
        <v>2</v>
      </c>
      <c r="F584" s="42" t="inlineStr">
        <is>
          <t>FR-249, FR-250</t>
        </is>
      </c>
      <c r="G584" s="55">
        <f>IFERROR(INDEX('Semrush Data'!$A$1:$Z$20000,MATCH(A584,'Semrush Data'!$A$1:$A$20000,0),MATCH("Volume",'Semrush Data'!$A$1:$Z$1,0)),"")</f>
        <v/>
      </c>
      <c r="H584" s="42">
        <f>IFERROR(INDEX('Semrush Data'!$A$1:$Z$20000,MATCH(A584,'Semrush Data'!$A$1:$A$20000,0),MATCH("Keyword Difficulty*",'Semrush Data'!$A$1:$Z$1,0)),"")</f>
        <v/>
      </c>
      <c r="I584" s="56">
        <f>IFERROR(INDEX('Semrush Data'!$A$1:$Z$20000,MATCH(A584,'Semrush Data'!$A$1:$A$20000,0),MATCH("CPC*",'Semrush Data'!$A$1:$Z$1,0)),"")</f>
        <v/>
      </c>
      <c r="J584" s="42">
        <f>IFERROR(INDEX('Semrush Data'!$A$1:$Z$20000,MATCH(A584,'Semrush Data'!$A$1:$A$20000,0),MATCH("Intent",'Semrush Data'!$A$1:$Z$1,0)),"")</f>
        <v/>
      </c>
    </row>
    <row r="585" ht="15" customHeight="1" s="37">
      <c r="A585" s="42" t="inlineStr">
        <is>
          <t>hemel rosado</t>
        </is>
      </c>
      <c r="B585" s="42" t="inlineStr">
        <is>
          <t>Product</t>
        </is>
      </c>
      <c r="C585" s="42" t="n">
        <v>1</v>
      </c>
      <c r="D585" s="42" t="n">
        <v>6</v>
      </c>
      <c r="E585" s="42" t="n">
        <v>2</v>
      </c>
      <c r="F585" s="42" t="inlineStr">
        <is>
          <t>FR-251, FR-252</t>
        </is>
      </c>
      <c r="G585" s="55">
        <f>IFERROR(INDEX('Semrush Data'!$A$1:$Z$20000,MATCH(A585,'Semrush Data'!$A$1:$A$20000,0),MATCH("Volume",'Semrush Data'!$A$1:$Z$1,0)),"")</f>
        <v/>
      </c>
      <c r="H585" s="42">
        <f>IFERROR(INDEX('Semrush Data'!$A$1:$Z$20000,MATCH(A585,'Semrush Data'!$A$1:$A$20000,0),MATCH("Keyword Difficulty*",'Semrush Data'!$A$1:$Z$1,0)),"")</f>
        <v/>
      </c>
      <c r="I585" s="56">
        <f>IFERROR(INDEX('Semrush Data'!$A$1:$Z$20000,MATCH(A585,'Semrush Data'!$A$1:$A$20000,0),MATCH("CPC*",'Semrush Data'!$A$1:$Z$1,0)),"")</f>
        <v/>
      </c>
      <c r="J585" s="42">
        <f>IFERROR(INDEX('Semrush Data'!$A$1:$Z$20000,MATCH(A585,'Semrush Data'!$A$1:$A$20000,0),MATCH("Intent",'Semrush Data'!$A$1:$Z$1,0)),"")</f>
        <v/>
      </c>
    </row>
    <row r="586" ht="15" customHeight="1" s="37">
      <c r="A586" s="42" t="inlineStr">
        <is>
          <t>hemel valley of diamond</t>
        </is>
      </c>
      <c r="B586" s="42" t="inlineStr">
        <is>
          <t>Product</t>
        </is>
      </c>
      <c r="C586" s="42" t="n">
        <v>1</v>
      </c>
      <c r="D586" s="42" t="n">
        <v>6</v>
      </c>
      <c r="E586" s="42" t="n">
        <v>2</v>
      </c>
      <c r="F586" s="42" t="inlineStr">
        <is>
          <t>FR-253, FR-254</t>
        </is>
      </c>
      <c r="G586" s="55">
        <f>IFERROR(INDEX('Semrush Data'!$A$1:$Z$20000,MATCH(A586,'Semrush Data'!$A$1:$A$20000,0),MATCH("Volume",'Semrush Data'!$A$1:$Z$1,0)),"")</f>
        <v/>
      </c>
      <c r="H586" s="42">
        <f>IFERROR(INDEX('Semrush Data'!$A$1:$Z$20000,MATCH(A586,'Semrush Data'!$A$1:$A$20000,0),MATCH("Keyword Difficulty*",'Semrush Data'!$A$1:$Z$1,0)),"")</f>
        <v/>
      </c>
      <c r="I586" s="56">
        <f>IFERROR(INDEX('Semrush Data'!$A$1:$Z$20000,MATCH(A586,'Semrush Data'!$A$1:$A$20000,0),MATCH("CPC*",'Semrush Data'!$A$1:$Z$1,0)),"")</f>
        <v/>
      </c>
      <c r="J586" s="42">
        <f>IFERROR(INDEX('Semrush Data'!$A$1:$Z$20000,MATCH(A586,'Semrush Data'!$A$1:$A$20000,0),MATCH("Intent",'Semrush Data'!$A$1:$Z$1,0)),"")</f>
        <v/>
      </c>
    </row>
    <row r="587" ht="15" customHeight="1" s="37">
      <c r="A587" s="42" t="inlineStr">
        <is>
          <t>hermes hermes un jardin a cythere miniature</t>
        </is>
      </c>
      <c r="B587" s="42" t="inlineStr">
        <is>
          <t>Product</t>
        </is>
      </c>
      <c r="C587" s="42" t="n">
        <v>1</v>
      </c>
      <c r="D587" s="42" t="n">
        <v>6</v>
      </c>
      <c r="E587" s="42" t="n">
        <v>1</v>
      </c>
      <c r="F587" s="42" t="inlineStr">
        <is>
          <t>FR-255</t>
        </is>
      </c>
      <c r="G587" s="55">
        <f>IFERROR(INDEX('Semrush Data'!$A$1:$Z$20000,MATCH(A587,'Semrush Data'!$A$1:$A$20000,0),MATCH("Volume",'Semrush Data'!$A$1:$Z$1,0)),"")</f>
        <v/>
      </c>
      <c r="H587" s="42">
        <f>IFERROR(INDEX('Semrush Data'!$A$1:$Z$20000,MATCH(A587,'Semrush Data'!$A$1:$A$20000,0),MATCH("Keyword Difficulty*",'Semrush Data'!$A$1:$Z$1,0)),"")</f>
        <v/>
      </c>
      <c r="I587" s="56">
        <f>IFERROR(INDEX('Semrush Data'!$A$1:$Z$20000,MATCH(A587,'Semrush Data'!$A$1:$A$20000,0),MATCH("CPC*",'Semrush Data'!$A$1:$Z$1,0)),"")</f>
        <v/>
      </c>
      <c r="J587" s="42">
        <f>IFERROR(INDEX('Semrush Data'!$A$1:$Z$20000,MATCH(A587,'Semrush Data'!$A$1:$A$20000,0),MATCH("Intent",'Semrush Data'!$A$1:$Z$1,0)),"")</f>
        <v/>
      </c>
    </row>
    <row r="588" ht="15" customHeight="1" s="37">
      <c r="A588" s="42" t="inlineStr">
        <is>
          <t>hermes miniature gift set 4 x fragrances</t>
        </is>
      </c>
      <c r="B588" s="42" t="inlineStr">
        <is>
          <t>Product</t>
        </is>
      </c>
      <c r="C588" s="42" t="n">
        <v>1</v>
      </c>
      <c r="D588" s="42" t="n">
        <v>6</v>
      </c>
      <c r="E588" s="42" t="n">
        <v>1</v>
      </c>
      <c r="F588" s="42" t="inlineStr">
        <is>
          <t>FR-340</t>
        </is>
      </c>
      <c r="G588" s="55">
        <f>IFERROR(INDEX('Semrush Data'!$A$1:$Z$20000,MATCH(A588,'Semrush Data'!$A$1:$A$20000,0),MATCH("Volume",'Semrush Data'!$A$1:$Z$1,0)),"")</f>
        <v/>
      </c>
      <c r="H588" s="42">
        <f>IFERROR(INDEX('Semrush Data'!$A$1:$Z$20000,MATCH(A588,'Semrush Data'!$A$1:$A$20000,0),MATCH("Keyword Difficulty*",'Semrush Data'!$A$1:$Z$1,0)),"")</f>
        <v/>
      </c>
      <c r="I588" s="56">
        <f>IFERROR(INDEX('Semrush Data'!$A$1:$Z$20000,MATCH(A588,'Semrush Data'!$A$1:$A$20000,0),MATCH("CPC*",'Semrush Data'!$A$1:$Z$1,0)),"")</f>
        <v/>
      </c>
      <c r="J588" s="42">
        <f>IFERROR(INDEX('Semrush Data'!$A$1:$Z$20000,MATCH(A588,'Semrush Data'!$A$1:$A$20000,0),MATCH("Intent",'Semrush Data'!$A$1:$Z$1,0)),"")</f>
        <v/>
      </c>
    </row>
    <row r="589" ht="15" customHeight="1" s="37">
      <c r="A589" s="42" t="inlineStr">
        <is>
          <t>hermes un jardin a cythere miniature</t>
        </is>
      </c>
      <c r="B589" s="42" t="inlineStr">
        <is>
          <t>Product</t>
        </is>
      </c>
      <c r="C589" s="42" t="n">
        <v>1</v>
      </c>
      <c r="D589" s="42" t="n">
        <v>6</v>
      </c>
      <c r="E589" s="42" t="n">
        <v>1</v>
      </c>
      <c r="F589" s="42" t="inlineStr">
        <is>
          <t>FR-338</t>
        </is>
      </c>
      <c r="G589" s="55">
        <f>IFERROR(INDEX('Semrush Data'!$A$1:$Z$20000,MATCH(A589,'Semrush Data'!$A$1:$A$20000,0),MATCH("Volume",'Semrush Data'!$A$1:$Z$1,0)),"")</f>
        <v/>
      </c>
      <c r="H589" s="42">
        <f>IFERROR(INDEX('Semrush Data'!$A$1:$Z$20000,MATCH(A589,'Semrush Data'!$A$1:$A$20000,0),MATCH("Keyword Difficulty*",'Semrush Data'!$A$1:$Z$1,0)),"")</f>
        <v/>
      </c>
      <c r="I589" s="56">
        <f>IFERROR(INDEX('Semrush Data'!$A$1:$Z$20000,MATCH(A589,'Semrush Data'!$A$1:$A$20000,0),MATCH("CPC*",'Semrush Data'!$A$1:$Z$1,0)),"")</f>
        <v/>
      </c>
      <c r="J589" s="42">
        <f>IFERROR(INDEX('Semrush Data'!$A$1:$Z$20000,MATCH(A589,'Semrush Data'!$A$1:$A$20000,0),MATCH("Intent",'Semrush Data'!$A$1:$Z$1,0)),"")</f>
        <v/>
      </c>
    </row>
    <row r="590" ht="15" customHeight="1" s="37">
      <c r="A590" s="42" t="inlineStr">
        <is>
          <t>hermes un jardin en mediterranee miniature</t>
        </is>
      </c>
      <c r="B590" s="42" t="inlineStr">
        <is>
          <t>Product</t>
        </is>
      </c>
      <c r="C590" s="42" t="n">
        <v>1</v>
      </c>
      <c r="D590" s="42" t="n">
        <v>6</v>
      </c>
      <c r="E590" s="42" t="n">
        <v>1</v>
      </c>
      <c r="F590" s="42" t="inlineStr">
        <is>
          <t>FR-336</t>
        </is>
      </c>
      <c r="G590" s="55">
        <f>IFERROR(INDEX('Semrush Data'!$A$1:$Z$20000,MATCH(A590,'Semrush Data'!$A$1:$A$20000,0),MATCH("Volume",'Semrush Data'!$A$1:$Z$1,0)),"")</f>
        <v/>
      </c>
      <c r="H590" s="42">
        <f>IFERROR(INDEX('Semrush Data'!$A$1:$Z$20000,MATCH(A590,'Semrush Data'!$A$1:$A$20000,0),MATCH("Keyword Difficulty*",'Semrush Data'!$A$1:$Z$1,0)),"")</f>
        <v/>
      </c>
      <c r="I590" s="56">
        <f>IFERROR(INDEX('Semrush Data'!$A$1:$Z$20000,MATCH(A590,'Semrush Data'!$A$1:$A$20000,0),MATCH("CPC*",'Semrush Data'!$A$1:$Z$1,0)),"")</f>
        <v/>
      </c>
      <c r="J590" s="42">
        <f>IFERROR(INDEX('Semrush Data'!$A$1:$Z$20000,MATCH(A590,'Semrush Data'!$A$1:$A$20000,0),MATCH("Intent",'Semrush Data'!$A$1:$Z$1,0)),"")</f>
        <v/>
      </c>
    </row>
    <row r="591" ht="15" customHeight="1" s="37">
      <c r="A591" s="42" t="inlineStr">
        <is>
          <t>hermes un jardin sur le toit miniature</t>
        </is>
      </c>
      <c r="B591" s="42" t="inlineStr">
        <is>
          <t>Product</t>
        </is>
      </c>
      <c r="C591" s="42" t="n">
        <v>1</v>
      </c>
      <c r="D591" s="42" t="n">
        <v>6</v>
      </c>
      <c r="E591" s="42" t="n">
        <v>1</v>
      </c>
      <c r="F591" s="42" t="inlineStr">
        <is>
          <t>FR-337</t>
        </is>
      </c>
      <c r="G591" s="55">
        <f>IFERROR(INDEX('Semrush Data'!$A$1:$Z$20000,MATCH(A591,'Semrush Data'!$A$1:$A$20000,0),MATCH("Volume",'Semrush Data'!$A$1:$Z$1,0)),"")</f>
        <v/>
      </c>
      <c r="H591" s="42">
        <f>IFERROR(INDEX('Semrush Data'!$A$1:$Z$20000,MATCH(A591,'Semrush Data'!$A$1:$A$20000,0),MATCH("Keyword Difficulty*",'Semrush Data'!$A$1:$Z$1,0)),"")</f>
        <v/>
      </c>
      <c r="I591" s="56">
        <f>IFERROR(INDEX('Semrush Data'!$A$1:$Z$20000,MATCH(A591,'Semrush Data'!$A$1:$A$20000,0),MATCH("CPC*",'Semrush Data'!$A$1:$Z$1,0)),"")</f>
        <v/>
      </c>
      <c r="J591" s="42">
        <f>IFERROR(INDEX('Semrush Data'!$A$1:$Z$20000,MATCH(A591,'Semrush Data'!$A$1:$A$20000,0),MATCH("Intent",'Semrush Data'!$A$1:$Z$1,0)),"")</f>
        <v/>
      </c>
    </row>
    <row r="592" ht="15" customHeight="1" s="37">
      <c r="A592" s="42" t="inlineStr">
        <is>
          <t>hollister festival vibes</t>
        </is>
      </c>
      <c r="B592" s="42" t="inlineStr">
        <is>
          <t>Product</t>
        </is>
      </c>
      <c r="C592" s="42" t="n">
        <v>1</v>
      </c>
      <c r="D592" s="42" t="n">
        <v>6</v>
      </c>
      <c r="E592" s="42" t="n">
        <v>1</v>
      </c>
      <c r="F592" s="42" t="inlineStr">
        <is>
          <t>FR-256</t>
        </is>
      </c>
      <c r="G592" s="55">
        <f>IFERROR(INDEX('Semrush Data'!$A$1:$Z$20000,MATCH(A592,'Semrush Data'!$A$1:$A$20000,0),MATCH("Volume",'Semrush Data'!$A$1:$Z$1,0)),"")</f>
        <v/>
      </c>
      <c r="H592" s="42">
        <f>IFERROR(INDEX('Semrush Data'!$A$1:$Z$20000,MATCH(A592,'Semrush Data'!$A$1:$A$20000,0),MATCH("Keyword Difficulty*",'Semrush Data'!$A$1:$Z$1,0)),"")</f>
        <v/>
      </c>
      <c r="I592" s="56">
        <f>IFERROR(INDEX('Semrush Data'!$A$1:$Z$20000,MATCH(A592,'Semrush Data'!$A$1:$A$20000,0),MATCH("CPC*",'Semrush Data'!$A$1:$Z$1,0)),"")</f>
        <v/>
      </c>
      <c r="J592" s="42">
        <f>IFERROR(INDEX('Semrush Data'!$A$1:$Z$20000,MATCH(A592,'Semrush Data'!$A$1:$A$20000,0),MATCH("Intent",'Semrush Data'!$A$1:$Z$1,0)),"")</f>
        <v/>
      </c>
    </row>
    <row r="593" ht="15" customHeight="1" s="37">
      <c r="A593" s="42" t="inlineStr">
        <is>
          <t>hugo boss alive</t>
        </is>
      </c>
      <c r="B593" s="42" t="inlineStr">
        <is>
          <t>Product</t>
        </is>
      </c>
      <c r="C593" s="42" t="n">
        <v>1</v>
      </c>
      <c r="D593" s="42" t="n">
        <v>6</v>
      </c>
      <c r="E593" s="42" t="n">
        <v>1</v>
      </c>
      <c r="F593" s="42" t="inlineStr">
        <is>
          <t>FR-261</t>
        </is>
      </c>
      <c r="G593" s="55">
        <f>IFERROR(INDEX('Semrush Data'!$A$1:$Z$20000,MATCH(A593,'Semrush Data'!$A$1:$A$20000,0),MATCH("Volume",'Semrush Data'!$A$1:$Z$1,0)),"")</f>
        <v/>
      </c>
      <c r="H593" s="42">
        <f>IFERROR(INDEX('Semrush Data'!$A$1:$Z$20000,MATCH(A593,'Semrush Data'!$A$1:$A$20000,0),MATCH("Keyword Difficulty*",'Semrush Data'!$A$1:$Z$1,0)),"")</f>
        <v/>
      </c>
      <c r="I593" s="56">
        <f>IFERROR(INDEX('Semrush Data'!$A$1:$Z$20000,MATCH(A593,'Semrush Data'!$A$1:$A$20000,0),MATCH("CPC*",'Semrush Data'!$A$1:$Z$1,0)),"")</f>
        <v/>
      </c>
      <c r="J593" s="42">
        <f>IFERROR(INDEX('Semrush Data'!$A$1:$Z$20000,MATCH(A593,'Semrush Data'!$A$1:$A$20000,0),MATCH("Intent",'Semrush Data'!$A$1:$Z$1,0)),"")</f>
        <v/>
      </c>
    </row>
    <row r="594" ht="15" customHeight="1" s="37">
      <c r="A594" s="42" t="inlineStr">
        <is>
          <t>hugo boss boss the scent tester</t>
        </is>
      </c>
      <c r="B594" s="42" t="inlineStr">
        <is>
          <t>Product</t>
        </is>
      </c>
      <c r="C594" s="42" t="n">
        <v>1</v>
      </c>
      <c r="D594" s="42" t="n">
        <v>6</v>
      </c>
      <c r="E594" s="42" t="n">
        <v>1</v>
      </c>
      <c r="F594" s="42" t="inlineStr">
        <is>
          <t>FR-259</t>
        </is>
      </c>
      <c r="G594" s="55">
        <f>IFERROR(INDEX('Semrush Data'!$A$1:$Z$20000,MATCH(A594,'Semrush Data'!$A$1:$A$20000,0),MATCH("Volume",'Semrush Data'!$A$1:$Z$1,0)),"")</f>
        <v/>
      </c>
      <c r="H594" s="42">
        <f>IFERROR(INDEX('Semrush Data'!$A$1:$Z$20000,MATCH(A594,'Semrush Data'!$A$1:$A$20000,0),MATCH("Keyword Difficulty*",'Semrush Data'!$A$1:$Z$1,0)),"")</f>
        <v/>
      </c>
      <c r="I594" s="56">
        <f>IFERROR(INDEX('Semrush Data'!$A$1:$Z$20000,MATCH(A594,'Semrush Data'!$A$1:$A$20000,0),MATCH("CPC*",'Semrush Data'!$A$1:$Z$1,0)),"")</f>
        <v/>
      </c>
      <c r="J594" s="42">
        <f>IFERROR(INDEX('Semrush Data'!$A$1:$Z$20000,MATCH(A594,'Semrush Data'!$A$1:$A$20000,0),MATCH("Intent",'Semrush Data'!$A$1:$Z$1,0)),"")</f>
        <v/>
      </c>
    </row>
    <row r="595" ht="15" customHeight="1" s="37">
      <c r="A595" s="42" t="inlineStr">
        <is>
          <t>hugo boss bottled</t>
        </is>
      </c>
      <c r="B595" s="42" t="inlineStr">
        <is>
          <t>Product</t>
        </is>
      </c>
      <c r="C595" s="42" t="n">
        <v>1</v>
      </c>
      <c r="D595" s="42" t="n">
        <v>6</v>
      </c>
      <c r="E595" s="42" t="n">
        <v>1</v>
      </c>
      <c r="F595" s="42" t="inlineStr">
        <is>
          <t>FR-257</t>
        </is>
      </c>
      <c r="G595" s="55">
        <f>IFERROR(INDEX('Semrush Data'!$A$1:$Z$20000,MATCH(A595,'Semrush Data'!$A$1:$A$20000,0),MATCH("Volume",'Semrush Data'!$A$1:$Z$1,0)),"")</f>
        <v/>
      </c>
      <c r="H595" s="42">
        <f>IFERROR(INDEX('Semrush Data'!$A$1:$Z$20000,MATCH(A595,'Semrush Data'!$A$1:$A$20000,0),MATCH("Keyword Difficulty*",'Semrush Data'!$A$1:$Z$1,0)),"")</f>
        <v/>
      </c>
      <c r="I595" s="56">
        <f>IFERROR(INDEX('Semrush Data'!$A$1:$Z$20000,MATCH(A595,'Semrush Data'!$A$1:$A$20000,0),MATCH("CPC*",'Semrush Data'!$A$1:$Z$1,0)),"")</f>
        <v/>
      </c>
      <c r="J595" s="42">
        <f>IFERROR(INDEX('Semrush Data'!$A$1:$Z$20000,MATCH(A595,'Semrush Data'!$A$1:$A$20000,0),MATCH("Intent",'Semrush Data'!$A$1:$Z$1,0)),"")</f>
        <v/>
      </c>
    </row>
    <row r="596" ht="15" customHeight="1" s="37">
      <c r="A596" s="42" t="inlineStr">
        <is>
          <t>hugo boss hugo man</t>
        </is>
      </c>
      <c r="B596" s="42" t="inlineStr">
        <is>
          <t>Product</t>
        </is>
      </c>
      <c r="C596" s="42" t="n">
        <v>1</v>
      </c>
      <c r="D596" s="42" t="n">
        <v>6</v>
      </c>
      <c r="E596" s="42" t="n">
        <v>1</v>
      </c>
      <c r="F596" s="42" t="inlineStr">
        <is>
          <t>FR-260</t>
        </is>
      </c>
      <c r="G596" s="55">
        <f>IFERROR(INDEX('Semrush Data'!$A$1:$Z$20000,MATCH(A596,'Semrush Data'!$A$1:$A$20000,0),MATCH("Volume",'Semrush Data'!$A$1:$Z$1,0)),"")</f>
        <v/>
      </c>
      <c r="H596" s="42">
        <f>IFERROR(INDEX('Semrush Data'!$A$1:$Z$20000,MATCH(A596,'Semrush Data'!$A$1:$A$20000,0),MATCH("Keyword Difficulty*",'Semrush Data'!$A$1:$Z$1,0)),"")</f>
        <v/>
      </c>
      <c r="I596" s="56">
        <f>IFERROR(INDEX('Semrush Data'!$A$1:$Z$20000,MATCH(A596,'Semrush Data'!$A$1:$A$20000,0),MATCH("CPC*",'Semrush Data'!$A$1:$Z$1,0)),"")</f>
        <v/>
      </c>
      <c r="J596" s="42">
        <f>IFERROR(INDEX('Semrush Data'!$A$1:$Z$20000,MATCH(A596,'Semrush Data'!$A$1:$A$20000,0),MATCH("Intent",'Semrush Data'!$A$1:$Z$1,0)),"")</f>
        <v/>
      </c>
    </row>
    <row r="597" ht="15" customHeight="1" s="37">
      <c r="A597" s="42" t="inlineStr">
        <is>
          <t>hugo boss the collection confident oud intense</t>
        </is>
      </c>
      <c r="B597" s="42" t="inlineStr">
        <is>
          <t>Product</t>
        </is>
      </c>
      <c r="C597" s="42" t="n">
        <v>1</v>
      </c>
      <c r="D597" s="42" t="n">
        <v>6</v>
      </c>
      <c r="E597" s="42" t="n">
        <v>1</v>
      </c>
      <c r="F597" s="42" t="inlineStr">
        <is>
          <t>FR-258</t>
        </is>
      </c>
      <c r="G597" s="55">
        <f>IFERROR(INDEX('Semrush Data'!$A$1:$Z$20000,MATCH(A597,'Semrush Data'!$A$1:$A$20000,0),MATCH("Volume",'Semrush Data'!$A$1:$Z$1,0)),"")</f>
        <v/>
      </c>
      <c r="H597" s="42">
        <f>IFERROR(INDEX('Semrush Data'!$A$1:$Z$20000,MATCH(A597,'Semrush Data'!$A$1:$A$20000,0),MATCH("Keyword Difficulty*",'Semrush Data'!$A$1:$Z$1,0)),"")</f>
        <v/>
      </c>
      <c r="I597" s="56">
        <f>IFERROR(INDEX('Semrush Data'!$A$1:$Z$20000,MATCH(A597,'Semrush Data'!$A$1:$A$20000,0),MATCH("CPC*",'Semrush Data'!$A$1:$Z$1,0)),"")</f>
        <v/>
      </c>
      <c r="J597" s="42">
        <f>IFERROR(INDEX('Semrush Data'!$A$1:$Z$20000,MATCH(A597,'Semrush Data'!$A$1:$A$20000,0),MATCH("Intent",'Semrush Data'!$A$1:$Z$1,0)),"")</f>
        <v/>
      </c>
    </row>
    <row r="598" ht="15" customHeight="1" s="37">
      <c r="A598" s="42" t="inlineStr">
        <is>
          <t>jean paul gaultier classique perfumed shower gel</t>
        </is>
      </c>
      <c r="B598" s="42" t="inlineStr">
        <is>
          <t>Product</t>
        </is>
      </c>
      <c r="C598" s="42" t="n">
        <v>1</v>
      </c>
      <c r="D598" s="42" t="n">
        <v>6</v>
      </c>
      <c r="E598" s="42" t="n">
        <v>1</v>
      </c>
      <c r="F598" s="42" t="inlineStr">
        <is>
          <t>FR-263</t>
        </is>
      </c>
      <c r="G598" s="55">
        <f>IFERROR(INDEX('Semrush Data'!$A$1:$Z$20000,MATCH(A598,'Semrush Data'!$A$1:$A$20000,0),MATCH("Volume",'Semrush Data'!$A$1:$Z$1,0)),"")</f>
        <v/>
      </c>
      <c r="H598" s="42">
        <f>IFERROR(INDEX('Semrush Data'!$A$1:$Z$20000,MATCH(A598,'Semrush Data'!$A$1:$A$20000,0),MATCH("Keyword Difficulty*",'Semrush Data'!$A$1:$Z$1,0)),"")</f>
        <v/>
      </c>
      <c r="I598" s="56">
        <f>IFERROR(INDEX('Semrush Data'!$A$1:$Z$20000,MATCH(A598,'Semrush Data'!$A$1:$A$20000,0),MATCH("CPC*",'Semrush Data'!$A$1:$Z$1,0)),"")</f>
        <v/>
      </c>
      <c r="J598" s="42">
        <f>IFERROR(INDEX('Semrush Data'!$A$1:$Z$20000,MATCH(A598,'Semrush Data'!$A$1:$A$20000,0),MATCH("Intent",'Semrush Data'!$A$1:$Z$1,0)),"")</f>
        <v/>
      </c>
    </row>
    <row r="599" ht="15" customHeight="1" s="37">
      <c r="A599" s="42" t="inlineStr">
        <is>
          <t>jean paul gaultier scandal gold</t>
        </is>
      </c>
      <c r="B599" s="42" t="inlineStr">
        <is>
          <t>Product</t>
        </is>
      </c>
      <c r="C599" s="42" t="n">
        <v>1</v>
      </c>
      <c r="D599" s="42" t="n">
        <v>6</v>
      </c>
      <c r="E599" s="42" t="n">
        <v>1</v>
      </c>
      <c r="F599" s="42" t="inlineStr">
        <is>
          <t>FR-262</t>
        </is>
      </c>
      <c r="G599" s="55">
        <f>IFERROR(INDEX('Semrush Data'!$A$1:$Z$20000,MATCH(A599,'Semrush Data'!$A$1:$A$20000,0),MATCH("Volume",'Semrush Data'!$A$1:$Z$1,0)),"")</f>
        <v/>
      </c>
      <c r="H599" s="42">
        <f>IFERROR(INDEX('Semrush Data'!$A$1:$Z$20000,MATCH(A599,'Semrush Data'!$A$1:$A$20000,0),MATCH("Keyword Difficulty*",'Semrush Data'!$A$1:$Z$1,0)),"")</f>
        <v/>
      </c>
      <c r="I599" s="56">
        <f>IFERROR(INDEX('Semrush Data'!$A$1:$Z$20000,MATCH(A599,'Semrush Data'!$A$1:$A$20000,0),MATCH("CPC*",'Semrush Data'!$A$1:$Z$1,0)),"")</f>
        <v/>
      </c>
      <c r="J599" s="42">
        <f>IFERROR(INDEX('Semrush Data'!$A$1:$Z$20000,MATCH(A599,'Semrush Data'!$A$1:$A$20000,0),MATCH("Intent",'Semrush Data'!$A$1:$Z$1,0)),"")</f>
        <v/>
      </c>
    </row>
    <row r="600" ht="15" customHeight="1" s="37">
      <c r="A600" s="42" t="inlineStr">
        <is>
          <t>jimmy choo i want choo forever miniature</t>
        </is>
      </c>
      <c r="B600" s="42" t="inlineStr">
        <is>
          <t>Product</t>
        </is>
      </c>
      <c r="C600" s="42" t="n">
        <v>1</v>
      </c>
      <c r="D600" s="42" t="n">
        <v>6</v>
      </c>
      <c r="E600" s="42" t="n">
        <v>1</v>
      </c>
      <c r="F600" s="42" t="inlineStr">
        <is>
          <t>FR-264</t>
        </is>
      </c>
      <c r="G600" s="55">
        <f>IFERROR(INDEX('Semrush Data'!$A$1:$Z$20000,MATCH(A600,'Semrush Data'!$A$1:$A$20000,0),MATCH("Volume",'Semrush Data'!$A$1:$Z$1,0)),"")</f>
        <v/>
      </c>
      <c r="H600" s="42">
        <f>IFERROR(INDEX('Semrush Data'!$A$1:$Z$20000,MATCH(A600,'Semrush Data'!$A$1:$A$20000,0),MATCH("Keyword Difficulty*",'Semrush Data'!$A$1:$Z$1,0)),"")</f>
        <v/>
      </c>
      <c r="I600" s="56">
        <f>IFERROR(INDEX('Semrush Data'!$A$1:$Z$20000,MATCH(A600,'Semrush Data'!$A$1:$A$20000,0),MATCH("CPC*",'Semrush Data'!$A$1:$Z$1,0)),"")</f>
        <v/>
      </c>
      <c r="J600" s="42">
        <f>IFERROR(INDEX('Semrush Data'!$A$1:$Z$20000,MATCH(A600,'Semrush Data'!$A$1:$A$20000,0),MATCH("Intent",'Semrush Data'!$A$1:$Z$1,0)),"")</f>
        <v/>
      </c>
    </row>
    <row r="601" ht="15" customHeight="1" s="37">
      <c r="A601" s="42" t="inlineStr">
        <is>
          <t>jimmy choo miniature gift set 5x4.</t>
        </is>
      </c>
      <c r="B601" s="42" t="inlineStr">
        <is>
          <t>Product</t>
        </is>
      </c>
      <c r="C601" s="42" t="n">
        <v>1</v>
      </c>
      <c r="D601" s="42" t="n">
        <v>6</v>
      </c>
      <c r="E601" s="42" t="n">
        <v>1</v>
      </c>
      <c r="F601" s="42" t="inlineStr">
        <is>
          <t>FR-265</t>
        </is>
      </c>
      <c r="G601" s="55">
        <f>IFERROR(INDEX('Semrush Data'!$A$1:$Z$20000,MATCH(A601,'Semrush Data'!$A$1:$A$20000,0),MATCH("Volume",'Semrush Data'!$A$1:$Z$1,0)),"")</f>
        <v/>
      </c>
      <c r="H601" s="42">
        <f>IFERROR(INDEX('Semrush Data'!$A$1:$Z$20000,MATCH(A601,'Semrush Data'!$A$1:$A$20000,0),MATCH("Keyword Difficulty*",'Semrush Data'!$A$1:$Z$1,0)),"")</f>
        <v/>
      </c>
      <c r="I601" s="56">
        <f>IFERROR(INDEX('Semrush Data'!$A$1:$Z$20000,MATCH(A601,'Semrush Data'!$A$1:$A$20000,0),MATCH("CPC*",'Semrush Data'!$A$1:$Z$1,0)),"")</f>
        <v/>
      </c>
      <c r="J601" s="42">
        <f>IFERROR(INDEX('Semrush Data'!$A$1:$Z$20000,MATCH(A601,'Semrush Data'!$A$1:$A$20000,0),MATCH("Intent",'Semrush Data'!$A$1:$Z$1,0)),"")</f>
        <v/>
      </c>
    </row>
    <row r="602" ht="15" customHeight="1" s="37">
      <c r="A602" s="42" t="inlineStr">
        <is>
          <t>jo milano game of spades queen for</t>
        </is>
      </c>
      <c r="B602" s="42" t="inlineStr">
        <is>
          <t>Product</t>
        </is>
      </c>
      <c r="C602" s="42" t="n">
        <v>1</v>
      </c>
      <c r="D602" s="42" t="n">
        <v>7</v>
      </c>
      <c r="E602" s="42" t="n">
        <v>1</v>
      </c>
      <c r="F602" s="42" t="inlineStr">
        <is>
          <t>FR-266</t>
        </is>
      </c>
      <c r="G602" s="55">
        <f>IFERROR(INDEX('Semrush Data'!$A$1:$Z$20000,MATCH(A602,'Semrush Data'!$A$1:$A$20000,0),MATCH("Volume",'Semrush Data'!$A$1:$Z$1,0)),"")</f>
        <v/>
      </c>
      <c r="H602" s="42">
        <f>IFERROR(INDEX('Semrush Data'!$A$1:$Z$20000,MATCH(A602,'Semrush Data'!$A$1:$A$20000,0),MATCH("Keyword Difficulty*",'Semrush Data'!$A$1:$Z$1,0)),"")</f>
        <v/>
      </c>
      <c r="I602" s="56">
        <f>IFERROR(INDEX('Semrush Data'!$A$1:$Z$20000,MATCH(A602,'Semrush Data'!$A$1:$A$20000,0),MATCH("CPC*",'Semrush Data'!$A$1:$Z$1,0)),"")</f>
        <v/>
      </c>
      <c r="J602" s="42">
        <f>IFERROR(INDEX('Semrush Data'!$A$1:$Z$20000,MATCH(A602,'Semrush Data'!$A$1:$A$20000,0),MATCH("Intent",'Semrush Data'!$A$1:$Z$1,0)),"")</f>
        <v/>
      </c>
    </row>
    <row r="603" ht="15" customHeight="1" s="37">
      <c r="A603" s="42" t="inlineStr">
        <is>
          <t>jo milano game of spades wildcard for parfum , 3.4 ounce</t>
        </is>
      </c>
      <c r="B603" s="42" t="inlineStr">
        <is>
          <t>Product</t>
        </is>
      </c>
      <c r="C603" s="42" t="n">
        <v>1</v>
      </c>
      <c r="D603" s="42" t="n">
        <v>7</v>
      </c>
      <c r="E603" s="42" t="n">
        <v>1</v>
      </c>
      <c r="F603" s="42" t="inlineStr">
        <is>
          <t>FR-267</t>
        </is>
      </c>
      <c r="G603" s="55">
        <f>IFERROR(INDEX('Semrush Data'!$A$1:$Z$20000,MATCH(A603,'Semrush Data'!$A$1:$A$20000,0),MATCH("Volume",'Semrush Data'!$A$1:$Z$1,0)),"")</f>
        <v/>
      </c>
      <c r="H603" s="42">
        <f>IFERROR(INDEX('Semrush Data'!$A$1:$Z$20000,MATCH(A603,'Semrush Data'!$A$1:$A$20000,0),MATCH("Keyword Difficulty*",'Semrush Data'!$A$1:$Z$1,0)),"")</f>
        <v/>
      </c>
      <c r="I603" s="56">
        <f>IFERROR(INDEX('Semrush Data'!$A$1:$Z$20000,MATCH(A603,'Semrush Data'!$A$1:$A$20000,0),MATCH("CPC*",'Semrush Data'!$A$1:$Z$1,0)),"")</f>
        <v/>
      </c>
      <c r="J603" s="42">
        <f>IFERROR(INDEX('Semrush Data'!$A$1:$Z$20000,MATCH(A603,'Semrush Data'!$A$1:$A$20000,0),MATCH("Intent",'Semrush Data'!$A$1:$Z$1,0)),"")</f>
        <v/>
      </c>
    </row>
    <row r="604" ht="15" customHeight="1" s="37">
      <c r="A604" s="42" t="inlineStr">
        <is>
          <t>john varvatos artisan</t>
        </is>
      </c>
      <c r="B604" s="42" t="inlineStr">
        <is>
          <t>Product</t>
        </is>
      </c>
      <c r="C604" s="42" t="n">
        <v>1</v>
      </c>
      <c r="D604" s="42" t="n">
        <v>7</v>
      </c>
      <c r="E604" s="42" t="n">
        <v>1</v>
      </c>
      <c r="F604" s="42" t="inlineStr">
        <is>
          <t>FR-268</t>
        </is>
      </c>
      <c r="G604" s="55">
        <f>IFERROR(INDEX('Semrush Data'!$A$1:$Z$20000,MATCH(A604,'Semrush Data'!$A$1:$A$20000,0),MATCH("Volume",'Semrush Data'!$A$1:$Z$1,0)),"")</f>
        <v/>
      </c>
      <c r="H604" s="42">
        <f>IFERROR(INDEX('Semrush Data'!$A$1:$Z$20000,MATCH(A604,'Semrush Data'!$A$1:$A$20000,0),MATCH("Keyword Difficulty*",'Semrush Data'!$A$1:$Z$1,0)),"")</f>
        <v/>
      </c>
      <c r="I604" s="56">
        <f>IFERROR(INDEX('Semrush Data'!$A$1:$Z$20000,MATCH(A604,'Semrush Data'!$A$1:$A$20000,0),MATCH("CPC*",'Semrush Data'!$A$1:$Z$1,0)),"")</f>
        <v/>
      </c>
      <c r="J604" s="42">
        <f>IFERROR(INDEX('Semrush Data'!$A$1:$Z$20000,MATCH(A604,'Semrush Data'!$A$1:$A$20000,0),MATCH("Intent",'Semrush Data'!$A$1:$Z$1,0)),"")</f>
        <v/>
      </c>
    </row>
    <row r="605" ht="15" customHeight="1" s="37">
      <c r="A605" s="42" t="inlineStr">
        <is>
          <t>joop! homme</t>
        </is>
      </c>
      <c r="B605" s="42" t="inlineStr">
        <is>
          <t>Product</t>
        </is>
      </c>
      <c r="C605" s="42" t="n">
        <v>1</v>
      </c>
      <c r="D605" s="42" t="n">
        <v>7</v>
      </c>
      <c r="E605" s="42" t="n">
        <v>1</v>
      </c>
      <c r="F605" s="42" t="inlineStr">
        <is>
          <t>FR-269</t>
        </is>
      </c>
      <c r="G605" s="55">
        <f>IFERROR(INDEX('Semrush Data'!$A$1:$Z$20000,MATCH(A605,'Semrush Data'!$A$1:$A$20000,0),MATCH("Volume",'Semrush Data'!$A$1:$Z$1,0)),"")</f>
        <v/>
      </c>
      <c r="H605" s="42">
        <f>IFERROR(INDEX('Semrush Data'!$A$1:$Z$20000,MATCH(A605,'Semrush Data'!$A$1:$A$20000,0),MATCH("Keyword Difficulty*",'Semrush Data'!$A$1:$Z$1,0)),"")</f>
        <v/>
      </c>
      <c r="I605" s="56">
        <f>IFERROR(INDEX('Semrush Data'!$A$1:$Z$20000,MATCH(A605,'Semrush Data'!$A$1:$A$20000,0),MATCH("CPC*",'Semrush Data'!$A$1:$Z$1,0)),"")</f>
        <v/>
      </c>
      <c r="J605" s="42">
        <f>IFERROR(INDEX('Semrush Data'!$A$1:$Z$20000,MATCH(A605,'Semrush Data'!$A$1:$A$20000,0),MATCH("Intent",'Semrush Data'!$A$1:$Z$1,0)),"")</f>
        <v/>
      </c>
    </row>
    <row r="606" ht="15" customHeight="1" s="37">
      <c r="A606" s="42" t="inlineStr">
        <is>
          <t>joop! homme le</t>
        </is>
      </c>
      <c r="B606" s="42" t="inlineStr">
        <is>
          <t>Product</t>
        </is>
      </c>
      <c r="C606" s="42" t="n">
        <v>1</v>
      </c>
      <c r="D606" s="42" t="n">
        <v>7</v>
      </c>
      <c r="E606" s="42" t="n">
        <v>1</v>
      </c>
      <c r="F606" s="42" t="inlineStr">
        <is>
          <t>FR-270</t>
        </is>
      </c>
      <c r="G606" s="55">
        <f>IFERROR(INDEX('Semrush Data'!$A$1:$Z$20000,MATCH(A606,'Semrush Data'!$A$1:$A$20000,0),MATCH("Volume",'Semrush Data'!$A$1:$Z$1,0)),"")</f>
        <v/>
      </c>
      <c r="H606" s="42">
        <f>IFERROR(INDEX('Semrush Data'!$A$1:$Z$20000,MATCH(A606,'Semrush Data'!$A$1:$A$20000,0),MATCH("Keyword Difficulty*",'Semrush Data'!$A$1:$Z$1,0)),"")</f>
        <v/>
      </c>
      <c r="I606" s="56">
        <f>IFERROR(INDEX('Semrush Data'!$A$1:$Z$20000,MATCH(A606,'Semrush Data'!$A$1:$A$20000,0),MATCH("CPC*",'Semrush Data'!$A$1:$Z$1,0)),"")</f>
        <v/>
      </c>
      <c r="J606" s="42">
        <f>IFERROR(INDEX('Semrush Data'!$A$1:$Z$20000,MATCH(A606,'Semrush Data'!$A$1:$A$20000,0),MATCH("Intent",'Semrush Data'!$A$1:$Z$1,0)),"")</f>
        <v/>
      </c>
    </row>
    <row r="607" ht="15" customHeight="1" s="37">
      <c r="A607" s="42" t="inlineStr">
        <is>
          <t>juicy couture viva la juicy rose</t>
        </is>
      </c>
      <c r="B607" s="42" t="inlineStr">
        <is>
          <t>Product</t>
        </is>
      </c>
      <c r="C607" s="42" t="n">
        <v>1</v>
      </c>
      <c r="D607" s="42" t="n">
        <v>7</v>
      </c>
      <c r="E607" s="42" t="n">
        <v>3</v>
      </c>
      <c r="F607" s="42" t="inlineStr">
        <is>
          <t>FR-271, FR-272, FR-273</t>
        </is>
      </c>
      <c r="G607" s="55">
        <f>IFERROR(INDEX('Semrush Data'!$A$1:$Z$20000,MATCH(A607,'Semrush Data'!$A$1:$A$20000,0),MATCH("Volume",'Semrush Data'!$A$1:$Z$1,0)),"")</f>
        <v/>
      </c>
      <c r="H607" s="42">
        <f>IFERROR(INDEX('Semrush Data'!$A$1:$Z$20000,MATCH(A607,'Semrush Data'!$A$1:$A$20000,0),MATCH("Keyword Difficulty*",'Semrush Data'!$A$1:$Z$1,0)),"")</f>
        <v/>
      </c>
      <c r="I607" s="56">
        <f>IFERROR(INDEX('Semrush Data'!$A$1:$Z$20000,MATCH(A607,'Semrush Data'!$A$1:$A$20000,0),MATCH("CPC*",'Semrush Data'!$A$1:$Z$1,0)),"")</f>
        <v/>
      </c>
      <c r="J607" s="42">
        <f>IFERROR(INDEX('Semrush Data'!$A$1:$Z$20000,MATCH(A607,'Semrush Data'!$A$1:$A$20000,0),MATCH("Intent",'Semrush Data'!$A$1:$Z$1,0)),"")</f>
        <v/>
      </c>
    </row>
    <row r="608" ht="15" customHeight="1" s="37">
      <c r="A608" s="42" t="inlineStr">
        <is>
          <t>kenneth cole moonlight blue</t>
        </is>
      </c>
      <c r="B608" s="42" t="inlineStr">
        <is>
          <t>Product</t>
        </is>
      </c>
      <c r="C608" s="42" t="n">
        <v>1</v>
      </c>
      <c r="D608" s="42" t="n">
        <v>7</v>
      </c>
      <c r="E608" s="42" t="n">
        <v>1</v>
      </c>
      <c r="F608" s="42" t="inlineStr">
        <is>
          <t>FR-274</t>
        </is>
      </c>
      <c r="G608" s="55">
        <f>IFERROR(INDEX('Semrush Data'!$A$1:$Z$20000,MATCH(A608,'Semrush Data'!$A$1:$A$20000,0),MATCH("Volume",'Semrush Data'!$A$1:$Z$1,0)),"")</f>
        <v/>
      </c>
      <c r="H608" s="42">
        <f>IFERROR(INDEX('Semrush Data'!$A$1:$Z$20000,MATCH(A608,'Semrush Data'!$A$1:$A$20000,0),MATCH("Keyword Difficulty*",'Semrush Data'!$A$1:$Z$1,0)),"")</f>
        <v/>
      </c>
      <c r="I608" s="56">
        <f>IFERROR(INDEX('Semrush Data'!$A$1:$Z$20000,MATCH(A608,'Semrush Data'!$A$1:$A$20000,0),MATCH("CPC*",'Semrush Data'!$A$1:$Z$1,0)),"")</f>
        <v/>
      </c>
      <c r="J608" s="42">
        <f>IFERROR(INDEX('Semrush Data'!$A$1:$Z$20000,MATCH(A608,'Semrush Data'!$A$1:$A$20000,0),MATCH("Intent",'Semrush Data'!$A$1:$Z$1,0)),"")</f>
        <v/>
      </c>
    </row>
    <row r="609" ht="15" customHeight="1" s="37">
      <c r="A609" s="42" t="inlineStr">
        <is>
          <t>korloff cuir mythique</t>
        </is>
      </c>
      <c r="B609" s="42" t="inlineStr">
        <is>
          <t>Product</t>
        </is>
      </c>
      <c r="C609" s="42" t="n">
        <v>1</v>
      </c>
      <c r="D609" s="42" t="n">
        <v>7</v>
      </c>
      <c r="E609" s="42" t="n">
        <v>1</v>
      </c>
      <c r="F609" s="42" t="inlineStr">
        <is>
          <t>FR-275</t>
        </is>
      </c>
      <c r="G609" s="55">
        <f>IFERROR(INDEX('Semrush Data'!$A$1:$Z$20000,MATCH(A609,'Semrush Data'!$A$1:$A$20000,0),MATCH("Volume",'Semrush Data'!$A$1:$Z$1,0)),"")</f>
        <v/>
      </c>
      <c r="H609" s="42">
        <f>IFERROR(INDEX('Semrush Data'!$A$1:$Z$20000,MATCH(A609,'Semrush Data'!$A$1:$A$20000,0),MATCH("Keyword Difficulty*",'Semrush Data'!$A$1:$Z$1,0)),"")</f>
        <v/>
      </c>
      <c r="I609" s="56">
        <f>IFERROR(INDEX('Semrush Data'!$A$1:$Z$20000,MATCH(A609,'Semrush Data'!$A$1:$A$20000,0),MATCH("CPC*",'Semrush Data'!$A$1:$Z$1,0)),"")</f>
        <v/>
      </c>
      <c r="J609" s="42">
        <f>IFERROR(INDEX('Semrush Data'!$A$1:$Z$20000,MATCH(A609,'Semrush Data'!$A$1:$A$20000,0),MATCH("Intent",'Semrush Data'!$A$1:$Z$1,0)),"")</f>
        <v/>
      </c>
    </row>
    <row r="610" ht="15" customHeight="1" s="37">
      <c r="A610" s="42" t="inlineStr">
        <is>
          <t>korloff in love</t>
        </is>
      </c>
      <c r="B610" s="42" t="inlineStr">
        <is>
          <t>Product</t>
        </is>
      </c>
      <c r="C610" s="42" t="n">
        <v>1</v>
      </c>
      <c r="D610" s="42" t="n">
        <v>7</v>
      </c>
      <c r="E610" s="42" t="n">
        <v>1</v>
      </c>
      <c r="F610" s="42" t="inlineStr">
        <is>
          <t>FR-276</t>
        </is>
      </c>
      <c r="G610" s="55">
        <f>IFERROR(INDEX('Semrush Data'!$A$1:$Z$20000,MATCH(A610,'Semrush Data'!$A$1:$A$20000,0),MATCH("Volume",'Semrush Data'!$A$1:$Z$1,0)),"")</f>
        <v/>
      </c>
      <c r="H610" s="42">
        <f>IFERROR(INDEX('Semrush Data'!$A$1:$Z$20000,MATCH(A610,'Semrush Data'!$A$1:$A$20000,0),MATCH("Keyword Difficulty*",'Semrush Data'!$A$1:$Z$1,0)),"")</f>
        <v/>
      </c>
      <c r="I610" s="56">
        <f>IFERROR(INDEX('Semrush Data'!$A$1:$Z$20000,MATCH(A610,'Semrush Data'!$A$1:$A$20000,0),MATCH("CPC*",'Semrush Data'!$A$1:$Z$1,0)),"")</f>
        <v/>
      </c>
      <c r="J610" s="42">
        <f>IFERROR(INDEX('Semrush Data'!$A$1:$Z$20000,MATCH(A610,'Semrush Data'!$A$1:$A$20000,0),MATCH("Intent",'Semrush Data'!$A$1:$Z$1,0)),"")</f>
        <v/>
      </c>
    </row>
    <row r="611" ht="15" customHeight="1" s="37">
      <c r="A611" s="42" t="inlineStr">
        <is>
          <t>korloff in white</t>
        </is>
      </c>
      <c r="B611" s="42" t="inlineStr">
        <is>
          <t>Product</t>
        </is>
      </c>
      <c r="C611" s="42" t="n">
        <v>1</v>
      </c>
      <c r="D611" s="42" t="n">
        <v>7</v>
      </c>
      <c r="E611" s="42" t="n">
        <v>1</v>
      </c>
      <c r="F611" s="42" t="inlineStr">
        <is>
          <t>FR-339</t>
        </is>
      </c>
      <c r="G611" s="55">
        <f>IFERROR(INDEX('Semrush Data'!$A$1:$Z$20000,MATCH(A611,'Semrush Data'!$A$1:$A$20000,0),MATCH("Volume",'Semrush Data'!$A$1:$Z$1,0)),"")</f>
        <v/>
      </c>
      <c r="H611" s="42">
        <f>IFERROR(INDEX('Semrush Data'!$A$1:$Z$20000,MATCH(A611,'Semrush Data'!$A$1:$A$20000,0),MATCH("Keyword Difficulty*",'Semrush Data'!$A$1:$Z$1,0)),"")</f>
        <v/>
      </c>
      <c r="I611" s="56">
        <f>IFERROR(INDEX('Semrush Data'!$A$1:$Z$20000,MATCH(A611,'Semrush Data'!$A$1:$A$20000,0),MATCH("CPC*",'Semrush Data'!$A$1:$Z$1,0)),"")</f>
        <v/>
      </c>
      <c r="J611" s="42">
        <f>IFERROR(INDEX('Semrush Data'!$A$1:$Z$20000,MATCH(A611,'Semrush Data'!$A$1:$A$20000,0),MATCH("Intent",'Semrush Data'!$A$1:$Z$1,0)),"")</f>
        <v/>
      </c>
    </row>
    <row r="612" ht="15" customHeight="1" s="37">
      <c r="A612" s="42" t="inlineStr">
        <is>
          <t>korloff lady intense</t>
        </is>
      </c>
      <c r="B612" s="42" t="inlineStr">
        <is>
          <t>Product</t>
        </is>
      </c>
      <c r="C612" s="42" t="n">
        <v>1</v>
      </c>
      <c r="D612" s="42" t="n">
        <v>7</v>
      </c>
      <c r="E612" s="42" t="n">
        <v>1</v>
      </c>
      <c r="F612" s="42" t="inlineStr">
        <is>
          <t>FR-277</t>
        </is>
      </c>
      <c r="G612" s="55">
        <f>IFERROR(INDEX('Semrush Data'!$A$1:$Z$20000,MATCH(A612,'Semrush Data'!$A$1:$A$20000,0),MATCH("Volume",'Semrush Data'!$A$1:$Z$1,0)),"")</f>
        <v/>
      </c>
      <c r="H612" s="42">
        <f>IFERROR(INDEX('Semrush Data'!$A$1:$Z$20000,MATCH(A612,'Semrush Data'!$A$1:$A$20000,0),MATCH("Keyword Difficulty*",'Semrush Data'!$A$1:$Z$1,0)),"")</f>
        <v/>
      </c>
      <c r="I612" s="56">
        <f>IFERROR(INDEX('Semrush Data'!$A$1:$Z$20000,MATCH(A612,'Semrush Data'!$A$1:$A$20000,0),MATCH("CPC*",'Semrush Data'!$A$1:$Z$1,0)),"")</f>
        <v/>
      </c>
      <c r="J612" s="42">
        <f>IFERROR(INDEX('Semrush Data'!$A$1:$Z$20000,MATCH(A612,'Semrush Data'!$A$1:$A$20000,0),MATCH("Intent",'Semrush Data'!$A$1:$Z$1,0)),"")</f>
        <v/>
      </c>
    </row>
    <row r="613" ht="15" customHeight="1" s="37">
      <c r="A613" s="42" t="inlineStr">
        <is>
          <t>korloff miss korloff</t>
        </is>
      </c>
      <c r="B613" s="42" t="inlineStr">
        <is>
          <t>Product</t>
        </is>
      </c>
      <c r="C613" s="42" t="n">
        <v>1</v>
      </c>
      <c r="D613" s="42" t="n">
        <v>7</v>
      </c>
      <c r="E613" s="42" t="n">
        <v>1</v>
      </c>
      <c r="F613" s="42" t="inlineStr">
        <is>
          <t>FR-280</t>
        </is>
      </c>
      <c r="G613" s="55">
        <f>IFERROR(INDEX('Semrush Data'!$A$1:$Z$20000,MATCH(A613,'Semrush Data'!$A$1:$A$20000,0),MATCH("Volume",'Semrush Data'!$A$1:$Z$1,0)),"")</f>
        <v/>
      </c>
      <c r="H613" s="42">
        <f>IFERROR(INDEX('Semrush Data'!$A$1:$Z$20000,MATCH(A613,'Semrush Data'!$A$1:$A$20000,0),MATCH("Keyword Difficulty*",'Semrush Data'!$A$1:$Z$1,0)),"")</f>
        <v/>
      </c>
      <c r="I613" s="56">
        <f>IFERROR(INDEX('Semrush Data'!$A$1:$Z$20000,MATCH(A613,'Semrush Data'!$A$1:$A$20000,0),MATCH("CPC*",'Semrush Data'!$A$1:$Z$1,0)),"")</f>
        <v/>
      </c>
      <c r="J613" s="42">
        <f>IFERROR(INDEX('Semrush Data'!$A$1:$Z$20000,MATCH(A613,'Semrush Data'!$A$1:$A$20000,0),MATCH("Intent",'Semrush Data'!$A$1:$Z$1,0)),"")</f>
        <v/>
      </c>
    </row>
    <row r="614" ht="15" customHeight="1" s="37">
      <c r="A614" s="42" t="inlineStr">
        <is>
          <t>korloff paris discovery set</t>
        </is>
      </c>
      <c r="B614" s="42" t="inlineStr">
        <is>
          <t>Product</t>
        </is>
      </c>
      <c r="C614" s="42" t="n">
        <v>1</v>
      </c>
      <c r="D614" s="42" t="n">
        <v>7</v>
      </c>
      <c r="E614" s="42" t="n">
        <v>1</v>
      </c>
      <c r="F614" s="42" t="inlineStr">
        <is>
          <t>FR-282</t>
        </is>
      </c>
      <c r="G614" s="55">
        <f>IFERROR(INDEX('Semrush Data'!$A$1:$Z$20000,MATCH(A614,'Semrush Data'!$A$1:$A$20000,0),MATCH("Volume",'Semrush Data'!$A$1:$Z$1,0)),"")</f>
        <v/>
      </c>
      <c r="H614" s="42">
        <f>IFERROR(INDEX('Semrush Data'!$A$1:$Z$20000,MATCH(A614,'Semrush Data'!$A$1:$A$20000,0),MATCH("Keyword Difficulty*",'Semrush Data'!$A$1:$Z$1,0)),"")</f>
        <v/>
      </c>
      <c r="I614" s="56">
        <f>IFERROR(INDEX('Semrush Data'!$A$1:$Z$20000,MATCH(A614,'Semrush Data'!$A$1:$A$20000,0),MATCH("CPC*",'Semrush Data'!$A$1:$Z$1,0)),"")</f>
        <v/>
      </c>
      <c r="J614" s="42">
        <f>IFERROR(INDEX('Semrush Data'!$A$1:$Z$20000,MATCH(A614,'Semrush Data'!$A$1:$A$20000,0),MATCH("Intent",'Semrush Data'!$A$1:$Z$1,0)),"")</f>
        <v/>
      </c>
    </row>
    <row r="615" ht="15" customHeight="1" s="37">
      <c r="A615" s="42" t="inlineStr">
        <is>
          <t>korloff royal oud korloff paris</t>
        </is>
      </c>
      <c r="B615" s="42" t="inlineStr">
        <is>
          <t>Product</t>
        </is>
      </c>
      <c r="C615" s="42" t="n">
        <v>1</v>
      </c>
      <c r="D615" s="42" t="n">
        <v>7</v>
      </c>
      <c r="E615" s="42" t="n">
        <v>1</v>
      </c>
      <c r="F615" s="42" t="inlineStr">
        <is>
          <t>FR-281</t>
        </is>
      </c>
      <c r="G615" s="55">
        <f>IFERROR(INDEX('Semrush Data'!$A$1:$Z$20000,MATCH(A615,'Semrush Data'!$A$1:$A$20000,0),MATCH("Volume",'Semrush Data'!$A$1:$Z$1,0)),"")</f>
        <v/>
      </c>
      <c r="H615" s="42">
        <f>IFERROR(INDEX('Semrush Data'!$A$1:$Z$20000,MATCH(A615,'Semrush Data'!$A$1:$A$20000,0),MATCH("Keyword Difficulty*",'Semrush Data'!$A$1:$Z$1,0)),"")</f>
        <v/>
      </c>
      <c r="I615" s="56">
        <f>IFERROR(INDEX('Semrush Data'!$A$1:$Z$20000,MATCH(A615,'Semrush Data'!$A$1:$A$20000,0),MATCH("CPC*",'Semrush Data'!$A$1:$Z$1,0)),"")</f>
        <v/>
      </c>
      <c r="J615" s="42">
        <f>IFERROR(INDEX('Semrush Data'!$A$1:$Z$20000,MATCH(A615,'Semrush Data'!$A$1:$A$20000,0),MATCH("Intent",'Semrush Data'!$A$1:$Z$1,0)),"")</f>
        <v/>
      </c>
    </row>
    <row r="616" ht="15" customHeight="1" s="37">
      <c r="A616" s="42" t="inlineStr">
        <is>
          <t>korloff royal rose</t>
        </is>
      </c>
      <c r="B616" s="42" t="inlineStr">
        <is>
          <t>Product</t>
        </is>
      </c>
      <c r="C616" s="42" t="n">
        <v>1</v>
      </c>
      <c r="D616" s="42" t="n">
        <v>7</v>
      </c>
      <c r="E616" s="42" t="n">
        <v>1</v>
      </c>
      <c r="F616" s="42" t="inlineStr">
        <is>
          <t>FR-278</t>
        </is>
      </c>
      <c r="G616" s="55">
        <f>IFERROR(INDEX('Semrush Data'!$A$1:$Z$20000,MATCH(A616,'Semrush Data'!$A$1:$A$20000,0),MATCH("Volume",'Semrush Data'!$A$1:$Z$1,0)),"")</f>
        <v/>
      </c>
      <c r="H616" s="42">
        <f>IFERROR(INDEX('Semrush Data'!$A$1:$Z$20000,MATCH(A616,'Semrush Data'!$A$1:$A$20000,0),MATCH("Keyword Difficulty*",'Semrush Data'!$A$1:$Z$1,0)),"")</f>
        <v/>
      </c>
      <c r="I616" s="56">
        <f>IFERROR(INDEX('Semrush Data'!$A$1:$Z$20000,MATCH(A616,'Semrush Data'!$A$1:$A$20000,0),MATCH("CPC*",'Semrush Data'!$A$1:$Z$1,0)),"")</f>
        <v/>
      </c>
      <c r="J616" s="42">
        <f>IFERROR(INDEX('Semrush Data'!$A$1:$Z$20000,MATCH(A616,'Semrush Data'!$A$1:$A$20000,0),MATCH("Intent",'Semrush Data'!$A$1:$Z$1,0)),"")</f>
        <v/>
      </c>
    </row>
    <row r="617" ht="15" customHeight="1" s="37">
      <c r="A617" s="42" t="inlineStr">
        <is>
          <t>korloff un soir a paris</t>
        </is>
      </c>
      <c r="B617" s="42" t="inlineStr">
        <is>
          <t>Product</t>
        </is>
      </c>
      <c r="C617" s="42" t="n">
        <v>1</v>
      </c>
      <c r="D617" s="42" t="n">
        <v>7</v>
      </c>
      <c r="E617" s="42" t="n">
        <v>1</v>
      </c>
      <c r="F617" s="42" t="inlineStr">
        <is>
          <t>FR-279</t>
        </is>
      </c>
      <c r="G617" s="55">
        <f>IFERROR(INDEX('Semrush Data'!$A$1:$Z$20000,MATCH(A617,'Semrush Data'!$A$1:$A$20000,0),MATCH("Volume",'Semrush Data'!$A$1:$Z$1,0)),"")</f>
        <v/>
      </c>
      <c r="H617" s="42">
        <f>IFERROR(INDEX('Semrush Data'!$A$1:$Z$20000,MATCH(A617,'Semrush Data'!$A$1:$A$20000,0),MATCH("Keyword Difficulty*",'Semrush Data'!$A$1:$Z$1,0)),"")</f>
        <v/>
      </c>
      <c r="I617" s="56">
        <f>IFERROR(INDEX('Semrush Data'!$A$1:$Z$20000,MATCH(A617,'Semrush Data'!$A$1:$A$20000,0),MATCH("CPC*",'Semrush Data'!$A$1:$Z$1,0)),"")</f>
        <v/>
      </c>
      <c r="J617" s="42">
        <f>IFERROR(INDEX('Semrush Data'!$A$1:$Z$20000,MATCH(A617,'Semrush Data'!$A$1:$A$20000,0),MATCH("Intent",'Semrush Data'!$A$1:$Z$1,0)),"")</f>
        <v/>
      </c>
    </row>
    <row r="618" ht="15" customHeight="1" s="37">
      <c r="A618" s="42" t="inlineStr">
        <is>
          <t>la maison de la vanille absolu de vanille</t>
        </is>
      </c>
      <c r="B618" s="42" t="inlineStr">
        <is>
          <t>Product</t>
        </is>
      </c>
      <c r="C618" s="42" t="n">
        <v>1</v>
      </c>
      <c r="D618" s="42" t="n">
        <v>7</v>
      </c>
      <c r="E618" s="42" t="n">
        <v>1</v>
      </c>
      <c r="F618" s="42" t="inlineStr">
        <is>
          <t>FR-283</t>
        </is>
      </c>
      <c r="G618" s="55">
        <f>IFERROR(INDEX('Semrush Data'!$A$1:$Z$20000,MATCH(A618,'Semrush Data'!$A$1:$A$20000,0),MATCH("Volume",'Semrush Data'!$A$1:$Z$1,0)),"")</f>
        <v/>
      </c>
      <c r="H618" s="42">
        <f>IFERROR(INDEX('Semrush Data'!$A$1:$Z$20000,MATCH(A618,'Semrush Data'!$A$1:$A$20000,0),MATCH("Keyword Difficulty*",'Semrush Data'!$A$1:$Z$1,0)),"")</f>
        <v/>
      </c>
      <c r="I618" s="56">
        <f>IFERROR(INDEX('Semrush Data'!$A$1:$Z$20000,MATCH(A618,'Semrush Data'!$A$1:$A$20000,0),MATCH("CPC*",'Semrush Data'!$A$1:$Z$1,0)),"")</f>
        <v/>
      </c>
      <c r="J618" s="42">
        <f>IFERROR(INDEX('Semrush Data'!$A$1:$Z$20000,MATCH(A618,'Semrush Data'!$A$1:$A$20000,0),MATCH("Intent",'Semrush Data'!$A$1:$Z$1,0)),"")</f>
        <v/>
      </c>
    </row>
    <row r="619" ht="15" customHeight="1" s="37">
      <c r="A619" s="42" t="inlineStr">
        <is>
          <t>la maison de la vanille ambre secret</t>
        </is>
      </c>
      <c r="B619" s="42" t="inlineStr">
        <is>
          <t>Product</t>
        </is>
      </c>
      <c r="C619" s="42" t="n">
        <v>1</v>
      </c>
      <c r="D619" s="42" t="n">
        <v>7</v>
      </c>
      <c r="E619" s="42" t="n">
        <v>1</v>
      </c>
      <c r="F619" s="42" t="inlineStr">
        <is>
          <t>FR-284</t>
        </is>
      </c>
      <c r="G619" s="55">
        <f>IFERROR(INDEX('Semrush Data'!$A$1:$Z$20000,MATCH(A619,'Semrush Data'!$A$1:$A$20000,0),MATCH("Volume",'Semrush Data'!$A$1:$Z$1,0)),"")</f>
        <v/>
      </c>
      <c r="H619" s="42">
        <f>IFERROR(INDEX('Semrush Data'!$A$1:$Z$20000,MATCH(A619,'Semrush Data'!$A$1:$A$20000,0),MATCH("Keyword Difficulty*",'Semrush Data'!$A$1:$Z$1,0)),"")</f>
        <v/>
      </c>
      <c r="I619" s="56">
        <f>IFERROR(INDEX('Semrush Data'!$A$1:$Z$20000,MATCH(A619,'Semrush Data'!$A$1:$A$20000,0),MATCH("CPC*",'Semrush Data'!$A$1:$Z$1,0)),"")</f>
        <v/>
      </c>
      <c r="J619" s="42">
        <f>IFERROR(INDEX('Semrush Data'!$A$1:$Z$20000,MATCH(A619,'Semrush Data'!$A$1:$A$20000,0),MATCH("Intent",'Semrush Data'!$A$1:$Z$1,0)),"")</f>
        <v/>
      </c>
    </row>
    <row r="620" ht="15" customHeight="1" s="37">
      <c r="A620" s="42" t="inlineStr">
        <is>
          <t>la maison de la vanille royal oud</t>
        </is>
      </c>
      <c r="B620" s="42" t="inlineStr">
        <is>
          <t>Product</t>
        </is>
      </c>
      <c r="C620" s="42" t="n">
        <v>1</v>
      </c>
      <c r="D620" s="42" t="n">
        <v>7</v>
      </c>
      <c r="E620" s="42" t="n">
        <v>1</v>
      </c>
      <c r="F620" s="42" t="inlineStr">
        <is>
          <t>FR-285</t>
        </is>
      </c>
      <c r="G620" s="55">
        <f>IFERROR(INDEX('Semrush Data'!$A$1:$Z$20000,MATCH(A620,'Semrush Data'!$A$1:$A$20000,0),MATCH("Volume",'Semrush Data'!$A$1:$Z$1,0)),"")</f>
        <v/>
      </c>
      <c r="H620" s="42">
        <f>IFERROR(INDEX('Semrush Data'!$A$1:$Z$20000,MATCH(A620,'Semrush Data'!$A$1:$A$20000,0),MATCH("Keyword Difficulty*",'Semrush Data'!$A$1:$Z$1,0)),"")</f>
        <v/>
      </c>
      <c r="I620" s="56">
        <f>IFERROR(INDEX('Semrush Data'!$A$1:$Z$20000,MATCH(A620,'Semrush Data'!$A$1:$A$20000,0),MATCH("CPC*",'Semrush Data'!$A$1:$Z$1,0)),"")</f>
        <v/>
      </c>
      <c r="J620" s="42">
        <f>IFERROR(INDEX('Semrush Data'!$A$1:$Z$20000,MATCH(A620,'Semrush Data'!$A$1:$A$20000,0),MATCH("Intent",'Semrush Data'!$A$1:$Z$1,0)),"")</f>
        <v/>
      </c>
    </row>
    <row r="621" ht="15" customHeight="1" s="37">
      <c r="A621" s="42" t="inlineStr">
        <is>
          <t>la maison de la wooden coffret</t>
        </is>
      </c>
      <c r="B621" s="42" t="inlineStr">
        <is>
          <t>Product</t>
        </is>
      </c>
      <c r="C621" s="42" t="n">
        <v>1</v>
      </c>
      <c r="D621" s="42" t="n">
        <v>7</v>
      </c>
      <c r="E621" s="42" t="n">
        <v>1</v>
      </c>
      <c r="F621" s="42" t="inlineStr">
        <is>
          <t>FR-286</t>
        </is>
      </c>
      <c r="G621" s="55">
        <f>IFERROR(INDEX('Semrush Data'!$A$1:$Z$20000,MATCH(A621,'Semrush Data'!$A$1:$A$20000,0),MATCH("Volume",'Semrush Data'!$A$1:$Z$1,0)),"")</f>
        <v/>
      </c>
      <c r="H621" s="42">
        <f>IFERROR(INDEX('Semrush Data'!$A$1:$Z$20000,MATCH(A621,'Semrush Data'!$A$1:$A$20000,0),MATCH("Keyword Difficulty*",'Semrush Data'!$A$1:$Z$1,0)),"")</f>
        <v/>
      </c>
      <c r="I621" s="56">
        <f>IFERROR(INDEX('Semrush Data'!$A$1:$Z$20000,MATCH(A621,'Semrush Data'!$A$1:$A$20000,0),MATCH("CPC*",'Semrush Data'!$A$1:$Z$1,0)),"")</f>
        <v/>
      </c>
      <c r="J621" s="42">
        <f>IFERROR(INDEX('Semrush Data'!$A$1:$Z$20000,MATCH(A621,'Semrush Data'!$A$1:$A$20000,0),MATCH("Intent",'Semrush Data'!$A$1:$Z$1,0)),"")</f>
        <v/>
      </c>
    </row>
    <row r="622" ht="15" customHeight="1" s="37">
      <c r="A622" s="42" t="inlineStr">
        <is>
          <t>lancome idole nectar</t>
        </is>
      </c>
      <c r="B622" s="42" t="inlineStr">
        <is>
          <t>Product</t>
        </is>
      </c>
      <c r="C622" s="42" t="n">
        <v>1</v>
      </c>
      <c r="D622" s="42" t="n">
        <v>7</v>
      </c>
      <c r="E622" s="42" t="n">
        <v>1</v>
      </c>
      <c r="F622" s="42" t="inlineStr">
        <is>
          <t>FR-287</t>
        </is>
      </c>
      <c r="G622" s="55">
        <f>IFERROR(INDEX('Semrush Data'!$A$1:$Z$20000,MATCH(A622,'Semrush Data'!$A$1:$A$20000,0),MATCH("Volume",'Semrush Data'!$A$1:$Z$1,0)),"")</f>
        <v/>
      </c>
      <c r="H622" s="42">
        <f>IFERROR(INDEX('Semrush Data'!$A$1:$Z$20000,MATCH(A622,'Semrush Data'!$A$1:$A$20000,0),MATCH("Keyword Difficulty*",'Semrush Data'!$A$1:$Z$1,0)),"")</f>
        <v/>
      </c>
      <c r="I622" s="56">
        <f>IFERROR(INDEX('Semrush Data'!$A$1:$Z$20000,MATCH(A622,'Semrush Data'!$A$1:$A$20000,0),MATCH("CPC*",'Semrush Data'!$A$1:$Z$1,0)),"")</f>
        <v/>
      </c>
      <c r="J622" s="42">
        <f>IFERROR(INDEX('Semrush Data'!$A$1:$Z$20000,MATCH(A622,'Semrush Data'!$A$1:$A$20000,0),MATCH("Intent",'Semrush Data'!$A$1:$Z$1,0)),"")</f>
        <v/>
      </c>
    </row>
    <row r="623" ht="15" customHeight="1" s="37">
      <c r="A623" s="42" t="inlineStr">
        <is>
          <t>lancome idole now florale</t>
        </is>
      </c>
      <c r="B623" s="42" t="inlineStr">
        <is>
          <t>Product</t>
        </is>
      </c>
      <c r="C623" s="42" t="n">
        <v>1</v>
      </c>
      <c r="D623" s="42" t="n">
        <v>7</v>
      </c>
      <c r="E623" s="42" t="n">
        <v>1</v>
      </c>
      <c r="F623" s="42" t="inlineStr">
        <is>
          <t>FR-288</t>
        </is>
      </c>
      <c r="G623" s="55">
        <f>IFERROR(INDEX('Semrush Data'!$A$1:$Z$20000,MATCH(A623,'Semrush Data'!$A$1:$A$20000,0),MATCH("Volume",'Semrush Data'!$A$1:$Z$1,0)),"")</f>
        <v/>
      </c>
      <c r="H623" s="42">
        <f>IFERROR(INDEX('Semrush Data'!$A$1:$Z$20000,MATCH(A623,'Semrush Data'!$A$1:$A$20000,0),MATCH("Keyword Difficulty*",'Semrush Data'!$A$1:$Z$1,0)),"")</f>
        <v/>
      </c>
      <c r="I623" s="56">
        <f>IFERROR(INDEX('Semrush Data'!$A$1:$Z$20000,MATCH(A623,'Semrush Data'!$A$1:$A$20000,0),MATCH("CPC*",'Semrush Data'!$A$1:$Z$1,0)),"")</f>
        <v/>
      </c>
      <c r="J623" s="42">
        <f>IFERROR(INDEX('Semrush Data'!$A$1:$Z$20000,MATCH(A623,'Semrush Data'!$A$1:$A$20000,0),MATCH("Intent",'Semrush Data'!$A$1:$Z$1,0)),"")</f>
        <v/>
      </c>
    </row>
    <row r="624" ht="15" customHeight="1" s="37">
      <c r="A624" s="42" t="inlineStr">
        <is>
          <t>maison de milan amalfi bleu</t>
        </is>
      </c>
      <c r="B624" s="42" t="inlineStr">
        <is>
          <t>Product</t>
        </is>
      </c>
      <c r="C624" s="42" t="n">
        <v>1</v>
      </c>
      <c r="D624" s="42" t="n">
        <v>7</v>
      </c>
      <c r="E624" s="42" t="n">
        <v>1</v>
      </c>
      <c r="F624" s="42" t="inlineStr">
        <is>
          <t>FR-196</t>
        </is>
      </c>
      <c r="G624" s="55">
        <f>IFERROR(INDEX('Semrush Data'!$A$1:$Z$20000,MATCH(A624,'Semrush Data'!$A$1:$A$20000,0),MATCH("Volume",'Semrush Data'!$A$1:$Z$1,0)),"")</f>
        <v/>
      </c>
      <c r="H624" s="42">
        <f>IFERROR(INDEX('Semrush Data'!$A$1:$Z$20000,MATCH(A624,'Semrush Data'!$A$1:$A$20000,0),MATCH("Keyword Difficulty*",'Semrush Data'!$A$1:$Z$1,0)),"")</f>
        <v/>
      </c>
      <c r="I624" s="56">
        <f>IFERROR(INDEX('Semrush Data'!$A$1:$Z$20000,MATCH(A624,'Semrush Data'!$A$1:$A$20000,0),MATCH("CPC*",'Semrush Data'!$A$1:$Z$1,0)),"")</f>
        <v/>
      </c>
      <c r="J624" s="42">
        <f>IFERROR(INDEX('Semrush Data'!$A$1:$Z$20000,MATCH(A624,'Semrush Data'!$A$1:$A$20000,0),MATCH("Intent",'Semrush Data'!$A$1:$Z$1,0)),"")</f>
        <v/>
      </c>
    </row>
    <row r="625" ht="15" customHeight="1" s="37">
      <c r="A625" s="42" t="inlineStr">
        <is>
          <t>maison de milan bliss rouge</t>
        </is>
      </c>
      <c r="B625" s="42" t="inlineStr">
        <is>
          <t>Product</t>
        </is>
      </c>
      <c r="C625" s="42" t="n">
        <v>1</v>
      </c>
      <c r="D625" s="42" t="n">
        <v>7</v>
      </c>
      <c r="E625" s="42" t="n">
        <v>1</v>
      </c>
      <c r="F625" s="42" t="inlineStr">
        <is>
          <t>FR-197</t>
        </is>
      </c>
      <c r="G625" s="55">
        <f>IFERROR(INDEX('Semrush Data'!$A$1:$Z$20000,MATCH(A625,'Semrush Data'!$A$1:$A$20000,0),MATCH("Volume",'Semrush Data'!$A$1:$Z$1,0)),"")</f>
        <v/>
      </c>
      <c r="H625" s="42">
        <f>IFERROR(INDEX('Semrush Data'!$A$1:$Z$20000,MATCH(A625,'Semrush Data'!$A$1:$A$20000,0),MATCH("Keyword Difficulty*",'Semrush Data'!$A$1:$Z$1,0)),"")</f>
        <v/>
      </c>
      <c r="I625" s="56">
        <f>IFERROR(INDEX('Semrush Data'!$A$1:$Z$20000,MATCH(A625,'Semrush Data'!$A$1:$A$20000,0),MATCH("CPC*",'Semrush Data'!$A$1:$Z$1,0)),"")</f>
        <v/>
      </c>
      <c r="J625" s="42">
        <f>IFERROR(INDEX('Semrush Data'!$A$1:$Z$20000,MATCH(A625,'Semrush Data'!$A$1:$A$20000,0),MATCH("Intent",'Semrush Data'!$A$1:$Z$1,0)),"")</f>
        <v/>
      </c>
    </row>
    <row r="626" ht="15" customHeight="1" s="37">
      <c r="A626" s="42" t="inlineStr">
        <is>
          <t>maison de milan brave lad</t>
        </is>
      </c>
      <c r="B626" s="42" t="inlineStr">
        <is>
          <t>Product</t>
        </is>
      </c>
      <c r="C626" s="42" t="n">
        <v>1</v>
      </c>
      <c r="D626" s="42" t="n">
        <v>7</v>
      </c>
      <c r="E626" s="42" t="n">
        <v>1</v>
      </c>
      <c r="F626" s="42" t="inlineStr">
        <is>
          <t>FR-198</t>
        </is>
      </c>
      <c r="G626" s="55">
        <f>IFERROR(INDEX('Semrush Data'!$A$1:$Z$20000,MATCH(A626,'Semrush Data'!$A$1:$A$20000,0),MATCH("Volume",'Semrush Data'!$A$1:$Z$1,0)),"")</f>
        <v/>
      </c>
      <c r="H626" s="42">
        <f>IFERROR(INDEX('Semrush Data'!$A$1:$Z$20000,MATCH(A626,'Semrush Data'!$A$1:$A$20000,0),MATCH("Keyword Difficulty*",'Semrush Data'!$A$1:$Z$1,0)),"")</f>
        <v/>
      </c>
      <c r="I626" s="56">
        <f>IFERROR(INDEX('Semrush Data'!$A$1:$Z$20000,MATCH(A626,'Semrush Data'!$A$1:$A$20000,0),MATCH("CPC*",'Semrush Data'!$A$1:$Z$1,0)),"")</f>
        <v/>
      </c>
      <c r="J626" s="42">
        <f>IFERROR(INDEX('Semrush Data'!$A$1:$Z$20000,MATCH(A626,'Semrush Data'!$A$1:$A$20000,0),MATCH("Intent",'Semrush Data'!$A$1:$Z$1,0)),"")</f>
        <v/>
      </c>
    </row>
    <row r="627" ht="15" customHeight="1" s="37">
      <c r="A627" s="42" t="inlineStr">
        <is>
          <t>maison de milan delight pour femme</t>
        </is>
      </c>
      <c r="B627" s="42" t="inlineStr">
        <is>
          <t>Product</t>
        </is>
      </c>
      <c r="C627" s="42" t="n">
        <v>1</v>
      </c>
      <c r="D627" s="42" t="n">
        <v>7</v>
      </c>
      <c r="E627" s="42" t="n">
        <v>1</v>
      </c>
      <c r="F627" s="42" t="inlineStr">
        <is>
          <t>FR-199</t>
        </is>
      </c>
      <c r="G627" s="55">
        <f>IFERROR(INDEX('Semrush Data'!$A$1:$Z$20000,MATCH(A627,'Semrush Data'!$A$1:$A$20000,0),MATCH("Volume",'Semrush Data'!$A$1:$Z$1,0)),"")</f>
        <v/>
      </c>
      <c r="H627" s="42">
        <f>IFERROR(INDEX('Semrush Data'!$A$1:$Z$20000,MATCH(A627,'Semrush Data'!$A$1:$A$20000,0),MATCH("Keyword Difficulty*",'Semrush Data'!$A$1:$Z$1,0)),"")</f>
        <v/>
      </c>
      <c r="I627" s="56">
        <f>IFERROR(INDEX('Semrush Data'!$A$1:$Z$20000,MATCH(A627,'Semrush Data'!$A$1:$A$20000,0),MATCH("CPC*",'Semrush Data'!$A$1:$Z$1,0)),"")</f>
        <v/>
      </c>
      <c r="J627" s="42">
        <f>IFERROR(INDEX('Semrush Data'!$A$1:$Z$20000,MATCH(A627,'Semrush Data'!$A$1:$A$20000,0),MATCH("Intent",'Semrush Data'!$A$1:$Z$1,0)),"")</f>
        <v/>
      </c>
    </row>
    <row r="628" ht="15" customHeight="1" s="37">
      <c r="A628" s="42" t="inlineStr">
        <is>
          <t>maison de milan elegance pour femme</t>
        </is>
      </c>
      <c r="B628" s="42" t="inlineStr">
        <is>
          <t>Product</t>
        </is>
      </c>
      <c r="C628" s="42" t="n">
        <v>1</v>
      </c>
      <c r="D628" s="42" t="n">
        <v>7</v>
      </c>
      <c r="E628" s="42" t="n">
        <v>1</v>
      </c>
      <c r="F628" s="42" t="inlineStr">
        <is>
          <t>FR-200</t>
        </is>
      </c>
      <c r="G628" s="55">
        <f>IFERROR(INDEX('Semrush Data'!$A$1:$Z$20000,MATCH(A628,'Semrush Data'!$A$1:$A$20000,0),MATCH("Volume",'Semrush Data'!$A$1:$Z$1,0)),"")</f>
        <v/>
      </c>
      <c r="H628" s="42">
        <f>IFERROR(INDEX('Semrush Data'!$A$1:$Z$20000,MATCH(A628,'Semrush Data'!$A$1:$A$20000,0),MATCH("Keyword Difficulty*",'Semrush Data'!$A$1:$Z$1,0)),"")</f>
        <v/>
      </c>
      <c r="I628" s="56">
        <f>IFERROR(INDEX('Semrush Data'!$A$1:$Z$20000,MATCH(A628,'Semrush Data'!$A$1:$A$20000,0),MATCH("CPC*",'Semrush Data'!$A$1:$Z$1,0)),"")</f>
        <v/>
      </c>
      <c r="J628" s="42">
        <f>IFERROR(INDEX('Semrush Data'!$A$1:$Z$20000,MATCH(A628,'Semrush Data'!$A$1:$A$20000,0),MATCH("Intent",'Semrush Data'!$A$1:$Z$1,0)),"")</f>
        <v/>
      </c>
    </row>
    <row r="629" ht="15" customHeight="1" s="37">
      <c r="A629" s="42" t="inlineStr">
        <is>
          <t>maison de milan gossip pour femme</t>
        </is>
      </c>
      <c r="B629" s="42" t="inlineStr">
        <is>
          <t>Product</t>
        </is>
      </c>
      <c r="C629" s="42" t="n">
        <v>1</v>
      </c>
      <c r="D629" s="42" t="n">
        <v>7</v>
      </c>
      <c r="E629" s="42" t="n">
        <v>1</v>
      </c>
      <c r="F629" s="42" t="inlineStr">
        <is>
          <t>FR-201</t>
        </is>
      </c>
      <c r="G629" s="55">
        <f>IFERROR(INDEX('Semrush Data'!$A$1:$Z$20000,MATCH(A629,'Semrush Data'!$A$1:$A$20000,0),MATCH("Volume",'Semrush Data'!$A$1:$Z$1,0)),"")</f>
        <v/>
      </c>
      <c r="H629" s="42">
        <f>IFERROR(INDEX('Semrush Data'!$A$1:$Z$20000,MATCH(A629,'Semrush Data'!$A$1:$A$20000,0),MATCH("Keyword Difficulty*",'Semrush Data'!$A$1:$Z$1,0)),"")</f>
        <v/>
      </c>
      <c r="I629" s="56">
        <f>IFERROR(INDEX('Semrush Data'!$A$1:$Z$20000,MATCH(A629,'Semrush Data'!$A$1:$A$20000,0),MATCH("CPC*",'Semrush Data'!$A$1:$Z$1,0)),"")</f>
        <v/>
      </c>
      <c r="J629" s="42">
        <f>IFERROR(INDEX('Semrush Data'!$A$1:$Z$20000,MATCH(A629,'Semrush Data'!$A$1:$A$20000,0),MATCH("Intent",'Semrush Data'!$A$1:$Z$1,0)),"")</f>
        <v/>
      </c>
    </row>
    <row r="630" ht="15" customHeight="1" s="37">
      <c r="A630" s="42" t="inlineStr">
        <is>
          <t>maison de milan invincible</t>
        </is>
      </c>
      <c r="B630" s="42" t="inlineStr">
        <is>
          <t>Product</t>
        </is>
      </c>
      <c r="C630" s="42" t="n">
        <v>1</v>
      </c>
      <c r="D630" s="42" t="n">
        <v>7</v>
      </c>
      <c r="E630" s="42" t="n">
        <v>1</v>
      </c>
      <c r="F630" s="42" t="inlineStr">
        <is>
          <t>FR-202</t>
        </is>
      </c>
      <c r="G630" s="55">
        <f>IFERROR(INDEX('Semrush Data'!$A$1:$Z$20000,MATCH(A630,'Semrush Data'!$A$1:$A$20000,0),MATCH("Volume",'Semrush Data'!$A$1:$Z$1,0)),"")</f>
        <v/>
      </c>
      <c r="H630" s="42">
        <f>IFERROR(INDEX('Semrush Data'!$A$1:$Z$20000,MATCH(A630,'Semrush Data'!$A$1:$A$20000,0),MATCH("Keyword Difficulty*",'Semrush Data'!$A$1:$Z$1,0)),"")</f>
        <v/>
      </c>
      <c r="I630" s="56">
        <f>IFERROR(INDEX('Semrush Data'!$A$1:$Z$20000,MATCH(A630,'Semrush Data'!$A$1:$A$20000,0),MATCH("CPC*",'Semrush Data'!$A$1:$Z$1,0)),"")</f>
        <v/>
      </c>
      <c r="J630" s="42">
        <f>IFERROR(INDEX('Semrush Data'!$A$1:$Z$20000,MATCH(A630,'Semrush Data'!$A$1:$A$20000,0),MATCH("Intent",'Semrush Data'!$A$1:$Z$1,0)),"")</f>
        <v/>
      </c>
    </row>
    <row r="631" ht="15" customHeight="1" s="37">
      <c r="A631" s="42" t="inlineStr">
        <is>
          <t>maison de milan l'homme suave</t>
        </is>
      </c>
      <c r="B631" s="42" t="inlineStr">
        <is>
          <t>Product</t>
        </is>
      </c>
      <c r="C631" s="42" t="n">
        <v>1</v>
      </c>
      <c r="D631" s="42" t="n">
        <v>7</v>
      </c>
      <c r="E631" s="42" t="n">
        <v>1</v>
      </c>
      <c r="F631" s="42" t="inlineStr">
        <is>
          <t>FR-203</t>
        </is>
      </c>
      <c r="G631" s="55">
        <f>IFERROR(INDEX('Semrush Data'!$A$1:$Z$20000,MATCH(A631,'Semrush Data'!$A$1:$A$20000,0),MATCH("Volume",'Semrush Data'!$A$1:$Z$1,0)),"")</f>
        <v/>
      </c>
      <c r="H631" s="42">
        <f>IFERROR(INDEX('Semrush Data'!$A$1:$Z$20000,MATCH(A631,'Semrush Data'!$A$1:$A$20000,0),MATCH("Keyword Difficulty*",'Semrush Data'!$A$1:$Z$1,0)),"")</f>
        <v/>
      </c>
      <c r="I631" s="56">
        <f>IFERROR(INDEX('Semrush Data'!$A$1:$Z$20000,MATCH(A631,'Semrush Data'!$A$1:$A$20000,0),MATCH("CPC*",'Semrush Data'!$A$1:$Z$1,0)),"")</f>
        <v/>
      </c>
      <c r="J631" s="42">
        <f>IFERROR(INDEX('Semrush Data'!$A$1:$Z$20000,MATCH(A631,'Semrush Data'!$A$1:$A$20000,0),MATCH("Intent",'Semrush Data'!$A$1:$Z$1,0)),"")</f>
        <v/>
      </c>
    </row>
    <row r="632" ht="15" customHeight="1" s="37">
      <c r="A632" s="42" t="inlineStr">
        <is>
          <t>maison de milan m</t>
        </is>
      </c>
      <c r="B632" s="42" t="inlineStr">
        <is>
          <t>Product</t>
        </is>
      </c>
      <c r="C632" s="42" t="n">
        <v>1</v>
      </c>
      <c r="D632" s="42" t="n">
        <v>7</v>
      </c>
      <c r="E632" s="42" t="n">
        <v>1</v>
      </c>
      <c r="F632" s="42" t="inlineStr">
        <is>
          <t>FR-204</t>
        </is>
      </c>
      <c r="G632" s="55">
        <f>IFERROR(INDEX('Semrush Data'!$A$1:$Z$20000,MATCH(A632,'Semrush Data'!$A$1:$A$20000,0),MATCH("Volume",'Semrush Data'!$A$1:$Z$1,0)),"")</f>
        <v/>
      </c>
      <c r="H632" s="42">
        <f>IFERROR(INDEX('Semrush Data'!$A$1:$Z$20000,MATCH(A632,'Semrush Data'!$A$1:$A$20000,0),MATCH("Keyword Difficulty*",'Semrush Data'!$A$1:$Z$1,0)),"")</f>
        <v/>
      </c>
      <c r="I632" s="56">
        <f>IFERROR(INDEX('Semrush Data'!$A$1:$Z$20000,MATCH(A632,'Semrush Data'!$A$1:$A$20000,0),MATCH("CPC*",'Semrush Data'!$A$1:$Z$1,0)),"")</f>
        <v/>
      </c>
      <c r="J632" s="42">
        <f>IFERROR(INDEX('Semrush Data'!$A$1:$Z$20000,MATCH(A632,'Semrush Data'!$A$1:$A$20000,0),MATCH("Intent",'Semrush Data'!$A$1:$Z$1,0)),"")</f>
        <v/>
      </c>
    </row>
    <row r="633" ht="15" customHeight="1" s="37">
      <c r="A633" s="42" t="inlineStr">
        <is>
          <t>maison de milan milano girl black</t>
        </is>
      </c>
      <c r="B633" s="42" t="inlineStr">
        <is>
          <t>Product</t>
        </is>
      </c>
      <c r="C633" s="42" t="n">
        <v>1</v>
      </c>
      <c r="D633" s="42" t="n">
        <v>7</v>
      </c>
      <c r="E633" s="42" t="n">
        <v>1</v>
      </c>
      <c r="F633" s="42" t="inlineStr">
        <is>
          <t>FR-205</t>
        </is>
      </c>
      <c r="G633" s="55">
        <f>IFERROR(INDEX('Semrush Data'!$A$1:$Z$20000,MATCH(A633,'Semrush Data'!$A$1:$A$20000,0),MATCH("Volume",'Semrush Data'!$A$1:$Z$1,0)),"")</f>
        <v/>
      </c>
      <c r="H633" s="42">
        <f>IFERROR(INDEX('Semrush Data'!$A$1:$Z$20000,MATCH(A633,'Semrush Data'!$A$1:$A$20000,0),MATCH("Keyword Difficulty*",'Semrush Data'!$A$1:$Z$1,0)),"")</f>
        <v/>
      </c>
      <c r="I633" s="56">
        <f>IFERROR(INDEX('Semrush Data'!$A$1:$Z$20000,MATCH(A633,'Semrush Data'!$A$1:$A$20000,0),MATCH("CPC*",'Semrush Data'!$A$1:$Z$1,0)),"")</f>
        <v/>
      </c>
      <c r="J633" s="42">
        <f>IFERROR(INDEX('Semrush Data'!$A$1:$Z$20000,MATCH(A633,'Semrush Data'!$A$1:$A$20000,0),MATCH("Intent",'Semrush Data'!$A$1:$Z$1,0)),"")</f>
        <v/>
      </c>
    </row>
    <row r="634" ht="15" customHeight="1" s="37">
      <c r="A634" s="42" t="inlineStr">
        <is>
          <t>maison de milan milano girl red</t>
        </is>
      </c>
      <c r="B634" s="42" t="inlineStr">
        <is>
          <t>Product</t>
        </is>
      </c>
      <c r="C634" s="42" t="n">
        <v>1</v>
      </c>
      <c r="D634" s="42" t="n">
        <v>7</v>
      </c>
      <c r="E634" s="42" t="n">
        <v>1</v>
      </c>
      <c r="F634" s="42" t="inlineStr">
        <is>
          <t>FR-206</t>
        </is>
      </c>
      <c r="G634" s="55">
        <f>IFERROR(INDEX('Semrush Data'!$A$1:$Z$20000,MATCH(A634,'Semrush Data'!$A$1:$A$20000,0),MATCH("Volume",'Semrush Data'!$A$1:$Z$1,0)),"")</f>
        <v/>
      </c>
      <c r="H634" s="42">
        <f>IFERROR(INDEX('Semrush Data'!$A$1:$Z$20000,MATCH(A634,'Semrush Data'!$A$1:$A$20000,0),MATCH("Keyword Difficulty*",'Semrush Data'!$A$1:$Z$1,0)),"")</f>
        <v/>
      </c>
      <c r="I634" s="56">
        <f>IFERROR(INDEX('Semrush Data'!$A$1:$Z$20000,MATCH(A634,'Semrush Data'!$A$1:$A$20000,0),MATCH("CPC*",'Semrush Data'!$A$1:$Z$1,0)),"")</f>
        <v/>
      </c>
      <c r="J634" s="42">
        <f>IFERROR(INDEX('Semrush Data'!$A$1:$Z$20000,MATCH(A634,'Semrush Data'!$A$1:$A$20000,0),MATCH("Intent",'Semrush Data'!$A$1:$Z$1,0)),"")</f>
        <v/>
      </c>
    </row>
    <row r="635" ht="15" customHeight="1" s="37">
      <c r="A635" s="42" t="inlineStr">
        <is>
          <t>maison de milan milano girl white</t>
        </is>
      </c>
      <c r="B635" s="42" t="inlineStr">
        <is>
          <t>Product</t>
        </is>
      </c>
      <c r="C635" s="42" t="n">
        <v>1</v>
      </c>
      <c r="D635" s="42" t="n">
        <v>7</v>
      </c>
      <c r="E635" s="42" t="n">
        <v>1</v>
      </c>
      <c r="F635" s="42" t="inlineStr">
        <is>
          <t>FR-207</t>
        </is>
      </c>
      <c r="G635" s="55">
        <f>IFERROR(INDEX('Semrush Data'!$A$1:$Z$20000,MATCH(A635,'Semrush Data'!$A$1:$A$20000,0),MATCH("Volume",'Semrush Data'!$A$1:$Z$1,0)),"")</f>
        <v/>
      </c>
      <c r="H635" s="42">
        <f>IFERROR(INDEX('Semrush Data'!$A$1:$Z$20000,MATCH(A635,'Semrush Data'!$A$1:$A$20000,0),MATCH("Keyword Difficulty*",'Semrush Data'!$A$1:$Z$1,0)),"")</f>
        <v/>
      </c>
      <c r="I635" s="56">
        <f>IFERROR(INDEX('Semrush Data'!$A$1:$Z$20000,MATCH(A635,'Semrush Data'!$A$1:$A$20000,0),MATCH("CPC*",'Semrush Data'!$A$1:$Z$1,0)),"")</f>
        <v/>
      </c>
      <c r="J635" s="42">
        <f>IFERROR(INDEX('Semrush Data'!$A$1:$Z$20000,MATCH(A635,'Semrush Data'!$A$1:$A$20000,0),MATCH("Intent",'Semrush Data'!$A$1:$Z$1,0)),"")</f>
        <v/>
      </c>
    </row>
    <row r="636" ht="15" customHeight="1" s="37">
      <c r="A636" s="42" t="inlineStr">
        <is>
          <t>maison de milan opulent gold</t>
        </is>
      </c>
      <c r="B636" s="42" t="inlineStr">
        <is>
          <t>Product</t>
        </is>
      </c>
      <c r="C636" s="42" t="n">
        <v>1</v>
      </c>
      <c r="D636" s="42" t="n">
        <v>7</v>
      </c>
      <c r="E636" s="42" t="n">
        <v>1</v>
      </c>
      <c r="F636" s="42" t="inlineStr">
        <is>
          <t>FR-208</t>
        </is>
      </c>
      <c r="G636" s="55">
        <f>IFERROR(INDEX('Semrush Data'!$A$1:$Z$20000,MATCH(A636,'Semrush Data'!$A$1:$A$20000,0),MATCH("Volume",'Semrush Data'!$A$1:$Z$1,0)),"")</f>
        <v/>
      </c>
      <c r="H636" s="42">
        <f>IFERROR(INDEX('Semrush Data'!$A$1:$Z$20000,MATCH(A636,'Semrush Data'!$A$1:$A$20000,0),MATCH("Keyword Difficulty*",'Semrush Data'!$A$1:$Z$1,0)),"")</f>
        <v/>
      </c>
      <c r="I636" s="56">
        <f>IFERROR(INDEX('Semrush Data'!$A$1:$Z$20000,MATCH(A636,'Semrush Data'!$A$1:$A$20000,0),MATCH("CPC*",'Semrush Data'!$A$1:$Z$1,0)),"")</f>
        <v/>
      </c>
      <c r="J636" s="42">
        <f>IFERROR(INDEX('Semrush Data'!$A$1:$Z$20000,MATCH(A636,'Semrush Data'!$A$1:$A$20000,0),MATCH("Intent",'Semrush Data'!$A$1:$Z$1,0)),"")</f>
        <v/>
      </c>
    </row>
    <row r="637" ht="15" customHeight="1" s="37">
      <c r="A637" s="42" t="inlineStr">
        <is>
          <t>maison de milan valiant pour homme</t>
        </is>
      </c>
      <c r="B637" s="42" t="inlineStr">
        <is>
          <t>Product</t>
        </is>
      </c>
      <c r="C637" s="42" t="n">
        <v>1</v>
      </c>
      <c r="D637" s="42" t="n">
        <v>7</v>
      </c>
      <c r="E637" s="42" t="n">
        <v>1</v>
      </c>
      <c r="F637" s="42" t="inlineStr">
        <is>
          <t>FR-209</t>
        </is>
      </c>
      <c r="G637" s="55">
        <f>IFERROR(INDEX('Semrush Data'!$A$1:$Z$20000,MATCH(A637,'Semrush Data'!$A$1:$A$20000,0),MATCH("Volume",'Semrush Data'!$A$1:$Z$1,0)),"")</f>
        <v/>
      </c>
      <c r="H637" s="42">
        <f>IFERROR(INDEX('Semrush Data'!$A$1:$Z$20000,MATCH(A637,'Semrush Data'!$A$1:$A$20000,0),MATCH("Keyword Difficulty*",'Semrush Data'!$A$1:$Z$1,0)),"")</f>
        <v/>
      </c>
      <c r="I637" s="56">
        <f>IFERROR(INDEX('Semrush Data'!$A$1:$Z$20000,MATCH(A637,'Semrush Data'!$A$1:$A$20000,0),MATCH("CPC*",'Semrush Data'!$A$1:$Z$1,0)),"")</f>
        <v/>
      </c>
      <c r="J637" s="42">
        <f>IFERROR(INDEX('Semrush Data'!$A$1:$Z$20000,MATCH(A637,'Semrush Data'!$A$1:$A$20000,0),MATCH("Intent",'Semrush Data'!$A$1:$Z$1,0)),"")</f>
        <v/>
      </c>
    </row>
    <row r="638" ht="15" customHeight="1" s="37">
      <c r="A638" s="42" t="inlineStr">
        <is>
          <t>mancera black noir</t>
        </is>
      </c>
      <c r="B638" s="42" t="inlineStr">
        <is>
          <t>Product</t>
        </is>
      </c>
      <c r="C638" s="42" t="n">
        <v>1</v>
      </c>
      <c r="D638" s="42" t="n">
        <v>7</v>
      </c>
      <c r="E638" s="42" t="n">
        <v>1</v>
      </c>
      <c r="F638" s="42" t="inlineStr">
        <is>
          <t>FR-289</t>
        </is>
      </c>
      <c r="G638" s="55">
        <f>IFERROR(INDEX('Semrush Data'!$A$1:$Z$20000,MATCH(A638,'Semrush Data'!$A$1:$A$20000,0),MATCH("Volume",'Semrush Data'!$A$1:$Z$1,0)),"")</f>
        <v/>
      </c>
      <c r="H638" s="42">
        <f>IFERROR(INDEX('Semrush Data'!$A$1:$Z$20000,MATCH(A638,'Semrush Data'!$A$1:$A$20000,0),MATCH("Keyword Difficulty*",'Semrush Data'!$A$1:$Z$1,0)),"")</f>
        <v/>
      </c>
      <c r="I638" s="56">
        <f>IFERROR(INDEX('Semrush Data'!$A$1:$Z$20000,MATCH(A638,'Semrush Data'!$A$1:$A$20000,0),MATCH("CPC*",'Semrush Data'!$A$1:$Z$1,0)),"")</f>
        <v/>
      </c>
      <c r="J638" s="42">
        <f>IFERROR(INDEX('Semrush Data'!$A$1:$Z$20000,MATCH(A638,'Semrush Data'!$A$1:$A$20000,0),MATCH("Intent",'Semrush Data'!$A$1:$Z$1,0)),"")</f>
        <v/>
      </c>
    </row>
    <row r="639" ht="15" customHeight="1" s="37">
      <c r="A639" s="42" t="inlineStr">
        <is>
          <t>mancera intense red tobacco</t>
        </is>
      </c>
      <c r="B639" s="42" t="inlineStr">
        <is>
          <t>Product</t>
        </is>
      </c>
      <c r="C639" s="42" t="n">
        <v>1</v>
      </c>
      <c r="D639" s="42" t="n">
        <v>7</v>
      </c>
      <c r="E639" s="42" t="n">
        <v>1</v>
      </c>
      <c r="F639" s="42" t="inlineStr">
        <is>
          <t>FR-290</t>
        </is>
      </c>
      <c r="G639" s="55">
        <f>IFERROR(INDEX('Semrush Data'!$A$1:$Z$20000,MATCH(A639,'Semrush Data'!$A$1:$A$20000,0),MATCH("Volume",'Semrush Data'!$A$1:$Z$1,0)),"")</f>
        <v/>
      </c>
      <c r="H639" s="42">
        <f>IFERROR(INDEX('Semrush Data'!$A$1:$Z$20000,MATCH(A639,'Semrush Data'!$A$1:$A$20000,0),MATCH("Keyword Difficulty*",'Semrush Data'!$A$1:$Z$1,0)),"")</f>
        <v/>
      </c>
      <c r="I639" s="56">
        <f>IFERROR(INDEX('Semrush Data'!$A$1:$Z$20000,MATCH(A639,'Semrush Data'!$A$1:$A$20000,0),MATCH("CPC*",'Semrush Data'!$A$1:$Z$1,0)),"")</f>
        <v/>
      </c>
      <c r="J639" s="42">
        <f>IFERROR(INDEX('Semrush Data'!$A$1:$Z$20000,MATCH(A639,'Semrush Data'!$A$1:$A$20000,0),MATCH("Intent",'Semrush Data'!$A$1:$Z$1,0)),"")</f>
        <v/>
      </c>
    </row>
    <row r="640" ht="15" customHeight="1" s="37">
      <c r="A640" s="42" t="inlineStr">
        <is>
          <t>marc jacobs daisy love glow limited edition</t>
        </is>
      </c>
      <c r="B640" s="42" t="inlineStr">
        <is>
          <t>Product</t>
        </is>
      </c>
      <c r="C640" s="42" t="n">
        <v>1</v>
      </c>
      <c r="D640" s="42" t="n">
        <v>7</v>
      </c>
      <c r="E640" s="42" t="n">
        <v>1</v>
      </c>
      <c r="F640" s="42" t="inlineStr">
        <is>
          <t>FR-295</t>
        </is>
      </c>
      <c r="G640" s="55">
        <f>IFERROR(INDEX('Semrush Data'!$A$1:$Z$20000,MATCH(A640,'Semrush Data'!$A$1:$A$20000,0),MATCH("Volume",'Semrush Data'!$A$1:$Z$1,0)),"")</f>
        <v/>
      </c>
      <c r="H640" s="42">
        <f>IFERROR(INDEX('Semrush Data'!$A$1:$Z$20000,MATCH(A640,'Semrush Data'!$A$1:$A$20000,0),MATCH("Keyword Difficulty*",'Semrush Data'!$A$1:$Z$1,0)),"")</f>
        <v/>
      </c>
      <c r="I640" s="56">
        <f>IFERROR(INDEX('Semrush Data'!$A$1:$Z$20000,MATCH(A640,'Semrush Data'!$A$1:$A$20000,0),MATCH("CPC*",'Semrush Data'!$A$1:$Z$1,0)),"")</f>
        <v/>
      </c>
      <c r="J640" s="42">
        <f>IFERROR(INDEX('Semrush Data'!$A$1:$Z$20000,MATCH(A640,'Semrush Data'!$A$1:$A$20000,0),MATCH("Intent",'Semrush Data'!$A$1:$Z$1,0)),"")</f>
        <v/>
      </c>
    </row>
    <row r="641" ht="15" customHeight="1" s="37">
      <c r="A641" s="42" t="inlineStr">
        <is>
          <t>marc jacobs daisy love miniature</t>
        </is>
      </c>
      <c r="B641" s="42" t="inlineStr">
        <is>
          <t>Product</t>
        </is>
      </c>
      <c r="C641" s="42" t="n">
        <v>1</v>
      </c>
      <c r="D641" s="42" t="n">
        <v>7</v>
      </c>
      <c r="E641" s="42" t="n">
        <v>1</v>
      </c>
      <c r="F641" s="42" t="inlineStr">
        <is>
          <t>FR-294</t>
        </is>
      </c>
      <c r="G641" s="55">
        <f>IFERROR(INDEX('Semrush Data'!$A$1:$Z$20000,MATCH(A641,'Semrush Data'!$A$1:$A$20000,0),MATCH("Volume",'Semrush Data'!$A$1:$Z$1,0)),"")</f>
        <v/>
      </c>
      <c r="H641" s="42">
        <f>IFERROR(INDEX('Semrush Data'!$A$1:$Z$20000,MATCH(A641,'Semrush Data'!$A$1:$A$20000,0),MATCH("Keyword Difficulty*",'Semrush Data'!$A$1:$Z$1,0)),"")</f>
        <v/>
      </c>
      <c r="I641" s="56">
        <f>IFERROR(INDEX('Semrush Data'!$A$1:$Z$20000,MATCH(A641,'Semrush Data'!$A$1:$A$20000,0),MATCH("CPC*",'Semrush Data'!$A$1:$Z$1,0)),"")</f>
        <v/>
      </c>
      <c r="J641" s="42">
        <f>IFERROR(INDEX('Semrush Data'!$A$1:$Z$20000,MATCH(A641,'Semrush Data'!$A$1:$A$20000,0),MATCH("Intent",'Semrush Data'!$A$1:$Z$1,0)),"")</f>
        <v/>
      </c>
    </row>
    <row r="642" ht="15" customHeight="1" s="37">
      <c r="A642" s="42" t="inlineStr">
        <is>
          <t>marc jacobs honey</t>
        </is>
      </c>
      <c r="B642" s="42" t="inlineStr">
        <is>
          <t>Product</t>
        </is>
      </c>
      <c r="C642" s="42" t="n">
        <v>1</v>
      </c>
      <c r="D642" s="42" t="n">
        <v>7</v>
      </c>
      <c r="E642" s="42" t="n">
        <v>1</v>
      </c>
      <c r="F642" s="42" t="inlineStr">
        <is>
          <t>FR-291</t>
        </is>
      </c>
      <c r="G642" s="55">
        <f>IFERROR(INDEX('Semrush Data'!$A$1:$Z$20000,MATCH(A642,'Semrush Data'!$A$1:$A$20000,0),MATCH("Volume",'Semrush Data'!$A$1:$Z$1,0)),"")</f>
        <v/>
      </c>
      <c r="H642" s="42">
        <f>IFERROR(INDEX('Semrush Data'!$A$1:$Z$20000,MATCH(A642,'Semrush Data'!$A$1:$A$20000,0),MATCH("Keyword Difficulty*",'Semrush Data'!$A$1:$Z$1,0)),"")</f>
        <v/>
      </c>
      <c r="I642" s="56">
        <f>IFERROR(INDEX('Semrush Data'!$A$1:$Z$20000,MATCH(A642,'Semrush Data'!$A$1:$A$20000,0),MATCH("CPC*",'Semrush Data'!$A$1:$Z$1,0)),"")</f>
        <v/>
      </c>
      <c r="J642" s="42">
        <f>IFERROR(INDEX('Semrush Data'!$A$1:$Z$20000,MATCH(A642,'Semrush Data'!$A$1:$A$20000,0),MATCH("Intent",'Semrush Data'!$A$1:$Z$1,0)),"")</f>
        <v/>
      </c>
    </row>
    <row r="643" ht="15" customHeight="1" s="37">
      <c r="A643" s="42" t="inlineStr">
        <is>
          <t>marc jacobs miniature gift set 2025</t>
        </is>
      </c>
      <c r="B643" s="42" t="inlineStr">
        <is>
          <t>Product</t>
        </is>
      </c>
      <c r="C643" s="42" t="n">
        <v>1</v>
      </c>
      <c r="D643" s="42" t="n">
        <v>7</v>
      </c>
      <c r="E643" s="42" t="n">
        <v>1</v>
      </c>
      <c r="F643" s="42" t="inlineStr">
        <is>
          <t>FR-297</t>
        </is>
      </c>
      <c r="G643" s="55">
        <f>IFERROR(INDEX('Semrush Data'!$A$1:$Z$20000,MATCH(A643,'Semrush Data'!$A$1:$A$20000,0),MATCH("Volume",'Semrush Data'!$A$1:$Z$1,0)),"")</f>
        <v/>
      </c>
      <c r="H643" s="42">
        <f>IFERROR(INDEX('Semrush Data'!$A$1:$Z$20000,MATCH(A643,'Semrush Data'!$A$1:$A$20000,0),MATCH("Keyword Difficulty*",'Semrush Data'!$A$1:$Z$1,0)),"")</f>
        <v/>
      </c>
      <c r="I643" s="56">
        <f>IFERROR(INDEX('Semrush Data'!$A$1:$Z$20000,MATCH(A643,'Semrush Data'!$A$1:$A$20000,0),MATCH("CPC*",'Semrush Data'!$A$1:$Z$1,0)),"")</f>
        <v/>
      </c>
      <c r="J643" s="42">
        <f>IFERROR(INDEX('Semrush Data'!$A$1:$Z$20000,MATCH(A643,'Semrush Data'!$A$1:$A$20000,0),MATCH("Intent",'Semrush Data'!$A$1:$Z$1,0)),"")</f>
        <v/>
      </c>
    </row>
    <row r="644" ht="15" customHeight="1" s="37">
      <c r="A644" s="42" t="inlineStr">
        <is>
          <t>marc jacobs perfect</t>
        </is>
      </c>
      <c r="B644" s="42" t="inlineStr">
        <is>
          <t>Product</t>
        </is>
      </c>
      <c r="C644" s="42" t="n">
        <v>1</v>
      </c>
      <c r="D644" s="42" t="n">
        <v>7</v>
      </c>
      <c r="E644" s="42" t="n">
        <v>1</v>
      </c>
      <c r="F644" s="42" t="inlineStr">
        <is>
          <t>FR-292</t>
        </is>
      </c>
      <c r="G644" s="55">
        <f>IFERROR(INDEX('Semrush Data'!$A$1:$Z$20000,MATCH(A644,'Semrush Data'!$A$1:$A$20000,0),MATCH("Volume",'Semrush Data'!$A$1:$Z$1,0)),"")</f>
        <v/>
      </c>
      <c r="H644" s="42">
        <f>IFERROR(INDEX('Semrush Data'!$A$1:$Z$20000,MATCH(A644,'Semrush Data'!$A$1:$A$20000,0),MATCH("Keyword Difficulty*",'Semrush Data'!$A$1:$Z$1,0)),"")</f>
        <v/>
      </c>
      <c r="I644" s="56">
        <f>IFERROR(INDEX('Semrush Data'!$A$1:$Z$20000,MATCH(A644,'Semrush Data'!$A$1:$A$20000,0),MATCH("CPC*",'Semrush Data'!$A$1:$Z$1,0)),"")</f>
        <v/>
      </c>
      <c r="J644" s="42">
        <f>IFERROR(INDEX('Semrush Data'!$A$1:$Z$20000,MATCH(A644,'Semrush Data'!$A$1:$A$20000,0),MATCH("Intent",'Semrush Data'!$A$1:$Z$1,0)),"")</f>
        <v/>
      </c>
    </row>
    <row r="645" ht="15" customHeight="1" s="37">
      <c r="A645" s="42" t="inlineStr">
        <is>
          <t>marc jacobs perfect elixir miniature</t>
        </is>
      </c>
      <c r="B645" s="42" t="inlineStr">
        <is>
          <t>Product</t>
        </is>
      </c>
      <c r="C645" s="42" t="n">
        <v>1</v>
      </c>
      <c r="D645" s="42" t="n">
        <v>7</v>
      </c>
      <c r="E645" s="42" t="n">
        <v>1</v>
      </c>
      <c r="F645" s="42" t="inlineStr">
        <is>
          <t>FR-293</t>
        </is>
      </c>
      <c r="G645" s="55">
        <f>IFERROR(INDEX('Semrush Data'!$A$1:$Z$20000,MATCH(A645,'Semrush Data'!$A$1:$A$20000,0),MATCH("Volume",'Semrush Data'!$A$1:$Z$1,0)),"")</f>
        <v/>
      </c>
      <c r="H645" s="42">
        <f>IFERROR(INDEX('Semrush Data'!$A$1:$Z$20000,MATCH(A645,'Semrush Data'!$A$1:$A$20000,0),MATCH("Keyword Difficulty*",'Semrush Data'!$A$1:$Z$1,0)),"")</f>
        <v/>
      </c>
      <c r="I645" s="56">
        <f>IFERROR(INDEX('Semrush Data'!$A$1:$Z$20000,MATCH(A645,'Semrush Data'!$A$1:$A$20000,0),MATCH("CPC*",'Semrush Data'!$A$1:$Z$1,0)),"")</f>
        <v/>
      </c>
      <c r="J645" s="42">
        <f>IFERROR(INDEX('Semrush Data'!$A$1:$Z$20000,MATCH(A645,'Semrush Data'!$A$1:$A$20000,0),MATCH("Intent",'Semrush Data'!$A$1:$Z$1,0)),"")</f>
        <v/>
      </c>
    </row>
    <row r="646" ht="15" customHeight="1" s="37">
      <c r="A646" s="42" t="inlineStr">
        <is>
          <t>marc jacobs perfect miniature</t>
        </is>
      </c>
      <c r="B646" s="42" t="inlineStr">
        <is>
          <t>Product</t>
        </is>
      </c>
      <c r="C646" s="42" t="n">
        <v>1</v>
      </c>
      <c r="D646" s="42" t="n">
        <v>7</v>
      </c>
      <c r="E646" s="42" t="n">
        <v>1</v>
      </c>
      <c r="F646" s="42" t="inlineStr">
        <is>
          <t>FR-296</t>
        </is>
      </c>
      <c r="G646" s="55">
        <f>IFERROR(INDEX('Semrush Data'!$A$1:$Z$20000,MATCH(A646,'Semrush Data'!$A$1:$A$20000,0),MATCH("Volume",'Semrush Data'!$A$1:$Z$1,0)),"")</f>
        <v/>
      </c>
      <c r="H646" s="42">
        <f>IFERROR(INDEX('Semrush Data'!$A$1:$Z$20000,MATCH(A646,'Semrush Data'!$A$1:$A$20000,0),MATCH("Keyword Difficulty*",'Semrush Data'!$A$1:$Z$1,0)),"")</f>
        <v/>
      </c>
      <c r="I646" s="56">
        <f>IFERROR(INDEX('Semrush Data'!$A$1:$Z$20000,MATCH(A646,'Semrush Data'!$A$1:$A$20000,0),MATCH("CPC*",'Semrush Data'!$A$1:$Z$1,0)),"")</f>
        <v/>
      </c>
      <c r="J646" s="42">
        <f>IFERROR(INDEX('Semrush Data'!$A$1:$Z$20000,MATCH(A646,'Semrush Data'!$A$1:$A$20000,0),MATCH("Intent",'Semrush Data'!$A$1:$Z$1,0)),"")</f>
        <v/>
      </c>
    </row>
    <row r="647" ht="15" customHeight="1" s="37">
      <c r="A647" s="42" t="inlineStr">
        <is>
          <t>montale aoud damascus</t>
        </is>
      </c>
      <c r="B647" s="42" t="inlineStr">
        <is>
          <t>Product</t>
        </is>
      </c>
      <c r="C647" s="42" t="n">
        <v>1</v>
      </c>
      <c r="D647" s="42" t="n">
        <v>7</v>
      </c>
      <c r="E647" s="42" t="n">
        <v>1</v>
      </c>
      <c r="F647" s="42" t="inlineStr">
        <is>
          <t>FR-298</t>
        </is>
      </c>
      <c r="G647" s="55">
        <f>IFERROR(INDEX('Semrush Data'!$A$1:$Z$20000,MATCH(A647,'Semrush Data'!$A$1:$A$20000,0),MATCH("Volume",'Semrush Data'!$A$1:$Z$1,0)),"")</f>
        <v/>
      </c>
      <c r="H647" s="42">
        <f>IFERROR(INDEX('Semrush Data'!$A$1:$Z$20000,MATCH(A647,'Semrush Data'!$A$1:$A$20000,0),MATCH("Keyword Difficulty*",'Semrush Data'!$A$1:$Z$1,0)),"")</f>
        <v/>
      </c>
      <c r="I647" s="56">
        <f>IFERROR(INDEX('Semrush Data'!$A$1:$Z$20000,MATCH(A647,'Semrush Data'!$A$1:$A$20000,0),MATCH("CPC*",'Semrush Data'!$A$1:$Z$1,0)),"")</f>
        <v/>
      </c>
      <c r="J647" s="42">
        <f>IFERROR(INDEX('Semrush Data'!$A$1:$Z$20000,MATCH(A647,'Semrush Data'!$A$1:$A$20000,0),MATCH("Intent",'Semrush Data'!$A$1:$Z$1,0)),"")</f>
        <v/>
      </c>
    </row>
    <row r="648" ht="15" customHeight="1" s="37">
      <c r="A648" s="42" t="inlineStr">
        <is>
          <t>montale aoud safran</t>
        </is>
      </c>
      <c r="B648" s="42" t="inlineStr">
        <is>
          <t>Product</t>
        </is>
      </c>
      <c r="C648" s="42" t="n">
        <v>1</v>
      </c>
      <c r="D648" s="42" t="n">
        <v>7</v>
      </c>
      <c r="E648" s="42" t="n">
        <v>1</v>
      </c>
      <c r="F648" s="42" t="inlineStr">
        <is>
          <t>FR-299</t>
        </is>
      </c>
      <c r="G648" s="55">
        <f>IFERROR(INDEX('Semrush Data'!$A$1:$Z$20000,MATCH(A648,'Semrush Data'!$A$1:$A$20000,0),MATCH("Volume",'Semrush Data'!$A$1:$Z$1,0)),"")</f>
        <v/>
      </c>
      <c r="H648" s="42">
        <f>IFERROR(INDEX('Semrush Data'!$A$1:$Z$20000,MATCH(A648,'Semrush Data'!$A$1:$A$20000,0),MATCH("Keyword Difficulty*",'Semrush Data'!$A$1:$Z$1,0)),"")</f>
        <v/>
      </c>
      <c r="I648" s="56">
        <f>IFERROR(INDEX('Semrush Data'!$A$1:$Z$20000,MATCH(A648,'Semrush Data'!$A$1:$A$20000,0),MATCH("CPC*",'Semrush Data'!$A$1:$Z$1,0)),"")</f>
        <v/>
      </c>
      <c r="J648" s="42">
        <f>IFERROR(INDEX('Semrush Data'!$A$1:$Z$20000,MATCH(A648,'Semrush Data'!$A$1:$A$20000,0),MATCH("Intent",'Semrush Data'!$A$1:$Z$1,0)),"")</f>
        <v/>
      </c>
    </row>
    <row r="649" ht="15" customHeight="1" s="37">
      <c r="A649" s="42" t="inlineStr">
        <is>
          <t>nina ricci l'air du temps</t>
        </is>
      </c>
      <c r="B649" s="42" t="inlineStr">
        <is>
          <t>Product</t>
        </is>
      </c>
      <c r="C649" s="42" t="n">
        <v>1</v>
      </c>
      <c r="D649" s="42" t="n">
        <v>7</v>
      </c>
      <c r="E649" s="42" t="n">
        <v>2</v>
      </c>
      <c r="F649" s="42" t="inlineStr">
        <is>
          <t>FR-302, FR-303</t>
        </is>
      </c>
      <c r="G649" s="55">
        <f>IFERROR(INDEX('Semrush Data'!$A$1:$Z$20000,MATCH(A649,'Semrush Data'!$A$1:$A$20000,0),MATCH("Volume",'Semrush Data'!$A$1:$Z$1,0)),"")</f>
        <v/>
      </c>
      <c r="H649" s="42">
        <f>IFERROR(INDEX('Semrush Data'!$A$1:$Z$20000,MATCH(A649,'Semrush Data'!$A$1:$A$20000,0),MATCH("Keyword Difficulty*",'Semrush Data'!$A$1:$Z$1,0)),"")</f>
        <v/>
      </c>
      <c r="I649" s="56">
        <f>IFERROR(INDEX('Semrush Data'!$A$1:$Z$20000,MATCH(A649,'Semrush Data'!$A$1:$A$20000,0),MATCH("CPC*",'Semrush Data'!$A$1:$Z$1,0)),"")</f>
        <v/>
      </c>
      <c r="J649" s="42">
        <f>IFERROR(INDEX('Semrush Data'!$A$1:$Z$20000,MATCH(A649,'Semrush Data'!$A$1:$A$20000,0),MATCH("Intent",'Semrush Data'!$A$1:$Z$1,0)),"")</f>
        <v/>
      </c>
    </row>
    <row r="650" ht="15" customHeight="1" s="37">
      <c r="A650" s="42" t="inlineStr">
        <is>
          <t>nina ricci nina illusion</t>
        </is>
      </c>
      <c r="B650" s="42" t="inlineStr">
        <is>
          <t>Product</t>
        </is>
      </c>
      <c r="C650" s="42" t="n">
        <v>1</v>
      </c>
      <c r="D650" s="42" t="n">
        <v>7</v>
      </c>
      <c r="E650" s="42" t="n">
        <v>1</v>
      </c>
      <c r="F650" s="42" t="inlineStr">
        <is>
          <t>FR-300</t>
        </is>
      </c>
      <c r="G650" s="55">
        <f>IFERROR(INDEX('Semrush Data'!$A$1:$Z$20000,MATCH(A650,'Semrush Data'!$A$1:$A$20000,0),MATCH("Volume",'Semrush Data'!$A$1:$Z$1,0)),"")</f>
        <v/>
      </c>
      <c r="H650" s="42">
        <f>IFERROR(INDEX('Semrush Data'!$A$1:$Z$20000,MATCH(A650,'Semrush Data'!$A$1:$A$20000,0),MATCH("Keyword Difficulty*",'Semrush Data'!$A$1:$Z$1,0)),"")</f>
        <v/>
      </c>
      <c r="I650" s="56">
        <f>IFERROR(INDEX('Semrush Data'!$A$1:$Z$20000,MATCH(A650,'Semrush Data'!$A$1:$A$20000,0),MATCH("CPC*",'Semrush Data'!$A$1:$Z$1,0)),"")</f>
        <v/>
      </c>
      <c r="J650" s="42">
        <f>IFERROR(INDEX('Semrush Data'!$A$1:$Z$20000,MATCH(A650,'Semrush Data'!$A$1:$A$20000,0),MATCH("Intent",'Semrush Data'!$A$1:$Z$1,0)),"")</f>
        <v/>
      </c>
    </row>
    <row r="651" ht="15" customHeight="1" s="37">
      <c r="A651" s="42" t="inlineStr">
        <is>
          <t>nina ricci nina precious gold</t>
        </is>
      </c>
      <c r="B651" s="42" t="inlineStr">
        <is>
          <t>Product</t>
        </is>
      </c>
      <c r="C651" s="42" t="n">
        <v>1</v>
      </c>
      <c r="D651" s="42" t="n">
        <v>7</v>
      </c>
      <c r="E651" s="42" t="n">
        <v>1</v>
      </c>
      <c r="F651" s="42" t="inlineStr">
        <is>
          <t>FR-301</t>
        </is>
      </c>
      <c r="G651" s="55">
        <f>IFERROR(INDEX('Semrush Data'!$A$1:$Z$20000,MATCH(A651,'Semrush Data'!$A$1:$A$20000,0),MATCH("Volume",'Semrush Data'!$A$1:$Z$1,0)),"")</f>
        <v/>
      </c>
      <c r="H651" s="42">
        <f>IFERROR(INDEX('Semrush Data'!$A$1:$Z$20000,MATCH(A651,'Semrush Data'!$A$1:$A$20000,0),MATCH("Keyword Difficulty*",'Semrush Data'!$A$1:$Z$1,0)),"")</f>
        <v/>
      </c>
      <c r="I651" s="56">
        <f>IFERROR(INDEX('Semrush Data'!$A$1:$Z$20000,MATCH(A651,'Semrush Data'!$A$1:$A$20000,0),MATCH("CPC*",'Semrush Data'!$A$1:$Z$1,0)),"")</f>
        <v/>
      </c>
      <c r="J651" s="42">
        <f>IFERROR(INDEX('Semrush Data'!$A$1:$Z$20000,MATCH(A651,'Semrush Data'!$A$1:$A$20000,0),MATCH("Intent",'Semrush Data'!$A$1:$Z$1,0)),"")</f>
        <v/>
      </c>
    </row>
    <row r="652" ht="15" customHeight="1" s="37">
      <c r="A652" s="42" t="inlineStr">
        <is>
          <t>paloma picasso</t>
        </is>
      </c>
      <c r="B652" s="42" t="inlineStr">
        <is>
          <t>Product</t>
        </is>
      </c>
      <c r="C652" s="42" t="n">
        <v>1</v>
      </c>
      <c r="D652" s="42" t="n">
        <v>7</v>
      </c>
      <c r="E652" s="42" t="n">
        <v>1</v>
      </c>
      <c r="F652" s="42" t="inlineStr">
        <is>
          <t>FR-304</t>
        </is>
      </c>
      <c r="G652" s="55">
        <f>IFERROR(INDEX('Semrush Data'!$A$1:$Z$20000,MATCH(A652,'Semrush Data'!$A$1:$A$20000,0),MATCH("Volume",'Semrush Data'!$A$1:$Z$1,0)),"")</f>
        <v/>
      </c>
      <c r="H652" s="42">
        <f>IFERROR(INDEX('Semrush Data'!$A$1:$Z$20000,MATCH(A652,'Semrush Data'!$A$1:$A$20000,0),MATCH("Keyword Difficulty*",'Semrush Data'!$A$1:$Z$1,0)),"")</f>
        <v/>
      </c>
      <c r="I652" s="56">
        <f>IFERROR(INDEX('Semrush Data'!$A$1:$Z$20000,MATCH(A652,'Semrush Data'!$A$1:$A$20000,0),MATCH("CPC*",'Semrush Data'!$A$1:$Z$1,0)),"")</f>
        <v/>
      </c>
      <c r="J652" s="42">
        <f>IFERROR(INDEX('Semrush Data'!$A$1:$Z$20000,MATCH(A652,'Semrush Data'!$A$1:$A$20000,0),MATCH("Intent",'Semrush Data'!$A$1:$Z$1,0)),"")</f>
        <v/>
      </c>
    </row>
    <row r="653" ht="15" customHeight="1" s="37">
      <c r="A653" s="42" t="inlineStr">
        <is>
          <t>philipp plein no limits after shave balm</t>
        </is>
      </c>
      <c r="B653" s="42" t="inlineStr">
        <is>
          <t>Product</t>
        </is>
      </c>
      <c r="C653" s="42" t="n">
        <v>1</v>
      </c>
      <c r="D653" s="42" t="n">
        <v>7</v>
      </c>
      <c r="E653" s="42" t="n">
        <v>1</v>
      </c>
      <c r="F653" s="42" t="inlineStr">
        <is>
          <t>FR-307</t>
        </is>
      </c>
      <c r="G653" s="55">
        <f>IFERROR(INDEX('Semrush Data'!$A$1:$Z$20000,MATCH(A653,'Semrush Data'!$A$1:$A$20000,0),MATCH("Volume",'Semrush Data'!$A$1:$Z$1,0)),"")</f>
        <v/>
      </c>
      <c r="H653" s="42">
        <f>IFERROR(INDEX('Semrush Data'!$A$1:$Z$20000,MATCH(A653,'Semrush Data'!$A$1:$A$20000,0),MATCH("Keyword Difficulty*",'Semrush Data'!$A$1:$Z$1,0)),"")</f>
        <v/>
      </c>
      <c r="I653" s="56">
        <f>IFERROR(INDEX('Semrush Data'!$A$1:$Z$20000,MATCH(A653,'Semrush Data'!$A$1:$A$20000,0),MATCH("CPC*",'Semrush Data'!$A$1:$Z$1,0)),"")</f>
        <v/>
      </c>
      <c r="J653" s="42">
        <f>IFERROR(INDEX('Semrush Data'!$A$1:$Z$20000,MATCH(A653,'Semrush Data'!$A$1:$A$20000,0),MATCH("Intent",'Semrush Data'!$A$1:$Z$1,0)),"")</f>
        <v/>
      </c>
    </row>
    <row r="654" ht="15" customHeight="1" s="37">
      <c r="A654" s="42" t="inlineStr">
        <is>
          <t>philipp plein no limits deodorant stick</t>
        </is>
      </c>
      <c r="B654" s="42" t="inlineStr">
        <is>
          <t>Product</t>
        </is>
      </c>
      <c r="C654" s="42" t="n">
        <v>1</v>
      </c>
      <c r="D654" s="42" t="n">
        <v>7</v>
      </c>
      <c r="E654" s="42" t="n">
        <v>1</v>
      </c>
      <c r="F654" s="42" t="inlineStr">
        <is>
          <t>FR-305</t>
        </is>
      </c>
      <c r="G654" s="55">
        <f>IFERROR(INDEX('Semrush Data'!$A$1:$Z$20000,MATCH(A654,'Semrush Data'!$A$1:$A$20000,0),MATCH("Volume",'Semrush Data'!$A$1:$Z$1,0)),"")</f>
        <v/>
      </c>
      <c r="H654" s="42">
        <f>IFERROR(INDEX('Semrush Data'!$A$1:$Z$20000,MATCH(A654,'Semrush Data'!$A$1:$A$20000,0),MATCH("Keyword Difficulty*",'Semrush Data'!$A$1:$Z$1,0)),"")</f>
        <v/>
      </c>
      <c r="I654" s="56">
        <f>IFERROR(INDEX('Semrush Data'!$A$1:$Z$20000,MATCH(A654,'Semrush Data'!$A$1:$A$20000,0),MATCH("CPC*",'Semrush Data'!$A$1:$Z$1,0)),"")</f>
        <v/>
      </c>
      <c r="J654" s="42">
        <f>IFERROR(INDEX('Semrush Data'!$A$1:$Z$20000,MATCH(A654,'Semrush Data'!$A$1:$A$20000,0),MATCH("Intent",'Semrush Data'!$A$1:$Z$1,0)),"")</f>
        <v/>
      </c>
    </row>
    <row r="655" ht="15" customHeight="1" s="37">
      <c r="A655" s="42" t="inlineStr">
        <is>
          <t>philipp plein no limits super fresh</t>
        </is>
      </c>
      <c r="B655" s="42" t="inlineStr">
        <is>
          <t>Product</t>
        </is>
      </c>
      <c r="C655" s="42" t="n">
        <v>1</v>
      </c>
      <c r="D655" s="42" t="n">
        <v>7</v>
      </c>
      <c r="E655" s="42" t="n">
        <v>1</v>
      </c>
      <c r="F655" s="42" t="inlineStr">
        <is>
          <t>FR-306</t>
        </is>
      </c>
      <c r="G655" s="55">
        <f>IFERROR(INDEX('Semrush Data'!$A$1:$Z$20000,MATCH(A655,'Semrush Data'!$A$1:$A$20000,0),MATCH("Volume",'Semrush Data'!$A$1:$Z$1,0)),"")</f>
        <v/>
      </c>
      <c r="H655" s="42">
        <f>IFERROR(INDEX('Semrush Data'!$A$1:$Z$20000,MATCH(A655,'Semrush Data'!$A$1:$A$20000,0),MATCH("Keyword Difficulty*",'Semrush Data'!$A$1:$Z$1,0)),"")</f>
        <v/>
      </c>
      <c r="I655" s="56">
        <f>IFERROR(INDEX('Semrush Data'!$A$1:$Z$20000,MATCH(A655,'Semrush Data'!$A$1:$A$20000,0),MATCH("CPC*",'Semrush Data'!$A$1:$Z$1,0)),"")</f>
        <v/>
      </c>
      <c r="J655" s="42">
        <f>IFERROR(INDEX('Semrush Data'!$A$1:$Z$20000,MATCH(A655,'Semrush Data'!$A$1:$A$20000,0),MATCH("Intent",'Semrush Data'!$A$1:$Z$1,0)),"")</f>
        <v/>
      </c>
    </row>
    <row r="656" ht="15" customHeight="1" s="37">
      <c r="A656" s="42" t="inlineStr">
        <is>
          <t>rihanah ajwaa oud</t>
        </is>
      </c>
      <c r="B656" s="42" t="inlineStr">
        <is>
          <t>Product</t>
        </is>
      </c>
      <c r="C656" s="42" t="n">
        <v>1</v>
      </c>
      <c r="D656" s="42" t="n">
        <v>7</v>
      </c>
      <c r="E656" s="42" t="n">
        <v>1</v>
      </c>
      <c r="F656" s="42" t="inlineStr">
        <is>
          <t>FR-308</t>
        </is>
      </c>
      <c r="G656" s="55">
        <f>IFERROR(INDEX('Semrush Data'!$A$1:$Z$20000,MATCH(A656,'Semrush Data'!$A$1:$A$20000,0),MATCH("Volume",'Semrush Data'!$A$1:$Z$1,0)),"")</f>
        <v/>
      </c>
      <c r="H656" s="42">
        <f>IFERROR(INDEX('Semrush Data'!$A$1:$Z$20000,MATCH(A656,'Semrush Data'!$A$1:$A$20000,0),MATCH("Keyword Difficulty*",'Semrush Data'!$A$1:$Z$1,0)),"")</f>
        <v/>
      </c>
      <c r="I656" s="56">
        <f>IFERROR(INDEX('Semrush Data'!$A$1:$Z$20000,MATCH(A656,'Semrush Data'!$A$1:$A$20000,0),MATCH("CPC*",'Semrush Data'!$A$1:$Z$1,0)),"")</f>
        <v/>
      </c>
      <c r="J656" s="42">
        <f>IFERROR(INDEX('Semrush Data'!$A$1:$Z$20000,MATCH(A656,'Semrush Data'!$A$1:$A$20000,0),MATCH("Intent",'Semrush Data'!$A$1:$Z$1,0)),"")</f>
        <v/>
      </c>
    </row>
    <row r="657" ht="15" customHeight="1" s="37">
      <c r="A657" s="42" t="inlineStr">
        <is>
          <t>roll it 1</t>
        </is>
      </c>
      <c r="B657" s="42" t="inlineStr">
        <is>
          <t>Product</t>
        </is>
      </c>
      <c r="C657" s="42" t="n">
        <v>1</v>
      </c>
      <c r="D657" s="42" t="n">
        <v>7</v>
      </c>
      <c r="E657" s="42" t="n">
        <v>1</v>
      </c>
      <c r="F657" s="42" t="inlineStr">
        <is>
          <t>FR-210</t>
        </is>
      </c>
      <c r="G657" s="55">
        <f>IFERROR(INDEX('Semrush Data'!$A$1:$Z$20000,MATCH(A657,'Semrush Data'!$A$1:$A$20000,0),MATCH("Volume",'Semrush Data'!$A$1:$Z$1,0)),"")</f>
        <v/>
      </c>
      <c r="H657" s="42">
        <f>IFERROR(INDEX('Semrush Data'!$A$1:$Z$20000,MATCH(A657,'Semrush Data'!$A$1:$A$20000,0),MATCH("Keyword Difficulty*",'Semrush Data'!$A$1:$Z$1,0)),"")</f>
        <v/>
      </c>
      <c r="I657" s="56">
        <f>IFERROR(INDEX('Semrush Data'!$A$1:$Z$20000,MATCH(A657,'Semrush Data'!$A$1:$A$20000,0),MATCH("CPC*",'Semrush Data'!$A$1:$Z$1,0)),"")</f>
        <v/>
      </c>
      <c r="J657" s="42">
        <f>IFERROR(INDEX('Semrush Data'!$A$1:$Z$20000,MATCH(A657,'Semrush Data'!$A$1:$A$20000,0),MATCH("Intent",'Semrush Data'!$A$1:$Z$1,0)),"")</f>
        <v/>
      </c>
    </row>
    <row r="658" ht="15" customHeight="1" s="37">
      <c r="A658" s="42" t="inlineStr">
        <is>
          <t>s.t. dupont perfect tobacco</t>
        </is>
      </c>
      <c r="B658" s="42" t="inlineStr">
        <is>
          <t>Product</t>
        </is>
      </c>
      <c r="C658" s="42" t="n">
        <v>1</v>
      </c>
      <c r="D658" s="42" t="n">
        <v>7</v>
      </c>
      <c r="E658" s="42" t="n">
        <v>1</v>
      </c>
      <c r="F658" s="42" t="inlineStr">
        <is>
          <t>FR-309</t>
        </is>
      </c>
      <c r="G658" s="55">
        <f>IFERROR(INDEX('Semrush Data'!$A$1:$Z$20000,MATCH(A658,'Semrush Data'!$A$1:$A$20000,0),MATCH("Volume",'Semrush Data'!$A$1:$Z$1,0)),"")</f>
        <v/>
      </c>
      <c r="H658" s="42">
        <f>IFERROR(INDEX('Semrush Data'!$A$1:$Z$20000,MATCH(A658,'Semrush Data'!$A$1:$A$20000,0),MATCH("Keyword Difficulty*",'Semrush Data'!$A$1:$Z$1,0)),"")</f>
        <v/>
      </c>
      <c r="I658" s="56">
        <f>IFERROR(INDEX('Semrush Data'!$A$1:$Z$20000,MATCH(A658,'Semrush Data'!$A$1:$A$20000,0),MATCH("CPC*",'Semrush Data'!$A$1:$Z$1,0)),"")</f>
        <v/>
      </c>
      <c r="J658" s="42">
        <f>IFERROR(INDEX('Semrush Data'!$A$1:$Z$20000,MATCH(A658,'Semrush Data'!$A$1:$A$20000,0),MATCH("Intent",'Semrush Data'!$A$1:$Z$1,0)),"")</f>
        <v/>
      </c>
    </row>
    <row r="659" ht="15" customHeight="1" s="37">
      <c r="A659" s="42" t="inlineStr">
        <is>
          <t>s.t. dupont pure bloom</t>
        </is>
      </c>
      <c r="B659" s="42" t="inlineStr">
        <is>
          <t>Product</t>
        </is>
      </c>
      <c r="C659" s="42" t="n">
        <v>1</v>
      </c>
      <c r="D659" s="42" t="n">
        <v>7</v>
      </c>
      <c r="E659" s="42" t="n">
        <v>1</v>
      </c>
      <c r="F659" s="42" t="inlineStr">
        <is>
          <t>FR-310</t>
        </is>
      </c>
      <c r="G659" s="55">
        <f>IFERROR(INDEX('Semrush Data'!$A$1:$Z$20000,MATCH(A659,'Semrush Data'!$A$1:$A$20000,0),MATCH("Volume",'Semrush Data'!$A$1:$Z$1,0)),"")</f>
        <v/>
      </c>
      <c r="H659" s="42">
        <f>IFERROR(INDEX('Semrush Data'!$A$1:$Z$20000,MATCH(A659,'Semrush Data'!$A$1:$A$20000,0),MATCH("Keyword Difficulty*",'Semrush Data'!$A$1:$Z$1,0)),"")</f>
        <v/>
      </c>
      <c r="I659" s="56">
        <f>IFERROR(INDEX('Semrush Data'!$A$1:$Z$20000,MATCH(A659,'Semrush Data'!$A$1:$A$20000,0),MATCH("CPC*",'Semrush Data'!$A$1:$Z$1,0)),"")</f>
        <v/>
      </c>
      <c r="J659" s="42">
        <f>IFERROR(INDEX('Semrush Data'!$A$1:$Z$20000,MATCH(A659,'Semrush Data'!$A$1:$A$20000,0),MATCH("Intent",'Semrush Data'!$A$1:$Z$1,0)),"")</f>
        <v/>
      </c>
    </row>
    <row r="660" ht="15" customHeight="1" s="37">
      <c r="A660" s="42" t="inlineStr">
        <is>
          <t>s.t. dupont royal amber</t>
        </is>
      </c>
      <c r="B660" s="42" t="inlineStr">
        <is>
          <t>Product</t>
        </is>
      </c>
      <c r="C660" s="42" t="n">
        <v>1</v>
      </c>
      <c r="D660" s="42" t="n">
        <v>7</v>
      </c>
      <c r="E660" s="42" t="n">
        <v>1</v>
      </c>
      <c r="F660" s="42" t="inlineStr">
        <is>
          <t>FR-311</t>
        </is>
      </c>
      <c r="G660" s="55">
        <f>IFERROR(INDEX('Semrush Data'!$A$1:$Z$20000,MATCH(A660,'Semrush Data'!$A$1:$A$20000,0),MATCH("Volume",'Semrush Data'!$A$1:$Z$1,0)),"")</f>
        <v/>
      </c>
      <c r="H660" s="42">
        <f>IFERROR(INDEX('Semrush Data'!$A$1:$Z$20000,MATCH(A660,'Semrush Data'!$A$1:$A$20000,0),MATCH("Keyword Difficulty*",'Semrush Data'!$A$1:$Z$1,0)),"")</f>
        <v/>
      </c>
      <c r="I660" s="56">
        <f>IFERROR(INDEX('Semrush Data'!$A$1:$Z$20000,MATCH(A660,'Semrush Data'!$A$1:$A$20000,0),MATCH("CPC*",'Semrush Data'!$A$1:$Z$1,0)),"")</f>
        <v/>
      </c>
      <c r="J660" s="42">
        <f>IFERROR(INDEX('Semrush Data'!$A$1:$Z$20000,MATCH(A660,'Semrush Data'!$A$1:$A$20000,0),MATCH("Intent",'Semrush Data'!$A$1:$Z$1,0)),"")</f>
        <v/>
      </c>
    </row>
    <row r="661" ht="15" customHeight="1" s="37">
      <c r="A661" s="42" t="inlineStr">
        <is>
          <t>sap le roi</t>
        </is>
      </c>
      <c r="B661" s="42" t="inlineStr">
        <is>
          <t>Product</t>
        </is>
      </c>
      <c r="C661" s="42" t="n">
        <v>1</v>
      </c>
      <c r="D661" s="42" t="n">
        <v>7</v>
      </c>
      <c r="E661" s="42" t="n">
        <v>1</v>
      </c>
      <c r="F661" s="42" t="inlineStr">
        <is>
          <t>FR-312</t>
        </is>
      </c>
      <c r="G661" s="55">
        <f>IFERROR(INDEX('Semrush Data'!$A$1:$Z$20000,MATCH(A661,'Semrush Data'!$A$1:$A$20000,0),MATCH("Volume",'Semrush Data'!$A$1:$Z$1,0)),"")</f>
        <v/>
      </c>
      <c r="H661" s="42">
        <f>IFERROR(INDEX('Semrush Data'!$A$1:$Z$20000,MATCH(A661,'Semrush Data'!$A$1:$A$20000,0),MATCH("Keyword Difficulty*",'Semrush Data'!$A$1:$Z$1,0)),"")</f>
        <v/>
      </c>
      <c r="I661" s="56">
        <f>IFERROR(INDEX('Semrush Data'!$A$1:$Z$20000,MATCH(A661,'Semrush Data'!$A$1:$A$20000,0),MATCH("CPC*",'Semrush Data'!$A$1:$Z$1,0)),"")</f>
        <v/>
      </c>
      <c r="J661" s="42">
        <f>IFERROR(INDEX('Semrush Data'!$A$1:$Z$20000,MATCH(A661,'Semrush Data'!$A$1:$A$20000,0),MATCH("Intent",'Semrush Data'!$A$1:$Z$1,0)),"")</f>
        <v/>
      </c>
    </row>
    <row r="662" ht="15" customHeight="1" s="37">
      <c r="A662" s="42" t="inlineStr">
        <is>
          <t>sap oud leopard fr</t>
        </is>
      </c>
      <c r="B662" s="42" t="inlineStr">
        <is>
          <t>Product</t>
        </is>
      </c>
      <c r="C662" s="42" t="n">
        <v>1</v>
      </c>
      <c r="D662" s="42" t="n">
        <v>7</v>
      </c>
      <c r="E662" s="42" t="n">
        <v>1</v>
      </c>
      <c r="F662" s="42" t="inlineStr">
        <is>
          <t>FR-313</t>
        </is>
      </c>
      <c r="G662" s="55">
        <f>IFERROR(INDEX('Semrush Data'!$A$1:$Z$20000,MATCH(A662,'Semrush Data'!$A$1:$A$20000,0),MATCH("Volume",'Semrush Data'!$A$1:$Z$1,0)),"")</f>
        <v/>
      </c>
      <c r="H662" s="42">
        <f>IFERROR(INDEX('Semrush Data'!$A$1:$Z$20000,MATCH(A662,'Semrush Data'!$A$1:$A$20000,0),MATCH("Keyword Difficulty*",'Semrush Data'!$A$1:$Z$1,0)),"")</f>
        <v/>
      </c>
      <c r="I662" s="56">
        <f>IFERROR(INDEX('Semrush Data'!$A$1:$Z$20000,MATCH(A662,'Semrush Data'!$A$1:$A$20000,0),MATCH("CPC*",'Semrush Data'!$A$1:$Z$1,0)),"")</f>
        <v/>
      </c>
      <c r="J662" s="42">
        <f>IFERROR(INDEX('Semrush Data'!$A$1:$Z$20000,MATCH(A662,'Semrush Data'!$A$1:$A$20000,0),MATCH("Intent",'Semrush Data'!$A$1:$Z$1,0)),"")</f>
        <v/>
      </c>
    </row>
    <row r="663" ht="15" customHeight="1" s="37">
      <c r="A663" s="42" t="inlineStr">
        <is>
          <t>sap patchouli intense</t>
        </is>
      </c>
      <c r="B663" s="42" t="inlineStr">
        <is>
          <t>Product</t>
        </is>
      </c>
      <c r="C663" s="42" t="n">
        <v>1</v>
      </c>
      <c r="D663" s="42" t="n">
        <v>7</v>
      </c>
      <c r="E663" s="42" t="n">
        <v>1</v>
      </c>
      <c r="F663" s="42" t="inlineStr">
        <is>
          <t>FR-314</t>
        </is>
      </c>
      <c r="G663" s="55">
        <f>IFERROR(INDEX('Semrush Data'!$A$1:$Z$20000,MATCH(A663,'Semrush Data'!$A$1:$A$20000,0),MATCH("Volume",'Semrush Data'!$A$1:$Z$1,0)),"")</f>
        <v/>
      </c>
      <c r="H663" s="42">
        <f>IFERROR(INDEX('Semrush Data'!$A$1:$Z$20000,MATCH(A663,'Semrush Data'!$A$1:$A$20000,0),MATCH("Keyword Difficulty*",'Semrush Data'!$A$1:$Z$1,0)),"")</f>
        <v/>
      </c>
      <c r="I663" s="56">
        <f>IFERROR(INDEX('Semrush Data'!$A$1:$Z$20000,MATCH(A663,'Semrush Data'!$A$1:$A$20000,0),MATCH("CPC*",'Semrush Data'!$A$1:$Z$1,0)),"")</f>
        <v/>
      </c>
      <c r="J663" s="42">
        <f>IFERROR(INDEX('Semrush Data'!$A$1:$Z$20000,MATCH(A663,'Semrush Data'!$A$1:$A$20000,0),MATCH("Intent",'Semrush Data'!$A$1:$Z$1,0)),"")</f>
        <v/>
      </c>
    </row>
    <row r="664" ht="15" customHeight="1" s="37">
      <c r="A664" s="42" t="inlineStr">
        <is>
          <t>sap saffron oud</t>
        </is>
      </c>
      <c r="B664" s="42" t="inlineStr">
        <is>
          <t>Product</t>
        </is>
      </c>
      <c r="C664" s="42" t="n">
        <v>1</v>
      </c>
      <c r="D664" s="42" t="n">
        <v>7</v>
      </c>
      <c r="E664" s="42" t="n">
        <v>1</v>
      </c>
      <c r="F664" s="42" t="inlineStr">
        <is>
          <t>FR-315</t>
        </is>
      </c>
      <c r="G664" s="55">
        <f>IFERROR(INDEX('Semrush Data'!$A$1:$Z$20000,MATCH(A664,'Semrush Data'!$A$1:$A$20000,0),MATCH("Volume",'Semrush Data'!$A$1:$Z$1,0)),"")</f>
        <v/>
      </c>
      <c r="H664" s="42">
        <f>IFERROR(INDEX('Semrush Data'!$A$1:$Z$20000,MATCH(A664,'Semrush Data'!$A$1:$A$20000,0),MATCH("Keyword Difficulty*",'Semrush Data'!$A$1:$Z$1,0)),"")</f>
        <v/>
      </c>
      <c r="I664" s="56">
        <f>IFERROR(INDEX('Semrush Data'!$A$1:$Z$20000,MATCH(A664,'Semrush Data'!$A$1:$A$20000,0),MATCH("CPC*",'Semrush Data'!$A$1:$Z$1,0)),"")</f>
        <v/>
      </c>
      <c r="J664" s="42">
        <f>IFERROR(INDEX('Semrush Data'!$A$1:$Z$20000,MATCH(A664,'Semrush Data'!$A$1:$A$20000,0),MATCH("Intent",'Semrush Data'!$A$1:$Z$1,0)),"")</f>
        <v/>
      </c>
    </row>
    <row r="665" ht="15" customHeight="1" s="37">
      <c r="A665" s="42" t="inlineStr">
        <is>
          <t>sap vert club</t>
        </is>
      </c>
      <c r="B665" s="42" t="inlineStr">
        <is>
          <t>Product</t>
        </is>
      </c>
      <c r="C665" s="42" t="n">
        <v>1</v>
      </c>
      <c r="D665" s="42" t="n">
        <v>7</v>
      </c>
      <c r="E665" s="42" t="n">
        <v>1</v>
      </c>
      <c r="F665" s="42" t="inlineStr">
        <is>
          <t>FR-316</t>
        </is>
      </c>
      <c r="G665" s="55">
        <f>IFERROR(INDEX('Semrush Data'!$A$1:$Z$20000,MATCH(A665,'Semrush Data'!$A$1:$A$20000,0),MATCH("Volume",'Semrush Data'!$A$1:$Z$1,0)),"")</f>
        <v/>
      </c>
      <c r="H665" s="42">
        <f>IFERROR(INDEX('Semrush Data'!$A$1:$Z$20000,MATCH(A665,'Semrush Data'!$A$1:$A$20000,0),MATCH("Keyword Difficulty*",'Semrush Data'!$A$1:$Z$1,0)),"")</f>
        <v/>
      </c>
      <c r="I665" s="56">
        <f>IFERROR(INDEX('Semrush Data'!$A$1:$Z$20000,MATCH(A665,'Semrush Data'!$A$1:$A$20000,0),MATCH("CPC*",'Semrush Data'!$A$1:$Z$1,0)),"")</f>
        <v/>
      </c>
      <c r="J665" s="42">
        <f>IFERROR(INDEX('Semrush Data'!$A$1:$Z$20000,MATCH(A665,'Semrush Data'!$A$1:$A$20000,0),MATCH("Intent",'Semrush Data'!$A$1:$Z$1,0)),"")</f>
        <v/>
      </c>
    </row>
    <row r="666" ht="15" customHeight="1" s="37">
      <c r="A666" s="42" t="inlineStr">
        <is>
          <t>serge lutens la fille de berlin</t>
        </is>
      </c>
      <c r="B666" s="42" t="inlineStr">
        <is>
          <t>Product</t>
        </is>
      </c>
      <c r="C666" s="42" t="n">
        <v>1</v>
      </c>
      <c r="D666" s="42" t="n">
        <v>7</v>
      </c>
      <c r="E666" s="42" t="n">
        <v>1</v>
      </c>
      <c r="F666" s="42" t="inlineStr">
        <is>
          <t>FR-317</t>
        </is>
      </c>
      <c r="G666" s="55">
        <f>IFERROR(INDEX('Semrush Data'!$A$1:$Z$20000,MATCH(A666,'Semrush Data'!$A$1:$A$20000,0),MATCH("Volume",'Semrush Data'!$A$1:$Z$1,0)),"")</f>
        <v/>
      </c>
      <c r="H666" s="42">
        <f>IFERROR(INDEX('Semrush Data'!$A$1:$Z$20000,MATCH(A666,'Semrush Data'!$A$1:$A$20000,0),MATCH("Keyword Difficulty*",'Semrush Data'!$A$1:$Z$1,0)),"")</f>
        <v/>
      </c>
      <c r="I666" s="56">
        <f>IFERROR(INDEX('Semrush Data'!$A$1:$Z$20000,MATCH(A666,'Semrush Data'!$A$1:$A$20000,0),MATCH("CPC*",'Semrush Data'!$A$1:$Z$1,0)),"")</f>
        <v/>
      </c>
      <c r="J666" s="42">
        <f>IFERROR(INDEX('Semrush Data'!$A$1:$Z$20000,MATCH(A666,'Semrush Data'!$A$1:$A$20000,0),MATCH("Intent",'Semrush Data'!$A$1:$Z$1,0)),"")</f>
        <v/>
      </c>
    </row>
    <row r="667" ht="15" customHeight="1" s="37">
      <c r="A667" s="42" t="inlineStr">
        <is>
          <t>shiseido zen</t>
        </is>
      </c>
      <c r="B667" s="42" t="inlineStr">
        <is>
          <t>Product</t>
        </is>
      </c>
      <c r="C667" s="42" t="n">
        <v>1</v>
      </c>
      <c r="D667" s="42" t="n">
        <v>7</v>
      </c>
      <c r="E667" s="42" t="n">
        <v>1</v>
      </c>
      <c r="F667" s="42" t="inlineStr">
        <is>
          <t>FR-318</t>
        </is>
      </c>
      <c r="G667" s="55">
        <f>IFERROR(INDEX('Semrush Data'!$A$1:$Z$20000,MATCH(A667,'Semrush Data'!$A$1:$A$20000,0),MATCH("Volume",'Semrush Data'!$A$1:$Z$1,0)),"")</f>
        <v/>
      </c>
      <c r="H667" s="42">
        <f>IFERROR(INDEX('Semrush Data'!$A$1:$Z$20000,MATCH(A667,'Semrush Data'!$A$1:$A$20000,0),MATCH("Keyword Difficulty*",'Semrush Data'!$A$1:$Z$1,0)),"")</f>
        <v/>
      </c>
      <c r="I667" s="56">
        <f>IFERROR(INDEX('Semrush Data'!$A$1:$Z$20000,MATCH(A667,'Semrush Data'!$A$1:$A$20000,0),MATCH("CPC*",'Semrush Data'!$A$1:$Z$1,0)),"")</f>
        <v/>
      </c>
      <c r="J667" s="42">
        <f>IFERROR(INDEX('Semrush Data'!$A$1:$Z$20000,MATCH(A667,'Semrush Data'!$A$1:$A$20000,0),MATCH("Intent",'Semrush Data'!$A$1:$Z$1,0)),"")</f>
        <v/>
      </c>
    </row>
    <row r="668" ht="15" customHeight="1" s="37">
      <c r="A668" s="42" t="inlineStr">
        <is>
          <t>signature ambre</t>
        </is>
      </c>
      <c r="B668" s="42" t="inlineStr">
        <is>
          <t>Product</t>
        </is>
      </c>
      <c r="C668" s="42" t="n">
        <v>1</v>
      </c>
      <c r="D668" s="42" t="n">
        <v>7</v>
      </c>
      <c r="E668" s="42" t="n">
        <v>1</v>
      </c>
      <c r="F668" s="42" t="inlineStr">
        <is>
          <t>FR-319</t>
        </is>
      </c>
      <c r="G668" s="55">
        <f>IFERROR(INDEX('Semrush Data'!$A$1:$Z$20000,MATCH(A668,'Semrush Data'!$A$1:$A$20000,0),MATCH("Volume",'Semrush Data'!$A$1:$Z$1,0)),"")</f>
        <v/>
      </c>
      <c r="H668" s="42">
        <f>IFERROR(INDEX('Semrush Data'!$A$1:$Z$20000,MATCH(A668,'Semrush Data'!$A$1:$A$20000,0),MATCH("Keyword Difficulty*",'Semrush Data'!$A$1:$Z$1,0)),"")</f>
        <v/>
      </c>
      <c r="I668" s="56">
        <f>IFERROR(INDEX('Semrush Data'!$A$1:$Z$20000,MATCH(A668,'Semrush Data'!$A$1:$A$20000,0),MATCH("CPC*",'Semrush Data'!$A$1:$Z$1,0)),"")</f>
        <v/>
      </c>
      <c r="J668" s="42">
        <f>IFERROR(INDEX('Semrush Data'!$A$1:$Z$20000,MATCH(A668,'Semrush Data'!$A$1:$A$20000,0),MATCH("Intent",'Semrush Data'!$A$1:$Z$1,0)),"")</f>
        <v/>
      </c>
    </row>
    <row r="669" ht="15" customHeight="1" s="37">
      <c r="A669" s="42" t="inlineStr">
        <is>
          <t>signature aura</t>
        </is>
      </c>
      <c r="B669" s="42" t="inlineStr">
        <is>
          <t>Product</t>
        </is>
      </c>
      <c r="C669" s="42" t="n">
        <v>1</v>
      </c>
      <c r="D669" s="42" t="n">
        <v>7</v>
      </c>
      <c r="E669" s="42" t="n">
        <v>1</v>
      </c>
      <c r="F669" s="42" t="inlineStr">
        <is>
          <t>FR-320</t>
        </is>
      </c>
      <c r="G669" s="55">
        <f>IFERROR(INDEX('Semrush Data'!$A$1:$Z$20000,MATCH(A669,'Semrush Data'!$A$1:$A$20000,0),MATCH("Volume",'Semrush Data'!$A$1:$Z$1,0)),"")</f>
        <v/>
      </c>
      <c r="H669" s="42">
        <f>IFERROR(INDEX('Semrush Data'!$A$1:$Z$20000,MATCH(A669,'Semrush Data'!$A$1:$A$20000,0),MATCH("Keyword Difficulty*",'Semrush Data'!$A$1:$Z$1,0)),"")</f>
        <v/>
      </c>
      <c r="I669" s="56">
        <f>IFERROR(INDEX('Semrush Data'!$A$1:$Z$20000,MATCH(A669,'Semrush Data'!$A$1:$A$20000,0),MATCH("CPC*",'Semrush Data'!$A$1:$Z$1,0)),"")</f>
        <v/>
      </c>
      <c r="J669" s="42">
        <f>IFERROR(INDEX('Semrush Data'!$A$1:$Z$20000,MATCH(A669,'Semrush Data'!$A$1:$A$20000,0),MATCH("Intent",'Semrush Data'!$A$1:$Z$1,0)),"")</f>
        <v/>
      </c>
    </row>
    <row r="670" ht="15" customHeight="1" s="37">
      <c r="A670" s="42" t="inlineStr">
        <is>
          <t>signature black pour homme</t>
        </is>
      </c>
      <c r="B670" s="42" t="inlineStr">
        <is>
          <t>Product</t>
        </is>
      </c>
      <c r="C670" s="42" t="n">
        <v>1</v>
      </c>
      <c r="D670" s="42" t="n">
        <v>7</v>
      </c>
      <c r="E670" s="42" t="n">
        <v>1</v>
      </c>
      <c r="F670" s="42" t="inlineStr">
        <is>
          <t>FR-321</t>
        </is>
      </c>
      <c r="G670" s="55">
        <f>IFERROR(INDEX('Semrush Data'!$A$1:$Z$20000,MATCH(A670,'Semrush Data'!$A$1:$A$20000,0),MATCH("Volume",'Semrush Data'!$A$1:$Z$1,0)),"")</f>
        <v/>
      </c>
      <c r="H670" s="42">
        <f>IFERROR(INDEX('Semrush Data'!$A$1:$Z$20000,MATCH(A670,'Semrush Data'!$A$1:$A$20000,0),MATCH("Keyword Difficulty*",'Semrush Data'!$A$1:$Z$1,0)),"")</f>
        <v/>
      </c>
      <c r="I670" s="56">
        <f>IFERROR(INDEX('Semrush Data'!$A$1:$Z$20000,MATCH(A670,'Semrush Data'!$A$1:$A$20000,0),MATCH("CPC*",'Semrush Data'!$A$1:$Z$1,0)),"")</f>
        <v/>
      </c>
      <c r="J670" s="42">
        <f>IFERROR(INDEX('Semrush Data'!$A$1:$Z$20000,MATCH(A670,'Semrush Data'!$A$1:$A$20000,0),MATCH("Intent",'Semrush Data'!$A$1:$Z$1,0)),"")</f>
        <v/>
      </c>
    </row>
    <row r="671" ht="15" customHeight="1" s="37">
      <c r="A671" s="42" t="inlineStr">
        <is>
          <t>signature blue</t>
        </is>
      </c>
      <c r="B671" s="42" t="inlineStr">
        <is>
          <t>Product</t>
        </is>
      </c>
      <c r="C671" s="42" t="n">
        <v>1</v>
      </c>
      <c r="D671" s="42" t="n">
        <v>7</v>
      </c>
      <c r="E671" s="42" t="n">
        <v>1</v>
      </c>
      <c r="F671" s="42" t="inlineStr">
        <is>
          <t>FR-332</t>
        </is>
      </c>
      <c r="G671" s="55">
        <f>IFERROR(INDEX('Semrush Data'!$A$1:$Z$20000,MATCH(A671,'Semrush Data'!$A$1:$A$20000,0),MATCH("Volume",'Semrush Data'!$A$1:$Z$1,0)),"")</f>
        <v/>
      </c>
      <c r="H671" s="42">
        <f>IFERROR(INDEX('Semrush Data'!$A$1:$Z$20000,MATCH(A671,'Semrush Data'!$A$1:$A$20000,0),MATCH("Keyword Difficulty*",'Semrush Data'!$A$1:$Z$1,0)),"")</f>
        <v/>
      </c>
      <c r="I671" s="56">
        <f>IFERROR(INDEX('Semrush Data'!$A$1:$Z$20000,MATCH(A671,'Semrush Data'!$A$1:$A$20000,0),MATCH("CPC*",'Semrush Data'!$A$1:$Z$1,0)),"")</f>
        <v/>
      </c>
      <c r="J671" s="42">
        <f>IFERROR(INDEX('Semrush Data'!$A$1:$Z$20000,MATCH(A671,'Semrush Data'!$A$1:$A$20000,0),MATCH("Intent",'Semrush Data'!$A$1:$Z$1,0)),"")</f>
        <v/>
      </c>
    </row>
    <row r="672" ht="15" customHeight="1" s="37">
      <c r="A672" s="42" t="inlineStr">
        <is>
          <t>signature charm</t>
        </is>
      </c>
      <c r="B672" s="42" t="inlineStr">
        <is>
          <t>Product</t>
        </is>
      </c>
      <c r="C672" s="42" t="n">
        <v>1</v>
      </c>
      <c r="D672" s="42" t="n">
        <v>7</v>
      </c>
      <c r="E672" s="42" t="n">
        <v>1</v>
      </c>
      <c r="F672" s="42" t="inlineStr">
        <is>
          <t>FR-322</t>
        </is>
      </c>
      <c r="G672" s="55">
        <f>IFERROR(INDEX('Semrush Data'!$A$1:$Z$20000,MATCH(A672,'Semrush Data'!$A$1:$A$20000,0),MATCH("Volume",'Semrush Data'!$A$1:$Z$1,0)),"")</f>
        <v/>
      </c>
      <c r="H672" s="42">
        <f>IFERROR(INDEX('Semrush Data'!$A$1:$Z$20000,MATCH(A672,'Semrush Data'!$A$1:$A$20000,0),MATCH("Keyword Difficulty*",'Semrush Data'!$A$1:$Z$1,0)),"")</f>
        <v/>
      </c>
      <c r="I672" s="56">
        <f>IFERROR(INDEX('Semrush Data'!$A$1:$Z$20000,MATCH(A672,'Semrush Data'!$A$1:$A$20000,0),MATCH("CPC*",'Semrush Data'!$A$1:$Z$1,0)),"")</f>
        <v/>
      </c>
      <c r="J672" s="42">
        <f>IFERROR(INDEX('Semrush Data'!$A$1:$Z$20000,MATCH(A672,'Semrush Data'!$A$1:$A$20000,0),MATCH("Intent",'Semrush Data'!$A$1:$Z$1,0)),"")</f>
        <v/>
      </c>
    </row>
    <row r="673" ht="15" customHeight="1" s="37">
      <c r="A673" s="42" t="inlineStr">
        <is>
          <t>signature diamond</t>
        </is>
      </c>
      <c r="B673" s="42" t="inlineStr">
        <is>
          <t>Product</t>
        </is>
      </c>
      <c r="C673" s="42" t="n">
        <v>1</v>
      </c>
      <c r="D673" s="42" t="n">
        <v>7</v>
      </c>
      <c r="E673" s="42" t="n">
        <v>1</v>
      </c>
      <c r="F673" s="42" t="inlineStr">
        <is>
          <t>FR-330</t>
        </is>
      </c>
      <c r="G673" s="55">
        <f>IFERROR(INDEX('Semrush Data'!$A$1:$Z$20000,MATCH(A673,'Semrush Data'!$A$1:$A$20000,0),MATCH("Volume",'Semrush Data'!$A$1:$Z$1,0)),"")</f>
        <v/>
      </c>
      <c r="H673" s="42">
        <f>IFERROR(INDEX('Semrush Data'!$A$1:$Z$20000,MATCH(A673,'Semrush Data'!$A$1:$A$20000,0),MATCH("Keyword Difficulty*",'Semrush Data'!$A$1:$Z$1,0)),"")</f>
        <v/>
      </c>
      <c r="I673" s="56">
        <f>IFERROR(INDEX('Semrush Data'!$A$1:$Z$20000,MATCH(A673,'Semrush Data'!$A$1:$A$20000,0),MATCH("CPC*",'Semrush Data'!$A$1:$Z$1,0)),"")</f>
        <v/>
      </c>
      <c r="J673" s="42">
        <f>IFERROR(INDEX('Semrush Data'!$A$1:$Z$20000,MATCH(A673,'Semrush Data'!$A$1:$A$20000,0),MATCH("Intent",'Semrush Data'!$A$1:$Z$1,0)),"")</f>
        <v/>
      </c>
    </row>
    <row r="674" ht="15" customHeight="1" s="37">
      <c r="A674" s="42" t="inlineStr">
        <is>
          <t>signature discovery set</t>
        </is>
      </c>
      <c r="B674" s="42" t="inlineStr">
        <is>
          <t>Product</t>
        </is>
      </c>
      <c r="C674" s="42" t="n">
        <v>1</v>
      </c>
      <c r="D674" s="42" t="n">
        <v>7</v>
      </c>
      <c r="E674" s="42" t="n">
        <v>1</v>
      </c>
      <c r="F674" s="42" t="inlineStr">
        <is>
          <t>FR-331</t>
        </is>
      </c>
      <c r="G674" s="55">
        <f>IFERROR(INDEX('Semrush Data'!$A$1:$Z$20000,MATCH(A674,'Semrush Data'!$A$1:$A$20000,0),MATCH("Volume",'Semrush Data'!$A$1:$Z$1,0)),"")</f>
        <v/>
      </c>
      <c r="H674" s="42">
        <f>IFERROR(INDEX('Semrush Data'!$A$1:$Z$20000,MATCH(A674,'Semrush Data'!$A$1:$A$20000,0),MATCH("Keyword Difficulty*",'Semrush Data'!$A$1:$Z$1,0)),"")</f>
        <v/>
      </c>
      <c r="I674" s="56">
        <f>IFERROR(INDEX('Semrush Data'!$A$1:$Z$20000,MATCH(A674,'Semrush Data'!$A$1:$A$20000,0),MATCH("CPC*",'Semrush Data'!$A$1:$Z$1,0)),"")</f>
        <v/>
      </c>
      <c r="J674" s="42">
        <f>IFERROR(INDEX('Semrush Data'!$A$1:$Z$20000,MATCH(A674,'Semrush Data'!$A$1:$A$20000,0),MATCH("Intent",'Semrush Data'!$A$1:$Z$1,0)),"")</f>
        <v/>
      </c>
    </row>
    <row r="675" ht="15" customHeight="1" s="37">
      <c r="A675" s="42" t="inlineStr">
        <is>
          <t>signature jade</t>
        </is>
      </c>
      <c r="B675" s="42" t="inlineStr">
        <is>
          <t>Product</t>
        </is>
      </c>
      <c r="C675" s="42" t="n">
        <v>1</v>
      </c>
      <c r="D675" s="42" t="n">
        <v>7</v>
      </c>
      <c r="E675" s="42" t="n">
        <v>1</v>
      </c>
      <c r="F675" s="42" t="inlineStr">
        <is>
          <t>FR-333</t>
        </is>
      </c>
      <c r="G675" s="55">
        <f>IFERROR(INDEX('Semrush Data'!$A$1:$Z$20000,MATCH(A675,'Semrush Data'!$A$1:$A$20000,0),MATCH("Volume",'Semrush Data'!$A$1:$Z$1,0)),"")</f>
        <v/>
      </c>
      <c r="H675" s="42">
        <f>IFERROR(INDEX('Semrush Data'!$A$1:$Z$20000,MATCH(A675,'Semrush Data'!$A$1:$A$20000,0),MATCH("Keyword Difficulty*",'Semrush Data'!$A$1:$Z$1,0)),"")</f>
        <v/>
      </c>
      <c r="I675" s="56">
        <f>IFERROR(INDEX('Semrush Data'!$A$1:$Z$20000,MATCH(A675,'Semrush Data'!$A$1:$A$20000,0),MATCH("CPC*",'Semrush Data'!$A$1:$Z$1,0)),"")</f>
        <v/>
      </c>
      <c r="J675" s="42">
        <f>IFERROR(INDEX('Semrush Data'!$A$1:$Z$20000,MATCH(A675,'Semrush Data'!$A$1:$A$20000,0),MATCH("Intent",'Semrush Data'!$A$1:$Z$1,0)),"")</f>
        <v/>
      </c>
    </row>
    <row r="676" ht="15" customHeight="1" s="37">
      <c r="A676" s="42" t="inlineStr">
        <is>
          <t>signature le femme gold</t>
        </is>
      </c>
      <c r="B676" s="42" t="inlineStr">
        <is>
          <t>Product</t>
        </is>
      </c>
      <c r="C676" s="42" t="n">
        <v>1</v>
      </c>
      <c r="D676" s="42" t="n">
        <v>7</v>
      </c>
      <c r="E676" s="42" t="n">
        <v>1</v>
      </c>
      <c r="F676" s="42" t="inlineStr">
        <is>
          <t>FR-323</t>
        </is>
      </c>
      <c r="G676" s="55">
        <f>IFERROR(INDEX('Semrush Data'!$A$1:$Z$20000,MATCH(A676,'Semrush Data'!$A$1:$A$20000,0),MATCH("Volume",'Semrush Data'!$A$1:$Z$1,0)),"")</f>
        <v/>
      </c>
      <c r="H676" s="42">
        <f>IFERROR(INDEX('Semrush Data'!$A$1:$Z$20000,MATCH(A676,'Semrush Data'!$A$1:$A$20000,0),MATCH("Keyword Difficulty*",'Semrush Data'!$A$1:$Z$1,0)),"")</f>
        <v/>
      </c>
      <c r="I676" s="56">
        <f>IFERROR(INDEX('Semrush Data'!$A$1:$Z$20000,MATCH(A676,'Semrush Data'!$A$1:$A$20000,0),MATCH("CPC*",'Semrush Data'!$A$1:$Z$1,0)),"")</f>
        <v/>
      </c>
      <c r="J676" s="42">
        <f>IFERROR(INDEX('Semrush Data'!$A$1:$Z$20000,MATCH(A676,'Semrush Data'!$A$1:$A$20000,0),MATCH("Intent",'Semrush Data'!$A$1:$Z$1,0)),"")</f>
        <v/>
      </c>
    </row>
    <row r="677" ht="15" customHeight="1" s="37">
      <c r="A677" s="42" t="inlineStr">
        <is>
          <t>signature musk</t>
        </is>
      </c>
      <c r="B677" s="42" t="inlineStr">
        <is>
          <t>Product</t>
        </is>
      </c>
      <c r="C677" s="42" t="n">
        <v>1</v>
      </c>
      <c r="D677" s="42" t="n">
        <v>7</v>
      </c>
      <c r="E677" s="42" t="n">
        <v>1</v>
      </c>
      <c r="F677" s="42" t="inlineStr">
        <is>
          <t>FR-324</t>
        </is>
      </c>
      <c r="G677" s="55">
        <f>IFERROR(INDEX('Semrush Data'!$A$1:$Z$20000,MATCH(A677,'Semrush Data'!$A$1:$A$20000,0),MATCH("Volume",'Semrush Data'!$A$1:$Z$1,0)),"")</f>
        <v/>
      </c>
      <c r="H677" s="42">
        <f>IFERROR(INDEX('Semrush Data'!$A$1:$Z$20000,MATCH(A677,'Semrush Data'!$A$1:$A$20000,0),MATCH("Keyword Difficulty*",'Semrush Data'!$A$1:$Z$1,0)),"")</f>
        <v/>
      </c>
      <c r="I677" s="56">
        <f>IFERROR(INDEX('Semrush Data'!$A$1:$Z$20000,MATCH(A677,'Semrush Data'!$A$1:$A$20000,0),MATCH("CPC*",'Semrush Data'!$A$1:$Z$1,0)),"")</f>
        <v/>
      </c>
      <c r="J677" s="42">
        <f>IFERROR(INDEX('Semrush Data'!$A$1:$Z$20000,MATCH(A677,'Semrush Data'!$A$1:$A$20000,0),MATCH("Intent",'Semrush Data'!$A$1:$Z$1,0)),"")</f>
        <v/>
      </c>
    </row>
    <row r="678" ht="15" customHeight="1" s="37">
      <c r="A678" s="42" t="inlineStr">
        <is>
          <t>signature onyx</t>
        </is>
      </c>
      <c r="B678" s="42" t="inlineStr">
        <is>
          <t>Product</t>
        </is>
      </c>
      <c r="C678" s="42" t="n">
        <v>1</v>
      </c>
      <c r="D678" s="42" t="n">
        <v>7</v>
      </c>
      <c r="E678" s="42" t="n">
        <v>1</v>
      </c>
      <c r="F678" s="42" t="inlineStr">
        <is>
          <t>FR-325</t>
        </is>
      </c>
      <c r="G678" s="55">
        <f>IFERROR(INDEX('Semrush Data'!$A$1:$Z$20000,MATCH(A678,'Semrush Data'!$A$1:$A$20000,0),MATCH("Volume",'Semrush Data'!$A$1:$Z$1,0)),"")</f>
        <v/>
      </c>
      <c r="H678" s="42">
        <f>IFERROR(INDEX('Semrush Data'!$A$1:$Z$20000,MATCH(A678,'Semrush Data'!$A$1:$A$20000,0),MATCH("Keyword Difficulty*",'Semrush Data'!$A$1:$Z$1,0)),"")</f>
        <v/>
      </c>
      <c r="I678" s="56">
        <f>IFERROR(INDEX('Semrush Data'!$A$1:$Z$20000,MATCH(A678,'Semrush Data'!$A$1:$A$20000,0),MATCH("CPC*",'Semrush Data'!$A$1:$Z$1,0)),"")</f>
        <v/>
      </c>
      <c r="J678" s="42">
        <f>IFERROR(INDEX('Semrush Data'!$A$1:$Z$20000,MATCH(A678,'Semrush Data'!$A$1:$A$20000,0),MATCH("Intent",'Semrush Data'!$A$1:$Z$1,0)),"")</f>
        <v/>
      </c>
    </row>
    <row r="679" ht="15" customHeight="1" s="37">
      <c r="A679" s="42" t="inlineStr">
        <is>
          <t>signature opal</t>
        </is>
      </c>
      <c r="B679" s="42" t="inlineStr">
        <is>
          <t>Product</t>
        </is>
      </c>
      <c r="C679" s="42" t="n">
        <v>1</v>
      </c>
      <c r="D679" s="42" t="n">
        <v>7</v>
      </c>
      <c r="E679" s="42" t="n">
        <v>1</v>
      </c>
      <c r="F679" s="42" t="inlineStr">
        <is>
          <t>FR-326</t>
        </is>
      </c>
      <c r="G679" s="55">
        <f>IFERROR(INDEX('Semrush Data'!$A$1:$Z$20000,MATCH(A679,'Semrush Data'!$A$1:$A$20000,0),MATCH("Volume",'Semrush Data'!$A$1:$Z$1,0)),"")</f>
        <v/>
      </c>
      <c r="H679" s="42">
        <f>IFERROR(INDEX('Semrush Data'!$A$1:$Z$20000,MATCH(A679,'Semrush Data'!$A$1:$A$20000,0),MATCH("Keyword Difficulty*",'Semrush Data'!$A$1:$Z$1,0)),"")</f>
        <v/>
      </c>
      <c r="I679" s="56">
        <f>IFERROR(INDEX('Semrush Data'!$A$1:$Z$20000,MATCH(A679,'Semrush Data'!$A$1:$A$20000,0),MATCH("CPC*",'Semrush Data'!$A$1:$Z$1,0)),"")</f>
        <v/>
      </c>
      <c r="J679" s="42">
        <f>IFERROR(INDEX('Semrush Data'!$A$1:$Z$20000,MATCH(A679,'Semrush Data'!$A$1:$A$20000,0),MATCH("Intent",'Semrush Data'!$A$1:$Z$1,0)),"")</f>
        <v/>
      </c>
    </row>
    <row r="680" ht="15" customHeight="1" s="37">
      <c r="A680" s="42" t="inlineStr">
        <is>
          <t>signature paradiso</t>
        </is>
      </c>
      <c r="B680" s="42" t="inlineStr">
        <is>
          <t>Product</t>
        </is>
      </c>
      <c r="C680" s="42" t="n">
        <v>1</v>
      </c>
      <c r="D680" s="42" t="n">
        <v>7</v>
      </c>
      <c r="E680" s="42" t="n">
        <v>1</v>
      </c>
      <c r="F680" s="42" t="inlineStr">
        <is>
          <t>FR-327</t>
        </is>
      </c>
      <c r="G680" s="55">
        <f>IFERROR(INDEX('Semrush Data'!$A$1:$Z$20000,MATCH(A680,'Semrush Data'!$A$1:$A$20000,0),MATCH("Volume",'Semrush Data'!$A$1:$Z$1,0)),"")</f>
        <v/>
      </c>
      <c r="H680" s="42">
        <f>IFERROR(INDEX('Semrush Data'!$A$1:$Z$20000,MATCH(A680,'Semrush Data'!$A$1:$A$20000,0),MATCH("Keyword Difficulty*",'Semrush Data'!$A$1:$Z$1,0)),"")</f>
        <v/>
      </c>
      <c r="I680" s="56">
        <f>IFERROR(INDEX('Semrush Data'!$A$1:$Z$20000,MATCH(A680,'Semrush Data'!$A$1:$A$20000,0),MATCH("CPC*",'Semrush Data'!$A$1:$Z$1,0)),"")</f>
        <v/>
      </c>
      <c r="J680" s="42">
        <f>IFERROR(INDEX('Semrush Data'!$A$1:$Z$20000,MATCH(A680,'Semrush Data'!$A$1:$A$20000,0),MATCH("Intent",'Semrush Data'!$A$1:$Z$1,0)),"")</f>
        <v/>
      </c>
    </row>
    <row r="681" ht="15" customHeight="1" s="37">
      <c r="A681" s="42" t="inlineStr">
        <is>
          <t>signature rose</t>
        </is>
      </c>
      <c r="B681" s="42" t="inlineStr">
        <is>
          <t>Product</t>
        </is>
      </c>
      <c r="C681" s="42" t="n">
        <v>1</v>
      </c>
      <c r="D681" s="42" t="n">
        <v>7</v>
      </c>
      <c r="E681" s="42" t="n">
        <v>1</v>
      </c>
      <c r="F681" s="42" t="inlineStr">
        <is>
          <t>FR-334</t>
        </is>
      </c>
      <c r="G681" s="55">
        <f>IFERROR(INDEX('Semrush Data'!$A$1:$Z$20000,MATCH(A681,'Semrush Data'!$A$1:$A$20000,0),MATCH("Volume",'Semrush Data'!$A$1:$Z$1,0)),"")</f>
        <v/>
      </c>
      <c r="H681" s="42">
        <f>IFERROR(INDEX('Semrush Data'!$A$1:$Z$20000,MATCH(A681,'Semrush Data'!$A$1:$A$20000,0),MATCH("Keyword Difficulty*",'Semrush Data'!$A$1:$Z$1,0)),"")</f>
        <v/>
      </c>
      <c r="I681" s="56">
        <f>IFERROR(INDEX('Semrush Data'!$A$1:$Z$20000,MATCH(A681,'Semrush Data'!$A$1:$A$20000,0),MATCH("CPC*",'Semrush Data'!$A$1:$Z$1,0)),"")</f>
        <v/>
      </c>
      <c r="J681" s="42">
        <f>IFERROR(INDEX('Semrush Data'!$A$1:$Z$20000,MATCH(A681,'Semrush Data'!$A$1:$A$20000,0),MATCH("Intent",'Semrush Data'!$A$1:$Z$1,0)),"")</f>
        <v/>
      </c>
    </row>
    <row r="682" ht="15" customHeight="1" s="37">
      <c r="A682" s="42" t="inlineStr">
        <is>
          <t>signature santal</t>
        </is>
      </c>
      <c r="B682" s="42" t="inlineStr">
        <is>
          <t>Product</t>
        </is>
      </c>
      <c r="C682" s="42" t="n">
        <v>1</v>
      </c>
      <c r="D682" s="42" t="n">
        <v>7</v>
      </c>
      <c r="E682" s="42" t="n">
        <v>1</v>
      </c>
      <c r="F682" s="42" t="inlineStr">
        <is>
          <t>FR-328</t>
        </is>
      </c>
      <c r="G682" s="55">
        <f>IFERROR(INDEX('Semrush Data'!$A$1:$Z$20000,MATCH(A682,'Semrush Data'!$A$1:$A$20000,0),MATCH("Volume",'Semrush Data'!$A$1:$Z$1,0)),"")</f>
        <v/>
      </c>
      <c r="H682" s="42">
        <f>IFERROR(INDEX('Semrush Data'!$A$1:$Z$20000,MATCH(A682,'Semrush Data'!$A$1:$A$20000,0),MATCH("Keyword Difficulty*",'Semrush Data'!$A$1:$Z$1,0)),"")</f>
        <v/>
      </c>
      <c r="I682" s="56">
        <f>IFERROR(INDEX('Semrush Data'!$A$1:$Z$20000,MATCH(A682,'Semrush Data'!$A$1:$A$20000,0),MATCH("CPC*",'Semrush Data'!$A$1:$Z$1,0)),"")</f>
        <v/>
      </c>
      <c r="J682" s="42">
        <f>IFERROR(INDEX('Semrush Data'!$A$1:$Z$20000,MATCH(A682,'Semrush Data'!$A$1:$A$20000,0),MATCH("Intent",'Semrush Data'!$A$1:$Z$1,0)),"")</f>
        <v/>
      </c>
    </row>
    <row r="683" ht="15" customHeight="1" s="37">
      <c r="A683" s="42" t="inlineStr">
        <is>
          <t>signature sapphire</t>
        </is>
      </c>
      <c r="B683" s="42" t="inlineStr">
        <is>
          <t>Product</t>
        </is>
      </c>
      <c r="C683" s="42" t="n">
        <v>1</v>
      </c>
      <c r="D683" s="42" t="n">
        <v>7</v>
      </c>
      <c r="E683" s="42" t="n">
        <v>1</v>
      </c>
      <c r="F683" s="42" t="inlineStr">
        <is>
          <t>FR-329</t>
        </is>
      </c>
      <c r="G683" s="55">
        <f>IFERROR(INDEX('Semrush Data'!$A$1:$Z$20000,MATCH(A683,'Semrush Data'!$A$1:$A$20000,0),MATCH("Volume",'Semrush Data'!$A$1:$Z$1,0)),"")</f>
        <v/>
      </c>
      <c r="H683" s="42">
        <f>IFERROR(INDEX('Semrush Data'!$A$1:$Z$20000,MATCH(A683,'Semrush Data'!$A$1:$A$20000,0),MATCH("Keyword Difficulty*",'Semrush Data'!$A$1:$Z$1,0)),"")</f>
        <v/>
      </c>
      <c r="I683" s="56">
        <f>IFERROR(INDEX('Semrush Data'!$A$1:$Z$20000,MATCH(A683,'Semrush Data'!$A$1:$A$20000,0),MATCH("CPC*",'Semrush Data'!$A$1:$Z$1,0)),"")</f>
        <v/>
      </c>
      <c r="J683" s="42">
        <f>IFERROR(INDEX('Semrush Data'!$A$1:$Z$20000,MATCH(A683,'Semrush Data'!$A$1:$A$20000,0),MATCH("Intent",'Semrush Data'!$A$1:$Z$1,0)),"")</f>
        <v/>
      </c>
    </row>
    <row r="684" ht="15" customHeight="1" s="37">
      <c r="A684" s="42" t="inlineStr">
        <is>
          <t>the woods collection azure</t>
        </is>
      </c>
      <c r="B684" s="42" t="inlineStr">
        <is>
          <t>Product</t>
        </is>
      </c>
      <c r="C684" s="42" t="n">
        <v>1</v>
      </c>
      <c r="D684" s="42" t="n">
        <v>7</v>
      </c>
      <c r="E684" s="42" t="n">
        <v>1</v>
      </c>
      <c r="F684" s="42" t="inlineStr">
        <is>
          <t>FR-342</t>
        </is>
      </c>
      <c r="G684" s="55">
        <f>IFERROR(INDEX('Semrush Data'!$A$1:$Z$20000,MATCH(A684,'Semrush Data'!$A$1:$A$20000,0),MATCH("Volume",'Semrush Data'!$A$1:$Z$1,0)),"")</f>
        <v/>
      </c>
      <c r="H684" s="42">
        <f>IFERROR(INDEX('Semrush Data'!$A$1:$Z$20000,MATCH(A684,'Semrush Data'!$A$1:$A$20000,0),MATCH("Keyword Difficulty*",'Semrush Data'!$A$1:$Z$1,0)),"")</f>
        <v/>
      </c>
      <c r="I684" s="56">
        <f>IFERROR(INDEX('Semrush Data'!$A$1:$Z$20000,MATCH(A684,'Semrush Data'!$A$1:$A$20000,0),MATCH("CPC*",'Semrush Data'!$A$1:$Z$1,0)),"")</f>
        <v/>
      </c>
      <c r="J684" s="42">
        <f>IFERROR(INDEX('Semrush Data'!$A$1:$Z$20000,MATCH(A684,'Semrush Data'!$A$1:$A$20000,0),MATCH("Intent",'Semrush Data'!$A$1:$Z$1,0)),"")</f>
        <v/>
      </c>
    </row>
    <row r="685" ht="15" customHeight="1" s="37">
      <c r="A685" s="42" t="inlineStr">
        <is>
          <t>the woods collection eden</t>
        </is>
      </c>
      <c r="B685" s="42" t="inlineStr">
        <is>
          <t>Product</t>
        </is>
      </c>
      <c r="C685" s="42" t="n">
        <v>1</v>
      </c>
      <c r="D685" s="42" t="n">
        <v>7</v>
      </c>
      <c r="E685" s="42" t="n">
        <v>1</v>
      </c>
      <c r="F685" s="42" t="inlineStr">
        <is>
          <t>FR-343</t>
        </is>
      </c>
      <c r="G685" s="55">
        <f>IFERROR(INDEX('Semrush Data'!$A$1:$Z$20000,MATCH(A685,'Semrush Data'!$A$1:$A$20000,0),MATCH("Volume",'Semrush Data'!$A$1:$Z$1,0)),"")</f>
        <v/>
      </c>
      <c r="H685" s="42">
        <f>IFERROR(INDEX('Semrush Data'!$A$1:$Z$20000,MATCH(A685,'Semrush Data'!$A$1:$A$20000,0),MATCH("Keyword Difficulty*",'Semrush Data'!$A$1:$Z$1,0)),"")</f>
        <v/>
      </c>
      <c r="I685" s="56">
        <f>IFERROR(INDEX('Semrush Data'!$A$1:$Z$20000,MATCH(A685,'Semrush Data'!$A$1:$A$20000,0),MATCH("CPC*",'Semrush Data'!$A$1:$Z$1,0)),"")</f>
        <v/>
      </c>
      <c r="J685" s="42">
        <f>IFERROR(INDEX('Semrush Data'!$A$1:$Z$20000,MATCH(A685,'Semrush Data'!$A$1:$A$20000,0),MATCH("Intent",'Semrush Data'!$A$1:$Z$1,0)),"")</f>
        <v/>
      </c>
    </row>
    <row r="686" ht="15" customHeight="1" s="37">
      <c r="A686" s="42" t="inlineStr">
        <is>
          <t>the woods collection elysian</t>
        </is>
      </c>
      <c r="B686" s="42" t="inlineStr">
        <is>
          <t>Product</t>
        </is>
      </c>
      <c r="C686" s="42" t="n">
        <v>1</v>
      </c>
      <c r="D686" s="42" t="n">
        <v>7</v>
      </c>
      <c r="E686" s="42" t="n">
        <v>1</v>
      </c>
      <c r="F686" s="42" t="inlineStr">
        <is>
          <t>FR-344</t>
        </is>
      </c>
      <c r="G686" s="55">
        <f>IFERROR(INDEX('Semrush Data'!$A$1:$Z$20000,MATCH(A686,'Semrush Data'!$A$1:$A$20000,0),MATCH("Volume",'Semrush Data'!$A$1:$Z$1,0)),"")</f>
        <v/>
      </c>
      <c r="H686" s="42">
        <f>IFERROR(INDEX('Semrush Data'!$A$1:$Z$20000,MATCH(A686,'Semrush Data'!$A$1:$A$20000,0),MATCH("Keyword Difficulty*",'Semrush Data'!$A$1:$Z$1,0)),"")</f>
        <v/>
      </c>
      <c r="I686" s="56">
        <f>IFERROR(INDEX('Semrush Data'!$A$1:$Z$20000,MATCH(A686,'Semrush Data'!$A$1:$A$20000,0),MATCH("CPC*",'Semrush Data'!$A$1:$Z$1,0)),"")</f>
        <v/>
      </c>
      <c r="J686" s="42">
        <f>IFERROR(INDEX('Semrush Data'!$A$1:$Z$20000,MATCH(A686,'Semrush Data'!$A$1:$A$20000,0),MATCH("Intent",'Semrush Data'!$A$1:$Z$1,0)),"")</f>
        <v/>
      </c>
    </row>
    <row r="687" ht="15" customHeight="1" s="37">
      <c r="A687" s="42" t="inlineStr">
        <is>
          <t>the woods collection green walk</t>
        </is>
      </c>
      <c r="B687" s="42" t="inlineStr">
        <is>
          <t>Product</t>
        </is>
      </c>
      <c r="C687" s="42" t="n">
        <v>1</v>
      </c>
      <c r="D687" s="42" t="n">
        <v>7</v>
      </c>
      <c r="E687" s="42" t="n">
        <v>1</v>
      </c>
      <c r="F687" s="42" t="inlineStr">
        <is>
          <t>FR-345</t>
        </is>
      </c>
      <c r="G687" s="55">
        <f>IFERROR(INDEX('Semrush Data'!$A$1:$Z$20000,MATCH(A687,'Semrush Data'!$A$1:$A$20000,0),MATCH("Volume",'Semrush Data'!$A$1:$Z$1,0)),"")</f>
        <v/>
      </c>
      <c r="H687" s="42">
        <f>IFERROR(INDEX('Semrush Data'!$A$1:$Z$20000,MATCH(A687,'Semrush Data'!$A$1:$A$20000,0),MATCH("Keyword Difficulty*",'Semrush Data'!$A$1:$Z$1,0)),"")</f>
        <v/>
      </c>
      <c r="I687" s="56">
        <f>IFERROR(INDEX('Semrush Data'!$A$1:$Z$20000,MATCH(A687,'Semrush Data'!$A$1:$A$20000,0),MATCH("CPC*",'Semrush Data'!$A$1:$Z$1,0)),"")</f>
        <v/>
      </c>
      <c r="J687" s="42">
        <f>IFERROR(INDEX('Semrush Data'!$A$1:$Z$20000,MATCH(A687,'Semrush Data'!$A$1:$A$20000,0),MATCH("Intent",'Semrush Data'!$A$1:$Z$1,0)),"")</f>
        <v/>
      </c>
    </row>
    <row r="688" ht="15" customHeight="1" s="37">
      <c r="A688" s="42" t="inlineStr">
        <is>
          <t>the woods collection mirage</t>
        </is>
      </c>
      <c r="B688" s="42" t="inlineStr">
        <is>
          <t>Product</t>
        </is>
      </c>
      <c r="C688" s="42" t="n">
        <v>1</v>
      </c>
      <c r="D688" s="42" t="n">
        <v>7</v>
      </c>
      <c r="E688" s="42" t="n">
        <v>1</v>
      </c>
      <c r="F688" s="42" t="inlineStr">
        <is>
          <t>FR-346</t>
        </is>
      </c>
      <c r="G688" s="55">
        <f>IFERROR(INDEX('Semrush Data'!$A$1:$Z$20000,MATCH(A688,'Semrush Data'!$A$1:$A$20000,0),MATCH("Volume",'Semrush Data'!$A$1:$Z$1,0)),"")</f>
        <v/>
      </c>
      <c r="H688" s="42">
        <f>IFERROR(INDEX('Semrush Data'!$A$1:$Z$20000,MATCH(A688,'Semrush Data'!$A$1:$A$20000,0),MATCH("Keyword Difficulty*",'Semrush Data'!$A$1:$Z$1,0)),"")</f>
        <v/>
      </c>
      <c r="I688" s="56">
        <f>IFERROR(INDEX('Semrush Data'!$A$1:$Z$20000,MATCH(A688,'Semrush Data'!$A$1:$A$20000,0),MATCH("CPC*",'Semrush Data'!$A$1:$Z$1,0)),"")</f>
        <v/>
      </c>
      <c r="J688" s="42">
        <f>IFERROR(INDEX('Semrush Data'!$A$1:$Z$20000,MATCH(A688,'Semrush Data'!$A$1:$A$20000,0),MATCH("Intent",'Semrush Data'!$A$1:$Z$1,0)),"")</f>
        <v/>
      </c>
    </row>
    <row r="689" ht="15" customHeight="1" s="37">
      <c r="A689" s="42" t="inlineStr">
        <is>
          <t>the woods collection pure shine</t>
        </is>
      </c>
      <c r="B689" s="42" t="inlineStr">
        <is>
          <t>Product</t>
        </is>
      </c>
      <c r="C689" s="42" t="n">
        <v>1</v>
      </c>
      <c r="D689" s="42" t="n">
        <v>7</v>
      </c>
      <c r="E689" s="42" t="n">
        <v>1</v>
      </c>
      <c r="F689" s="42" t="inlineStr">
        <is>
          <t>FR-347</t>
        </is>
      </c>
      <c r="G689" s="55">
        <f>IFERROR(INDEX('Semrush Data'!$A$1:$Z$20000,MATCH(A689,'Semrush Data'!$A$1:$A$20000,0),MATCH("Volume",'Semrush Data'!$A$1:$Z$1,0)),"")</f>
        <v/>
      </c>
      <c r="H689" s="42">
        <f>IFERROR(INDEX('Semrush Data'!$A$1:$Z$20000,MATCH(A689,'Semrush Data'!$A$1:$A$20000,0),MATCH("Keyword Difficulty*",'Semrush Data'!$A$1:$Z$1,0)),"")</f>
        <v/>
      </c>
      <c r="I689" s="56">
        <f>IFERROR(INDEX('Semrush Data'!$A$1:$Z$20000,MATCH(A689,'Semrush Data'!$A$1:$A$20000,0),MATCH("CPC*",'Semrush Data'!$A$1:$Z$1,0)),"")</f>
        <v/>
      </c>
      <c r="J689" s="42">
        <f>IFERROR(INDEX('Semrush Data'!$A$1:$Z$20000,MATCH(A689,'Semrush Data'!$A$1:$A$20000,0),MATCH("Intent",'Semrush Data'!$A$1:$Z$1,0)),"")</f>
        <v/>
      </c>
    </row>
    <row r="690" ht="15" customHeight="1" s="37">
      <c r="A690" s="42" t="inlineStr">
        <is>
          <t>the woods collection secret source</t>
        </is>
      </c>
      <c r="B690" s="42" t="inlineStr">
        <is>
          <t>Product</t>
        </is>
      </c>
      <c r="C690" s="42" t="n">
        <v>1</v>
      </c>
      <c r="D690" s="42" t="n">
        <v>7</v>
      </c>
      <c r="E690" s="42" t="n">
        <v>1</v>
      </c>
      <c r="F690" s="42" t="inlineStr">
        <is>
          <t>FR-348</t>
        </is>
      </c>
      <c r="G690" s="55">
        <f>IFERROR(INDEX('Semrush Data'!$A$1:$Z$20000,MATCH(A690,'Semrush Data'!$A$1:$A$20000,0),MATCH("Volume",'Semrush Data'!$A$1:$Z$1,0)),"")</f>
        <v/>
      </c>
      <c r="H690" s="42">
        <f>IFERROR(INDEX('Semrush Data'!$A$1:$Z$20000,MATCH(A690,'Semrush Data'!$A$1:$A$20000,0),MATCH("Keyword Difficulty*",'Semrush Data'!$A$1:$Z$1,0)),"")</f>
        <v/>
      </c>
      <c r="I690" s="56">
        <f>IFERROR(INDEX('Semrush Data'!$A$1:$Z$20000,MATCH(A690,'Semrush Data'!$A$1:$A$20000,0),MATCH("CPC*",'Semrush Data'!$A$1:$Z$1,0)),"")</f>
        <v/>
      </c>
      <c r="J690" s="42">
        <f>IFERROR(INDEX('Semrush Data'!$A$1:$Z$20000,MATCH(A690,'Semrush Data'!$A$1:$A$20000,0),MATCH("Intent",'Semrush Data'!$A$1:$Z$1,0)),"")</f>
        <v/>
      </c>
    </row>
    <row r="691" ht="15" customHeight="1" s="37">
      <c r="A691" s="42" t="inlineStr">
        <is>
          <t>the woods collection sunrise</t>
        </is>
      </c>
      <c r="B691" s="42" t="inlineStr">
        <is>
          <t>Product</t>
        </is>
      </c>
      <c r="C691" s="42" t="n">
        <v>1</v>
      </c>
      <c r="D691" s="42" t="n">
        <v>7</v>
      </c>
      <c r="E691" s="42" t="n">
        <v>1</v>
      </c>
      <c r="F691" s="42" t="inlineStr">
        <is>
          <t>FR-349</t>
        </is>
      </c>
      <c r="G691" s="55">
        <f>IFERROR(INDEX('Semrush Data'!$A$1:$Z$20000,MATCH(A691,'Semrush Data'!$A$1:$A$20000,0),MATCH("Volume",'Semrush Data'!$A$1:$Z$1,0)),"")</f>
        <v/>
      </c>
      <c r="H691" s="42">
        <f>IFERROR(INDEX('Semrush Data'!$A$1:$Z$20000,MATCH(A691,'Semrush Data'!$A$1:$A$20000,0),MATCH("Keyword Difficulty*",'Semrush Data'!$A$1:$Z$1,0)),"")</f>
        <v/>
      </c>
      <c r="I691" s="56">
        <f>IFERROR(INDEX('Semrush Data'!$A$1:$Z$20000,MATCH(A691,'Semrush Data'!$A$1:$A$20000,0),MATCH("CPC*",'Semrush Data'!$A$1:$Z$1,0)),"")</f>
        <v/>
      </c>
      <c r="J691" s="42">
        <f>IFERROR(INDEX('Semrush Data'!$A$1:$Z$20000,MATCH(A691,'Semrush Data'!$A$1:$A$20000,0),MATCH("Intent",'Semrush Data'!$A$1:$Z$1,0)),"")</f>
        <v/>
      </c>
    </row>
    <row r="692" ht="15" customHeight="1" s="37">
      <c r="A692" s="42" t="inlineStr">
        <is>
          <t>the woods collection timeless sands</t>
        </is>
      </c>
      <c r="B692" s="42" t="inlineStr">
        <is>
          <t>Product</t>
        </is>
      </c>
      <c r="C692" s="42" t="n">
        <v>1</v>
      </c>
      <c r="D692" s="42" t="n">
        <v>7</v>
      </c>
      <c r="E692" s="42" t="n">
        <v>1</v>
      </c>
      <c r="F692" s="42" t="inlineStr">
        <is>
          <t>FR-350</t>
        </is>
      </c>
      <c r="G692" s="55">
        <f>IFERROR(INDEX('Semrush Data'!$A$1:$Z$20000,MATCH(A692,'Semrush Data'!$A$1:$A$20000,0),MATCH("Volume",'Semrush Data'!$A$1:$Z$1,0)),"")</f>
        <v/>
      </c>
      <c r="H692" s="42">
        <f>IFERROR(INDEX('Semrush Data'!$A$1:$Z$20000,MATCH(A692,'Semrush Data'!$A$1:$A$20000,0),MATCH("Keyword Difficulty*",'Semrush Data'!$A$1:$Z$1,0)),"")</f>
        <v/>
      </c>
      <c r="I692" s="56">
        <f>IFERROR(INDEX('Semrush Data'!$A$1:$Z$20000,MATCH(A692,'Semrush Data'!$A$1:$A$20000,0),MATCH("CPC*",'Semrush Data'!$A$1:$Z$1,0)),"")</f>
        <v/>
      </c>
      <c r="J692" s="42">
        <f>IFERROR(INDEX('Semrush Data'!$A$1:$Z$20000,MATCH(A692,'Semrush Data'!$A$1:$A$20000,0),MATCH("Intent",'Semrush Data'!$A$1:$Z$1,0)),"")</f>
        <v/>
      </c>
    </row>
    <row r="693" ht="15" customHeight="1" s="37">
      <c r="A693" s="42" t="inlineStr">
        <is>
          <t>the woods collection twilight</t>
        </is>
      </c>
      <c r="B693" s="42" t="inlineStr">
        <is>
          <t>Product</t>
        </is>
      </c>
      <c r="C693" s="42" t="n">
        <v>1</v>
      </c>
      <c r="D693" s="42" t="n">
        <v>7</v>
      </c>
      <c r="E693" s="42" t="n">
        <v>1</v>
      </c>
      <c r="F693" s="42" t="inlineStr">
        <is>
          <t>FR-351</t>
        </is>
      </c>
      <c r="G693" s="55">
        <f>IFERROR(INDEX('Semrush Data'!$A$1:$Z$20000,MATCH(A693,'Semrush Data'!$A$1:$A$20000,0),MATCH("Volume",'Semrush Data'!$A$1:$Z$1,0)),"")</f>
        <v/>
      </c>
      <c r="H693" s="42">
        <f>IFERROR(INDEX('Semrush Data'!$A$1:$Z$20000,MATCH(A693,'Semrush Data'!$A$1:$A$20000,0),MATCH("Keyword Difficulty*",'Semrush Data'!$A$1:$Z$1,0)),"")</f>
        <v/>
      </c>
      <c r="I693" s="56">
        <f>IFERROR(INDEX('Semrush Data'!$A$1:$Z$20000,MATCH(A693,'Semrush Data'!$A$1:$A$20000,0),MATCH("CPC*",'Semrush Data'!$A$1:$Z$1,0)),"")</f>
        <v/>
      </c>
      <c r="J693" s="42">
        <f>IFERROR(INDEX('Semrush Data'!$A$1:$Z$20000,MATCH(A693,'Semrush Data'!$A$1:$A$20000,0),MATCH("Intent",'Semrush Data'!$A$1:$Z$1,0)),"")</f>
        <v/>
      </c>
    </row>
    <row r="694" ht="15" customHeight="1" s="37">
      <c r="A694" s="42" t="inlineStr">
        <is>
          <t>the woods collection wild roses</t>
        </is>
      </c>
      <c r="B694" s="42" t="inlineStr">
        <is>
          <t>Product</t>
        </is>
      </c>
      <c r="C694" s="42" t="n">
        <v>1</v>
      </c>
      <c r="D694" s="42" t="n">
        <v>7</v>
      </c>
      <c r="E694" s="42" t="n">
        <v>1</v>
      </c>
      <c r="F694" s="42" t="inlineStr">
        <is>
          <t>FR-352</t>
        </is>
      </c>
      <c r="G694" s="55">
        <f>IFERROR(INDEX('Semrush Data'!$A$1:$Z$20000,MATCH(A694,'Semrush Data'!$A$1:$A$20000,0),MATCH("Volume",'Semrush Data'!$A$1:$Z$1,0)),"")</f>
        <v/>
      </c>
      <c r="H694" s="42">
        <f>IFERROR(INDEX('Semrush Data'!$A$1:$Z$20000,MATCH(A694,'Semrush Data'!$A$1:$A$20000,0),MATCH("Keyword Difficulty*",'Semrush Data'!$A$1:$Z$1,0)),"")</f>
        <v/>
      </c>
      <c r="I694" s="56">
        <f>IFERROR(INDEX('Semrush Data'!$A$1:$Z$20000,MATCH(A694,'Semrush Data'!$A$1:$A$20000,0),MATCH("CPC*",'Semrush Data'!$A$1:$Z$1,0)),"")</f>
        <v/>
      </c>
      <c r="J694" s="42">
        <f>IFERROR(INDEX('Semrush Data'!$A$1:$Z$20000,MATCH(A694,'Semrush Data'!$A$1:$A$20000,0),MATCH("Intent",'Semrush Data'!$A$1:$Z$1,0)),"")</f>
        <v/>
      </c>
    </row>
    <row r="695" ht="15" customHeight="1" s="37">
      <c r="A695" s="42" t="inlineStr">
        <is>
          <t>tiziana terenzi akragas</t>
        </is>
      </c>
      <c r="B695" s="42" t="inlineStr">
        <is>
          <t>Product</t>
        </is>
      </c>
      <c r="C695" s="42" t="n">
        <v>1</v>
      </c>
      <c r="D695" s="42" t="n">
        <v>7</v>
      </c>
      <c r="E695" s="42" t="n">
        <v>1</v>
      </c>
      <c r="F695" s="42" t="inlineStr">
        <is>
          <t>FR-353</t>
        </is>
      </c>
      <c r="G695" s="55">
        <f>IFERROR(INDEX('Semrush Data'!$A$1:$Z$20000,MATCH(A695,'Semrush Data'!$A$1:$A$20000,0),MATCH("Volume",'Semrush Data'!$A$1:$Z$1,0)),"")</f>
        <v/>
      </c>
      <c r="H695" s="42">
        <f>IFERROR(INDEX('Semrush Data'!$A$1:$Z$20000,MATCH(A695,'Semrush Data'!$A$1:$A$20000,0),MATCH("Keyword Difficulty*",'Semrush Data'!$A$1:$Z$1,0)),"")</f>
        <v/>
      </c>
      <c r="I695" s="56">
        <f>IFERROR(INDEX('Semrush Data'!$A$1:$Z$20000,MATCH(A695,'Semrush Data'!$A$1:$A$20000,0),MATCH("CPC*",'Semrush Data'!$A$1:$Z$1,0)),"")</f>
        <v/>
      </c>
      <c r="J695" s="42">
        <f>IFERROR(INDEX('Semrush Data'!$A$1:$Z$20000,MATCH(A695,'Semrush Data'!$A$1:$A$20000,0),MATCH("Intent",'Semrush Data'!$A$1:$Z$1,0)),"")</f>
        <v/>
      </c>
    </row>
    <row r="696" ht="15" customHeight="1" s="37">
      <c r="A696" s="42" t="inlineStr">
        <is>
          <t>tiziana terenzi andromeda</t>
        </is>
      </c>
      <c r="B696" s="42" t="inlineStr">
        <is>
          <t>Product</t>
        </is>
      </c>
      <c r="C696" s="42" t="n">
        <v>1</v>
      </c>
      <c r="D696" s="42" t="n">
        <v>7</v>
      </c>
      <c r="E696" s="42" t="n">
        <v>1</v>
      </c>
      <c r="F696" s="42" t="inlineStr">
        <is>
          <t>FR-354</t>
        </is>
      </c>
      <c r="G696" s="55">
        <f>IFERROR(INDEX('Semrush Data'!$A$1:$Z$20000,MATCH(A696,'Semrush Data'!$A$1:$A$20000,0),MATCH("Volume",'Semrush Data'!$A$1:$Z$1,0)),"")</f>
        <v/>
      </c>
      <c r="H696" s="42">
        <f>IFERROR(INDEX('Semrush Data'!$A$1:$Z$20000,MATCH(A696,'Semrush Data'!$A$1:$A$20000,0),MATCH("Keyword Difficulty*",'Semrush Data'!$A$1:$Z$1,0)),"")</f>
        <v/>
      </c>
      <c r="I696" s="56">
        <f>IFERROR(INDEX('Semrush Data'!$A$1:$Z$20000,MATCH(A696,'Semrush Data'!$A$1:$A$20000,0),MATCH("CPC*",'Semrush Data'!$A$1:$Z$1,0)),"")</f>
        <v/>
      </c>
      <c r="J696" s="42">
        <f>IFERROR(INDEX('Semrush Data'!$A$1:$Z$20000,MATCH(A696,'Semrush Data'!$A$1:$A$20000,0),MATCH("Intent",'Semrush Data'!$A$1:$Z$1,0)),"")</f>
        <v/>
      </c>
    </row>
    <row r="697" ht="15" customHeight="1" s="37">
      <c r="A697" s="42" t="inlineStr">
        <is>
          <t>tiziana terenzi borelli linea tt</t>
        </is>
      </c>
      <c r="B697" s="42" t="inlineStr">
        <is>
          <t>Product</t>
        </is>
      </c>
      <c r="C697" s="42" t="n">
        <v>1</v>
      </c>
      <c r="D697" s="42" t="n">
        <v>7</v>
      </c>
      <c r="E697" s="42" t="n">
        <v>1</v>
      </c>
      <c r="F697" s="42" t="inlineStr">
        <is>
          <t>FR-355</t>
        </is>
      </c>
      <c r="G697" s="55">
        <f>IFERROR(INDEX('Semrush Data'!$A$1:$Z$20000,MATCH(A697,'Semrush Data'!$A$1:$A$20000,0),MATCH("Volume",'Semrush Data'!$A$1:$Z$1,0)),"")</f>
        <v/>
      </c>
      <c r="H697" s="42">
        <f>IFERROR(INDEX('Semrush Data'!$A$1:$Z$20000,MATCH(A697,'Semrush Data'!$A$1:$A$20000,0),MATCH("Keyword Difficulty*",'Semrush Data'!$A$1:$Z$1,0)),"")</f>
        <v/>
      </c>
      <c r="I697" s="56">
        <f>IFERROR(INDEX('Semrush Data'!$A$1:$Z$20000,MATCH(A697,'Semrush Data'!$A$1:$A$20000,0),MATCH("CPC*",'Semrush Data'!$A$1:$Z$1,0)),"")</f>
        <v/>
      </c>
      <c r="J697" s="42">
        <f>IFERROR(INDEX('Semrush Data'!$A$1:$Z$20000,MATCH(A697,'Semrush Data'!$A$1:$A$20000,0),MATCH("Intent",'Semrush Data'!$A$1:$Z$1,0)),"")</f>
        <v/>
      </c>
    </row>
    <row r="698" ht="15" customHeight="1" s="37">
      <c r="A698" s="42" t="inlineStr">
        <is>
          <t>tiziana terenzi caput mundi</t>
        </is>
      </c>
      <c r="B698" s="42" t="inlineStr">
        <is>
          <t>Product</t>
        </is>
      </c>
      <c r="C698" s="42" t="n">
        <v>1</v>
      </c>
      <c r="D698" s="42" t="n">
        <v>7</v>
      </c>
      <c r="E698" s="42" t="n">
        <v>2</v>
      </c>
      <c r="F698" s="42" t="inlineStr">
        <is>
          <t>FR-356, FR-357</t>
        </is>
      </c>
      <c r="G698" s="55">
        <f>IFERROR(INDEX('Semrush Data'!$A$1:$Z$20000,MATCH(A698,'Semrush Data'!$A$1:$A$20000,0),MATCH("Volume",'Semrush Data'!$A$1:$Z$1,0)),"")</f>
        <v/>
      </c>
      <c r="H698" s="42">
        <f>IFERROR(INDEX('Semrush Data'!$A$1:$Z$20000,MATCH(A698,'Semrush Data'!$A$1:$A$20000,0),MATCH("Keyword Difficulty*",'Semrush Data'!$A$1:$Z$1,0)),"")</f>
        <v/>
      </c>
      <c r="I698" s="56">
        <f>IFERROR(INDEX('Semrush Data'!$A$1:$Z$20000,MATCH(A698,'Semrush Data'!$A$1:$A$20000,0),MATCH("CPC*",'Semrush Data'!$A$1:$Z$1,0)),"")</f>
        <v/>
      </c>
      <c r="J698" s="42">
        <f>IFERROR(INDEX('Semrush Data'!$A$1:$Z$20000,MATCH(A698,'Semrush Data'!$A$1:$A$20000,0),MATCH("Intent",'Semrush Data'!$A$1:$Z$1,0)),"")</f>
        <v/>
      </c>
    </row>
    <row r="699" ht="15" customHeight="1" s="37">
      <c r="A699" s="42" t="inlineStr">
        <is>
          <t>tiziana terenzi chimaera anniversary</t>
        </is>
      </c>
      <c r="B699" s="42" t="inlineStr">
        <is>
          <t>Product</t>
        </is>
      </c>
      <c r="C699" s="42" t="n">
        <v>1</v>
      </c>
      <c r="D699" s="42" t="n">
        <v>7</v>
      </c>
      <c r="E699" s="42" t="n">
        <v>1</v>
      </c>
      <c r="F699" s="42" t="inlineStr">
        <is>
          <t>FR-358</t>
        </is>
      </c>
      <c r="G699" s="55">
        <f>IFERROR(INDEX('Semrush Data'!$A$1:$Z$20000,MATCH(A699,'Semrush Data'!$A$1:$A$20000,0),MATCH("Volume",'Semrush Data'!$A$1:$Z$1,0)),"")</f>
        <v/>
      </c>
      <c r="H699" s="42">
        <f>IFERROR(INDEX('Semrush Data'!$A$1:$Z$20000,MATCH(A699,'Semrush Data'!$A$1:$A$20000,0),MATCH("Keyword Difficulty*",'Semrush Data'!$A$1:$Z$1,0)),"")</f>
        <v/>
      </c>
      <c r="I699" s="56">
        <f>IFERROR(INDEX('Semrush Data'!$A$1:$Z$20000,MATCH(A699,'Semrush Data'!$A$1:$A$20000,0),MATCH("CPC*",'Semrush Data'!$A$1:$Z$1,0)),"")</f>
        <v/>
      </c>
      <c r="J699" s="42">
        <f>IFERROR(INDEX('Semrush Data'!$A$1:$Z$20000,MATCH(A699,'Semrush Data'!$A$1:$A$20000,0),MATCH("Intent",'Semrush Data'!$A$1:$Z$1,0)),"")</f>
        <v/>
      </c>
    </row>
    <row r="700" ht="15" customHeight="1" s="37">
      <c r="A700" s="42" t="inlineStr">
        <is>
          <t>tiziana terenzi draconis</t>
        </is>
      </c>
      <c r="B700" s="42" t="inlineStr">
        <is>
          <t>Product</t>
        </is>
      </c>
      <c r="C700" s="42" t="n">
        <v>1</v>
      </c>
      <c r="D700" s="42" t="n">
        <v>7</v>
      </c>
      <c r="E700" s="42" t="n">
        <v>1</v>
      </c>
      <c r="F700" s="42" t="inlineStr">
        <is>
          <t>FR-359</t>
        </is>
      </c>
      <c r="G700" s="55">
        <f>IFERROR(INDEX('Semrush Data'!$A$1:$Z$20000,MATCH(A700,'Semrush Data'!$A$1:$A$20000,0),MATCH("Volume",'Semrush Data'!$A$1:$Z$1,0)),"")</f>
        <v/>
      </c>
      <c r="H700" s="42">
        <f>IFERROR(INDEX('Semrush Data'!$A$1:$Z$20000,MATCH(A700,'Semrush Data'!$A$1:$A$20000,0),MATCH("Keyword Difficulty*",'Semrush Data'!$A$1:$Z$1,0)),"")</f>
        <v/>
      </c>
      <c r="I700" s="56">
        <f>IFERROR(INDEX('Semrush Data'!$A$1:$Z$20000,MATCH(A700,'Semrush Data'!$A$1:$A$20000,0),MATCH("CPC*",'Semrush Data'!$A$1:$Z$1,0)),"")</f>
        <v/>
      </c>
      <c r="J700" s="42">
        <f>IFERROR(INDEX('Semrush Data'!$A$1:$Z$20000,MATCH(A700,'Semrush Data'!$A$1:$A$20000,0),MATCH("Intent",'Semrush Data'!$A$1:$Z$1,0)),"")</f>
        <v/>
      </c>
    </row>
    <row r="701" ht="15" customHeight="1" s="37">
      <c r="A701" s="42" t="inlineStr">
        <is>
          <t>tiziana terenzi dubhe assoluto</t>
        </is>
      </c>
      <c r="B701" s="42" t="inlineStr">
        <is>
          <t>Product</t>
        </is>
      </c>
      <c r="C701" s="42" t="n">
        <v>1</v>
      </c>
      <c r="D701" s="42" t="n">
        <v>7</v>
      </c>
      <c r="E701" s="42" t="n">
        <v>1</v>
      </c>
      <c r="F701" s="42" t="inlineStr">
        <is>
          <t>FR-360</t>
        </is>
      </c>
      <c r="G701" s="55">
        <f>IFERROR(INDEX('Semrush Data'!$A$1:$Z$20000,MATCH(A701,'Semrush Data'!$A$1:$A$20000,0),MATCH("Volume",'Semrush Data'!$A$1:$Z$1,0)),"")</f>
        <v/>
      </c>
      <c r="H701" s="42">
        <f>IFERROR(INDEX('Semrush Data'!$A$1:$Z$20000,MATCH(A701,'Semrush Data'!$A$1:$A$20000,0),MATCH("Keyword Difficulty*",'Semrush Data'!$A$1:$Z$1,0)),"")</f>
        <v/>
      </c>
      <c r="I701" s="56">
        <f>IFERROR(INDEX('Semrush Data'!$A$1:$Z$20000,MATCH(A701,'Semrush Data'!$A$1:$A$20000,0),MATCH("CPC*",'Semrush Data'!$A$1:$Z$1,0)),"")</f>
        <v/>
      </c>
      <c r="J701" s="42">
        <f>IFERROR(INDEX('Semrush Data'!$A$1:$Z$20000,MATCH(A701,'Semrush Data'!$A$1:$A$20000,0),MATCH("Intent",'Semrush Data'!$A$1:$Z$1,0)),"")</f>
        <v/>
      </c>
    </row>
    <row r="702" ht="15" customHeight="1" s="37">
      <c r="A702" s="42" t="inlineStr">
        <is>
          <t>tiziana terenzi ecstasy</t>
        </is>
      </c>
      <c r="B702" s="42" t="inlineStr">
        <is>
          <t>Product</t>
        </is>
      </c>
      <c r="C702" s="42" t="n">
        <v>1</v>
      </c>
      <c r="D702" s="42" t="n">
        <v>8</v>
      </c>
      <c r="E702" s="42" t="n">
        <v>1</v>
      </c>
      <c r="F702" s="42" t="inlineStr">
        <is>
          <t>FR-361</t>
        </is>
      </c>
      <c r="G702" s="55">
        <f>IFERROR(INDEX('Semrush Data'!$A$1:$Z$20000,MATCH(A702,'Semrush Data'!$A$1:$A$20000,0),MATCH("Volume",'Semrush Data'!$A$1:$Z$1,0)),"")</f>
        <v/>
      </c>
      <c r="H702" s="42">
        <f>IFERROR(INDEX('Semrush Data'!$A$1:$Z$20000,MATCH(A702,'Semrush Data'!$A$1:$A$20000,0),MATCH("Keyword Difficulty*",'Semrush Data'!$A$1:$Z$1,0)),"")</f>
        <v/>
      </c>
      <c r="I702" s="56">
        <f>IFERROR(INDEX('Semrush Data'!$A$1:$Z$20000,MATCH(A702,'Semrush Data'!$A$1:$A$20000,0),MATCH("CPC*",'Semrush Data'!$A$1:$Z$1,0)),"")</f>
        <v/>
      </c>
      <c r="J702" s="42">
        <f>IFERROR(INDEX('Semrush Data'!$A$1:$Z$20000,MATCH(A702,'Semrush Data'!$A$1:$A$20000,0),MATCH("Intent",'Semrush Data'!$A$1:$Z$1,0)),"")</f>
        <v/>
      </c>
    </row>
    <row r="703" ht="15" customHeight="1" s="37">
      <c r="A703" s="42" t="inlineStr">
        <is>
          <t>tiziana terenzi gold rose oudh</t>
        </is>
      </c>
      <c r="B703" s="42" t="inlineStr">
        <is>
          <t>Product</t>
        </is>
      </c>
      <c r="C703" s="42" t="n">
        <v>1</v>
      </c>
      <c r="D703" s="42" t="n">
        <v>8</v>
      </c>
      <c r="E703" s="42" t="n">
        <v>1</v>
      </c>
      <c r="F703" s="42" t="inlineStr">
        <is>
          <t>FR-362</t>
        </is>
      </c>
      <c r="G703" s="55">
        <f>IFERROR(INDEX('Semrush Data'!$A$1:$Z$20000,MATCH(A703,'Semrush Data'!$A$1:$A$20000,0),MATCH("Volume",'Semrush Data'!$A$1:$Z$1,0)),"")</f>
        <v/>
      </c>
      <c r="H703" s="42">
        <f>IFERROR(INDEX('Semrush Data'!$A$1:$Z$20000,MATCH(A703,'Semrush Data'!$A$1:$A$20000,0),MATCH("Keyword Difficulty*",'Semrush Data'!$A$1:$Z$1,0)),"")</f>
        <v/>
      </c>
      <c r="I703" s="56">
        <f>IFERROR(INDEX('Semrush Data'!$A$1:$Z$20000,MATCH(A703,'Semrush Data'!$A$1:$A$20000,0),MATCH("CPC*",'Semrush Data'!$A$1:$Z$1,0)),"")</f>
        <v/>
      </c>
      <c r="J703" s="42">
        <f>IFERROR(INDEX('Semrush Data'!$A$1:$Z$20000,MATCH(A703,'Semrush Data'!$A$1:$A$20000,0),MATCH("Intent",'Semrush Data'!$A$1:$Z$1,0)),"")</f>
        <v/>
      </c>
    </row>
    <row r="704" ht="15" customHeight="1" s="37">
      <c r="A704" s="42" t="inlineStr">
        <is>
          <t>tiziana terenzi gumin</t>
        </is>
      </c>
      <c r="B704" s="42" t="inlineStr">
        <is>
          <t>Product</t>
        </is>
      </c>
      <c r="C704" s="42" t="n">
        <v>1</v>
      </c>
      <c r="D704" s="42" t="n">
        <v>8</v>
      </c>
      <c r="E704" s="42" t="n">
        <v>1</v>
      </c>
      <c r="F704" s="42" t="inlineStr">
        <is>
          <t>FR-363</t>
        </is>
      </c>
      <c r="G704" s="55">
        <f>IFERROR(INDEX('Semrush Data'!$A$1:$Z$20000,MATCH(A704,'Semrush Data'!$A$1:$A$20000,0),MATCH("Volume",'Semrush Data'!$A$1:$Z$1,0)),"")</f>
        <v/>
      </c>
      <c r="H704" s="42">
        <f>IFERROR(INDEX('Semrush Data'!$A$1:$Z$20000,MATCH(A704,'Semrush Data'!$A$1:$A$20000,0),MATCH("Keyword Difficulty*",'Semrush Data'!$A$1:$Z$1,0)),"")</f>
        <v/>
      </c>
      <c r="I704" s="56">
        <f>IFERROR(INDEX('Semrush Data'!$A$1:$Z$20000,MATCH(A704,'Semrush Data'!$A$1:$A$20000,0),MATCH("CPC*",'Semrush Data'!$A$1:$Z$1,0)),"")</f>
        <v/>
      </c>
      <c r="J704" s="42">
        <f>IFERROR(INDEX('Semrush Data'!$A$1:$Z$20000,MATCH(A704,'Semrush Data'!$A$1:$A$20000,0),MATCH("Intent",'Semrush Data'!$A$1:$Z$1,0)),"")</f>
        <v/>
      </c>
    </row>
    <row r="705" ht="15" customHeight="1" s="37">
      <c r="A705" s="42" t="inlineStr">
        <is>
          <t>tiziana terenzi kaff</t>
        </is>
      </c>
      <c r="B705" s="42" t="inlineStr">
        <is>
          <t>Product</t>
        </is>
      </c>
      <c r="C705" s="42" t="n">
        <v>1</v>
      </c>
      <c r="D705" s="42" t="n">
        <v>8</v>
      </c>
      <c r="E705" s="42" t="n">
        <v>1</v>
      </c>
      <c r="F705" s="42" t="inlineStr">
        <is>
          <t>FR-364</t>
        </is>
      </c>
      <c r="G705" s="55">
        <f>IFERROR(INDEX('Semrush Data'!$A$1:$Z$20000,MATCH(A705,'Semrush Data'!$A$1:$A$20000,0),MATCH("Volume",'Semrush Data'!$A$1:$Z$1,0)),"")</f>
        <v/>
      </c>
      <c r="H705" s="42">
        <f>IFERROR(INDEX('Semrush Data'!$A$1:$Z$20000,MATCH(A705,'Semrush Data'!$A$1:$A$20000,0),MATCH("Keyword Difficulty*",'Semrush Data'!$A$1:$Z$1,0)),"")</f>
        <v/>
      </c>
      <c r="I705" s="56">
        <f>IFERROR(INDEX('Semrush Data'!$A$1:$Z$20000,MATCH(A705,'Semrush Data'!$A$1:$A$20000,0),MATCH("CPC*",'Semrush Data'!$A$1:$Z$1,0)),"")</f>
        <v/>
      </c>
      <c r="J705" s="42">
        <f>IFERROR(INDEX('Semrush Data'!$A$1:$Z$20000,MATCH(A705,'Semrush Data'!$A$1:$A$20000,0),MATCH("Intent",'Semrush Data'!$A$1:$Z$1,0)),"")</f>
        <v/>
      </c>
    </row>
    <row r="706" ht="15" customHeight="1" s="37">
      <c r="A706" s="42" t="inlineStr">
        <is>
          <t>tiziana terenzi kirke</t>
        </is>
      </c>
      <c r="B706" s="42" t="inlineStr">
        <is>
          <t>Product</t>
        </is>
      </c>
      <c r="C706" s="42" t="n">
        <v>1</v>
      </c>
      <c r="D706" s="42" t="n">
        <v>8</v>
      </c>
      <c r="E706" s="42" t="n">
        <v>1</v>
      </c>
      <c r="F706" s="42" t="inlineStr">
        <is>
          <t>FR-365</t>
        </is>
      </c>
      <c r="G706" s="55">
        <f>IFERROR(INDEX('Semrush Data'!$A$1:$Z$20000,MATCH(A706,'Semrush Data'!$A$1:$A$20000,0),MATCH("Volume",'Semrush Data'!$A$1:$Z$1,0)),"")</f>
        <v/>
      </c>
      <c r="H706" s="42">
        <f>IFERROR(INDEX('Semrush Data'!$A$1:$Z$20000,MATCH(A706,'Semrush Data'!$A$1:$A$20000,0),MATCH("Keyword Difficulty*",'Semrush Data'!$A$1:$Z$1,0)),"")</f>
        <v/>
      </c>
      <c r="I706" s="56">
        <f>IFERROR(INDEX('Semrush Data'!$A$1:$Z$20000,MATCH(A706,'Semrush Data'!$A$1:$A$20000,0),MATCH("CPC*",'Semrush Data'!$A$1:$Z$1,0)),"")</f>
        <v/>
      </c>
      <c r="J706" s="42">
        <f>IFERROR(INDEX('Semrush Data'!$A$1:$Z$20000,MATCH(A706,'Semrush Data'!$A$1:$A$20000,0),MATCH("Intent",'Semrush Data'!$A$1:$Z$1,0)),"")</f>
        <v/>
      </c>
    </row>
    <row r="707" ht="15" customHeight="1" s="37">
      <c r="A707" s="42" t="inlineStr">
        <is>
          <t>tiziana terenzi leo</t>
        </is>
      </c>
      <c r="B707" s="42" t="inlineStr">
        <is>
          <t>Product</t>
        </is>
      </c>
      <c r="C707" s="42" t="n">
        <v>1</v>
      </c>
      <c r="D707" s="42" t="n">
        <v>8</v>
      </c>
      <c r="E707" s="42" t="n">
        <v>1</v>
      </c>
      <c r="F707" s="42" t="inlineStr">
        <is>
          <t>FR-366</t>
        </is>
      </c>
      <c r="G707" s="55">
        <f>IFERROR(INDEX('Semrush Data'!$A$1:$Z$20000,MATCH(A707,'Semrush Data'!$A$1:$A$20000,0),MATCH("Volume",'Semrush Data'!$A$1:$Z$1,0)),"")</f>
        <v/>
      </c>
      <c r="H707" s="42">
        <f>IFERROR(INDEX('Semrush Data'!$A$1:$Z$20000,MATCH(A707,'Semrush Data'!$A$1:$A$20000,0),MATCH("Keyword Difficulty*",'Semrush Data'!$A$1:$Z$1,0)),"")</f>
        <v/>
      </c>
      <c r="I707" s="56">
        <f>IFERROR(INDEX('Semrush Data'!$A$1:$Z$20000,MATCH(A707,'Semrush Data'!$A$1:$A$20000,0),MATCH("CPC*",'Semrush Data'!$A$1:$Z$1,0)),"")</f>
        <v/>
      </c>
      <c r="J707" s="42">
        <f>IFERROR(INDEX('Semrush Data'!$A$1:$Z$20000,MATCH(A707,'Semrush Data'!$A$1:$A$20000,0),MATCH("Intent",'Semrush Data'!$A$1:$Z$1,0)),"")</f>
        <v/>
      </c>
    </row>
    <row r="708" ht="15" customHeight="1" s="37">
      <c r="A708" s="42" t="inlineStr">
        <is>
          <t>tiziana terenzi moro di venezia</t>
        </is>
      </c>
      <c r="B708" s="42" t="inlineStr">
        <is>
          <t>Product</t>
        </is>
      </c>
      <c r="C708" s="42" t="n">
        <v>1</v>
      </c>
      <c r="D708" s="42" t="n">
        <v>8</v>
      </c>
      <c r="E708" s="42" t="n">
        <v>1</v>
      </c>
      <c r="F708" s="42" t="inlineStr">
        <is>
          <t>FR-367</t>
        </is>
      </c>
      <c r="G708" s="55">
        <f>IFERROR(INDEX('Semrush Data'!$A$1:$Z$20000,MATCH(A708,'Semrush Data'!$A$1:$A$20000,0),MATCH("Volume",'Semrush Data'!$A$1:$Z$1,0)),"")</f>
        <v/>
      </c>
      <c r="H708" s="42">
        <f>IFERROR(INDEX('Semrush Data'!$A$1:$Z$20000,MATCH(A708,'Semrush Data'!$A$1:$A$20000,0),MATCH("Keyword Difficulty*",'Semrush Data'!$A$1:$Z$1,0)),"")</f>
        <v/>
      </c>
      <c r="I708" s="56">
        <f>IFERROR(INDEX('Semrush Data'!$A$1:$Z$20000,MATCH(A708,'Semrush Data'!$A$1:$A$20000,0),MATCH("CPC*",'Semrush Data'!$A$1:$Z$1,0)),"")</f>
        <v/>
      </c>
      <c r="J708" s="42">
        <f>IFERROR(INDEX('Semrush Data'!$A$1:$Z$20000,MATCH(A708,'Semrush Data'!$A$1:$A$20000,0),MATCH("Intent",'Semrush Data'!$A$1:$Z$1,0)),"")</f>
        <v/>
      </c>
    </row>
    <row r="709" ht="15" customHeight="1" s="37">
      <c r="A709" s="42" t="inlineStr">
        <is>
          <t>tiziana terenzi orion</t>
        </is>
      </c>
      <c r="B709" s="42" t="inlineStr">
        <is>
          <t>Product</t>
        </is>
      </c>
      <c r="C709" s="42" t="n">
        <v>1</v>
      </c>
      <c r="D709" s="42" t="n">
        <v>8</v>
      </c>
      <c r="E709" s="42" t="n">
        <v>1</v>
      </c>
      <c r="F709" s="42" t="inlineStr">
        <is>
          <t>FR-368</t>
        </is>
      </c>
      <c r="G709" s="55">
        <f>IFERROR(INDEX('Semrush Data'!$A$1:$Z$20000,MATCH(A709,'Semrush Data'!$A$1:$A$20000,0),MATCH("Volume",'Semrush Data'!$A$1:$Z$1,0)),"")</f>
        <v/>
      </c>
      <c r="H709" s="42">
        <f>IFERROR(INDEX('Semrush Data'!$A$1:$Z$20000,MATCH(A709,'Semrush Data'!$A$1:$A$20000,0),MATCH("Keyword Difficulty*",'Semrush Data'!$A$1:$Z$1,0)),"")</f>
        <v/>
      </c>
      <c r="I709" s="56">
        <f>IFERROR(INDEX('Semrush Data'!$A$1:$Z$20000,MATCH(A709,'Semrush Data'!$A$1:$A$20000,0),MATCH("CPC*",'Semrush Data'!$A$1:$Z$1,0)),"")</f>
        <v/>
      </c>
      <c r="J709" s="42">
        <f>IFERROR(INDEX('Semrush Data'!$A$1:$Z$20000,MATCH(A709,'Semrush Data'!$A$1:$A$20000,0),MATCH("Intent",'Semrush Data'!$A$1:$Z$1,0)),"")</f>
        <v/>
      </c>
    </row>
    <row r="710" ht="15" customHeight="1" s="37">
      <c r="A710" s="42" t="inlineStr">
        <is>
          <t>tiziana terenzi orza linea tt</t>
        </is>
      </c>
      <c r="B710" s="42" t="inlineStr">
        <is>
          <t>Product</t>
        </is>
      </c>
      <c r="C710" s="42" t="n">
        <v>1</v>
      </c>
      <c r="D710" s="42" t="n">
        <v>8</v>
      </c>
      <c r="E710" s="42" t="n">
        <v>1</v>
      </c>
      <c r="F710" s="42" t="inlineStr">
        <is>
          <t>FR-369</t>
        </is>
      </c>
      <c r="G710" s="55">
        <f>IFERROR(INDEX('Semrush Data'!$A$1:$Z$20000,MATCH(A710,'Semrush Data'!$A$1:$A$20000,0),MATCH("Volume",'Semrush Data'!$A$1:$Z$1,0)),"")</f>
        <v/>
      </c>
      <c r="H710" s="42">
        <f>IFERROR(INDEX('Semrush Data'!$A$1:$Z$20000,MATCH(A710,'Semrush Data'!$A$1:$A$20000,0),MATCH("Keyword Difficulty*",'Semrush Data'!$A$1:$Z$1,0)),"")</f>
        <v/>
      </c>
      <c r="I710" s="56">
        <f>IFERROR(INDEX('Semrush Data'!$A$1:$Z$20000,MATCH(A710,'Semrush Data'!$A$1:$A$20000,0),MATCH("CPC*",'Semrush Data'!$A$1:$Z$1,0)),"")</f>
        <v/>
      </c>
      <c r="J710" s="42">
        <f>IFERROR(INDEX('Semrush Data'!$A$1:$Z$20000,MATCH(A710,'Semrush Data'!$A$1:$A$20000,0),MATCH("Intent",'Semrush Data'!$A$1:$Z$1,0)),"")</f>
        <v/>
      </c>
    </row>
    <row r="711" ht="15" customHeight="1" s="37">
      <c r="A711" s="42" t="inlineStr">
        <is>
          <t>tiziana terenzi porpora</t>
        </is>
      </c>
      <c r="B711" s="42" t="inlineStr">
        <is>
          <t>Product</t>
        </is>
      </c>
      <c r="C711" s="42" t="n">
        <v>1</v>
      </c>
      <c r="D711" s="42" t="n">
        <v>8</v>
      </c>
      <c r="E711" s="42" t="n">
        <v>1</v>
      </c>
      <c r="F711" s="42" t="inlineStr">
        <is>
          <t>FR-370</t>
        </is>
      </c>
      <c r="G711" s="55">
        <f>IFERROR(INDEX('Semrush Data'!$A$1:$Z$20000,MATCH(A711,'Semrush Data'!$A$1:$A$20000,0),MATCH("Volume",'Semrush Data'!$A$1:$Z$1,0)),"")</f>
        <v/>
      </c>
      <c r="H711" s="42">
        <f>IFERROR(INDEX('Semrush Data'!$A$1:$Z$20000,MATCH(A711,'Semrush Data'!$A$1:$A$20000,0),MATCH("Keyword Difficulty*",'Semrush Data'!$A$1:$Z$1,0)),"")</f>
        <v/>
      </c>
      <c r="I711" s="56">
        <f>IFERROR(INDEX('Semrush Data'!$A$1:$Z$20000,MATCH(A711,'Semrush Data'!$A$1:$A$20000,0),MATCH("CPC*",'Semrush Data'!$A$1:$Z$1,0)),"")</f>
        <v/>
      </c>
      <c r="J711" s="42">
        <f>IFERROR(INDEX('Semrush Data'!$A$1:$Z$20000,MATCH(A711,'Semrush Data'!$A$1:$A$20000,0),MATCH("Intent",'Semrush Data'!$A$1:$Z$1,0)),"")</f>
        <v/>
      </c>
    </row>
    <row r="712" ht="15" customHeight="1" s="37">
      <c r="A712" s="42" t="inlineStr">
        <is>
          <t>tiziana terenzi saiph</t>
        </is>
      </c>
      <c r="B712" s="42" t="inlineStr">
        <is>
          <t>Product</t>
        </is>
      </c>
      <c r="C712" s="42" t="n">
        <v>1</v>
      </c>
      <c r="D712" s="42" t="n">
        <v>8</v>
      </c>
      <c r="E712" s="42" t="n">
        <v>1</v>
      </c>
      <c r="F712" s="42" t="inlineStr">
        <is>
          <t>FR-371</t>
        </is>
      </c>
      <c r="G712" s="55">
        <f>IFERROR(INDEX('Semrush Data'!$A$1:$Z$20000,MATCH(A712,'Semrush Data'!$A$1:$A$20000,0),MATCH("Volume",'Semrush Data'!$A$1:$Z$1,0)),"")</f>
        <v/>
      </c>
      <c r="H712" s="42">
        <f>IFERROR(INDEX('Semrush Data'!$A$1:$Z$20000,MATCH(A712,'Semrush Data'!$A$1:$A$20000,0),MATCH("Keyword Difficulty*",'Semrush Data'!$A$1:$Z$1,0)),"")</f>
        <v/>
      </c>
      <c r="I712" s="56">
        <f>IFERROR(INDEX('Semrush Data'!$A$1:$Z$20000,MATCH(A712,'Semrush Data'!$A$1:$A$20000,0),MATCH("CPC*",'Semrush Data'!$A$1:$Z$1,0)),"")</f>
        <v/>
      </c>
      <c r="J712" s="42">
        <f>IFERROR(INDEX('Semrush Data'!$A$1:$Z$20000,MATCH(A712,'Semrush Data'!$A$1:$A$20000,0),MATCH("Intent",'Semrush Data'!$A$1:$Z$1,0)),"")</f>
        <v/>
      </c>
    </row>
    <row r="713" ht="15" customHeight="1" s="37">
      <c r="A713" s="42" t="inlineStr">
        <is>
          <t>tiziana terenzi sea stars collection deriva</t>
        </is>
      </c>
      <c r="B713" s="42" t="inlineStr">
        <is>
          <t>Product</t>
        </is>
      </c>
      <c r="C713" s="42" t="n">
        <v>1</v>
      </c>
      <c r="D713" s="42" t="n">
        <v>8</v>
      </c>
      <c r="E713" s="42" t="n">
        <v>1</v>
      </c>
      <c r="F713" s="42" t="inlineStr">
        <is>
          <t>FR-372</t>
        </is>
      </c>
      <c r="G713" s="55">
        <f>IFERROR(INDEX('Semrush Data'!$A$1:$Z$20000,MATCH(A713,'Semrush Data'!$A$1:$A$20000,0),MATCH("Volume",'Semrush Data'!$A$1:$Z$1,0)),"")</f>
        <v/>
      </c>
      <c r="H713" s="42">
        <f>IFERROR(INDEX('Semrush Data'!$A$1:$Z$20000,MATCH(A713,'Semrush Data'!$A$1:$A$20000,0),MATCH("Keyword Difficulty*",'Semrush Data'!$A$1:$Z$1,0)),"")</f>
        <v/>
      </c>
      <c r="I713" s="56">
        <f>IFERROR(INDEX('Semrush Data'!$A$1:$Z$20000,MATCH(A713,'Semrush Data'!$A$1:$A$20000,0),MATCH("CPC*",'Semrush Data'!$A$1:$Z$1,0)),"")</f>
        <v/>
      </c>
      <c r="J713" s="42">
        <f>IFERROR(INDEX('Semrush Data'!$A$1:$Z$20000,MATCH(A713,'Semrush Data'!$A$1:$A$20000,0),MATCH("Intent",'Semrush Data'!$A$1:$Z$1,0)),"")</f>
        <v/>
      </c>
    </row>
    <row r="714" ht="15" customHeight="1" s="37">
      <c r="A714" s="42" t="inlineStr">
        <is>
          <t>tiziana terenzi white fire</t>
        </is>
      </c>
      <c r="B714" s="42" t="inlineStr">
        <is>
          <t>Product</t>
        </is>
      </c>
      <c r="C714" s="42" t="n">
        <v>1</v>
      </c>
      <c r="D714" s="42" t="n">
        <v>8</v>
      </c>
      <c r="E714" s="42" t="n">
        <v>1</v>
      </c>
      <c r="F714" s="42" t="inlineStr">
        <is>
          <t>FR-373</t>
        </is>
      </c>
      <c r="G714" s="55">
        <f>IFERROR(INDEX('Semrush Data'!$A$1:$Z$20000,MATCH(A714,'Semrush Data'!$A$1:$A$20000,0),MATCH("Volume",'Semrush Data'!$A$1:$Z$1,0)),"")</f>
        <v/>
      </c>
      <c r="H714" s="42">
        <f>IFERROR(INDEX('Semrush Data'!$A$1:$Z$20000,MATCH(A714,'Semrush Data'!$A$1:$A$20000,0),MATCH("Keyword Difficulty*",'Semrush Data'!$A$1:$Z$1,0)),"")</f>
        <v/>
      </c>
      <c r="I714" s="56">
        <f>IFERROR(INDEX('Semrush Data'!$A$1:$Z$20000,MATCH(A714,'Semrush Data'!$A$1:$A$20000,0),MATCH("CPC*",'Semrush Data'!$A$1:$Z$1,0)),"")</f>
        <v/>
      </c>
      <c r="J714" s="42">
        <f>IFERROR(INDEX('Semrush Data'!$A$1:$Z$20000,MATCH(A714,'Semrush Data'!$A$1:$A$20000,0),MATCH("Intent",'Semrush Data'!$A$1:$Z$1,0)),"")</f>
        <v/>
      </c>
    </row>
    <row r="715" ht="15" customHeight="1" s="37">
      <c r="A715" s="42" t="inlineStr">
        <is>
          <t>tom ford black orchid</t>
        </is>
      </c>
      <c r="B715" s="42" t="inlineStr">
        <is>
          <t>Product</t>
        </is>
      </c>
      <c r="C715" s="42" t="n">
        <v>1</v>
      </c>
      <c r="D715" s="42" t="n">
        <v>8</v>
      </c>
      <c r="E715" s="42" t="n">
        <v>1</v>
      </c>
      <c r="F715" s="42" t="inlineStr">
        <is>
          <t>FR-378</t>
        </is>
      </c>
      <c r="G715" s="55">
        <f>IFERROR(INDEX('Semrush Data'!$A$1:$Z$20000,MATCH(A715,'Semrush Data'!$A$1:$A$20000,0),MATCH("Volume",'Semrush Data'!$A$1:$Z$1,0)),"")</f>
        <v/>
      </c>
      <c r="H715" s="42">
        <f>IFERROR(INDEX('Semrush Data'!$A$1:$Z$20000,MATCH(A715,'Semrush Data'!$A$1:$A$20000,0),MATCH("Keyword Difficulty*",'Semrush Data'!$A$1:$Z$1,0)),"")</f>
        <v/>
      </c>
      <c r="I715" s="56">
        <f>IFERROR(INDEX('Semrush Data'!$A$1:$Z$20000,MATCH(A715,'Semrush Data'!$A$1:$A$20000,0),MATCH("CPC*",'Semrush Data'!$A$1:$Z$1,0)),"")</f>
        <v/>
      </c>
      <c r="J715" s="42">
        <f>IFERROR(INDEX('Semrush Data'!$A$1:$Z$20000,MATCH(A715,'Semrush Data'!$A$1:$A$20000,0),MATCH("Intent",'Semrush Data'!$A$1:$Z$1,0)),"")</f>
        <v/>
      </c>
    </row>
    <row r="716" ht="15" customHeight="1" s="37">
      <c r="A716" s="42" t="inlineStr">
        <is>
          <t>tom ford ebene fume</t>
        </is>
      </c>
      <c r="B716" s="42" t="inlineStr">
        <is>
          <t>Product</t>
        </is>
      </c>
      <c r="C716" s="42" t="n">
        <v>1</v>
      </c>
      <c r="D716" s="42" t="n">
        <v>8</v>
      </c>
      <c r="E716" s="42" t="n">
        <v>1</v>
      </c>
      <c r="F716" s="42" t="inlineStr">
        <is>
          <t>FR-377</t>
        </is>
      </c>
      <c r="G716" s="55">
        <f>IFERROR(INDEX('Semrush Data'!$A$1:$Z$20000,MATCH(A716,'Semrush Data'!$A$1:$A$20000,0),MATCH("Volume",'Semrush Data'!$A$1:$Z$1,0)),"")</f>
        <v/>
      </c>
      <c r="H716" s="42">
        <f>IFERROR(INDEX('Semrush Data'!$A$1:$Z$20000,MATCH(A716,'Semrush Data'!$A$1:$A$20000,0),MATCH("Keyword Difficulty*",'Semrush Data'!$A$1:$Z$1,0)),"")</f>
        <v/>
      </c>
      <c r="I716" s="56">
        <f>IFERROR(INDEX('Semrush Data'!$A$1:$Z$20000,MATCH(A716,'Semrush Data'!$A$1:$A$20000,0),MATCH("CPC*",'Semrush Data'!$A$1:$Z$1,0)),"")</f>
        <v/>
      </c>
      <c r="J716" s="42">
        <f>IFERROR(INDEX('Semrush Data'!$A$1:$Z$20000,MATCH(A716,'Semrush Data'!$A$1:$A$20000,0),MATCH("Intent",'Semrush Data'!$A$1:$Z$1,0)),"")</f>
        <v/>
      </c>
    </row>
    <row r="717" ht="15" customHeight="1" s="37">
      <c r="A717" s="42" t="inlineStr">
        <is>
          <t>tom ford neroli portofino</t>
        </is>
      </c>
      <c r="B717" s="42" t="inlineStr">
        <is>
          <t>Product</t>
        </is>
      </c>
      <c r="C717" s="42" t="n">
        <v>1</v>
      </c>
      <c r="D717" s="42" t="n">
        <v>8</v>
      </c>
      <c r="E717" s="42" t="n">
        <v>1</v>
      </c>
      <c r="F717" s="42" t="inlineStr">
        <is>
          <t>FR-374</t>
        </is>
      </c>
      <c r="G717" s="55">
        <f>IFERROR(INDEX('Semrush Data'!$A$1:$Z$20000,MATCH(A717,'Semrush Data'!$A$1:$A$20000,0),MATCH("Volume",'Semrush Data'!$A$1:$Z$1,0)),"")</f>
        <v/>
      </c>
      <c r="H717" s="42">
        <f>IFERROR(INDEX('Semrush Data'!$A$1:$Z$20000,MATCH(A717,'Semrush Data'!$A$1:$A$20000,0),MATCH("Keyword Difficulty*",'Semrush Data'!$A$1:$Z$1,0)),"")</f>
        <v/>
      </c>
      <c r="I717" s="56">
        <f>IFERROR(INDEX('Semrush Data'!$A$1:$Z$20000,MATCH(A717,'Semrush Data'!$A$1:$A$20000,0),MATCH("CPC*",'Semrush Data'!$A$1:$Z$1,0)),"")</f>
        <v/>
      </c>
      <c r="J717" s="42">
        <f>IFERROR(INDEX('Semrush Data'!$A$1:$Z$20000,MATCH(A717,'Semrush Data'!$A$1:$A$20000,0),MATCH("Intent",'Semrush Data'!$A$1:$Z$1,0)),"")</f>
        <v/>
      </c>
    </row>
    <row r="718" ht="15" customHeight="1" s="37">
      <c r="A718" s="42" t="inlineStr">
        <is>
          <t>tom ford noir extreme</t>
        </is>
      </c>
      <c r="B718" s="42" t="inlineStr">
        <is>
          <t>Product</t>
        </is>
      </c>
      <c r="C718" s="42" t="n">
        <v>1</v>
      </c>
      <c r="D718" s="42" t="n">
        <v>8</v>
      </c>
      <c r="E718" s="42" t="n">
        <v>1</v>
      </c>
      <c r="F718" s="42" t="inlineStr">
        <is>
          <t>FR-379</t>
        </is>
      </c>
      <c r="G718" s="55">
        <f>IFERROR(INDEX('Semrush Data'!$A$1:$Z$20000,MATCH(A718,'Semrush Data'!$A$1:$A$20000,0),MATCH("Volume",'Semrush Data'!$A$1:$Z$1,0)),"")</f>
        <v/>
      </c>
      <c r="H718" s="42">
        <f>IFERROR(INDEX('Semrush Data'!$A$1:$Z$20000,MATCH(A718,'Semrush Data'!$A$1:$A$20000,0),MATCH("Keyword Difficulty*",'Semrush Data'!$A$1:$Z$1,0)),"")</f>
        <v/>
      </c>
      <c r="I718" s="56">
        <f>IFERROR(INDEX('Semrush Data'!$A$1:$Z$20000,MATCH(A718,'Semrush Data'!$A$1:$A$20000,0),MATCH("CPC*",'Semrush Data'!$A$1:$Z$1,0)),"")</f>
        <v/>
      </c>
      <c r="J718" s="42">
        <f>IFERROR(INDEX('Semrush Data'!$A$1:$Z$20000,MATCH(A718,'Semrush Data'!$A$1:$A$20000,0),MATCH("Intent",'Semrush Data'!$A$1:$Z$1,0)),"")</f>
        <v/>
      </c>
    </row>
    <row r="719" ht="15" customHeight="1" s="37">
      <c r="A719" s="42" t="inlineStr">
        <is>
          <t>tom ford oud wood</t>
        </is>
      </c>
      <c r="B719" s="42" t="inlineStr">
        <is>
          <t>Product</t>
        </is>
      </c>
      <c r="C719" s="42" t="n">
        <v>1</v>
      </c>
      <c r="D719" s="42" t="n">
        <v>8</v>
      </c>
      <c r="E719" s="42" t="n">
        <v>2</v>
      </c>
      <c r="F719" s="42" t="inlineStr">
        <is>
          <t>FR-375, FR-376</t>
        </is>
      </c>
      <c r="G719" s="55">
        <f>IFERROR(INDEX('Semrush Data'!$A$1:$Z$20000,MATCH(A719,'Semrush Data'!$A$1:$A$20000,0),MATCH("Volume",'Semrush Data'!$A$1:$Z$1,0)),"")</f>
        <v/>
      </c>
      <c r="H719" s="42">
        <f>IFERROR(INDEX('Semrush Data'!$A$1:$Z$20000,MATCH(A719,'Semrush Data'!$A$1:$A$20000,0),MATCH("Keyword Difficulty*",'Semrush Data'!$A$1:$Z$1,0)),"")</f>
        <v/>
      </c>
      <c r="I719" s="56">
        <f>IFERROR(INDEX('Semrush Data'!$A$1:$Z$20000,MATCH(A719,'Semrush Data'!$A$1:$A$20000,0),MATCH("CPC*",'Semrush Data'!$A$1:$Z$1,0)),"")</f>
        <v/>
      </c>
      <c r="J719" s="42">
        <f>IFERROR(INDEX('Semrush Data'!$A$1:$Z$20000,MATCH(A719,'Semrush Data'!$A$1:$A$20000,0),MATCH("Intent",'Semrush Data'!$A$1:$Z$1,0)),"")</f>
        <v/>
      </c>
    </row>
    <row r="720" ht="15" customHeight="1" s="37">
      <c r="A720" s="42" t="inlineStr">
        <is>
          <t>trussardi black extreme miniature</t>
        </is>
      </c>
      <c r="B720" s="42" t="inlineStr">
        <is>
          <t>Product</t>
        </is>
      </c>
      <c r="C720" s="42" t="n">
        <v>1</v>
      </c>
      <c r="D720" s="42" t="n">
        <v>8</v>
      </c>
      <c r="E720" s="42" t="n">
        <v>1</v>
      </c>
      <c r="F720" s="42" t="inlineStr">
        <is>
          <t>FR-382</t>
        </is>
      </c>
      <c r="G720" s="55">
        <f>IFERROR(INDEX('Semrush Data'!$A$1:$Z$20000,MATCH(A720,'Semrush Data'!$A$1:$A$20000,0),MATCH("Volume",'Semrush Data'!$A$1:$Z$1,0)),"")</f>
        <v/>
      </c>
      <c r="H720" s="42">
        <f>IFERROR(INDEX('Semrush Data'!$A$1:$Z$20000,MATCH(A720,'Semrush Data'!$A$1:$A$20000,0),MATCH("Keyword Difficulty*",'Semrush Data'!$A$1:$Z$1,0)),"")</f>
        <v/>
      </c>
      <c r="I720" s="56">
        <f>IFERROR(INDEX('Semrush Data'!$A$1:$Z$20000,MATCH(A720,'Semrush Data'!$A$1:$A$20000,0),MATCH("CPC*",'Semrush Data'!$A$1:$Z$1,0)),"")</f>
        <v/>
      </c>
      <c r="J720" s="42">
        <f>IFERROR(INDEX('Semrush Data'!$A$1:$Z$20000,MATCH(A720,'Semrush Data'!$A$1:$A$20000,0),MATCH("Intent",'Semrush Data'!$A$1:$Z$1,0)),"")</f>
        <v/>
      </c>
    </row>
    <row r="721" ht="15" customHeight="1" s="37">
      <c r="A721" s="42" t="inlineStr">
        <is>
          <t>trussardi delicate rose</t>
        </is>
      </c>
      <c r="B721" s="42" t="inlineStr">
        <is>
          <t>Product</t>
        </is>
      </c>
      <c r="C721" s="42" t="n">
        <v>1</v>
      </c>
      <c r="D721" s="42" t="n">
        <v>8</v>
      </c>
      <c r="E721" s="42" t="n">
        <v>1</v>
      </c>
      <c r="F721" s="42" t="inlineStr">
        <is>
          <t>FR-383</t>
        </is>
      </c>
      <c r="G721" s="55">
        <f>IFERROR(INDEX('Semrush Data'!$A$1:$Z$20000,MATCH(A721,'Semrush Data'!$A$1:$A$20000,0),MATCH("Volume",'Semrush Data'!$A$1:$Z$1,0)),"")</f>
        <v/>
      </c>
      <c r="H721" s="42">
        <f>IFERROR(INDEX('Semrush Data'!$A$1:$Z$20000,MATCH(A721,'Semrush Data'!$A$1:$A$20000,0),MATCH("Keyword Difficulty*",'Semrush Data'!$A$1:$Z$1,0)),"")</f>
        <v/>
      </c>
      <c r="I721" s="56">
        <f>IFERROR(INDEX('Semrush Data'!$A$1:$Z$20000,MATCH(A721,'Semrush Data'!$A$1:$A$20000,0),MATCH("CPC*",'Semrush Data'!$A$1:$Z$1,0)),"")</f>
        <v/>
      </c>
      <c r="J721" s="42">
        <f>IFERROR(INDEX('Semrush Data'!$A$1:$Z$20000,MATCH(A721,'Semrush Data'!$A$1:$A$20000,0),MATCH("Intent",'Semrush Data'!$A$1:$Z$1,0)),"")</f>
        <v/>
      </c>
    </row>
    <row r="722" ht="15" customHeight="1" s="37">
      <c r="A722" s="42" t="inlineStr">
        <is>
          <t>trussardi pure jasmine</t>
        </is>
      </c>
      <c r="B722" s="42" t="inlineStr">
        <is>
          <t>Product</t>
        </is>
      </c>
      <c r="C722" s="42" t="n">
        <v>1</v>
      </c>
      <c r="D722" s="42" t="n">
        <v>8</v>
      </c>
      <c r="E722" s="42" t="n">
        <v>1</v>
      </c>
      <c r="F722" s="42" t="inlineStr">
        <is>
          <t>FR-381</t>
        </is>
      </c>
      <c r="G722" s="55">
        <f>IFERROR(INDEX('Semrush Data'!$A$1:$Z$20000,MATCH(A722,'Semrush Data'!$A$1:$A$20000,0),MATCH("Volume",'Semrush Data'!$A$1:$Z$1,0)),"")</f>
        <v/>
      </c>
      <c r="H722" s="42">
        <f>IFERROR(INDEX('Semrush Data'!$A$1:$Z$20000,MATCH(A722,'Semrush Data'!$A$1:$A$20000,0),MATCH("Keyword Difficulty*",'Semrush Data'!$A$1:$Z$1,0)),"")</f>
        <v/>
      </c>
      <c r="I722" s="56">
        <f>IFERROR(INDEX('Semrush Data'!$A$1:$Z$20000,MATCH(A722,'Semrush Data'!$A$1:$A$20000,0),MATCH("CPC*",'Semrush Data'!$A$1:$Z$1,0)),"")</f>
        <v/>
      </c>
      <c r="J722" s="42">
        <f>IFERROR(INDEX('Semrush Data'!$A$1:$Z$20000,MATCH(A722,'Semrush Data'!$A$1:$A$20000,0),MATCH("Intent",'Semrush Data'!$A$1:$Z$1,0)),"")</f>
        <v/>
      </c>
    </row>
    <row r="723" ht="15" customHeight="1" s="37">
      <c r="A723" s="42" t="inlineStr">
        <is>
          <t>trussardi pure jasmine lifestyle mini gift set</t>
        </is>
      </c>
      <c r="B723" s="42" t="inlineStr">
        <is>
          <t>Product</t>
        </is>
      </c>
      <c r="C723" s="42" t="n">
        <v>1</v>
      </c>
      <c r="D723" s="42" t="n">
        <v>8</v>
      </c>
      <c r="E723" s="42" t="n">
        <v>1</v>
      </c>
      <c r="F723" s="42" t="inlineStr">
        <is>
          <t>FR-384</t>
        </is>
      </c>
      <c r="G723" s="55">
        <f>IFERROR(INDEX('Semrush Data'!$A$1:$Z$20000,MATCH(A723,'Semrush Data'!$A$1:$A$20000,0),MATCH("Volume",'Semrush Data'!$A$1:$Z$1,0)),"")</f>
        <v/>
      </c>
      <c r="H723" s="42">
        <f>IFERROR(INDEX('Semrush Data'!$A$1:$Z$20000,MATCH(A723,'Semrush Data'!$A$1:$A$20000,0),MATCH("Keyword Difficulty*",'Semrush Data'!$A$1:$Z$1,0)),"")</f>
        <v/>
      </c>
      <c r="I723" s="56">
        <f>IFERROR(INDEX('Semrush Data'!$A$1:$Z$20000,MATCH(A723,'Semrush Data'!$A$1:$A$20000,0),MATCH("CPC*",'Semrush Data'!$A$1:$Z$1,0)),"")</f>
        <v/>
      </c>
      <c r="J723" s="42">
        <f>IFERROR(INDEX('Semrush Data'!$A$1:$Z$20000,MATCH(A723,'Semrush Data'!$A$1:$A$20000,0),MATCH("Intent",'Semrush Data'!$A$1:$Z$1,0)),"")</f>
        <v/>
      </c>
    </row>
    <row r="724" ht="15" customHeight="1" s="37">
      <c r="A724" s="42" t="inlineStr">
        <is>
          <t>trussardi pure jasmine miniature</t>
        </is>
      </c>
      <c r="B724" s="42" t="inlineStr">
        <is>
          <t>Product</t>
        </is>
      </c>
      <c r="C724" s="42" t="n">
        <v>1</v>
      </c>
      <c r="D724" s="42" t="n">
        <v>8</v>
      </c>
      <c r="E724" s="42" t="n">
        <v>1</v>
      </c>
      <c r="F724" s="42" t="inlineStr">
        <is>
          <t>FR-380</t>
        </is>
      </c>
      <c r="G724" s="55">
        <f>IFERROR(INDEX('Semrush Data'!$A$1:$Z$20000,MATCH(A724,'Semrush Data'!$A$1:$A$20000,0),MATCH("Volume",'Semrush Data'!$A$1:$Z$1,0)),"")</f>
        <v/>
      </c>
      <c r="H724" s="42">
        <f>IFERROR(INDEX('Semrush Data'!$A$1:$Z$20000,MATCH(A724,'Semrush Data'!$A$1:$A$20000,0),MATCH("Keyword Difficulty*",'Semrush Data'!$A$1:$Z$1,0)),"")</f>
        <v/>
      </c>
      <c r="I724" s="56">
        <f>IFERROR(INDEX('Semrush Data'!$A$1:$Z$20000,MATCH(A724,'Semrush Data'!$A$1:$A$20000,0),MATCH("CPC*",'Semrush Data'!$A$1:$Z$1,0)),"")</f>
        <v/>
      </c>
      <c r="J724" s="42">
        <f>IFERROR(INDEX('Semrush Data'!$A$1:$Z$20000,MATCH(A724,'Semrush Data'!$A$1:$A$20000,0),MATCH("Intent",'Semrush Data'!$A$1:$Z$1,0)),"")</f>
        <v/>
      </c>
    </row>
    <row r="725" ht="15" customHeight="1" s="37">
      <c r="A725" s="42" t="inlineStr">
        <is>
          <t>trussardi ruby red gift set</t>
        </is>
      </c>
      <c r="B725" s="42" t="inlineStr">
        <is>
          <t>Product</t>
        </is>
      </c>
      <c r="C725" s="42" t="n">
        <v>1</v>
      </c>
      <c r="D725" s="42" t="n">
        <v>8</v>
      </c>
      <c r="E725" s="42" t="n">
        <v>1</v>
      </c>
      <c r="F725" s="42" t="inlineStr">
        <is>
          <t>FR-385</t>
        </is>
      </c>
      <c r="G725" s="55">
        <f>IFERROR(INDEX('Semrush Data'!$A$1:$Z$20000,MATCH(A725,'Semrush Data'!$A$1:$A$20000,0),MATCH("Volume",'Semrush Data'!$A$1:$Z$1,0)),"")</f>
        <v/>
      </c>
      <c r="H725" s="42">
        <f>IFERROR(INDEX('Semrush Data'!$A$1:$Z$20000,MATCH(A725,'Semrush Data'!$A$1:$A$20000,0),MATCH("Keyword Difficulty*",'Semrush Data'!$A$1:$Z$1,0)),"")</f>
        <v/>
      </c>
      <c r="I725" s="56">
        <f>IFERROR(INDEX('Semrush Data'!$A$1:$Z$20000,MATCH(A725,'Semrush Data'!$A$1:$A$20000,0),MATCH("CPC*",'Semrush Data'!$A$1:$Z$1,0)),"")</f>
        <v/>
      </c>
      <c r="J725" s="42">
        <f>IFERROR(INDEX('Semrush Data'!$A$1:$Z$20000,MATCH(A725,'Semrush Data'!$A$1:$A$20000,0),MATCH("Intent",'Semrush Data'!$A$1:$Z$1,0)),"")</f>
        <v/>
      </c>
    </row>
    <row r="726" ht="15" customHeight="1" s="37">
      <c r="A726" s="42" t="inlineStr">
        <is>
          <t>viktor &amp; rolf good fortune miniature</t>
        </is>
      </c>
      <c r="B726" s="42" t="inlineStr">
        <is>
          <t>Product</t>
        </is>
      </c>
      <c r="C726" s="42" t="n">
        <v>1</v>
      </c>
      <c r="D726" s="42" t="n">
        <v>8</v>
      </c>
      <c r="E726" s="42" t="n">
        <v>1</v>
      </c>
      <c r="F726" s="42" t="inlineStr">
        <is>
          <t>FR-386</t>
        </is>
      </c>
      <c r="G726" s="55">
        <f>IFERROR(INDEX('Semrush Data'!$A$1:$Z$20000,MATCH(A726,'Semrush Data'!$A$1:$A$20000,0),MATCH("Volume",'Semrush Data'!$A$1:$Z$1,0)),"")</f>
        <v/>
      </c>
      <c r="H726" s="42">
        <f>IFERROR(INDEX('Semrush Data'!$A$1:$Z$20000,MATCH(A726,'Semrush Data'!$A$1:$A$20000,0),MATCH("Keyword Difficulty*",'Semrush Data'!$A$1:$Z$1,0)),"")</f>
        <v/>
      </c>
      <c r="I726" s="56">
        <f>IFERROR(INDEX('Semrush Data'!$A$1:$Z$20000,MATCH(A726,'Semrush Data'!$A$1:$A$20000,0),MATCH("CPC*",'Semrush Data'!$A$1:$Z$1,0)),"")</f>
        <v/>
      </c>
      <c r="J726" s="42">
        <f>IFERROR(INDEX('Semrush Data'!$A$1:$Z$20000,MATCH(A726,'Semrush Data'!$A$1:$A$20000,0),MATCH("Intent",'Semrush Data'!$A$1:$Z$1,0)),"")</f>
        <v/>
      </c>
    </row>
    <row r="727" ht="15" customHeight="1" s="37">
      <c r="A727" s="42" t="inlineStr">
        <is>
          <t>vilvah aloe vera gel</t>
        </is>
      </c>
      <c r="B727" s="42" t="inlineStr">
        <is>
          <t>Product</t>
        </is>
      </c>
      <c r="C727" s="42" t="n">
        <v>1</v>
      </c>
      <c r="D727" s="42" t="n">
        <v>8</v>
      </c>
      <c r="E727" s="42" t="n">
        <v>1</v>
      </c>
      <c r="F727" s="42" t="inlineStr">
        <is>
          <t>VD-020</t>
        </is>
      </c>
      <c r="G727" s="55">
        <f>IFERROR(INDEX('Semrush Data'!$A$1:$Z$20000,MATCH(A727,'Semrush Data'!$A$1:$A$20000,0),MATCH("Volume",'Semrush Data'!$A$1:$Z$1,0)),"")</f>
        <v/>
      </c>
      <c r="H727" s="42">
        <f>IFERROR(INDEX('Semrush Data'!$A$1:$Z$20000,MATCH(A727,'Semrush Data'!$A$1:$A$20000,0),MATCH("Keyword Difficulty*",'Semrush Data'!$A$1:$Z$1,0)),"")</f>
        <v/>
      </c>
      <c r="I727" s="56">
        <f>IFERROR(INDEX('Semrush Data'!$A$1:$Z$20000,MATCH(A727,'Semrush Data'!$A$1:$A$20000,0),MATCH("CPC*",'Semrush Data'!$A$1:$Z$1,0)),"")</f>
        <v/>
      </c>
      <c r="J727" s="42">
        <f>IFERROR(INDEX('Semrush Data'!$A$1:$Z$20000,MATCH(A727,'Semrush Data'!$A$1:$A$20000,0),MATCH("Intent",'Semrush Data'!$A$1:$Z$1,0)),"")</f>
        <v/>
      </c>
    </row>
    <row r="728" ht="15" customHeight="1" s="37">
      <c r="A728" s="42" t="inlineStr">
        <is>
          <t>vilvah am brightening kit</t>
        </is>
      </c>
      <c r="B728" s="42" t="inlineStr">
        <is>
          <t>Product</t>
        </is>
      </c>
      <c r="C728" s="42" t="n">
        <v>1</v>
      </c>
      <c r="D728" s="42" t="n">
        <v>8</v>
      </c>
      <c r="E728" s="42" t="n">
        <v>1</v>
      </c>
      <c r="F728" s="42" t="inlineStr">
        <is>
          <t>VD-059</t>
        </is>
      </c>
      <c r="G728" s="55">
        <f>IFERROR(INDEX('Semrush Data'!$A$1:$Z$20000,MATCH(A728,'Semrush Data'!$A$1:$A$20000,0),MATCH("Volume",'Semrush Data'!$A$1:$Z$1,0)),"")</f>
        <v/>
      </c>
      <c r="H728" s="42">
        <f>IFERROR(INDEX('Semrush Data'!$A$1:$Z$20000,MATCH(A728,'Semrush Data'!$A$1:$A$20000,0),MATCH("Keyword Difficulty*",'Semrush Data'!$A$1:$Z$1,0)),"")</f>
        <v/>
      </c>
      <c r="I728" s="56">
        <f>IFERROR(INDEX('Semrush Data'!$A$1:$Z$20000,MATCH(A728,'Semrush Data'!$A$1:$A$20000,0),MATCH("CPC*",'Semrush Data'!$A$1:$Z$1,0)),"")</f>
        <v/>
      </c>
      <c r="J728" s="42">
        <f>IFERROR(INDEX('Semrush Data'!$A$1:$Z$20000,MATCH(A728,'Semrush Data'!$A$1:$A$20000,0),MATCH("Intent",'Semrush Data'!$A$1:$Z$1,0)),"")</f>
        <v/>
      </c>
    </row>
    <row r="729" ht="15" customHeight="1" s="37">
      <c r="A729" s="42" t="inlineStr">
        <is>
          <t>vilvah am pm serum kit</t>
        </is>
      </c>
      <c r="B729" s="42" t="inlineStr">
        <is>
          <t>Product</t>
        </is>
      </c>
      <c r="C729" s="42" t="n">
        <v>1</v>
      </c>
      <c r="D729" s="42" t="n">
        <v>8</v>
      </c>
      <c r="E729" s="42" t="n">
        <v>1</v>
      </c>
      <c r="F729" s="42" t="inlineStr">
        <is>
          <t>VD-057</t>
        </is>
      </c>
      <c r="G729" s="55">
        <f>IFERROR(INDEX('Semrush Data'!$A$1:$Z$20000,MATCH(A729,'Semrush Data'!$A$1:$A$20000,0),MATCH("Volume",'Semrush Data'!$A$1:$Z$1,0)),"")</f>
        <v/>
      </c>
      <c r="H729" s="42">
        <f>IFERROR(INDEX('Semrush Data'!$A$1:$Z$20000,MATCH(A729,'Semrush Data'!$A$1:$A$20000,0),MATCH("Keyword Difficulty*",'Semrush Data'!$A$1:$Z$1,0)),"")</f>
        <v/>
      </c>
      <c r="I729" s="56">
        <f>IFERROR(INDEX('Semrush Data'!$A$1:$Z$20000,MATCH(A729,'Semrush Data'!$A$1:$A$20000,0),MATCH("CPC*",'Semrush Data'!$A$1:$Z$1,0)),"")</f>
        <v/>
      </c>
      <c r="J729" s="42">
        <f>IFERROR(INDEX('Semrush Data'!$A$1:$Z$20000,MATCH(A729,'Semrush Data'!$A$1:$A$20000,0),MATCH("Intent",'Semrush Data'!$A$1:$Z$1,0)),"")</f>
        <v/>
      </c>
    </row>
    <row r="730" ht="15" customHeight="1" s="37">
      <c r="A730" s="42" t="inlineStr">
        <is>
          <t>vilvah anti frizz hair kit</t>
        </is>
      </c>
      <c r="B730" s="42" t="inlineStr">
        <is>
          <t>Product</t>
        </is>
      </c>
      <c r="C730" s="42" t="n">
        <v>1</v>
      </c>
      <c r="D730" s="42" t="n">
        <v>8</v>
      </c>
      <c r="E730" s="42" t="n">
        <v>1</v>
      </c>
      <c r="F730" s="42" t="inlineStr">
        <is>
          <t>VD-075</t>
        </is>
      </c>
      <c r="G730" s="55">
        <f>IFERROR(INDEX('Semrush Data'!$A$1:$Z$20000,MATCH(A730,'Semrush Data'!$A$1:$A$20000,0),MATCH("Volume",'Semrush Data'!$A$1:$Z$1,0)),"")</f>
        <v/>
      </c>
      <c r="H730" s="42">
        <f>IFERROR(INDEX('Semrush Data'!$A$1:$Z$20000,MATCH(A730,'Semrush Data'!$A$1:$A$20000,0),MATCH("Keyword Difficulty*",'Semrush Data'!$A$1:$Z$1,0)),"")</f>
        <v/>
      </c>
      <c r="I730" s="56">
        <f>IFERROR(INDEX('Semrush Data'!$A$1:$Z$20000,MATCH(A730,'Semrush Data'!$A$1:$A$20000,0),MATCH("CPC*",'Semrush Data'!$A$1:$Z$1,0)),"")</f>
        <v/>
      </c>
      <c r="J730" s="42">
        <f>IFERROR(INDEX('Semrush Data'!$A$1:$Z$20000,MATCH(A730,'Semrush Data'!$A$1:$A$20000,0),MATCH("Intent",'Semrush Data'!$A$1:$Z$1,0)),"")</f>
        <v/>
      </c>
    </row>
    <row r="731" ht="15" customHeight="1" s="37">
      <c r="A731" s="42" t="inlineStr">
        <is>
          <t>vilvah anti-dandruff hair oil</t>
        </is>
      </c>
      <c r="B731" s="42" t="inlineStr">
        <is>
          <t>Product</t>
        </is>
      </c>
      <c r="C731" s="42" t="n">
        <v>1</v>
      </c>
      <c r="D731" s="42" t="n">
        <v>8</v>
      </c>
      <c r="E731" s="42" t="n">
        <v>1</v>
      </c>
      <c r="F731" s="42" t="inlineStr">
        <is>
          <t>VD-021</t>
        </is>
      </c>
      <c r="G731" s="55">
        <f>IFERROR(INDEX('Semrush Data'!$A$1:$Z$20000,MATCH(A731,'Semrush Data'!$A$1:$A$20000,0),MATCH("Volume",'Semrush Data'!$A$1:$Z$1,0)),"")</f>
        <v/>
      </c>
      <c r="H731" s="42">
        <f>IFERROR(INDEX('Semrush Data'!$A$1:$Z$20000,MATCH(A731,'Semrush Data'!$A$1:$A$20000,0),MATCH("Keyword Difficulty*",'Semrush Data'!$A$1:$Z$1,0)),"")</f>
        <v/>
      </c>
      <c r="I731" s="56">
        <f>IFERROR(INDEX('Semrush Data'!$A$1:$Z$20000,MATCH(A731,'Semrush Data'!$A$1:$A$20000,0),MATCH("CPC*",'Semrush Data'!$A$1:$Z$1,0)),"")</f>
        <v/>
      </c>
      <c r="J731" s="42">
        <f>IFERROR(INDEX('Semrush Data'!$A$1:$Z$20000,MATCH(A731,'Semrush Data'!$A$1:$A$20000,0),MATCH("Intent",'Semrush Data'!$A$1:$Z$1,0)),"")</f>
        <v/>
      </c>
    </row>
    <row r="732" ht="15" customHeight="1" s="37">
      <c r="A732" s="42" t="inlineStr">
        <is>
          <t>vilvah anti-frizz hair serum</t>
        </is>
      </c>
      <c r="B732" s="42" t="inlineStr">
        <is>
          <t>Product</t>
        </is>
      </c>
      <c r="C732" s="42" t="n">
        <v>1</v>
      </c>
      <c r="D732" s="42" t="n">
        <v>8</v>
      </c>
      <c r="E732" s="42" t="n">
        <v>1</v>
      </c>
      <c r="F732" s="42" t="inlineStr">
        <is>
          <t>VD-022</t>
        </is>
      </c>
      <c r="G732" s="55">
        <f>IFERROR(INDEX('Semrush Data'!$A$1:$Z$20000,MATCH(A732,'Semrush Data'!$A$1:$A$20000,0),MATCH("Volume",'Semrush Data'!$A$1:$Z$1,0)),"")</f>
        <v/>
      </c>
      <c r="H732" s="42">
        <f>IFERROR(INDEX('Semrush Data'!$A$1:$Z$20000,MATCH(A732,'Semrush Data'!$A$1:$A$20000,0),MATCH("Keyword Difficulty*",'Semrush Data'!$A$1:$Z$1,0)),"")</f>
        <v/>
      </c>
      <c r="I732" s="56">
        <f>IFERROR(INDEX('Semrush Data'!$A$1:$Z$20000,MATCH(A732,'Semrush Data'!$A$1:$A$20000,0),MATCH("CPC*",'Semrush Data'!$A$1:$Z$1,0)),"")</f>
        <v/>
      </c>
      <c r="J732" s="42">
        <f>IFERROR(INDEX('Semrush Data'!$A$1:$Z$20000,MATCH(A732,'Semrush Data'!$A$1:$A$20000,0),MATCH("Intent",'Semrush Data'!$A$1:$Z$1,0)),"")</f>
        <v/>
      </c>
    </row>
    <row r="733" ht="15" customHeight="1" s="37">
      <c r="A733" s="42" t="inlineStr">
        <is>
          <t>vilvah anti‑acne kit</t>
        </is>
      </c>
      <c r="B733" s="42" t="inlineStr">
        <is>
          <t>Product</t>
        </is>
      </c>
      <c r="C733" s="42" t="n">
        <v>1</v>
      </c>
      <c r="D733" s="42" t="n">
        <v>8</v>
      </c>
      <c r="E733" s="42" t="n">
        <v>1</v>
      </c>
      <c r="F733" s="42" t="inlineStr">
        <is>
          <t>VD-052</t>
        </is>
      </c>
      <c r="G733" s="55">
        <f>IFERROR(INDEX('Semrush Data'!$A$1:$Z$20000,MATCH(A733,'Semrush Data'!$A$1:$A$20000,0),MATCH("Volume",'Semrush Data'!$A$1:$Z$1,0)),"")</f>
        <v/>
      </c>
      <c r="H733" s="42">
        <f>IFERROR(INDEX('Semrush Data'!$A$1:$Z$20000,MATCH(A733,'Semrush Data'!$A$1:$A$20000,0),MATCH("Keyword Difficulty*",'Semrush Data'!$A$1:$Z$1,0)),"")</f>
        <v/>
      </c>
      <c r="I733" s="56">
        <f>IFERROR(INDEX('Semrush Data'!$A$1:$Z$20000,MATCH(A733,'Semrush Data'!$A$1:$A$20000,0),MATCH("CPC*",'Semrush Data'!$A$1:$Z$1,0)),"")</f>
        <v/>
      </c>
      <c r="J733" s="42">
        <f>IFERROR(INDEX('Semrush Data'!$A$1:$Z$20000,MATCH(A733,'Semrush Data'!$A$1:$A$20000,0),MATCH("Intent",'Semrush Data'!$A$1:$Z$1,0)),"")</f>
        <v/>
      </c>
    </row>
    <row r="734" ht="15" customHeight="1" s="37">
      <c r="A734" s="42" t="inlineStr">
        <is>
          <t>vilvah anti‑dandruff haircare kit</t>
        </is>
      </c>
      <c r="B734" s="42" t="inlineStr">
        <is>
          <t>Product</t>
        </is>
      </c>
      <c r="C734" s="42" t="n">
        <v>1</v>
      </c>
      <c r="D734" s="42" t="n">
        <v>8</v>
      </c>
      <c r="E734" s="42" t="n">
        <v>2</v>
      </c>
      <c r="F734" s="42" t="inlineStr">
        <is>
          <t>VD-053, VD-078</t>
        </is>
      </c>
      <c r="G734" s="55">
        <f>IFERROR(INDEX('Semrush Data'!$A$1:$Z$20000,MATCH(A734,'Semrush Data'!$A$1:$A$20000,0),MATCH("Volume",'Semrush Data'!$A$1:$Z$1,0)),"")</f>
        <v/>
      </c>
      <c r="H734" s="42">
        <f>IFERROR(INDEX('Semrush Data'!$A$1:$Z$20000,MATCH(A734,'Semrush Data'!$A$1:$A$20000,0),MATCH("Keyword Difficulty*",'Semrush Data'!$A$1:$Z$1,0)),"")</f>
        <v/>
      </c>
      <c r="I734" s="56">
        <f>IFERROR(INDEX('Semrush Data'!$A$1:$Z$20000,MATCH(A734,'Semrush Data'!$A$1:$A$20000,0),MATCH("CPC*",'Semrush Data'!$A$1:$Z$1,0)),"")</f>
        <v/>
      </c>
      <c r="J734" s="42">
        <f>IFERROR(INDEX('Semrush Data'!$A$1:$Z$20000,MATCH(A734,'Semrush Data'!$A$1:$A$20000,0),MATCH("Intent",'Semrush Data'!$A$1:$Z$1,0)),"")</f>
        <v/>
      </c>
    </row>
    <row r="735" ht="15" customHeight="1" s="37">
      <c r="A735" s="42" t="inlineStr">
        <is>
          <t>vilvah bestseller hair kit</t>
        </is>
      </c>
      <c r="B735" s="42" t="inlineStr">
        <is>
          <t>Product</t>
        </is>
      </c>
      <c r="C735" s="42" t="n">
        <v>1</v>
      </c>
      <c r="D735" s="42" t="n">
        <v>8</v>
      </c>
      <c r="E735" s="42" t="n">
        <v>1</v>
      </c>
      <c r="F735" s="42" t="inlineStr">
        <is>
          <t>VD-070</t>
        </is>
      </c>
      <c r="G735" s="55">
        <f>IFERROR(INDEX('Semrush Data'!$A$1:$Z$20000,MATCH(A735,'Semrush Data'!$A$1:$A$20000,0),MATCH("Volume",'Semrush Data'!$A$1:$Z$1,0)),"")</f>
        <v/>
      </c>
      <c r="H735" s="42">
        <f>IFERROR(INDEX('Semrush Data'!$A$1:$Z$20000,MATCH(A735,'Semrush Data'!$A$1:$A$20000,0),MATCH("Keyword Difficulty*",'Semrush Data'!$A$1:$Z$1,0)),"")</f>
        <v/>
      </c>
      <c r="I735" s="56">
        <f>IFERROR(INDEX('Semrush Data'!$A$1:$Z$20000,MATCH(A735,'Semrush Data'!$A$1:$A$20000,0),MATCH("CPC*",'Semrush Data'!$A$1:$Z$1,0)),"")</f>
        <v/>
      </c>
      <c r="J735" s="42">
        <f>IFERROR(INDEX('Semrush Data'!$A$1:$Z$20000,MATCH(A735,'Semrush Data'!$A$1:$A$20000,0),MATCH("Intent",'Semrush Data'!$A$1:$Z$1,0)),"")</f>
        <v/>
      </c>
    </row>
    <row r="736" ht="15" customHeight="1" s="37">
      <c r="A736" s="42" t="inlineStr">
        <is>
          <t>vilvah better ageing kit</t>
        </is>
      </c>
      <c r="B736" s="42" t="inlineStr">
        <is>
          <t>Product</t>
        </is>
      </c>
      <c r="C736" s="42" t="n">
        <v>1</v>
      </c>
      <c r="D736" s="42" t="n">
        <v>8</v>
      </c>
      <c r="E736" s="42" t="n">
        <v>1</v>
      </c>
      <c r="F736" s="42" t="inlineStr">
        <is>
          <t>VD-058</t>
        </is>
      </c>
      <c r="G736" s="55">
        <f>IFERROR(INDEX('Semrush Data'!$A$1:$Z$20000,MATCH(A736,'Semrush Data'!$A$1:$A$20000,0),MATCH("Volume",'Semrush Data'!$A$1:$Z$1,0)),"")</f>
        <v/>
      </c>
      <c r="H736" s="42">
        <f>IFERROR(INDEX('Semrush Data'!$A$1:$Z$20000,MATCH(A736,'Semrush Data'!$A$1:$A$20000,0),MATCH("Keyword Difficulty*",'Semrush Data'!$A$1:$Z$1,0)),"")</f>
        <v/>
      </c>
      <c r="I736" s="56">
        <f>IFERROR(INDEX('Semrush Data'!$A$1:$Z$20000,MATCH(A736,'Semrush Data'!$A$1:$A$20000,0),MATCH("CPC*",'Semrush Data'!$A$1:$Z$1,0)),"")</f>
        <v/>
      </c>
      <c r="J736" s="42">
        <f>IFERROR(INDEX('Semrush Data'!$A$1:$Z$20000,MATCH(A736,'Semrush Data'!$A$1:$A$20000,0),MATCH("Intent",'Semrush Data'!$A$1:$Z$1,0)),"")</f>
        <v/>
      </c>
    </row>
    <row r="737" ht="15" customHeight="1" s="37">
      <c r="A737" s="42" t="inlineStr">
        <is>
          <t>vilvah better ageing serum</t>
        </is>
      </c>
      <c r="B737" s="42" t="inlineStr">
        <is>
          <t>Product</t>
        </is>
      </c>
      <c r="C737" s="42" t="n">
        <v>1</v>
      </c>
      <c r="D737" s="42" t="n">
        <v>8</v>
      </c>
      <c r="E737" s="42" t="n">
        <v>1</v>
      </c>
      <c r="F737" s="42" t="inlineStr">
        <is>
          <t>VD-023</t>
        </is>
      </c>
      <c r="G737" s="55">
        <f>IFERROR(INDEX('Semrush Data'!$A$1:$Z$20000,MATCH(A737,'Semrush Data'!$A$1:$A$20000,0),MATCH("Volume",'Semrush Data'!$A$1:$Z$1,0)),"")</f>
        <v/>
      </c>
      <c r="H737" s="42">
        <f>IFERROR(INDEX('Semrush Data'!$A$1:$Z$20000,MATCH(A737,'Semrush Data'!$A$1:$A$20000,0),MATCH("Keyword Difficulty*",'Semrush Data'!$A$1:$Z$1,0)),"")</f>
        <v/>
      </c>
      <c r="I737" s="56">
        <f>IFERROR(INDEX('Semrush Data'!$A$1:$Z$20000,MATCH(A737,'Semrush Data'!$A$1:$A$20000,0),MATCH("CPC*",'Semrush Data'!$A$1:$Z$1,0)),"")</f>
        <v/>
      </c>
      <c r="J737" s="42">
        <f>IFERROR(INDEX('Semrush Data'!$A$1:$Z$20000,MATCH(A737,'Semrush Data'!$A$1:$A$20000,0),MATCH("Intent",'Semrush Data'!$A$1:$Z$1,0)),"")</f>
        <v/>
      </c>
    </row>
    <row r="738" ht="15" customHeight="1" s="37">
      <c r="A738" s="42" t="inlineStr">
        <is>
          <t>vilvah body polishing kit</t>
        </is>
      </c>
      <c r="B738" s="42" t="inlineStr">
        <is>
          <t>Product</t>
        </is>
      </c>
      <c r="C738" s="42" t="n">
        <v>1</v>
      </c>
      <c r="D738" s="42" t="n">
        <v>8</v>
      </c>
      <c r="E738" s="42" t="n">
        <v>1</v>
      </c>
      <c r="F738" s="42" t="inlineStr">
        <is>
          <t>VD-076</t>
        </is>
      </c>
      <c r="G738" s="55">
        <f>IFERROR(INDEX('Semrush Data'!$A$1:$Z$20000,MATCH(A738,'Semrush Data'!$A$1:$A$20000,0),MATCH("Volume",'Semrush Data'!$A$1:$Z$1,0)),"")</f>
        <v/>
      </c>
      <c r="H738" s="42">
        <f>IFERROR(INDEX('Semrush Data'!$A$1:$Z$20000,MATCH(A738,'Semrush Data'!$A$1:$A$20000,0),MATCH("Keyword Difficulty*",'Semrush Data'!$A$1:$Z$1,0)),"")</f>
        <v/>
      </c>
      <c r="I738" s="56">
        <f>IFERROR(INDEX('Semrush Data'!$A$1:$Z$20000,MATCH(A738,'Semrush Data'!$A$1:$A$20000,0),MATCH("CPC*",'Semrush Data'!$A$1:$Z$1,0)),"")</f>
        <v/>
      </c>
      <c r="J738" s="42">
        <f>IFERROR(INDEX('Semrush Data'!$A$1:$Z$20000,MATCH(A738,'Semrush Data'!$A$1:$A$20000,0),MATCH("Intent",'Semrush Data'!$A$1:$Z$1,0)),"")</f>
        <v/>
      </c>
    </row>
    <row r="739" ht="15" customHeight="1" s="37">
      <c r="A739" s="42" t="inlineStr">
        <is>
          <t>vilvah budget skincare combo</t>
        </is>
      </c>
      <c r="B739" s="42" t="inlineStr">
        <is>
          <t>Product</t>
        </is>
      </c>
      <c r="C739" s="42" t="n">
        <v>1</v>
      </c>
      <c r="D739" s="42" t="n">
        <v>8</v>
      </c>
      <c r="E739" s="42" t="n">
        <v>1</v>
      </c>
      <c r="F739" s="42" t="inlineStr">
        <is>
          <t>VD-065</t>
        </is>
      </c>
      <c r="G739" s="55">
        <f>IFERROR(INDEX('Semrush Data'!$A$1:$Z$20000,MATCH(A739,'Semrush Data'!$A$1:$A$20000,0),MATCH("Volume",'Semrush Data'!$A$1:$Z$1,0)),"")</f>
        <v/>
      </c>
      <c r="H739" s="42">
        <f>IFERROR(INDEX('Semrush Data'!$A$1:$Z$20000,MATCH(A739,'Semrush Data'!$A$1:$A$20000,0),MATCH("Keyword Difficulty*",'Semrush Data'!$A$1:$Z$1,0)),"")</f>
        <v/>
      </c>
      <c r="I739" s="56">
        <f>IFERROR(INDEX('Semrush Data'!$A$1:$Z$20000,MATCH(A739,'Semrush Data'!$A$1:$A$20000,0),MATCH("CPC*",'Semrush Data'!$A$1:$Z$1,0)),"")</f>
        <v/>
      </c>
      <c r="J739" s="42">
        <f>IFERROR(INDEX('Semrush Data'!$A$1:$Z$20000,MATCH(A739,'Semrush Data'!$A$1:$A$20000,0),MATCH("Intent",'Semrush Data'!$A$1:$Z$1,0)),"")</f>
        <v/>
      </c>
    </row>
    <row r="740" ht="15" customHeight="1" s="37">
      <c r="A740" s="42" t="inlineStr">
        <is>
          <t>vilvah charcoal facemask</t>
        </is>
      </c>
      <c r="B740" s="42" t="inlineStr">
        <is>
          <t>Product</t>
        </is>
      </c>
      <c r="C740" s="42" t="n">
        <v>1</v>
      </c>
      <c r="D740" s="42" t="n">
        <v>8</v>
      </c>
      <c r="E740" s="42" t="n">
        <v>1</v>
      </c>
      <c r="F740" s="42" t="inlineStr">
        <is>
          <t>VD-024</t>
        </is>
      </c>
      <c r="G740" s="55">
        <f>IFERROR(INDEX('Semrush Data'!$A$1:$Z$20000,MATCH(A740,'Semrush Data'!$A$1:$A$20000,0),MATCH("Volume",'Semrush Data'!$A$1:$Z$1,0)),"")</f>
        <v/>
      </c>
      <c r="H740" s="42">
        <f>IFERROR(INDEX('Semrush Data'!$A$1:$Z$20000,MATCH(A740,'Semrush Data'!$A$1:$A$20000,0),MATCH("Keyword Difficulty*",'Semrush Data'!$A$1:$Z$1,0)),"")</f>
        <v/>
      </c>
      <c r="I740" s="56">
        <f>IFERROR(INDEX('Semrush Data'!$A$1:$Z$20000,MATCH(A740,'Semrush Data'!$A$1:$A$20000,0),MATCH("CPC*",'Semrush Data'!$A$1:$Z$1,0)),"")</f>
        <v/>
      </c>
      <c r="J740" s="42">
        <f>IFERROR(INDEX('Semrush Data'!$A$1:$Z$20000,MATCH(A740,'Semrush Data'!$A$1:$A$20000,0),MATCH("Intent",'Semrush Data'!$A$1:$Z$1,0)),"")</f>
        <v/>
      </c>
    </row>
    <row r="741" ht="15" customHeight="1" s="37">
      <c r="A741" s="42" t="inlineStr">
        <is>
          <t>vilvah charcoal goatmilk soap</t>
        </is>
      </c>
      <c r="B741" s="42" t="inlineStr">
        <is>
          <t>Product</t>
        </is>
      </c>
      <c r="C741" s="42" t="n">
        <v>1</v>
      </c>
      <c r="D741" s="42" t="n">
        <v>8</v>
      </c>
      <c r="E741" s="42" t="n">
        <v>1</v>
      </c>
      <c r="F741" s="42" t="inlineStr">
        <is>
          <t>VD-011</t>
        </is>
      </c>
      <c r="G741" s="55">
        <f>IFERROR(INDEX('Semrush Data'!$A$1:$Z$20000,MATCH(A741,'Semrush Data'!$A$1:$A$20000,0),MATCH("Volume",'Semrush Data'!$A$1:$Z$1,0)),"")</f>
        <v/>
      </c>
      <c r="H741" s="42">
        <f>IFERROR(INDEX('Semrush Data'!$A$1:$Z$20000,MATCH(A741,'Semrush Data'!$A$1:$A$20000,0),MATCH("Keyword Difficulty*",'Semrush Data'!$A$1:$Z$1,0)),"")</f>
        <v/>
      </c>
      <c r="I741" s="56">
        <f>IFERROR(INDEX('Semrush Data'!$A$1:$Z$20000,MATCH(A741,'Semrush Data'!$A$1:$A$20000,0),MATCH("CPC*",'Semrush Data'!$A$1:$Z$1,0)),"")</f>
        <v/>
      </c>
      <c r="J741" s="42">
        <f>IFERROR(INDEX('Semrush Data'!$A$1:$Z$20000,MATCH(A741,'Semrush Data'!$A$1:$A$20000,0),MATCH("Intent",'Semrush Data'!$A$1:$Z$1,0)),"")</f>
        <v/>
      </c>
    </row>
    <row r="742" ht="15" customHeight="1" s="37">
      <c r="A742" s="42" t="inlineStr">
        <is>
          <t>vilvah classic goatmilk soap</t>
        </is>
      </c>
      <c r="B742" s="42" t="inlineStr">
        <is>
          <t>Product</t>
        </is>
      </c>
      <c r="C742" s="42" t="n">
        <v>1</v>
      </c>
      <c r="D742" s="42" t="n">
        <v>8</v>
      </c>
      <c r="E742" s="42" t="n">
        <v>1</v>
      </c>
      <c r="F742" s="42" t="inlineStr">
        <is>
          <t>VD-003</t>
        </is>
      </c>
      <c r="G742" s="55">
        <f>IFERROR(INDEX('Semrush Data'!$A$1:$Z$20000,MATCH(A742,'Semrush Data'!$A$1:$A$20000,0),MATCH("Volume",'Semrush Data'!$A$1:$Z$1,0)),"")</f>
        <v/>
      </c>
      <c r="H742" s="42">
        <f>IFERROR(INDEX('Semrush Data'!$A$1:$Z$20000,MATCH(A742,'Semrush Data'!$A$1:$A$20000,0),MATCH("Keyword Difficulty*",'Semrush Data'!$A$1:$Z$1,0)),"")</f>
        <v/>
      </c>
      <c r="I742" s="56">
        <f>IFERROR(INDEX('Semrush Data'!$A$1:$Z$20000,MATCH(A742,'Semrush Data'!$A$1:$A$20000,0),MATCH("CPC*",'Semrush Data'!$A$1:$Z$1,0)),"")</f>
        <v/>
      </c>
      <c r="J742" s="42">
        <f>IFERROR(INDEX('Semrush Data'!$A$1:$Z$20000,MATCH(A742,'Semrush Data'!$A$1:$A$20000,0),MATCH("Intent",'Semrush Data'!$A$1:$Z$1,0)),"")</f>
        <v/>
      </c>
    </row>
    <row r="743" ht="15" customHeight="1" s="37">
      <c r="A743" s="42" t="inlineStr">
        <is>
          <t>vilvah classic rose goatmilk soap</t>
        </is>
      </c>
      <c r="B743" s="42" t="inlineStr">
        <is>
          <t>Product</t>
        </is>
      </c>
      <c r="C743" s="42" t="n">
        <v>1</v>
      </c>
      <c r="D743" s="42" t="n">
        <v>8</v>
      </c>
      <c r="E743" s="42" t="n">
        <v>1</v>
      </c>
      <c r="F743" s="42" t="inlineStr">
        <is>
          <t>VD-008</t>
        </is>
      </c>
      <c r="G743" s="55">
        <f>IFERROR(INDEX('Semrush Data'!$A$1:$Z$20000,MATCH(A743,'Semrush Data'!$A$1:$A$20000,0),MATCH("Volume",'Semrush Data'!$A$1:$Z$1,0)),"")</f>
        <v/>
      </c>
      <c r="H743" s="42">
        <f>IFERROR(INDEX('Semrush Data'!$A$1:$Z$20000,MATCH(A743,'Semrush Data'!$A$1:$A$20000,0),MATCH("Keyword Difficulty*",'Semrush Data'!$A$1:$Z$1,0)),"")</f>
        <v/>
      </c>
      <c r="I743" s="56">
        <f>IFERROR(INDEX('Semrush Data'!$A$1:$Z$20000,MATCH(A743,'Semrush Data'!$A$1:$A$20000,0),MATCH("CPC*",'Semrush Data'!$A$1:$Z$1,0)),"")</f>
        <v/>
      </c>
      <c r="J743" s="42">
        <f>IFERROR(INDEX('Semrush Data'!$A$1:$Z$20000,MATCH(A743,'Semrush Data'!$A$1:$A$20000,0),MATCH("Intent",'Semrush Data'!$A$1:$Z$1,0)),"")</f>
        <v/>
      </c>
    </row>
    <row r="744" ht="15" customHeight="1" s="37">
      <c r="A744" s="42" t="inlineStr">
        <is>
          <t>vilvah cookie n cream body mask</t>
        </is>
      </c>
      <c r="B744" s="42" t="inlineStr">
        <is>
          <t>Product</t>
        </is>
      </c>
      <c r="C744" s="42" t="n">
        <v>1</v>
      </c>
      <c r="D744" s="42" t="n">
        <v>8</v>
      </c>
      <c r="E744" s="42" t="n">
        <v>1</v>
      </c>
      <c r="F744" s="42" t="inlineStr">
        <is>
          <t>VD-025</t>
        </is>
      </c>
      <c r="G744" s="55">
        <f>IFERROR(INDEX('Semrush Data'!$A$1:$Z$20000,MATCH(A744,'Semrush Data'!$A$1:$A$20000,0),MATCH("Volume",'Semrush Data'!$A$1:$Z$1,0)),"")</f>
        <v/>
      </c>
      <c r="H744" s="42">
        <f>IFERROR(INDEX('Semrush Data'!$A$1:$Z$20000,MATCH(A744,'Semrush Data'!$A$1:$A$20000,0),MATCH("Keyword Difficulty*",'Semrush Data'!$A$1:$Z$1,0)),"")</f>
        <v/>
      </c>
      <c r="I744" s="56">
        <f>IFERROR(INDEX('Semrush Data'!$A$1:$Z$20000,MATCH(A744,'Semrush Data'!$A$1:$A$20000,0),MATCH("CPC*",'Semrush Data'!$A$1:$Z$1,0)),"")</f>
        <v/>
      </c>
      <c r="J744" s="42">
        <f>IFERROR(INDEX('Semrush Data'!$A$1:$Z$20000,MATCH(A744,'Semrush Data'!$A$1:$A$20000,0),MATCH("Intent",'Semrush Data'!$A$1:$Z$1,0)),"")</f>
        <v/>
      </c>
    </row>
    <row r="745" ht="15" customHeight="1" s="37">
      <c r="A745" s="42" t="inlineStr">
        <is>
          <t>vilvah cookie n cream body polish</t>
        </is>
      </c>
      <c r="B745" s="42" t="inlineStr">
        <is>
          <t>Product</t>
        </is>
      </c>
      <c r="C745" s="42" t="n">
        <v>1</v>
      </c>
      <c r="D745" s="42" t="n">
        <v>8</v>
      </c>
      <c r="E745" s="42" t="n">
        <v>1</v>
      </c>
      <c r="F745" s="42" t="inlineStr">
        <is>
          <t>VD-026</t>
        </is>
      </c>
      <c r="G745" s="55">
        <f>IFERROR(INDEX('Semrush Data'!$A$1:$Z$20000,MATCH(A745,'Semrush Data'!$A$1:$A$20000,0),MATCH("Volume",'Semrush Data'!$A$1:$Z$1,0)),"")</f>
        <v/>
      </c>
      <c r="H745" s="42">
        <f>IFERROR(INDEX('Semrush Data'!$A$1:$Z$20000,MATCH(A745,'Semrush Data'!$A$1:$A$20000,0),MATCH("Keyword Difficulty*",'Semrush Data'!$A$1:$Z$1,0)),"")</f>
        <v/>
      </c>
      <c r="I745" s="56">
        <f>IFERROR(INDEX('Semrush Data'!$A$1:$Z$20000,MATCH(A745,'Semrush Data'!$A$1:$A$20000,0),MATCH("CPC*",'Semrush Data'!$A$1:$Z$1,0)),"")</f>
        <v/>
      </c>
      <c r="J745" s="42">
        <f>IFERROR(INDEX('Semrush Data'!$A$1:$Z$20000,MATCH(A745,'Semrush Data'!$A$1:$A$20000,0),MATCH("Intent",'Semrush Data'!$A$1:$Z$1,0)),"")</f>
        <v/>
      </c>
    </row>
    <row r="746" ht="15" customHeight="1" s="37">
      <c r="A746" s="42" t="inlineStr">
        <is>
          <t>vilvah cream bun lip balm</t>
        </is>
      </c>
      <c r="B746" s="42" t="inlineStr">
        <is>
          <t>Product</t>
        </is>
      </c>
      <c r="C746" s="42" t="n">
        <v>1</v>
      </c>
      <c r="D746" s="42" t="n">
        <v>8</v>
      </c>
      <c r="E746" s="42" t="n">
        <v>1</v>
      </c>
      <c r="F746" s="42" t="inlineStr">
        <is>
          <t>VD-046</t>
        </is>
      </c>
      <c r="G746" s="55">
        <f>IFERROR(INDEX('Semrush Data'!$A$1:$Z$20000,MATCH(A746,'Semrush Data'!$A$1:$A$20000,0),MATCH("Volume",'Semrush Data'!$A$1:$Z$1,0)),"")</f>
        <v/>
      </c>
      <c r="H746" s="42">
        <f>IFERROR(INDEX('Semrush Data'!$A$1:$Z$20000,MATCH(A746,'Semrush Data'!$A$1:$A$20000,0),MATCH("Keyword Difficulty*",'Semrush Data'!$A$1:$Z$1,0)),"")</f>
        <v/>
      </c>
      <c r="I746" s="56">
        <f>IFERROR(INDEX('Semrush Data'!$A$1:$Z$20000,MATCH(A746,'Semrush Data'!$A$1:$A$20000,0),MATCH("CPC*",'Semrush Data'!$A$1:$Z$1,0)),"")</f>
        <v/>
      </c>
      <c r="J746" s="42">
        <f>IFERROR(INDEX('Semrush Data'!$A$1:$Z$20000,MATCH(A746,'Semrush Data'!$A$1:$A$20000,0),MATCH("Intent",'Semrush Data'!$A$1:$Z$1,0)),"")</f>
        <v/>
      </c>
    </row>
    <row r="747" ht="15" customHeight="1" s="37">
      <c r="A747" s="42" t="inlineStr">
        <is>
          <t>vilvah cream conditioner</t>
        </is>
      </c>
      <c r="B747" s="42" t="inlineStr">
        <is>
          <t>Product</t>
        </is>
      </c>
      <c r="C747" s="42" t="n">
        <v>1</v>
      </c>
      <c r="D747" s="42" t="n">
        <v>8</v>
      </c>
      <c r="E747" s="42" t="n">
        <v>1</v>
      </c>
      <c r="F747" s="42" t="inlineStr">
        <is>
          <t>VD-012</t>
        </is>
      </c>
      <c r="G747" s="55">
        <f>IFERROR(INDEX('Semrush Data'!$A$1:$Z$20000,MATCH(A747,'Semrush Data'!$A$1:$A$20000,0),MATCH("Volume",'Semrush Data'!$A$1:$Z$1,0)),"")</f>
        <v/>
      </c>
      <c r="H747" s="42">
        <f>IFERROR(INDEX('Semrush Data'!$A$1:$Z$20000,MATCH(A747,'Semrush Data'!$A$1:$A$20000,0),MATCH("Keyword Difficulty*",'Semrush Data'!$A$1:$Z$1,0)),"")</f>
        <v/>
      </c>
      <c r="I747" s="56">
        <f>IFERROR(INDEX('Semrush Data'!$A$1:$Z$20000,MATCH(A747,'Semrush Data'!$A$1:$A$20000,0),MATCH("CPC*",'Semrush Data'!$A$1:$Z$1,0)),"")</f>
        <v/>
      </c>
      <c r="J747" s="42">
        <f>IFERROR(INDEX('Semrush Data'!$A$1:$Z$20000,MATCH(A747,'Semrush Data'!$A$1:$A$20000,0),MATCH("Intent",'Semrush Data'!$A$1:$Z$1,0)),"")</f>
        <v/>
      </c>
    </row>
    <row r="748" ht="15" customHeight="1" s="37">
      <c r="A748" s="42" t="inlineStr">
        <is>
          <t>vilvah cream face wash (fragrance free)</t>
        </is>
      </c>
      <c r="B748" s="42" t="inlineStr">
        <is>
          <t>Product</t>
        </is>
      </c>
      <c r="C748" s="42" t="n">
        <v>1</v>
      </c>
      <c r="D748" s="42" t="n">
        <v>8</v>
      </c>
      <c r="E748" s="42" t="n">
        <v>1</v>
      </c>
      <c r="F748" s="42" t="inlineStr">
        <is>
          <t>VD-027</t>
        </is>
      </c>
      <c r="G748" s="55">
        <f>IFERROR(INDEX('Semrush Data'!$A$1:$Z$20000,MATCH(A748,'Semrush Data'!$A$1:$A$20000,0),MATCH("Volume",'Semrush Data'!$A$1:$Z$1,0)),"")</f>
        <v/>
      </c>
      <c r="H748" s="42">
        <f>IFERROR(INDEX('Semrush Data'!$A$1:$Z$20000,MATCH(A748,'Semrush Data'!$A$1:$A$20000,0),MATCH("Keyword Difficulty*",'Semrush Data'!$A$1:$Z$1,0)),"")</f>
        <v/>
      </c>
      <c r="I748" s="56">
        <f>IFERROR(INDEX('Semrush Data'!$A$1:$Z$20000,MATCH(A748,'Semrush Data'!$A$1:$A$20000,0),MATCH("CPC*",'Semrush Data'!$A$1:$Z$1,0)),"")</f>
        <v/>
      </c>
      <c r="J748" s="42">
        <f>IFERROR(INDEX('Semrush Data'!$A$1:$Z$20000,MATCH(A748,'Semrush Data'!$A$1:$A$20000,0),MATCH("Intent",'Semrush Data'!$A$1:$Z$1,0)),"")</f>
        <v/>
      </c>
    </row>
    <row r="749" ht="15" customHeight="1" s="37">
      <c r="A749" s="42" t="inlineStr">
        <is>
          <t>vilvah cucumber, curd &amp; mint soap</t>
        </is>
      </c>
      <c r="B749" s="42" t="inlineStr">
        <is>
          <t>Product</t>
        </is>
      </c>
      <c r="C749" s="42" t="n">
        <v>1</v>
      </c>
      <c r="D749" s="42" t="n">
        <v>8</v>
      </c>
      <c r="E749" s="42" t="n">
        <v>1</v>
      </c>
      <c r="F749" s="42" t="inlineStr">
        <is>
          <t>VD-028</t>
        </is>
      </c>
      <c r="G749" s="55">
        <f>IFERROR(INDEX('Semrush Data'!$A$1:$Z$20000,MATCH(A749,'Semrush Data'!$A$1:$A$20000,0),MATCH("Volume",'Semrush Data'!$A$1:$Z$1,0)),"")</f>
        <v/>
      </c>
      <c r="H749" s="42">
        <f>IFERROR(INDEX('Semrush Data'!$A$1:$Z$20000,MATCH(A749,'Semrush Data'!$A$1:$A$20000,0),MATCH("Keyword Difficulty*",'Semrush Data'!$A$1:$Z$1,0)),"")</f>
        <v/>
      </c>
      <c r="I749" s="56">
        <f>IFERROR(INDEX('Semrush Data'!$A$1:$Z$20000,MATCH(A749,'Semrush Data'!$A$1:$A$20000,0),MATCH("CPC*",'Semrush Data'!$A$1:$Z$1,0)),"")</f>
        <v/>
      </c>
      <c r="J749" s="42">
        <f>IFERROR(INDEX('Semrush Data'!$A$1:$Z$20000,MATCH(A749,'Semrush Data'!$A$1:$A$20000,0),MATCH("Intent",'Semrush Data'!$A$1:$Z$1,0)),"")</f>
        <v/>
      </c>
    </row>
    <row r="750" ht="15" customHeight="1" s="37">
      <c r="A750" s="42" t="inlineStr">
        <is>
          <t>vilvah deo shot - lavender and sage</t>
        </is>
      </c>
      <c r="B750" s="42" t="inlineStr">
        <is>
          <t>Product</t>
        </is>
      </c>
      <c r="C750" s="42" t="n">
        <v>1</v>
      </c>
      <c r="D750" s="42" t="n">
        <v>8</v>
      </c>
      <c r="E750" s="42" t="n">
        <v>1</v>
      </c>
      <c r="F750" s="42" t="inlineStr">
        <is>
          <t>VD-029</t>
        </is>
      </c>
      <c r="G750" s="55">
        <f>IFERROR(INDEX('Semrush Data'!$A$1:$Z$20000,MATCH(A750,'Semrush Data'!$A$1:$A$20000,0),MATCH("Volume",'Semrush Data'!$A$1:$Z$1,0)),"")</f>
        <v/>
      </c>
      <c r="H750" s="42">
        <f>IFERROR(INDEX('Semrush Data'!$A$1:$Z$20000,MATCH(A750,'Semrush Data'!$A$1:$A$20000,0),MATCH("Keyword Difficulty*",'Semrush Data'!$A$1:$Z$1,0)),"")</f>
        <v/>
      </c>
      <c r="I750" s="56">
        <f>IFERROR(INDEX('Semrush Data'!$A$1:$Z$20000,MATCH(A750,'Semrush Data'!$A$1:$A$20000,0),MATCH("CPC*",'Semrush Data'!$A$1:$Z$1,0)),"")</f>
        <v/>
      </c>
      <c r="J750" s="42">
        <f>IFERROR(INDEX('Semrush Data'!$A$1:$Z$20000,MATCH(A750,'Semrush Data'!$A$1:$A$20000,0),MATCH("Intent",'Semrush Data'!$A$1:$Z$1,0)),"")</f>
        <v/>
      </c>
    </row>
    <row r="751" ht="15" customHeight="1" s="37">
      <c r="A751" s="42" t="inlineStr">
        <is>
          <t>vilvah deo shot - rose and vanilla</t>
        </is>
      </c>
      <c r="B751" s="42" t="inlineStr">
        <is>
          <t>Product</t>
        </is>
      </c>
      <c r="C751" s="42" t="n">
        <v>1</v>
      </c>
      <c r="D751" s="42" t="n">
        <v>8</v>
      </c>
      <c r="E751" s="42" t="n">
        <v>1</v>
      </c>
      <c r="F751" s="42" t="inlineStr">
        <is>
          <t>VD-004</t>
        </is>
      </c>
      <c r="G751" s="55">
        <f>IFERROR(INDEX('Semrush Data'!$A$1:$Z$20000,MATCH(A751,'Semrush Data'!$A$1:$A$20000,0),MATCH("Volume",'Semrush Data'!$A$1:$Z$1,0)),"")</f>
        <v/>
      </c>
      <c r="H751" s="42">
        <f>IFERROR(INDEX('Semrush Data'!$A$1:$Z$20000,MATCH(A751,'Semrush Data'!$A$1:$A$20000,0),MATCH("Keyword Difficulty*",'Semrush Data'!$A$1:$Z$1,0)),"")</f>
        <v/>
      </c>
      <c r="I751" s="56">
        <f>IFERROR(INDEX('Semrush Data'!$A$1:$Z$20000,MATCH(A751,'Semrush Data'!$A$1:$A$20000,0),MATCH("CPC*",'Semrush Data'!$A$1:$Z$1,0)),"")</f>
        <v/>
      </c>
      <c r="J751" s="42">
        <f>IFERROR(INDEX('Semrush Data'!$A$1:$Z$20000,MATCH(A751,'Semrush Data'!$A$1:$A$20000,0),MATCH("Intent",'Semrush Data'!$A$1:$Z$1,0)),"")</f>
        <v/>
      </c>
    </row>
    <row r="752" ht="15" customHeight="1" s="37">
      <c r="A752" s="42" t="inlineStr">
        <is>
          <t>vilvah everyday care milk kit</t>
        </is>
      </c>
      <c r="B752" s="42" t="inlineStr">
        <is>
          <t>Product</t>
        </is>
      </c>
      <c r="C752" s="42" t="n">
        <v>1</v>
      </c>
      <c r="D752" s="42" t="n">
        <v>8</v>
      </c>
      <c r="E752" s="42" t="n">
        <v>1</v>
      </c>
      <c r="F752" s="42" t="inlineStr">
        <is>
          <t>VD-080</t>
        </is>
      </c>
      <c r="G752" s="55">
        <f>IFERROR(INDEX('Semrush Data'!$A$1:$Z$20000,MATCH(A752,'Semrush Data'!$A$1:$A$20000,0),MATCH("Volume",'Semrush Data'!$A$1:$Z$1,0)),"")</f>
        <v/>
      </c>
      <c r="H752" s="42">
        <f>IFERROR(INDEX('Semrush Data'!$A$1:$Z$20000,MATCH(A752,'Semrush Data'!$A$1:$A$20000,0),MATCH("Keyword Difficulty*",'Semrush Data'!$A$1:$Z$1,0)),"")</f>
        <v/>
      </c>
      <c r="I752" s="56">
        <f>IFERROR(INDEX('Semrush Data'!$A$1:$Z$20000,MATCH(A752,'Semrush Data'!$A$1:$A$20000,0),MATCH("CPC*",'Semrush Data'!$A$1:$Z$1,0)),"")</f>
        <v/>
      </c>
      <c r="J752" s="42">
        <f>IFERROR(INDEX('Semrush Data'!$A$1:$Z$20000,MATCH(A752,'Semrush Data'!$A$1:$A$20000,0),MATCH("Intent",'Semrush Data'!$A$1:$Z$1,0)),"")</f>
        <v/>
      </c>
    </row>
    <row r="753" ht="15" customHeight="1" s="37">
      <c r="A753" s="42" t="inlineStr">
        <is>
          <t>vilvah face brightening kit</t>
        </is>
      </c>
      <c r="B753" s="42" t="inlineStr">
        <is>
          <t>Product</t>
        </is>
      </c>
      <c r="C753" s="42" t="n">
        <v>1</v>
      </c>
      <c r="D753" s="42" t="n">
        <v>8</v>
      </c>
      <c r="E753" s="42" t="n">
        <v>1</v>
      </c>
      <c r="F753" s="42" t="inlineStr">
        <is>
          <t>VD-064</t>
        </is>
      </c>
      <c r="G753" s="55">
        <f>IFERROR(INDEX('Semrush Data'!$A$1:$Z$20000,MATCH(A753,'Semrush Data'!$A$1:$A$20000,0),MATCH("Volume",'Semrush Data'!$A$1:$Z$1,0)),"")</f>
        <v/>
      </c>
      <c r="H753" s="42">
        <f>IFERROR(INDEX('Semrush Data'!$A$1:$Z$20000,MATCH(A753,'Semrush Data'!$A$1:$A$20000,0),MATCH("Keyword Difficulty*",'Semrush Data'!$A$1:$Z$1,0)),"")</f>
        <v/>
      </c>
      <c r="I753" s="56">
        <f>IFERROR(INDEX('Semrush Data'!$A$1:$Z$20000,MATCH(A753,'Semrush Data'!$A$1:$A$20000,0),MATCH("CPC*",'Semrush Data'!$A$1:$Z$1,0)),"")</f>
        <v/>
      </c>
      <c r="J753" s="42">
        <f>IFERROR(INDEX('Semrush Data'!$A$1:$Z$20000,MATCH(A753,'Semrush Data'!$A$1:$A$20000,0),MATCH("Intent",'Semrush Data'!$A$1:$Z$1,0)),"")</f>
        <v/>
      </c>
    </row>
    <row r="754" ht="15" customHeight="1" s="37">
      <c r="A754" s="42" t="inlineStr">
        <is>
          <t>vilvah face brightening kit large</t>
        </is>
      </c>
      <c r="B754" s="42" t="inlineStr">
        <is>
          <t>Product</t>
        </is>
      </c>
      <c r="C754" s="42" t="n">
        <v>1</v>
      </c>
      <c r="D754" s="42" t="n">
        <v>8</v>
      </c>
      <c r="E754" s="42" t="n">
        <v>1</v>
      </c>
      <c r="F754" s="42" t="inlineStr">
        <is>
          <t>VD-063</t>
        </is>
      </c>
      <c r="G754" s="55">
        <f>IFERROR(INDEX('Semrush Data'!$A$1:$Z$20000,MATCH(A754,'Semrush Data'!$A$1:$A$20000,0),MATCH("Volume",'Semrush Data'!$A$1:$Z$1,0)),"")</f>
        <v/>
      </c>
      <c r="H754" s="42">
        <f>IFERROR(INDEX('Semrush Data'!$A$1:$Z$20000,MATCH(A754,'Semrush Data'!$A$1:$A$20000,0),MATCH("Keyword Difficulty*",'Semrush Data'!$A$1:$Z$1,0)),"")</f>
        <v/>
      </c>
      <c r="I754" s="56">
        <f>IFERROR(INDEX('Semrush Data'!$A$1:$Z$20000,MATCH(A754,'Semrush Data'!$A$1:$A$20000,0),MATCH("CPC*",'Semrush Data'!$A$1:$Z$1,0)),"")</f>
        <v/>
      </c>
      <c r="J754" s="42">
        <f>IFERROR(INDEX('Semrush Data'!$A$1:$Z$20000,MATCH(A754,'Semrush Data'!$A$1:$A$20000,0),MATCH("Intent",'Semrush Data'!$A$1:$Z$1,0)),"")</f>
        <v/>
      </c>
    </row>
    <row r="755" ht="15" customHeight="1" s="37">
      <c r="A755" s="42" t="inlineStr">
        <is>
          <t>vilvah face lift kit</t>
        </is>
      </c>
      <c r="B755" s="42" t="inlineStr">
        <is>
          <t>Product</t>
        </is>
      </c>
      <c r="C755" s="42" t="n">
        <v>1</v>
      </c>
      <c r="D755" s="42" t="n">
        <v>8</v>
      </c>
      <c r="E755" s="42" t="n">
        <v>1</v>
      </c>
      <c r="F755" s="42" t="inlineStr">
        <is>
          <t>VD-066</t>
        </is>
      </c>
      <c r="G755" s="55">
        <f>IFERROR(INDEX('Semrush Data'!$A$1:$Z$20000,MATCH(A755,'Semrush Data'!$A$1:$A$20000,0),MATCH("Volume",'Semrush Data'!$A$1:$Z$1,0)),"")</f>
        <v/>
      </c>
      <c r="H755" s="42">
        <f>IFERROR(INDEX('Semrush Data'!$A$1:$Z$20000,MATCH(A755,'Semrush Data'!$A$1:$A$20000,0),MATCH("Keyword Difficulty*",'Semrush Data'!$A$1:$Z$1,0)),"")</f>
        <v/>
      </c>
      <c r="I755" s="56">
        <f>IFERROR(INDEX('Semrush Data'!$A$1:$Z$20000,MATCH(A755,'Semrush Data'!$A$1:$A$20000,0),MATCH("CPC*",'Semrush Data'!$A$1:$Z$1,0)),"")</f>
        <v/>
      </c>
      <c r="J755" s="42">
        <f>IFERROR(INDEX('Semrush Data'!$A$1:$Z$20000,MATCH(A755,'Semrush Data'!$A$1:$A$20000,0),MATCH("Intent",'Semrush Data'!$A$1:$Z$1,0)),"")</f>
        <v/>
      </c>
    </row>
    <row r="756" ht="15" customHeight="1" s="37">
      <c r="A756" s="42" t="inlineStr">
        <is>
          <t>vilvah filter kaapi lip balm</t>
        </is>
      </c>
      <c r="B756" s="42" t="inlineStr">
        <is>
          <t>Product</t>
        </is>
      </c>
      <c r="C756" s="42" t="n">
        <v>1</v>
      </c>
      <c r="D756" s="42" t="n">
        <v>8</v>
      </c>
      <c r="E756" s="42" t="n">
        <v>1</v>
      </c>
      <c r="F756" s="42" t="inlineStr">
        <is>
          <t>VD-044</t>
        </is>
      </c>
      <c r="G756" s="55">
        <f>IFERROR(INDEX('Semrush Data'!$A$1:$Z$20000,MATCH(A756,'Semrush Data'!$A$1:$A$20000,0),MATCH("Volume",'Semrush Data'!$A$1:$Z$1,0)),"")</f>
        <v/>
      </c>
      <c r="H756" s="42">
        <f>IFERROR(INDEX('Semrush Data'!$A$1:$Z$20000,MATCH(A756,'Semrush Data'!$A$1:$A$20000,0),MATCH("Keyword Difficulty*",'Semrush Data'!$A$1:$Z$1,0)),"")</f>
        <v/>
      </c>
      <c r="I756" s="56">
        <f>IFERROR(INDEX('Semrush Data'!$A$1:$Z$20000,MATCH(A756,'Semrush Data'!$A$1:$A$20000,0),MATCH("CPC*",'Semrush Data'!$A$1:$Z$1,0)),"")</f>
        <v/>
      </c>
      <c r="J756" s="42">
        <f>IFERROR(INDEX('Semrush Data'!$A$1:$Z$20000,MATCH(A756,'Semrush Data'!$A$1:$A$20000,0),MATCH("Intent",'Semrush Data'!$A$1:$Z$1,0)),"")</f>
        <v/>
      </c>
    </row>
    <row r="757" ht="15" customHeight="1" s="37">
      <c r="A757" s="42" t="inlineStr">
        <is>
          <t>vilvah foot cream</t>
        </is>
      </c>
      <c r="B757" s="42" t="inlineStr">
        <is>
          <t>Product</t>
        </is>
      </c>
      <c r="C757" s="42" t="n">
        <v>1</v>
      </c>
      <c r="D757" s="42" t="n">
        <v>8</v>
      </c>
      <c r="E757" s="42" t="n">
        <v>1</v>
      </c>
      <c r="F757" s="42" t="inlineStr">
        <is>
          <t>VD-030</t>
        </is>
      </c>
      <c r="G757" s="55">
        <f>IFERROR(INDEX('Semrush Data'!$A$1:$Z$20000,MATCH(A757,'Semrush Data'!$A$1:$A$20000,0),MATCH("Volume",'Semrush Data'!$A$1:$Z$1,0)),"")</f>
        <v/>
      </c>
      <c r="H757" s="42">
        <f>IFERROR(INDEX('Semrush Data'!$A$1:$Z$20000,MATCH(A757,'Semrush Data'!$A$1:$A$20000,0),MATCH("Keyword Difficulty*",'Semrush Data'!$A$1:$Z$1,0)),"")</f>
        <v/>
      </c>
      <c r="I757" s="56">
        <f>IFERROR(INDEX('Semrush Data'!$A$1:$Z$20000,MATCH(A757,'Semrush Data'!$A$1:$A$20000,0),MATCH("CPC*",'Semrush Data'!$A$1:$Z$1,0)),"")</f>
        <v/>
      </c>
      <c r="J757" s="42">
        <f>IFERROR(INDEX('Semrush Data'!$A$1:$Z$20000,MATCH(A757,'Semrush Data'!$A$1:$A$20000,0),MATCH("Intent",'Semrush Data'!$A$1:$Z$1,0)),"")</f>
        <v/>
      </c>
    </row>
    <row r="758" ht="15" customHeight="1" s="37">
      <c r="A758" s="42" t="inlineStr">
        <is>
          <t>vilvah foot cream and body lotion kit</t>
        </is>
      </c>
      <c r="B758" s="42" t="inlineStr">
        <is>
          <t>Product</t>
        </is>
      </c>
      <c r="C758" s="42" t="n">
        <v>1</v>
      </c>
      <c r="D758" s="42" t="n">
        <v>8</v>
      </c>
      <c r="E758" s="42" t="n">
        <v>1</v>
      </c>
      <c r="F758" s="42" t="inlineStr">
        <is>
          <t>VD-048</t>
        </is>
      </c>
      <c r="G758" s="55">
        <f>IFERROR(INDEX('Semrush Data'!$A$1:$Z$20000,MATCH(A758,'Semrush Data'!$A$1:$A$20000,0),MATCH("Volume",'Semrush Data'!$A$1:$Z$1,0)),"")</f>
        <v/>
      </c>
      <c r="H758" s="42">
        <f>IFERROR(INDEX('Semrush Data'!$A$1:$Z$20000,MATCH(A758,'Semrush Data'!$A$1:$A$20000,0),MATCH("Keyword Difficulty*",'Semrush Data'!$A$1:$Z$1,0)),"")</f>
        <v/>
      </c>
      <c r="I758" s="56">
        <f>IFERROR(INDEX('Semrush Data'!$A$1:$Z$20000,MATCH(A758,'Semrush Data'!$A$1:$A$20000,0),MATCH("CPC*",'Semrush Data'!$A$1:$Z$1,0)),"")</f>
        <v/>
      </c>
      <c r="J758" s="42">
        <f>IFERROR(INDEX('Semrush Data'!$A$1:$Z$20000,MATCH(A758,'Semrush Data'!$A$1:$A$20000,0),MATCH("Intent",'Semrush Data'!$A$1:$Z$1,0)),"")</f>
        <v/>
      </c>
    </row>
    <row r="759" ht="15" customHeight="1" s="37">
      <c r="A759" s="42" t="inlineStr">
        <is>
          <t>vilvah goat milk body wash</t>
        </is>
      </c>
      <c r="B759" s="42" t="inlineStr">
        <is>
          <t>Product</t>
        </is>
      </c>
      <c r="C759" s="42" t="n">
        <v>1</v>
      </c>
      <c r="D759" s="42" t="n">
        <v>8</v>
      </c>
      <c r="E759" s="42" t="n">
        <v>1</v>
      </c>
      <c r="F759" s="42" t="inlineStr">
        <is>
          <t>VD-009</t>
        </is>
      </c>
      <c r="G759" s="55">
        <f>IFERROR(INDEX('Semrush Data'!$A$1:$Z$20000,MATCH(A759,'Semrush Data'!$A$1:$A$20000,0),MATCH("Volume",'Semrush Data'!$A$1:$Z$1,0)),"")</f>
        <v/>
      </c>
      <c r="H759" s="42">
        <f>IFERROR(INDEX('Semrush Data'!$A$1:$Z$20000,MATCH(A759,'Semrush Data'!$A$1:$A$20000,0),MATCH("Keyword Difficulty*",'Semrush Data'!$A$1:$Z$1,0)),"")</f>
        <v/>
      </c>
      <c r="I759" s="56">
        <f>IFERROR(INDEX('Semrush Data'!$A$1:$Z$20000,MATCH(A759,'Semrush Data'!$A$1:$A$20000,0),MATCH("CPC*",'Semrush Data'!$A$1:$Z$1,0)),"")</f>
        <v/>
      </c>
      <c r="J759" s="42">
        <f>IFERROR(INDEX('Semrush Data'!$A$1:$Z$20000,MATCH(A759,'Semrush Data'!$A$1:$A$20000,0),MATCH("Intent",'Semrush Data'!$A$1:$Z$1,0)),"")</f>
        <v/>
      </c>
    </row>
    <row r="760" ht="15" customHeight="1" s="37">
      <c r="A760" s="42" t="inlineStr">
        <is>
          <t>vilvah goat milk hair kit</t>
        </is>
      </c>
      <c r="B760" s="42" t="inlineStr">
        <is>
          <t>Product</t>
        </is>
      </c>
      <c r="C760" s="42" t="n">
        <v>1</v>
      </c>
      <c r="D760" s="42" t="n">
        <v>8</v>
      </c>
      <c r="E760" s="42" t="n">
        <v>1</v>
      </c>
      <c r="F760" s="42" t="inlineStr">
        <is>
          <t>VD-079</t>
        </is>
      </c>
      <c r="G760" s="55">
        <f>IFERROR(INDEX('Semrush Data'!$A$1:$Z$20000,MATCH(A760,'Semrush Data'!$A$1:$A$20000,0),MATCH("Volume",'Semrush Data'!$A$1:$Z$1,0)),"")</f>
        <v/>
      </c>
      <c r="H760" s="42">
        <f>IFERROR(INDEX('Semrush Data'!$A$1:$Z$20000,MATCH(A760,'Semrush Data'!$A$1:$A$20000,0),MATCH("Keyword Difficulty*",'Semrush Data'!$A$1:$Z$1,0)),"")</f>
        <v/>
      </c>
      <c r="I760" s="56">
        <f>IFERROR(INDEX('Semrush Data'!$A$1:$Z$20000,MATCH(A760,'Semrush Data'!$A$1:$A$20000,0),MATCH("CPC*",'Semrush Data'!$A$1:$Z$1,0)),"")</f>
        <v/>
      </c>
      <c r="J760" s="42">
        <f>IFERROR(INDEX('Semrush Data'!$A$1:$Z$20000,MATCH(A760,'Semrush Data'!$A$1:$A$20000,0),MATCH("Intent",'Semrush Data'!$A$1:$Z$1,0)),"")</f>
        <v/>
      </c>
    </row>
    <row r="761" ht="15" customHeight="1" s="37">
      <c r="A761" s="42" t="inlineStr">
        <is>
          <t>vilvah goat milk hair mask</t>
        </is>
      </c>
      <c r="B761" s="42" t="inlineStr">
        <is>
          <t>Product</t>
        </is>
      </c>
      <c r="C761" s="42" t="n">
        <v>1</v>
      </c>
      <c r="D761" s="42" t="n">
        <v>8</v>
      </c>
      <c r="E761" s="42" t="n">
        <v>1</v>
      </c>
      <c r="F761" s="42" t="inlineStr">
        <is>
          <t>VD-031</t>
        </is>
      </c>
      <c r="G761" s="55">
        <f>IFERROR(INDEX('Semrush Data'!$A$1:$Z$20000,MATCH(A761,'Semrush Data'!$A$1:$A$20000,0),MATCH("Volume",'Semrush Data'!$A$1:$Z$1,0)),"")</f>
        <v/>
      </c>
      <c r="H761" s="42">
        <f>IFERROR(INDEX('Semrush Data'!$A$1:$Z$20000,MATCH(A761,'Semrush Data'!$A$1:$A$20000,0),MATCH("Keyword Difficulty*",'Semrush Data'!$A$1:$Z$1,0)),"")</f>
        <v/>
      </c>
      <c r="I761" s="56">
        <f>IFERROR(INDEX('Semrush Data'!$A$1:$Z$20000,MATCH(A761,'Semrush Data'!$A$1:$A$20000,0),MATCH("CPC*",'Semrush Data'!$A$1:$Z$1,0)),"")</f>
        <v/>
      </c>
      <c r="J761" s="42">
        <f>IFERROR(INDEX('Semrush Data'!$A$1:$Z$20000,MATCH(A761,'Semrush Data'!$A$1:$A$20000,0),MATCH("Intent",'Semrush Data'!$A$1:$Z$1,0)),"")</f>
        <v/>
      </c>
    </row>
    <row r="762" ht="15" customHeight="1" s="37">
      <c r="A762" s="42" t="inlineStr">
        <is>
          <t>vilvah goat milk shampoo</t>
        </is>
      </c>
      <c r="B762" s="42" t="inlineStr">
        <is>
          <t>Product</t>
        </is>
      </c>
      <c r="C762" s="42" t="n">
        <v>1</v>
      </c>
      <c r="D762" s="42" t="n">
        <v>8</v>
      </c>
      <c r="E762" s="42" t="n">
        <v>1</v>
      </c>
      <c r="F762" s="42" t="inlineStr">
        <is>
          <t>VD-013</t>
        </is>
      </c>
      <c r="G762" s="55">
        <f>IFERROR(INDEX('Semrush Data'!$A$1:$Z$20000,MATCH(A762,'Semrush Data'!$A$1:$A$20000,0),MATCH("Volume",'Semrush Data'!$A$1:$Z$1,0)),"")</f>
        <v/>
      </c>
      <c r="H762" s="42">
        <f>IFERROR(INDEX('Semrush Data'!$A$1:$Z$20000,MATCH(A762,'Semrush Data'!$A$1:$A$20000,0),MATCH("Keyword Difficulty*",'Semrush Data'!$A$1:$Z$1,0)),"")</f>
        <v/>
      </c>
      <c r="I762" s="56">
        <f>IFERROR(INDEX('Semrush Data'!$A$1:$Z$20000,MATCH(A762,'Semrush Data'!$A$1:$A$20000,0),MATCH("CPC*",'Semrush Data'!$A$1:$Z$1,0)),"")</f>
        <v/>
      </c>
      <c r="J762" s="42">
        <f>IFERROR(INDEX('Semrush Data'!$A$1:$Z$20000,MATCH(A762,'Semrush Data'!$A$1:$A$20000,0),MATCH("Intent",'Semrush Data'!$A$1:$Z$1,0)),"")</f>
        <v/>
      </c>
    </row>
    <row r="763" ht="15" customHeight="1" s="37">
      <c r="A763" s="42" t="inlineStr">
        <is>
          <t>vilvah hair growth oil</t>
        </is>
      </c>
      <c r="B763" s="42" t="inlineStr">
        <is>
          <t>Product</t>
        </is>
      </c>
      <c r="C763" s="42" t="n">
        <v>1</v>
      </c>
      <c r="D763" s="42" t="n">
        <v>8</v>
      </c>
      <c r="E763" s="42" t="n">
        <v>3</v>
      </c>
      <c r="F763" s="42" t="inlineStr">
        <is>
          <t>VD-002, VD-032, VD-033</t>
        </is>
      </c>
      <c r="G763" s="55">
        <f>IFERROR(INDEX('Semrush Data'!$A$1:$Z$20000,MATCH(A763,'Semrush Data'!$A$1:$A$20000,0),MATCH("Volume",'Semrush Data'!$A$1:$Z$1,0)),"")</f>
        <v/>
      </c>
      <c r="H763" s="42">
        <f>IFERROR(INDEX('Semrush Data'!$A$1:$Z$20000,MATCH(A763,'Semrush Data'!$A$1:$A$20000,0),MATCH("Keyword Difficulty*",'Semrush Data'!$A$1:$Z$1,0)),"")</f>
        <v/>
      </c>
      <c r="I763" s="56">
        <f>IFERROR(INDEX('Semrush Data'!$A$1:$Z$20000,MATCH(A763,'Semrush Data'!$A$1:$A$20000,0),MATCH("CPC*",'Semrush Data'!$A$1:$Z$1,0)),"")</f>
        <v/>
      </c>
      <c r="J763" s="42">
        <f>IFERROR(INDEX('Semrush Data'!$A$1:$Z$20000,MATCH(A763,'Semrush Data'!$A$1:$A$20000,0),MATCH("Intent",'Semrush Data'!$A$1:$Z$1,0)),"")</f>
        <v/>
      </c>
    </row>
    <row r="764" ht="15" customHeight="1" s="37">
      <c r="A764" s="42" t="inlineStr">
        <is>
          <t>vilvah hair strengthening kit</t>
        </is>
      </c>
      <c r="B764" s="42" t="inlineStr">
        <is>
          <t>Product</t>
        </is>
      </c>
      <c r="C764" s="42" t="n">
        <v>1</v>
      </c>
      <c r="D764" s="42" t="n">
        <v>8</v>
      </c>
      <c r="E764" s="42" t="n">
        <v>1</v>
      </c>
      <c r="F764" s="42" t="inlineStr">
        <is>
          <t>VD-072</t>
        </is>
      </c>
      <c r="G764" s="55">
        <f>IFERROR(INDEX('Semrush Data'!$A$1:$Z$20000,MATCH(A764,'Semrush Data'!$A$1:$A$20000,0),MATCH("Volume",'Semrush Data'!$A$1:$Z$1,0)),"")</f>
        <v/>
      </c>
      <c r="H764" s="42">
        <f>IFERROR(INDEX('Semrush Data'!$A$1:$Z$20000,MATCH(A764,'Semrush Data'!$A$1:$A$20000,0),MATCH("Keyword Difficulty*",'Semrush Data'!$A$1:$Z$1,0)),"")</f>
        <v/>
      </c>
      <c r="I764" s="56">
        <f>IFERROR(INDEX('Semrush Data'!$A$1:$Z$20000,MATCH(A764,'Semrush Data'!$A$1:$A$20000,0),MATCH("CPC*",'Semrush Data'!$A$1:$Z$1,0)),"")</f>
        <v/>
      </c>
      <c r="J764" s="42">
        <f>IFERROR(INDEX('Semrush Data'!$A$1:$Z$20000,MATCH(A764,'Semrush Data'!$A$1:$A$20000,0),MATCH("Intent",'Semrush Data'!$A$1:$Z$1,0)),"")</f>
        <v/>
      </c>
    </row>
    <row r="765" ht="15" customHeight="1" s="37">
      <c r="A765" s="42" t="inlineStr">
        <is>
          <t>vilvah hairfall control kit</t>
        </is>
      </c>
      <c r="B765" s="42" t="inlineStr">
        <is>
          <t>Product</t>
        </is>
      </c>
      <c r="C765" s="42" t="n">
        <v>1</v>
      </c>
      <c r="D765" s="42" t="n">
        <v>8</v>
      </c>
      <c r="E765" s="42" t="n">
        <v>1</v>
      </c>
      <c r="F765" s="42" t="inlineStr">
        <is>
          <t>VD-077</t>
        </is>
      </c>
      <c r="G765" s="55">
        <f>IFERROR(INDEX('Semrush Data'!$A$1:$Z$20000,MATCH(A765,'Semrush Data'!$A$1:$A$20000,0),MATCH("Volume",'Semrush Data'!$A$1:$Z$1,0)),"")</f>
        <v/>
      </c>
      <c r="H765" s="42">
        <f>IFERROR(INDEX('Semrush Data'!$A$1:$Z$20000,MATCH(A765,'Semrush Data'!$A$1:$A$20000,0),MATCH("Keyword Difficulty*",'Semrush Data'!$A$1:$Z$1,0)),"")</f>
        <v/>
      </c>
      <c r="I765" s="56">
        <f>IFERROR(INDEX('Semrush Data'!$A$1:$Z$20000,MATCH(A765,'Semrush Data'!$A$1:$A$20000,0),MATCH("CPC*",'Semrush Data'!$A$1:$Z$1,0)),"")</f>
        <v/>
      </c>
      <c r="J765" s="42">
        <f>IFERROR(INDEX('Semrush Data'!$A$1:$Z$20000,MATCH(A765,'Semrush Data'!$A$1:$A$20000,0),MATCH("Intent",'Semrush Data'!$A$1:$Z$1,0)),"")</f>
        <v/>
      </c>
    </row>
    <row r="766" ht="15" customHeight="1" s="37">
      <c r="A766" s="42" t="inlineStr">
        <is>
          <t>vilvah herbal shampoo (dandruff control)</t>
        </is>
      </c>
      <c r="B766" s="42" t="inlineStr">
        <is>
          <t>Product</t>
        </is>
      </c>
      <c r="C766" s="42" t="n">
        <v>1</v>
      </c>
      <c r="D766" s="42" t="n">
        <v>8</v>
      </c>
      <c r="E766" s="42" t="n">
        <v>1</v>
      </c>
      <c r="F766" s="42" t="inlineStr">
        <is>
          <t>VD-034</t>
        </is>
      </c>
      <c r="G766" s="55">
        <f>IFERROR(INDEX('Semrush Data'!$A$1:$Z$20000,MATCH(A766,'Semrush Data'!$A$1:$A$20000,0),MATCH("Volume",'Semrush Data'!$A$1:$Z$1,0)),"")</f>
        <v/>
      </c>
      <c r="H766" s="42">
        <f>IFERROR(INDEX('Semrush Data'!$A$1:$Z$20000,MATCH(A766,'Semrush Data'!$A$1:$A$20000,0),MATCH("Keyword Difficulty*",'Semrush Data'!$A$1:$Z$1,0)),"")</f>
        <v/>
      </c>
      <c r="I766" s="56">
        <f>IFERROR(INDEX('Semrush Data'!$A$1:$Z$20000,MATCH(A766,'Semrush Data'!$A$1:$A$20000,0),MATCH("CPC*",'Semrush Data'!$A$1:$Z$1,0)),"")</f>
        <v/>
      </c>
      <c r="J766" s="42">
        <f>IFERROR(INDEX('Semrush Data'!$A$1:$Z$20000,MATCH(A766,'Semrush Data'!$A$1:$A$20000,0),MATCH("Intent",'Semrush Data'!$A$1:$Z$1,0)),"")</f>
        <v/>
      </c>
    </row>
    <row r="767" ht="15" customHeight="1" s="37">
      <c r="A767" s="42" t="inlineStr">
        <is>
          <t>vilvah honey fix face wash</t>
        </is>
      </c>
      <c r="B767" s="42" t="inlineStr">
        <is>
          <t>Product</t>
        </is>
      </c>
      <c r="C767" s="42" t="n">
        <v>1</v>
      </c>
      <c r="D767" s="42" t="n">
        <v>8</v>
      </c>
      <c r="E767" s="42" t="n">
        <v>1</v>
      </c>
      <c r="F767" s="42" t="inlineStr">
        <is>
          <t>VD-014</t>
        </is>
      </c>
      <c r="G767" s="55">
        <f>IFERROR(INDEX('Semrush Data'!$A$1:$Z$20000,MATCH(A767,'Semrush Data'!$A$1:$A$20000,0),MATCH("Volume",'Semrush Data'!$A$1:$Z$1,0)),"")</f>
        <v/>
      </c>
      <c r="H767" s="42">
        <f>IFERROR(INDEX('Semrush Data'!$A$1:$Z$20000,MATCH(A767,'Semrush Data'!$A$1:$A$20000,0),MATCH("Keyword Difficulty*",'Semrush Data'!$A$1:$Z$1,0)),"")</f>
        <v/>
      </c>
      <c r="I767" s="56">
        <f>IFERROR(INDEX('Semrush Data'!$A$1:$Z$20000,MATCH(A767,'Semrush Data'!$A$1:$A$20000,0),MATCH("CPC*",'Semrush Data'!$A$1:$Z$1,0)),"")</f>
        <v/>
      </c>
      <c r="J767" s="42">
        <f>IFERROR(INDEX('Semrush Data'!$A$1:$Z$20000,MATCH(A767,'Semrush Data'!$A$1:$A$20000,0),MATCH("Intent",'Semrush Data'!$A$1:$Z$1,0)),"")</f>
        <v/>
      </c>
    </row>
    <row r="768" ht="15" customHeight="1" s="37">
      <c r="A768" s="42" t="inlineStr">
        <is>
          <t>vilvah lip balm - grapefruit</t>
        </is>
      </c>
      <c r="B768" s="42" t="inlineStr">
        <is>
          <t>Product</t>
        </is>
      </c>
      <c r="C768" s="42" t="n">
        <v>1</v>
      </c>
      <c r="D768" s="42" t="n">
        <v>8</v>
      </c>
      <c r="E768" s="42" t="n">
        <v>1</v>
      </c>
      <c r="F768" s="42" t="inlineStr">
        <is>
          <t>VD-035</t>
        </is>
      </c>
      <c r="G768" s="55">
        <f>IFERROR(INDEX('Semrush Data'!$A$1:$Z$20000,MATCH(A768,'Semrush Data'!$A$1:$A$20000,0),MATCH("Volume",'Semrush Data'!$A$1:$Z$1,0)),"")</f>
        <v/>
      </c>
      <c r="H768" s="42">
        <f>IFERROR(INDEX('Semrush Data'!$A$1:$Z$20000,MATCH(A768,'Semrush Data'!$A$1:$A$20000,0),MATCH("Keyword Difficulty*",'Semrush Data'!$A$1:$Z$1,0)),"")</f>
        <v/>
      </c>
      <c r="I768" s="56">
        <f>IFERROR(INDEX('Semrush Data'!$A$1:$Z$20000,MATCH(A768,'Semrush Data'!$A$1:$A$20000,0),MATCH("CPC*",'Semrush Data'!$A$1:$Z$1,0)),"")</f>
        <v/>
      </c>
      <c r="J768" s="42">
        <f>IFERROR(INDEX('Semrush Data'!$A$1:$Z$20000,MATCH(A768,'Semrush Data'!$A$1:$A$20000,0),MATCH("Intent",'Semrush Data'!$A$1:$Z$1,0)),"")</f>
        <v/>
      </c>
    </row>
    <row r="769" ht="15" customHeight="1" s="37">
      <c r="A769" s="42" t="inlineStr">
        <is>
          <t>vilvah lip balm - lemon</t>
        </is>
      </c>
      <c r="B769" s="42" t="inlineStr">
        <is>
          <t>Product</t>
        </is>
      </c>
      <c r="C769" s="42" t="n">
        <v>1</v>
      </c>
      <c r="D769" s="42" t="n">
        <v>8</v>
      </c>
      <c r="E769" s="42" t="n">
        <v>1</v>
      </c>
      <c r="F769" s="42" t="inlineStr">
        <is>
          <t>VD-015</t>
        </is>
      </c>
      <c r="G769" s="55">
        <f>IFERROR(INDEX('Semrush Data'!$A$1:$Z$20000,MATCH(A769,'Semrush Data'!$A$1:$A$20000,0),MATCH("Volume",'Semrush Data'!$A$1:$Z$1,0)),"")</f>
        <v/>
      </c>
      <c r="H769" s="42">
        <f>IFERROR(INDEX('Semrush Data'!$A$1:$Z$20000,MATCH(A769,'Semrush Data'!$A$1:$A$20000,0),MATCH("Keyword Difficulty*",'Semrush Data'!$A$1:$Z$1,0)),"")</f>
        <v/>
      </c>
      <c r="I769" s="56">
        <f>IFERROR(INDEX('Semrush Data'!$A$1:$Z$20000,MATCH(A769,'Semrush Data'!$A$1:$A$20000,0),MATCH("CPC*",'Semrush Data'!$A$1:$Z$1,0)),"")</f>
        <v/>
      </c>
      <c r="J769" s="42">
        <f>IFERROR(INDEX('Semrush Data'!$A$1:$Z$20000,MATCH(A769,'Semrush Data'!$A$1:$A$20000,0),MATCH("Intent",'Semrush Data'!$A$1:$Z$1,0)),"")</f>
        <v/>
      </c>
    </row>
    <row r="770" ht="15" customHeight="1" s="37">
      <c r="A770" s="42" t="inlineStr">
        <is>
          <t>vilvah lip lightening kit</t>
        </is>
      </c>
      <c r="B770" s="42" t="inlineStr">
        <is>
          <t>Product</t>
        </is>
      </c>
      <c r="C770" s="42" t="n">
        <v>1</v>
      </c>
      <c r="D770" s="42" t="n">
        <v>8</v>
      </c>
      <c r="E770" s="42" t="n">
        <v>1</v>
      </c>
      <c r="F770" s="42" t="inlineStr">
        <is>
          <t>VD-073</t>
        </is>
      </c>
      <c r="G770" s="55">
        <f>IFERROR(INDEX('Semrush Data'!$A$1:$Z$20000,MATCH(A770,'Semrush Data'!$A$1:$A$20000,0),MATCH("Volume",'Semrush Data'!$A$1:$Z$1,0)),"")</f>
        <v/>
      </c>
      <c r="H770" s="42">
        <f>IFERROR(INDEX('Semrush Data'!$A$1:$Z$20000,MATCH(A770,'Semrush Data'!$A$1:$A$20000,0),MATCH("Keyword Difficulty*",'Semrush Data'!$A$1:$Z$1,0)),"")</f>
        <v/>
      </c>
      <c r="I770" s="56">
        <f>IFERROR(INDEX('Semrush Data'!$A$1:$Z$20000,MATCH(A770,'Semrush Data'!$A$1:$A$20000,0),MATCH("CPC*",'Semrush Data'!$A$1:$Z$1,0)),"")</f>
        <v/>
      </c>
      <c r="J770" s="42">
        <f>IFERROR(INDEX('Semrush Data'!$A$1:$Z$20000,MATCH(A770,'Semrush Data'!$A$1:$A$20000,0),MATCH("Intent",'Semrush Data'!$A$1:$Z$1,0)),"")</f>
        <v/>
      </c>
    </row>
    <row r="771" ht="15" customHeight="1" s="37">
      <c r="A771" s="42" t="inlineStr">
        <is>
          <t>vilvah lip nourishing kit</t>
        </is>
      </c>
      <c r="B771" s="42" t="inlineStr">
        <is>
          <t>Product</t>
        </is>
      </c>
      <c r="C771" s="42" t="n">
        <v>1</v>
      </c>
      <c r="D771" s="42" t="n">
        <v>8</v>
      </c>
      <c r="E771" s="42" t="n">
        <v>1</v>
      </c>
      <c r="F771" s="42" t="inlineStr">
        <is>
          <t>VD-081</t>
        </is>
      </c>
      <c r="G771" s="55">
        <f>IFERROR(INDEX('Semrush Data'!$A$1:$Z$20000,MATCH(A771,'Semrush Data'!$A$1:$A$20000,0),MATCH("Volume",'Semrush Data'!$A$1:$Z$1,0)),"")</f>
        <v/>
      </c>
      <c r="H771" s="42">
        <f>IFERROR(INDEX('Semrush Data'!$A$1:$Z$20000,MATCH(A771,'Semrush Data'!$A$1:$A$20000,0),MATCH("Keyword Difficulty*",'Semrush Data'!$A$1:$Z$1,0)),"")</f>
        <v/>
      </c>
      <c r="I771" s="56">
        <f>IFERROR(INDEX('Semrush Data'!$A$1:$Z$20000,MATCH(A771,'Semrush Data'!$A$1:$A$20000,0),MATCH("CPC*",'Semrush Data'!$A$1:$Z$1,0)),"")</f>
        <v/>
      </c>
      <c r="J771" s="42">
        <f>IFERROR(INDEX('Semrush Data'!$A$1:$Z$20000,MATCH(A771,'Semrush Data'!$A$1:$A$20000,0),MATCH("Intent",'Semrush Data'!$A$1:$Z$1,0)),"")</f>
        <v/>
      </c>
    </row>
    <row r="772" ht="15" customHeight="1" s="37">
      <c r="A772" s="42" t="inlineStr">
        <is>
          <t>vilvah lip scrub</t>
        </is>
      </c>
      <c r="B772" s="42" t="inlineStr">
        <is>
          <t>Product</t>
        </is>
      </c>
      <c r="C772" s="42" t="n">
        <v>1</v>
      </c>
      <c r="D772" s="42" t="n">
        <v>8</v>
      </c>
      <c r="E772" s="42" t="n">
        <v>1</v>
      </c>
      <c r="F772" s="42" t="inlineStr">
        <is>
          <t>VD-036</t>
        </is>
      </c>
      <c r="G772" s="55">
        <f>IFERROR(INDEX('Semrush Data'!$A$1:$Z$20000,MATCH(A772,'Semrush Data'!$A$1:$A$20000,0),MATCH("Volume",'Semrush Data'!$A$1:$Z$1,0)),"")</f>
        <v/>
      </c>
      <c r="H772" s="42">
        <f>IFERROR(INDEX('Semrush Data'!$A$1:$Z$20000,MATCH(A772,'Semrush Data'!$A$1:$A$20000,0),MATCH("Keyword Difficulty*",'Semrush Data'!$A$1:$Z$1,0)),"")</f>
        <v/>
      </c>
      <c r="I772" s="56">
        <f>IFERROR(INDEX('Semrush Data'!$A$1:$Z$20000,MATCH(A772,'Semrush Data'!$A$1:$A$20000,0),MATCH("CPC*",'Semrush Data'!$A$1:$Z$1,0)),"")</f>
        <v/>
      </c>
      <c r="J772" s="42">
        <f>IFERROR(INDEX('Semrush Data'!$A$1:$Z$20000,MATCH(A772,'Semrush Data'!$A$1:$A$20000,0),MATCH("Intent",'Semrush Data'!$A$1:$Z$1,0)),"")</f>
        <v/>
      </c>
    </row>
    <row r="773" ht="15" customHeight="1" s="37">
      <c r="A773" s="42" t="inlineStr">
        <is>
          <t>vilvah mango shake lip balm</t>
        </is>
      </c>
      <c r="B773" s="42" t="inlineStr">
        <is>
          <t>Product</t>
        </is>
      </c>
      <c r="C773" s="42" t="n">
        <v>1</v>
      </c>
      <c r="D773" s="42" t="n">
        <v>8</v>
      </c>
      <c r="E773" s="42" t="n">
        <v>1</v>
      </c>
      <c r="F773" s="42" t="inlineStr">
        <is>
          <t>VD-045</t>
        </is>
      </c>
      <c r="G773" s="55">
        <f>IFERROR(INDEX('Semrush Data'!$A$1:$Z$20000,MATCH(A773,'Semrush Data'!$A$1:$A$20000,0),MATCH("Volume",'Semrush Data'!$A$1:$Z$1,0)),"")</f>
        <v/>
      </c>
      <c r="H773" s="42">
        <f>IFERROR(INDEX('Semrush Data'!$A$1:$Z$20000,MATCH(A773,'Semrush Data'!$A$1:$A$20000,0),MATCH("Keyword Difficulty*",'Semrush Data'!$A$1:$Z$1,0)),"")</f>
        <v/>
      </c>
      <c r="I773" s="56">
        <f>IFERROR(INDEX('Semrush Data'!$A$1:$Z$20000,MATCH(A773,'Semrush Data'!$A$1:$A$20000,0),MATCH("CPC*",'Semrush Data'!$A$1:$Z$1,0)),"")</f>
        <v/>
      </c>
      <c r="J773" s="42">
        <f>IFERROR(INDEX('Semrush Data'!$A$1:$Z$20000,MATCH(A773,'Semrush Data'!$A$1:$A$20000,0),MATCH("Intent",'Semrush Data'!$A$1:$Z$1,0)),"")</f>
        <v/>
      </c>
    </row>
    <row r="774" ht="15" customHeight="1" s="37">
      <c r="A774" s="42" t="inlineStr">
        <is>
          <t>vilvah men's comb / detangling comb</t>
        </is>
      </c>
      <c r="B774" s="42" t="inlineStr">
        <is>
          <t>Product</t>
        </is>
      </c>
      <c r="C774" s="42" t="n">
        <v>1</v>
      </c>
      <c r="D774" s="42" t="n">
        <v>8</v>
      </c>
      <c r="E774" s="42" t="n">
        <v>1</v>
      </c>
      <c r="F774" s="42" t="inlineStr">
        <is>
          <t>VD-037</t>
        </is>
      </c>
      <c r="G774" s="55">
        <f>IFERROR(INDEX('Semrush Data'!$A$1:$Z$20000,MATCH(A774,'Semrush Data'!$A$1:$A$20000,0),MATCH("Volume",'Semrush Data'!$A$1:$Z$1,0)),"")</f>
        <v/>
      </c>
      <c r="H774" s="42">
        <f>IFERROR(INDEX('Semrush Data'!$A$1:$Z$20000,MATCH(A774,'Semrush Data'!$A$1:$A$20000,0),MATCH("Keyword Difficulty*",'Semrush Data'!$A$1:$Z$1,0)),"")</f>
        <v/>
      </c>
      <c r="I774" s="56">
        <f>IFERROR(INDEX('Semrush Data'!$A$1:$Z$20000,MATCH(A774,'Semrush Data'!$A$1:$A$20000,0),MATCH("CPC*",'Semrush Data'!$A$1:$Z$1,0)),"")</f>
        <v/>
      </c>
      <c r="J774" s="42">
        <f>IFERROR(INDEX('Semrush Data'!$A$1:$Z$20000,MATCH(A774,'Semrush Data'!$A$1:$A$20000,0),MATCH("Intent",'Semrush Data'!$A$1:$Z$1,0)),"")</f>
        <v/>
      </c>
    </row>
    <row r="775" ht="15" customHeight="1" s="37">
      <c r="A775" s="42" t="inlineStr">
        <is>
          <t>vilvah milk body kit</t>
        </is>
      </c>
      <c r="B775" s="42" t="inlineStr">
        <is>
          <t>Product</t>
        </is>
      </c>
      <c r="C775" s="42" t="n">
        <v>1</v>
      </c>
      <c r="D775" s="42" t="n">
        <v>8</v>
      </c>
      <c r="E775" s="42" t="n">
        <v>1</v>
      </c>
      <c r="F775" s="42" t="inlineStr">
        <is>
          <t>VD-047</t>
        </is>
      </c>
      <c r="G775" s="55">
        <f>IFERROR(INDEX('Semrush Data'!$A$1:$Z$20000,MATCH(A775,'Semrush Data'!$A$1:$A$20000,0),MATCH("Volume",'Semrush Data'!$A$1:$Z$1,0)),"")</f>
        <v/>
      </c>
      <c r="H775" s="42">
        <f>IFERROR(INDEX('Semrush Data'!$A$1:$Z$20000,MATCH(A775,'Semrush Data'!$A$1:$A$20000,0),MATCH("Keyword Difficulty*",'Semrush Data'!$A$1:$Z$1,0)),"")</f>
        <v/>
      </c>
      <c r="I775" s="56">
        <f>IFERROR(INDEX('Semrush Data'!$A$1:$Z$20000,MATCH(A775,'Semrush Data'!$A$1:$A$20000,0),MATCH("CPC*",'Semrush Data'!$A$1:$Z$1,0)),"")</f>
        <v/>
      </c>
      <c r="J775" s="42">
        <f>IFERROR(INDEX('Semrush Data'!$A$1:$Z$20000,MATCH(A775,'Semrush Data'!$A$1:$A$20000,0),MATCH("Intent",'Semrush Data'!$A$1:$Z$1,0)),"")</f>
        <v/>
      </c>
    </row>
    <row r="776" ht="15" customHeight="1" s="37">
      <c r="A776" s="42" t="inlineStr">
        <is>
          <t>vilvah milk body lotion</t>
        </is>
      </c>
      <c r="B776" s="42" t="inlineStr">
        <is>
          <t>Product</t>
        </is>
      </c>
      <c r="C776" s="42" t="n">
        <v>1</v>
      </c>
      <c r="D776" s="42" t="n">
        <v>8</v>
      </c>
      <c r="E776" s="42" t="n">
        <v>1</v>
      </c>
      <c r="F776" s="42" t="inlineStr">
        <is>
          <t>VD-016</t>
        </is>
      </c>
      <c r="G776" s="55">
        <f>IFERROR(INDEX('Semrush Data'!$A$1:$Z$20000,MATCH(A776,'Semrush Data'!$A$1:$A$20000,0),MATCH("Volume",'Semrush Data'!$A$1:$Z$1,0)),"")</f>
        <v/>
      </c>
      <c r="H776" s="42">
        <f>IFERROR(INDEX('Semrush Data'!$A$1:$Z$20000,MATCH(A776,'Semrush Data'!$A$1:$A$20000,0),MATCH("Keyword Difficulty*",'Semrush Data'!$A$1:$Z$1,0)),"")</f>
        <v/>
      </c>
      <c r="I776" s="56">
        <f>IFERROR(INDEX('Semrush Data'!$A$1:$Z$20000,MATCH(A776,'Semrush Data'!$A$1:$A$20000,0),MATCH("CPC*",'Semrush Data'!$A$1:$Z$1,0)),"")</f>
        <v/>
      </c>
      <c r="J776" s="42">
        <f>IFERROR(INDEX('Semrush Data'!$A$1:$Z$20000,MATCH(A776,'Semrush Data'!$A$1:$A$20000,0),MATCH("Intent",'Semrush Data'!$A$1:$Z$1,0)),"")</f>
        <v/>
      </c>
    </row>
    <row r="777" ht="15" customHeight="1" s="37">
      <c r="A777" s="42" t="inlineStr">
        <is>
          <t>vilvah milk drops brightening serum</t>
        </is>
      </c>
      <c r="B777" s="42" t="inlineStr">
        <is>
          <t>Product</t>
        </is>
      </c>
      <c r="C777" s="42" t="n">
        <v>1</v>
      </c>
      <c r="D777" s="42" t="n">
        <v>8</v>
      </c>
      <c r="E777" s="42" t="n">
        <v>2</v>
      </c>
      <c r="F777" s="42" t="inlineStr">
        <is>
          <t>VD-038, VD-039</t>
        </is>
      </c>
      <c r="G777" s="55">
        <f>IFERROR(INDEX('Semrush Data'!$A$1:$Z$20000,MATCH(A777,'Semrush Data'!$A$1:$A$20000,0),MATCH("Volume",'Semrush Data'!$A$1:$Z$1,0)),"")</f>
        <v/>
      </c>
      <c r="H777" s="42">
        <f>IFERROR(INDEX('Semrush Data'!$A$1:$Z$20000,MATCH(A777,'Semrush Data'!$A$1:$A$20000,0),MATCH("Keyword Difficulty*",'Semrush Data'!$A$1:$Z$1,0)),"")</f>
        <v/>
      </c>
      <c r="I777" s="56">
        <f>IFERROR(INDEX('Semrush Data'!$A$1:$Z$20000,MATCH(A777,'Semrush Data'!$A$1:$A$20000,0),MATCH("CPC*",'Semrush Data'!$A$1:$Z$1,0)),"")</f>
        <v/>
      </c>
      <c r="J777" s="42">
        <f>IFERROR(INDEX('Semrush Data'!$A$1:$Z$20000,MATCH(A777,'Semrush Data'!$A$1:$A$20000,0),MATCH("Intent",'Semrush Data'!$A$1:$Z$1,0)),"")</f>
        <v/>
      </c>
    </row>
    <row r="778" ht="15" customHeight="1" s="37">
      <c r="A778" s="42" t="inlineStr">
        <is>
          <t>vilvah milk face kit</t>
        </is>
      </c>
      <c r="B778" s="42" t="inlineStr">
        <is>
          <t>Product</t>
        </is>
      </c>
      <c r="C778" s="42" t="n">
        <v>1</v>
      </c>
      <c r="D778" s="42" t="n">
        <v>8</v>
      </c>
      <c r="E778" s="42" t="n">
        <v>1</v>
      </c>
      <c r="F778" s="42" t="inlineStr">
        <is>
          <t>VD-049</t>
        </is>
      </c>
      <c r="G778" s="55">
        <f>IFERROR(INDEX('Semrush Data'!$A$1:$Z$20000,MATCH(A778,'Semrush Data'!$A$1:$A$20000,0),MATCH("Volume",'Semrush Data'!$A$1:$Z$1,0)),"")</f>
        <v/>
      </c>
      <c r="H778" s="42">
        <f>IFERROR(INDEX('Semrush Data'!$A$1:$Z$20000,MATCH(A778,'Semrush Data'!$A$1:$A$20000,0),MATCH("Keyword Difficulty*",'Semrush Data'!$A$1:$Z$1,0)),"")</f>
        <v/>
      </c>
      <c r="I778" s="56">
        <f>IFERROR(INDEX('Semrush Data'!$A$1:$Z$20000,MATCH(A778,'Semrush Data'!$A$1:$A$20000,0),MATCH("CPC*",'Semrush Data'!$A$1:$Z$1,0)),"")</f>
        <v/>
      </c>
      <c r="J778" s="42">
        <f>IFERROR(INDEX('Semrush Data'!$A$1:$Z$20000,MATCH(A778,'Semrush Data'!$A$1:$A$20000,0),MATCH("Intent",'Semrush Data'!$A$1:$Z$1,0)),"")</f>
        <v/>
      </c>
    </row>
    <row r="779" ht="15" customHeight="1" s="37">
      <c r="A779" s="42" t="inlineStr">
        <is>
          <t>vilvah milk face toner</t>
        </is>
      </c>
      <c r="B779" s="42" t="inlineStr">
        <is>
          <t>Product</t>
        </is>
      </c>
      <c r="C779" s="42" t="n">
        <v>1</v>
      </c>
      <c r="D779" s="42" t="n">
        <v>8</v>
      </c>
      <c r="E779" s="42" t="n">
        <v>1</v>
      </c>
      <c r="F779" s="42" t="inlineStr">
        <is>
          <t>VD-017</t>
        </is>
      </c>
      <c r="G779" s="55">
        <f>IFERROR(INDEX('Semrush Data'!$A$1:$Z$20000,MATCH(A779,'Semrush Data'!$A$1:$A$20000,0),MATCH("Volume",'Semrush Data'!$A$1:$Z$1,0)),"")</f>
        <v/>
      </c>
      <c r="H779" s="42">
        <f>IFERROR(INDEX('Semrush Data'!$A$1:$Z$20000,MATCH(A779,'Semrush Data'!$A$1:$A$20000,0),MATCH("Keyword Difficulty*",'Semrush Data'!$A$1:$Z$1,0)),"")</f>
        <v/>
      </c>
      <c r="I779" s="56">
        <f>IFERROR(INDEX('Semrush Data'!$A$1:$Z$20000,MATCH(A779,'Semrush Data'!$A$1:$A$20000,0),MATCH("CPC*",'Semrush Data'!$A$1:$Z$1,0)),"")</f>
        <v/>
      </c>
      <c r="J779" s="42">
        <f>IFERROR(INDEX('Semrush Data'!$A$1:$Z$20000,MATCH(A779,'Semrush Data'!$A$1:$A$20000,0),MATCH("Intent",'Semrush Data'!$A$1:$Z$1,0)),"")</f>
        <v/>
      </c>
    </row>
    <row r="780" ht="15" customHeight="1" s="37">
      <c r="A780" s="42" t="inlineStr">
        <is>
          <t>vilvah milk lip balm spf 30 pa+++</t>
        </is>
      </c>
      <c r="B780" s="42" t="inlineStr">
        <is>
          <t>Product</t>
        </is>
      </c>
      <c r="C780" s="42" t="n">
        <v>1</v>
      </c>
      <c r="D780" s="42" t="n">
        <v>8</v>
      </c>
      <c r="E780" s="42" t="n">
        <v>1</v>
      </c>
      <c r="F780" s="42" t="inlineStr">
        <is>
          <t>VD-040</t>
        </is>
      </c>
      <c r="G780" s="55">
        <f>IFERROR(INDEX('Semrush Data'!$A$1:$Z$20000,MATCH(A780,'Semrush Data'!$A$1:$A$20000,0),MATCH("Volume",'Semrush Data'!$A$1:$Z$1,0)),"")</f>
        <v/>
      </c>
      <c r="H780" s="42">
        <f>IFERROR(INDEX('Semrush Data'!$A$1:$Z$20000,MATCH(A780,'Semrush Data'!$A$1:$A$20000,0),MATCH("Keyword Difficulty*",'Semrush Data'!$A$1:$Z$1,0)),"")</f>
        <v/>
      </c>
      <c r="I780" s="56">
        <f>IFERROR(INDEX('Semrush Data'!$A$1:$Z$20000,MATCH(A780,'Semrush Data'!$A$1:$A$20000,0),MATCH("CPC*",'Semrush Data'!$A$1:$Z$1,0)),"")</f>
        <v/>
      </c>
      <c r="J780" s="42">
        <f>IFERROR(INDEX('Semrush Data'!$A$1:$Z$20000,MATCH(A780,'Semrush Data'!$A$1:$A$20000,0),MATCH("Intent",'Semrush Data'!$A$1:$Z$1,0)),"")</f>
        <v/>
      </c>
    </row>
    <row r="781" ht="15" customHeight="1" s="37">
      <c r="A781" s="42" t="inlineStr">
        <is>
          <t>vilvah milk mud mask</t>
        </is>
      </c>
      <c r="B781" s="42" t="inlineStr">
        <is>
          <t>Product</t>
        </is>
      </c>
      <c r="C781" s="42" t="n">
        <v>1</v>
      </c>
      <c r="D781" s="42" t="n">
        <v>8</v>
      </c>
      <c r="E781" s="42" t="n">
        <v>1</v>
      </c>
      <c r="F781" s="42" t="inlineStr">
        <is>
          <t>VD-018</t>
        </is>
      </c>
      <c r="G781" s="55">
        <f>IFERROR(INDEX('Semrush Data'!$A$1:$Z$20000,MATCH(A781,'Semrush Data'!$A$1:$A$20000,0),MATCH("Volume",'Semrush Data'!$A$1:$Z$1,0)),"")</f>
        <v/>
      </c>
      <c r="H781" s="42">
        <f>IFERROR(INDEX('Semrush Data'!$A$1:$Z$20000,MATCH(A781,'Semrush Data'!$A$1:$A$20000,0),MATCH("Keyword Difficulty*",'Semrush Data'!$A$1:$Z$1,0)),"")</f>
        <v/>
      </c>
      <c r="I781" s="56">
        <f>IFERROR(INDEX('Semrush Data'!$A$1:$Z$20000,MATCH(A781,'Semrush Data'!$A$1:$A$20000,0),MATCH("CPC*",'Semrush Data'!$A$1:$Z$1,0)),"")</f>
        <v/>
      </c>
      <c r="J781" s="42">
        <f>IFERROR(INDEX('Semrush Data'!$A$1:$Z$20000,MATCH(A781,'Semrush Data'!$A$1:$A$20000,0),MATCH("Intent",'Semrush Data'!$A$1:$Z$1,0)),"")</f>
        <v/>
      </c>
    </row>
    <row r="782" ht="15" customHeight="1" s="37">
      <c r="A782" s="42" t="inlineStr">
        <is>
          <t>vilvah milk powder face wash</t>
        </is>
      </c>
      <c r="B782" s="42" t="inlineStr">
        <is>
          <t>Product</t>
        </is>
      </c>
      <c r="C782" s="42" t="n">
        <v>1</v>
      </c>
      <c r="D782" s="42" t="n">
        <v>8</v>
      </c>
      <c r="E782" s="42" t="n">
        <v>1</v>
      </c>
      <c r="F782" s="42" t="inlineStr">
        <is>
          <t>VD-006</t>
        </is>
      </c>
      <c r="G782" s="55">
        <f>IFERROR(INDEX('Semrush Data'!$A$1:$Z$20000,MATCH(A782,'Semrush Data'!$A$1:$A$20000,0),MATCH("Volume",'Semrush Data'!$A$1:$Z$1,0)),"")</f>
        <v/>
      </c>
      <c r="H782" s="42">
        <f>IFERROR(INDEX('Semrush Data'!$A$1:$Z$20000,MATCH(A782,'Semrush Data'!$A$1:$A$20000,0),MATCH("Keyword Difficulty*",'Semrush Data'!$A$1:$Z$1,0)),"")</f>
        <v/>
      </c>
      <c r="I782" s="56">
        <f>IFERROR(INDEX('Semrush Data'!$A$1:$Z$20000,MATCH(A782,'Semrush Data'!$A$1:$A$20000,0),MATCH("CPC*",'Semrush Data'!$A$1:$Z$1,0)),"")</f>
        <v/>
      </c>
      <c r="J782" s="42">
        <f>IFERROR(INDEX('Semrush Data'!$A$1:$Z$20000,MATCH(A782,'Semrush Data'!$A$1:$A$20000,0),MATCH("Intent",'Semrush Data'!$A$1:$Z$1,0)),"")</f>
        <v/>
      </c>
    </row>
    <row r="783" ht="15" customHeight="1" s="37">
      <c r="A783" s="42" t="inlineStr">
        <is>
          <t>vilvah neem wood comb (with handle)</t>
        </is>
      </c>
      <c r="B783" s="42" t="inlineStr">
        <is>
          <t>Product</t>
        </is>
      </c>
      <c r="C783" s="42" t="n">
        <v>1</v>
      </c>
      <c r="D783" s="42" t="n">
        <v>8</v>
      </c>
      <c r="E783" s="42" t="n">
        <v>1</v>
      </c>
      <c r="F783" s="42" t="inlineStr">
        <is>
          <t>VD-041</t>
        </is>
      </c>
      <c r="G783" s="55">
        <f>IFERROR(INDEX('Semrush Data'!$A$1:$Z$20000,MATCH(A783,'Semrush Data'!$A$1:$A$20000,0),MATCH("Volume",'Semrush Data'!$A$1:$Z$1,0)),"")</f>
        <v/>
      </c>
      <c r="H783" s="42">
        <f>IFERROR(INDEX('Semrush Data'!$A$1:$Z$20000,MATCH(A783,'Semrush Data'!$A$1:$A$20000,0),MATCH("Keyword Difficulty*",'Semrush Data'!$A$1:$Z$1,0)),"")</f>
        <v/>
      </c>
      <c r="I783" s="56">
        <f>IFERROR(INDEX('Semrush Data'!$A$1:$Z$20000,MATCH(A783,'Semrush Data'!$A$1:$A$20000,0),MATCH("CPC*",'Semrush Data'!$A$1:$Z$1,0)),"")</f>
        <v/>
      </c>
      <c r="J783" s="42">
        <f>IFERROR(INDEX('Semrush Data'!$A$1:$Z$20000,MATCH(A783,'Semrush Data'!$A$1:$A$20000,0),MATCH("Intent",'Semrush Data'!$A$1:$Z$1,0)),"")</f>
        <v/>
      </c>
    </row>
    <row r="784" ht="15" customHeight="1" s="37">
      <c r="A784" s="42" t="inlineStr">
        <is>
          <t>vilvah neem wood comb(fine and wide tooth)</t>
        </is>
      </c>
      <c r="B784" s="42" t="inlineStr">
        <is>
          <t>Product</t>
        </is>
      </c>
      <c r="C784" s="42" t="n">
        <v>1</v>
      </c>
      <c r="D784" s="42" t="n">
        <v>8</v>
      </c>
      <c r="E784" s="42" t="n">
        <v>1</v>
      </c>
      <c r="F784" s="42" t="inlineStr">
        <is>
          <t>VD-042</t>
        </is>
      </c>
      <c r="G784" s="55">
        <f>IFERROR(INDEX('Semrush Data'!$A$1:$Z$20000,MATCH(A784,'Semrush Data'!$A$1:$A$20000,0),MATCH("Volume",'Semrush Data'!$A$1:$Z$1,0)),"")</f>
        <v/>
      </c>
      <c r="H784" s="42">
        <f>IFERROR(INDEX('Semrush Data'!$A$1:$Z$20000,MATCH(A784,'Semrush Data'!$A$1:$A$20000,0),MATCH("Keyword Difficulty*",'Semrush Data'!$A$1:$Z$1,0)),"")</f>
        <v/>
      </c>
      <c r="I784" s="56">
        <f>IFERROR(INDEX('Semrush Data'!$A$1:$Z$20000,MATCH(A784,'Semrush Data'!$A$1:$A$20000,0),MATCH("CPC*",'Semrush Data'!$A$1:$Z$1,0)),"")</f>
        <v/>
      </c>
      <c r="J784" s="42">
        <f>IFERROR(INDEX('Semrush Data'!$A$1:$Z$20000,MATCH(A784,'Semrush Data'!$A$1:$A$20000,0),MATCH("Intent",'Semrush Data'!$A$1:$Z$1,0)),"")</f>
        <v/>
      </c>
    </row>
    <row r="785" ht="15" customHeight="1" s="37">
      <c r="A785" s="42" t="inlineStr">
        <is>
          <t>vilvah night repair kit</t>
        </is>
      </c>
      <c r="B785" s="42" t="inlineStr">
        <is>
          <t>Product</t>
        </is>
      </c>
      <c r="C785" s="42" t="n">
        <v>1</v>
      </c>
      <c r="D785" s="42" t="n">
        <v>8</v>
      </c>
      <c r="E785" s="42" t="n">
        <v>1</v>
      </c>
      <c r="F785" s="42" t="inlineStr">
        <is>
          <t>VD-056</t>
        </is>
      </c>
      <c r="G785" s="55">
        <f>IFERROR(INDEX('Semrush Data'!$A$1:$Z$20000,MATCH(A785,'Semrush Data'!$A$1:$A$20000,0),MATCH("Volume",'Semrush Data'!$A$1:$Z$1,0)),"")</f>
        <v/>
      </c>
      <c r="H785" s="42">
        <f>IFERROR(INDEX('Semrush Data'!$A$1:$Z$20000,MATCH(A785,'Semrush Data'!$A$1:$A$20000,0),MATCH("Keyword Difficulty*",'Semrush Data'!$A$1:$Z$1,0)),"")</f>
        <v/>
      </c>
      <c r="I785" s="56">
        <f>IFERROR(INDEX('Semrush Data'!$A$1:$Z$20000,MATCH(A785,'Semrush Data'!$A$1:$A$20000,0),MATCH("CPC*",'Semrush Data'!$A$1:$Z$1,0)),"")</f>
        <v/>
      </c>
      <c r="J785" s="42">
        <f>IFERROR(INDEX('Semrush Data'!$A$1:$Z$20000,MATCH(A785,'Semrush Data'!$A$1:$A$20000,0),MATCH("Intent",'Semrush Data'!$A$1:$Z$1,0)),"")</f>
        <v/>
      </c>
    </row>
    <row r="786" ht="15" customHeight="1" s="37">
      <c r="A786" s="42" t="inlineStr">
        <is>
          <t>vilvah oil control kit</t>
        </is>
      </c>
      <c r="B786" s="42" t="inlineStr">
        <is>
          <t>Product</t>
        </is>
      </c>
      <c r="C786" s="42" t="n">
        <v>1</v>
      </c>
      <c r="D786" s="42" t="n">
        <v>8</v>
      </c>
      <c r="E786" s="42" t="n">
        <v>1</v>
      </c>
      <c r="F786" s="42" t="inlineStr">
        <is>
          <t>VD-050</t>
        </is>
      </c>
      <c r="G786" s="55">
        <f>IFERROR(INDEX('Semrush Data'!$A$1:$Z$20000,MATCH(A786,'Semrush Data'!$A$1:$A$20000,0),MATCH("Volume",'Semrush Data'!$A$1:$Z$1,0)),"")</f>
        <v/>
      </c>
      <c r="H786" s="42">
        <f>IFERROR(INDEX('Semrush Data'!$A$1:$Z$20000,MATCH(A786,'Semrush Data'!$A$1:$A$20000,0),MATCH("Keyword Difficulty*",'Semrush Data'!$A$1:$Z$1,0)),"")</f>
        <v/>
      </c>
      <c r="I786" s="56">
        <f>IFERROR(INDEX('Semrush Data'!$A$1:$Z$20000,MATCH(A786,'Semrush Data'!$A$1:$A$20000,0),MATCH("CPC*",'Semrush Data'!$A$1:$Z$1,0)),"")</f>
        <v/>
      </c>
      <c r="J786" s="42">
        <f>IFERROR(INDEX('Semrush Data'!$A$1:$Z$20000,MATCH(A786,'Semrush Data'!$A$1:$A$20000,0),MATCH("Intent",'Semrush Data'!$A$1:$Z$1,0)),"")</f>
        <v/>
      </c>
    </row>
    <row r="787" ht="15" customHeight="1" s="37">
      <c r="A787" s="42" t="inlineStr">
        <is>
          <t>vilvah pore minimising kit</t>
        </is>
      </c>
      <c r="B787" s="42" t="inlineStr">
        <is>
          <t>Product</t>
        </is>
      </c>
      <c r="C787" s="42" t="n">
        <v>1</v>
      </c>
      <c r="D787" s="42" t="n">
        <v>8</v>
      </c>
      <c r="E787" s="42" t="n">
        <v>1</v>
      </c>
      <c r="F787" s="42" t="inlineStr">
        <is>
          <t>VD-062</t>
        </is>
      </c>
      <c r="G787" s="55">
        <f>IFERROR(INDEX('Semrush Data'!$A$1:$Z$20000,MATCH(A787,'Semrush Data'!$A$1:$A$20000,0),MATCH("Volume",'Semrush Data'!$A$1:$Z$1,0)),"")</f>
        <v/>
      </c>
      <c r="H787" s="42">
        <f>IFERROR(INDEX('Semrush Data'!$A$1:$Z$20000,MATCH(A787,'Semrush Data'!$A$1:$A$20000,0),MATCH("Keyword Difficulty*",'Semrush Data'!$A$1:$Z$1,0)),"")</f>
        <v/>
      </c>
      <c r="I787" s="56">
        <f>IFERROR(INDEX('Semrush Data'!$A$1:$Z$20000,MATCH(A787,'Semrush Data'!$A$1:$A$20000,0),MATCH("CPC*",'Semrush Data'!$A$1:$Z$1,0)),"")</f>
        <v/>
      </c>
      <c r="J787" s="42">
        <f>IFERROR(INDEX('Semrush Data'!$A$1:$Z$20000,MATCH(A787,'Semrush Data'!$A$1:$A$20000,0),MATCH("Intent",'Semrush Data'!$A$1:$Z$1,0)),"")</f>
        <v/>
      </c>
    </row>
    <row r="788" ht="15" customHeight="1" s="37">
      <c r="A788" s="42" t="inlineStr">
        <is>
          <t>vilvah rose milk lip balm</t>
        </is>
      </c>
      <c r="B788" s="42" t="inlineStr">
        <is>
          <t>Product</t>
        </is>
      </c>
      <c r="C788" s="42" t="n">
        <v>1</v>
      </c>
      <c r="D788" s="42" t="n">
        <v>8</v>
      </c>
      <c r="E788" s="42" t="n">
        <v>1</v>
      </c>
      <c r="F788" s="42" t="inlineStr">
        <is>
          <t>VD-010</t>
        </is>
      </c>
      <c r="G788" s="55">
        <f>IFERROR(INDEX('Semrush Data'!$A$1:$Z$20000,MATCH(A788,'Semrush Data'!$A$1:$A$20000,0),MATCH("Volume",'Semrush Data'!$A$1:$Z$1,0)),"")</f>
        <v/>
      </c>
      <c r="H788" s="42">
        <f>IFERROR(INDEX('Semrush Data'!$A$1:$Z$20000,MATCH(A788,'Semrush Data'!$A$1:$A$20000,0),MATCH("Keyword Difficulty*",'Semrush Data'!$A$1:$Z$1,0)),"")</f>
        <v/>
      </c>
      <c r="I788" s="56">
        <f>IFERROR(INDEX('Semrush Data'!$A$1:$Z$20000,MATCH(A788,'Semrush Data'!$A$1:$A$20000,0),MATCH("CPC*",'Semrush Data'!$A$1:$Z$1,0)),"")</f>
        <v/>
      </c>
      <c r="J788" s="42">
        <f>IFERROR(INDEX('Semrush Data'!$A$1:$Z$20000,MATCH(A788,'Semrush Data'!$A$1:$A$20000,0),MATCH("Intent",'Semrush Data'!$A$1:$Z$1,0)),"")</f>
        <v/>
      </c>
    </row>
    <row r="789" ht="15" customHeight="1" s="37">
      <c r="A789" s="42" t="inlineStr">
        <is>
          <t>vilvah rosewater facial toner</t>
        </is>
      </c>
      <c r="B789" s="42" t="inlineStr">
        <is>
          <t>Product</t>
        </is>
      </c>
      <c r="C789" s="42" t="n">
        <v>1</v>
      </c>
      <c r="D789" s="42" t="n">
        <v>8</v>
      </c>
      <c r="E789" s="42" t="n">
        <v>1</v>
      </c>
      <c r="F789" s="42" t="inlineStr">
        <is>
          <t>VD-001</t>
        </is>
      </c>
      <c r="G789" s="55">
        <f>IFERROR(INDEX('Semrush Data'!$A$1:$Z$20000,MATCH(A789,'Semrush Data'!$A$1:$A$20000,0),MATCH("Volume",'Semrush Data'!$A$1:$Z$1,0)),"")</f>
        <v/>
      </c>
      <c r="H789" s="42">
        <f>IFERROR(INDEX('Semrush Data'!$A$1:$Z$20000,MATCH(A789,'Semrush Data'!$A$1:$A$20000,0),MATCH("Keyword Difficulty*",'Semrush Data'!$A$1:$Z$1,0)),"")</f>
        <v/>
      </c>
      <c r="I789" s="56">
        <f>IFERROR(INDEX('Semrush Data'!$A$1:$Z$20000,MATCH(A789,'Semrush Data'!$A$1:$A$20000,0),MATCH("CPC*",'Semrush Data'!$A$1:$Z$1,0)),"")</f>
        <v/>
      </c>
      <c r="J789" s="42">
        <f>IFERROR(INDEX('Semrush Data'!$A$1:$Z$20000,MATCH(A789,'Semrush Data'!$A$1:$A$20000,0),MATCH("Intent",'Semrush Data'!$A$1:$Z$1,0)),"")</f>
        <v/>
      </c>
    </row>
    <row r="790" ht="15" customHeight="1" s="37">
      <c r="A790" s="42" t="inlineStr">
        <is>
          <t>vilvah sensitive skin kit</t>
        </is>
      </c>
      <c r="B790" s="42" t="inlineStr">
        <is>
          <t>Product</t>
        </is>
      </c>
      <c r="C790" s="42" t="n">
        <v>1</v>
      </c>
      <c r="D790" s="42" t="n">
        <v>8</v>
      </c>
      <c r="E790" s="42" t="n">
        <v>1</v>
      </c>
      <c r="F790" s="42" t="inlineStr">
        <is>
          <t>VD-051</t>
        </is>
      </c>
      <c r="G790" s="55">
        <f>IFERROR(INDEX('Semrush Data'!$A$1:$Z$20000,MATCH(A790,'Semrush Data'!$A$1:$A$20000,0),MATCH("Volume",'Semrush Data'!$A$1:$Z$1,0)),"")</f>
        <v/>
      </c>
      <c r="H790" s="42">
        <f>IFERROR(INDEX('Semrush Data'!$A$1:$Z$20000,MATCH(A790,'Semrush Data'!$A$1:$A$20000,0),MATCH("Keyword Difficulty*",'Semrush Data'!$A$1:$Z$1,0)),"")</f>
        <v/>
      </c>
      <c r="I790" s="56">
        <f>IFERROR(INDEX('Semrush Data'!$A$1:$Z$20000,MATCH(A790,'Semrush Data'!$A$1:$A$20000,0),MATCH("CPC*",'Semrush Data'!$A$1:$Z$1,0)),"")</f>
        <v/>
      </c>
      <c r="J790" s="42">
        <f>IFERROR(INDEX('Semrush Data'!$A$1:$Z$20000,MATCH(A790,'Semrush Data'!$A$1:$A$20000,0),MATCH("Intent",'Semrush Data'!$A$1:$Z$1,0)),"")</f>
        <v/>
      </c>
    </row>
    <row r="791" ht="15" customHeight="1" s="37">
      <c r="A791" s="42" t="inlineStr">
        <is>
          <t>vilvah shampoo and hair serum kit</t>
        </is>
      </c>
      <c r="B791" s="42" t="inlineStr">
        <is>
          <t>Product</t>
        </is>
      </c>
      <c r="C791" s="42" t="n">
        <v>1</v>
      </c>
      <c r="D791" s="42" t="n">
        <v>8</v>
      </c>
      <c r="E791" s="42" t="n">
        <v>1</v>
      </c>
      <c r="F791" s="42" t="inlineStr">
        <is>
          <t>VD-071</t>
        </is>
      </c>
      <c r="G791" s="55">
        <f>IFERROR(INDEX('Semrush Data'!$A$1:$Z$20000,MATCH(A791,'Semrush Data'!$A$1:$A$20000,0),MATCH("Volume",'Semrush Data'!$A$1:$Z$1,0)),"")</f>
        <v/>
      </c>
      <c r="H791" s="42">
        <f>IFERROR(INDEX('Semrush Data'!$A$1:$Z$20000,MATCH(A791,'Semrush Data'!$A$1:$A$20000,0),MATCH("Keyword Difficulty*",'Semrush Data'!$A$1:$Z$1,0)),"")</f>
        <v/>
      </c>
      <c r="I791" s="56">
        <f>IFERROR(INDEX('Semrush Data'!$A$1:$Z$20000,MATCH(A791,'Semrush Data'!$A$1:$A$20000,0),MATCH("CPC*",'Semrush Data'!$A$1:$Z$1,0)),"")</f>
        <v/>
      </c>
      <c r="J791" s="42">
        <f>IFERROR(INDEX('Semrush Data'!$A$1:$Z$20000,MATCH(A791,'Semrush Data'!$A$1:$A$20000,0),MATCH("Intent",'Semrush Data'!$A$1:$Z$1,0)),"")</f>
        <v/>
      </c>
    </row>
    <row r="792" ht="15" customHeight="1" s="37">
      <c r="A792" s="42" t="inlineStr">
        <is>
          <t>vilvah skin brightening kit</t>
        </is>
      </c>
      <c r="B792" s="42" t="inlineStr">
        <is>
          <t>Product</t>
        </is>
      </c>
      <c r="C792" s="42" t="n">
        <v>1</v>
      </c>
      <c r="D792" s="42" t="n">
        <v>8</v>
      </c>
      <c r="E792" s="42" t="n">
        <v>1</v>
      </c>
      <c r="F792" s="42" t="inlineStr">
        <is>
          <t>VD-055</t>
        </is>
      </c>
      <c r="G792" s="55">
        <f>IFERROR(INDEX('Semrush Data'!$A$1:$Z$20000,MATCH(A792,'Semrush Data'!$A$1:$A$20000,0),MATCH("Volume",'Semrush Data'!$A$1:$Z$1,0)),"")</f>
        <v/>
      </c>
      <c r="H792" s="42">
        <f>IFERROR(INDEX('Semrush Data'!$A$1:$Z$20000,MATCH(A792,'Semrush Data'!$A$1:$A$20000,0),MATCH("Keyword Difficulty*",'Semrush Data'!$A$1:$Z$1,0)),"")</f>
        <v/>
      </c>
      <c r="I792" s="56">
        <f>IFERROR(INDEX('Semrush Data'!$A$1:$Z$20000,MATCH(A792,'Semrush Data'!$A$1:$A$20000,0),MATCH("CPC*",'Semrush Data'!$A$1:$Z$1,0)),"")</f>
        <v/>
      </c>
      <c r="J792" s="42">
        <f>IFERROR(INDEX('Semrush Data'!$A$1:$Z$20000,MATCH(A792,'Semrush Data'!$A$1:$A$20000,0),MATCH("Intent",'Semrush Data'!$A$1:$Z$1,0)),"")</f>
        <v/>
      </c>
    </row>
    <row r="793" ht="15" customHeight="1" s="37">
      <c r="A793" s="42" t="inlineStr">
        <is>
          <t>vilvah skin finish sunscreen spf 50</t>
        </is>
      </c>
      <c r="B793" s="42" t="inlineStr">
        <is>
          <t>Product</t>
        </is>
      </c>
      <c r="C793" s="42" t="n">
        <v>1</v>
      </c>
      <c r="D793" s="42" t="n">
        <v>8</v>
      </c>
      <c r="E793" s="42" t="n">
        <v>1</v>
      </c>
      <c r="F793" s="42" t="inlineStr">
        <is>
          <t>VD-005</t>
        </is>
      </c>
      <c r="G793" s="55">
        <f>IFERROR(INDEX('Semrush Data'!$A$1:$Z$20000,MATCH(A793,'Semrush Data'!$A$1:$A$20000,0),MATCH("Volume",'Semrush Data'!$A$1:$Z$1,0)),"")</f>
        <v/>
      </c>
      <c r="H793" s="42">
        <f>IFERROR(INDEX('Semrush Data'!$A$1:$Z$20000,MATCH(A793,'Semrush Data'!$A$1:$A$20000,0),MATCH("Keyword Difficulty*",'Semrush Data'!$A$1:$Z$1,0)),"")</f>
        <v/>
      </c>
      <c r="I793" s="56">
        <f>IFERROR(INDEX('Semrush Data'!$A$1:$Z$20000,MATCH(A793,'Semrush Data'!$A$1:$A$20000,0),MATCH("CPC*",'Semrush Data'!$A$1:$Z$1,0)),"")</f>
        <v/>
      </c>
      <c r="J793" s="42">
        <f>IFERROR(INDEX('Semrush Data'!$A$1:$Z$20000,MATCH(A793,'Semrush Data'!$A$1:$A$20000,0),MATCH("Intent",'Semrush Data'!$A$1:$Z$1,0)),"")</f>
        <v/>
      </c>
    </row>
    <row r="794" ht="15" customHeight="1" s="37">
      <c r="A794" s="42" t="inlineStr">
        <is>
          <t>vilvah skin hydration kit</t>
        </is>
      </c>
      <c r="B794" s="42" t="inlineStr">
        <is>
          <t>Product</t>
        </is>
      </c>
      <c r="C794" s="42" t="n">
        <v>1</v>
      </c>
      <c r="D794" s="42" t="n">
        <v>8</v>
      </c>
      <c r="E794" s="42" t="n">
        <v>1</v>
      </c>
      <c r="F794" s="42" t="inlineStr">
        <is>
          <t>VD-074</t>
        </is>
      </c>
      <c r="G794" s="55">
        <f>IFERROR(INDEX('Semrush Data'!$A$1:$Z$20000,MATCH(A794,'Semrush Data'!$A$1:$A$20000,0),MATCH("Volume",'Semrush Data'!$A$1:$Z$1,0)),"")</f>
        <v/>
      </c>
      <c r="H794" s="42">
        <f>IFERROR(INDEX('Semrush Data'!$A$1:$Z$20000,MATCH(A794,'Semrush Data'!$A$1:$A$20000,0),MATCH("Keyword Difficulty*",'Semrush Data'!$A$1:$Z$1,0)),"")</f>
        <v/>
      </c>
      <c r="I794" s="56">
        <f>IFERROR(INDEX('Semrush Data'!$A$1:$Z$20000,MATCH(A794,'Semrush Data'!$A$1:$A$20000,0),MATCH("CPC*",'Semrush Data'!$A$1:$Z$1,0)),"")</f>
        <v/>
      </c>
      <c r="J794" s="42">
        <f>IFERROR(INDEX('Semrush Data'!$A$1:$Z$20000,MATCH(A794,'Semrush Data'!$A$1:$A$20000,0),MATCH("Intent",'Semrush Data'!$A$1:$Z$1,0)),"")</f>
        <v/>
      </c>
    </row>
    <row r="795" ht="15" customHeight="1" s="37">
      <c r="A795" s="42" t="inlineStr">
        <is>
          <t>vilvah skin radiance kit</t>
        </is>
      </c>
      <c r="B795" s="42" t="inlineStr">
        <is>
          <t>Product</t>
        </is>
      </c>
      <c r="C795" s="42" t="n">
        <v>1</v>
      </c>
      <c r="D795" s="42" t="n">
        <v>8</v>
      </c>
      <c r="E795" s="42" t="n">
        <v>1</v>
      </c>
      <c r="F795" s="42" t="inlineStr">
        <is>
          <t>VD-061</t>
        </is>
      </c>
      <c r="G795" s="55">
        <f>IFERROR(INDEX('Semrush Data'!$A$1:$Z$20000,MATCH(A795,'Semrush Data'!$A$1:$A$20000,0),MATCH("Volume",'Semrush Data'!$A$1:$Z$1,0)),"")</f>
        <v/>
      </c>
      <c r="H795" s="42">
        <f>IFERROR(INDEX('Semrush Data'!$A$1:$Z$20000,MATCH(A795,'Semrush Data'!$A$1:$A$20000,0),MATCH("Keyword Difficulty*",'Semrush Data'!$A$1:$Z$1,0)),"")</f>
        <v/>
      </c>
      <c r="I795" s="56">
        <f>IFERROR(INDEX('Semrush Data'!$A$1:$Z$20000,MATCH(A795,'Semrush Data'!$A$1:$A$20000,0),MATCH("CPC*",'Semrush Data'!$A$1:$Z$1,0)),"")</f>
        <v/>
      </c>
      <c r="J795" s="42">
        <f>IFERROR(INDEX('Semrush Data'!$A$1:$Z$20000,MATCH(A795,'Semrush Data'!$A$1:$A$20000,0),MATCH("Intent",'Semrush Data'!$A$1:$Z$1,0)),"")</f>
        <v/>
      </c>
    </row>
    <row r="796" ht="15" customHeight="1" s="37">
      <c r="A796" s="42" t="inlineStr">
        <is>
          <t>vilvah store frizz free hair combo</t>
        </is>
      </c>
      <c r="B796" s="42" t="inlineStr">
        <is>
          <t>Product</t>
        </is>
      </c>
      <c r="C796" s="42" t="n">
        <v>1</v>
      </c>
      <c r="D796" s="42" t="n">
        <v>8</v>
      </c>
      <c r="E796" s="42" t="n">
        <v>1</v>
      </c>
      <c r="F796" s="42" t="inlineStr">
        <is>
          <t>VD-069</t>
        </is>
      </c>
      <c r="G796" s="55">
        <f>IFERROR(INDEX('Semrush Data'!$A$1:$Z$20000,MATCH(A796,'Semrush Data'!$A$1:$A$20000,0),MATCH("Volume",'Semrush Data'!$A$1:$Z$1,0)),"")</f>
        <v/>
      </c>
      <c r="H796" s="42">
        <f>IFERROR(INDEX('Semrush Data'!$A$1:$Z$20000,MATCH(A796,'Semrush Data'!$A$1:$A$20000,0),MATCH("Keyword Difficulty*",'Semrush Data'!$A$1:$Z$1,0)),"")</f>
        <v/>
      </c>
      <c r="I796" s="56">
        <f>IFERROR(INDEX('Semrush Data'!$A$1:$Z$20000,MATCH(A796,'Semrush Data'!$A$1:$A$20000,0),MATCH("CPC*",'Semrush Data'!$A$1:$Z$1,0)),"")</f>
        <v/>
      </c>
      <c r="J796" s="42">
        <f>IFERROR(INDEX('Semrush Data'!$A$1:$Z$20000,MATCH(A796,'Semrush Data'!$A$1:$A$20000,0),MATCH("Intent",'Semrush Data'!$A$1:$Z$1,0)),"")</f>
        <v/>
      </c>
    </row>
    <row r="797" ht="15" customHeight="1" s="37">
      <c r="A797" s="42" t="inlineStr">
        <is>
          <t>vilvah sun protection kit</t>
        </is>
      </c>
      <c r="B797" s="42" t="inlineStr">
        <is>
          <t>Product</t>
        </is>
      </c>
      <c r="C797" s="42" t="n">
        <v>1</v>
      </c>
      <c r="D797" s="42" t="n">
        <v>8</v>
      </c>
      <c r="E797" s="42" t="n">
        <v>1</v>
      </c>
      <c r="F797" s="42" t="inlineStr">
        <is>
          <t>VD-054</t>
        </is>
      </c>
      <c r="G797" s="55">
        <f>IFERROR(INDEX('Semrush Data'!$A$1:$Z$20000,MATCH(A797,'Semrush Data'!$A$1:$A$20000,0),MATCH("Volume",'Semrush Data'!$A$1:$Z$1,0)),"")</f>
        <v/>
      </c>
      <c r="H797" s="42">
        <f>IFERROR(INDEX('Semrush Data'!$A$1:$Z$20000,MATCH(A797,'Semrush Data'!$A$1:$A$20000,0),MATCH("Keyword Difficulty*",'Semrush Data'!$A$1:$Z$1,0)),"")</f>
        <v/>
      </c>
      <c r="I797" s="56">
        <f>IFERROR(INDEX('Semrush Data'!$A$1:$Z$20000,MATCH(A797,'Semrush Data'!$A$1:$A$20000,0),MATCH("CPC*",'Semrush Data'!$A$1:$Z$1,0)),"")</f>
        <v/>
      </c>
      <c r="J797" s="42">
        <f>IFERROR(INDEX('Semrush Data'!$A$1:$Z$20000,MATCH(A797,'Semrush Data'!$A$1:$A$20000,0),MATCH("Intent",'Semrush Data'!$A$1:$Z$1,0)),"")</f>
        <v/>
      </c>
    </row>
    <row r="798" ht="15" customHeight="1" s="37">
      <c r="A798" s="42" t="inlineStr">
        <is>
          <t>vilvah tan protection kit</t>
        </is>
      </c>
      <c r="B798" s="42" t="inlineStr">
        <is>
          <t>Product</t>
        </is>
      </c>
      <c r="C798" s="42" t="n">
        <v>1</v>
      </c>
      <c r="D798" s="42" t="n">
        <v>8</v>
      </c>
      <c r="E798" s="42" t="n">
        <v>1</v>
      </c>
      <c r="F798" s="42" t="inlineStr">
        <is>
          <t>VD-060</t>
        </is>
      </c>
      <c r="G798" s="55">
        <f>IFERROR(INDEX('Semrush Data'!$A$1:$Z$20000,MATCH(A798,'Semrush Data'!$A$1:$A$20000,0),MATCH("Volume",'Semrush Data'!$A$1:$Z$1,0)),"")</f>
        <v/>
      </c>
      <c r="H798" s="42">
        <f>IFERROR(INDEX('Semrush Data'!$A$1:$Z$20000,MATCH(A798,'Semrush Data'!$A$1:$A$20000,0),MATCH("Keyword Difficulty*",'Semrush Data'!$A$1:$Z$1,0)),"")</f>
        <v/>
      </c>
      <c r="I798" s="56">
        <f>IFERROR(INDEX('Semrush Data'!$A$1:$Z$20000,MATCH(A798,'Semrush Data'!$A$1:$A$20000,0),MATCH("CPC*",'Semrush Data'!$A$1:$Z$1,0)),"")</f>
        <v/>
      </c>
      <c r="J798" s="42">
        <f>IFERROR(INDEX('Semrush Data'!$A$1:$Z$20000,MATCH(A798,'Semrush Data'!$A$1:$A$20000,0),MATCH("Intent",'Semrush Data'!$A$1:$Z$1,0)),"")</f>
        <v/>
      </c>
    </row>
    <row r="799" ht="15" customHeight="1" s="37">
      <c r="A799" s="42" t="inlineStr">
        <is>
          <t>vilvah tinted lip balm kit</t>
        </is>
      </c>
      <c r="B799" s="42" t="inlineStr">
        <is>
          <t>Product</t>
        </is>
      </c>
      <c r="C799" s="42" t="n">
        <v>1</v>
      </c>
      <c r="D799" s="42" t="n">
        <v>8</v>
      </c>
      <c r="E799" s="42" t="n">
        <v>1</v>
      </c>
      <c r="F799" s="42" t="inlineStr">
        <is>
          <t>VD-068</t>
        </is>
      </c>
      <c r="G799" s="55">
        <f>IFERROR(INDEX('Semrush Data'!$A$1:$Z$20000,MATCH(A799,'Semrush Data'!$A$1:$A$20000,0),MATCH("Volume",'Semrush Data'!$A$1:$Z$1,0)),"")</f>
        <v/>
      </c>
      <c r="H799" s="42">
        <f>IFERROR(INDEX('Semrush Data'!$A$1:$Z$20000,MATCH(A799,'Semrush Data'!$A$1:$A$20000,0),MATCH("Keyword Difficulty*",'Semrush Data'!$A$1:$Z$1,0)),"")</f>
        <v/>
      </c>
      <c r="I799" s="56">
        <f>IFERROR(INDEX('Semrush Data'!$A$1:$Z$20000,MATCH(A799,'Semrush Data'!$A$1:$A$20000,0),MATCH("CPC*",'Semrush Data'!$A$1:$Z$1,0)),"")</f>
        <v/>
      </c>
      <c r="J799" s="42">
        <f>IFERROR(INDEX('Semrush Data'!$A$1:$Z$20000,MATCH(A799,'Semrush Data'!$A$1:$A$20000,0),MATCH("Intent",'Semrush Data'!$A$1:$Z$1,0)),"")</f>
        <v/>
      </c>
    </row>
    <row r="800" ht="15" customHeight="1" s="37">
      <c r="A800" s="42" t="inlineStr">
        <is>
          <t>vilvah ultra moisturising cream</t>
        </is>
      </c>
      <c r="B800" s="42" t="inlineStr">
        <is>
          <t>Product</t>
        </is>
      </c>
      <c r="C800" s="42" t="n">
        <v>1</v>
      </c>
      <c r="D800" s="42" t="n">
        <v>8</v>
      </c>
      <c r="E800" s="42" t="n">
        <v>1</v>
      </c>
      <c r="F800" s="42" t="inlineStr">
        <is>
          <t>VD-007</t>
        </is>
      </c>
      <c r="G800" s="55">
        <f>IFERROR(INDEX('Semrush Data'!$A$1:$Z$20000,MATCH(A800,'Semrush Data'!$A$1:$A$20000,0),MATCH("Volume",'Semrush Data'!$A$1:$Z$1,0)),"")</f>
        <v/>
      </c>
      <c r="H800" s="42">
        <f>IFERROR(INDEX('Semrush Data'!$A$1:$Z$20000,MATCH(A800,'Semrush Data'!$A$1:$A$20000,0),MATCH("Keyword Difficulty*",'Semrush Data'!$A$1:$Z$1,0)),"")</f>
        <v/>
      </c>
      <c r="I800" s="56">
        <f>IFERROR(INDEX('Semrush Data'!$A$1:$Z$20000,MATCH(A800,'Semrush Data'!$A$1:$A$20000,0),MATCH("CPC*",'Semrush Data'!$A$1:$Z$1,0)),"")</f>
        <v/>
      </c>
      <c r="J800" s="42">
        <f>IFERROR(INDEX('Semrush Data'!$A$1:$Z$20000,MATCH(A800,'Semrush Data'!$A$1:$A$20000,0),MATCH("Intent",'Semrush Data'!$A$1:$Z$1,0)),"")</f>
        <v/>
      </c>
    </row>
    <row r="801" ht="15" customHeight="1" s="37">
      <c r="A801" s="42" t="inlineStr">
        <is>
          <t>vilvah under eye cream (dark circles control)</t>
        </is>
      </c>
      <c r="B801" s="42" t="inlineStr">
        <is>
          <t>Product</t>
        </is>
      </c>
      <c r="C801" s="42" t="n">
        <v>1</v>
      </c>
      <c r="D801" s="42" t="n">
        <v>8</v>
      </c>
      <c r="E801" s="42" t="n">
        <v>1</v>
      </c>
      <c r="F801" s="42" t="inlineStr">
        <is>
          <t>VD-043</t>
        </is>
      </c>
      <c r="G801" s="55">
        <f>IFERROR(INDEX('Semrush Data'!$A$1:$Z$20000,MATCH(A801,'Semrush Data'!$A$1:$A$20000,0),MATCH("Volume",'Semrush Data'!$A$1:$Z$1,0)),"")</f>
        <v/>
      </c>
      <c r="H801" s="42">
        <f>IFERROR(INDEX('Semrush Data'!$A$1:$Z$20000,MATCH(A801,'Semrush Data'!$A$1:$A$20000,0),MATCH("Keyword Difficulty*",'Semrush Data'!$A$1:$Z$1,0)),"")</f>
        <v/>
      </c>
      <c r="I801" s="56">
        <f>IFERROR(INDEX('Semrush Data'!$A$1:$Z$20000,MATCH(A801,'Semrush Data'!$A$1:$A$20000,0),MATCH("CPC*",'Semrush Data'!$A$1:$Z$1,0)),"")</f>
        <v/>
      </c>
      <c r="J801" s="42">
        <f>IFERROR(INDEX('Semrush Data'!$A$1:$Z$20000,MATCH(A801,'Semrush Data'!$A$1:$A$20000,0),MATCH("Intent",'Semrush Data'!$A$1:$Z$1,0)),"")</f>
        <v/>
      </c>
    </row>
    <row r="802" ht="15" customHeight="1" s="37">
      <c r="A802" s="42" t="inlineStr">
        <is>
          <t>vilvah wild rose facemask</t>
        </is>
      </c>
      <c r="B802" s="42" t="inlineStr">
        <is>
          <t>Product</t>
        </is>
      </c>
      <c r="C802" s="42" t="n">
        <v>1</v>
      </c>
      <c r="D802" s="42" t="n">
        <v>9</v>
      </c>
      <c r="E802" s="42" t="n">
        <v>1</v>
      </c>
      <c r="F802" s="42" t="inlineStr">
        <is>
          <t>VD-019</t>
        </is>
      </c>
      <c r="G802" s="55">
        <f>IFERROR(INDEX('Semrush Data'!$A$1:$Z$20000,MATCH(A802,'Semrush Data'!$A$1:$A$20000,0),MATCH("Volume",'Semrush Data'!$A$1:$Z$1,0)),"")</f>
        <v/>
      </c>
      <c r="H802" s="42">
        <f>IFERROR(INDEX('Semrush Data'!$A$1:$Z$20000,MATCH(A802,'Semrush Data'!$A$1:$A$20000,0),MATCH("Keyword Difficulty*",'Semrush Data'!$A$1:$Z$1,0)),"")</f>
        <v/>
      </c>
      <c r="I802" s="56">
        <f>IFERROR(INDEX('Semrush Data'!$A$1:$Z$20000,MATCH(A802,'Semrush Data'!$A$1:$A$20000,0),MATCH("CPC*",'Semrush Data'!$A$1:$Z$1,0)),"")</f>
        <v/>
      </c>
      <c r="J802" s="42">
        <f>IFERROR(INDEX('Semrush Data'!$A$1:$Z$20000,MATCH(A802,'Semrush Data'!$A$1:$A$20000,0),MATCH("Intent",'Semrush Data'!$A$1:$Z$1,0)),"")</f>
        <v/>
      </c>
    </row>
    <row r="803" ht="15" customHeight="1" s="37">
      <c r="A803" s="42" t="inlineStr">
        <is>
          <t>vilvah x annapoorna gift box</t>
        </is>
      </c>
      <c r="B803" s="42" t="inlineStr">
        <is>
          <t>Product</t>
        </is>
      </c>
      <c r="C803" s="42" t="n">
        <v>1</v>
      </c>
      <c r="D803" s="42" t="n">
        <v>9</v>
      </c>
      <c r="E803" s="42" t="n">
        <v>1</v>
      </c>
      <c r="F803" s="42" t="inlineStr">
        <is>
          <t>VD-067</t>
        </is>
      </c>
      <c r="G803" s="55">
        <f>IFERROR(INDEX('Semrush Data'!$A$1:$Z$20000,MATCH(A803,'Semrush Data'!$A$1:$A$20000,0),MATCH("Volume",'Semrush Data'!$A$1:$Z$1,0)),"")</f>
        <v/>
      </c>
      <c r="H803" s="42">
        <f>IFERROR(INDEX('Semrush Data'!$A$1:$Z$20000,MATCH(A803,'Semrush Data'!$A$1:$A$20000,0),MATCH("Keyword Difficulty*",'Semrush Data'!$A$1:$Z$1,0)),"")</f>
        <v/>
      </c>
      <c r="I803" s="56">
        <f>IFERROR(INDEX('Semrush Data'!$A$1:$Z$20000,MATCH(A803,'Semrush Data'!$A$1:$A$20000,0),MATCH("CPC*",'Semrush Data'!$A$1:$Z$1,0)),"")</f>
        <v/>
      </c>
      <c r="J803" s="42">
        <f>IFERROR(INDEX('Semrush Data'!$A$1:$Z$20000,MATCH(A803,'Semrush Data'!$A$1:$A$20000,0),MATCH("Intent",'Semrush Data'!$A$1:$Z$1,0)),"")</f>
        <v/>
      </c>
    </row>
    <row r="804" ht="15" customHeight="1" s="37">
      <c r="A804" s="42" t="inlineStr">
        <is>
          <t>ysl yves saint laurent yvresse w</t>
        </is>
      </c>
      <c r="B804" s="42" t="inlineStr">
        <is>
          <t>Product</t>
        </is>
      </c>
      <c r="C804" s="42" t="n">
        <v>1</v>
      </c>
      <c r="D804" s="42" t="n">
        <v>9</v>
      </c>
      <c r="E804" s="42" t="n">
        <v>1</v>
      </c>
      <c r="F804" s="42" t="inlineStr">
        <is>
          <t>FR-387</t>
        </is>
      </c>
      <c r="G804" s="55">
        <f>IFERROR(INDEX('Semrush Data'!$A$1:$Z$20000,MATCH(A804,'Semrush Data'!$A$1:$A$20000,0),MATCH("Volume",'Semrush Data'!$A$1:$Z$1,0)),"")</f>
        <v/>
      </c>
      <c r="H804" s="42">
        <f>IFERROR(INDEX('Semrush Data'!$A$1:$Z$20000,MATCH(A804,'Semrush Data'!$A$1:$A$20000,0),MATCH("Keyword Difficulty*",'Semrush Data'!$A$1:$Z$1,0)),"")</f>
        <v/>
      </c>
      <c r="I804" s="56">
        <f>IFERROR(INDEX('Semrush Data'!$A$1:$Z$20000,MATCH(A804,'Semrush Data'!$A$1:$A$20000,0),MATCH("CPC*",'Semrush Data'!$A$1:$Z$1,0)),"")</f>
        <v/>
      </c>
      <c r="J804" s="42">
        <f>IFERROR(INDEX('Semrush Data'!$A$1:$Z$20000,MATCH(A804,'Semrush Data'!$A$1:$A$20000,0),MATCH("Intent",'Semrush Data'!$A$1:$Z$1,0)),"")</f>
        <v/>
      </c>
    </row>
    <row r="805" ht="15" customHeight="1" s="37">
      <c r="A805" s="42" t="inlineStr">
        <is>
          <t>abercrombie &amp; fitch first instinct together uk</t>
        </is>
      </c>
      <c r="B805" s="42" t="inlineStr">
        <is>
          <t>Product + UK</t>
        </is>
      </c>
      <c r="C805" s="42" t="n">
        <v>2</v>
      </c>
      <c r="D805" s="42" t="n">
        <v>9</v>
      </c>
      <c r="E805" s="42" t="n">
        <v>1</v>
      </c>
      <c r="F805" s="42" t="inlineStr">
        <is>
          <t>FR-001</t>
        </is>
      </c>
      <c r="G805" s="55">
        <f>IFERROR(INDEX('Semrush Data'!$A$1:$Z$20000,MATCH(A805,'Semrush Data'!$A$1:$A$20000,0),MATCH("Volume",'Semrush Data'!$A$1:$Z$1,0)),"")</f>
        <v/>
      </c>
      <c r="H805" s="42">
        <f>IFERROR(INDEX('Semrush Data'!$A$1:$Z$20000,MATCH(A805,'Semrush Data'!$A$1:$A$20000,0),MATCH("Keyword Difficulty*",'Semrush Data'!$A$1:$Z$1,0)),"")</f>
        <v/>
      </c>
      <c r="I805" s="56">
        <f>IFERROR(INDEX('Semrush Data'!$A$1:$Z$20000,MATCH(A805,'Semrush Data'!$A$1:$A$20000,0),MATCH("CPC*",'Semrush Data'!$A$1:$Z$1,0)),"")</f>
        <v/>
      </c>
      <c r="J805" s="42">
        <f>IFERROR(INDEX('Semrush Data'!$A$1:$Z$20000,MATCH(A805,'Semrush Data'!$A$1:$A$20000,0),MATCH("Intent",'Semrush Data'!$A$1:$Z$1,0)),"")</f>
        <v/>
      </c>
    </row>
    <row r="806" ht="15" customHeight="1" s="37">
      <c r="A806" s="42" t="inlineStr">
        <is>
          <t>abercrombie &amp; fitch naturally fierce uk</t>
        </is>
      </c>
      <c r="B806" s="42" t="inlineStr">
        <is>
          <t>Product + UK</t>
        </is>
      </c>
      <c r="C806" s="42" t="n">
        <v>2</v>
      </c>
      <c r="D806" s="42" t="n">
        <v>9</v>
      </c>
      <c r="E806" s="42" t="n">
        <v>1</v>
      </c>
      <c r="F806" s="42" t="inlineStr">
        <is>
          <t>FR-002</t>
        </is>
      </c>
      <c r="G806" s="55">
        <f>IFERROR(INDEX('Semrush Data'!$A$1:$Z$20000,MATCH(A806,'Semrush Data'!$A$1:$A$20000,0),MATCH("Volume",'Semrush Data'!$A$1:$Z$1,0)),"")</f>
        <v/>
      </c>
      <c r="H806" s="42">
        <f>IFERROR(INDEX('Semrush Data'!$A$1:$Z$20000,MATCH(A806,'Semrush Data'!$A$1:$A$20000,0),MATCH("Keyword Difficulty*",'Semrush Data'!$A$1:$Z$1,0)),"")</f>
        <v/>
      </c>
      <c r="I806" s="56">
        <f>IFERROR(INDEX('Semrush Data'!$A$1:$Z$20000,MATCH(A806,'Semrush Data'!$A$1:$A$20000,0),MATCH("CPC*",'Semrush Data'!$A$1:$Z$1,0)),"")</f>
        <v/>
      </c>
      <c r="J806" s="42">
        <f>IFERROR(INDEX('Semrush Data'!$A$1:$Z$20000,MATCH(A806,'Semrush Data'!$A$1:$A$20000,0),MATCH("Intent",'Semrush Data'!$A$1:$Z$1,0)),"")</f>
        <v/>
      </c>
    </row>
    <row r="807" ht="15" customHeight="1" s="37">
      <c r="A807" s="42" t="inlineStr">
        <is>
          <t>acqua di parma blu mediterraneo discovery set uk</t>
        </is>
      </c>
      <c r="B807" s="42" t="inlineStr">
        <is>
          <t>Product + UK</t>
        </is>
      </c>
      <c r="C807" s="42" t="n">
        <v>2</v>
      </c>
      <c r="D807" s="42" t="n">
        <v>9</v>
      </c>
      <c r="E807" s="42" t="n">
        <v>1</v>
      </c>
      <c r="F807" s="42" t="inlineStr">
        <is>
          <t>FR-009</t>
        </is>
      </c>
      <c r="G807" s="55">
        <f>IFERROR(INDEX('Semrush Data'!$A$1:$Z$20000,MATCH(A807,'Semrush Data'!$A$1:$A$20000,0),MATCH("Volume",'Semrush Data'!$A$1:$Z$1,0)),"")</f>
        <v/>
      </c>
      <c r="H807" s="42">
        <f>IFERROR(INDEX('Semrush Data'!$A$1:$Z$20000,MATCH(A807,'Semrush Data'!$A$1:$A$20000,0),MATCH("Keyword Difficulty*",'Semrush Data'!$A$1:$Z$1,0)),"")</f>
        <v/>
      </c>
      <c r="I807" s="56">
        <f>IFERROR(INDEX('Semrush Data'!$A$1:$Z$20000,MATCH(A807,'Semrush Data'!$A$1:$A$20000,0),MATCH("CPC*",'Semrush Data'!$A$1:$Z$1,0)),"")</f>
        <v/>
      </c>
      <c r="J807" s="42">
        <f>IFERROR(INDEX('Semrush Data'!$A$1:$Z$20000,MATCH(A807,'Semrush Data'!$A$1:$A$20000,0),MATCH("Intent",'Semrush Data'!$A$1:$Z$1,0)),"")</f>
        <v/>
      </c>
    </row>
    <row r="808" ht="15" customHeight="1" s="37">
      <c r="A808" s="42" t="inlineStr">
        <is>
          <t>acqua di parma colonia essenza deodorant stick uk</t>
        </is>
      </c>
      <c r="B808" s="42" t="inlineStr">
        <is>
          <t>Product + UK</t>
        </is>
      </c>
      <c r="C808" s="42" t="n">
        <v>2</v>
      </c>
      <c r="D808" s="42" t="n">
        <v>9</v>
      </c>
      <c r="E808" s="42" t="n">
        <v>1</v>
      </c>
      <c r="F808" s="42" t="inlineStr">
        <is>
          <t>FR-004</t>
        </is>
      </c>
      <c r="G808" s="55">
        <f>IFERROR(INDEX('Semrush Data'!$A$1:$Z$20000,MATCH(A808,'Semrush Data'!$A$1:$A$20000,0),MATCH("Volume",'Semrush Data'!$A$1:$Z$1,0)),"")</f>
        <v/>
      </c>
      <c r="H808" s="42">
        <f>IFERROR(INDEX('Semrush Data'!$A$1:$Z$20000,MATCH(A808,'Semrush Data'!$A$1:$A$20000,0),MATCH("Keyword Difficulty*",'Semrush Data'!$A$1:$Z$1,0)),"")</f>
        <v/>
      </c>
      <c r="I808" s="56">
        <f>IFERROR(INDEX('Semrush Data'!$A$1:$Z$20000,MATCH(A808,'Semrush Data'!$A$1:$A$20000,0),MATCH("CPC*",'Semrush Data'!$A$1:$Z$1,0)),"")</f>
        <v/>
      </c>
      <c r="J808" s="42">
        <f>IFERROR(INDEX('Semrush Data'!$A$1:$Z$20000,MATCH(A808,'Semrush Data'!$A$1:$A$20000,0),MATCH("Intent",'Semrush Data'!$A$1:$Z$1,0)),"")</f>
        <v/>
      </c>
    </row>
    <row r="809" ht="15" customHeight="1" s="37">
      <c r="A809" s="42" t="inlineStr">
        <is>
          <t>acqua di parma colonia pura uk</t>
        </is>
      </c>
      <c r="B809" s="42" t="inlineStr">
        <is>
          <t>Product + UK</t>
        </is>
      </c>
      <c r="C809" s="42" t="n">
        <v>2</v>
      </c>
      <c r="D809" s="42" t="n">
        <v>9</v>
      </c>
      <c r="E809" s="42" t="n">
        <v>1</v>
      </c>
      <c r="F809" s="42" t="inlineStr">
        <is>
          <t>FR-003</t>
        </is>
      </c>
      <c r="G809" s="55">
        <f>IFERROR(INDEX('Semrush Data'!$A$1:$Z$20000,MATCH(A809,'Semrush Data'!$A$1:$A$20000,0),MATCH("Volume",'Semrush Data'!$A$1:$Z$1,0)),"")</f>
        <v/>
      </c>
      <c r="H809" s="42">
        <f>IFERROR(INDEX('Semrush Data'!$A$1:$Z$20000,MATCH(A809,'Semrush Data'!$A$1:$A$20000,0),MATCH("Keyword Difficulty*",'Semrush Data'!$A$1:$Z$1,0)),"")</f>
        <v/>
      </c>
      <c r="I809" s="56">
        <f>IFERROR(INDEX('Semrush Data'!$A$1:$Z$20000,MATCH(A809,'Semrush Data'!$A$1:$A$20000,0),MATCH("CPC*",'Semrush Data'!$A$1:$Z$1,0)),"")</f>
        <v/>
      </c>
      <c r="J809" s="42">
        <f>IFERROR(INDEX('Semrush Data'!$A$1:$Z$20000,MATCH(A809,'Semrush Data'!$A$1:$A$20000,0),MATCH("Intent",'Semrush Data'!$A$1:$Z$1,0)),"")</f>
        <v/>
      </c>
    </row>
    <row r="810" ht="15" customHeight="1" s="37">
      <c r="A810" s="42" t="inlineStr">
        <is>
          <t>acqua di parma holiday discovery set uk</t>
        </is>
      </c>
      <c r="B810" s="42" t="inlineStr">
        <is>
          <t>Product + UK</t>
        </is>
      </c>
      <c r="C810" s="42" t="n">
        <v>2</v>
      </c>
      <c r="D810" s="42" t="n">
        <v>9</v>
      </c>
      <c r="E810" s="42" t="n">
        <v>1</v>
      </c>
      <c r="F810" s="42" t="inlineStr">
        <is>
          <t>FR-010</t>
        </is>
      </c>
      <c r="G810" s="55">
        <f>IFERROR(INDEX('Semrush Data'!$A$1:$Z$20000,MATCH(A810,'Semrush Data'!$A$1:$A$20000,0),MATCH("Volume",'Semrush Data'!$A$1:$Z$1,0)),"")</f>
        <v/>
      </c>
      <c r="H810" s="42">
        <f>IFERROR(INDEX('Semrush Data'!$A$1:$Z$20000,MATCH(A810,'Semrush Data'!$A$1:$A$20000,0),MATCH("Keyword Difficulty*",'Semrush Data'!$A$1:$Z$1,0)),"")</f>
        <v/>
      </c>
      <c r="I810" s="56">
        <f>IFERROR(INDEX('Semrush Data'!$A$1:$Z$20000,MATCH(A810,'Semrush Data'!$A$1:$A$20000,0),MATCH("CPC*",'Semrush Data'!$A$1:$Z$1,0)),"")</f>
        <v/>
      </c>
      <c r="J810" s="42">
        <f>IFERROR(INDEX('Semrush Data'!$A$1:$Z$20000,MATCH(A810,'Semrush Data'!$A$1:$A$20000,0),MATCH("Intent",'Semrush Data'!$A$1:$Z$1,0)),"")</f>
        <v/>
      </c>
    </row>
    <row r="811" ht="15" customHeight="1" s="37">
      <c r="A811" s="42" t="inlineStr">
        <is>
          <t>acqua di parma oud &amp; spice uk</t>
        </is>
      </c>
      <c r="B811" s="42" t="inlineStr">
        <is>
          <t>Product + UK</t>
        </is>
      </c>
      <c r="C811" s="42" t="n">
        <v>2</v>
      </c>
      <c r="D811" s="42" t="n">
        <v>9</v>
      </c>
      <c r="E811" s="42" t="n">
        <v>1</v>
      </c>
      <c r="F811" s="42" t="inlineStr">
        <is>
          <t>FR-005</t>
        </is>
      </c>
      <c r="G811" s="55">
        <f>IFERROR(INDEX('Semrush Data'!$A$1:$Z$20000,MATCH(A811,'Semrush Data'!$A$1:$A$20000,0),MATCH("Volume",'Semrush Data'!$A$1:$Z$1,0)),"")</f>
        <v/>
      </c>
      <c r="H811" s="42">
        <f>IFERROR(INDEX('Semrush Data'!$A$1:$Z$20000,MATCH(A811,'Semrush Data'!$A$1:$A$20000,0),MATCH("Keyword Difficulty*",'Semrush Data'!$A$1:$Z$1,0)),"")</f>
        <v/>
      </c>
      <c r="I811" s="56">
        <f>IFERROR(INDEX('Semrush Data'!$A$1:$Z$20000,MATCH(A811,'Semrush Data'!$A$1:$A$20000,0),MATCH("CPC*",'Semrush Data'!$A$1:$Z$1,0)),"")</f>
        <v/>
      </c>
      <c r="J811" s="42">
        <f>IFERROR(INDEX('Semrush Data'!$A$1:$Z$20000,MATCH(A811,'Semrush Data'!$A$1:$A$20000,0),MATCH("Intent",'Semrush Data'!$A$1:$Z$1,0)),"")</f>
        <v/>
      </c>
    </row>
    <row r="812" ht="15" customHeight="1" s="37">
      <c r="A812" s="42" t="inlineStr">
        <is>
          <t>acqua di parma rosa nobile uk</t>
        </is>
      </c>
      <c r="B812" s="42" t="inlineStr">
        <is>
          <t>Product + UK</t>
        </is>
      </c>
      <c r="C812" s="42" t="n">
        <v>2</v>
      </c>
      <c r="D812" s="42" t="n">
        <v>9</v>
      </c>
      <c r="E812" s="42" t="n">
        <v>1</v>
      </c>
      <c r="F812" s="42" t="inlineStr">
        <is>
          <t>FR-006</t>
        </is>
      </c>
      <c r="G812" s="55">
        <f>IFERROR(INDEX('Semrush Data'!$A$1:$Z$20000,MATCH(A812,'Semrush Data'!$A$1:$A$20000,0),MATCH("Volume",'Semrush Data'!$A$1:$Z$1,0)),"")</f>
        <v/>
      </c>
      <c r="H812" s="42">
        <f>IFERROR(INDEX('Semrush Data'!$A$1:$Z$20000,MATCH(A812,'Semrush Data'!$A$1:$A$20000,0),MATCH("Keyword Difficulty*",'Semrush Data'!$A$1:$Z$1,0)),"")</f>
        <v/>
      </c>
      <c r="I812" s="56">
        <f>IFERROR(INDEX('Semrush Data'!$A$1:$Z$20000,MATCH(A812,'Semrush Data'!$A$1:$A$20000,0),MATCH("CPC*",'Semrush Data'!$A$1:$Z$1,0)),"")</f>
        <v/>
      </c>
      <c r="J812" s="42">
        <f>IFERROR(INDEX('Semrush Data'!$A$1:$Z$20000,MATCH(A812,'Semrush Data'!$A$1:$A$20000,0),MATCH("Intent",'Semrush Data'!$A$1:$Z$1,0)),"")</f>
        <v/>
      </c>
    </row>
    <row r="813" ht="15" customHeight="1" s="37">
      <c r="A813" s="42" t="inlineStr">
        <is>
          <t>acqua di parma sakura uk</t>
        </is>
      </c>
      <c r="B813" s="42" t="inlineStr">
        <is>
          <t>Product + UK</t>
        </is>
      </c>
      <c r="C813" s="42" t="n">
        <v>2</v>
      </c>
      <c r="D813" s="42" t="n">
        <v>9</v>
      </c>
      <c r="E813" s="42" t="n">
        <v>1</v>
      </c>
      <c r="F813" s="42" t="inlineStr">
        <is>
          <t>FR-007</t>
        </is>
      </c>
      <c r="G813" s="55">
        <f>IFERROR(INDEX('Semrush Data'!$A$1:$Z$20000,MATCH(A813,'Semrush Data'!$A$1:$A$20000,0),MATCH("Volume",'Semrush Data'!$A$1:$Z$1,0)),"")</f>
        <v/>
      </c>
      <c r="H813" s="42">
        <f>IFERROR(INDEX('Semrush Data'!$A$1:$Z$20000,MATCH(A813,'Semrush Data'!$A$1:$A$20000,0),MATCH("Keyword Difficulty*",'Semrush Data'!$A$1:$Z$1,0)),"")</f>
        <v/>
      </c>
      <c r="I813" s="56">
        <f>IFERROR(INDEX('Semrush Data'!$A$1:$Z$20000,MATCH(A813,'Semrush Data'!$A$1:$A$20000,0),MATCH("CPC*",'Semrush Data'!$A$1:$Z$1,0)),"")</f>
        <v/>
      </c>
      <c r="J813" s="42">
        <f>IFERROR(INDEX('Semrush Data'!$A$1:$Z$20000,MATCH(A813,'Semrush Data'!$A$1:$A$20000,0),MATCH("Intent",'Semrush Data'!$A$1:$Z$1,0)),"")</f>
        <v/>
      </c>
    </row>
    <row r="814" ht="15" customHeight="1" s="37">
      <c r="A814" s="42" t="inlineStr">
        <is>
          <t>acqua di parma sandalo uk</t>
        </is>
      </c>
      <c r="B814" s="42" t="inlineStr">
        <is>
          <t>Product + UK</t>
        </is>
      </c>
      <c r="C814" s="42" t="n">
        <v>2</v>
      </c>
      <c r="D814" s="42" t="n">
        <v>9</v>
      </c>
      <c r="E814" s="42" t="n">
        <v>1</v>
      </c>
      <c r="F814" s="42" t="inlineStr">
        <is>
          <t>FR-008</t>
        </is>
      </c>
      <c r="G814" s="55">
        <f>IFERROR(INDEX('Semrush Data'!$A$1:$Z$20000,MATCH(A814,'Semrush Data'!$A$1:$A$20000,0),MATCH("Volume",'Semrush Data'!$A$1:$Z$1,0)),"")</f>
        <v/>
      </c>
      <c r="H814" s="42">
        <f>IFERROR(INDEX('Semrush Data'!$A$1:$Z$20000,MATCH(A814,'Semrush Data'!$A$1:$A$20000,0),MATCH("Keyword Difficulty*",'Semrush Data'!$A$1:$Z$1,0)),"")</f>
        <v/>
      </c>
      <c r="I814" s="56">
        <f>IFERROR(INDEX('Semrush Data'!$A$1:$Z$20000,MATCH(A814,'Semrush Data'!$A$1:$A$20000,0),MATCH("CPC*",'Semrush Data'!$A$1:$Z$1,0)),"")</f>
        <v/>
      </c>
      <c r="J814" s="42">
        <f>IFERROR(INDEX('Semrush Data'!$A$1:$Z$20000,MATCH(A814,'Semrush Data'!$A$1:$A$20000,0),MATCH("Intent",'Semrush Data'!$A$1:$Z$1,0)),"")</f>
        <v/>
      </c>
    </row>
    <row r="815" ht="15" customHeight="1" s="37">
      <c r="A815" s="42" t="inlineStr">
        <is>
          <t>acqua di parma zafferano uk</t>
        </is>
      </c>
      <c r="B815" s="42" t="inlineStr">
        <is>
          <t>Product + UK</t>
        </is>
      </c>
      <c r="C815" s="42" t="n">
        <v>2</v>
      </c>
      <c r="D815" s="42" t="n">
        <v>9</v>
      </c>
      <c r="E815" s="42" t="n">
        <v>1</v>
      </c>
      <c r="F815" s="42" t="inlineStr">
        <is>
          <t>FR-335</t>
        </is>
      </c>
      <c r="G815" s="55">
        <f>IFERROR(INDEX('Semrush Data'!$A$1:$Z$20000,MATCH(A815,'Semrush Data'!$A$1:$A$20000,0),MATCH("Volume",'Semrush Data'!$A$1:$Z$1,0)),"")</f>
        <v/>
      </c>
      <c r="H815" s="42">
        <f>IFERROR(INDEX('Semrush Data'!$A$1:$Z$20000,MATCH(A815,'Semrush Data'!$A$1:$A$20000,0),MATCH("Keyword Difficulty*",'Semrush Data'!$A$1:$Z$1,0)),"")</f>
        <v/>
      </c>
      <c r="I815" s="56">
        <f>IFERROR(INDEX('Semrush Data'!$A$1:$Z$20000,MATCH(A815,'Semrush Data'!$A$1:$A$20000,0),MATCH("CPC*",'Semrush Data'!$A$1:$Z$1,0)),"")</f>
        <v/>
      </c>
      <c r="J815" s="42">
        <f>IFERROR(INDEX('Semrush Data'!$A$1:$Z$20000,MATCH(A815,'Semrush Data'!$A$1:$A$20000,0),MATCH("Intent",'Semrush Data'!$A$1:$Z$1,0)),"")</f>
        <v/>
      </c>
    </row>
    <row r="816" ht="15" customHeight="1" s="37">
      <c r="A816" s="42" t="inlineStr">
        <is>
          <t>al haramain amber musk uk</t>
        </is>
      </c>
      <c r="B816" s="42" t="inlineStr">
        <is>
          <t>Product + UK</t>
        </is>
      </c>
      <c r="C816" s="42" t="n">
        <v>2</v>
      </c>
      <c r="D816" s="42" t="n">
        <v>9</v>
      </c>
      <c r="E816" s="42" t="n">
        <v>1</v>
      </c>
      <c r="F816" s="42" t="inlineStr">
        <is>
          <t>FR-011</t>
        </is>
      </c>
      <c r="G816" s="55">
        <f>IFERROR(INDEX('Semrush Data'!$A$1:$Z$20000,MATCH(A816,'Semrush Data'!$A$1:$A$20000,0),MATCH("Volume",'Semrush Data'!$A$1:$Z$1,0)),"")</f>
        <v/>
      </c>
      <c r="H816" s="42">
        <f>IFERROR(INDEX('Semrush Data'!$A$1:$Z$20000,MATCH(A816,'Semrush Data'!$A$1:$A$20000,0),MATCH("Keyword Difficulty*",'Semrush Data'!$A$1:$Z$1,0)),"")</f>
        <v/>
      </c>
      <c r="I816" s="56">
        <f>IFERROR(INDEX('Semrush Data'!$A$1:$Z$20000,MATCH(A816,'Semrush Data'!$A$1:$A$20000,0),MATCH("CPC*",'Semrush Data'!$A$1:$Z$1,0)),"")</f>
        <v/>
      </c>
      <c r="J816" s="42">
        <f>IFERROR(INDEX('Semrush Data'!$A$1:$Z$20000,MATCH(A816,'Semrush Data'!$A$1:$A$20000,0),MATCH("Intent",'Semrush Data'!$A$1:$Z$1,0)),"")</f>
        <v/>
      </c>
    </row>
    <row r="817" ht="15" customHeight="1" s="37">
      <c r="A817" s="42" t="inlineStr">
        <is>
          <t>al haramain amber oud black edition uk</t>
        </is>
      </c>
      <c r="B817" s="42" t="inlineStr">
        <is>
          <t>Product + UK</t>
        </is>
      </c>
      <c r="C817" s="42" t="n">
        <v>2</v>
      </c>
      <c r="D817" s="42" t="n">
        <v>9</v>
      </c>
      <c r="E817" s="42" t="n">
        <v>1</v>
      </c>
      <c r="F817" s="42" t="inlineStr">
        <is>
          <t>FR-012</t>
        </is>
      </c>
      <c r="G817" s="55">
        <f>IFERROR(INDEX('Semrush Data'!$A$1:$Z$20000,MATCH(A817,'Semrush Data'!$A$1:$A$20000,0),MATCH("Volume",'Semrush Data'!$A$1:$Z$1,0)),"")</f>
        <v/>
      </c>
      <c r="H817" s="42">
        <f>IFERROR(INDEX('Semrush Data'!$A$1:$Z$20000,MATCH(A817,'Semrush Data'!$A$1:$A$20000,0),MATCH("Keyword Difficulty*",'Semrush Data'!$A$1:$Z$1,0)),"")</f>
        <v/>
      </c>
      <c r="I817" s="56">
        <f>IFERROR(INDEX('Semrush Data'!$A$1:$Z$20000,MATCH(A817,'Semrush Data'!$A$1:$A$20000,0),MATCH("CPC*",'Semrush Data'!$A$1:$Z$1,0)),"")</f>
        <v/>
      </c>
      <c r="J817" s="42">
        <f>IFERROR(INDEX('Semrush Data'!$A$1:$Z$20000,MATCH(A817,'Semrush Data'!$A$1:$A$20000,0),MATCH("Intent",'Semrush Data'!$A$1:$Z$1,0)),"")</f>
        <v/>
      </c>
    </row>
    <row r="818" ht="15" customHeight="1" s="37">
      <c r="A818" s="42" t="inlineStr">
        <is>
          <t>al haramain amber oud bleu edition uk</t>
        </is>
      </c>
      <c r="B818" s="42" t="inlineStr">
        <is>
          <t>Product + UK</t>
        </is>
      </c>
      <c r="C818" s="42" t="n">
        <v>2</v>
      </c>
      <c r="D818" s="42" t="n">
        <v>9</v>
      </c>
      <c r="E818" s="42" t="n">
        <v>1</v>
      </c>
      <c r="F818" s="42" t="inlineStr">
        <is>
          <t>FR-013</t>
        </is>
      </c>
      <c r="G818" s="55">
        <f>IFERROR(INDEX('Semrush Data'!$A$1:$Z$20000,MATCH(A818,'Semrush Data'!$A$1:$A$20000,0),MATCH("Volume",'Semrush Data'!$A$1:$Z$1,0)),"")</f>
        <v/>
      </c>
      <c r="H818" s="42">
        <f>IFERROR(INDEX('Semrush Data'!$A$1:$Z$20000,MATCH(A818,'Semrush Data'!$A$1:$A$20000,0),MATCH("Keyword Difficulty*",'Semrush Data'!$A$1:$Z$1,0)),"")</f>
        <v/>
      </c>
      <c r="I818" s="56">
        <f>IFERROR(INDEX('Semrush Data'!$A$1:$Z$20000,MATCH(A818,'Semrush Data'!$A$1:$A$20000,0),MATCH("CPC*",'Semrush Data'!$A$1:$Z$1,0)),"")</f>
        <v/>
      </c>
      <c r="J818" s="42">
        <f>IFERROR(INDEX('Semrush Data'!$A$1:$Z$20000,MATCH(A818,'Semrush Data'!$A$1:$A$20000,0),MATCH("Intent",'Semrush Data'!$A$1:$Z$1,0)),"")</f>
        <v/>
      </c>
    </row>
    <row r="819" ht="15" customHeight="1" s="37">
      <c r="A819" s="42" t="inlineStr">
        <is>
          <t>al haramain amber oud carbon edition uk</t>
        </is>
      </c>
      <c r="B819" s="42" t="inlineStr">
        <is>
          <t>Product + UK</t>
        </is>
      </c>
      <c r="C819" s="42" t="n">
        <v>2</v>
      </c>
      <c r="D819" s="42" t="n">
        <v>9</v>
      </c>
      <c r="E819" s="42" t="n">
        <v>1</v>
      </c>
      <c r="F819" s="42" t="inlineStr">
        <is>
          <t>FR-014</t>
        </is>
      </c>
      <c r="G819" s="55">
        <f>IFERROR(INDEX('Semrush Data'!$A$1:$Z$20000,MATCH(A819,'Semrush Data'!$A$1:$A$20000,0),MATCH("Volume",'Semrush Data'!$A$1:$Z$1,0)),"")</f>
        <v/>
      </c>
      <c r="H819" s="42">
        <f>IFERROR(INDEX('Semrush Data'!$A$1:$Z$20000,MATCH(A819,'Semrush Data'!$A$1:$A$20000,0),MATCH("Keyword Difficulty*",'Semrush Data'!$A$1:$Z$1,0)),"")</f>
        <v/>
      </c>
      <c r="I819" s="56">
        <f>IFERROR(INDEX('Semrush Data'!$A$1:$Z$20000,MATCH(A819,'Semrush Data'!$A$1:$A$20000,0),MATCH("CPC*",'Semrush Data'!$A$1:$Z$1,0)),"")</f>
        <v/>
      </c>
      <c r="J819" s="42">
        <f>IFERROR(INDEX('Semrush Data'!$A$1:$Z$20000,MATCH(A819,'Semrush Data'!$A$1:$A$20000,0),MATCH("Intent",'Semrush Data'!$A$1:$Z$1,0)),"")</f>
        <v/>
      </c>
    </row>
    <row r="820" ht="15" customHeight="1" s="37">
      <c r="A820" s="42" t="inlineStr">
        <is>
          <t>al haramain amber oud extreme gold edition uk</t>
        </is>
      </c>
      <c r="B820" s="42" t="inlineStr">
        <is>
          <t>Product + UK</t>
        </is>
      </c>
      <c r="C820" s="42" t="n">
        <v>2</v>
      </c>
      <c r="D820" s="42" t="n">
        <v>9</v>
      </c>
      <c r="E820" s="42" t="n">
        <v>1</v>
      </c>
      <c r="F820" s="42" t="inlineStr">
        <is>
          <t>FR-026</t>
        </is>
      </c>
      <c r="G820" s="55">
        <f>IFERROR(INDEX('Semrush Data'!$A$1:$Z$20000,MATCH(A820,'Semrush Data'!$A$1:$A$20000,0),MATCH("Volume",'Semrush Data'!$A$1:$Z$1,0)),"")</f>
        <v/>
      </c>
      <c r="H820" s="42">
        <f>IFERROR(INDEX('Semrush Data'!$A$1:$Z$20000,MATCH(A820,'Semrush Data'!$A$1:$A$20000,0),MATCH("Keyword Difficulty*",'Semrush Data'!$A$1:$Z$1,0)),"")</f>
        <v/>
      </c>
      <c r="I820" s="56">
        <f>IFERROR(INDEX('Semrush Data'!$A$1:$Z$20000,MATCH(A820,'Semrush Data'!$A$1:$A$20000,0),MATCH("CPC*",'Semrush Data'!$A$1:$Z$1,0)),"")</f>
        <v/>
      </c>
      <c r="J820" s="42">
        <f>IFERROR(INDEX('Semrush Data'!$A$1:$Z$20000,MATCH(A820,'Semrush Data'!$A$1:$A$20000,0),MATCH("Intent",'Semrush Data'!$A$1:$Z$1,0)),"")</f>
        <v/>
      </c>
    </row>
    <row r="821" ht="15" customHeight="1" s="37">
      <c r="A821" s="42" t="inlineStr">
        <is>
          <t>al haramain amber oud gold edition uk</t>
        </is>
      </c>
      <c r="B821" s="42" t="inlineStr">
        <is>
          <t>Product + UK</t>
        </is>
      </c>
      <c r="C821" s="42" t="n">
        <v>2</v>
      </c>
      <c r="D821" s="42" t="n">
        <v>9</v>
      </c>
      <c r="E821" s="42" t="n">
        <v>1</v>
      </c>
      <c r="F821" s="42" t="inlineStr">
        <is>
          <t>FR-016</t>
        </is>
      </c>
      <c r="G821" s="55">
        <f>IFERROR(INDEX('Semrush Data'!$A$1:$Z$20000,MATCH(A821,'Semrush Data'!$A$1:$A$20000,0),MATCH("Volume",'Semrush Data'!$A$1:$Z$1,0)),"")</f>
        <v/>
      </c>
      <c r="H821" s="42">
        <f>IFERROR(INDEX('Semrush Data'!$A$1:$Z$20000,MATCH(A821,'Semrush Data'!$A$1:$A$20000,0),MATCH("Keyword Difficulty*",'Semrush Data'!$A$1:$Z$1,0)),"")</f>
        <v/>
      </c>
      <c r="I821" s="56">
        <f>IFERROR(INDEX('Semrush Data'!$A$1:$Z$20000,MATCH(A821,'Semrush Data'!$A$1:$A$20000,0),MATCH("CPC*",'Semrush Data'!$A$1:$Z$1,0)),"")</f>
        <v/>
      </c>
      <c r="J821" s="42">
        <f>IFERROR(INDEX('Semrush Data'!$A$1:$Z$20000,MATCH(A821,'Semrush Data'!$A$1:$A$20000,0),MATCH("Intent",'Semrush Data'!$A$1:$Z$1,0)),"")</f>
        <v/>
      </c>
    </row>
    <row r="822" ht="15" customHeight="1" s="37">
      <c r="A822" s="42" t="inlineStr">
        <is>
          <t>al haramain amber oud ruby edition uk</t>
        </is>
      </c>
      <c r="B822" s="42" t="inlineStr">
        <is>
          <t>Product + UK</t>
        </is>
      </c>
      <c r="C822" s="42" t="n">
        <v>2</v>
      </c>
      <c r="D822" s="42" t="n">
        <v>9</v>
      </c>
      <c r="E822" s="42" t="n">
        <v>1</v>
      </c>
      <c r="F822" s="42" t="inlineStr">
        <is>
          <t>FR-017</t>
        </is>
      </c>
      <c r="G822" s="55">
        <f>IFERROR(INDEX('Semrush Data'!$A$1:$Z$20000,MATCH(A822,'Semrush Data'!$A$1:$A$20000,0),MATCH("Volume",'Semrush Data'!$A$1:$Z$1,0)),"")</f>
        <v/>
      </c>
      <c r="H822" s="42">
        <f>IFERROR(INDEX('Semrush Data'!$A$1:$Z$20000,MATCH(A822,'Semrush Data'!$A$1:$A$20000,0),MATCH("Keyword Difficulty*",'Semrush Data'!$A$1:$Z$1,0)),"")</f>
        <v/>
      </c>
      <c r="I822" s="56">
        <f>IFERROR(INDEX('Semrush Data'!$A$1:$Z$20000,MATCH(A822,'Semrush Data'!$A$1:$A$20000,0),MATCH("CPC*",'Semrush Data'!$A$1:$Z$1,0)),"")</f>
        <v/>
      </c>
      <c r="J822" s="42">
        <f>IFERROR(INDEX('Semrush Data'!$A$1:$Z$20000,MATCH(A822,'Semrush Data'!$A$1:$A$20000,0),MATCH("Intent",'Semrush Data'!$A$1:$Z$1,0)),"")</f>
        <v/>
      </c>
    </row>
    <row r="823" ht="15" customHeight="1" s="37">
      <c r="A823" s="42" t="inlineStr">
        <is>
          <t>al haramain amber oud tobacco edition uk</t>
        </is>
      </c>
      <c r="B823" s="42" t="inlineStr">
        <is>
          <t>Product + UK</t>
        </is>
      </c>
      <c r="C823" s="42" t="n">
        <v>2</v>
      </c>
      <c r="D823" s="42" t="n">
        <v>9</v>
      </c>
      <c r="E823" s="42" t="n">
        <v>1</v>
      </c>
      <c r="F823" s="42" t="inlineStr">
        <is>
          <t>FR-018</t>
        </is>
      </c>
      <c r="G823" s="55">
        <f>IFERROR(INDEX('Semrush Data'!$A$1:$Z$20000,MATCH(A823,'Semrush Data'!$A$1:$A$20000,0),MATCH("Volume",'Semrush Data'!$A$1:$Z$1,0)),"")</f>
        <v/>
      </c>
      <c r="H823" s="42">
        <f>IFERROR(INDEX('Semrush Data'!$A$1:$Z$20000,MATCH(A823,'Semrush Data'!$A$1:$A$20000,0),MATCH("Keyword Difficulty*",'Semrush Data'!$A$1:$Z$1,0)),"")</f>
        <v/>
      </c>
      <c r="I823" s="56">
        <f>IFERROR(INDEX('Semrush Data'!$A$1:$Z$20000,MATCH(A823,'Semrush Data'!$A$1:$A$20000,0),MATCH("CPC*",'Semrush Data'!$A$1:$Z$1,0)),"")</f>
        <v/>
      </c>
      <c r="J823" s="42">
        <f>IFERROR(INDEX('Semrush Data'!$A$1:$Z$20000,MATCH(A823,'Semrush Data'!$A$1:$A$20000,0),MATCH("Intent",'Semrush Data'!$A$1:$Z$1,0)),"")</f>
        <v/>
      </c>
    </row>
    <row r="824" ht="15" customHeight="1" s="37">
      <c r="A824" s="42" t="inlineStr">
        <is>
          <t>al haramain amber oud uk</t>
        </is>
      </c>
      <c r="B824" s="42" t="inlineStr">
        <is>
          <t>Product + UK</t>
        </is>
      </c>
      <c r="C824" s="42" t="n">
        <v>2</v>
      </c>
      <c r="D824" s="42" t="n">
        <v>9</v>
      </c>
      <c r="E824" s="42" t="n">
        <v>1</v>
      </c>
      <c r="F824" s="42" t="inlineStr">
        <is>
          <t>FR-015</t>
        </is>
      </c>
      <c r="G824" s="55">
        <f>IFERROR(INDEX('Semrush Data'!$A$1:$Z$20000,MATCH(A824,'Semrush Data'!$A$1:$A$20000,0),MATCH("Volume",'Semrush Data'!$A$1:$Z$1,0)),"")</f>
        <v/>
      </c>
      <c r="H824" s="42">
        <f>IFERROR(INDEX('Semrush Data'!$A$1:$Z$20000,MATCH(A824,'Semrush Data'!$A$1:$A$20000,0),MATCH("Keyword Difficulty*",'Semrush Data'!$A$1:$Z$1,0)),"")</f>
        <v/>
      </c>
      <c r="I824" s="56">
        <f>IFERROR(INDEX('Semrush Data'!$A$1:$Z$20000,MATCH(A824,'Semrush Data'!$A$1:$A$20000,0),MATCH("CPC*",'Semrush Data'!$A$1:$Z$1,0)),"")</f>
        <v/>
      </c>
      <c r="J824" s="42">
        <f>IFERROR(INDEX('Semrush Data'!$A$1:$Z$20000,MATCH(A824,'Semrush Data'!$A$1:$A$20000,0),MATCH("Intent",'Semrush Data'!$A$1:$Z$1,0)),"")</f>
        <v/>
      </c>
    </row>
    <row r="825" ht="15" customHeight="1" s="37">
      <c r="A825" s="42" t="inlineStr">
        <is>
          <t>al haramain amber oud white edition uk</t>
        </is>
      </c>
      <c r="B825" s="42" t="inlineStr">
        <is>
          <t>Product + UK</t>
        </is>
      </c>
      <c r="C825" s="42" t="n">
        <v>2</v>
      </c>
      <c r="D825" s="42" t="n">
        <v>9</v>
      </c>
      <c r="E825" s="42" t="n">
        <v>1</v>
      </c>
      <c r="F825" s="42" t="inlineStr">
        <is>
          <t>FR-019</t>
        </is>
      </c>
      <c r="G825" s="55">
        <f>IFERROR(INDEX('Semrush Data'!$A$1:$Z$20000,MATCH(A825,'Semrush Data'!$A$1:$A$20000,0),MATCH("Volume",'Semrush Data'!$A$1:$Z$1,0)),"")</f>
        <v/>
      </c>
      <c r="H825" s="42">
        <f>IFERROR(INDEX('Semrush Data'!$A$1:$Z$20000,MATCH(A825,'Semrush Data'!$A$1:$A$20000,0),MATCH("Keyword Difficulty*",'Semrush Data'!$A$1:$Z$1,0)),"")</f>
        <v/>
      </c>
      <c r="I825" s="56">
        <f>IFERROR(INDEX('Semrush Data'!$A$1:$Z$20000,MATCH(A825,'Semrush Data'!$A$1:$A$20000,0),MATCH("CPC*",'Semrush Data'!$A$1:$Z$1,0)),"")</f>
        <v/>
      </c>
      <c r="J825" s="42">
        <f>IFERROR(INDEX('Semrush Data'!$A$1:$Z$20000,MATCH(A825,'Semrush Data'!$A$1:$A$20000,0),MATCH("Intent",'Semrush Data'!$A$1:$Z$1,0)),"")</f>
        <v/>
      </c>
    </row>
    <row r="826" ht="15" customHeight="1" s="37">
      <c r="A826" s="42" t="inlineStr">
        <is>
          <t>al haramain detour noir uk</t>
        </is>
      </c>
      <c r="B826" s="42" t="inlineStr">
        <is>
          <t>Product + UK</t>
        </is>
      </c>
      <c r="C826" s="42" t="n">
        <v>2</v>
      </c>
      <c r="D826" s="42" t="n">
        <v>9</v>
      </c>
      <c r="E826" s="42" t="n">
        <v>1</v>
      </c>
      <c r="F826" s="42" t="inlineStr">
        <is>
          <t>FR-020</t>
        </is>
      </c>
      <c r="G826" s="55">
        <f>IFERROR(INDEX('Semrush Data'!$A$1:$Z$20000,MATCH(A826,'Semrush Data'!$A$1:$A$20000,0),MATCH("Volume",'Semrush Data'!$A$1:$Z$1,0)),"")</f>
        <v/>
      </c>
      <c r="H826" s="42">
        <f>IFERROR(INDEX('Semrush Data'!$A$1:$Z$20000,MATCH(A826,'Semrush Data'!$A$1:$A$20000,0),MATCH("Keyword Difficulty*",'Semrush Data'!$A$1:$Z$1,0)),"")</f>
        <v/>
      </c>
      <c r="I826" s="56">
        <f>IFERROR(INDEX('Semrush Data'!$A$1:$Z$20000,MATCH(A826,'Semrush Data'!$A$1:$A$20000,0),MATCH("CPC*",'Semrush Data'!$A$1:$Z$1,0)),"")</f>
        <v/>
      </c>
      <c r="J826" s="42">
        <f>IFERROR(INDEX('Semrush Data'!$A$1:$Z$20000,MATCH(A826,'Semrush Data'!$A$1:$A$20000,0),MATCH("Intent",'Semrush Data'!$A$1:$Z$1,0)),"")</f>
        <v/>
      </c>
    </row>
    <row r="827" ht="15" customHeight="1" s="37">
      <c r="A827" s="42" t="inlineStr">
        <is>
          <t>al haramain l'aventure blanche uk</t>
        </is>
      </c>
      <c r="B827" s="42" t="inlineStr">
        <is>
          <t>Product + UK</t>
        </is>
      </c>
      <c r="C827" s="42" t="n">
        <v>2</v>
      </c>
      <c r="D827" s="42" t="n">
        <v>9</v>
      </c>
      <c r="E827" s="42" t="n">
        <v>1</v>
      </c>
      <c r="F827" s="42" t="inlineStr">
        <is>
          <t>FR-021</t>
        </is>
      </c>
      <c r="G827" s="55">
        <f>IFERROR(INDEX('Semrush Data'!$A$1:$Z$20000,MATCH(A827,'Semrush Data'!$A$1:$A$20000,0),MATCH("Volume",'Semrush Data'!$A$1:$Z$1,0)),"")</f>
        <v/>
      </c>
      <c r="H827" s="42">
        <f>IFERROR(INDEX('Semrush Data'!$A$1:$Z$20000,MATCH(A827,'Semrush Data'!$A$1:$A$20000,0),MATCH("Keyword Difficulty*",'Semrush Data'!$A$1:$Z$1,0)),"")</f>
        <v/>
      </c>
      <c r="I827" s="56">
        <f>IFERROR(INDEX('Semrush Data'!$A$1:$Z$20000,MATCH(A827,'Semrush Data'!$A$1:$A$20000,0),MATCH("CPC*",'Semrush Data'!$A$1:$Z$1,0)),"")</f>
        <v/>
      </c>
      <c r="J827" s="42">
        <f>IFERROR(INDEX('Semrush Data'!$A$1:$Z$20000,MATCH(A827,'Semrush Data'!$A$1:$A$20000,0),MATCH("Intent",'Semrush Data'!$A$1:$Z$1,0)),"")</f>
        <v/>
      </c>
    </row>
    <row r="828" ht="15" customHeight="1" s="37">
      <c r="A828" s="42" t="inlineStr">
        <is>
          <t>al haramain l'aventure femme uk</t>
        </is>
      </c>
      <c r="B828" s="42" t="inlineStr">
        <is>
          <t>Product + UK</t>
        </is>
      </c>
      <c r="C828" s="42" t="n">
        <v>2</v>
      </c>
      <c r="D828" s="42" t="n">
        <v>9</v>
      </c>
      <c r="E828" s="42" t="n">
        <v>1</v>
      </c>
      <c r="F828" s="42" t="inlineStr">
        <is>
          <t>FR-023</t>
        </is>
      </c>
      <c r="G828" s="55">
        <f>IFERROR(INDEX('Semrush Data'!$A$1:$Z$20000,MATCH(A828,'Semrush Data'!$A$1:$A$20000,0),MATCH("Volume",'Semrush Data'!$A$1:$Z$1,0)),"")</f>
        <v/>
      </c>
      <c r="H828" s="42">
        <f>IFERROR(INDEX('Semrush Data'!$A$1:$Z$20000,MATCH(A828,'Semrush Data'!$A$1:$A$20000,0),MATCH("Keyword Difficulty*",'Semrush Data'!$A$1:$Z$1,0)),"")</f>
        <v/>
      </c>
      <c r="I828" s="56">
        <f>IFERROR(INDEX('Semrush Data'!$A$1:$Z$20000,MATCH(A828,'Semrush Data'!$A$1:$A$20000,0),MATCH("CPC*",'Semrush Data'!$A$1:$Z$1,0)),"")</f>
        <v/>
      </c>
      <c r="J828" s="42">
        <f>IFERROR(INDEX('Semrush Data'!$A$1:$Z$20000,MATCH(A828,'Semrush Data'!$A$1:$A$20000,0),MATCH("Intent",'Semrush Data'!$A$1:$Z$1,0)),"")</f>
        <v/>
      </c>
    </row>
    <row r="829" ht="15" customHeight="1" s="37">
      <c r="A829" s="42" t="inlineStr">
        <is>
          <t>al haramain l'aventure gold uk</t>
        </is>
      </c>
      <c r="B829" s="42" t="inlineStr">
        <is>
          <t>Product + UK</t>
        </is>
      </c>
      <c r="C829" s="42" t="n">
        <v>2</v>
      </c>
      <c r="D829" s="42" t="n">
        <v>9</v>
      </c>
      <c r="E829" s="42" t="n">
        <v>1</v>
      </c>
      <c r="F829" s="42" t="inlineStr">
        <is>
          <t>FR-024</t>
        </is>
      </c>
      <c r="G829" s="55">
        <f>IFERROR(INDEX('Semrush Data'!$A$1:$Z$20000,MATCH(A829,'Semrush Data'!$A$1:$A$20000,0),MATCH("Volume",'Semrush Data'!$A$1:$Z$1,0)),"")</f>
        <v/>
      </c>
      <c r="H829" s="42">
        <f>IFERROR(INDEX('Semrush Data'!$A$1:$Z$20000,MATCH(A829,'Semrush Data'!$A$1:$A$20000,0),MATCH("Keyword Difficulty*",'Semrush Data'!$A$1:$Z$1,0)),"")</f>
        <v/>
      </c>
      <c r="I829" s="56">
        <f>IFERROR(INDEX('Semrush Data'!$A$1:$Z$20000,MATCH(A829,'Semrush Data'!$A$1:$A$20000,0),MATCH("CPC*",'Semrush Data'!$A$1:$Z$1,0)),"")</f>
        <v/>
      </c>
      <c r="J829" s="42">
        <f>IFERROR(INDEX('Semrush Data'!$A$1:$Z$20000,MATCH(A829,'Semrush Data'!$A$1:$A$20000,0),MATCH("Intent",'Semrush Data'!$A$1:$Z$1,0)),"")</f>
        <v/>
      </c>
    </row>
    <row r="830" ht="15" customHeight="1" s="37">
      <c r="A830" s="42" t="inlineStr">
        <is>
          <t>al haramain l'aventure intense uk</t>
        </is>
      </c>
      <c r="B830" s="42" t="inlineStr">
        <is>
          <t>Product + UK</t>
        </is>
      </c>
      <c r="C830" s="42" t="n">
        <v>2</v>
      </c>
      <c r="D830" s="42" t="n">
        <v>9</v>
      </c>
      <c r="E830" s="42" t="n">
        <v>1</v>
      </c>
      <c r="F830" s="42" t="inlineStr">
        <is>
          <t>FR-025</t>
        </is>
      </c>
      <c r="G830" s="55">
        <f>IFERROR(INDEX('Semrush Data'!$A$1:$Z$20000,MATCH(A830,'Semrush Data'!$A$1:$A$20000,0),MATCH("Volume",'Semrush Data'!$A$1:$Z$1,0)),"")</f>
        <v/>
      </c>
      <c r="H830" s="42">
        <f>IFERROR(INDEX('Semrush Data'!$A$1:$Z$20000,MATCH(A830,'Semrush Data'!$A$1:$A$20000,0),MATCH("Keyword Difficulty*",'Semrush Data'!$A$1:$Z$1,0)),"")</f>
        <v/>
      </c>
      <c r="I830" s="56">
        <f>IFERROR(INDEX('Semrush Data'!$A$1:$Z$20000,MATCH(A830,'Semrush Data'!$A$1:$A$20000,0),MATCH("CPC*",'Semrush Data'!$A$1:$Z$1,0)),"")</f>
        <v/>
      </c>
      <c r="J830" s="42">
        <f>IFERROR(INDEX('Semrush Data'!$A$1:$Z$20000,MATCH(A830,'Semrush Data'!$A$1:$A$20000,0),MATCH("Intent",'Semrush Data'!$A$1:$Z$1,0)),"")</f>
        <v/>
      </c>
    </row>
    <row r="831" ht="15" customHeight="1" s="37">
      <c r="A831" s="42" t="inlineStr">
        <is>
          <t>al haramain l'aventure uk</t>
        </is>
      </c>
      <c r="B831" s="42" t="inlineStr">
        <is>
          <t>Product + UK</t>
        </is>
      </c>
      <c r="C831" s="42" t="n">
        <v>2</v>
      </c>
      <c r="D831" s="42" t="n">
        <v>9</v>
      </c>
      <c r="E831" s="42" t="n">
        <v>1</v>
      </c>
      <c r="F831" s="42" t="inlineStr">
        <is>
          <t>FR-022</t>
        </is>
      </c>
      <c r="G831" s="55">
        <f>IFERROR(INDEX('Semrush Data'!$A$1:$Z$20000,MATCH(A831,'Semrush Data'!$A$1:$A$20000,0),MATCH("Volume",'Semrush Data'!$A$1:$Z$1,0)),"")</f>
        <v/>
      </c>
      <c r="H831" s="42">
        <f>IFERROR(INDEX('Semrush Data'!$A$1:$Z$20000,MATCH(A831,'Semrush Data'!$A$1:$A$20000,0),MATCH("Keyword Difficulty*",'Semrush Data'!$A$1:$Z$1,0)),"")</f>
        <v/>
      </c>
      <c r="I831" s="56">
        <f>IFERROR(INDEX('Semrush Data'!$A$1:$Z$20000,MATCH(A831,'Semrush Data'!$A$1:$A$20000,0),MATCH("CPC*",'Semrush Data'!$A$1:$Z$1,0)),"")</f>
        <v/>
      </c>
      <c r="J831" s="42">
        <f>IFERROR(INDEX('Semrush Data'!$A$1:$Z$20000,MATCH(A831,'Semrush Data'!$A$1:$A$20000,0),MATCH("Intent",'Semrush Data'!$A$1:$Z$1,0)),"")</f>
        <v/>
      </c>
    </row>
    <row r="832" ht="15" customHeight="1" s="37">
      <c r="A832" s="42" t="inlineStr">
        <is>
          <t>anatome balance uk</t>
        </is>
      </c>
      <c r="B832" s="42" t="inlineStr">
        <is>
          <t>Product + UK</t>
        </is>
      </c>
      <c r="C832" s="42" t="n">
        <v>2</v>
      </c>
      <c r="D832" s="42" t="n">
        <v>9</v>
      </c>
      <c r="E832" s="42" t="n">
        <v>3</v>
      </c>
      <c r="F832" s="42" t="inlineStr">
        <is>
          <t>FR-027, FR-028, FR-029</t>
        </is>
      </c>
      <c r="G832" s="55">
        <f>IFERROR(INDEX('Semrush Data'!$A$1:$Z$20000,MATCH(A832,'Semrush Data'!$A$1:$A$20000,0),MATCH("Volume",'Semrush Data'!$A$1:$Z$1,0)),"")</f>
        <v/>
      </c>
      <c r="H832" s="42">
        <f>IFERROR(INDEX('Semrush Data'!$A$1:$Z$20000,MATCH(A832,'Semrush Data'!$A$1:$A$20000,0),MATCH("Keyword Difficulty*",'Semrush Data'!$A$1:$Z$1,0)),"")</f>
        <v/>
      </c>
      <c r="I832" s="56">
        <f>IFERROR(INDEX('Semrush Data'!$A$1:$Z$20000,MATCH(A832,'Semrush Data'!$A$1:$A$20000,0),MATCH("CPC*",'Semrush Data'!$A$1:$Z$1,0)),"")</f>
        <v/>
      </c>
      <c r="J832" s="42">
        <f>IFERROR(INDEX('Semrush Data'!$A$1:$Z$20000,MATCH(A832,'Semrush Data'!$A$1:$A$20000,0),MATCH("Intent",'Semrush Data'!$A$1:$Z$1,0)),"")</f>
        <v/>
      </c>
    </row>
    <row r="833" ht="15" customHeight="1" s="37">
      <c r="A833" s="42" t="inlineStr">
        <is>
          <t>anatome energy uk</t>
        </is>
      </c>
      <c r="B833" s="42" t="inlineStr">
        <is>
          <t>Product + UK</t>
        </is>
      </c>
      <c r="C833" s="42" t="n">
        <v>2</v>
      </c>
      <c r="D833" s="42" t="n">
        <v>9</v>
      </c>
      <c r="E833" s="42" t="n">
        <v>3</v>
      </c>
      <c r="F833" s="42" t="inlineStr">
        <is>
          <t>FR-030, FR-031, FR-032</t>
        </is>
      </c>
      <c r="G833" s="55">
        <f>IFERROR(INDEX('Semrush Data'!$A$1:$Z$20000,MATCH(A833,'Semrush Data'!$A$1:$A$20000,0),MATCH("Volume",'Semrush Data'!$A$1:$Z$1,0)),"")</f>
        <v/>
      </c>
      <c r="H833" s="42">
        <f>IFERROR(INDEX('Semrush Data'!$A$1:$Z$20000,MATCH(A833,'Semrush Data'!$A$1:$A$20000,0),MATCH("Keyword Difficulty*",'Semrush Data'!$A$1:$Z$1,0)),"")</f>
        <v/>
      </c>
      <c r="I833" s="56">
        <f>IFERROR(INDEX('Semrush Data'!$A$1:$Z$20000,MATCH(A833,'Semrush Data'!$A$1:$A$20000,0),MATCH("CPC*",'Semrush Data'!$A$1:$Z$1,0)),"")</f>
        <v/>
      </c>
      <c r="J833" s="42">
        <f>IFERROR(INDEX('Semrush Data'!$A$1:$Z$20000,MATCH(A833,'Semrush Data'!$A$1:$A$20000,0),MATCH("Intent",'Semrush Data'!$A$1:$Z$1,0)),"")</f>
        <v/>
      </c>
    </row>
    <row r="834" ht="15" customHeight="1" s="37">
      <c r="A834" s="42" t="inlineStr">
        <is>
          <t>anatome expression uk</t>
        </is>
      </c>
      <c r="B834" s="42" t="inlineStr">
        <is>
          <t>Product + UK</t>
        </is>
      </c>
      <c r="C834" s="42" t="n">
        <v>2</v>
      </c>
      <c r="D834" s="42" t="n">
        <v>9</v>
      </c>
      <c r="E834" s="42" t="n">
        <v>3</v>
      </c>
      <c r="F834" s="42" t="inlineStr">
        <is>
          <t>FR-033, FR-034, FR-035</t>
        </is>
      </c>
      <c r="G834" s="55">
        <f>IFERROR(INDEX('Semrush Data'!$A$1:$Z$20000,MATCH(A834,'Semrush Data'!$A$1:$A$20000,0),MATCH("Volume",'Semrush Data'!$A$1:$Z$1,0)),"")</f>
        <v/>
      </c>
      <c r="H834" s="42">
        <f>IFERROR(INDEX('Semrush Data'!$A$1:$Z$20000,MATCH(A834,'Semrush Data'!$A$1:$A$20000,0),MATCH("Keyword Difficulty*",'Semrush Data'!$A$1:$Z$1,0)),"")</f>
        <v/>
      </c>
      <c r="I834" s="56">
        <f>IFERROR(INDEX('Semrush Data'!$A$1:$Z$20000,MATCH(A834,'Semrush Data'!$A$1:$A$20000,0),MATCH("CPC*",'Semrush Data'!$A$1:$Z$1,0)),"")</f>
        <v/>
      </c>
      <c r="J834" s="42">
        <f>IFERROR(INDEX('Semrush Data'!$A$1:$Z$20000,MATCH(A834,'Semrush Data'!$A$1:$A$20000,0),MATCH("Intent",'Semrush Data'!$A$1:$Z$1,0)),"")</f>
        <v/>
      </c>
    </row>
    <row r="835" ht="15" customHeight="1" s="37">
      <c r="A835" s="42" t="inlineStr">
        <is>
          <t>anatome focus uk</t>
        </is>
      </c>
      <c r="B835" s="42" t="inlineStr">
        <is>
          <t>Product + UK</t>
        </is>
      </c>
      <c r="C835" s="42" t="n">
        <v>2</v>
      </c>
      <c r="D835" s="42" t="n">
        <v>9</v>
      </c>
      <c r="E835" s="42" t="n">
        <v>3</v>
      </c>
      <c r="F835" s="42" t="inlineStr">
        <is>
          <t>FR-036, FR-037, FR-038</t>
        </is>
      </c>
      <c r="G835" s="55">
        <f>IFERROR(INDEX('Semrush Data'!$A$1:$Z$20000,MATCH(A835,'Semrush Data'!$A$1:$A$20000,0),MATCH("Volume",'Semrush Data'!$A$1:$Z$1,0)),"")</f>
        <v/>
      </c>
      <c r="H835" s="42">
        <f>IFERROR(INDEX('Semrush Data'!$A$1:$Z$20000,MATCH(A835,'Semrush Data'!$A$1:$A$20000,0),MATCH("Keyword Difficulty*",'Semrush Data'!$A$1:$Z$1,0)),"")</f>
        <v/>
      </c>
      <c r="I835" s="56">
        <f>IFERROR(INDEX('Semrush Data'!$A$1:$Z$20000,MATCH(A835,'Semrush Data'!$A$1:$A$20000,0),MATCH("CPC*",'Semrush Data'!$A$1:$Z$1,0)),"")</f>
        <v/>
      </c>
      <c r="J835" s="42">
        <f>IFERROR(INDEX('Semrush Data'!$A$1:$Z$20000,MATCH(A835,'Semrush Data'!$A$1:$A$20000,0),MATCH("Intent",'Semrush Data'!$A$1:$Z$1,0)),"")</f>
        <v/>
      </c>
    </row>
    <row r="836" ht="15" customHeight="1" s="37">
      <c r="A836" s="42" t="inlineStr">
        <is>
          <t>anatome support uk</t>
        </is>
      </c>
      <c r="B836" s="42" t="inlineStr">
        <is>
          <t>Product + UK</t>
        </is>
      </c>
      <c r="C836" s="42" t="n">
        <v>2</v>
      </c>
      <c r="D836" s="42" t="n">
        <v>9</v>
      </c>
      <c r="E836" s="42" t="n">
        <v>4</v>
      </c>
      <c r="F836" s="42" t="inlineStr">
        <is>
          <t>FR-039, FR-040, FR-041, FR-042</t>
        </is>
      </c>
      <c r="G836" s="55">
        <f>IFERROR(INDEX('Semrush Data'!$A$1:$Z$20000,MATCH(A836,'Semrush Data'!$A$1:$A$20000,0),MATCH("Volume",'Semrush Data'!$A$1:$Z$1,0)),"")</f>
        <v/>
      </c>
      <c r="H836" s="42">
        <f>IFERROR(INDEX('Semrush Data'!$A$1:$Z$20000,MATCH(A836,'Semrush Data'!$A$1:$A$20000,0),MATCH("Keyword Difficulty*",'Semrush Data'!$A$1:$Z$1,0)),"")</f>
        <v/>
      </c>
      <c r="I836" s="56">
        <f>IFERROR(INDEX('Semrush Data'!$A$1:$Z$20000,MATCH(A836,'Semrush Data'!$A$1:$A$20000,0),MATCH("CPC*",'Semrush Data'!$A$1:$Z$1,0)),"")</f>
        <v/>
      </c>
      <c r="J836" s="42">
        <f>IFERROR(INDEX('Semrush Data'!$A$1:$Z$20000,MATCH(A836,'Semrush Data'!$A$1:$A$20000,0),MATCH("Intent",'Semrush Data'!$A$1:$Z$1,0)),"")</f>
        <v/>
      </c>
    </row>
    <row r="837" ht="15" customHeight="1" s="37">
      <c r="A837" s="42" t="inlineStr">
        <is>
          <t>anna sui sky uk</t>
        </is>
      </c>
      <c r="B837" s="42" t="inlineStr">
        <is>
          <t>Product + UK</t>
        </is>
      </c>
      <c r="C837" s="42" t="n">
        <v>2</v>
      </c>
      <c r="D837" s="42" t="n">
        <v>9</v>
      </c>
      <c r="E837" s="42" t="n">
        <v>1</v>
      </c>
      <c r="F837" s="42" t="inlineStr">
        <is>
          <t>FR-043</t>
        </is>
      </c>
      <c r="G837" s="55">
        <f>IFERROR(INDEX('Semrush Data'!$A$1:$Z$20000,MATCH(A837,'Semrush Data'!$A$1:$A$20000,0),MATCH("Volume",'Semrush Data'!$A$1:$Z$1,0)),"")</f>
        <v/>
      </c>
      <c r="H837" s="42">
        <f>IFERROR(INDEX('Semrush Data'!$A$1:$Z$20000,MATCH(A837,'Semrush Data'!$A$1:$A$20000,0),MATCH("Keyword Difficulty*",'Semrush Data'!$A$1:$Z$1,0)),"")</f>
        <v/>
      </c>
      <c r="I837" s="56">
        <f>IFERROR(INDEX('Semrush Data'!$A$1:$Z$20000,MATCH(A837,'Semrush Data'!$A$1:$A$20000,0),MATCH("CPC*",'Semrush Data'!$A$1:$Z$1,0)),"")</f>
        <v/>
      </c>
      <c r="J837" s="42">
        <f>IFERROR(INDEX('Semrush Data'!$A$1:$Z$20000,MATCH(A837,'Semrush Data'!$A$1:$A$20000,0),MATCH("Intent",'Semrush Data'!$A$1:$Z$1,0)),"")</f>
        <v/>
      </c>
    </row>
    <row r="838" ht="15" customHeight="1" s="37">
      <c r="A838" s="42" t="inlineStr">
        <is>
          <t>antonio banderas boucheron patchouli d'angkor uk</t>
        </is>
      </c>
      <c r="B838" s="42" t="inlineStr">
        <is>
          <t>Product + UK</t>
        </is>
      </c>
      <c r="C838" s="42" t="n">
        <v>2</v>
      </c>
      <c r="D838" s="42" t="n">
        <v>9</v>
      </c>
      <c r="E838" s="42" t="n">
        <v>1</v>
      </c>
      <c r="F838" s="42" t="inlineStr">
        <is>
          <t>FR-044</t>
        </is>
      </c>
      <c r="G838" s="55">
        <f>IFERROR(INDEX('Semrush Data'!$A$1:$Z$20000,MATCH(A838,'Semrush Data'!$A$1:$A$20000,0),MATCH("Volume",'Semrush Data'!$A$1:$Z$1,0)),"")</f>
        <v/>
      </c>
      <c r="H838" s="42">
        <f>IFERROR(INDEX('Semrush Data'!$A$1:$Z$20000,MATCH(A838,'Semrush Data'!$A$1:$A$20000,0),MATCH("Keyword Difficulty*",'Semrush Data'!$A$1:$Z$1,0)),"")</f>
        <v/>
      </c>
      <c r="I838" s="56">
        <f>IFERROR(INDEX('Semrush Data'!$A$1:$Z$20000,MATCH(A838,'Semrush Data'!$A$1:$A$20000,0),MATCH("CPC*",'Semrush Data'!$A$1:$Z$1,0)),"")</f>
        <v/>
      </c>
      <c r="J838" s="42">
        <f>IFERROR(INDEX('Semrush Data'!$A$1:$Z$20000,MATCH(A838,'Semrush Data'!$A$1:$A$20000,0),MATCH("Intent",'Semrush Data'!$A$1:$Z$1,0)),"")</f>
        <v/>
      </c>
    </row>
    <row r="839" ht="15" customHeight="1" s="37">
      <c r="A839" s="42" t="inlineStr">
        <is>
          <t>antonio banderas boucheron rose d'isparta uk</t>
        </is>
      </c>
      <c r="B839" s="42" t="inlineStr">
        <is>
          <t>Product + UK</t>
        </is>
      </c>
      <c r="C839" s="42" t="n">
        <v>2</v>
      </c>
      <c r="D839" s="42" t="n">
        <v>9</v>
      </c>
      <c r="E839" s="42" t="n">
        <v>1</v>
      </c>
      <c r="F839" s="42" t="inlineStr">
        <is>
          <t>FR-045</t>
        </is>
      </c>
      <c r="G839" s="55">
        <f>IFERROR(INDEX('Semrush Data'!$A$1:$Z$20000,MATCH(A839,'Semrush Data'!$A$1:$A$20000,0),MATCH("Volume",'Semrush Data'!$A$1:$Z$1,0)),"")</f>
        <v/>
      </c>
      <c r="H839" s="42">
        <f>IFERROR(INDEX('Semrush Data'!$A$1:$Z$20000,MATCH(A839,'Semrush Data'!$A$1:$A$20000,0),MATCH("Keyword Difficulty*",'Semrush Data'!$A$1:$Z$1,0)),"")</f>
        <v/>
      </c>
      <c r="I839" s="56">
        <f>IFERROR(INDEX('Semrush Data'!$A$1:$Z$20000,MATCH(A839,'Semrush Data'!$A$1:$A$20000,0),MATCH("CPC*",'Semrush Data'!$A$1:$Z$1,0)),"")</f>
        <v/>
      </c>
      <c r="J839" s="42">
        <f>IFERROR(INDEX('Semrush Data'!$A$1:$Z$20000,MATCH(A839,'Semrush Data'!$A$1:$A$20000,0),MATCH("Intent",'Semrush Data'!$A$1:$Z$1,0)),"")</f>
        <v/>
      </c>
    </row>
    <row r="840" ht="15" customHeight="1" s="37">
      <c r="A840" s="42" t="inlineStr">
        <is>
          <t>antonio banderas diavolo uk</t>
        </is>
      </c>
      <c r="B840" s="42" t="inlineStr">
        <is>
          <t>Product + UK</t>
        </is>
      </c>
      <c r="C840" s="42" t="n">
        <v>2</v>
      </c>
      <c r="D840" s="42" t="n">
        <v>9</v>
      </c>
      <c r="E840" s="42" t="n">
        <v>1</v>
      </c>
      <c r="F840" s="42" t="inlineStr">
        <is>
          <t>FR-046</t>
        </is>
      </c>
      <c r="G840" s="55">
        <f>IFERROR(INDEX('Semrush Data'!$A$1:$Z$20000,MATCH(A840,'Semrush Data'!$A$1:$A$20000,0),MATCH("Volume",'Semrush Data'!$A$1:$Z$1,0)),"")</f>
        <v/>
      </c>
      <c r="H840" s="42">
        <f>IFERROR(INDEX('Semrush Data'!$A$1:$Z$20000,MATCH(A840,'Semrush Data'!$A$1:$A$20000,0),MATCH("Keyword Difficulty*",'Semrush Data'!$A$1:$Z$1,0)),"")</f>
        <v/>
      </c>
      <c r="I840" s="56">
        <f>IFERROR(INDEX('Semrush Data'!$A$1:$Z$20000,MATCH(A840,'Semrush Data'!$A$1:$A$20000,0),MATCH("CPC*",'Semrush Data'!$A$1:$Z$1,0)),"")</f>
        <v/>
      </c>
      <c r="J840" s="42">
        <f>IFERROR(INDEX('Semrush Data'!$A$1:$Z$20000,MATCH(A840,'Semrush Data'!$A$1:$A$20000,0),MATCH("Intent",'Semrush Data'!$A$1:$Z$1,0)),"")</f>
        <v/>
      </c>
    </row>
    <row r="841" ht="15" customHeight="1" s="37">
      <c r="A841" s="42" t="inlineStr">
        <is>
          <t>antonio banderas her secret desire uk</t>
        </is>
      </c>
      <c r="B841" s="42" t="inlineStr">
        <is>
          <t>Product + UK</t>
        </is>
      </c>
      <c r="C841" s="42" t="n">
        <v>2</v>
      </c>
      <c r="D841" s="42" t="n">
        <v>9</v>
      </c>
      <c r="E841" s="42" t="n">
        <v>1</v>
      </c>
      <c r="F841" s="42" t="inlineStr">
        <is>
          <t>FR-047</t>
        </is>
      </c>
      <c r="G841" s="55">
        <f>IFERROR(INDEX('Semrush Data'!$A$1:$Z$20000,MATCH(A841,'Semrush Data'!$A$1:$A$20000,0),MATCH("Volume",'Semrush Data'!$A$1:$Z$1,0)),"")</f>
        <v/>
      </c>
      <c r="H841" s="42">
        <f>IFERROR(INDEX('Semrush Data'!$A$1:$Z$20000,MATCH(A841,'Semrush Data'!$A$1:$A$20000,0),MATCH("Keyword Difficulty*",'Semrush Data'!$A$1:$Z$1,0)),"")</f>
        <v/>
      </c>
      <c r="I841" s="56">
        <f>IFERROR(INDEX('Semrush Data'!$A$1:$Z$20000,MATCH(A841,'Semrush Data'!$A$1:$A$20000,0),MATCH("CPC*",'Semrush Data'!$A$1:$Z$1,0)),"")</f>
        <v/>
      </c>
      <c r="J841" s="42">
        <f>IFERROR(INDEX('Semrush Data'!$A$1:$Z$20000,MATCH(A841,'Semrush Data'!$A$1:$A$20000,0),MATCH("Intent",'Semrush Data'!$A$1:$Z$1,0)),"")</f>
        <v/>
      </c>
    </row>
    <row r="842" ht="15" customHeight="1" s="37">
      <c r="A842" s="42" t="inlineStr">
        <is>
          <t>antonio banderas her secret temptation uk</t>
        </is>
      </c>
      <c r="B842" s="42" t="inlineStr">
        <is>
          <t>Product + UK</t>
        </is>
      </c>
      <c r="C842" s="42" t="n">
        <v>2</v>
      </c>
      <c r="D842" s="42" t="n">
        <v>9</v>
      </c>
      <c r="E842" s="42" t="n">
        <v>1</v>
      </c>
      <c r="F842" s="42" t="inlineStr">
        <is>
          <t>FR-048</t>
        </is>
      </c>
      <c r="G842" s="55">
        <f>IFERROR(INDEX('Semrush Data'!$A$1:$Z$20000,MATCH(A842,'Semrush Data'!$A$1:$A$20000,0),MATCH("Volume",'Semrush Data'!$A$1:$Z$1,0)),"")</f>
        <v/>
      </c>
      <c r="H842" s="42">
        <f>IFERROR(INDEX('Semrush Data'!$A$1:$Z$20000,MATCH(A842,'Semrush Data'!$A$1:$A$20000,0),MATCH("Keyword Difficulty*",'Semrush Data'!$A$1:$Z$1,0)),"")</f>
        <v/>
      </c>
      <c r="I842" s="56">
        <f>IFERROR(INDEX('Semrush Data'!$A$1:$Z$20000,MATCH(A842,'Semrush Data'!$A$1:$A$20000,0),MATCH("CPC*",'Semrush Data'!$A$1:$Z$1,0)),"")</f>
        <v/>
      </c>
      <c r="J842" s="42">
        <f>IFERROR(INDEX('Semrush Data'!$A$1:$Z$20000,MATCH(A842,'Semrush Data'!$A$1:$A$20000,0),MATCH("Intent",'Semrush Data'!$A$1:$Z$1,0)),"")</f>
        <v/>
      </c>
    </row>
    <row r="843" ht="15" customHeight="1" s="37">
      <c r="A843" s="42" t="inlineStr">
        <is>
          <t>antonio banderas power of seduction uk</t>
        </is>
      </c>
      <c r="B843" s="42" t="inlineStr">
        <is>
          <t>Product + UK</t>
        </is>
      </c>
      <c r="C843" s="42" t="n">
        <v>2</v>
      </c>
      <c r="D843" s="42" t="n">
        <v>9</v>
      </c>
      <c r="E843" s="42" t="n">
        <v>1</v>
      </c>
      <c r="F843" s="42" t="inlineStr">
        <is>
          <t>FR-049</t>
        </is>
      </c>
      <c r="G843" s="55">
        <f>IFERROR(INDEX('Semrush Data'!$A$1:$Z$20000,MATCH(A843,'Semrush Data'!$A$1:$A$20000,0),MATCH("Volume",'Semrush Data'!$A$1:$Z$1,0)),"")</f>
        <v/>
      </c>
      <c r="H843" s="42">
        <f>IFERROR(INDEX('Semrush Data'!$A$1:$Z$20000,MATCH(A843,'Semrush Data'!$A$1:$A$20000,0),MATCH("Keyword Difficulty*",'Semrush Data'!$A$1:$Z$1,0)),"")</f>
        <v/>
      </c>
      <c r="I843" s="56">
        <f>IFERROR(INDEX('Semrush Data'!$A$1:$Z$20000,MATCH(A843,'Semrush Data'!$A$1:$A$20000,0),MATCH("CPC*",'Semrush Data'!$A$1:$Z$1,0)),"")</f>
        <v/>
      </c>
      <c r="J843" s="42">
        <f>IFERROR(INDEX('Semrush Data'!$A$1:$Z$20000,MATCH(A843,'Semrush Data'!$A$1:$A$20000,0),MATCH("Intent",'Semrush Data'!$A$1:$Z$1,0)),"")</f>
        <v/>
      </c>
    </row>
    <row r="844" ht="15" customHeight="1" s="37">
      <c r="A844" s="42" t="inlineStr">
        <is>
          <t>ariana grande thank u, next uk</t>
        </is>
      </c>
      <c r="B844" s="42" t="inlineStr">
        <is>
          <t>Product + UK</t>
        </is>
      </c>
      <c r="C844" s="42" t="n">
        <v>2</v>
      </c>
      <c r="D844" s="42" t="n">
        <v>9</v>
      </c>
      <c r="E844" s="42" t="n">
        <v>1</v>
      </c>
      <c r="F844" s="42" t="inlineStr">
        <is>
          <t>FR-050</t>
        </is>
      </c>
      <c r="G844" s="55">
        <f>IFERROR(INDEX('Semrush Data'!$A$1:$Z$20000,MATCH(A844,'Semrush Data'!$A$1:$A$20000,0),MATCH("Volume",'Semrush Data'!$A$1:$Z$1,0)),"")</f>
        <v/>
      </c>
      <c r="H844" s="42">
        <f>IFERROR(INDEX('Semrush Data'!$A$1:$Z$20000,MATCH(A844,'Semrush Data'!$A$1:$A$20000,0),MATCH("Keyword Difficulty*",'Semrush Data'!$A$1:$Z$1,0)),"")</f>
        <v/>
      </c>
      <c r="I844" s="56">
        <f>IFERROR(INDEX('Semrush Data'!$A$1:$Z$20000,MATCH(A844,'Semrush Data'!$A$1:$A$20000,0),MATCH("CPC*",'Semrush Data'!$A$1:$Z$1,0)),"")</f>
        <v/>
      </c>
      <c r="J844" s="42">
        <f>IFERROR(INDEX('Semrush Data'!$A$1:$Z$20000,MATCH(A844,'Semrush Data'!$A$1:$A$20000,0),MATCH("Intent",'Semrush Data'!$A$1:$Z$1,0)),"")</f>
        <v/>
      </c>
    </row>
    <row r="845" ht="15" customHeight="1" s="37">
      <c r="A845" s="42" t="inlineStr">
        <is>
          <t>armaf hunter uk</t>
        </is>
      </c>
      <c r="B845" s="42" t="inlineStr">
        <is>
          <t>Product + UK</t>
        </is>
      </c>
      <c r="C845" s="42" t="n">
        <v>2</v>
      </c>
      <c r="D845" s="42" t="n">
        <v>9</v>
      </c>
      <c r="E845" s="42" t="n">
        <v>1</v>
      </c>
      <c r="F845" s="42" t="inlineStr">
        <is>
          <t>FR-051</t>
        </is>
      </c>
      <c r="G845" s="55">
        <f>IFERROR(INDEX('Semrush Data'!$A$1:$Z$20000,MATCH(A845,'Semrush Data'!$A$1:$A$20000,0),MATCH("Volume",'Semrush Data'!$A$1:$Z$1,0)),"")</f>
        <v/>
      </c>
      <c r="H845" s="42">
        <f>IFERROR(INDEX('Semrush Data'!$A$1:$Z$20000,MATCH(A845,'Semrush Data'!$A$1:$A$20000,0),MATCH("Keyword Difficulty*",'Semrush Data'!$A$1:$Z$1,0)),"")</f>
        <v/>
      </c>
      <c r="I845" s="56">
        <f>IFERROR(INDEX('Semrush Data'!$A$1:$Z$20000,MATCH(A845,'Semrush Data'!$A$1:$A$20000,0),MATCH("CPC*",'Semrush Data'!$A$1:$Z$1,0)),"")</f>
        <v/>
      </c>
      <c r="J845" s="42">
        <f>IFERROR(INDEX('Semrush Data'!$A$1:$Z$20000,MATCH(A845,'Semrush Data'!$A$1:$A$20000,0),MATCH("Intent",'Semrush Data'!$A$1:$Z$1,0)),"")</f>
        <v/>
      </c>
    </row>
    <row r="846" ht="15" customHeight="1" s="37">
      <c r="A846" s="42" t="inlineStr">
        <is>
          <t>bentley absolute uk</t>
        </is>
      </c>
      <c r="B846" s="42" t="inlineStr">
        <is>
          <t>Product + UK</t>
        </is>
      </c>
      <c r="C846" s="42" t="n">
        <v>2</v>
      </c>
      <c r="D846" s="42" t="n">
        <v>9</v>
      </c>
      <c r="E846" s="42" t="n">
        <v>1</v>
      </c>
      <c r="F846" s="42" t="inlineStr">
        <is>
          <t>FR-054</t>
        </is>
      </c>
      <c r="G846" s="55">
        <f>IFERROR(INDEX('Semrush Data'!$A$1:$Z$20000,MATCH(A846,'Semrush Data'!$A$1:$A$20000,0),MATCH("Volume",'Semrush Data'!$A$1:$Z$1,0)),"")</f>
        <v/>
      </c>
      <c r="H846" s="42">
        <f>IFERROR(INDEX('Semrush Data'!$A$1:$Z$20000,MATCH(A846,'Semrush Data'!$A$1:$A$20000,0),MATCH("Keyword Difficulty*",'Semrush Data'!$A$1:$Z$1,0)),"")</f>
        <v/>
      </c>
      <c r="I846" s="56">
        <f>IFERROR(INDEX('Semrush Data'!$A$1:$Z$20000,MATCH(A846,'Semrush Data'!$A$1:$A$20000,0),MATCH("CPC*",'Semrush Data'!$A$1:$Z$1,0)),"")</f>
        <v/>
      </c>
      <c r="J846" s="42">
        <f>IFERROR(INDEX('Semrush Data'!$A$1:$Z$20000,MATCH(A846,'Semrush Data'!$A$1:$A$20000,0),MATCH("Intent",'Semrush Data'!$A$1:$Z$1,0)),"")</f>
        <v/>
      </c>
    </row>
    <row r="847" ht="15" customHeight="1" s="37">
      <c r="A847" s="42" t="inlineStr">
        <is>
          <t>bentley azure uk</t>
        </is>
      </c>
      <c r="B847" s="42" t="inlineStr">
        <is>
          <t>Product + UK</t>
        </is>
      </c>
      <c r="C847" s="42" t="n">
        <v>2</v>
      </c>
      <c r="D847" s="42" t="n">
        <v>9</v>
      </c>
      <c r="E847" s="42" t="n">
        <v>1</v>
      </c>
      <c r="F847" s="42" t="inlineStr">
        <is>
          <t>FR-058</t>
        </is>
      </c>
      <c r="G847" s="55">
        <f>IFERROR(INDEX('Semrush Data'!$A$1:$Z$20000,MATCH(A847,'Semrush Data'!$A$1:$A$20000,0),MATCH("Volume",'Semrush Data'!$A$1:$Z$1,0)),"")</f>
        <v/>
      </c>
      <c r="H847" s="42">
        <f>IFERROR(INDEX('Semrush Data'!$A$1:$Z$20000,MATCH(A847,'Semrush Data'!$A$1:$A$20000,0),MATCH("Keyword Difficulty*",'Semrush Data'!$A$1:$Z$1,0)),"")</f>
        <v/>
      </c>
      <c r="I847" s="56">
        <f>IFERROR(INDEX('Semrush Data'!$A$1:$Z$20000,MATCH(A847,'Semrush Data'!$A$1:$A$20000,0),MATCH("CPC*",'Semrush Data'!$A$1:$Z$1,0)),"")</f>
        <v/>
      </c>
      <c r="J847" s="42">
        <f>IFERROR(INDEX('Semrush Data'!$A$1:$Z$20000,MATCH(A847,'Semrush Data'!$A$1:$A$20000,0),MATCH("Intent",'Semrush Data'!$A$1:$Z$1,0)),"")</f>
        <v/>
      </c>
    </row>
    <row r="848" ht="15" customHeight="1" s="37">
      <c r="A848" s="42" t="inlineStr">
        <is>
          <t>bentley azzaro chrome legend uk</t>
        </is>
      </c>
      <c r="B848" s="42" t="inlineStr">
        <is>
          <t>Product + UK</t>
        </is>
      </c>
      <c r="C848" s="42" t="n">
        <v>2</v>
      </c>
      <c r="D848" s="42" t="n">
        <v>9</v>
      </c>
      <c r="E848" s="42" t="n">
        <v>2</v>
      </c>
      <c r="F848" s="42" t="inlineStr">
        <is>
          <t>FR-056, FR-057</t>
        </is>
      </c>
      <c r="G848" s="55">
        <f>IFERROR(INDEX('Semrush Data'!$A$1:$Z$20000,MATCH(A848,'Semrush Data'!$A$1:$A$20000,0),MATCH("Volume",'Semrush Data'!$A$1:$Z$1,0)),"")</f>
        <v/>
      </c>
      <c r="H848" s="42">
        <f>IFERROR(INDEX('Semrush Data'!$A$1:$Z$20000,MATCH(A848,'Semrush Data'!$A$1:$A$20000,0),MATCH("Keyword Difficulty*",'Semrush Data'!$A$1:$Z$1,0)),"")</f>
        <v/>
      </c>
      <c r="I848" s="56">
        <f>IFERROR(INDEX('Semrush Data'!$A$1:$Z$20000,MATCH(A848,'Semrush Data'!$A$1:$A$20000,0),MATCH("CPC*",'Semrush Data'!$A$1:$Z$1,0)),"")</f>
        <v/>
      </c>
      <c r="J848" s="42">
        <f>IFERROR(INDEX('Semrush Data'!$A$1:$Z$20000,MATCH(A848,'Semrush Data'!$A$1:$A$20000,0),MATCH("Intent",'Semrush Data'!$A$1:$Z$1,0)),"")</f>
        <v/>
      </c>
    </row>
    <row r="849" ht="15" customHeight="1" s="37">
      <c r="A849" s="42" t="inlineStr">
        <is>
          <t>bentley azzaro pour homme deodorant uk</t>
        </is>
      </c>
      <c r="B849" s="42" t="inlineStr">
        <is>
          <t>Product + UK</t>
        </is>
      </c>
      <c r="C849" s="42" t="n">
        <v>2</v>
      </c>
      <c r="D849" s="42" t="n">
        <v>9</v>
      </c>
      <c r="E849" s="42" t="n">
        <v>1</v>
      </c>
      <c r="F849" s="42" t="inlineStr">
        <is>
          <t>FR-052</t>
        </is>
      </c>
      <c r="G849" s="55">
        <f>IFERROR(INDEX('Semrush Data'!$A$1:$Z$20000,MATCH(A849,'Semrush Data'!$A$1:$A$20000,0),MATCH("Volume",'Semrush Data'!$A$1:$Z$1,0)),"")</f>
        <v/>
      </c>
      <c r="H849" s="42">
        <f>IFERROR(INDEX('Semrush Data'!$A$1:$Z$20000,MATCH(A849,'Semrush Data'!$A$1:$A$20000,0),MATCH("Keyword Difficulty*",'Semrush Data'!$A$1:$Z$1,0)),"")</f>
        <v/>
      </c>
      <c r="I849" s="56">
        <f>IFERROR(INDEX('Semrush Data'!$A$1:$Z$20000,MATCH(A849,'Semrush Data'!$A$1:$A$20000,0),MATCH("CPC*",'Semrush Data'!$A$1:$Z$1,0)),"")</f>
        <v/>
      </c>
      <c r="J849" s="42">
        <f>IFERROR(INDEX('Semrush Data'!$A$1:$Z$20000,MATCH(A849,'Semrush Data'!$A$1:$A$20000,0),MATCH("Intent",'Semrush Data'!$A$1:$Z$1,0)),"")</f>
        <v/>
      </c>
    </row>
    <row r="850" ht="15" customHeight="1" s="37">
      <c r="A850" s="42" t="inlineStr">
        <is>
          <t>bentley azzaro the most wanted intense gift set uk</t>
        </is>
      </c>
      <c r="B850" s="42" t="inlineStr">
        <is>
          <t>Product + UK</t>
        </is>
      </c>
      <c r="C850" s="42" t="n">
        <v>2</v>
      </c>
      <c r="D850" s="42" t="n">
        <v>9</v>
      </c>
      <c r="E850" s="42" t="n">
        <v>1</v>
      </c>
      <c r="F850" s="42" t="inlineStr">
        <is>
          <t>FR-061</t>
        </is>
      </c>
      <c r="G850" s="55">
        <f>IFERROR(INDEX('Semrush Data'!$A$1:$Z$20000,MATCH(A850,'Semrush Data'!$A$1:$A$20000,0),MATCH("Volume",'Semrush Data'!$A$1:$Z$1,0)),"")</f>
        <v/>
      </c>
      <c r="H850" s="42">
        <f>IFERROR(INDEX('Semrush Data'!$A$1:$Z$20000,MATCH(A850,'Semrush Data'!$A$1:$A$20000,0),MATCH("Keyword Difficulty*",'Semrush Data'!$A$1:$Z$1,0)),"")</f>
        <v/>
      </c>
      <c r="I850" s="56">
        <f>IFERROR(INDEX('Semrush Data'!$A$1:$Z$20000,MATCH(A850,'Semrush Data'!$A$1:$A$20000,0),MATCH("CPC*",'Semrush Data'!$A$1:$Z$1,0)),"")</f>
        <v/>
      </c>
      <c r="J850" s="42">
        <f>IFERROR(INDEX('Semrush Data'!$A$1:$Z$20000,MATCH(A850,'Semrush Data'!$A$1:$A$20000,0),MATCH("Intent",'Semrush Data'!$A$1:$Z$1,0)),"")</f>
        <v/>
      </c>
    </row>
    <row r="851" ht="15" customHeight="1" s="37">
      <c r="A851" s="42" t="inlineStr">
        <is>
          <t>bentley azzaro the most wanted uk</t>
        </is>
      </c>
      <c r="B851" s="42" t="inlineStr">
        <is>
          <t>Product + UK</t>
        </is>
      </c>
      <c r="C851" s="42" t="n">
        <v>2</v>
      </c>
      <c r="D851" s="42" t="n">
        <v>9</v>
      </c>
      <c r="E851" s="42" t="n">
        <v>1</v>
      </c>
      <c r="F851" s="42" t="inlineStr">
        <is>
          <t>FR-062</t>
        </is>
      </c>
      <c r="G851" s="55">
        <f>IFERROR(INDEX('Semrush Data'!$A$1:$Z$20000,MATCH(A851,'Semrush Data'!$A$1:$A$20000,0),MATCH("Volume",'Semrush Data'!$A$1:$Z$1,0)),"")</f>
        <v/>
      </c>
      <c r="H851" s="42">
        <f>IFERROR(INDEX('Semrush Data'!$A$1:$Z$20000,MATCH(A851,'Semrush Data'!$A$1:$A$20000,0),MATCH("Keyword Difficulty*",'Semrush Data'!$A$1:$Z$1,0)),"")</f>
        <v/>
      </c>
      <c r="I851" s="56">
        <f>IFERROR(INDEX('Semrush Data'!$A$1:$Z$20000,MATCH(A851,'Semrush Data'!$A$1:$A$20000,0),MATCH("CPC*",'Semrush Data'!$A$1:$Z$1,0)),"")</f>
        <v/>
      </c>
      <c r="J851" s="42">
        <f>IFERROR(INDEX('Semrush Data'!$A$1:$Z$20000,MATCH(A851,'Semrush Data'!$A$1:$A$20000,0),MATCH("Intent",'Semrush Data'!$A$1:$Z$1,0)),"")</f>
        <v/>
      </c>
    </row>
    <row r="852" ht="15" customHeight="1" s="37">
      <c r="A852" s="42" t="inlineStr">
        <is>
          <t>bentley become uk</t>
        </is>
      </c>
      <c r="B852" s="42" t="inlineStr">
        <is>
          <t>Product + UK</t>
        </is>
      </c>
      <c r="C852" s="42" t="n">
        <v>2</v>
      </c>
      <c r="D852" s="42" t="n">
        <v>9</v>
      </c>
      <c r="E852" s="42" t="n">
        <v>1</v>
      </c>
      <c r="F852" s="42" t="inlineStr">
        <is>
          <t>FR-053</t>
        </is>
      </c>
      <c r="G852" s="55">
        <f>IFERROR(INDEX('Semrush Data'!$A$1:$Z$20000,MATCH(A852,'Semrush Data'!$A$1:$A$20000,0),MATCH("Volume",'Semrush Data'!$A$1:$Z$1,0)),"")</f>
        <v/>
      </c>
      <c r="H852" s="42">
        <f>IFERROR(INDEX('Semrush Data'!$A$1:$Z$20000,MATCH(A852,'Semrush Data'!$A$1:$A$20000,0),MATCH("Keyword Difficulty*",'Semrush Data'!$A$1:$Z$1,0)),"")</f>
        <v/>
      </c>
      <c r="I852" s="56">
        <f>IFERROR(INDEX('Semrush Data'!$A$1:$Z$20000,MATCH(A852,'Semrush Data'!$A$1:$A$20000,0),MATCH("CPC*",'Semrush Data'!$A$1:$Z$1,0)),"")</f>
        <v/>
      </c>
      <c r="J852" s="42">
        <f>IFERROR(INDEX('Semrush Data'!$A$1:$Z$20000,MATCH(A852,'Semrush Data'!$A$1:$A$20000,0),MATCH("Intent",'Semrush Data'!$A$1:$Z$1,0)),"")</f>
        <v/>
      </c>
    </row>
    <row r="853" ht="15" customHeight="1" s="37">
      <c r="A853" s="42" t="inlineStr">
        <is>
          <t>bentley infinite uk</t>
        </is>
      </c>
      <c r="B853" s="42" t="inlineStr">
        <is>
          <t>Product + UK</t>
        </is>
      </c>
      <c r="C853" s="42" t="n">
        <v>2</v>
      </c>
      <c r="D853" s="42" t="n">
        <v>9</v>
      </c>
      <c r="E853" s="42" t="n">
        <v>1</v>
      </c>
      <c r="F853" s="42" t="inlineStr">
        <is>
          <t>FR-059</t>
        </is>
      </c>
      <c r="G853" s="55">
        <f>IFERROR(INDEX('Semrush Data'!$A$1:$Z$20000,MATCH(A853,'Semrush Data'!$A$1:$A$20000,0),MATCH("Volume",'Semrush Data'!$A$1:$Z$1,0)),"")</f>
        <v/>
      </c>
      <c r="H853" s="42">
        <f>IFERROR(INDEX('Semrush Data'!$A$1:$Z$20000,MATCH(A853,'Semrush Data'!$A$1:$A$20000,0),MATCH("Keyword Difficulty*",'Semrush Data'!$A$1:$Z$1,0)),"")</f>
        <v/>
      </c>
      <c r="I853" s="56">
        <f>IFERROR(INDEX('Semrush Data'!$A$1:$Z$20000,MATCH(A853,'Semrush Data'!$A$1:$A$20000,0),MATCH("CPC*",'Semrush Data'!$A$1:$Z$1,0)),"")</f>
        <v/>
      </c>
      <c r="J853" s="42">
        <f>IFERROR(INDEX('Semrush Data'!$A$1:$Z$20000,MATCH(A853,'Semrush Data'!$A$1:$A$20000,0),MATCH("Intent",'Semrush Data'!$A$1:$Z$1,0)),"")</f>
        <v/>
      </c>
    </row>
    <row r="854" ht="15" customHeight="1" s="37">
      <c r="A854" s="42" t="inlineStr">
        <is>
          <t>bentley momentum unlimited uk</t>
        </is>
      </c>
      <c r="B854" s="42" t="inlineStr">
        <is>
          <t>Product + UK</t>
        </is>
      </c>
      <c r="C854" s="42" t="n">
        <v>2</v>
      </c>
      <c r="D854" s="42" t="n">
        <v>9</v>
      </c>
      <c r="E854" s="42" t="n">
        <v>1</v>
      </c>
      <c r="F854" s="42" t="inlineStr">
        <is>
          <t>FR-060</t>
        </is>
      </c>
      <c r="G854" s="55">
        <f>IFERROR(INDEX('Semrush Data'!$A$1:$Z$20000,MATCH(A854,'Semrush Data'!$A$1:$A$20000,0),MATCH("Volume",'Semrush Data'!$A$1:$Z$1,0)),"")</f>
        <v/>
      </c>
      <c r="H854" s="42">
        <f>IFERROR(INDEX('Semrush Data'!$A$1:$Z$20000,MATCH(A854,'Semrush Data'!$A$1:$A$20000,0),MATCH("Keyword Difficulty*",'Semrush Data'!$A$1:$Z$1,0)),"")</f>
        <v/>
      </c>
      <c r="I854" s="56">
        <f>IFERROR(INDEX('Semrush Data'!$A$1:$Z$20000,MATCH(A854,'Semrush Data'!$A$1:$A$20000,0),MATCH("CPC*",'Semrush Data'!$A$1:$Z$1,0)),"")</f>
        <v/>
      </c>
      <c r="J854" s="42">
        <f>IFERROR(INDEX('Semrush Data'!$A$1:$Z$20000,MATCH(A854,'Semrush Data'!$A$1:$A$20000,0),MATCH("Intent",'Semrush Data'!$A$1:$Z$1,0)),"")</f>
        <v/>
      </c>
    </row>
    <row r="855" ht="15" customHeight="1" s="37">
      <c r="A855" s="42" t="inlineStr">
        <is>
          <t>bentley silverlake uk</t>
        </is>
      </c>
      <c r="B855" s="42" t="inlineStr">
        <is>
          <t>Product + UK</t>
        </is>
      </c>
      <c r="C855" s="42" t="n">
        <v>2</v>
      </c>
      <c r="D855" s="42" t="n">
        <v>9</v>
      </c>
      <c r="E855" s="42" t="n">
        <v>1</v>
      </c>
      <c r="F855" s="42" t="inlineStr">
        <is>
          <t>FR-055</t>
        </is>
      </c>
      <c r="G855" s="55">
        <f>IFERROR(INDEX('Semrush Data'!$A$1:$Z$20000,MATCH(A855,'Semrush Data'!$A$1:$A$20000,0),MATCH("Volume",'Semrush Data'!$A$1:$Z$1,0)),"")</f>
        <v/>
      </c>
      <c r="H855" s="42">
        <f>IFERROR(INDEX('Semrush Data'!$A$1:$Z$20000,MATCH(A855,'Semrush Data'!$A$1:$A$20000,0),MATCH("Keyword Difficulty*",'Semrush Data'!$A$1:$Z$1,0)),"")</f>
        <v/>
      </c>
      <c r="I855" s="56">
        <f>IFERROR(INDEX('Semrush Data'!$A$1:$Z$20000,MATCH(A855,'Semrush Data'!$A$1:$A$20000,0),MATCH("CPC*",'Semrush Data'!$A$1:$Z$1,0)),"")</f>
        <v/>
      </c>
      <c r="J855" s="42">
        <f>IFERROR(INDEX('Semrush Data'!$A$1:$Z$20000,MATCH(A855,'Semrush Data'!$A$1:$A$20000,0),MATCH("Intent",'Semrush Data'!$A$1:$Z$1,0)),"")</f>
        <v/>
      </c>
    </row>
    <row r="856" ht="15" customHeight="1" s="37">
      <c r="A856" s="42" t="inlineStr">
        <is>
          <t>burberry miniature set uk</t>
        </is>
      </c>
      <c r="B856" s="42" t="inlineStr">
        <is>
          <t>Product + UK</t>
        </is>
      </c>
      <c r="C856" s="42" t="n">
        <v>2</v>
      </c>
      <c r="D856" s="42" t="n">
        <v>9</v>
      </c>
      <c r="E856" s="42" t="n">
        <v>1</v>
      </c>
      <c r="F856" s="42" t="inlineStr">
        <is>
          <t>FR-065</t>
        </is>
      </c>
      <c r="G856" s="55">
        <f>IFERROR(INDEX('Semrush Data'!$A$1:$Z$20000,MATCH(A856,'Semrush Data'!$A$1:$A$20000,0),MATCH("Volume",'Semrush Data'!$A$1:$Z$1,0)),"")</f>
        <v/>
      </c>
      <c r="H856" s="42">
        <f>IFERROR(INDEX('Semrush Data'!$A$1:$Z$20000,MATCH(A856,'Semrush Data'!$A$1:$A$20000,0),MATCH("Keyword Difficulty*",'Semrush Data'!$A$1:$Z$1,0)),"")</f>
        <v/>
      </c>
      <c r="I856" s="56">
        <f>IFERROR(INDEX('Semrush Data'!$A$1:$Z$20000,MATCH(A856,'Semrush Data'!$A$1:$A$20000,0),MATCH("CPC*",'Semrush Data'!$A$1:$Z$1,0)),"")</f>
        <v/>
      </c>
      <c r="J856" s="42">
        <f>IFERROR(INDEX('Semrush Data'!$A$1:$Z$20000,MATCH(A856,'Semrush Data'!$A$1:$A$20000,0),MATCH("Intent",'Semrush Data'!$A$1:$Z$1,0)),"")</f>
        <v/>
      </c>
    </row>
    <row r="857" ht="15" customHeight="1" s="37">
      <c r="A857" s="42" t="inlineStr">
        <is>
          <t>burberry my burberry black uk</t>
        </is>
      </c>
      <c r="B857" s="42" t="inlineStr">
        <is>
          <t>Product + UK</t>
        </is>
      </c>
      <c r="C857" s="42" t="n">
        <v>2</v>
      </c>
      <c r="D857" s="42" t="n">
        <v>9</v>
      </c>
      <c r="E857" s="42" t="n">
        <v>2</v>
      </c>
      <c r="F857" s="42" t="inlineStr">
        <is>
          <t>FR-066, FR-067</t>
        </is>
      </c>
      <c r="G857" s="55">
        <f>IFERROR(INDEX('Semrush Data'!$A$1:$Z$20000,MATCH(A857,'Semrush Data'!$A$1:$A$20000,0),MATCH("Volume",'Semrush Data'!$A$1:$Z$1,0)),"")</f>
        <v/>
      </c>
      <c r="H857" s="42">
        <f>IFERROR(INDEX('Semrush Data'!$A$1:$Z$20000,MATCH(A857,'Semrush Data'!$A$1:$A$20000,0),MATCH("Keyword Difficulty*",'Semrush Data'!$A$1:$Z$1,0)),"")</f>
        <v/>
      </c>
      <c r="I857" s="56">
        <f>IFERROR(INDEX('Semrush Data'!$A$1:$Z$20000,MATCH(A857,'Semrush Data'!$A$1:$A$20000,0),MATCH("CPC*",'Semrush Data'!$A$1:$Z$1,0)),"")</f>
        <v/>
      </c>
      <c r="J857" s="42">
        <f>IFERROR(INDEX('Semrush Data'!$A$1:$Z$20000,MATCH(A857,'Semrush Data'!$A$1:$A$20000,0),MATCH("Intent",'Semrush Data'!$A$1:$Z$1,0)),"")</f>
        <v/>
      </c>
    </row>
    <row r="858" ht="15" customHeight="1" s="37">
      <c r="A858" s="42" t="inlineStr">
        <is>
          <t>burberry my burberry uk</t>
        </is>
      </c>
      <c r="B858" s="42" t="inlineStr">
        <is>
          <t>Product + UK</t>
        </is>
      </c>
      <c r="C858" s="42" t="n">
        <v>2</v>
      </c>
      <c r="D858" s="42" t="n">
        <v>9</v>
      </c>
      <c r="E858" s="42" t="n">
        <v>2</v>
      </c>
      <c r="F858" s="42" t="inlineStr">
        <is>
          <t>FR-063, FR-064</t>
        </is>
      </c>
      <c r="G858" s="55">
        <f>IFERROR(INDEX('Semrush Data'!$A$1:$Z$20000,MATCH(A858,'Semrush Data'!$A$1:$A$20000,0),MATCH("Volume",'Semrush Data'!$A$1:$Z$1,0)),"")</f>
        <v/>
      </c>
      <c r="H858" s="42">
        <f>IFERROR(INDEX('Semrush Data'!$A$1:$Z$20000,MATCH(A858,'Semrush Data'!$A$1:$A$20000,0),MATCH("Keyword Difficulty*",'Semrush Data'!$A$1:$Z$1,0)),"")</f>
        <v/>
      </c>
      <c r="I858" s="56">
        <f>IFERROR(INDEX('Semrush Data'!$A$1:$Z$20000,MATCH(A858,'Semrush Data'!$A$1:$A$20000,0),MATCH("CPC*",'Semrush Data'!$A$1:$Z$1,0)),"")</f>
        <v/>
      </c>
      <c r="J858" s="42">
        <f>IFERROR(INDEX('Semrush Data'!$A$1:$Z$20000,MATCH(A858,'Semrush Data'!$A$1:$A$20000,0),MATCH("Intent",'Semrush Data'!$A$1:$Z$1,0)),"")</f>
        <v/>
      </c>
    </row>
    <row r="859" ht="15" customHeight="1" s="37">
      <c r="A859" s="42" t="inlineStr">
        <is>
          <t>bvlgari man glacial essence gift set uk</t>
        </is>
      </c>
      <c r="B859" s="42" t="inlineStr">
        <is>
          <t>Product + UK</t>
        </is>
      </c>
      <c r="C859" s="42" t="n">
        <v>2</v>
      </c>
      <c r="D859" s="42" t="n">
        <v>9</v>
      </c>
      <c r="E859" s="42" t="n">
        <v>1</v>
      </c>
      <c r="F859" s="42" t="inlineStr">
        <is>
          <t>FR-071</t>
        </is>
      </c>
      <c r="G859" s="55">
        <f>IFERROR(INDEX('Semrush Data'!$A$1:$Z$20000,MATCH(A859,'Semrush Data'!$A$1:$A$20000,0),MATCH("Volume",'Semrush Data'!$A$1:$Z$1,0)),"")</f>
        <v/>
      </c>
      <c r="H859" s="42">
        <f>IFERROR(INDEX('Semrush Data'!$A$1:$Z$20000,MATCH(A859,'Semrush Data'!$A$1:$A$20000,0),MATCH("Keyword Difficulty*",'Semrush Data'!$A$1:$Z$1,0)),"")</f>
        <v/>
      </c>
      <c r="I859" s="56">
        <f>IFERROR(INDEX('Semrush Data'!$A$1:$Z$20000,MATCH(A859,'Semrush Data'!$A$1:$A$20000,0),MATCH("CPC*",'Semrush Data'!$A$1:$Z$1,0)),"")</f>
        <v/>
      </c>
      <c r="J859" s="42">
        <f>IFERROR(INDEX('Semrush Data'!$A$1:$Z$20000,MATCH(A859,'Semrush Data'!$A$1:$A$20000,0),MATCH("Intent",'Semrush Data'!$A$1:$Z$1,0)),"")</f>
        <v/>
      </c>
    </row>
    <row r="860" ht="15" customHeight="1" s="37">
      <c r="A860" s="42" t="inlineStr">
        <is>
          <t>bvlgari man in black uk</t>
        </is>
      </c>
      <c r="B860" s="42" t="inlineStr">
        <is>
          <t>Product + UK</t>
        </is>
      </c>
      <c r="C860" s="42" t="n">
        <v>2</v>
      </c>
      <c r="D860" s="42" t="n">
        <v>9</v>
      </c>
      <c r="E860" s="42" t="n">
        <v>1</v>
      </c>
      <c r="F860" s="42" t="inlineStr">
        <is>
          <t>FR-068</t>
        </is>
      </c>
      <c r="G860" s="55">
        <f>IFERROR(INDEX('Semrush Data'!$A$1:$Z$20000,MATCH(A860,'Semrush Data'!$A$1:$A$20000,0),MATCH("Volume",'Semrush Data'!$A$1:$Z$1,0)),"")</f>
        <v/>
      </c>
      <c r="H860" s="42">
        <f>IFERROR(INDEX('Semrush Data'!$A$1:$Z$20000,MATCH(A860,'Semrush Data'!$A$1:$A$20000,0),MATCH("Keyword Difficulty*",'Semrush Data'!$A$1:$Z$1,0)),"")</f>
        <v/>
      </c>
      <c r="I860" s="56">
        <f>IFERROR(INDEX('Semrush Data'!$A$1:$Z$20000,MATCH(A860,'Semrush Data'!$A$1:$A$20000,0),MATCH("CPC*",'Semrush Data'!$A$1:$Z$1,0)),"")</f>
        <v/>
      </c>
      <c r="J860" s="42">
        <f>IFERROR(INDEX('Semrush Data'!$A$1:$Z$20000,MATCH(A860,'Semrush Data'!$A$1:$A$20000,0),MATCH("Intent",'Semrush Data'!$A$1:$Z$1,0)),"")</f>
        <v/>
      </c>
    </row>
    <row r="861" ht="15" customHeight="1" s="37">
      <c r="A861" s="42" t="inlineStr">
        <is>
          <t>bvlgari man rain essence gift set uk</t>
        </is>
      </c>
      <c r="B861" s="42" t="inlineStr">
        <is>
          <t>Product + UK</t>
        </is>
      </c>
      <c r="C861" s="42" t="n">
        <v>2</v>
      </c>
      <c r="D861" s="42" t="n">
        <v>9</v>
      </c>
      <c r="E861" s="42" t="n">
        <v>1</v>
      </c>
      <c r="F861" s="42" t="inlineStr">
        <is>
          <t>FR-072</t>
        </is>
      </c>
      <c r="G861" s="55">
        <f>IFERROR(INDEX('Semrush Data'!$A$1:$Z$20000,MATCH(A861,'Semrush Data'!$A$1:$A$20000,0),MATCH("Volume",'Semrush Data'!$A$1:$Z$1,0)),"")</f>
        <v/>
      </c>
      <c r="H861" s="42">
        <f>IFERROR(INDEX('Semrush Data'!$A$1:$Z$20000,MATCH(A861,'Semrush Data'!$A$1:$A$20000,0),MATCH("Keyword Difficulty*",'Semrush Data'!$A$1:$Z$1,0)),"")</f>
        <v/>
      </c>
      <c r="I861" s="56">
        <f>IFERROR(INDEX('Semrush Data'!$A$1:$Z$20000,MATCH(A861,'Semrush Data'!$A$1:$A$20000,0),MATCH("CPC*",'Semrush Data'!$A$1:$Z$1,0)),"")</f>
        <v/>
      </c>
      <c r="J861" s="42">
        <f>IFERROR(INDEX('Semrush Data'!$A$1:$Z$20000,MATCH(A861,'Semrush Data'!$A$1:$A$20000,0),MATCH("Intent",'Semrush Data'!$A$1:$Z$1,0)),"")</f>
        <v/>
      </c>
    </row>
    <row r="862" ht="15" customHeight="1" s="37">
      <c r="A862" s="42" t="inlineStr">
        <is>
          <t>bvlgari man terrae essence gift set uk</t>
        </is>
      </c>
      <c r="B862" s="42" t="inlineStr">
        <is>
          <t>Product + UK</t>
        </is>
      </c>
      <c r="C862" s="42" t="n">
        <v>2</v>
      </c>
      <c r="D862" s="42" t="n">
        <v>9</v>
      </c>
      <c r="E862" s="42" t="n">
        <v>1</v>
      </c>
      <c r="F862" s="42" t="inlineStr">
        <is>
          <t>FR-073</t>
        </is>
      </c>
      <c r="G862" s="55">
        <f>IFERROR(INDEX('Semrush Data'!$A$1:$Z$20000,MATCH(A862,'Semrush Data'!$A$1:$A$20000,0),MATCH("Volume",'Semrush Data'!$A$1:$Z$1,0)),"")</f>
        <v/>
      </c>
      <c r="H862" s="42">
        <f>IFERROR(INDEX('Semrush Data'!$A$1:$Z$20000,MATCH(A862,'Semrush Data'!$A$1:$A$20000,0),MATCH("Keyword Difficulty*",'Semrush Data'!$A$1:$Z$1,0)),"")</f>
        <v/>
      </c>
      <c r="I862" s="56">
        <f>IFERROR(INDEX('Semrush Data'!$A$1:$Z$20000,MATCH(A862,'Semrush Data'!$A$1:$A$20000,0),MATCH("CPC*",'Semrush Data'!$A$1:$Z$1,0)),"")</f>
        <v/>
      </c>
      <c r="J862" s="42">
        <f>IFERROR(INDEX('Semrush Data'!$A$1:$Z$20000,MATCH(A862,'Semrush Data'!$A$1:$A$20000,0),MATCH("Intent",'Semrush Data'!$A$1:$Z$1,0)),"")</f>
        <v/>
      </c>
    </row>
    <row r="863" ht="15" customHeight="1" s="37">
      <c r="A863" s="42" t="inlineStr">
        <is>
          <t>bvlgari man wood essence gift set uk</t>
        </is>
      </c>
      <c r="B863" s="42" t="inlineStr">
        <is>
          <t>Product + UK</t>
        </is>
      </c>
      <c r="C863" s="42" t="n">
        <v>2</v>
      </c>
      <c r="D863" s="42" t="n">
        <v>9</v>
      </c>
      <c r="E863" s="42" t="n">
        <v>1</v>
      </c>
      <c r="F863" s="42" t="inlineStr">
        <is>
          <t>FR-074</t>
        </is>
      </c>
      <c r="G863" s="55">
        <f>IFERROR(INDEX('Semrush Data'!$A$1:$Z$20000,MATCH(A863,'Semrush Data'!$A$1:$A$20000,0),MATCH("Volume",'Semrush Data'!$A$1:$Z$1,0)),"")</f>
        <v/>
      </c>
      <c r="H863" s="42">
        <f>IFERROR(INDEX('Semrush Data'!$A$1:$Z$20000,MATCH(A863,'Semrush Data'!$A$1:$A$20000,0),MATCH("Keyword Difficulty*",'Semrush Data'!$A$1:$Z$1,0)),"")</f>
        <v/>
      </c>
      <c r="I863" s="56">
        <f>IFERROR(INDEX('Semrush Data'!$A$1:$Z$20000,MATCH(A863,'Semrush Data'!$A$1:$A$20000,0),MATCH("CPC*",'Semrush Data'!$A$1:$Z$1,0)),"")</f>
        <v/>
      </c>
      <c r="J863" s="42">
        <f>IFERROR(INDEX('Semrush Data'!$A$1:$Z$20000,MATCH(A863,'Semrush Data'!$A$1:$A$20000,0),MATCH("Intent",'Semrush Data'!$A$1:$Z$1,0)),"")</f>
        <v/>
      </c>
    </row>
    <row r="864" ht="15" customHeight="1" s="37">
      <c r="A864" s="42" t="inlineStr">
        <is>
          <t>bvlgari omnia amethyste uk</t>
        </is>
      </c>
      <c r="B864" s="42" t="inlineStr">
        <is>
          <t>Product + UK</t>
        </is>
      </c>
      <c r="C864" s="42" t="n">
        <v>2</v>
      </c>
      <c r="D864" s="42" t="n">
        <v>9</v>
      </c>
      <c r="E864" s="42" t="n">
        <v>1</v>
      </c>
      <c r="F864" s="42" t="inlineStr">
        <is>
          <t>FR-070</t>
        </is>
      </c>
      <c r="G864" s="55">
        <f>IFERROR(INDEX('Semrush Data'!$A$1:$Z$20000,MATCH(A864,'Semrush Data'!$A$1:$A$20000,0),MATCH("Volume",'Semrush Data'!$A$1:$Z$1,0)),"")</f>
        <v/>
      </c>
      <c r="H864" s="42">
        <f>IFERROR(INDEX('Semrush Data'!$A$1:$Z$20000,MATCH(A864,'Semrush Data'!$A$1:$A$20000,0),MATCH("Keyword Difficulty*",'Semrush Data'!$A$1:$Z$1,0)),"")</f>
        <v/>
      </c>
      <c r="I864" s="56">
        <f>IFERROR(INDEX('Semrush Data'!$A$1:$Z$20000,MATCH(A864,'Semrush Data'!$A$1:$A$20000,0),MATCH("CPC*",'Semrush Data'!$A$1:$Z$1,0)),"")</f>
        <v/>
      </c>
      <c r="J864" s="42">
        <f>IFERROR(INDEX('Semrush Data'!$A$1:$Z$20000,MATCH(A864,'Semrush Data'!$A$1:$A$20000,0),MATCH("Intent",'Semrush Data'!$A$1:$Z$1,0)),"")</f>
        <v/>
      </c>
    </row>
    <row r="865" ht="15" customHeight="1" s="37">
      <c r="A865" s="42" t="inlineStr">
        <is>
          <t>bvlgari rose goldea blossom delight gift set uk</t>
        </is>
      </c>
      <c r="B865" s="42" t="inlineStr">
        <is>
          <t>Product + UK</t>
        </is>
      </c>
      <c r="C865" s="42" t="n">
        <v>2</v>
      </c>
      <c r="D865" s="42" t="n">
        <v>9</v>
      </c>
      <c r="E865" s="42" t="n">
        <v>1</v>
      </c>
      <c r="F865" s="42" t="inlineStr">
        <is>
          <t>FR-075</t>
        </is>
      </c>
      <c r="G865" s="55">
        <f>IFERROR(INDEX('Semrush Data'!$A$1:$Z$20000,MATCH(A865,'Semrush Data'!$A$1:$A$20000,0),MATCH("Volume",'Semrush Data'!$A$1:$Z$1,0)),"")</f>
        <v/>
      </c>
      <c r="H865" s="42">
        <f>IFERROR(INDEX('Semrush Data'!$A$1:$Z$20000,MATCH(A865,'Semrush Data'!$A$1:$A$20000,0),MATCH("Keyword Difficulty*",'Semrush Data'!$A$1:$Z$1,0)),"")</f>
        <v/>
      </c>
      <c r="I865" s="56">
        <f>IFERROR(INDEX('Semrush Data'!$A$1:$Z$20000,MATCH(A865,'Semrush Data'!$A$1:$A$20000,0),MATCH("CPC*",'Semrush Data'!$A$1:$Z$1,0)),"")</f>
        <v/>
      </c>
      <c r="J865" s="42">
        <f>IFERROR(INDEX('Semrush Data'!$A$1:$Z$20000,MATCH(A865,'Semrush Data'!$A$1:$A$20000,0),MATCH("Intent",'Semrush Data'!$A$1:$Z$1,0)),"")</f>
        <v/>
      </c>
    </row>
    <row r="866" ht="15" customHeight="1" s="37">
      <c r="A866" s="42" t="inlineStr">
        <is>
          <t>bvlgari splendida tubereuse mystique uk</t>
        </is>
      </c>
      <c r="B866" s="42" t="inlineStr">
        <is>
          <t>Product + UK</t>
        </is>
      </c>
      <c r="C866" s="42" t="n">
        <v>2</v>
      </c>
      <c r="D866" s="42" t="n">
        <v>9</v>
      </c>
      <c r="E866" s="42" t="n">
        <v>1</v>
      </c>
      <c r="F866" s="42" t="inlineStr">
        <is>
          <t>FR-069</t>
        </is>
      </c>
      <c r="G866" s="55">
        <f>IFERROR(INDEX('Semrush Data'!$A$1:$Z$20000,MATCH(A866,'Semrush Data'!$A$1:$A$20000,0),MATCH("Volume",'Semrush Data'!$A$1:$Z$1,0)),"")</f>
        <v/>
      </c>
      <c r="H866" s="42">
        <f>IFERROR(INDEX('Semrush Data'!$A$1:$Z$20000,MATCH(A866,'Semrush Data'!$A$1:$A$20000,0),MATCH("Keyword Difficulty*",'Semrush Data'!$A$1:$Z$1,0)),"")</f>
        <v/>
      </c>
      <c r="I866" s="56">
        <f>IFERROR(INDEX('Semrush Data'!$A$1:$Z$20000,MATCH(A866,'Semrush Data'!$A$1:$A$20000,0),MATCH("CPC*",'Semrush Data'!$A$1:$Z$1,0)),"")</f>
        <v/>
      </c>
      <c r="J866" s="42">
        <f>IFERROR(INDEX('Semrush Data'!$A$1:$Z$20000,MATCH(A866,'Semrush Data'!$A$1:$A$20000,0),MATCH("Intent",'Semrush Data'!$A$1:$Z$1,0)),"")</f>
        <v/>
      </c>
    </row>
    <row r="867" ht="15" customHeight="1" s="37">
      <c r="A867" s="42" t="inlineStr">
        <is>
          <t>calvin klein defy miniature uk</t>
        </is>
      </c>
      <c r="B867" s="42" t="inlineStr">
        <is>
          <t>Product + UK</t>
        </is>
      </c>
      <c r="C867" s="42" t="n">
        <v>2</v>
      </c>
      <c r="D867" s="42" t="n">
        <v>9</v>
      </c>
      <c r="E867" s="42" t="n">
        <v>1</v>
      </c>
      <c r="F867" s="42" t="inlineStr">
        <is>
          <t>FR-076</t>
        </is>
      </c>
      <c r="G867" s="55">
        <f>IFERROR(INDEX('Semrush Data'!$A$1:$Z$20000,MATCH(A867,'Semrush Data'!$A$1:$A$20000,0),MATCH("Volume",'Semrush Data'!$A$1:$Z$1,0)),"")</f>
        <v/>
      </c>
      <c r="H867" s="42">
        <f>IFERROR(INDEX('Semrush Data'!$A$1:$Z$20000,MATCH(A867,'Semrush Data'!$A$1:$A$20000,0),MATCH("Keyword Difficulty*",'Semrush Data'!$A$1:$Z$1,0)),"")</f>
        <v/>
      </c>
      <c r="I867" s="56">
        <f>IFERROR(INDEX('Semrush Data'!$A$1:$Z$20000,MATCH(A867,'Semrush Data'!$A$1:$A$20000,0),MATCH("CPC*",'Semrush Data'!$A$1:$Z$1,0)),"")</f>
        <v/>
      </c>
      <c r="J867" s="42">
        <f>IFERROR(INDEX('Semrush Data'!$A$1:$Z$20000,MATCH(A867,'Semrush Data'!$A$1:$A$20000,0),MATCH("Intent",'Semrush Data'!$A$1:$Z$1,0)),"")</f>
        <v/>
      </c>
    </row>
    <row r="868" ht="15" customHeight="1" s="37">
      <c r="A868" s="42" t="inlineStr">
        <is>
          <t>calvin klein defy parfum miniature uk</t>
        </is>
      </c>
      <c r="B868" s="42" t="inlineStr">
        <is>
          <t>Product + UK</t>
        </is>
      </c>
      <c r="C868" s="42" t="n">
        <v>2</v>
      </c>
      <c r="D868" s="42" t="n">
        <v>9</v>
      </c>
      <c r="E868" s="42" t="n">
        <v>1</v>
      </c>
      <c r="F868" s="42" t="inlineStr">
        <is>
          <t>FR-081</t>
        </is>
      </c>
      <c r="G868" s="55">
        <f>IFERROR(INDEX('Semrush Data'!$A$1:$Z$20000,MATCH(A868,'Semrush Data'!$A$1:$A$20000,0),MATCH("Volume",'Semrush Data'!$A$1:$Z$1,0)),"")</f>
        <v/>
      </c>
      <c r="H868" s="42">
        <f>IFERROR(INDEX('Semrush Data'!$A$1:$Z$20000,MATCH(A868,'Semrush Data'!$A$1:$A$20000,0),MATCH("Keyword Difficulty*",'Semrush Data'!$A$1:$Z$1,0)),"")</f>
        <v/>
      </c>
      <c r="I868" s="56">
        <f>IFERROR(INDEX('Semrush Data'!$A$1:$Z$20000,MATCH(A868,'Semrush Data'!$A$1:$A$20000,0),MATCH("CPC*",'Semrush Data'!$A$1:$Z$1,0)),"")</f>
        <v/>
      </c>
      <c r="J868" s="42">
        <f>IFERROR(INDEX('Semrush Data'!$A$1:$Z$20000,MATCH(A868,'Semrush Data'!$A$1:$A$20000,0),MATCH("Intent",'Semrush Data'!$A$1:$Z$1,0)),"")</f>
        <v/>
      </c>
    </row>
    <row r="869" ht="15" customHeight="1" s="37">
      <c r="A869" s="42" t="inlineStr">
        <is>
          <t>calvin klein defy uk</t>
        </is>
      </c>
      <c r="B869" s="42" t="inlineStr">
        <is>
          <t>Product + UK</t>
        </is>
      </c>
      <c r="C869" s="42" t="n">
        <v>2</v>
      </c>
      <c r="D869" s="42" t="n">
        <v>9</v>
      </c>
      <c r="E869" s="42" t="n">
        <v>2</v>
      </c>
      <c r="F869" s="42" t="inlineStr">
        <is>
          <t>FR-082, FR-083</t>
        </is>
      </c>
      <c r="G869" s="55">
        <f>IFERROR(INDEX('Semrush Data'!$A$1:$Z$20000,MATCH(A869,'Semrush Data'!$A$1:$A$20000,0),MATCH("Volume",'Semrush Data'!$A$1:$Z$1,0)),"")</f>
        <v/>
      </c>
      <c r="H869" s="42">
        <f>IFERROR(INDEX('Semrush Data'!$A$1:$Z$20000,MATCH(A869,'Semrush Data'!$A$1:$A$20000,0),MATCH("Keyword Difficulty*",'Semrush Data'!$A$1:$Z$1,0)),"")</f>
        <v/>
      </c>
      <c r="I869" s="56">
        <f>IFERROR(INDEX('Semrush Data'!$A$1:$Z$20000,MATCH(A869,'Semrush Data'!$A$1:$A$20000,0),MATCH("CPC*",'Semrush Data'!$A$1:$Z$1,0)),"")</f>
        <v/>
      </c>
      <c r="J869" s="42">
        <f>IFERROR(INDEX('Semrush Data'!$A$1:$Z$20000,MATCH(A869,'Semrush Data'!$A$1:$A$20000,0),MATCH("Intent",'Semrush Data'!$A$1:$Z$1,0)),"")</f>
        <v/>
      </c>
    </row>
    <row r="870" ht="15" customHeight="1" s="37">
      <c r="A870" s="42" t="inlineStr">
        <is>
          <t>calvin klein eternity aromatic essence parfum intense miniature uk</t>
        </is>
      </c>
      <c r="B870" s="42" t="inlineStr">
        <is>
          <t>Product + UK</t>
        </is>
      </c>
      <c r="C870" s="42" t="n">
        <v>2</v>
      </c>
      <c r="D870" s="42" t="n">
        <v>9</v>
      </c>
      <c r="E870" s="42" t="n">
        <v>2</v>
      </c>
      <c r="F870" s="42" t="inlineStr">
        <is>
          <t>FR-084, FR-085</t>
        </is>
      </c>
      <c r="G870" s="55">
        <f>IFERROR(INDEX('Semrush Data'!$A$1:$Z$20000,MATCH(A870,'Semrush Data'!$A$1:$A$20000,0),MATCH("Volume",'Semrush Data'!$A$1:$Z$1,0)),"")</f>
        <v/>
      </c>
      <c r="H870" s="42">
        <f>IFERROR(INDEX('Semrush Data'!$A$1:$Z$20000,MATCH(A870,'Semrush Data'!$A$1:$A$20000,0),MATCH("Keyword Difficulty*",'Semrush Data'!$A$1:$Z$1,0)),"")</f>
        <v/>
      </c>
      <c r="I870" s="56">
        <f>IFERROR(INDEX('Semrush Data'!$A$1:$Z$20000,MATCH(A870,'Semrush Data'!$A$1:$A$20000,0),MATCH("CPC*",'Semrush Data'!$A$1:$Z$1,0)),"")</f>
        <v/>
      </c>
      <c r="J870" s="42">
        <f>IFERROR(INDEX('Semrush Data'!$A$1:$Z$20000,MATCH(A870,'Semrush Data'!$A$1:$A$20000,0),MATCH("Intent",'Semrush Data'!$A$1:$Z$1,0)),"")</f>
        <v/>
      </c>
    </row>
    <row r="871" ht="15" customHeight="1" s="37">
      <c r="A871" s="42" t="inlineStr">
        <is>
          <t>calvin klein eternity parfum miniature uk</t>
        </is>
      </c>
      <c r="B871" s="42" t="inlineStr">
        <is>
          <t>Product + UK</t>
        </is>
      </c>
      <c r="C871" s="42" t="n">
        <v>2</v>
      </c>
      <c r="D871" s="42" t="n">
        <v>9</v>
      </c>
      <c r="E871" s="42" t="n">
        <v>1</v>
      </c>
      <c r="F871" s="42" t="inlineStr">
        <is>
          <t>FR-086</t>
        </is>
      </c>
      <c r="G871" s="55">
        <f>IFERROR(INDEX('Semrush Data'!$A$1:$Z$20000,MATCH(A871,'Semrush Data'!$A$1:$A$20000,0),MATCH("Volume",'Semrush Data'!$A$1:$Z$1,0)),"")</f>
        <v/>
      </c>
      <c r="H871" s="42">
        <f>IFERROR(INDEX('Semrush Data'!$A$1:$Z$20000,MATCH(A871,'Semrush Data'!$A$1:$A$20000,0),MATCH("Keyword Difficulty*",'Semrush Data'!$A$1:$Z$1,0)),"")</f>
        <v/>
      </c>
      <c r="I871" s="56">
        <f>IFERROR(INDEX('Semrush Data'!$A$1:$Z$20000,MATCH(A871,'Semrush Data'!$A$1:$A$20000,0),MATCH("CPC*",'Semrush Data'!$A$1:$Z$1,0)),"")</f>
        <v/>
      </c>
      <c r="J871" s="42">
        <f>IFERROR(INDEX('Semrush Data'!$A$1:$Z$20000,MATCH(A871,'Semrush Data'!$A$1:$A$20000,0),MATCH("Intent",'Semrush Data'!$A$1:$Z$1,0)),"")</f>
        <v/>
      </c>
    </row>
    <row r="872" ht="15" customHeight="1" s="37">
      <c r="A872" s="42" t="inlineStr">
        <is>
          <t>calvin klein eternity uk</t>
        </is>
      </c>
      <c r="B872" s="42" t="inlineStr">
        <is>
          <t>Product + UK</t>
        </is>
      </c>
      <c r="C872" s="42" t="n">
        <v>2</v>
      </c>
      <c r="D872" s="42" t="n">
        <v>9</v>
      </c>
      <c r="E872" s="42" t="n">
        <v>2</v>
      </c>
      <c r="F872" s="42" t="inlineStr">
        <is>
          <t>FR-077, FR-079</t>
        </is>
      </c>
      <c r="G872" s="55">
        <f>IFERROR(INDEX('Semrush Data'!$A$1:$Z$20000,MATCH(A872,'Semrush Data'!$A$1:$A$20000,0),MATCH("Volume",'Semrush Data'!$A$1:$Z$1,0)),"")</f>
        <v/>
      </c>
      <c r="H872" s="42">
        <f>IFERROR(INDEX('Semrush Data'!$A$1:$Z$20000,MATCH(A872,'Semrush Data'!$A$1:$A$20000,0),MATCH("Keyword Difficulty*",'Semrush Data'!$A$1:$Z$1,0)),"")</f>
        <v/>
      </c>
      <c r="I872" s="56">
        <f>IFERROR(INDEX('Semrush Data'!$A$1:$Z$20000,MATCH(A872,'Semrush Data'!$A$1:$A$20000,0),MATCH("CPC*",'Semrush Data'!$A$1:$Z$1,0)),"")</f>
        <v/>
      </c>
      <c r="J872" s="42">
        <f>IFERROR(INDEX('Semrush Data'!$A$1:$Z$20000,MATCH(A872,'Semrush Data'!$A$1:$A$20000,0),MATCH("Intent",'Semrush Data'!$A$1:$Z$1,0)),"")</f>
        <v/>
      </c>
    </row>
    <row r="873" ht="15" customHeight="1" s="37">
      <c r="A873" s="42" t="inlineStr">
        <is>
          <t>calvin klein miniature set uk</t>
        </is>
      </c>
      <c r="B873" s="42" t="inlineStr">
        <is>
          <t>Product + UK</t>
        </is>
      </c>
      <c r="C873" s="42" t="n">
        <v>2</v>
      </c>
      <c r="D873" s="42" t="n">
        <v>9</v>
      </c>
      <c r="E873" s="42" t="n">
        <v>1</v>
      </c>
      <c r="F873" s="42" t="inlineStr">
        <is>
          <t>FR-080</t>
        </is>
      </c>
      <c r="G873" s="55">
        <f>IFERROR(INDEX('Semrush Data'!$A$1:$Z$20000,MATCH(A873,'Semrush Data'!$A$1:$A$20000,0),MATCH("Volume",'Semrush Data'!$A$1:$Z$1,0)),"")</f>
        <v/>
      </c>
      <c r="H873" s="42">
        <f>IFERROR(INDEX('Semrush Data'!$A$1:$Z$20000,MATCH(A873,'Semrush Data'!$A$1:$A$20000,0),MATCH("Keyword Difficulty*",'Semrush Data'!$A$1:$Z$1,0)),"")</f>
        <v/>
      </c>
      <c r="I873" s="56">
        <f>IFERROR(INDEX('Semrush Data'!$A$1:$Z$20000,MATCH(A873,'Semrush Data'!$A$1:$A$20000,0),MATCH("CPC*",'Semrush Data'!$A$1:$Z$1,0)),"")</f>
        <v/>
      </c>
      <c r="J873" s="42">
        <f>IFERROR(INDEX('Semrush Data'!$A$1:$Z$20000,MATCH(A873,'Semrush Data'!$A$1:$A$20000,0),MATCH("Intent",'Semrush Data'!$A$1:$Z$1,0)),"")</f>
        <v/>
      </c>
    </row>
    <row r="874" ht="15" customHeight="1" s="37">
      <c r="A874" s="42" t="inlineStr">
        <is>
          <t>calvin klein my euphoria miniature uk</t>
        </is>
      </c>
      <c r="B874" s="42" t="inlineStr">
        <is>
          <t>Product + UK</t>
        </is>
      </c>
      <c r="C874" s="42" t="n">
        <v>2</v>
      </c>
      <c r="D874" s="42" t="n">
        <v>9</v>
      </c>
      <c r="E874" s="42" t="n">
        <v>1</v>
      </c>
      <c r="F874" s="42" t="inlineStr">
        <is>
          <t>FR-078</t>
        </is>
      </c>
      <c r="G874" s="55">
        <f>IFERROR(INDEX('Semrush Data'!$A$1:$Z$20000,MATCH(A874,'Semrush Data'!$A$1:$A$20000,0),MATCH("Volume",'Semrush Data'!$A$1:$Z$1,0)),"")</f>
        <v/>
      </c>
      <c r="H874" s="42">
        <f>IFERROR(INDEX('Semrush Data'!$A$1:$Z$20000,MATCH(A874,'Semrush Data'!$A$1:$A$20000,0),MATCH("Keyword Difficulty*",'Semrush Data'!$A$1:$Z$1,0)),"")</f>
        <v/>
      </c>
      <c r="I874" s="56">
        <f>IFERROR(INDEX('Semrush Data'!$A$1:$Z$20000,MATCH(A874,'Semrush Data'!$A$1:$A$20000,0),MATCH("CPC*",'Semrush Data'!$A$1:$Z$1,0)),"")</f>
        <v/>
      </c>
      <c r="J874" s="42">
        <f>IFERROR(INDEX('Semrush Data'!$A$1:$Z$20000,MATCH(A874,'Semrush Data'!$A$1:$A$20000,0),MATCH("Intent",'Semrush Data'!$A$1:$Z$1,0)),"")</f>
        <v/>
      </c>
    </row>
    <row r="875" ht="15" customHeight="1" s="37">
      <c r="A875" s="42" t="inlineStr">
        <is>
          <t>carolina herrera 212 sexy men uk</t>
        </is>
      </c>
      <c r="B875" s="42" t="inlineStr">
        <is>
          <t>Product + UK</t>
        </is>
      </c>
      <c r="C875" s="42" t="n">
        <v>2</v>
      </c>
      <c r="D875" s="42" t="n">
        <v>9</v>
      </c>
      <c r="E875" s="42" t="n">
        <v>1</v>
      </c>
      <c r="F875" s="42" t="inlineStr">
        <is>
          <t>FR-092</t>
        </is>
      </c>
      <c r="G875" s="55">
        <f>IFERROR(INDEX('Semrush Data'!$A$1:$Z$20000,MATCH(A875,'Semrush Data'!$A$1:$A$20000,0),MATCH("Volume",'Semrush Data'!$A$1:$Z$1,0)),"")</f>
        <v/>
      </c>
      <c r="H875" s="42">
        <f>IFERROR(INDEX('Semrush Data'!$A$1:$Z$20000,MATCH(A875,'Semrush Data'!$A$1:$A$20000,0),MATCH("Keyword Difficulty*",'Semrush Data'!$A$1:$Z$1,0)),"")</f>
        <v/>
      </c>
      <c r="I875" s="56">
        <f>IFERROR(INDEX('Semrush Data'!$A$1:$Z$20000,MATCH(A875,'Semrush Data'!$A$1:$A$20000,0),MATCH("CPC*",'Semrush Data'!$A$1:$Z$1,0)),"")</f>
        <v/>
      </c>
      <c r="J875" s="42">
        <f>IFERROR(INDEX('Semrush Data'!$A$1:$Z$20000,MATCH(A875,'Semrush Data'!$A$1:$A$20000,0),MATCH("Intent",'Semrush Data'!$A$1:$Z$1,0)),"")</f>
        <v/>
      </c>
    </row>
    <row r="876" ht="15" customHeight="1" s="37">
      <c r="A876" s="42" t="inlineStr">
        <is>
          <t>carolina herrera 212 vip men uk</t>
        </is>
      </c>
      <c r="B876" s="42" t="inlineStr">
        <is>
          <t>Product + UK</t>
        </is>
      </c>
      <c r="C876" s="42" t="n">
        <v>2</v>
      </c>
      <c r="D876" s="42" t="n">
        <v>9</v>
      </c>
      <c r="E876" s="42" t="n">
        <v>1</v>
      </c>
      <c r="F876" s="42" t="inlineStr">
        <is>
          <t>FR-093</t>
        </is>
      </c>
      <c r="G876" s="55">
        <f>IFERROR(INDEX('Semrush Data'!$A$1:$Z$20000,MATCH(A876,'Semrush Data'!$A$1:$A$20000,0),MATCH("Volume",'Semrush Data'!$A$1:$Z$1,0)),"")</f>
        <v/>
      </c>
      <c r="H876" s="42">
        <f>IFERROR(INDEX('Semrush Data'!$A$1:$Z$20000,MATCH(A876,'Semrush Data'!$A$1:$A$20000,0),MATCH("Keyword Difficulty*",'Semrush Data'!$A$1:$Z$1,0)),"")</f>
        <v/>
      </c>
      <c r="I876" s="56">
        <f>IFERROR(INDEX('Semrush Data'!$A$1:$Z$20000,MATCH(A876,'Semrush Data'!$A$1:$A$20000,0),MATCH("CPC*",'Semrush Data'!$A$1:$Z$1,0)),"")</f>
        <v/>
      </c>
      <c r="J876" s="42">
        <f>IFERROR(INDEX('Semrush Data'!$A$1:$Z$20000,MATCH(A876,'Semrush Data'!$A$1:$A$20000,0),MATCH("Intent",'Semrush Data'!$A$1:$Z$1,0)),"")</f>
        <v/>
      </c>
    </row>
    <row r="877" ht="15" customHeight="1" s="37">
      <c r="A877" s="42" t="inlineStr">
        <is>
          <t>carolina herrera 212 vip rose uk</t>
        </is>
      </c>
      <c r="B877" s="42" t="inlineStr">
        <is>
          <t>Product + UK</t>
        </is>
      </c>
      <c r="C877" s="42" t="n">
        <v>2</v>
      </c>
      <c r="D877" s="42" t="n">
        <v>9</v>
      </c>
      <c r="E877" s="42" t="n">
        <v>1</v>
      </c>
      <c r="F877" s="42" t="inlineStr">
        <is>
          <t>FR-087</t>
        </is>
      </c>
      <c r="G877" s="55">
        <f>IFERROR(INDEX('Semrush Data'!$A$1:$Z$20000,MATCH(A877,'Semrush Data'!$A$1:$A$20000,0),MATCH("Volume",'Semrush Data'!$A$1:$Z$1,0)),"")</f>
        <v/>
      </c>
      <c r="H877" s="42">
        <f>IFERROR(INDEX('Semrush Data'!$A$1:$Z$20000,MATCH(A877,'Semrush Data'!$A$1:$A$20000,0),MATCH("Keyword Difficulty*",'Semrush Data'!$A$1:$Z$1,0)),"")</f>
        <v/>
      </c>
      <c r="I877" s="56">
        <f>IFERROR(INDEX('Semrush Data'!$A$1:$Z$20000,MATCH(A877,'Semrush Data'!$A$1:$A$20000,0),MATCH("CPC*",'Semrush Data'!$A$1:$Z$1,0)),"")</f>
        <v/>
      </c>
      <c r="J877" s="42">
        <f>IFERROR(INDEX('Semrush Data'!$A$1:$Z$20000,MATCH(A877,'Semrush Data'!$A$1:$A$20000,0),MATCH("Intent",'Semrush Data'!$A$1:$Z$1,0)),"")</f>
        <v/>
      </c>
    </row>
    <row r="878" ht="15" customHeight="1" s="37">
      <c r="A878" s="42" t="inlineStr">
        <is>
          <t>carolina herrera bad boy extreme uk</t>
        </is>
      </c>
      <c r="B878" s="42" t="inlineStr">
        <is>
          <t>Product + UK</t>
        </is>
      </c>
      <c r="C878" s="42" t="n">
        <v>2</v>
      </c>
      <c r="D878" s="42" t="n">
        <v>9</v>
      </c>
      <c r="E878" s="42" t="n">
        <v>2</v>
      </c>
      <c r="F878" s="42" t="inlineStr">
        <is>
          <t>FR-088, FR-089</t>
        </is>
      </c>
      <c r="G878" s="55">
        <f>IFERROR(INDEX('Semrush Data'!$A$1:$Z$20000,MATCH(A878,'Semrush Data'!$A$1:$A$20000,0),MATCH("Volume",'Semrush Data'!$A$1:$Z$1,0)),"")</f>
        <v/>
      </c>
      <c r="H878" s="42">
        <f>IFERROR(INDEX('Semrush Data'!$A$1:$Z$20000,MATCH(A878,'Semrush Data'!$A$1:$A$20000,0),MATCH("Keyword Difficulty*",'Semrush Data'!$A$1:$Z$1,0)),"")</f>
        <v/>
      </c>
      <c r="I878" s="56">
        <f>IFERROR(INDEX('Semrush Data'!$A$1:$Z$20000,MATCH(A878,'Semrush Data'!$A$1:$A$20000,0),MATCH("CPC*",'Semrush Data'!$A$1:$Z$1,0)),"")</f>
        <v/>
      </c>
      <c r="J878" s="42">
        <f>IFERROR(INDEX('Semrush Data'!$A$1:$Z$20000,MATCH(A878,'Semrush Data'!$A$1:$A$20000,0),MATCH("Intent",'Semrush Data'!$A$1:$Z$1,0)),"")</f>
        <v/>
      </c>
    </row>
    <row r="879" ht="15" customHeight="1" s="37">
      <c r="A879" s="42" t="inlineStr">
        <is>
          <t>carolina herrera bad boy le uk</t>
        </is>
      </c>
      <c r="B879" s="42" t="inlineStr">
        <is>
          <t>Product + UK</t>
        </is>
      </c>
      <c r="C879" s="42" t="n">
        <v>2</v>
      </c>
      <c r="D879" s="42" t="n">
        <v>9</v>
      </c>
      <c r="E879" s="42" t="n">
        <v>2</v>
      </c>
      <c r="F879" s="42" t="inlineStr">
        <is>
          <t>FR-090, FR-091</t>
        </is>
      </c>
      <c r="G879" s="55">
        <f>IFERROR(INDEX('Semrush Data'!$A$1:$Z$20000,MATCH(A879,'Semrush Data'!$A$1:$A$20000,0),MATCH("Volume",'Semrush Data'!$A$1:$Z$1,0)),"")</f>
        <v/>
      </c>
      <c r="H879" s="42">
        <f>IFERROR(INDEX('Semrush Data'!$A$1:$Z$20000,MATCH(A879,'Semrush Data'!$A$1:$A$20000,0),MATCH("Keyword Difficulty*",'Semrush Data'!$A$1:$Z$1,0)),"")</f>
        <v/>
      </c>
      <c r="I879" s="56">
        <f>IFERROR(INDEX('Semrush Data'!$A$1:$Z$20000,MATCH(A879,'Semrush Data'!$A$1:$A$20000,0),MATCH("CPC*",'Semrush Data'!$A$1:$Z$1,0)),"")</f>
        <v/>
      </c>
      <c r="J879" s="42">
        <f>IFERROR(INDEX('Semrush Data'!$A$1:$Z$20000,MATCH(A879,'Semrush Data'!$A$1:$A$20000,0),MATCH("Intent",'Semrush Data'!$A$1:$Z$1,0)),"")</f>
        <v/>
      </c>
    </row>
    <row r="880" ht="15" customHeight="1" s="37">
      <c r="A880" s="42" t="inlineStr">
        <is>
          <t>carolina herrera very good girl glam uk</t>
        </is>
      </c>
      <c r="B880" s="42" t="inlineStr">
        <is>
          <t>Product + UK</t>
        </is>
      </c>
      <c r="C880" s="42" t="n">
        <v>2</v>
      </c>
      <c r="D880" s="42" t="n">
        <v>9</v>
      </c>
      <c r="E880" s="42" t="n">
        <v>1</v>
      </c>
      <c r="F880" s="42" t="inlineStr">
        <is>
          <t>FR-094</t>
        </is>
      </c>
      <c r="G880" s="55">
        <f>IFERROR(INDEX('Semrush Data'!$A$1:$Z$20000,MATCH(A880,'Semrush Data'!$A$1:$A$20000,0),MATCH("Volume",'Semrush Data'!$A$1:$Z$1,0)),"")</f>
        <v/>
      </c>
      <c r="H880" s="42">
        <f>IFERROR(INDEX('Semrush Data'!$A$1:$Z$20000,MATCH(A880,'Semrush Data'!$A$1:$A$20000,0),MATCH("Keyword Difficulty*",'Semrush Data'!$A$1:$Z$1,0)),"")</f>
        <v/>
      </c>
      <c r="I880" s="56">
        <f>IFERROR(INDEX('Semrush Data'!$A$1:$Z$20000,MATCH(A880,'Semrush Data'!$A$1:$A$20000,0),MATCH("CPC*",'Semrush Data'!$A$1:$Z$1,0)),"")</f>
        <v/>
      </c>
      <c r="J880" s="42">
        <f>IFERROR(INDEX('Semrush Data'!$A$1:$Z$20000,MATCH(A880,'Semrush Data'!$A$1:$A$20000,0),MATCH("Intent",'Semrush Data'!$A$1:$Z$1,0)),"")</f>
        <v/>
      </c>
    </row>
    <row r="881" ht="15" customHeight="1" s="37">
      <c r="A881" s="42" t="inlineStr">
        <is>
          <t>casanova anniversary uk</t>
        </is>
      </c>
      <c r="B881" s="42" t="inlineStr">
        <is>
          <t>Product + UK</t>
        </is>
      </c>
      <c r="C881" s="42" t="n">
        <v>2</v>
      </c>
      <c r="D881" s="42" t="n">
        <v>9</v>
      </c>
      <c r="E881" s="42" t="n">
        <v>1</v>
      </c>
      <c r="F881" s="42" t="inlineStr">
        <is>
          <t>FR-341</t>
        </is>
      </c>
      <c r="G881" s="55">
        <f>IFERROR(INDEX('Semrush Data'!$A$1:$Z$20000,MATCH(A881,'Semrush Data'!$A$1:$A$20000,0),MATCH("Volume",'Semrush Data'!$A$1:$Z$1,0)),"")</f>
        <v/>
      </c>
      <c r="H881" s="42">
        <f>IFERROR(INDEX('Semrush Data'!$A$1:$Z$20000,MATCH(A881,'Semrush Data'!$A$1:$A$20000,0),MATCH("Keyword Difficulty*",'Semrush Data'!$A$1:$Z$1,0)),"")</f>
        <v/>
      </c>
      <c r="I881" s="56">
        <f>IFERROR(INDEX('Semrush Data'!$A$1:$Z$20000,MATCH(A881,'Semrush Data'!$A$1:$A$20000,0),MATCH("CPC*",'Semrush Data'!$A$1:$Z$1,0)),"")</f>
        <v/>
      </c>
      <c r="J881" s="42">
        <f>IFERROR(INDEX('Semrush Data'!$A$1:$Z$20000,MATCH(A881,'Semrush Data'!$A$1:$A$20000,0),MATCH("Intent",'Semrush Data'!$A$1:$Z$1,0)),"")</f>
        <v/>
      </c>
    </row>
    <row r="882" ht="15" customHeight="1" s="37">
      <c r="A882" s="42" t="inlineStr">
        <is>
          <t>chloe miniature gift set uk</t>
        </is>
      </c>
      <c r="B882" s="42" t="inlineStr">
        <is>
          <t>Product + UK</t>
        </is>
      </c>
      <c r="C882" s="42" t="n">
        <v>2</v>
      </c>
      <c r="D882" s="42" t="n">
        <v>9</v>
      </c>
      <c r="E882" s="42" t="n">
        <v>1</v>
      </c>
      <c r="F882" s="42" t="inlineStr">
        <is>
          <t>FR-100</t>
        </is>
      </c>
      <c r="G882" s="55">
        <f>IFERROR(INDEX('Semrush Data'!$A$1:$Z$20000,MATCH(A882,'Semrush Data'!$A$1:$A$20000,0),MATCH("Volume",'Semrush Data'!$A$1:$Z$1,0)),"")</f>
        <v/>
      </c>
      <c r="H882" s="42">
        <f>IFERROR(INDEX('Semrush Data'!$A$1:$Z$20000,MATCH(A882,'Semrush Data'!$A$1:$A$20000,0),MATCH("Keyword Difficulty*",'Semrush Data'!$A$1:$Z$1,0)),"")</f>
        <v/>
      </c>
      <c r="I882" s="56">
        <f>IFERROR(INDEX('Semrush Data'!$A$1:$Z$20000,MATCH(A882,'Semrush Data'!$A$1:$A$20000,0),MATCH("CPC*",'Semrush Data'!$A$1:$Z$1,0)),"")</f>
        <v/>
      </c>
      <c r="J882" s="42">
        <f>IFERROR(INDEX('Semrush Data'!$A$1:$Z$20000,MATCH(A882,'Semrush Data'!$A$1:$A$20000,0),MATCH("Intent",'Semrush Data'!$A$1:$Z$1,0)),"")</f>
        <v/>
      </c>
    </row>
    <row r="883" ht="15" customHeight="1" s="37">
      <c r="A883" s="42" t="inlineStr">
        <is>
          <t>chloe miniature set uk</t>
        </is>
      </c>
      <c r="B883" s="42" t="inlineStr">
        <is>
          <t>Product + UK</t>
        </is>
      </c>
      <c r="C883" s="42" t="n">
        <v>2</v>
      </c>
      <c r="D883" s="42" t="n">
        <v>9</v>
      </c>
      <c r="E883" s="42" t="n">
        <v>1</v>
      </c>
      <c r="F883" s="42" t="inlineStr">
        <is>
          <t>FR-101</t>
        </is>
      </c>
      <c r="G883" s="55">
        <f>IFERROR(INDEX('Semrush Data'!$A$1:$Z$20000,MATCH(A883,'Semrush Data'!$A$1:$A$20000,0),MATCH("Volume",'Semrush Data'!$A$1:$Z$1,0)),"")</f>
        <v/>
      </c>
      <c r="H883" s="42">
        <f>IFERROR(INDEX('Semrush Data'!$A$1:$Z$20000,MATCH(A883,'Semrush Data'!$A$1:$A$20000,0),MATCH("Keyword Difficulty*",'Semrush Data'!$A$1:$Z$1,0)),"")</f>
        <v/>
      </c>
      <c r="I883" s="56">
        <f>IFERROR(INDEX('Semrush Data'!$A$1:$Z$20000,MATCH(A883,'Semrush Data'!$A$1:$A$20000,0),MATCH("CPC*",'Semrush Data'!$A$1:$Z$1,0)),"")</f>
        <v/>
      </c>
      <c r="J883" s="42">
        <f>IFERROR(INDEX('Semrush Data'!$A$1:$Z$20000,MATCH(A883,'Semrush Data'!$A$1:$A$20000,0),MATCH("Intent",'Semrush Data'!$A$1:$Z$1,0)),"")</f>
        <v/>
      </c>
    </row>
    <row r="884" ht="15" customHeight="1" s="37">
      <c r="A884" s="42" t="inlineStr">
        <is>
          <t>chloe nomade gift set uk</t>
        </is>
      </c>
      <c r="B884" s="42" t="inlineStr">
        <is>
          <t>Product + UK</t>
        </is>
      </c>
      <c r="C884" s="42" t="n">
        <v>2</v>
      </c>
      <c r="D884" s="42" t="n">
        <v>9</v>
      </c>
      <c r="E884" s="42" t="n">
        <v>1</v>
      </c>
      <c r="F884" s="42" t="inlineStr">
        <is>
          <t>FR-099</t>
        </is>
      </c>
      <c r="G884" s="55">
        <f>IFERROR(INDEX('Semrush Data'!$A$1:$Z$20000,MATCH(A884,'Semrush Data'!$A$1:$A$20000,0),MATCH("Volume",'Semrush Data'!$A$1:$Z$1,0)),"")</f>
        <v/>
      </c>
      <c r="H884" s="42">
        <f>IFERROR(INDEX('Semrush Data'!$A$1:$Z$20000,MATCH(A884,'Semrush Data'!$A$1:$A$20000,0),MATCH("Keyword Difficulty*",'Semrush Data'!$A$1:$Z$1,0)),"")</f>
        <v/>
      </c>
      <c r="I884" s="56">
        <f>IFERROR(INDEX('Semrush Data'!$A$1:$Z$20000,MATCH(A884,'Semrush Data'!$A$1:$A$20000,0),MATCH("CPC*",'Semrush Data'!$A$1:$Z$1,0)),"")</f>
        <v/>
      </c>
      <c r="J884" s="42">
        <f>IFERROR(INDEX('Semrush Data'!$A$1:$Z$20000,MATCH(A884,'Semrush Data'!$A$1:$A$20000,0),MATCH("Intent",'Semrush Data'!$A$1:$Z$1,0)),"")</f>
        <v/>
      </c>
    </row>
    <row r="885" ht="15" customHeight="1" s="37">
      <c r="A885" s="42" t="inlineStr">
        <is>
          <t>chloe nomade jasmin naturel intense uk</t>
        </is>
      </c>
      <c r="B885" s="42" t="inlineStr">
        <is>
          <t>Product + UK</t>
        </is>
      </c>
      <c r="C885" s="42" t="n">
        <v>2</v>
      </c>
      <c r="D885" s="42" t="n">
        <v>9</v>
      </c>
      <c r="E885" s="42" t="n">
        <v>1</v>
      </c>
      <c r="F885" s="42" t="inlineStr">
        <is>
          <t>FR-096</t>
        </is>
      </c>
      <c r="G885" s="55">
        <f>IFERROR(INDEX('Semrush Data'!$A$1:$Z$20000,MATCH(A885,'Semrush Data'!$A$1:$A$20000,0),MATCH("Volume",'Semrush Data'!$A$1:$Z$1,0)),"")</f>
        <v/>
      </c>
      <c r="H885" s="42">
        <f>IFERROR(INDEX('Semrush Data'!$A$1:$Z$20000,MATCH(A885,'Semrush Data'!$A$1:$A$20000,0),MATCH("Keyword Difficulty*",'Semrush Data'!$A$1:$Z$1,0)),"")</f>
        <v/>
      </c>
      <c r="I885" s="56">
        <f>IFERROR(INDEX('Semrush Data'!$A$1:$Z$20000,MATCH(A885,'Semrush Data'!$A$1:$A$20000,0),MATCH("CPC*",'Semrush Data'!$A$1:$Z$1,0)),"")</f>
        <v/>
      </c>
      <c r="J885" s="42">
        <f>IFERROR(INDEX('Semrush Data'!$A$1:$Z$20000,MATCH(A885,'Semrush Data'!$A$1:$A$20000,0),MATCH("Intent",'Semrush Data'!$A$1:$Z$1,0)),"")</f>
        <v/>
      </c>
    </row>
    <row r="886" ht="15" customHeight="1" s="37">
      <c r="A886" s="42" t="inlineStr">
        <is>
          <t>chloe nomade nuit d'egypte uk</t>
        </is>
      </c>
      <c r="B886" s="42" t="inlineStr">
        <is>
          <t>Product + UK</t>
        </is>
      </c>
      <c r="C886" s="42" t="n">
        <v>2</v>
      </c>
      <c r="D886" s="42" t="n">
        <v>9</v>
      </c>
      <c r="E886" s="42" t="n">
        <v>1</v>
      </c>
      <c r="F886" s="42" t="inlineStr">
        <is>
          <t>FR-097</t>
        </is>
      </c>
      <c r="G886" s="55">
        <f>IFERROR(INDEX('Semrush Data'!$A$1:$Z$20000,MATCH(A886,'Semrush Data'!$A$1:$A$20000,0),MATCH("Volume",'Semrush Data'!$A$1:$Z$1,0)),"")</f>
        <v/>
      </c>
      <c r="H886" s="42">
        <f>IFERROR(INDEX('Semrush Data'!$A$1:$Z$20000,MATCH(A886,'Semrush Data'!$A$1:$A$20000,0),MATCH("Keyword Difficulty*",'Semrush Data'!$A$1:$Z$1,0)),"")</f>
        <v/>
      </c>
      <c r="I886" s="56">
        <f>IFERROR(INDEX('Semrush Data'!$A$1:$Z$20000,MATCH(A886,'Semrush Data'!$A$1:$A$20000,0),MATCH("CPC*",'Semrush Data'!$A$1:$Z$1,0)),"")</f>
        <v/>
      </c>
      <c r="J886" s="42">
        <f>IFERROR(INDEX('Semrush Data'!$A$1:$Z$20000,MATCH(A886,'Semrush Data'!$A$1:$A$20000,0),MATCH("Intent",'Semrush Data'!$A$1:$Z$1,0)),"")</f>
        <v/>
      </c>
    </row>
    <row r="887" ht="15" customHeight="1" s="37">
      <c r="A887" s="42" t="inlineStr">
        <is>
          <t>chloe nomade uk</t>
        </is>
      </c>
      <c r="B887" s="42" t="inlineStr">
        <is>
          <t>Product + UK</t>
        </is>
      </c>
      <c r="C887" s="42" t="n">
        <v>2</v>
      </c>
      <c r="D887" s="42" t="n">
        <v>9</v>
      </c>
      <c r="E887" s="42" t="n">
        <v>1</v>
      </c>
      <c r="F887" s="42" t="inlineStr">
        <is>
          <t>FR-095</t>
        </is>
      </c>
      <c r="G887" s="55">
        <f>IFERROR(INDEX('Semrush Data'!$A$1:$Z$20000,MATCH(A887,'Semrush Data'!$A$1:$A$20000,0),MATCH("Volume",'Semrush Data'!$A$1:$Z$1,0)),"")</f>
        <v/>
      </c>
      <c r="H887" s="42">
        <f>IFERROR(INDEX('Semrush Data'!$A$1:$Z$20000,MATCH(A887,'Semrush Data'!$A$1:$A$20000,0),MATCH("Keyword Difficulty*",'Semrush Data'!$A$1:$Z$1,0)),"")</f>
        <v/>
      </c>
      <c r="I887" s="56">
        <f>IFERROR(INDEX('Semrush Data'!$A$1:$Z$20000,MATCH(A887,'Semrush Data'!$A$1:$A$20000,0),MATCH("CPC*",'Semrush Data'!$A$1:$Z$1,0)),"")</f>
        <v/>
      </c>
      <c r="J887" s="42">
        <f>IFERROR(INDEX('Semrush Data'!$A$1:$Z$20000,MATCH(A887,'Semrush Data'!$A$1:$A$20000,0),MATCH("Intent",'Semrush Data'!$A$1:$Z$1,0)),"")</f>
        <v/>
      </c>
    </row>
    <row r="888" ht="15" customHeight="1" s="37">
      <c r="A888" s="42" t="inlineStr">
        <is>
          <t>chloe rose naturelle intense uk</t>
        </is>
      </c>
      <c r="B888" s="42" t="inlineStr">
        <is>
          <t>Product + UK</t>
        </is>
      </c>
      <c r="C888" s="42" t="n">
        <v>2</v>
      </c>
      <c r="D888" s="42" t="n">
        <v>9</v>
      </c>
      <c r="E888" s="42" t="n">
        <v>1</v>
      </c>
      <c r="F888" s="42" t="inlineStr">
        <is>
          <t>FR-098</t>
        </is>
      </c>
      <c r="G888" s="55">
        <f>IFERROR(INDEX('Semrush Data'!$A$1:$Z$20000,MATCH(A888,'Semrush Data'!$A$1:$A$20000,0),MATCH("Volume",'Semrush Data'!$A$1:$Z$1,0)),"")</f>
        <v/>
      </c>
      <c r="H888" s="42">
        <f>IFERROR(INDEX('Semrush Data'!$A$1:$Z$20000,MATCH(A888,'Semrush Data'!$A$1:$A$20000,0),MATCH("Keyword Difficulty*",'Semrush Data'!$A$1:$Z$1,0)),"")</f>
        <v/>
      </c>
      <c r="I888" s="56">
        <f>IFERROR(INDEX('Semrush Data'!$A$1:$Z$20000,MATCH(A888,'Semrush Data'!$A$1:$A$20000,0),MATCH("CPC*",'Semrush Data'!$A$1:$Z$1,0)),"")</f>
        <v/>
      </c>
      <c r="J888" s="42">
        <f>IFERROR(INDEX('Semrush Data'!$A$1:$Z$20000,MATCH(A888,'Semrush Data'!$A$1:$A$20000,0),MATCH("Intent",'Semrush Data'!$A$1:$Z$1,0)),"")</f>
        <v/>
      </c>
    </row>
    <row r="889" ht="15" customHeight="1" s="37">
      <c r="A889" s="42" t="inlineStr">
        <is>
          <t>chopard amber malaki uk</t>
        </is>
      </c>
      <c r="B889" s="42" t="inlineStr">
        <is>
          <t>Product + UK</t>
        </is>
      </c>
      <c r="C889" s="42" t="n">
        <v>2</v>
      </c>
      <c r="D889" s="42" t="n">
        <v>9</v>
      </c>
      <c r="E889" s="42" t="n">
        <v>1</v>
      </c>
      <c r="F889" s="42" t="inlineStr">
        <is>
          <t>FR-102</t>
        </is>
      </c>
      <c r="G889" s="55">
        <f>IFERROR(INDEX('Semrush Data'!$A$1:$Z$20000,MATCH(A889,'Semrush Data'!$A$1:$A$20000,0),MATCH("Volume",'Semrush Data'!$A$1:$Z$1,0)),"")</f>
        <v/>
      </c>
      <c r="H889" s="42">
        <f>IFERROR(INDEX('Semrush Data'!$A$1:$Z$20000,MATCH(A889,'Semrush Data'!$A$1:$A$20000,0),MATCH("Keyword Difficulty*",'Semrush Data'!$A$1:$Z$1,0)),"")</f>
        <v/>
      </c>
      <c r="I889" s="56">
        <f>IFERROR(INDEX('Semrush Data'!$A$1:$Z$20000,MATCH(A889,'Semrush Data'!$A$1:$A$20000,0),MATCH("CPC*",'Semrush Data'!$A$1:$Z$1,0)),"")</f>
        <v/>
      </c>
      <c r="J889" s="42">
        <f>IFERROR(INDEX('Semrush Data'!$A$1:$Z$20000,MATCH(A889,'Semrush Data'!$A$1:$A$20000,0),MATCH("Intent",'Semrush Data'!$A$1:$Z$1,0)),"")</f>
        <v/>
      </c>
    </row>
    <row r="890" ht="15" customHeight="1" s="37">
      <c r="A890" s="42" t="inlineStr">
        <is>
          <t>chopard black incense malaki uk</t>
        </is>
      </c>
      <c r="B890" s="42" t="inlineStr">
        <is>
          <t>Product + UK</t>
        </is>
      </c>
      <c r="C890" s="42" t="n">
        <v>2</v>
      </c>
      <c r="D890" s="42" t="n">
        <v>9</v>
      </c>
      <c r="E890" s="42" t="n">
        <v>1</v>
      </c>
      <c r="F890" s="42" t="inlineStr">
        <is>
          <t>FR-103</t>
        </is>
      </c>
      <c r="G890" s="55">
        <f>IFERROR(INDEX('Semrush Data'!$A$1:$Z$20000,MATCH(A890,'Semrush Data'!$A$1:$A$20000,0),MATCH("Volume",'Semrush Data'!$A$1:$Z$1,0)),"")</f>
        <v/>
      </c>
      <c r="H890" s="42">
        <f>IFERROR(INDEX('Semrush Data'!$A$1:$Z$20000,MATCH(A890,'Semrush Data'!$A$1:$A$20000,0),MATCH("Keyword Difficulty*",'Semrush Data'!$A$1:$Z$1,0)),"")</f>
        <v/>
      </c>
      <c r="I890" s="56">
        <f>IFERROR(INDEX('Semrush Data'!$A$1:$Z$20000,MATCH(A890,'Semrush Data'!$A$1:$A$20000,0),MATCH("CPC*",'Semrush Data'!$A$1:$Z$1,0)),"")</f>
        <v/>
      </c>
      <c r="J890" s="42">
        <f>IFERROR(INDEX('Semrush Data'!$A$1:$Z$20000,MATCH(A890,'Semrush Data'!$A$1:$A$20000,0),MATCH("Intent",'Semrush Data'!$A$1:$Z$1,0)),"")</f>
        <v/>
      </c>
    </row>
    <row r="891" ht="15" customHeight="1" s="37">
      <c r="A891" s="42" t="inlineStr">
        <is>
          <t>chopard gardens of paradise discovery set uk</t>
        </is>
      </c>
      <c r="B891" s="42" t="inlineStr">
        <is>
          <t>Product + UK</t>
        </is>
      </c>
      <c r="C891" s="42" t="n">
        <v>2</v>
      </c>
      <c r="D891" s="42" t="n">
        <v>9</v>
      </c>
      <c r="E891" s="42" t="n">
        <v>1</v>
      </c>
      <c r="F891" s="42" t="inlineStr">
        <is>
          <t>FR-106</t>
        </is>
      </c>
      <c r="G891" s="55">
        <f>IFERROR(INDEX('Semrush Data'!$A$1:$Z$20000,MATCH(A891,'Semrush Data'!$A$1:$A$20000,0),MATCH("Volume",'Semrush Data'!$A$1:$Z$1,0)),"")</f>
        <v/>
      </c>
      <c r="H891" s="42">
        <f>IFERROR(INDEX('Semrush Data'!$A$1:$Z$20000,MATCH(A891,'Semrush Data'!$A$1:$A$20000,0),MATCH("Keyword Difficulty*",'Semrush Data'!$A$1:$Z$1,0)),"")</f>
        <v/>
      </c>
      <c r="I891" s="56">
        <f>IFERROR(INDEX('Semrush Data'!$A$1:$Z$20000,MATCH(A891,'Semrush Data'!$A$1:$A$20000,0),MATCH("CPC*",'Semrush Data'!$A$1:$Z$1,0)),"")</f>
        <v/>
      </c>
      <c r="J891" s="42">
        <f>IFERROR(INDEX('Semrush Data'!$A$1:$Z$20000,MATCH(A891,'Semrush Data'!$A$1:$A$20000,0),MATCH("Intent",'Semrush Data'!$A$1:$Z$1,0)),"")</f>
        <v/>
      </c>
    </row>
    <row r="892" ht="15" customHeight="1" s="37">
      <c r="A892" s="42" t="inlineStr">
        <is>
          <t>chopard imperiale iris malika uk</t>
        </is>
      </c>
      <c r="B892" s="42" t="inlineStr">
        <is>
          <t>Product + UK</t>
        </is>
      </c>
      <c r="C892" s="42" t="n">
        <v>2</v>
      </c>
      <c r="D892" s="42" t="n">
        <v>9</v>
      </c>
      <c r="E892" s="42" t="n">
        <v>1</v>
      </c>
      <c r="F892" s="42" t="inlineStr">
        <is>
          <t>FR-104</t>
        </is>
      </c>
      <c r="G892" s="55">
        <f>IFERROR(INDEX('Semrush Data'!$A$1:$Z$20000,MATCH(A892,'Semrush Data'!$A$1:$A$20000,0),MATCH("Volume",'Semrush Data'!$A$1:$Z$1,0)),"")</f>
        <v/>
      </c>
      <c r="H892" s="42">
        <f>IFERROR(INDEX('Semrush Data'!$A$1:$Z$20000,MATCH(A892,'Semrush Data'!$A$1:$A$20000,0),MATCH("Keyword Difficulty*",'Semrush Data'!$A$1:$Z$1,0)),"")</f>
        <v/>
      </c>
      <c r="I892" s="56">
        <f>IFERROR(INDEX('Semrush Data'!$A$1:$Z$20000,MATCH(A892,'Semrush Data'!$A$1:$A$20000,0),MATCH("CPC*",'Semrush Data'!$A$1:$Z$1,0)),"")</f>
        <v/>
      </c>
      <c r="J892" s="42">
        <f>IFERROR(INDEX('Semrush Data'!$A$1:$Z$20000,MATCH(A892,'Semrush Data'!$A$1:$A$20000,0),MATCH("Intent",'Semrush Data'!$A$1:$Z$1,0)),"")</f>
        <v/>
      </c>
    </row>
    <row r="893" ht="15" customHeight="1" s="37">
      <c r="A893" s="42" t="inlineStr">
        <is>
          <t>chopard oud malaki uk</t>
        </is>
      </c>
      <c r="B893" s="42" t="inlineStr">
        <is>
          <t>Product + UK</t>
        </is>
      </c>
      <c r="C893" s="42" t="n">
        <v>2</v>
      </c>
      <c r="D893" s="42" t="n">
        <v>9</v>
      </c>
      <c r="E893" s="42" t="n">
        <v>1</v>
      </c>
      <c r="F893" s="42" t="inlineStr">
        <is>
          <t>FR-105</t>
        </is>
      </c>
      <c r="G893" s="55">
        <f>IFERROR(INDEX('Semrush Data'!$A$1:$Z$20000,MATCH(A893,'Semrush Data'!$A$1:$A$20000,0),MATCH("Volume",'Semrush Data'!$A$1:$Z$1,0)),"")</f>
        <v/>
      </c>
      <c r="H893" s="42">
        <f>IFERROR(INDEX('Semrush Data'!$A$1:$Z$20000,MATCH(A893,'Semrush Data'!$A$1:$A$20000,0),MATCH("Keyword Difficulty*",'Semrush Data'!$A$1:$Z$1,0)),"")</f>
        <v/>
      </c>
      <c r="I893" s="56">
        <f>IFERROR(INDEX('Semrush Data'!$A$1:$Z$20000,MATCH(A893,'Semrush Data'!$A$1:$A$20000,0),MATCH("CPC*",'Semrush Data'!$A$1:$Z$1,0)),"")</f>
        <v/>
      </c>
      <c r="J893" s="42">
        <f>IFERROR(INDEX('Semrush Data'!$A$1:$Z$20000,MATCH(A893,'Semrush Data'!$A$1:$A$20000,0),MATCH("Intent",'Semrush Data'!$A$1:$Z$1,0)),"")</f>
        <v/>
      </c>
    </row>
    <row r="894" ht="15" customHeight="1" s="37">
      <c r="A894" s="42" t="inlineStr">
        <is>
          <t>chris adams black shadow pour homme uk</t>
        </is>
      </c>
      <c r="B894" s="42" t="inlineStr">
        <is>
          <t>Product + UK</t>
        </is>
      </c>
      <c r="C894" s="42" t="n">
        <v>2</v>
      </c>
      <c r="D894" s="42" t="n">
        <v>9</v>
      </c>
      <c r="E894" s="42" t="n">
        <v>1</v>
      </c>
      <c r="F894" s="42" t="inlineStr">
        <is>
          <t>FR-108</t>
        </is>
      </c>
      <c r="G894" s="55">
        <f>IFERROR(INDEX('Semrush Data'!$A$1:$Z$20000,MATCH(A894,'Semrush Data'!$A$1:$A$20000,0),MATCH("Volume",'Semrush Data'!$A$1:$Z$1,0)),"")</f>
        <v/>
      </c>
      <c r="H894" s="42">
        <f>IFERROR(INDEX('Semrush Data'!$A$1:$Z$20000,MATCH(A894,'Semrush Data'!$A$1:$A$20000,0),MATCH("Keyword Difficulty*",'Semrush Data'!$A$1:$Z$1,0)),"")</f>
        <v/>
      </c>
      <c r="I894" s="56">
        <f>IFERROR(INDEX('Semrush Data'!$A$1:$Z$20000,MATCH(A894,'Semrush Data'!$A$1:$A$20000,0),MATCH("CPC*",'Semrush Data'!$A$1:$Z$1,0)),"")</f>
        <v/>
      </c>
      <c r="J894" s="42">
        <f>IFERROR(INDEX('Semrush Data'!$A$1:$Z$20000,MATCH(A894,'Semrush Data'!$A$1:$A$20000,0),MATCH("Intent",'Semrush Data'!$A$1:$Z$1,0)),"")</f>
        <v/>
      </c>
    </row>
    <row r="895" ht="15" customHeight="1" s="37">
      <c r="A895" s="42" t="inlineStr">
        <is>
          <t>chris adams ca dx 77 pour homme uk</t>
        </is>
      </c>
      <c r="B895" s="42" t="inlineStr">
        <is>
          <t>Product + UK</t>
        </is>
      </c>
      <c r="C895" s="42" t="n">
        <v>2</v>
      </c>
      <c r="D895" s="42" t="n">
        <v>9</v>
      </c>
      <c r="E895" s="42" t="n">
        <v>1</v>
      </c>
      <c r="F895" s="42" t="inlineStr">
        <is>
          <t>FR-107</t>
        </is>
      </c>
      <c r="G895" s="55">
        <f>IFERROR(INDEX('Semrush Data'!$A$1:$Z$20000,MATCH(A895,'Semrush Data'!$A$1:$A$20000,0),MATCH("Volume",'Semrush Data'!$A$1:$Z$1,0)),"")</f>
        <v/>
      </c>
      <c r="H895" s="42">
        <f>IFERROR(INDEX('Semrush Data'!$A$1:$Z$20000,MATCH(A895,'Semrush Data'!$A$1:$A$20000,0),MATCH("Keyword Difficulty*",'Semrush Data'!$A$1:$Z$1,0)),"")</f>
        <v/>
      </c>
      <c r="I895" s="56">
        <f>IFERROR(INDEX('Semrush Data'!$A$1:$Z$20000,MATCH(A895,'Semrush Data'!$A$1:$A$20000,0),MATCH("CPC*",'Semrush Data'!$A$1:$Z$1,0)),"")</f>
        <v/>
      </c>
      <c r="J895" s="42">
        <f>IFERROR(INDEX('Semrush Data'!$A$1:$Z$20000,MATCH(A895,'Semrush Data'!$A$1:$A$20000,0),MATCH("Intent",'Semrush Data'!$A$1:$Z$1,0)),"")</f>
        <v/>
      </c>
    </row>
    <row r="896" ht="15" customHeight="1" s="37">
      <c r="A896" s="42" t="inlineStr">
        <is>
          <t>davidoff champion uk</t>
        </is>
      </c>
      <c r="B896" s="42" t="inlineStr">
        <is>
          <t>Product + UK</t>
        </is>
      </c>
      <c r="C896" s="42" t="n">
        <v>2</v>
      </c>
      <c r="D896" s="42" t="n">
        <v>9</v>
      </c>
      <c r="E896" s="42" t="n">
        <v>1</v>
      </c>
      <c r="F896" s="42" t="inlineStr">
        <is>
          <t>FR-110</t>
        </is>
      </c>
      <c r="G896" s="55">
        <f>IFERROR(INDEX('Semrush Data'!$A$1:$Z$20000,MATCH(A896,'Semrush Data'!$A$1:$A$20000,0),MATCH("Volume",'Semrush Data'!$A$1:$Z$1,0)),"")</f>
        <v/>
      </c>
      <c r="H896" s="42">
        <f>IFERROR(INDEX('Semrush Data'!$A$1:$Z$20000,MATCH(A896,'Semrush Data'!$A$1:$A$20000,0),MATCH("Keyword Difficulty*",'Semrush Data'!$A$1:$Z$1,0)),"")</f>
        <v/>
      </c>
      <c r="I896" s="56">
        <f>IFERROR(INDEX('Semrush Data'!$A$1:$Z$20000,MATCH(A896,'Semrush Data'!$A$1:$A$20000,0),MATCH("CPC*",'Semrush Data'!$A$1:$Z$1,0)),"")</f>
        <v/>
      </c>
      <c r="J896" s="42">
        <f>IFERROR(INDEX('Semrush Data'!$A$1:$Z$20000,MATCH(A896,'Semrush Data'!$A$1:$A$20000,0),MATCH("Intent",'Semrush Data'!$A$1:$Z$1,0)),"")</f>
        <v/>
      </c>
    </row>
    <row r="897" ht="15" customHeight="1" s="37">
      <c r="A897" s="42" t="inlineStr">
        <is>
          <t>davidoff cool water reborn intense uk</t>
        </is>
      </c>
      <c r="B897" s="42" t="inlineStr">
        <is>
          <t>Product + UK</t>
        </is>
      </c>
      <c r="C897" s="42" t="n">
        <v>2</v>
      </c>
      <c r="D897" s="42" t="n">
        <v>9</v>
      </c>
      <c r="E897" s="42" t="n">
        <v>1</v>
      </c>
      <c r="F897" s="42" t="inlineStr">
        <is>
          <t>FR-109</t>
        </is>
      </c>
      <c r="G897" s="55">
        <f>IFERROR(INDEX('Semrush Data'!$A$1:$Z$20000,MATCH(A897,'Semrush Data'!$A$1:$A$20000,0),MATCH("Volume",'Semrush Data'!$A$1:$Z$1,0)),"")</f>
        <v/>
      </c>
      <c r="H897" s="42">
        <f>IFERROR(INDEX('Semrush Data'!$A$1:$Z$20000,MATCH(A897,'Semrush Data'!$A$1:$A$20000,0),MATCH("Keyword Difficulty*",'Semrush Data'!$A$1:$Z$1,0)),"")</f>
        <v/>
      </c>
      <c r="I897" s="56">
        <f>IFERROR(INDEX('Semrush Data'!$A$1:$Z$20000,MATCH(A897,'Semrush Data'!$A$1:$A$20000,0),MATCH("CPC*",'Semrush Data'!$A$1:$Z$1,0)),"")</f>
        <v/>
      </c>
      <c r="J897" s="42">
        <f>IFERROR(INDEX('Semrush Data'!$A$1:$Z$20000,MATCH(A897,'Semrush Data'!$A$1:$A$20000,0),MATCH("Intent",'Semrush Data'!$A$1:$Z$1,0)),"")</f>
        <v/>
      </c>
    </row>
    <row r="898" ht="15" customHeight="1" s="37">
      <c r="A898" s="42" t="inlineStr">
        <is>
          <t>davidoff indigo uk</t>
        </is>
      </c>
      <c r="B898" s="42" t="inlineStr">
        <is>
          <t>Product + UK</t>
        </is>
      </c>
      <c r="C898" s="42" t="n">
        <v>2</v>
      </c>
      <c r="D898" s="42" t="n">
        <v>9</v>
      </c>
      <c r="E898" s="42" t="n">
        <v>1</v>
      </c>
      <c r="F898" s="42" t="inlineStr">
        <is>
          <t>FR-111</t>
        </is>
      </c>
      <c r="G898" s="55">
        <f>IFERROR(INDEX('Semrush Data'!$A$1:$Z$20000,MATCH(A898,'Semrush Data'!$A$1:$A$20000,0),MATCH("Volume",'Semrush Data'!$A$1:$Z$1,0)),"")</f>
        <v/>
      </c>
      <c r="H898" s="42">
        <f>IFERROR(INDEX('Semrush Data'!$A$1:$Z$20000,MATCH(A898,'Semrush Data'!$A$1:$A$20000,0),MATCH("Keyword Difficulty*",'Semrush Data'!$A$1:$Z$1,0)),"")</f>
        <v/>
      </c>
      <c r="I898" s="56">
        <f>IFERROR(INDEX('Semrush Data'!$A$1:$Z$20000,MATCH(A898,'Semrush Data'!$A$1:$A$20000,0),MATCH("CPC*",'Semrush Data'!$A$1:$Z$1,0)),"")</f>
        <v/>
      </c>
      <c r="J898" s="42">
        <f>IFERROR(INDEX('Semrush Data'!$A$1:$Z$20000,MATCH(A898,'Semrush Data'!$A$1:$A$20000,0),MATCH("Intent",'Semrush Data'!$A$1:$Z$1,0)),"")</f>
        <v/>
      </c>
    </row>
    <row r="899" ht="15" customHeight="1" s="37">
      <c r="A899" s="42" t="inlineStr">
        <is>
          <t>davidoff the game uk</t>
        </is>
      </c>
      <c r="B899" s="42" t="inlineStr">
        <is>
          <t>Product + UK</t>
        </is>
      </c>
      <c r="C899" s="42" t="n">
        <v>2</v>
      </c>
      <c r="D899" s="42" t="n">
        <v>9</v>
      </c>
      <c r="E899" s="42" t="n">
        <v>1</v>
      </c>
      <c r="F899" s="42" t="inlineStr">
        <is>
          <t>FR-112</t>
        </is>
      </c>
      <c r="G899" s="55">
        <f>IFERROR(INDEX('Semrush Data'!$A$1:$Z$20000,MATCH(A899,'Semrush Data'!$A$1:$A$20000,0),MATCH("Volume",'Semrush Data'!$A$1:$Z$1,0)),"")</f>
        <v/>
      </c>
      <c r="H899" s="42">
        <f>IFERROR(INDEX('Semrush Data'!$A$1:$Z$20000,MATCH(A899,'Semrush Data'!$A$1:$A$20000,0),MATCH("Keyword Difficulty*",'Semrush Data'!$A$1:$Z$1,0)),"")</f>
        <v/>
      </c>
      <c r="I899" s="56">
        <f>IFERROR(INDEX('Semrush Data'!$A$1:$Z$20000,MATCH(A899,'Semrush Data'!$A$1:$A$20000,0),MATCH("CPC*",'Semrush Data'!$A$1:$Z$1,0)),"")</f>
        <v/>
      </c>
      <c r="J899" s="42">
        <f>IFERROR(INDEX('Semrush Data'!$A$1:$Z$20000,MATCH(A899,'Semrush Data'!$A$1:$A$20000,0),MATCH("Intent",'Semrush Data'!$A$1:$Z$1,0)),"")</f>
        <v/>
      </c>
    </row>
    <row r="900" ht="15" customHeight="1" s="37">
      <c r="A900" s="42" t="inlineStr">
        <is>
          <t>deyga 10% vitamin c face serum uk</t>
        </is>
      </c>
      <c r="B900" s="42" t="inlineStr">
        <is>
          <t>Product + UK</t>
        </is>
      </c>
      <c r="C900" s="42" t="n">
        <v>2</v>
      </c>
      <c r="D900" s="42" t="n">
        <v>9</v>
      </c>
      <c r="E900" s="42" t="n">
        <v>1</v>
      </c>
      <c r="F900" s="42" t="inlineStr">
        <is>
          <t>VD-134</t>
        </is>
      </c>
      <c r="G900" s="55">
        <f>IFERROR(INDEX('Semrush Data'!$A$1:$Z$20000,MATCH(A900,'Semrush Data'!$A$1:$A$20000,0),MATCH("Volume",'Semrush Data'!$A$1:$Z$1,0)),"")</f>
        <v/>
      </c>
      <c r="H900" s="42">
        <f>IFERROR(INDEX('Semrush Data'!$A$1:$Z$20000,MATCH(A900,'Semrush Data'!$A$1:$A$20000,0),MATCH("Keyword Difficulty*",'Semrush Data'!$A$1:$Z$1,0)),"")</f>
        <v/>
      </c>
      <c r="I900" s="56">
        <f>IFERROR(INDEX('Semrush Data'!$A$1:$Z$20000,MATCH(A900,'Semrush Data'!$A$1:$A$20000,0),MATCH("CPC*",'Semrush Data'!$A$1:$Z$1,0)),"")</f>
        <v/>
      </c>
      <c r="J900" s="42">
        <f>IFERROR(INDEX('Semrush Data'!$A$1:$Z$20000,MATCH(A900,'Semrush Data'!$A$1:$A$20000,0),MATCH("Intent",'Semrush Data'!$A$1:$Z$1,0)),"")</f>
        <v/>
      </c>
    </row>
    <row r="901" ht="15" customHeight="1" s="37">
      <c r="A901" s="42" t="inlineStr">
        <is>
          <t>deyga 2% hyaluronic acid serum uk</t>
        </is>
      </c>
      <c r="B901" s="42" t="inlineStr">
        <is>
          <t>Product + UK</t>
        </is>
      </c>
      <c r="C901" s="42" t="n">
        <v>2</v>
      </c>
      <c r="D901" s="42" t="n">
        <v>9</v>
      </c>
      <c r="E901" s="42" t="n">
        <v>1</v>
      </c>
      <c r="F901" s="42" t="inlineStr">
        <is>
          <t>VD-087</t>
        </is>
      </c>
      <c r="G901" s="55">
        <f>IFERROR(INDEX('Semrush Data'!$A$1:$Z$20000,MATCH(A901,'Semrush Data'!$A$1:$A$20000,0),MATCH("Volume",'Semrush Data'!$A$1:$Z$1,0)),"")</f>
        <v/>
      </c>
      <c r="H901" s="42">
        <f>IFERROR(INDEX('Semrush Data'!$A$1:$Z$20000,MATCH(A901,'Semrush Data'!$A$1:$A$20000,0),MATCH("Keyword Difficulty*",'Semrush Data'!$A$1:$Z$1,0)),"")</f>
        <v/>
      </c>
      <c r="I901" s="56">
        <f>IFERROR(INDEX('Semrush Data'!$A$1:$Z$20000,MATCH(A901,'Semrush Data'!$A$1:$A$20000,0),MATCH("CPC*",'Semrush Data'!$A$1:$Z$1,0)),"")</f>
        <v/>
      </c>
      <c r="J901" s="42">
        <f>IFERROR(INDEX('Semrush Data'!$A$1:$Z$20000,MATCH(A901,'Semrush Data'!$A$1:$A$20000,0),MATCH("Intent",'Semrush Data'!$A$1:$Z$1,0)),"")</f>
        <v/>
      </c>
    </row>
    <row r="902" ht="15" customHeight="1" s="37">
      <c r="A902" s="42" t="inlineStr">
        <is>
          <t>deyga abc kit uk</t>
        </is>
      </c>
      <c r="B902" s="42" t="inlineStr">
        <is>
          <t>Product + UK</t>
        </is>
      </c>
      <c r="C902" s="42" t="n">
        <v>2</v>
      </c>
      <c r="D902" s="42" t="n">
        <v>10</v>
      </c>
      <c r="E902" s="42" t="n">
        <v>1</v>
      </c>
      <c r="F902" s="42" t="inlineStr">
        <is>
          <t>VD-149</t>
        </is>
      </c>
      <c r="G902" s="55">
        <f>IFERROR(INDEX('Semrush Data'!$A$1:$Z$20000,MATCH(A902,'Semrush Data'!$A$1:$A$20000,0),MATCH("Volume",'Semrush Data'!$A$1:$Z$1,0)),"")</f>
        <v/>
      </c>
      <c r="H902" s="42">
        <f>IFERROR(INDEX('Semrush Data'!$A$1:$Z$20000,MATCH(A902,'Semrush Data'!$A$1:$A$20000,0),MATCH("Keyword Difficulty*",'Semrush Data'!$A$1:$Z$1,0)),"")</f>
        <v/>
      </c>
      <c r="I902" s="56">
        <f>IFERROR(INDEX('Semrush Data'!$A$1:$Z$20000,MATCH(A902,'Semrush Data'!$A$1:$A$20000,0),MATCH("CPC*",'Semrush Data'!$A$1:$Z$1,0)),"")</f>
        <v/>
      </c>
      <c r="J902" s="42">
        <f>IFERROR(INDEX('Semrush Data'!$A$1:$Z$20000,MATCH(A902,'Semrush Data'!$A$1:$A$20000,0),MATCH("Intent",'Semrush Data'!$A$1:$Z$1,0)),"")</f>
        <v/>
      </c>
    </row>
    <row r="903" ht="15" customHeight="1" s="37">
      <c r="A903" s="42" t="inlineStr">
        <is>
          <t>deyga acne relief combo uk</t>
        </is>
      </c>
      <c r="B903" s="42" t="inlineStr">
        <is>
          <t>Product + UK</t>
        </is>
      </c>
      <c r="C903" s="42" t="n">
        <v>2</v>
      </c>
      <c r="D903" s="42" t="n">
        <v>10</v>
      </c>
      <c r="E903" s="42" t="n">
        <v>1</v>
      </c>
      <c r="F903" s="42" t="inlineStr">
        <is>
          <t>VD-138</t>
        </is>
      </c>
      <c r="G903" s="55">
        <f>IFERROR(INDEX('Semrush Data'!$A$1:$Z$20000,MATCH(A903,'Semrush Data'!$A$1:$A$20000,0),MATCH("Volume",'Semrush Data'!$A$1:$Z$1,0)),"")</f>
        <v/>
      </c>
      <c r="H903" s="42">
        <f>IFERROR(INDEX('Semrush Data'!$A$1:$Z$20000,MATCH(A903,'Semrush Data'!$A$1:$A$20000,0),MATCH("Keyword Difficulty*",'Semrush Data'!$A$1:$Z$1,0)),"")</f>
        <v/>
      </c>
      <c r="I903" s="56">
        <f>IFERROR(INDEX('Semrush Data'!$A$1:$Z$20000,MATCH(A903,'Semrush Data'!$A$1:$A$20000,0),MATCH("CPC*",'Semrush Data'!$A$1:$Z$1,0)),"")</f>
        <v/>
      </c>
      <c r="J903" s="42">
        <f>IFERROR(INDEX('Semrush Data'!$A$1:$Z$20000,MATCH(A903,'Semrush Data'!$A$1:$A$20000,0),MATCH("Intent",'Semrush Data'!$A$1:$Z$1,0)),"")</f>
        <v/>
      </c>
    </row>
    <row r="904" ht="15" customHeight="1" s="37">
      <c r="A904" s="42" t="inlineStr">
        <is>
          <t>deyga acne vanishing combo uk</t>
        </is>
      </c>
      <c r="B904" s="42" t="inlineStr">
        <is>
          <t>Product + UK</t>
        </is>
      </c>
      <c r="C904" s="42" t="n">
        <v>2</v>
      </c>
      <c r="D904" s="42" t="n">
        <v>10</v>
      </c>
      <c r="E904" s="42" t="n">
        <v>1</v>
      </c>
      <c r="F904" s="42" t="inlineStr">
        <is>
          <t>VD-139</t>
        </is>
      </c>
      <c r="G904" s="55">
        <f>IFERROR(INDEX('Semrush Data'!$A$1:$Z$20000,MATCH(A904,'Semrush Data'!$A$1:$A$20000,0),MATCH("Volume",'Semrush Data'!$A$1:$Z$1,0)),"")</f>
        <v/>
      </c>
      <c r="H904" s="42">
        <f>IFERROR(INDEX('Semrush Data'!$A$1:$Z$20000,MATCH(A904,'Semrush Data'!$A$1:$A$20000,0),MATCH("Keyword Difficulty*",'Semrush Data'!$A$1:$Z$1,0)),"")</f>
        <v/>
      </c>
      <c r="I904" s="56">
        <f>IFERROR(INDEX('Semrush Data'!$A$1:$Z$20000,MATCH(A904,'Semrush Data'!$A$1:$A$20000,0),MATCH("CPC*",'Semrush Data'!$A$1:$Z$1,0)),"")</f>
        <v/>
      </c>
      <c r="J904" s="42">
        <f>IFERROR(INDEX('Semrush Data'!$A$1:$Z$20000,MATCH(A904,'Semrush Data'!$A$1:$A$20000,0),MATCH("Intent",'Semrush Data'!$A$1:$Z$1,0)),"")</f>
        <v/>
      </c>
    </row>
    <row r="905" ht="15" customHeight="1" s="37">
      <c r="A905" s="42" t="inlineStr">
        <is>
          <t>deyga activated charcoal body wash uk</t>
        </is>
      </c>
      <c r="B905" s="42" t="inlineStr">
        <is>
          <t>Product + UK</t>
        </is>
      </c>
      <c r="C905" s="42" t="n">
        <v>2</v>
      </c>
      <c r="D905" s="42" t="n">
        <v>10</v>
      </c>
      <c r="E905" s="42" t="n">
        <v>1</v>
      </c>
      <c r="F905" s="42" t="inlineStr">
        <is>
          <t>VD-084</t>
        </is>
      </c>
      <c r="G905" s="55">
        <f>IFERROR(INDEX('Semrush Data'!$A$1:$Z$20000,MATCH(A905,'Semrush Data'!$A$1:$A$20000,0),MATCH("Volume",'Semrush Data'!$A$1:$Z$1,0)),"")</f>
        <v/>
      </c>
      <c r="H905" s="42">
        <f>IFERROR(INDEX('Semrush Data'!$A$1:$Z$20000,MATCH(A905,'Semrush Data'!$A$1:$A$20000,0),MATCH("Keyword Difficulty*",'Semrush Data'!$A$1:$Z$1,0)),"")</f>
        <v/>
      </c>
      <c r="I905" s="56">
        <f>IFERROR(INDEX('Semrush Data'!$A$1:$Z$20000,MATCH(A905,'Semrush Data'!$A$1:$A$20000,0),MATCH("CPC*",'Semrush Data'!$A$1:$Z$1,0)),"")</f>
        <v/>
      </c>
      <c r="J905" s="42">
        <f>IFERROR(INDEX('Semrush Data'!$A$1:$Z$20000,MATCH(A905,'Semrush Data'!$A$1:$A$20000,0),MATCH("Intent",'Semrush Data'!$A$1:$Z$1,0)),"")</f>
        <v/>
      </c>
    </row>
    <row r="906" ht="15" customHeight="1" s="37">
      <c r="A906" s="42" t="inlineStr">
        <is>
          <t>deyga almond milk body lotion uk</t>
        </is>
      </c>
      <c r="B906" s="42" t="inlineStr">
        <is>
          <t>Product + UK</t>
        </is>
      </c>
      <c r="C906" s="42" t="n">
        <v>2</v>
      </c>
      <c r="D906" s="42" t="n">
        <v>10</v>
      </c>
      <c r="E906" s="42" t="n">
        <v>1</v>
      </c>
      <c r="F906" s="42" t="inlineStr">
        <is>
          <t>VD-114</t>
        </is>
      </c>
      <c r="G906" s="55">
        <f>IFERROR(INDEX('Semrush Data'!$A$1:$Z$20000,MATCH(A906,'Semrush Data'!$A$1:$A$20000,0),MATCH("Volume",'Semrush Data'!$A$1:$Z$1,0)),"")</f>
        <v/>
      </c>
      <c r="H906" s="42">
        <f>IFERROR(INDEX('Semrush Data'!$A$1:$Z$20000,MATCH(A906,'Semrush Data'!$A$1:$A$20000,0),MATCH("Keyword Difficulty*",'Semrush Data'!$A$1:$Z$1,0)),"")</f>
        <v/>
      </c>
      <c r="I906" s="56">
        <f>IFERROR(INDEX('Semrush Data'!$A$1:$Z$20000,MATCH(A906,'Semrush Data'!$A$1:$A$20000,0),MATCH("CPC*",'Semrush Data'!$A$1:$Z$1,0)),"")</f>
        <v/>
      </c>
      <c r="J906" s="42">
        <f>IFERROR(INDEX('Semrush Data'!$A$1:$Z$20000,MATCH(A906,'Semrush Data'!$A$1:$A$20000,0),MATCH("Intent",'Semrush Data'!$A$1:$Z$1,0)),"")</f>
        <v/>
      </c>
    </row>
    <row r="907" ht="15" customHeight="1" s="37">
      <c r="A907" s="42" t="inlineStr">
        <is>
          <t>deyga anti dandruff shampoo uk</t>
        </is>
      </c>
      <c r="B907" s="42" t="inlineStr">
        <is>
          <t>Product + UK</t>
        </is>
      </c>
      <c r="C907" s="42" t="n">
        <v>2</v>
      </c>
      <c r="D907" s="42" t="n">
        <v>10</v>
      </c>
      <c r="E907" s="42" t="n">
        <v>1</v>
      </c>
      <c r="F907" s="42" t="inlineStr">
        <is>
          <t>VD-130</t>
        </is>
      </c>
      <c r="G907" s="55">
        <f>IFERROR(INDEX('Semrush Data'!$A$1:$Z$20000,MATCH(A907,'Semrush Data'!$A$1:$A$20000,0),MATCH("Volume",'Semrush Data'!$A$1:$Z$1,0)),"")</f>
        <v/>
      </c>
      <c r="H907" s="42">
        <f>IFERROR(INDEX('Semrush Data'!$A$1:$Z$20000,MATCH(A907,'Semrush Data'!$A$1:$A$20000,0),MATCH("Keyword Difficulty*",'Semrush Data'!$A$1:$Z$1,0)),"")</f>
        <v/>
      </c>
      <c r="I907" s="56">
        <f>IFERROR(INDEX('Semrush Data'!$A$1:$Z$20000,MATCH(A907,'Semrush Data'!$A$1:$A$20000,0),MATCH("CPC*",'Semrush Data'!$A$1:$Z$1,0)),"")</f>
        <v/>
      </c>
      <c r="J907" s="42">
        <f>IFERROR(INDEX('Semrush Data'!$A$1:$Z$20000,MATCH(A907,'Semrush Data'!$A$1:$A$20000,0),MATCH("Intent",'Semrush Data'!$A$1:$Z$1,0)),"")</f>
        <v/>
      </c>
    </row>
    <row r="908" ht="15" customHeight="1" s="37">
      <c r="A908" s="42" t="inlineStr">
        <is>
          <t>deyga anti-dandruff oil uk</t>
        </is>
      </c>
      <c r="B908" s="42" t="inlineStr">
        <is>
          <t>Product + UK</t>
        </is>
      </c>
      <c r="C908" s="42" t="n">
        <v>2</v>
      </c>
      <c r="D908" s="42" t="n">
        <v>10</v>
      </c>
      <c r="E908" s="42" t="n">
        <v>1</v>
      </c>
      <c r="F908" s="42" t="inlineStr">
        <is>
          <t>VD-090</t>
        </is>
      </c>
      <c r="G908" s="55">
        <f>IFERROR(INDEX('Semrush Data'!$A$1:$Z$20000,MATCH(A908,'Semrush Data'!$A$1:$A$20000,0),MATCH("Volume",'Semrush Data'!$A$1:$Z$1,0)),"")</f>
        <v/>
      </c>
      <c r="H908" s="42">
        <f>IFERROR(INDEX('Semrush Data'!$A$1:$Z$20000,MATCH(A908,'Semrush Data'!$A$1:$A$20000,0),MATCH("Keyword Difficulty*",'Semrush Data'!$A$1:$Z$1,0)),"")</f>
        <v/>
      </c>
      <c r="I908" s="56">
        <f>IFERROR(INDEX('Semrush Data'!$A$1:$Z$20000,MATCH(A908,'Semrush Data'!$A$1:$A$20000,0),MATCH("CPC*",'Semrush Data'!$A$1:$Z$1,0)),"")</f>
        <v/>
      </c>
      <c r="J908" s="42">
        <f>IFERROR(INDEX('Semrush Data'!$A$1:$Z$20000,MATCH(A908,'Semrush Data'!$A$1:$A$20000,0),MATCH("Intent",'Semrush Data'!$A$1:$Z$1,0)),"")</f>
        <v/>
      </c>
    </row>
    <row r="909" ht="15" customHeight="1" s="37">
      <c r="A909" s="42" t="inlineStr">
        <is>
          <t>deyga baby bath bar uk</t>
        </is>
      </c>
      <c r="B909" s="42" t="inlineStr">
        <is>
          <t>Product + UK</t>
        </is>
      </c>
      <c r="C909" s="42" t="n">
        <v>2</v>
      </c>
      <c r="D909" s="42" t="n">
        <v>10</v>
      </c>
      <c r="E909" s="42" t="n">
        <v>1</v>
      </c>
      <c r="F909" s="42" t="inlineStr">
        <is>
          <t>VD-129</t>
        </is>
      </c>
      <c r="G909" s="55">
        <f>IFERROR(INDEX('Semrush Data'!$A$1:$Z$20000,MATCH(A909,'Semrush Data'!$A$1:$A$20000,0),MATCH("Volume",'Semrush Data'!$A$1:$Z$1,0)),"")</f>
        <v/>
      </c>
      <c r="H909" s="42">
        <f>IFERROR(INDEX('Semrush Data'!$A$1:$Z$20000,MATCH(A909,'Semrush Data'!$A$1:$A$20000,0),MATCH("Keyword Difficulty*",'Semrush Data'!$A$1:$Z$1,0)),"")</f>
        <v/>
      </c>
      <c r="I909" s="56">
        <f>IFERROR(INDEX('Semrush Data'!$A$1:$Z$20000,MATCH(A909,'Semrush Data'!$A$1:$A$20000,0),MATCH("CPC*",'Semrush Data'!$A$1:$Z$1,0)),"")</f>
        <v/>
      </c>
      <c r="J909" s="42">
        <f>IFERROR(INDEX('Semrush Data'!$A$1:$Z$20000,MATCH(A909,'Semrush Data'!$A$1:$A$20000,0),MATCH("Intent",'Semrush Data'!$A$1:$Z$1,0)),"")</f>
        <v/>
      </c>
    </row>
    <row r="910" ht="15" customHeight="1" s="37">
      <c r="A910" s="42" t="inlineStr">
        <is>
          <t>deyga beautifying serum uk</t>
        </is>
      </c>
      <c r="B910" s="42" t="inlineStr">
        <is>
          <t>Product + UK</t>
        </is>
      </c>
      <c r="C910" s="42" t="n">
        <v>2</v>
      </c>
      <c r="D910" s="42" t="n">
        <v>10</v>
      </c>
      <c r="E910" s="42" t="n">
        <v>1</v>
      </c>
      <c r="F910" s="42" t="inlineStr">
        <is>
          <t>VD-120</t>
        </is>
      </c>
      <c r="G910" s="55">
        <f>IFERROR(INDEX('Semrush Data'!$A$1:$Z$20000,MATCH(A910,'Semrush Data'!$A$1:$A$20000,0),MATCH("Volume",'Semrush Data'!$A$1:$Z$1,0)),"")</f>
        <v/>
      </c>
      <c r="H910" s="42">
        <f>IFERROR(INDEX('Semrush Data'!$A$1:$Z$20000,MATCH(A910,'Semrush Data'!$A$1:$A$20000,0),MATCH("Keyword Difficulty*",'Semrush Data'!$A$1:$Z$1,0)),"")</f>
        <v/>
      </c>
      <c r="I910" s="56">
        <f>IFERROR(INDEX('Semrush Data'!$A$1:$Z$20000,MATCH(A910,'Semrush Data'!$A$1:$A$20000,0),MATCH("CPC*",'Semrush Data'!$A$1:$Z$1,0)),"")</f>
        <v/>
      </c>
      <c r="J910" s="42">
        <f>IFERROR(INDEX('Semrush Data'!$A$1:$Z$20000,MATCH(A910,'Semrush Data'!$A$1:$A$20000,0),MATCH("Intent",'Semrush Data'!$A$1:$Z$1,0)),"")</f>
        <v/>
      </c>
    </row>
    <row r="911" ht="15" customHeight="1" s="37">
      <c r="A911" s="42" t="inlineStr">
        <is>
          <t>deyga beetroot lip balm classic uk</t>
        </is>
      </c>
      <c r="B911" s="42" t="inlineStr">
        <is>
          <t>Product + UK</t>
        </is>
      </c>
      <c r="C911" s="42" t="n">
        <v>2</v>
      </c>
      <c r="D911" s="42" t="n">
        <v>10</v>
      </c>
      <c r="E911" s="42" t="n">
        <v>1</v>
      </c>
      <c r="F911" s="42" t="inlineStr">
        <is>
          <t>VD-132</t>
        </is>
      </c>
      <c r="G911" s="55">
        <f>IFERROR(INDEX('Semrush Data'!$A$1:$Z$20000,MATCH(A911,'Semrush Data'!$A$1:$A$20000,0),MATCH("Volume",'Semrush Data'!$A$1:$Z$1,0)),"")</f>
        <v/>
      </c>
      <c r="H911" s="42">
        <f>IFERROR(INDEX('Semrush Data'!$A$1:$Z$20000,MATCH(A911,'Semrush Data'!$A$1:$A$20000,0),MATCH("Keyword Difficulty*",'Semrush Data'!$A$1:$Z$1,0)),"")</f>
        <v/>
      </c>
      <c r="I911" s="56">
        <f>IFERROR(INDEX('Semrush Data'!$A$1:$Z$20000,MATCH(A911,'Semrush Data'!$A$1:$A$20000,0),MATCH("CPC*",'Semrush Data'!$A$1:$Z$1,0)),"")</f>
        <v/>
      </c>
      <c r="J911" s="42">
        <f>IFERROR(INDEX('Semrush Data'!$A$1:$Z$20000,MATCH(A911,'Semrush Data'!$A$1:$A$20000,0),MATCH("Intent",'Semrush Data'!$A$1:$Z$1,0)),"")</f>
        <v/>
      </c>
    </row>
    <row r="912" ht="15" customHeight="1" s="37">
      <c r="A912" s="42" t="inlineStr">
        <is>
          <t>deyga beetroot lip balm stick uk</t>
        </is>
      </c>
      <c r="B912" s="42" t="inlineStr">
        <is>
          <t>Product + UK</t>
        </is>
      </c>
      <c r="C912" s="42" t="n">
        <v>2</v>
      </c>
      <c r="D912" s="42" t="n">
        <v>10</v>
      </c>
      <c r="E912" s="42" t="n">
        <v>1</v>
      </c>
      <c r="F912" s="42" t="inlineStr">
        <is>
          <t>VD-117</t>
        </is>
      </c>
      <c r="G912" s="55">
        <f>IFERROR(INDEX('Semrush Data'!$A$1:$Z$20000,MATCH(A912,'Semrush Data'!$A$1:$A$20000,0),MATCH("Volume",'Semrush Data'!$A$1:$Z$1,0)),"")</f>
        <v/>
      </c>
      <c r="H912" s="42">
        <f>IFERROR(INDEX('Semrush Data'!$A$1:$Z$20000,MATCH(A912,'Semrush Data'!$A$1:$A$20000,0),MATCH("Keyword Difficulty*",'Semrush Data'!$A$1:$Z$1,0)),"")</f>
        <v/>
      </c>
      <c r="I912" s="56">
        <f>IFERROR(INDEX('Semrush Data'!$A$1:$Z$20000,MATCH(A912,'Semrush Data'!$A$1:$A$20000,0),MATCH("CPC*",'Semrush Data'!$A$1:$Z$1,0)),"")</f>
        <v/>
      </c>
      <c r="J912" s="42">
        <f>IFERROR(INDEX('Semrush Data'!$A$1:$Z$20000,MATCH(A912,'Semrush Data'!$A$1:$A$20000,0),MATCH("Intent",'Semrush Data'!$A$1:$Z$1,0)),"")</f>
        <v/>
      </c>
    </row>
    <row r="913" ht="15" customHeight="1" s="37">
      <c r="A913" s="42" t="inlineStr">
        <is>
          <t>deyga best selling face care kit uk</t>
        </is>
      </c>
      <c r="B913" s="42" t="inlineStr">
        <is>
          <t>Product + UK</t>
        </is>
      </c>
      <c r="C913" s="42" t="n">
        <v>2</v>
      </c>
      <c r="D913" s="42" t="n">
        <v>10</v>
      </c>
      <c r="E913" s="42" t="n">
        <v>1</v>
      </c>
      <c r="F913" s="42" t="inlineStr">
        <is>
          <t>VD-143</t>
        </is>
      </c>
      <c r="G913" s="55">
        <f>IFERROR(INDEX('Semrush Data'!$A$1:$Z$20000,MATCH(A913,'Semrush Data'!$A$1:$A$20000,0),MATCH("Volume",'Semrush Data'!$A$1:$Z$1,0)),"")</f>
        <v/>
      </c>
      <c r="H913" s="42">
        <f>IFERROR(INDEX('Semrush Data'!$A$1:$Z$20000,MATCH(A913,'Semrush Data'!$A$1:$A$20000,0),MATCH("Keyword Difficulty*",'Semrush Data'!$A$1:$Z$1,0)),"")</f>
        <v/>
      </c>
      <c r="I913" s="56">
        <f>IFERROR(INDEX('Semrush Data'!$A$1:$Z$20000,MATCH(A913,'Semrush Data'!$A$1:$A$20000,0),MATCH("CPC*",'Semrush Data'!$A$1:$Z$1,0)),"")</f>
        <v/>
      </c>
      <c r="J913" s="42">
        <f>IFERROR(INDEX('Semrush Data'!$A$1:$Z$20000,MATCH(A913,'Semrush Data'!$A$1:$A$20000,0),MATCH("Intent",'Semrush Data'!$A$1:$Z$1,0)),"")</f>
        <v/>
      </c>
    </row>
    <row r="914" ht="15" customHeight="1" s="37">
      <c r="A914" s="42" t="inlineStr">
        <is>
          <t>deyga body scrub uk</t>
        </is>
      </c>
      <c r="B914" s="42" t="inlineStr">
        <is>
          <t>Product + UK</t>
        </is>
      </c>
      <c r="C914" s="42" t="n">
        <v>2</v>
      </c>
      <c r="D914" s="42" t="n">
        <v>10</v>
      </c>
      <c r="E914" s="42" t="n">
        <v>1</v>
      </c>
      <c r="F914" s="42" t="inlineStr">
        <is>
          <t>VD-085</t>
        </is>
      </c>
      <c r="G914" s="55">
        <f>IFERROR(INDEX('Semrush Data'!$A$1:$Z$20000,MATCH(A914,'Semrush Data'!$A$1:$A$20000,0),MATCH("Volume",'Semrush Data'!$A$1:$Z$1,0)),"")</f>
        <v/>
      </c>
      <c r="H914" s="42">
        <f>IFERROR(INDEX('Semrush Data'!$A$1:$Z$20000,MATCH(A914,'Semrush Data'!$A$1:$A$20000,0),MATCH("Keyword Difficulty*",'Semrush Data'!$A$1:$Z$1,0)),"")</f>
        <v/>
      </c>
      <c r="I914" s="56">
        <f>IFERROR(INDEX('Semrush Data'!$A$1:$Z$20000,MATCH(A914,'Semrush Data'!$A$1:$A$20000,0),MATCH("CPC*",'Semrush Data'!$A$1:$Z$1,0)),"")</f>
        <v/>
      </c>
      <c r="J914" s="42">
        <f>IFERROR(INDEX('Semrush Data'!$A$1:$Z$20000,MATCH(A914,'Semrush Data'!$A$1:$A$20000,0),MATCH("Intent",'Semrush Data'!$A$1:$Z$1,0)),"")</f>
        <v/>
      </c>
    </row>
    <row r="915" ht="15" customHeight="1" s="37">
      <c r="A915" s="42" t="inlineStr">
        <is>
          <t>deyga charcoal bath bar uk</t>
        </is>
      </c>
      <c r="B915" s="42" t="inlineStr">
        <is>
          <t>Product + UK</t>
        </is>
      </c>
      <c r="C915" s="42" t="n">
        <v>2</v>
      </c>
      <c r="D915" s="42" t="n">
        <v>10</v>
      </c>
      <c r="E915" s="42" t="n">
        <v>1</v>
      </c>
      <c r="F915" s="42" t="inlineStr">
        <is>
          <t>VD-121</t>
        </is>
      </c>
      <c r="G915" s="55">
        <f>IFERROR(INDEX('Semrush Data'!$A$1:$Z$20000,MATCH(A915,'Semrush Data'!$A$1:$A$20000,0),MATCH("Volume",'Semrush Data'!$A$1:$Z$1,0)),"")</f>
        <v/>
      </c>
      <c r="H915" s="42">
        <f>IFERROR(INDEX('Semrush Data'!$A$1:$Z$20000,MATCH(A915,'Semrush Data'!$A$1:$A$20000,0),MATCH("Keyword Difficulty*",'Semrush Data'!$A$1:$Z$1,0)),"")</f>
        <v/>
      </c>
      <c r="I915" s="56">
        <f>IFERROR(INDEX('Semrush Data'!$A$1:$Z$20000,MATCH(A915,'Semrush Data'!$A$1:$A$20000,0),MATCH("CPC*",'Semrush Data'!$A$1:$Z$1,0)),"")</f>
        <v/>
      </c>
      <c r="J915" s="42">
        <f>IFERROR(INDEX('Semrush Data'!$A$1:$Z$20000,MATCH(A915,'Semrush Data'!$A$1:$A$20000,0),MATCH("Intent",'Semrush Data'!$A$1:$Z$1,0)),"")</f>
        <v/>
      </c>
    </row>
    <row r="916" ht="15" customHeight="1" s="37">
      <c r="A916" s="42" t="inlineStr">
        <is>
          <t>deyga charcoal detox face mask uk</t>
        </is>
      </c>
      <c r="B916" s="42" t="inlineStr">
        <is>
          <t>Product + UK</t>
        </is>
      </c>
      <c r="C916" s="42" t="n">
        <v>2</v>
      </c>
      <c r="D916" s="42" t="n">
        <v>10</v>
      </c>
      <c r="E916" s="42" t="n">
        <v>1</v>
      </c>
      <c r="F916" s="42" t="inlineStr">
        <is>
          <t>VD-083</t>
        </is>
      </c>
      <c r="G916" s="55">
        <f>IFERROR(INDEX('Semrush Data'!$A$1:$Z$20000,MATCH(A916,'Semrush Data'!$A$1:$A$20000,0),MATCH("Volume",'Semrush Data'!$A$1:$Z$1,0)),"")</f>
        <v/>
      </c>
      <c r="H916" s="42">
        <f>IFERROR(INDEX('Semrush Data'!$A$1:$Z$20000,MATCH(A916,'Semrush Data'!$A$1:$A$20000,0),MATCH("Keyword Difficulty*",'Semrush Data'!$A$1:$Z$1,0)),"")</f>
        <v/>
      </c>
      <c r="I916" s="56">
        <f>IFERROR(INDEX('Semrush Data'!$A$1:$Z$20000,MATCH(A916,'Semrush Data'!$A$1:$A$20000,0),MATCH("CPC*",'Semrush Data'!$A$1:$Z$1,0)),"")</f>
        <v/>
      </c>
      <c r="J916" s="42">
        <f>IFERROR(INDEX('Semrush Data'!$A$1:$Z$20000,MATCH(A916,'Semrush Data'!$A$1:$A$20000,0),MATCH("Intent",'Semrush Data'!$A$1:$Z$1,0)),"")</f>
        <v/>
      </c>
    </row>
    <row r="917" ht="15" customHeight="1" s="37">
      <c r="A917" s="42" t="inlineStr">
        <is>
          <t>deyga charcoal face wash uk</t>
        </is>
      </c>
      <c r="B917" s="42" t="inlineStr">
        <is>
          <t>Product + UK</t>
        </is>
      </c>
      <c r="C917" s="42" t="n">
        <v>2</v>
      </c>
      <c r="D917" s="42" t="n">
        <v>10</v>
      </c>
      <c r="E917" s="42" t="n">
        <v>1</v>
      </c>
      <c r="F917" s="42" t="inlineStr">
        <is>
          <t>VD-123</t>
        </is>
      </c>
      <c r="G917" s="55">
        <f>IFERROR(INDEX('Semrush Data'!$A$1:$Z$20000,MATCH(A917,'Semrush Data'!$A$1:$A$20000,0),MATCH("Volume",'Semrush Data'!$A$1:$Z$1,0)),"")</f>
        <v/>
      </c>
      <c r="H917" s="42">
        <f>IFERROR(INDEX('Semrush Data'!$A$1:$Z$20000,MATCH(A917,'Semrush Data'!$A$1:$A$20000,0),MATCH("Keyword Difficulty*",'Semrush Data'!$A$1:$Z$1,0)),"")</f>
        <v/>
      </c>
      <c r="I917" s="56">
        <f>IFERROR(INDEX('Semrush Data'!$A$1:$Z$20000,MATCH(A917,'Semrush Data'!$A$1:$A$20000,0),MATCH("CPC*",'Semrush Data'!$A$1:$Z$1,0)),"")</f>
        <v/>
      </c>
      <c r="J917" s="42">
        <f>IFERROR(INDEX('Semrush Data'!$A$1:$Z$20000,MATCH(A917,'Semrush Data'!$A$1:$A$20000,0),MATCH("Intent",'Semrush Data'!$A$1:$Z$1,0)),"")</f>
        <v/>
      </c>
    </row>
    <row r="918" ht="15" customHeight="1" s="37">
      <c r="A918" s="42" t="inlineStr">
        <is>
          <t>deyga chocolate body butter uk</t>
        </is>
      </c>
      <c r="B918" s="42" t="inlineStr">
        <is>
          <t>Product + UK</t>
        </is>
      </c>
      <c r="C918" s="42" t="n">
        <v>2</v>
      </c>
      <c r="D918" s="42" t="n">
        <v>10</v>
      </c>
      <c r="E918" s="42" t="n">
        <v>1</v>
      </c>
      <c r="F918" s="42" t="inlineStr">
        <is>
          <t>VD-082</t>
        </is>
      </c>
      <c r="G918" s="55">
        <f>IFERROR(INDEX('Semrush Data'!$A$1:$Z$20000,MATCH(A918,'Semrush Data'!$A$1:$A$20000,0),MATCH("Volume",'Semrush Data'!$A$1:$Z$1,0)),"")</f>
        <v/>
      </c>
      <c r="H918" s="42">
        <f>IFERROR(INDEX('Semrush Data'!$A$1:$Z$20000,MATCH(A918,'Semrush Data'!$A$1:$A$20000,0),MATCH("Keyword Difficulty*",'Semrush Data'!$A$1:$Z$1,0)),"")</f>
        <v/>
      </c>
      <c r="I918" s="56">
        <f>IFERROR(INDEX('Semrush Data'!$A$1:$Z$20000,MATCH(A918,'Semrush Data'!$A$1:$A$20000,0),MATCH("CPC*",'Semrush Data'!$A$1:$Z$1,0)),"")</f>
        <v/>
      </c>
      <c r="J918" s="42">
        <f>IFERROR(INDEX('Semrush Data'!$A$1:$Z$20000,MATCH(A918,'Semrush Data'!$A$1:$A$20000,0),MATCH("Intent",'Semrush Data'!$A$1:$Z$1,0)),"")</f>
        <v/>
      </c>
    </row>
    <row r="919" ht="15" customHeight="1" s="37">
      <c r="A919" s="42" t="inlineStr">
        <is>
          <t>deyga clear skin kit uk</t>
        </is>
      </c>
      <c r="B919" s="42" t="inlineStr">
        <is>
          <t>Product + UK</t>
        </is>
      </c>
      <c r="C919" s="42" t="n">
        <v>2</v>
      </c>
      <c r="D919" s="42" t="n">
        <v>10</v>
      </c>
      <c r="E919" s="42" t="n">
        <v>1</v>
      </c>
      <c r="F919" s="42" t="inlineStr">
        <is>
          <t>VD-142</t>
        </is>
      </c>
      <c r="G919" s="55">
        <f>IFERROR(INDEX('Semrush Data'!$A$1:$Z$20000,MATCH(A919,'Semrush Data'!$A$1:$A$20000,0),MATCH("Volume",'Semrush Data'!$A$1:$Z$1,0)),"")</f>
        <v/>
      </c>
      <c r="H919" s="42">
        <f>IFERROR(INDEX('Semrush Data'!$A$1:$Z$20000,MATCH(A919,'Semrush Data'!$A$1:$A$20000,0),MATCH("Keyword Difficulty*",'Semrush Data'!$A$1:$Z$1,0)),"")</f>
        <v/>
      </c>
      <c r="I919" s="56">
        <f>IFERROR(INDEX('Semrush Data'!$A$1:$Z$20000,MATCH(A919,'Semrush Data'!$A$1:$A$20000,0),MATCH("CPC*",'Semrush Data'!$A$1:$Z$1,0)),"")</f>
        <v/>
      </c>
      <c r="J919" s="42">
        <f>IFERROR(INDEX('Semrush Data'!$A$1:$Z$20000,MATCH(A919,'Semrush Data'!$A$1:$A$20000,0),MATCH("Intent",'Semrush Data'!$A$1:$Z$1,0)),"")</f>
        <v/>
      </c>
    </row>
    <row r="920" ht="15" customHeight="1" s="37">
      <c r="A920" s="42" t="inlineStr">
        <is>
          <t>deyga daily essential kit uk</t>
        </is>
      </c>
      <c r="B920" s="42" t="inlineStr">
        <is>
          <t>Product + UK</t>
        </is>
      </c>
      <c r="C920" s="42" t="n">
        <v>2</v>
      </c>
      <c r="D920" s="42" t="n">
        <v>10</v>
      </c>
      <c r="E920" s="42" t="n">
        <v>1</v>
      </c>
      <c r="F920" s="42" t="inlineStr">
        <is>
          <t>VD-141</t>
        </is>
      </c>
      <c r="G920" s="55">
        <f>IFERROR(INDEX('Semrush Data'!$A$1:$Z$20000,MATCH(A920,'Semrush Data'!$A$1:$A$20000,0),MATCH("Volume",'Semrush Data'!$A$1:$Z$1,0)),"")</f>
        <v/>
      </c>
      <c r="H920" s="42">
        <f>IFERROR(INDEX('Semrush Data'!$A$1:$Z$20000,MATCH(A920,'Semrush Data'!$A$1:$A$20000,0),MATCH("Keyword Difficulty*",'Semrush Data'!$A$1:$Z$1,0)),"")</f>
        <v/>
      </c>
      <c r="I920" s="56">
        <f>IFERROR(INDEX('Semrush Data'!$A$1:$Z$20000,MATCH(A920,'Semrush Data'!$A$1:$A$20000,0),MATCH("CPC*",'Semrush Data'!$A$1:$Z$1,0)),"")</f>
        <v/>
      </c>
      <c r="J920" s="42">
        <f>IFERROR(INDEX('Semrush Data'!$A$1:$Z$20000,MATCH(A920,'Semrush Data'!$A$1:$A$20000,0),MATCH("Intent",'Semrush Data'!$A$1:$Z$1,0)),"")</f>
        <v/>
      </c>
    </row>
    <row r="921" ht="15" customHeight="1" s="37">
      <c r="A921" s="42" t="inlineStr">
        <is>
          <t>deyga daily use healthy hair kit uk</t>
        </is>
      </c>
      <c r="B921" s="42" t="inlineStr">
        <is>
          <t>Product + UK</t>
        </is>
      </c>
      <c r="C921" s="42" t="n">
        <v>2</v>
      </c>
      <c r="D921" s="42" t="n">
        <v>10</v>
      </c>
      <c r="E921" s="42" t="n">
        <v>1</v>
      </c>
      <c r="F921" s="42" t="inlineStr">
        <is>
          <t>VD-159</t>
        </is>
      </c>
      <c r="G921" s="55">
        <f>IFERROR(INDEX('Semrush Data'!$A$1:$Z$20000,MATCH(A921,'Semrush Data'!$A$1:$A$20000,0),MATCH("Volume",'Semrush Data'!$A$1:$Z$1,0)),"")</f>
        <v/>
      </c>
      <c r="H921" s="42">
        <f>IFERROR(INDEX('Semrush Data'!$A$1:$Z$20000,MATCH(A921,'Semrush Data'!$A$1:$A$20000,0),MATCH("Keyword Difficulty*",'Semrush Data'!$A$1:$Z$1,0)),"")</f>
        <v/>
      </c>
      <c r="I921" s="56">
        <f>IFERROR(INDEX('Semrush Data'!$A$1:$Z$20000,MATCH(A921,'Semrush Data'!$A$1:$A$20000,0),MATCH("CPC*",'Semrush Data'!$A$1:$Z$1,0)),"")</f>
        <v/>
      </c>
      <c r="J921" s="42">
        <f>IFERROR(INDEX('Semrush Data'!$A$1:$Z$20000,MATCH(A921,'Semrush Data'!$A$1:$A$20000,0),MATCH("Intent",'Semrush Data'!$A$1:$Z$1,0)),"")</f>
        <v/>
      </c>
    </row>
    <row r="922" ht="15" customHeight="1" s="37">
      <c r="A922" s="42" t="inlineStr">
        <is>
          <t>deyga de- tan &amp; pigmentation kit uk</t>
        </is>
      </c>
      <c r="B922" s="42" t="inlineStr">
        <is>
          <t>Product + UK</t>
        </is>
      </c>
      <c r="C922" s="42" t="n">
        <v>2</v>
      </c>
      <c r="D922" s="42" t="n">
        <v>10</v>
      </c>
      <c r="E922" s="42" t="n">
        <v>1</v>
      </c>
      <c r="F922" s="42" t="inlineStr">
        <is>
          <t>VD-157</t>
        </is>
      </c>
      <c r="G922" s="55">
        <f>IFERROR(INDEX('Semrush Data'!$A$1:$Z$20000,MATCH(A922,'Semrush Data'!$A$1:$A$20000,0),MATCH("Volume",'Semrush Data'!$A$1:$Z$1,0)),"")</f>
        <v/>
      </c>
      <c r="H922" s="42">
        <f>IFERROR(INDEX('Semrush Data'!$A$1:$Z$20000,MATCH(A922,'Semrush Data'!$A$1:$A$20000,0),MATCH("Keyword Difficulty*",'Semrush Data'!$A$1:$Z$1,0)),"")</f>
        <v/>
      </c>
      <c r="I922" s="56">
        <f>IFERROR(INDEX('Semrush Data'!$A$1:$Z$20000,MATCH(A922,'Semrush Data'!$A$1:$A$20000,0),MATCH("CPC*",'Semrush Data'!$A$1:$Z$1,0)),"")</f>
        <v/>
      </c>
      <c r="J922" s="42">
        <f>IFERROR(INDEX('Semrush Data'!$A$1:$Z$20000,MATCH(A922,'Semrush Data'!$A$1:$A$20000,0),MATCH("Intent",'Semrush Data'!$A$1:$Z$1,0)),"")</f>
        <v/>
      </c>
    </row>
    <row r="923" ht="15" customHeight="1" s="37">
      <c r="A923" s="42" t="inlineStr">
        <is>
          <t>deyga deep moisturising face cream uk</t>
        </is>
      </c>
      <c r="B923" s="42" t="inlineStr">
        <is>
          <t>Product + UK</t>
        </is>
      </c>
      <c r="C923" s="42" t="n">
        <v>2</v>
      </c>
      <c r="D923" s="42" t="n">
        <v>10</v>
      </c>
      <c r="E923" s="42" t="n">
        <v>1</v>
      </c>
      <c r="F923" s="42" t="inlineStr">
        <is>
          <t>VD-086</t>
        </is>
      </c>
      <c r="G923" s="55">
        <f>IFERROR(INDEX('Semrush Data'!$A$1:$Z$20000,MATCH(A923,'Semrush Data'!$A$1:$A$20000,0),MATCH("Volume",'Semrush Data'!$A$1:$Z$1,0)),"")</f>
        <v/>
      </c>
      <c r="H923" s="42">
        <f>IFERROR(INDEX('Semrush Data'!$A$1:$Z$20000,MATCH(A923,'Semrush Data'!$A$1:$A$20000,0),MATCH("Keyword Difficulty*",'Semrush Data'!$A$1:$Z$1,0)),"")</f>
        <v/>
      </c>
      <c r="I923" s="56">
        <f>IFERROR(INDEX('Semrush Data'!$A$1:$Z$20000,MATCH(A923,'Semrush Data'!$A$1:$A$20000,0),MATCH("CPC*",'Semrush Data'!$A$1:$Z$1,0)),"")</f>
        <v/>
      </c>
      <c r="J923" s="42">
        <f>IFERROR(INDEX('Semrush Data'!$A$1:$Z$20000,MATCH(A923,'Semrush Data'!$A$1:$A$20000,0),MATCH("Intent",'Semrush Data'!$A$1:$Z$1,0)),"")</f>
        <v/>
      </c>
    </row>
    <row r="924" ht="15" customHeight="1" s="37">
      <c r="A924" s="42" t="inlineStr">
        <is>
          <t>deyga double hydration kit uk</t>
        </is>
      </c>
      <c r="B924" s="42" t="inlineStr">
        <is>
          <t>Product + UK</t>
        </is>
      </c>
      <c r="C924" s="42" t="n">
        <v>2</v>
      </c>
      <c r="D924" s="42" t="n">
        <v>10</v>
      </c>
      <c r="E924" s="42" t="n">
        <v>1</v>
      </c>
      <c r="F924" s="42" t="inlineStr">
        <is>
          <t>VD-155</t>
        </is>
      </c>
      <c r="G924" s="55">
        <f>IFERROR(INDEX('Semrush Data'!$A$1:$Z$20000,MATCH(A924,'Semrush Data'!$A$1:$A$20000,0),MATCH("Volume",'Semrush Data'!$A$1:$Z$1,0)),"")</f>
        <v/>
      </c>
      <c r="H924" s="42">
        <f>IFERROR(INDEX('Semrush Data'!$A$1:$Z$20000,MATCH(A924,'Semrush Data'!$A$1:$A$20000,0),MATCH("Keyword Difficulty*",'Semrush Data'!$A$1:$Z$1,0)),"")</f>
        <v/>
      </c>
      <c r="I924" s="56">
        <f>IFERROR(INDEX('Semrush Data'!$A$1:$Z$20000,MATCH(A924,'Semrush Data'!$A$1:$A$20000,0),MATCH("CPC*",'Semrush Data'!$A$1:$Z$1,0)),"")</f>
        <v/>
      </c>
      <c r="J924" s="42">
        <f>IFERROR(INDEX('Semrush Data'!$A$1:$Z$20000,MATCH(A924,'Semrush Data'!$A$1:$A$20000,0),MATCH("Intent",'Semrush Data'!$A$1:$Z$1,0)),"")</f>
        <v/>
      </c>
    </row>
    <row r="925" ht="15" customHeight="1" s="37">
      <c r="A925" s="42" t="inlineStr">
        <is>
          <t>deyga eyebrow growth oil uk</t>
        </is>
      </c>
      <c r="B925" s="42" t="inlineStr">
        <is>
          <t>Product + UK</t>
        </is>
      </c>
      <c r="C925" s="42" t="n">
        <v>2</v>
      </c>
      <c r="D925" s="42" t="n">
        <v>10</v>
      </c>
      <c r="E925" s="42" t="n">
        <v>1</v>
      </c>
      <c r="F925" s="42" t="inlineStr">
        <is>
          <t>VD-104</t>
        </is>
      </c>
      <c r="G925" s="55">
        <f>IFERROR(INDEX('Semrush Data'!$A$1:$Z$20000,MATCH(A925,'Semrush Data'!$A$1:$A$20000,0),MATCH("Volume",'Semrush Data'!$A$1:$Z$1,0)),"")</f>
        <v/>
      </c>
      <c r="H925" s="42">
        <f>IFERROR(INDEX('Semrush Data'!$A$1:$Z$20000,MATCH(A925,'Semrush Data'!$A$1:$A$20000,0),MATCH("Keyword Difficulty*",'Semrush Data'!$A$1:$Z$1,0)),"")</f>
        <v/>
      </c>
      <c r="I925" s="56">
        <f>IFERROR(INDEX('Semrush Data'!$A$1:$Z$20000,MATCH(A925,'Semrush Data'!$A$1:$A$20000,0),MATCH("CPC*",'Semrush Data'!$A$1:$Z$1,0)),"")</f>
        <v/>
      </c>
      <c r="J925" s="42">
        <f>IFERROR(INDEX('Semrush Data'!$A$1:$Z$20000,MATCH(A925,'Semrush Data'!$A$1:$A$20000,0),MATCH("Intent",'Semrush Data'!$A$1:$Z$1,0)),"")</f>
        <v/>
      </c>
    </row>
    <row r="926" ht="15" customHeight="1" s="37">
      <c r="A926" s="42" t="inlineStr">
        <is>
          <t>deyga face &amp; body exfoliator powder uk</t>
        </is>
      </c>
      <c r="B926" s="42" t="inlineStr">
        <is>
          <t>Product + UK</t>
        </is>
      </c>
      <c r="C926" s="42" t="n">
        <v>2</v>
      </c>
      <c r="D926" s="42" t="n">
        <v>10</v>
      </c>
      <c r="E926" s="42" t="n">
        <v>1</v>
      </c>
      <c r="F926" s="42" t="inlineStr">
        <is>
          <t>VD-118</t>
        </is>
      </c>
      <c r="G926" s="55">
        <f>IFERROR(INDEX('Semrush Data'!$A$1:$Z$20000,MATCH(A926,'Semrush Data'!$A$1:$A$20000,0),MATCH("Volume",'Semrush Data'!$A$1:$Z$1,0)),"")</f>
        <v/>
      </c>
      <c r="H926" s="42">
        <f>IFERROR(INDEX('Semrush Data'!$A$1:$Z$20000,MATCH(A926,'Semrush Data'!$A$1:$A$20000,0),MATCH("Keyword Difficulty*",'Semrush Data'!$A$1:$Z$1,0)),"")</f>
        <v/>
      </c>
      <c r="I926" s="56">
        <f>IFERROR(INDEX('Semrush Data'!$A$1:$Z$20000,MATCH(A926,'Semrush Data'!$A$1:$A$20000,0),MATCH("CPC*",'Semrush Data'!$A$1:$Z$1,0)),"")</f>
        <v/>
      </c>
      <c r="J926" s="42">
        <f>IFERROR(INDEX('Semrush Data'!$A$1:$Z$20000,MATCH(A926,'Semrush Data'!$A$1:$A$20000,0),MATCH("Intent",'Semrush Data'!$A$1:$Z$1,0)),"")</f>
        <v/>
      </c>
    </row>
    <row r="927" ht="15" customHeight="1" s="37">
      <c r="A927" s="42" t="inlineStr">
        <is>
          <t>deyga foot butter uk</t>
        </is>
      </c>
      <c r="B927" s="42" t="inlineStr">
        <is>
          <t>Product + UK</t>
        </is>
      </c>
      <c r="C927" s="42" t="n">
        <v>2</v>
      </c>
      <c r="D927" s="42" t="n">
        <v>10</v>
      </c>
      <c r="E927" s="42" t="n">
        <v>1</v>
      </c>
      <c r="F927" s="42" t="inlineStr">
        <is>
          <t>VD-128</t>
        </is>
      </c>
      <c r="G927" s="55">
        <f>IFERROR(INDEX('Semrush Data'!$A$1:$Z$20000,MATCH(A927,'Semrush Data'!$A$1:$A$20000,0),MATCH("Volume",'Semrush Data'!$A$1:$Z$1,0)),"")</f>
        <v/>
      </c>
      <c r="H927" s="42">
        <f>IFERROR(INDEX('Semrush Data'!$A$1:$Z$20000,MATCH(A927,'Semrush Data'!$A$1:$A$20000,0),MATCH("Keyword Difficulty*",'Semrush Data'!$A$1:$Z$1,0)),"")</f>
        <v/>
      </c>
      <c r="I927" s="56">
        <f>IFERROR(INDEX('Semrush Data'!$A$1:$Z$20000,MATCH(A927,'Semrush Data'!$A$1:$A$20000,0),MATCH("CPC*",'Semrush Data'!$A$1:$Z$1,0)),"")</f>
        <v/>
      </c>
      <c r="J927" s="42">
        <f>IFERROR(INDEX('Semrush Data'!$A$1:$Z$20000,MATCH(A927,'Semrush Data'!$A$1:$A$20000,0),MATCH("Intent",'Semrush Data'!$A$1:$Z$1,0)),"")</f>
        <v/>
      </c>
    </row>
    <row r="928" ht="15" customHeight="1" s="37">
      <c r="A928" s="42" t="inlineStr">
        <is>
          <t>deyga foot scrub uk</t>
        </is>
      </c>
      <c r="B928" s="42" t="inlineStr">
        <is>
          <t>Product + UK</t>
        </is>
      </c>
      <c r="C928" s="42" t="n">
        <v>2</v>
      </c>
      <c r="D928" s="42" t="n">
        <v>10</v>
      </c>
      <c r="E928" s="42" t="n">
        <v>1</v>
      </c>
      <c r="F928" s="42" t="inlineStr">
        <is>
          <t>VD-103</t>
        </is>
      </c>
      <c r="G928" s="55">
        <f>IFERROR(INDEX('Semrush Data'!$A$1:$Z$20000,MATCH(A928,'Semrush Data'!$A$1:$A$20000,0),MATCH("Volume",'Semrush Data'!$A$1:$Z$1,0)),"")</f>
        <v/>
      </c>
      <c r="H928" s="42">
        <f>IFERROR(INDEX('Semrush Data'!$A$1:$Z$20000,MATCH(A928,'Semrush Data'!$A$1:$A$20000,0),MATCH("Keyword Difficulty*",'Semrush Data'!$A$1:$Z$1,0)),"")</f>
        <v/>
      </c>
      <c r="I928" s="56">
        <f>IFERROR(INDEX('Semrush Data'!$A$1:$Z$20000,MATCH(A928,'Semrush Data'!$A$1:$A$20000,0),MATCH("CPC*",'Semrush Data'!$A$1:$Z$1,0)),"")</f>
        <v/>
      </c>
      <c r="J928" s="42">
        <f>IFERROR(INDEX('Semrush Data'!$A$1:$Z$20000,MATCH(A928,'Semrush Data'!$A$1:$A$20000,0),MATCH("Intent",'Semrush Data'!$A$1:$Z$1,0)),"")</f>
        <v/>
      </c>
    </row>
    <row r="929" ht="15" customHeight="1" s="37">
      <c r="A929" s="42" t="inlineStr">
        <is>
          <t>deyga foot soak powder uk</t>
        </is>
      </c>
      <c r="B929" s="42" t="inlineStr">
        <is>
          <t>Product + UK</t>
        </is>
      </c>
      <c r="C929" s="42" t="n">
        <v>2</v>
      </c>
      <c r="D929" s="42" t="n">
        <v>10</v>
      </c>
      <c r="E929" s="42" t="n">
        <v>1</v>
      </c>
      <c r="F929" s="42" t="inlineStr">
        <is>
          <t>VD-094</t>
        </is>
      </c>
      <c r="G929" s="55">
        <f>IFERROR(INDEX('Semrush Data'!$A$1:$Z$20000,MATCH(A929,'Semrush Data'!$A$1:$A$20000,0),MATCH("Volume",'Semrush Data'!$A$1:$Z$1,0)),"")</f>
        <v/>
      </c>
      <c r="H929" s="42">
        <f>IFERROR(INDEX('Semrush Data'!$A$1:$Z$20000,MATCH(A929,'Semrush Data'!$A$1:$A$20000,0),MATCH("Keyword Difficulty*",'Semrush Data'!$A$1:$Z$1,0)),"")</f>
        <v/>
      </c>
      <c r="I929" s="56">
        <f>IFERROR(INDEX('Semrush Data'!$A$1:$Z$20000,MATCH(A929,'Semrush Data'!$A$1:$A$20000,0),MATCH("CPC*",'Semrush Data'!$A$1:$Z$1,0)),"")</f>
        <v/>
      </c>
      <c r="J929" s="42">
        <f>IFERROR(INDEX('Semrush Data'!$A$1:$Z$20000,MATCH(A929,'Semrush Data'!$A$1:$A$20000,0),MATCH("Intent",'Semrush Data'!$A$1:$Z$1,0)),"")</f>
        <v/>
      </c>
    </row>
    <row r="930" ht="15" customHeight="1" s="37">
      <c r="A930" s="42" t="inlineStr">
        <is>
          <t>deyga game changer face care kit uk</t>
        </is>
      </c>
      <c r="B930" s="42" t="inlineStr">
        <is>
          <t>Product + UK</t>
        </is>
      </c>
      <c r="C930" s="42" t="n">
        <v>2</v>
      </c>
      <c r="D930" s="42" t="n">
        <v>10</v>
      </c>
      <c r="E930" s="42" t="n">
        <v>1</v>
      </c>
      <c r="F930" s="42" t="inlineStr">
        <is>
          <t>VD-158</t>
        </is>
      </c>
      <c r="G930" s="55">
        <f>IFERROR(INDEX('Semrush Data'!$A$1:$Z$20000,MATCH(A930,'Semrush Data'!$A$1:$A$20000,0),MATCH("Volume",'Semrush Data'!$A$1:$Z$1,0)),"")</f>
        <v/>
      </c>
      <c r="H930" s="42">
        <f>IFERROR(INDEX('Semrush Data'!$A$1:$Z$20000,MATCH(A930,'Semrush Data'!$A$1:$A$20000,0),MATCH("Keyword Difficulty*",'Semrush Data'!$A$1:$Z$1,0)),"")</f>
        <v/>
      </c>
      <c r="I930" s="56">
        <f>IFERROR(INDEX('Semrush Data'!$A$1:$Z$20000,MATCH(A930,'Semrush Data'!$A$1:$A$20000,0),MATCH("CPC*",'Semrush Data'!$A$1:$Z$1,0)),"")</f>
        <v/>
      </c>
      <c r="J930" s="42">
        <f>IFERROR(INDEX('Semrush Data'!$A$1:$Z$20000,MATCH(A930,'Semrush Data'!$A$1:$A$20000,0),MATCH("Intent",'Semrush Data'!$A$1:$Z$1,0)),"")</f>
        <v/>
      </c>
    </row>
    <row r="931" ht="15" customHeight="1" s="37">
      <c r="A931" s="42" t="inlineStr">
        <is>
          <t>deyga hair care kit uk</t>
        </is>
      </c>
      <c r="B931" s="42" t="inlineStr">
        <is>
          <t>Product + UK</t>
        </is>
      </c>
      <c r="C931" s="42" t="n">
        <v>2</v>
      </c>
      <c r="D931" s="42" t="n">
        <v>10</v>
      </c>
      <c r="E931" s="42" t="n">
        <v>1</v>
      </c>
      <c r="F931" s="42" t="inlineStr">
        <is>
          <t>VD-151</t>
        </is>
      </c>
      <c r="G931" s="55">
        <f>IFERROR(INDEX('Semrush Data'!$A$1:$Z$20000,MATCH(A931,'Semrush Data'!$A$1:$A$20000,0),MATCH("Volume",'Semrush Data'!$A$1:$Z$1,0)),"")</f>
        <v/>
      </c>
      <c r="H931" s="42">
        <f>IFERROR(INDEX('Semrush Data'!$A$1:$Z$20000,MATCH(A931,'Semrush Data'!$A$1:$A$20000,0),MATCH("Keyword Difficulty*",'Semrush Data'!$A$1:$Z$1,0)),"")</f>
        <v/>
      </c>
      <c r="I931" s="56">
        <f>IFERROR(INDEX('Semrush Data'!$A$1:$Z$20000,MATCH(A931,'Semrush Data'!$A$1:$A$20000,0),MATCH("CPC*",'Semrush Data'!$A$1:$Z$1,0)),"")</f>
        <v/>
      </c>
      <c r="J931" s="42">
        <f>IFERROR(INDEX('Semrush Data'!$A$1:$Z$20000,MATCH(A931,'Semrush Data'!$A$1:$A$20000,0),MATCH("Intent",'Semrush Data'!$A$1:$Z$1,0)),"")</f>
        <v/>
      </c>
    </row>
    <row r="932" ht="15" customHeight="1" s="37">
      <c r="A932" s="42" t="inlineStr">
        <is>
          <t>deyga hair growth oil uk</t>
        </is>
      </c>
      <c r="B932" s="42" t="inlineStr">
        <is>
          <t>Product + UK</t>
        </is>
      </c>
      <c r="C932" s="42" t="n">
        <v>2</v>
      </c>
      <c r="D932" s="42" t="n">
        <v>10</v>
      </c>
      <c r="E932" s="42" t="n">
        <v>1</v>
      </c>
      <c r="F932" s="42" t="inlineStr">
        <is>
          <t>VD-122</t>
        </is>
      </c>
      <c r="G932" s="55">
        <f>IFERROR(INDEX('Semrush Data'!$A$1:$Z$20000,MATCH(A932,'Semrush Data'!$A$1:$A$20000,0),MATCH("Volume",'Semrush Data'!$A$1:$Z$1,0)),"")</f>
        <v/>
      </c>
      <c r="H932" s="42">
        <f>IFERROR(INDEX('Semrush Data'!$A$1:$Z$20000,MATCH(A932,'Semrush Data'!$A$1:$A$20000,0),MATCH("Keyword Difficulty*",'Semrush Data'!$A$1:$Z$1,0)),"")</f>
        <v/>
      </c>
      <c r="I932" s="56">
        <f>IFERROR(INDEX('Semrush Data'!$A$1:$Z$20000,MATCH(A932,'Semrush Data'!$A$1:$A$20000,0),MATCH("CPC*",'Semrush Data'!$A$1:$Z$1,0)),"")</f>
        <v/>
      </c>
      <c r="J932" s="42">
        <f>IFERROR(INDEX('Semrush Data'!$A$1:$Z$20000,MATCH(A932,'Semrush Data'!$A$1:$A$20000,0),MATCH("Intent",'Semrush Data'!$A$1:$Z$1,0)),"")</f>
        <v/>
      </c>
    </row>
    <row r="933" ht="15" customHeight="1" s="37">
      <c r="A933" s="42" t="inlineStr">
        <is>
          <t>deyga hair nourishment kit uk</t>
        </is>
      </c>
      <c r="B933" s="42" t="inlineStr">
        <is>
          <t>Product + UK</t>
        </is>
      </c>
      <c r="C933" s="42" t="n">
        <v>2</v>
      </c>
      <c r="D933" s="42" t="n">
        <v>10</v>
      </c>
      <c r="E933" s="42" t="n">
        <v>1</v>
      </c>
      <c r="F933" s="42" t="inlineStr">
        <is>
          <t>VD-147</t>
        </is>
      </c>
      <c r="G933" s="55">
        <f>IFERROR(INDEX('Semrush Data'!$A$1:$Z$20000,MATCH(A933,'Semrush Data'!$A$1:$A$20000,0),MATCH("Volume",'Semrush Data'!$A$1:$Z$1,0)),"")</f>
        <v/>
      </c>
      <c r="H933" s="42">
        <f>IFERROR(INDEX('Semrush Data'!$A$1:$Z$20000,MATCH(A933,'Semrush Data'!$A$1:$A$20000,0),MATCH("Keyword Difficulty*",'Semrush Data'!$A$1:$Z$1,0)),"")</f>
        <v/>
      </c>
      <c r="I933" s="56">
        <f>IFERROR(INDEX('Semrush Data'!$A$1:$Z$20000,MATCH(A933,'Semrush Data'!$A$1:$A$20000,0),MATCH("CPC*",'Semrush Data'!$A$1:$Z$1,0)),"")</f>
        <v/>
      </c>
      <c r="J933" s="42">
        <f>IFERROR(INDEX('Semrush Data'!$A$1:$Z$20000,MATCH(A933,'Semrush Data'!$A$1:$A$20000,0),MATCH("Intent",'Semrush Data'!$A$1:$Z$1,0)),"")</f>
        <v/>
      </c>
    </row>
    <row r="934" ht="15" customHeight="1" s="37">
      <c r="A934" s="42" t="inlineStr">
        <is>
          <t>deyga hair removal powder uk</t>
        </is>
      </c>
      <c r="B934" s="42" t="inlineStr">
        <is>
          <t>Product + UK</t>
        </is>
      </c>
      <c r="C934" s="42" t="n">
        <v>2</v>
      </c>
      <c r="D934" s="42" t="n">
        <v>10</v>
      </c>
      <c r="E934" s="42" t="n">
        <v>1</v>
      </c>
      <c r="F934" s="42" t="inlineStr">
        <is>
          <t>VD-112</t>
        </is>
      </c>
      <c r="G934" s="55">
        <f>IFERROR(INDEX('Semrush Data'!$A$1:$Z$20000,MATCH(A934,'Semrush Data'!$A$1:$A$20000,0),MATCH("Volume",'Semrush Data'!$A$1:$Z$1,0)),"")</f>
        <v/>
      </c>
      <c r="H934" s="42">
        <f>IFERROR(INDEX('Semrush Data'!$A$1:$Z$20000,MATCH(A934,'Semrush Data'!$A$1:$A$20000,0),MATCH("Keyword Difficulty*",'Semrush Data'!$A$1:$Z$1,0)),"")</f>
        <v/>
      </c>
      <c r="I934" s="56">
        <f>IFERROR(INDEX('Semrush Data'!$A$1:$Z$20000,MATCH(A934,'Semrush Data'!$A$1:$A$20000,0),MATCH("CPC*",'Semrush Data'!$A$1:$Z$1,0)),"")</f>
        <v/>
      </c>
      <c r="J934" s="42">
        <f>IFERROR(INDEX('Semrush Data'!$A$1:$Z$20000,MATCH(A934,'Semrush Data'!$A$1:$A$20000,0),MATCH("Intent",'Semrush Data'!$A$1:$Z$1,0)),"")</f>
        <v/>
      </c>
    </row>
    <row r="935" ht="15" customHeight="1" s="37">
      <c r="A935" s="42" t="inlineStr">
        <is>
          <t>deyga hair strengthening kit uk</t>
        </is>
      </c>
      <c r="B935" s="42" t="inlineStr">
        <is>
          <t>Product + UK</t>
        </is>
      </c>
      <c r="C935" s="42" t="n">
        <v>2</v>
      </c>
      <c r="D935" s="42" t="n">
        <v>10</v>
      </c>
      <c r="E935" s="42" t="n">
        <v>1</v>
      </c>
      <c r="F935" s="42" t="inlineStr">
        <is>
          <t>VD-152</t>
        </is>
      </c>
      <c r="G935" s="55">
        <f>IFERROR(INDEX('Semrush Data'!$A$1:$Z$20000,MATCH(A935,'Semrush Data'!$A$1:$A$20000,0),MATCH("Volume",'Semrush Data'!$A$1:$Z$1,0)),"")</f>
        <v/>
      </c>
      <c r="H935" s="42">
        <f>IFERROR(INDEX('Semrush Data'!$A$1:$Z$20000,MATCH(A935,'Semrush Data'!$A$1:$A$20000,0),MATCH("Keyword Difficulty*",'Semrush Data'!$A$1:$Z$1,0)),"")</f>
        <v/>
      </c>
      <c r="I935" s="56">
        <f>IFERROR(INDEX('Semrush Data'!$A$1:$Z$20000,MATCH(A935,'Semrush Data'!$A$1:$A$20000,0),MATCH("CPC*",'Semrush Data'!$A$1:$Z$1,0)),"")</f>
        <v/>
      </c>
      <c r="J935" s="42">
        <f>IFERROR(INDEX('Semrush Data'!$A$1:$Z$20000,MATCH(A935,'Semrush Data'!$A$1:$A$20000,0),MATCH("Intent",'Semrush Data'!$A$1:$Z$1,0)),"")</f>
        <v/>
      </c>
    </row>
    <row r="936" ht="15" customHeight="1" s="37">
      <c r="A936" s="42" t="inlineStr">
        <is>
          <t>deyga healthy glow kit uk</t>
        </is>
      </c>
      <c r="B936" s="42" t="inlineStr">
        <is>
          <t>Product + UK</t>
        </is>
      </c>
      <c r="C936" s="42" t="n">
        <v>2</v>
      </c>
      <c r="D936" s="42" t="n">
        <v>10</v>
      </c>
      <c r="E936" s="42" t="n">
        <v>1</v>
      </c>
      <c r="F936" s="42" t="inlineStr">
        <is>
          <t>VD-146</t>
        </is>
      </c>
      <c r="G936" s="55">
        <f>IFERROR(INDEX('Semrush Data'!$A$1:$Z$20000,MATCH(A936,'Semrush Data'!$A$1:$A$20000,0),MATCH("Volume",'Semrush Data'!$A$1:$Z$1,0)),"")</f>
        <v/>
      </c>
      <c r="H936" s="42">
        <f>IFERROR(INDEX('Semrush Data'!$A$1:$Z$20000,MATCH(A936,'Semrush Data'!$A$1:$A$20000,0),MATCH("Keyword Difficulty*",'Semrush Data'!$A$1:$Z$1,0)),"")</f>
        <v/>
      </c>
      <c r="I936" s="56">
        <f>IFERROR(INDEX('Semrush Data'!$A$1:$Z$20000,MATCH(A936,'Semrush Data'!$A$1:$A$20000,0),MATCH("CPC*",'Semrush Data'!$A$1:$Z$1,0)),"")</f>
        <v/>
      </c>
      <c r="J936" s="42">
        <f>IFERROR(INDEX('Semrush Data'!$A$1:$Z$20000,MATCH(A936,'Semrush Data'!$A$1:$A$20000,0),MATCH("Intent",'Semrush Data'!$A$1:$Z$1,0)),"")</f>
        <v/>
      </c>
    </row>
    <row r="937" ht="15" customHeight="1" s="37">
      <c r="A937" s="42" t="inlineStr">
        <is>
          <t>deyga hydro boosting skin care kit uk</t>
        </is>
      </c>
      <c r="B937" s="42" t="inlineStr">
        <is>
          <t>Product + UK</t>
        </is>
      </c>
      <c r="C937" s="42" t="n">
        <v>2</v>
      </c>
      <c r="D937" s="42" t="n">
        <v>10</v>
      </c>
      <c r="E937" s="42" t="n">
        <v>1</v>
      </c>
      <c r="F937" s="42" t="inlineStr">
        <is>
          <t>VD-150</t>
        </is>
      </c>
      <c r="G937" s="55">
        <f>IFERROR(INDEX('Semrush Data'!$A$1:$Z$20000,MATCH(A937,'Semrush Data'!$A$1:$A$20000,0),MATCH("Volume",'Semrush Data'!$A$1:$Z$1,0)),"")</f>
        <v/>
      </c>
      <c r="H937" s="42">
        <f>IFERROR(INDEX('Semrush Data'!$A$1:$Z$20000,MATCH(A937,'Semrush Data'!$A$1:$A$20000,0),MATCH("Keyword Difficulty*",'Semrush Data'!$A$1:$Z$1,0)),"")</f>
        <v/>
      </c>
      <c r="I937" s="56">
        <f>IFERROR(INDEX('Semrush Data'!$A$1:$Z$20000,MATCH(A937,'Semrush Data'!$A$1:$A$20000,0),MATCH("CPC*",'Semrush Data'!$A$1:$Z$1,0)),"")</f>
        <v/>
      </c>
      <c r="J937" s="42">
        <f>IFERROR(INDEX('Semrush Data'!$A$1:$Z$20000,MATCH(A937,'Semrush Data'!$A$1:$A$20000,0),MATCH("Intent",'Semrush Data'!$A$1:$Z$1,0)),"")</f>
        <v/>
      </c>
    </row>
    <row r="938" ht="15" customHeight="1" s="37">
      <c r="A938" s="42" t="inlineStr">
        <is>
          <t>deyga instant hair removal kit uk</t>
        </is>
      </c>
      <c r="B938" s="42" t="inlineStr">
        <is>
          <t>Product + UK</t>
        </is>
      </c>
      <c r="C938" s="42" t="n">
        <v>2</v>
      </c>
      <c r="D938" s="42" t="n">
        <v>10</v>
      </c>
      <c r="E938" s="42" t="n">
        <v>1</v>
      </c>
      <c r="F938" s="42" t="inlineStr">
        <is>
          <t>VD-144</t>
        </is>
      </c>
      <c r="G938" s="55">
        <f>IFERROR(INDEX('Semrush Data'!$A$1:$Z$20000,MATCH(A938,'Semrush Data'!$A$1:$A$20000,0),MATCH("Volume",'Semrush Data'!$A$1:$Z$1,0)),"")</f>
        <v/>
      </c>
      <c r="H938" s="42">
        <f>IFERROR(INDEX('Semrush Data'!$A$1:$Z$20000,MATCH(A938,'Semrush Data'!$A$1:$A$20000,0),MATCH("Keyword Difficulty*",'Semrush Data'!$A$1:$Z$1,0)),"")</f>
        <v/>
      </c>
      <c r="I938" s="56">
        <f>IFERROR(INDEX('Semrush Data'!$A$1:$Z$20000,MATCH(A938,'Semrush Data'!$A$1:$A$20000,0),MATCH("CPC*",'Semrush Data'!$A$1:$Z$1,0)),"")</f>
        <v/>
      </c>
      <c r="J938" s="42">
        <f>IFERROR(INDEX('Semrush Data'!$A$1:$Z$20000,MATCH(A938,'Semrush Data'!$A$1:$A$20000,0),MATCH("Intent",'Semrush Data'!$A$1:$Z$1,0)),"")</f>
        <v/>
      </c>
    </row>
    <row r="939" ht="15" customHeight="1" s="37">
      <c r="A939" s="42" t="inlineStr">
        <is>
          <t>deyga instant hair removal kit with toner uk</t>
        </is>
      </c>
      <c r="B939" s="42" t="inlineStr">
        <is>
          <t>Product + UK</t>
        </is>
      </c>
      <c r="C939" s="42" t="n">
        <v>2</v>
      </c>
      <c r="D939" s="42" t="n">
        <v>10</v>
      </c>
      <c r="E939" s="42" t="n">
        <v>1</v>
      </c>
      <c r="F939" s="42" t="inlineStr">
        <is>
          <t>VD-145</t>
        </is>
      </c>
      <c r="G939" s="55">
        <f>IFERROR(INDEX('Semrush Data'!$A$1:$Z$20000,MATCH(A939,'Semrush Data'!$A$1:$A$20000,0),MATCH("Volume",'Semrush Data'!$A$1:$Z$1,0)),"")</f>
        <v/>
      </c>
      <c r="H939" s="42">
        <f>IFERROR(INDEX('Semrush Data'!$A$1:$Z$20000,MATCH(A939,'Semrush Data'!$A$1:$A$20000,0),MATCH("Keyword Difficulty*",'Semrush Data'!$A$1:$Z$1,0)),"")</f>
        <v/>
      </c>
      <c r="I939" s="56">
        <f>IFERROR(INDEX('Semrush Data'!$A$1:$Z$20000,MATCH(A939,'Semrush Data'!$A$1:$A$20000,0),MATCH("CPC*",'Semrush Data'!$A$1:$Z$1,0)),"")</f>
        <v/>
      </c>
      <c r="J939" s="42">
        <f>IFERROR(INDEX('Semrush Data'!$A$1:$Z$20000,MATCH(A939,'Semrush Data'!$A$1:$A$20000,0),MATCH("Intent",'Semrush Data'!$A$1:$Z$1,0)),"")</f>
        <v/>
      </c>
    </row>
    <row r="940" ht="15" customHeight="1" s="37">
      <c r="A940" s="42" t="inlineStr">
        <is>
          <t>deyga light moisturising face cream uk</t>
        </is>
      </c>
      <c r="B940" s="42" t="inlineStr">
        <is>
          <t>Product + UK</t>
        </is>
      </c>
      <c r="C940" s="42" t="n">
        <v>2</v>
      </c>
      <c r="D940" s="42" t="n">
        <v>10</v>
      </c>
      <c r="E940" s="42" t="n">
        <v>1</v>
      </c>
      <c r="F940" s="42" t="inlineStr">
        <is>
          <t>VD-093</t>
        </is>
      </c>
      <c r="G940" s="55">
        <f>IFERROR(INDEX('Semrush Data'!$A$1:$Z$20000,MATCH(A940,'Semrush Data'!$A$1:$A$20000,0),MATCH("Volume",'Semrush Data'!$A$1:$Z$1,0)),"")</f>
        <v/>
      </c>
      <c r="H940" s="42">
        <f>IFERROR(INDEX('Semrush Data'!$A$1:$Z$20000,MATCH(A940,'Semrush Data'!$A$1:$A$20000,0),MATCH("Keyword Difficulty*",'Semrush Data'!$A$1:$Z$1,0)),"")</f>
        <v/>
      </c>
      <c r="I940" s="56">
        <f>IFERROR(INDEX('Semrush Data'!$A$1:$Z$20000,MATCH(A940,'Semrush Data'!$A$1:$A$20000,0),MATCH("CPC*",'Semrush Data'!$A$1:$Z$1,0)),"")</f>
        <v/>
      </c>
      <c r="J940" s="42">
        <f>IFERROR(INDEX('Semrush Data'!$A$1:$Z$20000,MATCH(A940,'Semrush Data'!$A$1:$A$20000,0),MATCH("Intent",'Semrush Data'!$A$1:$Z$1,0)),"")</f>
        <v/>
      </c>
    </row>
    <row r="941" ht="15" customHeight="1" s="37">
      <c r="A941" s="42" t="inlineStr">
        <is>
          <t>deyga mini foot spa combo uk</t>
        </is>
      </c>
      <c r="B941" s="42" t="inlineStr">
        <is>
          <t>Product + UK</t>
        </is>
      </c>
      <c r="C941" s="42" t="n">
        <v>2</v>
      </c>
      <c r="D941" s="42" t="n">
        <v>10</v>
      </c>
      <c r="E941" s="42" t="n">
        <v>1</v>
      </c>
      <c r="F941" s="42" t="inlineStr">
        <is>
          <t>VD-140</t>
        </is>
      </c>
      <c r="G941" s="55">
        <f>IFERROR(INDEX('Semrush Data'!$A$1:$Z$20000,MATCH(A941,'Semrush Data'!$A$1:$A$20000,0),MATCH("Volume",'Semrush Data'!$A$1:$Z$1,0)),"")</f>
        <v/>
      </c>
      <c r="H941" s="42">
        <f>IFERROR(INDEX('Semrush Data'!$A$1:$Z$20000,MATCH(A941,'Semrush Data'!$A$1:$A$20000,0),MATCH("Keyword Difficulty*",'Semrush Data'!$A$1:$Z$1,0)),"")</f>
        <v/>
      </c>
      <c r="I941" s="56">
        <f>IFERROR(INDEX('Semrush Data'!$A$1:$Z$20000,MATCH(A941,'Semrush Data'!$A$1:$A$20000,0),MATCH("CPC*",'Semrush Data'!$A$1:$Z$1,0)),"")</f>
        <v/>
      </c>
      <c r="J941" s="42">
        <f>IFERROR(INDEX('Semrush Data'!$A$1:$Z$20000,MATCH(A941,'Semrush Data'!$A$1:$A$20000,0),MATCH("Intent",'Semrush Data'!$A$1:$Z$1,0)),"")</f>
        <v/>
      </c>
    </row>
    <row r="942" ht="15" customHeight="1" s="37">
      <c r="A942" s="42" t="inlineStr">
        <is>
          <t>deyga mint lip scrub uk</t>
        </is>
      </c>
      <c r="B942" s="42" t="inlineStr">
        <is>
          <t>Product + UK</t>
        </is>
      </c>
      <c r="C942" s="42" t="n">
        <v>2</v>
      </c>
      <c r="D942" s="42" t="n">
        <v>10</v>
      </c>
      <c r="E942" s="42" t="n">
        <v>1</v>
      </c>
      <c r="F942" s="42" t="inlineStr">
        <is>
          <t>VD-111</t>
        </is>
      </c>
      <c r="G942" s="55">
        <f>IFERROR(INDEX('Semrush Data'!$A$1:$Z$20000,MATCH(A942,'Semrush Data'!$A$1:$A$20000,0),MATCH("Volume",'Semrush Data'!$A$1:$Z$1,0)),"")</f>
        <v/>
      </c>
      <c r="H942" s="42">
        <f>IFERROR(INDEX('Semrush Data'!$A$1:$Z$20000,MATCH(A942,'Semrush Data'!$A$1:$A$20000,0),MATCH("Keyword Difficulty*",'Semrush Data'!$A$1:$Z$1,0)),"")</f>
        <v/>
      </c>
      <c r="I942" s="56">
        <f>IFERROR(INDEX('Semrush Data'!$A$1:$Z$20000,MATCH(A942,'Semrush Data'!$A$1:$A$20000,0),MATCH("CPC*",'Semrush Data'!$A$1:$Z$1,0)),"")</f>
        <v/>
      </c>
      <c r="J942" s="42">
        <f>IFERROR(INDEX('Semrush Data'!$A$1:$Z$20000,MATCH(A942,'Semrush Data'!$A$1:$A$20000,0),MATCH("Intent",'Semrush Data'!$A$1:$Z$1,0)),"")</f>
        <v/>
      </c>
    </row>
    <row r="943" ht="15" customHeight="1" s="37">
      <c r="A943" s="42" t="inlineStr">
        <is>
          <t>deyga natural hair care kit uk</t>
        </is>
      </c>
      <c r="B943" s="42" t="inlineStr">
        <is>
          <t>Product + UK</t>
        </is>
      </c>
      <c r="C943" s="42" t="n">
        <v>2</v>
      </c>
      <c r="D943" s="42" t="n">
        <v>10</v>
      </c>
      <c r="E943" s="42" t="n">
        <v>1</v>
      </c>
      <c r="F943" s="42" t="inlineStr">
        <is>
          <t>VD-154</t>
        </is>
      </c>
      <c r="G943" s="55">
        <f>IFERROR(INDEX('Semrush Data'!$A$1:$Z$20000,MATCH(A943,'Semrush Data'!$A$1:$A$20000,0),MATCH("Volume",'Semrush Data'!$A$1:$Z$1,0)),"")</f>
        <v/>
      </c>
      <c r="H943" s="42">
        <f>IFERROR(INDEX('Semrush Data'!$A$1:$Z$20000,MATCH(A943,'Semrush Data'!$A$1:$A$20000,0),MATCH("Keyword Difficulty*",'Semrush Data'!$A$1:$Z$1,0)),"")</f>
        <v/>
      </c>
      <c r="I943" s="56">
        <f>IFERROR(INDEX('Semrush Data'!$A$1:$Z$20000,MATCH(A943,'Semrush Data'!$A$1:$A$20000,0),MATCH("CPC*",'Semrush Data'!$A$1:$Z$1,0)),"")</f>
        <v/>
      </c>
      <c r="J943" s="42">
        <f>IFERROR(INDEX('Semrush Data'!$A$1:$Z$20000,MATCH(A943,'Semrush Data'!$A$1:$A$20000,0),MATCH("Intent",'Semrush Data'!$A$1:$Z$1,0)),"")</f>
        <v/>
      </c>
    </row>
    <row r="944" ht="15" customHeight="1" s="37">
      <c r="A944" s="42" t="inlineStr">
        <is>
          <t>deyga natural lip balm uk</t>
        </is>
      </c>
      <c r="B944" s="42" t="inlineStr">
        <is>
          <t>Product + UK</t>
        </is>
      </c>
      <c r="C944" s="42" t="n">
        <v>2</v>
      </c>
      <c r="D944" s="42" t="n">
        <v>10</v>
      </c>
      <c r="E944" s="42" t="n">
        <v>1</v>
      </c>
      <c r="F944" s="42" t="inlineStr">
        <is>
          <t>VD-106</t>
        </is>
      </c>
      <c r="G944" s="55">
        <f>IFERROR(INDEX('Semrush Data'!$A$1:$Z$20000,MATCH(A944,'Semrush Data'!$A$1:$A$20000,0),MATCH("Volume",'Semrush Data'!$A$1:$Z$1,0)),"")</f>
        <v/>
      </c>
      <c r="H944" s="42">
        <f>IFERROR(INDEX('Semrush Data'!$A$1:$Z$20000,MATCH(A944,'Semrush Data'!$A$1:$A$20000,0),MATCH("Keyword Difficulty*",'Semrush Data'!$A$1:$Z$1,0)),"")</f>
        <v/>
      </c>
      <c r="I944" s="56">
        <f>IFERROR(INDEX('Semrush Data'!$A$1:$Z$20000,MATCH(A944,'Semrush Data'!$A$1:$A$20000,0),MATCH("CPC*",'Semrush Data'!$A$1:$Z$1,0)),"")</f>
        <v/>
      </c>
      <c r="J944" s="42">
        <f>IFERROR(INDEX('Semrush Data'!$A$1:$Z$20000,MATCH(A944,'Semrush Data'!$A$1:$A$20000,0),MATCH("Intent",'Semrush Data'!$A$1:$Z$1,0)),"")</f>
        <v/>
      </c>
    </row>
    <row r="945" ht="15" customHeight="1" s="37">
      <c r="A945" s="42" t="inlineStr">
        <is>
          <t>deyga natural loose setting powder uk</t>
        </is>
      </c>
      <c r="B945" s="42" t="inlineStr">
        <is>
          <t>Product + UK</t>
        </is>
      </c>
      <c r="C945" s="42" t="n">
        <v>2</v>
      </c>
      <c r="D945" s="42" t="n">
        <v>10</v>
      </c>
      <c r="E945" s="42" t="n">
        <v>1</v>
      </c>
      <c r="F945" s="42" t="inlineStr">
        <is>
          <t>VD-135</t>
        </is>
      </c>
      <c r="G945" s="55">
        <f>IFERROR(INDEX('Semrush Data'!$A$1:$Z$20000,MATCH(A945,'Semrush Data'!$A$1:$A$20000,0),MATCH("Volume",'Semrush Data'!$A$1:$Z$1,0)),"")</f>
        <v/>
      </c>
      <c r="H945" s="42">
        <f>IFERROR(INDEX('Semrush Data'!$A$1:$Z$20000,MATCH(A945,'Semrush Data'!$A$1:$A$20000,0),MATCH("Keyword Difficulty*",'Semrush Data'!$A$1:$Z$1,0)),"")</f>
        <v/>
      </c>
      <c r="I945" s="56">
        <f>IFERROR(INDEX('Semrush Data'!$A$1:$Z$20000,MATCH(A945,'Semrush Data'!$A$1:$A$20000,0),MATCH("CPC*",'Semrush Data'!$A$1:$Z$1,0)),"")</f>
        <v/>
      </c>
      <c r="J945" s="42">
        <f>IFERROR(INDEX('Semrush Data'!$A$1:$Z$20000,MATCH(A945,'Semrush Data'!$A$1:$A$20000,0),MATCH("Intent",'Semrush Data'!$A$1:$Z$1,0)),"")</f>
        <v/>
      </c>
    </row>
    <row r="946" ht="15" customHeight="1" s="37">
      <c r="A946" s="42" t="inlineStr">
        <is>
          <t>deyga neem &amp; turmeric bath bar uk</t>
        </is>
      </c>
      <c r="B946" s="42" t="inlineStr">
        <is>
          <t>Product + UK</t>
        </is>
      </c>
      <c r="C946" s="42" t="n">
        <v>2</v>
      </c>
      <c r="D946" s="42" t="n">
        <v>10</v>
      </c>
      <c r="E946" s="42" t="n">
        <v>1</v>
      </c>
      <c r="F946" s="42" t="inlineStr">
        <is>
          <t>VD-110</t>
        </is>
      </c>
      <c r="G946" s="55">
        <f>IFERROR(INDEX('Semrush Data'!$A$1:$Z$20000,MATCH(A946,'Semrush Data'!$A$1:$A$20000,0),MATCH("Volume",'Semrush Data'!$A$1:$Z$1,0)),"")</f>
        <v/>
      </c>
      <c r="H946" s="42">
        <f>IFERROR(INDEX('Semrush Data'!$A$1:$Z$20000,MATCH(A946,'Semrush Data'!$A$1:$A$20000,0),MATCH("Keyword Difficulty*",'Semrush Data'!$A$1:$Z$1,0)),"")</f>
        <v/>
      </c>
      <c r="I946" s="56">
        <f>IFERROR(INDEX('Semrush Data'!$A$1:$Z$20000,MATCH(A946,'Semrush Data'!$A$1:$A$20000,0),MATCH("CPC*",'Semrush Data'!$A$1:$Z$1,0)),"")</f>
        <v/>
      </c>
      <c r="J946" s="42">
        <f>IFERROR(INDEX('Semrush Data'!$A$1:$Z$20000,MATCH(A946,'Semrush Data'!$A$1:$A$20000,0),MATCH("Intent",'Semrush Data'!$A$1:$Z$1,0)),"")</f>
        <v/>
      </c>
    </row>
    <row r="947" ht="15" customHeight="1" s="37">
      <c r="A947" s="42" t="inlineStr">
        <is>
          <t>deyga neem seed oil uk</t>
        </is>
      </c>
      <c r="B947" s="42" t="inlineStr">
        <is>
          <t>Product + UK</t>
        </is>
      </c>
      <c r="C947" s="42" t="n">
        <v>2</v>
      </c>
      <c r="D947" s="42" t="n">
        <v>10</v>
      </c>
      <c r="E947" s="42" t="n">
        <v>1</v>
      </c>
      <c r="F947" s="42" t="inlineStr">
        <is>
          <t>VD-097</t>
        </is>
      </c>
      <c r="G947" s="55">
        <f>IFERROR(INDEX('Semrush Data'!$A$1:$Z$20000,MATCH(A947,'Semrush Data'!$A$1:$A$20000,0),MATCH("Volume",'Semrush Data'!$A$1:$Z$1,0)),"")</f>
        <v/>
      </c>
      <c r="H947" s="42">
        <f>IFERROR(INDEX('Semrush Data'!$A$1:$Z$20000,MATCH(A947,'Semrush Data'!$A$1:$A$20000,0),MATCH("Keyword Difficulty*",'Semrush Data'!$A$1:$Z$1,0)),"")</f>
        <v/>
      </c>
      <c r="I947" s="56">
        <f>IFERROR(INDEX('Semrush Data'!$A$1:$Z$20000,MATCH(A947,'Semrush Data'!$A$1:$A$20000,0),MATCH("CPC*",'Semrush Data'!$A$1:$Z$1,0)),"")</f>
        <v/>
      </c>
      <c r="J947" s="42">
        <f>IFERROR(INDEX('Semrush Data'!$A$1:$Z$20000,MATCH(A947,'Semrush Data'!$A$1:$A$20000,0),MATCH("Intent",'Semrush Data'!$A$1:$Z$1,0)),"")</f>
        <v/>
      </c>
    </row>
    <row r="948" ht="15" customHeight="1" s="37">
      <c r="A948" s="42" t="inlineStr">
        <is>
          <t>deyga nourished lip care kit uk</t>
        </is>
      </c>
      <c r="B948" s="42" t="inlineStr">
        <is>
          <t>Product + UK</t>
        </is>
      </c>
      <c r="C948" s="42" t="n">
        <v>2</v>
      </c>
      <c r="D948" s="42" t="n">
        <v>10</v>
      </c>
      <c r="E948" s="42" t="n">
        <v>1</v>
      </c>
      <c r="F948" s="42" t="inlineStr">
        <is>
          <t>VD-153</t>
        </is>
      </c>
      <c r="G948" s="55">
        <f>IFERROR(INDEX('Semrush Data'!$A$1:$Z$20000,MATCH(A948,'Semrush Data'!$A$1:$A$20000,0),MATCH("Volume",'Semrush Data'!$A$1:$Z$1,0)),"")</f>
        <v/>
      </c>
      <c r="H948" s="42">
        <f>IFERROR(INDEX('Semrush Data'!$A$1:$Z$20000,MATCH(A948,'Semrush Data'!$A$1:$A$20000,0),MATCH("Keyword Difficulty*",'Semrush Data'!$A$1:$Z$1,0)),"")</f>
        <v/>
      </c>
      <c r="I948" s="56">
        <f>IFERROR(INDEX('Semrush Data'!$A$1:$Z$20000,MATCH(A948,'Semrush Data'!$A$1:$A$20000,0),MATCH("CPC*",'Semrush Data'!$A$1:$Z$1,0)),"")</f>
        <v/>
      </c>
      <c r="J948" s="42">
        <f>IFERROR(INDEX('Semrush Data'!$A$1:$Z$20000,MATCH(A948,'Semrush Data'!$A$1:$A$20000,0),MATCH("Intent",'Semrush Data'!$A$1:$Z$1,0)),"")</f>
        <v/>
      </c>
    </row>
    <row r="949" ht="15" customHeight="1" s="37">
      <c r="A949" s="42" t="inlineStr">
        <is>
          <t>deyga nourished lips stick kit uk</t>
        </is>
      </c>
      <c r="B949" s="42" t="inlineStr">
        <is>
          <t>Product + UK</t>
        </is>
      </c>
      <c r="C949" s="42" t="n">
        <v>2</v>
      </c>
      <c r="D949" s="42" t="n">
        <v>10</v>
      </c>
      <c r="E949" s="42" t="n">
        <v>1</v>
      </c>
      <c r="F949" s="42" t="inlineStr">
        <is>
          <t>VD-156</t>
        </is>
      </c>
      <c r="G949" s="55">
        <f>IFERROR(INDEX('Semrush Data'!$A$1:$Z$20000,MATCH(A949,'Semrush Data'!$A$1:$A$20000,0),MATCH("Volume",'Semrush Data'!$A$1:$Z$1,0)),"")</f>
        <v/>
      </c>
      <c r="H949" s="42">
        <f>IFERROR(INDEX('Semrush Data'!$A$1:$Z$20000,MATCH(A949,'Semrush Data'!$A$1:$A$20000,0),MATCH("Keyword Difficulty*",'Semrush Data'!$A$1:$Z$1,0)),"")</f>
        <v/>
      </c>
      <c r="I949" s="56">
        <f>IFERROR(INDEX('Semrush Data'!$A$1:$Z$20000,MATCH(A949,'Semrush Data'!$A$1:$A$20000,0),MATCH("CPC*",'Semrush Data'!$A$1:$Z$1,0)),"")</f>
        <v/>
      </c>
      <c r="J949" s="42">
        <f>IFERROR(INDEX('Semrush Data'!$A$1:$Z$20000,MATCH(A949,'Semrush Data'!$A$1:$A$20000,0),MATCH("Intent",'Semrush Data'!$A$1:$Z$1,0)),"")</f>
        <v/>
      </c>
    </row>
    <row r="950" ht="15" customHeight="1" s="37">
      <c r="A950" s="42" t="inlineStr">
        <is>
          <t>deyga oat milk face wash uk</t>
        </is>
      </c>
      <c r="B950" s="42" t="inlineStr">
        <is>
          <t>Product + UK</t>
        </is>
      </c>
      <c r="C950" s="42" t="n">
        <v>2</v>
      </c>
      <c r="D950" s="42" t="n">
        <v>10</v>
      </c>
      <c r="E950" s="42" t="n">
        <v>1</v>
      </c>
      <c r="F950" s="42" t="inlineStr">
        <is>
          <t>VD-113</t>
        </is>
      </c>
      <c r="G950" s="55">
        <f>IFERROR(INDEX('Semrush Data'!$A$1:$Z$20000,MATCH(A950,'Semrush Data'!$A$1:$A$20000,0),MATCH("Volume",'Semrush Data'!$A$1:$Z$1,0)),"")</f>
        <v/>
      </c>
      <c r="H950" s="42">
        <f>IFERROR(INDEX('Semrush Data'!$A$1:$Z$20000,MATCH(A950,'Semrush Data'!$A$1:$A$20000,0),MATCH("Keyword Difficulty*",'Semrush Data'!$A$1:$Z$1,0)),"")</f>
        <v/>
      </c>
      <c r="I950" s="56">
        <f>IFERROR(INDEX('Semrush Data'!$A$1:$Z$20000,MATCH(A950,'Semrush Data'!$A$1:$A$20000,0),MATCH("CPC*",'Semrush Data'!$A$1:$Z$1,0)),"")</f>
        <v/>
      </c>
      <c r="J950" s="42">
        <f>IFERROR(INDEX('Semrush Data'!$A$1:$Z$20000,MATCH(A950,'Semrush Data'!$A$1:$A$20000,0),MATCH("Intent",'Semrush Data'!$A$1:$Z$1,0)),"")</f>
        <v/>
      </c>
    </row>
    <row r="951" ht="15" customHeight="1" s="37">
      <c r="A951" s="42" t="inlineStr">
        <is>
          <t>deyga orange &amp; almond face pack powder uk</t>
        </is>
      </c>
      <c r="B951" s="42" t="inlineStr">
        <is>
          <t>Product + UK</t>
        </is>
      </c>
      <c r="C951" s="42" t="n">
        <v>2</v>
      </c>
      <c r="D951" s="42" t="n">
        <v>10</v>
      </c>
      <c r="E951" s="42" t="n">
        <v>1</v>
      </c>
      <c r="F951" s="42" t="inlineStr">
        <is>
          <t>VD-088</t>
        </is>
      </c>
      <c r="G951" s="55">
        <f>IFERROR(INDEX('Semrush Data'!$A$1:$Z$20000,MATCH(A951,'Semrush Data'!$A$1:$A$20000,0),MATCH("Volume",'Semrush Data'!$A$1:$Z$1,0)),"")</f>
        <v/>
      </c>
      <c r="H951" s="42">
        <f>IFERROR(INDEX('Semrush Data'!$A$1:$Z$20000,MATCH(A951,'Semrush Data'!$A$1:$A$20000,0),MATCH("Keyword Difficulty*",'Semrush Data'!$A$1:$Z$1,0)),"")</f>
        <v/>
      </c>
      <c r="I951" s="56">
        <f>IFERROR(INDEX('Semrush Data'!$A$1:$Z$20000,MATCH(A951,'Semrush Data'!$A$1:$A$20000,0),MATCH("CPC*",'Semrush Data'!$A$1:$Z$1,0)),"")</f>
        <v/>
      </c>
      <c r="J951" s="42">
        <f>IFERROR(INDEX('Semrush Data'!$A$1:$Z$20000,MATCH(A951,'Semrush Data'!$A$1:$A$20000,0),MATCH("Intent",'Semrush Data'!$A$1:$Z$1,0)),"")</f>
        <v/>
      </c>
    </row>
    <row r="952" ht="15" customHeight="1" s="37">
      <c r="A952" s="42" t="inlineStr">
        <is>
          <t>deyga organic loofah for body exfoliation uk</t>
        </is>
      </c>
      <c r="B952" s="42" t="inlineStr">
        <is>
          <t>Product + UK</t>
        </is>
      </c>
      <c r="C952" s="42" t="n">
        <v>2</v>
      </c>
      <c r="D952" s="42" t="n">
        <v>10</v>
      </c>
      <c r="E952" s="42" t="n">
        <v>1</v>
      </c>
      <c r="F952" s="42" t="inlineStr">
        <is>
          <t>VD-102</t>
        </is>
      </c>
      <c r="G952" s="55">
        <f>IFERROR(INDEX('Semrush Data'!$A$1:$Z$20000,MATCH(A952,'Semrush Data'!$A$1:$A$20000,0),MATCH("Volume",'Semrush Data'!$A$1:$Z$1,0)),"")</f>
        <v/>
      </c>
      <c r="H952" s="42">
        <f>IFERROR(INDEX('Semrush Data'!$A$1:$Z$20000,MATCH(A952,'Semrush Data'!$A$1:$A$20000,0),MATCH("Keyword Difficulty*",'Semrush Data'!$A$1:$Z$1,0)),"")</f>
        <v/>
      </c>
      <c r="I952" s="56">
        <f>IFERROR(INDEX('Semrush Data'!$A$1:$Z$20000,MATCH(A952,'Semrush Data'!$A$1:$A$20000,0),MATCH("CPC*",'Semrush Data'!$A$1:$Z$1,0)),"")</f>
        <v/>
      </c>
      <c r="J952" s="42">
        <f>IFERROR(INDEX('Semrush Data'!$A$1:$Z$20000,MATCH(A952,'Semrush Data'!$A$1:$A$20000,0),MATCH("Intent",'Semrush Data'!$A$1:$Z$1,0)),"")</f>
        <v/>
      </c>
    </row>
    <row r="953" ht="15" customHeight="1" s="37">
      <c r="A953" s="42" t="inlineStr">
        <is>
          <t>deyga plant based hair color – black uk</t>
        </is>
      </c>
      <c r="B953" s="42" t="inlineStr">
        <is>
          <t>Product + UK</t>
        </is>
      </c>
      <c r="C953" s="42" t="n">
        <v>2</v>
      </c>
      <c r="D953" s="42" t="n">
        <v>10</v>
      </c>
      <c r="E953" s="42" t="n">
        <v>1</v>
      </c>
      <c r="F953" s="42" t="inlineStr">
        <is>
          <t>VD-125</t>
        </is>
      </c>
      <c r="G953" s="55">
        <f>IFERROR(INDEX('Semrush Data'!$A$1:$Z$20000,MATCH(A953,'Semrush Data'!$A$1:$A$20000,0),MATCH("Volume",'Semrush Data'!$A$1:$Z$1,0)),"")</f>
        <v/>
      </c>
      <c r="H953" s="42">
        <f>IFERROR(INDEX('Semrush Data'!$A$1:$Z$20000,MATCH(A953,'Semrush Data'!$A$1:$A$20000,0),MATCH("Keyword Difficulty*",'Semrush Data'!$A$1:$Z$1,0)),"")</f>
        <v/>
      </c>
      <c r="I953" s="56">
        <f>IFERROR(INDEX('Semrush Data'!$A$1:$Z$20000,MATCH(A953,'Semrush Data'!$A$1:$A$20000,0),MATCH("CPC*",'Semrush Data'!$A$1:$Z$1,0)),"")</f>
        <v/>
      </c>
      <c r="J953" s="42">
        <f>IFERROR(INDEX('Semrush Data'!$A$1:$Z$20000,MATCH(A953,'Semrush Data'!$A$1:$A$20000,0),MATCH("Intent",'Semrush Data'!$A$1:$Z$1,0)),"")</f>
        <v/>
      </c>
    </row>
    <row r="954" ht="15" customHeight="1" s="37">
      <c r="A954" s="42" t="inlineStr">
        <is>
          <t>deyga premature greying hair oil uk</t>
        </is>
      </c>
      <c r="B954" s="42" t="inlineStr">
        <is>
          <t>Product + UK</t>
        </is>
      </c>
      <c r="C954" s="42" t="n">
        <v>2</v>
      </c>
      <c r="D954" s="42" t="n">
        <v>10</v>
      </c>
      <c r="E954" s="42" t="n">
        <v>1</v>
      </c>
      <c r="F954" s="42" t="inlineStr">
        <is>
          <t>VD-089</t>
        </is>
      </c>
      <c r="G954" s="55">
        <f>IFERROR(INDEX('Semrush Data'!$A$1:$Z$20000,MATCH(A954,'Semrush Data'!$A$1:$A$20000,0),MATCH("Volume",'Semrush Data'!$A$1:$Z$1,0)),"")</f>
        <v/>
      </c>
      <c r="H954" s="42">
        <f>IFERROR(INDEX('Semrush Data'!$A$1:$Z$20000,MATCH(A954,'Semrush Data'!$A$1:$A$20000,0),MATCH("Keyword Difficulty*",'Semrush Data'!$A$1:$Z$1,0)),"")</f>
        <v/>
      </c>
      <c r="I954" s="56">
        <f>IFERROR(INDEX('Semrush Data'!$A$1:$Z$20000,MATCH(A954,'Semrush Data'!$A$1:$A$20000,0),MATCH("CPC*",'Semrush Data'!$A$1:$Z$1,0)),"")</f>
        <v/>
      </c>
      <c r="J954" s="42">
        <f>IFERROR(INDEX('Semrush Data'!$A$1:$Z$20000,MATCH(A954,'Semrush Data'!$A$1:$A$20000,0),MATCH("Intent",'Semrush Data'!$A$1:$Z$1,0)),"")</f>
        <v/>
      </c>
    </row>
    <row r="955" ht="15" customHeight="1" s="37">
      <c r="A955" s="42" t="inlineStr">
        <is>
          <t>deyga pure aloe vera gel uk</t>
        </is>
      </c>
      <c r="B955" s="42" t="inlineStr">
        <is>
          <t>Product + UK</t>
        </is>
      </c>
      <c r="C955" s="42" t="n">
        <v>2</v>
      </c>
      <c r="D955" s="42" t="n">
        <v>10</v>
      </c>
      <c r="E955" s="42" t="n">
        <v>1</v>
      </c>
      <c r="F955" s="42" t="inlineStr">
        <is>
          <t>VD-124</t>
        </is>
      </c>
      <c r="G955" s="55">
        <f>IFERROR(INDEX('Semrush Data'!$A$1:$Z$20000,MATCH(A955,'Semrush Data'!$A$1:$A$20000,0),MATCH("Volume",'Semrush Data'!$A$1:$Z$1,0)),"")</f>
        <v/>
      </c>
      <c r="H955" s="42">
        <f>IFERROR(INDEX('Semrush Data'!$A$1:$Z$20000,MATCH(A955,'Semrush Data'!$A$1:$A$20000,0),MATCH("Keyword Difficulty*",'Semrush Data'!$A$1:$Z$1,0)),"")</f>
        <v/>
      </c>
      <c r="I955" s="56">
        <f>IFERROR(INDEX('Semrush Data'!$A$1:$Z$20000,MATCH(A955,'Semrush Data'!$A$1:$A$20000,0),MATCH("CPC*",'Semrush Data'!$A$1:$Z$1,0)),"")</f>
        <v/>
      </c>
      <c r="J955" s="42">
        <f>IFERROR(INDEX('Semrush Data'!$A$1:$Z$20000,MATCH(A955,'Semrush Data'!$A$1:$A$20000,0),MATCH("Intent",'Semrush Data'!$A$1:$Z$1,0)),"")</f>
        <v/>
      </c>
    </row>
    <row r="956" ht="15" customHeight="1" s="37">
      <c r="A956" s="42" t="inlineStr">
        <is>
          <t>deyga pure rose water toner uk</t>
        </is>
      </c>
      <c r="B956" s="42" t="inlineStr">
        <is>
          <t>Product + UK</t>
        </is>
      </c>
      <c r="C956" s="42" t="n">
        <v>2</v>
      </c>
      <c r="D956" s="42" t="n">
        <v>10</v>
      </c>
      <c r="E956" s="42" t="n">
        <v>1</v>
      </c>
      <c r="F956" s="42" t="inlineStr">
        <is>
          <t>VD-115</t>
        </is>
      </c>
      <c r="G956" s="55">
        <f>IFERROR(INDEX('Semrush Data'!$A$1:$Z$20000,MATCH(A956,'Semrush Data'!$A$1:$A$20000,0),MATCH("Volume",'Semrush Data'!$A$1:$Z$1,0)),"")</f>
        <v/>
      </c>
      <c r="H956" s="42">
        <f>IFERROR(INDEX('Semrush Data'!$A$1:$Z$20000,MATCH(A956,'Semrush Data'!$A$1:$A$20000,0),MATCH("Keyword Difficulty*",'Semrush Data'!$A$1:$Z$1,0)),"")</f>
        <v/>
      </c>
      <c r="I956" s="56">
        <f>IFERROR(INDEX('Semrush Data'!$A$1:$Z$20000,MATCH(A956,'Semrush Data'!$A$1:$A$20000,0),MATCH("CPC*",'Semrush Data'!$A$1:$Z$1,0)),"")</f>
        <v/>
      </c>
      <c r="J956" s="42">
        <f>IFERROR(INDEX('Semrush Data'!$A$1:$Z$20000,MATCH(A956,'Semrush Data'!$A$1:$A$20000,0),MATCH("Intent",'Semrush Data'!$A$1:$Z$1,0)),"")</f>
        <v/>
      </c>
    </row>
    <row r="957" ht="15" customHeight="1" s="37">
      <c r="A957" s="42" t="inlineStr">
        <is>
          <t>deyga rice water shampoo uk</t>
        </is>
      </c>
      <c r="B957" s="42" t="inlineStr">
        <is>
          <t>Product + UK</t>
        </is>
      </c>
      <c r="C957" s="42" t="n">
        <v>2</v>
      </c>
      <c r="D957" s="42" t="n">
        <v>10</v>
      </c>
      <c r="E957" s="42" t="n">
        <v>1</v>
      </c>
      <c r="F957" s="42" t="inlineStr">
        <is>
          <t>VD-126</t>
        </is>
      </c>
      <c r="G957" s="55">
        <f>IFERROR(INDEX('Semrush Data'!$A$1:$Z$20000,MATCH(A957,'Semrush Data'!$A$1:$A$20000,0),MATCH("Volume",'Semrush Data'!$A$1:$Z$1,0)),"")</f>
        <v/>
      </c>
      <c r="H957" s="42">
        <f>IFERROR(INDEX('Semrush Data'!$A$1:$Z$20000,MATCH(A957,'Semrush Data'!$A$1:$A$20000,0),MATCH("Keyword Difficulty*",'Semrush Data'!$A$1:$Z$1,0)),"")</f>
        <v/>
      </c>
      <c r="I957" s="56">
        <f>IFERROR(INDEX('Semrush Data'!$A$1:$Z$20000,MATCH(A957,'Semrush Data'!$A$1:$A$20000,0),MATCH("CPC*",'Semrush Data'!$A$1:$Z$1,0)),"")</f>
        <v/>
      </c>
      <c r="J957" s="42">
        <f>IFERROR(INDEX('Semrush Data'!$A$1:$Z$20000,MATCH(A957,'Semrush Data'!$A$1:$A$20000,0),MATCH("Intent",'Semrush Data'!$A$1:$Z$1,0)),"")</f>
        <v/>
      </c>
    </row>
    <row r="958" ht="15" customHeight="1" s="37">
      <c r="A958" s="42" t="inlineStr">
        <is>
          <t>deyga rose &amp; geranium body butter uk</t>
        </is>
      </c>
      <c r="B958" s="42" t="inlineStr">
        <is>
          <t>Product + UK</t>
        </is>
      </c>
      <c r="C958" s="42" t="n">
        <v>2</v>
      </c>
      <c r="D958" s="42" t="n">
        <v>10</v>
      </c>
      <c r="E958" s="42" t="n">
        <v>1</v>
      </c>
      <c r="F958" s="42" t="inlineStr">
        <is>
          <t>VD-091</t>
        </is>
      </c>
      <c r="G958" s="55">
        <f>IFERROR(INDEX('Semrush Data'!$A$1:$Z$20000,MATCH(A958,'Semrush Data'!$A$1:$A$20000,0),MATCH("Volume",'Semrush Data'!$A$1:$Z$1,0)),"")</f>
        <v/>
      </c>
      <c r="H958" s="42">
        <f>IFERROR(INDEX('Semrush Data'!$A$1:$Z$20000,MATCH(A958,'Semrush Data'!$A$1:$A$20000,0),MATCH("Keyword Difficulty*",'Semrush Data'!$A$1:$Z$1,0)),"")</f>
        <v/>
      </c>
      <c r="I958" s="56">
        <f>IFERROR(INDEX('Semrush Data'!$A$1:$Z$20000,MATCH(A958,'Semrush Data'!$A$1:$A$20000,0),MATCH("CPC*",'Semrush Data'!$A$1:$Z$1,0)),"")</f>
        <v/>
      </c>
      <c r="J958" s="42">
        <f>IFERROR(INDEX('Semrush Data'!$A$1:$Z$20000,MATCH(A958,'Semrush Data'!$A$1:$A$20000,0),MATCH("Intent",'Semrush Data'!$A$1:$Z$1,0)),"")</f>
        <v/>
      </c>
    </row>
    <row r="959" ht="15" customHeight="1" s="37">
      <c r="A959" s="42" t="inlineStr">
        <is>
          <t>deyga rose &amp; mulethi skin brightening pack uk</t>
        </is>
      </c>
      <c r="B959" s="42" t="inlineStr">
        <is>
          <t>Product + UK</t>
        </is>
      </c>
      <c r="C959" s="42" t="n">
        <v>2</v>
      </c>
      <c r="D959" s="42" t="n">
        <v>10</v>
      </c>
      <c r="E959" s="42" t="n">
        <v>2</v>
      </c>
      <c r="F959" s="42" t="inlineStr">
        <is>
          <t>VD-116, VD-119</t>
        </is>
      </c>
      <c r="G959" s="55">
        <f>IFERROR(INDEX('Semrush Data'!$A$1:$Z$20000,MATCH(A959,'Semrush Data'!$A$1:$A$20000,0),MATCH("Volume",'Semrush Data'!$A$1:$Z$1,0)),"")</f>
        <v/>
      </c>
      <c r="H959" s="42">
        <f>IFERROR(INDEX('Semrush Data'!$A$1:$Z$20000,MATCH(A959,'Semrush Data'!$A$1:$A$20000,0),MATCH("Keyword Difficulty*",'Semrush Data'!$A$1:$Z$1,0)),"")</f>
        <v/>
      </c>
      <c r="I959" s="56">
        <f>IFERROR(INDEX('Semrush Data'!$A$1:$Z$20000,MATCH(A959,'Semrush Data'!$A$1:$A$20000,0),MATCH("CPC*",'Semrush Data'!$A$1:$Z$1,0)),"")</f>
        <v/>
      </c>
      <c r="J959" s="42">
        <f>IFERROR(INDEX('Semrush Data'!$A$1:$Z$20000,MATCH(A959,'Semrush Data'!$A$1:$A$20000,0),MATCH("Intent",'Semrush Data'!$A$1:$Z$1,0)),"")</f>
        <v/>
      </c>
    </row>
    <row r="960" ht="15" customHeight="1" s="37">
      <c r="A960" s="42" t="inlineStr">
        <is>
          <t>deyga rose glow serum uk</t>
        </is>
      </c>
      <c r="B960" s="42" t="inlineStr">
        <is>
          <t>Product + UK</t>
        </is>
      </c>
      <c r="C960" s="42" t="n">
        <v>2</v>
      </c>
      <c r="D960" s="42" t="n">
        <v>10</v>
      </c>
      <c r="E960" s="42" t="n">
        <v>1</v>
      </c>
      <c r="F960" s="42" t="inlineStr">
        <is>
          <t>VD-092</t>
        </is>
      </c>
      <c r="G960" s="55">
        <f>IFERROR(INDEX('Semrush Data'!$A$1:$Z$20000,MATCH(A960,'Semrush Data'!$A$1:$A$20000,0),MATCH("Volume",'Semrush Data'!$A$1:$Z$1,0)),"")</f>
        <v/>
      </c>
      <c r="H960" s="42">
        <f>IFERROR(INDEX('Semrush Data'!$A$1:$Z$20000,MATCH(A960,'Semrush Data'!$A$1:$A$20000,0),MATCH("Keyword Difficulty*",'Semrush Data'!$A$1:$Z$1,0)),"")</f>
        <v/>
      </c>
      <c r="I960" s="56">
        <f>IFERROR(INDEX('Semrush Data'!$A$1:$Z$20000,MATCH(A960,'Semrush Data'!$A$1:$A$20000,0),MATCH("CPC*",'Semrush Data'!$A$1:$Z$1,0)),"")</f>
        <v/>
      </c>
      <c r="J960" s="42">
        <f>IFERROR(INDEX('Semrush Data'!$A$1:$Z$20000,MATCH(A960,'Semrush Data'!$A$1:$A$20000,0),MATCH("Intent",'Semrush Data'!$A$1:$Z$1,0)),"")</f>
        <v/>
      </c>
    </row>
    <row r="961" ht="15" customHeight="1" s="37">
      <c r="A961" s="42" t="inlineStr">
        <is>
          <t>deyga rose pink clay bath bar uk</t>
        </is>
      </c>
      <c r="B961" s="42" t="inlineStr">
        <is>
          <t>Product + UK</t>
        </is>
      </c>
      <c r="C961" s="42" t="n">
        <v>2</v>
      </c>
      <c r="D961" s="42" t="n">
        <v>10</v>
      </c>
      <c r="E961" s="42" t="n">
        <v>1</v>
      </c>
      <c r="F961" s="42" t="inlineStr">
        <is>
          <t>VD-109</t>
        </is>
      </c>
      <c r="G961" s="55">
        <f>IFERROR(INDEX('Semrush Data'!$A$1:$Z$20000,MATCH(A961,'Semrush Data'!$A$1:$A$20000,0),MATCH("Volume",'Semrush Data'!$A$1:$Z$1,0)),"")</f>
        <v/>
      </c>
      <c r="H961" s="42">
        <f>IFERROR(INDEX('Semrush Data'!$A$1:$Z$20000,MATCH(A961,'Semrush Data'!$A$1:$A$20000,0),MATCH("Keyword Difficulty*",'Semrush Data'!$A$1:$Z$1,0)),"")</f>
        <v/>
      </c>
      <c r="I961" s="56">
        <f>IFERROR(INDEX('Semrush Data'!$A$1:$Z$20000,MATCH(A961,'Semrush Data'!$A$1:$A$20000,0),MATCH("CPC*",'Semrush Data'!$A$1:$Z$1,0)),"")</f>
        <v/>
      </c>
      <c r="J961" s="42">
        <f>IFERROR(INDEX('Semrush Data'!$A$1:$Z$20000,MATCH(A961,'Semrush Data'!$A$1:$A$20000,0),MATCH("Intent",'Semrush Data'!$A$1:$Z$1,0)),"")</f>
        <v/>
      </c>
    </row>
    <row r="962" ht="15" customHeight="1" s="37">
      <c r="A962" s="42" t="inlineStr">
        <is>
          <t>deyga sensitive skin kit uk</t>
        </is>
      </c>
      <c r="B962" s="42" t="inlineStr">
        <is>
          <t>Product + UK</t>
        </is>
      </c>
      <c r="C962" s="42" t="n">
        <v>2</v>
      </c>
      <c r="D962" s="42" t="n">
        <v>10</v>
      </c>
      <c r="E962" s="42" t="n">
        <v>1</v>
      </c>
      <c r="F962" s="42" t="inlineStr">
        <is>
          <t>VD-148</t>
        </is>
      </c>
      <c r="G962" s="55">
        <f>IFERROR(INDEX('Semrush Data'!$A$1:$Z$20000,MATCH(A962,'Semrush Data'!$A$1:$A$20000,0),MATCH("Volume",'Semrush Data'!$A$1:$Z$1,0)),"")</f>
        <v/>
      </c>
      <c r="H962" s="42">
        <f>IFERROR(INDEX('Semrush Data'!$A$1:$Z$20000,MATCH(A962,'Semrush Data'!$A$1:$A$20000,0),MATCH("Keyword Difficulty*",'Semrush Data'!$A$1:$Z$1,0)),"")</f>
        <v/>
      </c>
      <c r="I962" s="56">
        <f>IFERROR(INDEX('Semrush Data'!$A$1:$Z$20000,MATCH(A962,'Semrush Data'!$A$1:$A$20000,0),MATCH("CPC*",'Semrush Data'!$A$1:$Z$1,0)),"")</f>
        <v/>
      </c>
      <c r="J962" s="42">
        <f>IFERROR(INDEX('Semrush Data'!$A$1:$Z$20000,MATCH(A962,'Semrush Data'!$A$1:$A$20000,0),MATCH("Intent",'Semrush Data'!$A$1:$Z$1,0)),"")</f>
        <v/>
      </c>
    </row>
    <row r="963" ht="15" customHeight="1" s="37">
      <c r="A963" s="42" t="inlineStr">
        <is>
          <t>deyga shea saffron bath bar uk</t>
        </is>
      </c>
      <c r="B963" s="42" t="inlineStr">
        <is>
          <t>Product + UK</t>
        </is>
      </c>
      <c r="C963" s="42" t="n">
        <v>2</v>
      </c>
      <c r="D963" s="42" t="n">
        <v>10</v>
      </c>
      <c r="E963" s="42" t="n">
        <v>1</v>
      </c>
      <c r="F963" s="42" t="inlineStr">
        <is>
          <t>VD-108</t>
        </is>
      </c>
      <c r="G963" s="55">
        <f>IFERROR(INDEX('Semrush Data'!$A$1:$Z$20000,MATCH(A963,'Semrush Data'!$A$1:$A$20000,0),MATCH("Volume",'Semrush Data'!$A$1:$Z$1,0)),"")</f>
        <v/>
      </c>
      <c r="H963" s="42">
        <f>IFERROR(INDEX('Semrush Data'!$A$1:$Z$20000,MATCH(A963,'Semrush Data'!$A$1:$A$20000,0),MATCH("Keyword Difficulty*",'Semrush Data'!$A$1:$Z$1,0)),"")</f>
        <v/>
      </c>
      <c r="I963" s="56">
        <f>IFERROR(INDEX('Semrush Data'!$A$1:$Z$20000,MATCH(A963,'Semrush Data'!$A$1:$A$20000,0),MATCH("CPC*",'Semrush Data'!$A$1:$Z$1,0)),"")</f>
        <v/>
      </c>
      <c r="J963" s="42">
        <f>IFERROR(INDEX('Semrush Data'!$A$1:$Z$20000,MATCH(A963,'Semrush Data'!$A$1:$A$20000,0),MATCH("Intent",'Semrush Data'!$A$1:$Z$1,0)),"")</f>
        <v/>
      </c>
    </row>
    <row r="964" ht="15" customHeight="1" s="37">
      <c r="A964" s="42" t="inlineStr">
        <is>
          <t>deyga soft lip combo uk</t>
        </is>
      </c>
      <c r="B964" s="42" t="inlineStr">
        <is>
          <t>Product + UK</t>
        </is>
      </c>
      <c r="C964" s="42" t="n">
        <v>2</v>
      </c>
      <c r="D964" s="42" t="n">
        <v>10</v>
      </c>
      <c r="E964" s="42" t="n">
        <v>1</v>
      </c>
      <c r="F964" s="42" t="inlineStr">
        <is>
          <t>VD-136</t>
        </is>
      </c>
      <c r="G964" s="55">
        <f>IFERROR(INDEX('Semrush Data'!$A$1:$Z$20000,MATCH(A964,'Semrush Data'!$A$1:$A$20000,0),MATCH("Volume",'Semrush Data'!$A$1:$Z$1,0)),"")</f>
        <v/>
      </c>
      <c r="H964" s="42">
        <f>IFERROR(INDEX('Semrush Data'!$A$1:$Z$20000,MATCH(A964,'Semrush Data'!$A$1:$A$20000,0),MATCH("Keyword Difficulty*",'Semrush Data'!$A$1:$Z$1,0)),"")</f>
        <v/>
      </c>
      <c r="I964" s="56">
        <f>IFERROR(INDEX('Semrush Data'!$A$1:$Z$20000,MATCH(A964,'Semrush Data'!$A$1:$A$20000,0),MATCH("CPC*",'Semrush Data'!$A$1:$Z$1,0)),"")</f>
        <v/>
      </c>
      <c r="J964" s="42">
        <f>IFERROR(INDEX('Semrush Data'!$A$1:$Z$20000,MATCH(A964,'Semrush Data'!$A$1:$A$20000,0),MATCH("Intent",'Semrush Data'!$A$1:$Z$1,0)),"")</f>
        <v/>
      </c>
    </row>
    <row r="965" ht="15" customHeight="1" s="37">
      <c r="A965" s="42" t="inlineStr">
        <is>
          <t>deyga soy milk conditioner uk</t>
        </is>
      </c>
      <c r="B965" s="42" t="inlineStr">
        <is>
          <t>Product + UK</t>
        </is>
      </c>
      <c r="C965" s="42" t="n">
        <v>2</v>
      </c>
      <c r="D965" s="42" t="n">
        <v>10</v>
      </c>
      <c r="E965" s="42" t="n">
        <v>1</v>
      </c>
      <c r="F965" s="42" t="inlineStr">
        <is>
          <t>VD-127</t>
        </is>
      </c>
      <c r="G965" s="55">
        <f>IFERROR(INDEX('Semrush Data'!$A$1:$Z$20000,MATCH(A965,'Semrush Data'!$A$1:$A$20000,0),MATCH("Volume",'Semrush Data'!$A$1:$Z$1,0)),"")</f>
        <v/>
      </c>
      <c r="H965" s="42">
        <f>IFERROR(INDEX('Semrush Data'!$A$1:$Z$20000,MATCH(A965,'Semrush Data'!$A$1:$A$20000,0),MATCH("Keyword Difficulty*",'Semrush Data'!$A$1:$Z$1,0)),"")</f>
        <v/>
      </c>
      <c r="I965" s="56">
        <f>IFERROR(INDEX('Semrush Data'!$A$1:$Z$20000,MATCH(A965,'Semrush Data'!$A$1:$A$20000,0),MATCH("CPC*",'Semrush Data'!$A$1:$Z$1,0)),"")</f>
        <v/>
      </c>
      <c r="J965" s="42">
        <f>IFERROR(INDEX('Semrush Data'!$A$1:$Z$20000,MATCH(A965,'Semrush Data'!$A$1:$A$20000,0),MATCH("Intent",'Semrush Data'!$A$1:$Z$1,0)),"")</f>
        <v/>
      </c>
    </row>
    <row r="966" ht="15" customHeight="1" s="37">
      <c r="A966" s="42" t="inlineStr">
        <is>
          <t>deyga spinach &amp; cucumber bath bar uk</t>
        </is>
      </c>
      <c r="B966" s="42" t="inlineStr">
        <is>
          <t>Product + UK</t>
        </is>
      </c>
      <c r="C966" s="42" t="n">
        <v>2</v>
      </c>
      <c r="D966" s="42" t="n">
        <v>10</v>
      </c>
      <c r="E966" s="42" t="n">
        <v>1</v>
      </c>
      <c r="F966" s="42" t="inlineStr">
        <is>
          <t>VD-107</t>
        </is>
      </c>
      <c r="G966" s="55">
        <f>IFERROR(INDEX('Semrush Data'!$A$1:$Z$20000,MATCH(A966,'Semrush Data'!$A$1:$A$20000,0),MATCH("Volume",'Semrush Data'!$A$1:$Z$1,0)),"")</f>
        <v/>
      </c>
      <c r="H966" s="42">
        <f>IFERROR(INDEX('Semrush Data'!$A$1:$Z$20000,MATCH(A966,'Semrush Data'!$A$1:$A$20000,0),MATCH("Keyword Difficulty*",'Semrush Data'!$A$1:$Z$1,0)),"")</f>
        <v/>
      </c>
      <c r="I966" s="56">
        <f>IFERROR(INDEX('Semrush Data'!$A$1:$Z$20000,MATCH(A966,'Semrush Data'!$A$1:$A$20000,0),MATCH("CPC*",'Semrush Data'!$A$1:$Z$1,0)),"")</f>
        <v/>
      </c>
      <c r="J966" s="42">
        <f>IFERROR(INDEX('Semrush Data'!$A$1:$Z$20000,MATCH(A966,'Semrush Data'!$A$1:$A$20000,0),MATCH("Intent",'Semrush Data'!$A$1:$Z$1,0)),"")</f>
        <v/>
      </c>
    </row>
    <row r="967" ht="15" customHeight="1" s="37">
      <c r="A967" s="42" t="inlineStr">
        <is>
          <t>deyga spirulina matcha face pack uk</t>
        </is>
      </c>
      <c r="B967" s="42" t="inlineStr">
        <is>
          <t>Product + UK</t>
        </is>
      </c>
      <c r="C967" s="42" t="n">
        <v>2</v>
      </c>
      <c r="D967" s="42" t="n">
        <v>10</v>
      </c>
      <c r="E967" s="42" t="n">
        <v>1</v>
      </c>
      <c r="F967" s="42" t="inlineStr">
        <is>
          <t>VD-099</t>
        </is>
      </c>
      <c r="G967" s="55">
        <f>IFERROR(INDEX('Semrush Data'!$A$1:$Z$20000,MATCH(A967,'Semrush Data'!$A$1:$A$20000,0),MATCH("Volume",'Semrush Data'!$A$1:$Z$1,0)),"")</f>
        <v/>
      </c>
      <c r="H967" s="42">
        <f>IFERROR(INDEX('Semrush Data'!$A$1:$Z$20000,MATCH(A967,'Semrush Data'!$A$1:$A$20000,0),MATCH("Keyword Difficulty*",'Semrush Data'!$A$1:$Z$1,0)),"")</f>
        <v/>
      </c>
      <c r="I967" s="56">
        <f>IFERROR(INDEX('Semrush Data'!$A$1:$Z$20000,MATCH(A967,'Semrush Data'!$A$1:$A$20000,0),MATCH("CPC*",'Semrush Data'!$A$1:$Z$1,0)),"")</f>
        <v/>
      </c>
      <c r="J967" s="42">
        <f>IFERROR(INDEX('Semrush Data'!$A$1:$Z$20000,MATCH(A967,'Semrush Data'!$A$1:$A$20000,0),MATCH("Intent",'Semrush Data'!$A$1:$Z$1,0)),"")</f>
        <v/>
      </c>
    </row>
    <row r="968" ht="15" customHeight="1" s="37">
      <c r="A968" s="42" t="inlineStr">
        <is>
          <t>deyga strawberry lip scrub uk</t>
        </is>
      </c>
      <c r="B968" s="42" t="inlineStr">
        <is>
          <t>Product + UK</t>
        </is>
      </c>
      <c r="C968" s="42" t="n">
        <v>2</v>
      </c>
      <c r="D968" s="42" t="n">
        <v>10</v>
      </c>
      <c r="E968" s="42" t="n">
        <v>1</v>
      </c>
      <c r="F968" s="42" t="inlineStr">
        <is>
          <t>VD-131</t>
        </is>
      </c>
      <c r="G968" s="55">
        <f>IFERROR(INDEX('Semrush Data'!$A$1:$Z$20000,MATCH(A968,'Semrush Data'!$A$1:$A$20000,0),MATCH("Volume",'Semrush Data'!$A$1:$Z$1,0)),"")</f>
        <v/>
      </c>
      <c r="H968" s="42">
        <f>IFERROR(INDEX('Semrush Data'!$A$1:$Z$20000,MATCH(A968,'Semrush Data'!$A$1:$A$20000,0),MATCH("Keyword Difficulty*",'Semrush Data'!$A$1:$Z$1,0)),"")</f>
        <v/>
      </c>
      <c r="I968" s="56">
        <f>IFERROR(INDEX('Semrush Data'!$A$1:$Z$20000,MATCH(A968,'Semrush Data'!$A$1:$A$20000,0),MATCH("CPC*",'Semrush Data'!$A$1:$Z$1,0)),"")</f>
        <v/>
      </c>
      <c r="J968" s="42">
        <f>IFERROR(INDEX('Semrush Data'!$A$1:$Z$20000,MATCH(A968,'Semrush Data'!$A$1:$A$20000,0),MATCH("Intent",'Semrush Data'!$A$1:$Z$1,0)),"")</f>
        <v/>
      </c>
    </row>
    <row r="969" ht="15" customHeight="1" s="37">
      <c r="A969" s="42" t="inlineStr">
        <is>
          <t>deyga sunscreen uk</t>
        </is>
      </c>
      <c r="B969" s="42" t="inlineStr">
        <is>
          <t>Product + UK</t>
        </is>
      </c>
      <c r="C969" s="42" t="n">
        <v>2</v>
      </c>
      <c r="D969" s="42" t="n">
        <v>10</v>
      </c>
      <c r="E969" s="42" t="n">
        <v>1</v>
      </c>
      <c r="F969" s="42" t="inlineStr">
        <is>
          <t>VD-105</t>
        </is>
      </c>
      <c r="G969" s="55">
        <f>IFERROR(INDEX('Semrush Data'!$A$1:$Z$20000,MATCH(A969,'Semrush Data'!$A$1:$A$20000,0),MATCH("Volume",'Semrush Data'!$A$1:$Z$1,0)),"")</f>
        <v/>
      </c>
      <c r="H969" s="42">
        <f>IFERROR(INDEX('Semrush Data'!$A$1:$Z$20000,MATCH(A969,'Semrush Data'!$A$1:$A$20000,0),MATCH("Keyword Difficulty*",'Semrush Data'!$A$1:$Z$1,0)),"")</f>
        <v/>
      </c>
      <c r="I969" s="56">
        <f>IFERROR(INDEX('Semrush Data'!$A$1:$Z$20000,MATCH(A969,'Semrush Data'!$A$1:$A$20000,0),MATCH("CPC*",'Semrush Data'!$A$1:$Z$1,0)),"")</f>
        <v/>
      </c>
      <c r="J969" s="42">
        <f>IFERROR(INDEX('Semrush Data'!$A$1:$Z$20000,MATCH(A969,'Semrush Data'!$A$1:$A$20000,0),MATCH("Intent",'Semrush Data'!$A$1:$Z$1,0)),"")</f>
        <v/>
      </c>
    </row>
    <row r="970" ht="15" customHeight="1" s="37">
      <c r="A970" s="42" t="inlineStr">
        <is>
          <t>deyga tangerine cleansing balm for makeup removal uk</t>
        </is>
      </c>
      <c r="B970" s="42" t="inlineStr">
        <is>
          <t>Product + UK</t>
        </is>
      </c>
      <c r="C970" s="42" t="n">
        <v>2</v>
      </c>
      <c r="D970" s="42" t="n">
        <v>10</v>
      </c>
      <c r="E970" s="42" t="n">
        <v>1</v>
      </c>
      <c r="F970" s="42" t="inlineStr">
        <is>
          <t>VD-101</t>
        </is>
      </c>
      <c r="G970" s="55">
        <f>IFERROR(INDEX('Semrush Data'!$A$1:$Z$20000,MATCH(A970,'Semrush Data'!$A$1:$A$20000,0),MATCH("Volume",'Semrush Data'!$A$1:$Z$1,0)),"")</f>
        <v/>
      </c>
      <c r="H970" s="42">
        <f>IFERROR(INDEX('Semrush Data'!$A$1:$Z$20000,MATCH(A970,'Semrush Data'!$A$1:$A$20000,0),MATCH("Keyword Difficulty*",'Semrush Data'!$A$1:$Z$1,0)),"")</f>
        <v/>
      </c>
      <c r="I970" s="56">
        <f>IFERROR(INDEX('Semrush Data'!$A$1:$Z$20000,MATCH(A970,'Semrush Data'!$A$1:$A$20000,0),MATCH("CPC*",'Semrush Data'!$A$1:$Z$1,0)),"")</f>
        <v/>
      </c>
      <c r="J970" s="42">
        <f>IFERROR(INDEX('Semrush Data'!$A$1:$Z$20000,MATCH(A970,'Semrush Data'!$A$1:$A$20000,0),MATCH("Intent",'Semrush Data'!$A$1:$Z$1,0)),"")</f>
        <v/>
      </c>
    </row>
    <row r="971" ht="15" customHeight="1" s="37">
      <c r="A971" s="42" t="inlineStr">
        <is>
          <t>deyga tea tree facial toner uk</t>
        </is>
      </c>
      <c r="B971" s="42" t="inlineStr">
        <is>
          <t>Product + UK</t>
        </is>
      </c>
      <c r="C971" s="42" t="n">
        <v>2</v>
      </c>
      <c r="D971" s="42" t="n">
        <v>10</v>
      </c>
      <c r="E971" s="42" t="n">
        <v>1</v>
      </c>
      <c r="F971" s="42" t="inlineStr">
        <is>
          <t>VD-100</t>
        </is>
      </c>
      <c r="G971" s="55">
        <f>IFERROR(INDEX('Semrush Data'!$A$1:$Z$20000,MATCH(A971,'Semrush Data'!$A$1:$A$20000,0),MATCH("Volume",'Semrush Data'!$A$1:$Z$1,0)),"")</f>
        <v/>
      </c>
      <c r="H971" s="42">
        <f>IFERROR(INDEX('Semrush Data'!$A$1:$Z$20000,MATCH(A971,'Semrush Data'!$A$1:$A$20000,0),MATCH("Keyword Difficulty*",'Semrush Data'!$A$1:$Z$1,0)),"")</f>
        <v/>
      </c>
      <c r="I971" s="56">
        <f>IFERROR(INDEX('Semrush Data'!$A$1:$Z$20000,MATCH(A971,'Semrush Data'!$A$1:$A$20000,0),MATCH("CPC*",'Semrush Data'!$A$1:$Z$1,0)),"")</f>
        <v/>
      </c>
      <c r="J971" s="42">
        <f>IFERROR(INDEX('Semrush Data'!$A$1:$Z$20000,MATCH(A971,'Semrush Data'!$A$1:$A$20000,0),MATCH("Intent",'Semrush Data'!$A$1:$Z$1,0)),"")</f>
        <v/>
      </c>
    </row>
    <row r="972" ht="15" customHeight="1" s="37">
      <c r="A972" s="42" t="inlineStr">
        <is>
          <t>deyga under eye cream uk</t>
        </is>
      </c>
      <c r="B972" s="42" t="inlineStr">
        <is>
          <t>Product + UK</t>
        </is>
      </c>
      <c r="C972" s="42" t="n">
        <v>2</v>
      </c>
      <c r="D972" s="42" t="n">
        <v>10</v>
      </c>
      <c r="E972" s="42" t="n">
        <v>1</v>
      </c>
      <c r="F972" s="42" t="inlineStr">
        <is>
          <t>VD-133</t>
        </is>
      </c>
      <c r="G972" s="55">
        <f>IFERROR(INDEX('Semrush Data'!$A$1:$Z$20000,MATCH(A972,'Semrush Data'!$A$1:$A$20000,0),MATCH("Volume",'Semrush Data'!$A$1:$Z$1,0)),"")</f>
        <v/>
      </c>
      <c r="H972" s="42">
        <f>IFERROR(INDEX('Semrush Data'!$A$1:$Z$20000,MATCH(A972,'Semrush Data'!$A$1:$A$20000,0),MATCH("Keyword Difficulty*",'Semrush Data'!$A$1:$Z$1,0)),"")</f>
        <v/>
      </c>
      <c r="I972" s="56">
        <f>IFERROR(INDEX('Semrush Data'!$A$1:$Z$20000,MATCH(A972,'Semrush Data'!$A$1:$A$20000,0),MATCH("CPC*",'Semrush Data'!$A$1:$Z$1,0)),"")</f>
        <v/>
      </c>
      <c r="J972" s="42">
        <f>IFERROR(INDEX('Semrush Data'!$A$1:$Z$20000,MATCH(A972,'Semrush Data'!$A$1:$A$20000,0),MATCH("Intent",'Semrush Data'!$A$1:$Z$1,0)),"")</f>
        <v/>
      </c>
    </row>
    <row r="973" ht="15" customHeight="1" s="37">
      <c r="A973" s="42" t="inlineStr">
        <is>
          <t>deyga under eye mask uk</t>
        </is>
      </c>
      <c r="B973" s="42" t="inlineStr">
        <is>
          <t>Product + UK</t>
        </is>
      </c>
      <c r="C973" s="42" t="n">
        <v>2</v>
      </c>
      <c r="D973" s="42" t="n">
        <v>10</v>
      </c>
      <c r="E973" s="42" t="n">
        <v>1</v>
      </c>
      <c r="F973" s="42" t="inlineStr">
        <is>
          <t>VD-098</t>
        </is>
      </c>
      <c r="G973" s="55">
        <f>IFERROR(INDEX('Semrush Data'!$A$1:$Z$20000,MATCH(A973,'Semrush Data'!$A$1:$A$20000,0),MATCH("Volume",'Semrush Data'!$A$1:$Z$1,0)),"")</f>
        <v/>
      </c>
      <c r="H973" s="42">
        <f>IFERROR(INDEX('Semrush Data'!$A$1:$Z$20000,MATCH(A973,'Semrush Data'!$A$1:$A$20000,0),MATCH("Keyword Difficulty*",'Semrush Data'!$A$1:$Z$1,0)),"")</f>
        <v/>
      </c>
      <c r="I973" s="56">
        <f>IFERROR(INDEX('Semrush Data'!$A$1:$Z$20000,MATCH(A973,'Semrush Data'!$A$1:$A$20000,0),MATCH("CPC*",'Semrush Data'!$A$1:$Z$1,0)),"")</f>
        <v/>
      </c>
      <c r="J973" s="42">
        <f>IFERROR(INDEX('Semrush Data'!$A$1:$Z$20000,MATCH(A973,'Semrush Data'!$A$1:$A$20000,0),MATCH("Intent",'Semrush Data'!$A$1:$Z$1,0)),"")</f>
        <v/>
      </c>
    </row>
    <row r="974" ht="15" customHeight="1" s="37">
      <c r="A974" s="42" t="inlineStr">
        <is>
          <t>deyga vitamin c daily glow combo uk</t>
        </is>
      </c>
      <c r="B974" s="42" t="inlineStr">
        <is>
          <t>Product + UK</t>
        </is>
      </c>
      <c r="C974" s="42" t="n">
        <v>2</v>
      </c>
      <c r="D974" s="42" t="n">
        <v>10</v>
      </c>
      <c r="E974" s="42" t="n">
        <v>1</v>
      </c>
      <c r="F974" s="42" t="inlineStr">
        <is>
          <t>VD-137</t>
        </is>
      </c>
      <c r="G974" s="55">
        <f>IFERROR(INDEX('Semrush Data'!$A$1:$Z$20000,MATCH(A974,'Semrush Data'!$A$1:$A$20000,0),MATCH("Volume",'Semrush Data'!$A$1:$Z$1,0)),"")</f>
        <v/>
      </c>
      <c r="H974" s="42">
        <f>IFERROR(INDEX('Semrush Data'!$A$1:$Z$20000,MATCH(A974,'Semrush Data'!$A$1:$A$20000,0),MATCH("Keyword Difficulty*",'Semrush Data'!$A$1:$Z$1,0)),"")</f>
        <v/>
      </c>
      <c r="I974" s="56">
        <f>IFERROR(INDEX('Semrush Data'!$A$1:$Z$20000,MATCH(A974,'Semrush Data'!$A$1:$A$20000,0),MATCH("CPC*",'Semrush Data'!$A$1:$Z$1,0)),"")</f>
        <v/>
      </c>
      <c r="J974" s="42">
        <f>IFERROR(INDEX('Semrush Data'!$A$1:$Z$20000,MATCH(A974,'Semrush Data'!$A$1:$A$20000,0),MATCH("Intent",'Semrush Data'!$A$1:$Z$1,0)),"")</f>
        <v/>
      </c>
    </row>
    <row r="975" ht="15" customHeight="1" s="37">
      <c r="A975" s="42" t="inlineStr">
        <is>
          <t>deyga vitamin c foaming face wash uk</t>
        </is>
      </c>
      <c r="B975" s="42" t="inlineStr">
        <is>
          <t>Product + UK</t>
        </is>
      </c>
      <c r="C975" s="42" t="n">
        <v>2</v>
      </c>
      <c r="D975" s="42" t="n">
        <v>10</v>
      </c>
      <c r="E975" s="42" t="n">
        <v>1</v>
      </c>
      <c r="F975" s="42" t="inlineStr">
        <is>
          <t>VD-095</t>
        </is>
      </c>
      <c r="G975" s="55">
        <f>IFERROR(INDEX('Semrush Data'!$A$1:$Z$20000,MATCH(A975,'Semrush Data'!$A$1:$A$20000,0),MATCH("Volume",'Semrush Data'!$A$1:$Z$1,0)),"")</f>
        <v/>
      </c>
      <c r="H975" s="42">
        <f>IFERROR(INDEX('Semrush Data'!$A$1:$Z$20000,MATCH(A975,'Semrush Data'!$A$1:$A$20000,0),MATCH("Keyword Difficulty*",'Semrush Data'!$A$1:$Z$1,0)),"")</f>
        <v/>
      </c>
      <c r="I975" s="56">
        <f>IFERROR(INDEX('Semrush Data'!$A$1:$Z$20000,MATCH(A975,'Semrush Data'!$A$1:$A$20000,0),MATCH("CPC*",'Semrush Data'!$A$1:$Z$1,0)),"")</f>
        <v/>
      </c>
      <c r="J975" s="42">
        <f>IFERROR(INDEX('Semrush Data'!$A$1:$Z$20000,MATCH(A975,'Semrush Data'!$A$1:$A$20000,0),MATCH("Intent",'Semrush Data'!$A$1:$Z$1,0)),"")</f>
        <v/>
      </c>
    </row>
    <row r="976" ht="15" customHeight="1" s="37">
      <c r="A976" s="42" t="inlineStr">
        <is>
          <t>deyga wild berry body wash uk</t>
        </is>
      </c>
      <c r="B976" s="42" t="inlineStr">
        <is>
          <t>Product + UK</t>
        </is>
      </c>
      <c r="C976" s="42" t="n">
        <v>2</v>
      </c>
      <c r="D976" s="42" t="n">
        <v>10</v>
      </c>
      <c r="E976" s="42" t="n">
        <v>1</v>
      </c>
      <c r="F976" s="42" t="inlineStr">
        <is>
          <t>VD-096</t>
        </is>
      </c>
      <c r="G976" s="55">
        <f>IFERROR(INDEX('Semrush Data'!$A$1:$Z$20000,MATCH(A976,'Semrush Data'!$A$1:$A$20000,0),MATCH("Volume",'Semrush Data'!$A$1:$Z$1,0)),"")</f>
        <v/>
      </c>
      <c r="H976" s="42">
        <f>IFERROR(INDEX('Semrush Data'!$A$1:$Z$20000,MATCH(A976,'Semrush Data'!$A$1:$A$20000,0),MATCH("Keyword Difficulty*",'Semrush Data'!$A$1:$Z$1,0)),"")</f>
        <v/>
      </c>
      <c r="I976" s="56">
        <f>IFERROR(INDEX('Semrush Data'!$A$1:$Z$20000,MATCH(A976,'Semrush Data'!$A$1:$A$20000,0),MATCH("CPC*",'Semrush Data'!$A$1:$Z$1,0)),"")</f>
        <v/>
      </c>
      <c r="J976" s="42">
        <f>IFERROR(INDEX('Semrush Data'!$A$1:$Z$20000,MATCH(A976,'Semrush Data'!$A$1:$A$20000,0),MATCH("Intent",'Semrush Data'!$A$1:$Z$1,0)),"")</f>
        <v/>
      </c>
    </row>
    <row r="977" ht="15" customHeight="1" s="37">
      <c r="A977" s="42" t="inlineStr">
        <is>
          <t>dior iconics mini discovery set uk</t>
        </is>
      </c>
      <c r="B977" s="42" t="inlineStr">
        <is>
          <t>Product + UK</t>
        </is>
      </c>
      <c r="C977" s="42" t="n">
        <v>2</v>
      </c>
      <c r="D977" s="42" t="n">
        <v>10</v>
      </c>
      <c r="E977" s="42" t="n">
        <v>1</v>
      </c>
      <c r="F977" s="42" t="inlineStr">
        <is>
          <t>FR-114</t>
        </is>
      </c>
      <c r="G977" s="55">
        <f>IFERROR(INDEX('Semrush Data'!$A$1:$Z$20000,MATCH(A977,'Semrush Data'!$A$1:$A$20000,0),MATCH("Volume",'Semrush Data'!$A$1:$Z$1,0)),"")</f>
        <v/>
      </c>
      <c r="H977" s="42">
        <f>IFERROR(INDEX('Semrush Data'!$A$1:$Z$20000,MATCH(A977,'Semrush Data'!$A$1:$A$20000,0),MATCH("Keyword Difficulty*",'Semrush Data'!$A$1:$Z$1,0)),"")</f>
        <v/>
      </c>
      <c r="I977" s="56">
        <f>IFERROR(INDEX('Semrush Data'!$A$1:$Z$20000,MATCH(A977,'Semrush Data'!$A$1:$A$20000,0),MATCH("CPC*",'Semrush Data'!$A$1:$Z$1,0)),"")</f>
        <v/>
      </c>
      <c r="J977" s="42">
        <f>IFERROR(INDEX('Semrush Data'!$A$1:$Z$20000,MATCH(A977,'Semrush Data'!$A$1:$A$20000,0),MATCH("Intent",'Semrush Data'!$A$1:$Z$1,0)),"")</f>
        <v/>
      </c>
    </row>
    <row r="978" ht="15" customHeight="1" s="37">
      <c r="A978" s="42" t="inlineStr">
        <is>
          <t>dior miss dior roller-pearl uk</t>
        </is>
      </c>
      <c r="B978" s="42" t="inlineStr">
        <is>
          <t>Product + UK</t>
        </is>
      </c>
      <c r="C978" s="42" t="n">
        <v>2</v>
      </c>
      <c r="D978" s="42" t="n">
        <v>10</v>
      </c>
      <c r="E978" s="42" t="n">
        <v>1</v>
      </c>
      <c r="F978" s="42" t="inlineStr">
        <is>
          <t>FR-113</t>
        </is>
      </c>
      <c r="G978" s="55">
        <f>IFERROR(INDEX('Semrush Data'!$A$1:$Z$20000,MATCH(A978,'Semrush Data'!$A$1:$A$20000,0),MATCH("Volume",'Semrush Data'!$A$1:$Z$1,0)),"")</f>
        <v/>
      </c>
      <c r="H978" s="42">
        <f>IFERROR(INDEX('Semrush Data'!$A$1:$Z$20000,MATCH(A978,'Semrush Data'!$A$1:$A$20000,0),MATCH("Keyword Difficulty*",'Semrush Data'!$A$1:$Z$1,0)),"")</f>
        <v/>
      </c>
      <c r="I978" s="56">
        <f>IFERROR(INDEX('Semrush Data'!$A$1:$Z$20000,MATCH(A978,'Semrush Data'!$A$1:$A$20000,0),MATCH("CPC*",'Semrush Data'!$A$1:$Z$1,0)),"")</f>
        <v/>
      </c>
      <c r="J978" s="42">
        <f>IFERROR(INDEX('Semrush Data'!$A$1:$Z$20000,MATCH(A978,'Semrush Data'!$A$1:$A$20000,0),MATCH("Intent",'Semrush Data'!$A$1:$Z$1,0)),"")</f>
        <v/>
      </c>
    </row>
    <row r="979" ht="15" customHeight="1" s="37">
      <c r="A979" s="42" t="inlineStr">
        <is>
          <t>dior sauvage uk</t>
        </is>
      </c>
      <c r="B979" s="42" t="inlineStr">
        <is>
          <t>Product + UK</t>
        </is>
      </c>
      <c r="C979" s="42" t="n">
        <v>2</v>
      </c>
      <c r="D979" s="42" t="inlineStr">
        <is>
          <t>T2-1</t>
        </is>
      </c>
      <c r="E979" s="42" t="n">
        <v>1</v>
      </c>
      <c r="F979" s="42" t="inlineStr">
        <is>
          <t>FR-115</t>
        </is>
      </c>
      <c r="G979" s="55">
        <f>IFERROR(INDEX('Semrush Data'!$A$1:$Z$20000,MATCH(A979,'Semrush Data'!$A$1:$A$20000,0),MATCH("Volume",'Semrush Data'!$A$1:$Z$1,0)),"")</f>
        <v/>
      </c>
      <c r="H979" s="42">
        <f>IFERROR(INDEX('Semrush Data'!$A$1:$Z$20000,MATCH(A979,'Semrush Data'!$A$1:$A$20000,0),MATCH("Keyword Difficulty*",'Semrush Data'!$A$1:$Z$1,0)),"")</f>
        <v/>
      </c>
      <c r="I979" s="56">
        <f>IFERROR(INDEX('Semrush Data'!$A$1:$Z$20000,MATCH(A979,'Semrush Data'!$A$1:$A$20000,0),MATCH("CPC*",'Semrush Data'!$A$1:$Z$1,0)),"")</f>
        <v/>
      </c>
      <c r="J979" s="42">
        <f>IFERROR(INDEX('Semrush Data'!$A$1:$Z$20000,MATCH(A979,'Semrush Data'!$A$1:$A$20000,0),MATCH("Intent",'Semrush Data'!$A$1:$Z$1,0)),"")</f>
        <v/>
      </c>
    </row>
    <row r="980" ht="15" customHeight="1" s="37">
      <c r="A980" s="42" t="inlineStr">
        <is>
          <t>dkny be delicious &amp; be delicious fresh blossom gift set uk</t>
        </is>
      </c>
      <c r="B980" s="42" t="inlineStr">
        <is>
          <t>Product + UK</t>
        </is>
      </c>
      <c r="C980" s="42" t="n">
        <v>2</v>
      </c>
      <c r="D980" s="42" t="n">
        <v>10</v>
      </c>
      <c r="E980" s="42" t="n">
        <v>1</v>
      </c>
      <c r="F980" s="42" t="inlineStr">
        <is>
          <t>FR-118</t>
        </is>
      </c>
      <c r="G980" s="55">
        <f>IFERROR(INDEX('Semrush Data'!$A$1:$Z$20000,MATCH(A980,'Semrush Data'!$A$1:$A$20000,0),MATCH("Volume",'Semrush Data'!$A$1:$Z$1,0)),"")</f>
        <v/>
      </c>
      <c r="H980" s="42">
        <f>IFERROR(INDEX('Semrush Data'!$A$1:$Z$20000,MATCH(A980,'Semrush Data'!$A$1:$A$20000,0),MATCH("Keyword Difficulty*",'Semrush Data'!$A$1:$Z$1,0)),"")</f>
        <v/>
      </c>
      <c r="I980" s="56">
        <f>IFERROR(INDEX('Semrush Data'!$A$1:$Z$20000,MATCH(A980,'Semrush Data'!$A$1:$A$20000,0),MATCH("CPC*",'Semrush Data'!$A$1:$Z$1,0)),"")</f>
        <v/>
      </c>
      <c r="J980" s="42">
        <f>IFERROR(INDEX('Semrush Data'!$A$1:$Z$20000,MATCH(A980,'Semrush Data'!$A$1:$A$20000,0),MATCH("Intent",'Semrush Data'!$A$1:$Z$1,0)),"")</f>
        <v/>
      </c>
    </row>
    <row r="981" ht="15" customHeight="1" s="37">
      <c r="A981" s="42" t="inlineStr">
        <is>
          <t>dkny be delicious orchard street uk</t>
        </is>
      </c>
      <c r="B981" s="42" t="inlineStr">
        <is>
          <t>Product + UK</t>
        </is>
      </c>
      <c r="C981" s="42" t="n">
        <v>2</v>
      </c>
      <c r="D981" s="42" t="inlineStr">
        <is>
          <t>T2-2</t>
        </is>
      </c>
      <c r="E981" s="42" t="n">
        <v>1</v>
      </c>
      <c r="F981" s="42" t="inlineStr">
        <is>
          <t>FR-116</t>
        </is>
      </c>
      <c r="G981" s="55">
        <f>IFERROR(INDEX('Semrush Data'!$A$1:$Z$20000,MATCH(A981,'Semrush Data'!$A$1:$A$20000,0),MATCH("Volume",'Semrush Data'!$A$1:$Z$1,0)),"")</f>
        <v/>
      </c>
      <c r="H981" s="42">
        <f>IFERROR(INDEX('Semrush Data'!$A$1:$Z$20000,MATCH(A981,'Semrush Data'!$A$1:$A$20000,0),MATCH("Keyword Difficulty*",'Semrush Data'!$A$1:$Z$1,0)),"")</f>
        <v/>
      </c>
      <c r="I981" s="56">
        <f>IFERROR(INDEX('Semrush Data'!$A$1:$Z$20000,MATCH(A981,'Semrush Data'!$A$1:$A$20000,0),MATCH("CPC*",'Semrush Data'!$A$1:$Z$1,0)),"")</f>
        <v/>
      </c>
      <c r="J981" s="42">
        <f>IFERROR(INDEX('Semrush Data'!$A$1:$Z$20000,MATCH(A981,'Semrush Data'!$A$1:$A$20000,0),MATCH("Intent",'Semrush Data'!$A$1:$Z$1,0)),"")</f>
        <v/>
      </c>
    </row>
    <row r="982" ht="15" customHeight="1" s="37">
      <c r="A982" s="42" t="inlineStr">
        <is>
          <t>dkny be tempted uk</t>
        </is>
      </c>
      <c r="B982" s="42" t="inlineStr">
        <is>
          <t>Product + UK</t>
        </is>
      </c>
      <c r="C982" s="42" t="n">
        <v>2</v>
      </c>
      <c r="D982" s="42" t="inlineStr">
        <is>
          <t>T2-1</t>
        </is>
      </c>
      <c r="E982" s="42" t="n">
        <v>1</v>
      </c>
      <c r="F982" s="42" t="inlineStr">
        <is>
          <t>FR-117</t>
        </is>
      </c>
      <c r="G982" s="55">
        <f>IFERROR(INDEX('Semrush Data'!$A$1:$Z$20000,MATCH(A982,'Semrush Data'!$A$1:$A$20000,0),MATCH("Volume",'Semrush Data'!$A$1:$Z$1,0)),"")</f>
        <v/>
      </c>
      <c r="H982" s="42">
        <f>IFERROR(INDEX('Semrush Data'!$A$1:$Z$20000,MATCH(A982,'Semrush Data'!$A$1:$A$20000,0),MATCH("Keyword Difficulty*",'Semrush Data'!$A$1:$Z$1,0)),"")</f>
        <v/>
      </c>
      <c r="I982" s="56">
        <f>IFERROR(INDEX('Semrush Data'!$A$1:$Z$20000,MATCH(A982,'Semrush Data'!$A$1:$A$20000,0),MATCH("CPC*",'Semrush Data'!$A$1:$Z$1,0)),"")</f>
        <v/>
      </c>
      <c r="J982" s="42">
        <f>IFERROR(INDEX('Semrush Data'!$A$1:$Z$20000,MATCH(A982,'Semrush Data'!$A$1:$A$20000,0),MATCH("Intent",'Semrush Data'!$A$1:$Z$1,0)),"")</f>
        <v/>
      </c>
    </row>
    <row r="983" ht="15" customHeight="1" s="37">
      <c r="A983" s="42" t="inlineStr">
        <is>
          <t>dkny miniature set uk</t>
        </is>
      </c>
      <c r="B983" s="42" t="inlineStr">
        <is>
          <t>Product + UK</t>
        </is>
      </c>
      <c r="C983" s="42" t="n">
        <v>2</v>
      </c>
      <c r="D983" s="42" t="n">
        <v>10</v>
      </c>
      <c r="E983" s="42" t="n">
        <v>1</v>
      </c>
      <c r="F983" s="42" t="inlineStr">
        <is>
          <t>FR-119</t>
        </is>
      </c>
      <c r="G983" s="55">
        <f>IFERROR(INDEX('Semrush Data'!$A$1:$Z$20000,MATCH(A983,'Semrush Data'!$A$1:$A$20000,0),MATCH("Volume",'Semrush Data'!$A$1:$Z$1,0)),"")</f>
        <v/>
      </c>
      <c r="H983" s="42">
        <f>IFERROR(INDEX('Semrush Data'!$A$1:$Z$20000,MATCH(A983,'Semrush Data'!$A$1:$A$20000,0),MATCH("Keyword Difficulty*",'Semrush Data'!$A$1:$Z$1,0)),"")</f>
        <v/>
      </c>
      <c r="I983" s="56">
        <f>IFERROR(INDEX('Semrush Data'!$A$1:$Z$20000,MATCH(A983,'Semrush Data'!$A$1:$A$20000,0),MATCH("CPC*",'Semrush Data'!$A$1:$Z$1,0)),"")</f>
        <v/>
      </c>
      <c r="J983" s="42">
        <f>IFERROR(INDEX('Semrush Data'!$A$1:$Z$20000,MATCH(A983,'Semrush Data'!$A$1:$A$20000,0),MATCH("Intent",'Semrush Data'!$A$1:$Z$1,0)),"")</f>
        <v/>
      </c>
    </row>
    <row r="984" ht="15" customHeight="1" s="37">
      <c r="A984" s="42" t="inlineStr">
        <is>
          <t>dolce &amp; gabbana devotion gift set uk</t>
        </is>
      </c>
      <c r="B984" s="42" t="inlineStr">
        <is>
          <t>Product + UK</t>
        </is>
      </c>
      <c r="C984" s="42" t="n">
        <v>2</v>
      </c>
      <c r="D984" s="42" t="n">
        <v>10</v>
      </c>
      <c r="E984" s="42" t="n">
        <v>1</v>
      </c>
      <c r="F984" s="42" t="inlineStr">
        <is>
          <t>FR-127</t>
        </is>
      </c>
      <c r="G984" s="55">
        <f>IFERROR(INDEX('Semrush Data'!$A$1:$Z$20000,MATCH(A984,'Semrush Data'!$A$1:$A$20000,0),MATCH("Volume",'Semrush Data'!$A$1:$Z$1,0)),"")</f>
        <v/>
      </c>
      <c r="H984" s="42">
        <f>IFERROR(INDEX('Semrush Data'!$A$1:$Z$20000,MATCH(A984,'Semrush Data'!$A$1:$A$20000,0),MATCH("Keyword Difficulty*",'Semrush Data'!$A$1:$Z$1,0)),"")</f>
        <v/>
      </c>
      <c r="I984" s="56">
        <f>IFERROR(INDEX('Semrush Data'!$A$1:$Z$20000,MATCH(A984,'Semrush Data'!$A$1:$A$20000,0),MATCH("CPC*",'Semrush Data'!$A$1:$Z$1,0)),"")</f>
        <v/>
      </c>
      <c r="J984" s="42">
        <f>IFERROR(INDEX('Semrush Data'!$A$1:$Z$20000,MATCH(A984,'Semrush Data'!$A$1:$A$20000,0),MATCH("Intent",'Semrush Data'!$A$1:$Z$1,0)),"")</f>
        <v/>
      </c>
    </row>
    <row r="985" ht="15" customHeight="1" s="37">
      <c r="A985" s="42" t="inlineStr">
        <is>
          <t>dolce &amp; gabbana devotion uk</t>
        </is>
      </c>
      <c r="B985" s="42" t="inlineStr">
        <is>
          <t>Product + UK</t>
        </is>
      </c>
      <c r="C985" s="42" t="n">
        <v>2</v>
      </c>
      <c r="D985" s="42" t="inlineStr">
        <is>
          <t>T2-1</t>
        </is>
      </c>
      <c r="E985" s="42" t="n">
        <v>1</v>
      </c>
      <c r="F985" s="42" t="inlineStr">
        <is>
          <t>FR-120</t>
        </is>
      </c>
      <c r="G985" s="55">
        <f>IFERROR(INDEX('Semrush Data'!$A$1:$Z$20000,MATCH(A985,'Semrush Data'!$A$1:$A$20000,0),MATCH("Volume",'Semrush Data'!$A$1:$Z$1,0)),"")</f>
        <v/>
      </c>
      <c r="H985" s="42">
        <f>IFERROR(INDEX('Semrush Data'!$A$1:$Z$20000,MATCH(A985,'Semrush Data'!$A$1:$A$20000,0),MATCH("Keyword Difficulty*",'Semrush Data'!$A$1:$Z$1,0)),"")</f>
        <v/>
      </c>
      <c r="I985" s="56">
        <f>IFERROR(INDEX('Semrush Data'!$A$1:$Z$20000,MATCH(A985,'Semrush Data'!$A$1:$A$20000,0),MATCH("CPC*",'Semrush Data'!$A$1:$Z$1,0)),"")</f>
        <v/>
      </c>
      <c r="J985" s="42">
        <f>IFERROR(INDEX('Semrush Data'!$A$1:$Z$20000,MATCH(A985,'Semrush Data'!$A$1:$A$20000,0),MATCH("Intent",'Semrush Data'!$A$1:$Z$1,0)),"")</f>
        <v/>
      </c>
    </row>
    <row r="986" ht="15" customHeight="1" s="37">
      <c r="A986" s="42" t="inlineStr">
        <is>
          <t>dolce &amp; gabbana k gift set uk</t>
        </is>
      </c>
      <c r="B986" s="42" t="inlineStr">
        <is>
          <t>Product + UK</t>
        </is>
      </c>
      <c r="C986" s="42" t="n">
        <v>2</v>
      </c>
      <c r="D986" s="42" t="n">
        <v>10</v>
      </c>
      <c r="E986" s="42" t="n">
        <v>1</v>
      </c>
      <c r="F986" s="42" t="inlineStr">
        <is>
          <t>FR-128</t>
        </is>
      </c>
      <c r="G986" s="55">
        <f>IFERROR(INDEX('Semrush Data'!$A$1:$Z$20000,MATCH(A986,'Semrush Data'!$A$1:$A$20000,0),MATCH("Volume",'Semrush Data'!$A$1:$Z$1,0)),"")</f>
        <v/>
      </c>
      <c r="H986" s="42">
        <f>IFERROR(INDEX('Semrush Data'!$A$1:$Z$20000,MATCH(A986,'Semrush Data'!$A$1:$A$20000,0),MATCH("Keyword Difficulty*",'Semrush Data'!$A$1:$Z$1,0)),"")</f>
        <v/>
      </c>
      <c r="I986" s="56">
        <f>IFERROR(INDEX('Semrush Data'!$A$1:$Z$20000,MATCH(A986,'Semrush Data'!$A$1:$A$20000,0),MATCH("CPC*",'Semrush Data'!$A$1:$Z$1,0)),"")</f>
        <v/>
      </c>
      <c r="J986" s="42">
        <f>IFERROR(INDEX('Semrush Data'!$A$1:$Z$20000,MATCH(A986,'Semrush Data'!$A$1:$A$20000,0),MATCH("Intent",'Semrush Data'!$A$1:$Z$1,0)),"")</f>
        <v/>
      </c>
    </row>
    <row r="987" ht="15" customHeight="1" s="37">
      <c r="A987" s="42" t="inlineStr">
        <is>
          <t>dolce &amp; gabbana l'imperatrice uk</t>
        </is>
      </c>
      <c r="B987" s="42" t="inlineStr">
        <is>
          <t>Product + UK</t>
        </is>
      </c>
      <c r="C987" s="42" t="n">
        <v>2</v>
      </c>
      <c r="D987" s="42" t="inlineStr">
        <is>
          <t>T2-1</t>
        </is>
      </c>
      <c r="E987" s="42" t="n">
        <v>1</v>
      </c>
      <c r="F987" s="42" t="inlineStr">
        <is>
          <t>FR-126</t>
        </is>
      </c>
      <c r="G987" s="55">
        <f>IFERROR(INDEX('Semrush Data'!$A$1:$Z$20000,MATCH(A987,'Semrush Data'!$A$1:$A$20000,0),MATCH("Volume",'Semrush Data'!$A$1:$Z$1,0)),"")</f>
        <v/>
      </c>
      <c r="H987" s="42">
        <f>IFERROR(INDEX('Semrush Data'!$A$1:$Z$20000,MATCH(A987,'Semrush Data'!$A$1:$A$20000,0),MATCH("Keyword Difficulty*",'Semrush Data'!$A$1:$Z$1,0)),"")</f>
        <v/>
      </c>
      <c r="I987" s="56">
        <f>IFERROR(INDEX('Semrush Data'!$A$1:$Z$20000,MATCH(A987,'Semrush Data'!$A$1:$A$20000,0),MATCH("CPC*",'Semrush Data'!$A$1:$Z$1,0)),"")</f>
        <v/>
      </c>
      <c r="J987" s="42">
        <f>IFERROR(INDEX('Semrush Data'!$A$1:$Z$20000,MATCH(A987,'Semrush Data'!$A$1:$A$20000,0),MATCH("Intent",'Semrush Data'!$A$1:$Z$1,0)),"")</f>
        <v/>
      </c>
    </row>
    <row r="988" ht="15" customHeight="1" s="37">
      <c r="A988" s="42" t="inlineStr">
        <is>
          <t>dolce &amp; gabbana miniature set uk</t>
        </is>
      </c>
      <c r="B988" s="42" t="inlineStr">
        <is>
          <t>Product + UK</t>
        </is>
      </c>
      <c r="C988" s="42" t="n">
        <v>2</v>
      </c>
      <c r="D988" s="42" t="n">
        <v>10</v>
      </c>
      <c r="E988" s="42" t="n">
        <v>2</v>
      </c>
      <c r="F988" s="42" t="inlineStr">
        <is>
          <t>FR-129, FR-131</t>
        </is>
      </c>
      <c r="G988" s="55">
        <f>IFERROR(INDEX('Semrush Data'!$A$1:$Z$20000,MATCH(A988,'Semrush Data'!$A$1:$A$20000,0),MATCH("Volume",'Semrush Data'!$A$1:$Z$1,0)),"")</f>
        <v/>
      </c>
      <c r="H988" s="42">
        <f>IFERROR(INDEX('Semrush Data'!$A$1:$Z$20000,MATCH(A988,'Semrush Data'!$A$1:$A$20000,0),MATCH("Keyword Difficulty*",'Semrush Data'!$A$1:$Z$1,0)),"")</f>
        <v/>
      </c>
      <c r="I988" s="56">
        <f>IFERROR(INDEX('Semrush Data'!$A$1:$Z$20000,MATCH(A988,'Semrush Data'!$A$1:$A$20000,0),MATCH("CPC*",'Semrush Data'!$A$1:$Z$1,0)),"")</f>
        <v/>
      </c>
      <c r="J988" s="42">
        <f>IFERROR(INDEX('Semrush Data'!$A$1:$Z$20000,MATCH(A988,'Semrush Data'!$A$1:$A$20000,0),MATCH("Intent",'Semrush Data'!$A$1:$Z$1,0)),"")</f>
        <v/>
      </c>
    </row>
    <row r="989" ht="15" customHeight="1" s="37">
      <c r="A989" s="42" t="inlineStr">
        <is>
          <t>dolce &amp; gabbana q uk</t>
        </is>
      </c>
      <c r="B989" s="42" t="inlineStr">
        <is>
          <t>Product + UK</t>
        </is>
      </c>
      <c r="C989" s="42" t="n">
        <v>2</v>
      </c>
      <c r="D989" s="42" t="n">
        <v>10</v>
      </c>
      <c r="E989" s="42" t="n">
        <v>1</v>
      </c>
      <c r="F989" s="42" t="inlineStr">
        <is>
          <t>FR-121</t>
        </is>
      </c>
      <c r="G989" s="55">
        <f>IFERROR(INDEX('Semrush Data'!$A$1:$Z$20000,MATCH(A989,'Semrush Data'!$A$1:$A$20000,0),MATCH("Volume",'Semrush Data'!$A$1:$Z$1,0)),"")</f>
        <v/>
      </c>
      <c r="H989" s="42">
        <f>IFERROR(INDEX('Semrush Data'!$A$1:$Z$20000,MATCH(A989,'Semrush Data'!$A$1:$A$20000,0),MATCH("Keyword Difficulty*",'Semrush Data'!$A$1:$Z$1,0)),"")</f>
        <v/>
      </c>
      <c r="I989" s="56">
        <f>IFERROR(INDEX('Semrush Data'!$A$1:$Z$20000,MATCH(A989,'Semrush Data'!$A$1:$A$20000,0),MATCH("CPC*",'Semrush Data'!$A$1:$Z$1,0)),"")</f>
        <v/>
      </c>
      <c r="J989" s="42">
        <f>IFERROR(INDEX('Semrush Data'!$A$1:$Z$20000,MATCH(A989,'Semrush Data'!$A$1:$A$20000,0),MATCH("Intent",'Semrush Data'!$A$1:$Z$1,0)),"")</f>
        <v/>
      </c>
    </row>
    <row r="990" ht="15" customHeight="1" s="37">
      <c r="A990" s="42" t="inlineStr">
        <is>
          <t>dolce &amp; gabbana the one gift set uk</t>
        </is>
      </c>
      <c r="B990" s="42" t="inlineStr">
        <is>
          <t>Product + UK</t>
        </is>
      </c>
      <c r="C990" s="42" t="n">
        <v>2</v>
      </c>
      <c r="D990" s="42" t="inlineStr">
        <is>
          <t>T2-2</t>
        </is>
      </c>
      <c r="E990" s="42" t="n">
        <v>1</v>
      </c>
      <c r="F990" s="42" t="inlineStr">
        <is>
          <t>FR-130</t>
        </is>
      </c>
      <c r="G990" s="55">
        <f>IFERROR(INDEX('Semrush Data'!$A$1:$Z$20000,MATCH(A990,'Semrush Data'!$A$1:$A$20000,0),MATCH("Volume",'Semrush Data'!$A$1:$Z$1,0)),"")</f>
        <v/>
      </c>
      <c r="H990" s="42">
        <f>IFERROR(INDEX('Semrush Data'!$A$1:$Z$20000,MATCH(A990,'Semrush Data'!$A$1:$A$20000,0),MATCH("Keyword Difficulty*",'Semrush Data'!$A$1:$Z$1,0)),"")</f>
        <v/>
      </c>
      <c r="I990" s="56">
        <f>IFERROR(INDEX('Semrush Data'!$A$1:$Z$20000,MATCH(A990,'Semrush Data'!$A$1:$A$20000,0),MATCH("CPC*",'Semrush Data'!$A$1:$Z$1,0)),"")</f>
        <v/>
      </c>
      <c r="J990" s="42">
        <f>IFERROR(INDEX('Semrush Data'!$A$1:$Z$20000,MATCH(A990,'Semrush Data'!$A$1:$A$20000,0),MATCH("Intent",'Semrush Data'!$A$1:$Z$1,0)),"")</f>
        <v/>
      </c>
    </row>
    <row r="991" ht="15" customHeight="1" s="37">
      <c r="A991" s="42" t="inlineStr">
        <is>
          <t>dolce &amp; gabbana the one gold intense uk</t>
        </is>
      </c>
      <c r="B991" s="42" t="inlineStr">
        <is>
          <t>Product + UK</t>
        </is>
      </c>
      <c r="C991" s="42" t="n">
        <v>2</v>
      </c>
      <c r="D991" s="42" t="n">
        <v>10</v>
      </c>
      <c r="E991" s="42" t="n">
        <v>1</v>
      </c>
      <c r="F991" s="42" t="inlineStr">
        <is>
          <t>FR-125</t>
        </is>
      </c>
      <c r="G991" s="55">
        <f>IFERROR(INDEX('Semrush Data'!$A$1:$Z$20000,MATCH(A991,'Semrush Data'!$A$1:$A$20000,0),MATCH("Volume",'Semrush Data'!$A$1:$Z$1,0)),"")</f>
        <v/>
      </c>
      <c r="H991" s="42">
        <f>IFERROR(INDEX('Semrush Data'!$A$1:$Z$20000,MATCH(A991,'Semrush Data'!$A$1:$A$20000,0),MATCH("Keyword Difficulty*",'Semrush Data'!$A$1:$Z$1,0)),"")</f>
        <v/>
      </c>
      <c r="I991" s="56">
        <f>IFERROR(INDEX('Semrush Data'!$A$1:$Z$20000,MATCH(A991,'Semrush Data'!$A$1:$A$20000,0),MATCH("CPC*",'Semrush Data'!$A$1:$Z$1,0)),"")</f>
        <v/>
      </c>
      <c r="J991" s="42">
        <f>IFERROR(INDEX('Semrush Data'!$A$1:$Z$20000,MATCH(A991,'Semrush Data'!$A$1:$A$20000,0),MATCH("Intent",'Semrush Data'!$A$1:$Z$1,0)),"")</f>
        <v/>
      </c>
    </row>
    <row r="992" ht="15" customHeight="1" s="37">
      <c r="A992" s="42" t="inlineStr">
        <is>
          <t>dolce &amp; gabbana the one intense uk</t>
        </is>
      </c>
      <c r="B992" s="42" t="inlineStr">
        <is>
          <t>Product + UK</t>
        </is>
      </c>
      <c r="C992" s="42" t="n">
        <v>2</v>
      </c>
      <c r="D992" s="42" t="inlineStr">
        <is>
          <t>T2-2</t>
        </is>
      </c>
      <c r="E992" s="42" t="n">
        <v>1</v>
      </c>
      <c r="F992" s="42" t="inlineStr">
        <is>
          <t>FR-124</t>
        </is>
      </c>
      <c r="G992" s="55">
        <f>IFERROR(INDEX('Semrush Data'!$A$1:$Z$20000,MATCH(A992,'Semrush Data'!$A$1:$A$20000,0),MATCH("Volume",'Semrush Data'!$A$1:$Z$1,0)),"")</f>
        <v/>
      </c>
      <c r="H992" s="42">
        <f>IFERROR(INDEX('Semrush Data'!$A$1:$Z$20000,MATCH(A992,'Semrush Data'!$A$1:$A$20000,0),MATCH("Keyword Difficulty*",'Semrush Data'!$A$1:$Z$1,0)),"")</f>
        <v/>
      </c>
      <c r="I992" s="56">
        <f>IFERROR(INDEX('Semrush Data'!$A$1:$Z$20000,MATCH(A992,'Semrush Data'!$A$1:$A$20000,0),MATCH("CPC*",'Semrush Data'!$A$1:$Z$1,0)),"")</f>
        <v/>
      </c>
      <c r="J992" s="42">
        <f>IFERROR(INDEX('Semrush Data'!$A$1:$Z$20000,MATCH(A992,'Semrush Data'!$A$1:$A$20000,0),MATCH("Intent",'Semrush Data'!$A$1:$Z$1,0)),"")</f>
        <v/>
      </c>
    </row>
    <row r="993" ht="15" customHeight="1" s="37">
      <c r="A993" s="42" t="inlineStr">
        <is>
          <t>dolce &amp; gabbana the one uk</t>
        </is>
      </c>
      <c r="B993" s="42" t="inlineStr">
        <is>
          <t>Product + UK</t>
        </is>
      </c>
      <c r="C993" s="42" t="n">
        <v>2</v>
      </c>
      <c r="D993" s="42" t="inlineStr">
        <is>
          <t>T2-1</t>
        </is>
      </c>
      <c r="E993" s="42" t="n">
        <v>2</v>
      </c>
      <c r="F993" s="42" t="inlineStr">
        <is>
          <t>FR-122, FR-123</t>
        </is>
      </c>
      <c r="G993" s="55">
        <f>IFERROR(INDEX('Semrush Data'!$A$1:$Z$20000,MATCH(A993,'Semrush Data'!$A$1:$A$20000,0),MATCH("Volume",'Semrush Data'!$A$1:$Z$1,0)),"")</f>
        <v/>
      </c>
      <c r="H993" s="42">
        <f>IFERROR(INDEX('Semrush Data'!$A$1:$Z$20000,MATCH(A993,'Semrush Data'!$A$1:$A$20000,0),MATCH("Keyword Difficulty*",'Semrush Data'!$A$1:$Z$1,0)),"")</f>
        <v/>
      </c>
      <c r="I993" s="56">
        <f>IFERROR(INDEX('Semrush Data'!$A$1:$Z$20000,MATCH(A993,'Semrush Data'!$A$1:$A$20000,0),MATCH("CPC*",'Semrush Data'!$A$1:$Z$1,0)),"")</f>
        <v/>
      </c>
      <c r="J993" s="42">
        <f>IFERROR(INDEX('Semrush Data'!$A$1:$Z$20000,MATCH(A993,'Semrush Data'!$A$1:$A$20000,0),MATCH("Intent",'Semrush Data'!$A$1:$Z$1,0)),"")</f>
        <v/>
      </c>
    </row>
    <row r="994" ht="15" customHeight="1" s="37">
      <c r="A994" s="42" t="inlineStr">
        <is>
          <t>dunhill desire black uk</t>
        </is>
      </c>
      <c r="B994" s="42" t="inlineStr">
        <is>
          <t>Product + UK</t>
        </is>
      </c>
      <c r="C994" s="42" t="n">
        <v>2</v>
      </c>
      <c r="D994" s="42" t="n">
        <v>10</v>
      </c>
      <c r="E994" s="42" t="n">
        <v>1</v>
      </c>
      <c r="F994" s="42" t="inlineStr">
        <is>
          <t>FR-142</t>
        </is>
      </c>
      <c r="G994" s="55">
        <f>IFERROR(INDEX('Semrush Data'!$A$1:$Z$20000,MATCH(A994,'Semrush Data'!$A$1:$A$20000,0),MATCH("Volume",'Semrush Data'!$A$1:$Z$1,0)),"")</f>
        <v/>
      </c>
      <c r="H994" s="42">
        <f>IFERROR(INDEX('Semrush Data'!$A$1:$Z$20000,MATCH(A994,'Semrush Data'!$A$1:$A$20000,0),MATCH("Keyword Difficulty*",'Semrush Data'!$A$1:$Z$1,0)),"")</f>
        <v/>
      </c>
      <c r="I994" s="56">
        <f>IFERROR(INDEX('Semrush Data'!$A$1:$Z$20000,MATCH(A994,'Semrush Data'!$A$1:$A$20000,0),MATCH("CPC*",'Semrush Data'!$A$1:$Z$1,0)),"")</f>
        <v/>
      </c>
      <c r="J994" s="42">
        <f>IFERROR(INDEX('Semrush Data'!$A$1:$Z$20000,MATCH(A994,'Semrush Data'!$A$1:$A$20000,0),MATCH("Intent",'Semrush Data'!$A$1:$Z$1,0)),"")</f>
        <v/>
      </c>
    </row>
    <row r="995" ht="15" customHeight="1" s="37">
      <c r="A995" s="42" t="inlineStr">
        <is>
          <t>dunhill desire blue uk</t>
        </is>
      </c>
      <c r="B995" s="42" t="inlineStr">
        <is>
          <t>Product + UK</t>
        </is>
      </c>
      <c r="C995" s="42" t="n">
        <v>2</v>
      </c>
      <c r="D995" s="42" t="inlineStr">
        <is>
          <t>T2-2</t>
        </is>
      </c>
      <c r="E995" s="42" t="n">
        <v>1</v>
      </c>
      <c r="F995" s="42" t="inlineStr">
        <is>
          <t>FR-143</t>
        </is>
      </c>
      <c r="G995" s="55">
        <f>IFERROR(INDEX('Semrush Data'!$A$1:$Z$20000,MATCH(A995,'Semrush Data'!$A$1:$A$20000,0),MATCH("Volume",'Semrush Data'!$A$1:$Z$1,0)),"")</f>
        <v/>
      </c>
      <c r="H995" s="42">
        <f>IFERROR(INDEX('Semrush Data'!$A$1:$Z$20000,MATCH(A995,'Semrush Data'!$A$1:$A$20000,0),MATCH("Keyword Difficulty*",'Semrush Data'!$A$1:$Z$1,0)),"")</f>
        <v/>
      </c>
      <c r="I995" s="56">
        <f>IFERROR(INDEX('Semrush Data'!$A$1:$Z$20000,MATCH(A995,'Semrush Data'!$A$1:$A$20000,0),MATCH("CPC*",'Semrush Data'!$A$1:$Z$1,0)),"")</f>
        <v/>
      </c>
      <c r="J995" s="42">
        <f>IFERROR(INDEX('Semrush Data'!$A$1:$Z$20000,MATCH(A995,'Semrush Data'!$A$1:$A$20000,0),MATCH("Intent",'Semrush Data'!$A$1:$Z$1,0)),"")</f>
        <v/>
      </c>
    </row>
    <row r="996" ht="15" customHeight="1" s="37">
      <c r="A996" s="42" t="inlineStr">
        <is>
          <t>dunhill desire gold uk</t>
        </is>
      </c>
      <c r="B996" s="42" t="inlineStr">
        <is>
          <t>Product + UK</t>
        </is>
      </c>
      <c r="C996" s="42" t="n">
        <v>2</v>
      </c>
      <c r="D996" s="42" t="n">
        <v>10</v>
      </c>
      <c r="E996" s="42" t="n">
        <v>1</v>
      </c>
      <c r="F996" s="42" t="inlineStr">
        <is>
          <t>FR-144</t>
        </is>
      </c>
      <c r="G996" s="55">
        <f>IFERROR(INDEX('Semrush Data'!$A$1:$Z$20000,MATCH(A996,'Semrush Data'!$A$1:$A$20000,0),MATCH("Volume",'Semrush Data'!$A$1:$Z$1,0)),"")</f>
        <v/>
      </c>
      <c r="H996" s="42">
        <f>IFERROR(INDEX('Semrush Data'!$A$1:$Z$20000,MATCH(A996,'Semrush Data'!$A$1:$A$20000,0),MATCH("Keyword Difficulty*",'Semrush Data'!$A$1:$Z$1,0)),"")</f>
        <v/>
      </c>
      <c r="I996" s="56">
        <f>IFERROR(INDEX('Semrush Data'!$A$1:$Z$20000,MATCH(A996,'Semrush Data'!$A$1:$A$20000,0),MATCH("CPC*",'Semrush Data'!$A$1:$Z$1,0)),"")</f>
        <v/>
      </c>
      <c r="J996" s="42">
        <f>IFERROR(INDEX('Semrush Data'!$A$1:$Z$20000,MATCH(A996,'Semrush Data'!$A$1:$A$20000,0),MATCH("Intent",'Semrush Data'!$A$1:$Z$1,0)),"")</f>
        <v/>
      </c>
    </row>
    <row r="997" ht="15" customHeight="1" s="37">
      <c r="A997" s="42" t="inlineStr">
        <is>
          <t>dunhill desire silver uk</t>
        </is>
      </c>
      <c r="B997" s="42" t="inlineStr">
        <is>
          <t>Product + UK</t>
        </is>
      </c>
      <c r="C997" s="42" t="n">
        <v>2</v>
      </c>
      <c r="D997" s="42" t="n">
        <v>10</v>
      </c>
      <c r="E997" s="42" t="n">
        <v>1</v>
      </c>
      <c r="F997" s="42" t="inlineStr">
        <is>
          <t>FR-145</t>
        </is>
      </c>
      <c r="G997" s="55">
        <f>IFERROR(INDEX('Semrush Data'!$A$1:$Z$20000,MATCH(A997,'Semrush Data'!$A$1:$A$20000,0),MATCH("Volume",'Semrush Data'!$A$1:$Z$1,0)),"")</f>
        <v/>
      </c>
      <c r="H997" s="42">
        <f>IFERROR(INDEX('Semrush Data'!$A$1:$Z$20000,MATCH(A997,'Semrush Data'!$A$1:$A$20000,0),MATCH("Keyword Difficulty*",'Semrush Data'!$A$1:$Z$1,0)),"")</f>
        <v/>
      </c>
      <c r="I997" s="56">
        <f>IFERROR(INDEX('Semrush Data'!$A$1:$Z$20000,MATCH(A997,'Semrush Data'!$A$1:$A$20000,0),MATCH("CPC*",'Semrush Data'!$A$1:$Z$1,0)),"")</f>
        <v/>
      </c>
      <c r="J997" s="42">
        <f>IFERROR(INDEX('Semrush Data'!$A$1:$Z$20000,MATCH(A997,'Semrush Data'!$A$1:$A$20000,0),MATCH("Intent",'Semrush Data'!$A$1:$Z$1,0)),"")</f>
        <v/>
      </c>
    </row>
    <row r="998" ht="15" customHeight="1" s="37">
      <c r="A998" s="42" t="inlineStr">
        <is>
          <t>dunhill signature collection agar wood uk</t>
        </is>
      </c>
      <c r="B998" s="42" t="inlineStr">
        <is>
          <t>Product + UK</t>
        </is>
      </c>
      <c r="C998" s="42" t="n">
        <v>2</v>
      </c>
      <c r="D998" s="42" t="n">
        <v>10</v>
      </c>
      <c r="E998" s="42" t="n">
        <v>1</v>
      </c>
      <c r="F998" s="42" t="inlineStr">
        <is>
          <t>FR-132</t>
        </is>
      </c>
      <c r="G998" s="55">
        <f>IFERROR(INDEX('Semrush Data'!$A$1:$Z$20000,MATCH(A998,'Semrush Data'!$A$1:$A$20000,0),MATCH("Volume",'Semrush Data'!$A$1:$Z$1,0)),"")</f>
        <v/>
      </c>
      <c r="H998" s="42">
        <f>IFERROR(INDEX('Semrush Data'!$A$1:$Z$20000,MATCH(A998,'Semrush Data'!$A$1:$A$20000,0),MATCH("Keyword Difficulty*",'Semrush Data'!$A$1:$Z$1,0)),"")</f>
        <v/>
      </c>
      <c r="I998" s="56">
        <f>IFERROR(INDEX('Semrush Data'!$A$1:$Z$20000,MATCH(A998,'Semrush Data'!$A$1:$A$20000,0),MATCH("CPC*",'Semrush Data'!$A$1:$Z$1,0)),"")</f>
        <v/>
      </c>
      <c r="J998" s="42">
        <f>IFERROR(INDEX('Semrush Data'!$A$1:$Z$20000,MATCH(A998,'Semrush Data'!$A$1:$A$20000,0),MATCH("Intent",'Semrush Data'!$A$1:$Z$1,0)),"")</f>
        <v/>
      </c>
    </row>
    <row r="999" ht="15" customHeight="1" s="37">
      <c r="A999" s="42" t="inlineStr">
        <is>
          <t>dunhill signature collection amalfi citrus uk</t>
        </is>
      </c>
      <c r="B999" s="42" t="inlineStr">
        <is>
          <t>Product + UK</t>
        </is>
      </c>
      <c r="C999" s="42" t="n">
        <v>2</v>
      </c>
      <c r="D999" s="42" t="n">
        <v>10</v>
      </c>
      <c r="E999" s="42" t="n">
        <v>1</v>
      </c>
      <c r="F999" s="42" t="inlineStr">
        <is>
          <t>FR-133</t>
        </is>
      </c>
      <c r="G999" s="55">
        <f>IFERROR(INDEX('Semrush Data'!$A$1:$Z$20000,MATCH(A999,'Semrush Data'!$A$1:$A$20000,0),MATCH("Volume",'Semrush Data'!$A$1:$Z$1,0)),"")</f>
        <v/>
      </c>
      <c r="H999" s="42">
        <f>IFERROR(INDEX('Semrush Data'!$A$1:$Z$20000,MATCH(A999,'Semrush Data'!$A$1:$A$20000,0),MATCH("Keyword Difficulty*",'Semrush Data'!$A$1:$Z$1,0)),"")</f>
        <v/>
      </c>
      <c r="I999" s="56">
        <f>IFERROR(INDEX('Semrush Data'!$A$1:$Z$20000,MATCH(A999,'Semrush Data'!$A$1:$A$20000,0),MATCH("CPC*",'Semrush Data'!$A$1:$Z$1,0)),"")</f>
        <v/>
      </c>
      <c r="J999" s="42">
        <f>IFERROR(INDEX('Semrush Data'!$A$1:$Z$20000,MATCH(A999,'Semrush Data'!$A$1:$A$20000,0),MATCH("Intent",'Semrush Data'!$A$1:$Z$1,0)),"")</f>
        <v/>
      </c>
    </row>
    <row r="1000" ht="15" customHeight="1" s="37">
      <c r="A1000" s="42" t="inlineStr">
        <is>
          <t>dunhill signature collection arabian desert uk</t>
        </is>
      </c>
      <c r="B1000" s="42" t="inlineStr">
        <is>
          <t>Product + UK</t>
        </is>
      </c>
      <c r="C1000" s="42" t="n">
        <v>2</v>
      </c>
      <c r="D1000" s="42" t="n">
        <v>10</v>
      </c>
      <c r="E1000" s="42" t="n">
        <v>1</v>
      </c>
      <c r="F1000" s="42" t="inlineStr">
        <is>
          <t>FR-134</t>
        </is>
      </c>
      <c r="G1000" s="55">
        <f>IFERROR(INDEX('Semrush Data'!$A$1:$Z$20000,MATCH(A1000,'Semrush Data'!$A$1:$A$20000,0),MATCH("Volume",'Semrush Data'!$A$1:$Z$1,0)),"")</f>
        <v/>
      </c>
      <c r="H1000" s="42">
        <f>IFERROR(INDEX('Semrush Data'!$A$1:$Z$20000,MATCH(A1000,'Semrush Data'!$A$1:$A$20000,0),MATCH("Keyword Difficulty*",'Semrush Data'!$A$1:$Z$1,0)),"")</f>
        <v/>
      </c>
      <c r="I1000" s="56">
        <f>IFERROR(INDEX('Semrush Data'!$A$1:$Z$20000,MATCH(A1000,'Semrush Data'!$A$1:$A$20000,0),MATCH("CPC*",'Semrush Data'!$A$1:$Z$1,0)),"")</f>
        <v/>
      </c>
      <c r="J1000" s="42">
        <f>IFERROR(INDEX('Semrush Data'!$A$1:$Z$20000,MATCH(A1000,'Semrush Data'!$A$1:$A$20000,0),MATCH("Intent",'Semrush Data'!$A$1:$Z$1,0)),"")</f>
        <v/>
      </c>
    </row>
    <row r="1001" ht="15" customHeight="1" s="37">
      <c r="A1001" s="42" t="inlineStr">
        <is>
          <t>dunhill signature collection british leather uk</t>
        </is>
      </c>
      <c r="B1001" s="42" t="inlineStr">
        <is>
          <t>Product + UK</t>
        </is>
      </c>
      <c r="C1001" s="42" t="n">
        <v>2</v>
      </c>
      <c r="D1001" s="42" t="n">
        <v>10</v>
      </c>
      <c r="E1001" s="42" t="n">
        <v>1</v>
      </c>
      <c r="F1001" s="42" t="inlineStr">
        <is>
          <t>FR-135</t>
        </is>
      </c>
      <c r="G1001" s="55">
        <f>IFERROR(INDEX('Semrush Data'!$A$1:$Z$20000,MATCH(A1001,'Semrush Data'!$A$1:$A$20000,0),MATCH("Volume",'Semrush Data'!$A$1:$Z$1,0)),"")</f>
        <v/>
      </c>
      <c r="H1001" s="42">
        <f>IFERROR(INDEX('Semrush Data'!$A$1:$Z$20000,MATCH(A1001,'Semrush Data'!$A$1:$A$20000,0),MATCH("Keyword Difficulty*",'Semrush Data'!$A$1:$Z$1,0)),"")</f>
        <v/>
      </c>
      <c r="I1001" s="56">
        <f>IFERROR(INDEX('Semrush Data'!$A$1:$Z$20000,MATCH(A1001,'Semrush Data'!$A$1:$A$20000,0),MATCH("CPC*",'Semrush Data'!$A$1:$Z$1,0)),"")</f>
        <v/>
      </c>
      <c r="J1001" s="42">
        <f>IFERROR(INDEX('Semrush Data'!$A$1:$Z$20000,MATCH(A1001,'Semrush Data'!$A$1:$A$20000,0),MATCH("Intent",'Semrush Data'!$A$1:$Z$1,0)),"")</f>
        <v/>
      </c>
    </row>
    <row r="1002" ht="15" customHeight="1" s="37">
      <c r="A1002" s="42" t="inlineStr">
        <is>
          <t>dunhill signature collection egyptian smoke uk</t>
        </is>
      </c>
      <c r="B1002" s="42" t="inlineStr">
        <is>
          <t>Product + UK</t>
        </is>
      </c>
      <c r="C1002" s="42" t="n">
        <v>2</v>
      </c>
      <c r="D1002" s="42" t="n">
        <v>11</v>
      </c>
      <c r="E1002" s="42" t="n">
        <v>1</v>
      </c>
      <c r="F1002" s="42" t="inlineStr">
        <is>
          <t>FR-136</t>
        </is>
      </c>
      <c r="G1002" s="55">
        <f>IFERROR(INDEX('Semrush Data'!$A$1:$Z$20000,MATCH(A1002,'Semrush Data'!$A$1:$A$20000,0),MATCH("Volume",'Semrush Data'!$A$1:$Z$1,0)),"")</f>
        <v/>
      </c>
      <c r="H1002" s="42">
        <f>IFERROR(INDEX('Semrush Data'!$A$1:$Z$20000,MATCH(A1002,'Semrush Data'!$A$1:$A$20000,0),MATCH("Keyword Difficulty*",'Semrush Data'!$A$1:$Z$1,0)),"")</f>
        <v/>
      </c>
      <c r="I1002" s="56">
        <f>IFERROR(INDEX('Semrush Data'!$A$1:$Z$20000,MATCH(A1002,'Semrush Data'!$A$1:$A$20000,0),MATCH("CPC*",'Semrush Data'!$A$1:$Z$1,0)),"")</f>
        <v/>
      </c>
      <c r="J1002" s="42">
        <f>IFERROR(INDEX('Semrush Data'!$A$1:$Z$20000,MATCH(A1002,'Semrush Data'!$A$1:$A$20000,0),MATCH("Intent",'Semrush Data'!$A$1:$Z$1,0)),"")</f>
        <v/>
      </c>
    </row>
    <row r="1003" ht="15" customHeight="1" s="37">
      <c r="A1003" s="42" t="inlineStr">
        <is>
          <t>dunhill signature collection indian sandalwood uk</t>
        </is>
      </c>
      <c r="B1003" s="42" t="inlineStr">
        <is>
          <t>Product + UK</t>
        </is>
      </c>
      <c r="C1003" s="42" t="n">
        <v>2</v>
      </c>
      <c r="D1003" s="42" t="n">
        <v>11</v>
      </c>
      <c r="E1003" s="42" t="n">
        <v>1</v>
      </c>
      <c r="F1003" s="42" t="inlineStr">
        <is>
          <t>FR-137</t>
        </is>
      </c>
      <c r="G1003" s="55">
        <f>IFERROR(INDEX('Semrush Data'!$A$1:$Z$20000,MATCH(A1003,'Semrush Data'!$A$1:$A$20000,0),MATCH("Volume",'Semrush Data'!$A$1:$Z$1,0)),"")</f>
        <v/>
      </c>
      <c r="H1003" s="42">
        <f>IFERROR(INDEX('Semrush Data'!$A$1:$Z$20000,MATCH(A1003,'Semrush Data'!$A$1:$A$20000,0),MATCH("Keyword Difficulty*",'Semrush Data'!$A$1:$Z$1,0)),"")</f>
        <v/>
      </c>
      <c r="I1003" s="56">
        <f>IFERROR(INDEX('Semrush Data'!$A$1:$Z$20000,MATCH(A1003,'Semrush Data'!$A$1:$A$20000,0),MATCH("CPC*",'Semrush Data'!$A$1:$Z$1,0)),"")</f>
        <v/>
      </c>
      <c r="J1003" s="42">
        <f>IFERROR(INDEX('Semrush Data'!$A$1:$Z$20000,MATCH(A1003,'Semrush Data'!$A$1:$A$20000,0),MATCH("Intent",'Semrush Data'!$A$1:$Z$1,0)),"")</f>
        <v/>
      </c>
    </row>
    <row r="1004" ht="15" customHeight="1" s="37">
      <c r="A1004" s="42" t="inlineStr">
        <is>
          <t>dunhill signature collection mongolian cashmere uk</t>
        </is>
      </c>
      <c r="B1004" s="42" t="inlineStr">
        <is>
          <t>Product + UK</t>
        </is>
      </c>
      <c r="C1004" s="42" t="n">
        <v>2</v>
      </c>
      <c r="D1004" s="42" t="n">
        <v>11</v>
      </c>
      <c r="E1004" s="42" t="n">
        <v>1</v>
      </c>
      <c r="F1004" s="42" t="inlineStr">
        <is>
          <t>FR-138</t>
        </is>
      </c>
      <c r="G1004" s="55">
        <f>IFERROR(INDEX('Semrush Data'!$A$1:$Z$20000,MATCH(A1004,'Semrush Data'!$A$1:$A$20000,0),MATCH("Volume",'Semrush Data'!$A$1:$Z$1,0)),"")</f>
        <v/>
      </c>
      <c r="H1004" s="42">
        <f>IFERROR(INDEX('Semrush Data'!$A$1:$Z$20000,MATCH(A1004,'Semrush Data'!$A$1:$A$20000,0),MATCH("Keyword Difficulty*",'Semrush Data'!$A$1:$Z$1,0)),"")</f>
        <v/>
      </c>
      <c r="I1004" s="56">
        <f>IFERROR(INDEX('Semrush Data'!$A$1:$Z$20000,MATCH(A1004,'Semrush Data'!$A$1:$A$20000,0),MATCH("CPC*",'Semrush Data'!$A$1:$Z$1,0)),"")</f>
        <v/>
      </c>
      <c r="J1004" s="42">
        <f>IFERROR(INDEX('Semrush Data'!$A$1:$Z$20000,MATCH(A1004,'Semrush Data'!$A$1:$A$20000,0),MATCH("Intent",'Semrush Data'!$A$1:$Z$1,0)),"")</f>
        <v/>
      </c>
    </row>
    <row r="1005" ht="15" customHeight="1" s="37">
      <c r="A1005" s="42" t="inlineStr">
        <is>
          <t>dunhill signature collection moroccan amber uk</t>
        </is>
      </c>
      <c r="B1005" s="42" t="inlineStr">
        <is>
          <t>Product + UK</t>
        </is>
      </c>
      <c r="C1005" s="42" t="n">
        <v>2</v>
      </c>
      <c r="D1005" s="42" t="n">
        <v>11</v>
      </c>
      <c r="E1005" s="42" t="n">
        <v>1</v>
      </c>
      <c r="F1005" s="42" t="inlineStr">
        <is>
          <t>FR-139</t>
        </is>
      </c>
      <c r="G1005" s="55">
        <f>IFERROR(INDEX('Semrush Data'!$A$1:$Z$20000,MATCH(A1005,'Semrush Data'!$A$1:$A$20000,0),MATCH("Volume",'Semrush Data'!$A$1:$Z$1,0)),"")</f>
        <v/>
      </c>
      <c r="H1005" s="42">
        <f>IFERROR(INDEX('Semrush Data'!$A$1:$Z$20000,MATCH(A1005,'Semrush Data'!$A$1:$A$20000,0),MATCH("Keyword Difficulty*",'Semrush Data'!$A$1:$Z$1,0)),"")</f>
        <v/>
      </c>
      <c r="I1005" s="56">
        <f>IFERROR(INDEX('Semrush Data'!$A$1:$Z$20000,MATCH(A1005,'Semrush Data'!$A$1:$A$20000,0),MATCH("CPC*",'Semrush Data'!$A$1:$Z$1,0)),"")</f>
        <v/>
      </c>
      <c r="J1005" s="42">
        <f>IFERROR(INDEX('Semrush Data'!$A$1:$Z$20000,MATCH(A1005,'Semrush Data'!$A$1:$A$20000,0),MATCH("Intent",'Semrush Data'!$A$1:$Z$1,0)),"")</f>
        <v/>
      </c>
    </row>
    <row r="1006" ht="15" customHeight="1" s="37">
      <c r="A1006" s="42" t="inlineStr">
        <is>
          <t>dunhill signature collection nordic fougere uk</t>
        </is>
      </c>
      <c r="B1006" s="42" t="inlineStr">
        <is>
          <t>Product + UK</t>
        </is>
      </c>
      <c r="C1006" s="42" t="n">
        <v>2</v>
      </c>
      <c r="D1006" s="42" t="n">
        <v>11</v>
      </c>
      <c r="E1006" s="42" t="n">
        <v>1</v>
      </c>
      <c r="F1006" s="42" t="inlineStr">
        <is>
          <t>FR-140</t>
        </is>
      </c>
      <c r="G1006" s="55">
        <f>IFERROR(INDEX('Semrush Data'!$A$1:$Z$20000,MATCH(A1006,'Semrush Data'!$A$1:$A$20000,0),MATCH("Volume",'Semrush Data'!$A$1:$Z$1,0)),"")</f>
        <v/>
      </c>
      <c r="H1006" s="42">
        <f>IFERROR(INDEX('Semrush Data'!$A$1:$Z$20000,MATCH(A1006,'Semrush Data'!$A$1:$A$20000,0),MATCH("Keyword Difficulty*",'Semrush Data'!$A$1:$Z$1,0)),"")</f>
        <v/>
      </c>
      <c r="I1006" s="56">
        <f>IFERROR(INDEX('Semrush Data'!$A$1:$Z$20000,MATCH(A1006,'Semrush Data'!$A$1:$A$20000,0),MATCH("CPC*",'Semrush Data'!$A$1:$Z$1,0)),"")</f>
        <v/>
      </c>
      <c r="J1006" s="42">
        <f>IFERROR(INDEX('Semrush Data'!$A$1:$Z$20000,MATCH(A1006,'Semrush Data'!$A$1:$A$20000,0),MATCH("Intent",'Semrush Data'!$A$1:$Z$1,0)),"")</f>
        <v/>
      </c>
    </row>
    <row r="1007" ht="15" customHeight="1" s="37">
      <c r="A1007" s="42" t="inlineStr">
        <is>
          <t>dunhill signature collection valensole lavender uk</t>
        </is>
      </c>
      <c r="B1007" s="42" t="inlineStr">
        <is>
          <t>Product + UK</t>
        </is>
      </c>
      <c r="C1007" s="42" t="n">
        <v>2</v>
      </c>
      <c r="D1007" s="42" t="n">
        <v>11</v>
      </c>
      <c r="E1007" s="42" t="n">
        <v>1</v>
      </c>
      <c r="F1007" s="42" t="inlineStr">
        <is>
          <t>FR-141</t>
        </is>
      </c>
      <c r="G1007" s="55">
        <f>IFERROR(INDEX('Semrush Data'!$A$1:$Z$20000,MATCH(A1007,'Semrush Data'!$A$1:$A$20000,0),MATCH("Volume",'Semrush Data'!$A$1:$Z$1,0)),"")</f>
        <v/>
      </c>
      <c r="H1007" s="42">
        <f>IFERROR(INDEX('Semrush Data'!$A$1:$Z$20000,MATCH(A1007,'Semrush Data'!$A$1:$A$20000,0),MATCH("Keyword Difficulty*",'Semrush Data'!$A$1:$Z$1,0)),"")</f>
        <v/>
      </c>
      <c r="I1007" s="56">
        <f>IFERROR(INDEX('Semrush Data'!$A$1:$Z$20000,MATCH(A1007,'Semrush Data'!$A$1:$A$20000,0),MATCH("CPC*",'Semrush Data'!$A$1:$Z$1,0)),"")</f>
        <v/>
      </c>
      <c r="J1007" s="42">
        <f>IFERROR(INDEX('Semrush Data'!$A$1:$Z$20000,MATCH(A1007,'Semrush Data'!$A$1:$A$20000,0),MATCH("Intent",'Semrush Data'!$A$1:$Z$1,0)),"")</f>
        <v/>
      </c>
    </row>
    <row r="1008" ht="15" customHeight="1" s="37">
      <c r="A1008" s="42" t="inlineStr">
        <is>
          <t>elie saab elixir uk</t>
        </is>
      </c>
      <c r="B1008" s="42" t="inlineStr">
        <is>
          <t>Product + UK</t>
        </is>
      </c>
      <c r="C1008" s="42" t="n">
        <v>2</v>
      </c>
      <c r="D1008" s="42" t="inlineStr">
        <is>
          <t>T2-1</t>
        </is>
      </c>
      <c r="E1008" s="42" t="n">
        <v>1</v>
      </c>
      <c r="F1008" s="42" t="inlineStr">
        <is>
          <t>FR-146</t>
        </is>
      </c>
      <c r="G1008" s="55">
        <f>IFERROR(INDEX('Semrush Data'!$A$1:$Z$20000,MATCH(A1008,'Semrush Data'!$A$1:$A$20000,0),MATCH("Volume",'Semrush Data'!$A$1:$Z$1,0)),"")</f>
        <v/>
      </c>
      <c r="H1008" s="42">
        <f>IFERROR(INDEX('Semrush Data'!$A$1:$Z$20000,MATCH(A1008,'Semrush Data'!$A$1:$A$20000,0),MATCH("Keyword Difficulty*",'Semrush Data'!$A$1:$Z$1,0)),"")</f>
        <v/>
      </c>
      <c r="I1008" s="56">
        <f>IFERROR(INDEX('Semrush Data'!$A$1:$Z$20000,MATCH(A1008,'Semrush Data'!$A$1:$A$20000,0),MATCH("CPC*",'Semrush Data'!$A$1:$Z$1,0)),"")</f>
        <v/>
      </c>
      <c r="J1008" s="42">
        <f>IFERROR(INDEX('Semrush Data'!$A$1:$Z$20000,MATCH(A1008,'Semrush Data'!$A$1:$A$20000,0),MATCH("Intent",'Semrush Data'!$A$1:$Z$1,0)),"")</f>
        <v/>
      </c>
    </row>
    <row r="1009" ht="15" customHeight="1" s="37">
      <c r="A1009" s="42" t="inlineStr">
        <is>
          <t>elie saab girl of now lovely gift set uk</t>
        </is>
      </c>
      <c r="B1009" s="42" t="inlineStr">
        <is>
          <t>Product + UK</t>
        </is>
      </c>
      <c r="C1009" s="42" t="n">
        <v>2</v>
      </c>
      <c r="D1009" s="42" t="n">
        <v>11</v>
      </c>
      <c r="E1009" s="42" t="n">
        <v>1</v>
      </c>
      <c r="F1009" s="42" t="inlineStr">
        <is>
          <t>FR-153</t>
        </is>
      </c>
      <c r="G1009" s="55">
        <f>IFERROR(INDEX('Semrush Data'!$A$1:$Z$20000,MATCH(A1009,'Semrush Data'!$A$1:$A$20000,0),MATCH("Volume",'Semrush Data'!$A$1:$Z$1,0)),"")</f>
        <v/>
      </c>
      <c r="H1009" s="42">
        <f>IFERROR(INDEX('Semrush Data'!$A$1:$Z$20000,MATCH(A1009,'Semrush Data'!$A$1:$A$20000,0),MATCH("Keyword Difficulty*",'Semrush Data'!$A$1:$Z$1,0)),"")</f>
        <v/>
      </c>
      <c r="I1009" s="56">
        <f>IFERROR(INDEX('Semrush Data'!$A$1:$Z$20000,MATCH(A1009,'Semrush Data'!$A$1:$A$20000,0),MATCH("CPC*",'Semrush Data'!$A$1:$Z$1,0)),"")</f>
        <v/>
      </c>
      <c r="J1009" s="42">
        <f>IFERROR(INDEX('Semrush Data'!$A$1:$Z$20000,MATCH(A1009,'Semrush Data'!$A$1:$A$20000,0),MATCH("Intent",'Semrush Data'!$A$1:$Z$1,0)),"")</f>
        <v/>
      </c>
    </row>
    <row r="1010" ht="15" customHeight="1" s="37">
      <c r="A1010" s="42" t="inlineStr">
        <is>
          <t>elie saab la collection des essences no. 1 rose uk</t>
        </is>
      </c>
      <c r="B1010" s="42" t="inlineStr">
        <is>
          <t>Product + UK</t>
        </is>
      </c>
      <c r="C1010" s="42" t="n">
        <v>2</v>
      </c>
      <c r="D1010" s="42" t="n">
        <v>11</v>
      </c>
      <c r="E1010" s="42" t="n">
        <v>1</v>
      </c>
      <c r="F1010" s="42" t="inlineStr">
        <is>
          <t>FR-147</t>
        </is>
      </c>
      <c r="G1010" s="55">
        <f>IFERROR(INDEX('Semrush Data'!$A$1:$Z$20000,MATCH(A1010,'Semrush Data'!$A$1:$A$20000,0),MATCH("Volume",'Semrush Data'!$A$1:$Z$1,0)),"")</f>
        <v/>
      </c>
      <c r="H1010" s="42">
        <f>IFERROR(INDEX('Semrush Data'!$A$1:$Z$20000,MATCH(A1010,'Semrush Data'!$A$1:$A$20000,0),MATCH("Keyword Difficulty*",'Semrush Data'!$A$1:$Z$1,0)),"")</f>
        <v/>
      </c>
      <c r="I1010" s="56">
        <f>IFERROR(INDEX('Semrush Data'!$A$1:$Z$20000,MATCH(A1010,'Semrush Data'!$A$1:$A$20000,0),MATCH("CPC*",'Semrush Data'!$A$1:$Z$1,0)),"")</f>
        <v/>
      </c>
      <c r="J1010" s="42">
        <f>IFERROR(INDEX('Semrush Data'!$A$1:$Z$20000,MATCH(A1010,'Semrush Data'!$A$1:$A$20000,0),MATCH("Intent",'Semrush Data'!$A$1:$Z$1,0)),"")</f>
        <v/>
      </c>
    </row>
    <row r="1011" ht="15" customHeight="1" s="37">
      <c r="A1011" s="42" t="inlineStr">
        <is>
          <t>elie saab la collection des essences no. 4 oud uk</t>
        </is>
      </c>
      <c r="B1011" s="42" t="inlineStr">
        <is>
          <t>Product + UK</t>
        </is>
      </c>
      <c r="C1011" s="42" t="n">
        <v>2</v>
      </c>
      <c r="D1011" s="42" t="n">
        <v>11</v>
      </c>
      <c r="E1011" s="42" t="n">
        <v>1</v>
      </c>
      <c r="F1011" s="42" t="inlineStr">
        <is>
          <t>FR-148</t>
        </is>
      </c>
      <c r="G1011" s="55">
        <f>IFERROR(INDEX('Semrush Data'!$A$1:$Z$20000,MATCH(A1011,'Semrush Data'!$A$1:$A$20000,0),MATCH("Volume",'Semrush Data'!$A$1:$Z$1,0)),"")</f>
        <v/>
      </c>
      <c r="H1011" s="42">
        <f>IFERROR(INDEX('Semrush Data'!$A$1:$Z$20000,MATCH(A1011,'Semrush Data'!$A$1:$A$20000,0),MATCH("Keyword Difficulty*",'Semrush Data'!$A$1:$Z$1,0)),"")</f>
        <v/>
      </c>
      <c r="I1011" s="56">
        <f>IFERROR(INDEX('Semrush Data'!$A$1:$Z$20000,MATCH(A1011,'Semrush Data'!$A$1:$A$20000,0),MATCH("CPC*",'Semrush Data'!$A$1:$Z$1,0)),"")</f>
        <v/>
      </c>
      <c r="J1011" s="42">
        <f>IFERROR(INDEX('Semrush Data'!$A$1:$Z$20000,MATCH(A1011,'Semrush Data'!$A$1:$A$20000,0),MATCH("Intent",'Semrush Data'!$A$1:$Z$1,0)),"")</f>
        <v/>
      </c>
    </row>
    <row r="1012" ht="15" customHeight="1" s="37">
      <c r="A1012" s="42" t="inlineStr">
        <is>
          <t>elie saab le parfum bridal uk</t>
        </is>
      </c>
      <c r="B1012" s="42" t="inlineStr">
        <is>
          <t>Product + UK</t>
        </is>
      </c>
      <c r="C1012" s="42" t="n">
        <v>2</v>
      </c>
      <c r="D1012" s="42" t="n">
        <v>11</v>
      </c>
      <c r="E1012" s="42" t="n">
        <v>1</v>
      </c>
      <c r="F1012" s="42" t="inlineStr">
        <is>
          <t>FR-149</t>
        </is>
      </c>
      <c r="G1012" s="55">
        <f>IFERROR(INDEX('Semrush Data'!$A$1:$Z$20000,MATCH(A1012,'Semrush Data'!$A$1:$A$20000,0),MATCH("Volume",'Semrush Data'!$A$1:$Z$1,0)),"")</f>
        <v/>
      </c>
      <c r="H1012" s="42">
        <f>IFERROR(INDEX('Semrush Data'!$A$1:$Z$20000,MATCH(A1012,'Semrush Data'!$A$1:$A$20000,0),MATCH("Keyword Difficulty*",'Semrush Data'!$A$1:$Z$1,0)),"")</f>
        <v/>
      </c>
      <c r="I1012" s="56">
        <f>IFERROR(INDEX('Semrush Data'!$A$1:$Z$20000,MATCH(A1012,'Semrush Data'!$A$1:$A$20000,0),MATCH("CPC*",'Semrush Data'!$A$1:$Z$1,0)),"")</f>
        <v/>
      </c>
      <c r="J1012" s="42">
        <f>IFERROR(INDEX('Semrush Data'!$A$1:$Z$20000,MATCH(A1012,'Semrush Data'!$A$1:$A$20000,0),MATCH("Intent",'Semrush Data'!$A$1:$Z$1,0)),"")</f>
        <v/>
      </c>
    </row>
    <row r="1013" ht="15" customHeight="1" s="37">
      <c r="A1013" s="42" t="inlineStr">
        <is>
          <t>elie saab le parfum gift set uk</t>
        </is>
      </c>
      <c r="B1013" s="42" t="inlineStr">
        <is>
          <t>Product + UK</t>
        </is>
      </c>
      <c r="C1013" s="42" t="n">
        <v>2</v>
      </c>
      <c r="D1013" s="42" t="n">
        <v>11</v>
      </c>
      <c r="E1013" s="42" t="n">
        <v>1</v>
      </c>
      <c r="F1013" s="42" t="inlineStr">
        <is>
          <t>FR-154</t>
        </is>
      </c>
      <c r="G1013" s="55">
        <f>IFERROR(INDEX('Semrush Data'!$A$1:$Z$20000,MATCH(A1013,'Semrush Data'!$A$1:$A$20000,0),MATCH("Volume",'Semrush Data'!$A$1:$Z$1,0)),"")</f>
        <v/>
      </c>
      <c r="H1013" s="42">
        <f>IFERROR(INDEX('Semrush Data'!$A$1:$Z$20000,MATCH(A1013,'Semrush Data'!$A$1:$A$20000,0),MATCH("Keyword Difficulty*",'Semrush Data'!$A$1:$Z$1,0)),"")</f>
        <v/>
      </c>
      <c r="I1013" s="56">
        <f>IFERROR(INDEX('Semrush Data'!$A$1:$Z$20000,MATCH(A1013,'Semrush Data'!$A$1:$A$20000,0),MATCH("CPC*",'Semrush Data'!$A$1:$Z$1,0)),"")</f>
        <v/>
      </c>
      <c r="J1013" s="42">
        <f>IFERROR(INDEX('Semrush Data'!$A$1:$Z$20000,MATCH(A1013,'Semrush Data'!$A$1:$A$20000,0),MATCH("Intent",'Semrush Data'!$A$1:$Z$1,0)),"")</f>
        <v/>
      </c>
    </row>
    <row r="1014" ht="15" customHeight="1" s="37">
      <c r="A1014" s="42" t="inlineStr">
        <is>
          <t>elie saab le parfum intense uk</t>
        </is>
      </c>
      <c r="B1014" s="42" t="inlineStr">
        <is>
          <t>Product + UK</t>
        </is>
      </c>
      <c r="C1014" s="42" t="n">
        <v>2</v>
      </c>
      <c r="D1014" s="42" t="n">
        <v>11</v>
      </c>
      <c r="E1014" s="42" t="n">
        <v>1</v>
      </c>
      <c r="F1014" s="42" t="inlineStr">
        <is>
          <t>FR-151</t>
        </is>
      </c>
      <c r="G1014" s="55">
        <f>IFERROR(INDEX('Semrush Data'!$A$1:$Z$20000,MATCH(A1014,'Semrush Data'!$A$1:$A$20000,0),MATCH("Volume",'Semrush Data'!$A$1:$Z$1,0)),"")</f>
        <v/>
      </c>
      <c r="H1014" s="42">
        <f>IFERROR(INDEX('Semrush Data'!$A$1:$Z$20000,MATCH(A1014,'Semrush Data'!$A$1:$A$20000,0),MATCH("Keyword Difficulty*",'Semrush Data'!$A$1:$Z$1,0)),"")</f>
        <v/>
      </c>
      <c r="I1014" s="56">
        <f>IFERROR(INDEX('Semrush Data'!$A$1:$Z$20000,MATCH(A1014,'Semrush Data'!$A$1:$A$20000,0),MATCH("CPC*",'Semrush Data'!$A$1:$Z$1,0)),"")</f>
        <v/>
      </c>
      <c r="J1014" s="42">
        <f>IFERROR(INDEX('Semrush Data'!$A$1:$Z$20000,MATCH(A1014,'Semrush Data'!$A$1:$A$20000,0),MATCH("Intent",'Semrush Data'!$A$1:$Z$1,0)),"")</f>
        <v/>
      </c>
    </row>
    <row r="1015" ht="15" customHeight="1" s="37">
      <c r="A1015" s="42" t="inlineStr">
        <is>
          <t>elie saab le parfum lumiere gift set uk</t>
        </is>
      </c>
      <c r="B1015" s="42" t="inlineStr">
        <is>
          <t>Product + UK</t>
        </is>
      </c>
      <c r="C1015" s="42" t="n">
        <v>2</v>
      </c>
      <c r="D1015" s="42" t="n">
        <v>11</v>
      </c>
      <c r="E1015" s="42" t="n">
        <v>1</v>
      </c>
      <c r="F1015" s="42" t="inlineStr">
        <is>
          <t>FR-155</t>
        </is>
      </c>
      <c r="G1015" s="55">
        <f>IFERROR(INDEX('Semrush Data'!$A$1:$Z$20000,MATCH(A1015,'Semrush Data'!$A$1:$A$20000,0),MATCH("Volume",'Semrush Data'!$A$1:$Z$1,0)),"")</f>
        <v/>
      </c>
      <c r="H1015" s="42">
        <f>IFERROR(INDEX('Semrush Data'!$A$1:$Z$20000,MATCH(A1015,'Semrush Data'!$A$1:$A$20000,0),MATCH("Keyword Difficulty*",'Semrush Data'!$A$1:$Z$1,0)),"")</f>
        <v/>
      </c>
      <c r="I1015" s="56">
        <f>IFERROR(INDEX('Semrush Data'!$A$1:$Z$20000,MATCH(A1015,'Semrush Data'!$A$1:$A$20000,0),MATCH("CPC*",'Semrush Data'!$A$1:$Z$1,0)),"")</f>
        <v/>
      </c>
      <c r="J1015" s="42">
        <f>IFERROR(INDEX('Semrush Data'!$A$1:$Z$20000,MATCH(A1015,'Semrush Data'!$A$1:$A$20000,0),MATCH("Intent",'Semrush Data'!$A$1:$Z$1,0)),"")</f>
        <v/>
      </c>
    </row>
    <row r="1016" ht="15" customHeight="1" s="37">
      <c r="A1016" s="42" t="inlineStr">
        <is>
          <t>elie saab le uk</t>
        </is>
      </c>
      <c r="B1016" s="42" t="inlineStr">
        <is>
          <t>Product + UK</t>
        </is>
      </c>
      <c r="C1016" s="42" t="n">
        <v>2</v>
      </c>
      <c r="D1016" s="42" t="n">
        <v>11</v>
      </c>
      <c r="E1016" s="42" t="n">
        <v>1</v>
      </c>
      <c r="F1016" s="42" t="inlineStr">
        <is>
          <t>FR-150</t>
        </is>
      </c>
      <c r="G1016" s="55">
        <f>IFERROR(INDEX('Semrush Data'!$A$1:$Z$20000,MATCH(A1016,'Semrush Data'!$A$1:$A$20000,0),MATCH("Volume",'Semrush Data'!$A$1:$Z$1,0)),"")</f>
        <v/>
      </c>
      <c r="H1016" s="42">
        <f>IFERROR(INDEX('Semrush Data'!$A$1:$Z$20000,MATCH(A1016,'Semrush Data'!$A$1:$A$20000,0),MATCH("Keyword Difficulty*",'Semrush Data'!$A$1:$Z$1,0)),"")</f>
        <v/>
      </c>
      <c r="I1016" s="56">
        <f>IFERROR(INDEX('Semrush Data'!$A$1:$Z$20000,MATCH(A1016,'Semrush Data'!$A$1:$A$20000,0),MATCH("CPC*",'Semrush Data'!$A$1:$Z$1,0)),"")</f>
        <v/>
      </c>
      <c r="J1016" s="42">
        <f>IFERROR(INDEX('Semrush Data'!$A$1:$Z$20000,MATCH(A1016,'Semrush Data'!$A$1:$A$20000,0),MATCH("Intent",'Semrush Data'!$A$1:$Z$1,0)),"")</f>
        <v/>
      </c>
    </row>
    <row r="1017" ht="15" customHeight="1" s="37">
      <c r="A1017" s="42" t="inlineStr">
        <is>
          <t>elie saab nuit noor uk</t>
        </is>
      </c>
      <c r="B1017" s="42" t="inlineStr">
        <is>
          <t>Product + UK</t>
        </is>
      </c>
      <c r="C1017" s="42" t="n">
        <v>2</v>
      </c>
      <c r="D1017" s="42" t="inlineStr">
        <is>
          <t>T2-2</t>
        </is>
      </c>
      <c r="E1017" s="42" t="n">
        <v>1</v>
      </c>
      <c r="F1017" s="42" t="inlineStr">
        <is>
          <t>FR-152</t>
        </is>
      </c>
      <c r="G1017" s="55">
        <f>IFERROR(INDEX('Semrush Data'!$A$1:$Z$20000,MATCH(A1017,'Semrush Data'!$A$1:$A$20000,0),MATCH("Volume",'Semrush Data'!$A$1:$Z$1,0)),"")</f>
        <v/>
      </c>
      <c r="H1017" s="42">
        <f>IFERROR(INDEX('Semrush Data'!$A$1:$Z$20000,MATCH(A1017,'Semrush Data'!$A$1:$A$20000,0),MATCH("Keyword Difficulty*",'Semrush Data'!$A$1:$Z$1,0)),"")</f>
        <v/>
      </c>
      <c r="I1017" s="56">
        <f>IFERROR(INDEX('Semrush Data'!$A$1:$Z$20000,MATCH(A1017,'Semrush Data'!$A$1:$A$20000,0),MATCH("CPC*",'Semrush Data'!$A$1:$Z$1,0)),"")</f>
        <v/>
      </c>
      <c r="J1017" s="42">
        <f>IFERROR(INDEX('Semrush Data'!$A$1:$Z$20000,MATCH(A1017,'Semrush Data'!$A$1:$A$20000,0),MATCH("Intent",'Semrush Data'!$A$1:$Z$1,0)),"")</f>
        <v/>
      </c>
    </row>
    <row r="1018" ht="15" customHeight="1" s="37">
      <c r="A1018" s="42" t="inlineStr">
        <is>
          <t>elizabeth arden beauty uk</t>
        </is>
      </c>
      <c r="B1018" s="42" t="inlineStr">
        <is>
          <t>Product + UK</t>
        </is>
      </c>
      <c r="C1018" s="42" t="n">
        <v>2</v>
      </c>
      <c r="D1018" s="42" t="inlineStr">
        <is>
          <t>T2-2</t>
        </is>
      </c>
      <c r="E1018" s="42" t="n">
        <v>1</v>
      </c>
      <c r="F1018" s="42" t="inlineStr">
        <is>
          <t>FR-156</t>
        </is>
      </c>
      <c r="G1018" s="55">
        <f>IFERROR(INDEX('Semrush Data'!$A$1:$Z$20000,MATCH(A1018,'Semrush Data'!$A$1:$A$20000,0),MATCH("Volume",'Semrush Data'!$A$1:$Z$1,0)),"")</f>
        <v/>
      </c>
      <c r="H1018" s="42">
        <f>IFERROR(INDEX('Semrush Data'!$A$1:$Z$20000,MATCH(A1018,'Semrush Data'!$A$1:$A$20000,0),MATCH("Keyword Difficulty*",'Semrush Data'!$A$1:$Z$1,0)),"")</f>
        <v/>
      </c>
      <c r="I1018" s="56">
        <f>IFERROR(INDEX('Semrush Data'!$A$1:$Z$20000,MATCH(A1018,'Semrush Data'!$A$1:$A$20000,0),MATCH("CPC*",'Semrush Data'!$A$1:$Z$1,0)),"")</f>
        <v/>
      </c>
      <c r="J1018" s="42">
        <f>IFERROR(INDEX('Semrush Data'!$A$1:$Z$20000,MATCH(A1018,'Semrush Data'!$A$1:$A$20000,0),MATCH("Intent",'Semrush Data'!$A$1:$Z$1,0)),"")</f>
        <v/>
      </c>
    </row>
    <row r="1019" ht="15" customHeight="1" s="37">
      <c r="A1019" s="42" t="inlineStr">
        <is>
          <t>escada magnetic dream uk</t>
        </is>
      </c>
      <c r="B1019" s="42" t="inlineStr">
        <is>
          <t>Product + UK</t>
        </is>
      </c>
      <c r="C1019" s="42" t="n">
        <v>2</v>
      </c>
      <c r="D1019" s="42" t="n">
        <v>11</v>
      </c>
      <c r="E1019" s="42" t="n">
        <v>1</v>
      </c>
      <c r="F1019" s="42" t="inlineStr">
        <is>
          <t>FR-157</t>
        </is>
      </c>
      <c r="G1019" s="55">
        <f>IFERROR(INDEX('Semrush Data'!$A$1:$Z$20000,MATCH(A1019,'Semrush Data'!$A$1:$A$20000,0),MATCH("Volume",'Semrush Data'!$A$1:$Z$1,0)),"")</f>
        <v/>
      </c>
      <c r="H1019" s="42">
        <f>IFERROR(INDEX('Semrush Data'!$A$1:$Z$20000,MATCH(A1019,'Semrush Data'!$A$1:$A$20000,0),MATCH("Keyword Difficulty*",'Semrush Data'!$A$1:$Z$1,0)),"")</f>
        <v/>
      </c>
      <c r="I1019" s="56">
        <f>IFERROR(INDEX('Semrush Data'!$A$1:$Z$20000,MATCH(A1019,'Semrush Data'!$A$1:$A$20000,0),MATCH("CPC*",'Semrush Data'!$A$1:$Z$1,0)),"")</f>
        <v/>
      </c>
      <c r="J1019" s="42">
        <f>IFERROR(INDEX('Semrush Data'!$A$1:$Z$20000,MATCH(A1019,'Semrush Data'!$A$1:$A$20000,0),MATCH("Intent",'Semrush Data'!$A$1:$Z$1,0)),"")</f>
        <v/>
      </c>
    </row>
    <row r="1020" ht="15" customHeight="1" s="37">
      <c r="A1020" s="42" t="inlineStr">
        <is>
          <t>escada magnetism uk</t>
        </is>
      </c>
      <c r="B1020" s="42" t="inlineStr">
        <is>
          <t>Product + UK</t>
        </is>
      </c>
      <c r="C1020" s="42" t="n">
        <v>2</v>
      </c>
      <c r="D1020" s="42" t="inlineStr">
        <is>
          <t>T2-1</t>
        </is>
      </c>
      <c r="E1020" s="42" t="n">
        <v>1</v>
      </c>
      <c r="F1020" s="42" t="inlineStr">
        <is>
          <t>FR-158</t>
        </is>
      </c>
      <c r="G1020" s="55">
        <f>IFERROR(INDEX('Semrush Data'!$A$1:$Z$20000,MATCH(A1020,'Semrush Data'!$A$1:$A$20000,0),MATCH("Volume",'Semrush Data'!$A$1:$Z$1,0)),"")</f>
        <v/>
      </c>
      <c r="H1020" s="42">
        <f>IFERROR(INDEX('Semrush Data'!$A$1:$Z$20000,MATCH(A1020,'Semrush Data'!$A$1:$A$20000,0),MATCH("Keyword Difficulty*",'Semrush Data'!$A$1:$Z$1,0)),"")</f>
        <v/>
      </c>
      <c r="I1020" s="56">
        <f>IFERROR(INDEX('Semrush Data'!$A$1:$Z$20000,MATCH(A1020,'Semrush Data'!$A$1:$A$20000,0),MATCH("CPC*",'Semrush Data'!$A$1:$Z$1,0)),"")</f>
        <v/>
      </c>
      <c r="J1020" s="42">
        <f>IFERROR(INDEX('Semrush Data'!$A$1:$Z$20000,MATCH(A1020,'Semrush Data'!$A$1:$A$20000,0),MATCH("Intent",'Semrush Data'!$A$1:$Z$1,0)),"")</f>
        <v/>
      </c>
    </row>
    <row r="1021" ht="15" customHeight="1" s="37">
      <c r="A1021" s="42" t="inlineStr">
        <is>
          <t>escada party love uk</t>
        </is>
      </c>
      <c r="B1021" s="42" t="inlineStr">
        <is>
          <t>Product + UK</t>
        </is>
      </c>
      <c r="C1021" s="42" t="n">
        <v>2</v>
      </c>
      <c r="D1021" s="42" t="inlineStr">
        <is>
          <t>T2-2</t>
        </is>
      </c>
      <c r="E1021" s="42" t="n">
        <v>1</v>
      </c>
      <c r="F1021" s="42" t="inlineStr">
        <is>
          <t>FR-159</t>
        </is>
      </c>
      <c r="G1021" s="55">
        <f>IFERROR(INDEX('Semrush Data'!$A$1:$Z$20000,MATCH(A1021,'Semrush Data'!$A$1:$A$20000,0),MATCH("Volume",'Semrush Data'!$A$1:$Z$1,0)),"")</f>
        <v/>
      </c>
      <c r="H1021" s="42">
        <f>IFERROR(INDEX('Semrush Data'!$A$1:$Z$20000,MATCH(A1021,'Semrush Data'!$A$1:$A$20000,0),MATCH("Keyword Difficulty*",'Semrush Data'!$A$1:$Z$1,0)),"")</f>
        <v/>
      </c>
      <c r="I1021" s="56">
        <f>IFERROR(INDEX('Semrush Data'!$A$1:$Z$20000,MATCH(A1021,'Semrush Data'!$A$1:$A$20000,0),MATCH("CPC*",'Semrush Data'!$A$1:$Z$1,0)),"")</f>
        <v/>
      </c>
      <c r="J1021" s="42">
        <f>IFERROR(INDEX('Semrush Data'!$A$1:$Z$20000,MATCH(A1021,'Semrush Data'!$A$1:$A$20000,0),MATCH("Intent",'Semrush Data'!$A$1:$Z$1,0)),"")</f>
        <v/>
      </c>
    </row>
    <row r="1022" ht="15" customHeight="1" s="37">
      <c r="A1022" s="42" t="inlineStr">
        <is>
          <t>estee lauder spellbound uk</t>
        </is>
      </c>
      <c r="B1022" s="42" t="inlineStr">
        <is>
          <t>Product + UK</t>
        </is>
      </c>
      <c r="C1022" s="42" t="n">
        <v>2</v>
      </c>
      <c r="D1022" s="42" t="inlineStr">
        <is>
          <t>T2-1</t>
        </is>
      </c>
      <c r="E1022" s="42" t="n">
        <v>1</v>
      </c>
      <c r="F1022" s="42" t="inlineStr">
        <is>
          <t>FR-160</t>
        </is>
      </c>
      <c r="G1022" s="55">
        <f>IFERROR(INDEX('Semrush Data'!$A$1:$Z$20000,MATCH(A1022,'Semrush Data'!$A$1:$A$20000,0),MATCH("Volume",'Semrush Data'!$A$1:$Z$1,0)),"")</f>
        <v/>
      </c>
      <c r="H1022" s="42">
        <f>IFERROR(INDEX('Semrush Data'!$A$1:$Z$20000,MATCH(A1022,'Semrush Data'!$A$1:$A$20000,0),MATCH("Keyword Difficulty*",'Semrush Data'!$A$1:$Z$1,0)),"")</f>
        <v/>
      </c>
      <c r="I1022" s="56">
        <f>IFERROR(INDEX('Semrush Data'!$A$1:$Z$20000,MATCH(A1022,'Semrush Data'!$A$1:$A$20000,0),MATCH("CPC*",'Semrush Data'!$A$1:$Z$1,0)),"")</f>
        <v/>
      </c>
      <c r="J1022" s="42">
        <f>IFERROR(INDEX('Semrush Data'!$A$1:$Z$20000,MATCH(A1022,'Semrush Data'!$A$1:$A$20000,0),MATCH("Intent",'Semrush Data'!$A$1:$Z$1,0)),"")</f>
        <v/>
      </c>
    </row>
    <row r="1023" ht="15" customHeight="1" s="37">
      <c r="A1023" s="42" t="inlineStr">
        <is>
          <t>etienne aigner first class explorer uk</t>
        </is>
      </c>
      <c r="B1023" s="42" t="inlineStr">
        <is>
          <t>Product + UK</t>
        </is>
      </c>
      <c r="C1023" s="42" t="n">
        <v>2</v>
      </c>
      <c r="D1023" s="42" t="n">
        <v>11</v>
      </c>
      <c r="E1023" s="42" t="n">
        <v>1</v>
      </c>
      <c r="F1023" s="42" t="inlineStr">
        <is>
          <t>FR-161</t>
        </is>
      </c>
      <c r="G1023" s="55">
        <f>IFERROR(INDEX('Semrush Data'!$A$1:$Z$20000,MATCH(A1023,'Semrush Data'!$A$1:$A$20000,0),MATCH("Volume",'Semrush Data'!$A$1:$Z$1,0)),"")</f>
        <v/>
      </c>
      <c r="H1023" s="42">
        <f>IFERROR(INDEX('Semrush Data'!$A$1:$Z$20000,MATCH(A1023,'Semrush Data'!$A$1:$A$20000,0),MATCH("Keyword Difficulty*",'Semrush Data'!$A$1:$Z$1,0)),"")</f>
        <v/>
      </c>
      <c r="I1023" s="56">
        <f>IFERROR(INDEX('Semrush Data'!$A$1:$Z$20000,MATCH(A1023,'Semrush Data'!$A$1:$A$20000,0),MATCH("CPC*",'Semrush Data'!$A$1:$Z$1,0)),"")</f>
        <v/>
      </c>
      <c r="J1023" s="42">
        <f>IFERROR(INDEX('Semrush Data'!$A$1:$Z$20000,MATCH(A1023,'Semrush Data'!$A$1:$A$20000,0),MATCH("Intent",'Semrush Data'!$A$1:$Z$1,0)),"")</f>
        <v/>
      </c>
    </row>
    <row r="1024" ht="15" customHeight="1" s="37">
      <c r="A1024" s="42" t="inlineStr">
        <is>
          <t>etienne aigner no. 1 intense uk</t>
        </is>
      </c>
      <c r="B1024" s="42" t="inlineStr">
        <is>
          <t>Product + UK</t>
        </is>
      </c>
      <c r="C1024" s="42" t="n">
        <v>2</v>
      </c>
      <c r="D1024" s="42" t="n">
        <v>11</v>
      </c>
      <c r="E1024" s="42" t="n">
        <v>1</v>
      </c>
      <c r="F1024" s="42" t="inlineStr">
        <is>
          <t>FR-162</t>
        </is>
      </c>
      <c r="G1024" s="55">
        <f>IFERROR(INDEX('Semrush Data'!$A$1:$Z$20000,MATCH(A1024,'Semrush Data'!$A$1:$A$20000,0),MATCH("Volume",'Semrush Data'!$A$1:$Z$1,0)),"")</f>
        <v/>
      </c>
      <c r="H1024" s="42">
        <f>IFERROR(INDEX('Semrush Data'!$A$1:$Z$20000,MATCH(A1024,'Semrush Data'!$A$1:$A$20000,0),MATCH("Keyword Difficulty*",'Semrush Data'!$A$1:$Z$1,0)),"")</f>
        <v/>
      </c>
      <c r="I1024" s="56">
        <f>IFERROR(INDEX('Semrush Data'!$A$1:$Z$20000,MATCH(A1024,'Semrush Data'!$A$1:$A$20000,0),MATCH("CPC*",'Semrush Data'!$A$1:$Z$1,0)),"")</f>
        <v/>
      </c>
      <c r="J1024" s="42">
        <f>IFERROR(INDEX('Semrush Data'!$A$1:$Z$20000,MATCH(A1024,'Semrush Data'!$A$1:$A$20000,0),MATCH("Intent",'Semrush Data'!$A$1:$Z$1,0)),"")</f>
        <v/>
      </c>
    </row>
    <row r="1025" ht="15" customHeight="1" s="37">
      <c r="A1025" s="42" t="inlineStr">
        <is>
          <t>fumeri 540 uk</t>
        </is>
      </c>
      <c r="B1025" s="42" t="inlineStr">
        <is>
          <t>Product + UK</t>
        </is>
      </c>
      <c r="C1025" s="42" t="n">
        <v>2</v>
      </c>
      <c r="D1025" s="42" t="n">
        <v>11</v>
      </c>
      <c r="E1025" s="42" t="n">
        <v>1</v>
      </c>
      <c r="F1025" s="42" t="inlineStr">
        <is>
          <t>FR-163</t>
        </is>
      </c>
      <c r="G1025" s="55">
        <f>IFERROR(INDEX('Semrush Data'!$A$1:$Z$20000,MATCH(A1025,'Semrush Data'!$A$1:$A$20000,0),MATCH("Volume",'Semrush Data'!$A$1:$Z$1,0)),"")</f>
        <v/>
      </c>
      <c r="H1025" s="42">
        <f>IFERROR(INDEX('Semrush Data'!$A$1:$Z$20000,MATCH(A1025,'Semrush Data'!$A$1:$A$20000,0),MATCH("Keyword Difficulty*",'Semrush Data'!$A$1:$Z$1,0)),"")</f>
        <v/>
      </c>
      <c r="I1025" s="56">
        <f>IFERROR(INDEX('Semrush Data'!$A$1:$Z$20000,MATCH(A1025,'Semrush Data'!$A$1:$A$20000,0),MATCH("CPC*",'Semrush Data'!$A$1:$Z$1,0)),"")</f>
        <v/>
      </c>
      <c r="J1025" s="42">
        <f>IFERROR(INDEX('Semrush Data'!$A$1:$Z$20000,MATCH(A1025,'Semrush Data'!$A$1:$A$20000,0),MATCH("Intent",'Semrush Data'!$A$1:$Z$1,0)),"")</f>
        <v/>
      </c>
    </row>
    <row r="1026" ht="15" customHeight="1" s="37">
      <c r="A1026" s="42" t="inlineStr">
        <is>
          <t>fumeri adore uk</t>
        </is>
      </c>
      <c r="B1026" s="42" t="inlineStr">
        <is>
          <t>Product + UK</t>
        </is>
      </c>
      <c r="C1026" s="42" t="n">
        <v>2</v>
      </c>
      <c r="D1026" s="42" t="n">
        <v>11</v>
      </c>
      <c r="E1026" s="42" t="n">
        <v>1</v>
      </c>
      <c r="F1026" s="42" t="inlineStr">
        <is>
          <t>FR-164</t>
        </is>
      </c>
      <c r="G1026" s="55">
        <f>IFERROR(INDEX('Semrush Data'!$A$1:$Z$20000,MATCH(A1026,'Semrush Data'!$A$1:$A$20000,0),MATCH("Volume",'Semrush Data'!$A$1:$Z$1,0)),"")</f>
        <v/>
      </c>
      <c r="H1026" s="42">
        <f>IFERROR(INDEX('Semrush Data'!$A$1:$Z$20000,MATCH(A1026,'Semrush Data'!$A$1:$A$20000,0),MATCH("Keyword Difficulty*",'Semrush Data'!$A$1:$Z$1,0)),"")</f>
        <v/>
      </c>
      <c r="I1026" s="56">
        <f>IFERROR(INDEX('Semrush Data'!$A$1:$Z$20000,MATCH(A1026,'Semrush Data'!$A$1:$A$20000,0),MATCH("CPC*",'Semrush Data'!$A$1:$Z$1,0)),"")</f>
        <v/>
      </c>
      <c r="J1026" s="42">
        <f>IFERROR(INDEX('Semrush Data'!$A$1:$Z$20000,MATCH(A1026,'Semrush Data'!$A$1:$A$20000,0),MATCH("Intent",'Semrush Data'!$A$1:$Z$1,0)),"")</f>
        <v/>
      </c>
    </row>
    <row r="1027" ht="15" customHeight="1" s="37">
      <c r="A1027" s="42" t="inlineStr">
        <is>
          <t>fumeri ambre night uk</t>
        </is>
      </c>
      <c r="B1027" s="42" t="inlineStr">
        <is>
          <t>Product + UK</t>
        </is>
      </c>
      <c r="C1027" s="42" t="n">
        <v>2</v>
      </c>
      <c r="D1027" s="42" t="n">
        <v>11</v>
      </c>
      <c r="E1027" s="42" t="n">
        <v>1</v>
      </c>
      <c r="F1027" s="42" t="inlineStr">
        <is>
          <t>FR-165</t>
        </is>
      </c>
      <c r="G1027" s="55">
        <f>IFERROR(INDEX('Semrush Data'!$A$1:$Z$20000,MATCH(A1027,'Semrush Data'!$A$1:$A$20000,0),MATCH("Volume",'Semrush Data'!$A$1:$Z$1,0)),"")</f>
        <v/>
      </c>
      <c r="H1027" s="42">
        <f>IFERROR(INDEX('Semrush Data'!$A$1:$Z$20000,MATCH(A1027,'Semrush Data'!$A$1:$A$20000,0),MATCH("Keyword Difficulty*",'Semrush Data'!$A$1:$Z$1,0)),"")</f>
        <v/>
      </c>
      <c r="I1027" s="56">
        <f>IFERROR(INDEX('Semrush Data'!$A$1:$Z$20000,MATCH(A1027,'Semrush Data'!$A$1:$A$20000,0),MATCH("CPC*",'Semrush Data'!$A$1:$Z$1,0)),"")</f>
        <v/>
      </c>
      <c r="J1027" s="42">
        <f>IFERROR(INDEX('Semrush Data'!$A$1:$Z$20000,MATCH(A1027,'Semrush Data'!$A$1:$A$20000,0),MATCH("Intent",'Semrush Data'!$A$1:$Z$1,0)),"")</f>
        <v/>
      </c>
    </row>
    <row r="1028" ht="15" customHeight="1" s="37">
      <c r="A1028" s="42" t="inlineStr">
        <is>
          <t>fumeri angel uk</t>
        </is>
      </c>
      <c r="B1028" s="42" t="inlineStr">
        <is>
          <t>Product + UK</t>
        </is>
      </c>
      <c r="C1028" s="42" t="n">
        <v>2</v>
      </c>
      <c r="D1028" s="42" t="n">
        <v>11</v>
      </c>
      <c r="E1028" s="42" t="n">
        <v>1</v>
      </c>
      <c r="F1028" s="42" t="inlineStr">
        <is>
          <t>FR-166</t>
        </is>
      </c>
      <c r="G1028" s="55">
        <f>IFERROR(INDEX('Semrush Data'!$A$1:$Z$20000,MATCH(A1028,'Semrush Data'!$A$1:$A$20000,0),MATCH("Volume",'Semrush Data'!$A$1:$Z$1,0)),"")</f>
        <v/>
      </c>
      <c r="H1028" s="42">
        <f>IFERROR(INDEX('Semrush Data'!$A$1:$Z$20000,MATCH(A1028,'Semrush Data'!$A$1:$A$20000,0),MATCH("Keyword Difficulty*",'Semrush Data'!$A$1:$Z$1,0)),"")</f>
        <v/>
      </c>
      <c r="I1028" s="56">
        <f>IFERROR(INDEX('Semrush Data'!$A$1:$Z$20000,MATCH(A1028,'Semrush Data'!$A$1:$A$20000,0),MATCH("CPC*",'Semrush Data'!$A$1:$Z$1,0)),"")</f>
        <v/>
      </c>
      <c r="J1028" s="42">
        <f>IFERROR(INDEX('Semrush Data'!$A$1:$Z$20000,MATCH(A1028,'Semrush Data'!$A$1:$A$20000,0),MATCH("Intent",'Semrush Data'!$A$1:$Z$1,0)),"")</f>
        <v/>
      </c>
    </row>
    <row r="1029" ht="15" customHeight="1" s="37">
      <c r="A1029" s="42" t="inlineStr">
        <is>
          <t>fumeri blue uk</t>
        </is>
      </c>
      <c r="B1029" s="42" t="inlineStr">
        <is>
          <t>Product + UK</t>
        </is>
      </c>
      <c r="C1029" s="42" t="n">
        <v>2</v>
      </c>
      <c r="D1029" s="42" t="n">
        <v>11</v>
      </c>
      <c r="E1029" s="42" t="n">
        <v>1</v>
      </c>
      <c r="F1029" s="42" t="inlineStr">
        <is>
          <t>FR-167</t>
        </is>
      </c>
      <c r="G1029" s="55">
        <f>IFERROR(INDEX('Semrush Data'!$A$1:$Z$20000,MATCH(A1029,'Semrush Data'!$A$1:$A$20000,0),MATCH("Volume",'Semrush Data'!$A$1:$Z$1,0)),"")</f>
        <v/>
      </c>
      <c r="H1029" s="42">
        <f>IFERROR(INDEX('Semrush Data'!$A$1:$Z$20000,MATCH(A1029,'Semrush Data'!$A$1:$A$20000,0),MATCH("Keyword Difficulty*",'Semrush Data'!$A$1:$Z$1,0)),"")</f>
        <v/>
      </c>
      <c r="I1029" s="56">
        <f>IFERROR(INDEX('Semrush Data'!$A$1:$Z$20000,MATCH(A1029,'Semrush Data'!$A$1:$A$20000,0),MATCH("CPC*",'Semrush Data'!$A$1:$Z$1,0)),"")</f>
        <v/>
      </c>
      <c r="J1029" s="42">
        <f>IFERROR(INDEX('Semrush Data'!$A$1:$Z$20000,MATCH(A1029,'Semrush Data'!$A$1:$A$20000,0),MATCH("Intent",'Semrush Data'!$A$1:$Z$1,0)),"")</f>
        <v/>
      </c>
    </row>
    <row r="1030" ht="15" customHeight="1" s="37">
      <c r="A1030" s="42" t="inlineStr">
        <is>
          <t>fumeri elixir uk</t>
        </is>
      </c>
      <c r="B1030" s="42" t="inlineStr">
        <is>
          <t>Product + UK</t>
        </is>
      </c>
      <c r="C1030" s="42" t="n">
        <v>2</v>
      </c>
      <c r="D1030" s="42" t="n">
        <v>11</v>
      </c>
      <c r="E1030" s="42" t="n">
        <v>1</v>
      </c>
      <c r="F1030" s="42" t="inlineStr">
        <is>
          <t>FR-168</t>
        </is>
      </c>
      <c r="G1030" s="55">
        <f>IFERROR(INDEX('Semrush Data'!$A$1:$Z$20000,MATCH(A1030,'Semrush Data'!$A$1:$A$20000,0),MATCH("Volume",'Semrush Data'!$A$1:$Z$1,0)),"")</f>
        <v/>
      </c>
      <c r="H1030" s="42">
        <f>IFERROR(INDEX('Semrush Data'!$A$1:$Z$20000,MATCH(A1030,'Semrush Data'!$A$1:$A$20000,0),MATCH("Keyword Difficulty*",'Semrush Data'!$A$1:$Z$1,0)),"")</f>
        <v/>
      </c>
      <c r="I1030" s="56">
        <f>IFERROR(INDEX('Semrush Data'!$A$1:$Z$20000,MATCH(A1030,'Semrush Data'!$A$1:$A$20000,0),MATCH("CPC*",'Semrush Data'!$A$1:$Z$1,0)),"")</f>
        <v/>
      </c>
      <c r="J1030" s="42">
        <f>IFERROR(INDEX('Semrush Data'!$A$1:$Z$20000,MATCH(A1030,'Semrush Data'!$A$1:$A$20000,0),MATCH("Intent",'Semrush Data'!$A$1:$Z$1,0)),"")</f>
        <v/>
      </c>
    </row>
    <row r="1031" ht="15" customHeight="1" s="37">
      <c r="A1031" s="42" t="inlineStr">
        <is>
          <t>fumeri flirt uk</t>
        </is>
      </c>
      <c r="B1031" s="42" t="inlineStr">
        <is>
          <t>Product + UK</t>
        </is>
      </c>
      <c r="C1031" s="42" t="n">
        <v>2</v>
      </c>
      <c r="D1031" s="42" t="n">
        <v>11</v>
      </c>
      <c r="E1031" s="42" t="n">
        <v>1</v>
      </c>
      <c r="F1031" s="42" t="inlineStr">
        <is>
          <t>FR-169</t>
        </is>
      </c>
      <c r="G1031" s="55">
        <f>IFERROR(INDEX('Semrush Data'!$A$1:$Z$20000,MATCH(A1031,'Semrush Data'!$A$1:$A$20000,0),MATCH("Volume",'Semrush Data'!$A$1:$Z$1,0)),"")</f>
        <v/>
      </c>
      <c r="H1031" s="42">
        <f>IFERROR(INDEX('Semrush Data'!$A$1:$Z$20000,MATCH(A1031,'Semrush Data'!$A$1:$A$20000,0),MATCH("Keyword Difficulty*",'Semrush Data'!$A$1:$Z$1,0)),"")</f>
        <v/>
      </c>
      <c r="I1031" s="56">
        <f>IFERROR(INDEX('Semrush Data'!$A$1:$Z$20000,MATCH(A1031,'Semrush Data'!$A$1:$A$20000,0),MATCH("CPC*",'Semrush Data'!$A$1:$Z$1,0)),"")</f>
        <v/>
      </c>
      <c r="J1031" s="42">
        <f>IFERROR(INDEX('Semrush Data'!$A$1:$Z$20000,MATCH(A1031,'Semrush Data'!$A$1:$A$20000,0),MATCH("Intent",'Semrush Data'!$A$1:$Z$1,0)),"")</f>
        <v/>
      </c>
    </row>
    <row r="1032" ht="15" customHeight="1" s="37">
      <c r="A1032" s="42" t="inlineStr">
        <is>
          <t>fumeri gabriella uk</t>
        </is>
      </c>
      <c r="B1032" s="42" t="inlineStr">
        <is>
          <t>Product + UK</t>
        </is>
      </c>
      <c r="C1032" s="42" t="n">
        <v>2</v>
      </c>
      <c r="D1032" s="42" t="n">
        <v>11</v>
      </c>
      <c r="E1032" s="42" t="n">
        <v>1</v>
      </c>
      <c r="F1032" s="42" t="inlineStr">
        <is>
          <t>FR-170</t>
        </is>
      </c>
      <c r="G1032" s="55">
        <f>IFERROR(INDEX('Semrush Data'!$A$1:$Z$20000,MATCH(A1032,'Semrush Data'!$A$1:$A$20000,0),MATCH("Volume",'Semrush Data'!$A$1:$Z$1,0)),"")</f>
        <v/>
      </c>
      <c r="H1032" s="42">
        <f>IFERROR(INDEX('Semrush Data'!$A$1:$Z$20000,MATCH(A1032,'Semrush Data'!$A$1:$A$20000,0),MATCH("Keyword Difficulty*",'Semrush Data'!$A$1:$Z$1,0)),"")</f>
        <v/>
      </c>
      <c r="I1032" s="56">
        <f>IFERROR(INDEX('Semrush Data'!$A$1:$Z$20000,MATCH(A1032,'Semrush Data'!$A$1:$A$20000,0),MATCH("CPC*",'Semrush Data'!$A$1:$Z$1,0)),"")</f>
        <v/>
      </c>
      <c r="J1032" s="42">
        <f>IFERROR(INDEX('Semrush Data'!$A$1:$Z$20000,MATCH(A1032,'Semrush Data'!$A$1:$A$20000,0),MATCH("Intent",'Semrush Data'!$A$1:$Z$1,0)),"")</f>
        <v/>
      </c>
    </row>
    <row r="1033" ht="15" customHeight="1" s="37">
      <c r="A1033" s="42" t="inlineStr">
        <is>
          <t>fumeri gris uk</t>
        </is>
      </c>
      <c r="B1033" s="42" t="inlineStr">
        <is>
          <t>Product + UK</t>
        </is>
      </c>
      <c r="C1033" s="42" t="n">
        <v>2</v>
      </c>
      <c r="D1033" s="42" t="n">
        <v>11</v>
      </c>
      <c r="E1033" s="42" t="n">
        <v>1</v>
      </c>
      <c r="F1033" s="42" t="inlineStr">
        <is>
          <t>FR-171</t>
        </is>
      </c>
      <c r="G1033" s="55">
        <f>IFERROR(INDEX('Semrush Data'!$A$1:$Z$20000,MATCH(A1033,'Semrush Data'!$A$1:$A$20000,0),MATCH("Volume",'Semrush Data'!$A$1:$Z$1,0)),"")</f>
        <v/>
      </c>
      <c r="H1033" s="42">
        <f>IFERROR(INDEX('Semrush Data'!$A$1:$Z$20000,MATCH(A1033,'Semrush Data'!$A$1:$A$20000,0),MATCH("Keyword Difficulty*",'Semrush Data'!$A$1:$Z$1,0)),"")</f>
        <v/>
      </c>
      <c r="I1033" s="56">
        <f>IFERROR(INDEX('Semrush Data'!$A$1:$Z$20000,MATCH(A1033,'Semrush Data'!$A$1:$A$20000,0),MATCH("CPC*",'Semrush Data'!$A$1:$Z$1,0)),"")</f>
        <v/>
      </c>
      <c r="J1033" s="42">
        <f>IFERROR(INDEX('Semrush Data'!$A$1:$Z$20000,MATCH(A1033,'Semrush Data'!$A$1:$A$20000,0),MATCH("Intent",'Semrush Data'!$A$1:$Z$1,0)),"")</f>
        <v/>
      </c>
    </row>
    <row r="1034" ht="15" customHeight="1" s="37">
      <c r="A1034" s="42" t="inlineStr">
        <is>
          <t>fumeri orchid noir uk</t>
        </is>
      </c>
      <c r="B1034" s="42" t="inlineStr">
        <is>
          <t>Product + UK</t>
        </is>
      </c>
      <c r="C1034" s="42" t="n">
        <v>2</v>
      </c>
      <c r="D1034" s="42" t="n">
        <v>11</v>
      </c>
      <c r="E1034" s="42" t="n">
        <v>1</v>
      </c>
      <c r="F1034" s="42" t="inlineStr">
        <is>
          <t>FR-172</t>
        </is>
      </c>
      <c r="G1034" s="55">
        <f>IFERROR(INDEX('Semrush Data'!$A$1:$Z$20000,MATCH(A1034,'Semrush Data'!$A$1:$A$20000,0),MATCH("Volume",'Semrush Data'!$A$1:$Z$1,0)),"")</f>
        <v/>
      </c>
      <c r="H1034" s="42">
        <f>IFERROR(INDEX('Semrush Data'!$A$1:$Z$20000,MATCH(A1034,'Semrush Data'!$A$1:$A$20000,0),MATCH("Keyword Difficulty*",'Semrush Data'!$A$1:$Z$1,0)),"")</f>
        <v/>
      </c>
      <c r="I1034" s="56">
        <f>IFERROR(INDEX('Semrush Data'!$A$1:$Z$20000,MATCH(A1034,'Semrush Data'!$A$1:$A$20000,0),MATCH("CPC*",'Semrush Data'!$A$1:$Z$1,0)),"")</f>
        <v/>
      </c>
      <c r="J1034" s="42">
        <f>IFERROR(INDEX('Semrush Data'!$A$1:$Z$20000,MATCH(A1034,'Semrush Data'!$A$1:$A$20000,0),MATCH("Intent",'Semrush Data'!$A$1:$Z$1,0)),"")</f>
        <v/>
      </c>
    </row>
    <row r="1035" ht="15" customHeight="1" s="37">
      <c r="A1035" s="42" t="inlineStr">
        <is>
          <t>fumeri orpheon uk</t>
        </is>
      </c>
      <c r="B1035" s="42" t="inlineStr">
        <is>
          <t>Product + UK</t>
        </is>
      </c>
      <c r="C1035" s="42" t="n">
        <v>2</v>
      </c>
      <c r="D1035" s="42" t="n">
        <v>11</v>
      </c>
      <c r="E1035" s="42" t="n">
        <v>1</v>
      </c>
      <c r="F1035" s="42" t="inlineStr">
        <is>
          <t>FR-173</t>
        </is>
      </c>
      <c r="G1035" s="55">
        <f>IFERROR(INDEX('Semrush Data'!$A$1:$Z$20000,MATCH(A1035,'Semrush Data'!$A$1:$A$20000,0),MATCH("Volume",'Semrush Data'!$A$1:$Z$1,0)),"")</f>
        <v/>
      </c>
      <c r="H1035" s="42">
        <f>IFERROR(INDEX('Semrush Data'!$A$1:$Z$20000,MATCH(A1035,'Semrush Data'!$A$1:$A$20000,0),MATCH("Keyword Difficulty*",'Semrush Data'!$A$1:$Z$1,0)),"")</f>
        <v/>
      </c>
      <c r="I1035" s="56">
        <f>IFERROR(INDEX('Semrush Data'!$A$1:$Z$20000,MATCH(A1035,'Semrush Data'!$A$1:$A$20000,0),MATCH("CPC*",'Semrush Data'!$A$1:$Z$1,0)),"")</f>
        <v/>
      </c>
      <c r="J1035" s="42">
        <f>IFERROR(INDEX('Semrush Data'!$A$1:$Z$20000,MATCH(A1035,'Semrush Data'!$A$1:$A$20000,0),MATCH("Intent",'Semrush Data'!$A$1:$Z$1,0)),"")</f>
        <v/>
      </c>
    </row>
    <row r="1036" ht="15" customHeight="1" s="37">
      <c r="A1036" s="42" t="inlineStr">
        <is>
          <t>fumeri oud saffron uk</t>
        </is>
      </c>
      <c r="B1036" s="42" t="inlineStr">
        <is>
          <t>Product + UK</t>
        </is>
      </c>
      <c r="C1036" s="42" t="n">
        <v>2</v>
      </c>
      <c r="D1036" s="42" t="n">
        <v>11</v>
      </c>
      <c r="E1036" s="42" t="n">
        <v>1</v>
      </c>
      <c r="F1036" s="42" t="inlineStr">
        <is>
          <t>FR-174</t>
        </is>
      </c>
      <c r="G1036" s="55">
        <f>IFERROR(INDEX('Semrush Data'!$A$1:$Z$20000,MATCH(A1036,'Semrush Data'!$A$1:$A$20000,0),MATCH("Volume",'Semrush Data'!$A$1:$Z$1,0)),"")</f>
        <v/>
      </c>
      <c r="H1036" s="42">
        <f>IFERROR(INDEX('Semrush Data'!$A$1:$Z$20000,MATCH(A1036,'Semrush Data'!$A$1:$A$20000,0),MATCH("Keyword Difficulty*",'Semrush Data'!$A$1:$Z$1,0)),"")</f>
        <v/>
      </c>
      <c r="I1036" s="56">
        <f>IFERROR(INDEX('Semrush Data'!$A$1:$Z$20000,MATCH(A1036,'Semrush Data'!$A$1:$A$20000,0),MATCH("CPC*",'Semrush Data'!$A$1:$Z$1,0)),"")</f>
        <v/>
      </c>
      <c r="J1036" s="42">
        <f>IFERROR(INDEX('Semrush Data'!$A$1:$Z$20000,MATCH(A1036,'Semrush Data'!$A$1:$A$20000,0),MATCH("Intent",'Semrush Data'!$A$1:$Z$1,0)),"")</f>
        <v/>
      </c>
    </row>
    <row r="1037" ht="15" customHeight="1" s="37">
      <c r="A1037" s="42" t="inlineStr">
        <is>
          <t>fumeri peach uk</t>
        </is>
      </c>
      <c r="B1037" s="42" t="inlineStr">
        <is>
          <t>Product + UK</t>
        </is>
      </c>
      <c r="C1037" s="42" t="n">
        <v>2</v>
      </c>
      <c r="D1037" s="42" t="n">
        <v>11</v>
      </c>
      <c r="E1037" s="42" t="n">
        <v>1</v>
      </c>
      <c r="F1037" s="42" t="inlineStr">
        <is>
          <t>FR-175</t>
        </is>
      </c>
      <c r="G1037" s="55">
        <f>IFERROR(INDEX('Semrush Data'!$A$1:$Z$20000,MATCH(A1037,'Semrush Data'!$A$1:$A$20000,0),MATCH("Volume",'Semrush Data'!$A$1:$Z$1,0)),"")</f>
        <v/>
      </c>
      <c r="H1037" s="42">
        <f>IFERROR(INDEX('Semrush Data'!$A$1:$Z$20000,MATCH(A1037,'Semrush Data'!$A$1:$A$20000,0),MATCH("Keyword Difficulty*",'Semrush Data'!$A$1:$Z$1,0)),"")</f>
        <v/>
      </c>
      <c r="I1037" s="56">
        <f>IFERROR(INDEX('Semrush Data'!$A$1:$Z$20000,MATCH(A1037,'Semrush Data'!$A$1:$A$20000,0),MATCH("CPC*",'Semrush Data'!$A$1:$Z$1,0)),"")</f>
        <v/>
      </c>
      <c r="J1037" s="42">
        <f>IFERROR(INDEX('Semrush Data'!$A$1:$Z$20000,MATCH(A1037,'Semrush Data'!$A$1:$A$20000,0),MATCH("Intent",'Semrush Data'!$A$1:$Z$1,0)),"")</f>
        <v/>
      </c>
    </row>
    <row r="1038" ht="15" customHeight="1" s="37">
      <c r="A1038" s="42" t="inlineStr">
        <is>
          <t>fumeri smokey leather uk</t>
        </is>
      </c>
      <c r="B1038" s="42" t="inlineStr">
        <is>
          <t>Product + UK</t>
        </is>
      </c>
      <c r="C1038" s="42" t="n">
        <v>2</v>
      </c>
      <c r="D1038" s="42" t="n">
        <v>11</v>
      </c>
      <c r="E1038" s="42" t="n">
        <v>1</v>
      </c>
      <c r="F1038" s="42" t="inlineStr">
        <is>
          <t>FR-176</t>
        </is>
      </c>
      <c r="G1038" s="55">
        <f>IFERROR(INDEX('Semrush Data'!$A$1:$Z$20000,MATCH(A1038,'Semrush Data'!$A$1:$A$20000,0),MATCH("Volume",'Semrush Data'!$A$1:$Z$1,0)),"")</f>
        <v/>
      </c>
      <c r="H1038" s="42">
        <f>IFERROR(INDEX('Semrush Data'!$A$1:$Z$20000,MATCH(A1038,'Semrush Data'!$A$1:$A$20000,0),MATCH("Keyword Difficulty*",'Semrush Data'!$A$1:$Z$1,0)),"")</f>
        <v/>
      </c>
      <c r="I1038" s="56">
        <f>IFERROR(INDEX('Semrush Data'!$A$1:$Z$20000,MATCH(A1038,'Semrush Data'!$A$1:$A$20000,0),MATCH("CPC*",'Semrush Data'!$A$1:$Z$1,0)),"")</f>
        <v/>
      </c>
      <c r="J1038" s="42">
        <f>IFERROR(INDEX('Semrush Data'!$A$1:$Z$20000,MATCH(A1038,'Semrush Data'!$A$1:$A$20000,0),MATCH("Intent",'Semrush Data'!$A$1:$Z$1,0)),"")</f>
        <v/>
      </c>
    </row>
    <row r="1039" ht="15" customHeight="1" s="37">
      <c r="A1039" s="42" t="inlineStr">
        <is>
          <t>fumeri style 33 uk</t>
        </is>
      </c>
      <c r="B1039" s="42" t="inlineStr">
        <is>
          <t>Product + UK</t>
        </is>
      </c>
      <c r="C1039" s="42" t="n">
        <v>2</v>
      </c>
      <c r="D1039" s="42" t="n">
        <v>11</v>
      </c>
      <c r="E1039" s="42" t="n">
        <v>1</v>
      </c>
      <c r="F1039" s="42" t="inlineStr">
        <is>
          <t>FR-177</t>
        </is>
      </c>
      <c r="G1039" s="55">
        <f>IFERROR(INDEX('Semrush Data'!$A$1:$Z$20000,MATCH(A1039,'Semrush Data'!$A$1:$A$20000,0),MATCH("Volume",'Semrush Data'!$A$1:$Z$1,0)),"")</f>
        <v/>
      </c>
      <c r="H1039" s="42">
        <f>IFERROR(INDEX('Semrush Data'!$A$1:$Z$20000,MATCH(A1039,'Semrush Data'!$A$1:$A$20000,0),MATCH("Keyword Difficulty*",'Semrush Data'!$A$1:$Z$1,0)),"")</f>
        <v/>
      </c>
      <c r="I1039" s="56">
        <f>IFERROR(INDEX('Semrush Data'!$A$1:$Z$20000,MATCH(A1039,'Semrush Data'!$A$1:$A$20000,0),MATCH("CPC*",'Semrush Data'!$A$1:$Z$1,0)),"")</f>
        <v/>
      </c>
      <c r="J1039" s="42">
        <f>IFERROR(INDEX('Semrush Data'!$A$1:$Z$20000,MATCH(A1039,'Semrush Data'!$A$1:$A$20000,0),MATCH("Intent",'Semrush Data'!$A$1:$Z$1,0)),"")</f>
        <v/>
      </c>
    </row>
    <row r="1040" ht="15" customHeight="1" s="37">
      <c r="A1040" s="42" t="inlineStr">
        <is>
          <t>fumeri victorious uk</t>
        </is>
      </c>
      <c r="B1040" s="42" t="inlineStr">
        <is>
          <t>Product + UK</t>
        </is>
      </c>
      <c r="C1040" s="42" t="n">
        <v>2</v>
      </c>
      <c r="D1040" s="42" t="n">
        <v>11</v>
      </c>
      <c r="E1040" s="42" t="n">
        <v>1</v>
      </c>
      <c r="F1040" s="42" t="inlineStr">
        <is>
          <t>FR-178</t>
        </is>
      </c>
      <c r="G1040" s="55">
        <f>IFERROR(INDEX('Semrush Data'!$A$1:$Z$20000,MATCH(A1040,'Semrush Data'!$A$1:$A$20000,0),MATCH("Volume",'Semrush Data'!$A$1:$Z$1,0)),"")</f>
        <v/>
      </c>
      <c r="H1040" s="42">
        <f>IFERROR(INDEX('Semrush Data'!$A$1:$Z$20000,MATCH(A1040,'Semrush Data'!$A$1:$A$20000,0),MATCH("Keyword Difficulty*",'Semrush Data'!$A$1:$Z$1,0)),"")</f>
        <v/>
      </c>
      <c r="I1040" s="56">
        <f>IFERROR(INDEX('Semrush Data'!$A$1:$Z$20000,MATCH(A1040,'Semrush Data'!$A$1:$A$20000,0),MATCH("CPC*",'Semrush Data'!$A$1:$Z$1,0)),"")</f>
        <v/>
      </c>
      <c r="J1040" s="42">
        <f>IFERROR(INDEX('Semrush Data'!$A$1:$Z$20000,MATCH(A1040,'Semrush Data'!$A$1:$A$20000,0),MATCH("Intent",'Semrush Data'!$A$1:$Z$1,0)),"")</f>
        <v/>
      </c>
    </row>
    <row r="1041" ht="15" customHeight="1" s="37">
      <c r="A1041" s="42" t="inlineStr">
        <is>
          <t>fumeri wild uk</t>
        </is>
      </c>
      <c r="B1041" s="42" t="inlineStr">
        <is>
          <t>Product + UK</t>
        </is>
      </c>
      <c r="C1041" s="42" t="n">
        <v>2</v>
      </c>
      <c r="D1041" s="42" t="n">
        <v>11</v>
      </c>
      <c r="E1041" s="42" t="n">
        <v>1</v>
      </c>
      <c r="F1041" s="42" t="inlineStr">
        <is>
          <t>FR-179</t>
        </is>
      </c>
      <c r="G1041" s="55">
        <f>IFERROR(INDEX('Semrush Data'!$A$1:$Z$20000,MATCH(A1041,'Semrush Data'!$A$1:$A$20000,0),MATCH("Volume",'Semrush Data'!$A$1:$Z$1,0)),"")</f>
        <v/>
      </c>
      <c r="H1041" s="42">
        <f>IFERROR(INDEX('Semrush Data'!$A$1:$Z$20000,MATCH(A1041,'Semrush Data'!$A$1:$A$20000,0),MATCH("Keyword Difficulty*",'Semrush Data'!$A$1:$Z$1,0)),"")</f>
        <v/>
      </c>
      <c r="I1041" s="56">
        <f>IFERROR(INDEX('Semrush Data'!$A$1:$Z$20000,MATCH(A1041,'Semrush Data'!$A$1:$A$20000,0),MATCH("CPC*",'Semrush Data'!$A$1:$Z$1,0)),"")</f>
        <v/>
      </c>
      <c r="J1041" s="42">
        <f>IFERROR(INDEX('Semrush Data'!$A$1:$Z$20000,MATCH(A1041,'Semrush Data'!$A$1:$A$20000,0),MATCH("Intent",'Semrush Data'!$A$1:$Z$1,0)),"")</f>
        <v/>
      </c>
    </row>
    <row r="1042" ht="15" customHeight="1" s="37">
      <c r="A1042" s="42" t="inlineStr">
        <is>
          <t>game of spades bid uk</t>
        </is>
      </c>
      <c r="B1042" s="42" t="inlineStr">
        <is>
          <t>Product + UK</t>
        </is>
      </c>
      <c r="C1042" s="42" t="n">
        <v>2</v>
      </c>
      <c r="D1042" s="42" t="inlineStr">
        <is>
          <t>T2-2</t>
        </is>
      </c>
      <c r="E1042" s="42" t="n">
        <v>1</v>
      </c>
      <c r="F1042" s="42" t="inlineStr">
        <is>
          <t>FR-180</t>
        </is>
      </c>
      <c r="G1042" s="55">
        <f>IFERROR(INDEX('Semrush Data'!$A$1:$Z$20000,MATCH(A1042,'Semrush Data'!$A$1:$A$20000,0),MATCH("Volume",'Semrush Data'!$A$1:$Z$1,0)),"")</f>
        <v/>
      </c>
      <c r="H1042" s="42">
        <f>IFERROR(INDEX('Semrush Data'!$A$1:$Z$20000,MATCH(A1042,'Semrush Data'!$A$1:$A$20000,0),MATCH("Keyword Difficulty*",'Semrush Data'!$A$1:$Z$1,0)),"")</f>
        <v/>
      </c>
      <c r="I1042" s="56">
        <f>IFERROR(INDEX('Semrush Data'!$A$1:$Z$20000,MATCH(A1042,'Semrush Data'!$A$1:$A$20000,0),MATCH("CPC*",'Semrush Data'!$A$1:$Z$1,0)),"")</f>
        <v/>
      </c>
      <c r="J1042" s="42">
        <f>IFERROR(INDEX('Semrush Data'!$A$1:$Z$20000,MATCH(A1042,'Semrush Data'!$A$1:$A$20000,0),MATCH("Intent",'Semrush Data'!$A$1:$Z$1,0)),"")</f>
        <v/>
      </c>
    </row>
    <row r="1043" ht="15" customHeight="1" s="37">
      <c r="A1043" s="42" t="inlineStr">
        <is>
          <t>game of spades blind-bid uk</t>
        </is>
      </c>
      <c r="B1043" s="42" t="inlineStr">
        <is>
          <t>Product + UK</t>
        </is>
      </c>
      <c r="C1043" s="42" t="n">
        <v>2</v>
      </c>
      <c r="D1043" s="42" t="n">
        <v>11</v>
      </c>
      <c r="E1043" s="42" t="n">
        <v>1</v>
      </c>
      <c r="F1043" s="42" t="inlineStr">
        <is>
          <t>FR-181</t>
        </is>
      </c>
      <c r="G1043" s="55">
        <f>IFERROR(INDEX('Semrush Data'!$A$1:$Z$20000,MATCH(A1043,'Semrush Data'!$A$1:$A$20000,0),MATCH("Volume",'Semrush Data'!$A$1:$Z$1,0)),"")</f>
        <v/>
      </c>
      <c r="H1043" s="42">
        <f>IFERROR(INDEX('Semrush Data'!$A$1:$Z$20000,MATCH(A1043,'Semrush Data'!$A$1:$A$20000,0),MATCH("Keyword Difficulty*",'Semrush Data'!$A$1:$Z$1,0)),"")</f>
        <v/>
      </c>
      <c r="I1043" s="56">
        <f>IFERROR(INDEX('Semrush Data'!$A$1:$Z$20000,MATCH(A1043,'Semrush Data'!$A$1:$A$20000,0),MATCH("CPC*",'Semrush Data'!$A$1:$Z$1,0)),"")</f>
        <v/>
      </c>
      <c r="J1043" s="42">
        <f>IFERROR(INDEX('Semrush Data'!$A$1:$Z$20000,MATCH(A1043,'Semrush Data'!$A$1:$A$20000,0),MATCH("Intent",'Semrush Data'!$A$1:$Z$1,0)),"")</f>
        <v/>
      </c>
    </row>
    <row r="1044" ht="15" customHeight="1" s="37">
      <c r="A1044" s="42" t="inlineStr">
        <is>
          <t>game of spades boston uk</t>
        </is>
      </c>
      <c r="B1044" s="42" t="inlineStr">
        <is>
          <t>Product + UK</t>
        </is>
      </c>
      <c r="C1044" s="42" t="n">
        <v>2</v>
      </c>
      <c r="D1044" s="42" t="n">
        <v>11</v>
      </c>
      <c r="E1044" s="42" t="n">
        <v>1</v>
      </c>
      <c r="F1044" s="42" t="inlineStr">
        <is>
          <t>FR-182</t>
        </is>
      </c>
      <c r="G1044" s="55">
        <f>IFERROR(INDEX('Semrush Data'!$A$1:$Z$20000,MATCH(A1044,'Semrush Data'!$A$1:$A$20000,0),MATCH("Volume",'Semrush Data'!$A$1:$Z$1,0)),"")</f>
        <v/>
      </c>
      <c r="H1044" s="42">
        <f>IFERROR(INDEX('Semrush Data'!$A$1:$Z$20000,MATCH(A1044,'Semrush Data'!$A$1:$A$20000,0),MATCH("Keyword Difficulty*",'Semrush Data'!$A$1:$Z$1,0)),"")</f>
        <v/>
      </c>
      <c r="I1044" s="56">
        <f>IFERROR(INDEX('Semrush Data'!$A$1:$Z$20000,MATCH(A1044,'Semrush Data'!$A$1:$A$20000,0),MATCH("CPC*",'Semrush Data'!$A$1:$Z$1,0)),"")</f>
        <v/>
      </c>
      <c r="J1044" s="42">
        <f>IFERROR(INDEX('Semrush Data'!$A$1:$Z$20000,MATCH(A1044,'Semrush Data'!$A$1:$A$20000,0),MATCH("Intent",'Semrush Data'!$A$1:$Z$1,0)),"")</f>
        <v/>
      </c>
    </row>
    <row r="1045" ht="15" customHeight="1" s="37">
      <c r="A1045" s="42" t="inlineStr">
        <is>
          <t>game of spades diamond uk</t>
        </is>
      </c>
      <c r="B1045" s="42" t="inlineStr">
        <is>
          <t>Product + UK</t>
        </is>
      </c>
      <c r="C1045" s="42" t="n">
        <v>2</v>
      </c>
      <c r="D1045" s="42" t="n">
        <v>11</v>
      </c>
      <c r="E1045" s="42" t="n">
        <v>1</v>
      </c>
      <c r="F1045" s="42" t="inlineStr">
        <is>
          <t>FR-183</t>
        </is>
      </c>
      <c r="G1045" s="55">
        <f>IFERROR(INDEX('Semrush Data'!$A$1:$Z$20000,MATCH(A1045,'Semrush Data'!$A$1:$A$20000,0),MATCH("Volume",'Semrush Data'!$A$1:$Z$1,0)),"")</f>
        <v/>
      </c>
      <c r="H1045" s="42">
        <f>IFERROR(INDEX('Semrush Data'!$A$1:$Z$20000,MATCH(A1045,'Semrush Data'!$A$1:$A$20000,0),MATCH("Keyword Difficulty*",'Semrush Data'!$A$1:$Z$1,0)),"")</f>
        <v/>
      </c>
      <c r="I1045" s="56">
        <f>IFERROR(INDEX('Semrush Data'!$A$1:$Z$20000,MATCH(A1045,'Semrush Data'!$A$1:$A$20000,0),MATCH("CPC*",'Semrush Data'!$A$1:$Z$1,0)),"")</f>
        <v/>
      </c>
      <c r="J1045" s="42">
        <f>IFERROR(INDEX('Semrush Data'!$A$1:$Z$20000,MATCH(A1045,'Semrush Data'!$A$1:$A$20000,0),MATCH("Intent",'Semrush Data'!$A$1:$Z$1,0)),"")</f>
        <v/>
      </c>
    </row>
    <row r="1046" ht="15" customHeight="1" s="37">
      <c r="A1046" s="42" t="inlineStr">
        <is>
          <t>game of spades full house uk</t>
        </is>
      </c>
      <c r="B1046" s="42" t="inlineStr">
        <is>
          <t>Product + UK</t>
        </is>
      </c>
      <c r="C1046" s="42" t="n">
        <v>2</v>
      </c>
      <c r="D1046" s="42" t="inlineStr">
        <is>
          <t>T2-1</t>
        </is>
      </c>
      <c r="E1046" s="42" t="n">
        <v>1</v>
      </c>
      <c r="F1046" s="42" t="inlineStr">
        <is>
          <t>FR-184</t>
        </is>
      </c>
      <c r="G1046" s="55">
        <f>IFERROR(INDEX('Semrush Data'!$A$1:$Z$20000,MATCH(A1046,'Semrush Data'!$A$1:$A$20000,0),MATCH("Volume",'Semrush Data'!$A$1:$Z$1,0)),"")</f>
        <v/>
      </c>
      <c r="H1046" s="42">
        <f>IFERROR(INDEX('Semrush Data'!$A$1:$Z$20000,MATCH(A1046,'Semrush Data'!$A$1:$A$20000,0),MATCH("Keyword Difficulty*",'Semrush Data'!$A$1:$Z$1,0)),"")</f>
        <v/>
      </c>
      <c r="I1046" s="56">
        <f>IFERROR(INDEX('Semrush Data'!$A$1:$Z$20000,MATCH(A1046,'Semrush Data'!$A$1:$A$20000,0),MATCH("CPC*",'Semrush Data'!$A$1:$Z$1,0)),"")</f>
        <v/>
      </c>
      <c r="J1046" s="42">
        <f>IFERROR(INDEX('Semrush Data'!$A$1:$Z$20000,MATCH(A1046,'Semrush Data'!$A$1:$A$20000,0),MATCH("Intent",'Semrush Data'!$A$1:$Z$1,0)),"")</f>
        <v/>
      </c>
    </row>
    <row r="1047" ht="15" customHeight="1" s="37">
      <c r="A1047" s="42" t="inlineStr">
        <is>
          <t>game of spades high roller uk</t>
        </is>
      </c>
      <c r="B1047" s="42" t="inlineStr">
        <is>
          <t>Product + UK</t>
        </is>
      </c>
      <c r="C1047" s="42" t="n">
        <v>2</v>
      </c>
      <c r="D1047" s="42" t="n">
        <v>11</v>
      </c>
      <c r="E1047" s="42" t="n">
        <v>1</v>
      </c>
      <c r="F1047" s="42" t="inlineStr">
        <is>
          <t>FR-185</t>
        </is>
      </c>
      <c r="G1047" s="55">
        <f>IFERROR(INDEX('Semrush Data'!$A$1:$Z$20000,MATCH(A1047,'Semrush Data'!$A$1:$A$20000,0),MATCH("Volume",'Semrush Data'!$A$1:$Z$1,0)),"")</f>
        <v/>
      </c>
      <c r="H1047" s="42">
        <f>IFERROR(INDEX('Semrush Data'!$A$1:$Z$20000,MATCH(A1047,'Semrush Data'!$A$1:$A$20000,0),MATCH("Keyword Difficulty*",'Semrush Data'!$A$1:$Z$1,0)),"")</f>
        <v/>
      </c>
      <c r="I1047" s="56">
        <f>IFERROR(INDEX('Semrush Data'!$A$1:$Z$20000,MATCH(A1047,'Semrush Data'!$A$1:$A$20000,0),MATCH("CPC*",'Semrush Data'!$A$1:$Z$1,0)),"")</f>
        <v/>
      </c>
      <c r="J1047" s="42">
        <f>IFERROR(INDEX('Semrush Data'!$A$1:$Z$20000,MATCH(A1047,'Semrush Data'!$A$1:$A$20000,0),MATCH("Intent",'Semrush Data'!$A$1:$Z$1,0)),"")</f>
        <v/>
      </c>
    </row>
    <row r="1048" ht="15" customHeight="1" s="37">
      <c r="A1048" s="42" t="inlineStr">
        <is>
          <t>game of spades jackpot uk</t>
        </is>
      </c>
      <c r="B1048" s="42" t="inlineStr">
        <is>
          <t>Product + UK</t>
        </is>
      </c>
      <c r="C1048" s="42" t="n">
        <v>2</v>
      </c>
      <c r="D1048" s="42" t="n">
        <v>11</v>
      </c>
      <c r="E1048" s="42" t="n">
        <v>1</v>
      </c>
      <c r="F1048" s="42" t="inlineStr">
        <is>
          <t>FR-186</t>
        </is>
      </c>
      <c r="G1048" s="55">
        <f>IFERROR(INDEX('Semrush Data'!$A$1:$Z$20000,MATCH(A1048,'Semrush Data'!$A$1:$A$20000,0),MATCH("Volume",'Semrush Data'!$A$1:$Z$1,0)),"")</f>
        <v/>
      </c>
      <c r="H1048" s="42">
        <f>IFERROR(INDEX('Semrush Data'!$A$1:$Z$20000,MATCH(A1048,'Semrush Data'!$A$1:$A$20000,0),MATCH("Keyword Difficulty*",'Semrush Data'!$A$1:$Z$1,0)),"")</f>
        <v/>
      </c>
      <c r="I1048" s="56">
        <f>IFERROR(INDEX('Semrush Data'!$A$1:$Z$20000,MATCH(A1048,'Semrush Data'!$A$1:$A$20000,0),MATCH("CPC*",'Semrush Data'!$A$1:$Z$1,0)),"")</f>
        <v/>
      </c>
      <c r="J1048" s="42">
        <f>IFERROR(INDEX('Semrush Data'!$A$1:$Z$20000,MATCH(A1048,'Semrush Data'!$A$1:$A$20000,0),MATCH("Intent",'Semrush Data'!$A$1:$Z$1,0)),"")</f>
        <v/>
      </c>
    </row>
    <row r="1049" ht="15" customHeight="1" s="37">
      <c r="A1049" s="42" t="inlineStr">
        <is>
          <t>game of spades king uk</t>
        </is>
      </c>
      <c r="B1049" s="42" t="inlineStr">
        <is>
          <t>Product + UK</t>
        </is>
      </c>
      <c r="C1049" s="42" t="n">
        <v>2</v>
      </c>
      <c r="D1049" s="42" t="n">
        <v>11</v>
      </c>
      <c r="E1049" s="42" t="n">
        <v>1</v>
      </c>
      <c r="F1049" s="42" t="inlineStr">
        <is>
          <t>FR-187</t>
        </is>
      </c>
      <c r="G1049" s="55">
        <f>IFERROR(INDEX('Semrush Data'!$A$1:$Z$20000,MATCH(A1049,'Semrush Data'!$A$1:$A$20000,0),MATCH("Volume",'Semrush Data'!$A$1:$Z$1,0)),"")</f>
        <v/>
      </c>
      <c r="H1049" s="42">
        <f>IFERROR(INDEX('Semrush Data'!$A$1:$Z$20000,MATCH(A1049,'Semrush Data'!$A$1:$A$20000,0),MATCH("Keyword Difficulty*",'Semrush Data'!$A$1:$Z$1,0)),"")</f>
        <v/>
      </c>
      <c r="I1049" s="56">
        <f>IFERROR(INDEX('Semrush Data'!$A$1:$Z$20000,MATCH(A1049,'Semrush Data'!$A$1:$A$20000,0),MATCH("CPC*",'Semrush Data'!$A$1:$Z$1,0)),"")</f>
        <v/>
      </c>
      <c r="J1049" s="42">
        <f>IFERROR(INDEX('Semrush Data'!$A$1:$Z$20000,MATCH(A1049,'Semrush Data'!$A$1:$A$20000,0),MATCH("Intent",'Semrush Data'!$A$1:$Z$1,0)),"")</f>
        <v/>
      </c>
    </row>
    <row r="1050" ht="15" customHeight="1" s="37">
      <c r="A1050" s="42" t="inlineStr">
        <is>
          <t>game of spades moon uk</t>
        </is>
      </c>
      <c r="B1050" s="42" t="inlineStr">
        <is>
          <t>Product + UK</t>
        </is>
      </c>
      <c r="C1050" s="42" t="n">
        <v>2</v>
      </c>
      <c r="D1050" s="42" t="inlineStr">
        <is>
          <t>T2-1</t>
        </is>
      </c>
      <c r="E1050" s="42" t="n">
        <v>1</v>
      </c>
      <c r="F1050" s="42" t="inlineStr">
        <is>
          <t>FR-188</t>
        </is>
      </c>
      <c r="G1050" s="55">
        <f>IFERROR(INDEX('Semrush Data'!$A$1:$Z$20000,MATCH(A1050,'Semrush Data'!$A$1:$A$20000,0),MATCH("Volume",'Semrush Data'!$A$1:$Z$1,0)),"")</f>
        <v/>
      </c>
      <c r="H1050" s="42">
        <f>IFERROR(INDEX('Semrush Data'!$A$1:$Z$20000,MATCH(A1050,'Semrush Data'!$A$1:$A$20000,0),MATCH("Keyword Difficulty*",'Semrush Data'!$A$1:$Z$1,0)),"")</f>
        <v/>
      </c>
      <c r="I1050" s="56">
        <f>IFERROR(INDEX('Semrush Data'!$A$1:$Z$20000,MATCH(A1050,'Semrush Data'!$A$1:$A$20000,0),MATCH("CPC*",'Semrush Data'!$A$1:$Z$1,0)),"")</f>
        <v/>
      </c>
      <c r="J1050" s="42">
        <f>IFERROR(INDEX('Semrush Data'!$A$1:$Z$20000,MATCH(A1050,'Semrush Data'!$A$1:$A$20000,0),MATCH("Intent",'Semrush Data'!$A$1:$Z$1,0)),"")</f>
        <v/>
      </c>
    </row>
    <row r="1051" ht="15" customHeight="1" s="37">
      <c r="A1051" s="42" t="inlineStr">
        <is>
          <t>game of spades opal uk</t>
        </is>
      </c>
      <c r="B1051" s="42" t="inlineStr">
        <is>
          <t>Product + UK</t>
        </is>
      </c>
      <c r="C1051" s="42" t="n">
        <v>2</v>
      </c>
      <c r="D1051" s="42" t="inlineStr">
        <is>
          <t>T2-2</t>
        </is>
      </c>
      <c r="E1051" s="42" t="n">
        <v>1</v>
      </c>
      <c r="F1051" s="42" t="inlineStr">
        <is>
          <t>FR-189</t>
        </is>
      </c>
      <c r="G1051" s="55">
        <f>IFERROR(INDEX('Semrush Data'!$A$1:$Z$20000,MATCH(A1051,'Semrush Data'!$A$1:$A$20000,0),MATCH("Volume",'Semrush Data'!$A$1:$Z$1,0)),"")</f>
        <v/>
      </c>
      <c r="H1051" s="42">
        <f>IFERROR(INDEX('Semrush Data'!$A$1:$Z$20000,MATCH(A1051,'Semrush Data'!$A$1:$A$20000,0),MATCH("Keyword Difficulty*",'Semrush Data'!$A$1:$Z$1,0)),"")</f>
        <v/>
      </c>
      <c r="I1051" s="56">
        <f>IFERROR(INDEX('Semrush Data'!$A$1:$Z$20000,MATCH(A1051,'Semrush Data'!$A$1:$A$20000,0),MATCH("CPC*",'Semrush Data'!$A$1:$Z$1,0)),"")</f>
        <v/>
      </c>
      <c r="J1051" s="42">
        <f>IFERROR(INDEX('Semrush Data'!$A$1:$Z$20000,MATCH(A1051,'Semrush Data'!$A$1:$A$20000,0),MATCH("Intent",'Semrush Data'!$A$1:$Z$1,0)),"")</f>
        <v/>
      </c>
    </row>
    <row r="1052" ht="15" customHeight="1" s="37">
      <c r="A1052" s="42" t="inlineStr">
        <is>
          <t>game of spades rouge extrait uk</t>
        </is>
      </c>
      <c r="B1052" s="42" t="inlineStr">
        <is>
          <t>Product + UK</t>
        </is>
      </c>
      <c r="C1052" s="42" t="n">
        <v>2</v>
      </c>
      <c r="D1052" s="42" t="n">
        <v>11</v>
      </c>
      <c r="E1052" s="42" t="n">
        <v>1</v>
      </c>
      <c r="F1052" s="42" t="inlineStr">
        <is>
          <t>FR-211</t>
        </is>
      </c>
      <c r="G1052" s="55">
        <f>IFERROR(INDEX('Semrush Data'!$A$1:$Z$20000,MATCH(A1052,'Semrush Data'!$A$1:$A$20000,0),MATCH("Volume",'Semrush Data'!$A$1:$Z$1,0)),"")</f>
        <v/>
      </c>
      <c r="H1052" s="42">
        <f>IFERROR(INDEX('Semrush Data'!$A$1:$Z$20000,MATCH(A1052,'Semrush Data'!$A$1:$A$20000,0),MATCH("Keyword Difficulty*",'Semrush Data'!$A$1:$Z$1,0)),"")</f>
        <v/>
      </c>
      <c r="I1052" s="56">
        <f>IFERROR(INDEX('Semrush Data'!$A$1:$Z$20000,MATCH(A1052,'Semrush Data'!$A$1:$A$20000,0),MATCH("CPC*",'Semrush Data'!$A$1:$Z$1,0)),"")</f>
        <v/>
      </c>
      <c r="J1052" s="42">
        <f>IFERROR(INDEX('Semrush Data'!$A$1:$Z$20000,MATCH(A1052,'Semrush Data'!$A$1:$A$20000,0),MATCH("Intent",'Semrush Data'!$A$1:$Z$1,0)),"")</f>
        <v/>
      </c>
    </row>
    <row r="1053" ht="15" customHeight="1" s="37">
      <c r="A1053" s="42" t="inlineStr">
        <is>
          <t>game of spades rouge uk</t>
        </is>
      </c>
      <c r="B1053" s="42" t="inlineStr">
        <is>
          <t>Product + UK</t>
        </is>
      </c>
      <c r="C1053" s="42" t="n">
        <v>2</v>
      </c>
      <c r="D1053" s="42" t="inlineStr">
        <is>
          <t>T2-2</t>
        </is>
      </c>
      <c r="E1053" s="42" t="n">
        <v>1</v>
      </c>
      <c r="F1053" s="42" t="inlineStr">
        <is>
          <t>FR-190</t>
        </is>
      </c>
      <c r="G1053" s="55">
        <f>IFERROR(INDEX('Semrush Data'!$A$1:$Z$20000,MATCH(A1053,'Semrush Data'!$A$1:$A$20000,0),MATCH("Volume",'Semrush Data'!$A$1:$Z$1,0)),"")</f>
        <v/>
      </c>
      <c r="H1053" s="42">
        <f>IFERROR(INDEX('Semrush Data'!$A$1:$Z$20000,MATCH(A1053,'Semrush Data'!$A$1:$A$20000,0),MATCH("Keyword Difficulty*",'Semrush Data'!$A$1:$Z$1,0)),"")</f>
        <v/>
      </c>
      <c r="I1053" s="56">
        <f>IFERROR(INDEX('Semrush Data'!$A$1:$Z$20000,MATCH(A1053,'Semrush Data'!$A$1:$A$20000,0),MATCH("CPC*",'Semrush Data'!$A$1:$Z$1,0)),"")</f>
        <v/>
      </c>
      <c r="J1053" s="42">
        <f>IFERROR(INDEX('Semrush Data'!$A$1:$Z$20000,MATCH(A1053,'Semrush Data'!$A$1:$A$20000,0),MATCH("Intent",'Semrush Data'!$A$1:$Z$1,0)),"")</f>
        <v/>
      </c>
    </row>
    <row r="1054" ht="15" customHeight="1" s="37">
      <c r="A1054" s="42" t="inlineStr">
        <is>
          <t>game of spades royale uk</t>
        </is>
      </c>
      <c r="B1054" s="42" t="inlineStr">
        <is>
          <t>Product + UK</t>
        </is>
      </c>
      <c r="C1054" s="42" t="n">
        <v>2</v>
      </c>
      <c r="D1054" s="42" t="inlineStr">
        <is>
          <t>T2-2</t>
        </is>
      </c>
      <c r="E1054" s="42" t="n">
        <v>1</v>
      </c>
      <c r="F1054" s="42" t="inlineStr">
        <is>
          <t>FR-191</t>
        </is>
      </c>
      <c r="G1054" s="55">
        <f>IFERROR(INDEX('Semrush Data'!$A$1:$Z$20000,MATCH(A1054,'Semrush Data'!$A$1:$A$20000,0),MATCH("Volume",'Semrush Data'!$A$1:$Z$1,0)),"")</f>
        <v/>
      </c>
      <c r="H1054" s="42">
        <f>IFERROR(INDEX('Semrush Data'!$A$1:$Z$20000,MATCH(A1054,'Semrush Data'!$A$1:$A$20000,0),MATCH("Keyword Difficulty*",'Semrush Data'!$A$1:$Z$1,0)),"")</f>
        <v/>
      </c>
      <c r="I1054" s="56">
        <f>IFERROR(INDEX('Semrush Data'!$A$1:$Z$20000,MATCH(A1054,'Semrush Data'!$A$1:$A$20000,0),MATCH("CPC*",'Semrush Data'!$A$1:$Z$1,0)),"")</f>
        <v/>
      </c>
      <c r="J1054" s="42">
        <f>IFERROR(INDEX('Semrush Data'!$A$1:$Z$20000,MATCH(A1054,'Semrush Data'!$A$1:$A$20000,0),MATCH("Intent",'Semrush Data'!$A$1:$Z$1,0)),"")</f>
        <v/>
      </c>
    </row>
    <row r="1055" ht="15" customHeight="1" s="37">
      <c r="A1055" s="42" t="inlineStr">
        <is>
          <t>game of spades ruby uk</t>
        </is>
      </c>
      <c r="B1055" s="42" t="inlineStr">
        <is>
          <t>Product + UK</t>
        </is>
      </c>
      <c r="C1055" s="42" t="n">
        <v>2</v>
      </c>
      <c r="D1055" s="42" t="n">
        <v>11</v>
      </c>
      <c r="E1055" s="42" t="n">
        <v>1</v>
      </c>
      <c r="F1055" s="42" t="inlineStr">
        <is>
          <t>FR-192</t>
        </is>
      </c>
      <c r="G1055" s="55">
        <f>IFERROR(INDEX('Semrush Data'!$A$1:$Z$20000,MATCH(A1055,'Semrush Data'!$A$1:$A$20000,0),MATCH("Volume",'Semrush Data'!$A$1:$Z$1,0)),"")</f>
        <v/>
      </c>
      <c r="H1055" s="42">
        <f>IFERROR(INDEX('Semrush Data'!$A$1:$Z$20000,MATCH(A1055,'Semrush Data'!$A$1:$A$20000,0),MATCH("Keyword Difficulty*",'Semrush Data'!$A$1:$Z$1,0)),"")</f>
        <v/>
      </c>
      <c r="I1055" s="56">
        <f>IFERROR(INDEX('Semrush Data'!$A$1:$Z$20000,MATCH(A1055,'Semrush Data'!$A$1:$A$20000,0),MATCH("CPC*",'Semrush Data'!$A$1:$Z$1,0)),"")</f>
        <v/>
      </c>
      <c r="J1055" s="42">
        <f>IFERROR(INDEX('Semrush Data'!$A$1:$Z$20000,MATCH(A1055,'Semrush Data'!$A$1:$A$20000,0),MATCH("Intent",'Semrush Data'!$A$1:$Z$1,0)),"")</f>
        <v/>
      </c>
    </row>
    <row r="1056" ht="15" customHeight="1" s="37">
      <c r="A1056" s="42" t="inlineStr">
        <is>
          <t>game of spades wildcard uk</t>
        </is>
      </c>
      <c r="B1056" s="42" t="inlineStr">
        <is>
          <t>Product + UK</t>
        </is>
      </c>
      <c r="C1056" s="42" t="n">
        <v>2</v>
      </c>
      <c r="D1056" s="42" t="inlineStr">
        <is>
          <t>T2-1</t>
        </is>
      </c>
      <c r="E1056" s="42" t="n">
        <v>1</v>
      </c>
      <c r="F1056" s="42" t="inlineStr">
        <is>
          <t>FR-193</t>
        </is>
      </c>
      <c r="G1056" s="55">
        <f>IFERROR(INDEX('Semrush Data'!$A$1:$Z$20000,MATCH(A1056,'Semrush Data'!$A$1:$A$20000,0),MATCH("Volume",'Semrush Data'!$A$1:$Z$1,0)),"")</f>
        <v/>
      </c>
      <c r="H1056" s="42">
        <f>IFERROR(INDEX('Semrush Data'!$A$1:$Z$20000,MATCH(A1056,'Semrush Data'!$A$1:$A$20000,0),MATCH("Keyword Difficulty*",'Semrush Data'!$A$1:$Z$1,0)),"")</f>
        <v/>
      </c>
      <c r="I1056" s="56">
        <f>IFERROR(INDEX('Semrush Data'!$A$1:$Z$20000,MATCH(A1056,'Semrush Data'!$A$1:$A$20000,0),MATCH("CPC*",'Semrush Data'!$A$1:$Z$1,0)),"")</f>
        <v/>
      </c>
      <c r="J1056" s="42">
        <f>IFERROR(INDEX('Semrush Data'!$A$1:$Z$20000,MATCH(A1056,'Semrush Data'!$A$1:$A$20000,0),MATCH("Intent",'Semrush Data'!$A$1:$Z$1,0)),"")</f>
        <v/>
      </c>
    </row>
    <row r="1057" ht="15" customHeight="1" s="37">
      <c r="A1057" s="42" t="inlineStr">
        <is>
          <t>game of spades win uk</t>
        </is>
      </c>
      <c r="B1057" s="42" t="inlineStr">
        <is>
          <t>Product + UK</t>
        </is>
      </c>
      <c r="C1057" s="42" t="n">
        <v>2</v>
      </c>
      <c r="D1057" s="42" t="inlineStr">
        <is>
          <t>T2-2</t>
        </is>
      </c>
      <c r="E1057" s="42" t="n">
        <v>1</v>
      </c>
      <c r="F1057" s="42" t="inlineStr">
        <is>
          <t>FR-194</t>
        </is>
      </c>
      <c r="G1057" s="55">
        <f>IFERROR(INDEX('Semrush Data'!$A$1:$Z$20000,MATCH(A1057,'Semrush Data'!$A$1:$A$20000,0),MATCH("Volume",'Semrush Data'!$A$1:$Z$1,0)),"")</f>
        <v/>
      </c>
      <c r="H1057" s="42">
        <f>IFERROR(INDEX('Semrush Data'!$A$1:$Z$20000,MATCH(A1057,'Semrush Data'!$A$1:$A$20000,0),MATCH("Keyword Difficulty*",'Semrush Data'!$A$1:$Z$1,0)),"")</f>
        <v/>
      </c>
      <c r="I1057" s="56">
        <f>IFERROR(INDEX('Semrush Data'!$A$1:$Z$20000,MATCH(A1057,'Semrush Data'!$A$1:$A$20000,0),MATCH("CPC*",'Semrush Data'!$A$1:$Z$1,0)),"")</f>
        <v/>
      </c>
      <c r="J1057" s="42">
        <f>IFERROR(INDEX('Semrush Data'!$A$1:$Z$20000,MATCH(A1057,'Semrush Data'!$A$1:$A$20000,0),MATCH("Intent",'Semrush Data'!$A$1:$Z$1,0)),"")</f>
        <v/>
      </c>
    </row>
    <row r="1058" ht="15" customHeight="1" s="37">
      <c r="A1058" s="42" t="inlineStr">
        <is>
          <t>game of spades yellow sapphire uk</t>
        </is>
      </c>
      <c r="B1058" s="42" t="inlineStr">
        <is>
          <t>Product + UK</t>
        </is>
      </c>
      <c r="C1058" s="42" t="n">
        <v>2</v>
      </c>
      <c r="D1058" s="42" t="n">
        <v>11</v>
      </c>
      <c r="E1058" s="42" t="n">
        <v>1</v>
      </c>
      <c r="F1058" s="42" t="inlineStr">
        <is>
          <t>FR-195</t>
        </is>
      </c>
      <c r="G1058" s="55">
        <f>IFERROR(INDEX('Semrush Data'!$A$1:$Z$20000,MATCH(A1058,'Semrush Data'!$A$1:$A$20000,0),MATCH("Volume",'Semrush Data'!$A$1:$Z$1,0)),"")</f>
        <v/>
      </c>
      <c r="H1058" s="42">
        <f>IFERROR(INDEX('Semrush Data'!$A$1:$Z$20000,MATCH(A1058,'Semrush Data'!$A$1:$A$20000,0),MATCH("Keyword Difficulty*",'Semrush Data'!$A$1:$Z$1,0)),"")</f>
        <v/>
      </c>
      <c r="I1058" s="56">
        <f>IFERROR(INDEX('Semrush Data'!$A$1:$Z$20000,MATCH(A1058,'Semrush Data'!$A$1:$A$20000,0),MATCH("CPC*",'Semrush Data'!$A$1:$Z$1,0)),"")</f>
        <v/>
      </c>
      <c r="J1058" s="42">
        <f>IFERROR(INDEX('Semrush Data'!$A$1:$Z$20000,MATCH(A1058,'Semrush Data'!$A$1:$A$20000,0),MATCH("Intent",'Semrush Data'!$A$1:$Z$1,0)),"")</f>
        <v/>
      </c>
    </row>
    <row r="1059" ht="15" customHeight="1" s="37">
      <c r="A1059" s="42" t="inlineStr">
        <is>
          <t>giorgia armani giorgio armani code refillable uk</t>
        </is>
      </c>
      <c r="B1059" s="42" t="inlineStr">
        <is>
          <t>Product + UK</t>
        </is>
      </c>
      <c r="C1059" s="42" t="n">
        <v>2</v>
      </c>
      <c r="D1059" s="42" t="n">
        <v>11</v>
      </c>
      <c r="E1059" s="42" t="n">
        <v>1</v>
      </c>
      <c r="F1059" s="42" t="inlineStr">
        <is>
          <t>FR-212</t>
        </is>
      </c>
      <c r="G1059" s="55">
        <f>IFERROR(INDEX('Semrush Data'!$A$1:$Z$20000,MATCH(A1059,'Semrush Data'!$A$1:$A$20000,0),MATCH("Volume",'Semrush Data'!$A$1:$Z$1,0)),"")</f>
        <v/>
      </c>
      <c r="H1059" s="42">
        <f>IFERROR(INDEX('Semrush Data'!$A$1:$Z$20000,MATCH(A1059,'Semrush Data'!$A$1:$A$20000,0),MATCH("Keyword Difficulty*",'Semrush Data'!$A$1:$Z$1,0)),"")</f>
        <v/>
      </c>
      <c r="I1059" s="56">
        <f>IFERROR(INDEX('Semrush Data'!$A$1:$Z$20000,MATCH(A1059,'Semrush Data'!$A$1:$A$20000,0),MATCH("CPC*",'Semrush Data'!$A$1:$Z$1,0)),"")</f>
        <v/>
      </c>
      <c r="J1059" s="42">
        <f>IFERROR(INDEX('Semrush Data'!$A$1:$Z$20000,MATCH(A1059,'Semrush Data'!$A$1:$A$20000,0),MATCH("Intent",'Semrush Data'!$A$1:$Z$1,0)),"")</f>
        <v/>
      </c>
    </row>
    <row r="1060" ht="15" customHeight="1" s="37">
      <c r="A1060" s="42" t="inlineStr">
        <is>
          <t>giorgio armani code refillable uk</t>
        </is>
      </c>
      <c r="B1060" s="42" t="inlineStr">
        <is>
          <t>Product + UK</t>
        </is>
      </c>
      <c r="C1060" s="42" t="n">
        <v>2</v>
      </c>
      <c r="D1060" s="42" t="n">
        <v>11</v>
      </c>
      <c r="E1060" s="42" t="n">
        <v>1</v>
      </c>
      <c r="F1060" s="42" t="inlineStr">
        <is>
          <t>FR-213</t>
        </is>
      </c>
      <c r="G1060" s="55">
        <f>IFERROR(INDEX('Semrush Data'!$A$1:$Z$20000,MATCH(A1060,'Semrush Data'!$A$1:$A$20000,0),MATCH("Volume",'Semrush Data'!$A$1:$Z$1,0)),"")</f>
        <v/>
      </c>
      <c r="H1060" s="42">
        <f>IFERROR(INDEX('Semrush Data'!$A$1:$Z$20000,MATCH(A1060,'Semrush Data'!$A$1:$A$20000,0),MATCH("Keyword Difficulty*",'Semrush Data'!$A$1:$Z$1,0)),"")</f>
        <v/>
      </c>
      <c r="I1060" s="56">
        <f>IFERROR(INDEX('Semrush Data'!$A$1:$Z$20000,MATCH(A1060,'Semrush Data'!$A$1:$A$20000,0),MATCH("CPC*",'Semrush Data'!$A$1:$Z$1,0)),"")</f>
        <v/>
      </c>
      <c r="J1060" s="42">
        <f>IFERROR(INDEX('Semrush Data'!$A$1:$Z$20000,MATCH(A1060,'Semrush Data'!$A$1:$A$20000,0),MATCH("Intent",'Semrush Data'!$A$1:$Z$1,0)),"")</f>
        <v/>
      </c>
    </row>
    <row r="1061" ht="15" customHeight="1" s="37">
      <c r="A1061" s="42" t="inlineStr">
        <is>
          <t>givenchy amarige uk</t>
        </is>
      </c>
      <c r="B1061" s="42" t="inlineStr">
        <is>
          <t>Product + UK</t>
        </is>
      </c>
      <c r="C1061" s="42" t="n">
        <v>2</v>
      </c>
      <c r="D1061" s="42" t="inlineStr">
        <is>
          <t>T2-1</t>
        </is>
      </c>
      <c r="E1061" s="42" t="n">
        <v>1</v>
      </c>
      <c r="F1061" s="42" t="inlineStr">
        <is>
          <t>FR-214</t>
        </is>
      </c>
      <c r="G1061" s="55">
        <f>IFERROR(INDEX('Semrush Data'!$A$1:$Z$20000,MATCH(A1061,'Semrush Data'!$A$1:$A$20000,0),MATCH("Volume",'Semrush Data'!$A$1:$Z$1,0)),"")</f>
        <v/>
      </c>
      <c r="H1061" s="42">
        <f>IFERROR(INDEX('Semrush Data'!$A$1:$Z$20000,MATCH(A1061,'Semrush Data'!$A$1:$A$20000,0),MATCH("Keyword Difficulty*",'Semrush Data'!$A$1:$Z$1,0)),"")</f>
        <v/>
      </c>
      <c r="I1061" s="56">
        <f>IFERROR(INDEX('Semrush Data'!$A$1:$Z$20000,MATCH(A1061,'Semrush Data'!$A$1:$A$20000,0),MATCH("CPC*",'Semrush Data'!$A$1:$Z$1,0)),"")</f>
        <v/>
      </c>
      <c r="J1061" s="42">
        <f>IFERROR(INDEX('Semrush Data'!$A$1:$Z$20000,MATCH(A1061,'Semrush Data'!$A$1:$A$20000,0),MATCH("Intent",'Semrush Data'!$A$1:$Z$1,0)),"")</f>
        <v/>
      </c>
    </row>
    <row r="1062" ht="15" customHeight="1" s="37">
      <c r="A1062" s="42" t="inlineStr">
        <is>
          <t>givenchy gentleman originale uk</t>
        </is>
      </c>
      <c r="B1062" s="42" t="inlineStr">
        <is>
          <t>Product + UK</t>
        </is>
      </c>
      <c r="C1062" s="42" t="n">
        <v>2</v>
      </c>
      <c r="D1062" s="42" t="n">
        <v>11</v>
      </c>
      <c r="E1062" s="42" t="n">
        <v>1</v>
      </c>
      <c r="F1062" s="42" t="inlineStr">
        <is>
          <t>FR-215</t>
        </is>
      </c>
      <c r="G1062" s="55">
        <f>IFERROR(INDEX('Semrush Data'!$A$1:$Z$20000,MATCH(A1062,'Semrush Data'!$A$1:$A$20000,0),MATCH("Volume",'Semrush Data'!$A$1:$Z$1,0)),"")</f>
        <v/>
      </c>
      <c r="H1062" s="42">
        <f>IFERROR(INDEX('Semrush Data'!$A$1:$Z$20000,MATCH(A1062,'Semrush Data'!$A$1:$A$20000,0),MATCH("Keyword Difficulty*",'Semrush Data'!$A$1:$Z$1,0)),"")</f>
        <v/>
      </c>
      <c r="I1062" s="56">
        <f>IFERROR(INDEX('Semrush Data'!$A$1:$Z$20000,MATCH(A1062,'Semrush Data'!$A$1:$A$20000,0),MATCH("CPC*",'Semrush Data'!$A$1:$Z$1,0)),"")</f>
        <v/>
      </c>
      <c r="J1062" s="42">
        <f>IFERROR(INDEX('Semrush Data'!$A$1:$Z$20000,MATCH(A1062,'Semrush Data'!$A$1:$A$20000,0),MATCH("Intent",'Semrush Data'!$A$1:$Z$1,0)),"")</f>
        <v/>
      </c>
    </row>
    <row r="1063" ht="15" customHeight="1" s="37">
      <c r="A1063" s="42" t="inlineStr">
        <is>
          <t>gucci bloom gift set uk</t>
        </is>
      </c>
      <c r="B1063" s="42" t="inlineStr">
        <is>
          <t>Product + UK</t>
        </is>
      </c>
      <c r="C1063" s="42" t="n">
        <v>2</v>
      </c>
      <c r="D1063" s="42" t="inlineStr">
        <is>
          <t>T2-1</t>
        </is>
      </c>
      <c r="E1063" s="42" t="n">
        <v>1</v>
      </c>
      <c r="F1063" s="42" t="inlineStr">
        <is>
          <t>FR-223</t>
        </is>
      </c>
      <c r="G1063" s="55">
        <f>IFERROR(INDEX('Semrush Data'!$A$1:$Z$20000,MATCH(A1063,'Semrush Data'!$A$1:$A$20000,0),MATCH("Volume",'Semrush Data'!$A$1:$Z$1,0)),"")</f>
        <v/>
      </c>
      <c r="H1063" s="42">
        <f>IFERROR(INDEX('Semrush Data'!$A$1:$Z$20000,MATCH(A1063,'Semrush Data'!$A$1:$A$20000,0),MATCH("Keyword Difficulty*",'Semrush Data'!$A$1:$Z$1,0)),"")</f>
        <v/>
      </c>
      <c r="I1063" s="56">
        <f>IFERROR(INDEX('Semrush Data'!$A$1:$Z$20000,MATCH(A1063,'Semrush Data'!$A$1:$A$20000,0),MATCH("CPC*",'Semrush Data'!$A$1:$Z$1,0)),"")</f>
        <v/>
      </c>
      <c r="J1063" s="42">
        <f>IFERROR(INDEX('Semrush Data'!$A$1:$Z$20000,MATCH(A1063,'Semrush Data'!$A$1:$A$20000,0),MATCH("Intent",'Semrush Data'!$A$1:$Z$1,0)),"")</f>
        <v/>
      </c>
    </row>
    <row r="1064" ht="15" customHeight="1" s="37">
      <c r="A1064" s="42" t="inlineStr">
        <is>
          <t>gucci bloom miniature uk</t>
        </is>
      </c>
      <c r="B1064" s="42" t="inlineStr">
        <is>
          <t>Product + UK</t>
        </is>
      </c>
      <c r="C1064" s="42" t="n">
        <v>2</v>
      </c>
      <c r="D1064" s="42" t="n">
        <v>11</v>
      </c>
      <c r="E1064" s="42" t="n">
        <v>1</v>
      </c>
      <c r="F1064" s="42" t="inlineStr">
        <is>
          <t>FR-221</t>
        </is>
      </c>
      <c r="G1064" s="55">
        <f>IFERROR(INDEX('Semrush Data'!$A$1:$Z$20000,MATCH(A1064,'Semrush Data'!$A$1:$A$20000,0),MATCH("Volume",'Semrush Data'!$A$1:$Z$1,0)),"")</f>
        <v/>
      </c>
      <c r="H1064" s="42">
        <f>IFERROR(INDEX('Semrush Data'!$A$1:$Z$20000,MATCH(A1064,'Semrush Data'!$A$1:$A$20000,0),MATCH("Keyword Difficulty*",'Semrush Data'!$A$1:$Z$1,0)),"")</f>
        <v/>
      </c>
      <c r="I1064" s="56">
        <f>IFERROR(INDEX('Semrush Data'!$A$1:$Z$20000,MATCH(A1064,'Semrush Data'!$A$1:$A$20000,0),MATCH("CPC*",'Semrush Data'!$A$1:$Z$1,0)),"")</f>
        <v/>
      </c>
      <c r="J1064" s="42">
        <f>IFERROR(INDEX('Semrush Data'!$A$1:$Z$20000,MATCH(A1064,'Semrush Data'!$A$1:$A$20000,0),MATCH("Intent",'Semrush Data'!$A$1:$Z$1,0)),"")</f>
        <v/>
      </c>
    </row>
    <row r="1065" ht="15" customHeight="1" s="37">
      <c r="A1065" s="42" t="inlineStr">
        <is>
          <t>gucci bloom parfum miniature uk</t>
        </is>
      </c>
      <c r="B1065" s="42" t="inlineStr">
        <is>
          <t>Product + UK</t>
        </is>
      </c>
      <c r="C1065" s="42" t="n">
        <v>2</v>
      </c>
      <c r="D1065" s="42" t="n">
        <v>11</v>
      </c>
      <c r="E1065" s="42" t="n">
        <v>1</v>
      </c>
      <c r="F1065" s="42" t="inlineStr">
        <is>
          <t>FR-228</t>
        </is>
      </c>
      <c r="G1065" s="55">
        <f>IFERROR(INDEX('Semrush Data'!$A$1:$Z$20000,MATCH(A1065,'Semrush Data'!$A$1:$A$20000,0),MATCH("Volume",'Semrush Data'!$A$1:$Z$1,0)),"")</f>
        <v/>
      </c>
      <c r="H1065" s="42">
        <f>IFERROR(INDEX('Semrush Data'!$A$1:$Z$20000,MATCH(A1065,'Semrush Data'!$A$1:$A$20000,0),MATCH("Keyword Difficulty*",'Semrush Data'!$A$1:$Z$1,0)),"")</f>
        <v/>
      </c>
      <c r="I1065" s="56">
        <f>IFERROR(INDEX('Semrush Data'!$A$1:$Z$20000,MATCH(A1065,'Semrush Data'!$A$1:$A$20000,0),MATCH("CPC*",'Semrush Data'!$A$1:$Z$1,0)),"")</f>
        <v/>
      </c>
      <c r="J1065" s="42">
        <f>IFERROR(INDEX('Semrush Data'!$A$1:$Z$20000,MATCH(A1065,'Semrush Data'!$A$1:$A$20000,0),MATCH("Intent",'Semrush Data'!$A$1:$Z$1,0)),"")</f>
        <v/>
      </c>
    </row>
    <row r="1066" ht="15" customHeight="1" s="37">
      <c r="A1066" s="42" t="inlineStr">
        <is>
          <t>gucci bloom profumo di fiori pen uk</t>
        </is>
      </c>
      <c r="B1066" s="42" t="inlineStr">
        <is>
          <t>Product + UK</t>
        </is>
      </c>
      <c r="C1066" s="42" t="n">
        <v>2</v>
      </c>
      <c r="D1066" s="42" t="n">
        <v>11</v>
      </c>
      <c r="E1066" s="42" t="n">
        <v>1</v>
      </c>
      <c r="F1066" s="42" t="inlineStr">
        <is>
          <t>FR-216</t>
        </is>
      </c>
      <c r="G1066" s="55">
        <f>IFERROR(INDEX('Semrush Data'!$A$1:$Z$20000,MATCH(A1066,'Semrush Data'!$A$1:$A$20000,0),MATCH("Volume",'Semrush Data'!$A$1:$Z$1,0)),"")</f>
        <v/>
      </c>
      <c r="H1066" s="42">
        <f>IFERROR(INDEX('Semrush Data'!$A$1:$Z$20000,MATCH(A1066,'Semrush Data'!$A$1:$A$20000,0),MATCH("Keyword Difficulty*",'Semrush Data'!$A$1:$Z$1,0)),"")</f>
        <v/>
      </c>
      <c r="I1066" s="56">
        <f>IFERROR(INDEX('Semrush Data'!$A$1:$Z$20000,MATCH(A1066,'Semrush Data'!$A$1:$A$20000,0),MATCH("CPC*",'Semrush Data'!$A$1:$Z$1,0)),"")</f>
        <v/>
      </c>
      <c r="J1066" s="42">
        <f>IFERROR(INDEX('Semrush Data'!$A$1:$Z$20000,MATCH(A1066,'Semrush Data'!$A$1:$A$20000,0),MATCH("Intent",'Semrush Data'!$A$1:$Z$1,0)),"")</f>
        <v/>
      </c>
    </row>
    <row r="1067" ht="15" customHeight="1" s="37">
      <c r="A1067" s="42" t="inlineStr">
        <is>
          <t>gucci flora gorgeous gardenia uk</t>
        </is>
      </c>
      <c r="B1067" s="42" t="inlineStr">
        <is>
          <t>Product + UK</t>
        </is>
      </c>
      <c r="C1067" s="42" t="n">
        <v>2</v>
      </c>
      <c r="D1067" s="42" t="inlineStr">
        <is>
          <t>T2-1</t>
        </is>
      </c>
      <c r="E1067" s="42" t="n">
        <v>1</v>
      </c>
      <c r="F1067" s="42" t="inlineStr">
        <is>
          <t>FR-217</t>
        </is>
      </c>
      <c r="G1067" s="55">
        <f>IFERROR(INDEX('Semrush Data'!$A$1:$Z$20000,MATCH(A1067,'Semrush Data'!$A$1:$A$20000,0),MATCH("Volume",'Semrush Data'!$A$1:$Z$1,0)),"")</f>
        <v/>
      </c>
      <c r="H1067" s="42">
        <f>IFERROR(INDEX('Semrush Data'!$A$1:$Z$20000,MATCH(A1067,'Semrush Data'!$A$1:$A$20000,0),MATCH("Keyword Difficulty*",'Semrush Data'!$A$1:$Z$1,0)),"")</f>
        <v/>
      </c>
      <c r="I1067" s="56">
        <f>IFERROR(INDEX('Semrush Data'!$A$1:$Z$20000,MATCH(A1067,'Semrush Data'!$A$1:$A$20000,0),MATCH("CPC*",'Semrush Data'!$A$1:$Z$1,0)),"")</f>
        <v/>
      </c>
      <c r="J1067" s="42">
        <f>IFERROR(INDEX('Semrush Data'!$A$1:$Z$20000,MATCH(A1067,'Semrush Data'!$A$1:$A$20000,0),MATCH("Intent",'Semrush Data'!$A$1:$Z$1,0)),"")</f>
        <v/>
      </c>
    </row>
    <row r="1068" ht="15" customHeight="1" s="37">
      <c r="A1068" s="42" t="inlineStr">
        <is>
          <t>gucci flora gorgeous miniature set uk</t>
        </is>
      </c>
      <c r="B1068" s="42" t="inlineStr">
        <is>
          <t>Product + UK</t>
        </is>
      </c>
      <c r="C1068" s="42" t="n">
        <v>2</v>
      </c>
      <c r="D1068" s="42" t="n">
        <v>11</v>
      </c>
      <c r="E1068" s="42" t="n">
        <v>1</v>
      </c>
      <c r="F1068" s="42" t="inlineStr">
        <is>
          <t>FR-224</t>
        </is>
      </c>
      <c r="G1068" s="55">
        <f>IFERROR(INDEX('Semrush Data'!$A$1:$Z$20000,MATCH(A1068,'Semrush Data'!$A$1:$A$20000,0),MATCH("Volume",'Semrush Data'!$A$1:$Z$1,0)),"")</f>
        <v/>
      </c>
      <c r="H1068" s="42">
        <f>IFERROR(INDEX('Semrush Data'!$A$1:$Z$20000,MATCH(A1068,'Semrush Data'!$A$1:$A$20000,0),MATCH("Keyword Difficulty*",'Semrush Data'!$A$1:$Z$1,0)),"")</f>
        <v/>
      </c>
      <c r="I1068" s="56">
        <f>IFERROR(INDEX('Semrush Data'!$A$1:$Z$20000,MATCH(A1068,'Semrush Data'!$A$1:$A$20000,0),MATCH("CPC*",'Semrush Data'!$A$1:$Z$1,0)),"")</f>
        <v/>
      </c>
      <c r="J1068" s="42">
        <f>IFERROR(INDEX('Semrush Data'!$A$1:$Z$20000,MATCH(A1068,'Semrush Data'!$A$1:$A$20000,0),MATCH("Intent",'Semrush Data'!$A$1:$Z$1,0)),"")</f>
        <v/>
      </c>
    </row>
    <row r="1069" ht="15" customHeight="1" s="37">
      <c r="A1069" s="42" t="inlineStr">
        <is>
          <t>gucci flora gorgeous orchid miniature uk</t>
        </is>
      </c>
      <c r="B1069" s="42" t="inlineStr">
        <is>
          <t>Product + UK</t>
        </is>
      </c>
      <c r="C1069" s="42" t="n">
        <v>2</v>
      </c>
      <c r="D1069" s="42" t="n">
        <v>11</v>
      </c>
      <c r="E1069" s="42" t="n">
        <v>1</v>
      </c>
      <c r="F1069" s="42" t="inlineStr">
        <is>
          <t>FR-218</t>
        </is>
      </c>
      <c r="G1069" s="55">
        <f>IFERROR(INDEX('Semrush Data'!$A$1:$Z$20000,MATCH(A1069,'Semrush Data'!$A$1:$A$20000,0),MATCH("Volume",'Semrush Data'!$A$1:$Z$1,0)),"")</f>
        <v/>
      </c>
      <c r="H1069" s="42">
        <f>IFERROR(INDEX('Semrush Data'!$A$1:$Z$20000,MATCH(A1069,'Semrush Data'!$A$1:$A$20000,0),MATCH("Keyword Difficulty*",'Semrush Data'!$A$1:$Z$1,0)),"")</f>
        <v/>
      </c>
      <c r="I1069" s="56">
        <f>IFERROR(INDEX('Semrush Data'!$A$1:$Z$20000,MATCH(A1069,'Semrush Data'!$A$1:$A$20000,0),MATCH("CPC*",'Semrush Data'!$A$1:$Z$1,0)),"")</f>
        <v/>
      </c>
      <c r="J1069" s="42">
        <f>IFERROR(INDEX('Semrush Data'!$A$1:$Z$20000,MATCH(A1069,'Semrush Data'!$A$1:$A$20000,0),MATCH("Intent",'Semrush Data'!$A$1:$Z$1,0)),"")</f>
        <v/>
      </c>
    </row>
    <row r="1070" ht="15" customHeight="1" s="37">
      <c r="A1070" s="42" t="inlineStr">
        <is>
          <t>gucci guilty pour femme gift set uk</t>
        </is>
      </c>
      <c r="B1070" s="42" t="inlineStr">
        <is>
          <t>Product + UK</t>
        </is>
      </c>
      <c r="C1070" s="42" t="n">
        <v>2</v>
      </c>
      <c r="D1070" s="42" t="n">
        <v>11</v>
      </c>
      <c r="E1070" s="42" t="n">
        <v>1</v>
      </c>
      <c r="F1070" s="42" t="inlineStr">
        <is>
          <t>FR-225</t>
        </is>
      </c>
      <c r="G1070" s="55">
        <f>IFERROR(INDEX('Semrush Data'!$A$1:$Z$20000,MATCH(A1070,'Semrush Data'!$A$1:$A$20000,0),MATCH("Volume",'Semrush Data'!$A$1:$Z$1,0)),"")</f>
        <v/>
      </c>
      <c r="H1070" s="42">
        <f>IFERROR(INDEX('Semrush Data'!$A$1:$Z$20000,MATCH(A1070,'Semrush Data'!$A$1:$A$20000,0),MATCH("Keyword Difficulty*",'Semrush Data'!$A$1:$Z$1,0)),"")</f>
        <v/>
      </c>
      <c r="I1070" s="56">
        <f>IFERROR(INDEX('Semrush Data'!$A$1:$Z$20000,MATCH(A1070,'Semrush Data'!$A$1:$A$20000,0),MATCH("CPC*",'Semrush Data'!$A$1:$Z$1,0)),"")</f>
        <v/>
      </c>
      <c r="J1070" s="42">
        <f>IFERROR(INDEX('Semrush Data'!$A$1:$Z$20000,MATCH(A1070,'Semrush Data'!$A$1:$A$20000,0),MATCH("Intent",'Semrush Data'!$A$1:$Z$1,0)),"")</f>
        <v/>
      </c>
    </row>
    <row r="1071" ht="15" customHeight="1" s="37">
      <c r="A1071" s="42" t="inlineStr">
        <is>
          <t>gucci guilty pour femme miniature uk</t>
        </is>
      </c>
      <c r="B1071" s="42" t="inlineStr">
        <is>
          <t>Product + UK</t>
        </is>
      </c>
      <c r="C1071" s="42" t="n">
        <v>2</v>
      </c>
      <c r="D1071" s="42" t="n">
        <v>11</v>
      </c>
      <c r="E1071" s="42" t="n">
        <v>1</v>
      </c>
      <c r="F1071" s="42" t="inlineStr">
        <is>
          <t>FR-219</t>
        </is>
      </c>
      <c r="G1071" s="55">
        <f>IFERROR(INDEX('Semrush Data'!$A$1:$Z$20000,MATCH(A1071,'Semrush Data'!$A$1:$A$20000,0),MATCH("Volume",'Semrush Data'!$A$1:$Z$1,0)),"")</f>
        <v/>
      </c>
      <c r="H1071" s="42">
        <f>IFERROR(INDEX('Semrush Data'!$A$1:$Z$20000,MATCH(A1071,'Semrush Data'!$A$1:$A$20000,0),MATCH("Keyword Difficulty*",'Semrush Data'!$A$1:$Z$1,0)),"")</f>
        <v/>
      </c>
      <c r="I1071" s="56">
        <f>IFERROR(INDEX('Semrush Data'!$A$1:$Z$20000,MATCH(A1071,'Semrush Data'!$A$1:$A$20000,0),MATCH("CPC*",'Semrush Data'!$A$1:$Z$1,0)),"")</f>
        <v/>
      </c>
      <c r="J1071" s="42">
        <f>IFERROR(INDEX('Semrush Data'!$A$1:$Z$20000,MATCH(A1071,'Semrush Data'!$A$1:$A$20000,0),MATCH("Intent",'Semrush Data'!$A$1:$Z$1,0)),"")</f>
        <v/>
      </c>
    </row>
    <row r="1072" ht="15" customHeight="1" s="37">
      <c r="A1072" s="42" t="inlineStr">
        <is>
          <t>gucci guilty pour homme uk</t>
        </is>
      </c>
      <c r="B1072" s="42" t="inlineStr">
        <is>
          <t>Product + UK</t>
        </is>
      </c>
      <c r="C1072" s="42" t="n">
        <v>2</v>
      </c>
      <c r="D1072" s="42" t="inlineStr">
        <is>
          <t>T2-1</t>
        </is>
      </c>
      <c r="E1072" s="42" t="n">
        <v>1</v>
      </c>
      <c r="F1072" s="42" t="inlineStr">
        <is>
          <t>FR-222</t>
        </is>
      </c>
      <c r="G1072" s="55">
        <f>IFERROR(INDEX('Semrush Data'!$A$1:$Z$20000,MATCH(A1072,'Semrush Data'!$A$1:$A$20000,0),MATCH("Volume",'Semrush Data'!$A$1:$Z$1,0)),"")</f>
        <v/>
      </c>
      <c r="H1072" s="42">
        <f>IFERROR(INDEX('Semrush Data'!$A$1:$Z$20000,MATCH(A1072,'Semrush Data'!$A$1:$A$20000,0),MATCH("Keyword Difficulty*",'Semrush Data'!$A$1:$Z$1,0)),"")</f>
        <v/>
      </c>
      <c r="I1072" s="56">
        <f>IFERROR(INDEX('Semrush Data'!$A$1:$Z$20000,MATCH(A1072,'Semrush Data'!$A$1:$A$20000,0),MATCH("CPC*",'Semrush Data'!$A$1:$Z$1,0)),"")</f>
        <v/>
      </c>
      <c r="J1072" s="42">
        <f>IFERROR(INDEX('Semrush Data'!$A$1:$Z$20000,MATCH(A1072,'Semrush Data'!$A$1:$A$20000,0),MATCH("Intent",'Semrush Data'!$A$1:$Z$1,0)),"")</f>
        <v/>
      </c>
    </row>
    <row r="1073" ht="15" customHeight="1" s="37">
      <c r="A1073" s="42" t="inlineStr">
        <is>
          <t>gucci intense oud uk</t>
        </is>
      </c>
      <c r="B1073" s="42" t="inlineStr">
        <is>
          <t>Product + UK</t>
        </is>
      </c>
      <c r="C1073" s="42" t="n">
        <v>2</v>
      </c>
      <c r="D1073" s="42" t="inlineStr">
        <is>
          <t>T2-1</t>
        </is>
      </c>
      <c r="E1073" s="42" t="n">
        <v>1</v>
      </c>
      <c r="F1073" s="42" t="inlineStr">
        <is>
          <t>FR-220</t>
        </is>
      </c>
      <c r="G1073" s="55">
        <f>IFERROR(INDEX('Semrush Data'!$A$1:$Z$20000,MATCH(A1073,'Semrush Data'!$A$1:$A$20000,0),MATCH("Volume",'Semrush Data'!$A$1:$Z$1,0)),"")</f>
        <v/>
      </c>
      <c r="H1073" s="42">
        <f>IFERROR(INDEX('Semrush Data'!$A$1:$Z$20000,MATCH(A1073,'Semrush Data'!$A$1:$A$20000,0),MATCH("Keyword Difficulty*",'Semrush Data'!$A$1:$Z$1,0)),"")</f>
        <v/>
      </c>
      <c r="I1073" s="56">
        <f>IFERROR(INDEX('Semrush Data'!$A$1:$Z$20000,MATCH(A1073,'Semrush Data'!$A$1:$A$20000,0),MATCH("CPC*",'Semrush Data'!$A$1:$Z$1,0)),"")</f>
        <v/>
      </c>
      <c r="J1073" s="42">
        <f>IFERROR(INDEX('Semrush Data'!$A$1:$Z$20000,MATCH(A1073,'Semrush Data'!$A$1:$A$20000,0),MATCH("Intent",'Semrush Data'!$A$1:$Z$1,0)),"")</f>
        <v/>
      </c>
    </row>
    <row r="1074" ht="15" customHeight="1" s="37">
      <c r="A1074" s="42" t="inlineStr">
        <is>
          <t>gucci miniature set uk</t>
        </is>
      </c>
      <c r="B1074" s="42" t="inlineStr">
        <is>
          <t>Product + UK</t>
        </is>
      </c>
      <c r="C1074" s="42" t="n">
        <v>2</v>
      </c>
      <c r="D1074" s="42" t="n">
        <v>11</v>
      </c>
      <c r="E1074" s="42" t="n">
        <v>1</v>
      </c>
      <c r="F1074" s="42" t="inlineStr">
        <is>
          <t>FR-226</t>
        </is>
      </c>
      <c r="G1074" s="55">
        <f>IFERROR(INDEX('Semrush Data'!$A$1:$Z$20000,MATCH(A1074,'Semrush Data'!$A$1:$A$20000,0),MATCH("Volume",'Semrush Data'!$A$1:$Z$1,0)),"")</f>
        <v/>
      </c>
      <c r="H1074" s="42">
        <f>IFERROR(INDEX('Semrush Data'!$A$1:$Z$20000,MATCH(A1074,'Semrush Data'!$A$1:$A$20000,0),MATCH("Keyword Difficulty*",'Semrush Data'!$A$1:$Z$1,0)),"")</f>
        <v/>
      </c>
      <c r="I1074" s="56">
        <f>IFERROR(INDEX('Semrush Data'!$A$1:$Z$20000,MATCH(A1074,'Semrush Data'!$A$1:$A$20000,0),MATCH("CPC*",'Semrush Data'!$A$1:$Z$1,0)),"")</f>
        <v/>
      </c>
      <c r="J1074" s="42">
        <f>IFERROR(INDEX('Semrush Data'!$A$1:$Z$20000,MATCH(A1074,'Semrush Data'!$A$1:$A$20000,0),MATCH("Intent",'Semrush Data'!$A$1:$Z$1,0)),"")</f>
        <v/>
      </c>
    </row>
    <row r="1075" ht="15" customHeight="1" s="37">
      <c r="A1075" s="42" t="inlineStr">
        <is>
          <t>gucci set uk</t>
        </is>
      </c>
      <c r="B1075" s="42" t="inlineStr">
        <is>
          <t>Product + UK</t>
        </is>
      </c>
      <c r="C1075" s="42" t="n">
        <v>2</v>
      </c>
      <c r="D1075" s="42" t="inlineStr">
        <is>
          <t>T2-2</t>
        </is>
      </c>
      <c r="E1075" s="42" t="n">
        <v>1</v>
      </c>
      <c r="F1075" s="42" t="inlineStr">
        <is>
          <t>FR-227</t>
        </is>
      </c>
      <c r="G1075" s="55">
        <f>IFERROR(INDEX('Semrush Data'!$A$1:$Z$20000,MATCH(A1075,'Semrush Data'!$A$1:$A$20000,0),MATCH("Volume",'Semrush Data'!$A$1:$Z$1,0)),"")</f>
        <v/>
      </c>
      <c r="H1075" s="42">
        <f>IFERROR(INDEX('Semrush Data'!$A$1:$Z$20000,MATCH(A1075,'Semrush Data'!$A$1:$A$20000,0),MATCH("Keyword Difficulty*",'Semrush Data'!$A$1:$Z$1,0)),"")</f>
        <v/>
      </c>
      <c r="I1075" s="56">
        <f>IFERROR(INDEX('Semrush Data'!$A$1:$Z$20000,MATCH(A1075,'Semrush Data'!$A$1:$A$20000,0),MATCH("CPC*",'Semrush Data'!$A$1:$Z$1,0)),"")</f>
        <v/>
      </c>
      <c r="J1075" s="42">
        <f>IFERROR(INDEX('Semrush Data'!$A$1:$Z$20000,MATCH(A1075,'Semrush Data'!$A$1:$A$20000,0),MATCH("Intent",'Semrush Data'!$A$1:$Z$1,0)),"")</f>
        <v/>
      </c>
    </row>
    <row r="1076" ht="15" customHeight="1" s="37">
      <c r="A1076" s="42" t="inlineStr">
        <is>
          <t>guerlain epices exquises uk</t>
        </is>
      </c>
      <c r="B1076" s="42" t="inlineStr">
        <is>
          <t>Product + UK</t>
        </is>
      </c>
      <c r="C1076" s="42" t="n">
        <v>2</v>
      </c>
      <c r="D1076" s="42" t="inlineStr">
        <is>
          <t>T2-2</t>
        </is>
      </c>
      <c r="E1076" s="42" t="n">
        <v>1</v>
      </c>
      <c r="F1076" s="42" t="inlineStr">
        <is>
          <t>FR-234</t>
        </is>
      </c>
      <c r="G1076" s="55">
        <f>IFERROR(INDEX('Semrush Data'!$A$1:$Z$20000,MATCH(A1076,'Semrush Data'!$A$1:$A$20000,0),MATCH("Volume",'Semrush Data'!$A$1:$Z$1,0)),"")</f>
        <v/>
      </c>
      <c r="H1076" s="42">
        <f>IFERROR(INDEX('Semrush Data'!$A$1:$Z$20000,MATCH(A1076,'Semrush Data'!$A$1:$A$20000,0),MATCH("Keyword Difficulty*",'Semrush Data'!$A$1:$Z$1,0)),"")</f>
        <v/>
      </c>
      <c r="I1076" s="56">
        <f>IFERROR(INDEX('Semrush Data'!$A$1:$Z$20000,MATCH(A1076,'Semrush Data'!$A$1:$A$20000,0),MATCH("CPC*",'Semrush Data'!$A$1:$Z$1,0)),"")</f>
        <v/>
      </c>
      <c r="J1076" s="42">
        <f>IFERROR(INDEX('Semrush Data'!$A$1:$Z$20000,MATCH(A1076,'Semrush Data'!$A$1:$A$20000,0),MATCH("Intent",'Semrush Data'!$A$1:$Z$1,0)),"")</f>
        <v/>
      </c>
    </row>
    <row r="1077" ht="15" customHeight="1" s="37">
      <c r="A1077" s="42" t="inlineStr">
        <is>
          <t>guerlain habit rouge uk</t>
        </is>
      </c>
      <c r="B1077" s="42" t="inlineStr">
        <is>
          <t>Product + UK</t>
        </is>
      </c>
      <c r="C1077" s="42" t="n">
        <v>2</v>
      </c>
      <c r="D1077" s="42" t="inlineStr">
        <is>
          <t>T2-1</t>
        </is>
      </c>
      <c r="E1077" s="42" t="n">
        <v>1</v>
      </c>
      <c r="F1077" s="42" t="inlineStr">
        <is>
          <t>FR-229</t>
        </is>
      </c>
      <c r="G1077" s="55">
        <f>IFERROR(INDEX('Semrush Data'!$A$1:$Z$20000,MATCH(A1077,'Semrush Data'!$A$1:$A$20000,0),MATCH("Volume",'Semrush Data'!$A$1:$Z$1,0)),"")</f>
        <v/>
      </c>
      <c r="H1077" s="42">
        <f>IFERROR(INDEX('Semrush Data'!$A$1:$Z$20000,MATCH(A1077,'Semrush Data'!$A$1:$A$20000,0),MATCH("Keyword Difficulty*",'Semrush Data'!$A$1:$Z$1,0)),"")</f>
        <v/>
      </c>
      <c r="I1077" s="56">
        <f>IFERROR(INDEX('Semrush Data'!$A$1:$Z$20000,MATCH(A1077,'Semrush Data'!$A$1:$A$20000,0),MATCH("CPC*",'Semrush Data'!$A$1:$Z$1,0)),"")</f>
        <v/>
      </c>
      <c r="J1077" s="42">
        <f>IFERROR(INDEX('Semrush Data'!$A$1:$Z$20000,MATCH(A1077,'Semrush Data'!$A$1:$A$20000,0),MATCH("Intent",'Semrush Data'!$A$1:$Z$1,0)),"")</f>
        <v/>
      </c>
    </row>
    <row r="1078" ht="15" customHeight="1" s="37">
      <c r="A1078" s="42" t="inlineStr">
        <is>
          <t>guerlain l'instant de guerlain uk</t>
        </is>
      </c>
      <c r="B1078" s="42" t="inlineStr">
        <is>
          <t>Product + UK</t>
        </is>
      </c>
      <c r="C1078" s="42" t="n">
        <v>2</v>
      </c>
      <c r="D1078" s="42" t="n">
        <v>11</v>
      </c>
      <c r="E1078" s="42" t="n">
        <v>1</v>
      </c>
      <c r="F1078" s="42" t="inlineStr">
        <is>
          <t>FR-230</t>
        </is>
      </c>
      <c r="G1078" s="55">
        <f>IFERROR(INDEX('Semrush Data'!$A$1:$Z$20000,MATCH(A1078,'Semrush Data'!$A$1:$A$20000,0),MATCH("Volume",'Semrush Data'!$A$1:$Z$1,0)),"")</f>
        <v/>
      </c>
      <c r="H1078" s="42">
        <f>IFERROR(INDEX('Semrush Data'!$A$1:$Z$20000,MATCH(A1078,'Semrush Data'!$A$1:$A$20000,0),MATCH("Keyword Difficulty*",'Semrush Data'!$A$1:$Z$1,0)),"")</f>
        <v/>
      </c>
      <c r="I1078" s="56">
        <f>IFERROR(INDEX('Semrush Data'!$A$1:$Z$20000,MATCH(A1078,'Semrush Data'!$A$1:$A$20000,0),MATCH("CPC*",'Semrush Data'!$A$1:$Z$1,0)),"")</f>
        <v/>
      </c>
      <c r="J1078" s="42">
        <f>IFERROR(INDEX('Semrush Data'!$A$1:$Z$20000,MATCH(A1078,'Semrush Data'!$A$1:$A$20000,0),MATCH("Intent",'Semrush Data'!$A$1:$Z$1,0)),"")</f>
        <v/>
      </c>
    </row>
    <row r="1079" ht="15" customHeight="1" s="37">
      <c r="A1079" s="42" t="inlineStr">
        <is>
          <t>guerlain la petite robe noire ma robe cocktail uk</t>
        </is>
      </c>
      <c r="B1079" s="42" t="inlineStr">
        <is>
          <t>Product + UK</t>
        </is>
      </c>
      <c r="C1079" s="42" t="n">
        <v>2</v>
      </c>
      <c r="D1079" s="42" t="n">
        <v>11</v>
      </c>
      <c r="E1079" s="42" t="n">
        <v>1</v>
      </c>
      <c r="F1079" s="42" t="inlineStr">
        <is>
          <t>FR-235</t>
        </is>
      </c>
      <c r="G1079" s="55">
        <f>IFERROR(INDEX('Semrush Data'!$A$1:$Z$20000,MATCH(A1079,'Semrush Data'!$A$1:$A$20000,0),MATCH("Volume",'Semrush Data'!$A$1:$Z$1,0)),"")</f>
        <v/>
      </c>
      <c r="H1079" s="42">
        <f>IFERROR(INDEX('Semrush Data'!$A$1:$Z$20000,MATCH(A1079,'Semrush Data'!$A$1:$A$20000,0),MATCH("Keyword Difficulty*",'Semrush Data'!$A$1:$Z$1,0)),"")</f>
        <v/>
      </c>
      <c r="I1079" s="56">
        <f>IFERROR(INDEX('Semrush Data'!$A$1:$Z$20000,MATCH(A1079,'Semrush Data'!$A$1:$A$20000,0),MATCH("CPC*",'Semrush Data'!$A$1:$Z$1,0)),"")</f>
        <v/>
      </c>
      <c r="J1079" s="42">
        <f>IFERROR(INDEX('Semrush Data'!$A$1:$Z$20000,MATCH(A1079,'Semrush Data'!$A$1:$A$20000,0),MATCH("Intent",'Semrush Data'!$A$1:$Z$1,0)),"")</f>
        <v/>
      </c>
    </row>
    <row r="1080" ht="15" customHeight="1" s="37">
      <c r="A1080" s="42" t="inlineStr">
        <is>
          <t>guerlain mon guerlain miniature gift set uk</t>
        </is>
      </c>
      <c r="B1080" s="42" t="inlineStr">
        <is>
          <t>Product + UK</t>
        </is>
      </c>
      <c r="C1080" s="42" t="n">
        <v>2</v>
      </c>
      <c r="D1080" s="42" t="n">
        <v>11</v>
      </c>
      <c r="E1080" s="42" t="n">
        <v>1</v>
      </c>
      <c r="F1080" s="42" t="inlineStr">
        <is>
          <t>FR-236</t>
        </is>
      </c>
      <c r="G1080" s="55">
        <f>IFERROR(INDEX('Semrush Data'!$A$1:$Z$20000,MATCH(A1080,'Semrush Data'!$A$1:$A$20000,0),MATCH("Volume",'Semrush Data'!$A$1:$Z$1,0)),"")</f>
        <v/>
      </c>
      <c r="H1080" s="42">
        <f>IFERROR(INDEX('Semrush Data'!$A$1:$Z$20000,MATCH(A1080,'Semrush Data'!$A$1:$A$20000,0),MATCH("Keyword Difficulty*",'Semrush Data'!$A$1:$Z$1,0)),"")</f>
        <v/>
      </c>
      <c r="I1080" s="56">
        <f>IFERROR(INDEX('Semrush Data'!$A$1:$Z$20000,MATCH(A1080,'Semrush Data'!$A$1:$A$20000,0),MATCH("CPC*",'Semrush Data'!$A$1:$Z$1,0)),"")</f>
        <v/>
      </c>
      <c r="J1080" s="42">
        <f>IFERROR(INDEX('Semrush Data'!$A$1:$Z$20000,MATCH(A1080,'Semrush Data'!$A$1:$A$20000,0),MATCH("Intent",'Semrush Data'!$A$1:$Z$1,0)),"")</f>
        <v/>
      </c>
    </row>
    <row r="1081" ht="15" customHeight="1" s="37">
      <c r="A1081" s="42" t="inlineStr">
        <is>
          <t>guerlain musc noble uk</t>
        </is>
      </c>
      <c r="B1081" s="42" t="inlineStr">
        <is>
          <t>Product + UK</t>
        </is>
      </c>
      <c r="C1081" s="42" t="n">
        <v>2</v>
      </c>
      <c r="D1081" s="42" t="n">
        <v>11</v>
      </c>
      <c r="E1081" s="42" t="n">
        <v>1</v>
      </c>
      <c r="F1081" s="42" t="inlineStr">
        <is>
          <t>FR-231</t>
        </is>
      </c>
      <c r="G1081" s="55">
        <f>IFERROR(INDEX('Semrush Data'!$A$1:$Z$20000,MATCH(A1081,'Semrush Data'!$A$1:$A$20000,0),MATCH("Volume",'Semrush Data'!$A$1:$Z$1,0)),"")</f>
        <v/>
      </c>
      <c r="H1081" s="42">
        <f>IFERROR(INDEX('Semrush Data'!$A$1:$Z$20000,MATCH(A1081,'Semrush Data'!$A$1:$A$20000,0),MATCH("Keyword Difficulty*",'Semrush Data'!$A$1:$Z$1,0)),"")</f>
        <v/>
      </c>
      <c r="I1081" s="56">
        <f>IFERROR(INDEX('Semrush Data'!$A$1:$Z$20000,MATCH(A1081,'Semrush Data'!$A$1:$A$20000,0),MATCH("CPC*",'Semrush Data'!$A$1:$Z$1,0)),"")</f>
        <v/>
      </c>
      <c r="J1081" s="42">
        <f>IFERROR(INDEX('Semrush Data'!$A$1:$Z$20000,MATCH(A1081,'Semrush Data'!$A$1:$A$20000,0),MATCH("Intent",'Semrush Data'!$A$1:$Z$1,0)),"")</f>
        <v/>
      </c>
    </row>
    <row r="1082" ht="15" customHeight="1" s="37">
      <c r="A1082" s="42" t="inlineStr">
        <is>
          <t>guerlain oud essentiel uk</t>
        </is>
      </c>
      <c r="B1082" s="42" t="inlineStr">
        <is>
          <t>Product + UK</t>
        </is>
      </c>
      <c r="C1082" s="42" t="n">
        <v>2</v>
      </c>
      <c r="D1082" s="42" t="inlineStr">
        <is>
          <t>T2-1</t>
        </is>
      </c>
      <c r="E1082" s="42" t="n">
        <v>1</v>
      </c>
      <c r="F1082" s="42" t="inlineStr">
        <is>
          <t>FR-232</t>
        </is>
      </c>
      <c r="G1082" s="55">
        <f>IFERROR(INDEX('Semrush Data'!$A$1:$Z$20000,MATCH(A1082,'Semrush Data'!$A$1:$A$20000,0),MATCH("Volume",'Semrush Data'!$A$1:$Z$1,0)),"")</f>
        <v/>
      </c>
      <c r="H1082" s="42">
        <f>IFERROR(INDEX('Semrush Data'!$A$1:$Z$20000,MATCH(A1082,'Semrush Data'!$A$1:$A$20000,0),MATCH("Keyword Difficulty*",'Semrush Data'!$A$1:$Z$1,0)),"")</f>
        <v/>
      </c>
      <c r="I1082" s="56">
        <f>IFERROR(INDEX('Semrush Data'!$A$1:$Z$20000,MATCH(A1082,'Semrush Data'!$A$1:$A$20000,0),MATCH("CPC*",'Semrush Data'!$A$1:$Z$1,0)),"")</f>
        <v/>
      </c>
      <c r="J1082" s="42">
        <f>IFERROR(INDEX('Semrush Data'!$A$1:$Z$20000,MATCH(A1082,'Semrush Data'!$A$1:$A$20000,0),MATCH("Intent",'Semrush Data'!$A$1:$Z$1,0)),"")</f>
        <v/>
      </c>
    </row>
    <row r="1083" ht="15" customHeight="1" s="37">
      <c r="A1083" s="42" t="inlineStr">
        <is>
          <t>guerlain samsara uk</t>
        </is>
      </c>
      <c r="B1083" s="42" t="inlineStr">
        <is>
          <t>Product + UK</t>
        </is>
      </c>
      <c r="C1083" s="42" t="n">
        <v>2</v>
      </c>
      <c r="D1083" s="42" t="inlineStr">
        <is>
          <t>T2-1</t>
        </is>
      </c>
      <c r="E1083" s="42" t="n">
        <v>1</v>
      </c>
      <c r="F1083" s="42" t="inlineStr">
        <is>
          <t>FR-233</t>
        </is>
      </c>
      <c r="G1083" s="55">
        <f>IFERROR(INDEX('Semrush Data'!$A$1:$Z$20000,MATCH(A1083,'Semrush Data'!$A$1:$A$20000,0),MATCH("Volume",'Semrush Data'!$A$1:$Z$1,0)),"")</f>
        <v/>
      </c>
      <c r="H1083" s="42">
        <f>IFERROR(INDEX('Semrush Data'!$A$1:$Z$20000,MATCH(A1083,'Semrush Data'!$A$1:$A$20000,0),MATCH("Keyword Difficulty*",'Semrush Data'!$A$1:$Z$1,0)),"")</f>
        <v/>
      </c>
      <c r="I1083" s="56">
        <f>IFERROR(INDEX('Semrush Data'!$A$1:$Z$20000,MATCH(A1083,'Semrush Data'!$A$1:$A$20000,0),MATCH("CPC*",'Semrush Data'!$A$1:$Z$1,0)),"")</f>
        <v/>
      </c>
      <c r="J1083" s="42">
        <f>IFERROR(INDEX('Semrush Data'!$A$1:$Z$20000,MATCH(A1083,'Semrush Data'!$A$1:$A$20000,0),MATCH("Intent",'Semrush Data'!$A$1:$Z$1,0)),"")</f>
        <v/>
      </c>
    </row>
    <row r="1084" ht="15" customHeight="1" s="37">
      <c r="A1084" s="42" t="inlineStr">
        <is>
          <t>hemel affair uk</t>
        </is>
      </c>
      <c r="B1084" s="42" t="inlineStr">
        <is>
          <t>Product + UK</t>
        </is>
      </c>
      <c r="C1084" s="42" t="n">
        <v>2</v>
      </c>
      <c r="D1084" s="42" t="n">
        <v>11</v>
      </c>
      <c r="E1084" s="42" t="n">
        <v>2</v>
      </c>
      <c r="F1084" s="42" t="inlineStr">
        <is>
          <t>FR-242, FR-243</t>
        </is>
      </c>
      <c r="G1084" s="55">
        <f>IFERROR(INDEX('Semrush Data'!$A$1:$Z$20000,MATCH(A1084,'Semrush Data'!$A$1:$A$20000,0),MATCH("Volume",'Semrush Data'!$A$1:$Z$1,0)),"")</f>
        <v/>
      </c>
      <c r="H1084" s="42">
        <f>IFERROR(INDEX('Semrush Data'!$A$1:$Z$20000,MATCH(A1084,'Semrush Data'!$A$1:$A$20000,0),MATCH("Keyword Difficulty*",'Semrush Data'!$A$1:$Z$1,0)),"")</f>
        <v/>
      </c>
      <c r="I1084" s="56">
        <f>IFERROR(INDEX('Semrush Data'!$A$1:$Z$20000,MATCH(A1084,'Semrush Data'!$A$1:$A$20000,0),MATCH("CPC*",'Semrush Data'!$A$1:$Z$1,0)),"")</f>
        <v/>
      </c>
      <c r="J1084" s="42">
        <f>IFERROR(INDEX('Semrush Data'!$A$1:$Z$20000,MATCH(A1084,'Semrush Data'!$A$1:$A$20000,0),MATCH("Intent",'Semrush Data'!$A$1:$Z$1,0)),"")</f>
        <v/>
      </c>
    </row>
    <row r="1085" ht="15" customHeight="1" s="37">
      <c r="A1085" s="42" t="inlineStr">
        <is>
          <t>hemel amethyst dream uk</t>
        </is>
      </c>
      <c r="B1085" s="42" t="inlineStr">
        <is>
          <t>Product + UK</t>
        </is>
      </c>
      <c r="C1085" s="42" t="n">
        <v>2</v>
      </c>
      <c r="D1085" s="42" t="n">
        <v>11</v>
      </c>
      <c r="E1085" s="42" t="n">
        <v>2</v>
      </c>
      <c r="F1085" s="42" t="inlineStr">
        <is>
          <t>FR-237, FR-238</t>
        </is>
      </c>
      <c r="G1085" s="55">
        <f>IFERROR(INDEX('Semrush Data'!$A$1:$Z$20000,MATCH(A1085,'Semrush Data'!$A$1:$A$20000,0),MATCH("Volume",'Semrush Data'!$A$1:$Z$1,0)),"")</f>
        <v/>
      </c>
      <c r="H1085" s="42">
        <f>IFERROR(INDEX('Semrush Data'!$A$1:$Z$20000,MATCH(A1085,'Semrush Data'!$A$1:$A$20000,0),MATCH("Keyword Difficulty*",'Semrush Data'!$A$1:$Z$1,0)),"")</f>
        <v/>
      </c>
      <c r="I1085" s="56">
        <f>IFERROR(INDEX('Semrush Data'!$A$1:$Z$20000,MATCH(A1085,'Semrush Data'!$A$1:$A$20000,0),MATCH("CPC*",'Semrush Data'!$A$1:$Z$1,0)),"")</f>
        <v/>
      </c>
      <c r="J1085" s="42">
        <f>IFERROR(INDEX('Semrush Data'!$A$1:$Z$20000,MATCH(A1085,'Semrush Data'!$A$1:$A$20000,0),MATCH("Intent",'Semrush Data'!$A$1:$Z$1,0)),"")</f>
        <v/>
      </c>
    </row>
    <row r="1086" ht="15" customHeight="1" s="37">
      <c r="A1086" s="42" t="inlineStr">
        <is>
          <t>hemel dorado uk</t>
        </is>
      </c>
      <c r="B1086" s="42" t="inlineStr">
        <is>
          <t>Product + UK</t>
        </is>
      </c>
      <c r="C1086" s="42" t="n">
        <v>2</v>
      </c>
      <c r="D1086" s="42" t="n">
        <v>11</v>
      </c>
      <c r="E1086" s="42" t="n">
        <v>1</v>
      </c>
      <c r="F1086" s="42" t="inlineStr">
        <is>
          <t>FR-239</t>
        </is>
      </c>
      <c r="G1086" s="55">
        <f>IFERROR(INDEX('Semrush Data'!$A$1:$Z$20000,MATCH(A1086,'Semrush Data'!$A$1:$A$20000,0),MATCH("Volume",'Semrush Data'!$A$1:$Z$1,0)),"")</f>
        <v/>
      </c>
      <c r="H1086" s="42">
        <f>IFERROR(INDEX('Semrush Data'!$A$1:$Z$20000,MATCH(A1086,'Semrush Data'!$A$1:$A$20000,0),MATCH("Keyword Difficulty*",'Semrush Data'!$A$1:$Z$1,0)),"")</f>
        <v/>
      </c>
      <c r="I1086" s="56">
        <f>IFERROR(INDEX('Semrush Data'!$A$1:$Z$20000,MATCH(A1086,'Semrush Data'!$A$1:$A$20000,0),MATCH("CPC*",'Semrush Data'!$A$1:$Z$1,0)),"")</f>
        <v/>
      </c>
      <c r="J1086" s="42">
        <f>IFERROR(INDEX('Semrush Data'!$A$1:$Z$20000,MATCH(A1086,'Semrush Data'!$A$1:$A$20000,0),MATCH("Intent",'Semrush Data'!$A$1:$Z$1,0)),"")</f>
        <v/>
      </c>
    </row>
    <row r="1087" ht="15" customHeight="1" s="37">
      <c r="A1087" s="42" t="inlineStr">
        <is>
          <t>hemel favourite black uk</t>
        </is>
      </c>
      <c r="B1087" s="42" t="inlineStr">
        <is>
          <t>Product + UK</t>
        </is>
      </c>
      <c r="C1087" s="42" t="n">
        <v>2</v>
      </c>
      <c r="D1087" s="42" t="n">
        <v>11</v>
      </c>
      <c r="E1087" s="42" t="n">
        <v>2</v>
      </c>
      <c r="F1087" s="42" t="inlineStr">
        <is>
          <t>FR-240, FR-241</t>
        </is>
      </c>
      <c r="G1087" s="55">
        <f>IFERROR(INDEX('Semrush Data'!$A$1:$Z$20000,MATCH(A1087,'Semrush Data'!$A$1:$A$20000,0),MATCH("Volume",'Semrush Data'!$A$1:$Z$1,0)),"")</f>
        <v/>
      </c>
      <c r="H1087" s="42">
        <f>IFERROR(INDEX('Semrush Data'!$A$1:$Z$20000,MATCH(A1087,'Semrush Data'!$A$1:$A$20000,0),MATCH("Keyword Difficulty*",'Semrush Data'!$A$1:$Z$1,0)),"")</f>
        <v/>
      </c>
      <c r="I1087" s="56">
        <f>IFERROR(INDEX('Semrush Data'!$A$1:$Z$20000,MATCH(A1087,'Semrush Data'!$A$1:$A$20000,0),MATCH("CPC*",'Semrush Data'!$A$1:$Z$1,0)),"")</f>
        <v/>
      </c>
      <c r="J1087" s="42">
        <f>IFERROR(INDEX('Semrush Data'!$A$1:$Z$20000,MATCH(A1087,'Semrush Data'!$A$1:$A$20000,0),MATCH("Intent",'Semrush Data'!$A$1:$Z$1,0)),"")</f>
        <v/>
      </c>
    </row>
    <row r="1088" ht="15" customHeight="1" s="37">
      <c r="A1088" s="42" t="inlineStr">
        <is>
          <t>hemel gris uk</t>
        </is>
      </c>
      <c r="B1088" s="42" t="inlineStr">
        <is>
          <t>Product + UK</t>
        </is>
      </c>
      <c r="C1088" s="42" t="n">
        <v>2</v>
      </c>
      <c r="D1088" s="42" t="n">
        <v>11</v>
      </c>
      <c r="E1088" s="42" t="n">
        <v>1</v>
      </c>
      <c r="F1088" s="42" t="inlineStr">
        <is>
          <t>FR-244</t>
        </is>
      </c>
      <c r="G1088" s="55">
        <f>IFERROR(INDEX('Semrush Data'!$A$1:$Z$20000,MATCH(A1088,'Semrush Data'!$A$1:$A$20000,0),MATCH("Volume",'Semrush Data'!$A$1:$Z$1,0)),"")</f>
        <v/>
      </c>
      <c r="H1088" s="42">
        <f>IFERROR(INDEX('Semrush Data'!$A$1:$Z$20000,MATCH(A1088,'Semrush Data'!$A$1:$A$20000,0),MATCH("Keyword Difficulty*",'Semrush Data'!$A$1:$Z$1,0)),"")</f>
        <v/>
      </c>
      <c r="I1088" s="56">
        <f>IFERROR(INDEX('Semrush Data'!$A$1:$Z$20000,MATCH(A1088,'Semrush Data'!$A$1:$A$20000,0),MATCH("CPC*",'Semrush Data'!$A$1:$Z$1,0)),"")</f>
        <v/>
      </c>
      <c r="J1088" s="42">
        <f>IFERROR(INDEX('Semrush Data'!$A$1:$Z$20000,MATCH(A1088,'Semrush Data'!$A$1:$A$20000,0),MATCH("Intent",'Semrush Data'!$A$1:$Z$1,0)),"")</f>
        <v/>
      </c>
    </row>
    <row r="1089" ht="15" customHeight="1" s="37">
      <c r="A1089" s="42" t="inlineStr">
        <is>
          <t>hemel paris dorado uk</t>
        </is>
      </c>
      <c r="B1089" s="42" t="inlineStr">
        <is>
          <t>Product + UK</t>
        </is>
      </c>
      <c r="C1089" s="42" t="n">
        <v>2</v>
      </c>
      <c r="D1089" s="42" t="n">
        <v>11</v>
      </c>
      <c r="E1089" s="42" t="n">
        <v>1</v>
      </c>
      <c r="F1089" s="42" t="inlineStr">
        <is>
          <t>FR-245</t>
        </is>
      </c>
      <c r="G1089" s="55">
        <f>IFERROR(INDEX('Semrush Data'!$A$1:$Z$20000,MATCH(A1089,'Semrush Data'!$A$1:$A$20000,0),MATCH("Volume",'Semrush Data'!$A$1:$Z$1,0)),"")</f>
        <v/>
      </c>
      <c r="H1089" s="42">
        <f>IFERROR(INDEX('Semrush Data'!$A$1:$Z$20000,MATCH(A1089,'Semrush Data'!$A$1:$A$20000,0),MATCH("Keyword Difficulty*",'Semrush Data'!$A$1:$Z$1,0)),"")</f>
        <v/>
      </c>
      <c r="I1089" s="56">
        <f>IFERROR(INDEX('Semrush Data'!$A$1:$Z$20000,MATCH(A1089,'Semrush Data'!$A$1:$A$20000,0),MATCH("CPC*",'Semrush Data'!$A$1:$Z$1,0)),"")</f>
        <v/>
      </c>
      <c r="J1089" s="42">
        <f>IFERROR(INDEX('Semrush Data'!$A$1:$Z$20000,MATCH(A1089,'Semrush Data'!$A$1:$A$20000,0),MATCH("Intent",'Semrush Data'!$A$1:$Z$1,0)),"")</f>
        <v/>
      </c>
    </row>
    <row r="1090" ht="15" customHeight="1" s="37">
      <c r="A1090" s="42" t="inlineStr">
        <is>
          <t>hemel paris gris for all uk</t>
        </is>
      </c>
      <c r="B1090" s="42" t="inlineStr">
        <is>
          <t>Product + UK</t>
        </is>
      </c>
      <c r="C1090" s="42" t="n">
        <v>2</v>
      </c>
      <c r="D1090" s="42" t="n">
        <v>11</v>
      </c>
      <c r="E1090" s="42" t="n">
        <v>1</v>
      </c>
      <c r="F1090" s="42" t="inlineStr">
        <is>
          <t>FR-246</t>
        </is>
      </c>
      <c r="G1090" s="55">
        <f>IFERROR(INDEX('Semrush Data'!$A$1:$Z$20000,MATCH(A1090,'Semrush Data'!$A$1:$A$20000,0),MATCH("Volume",'Semrush Data'!$A$1:$Z$1,0)),"")</f>
        <v/>
      </c>
      <c r="H1090" s="42">
        <f>IFERROR(INDEX('Semrush Data'!$A$1:$Z$20000,MATCH(A1090,'Semrush Data'!$A$1:$A$20000,0),MATCH("Keyword Difficulty*",'Semrush Data'!$A$1:$Z$1,0)),"")</f>
        <v/>
      </c>
      <c r="I1090" s="56">
        <f>IFERROR(INDEX('Semrush Data'!$A$1:$Z$20000,MATCH(A1090,'Semrush Data'!$A$1:$A$20000,0),MATCH("CPC*",'Semrush Data'!$A$1:$Z$1,0)),"")</f>
        <v/>
      </c>
      <c r="J1090" s="42">
        <f>IFERROR(INDEX('Semrush Data'!$A$1:$Z$20000,MATCH(A1090,'Semrush Data'!$A$1:$A$20000,0),MATCH("Intent",'Semrush Data'!$A$1:$Z$1,0)),"")</f>
        <v/>
      </c>
    </row>
    <row r="1091" ht="15" customHeight="1" s="37">
      <c r="A1091" s="42" t="inlineStr">
        <is>
          <t>hemel patchouli for all uk</t>
        </is>
      </c>
      <c r="B1091" s="42" t="inlineStr">
        <is>
          <t>Product + UK</t>
        </is>
      </c>
      <c r="C1091" s="42" t="n">
        <v>2</v>
      </c>
      <c r="D1091" s="42" t="n">
        <v>11</v>
      </c>
      <c r="E1091" s="42" t="n">
        <v>2</v>
      </c>
      <c r="F1091" s="42" t="inlineStr">
        <is>
          <t>FR-247, FR-248</t>
        </is>
      </c>
      <c r="G1091" s="55">
        <f>IFERROR(INDEX('Semrush Data'!$A$1:$Z$20000,MATCH(A1091,'Semrush Data'!$A$1:$A$20000,0),MATCH("Volume",'Semrush Data'!$A$1:$Z$1,0)),"")</f>
        <v/>
      </c>
      <c r="H1091" s="42">
        <f>IFERROR(INDEX('Semrush Data'!$A$1:$Z$20000,MATCH(A1091,'Semrush Data'!$A$1:$A$20000,0),MATCH("Keyword Difficulty*",'Semrush Data'!$A$1:$Z$1,0)),"")</f>
        <v/>
      </c>
      <c r="I1091" s="56">
        <f>IFERROR(INDEX('Semrush Data'!$A$1:$Z$20000,MATCH(A1091,'Semrush Data'!$A$1:$A$20000,0),MATCH("CPC*",'Semrush Data'!$A$1:$Z$1,0)),"")</f>
        <v/>
      </c>
      <c r="J1091" s="42">
        <f>IFERROR(INDEX('Semrush Data'!$A$1:$Z$20000,MATCH(A1091,'Semrush Data'!$A$1:$A$20000,0),MATCH("Intent",'Semrush Data'!$A$1:$Z$1,0)),"")</f>
        <v/>
      </c>
    </row>
    <row r="1092" ht="15" customHeight="1" s="37">
      <c r="A1092" s="42" t="inlineStr">
        <is>
          <t>hemel plateado uk</t>
        </is>
      </c>
      <c r="B1092" s="42" t="inlineStr">
        <is>
          <t>Product + UK</t>
        </is>
      </c>
      <c r="C1092" s="42" t="n">
        <v>2</v>
      </c>
      <c r="D1092" s="42" t="n">
        <v>11</v>
      </c>
      <c r="E1092" s="42" t="n">
        <v>2</v>
      </c>
      <c r="F1092" s="42" t="inlineStr">
        <is>
          <t>FR-249, FR-250</t>
        </is>
      </c>
      <c r="G1092" s="55">
        <f>IFERROR(INDEX('Semrush Data'!$A$1:$Z$20000,MATCH(A1092,'Semrush Data'!$A$1:$A$20000,0),MATCH("Volume",'Semrush Data'!$A$1:$Z$1,0)),"")</f>
        <v/>
      </c>
      <c r="H1092" s="42">
        <f>IFERROR(INDEX('Semrush Data'!$A$1:$Z$20000,MATCH(A1092,'Semrush Data'!$A$1:$A$20000,0),MATCH("Keyword Difficulty*",'Semrush Data'!$A$1:$Z$1,0)),"")</f>
        <v/>
      </c>
      <c r="I1092" s="56">
        <f>IFERROR(INDEX('Semrush Data'!$A$1:$Z$20000,MATCH(A1092,'Semrush Data'!$A$1:$A$20000,0),MATCH("CPC*",'Semrush Data'!$A$1:$Z$1,0)),"")</f>
        <v/>
      </c>
      <c r="J1092" s="42">
        <f>IFERROR(INDEX('Semrush Data'!$A$1:$Z$20000,MATCH(A1092,'Semrush Data'!$A$1:$A$20000,0),MATCH("Intent",'Semrush Data'!$A$1:$Z$1,0)),"")</f>
        <v/>
      </c>
    </row>
    <row r="1093" ht="15" customHeight="1" s="37">
      <c r="A1093" s="42" t="inlineStr">
        <is>
          <t>hemel rosado uk</t>
        </is>
      </c>
      <c r="B1093" s="42" t="inlineStr">
        <is>
          <t>Product + UK</t>
        </is>
      </c>
      <c r="C1093" s="42" t="n">
        <v>2</v>
      </c>
      <c r="D1093" s="42" t="n">
        <v>11</v>
      </c>
      <c r="E1093" s="42" t="n">
        <v>2</v>
      </c>
      <c r="F1093" s="42" t="inlineStr">
        <is>
          <t>FR-251, FR-252</t>
        </is>
      </c>
      <c r="G1093" s="55">
        <f>IFERROR(INDEX('Semrush Data'!$A$1:$Z$20000,MATCH(A1093,'Semrush Data'!$A$1:$A$20000,0),MATCH("Volume",'Semrush Data'!$A$1:$Z$1,0)),"")</f>
        <v/>
      </c>
      <c r="H1093" s="42">
        <f>IFERROR(INDEX('Semrush Data'!$A$1:$Z$20000,MATCH(A1093,'Semrush Data'!$A$1:$A$20000,0),MATCH("Keyword Difficulty*",'Semrush Data'!$A$1:$Z$1,0)),"")</f>
        <v/>
      </c>
      <c r="I1093" s="56">
        <f>IFERROR(INDEX('Semrush Data'!$A$1:$Z$20000,MATCH(A1093,'Semrush Data'!$A$1:$A$20000,0),MATCH("CPC*",'Semrush Data'!$A$1:$Z$1,0)),"")</f>
        <v/>
      </c>
      <c r="J1093" s="42">
        <f>IFERROR(INDEX('Semrush Data'!$A$1:$Z$20000,MATCH(A1093,'Semrush Data'!$A$1:$A$20000,0),MATCH("Intent",'Semrush Data'!$A$1:$Z$1,0)),"")</f>
        <v/>
      </c>
    </row>
    <row r="1094" ht="15" customHeight="1" s="37">
      <c r="A1094" s="42" t="inlineStr">
        <is>
          <t>hemel valley of diamond uk</t>
        </is>
      </c>
      <c r="B1094" s="42" t="inlineStr">
        <is>
          <t>Product + UK</t>
        </is>
      </c>
      <c r="C1094" s="42" t="n">
        <v>2</v>
      </c>
      <c r="D1094" s="42" t="n">
        <v>11</v>
      </c>
      <c r="E1094" s="42" t="n">
        <v>2</v>
      </c>
      <c r="F1094" s="42" t="inlineStr">
        <is>
          <t>FR-253, FR-254</t>
        </is>
      </c>
      <c r="G1094" s="55">
        <f>IFERROR(INDEX('Semrush Data'!$A$1:$Z$20000,MATCH(A1094,'Semrush Data'!$A$1:$A$20000,0),MATCH("Volume",'Semrush Data'!$A$1:$Z$1,0)),"")</f>
        <v/>
      </c>
      <c r="H1094" s="42">
        <f>IFERROR(INDEX('Semrush Data'!$A$1:$Z$20000,MATCH(A1094,'Semrush Data'!$A$1:$A$20000,0),MATCH("Keyword Difficulty*",'Semrush Data'!$A$1:$Z$1,0)),"")</f>
        <v/>
      </c>
      <c r="I1094" s="56">
        <f>IFERROR(INDEX('Semrush Data'!$A$1:$Z$20000,MATCH(A1094,'Semrush Data'!$A$1:$A$20000,0),MATCH("CPC*",'Semrush Data'!$A$1:$Z$1,0)),"")</f>
        <v/>
      </c>
      <c r="J1094" s="42">
        <f>IFERROR(INDEX('Semrush Data'!$A$1:$Z$20000,MATCH(A1094,'Semrush Data'!$A$1:$A$20000,0),MATCH("Intent",'Semrush Data'!$A$1:$Z$1,0)),"")</f>
        <v/>
      </c>
    </row>
    <row r="1095" ht="15" customHeight="1" s="37">
      <c r="A1095" s="42" t="inlineStr">
        <is>
          <t>hermes hermes un jardin a cythere miniature uk</t>
        </is>
      </c>
      <c r="B1095" s="42" t="inlineStr">
        <is>
          <t>Product + UK</t>
        </is>
      </c>
      <c r="C1095" s="42" t="n">
        <v>2</v>
      </c>
      <c r="D1095" s="42" t="n">
        <v>11</v>
      </c>
      <c r="E1095" s="42" t="n">
        <v>1</v>
      </c>
      <c r="F1095" s="42" t="inlineStr">
        <is>
          <t>FR-255</t>
        </is>
      </c>
      <c r="G1095" s="55">
        <f>IFERROR(INDEX('Semrush Data'!$A$1:$Z$20000,MATCH(A1095,'Semrush Data'!$A$1:$A$20000,0),MATCH("Volume",'Semrush Data'!$A$1:$Z$1,0)),"")</f>
        <v/>
      </c>
      <c r="H1095" s="42">
        <f>IFERROR(INDEX('Semrush Data'!$A$1:$Z$20000,MATCH(A1095,'Semrush Data'!$A$1:$A$20000,0),MATCH("Keyword Difficulty*",'Semrush Data'!$A$1:$Z$1,0)),"")</f>
        <v/>
      </c>
      <c r="I1095" s="56">
        <f>IFERROR(INDEX('Semrush Data'!$A$1:$Z$20000,MATCH(A1095,'Semrush Data'!$A$1:$A$20000,0),MATCH("CPC*",'Semrush Data'!$A$1:$Z$1,0)),"")</f>
        <v/>
      </c>
      <c r="J1095" s="42">
        <f>IFERROR(INDEX('Semrush Data'!$A$1:$Z$20000,MATCH(A1095,'Semrush Data'!$A$1:$A$20000,0),MATCH("Intent",'Semrush Data'!$A$1:$Z$1,0)),"")</f>
        <v/>
      </c>
    </row>
    <row r="1096" ht="15" customHeight="1" s="37">
      <c r="A1096" s="42" t="inlineStr">
        <is>
          <t>hermes miniature gift set 4 x fragrances uk</t>
        </is>
      </c>
      <c r="B1096" s="42" t="inlineStr">
        <is>
          <t>Product + UK</t>
        </is>
      </c>
      <c r="C1096" s="42" t="n">
        <v>2</v>
      </c>
      <c r="D1096" s="42" t="n">
        <v>11</v>
      </c>
      <c r="E1096" s="42" t="n">
        <v>1</v>
      </c>
      <c r="F1096" s="42" t="inlineStr">
        <is>
          <t>FR-340</t>
        </is>
      </c>
      <c r="G1096" s="55">
        <f>IFERROR(INDEX('Semrush Data'!$A$1:$Z$20000,MATCH(A1096,'Semrush Data'!$A$1:$A$20000,0),MATCH("Volume",'Semrush Data'!$A$1:$Z$1,0)),"")</f>
        <v/>
      </c>
      <c r="H1096" s="42">
        <f>IFERROR(INDEX('Semrush Data'!$A$1:$Z$20000,MATCH(A1096,'Semrush Data'!$A$1:$A$20000,0),MATCH("Keyword Difficulty*",'Semrush Data'!$A$1:$Z$1,0)),"")</f>
        <v/>
      </c>
      <c r="I1096" s="56">
        <f>IFERROR(INDEX('Semrush Data'!$A$1:$Z$20000,MATCH(A1096,'Semrush Data'!$A$1:$A$20000,0),MATCH("CPC*",'Semrush Data'!$A$1:$Z$1,0)),"")</f>
        <v/>
      </c>
      <c r="J1096" s="42">
        <f>IFERROR(INDEX('Semrush Data'!$A$1:$Z$20000,MATCH(A1096,'Semrush Data'!$A$1:$A$20000,0),MATCH("Intent",'Semrush Data'!$A$1:$Z$1,0)),"")</f>
        <v/>
      </c>
    </row>
    <row r="1097" ht="15" customHeight="1" s="37">
      <c r="A1097" s="42" t="inlineStr">
        <is>
          <t>hermes un jardin a cythere miniature uk</t>
        </is>
      </c>
      <c r="B1097" s="42" t="inlineStr">
        <is>
          <t>Product + UK</t>
        </is>
      </c>
      <c r="C1097" s="42" t="n">
        <v>2</v>
      </c>
      <c r="D1097" s="42" t="n">
        <v>11</v>
      </c>
      <c r="E1097" s="42" t="n">
        <v>1</v>
      </c>
      <c r="F1097" s="42" t="inlineStr">
        <is>
          <t>FR-338</t>
        </is>
      </c>
      <c r="G1097" s="55">
        <f>IFERROR(INDEX('Semrush Data'!$A$1:$Z$20000,MATCH(A1097,'Semrush Data'!$A$1:$A$20000,0),MATCH("Volume",'Semrush Data'!$A$1:$Z$1,0)),"")</f>
        <v/>
      </c>
      <c r="H1097" s="42">
        <f>IFERROR(INDEX('Semrush Data'!$A$1:$Z$20000,MATCH(A1097,'Semrush Data'!$A$1:$A$20000,0),MATCH("Keyword Difficulty*",'Semrush Data'!$A$1:$Z$1,0)),"")</f>
        <v/>
      </c>
      <c r="I1097" s="56">
        <f>IFERROR(INDEX('Semrush Data'!$A$1:$Z$20000,MATCH(A1097,'Semrush Data'!$A$1:$A$20000,0),MATCH("CPC*",'Semrush Data'!$A$1:$Z$1,0)),"")</f>
        <v/>
      </c>
      <c r="J1097" s="42">
        <f>IFERROR(INDEX('Semrush Data'!$A$1:$Z$20000,MATCH(A1097,'Semrush Data'!$A$1:$A$20000,0),MATCH("Intent",'Semrush Data'!$A$1:$Z$1,0)),"")</f>
        <v/>
      </c>
    </row>
    <row r="1098" ht="15" customHeight="1" s="37">
      <c r="A1098" s="42" t="inlineStr">
        <is>
          <t>hermes un jardin en mediterranee miniature uk</t>
        </is>
      </c>
      <c r="B1098" s="42" t="inlineStr">
        <is>
          <t>Product + UK</t>
        </is>
      </c>
      <c r="C1098" s="42" t="n">
        <v>2</v>
      </c>
      <c r="D1098" s="42" t="n">
        <v>11</v>
      </c>
      <c r="E1098" s="42" t="n">
        <v>1</v>
      </c>
      <c r="F1098" s="42" t="inlineStr">
        <is>
          <t>FR-336</t>
        </is>
      </c>
      <c r="G1098" s="55">
        <f>IFERROR(INDEX('Semrush Data'!$A$1:$Z$20000,MATCH(A1098,'Semrush Data'!$A$1:$A$20000,0),MATCH("Volume",'Semrush Data'!$A$1:$Z$1,0)),"")</f>
        <v/>
      </c>
      <c r="H1098" s="42">
        <f>IFERROR(INDEX('Semrush Data'!$A$1:$Z$20000,MATCH(A1098,'Semrush Data'!$A$1:$A$20000,0),MATCH("Keyword Difficulty*",'Semrush Data'!$A$1:$Z$1,0)),"")</f>
        <v/>
      </c>
      <c r="I1098" s="56">
        <f>IFERROR(INDEX('Semrush Data'!$A$1:$Z$20000,MATCH(A1098,'Semrush Data'!$A$1:$A$20000,0),MATCH("CPC*",'Semrush Data'!$A$1:$Z$1,0)),"")</f>
        <v/>
      </c>
      <c r="J1098" s="42">
        <f>IFERROR(INDEX('Semrush Data'!$A$1:$Z$20000,MATCH(A1098,'Semrush Data'!$A$1:$A$20000,0),MATCH("Intent",'Semrush Data'!$A$1:$Z$1,0)),"")</f>
        <v/>
      </c>
    </row>
    <row r="1099" ht="15" customHeight="1" s="37">
      <c r="A1099" s="42" t="inlineStr">
        <is>
          <t>hermes un jardin sur le toit miniature uk</t>
        </is>
      </c>
      <c r="B1099" s="42" t="inlineStr">
        <is>
          <t>Product + UK</t>
        </is>
      </c>
      <c r="C1099" s="42" t="n">
        <v>2</v>
      </c>
      <c r="D1099" s="42" t="n">
        <v>11</v>
      </c>
      <c r="E1099" s="42" t="n">
        <v>1</v>
      </c>
      <c r="F1099" s="42" t="inlineStr">
        <is>
          <t>FR-337</t>
        </is>
      </c>
      <c r="G1099" s="55">
        <f>IFERROR(INDEX('Semrush Data'!$A$1:$Z$20000,MATCH(A1099,'Semrush Data'!$A$1:$A$20000,0),MATCH("Volume",'Semrush Data'!$A$1:$Z$1,0)),"")</f>
        <v/>
      </c>
      <c r="H1099" s="42">
        <f>IFERROR(INDEX('Semrush Data'!$A$1:$Z$20000,MATCH(A1099,'Semrush Data'!$A$1:$A$20000,0),MATCH("Keyword Difficulty*",'Semrush Data'!$A$1:$Z$1,0)),"")</f>
        <v/>
      </c>
      <c r="I1099" s="56">
        <f>IFERROR(INDEX('Semrush Data'!$A$1:$Z$20000,MATCH(A1099,'Semrush Data'!$A$1:$A$20000,0),MATCH("CPC*",'Semrush Data'!$A$1:$Z$1,0)),"")</f>
        <v/>
      </c>
      <c r="J1099" s="42">
        <f>IFERROR(INDEX('Semrush Data'!$A$1:$Z$20000,MATCH(A1099,'Semrush Data'!$A$1:$A$20000,0),MATCH("Intent",'Semrush Data'!$A$1:$Z$1,0)),"")</f>
        <v/>
      </c>
    </row>
    <row r="1100" ht="15" customHeight="1" s="37">
      <c r="A1100" s="42" t="inlineStr">
        <is>
          <t>hollister festival vibes uk</t>
        </is>
      </c>
      <c r="B1100" s="42" t="inlineStr">
        <is>
          <t>Product + UK</t>
        </is>
      </c>
      <c r="C1100" s="42" t="n">
        <v>2</v>
      </c>
      <c r="D1100" s="42" t="inlineStr">
        <is>
          <t>T2-2</t>
        </is>
      </c>
      <c r="E1100" s="42" t="n">
        <v>1</v>
      </c>
      <c r="F1100" s="42" t="inlineStr">
        <is>
          <t>FR-256</t>
        </is>
      </c>
      <c r="G1100" s="55">
        <f>IFERROR(INDEX('Semrush Data'!$A$1:$Z$20000,MATCH(A1100,'Semrush Data'!$A$1:$A$20000,0),MATCH("Volume",'Semrush Data'!$A$1:$Z$1,0)),"")</f>
        <v/>
      </c>
      <c r="H1100" s="42">
        <f>IFERROR(INDEX('Semrush Data'!$A$1:$Z$20000,MATCH(A1100,'Semrush Data'!$A$1:$A$20000,0),MATCH("Keyword Difficulty*",'Semrush Data'!$A$1:$Z$1,0)),"")</f>
        <v/>
      </c>
      <c r="I1100" s="56">
        <f>IFERROR(INDEX('Semrush Data'!$A$1:$Z$20000,MATCH(A1100,'Semrush Data'!$A$1:$A$20000,0),MATCH("CPC*",'Semrush Data'!$A$1:$Z$1,0)),"")</f>
        <v/>
      </c>
      <c r="J1100" s="42">
        <f>IFERROR(INDEX('Semrush Data'!$A$1:$Z$20000,MATCH(A1100,'Semrush Data'!$A$1:$A$20000,0),MATCH("Intent",'Semrush Data'!$A$1:$Z$1,0)),"")</f>
        <v/>
      </c>
    </row>
    <row r="1101" ht="15" customHeight="1" s="37">
      <c r="A1101" s="42" t="inlineStr">
        <is>
          <t>hugo boss alive uk</t>
        </is>
      </c>
      <c r="B1101" s="42" t="inlineStr">
        <is>
          <t>Product + UK</t>
        </is>
      </c>
      <c r="C1101" s="42" t="n">
        <v>2</v>
      </c>
      <c r="D1101" s="42" t="inlineStr">
        <is>
          <t>T2-1</t>
        </is>
      </c>
      <c r="E1101" s="42" t="n">
        <v>1</v>
      </c>
      <c r="F1101" s="42" t="inlineStr">
        <is>
          <t>FR-261</t>
        </is>
      </c>
      <c r="G1101" s="55">
        <f>IFERROR(INDEX('Semrush Data'!$A$1:$Z$20000,MATCH(A1101,'Semrush Data'!$A$1:$A$20000,0),MATCH("Volume",'Semrush Data'!$A$1:$Z$1,0)),"")</f>
        <v/>
      </c>
      <c r="H1101" s="42">
        <f>IFERROR(INDEX('Semrush Data'!$A$1:$Z$20000,MATCH(A1101,'Semrush Data'!$A$1:$A$20000,0),MATCH("Keyword Difficulty*",'Semrush Data'!$A$1:$Z$1,0)),"")</f>
        <v/>
      </c>
      <c r="I1101" s="56">
        <f>IFERROR(INDEX('Semrush Data'!$A$1:$Z$20000,MATCH(A1101,'Semrush Data'!$A$1:$A$20000,0),MATCH("CPC*",'Semrush Data'!$A$1:$Z$1,0)),"")</f>
        <v/>
      </c>
      <c r="J1101" s="42">
        <f>IFERROR(INDEX('Semrush Data'!$A$1:$Z$20000,MATCH(A1101,'Semrush Data'!$A$1:$A$20000,0),MATCH("Intent",'Semrush Data'!$A$1:$Z$1,0)),"")</f>
        <v/>
      </c>
    </row>
    <row r="1102" ht="15" customHeight="1" s="37">
      <c r="A1102" s="42" t="inlineStr">
        <is>
          <t>hugo boss boss the scent tester uk</t>
        </is>
      </c>
      <c r="B1102" s="42" t="inlineStr">
        <is>
          <t>Product + UK</t>
        </is>
      </c>
      <c r="C1102" s="42" t="n">
        <v>2</v>
      </c>
      <c r="D1102" s="42" t="n">
        <v>12</v>
      </c>
      <c r="E1102" s="42" t="n">
        <v>1</v>
      </c>
      <c r="F1102" s="42" t="inlineStr">
        <is>
          <t>FR-259</t>
        </is>
      </c>
      <c r="G1102" s="55">
        <f>IFERROR(INDEX('Semrush Data'!$A$1:$Z$20000,MATCH(A1102,'Semrush Data'!$A$1:$A$20000,0),MATCH("Volume",'Semrush Data'!$A$1:$Z$1,0)),"")</f>
        <v/>
      </c>
      <c r="H1102" s="42">
        <f>IFERROR(INDEX('Semrush Data'!$A$1:$Z$20000,MATCH(A1102,'Semrush Data'!$A$1:$A$20000,0),MATCH("Keyword Difficulty*",'Semrush Data'!$A$1:$Z$1,0)),"")</f>
        <v/>
      </c>
      <c r="I1102" s="56">
        <f>IFERROR(INDEX('Semrush Data'!$A$1:$Z$20000,MATCH(A1102,'Semrush Data'!$A$1:$A$20000,0),MATCH("CPC*",'Semrush Data'!$A$1:$Z$1,0)),"")</f>
        <v/>
      </c>
      <c r="J1102" s="42">
        <f>IFERROR(INDEX('Semrush Data'!$A$1:$Z$20000,MATCH(A1102,'Semrush Data'!$A$1:$A$20000,0),MATCH("Intent",'Semrush Data'!$A$1:$Z$1,0)),"")</f>
        <v/>
      </c>
    </row>
    <row r="1103" ht="15" customHeight="1" s="37">
      <c r="A1103" s="42" t="inlineStr">
        <is>
          <t>hugo boss bottled uk</t>
        </is>
      </c>
      <c r="B1103" s="42" t="inlineStr">
        <is>
          <t>Product + UK</t>
        </is>
      </c>
      <c r="C1103" s="42" t="n">
        <v>2</v>
      </c>
      <c r="D1103" s="42" t="inlineStr">
        <is>
          <t>T2-1</t>
        </is>
      </c>
      <c r="E1103" s="42" t="n">
        <v>1</v>
      </c>
      <c r="F1103" s="42" t="inlineStr">
        <is>
          <t>FR-257</t>
        </is>
      </c>
      <c r="G1103" s="55">
        <f>IFERROR(INDEX('Semrush Data'!$A$1:$Z$20000,MATCH(A1103,'Semrush Data'!$A$1:$A$20000,0),MATCH("Volume",'Semrush Data'!$A$1:$Z$1,0)),"")</f>
        <v/>
      </c>
      <c r="H1103" s="42">
        <f>IFERROR(INDEX('Semrush Data'!$A$1:$Z$20000,MATCH(A1103,'Semrush Data'!$A$1:$A$20000,0),MATCH("Keyword Difficulty*",'Semrush Data'!$A$1:$Z$1,0)),"")</f>
        <v/>
      </c>
      <c r="I1103" s="56">
        <f>IFERROR(INDEX('Semrush Data'!$A$1:$Z$20000,MATCH(A1103,'Semrush Data'!$A$1:$A$20000,0),MATCH("CPC*",'Semrush Data'!$A$1:$Z$1,0)),"")</f>
        <v/>
      </c>
      <c r="J1103" s="42">
        <f>IFERROR(INDEX('Semrush Data'!$A$1:$Z$20000,MATCH(A1103,'Semrush Data'!$A$1:$A$20000,0),MATCH("Intent",'Semrush Data'!$A$1:$Z$1,0)),"")</f>
        <v/>
      </c>
    </row>
    <row r="1104" ht="15" customHeight="1" s="37">
      <c r="A1104" s="42" t="inlineStr">
        <is>
          <t>hugo boss hugo man uk</t>
        </is>
      </c>
      <c r="B1104" s="42" t="inlineStr">
        <is>
          <t>Product + UK</t>
        </is>
      </c>
      <c r="C1104" s="42" t="n">
        <v>2</v>
      </c>
      <c r="D1104" s="42" t="inlineStr">
        <is>
          <t>T2-1</t>
        </is>
      </c>
      <c r="E1104" s="42" t="n">
        <v>1</v>
      </c>
      <c r="F1104" s="42" t="inlineStr">
        <is>
          <t>FR-260</t>
        </is>
      </c>
      <c r="G1104" s="55">
        <f>IFERROR(INDEX('Semrush Data'!$A$1:$Z$20000,MATCH(A1104,'Semrush Data'!$A$1:$A$20000,0),MATCH("Volume",'Semrush Data'!$A$1:$Z$1,0)),"")</f>
        <v/>
      </c>
      <c r="H1104" s="42">
        <f>IFERROR(INDEX('Semrush Data'!$A$1:$Z$20000,MATCH(A1104,'Semrush Data'!$A$1:$A$20000,0),MATCH("Keyword Difficulty*",'Semrush Data'!$A$1:$Z$1,0)),"")</f>
        <v/>
      </c>
      <c r="I1104" s="56">
        <f>IFERROR(INDEX('Semrush Data'!$A$1:$Z$20000,MATCH(A1104,'Semrush Data'!$A$1:$A$20000,0),MATCH("CPC*",'Semrush Data'!$A$1:$Z$1,0)),"")</f>
        <v/>
      </c>
      <c r="J1104" s="42">
        <f>IFERROR(INDEX('Semrush Data'!$A$1:$Z$20000,MATCH(A1104,'Semrush Data'!$A$1:$A$20000,0),MATCH("Intent",'Semrush Data'!$A$1:$Z$1,0)),"")</f>
        <v/>
      </c>
    </row>
    <row r="1105" ht="15" customHeight="1" s="37">
      <c r="A1105" s="42" t="inlineStr">
        <is>
          <t>hugo boss the collection confident oud intense uk</t>
        </is>
      </c>
      <c r="B1105" s="42" t="inlineStr">
        <is>
          <t>Product + UK</t>
        </is>
      </c>
      <c r="C1105" s="42" t="n">
        <v>2</v>
      </c>
      <c r="D1105" s="42" t="n">
        <v>12</v>
      </c>
      <c r="E1105" s="42" t="n">
        <v>1</v>
      </c>
      <c r="F1105" s="42" t="inlineStr">
        <is>
          <t>FR-258</t>
        </is>
      </c>
      <c r="G1105" s="55">
        <f>IFERROR(INDEX('Semrush Data'!$A$1:$Z$20000,MATCH(A1105,'Semrush Data'!$A$1:$A$20000,0),MATCH("Volume",'Semrush Data'!$A$1:$Z$1,0)),"")</f>
        <v/>
      </c>
      <c r="H1105" s="42">
        <f>IFERROR(INDEX('Semrush Data'!$A$1:$Z$20000,MATCH(A1105,'Semrush Data'!$A$1:$A$20000,0),MATCH("Keyword Difficulty*",'Semrush Data'!$A$1:$Z$1,0)),"")</f>
        <v/>
      </c>
      <c r="I1105" s="56">
        <f>IFERROR(INDEX('Semrush Data'!$A$1:$Z$20000,MATCH(A1105,'Semrush Data'!$A$1:$A$20000,0),MATCH("CPC*",'Semrush Data'!$A$1:$Z$1,0)),"")</f>
        <v/>
      </c>
      <c r="J1105" s="42">
        <f>IFERROR(INDEX('Semrush Data'!$A$1:$Z$20000,MATCH(A1105,'Semrush Data'!$A$1:$A$20000,0),MATCH("Intent",'Semrush Data'!$A$1:$Z$1,0)),"")</f>
        <v/>
      </c>
    </row>
    <row r="1106" ht="15" customHeight="1" s="37">
      <c r="A1106" s="42" t="inlineStr">
        <is>
          <t>jean paul gaultier classique perfumed shower gel uk</t>
        </is>
      </c>
      <c r="B1106" s="42" t="inlineStr">
        <is>
          <t>Product + UK</t>
        </is>
      </c>
      <c r="C1106" s="42" t="n">
        <v>2</v>
      </c>
      <c r="D1106" s="42" t="n">
        <v>12</v>
      </c>
      <c r="E1106" s="42" t="n">
        <v>1</v>
      </c>
      <c r="F1106" s="42" t="inlineStr">
        <is>
          <t>FR-263</t>
        </is>
      </c>
      <c r="G1106" s="55">
        <f>IFERROR(INDEX('Semrush Data'!$A$1:$Z$20000,MATCH(A1106,'Semrush Data'!$A$1:$A$20000,0),MATCH("Volume",'Semrush Data'!$A$1:$Z$1,0)),"")</f>
        <v/>
      </c>
      <c r="H1106" s="42">
        <f>IFERROR(INDEX('Semrush Data'!$A$1:$Z$20000,MATCH(A1106,'Semrush Data'!$A$1:$A$20000,0),MATCH("Keyword Difficulty*",'Semrush Data'!$A$1:$Z$1,0)),"")</f>
        <v/>
      </c>
      <c r="I1106" s="56">
        <f>IFERROR(INDEX('Semrush Data'!$A$1:$Z$20000,MATCH(A1106,'Semrush Data'!$A$1:$A$20000,0),MATCH("CPC*",'Semrush Data'!$A$1:$Z$1,0)),"")</f>
        <v/>
      </c>
      <c r="J1106" s="42">
        <f>IFERROR(INDEX('Semrush Data'!$A$1:$Z$20000,MATCH(A1106,'Semrush Data'!$A$1:$A$20000,0),MATCH("Intent",'Semrush Data'!$A$1:$Z$1,0)),"")</f>
        <v/>
      </c>
    </row>
    <row r="1107" ht="15" customHeight="1" s="37">
      <c r="A1107" s="42" t="inlineStr">
        <is>
          <t>jean paul gaultier scandal gold uk</t>
        </is>
      </c>
      <c r="B1107" s="42" t="inlineStr">
        <is>
          <t>Product + UK</t>
        </is>
      </c>
      <c r="C1107" s="42" t="n">
        <v>2</v>
      </c>
      <c r="D1107" s="42" t="n">
        <v>12</v>
      </c>
      <c r="E1107" s="42" t="n">
        <v>1</v>
      </c>
      <c r="F1107" s="42" t="inlineStr">
        <is>
          <t>FR-262</t>
        </is>
      </c>
      <c r="G1107" s="55">
        <f>IFERROR(INDEX('Semrush Data'!$A$1:$Z$20000,MATCH(A1107,'Semrush Data'!$A$1:$A$20000,0),MATCH("Volume",'Semrush Data'!$A$1:$Z$1,0)),"")</f>
        <v/>
      </c>
      <c r="H1107" s="42">
        <f>IFERROR(INDEX('Semrush Data'!$A$1:$Z$20000,MATCH(A1107,'Semrush Data'!$A$1:$A$20000,0),MATCH("Keyword Difficulty*",'Semrush Data'!$A$1:$Z$1,0)),"")</f>
        <v/>
      </c>
      <c r="I1107" s="56">
        <f>IFERROR(INDEX('Semrush Data'!$A$1:$Z$20000,MATCH(A1107,'Semrush Data'!$A$1:$A$20000,0),MATCH("CPC*",'Semrush Data'!$A$1:$Z$1,0)),"")</f>
        <v/>
      </c>
      <c r="J1107" s="42">
        <f>IFERROR(INDEX('Semrush Data'!$A$1:$Z$20000,MATCH(A1107,'Semrush Data'!$A$1:$A$20000,0),MATCH("Intent",'Semrush Data'!$A$1:$Z$1,0)),"")</f>
        <v/>
      </c>
    </row>
    <row r="1108" ht="15" customHeight="1" s="37">
      <c r="A1108" s="42" t="inlineStr">
        <is>
          <t>jimmy choo i want choo forever miniature uk</t>
        </is>
      </c>
      <c r="B1108" s="42" t="inlineStr">
        <is>
          <t>Product + UK</t>
        </is>
      </c>
      <c r="C1108" s="42" t="n">
        <v>2</v>
      </c>
      <c r="D1108" s="42" t="n">
        <v>12</v>
      </c>
      <c r="E1108" s="42" t="n">
        <v>1</v>
      </c>
      <c r="F1108" s="42" t="inlineStr">
        <is>
          <t>FR-264</t>
        </is>
      </c>
      <c r="G1108" s="55">
        <f>IFERROR(INDEX('Semrush Data'!$A$1:$Z$20000,MATCH(A1108,'Semrush Data'!$A$1:$A$20000,0),MATCH("Volume",'Semrush Data'!$A$1:$Z$1,0)),"")</f>
        <v/>
      </c>
      <c r="H1108" s="42">
        <f>IFERROR(INDEX('Semrush Data'!$A$1:$Z$20000,MATCH(A1108,'Semrush Data'!$A$1:$A$20000,0),MATCH("Keyword Difficulty*",'Semrush Data'!$A$1:$Z$1,0)),"")</f>
        <v/>
      </c>
      <c r="I1108" s="56">
        <f>IFERROR(INDEX('Semrush Data'!$A$1:$Z$20000,MATCH(A1108,'Semrush Data'!$A$1:$A$20000,0),MATCH("CPC*",'Semrush Data'!$A$1:$Z$1,0)),"")</f>
        <v/>
      </c>
      <c r="J1108" s="42">
        <f>IFERROR(INDEX('Semrush Data'!$A$1:$Z$20000,MATCH(A1108,'Semrush Data'!$A$1:$A$20000,0),MATCH("Intent",'Semrush Data'!$A$1:$Z$1,0)),"")</f>
        <v/>
      </c>
    </row>
    <row r="1109" ht="15" customHeight="1" s="37">
      <c r="A1109" s="42" t="inlineStr">
        <is>
          <t>jimmy choo miniature gift set 5x4. uk</t>
        </is>
      </c>
      <c r="B1109" s="42" t="inlineStr">
        <is>
          <t>Product + UK</t>
        </is>
      </c>
      <c r="C1109" s="42" t="n">
        <v>2</v>
      </c>
      <c r="D1109" s="42" t="n">
        <v>12</v>
      </c>
      <c r="E1109" s="42" t="n">
        <v>1</v>
      </c>
      <c r="F1109" s="42" t="inlineStr">
        <is>
          <t>FR-265</t>
        </is>
      </c>
      <c r="G1109" s="55">
        <f>IFERROR(INDEX('Semrush Data'!$A$1:$Z$20000,MATCH(A1109,'Semrush Data'!$A$1:$A$20000,0),MATCH("Volume",'Semrush Data'!$A$1:$Z$1,0)),"")</f>
        <v/>
      </c>
      <c r="H1109" s="42">
        <f>IFERROR(INDEX('Semrush Data'!$A$1:$Z$20000,MATCH(A1109,'Semrush Data'!$A$1:$A$20000,0),MATCH("Keyword Difficulty*",'Semrush Data'!$A$1:$Z$1,0)),"")</f>
        <v/>
      </c>
      <c r="I1109" s="56">
        <f>IFERROR(INDEX('Semrush Data'!$A$1:$Z$20000,MATCH(A1109,'Semrush Data'!$A$1:$A$20000,0),MATCH("CPC*",'Semrush Data'!$A$1:$Z$1,0)),"")</f>
        <v/>
      </c>
      <c r="J1109" s="42">
        <f>IFERROR(INDEX('Semrush Data'!$A$1:$Z$20000,MATCH(A1109,'Semrush Data'!$A$1:$A$20000,0),MATCH("Intent",'Semrush Data'!$A$1:$Z$1,0)),"")</f>
        <v/>
      </c>
    </row>
    <row r="1110" ht="15" customHeight="1" s="37">
      <c r="A1110" s="42" t="inlineStr">
        <is>
          <t>jo milano game of spades queen for uk</t>
        </is>
      </c>
      <c r="B1110" s="42" t="inlineStr">
        <is>
          <t>Product + UK</t>
        </is>
      </c>
      <c r="C1110" s="42" t="n">
        <v>2</v>
      </c>
      <c r="D1110" s="42" t="n">
        <v>12</v>
      </c>
      <c r="E1110" s="42" t="n">
        <v>1</v>
      </c>
      <c r="F1110" s="42" t="inlineStr">
        <is>
          <t>FR-266</t>
        </is>
      </c>
      <c r="G1110" s="55">
        <f>IFERROR(INDEX('Semrush Data'!$A$1:$Z$20000,MATCH(A1110,'Semrush Data'!$A$1:$A$20000,0),MATCH("Volume",'Semrush Data'!$A$1:$Z$1,0)),"")</f>
        <v/>
      </c>
      <c r="H1110" s="42">
        <f>IFERROR(INDEX('Semrush Data'!$A$1:$Z$20000,MATCH(A1110,'Semrush Data'!$A$1:$A$20000,0),MATCH("Keyword Difficulty*",'Semrush Data'!$A$1:$Z$1,0)),"")</f>
        <v/>
      </c>
      <c r="I1110" s="56">
        <f>IFERROR(INDEX('Semrush Data'!$A$1:$Z$20000,MATCH(A1110,'Semrush Data'!$A$1:$A$20000,0),MATCH("CPC*",'Semrush Data'!$A$1:$Z$1,0)),"")</f>
        <v/>
      </c>
      <c r="J1110" s="42">
        <f>IFERROR(INDEX('Semrush Data'!$A$1:$Z$20000,MATCH(A1110,'Semrush Data'!$A$1:$A$20000,0),MATCH("Intent",'Semrush Data'!$A$1:$Z$1,0)),"")</f>
        <v/>
      </c>
    </row>
    <row r="1111" ht="15" customHeight="1" s="37">
      <c r="A1111" s="42" t="inlineStr">
        <is>
          <t>jo milano game of spades wildcard for parfum , 3.4 ounce uk</t>
        </is>
      </c>
      <c r="B1111" s="42" t="inlineStr">
        <is>
          <t>Product + UK</t>
        </is>
      </c>
      <c r="C1111" s="42" t="n">
        <v>2</v>
      </c>
      <c r="D1111" s="42" t="n">
        <v>12</v>
      </c>
      <c r="E1111" s="42" t="n">
        <v>1</v>
      </c>
      <c r="F1111" s="42" t="inlineStr">
        <is>
          <t>FR-267</t>
        </is>
      </c>
      <c r="G1111" s="55">
        <f>IFERROR(INDEX('Semrush Data'!$A$1:$Z$20000,MATCH(A1111,'Semrush Data'!$A$1:$A$20000,0),MATCH("Volume",'Semrush Data'!$A$1:$Z$1,0)),"")</f>
        <v/>
      </c>
      <c r="H1111" s="42">
        <f>IFERROR(INDEX('Semrush Data'!$A$1:$Z$20000,MATCH(A1111,'Semrush Data'!$A$1:$A$20000,0),MATCH("Keyword Difficulty*",'Semrush Data'!$A$1:$Z$1,0)),"")</f>
        <v/>
      </c>
      <c r="I1111" s="56">
        <f>IFERROR(INDEX('Semrush Data'!$A$1:$Z$20000,MATCH(A1111,'Semrush Data'!$A$1:$A$20000,0),MATCH("CPC*",'Semrush Data'!$A$1:$Z$1,0)),"")</f>
        <v/>
      </c>
      <c r="J1111" s="42">
        <f>IFERROR(INDEX('Semrush Data'!$A$1:$Z$20000,MATCH(A1111,'Semrush Data'!$A$1:$A$20000,0),MATCH("Intent",'Semrush Data'!$A$1:$Z$1,0)),"")</f>
        <v/>
      </c>
    </row>
    <row r="1112" ht="15" customHeight="1" s="37">
      <c r="A1112" s="42" t="inlineStr">
        <is>
          <t>john varvatos artisan uk</t>
        </is>
      </c>
      <c r="B1112" s="42" t="inlineStr">
        <is>
          <t>Product + UK</t>
        </is>
      </c>
      <c r="C1112" s="42" t="n">
        <v>2</v>
      </c>
      <c r="D1112" s="42" t="inlineStr">
        <is>
          <t>T2-1</t>
        </is>
      </c>
      <c r="E1112" s="42" t="n">
        <v>1</v>
      </c>
      <c r="F1112" s="42" t="inlineStr">
        <is>
          <t>FR-268</t>
        </is>
      </c>
      <c r="G1112" s="55">
        <f>IFERROR(INDEX('Semrush Data'!$A$1:$Z$20000,MATCH(A1112,'Semrush Data'!$A$1:$A$20000,0),MATCH("Volume",'Semrush Data'!$A$1:$Z$1,0)),"")</f>
        <v/>
      </c>
      <c r="H1112" s="42">
        <f>IFERROR(INDEX('Semrush Data'!$A$1:$Z$20000,MATCH(A1112,'Semrush Data'!$A$1:$A$20000,0),MATCH("Keyword Difficulty*",'Semrush Data'!$A$1:$Z$1,0)),"")</f>
        <v/>
      </c>
      <c r="I1112" s="56">
        <f>IFERROR(INDEX('Semrush Data'!$A$1:$Z$20000,MATCH(A1112,'Semrush Data'!$A$1:$A$20000,0),MATCH("CPC*",'Semrush Data'!$A$1:$Z$1,0)),"")</f>
        <v/>
      </c>
      <c r="J1112" s="42">
        <f>IFERROR(INDEX('Semrush Data'!$A$1:$Z$20000,MATCH(A1112,'Semrush Data'!$A$1:$A$20000,0),MATCH("Intent",'Semrush Data'!$A$1:$Z$1,0)),"")</f>
        <v/>
      </c>
    </row>
    <row r="1113" ht="15" customHeight="1" s="37">
      <c r="A1113" s="42" t="inlineStr">
        <is>
          <t>joop! homme le uk</t>
        </is>
      </c>
      <c r="B1113" s="42" t="inlineStr">
        <is>
          <t>Product + UK</t>
        </is>
      </c>
      <c r="C1113" s="42" t="n">
        <v>2</v>
      </c>
      <c r="D1113" s="42" t="n">
        <v>12</v>
      </c>
      <c r="E1113" s="42" t="n">
        <v>1</v>
      </c>
      <c r="F1113" s="42" t="inlineStr">
        <is>
          <t>FR-270</t>
        </is>
      </c>
      <c r="G1113" s="55">
        <f>IFERROR(INDEX('Semrush Data'!$A$1:$Z$20000,MATCH(A1113,'Semrush Data'!$A$1:$A$20000,0),MATCH("Volume",'Semrush Data'!$A$1:$Z$1,0)),"")</f>
        <v/>
      </c>
      <c r="H1113" s="42">
        <f>IFERROR(INDEX('Semrush Data'!$A$1:$Z$20000,MATCH(A1113,'Semrush Data'!$A$1:$A$20000,0),MATCH("Keyword Difficulty*",'Semrush Data'!$A$1:$Z$1,0)),"")</f>
        <v/>
      </c>
      <c r="I1113" s="56">
        <f>IFERROR(INDEX('Semrush Data'!$A$1:$Z$20000,MATCH(A1113,'Semrush Data'!$A$1:$A$20000,0),MATCH("CPC*",'Semrush Data'!$A$1:$Z$1,0)),"")</f>
        <v/>
      </c>
      <c r="J1113" s="42">
        <f>IFERROR(INDEX('Semrush Data'!$A$1:$Z$20000,MATCH(A1113,'Semrush Data'!$A$1:$A$20000,0),MATCH("Intent",'Semrush Data'!$A$1:$Z$1,0)),"")</f>
        <v/>
      </c>
    </row>
    <row r="1114" ht="15" customHeight="1" s="37">
      <c r="A1114" s="42" t="inlineStr">
        <is>
          <t>joop! homme uk</t>
        </is>
      </c>
      <c r="B1114" s="42" t="inlineStr">
        <is>
          <t>Product + UK</t>
        </is>
      </c>
      <c r="C1114" s="42" t="n">
        <v>2</v>
      </c>
      <c r="D1114" s="42" t="inlineStr">
        <is>
          <t>T2-1</t>
        </is>
      </c>
      <c r="E1114" s="42" t="n">
        <v>1</v>
      </c>
      <c r="F1114" s="42" t="inlineStr">
        <is>
          <t>FR-269</t>
        </is>
      </c>
      <c r="G1114" s="55">
        <f>IFERROR(INDEX('Semrush Data'!$A$1:$Z$20000,MATCH(A1114,'Semrush Data'!$A$1:$A$20000,0),MATCH("Volume",'Semrush Data'!$A$1:$Z$1,0)),"")</f>
        <v/>
      </c>
      <c r="H1114" s="42">
        <f>IFERROR(INDEX('Semrush Data'!$A$1:$Z$20000,MATCH(A1114,'Semrush Data'!$A$1:$A$20000,0),MATCH("Keyword Difficulty*",'Semrush Data'!$A$1:$Z$1,0)),"")</f>
        <v/>
      </c>
      <c r="I1114" s="56">
        <f>IFERROR(INDEX('Semrush Data'!$A$1:$Z$20000,MATCH(A1114,'Semrush Data'!$A$1:$A$20000,0),MATCH("CPC*",'Semrush Data'!$A$1:$Z$1,0)),"")</f>
        <v/>
      </c>
      <c r="J1114" s="42">
        <f>IFERROR(INDEX('Semrush Data'!$A$1:$Z$20000,MATCH(A1114,'Semrush Data'!$A$1:$A$20000,0),MATCH("Intent",'Semrush Data'!$A$1:$Z$1,0)),"")</f>
        <v/>
      </c>
    </row>
    <row r="1115" ht="15" customHeight="1" s="37">
      <c r="A1115" s="42" t="inlineStr">
        <is>
          <t>juicy couture viva la juicy rose uk</t>
        </is>
      </c>
      <c r="B1115" s="42" t="inlineStr">
        <is>
          <t>Product + UK</t>
        </is>
      </c>
      <c r="C1115" s="42" t="n">
        <v>2</v>
      </c>
      <c r="D1115" s="42" t="n">
        <v>12</v>
      </c>
      <c r="E1115" s="42" t="n">
        <v>3</v>
      </c>
      <c r="F1115" s="42" t="inlineStr">
        <is>
          <t>FR-271, FR-272, FR-273</t>
        </is>
      </c>
      <c r="G1115" s="55">
        <f>IFERROR(INDEX('Semrush Data'!$A$1:$Z$20000,MATCH(A1115,'Semrush Data'!$A$1:$A$20000,0),MATCH("Volume",'Semrush Data'!$A$1:$Z$1,0)),"")</f>
        <v/>
      </c>
      <c r="H1115" s="42">
        <f>IFERROR(INDEX('Semrush Data'!$A$1:$Z$20000,MATCH(A1115,'Semrush Data'!$A$1:$A$20000,0),MATCH("Keyword Difficulty*",'Semrush Data'!$A$1:$Z$1,0)),"")</f>
        <v/>
      </c>
      <c r="I1115" s="56">
        <f>IFERROR(INDEX('Semrush Data'!$A$1:$Z$20000,MATCH(A1115,'Semrush Data'!$A$1:$A$20000,0),MATCH("CPC*",'Semrush Data'!$A$1:$Z$1,0)),"")</f>
        <v/>
      </c>
      <c r="J1115" s="42">
        <f>IFERROR(INDEX('Semrush Data'!$A$1:$Z$20000,MATCH(A1115,'Semrush Data'!$A$1:$A$20000,0),MATCH("Intent",'Semrush Data'!$A$1:$Z$1,0)),"")</f>
        <v/>
      </c>
    </row>
    <row r="1116" ht="15" customHeight="1" s="37">
      <c r="A1116" s="42" t="inlineStr">
        <is>
          <t>kenneth cole moonlight blue uk</t>
        </is>
      </c>
      <c r="B1116" s="42" t="inlineStr">
        <is>
          <t>Product + UK</t>
        </is>
      </c>
      <c r="C1116" s="42" t="n">
        <v>2</v>
      </c>
      <c r="D1116" s="42" t="n">
        <v>12</v>
      </c>
      <c r="E1116" s="42" t="n">
        <v>1</v>
      </c>
      <c r="F1116" s="42" t="inlineStr">
        <is>
          <t>FR-274</t>
        </is>
      </c>
      <c r="G1116" s="55">
        <f>IFERROR(INDEX('Semrush Data'!$A$1:$Z$20000,MATCH(A1116,'Semrush Data'!$A$1:$A$20000,0),MATCH("Volume",'Semrush Data'!$A$1:$Z$1,0)),"")</f>
        <v/>
      </c>
      <c r="H1116" s="42">
        <f>IFERROR(INDEX('Semrush Data'!$A$1:$Z$20000,MATCH(A1116,'Semrush Data'!$A$1:$A$20000,0),MATCH("Keyword Difficulty*",'Semrush Data'!$A$1:$Z$1,0)),"")</f>
        <v/>
      </c>
      <c r="I1116" s="56">
        <f>IFERROR(INDEX('Semrush Data'!$A$1:$Z$20000,MATCH(A1116,'Semrush Data'!$A$1:$A$20000,0),MATCH("CPC*",'Semrush Data'!$A$1:$Z$1,0)),"")</f>
        <v/>
      </c>
      <c r="J1116" s="42">
        <f>IFERROR(INDEX('Semrush Data'!$A$1:$Z$20000,MATCH(A1116,'Semrush Data'!$A$1:$A$20000,0),MATCH("Intent",'Semrush Data'!$A$1:$Z$1,0)),"")</f>
        <v/>
      </c>
    </row>
    <row r="1117" ht="15" customHeight="1" s="37">
      <c r="A1117" s="42" t="inlineStr">
        <is>
          <t>korloff cuir mythique uk</t>
        </is>
      </c>
      <c r="B1117" s="42" t="inlineStr">
        <is>
          <t>Product + UK</t>
        </is>
      </c>
      <c r="C1117" s="42" t="n">
        <v>2</v>
      </c>
      <c r="D1117" s="42" t="n">
        <v>12</v>
      </c>
      <c r="E1117" s="42" t="n">
        <v>1</v>
      </c>
      <c r="F1117" s="42" t="inlineStr">
        <is>
          <t>FR-275</t>
        </is>
      </c>
      <c r="G1117" s="55">
        <f>IFERROR(INDEX('Semrush Data'!$A$1:$Z$20000,MATCH(A1117,'Semrush Data'!$A$1:$A$20000,0),MATCH("Volume",'Semrush Data'!$A$1:$Z$1,0)),"")</f>
        <v/>
      </c>
      <c r="H1117" s="42">
        <f>IFERROR(INDEX('Semrush Data'!$A$1:$Z$20000,MATCH(A1117,'Semrush Data'!$A$1:$A$20000,0),MATCH("Keyword Difficulty*",'Semrush Data'!$A$1:$Z$1,0)),"")</f>
        <v/>
      </c>
      <c r="I1117" s="56">
        <f>IFERROR(INDEX('Semrush Data'!$A$1:$Z$20000,MATCH(A1117,'Semrush Data'!$A$1:$A$20000,0),MATCH("CPC*",'Semrush Data'!$A$1:$Z$1,0)),"")</f>
        <v/>
      </c>
      <c r="J1117" s="42">
        <f>IFERROR(INDEX('Semrush Data'!$A$1:$Z$20000,MATCH(A1117,'Semrush Data'!$A$1:$A$20000,0),MATCH("Intent",'Semrush Data'!$A$1:$Z$1,0)),"")</f>
        <v/>
      </c>
    </row>
    <row r="1118" ht="15" customHeight="1" s="37">
      <c r="A1118" s="42" t="inlineStr">
        <is>
          <t>korloff in love uk</t>
        </is>
      </c>
      <c r="B1118" s="42" t="inlineStr">
        <is>
          <t>Product + UK</t>
        </is>
      </c>
      <c r="C1118" s="42" t="n">
        <v>2</v>
      </c>
      <c r="D1118" s="42" t="n">
        <v>12</v>
      </c>
      <c r="E1118" s="42" t="n">
        <v>1</v>
      </c>
      <c r="F1118" s="42" t="inlineStr">
        <is>
          <t>FR-276</t>
        </is>
      </c>
      <c r="G1118" s="55">
        <f>IFERROR(INDEX('Semrush Data'!$A$1:$Z$20000,MATCH(A1118,'Semrush Data'!$A$1:$A$20000,0),MATCH("Volume",'Semrush Data'!$A$1:$Z$1,0)),"")</f>
        <v/>
      </c>
      <c r="H1118" s="42">
        <f>IFERROR(INDEX('Semrush Data'!$A$1:$Z$20000,MATCH(A1118,'Semrush Data'!$A$1:$A$20000,0),MATCH("Keyword Difficulty*",'Semrush Data'!$A$1:$Z$1,0)),"")</f>
        <v/>
      </c>
      <c r="I1118" s="56">
        <f>IFERROR(INDEX('Semrush Data'!$A$1:$Z$20000,MATCH(A1118,'Semrush Data'!$A$1:$A$20000,0),MATCH("CPC*",'Semrush Data'!$A$1:$Z$1,0)),"")</f>
        <v/>
      </c>
      <c r="J1118" s="42">
        <f>IFERROR(INDEX('Semrush Data'!$A$1:$Z$20000,MATCH(A1118,'Semrush Data'!$A$1:$A$20000,0),MATCH("Intent",'Semrush Data'!$A$1:$Z$1,0)),"")</f>
        <v/>
      </c>
    </row>
    <row r="1119" ht="15" customHeight="1" s="37">
      <c r="A1119" s="42" t="inlineStr">
        <is>
          <t>korloff in white uk</t>
        </is>
      </c>
      <c r="B1119" s="42" t="inlineStr">
        <is>
          <t>Product + UK</t>
        </is>
      </c>
      <c r="C1119" s="42" t="n">
        <v>2</v>
      </c>
      <c r="D1119" s="42" t="n">
        <v>12</v>
      </c>
      <c r="E1119" s="42" t="n">
        <v>1</v>
      </c>
      <c r="F1119" s="42" t="inlineStr">
        <is>
          <t>FR-339</t>
        </is>
      </c>
      <c r="G1119" s="55">
        <f>IFERROR(INDEX('Semrush Data'!$A$1:$Z$20000,MATCH(A1119,'Semrush Data'!$A$1:$A$20000,0),MATCH("Volume",'Semrush Data'!$A$1:$Z$1,0)),"")</f>
        <v/>
      </c>
      <c r="H1119" s="42">
        <f>IFERROR(INDEX('Semrush Data'!$A$1:$Z$20000,MATCH(A1119,'Semrush Data'!$A$1:$A$20000,0),MATCH("Keyword Difficulty*",'Semrush Data'!$A$1:$Z$1,0)),"")</f>
        <v/>
      </c>
      <c r="I1119" s="56">
        <f>IFERROR(INDEX('Semrush Data'!$A$1:$Z$20000,MATCH(A1119,'Semrush Data'!$A$1:$A$20000,0),MATCH("CPC*",'Semrush Data'!$A$1:$Z$1,0)),"")</f>
        <v/>
      </c>
      <c r="J1119" s="42">
        <f>IFERROR(INDEX('Semrush Data'!$A$1:$Z$20000,MATCH(A1119,'Semrush Data'!$A$1:$A$20000,0),MATCH("Intent",'Semrush Data'!$A$1:$Z$1,0)),"")</f>
        <v/>
      </c>
    </row>
    <row r="1120" ht="15" customHeight="1" s="37">
      <c r="A1120" s="42" t="inlineStr">
        <is>
          <t>korloff lady intense uk</t>
        </is>
      </c>
      <c r="B1120" s="42" t="inlineStr">
        <is>
          <t>Product + UK</t>
        </is>
      </c>
      <c r="C1120" s="42" t="n">
        <v>2</v>
      </c>
      <c r="D1120" s="42" t="n">
        <v>12</v>
      </c>
      <c r="E1120" s="42" t="n">
        <v>1</v>
      </c>
      <c r="F1120" s="42" t="inlineStr">
        <is>
          <t>FR-277</t>
        </is>
      </c>
      <c r="G1120" s="55">
        <f>IFERROR(INDEX('Semrush Data'!$A$1:$Z$20000,MATCH(A1120,'Semrush Data'!$A$1:$A$20000,0),MATCH("Volume",'Semrush Data'!$A$1:$Z$1,0)),"")</f>
        <v/>
      </c>
      <c r="H1120" s="42">
        <f>IFERROR(INDEX('Semrush Data'!$A$1:$Z$20000,MATCH(A1120,'Semrush Data'!$A$1:$A$20000,0),MATCH("Keyword Difficulty*",'Semrush Data'!$A$1:$Z$1,0)),"")</f>
        <v/>
      </c>
      <c r="I1120" s="56">
        <f>IFERROR(INDEX('Semrush Data'!$A$1:$Z$20000,MATCH(A1120,'Semrush Data'!$A$1:$A$20000,0),MATCH("CPC*",'Semrush Data'!$A$1:$Z$1,0)),"")</f>
        <v/>
      </c>
      <c r="J1120" s="42">
        <f>IFERROR(INDEX('Semrush Data'!$A$1:$Z$20000,MATCH(A1120,'Semrush Data'!$A$1:$A$20000,0),MATCH("Intent",'Semrush Data'!$A$1:$Z$1,0)),"")</f>
        <v/>
      </c>
    </row>
    <row r="1121" ht="15" customHeight="1" s="37">
      <c r="A1121" s="42" t="inlineStr">
        <is>
          <t>korloff miss korloff uk</t>
        </is>
      </c>
      <c r="B1121" s="42" t="inlineStr">
        <is>
          <t>Product + UK</t>
        </is>
      </c>
      <c r="C1121" s="42" t="n">
        <v>2</v>
      </c>
      <c r="D1121" s="42" t="n">
        <v>12</v>
      </c>
      <c r="E1121" s="42" t="n">
        <v>1</v>
      </c>
      <c r="F1121" s="42" t="inlineStr">
        <is>
          <t>FR-280</t>
        </is>
      </c>
      <c r="G1121" s="55">
        <f>IFERROR(INDEX('Semrush Data'!$A$1:$Z$20000,MATCH(A1121,'Semrush Data'!$A$1:$A$20000,0),MATCH("Volume",'Semrush Data'!$A$1:$Z$1,0)),"")</f>
        <v/>
      </c>
      <c r="H1121" s="42">
        <f>IFERROR(INDEX('Semrush Data'!$A$1:$Z$20000,MATCH(A1121,'Semrush Data'!$A$1:$A$20000,0),MATCH("Keyword Difficulty*",'Semrush Data'!$A$1:$Z$1,0)),"")</f>
        <v/>
      </c>
      <c r="I1121" s="56">
        <f>IFERROR(INDEX('Semrush Data'!$A$1:$Z$20000,MATCH(A1121,'Semrush Data'!$A$1:$A$20000,0),MATCH("CPC*",'Semrush Data'!$A$1:$Z$1,0)),"")</f>
        <v/>
      </c>
      <c r="J1121" s="42">
        <f>IFERROR(INDEX('Semrush Data'!$A$1:$Z$20000,MATCH(A1121,'Semrush Data'!$A$1:$A$20000,0),MATCH("Intent",'Semrush Data'!$A$1:$Z$1,0)),"")</f>
        <v/>
      </c>
    </row>
    <row r="1122" ht="15" customHeight="1" s="37">
      <c r="A1122" s="42" t="inlineStr">
        <is>
          <t>korloff paris discovery set uk</t>
        </is>
      </c>
      <c r="B1122" s="42" t="inlineStr">
        <is>
          <t>Product + UK</t>
        </is>
      </c>
      <c r="C1122" s="42" t="n">
        <v>2</v>
      </c>
      <c r="D1122" s="42" t="n">
        <v>12</v>
      </c>
      <c r="E1122" s="42" t="n">
        <v>1</v>
      </c>
      <c r="F1122" s="42" t="inlineStr">
        <is>
          <t>FR-282</t>
        </is>
      </c>
      <c r="G1122" s="55">
        <f>IFERROR(INDEX('Semrush Data'!$A$1:$Z$20000,MATCH(A1122,'Semrush Data'!$A$1:$A$20000,0),MATCH("Volume",'Semrush Data'!$A$1:$Z$1,0)),"")</f>
        <v/>
      </c>
      <c r="H1122" s="42">
        <f>IFERROR(INDEX('Semrush Data'!$A$1:$Z$20000,MATCH(A1122,'Semrush Data'!$A$1:$A$20000,0),MATCH("Keyword Difficulty*",'Semrush Data'!$A$1:$Z$1,0)),"")</f>
        <v/>
      </c>
      <c r="I1122" s="56">
        <f>IFERROR(INDEX('Semrush Data'!$A$1:$Z$20000,MATCH(A1122,'Semrush Data'!$A$1:$A$20000,0),MATCH("CPC*",'Semrush Data'!$A$1:$Z$1,0)),"")</f>
        <v/>
      </c>
      <c r="J1122" s="42">
        <f>IFERROR(INDEX('Semrush Data'!$A$1:$Z$20000,MATCH(A1122,'Semrush Data'!$A$1:$A$20000,0),MATCH("Intent",'Semrush Data'!$A$1:$Z$1,0)),"")</f>
        <v/>
      </c>
    </row>
    <row r="1123" ht="15" customHeight="1" s="37">
      <c r="A1123" s="42" t="inlineStr">
        <is>
          <t>korloff royal oud korloff paris uk</t>
        </is>
      </c>
      <c r="B1123" s="42" t="inlineStr">
        <is>
          <t>Product + UK</t>
        </is>
      </c>
      <c r="C1123" s="42" t="n">
        <v>2</v>
      </c>
      <c r="D1123" s="42" t="n">
        <v>12</v>
      </c>
      <c r="E1123" s="42" t="n">
        <v>1</v>
      </c>
      <c r="F1123" s="42" t="inlineStr">
        <is>
          <t>FR-281</t>
        </is>
      </c>
      <c r="G1123" s="55">
        <f>IFERROR(INDEX('Semrush Data'!$A$1:$Z$20000,MATCH(A1123,'Semrush Data'!$A$1:$A$20000,0),MATCH("Volume",'Semrush Data'!$A$1:$Z$1,0)),"")</f>
        <v/>
      </c>
      <c r="H1123" s="42">
        <f>IFERROR(INDEX('Semrush Data'!$A$1:$Z$20000,MATCH(A1123,'Semrush Data'!$A$1:$A$20000,0),MATCH("Keyword Difficulty*",'Semrush Data'!$A$1:$Z$1,0)),"")</f>
        <v/>
      </c>
      <c r="I1123" s="56">
        <f>IFERROR(INDEX('Semrush Data'!$A$1:$Z$20000,MATCH(A1123,'Semrush Data'!$A$1:$A$20000,0),MATCH("CPC*",'Semrush Data'!$A$1:$Z$1,0)),"")</f>
        <v/>
      </c>
      <c r="J1123" s="42">
        <f>IFERROR(INDEX('Semrush Data'!$A$1:$Z$20000,MATCH(A1123,'Semrush Data'!$A$1:$A$20000,0),MATCH("Intent",'Semrush Data'!$A$1:$Z$1,0)),"")</f>
        <v/>
      </c>
    </row>
    <row r="1124" ht="15" customHeight="1" s="37">
      <c r="A1124" s="42" t="inlineStr">
        <is>
          <t>korloff royal rose uk</t>
        </is>
      </c>
      <c r="B1124" s="42" t="inlineStr">
        <is>
          <t>Product + UK</t>
        </is>
      </c>
      <c r="C1124" s="42" t="n">
        <v>2</v>
      </c>
      <c r="D1124" s="42" t="n">
        <v>12</v>
      </c>
      <c r="E1124" s="42" t="n">
        <v>1</v>
      </c>
      <c r="F1124" s="42" t="inlineStr">
        <is>
          <t>FR-278</t>
        </is>
      </c>
      <c r="G1124" s="55">
        <f>IFERROR(INDEX('Semrush Data'!$A$1:$Z$20000,MATCH(A1124,'Semrush Data'!$A$1:$A$20000,0),MATCH("Volume",'Semrush Data'!$A$1:$Z$1,0)),"")</f>
        <v/>
      </c>
      <c r="H1124" s="42">
        <f>IFERROR(INDEX('Semrush Data'!$A$1:$Z$20000,MATCH(A1124,'Semrush Data'!$A$1:$A$20000,0),MATCH("Keyword Difficulty*",'Semrush Data'!$A$1:$Z$1,0)),"")</f>
        <v/>
      </c>
      <c r="I1124" s="56">
        <f>IFERROR(INDEX('Semrush Data'!$A$1:$Z$20000,MATCH(A1124,'Semrush Data'!$A$1:$A$20000,0),MATCH("CPC*",'Semrush Data'!$A$1:$Z$1,0)),"")</f>
        <v/>
      </c>
      <c r="J1124" s="42">
        <f>IFERROR(INDEX('Semrush Data'!$A$1:$Z$20000,MATCH(A1124,'Semrush Data'!$A$1:$A$20000,0),MATCH("Intent",'Semrush Data'!$A$1:$Z$1,0)),"")</f>
        <v/>
      </c>
    </row>
    <row r="1125" ht="15" customHeight="1" s="37">
      <c r="A1125" s="42" t="inlineStr">
        <is>
          <t>korloff un soir a paris uk</t>
        </is>
      </c>
      <c r="B1125" s="42" t="inlineStr">
        <is>
          <t>Product + UK</t>
        </is>
      </c>
      <c r="C1125" s="42" t="n">
        <v>2</v>
      </c>
      <c r="D1125" s="42" t="n">
        <v>12</v>
      </c>
      <c r="E1125" s="42" t="n">
        <v>1</v>
      </c>
      <c r="F1125" s="42" t="inlineStr">
        <is>
          <t>FR-279</t>
        </is>
      </c>
      <c r="G1125" s="55">
        <f>IFERROR(INDEX('Semrush Data'!$A$1:$Z$20000,MATCH(A1125,'Semrush Data'!$A$1:$A$20000,0),MATCH("Volume",'Semrush Data'!$A$1:$Z$1,0)),"")</f>
        <v/>
      </c>
      <c r="H1125" s="42">
        <f>IFERROR(INDEX('Semrush Data'!$A$1:$Z$20000,MATCH(A1125,'Semrush Data'!$A$1:$A$20000,0),MATCH("Keyword Difficulty*",'Semrush Data'!$A$1:$Z$1,0)),"")</f>
        <v/>
      </c>
      <c r="I1125" s="56">
        <f>IFERROR(INDEX('Semrush Data'!$A$1:$Z$20000,MATCH(A1125,'Semrush Data'!$A$1:$A$20000,0),MATCH("CPC*",'Semrush Data'!$A$1:$Z$1,0)),"")</f>
        <v/>
      </c>
      <c r="J1125" s="42">
        <f>IFERROR(INDEX('Semrush Data'!$A$1:$Z$20000,MATCH(A1125,'Semrush Data'!$A$1:$A$20000,0),MATCH("Intent",'Semrush Data'!$A$1:$Z$1,0)),"")</f>
        <v/>
      </c>
    </row>
    <row r="1126" ht="15" customHeight="1" s="37">
      <c r="A1126" s="42" t="inlineStr">
        <is>
          <t>la maison de la vanille absolu de vanille uk</t>
        </is>
      </c>
      <c r="B1126" s="42" t="inlineStr">
        <is>
          <t>Product + UK</t>
        </is>
      </c>
      <c r="C1126" s="42" t="n">
        <v>2</v>
      </c>
      <c r="D1126" s="42" t="n">
        <v>12</v>
      </c>
      <c r="E1126" s="42" t="n">
        <v>1</v>
      </c>
      <c r="F1126" s="42" t="inlineStr">
        <is>
          <t>FR-283</t>
        </is>
      </c>
      <c r="G1126" s="55">
        <f>IFERROR(INDEX('Semrush Data'!$A$1:$Z$20000,MATCH(A1126,'Semrush Data'!$A$1:$A$20000,0),MATCH("Volume",'Semrush Data'!$A$1:$Z$1,0)),"")</f>
        <v/>
      </c>
      <c r="H1126" s="42">
        <f>IFERROR(INDEX('Semrush Data'!$A$1:$Z$20000,MATCH(A1126,'Semrush Data'!$A$1:$A$20000,0),MATCH("Keyword Difficulty*",'Semrush Data'!$A$1:$Z$1,0)),"")</f>
        <v/>
      </c>
      <c r="I1126" s="56">
        <f>IFERROR(INDEX('Semrush Data'!$A$1:$Z$20000,MATCH(A1126,'Semrush Data'!$A$1:$A$20000,0),MATCH("CPC*",'Semrush Data'!$A$1:$Z$1,0)),"")</f>
        <v/>
      </c>
      <c r="J1126" s="42">
        <f>IFERROR(INDEX('Semrush Data'!$A$1:$Z$20000,MATCH(A1126,'Semrush Data'!$A$1:$A$20000,0),MATCH("Intent",'Semrush Data'!$A$1:$Z$1,0)),"")</f>
        <v/>
      </c>
    </row>
    <row r="1127" ht="15" customHeight="1" s="37">
      <c r="A1127" s="42" t="inlineStr">
        <is>
          <t>la maison de la vanille ambre secret uk</t>
        </is>
      </c>
      <c r="B1127" s="42" t="inlineStr">
        <is>
          <t>Product + UK</t>
        </is>
      </c>
      <c r="C1127" s="42" t="n">
        <v>2</v>
      </c>
      <c r="D1127" s="42" t="n">
        <v>12</v>
      </c>
      <c r="E1127" s="42" t="n">
        <v>1</v>
      </c>
      <c r="F1127" s="42" t="inlineStr">
        <is>
          <t>FR-284</t>
        </is>
      </c>
      <c r="G1127" s="55">
        <f>IFERROR(INDEX('Semrush Data'!$A$1:$Z$20000,MATCH(A1127,'Semrush Data'!$A$1:$A$20000,0),MATCH("Volume",'Semrush Data'!$A$1:$Z$1,0)),"")</f>
        <v/>
      </c>
      <c r="H1127" s="42">
        <f>IFERROR(INDEX('Semrush Data'!$A$1:$Z$20000,MATCH(A1127,'Semrush Data'!$A$1:$A$20000,0),MATCH("Keyword Difficulty*",'Semrush Data'!$A$1:$Z$1,0)),"")</f>
        <v/>
      </c>
      <c r="I1127" s="56">
        <f>IFERROR(INDEX('Semrush Data'!$A$1:$Z$20000,MATCH(A1127,'Semrush Data'!$A$1:$A$20000,0),MATCH("CPC*",'Semrush Data'!$A$1:$Z$1,0)),"")</f>
        <v/>
      </c>
      <c r="J1127" s="42">
        <f>IFERROR(INDEX('Semrush Data'!$A$1:$Z$20000,MATCH(A1127,'Semrush Data'!$A$1:$A$20000,0),MATCH("Intent",'Semrush Data'!$A$1:$Z$1,0)),"")</f>
        <v/>
      </c>
    </row>
    <row r="1128" ht="15" customHeight="1" s="37">
      <c r="A1128" s="42" t="inlineStr">
        <is>
          <t>la maison de la vanille royal oud uk</t>
        </is>
      </c>
      <c r="B1128" s="42" t="inlineStr">
        <is>
          <t>Product + UK</t>
        </is>
      </c>
      <c r="C1128" s="42" t="n">
        <v>2</v>
      </c>
      <c r="D1128" s="42" t="n">
        <v>12</v>
      </c>
      <c r="E1128" s="42" t="n">
        <v>1</v>
      </c>
      <c r="F1128" s="42" t="inlineStr">
        <is>
          <t>FR-285</t>
        </is>
      </c>
      <c r="G1128" s="55">
        <f>IFERROR(INDEX('Semrush Data'!$A$1:$Z$20000,MATCH(A1128,'Semrush Data'!$A$1:$A$20000,0),MATCH("Volume",'Semrush Data'!$A$1:$Z$1,0)),"")</f>
        <v/>
      </c>
      <c r="H1128" s="42">
        <f>IFERROR(INDEX('Semrush Data'!$A$1:$Z$20000,MATCH(A1128,'Semrush Data'!$A$1:$A$20000,0),MATCH("Keyword Difficulty*",'Semrush Data'!$A$1:$Z$1,0)),"")</f>
        <v/>
      </c>
      <c r="I1128" s="56">
        <f>IFERROR(INDEX('Semrush Data'!$A$1:$Z$20000,MATCH(A1128,'Semrush Data'!$A$1:$A$20000,0),MATCH("CPC*",'Semrush Data'!$A$1:$Z$1,0)),"")</f>
        <v/>
      </c>
      <c r="J1128" s="42">
        <f>IFERROR(INDEX('Semrush Data'!$A$1:$Z$20000,MATCH(A1128,'Semrush Data'!$A$1:$A$20000,0),MATCH("Intent",'Semrush Data'!$A$1:$Z$1,0)),"")</f>
        <v/>
      </c>
    </row>
    <row r="1129" ht="15" customHeight="1" s="37">
      <c r="A1129" s="42" t="inlineStr">
        <is>
          <t>la maison de la wooden coffret uk</t>
        </is>
      </c>
      <c r="B1129" s="42" t="inlineStr">
        <is>
          <t>Product + UK</t>
        </is>
      </c>
      <c r="C1129" s="42" t="n">
        <v>2</v>
      </c>
      <c r="D1129" s="42" t="n">
        <v>12</v>
      </c>
      <c r="E1129" s="42" t="n">
        <v>1</v>
      </c>
      <c r="F1129" s="42" t="inlineStr">
        <is>
          <t>FR-286</t>
        </is>
      </c>
      <c r="G1129" s="55">
        <f>IFERROR(INDEX('Semrush Data'!$A$1:$Z$20000,MATCH(A1129,'Semrush Data'!$A$1:$A$20000,0),MATCH("Volume",'Semrush Data'!$A$1:$Z$1,0)),"")</f>
        <v/>
      </c>
      <c r="H1129" s="42">
        <f>IFERROR(INDEX('Semrush Data'!$A$1:$Z$20000,MATCH(A1129,'Semrush Data'!$A$1:$A$20000,0),MATCH("Keyword Difficulty*",'Semrush Data'!$A$1:$Z$1,0)),"")</f>
        <v/>
      </c>
      <c r="I1129" s="56">
        <f>IFERROR(INDEX('Semrush Data'!$A$1:$Z$20000,MATCH(A1129,'Semrush Data'!$A$1:$A$20000,0),MATCH("CPC*",'Semrush Data'!$A$1:$Z$1,0)),"")</f>
        <v/>
      </c>
      <c r="J1129" s="42">
        <f>IFERROR(INDEX('Semrush Data'!$A$1:$Z$20000,MATCH(A1129,'Semrush Data'!$A$1:$A$20000,0),MATCH("Intent",'Semrush Data'!$A$1:$Z$1,0)),"")</f>
        <v/>
      </c>
    </row>
    <row r="1130" ht="15" customHeight="1" s="37">
      <c r="A1130" s="42" t="inlineStr">
        <is>
          <t>lancome idole nectar uk</t>
        </is>
      </c>
      <c r="B1130" s="42" t="inlineStr">
        <is>
          <t>Product + UK</t>
        </is>
      </c>
      <c r="C1130" s="42" t="n">
        <v>2</v>
      </c>
      <c r="D1130" s="42" t="inlineStr">
        <is>
          <t>T2-1</t>
        </is>
      </c>
      <c r="E1130" s="42" t="n">
        <v>1</v>
      </c>
      <c r="F1130" s="42" t="inlineStr">
        <is>
          <t>FR-287</t>
        </is>
      </c>
      <c r="G1130" s="55">
        <f>IFERROR(INDEX('Semrush Data'!$A$1:$Z$20000,MATCH(A1130,'Semrush Data'!$A$1:$A$20000,0),MATCH("Volume",'Semrush Data'!$A$1:$Z$1,0)),"")</f>
        <v/>
      </c>
      <c r="H1130" s="42">
        <f>IFERROR(INDEX('Semrush Data'!$A$1:$Z$20000,MATCH(A1130,'Semrush Data'!$A$1:$A$20000,0),MATCH("Keyword Difficulty*",'Semrush Data'!$A$1:$Z$1,0)),"")</f>
        <v/>
      </c>
      <c r="I1130" s="56">
        <f>IFERROR(INDEX('Semrush Data'!$A$1:$Z$20000,MATCH(A1130,'Semrush Data'!$A$1:$A$20000,0),MATCH("CPC*",'Semrush Data'!$A$1:$Z$1,0)),"")</f>
        <v/>
      </c>
      <c r="J1130" s="42">
        <f>IFERROR(INDEX('Semrush Data'!$A$1:$Z$20000,MATCH(A1130,'Semrush Data'!$A$1:$A$20000,0),MATCH("Intent",'Semrush Data'!$A$1:$Z$1,0)),"")</f>
        <v/>
      </c>
    </row>
    <row r="1131" ht="15" customHeight="1" s="37">
      <c r="A1131" s="42" t="inlineStr">
        <is>
          <t>lancome idole now florale uk</t>
        </is>
      </c>
      <c r="B1131" s="42" t="inlineStr">
        <is>
          <t>Product + UK</t>
        </is>
      </c>
      <c r="C1131" s="42" t="n">
        <v>2</v>
      </c>
      <c r="D1131" s="42" t="n">
        <v>12</v>
      </c>
      <c r="E1131" s="42" t="n">
        <v>1</v>
      </c>
      <c r="F1131" s="42" t="inlineStr">
        <is>
          <t>FR-288</t>
        </is>
      </c>
      <c r="G1131" s="55">
        <f>IFERROR(INDEX('Semrush Data'!$A$1:$Z$20000,MATCH(A1131,'Semrush Data'!$A$1:$A$20000,0),MATCH("Volume",'Semrush Data'!$A$1:$Z$1,0)),"")</f>
        <v/>
      </c>
      <c r="H1131" s="42">
        <f>IFERROR(INDEX('Semrush Data'!$A$1:$Z$20000,MATCH(A1131,'Semrush Data'!$A$1:$A$20000,0),MATCH("Keyword Difficulty*",'Semrush Data'!$A$1:$Z$1,0)),"")</f>
        <v/>
      </c>
      <c r="I1131" s="56">
        <f>IFERROR(INDEX('Semrush Data'!$A$1:$Z$20000,MATCH(A1131,'Semrush Data'!$A$1:$A$20000,0),MATCH("CPC*",'Semrush Data'!$A$1:$Z$1,0)),"")</f>
        <v/>
      </c>
      <c r="J1131" s="42">
        <f>IFERROR(INDEX('Semrush Data'!$A$1:$Z$20000,MATCH(A1131,'Semrush Data'!$A$1:$A$20000,0),MATCH("Intent",'Semrush Data'!$A$1:$Z$1,0)),"")</f>
        <v/>
      </c>
    </row>
    <row r="1132" ht="15" customHeight="1" s="37">
      <c r="A1132" s="42" t="inlineStr">
        <is>
          <t>maison de milan amalfi bleu uk</t>
        </is>
      </c>
      <c r="B1132" s="42" t="inlineStr">
        <is>
          <t>Product + UK</t>
        </is>
      </c>
      <c r="C1132" s="42" t="n">
        <v>2</v>
      </c>
      <c r="D1132" s="42" t="n">
        <v>12</v>
      </c>
      <c r="E1132" s="42" t="n">
        <v>1</v>
      </c>
      <c r="F1132" s="42" t="inlineStr">
        <is>
          <t>FR-196</t>
        </is>
      </c>
      <c r="G1132" s="55">
        <f>IFERROR(INDEX('Semrush Data'!$A$1:$Z$20000,MATCH(A1132,'Semrush Data'!$A$1:$A$20000,0),MATCH("Volume",'Semrush Data'!$A$1:$Z$1,0)),"")</f>
        <v/>
      </c>
      <c r="H1132" s="42">
        <f>IFERROR(INDEX('Semrush Data'!$A$1:$Z$20000,MATCH(A1132,'Semrush Data'!$A$1:$A$20000,0),MATCH("Keyword Difficulty*",'Semrush Data'!$A$1:$Z$1,0)),"")</f>
        <v/>
      </c>
      <c r="I1132" s="56">
        <f>IFERROR(INDEX('Semrush Data'!$A$1:$Z$20000,MATCH(A1132,'Semrush Data'!$A$1:$A$20000,0),MATCH("CPC*",'Semrush Data'!$A$1:$Z$1,0)),"")</f>
        <v/>
      </c>
      <c r="J1132" s="42">
        <f>IFERROR(INDEX('Semrush Data'!$A$1:$Z$20000,MATCH(A1132,'Semrush Data'!$A$1:$A$20000,0),MATCH("Intent",'Semrush Data'!$A$1:$Z$1,0)),"")</f>
        <v/>
      </c>
    </row>
    <row r="1133" ht="15" customHeight="1" s="37">
      <c r="A1133" s="42" t="inlineStr">
        <is>
          <t>maison de milan bliss rouge uk</t>
        </is>
      </c>
      <c r="B1133" s="42" t="inlineStr">
        <is>
          <t>Product + UK</t>
        </is>
      </c>
      <c r="C1133" s="42" t="n">
        <v>2</v>
      </c>
      <c r="D1133" s="42" t="n">
        <v>12</v>
      </c>
      <c r="E1133" s="42" t="n">
        <v>1</v>
      </c>
      <c r="F1133" s="42" t="inlineStr">
        <is>
          <t>FR-197</t>
        </is>
      </c>
      <c r="G1133" s="55">
        <f>IFERROR(INDEX('Semrush Data'!$A$1:$Z$20000,MATCH(A1133,'Semrush Data'!$A$1:$A$20000,0),MATCH("Volume",'Semrush Data'!$A$1:$Z$1,0)),"")</f>
        <v/>
      </c>
      <c r="H1133" s="42">
        <f>IFERROR(INDEX('Semrush Data'!$A$1:$Z$20000,MATCH(A1133,'Semrush Data'!$A$1:$A$20000,0),MATCH("Keyword Difficulty*",'Semrush Data'!$A$1:$Z$1,0)),"")</f>
        <v/>
      </c>
      <c r="I1133" s="56">
        <f>IFERROR(INDEX('Semrush Data'!$A$1:$Z$20000,MATCH(A1133,'Semrush Data'!$A$1:$A$20000,0),MATCH("CPC*",'Semrush Data'!$A$1:$Z$1,0)),"")</f>
        <v/>
      </c>
      <c r="J1133" s="42">
        <f>IFERROR(INDEX('Semrush Data'!$A$1:$Z$20000,MATCH(A1133,'Semrush Data'!$A$1:$A$20000,0),MATCH("Intent",'Semrush Data'!$A$1:$Z$1,0)),"")</f>
        <v/>
      </c>
    </row>
    <row r="1134" ht="15" customHeight="1" s="37">
      <c r="A1134" s="42" t="inlineStr">
        <is>
          <t>maison de milan brave lad uk</t>
        </is>
      </c>
      <c r="B1134" s="42" t="inlineStr">
        <is>
          <t>Product + UK</t>
        </is>
      </c>
      <c r="C1134" s="42" t="n">
        <v>2</v>
      </c>
      <c r="D1134" s="42" t="n">
        <v>12</v>
      </c>
      <c r="E1134" s="42" t="n">
        <v>1</v>
      </c>
      <c r="F1134" s="42" t="inlineStr">
        <is>
          <t>FR-198</t>
        </is>
      </c>
      <c r="G1134" s="55">
        <f>IFERROR(INDEX('Semrush Data'!$A$1:$Z$20000,MATCH(A1134,'Semrush Data'!$A$1:$A$20000,0),MATCH("Volume",'Semrush Data'!$A$1:$Z$1,0)),"")</f>
        <v/>
      </c>
      <c r="H1134" s="42">
        <f>IFERROR(INDEX('Semrush Data'!$A$1:$Z$20000,MATCH(A1134,'Semrush Data'!$A$1:$A$20000,0),MATCH("Keyword Difficulty*",'Semrush Data'!$A$1:$Z$1,0)),"")</f>
        <v/>
      </c>
      <c r="I1134" s="56">
        <f>IFERROR(INDEX('Semrush Data'!$A$1:$Z$20000,MATCH(A1134,'Semrush Data'!$A$1:$A$20000,0),MATCH("CPC*",'Semrush Data'!$A$1:$Z$1,0)),"")</f>
        <v/>
      </c>
      <c r="J1134" s="42">
        <f>IFERROR(INDEX('Semrush Data'!$A$1:$Z$20000,MATCH(A1134,'Semrush Data'!$A$1:$A$20000,0),MATCH("Intent",'Semrush Data'!$A$1:$Z$1,0)),"")</f>
        <v/>
      </c>
    </row>
    <row r="1135" ht="15" customHeight="1" s="37">
      <c r="A1135" s="42" t="inlineStr">
        <is>
          <t>maison de milan delight pour femme uk</t>
        </is>
      </c>
      <c r="B1135" s="42" t="inlineStr">
        <is>
          <t>Product + UK</t>
        </is>
      </c>
      <c r="C1135" s="42" t="n">
        <v>2</v>
      </c>
      <c r="D1135" s="42" t="n">
        <v>12</v>
      </c>
      <c r="E1135" s="42" t="n">
        <v>1</v>
      </c>
      <c r="F1135" s="42" t="inlineStr">
        <is>
          <t>FR-199</t>
        </is>
      </c>
      <c r="G1135" s="55">
        <f>IFERROR(INDEX('Semrush Data'!$A$1:$Z$20000,MATCH(A1135,'Semrush Data'!$A$1:$A$20000,0),MATCH("Volume",'Semrush Data'!$A$1:$Z$1,0)),"")</f>
        <v/>
      </c>
      <c r="H1135" s="42">
        <f>IFERROR(INDEX('Semrush Data'!$A$1:$Z$20000,MATCH(A1135,'Semrush Data'!$A$1:$A$20000,0),MATCH("Keyword Difficulty*",'Semrush Data'!$A$1:$Z$1,0)),"")</f>
        <v/>
      </c>
      <c r="I1135" s="56">
        <f>IFERROR(INDEX('Semrush Data'!$A$1:$Z$20000,MATCH(A1135,'Semrush Data'!$A$1:$A$20000,0),MATCH("CPC*",'Semrush Data'!$A$1:$Z$1,0)),"")</f>
        <v/>
      </c>
      <c r="J1135" s="42">
        <f>IFERROR(INDEX('Semrush Data'!$A$1:$Z$20000,MATCH(A1135,'Semrush Data'!$A$1:$A$20000,0),MATCH("Intent",'Semrush Data'!$A$1:$Z$1,0)),"")</f>
        <v/>
      </c>
    </row>
    <row r="1136" ht="15" customHeight="1" s="37">
      <c r="A1136" s="42" t="inlineStr">
        <is>
          <t>maison de milan elegance pour femme uk</t>
        </is>
      </c>
      <c r="B1136" s="42" t="inlineStr">
        <is>
          <t>Product + UK</t>
        </is>
      </c>
      <c r="C1136" s="42" t="n">
        <v>2</v>
      </c>
      <c r="D1136" s="42" t="n">
        <v>12</v>
      </c>
      <c r="E1136" s="42" t="n">
        <v>1</v>
      </c>
      <c r="F1136" s="42" t="inlineStr">
        <is>
          <t>FR-200</t>
        </is>
      </c>
      <c r="G1136" s="55">
        <f>IFERROR(INDEX('Semrush Data'!$A$1:$Z$20000,MATCH(A1136,'Semrush Data'!$A$1:$A$20000,0),MATCH("Volume",'Semrush Data'!$A$1:$Z$1,0)),"")</f>
        <v/>
      </c>
      <c r="H1136" s="42">
        <f>IFERROR(INDEX('Semrush Data'!$A$1:$Z$20000,MATCH(A1136,'Semrush Data'!$A$1:$A$20000,0),MATCH("Keyword Difficulty*",'Semrush Data'!$A$1:$Z$1,0)),"")</f>
        <v/>
      </c>
      <c r="I1136" s="56">
        <f>IFERROR(INDEX('Semrush Data'!$A$1:$Z$20000,MATCH(A1136,'Semrush Data'!$A$1:$A$20000,0),MATCH("CPC*",'Semrush Data'!$A$1:$Z$1,0)),"")</f>
        <v/>
      </c>
      <c r="J1136" s="42">
        <f>IFERROR(INDEX('Semrush Data'!$A$1:$Z$20000,MATCH(A1136,'Semrush Data'!$A$1:$A$20000,0),MATCH("Intent",'Semrush Data'!$A$1:$Z$1,0)),"")</f>
        <v/>
      </c>
    </row>
    <row r="1137" ht="15" customHeight="1" s="37">
      <c r="A1137" s="42" t="inlineStr">
        <is>
          <t>maison de milan gossip pour femme uk</t>
        </is>
      </c>
      <c r="B1137" s="42" t="inlineStr">
        <is>
          <t>Product + UK</t>
        </is>
      </c>
      <c r="C1137" s="42" t="n">
        <v>2</v>
      </c>
      <c r="D1137" s="42" t="n">
        <v>12</v>
      </c>
      <c r="E1137" s="42" t="n">
        <v>1</v>
      </c>
      <c r="F1137" s="42" t="inlineStr">
        <is>
          <t>FR-201</t>
        </is>
      </c>
      <c r="G1137" s="55">
        <f>IFERROR(INDEX('Semrush Data'!$A$1:$Z$20000,MATCH(A1137,'Semrush Data'!$A$1:$A$20000,0),MATCH("Volume",'Semrush Data'!$A$1:$Z$1,0)),"")</f>
        <v/>
      </c>
      <c r="H1137" s="42">
        <f>IFERROR(INDEX('Semrush Data'!$A$1:$Z$20000,MATCH(A1137,'Semrush Data'!$A$1:$A$20000,0),MATCH("Keyword Difficulty*",'Semrush Data'!$A$1:$Z$1,0)),"")</f>
        <v/>
      </c>
      <c r="I1137" s="56">
        <f>IFERROR(INDEX('Semrush Data'!$A$1:$Z$20000,MATCH(A1137,'Semrush Data'!$A$1:$A$20000,0),MATCH("CPC*",'Semrush Data'!$A$1:$Z$1,0)),"")</f>
        <v/>
      </c>
      <c r="J1137" s="42">
        <f>IFERROR(INDEX('Semrush Data'!$A$1:$Z$20000,MATCH(A1137,'Semrush Data'!$A$1:$A$20000,0),MATCH("Intent",'Semrush Data'!$A$1:$Z$1,0)),"")</f>
        <v/>
      </c>
    </row>
    <row r="1138" ht="15" customHeight="1" s="37">
      <c r="A1138" s="42" t="inlineStr">
        <is>
          <t>maison de milan invincible uk</t>
        </is>
      </c>
      <c r="B1138" s="42" t="inlineStr">
        <is>
          <t>Product + UK</t>
        </is>
      </c>
      <c r="C1138" s="42" t="n">
        <v>2</v>
      </c>
      <c r="D1138" s="42" t="n">
        <v>12</v>
      </c>
      <c r="E1138" s="42" t="n">
        <v>1</v>
      </c>
      <c r="F1138" s="42" t="inlineStr">
        <is>
          <t>FR-202</t>
        </is>
      </c>
      <c r="G1138" s="55">
        <f>IFERROR(INDEX('Semrush Data'!$A$1:$Z$20000,MATCH(A1138,'Semrush Data'!$A$1:$A$20000,0),MATCH("Volume",'Semrush Data'!$A$1:$Z$1,0)),"")</f>
        <v/>
      </c>
      <c r="H1138" s="42">
        <f>IFERROR(INDEX('Semrush Data'!$A$1:$Z$20000,MATCH(A1138,'Semrush Data'!$A$1:$A$20000,0),MATCH("Keyword Difficulty*",'Semrush Data'!$A$1:$Z$1,0)),"")</f>
        <v/>
      </c>
      <c r="I1138" s="56">
        <f>IFERROR(INDEX('Semrush Data'!$A$1:$Z$20000,MATCH(A1138,'Semrush Data'!$A$1:$A$20000,0),MATCH("CPC*",'Semrush Data'!$A$1:$Z$1,0)),"")</f>
        <v/>
      </c>
      <c r="J1138" s="42">
        <f>IFERROR(INDEX('Semrush Data'!$A$1:$Z$20000,MATCH(A1138,'Semrush Data'!$A$1:$A$20000,0),MATCH("Intent",'Semrush Data'!$A$1:$Z$1,0)),"")</f>
        <v/>
      </c>
    </row>
    <row r="1139" ht="15" customHeight="1" s="37">
      <c r="A1139" s="42" t="inlineStr">
        <is>
          <t>maison de milan l'homme suave uk</t>
        </is>
      </c>
      <c r="B1139" s="42" t="inlineStr">
        <is>
          <t>Product + UK</t>
        </is>
      </c>
      <c r="C1139" s="42" t="n">
        <v>2</v>
      </c>
      <c r="D1139" s="42" t="n">
        <v>12</v>
      </c>
      <c r="E1139" s="42" t="n">
        <v>1</v>
      </c>
      <c r="F1139" s="42" t="inlineStr">
        <is>
          <t>FR-203</t>
        </is>
      </c>
      <c r="G1139" s="55">
        <f>IFERROR(INDEX('Semrush Data'!$A$1:$Z$20000,MATCH(A1139,'Semrush Data'!$A$1:$A$20000,0),MATCH("Volume",'Semrush Data'!$A$1:$Z$1,0)),"")</f>
        <v/>
      </c>
      <c r="H1139" s="42">
        <f>IFERROR(INDEX('Semrush Data'!$A$1:$Z$20000,MATCH(A1139,'Semrush Data'!$A$1:$A$20000,0),MATCH("Keyword Difficulty*",'Semrush Data'!$A$1:$Z$1,0)),"")</f>
        <v/>
      </c>
      <c r="I1139" s="56">
        <f>IFERROR(INDEX('Semrush Data'!$A$1:$Z$20000,MATCH(A1139,'Semrush Data'!$A$1:$A$20000,0),MATCH("CPC*",'Semrush Data'!$A$1:$Z$1,0)),"")</f>
        <v/>
      </c>
      <c r="J1139" s="42">
        <f>IFERROR(INDEX('Semrush Data'!$A$1:$Z$20000,MATCH(A1139,'Semrush Data'!$A$1:$A$20000,0),MATCH("Intent",'Semrush Data'!$A$1:$Z$1,0)),"")</f>
        <v/>
      </c>
    </row>
    <row r="1140" ht="15" customHeight="1" s="37">
      <c r="A1140" s="42" t="inlineStr">
        <is>
          <t>maison de milan m uk</t>
        </is>
      </c>
      <c r="B1140" s="42" t="inlineStr">
        <is>
          <t>Product + UK</t>
        </is>
      </c>
      <c r="C1140" s="42" t="n">
        <v>2</v>
      </c>
      <c r="D1140" s="42" t="n">
        <v>12</v>
      </c>
      <c r="E1140" s="42" t="n">
        <v>1</v>
      </c>
      <c r="F1140" s="42" t="inlineStr">
        <is>
          <t>FR-204</t>
        </is>
      </c>
      <c r="G1140" s="55">
        <f>IFERROR(INDEX('Semrush Data'!$A$1:$Z$20000,MATCH(A1140,'Semrush Data'!$A$1:$A$20000,0),MATCH("Volume",'Semrush Data'!$A$1:$Z$1,0)),"")</f>
        <v/>
      </c>
      <c r="H1140" s="42">
        <f>IFERROR(INDEX('Semrush Data'!$A$1:$Z$20000,MATCH(A1140,'Semrush Data'!$A$1:$A$20000,0),MATCH("Keyword Difficulty*",'Semrush Data'!$A$1:$Z$1,0)),"")</f>
        <v/>
      </c>
      <c r="I1140" s="56">
        <f>IFERROR(INDEX('Semrush Data'!$A$1:$Z$20000,MATCH(A1140,'Semrush Data'!$A$1:$A$20000,0),MATCH("CPC*",'Semrush Data'!$A$1:$Z$1,0)),"")</f>
        <v/>
      </c>
      <c r="J1140" s="42">
        <f>IFERROR(INDEX('Semrush Data'!$A$1:$Z$20000,MATCH(A1140,'Semrush Data'!$A$1:$A$20000,0),MATCH("Intent",'Semrush Data'!$A$1:$Z$1,0)),"")</f>
        <v/>
      </c>
    </row>
    <row r="1141" ht="15" customHeight="1" s="37">
      <c r="A1141" s="42" t="inlineStr">
        <is>
          <t>maison de milan milano girl black uk</t>
        </is>
      </c>
      <c r="B1141" s="42" t="inlineStr">
        <is>
          <t>Product + UK</t>
        </is>
      </c>
      <c r="C1141" s="42" t="n">
        <v>2</v>
      </c>
      <c r="D1141" s="42" t="n">
        <v>12</v>
      </c>
      <c r="E1141" s="42" t="n">
        <v>1</v>
      </c>
      <c r="F1141" s="42" t="inlineStr">
        <is>
          <t>FR-205</t>
        </is>
      </c>
      <c r="G1141" s="55">
        <f>IFERROR(INDEX('Semrush Data'!$A$1:$Z$20000,MATCH(A1141,'Semrush Data'!$A$1:$A$20000,0),MATCH("Volume",'Semrush Data'!$A$1:$Z$1,0)),"")</f>
        <v/>
      </c>
      <c r="H1141" s="42">
        <f>IFERROR(INDEX('Semrush Data'!$A$1:$Z$20000,MATCH(A1141,'Semrush Data'!$A$1:$A$20000,0),MATCH("Keyword Difficulty*",'Semrush Data'!$A$1:$Z$1,0)),"")</f>
        <v/>
      </c>
      <c r="I1141" s="56">
        <f>IFERROR(INDEX('Semrush Data'!$A$1:$Z$20000,MATCH(A1141,'Semrush Data'!$A$1:$A$20000,0),MATCH("CPC*",'Semrush Data'!$A$1:$Z$1,0)),"")</f>
        <v/>
      </c>
      <c r="J1141" s="42">
        <f>IFERROR(INDEX('Semrush Data'!$A$1:$Z$20000,MATCH(A1141,'Semrush Data'!$A$1:$A$20000,0),MATCH("Intent",'Semrush Data'!$A$1:$Z$1,0)),"")</f>
        <v/>
      </c>
    </row>
    <row r="1142" ht="15" customHeight="1" s="37">
      <c r="A1142" s="42" t="inlineStr">
        <is>
          <t>maison de milan milano girl red uk</t>
        </is>
      </c>
      <c r="B1142" s="42" t="inlineStr">
        <is>
          <t>Product + UK</t>
        </is>
      </c>
      <c r="C1142" s="42" t="n">
        <v>2</v>
      </c>
      <c r="D1142" s="42" t="n">
        <v>12</v>
      </c>
      <c r="E1142" s="42" t="n">
        <v>1</v>
      </c>
      <c r="F1142" s="42" t="inlineStr">
        <is>
          <t>FR-206</t>
        </is>
      </c>
      <c r="G1142" s="55">
        <f>IFERROR(INDEX('Semrush Data'!$A$1:$Z$20000,MATCH(A1142,'Semrush Data'!$A$1:$A$20000,0),MATCH("Volume",'Semrush Data'!$A$1:$Z$1,0)),"")</f>
        <v/>
      </c>
      <c r="H1142" s="42">
        <f>IFERROR(INDEX('Semrush Data'!$A$1:$Z$20000,MATCH(A1142,'Semrush Data'!$A$1:$A$20000,0),MATCH("Keyword Difficulty*",'Semrush Data'!$A$1:$Z$1,0)),"")</f>
        <v/>
      </c>
      <c r="I1142" s="56">
        <f>IFERROR(INDEX('Semrush Data'!$A$1:$Z$20000,MATCH(A1142,'Semrush Data'!$A$1:$A$20000,0),MATCH("CPC*",'Semrush Data'!$A$1:$Z$1,0)),"")</f>
        <v/>
      </c>
      <c r="J1142" s="42">
        <f>IFERROR(INDEX('Semrush Data'!$A$1:$Z$20000,MATCH(A1142,'Semrush Data'!$A$1:$A$20000,0),MATCH("Intent",'Semrush Data'!$A$1:$Z$1,0)),"")</f>
        <v/>
      </c>
    </row>
    <row r="1143" ht="15" customHeight="1" s="37">
      <c r="A1143" s="42" t="inlineStr">
        <is>
          <t>maison de milan milano girl white uk</t>
        </is>
      </c>
      <c r="B1143" s="42" t="inlineStr">
        <is>
          <t>Product + UK</t>
        </is>
      </c>
      <c r="C1143" s="42" t="n">
        <v>2</v>
      </c>
      <c r="D1143" s="42" t="n">
        <v>12</v>
      </c>
      <c r="E1143" s="42" t="n">
        <v>1</v>
      </c>
      <c r="F1143" s="42" t="inlineStr">
        <is>
          <t>FR-207</t>
        </is>
      </c>
      <c r="G1143" s="55">
        <f>IFERROR(INDEX('Semrush Data'!$A$1:$Z$20000,MATCH(A1143,'Semrush Data'!$A$1:$A$20000,0),MATCH("Volume",'Semrush Data'!$A$1:$Z$1,0)),"")</f>
        <v/>
      </c>
      <c r="H1143" s="42">
        <f>IFERROR(INDEX('Semrush Data'!$A$1:$Z$20000,MATCH(A1143,'Semrush Data'!$A$1:$A$20000,0),MATCH("Keyword Difficulty*",'Semrush Data'!$A$1:$Z$1,0)),"")</f>
        <v/>
      </c>
      <c r="I1143" s="56">
        <f>IFERROR(INDEX('Semrush Data'!$A$1:$Z$20000,MATCH(A1143,'Semrush Data'!$A$1:$A$20000,0),MATCH("CPC*",'Semrush Data'!$A$1:$Z$1,0)),"")</f>
        <v/>
      </c>
      <c r="J1143" s="42">
        <f>IFERROR(INDEX('Semrush Data'!$A$1:$Z$20000,MATCH(A1143,'Semrush Data'!$A$1:$A$20000,0),MATCH("Intent",'Semrush Data'!$A$1:$Z$1,0)),"")</f>
        <v/>
      </c>
    </row>
    <row r="1144" ht="15" customHeight="1" s="37">
      <c r="A1144" s="42" t="inlineStr">
        <is>
          <t>maison de milan opulent gold uk</t>
        </is>
      </c>
      <c r="B1144" s="42" t="inlineStr">
        <is>
          <t>Product + UK</t>
        </is>
      </c>
      <c r="C1144" s="42" t="n">
        <v>2</v>
      </c>
      <c r="D1144" s="42" t="n">
        <v>12</v>
      </c>
      <c r="E1144" s="42" t="n">
        <v>1</v>
      </c>
      <c r="F1144" s="42" t="inlineStr">
        <is>
          <t>FR-208</t>
        </is>
      </c>
      <c r="G1144" s="55">
        <f>IFERROR(INDEX('Semrush Data'!$A$1:$Z$20000,MATCH(A1144,'Semrush Data'!$A$1:$A$20000,0),MATCH("Volume",'Semrush Data'!$A$1:$Z$1,0)),"")</f>
        <v/>
      </c>
      <c r="H1144" s="42">
        <f>IFERROR(INDEX('Semrush Data'!$A$1:$Z$20000,MATCH(A1144,'Semrush Data'!$A$1:$A$20000,0),MATCH("Keyword Difficulty*",'Semrush Data'!$A$1:$Z$1,0)),"")</f>
        <v/>
      </c>
      <c r="I1144" s="56">
        <f>IFERROR(INDEX('Semrush Data'!$A$1:$Z$20000,MATCH(A1144,'Semrush Data'!$A$1:$A$20000,0),MATCH("CPC*",'Semrush Data'!$A$1:$Z$1,0)),"")</f>
        <v/>
      </c>
      <c r="J1144" s="42">
        <f>IFERROR(INDEX('Semrush Data'!$A$1:$Z$20000,MATCH(A1144,'Semrush Data'!$A$1:$A$20000,0),MATCH("Intent",'Semrush Data'!$A$1:$Z$1,0)),"")</f>
        <v/>
      </c>
    </row>
    <row r="1145" ht="15" customHeight="1" s="37">
      <c r="A1145" s="42" t="inlineStr">
        <is>
          <t>maison de milan valiant pour homme uk</t>
        </is>
      </c>
      <c r="B1145" s="42" t="inlineStr">
        <is>
          <t>Product + UK</t>
        </is>
      </c>
      <c r="C1145" s="42" t="n">
        <v>2</v>
      </c>
      <c r="D1145" s="42" t="n">
        <v>12</v>
      </c>
      <c r="E1145" s="42" t="n">
        <v>1</v>
      </c>
      <c r="F1145" s="42" t="inlineStr">
        <is>
          <t>FR-209</t>
        </is>
      </c>
      <c r="G1145" s="55">
        <f>IFERROR(INDEX('Semrush Data'!$A$1:$Z$20000,MATCH(A1145,'Semrush Data'!$A$1:$A$20000,0),MATCH("Volume",'Semrush Data'!$A$1:$Z$1,0)),"")</f>
        <v/>
      </c>
      <c r="H1145" s="42">
        <f>IFERROR(INDEX('Semrush Data'!$A$1:$Z$20000,MATCH(A1145,'Semrush Data'!$A$1:$A$20000,0),MATCH("Keyword Difficulty*",'Semrush Data'!$A$1:$Z$1,0)),"")</f>
        <v/>
      </c>
      <c r="I1145" s="56">
        <f>IFERROR(INDEX('Semrush Data'!$A$1:$Z$20000,MATCH(A1145,'Semrush Data'!$A$1:$A$20000,0),MATCH("CPC*",'Semrush Data'!$A$1:$Z$1,0)),"")</f>
        <v/>
      </c>
      <c r="J1145" s="42">
        <f>IFERROR(INDEX('Semrush Data'!$A$1:$Z$20000,MATCH(A1145,'Semrush Data'!$A$1:$A$20000,0),MATCH("Intent",'Semrush Data'!$A$1:$Z$1,0)),"")</f>
        <v/>
      </c>
    </row>
    <row r="1146" ht="15" customHeight="1" s="37">
      <c r="A1146" s="42" t="inlineStr">
        <is>
          <t>mancera black noir uk</t>
        </is>
      </c>
      <c r="B1146" s="42" t="inlineStr">
        <is>
          <t>Product + UK</t>
        </is>
      </c>
      <c r="C1146" s="42" t="n">
        <v>2</v>
      </c>
      <c r="D1146" s="42" t="n">
        <v>12</v>
      </c>
      <c r="E1146" s="42" t="n">
        <v>1</v>
      </c>
      <c r="F1146" s="42" t="inlineStr">
        <is>
          <t>FR-289</t>
        </is>
      </c>
      <c r="G1146" s="55">
        <f>IFERROR(INDEX('Semrush Data'!$A$1:$Z$20000,MATCH(A1146,'Semrush Data'!$A$1:$A$20000,0),MATCH("Volume",'Semrush Data'!$A$1:$Z$1,0)),"")</f>
        <v/>
      </c>
      <c r="H1146" s="42">
        <f>IFERROR(INDEX('Semrush Data'!$A$1:$Z$20000,MATCH(A1146,'Semrush Data'!$A$1:$A$20000,0),MATCH("Keyword Difficulty*",'Semrush Data'!$A$1:$Z$1,0)),"")</f>
        <v/>
      </c>
      <c r="I1146" s="56">
        <f>IFERROR(INDEX('Semrush Data'!$A$1:$Z$20000,MATCH(A1146,'Semrush Data'!$A$1:$A$20000,0),MATCH("CPC*",'Semrush Data'!$A$1:$Z$1,0)),"")</f>
        <v/>
      </c>
      <c r="J1146" s="42">
        <f>IFERROR(INDEX('Semrush Data'!$A$1:$Z$20000,MATCH(A1146,'Semrush Data'!$A$1:$A$20000,0),MATCH("Intent",'Semrush Data'!$A$1:$Z$1,0)),"")</f>
        <v/>
      </c>
    </row>
    <row r="1147" ht="15" customHeight="1" s="37">
      <c r="A1147" s="42" t="inlineStr">
        <is>
          <t>mancera intense red tobacco uk</t>
        </is>
      </c>
      <c r="B1147" s="42" t="inlineStr">
        <is>
          <t>Product + UK</t>
        </is>
      </c>
      <c r="C1147" s="42" t="n">
        <v>2</v>
      </c>
      <c r="D1147" s="42" t="inlineStr">
        <is>
          <t>T2-2</t>
        </is>
      </c>
      <c r="E1147" s="42" t="n">
        <v>1</v>
      </c>
      <c r="F1147" s="42" t="inlineStr">
        <is>
          <t>FR-290</t>
        </is>
      </c>
      <c r="G1147" s="55">
        <f>IFERROR(INDEX('Semrush Data'!$A$1:$Z$20000,MATCH(A1147,'Semrush Data'!$A$1:$A$20000,0),MATCH("Volume",'Semrush Data'!$A$1:$Z$1,0)),"")</f>
        <v/>
      </c>
      <c r="H1147" s="42">
        <f>IFERROR(INDEX('Semrush Data'!$A$1:$Z$20000,MATCH(A1147,'Semrush Data'!$A$1:$A$20000,0),MATCH("Keyword Difficulty*",'Semrush Data'!$A$1:$Z$1,0)),"")</f>
        <v/>
      </c>
      <c r="I1147" s="56">
        <f>IFERROR(INDEX('Semrush Data'!$A$1:$Z$20000,MATCH(A1147,'Semrush Data'!$A$1:$A$20000,0),MATCH("CPC*",'Semrush Data'!$A$1:$Z$1,0)),"")</f>
        <v/>
      </c>
      <c r="J1147" s="42">
        <f>IFERROR(INDEX('Semrush Data'!$A$1:$Z$20000,MATCH(A1147,'Semrush Data'!$A$1:$A$20000,0),MATCH("Intent",'Semrush Data'!$A$1:$Z$1,0)),"")</f>
        <v/>
      </c>
    </row>
    <row r="1148" ht="15" customHeight="1" s="37">
      <c r="A1148" s="42" t="inlineStr">
        <is>
          <t>marc jacobs daisy love glow limited edition uk</t>
        </is>
      </c>
      <c r="B1148" s="42" t="inlineStr">
        <is>
          <t>Product + UK</t>
        </is>
      </c>
      <c r="C1148" s="42" t="n">
        <v>2</v>
      </c>
      <c r="D1148" s="42" t="n">
        <v>12</v>
      </c>
      <c r="E1148" s="42" t="n">
        <v>1</v>
      </c>
      <c r="F1148" s="42" t="inlineStr">
        <is>
          <t>FR-295</t>
        </is>
      </c>
      <c r="G1148" s="55">
        <f>IFERROR(INDEX('Semrush Data'!$A$1:$Z$20000,MATCH(A1148,'Semrush Data'!$A$1:$A$20000,0),MATCH("Volume",'Semrush Data'!$A$1:$Z$1,0)),"")</f>
        <v/>
      </c>
      <c r="H1148" s="42">
        <f>IFERROR(INDEX('Semrush Data'!$A$1:$Z$20000,MATCH(A1148,'Semrush Data'!$A$1:$A$20000,0),MATCH("Keyword Difficulty*",'Semrush Data'!$A$1:$Z$1,0)),"")</f>
        <v/>
      </c>
      <c r="I1148" s="56">
        <f>IFERROR(INDEX('Semrush Data'!$A$1:$Z$20000,MATCH(A1148,'Semrush Data'!$A$1:$A$20000,0),MATCH("CPC*",'Semrush Data'!$A$1:$Z$1,0)),"")</f>
        <v/>
      </c>
      <c r="J1148" s="42">
        <f>IFERROR(INDEX('Semrush Data'!$A$1:$Z$20000,MATCH(A1148,'Semrush Data'!$A$1:$A$20000,0),MATCH("Intent",'Semrush Data'!$A$1:$Z$1,0)),"")</f>
        <v/>
      </c>
    </row>
    <row r="1149" ht="15" customHeight="1" s="37">
      <c r="A1149" s="42" t="inlineStr">
        <is>
          <t>marc jacobs daisy love miniature uk</t>
        </is>
      </c>
      <c r="B1149" s="42" t="inlineStr">
        <is>
          <t>Product + UK</t>
        </is>
      </c>
      <c r="C1149" s="42" t="n">
        <v>2</v>
      </c>
      <c r="D1149" s="42" t="n">
        <v>12</v>
      </c>
      <c r="E1149" s="42" t="n">
        <v>1</v>
      </c>
      <c r="F1149" s="42" t="inlineStr">
        <is>
          <t>FR-294</t>
        </is>
      </c>
      <c r="G1149" s="55">
        <f>IFERROR(INDEX('Semrush Data'!$A$1:$Z$20000,MATCH(A1149,'Semrush Data'!$A$1:$A$20000,0),MATCH("Volume",'Semrush Data'!$A$1:$Z$1,0)),"")</f>
        <v/>
      </c>
      <c r="H1149" s="42">
        <f>IFERROR(INDEX('Semrush Data'!$A$1:$Z$20000,MATCH(A1149,'Semrush Data'!$A$1:$A$20000,0),MATCH("Keyword Difficulty*",'Semrush Data'!$A$1:$Z$1,0)),"")</f>
        <v/>
      </c>
      <c r="I1149" s="56">
        <f>IFERROR(INDEX('Semrush Data'!$A$1:$Z$20000,MATCH(A1149,'Semrush Data'!$A$1:$A$20000,0),MATCH("CPC*",'Semrush Data'!$A$1:$Z$1,0)),"")</f>
        <v/>
      </c>
      <c r="J1149" s="42">
        <f>IFERROR(INDEX('Semrush Data'!$A$1:$Z$20000,MATCH(A1149,'Semrush Data'!$A$1:$A$20000,0),MATCH("Intent",'Semrush Data'!$A$1:$Z$1,0)),"")</f>
        <v/>
      </c>
    </row>
    <row r="1150" ht="15" customHeight="1" s="37">
      <c r="A1150" s="42" t="inlineStr">
        <is>
          <t>marc jacobs honey uk</t>
        </is>
      </c>
      <c r="B1150" s="42" t="inlineStr">
        <is>
          <t>Product + UK</t>
        </is>
      </c>
      <c r="C1150" s="42" t="n">
        <v>2</v>
      </c>
      <c r="D1150" s="42" t="inlineStr">
        <is>
          <t>T2-1</t>
        </is>
      </c>
      <c r="E1150" s="42" t="n">
        <v>1</v>
      </c>
      <c r="F1150" s="42" t="inlineStr">
        <is>
          <t>FR-291</t>
        </is>
      </c>
      <c r="G1150" s="55">
        <f>IFERROR(INDEX('Semrush Data'!$A$1:$Z$20000,MATCH(A1150,'Semrush Data'!$A$1:$A$20000,0),MATCH("Volume",'Semrush Data'!$A$1:$Z$1,0)),"")</f>
        <v/>
      </c>
      <c r="H1150" s="42">
        <f>IFERROR(INDEX('Semrush Data'!$A$1:$Z$20000,MATCH(A1150,'Semrush Data'!$A$1:$A$20000,0),MATCH("Keyword Difficulty*",'Semrush Data'!$A$1:$Z$1,0)),"")</f>
        <v/>
      </c>
      <c r="I1150" s="56">
        <f>IFERROR(INDEX('Semrush Data'!$A$1:$Z$20000,MATCH(A1150,'Semrush Data'!$A$1:$A$20000,0),MATCH("CPC*",'Semrush Data'!$A$1:$Z$1,0)),"")</f>
        <v/>
      </c>
      <c r="J1150" s="42">
        <f>IFERROR(INDEX('Semrush Data'!$A$1:$Z$20000,MATCH(A1150,'Semrush Data'!$A$1:$A$20000,0),MATCH("Intent",'Semrush Data'!$A$1:$Z$1,0)),"")</f>
        <v/>
      </c>
    </row>
    <row r="1151" ht="15" customHeight="1" s="37">
      <c r="A1151" s="42" t="inlineStr">
        <is>
          <t>marc jacobs miniature gift set 2025 uk</t>
        </is>
      </c>
      <c r="B1151" s="42" t="inlineStr">
        <is>
          <t>Product + UK</t>
        </is>
      </c>
      <c r="C1151" s="42" t="n">
        <v>2</v>
      </c>
      <c r="D1151" s="42" t="n">
        <v>12</v>
      </c>
      <c r="E1151" s="42" t="n">
        <v>1</v>
      </c>
      <c r="F1151" s="42" t="inlineStr">
        <is>
          <t>FR-297</t>
        </is>
      </c>
      <c r="G1151" s="55">
        <f>IFERROR(INDEX('Semrush Data'!$A$1:$Z$20000,MATCH(A1151,'Semrush Data'!$A$1:$A$20000,0),MATCH("Volume",'Semrush Data'!$A$1:$Z$1,0)),"")</f>
        <v/>
      </c>
      <c r="H1151" s="42">
        <f>IFERROR(INDEX('Semrush Data'!$A$1:$Z$20000,MATCH(A1151,'Semrush Data'!$A$1:$A$20000,0),MATCH("Keyword Difficulty*",'Semrush Data'!$A$1:$Z$1,0)),"")</f>
        <v/>
      </c>
      <c r="I1151" s="56">
        <f>IFERROR(INDEX('Semrush Data'!$A$1:$Z$20000,MATCH(A1151,'Semrush Data'!$A$1:$A$20000,0),MATCH("CPC*",'Semrush Data'!$A$1:$Z$1,0)),"")</f>
        <v/>
      </c>
      <c r="J1151" s="42">
        <f>IFERROR(INDEX('Semrush Data'!$A$1:$Z$20000,MATCH(A1151,'Semrush Data'!$A$1:$A$20000,0),MATCH("Intent",'Semrush Data'!$A$1:$Z$1,0)),"")</f>
        <v/>
      </c>
    </row>
    <row r="1152" ht="15" customHeight="1" s="37">
      <c r="A1152" s="42" t="inlineStr">
        <is>
          <t>marc jacobs perfect elixir miniature uk</t>
        </is>
      </c>
      <c r="B1152" s="42" t="inlineStr">
        <is>
          <t>Product + UK</t>
        </is>
      </c>
      <c r="C1152" s="42" t="n">
        <v>2</v>
      </c>
      <c r="D1152" s="42" t="n">
        <v>12</v>
      </c>
      <c r="E1152" s="42" t="n">
        <v>1</v>
      </c>
      <c r="F1152" s="42" t="inlineStr">
        <is>
          <t>FR-293</t>
        </is>
      </c>
      <c r="G1152" s="55">
        <f>IFERROR(INDEX('Semrush Data'!$A$1:$Z$20000,MATCH(A1152,'Semrush Data'!$A$1:$A$20000,0),MATCH("Volume",'Semrush Data'!$A$1:$Z$1,0)),"")</f>
        <v/>
      </c>
      <c r="H1152" s="42">
        <f>IFERROR(INDEX('Semrush Data'!$A$1:$Z$20000,MATCH(A1152,'Semrush Data'!$A$1:$A$20000,0),MATCH("Keyword Difficulty*",'Semrush Data'!$A$1:$Z$1,0)),"")</f>
        <v/>
      </c>
      <c r="I1152" s="56">
        <f>IFERROR(INDEX('Semrush Data'!$A$1:$Z$20000,MATCH(A1152,'Semrush Data'!$A$1:$A$20000,0),MATCH("CPC*",'Semrush Data'!$A$1:$Z$1,0)),"")</f>
        <v/>
      </c>
      <c r="J1152" s="42">
        <f>IFERROR(INDEX('Semrush Data'!$A$1:$Z$20000,MATCH(A1152,'Semrush Data'!$A$1:$A$20000,0),MATCH("Intent",'Semrush Data'!$A$1:$Z$1,0)),"")</f>
        <v/>
      </c>
    </row>
    <row r="1153" ht="15" customHeight="1" s="37">
      <c r="A1153" s="42" t="inlineStr">
        <is>
          <t>marc jacobs perfect miniature uk</t>
        </is>
      </c>
      <c r="B1153" s="42" t="inlineStr">
        <is>
          <t>Product + UK</t>
        </is>
      </c>
      <c r="C1153" s="42" t="n">
        <v>2</v>
      </c>
      <c r="D1153" s="42" t="n">
        <v>12</v>
      </c>
      <c r="E1153" s="42" t="n">
        <v>1</v>
      </c>
      <c r="F1153" s="42" t="inlineStr">
        <is>
          <t>FR-296</t>
        </is>
      </c>
      <c r="G1153" s="55">
        <f>IFERROR(INDEX('Semrush Data'!$A$1:$Z$20000,MATCH(A1153,'Semrush Data'!$A$1:$A$20000,0),MATCH("Volume",'Semrush Data'!$A$1:$Z$1,0)),"")</f>
        <v/>
      </c>
      <c r="H1153" s="42">
        <f>IFERROR(INDEX('Semrush Data'!$A$1:$Z$20000,MATCH(A1153,'Semrush Data'!$A$1:$A$20000,0),MATCH("Keyword Difficulty*",'Semrush Data'!$A$1:$Z$1,0)),"")</f>
        <v/>
      </c>
      <c r="I1153" s="56">
        <f>IFERROR(INDEX('Semrush Data'!$A$1:$Z$20000,MATCH(A1153,'Semrush Data'!$A$1:$A$20000,0),MATCH("CPC*",'Semrush Data'!$A$1:$Z$1,0)),"")</f>
        <v/>
      </c>
      <c r="J1153" s="42">
        <f>IFERROR(INDEX('Semrush Data'!$A$1:$Z$20000,MATCH(A1153,'Semrush Data'!$A$1:$A$20000,0),MATCH("Intent",'Semrush Data'!$A$1:$Z$1,0)),"")</f>
        <v/>
      </c>
    </row>
    <row r="1154" ht="15" customHeight="1" s="37">
      <c r="A1154" s="42" t="inlineStr">
        <is>
          <t>marc jacobs perfect uk</t>
        </is>
      </c>
      <c r="B1154" s="42" t="inlineStr">
        <is>
          <t>Product + UK</t>
        </is>
      </c>
      <c r="C1154" s="42" t="n">
        <v>2</v>
      </c>
      <c r="D1154" s="42" t="inlineStr">
        <is>
          <t>T2-1</t>
        </is>
      </c>
      <c r="E1154" s="42" t="n">
        <v>1</v>
      </c>
      <c r="F1154" s="42" t="inlineStr">
        <is>
          <t>FR-292</t>
        </is>
      </c>
      <c r="G1154" s="55">
        <f>IFERROR(INDEX('Semrush Data'!$A$1:$Z$20000,MATCH(A1154,'Semrush Data'!$A$1:$A$20000,0),MATCH("Volume",'Semrush Data'!$A$1:$Z$1,0)),"")</f>
        <v/>
      </c>
      <c r="H1154" s="42">
        <f>IFERROR(INDEX('Semrush Data'!$A$1:$Z$20000,MATCH(A1154,'Semrush Data'!$A$1:$A$20000,0),MATCH("Keyword Difficulty*",'Semrush Data'!$A$1:$Z$1,0)),"")</f>
        <v/>
      </c>
      <c r="I1154" s="56">
        <f>IFERROR(INDEX('Semrush Data'!$A$1:$Z$20000,MATCH(A1154,'Semrush Data'!$A$1:$A$20000,0),MATCH("CPC*",'Semrush Data'!$A$1:$Z$1,0)),"")</f>
        <v/>
      </c>
      <c r="J1154" s="42">
        <f>IFERROR(INDEX('Semrush Data'!$A$1:$Z$20000,MATCH(A1154,'Semrush Data'!$A$1:$A$20000,0),MATCH("Intent",'Semrush Data'!$A$1:$Z$1,0)),"")</f>
        <v/>
      </c>
    </row>
    <row r="1155" ht="15" customHeight="1" s="37">
      <c r="A1155" s="42" t="inlineStr">
        <is>
          <t>montale aoud damascus uk</t>
        </is>
      </c>
      <c r="B1155" s="42" t="inlineStr">
        <is>
          <t>Product + UK</t>
        </is>
      </c>
      <c r="C1155" s="42" t="n">
        <v>2</v>
      </c>
      <c r="D1155" s="42" t="n">
        <v>12</v>
      </c>
      <c r="E1155" s="42" t="n">
        <v>1</v>
      </c>
      <c r="F1155" s="42" t="inlineStr">
        <is>
          <t>FR-298</t>
        </is>
      </c>
      <c r="G1155" s="55">
        <f>IFERROR(INDEX('Semrush Data'!$A$1:$Z$20000,MATCH(A1155,'Semrush Data'!$A$1:$A$20000,0),MATCH("Volume",'Semrush Data'!$A$1:$Z$1,0)),"")</f>
        <v/>
      </c>
      <c r="H1155" s="42">
        <f>IFERROR(INDEX('Semrush Data'!$A$1:$Z$20000,MATCH(A1155,'Semrush Data'!$A$1:$A$20000,0),MATCH("Keyword Difficulty*",'Semrush Data'!$A$1:$Z$1,0)),"")</f>
        <v/>
      </c>
      <c r="I1155" s="56">
        <f>IFERROR(INDEX('Semrush Data'!$A$1:$Z$20000,MATCH(A1155,'Semrush Data'!$A$1:$A$20000,0),MATCH("CPC*",'Semrush Data'!$A$1:$Z$1,0)),"")</f>
        <v/>
      </c>
      <c r="J1155" s="42">
        <f>IFERROR(INDEX('Semrush Data'!$A$1:$Z$20000,MATCH(A1155,'Semrush Data'!$A$1:$A$20000,0),MATCH("Intent",'Semrush Data'!$A$1:$Z$1,0)),"")</f>
        <v/>
      </c>
    </row>
    <row r="1156" ht="15" customHeight="1" s="37">
      <c r="A1156" s="42" t="inlineStr">
        <is>
          <t>montale aoud safran uk</t>
        </is>
      </c>
      <c r="B1156" s="42" t="inlineStr">
        <is>
          <t>Product + UK</t>
        </is>
      </c>
      <c r="C1156" s="42" t="n">
        <v>2</v>
      </c>
      <c r="D1156" s="42" t="n">
        <v>12</v>
      </c>
      <c r="E1156" s="42" t="n">
        <v>1</v>
      </c>
      <c r="F1156" s="42" t="inlineStr">
        <is>
          <t>FR-299</t>
        </is>
      </c>
      <c r="G1156" s="55">
        <f>IFERROR(INDEX('Semrush Data'!$A$1:$Z$20000,MATCH(A1156,'Semrush Data'!$A$1:$A$20000,0),MATCH("Volume",'Semrush Data'!$A$1:$Z$1,0)),"")</f>
        <v/>
      </c>
      <c r="H1156" s="42">
        <f>IFERROR(INDEX('Semrush Data'!$A$1:$Z$20000,MATCH(A1156,'Semrush Data'!$A$1:$A$20000,0),MATCH("Keyword Difficulty*",'Semrush Data'!$A$1:$Z$1,0)),"")</f>
        <v/>
      </c>
      <c r="I1156" s="56">
        <f>IFERROR(INDEX('Semrush Data'!$A$1:$Z$20000,MATCH(A1156,'Semrush Data'!$A$1:$A$20000,0),MATCH("CPC*",'Semrush Data'!$A$1:$Z$1,0)),"")</f>
        <v/>
      </c>
      <c r="J1156" s="42">
        <f>IFERROR(INDEX('Semrush Data'!$A$1:$Z$20000,MATCH(A1156,'Semrush Data'!$A$1:$A$20000,0),MATCH("Intent",'Semrush Data'!$A$1:$Z$1,0)),"")</f>
        <v/>
      </c>
    </row>
    <row r="1157" ht="15" customHeight="1" s="37">
      <c r="A1157" s="42" t="inlineStr">
        <is>
          <t>nina ricci l'air du temps uk</t>
        </is>
      </c>
      <c r="B1157" s="42" t="inlineStr">
        <is>
          <t>Product + UK</t>
        </is>
      </c>
      <c r="C1157" s="42" t="n">
        <v>2</v>
      </c>
      <c r="D1157" s="42" t="inlineStr">
        <is>
          <t>T2-1</t>
        </is>
      </c>
      <c r="E1157" s="42" t="n">
        <v>2</v>
      </c>
      <c r="F1157" s="42" t="inlineStr">
        <is>
          <t>FR-302, FR-303</t>
        </is>
      </c>
      <c r="G1157" s="55">
        <f>IFERROR(INDEX('Semrush Data'!$A$1:$Z$20000,MATCH(A1157,'Semrush Data'!$A$1:$A$20000,0),MATCH("Volume",'Semrush Data'!$A$1:$Z$1,0)),"")</f>
        <v/>
      </c>
      <c r="H1157" s="42">
        <f>IFERROR(INDEX('Semrush Data'!$A$1:$Z$20000,MATCH(A1157,'Semrush Data'!$A$1:$A$20000,0),MATCH("Keyword Difficulty*",'Semrush Data'!$A$1:$Z$1,0)),"")</f>
        <v/>
      </c>
      <c r="I1157" s="56">
        <f>IFERROR(INDEX('Semrush Data'!$A$1:$Z$20000,MATCH(A1157,'Semrush Data'!$A$1:$A$20000,0),MATCH("CPC*",'Semrush Data'!$A$1:$Z$1,0)),"")</f>
        <v/>
      </c>
      <c r="J1157" s="42">
        <f>IFERROR(INDEX('Semrush Data'!$A$1:$Z$20000,MATCH(A1157,'Semrush Data'!$A$1:$A$20000,0),MATCH("Intent",'Semrush Data'!$A$1:$Z$1,0)),"")</f>
        <v/>
      </c>
    </row>
    <row r="1158" ht="15" customHeight="1" s="37">
      <c r="A1158" s="42" t="inlineStr">
        <is>
          <t>nina ricci nina illusion uk</t>
        </is>
      </c>
      <c r="B1158" s="42" t="inlineStr">
        <is>
          <t>Product + UK</t>
        </is>
      </c>
      <c r="C1158" s="42" t="n">
        <v>2</v>
      </c>
      <c r="D1158" s="42" t="n">
        <v>12</v>
      </c>
      <c r="E1158" s="42" t="n">
        <v>1</v>
      </c>
      <c r="F1158" s="42" t="inlineStr">
        <is>
          <t>FR-300</t>
        </is>
      </c>
      <c r="G1158" s="55">
        <f>IFERROR(INDEX('Semrush Data'!$A$1:$Z$20000,MATCH(A1158,'Semrush Data'!$A$1:$A$20000,0),MATCH("Volume",'Semrush Data'!$A$1:$Z$1,0)),"")</f>
        <v/>
      </c>
      <c r="H1158" s="42">
        <f>IFERROR(INDEX('Semrush Data'!$A$1:$Z$20000,MATCH(A1158,'Semrush Data'!$A$1:$A$20000,0),MATCH("Keyword Difficulty*",'Semrush Data'!$A$1:$Z$1,0)),"")</f>
        <v/>
      </c>
      <c r="I1158" s="56">
        <f>IFERROR(INDEX('Semrush Data'!$A$1:$Z$20000,MATCH(A1158,'Semrush Data'!$A$1:$A$20000,0),MATCH("CPC*",'Semrush Data'!$A$1:$Z$1,0)),"")</f>
        <v/>
      </c>
      <c r="J1158" s="42">
        <f>IFERROR(INDEX('Semrush Data'!$A$1:$Z$20000,MATCH(A1158,'Semrush Data'!$A$1:$A$20000,0),MATCH("Intent",'Semrush Data'!$A$1:$Z$1,0)),"")</f>
        <v/>
      </c>
    </row>
    <row r="1159" ht="15" customHeight="1" s="37">
      <c r="A1159" s="42" t="inlineStr">
        <is>
          <t>nina ricci nina precious gold uk</t>
        </is>
      </c>
      <c r="B1159" s="42" t="inlineStr">
        <is>
          <t>Product + UK</t>
        </is>
      </c>
      <c r="C1159" s="42" t="n">
        <v>2</v>
      </c>
      <c r="D1159" s="42" t="n">
        <v>12</v>
      </c>
      <c r="E1159" s="42" t="n">
        <v>1</v>
      </c>
      <c r="F1159" s="42" t="inlineStr">
        <is>
          <t>FR-301</t>
        </is>
      </c>
      <c r="G1159" s="55">
        <f>IFERROR(INDEX('Semrush Data'!$A$1:$Z$20000,MATCH(A1159,'Semrush Data'!$A$1:$A$20000,0),MATCH("Volume",'Semrush Data'!$A$1:$Z$1,0)),"")</f>
        <v/>
      </c>
      <c r="H1159" s="42">
        <f>IFERROR(INDEX('Semrush Data'!$A$1:$Z$20000,MATCH(A1159,'Semrush Data'!$A$1:$A$20000,0),MATCH("Keyword Difficulty*",'Semrush Data'!$A$1:$Z$1,0)),"")</f>
        <v/>
      </c>
      <c r="I1159" s="56">
        <f>IFERROR(INDEX('Semrush Data'!$A$1:$Z$20000,MATCH(A1159,'Semrush Data'!$A$1:$A$20000,0),MATCH("CPC*",'Semrush Data'!$A$1:$Z$1,0)),"")</f>
        <v/>
      </c>
      <c r="J1159" s="42">
        <f>IFERROR(INDEX('Semrush Data'!$A$1:$Z$20000,MATCH(A1159,'Semrush Data'!$A$1:$A$20000,0),MATCH("Intent",'Semrush Data'!$A$1:$Z$1,0)),"")</f>
        <v/>
      </c>
    </row>
    <row r="1160" ht="15" customHeight="1" s="37">
      <c r="A1160" s="42" t="inlineStr">
        <is>
          <t>paloma picasso uk</t>
        </is>
      </c>
      <c r="B1160" s="42" t="inlineStr">
        <is>
          <t>Product + UK</t>
        </is>
      </c>
      <c r="C1160" s="42" t="n">
        <v>2</v>
      </c>
      <c r="D1160" s="42" t="inlineStr">
        <is>
          <t>T2-1</t>
        </is>
      </c>
      <c r="E1160" s="42" t="n">
        <v>1</v>
      </c>
      <c r="F1160" s="42" t="inlineStr">
        <is>
          <t>FR-304</t>
        </is>
      </c>
      <c r="G1160" s="55">
        <f>IFERROR(INDEX('Semrush Data'!$A$1:$Z$20000,MATCH(A1160,'Semrush Data'!$A$1:$A$20000,0),MATCH("Volume",'Semrush Data'!$A$1:$Z$1,0)),"")</f>
        <v/>
      </c>
      <c r="H1160" s="42">
        <f>IFERROR(INDEX('Semrush Data'!$A$1:$Z$20000,MATCH(A1160,'Semrush Data'!$A$1:$A$20000,0),MATCH("Keyword Difficulty*",'Semrush Data'!$A$1:$Z$1,0)),"")</f>
        <v/>
      </c>
      <c r="I1160" s="56">
        <f>IFERROR(INDEX('Semrush Data'!$A$1:$Z$20000,MATCH(A1160,'Semrush Data'!$A$1:$A$20000,0),MATCH("CPC*",'Semrush Data'!$A$1:$Z$1,0)),"")</f>
        <v/>
      </c>
      <c r="J1160" s="42">
        <f>IFERROR(INDEX('Semrush Data'!$A$1:$Z$20000,MATCH(A1160,'Semrush Data'!$A$1:$A$20000,0),MATCH("Intent",'Semrush Data'!$A$1:$Z$1,0)),"")</f>
        <v/>
      </c>
    </row>
    <row r="1161" ht="15" customHeight="1" s="37">
      <c r="A1161" s="42" t="inlineStr">
        <is>
          <t>philipp plein no limits after shave balm uk</t>
        </is>
      </c>
      <c r="B1161" s="42" t="inlineStr">
        <is>
          <t>Product + UK</t>
        </is>
      </c>
      <c r="C1161" s="42" t="n">
        <v>2</v>
      </c>
      <c r="D1161" s="42" t="n">
        <v>12</v>
      </c>
      <c r="E1161" s="42" t="n">
        <v>1</v>
      </c>
      <c r="F1161" s="42" t="inlineStr">
        <is>
          <t>FR-307</t>
        </is>
      </c>
      <c r="G1161" s="55">
        <f>IFERROR(INDEX('Semrush Data'!$A$1:$Z$20000,MATCH(A1161,'Semrush Data'!$A$1:$A$20000,0),MATCH("Volume",'Semrush Data'!$A$1:$Z$1,0)),"")</f>
        <v/>
      </c>
      <c r="H1161" s="42">
        <f>IFERROR(INDEX('Semrush Data'!$A$1:$Z$20000,MATCH(A1161,'Semrush Data'!$A$1:$A$20000,0),MATCH("Keyword Difficulty*",'Semrush Data'!$A$1:$Z$1,0)),"")</f>
        <v/>
      </c>
      <c r="I1161" s="56">
        <f>IFERROR(INDEX('Semrush Data'!$A$1:$Z$20000,MATCH(A1161,'Semrush Data'!$A$1:$A$20000,0),MATCH("CPC*",'Semrush Data'!$A$1:$Z$1,0)),"")</f>
        <v/>
      </c>
      <c r="J1161" s="42">
        <f>IFERROR(INDEX('Semrush Data'!$A$1:$Z$20000,MATCH(A1161,'Semrush Data'!$A$1:$A$20000,0),MATCH("Intent",'Semrush Data'!$A$1:$Z$1,0)),"")</f>
        <v/>
      </c>
    </row>
    <row r="1162" ht="15" customHeight="1" s="37">
      <c r="A1162" s="42" t="inlineStr">
        <is>
          <t>philipp plein no limits deodorant stick uk</t>
        </is>
      </c>
      <c r="B1162" s="42" t="inlineStr">
        <is>
          <t>Product + UK</t>
        </is>
      </c>
      <c r="C1162" s="42" t="n">
        <v>2</v>
      </c>
      <c r="D1162" s="42" t="n">
        <v>12</v>
      </c>
      <c r="E1162" s="42" t="n">
        <v>1</v>
      </c>
      <c r="F1162" s="42" t="inlineStr">
        <is>
          <t>FR-305</t>
        </is>
      </c>
      <c r="G1162" s="55">
        <f>IFERROR(INDEX('Semrush Data'!$A$1:$Z$20000,MATCH(A1162,'Semrush Data'!$A$1:$A$20000,0),MATCH("Volume",'Semrush Data'!$A$1:$Z$1,0)),"")</f>
        <v/>
      </c>
      <c r="H1162" s="42">
        <f>IFERROR(INDEX('Semrush Data'!$A$1:$Z$20000,MATCH(A1162,'Semrush Data'!$A$1:$A$20000,0),MATCH("Keyword Difficulty*",'Semrush Data'!$A$1:$Z$1,0)),"")</f>
        <v/>
      </c>
      <c r="I1162" s="56">
        <f>IFERROR(INDEX('Semrush Data'!$A$1:$Z$20000,MATCH(A1162,'Semrush Data'!$A$1:$A$20000,0),MATCH("CPC*",'Semrush Data'!$A$1:$Z$1,0)),"")</f>
        <v/>
      </c>
      <c r="J1162" s="42">
        <f>IFERROR(INDEX('Semrush Data'!$A$1:$Z$20000,MATCH(A1162,'Semrush Data'!$A$1:$A$20000,0),MATCH("Intent",'Semrush Data'!$A$1:$Z$1,0)),"")</f>
        <v/>
      </c>
    </row>
    <row r="1163" ht="15" customHeight="1" s="37">
      <c r="A1163" s="42" t="inlineStr">
        <is>
          <t>philipp plein no limits super fresh uk</t>
        </is>
      </c>
      <c r="B1163" s="42" t="inlineStr">
        <is>
          <t>Product + UK</t>
        </is>
      </c>
      <c r="C1163" s="42" t="n">
        <v>2</v>
      </c>
      <c r="D1163" s="42" t="n">
        <v>12</v>
      </c>
      <c r="E1163" s="42" t="n">
        <v>1</v>
      </c>
      <c r="F1163" s="42" t="inlineStr">
        <is>
          <t>FR-306</t>
        </is>
      </c>
      <c r="G1163" s="55">
        <f>IFERROR(INDEX('Semrush Data'!$A$1:$Z$20000,MATCH(A1163,'Semrush Data'!$A$1:$A$20000,0),MATCH("Volume",'Semrush Data'!$A$1:$Z$1,0)),"")</f>
        <v/>
      </c>
      <c r="H1163" s="42">
        <f>IFERROR(INDEX('Semrush Data'!$A$1:$Z$20000,MATCH(A1163,'Semrush Data'!$A$1:$A$20000,0),MATCH("Keyword Difficulty*",'Semrush Data'!$A$1:$Z$1,0)),"")</f>
        <v/>
      </c>
      <c r="I1163" s="56">
        <f>IFERROR(INDEX('Semrush Data'!$A$1:$Z$20000,MATCH(A1163,'Semrush Data'!$A$1:$A$20000,0),MATCH("CPC*",'Semrush Data'!$A$1:$Z$1,0)),"")</f>
        <v/>
      </c>
      <c r="J1163" s="42">
        <f>IFERROR(INDEX('Semrush Data'!$A$1:$Z$20000,MATCH(A1163,'Semrush Data'!$A$1:$A$20000,0),MATCH("Intent",'Semrush Data'!$A$1:$Z$1,0)),"")</f>
        <v/>
      </c>
    </row>
    <row r="1164" ht="15" customHeight="1" s="37">
      <c r="A1164" s="42" t="inlineStr">
        <is>
          <t>rihanah ajwaa oud uk</t>
        </is>
      </c>
      <c r="B1164" s="42" t="inlineStr">
        <is>
          <t>Product + UK</t>
        </is>
      </c>
      <c r="C1164" s="42" t="n">
        <v>2</v>
      </c>
      <c r="D1164" s="42" t="n">
        <v>12</v>
      </c>
      <c r="E1164" s="42" t="n">
        <v>1</v>
      </c>
      <c r="F1164" s="42" t="inlineStr">
        <is>
          <t>FR-308</t>
        </is>
      </c>
      <c r="G1164" s="55">
        <f>IFERROR(INDEX('Semrush Data'!$A$1:$Z$20000,MATCH(A1164,'Semrush Data'!$A$1:$A$20000,0),MATCH("Volume",'Semrush Data'!$A$1:$Z$1,0)),"")</f>
        <v/>
      </c>
      <c r="H1164" s="42">
        <f>IFERROR(INDEX('Semrush Data'!$A$1:$Z$20000,MATCH(A1164,'Semrush Data'!$A$1:$A$20000,0),MATCH("Keyword Difficulty*",'Semrush Data'!$A$1:$Z$1,0)),"")</f>
        <v/>
      </c>
      <c r="I1164" s="56">
        <f>IFERROR(INDEX('Semrush Data'!$A$1:$Z$20000,MATCH(A1164,'Semrush Data'!$A$1:$A$20000,0),MATCH("CPC*",'Semrush Data'!$A$1:$Z$1,0)),"")</f>
        <v/>
      </c>
      <c r="J1164" s="42">
        <f>IFERROR(INDEX('Semrush Data'!$A$1:$Z$20000,MATCH(A1164,'Semrush Data'!$A$1:$A$20000,0),MATCH("Intent",'Semrush Data'!$A$1:$Z$1,0)),"")</f>
        <v/>
      </c>
    </row>
    <row r="1165" ht="15" customHeight="1" s="37">
      <c r="A1165" s="42" t="inlineStr">
        <is>
          <t>roll it 1 uk</t>
        </is>
      </c>
      <c r="B1165" s="42" t="inlineStr">
        <is>
          <t>Product + UK</t>
        </is>
      </c>
      <c r="C1165" s="42" t="n">
        <v>2</v>
      </c>
      <c r="D1165" s="42" t="n">
        <v>12</v>
      </c>
      <c r="E1165" s="42" t="n">
        <v>1</v>
      </c>
      <c r="F1165" s="42" t="inlineStr">
        <is>
          <t>FR-210</t>
        </is>
      </c>
      <c r="G1165" s="55">
        <f>IFERROR(INDEX('Semrush Data'!$A$1:$Z$20000,MATCH(A1165,'Semrush Data'!$A$1:$A$20000,0),MATCH("Volume",'Semrush Data'!$A$1:$Z$1,0)),"")</f>
        <v/>
      </c>
      <c r="H1165" s="42">
        <f>IFERROR(INDEX('Semrush Data'!$A$1:$Z$20000,MATCH(A1165,'Semrush Data'!$A$1:$A$20000,0),MATCH("Keyword Difficulty*",'Semrush Data'!$A$1:$Z$1,0)),"")</f>
        <v/>
      </c>
      <c r="I1165" s="56">
        <f>IFERROR(INDEX('Semrush Data'!$A$1:$Z$20000,MATCH(A1165,'Semrush Data'!$A$1:$A$20000,0),MATCH("CPC*",'Semrush Data'!$A$1:$Z$1,0)),"")</f>
        <v/>
      </c>
      <c r="J1165" s="42">
        <f>IFERROR(INDEX('Semrush Data'!$A$1:$Z$20000,MATCH(A1165,'Semrush Data'!$A$1:$A$20000,0),MATCH("Intent",'Semrush Data'!$A$1:$Z$1,0)),"")</f>
        <v/>
      </c>
    </row>
    <row r="1166" ht="15" customHeight="1" s="37">
      <c r="A1166" s="42" t="inlineStr">
        <is>
          <t>s.t. dupont perfect tobacco uk</t>
        </is>
      </c>
      <c r="B1166" s="42" t="inlineStr">
        <is>
          <t>Product + UK</t>
        </is>
      </c>
      <c r="C1166" s="42" t="n">
        <v>2</v>
      </c>
      <c r="D1166" s="42" t="n">
        <v>12</v>
      </c>
      <c r="E1166" s="42" t="n">
        <v>1</v>
      </c>
      <c r="F1166" s="42" t="inlineStr">
        <is>
          <t>FR-309</t>
        </is>
      </c>
      <c r="G1166" s="55">
        <f>IFERROR(INDEX('Semrush Data'!$A$1:$Z$20000,MATCH(A1166,'Semrush Data'!$A$1:$A$20000,0),MATCH("Volume",'Semrush Data'!$A$1:$Z$1,0)),"")</f>
        <v/>
      </c>
      <c r="H1166" s="42">
        <f>IFERROR(INDEX('Semrush Data'!$A$1:$Z$20000,MATCH(A1166,'Semrush Data'!$A$1:$A$20000,0),MATCH("Keyword Difficulty*",'Semrush Data'!$A$1:$Z$1,0)),"")</f>
        <v/>
      </c>
      <c r="I1166" s="56">
        <f>IFERROR(INDEX('Semrush Data'!$A$1:$Z$20000,MATCH(A1166,'Semrush Data'!$A$1:$A$20000,0),MATCH("CPC*",'Semrush Data'!$A$1:$Z$1,0)),"")</f>
        <v/>
      </c>
      <c r="J1166" s="42">
        <f>IFERROR(INDEX('Semrush Data'!$A$1:$Z$20000,MATCH(A1166,'Semrush Data'!$A$1:$A$20000,0),MATCH("Intent",'Semrush Data'!$A$1:$Z$1,0)),"")</f>
        <v/>
      </c>
    </row>
    <row r="1167" ht="15" customHeight="1" s="37">
      <c r="A1167" s="42" t="inlineStr">
        <is>
          <t>s.t. dupont pure bloom uk</t>
        </is>
      </c>
      <c r="B1167" s="42" t="inlineStr">
        <is>
          <t>Product + UK</t>
        </is>
      </c>
      <c r="C1167" s="42" t="n">
        <v>2</v>
      </c>
      <c r="D1167" s="42" t="n">
        <v>12</v>
      </c>
      <c r="E1167" s="42" t="n">
        <v>1</v>
      </c>
      <c r="F1167" s="42" t="inlineStr">
        <is>
          <t>FR-310</t>
        </is>
      </c>
      <c r="G1167" s="55">
        <f>IFERROR(INDEX('Semrush Data'!$A$1:$Z$20000,MATCH(A1167,'Semrush Data'!$A$1:$A$20000,0),MATCH("Volume",'Semrush Data'!$A$1:$Z$1,0)),"")</f>
        <v/>
      </c>
      <c r="H1167" s="42">
        <f>IFERROR(INDEX('Semrush Data'!$A$1:$Z$20000,MATCH(A1167,'Semrush Data'!$A$1:$A$20000,0),MATCH("Keyword Difficulty*",'Semrush Data'!$A$1:$Z$1,0)),"")</f>
        <v/>
      </c>
      <c r="I1167" s="56">
        <f>IFERROR(INDEX('Semrush Data'!$A$1:$Z$20000,MATCH(A1167,'Semrush Data'!$A$1:$A$20000,0),MATCH("CPC*",'Semrush Data'!$A$1:$Z$1,0)),"")</f>
        <v/>
      </c>
      <c r="J1167" s="42">
        <f>IFERROR(INDEX('Semrush Data'!$A$1:$Z$20000,MATCH(A1167,'Semrush Data'!$A$1:$A$20000,0),MATCH("Intent",'Semrush Data'!$A$1:$Z$1,0)),"")</f>
        <v/>
      </c>
    </row>
    <row r="1168" ht="15" customHeight="1" s="37">
      <c r="A1168" s="42" t="inlineStr">
        <is>
          <t>s.t. dupont royal amber uk</t>
        </is>
      </c>
      <c r="B1168" s="42" t="inlineStr">
        <is>
          <t>Product + UK</t>
        </is>
      </c>
      <c r="C1168" s="42" t="n">
        <v>2</v>
      </c>
      <c r="D1168" s="42" t="n">
        <v>12</v>
      </c>
      <c r="E1168" s="42" t="n">
        <v>1</v>
      </c>
      <c r="F1168" s="42" t="inlineStr">
        <is>
          <t>FR-311</t>
        </is>
      </c>
      <c r="G1168" s="55">
        <f>IFERROR(INDEX('Semrush Data'!$A$1:$Z$20000,MATCH(A1168,'Semrush Data'!$A$1:$A$20000,0),MATCH("Volume",'Semrush Data'!$A$1:$Z$1,0)),"")</f>
        <v/>
      </c>
      <c r="H1168" s="42">
        <f>IFERROR(INDEX('Semrush Data'!$A$1:$Z$20000,MATCH(A1168,'Semrush Data'!$A$1:$A$20000,0),MATCH("Keyword Difficulty*",'Semrush Data'!$A$1:$Z$1,0)),"")</f>
        <v/>
      </c>
      <c r="I1168" s="56">
        <f>IFERROR(INDEX('Semrush Data'!$A$1:$Z$20000,MATCH(A1168,'Semrush Data'!$A$1:$A$20000,0),MATCH("CPC*",'Semrush Data'!$A$1:$Z$1,0)),"")</f>
        <v/>
      </c>
      <c r="J1168" s="42">
        <f>IFERROR(INDEX('Semrush Data'!$A$1:$Z$20000,MATCH(A1168,'Semrush Data'!$A$1:$A$20000,0),MATCH("Intent",'Semrush Data'!$A$1:$Z$1,0)),"")</f>
        <v/>
      </c>
    </row>
    <row r="1169" ht="15" customHeight="1" s="37">
      <c r="A1169" s="42" t="inlineStr">
        <is>
          <t>sap le roi uk</t>
        </is>
      </c>
      <c r="B1169" s="42" t="inlineStr">
        <is>
          <t>Product + UK</t>
        </is>
      </c>
      <c r="C1169" s="42" t="n">
        <v>2</v>
      </c>
      <c r="D1169" s="42" t="n">
        <v>12</v>
      </c>
      <c r="E1169" s="42" t="n">
        <v>1</v>
      </c>
      <c r="F1169" s="42" t="inlineStr">
        <is>
          <t>FR-312</t>
        </is>
      </c>
      <c r="G1169" s="55">
        <f>IFERROR(INDEX('Semrush Data'!$A$1:$Z$20000,MATCH(A1169,'Semrush Data'!$A$1:$A$20000,0),MATCH("Volume",'Semrush Data'!$A$1:$Z$1,0)),"")</f>
        <v/>
      </c>
      <c r="H1169" s="42">
        <f>IFERROR(INDEX('Semrush Data'!$A$1:$Z$20000,MATCH(A1169,'Semrush Data'!$A$1:$A$20000,0),MATCH("Keyword Difficulty*",'Semrush Data'!$A$1:$Z$1,0)),"")</f>
        <v/>
      </c>
      <c r="I1169" s="56">
        <f>IFERROR(INDEX('Semrush Data'!$A$1:$Z$20000,MATCH(A1169,'Semrush Data'!$A$1:$A$20000,0),MATCH("CPC*",'Semrush Data'!$A$1:$Z$1,0)),"")</f>
        <v/>
      </c>
      <c r="J1169" s="42">
        <f>IFERROR(INDEX('Semrush Data'!$A$1:$Z$20000,MATCH(A1169,'Semrush Data'!$A$1:$A$20000,0),MATCH("Intent",'Semrush Data'!$A$1:$Z$1,0)),"")</f>
        <v/>
      </c>
    </row>
    <row r="1170" ht="15" customHeight="1" s="37">
      <c r="A1170" s="42" t="inlineStr">
        <is>
          <t>sap oud leopard fr uk</t>
        </is>
      </c>
      <c r="B1170" s="42" t="inlineStr">
        <is>
          <t>Product + UK</t>
        </is>
      </c>
      <c r="C1170" s="42" t="n">
        <v>2</v>
      </c>
      <c r="D1170" s="42" t="n">
        <v>12</v>
      </c>
      <c r="E1170" s="42" t="n">
        <v>1</v>
      </c>
      <c r="F1170" s="42" t="inlineStr">
        <is>
          <t>FR-313</t>
        </is>
      </c>
      <c r="G1170" s="55">
        <f>IFERROR(INDEX('Semrush Data'!$A$1:$Z$20000,MATCH(A1170,'Semrush Data'!$A$1:$A$20000,0),MATCH("Volume",'Semrush Data'!$A$1:$Z$1,0)),"")</f>
        <v/>
      </c>
      <c r="H1170" s="42">
        <f>IFERROR(INDEX('Semrush Data'!$A$1:$Z$20000,MATCH(A1170,'Semrush Data'!$A$1:$A$20000,0),MATCH("Keyword Difficulty*",'Semrush Data'!$A$1:$Z$1,0)),"")</f>
        <v/>
      </c>
      <c r="I1170" s="56">
        <f>IFERROR(INDEX('Semrush Data'!$A$1:$Z$20000,MATCH(A1170,'Semrush Data'!$A$1:$A$20000,0),MATCH("CPC*",'Semrush Data'!$A$1:$Z$1,0)),"")</f>
        <v/>
      </c>
      <c r="J1170" s="42">
        <f>IFERROR(INDEX('Semrush Data'!$A$1:$Z$20000,MATCH(A1170,'Semrush Data'!$A$1:$A$20000,0),MATCH("Intent",'Semrush Data'!$A$1:$Z$1,0)),"")</f>
        <v/>
      </c>
    </row>
    <row r="1171" ht="15" customHeight="1" s="37">
      <c r="A1171" s="42" t="inlineStr">
        <is>
          <t>sap patchouli intense uk</t>
        </is>
      </c>
      <c r="B1171" s="42" t="inlineStr">
        <is>
          <t>Product + UK</t>
        </is>
      </c>
      <c r="C1171" s="42" t="n">
        <v>2</v>
      </c>
      <c r="D1171" s="42" t="n">
        <v>12</v>
      </c>
      <c r="E1171" s="42" t="n">
        <v>1</v>
      </c>
      <c r="F1171" s="42" t="inlineStr">
        <is>
          <t>FR-314</t>
        </is>
      </c>
      <c r="G1171" s="55">
        <f>IFERROR(INDEX('Semrush Data'!$A$1:$Z$20000,MATCH(A1171,'Semrush Data'!$A$1:$A$20000,0),MATCH("Volume",'Semrush Data'!$A$1:$Z$1,0)),"")</f>
        <v/>
      </c>
      <c r="H1171" s="42">
        <f>IFERROR(INDEX('Semrush Data'!$A$1:$Z$20000,MATCH(A1171,'Semrush Data'!$A$1:$A$20000,0),MATCH("Keyword Difficulty*",'Semrush Data'!$A$1:$Z$1,0)),"")</f>
        <v/>
      </c>
      <c r="I1171" s="56">
        <f>IFERROR(INDEX('Semrush Data'!$A$1:$Z$20000,MATCH(A1171,'Semrush Data'!$A$1:$A$20000,0),MATCH("CPC*",'Semrush Data'!$A$1:$Z$1,0)),"")</f>
        <v/>
      </c>
      <c r="J1171" s="42">
        <f>IFERROR(INDEX('Semrush Data'!$A$1:$Z$20000,MATCH(A1171,'Semrush Data'!$A$1:$A$20000,0),MATCH("Intent",'Semrush Data'!$A$1:$Z$1,0)),"")</f>
        <v/>
      </c>
    </row>
    <row r="1172" ht="15" customHeight="1" s="37">
      <c r="A1172" s="42" t="inlineStr">
        <is>
          <t>sap saffron oud uk</t>
        </is>
      </c>
      <c r="B1172" s="42" t="inlineStr">
        <is>
          <t>Product + UK</t>
        </is>
      </c>
      <c r="C1172" s="42" t="n">
        <v>2</v>
      </c>
      <c r="D1172" s="42" t="n">
        <v>12</v>
      </c>
      <c r="E1172" s="42" t="n">
        <v>1</v>
      </c>
      <c r="F1172" s="42" t="inlineStr">
        <is>
          <t>FR-315</t>
        </is>
      </c>
      <c r="G1172" s="55">
        <f>IFERROR(INDEX('Semrush Data'!$A$1:$Z$20000,MATCH(A1172,'Semrush Data'!$A$1:$A$20000,0),MATCH("Volume",'Semrush Data'!$A$1:$Z$1,0)),"")</f>
        <v/>
      </c>
      <c r="H1172" s="42">
        <f>IFERROR(INDEX('Semrush Data'!$A$1:$Z$20000,MATCH(A1172,'Semrush Data'!$A$1:$A$20000,0),MATCH("Keyword Difficulty*",'Semrush Data'!$A$1:$Z$1,0)),"")</f>
        <v/>
      </c>
      <c r="I1172" s="56">
        <f>IFERROR(INDEX('Semrush Data'!$A$1:$Z$20000,MATCH(A1172,'Semrush Data'!$A$1:$A$20000,0),MATCH("CPC*",'Semrush Data'!$A$1:$Z$1,0)),"")</f>
        <v/>
      </c>
      <c r="J1172" s="42">
        <f>IFERROR(INDEX('Semrush Data'!$A$1:$Z$20000,MATCH(A1172,'Semrush Data'!$A$1:$A$20000,0),MATCH("Intent",'Semrush Data'!$A$1:$Z$1,0)),"")</f>
        <v/>
      </c>
    </row>
    <row r="1173" ht="15" customHeight="1" s="37">
      <c r="A1173" s="42" t="inlineStr">
        <is>
          <t>sap vert club uk</t>
        </is>
      </c>
      <c r="B1173" s="42" t="inlineStr">
        <is>
          <t>Product + UK</t>
        </is>
      </c>
      <c r="C1173" s="42" t="n">
        <v>2</v>
      </c>
      <c r="D1173" s="42" t="n">
        <v>12</v>
      </c>
      <c r="E1173" s="42" t="n">
        <v>1</v>
      </c>
      <c r="F1173" s="42" t="inlineStr">
        <is>
          <t>FR-316</t>
        </is>
      </c>
      <c r="G1173" s="55">
        <f>IFERROR(INDEX('Semrush Data'!$A$1:$Z$20000,MATCH(A1173,'Semrush Data'!$A$1:$A$20000,0),MATCH("Volume",'Semrush Data'!$A$1:$Z$1,0)),"")</f>
        <v/>
      </c>
      <c r="H1173" s="42">
        <f>IFERROR(INDEX('Semrush Data'!$A$1:$Z$20000,MATCH(A1173,'Semrush Data'!$A$1:$A$20000,0),MATCH("Keyword Difficulty*",'Semrush Data'!$A$1:$Z$1,0)),"")</f>
        <v/>
      </c>
      <c r="I1173" s="56">
        <f>IFERROR(INDEX('Semrush Data'!$A$1:$Z$20000,MATCH(A1173,'Semrush Data'!$A$1:$A$20000,0),MATCH("CPC*",'Semrush Data'!$A$1:$Z$1,0)),"")</f>
        <v/>
      </c>
      <c r="J1173" s="42">
        <f>IFERROR(INDEX('Semrush Data'!$A$1:$Z$20000,MATCH(A1173,'Semrush Data'!$A$1:$A$20000,0),MATCH("Intent",'Semrush Data'!$A$1:$Z$1,0)),"")</f>
        <v/>
      </c>
    </row>
    <row r="1174" ht="15" customHeight="1" s="37">
      <c r="A1174" s="42" t="inlineStr">
        <is>
          <t>serge lutens la fille de berlin uk</t>
        </is>
      </c>
      <c r="B1174" s="42" t="inlineStr">
        <is>
          <t>Product + UK</t>
        </is>
      </c>
      <c r="C1174" s="42" t="n">
        <v>2</v>
      </c>
      <c r="D1174" s="42" t="inlineStr">
        <is>
          <t>T2-2</t>
        </is>
      </c>
      <c r="E1174" s="42" t="n">
        <v>1</v>
      </c>
      <c r="F1174" s="42" t="inlineStr">
        <is>
          <t>FR-317</t>
        </is>
      </c>
      <c r="G1174" s="55">
        <f>IFERROR(INDEX('Semrush Data'!$A$1:$Z$20000,MATCH(A1174,'Semrush Data'!$A$1:$A$20000,0),MATCH("Volume",'Semrush Data'!$A$1:$Z$1,0)),"")</f>
        <v/>
      </c>
      <c r="H1174" s="42">
        <f>IFERROR(INDEX('Semrush Data'!$A$1:$Z$20000,MATCH(A1174,'Semrush Data'!$A$1:$A$20000,0),MATCH("Keyword Difficulty*",'Semrush Data'!$A$1:$Z$1,0)),"")</f>
        <v/>
      </c>
      <c r="I1174" s="56">
        <f>IFERROR(INDEX('Semrush Data'!$A$1:$Z$20000,MATCH(A1174,'Semrush Data'!$A$1:$A$20000,0),MATCH("CPC*",'Semrush Data'!$A$1:$Z$1,0)),"")</f>
        <v/>
      </c>
      <c r="J1174" s="42">
        <f>IFERROR(INDEX('Semrush Data'!$A$1:$Z$20000,MATCH(A1174,'Semrush Data'!$A$1:$A$20000,0),MATCH("Intent",'Semrush Data'!$A$1:$Z$1,0)),"")</f>
        <v/>
      </c>
    </row>
    <row r="1175" ht="15" customHeight="1" s="37">
      <c r="A1175" s="42" t="inlineStr">
        <is>
          <t>shiseido zen uk</t>
        </is>
      </c>
      <c r="B1175" s="42" t="inlineStr">
        <is>
          <t>Product + UK</t>
        </is>
      </c>
      <c r="C1175" s="42" t="n">
        <v>2</v>
      </c>
      <c r="D1175" s="42" t="inlineStr">
        <is>
          <t>T2-2</t>
        </is>
      </c>
      <c r="E1175" s="42" t="n">
        <v>1</v>
      </c>
      <c r="F1175" s="42" t="inlineStr">
        <is>
          <t>FR-318</t>
        </is>
      </c>
      <c r="G1175" s="55">
        <f>IFERROR(INDEX('Semrush Data'!$A$1:$Z$20000,MATCH(A1175,'Semrush Data'!$A$1:$A$20000,0),MATCH("Volume",'Semrush Data'!$A$1:$Z$1,0)),"")</f>
        <v/>
      </c>
      <c r="H1175" s="42">
        <f>IFERROR(INDEX('Semrush Data'!$A$1:$Z$20000,MATCH(A1175,'Semrush Data'!$A$1:$A$20000,0),MATCH("Keyword Difficulty*",'Semrush Data'!$A$1:$Z$1,0)),"")</f>
        <v/>
      </c>
      <c r="I1175" s="56">
        <f>IFERROR(INDEX('Semrush Data'!$A$1:$Z$20000,MATCH(A1175,'Semrush Data'!$A$1:$A$20000,0),MATCH("CPC*",'Semrush Data'!$A$1:$Z$1,0)),"")</f>
        <v/>
      </c>
      <c r="J1175" s="42">
        <f>IFERROR(INDEX('Semrush Data'!$A$1:$Z$20000,MATCH(A1175,'Semrush Data'!$A$1:$A$20000,0),MATCH("Intent",'Semrush Data'!$A$1:$Z$1,0)),"")</f>
        <v/>
      </c>
    </row>
    <row r="1176" ht="15" customHeight="1" s="37">
      <c r="A1176" s="42" t="inlineStr">
        <is>
          <t>signature ambre uk</t>
        </is>
      </c>
      <c r="B1176" s="42" t="inlineStr">
        <is>
          <t>Product + UK</t>
        </is>
      </c>
      <c r="C1176" s="42" t="n">
        <v>2</v>
      </c>
      <c r="D1176" s="42" t="n">
        <v>12</v>
      </c>
      <c r="E1176" s="42" t="n">
        <v>1</v>
      </c>
      <c r="F1176" s="42" t="inlineStr">
        <is>
          <t>FR-319</t>
        </is>
      </c>
      <c r="G1176" s="55">
        <f>IFERROR(INDEX('Semrush Data'!$A$1:$Z$20000,MATCH(A1176,'Semrush Data'!$A$1:$A$20000,0),MATCH("Volume",'Semrush Data'!$A$1:$Z$1,0)),"")</f>
        <v/>
      </c>
      <c r="H1176" s="42">
        <f>IFERROR(INDEX('Semrush Data'!$A$1:$Z$20000,MATCH(A1176,'Semrush Data'!$A$1:$A$20000,0),MATCH("Keyword Difficulty*",'Semrush Data'!$A$1:$Z$1,0)),"")</f>
        <v/>
      </c>
      <c r="I1176" s="56">
        <f>IFERROR(INDEX('Semrush Data'!$A$1:$Z$20000,MATCH(A1176,'Semrush Data'!$A$1:$A$20000,0),MATCH("CPC*",'Semrush Data'!$A$1:$Z$1,0)),"")</f>
        <v/>
      </c>
      <c r="J1176" s="42">
        <f>IFERROR(INDEX('Semrush Data'!$A$1:$Z$20000,MATCH(A1176,'Semrush Data'!$A$1:$A$20000,0),MATCH("Intent",'Semrush Data'!$A$1:$Z$1,0)),"")</f>
        <v/>
      </c>
    </row>
    <row r="1177" ht="15" customHeight="1" s="37">
      <c r="A1177" s="42" t="inlineStr">
        <is>
          <t>signature aura uk</t>
        </is>
      </c>
      <c r="B1177" s="42" t="inlineStr">
        <is>
          <t>Product + UK</t>
        </is>
      </c>
      <c r="C1177" s="42" t="n">
        <v>2</v>
      </c>
      <c r="D1177" s="42" t="n">
        <v>12</v>
      </c>
      <c r="E1177" s="42" t="n">
        <v>1</v>
      </c>
      <c r="F1177" s="42" t="inlineStr">
        <is>
          <t>FR-320</t>
        </is>
      </c>
      <c r="G1177" s="55">
        <f>IFERROR(INDEX('Semrush Data'!$A$1:$Z$20000,MATCH(A1177,'Semrush Data'!$A$1:$A$20000,0),MATCH("Volume",'Semrush Data'!$A$1:$Z$1,0)),"")</f>
        <v/>
      </c>
      <c r="H1177" s="42">
        <f>IFERROR(INDEX('Semrush Data'!$A$1:$Z$20000,MATCH(A1177,'Semrush Data'!$A$1:$A$20000,0),MATCH("Keyword Difficulty*",'Semrush Data'!$A$1:$Z$1,0)),"")</f>
        <v/>
      </c>
      <c r="I1177" s="56">
        <f>IFERROR(INDEX('Semrush Data'!$A$1:$Z$20000,MATCH(A1177,'Semrush Data'!$A$1:$A$20000,0),MATCH("CPC*",'Semrush Data'!$A$1:$Z$1,0)),"")</f>
        <v/>
      </c>
      <c r="J1177" s="42">
        <f>IFERROR(INDEX('Semrush Data'!$A$1:$Z$20000,MATCH(A1177,'Semrush Data'!$A$1:$A$20000,0),MATCH("Intent",'Semrush Data'!$A$1:$Z$1,0)),"")</f>
        <v/>
      </c>
    </row>
    <row r="1178" ht="15" customHeight="1" s="37">
      <c r="A1178" s="42" t="inlineStr">
        <is>
          <t>signature black pour homme uk</t>
        </is>
      </c>
      <c r="B1178" s="42" t="inlineStr">
        <is>
          <t>Product + UK</t>
        </is>
      </c>
      <c r="C1178" s="42" t="n">
        <v>2</v>
      </c>
      <c r="D1178" s="42" t="n">
        <v>12</v>
      </c>
      <c r="E1178" s="42" t="n">
        <v>1</v>
      </c>
      <c r="F1178" s="42" t="inlineStr">
        <is>
          <t>FR-321</t>
        </is>
      </c>
      <c r="G1178" s="55">
        <f>IFERROR(INDEX('Semrush Data'!$A$1:$Z$20000,MATCH(A1178,'Semrush Data'!$A$1:$A$20000,0),MATCH("Volume",'Semrush Data'!$A$1:$Z$1,0)),"")</f>
        <v/>
      </c>
      <c r="H1178" s="42">
        <f>IFERROR(INDEX('Semrush Data'!$A$1:$Z$20000,MATCH(A1178,'Semrush Data'!$A$1:$A$20000,0),MATCH("Keyword Difficulty*",'Semrush Data'!$A$1:$Z$1,0)),"")</f>
        <v/>
      </c>
      <c r="I1178" s="56">
        <f>IFERROR(INDEX('Semrush Data'!$A$1:$Z$20000,MATCH(A1178,'Semrush Data'!$A$1:$A$20000,0),MATCH("CPC*",'Semrush Data'!$A$1:$Z$1,0)),"")</f>
        <v/>
      </c>
      <c r="J1178" s="42">
        <f>IFERROR(INDEX('Semrush Data'!$A$1:$Z$20000,MATCH(A1178,'Semrush Data'!$A$1:$A$20000,0),MATCH("Intent",'Semrush Data'!$A$1:$Z$1,0)),"")</f>
        <v/>
      </c>
    </row>
    <row r="1179" ht="15" customHeight="1" s="37">
      <c r="A1179" s="42" t="inlineStr">
        <is>
          <t>signature blue uk</t>
        </is>
      </c>
      <c r="B1179" s="42" t="inlineStr">
        <is>
          <t>Product + UK</t>
        </is>
      </c>
      <c r="C1179" s="42" t="n">
        <v>2</v>
      </c>
      <c r="D1179" s="42" t="inlineStr">
        <is>
          <t>T2-2</t>
        </is>
      </c>
      <c r="E1179" s="42" t="n">
        <v>1</v>
      </c>
      <c r="F1179" s="42" t="inlineStr">
        <is>
          <t>FR-332</t>
        </is>
      </c>
      <c r="G1179" s="55">
        <f>IFERROR(INDEX('Semrush Data'!$A$1:$Z$20000,MATCH(A1179,'Semrush Data'!$A$1:$A$20000,0),MATCH("Volume",'Semrush Data'!$A$1:$Z$1,0)),"")</f>
        <v/>
      </c>
      <c r="H1179" s="42">
        <f>IFERROR(INDEX('Semrush Data'!$A$1:$Z$20000,MATCH(A1179,'Semrush Data'!$A$1:$A$20000,0),MATCH("Keyword Difficulty*",'Semrush Data'!$A$1:$Z$1,0)),"")</f>
        <v/>
      </c>
      <c r="I1179" s="56">
        <f>IFERROR(INDEX('Semrush Data'!$A$1:$Z$20000,MATCH(A1179,'Semrush Data'!$A$1:$A$20000,0),MATCH("CPC*",'Semrush Data'!$A$1:$Z$1,0)),"")</f>
        <v/>
      </c>
      <c r="J1179" s="42">
        <f>IFERROR(INDEX('Semrush Data'!$A$1:$Z$20000,MATCH(A1179,'Semrush Data'!$A$1:$A$20000,0),MATCH("Intent",'Semrush Data'!$A$1:$Z$1,0)),"")</f>
        <v/>
      </c>
    </row>
    <row r="1180" ht="15" customHeight="1" s="37">
      <c r="A1180" s="42" t="inlineStr">
        <is>
          <t>signature charm uk</t>
        </is>
      </c>
      <c r="B1180" s="42" t="inlineStr">
        <is>
          <t>Product + UK</t>
        </is>
      </c>
      <c r="C1180" s="42" t="n">
        <v>2</v>
      </c>
      <c r="D1180" s="42" t="n">
        <v>12</v>
      </c>
      <c r="E1180" s="42" t="n">
        <v>1</v>
      </c>
      <c r="F1180" s="42" t="inlineStr">
        <is>
          <t>FR-322</t>
        </is>
      </c>
      <c r="G1180" s="55">
        <f>IFERROR(INDEX('Semrush Data'!$A$1:$Z$20000,MATCH(A1180,'Semrush Data'!$A$1:$A$20000,0),MATCH("Volume",'Semrush Data'!$A$1:$Z$1,0)),"")</f>
        <v/>
      </c>
      <c r="H1180" s="42">
        <f>IFERROR(INDEX('Semrush Data'!$A$1:$Z$20000,MATCH(A1180,'Semrush Data'!$A$1:$A$20000,0),MATCH("Keyword Difficulty*",'Semrush Data'!$A$1:$Z$1,0)),"")</f>
        <v/>
      </c>
      <c r="I1180" s="56">
        <f>IFERROR(INDEX('Semrush Data'!$A$1:$Z$20000,MATCH(A1180,'Semrush Data'!$A$1:$A$20000,0),MATCH("CPC*",'Semrush Data'!$A$1:$Z$1,0)),"")</f>
        <v/>
      </c>
      <c r="J1180" s="42">
        <f>IFERROR(INDEX('Semrush Data'!$A$1:$Z$20000,MATCH(A1180,'Semrush Data'!$A$1:$A$20000,0),MATCH("Intent",'Semrush Data'!$A$1:$Z$1,0)),"")</f>
        <v/>
      </c>
    </row>
    <row r="1181" ht="15" customHeight="1" s="37">
      <c r="A1181" s="42" t="inlineStr">
        <is>
          <t>signature diamond uk</t>
        </is>
      </c>
      <c r="B1181" s="42" t="inlineStr">
        <is>
          <t>Product + UK</t>
        </is>
      </c>
      <c r="C1181" s="42" t="n">
        <v>2</v>
      </c>
      <c r="D1181" s="42" t="n">
        <v>12</v>
      </c>
      <c r="E1181" s="42" t="n">
        <v>1</v>
      </c>
      <c r="F1181" s="42" t="inlineStr">
        <is>
          <t>FR-330</t>
        </is>
      </c>
      <c r="G1181" s="55">
        <f>IFERROR(INDEX('Semrush Data'!$A$1:$Z$20000,MATCH(A1181,'Semrush Data'!$A$1:$A$20000,0),MATCH("Volume",'Semrush Data'!$A$1:$Z$1,0)),"")</f>
        <v/>
      </c>
      <c r="H1181" s="42">
        <f>IFERROR(INDEX('Semrush Data'!$A$1:$Z$20000,MATCH(A1181,'Semrush Data'!$A$1:$A$20000,0),MATCH("Keyword Difficulty*",'Semrush Data'!$A$1:$Z$1,0)),"")</f>
        <v/>
      </c>
      <c r="I1181" s="56">
        <f>IFERROR(INDEX('Semrush Data'!$A$1:$Z$20000,MATCH(A1181,'Semrush Data'!$A$1:$A$20000,0),MATCH("CPC*",'Semrush Data'!$A$1:$Z$1,0)),"")</f>
        <v/>
      </c>
      <c r="J1181" s="42">
        <f>IFERROR(INDEX('Semrush Data'!$A$1:$Z$20000,MATCH(A1181,'Semrush Data'!$A$1:$A$20000,0),MATCH("Intent",'Semrush Data'!$A$1:$Z$1,0)),"")</f>
        <v/>
      </c>
    </row>
    <row r="1182" ht="15" customHeight="1" s="37">
      <c r="A1182" s="42" t="inlineStr">
        <is>
          <t>signature discovery set uk</t>
        </is>
      </c>
      <c r="B1182" s="42" t="inlineStr">
        <is>
          <t>Product + UK</t>
        </is>
      </c>
      <c r="C1182" s="42" t="n">
        <v>2</v>
      </c>
      <c r="D1182" s="42" t="n">
        <v>12</v>
      </c>
      <c r="E1182" s="42" t="n">
        <v>1</v>
      </c>
      <c r="F1182" s="42" t="inlineStr">
        <is>
          <t>FR-331</t>
        </is>
      </c>
      <c r="G1182" s="55">
        <f>IFERROR(INDEX('Semrush Data'!$A$1:$Z$20000,MATCH(A1182,'Semrush Data'!$A$1:$A$20000,0),MATCH("Volume",'Semrush Data'!$A$1:$Z$1,0)),"")</f>
        <v/>
      </c>
      <c r="H1182" s="42">
        <f>IFERROR(INDEX('Semrush Data'!$A$1:$Z$20000,MATCH(A1182,'Semrush Data'!$A$1:$A$20000,0),MATCH("Keyword Difficulty*",'Semrush Data'!$A$1:$Z$1,0)),"")</f>
        <v/>
      </c>
      <c r="I1182" s="56">
        <f>IFERROR(INDEX('Semrush Data'!$A$1:$Z$20000,MATCH(A1182,'Semrush Data'!$A$1:$A$20000,0),MATCH("CPC*",'Semrush Data'!$A$1:$Z$1,0)),"")</f>
        <v/>
      </c>
      <c r="J1182" s="42">
        <f>IFERROR(INDEX('Semrush Data'!$A$1:$Z$20000,MATCH(A1182,'Semrush Data'!$A$1:$A$20000,0),MATCH("Intent",'Semrush Data'!$A$1:$Z$1,0)),"")</f>
        <v/>
      </c>
    </row>
    <row r="1183" ht="15" customHeight="1" s="37">
      <c r="A1183" s="42" t="inlineStr">
        <is>
          <t>signature jade uk</t>
        </is>
      </c>
      <c r="B1183" s="42" t="inlineStr">
        <is>
          <t>Product + UK</t>
        </is>
      </c>
      <c r="C1183" s="42" t="n">
        <v>2</v>
      </c>
      <c r="D1183" s="42" t="n">
        <v>12</v>
      </c>
      <c r="E1183" s="42" t="n">
        <v>1</v>
      </c>
      <c r="F1183" s="42" t="inlineStr">
        <is>
          <t>FR-333</t>
        </is>
      </c>
      <c r="G1183" s="55">
        <f>IFERROR(INDEX('Semrush Data'!$A$1:$Z$20000,MATCH(A1183,'Semrush Data'!$A$1:$A$20000,0),MATCH("Volume",'Semrush Data'!$A$1:$Z$1,0)),"")</f>
        <v/>
      </c>
      <c r="H1183" s="42">
        <f>IFERROR(INDEX('Semrush Data'!$A$1:$Z$20000,MATCH(A1183,'Semrush Data'!$A$1:$A$20000,0),MATCH("Keyword Difficulty*",'Semrush Data'!$A$1:$Z$1,0)),"")</f>
        <v/>
      </c>
      <c r="I1183" s="56">
        <f>IFERROR(INDEX('Semrush Data'!$A$1:$Z$20000,MATCH(A1183,'Semrush Data'!$A$1:$A$20000,0),MATCH("CPC*",'Semrush Data'!$A$1:$Z$1,0)),"")</f>
        <v/>
      </c>
      <c r="J1183" s="42">
        <f>IFERROR(INDEX('Semrush Data'!$A$1:$Z$20000,MATCH(A1183,'Semrush Data'!$A$1:$A$20000,0),MATCH("Intent",'Semrush Data'!$A$1:$Z$1,0)),"")</f>
        <v/>
      </c>
    </row>
    <row r="1184" ht="15" customHeight="1" s="37">
      <c r="A1184" s="42" t="inlineStr">
        <is>
          <t>signature le femme gold uk</t>
        </is>
      </c>
      <c r="B1184" s="42" t="inlineStr">
        <is>
          <t>Product + UK</t>
        </is>
      </c>
      <c r="C1184" s="42" t="n">
        <v>2</v>
      </c>
      <c r="D1184" s="42" t="n">
        <v>12</v>
      </c>
      <c r="E1184" s="42" t="n">
        <v>1</v>
      </c>
      <c r="F1184" s="42" t="inlineStr">
        <is>
          <t>FR-323</t>
        </is>
      </c>
      <c r="G1184" s="55">
        <f>IFERROR(INDEX('Semrush Data'!$A$1:$Z$20000,MATCH(A1184,'Semrush Data'!$A$1:$A$20000,0),MATCH("Volume",'Semrush Data'!$A$1:$Z$1,0)),"")</f>
        <v/>
      </c>
      <c r="H1184" s="42">
        <f>IFERROR(INDEX('Semrush Data'!$A$1:$Z$20000,MATCH(A1184,'Semrush Data'!$A$1:$A$20000,0),MATCH("Keyword Difficulty*",'Semrush Data'!$A$1:$Z$1,0)),"")</f>
        <v/>
      </c>
      <c r="I1184" s="56">
        <f>IFERROR(INDEX('Semrush Data'!$A$1:$Z$20000,MATCH(A1184,'Semrush Data'!$A$1:$A$20000,0),MATCH("CPC*",'Semrush Data'!$A$1:$Z$1,0)),"")</f>
        <v/>
      </c>
      <c r="J1184" s="42">
        <f>IFERROR(INDEX('Semrush Data'!$A$1:$Z$20000,MATCH(A1184,'Semrush Data'!$A$1:$A$20000,0),MATCH("Intent",'Semrush Data'!$A$1:$Z$1,0)),"")</f>
        <v/>
      </c>
    </row>
    <row r="1185" ht="15" customHeight="1" s="37">
      <c r="A1185" s="42" t="inlineStr">
        <is>
          <t>signature musk uk</t>
        </is>
      </c>
      <c r="B1185" s="42" t="inlineStr">
        <is>
          <t>Product + UK</t>
        </is>
      </c>
      <c r="C1185" s="42" t="n">
        <v>2</v>
      </c>
      <c r="D1185" s="42" t="n">
        <v>12</v>
      </c>
      <c r="E1185" s="42" t="n">
        <v>1</v>
      </c>
      <c r="F1185" s="42" t="inlineStr">
        <is>
          <t>FR-324</t>
        </is>
      </c>
      <c r="G1185" s="55">
        <f>IFERROR(INDEX('Semrush Data'!$A$1:$Z$20000,MATCH(A1185,'Semrush Data'!$A$1:$A$20000,0),MATCH("Volume",'Semrush Data'!$A$1:$Z$1,0)),"")</f>
        <v/>
      </c>
      <c r="H1185" s="42">
        <f>IFERROR(INDEX('Semrush Data'!$A$1:$Z$20000,MATCH(A1185,'Semrush Data'!$A$1:$A$20000,0),MATCH("Keyword Difficulty*",'Semrush Data'!$A$1:$Z$1,0)),"")</f>
        <v/>
      </c>
      <c r="I1185" s="56">
        <f>IFERROR(INDEX('Semrush Data'!$A$1:$Z$20000,MATCH(A1185,'Semrush Data'!$A$1:$A$20000,0),MATCH("CPC*",'Semrush Data'!$A$1:$Z$1,0)),"")</f>
        <v/>
      </c>
      <c r="J1185" s="42">
        <f>IFERROR(INDEX('Semrush Data'!$A$1:$Z$20000,MATCH(A1185,'Semrush Data'!$A$1:$A$20000,0),MATCH("Intent",'Semrush Data'!$A$1:$Z$1,0)),"")</f>
        <v/>
      </c>
    </row>
    <row r="1186" ht="15" customHeight="1" s="37">
      <c r="A1186" s="42" t="inlineStr">
        <is>
          <t>signature onyx uk</t>
        </is>
      </c>
      <c r="B1186" s="42" t="inlineStr">
        <is>
          <t>Product + UK</t>
        </is>
      </c>
      <c r="C1186" s="42" t="n">
        <v>2</v>
      </c>
      <c r="D1186" s="42" t="n">
        <v>12</v>
      </c>
      <c r="E1186" s="42" t="n">
        <v>1</v>
      </c>
      <c r="F1186" s="42" t="inlineStr">
        <is>
          <t>FR-325</t>
        </is>
      </c>
      <c r="G1186" s="55">
        <f>IFERROR(INDEX('Semrush Data'!$A$1:$Z$20000,MATCH(A1186,'Semrush Data'!$A$1:$A$20000,0),MATCH("Volume",'Semrush Data'!$A$1:$Z$1,0)),"")</f>
        <v/>
      </c>
      <c r="H1186" s="42">
        <f>IFERROR(INDEX('Semrush Data'!$A$1:$Z$20000,MATCH(A1186,'Semrush Data'!$A$1:$A$20000,0),MATCH("Keyword Difficulty*",'Semrush Data'!$A$1:$Z$1,0)),"")</f>
        <v/>
      </c>
      <c r="I1186" s="56">
        <f>IFERROR(INDEX('Semrush Data'!$A$1:$Z$20000,MATCH(A1186,'Semrush Data'!$A$1:$A$20000,0),MATCH("CPC*",'Semrush Data'!$A$1:$Z$1,0)),"")</f>
        <v/>
      </c>
      <c r="J1186" s="42">
        <f>IFERROR(INDEX('Semrush Data'!$A$1:$Z$20000,MATCH(A1186,'Semrush Data'!$A$1:$A$20000,0),MATCH("Intent",'Semrush Data'!$A$1:$Z$1,0)),"")</f>
        <v/>
      </c>
    </row>
    <row r="1187" ht="15" customHeight="1" s="37">
      <c r="A1187" s="42" t="inlineStr">
        <is>
          <t>signature opal uk</t>
        </is>
      </c>
      <c r="B1187" s="42" t="inlineStr">
        <is>
          <t>Product + UK</t>
        </is>
      </c>
      <c r="C1187" s="42" t="n">
        <v>2</v>
      </c>
      <c r="D1187" s="42" t="n">
        <v>12</v>
      </c>
      <c r="E1187" s="42" t="n">
        <v>1</v>
      </c>
      <c r="F1187" s="42" t="inlineStr">
        <is>
          <t>FR-326</t>
        </is>
      </c>
      <c r="G1187" s="55">
        <f>IFERROR(INDEX('Semrush Data'!$A$1:$Z$20000,MATCH(A1187,'Semrush Data'!$A$1:$A$20000,0),MATCH("Volume",'Semrush Data'!$A$1:$Z$1,0)),"")</f>
        <v/>
      </c>
      <c r="H1187" s="42">
        <f>IFERROR(INDEX('Semrush Data'!$A$1:$Z$20000,MATCH(A1187,'Semrush Data'!$A$1:$A$20000,0),MATCH("Keyword Difficulty*",'Semrush Data'!$A$1:$Z$1,0)),"")</f>
        <v/>
      </c>
      <c r="I1187" s="56">
        <f>IFERROR(INDEX('Semrush Data'!$A$1:$Z$20000,MATCH(A1187,'Semrush Data'!$A$1:$A$20000,0),MATCH("CPC*",'Semrush Data'!$A$1:$Z$1,0)),"")</f>
        <v/>
      </c>
      <c r="J1187" s="42">
        <f>IFERROR(INDEX('Semrush Data'!$A$1:$Z$20000,MATCH(A1187,'Semrush Data'!$A$1:$A$20000,0),MATCH("Intent",'Semrush Data'!$A$1:$Z$1,0)),"")</f>
        <v/>
      </c>
    </row>
    <row r="1188" ht="15" customHeight="1" s="37">
      <c r="A1188" s="42" t="inlineStr">
        <is>
          <t>signature paradiso uk</t>
        </is>
      </c>
      <c r="B1188" s="42" t="inlineStr">
        <is>
          <t>Product + UK</t>
        </is>
      </c>
      <c r="C1188" s="42" t="n">
        <v>2</v>
      </c>
      <c r="D1188" s="42" t="n">
        <v>12</v>
      </c>
      <c r="E1188" s="42" t="n">
        <v>1</v>
      </c>
      <c r="F1188" s="42" t="inlineStr">
        <is>
          <t>FR-327</t>
        </is>
      </c>
      <c r="G1188" s="55">
        <f>IFERROR(INDEX('Semrush Data'!$A$1:$Z$20000,MATCH(A1188,'Semrush Data'!$A$1:$A$20000,0),MATCH("Volume",'Semrush Data'!$A$1:$Z$1,0)),"")</f>
        <v/>
      </c>
      <c r="H1188" s="42">
        <f>IFERROR(INDEX('Semrush Data'!$A$1:$Z$20000,MATCH(A1188,'Semrush Data'!$A$1:$A$20000,0),MATCH("Keyword Difficulty*",'Semrush Data'!$A$1:$Z$1,0)),"")</f>
        <v/>
      </c>
      <c r="I1188" s="56">
        <f>IFERROR(INDEX('Semrush Data'!$A$1:$Z$20000,MATCH(A1188,'Semrush Data'!$A$1:$A$20000,0),MATCH("CPC*",'Semrush Data'!$A$1:$Z$1,0)),"")</f>
        <v/>
      </c>
      <c r="J1188" s="42">
        <f>IFERROR(INDEX('Semrush Data'!$A$1:$Z$20000,MATCH(A1188,'Semrush Data'!$A$1:$A$20000,0),MATCH("Intent",'Semrush Data'!$A$1:$Z$1,0)),"")</f>
        <v/>
      </c>
    </row>
    <row r="1189" ht="15" customHeight="1" s="37">
      <c r="A1189" s="42" t="inlineStr">
        <is>
          <t>signature rose uk</t>
        </is>
      </c>
      <c r="B1189" s="42" t="inlineStr">
        <is>
          <t>Product + UK</t>
        </is>
      </c>
      <c r="C1189" s="42" t="n">
        <v>2</v>
      </c>
      <c r="D1189" s="42" t="n">
        <v>12</v>
      </c>
      <c r="E1189" s="42" t="n">
        <v>1</v>
      </c>
      <c r="F1189" s="42" t="inlineStr">
        <is>
          <t>FR-334</t>
        </is>
      </c>
      <c r="G1189" s="55">
        <f>IFERROR(INDEX('Semrush Data'!$A$1:$Z$20000,MATCH(A1189,'Semrush Data'!$A$1:$A$20000,0),MATCH("Volume",'Semrush Data'!$A$1:$Z$1,0)),"")</f>
        <v/>
      </c>
      <c r="H1189" s="42">
        <f>IFERROR(INDEX('Semrush Data'!$A$1:$Z$20000,MATCH(A1189,'Semrush Data'!$A$1:$A$20000,0),MATCH("Keyword Difficulty*",'Semrush Data'!$A$1:$Z$1,0)),"")</f>
        <v/>
      </c>
      <c r="I1189" s="56">
        <f>IFERROR(INDEX('Semrush Data'!$A$1:$Z$20000,MATCH(A1189,'Semrush Data'!$A$1:$A$20000,0),MATCH("CPC*",'Semrush Data'!$A$1:$Z$1,0)),"")</f>
        <v/>
      </c>
      <c r="J1189" s="42">
        <f>IFERROR(INDEX('Semrush Data'!$A$1:$Z$20000,MATCH(A1189,'Semrush Data'!$A$1:$A$20000,0),MATCH("Intent",'Semrush Data'!$A$1:$Z$1,0)),"")</f>
        <v/>
      </c>
    </row>
    <row r="1190" ht="15" customHeight="1" s="37">
      <c r="A1190" s="42" t="inlineStr">
        <is>
          <t>signature santal uk</t>
        </is>
      </c>
      <c r="B1190" s="42" t="inlineStr">
        <is>
          <t>Product + UK</t>
        </is>
      </c>
      <c r="C1190" s="42" t="n">
        <v>2</v>
      </c>
      <c r="D1190" s="42" t="n">
        <v>12</v>
      </c>
      <c r="E1190" s="42" t="n">
        <v>1</v>
      </c>
      <c r="F1190" s="42" t="inlineStr">
        <is>
          <t>FR-328</t>
        </is>
      </c>
      <c r="G1190" s="55">
        <f>IFERROR(INDEX('Semrush Data'!$A$1:$Z$20000,MATCH(A1190,'Semrush Data'!$A$1:$A$20000,0),MATCH("Volume",'Semrush Data'!$A$1:$Z$1,0)),"")</f>
        <v/>
      </c>
      <c r="H1190" s="42">
        <f>IFERROR(INDEX('Semrush Data'!$A$1:$Z$20000,MATCH(A1190,'Semrush Data'!$A$1:$A$20000,0),MATCH("Keyword Difficulty*",'Semrush Data'!$A$1:$Z$1,0)),"")</f>
        <v/>
      </c>
      <c r="I1190" s="56">
        <f>IFERROR(INDEX('Semrush Data'!$A$1:$Z$20000,MATCH(A1190,'Semrush Data'!$A$1:$A$20000,0),MATCH("CPC*",'Semrush Data'!$A$1:$Z$1,0)),"")</f>
        <v/>
      </c>
      <c r="J1190" s="42">
        <f>IFERROR(INDEX('Semrush Data'!$A$1:$Z$20000,MATCH(A1190,'Semrush Data'!$A$1:$A$20000,0),MATCH("Intent",'Semrush Data'!$A$1:$Z$1,0)),"")</f>
        <v/>
      </c>
    </row>
    <row r="1191" ht="15" customHeight="1" s="37">
      <c r="A1191" s="42" t="inlineStr">
        <is>
          <t>signature sapphire uk</t>
        </is>
      </c>
      <c r="B1191" s="42" t="inlineStr">
        <is>
          <t>Product + UK</t>
        </is>
      </c>
      <c r="C1191" s="42" t="n">
        <v>2</v>
      </c>
      <c r="D1191" s="42" t="n">
        <v>12</v>
      </c>
      <c r="E1191" s="42" t="n">
        <v>1</v>
      </c>
      <c r="F1191" s="42" t="inlineStr">
        <is>
          <t>FR-329</t>
        </is>
      </c>
      <c r="G1191" s="55">
        <f>IFERROR(INDEX('Semrush Data'!$A$1:$Z$20000,MATCH(A1191,'Semrush Data'!$A$1:$A$20000,0),MATCH("Volume",'Semrush Data'!$A$1:$Z$1,0)),"")</f>
        <v/>
      </c>
      <c r="H1191" s="42">
        <f>IFERROR(INDEX('Semrush Data'!$A$1:$Z$20000,MATCH(A1191,'Semrush Data'!$A$1:$A$20000,0),MATCH("Keyword Difficulty*",'Semrush Data'!$A$1:$Z$1,0)),"")</f>
        <v/>
      </c>
      <c r="I1191" s="56">
        <f>IFERROR(INDEX('Semrush Data'!$A$1:$Z$20000,MATCH(A1191,'Semrush Data'!$A$1:$A$20000,0),MATCH("CPC*",'Semrush Data'!$A$1:$Z$1,0)),"")</f>
        <v/>
      </c>
      <c r="J1191" s="42">
        <f>IFERROR(INDEX('Semrush Data'!$A$1:$Z$20000,MATCH(A1191,'Semrush Data'!$A$1:$A$20000,0),MATCH("Intent",'Semrush Data'!$A$1:$Z$1,0)),"")</f>
        <v/>
      </c>
    </row>
    <row r="1192" ht="15" customHeight="1" s="37">
      <c r="A1192" s="42" t="inlineStr">
        <is>
          <t>the woods collection azure uk</t>
        </is>
      </c>
      <c r="B1192" s="42" t="inlineStr">
        <is>
          <t>Product + UK</t>
        </is>
      </c>
      <c r="C1192" s="42" t="n">
        <v>2</v>
      </c>
      <c r="D1192" s="42" t="n">
        <v>12</v>
      </c>
      <c r="E1192" s="42" t="n">
        <v>1</v>
      </c>
      <c r="F1192" s="42" t="inlineStr">
        <is>
          <t>FR-342</t>
        </is>
      </c>
      <c r="G1192" s="55">
        <f>IFERROR(INDEX('Semrush Data'!$A$1:$Z$20000,MATCH(A1192,'Semrush Data'!$A$1:$A$20000,0),MATCH("Volume",'Semrush Data'!$A$1:$Z$1,0)),"")</f>
        <v/>
      </c>
      <c r="H1192" s="42">
        <f>IFERROR(INDEX('Semrush Data'!$A$1:$Z$20000,MATCH(A1192,'Semrush Data'!$A$1:$A$20000,0),MATCH("Keyword Difficulty*",'Semrush Data'!$A$1:$Z$1,0)),"")</f>
        <v/>
      </c>
      <c r="I1192" s="56">
        <f>IFERROR(INDEX('Semrush Data'!$A$1:$Z$20000,MATCH(A1192,'Semrush Data'!$A$1:$A$20000,0),MATCH("CPC*",'Semrush Data'!$A$1:$Z$1,0)),"")</f>
        <v/>
      </c>
      <c r="J1192" s="42">
        <f>IFERROR(INDEX('Semrush Data'!$A$1:$Z$20000,MATCH(A1192,'Semrush Data'!$A$1:$A$20000,0),MATCH("Intent",'Semrush Data'!$A$1:$Z$1,0)),"")</f>
        <v/>
      </c>
    </row>
    <row r="1193" ht="15" customHeight="1" s="37">
      <c r="A1193" s="42" t="inlineStr">
        <is>
          <t>the woods collection eden uk</t>
        </is>
      </c>
      <c r="B1193" s="42" t="inlineStr">
        <is>
          <t>Product + UK</t>
        </is>
      </c>
      <c r="C1193" s="42" t="n">
        <v>2</v>
      </c>
      <c r="D1193" s="42" t="n">
        <v>12</v>
      </c>
      <c r="E1193" s="42" t="n">
        <v>1</v>
      </c>
      <c r="F1193" s="42" t="inlineStr">
        <is>
          <t>FR-343</t>
        </is>
      </c>
      <c r="G1193" s="55">
        <f>IFERROR(INDEX('Semrush Data'!$A$1:$Z$20000,MATCH(A1193,'Semrush Data'!$A$1:$A$20000,0),MATCH("Volume",'Semrush Data'!$A$1:$Z$1,0)),"")</f>
        <v/>
      </c>
      <c r="H1193" s="42">
        <f>IFERROR(INDEX('Semrush Data'!$A$1:$Z$20000,MATCH(A1193,'Semrush Data'!$A$1:$A$20000,0),MATCH("Keyword Difficulty*",'Semrush Data'!$A$1:$Z$1,0)),"")</f>
        <v/>
      </c>
      <c r="I1193" s="56">
        <f>IFERROR(INDEX('Semrush Data'!$A$1:$Z$20000,MATCH(A1193,'Semrush Data'!$A$1:$A$20000,0),MATCH("CPC*",'Semrush Data'!$A$1:$Z$1,0)),"")</f>
        <v/>
      </c>
      <c r="J1193" s="42">
        <f>IFERROR(INDEX('Semrush Data'!$A$1:$Z$20000,MATCH(A1193,'Semrush Data'!$A$1:$A$20000,0),MATCH("Intent",'Semrush Data'!$A$1:$Z$1,0)),"")</f>
        <v/>
      </c>
    </row>
    <row r="1194" ht="15" customHeight="1" s="37">
      <c r="A1194" s="42" t="inlineStr">
        <is>
          <t>the woods collection elysian uk</t>
        </is>
      </c>
      <c r="B1194" s="42" t="inlineStr">
        <is>
          <t>Product + UK</t>
        </is>
      </c>
      <c r="C1194" s="42" t="n">
        <v>2</v>
      </c>
      <c r="D1194" s="42" t="n">
        <v>12</v>
      </c>
      <c r="E1194" s="42" t="n">
        <v>1</v>
      </c>
      <c r="F1194" s="42" t="inlineStr">
        <is>
          <t>FR-344</t>
        </is>
      </c>
      <c r="G1194" s="55">
        <f>IFERROR(INDEX('Semrush Data'!$A$1:$Z$20000,MATCH(A1194,'Semrush Data'!$A$1:$A$20000,0),MATCH("Volume",'Semrush Data'!$A$1:$Z$1,0)),"")</f>
        <v/>
      </c>
      <c r="H1194" s="42">
        <f>IFERROR(INDEX('Semrush Data'!$A$1:$Z$20000,MATCH(A1194,'Semrush Data'!$A$1:$A$20000,0),MATCH("Keyword Difficulty*",'Semrush Data'!$A$1:$Z$1,0)),"")</f>
        <v/>
      </c>
      <c r="I1194" s="56">
        <f>IFERROR(INDEX('Semrush Data'!$A$1:$Z$20000,MATCH(A1194,'Semrush Data'!$A$1:$A$20000,0),MATCH("CPC*",'Semrush Data'!$A$1:$Z$1,0)),"")</f>
        <v/>
      </c>
      <c r="J1194" s="42">
        <f>IFERROR(INDEX('Semrush Data'!$A$1:$Z$20000,MATCH(A1194,'Semrush Data'!$A$1:$A$20000,0),MATCH("Intent",'Semrush Data'!$A$1:$Z$1,0)),"")</f>
        <v/>
      </c>
    </row>
    <row r="1195" ht="15" customHeight="1" s="37">
      <c r="A1195" s="42" t="inlineStr">
        <is>
          <t>the woods collection green walk uk</t>
        </is>
      </c>
      <c r="B1195" s="42" t="inlineStr">
        <is>
          <t>Product + UK</t>
        </is>
      </c>
      <c r="C1195" s="42" t="n">
        <v>2</v>
      </c>
      <c r="D1195" s="42" t="n">
        <v>12</v>
      </c>
      <c r="E1195" s="42" t="n">
        <v>1</v>
      </c>
      <c r="F1195" s="42" t="inlineStr">
        <is>
          <t>FR-345</t>
        </is>
      </c>
      <c r="G1195" s="55">
        <f>IFERROR(INDEX('Semrush Data'!$A$1:$Z$20000,MATCH(A1195,'Semrush Data'!$A$1:$A$20000,0),MATCH("Volume",'Semrush Data'!$A$1:$Z$1,0)),"")</f>
        <v/>
      </c>
      <c r="H1195" s="42">
        <f>IFERROR(INDEX('Semrush Data'!$A$1:$Z$20000,MATCH(A1195,'Semrush Data'!$A$1:$A$20000,0),MATCH("Keyword Difficulty*",'Semrush Data'!$A$1:$Z$1,0)),"")</f>
        <v/>
      </c>
      <c r="I1195" s="56">
        <f>IFERROR(INDEX('Semrush Data'!$A$1:$Z$20000,MATCH(A1195,'Semrush Data'!$A$1:$A$20000,0),MATCH("CPC*",'Semrush Data'!$A$1:$Z$1,0)),"")</f>
        <v/>
      </c>
      <c r="J1195" s="42">
        <f>IFERROR(INDEX('Semrush Data'!$A$1:$Z$20000,MATCH(A1195,'Semrush Data'!$A$1:$A$20000,0),MATCH("Intent",'Semrush Data'!$A$1:$Z$1,0)),"")</f>
        <v/>
      </c>
    </row>
    <row r="1196" ht="15" customHeight="1" s="37">
      <c r="A1196" s="42" t="inlineStr">
        <is>
          <t>the woods collection mirage uk</t>
        </is>
      </c>
      <c r="B1196" s="42" t="inlineStr">
        <is>
          <t>Product + UK</t>
        </is>
      </c>
      <c r="C1196" s="42" t="n">
        <v>2</v>
      </c>
      <c r="D1196" s="42" t="n">
        <v>12</v>
      </c>
      <c r="E1196" s="42" t="n">
        <v>1</v>
      </c>
      <c r="F1196" s="42" t="inlineStr">
        <is>
          <t>FR-346</t>
        </is>
      </c>
      <c r="G1196" s="55">
        <f>IFERROR(INDEX('Semrush Data'!$A$1:$Z$20000,MATCH(A1196,'Semrush Data'!$A$1:$A$20000,0),MATCH("Volume",'Semrush Data'!$A$1:$Z$1,0)),"")</f>
        <v/>
      </c>
      <c r="H1196" s="42">
        <f>IFERROR(INDEX('Semrush Data'!$A$1:$Z$20000,MATCH(A1196,'Semrush Data'!$A$1:$A$20000,0),MATCH("Keyword Difficulty*",'Semrush Data'!$A$1:$Z$1,0)),"")</f>
        <v/>
      </c>
      <c r="I1196" s="56">
        <f>IFERROR(INDEX('Semrush Data'!$A$1:$Z$20000,MATCH(A1196,'Semrush Data'!$A$1:$A$20000,0),MATCH("CPC*",'Semrush Data'!$A$1:$Z$1,0)),"")</f>
        <v/>
      </c>
      <c r="J1196" s="42">
        <f>IFERROR(INDEX('Semrush Data'!$A$1:$Z$20000,MATCH(A1196,'Semrush Data'!$A$1:$A$20000,0),MATCH("Intent",'Semrush Data'!$A$1:$Z$1,0)),"")</f>
        <v/>
      </c>
    </row>
    <row r="1197" ht="15" customHeight="1" s="37">
      <c r="A1197" s="42" t="inlineStr">
        <is>
          <t>the woods collection pure shine uk</t>
        </is>
      </c>
      <c r="B1197" s="42" t="inlineStr">
        <is>
          <t>Product + UK</t>
        </is>
      </c>
      <c r="C1197" s="42" t="n">
        <v>2</v>
      </c>
      <c r="D1197" s="42" t="n">
        <v>12</v>
      </c>
      <c r="E1197" s="42" t="n">
        <v>1</v>
      </c>
      <c r="F1197" s="42" t="inlineStr">
        <is>
          <t>FR-347</t>
        </is>
      </c>
      <c r="G1197" s="55">
        <f>IFERROR(INDEX('Semrush Data'!$A$1:$Z$20000,MATCH(A1197,'Semrush Data'!$A$1:$A$20000,0),MATCH("Volume",'Semrush Data'!$A$1:$Z$1,0)),"")</f>
        <v/>
      </c>
      <c r="H1197" s="42">
        <f>IFERROR(INDEX('Semrush Data'!$A$1:$Z$20000,MATCH(A1197,'Semrush Data'!$A$1:$A$20000,0),MATCH("Keyword Difficulty*",'Semrush Data'!$A$1:$Z$1,0)),"")</f>
        <v/>
      </c>
      <c r="I1197" s="56">
        <f>IFERROR(INDEX('Semrush Data'!$A$1:$Z$20000,MATCH(A1197,'Semrush Data'!$A$1:$A$20000,0),MATCH("CPC*",'Semrush Data'!$A$1:$Z$1,0)),"")</f>
        <v/>
      </c>
      <c r="J1197" s="42">
        <f>IFERROR(INDEX('Semrush Data'!$A$1:$Z$20000,MATCH(A1197,'Semrush Data'!$A$1:$A$20000,0),MATCH("Intent",'Semrush Data'!$A$1:$Z$1,0)),"")</f>
        <v/>
      </c>
    </row>
    <row r="1198" ht="15" customHeight="1" s="37">
      <c r="A1198" s="42" t="inlineStr">
        <is>
          <t>the woods collection secret source uk</t>
        </is>
      </c>
      <c r="B1198" s="42" t="inlineStr">
        <is>
          <t>Product + UK</t>
        </is>
      </c>
      <c r="C1198" s="42" t="n">
        <v>2</v>
      </c>
      <c r="D1198" s="42" t="n">
        <v>12</v>
      </c>
      <c r="E1198" s="42" t="n">
        <v>1</v>
      </c>
      <c r="F1198" s="42" t="inlineStr">
        <is>
          <t>FR-348</t>
        </is>
      </c>
      <c r="G1198" s="55">
        <f>IFERROR(INDEX('Semrush Data'!$A$1:$Z$20000,MATCH(A1198,'Semrush Data'!$A$1:$A$20000,0),MATCH("Volume",'Semrush Data'!$A$1:$Z$1,0)),"")</f>
        <v/>
      </c>
      <c r="H1198" s="42">
        <f>IFERROR(INDEX('Semrush Data'!$A$1:$Z$20000,MATCH(A1198,'Semrush Data'!$A$1:$A$20000,0),MATCH("Keyword Difficulty*",'Semrush Data'!$A$1:$Z$1,0)),"")</f>
        <v/>
      </c>
      <c r="I1198" s="56">
        <f>IFERROR(INDEX('Semrush Data'!$A$1:$Z$20000,MATCH(A1198,'Semrush Data'!$A$1:$A$20000,0),MATCH("CPC*",'Semrush Data'!$A$1:$Z$1,0)),"")</f>
        <v/>
      </c>
      <c r="J1198" s="42">
        <f>IFERROR(INDEX('Semrush Data'!$A$1:$Z$20000,MATCH(A1198,'Semrush Data'!$A$1:$A$20000,0),MATCH("Intent",'Semrush Data'!$A$1:$Z$1,0)),"")</f>
        <v/>
      </c>
    </row>
    <row r="1199" ht="15" customHeight="1" s="37">
      <c r="A1199" s="42" t="inlineStr">
        <is>
          <t>the woods collection sunrise uk</t>
        </is>
      </c>
      <c r="B1199" s="42" t="inlineStr">
        <is>
          <t>Product + UK</t>
        </is>
      </c>
      <c r="C1199" s="42" t="n">
        <v>2</v>
      </c>
      <c r="D1199" s="42" t="n">
        <v>12</v>
      </c>
      <c r="E1199" s="42" t="n">
        <v>1</v>
      </c>
      <c r="F1199" s="42" t="inlineStr">
        <is>
          <t>FR-349</t>
        </is>
      </c>
      <c r="G1199" s="55">
        <f>IFERROR(INDEX('Semrush Data'!$A$1:$Z$20000,MATCH(A1199,'Semrush Data'!$A$1:$A$20000,0),MATCH("Volume",'Semrush Data'!$A$1:$Z$1,0)),"")</f>
        <v/>
      </c>
      <c r="H1199" s="42">
        <f>IFERROR(INDEX('Semrush Data'!$A$1:$Z$20000,MATCH(A1199,'Semrush Data'!$A$1:$A$20000,0),MATCH("Keyword Difficulty*",'Semrush Data'!$A$1:$Z$1,0)),"")</f>
        <v/>
      </c>
      <c r="I1199" s="56">
        <f>IFERROR(INDEX('Semrush Data'!$A$1:$Z$20000,MATCH(A1199,'Semrush Data'!$A$1:$A$20000,0),MATCH("CPC*",'Semrush Data'!$A$1:$Z$1,0)),"")</f>
        <v/>
      </c>
      <c r="J1199" s="42">
        <f>IFERROR(INDEX('Semrush Data'!$A$1:$Z$20000,MATCH(A1199,'Semrush Data'!$A$1:$A$20000,0),MATCH("Intent",'Semrush Data'!$A$1:$Z$1,0)),"")</f>
        <v/>
      </c>
    </row>
    <row r="1200" ht="15" customHeight="1" s="37">
      <c r="A1200" s="42" t="inlineStr">
        <is>
          <t>the woods collection timeless sands uk</t>
        </is>
      </c>
      <c r="B1200" s="42" t="inlineStr">
        <is>
          <t>Product + UK</t>
        </is>
      </c>
      <c r="C1200" s="42" t="n">
        <v>2</v>
      </c>
      <c r="D1200" s="42" t="n">
        <v>12</v>
      </c>
      <c r="E1200" s="42" t="n">
        <v>1</v>
      </c>
      <c r="F1200" s="42" t="inlineStr">
        <is>
          <t>FR-350</t>
        </is>
      </c>
      <c r="G1200" s="55">
        <f>IFERROR(INDEX('Semrush Data'!$A$1:$Z$20000,MATCH(A1200,'Semrush Data'!$A$1:$A$20000,0),MATCH("Volume",'Semrush Data'!$A$1:$Z$1,0)),"")</f>
        <v/>
      </c>
      <c r="H1200" s="42">
        <f>IFERROR(INDEX('Semrush Data'!$A$1:$Z$20000,MATCH(A1200,'Semrush Data'!$A$1:$A$20000,0),MATCH("Keyword Difficulty*",'Semrush Data'!$A$1:$Z$1,0)),"")</f>
        <v/>
      </c>
      <c r="I1200" s="56">
        <f>IFERROR(INDEX('Semrush Data'!$A$1:$Z$20000,MATCH(A1200,'Semrush Data'!$A$1:$A$20000,0),MATCH("CPC*",'Semrush Data'!$A$1:$Z$1,0)),"")</f>
        <v/>
      </c>
      <c r="J1200" s="42">
        <f>IFERROR(INDEX('Semrush Data'!$A$1:$Z$20000,MATCH(A1200,'Semrush Data'!$A$1:$A$20000,0),MATCH("Intent",'Semrush Data'!$A$1:$Z$1,0)),"")</f>
        <v/>
      </c>
    </row>
    <row r="1201" ht="15" customHeight="1" s="37">
      <c r="A1201" s="42" t="inlineStr">
        <is>
          <t>the woods collection twilight uk</t>
        </is>
      </c>
      <c r="B1201" s="42" t="inlineStr">
        <is>
          <t>Product + UK</t>
        </is>
      </c>
      <c r="C1201" s="42" t="n">
        <v>2</v>
      </c>
      <c r="D1201" s="42" t="n">
        <v>12</v>
      </c>
      <c r="E1201" s="42" t="n">
        <v>1</v>
      </c>
      <c r="F1201" s="42" t="inlineStr">
        <is>
          <t>FR-351</t>
        </is>
      </c>
      <c r="G1201" s="55">
        <f>IFERROR(INDEX('Semrush Data'!$A$1:$Z$20000,MATCH(A1201,'Semrush Data'!$A$1:$A$20000,0),MATCH("Volume",'Semrush Data'!$A$1:$Z$1,0)),"")</f>
        <v/>
      </c>
      <c r="H1201" s="42">
        <f>IFERROR(INDEX('Semrush Data'!$A$1:$Z$20000,MATCH(A1201,'Semrush Data'!$A$1:$A$20000,0),MATCH("Keyword Difficulty*",'Semrush Data'!$A$1:$Z$1,0)),"")</f>
        <v/>
      </c>
      <c r="I1201" s="56">
        <f>IFERROR(INDEX('Semrush Data'!$A$1:$Z$20000,MATCH(A1201,'Semrush Data'!$A$1:$A$20000,0),MATCH("CPC*",'Semrush Data'!$A$1:$Z$1,0)),"")</f>
        <v/>
      </c>
      <c r="J1201" s="42">
        <f>IFERROR(INDEX('Semrush Data'!$A$1:$Z$20000,MATCH(A1201,'Semrush Data'!$A$1:$A$20000,0),MATCH("Intent",'Semrush Data'!$A$1:$Z$1,0)),"")</f>
        <v/>
      </c>
    </row>
    <row r="1202" ht="15" customHeight="1" s="37">
      <c r="A1202" s="42" t="inlineStr">
        <is>
          <t>the woods collection wild roses uk</t>
        </is>
      </c>
      <c r="B1202" s="42" t="inlineStr">
        <is>
          <t>Product + UK</t>
        </is>
      </c>
      <c r="C1202" s="42" t="n">
        <v>2</v>
      </c>
      <c r="D1202" s="42" t="n">
        <v>13</v>
      </c>
      <c r="E1202" s="42" t="n">
        <v>1</v>
      </c>
      <c r="F1202" s="42" t="inlineStr">
        <is>
          <t>FR-352</t>
        </is>
      </c>
      <c r="G1202" s="55">
        <f>IFERROR(INDEX('Semrush Data'!$A$1:$Z$20000,MATCH(A1202,'Semrush Data'!$A$1:$A$20000,0),MATCH("Volume",'Semrush Data'!$A$1:$Z$1,0)),"")</f>
        <v/>
      </c>
      <c r="H1202" s="42">
        <f>IFERROR(INDEX('Semrush Data'!$A$1:$Z$20000,MATCH(A1202,'Semrush Data'!$A$1:$A$20000,0),MATCH("Keyword Difficulty*",'Semrush Data'!$A$1:$Z$1,0)),"")</f>
        <v/>
      </c>
      <c r="I1202" s="56">
        <f>IFERROR(INDEX('Semrush Data'!$A$1:$Z$20000,MATCH(A1202,'Semrush Data'!$A$1:$A$20000,0),MATCH("CPC*",'Semrush Data'!$A$1:$Z$1,0)),"")</f>
        <v/>
      </c>
      <c r="J1202" s="42">
        <f>IFERROR(INDEX('Semrush Data'!$A$1:$Z$20000,MATCH(A1202,'Semrush Data'!$A$1:$A$20000,0),MATCH("Intent",'Semrush Data'!$A$1:$Z$1,0)),"")</f>
        <v/>
      </c>
    </row>
    <row r="1203" ht="15" customHeight="1" s="37">
      <c r="A1203" s="42" t="inlineStr">
        <is>
          <t>tiziana terenzi akragas uk</t>
        </is>
      </c>
      <c r="B1203" s="42" t="inlineStr">
        <is>
          <t>Product + UK</t>
        </is>
      </c>
      <c r="C1203" s="42" t="n">
        <v>2</v>
      </c>
      <c r="D1203" s="42" t="n">
        <v>13</v>
      </c>
      <c r="E1203" s="42" t="n">
        <v>1</v>
      </c>
      <c r="F1203" s="42" t="inlineStr">
        <is>
          <t>FR-353</t>
        </is>
      </c>
      <c r="G1203" s="55">
        <f>IFERROR(INDEX('Semrush Data'!$A$1:$Z$20000,MATCH(A1203,'Semrush Data'!$A$1:$A$20000,0),MATCH("Volume",'Semrush Data'!$A$1:$Z$1,0)),"")</f>
        <v/>
      </c>
      <c r="H1203" s="42">
        <f>IFERROR(INDEX('Semrush Data'!$A$1:$Z$20000,MATCH(A1203,'Semrush Data'!$A$1:$A$20000,0),MATCH("Keyword Difficulty*",'Semrush Data'!$A$1:$Z$1,0)),"")</f>
        <v/>
      </c>
      <c r="I1203" s="56">
        <f>IFERROR(INDEX('Semrush Data'!$A$1:$Z$20000,MATCH(A1203,'Semrush Data'!$A$1:$A$20000,0),MATCH("CPC*",'Semrush Data'!$A$1:$Z$1,0)),"")</f>
        <v/>
      </c>
      <c r="J1203" s="42">
        <f>IFERROR(INDEX('Semrush Data'!$A$1:$Z$20000,MATCH(A1203,'Semrush Data'!$A$1:$A$20000,0),MATCH("Intent",'Semrush Data'!$A$1:$Z$1,0)),"")</f>
        <v/>
      </c>
    </row>
    <row r="1204" ht="15" customHeight="1" s="37">
      <c r="A1204" s="42" t="inlineStr">
        <is>
          <t>tiziana terenzi andromeda uk</t>
        </is>
      </c>
      <c r="B1204" s="42" t="inlineStr">
        <is>
          <t>Product + UK</t>
        </is>
      </c>
      <c r="C1204" s="42" t="n">
        <v>2</v>
      </c>
      <c r="D1204" s="42" t="inlineStr">
        <is>
          <t>T2-2</t>
        </is>
      </c>
      <c r="E1204" s="42" t="n">
        <v>1</v>
      </c>
      <c r="F1204" s="42" t="inlineStr">
        <is>
          <t>FR-354</t>
        </is>
      </c>
      <c r="G1204" s="55">
        <f>IFERROR(INDEX('Semrush Data'!$A$1:$Z$20000,MATCH(A1204,'Semrush Data'!$A$1:$A$20000,0),MATCH("Volume",'Semrush Data'!$A$1:$Z$1,0)),"")</f>
        <v/>
      </c>
      <c r="H1204" s="42">
        <f>IFERROR(INDEX('Semrush Data'!$A$1:$Z$20000,MATCH(A1204,'Semrush Data'!$A$1:$A$20000,0),MATCH("Keyword Difficulty*",'Semrush Data'!$A$1:$Z$1,0)),"")</f>
        <v/>
      </c>
      <c r="I1204" s="56">
        <f>IFERROR(INDEX('Semrush Data'!$A$1:$Z$20000,MATCH(A1204,'Semrush Data'!$A$1:$A$20000,0),MATCH("CPC*",'Semrush Data'!$A$1:$Z$1,0)),"")</f>
        <v/>
      </c>
      <c r="J1204" s="42">
        <f>IFERROR(INDEX('Semrush Data'!$A$1:$Z$20000,MATCH(A1204,'Semrush Data'!$A$1:$A$20000,0),MATCH("Intent",'Semrush Data'!$A$1:$Z$1,0)),"")</f>
        <v/>
      </c>
    </row>
    <row r="1205" ht="15" customHeight="1" s="37">
      <c r="A1205" s="42" t="inlineStr">
        <is>
          <t>tiziana terenzi borelli linea tt uk</t>
        </is>
      </c>
      <c r="B1205" s="42" t="inlineStr">
        <is>
          <t>Product + UK</t>
        </is>
      </c>
      <c r="C1205" s="42" t="n">
        <v>2</v>
      </c>
      <c r="D1205" s="42" t="n">
        <v>13</v>
      </c>
      <c r="E1205" s="42" t="n">
        <v>1</v>
      </c>
      <c r="F1205" s="42" t="inlineStr">
        <is>
          <t>FR-355</t>
        </is>
      </c>
      <c r="G1205" s="55">
        <f>IFERROR(INDEX('Semrush Data'!$A$1:$Z$20000,MATCH(A1205,'Semrush Data'!$A$1:$A$20000,0),MATCH("Volume",'Semrush Data'!$A$1:$Z$1,0)),"")</f>
        <v/>
      </c>
      <c r="H1205" s="42">
        <f>IFERROR(INDEX('Semrush Data'!$A$1:$Z$20000,MATCH(A1205,'Semrush Data'!$A$1:$A$20000,0),MATCH("Keyword Difficulty*",'Semrush Data'!$A$1:$Z$1,0)),"")</f>
        <v/>
      </c>
      <c r="I1205" s="56">
        <f>IFERROR(INDEX('Semrush Data'!$A$1:$Z$20000,MATCH(A1205,'Semrush Data'!$A$1:$A$20000,0),MATCH("CPC*",'Semrush Data'!$A$1:$Z$1,0)),"")</f>
        <v/>
      </c>
      <c r="J1205" s="42">
        <f>IFERROR(INDEX('Semrush Data'!$A$1:$Z$20000,MATCH(A1205,'Semrush Data'!$A$1:$A$20000,0),MATCH("Intent",'Semrush Data'!$A$1:$Z$1,0)),"")</f>
        <v/>
      </c>
    </row>
    <row r="1206" ht="15" customHeight="1" s="37">
      <c r="A1206" s="42" t="inlineStr">
        <is>
          <t>tiziana terenzi caput mundi uk</t>
        </is>
      </c>
      <c r="B1206" s="42" t="inlineStr">
        <is>
          <t>Product + UK</t>
        </is>
      </c>
      <c r="C1206" s="42" t="n">
        <v>2</v>
      </c>
      <c r="D1206" s="42" t="n">
        <v>13</v>
      </c>
      <c r="E1206" s="42" t="n">
        <v>2</v>
      </c>
      <c r="F1206" s="42" t="inlineStr">
        <is>
          <t>FR-356, FR-357</t>
        </is>
      </c>
      <c r="G1206" s="55">
        <f>IFERROR(INDEX('Semrush Data'!$A$1:$Z$20000,MATCH(A1206,'Semrush Data'!$A$1:$A$20000,0),MATCH("Volume",'Semrush Data'!$A$1:$Z$1,0)),"")</f>
        <v/>
      </c>
      <c r="H1206" s="42">
        <f>IFERROR(INDEX('Semrush Data'!$A$1:$Z$20000,MATCH(A1206,'Semrush Data'!$A$1:$A$20000,0),MATCH("Keyword Difficulty*",'Semrush Data'!$A$1:$Z$1,0)),"")</f>
        <v/>
      </c>
      <c r="I1206" s="56">
        <f>IFERROR(INDEX('Semrush Data'!$A$1:$Z$20000,MATCH(A1206,'Semrush Data'!$A$1:$A$20000,0),MATCH("CPC*",'Semrush Data'!$A$1:$Z$1,0)),"")</f>
        <v/>
      </c>
      <c r="J1206" s="42">
        <f>IFERROR(INDEX('Semrush Data'!$A$1:$Z$20000,MATCH(A1206,'Semrush Data'!$A$1:$A$20000,0),MATCH("Intent",'Semrush Data'!$A$1:$Z$1,0)),"")</f>
        <v/>
      </c>
    </row>
    <row r="1207" ht="15" customHeight="1" s="37">
      <c r="A1207" s="42" t="inlineStr">
        <is>
          <t>tiziana terenzi chimaera anniversary uk</t>
        </is>
      </c>
      <c r="B1207" s="42" t="inlineStr">
        <is>
          <t>Product + UK</t>
        </is>
      </c>
      <c r="C1207" s="42" t="n">
        <v>2</v>
      </c>
      <c r="D1207" s="42" t="n">
        <v>13</v>
      </c>
      <c r="E1207" s="42" t="n">
        <v>1</v>
      </c>
      <c r="F1207" s="42" t="inlineStr">
        <is>
          <t>FR-358</t>
        </is>
      </c>
      <c r="G1207" s="55">
        <f>IFERROR(INDEX('Semrush Data'!$A$1:$Z$20000,MATCH(A1207,'Semrush Data'!$A$1:$A$20000,0),MATCH("Volume",'Semrush Data'!$A$1:$Z$1,0)),"")</f>
        <v/>
      </c>
      <c r="H1207" s="42">
        <f>IFERROR(INDEX('Semrush Data'!$A$1:$Z$20000,MATCH(A1207,'Semrush Data'!$A$1:$A$20000,0),MATCH("Keyword Difficulty*",'Semrush Data'!$A$1:$Z$1,0)),"")</f>
        <v/>
      </c>
      <c r="I1207" s="56">
        <f>IFERROR(INDEX('Semrush Data'!$A$1:$Z$20000,MATCH(A1207,'Semrush Data'!$A$1:$A$20000,0),MATCH("CPC*",'Semrush Data'!$A$1:$Z$1,0)),"")</f>
        <v/>
      </c>
      <c r="J1207" s="42">
        <f>IFERROR(INDEX('Semrush Data'!$A$1:$Z$20000,MATCH(A1207,'Semrush Data'!$A$1:$A$20000,0),MATCH("Intent",'Semrush Data'!$A$1:$Z$1,0)),"")</f>
        <v/>
      </c>
    </row>
    <row r="1208" ht="15" customHeight="1" s="37">
      <c r="A1208" s="42" t="inlineStr">
        <is>
          <t>tiziana terenzi draconis uk</t>
        </is>
      </c>
      <c r="B1208" s="42" t="inlineStr">
        <is>
          <t>Product + UK</t>
        </is>
      </c>
      <c r="C1208" s="42" t="n">
        <v>2</v>
      </c>
      <c r="D1208" s="42" t="n">
        <v>13</v>
      </c>
      <c r="E1208" s="42" t="n">
        <v>1</v>
      </c>
      <c r="F1208" s="42" t="inlineStr">
        <is>
          <t>FR-359</t>
        </is>
      </c>
      <c r="G1208" s="55">
        <f>IFERROR(INDEX('Semrush Data'!$A$1:$Z$20000,MATCH(A1208,'Semrush Data'!$A$1:$A$20000,0),MATCH("Volume",'Semrush Data'!$A$1:$Z$1,0)),"")</f>
        <v/>
      </c>
      <c r="H1208" s="42">
        <f>IFERROR(INDEX('Semrush Data'!$A$1:$Z$20000,MATCH(A1208,'Semrush Data'!$A$1:$A$20000,0),MATCH("Keyword Difficulty*",'Semrush Data'!$A$1:$Z$1,0)),"")</f>
        <v/>
      </c>
      <c r="I1208" s="56">
        <f>IFERROR(INDEX('Semrush Data'!$A$1:$Z$20000,MATCH(A1208,'Semrush Data'!$A$1:$A$20000,0),MATCH("CPC*",'Semrush Data'!$A$1:$Z$1,0)),"")</f>
        <v/>
      </c>
      <c r="J1208" s="42">
        <f>IFERROR(INDEX('Semrush Data'!$A$1:$Z$20000,MATCH(A1208,'Semrush Data'!$A$1:$A$20000,0),MATCH("Intent",'Semrush Data'!$A$1:$Z$1,0)),"")</f>
        <v/>
      </c>
    </row>
    <row r="1209" ht="15" customHeight="1" s="37">
      <c r="A1209" s="42" t="inlineStr">
        <is>
          <t>tiziana terenzi dubhe assoluto uk</t>
        </is>
      </c>
      <c r="B1209" s="42" t="inlineStr">
        <is>
          <t>Product + UK</t>
        </is>
      </c>
      <c r="C1209" s="42" t="n">
        <v>2</v>
      </c>
      <c r="D1209" s="42" t="n">
        <v>13</v>
      </c>
      <c r="E1209" s="42" t="n">
        <v>1</v>
      </c>
      <c r="F1209" s="42" t="inlineStr">
        <is>
          <t>FR-360</t>
        </is>
      </c>
      <c r="G1209" s="55">
        <f>IFERROR(INDEX('Semrush Data'!$A$1:$Z$20000,MATCH(A1209,'Semrush Data'!$A$1:$A$20000,0),MATCH("Volume",'Semrush Data'!$A$1:$Z$1,0)),"")</f>
        <v/>
      </c>
      <c r="H1209" s="42">
        <f>IFERROR(INDEX('Semrush Data'!$A$1:$Z$20000,MATCH(A1209,'Semrush Data'!$A$1:$A$20000,0),MATCH("Keyword Difficulty*",'Semrush Data'!$A$1:$Z$1,0)),"")</f>
        <v/>
      </c>
      <c r="I1209" s="56">
        <f>IFERROR(INDEX('Semrush Data'!$A$1:$Z$20000,MATCH(A1209,'Semrush Data'!$A$1:$A$20000,0),MATCH("CPC*",'Semrush Data'!$A$1:$Z$1,0)),"")</f>
        <v/>
      </c>
      <c r="J1209" s="42">
        <f>IFERROR(INDEX('Semrush Data'!$A$1:$Z$20000,MATCH(A1209,'Semrush Data'!$A$1:$A$20000,0),MATCH("Intent",'Semrush Data'!$A$1:$Z$1,0)),"")</f>
        <v/>
      </c>
    </row>
    <row r="1210" ht="15" customHeight="1" s="37">
      <c r="A1210" s="42" t="inlineStr">
        <is>
          <t>tiziana terenzi ecstasy uk</t>
        </is>
      </c>
      <c r="B1210" s="42" t="inlineStr">
        <is>
          <t>Product + UK</t>
        </is>
      </c>
      <c r="C1210" s="42" t="n">
        <v>2</v>
      </c>
      <c r="D1210" s="42" t="n">
        <v>13</v>
      </c>
      <c r="E1210" s="42" t="n">
        <v>1</v>
      </c>
      <c r="F1210" s="42" t="inlineStr">
        <is>
          <t>FR-361</t>
        </is>
      </c>
      <c r="G1210" s="55">
        <f>IFERROR(INDEX('Semrush Data'!$A$1:$Z$20000,MATCH(A1210,'Semrush Data'!$A$1:$A$20000,0),MATCH("Volume",'Semrush Data'!$A$1:$Z$1,0)),"")</f>
        <v/>
      </c>
      <c r="H1210" s="42">
        <f>IFERROR(INDEX('Semrush Data'!$A$1:$Z$20000,MATCH(A1210,'Semrush Data'!$A$1:$A$20000,0),MATCH("Keyword Difficulty*",'Semrush Data'!$A$1:$Z$1,0)),"")</f>
        <v/>
      </c>
      <c r="I1210" s="56">
        <f>IFERROR(INDEX('Semrush Data'!$A$1:$Z$20000,MATCH(A1210,'Semrush Data'!$A$1:$A$20000,0),MATCH("CPC*",'Semrush Data'!$A$1:$Z$1,0)),"")</f>
        <v/>
      </c>
      <c r="J1210" s="42">
        <f>IFERROR(INDEX('Semrush Data'!$A$1:$Z$20000,MATCH(A1210,'Semrush Data'!$A$1:$A$20000,0),MATCH("Intent",'Semrush Data'!$A$1:$Z$1,0)),"")</f>
        <v/>
      </c>
    </row>
    <row r="1211" ht="15" customHeight="1" s="37">
      <c r="A1211" s="42" t="inlineStr">
        <is>
          <t>tiziana terenzi gold rose oudh uk</t>
        </is>
      </c>
      <c r="B1211" s="42" t="inlineStr">
        <is>
          <t>Product + UK</t>
        </is>
      </c>
      <c r="C1211" s="42" t="n">
        <v>2</v>
      </c>
      <c r="D1211" s="42" t="inlineStr">
        <is>
          <t>T2-2</t>
        </is>
      </c>
      <c r="E1211" s="42" t="n">
        <v>1</v>
      </c>
      <c r="F1211" s="42" t="inlineStr">
        <is>
          <t>FR-362</t>
        </is>
      </c>
      <c r="G1211" s="55">
        <f>IFERROR(INDEX('Semrush Data'!$A$1:$Z$20000,MATCH(A1211,'Semrush Data'!$A$1:$A$20000,0),MATCH("Volume",'Semrush Data'!$A$1:$Z$1,0)),"")</f>
        <v/>
      </c>
      <c r="H1211" s="42">
        <f>IFERROR(INDEX('Semrush Data'!$A$1:$Z$20000,MATCH(A1211,'Semrush Data'!$A$1:$A$20000,0),MATCH("Keyword Difficulty*",'Semrush Data'!$A$1:$Z$1,0)),"")</f>
        <v/>
      </c>
      <c r="I1211" s="56">
        <f>IFERROR(INDEX('Semrush Data'!$A$1:$Z$20000,MATCH(A1211,'Semrush Data'!$A$1:$A$20000,0),MATCH("CPC*",'Semrush Data'!$A$1:$Z$1,0)),"")</f>
        <v/>
      </c>
      <c r="J1211" s="42">
        <f>IFERROR(INDEX('Semrush Data'!$A$1:$Z$20000,MATCH(A1211,'Semrush Data'!$A$1:$A$20000,0),MATCH("Intent",'Semrush Data'!$A$1:$Z$1,0)),"")</f>
        <v/>
      </c>
    </row>
    <row r="1212" ht="15" customHeight="1" s="37">
      <c r="A1212" s="42" t="inlineStr">
        <is>
          <t>tiziana terenzi gumin uk</t>
        </is>
      </c>
      <c r="B1212" s="42" t="inlineStr">
        <is>
          <t>Product + UK</t>
        </is>
      </c>
      <c r="C1212" s="42" t="n">
        <v>2</v>
      </c>
      <c r="D1212" s="42" t="n">
        <v>13</v>
      </c>
      <c r="E1212" s="42" t="n">
        <v>1</v>
      </c>
      <c r="F1212" s="42" t="inlineStr">
        <is>
          <t>FR-363</t>
        </is>
      </c>
      <c r="G1212" s="55">
        <f>IFERROR(INDEX('Semrush Data'!$A$1:$Z$20000,MATCH(A1212,'Semrush Data'!$A$1:$A$20000,0),MATCH("Volume",'Semrush Data'!$A$1:$Z$1,0)),"")</f>
        <v/>
      </c>
      <c r="H1212" s="42">
        <f>IFERROR(INDEX('Semrush Data'!$A$1:$Z$20000,MATCH(A1212,'Semrush Data'!$A$1:$A$20000,0),MATCH("Keyword Difficulty*",'Semrush Data'!$A$1:$Z$1,0)),"")</f>
        <v/>
      </c>
      <c r="I1212" s="56">
        <f>IFERROR(INDEX('Semrush Data'!$A$1:$Z$20000,MATCH(A1212,'Semrush Data'!$A$1:$A$20000,0),MATCH("CPC*",'Semrush Data'!$A$1:$Z$1,0)),"")</f>
        <v/>
      </c>
      <c r="J1212" s="42">
        <f>IFERROR(INDEX('Semrush Data'!$A$1:$Z$20000,MATCH(A1212,'Semrush Data'!$A$1:$A$20000,0),MATCH("Intent",'Semrush Data'!$A$1:$Z$1,0)),"")</f>
        <v/>
      </c>
    </row>
    <row r="1213" ht="15" customHeight="1" s="37">
      <c r="A1213" s="42" t="inlineStr">
        <is>
          <t>tiziana terenzi kaff uk</t>
        </is>
      </c>
      <c r="B1213" s="42" t="inlineStr">
        <is>
          <t>Product + UK</t>
        </is>
      </c>
      <c r="C1213" s="42" t="n">
        <v>2</v>
      </c>
      <c r="D1213" s="42" t="n">
        <v>13</v>
      </c>
      <c r="E1213" s="42" t="n">
        <v>1</v>
      </c>
      <c r="F1213" s="42" t="inlineStr">
        <is>
          <t>FR-364</t>
        </is>
      </c>
      <c r="G1213" s="55">
        <f>IFERROR(INDEX('Semrush Data'!$A$1:$Z$20000,MATCH(A1213,'Semrush Data'!$A$1:$A$20000,0),MATCH("Volume",'Semrush Data'!$A$1:$Z$1,0)),"")</f>
        <v/>
      </c>
      <c r="H1213" s="42">
        <f>IFERROR(INDEX('Semrush Data'!$A$1:$Z$20000,MATCH(A1213,'Semrush Data'!$A$1:$A$20000,0),MATCH("Keyword Difficulty*",'Semrush Data'!$A$1:$Z$1,0)),"")</f>
        <v/>
      </c>
      <c r="I1213" s="56">
        <f>IFERROR(INDEX('Semrush Data'!$A$1:$Z$20000,MATCH(A1213,'Semrush Data'!$A$1:$A$20000,0),MATCH("CPC*",'Semrush Data'!$A$1:$Z$1,0)),"")</f>
        <v/>
      </c>
      <c r="J1213" s="42">
        <f>IFERROR(INDEX('Semrush Data'!$A$1:$Z$20000,MATCH(A1213,'Semrush Data'!$A$1:$A$20000,0),MATCH("Intent",'Semrush Data'!$A$1:$Z$1,0)),"")</f>
        <v/>
      </c>
    </row>
    <row r="1214" ht="15" customHeight="1" s="37">
      <c r="A1214" s="42" t="inlineStr">
        <is>
          <t>tiziana terenzi kirke uk</t>
        </is>
      </c>
      <c r="B1214" s="42" t="inlineStr">
        <is>
          <t>Product + UK</t>
        </is>
      </c>
      <c r="C1214" s="42" t="n">
        <v>2</v>
      </c>
      <c r="D1214" s="42" t="inlineStr">
        <is>
          <t>T2-1</t>
        </is>
      </c>
      <c r="E1214" s="42" t="n">
        <v>1</v>
      </c>
      <c r="F1214" s="42" t="inlineStr">
        <is>
          <t>FR-365</t>
        </is>
      </c>
      <c r="G1214" s="55">
        <f>IFERROR(INDEX('Semrush Data'!$A$1:$Z$20000,MATCH(A1214,'Semrush Data'!$A$1:$A$20000,0),MATCH("Volume",'Semrush Data'!$A$1:$Z$1,0)),"")</f>
        <v/>
      </c>
      <c r="H1214" s="42">
        <f>IFERROR(INDEX('Semrush Data'!$A$1:$Z$20000,MATCH(A1214,'Semrush Data'!$A$1:$A$20000,0),MATCH("Keyword Difficulty*",'Semrush Data'!$A$1:$Z$1,0)),"")</f>
        <v/>
      </c>
      <c r="I1214" s="56">
        <f>IFERROR(INDEX('Semrush Data'!$A$1:$Z$20000,MATCH(A1214,'Semrush Data'!$A$1:$A$20000,0),MATCH("CPC*",'Semrush Data'!$A$1:$Z$1,0)),"")</f>
        <v/>
      </c>
      <c r="J1214" s="42">
        <f>IFERROR(INDEX('Semrush Data'!$A$1:$Z$20000,MATCH(A1214,'Semrush Data'!$A$1:$A$20000,0),MATCH("Intent",'Semrush Data'!$A$1:$Z$1,0)),"")</f>
        <v/>
      </c>
    </row>
    <row r="1215" ht="15" customHeight="1" s="37">
      <c r="A1215" s="42" t="inlineStr">
        <is>
          <t>tiziana terenzi leo uk</t>
        </is>
      </c>
      <c r="B1215" s="42" t="inlineStr">
        <is>
          <t>Product + UK</t>
        </is>
      </c>
      <c r="C1215" s="42" t="n">
        <v>2</v>
      </c>
      <c r="D1215" s="42" t="n">
        <v>13</v>
      </c>
      <c r="E1215" s="42" t="n">
        <v>1</v>
      </c>
      <c r="F1215" s="42" t="inlineStr">
        <is>
          <t>FR-366</t>
        </is>
      </c>
      <c r="G1215" s="55">
        <f>IFERROR(INDEX('Semrush Data'!$A$1:$Z$20000,MATCH(A1215,'Semrush Data'!$A$1:$A$20000,0),MATCH("Volume",'Semrush Data'!$A$1:$Z$1,0)),"")</f>
        <v/>
      </c>
      <c r="H1215" s="42">
        <f>IFERROR(INDEX('Semrush Data'!$A$1:$Z$20000,MATCH(A1215,'Semrush Data'!$A$1:$A$20000,0),MATCH("Keyword Difficulty*",'Semrush Data'!$A$1:$Z$1,0)),"")</f>
        <v/>
      </c>
      <c r="I1215" s="56">
        <f>IFERROR(INDEX('Semrush Data'!$A$1:$Z$20000,MATCH(A1215,'Semrush Data'!$A$1:$A$20000,0),MATCH("CPC*",'Semrush Data'!$A$1:$Z$1,0)),"")</f>
        <v/>
      </c>
      <c r="J1215" s="42">
        <f>IFERROR(INDEX('Semrush Data'!$A$1:$Z$20000,MATCH(A1215,'Semrush Data'!$A$1:$A$20000,0),MATCH("Intent",'Semrush Data'!$A$1:$Z$1,0)),"")</f>
        <v/>
      </c>
    </row>
    <row r="1216" ht="15" customHeight="1" s="37">
      <c r="A1216" s="42" t="inlineStr">
        <is>
          <t>tiziana terenzi moro di venezia uk</t>
        </is>
      </c>
      <c r="B1216" s="42" t="inlineStr">
        <is>
          <t>Product + UK</t>
        </is>
      </c>
      <c r="C1216" s="42" t="n">
        <v>2</v>
      </c>
      <c r="D1216" s="42" t="n">
        <v>13</v>
      </c>
      <c r="E1216" s="42" t="n">
        <v>1</v>
      </c>
      <c r="F1216" s="42" t="inlineStr">
        <is>
          <t>FR-367</t>
        </is>
      </c>
      <c r="G1216" s="55">
        <f>IFERROR(INDEX('Semrush Data'!$A$1:$Z$20000,MATCH(A1216,'Semrush Data'!$A$1:$A$20000,0),MATCH("Volume",'Semrush Data'!$A$1:$Z$1,0)),"")</f>
        <v/>
      </c>
      <c r="H1216" s="42">
        <f>IFERROR(INDEX('Semrush Data'!$A$1:$Z$20000,MATCH(A1216,'Semrush Data'!$A$1:$A$20000,0),MATCH("Keyword Difficulty*",'Semrush Data'!$A$1:$Z$1,0)),"")</f>
        <v/>
      </c>
      <c r="I1216" s="56">
        <f>IFERROR(INDEX('Semrush Data'!$A$1:$Z$20000,MATCH(A1216,'Semrush Data'!$A$1:$A$20000,0),MATCH("CPC*",'Semrush Data'!$A$1:$Z$1,0)),"")</f>
        <v/>
      </c>
      <c r="J1216" s="42">
        <f>IFERROR(INDEX('Semrush Data'!$A$1:$Z$20000,MATCH(A1216,'Semrush Data'!$A$1:$A$20000,0),MATCH("Intent",'Semrush Data'!$A$1:$Z$1,0)),"")</f>
        <v/>
      </c>
    </row>
    <row r="1217" ht="15" customHeight="1" s="37">
      <c r="A1217" s="42" t="inlineStr">
        <is>
          <t>tiziana terenzi orion uk</t>
        </is>
      </c>
      <c r="B1217" s="42" t="inlineStr">
        <is>
          <t>Product + UK</t>
        </is>
      </c>
      <c r="C1217" s="42" t="n">
        <v>2</v>
      </c>
      <c r="D1217" s="42" t="n">
        <v>13</v>
      </c>
      <c r="E1217" s="42" t="n">
        <v>1</v>
      </c>
      <c r="F1217" s="42" t="inlineStr">
        <is>
          <t>FR-368</t>
        </is>
      </c>
      <c r="G1217" s="55">
        <f>IFERROR(INDEX('Semrush Data'!$A$1:$Z$20000,MATCH(A1217,'Semrush Data'!$A$1:$A$20000,0),MATCH("Volume",'Semrush Data'!$A$1:$Z$1,0)),"")</f>
        <v/>
      </c>
      <c r="H1217" s="42">
        <f>IFERROR(INDEX('Semrush Data'!$A$1:$Z$20000,MATCH(A1217,'Semrush Data'!$A$1:$A$20000,0),MATCH("Keyword Difficulty*",'Semrush Data'!$A$1:$Z$1,0)),"")</f>
        <v/>
      </c>
      <c r="I1217" s="56">
        <f>IFERROR(INDEX('Semrush Data'!$A$1:$Z$20000,MATCH(A1217,'Semrush Data'!$A$1:$A$20000,0),MATCH("CPC*",'Semrush Data'!$A$1:$Z$1,0)),"")</f>
        <v/>
      </c>
      <c r="J1217" s="42">
        <f>IFERROR(INDEX('Semrush Data'!$A$1:$Z$20000,MATCH(A1217,'Semrush Data'!$A$1:$A$20000,0),MATCH("Intent",'Semrush Data'!$A$1:$Z$1,0)),"")</f>
        <v/>
      </c>
    </row>
    <row r="1218" ht="15" customHeight="1" s="37">
      <c r="A1218" s="42" t="inlineStr">
        <is>
          <t>tiziana terenzi orza linea tt uk</t>
        </is>
      </c>
      <c r="B1218" s="42" t="inlineStr">
        <is>
          <t>Product + UK</t>
        </is>
      </c>
      <c r="C1218" s="42" t="n">
        <v>2</v>
      </c>
      <c r="D1218" s="42" t="n">
        <v>13</v>
      </c>
      <c r="E1218" s="42" t="n">
        <v>1</v>
      </c>
      <c r="F1218" s="42" t="inlineStr">
        <is>
          <t>FR-369</t>
        </is>
      </c>
      <c r="G1218" s="55">
        <f>IFERROR(INDEX('Semrush Data'!$A$1:$Z$20000,MATCH(A1218,'Semrush Data'!$A$1:$A$20000,0),MATCH("Volume",'Semrush Data'!$A$1:$Z$1,0)),"")</f>
        <v/>
      </c>
      <c r="H1218" s="42">
        <f>IFERROR(INDEX('Semrush Data'!$A$1:$Z$20000,MATCH(A1218,'Semrush Data'!$A$1:$A$20000,0),MATCH("Keyword Difficulty*",'Semrush Data'!$A$1:$Z$1,0)),"")</f>
        <v/>
      </c>
      <c r="I1218" s="56">
        <f>IFERROR(INDEX('Semrush Data'!$A$1:$Z$20000,MATCH(A1218,'Semrush Data'!$A$1:$A$20000,0),MATCH("CPC*",'Semrush Data'!$A$1:$Z$1,0)),"")</f>
        <v/>
      </c>
      <c r="J1218" s="42">
        <f>IFERROR(INDEX('Semrush Data'!$A$1:$Z$20000,MATCH(A1218,'Semrush Data'!$A$1:$A$20000,0),MATCH("Intent",'Semrush Data'!$A$1:$Z$1,0)),"")</f>
        <v/>
      </c>
    </row>
    <row r="1219" ht="15" customHeight="1" s="37">
      <c r="A1219" s="42" t="inlineStr">
        <is>
          <t>tiziana terenzi porpora uk</t>
        </is>
      </c>
      <c r="B1219" s="42" t="inlineStr">
        <is>
          <t>Product + UK</t>
        </is>
      </c>
      <c r="C1219" s="42" t="n">
        <v>2</v>
      </c>
      <c r="D1219" s="42" t="n">
        <v>13</v>
      </c>
      <c r="E1219" s="42" t="n">
        <v>1</v>
      </c>
      <c r="F1219" s="42" t="inlineStr">
        <is>
          <t>FR-370</t>
        </is>
      </c>
      <c r="G1219" s="55">
        <f>IFERROR(INDEX('Semrush Data'!$A$1:$Z$20000,MATCH(A1219,'Semrush Data'!$A$1:$A$20000,0),MATCH("Volume",'Semrush Data'!$A$1:$Z$1,0)),"")</f>
        <v/>
      </c>
      <c r="H1219" s="42">
        <f>IFERROR(INDEX('Semrush Data'!$A$1:$Z$20000,MATCH(A1219,'Semrush Data'!$A$1:$A$20000,0),MATCH("Keyword Difficulty*",'Semrush Data'!$A$1:$Z$1,0)),"")</f>
        <v/>
      </c>
      <c r="I1219" s="56">
        <f>IFERROR(INDEX('Semrush Data'!$A$1:$Z$20000,MATCH(A1219,'Semrush Data'!$A$1:$A$20000,0),MATCH("CPC*",'Semrush Data'!$A$1:$Z$1,0)),"")</f>
        <v/>
      </c>
      <c r="J1219" s="42">
        <f>IFERROR(INDEX('Semrush Data'!$A$1:$Z$20000,MATCH(A1219,'Semrush Data'!$A$1:$A$20000,0),MATCH("Intent",'Semrush Data'!$A$1:$Z$1,0)),"")</f>
        <v/>
      </c>
    </row>
    <row r="1220" ht="15" customHeight="1" s="37">
      <c r="A1220" s="42" t="inlineStr">
        <is>
          <t>tiziana terenzi saiph uk</t>
        </is>
      </c>
      <c r="B1220" s="42" t="inlineStr">
        <is>
          <t>Product + UK</t>
        </is>
      </c>
      <c r="C1220" s="42" t="n">
        <v>2</v>
      </c>
      <c r="D1220" s="42" t="n">
        <v>13</v>
      </c>
      <c r="E1220" s="42" t="n">
        <v>1</v>
      </c>
      <c r="F1220" s="42" t="inlineStr">
        <is>
          <t>FR-371</t>
        </is>
      </c>
      <c r="G1220" s="55">
        <f>IFERROR(INDEX('Semrush Data'!$A$1:$Z$20000,MATCH(A1220,'Semrush Data'!$A$1:$A$20000,0),MATCH("Volume",'Semrush Data'!$A$1:$Z$1,0)),"")</f>
        <v/>
      </c>
      <c r="H1220" s="42">
        <f>IFERROR(INDEX('Semrush Data'!$A$1:$Z$20000,MATCH(A1220,'Semrush Data'!$A$1:$A$20000,0),MATCH("Keyword Difficulty*",'Semrush Data'!$A$1:$Z$1,0)),"")</f>
        <v/>
      </c>
      <c r="I1220" s="56">
        <f>IFERROR(INDEX('Semrush Data'!$A$1:$Z$20000,MATCH(A1220,'Semrush Data'!$A$1:$A$20000,0),MATCH("CPC*",'Semrush Data'!$A$1:$Z$1,0)),"")</f>
        <v/>
      </c>
      <c r="J1220" s="42">
        <f>IFERROR(INDEX('Semrush Data'!$A$1:$Z$20000,MATCH(A1220,'Semrush Data'!$A$1:$A$20000,0),MATCH("Intent",'Semrush Data'!$A$1:$Z$1,0)),"")</f>
        <v/>
      </c>
    </row>
    <row r="1221" ht="15" customHeight="1" s="37">
      <c r="A1221" s="42" t="inlineStr">
        <is>
          <t>tiziana terenzi sea stars collection deriva uk</t>
        </is>
      </c>
      <c r="B1221" s="42" t="inlineStr">
        <is>
          <t>Product + UK</t>
        </is>
      </c>
      <c r="C1221" s="42" t="n">
        <v>2</v>
      </c>
      <c r="D1221" s="42" t="n">
        <v>13</v>
      </c>
      <c r="E1221" s="42" t="n">
        <v>1</v>
      </c>
      <c r="F1221" s="42" t="inlineStr">
        <is>
          <t>FR-372</t>
        </is>
      </c>
      <c r="G1221" s="55">
        <f>IFERROR(INDEX('Semrush Data'!$A$1:$Z$20000,MATCH(A1221,'Semrush Data'!$A$1:$A$20000,0),MATCH("Volume",'Semrush Data'!$A$1:$Z$1,0)),"")</f>
        <v/>
      </c>
      <c r="H1221" s="42">
        <f>IFERROR(INDEX('Semrush Data'!$A$1:$Z$20000,MATCH(A1221,'Semrush Data'!$A$1:$A$20000,0),MATCH("Keyword Difficulty*",'Semrush Data'!$A$1:$Z$1,0)),"")</f>
        <v/>
      </c>
      <c r="I1221" s="56">
        <f>IFERROR(INDEX('Semrush Data'!$A$1:$Z$20000,MATCH(A1221,'Semrush Data'!$A$1:$A$20000,0),MATCH("CPC*",'Semrush Data'!$A$1:$Z$1,0)),"")</f>
        <v/>
      </c>
      <c r="J1221" s="42">
        <f>IFERROR(INDEX('Semrush Data'!$A$1:$Z$20000,MATCH(A1221,'Semrush Data'!$A$1:$A$20000,0),MATCH("Intent",'Semrush Data'!$A$1:$Z$1,0)),"")</f>
        <v/>
      </c>
    </row>
    <row r="1222" ht="15" customHeight="1" s="37">
      <c r="A1222" s="42" t="inlineStr">
        <is>
          <t>tiziana terenzi white fire uk</t>
        </is>
      </c>
      <c r="B1222" s="42" t="inlineStr">
        <is>
          <t>Product + UK</t>
        </is>
      </c>
      <c r="C1222" s="42" t="n">
        <v>2</v>
      </c>
      <c r="D1222" s="42" t="n">
        <v>13</v>
      </c>
      <c r="E1222" s="42" t="n">
        <v>1</v>
      </c>
      <c r="F1222" s="42" t="inlineStr">
        <is>
          <t>FR-373</t>
        </is>
      </c>
      <c r="G1222" s="55">
        <f>IFERROR(INDEX('Semrush Data'!$A$1:$Z$20000,MATCH(A1222,'Semrush Data'!$A$1:$A$20000,0),MATCH("Volume",'Semrush Data'!$A$1:$Z$1,0)),"")</f>
        <v/>
      </c>
      <c r="H1222" s="42">
        <f>IFERROR(INDEX('Semrush Data'!$A$1:$Z$20000,MATCH(A1222,'Semrush Data'!$A$1:$A$20000,0),MATCH("Keyword Difficulty*",'Semrush Data'!$A$1:$Z$1,0)),"")</f>
        <v/>
      </c>
      <c r="I1222" s="56">
        <f>IFERROR(INDEX('Semrush Data'!$A$1:$Z$20000,MATCH(A1222,'Semrush Data'!$A$1:$A$20000,0),MATCH("CPC*",'Semrush Data'!$A$1:$Z$1,0)),"")</f>
        <v/>
      </c>
      <c r="J1222" s="42">
        <f>IFERROR(INDEX('Semrush Data'!$A$1:$Z$20000,MATCH(A1222,'Semrush Data'!$A$1:$A$20000,0),MATCH("Intent",'Semrush Data'!$A$1:$Z$1,0)),"")</f>
        <v/>
      </c>
    </row>
    <row r="1223" ht="15" customHeight="1" s="37">
      <c r="A1223" s="42" t="inlineStr">
        <is>
          <t>tom ford black orchid uk</t>
        </is>
      </c>
      <c r="B1223" s="42" t="inlineStr">
        <is>
          <t>Product + UK</t>
        </is>
      </c>
      <c r="C1223" s="42" t="n">
        <v>2</v>
      </c>
      <c r="D1223" s="42" t="inlineStr">
        <is>
          <t>T2-1</t>
        </is>
      </c>
      <c r="E1223" s="42" t="n">
        <v>1</v>
      </c>
      <c r="F1223" s="42" t="inlineStr">
        <is>
          <t>FR-378</t>
        </is>
      </c>
      <c r="G1223" s="55">
        <f>IFERROR(INDEX('Semrush Data'!$A$1:$Z$20000,MATCH(A1223,'Semrush Data'!$A$1:$A$20000,0),MATCH("Volume",'Semrush Data'!$A$1:$Z$1,0)),"")</f>
        <v/>
      </c>
      <c r="H1223" s="42">
        <f>IFERROR(INDEX('Semrush Data'!$A$1:$Z$20000,MATCH(A1223,'Semrush Data'!$A$1:$A$20000,0),MATCH("Keyword Difficulty*",'Semrush Data'!$A$1:$Z$1,0)),"")</f>
        <v/>
      </c>
      <c r="I1223" s="56">
        <f>IFERROR(INDEX('Semrush Data'!$A$1:$Z$20000,MATCH(A1223,'Semrush Data'!$A$1:$A$20000,0),MATCH("CPC*",'Semrush Data'!$A$1:$Z$1,0)),"")</f>
        <v/>
      </c>
      <c r="J1223" s="42">
        <f>IFERROR(INDEX('Semrush Data'!$A$1:$Z$20000,MATCH(A1223,'Semrush Data'!$A$1:$A$20000,0),MATCH("Intent",'Semrush Data'!$A$1:$Z$1,0)),"")</f>
        <v/>
      </c>
    </row>
    <row r="1224" ht="15" customHeight="1" s="37">
      <c r="A1224" s="42" t="inlineStr">
        <is>
          <t>tom ford ebene fume uk</t>
        </is>
      </c>
      <c r="B1224" s="42" t="inlineStr">
        <is>
          <t>Product + UK</t>
        </is>
      </c>
      <c r="C1224" s="42" t="n">
        <v>2</v>
      </c>
      <c r="D1224" s="42" t="inlineStr">
        <is>
          <t>T2-1</t>
        </is>
      </c>
      <c r="E1224" s="42" t="n">
        <v>1</v>
      </c>
      <c r="F1224" s="42" t="inlineStr">
        <is>
          <t>FR-377</t>
        </is>
      </c>
      <c r="G1224" s="55">
        <f>IFERROR(INDEX('Semrush Data'!$A$1:$Z$20000,MATCH(A1224,'Semrush Data'!$A$1:$A$20000,0),MATCH("Volume",'Semrush Data'!$A$1:$Z$1,0)),"")</f>
        <v/>
      </c>
      <c r="H1224" s="42">
        <f>IFERROR(INDEX('Semrush Data'!$A$1:$Z$20000,MATCH(A1224,'Semrush Data'!$A$1:$A$20000,0),MATCH("Keyword Difficulty*",'Semrush Data'!$A$1:$Z$1,0)),"")</f>
        <v/>
      </c>
      <c r="I1224" s="56">
        <f>IFERROR(INDEX('Semrush Data'!$A$1:$Z$20000,MATCH(A1224,'Semrush Data'!$A$1:$A$20000,0),MATCH("CPC*",'Semrush Data'!$A$1:$Z$1,0)),"")</f>
        <v/>
      </c>
      <c r="J1224" s="42">
        <f>IFERROR(INDEX('Semrush Data'!$A$1:$Z$20000,MATCH(A1224,'Semrush Data'!$A$1:$A$20000,0),MATCH("Intent",'Semrush Data'!$A$1:$Z$1,0)),"")</f>
        <v/>
      </c>
    </row>
    <row r="1225" ht="15" customHeight="1" s="37">
      <c r="A1225" s="42" t="inlineStr">
        <is>
          <t>tom ford neroli portofino uk</t>
        </is>
      </c>
      <c r="B1225" s="42" t="inlineStr">
        <is>
          <t>Product + UK</t>
        </is>
      </c>
      <c r="C1225" s="42" t="n">
        <v>2</v>
      </c>
      <c r="D1225" s="42" t="inlineStr">
        <is>
          <t>T2-1</t>
        </is>
      </c>
      <c r="E1225" s="42" t="n">
        <v>1</v>
      </c>
      <c r="F1225" s="42" t="inlineStr">
        <is>
          <t>FR-374</t>
        </is>
      </c>
      <c r="G1225" s="55">
        <f>IFERROR(INDEX('Semrush Data'!$A$1:$Z$20000,MATCH(A1225,'Semrush Data'!$A$1:$A$20000,0),MATCH("Volume",'Semrush Data'!$A$1:$Z$1,0)),"")</f>
        <v/>
      </c>
      <c r="H1225" s="42">
        <f>IFERROR(INDEX('Semrush Data'!$A$1:$Z$20000,MATCH(A1225,'Semrush Data'!$A$1:$A$20000,0),MATCH("Keyword Difficulty*",'Semrush Data'!$A$1:$Z$1,0)),"")</f>
        <v/>
      </c>
      <c r="I1225" s="56">
        <f>IFERROR(INDEX('Semrush Data'!$A$1:$Z$20000,MATCH(A1225,'Semrush Data'!$A$1:$A$20000,0),MATCH("CPC*",'Semrush Data'!$A$1:$Z$1,0)),"")</f>
        <v/>
      </c>
      <c r="J1225" s="42">
        <f>IFERROR(INDEX('Semrush Data'!$A$1:$Z$20000,MATCH(A1225,'Semrush Data'!$A$1:$A$20000,0),MATCH("Intent",'Semrush Data'!$A$1:$Z$1,0)),"")</f>
        <v/>
      </c>
    </row>
    <row r="1226" ht="15" customHeight="1" s="37">
      <c r="A1226" s="42" t="inlineStr">
        <is>
          <t>tom ford noir extreme uk</t>
        </is>
      </c>
      <c r="B1226" s="42" t="inlineStr">
        <is>
          <t>Product + UK</t>
        </is>
      </c>
      <c r="C1226" s="42" t="n">
        <v>2</v>
      </c>
      <c r="D1226" s="42" t="inlineStr">
        <is>
          <t>T2-1</t>
        </is>
      </c>
      <c r="E1226" s="42" t="n">
        <v>1</v>
      </c>
      <c r="F1226" s="42" t="inlineStr">
        <is>
          <t>FR-379</t>
        </is>
      </c>
      <c r="G1226" s="55">
        <f>IFERROR(INDEX('Semrush Data'!$A$1:$Z$20000,MATCH(A1226,'Semrush Data'!$A$1:$A$20000,0),MATCH("Volume",'Semrush Data'!$A$1:$Z$1,0)),"")</f>
        <v/>
      </c>
      <c r="H1226" s="42">
        <f>IFERROR(INDEX('Semrush Data'!$A$1:$Z$20000,MATCH(A1226,'Semrush Data'!$A$1:$A$20000,0),MATCH("Keyword Difficulty*",'Semrush Data'!$A$1:$Z$1,0)),"")</f>
        <v/>
      </c>
      <c r="I1226" s="56">
        <f>IFERROR(INDEX('Semrush Data'!$A$1:$Z$20000,MATCH(A1226,'Semrush Data'!$A$1:$A$20000,0),MATCH("CPC*",'Semrush Data'!$A$1:$Z$1,0)),"")</f>
        <v/>
      </c>
      <c r="J1226" s="42">
        <f>IFERROR(INDEX('Semrush Data'!$A$1:$Z$20000,MATCH(A1226,'Semrush Data'!$A$1:$A$20000,0),MATCH("Intent",'Semrush Data'!$A$1:$Z$1,0)),"")</f>
        <v/>
      </c>
    </row>
    <row r="1227" ht="15" customHeight="1" s="37">
      <c r="A1227" s="42" t="inlineStr">
        <is>
          <t>tom ford oud wood uk</t>
        </is>
      </c>
      <c r="B1227" s="42" t="inlineStr">
        <is>
          <t>Product + UK</t>
        </is>
      </c>
      <c r="C1227" s="42" t="n">
        <v>2</v>
      </c>
      <c r="D1227" s="42" t="inlineStr">
        <is>
          <t>T2-1</t>
        </is>
      </c>
      <c r="E1227" s="42" t="n">
        <v>2</v>
      </c>
      <c r="F1227" s="42" t="inlineStr">
        <is>
          <t>FR-375, FR-376</t>
        </is>
      </c>
      <c r="G1227" s="55">
        <f>IFERROR(INDEX('Semrush Data'!$A$1:$Z$20000,MATCH(A1227,'Semrush Data'!$A$1:$A$20000,0),MATCH("Volume",'Semrush Data'!$A$1:$Z$1,0)),"")</f>
        <v/>
      </c>
      <c r="H1227" s="42">
        <f>IFERROR(INDEX('Semrush Data'!$A$1:$Z$20000,MATCH(A1227,'Semrush Data'!$A$1:$A$20000,0),MATCH("Keyword Difficulty*",'Semrush Data'!$A$1:$Z$1,0)),"")</f>
        <v/>
      </c>
      <c r="I1227" s="56">
        <f>IFERROR(INDEX('Semrush Data'!$A$1:$Z$20000,MATCH(A1227,'Semrush Data'!$A$1:$A$20000,0),MATCH("CPC*",'Semrush Data'!$A$1:$Z$1,0)),"")</f>
        <v/>
      </c>
      <c r="J1227" s="42">
        <f>IFERROR(INDEX('Semrush Data'!$A$1:$Z$20000,MATCH(A1227,'Semrush Data'!$A$1:$A$20000,0),MATCH("Intent",'Semrush Data'!$A$1:$Z$1,0)),"")</f>
        <v/>
      </c>
    </row>
    <row r="1228" ht="15" customHeight="1" s="37">
      <c r="A1228" s="42" t="inlineStr">
        <is>
          <t>trussardi black extreme miniature uk</t>
        </is>
      </c>
      <c r="B1228" s="42" t="inlineStr">
        <is>
          <t>Product + UK</t>
        </is>
      </c>
      <c r="C1228" s="42" t="n">
        <v>2</v>
      </c>
      <c r="D1228" s="42" t="n">
        <v>13</v>
      </c>
      <c r="E1228" s="42" t="n">
        <v>1</v>
      </c>
      <c r="F1228" s="42" t="inlineStr">
        <is>
          <t>FR-382</t>
        </is>
      </c>
      <c r="G1228" s="55">
        <f>IFERROR(INDEX('Semrush Data'!$A$1:$Z$20000,MATCH(A1228,'Semrush Data'!$A$1:$A$20000,0),MATCH("Volume",'Semrush Data'!$A$1:$Z$1,0)),"")</f>
        <v/>
      </c>
      <c r="H1228" s="42">
        <f>IFERROR(INDEX('Semrush Data'!$A$1:$Z$20000,MATCH(A1228,'Semrush Data'!$A$1:$A$20000,0),MATCH("Keyword Difficulty*",'Semrush Data'!$A$1:$Z$1,0)),"")</f>
        <v/>
      </c>
      <c r="I1228" s="56">
        <f>IFERROR(INDEX('Semrush Data'!$A$1:$Z$20000,MATCH(A1228,'Semrush Data'!$A$1:$A$20000,0),MATCH("CPC*",'Semrush Data'!$A$1:$Z$1,0)),"")</f>
        <v/>
      </c>
      <c r="J1228" s="42">
        <f>IFERROR(INDEX('Semrush Data'!$A$1:$Z$20000,MATCH(A1228,'Semrush Data'!$A$1:$A$20000,0),MATCH("Intent",'Semrush Data'!$A$1:$Z$1,0)),"")</f>
        <v/>
      </c>
    </row>
    <row r="1229" ht="15" customHeight="1" s="37">
      <c r="A1229" s="42" t="inlineStr">
        <is>
          <t>trussardi delicate rose uk</t>
        </is>
      </c>
      <c r="B1229" s="42" t="inlineStr">
        <is>
          <t>Product + UK</t>
        </is>
      </c>
      <c r="C1229" s="42" t="n">
        <v>2</v>
      </c>
      <c r="D1229" s="42" t="n">
        <v>13</v>
      </c>
      <c r="E1229" s="42" t="n">
        <v>1</v>
      </c>
      <c r="F1229" s="42" t="inlineStr">
        <is>
          <t>FR-383</t>
        </is>
      </c>
      <c r="G1229" s="55">
        <f>IFERROR(INDEX('Semrush Data'!$A$1:$Z$20000,MATCH(A1229,'Semrush Data'!$A$1:$A$20000,0),MATCH("Volume",'Semrush Data'!$A$1:$Z$1,0)),"")</f>
        <v/>
      </c>
      <c r="H1229" s="42">
        <f>IFERROR(INDEX('Semrush Data'!$A$1:$Z$20000,MATCH(A1229,'Semrush Data'!$A$1:$A$20000,0),MATCH("Keyword Difficulty*",'Semrush Data'!$A$1:$Z$1,0)),"")</f>
        <v/>
      </c>
      <c r="I1229" s="56">
        <f>IFERROR(INDEX('Semrush Data'!$A$1:$Z$20000,MATCH(A1229,'Semrush Data'!$A$1:$A$20000,0),MATCH("CPC*",'Semrush Data'!$A$1:$Z$1,0)),"")</f>
        <v/>
      </c>
      <c r="J1229" s="42">
        <f>IFERROR(INDEX('Semrush Data'!$A$1:$Z$20000,MATCH(A1229,'Semrush Data'!$A$1:$A$20000,0),MATCH("Intent",'Semrush Data'!$A$1:$Z$1,0)),"")</f>
        <v/>
      </c>
    </row>
    <row r="1230" ht="15" customHeight="1" s="37">
      <c r="A1230" s="42" t="inlineStr">
        <is>
          <t>trussardi pure jasmine lifestyle mini gift set uk</t>
        </is>
      </c>
      <c r="B1230" s="42" t="inlineStr">
        <is>
          <t>Product + UK</t>
        </is>
      </c>
      <c r="C1230" s="42" t="n">
        <v>2</v>
      </c>
      <c r="D1230" s="42" t="n">
        <v>13</v>
      </c>
      <c r="E1230" s="42" t="n">
        <v>1</v>
      </c>
      <c r="F1230" s="42" t="inlineStr">
        <is>
          <t>FR-384</t>
        </is>
      </c>
      <c r="G1230" s="55">
        <f>IFERROR(INDEX('Semrush Data'!$A$1:$Z$20000,MATCH(A1230,'Semrush Data'!$A$1:$A$20000,0),MATCH("Volume",'Semrush Data'!$A$1:$Z$1,0)),"")</f>
        <v/>
      </c>
      <c r="H1230" s="42">
        <f>IFERROR(INDEX('Semrush Data'!$A$1:$Z$20000,MATCH(A1230,'Semrush Data'!$A$1:$A$20000,0),MATCH("Keyword Difficulty*",'Semrush Data'!$A$1:$Z$1,0)),"")</f>
        <v/>
      </c>
      <c r="I1230" s="56">
        <f>IFERROR(INDEX('Semrush Data'!$A$1:$Z$20000,MATCH(A1230,'Semrush Data'!$A$1:$A$20000,0),MATCH("CPC*",'Semrush Data'!$A$1:$Z$1,0)),"")</f>
        <v/>
      </c>
      <c r="J1230" s="42">
        <f>IFERROR(INDEX('Semrush Data'!$A$1:$Z$20000,MATCH(A1230,'Semrush Data'!$A$1:$A$20000,0),MATCH("Intent",'Semrush Data'!$A$1:$Z$1,0)),"")</f>
        <v/>
      </c>
    </row>
    <row r="1231" ht="15" customHeight="1" s="37">
      <c r="A1231" s="42" t="inlineStr">
        <is>
          <t>trussardi pure jasmine miniature uk</t>
        </is>
      </c>
      <c r="B1231" s="42" t="inlineStr">
        <is>
          <t>Product + UK</t>
        </is>
      </c>
      <c r="C1231" s="42" t="n">
        <v>2</v>
      </c>
      <c r="D1231" s="42" t="n">
        <v>13</v>
      </c>
      <c r="E1231" s="42" t="n">
        <v>1</v>
      </c>
      <c r="F1231" s="42" t="inlineStr">
        <is>
          <t>FR-380</t>
        </is>
      </c>
      <c r="G1231" s="55">
        <f>IFERROR(INDEX('Semrush Data'!$A$1:$Z$20000,MATCH(A1231,'Semrush Data'!$A$1:$A$20000,0),MATCH("Volume",'Semrush Data'!$A$1:$Z$1,0)),"")</f>
        <v/>
      </c>
      <c r="H1231" s="42">
        <f>IFERROR(INDEX('Semrush Data'!$A$1:$Z$20000,MATCH(A1231,'Semrush Data'!$A$1:$A$20000,0),MATCH("Keyword Difficulty*",'Semrush Data'!$A$1:$Z$1,0)),"")</f>
        <v/>
      </c>
      <c r="I1231" s="56">
        <f>IFERROR(INDEX('Semrush Data'!$A$1:$Z$20000,MATCH(A1231,'Semrush Data'!$A$1:$A$20000,0),MATCH("CPC*",'Semrush Data'!$A$1:$Z$1,0)),"")</f>
        <v/>
      </c>
      <c r="J1231" s="42">
        <f>IFERROR(INDEX('Semrush Data'!$A$1:$Z$20000,MATCH(A1231,'Semrush Data'!$A$1:$A$20000,0),MATCH("Intent",'Semrush Data'!$A$1:$Z$1,0)),"")</f>
        <v/>
      </c>
    </row>
    <row r="1232" ht="15" customHeight="1" s="37">
      <c r="A1232" s="42" t="inlineStr">
        <is>
          <t>trussardi pure jasmine uk</t>
        </is>
      </c>
      <c r="B1232" s="42" t="inlineStr">
        <is>
          <t>Product + UK</t>
        </is>
      </c>
      <c r="C1232" s="42" t="n">
        <v>2</v>
      </c>
      <c r="D1232" s="42" t="n">
        <v>13</v>
      </c>
      <c r="E1232" s="42" t="n">
        <v>1</v>
      </c>
      <c r="F1232" s="42" t="inlineStr">
        <is>
          <t>FR-381</t>
        </is>
      </c>
      <c r="G1232" s="55">
        <f>IFERROR(INDEX('Semrush Data'!$A$1:$Z$20000,MATCH(A1232,'Semrush Data'!$A$1:$A$20000,0),MATCH("Volume",'Semrush Data'!$A$1:$Z$1,0)),"")</f>
        <v/>
      </c>
      <c r="H1232" s="42">
        <f>IFERROR(INDEX('Semrush Data'!$A$1:$Z$20000,MATCH(A1232,'Semrush Data'!$A$1:$A$20000,0),MATCH("Keyword Difficulty*",'Semrush Data'!$A$1:$Z$1,0)),"")</f>
        <v/>
      </c>
      <c r="I1232" s="56">
        <f>IFERROR(INDEX('Semrush Data'!$A$1:$Z$20000,MATCH(A1232,'Semrush Data'!$A$1:$A$20000,0),MATCH("CPC*",'Semrush Data'!$A$1:$Z$1,0)),"")</f>
        <v/>
      </c>
      <c r="J1232" s="42">
        <f>IFERROR(INDEX('Semrush Data'!$A$1:$Z$20000,MATCH(A1232,'Semrush Data'!$A$1:$A$20000,0),MATCH("Intent",'Semrush Data'!$A$1:$Z$1,0)),"")</f>
        <v/>
      </c>
    </row>
    <row r="1233" ht="15" customHeight="1" s="37">
      <c r="A1233" s="42" t="inlineStr">
        <is>
          <t>trussardi ruby red gift set uk</t>
        </is>
      </c>
      <c r="B1233" s="42" t="inlineStr">
        <is>
          <t>Product + UK</t>
        </is>
      </c>
      <c r="C1233" s="42" t="n">
        <v>2</v>
      </c>
      <c r="D1233" s="42" t="n">
        <v>13</v>
      </c>
      <c r="E1233" s="42" t="n">
        <v>1</v>
      </c>
      <c r="F1233" s="42" t="inlineStr">
        <is>
          <t>FR-385</t>
        </is>
      </c>
      <c r="G1233" s="55">
        <f>IFERROR(INDEX('Semrush Data'!$A$1:$Z$20000,MATCH(A1233,'Semrush Data'!$A$1:$A$20000,0),MATCH("Volume",'Semrush Data'!$A$1:$Z$1,0)),"")</f>
        <v/>
      </c>
      <c r="H1233" s="42">
        <f>IFERROR(INDEX('Semrush Data'!$A$1:$Z$20000,MATCH(A1233,'Semrush Data'!$A$1:$A$20000,0),MATCH("Keyword Difficulty*",'Semrush Data'!$A$1:$Z$1,0)),"")</f>
        <v/>
      </c>
      <c r="I1233" s="56">
        <f>IFERROR(INDEX('Semrush Data'!$A$1:$Z$20000,MATCH(A1233,'Semrush Data'!$A$1:$A$20000,0),MATCH("CPC*",'Semrush Data'!$A$1:$Z$1,0)),"")</f>
        <v/>
      </c>
      <c r="J1233" s="42">
        <f>IFERROR(INDEX('Semrush Data'!$A$1:$Z$20000,MATCH(A1233,'Semrush Data'!$A$1:$A$20000,0),MATCH("Intent",'Semrush Data'!$A$1:$Z$1,0)),"")</f>
        <v/>
      </c>
    </row>
    <row r="1234" ht="15" customHeight="1" s="37">
      <c r="A1234" s="42" t="inlineStr">
        <is>
          <t>viktor &amp; rolf good fortune miniature uk</t>
        </is>
      </c>
      <c r="B1234" s="42" t="inlineStr">
        <is>
          <t>Product + UK</t>
        </is>
      </c>
      <c r="C1234" s="42" t="n">
        <v>2</v>
      </c>
      <c r="D1234" s="42" t="n">
        <v>13</v>
      </c>
      <c r="E1234" s="42" t="n">
        <v>1</v>
      </c>
      <c r="F1234" s="42" t="inlineStr">
        <is>
          <t>FR-386</t>
        </is>
      </c>
      <c r="G1234" s="55">
        <f>IFERROR(INDEX('Semrush Data'!$A$1:$Z$20000,MATCH(A1234,'Semrush Data'!$A$1:$A$20000,0),MATCH("Volume",'Semrush Data'!$A$1:$Z$1,0)),"")</f>
        <v/>
      </c>
      <c r="H1234" s="42">
        <f>IFERROR(INDEX('Semrush Data'!$A$1:$Z$20000,MATCH(A1234,'Semrush Data'!$A$1:$A$20000,0),MATCH("Keyword Difficulty*",'Semrush Data'!$A$1:$Z$1,0)),"")</f>
        <v/>
      </c>
      <c r="I1234" s="56">
        <f>IFERROR(INDEX('Semrush Data'!$A$1:$Z$20000,MATCH(A1234,'Semrush Data'!$A$1:$A$20000,0),MATCH("CPC*",'Semrush Data'!$A$1:$Z$1,0)),"")</f>
        <v/>
      </c>
      <c r="J1234" s="42">
        <f>IFERROR(INDEX('Semrush Data'!$A$1:$Z$20000,MATCH(A1234,'Semrush Data'!$A$1:$A$20000,0),MATCH("Intent",'Semrush Data'!$A$1:$Z$1,0)),"")</f>
        <v/>
      </c>
    </row>
    <row r="1235" ht="15" customHeight="1" s="37">
      <c r="A1235" s="42" t="inlineStr">
        <is>
          <t>vilvah aloe vera gel uk</t>
        </is>
      </c>
      <c r="B1235" s="42" t="inlineStr">
        <is>
          <t>Product + UK</t>
        </is>
      </c>
      <c r="C1235" s="42" t="n">
        <v>2</v>
      </c>
      <c r="D1235" s="42" t="n">
        <v>13</v>
      </c>
      <c r="E1235" s="42" t="n">
        <v>1</v>
      </c>
      <c r="F1235" s="42" t="inlineStr">
        <is>
          <t>VD-020</t>
        </is>
      </c>
      <c r="G1235" s="55">
        <f>IFERROR(INDEX('Semrush Data'!$A$1:$Z$20000,MATCH(A1235,'Semrush Data'!$A$1:$A$20000,0),MATCH("Volume",'Semrush Data'!$A$1:$Z$1,0)),"")</f>
        <v/>
      </c>
      <c r="H1235" s="42">
        <f>IFERROR(INDEX('Semrush Data'!$A$1:$Z$20000,MATCH(A1235,'Semrush Data'!$A$1:$A$20000,0),MATCH("Keyword Difficulty*",'Semrush Data'!$A$1:$Z$1,0)),"")</f>
        <v/>
      </c>
      <c r="I1235" s="56">
        <f>IFERROR(INDEX('Semrush Data'!$A$1:$Z$20000,MATCH(A1235,'Semrush Data'!$A$1:$A$20000,0),MATCH("CPC*",'Semrush Data'!$A$1:$Z$1,0)),"")</f>
        <v/>
      </c>
      <c r="J1235" s="42">
        <f>IFERROR(INDEX('Semrush Data'!$A$1:$Z$20000,MATCH(A1235,'Semrush Data'!$A$1:$A$20000,0),MATCH("Intent",'Semrush Data'!$A$1:$Z$1,0)),"")</f>
        <v/>
      </c>
    </row>
    <row r="1236" ht="15" customHeight="1" s="37">
      <c r="A1236" s="42" t="inlineStr">
        <is>
          <t>vilvah am brightening kit uk</t>
        </is>
      </c>
      <c r="B1236" s="42" t="inlineStr">
        <is>
          <t>Product + UK</t>
        </is>
      </c>
      <c r="C1236" s="42" t="n">
        <v>2</v>
      </c>
      <c r="D1236" s="42" t="n">
        <v>13</v>
      </c>
      <c r="E1236" s="42" t="n">
        <v>1</v>
      </c>
      <c r="F1236" s="42" t="inlineStr">
        <is>
          <t>VD-059</t>
        </is>
      </c>
      <c r="G1236" s="55">
        <f>IFERROR(INDEX('Semrush Data'!$A$1:$Z$20000,MATCH(A1236,'Semrush Data'!$A$1:$A$20000,0),MATCH("Volume",'Semrush Data'!$A$1:$Z$1,0)),"")</f>
        <v/>
      </c>
      <c r="H1236" s="42">
        <f>IFERROR(INDEX('Semrush Data'!$A$1:$Z$20000,MATCH(A1236,'Semrush Data'!$A$1:$A$20000,0),MATCH("Keyword Difficulty*",'Semrush Data'!$A$1:$Z$1,0)),"")</f>
        <v/>
      </c>
      <c r="I1236" s="56">
        <f>IFERROR(INDEX('Semrush Data'!$A$1:$Z$20000,MATCH(A1236,'Semrush Data'!$A$1:$A$20000,0),MATCH("CPC*",'Semrush Data'!$A$1:$Z$1,0)),"")</f>
        <v/>
      </c>
      <c r="J1236" s="42">
        <f>IFERROR(INDEX('Semrush Data'!$A$1:$Z$20000,MATCH(A1236,'Semrush Data'!$A$1:$A$20000,0),MATCH("Intent",'Semrush Data'!$A$1:$Z$1,0)),"")</f>
        <v/>
      </c>
    </row>
    <row r="1237" ht="15" customHeight="1" s="37">
      <c r="A1237" s="42" t="inlineStr">
        <is>
          <t>vilvah am pm serum kit uk</t>
        </is>
      </c>
      <c r="B1237" s="42" t="inlineStr">
        <is>
          <t>Product + UK</t>
        </is>
      </c>
      <c r="C1237" s="42" t="n">
        <v>2</v>
      </c>
      <c r="D1237" s="42" t="n">
        <v>13</v>
      </c>
      <c r="E1237" s="42" t="n">
        <v>1</v>
      </c>
      <c r="F1237" s="42" t="inlineStr">
        <is>
          <t>VD-057</t>
        </is>
      </c>
      <c r="G1237" s="55">
        <f>IFERROR(INDEX('Semrush Data'!$A$1:$Z$20000,MATCH(A1237,'Semrush Data'!$A$1:$A$20000,0),MATCH("Volume",'Semrush Data'!$A$1:$Z$1,0)),"")</f>
        <v/>
      </c>
      <c r="H1237" s="42">
        <f>IFERROR(INDEX('Semrush Data'!$A$1:$Z$20000,MATCH(A1237,'Semrush Data'!$A$1:$A$20000,0),MATCH("Keyword Difficulty*",'Semrush Data'!$A$1:$Z$1,0)),"")</f>
        <v/>
      </c>
      <c r="I1237" s="56">
        <f>IFERROR(INDEX('Semrush Data'!$A$1:$Z$20000,MATCH(A1237,'Semrush Data'!$A$1:$A$20000,0),MATCH("CPC*",'Semrush Data'!$A$1:$Z$1,0)),"")</f>
        <v/>
      </c>
      <c r="J1237" s="42">
        <f>IFERROR(INDEX('Semrush Data'!$A$1:$Z$20000,MATCH(A1237,'Semrush Data'!$A$1:$A$20000,0),MATCH("Intent",'Semrush Data'!$A$1:$Z$1,0)),"")</f>
        <v/>
      </c>
    </row>
    <row r="1238" ht="15" customHeight="1" s="37">
      <c r="A1238" s="42" t="inlineStr">
        <is>
          <t>vilvah anti frizz hair kit uk</t>
        </is>
      </c>
      <c r="B1238" s="42" t="inlineStr">
        <is>
          <t>Product + UK</t>
        </is>
      </c>
      <c r="C1238" s="42" t="n">
        <v>2</v>
      </c>
      <c r="D1238" s="42" t="n">
        <v>13</v>
      </c>
      <c r="E1238" s="42" t="n">
        <v>1</v>
      </c>
      <c r="F1238" s="42" t="inlineStr">
        <is>
          <t>VD-075</t>
        </is>
      </c>
      <c r="G1238" s="55">
        <f>IFERROR(INDEX('Semrush Data'!$A$1:$Z$20000,MATCH(A1238,'Semrush Data'!$A$1:$A$20000,0),MATCH("Volume",'Semrush Data'!$A$1:$Z$1,0)),"")</f>
        <v/>
      </c>
      <c r="H1238" s="42">
        <f>IFERROR(INDEX('Semrush Data'!$A$1:$Z$20000,MATCH(A1238,'Semrush Data'!$A$1:$A$20000,0),MATCH("Keyword Difficulty*",'Semrush Data'!$A$1:$Z$1,0)),"")</f>
        <v/>
      </c>
      <c r="I1238" s="56">
        <f>IFERROR(INDEX('Semrush Data'!$A$1:$Z$20000,MATCH(A1238,'Semrush Data'!$A$1:$A$20000,0),MATCH("CPC*",'Semrush Data'!$A$1:$Z$1,0)),"")</f>
        <v/>
      </c>
      <c r="J1238" s="42">
        <f>IFERROR(INDEX('Semrush Data'!$A$1:$Z$20000,MATCH(A1238,'Semrush Data'!$A$1:$A$20000,0),MATCH("Intent",'Semrush Data'!$A$1:$Z$1,0)),"")</f>
        <v/>
      </c>
    </row>
    <row r="1239" ht="15" customHeight="1" s="37">
      <c r="A1239" s="42" t="inlineStr">
        <is>
          <t>vilvah anti-dandruff hair oil uk</t>
        </is>
      </c>
      <c r="B1239" s="42" t="inlineStr">
        <is>
          <t>Product + UK</t>
        </is>
      </c>
      <c r="C1239" s="42" t="n">
        <v>2</v>
      </c>
      <c r="D1239" s="42" t="n">
        <v>13</v>
      </c>
      <c r="E1239" s="42" t="n">
        <v>1</v>
      </c>
      <c r="F1239" s="42" t="inlineStr">
        <is>
          <t>VD-021</t>
        </is>
      </c>
      <c r="G1239" s="55">
        <f>IFERROR(INDEX('Semrush Data'!$A$1:$Z$20000,MATCH(A1239,'Semrush Data'!$A$1:$A$20000,0),MATCH("Volume",'Semrush Data'!$A$1:$Z$1,0)),"")</f>
        <v/>
      </c>
      <c r="H1239" s="42">
        <f>IFERROR(INDEX('Semrush Data'!$A$1:$Z$20000,MATCH(A1239,'Semrush Data'!$A$1:$A$20000,0),MATCH("Keyword Difficulty*",'Semrush Data'!$A$1:$Z$1,0)),"")</f>
        <v/>
      </c>
      <c r="I1239" s="56">
        <f>IFERROR(INDEX('Semrush Data'!$A$1:$Z$20000,MATCH(A1239,'Semrush Data'!$A$1:$A$20000,0),MATCH("CPC*",'Semrush Data'!$A$1:$Z$1,0)),"")</f>
        <v/>
      </c>
      <c r="J1239" s="42">
        <f>IFERROR(INDEX('Semrush Data'!$A$1:$Z$20000,MATCH(A1239,'Semrush Data'!$A$1:$A$20000,0),MATCH("Intent",'Semrush Data'!$A$1:$Z$1,0)),"")</f>
        <v/>
      </c>
    </row>
    <row r="1240" ht="15" customHeight="1" s="37">
      <c r="A1240" s="42" t="inlineStr">
        <is>
          <t>vilvah anti-frizz hair serum uk</t>
        </is>
      </c>
      <c r="B1240" s="42" t="inlineStr">
        <is>
          <t>Product + UK</t>
        </is>
      </c>
      <c r="C1240" s="42" t="n">
        <v>2</v>
      </c>
      <c r="D1240" s="42" t="n">
        <v>13</v>
      </c>
      <c r="E1240" s="42" t="n">
        <v>1</v>
      </c>
      <c r="F1240" s="42" t="inlineStr">
        <is>
          <t>VD-022</t>
        </is>
      </c>
      <c r="G1240" s="55">
        <f>IFERROR(INDEX('Semrush Data'!$A$1:$Z$20000,MATCH(A1240,'Semrush Data'!$A$1:$A$20000,0),MATCH("Volume",'Semrush Data'!$A$1:$Z$1,0)),"")</f>
        <v/>
      </c>
      <c r="H1240" s="42">
        <f>IFERROR(INDEX('Semrush Data'!$A$1:$Z$20000,MATCH(A1240,'Semrush Data'!$A$1:$A$20000,0),MATCH("Keyword Difficulty*",'Semrush Data'!$A$1:$Z$1,0)),"")</f>
        <v/>
      </c>
      <c r="I1240" s="56">
        <f>IFERROR(INDEX('Semrush Data'!$A$1:$Z$20000,MATCH(A1240,'Semrush Data'!$A$1:$A$20000,0),MATCH("CPC*",'Semrush Data'!$A$1:$Z$1,0)),"")</f>
        <v/>
      </c>
      <c r="J1240" s="42">
        <f>IFERROR(INDEX('Semrush Data'!$A$1:$Z$20000,MATCH(A1240,'Semrush Data'!$A$1:$A$20000,0),MATCH("Intent",'Semrush Data'!$A$1:$Z$1,0)),"")</f>
        <v/>
      </c>
    </row>
    <row r="1241" ht="15" customHeight="1" s="37">
      <c r="A1241" s="42" t="inlineStr">
        <is>
          <t>vilvah anti‑acne kit uk</t>
        </is>
      </c>
      <c r="B1241" s="42" t="inlineStr">
        <is>
          <t>Product + UK</t>
        </is>
      </c>
      <c r="C1241" s="42" t="n">
        <v>2</v>
      </c>
      <c r="D1241" s="42" t="n">
        <v>13</v>
      </c>
      <c r="E1241" s="42" t="n">
        <v>1</v>
      </c>
      <c r="F1241" s="42" t="inlineStr">
        <is>
          <t>VD-052</t>
        </is>
      </c>
      <c r="G1241" s="55">
        <f>IFERROR(INDEX('Semrush Data'!$A$1:$Z$20000,MATCH(A1241,'Semrush Data'!$A$1:$A$20000,0),MATCH("Volume",'Semrush Data'!$A$1:$Z$1,0)),"")</f>
        <v/>
      </c>
      <c r="H1241" s="42">
        <f>IFERROR(INDEX('Semrush Data'!$A$1:$Z$20000,MATCH(A1241,'Semrush Data'!$A$1:$A$20000,0),MATCH("Keyword Difficulty*",'Semrush Data'!$A$1:$Z$1,0)),"")</f>
        <v/>
      </c>
      <c r="I1241" s="56">
        <f>IFERROR(INDEX('Semrush Data'!$A$1:$Z$20000,MATCH(A1241,'Semrush Data'!$A$1:$A$20000,0),MATCH("CPC*",'Semrush Data'!$A$1:$Z$1,0)),"")</f>
        <v/>
      </c>
      <c r="J1241" s="42">
        <f>IFERROR(INDEX('Semrush Data'!$A$1:$Z$20000,MATCH(A1241,'Semrush Data'!$A$1:$A$20000,0),MATCH("Intent",'Semrush Data'!$A$1:$Z$1,0)),"")</f>
        <v/>
      </c>
    </row>
    <row r="1242" ht="15" customHeight="1" s="37">
      <c r="A1242" s="42" t="inlineStr">
        <is>
          <t>vilvah anti‑dandruff haircare kit uk</t>
        </is>
      </c>
      <c r="B1242" s="42" t="inlineStr">
        <is>
          <t>Product + UK</t>
        </is>
      </c>
      <c r="C1242" s="42" t="n">
        <v>2</v>
      </c>
      <c r="D1242" s="42" t="n">
        <v>13</v>
      </c>
      <c r="E1242" s="42" t="n">
        <v>2</v>
      </c>
      <c r="F1242" s="42" t="inlineStr">
        <is>
          <t>VD-053, VD-078</t>
        </is>
      </c>
      <c r="G1242" s="55">
        <f>IFERROR(INDEX('Semrush Data'!$A$1:$Z$20000,MATCH(A1242,'Semrush Data'!$A$1:$A$20000,0),MATCH("Volume",'Semrush Data'!$A$1:$Z$1,0)),"")</f>
        <v/>
      </c>
      <c r="H1242" s="42">
        <f>IFERROR(INDEX('Semrush Data'!$A$1:$Z$20000,MATCH(A1242,'Semrush Data'!$A$1:$A$20000,0),MATCH("Keyword Difficulty*",'Semrush Data'!$A$1:$Z$1,0)),"")</f>
        <v/>
      </c>
      <c r="I1242" s="56">
        <f>IFERROR(INDEX('Semrush Data'!$A$1:$Z$20000,MATCH(A1242,'Semrush Data'!$A$1:$A$20000,0),MATCH("CPC*",'Semrush Data'!$A$1:$Z$1,0)),"")</f>
        <v/>
      </c>
      <c r="J1242" s="42">
        <f>IFERROR(INDEX('Semrush Data'!$A$1:$Z$20000,MATCH(A1242,'Semrush Data'!$A$1:$A$20000,0),MATCH("Intent",'Semrush Data'!$A$1:$Z$1,0)),"")</f>
        <v/>
      </c>
    </row>
    <row r="1243" ht="15" customHeight="1" s="37">
      <c r="A1243" s="42" t="inlineStr">
        <is>
          <t>vilvah bestseller hair kit uk</t>
        </is>
      </c>
      <c r="B1243" s="42" t="inlineStr">
        <is>
          <t>Product + UK</t>
        </is>
      </c>
      <c r="C1243" s="42" t="n">
        <v>2</v>
      </c>
      <c r="D1243" s="42" t="n">
        <v>13</v>
      </c>
      <c r="E1243" s="42" t="n">
        <v>1</v>
      </c>
      <c r="F1243" s="42" t="inlineStr">
        <is>
          <t>VD-070</t>
        </is>
      </c>
      <c r="G1243" s="55">
        <f>IFERROR(INDEX('Semrush Data'!$A$1:$Z$20000,MATCH(A1243,'Semrush Data'!$A$1:$A$20000,0),MATCH("Volume",'Semrush Data'!$A$1:$Z$1,0)),"")</f>
        <v/>
      </c>
      <c r="H1243" s="42">
        <f>IFERROR(INDEX('Semrush Data'!$A$1:$Z$20000,MATCH(A1243,'Semrush Data'!$A$1:$A$20000,0),MATCH("Keyword Difficulty*",'Semrush Data'!$A$1:$Z$1,0)),"")</f>
        <v/>
      </c>
      <c r="I1243" s="56">
        <f>IFERROR(INDEX('Semrush Data'!$A$1:$Z$20000,MATCH(A1243,'Semrush Data'!$A$1:$A$20000,0),MATCH("CPC*",'Semrush Data'!$A$1:$Z$1,0)),"")</f>
        <v/>
      </c>
      <c r="J1243" s="42">
        <f>IFERROR(INDEX('Semrush Data'!$A$1:$Z$20000,MATCH(A1243,'Semrush Data'!$A$1:$A$20000,0),MATCH("Intent",'Semrush Data'!$A$1:$Z$1,0)),"")</f>
        <v/>
      </c>
    </row>
    <row r="1244" ht="15" customHeight="1" s="37">
      <c r="A1244" s="42" t="inlineStr">
        <is>
          <t>vilvah better ageing kit uk</t>
        </is>
      </c>
      <c r="B1244" s="42" t="inlineStr">
        <is>
          <t>Product + UK</t>
        </is>
      </c>
      <c r="C1244" s="42" t="n">
        <v>2</v>
      </c>
      <c r="D1244" s="42" t="n">
        <v>13</v>
      </c>
      <c r="E1244" s="42" t="n">
        <v>1</v>
      </c>
      <c r="F1244" s="42" t="inlineStr">
        <is>
          <t>VD-058</t>
        </is>
      </c>
      <c r="G1244" s="55">
        <f>IFERROR(INDEX('Semrush Data'!$A$1:$Z$20000,MATCH(A1244,'Semrush Data'!$A$1:$A$20000,0),MATCH("Volume",'Semrush Data'!$A$1:$Z$1,0)),"")</f>
        <v/>
      </c>
      <c r="H1244" s="42">
        <f>IFERROR(INDEX('Semrush Data'!$A$1:$Z$20000,MATCH(A1244,'Semrush Data'!$A$1:$A$20000,0),MATCH("Keyword Difficulty*",'Semrush Data'!$A$1:$Z$1,0)),"")</f>
        <v/>
      </c>
      <c r="I1244" s="56">
        <f>IFERROR(INDEX('Semrush Data'!$A$1:$Z$20000,MATCH(A1244,'Semrush Data'!$A$1:$A$20000,0),MATCH("CPC*",'Semrush Data'!$A$1:$Z$1,0)),"")</f>
        <v/>
      </c>
      <c r="J1244" s="42">
        <f>IFERROR(INDEX('Semrush Data'!$A$1:$Z$20000,MATCH(A1244,'Semrush Data'!$A$1:$A$20000,0),MATCH("Intent",'Semrush Data'!$A$1:$Z$1,0)),"")</f>
        <v/>
      </c>
    </row>
    <row r="1245" ht="15" customHeight="1" s="37">
      <c r="A1245" s="42" t="inlineStr">
        <is>
          <t>vilvah better ageing serum uk</t>
        </is>
      </c>
      <c r="B1245" s="42" t="inlineStr">
        <is>
          <t>Product + UK</t>
        </is>
      </c>
      <c r="C1245" s="42" t="n">
        <v>2</v>
      </c>
      <c r="D1245" s="42" t="n">
        <v>13</v>
      </c>
      <c r="E1245" s="42" t="n">
        <v>1</v>
      </c>
      <c r="F1245" s="42" t="inlineStr">
        <is>
          <t>VD-023</t>
        </is>
      </c>
      <c r="G1245" s="55">
        <f>IFERROR(INDEX('Semrush Data'!$A$1:$Z$20000,MATCH(A1245,'Semrush Data'!$A$1:$A$20000,0),MATCH("Volume",'Semrush Data'!$A$1:$Z$1,0)),"")</f>
        <v/>
      </c>
      <c r="H1245" s="42">
        <f>IFERROR(INDEX('Semrush Data'!$A$1:$Z$20000,MATCH(A1245,'Semrush Data'!$A$1:$A$20000,0),MATCH("Keyword Difficulty*",'Semrush Data'!$A$1:$Z$1,0)),"")</f>
        <v/>
      </c>
      <c r="I1245" s="56">
        <f>IFERROR(INDEX('Semrush Data'!$A$1:$Z$20000,MATCH(A1245,'Semrush Data'!$A$1:$A$20000,0),MATCH("CPC*",'Semrush Data'!$A$1:$Z$1,0)),"")</f>
        <v/>
      </c>
      <c r="J1245" s="42">
        <f>IFERROR(INDEX('Semrush Data'!$A$1:$Z$20000,MATCH(A1245,'Semrush Data'!$A$1:$A$20000,0),MATCH("Intent",'Semrush Data'!$A$1:$Z$1,0)),"")</f>
        <v/>
      </c>
    </row>
    <row r="1246" ht="15" customHeight="1" s="37">
      <c r="A1246" s="42" t="inlineStr">
        <is>
          <t>vilvah body polishing kit uk</t>
        </is>
      </c>
      <c r="B1246" s="42" t="inlineStr">
        <is>
          <t>Product + UK</t>
        </is>
      </c>
      <c r="C1246" s="42" t="n">
        <v>2</v>
      </c>
      <c r="D1246" s="42" t="n">
        <v>13</v>
      </c>
      <c r="E1246" s="42" t="n">
        <v>1</v>
      </c>
      <c r="F1246" s="42" t="inlineStr">
        <is>
          <t>VD-076</t>
        </is>
      </c>
      <c r="G1246" s="55">
        <f>IFERROR(INDEX('Semrush Data'!$A$1:$Z$20000,MATCH(A1246,'Semrush Data'!$A$1:$A$20000,0),MATCH("Volume",'Semrush Data'!$A$1:$Z$1,0)),"")</f>
        <v/>
      </c>
      <c r="H1246" s="42">
        <f>IFERROR(INDEX('Semrush Data'!$A$1:$Z$20000,MATCH(A1246,'Semrush Data'!$A$1:$A$20000,0),MATCH("Keyword Difficulty*",'Semrush Data'!$A$1:$Z$1,0)),"")</f>
        <v/>
      </c>
      <c r="I1246" s="56">
        <f>IFERROR(INDEX('Semrush Data'!$A$1:$Z$20000,MATCH(A1246,'Semrush Data'!$A$1:$A$20000,0),MATCH("CPC*",'Semrush Data'!$A$1:$Z$1,0)),"")</f>
        <v/>
      </c>
      <c r="J1246" s="42">
        <f>IFERROR(INDEX('Semrush Data'!$A$1:$Z$20000,MATCH(A1246,'Semrush Data'!$A$1:$A$20000,0),MATCH("Intent",'Semrush Data'!$A$1:$Z$1,0)),"")</f>
        <v/>
      </c>
    </row>
    <row r="1247" ht="15" customHeight="1" s="37">
      <c r="A1247" s="42" t="inlineStr">
        <is>
          <t>vilvah budget skincare combo uk</t>
        </is>
      </c>
      <c r="B1247" s="42" t="inlineStr">
        <is>
          <t>Product + UK</t>
        </is>
      </c>
      <c r="C1247" s="42" t="n">
        <v>2</v>
      </c>
      <c r="D1247" s="42" t="n">
        <v>13</v>
      </c>
      <c r="E1247" s="42" t="n">
        <v>1</v>
      </c>
      <c r="F1247" s="42" t="inlineStr">
        <is>
          <t>VD-065</t>
        </is>
      </c>
      <c r="G1247" s="55">
        <f>IFERROR(INDEX('Semrush Data'!$A$1:$Z$20000,MATCH(A1247,'Semrush Data'!$A$1:$A$20000,0),MATCH("Volume",'Semrush Data'!$A$1:$Z$1,0)),"")</f>
        <v/>
      </c>
      <c r="H1247" s="42">
        <f>IFERROR(INDEX('Semrush Data'!$A$1:$Z$20000,MATCH(A1247,'Semrush Data'!$A$1:$A$20000,0),MATCH("Keyword Difficulty*",'Semrush Data'!$A$1:$Z$1,0)),"")</f>
        <v/>
      </c>
      <c r="I1247" s="56">
        <f>IFERROR(INDEX('Semrush Data'!$A$1:$Z$20000,MATCH(A1247,'Semrush Data'!$A$1:$A$20000,0),MATCH("CPC*",'Semrush Data'!$A$1:$Z$1,0)),"")</f>
        <v/>
      </c>
      <c r="J1247" s="42">
        <f>IFERROR(INDEX('Semrush Data'!$A$1:$Z$20000,MATCH(A1247,'Semrush Data'!$A$1:$A$20000,0),MATCH("Intent",'Semrush Data'!$A$1:$Z$1,0)),"")</f>
        <v/>
      </c>
    </row>
    <row r="1248" ht="15" customHeight="1" s="37">
      <c r="A1248" s="42" t="inlineStr">
        <is>
          <t>vilvah charcoal facemask uk</t>
        </is>
      </c>
      <c r="B1248" s="42" t="inlineStr">
        <is>
          <t>Product + UK</t>
        </is>
      </c>
      <c r="C1248" s="42" t="n">
        <v>2</v>
      </c>
      <c r="D1248" s="42" t="n">
        <v>13</v>
      </c>
      <c r="E1248" s="42" t="n">
        <v>1</v>
      </c>
      <c r="F1248" s="42" t="inlineStr">
        <is>
          <t>VD-024</t>
        </is>
      </c>
      <c r="G1248" s="55">
        <f>IFERROR(INDEX('Semrush Data'!$A$1:$Z$20000,MATCH(A1248,'Semrush Data'!$A$1:$A$20000,0),MATCH("Volume",'Semrush Data'!$A$1:$Z$1,0)),"")</f>
        <v/>
      </c>
      <c r="H1248" s="42">
        <f>IFERROR(INDEX('Semrush Data'!$A$1:$Z$20000,MATCH(A1248,'Semrush Data'!$A$1:$A$20000,0),MATCH("Keyword Difficulty*",'Semrush Data'!$A$1:$Z$1,0)),"")</f>
        <v/>
      </c>
      <c r="I1248" s="56">
        <f>IFERROR(INDEX('Semrush Data'!$A$1:$Z$20000,MATCH(A1248,'Semrush Data'!$A$1:$A$20000,0),MATCH("CPC*",'Semrush Data'!$A$1:$Z$1,0)),"")</f>
        <v/>
      </c>
      <c r="J1248" s="42">
        <f>IFERROR(INDEX('Semrush Data'!$A$1:$Z$20000,MATCH(A1248,'Semrush Data'!$A$1:$A$20000,0),MATCH("Intent",'Semrush Data'!$A$1:$Z$1,0)),"")</f>
        <v/>
      </c>
    </row>
    <row r="1249" ht="15" customHeight="1" s="37">
      <c r="A1249" s="42" t="inlineStr">
        <is>
          <t>vilvah charcoal goatmilk soap uk</t>
        </is>
      </c>
      <c r="B1249" s="42" t="inlineStr">
        <is>
          <t>Product + UK</t>
        </is>
      </c>
      <c r="C1249" s="42" t="n">
        <v>2</v>
      </c>
      <c r="D1249" s="42" t="n">
        <v>13</v>
      </c>
      <c r="E1249" s="42" t="n">
        <v>1</v>
      </c>
      <c r="F1249" s="42" t="inlineStr">
        <is>
          <t>VD-011</t>
        </is>
      </c>
      <c r="G1249" s="55">
        <f>IFERROR(INDEX('Semrush Data'!$A$1:$Z$20000,MATCH(A1249,'Semrush Data'!$A$1:$A$20000,0),MATCH("Volume",'Semrush Data'!$A$1:$Z$1,0)),"")</f>
        <v/>
      </c>
      <c r="H1249" s="42">
        <f>IFERROR(INDEX('Semrush Data'!$A$1:$Z$20000,MATCH(A1249,'Semrush Data'!$A$1:$A$20000,0),MATCH("Keyword Difficulty*",'Semrush Data'!$A$1:$Z$1,0)),"")</f>
        <v/>
      </c>
      <c r="I1249" s="56">
        <f>IFERROR(INDEX('Semrush Data'!$A$1:$Z$20000,MATCH(A1249,'Semrush Data'!$A$1:$A$20000,0),MATCH("CPC*",'Semrush Data'!$A$1:$Z$1,0)),"")</f>
        <v/>
      </c>
      <c r="J1249" s="42">
        <f>IFERROR(INDEX('Semrush Data'!$A$1:$Z$20000,MATCH(A1249,'Semrush Data'!$A$1:$A$20000,0),MATCH("Intent",'Semrush Data'!$A$1:$Z$1,0)),"")</f>
        <v/>
      </c>
    </row>
    <row r="1250" ht="15" customHeight="1" s="37">
      <c r="A1250" s="42" t="inlineStr">
        <is>
          <t>vilvah classic goatmilk soap uk</t>
        </is>
      </c>
      <c r="B1250" s="42" t="inlineStr">
        <is>
          <t>Product + UK</t>
        </is>
      </c>
      <c r="C1250" s="42" t="n">
        <v>2</v>
      </c>
      <c r="D1250" s="42" t="n">
        <v>13</v>
      </c>
      <c r="E1250" s="42" t="n">
        <v>1</v>
      </c>
      <c r="F1250" s="42" t="inlineStr">
        <is>
          <t>VD-003</t>
        </is>
      </c>
      <c r="G1250" s="55">
        <f>IFERROR(INDEX('Semrush Data'!$A$1:$Z$20000,MATCH(A1250,'Semrush Data'!$A$1:$A$20000,0),MATCH("Volume",'Semrush Data'!$A$1:$Z$1,0)),"")</f>
        <v/>
      </c>
      <c r="H1250" s="42">
        <f>IFERROR(INDEX('Semrush Data'!$A$1:$Z$20000,MATCH(A1250,'Semrush Data'!$A$1:$A$20000,0),MATCH("Keyword Difficulty*",'Semrush Data'!$A$1:$Z$1,0)),"")</f>
        <v/>
      </c>
      <c r="I1250" s="56">
        <f>IFERROR(INDEX('Semrush Data'!$A$1:$Z$20000,MATCH(A1250,'Semrush Data'!$A$1:$A$20000,0),MATCH("CPC*",'Semrush Data'!$A$1:$Z$1,0)),"")</f>
        <v/>
      </c>
      <c r="J1250" s="42">
        <f>IFERROR(INDEX('Semrush Data'!$A$1:$Z$20000,MATCH(A1250,'Semrush Data'!$A$1:$A$20000,0),MATCH("Intent",'Semrush Data'!$A$1:$Z$1,0)),"")</f>
        <v/>
      </c>
    </row>
    <row r="1251" ht="15" customHeight="1" s="37">
      <c r="A1251" s="42" t="inlineStr">
        <is>
          <t>vilvah classic rose goatmilk soap uk</t>
        </is>
      </c>
      <c r="B1251" s="42" t="inlineStr">
        <is>
          <t>Product + UK</t>
        </is>
      </c>
      <c r="C1251" s="42" t="n">
        <v>2</v>
      </c>
      <c r="D1251" s="42" t="n">
        <v>13</v>
      </c>
      <c r="E1251" s="42" t="n">
        <v>1</v>
      </c>
      <c r="F1251" s="42" t="inlineStr">
        <is>
          <t>VD-008</t>
        </is>
      </c>
      <c r="G1251" s="55">
        <f>IFERROR(INDEX('Semrush Data'!$A$1:$Z$20000,MATCH(A1251,'Semrush Data'!$A$1:$A$20000,0),MATCH("Volume",'Semrush Data'!$A$1:$Z$1,0)),"")</f>
        <v/>
      </c>
      <c r="H1251" s="42">
        <f>IFERROR(INDEX('Semrush Data'!$A$1:$Z$20000,MATCH(A1251,'Semrush Data'!$A$1:$A$20000,0),MATCH("Keyword Difficulty*",'Semrush Data'!$A$1:$Z$1,0)),"")</f>
        <v/>
      </c>
      <c r="I1251" s="56">
        <f>IFERROR(INDEX('Semrush Data'!$A$1:$Z$20000,MATCH(A1251,'Semrush Data'!$A$1:$A$20000,0),MATCH("CPC*",'Semrush Data'!$A$1:$Z$1,0)),"")</f>
        <v/>
      </c>
      <c r="J1251" s="42">
        <f>IFERROR(INDEX('Semrush Data'!$A$1:$Z$20000,MATCH(A1251,'Semrush Data'!$A$1:$A$20000,0),MATCH("Intent",'Semrush Data'!$A$1:$Z$1,0)),"")</f>
        <v/>
      </c>
    </row>
    <row r="1252" ht="15" customHeight="1" s="37">
      <c r="A1252" s="42" t="inlineStr">
        <is>
          <t>vilvah cookie n cream body mask uk</t>
        </is>
      </c>
      <c r="B1252" s="42" t="inlineStr">
        <is>
          <t>Product + UK</t>
        </is>
      </c>
      <c r="C1252" s="42" t="n">
        <v>2</v>
      </c>
      <c r="D1252" s="42" t="n">
        <v>13</v>
      </c>
      <c r="E1252" s="42" t="n">
        <v>1</v>
      </c>
      <c r="F1252" s="42" t="inlineStr">
        <is>
          <t>VD-025</t>
        </is>
      </c>
      <c r="G1252" s="55">
        <f>IFERROR(INDEX('Semrush Data'!$A$1:$Z$20000,MATCH(A1252,'Semrush Data'!$A$1:$A$20000,0),MATCH("Volume",'Semrush Data'!$A$1:$Z$1,0)),"")</f>
        <v/>
      </c>
      <c r="H1252" s="42">
        <f>IFERROR(INDEX('Semrush Data'!$A$1:$Z$20000,MATCH(A1252,'Semrush Data'!$A$1:$A$20000,0),MATCH("Keyword Difficulty*",'Semrush Data'!$A$1:$Z$1,0)),"")</f>
        <v/>
      </c>
      <c r="I1252" s="56">
        <f>IFERROR(INDEX('Semrush Data'!$A$1:$Z$20000,MATCH(A1252,'Semrush Data'!$A$1:$A$20000,0),MATCH("CPC*",'Semrush Data'!$A$1:$Z$1,0)),"")</f>
        <v/>
      </c>
      <c r="J1252" s="42">
        <f>IFERROR(INDEX('Semrush Data'!$A$1:$Z$20000,MATCH(A1252,'Semrush Data'!$A$1:$A$20000,0),MATCH("Intent",'Semrush Data'!$A$1:$Z$1,0)),"")</f>
        <v/>
      </c>
    </row>
    <row r="1253" ht="15" customHeight="1" s="37">
      <c r="A1253" s="42" t="inlineStr">
        <is>
          <t>vilvah cookie n cream body polish uk</t>
        </is>
      </c>
      <c r="B1253" s="42" t="inlineStr">
        <is>
          <t>Product + UK</t>
        </is>
      </c>
      <c r="C1253" s="42" t="n">
        <v>2</v>
      </c>
      <c r="D1253" s="42" t="n">
        <v>13</v>
      </c>
      <c r="E1253" s="42" t="n">
        <v>1</v>
      </c>
      <c r="F1253" s="42" t="inlineStr">
        <is>
          <t>VD-026</t>
        </is>
      </c>
      <c r="G1253" s="55">
        <f>IFERROR(INDEX('Semrush Data'!$A$1:$Z$20000,MATCH(A1253,'Semrush Data'!$A$1:$A$20000,0),MATCH("Volume",'Semrush Data'!$A$1:$Z$1,0)),"")</f>
        <v/>
      </c>
      <c r="H1253" s="42">
        <f>IFERROR(INDEX('Semrush Data'!$A$1:$Z$20000,MATCH(A1253,'Semrush Data'!$A$1:$A$20000,0),MATCH("Keyword Difficulty*",'Semrush Data'!$A$1:$Z$1,0)),"")</f>
        <v/>
      </c>
      <c r="I1253" s="56">
        <f>IFERROR(INDEX('Semrush Data'!$A$1:$Z$20000,MATCH(A1253,'Semrush Data'!$A$1:$A$20000,0),MATCH("CPC*",'Semrush Data'!$A$1:$Z$1,0)),"")</f>
        <v/>
      </c>
      <c r="J1253" s="42">
        <f>IFERROR(INDEX('Semrush Data'!$A$1:$Z$20000,MATCH(A1253,'Semrush Data'!$A$1:$A$20000,0),MATCH("Intent",'Semrush Data'!$A$1:$Z$1,0)),"")</f>
        <v/>
      </c>
    </row>
    <row r="1254" ht="15" customHeight="1" s="37">
      <c r="A1254" s="42" t="inlineStr">
        <is>
          <t>vilvah cream bun lip balm uk</t>
        </is>
      </c>
      <c r="B1254" s="42" t="inlineStr">
        <is>
          <t>Product + UK</t>
        </is>
      </c>
      <c r="C1254" s="42" t="n">
        <v>2</v>
      </c>
      <c r="D1254" s="42" t="n">
        <v>13</v>
      </c>
      <c r="E1254" s="42" t="n">
        <v>1</v>
      </c>
      <c r="F1254" s="42" t="inlineStr">
        <is>
          <t>VD-046</t>
        </is>
      </c>
      <c r="G1254" s="55">
        <f>IFERROR(INDEX('Semrush Data'!$A$1:$Z$20000,MATCH(A1254,'Semrush Data'!$A$1:$A$20000,0),MATCH("Volume",'Semrush Data'!$A$1:$Z$1,0)),"")</f>
        <v/>
      </c>
      <c r="H1254" s="42">
        <f>IFERROR(INDEX('Semrush Data'!$A$1:$Z$20000,MATCH(A1254,'Semrush Data'!$A$1:$A$20000,0),MATCH("Keyword Difficulty*",'Semrush Data'!$A$1:$Z$1,0)),"")</f>
        <v/>
      </c>
      <c r="I1254" s="56">
        <f>IFERROR(INDEX('Semrush Data'!$A$1:$Z$20000,MATCH(A1254,'Semrush Data'!$A$1:$A$20000,0),MATCH("CPC*",'Semrush Data'!$A$1:$Z$1,0)),"")</f>
        <v/>
      </c>
      <c r="J1254" s="42">
        <f>IFERROR(INDEX('Semrush Data'!$A$1:$Z$20000,MATCH(A1254,'Semrush Data'!$A$1:$A$20000,0),MATCH("Intent",'Semrush Data'!$A$1:$Z$1,0)),"")</f>
        <v/>
      </c>
    </row>
    <row r="1255" ht="15" customHeight="1" s="37">
      <c r="A1255" s="42" t="inlineStr">
        <is>
          <t>vilvah cream conditioner uk</t>
        </is>
      </c>
      <c r="B1255" s="42" t="inlineStr">
        <is>
          <t>Product + UK</t>
        </is>
      </c>
      <c r="C1255" s="42" t="n">
        <v>2</v>
      </c>
      <c r="D1255" s="42" t="n">
        <v>13</v>
      </c>
      <c r="E1255" s="42" t="n">
        <v>1</v>
      </c>
      <c r="F1255" s="42" t="inlineStr">
        <is>
          <t>VD-012</t>
        </is>
      </c>
      <c r="G1255" s="55">
        <f>IFERROR(INDEX('Semrush Data'!$A$1:$Z$20000,MATCH(A1255,'Semrush Data'!$A$1:$A$20000,0),MATCH("Volume",'Semrush Data'!$A$1:$Z$1,0)),"")</f>
        <v/>
      </c>
      <c r="H1255" s="42">
        <f>IFERROR(INDEX('Semrush Data'!$A$1:$Z$20000,MATCH(A1255,'Semrush Data'!$A$1:$A$20000,0),MATCH("Keyword Difficulty*",'Semrush Data'!$A$1:$Z$1,0)),"")</f>
        <v/>
      </c>
      <c r="I1255" s="56">
        <f>IFERROR(INDEX('Semrush Data'!$A$1:$Z$20000,MATCH(A1255,'Semrush Data'!$A$1:$A$20000,0),MATCH("CPC*",'Semrush Data'!$A$1:$Z$1,0)),"")</f>
        <v/>
      </c>
      <c r="J1255" s="42">
        <f>IFERROR(INDEX('Semrush Data'!$A$1:$Z$20000,MATCH(A1255,'Semrush Data'!$A$1:$A$20000,0),MATCH("Intent",'Semrush Data'!$A$1:$Z$1,0)),"")</f>
        <v/>
      </c>
    </row>
    <row r="1256" ht="15" customHeight="1" s="37">
      <c r="A1256" s="42" t="inlineStr">
        <is>
          <t>vilvah cream face wash (fragrance free) uk</t>
        </is>
      </c>
      <c r="B1256" s="42" t="inlineStr">
        <is>
          <t>Product + UK</t>
        </is>
      </c>
      <c r="C1256" s="42" t="n">
        <v>2</v>
      </c>
      <c r="D1256" s="42" t="n">
        <v>13</v>
      </c>
      <c r="E1256" s="42" t="n">
        <v>1</v>
      </c>
      <c r="F1256" s="42" t="inlineStr">
        <is>
          <t>VD-027</t>
        </is>
      </c>
      <c r="G1256" s="55">
        <f>IFERROR(INDEX('Semrush Data'!$A$1:$Z$20000,MATCH(A1256,'Semrush Data'!$A$1:$A$20000,0),MATCH("Volume",'Semrush Data'!$A$1:$Z$1,0)),"")</f>
        <v/>
      </c>
      <c r="H1256" s="42">
        <f>IFERROR(INDEX('Semrush Data'!$A$1:$Z$20000,MATCH(A1256,'Semrush Data'!$A$1:$A$20000,0),MATCH("Keyword Difficulty*",'Semrush Data'!$A$1:$Z$1,0)),"")</f>
        <v/>
      </c>
      <c r="I1256" s="56">
        <f>IFERROR(INDEX('Semrush Data'!$A$1:$Z$20000,MATCH(A1256,'Semrush Data'!$A$1:$A$20000,0),MATCH("CPC*",'Semrush Data'!$A$1:$Z$1,0)),"")</f>
        <v/>
      </c>
      <c r="J1256" s="42">
        <f>IFERROR(INDEX('Semrush Data'!$A$1:$Z$20000,MATCH(A1256,'Semrush Data'!$A$1:$A$20000,0),MATCH("Intent",'Semrush Data'!$A$1:$Z$1,0)),"")</f>
        <v/>
      </c>
    </row>
    <row r="1257" ht="15" customHeight="1" s="37">
      <c r="A1257" s="42" t="inlineStr">
        <is>
          <t>vilvah cucumber, curd &amp; mint soap uk</t>
        </is>
      </c>
      <c r="B1257" s="42" t="inlineStr">
        <is>
          <t>Product + UK</t>
        </is>
      </c>
      <c r="C1257" s="42" t="n">
        <v>2</v>
      </c>
      <c r="D1257" s="42" t="n">
        <v>13</v>
      </c>
      <c r="E1257" s="42" t="n">
        <v>1</v>
      </c>
      <c r="F1257" s="42" t="inlineStr">
        <is>
          <t>VD-028</t>
        </is>
      </c>
      <c r="G1257" s="55">
        <f>IFERROR(INDEX('Semrush Data'!$A$1:$Z$20000,MATCH(A1257,'Semrush Data'!$A$1:$A$20000,0),MATCH("Volume",'Semrush Data'!$A$1:$Z$1,0)),"")</f>
        <v/>
      </c>
      <c r="H1257" s="42">
        <f>IFERROR(INDEX('Semrush Data'!$A$1:$Z$20000,MATCH(A1257,'Semrush Data'!$A$1:$A$20000,0),MATCH("Keyword Difficulty*",'Semrush Data'!$A$1:$Z$1,0)),"")</f>
        <v/>
      </c>
      <c r="I1257" s="56">
        <f>IFERROR(INDEX('Semrush Data'!$A$1:$Z$20000,MATCH(A1257,'Semrush Data'!$A$1:$A$20000,0),MATCH("CPC*",'Semrush Data'!$A$1:$Z$1,0)),"")</f>
        <v/>
      </c>
      <c r="J1257" s="42">
        <f>IFERROR(INDEX('Semrush Data'!$A$1:$Z$20000,MATCH(A1257,'Semrush Data'!$A$1:$A$20000,0),MATCH("Intent",'Semrush Data'!$A$1:$Z$1,0)),"")</f>
        <v/>
      </c>
    </row>
    <row r="1258" ht="15" customHeight="1" s="37">
      <c r="A1258" s="42" t="inlineStr">
        <is>
          <t>vilvah deo shot - lavender and sage uk</t>
        </is>
      </c>
      <c r="B1258" s="42" t="inlineStr">
        <is>
          <t>Product + UK</t>
        </is>
      </c>
      <c r="C1258" s="42" t="n">
        <v>2</v>
      </c>
      <c r="D1258" s="42" t="n">
        <v>13</v>
      </c>
      <c r="E1258" s="42" t="n">
        <v>1</v>
      </c>
      <c r="F1258" s="42" t="inlineStr">
        <is>
          <t>VD-029</t>
        </is>
      </c>
      <c r="G1258" s="55">
        <f>IFERROR(INDEX('Semrush Data'!$A$1:$Z$20000,MATCH(A1258,'Semrush Data'!$A$1:$A$20000,0),MATCH("Volume",'Semrush Data'!$A$1:$Z$1,0)),"")</f>
        <v/>
      </c>
      <c r="H1258" s="42">
        <f>IFERROR(INDEX('Semrush Data'!$A$1:$Z$20000,MATCH(A1258,'Semrush Data'!$A$1:$A$20000,0),MATCH("Keyword Difficulty*",'Semrush Data'!$A$1:$Z$1,0)),"")</f>
        <v/>
      </c>
      <c r="I1258" s="56">
        <f>IFERROR(INDEX('Semrush Data'!$A$1:$Z$20000,MATCH(A1258,'Semrush Data'!$A$1:$A$20000,0),MATCH("CPC*",'Semrush Data'!$A$1:$Z$1,0)),"")</f>
        <v/>
      </c>
      <c r="J1258" s="42">
        <f>IFERROR(INDEX('Semrush Data'!$A$1:$Z$20000,MATCH(A1258,'Semrush Data'!$A$1:$A$20000,0),MATCH("Intent",'Semrush Data'!$A$1:$Z$1,0)),"")</f>
        <v/>
      </c>
    </row>
    <row r="1259" ht="15" customHeight="1" s="37">
      <c r="A1259" s="42" t="inlineStr">
        <is>
          <t>vilvah deo shot - rose and vanilla uk</t>
        </is>
      </c>
      <c r="B1259" s="42" t="inlineStr">
        <is>
          <t>Product + UK</t>
        </is>
      </c>
      <c r="C1259" s="42" t="n">
        <v>2</v>
      </c>
      <c r="D1259" s="42" t="n">
        <v>13</v>
      </c>
      <c r="E1259" s="42" t="n">
        <v>1</v>
      </c>
      <c r="F1259" s="42" t="inlineStr">
        <is>
          <t>VD-004</t>
        </is>
      </c>
      <c r="G1259" s="55">
        <f>IFERROR(INDEX('Semrush Data'!$A$1:$Z$20000,MATCH(A1259,'Semrush Data'!$A$1:$A$20000,0),MATCH("Volume",'Semrush Data'!$A$1:$Z$1,0)),"")</f>
        <v/>
      </c>
      <c r="H1259" s="42">
        <f>IFERROR(INDEX('Semrush Data'!$A$1:$Z$20000,MATCH(A1259,'Semrush Data'!$A$1:$A$20000,0),MATCH("Keyword Difficulty*",'Semrush Data'!$A$1:$Z$1,0)),"")</f>
        <v/>
      </c>
      <c r="I1259" s="56">
        <f>IFERROR(INDEX('Semrush Data'!$A$1:$Z$20000,MATCH(A1259,'Semrush Data'!$A$1:$A$20000,0),MATCH("CPC*",'Semrush Data'!$A$1:$Z$1,0)),"")</f>
        <v/>
      </c>
      <c r="J1259" s="42">
        <f>IFERROR(INDEX('Semrush Data'!$A$1:$Z$20000,MATCH(A1259,'Semrush Data'!$A$1:$A$20000,0),MATCH("Intent",'Semrush Data'!$A$1:$Z$1,0)),"")</f>
        <v/>
      </c>
    </row>
    <row r="1260" ht="15" customHeight="1" s="37">
      <c r="A1260" s="42" t="inlineStr">
        <is>
          <t>vilvah everyday care milk kit uk</t>
        </is>
      </c>
      <c r="B1260" s="42" t="inlineStr">
        <is>
          <t>Product + UK</t>
        </is>
      </c>
      <c r="C1260" s="42" t="n">
        <v>2</v>
      </c>
      <c r="D1260" s="42" t="n">
        <v>13</v>
      </c>
      <c r="E1260" s="42" t="n">
        <v>1</v>
      </c>
      <c r="F1260" s="42" t="inlineStr">
        <is>
          <t>VD-080</t>
        </is>
      </c>
      <c r="G1260" s="55">
        <f>IFERROR(INDEX('Semrush Data'!$A$1:$Z$20000,MATCH(A1260,'Semrush Data'!$A$1:$A$20000,0),MATCH("Volume",'Semrush Data'!$A$1:$Z$1,0)),"")</f>
        <v/>
      </c>
      <c r="H1260" s="42">
        <f>IFERROR(INDEX('Semrush Data'!$A$1:$Z$20000,MATCH(A1260,'Semrush Data'!$A$1:$A$20000,0),MATCH("Keyword Difficulty*",'Semrush Data'!$A$1:$Z$1,0)),"")</f>
        <v/>
      </c>
      <c r="I1260" s="56">
        <f>IFERROR(INDEX('Semrush Data'!$A$1:$Z$20000,MATCH(A1260,'Semrush Data'!$A$1:$A$20000,0),MATCH("CPC*",'Semrush Data'!$A$1:$Z$1,0)),"")</f>
        <v/>
      </c>
      <c r="J1260" s="42">
        <f>IFERROR(INDEX('Semrush Data'!$A$1:$Z$20000,MATCH(A1260,'Semrush Data'!$A$1:$A$20000,0),MATCH("Intent",'Semrush Data'!$A$1:$Z$1,0)),"")</f>
        <v/>
      </c>
    </row>
    <row r="1261" ht="15" customHeight="1" s="37">
      <c r="A1261" s="42" t="inlineStr">
        <is>
          <t>vilvah face brightening kit large uk</t>
        </is>
      </c>
      <c r="B1261" s="42" t="inlineStr">
        <is>
          <t>Product + UK</t>
        </is>
      </c>
      <c r="C1261" s="42" t="n">
        <v>2</v>
      </c>
      <c r="D1261" s="42" t="n">
        <v>13</v>
      </c>
      <c r="E1261" s="42" t="n">
        <v>1</v>
      </c>
      <c r="F1261" s="42" t="inlineStr">
        <is>
          <t>VD-063</t>
        </is>
      </c>
      <c r="G1261" s="55">
        <f>IFERROR(INDEX('Semrush Data'!$A$1:$Z$20000,MATCH(A1261,'Semrush Data'!$A$1:$A$20000,0),MATCH("Volume",'Semrush Data'!$A$1:$Z$1,0)),"")</f>
        <v/>
      </c>
      <c r="H1261" s="42">
        <f>IFERROR(INDEX('Semrush Data'!$A$1:$Z$20000,MATCH(A1261,'Semrush Data'!$A$1:$A$20000,0),MATCH("Keyword Difficulty*",'Semrush Data'!$A$1:$Z$1,0)),"")</f>
        <v/>
      </c>
      <c r="I1261" s="56">
        <f>IFERROR(INDEX('Semrush Data'!$A$1:$Z$20000,MATCH(A1261,'Semrush Data'!$A$1:$A$20000,0),MATCH("CPC*",'Semrush Data'!$A$1:$Z$1,0)),"")</f>
        <v/>
      </c>
      <c r="J1261" s="42">
        <f>IFERROR(INDEX('Semrush Data'!$A$1:$Z$20000,MATCH(A1261,'Semrush Data'!$A$1:$A$20000,0),MATCH("Intent",'Semrush Data'!$A$1:$Z$1,0)),"")</f>
        <v/>
      </c>
    </row>
    <row r="1262" ht="15" customHeight="1" s="37">
      <c r="A1262" s="42" t="inlineStr">
        <is>
          <t>vilvah face brightening kit uk</t>
        </is>
      </c>
      <c r="B1262" s="42" t="inlineStr">
        <is>
          <t>Product + UK</t>
        </is>
      </c>
      <c r="C1262" s="42" t="n">
        <v>2</v>
      </c>
      <c r="D1262" s="42" t="n">
        <v>13</v>
      </c>
      <c r="E1262" s="42" t="n">
        <v>1</v>
      </c>
      <c r="F1262" s="42" t="inlineStr">
        <is>
          <t>VD-064</t>
        </is>
      </c>
      <c r="G1262" s="55">
        <f>IFERROR(INDEX('Semrush Data'!$A$1:$Z$20000,MATCH(A1262,'Semrush Data'!$A$1:$A$20000,0),MATCH("Volume",'Semrush Data'!$A$1:$Z$1,0)),"")</f>
        <v/>
      </c>
      <c r="H1262" s="42">
        <f>IFERROR(INDEX('Semrush Data'!$A$1:$Z$20000,MATCH(A1262,'Semrush Data'!$A$1:$A$20000,0),MATCH("Keyword Difficulty*",'Semrush Data'!$A$1:$Z$1,0)),"")</f>
        <v/>
      </c>
      <c r="I1262" s="56">
        <f>IFERROR(INDEX('Semrush Data'!$A$1:$Z$20000,MATCH(A1262,'Semrush Data'!$A$1:$A$20000,0),MATCH("CPC*",'Semrush Data'!$A$1:$Z$1,0)),"")</f>
        <v/>
      </c>
      <c r="J1262" s="42">
        <f>IFERROR(INDEX('Semrush Data'!$A$1:$Z$20000,MATCH(A1262,'Semrush Data'!$A$1:$A$20000,0),MATCH("Intent",'Semrush Data'!$A$1:$Z$1,0)),"")</f>
        <v/>
      </c>
    </row>
    <row r="1263" ht="15" customHeight="1" s="37">
      <c r="A1263" s="42" t="inlineStr">
        <is>
          <t>vilvah face lift kit uk</t>
        </is>
      </c>
      <c r="B1263" s="42" t="inlineStr">
        <is>
          <t>Product + UK</t>
        </is>
      </c>
      <c r="C1263" s="42" t="n">
        <v>2</v>
      </c>
      <c r="D1263" s="42" t="n">
        <v>13</v>
      </c>
      <c r="E1263" s="42" t="n">
        <v>1</v>
      </c>
      <c r="F1263" s="42" t="inlineStr">
        <is>
          <t>VD-066</t>
        </is>
      </c>
      <c r="G1263" s="55">
        <f>IFERROR(INDEX('Semrush Data'!$A$1:$Z$20000,MATCH(A1263,'Semrush Data'!$A$1:$A$20000,0),MATCH("Volume",'Semrush Data'!$A$1:$Z$1,0)),"")</f>
        <v/>
      </c>
      <c r="H1263" s="42">
        <f>IFERROR(INDEX('Semrush Data'!$A$1:$Z$20000,MATCH(A1263,'Semrush Data'!$A$1:$A$20000,0),MATCH("Keyword Difficulty*",'Semrush Data'!$A$1:$Z$1,0)),"")</f>
        <v/>
      </c>
      <c r="I1263" s="56">
        <f>IFERROR(INDEX('Semrush Data'!$A$1:$Z$20000,MATCH(A1263,'Semrush Data'!$A$1:$A$20000,0),MATCH("CPC*",'Semrush Data'!$A$1:$Z$1,0)),"")</f>
        <v/>
      </c>
      <c r="J1263" s="42">
        <f>IFERROR(INDEX('Semrush Data'!$A$1:$Z$20000,MATCH(A1263,'Semrush Data'!$A$1:$A$20000,0),MATCH("Intent",'Semrush Data'!$A$1:$Z$1,0)),"")</f>
        <v/>
      </c>
    </row>
    <row r="1264" ht="15" customHeight="1" s="37">
      <c r="A1264" s="42" t="inlineStr">
        <is>
          <t>vilvah filter kaapi lip balm uk</t>
        </is>
      </c>
      <c r="B1264" s="42" t="inlineStr">
        <is>
          <t>Product + UK</t>
        </is>
      </c>
      <c r="C1264" s="42" t="n">
        <v>2</v>
      </c>
      <c r="D1264" s="42" t="n">
        <v>13</v>
      </c>
      <c r="E1264" s="42" t="n">
        <v>1</v>
      </c>
      <c r="F1264" s="42" t="inlineStr">
        <is>
          <t>VD-044</t>
        </is>
      </c>
      <c r="G1264" s="55">
        <f>IFERROR(INDEX('Semrush Data'!$A$1:$Z$20000,MATCH(A1264,'Semrush Data'!$A$1:$A$20000,0),MATCH("Volume",'Semrush Data'!$A$1:$Z$1,0)),"")</f>
        <v/>
      </c>
      <c r="H1264" s="42">
        <f>IFERROR(INDEX('Semrush Data'!$A$1:$Z$20000,MATCH(A1264,'Semrush Data'!$A$1:$A$20000,0),MATCH("Keyword Difficulty*",'Semrush Data'!$A$1:$Z$1,0)),"")</f>
        <v/>
      </c>
      <c r="I1264" s="56">
        <f>IFERROR(INDEX('Semrush Data'!$A$1:$Z$20000,MATCH(A1264,'Semrush Data'!$A$1:$A$20000,0),MATCH("CPC*",'Semrush Data'!$A$1:$Z$1,0)),"")</f>
        <v/>
      </c>
      <c r="J1264" s="42">
        <f>IFERROR(INDEX('Semrush Data'!$A$1:$Z$20000,MATCH(A1264,'Semrush Data'!$A$1:$A$20000,0),MATCH("Intent",'Semrush Data'!$A$1:$Z$1,0)),"")</f>
        <v/>
      </c>
    </row>
    <row r="1265" ht="15" customHeight="1" s="37">
      <c r="A1265" s="42" t="inlineStr">
        <is>
          <t>vilvah foot cream and body lotion kit uk</t>
        </is>
      </c>
      <c r="B1265" s="42" t="inlineStr">
        <is>
          <t>Product + UK</t>
        </is>
      </c>
      <c r="C1265" s="42" t="n">
        <v>2</v>
      </c>
      <c r="D1265" s="42" t="n">
        <v>13</v>
      </c>
      <c r="E1265" s="42" t="n">
        <v>1</v>
      </c>
      <c r="F1265" s="42" t="inlineStr">
        <is>
          <t>VD-048</t>
        </is>
      </c>
      <c r="G1265" s="55">
        <f>IFERROR(INDEX('Semrush Data'!$A$1:$Z$20000,MATCH(A1265,'Semrush Data'!$A$1:$A$20000,0),MATCH("Volume",'Semrush Data'!$A$1:$Z$1,0)),"")</f>
        <v/>
      </c>
      <c r="H1265" s="42">
        <f>IFERROR(INDEX('Semrush Data'!$A$1:$Z$20000,MATCH(A1265,'Semrush Data'!$A$1:$A$20000,0),MATCH("Keyword Difficulty*",'Semrush Data'!$A$1:$Z$1,0)),"")</f>
        <v/>
      </c>
      <c r="I1265" s="56">
        <f>IFERROR(INDEX('Semrush Data'!$A$1:$Z$20000,MATCH(A1265,'Semrush Data'!$A$1:$A$20000,0),MATCH("CPC*",'Semrush Data'!$A$1:$Z$1,0)),"")</f>
        <v/>
      </c>
      <c r="J1265" s="42">
        <f>IFERROR(INDEX('Semrush Data'!$A$1:$Z$20000,MATCH(A1265,'Semrush Data'!$A$1:$A$20000,0),MATCH("Intent",'Semrush Data'!$A$1:$Z$1,0)),"")</f>
        <v/>
      </c>
    </row>
    <row r="1266" ht="15" customHeight="1" s="37">
      <c r="A1266" s="42" t="inlineStr">
        <is>
          <t>vilvah foot cream uk</t>
        </is>
      </c>
      <c r="B1266" s="42" t="inlineStr">
        <is>
          <t>Product + UK</t>
        </is>
      </c>
      <c r="C1266" s="42" t="n">
        <v>2</v>
      </c>
      <c r="D1266" s="42" t="n">
        <v>13</v>
      </c>
      <c r="E1266" s="42" t="n">
        <v>1</v>
      </c>
      <c r="F1266" s="42" t="inlineStr">
        <is>
          <t>VD-030</t>
        </is>
      </c>
      <c r="G1266" s="55">
        <f>IFERROR(INDEX('Semrush Data'!$A$1:$Z$20000,MATCH(A1266,'Semrush Data'!$A$1:$A$20000,0),MATCH("Volume",'Semrush Data'!$A$1:$Z$1,0)),"")</f>
        <v/>
      </c>
      <c r="H1266" s="42">
        <f>IFERROR(INDEX('Semrush Data'!$A$1:$Z$20000,MATCH(A1266,'Semrush Data'!$A$1:$A$20000,0),MATCH("Keyword Difficulty*",'Semrush Data'!$A$1:$Z$1,0)),"")</f>
        <v/>
      </c>
      <c r="I1266" s="56">
        <f>IFERROR(INDEX('Semrush Data'!$A$1:$Z$20000,MATCH(A1266,'Semrush Data'!$A$1:$A$20000,0),MATCH("CPC*",'Semrush Data'!$A$1:$Z$1,0)),"")</f>
        <v/>
      </c>
      <c r="J1266" s="42">
        <f>IFERROR(INDEX('Semrush Data'!$A$1:$Z$20000,MATCH(A1266,'Semrush Data'!$A$1:$A$20000,0),MATCH("Intent",'Semrush Data'!$A$1:$Z$1,0)),"")</f>
        <v/>
      </c>
    </row>
    <row r="1267" ht="15" customHeight="1" s="37">
      <c r="A1267" s="42" t="inlineStr">
        <is>
          <t>vilvah goat milk body wash uk</t>
        </is>
      </c>
      <c r="B1267" s="42" t="inlineStr">
        <is>
          <t>Product + UK</t>
        </is>
      </c>
      <c r="C1267" s="42" t="n">
        <v>2</v>
      </c>
      <c r="D1267" s="42" t="n">
        <v>13</v>
      </c>
      <c r="E1267" s="42" t="n">
        <v>1</v>
      </c>
      <c r="F1267" s="42" t="inlineStr">
        <is>
          <t>VD-009</t>
        </is>
      </c>
      <c r="G1267" s="55">
        <f>IFERROR(INDEX('Semrush Data'!$A$1:$Z$20000,MATCH(A1267,'Semrush Data'!$A$1:$A$20000,0),MATCH("Volume",'Semrush Data'!$A$1:$Z$1,0)),"")</f>
        <v/>
      </c>
      <c r="H1267" s="42">
        <f>IFERROR(INDEX('Semrush Data'!$A$1:$Z$20000,MATCH(A1267,'Semrush Data'!$A$1:$A$20000,0),MATCH("Keyword Difficulty*",'Semrush Data'!$A$1:$Z$1,0)),"")</f>
        <v/>
      </c>
      <c r="I1267" s="56">
        <f>IFERROR(INDEX('Semrush Data'!$A$1:$Z$20000,MATCH(A1267,'Semrush Data'!$A$1:$A$20000,0),MATCH("CPC*",'Semrush Data'!$A$1:$Z$1,0)),"")</f>
        <v/>
      </c>
      <c r="J1267" s="42">
        <f>IFERROR(INDEX('Semrush Data'!$A$1:$Z$20000,MATCH(A1267,'Semrush Data'!$A$1:$A$20000,0),MATCH("Intent",'Semrush Data'!$A$1:$Z$1,0)),"")</f>
        <v/>
      </c>
    </row>
    <row r="1268" ht="15" customHeight="1" s="37">
      <c r="A1268" s="42" t="inlineStr">
        <is>
          <t>vilvah goat milk hair kit uk</t>
        </is>
      </c>
      <c r="B1268" s="42" t="inlineStr">
        <is>
          <t>Product + UK</t>
        </is>
      </c>
      <c r="C1268" s="42" t="n">
        <v>2</v>
      </c>
      <c r="D1268" s="42" t="n">
        <v>13</v>
      </c>
      <c r="E1268" s="42" t="n">
        <v>1</v>
      </c>
      <c r="F1268" s="42" t="inlineStr">
        <is>
          <t>VD-079</t>
        </is>
      </c>
      <c r="G1268" s="55">
        <f>IFERROR(INDEX('Semrush Data'!$A$1:$Z$20000,MATCH(A1268,'Semrush Data'!$A$1:$A$20000,0),MATCH("Volume",'Semrush Data'!$A$1:$Z$1,0)),"")</f>
        <v/>
      </c>
      <c r="H1268" s="42">
        <f>IFERROR(INDEX('Semrush Data'!$A$1:$Z$20000,MATCH(A1268,'Semrush Data'!$A$1:$A$20000,0),MATCH("Keyword Difficulty*",'Semrush Data'!$A$1:$Z$1,0)),"")</f>
        <v/>
      </c>
      <c r="I1268" s="56">
        <f>IFERROR(INDEX('Semrush Data'!$A$1:$Z$20000,MATCH(A1268,'Semrush Data'!$A$1:$A$20000,0),MATCH("CPC*",'Semrush Data'!$A$1:$Z$1,0)),"")</f>
        <v/>
      </c>
      <c r="J1268" s="42">
        <f>IFERROR(INDEX('Semrush Data'!$A$1:$Z$20000,MATCH(A1268,'Semrush Data'!$A$1:$A$20000,0),MATCH("Intent",'Semrush Data'!$A$1:$Z$1,0)),"")</f>
        <v/>
      </c>
    </row>
    <row r="1269" ht="15" customHeight="1" s="37">
      <c r="A1269" s="42" t="inlineStr">
        <is>
          <t>vilvah goat milk hair mask uk</t>
        </is>
      </c>
      <c r="B1269" s="42" t="inlineStr">
        <is>
          <t>Product + UK</t>
        </is>
      </c>
      <c r="C1269" s="42" t="n">
        <v>2</v>
      </c>
      <c r="D1269" s="42" t="n">
        <v>13</v>
      </c>
      <c r="E1269" s="42" t="n">
        <v>1</v>
      </c>
      <c r="F1269" s="42" t="inlineStr">
        <is>
          <t>VD-031</t>
        </is>
      </c>
      <c r="G1269" s="55">
        <f>IFERROR(INDEX('Semrush Data'!$A$1:$Z$20000,MATCH(A1269,'Semrush Data'!$A$1:$A$20000,0),MATCH("Volume",'Semrush Data'!$A$1:$Z$1,0)),"")</f>
        <v/>
      </c>
      <c r="H1269" s="42">
        <f>IFERROR(INDEX('Semrush Data'!$A$1:$Z$20000,MATCH(A1269,'Semrush Data'!$A$1:$A$20000,0),MATCH("Keyword Difficulty*",'Semrush Data'!$A$1:$Z$1,0)),"")</f>
        <v/>
      </c>
      <c r="I1269" s="56">
        <f>IFERROR(INDEX('Semrush Data'!$A$1:$Z$20000,MATCH(A1269,'Semrush Data'!$A$1:$A$20000,0),MATCH("CPC*",'Semrush Data'!$A$1:$Z$1,0)),"")</f>
        <v/>
      </c>
      <c r="J1269" s="42">
        <f>IFERROR(INDEX('Semrush Data'!$A$1:$Z$20000,MATCH(A1269,'Semrush Data'!$A$1:$A$20000,0),MATCH("Intent",'Semrush Data'!$A$1:$Z$1,0)),"")</f>
        <v/>
      </c>
    </row>
    <row r="1270" ht="15" customHeight="1" s="37">
      <c r="A1270" s="42" t="inlineStr">
        <is>
          <t>vilvah goat milk shampoo uk</t>
        </is>
      </c>
      <c r="B1270" s="42" t="inlineStr">
        <is>
          <t>Product + UK</t>
        </is>
      </c>
      <c r="C1270" s="42" t="n">
        <v>2</v>
      </c>
      <c r="D1270" s="42" t="n">
        <v>13</v>
      </c>
      <c r="E1270" s="42" t="n">
        <v>1</v>
      </c>
      <c r="F1270" s="42" t="inlineStr">
        <is>
          <t>VD-013</t>
        </is>
      </c>
      <c r="G1270" s="55">
        <f>IFERROR(INDEX('Semrush Data'!$A$1:$Z$20000,MATCH(A1270,'Semrush Data'!$A$1:$A$20000,0),MATCH("Volume",'Semrush Data'!$A$1:$Z$1,0)),"")</f>
        <v/>
      </c>
      <c r="H1270" s="42">
        <f>IFERROR(INDEX('Semrush Data'!$A$1:$Z$20000,MATCH(A1270,'Semrush Data'!$A$1:$A$20000,0),MATCH("Keyword Difficulty*",'Semrush Data'!$A$1:$Z$1,0)),"")</f>
        <v/>
      </c>
      <c r="I1270" s="56">
        <f>IFERROR(INDEX('Semrush Data'!$A$1:$Z$20000,MATCH(A1270,'Semrush Data'!$A$1:$A$20000,0),MATCH("CPC*",'Semrush Data'!$A$1:$Z$1,0)),"")</f>
        <v/>
      </c>
      <c r="J1270" s="42">
        <f>IFERROR(INDEX('Semrush Data'!$A$1:$Z$20000,MATCH(A1270,'Semrush Data'!$A$1:$A$20000,0),MATCH("Intent",'Semrush Data'!$A$1:$Z$1,0)),"")</f>
        <v/>
      </c>
    </row>
    <row r="1271" ht="15" customHeight="1" s="37">
      <c r="A1271" s="42" t="inlineStr">
        <is>
          <t>vilvah hair growth oil uk</t>
        </is>
      </c>
      <c r="B1271" s="42" t="inlineStr">
        <is>
          <t>Product + UK</t>
        </is>
      </c>
      <c r="C1271" s="42" t="n">
        <v>2</v>
      </c>
      <c r="D1271" s="42" t="n">
        <v>13</v>
      </c>
      <c r="E1271" s="42" t="n">
        <v>3</v>
      </c>
      <c r="F1271" s="42" t="inlineStr">
        <is>
          <t>VD-002, VD-032, VD-033</t>
        </is>
      </c>
      <c r="G1271" s="55">
        <f>IFERROR(INDEX('Semrush Data'!$A$1:$Z$20000,MATCH(A1271,'Semrush Data'!$A$1:$A$20000,0),MATCH("Volume",'Semrush Data'!$A$1:$Z$1,0)),"")</f>
        <v/>
      </c>
      <c r="H1271" s="42">
        <f>IFERROR(INDEX('Semrush Data'!$A$1:$Z$20000,MATCH(A1271,'Semrush Data'!$A$1:$A$20000,0),MATCH("Keyword Difficulty*",'Semrush Data'!$A$1:$Z$1,0)),"")</f>
        <v/>
      </c>
      <c r="I1271" s="56">
        <f>IFERROR(INDEX('Semrush Data'!$A$1:$Z$20000,MATCH(A1271,'Semrush Data'!$A$1:$A$20000,0),MATCH("CPC*",'Semrush Data'!$A$1:$Z$1,0)),"")</f>
        <v/>
      </c>
      <c r="J1271" s="42">
        <f>IFERROR(INDEX('Semrush Data'!$A$1:$Z$20000,MATCH(A1271,'Semrush Data'!$A$1:$A$20000,0),MATCH("Intent",'Semrush Data'!$A$1:$Z$1,0)),"")</f>
        <v/>
      </c>
    </row>
    <row r="1272" ht="15" customHeight="1" s="37">
      <c r="A1272" s="42" t="inlineStr">
        <is>
          <t>vilvah hair strengthening kit uk</t>
        </is>
      </c>
      <c r="B1272" s="42" t="inlineStr">
        <is>
          <t>Product + UK</t>
        </is>
      </c>
      <c r="C1272" s="42" t="n">
        <v>2</v>
      </c>
      <c r="D1272" s="42" t="n">
        <v>13</v>
      </c>
      <c r="E1272" s="42" t="n">
        <v>1</v>
      </c>
      <c r="F1272" s="42" t="inlineStr">
        <is>
          <t>VD-072</t>
        </is>
      </c>
      <c r="G1272" s="55">
        <f>IFERROR(INDEX('Semrush Data'!$A$1:$Z$20000,MATCH(A1272,'Semrush Data'!$A$1:$A$20000,0),MATCH("Volume",'Semrush Data'!$A$1:$Z$1,0)),"")</f>
        <v/>
      </c>
      <c r="H1272" s="42">
        <f>IFERROR(INDEX('Semrush Data'!$A$1:$Z$20000,MATCH(A1272,'Semrush Data'!$A$1:$A$20000,0),MATCH("Keyword Difficulty*",'Semrush Data'!$A$1:$Z$1,0)),"")</f>
        <v/>
      </c>
      <c r="I1272" s="56">
        <f>IFERROR(INDEX('Semrush Data'!$A$1:$Z$20000,MATCH(A1272,'Semrush Data'!$A$1:$A$20000,0),MATCH("CPC*",'Semrush Data'!$A$1:$Z$1,0)),"")</f>
        <v/>
      </c>
      <c r="J1272" s="42">
        <f>IFERROR(INDEX('Semrush Data'!$A$1:$Z$20000,MATCH(A1272,'Semrush Data'!$A$1:$A$20000,0),MATCH("Intent",'Semrush Data'!$A$1:$Z$1,0)),"")</f>
        <v/>
      </c>
    </row>
    <row r="1273" ht="15" customHeight="1" s="37">
      <c r="A1273" s="42" t="inlineStr">
        <is>
          <t>vilvah hairfall control kit uk</t>
        </is>
      </c>
      <c r="B1273" s="42" t="inlineStr">
        <is>
          <t>Product + UK</t>
        </is>
      </c>
      <c r="C1273" s="42" t="n">
        <v>2</v>
      </c>
      <c r="D1273" s="42" t="n">
        <v>13</v>
      </c>
      <c r="E1273" s="42" t="n">
        <v>1</v>
      </c>
      <c r="F1273" s="42" t="inlineStr">
        <is>
          <t>VD-077</t>
        </is>
      </c>
      <c r="G1273" s="55">
        <f>IFERROR(INDEX('Semrush Data'!$A$1:$Z$20000,MATCH(A1273,'Semrush Data'!$A$1:$A$20000,0),MATCH("Volume",'Semrush Data'!$A$1:$Z$1,0)),"")</f>
        <v/>
      </c>
      <c r="H1273" s="42">
        <f>IFERROR(INDEX('Semrush Data'!$A$1:$Z$20000,MATCH(A1273,'Semrush Data'!$A$1:$A$20000,0),MATCH("Keyword Difficulty*",'Semrush Data'!$A$1:$Z$1,0)),"")</f>
        <v/>
      </c>
      <c r="I1273" s="56">
        <f>IFERROR(INDEX('Semrush Data'!$A$1:$Z$20000,MATCH(A1273,'Semrush Data'!$A$1:$A$20000,0),MATCH("CPC*",'Semrush Data'!$A$1:$Z$1,0)),"")</f>
        <v/>
      </c>
      <c r="J1273" s="42">
        <f>IFERROR(INDEX('Semrush Data'!$A$1:$Z$20000,MATCH(A1273,'Semrush Data'!$A$1:$A$20000,0),MATCH("Intent",'Semrush Data'!$A$1:$Z$1,0)),"")</f>
        <v/>
      </c>
    </row>
    <row r="1274" ht="15" customHeight="1" s="37">
      <c r="A1274" s="42" t="inlineStr">
        <is>
          <t>vilvah herbal shampoo (dandruff control) uk</t>
        </is>
      </c>
      <c r="B1274" s="42" t="inlineStr">
        <is>
          <t>Product + UK</t>
        </is>
      </c>
      <c r="C1274" s="42" t="n">
        <v>2</v>
      </c>
      <c r="D1274" s="42" t="n">
        <v>13</v>
      </c>
      <c r="E1274" s="42" t="n">
        <v>1</v>
      </c>
      <c r="F1274" s="42" t="inlineStr">
        <is>
          <t>VD-034</t>
        </is>
      </c>
      <c r="G1274" s="55">
        <f>IFERROR(INDEX('Semrush Data'!$A$1:$Z$20000,MATCH(A1274,'Semrush Data'!$A$1:$A$20000,0),MATCH("Volume",'Semrush Data'!$A$1:$Z$1,0)),"")</f>
        <v/>
      </c>
      <c r="H1274" s="42">
        <f>IFERROR(INDEX('Semrush Data'!$A$1:$Z$20000,MATCH(A1274,'Semrush Data'!$A$1:$A$20000,0),MATCH("Keyword Difficulty*",'Semrush Data'!$A$1:$Z$1,0)),"")</f>
        <v/>
      </c>
      <c r="I1274" s="56">
        <f>IFERROR(INDEX('Semrush Data'!$A$1:$Z$20000,MATCH(A1274,'Semrush Data'!$A$1:$A$20000,0),MATCH("CPC*",'Semrush Data'!$A$1:$Z$1,0)),"")</f>
        <v/>
      </c>
      <c r="J1274" s="42">
        <f>IFERROR(INDEX('Semrush Data'!$A$1:$Z$20000,MATCH(A1274,'Semrush Data'!$A$1:$A$20000,0),MATCH("Intent",'Semrush Data'!$A$1:$Z$1,0)),"")</f>
        <v/>
      </c>
    </row>
    <row r="1275" ht="15" customHeight="1" s="37">
      <c r="A1275" s="42" t="inlineStr">
        <is>
          <t>vilvah honey fix face wash uk</t>
        </is>
      </c>
      <c r="B1275" s="42" t="inlineStr">
        <is>
          <t>Product + UK</t>
        </is>
      </c>
      <c r="C1275" s="42" t="n">
        <v>2</v>
      </c>
      <c r="D1275" s="42" t="n">
        <v>13</v>
      </c>
      <c r="E1275" s="42" t="n">
        <v>1</v>
      </c>
      <c r="F1275" s="42" t="inlineStr">
        <is>
          <t>VD-014</t>
        </is>
      </c>
      <c r="G1275" s="55">
        <f>IFERROR(INDEX('Semrush Data'!$A$1:$Z$20000,MATCH(A1275,'Semrush Data'!$A$1:$A$20000,0),MATCH("Volume",'Semrush Data'!$A$1:$Z$1,0)),"")</f>
        <v/>
      </c>
      <c r="H1275" s="42">
        <f>IFERROR(INDEX('Semrush Data'!$A$1:$Z$20000,MATCH(A1275,'Semrush Data'!$A$1:$A$20000,0),MATCH("Keyword Difficulty*",'Semrush Data'!$A$1:$Z$1,0)),"")</f>
        <v/>
      </c>
      <c r="I1275" s="56">
        <f>IFERROR(INDEX('Semrush Data'!$A$1:$Z$20000,MATCH(A1275,'Semrush Data'!$A$1:$A$20000,0),MATCH("CPC*",'Semrush Data'!$A$1:$Z$1,0)),"")</f>
        <v/>
      </c>
      <c r="J1275" s="42">
        <f>IFERROR(INDEX('Semrush Data'!$A$1:$Z$20000,MATCH(A1275,'Semrush Data'!$A$1:$A$20000,0),MATCH("Intent",'Semrush Data'!$A$1:$Z$1,0)),"")</f>
        <v/>
      </c>
    </row>
    <row r="1276" ht="15" customHeight="1" s="37">
      <c r="A1276" s="42" t="inlineStr">
        <is>
          <t>vilvah lip balm - grapefruit uk</t>
        </is>
      </c>
      <c r="B1276" s="42" t="inlineStr">
        <is>
          <t>Product + UK</t>
        </is>
      </c>
      <c r="C1276" s="42" t="n">
        <v>2</v>
      </c>
      <c r="D1276" s="42" t="n">
        <v>13</v>
      </c>
      <c r="E1276" s="42" t="n">
        <v>1</v>
      </c>
      <c r="F1276" s="42" t="inlineStr">
        <is>
          <t>VD-035</t>
        </is>
      </c>
      <c r="G1276" s="55">
        <f>IFERROR(INDEX('Semrush Data'!$A$1:$Z$20000,MATCH(A1276,'Semrush Data'!$A$1:$A$20000,0),MATCH("Volume",'Semrush Data'!$A$1:$Z$1,0)),"")</f>
        <v/>
      </c>
      <c r="H1276" s="42">
        <f>IFERROR(INDEX('Semrush Data'!$A$1:$Z$20000,MATCH(A1276,'Semrush Data'!$A$1:$A$20000,0),MATCH("Keyword Difficulty*",'Semrush Data'!$A$1:$Z$1,0)),"")</f>
        <v/>
      </c>
      <c r="I1276" s="56">
        <f>IFERROR(INDEX('Semrush Data'!$A$1:$Z$20000,MATCH(A1276,'Semrush Data'!$A$1:$A$20000,0),MATCH("CPC*",'Semrush Data'!$A$1:$Z$1,0)),"")</f>
        <v/>
      </c>
      <c r="J1276" s="42">
        <f>IFERROR(INDEX('Semrush Data'!$A$1:$Z$20000,MATCH(A1276,'Semrush Data'!$A$1:$A$20000,0),MATCH("Intent",'Semrush Data'!$A$1:$Z$1,0)),"")</f>
        <v/>
      </c>
    </row>
    <row r="1277" ht="15" customHeight="1" s="37">
      <c r="A1277" s="42" t="inlineStr">
        <is>
          <t>vilvah lip balm - lemon uk</t>
        </is>
      </c>
      <c r="B1277" s="42" t="inlineStr">
        <is>
          <t>Product + UK</t>
        </is>
      </c>
      <c r="C1277" s="42" t="n">
        <v>2</v>
      </c>
      <c r="D1277" s="42" t="n">
        <v>13</v>
      </c>
      <c r="E1277" s="42" t="n">
        <v>1</v>
      </c>
      <c r="F1277" s="42" t="inlineStr">
        <is>
          <t>VD-015</t>
        </is>
      </c>
      <c r="G1277" s="55">
        <f>IFERROR(INDEX('Semrush Data'!$A$1:$Z$20000,MATCH(A1277,'Semrush Data'!$A$1:$A$20000,0),MATCH("Volume",'Semrush Data'!$A$1:$Z$1,0)),"")</f>
        <v/>
      </c>
      <c r="H1277" s="42">
        <f>IFERROR(INDEX('Semrush Data'!$A$1:$Z$20000,MATCH(A1277,'Semrush Data'!$A$1:$A$20000,0),MATCH("Keyword Difficulty*",'Semrush Data'!$A$1:$Z$1,0)),"")</f>
        <v/>
      </c>
      <c r="I1277" s="56">
        <f>IFERROR(INDEX('Semrush Data'!$A$1:$Z$20000,MATCH(A1277,'Semrush Data'!$A$1:$A$20000,0),MATCH("CPC*",'Semrush Data'!$A$1:$Z$1,0)),"")</f>
        <v/>
      </c>
      <c r="J1277" s="42">
        <f>IFERROR(INDEX('Semrush Data'!$A$1:$Z$20000,MATCH(A1277,'Semrush Data'!$A$1:$A$20000,0),MATCH("Intent",'Semrush Data'!$A$1:$Z$1,0)),"")</f>
        <v/>
      </c>
    </row>
    <row r="1278" ht="15" customHeight="1" s="37">
      <c r="A1278" s="42" t="inlineStr">
        <is>
          <t>vilvah lip lightening kit uk</t>
        </is>
      </c>
      <c r="B1278" s="42" t="inlineStr">
        <is>
          <t>Product + UK</t>
        </is>
      </c>
      <c r="C1278" s="42" t="n">
        <v>2</v>
      </c>
      <c r="D1278" s="42" t="n">
        <v>13</v>
      </c>
      <c r="E1278" s="42" t="n">
        <v>1</v>
      </c>
      <c r="F1278" s="42" t="inlineStr">
        <is>
          <t>VD-073</t>
        </is>
      </c>
      <c r="G1278" s="55">
        <f>IFERROR(INDEX('Semrush Data'!$A$1:$Z$20000,MATCH(A1278,'Semrush Data'!$A$1:$A$20000,0),MATCH("Volume",'Semrush Data'!$A$1:$Z$1,0)),"")</f>
        <v/>
      </c>
      <c r="H1278" s="42">
        <f>IFERROR(INDEX('Semrush Data'!$A$1:$Z$20000,MATCH(A1278,'Semrush Data'!$A$1:$A$20000,0),MATCH("Keyword Difficulty*",'Semrush Data'!$A$1:$Z$1,0)),"")</f>
        <v/>
      </c>
      <c r="I1278" s="56">
        <f>IFERROR(INDEX('Semrush Data'!$A$1:$Z$20000,MATCH(A1278,'Semrush Data'!$A$1:$A$20000,0),MATCH("CPC*",'Semrush Data'!$A$1:$Z$1,0)),"")</f>
        <v/>
      </c>
      <c r="J1278" s="42">
        <f>IFERROR(INDEX('Semrush Data'!$A$1:$Z$20000,MATCH(A1278,'Semrush Data'!$A$1:$A$20000,0),MATCH("Intent",'Semrush Data'!$A$1:$Z$1,0)),"")</f>
        <v/>
      </c>
    </row>
    <row r="1279" ht="15" customHeight="1" s="37">
      <c r="A1279" s="42" t="inlineStr">
        <is>
          <t>vilvah lip nourishing kit uk</t>
        </is>
      </c>
      <c r="B1279" s="42" t="inlineStr">
        <is>
          <t>Product + UK</t>
        </is>
      </c>
      <c r="C1279" s="42" t="n">
        <v>2</v>
      </c>
      <c r="D1279" s="42" t="n">
        <v>13</v>
      </c>
      <c r="E1279" s="42" t="n">
        <v>1</v>
      </c>
      <c r="F1279" s="42" t="inlineStr">
        <is>
          <t>VD-081</t>
        </is>
      </c>
      <c r="G1279" s="55">
        <f>IFERROR(INDEX('Semrush Data'!$A$1:$Z$20000,MATCH(A1279,'Semrush Data'!$A$1:$A$20000,0),MATCH("Volume",'Semrush Data'!$A$1:$Z$1,0)),"")</f>
        <v/>
      </c>
      <c r="H1279" s="42">
        <f>IFERROR(INDEX('Semrush Data'!$A$1:$Z$20000,MATCH(A1279,'Semrush Data'!$A$1:$A$20000,0),MATCH("Keyword Difficulty*",'Semrush Data'!$A$1:$Z$1,0)),"")</f>
        <v/>
      </c>
      <c r="I1279" s="56">
        <f>IFERROR(INDEX('Semrush Data'!$A$1:$Z$20000,MATCH(A1279,'Semrush Data'!$A$1:$A$20000,0),MATCH("CPC*",'Semrush Data'!$A$1:$Z$1,0)),"")</f>
        <v/>
      </c>
      <c r="J1279" s="42">
        <f>IFERROR(INDEX('Semrush Data'!$A$1:$Z$20000,MATCH(A1279,'Semrush Data'!$A$1:$A$20000,0),MATCH("Intent",'Semrush Data'!$A$1:$Z$1,0)),"")</f>
        <v/>
      </c>
    </row>
    <row r="1280" ht="15" customHeight="1" s="37">
      <c r="A1280" s="42" t="inlineStr">
        <is>
          <t>vilvah lip scrub uk</t>
        </is>
      </c>
      <c r="B1280" s="42" t="inlineStr">
        <is>
          <t>Product + UK</t>
        </is>
      </c>
      <c r="C1280" s="42" t="n">
        <v>2</v>
      </c>
      <c r="D1280" s="42" t="n">
        <v>13</v>
      </c>
      <c r="E1280" s="42" t="n">
        <v>1</v>
      </c>
      <c r="F1280" s="42" t="inlineStr">
        <is>
          <t>VD-036</t>
        </is>
      </c>
      <c r="G1280" s="55">
        <f>IFERROR(INDEX('Semrush Data'!$A$1:$Z$20000,MATCH(A1280,'Semrush Data'!$A$1:$A$20000,0),MATCH("Volume",'Semrush Data'!$A$1:$Z$1,0)),"")</f>
        <v/>
      </c>
      <c r="H1280" s="42">
        <f>IFERROR(INDEX('Semrush Data'!$A$1:$Z$20000,MATCH(A1280,'Semrush Data'!$A$1:$A$20000,0),MATCH("Keyword Difficulty*",'Semrush Data'!$A$1:$Z$1,0)),"")</f>
        <v/>
      </c>
      <c r="I1280" s="56">
        <f>IFERROR(INDEX('Semrush Data'!$A$1:$Z$20000,MATCH(A1280,'Semrush Data'!$A$1:$A$20000,0),MATCH("CPC*",'Semrush Data'!$A$1:$Z$1,0)),"")</f>
        <v/>
      </c>
      <c r="J1280" s="42">
        <f>IFERROR(INDEX('Semrush Data'!$A$1:$Z$20000,MATCH(A1280,'Semrush Data'!$A$1:$A$20000,0),MATCH("Intent",'Semrush Data'!$A$1:$Z$1,0)),"")</f>
        <v/>
      </c>
    </row>
    <row r="1281" ht="15" customHeight="1" s="37">
      <c r="A1281" s="42" t="inlineStr">
        <is>
          <t>vilvah mango shake lip balm uk</t>
        </is>
      </c>
      <c r="B1281" s="42" t="inlineStr">
        <is>
          <t>Product + UK</t>
        </is>
      </c>
      <c r="C1281" s="42" t="n">
        <v>2</v>
      </c>
      <c r="D1281" s="42" t="n">
        <v>13</v>
      </c>
      <c r="E1281" s="42" t="n">
        <v>1</v>
      </c>
      <c r="F1281" s="42" t="inlineStr">
        <is>
          <t>VD-045</t>
        </is>
      </c>
      <c r="G1281" s="55">
        <f>IFERROR(INDEX('Semrush Data'!$A$1:$Z$20000,MATCH(A1281,'Semrush Data'!$A$1:$A$20000,0),MATCH("Volume",'Semrush Data'!$A$1:$Z$1,0)),"")</f>
        <v/>
      </c>
      <c r="H1281" s="42">
        <f>IFERROR(INDEX('Semrush Data'!$A$1:$Z$20000,MATCH(A1281,'Semrush Data'!$A$1:$A$20000,0),MATCH("Keyword Difficulty*",'Semrush Data'!$A$1:$Z$1,0)),"")</f>
        <v/>
      </c>
      <c r="I1281" s="56">
        <f>IFERROR(INDEX('Semrush Data'!$A$1:$Z$20000,MATCH(A1281,'Semrush Data'!$A$1:$A$20000,0),MATCH("CPC*",'Semrush Data'!$A$1:$Z$1,0)),"")</f>
        <v/>
      </c>
      <c r="J1281" s="42">
        <f>IFERROR(INDEX('Semrush Data'!$A$1:$Z$20000,MATCH(A1281,'Semrush Data'!$A$1:$A$20000,0),MATCH("Intent",'Semrush Data'!$A$1:$Z$1,0)),"")</f>
        <v/>
      </c>
    </row>
    <row r="1282" ht="15" customHeight="1" s="37">
      <c r="A1282" s="42" t="inlineStr">
        <is>
          <t>vilvah men's comb / detangling comb uk</t>
        </is>
      </c>
      <c r="B1282" s="42" t="inlineStr">
        <is>
          <t>Product + UK</t>
        </is>
      </c>
      <c r="C1282" s="42" t="n">
        <v>2</v>
      </c>
      <c r="D1282" s="42" t="n">
        <v>13</v>
      </c>
      <c r="E1282" s="42" t="n">
        <v>1</v>
      </c>
      <c r="F1282" s="42" t="inlineStr">
        <is>
          <t>VD-037</t>
        </is>
      </c>
      <c r="G1282" s="55">
        <f>IFERROR(INDEX('Semrush Data'!$A$1:$Z$20000,MATCH(A1282,'Semrush Data'!$A$1:$A$20000,0),MATCH("Volume",'Semrush Data'!$A$1:$Z$1,0)),"")</f>
        <v/>
      </c>
      <c r="H1282" s="42">
        <f>IFERROR(INDEX('Semrush Data'!$A$1:$Z$20000,MATCH(A1282,'Semrush Data'!$A$1:$A$20000,0),MATCH("Keyword Difficulty*",'Semrush Data'!$A$1:$Z$1,0)),"")</f>
        <v/>
      </c>
      <c r="I1282" s="56">
        <f>IFERROR(INDEX('Semrush Data'!$A$1:$Z$20000,MATCH(A1282,'Semrush Data'!$A$1:$A$20000,0),MATCH("CPC*",'Semrush Data'!$A$1:$Z$1,0)),"")</f>
        <v/>
      </c>
      <c r="J1282" s="42">
        <f>IFERROR(INDEX('Semrush Data'!$A$1:$Z$20000,MATCH(A1282,'Semrush Data'!$A$1:$A$20000,0),MATCH("Intent",'Semrush Data'!$A$1:$Z$1,0)),"")</f>
        <v/>
      </c>
    </row>
    <row r="1283" ht="15" customHeight="1" s="37">
      <c r="A1283" s="42" t="inlineStr">
        <is>
          <t>vilvah milk body kit uk</t>
        </is>
      </c>
      <c r="B1283" s="42" t="inlineStr">
        <is>
          <t>Product + UK</t>
        </is>
      </c>
      <c r="C1283" s="42" t="n">
        <v>2</v>
      </c>
      <c r="D1283" s="42" t="n">
        <v>13</v>
      </c>
      <c r="E1283" s="42" t="n">
        <v>1</v>
      </c>
      <c r="F1283" s="42" t="inlineStr">
        <is>
          <t>VD-047</t>
        </is>
      </c>
      <c r="G1283" s="55">
        <f>IFERROR(INDEX('Semrush Data'!$A$1:$Z$20000,MATCH(A1283,'Semrush Data'!$A$1:$A$20000,0),MATCH("Volume",'Semrush Data'!$A$1:$Z$1,0)),"")</f>
        <v/>
      </c>
      <c r="H1283" s="42">
        <f>IFERROR(INDEX('Semrush Data'!$A$1:$Z$20000,MATCH(A1283,'Semrush Data'!$A$1:$A$20000,0),MATCH("Keyword Difficulty*",'Semrush Data'!$A$1:$Z$1,0)),"")</f>
        <v/>
      </c>
      <c r="I1283" s="56">
        <f>IFERROR(INDEX('Semrush Data'!$A$1:$Z$20000,MATCH(A1283,'Semrush Data'!$A$1:$A$20000,0),MATCH("CPC*",'Semrush Data'!$A$1:$Z$1,0)),"")</f>
        <v/>
      </c>
      <c r="J1283" s="42">
        <f>IFERROR(INDEX('Semrush Data'!$A$1:$Z$20000,MATCH(A1283,'Semrush Data'!$A$1:$A$20000,0),MATCH("Intent",'Semrush Data'!$A$1:$Z$1,0)),"")</f>
        <v/>
      </c>
    </row>
    <row r="1284" ht="15" customHeight="1" s="37">
      <c r="A1284" s="42" t="inlineStr">
        <is>
          <t>vilvah milk body lotion uk</t>
        </is>
      </c>
      <c r="B1284" s="42" t="inlineStr">
        <is>
          <t>Product + UK</t>
        </is>
      </c>
      <c r="C1284" s="42" t="n">
        <v>2</v>
      </c>
      <c r="D1284" s="42" t="n">
        <v>13</v>
      </c>
      <c r="E1284" s="42" t="n">
        <v>1</v>
      </c>
      <c r="F1284" s="42" t="inlineStr">
        <is>
          <t>VD-016</t>
        </is>
      </c>
      <c r="G1284" s="55">
        <f>IFERROR(INDEX('Semrush Data'!$A$1:$Z$20000,MATCH(A1284,'Semrush Data'!$A$1:$A$20000,0),MATCH("Volume",'Semrush Data'!$A$1:$Z$1,0)),"")</f>
        <v/>
      </c>
      <c r="H1284" s="42">
        <f>IFERROR(INDEX('Semrush Data'!$A$1:$Z$20000,MATCH(A1284,'Semrush Data'!$A$1:$A$20000,0),MATCH("Keyword Difficulty*",'Semrush Data'!$A$1:$Z$1,0)),"")</f>
        <v/>
      </c>
      <c r="I1284" s="56">
        <f>IFERROR(INDEX('Semrush Data'!$A$1:$Z$20000,MATCH(A1284,'Semrush Data'!$A$1:$A$20000,0),MATCH("CPC*",'Semrush Data'!$A$1:$Z$1,0)),"")</f>
        <v/>
      </c>
      <c r="J1284" s="42">
        <f>IFERROR(INDEX('Semrush Data'!$A$1:$Z$20000,MATCH(A1284,'Semrush Data'!$A$1:$A$20000,0),MATCH("Intent",'Semrush Data'!$A$1:$Z$1,0)),"")</f>
        <v/>
      </c>
    </row>
    <row r="1285" ht="15" customHeight="1" s="37">
      <c r="A1285" s="42" t="inlineStr">
        <is>
          <t>vilvah milk drops brightening serum uk</t>
        </is>
      </c>
      <c r="B1285" s="42" t="inlineStr">
        <is>
          <t>Product + UK</t>
        </is>
      </c>
      <c r="C1285" s="42" t="n">
        <v>2</v>
      </c>
      <c r="D1285" s="42" t="n">
        <v>13</v>
      </c>
      <c r="E1285" s="42" t="n">
        <v>2</v>
      </c>
      <c r="F1285" s="42" t="inlineStr">
        <is>
          <t>VD-038, VD-039</t>
        </is>
      </c>
      <c r="G1285" s="55">
        <f>IFERROR(INDEX('Semrush Data'!$A$1:$Z$20000,MATCH(A1285,'Semrush Data'!$A$1:$A$20000,0),MATCH("Volume",'Semrush Data'!$A$1:$Z$1,0)),"")</f>
        <v/>
      </c>
      <c r="H1285" s="42">
        <f>IFERROR(INDEX('Semrush Data'!$A$1:$Z$20000,MATCH(A1285,'Semrush Data'!$A$1:$A$20000,0),MATCH("Keyword Difficulty*",'Semrush Data'!$A$1:$Z$1,0)),"")</f>
        <v/>
      </c>
      <c r="I1285" s="56">
        <f>IFERROR(INDEX('Semrush Data'!$A$1:$Z$20000,MATCH(A1285,'Semrush Data'!$A$1:$A$20000,0),MATCH("CPC*",'Semrush Data'!$A$1:$Z$1,0)),"")</f>
        <v/>
      </c>
      <c r="J1285" s="42">
        <f>IFERROR(INDEX('Semrush Data'!$A$1:$Z$20000,MATCH(A1285,'Semrush Data'!$A$1:$A$20000,0),MATCH("Intent",'Semrush Data'!$A$1:$Z$1,0)),"")</f>
        <v/>
      </c>
    </row>
    <row r="1286" ht="15" customHeight="1" s="37">
      <c r="A1286" s="42" t="inlineStr">
        <is>
          <t>vilvah milk face kit uk</t>
        </is>
      </c>
      <c r="B1286" s="42" t="inlineStr">
        <is>
          <t>Product + UK</t>
        </is>
      </c>
      <c r="C1286" s="42" t="n">
        <v>2</v>
      </c>
      <c r="D1286" s="42" t="n">
        <v>13</v>
      </c>
      <c r="E1286" s="42" t="n">
        <v>1</v>
      </c>
      <c r="F1286" s="42" t="inlineStr">
        <is>
          <t>VD-049</t>
        </is>
      </c>
      <c r="G1286" s="55">
        <f>IFERROR(INDEX('Semrush Data'!$A$1:$Z$20000,MATCH(A1286,'Semrush Data'!$A$1:$A$20000,0),MATCH("Volume",'Semrush Data'!$A$1:$Z$1,0)),"")</f>
        <v/>
      </c>
      <c r="H1286" s="42">
        <f>IFERROR(INDEX('Semrush Data'!$A$1:$Z$20000,MATCH(A1286,'Semrush Data'!$A$1:$A$20000,0),MATCH("Keyword Difficulty*",'Semrush Data'!$A$1:$Z$1,0)),"")</f>
        <v/>
      </c>
      <c r="I1286" s="56">
        <f>IFERROR(INDEX('Semrush Data'!$A$1:$Z$20000,MATCH(A1286,'Semrush Data'!$A$1:$A$20000,0),MATCH("CPC*",'Semrush Data'!$A$1:$Z$1,0)),"")</f>
        <v/>
      </c>
      <c r="J1286" s="42">
        <f>IFERROR(INDEX('Semrush Data'!$A$1:$Z$20000,MATCH(A1286,'Semrush Data'!$A$1:$A$20000,0),MATCH("Intent",'Semrush Data'!$A$1:$Z$1,0)),"")</f>
        <v/>
      </c>
    </row>
    <row r="1287" ht="15" customHeight="1" s="37">
      <c r="A1287" s="42" t="inlineStr">
        <is>
          <t>vilvah milk face toner uk</t>
        </is>
      </c>
      <c r="B1287" s="42" t="inlineStr">
        <is>
          <t>Product + UK</t>
        </is>
      </c>
      <c r="C1287" s="42" t="n">
        <v>2</v>
      </c>
      <c r="D1287" s="42" t="n">
        <v>13</v>
      </c>
      <c r="E1287" s="42" t="n">
        <v>1</v>
      </c>
      <c r="F1287" s="42" t="inlineStr">
        <is>
          <t>VD-017</t>
        </is>
      </c>
      <c r="G1287" s="55">
        <f>IFERROR(INDEX('Semrush Data'!$A$1:$Z$20000,MATCH(A1287,'Semrush Data'!$A$1:$A$20000,0),MATCH("Volume",'Semrush Data'!$A$1:$Z$1,0)),"")</f>
        <v/>
      </c>
      <c r="H1287" s="42">
        <f>IFERROR(INDEX('Semrush Data'!$A$1:$Z$20000,MATCH(A1287,'Semrush Data'!$A$1:$A$20000,0),MATCH("Keyword Difficulty*",'Semrush Data'!$A$1:$Z$1,0)),"")</f>
        <v/>
      </c>
      <c r="I1287" s="56">
        <f>IFERROR(INDEX('Semrush Data'!$A$1:$Z$20000,MATCH(A1287,'Semrush Data'!$A$1:$A$20000,0),MATCH("CPC*",'Semrush Data'!$A$1:$Z$1,0)),"")</f>
        <v/>
      </c>
      <c r="J1287" s="42">
        <f>IFERROR(INDEX('Semrush Data'!$A$1:$Z$20000,MATCH(A1287,'Semrush Data'!$A$1:$A$20000,0),MATCH("Intent",'Semrush Data'!$A$1:$Z$1,0)),"")</f>
        <v/>
      </c>
    </row>
    <row r="1288" ht="15" customHeight="1" s="37">
      <c r="A1288" s="42" t="inlineStr">
        <is>
          <t>vilvah milk lip balm spf 30 pa+++ uk</t>
        </is>
      </c>
      <c r="B1288" s="42" t="inlineStr">
        <is>
          <t>Product + UK</t>
        </is>
      </c>
      <c r="C1288" s="42" t="n">
        <v>2</v>
      </c>
      <c r="D1288" s="42" t="n">
        <v>13</v>
      </c>
      <c r="E1288" s="42" t="n">
        <v>1</v>
      </c>
      <c r="F1288" s="42" t="inlineStr">
        <is>
          <t>VD-040</t>
        </is>
      </c>
      <c r="G1288" s="55">
        <f>IFERROR(INDEX('Semrush Data'!$A$1:$Z$20000,MATCH(A1288,'Semrush Data'!$A$1:$A$20000,0),MATCH("Volume",'Semrush Data'!$A$1:$Z$1,0)),"")</f>
        <v/>
      </c>
      <c r="H1288" s="42">
        <f>IFERROR(INDEX('Semrush Data'!$A$1:$Z$20000,MATCH(A1288,'Semrush Data'!$A$1:$A$20000,0),MATCH("Keyword Difficulty*",'Semrush Data'!$A$1:$Z$1,0)),"")</f>
        <v/>
      </c>
      <c r="I1288" s="56">
        <f>IFERROR(INDEX('Semrush Data'!$A$1:$Z$20000,MATCH(A1288,'Semrush Data'!$A$1:$A$20000,0),MATCH("CPC*",'Semrush Data'!$A$1:$Z$1,0)),"")</f>
        <v/>
      </c>
      <c r="J1288" s="42">
        <f>IFERROR(INDEX('Semrush Data'!$A$1:$Z$20000,MATCH(A1288,'Semrush Data'!$A$1:$A$20000,0),MATCH("Intent",'Semrush Data'!$A$1:$Z$1,0)),"")</f>
        <v/>
      </c>
    </row>
    <row r="1289" ht="15" customHeight="1" s="37">
      <c r="A1289" s="42" t="inlineStr">
        <is>
          <t>vilvah milk mud mask uk</t>
        </is>
      </c>
      <c r="B1289" s="42" t="inlineStr">
        <is>
          <t>Product + UK</t>
        </is>
      </c>
      <c r="C1289" s="42" t="n">
        <v>2</v>
      </c>
      <c r="D1289" s="42" t="n">
        <v>13</v>
      </c>
      <c r="E1289" s="42" t="n">
        <v>1</v>
      </c>
      <c r="F1289" s="42" t="inlineStr">
        <is>
          <t>VD-018</t>
        </is>
      </c>
      <c r="G1289" s="55">
        <f>IFERROR(INDEX('Semrush Data'!$A$1:$Z$20000,MATCH(A1289,'Semrush Data'!$A$1:$A$20000,0),MATCH("Volume",'Semrush Data'!$A$1:$Z$1,0)),"")</f>
        <v/>
      </c>
      <c r="H1289" s="42">
        <f>IFERROR(INDEX('Semrush Data'!$A$1:$Z$20000,MATCH(A1289,'Semrush Data'!$A$1:$A$20000,0),MATCH("Keyword Difficulty*",'Semrush Data'!$A$1:$Z$1,0)),"")</f>
        <v/>
      </c>
      <c r="I1289" s="56">
        <f>IFERROR(INDEX('Semrush Data'!$A$1:$Z$20000,MATCH(A1289,'Semrush Data'!$A$1:$A$20000,0),MATCH("CPC*",'Semrush Data'!$A$1:$Z$1,0)),"")</f>
        <v/>
      </c>
      <c r="J1289" s="42">
        <f>IFERROR(INDEX('Semrush Data'!$A$1:$Z$20000,MATCH(A1289,'Semrush Data'!$A$1:$A$20000,0),MATCH("Intent",'Semrush Data'!$A$1:$Z$1,0)),"")</f>
        <v/>
      </c>
    </row>
    <row r="1290" ht="15" customHeight="1" s="37">
      <c r="A1290" s="42" t="inlineStr">
        <is>
          <t>vilvah milk powder face wash uk</t>
        </is>
      </c>
      <c r="B1290" s="42" t="inlineStr">
        <is>
          <t>Product + UK</t>
        </is>
      </c>
      <c r="C1290" s="42" t="n">
        <v>2</v>
      </c>
      <c r="D1290" s="42" t="n">
        <v>13</v>
      </c>
      <c r="E1290" s="42" t="n">
        <v>1</v>
      </c>
      <c r="F1290" s="42" t="inlineStr">
        <is>
          <t>VD-006</t>
        </is>
      </c>
      <c r="G1290" s="55">
        <f>IFERROR(INDEX('Semrush Data'!$A$1:$Z$20000,MATCH(A1290,'Semrush Data'!$A$1:$A$20000,0),MATCH("Volume",'Semrush Data'!$A$1:$Z$1,0)),"")</f>
        <v/>
      </c>
      <c r="H1290" s="42">
        <f>IFERROR(INDEX('Semrush Data'!$A$1:$Z$20000,MATCH(A1290,'Semrush Data'!$A$1:$A$20000,0),MATCH("Keyword Difficulty*",'Semrush Data'!$A$1:$Z$1,0)),"")</f>
        <v/>
      </c>
      <c r="I1290" s="56">
        <f>IFERROR(INDEX('Semrush Data'!$A$1:$Z$20000,MATCH(A1290,'Semrush Data'!$A$1:$A$20000,0),MATCH("CPC*",'Semrush Data'!$A$1:$Z$1,0)),"")</f>
        <v/>
      </c>
      <c r="J1290" s="42">
        <f>IFERROR(INDEX('Semrush Data'!$A$1:$Z$20000,MATCH(A1290,'Semrush Data'!$A$1:$A$20000,0),MATCH("Intent",'Semrush Data'!$A$1:$Z$1,0)),"")</f>
        <v/>
      </c>
    </row>
    <row r="1291" ht="15" customHeight="1" s="37">
      <c r="A1291" s="42" t="inlineStr">
        <is>
          <t>vilvah neem wood comb (with handle) uk</t>
        </is>
      </c>
      <c r="B1291" s="42" t="inlineStr">
        <is>
          <t>Product + UK</t>
        </is>
      </c>
      <c r="C1291" s="42" t="n">
        <v>2</v>
      </c>
      <c r="D1291" s="42" t="n">
        <v>13</v>
      </c>
      <c r="E1291" s="42" t="n">
        <v>1</v>
      </c>
      <c r="F1291" s="42" t="inlineStr">
        <is>
          <t>VD-041</t>
        </is>
      </c>
      <c r="G1291" s="55">
        <f>IFERROR(INDEX('Semrush Data'!$A$1:$Z$20000,MATCH(A1291,'Semrush Data'!$A$1:$A$20000,0),MATCH("Volume",'Semrush Data'!$A$1:$Z$1,0)),"")</f>
        <v/>
      </c>
      <c r="H1291" s="42">
        <f>IFERROR(INDEX('Semrush Data'!$A$1:$Z$20000,MATCH(A1291,'Semrush Data'!$A$1:$A$20000,0),MATCH("Keyword Difficulty*",'Semrush Data'!$A$1:$Z$1,0)),"")</f>
        <v/>
      </c>
      <c r="I1291" s="56">
        <f>IFERROR(INDEX('Semrush Data'!$A$1:$Z$20000,MATCH(A1291,'Semrush Data'!$A$1:$A$20000,0),MATCH("CPC*",'Semrush Data'!$A$1:$Z$1,0)),"")</f>
        <v/>
      </c>
      <c r="J1291" s="42">
        <f>IFERROR(INDEX('Semrush Data'!$A$1:$Z$20000,MATCH(A1291,'Semrush Data'!$A$1:$A$20000,0),MATCH("Intent",'Semrush Data'!$A$1:$Z$1,0)),"")</f>
        <v/>
      </c>
    </row>
    <row r="1292" ht="15" customHeight="1" s="37">
      <c r="A1292" s="42" t="inlineStr">
        <is>
          <t>vilvah neem wood comb(fine and wide tooth) uk</t>
        </is>
      </c>
      <c r="B1292" s="42" t="inlineStr">
        <is>
          <t>Product + UK</t>
        </is>
      </c>
      <c r="C1292" s="42" t="n">
        <v>2</v>
      </c>
      <c r="D1292" s="42" t="n">
        <v>13</v>
      </c>
      <c r="E1292" s="42" t="n">
        <v>1</v>
      </c>
      <c r="F1292" s="42" t="inlineStr">
        <is>
          <t>VD-042</t>
        </is>
      </c>
      <c r="G1292" s="55">
        <f>IFERROR(INDEX('Semrush Data'!$A$1:$Z$20000,MATCH(A1292,'Semrush Data'!$A$1:$A$20000,0),MATCH("Volume",'Semrush Data'!$A$1:$Z$1,0)),"")</f>
        <v/>
      </c>
      <c r="H1292" s="42">
        <f>IFERROR(INDEX('Semrush Data'!$A$1:$Z$20000,MATCH(A1292,'Semrush Data'!$A$1:$A$20000,0),MATCH("Keyword Difficulty*",'Semrush Data'!$A$1:$Z$1,0)),"")</f>
        <v/>
      </c>
      <c r="I1292" s="56">
        <f>IFERROR(INDEX('Semrush Data'!$A$1:$Z$20000,MATCH(A1292,'Semrush Data'!$A$1:$A$20000,0),MATCH("CPC*",'Semrush Data'!$A$1:$Z$1,0)),"")</f>
        <v/>
      </c>
      <c r="J1292" s="42">
        <f>IFERROR(INDEX('Semrush Data'!$A$1:$Z$20000,MATCH(A1292,'Semrush Data'!$A$1:$A$20000,0),MATCH("Intent",'Semrush Data'!$A$1:$Z$1,0)),"")</f>
        <v/>
      </c>
    </row>
    <row r="1293" ht="15" customHeight="1" s="37">
      <c r="A1293" s="42" t="inlineStr">
        <is>
          <t>vilvah night repair kit uk</t>
        </is>
      </c>
      <c r="B1293" s="42" t="inlineStr">
        <is>
          <t>Product + UK</t>
        </is>
      </c>
      <c r="C1293" s="42" t="n">
        <v>2</v>
      </c>
      <c r="D1293" s="42" t="n">
        <v>13</v>
      </c>
      <c r="E1293" s="42" t="n">
        <v>1</v>
      </c>
      <c r="F1293" s="42" t="inlineStr">
        <is>
          <t>VD-056</t>
        </is>
      </c>
      <c r="G1293" s="55">
        <f>IFERROR(INDEX('Semrush Data'!$A$1:$Z$20000,MATCH(A1293,'Semrush Data'!$A$1:$A$20000,0),MATCH("Volume",'Semrush Data'!$A$1:$Z$1,0)),"")</f>
        <v/>
      </c>
      <c r="H1293" s="42">
        <f>IFERROR(INDEX('Semrush Data'!$A$1:$Z$20000,MATCH(A1293,'Semrush Data'!$A$1:$A$20000,0),MATCH("Keyword Difficulty*",'Semrush Data'!$A$1:$Z$1,0)),"")</f>
        <v/>
      </c>
      <c r="I1293" s="56">
        <f>IFERROR(INDEX('Semrush Data'!$A$1:$Z$20000,MATCH(A1293,'Semrush Data'!$A$1:$A$20000,0),MATCH("CPC*",'Semrush Data'!$A$1:$Z$1,0)),"")</f>
        <v/>
      </c>
      <c r="J1293" s="42">
        <f>IFERROR(INDEX('Semrush Data'!$A$1:$Z$20000,MATCH(A1293,'Semrush Data'!$A$1:$A$20000,0),MATCH("Intent",'Semrush Data'!$A$1:$Z$1,0)),"")</f>
        <v/>
      </c>
    </row>
    <row r="1294" ht="15" customHeight="1" s="37">
      <c r="A1294" s="42" t="inlineStr">
        <is>
          <t>vilvah oil control kit uk</t>
        </is>
      </c>
      <c r="B1294" s="42" t="inlineStr">
        <is>
          <t>Product + UK</t>
        </is>
      </c>
      <c r="C1294" s="42" t="n">
        <v>2</v>
      </c>
      <c r="D1294" s="42" t="n">
        <v>13</v>
      </c>
      <c r="E1294" s="42" t="n">
        <v>1</v>
      </c>
      <c r="F1294" s="42" t="inlineStr">
        <is>
          <t>VD-050</t>
        </is>
      </c>
      <c r="G1294" s="55">
        <f>IFERROR(INDEX('Semrush Data'!$A$1:$Z$20000,MATCH(A1294,'Semrush Data'!$A$1:$A$20000,0),MATCH("Volume",'Semrush Data'!$A$1:$Z$1,0)),"")</f>
        <v/>
      </c>
      <c r="H1294" s="42">
        <f>IFERROR(INDEX('Semrush Data'!$A$1:$Z$20000,MATCH(A1294,'Semrush Data'!$A$1:$A$20000,0),MATCH("Keyword Difficulty*",'Semrush Data'!$A$1:$Z$1,0)),"")</f>
        <v/>
      </c>
      <c r="I1294" s="56">
        <f>IFERROR(INDEX('Semrush Data'!$A$1:$Z$20000,MATCH(A1294,'Semrush Data'!$A$1:$A$20000,0),MATCH("CPC*",'Semrush Data'!$A$1:$Z$1,0)),"")</f>
        <v/>
      </c>
      <c r="J1294" s="42">
        <f>IFERROR(INDEX('Semrush Data'!$A$1:$Z$20000,MATCH(A1294,'Semrush Data'!$A$1:$A$20000,0),MATCH("Intent",'Semrush Data'!$A$1:$Z$1,0)),"")</f>
        <v/>
      </c>
    </row>
    <row r="1295" ht="15" customHeight="1" s="37">
      <c r="A1295" s="42" t="inlineStr">
        <is>
          <t>vilvah pore minimising kit uk</t>
        </is>
      </c>
      <c r="B1295" s="42" t="inlineStr">
        <is>
          <t>Product + UK</t>
        </is>
      </c>
      <c r="C1295" s="42" t="n">
        <v>2</v>
      </c>
      <c r="D1295" s="42" t="n">
        <v>13</v>
      </c>
      <c r="E1295" s="42" t="n">
        <v>1</v>
      </c>
      <c r="F1295" s="42" t="inlineStr">
        <is>
          <t>VD-062</t>
        </is>
      </c>
      <c r="G1295" s="55">
        <f>IFERROR(INDEX('Semrush Data'!$A$1:$Z$20000,MATCH(A1295,'Semrush Data'!$A$1:$A$20000,0),MATCH("Volume",'Semrush Data'!$A$1:$Z$1,0)),"")</f>
        <v/>
      </c>
      <c r="H1295" s="42">
        <f>IFERROR(INDEX('Semrush Data'!$A$1:$Z$20000,MATCH(A1295,'Semrush Data'!$A$1:$A$20000,0),MATCH("Keyword Difficulty*",'Semrush Data'!$A$1:$Z$1,0)),"")</f>
        <v/>
      </c>
      <c r="I1295" s="56">
        <f>IFERROR(INDEX('Semrush Data'!$A$1:$Z$20000,MATCH(A1295,'Semrush Data'!$A$1:$A$20000,0),MATCH("CPC*",'Semrush Data'!$A$1:$Z$1,0)),"")</f>
        <v/>
      </c>
      <c r="J1295" s="42">
        <f>IFERROR(INDEX('Semrush Data'!$A$1:$Z$20000,MATCH(A1295,'Semrush Data'!$A$1:$A$20000,0),MATCH("Intent",'Semrush Data'!$A$1:$Z$1,0)),"")</f>
        <v/>
      </c>
    </row>
    <row r="1296" ht="15" customHeight="1" s="37">
      <c r="A1296" s="42" t="inlineStr">
        <is>
          <t>vilvah rose milk lip balm uk</t>
        </is>
      </c>
      <c r="B1296" s="42" t="inlineStr">
        <is>
          <t>Product + UK</t>
        </is>
      </c>
      <c r="C1296" s="42" t="n">
        <v>2</v>
      </c>
      <c r="D1296" s="42" t="n">
        <v>13</v>
      </c>
      <c r="E1296" s="42" t="n">
        <v>1</v>
      </c>
      <c r="F1296" s="42" t="inlineStr">
        <is>
          <t>VD-010</t>
        </is>
      </c>
      <c r="G1296" s="55">
        <f>IFERROR(INDEX('Semrush Data'!$A$1:$Z$20000,MATCH(A1296,'Semrush Data'!$A$1:$A$20000,0),MATCH("Volume",'Semrush Data'!$A$1:$Z$1,0)),"")</f>
        <v/>
      </c>
      <c r="H1296" s="42">
        <f>IFERROR(INDEX('Semrush Data'!$A$1:$Z$20000,MATCH(A1296,'Semrush Data'!$A$1:$A$20000,0),MATCH("Keyword Difficulty*",'Semrush Data'!$A$1:$Z$1,0)),"")</f>
        <v/>
      </c>
      <c r="I1296" s="56">
        <f>IFERROR(INDEX('Semrush Data'!$A$1:$Z$20000,MATCH(A1296,'Semrush Data'!$A$1:$A$20000,0),MATCH("CPC*",'Semrush Data'!$A$1:$Z$1,0)),"")</f>
        <v/>
      </c>
      <c r="J1296" s="42">
        <f>IFERROR(INDEX('Semrush Data'!$A$1:$Z$20000,MATCH(A1296,'Semrush Data'!$A$1:$A$20000,0),MATCH("Intent",'Semrush Data'!$A$1:$Z$1,0)),"")</f>
        <v/>
      </c>
    </row>
    <row r="1297" ht="15" customHeight="1" s="37">
      <c r="A1297" s="42" t="inlineStr">
        <is>
          <t>vilvah rosewater facial toner uk</t>
        </is>
      </c>
      <c r="B1297" s="42" t="inlineStr">
        <is>
          <t>Product + UK</t>
        </is>
      </c>
      <c r="C1297" s="42" t="n">
        <v>2</v>
      </c>
      <c r="D1297" s="42" t="n">
        <v>13</v>
      </c>
      <c r="E1297" s="42" t="n">
        <v>1</v>
      </c>
      <c r="F1297" s="42" t="inlineStr">
        <is>
          <t>VD-001</t>
        </is>
      </c>
      <c r="G1297" s="55">
        <f>IFERROR(INDEX('Semrush Data'!$A$1:$Z$20000,MATCH(A1297,'Semrush Data'!$A$1:$A$20000,0),MATCH("Volume",'Semrush Data'!$A$1:$Z$1,0)),"")</f>
        <v/>
      </c>
      <c r="H1297" s="42">
        <f>IFERROR(INDEX('Semrush Data'!$A$1:$Z$20000,MATCH(A1297,'Semrush Data'!$A$1:$A$20000,0),MATCH("Keyword Difficulty*",'Semrush Data'!$A$1:$Z$1,0)),"")</f>
        <v/>
      </c>
      <c r="I1297" s="56">
        <f>IFERROR(INDEX('Semrush Data'!$A$1:$Z$20000,MATCH(A1297,'Semrush Data'!$A$1:$A$20000,0),MATCH("CPC*",'Semrush Data'!$A$1:$Z$1,0)),"")</f>
        <v/>
      </c>
      <c r="J1297" s="42">
        <f>IFERROR(INDEX('Semrush Data'!$A$1:$Z$20000,MATCH(A1297,'Semrush Data'!$A$1:$A$20000,0),MATCH("Intent",'Semrush Data'!$A$1:$Z$1,0)),"")</f>
        <v/>
      </c>
    </row>
    <row r="1298" ht="15" customHeight="1" s="37">
      <c r="A1298" s="42" t="inlineStr">
        <is>
          <t>vilvah sensitive skin kit uk</t>
        </is>
      </c>
      <c r="B1298" s="42" t="inlineStr">
        <is>
          <t>Product + UK</t>
        </is>
      </c>
      <c r="C1298" s="42" t="n">
        <v>2</v>
      </c>
      <c r="D1298" s="42" t="n">
        <v>13</v>
      </c>
      <c r="E1298" s="42" t="n">
        <v>1</v>
      </c>
      <c r="F1298" s="42" t="inlineStr">
        <is>
          <t>VD-051</t>
        </is>
      </c>
      <c r="G1298" s="55">
        <f>IFERROR(INDEX('Semrush Data'!$A$1:$Z$20000,MATCH(A1298,'Semrush Data'!$A$1:$A$20000,0),MATCH("Volume",'Semrush Data'!$A$1:$Z$1,0)),"")</f>
        <v/>
      </c>
      <c r="H1298" s="42">
        <f>IFERROR(INDEX('Semrush Data'!$A$1:$Z$20000,MATCH(A1298,'Semrush Data'!$A$1:$A$20000,0),MATCH("Keyword Difficulty*",'Semrush Data'!$A$1:$Z$1,0)),"")</f>
        <v/>
      </c>
      <c r="I1298" s="56">
        <f>IFERROR(INDEX('Semrush Data'!$A$1:$Z$20000,MATCH(A1298,'Semrush Data'!$A$1:$A$20000,0),MATCH("CPC*",'Semrush Data'!$A$1:$Z$1,0)),"")</f>
        <v/>
      </c>
      <c r="J1298" s="42">
        <f>IFERROR(INDEX('Semrush Data'!$A$1:$Z$20000,MATCH(A1298,'Semrush Data'!$A$1:$A$20000,0),MATCH("Intent",'Semrush Data'!$A$1:$Z$1,0)),"")</f>
        <v/>
      </c>
    </row>
    <row r="1299" ht="15" customHeight="1" s="37">
      <c r="A1299" s="42" t="inlineStr">
        <is>
          <t>vilvah shampoo and hair serum kit uk</t>
        </is>
      </c>
      <c r="B1299" s="42" t="inlineStr">
        <is>
          <t>Product + UK</t>
        </is>
      </c>
      <c r="C1299" s="42" t="n">
        <v>2</v>
      </c>
      <c r="D1299" s="42" t="n">
        <v>13</v>
      </c>
      <c r="E1299" s="42" t="n">
        <v>1</v>
      </c>
      <c r="F1299" s="42" t="inlineStr">
        <is>
          <t>VD-071</t>
        </is>
      </c>
      <c r="G1299" s="55">
        <f>IFERROR(INDEX('Semrush Data'!$A$1:$Z$20000,MATCH(A1299,'Semrush Data'!$A$1:$A$20000,0),MATCH("Volume",'Semrush Data'!$A$1:$Z$1,0)),"")</f>
        <v/>
      </c>
      <c r="H1299" s="42">
        <f>IFERROR(INDEX('Semrush Data'!$A$1:$Z$20000,MATCH(A1299,'Semrush Data'!$A$1:$A$20000,0),MATCH("Keyword Difficulty*",'Semrush Data'!$A$1:$Z$1,0)),"")</f>
        <v/>
      </c>
      <c r="I1299" s="56">
        <f>IFERROR(INDEX('Semrush Data'!$A$1:$Z$20000,MATCH(A1299,'Semrush Data'!$A$1:$A$20000,0),MATCH("CPC*",'Semrush Data'!$A$1:$Z$1,0)),"")</f>
        <v/>
      </c>
      <c r="J1299" s="42">
        <f>IFERROR(INDEX('Semrush Data'!$A$1:$Z$20000,MATCH(A1299,'Semrush Data'!$A$1:$A$20000,0),MATCH("Intent",'Semrush Data'!$A$1:$Z$1,0)),"")</f>
        <v/>
      </c>
    </row>
    <row r="1300" ht="15" customHeight="1" s="37">
      <c r="A1300" s="42" t="inlineStr">
        <is>
          <t>vilvah skin brightening kit uk</t>
        </is>
      </c>
      <c r="B1300" s="42" t="inlineStr">
        <is>
          <t>Product + UK</t>
        </is>
      </c>
      <c r="C1300" s="42" t="n">
        <v>2</v>
      </c>
      <c r="D1300" s="42" t="n">
        <v>13</v>
      </c>
      <c r="E1300" s="42" t="n">
        <v>1</v>
      </c>
      <c r="F1300" s="42" t="inlineStr">
        <is>
          <t>VD-055</t>
        </is>
      </c>
      <c r="G1300" s="55">
        <f>IFERROR(INDEX('Semrush Data'!$A$1:$Z$20000,MATCH(A1300,'Semrush Data'!$A$1:$A$20000,0),MATCH("Volume",'Semrush Data'!$A$1:$Z$1,0)),"")</f>
        <v/>
      </c>
      <c r="H1300" s="42">
        <f>IFERROR(INDEX('Semrush Data'!$A$1:$Z$20000,MATCH(A1300,'Semrush Data'!$A$1:$A$20000,0),MATCH("Keyword Difficulty*",'Semrush Data'!$A$1:$Z$1,0)),"")</f>
        <v/>
      </c>
      <c r="I1300" s="56">
        <f>IFERROR(INDEX('Semrush Data'!$A$1:$Z$20000,MATCH(A1300,'Semrush Data'!$A$1:$A$20000,0),MATCH("CPC*",'Semrush Data'!$A$1:$Z$1,0)),"")</f>
        <v/>
      </c>
      <c r="J1300" s="42">
        <f>IFERROR(INDEX('Semrush Data'!$A$1:$Z$20000,MATCH(A1300,'Semrush Data'!$A$1:$A$20000,0),MATCH("Intent",'Semrush Data'!$A$1:$Z$1,0)),"")</f>
        <v/>
      </c>
    </row>
    <row r="1301" ht="15" customHeight="1" s="37">
      <c r="A1301" s="42" t="inlineStr">
        <is>
          <t>vilvah skin finish sunscreen spf 50 uk</t>
        </is>
      </c>
      <c r="B1301" s="42" t="inlineStr">
        <is>
          <t>Product + UK</t>
        </is>
      </c>
      <c r="C1301" s="42" t="n">
        <v>2</v>
      </c>
      <c r="D1301" s="42" t="n">
        <v>13</v>
      </c>
      <c r="E1301" s="42" t="n">
        <v>1</v>
      </c>
      <c r="F1301" s="42" t="inlineStr">
        <is>
          <t>VD-005</t>
        </is>
      </c>
      <c r="G1301" s="55">
        <f>IFERROR(INDEX('Semrush Data'!$A$1:$Z$20000,MATCH(A1301,'Semrush Data'!$A$1:$A$20000,0),MATCH("Volume",'Semrush Data'!$A$1:$Z$1,0)),"")</f>
        <v/>
      </c>
      <c r="H1301" s="42">
        <f>IFERROR(INDEX('Semrush Data'!$A$1:$Z$20000,MATCH(A1301,'Semrush Data'!$A$1:$A$20000,0),MATCH("Keyword Difficulty*",'Semrush Data'!$A$1:$Z$1,0)),"")</f>
        <v/>
      </c>
      <c r="I1301" s="56">
        <f>IFERROR(INDEX('Semrush Data'!$A$1:$Z$20000,MATCH(A1301,'Semrush Data'!$A$1:$A$20000,0),MATCH("CPC*",'Semrush Data'!$A$1:$Z$1,0)),"")</f>
        <v/>
      </c>
      <c r="J1301" s="42">
        <f>IFERROR(INDEX('Semrush Data'!$A$1:$Z$20000,MATCH(A1301,'Semrush Data'!$A$1:$A$20000,0),MATCH("Intent",'Semrush Data'!$A$1:$Z$1,0)),"")</f>
        <v/>
      </c>
    </row>
    <row r="1302" ht="15" customHeight="1" s="37">
      <c r="A1302" s="42" t="inlineStr">
        <is>
          <t>vilvah skin hydration kit uk</t>
        </is>
      </c>
      <c r="B1302" s="42" t="inlineStr">
        <is>
          <t>Product + UK</t>
        </is>
      </c>
      <c r="C1302" s="42" t="n">
        <v>2</v>
      </c>
      <c r="D1302" s="42" t="n">
        <v>14</v>
      </c>
      <c r="E1302" s="42" t="n">
        <v>1</v>
      </c>
      <c r="F1302" s="42" t="inlineStr">
        <is>
          <t>VD-074</t>
        </is>
      </c>
      <c r="G1302" s="55">
        <f>IFERROR(INDEX('Semrush Data'!$A$1:$Z$20000,MATCH(A1302,'Semrush Data'!$A$1:$A$20000,0),MATCH("Volume",'Semrush Data'!$A$1:$Z$1,0)),"")</f>
        <v/>
      </c>
      <c r="H1302" s="42">
        <f>IFERROR(INDEX('Semrush Data'!$A$1:$Z$20000,MATCH(A1302,'Semrush Data'!$A$1:$A$20000,0),MATCH("Keyword Difficulty*",'Semrush Data'!$A$1:$Z$1,0)),"")</f>
        <v/>
      </c>
      <c r="I1302" s="56">
        <f>IFERROR(INDEX('Semrush Data'!$A$1:$Z$20000,MATCH(A1302,'Semrush Data'!$A$1:$A$20000,0),MATCH("CPC*",'Semrush Data'!$A$1:$Z$1,0)),"")</f>
        <v/>
      </c>
      <c r="J1302" s="42">
        <f>IFERROR(INDEX('Semrush Data'!$A$1:$Z$20000,MATCH(A1302,'Semrush Data'!$A$1:$A$20000,0),MATCH("Intent",'Semrush Data'!$A$1:$Z$1,0)),"")</f>
        <v/>
      </c>
    </row>
    <row r="1303" ht="15" customHeight="1" s="37">
      <c r="A1303" s="42" t="inlineStr">
        <is>
          <t>vilvah skin radiance kit uk</t>
        </is>
      </c>
      <c r="B1303" s="42" t="inlineStr">
        <is>
          <t>Product + UK</t>
        </is>
      </c>
      <c r="C1303" s="42" t="n">
        <v>2</v>
      </c>
      <c r="D1303" s="42" t="n">
        <v>14</v>
      </c>
      <c r="E1303" s="42" t="n">
        <v>1</v>
      </c>
      <c r="F1303" s="42" t="inlineStr">
        <is>
          <t>VD-061</t>
        </is>
      </c>
      <c r="G1303" s="55">
        <f>IFERROR(INDEX('Semrush Data'!$A$1:$Z$20000,MATCH(A1303,'Semrush Data'!$A$1:$A$20000,0),MATCH("Volume",'Semrush Data'!$A$1:$Z$1,0)),"")</f>
        <v/>
      </c>
      <c r="H1303" s="42">
        <f>IFERROR(INDEX('Semrush Data'!$A$1:$Z$20000,MATCH(A1303,'Semrush Data'!$A$1:$A$20000,0),MATCH("Keyword Difficulty*",'Semrush Data'!$A$1:$Z$1,0)),"")</f>
        <v/>
      </c>
      <c r="I1303" s="56">
        <f>IFERROR(INDEX('Semrush Data'!$A$1:$Z$20000,MATCH(A1303,'Semrush Data'!$A$1:$A$20000,0),MATCH("CPC*",'Semrush Data'!$A$1:$Z$1,0)),"")</f>
        <v/>
      </c>
      <c r="J1303" s="42">
        <f>IFERROR(INDEX('Semrush Data'!$A$1:$Z$20000,MATCH(A1303,'Semrush Data'!$A$1:$A$20000,0),MATCH("Intent",'Semrush Data'!$A$1:$Z$1,0)),"")</f>
        <v/>
      </c>
    </row>
    <row r="1304" ht="15" customHeight="1" s="37">
      <c r="A1304" s="42" t="inlineStr">
        <is>
          <t>vilvah store frizz free hair combo uk</t>
        </is>
      </c>
      <c r="B1304" s="42" t="inlineStr">
        <is>
          <t>Product + UK</t>
        </is>
      </c>
      <c r="C1304" s="42" t="n">
        <v>2</v>
      </c>
      <c r="D1304" s="42" t="n">
        <v>14</v>
      </c>
      <c r="E1304" s="42" t="n">
        <v>1</v>
      </c>
      <c r="F1304" s="42" t="inlineStr">
        <is>
          <t>VD-069</t>
        </is>
      </c>
      <c r="G1304" s="55">
        <f>IFERROR(INDEX('Semrush Data'!$A$1:$Z$20000,MATCH(A1304,'Semrush Data'!$A$1:$A$20000,0),MATCH("Volume",'Semrush Data'!$A$1:$Z$1,0)),"")</f>
        <v/>
      </c>
      <c r="H1304" s="42">
        <f>IFERROR(INDEX('Semrush Data'!$A$1:$Z$20000,MATCH(A1304,'Semrush Data'!$A$1:$A$20000,0),MATCH("Keyword Difficulty*",'Semrush Data'!$A$1:$Z$1,0)),"")</f>
        <v/>
      </c>
      <c r="I1304" s="56">
        <f>IFERROR(INDEX('Semrush Data'!$A$1:$Z$20000,MATCH(A1304,'Semrush Data'!$A$1:$A$20000,0),MATCH("CPC*",'Semrush Data'!$A$1:$Z$1,0)),"")</f>
        <v/>
      </c>
      <c r="J1304" s="42">
        <f>IFERROR(INDEX('Semrush Data'!$A$1:$Z$20000,MATCH(A1304,'Semrush Data'!$A$1:$A$20000,0),MATCH("Intent",'Semrush Data'!$A$1:$Z$1,0)),"")</f>
        <v/>
      </c>
    </row>
    <row r="1305" ht="15" customHeight="1" s="37">
      <c r="A1305" s="42" t="inlineStr">
        <is>
          <t>vilvah sun protection kit uk</t>
        </is>
      </c>
      <c r="B1305" s="42" t="inlineStr">
        <is>
          <t>Product + UK</t>
        </is>
      </c>
      <c r="C1305" s="42" t="n">
        <v>2</v>
      </c>
      <c r="D1305" s="42" t="n">
        <v>14</v>
      </c>
      <c r="E1305" s="42" t="n">
        <v>1</v>
      </c>
      <c r="F1305" s="42" t="inlineStr">
        <is>
          <t>VD-054</t>
        </is>
      </c>
      <c r="G1305" s="55">
        <f>IFERROR(INDEX('Semrush Data'!$A$1:$Z$20000,MATCH(A1305,'Semrush Data'!$A$1:$A$20000,0),MATCH("Volume",'Semrush Data'!$A$1:$Z$1,0)),"")</f>
        <v/>
      </c>
      <c r="H1305" s="42">
        <f>IFERROR(INDEX('Semrush Data'!$A$1:$Z$20000,MATCH(A1305,'Semrush Data'!$A$1:$A$20000,0),MATCH("Keyword Difficulty*",'Semrush Data'!$A$1:$Z$1,0)),"")</f>
        <v/>
      </c>
      <c r="I1305" s="56">
        <f>IFERROR(INDEX('Semrush Data'!$A$1:$Z$20000,MATCH(A1305,'Semrush Data'!$A$1:$A$20000,0),MATCH("CPC*",'Semrush Data'!$A$1:$Z$1,0)),"")</f>
        <v/>
      </c>
      <c r="J1305" s="42">
        <f>IFERROR(INDEX('Semrush Data'!$A$1:$Z$20000,MATCH(A1305,'Semrush Data'!$A$1:$A$20000,0),MATCH("Intent",'Semrush Data'!$A$1:$Z$1,0)),"")</f>
        <v/>
      </c>
    </row>
    <row r="1306" ht="15" customHeight="1" s="37">
      <c r="A1306" s="42" t="inlineStr">
        <is>
          <t>vilvah tan protection kit uk</t>
        </is>
      </c>
      <c r="B1306" s="42" t="inlineStr">
        <is>
          <t>Product + UK</t>
        </is>
      </c>
      <c r="C1306" s="42" t="n">
        <v>2</v>
      </c>
      <c r="D1306" s="42" t="n">
        <v>14</v>
      </c>
      <c r="E1306" s="42" t="n">
        <v>1</v>
      </c>
      <c r="F1306" s="42" t="inlineStr">
        <is>
          <t>VD-060</t>
        </is>
      </c>
      <c r="G1306" s="55">
        <f>IFERROR(INDEX('Semrush Data'!$A$1:$Z$20000,MATCH(A1306,'Semrush Data'!$A$1:$A$20000,0),MATCH("Volume",'Semrush Data'!$A$1:$Z$1,0)),"")</f>
        <v/>
      </c>
      <c r="H1306" s="42">
        <f>IFERROR(INDEX('Semrush Data'!$A$1:$Z$20000,MATCH(A1306,'Semrush Data'!$A$1:$A$20000,0),MATCH("Keyword Difficulty*",'Semrush Data'!$A$1:$Z$1,0)),"")</f>
        <v/>
      </c>
      <c r="I1306" s="56">
        <f>IFERROR(INDEX('Semrush Data'!$A$1:$Z$20000,MATCH(A1306,'Semrush Data'!$A$1:$A$20000,0),MATCH("CPC*",'Semrush Data'!$A$1:$Z$1,0)),"")</f>
        <v/>
      </c>
      <c r="J1306" s="42">
        <f>IFERROR(INDEX('Semrush Data'!$A$1:$Z$20000,MATCH(A1306,'Semrush Data'!$A$1:$A$20000,0),MATCH("Intent",'Semrush Data'!$A$1:$Z$1,0)),"")</f>
        <v/>
      </c>
    </row>
    <row r="1307" ht="15" customHeight="1" s="37">
      <c r="A1307" s="42" t="inlineStr">
        <is>
          <t>vilvah tinted lip balm kit uk</t>
        </is>
      </c>
      <c r="B1307" s="42" t="inlineStr">
        <is>
          <t>Product + UK</t>
        </is>
      </c>
      <c r="C1307" s="42" t="n">
        <v>2</v>
      </c>
      <c r="D1307" s="42" t="n">
        <v>14</v>
      </c>
      <c r="E1307" s="42" t="n">
        <v>1</v>
      </c>
      <c r="F1307" s="42" t="inlineStr">
        <is>
          <t>VD-068</t>
        </is>
      </c>
      <c r="G1307" s="55">
        <f>IFERROR(INDEX('Semrush Data'!$A$1:$Z$20000,MATCH(A1307,'Semrush Data'!$A$1:$A$20000,0),MATCH("Volume",'Semrush Data'!$A$1:$Z$1,0)),"")</f>
        <v/>
      </c>
      <c r="H1307" s="42">
        <f>IFERROR(INDEX('Semrush Data'!$A$1:$Z$20000,MATCH(A1307,'Semrush Data'!$A$1:$A$20000,0),MATCH("Keyword Difficulty*",'Semrush Data'!$A$1:$Z$1,0)),"")</f>
        <v/>
      </c>
      <c r="I1307" s="56">
        <f>IFERROR(INDEX('Semrush Data'!$A$1:$Z$20000,MATCH(A1307,'Semrush Data'!$A$1:$A$20000,0),MATCH("CPC*",'Semrush Data'!$A$1:$Z$1,0)),"")</f>
        <v/>
      </c>
      <c r="J1307" s="42">
        <f>IFERROR(INDEX('Semrush Data'!$A$1:$Z$20000,MATCH(A1307,'Semrush Data'!$A$1:$A$20000,0),MATCH("Intent",'Semrush Data'!$A$1:$Z$1,0)),"")</f>
        <v/>
      </c>
    </row>
    <row r="1308" ht="15" customHeight="1" s="37">
      <c r="A1308" s="42" t="inlineStr">
        <is>
          <t>vilvah ultra moisturising cream uk</t>
        </is>
      </c>
      <c r="B1308" s="42" t="inlineStr">
        <is>
          <t>Product + UK</t>
        </is>
      </c>
      <c r="C1308" s="42" t="n">
        <v>2</v>
      </c>
      <c r="D1308" s="42" t="n">
        <v>14</v>
      </c>
      <c r="E1308" s="42" t="n">
        <v>1</v>
      </c>
      <c r="F1308" s="42" t="inlineStr">
        <is>
          <t>VD-007</t>
        </is>
      </c>
      <c r="G1308" s="55">
        <f>IFERROR(INDEX('Semrush Data'!$A$1:$Z$20000,MATCH(A1308,'Semrush Data'!$A$1:$A$20000,0),MATCH("Volume",'Semrush Data'!$A$1:$Z$1,0)),"")</f>
        <v/>
      </c>
      <c r="H1308" s="42">
        <f>IFERROR(INDEX('Semrush Data'!$A$1:$Z$20000,MATCH(A1308,'Semrush Data'!$A$1:$A$20000,0),MATCH("Keyword Difficulty*",'Semrush Data'!$A$1:$Z$1,0)),"")</f>
        <v/>
      </c>
      <c r="I1308" s="56">
        <f>IFERROR(INDEX('Semrush Data'!$A$1:$Z$20000,MATCH(A1308,'Semrush Data'!$A$1:$A$20000,0),MATCH("CPC*",'Semrush Data'!$A$1:$Z$1,0)),"")</f>
        <v/>
      </c>
      <c r="J1308" s="42">
        <f>IFERROR(INDEX('Semrush Data'!$A$1:$Z$20000,MATCH(A1308,'Semrush Data'!$A$1:$A$20000,0),MATCH("Intent",'Semrush Data'!$A$1:$Z$1,0)),"")</f>
        <v/>
      </c>
    </row>
    <row r="1309" ht="15" customHeight="1" s="37">
      <c r="A1309" s="42" t="inlineStr">
        <is>
          <t>vilvah under eye cream (dark circles control) uk</t>
        </is>
      </c>
      <c r="B1309" s="42" t="inlineStr">
        <is>
          <t>Product + UK</t>
        </is>
      </c>
      <c r="C1309" s="42" t="n">
        <v>2</v>
      </c>
      <c r="D1309" s="42" t="n">
        <v>14</v>
      </c>
      <c r="E1309" s="42" t="n">
        <v>1</v>
      </c>
      <c r="F1309" s="42" t="inlineStr">
        <is>
          <t>VD-043</t>
        </is>
      </c>
      <c r="G1309" s="55">
        <f>IFERROR(INDEX('Semrush Data'!$A$1:$Z$20000,MATCH(A1309,'Semrush Data'!$A$1:$A$20000,0),MATCH("Volume",'Semrush Data'!$A$1:$Z$1,0)),"")</f>
        <v/>
      </c>
      <c r="H1309" s="42">
        <f>IFERROR(INDEX('Semrush Data'!$A$1:$Z$20000,MATCH(A1309,'Semrush Data'!$A$1:$A$20000,0),MATCH("Keyword Difficulty*",'Semrush Data'!$A$1:$Z$1,0)),"")</f>
        <v/>
      </c>
      <c r="I1309" s="56">
        <f>IFERROR(INDEX('Semrush Data'!$A$1:$Z$20000,MATCH(A1309,'Semrush Data'!$A$1:$A$20000,0),MATCH("CPC*",'Semrush Data'!$A$1:$Z$1,0)),"")</f>
        <v/>
      </c>
      <c r="J1309" s="42">
        <f>IFERROR(INDEX('Semrush Data'!$A$1:$Z$20000,MATCH(A1309,'Semrush Data'!$A$1:$A$20000,0),MATCH("Intent",'Semrush Data'!$A$1:$Z$1,0)),"")</f>
        <v/>
      </c>
    </row>
    <row r="1310" ht="15" customHeight="1" s="37">
      <c r="A1310" s="42" t="inlineStr">
        <is>
          <t>vilvah wild rose facemask uk</t>
        </is>
      </c>
      <c r="B1310" s="42" t="inlineStr">
        <is>
          <t>Product + UK</t>
        </is>
      </c>
      <c r="C1310" s="42" t="n">
        <v>2</v>
      </c>
      <c r="D1310" s="42" t="n">
        <v>14</v>
      </c>
      <c r="E1310" s="42" t="n">
        <v>1</v>
      </c>
      <c r="F1310" s="42" t="inlineStr">
        <is>
          <t>VD-019</t>
        </is>
      </c>
      <c r="G1310" s="55">
        <f>IFERROR(INDEX('Semrush Data'!$A$1:$Z$20000,MATCH(A1310,'Semrush Data'!$A$1:$A$20000,0),MATCH("Volume",'Semrush Data'!$A$1:$Z$1,0)),"")</f>
        <v/>
      </c>
      <c r="H1310" s="42">
        <f>IFERROR(INDEX('Semrush Data'!$A$1:$Z$20000,MATCH(A1310,'Semrush Data'!$A$1:$A$20000,0),MATCH("Keyword Difficulty*",'Semrush Data'!$A$1:$Z$1,0)),"")</f>
        <v/>
      </c>
      <c r="I1310" s="56">
        <f>IFERROR(INDEX('Semrush Data'!$A$1:$Z$20000,MATCH(A1310,'Semrush Data'!$A$1:$A$20000,0),MATCH("CPC*",'Semrush Data'!$A$1:$Z$1,0)),"")</f>
        <v/>
      </c>
      <c r="J1310" s="42">
        <f>IFERROR(INDEX('Semrush Data'!$A$1:$Z$20000,MATCH(A1310,'Semrush Data'!$A$1:$A$20000,0),MATCH("Intent",'Semrush Data'!$A$1:$Z$1,0)),"")</f>
        <v/>
      </c>
    </row>
    <row r="1311" ht="15" customHeight="1" s="37">
      <c r="A1311" s="42" t="inlineStr">
        <is>
          <t>vilvah x annapoorna gift box uk</t>
        </is>
      </c>
      <c r="B1311" s="42" t="inlineStr">
        <is>
          <t>Product + UK</t>
        </is>
      </c>
      <c r="C1311" s="42" t="n">
        <v>2</v>
      </c>
      <c r="D1311" s="42" t="n">
        <v>14</v>
      </c>
      <c r="E1311" s="42" t="n">
        <v>1</v>
      </c>
      <c r="F1311" s="42" t="inlineStr">
        <is>
          <t>VD-067</t>
        </is>
      </c>
      <c r="G1311" s="55">
        <f>IFERROR(INDEX('Semrush Data'!$A$1:$Z$20000,MATCH(A1311,'Semrush Data'!$A$1:$A$20000,0),MATCH("Volume",'Semrush Data'!$A$1:$Z$1,0)),"")</f>
        <v/>
      </c>
      <c r="H1311" s="42">
        <f>IFERROR(INDEX('Semrush Data'!$A$1:$Z$20000,MATCH(A1311,'Semrush Data'!$A$1:$A$20000,0),MATCH("Keyword Difficulty*",'Semrush Data'!$A$1:$Z$1,0)),"")</f>
        <v/>
      </c>
      <c r="I1311" s="56">
        <f>IFERROR(INDEX('Semrush Data'!$A$1:$Z$20000,MATCH(A1311,'Semrush Data'!$A$1:$A$20000,0),MATCH("CPC*",'Semrush Data'!$A$1:$Z$1,0)),"")</f>
        <v/>
      </c>
      <c r="J1311" s="42">
        <f>IFERROR(INDEX('Semrush Data'!$A$1:$Z$20000,MATCH(A1311,'Semrush Data'!$A$1:$A$20000,0),MATCH("Intent",'Semrush Data'!$A$1:$Z$1,0)),"")</f>
        <v/>
      </c>
    </row>
    <row r="1312" ht="15" customHeight="1" s="37">
      <c r="A1312" s="42" t="inlineStr">
        <is>
          <t>ysl yves saint laurent yvresse w uk</t>
        </is>
      </c>
      <c r="B1312" s="42" t="inlineStr">
        <is>
          <t>Product + UK</t>
        </is>
      </c>
      <c r="C1312" s="42" t="n">
        <v>2</v>
      </c>
      <c r="D1312" s="42" t="n">
        <v>14</v>
      </c>
      <c r="E1312" s="42" t="n">
        <v>1</v>
      </c>
      <c r="F1312" s="42" t="inlineStr">
        <is>
          <t>FR-387</t>
        </is>
      </c>
      <c r="G1312" s="55">
        <f>IFERROR(INDEX('Semrush Data'!$A$1:$Z$20000,MATCH(A1312,'Semrush Data'!$A$1:$A$20000,0),MATCH("Volume",'Semrush Data'!$A$1:$Z$1,0)),"")</f>
        <v/>
      </c>
      <c r="H1312" s="42">
        <f>IFERROR(INDEX('Semrush Data'!$A$1:$Z$20000,MATCH(A1312,'Semrush Data'!$A$1:$A$20000,0),MATCH("Keyword Difficulty*",'Semrush Data'!$A$1:$Z$1,0)),"")</f>
        <v/>
      </c>
      <c r="I1312" s="56">
        <f>IFERROR(INDEX('Semrush Data'!$A$1:$Z$20000,MATCH(A1312,'Semrush Data'!$A$1:$A$20000,0),MATCH("CPC*",'Semrush Data'!$A$1:$Z$1,0)),"")</f>
        <v/>
      </c>
      <c r="J1312" s="42">
        <f>IFERROR(INDEX('Semrush Data'!$A$1:$Z$20000,MATCH(A1312,'Semrush Data'!$A$1:$A$20000,0),MATCH("Intent",'Semrush Data'!$A$1:$Z$1,0)),"")</f>
        <v/>
      </c>
    </row>
    <row r="1313" ht="15" customHeight="1" s="37">
      <c r="A1313" s="42" t="inlineStr">
        <is>
          <t>abercrombie &amp; fitch first instinct together eau de parfum</t>
        </is>
      </c>
      <c r="B1313" s="42" t="inlineStr">
        <is>
          <t>Product + type</t>
        </is>
      </c>
      <c r="C1313" s="42" t="n">
        <v>2</v>
      </c>
      <c r="D1313" s="42" t="n">
        <v>14</v>
      </c>
      <c r="E1313" s="42" t="n">
        <v>1</v>
      </c>
      <c r="F1313" s="42" t="inlineStr">
        <is>
          <t>FR-001</t>
        </is>
      </c>
      <c r="G1313" s="55">
        <f>IFERROR(INDEX('Semrush Data'!$A$1:$Z$20000,MATCH(A1313,'Semrush Data'!$A$1:$A$20000,0),MATCH("Volume",'Semrush Data'!$A$1:$Z$1,0)),"")</f>
        <v/>
      </c>
      <c r="H1313" s="42">
        <f>IFERROR(INDEX('Semrush Data'!$A$1:$Z$20000,MATCH(A1313,'Semrush Data'!$A$1:$A$20000,0),MATCH("Keyword Difficulty*",'Semrush Data'!$A$1:$Z$1,0)),"")</f>
        <v/>
      </c>
      <c r="I1313" s="56">
        <f>IFERROR(INDEX('Semrush Data'!$A$1:$Z$20000,MATCH(A1313,'Semrush Data'!$A$1:$A$20000,0),MATCH("CPC*",'Semrush Data'!$A$1:$Z$1,0)),"")</f>
        <v/>
      </c>
      <c r="J1313" s="42">
        <f>IFERROR(INDEX('Semrush Data'!$A$1:$Z$20000,MATCH(A1313,'Semrush Data'!$A$1:$A$20000,0),MATCH("Intent",'Semrush Data'!$A$1:$Z$1,0)),"")</f>
        <v/>
      </c>
    </row>
    <row r="1314" ht="15" customHeight="1" s="37">
      <c r="A1314" s="42" t="inlineStr">
        <is>
          <t>abercrombie &amp; fitch naturally fierce eau de parfum</t>
        </is>
      </c>
      <c r="B1314" s="42" t="inlineStr">
        <is>
          <t>Product + type</t>
        </is>
      </c>
      <c r="C1314" s="42" t="n">
        <v>2</v>
      </c>
      <c r="D1314" s="42" t="n">
        <v>14</v>
      </c>
      <c r="E1314" s="42" t="n">
        <v>1</v>
      </c>
      <c r="F1314" s="42" t="inlineStr">
        <is>
          <t>FR-002</t>
        </is>
      </c>
      <c r="G1314" s="55">
        <f>IFERROR(INDEX('Semrush Data'!$A$1:$Z$20000,MATCH(A1314,'Semrush Data'!$A$1:$A$20000,0),MATCH("Volume",'Semrush Data'!$A$1:$Z$1,0)),"")</f>
        <v/>
      </c>
      <c r="H1314" s="42">
        <f>IFERROR(INDEX('Semrush Data'!$A$1:$Z$20000,MATCH(A1314,'Semrush Data'!$A$1:$A$20000,0),MATCH("Keyword Difficulty*",'Semrush Data'!$A$1:$Z$1,0)),"")</f>
        <v/>
      </c>
      <c r="I1314" s="56">
        <f>IFERROR(INDEX('Semrush Data'!$A$1:$Z$20000,MATCH(A1314,'Semrush Data'!$A$1:$A$20000,0),MATCH("CPC*",'Semrush Data'!$A$1:$Z$1,0)),"")</f>
        <v/>
      </c>
      <c r="J1314" s="42">
        <f>IFERROR(INDEX('Semrush Data'!$A$1:$Z$20000,MATCH(A1314,'Semrush Data'!$A$1:$A$20000,0),MATCH("Intent",'Semrush Data'!$A$1:$Z$1,0)),"")</f>
        <v/>
      </c>
    </row>
    <row r="1315" ht="15" customHeight="1" s="37">
      <c r="A1315" s="42" t="inlineStr">
        <is>
          <t>acqua di parma colonia pura eau de cologne</t>
        </is>
      </c>
      <c r="B1315" s="42" t="inlineStr">
        <is>
          <t>Product + type</t>
        </is>
      </c>
      <c r="C1315" s="42" t="n">
        <v>2</v>
      </c>
      <c r="D1315" s="42" t="inlineStr">
        <is>
          <t>T2-1</t>
        </is>
      </c>
      <c r="E1315" s="42" t="n">
        <v>1</v>
      </c>
      <c r="F1315" s="42" t="inlineStr">
        <is>
          <t>FR-003</t>
        </is>
      </c>
      <c r="G1315" s="55">
        <f>IFERROR(INDEX('Semrush Data'!$A$1:$Z$20000,MATCH(A1315,'Semrush Data'!$A$1:$A$20000,0),MATCH("Volume",'Semrush Data'!$A$1:$Z$1,0)),"")</f>
        <v/>
      </c>
      <c r="H1315" s="42">
        <f>IFERROR(INDEX('Semrush Data'!$A$1:$Z$20000,MATCH(A1315,'Semrush Data'!$A$1:$A$20000,0),MATCH("Keyword Difficulty*",'Semrush Data'!$A$1:$Z$1,0)),"")</f>
        <v/>
      </c>
      <c r="I1315" s="56">
        <f>IFERROR(INDEX('Semrush Data'!$A$1:$Z$20000,MATCH(A1315,'Semrush Data'!$A$1:$A$20000,0),MATCH("CPC*",'Semrush Data'!$A$1:$Z$1,0)),"")</f>
        <v/>
      </c>
      <c r="J1315" s="42">
        <f>IFERROR(INDEX('Semrush Data'!$A$1:$Z$20000,MATCH(A1315,'Semrush Data'!$A$1:$A$20000,0),MATCH("Intent",'Semrush Data'!$A$1:$Z$1,0)),"")</f>
        <v/>
      </c>
    </row>
    <row r="1316" ht="15" customHeight="1" s="37">
      <c r="A1316" s="42" t="inlineStr">
        <is>
          <t>acqua di parma oud &amp; spice edp</t>
        </is>
      </c>
      <c r="B1316" s="42" t="inlineStr">
        <is>
          <t>Product + type</t>
        </is>
      </c>
      <c r="C1316" s="42" t="n">
        <v>2</v>
      </c>
      <c r="D1316" s="42" t="inlineStr">
        <is>
          <t>T2-2</t>
        </is>
      </c>
      <c r="E1316" s="42" t="n">
        <v>1</v>
      </c>
      <c r="F1316" s="42" t="inlineStr">
        <is>
          <t>FR-005</t>
        </is>
      </c>
      <c r="G1316" s="55">
        <f>IFERROR(INDEX('Semrush Data'!$A$1:$Z$20000,MATCH(A1316,'Semrush Data'!$A$1:$A$20000,0),MATCH("Volume",'Semrush Data'!$A$1:$Z$1,0)),"")</f>
        <v/>
      </c>
      <c r="H1316" s="42">
        <f>IFERROR(INDEX('Semrush Data'!$A$1:$Z$20000,MATCH(A1316,'Semrush Data'!$A$1:$A$20000,0),MATCH("Keyword Difficulty*",'Semrush Data'!$A$1:$Z$1,0)),"")</f>
        <v/>
      </c>
      <c r="I1316" s="56">
        <f>IFERROR(INDEX('Semrush Data'!$A$1:$Z$20000,MATCH(A1316,'Semrush Data'!$A$1:$A$20000,0),MATCH("CPC*",'Semrush Data'!$A$1:$Z$1,0)),"")</f>
        <v/>
      </c>
      <c r="J1316" s="42">
        <f>IFERROR(INDEX('Semrush Data'!$A$1:$Z$20000,MATCH(A1316,'Semrush Data'!$A$1:$A$20000,0),MATCH("Intent",'Semrush Data'!$A$1:$Z$1,0)),"")</f>
        <v/>
      </c>
    </row>
    <row r="1317" ht="15" customHeight="1" s="37">
      <c r="A1317" s="42" t="inlineStr">
        <is>
          <t>acqua di parma rosa nobile edp</t>
        </is>
      </c>
      <c r="B1317" s="42" t="inlineStr">
        <is>
          <t>Product + type</t>
        </is>
      </c>
      <c r="C1317" s="42" t="n">
        <v>2</v>
      </c>
      <c r="D1317" s="42" t="inlineStr">
        <is>
          <t>T2-1</t>
        </is>
      </c>
      <c r="E1317" s="42" t="n">
        <v>1</v>
      </c>
      <c r="F1317" s="42" t="inlineStr">
        <is>
          <t>FR-006</t>
        </is>
      </c>
      <c r="G1317" s="55">
        <f>IFERROR(INDEX('Semrush Data'!$A$1:$Z$20000,MATCH(A1317,'Semrush Data'!$A$1:$A$20000,0),MATCH("Volume",'Semrush Data'!$A$1:$Z$1,0)),"")</f>
        <v/>
      </c>
      <c r="H1317" s="42">
        <f>IFERROR(INDEX('Semrush Data'!$A$1:$Z$20000,MATCH(A1317,'Semrush Data'!$A$1:$A$20000,0),MATCH("Keyword Difficulty*",'Semrush Data'!$A$1:$Z$1,0)),"")</f>
        <v/>
      </c>
      <c r="I1317" s="56">
        <f>IFERROR(INDEX('Semrush Data'!$A$1:$Z$20000,MATCH(A1317,'Semrush Data'!$A$1:$A$20000,0),MATCH("CPC*",'Semrush Data'!$A$1:$Z$1,0)),"")</f>
        <v/>
      </c>
      <c r="J1317" s="42">
        <f>IFERROR(INDEX('Semrush Data'!$A$1:$Z$20000,MATCH(A1317,'Semrush Data'!$A$1:$A$20000,0),MATCH("Intent",'Semrush Data'!$A$1:$Z$1,0)),"")</f>
        <v/>
      </c>
    </row>
    <row r="1318" ht="15" customHeight="1" s="37">
      <c r="A1318" s="42" t="inlineStr">
        <is>
          <t>acqua di parma sakura edp</t>
        </is>
      </c>
      <c r="B1318" s="42" t="inlineStr">
        <is>
          <t>Product + type</t>
        </is>
      </c>
      <c r="C1318" s="42" t="n">
        <v>2</v>
      </c>
      <c r="D1318" s="42" t="inlineStr">
        <is>
          <t>T2-1</t>
        </is>
      </c>
      <c r="E1318" s="42" t="n">
        <v>1</v>
      </c>
      <c r="F1318" s="42" t="inlineStr">
        <is>
          <t>FR-007</t>
        </is>
      </c>
      <c r="G1318" s="55">
        <f>IFERROR(INDEX('Semrush Data'!$A$1:$Z$20000,MATCH(A1318,'Semrush Data'!$A$1:$A$20000,0),MATCH("Volume",'Semrush Data'!$A$1:$Z$1,0)),"")</f>
        <v/>
      </c>
      <c r="H1318" s="42">
        <f>IFERROR(INDEX('Semrush Data'!$A$1:$Z$20000,MATCH(A1318,'Semrush Data'!$A$1:$A$20000,0),MATCH("Keyword Difficulty*",'Semrush Data'!$A$1:$Z$1,0)),"")</f>
        <v/>
      </c>
      <c r="I1318" s="56">
        <f>IFERROR(INDEX('Semrush Data'!$A$1:$Z$20000,MATCH(A1318,'Semrush Data'!$A$1:$A$20000,0),MATCH("CPC*",'Semrush Data'!$A$1:$Z$1,0)),"")</f>
        <v/>
      </c>
      <c r="J1318" s="42">
        <f>IFERROR(INDEX('Semrush Data'!$A$1:$Z$20000,MATCH(A1318,'Semrush Data'!$A$1:$A$20000,0),MATCH("Intent",'Semrush Data'!$A$1:$Z$1,0)),"")</f>
        <v/>
      </c>
    </row>
    <row r="1319" ht="15" customHeight="1" s="37">
      <c r="A1319" s="42" t="inlineStr">
        <is>
          <t>acqua di parma sandalo edp</t>
        </is>
      </c>
      <c r="B1319" s="42" t="inlineStr">
        <is>
          <t>Product + type</t>
        </is>
      </c>
      <c r="C1319" s="42" t="n">
        <v>2</v>
      </c>
      <c r="D1319" s="42" t="inlineStr">
        <is>
          <t>T2-1</t>
        </is>
      </c>
      <c r="E1319" s="42" t="n">
        <v>1</v>
      </c>
      <c r="F1319" s="42" t="inlineStr">
        <is>
          <t>FR-008</t>
        </is>
      </c>
      <c r="G1319" s="55">
        <f>IFERROR(INDEX('Semrush Data'!$A$1:$Z$20000,MATCH(A1319,'Semrush Data'!$A$1:$A$20000,0),MATCH("Volume",'Semrush Data'!$A$1:$Z$1,0)),"")</f>
        <v/>
      </c>
      <c r="H1319" s="42">
        <f>IFERROR(INDEX('Semrush Data'!$A$1:$Z$20000,MATCH(A1319,'Semrush Data'!$A$1:$A$20000,0),MATCH("Keyword Difficulty*",'Semrush Data'!$A$1:$Z$1,0)),"")</f>
        <v/>
      </c>
      <c r="I1319" s="56">
        <f>IFERROR(INDEX('Semrush Data'!$A$1:$Z$20000,MATCH(A1319,'Semrush Data'!$A$1:$A$20000,0),MATCH("CPC*",'Semrush Data'!$A$1:$Z$1,0)),"")</f>
        <v/>
      </c>
      <c r="J1319" s="42">
        <f>IFERROR(INDEX('Semrush Data'!$A$1:$Z$20000,MATCH(A1319,'Semrush Data'!$A$1:$A$20000,0),MATCH("Intent",'Semrush Data'!$A$1:$Z$1,0)),"")</f>
        <v/>
      </c>
    </row>
    <row r="1320" ht="15" customHeight="1" s="37">
      <c r="A1320" s="42" t="inlineStr">
        <is>
          <t>acqua di parma zafferano edp</t>
        </is>
      </c>
      <c r="B1320" s="42" t="inlineStr">
        <is>
          <t>Product + type</t>
        </is>
      </c>
      <c r="C1320" s="42" t="n">
        <v>2</v>
      </c>
      <c r="D1320" s="42" t="inlineStr">
        <is>
          <t>T2-1</t>
        </is>
      </c>
      <c r="E1320" s="42" t="n">
        <v>1</v>
      </c>
      <c r="F1320" s="42" t="inlineStr">
        <is>
          <t>FR-335</t>
        </is>
      </c>
      <c r="G1320" s="55">
        <f>IFERROR(INDEX('Semrush Data'!$A$1:$Z$20000,MATCH(A1320,'Semrush Data'!$A$1:$A$20000,0),MATCH("Volume",'Semrush Data'!$A$1:$Z$1,0)),"")</f>
        <v/>
      </c>
      <c r="H1320" s="42">
        <f>IFERROR(INDEX('Semrush Data'!$A$1:$Z$20000,MATCH(A1320,'Semrush Data'!$A$1:$A$20000,0),MATCH("Keyword Difficulty*",'Semrush Data'!$A$1:$Z$1,0)),"")</f>
        <v/>
      </c>
      <c r="I1320" s="56">
        <f>IFERROR(INDEX('Semrush Data'!$A$1:$Z$20000,MATCH(A1320,'Semrush Data'!$A$1:$A$20000,0),MATCH("CPC*",'Semrush Data'!$A$1:$Z$1,0)),"")</f>
        <v/>
      </c>
      <c r="J1320" s="42">
        <f>IFERROR(INDEX('Semrush Data'!$A$1:$Z$20000,MATCH(A1320,'Semrush Data'!$A$1:$A$20000,0),MATCH("Intent",'Semrush Data'!$A$1:$Z$1,0)),"")</f>
        <v/>
      </c>
    </row>
    <row r="1321" ht="15" customHeight="1" s="37">
      <c r="A1321" s="42" t="inlineStr">
        <is>
          <t>al haramain amber musk eau de parfum</t>
        </is>
      </c>
      <c r="B1321" s="42" t="inlineStr">
        <is>
          <t>Product + type</t>
        </is>
      </c>
      <c r="C1321" s="42" t="n">
        <v>2</v>
      </c>
      <c r="D1321" s="42" t="n">
        <v>14</v>
      </c>
      <c r="E1321" s="42" t="n">
        <v>1</v>
      </c>
      <c r="F1321" s="42" t="inlineStr">
        <is>
          <t>FR-011</t>
        </is>
      </c>
      <c r="G1321" s="55">
        <f>IFERROR(INDEX('Semrush Data'!$A$1:$Z$20000,MATCH(A1321,'Semrush Data'!$A$1:$A$20000,0),MATCH("Volume",'Semrush Data'!$A$1:$Z$1,0)),"")</f>
        <v/>
      </c>
      <c r="H1321" s="42">
        <f>IFERROR(INDEX('Semrush Data'!$A$1:$Z$20000,MATCH(A1321,'Semrush Data'!$A$1:$A$20000,0),MATCH("Keyword Difficulty*",'Semrush Data'!$A$1:$Z$1,0)),"")</f>
        <v/>
      </c>
      <c r="I1321" s="56">
        <f>IFERROR(INDEX('Semrush Data'!$A$1:$Z$20000,MATCH(A1321,'Semrush Data'!$A$1:$A$20000,0),MATCH("CPC*",'Semrush Data'!$A$1:$Z$1,0)),"")</f>
        <v/>
      </c>
      <c r="J1321" s="42">
        <f>IFERROR(INDEX('Semrush Data'!$A$1:$Z$20000,MATCH(A1321,'Semrush Data'!$A$1:$A$20000,0),MATCH("Intent",'Semrush Data'!$A$1:$Z$1,0)),"")</f>
        <v/>
      </c>
    </row>
    <row r="1322" ht="15" customHeight="1" s="37">
      <c r="A1322" s="42" t="inlineStr">
        <is>
          <t>al haramain amber oud black edition eau de parfum</t>
        </is>
      </c>
      <c r="B1322" s="42" t="inlineStr">
        <is>
          <t>Product + type</t>
        </is>
      </c>
      <c r="C1322" s="42" t="n">
        <v>2</v>
      </c>
      <c r="D1322" s="42" t="n">
        <v>14</v>
      </c>
      <c r="E1322" s="42" t="n">
        <v>1</v>
      </c>
      <c r="F1322" s="42" t="inlineStr">
        <is>
          <t>FR-012</t>
        </is>
      </c>
      <c r="G1322" s="55">
        <f>IFERROR(INDEX('Semrush Data'!$A$1:$Z$20000,MATCH(A1322,'Semrush Data'!$A$1:$A$20000,0),MATCH("Volume",'Semrush Data'!$A$1:$Z$1,0)),"")</f>
        <v/>
      </c>
      <c r="H1322" s="42">
        <f>IFERROR(INDEX('Semrush Data'!$A$1:$Z$20000,MATCH(A1322,'Semrush Data'!$A$1:$A$20000,0),MATCH("Keyword Difficulty*",'Semrush Data'!$A$1:$Z$1,0)),"")</f>
        <v/>
      </c>
      <c r="I1322" s="56">
        <f>IFERROR(INDEX('Semrush Data'!$A$1:$Z$20000,MATCH(A1322,'Semrush Data'!$A$1:$A$20000,0),MATCH("CPC*",'Semrush Data'!$A$1:$Z$1,0)),"")</f>
        <v/>
      </c>
      <c r="J1322" s="42">
        <f>IFERROR(INDEX('Semrush Data'!$A$1:$Z$20000,MATCH(A1322,'Semrush Data'!$A$1:$A$20000,0),MATCH("Intent",'Semrush Data'!$A$1:$Z$1,0)),"")</f>
        <v/>
      </c>
    </row>
    <row r="1323" ht="15" customHeight="1" s="37">
      <c r="A1323" s="42" t="inlineStr">
        <is>
          <t>al haramain amber oud bleu edition eau de parfum</t>
        </is>
      </c>
      <c r="B1323" s="42" t="inlineStr">
        <is>
          <t>Product + type</t>
        </is>
      </c>
      <c r="C1323" s="42" t="n">
        <v>2</v>
      </c>
      <c r="D1323" s="42" t="inlineStr">
        <is>
          <t>T2-2</t>
        </is>
      </c>
      <c r="E1323" s="42" t="n">
        <v>1</v>
      </c>
      <c r="F1323" s="42" t="inlineStr">
        <is>
          <t>FR-013</t>
        </is>
      </c>
      <c r="G1323" s="55">
        <f>IFERROR(INDEX('Semrush Data'!$A$1:$Z$20000,MATCH(A1323,'Semrush Data'!$A$1:$A$20000,0),MATCH("Volume",'Semrush Data'!$A$1:$Z$1,0)),"")</f>
        <v/>
      </c>
      <c r="H1323" s="42">
        <f>IFERROR(INDEX('Semrush Data'!$A$1:$Z$20000,MATCH(A1323,'Semrush Data'!$A$1:$A$20000,0),MATCH("Keyword Difficulty*",'Semrush Data'!$A$1:$Z$1,0)),"")</f>
        <v/>
      </c>
      <c r="I1323" s="56">
        <f>IFERROR(INDEX('Semrush Data'!$A$1:$Z$20000,MATCH(A1323,'Semrush Data'!$A$1:$A$20000,0),MATCH("CPC*",'Semrush Data'!$A$1:$Z$1,0)),"")</f>
        <v/>
      </c>
      <c r="J1323" s="42">
        <f>IFERROR(INDEX('Semrush Data'!$A$1:$Z$20000,MATCH(A1323,'Semrush Data'!$A$1:$A$20000,0),MATCH("Intent",'Semrush Data'!$A$1:$Z$1,0)),"")</f>
        <v/>
      </c>
    </row>
    <row r="1324" ht="15" customHeight="1" s="37">
      <c r="A1324" s="42" t="inlineStr">
        <is>
          <t>al haramain amber oud carbon edition eau de parfum</t>
        </is>
      </c>
      <c r="B1324" s="42" t="inlineStr">
        <is>
          <t>Product + type</t>
        </is>
      </c>
      <c r="C1324" s="42" t="n">
        <v>2</v>
      </c>
      <c r="D1324" s="42" t="inlineStr">
        <is>
          <t>T2-2</t>
        </is>
      </c>
      <c r="E1324" s="42" t="n">
        <v>1</v>
      </c>
      <c r="F1324" s="42" t="inlineStr">
        <is>
          <t>FR-014</t>
        </is>
      </c>
      <c r="G1324" s="55">
        <f>IFERROR(INDEX('Semrush Data'!$A$1:$Z$20000,MATCH(A1324,'Semrush Data'!$A$1:$A$20000,0),MATCH("Volume",'Semrush Data'!$A$1:$Z$1,0)),"")</f>
        <v/>
      </c>
      <c r="H1324" s="42">
        <f>IFERROR(INDEX('Semrush Data'!$A$1:$Z$20000,MATCH(A1324,'Semrush Data'!$A$1:$A$20000,0),MATCH("Keyword Difficulty*",'Semrush Data'!$A$1:$Z$1,0)),"")</f>
        <v/>
      </c>
      <c r="I1324" s="56">
        <f>IFERROR(INDEX('Semrush Data'!$A$1:$Z$20000,MATCH(A1324,'Semrush Data'!$A$1:$A$20000,0),MATCH("CPC*",'Semrush Data'!$A$1:$Z$1,0)),"")</f>
        <v/>
      </c>
      <c r="J1324" s="42">
        <f>IFERROR(INDEX('Semrush Data'!$A$1:$Z$20000,MATCH(A1324,'Semrush Data'!$A$1:$A$20000,0),MATCH("Intent",'Semrush Data'!$A$1:$Z$1,0)),"")</f>
        <v/>
      </c>
    </row>
    <row r="1325" ht="15" customHeight="1" s="37">
      <c r="A1325" s="42" t="inlineStr">
        <is>
          <t>al haramain amber oud eau de parfum</t>
        </is>
      </c>
      <c r="B1325" s="42" t="inlineStr">
        <is>
          <t>Product + type</t>
        </is>
      </c>
      <c r="C1325" s="42" t="n">
        <v>2</v>
      </c>
      <c r="D1325" s="42" t="inlineStr">
        <is>
          <t>T2-1</t>
        </is>
      </c>
      <c r="E1325" s="42" t="n">
        <v>1</v>
      </c>
      <c r="F1325" s="42" t="inlineStr">
        <is>
          <t>FR-015</t>
        </is>
      </c>
      <c r="G1325" s="55">
        <f>IFERROR(INDEX('Semrush Data'!$A$1:$Z$20000,MATCH(A1325,'Semrush Data'!$A$1:$A$20000,0),MATCH("Volume",'Semrush Data'!$A$1:$Z$1,0)),"")</f>
        <v/>
      </c>
      <c r="H1325" s="42">
        <f>IFERROR(INDEX('Semrush Data'!$A$1:$Z$20000,MATCH(A1325,'Semrush Data'!$A$1:$A$20000,0),MATCH("Keyword Difficulty*",'Semrush Data'!$A$1:$Z$1,0)),"")</f>
        <v/>
      </c>
      <c r="I1325" s="56">
        <f>IFERROR(INDEX('Semrush Data'!$A$1:$Z$20000,MATCH(A1325,'Semrush Data'!$A$1:$A$20000,0),MATCH("CPC*",'Semrush Data'!$A$1:$Z$1,0)),"")</f>
        <v/>
      </c>
      <c r="J1325" s="42">
        <f>IFERROR(INDEX('Semrush Data'!$A$1:$Z$20000,MATCH(A1325,'Semrush Data'!$A$1:$A$20000,0),MATCH("Intent",'Semrush Data'!$A$1:$Z$1,0)),"")</f>
        <v/>
      </c>
    </row>
    <row r="1326" ht="15" customHeight="1" s="37">
      <c r="A1326" s="42" t="inlineStr">
        <is>
          <t>al haramain amber oud extreme gold edition extrait de parfum</t>
        </is>
      </c>
      <c r="B1326" s="42" t="inlineStr">
        <is>
          <t>Product + type</t>
        </is>
      </c>
      <c r="C1326" s="42" t="n">
        <v>2</v>
      </c>
      <c r="D1326" s="42" t="n">
        <v>14</v>
      </c>
      <c r="E1326" s="42" t="n">
        <v>1</v>
      </c>
      <c r="F1326" s="42" t="inlineStr">
        <is>
          <t>FR-026</t>
        </is>
      </c>
      <c r="G1326" s="55">
        <f>IFERROR(INDEX('Semrush Data'!$A$1:$Z$20000,MATCH(A1326,'Semrush Data'!$A$1:$A$20000,0),MATCH("Volume",'Semrush Data'!$A$1:$Z$1,0)),"")</f>
        <v/>
      </c>
      <c r="H1326" s="42">
        <f>IFERROR(INDEX('Semrush Data'!$A$1:$Z$20000,MATCH(A1326,'Semrush Data'!$A$1:$A$20000,0),MATCH("Keyword Difficulty*",'Semrush Data'!$A$1:$Z$1,0)),"")</f>
        <v/>
      </c>
      <c r="I1326" s="56">
        <f>IFERROR(INDEX('Semrush Data'!$A$1:$Z$20000,MATCH(A1326,'Semrush Data'!$A$1:$A$20000,0),MATCH("CPC*",'Semrush Data'!$A$1:$Z$1,0)),"")</f>
        <v/>
      </c>
      <c r="J1326" s="42">
        <f>IFERROR(INDEX('Semrush Data'!$A$1:$Z$20000,MATCH(A1326,'Semrush Data'!$A$1:$A$20000,0),MATCH("Intent",'Semrush Data'!$A$1:$Z$1,0)),"")</f>
        <v/>
      </c>
    </row>
    <row r="1327" ht="15" customHeight="1" s="37">
      <c r="A1327" s="42" t="inlineStr">
        <is>
          <t>al haramain amber oud gold edition eau de parfum</t>
        </is>
      </c>
      <c r="B1327" s="42" t="inlineStr">
        <is>
          <t>Product + type</t>
        </is>
      </c>
      <c r="C1327" s="42" t="n">
        <v>2</v>
      </c>
      <c r="D1327" s="42" t="inlineStr">
        <is>
          <t>T2-1</t>
        </is>
      </c>
      <c r="E1327" s="42" t="n">
        <v>1</v>
      </c>
      <c r="F1327" s="42" t="inlineStr">
        <is>
          <t>FR-016</t>
        </is>
      </c>
      <c r="G1327" s="55">
        <f>IFERROR(INDEX('Semrush Data'!$A$1:$Z$20000,MATCH(A1327,'Semrush Data'!$A$1:$A$20000,0),MATCH("Volume",'Semrush Data'!$A$1:$Z$1,0)),"")</f>
        <v/>
      </c>
      <c r="H1327" s="42">
        <f>IFERROR(INDEX('Semrush Data'!$A$1:$Z$20000,MATCH(A1327,'Semrush Data'!$A$1:$A$20000,0),MATCH("Keyword Difficulty*",'Semrush Data'!$A$1:$Z$1,0)),"")</f>
        <v/>
      </c>
      <c r="I1327" s="56">
        <f>IFERROR(INDEX('Semrush Data'!$A$1:$Z$20000,MATCH(A1327,'Semrush Data'!$A$1:$A$20000,0),MATCH("CPC*",'Semrush Data'!$A$1:$Z$1,0)),"")</f>
        <v/>
      </c>
      <c r="J1327" s="42">
        <f>IFERROR(INDEX('Semrush Data'!$A$1:$Z$20000,MATCH(A1327,'Semrush Data'!$A$1:$A$20000,0),MATCH("Intent",'Semrush Data'!$A$1:$Z$1,0)),"")</f>
        <v/>
      </c>
    </row>
    <row r="1328" ht="15" customHeight="1" s="37">
      <c r="A1328" s="42" t="inlineStr">
        <is>
          <t>al haramain amber oud ruby edition eau de parfum</t>
        </is>
      </c>
      <c r="B1328" s="42" t="inlineStr">
        <is>
          <t>Product + type</t>
        </is>
      </c>
      <c r="C1328" s="42" t="n">
        <v>2</v>
      </c>
      <c r="D1328" s="42" t="inlineStr">
        <is>
          <t>T2-2</t>
        </is>
      </c>
      <c r="E1328" s="42" t="n">
        <v>1</v>
      </c>
      <c r="F1328" s="42" t="inlineStr">
        <is>
          <t>FR-017</t>
        </is>
      </c>
      <c r="G1328" s="55">
        <f>IFERROR(INDEX('Semrush Data'!$A$1:$Z$20000,MATCH(A1328,'Semrush Data'!$A$1:$A$20000,0),MATCH("Volume",'Semrush Data'!$A$1:$Z$1,0)),"")</f>
        <v/>
      </c>
      <c r="H1328" s="42">
        <f>IFERROR(INDEX('Semrush Data'!$A$1:$Z$20000,MATCH(A1328,'Semrush Data'!$A$1:$A$20000,0),MATCH("Keyword Difficulty*",'Semrush Data'!$A$1:$Z$1,0)),"")</f>
        <v/>
      </c>
      <c r="I1328" s="56">
        <f>IFERROR(INDEX('Semrush Data'!$A$1:$Z$20000,MATCH(A1328,'Semrush Data'!$A$1:$A$20000,0),MATCH("CPC*",'Semrush Data'!$A$1:$Z$1,0)),"")</f>
        <v/>
      </c>
      <c r="J1328" s="42">
        <f>IFERROR(INDEX('Semrush Data'!$A$1:$Z$20000,MATCH(A1328,'Semrush Data'!$A$1:$A$20000,0),MATCH("Intent",'Semrush Data'!$A$1:$Z$1,0)),"")</f>
        <v/>
      </c>
    </row>
    <row r="1329" ht="15" customHeight="1" s="37">
      <c r="A1329" s="42" t="inlineStr">
        <is>
          <t>al haramain amber oud tobacco edition eau de parfum</t>
        </is>
      </c>
      <c r="B1329" s="42" t="inlineStr">
        <is>
          <t>Product + type</t>
        </is>
      </c>
      <c r="C1329" s="42" t="n">
        <v>2</v>
      </c>
      <c r="D1329" s="42" t="inlineStr">
        <is>
          <t>T2-1</t>
        </is>
      </c>
      <c r="E1329" s="42" t="n">
        <v>1</v>
      </c>
      <c r="F1329" s="42" t="inlineStr">
        <is>
          <t>FR-018</t>
        </is>
      </c>
      <c r="G1329" s="55">
        <f>IFERROR(INDEX('Semrush Data'!$A$1:$Z$20000,MATCH(A1329,'Semrush Data'!$A$1:$A$20000,0),MATCH("Volume",'Semrush Data'!$A$1:$Z$1,0)),"")</f>
        <v/>
      </c>
      <c r="H1329" s="42">
        <f>IFERROR(INDEX('Semrush Data'!$A$1:$Z$20000,MATCH(A1329,'Semrush Data'!$A$1:$A$20000,0),MATCH("Keyword Difficulty*",'Semrush Data'!$A$1:$Z$1,0)),"")</f>
        <v/>
      </c>
      <c r="I1329" s="56">
        <f>IFERROR(INDEX('Semrush Data'!$A$1:$Z$20000,MATCH(A1329,'Semrush Data'!$A$1:$A$20000,0),MATCH("CPC*",'Semrush Data'!$A$1:$Z$1,0)),"")</f>
        <v/>
      </c>
      <c r="J1329" s="42">
        <f>IFERROR(INDEX('Semrush Data'!$A$1:$Z$20000,MATCH(A1329,'Semrush Data'!$A$1:$A$20000,0),MATCH("Intent",'Semrush Data'!$A$1:$Z$1,0)),"")</f>
        <v/>
      </c>
    </row>
    <row r="1330" ht="15" customHeight="1" s="37">
      <c r="A1330" s="42" t="inlineStr">
        <is>
          <t>al haramain amber oud white edition eau de parfum</t>
        </is>
      </c>
      <c r="B1330" s="42" t="inlineStr">
        <is>
          <t>Product + type</t>
        </is>
      </c>
      <c r="C1330" s="42" t="n">
        <v>2</v>
      </c>
      <c r="D1330" s="42" t="n">
        <v>14</v>
      </c>
      <c r="E1330" s="42" t="n">
        <v>1</v>
      </c>
      <c r="F1330" s="42" t="inlineStr">
        <is>
          <t>FR-019</t>
        </is>
      </c>
      <c r="G1330" s="55">
        <f>IFERROR(INDEX('Semrush Data'!$A$1:$Z$20000,MATCH(A1330,'Semrush Data'!$A$1:$A$20000,0),MATCH("Volume",'Semrush Data'!$A$1:$Z$1,0)),"")</f>
        <v/>
      </c>
      <c r="H1330" s="42">
        <f>IFERROR(INDEX('Semrush Data'!$A$1:$Z$20000,MATCH(A1330,'Semrush Data'!$A$1:$A$20000,0),MATCH("Keyword Difficulty*",'Semrush Data'!$A$1:$Z$1,0)),"")</f>
        <v/>
      </c>
      <c r="I1330" s="56">
        <f>IFERROR(INDEX('Semrush Data'!$A$1:$Z$20000,MATCH(A1330,'Semrush Data'!$A$1:$A$20000,0),MATCH("CPC*",'Semrush Data'!$A$1:$Z$1,0)),"")</f>
        <v/>
      </c>
      <c r="J1330" s="42">
        <f>IFERROR(INDEX('Semrush Data'!$A$1:$Z$20000,MATCH(A1330,'Semrush Data'!$A$1:$A$20000,0),MATCH("Intent",'Semrush Data'!$A$1:$Z$1,0)),"")</f>
        <v/>
      </c>
    </row>
    <row r="1331" ht="15" customHeight="1" s="37">
      <c r="A1331" s="42" t="inlineStr">
        <is>
          <t>al haramain detour noir eau de parfum</t>
        </is>
      </c>
      <c r="B1331" s="42" t="inlineStr">
        <is>
          <t>Product + type</t>
        </is>
      </c>
      <c r="C1331" s="42" t="n">
        <v>2</v>
      </c>
      <c r="D1331" s="42" t="inlineStr">
        <is>
          <t>T2-1</t>
        </is>
      </c>
      <c r="E1331" s="42" t="n">
        <v>1</v>
      </c>
      <c r="F1331" s="42" t="inlineStr">
        <is>
          <t>FR-020</t>
        </is>
      </c>
      <c r="G1331" s="55">
        <f>IFERROR(INDEX('Semrush Data'!$A$1:$Z$20000,MATCH(A1331,'Semrush Data'!$A$1:$A$20000,0),MATCH("Volume",'Semrush Data'!$A$1:$Z$1,0)),"")</f>
        <v/>
      </c>
      <c r="H1331" s="42">
        <f>IFERROR(INDEX('Semrush Data'!$A$1:$Z$20000,MATCH(A1331,'Semrush Data'!$A$1:$A$20000,0),MATCH("Keyword Difficulty*",'Semrush Data'!$A$1:$Z$1,0)),"")</f>
        <v/>
      </c>
      <c r="I1331" s="56">
        <f>IFERROR(INDEX('Semrush Data'!$A$1:$Z$20000,MATCH(A1331,'Semrush Data'!$A$1:$A$20000,0),MATCH("CPC*",'Semrush Data'!$A$1:$Z$1,0)),"")</f>
        <v/>
      </c>
      <c r="J1331" s="42">
        <f>IFERROR(INDEX('Semrush Data'!$A$1:$Z$20000,MATCH(A1331,'Semrush Data'!$A$1:$A$20000,0),MATCH("Intent",'Semrush Data'!$A$1:$Z$1,0)),"")</f>
        <v/>
      </c>
    </row>
    <row r="1332" ht="15" customHeight="1" s="37">
      <c r="A1332" s="42" t="inlineStr">
        <is>
          <t>al haramain l'aventure blanche eau de parfum</t>
        </is>
      </c>
      <c r="B1332" s="42" t="inlineStr">
        <is>
          <t>Product + type</t>
        </is>
      </c>
      <c r="C1332" s="42" t="n">
        <v>2</v>
      </c>
      <c r="D1332" s="42" t="n">
        <v>14</v>
      </c>
      <c r="E1332" s="42" t="n">
        <v>1</v>
      </c>
      <c r="F1332" s="42" t="inlineStr">
        <is>
          <t>FR-021</t>
        </is>
      </c>
      <c r="G1332" s="55">
        <f>IFERROR(INDEX('Semrush Data'!$A$1:$Z$20000,MATCH(A1332,'Semrush Data'!$A$1:$A$20000,0),MATCH("Volume",'Semrush Data'!$A$1:$Z$1,0)),"")</f>
        <v/>
      </c>
      <c r="H1332" s="42">
        <f>IFERROR(INDEX('Semrush Data'!$A$1:$Z$20000,MATCH(A1332,'Semrush Data'!$A$1:$A$20000,0),MATCH("Keyword Difficulty*",'Semrush Data'!$A$1:$Z$1,0)),"")</f>
        <v/>
      </c>
      <c r="I1332" s="56">
        <f>IFERROR(INDEX('Semrush Data'!$A$1:$Z$20000,MATCH(A1332,'Semrush Data'!$A$1:$A$20000,0),MATCH("CPC*",'Semrush Data'!$A$1:$Z$1,0)),"")</f>
        <v/>
      </c>
      <c r="J1332" s="42">
        <f>IFERROR(INDEX('Semrush Data'!$A$1:$Z$20000,MATCH(A1332,'Semrush Data'!$A$1:$A$20000,0),MATCH("Intent",'Semrush Data'!$A$1:$Z$1,0)),"")</f>
        <v/>
      </c>
    </row>
    <row r="1333" ht="15" customHeight="1" s="37">
      <c r="A1333" s="42" t="inlineStr">
        <is>
          <t>al haramain l'aventure eau de parfum</t>
        </is>
      </c>
      <c r="B1333" s="42" t="inlineStr">
        <is>
          <t>Product + type</t>
        </is>
      </c>
      <c r="C1333" s="42" t="n">
        <v>2</v>
      </c>
      <c r="D1333" s="42" t="inlineStr">
        <is>
          <t>T2-1</t>
        </is>
      </c>
      <c r="E1333" s="42" t="n">
        <v>1</v>
      </c>
      <c r="F1333" s="42" t="inlineStr">
        <is>
          <t>FR-022</t>
        </is>
      </c>
      <c r="G1333" s="55">
        <f>IFERROR(INDEX('Semrush Data'!$A$1:$Z$20000,MATCH(A1333,'Semrush Data'!$A$1:$A$20000,0),MATCH("Volume",'Semrush Data'!$A$1:$Z$1,0)),"")</f>
        <v/>
      </c>
      <c r="H1333" s="42">
        <f>IFERROR(INDEX('Semrush Data'!$A$1:$Z$20000,MATCH(A1333,'Semrush Data'!$A$1:$A$20000,0),MATCH("Keyword Difficulty*",'Semrush Data'!$A$1:$Z$1,0)),"")</f>
        <v/>
      </c>
      <c r="I1333" s="56">
        <f>IFERROR(INDEX('Semrush Data'!$A$1:$Z$20000,MATCH(A1333,'Semrush Data'!$A$1:$A$20000,0),MATCH("CPC*",'Semrush Data'!$A$1:$Z$1,0)),"")</f>
        <v/>
      </c>
      <c r="J1333" s="42">
        <f>IFERROR(INDEX('Semrush Data'!$A$1:$Z$20000,MATCH(A1333,'Semrush Data'!$A$1:$A$20000,0),MATCH("Intent",'Semrush Data'!$A$1:$Z$1,0)),"")</f>
        <v/>
      </c>
    </row>
    <row r="1334" ht="15" customHeight="1" s="37">
      <c r="A1334" s="42" t="inlineStr">
        <is>
          <t>al haramain l'aventure femme eau de parfum</t>
        </is>
      </c>
      <c r="B1334" s="42" t="inlineStr">
        <is>
          <t>Product + type</t>
        </is>
      </c>
      <c r="C1334" s="42" t="n">
        <v>2</v>
      </c>
      <c r="D1334" s="42" t="inlineStr">
        <is>
          <t>T2-2</t>
        </is>
      </c>
      <c r="E1334" s="42" t="n">
        <v>1</v>
      </c>
      <c r="F1334" s="42" t="inlineStr">
        <is>
          <t>FR-023</t>
        </is>
      </c>
      <c r="G1334" s="55">
        <f>IFERROR(INDEX('Semrush Data'!$A$1:$Z$20000,MATCH(A1334,'Semrush Data'!$A$1:$A$20000,0),MATCH("Volume",'Semrush Data'!$A$1:$Z$1,0)),"")</f>
        <v/>
      </c>
      <c r="H1334" s="42">
        <f>IFERROR(INDEX('Semrush Data'!$A$1:$Z$20000,MATCH(A1334,'Semrush Data'!$A$1:$A$20000,0),MATCH("Keyword Difficulty*",'Semrush Data'!$A$1:$Z$1,0)),"")</f>
        <v/>
      </c>
      <c r="I1334" s="56">
        <f>IFERROR(INDEX('Semrush Data'!$A$1:$Z$20000,MATCH(A1334,'Semrush Data'!$A$1:$A$20000,0),MATCH("CPC*",'Semrush Data'!$A$1:$Z$1,0)),"")</f>
        <v/>
      </c>
      <c r="J1334" s="42">
        <f>IFERROR(INDEX('Semrush Data'!$A$1:$Z$20000,MATCH(A1334,'Semrush Data'!$A$1:$A$20000,0),MATCH("Intent",'Semrush Data'!$A$1:$Z$1,0)),"")</f>
        <v/>
      </c>
    </row>
    <row r="1335" ht="15" customHeight="1" s="37">
      <c r="A1335" s="42" t="inlineStr">
        <is>
          <t>al haramain l'aventure gold eau de parfum</t>
        </is>
      </c>
      <c r="B1335" s="42" t="inlineStr">
        <is>
          <t>Product + type</t>
        </is>
      </c>
      <c r="C1335" s="42" t="n">
        <v>2</v>
      </c>
      <c r="D1335" s="42" t="n">
        <v>14</v>
      </c>
      <c r="E1335" s="42" t="n">
        <v>1</v>
      </c>
      <c r="F1335" s="42" t="inlineStr">
        <is>
          <t>FR-024</t>
        </is>
      </c>
      <c r="G1335" s="55">
        <f>IFERROR(INDEX('Semrush Data'!$A$1:$Z$20000,MATCH(A1335,'Semrush Data'!$A$1:$A$20000,0),MATCH("Volume",'Semrush Data'!$A$1:$Z$1,0)),"")</f>
        <v/>
      </c>
      <c r="H1335" s="42">
        <f>IFERROR(INDEX('Semrush Data'!$A$1:$Z$20000,MATCH(A1335,'Semrush Data'!$A$1:$A$20000,0),MATCH("Keyword Difficulty*",'Semrush Data'!$A$1:$Z$1,0)),"")</f>
        <v/>
      </c>
      <c r="I1335" s="56">
        <f>IFERROR(INDEX('Semrush Data'!$A$1:$Z$20000,MATCH(A1335,'Semrush Data'!$A$1:$A$20000,0),MATCH("CPC*",'Semrush Data'!$A$1:$Z$1,0)),"")</f>
        <v/>
      </c>
      <c r="J1335" s="42">
        <f>IFERROR(INDEX('Semrush Data'!$A$1:$Z$20000,MATCH(A1335,'Semrush Data'!$A$1:$A$20000,0),MATCH("Intent",'Semrush Data'!$A$1:$Z$1,0)),"")</f>
        <v/>
      </c>
    </row>
    <row r="1336" ht="15" customHeight="1" s="37">
      <c r="A1336" s="42" t="inlineStr">
        <is>
          <t>al haramain l'aventure intense eau de parfum</t>
        </is>
      </c>
      <c r="B1336" s="42" t="inlineStr">
        <is>
          <t>Product + type</t>
        </is>
      </c>
      <c r="C1336" s="42" t="n">
        <v>2</v>
      </c>
      <c r="D1336" s="42" t="inlineStr">
        <is>
          <t>T2-2</t>
        </is>
      </c>
      <c r="E1336" s="42" t="n">
        <v>1</v>
      </c>
      <c r="F1336" s="42" t="inlineStr">
        <is>
          <t>FR-025</t>
        </is>
      </c>
      <c r="G1336" s="55">
        <f>IFERROR(INDEX('Semrush Data'!$A$1:$Z$20000,MATCH(A1336,'Semrush Data'!$A$1:$A$20000,0),MATCH("Volume",'Semrush Data'!$A$1:$Z$1,0)),"")</f>
        <v/>
      </c>
      <c r="H1336" s="42">
        <f>IFERROR(INDEX('Semrush Data'!$A$1:$Z$20000,MATCH(A1336,'Semrush Data'!$A$1:$A$20000,0),MATCH("Keyword Difficulty*",'Semrush Data'!$A$1:$Z$1,0)),"")</f>
        <v/>
      </c>
      <c r="I1336" s="56">
        <f>IFERROR(INDEX('Semrush Data'!$A$1:$Z$20000,MATCH(A1336,'Semrush Data'!$A$1:$A$20000,0),MATCH("CPC*",'Semrush Data'!$A$1:$Z$1,0)),"")</f>
        <v/>
      </c>
      <c r="J1336" s="42">
        <f>IFERROR(INDEX('Semrush Data'!$A$1:$Z$20000,MATCH(A1336,'Semrush Data'!$A$1:$A$20000,0),MATCH("Intent",'Semrush Data'!$A$1:$Z$1,0)),"")</f>
        <v/>
      </c>
    </row>
    <row r="1337" ht="15" customHeight="1" s="37">
      <c r="A1337" s="42" t="inlineStr">
        <is>
          <t>anatome balance eau de parfum</t>
        </is>
      </c>
      <c r="B1337" s="42" t="inlineStr">
        <is>
          <t>Product + type</t>
        </is>
      </c>
      <c r="C1337" s="42" t="n">
        <v>2</v>
      </c>
      <c r="D1337" s="42" t="n">
        <v>14</v>
      </c>
      <c r="E1337" s="42" t="n">
        <v>3</v>
      </c>
      <c r="F1337" s="42" t="inlineStr">
        <is>
          <t>FR-027, FR-028, FR-029</t>
        </is>
      </c>
      <c r="G1337" s="55">
        <f>IFERROR(INDEX('Semrush Data'!$A$1:$Z$20000,MATCH(A1337,'Semrush Data'!$A$1:$A$20000,0),MATCH("Volume",'Semrush Data'!$A$1:$Z$1,0)),"")</f>
        <v/>
      </c>
      <c r="H1337" s="42">
        <f>IFERROR(INDEX('Semrush Data'!$A$1:$Z$20000,MATCH(A1337,'Semrush Data'!$A$1:$A$20000,0),MATCH("Keyword Difficulty*",'Semrush Data'!$A$1:$Z$1,0)),"")</f>
        <v/>
      </c>
      <c r="I1337" s="56">
        <f>IFERROR(INDEX('Semrush Data'!$A$1:$Z$20000,MATCH(A1337,'Semrush Data'!$A$1:$A$20000,0),MATCH("CPC*",'Semrush Data'!$A$1:$Z$1,0)),"")</f>
        <v/>
      </c>
      <c r="J1337" s="42">
        <f>IFERROR(INDEX('Semrush Data'!$A$1:$Z$20000,MATCH(A1337,'Semrush Data'!$A$1:$A$20000,0),MATCH("Intent",'Semrush Data'!$A$1:$Z$1,0)),"")</f>
        <v/>
      </c>
    </row>
    <row r="1338" ht="15" customHeight="1" s="37">
      <c r="A1338" s="42" t="inlineStr">
        <is>
          <t>anatome energy eau de parfum</t>
        </is>
      </c>
      <c r="B1338" s="42" t="inlineStr">
        <is>
          <t>Product + type</t>
        </is>
      </c>
      <c r="C1338" s="42" t="n">
        <v>2</v>
      </c>
      <c r="D1338" s="42" t="n">
        <v>14</v>
      </c>
      <c r="E1338" s="42" t="n">
        <v>3</v>
      </c>
      <c r="F1338" s="42" t="inlineStr">
        <is>
          <t>FR-030, FR-031, FR-032</t>
        </is>
      </c>
      <c r="G1338" s="55">
        <f>IFERROR(INDEX('Semrush Data'!$A$1:$Z$20000,MATCH(A1338,'Semrush Data'!$A$1:$A$20000,0),MATCH("Volume",'Semrush Data'!$A$1:$Z$1,0)),"")</f>
        <v/>
      </c>
      <c r="H1338" s="42">
        <f>IFERROR(INDEX('Semrush Data'!$A$1:$Z$20000,MATCH(A1338,'Semrush Data'!$A$1:$A$20000,0),MATCH("Keyword Difficulty*",'Semrush Data'!$A$1:$Z$1,0)),"")</f>
        <v/>
      </c>
      <c r="I1338" s="56">
        <f>IFERROR(INDEX('Semrush Data'!$A$1:$Z$20000,MATCH(A1338,'Semrush Data'!$A$1:$A$20000,0),MATCH("CPC*",'Semrush Data'!$A$1:$Z$1,0)),"")</f>
        <v/>
      </c>
      <c r="J1338" s="42">
        <f>IFERROR(INDEX('Semrush Data'!$A$1:$Z$20000,MATCH(A1338,'Semrush Data'!$A$1:$A$20000,0),MATCH("Intent",'Semrush Data'!$A$1:$Z$1,0)),"")</f>
        <v/>
      </c>
    </row>
    <row r="1339" ht="15" customHeight="1" s="37">
      <c r="A1339" s="42" t="inlineStr">
        <is>
          <t>anatome expression eau de parfum</t>
        </is>
      </c>
      <c r="B1339" s="42" t="inlineStr">
        <is>
          <t>Product + type</t>
        </is>
      </c>
      <c r="C1339" s="42" t="n">
        <v>2</v>
      </c>
      <c r="D1339" s="42" t="n">
        <v>14</v>
      </c>
      <c r="E1339" s="42" t="n">
        <v>3</v>
      </c>
      <c r="F1339" s="42" t="inlineStr">
        <is>
          <t>FR-033, FR-034, FR-035</t>
        </is>
      </c>
      <c r="G1339" s="55">
        <f>IFERROR(INDEX('Semrush Data'!$A$1:$Z$20000,MATCH(A1339,'Semrush Data'!$A$1:$A$20000,0),MATCH("Volume",'Semrush Data'!$A$1:$Z$1,0)),"")</f>
        <v/>
      </c>
      <c r="H1339" s="42">
        <f>IFERROR(INDEX('Semrush Data'!$A$1:$Z$20000,MATCH(A1339,'Semrush Data'!$A$1:$A$20000,0),MATCH("Keyword Difficulty*",'Semrush Data'!$A$1:$Z$1,0)),"")</f>
        <v/>
      </c>
      <c r="I1339" s="56">
        <f>IFERROR(INDEX('Semrush Data'!$A$1:$Z$20000,MATCH(A1339,'Semrush Data'!$A$1:$A$20000,0),MATCH("CPC*",'Semrush Data'!$A$1:$Z$1,0)),"")</f>
        <v/>
      </c>
      <c r="J1339" s="42">
        <f>IFERROR(INDEX('Semrush Data'!$A$1:$Z$20000,MATCH(A1339,'Semrush Data'!$A$1:$A$20000,0),MATCH("Intent",'Semrush Data'!$A$1:$Z$1,0)),"")</f>
        <v/>
      </c>
    </row>
    <row r="1340" ht="15" customHeight="1" s="37">
      <c r="A1340" s="42" t="inlineStr">
        <is>
          <t>anatome focus eau de parfum</t>
        </is>
      </c>
      <c r="B1340" s="42" t="inlineStr">
        <is>
          <t>Product + type</t>
        </is>
      </c>
      <c r="C1340" s="42" t="n">
        <v>2</v>
      </c>
      <c r="D1340" s="42" t="n">
        <v>14</v>
      </c>
      <c r="E1340" s="42" t="n">
        <v>3</v>
      </c>
      <c r="F1340" s="42" t="inlineStr">
        <is>
          <t>FR-036, FR-037, FR-038</t>
        </is>
      </c>
      <c r="G1340" s="55">
        <f>IFERROR(INDEX('Semrush Data'!$A$1:$Z$20000,MATCH(A1340,'Semrush Data'!$A$1:$A$20000,0),MATCH("Volume",'Semrush Data'!$A$1:$Z$1,0)),"")</f>
        <v/>
      </c>
      <c r="H1340" s="42">
        <f>IFERROR(INDEX('Semrush Data'!$A$1:$Z$20000,MATCH(A1340,'Semrush Data'!$A$1:$A$20000,0),MATCH("Keyword Difficulty*",'Semrush Data'!$A$1:$Z$1,0)),"")</f>
        <v/>
      </c>
      <c r="I1340" s="56">
        <f>IFERROR(INDEX('Semrush Data'!$A$1:$Z$20000,MATCH(A1340,'Semrush Data'!$A$1:$A$20000,0),MATCH("CPC*",'Semrush Data'!$A$1:$Z$1,0)),"")</f>
        <v/>
      </c>
      <c r="J1340" s="42">
        <f>IFERROR(INDEX('Semrush Data'!$A$1:$Z$20000,MATCH(A1340,'Semrush Data'!$A$1:$A$20000,0),MATCH("Intent",'Semrush Data'!$A$1:$Z$1,0)),"")</f>
        <v/>
      </c>
    </row>
    <row r="1341" ht="15" customHeight="1" s="37">
      <c r="A1341" s="42" t="inlineStr">
        <is>
          <t>anatome support eau de parfum</t>
        </is>
      </c>
      <c r="B1341" s="42" t="inlineStr">
        <is>
          <t>Product + type</t>
        </is>
      </c>
      <c r="C1341" s="42" t="n">
        <v>2</v>
      </c>
      <c r="D1341" s="42" t="n">
        <v>14</v>
      </c>
      <c r="E1341" s="42" t="n">
        <v>4</v>
      </c>
      <c r="F1341" s="42" t="inlineStr">
        <is>
          <t>FR-039, FR-040, FR-041, FR-042</t>
        </is>
      </c>
      <c r="G1341" s="55">
        <f>IFERROR(INDEX('Semrush Data'!$A$1:$Z$20000,MATCH(A1341,'Semrush Data'!$A$1:$A$20000,0),MATCH("Volume",'Semrush Data'!$A$1:$Z$1,0)),"")</f>
        <v/>
      </c>
      <c r="H1341" s="42">
        <f>IFERROR(INDEX('Semrush Data'!$A$1:$Z$20000,MATCH(A1341,'Semrush Data'!$A$1:$A$20000,0),MATCH("Keyword Difficulty*",'Semrush Data'!$A$1:$Z$1,0)),"")</f>
        <v/>
      </c>
      <c r="I1341" s="56">
        <f>IFERROR(INDEX('Semrush Data'!$A$1:$Z$20000,MATCH(A1341,'Semrush Data'!$A$1:$A$20000,0),MATCH("CPC*",'Semrush Data'!$A$1:$Z$1,0)),"")</f>
        <v/>
      </c>
      <c r="J1341" s="42">
        <f>IFERROR(INDEX('Semrush Data'!$A$1:$Z$20000,MATCH(A1341,'Semrush Data'!$A$1:$A$20000,0),MATCH("Intent",'Semrush Data'!$A$1:$Z$1,0)),"")</f>
        <v/>
      </c>
    </row>
    <row r="1342" ht="15" customHeight="1" s="37">
      <c r="A1342" s="42" t="inlineStr">
        <is>
          <t>anna sui sky eau de toilette</t>
        </is>
      </c>
      <c r="B1342" s="42" t="inlineStr">
        <is>
          <t>Product + type</t>
        </is>
      </c>
      <c r="C1342" s="42" t="n">
        <v>2</v>
      </c>
      <c r="D1342" s="42" t="inlineStr">
        <is>
          <t>T2-1</t>
        </is>
      </c>
      <c r="E1342" s="42" t="n">
        <v>1</v>
      </c>
      <c r="F1342" s="42" t="inlineStr">
        <is>
          <t>FR-043</t>
        </is>
      </c>
      <c r="G1342" s="55">
        <f>IFERROR(INDEX('Semrush Data'!$A$1:$Z$20000,MATCH(A1342,'Semrush Data'!$A$1:$A$20000,0),MATCH("Volume",'Semrush Data'!$A$1:$Z$1,0)),"")</f>
        <v/>
      </c>
      <c r="H1342" s="42">
        <f>IFERROR(INDEX('Semrush Data'!$A$1:$Z$20000,MATCH(A1342,'Semrush Data'!$A$1:$A$20000,0),MATCH("Keyword Difficulty*",'Semrush Data'!$A$1:$Z$1,0)),"")</f>
        <v/>
      </c>
      <c r="I1342" s="56">
        <f>IFERROR(INDEX('Semrush Data'!$A$1:$Z$20000,MATCH(A1342,'Semrush Data'!$A$1:$A$20000,0),MATCH("CPC*",'Semrush Data'!$A$1:$Z$1,0)),"")</f>
        <v/>
      </c>
      <c r="J1342" s="42">
        <f>IFERROR(INDEX('Semrush Data'!$A$1:$Z$20000,MATCH(A1342,'Semrush Data'!$A$1:$A$20000,0),MATCH("Intent",'Semrush Data'!$A$1:$Z$1,0)),"")</f>
        <v/>
      </c>
    </row>
    <row r="1343" ht="15" customHeight="1" s="37">
      <c r="A1343" s="42" t="inlineStr">
        <is>
          <t>antonio banderas boucheron patchouli d'angkor eau de parfum</t>
        </is>
      </c>
      <c r="B1343" s="42" t="inlineStr">
        <is>
          <t>Product + type</t>
        </is>
      </c>
      <c r="C1343" s="42" t="n">
        <v>2</v>
      </c>
      <c r="D1343" s="42" t="n">
        <v>14</v>
      </c>
      <c r="E1343" s="42" t="n">
        <v>1</v>
      </c>
      <c r="F1343" s="42" t="inlineStr">
        <is>
          <t>FR-044</t>
        </is>
      </c>
      <c r="G1343" s="55">
        <f>IFERROR(INDEX('Semrush Data'!$A$1:$Z$20000,MATCH(A1343,'Semrush Data'!$A$1:$A$20000,0),MATCH("Volume",'Semrush Data'!$A$1:$Z$1,0)),"")</f>
        <v/>
      </c>
      <c r="H1343" s="42">
        <f>IFERROR(INDEX('Semrush Data'!$A$1:$Z$20000,MATCH(A1343,'Semrush Data'!$A$1:$A$20000,0),MATCH("Keyword Difficulty*",'Semrush Data'!$A$1:$Z$1,0)),"")</f>
        <v/>
      </c>
      <c r="I1343" s="56">
        <f>IFERROR(INDEX('Semrush Data'!$A$1:$Z$20000,MATCH(A1343,'Semrush Data'!$A$1:$A$20000,0),MATCH("CPC*",'Semrush Data'!$A$1:$Z$1,0)),"")</f>
        <v/>
      </c>
      <c r="J1343" s="42">
        <f>IFERROR(INDEX('Semrush Data'!$A$1:$Z$20000,MATCH(A1343,'Semrush Data'!$A$1:$A$20000,0),MATCH("Intent",'Semrush Data'!$A$1:$Z$1,0)),"")</f>
        <v/>
      </c>
    </row>
    <row r="1344" ht="15" customHeight="1" s="37">
      <c r="A1344" s="42" t="inlineStr">
        <is>
          <t>antonio banderas boucheron rose d'isparta eau de parfum</t>
        </is>
      </c>
      <c r="B1344" s="42" t="inlineStr">
        <is>
          <t>Product + type</t>
        </is>
      </c>
      <c r="C1344" s="42" t="n">
        <v>2</v>
      </c>
      <c r="D1344" s="42" t="n">
        <v>14</v>
      </c>
      <c r="E1344" s="42" t="n">
        <v>1</v>
      </c>
      <c r="F1344" s="42" t="inlineStr">
        <is>
          <t>FR-045</t>
        </is>
      </c>
      <c r="G1344" s="55">
        <f>IFERROR(INDEX('Semrush Data'!$A$1:$Z$20000,MATCH(A1344,'Semrush Data'!$A$1:$A$20000,0),MATCH("Volume",'Semrush Data'!$A$1:$Z$1,0)),"")</f>
        <v/>
      </c>
      <c r="H1344" s="42">
        <f>IFERROR(INDEX('Semrush Data'!$A$1:$Z$20000,MATCH(A1344,'Semrush Data'!$A$1:$A$20000,0),MATCH("Keyword Difficulty*",'Semrush Data'!$A$1:$Z$1,0)),"")</f>
        <v/>
      </c>
      <c r="I1344" s="56">
        <f>IFERROR(INDEX('Semrush Data'!$A$1:$Z$20000,MATCH(A1344,'Semrush Data'!$A$1:$A$20000,0),MATCH("CPC*",'Semrush Data'!$A$1:$Z$1,0)),"")</f>
        <v/>
      </c>
      <c r="J1344" s="42">
        <f>IFERROR(INDEX('Semrush Data'!$A$1:$Z$20000,MATCH(A1344,'Semrush Data'!$A$1:$A$20000,0),MATCH("Intent",'Semrush Data'!$A$1:$Z$1,0)),"")</f>
        <v/>
      </c>
    </row>
    <row r="1345" ht="15" customHeight="1" s="37">
      <c r="A1345" s="42" t="inlineStr">
        <is>
          <t>antonio banderas diavolo eau de toilette</t>
        </is>
      </c>
      <c r="B1345" s="42" t="inlineStr">
        <is>
          <t>Product + type</t>
        </is>
      </c>
      <c r="C1345" s="42" t="n">
        <v>2</v>
      </c>
      <c r="D1345" s="42" t="n">
        <v>14</v>
      </c>
      <c r="E1345" s="42" t="n">
        <v>1</v>
      </c>
      <c r="F1345" s="42" t="inlineStr">
        <is>
          <t>FR-046</t>
        </is>
      </c>
      <c r="G1345" s="55">
        <f>IFERROR(INDEX('Semrush Data'!$A$1:$Z$20000,MATCH(A1345,'Semrush Data'!$A$1:$A$20000,0),MATCH("Volume",'Semrush Data'!$A$1:$Z$1,0)),"")</f>
        <v/>
      </c>
      <c r="H1345" s="42">
        <f>IFERROR(INDEX('Semrush Data'!$A$1:$Z$20000,MATCH(A1345,'Semrush Data'!$A$1:$A$20000,0),MATCH("Keyword Difficulty*",'Semrush Data'!$A$1:$Z$1,0)),"")</f>
        <v/>
      </c>
      <c r="I1345" s="56">
        <f>IFERROR(INDEX('Semrush Data'!$A$1:$Z$20000,MATCH(A1345,'Semrush Data'!$A$1:$A$20000,0),MATCH("CPC*",'Semrush Data'!$A$1:$Z$1,0)),"")</f>
        <v/>
      </c>
      <c r="J1345" s="42">
        <f>IFERROR(INDEX('Semrush Data'!$A$1:$Z$20000,MATCH(A1345,'Semrush Data'!$A$1:$A$20000,0),MATCH("Intent",'Semrush Data'!$A$1:$Z$1,0)),"")</f>
        <v/>
      </c>
    </row>
    <row r="1346" ht="15" customHeight="1" s="37">
      <c r="A1346" s="42" t="inlineStr">
        <is>
          <t>antonio banderas her secret desire eau de toilette</t>
        </is>
      </c>
      <c r="B1346" s="42" t="inlineStr">
        <is>
          <t>Product + type</t>
        </is>
      </c>
      <c r="C1346" s="42" t="n">
        <v>2</v>
      </c>
      <c r="D1346" s="42" t="n">
        <v>14</v>
      </c>
      <c r="E1346" s="42" t="n">
        <v>1</v>
      </c>
      <c r="F1346" s="42" t="inlineStr">
        <is>
          <t>FR-047</t>
        </is>
      </c>
      <c r="G1346" s="55">
        <f>IFERROR(INDEX('Semrush Data'!$A$1:$Z$20000,MATCH(A1346,'Semrush Data'!$A$1:$A$20000,0),MATCH("Volume",'Semrush Data'!$A$1:$Z$1,0)),"")</f>
        <v/>
      </c>
      <c r="H1346" s="42">
        <f>IFERROR(INDEX('Semrush Data'!$A$1:$Z$20000,MATCH(A1346,'Semrush Data'!$A$1:$A$20000,0),MATCH("Keyword Difficulty*",'Semrush Data'!$A$1:$Z$1,0)),"")</f>
        <v/>
      </c>
      <c r="I1346" s="56">
        <f>IFERROR(INDEX('Semrush Data'!$A$1:$Z$20000,MATCH(A1346,'Semrush Data'!$A$1:$A$20000,0),MATCH("CPC*",'Semrush Data'!$A$1:$Z$1,0)),"")</f>
        <v/>
      </c>
      <c r="J1346" s="42">
        <f>IFERROR(INDEX('Semrush Data'!$A$1:$Z$20000,MATCH(A1346,'Semrush Data'!$A$1:$A$20000,0),MATCH("Intent",'Semrush Data'!$A$1:$Z$1,0)),"")</f>
        <v/>
      </c>
    </row>
    <row r="1347" ht="15" customHeight="1" s="37">
      <c r="A1347" s="42" t="inlineStr">
        <is>
          <t>antonio banderas her secret temptation eau de toilette</t>
        </is>
      </c>
      <c r="B1347" s="42" t="inlineStr">
        <is>
          <t>Product + type</t>
        </is>
      </c>
      <c r="C1347" s="42" t="n">
        <v>2</v>
      </c>
      <c r="D1347" s="42" t="n">
        <v>14</v>
      </c>
      <c r="E1347" s="42" t="n">
        <v>1</v>
      </c>
      <c r="F1347" s="42" t="inlineStr">
        <is>
          <t>FR-048</t>
        </is>
      </c>
      <c r="G1347" s="55">
        <f>IFERROR(INDEX('Semrush Data'!$A$1:$Z$20000,MATCH(A1347,'Semrush Data'!$A$1:$A$20000,0),MATCH("Volume",'Semrush Data'!$A$1:$Z$1,0)),"")</f>
        <v/>
      </c>
      <c r="H1347" s="42">
        <f>IFERROR(INDEX('Semrush Data'!$A$1:$Z$20000,MATCH(A1347,'Semrush Data'!$A$1:$A$20000,0),MATCH("Keyword Difficulty*",'Semrush Data'!$A$1:$Z$1,0)),"")</f>
        <v/>
      </c>
      <c r="I1347" s="56">
        <f>IFERROR(INDEX('Semrush Data'!$A$1:$Z$20000,MATCH(A1347,'Semrush Data'!$A$1:$A$20000,0),MATCH("CPC*",'Semrush Data'!$A$1:$Z$1,0)),"")</f>
        <v/>
      </c>
      <c r="J1347" s="42">
        <f>IFERROR(INDEX('Semrush Data'!$A$1:$Z$20000,MATCH(A1347,'Semrush Data'!$A$1:$A$20000,0),MATCH("Intent",'Semrush Data'!$A$1:$Z$1,0)),"")</f>
        <v/>
      </c>
    </row>
    <row r="1348" ht="15" customHeight="1" s="37">
      <c r="A1348" s="42" t="inlineStr">
        <is>
          <t>antonio banderas power of seduction eau de toilette</t>
        </is>
      </c>
      <c r="B1348" s="42" t="inlineStr">
        <is>
          <t>Product + type</t>
        </is>
      </c>
      <c r="C1348" s="42" t="n">
        <v>2</v>
      </c>
      <c r="D1348" s="42" t="n">
        <v>14</v>
      </c>
      <c r="E1348" s="42" t="n">
        <v>1</v>
      </c>
      <c r="F1348" s="42" t="inlineStr">
        <is>
          <t>FR-049</t>
        </is>
      </c>
      <c r="G1348" s="55">
        <f>IFERROR(INDEX('Semrush Data'!$A$1:$Z$20000,MATCH(A1348,'Semrush Data'!$A$1:$A$20000,0),MATCH("Volume",'Semrush Data'!$A$1:$Z$1,0)),"")</f>
        <v/>
      </c>
      <c r="H1348" s="42">
        <f>IFERROR(INDEX('Semrush Data'!$A$1:$Z$20000,MATCH(A1348,'Semrush Data'!$A$1:$A$20000,0),MATCH("Keyword Difficulty*",'Semrush Data'!$A$1:$Z$1,0)),"")</f>
        <v/>
      </c>
      <c r="I1348" s="56">
        <f>IFERROR(INDEX('Semrush Data'!$A$1:$Z$20000,MATCH(A1348,'Semrush Data'!$A$1:$A$20000,0),MATCH("CPC*",'Semrush Data'!$A$1:$Z$1,0)),"")</f>
        <v/>
      </c>
      <c r="J1348" s="42">
        <f>IFERROR(INDEX('Semrush Data'!$A$1:$Z$20000,MATCH(A1348,'Semrush Data'!$A$1:$A$20000,0),MATCH("Intent",'Semrush Data'!$A$1:$Z$1,0)),"")</f>
        <v/>
      </c>
    </row>
    <row r="1349" ht="15" customHeight="1" s="37">
      <c r="A1349" s="42" t="inlineStr">
        <is>
          <t>ariana grande thank u, next eau de parfum</t>
        </is>
      </c>
      <c r="B1349" s="42" t="inlineStr">
        <is>
          <t>Product + type</t>
        </is>
      </c>
      <c r="C1349" s="42" t="n">
        <v>2</v>
      </c>
      <c r="D1349" s="42" t="n">
        <v>14</v>
      </c>
      <c r="E1349" s="42" t="n">
        <v>1</v>
      </c>
      <c r="F1349" s="42" t="inlineStr">
        <is>
          <t>FR-050</t>
        </is>
      </c>
      <c r="G1349" s="55">
        <f>IFERROR(INDEX('Semrush Data'!$A$1:$Z$20000,MATCH(A1349,'Semrush Data'!$A$1:$A$20000,0),MATCH("Volume",'Semrush Data'!$A$1:$Z$1,0)),"")</f>
        <v/>
      </c>
      <c r="H1349" s="42">
        <f>IFERROR(INDEX('Semrush Data'!$A$1:$Z$20000,MATCH(A1349,'Semrush Data'!$A$1:$A$20000,0),MATCH("Keyword Difficulty*",'Semrush Data'!$A$1:$Z$1,0)),"")</f>
        <v/>
      </c>
      <c r="I1349" s="56">
        <f>IFERROR(INDEX('Semrush Data'!$A$1:$Z$20000,MATCH(A1349,'Semrush Data'!$A$1:$A$20000,0),MATCH("CPC*",'Semrush Data'!$A$1:$Z$1,0)),"")</f>
        <v/>
      </c>
      <c r="J1349" s="42">
        <f>IFERROR(INDEX('Semrush Data'!$A$1:$Z$20000,MATCH(A1349,'Semrush Data'!$A$1:$A$20000,0),MATCH("Intent",'Semrush Data'!$A$1:$Z$1,0)),"")</f>
        <v/>
      </c>
    </row>
    <row r="1350" ht="15" customHeight="1" s="37">
      <c r="A1350" s="42" t="inlineStr">
        <is>
          <t>armaf hunter eau de parfum</t>
        </is>
      </c>
      <c r="B1350" s="42" t="inlineStr">
        <is>
          <t>Product + type</t>
        </is>
      </c>
      <c r="C1350" s="42" t="n">
        <v>2</v>
      </c>
      <c r="D1350" s="42" t="inlineStr">
        <is>
          <t>T2-2</t>
        </is>
      </c>
      <c r="E1350" s="42" t="n">
        <v>1</v>
      </c>
      <c r="F1350" s="42" t="inlineStr">
        <is>
          <t>FR-051</t>
        </is>
      </c>
      <c r="G1350" s="55">
        <f>IFERROR(INDEX('Semrush Data'!$A$1:$Z$20000,MATCH(A1350,'Semrush Data'!$A$1:$A$20000,0),MATCH("Volume",'Semrush Data'!$A$1:$Z$1,0)),"")</f>
        <v/>
      </c>
      <c r="H1350" s="42">
        <f>IFERROR(INDEX('Semrush Data'!$A$1:$Z$20000,MATCH(A1350,'Semrush Data'!$A$1:$A$20000,0),MATCH("Keyword Difficulty*",'Semrush Data'!$A$1:$Z$1,0)),"")</f>
        <v/>
      </c>
      <c r="I1350" s="56">
        <f>IFERROR(INDEX('Semrush Data'!$A$1:$Z$20000,MATCH(A1350,'Semrush Data'!$A$1:$A$20000,0),MATCH("CPC*",'Semrush Data'!$A$1:$Z$1,0)),"")</f>
        <v/>
      </c>
      <c r="J1350" s="42">
        <f>IFERROR(INDEX('Semrush Data'!$A$1:$Z$20000,MATCH(A1350,'Semrush Data'!$A$1:$A$20000,0),MATCH("Intent",'Semrush Data'!$A$1:$Z$1,0)),"")</f>
        <v/>
      </c>
    </row>
    <row r="1351" ht="15" customHeight="1" s="37">
      <c r="A1351" s="42" t="inlineStr">
        <is>
          <t>bentley absolute eau de parfum</t>
        </is>
      </c>
      <c r="B1351" s="42" t="inlineStr">
        <is>
          <t>Product + type</t>
        </is>
      </c>
      <c r="C1351" s="42" t="n">
        <v>2</v>
      </c>
      <c r="D1351" s="42" t="inlineStr">
        <is>
          <t>T2-2</t>
        </is>
      </c>
      <c r="E1351" s="42" t="n">
        <v>1</v>
      </c>
      <c r="F1351" s="42" t="inlineStr">
        <is>
          <t>FR-054</t>
        </is>
      </c>
      <c r="G1351" s="55">
        <f>IFERROR(INDEX('Semrush Data'!$A$1:$Z$20000,MATCH(A1351,'Semrush Data'!$A$1:$A$20000,0),MATCH("Volume",'Semrush Data'!$A$1:$Z$1,0)),"")</f>
        <v/>
      </c>
      <c r="H1351" s="42">
        <f>IFERROR(INDEX('Semrush Data'!$A$1:$Z$20000,MATCH(A1351,'Semrush Data'!$A$1:$A$20000,0),MATCH("Keyword Difficulty*",'Semrush Data'!$A$1:$Z$1,0)),"")</f>
        <v/>
      </c>
      <c r="I1351" s="56">
        <f>IFERROR(INDEX('Semrush Data'!$A$1:$Z$20000,MATCH(A1351,'Semrush Data'!$A$1:$A$20000,0),MATCH("CPC*",'Semrush Data'!$A$1:$Z$1,0)),"")</f>
        <v/>
      </c>
      <c r="J1351" s="42">
        <f>IFERROR(INDEX('Semrush Data'!$A$1:$Z$20000,MATCH(A1351,'Semrush Data'!$A$1:$A$20000,0),MATCH("Intent",'Semrush Data'!$A$1:$Z$1,0)),"")</f>
        <v/>
      </c>
    </row>
    <row r="1352" ht="15" customHeight="1" s="37">
      <c r="A1352" s="42" t="inlineStr">
        <is>
          <t>bentley azure eau de toilette</t>
        </is>
      </c>
      <c r="B1352" s="42" t="inlineStr">
        <is>
          <t>Product + type</t>
        </is>
      </c>
      <c r="C1352" s="42" t="n">
        <v>2</v>
      </c>
      <c r="D1352" s="42" t="inlineStr">
        <is>
          <t>T2-1</t>
        </is>
      </c>
      <c r="E1352" s="42" t="n">
        <v>1</v>
      </c>
      <c r="F1352" s="42" t="inlineStr">
        <is>
          <t>FR-058</t>
        </is>
      </c>
      <c r="G1352" s="55">
        <f>IFERROR(INDEX('Semrush Data'!$A$1:$Z$20000,MATCH(A1352,'Semrush Data'!$A$1:$A$20000,0),MATCH("Volume",'Semrush Data'!$A$1:$Z$1,0)),"")</f>
        <v/>
      </c>
      <c r="H1352" s="42">
        <f>IFERROR(INDEX('Semrush Data'!$A$1:$Z$20000,MATCH(A1352,'Semrush Data'!$A$1:$A$20000,0),MATCH("Keyword Difficulty*",'Semrush Data'!$A$1:$Z$1,0)),"")</f>
        <v/>
      </c>
      <c r="I1352" s="56">
        <f>IFERROR(INDEX('Semrush Data'!$A$1:$Z$20000,MATCH(A1352,'Semrush Data'!$A$1:$A$20000,0),MATCH("CPC*",'Semrush Data'!$A$1:$Z$1,0)),"")</f>
        <v/>
      </c>
      <c r="J1352" s="42">
        <f>IFERROR(INDEX('Semrush Data'!$A$1:$Z$20000,MATCH(A1352,'Semrush Data'!$A$1:$A$20000,0),MATCH("Intent",'Semrush Data'!$A$1:$Z$1,0)),"")</f>
        <v/>
      </c>
    </row>
    <row r="1353" ht="15" customHeight="1" s="37">
      <c r="A1353" s="42" t="inlineStr">
        <is>
          <t>bentley azzaro chrome legend eau de toilette</t>
        </is>
      </c>
      <c r="B1353" s="42" t="inlineStr">
        <is>
          <t>Product + type</t>
        </is>
      </c>
      <c r="C1353" s="42" t="n">
        <v>2</v>
      </c>
      <c r="D1353" s="42" t="n">
        <v>14</v>
      </c>
      <c r="E1353" s="42" t="n">
        <v>2</v>
      </c>
      <c r="F1353" s="42" t="inlineStr">
        <is>
          <t>FR-056, FR-057</t>
        </is>
      </c>
      <c r="G1353" s="55">
        <f>IFERROR(INDEX('Semrush Data'!$A$1:$Z$20000,MATCH(A1353,'Semrush Data'!$A$1:$A$20000,0),MATCH("Volume",'Semrush Data'!$A$1:$Z$1,0)),"")</f>
        <v/>
      </c>
      <c r="H1353" s="42">
        <f>IFERROR(INDEX('Semrush Data'!$A$1:$Z$20000,MATCH(A1353,'Semrush Data'!$A$1:$A$20000,0),MATCH("Keyword Difficulty*",'Semrush Data'!$A$1:$Z$1,0)),"")</f>
        <v/>
      </c>
      <c r="I1353" s="56">
        <f>IFERROR(INDEX('Semrush Data'!$A$1:$Z$20000,MATCH(A1353,'Semrush Data'!$A$1:$A$20000,0),MATCH("CPC*",'Semrush Data'!$A$1:$Z$1,0)),"")</f>
        <v/>
      </c>
      <c r="J1353" s="42">
        <f>IFERROR(INDEX('Semrush Data'!$A$1:$Z$20000,MATCH(A1353,'Semrush Data'!$A$1:$A$20000,0),MATCH("Intent",'Semrush Data'!$A$1:$Z$1,0)),"")</f>
        <v/>
      </c>
    </row>
    <row r="1354" ht="15" customHeight="1" s="37">
      <c r="A1354" s="42" t="inlineStr">
        <is>
          <t>bentley azzaro the most wanted parfum</t>
        </is>
      </c>
      <c r="B1354" s="42" t="inlineStr">
        <is>
          <t>Product + type</t>
        </is>
      </c>
      <c r="C1354" s="42" t="n">
        <v>2</v>
      </c>
      <c r="D1354" s="42" t="n">
        <v>14</v>
      </c>
      <c r="E1354" s="42" t="n">
        <v>1</v>
      </c>
      <c r="F1354" s="42" t="inlineStr">
        <is>
          <t>FR-062</t>
        </is>
      </c>
      <c r="G1354" s="55">
        <f>IFERROR(INDEX('Semrush Data'!$A$1:$Z$20000,MATCH(A1354,'Semrush Data'!$A$1:$A$20000,0),MATCH("Volume",'Semrush Data'!$A$1:$Z$1,0)),"")</f>
        <v/>
      </c>
      <c r="H1354" s="42">
        <f>IFERROR(INDEX('Semrush Data'!$A$1:$Z$20000,MATCH(A1354,'Semrush Data'!$A$1:$A$20000,0),MATCH("Keyword Difficulty*",'Semrush Data'!$A$1:$Z$1,0)),"")</f>
        <v/>
      </c>
      <c r="I1354" s="56">
        <f>IFERROR(INDEX('Semrush Data'!$A$1:$Z$20000,MATCH(A1354,'Semrush Data'!$A$1:$A$20000,0),MATCH("CPC*",'Semrush Data'!$A$1:$Z$1,0)),"")</f>
        <v/>
      </c>
      <c r="J1354" s="42">
        <f>IFERROR(INDEX('Semrush Data'!$A$1:$Z$20000,MATCH(A1354,'Semrush Data'!$A$1:$A$20000,0),MATCH("Intent",'Semrush Data'!$A$1:$Z$1,0)),"")</f>
        <v/>
      </c>
    </row>
    <row r="1355" ht="15" customHeight="1" s="37">
      <c r="A1355" s="42" t="inlineStr">
        <is>
          <t>bentley become eau de parfum</t>
        </is>
      </c>
      <c r="B1355" s="42" t="inlineStr">
        <is>
          <t>Product + type</t>
        </is>
      </c>
      <c r="C1355" s="42" t="n">
        <v>2</v>
      </c>
      <c r="D1355" s="42" t="inlineStr">
        <is>
          <t>T2-2</t>
        </is>
      </c>
      <c r="E1355" s="42" t="n">
        <v>1</v>
      </c>
      <c r="F1355" s="42" t="inlineStr">
        <is>
          <t>FR-053</t>
        </is>
      </c>
      <c r="G1355" s="55">
        <f>IFERROR(INDEX('Semrush Data'!$A$1:$Z$20000,MATCH(A1355,'Semrush Data'!$A$1:$A$20000,0),MATCH("Volume",'Semrush Data'!$A$1:$Z$1,0)),"")</f>
        <v/>
      </c>
      <c r="H1355" s="42">
        <f>IFERROR(INDEX('Semrush Data'!$A$1:$Z$20000,MATCH(A1355,'Semrush Data'!$A$1:$A$20000,0),MATCH("Keyword Difficulty*",'Semrush Data'!$A$1:$Z$1,0)),"")</f>
        <v/>
      </c>
      <c r="I1355" s="56">
        <f>IFERROR(INDEX('Semrush Data'!$A$1:$Z$20000,MATCH(A1355,'Semrush Data'!$A$1:$A$20000,0),MATCH("CPC*",'Semrush Data'!$A$1:$Z$1,0)),"")</f>
        <v/>
      </c>
      <c r="J1355" s="42">
        <f>IFERROR(INDEX('Semrush Data'!$A$1:$Z$20000,MATCH(A1355,'Semrush Data'!$A$1:$A$20000,0),MATCH("Intent",'Semrush Data'!$A$1:$Z$1,0)),"")</f>
        <v/>
      </c>
    </row>
    <row r="1356" ht="15" customHeight="1" s="37">
      <c r="A1356" s="42" t="inlineStr">
        <is>
          <t>bentley infinite eau de toilette</t>
        </is>
      </c>
      <c r="B1356" s="42" t="inlineStr">
        <is>
          <t>Product + type</t>
        </is>
      </c>
      <c r="C1356" s="42" t="n">
        <v>2</v>
      </c>
      <c r="D1356" s="42" t="n">
        <v>14</v>
      </c>
      <c r="E1356" s="42" t="n">
        <v>1</v>
      </c>
      <c r="F1356" s="42" t="inlineStr">
        <is>
          <t>FR-059</t>
        </is>
      </c>
      <c r="G1356" s="55">
        <f>IFERROR(INDEX('Semrush Data'!$A$1:$Z$20000,MATCH(A1356,'Semrush Data'!$A$1:$A$20000,0),MATCH("Volume",'Semrush Data'!$A$1:$Z$1,0)),"")</f>
        <v/>
      </c>
      <c r="H1356" s="42">
        <f>IFERROR(INDEX('Semrush Data'!$A$1:$Z$20000,MATCH(A1356,'Semrush Data'!$A$1:$A$20000,0),MATCH("Keyword Difficulty*",'Semrush Data'!$A$1:$Z$1,0)),"")</f>
        <v/>
      </c>
      <c r="I1356" s="56">
        <f>IFERROR(INDEX('Semrush Data'!$A$1:$Z$20000,MATCH(A1356,'Semrush Data'!$A$1:$A$20000,0),MATCH("CPC*",'Semrush Data'!$A$1:$Z$1,0)),"")</f>
        <v/>
      </c>
      <c r="J1356" s="42">
        <f>IFERROR(INDEX('Semrush Data'!$A$1:$Z$20000,MATCH(A1356,'Semrush Data'!$A$1:$A$20000,0),MATCH("Intent",'Semrush Data'!$A$1:$Z$1,0)),"")</f>
        <v/>
      </c>
    </row>
    <row r="1357" ht="15" customHeight="1" s="37">
      <c r="A1357" s="42" t="inlineStr">
        <is>
          <t>bentley momentum unlimited eau de toilette</t>
        </is>
      </c>
      <c r="B1357" s="42" t="inlineStr">
        <is>
          <t>Product + type</t>
        </is>
      </c>
      <c r="C1357" s="42" t="n">
        <v>2</v>
      </c>
      <c r="D1357" s="42" t="n">
        <v>14</v>
      </c>
      <c r="E1357" s="42" t="n">
        <v>1</v>
      </c>
      <c r="F1357" s="42" t="inlineStr">
        <is>
          <t>FR-060</t>
        </is>
      </c>
      <c r="G1357" s="55">
        <f>IFERROR(INDEX('Semrush Data'!$A$1:$Z$20000,MATCH(A1357,'Semrush Data'!$A$1:$A$20000,0),MATCH("Volume",'Semrush Data'!$A$1:$Z$1,0)),"")</f>
        <v/>
      </c>
      <c r="H1357" s="42">
        <f>IFERROR(INDEX('Semrush Data'!$A$1:$Z$20000,MATCH(A1357,'Semrush Data'!$A$1:$A$20000,0),MATCH("Keyword Difficulty*",'Semrush Data'!$A$1:$Z$1,0)),"")</f>
        <v/>
      </c>
      <c r="I1357" s="56">
        <f>IFERROR(INDEX('Semrush Data'!$A$1:$Z$20000,MATCH(A1357,'Semrush Data'!$A$1:$A$20000,0),MATCH("CPC*",'Semrush Data'!$A$1:$Z$1,0)),"")</f>
        <v/>
      </c>
      <c r="J1357" s="42">
        <f>IFERROR(INDEX('Semrush Data'!$A$1:$Z$20000,MATCH(A1357,'Semrush Data'!$A$1:$A$20000,0),MATCH("Intent",'Semrush Data'!$A$1:$Z$1,0)),"")</f>
        <v/>
      </c>
    </row>
    <row r="1358" ht="15" customHeight="1" s="37">
      <c r="A1358" s="42" t="inlineStr">
        <is>
          <t>bentley silverlake eau de parfum</t>
        </is>
      </c>
      <c r="B1358" s="42" t="inlineStr">
        <is>
          <t>Product + type</t>
        </is>
      </c>
      <c r="C1358" s="42" t="n">
        <v>2</v>
      </c>
      <c r="D1358" s="42" t="inlineStr">
        <is>
          <t>T2-1</t>
        </is>
      </c>
      <c r="E1358" s="42" t="n">
        <v>1</v>
      </c>
      <c r="F1358" s="42" t="inlineStr">
        <is>
          <t>FR-055</t>
        </is>
      </c>
      <c r="G1358" s="55">
        <f>IFERROR(INDEX('Semrush Data'!$A$1:$Z$20000,MATCH(A1358,'Semrush Data'!$A$1:$A$20000,0),MATCH("Volume",'Semrush Data'!$A$1:$Z$1,0)),"")</f>
        <v/>
      </c>
      <c r="H1358" s="42">
        <f>IFERROR(INDEX('Semrush Data'!$A$1:$Z$20000,MATCH(A1358,'Semrush Data'!$A$1:$A$20000,0),MATCH("Keyword Difficulty*",'Semrush Data'!$A$1:$Z$1,0)),"")</f>
        <v/>
      </c>
      <c r="I1358" s="56">
        <f>IFERROR(INDEX('Semrush Data'!$A$1:$Z$20000,MATCH(A1358,'Semrush Data'!$A$1:$A$20000,0),MATCH("CPC*",'Semrush Data'!$A$1:$Z$1,0)),"")</f>
        <v/>
      </c>
      <c r="J1358" s="42">
        <f>IFERROR(INDEX('Semrush Data'!$A$1:$Z$20000,MATCH(A1358,'Semrush Data'!$A$1:$A$20000,0),MATCH("Intent",'Semrush Data'!$A$1:$Z$1,0)),"")</f>
        <v/>
      </c>
    </row>
    <row r="1359" ht="15" customHeight="1" s="37">
      <c r="A1359" s="42" t="inlineStr">
        <is>
          <t>burberry my burberry black parfum</t>
        </is>
      </c>
      <c r="B1359" s="42" t="inlineStr">
        <is>
          <t>Product + type</t>
        </is>
      </c>
      <c r="C1359" s="42" t="n">
        <v>2</v>
      </c>
      <c r="D1359" s="42" t="inlineStr">
        <is>
          <t>T2-1</t>
        </is>
      </c>
      <c r="E1359" s="42" t="n">
        <v>2</v>
      </c>
      <c r="F1359" s="42" t="inlineStr">
        <is>
          <t>FR-066, FR-067</t>
        </is>
      </c>
      <c r="G1359" s="55">
        <f>IFERROR(INDEX('Semrush Data'!$A$1:$Z$20000,MATCH(A1359,'Semrush Data'!$A$1:$A$20000,0),MATCH("Volume",'Semrush Data'!$A$1:$Z$1,0)),"")</f>
        <v/>
      </c>
      <c r="H1359" s="42">
        <f>IFERROR(INDEX('Semrush Data'!$A$1:$Z$20000,MATCH(A1359,'Semrush Data'!$A$1:$A$20000,0),MATCH("Keyword Difficulty*",'Semrush Data'!$A$1:$Z$1,0)),"")</f>
        <v/>
      </c>
      <c r="I1359" s="56">
        <f>IFERROR(INDEX('Semrush Data'!$A$1:$Z$20000,MATCH(A1359,'Semrush Data'!$A$1:$A$20000,0),MATCH("CPC*",'Semrush Data'!$A$1:$Z$1,0)),"")</f>
        <v/>
      </c>
      <c r="J1359" s="42">
        <f>IFERROR(INDEX('Semrush Data'!$A$1:$Z$20000,MATCH(A1359,'Semrush Data'!$A$1:$A$20000,0),MATCH("Intent",'Semrush Data'!$A$1:$Z$1,0)),"")</f>
        <v/>
      </c>
    </row>
    <row r="1360" ht="15" customHeight="1" s="37">
      <c r="A1360" s="42" t="inlineStr">
        <is>
          <t>burberry my burberry eau de parfum</t>
        </is>
      </c>
      <c r="B1360" s="42" t="inlineStr">
        <is>
          <t>Product + type</t>
        </is>
      </c>
      <c r="C1360" s="42" t="n">
        <v>2</v>
      </c>
      <c r="D1360" s="42" t="inlineStr">
        <is>
          <t>T2-1</t>
        </is>
      </c>
      <c r="E1360" s="42" t="n">
        <v>2</v>
      </c>
      <c r="F1360" s="42" t="inlineStr">
        <is>
          <t>FR-063, FR-064</t>
        </is>
      </c>
      <c r="G1360" s="55">
        <f>IFERROR(INDEX('Semrush Data'!$A$1:$Z$20000,MATCH(A1360,'Semrush Data'!$A$1:$A$20000,0),MATCH("Volume",'Semrush Data'!$A$1:$Z$1,0)),"")</f>
        <v/>
      </c>
      <c r="H1360" s="42">
        <f>IFERROR(INDEX('Semrush Data'!$A$1:$Z$20000,MATCH(A1360,'Semrush Data'!$A$1:$A$20000,0),MATCH("Keyword Difficulty*",'Semrush Data'!$A$1:$Z$1,0)),"")</f>
        <v/>
      </c>
      <c r="I1360" s="56">
        <f>IFERROR(INDEX('Semrush Data'!$A$1:$Z$20000,MATCH(A1360,'Semrush Data'!$A$1:$A$20000,0),MATCH("CPC*",'Semrush Data'!$A$1:$Z$1,0)),"")</f>
        <v/>
      </c>
      <c r="J1360" s="42">
        <f>IFERROR(INDEX('Semrush Data'!$A$1:$Z$20000,MATCH(A1360,'Semrush Data'!$A$1:$A$20000,0),MATCH("Intent",'Semrush Data'!$A$1:$Z$1,0)),"")</f>
        <v/>
      </c>
    </row>
    <row r="1361" ht="15" customHeight="1" s="37">
      <c r="A1361" s="42" t="inlineStr">
        <is>
          <t>bvlgari man in black eau de parfum</t>
        </is>
      </c>
      <c r="B1361" s="42" t="inlineStr">
        <is>
          <t>Product + type</t>
        </is>
      </c>
      <c r="C1361" s="42" t="n">
        <v>2</v>
      </c>
      <c r="D1361" s="42" t="inlineStr">
        <is>
          <t>T2-1</t>
        </is>
      </c>
      <c r="E1361" s="42" t="n">
        <v>1</v>
      </c>
      <c r="F1361" s="42" t="inlineStr">
        <is>
          <t>FR-068</t>
        </is>
      </c>
      <c r="G1361" s="55">
        <f>IFERROR(INDEX('Semrush Data'!$A$1:$Z$20000,MATCH(A1361,'Semrush Data'!$A$1:$A$20000,0),MATCH("Volume",'Semrush Data'!$A$1:$Z$1,0)),"")</f>
        <v/>
      </c>
      <c r="H1361" s="42">
        <f>IFERROR(INDEX('Semrush Data'!$A$1:$Z$20000,MATCH(A1361,'Semrush Data'!$A$1:$A$20000,0),MATCH("Keyword Difficulty*",'Semrush Data'!$A$1:$Z$1,0)),"")</f>
        <v/>
      </c>
      <c r="I1361" s="56">
        <f>IFERROR(INDEX('Semrush Data'!$A$1:$Z$20000,MATCH(A1361,'Semrush Data'!$A$1:$A$20000,0),MATCH("CPC*",'Semrush Data'!$A$1:$Z$1,0)),"")</f>
        <v/>
      </c>
      <c r="J1361" s="42">
        <f>IFERROR(INDEX('Semrush Data'!$A$1:$Z$20000,MATCH(A1361,'Semrush Data'!$A$1:$A$20000,0),MATCH("Intent",'Semrush Data'!$A$1:$Z$1,0)),"")</f>
        <v/>
      </c>
    </row>
    <row r="1362" ht="15" customHeight="1" s="37">
      <c r="A1362" s="42" t="inlineStr">
        <is>
          <t>bvlgari omnia amethyste eau de toilette</t>
        </is>
      </c>
      <c r="B1362" s="42" t="inlineStr">
        <is>
          <t>Product + type</t>
        </is>
      </c>
      <c r="C1362" s="42" t="n">
        <v>2</v>
      </c>
      <c r="D1362" s="42" t="inlineStr">
        <is>
          <t>T2-1</t>
        </is>
      </c>
      <c r="E1362" s="42" t="n">
        <v>1</v>
      </c>
      <c r="F1362" s="42" t="inlineStr">
        <is>
          <t>FR-070</t>
        </is>
      </c>
      <c r="G1362" s="55">
        <f>IFERROR(INDEX('Semrush Data'!$A$1:$Z$20000,MATCH(A1362,'Semrush Data'!$A$1:$A$20000,0),MATCH("Volume",'Semrush Data'!$A$1:$Z$1,0)),"")</f>
        <v/>
      </c>
      <c r="H1362" s="42">
        <f>IFERROR(INDEX('Semrush Data'!$A$1:$Z$20000,MATCH(A1362,'Semrush Data'!$A$1:$A$20000,0),MATCH("Keyword Difficulty*",'Semrush Data'!$A$1:$Z$1,0)),"")</f>
        <v/>
      </c>
      <c r="I1362" s="56">
        <f>IFERROR(INDEX('Semrush Data'!$A$1:$Z$20000,MATCH(A1362,'Semrush Data'!$A$1:$A$20000,0),MATCH("CPC*",'Semrush Data'!$A$1:$Z$1,0)),"")</f>
        <v/>
      </c>
      <c r="J1362" s="42">
        <f>IFERROR(INDEX('Semrush Data'!$A$1:$Z$20000,MATCH(A1362,'Semrush Data'!$A$1:$A$20000,0),MATCH("Intent",'Semrush Data'!$A$1:$Z$1,0)),"")</f>
        <v/>
      </c>
    </row>
    <row r="1363" ht="15" customHeight="1" s="37">
      <c r="A1363" s="42" t="inlineStr">
        <is>
          <t>bvlgari splendida tubereuse mystique eau de parfum</t>
        </is>
      </c>
      <c r="B1363" s="42" t="inlineStr">
        <is>
          <t>Product + type</t>
        </is>
      </c>
      <c r="C1363" s="42" t="n">
        <v>2</v>
      </c>
      <c r="D1363" s="42" t="n">
        <v>14</v>
      </c>
      <c r="E1363" s="42" t="n">
        <v>1</v>
      </c>
      <c r="F1363" s="42" t="inlineStr">
        <is>
          <t>FR-069</t>
        </is>
      </c>
      <c r="G1363" s="55">
        <f>IFERROR(INDEX('Semrush Data'!$A$1:$Z$20000,MATCH(A1363,'Semrush Data'!$A$1:$A$20000,0),MATCH("Volume",'Semrush Data'!$A$1:$Z$1,0)),"")</f>
        <v/>
      </c>
      <c r="H1363" s="42">
        <f>IFERROR(INDEX('Semrush Data'!$A$1:$Z$20000,MATCH(A1363,'Semrush Data'!$A$1:$A$20000,0),MATCH("Keyword Difficulty*",'Semrush Data'!$A$1:$Z$1,0)),"")</f>
        <v/>
      </c>
      <c r="I1363" s="56">
        <f>IFERROR(INDEX('Semrush Data'!$A$1:$Z$20000,MATCH(A1363,'Semrush Data'!$A$1:$A$20000,0),MATCH("CPC*",'Semrush Data'!$A$1:$Z$1,0)),"")</f>
        <v/>
      </c>
      <c r="J1363" s="42">
        <f>IFERROR(INDEX('Semrush Data'!$A$1:$Z$20000,MATCH(A1363,'Semrush Data'!$A$1:$A$20000,0),MATCH("Intent",'Semrush Data'!$A$1:$Z$1,0)),"")</f>
        <v/>
      </c>
    </row>
    <row r="1364" ht="15" customHeight="1" s="37">
      <c r="A1364" s="42" t="inlineStr">
        <is>
          <t>calvin klein defy miniature eau de parfum</t>
        </is>
      </c>
      <c r="B1364" s="42" t="inlineStr">
        <is>
          <t>Product + type</t>
        </is>
      </c>
      <c r="C1364" s="42" t="n">
        <v>2</v>
      </c>
      <c r="D1364" s="42" t="n">
        <v>14</v>
      </c>
      <c r="E1364" s="42" t="n">
        <v>1</v>
      </c>
      <c r="F1364" s="42" t="inlineStr">
        <is>
          <t>FR-076</t>
        </is>
      </c>
      <c r="G1364" s="55">
        <f>IFERROR(INDEX('Semrush Data'!$A$1:$Z$20000,MATCH(A1364,'Semrush Data'!$A$1:$A$20000,0),MATCH("Volume",'Semrush Data'!$A$1:$Z$1,0)),"")</f>
        <v/>
      </c>
      <c r="H1364" s="42">
        <f>IFERROR(INDEX('Semrush Data'!$A$1:$Z$20000,MATCH(A1364,'Semrush Data'!$A$1:$A$20000,0),MATCH("Keyword Difficulty*",'Semrush Data'!$A$1:$Z$1,0)),"")</f>
        <v/>
      </c>
      <c r="I1364" s="56">
        <f>IFERROR(INDEX('Semrush Data'!$A$1:$Z$20000,MATCH(A1364,'Semrush Data'!$A$1:$A$20000,0),MATCH("CPC*",'Semrush Data'!$A$1:$Z$1,0)),"")</f>
        <v/>
      </c>
      <c r="J1364" s="42">
        <f>IFERROR(INDEX('Semrush Data'!$A$1:$Z$20000,MATCH(A1364,'Semrush Data'!$A$1:$A$20000,0),MATCH("Intent",'Semrush Data'!$A$1:$Z$1,0)),"")</f>
        <v/>
      </c>
    </row>
    <row r="1365" ht="15" customHeight="1" s="37">
      <c r="A1365" s="42" t="inlineStr">
        <is>
          <t>calvin klein defy parfum</t>
        </is>
      </c>
      <c r="B1365" s="42" t="inlineStr">
        <is>
          <t>Product + type</t>
        </is>
      </c>
      <c r="C1365" s="42" t="n">
        <v>2</v>
      </c>
      <c r="D1365" s="42" t="inlineStr">
        <is>
          <t>T2-1</t>
        </is>
      </c>
      <c r="E1365" s="42" t="n">
        <v>2</v>
      </c>
      <c r="F1365" s="42" t="inlineStr">
        <is>
          <t>FR-082, FR-083</t>
        </is>
      </c>
      <c r="G1365" s="55">
        <f>IFERROR(INDEX('Semrush Data'!$A$1:$Z$20000,MATCH(A1365,'Semrush Data'!$A$1:$A$20000,0),MATCH("Volume",'Semrush Data'!$A$1:$Z$1,0)),"")</f>
        <v/>
      </c>
      <c r="H1365" s="42">
        <f>IFERROR(INDEX('Semrush Data'!$A$1:$Z$20000,MATCH(A1365,'Semrush Data'!$A$1:$A$20000,0),MATCH("Keyword Difficulty*",'Semrush Data'!$A$1:$Z$1,0)),"")</f>
        <v/>
      </c>
      <c r="I1365" s="56">
        <f>IFERROR(INDEX('Semrush Data'!$A$1:$Z$20000,MATCH(A1365,'Semrush Data'!$A$1:$A$20000,0),MATCH("CPC*",'Semrush Data'!$A$1:$Z$1,0)),"")</f>
        <v/>
      </c>
      <c r="J1365" s="42">
        <f>IFERROR(INDEX('Semrush Data'!$A$1:$Z$20000,MATCH(A1365,'Semrush Data'!$A$1:$A$20000,0),MATCH("Intent",'Semrush Data'!$A$1:$Z$1,0)),"")</f>
        <v/>
      </c>
    </row>
    <row r="1366" ht="15" customHeight="1" s="37">
      <c r="A1366" s="42" t="inlineStr">
        <is>
          <t>calvin klein defy parfum miniature parfum</t>
        </is>
      </c>
      <c r="B1366" s="42" t="inlineStr">
        <is>
          <t>Product + type</t>
        </is>
      </c>
      <c r="C1366" s="42" t="n">
        <v>2</v>
      </c>
      <c r="D1366" s="42" t="n">
        <v>14</v>
      </c>
      <c r="E1366" s="42" t="n">
        <v>1</v>
      </c>
      <c r="F1366" s="42" t="inlineStr">
        <is>
          <t>FR-081</t>
        </is>
      </c>
      <c r="G1366" s="55">
        <f>IFERROR(INDEX('Semrush Data'!$A$1:$Z$20000,MATCH(A1366,'Semrush Data'!$A$1:$A$20000,0),MATCH("Volume",'Semrush Data'!$A$1:$Z$1,0)),"")</f>
        <v/>
      </c>
      <c r="H1366" s="42">
        <f>IFERROR(INDEX('Semrush Data'!$A$1:$Z$20000,MATCH(A1366,'Semrush Data'!$A$1:$A$20000,0),MATCH("Keyword Difficulty*",'Semrush Data'!$A$1:$Z$1,0)),"")</f>
        <v/>
      </c>
      <c r="I1366" s="56">
        <f>IFERROR(INDEX('Semrush Data'!$A$1:$Z$20000,MATCH(A1366,'Semrush Data'!$A$1:$A$20000,0),MATCH("CPC*",'Semrush Data'!$A$1:$Z$1,0)),"")</f>
        <v/>
      </c>
      <c r="J1366" s="42">
        <f>IFERROR(INDEX('Semrush Data'!$A$1:$Z$20000,MATCH(A1366,'Semrush Data'!$A$1:$A$20000,0),MATCH("Intent",'Semrush Data'!$A$1:$Z$1,0)),"")</f>
        <v/>
      </c>
    </row>
    <row r="1367" ht="15" customHeight="1" s="37">
      <c r="A1367" s="42" t="inlineStr">
        <is>
          <t>calvin klein eternity aromatic essence parfum intense miniature parfum</t>
        </is>
      </c>
      <c r="B1367" s="42" t="inlineStr">
        <is>
          <t>Product + type</t>
        </is>
      </c>
      <c r="C1367" s="42" t="n">
        <v>2</v>
      </c>
      <c r="D1367" s="42" t="n">
        <v>14</v>
      </c>
      <c r="E1367" s="42" t="n">
        <v>2</v>
      </c>
      <c r="F1367" s="42" t="inlineStr">
        <is>
          <t>FR-084, FR-085</t>
        </is>
      </c>
      <c r="G1367" s="55">
        <f>IFERROR(INDEX('Semrush Data'!$A$1:$Z$20000,MATCH(A1367,'Semrush Data'!$A$1:$A$20000,0),MATCH("Volume",'Semrush Data'!$A$1:$Z$1,0)),"")</f>
        <v/>
      </c>
      <c r="H1367" s="42">
        <f>IFERROR(INDEX('Semrush Data'!$A$1:$Z$20000,MATCH(A1367,'Semrush Data'!$A$1:$A$20000,0),MATCH("Keyword Difficulty*",'Semrush Data'!$A$1:$Z$1,0)),"")</f>
        <v/>
      </c>
      <c r="I1367" s="56">
        <f>IFERROR(INDEX('Semrush Data'!$A$1:$Z$20000,MATCH(A1367,'Semrush Data'!$A$1:$A$20000,0),MATCH("CPC*",'Semrush Data'!$A$1:$Z$1,0)),"")</f>
        <v/>
      </c>
      <c r="J1367" s="42">
        <f>IFERROR(INDEX('Semrush Data'!$A$1:$Z$20000,MATCH(A1367,'Semrush Data'!$A$1:$A$20000,0),MATCH("Intent",'Semrush Data'!$A$1:$Z$1,0)),"")</f>
        <v/>
      </c>
    </row>
    <row r="1368" ht="15" customHeight="1" s="37">
      <c r="A1368" s="42" t="inlineStr">
        <is>
          <t>calvin klein eternity eau de parfum</t>
        </is>
      </c>
      <c r="B1368" s="42" t="inlineStr">
        <is>
          <t>Product + type</t>
        </is>
      </c>
      <c r="C1368" s="42" t="n">
        <v>2</v>
      </c>
      <c r="D1368" s="42" t="inlineStr">
        <is>
          <t>T2-1</t>
        </is>
      </c>
      <c r="E1368" s="42" t="n">
        <v>2</v>
      </c>
      <c r="F1368" s="42" t="inlineStr">
        <is>
          <t>FR-077, FR-079</t>
        </is>
      </c>
      <c r="G1368" s="55">
        <f>IFERROR(INDEX('Semrush Data'!$A$1:$Z$20000,MATCH(A1368,'Semrush Data'!$A$1:$A$20000,0),MATCH("Volume",'Semrush Data'!$A$1:$Z$1,0)),"")</f>
        <v/>
      </c>
      <c r="H1368" s="42">
        <f>IFERROR(INDEX('Semrush Data'!$A$1:$Z$20000,MATCH(A1368,'Semrush Data'!$A$1:$A$20000,0),MATCH("Keyword Difficulty*",'Semrush Data'!$A$1:$Z$1,0)),"")</f>
        <v/>
      </c>
      <c r="I1368" s="56">
        <f>IFERROR(INDEX('Semrush Data'!$A$1:$Z$20000,MATCH(A1368,'Semrush Data'!$A$1:$A$20000,0),MATCH("CPC*",'Semrush Data'!$A$1:$Z$1,0)),"")</f>
        <v/>
      </c>
      <c r="J1368" s="42">
        <f>IFERROR(INDEX('Semrush Data'!$A$1:$Z$20000,MATCH(A1368,'Semrush Data'!$A$1:$A$20000,0),MATCH("Intent",'Semrush Data'!$A$1:$Z$1,0)),"")</f>
        <v/>
      </c>
    </row>
    <row r="1369" ht="15" customHeight="1" s="37">
      <c r="A1369" s="42" t="inlineStr">
        <is>
          <t>calvin klein eternity eau de toilette</t>
        </is>
      </c>
      <c r="B1369" s="42" t="inlineStr">
        <is>
          <t>Product + type</t>
        </is>
      </c>
      <c r="C1369" s="42" t="n">
        <v>2</v>
      </c>
      <c r="D1369" s="42" t="n">
        <v>14</v>
      </c>
      <c r="E1369" s="42" t="n">
        <v>1</v>
      </c>
      <c r="F1369" s="42" t="inlineStr">
        <is>
          <t>FR-079</t>
        </is>
      </c>
      <c r="G1369" s="55">
        <f>IFERROR(INDEX('Semrush Data'!$A$1:$Z$20000,MATCH(A1369,'Semrush Data'!$A$1:$A$20000,0),MATCH("Volume",'Semrush Data'!$A$1:$Z$1,0)),"")</f>
        <v/>
      </c>
      <c r="H1369" s="42">
        <f>IFERROR(INDEX('Semrush Data'!$A$1:$Z$20000,MATCH(A1369,'Semrush Data'!$A$1:$A$20000,0),MATCH("Keyword Difficulty*",'Semrush Data'!$A$1:$Z$1,0)),"")</f>
        <v/>
      </c>
      <c r="I1369" s="56">
        <f>IFERROR(INDEX('Semrush Data'!$A$1:$Z$20000,MATCH(A1369,'Semrush Data'!$A$1:$A$20000,0),MATCH("CPC*",'Semrush Data'!$A$1:$Z$1,0)),"")</f>
        <v/>
      </c>
      <c r="J1369" s="42">
        <f>IFERROR(INDEX('Semrush Data'!$A$1:$Z$20000,MATCH(A1369,'Semrush Data'!$A$1:$A$20000,0),MATCH("Intent",'Semrush Data'!$A$1:$Z$1,0)),"")</f>
        <v/>
      </c>
    </row>
    <row r="1370" ht="15" customHeight="1" s="37">
      <c r="A1370" s="42" t="inlineStr">
        <is>
          <t>calvin klein eternity parfum miniature parfum</t>
        </is>
      </c>
      <c r="B1370" s="42" t="inlineStr">
        <is>
          <t>Product + type</t>
        </is>
      </c>
      <c r="C1370" s="42" t="n">
        <v>2</v>
      </c>
      <c r="D1370" s="42" t="n">
        <v>14</v>
      </c>
      <c r="E1370" s="42" t="n">
        <v>1</v>
      </c>
      <c r="F1370" s="42" t="inlineStr">
        <is>
          <t>FR-086</t>
        </is>
      </c>
      <c r="G1370" s="55">
        <f>IFERROR(INDEX('Semrush Data'!$A$1:$Z$20000,MATCH(A1370,'Semrush Data'!$A$1:$A$20000,0),MATCH("Volume",'Semrush Data'!$A$1:$Z$1,0)),"")</f>
        <v/>
      </c>
      <c r="H1370" s="42">
        <f>IFERROR(INDEX('Semrush Data'!$A$1:$Z$20000,MATCH(A1370,'Semrush Data'!$A$1:$A$20000,0),MATCH("Keyword Difficulty*",'Semrush Data'!$A$1:$Z$1,0)),"")</f>
        <v/>
      </c>
      <c r="I1370" s="56">
        <f>IFERROR(INDEX('Semrush Data'!$A$1:$Z$20000,MATCH(A1370,'Semrush Data'!$A$1:$A$20000,0),MATCH("CPC*",'Semrush Data'!$A$1:$Z$1,0)),"")</f>
        <v/>
      </c>
      <c r="J1370" s="42">
        <f>IFERROR(INDEX('Semrush Data'!$A$1:$Z$20000,MATCH(A1370,'Semrush Data'!$A$1:$A$20000,0),MATCH("Intent",'Semrush Data'!$A$1:$Z$1,0)),"")</f>
        <v/>
      </c>
    </row>
    <row r="1371" ht="15" customHeight="1" s="37">
      <c r="A1371" s="42" t="inlineStr">
        <is>
          <t>calvin klein my euphoria miniature eau de parfum</t>
        </is>
      </c>
      <c r="B1371" s="42" t="inlineStr">
        <is>
          <t>Product + type</t>
        </is>
      </c>
      <c r="C1371" s="42" t="n">
        <v>2</v>
      </c>
      <c r="D1371" s="42" t="n">
        <v>14</v>
      </c>
      <c r="E1371" s="42" t="n">
        <v>1</v>
      </c>
      <c r="F1371" s="42" t="inlineStr">
        <is>
          <t>FR-078</t>
        </is>
      </c>
      <c r="G1371" s="55">
        <f>IFERROR(INDEX('Semrush Data'!$A$1:$Z$20000,MATCH(A1371,'Semrush Data'!$A$1:$A$20000,0),MATCH("Volume",'Semrush Data'!$A$1:$Z$1,0)),"")</f>
        <v/>
      </c>
      <c r="H1371" s="42">
        <f>IFERROR(INDEX('Semrush Data'!$A$1:$Z$20000,MATCH(A1371,'Semrush Data'!$A$1:$A$20000,0),MATCH("Keyword Difficulty*",'Semrush Data'!$A$1:$Z$1,0)),"")</f>
        <v/>
      </c>
      <c r="I1371" s="56">
        <f>IFERROR(INDEX('Semrush Data'!$A$1:$Z$20000,MATCH(A1371,'Semrush Data'!$A$1:$A$20000,0),MATCH("CPC*",'Semrush Data'!$A$1:$Z$1,0)),"")</f>
        <v/>
      </c>
      <c r="J1371" s="42">
        <f>IFERROR(INDEX('Semrush Data'!$A$1:$Z$20000,MATCH(A1371,'Semrush Data'!$A$1:$A$20000,0),MATCH("Intent",'Semrush Data'!$A$1:$Z$1,0)),"")</f>
        <v/>
      </c>
    </row>
    <row r="1372" ht="15" customHeight="1" s="37">
      <c r="A1372" s="42" t="inlineStr">
        <is>
          <t>carolina herrera 212 sexy men eau de toilette</t>
        </is>
      </c>
      <c r="B1372" s="42" t="inlineStr">
        <is>
          <t>Product + type</t>
        </is>
      </c>
      <c r="C1372" s="42" t="n">
        <v>2</v>
      </c>
      <c r="D1372" s="42" t="inlineStr">
        <is>
          <t>T2-1</t>
        </is>
      </c>
      <c r="E1372" s="42" t="n">
        <v>1</v>
      </c>
      <c r="F1372" s="42" t="inlineStr">
        <is>
          <t>FR-092</t>
        </is>
      </c>
      <c r="G1372" s="55">
        <f>IFERROR(INDEX('Semrush Data'!$A$1:$Z$20000,MATCH(A1372,'Semrush Data'!$A$1:$A$20000,0),MATCH("Volume",'Semrush Data'!$A$1:$Z$1,0)),"")</f>
        <v/>
      </c>
      <c r="H1372" s="42">
        <f>IFERROR(INDEX('Semrush Data'!$A$1:$Z$20000,MATCH(A1372,'Semrush Data'!$A$1:$A$20000,0),MATCH("Keyword Difficulty*",'Semrush Data'!$A$1:$Z$1,0)),"")</f>
        <v/>
      </c>
      <c r="I1372" s="56">
        <f>IFERROR(INDEX('Semrush Data'!$A$1:$Z$20000,MATCH(A1372,'Semrush Data'!$A$1:$A$20000,0),MATCH("CPC*",'Semrush Data'!$A$1:$Z$1,0)),"")</f>
        <v/>
      </c>
      <c r="J1372" s="42">
        <f>IFERROR(INDEX('Semrush Data'!$A$1:$Z$20000,MATCH(A1372,'Semrush Data'!$A$1:$A$20000,0),MATCH("Intent",'Semrush Data'!$A$1:$Z$1,0)),"")</f>
        <v/>
      </c>
    </row>
    <row r="1373" ht="15" customHeight="1" s="37">
      <c r="A1373" s="42" t="inlineStr">
        <is>
          <t>carolina herrera 212 vip men eau de toilette</t>
        </is>
      </c>
      <c r="B1373" s="42" t="inlineStr">
        <is>
          <t>Product + type</t>
        </is>
      </c>
      <c r="C1373" s="42" t="n">
        <v>2</v>
      </c>
      <c r="D1373" s="42" t="inlineStr">
        <is>
          <t>T2-1</t>
        </is>
      </c>
      <c r="E1373" s="42" t="n">
        <v>1</v>
      </c>
      <c r="F1373" s="42" t="inlineStr">
        <is>
          <t>FR-093</t>
        </is>
      </c>
      <c r="G1373" s="55">
        <f>IFERROR(INDEX('Semrush Data'!$A$1:$Z$20000,MATCH(A1373,'Semrush Data'!$A$1:$A$20000,0),MATCH("Volume",'Semrush Data'!$A$1:$Z$1,0)),"")</f>
        <v/>
      </c>
      <c r="H1373" s="42">
        <f>IFERROR(INDEX('Semrush Data'!$A$1:$Z$20000,MATCH(A1373,'Semrush Data'!$A$1:$A$20000,0),MATCH("Keyword Difficulty*",'Semrush Data'!$A$1:$Z$1,0)),"")</f>
        <v/>
      </c>
      <c r="I1373" s="56">
        <f>IFERROR(INDEX('Semrush Data'!$A$1:$Z$20000,MATCH(A1373,'Semrush Data'!$A$1:$A$20000,0),MATCH("CPC*",'Semrush Data'!$A$1:$Z$1,0)),"")</f>
        <v/>
      </c>
      <c r="J1373" s="42">
        <f>IFERROR(INDEX('Semrush Data'!$A$1:$Z$20000,MATCH(A1373,'Semrush Data'!$A$1:$A$20000,0),MATCH("Intent",'Semrush Data'!$A$1:$Z$1,0)),"")</f>
        <v/>
      </c>
    </row>
    <row r="1374" ht="15" customHeight="1" s="37">
      <c r="A1374" s="42" t="inlineStr">
        <is>
          <t>carolina herrera 212 vip rose eau de parfum</t>
        </is>
      </c>
      <c r="B1374" s="42" t="inlineStr">
        <is>
          <t>Product + type</t>
        </is>
      </c>
      <c r="C1374" s="42" t="n">
        <v>2</v>
      </c>
      <c r="D1374" s="42" t="inlineStr">
        <is>
          <t>T2-1</t>
        </is>
      </c>
      <c r="E1374" s="42" t="n">
        <v>1</v>
      </c>
      <c r="F1374" s="42" t="inlineStr">
        <is>
          <t>FR-087</t>
        </is>
      </c>
      <c r="G1374" s="55">
        <f>IFERROR(INDEX('Semrush Data'!$A$1:$Z$20000,MATCH(A1374,'Semrush Data'!$A$1:$A$20000,0),MATCH("Volume",'Semrush Data'!$A$1:$Z$1,0)),"")</f>
        <v/>
      </c>
      <c r="H1374" s="42">
        <f>IFERROR(INDEX('Semrush Data'!$A$1:$Z$20000,MATCH(A1374,'Semrush Data'!$A$1:$A$20000,0),MATCH("Keyword Difficulty*",'Semrush Data'!$A$1:$Z$1,0)),"")</f>
        <v/>
      </c>
      <c r="I1374" s="56">
        <f>IFERROR(INDEX('Semrush Data'!$A$1:$Z$20000,MATCH(A1374,'Semrush Data'!$A$1:$A$20000,0),MATCH("CPC*",'Semrush Data'!$A$1:$Z$1,0)),"")</f>
        <v/>
      </c>
      <c r="J1374" s="42">
        <f>IFERROR(INDEX('Semrush Data'!$A$1:$Z$20000,MATCH(A1374,'Semrush Data'!$A$1:$A$20000,0),MATCH("Intent",'Semrush Data'!$A$1:$Z$1,0)),"")</f>
        <v/>
      </c>
    </row>
    <row r="1375" ht="15" customHeight="1" s="37">
      <c r="A1375" s="42" t="inlineStr">
        <is>
          <t>carolina herrera bad boy extreme eau de parfum</t>
        </is>
      </c>
      <c r="B1375" s="42" t="inlineStr">
        <is>
          <t>Product + type</t>
        </is>
      </c>
      <c r="C1375" s="42" t="n">
        <v>2</v>
      </c>
      <c r="D1375" s="42" t="inlineStr">
        <is>
          <t>T2-1</t>
        </is>
      </c>
      <c r="E1375" s="42" t="n">
        <v>2</v>
      </c>
      <c r="F1375" s="42" t="inlineStr">
        <is>
          <t>FR-088, FR-089</t>
        </is>
      </c>
      <c r="G1375" s="55">
        <f>IFERROR(INDEX('Semrush Data'!$A$1:$Z$20000,MATCH(A1375,'Semrush Data'!$A$1:$A$20000,0),MATCH("Volume",'Semrush Data'!$A$1:$Z$1,0)),"")</f>
        <v/>
      </c>
      <c r="H1375" s="42">
        <f>IFERROR(INDEX('Semrush Data'!$A$1:$Z$20000,MATCH(A1375,'Semrush Data'!$A$1:$A$20000,0),MATCH("Keyword Difficulty*",'Semrush Data'!$A$1:$Z$1,0)),"")</f>
        <v/>
      </c>
      <c r="I1375" s="56">
        <f>IFERROR(INDEX('Semrush Data'!$A$1:$Z$20000,MATCH(A1375,'Semrush Data'!$A$1:$A$20000,0),MATCH("CPC*",'Semrush Data'!$A$1:$Z$1,0)),"")</f>
        <v/>
      </c>
      <c r="J1375" s="42">
        <f>IFERROR(INDEX('Semrush Data'!$A$1:$Z$20000,MATCH(A1375,'Semrush Data'!$A$1:$A$20000,0),MATCH("Intent",'Semrush Data'!$A$1:$Z$1,0)),"")</f>
        <v/>
      </c>
    </row>
    <row r="1376" ht="15" customHeight="1" s="37">
      <c r="A1376" s="42" t="inlineStr">
        <is>
          <t>carolina herrera bad boy le eau de parfum</t>
        </is>
      </c>
      <c r="B1376" s="42" t="inlineStr">
        <is>
          <t>Product + type</t>
        </is>
      </c>
      <c r="C1376" s="42" t="n">
        <v>2</v>
      </c>
      <c r="D1376" s="42" t="n">
        <v>14</v>
      </c>
      <c r="E1376" s="42" t="n">
        <v>2</v>
      </c>
      <c r="F1376" s="42" t="inlineStr">
        <is>
          <t>FR-090, FR-091</t>
        </is>
      </c>
      <c r="G1376" s="55">
        <f>IFERROR(INDEX('Semrush Data'!$A$1:$Z$20000,MATCH(A1376,'Semrush Data'!$A$1:$A$20000,0),MATCH("Volume",'Semrush Data'!$A$1:$Z$1,0)),"")</f>
        <v/>
      </c>
      <c r="H1376" s="42">
        <f>IFERROR(INDEX('Semrush Data'!$A$1:$Z$20000,MATCH(A1376,'Semrush Data'!$A$1:$A$20000,0),MATCH("Keyword Difficulty*",'Semrush Data'!$A$1:$Z$1,0)),"")</f>
        <v/>
      </c>
      <c r="I1376" s="56">
        <f>IFERROR(INDEX('Semrush Data'!$A$1:$Z$20000,MATCH(A1376,'Semrush Data'!$A$1:$A$20000,0),MATCH("CPC*",'Semrush Data'!$A$1:$Z$1,0)),"")</f>
        <v/>
      </c>
      <c r="J1376" s="42">
        <f>IFERROR(INDEX('Semrush Data'!$A$1:$Z$20000,MATCH(A1376,'Semrush Data'!$A$1:$A$20000,0),MATCH("Intent",'Semrush Data'!$A$1:$Z$1,0)),"")</f>
        <v/>
      </c>
    </row>
    <row r="1377" ht="15" customHeight="1" s="37">
      <c r="A1377" s="42" t="inlineStr">
        <is>
          <t>carolina herrera very good girl glam parfum</t>
        </is>
      </c>
      <c r="B1377" s="42" t="inlineStr">
        <is>
          <t>Product + type</t>
        </is>
      </c>
      <c r="C1377" s="42" t="n">
        <v>2</v>
      </c>
      <c r="D1377" s="42" t="inlineStr">
        <is>
          <t>T2-1</t>
        </is>
      </c>
      <c r="E1377" s="42" t="n">
        <v>1</v>
      </c>
      <c r="F1377" s="42" t="inlineStr">
        <is>
          <t>FR-094</t>
        </is>
      </c>
      <c r="G1377" s="55">
        <f>IFERROR(INDEX('Semrush Data'!$A$1:$Z$20000,MATCH(A1377,'Semrush Data'!$A$1:$A$20000,0),MATCH("Volume",'Semrush Data'!$A$1:$Z$1,0)),"")</f>
        <v/>
      </c>
      <c r="H1377" s="42">
        <f>IFERROR(INDEX('Semrush Data'!$A$1:$Z$20000,MATCH(A1377,'Semrush Data'!$A$1:$A$20000,0),MATCH("Keyword Difficulty*",'Semrush Data'!$A$1:$Z$1,0)),"")</f>
        <v/>
      </c>
      <c r="I1377" s="56">
        <f>IFERROR(INDEX('Semrush Data'!$A$1:$Z$20000,MATCH(A1377,'Semrush Data'!$A$1:$A$20000,0),MATCH("CPC*",'Semrush Data'!$A$1:$Z$1,0)),"")</f>
        <v/>
      </c>
      <c r="J1377" s="42">
        <f>IFERROR(INDEX('Semrush Data'!$A$1:$Z$20000,MATCH(A1377,'Semrush Data'!$A$1:$A$20000,0),MATCH("Intent",'Semrush Data'!$A$1:$Z$1,0)),"")</f>
        <v/>
      </c>
    </row>
    <row r="1378" ht="15" customHeight="1" s="37">
      <c r="A1378" s="42" t="inlineStr">
        <is>
          <t>casanova anniversary extrait de parfum</t>
        </is>
      </c>
      <c r="B1378" s="42" t="inlineStr">
        <is>
          <t>Product + type</t>
        </is>
      </c>
      <c r="C1378" s="42" t="n">
        <v>2</v>
      </c>
      <c r="D1378" s="42" t="n">
        <v>14</v>
      </c>
      <c r="E1378" s="42" t="n">
        <v>1</v>
      </c>
      <c r="F1378" s="42" t="inlineStr">
        <is>
          <t>FR-341</t>
        </is>
      </c>
      <c r="G1378" s="55">
        <f>IFERROR(INDEX('Semrush Data'!$A$1:$Z$20000,MATCH(A1378,'Semrush Data'!$A$1:$A$20000,0),MATCH("Volume",'Semrush Data'!$A$1:$Z$1,0)),"")</f>
        <v/>
      </c>
      <c r="H1378" s="42">
        <f>IFERROR(INDEX('Semrush Data'!$A$1:$Z$20000,MATCH(A1378,'Semrush Data'!$A$1:$A$20000,0),MATCH("Keyword Difficulty*",'Semrush Data'!$A$1:$Z$1,0)),"")</f>
        <v/>
      </c>
      <c r="I1378" s="56">
        <f>IFERROR(INDEX('Semrush Data'!$A$1:$Z$20000,MATCH(A1378,'Semrush Data'!$A$1:$A$20000,0),MATCH("CPC*",'Semrush Data'!$A$1:$Z$1,0)),"")</f>
        <v/>
      </c>
      <c r="J1378" s="42">
        <f>IFERROR(INDEX('Semrush Data'!$A$1:$Z$20000,MATCH(A1378,'Semrush Data'!$A$1:$A$20000,0),MATCH("Intent",'Semrush Data'!$A$1:$Z$1,0)),"")</f>
        <v/>
      </c>
    </row>
    <row r="1379" ht="15" customHeight="1" s="37">
      <c r="A1379" s="42" t="inlineStr">
        <is>
          <t>chloe nomade eau de parfum</t>
        </is>
      </c>
      <c r="B1379" s="42" t="inlineStr">
        <is>
          <t>Product + type</t>
        </is>
      </c>
      <c r="C1379" s="42" t="n">
        <v>2</v>
      </c>
      <c r="D1379" s="42" t="inlineStr">
        <is>
          <t>T2-1</t>
        </is>
      </c>
      <c r="E1379" s="42" t="n">
        <v>1</v>
      </c>
      <c r="F1379" s="42" t="inlineStr">
        <is>
          <t>FR-095</t>
        </is>
      </c>
      <c r="G1379" s="55">
        <f>IFERROR(INDEX('Semrush Data'!$A$1:$Z$20000,MATCH(A1379,'Semrush Data'!$A$1:$A$20000,0),MATCH("Volume",'Semrush Data'!$A$1:$Z$1,0)),"")</f>
        <v/>
      </c>
      <c r="H1379" s="42">
        <f>IFERROR(INDEX('Semrush Data'!$A$1:$Z$20000,MATCH(A1379,'Semrush Data'!$A$1:$A$20000,0),MATCH("Keyword Difficulty*",'Semrush Data'!$A$1:$Z$1,0)),"")</f>
        <v/>
      </c>
      <c r="I1379" s="56">
        <f>IFERROR(INDEX('Semrush Data'!$A$1:$Z$20000,MATCH(A1379,'Semrush Data'!$A$1:$A$20000,0),MATCH("CPC*",'Semrush Data'!$A$1:$Z$1,0)),"")</f>
        <v/>
      </c>
      <c r="J1379" s="42">
        <f>IFERROR(INDEX('Semrush Data'!$A$1:$Z$20000,MATCH(A1379,'Semrush Data'!$A$1:$A$20000,0),MATCH("Intent",'Semrush Data'!$A$1:$Z$1,0)),"")</f>
        <v/>
      </c>
    </row>
    <row r="1380" ht="15" customHeight="1" s="37">
      <c r="A1380" s="42" t="inlineStr">
        <is>
          <t>chloe nomade jasmin naturel intense eau de parfum</t>
        </is>
      </c>
      <c r="B1380" s="42" t="inlineStr">
        <is>
          <t>Product + type</t>
        </is>
      </c>
      <c r="C1380" s="42" t="n">
        <v>2</v>
      </c>
      <c r="D1380" s="42" t="inlineStr">
        <is>
          <t>T2-2</t>
        </is>
      </c>
      <c r="E1380" s="42" t="n">
        <v>1</v>
      </c>
      <c r="F1380" s="42" t="inlineStr">
        <is>
          <t>FR-096</t>
        </is>
      </c>
      <c r="G1380" s="55">
        <f>IFERROR(INDEX('Semrush Data'!$A$1:$Z$20000,MATCH(A1380,'Semrush Data'!$A$1:$A$20000,0),MATCH("Volume",'Semrush Data'!$A$1:$Z$1,0)),"")</f>
        <v/>
      </c>
      <c r="H1380" s="42">
        <f>IFERROR(INDEX('Semrush Data'!$A$1:$Z$20000,MATCH(A1380,'Semrush Data'!$A$1:$A$20000,0),MATCH("Keyword Difficulty*",'Semrush Data'!$A$1:$Z$1,0)),"")</f>
        <v/>
      </c>
      <c r="I1380" s="56">
        <f>IFERROR(INDEX('Semrush Data'!$A$1:$Z$20000,MATCH(A1380,'Semrush Data'!$A$1:$A$20000,0),MATCH("CPC*",'Semrush Data'!$A$1:$Z$1,0)),"")</f>
        <v/>
      </c>
      <c r="J1380" s="42">
        <f>IFERROR(INDEX('Semrush Data'!$A$1:$Z$20000,MATCH(A1380,'Semrush Data'!$A$1:$A$20000,0),MATCH("Intent",'Semrush Data'!$A$1:$Z$1,0)),"")</f>
        <v/>
      </c>
    </row>
    <row r="1381" ht="15" customHeight="1" s="37">
      <c r="A1381" s="42" t="inlineStr">
        <is>
          <t>chloe nomade nuit d'egypte eau de parfum</t>
        </is>
      </c>
      <c r="B1381" s="42" t="inlineStr">
        <is>
          <t>Product + type</t>
        </is>
      </c>
      <c r="C1381" s="42" t="n">
        <v>2</v>
      </c>
      <c r="D1381" s="42" t="inlineStr">
        <is>
          <t>T2-1</t>
        </is>
      </c>
      <c r="E1381" s="42" t="n">
        <v>1</v>
      </c>
      <c r="F1381" s="42" t="inlineStr">
        <is>
          <t>FR-097</t>
        </is>
      </c>
      <c r="G1381" s="55">
        <f>IFERROR(INDEX('Semrush Data'!$A$1:$Z$20000,MATCH(A1381,'Semrush Data'!$A$1:$A$20000,0),MATCH("Volume",'Semrush Data'!$A$1:$Z$1,0)),"")</f>
        <v/>
      </c>
      <c r="H1381" s="42">
        <f>IFERROR(INDEX('Semrush Data'!$A$1:$Z$20000,MATCH(A1381,'Semrush Data'!$A$1:$A$20000,0),MATCH("Keyword Difficulty*",'Semrush Data'!$A$1:$Z$1,0)),"")</f>
        <v/>
      </c>
      <c r="I1381" s="56">
        <f>IFERROR(INDEX('Semrush Data'!$A$1:$Z$20000,MATCH(A1381,'Semrush Data'!$A$1:$A$20000,0),MATCH("CPC*",'Semrush Data'!$A$1:$Z$1,0)),"")</f>
        <v/>
      </c>
      <c r="J1381" s="42">
        <f>IFERROR(INDEX('Semrush Data'!$A$1:$Z$20000,MATCH(A1381,'Semrush Data'!$A$1:$A$20000,0),MATCH("Intent",'Semrush Data'!$A$1:$Z$1,0)),"")</f>
        <v/>
      </c>
    </row>
    <row r="1382" ht="15" customHeight="1" s="37">
      <c r="A1382" s="42" t="inlineStr">
        <is>
          <t>chloe rose naturelle intense eau de parfum</t>
        </is>
      </c>
      <c r="B1382" s="42" t="inlineStr">
        <is>
          <t>Product + type</t>
        </is>
      </c>
      <c r="C1382" s="42" t="n">
        <v>2</v>
      </c>
      <c r="D1382" s="42" t="inlineStr">
        <is>
          <t>T2-2</t>
        </is>
      </c>
      <c r="E1382" s="42" t="n">
        <v>1</v>
      </c>
      <c r="F1382" s="42" t="inlineStr">
        <is>
          <t>FR-098</t>
        </is>
      </c>
      <c r="G1382" s="55">
        <f>IFERROR(INDEX('Semrush Data'!$A$1:$Z$20000,MATCH(A1382,'Semrush Data'!$A$1:$A$20000,0),MATCH("Volume",'Semrush Data'!$A$1:$Z$1,0)),"")</f>
        <v/>
      </c>
      <c r="H1382" s="42">
        <f>IFERROR(INDEX('Semrush Data'!$A$1:$Z$20000,MATCH(A1382,'Semrush Data'!$A$1:$A$20000,0),MATCH("Keyword Difficulty*",'Semrush Data'!$A$1:$Z$1,0)),"")</f>
        <v/>
      </c>
      <c r="I1382" s="56">
        <f>IFERROR(INDEX('Semrush Data'!$A$1:$Z$20000,MATCH(A1382,'Semrush Data'!$A$1:$A$20000,0),MATCH("CPC*",'Semrush Data'!$A$1:$Z$1,0)),"")</f>
        <v/>
      </c>
      <c r="J1382" s="42">
        <f>IFERROR(INDEX('Semrush Data'!$A$1:$Z$20000,MATCH(A1382,'Semrush Data'!$A$1:$A$20000,0),MATCH("Intent",'Semrush Data'!$A$1:$Z$1,0)),"")</f>
        <v/>
      </c>
    </row>
    <row r="1383" ht="15" customHeight="1" s="37">
      <c r="A1383" s="42" t="inlineStr">
        <is>
          <t>chopard amber malaki eau de parfum</t>
        </is>
      </c>
      <c r="B1383" s="42" t="inlineStr">
        <is>
          <t>Product + type</t>
        </is>
      </c>
      <c r="C1383" s="42" t="n">
        <v>2</v>
      </c>
      <c r="D1383" s="42" t="inlineStr">
        <is>
          <t>T2-2</t>
        </is>
      </c>
      <c r="E1383" s="42" t="n">
        <v>1</v>
      </c>
      <c r="F1383" s="42" t="inlineStr">
        <is>
          <t>FR-102</t>
        </is>
      </c>
      <c r="G1383" s="55">
        <f>IFERROR(INDEX('Semrush Data'!$A$1:$Z$20000,MATCH(A1383,'Semrush Data'!$A$1:$A$20000,0),MATCH("Volume",'Semrush Data'!$A$1:$Z$1,0)),"")</f>
        <v/>
      </c>
      <c r="H1383" s="42">
        <f>IFERROR(INDEX('Semrush Data'!$A$1:$Z$20000,MATCH(A1383,'Semrush Data'!$A$1:$A$20000,0),MATCH("Keyword Difficulty*",'Semrush Data'!$A$1:$Z$1,0)),"")</f>
        <v/>
      </c>
      <c r="I1383" s="56">
        <f>IFERROR(INDEX('Semrush Data'!$A$1:$Z$20000,MATCH(A1383,'Semrush Data'!$A$1:$A$20000,0),MATCH("CPC*",'Semrush Data'!$A$1:$Z$1,0)),"")</f>
        <v/>
      </c>
      <c r="J1383" s="42">
        <f>IFERROR(INDEX('Semrush Data'!$A$1:$Z$20000,MATCH(A1383,'Semrush Data'!$A$1:$A$20000,0),MATCH("Intent",'Semrush Data'!$A$1:$Z$1,0)),"")</f>
        <v/>
      </c>
    </row>
    <row r="1384" ht="15" customHeight="1" s="37">
      <c r="A1384" s="42" t="inlineStr">
        <is>
          <t>chopard black incense malaki eau de parfum</t>
        </is>
      </c>
      <c r="B1384" s="42" t="inlineStr">
        <is>
          <t>Product + type</t>
        </is>
      </c>
      <c r="C1384" s="42" t="n">
        <v>2</v>
      </c>
      <c r="D1384" s="42" t="inlineStr">
        <is>
          <t>T2-2</t>
        </is>
      </c>
      <c r="E1384" s="42" t="n">
        <v>1</v>
      </c>
      <c r="F1384" s="42" t="inlineStr">
        <is>
          <t>FR-103</t>
        </is>
      </c>
      <c r="G1384" s="55">
        <f>IFERROR(INDEX('Semrush Data'!$A$1:$Z$20000,MATCH(A1384,'Semrush Data'!$A$1:$A$20000,0),MATCH("Volume",'Semrush Data'!$A$1:$Z$1,0)),"")</f>
        <v/>
      </c>
      <c r="H1384" s="42">
        <f>IFERROR(INDEX('Semrush Data'!$A$1:$Z$20000,MATCH(A1384,'Semrush Data'!$A$1:$A$20000,0),MATCH("Keyword Difficulty*",'Semrush Data'!$A$1:$Z$1,0)),"")</f>
        <v/>
      </c>
      <c r="I1384" s="56">
        <f>IFERROR(INDEX('Semrush Data'!$A$1:$Z$20000,MATCH(A1384,'Semrush Data'!$A$1:$A$20000,0),MATCH("CPC*",'Semrush Data'!$A$1:$Z$1,0)),"")</f>
        <v/>
      </c>
      <c r="J1384" s="42">
        <f>IFERROR(INDEX('Semrush Data'!$A$1:$Z$20000,MATCH(A1384,'Semrush Data'!$A$1:$A$20000,0),MATCH("Intent",'Semrush Data'!$A$1:$Z$1,0)),"")</f>
        <v/>
      </c>
    </row>
    <row r="1385" ht="15" customHeight="1" s="37">
      <c r="A1385" s="42" t="inlineStr">
        <is>
          <t>chopard imperiale iris malika eau de parfum</t>
        </is>
      </c>
      <c r="B1385" s="42" t="inlineStr">
        <is>
          <t>Product + type</t>
        </is>
      </c>
      <c r="C1385" s="42" t="n">
        <v>2</v>
      </c>
      <c r="D1385" s="42" t="n">
        <v>14</v>
      </c>
      <c r="E1385" s="42" t="n">
        <v>1</v>
      </c>
      <c r="F1385" s="42" t="inlineStr">
        <is>
          <t>FR-104</t>
        </is>
      </c>
      <c r="G1385" s="55">
        <f>IFERROR(INDEX('Semrush Data'!$A$1:$Z$20000,MATCH(A1385,'Semrush Data'!$A$1:$A$20000,0),MATCH("Volume",'Semrush Data'!$A$1:$Z$1,0)),"")</f>
        <v/>
      </c>
      <c r="H1385" s="42">
        <f>IFERROR(INDEX('Semrush Data'!$A$1:$Z$20000,MATCH(A1385,'Semrush Data'!$A$1:$A$20000,0),MATCH("Keyword Difficulty*",'Semrush Data'!$A$1:$Z$1,0)),"")</f>
        <v/>
      </c>
      <c r="I1385" s="56">
        <f>IFERROR(INDEX('Semrush Data'!$A$1:$Z$20000,MATCH(A1385,'Semrush Data'!$A$1:$A$20000,0),MATCH("CPC*",'Semrush Data'!$A$1:$Z$1,0)),"")</f>
        <v/>
      </c>
      <c r="J1385" s="42">
        <f>IFERROR(INDEX('Semrush Data'!$A$1:$Z$20000,MATCH(A1385,'Semrush Data'!$A$1:$A$20000,0),MATCH("Intent",'Semrush Data'!$A$1:$Z$1,0)),"")</f>
        <v/>
      </c>
    </row>
    <row r="1386" ht="15" customHeight="1" s="37">
      <c r="A1386" s="42" t="inlineStr">
        <is>
          <t>chopard oud malaki eau de parfum</t>
        </is>
      </c>
      <c r="B1386" s="42" t="inlineStr">
        <is>
          <t>Product + type</t>
        </is>
      </c>
      <c r="C1386" s="42" t="n">
        <v>2</v>
      </c>
      <c r="D1386" s="42" t="inlineStr">
        <is>
          <t>T2-1</t>
        </is>
      </c>
      <c r="E1386" s="42" t="n">
        <v>1</v>
      </c>
      <c r="F1386" s="42" t="inlineStr">
        <is>
          <t>FR-105</t>
        </is>
      </c>
      <c r="G1386" s="55">
        <f>IFERROR(INDEX('Semrush Data'!$A$1:$Z$20000,MATCH(A1386,'Semrush Data'!$A$1:$A$20000,0),MATCH("Volume",'Semrush Data'!$A$1:$Z$1,0)),"")</f>
        <v/>
      </c>
      <c r="H1386" s="42">
        <f>IFERROR(INDEX('Semrush Data'!$A$1:$Z$20000,MATCH(A1386,'Semrush Data'!$A$1:$A$20000,0),MATCH("Keyword Difficulty*",'Semrush Data'!$A$1:$Z$1,0)),"")</f>
        <v/>
      </c>
      <c r="I1386" s="56">
        <f>IFERROR(INDEX('Semrush Data'!$A$1:$Z$20000,MATCH(A1386,'Semrush Data'!$A$1:$A$20000,0),MATCH("CPC*",'Semrush Data'!$A$1:$Z$1,0)),"")</f>
        <v/>
      </c>
      <c r="J1386" s="42">
        <f>IFERROR(INDEX('Semrush Data'!$A$1:$Z$20000,MATCH(A1386,'Semrush Data'!$A$1:$A$20000,0),MATCH("Intent",'Semrush Data'!$A$1:$Z$1,0)),"")</f>
        <v/>
      </c>
    </row>
    <row r="1387" ht="15" customHeight="1" s="37">
      <c r="A1387" s="42" t="inlineStr">
        <is>
          <t>chris adams black shadow pour homme eau de toilette</t>
        </is>
      </c>
      <c r="B1387" s="42" t="inlineStr">
        <is>
          <t>Product + type</t>
        </is>
      </c>
      <c r="C1387" s="42" t="n">
        <v>2</v>
      </c>
      <c r="D1387" s="42" t="n">
        <v>14</v>
      </c>
      <c r="E1387" s="42" t="n">
        <v>1</v>
      </c>
      <c r="F1387" s="42" t="inlineStr">
        <is>
          <t>FR-108</t>
        </is>
      </c>
      <c r="G1387" s="55">
        <f>IFERROR(INDEX('Semrush Data'!$A$1:$Z$20000,MATCH(A1387,'Semrush Data'!$A$1:$A$20000,0),MATCH("Volume",'Semrush Data'!$A$1:$Z$1,0)),"")</f>
        <v/>
      </c>
      <c r="H1387" s="42">
        <f>IFERROR(INDEX('Semrush Data'!$A$1:$Z$20000,MATCH(A1387,'Semrush Data'!$A$1:$A$20000,0),MATCH("Keyword Difficulty*",'Semrush Data'!$A$1:$Z$1,0)),"")</f>
        <v/>
      </c>
      <c r="I1387" s="56">
        <f>IFERROR(INDEX('Semrush Data'!$A$1:$Z$20000,MATCH(A1387,'Semrush Data'!$A$1:$A$20000,0),MATCH("CPC*",'Semrush Data'!$A$1:$Z$1,0)),"")</f>
        <v/>
      </c>
      <c r="J1387" s="42">
        <f>IFERROR(INDEX('Semrush Data'!$A$1:$Z$20000,MATCH(A1387,'Semrush Data'!$A$1:$A$20000,0),MATCH("Intent",'Semrush Data'!$A$1:$Z$1,0)),"")</f>
        <v/>
      </c>
    </row>
    <row r="1388" ht="15" customHeight="1" s="37">
      <c r="A1388" s="42" t="inlineStr">
        <is>
          <t>chris adams ca dx 77 pour homme edp</t>
        </is>
      </c>
      <c r="B1388" s="42" t="inlineStr">
        <is>
          <t>Product + type</t>
        </is>
      </c>
      <c r="C1388" s="42" t="n">
        <v>2</v>
      </c>
      <c r="D1388" s="42" t="n">
        <v>14</v>
      </c>
      <c r="E1388" s="42" t="n">
        <v>1</v>
      </c>
      <c r="F1388" s="42" t="inlineStr">
        <is>
          <t>FR-107</t>
        </is>
      </c>
      <c r="G1388" s="55">
        <f>IFERROR(INDEX('Semrush Data'!$A$1:$Z$20000,MATCH(A1388,'Semrush Data'!$A$1:$A$20000,0),MATCH("Volume",'Semrush Data'!$A$1:$Z$1,0)),"")</f>
        <v/>
      </c>
      <c r="H1388" s="42">
        <f>IFERROR(INDEX('Semrush Data'!$A$1:$Z$20000,MATCH(A1388,'Semrush Data'!$A$1:$A$20000,0),MATCH("Keyword Difficulty*",'Semrush Data'!$A$1:$Z$1,0)),"")</f>
        <v/>
      </c>
      <c r="I1388" s="56">
        <f>IFERROR(INDEX('Semrush Data'!$A$1:$Z$20000,MATCH(A1388,'Semrush Data'!$A$1:$A$20000,0),MATCH("CPC*",'Semrush Data'!$A$1:$Z$1,0)),"")</f>
        <v/>
      </c>
      <c r="J1388" s="42">
        <f>IFERROR(INDEX('Semrush Data'!$A$1:$Z$20000,MATCH(A1388,'Semrush Data'!$A$1:$A$20000,0),MATCH("Intent",'Semrush Data'!$A$1:$Z$1,0)),"")</f>
        <v/>
      </c>
    </row>
    <row r="1389" ht="15" customHeight="1" s="37">
      <c r="A1389" s="42" t="inlineStr">
        <is>
          <t>davidoff champion eau de toilette</t>
        </is>
      </c>
      <c r="B1389" s="42" t="inlineStr">
        <is>
          <t>Product + type</t>
        </is>
      </c>
      <c r="C1389" s="42" t="n">
        <v>2</v>
      </c>
      <c r="D1389" s="42" t="inlineStr">
        <is>
          <t>T2-1</t>
        </is>
      </c>
      <c r="E1389" s="42" t="n">
        <v>1</v>
      </c>
      <c r="F1389" s="42" t="inlineStr">
        <is>
          <t>FR-110</t>
        </is>
      </c>
      <c r="G1389" s="55">
        <f>IFERROR(INDEX('Semrush Data'!$A$1:$Z$20000,MATCH(A1389,'Semrush Data'!$A$1:$A$20000,0),MATCH("Volume",'Semrush Data'!$A$1:$Z$1,0)),"")</f>
        <v/>
      </c>
      <c r="H1389" s="42">
        <f>IFERROR(INDEX('Semrush Data'!$A$1:$Z$20000,MATCH(A1389,'Semrush Data'!$A$1:$A$20000,0),MATCH("Keyword Difficulty*",'Semrush Data'!$A$1:$Z$1,0)),"")</f>
        <v/>
      </c>
      <c r="I1389" s="56">
        <f>IFERROR(INDEX('Semrush Data'!$A$1:$Z$20000,MATCH(A1389,'Semrush Data'!$A$1:$A$20000,0),MATCH("CPC*",'Semrush Data'!$A$1:$Z$1,0)),"")</f>
        <v/>
      </c>
      <c r="J1389" s="42">
        <f>IFERROR(INDEX('Semrush Data'!$A$1:$Z$20000,MATCH(A1389,'Semrush Data'!$A$1:$A$20000,0),MATCH("Intent",'Semrush Data'!$A$1:$Z$1,0)),"")</f>
        <v/>
      </c>
    </row>
    <row r="1390" ht="15" customHeight="1" s="37">
      <c r="A1390" s="42" t="inlineStr">
        <is>
          <t>davidoff cool water reborn intense eau de parfum</t>
        </is>
      </c>
      <c r="B1390" s="42" t="inlineStr">
        <is>
          <t>Product + type</t>
        </is>
      </c>
      <c r="C1390" s="42" t="n">
        <v>2</v>
      </c>
      <c r="D1390" s="42" t="n">
        <v>14</v>
      </c>
      <c r="E1390" s="42" t="n">
        <v>1</v>
      </c>
      <c r="F1390" s="42" t="inlineStr">
        <is>
          <t>FR-109</t>
        </is>
      </c>
      <c r="G1390" s="55">
        <f>IFERROR(INDEX('Semrush Data'!$A$1:$Z$20000,MATCH(A1390,'Semrush Data'!$A$1:$A$20000,0),MATCH("Volume",'Semrush Data'!$A$1:$Z$1,0)),"")</f>
        <v/>
      </c>
      <c r="H1390" s="42">
        <f>IFERROR(INDEX('Semrush Data'!$A$1:$Z$20000,MATCH(A1390,'Semrush Data'!$A$1:$A$20000,0),MATCH("Keyword Difficulty*",'Semrush Data'!$A$1:$Z$1,0)),"")</f>
        <v/>
      </c>
      <c r="I1390" s="56">
        <f>IFERROR(INDEX('Semrush Data'!$A$1:$Z$20000,MATCH(A1390,'Semrush Data'!$A$1:$A$20000,0),MATCH("CPC*",'Semrush Data'!$A$1:$Z$1,0)),"")</f>
        <v/>
      </c>
      <c r="J1390" s="42">
        <f>IFERROR(INDEX('Semrush Data'!$A$1:$Z$20000,MATCH(A1390,'Semrush Data'!$A$1:$A$20000,0),MATCH("Intent",'Semrush Data'!$A$1:$Z$1,0)),"")</f>
        <v/>
      </c>
    </row>
    <row r="1391" ht="15" customHeight="1" s="37">
      <c r="A1391" s="42" t="inlineStr">
        <is>
          <t>davidoff indigo eau de toilette</t>
        </is>
      </c>
      <c r="B1391" s="42" t="inlineStr">
        <is>
          <t>Product + type</t>
        </is>
      </c>
      <c r="C1391" s="42" t="n">
        <v>2</v>
      </c>
      <c r="D1391" s="42" t="inlineStr">
        <is>
          <t>T2-1</t>
        </is>
      </c>
      <c r="E1391" s="42" t="n">
        <v>1</v>
      </c>
      <c r="F1391" s="42" t="inlineStr">
        <is>
          <t>FR-111</t>
        </is>
      </c>
      <c r="G1391" s="55">
        <f>IFERROR(INDEX('Semrush Data'!$A$1:$Z$20000,MATCH(A1391,'Semrush Data'!$A$1:$A$20000,0),MATCH("Volume",'Semrush Data'!$A$1:$Z$1,0)),"")</f>
        <v/>
      </c>
      <c r="H1391" s="42">
        <f>IFERROR(INDEX('Semrush Data'!$A$1:$Z$20000,MATCH(A1391,'Semrush Data'!$A$1:$A$20000,0),MATCH("Keyword Difficulty*",'Semrush Data'!$A$1:$Z$1,0)),"")</f>
        <v/>
      </c>
      <c r="I1391" s="56">
        <f>IFERROR(INDEX('Semrush Data'!$A$1:$Z$20000,MATCH(A1391,'Semrush Data'!$A$1:$A$20000,0),MATCH("CPC*",'Semrush Data'!$A$1:$Z$1,0)),"")</f>
        <v/>
      </c>
      <c r="J1391" s="42">
        <f>IFERROR(INDEX('Semrush Data'!$A$1:$Z$20000,MATCH(A1391,'Semrush Data'!$A$1:$A$20000,0),MATCH("Intent",'Semrush Data'!$A$1:$Z$1,0)),"")</f>
        <v/>
      </c>
    </row>
    <row r="1392" ht="15" customHeight="1" s="37">
      <c r="A1392" s="42" t="inlineStr">
        <is>
          <t>davidoff the game eau de toilette</t>
        </is>
      </c>
      <c r="B1392" s="42" t="inlineStr">
        <is>
          <t>Product + type</t>
        </is>
      </c>
      <c r="C1392" s="42" t="n">
        <v>2</v>
      </c>
      <c r="D1392" s="42" t="inlineStr">
        <is>
          <t>T2-1</t>
        </is>
      </c>
      <c r="E1392" s="42" t="n">
        <v>1</v>
      </c>
      <c r="F1392" s="42" t="inlineStr">
        <is>
          <t>FR-112</t>
        </is>
      </c>
      <c r="G1392" s="55">
        <f>IFERROR(INDEX('Semrush Data'!$A$1:$Z$20000,MATCH(A1392,'Semrush Data'!$A$1:$A$20000,0),MATCH("Volume",'Semrush Data'!$A$1:$Z$1,0)),"")</f>
        <v/>
      </c>
      <c r="H1392" s="42">
        <f>IFERROR(INDEX('Semrush Data'!$A$1:$Z$20000,MATCH(A1392,'Semrush Data'!$A$1:$A$20000,0),MATCH("Keyword Difficulty*",'Semrush Data'!$A$1:$Z$1,0)),"")</f>
        <v/>
      </c>
      <c r="I1392" s="56">
        <f>IFERROR(INDEX('Semrush Data'!$A$1:$Z$20000,MATCH(A1392,'Semrush Data'!$A$1:$A$20000,0),MATCH("CPC*",'Semrush Data'!$A$1:$Z$1,0)),"")</f>
        <v/>
      </c>
      <c r="J1392" s="42">
        <f>IFERROR(INDEX('Semrush Data'!$A$1:$Z$20000,MATCH(A1392,'Semrush Data'!$A$1:$A$20000,0),MATCH("Intent",'Semrush Data'!$A$1:$Z$1,0)),"")</f>
        <v/>
      </c>
    </row>
    <row r="1393" ht="15" customHeight="1" s="37">
      <c r="A1393" s="42" t="inlineStr">
        <is>
          <t>dior miss dior roller-pearl eau de parfum</t>
        </is>
      </c>
      <c r="B1393" s="42" t="inlineStr">
        <is>
          <t>Product + type</t>
        </is>
      </c>
      <c r="C1393" s="42" t="n">
        <v>2</v>
      </c>
      <c r="D1393" s="42" t="n">
        <v>14</v>
      </c>
      <c r="E1393" s="42" t="n">
        <v>1</v>
      </c>
      <c r="F1393" s="42" t="inlineStr">
        <is>
          <t>FR-113</t>
        </is>
      </c>
      <c r="G1393" s="55">
        <f>IFERROR(INDEX('Semrush Data'!$A$1:$Z$20000,MATCH(A1393,'Semrush Data'!$A$1:$A$20000,0),MATCH("Volume",'Semrush Data'!$A$1:$Z$1,0)),"")</f>
        <v/>
      </c>
      <c r="H1393" s="42">
        <f>IFERROR(INDEX('Semrush Data'!$A$1:$Z$20000,MATCH(A1393,'Semrush Data'!$A$1:$A$20000,0),MATCH("Keyword Difficulty*",'Semrush Data'!$A$1:$Z$1,0)),"")</f>
        <v/>
      </c>
      <c r="I1393" s="56">
        <f>IFERROR(INDEX('Semrush Data'!$A$1:$Z$20000,MATCH(A1393,'Semrush Data'!$A$1:$A$20000,0),MATCH("CPC*",'Semrush Data'!$A$1:$Z$1,0)),"")</f>
        <v/>
      </c>
      <c r="J1393" s="42">
        <f>IFERROR(INDEX('Semrush Data'!$A$1:$Z$20000,MATCH(A1393,'Semrush Data'!$A$1:$A$20000,0),MATCH("Intent",'Semrush Data'!$A$1:$Z$1,0)),"")</f>
        <v/>
      </c>
    </row>
    <row r="1394" ht="15" customHeight="1" s="37">
      <c r="A1394" s="42" t="inlineStr">
        <is>
          <t>dior sauvage eau de parfum</t>
        </is>
      </c>
      <c r="B1394" s="42" t="inlineStr">
        <is>
          <t>Product + type</t>
        </is>
      </c>
      <c r="C1394" s="42" t="n">
        <v>2</v>
      </c>
      <c r="D1394" s="42" t="inlineStr">
        <is>
          <t>T2-1</t>
        </is>
      </c>
      <c r="E1394" s="42" t="n">
        <v>1</v>
      </c>
      <c r="F1394" s="42" t="inlineStr">
        <is>
          <t>FR-115</t>
        </is>
      </c>
      <c r="G1394" s="55">
        <f>IFERROR(INDEX('Semrush Data'!$A$1:$Z$20000,MATCH(A1394,'Semrush Data'!$A$1:$A$20000,0),MATCH("Volume",'Semrush Data'!$A$1:$Z$1,0)),"")</f>
        <v/>
      </c>
      <c r="H1394" s="42">
        <f>IFERROR(INDEX('Semrush Data'!$A$1:$Z$20000,MATCH(A1394,'Semrush Data'!$A$1:$A$20000,0),MATCH("Keyword Difficulty*",'Semrush Data'!$A$1:$Z$1,0)),"")</f>
        <v/>
      </c>
      <c r="I1394" s="56">
        <f>IFERROR(INDEX('Semrush Data'!$A$1:$Z$20000,MATCH(A1394,'Semrush Data'!$A$1:$A$20000,0),MATCH("CPC*",'Semrush Data'!$A$1:$Z$1,0)),"")</f>
        <v/>
      </c>
      <c r="J1394" s="42">
        <f>IFERROR(INDEX('Semrush Data'!$A$1:$Z$20000,MATCH(A1394,'Semrush Data'!$A$1:$A$20000,0),MATCH("Intent",'Semrush Data'!$A$1:$Z$1,0)),"")</f>
        <v/>
      </c>
    </row>
    <row r="1395" ht="15" customHeight="1" s="37">
      <c r="A1395" s="42" t="inlineStr">
        <is>
          <t>dkny be delicious orchard street eau de parfum</t>
        </is>
      </c>
      <c r="B1395" s="42" t="inlineStr">
        <is>
          <t>Product + type</t>
        </is>
      </c>
      <c r="C1395" s="42" t="n">
        <v>2</v>
      </c>
      <c r="D1395" s="42" t="inlineStr">
        <is>
          <t>T2-2</t>
        </is>
      </c>
      <c r="E1395" s="42" t="n">
        <v>1</v>
      </c>
      <c r="F1395" s="42" t="inlineStr">
        <is>
          <t>FR-116</t>
        </is>
      </c>
      <c r="G1395" s="55">
        <f>IFERROR(INDEX('Semrush Data'!$A$1:$Z$20000,MATCH(A1395,'Semrush Data'!$A$1:$A$20000,0),MATCH("Volume",'Semrush Data'!$A$1:$Z$1,0)),"")</f>
        <v/>
      </c>
      <c r="H1395" s="42">
        <f>IFERROR(INDEX('Semrush Data'!$A$1:$Z$20000,MATCH(A1395,'Semrush Data'!$A$1:$A$20000,0),MATCH("Keyword Difficulty*",'Semrush Data'!$A$1:$Z$1,0)),"")</f>
        <v/>
      </c>
      <c r="I1395" s="56">
        <f>IFERROR(INDEX('Semrush Data'!$A$1:$Z$20000,MATCH(A1395,'Semrush Data'!$A$1:$A$20000,0),MATCH("CPC*",'Semrush Data'!$A$1:$Z$1,0)),"")</f>
        <v/>
      </c>
      <c r="J1395" s="42">
        <f>IFERROR(INDEX('Semrush Data'!$A$1:$Z$20000,MATCH(A1395,'Semrush Data'!$A$1:$A$20000,0),MATCH("Intent",'Semrush Data'!$A$1:$Z$1,0)),"")</f>
        <v/>
      </c>
    </row>
    <row r="1396" ht="15" customHeight="1" s="37">
      <c r="A1396" s="42" t="inlineStr">
        <is>
          <t>dkny be tempted eau de parfum</t>
        </is>
      </c>
      <c r="B1396" s="42" t="inlineStr">
        <is>
          <t>Product + type</t>
        </is>
      </c>
      <c r="C1396" s="42" t="n">
        <v>2</v>
      </c>
      <c r="D1396" s="42" t="inlineStr">
        <is>
          <t>T2-1</t>
        </is>
      </c>
      <c r="E1396" s="42" t="n">
        <v>1</v>
      </c>
      <c r="F1396" s="42" t="inlineStr">
        <is>
          <t>FR-117</t>
        </is>
      </c>
      <c r="G1396" s="55">
        <f>IFERROR(INDEX('Semrush Data'!$A$1:$Z$20000,MATCH(A1396,'Semrush Data'!$A$1:$A$20000,0),MATCH("Volume",'Semrush Data'!$A$1:$Z$1,0)),"")</f>
        <v/>
      </c>
      <c r="H1396" s="42">
        <f>IFERROR(INDEX('Semrush Data'!$A$1:$Z$20000,MATCH(A1396,'Semrush Data'!$A$1:$A$20000,0),MATCH("Keyword Difficulty*",'Semrush Data'!$A$1:$Z$1,0)),"")</f>
        <v/>
      </c>
      <c r="I1396" s="56">
        <f>IFERROR(INDEX('Semrush Data'!$A$1:$Z$20000,MATCH(A1396,'Semrush Data'!$A$1:$A$20000,0),MATCH("CPC*",'Semrush Data'!$A$1:$Z$1,0)),"")</f>
        <v/>
      </c>
      <c r="J1396" s="42">
        <f>IFERROR(INDEX('Semrush Data'!$A$1:$Z$20000,MATCH(A1396,'Semrush Data'!$A$1:$A$20000,0),MATCH("Intent",'Semrush Data'!$A$1:$Z$1,0)),"")</f>
        <v/>
      </c>
    </row>
    <row r="1397" ht="15" customHeight="1" s="37">
      <c r="A1397" s="42" t="inlineStr">
        <is>
          <t>dolce &amp; gabbana devotion eau de parfum</t>
        </is>
      </c>
      <c r="B1397" s="42" t="inlineStr">
        <is>
          <t>Product + type</t>
        </is>
      </c>
      <c r="C1397" s="42" t="n">
        <v>2</v>
      </c>
      <c r="D1397" s="42" t="inlineStr">
        <is>
          <t>T2-1</t>
        </is>
      </c>
      <c r="E1397" s="42" t="n">
        <v>1</v>
      </c>
      <c r="F1397" s="42" t="inlineStr">
        <is>
          <t>FR-120</t>
        </is>
      </c>
      <c r="G1397" s="55">
        <f>IFERROR(INDEX('Semrush Data'!$A$1:$Z$20000,MATCH(A1397,'Semrush Data'!$A$1:$A$20000,0),MATCH("Volume",'Semrush Data'!$A$1:$Z$1,0)),"")</f>
        <v/>
      </c>
      <c r="H1397" s="42">
        <f>IFERROR(INDEX('Semrush Data'!$A$1:$Z$20000,MATCH(A1397,'Semrush Data'!$A$1:$A$20000,0),MATCH("Keyword Difficulty*",'Semrush Data'!$A$1:$Z$1,0)),"")</f>
        <v/>
      </c>
      <c r="I1397" s="56">
        <f>IFERROR(INDEX('Semrush Data'!$A$1:$Z$20000,MATCH(A1397,'Semrush Data'!$A$1:$A$20000,0),MATCH("CPC*",'Semrush Data'!$A$1:$Z$1,0)),"")</f>
        <v/>
      </c>
      <c r="J1397" s="42">
        <f>IFERROR(INDEX('Semrush Data'!$A$1:$Z$20000,MATCH(A1397,'Semrush Data'!$A$1:$A$20000,0),MATCH("Intent",'Semrush Data'!$A$1:$Z$1,0)),"")</f>
        <v/>
      </c>
    </row>
    <row r="1398" ht="15" customHeight="1" s="37">
      <c r="A1398" s="42" t="inlineStr">
        <is>
          <t>dolce &amp; gabbana l'imperatrice eau de toilette</t>
        </is>
      </c>
      <c r="B1398" s="42" t="inlineStr">
        <is>
          <t>Product + type</t>
        </is>
      </c>
      <c r="C1398" s="42" t="n">
        <v>2</v>
      </c>
      <c r="D1398" s="42" t="inlineStr">
        <is>
          <t>T2-1</t>
        </is>
      </c>
      <c r="E1398" s="42" t="n">
        <v>1</v>
      </c>
      <c r="F1398" s="42" t="inlineStr">
        <is>
          <t>FR-126</t>
        </is>
      </c>
      <c r="G1398" s="55">
        <f>IFERROR(INDEX('Semrush Data'!$A$1:$Z$20000,MATCH(A1398,'Semrush Data'!$A$1:$A$20000,0),MATCH("Volume",'Semrush Data'!$A$1:$Z$1,0)),"")</f>
        <v/>
      </c>
      <c r="H1398" s="42">
        <f>IFERROR(INDEX('Semrush Data'!$A$1:$Z$20000,MATCH(A1398,'Semrush Data'!$A$1:$A$20000,0),MATCH("Keyword Difficulty*",'Semrush Data'!$A$1:$Z$1,0)),"")</f>
        <v/>
      </c>
      <c r="I1398" s="56">
        <f>IFERROR(INDEX('Semrush Data'!$A$1:$Z$20000,MATCH(A1398,'Semrush Data'!$A$1:$A$20000,0),MATCH("CPC*",'Semrush Data'!$A$1:$Z$1,0)),"")</f>
        <v/>
      </c>
      <c r="J1398" s="42">
        <f>IFERROR(INDEX('Semrush Data'!$A$1:$Z$20000,MATCH(A1398,'Semrush Data'!$A$1:$A$20000,0),MATCH("Intent",'Semrush Data'!$A$1:$Z$1,0)),"")</f>
        <v/>
      </c>
    </row>
    <row r="1399" ht="15" customHeight="1" s="37">
      <c r="A1399" s="42" t="inlineStr">
        <is>
          <t>dolce &amp; gabbana q eau de parfum</t>
        </is>
      </c>
      <c r="B1399" s="42" t="inlineStr">
        <is>
          <t>Product + type</t>
        </is>
      </c>
      <c r="C1399" s="42" t="n">
        <v>2</v>
      </c>
      <c r="D1399" s="42" t="n">
        <v>14</v>
      </c>
      <c r="E1399" s="42" t="n">
        <v>1</v>
      </c>
      <c r="F1399" s="42" t="inlineStr">
        <is>
          <t>FR-121</t>
        </is>
      </c>
      <c r="G1399" s="55">
        <f>IFERROR(INDEX('Semrush Data'!$A$1:$Z$20000,MATCH(A1399,'Semrush Data'!$A$1:$A$20000,0),MATCH("Volume",'Semrush Data'!$A$1:$Z$1,0)),"")</f>
        <v/>
      </c>
      <c r="H1399" s="42">
        <f>IFERROR(INDEX('Semrush Data'!$A$1:$Z$20000,MATCH(A1399,'Semrush Data'!$A$1:$A$20000,0),MATCH("Keyword Difficulty*",'Semrush Data'!$A$1:$Z$1,0)),"")</f>
        <v/>
      </c>
      <c r="I1399" s="56">
        <f>IFERROR(INDEX('Semrush Data'!$A$1:$Z$20000,MATCH(A1399,'Semrush Data'!$A$1:$A$20000,0),MATCH("CPC*",'Semrush Data'!$A$1:$Z$1,0)),"")</f>
        <v/>
      </c>
      <c r="J1399" s="42">
        <f>IFERROR(INDEX('Semrush Data'!$A$1:$Z$20000,MATCH(A1399,'Semrush Data'!$A$1:$A$20000,0),MATCH("Intent",'Semrush Data'!$A$1:$Z$1,0)),"")</f>
        <v/>
      </c>
    </row>
    <row r="1400" ht="15" customHeight="1" s="37">
      <c r="A1400" s="42" t="inlineStr">
        <is>
          <t>dolce &amp; gabbana the one eau de parfum</t>
        </is>
      </c>
      <c r="B1400" s="42" t="inlineStr">
        <is>
          <t>Product + type</t>
        </is>
      </c>
      <c r="C1400" s="42" t="n">
        <v>2</v>
      </c>
      <c r="D1400" s="42" t="inlineStr">
        <is>
          <t>T2-1</t>
        </is>
      </c>
      <c r="E1400" s="42" t="n">
        <v>2</v>
      </c>
      <c r="F1400" s="42" t="inlineStr">
        <is>
          <t>FR-122, FR-123</t>
        </is>
      </c>
      <c r="G1400" s="55">
        <f>IFERROR(INDEX('Semrush Data'!$A$1:$Z$20000,MATCH(A1400,'Semrush Data'!$A$1:$A$20000,0),MATCH("Volume",'Semrush Data'!$A$1:$Z$1,0)),"")</f>
        <v/>
      </c>
      <c r="H1400" s="42">
        <f>IFERROR(INDEX('Semrush Data'!$A$1:$Z$20000,MATCH(A1400,'Semrush Data'!$A$1:$A$20000,0),MATCH("Keyword Difficulty*",'Semrush Data'!$A$1:$Z$1,0)),"")</f>
        <v/>
      </c>
      <c r="I1400" s="56">
        <f>IFERROR(INDEX('Semrush Data'!$A$1:$Z$20000,MATCH(A1400,'Semrush Data'!$A$1:$A$20000,0),MATCH("CPC*",'Semrush Data'!$A$1:$Z$1,0)),"")</f>
        <v/>
      </c>
      <c r="J1400" s="42">
        <f>IFERROR(INDEX('Semrush Data'!$A$1:$Z$20000,MATCH(A1400,'Semrush Data'!$A$1:$A$20000,0),MATCH("Intent",'Semrush Data'!$A$1:$Z$1,0)),"")</f>
        <v/>
      </c>
    </row>
    <row r="1401" ht="15" customHeight="1" s="37">
      <c r="A1401" s="42" t="inlineStr">
        <is>
          <t>dolce &amp; gabbana the one gold intense eau de parfum</t>
        </is>
      </c>
      <c r="B1401" s="42" t="inlineStr">
        <is>
          <t>Product + type</t>
        </is>
      </c>
      <c r="C1401" s="42" t="n">
        <v>2</v>
      </c>
      <c r="D1401" s="42" t="n">
        <v>14</v>
      </c>
      <c r="E1401" s="42" t="n">
        <v>1</v>
      </c>
      <c r="F1401" s="42" t="inlineStr">
        <is>
          <t>FR-125</t>
        </is>
      </c>
      <c r="G1401" s="55">
        <f>IFERROR(INDEX('Semrush Data'!$A$1:$Z$20000,MATCH(A1401,'Semrush Data'!$A$1:$A$20000,0),MATCH("Volume",'Semrush Data'!$A$1:$Z$1,0)),"")</f>
        <v/>
      </c>
      <c r="H1401" s="42">
        <f>IFERROR(INDEX('Semrush Data'!$A$1:$Z$20000,MATCH(A1401,'Semrush Data'!$A$1:$A$20000,0),MATCH("Keyword Difficulty*",'Semrush Data'!$A$1:$Z$1,0)),"")</f>
        <v/>
      </c>
      <c r="I1401" s="56">
        <f>IFERROR(INDEX('Semrush Data'!$A$1:$Z$20000,MATCH(A1401,'Semrush Data'!$A$1:$A$20000,0),MATCH("CPC*",'Semrush Data'!$A$1:$Z$1,0)),"")</f>
        <v/>
      </c>
      <c r="J1401" s="42">
        <f>IFERROR(INDEX('Semrush Data'!$A$1:$Z$20000,MATCH(A1401,'Semrush Data'!$A$1:$A$20000,0),MATCH("Intent",'Semrush Data'!$A$1:$Z$1,0)),"")</f>
        <v/>
      </c>
    </row>
    <row r="1402" ht="15" customHeight="1" s="37">
      <c r="A1402" s="42" t="inlineStr">
        <is>
          <t>dolce &amp; gabbana the one intense eau de parfum</t>
        </is>
      </c>
      <c r="B1402" s="42" t="inlineStr">
        <is>
          <t>Product + type</t>
        </is>
      </c>
      <c r="C1402" s="42" t="n">
        <v>2</v>
      </c>
      <c r="D1402" s="42" t="inlineStr">
        <is>
          <t>T2-2</t>
        </is>
      </c>
      <c r="E1402" s="42" t="n">
        <v>1</v>
      </c>
      <c r="F1402" s="42" t="inlineStr">
        <is>
          <t>FR-124</t>
        </is>
      </c>
      <c r="G1402" s="55">
        <f>IFERROR(INDEX('Semrush Data'!$A$1:$Z$20000,MATCH(A1402,'Semrush Data'!$A$1:$A$20000,0),MATCH("Volume",'Semrush Data'!$A$1:$Z$1,0)),"")</f>
        <v/>
      </c>
      <c r="H1402" s="42">
        <f>IFERROR(INDEX('Semrush Data'!$A$1:$Z$20000,MATCH(A1402,'Semrush Data'!$A$1:$A$20000,0),MATCH("Keyword Difficulty*",'Semrush Data'!$A$1:$Z$1,0)),"")</f>
        <v/>
      </c>
      <c r="I1402" s="56">
        <f>IFERROR(INDEX('Semrush Data'!$A$1:$Z$20000,MATCH(A1402,'Semrush Data'!$A$1:$A$20000,0),MATCH("CPC*",'Semrush Data'!$A$1:$Z$1,0)),"")</f>
        <v/>
      </c>
      <c r="J1402" s="42">
        <f>IFERROR(INDEX('Semrush Data'!$A$1:$Z$20000,MATCH(A1402,'Semrush Data'!$A$1:$A$20000,0),MATCH("Intent",'Semrush Data'!$A$1:$Z$1,0)),"")</f>
        <v/>
      </c>
    </row>
    <row r="1403" ht="15" customHeight="1" s="37">
      <c r="A1403" s="42" t="inlineStr">
        <is>
          <t>dunhill desire black eau de toilette</t>
        </is>
      </c>
      <c r="B1403" s="42" t="inlineStr">
        <is>
          <t>Product + type</t>
        </is>
      </c>
      <c r="C1403" s="42" t="n">
        <v>2</v>
      </c>
      <c r="D1403" s="42" t="n">
        <v>15</v>
      </c>
      <c r="E1403" s="42" t="n">
        <v>1</v>
      </c>
      <c r="F1403" s="42" t="inlineStr">
        <is>
          <t>FR-142</t>
        </is>
      </c>
      <c r="G1403" s="55">
        <f>IFERROR(INDEX('Semrush Data'!$A$1:$Z$20000,MATCH(A1403,'Semrush Data'!$A$1:$A$20000,0),MATCH("Volume",'Semrush Data'!$A$1:$Z$1,0)),"")</f>
        <v/>
      </c>
      <c r="H1403" s="42">
        <f>IFERROR(INDEX('Semrush Data'!$A$1:$Z$20000,MATCH(A1403,'Semrush Data'!$A$1:$A$20000,0),MATCH("Keyword Difficulty*",'Semrush Data'!$A$1:$Z$1,0)),"")</f>
        <v/>
      </c>
      <c r="I1403" s="56">
        <f>IFERROR(INDEX('Semrush Data'!$A$1:$Z$20000,MATCH(A1403,'Semrush Data'!$A$1:$A$20000,0),MATCH("CPC*",'Semrush Data'!$A$1:$Z$1,0)),"")</f>
        <v/>
      </c>
      <c r="J1403" s="42">
        <f>IFERROR(INDEX('Semrush Data'!$A$1:$Z$20000,MATCH(A1403,'Semrush Data'!$A$1:$A$20000,0),MATCH("Intent",'Semrush Data'!$A$1:$Z$1,0)),"")</f>
        <v/>
      </c>
    </row>
    <row r="1404" ht="15" customHeight="1" s="37">
      <c r="A1404" s="42" t="inlineStr">
        <is>
          <t>dunhill desire blue eau de toilette</t>
        </is>
      </c>
      <c r="B1404" s="42" t="inlineStr">
        <is>
          <t>Product + type</t>
        </is>
      </c>
      <c r="C1404" s="42" t="n">
        <v>2</v>
      </c>
      <c r="D1404" s="42" t="inlineStr">
        <is>
          <t>T2-2</t>
        </is>
      </c>
      <c r="E1404" s="42" t="n">
        <v>1</v>
      </c>
      <c r="F1404" s="42" t="inlineStr">
        <is>
          <t>FR-143</t>
        </is>
      </c>
      <c r="G1404" s="55">
        <f>IFERROR(INDEX('Semrush Data'!$A$1:$Z$20000,MATCH(A1404,'Semrush Data'!$A$1:$A$20000,0),MATCH("Volume",'Semrush Data'!$A$1:$Z$1,0)),"")</f>
        <v/>
      </c>
      <c r="H1404" s="42">
        <f>IFERROR(INDEX('Semrush Data'!$A$1:$Z$20000,MATCH(A1404,'Semrush Data'!$A$1:$A$20000,0),MATCH("Keyword Difficulty*",'Semrush Data'!$A$1:$Z$1,0)),"")</f>
        <v/>
      </c>
      <c r="I1404" s="56">
        <f>IFERROR(INDEX('Semrush Data'!$A$1:$Z$20000,MATCH(A1404,'Semrush Data'!$A$1:$A$20000,0),MATCH("CPC*",'Semrush Data'!$A$1:$Z$1,0)),"")</f>
        <v/>
      </c>
      <c r="J1404" s="42">
        <f>IFERROR(INDEX('Semrush Data'!$A$1:$Z$20000,MATCH(A1404,'Semrush Data'!$A$1:$A$20000,0),MATCH("Intent",'Semrush Data'!$A$1:$Z$1,0)),"")</f>
        <v/>
      </c>
    </row>
    <row r="1405" ht="15" customHeight="1" s="37">
      <c r="A1405" s="42" t="inlineStr">
        <is>
          <t>dunhill desire gold eau de toilette</t>
        </is>
      </c>
      <c r="B1405" s="42" t="inlineStr">
        <is>
          <t>Product + type</t>
        </is>
      </c>
      <c r="C1405" s="42" t="n">
        <v>2</v>
      </c>
      <c r="D1405" s="42" t="n">
        <v>15</v>
      </c>
      <c r="E1405" s="42" t="n">
        <v>1</v>
      </c>
      <c r="F1405" s="42" t="inlineStr">
        <is>
          <t>FR-144</t>
        </is>
      </c>
      <c r="G1405" s="55">
        <f>IFERROR(INDEX('Semrush Data'!$A$1:$Z$20000,MATCH(A1405,'Semrush Data'!$A$1:$A$20000,0),MATCH("Volume",'Semrush Data'!$A$1:$Z$1,0)),"")</f>
        <v/>
      </c>
      <c r="H1405" s="42">
        <f>IFERROR(INDEX('Semrush Data'!$A$1:$Z$20000,MATCH(A1405,'Semrush Data'!$A$1:$A$20000,0),MATCH("Keyword Difficulty*",'Semrush Data'!$A$1:$Z$1,0)),"")</f>
        <v/>
      </c>
      <c r="I1405" s="56">
        <f>IFERROR(INDEX('Semrush Data'!$A$1:$Z$20000,MATCH(A1405,'Semrush Data'!$A$1:$A$20000,0),MATCH("CPC*",'Semrush Data'!$A$1:$Z$1,0)),"")</f>
        <v/>
      </c>
      <c r="J1405" s="42">
        <f>IFERROR(INDEX('Semrush Data'!$A$1:$Z$20000,MATCH(A1405,'Semrush Data'!$A$1:$A$20000,0),MATCH("Intent",'Semrush Data'!$A$1:$Z$1,0)),"")</f>
        <v/>
      </c>
    </row>
    <row r="1406" ht="15" customHeight="1" s="37">
      <c r="A1406" s="42" t="inlineStr">
        <is>
          <t>dunhill desire silver eau de toilette</t>
        </is>
      </c>
      <c r="B1406" s="42" t="inlineStr">
        <is>
          <t>Product + type</t>
        </is>
      </c>
      <c r="C1406" s="42" t="n">
        <v>2</v>
      </c>
      <c r="D1406" s="42" t="n">
        <v>15</v>
      </c>
      <c r="E1406" s="42" t="n">
        <v>1</v>
      </c>
      <c r="F1406" s="42" t="inlineStr">
        <is>
          <t>FR-145</t>
        </is>
      </c>
      <c r="G1406" s="55">
        <f>IFERROR(INDEX('Semrush Data'!$A$1:$Z$20000,MATCH(A1406,'Semrush Data'!$A$1:$A$20000,0),MATCH("Volume",'Semrush Data'!$A$1:$Z$1,0)),"")</f>
        <v/>
      </c>
      <c r="H1406" s="42">
        <f>IFERROR(INDEX('Semrush Data'!$A$1:$Z$20000,MATCH(A1406,'Semrush Data'!$A$1:$A$20000,0),MATCH("Keyword Difficulty*",'Semrush Data'!$A$1:$Z$1,0)),"")</f>
        <v/>
      </c>
      <c r="I1406" s="56">
        <f>IFERROR(INDEX('Semrush Data'!$A$1:$Z$20000,MATCH(A1406,'Semrush Data'!$A$1:$A$20000,0),MATCH("CPC*",'Semrush Data'!$A$1:$Z$1,0)),"")</f>
        <v/>
      </c>
      <c r="J1406" s="42">
        <f>IFERROR(INDEX('Semrush Data'!$A$1:$Z$20000,MATCH(A1406,'Semrush Data'!$A$1:$A$20000,0),MATCH("Intent",'Semrush Data'!$A$1:$Z$1,0)),"")</f>
        <v/>
      </c>
    </row>
    <row r="1407" ht="15" customHeight="1" s="37">
      <c r="A1407" s="42" t="inlineStr">
        <is>
          <t>dunhill signature collection agar wood eau de parfum</t>
        </is>
      </c>
      <c r="B1407" s="42" t="inlineStr">
        <is>
          <t>Product + type</t>
        </is>
      </c>
      <c r="C1407" s="42" t="n">
        <v>2</v>
      </c>
      <c r="D1407" s="42" t="n">
        <v>15</v>
      </c>
      <c r="E1407" s="42" t="n">
        <v>1</v>
      </c>
      <c r="F1407" s="42" t="inlineStr">
        <is>
          <t>FR-132</t>
        </is>
      </c>
      <c r="G1407" s="55">
        <f>IFERROR(INDEX('Semrush Data'!$A$1:$Z$20000,MATCH(A1407,'Semrush Data'!$A$1:$A$20000,0),MATCH("Volume",'Semrush Data'!$A$1:$Z$1,0)),"")</f>
        <v/>
      </c>
      <c r="H1407" s="42">
        <f>IFERROR(INDEX('Semrush Data'!$A$1:$Z$20000,MATCH(A1407,'Semrush Data'!$A$1:$A$20000,0),MATCH("Keyword Difficulty*",'Semrush Data'!$A$1:$Z$1,0)),"")</f>
        <v/>
      </c>
      <c r="I1407" s="56">
        <f>IFERROR(INDEX('Semrush Data'!$A$1:$Z$20000,MATCH(A1407,'Semrush Data'!$A$1:$A$20000,0),MATCH("CPC*",'Semrush Data'!$A$1:$Z$1,0)),"")</f>
        <v/>
      </c>
      <c r="J1407" s="42">
        <f>IFERROR(INDEX('Semrush Data'!$A$1:$Z$20000,MATCH(A1407,'Semrush Data'!$A$1:$A$20000,0),MATCH("Intent",'Semrush Data'!$A$1:$Z$1,0)),"")</f>
        <v/>
      </c>
    </row>
    <row r="1408" ht="15" customHeight="1" s="37">
      <c r="A1408" s="42" t="inlineStr">
        <is>
          <t>dunhill signature collection amalfi citrus eau de parfum</t>
        </is>
      </c>
      <c r="B1408" s="42" t="inlineStr">
        <is>
          <t>Product + type</t>
        </is>
      </c>
      <c r="C1408" s="42" t="n">
        <v>2</v>
      </c>
      <c r="D1408" s="42" t="n">
        <v>15</v>
      </c>
      <c r="E1408" s="42" t="n">
        <v>1</v>
      </c>
      <c r="F1408" s="42" t="inlineStr">
        <is>
          <t>FR-133</t>
        </is>
      </c>
      <c r="G1408" s="55">
        <f>IFERROR(INDEX('Semrush Data'!$A$1:$Z$20000,MATCH(A1408,'Semrush Data'!$A$1:$A$20000,0),MATCH("Volume",'Semrush Data'!$A$1:$Z$1,0)),"")</f>
        <v/>
      </c>
      <c r="H1408" s="42">
        <f>IFERROR(INDEX('Semrush Data'!$A$1:$Z$20000,MATCH(A1408,'Semrush Data'!$A$1:$A$20000,0),MATCH("Keyword Difficulty*",'Semrush Data'!$A$1:$Z$1,0)),"")</f>
        <v/>
      </c>
      <c r="I1408" s="56">
        <f>IFERROR(INDEX('Semrush Data'!$A$1:$Z$20000,MATCH(A1408,'Semrush Data'!$A$1:$A$20000,0),MATCH("CPC*",'Semrush Data'!$A$1:$Z$1,0)),"")</f>
        <v/>
      </c>
      <c r="J1408" s="42">
        <f>IFERROR(INDEX('Semrush Data'!$A$1:$Z$20000,MATCH(A1408,'Semrush Data'!$A$1:$A$20000,0),MATCH("Intent",'Semrush Data'!$A$1:$Z$1,0)),"")</f>
        <v/>
      </c>
    </row>
    <row r="1409" ht="15" customHeight="1" s="37">
      <c r="A1409" s="42" t="inlineStr">
        <is>
          <t>dunhill signature collection arabian desert eau de parfum</t>
        </is>
      </c>
      <c r="B1409" s="42" t="inlineStr">
        <is>
          <t>Product + type</t>
        </is>
      </c>
      <c r="C1409" s="42" t="n">
        <v>2</v>
      </c>
      <c r="D1409" s="42" t="n">
        <v>15</v>
      </c>
      <c r="E1409" s="42" t="n">
        <v>1</v>
      </c>
      <c r="F1409" s="42" t="inlineStr">
        <is>
          <t>FR-134</t>
        </is>
      </c>
      <c r="G1409" s="55">
        <f>IFERROR(INDEX('Semrush Data'!$A$1:$Z$20000,MATCH(A1409,'Semrush Data'!$A$1:$A$20000,0),MATCH("Volume",'Semrush Data'!$A$1:$Z$1,0)),"")</f>
        <v/>
      </c>
      <c r="H1409" s="42">
        <f>IFERROR(INDEX('Semrush Data'!$A$1:$Z$20000,MATCH(A1409,'Semrush Data'!$A$1:$A$20000,0),MATCH("Keyword Difficulty*",'Semrush Data'!$A$1:$Z$1,0)),"")</f>
        <v/>
      </c>
      <c r="I1409" s="56">
        <f>IFERROR(INDEX('Semrush Data'!$A$1:$Z$20000,MATCH(A1409,'Semrush Data'!$A$1:$A$20000,0),MATCH("CPC*",'Semrush Data'!$A$1:$Z$1,0)),"")</f>
        <v/>
      </c>
      <c r="J1409" s="42">
        <f>IFERROR(INDEX('Semrush Data'!$A$1:$Z$20000,MATCH(A1409,'Semrush Data'!$A$1:$A$20000,0),MATCH("Intent",'Semrush Data'!$A$1:$Z$1,0)),"")</f>
        <v/>
      </c>
    </row>
    <row r="1410" ht="15" customHeight="1" s="37">
      <c r="A1410" s="42" t="inlineStr">
        <is>
          <t>dunhill signature collection british leather eau de parfum</t>
        </is>
      </c>
      <c r="B1410" s="42" t="inlineStr">
        <is>
          <t>Product + type</t>
        </is>
      </c>
      <c r="C1410" s="42" t="n">
        <v>2</v>
      </c>
      <c r="D1410" s="42" t="n">
        <v>15</v>
      </c>
      <c r="E1410" s="42" t="n">
        <v>1</v>
      </c>
      <c r="F1410" s="42" t="inlineStr">
        <is>
          <t>FR-135</t>
        </is>
      </c>
      <c r="G1410" s="55">
        <f>IFERROR(INDEX('Semrush Data'!$A$1:$Z$20000,MATCH(A1410,'Semrush Data'!$A$1:$A$20000,0),MATCH("Volume",'Semrush Data'!$A$1:$Z$1,0)),"")</f>
        <v/>
      </c>
      <c r="H1410" s="42">
        <f>IFERROR(INDEX('Semrush Data'!$A$1:$Z$20000,MATCH(A1410,'Semrush Data'!$A$1:$A$20000,0),MATCH("Keyword Difficulty*",'Semrush Data'!$A$1:$Z$1,0)),"")</f>
        <v/>
      </c>
      <c r="I1410" s="56">
        <f>IFERROR(INDEX('Semrush Data'!$A$1:$Z$20000,MATCH(A1410,'Semrush Data'!$A$1:$A$20000,0),MATCH("CPC*",'Semrush Data'!$A$1:$Z$1,0)),"")</f>
        <v/>
      </c>
      <c r="J1410" s="42">
        <f>IFERROR(INDEX('Semrush Data'!$A$1:$Z$20000,MATCH(A1410,'Semrush Data'!$A$1:$A$20000,0),MATCH("Intent",'Semrush Data'!$A$1:$Z$1,0)),"")</f>
        <v/>
      </c>
    </row>
    <row r="1411" ht="15" customHeight="1" s="37">
      <c r="A1411" s="42" t="inlineStr">
        <is>
          <t>dunhill signature collection egyptian smoke eau de parfum</t>
        </is>
      </c>
      <c r="B1411" s="42" t="inlineStr">
        <is>
          <t>Product + type</t>
        </is>
      </c>
      <c r="C1411" s="42" t="n">
        <v>2</v>
      </c>
      <c r="D1411" s="42" t="n">
        <v>15</v>
      </c>
      <c r="E1411" s="42" t="n">
        <v>1</v>
      </c>
      <c r="F1411" s="42" t="inlineStr">
        <is>
          <t>FR-136</t>
        </is>
      </c>
      <c r="G1411" s="55">
        <f>IFERROR(INDEX('Semrush Data'!$A$1:$Z$20000,MATCH(A1411,'Semrush Data'!$A$1:$A$20000,0),MATCH("Volume",'Semrush Data'!$A$1:$Z$1,0)),"")</f>
        <v/>
      </c>
      <c r="H1411" s="42">
        <f>IFERROR(INDEX('Semrush Data'!$A$1:$Z$20000,MATCH(A1411,'Semrush Data'!$A$1:$A$20000,0),MATCH("Keyword Difficulty*",'Semrush Data'!$A$1:$Z$1,0)),"")</f>
        <v/>
      </c>
      <c r="I1411" s="56">
        <f>IFERROR(INDEX('Semrush Data'!$A$1:$Z$20000,MATCH(A1411,'Semrush Data'!$A$1:$A$20000,0),MATCH("CPC*",'Semrush Data'!$A$1:$Z$1,0)),"")</f>
        <v/>
      </c>
      <c r="J1411" s="42">
        <f>IFERROR(INDEX('Semrush Data'!$A$1:$Z$20000,MATCH(A1411,'Semrush Data'!$A$1:$A$20000,0),MATCH("Intent",'Semrush Data'!$A$1:$Z$1,0)),"")</f>
        <v/>
      </c>
    </row>
    <row r="1412" ht="15" customHeight="1" s="37">
      <c r="A1412" s="42" t="inlineStr">
        <is>
          <t>dunhill signature collection indian sandalwood eau de parfum</t>
        </is>
      </c>
      <c r="B1412" s="42" t="inlineStr">
        <is>
          <t>Product + type</t>
        </is>
      </c>
      <c r="C1412" s="42" t="n">
        <v>2</v>
      </c>
      <c r="D1412" s="42" t="n">
        <v>15</v>
      </c>
      <c r="E1412" s="42" t="n">
        <v>1</v>
      </c>
      <c r="F1412" s="42" t="inlineStr">
        <is>
          <t>FR-137</t>
        </is>
      </c>
      <c r="G1412" s="55">
        <f>IFERROR(INDEX('Semrush Data'!$A$1:$Z$20000,MATCH(A1412,'Semrush Data'!$A$1:$A$20000,0),MATCH("Volume",'Semrush Data'!$A$1:$Z$1,0)),"")</f>
        <v/>
      </c>
      <c r="H1412" s="42">
        <f>IFERROR(INDEX('Semrush Data'!$A$1:$Z$20000,MATCH(A1412,'Semrush Data'!$A$1:$A$20000,0),MATCH("Keyword Difficulty*",'Semrush Data'!$A$1:$Z$1,0)),"")</f>
        <v/>
      </c>
      <c r="I1412" s="56">
        <f>IFERROR(INDEX('Semrush Data'!$A$1:$Z$20000,MATCH(A1412,'Semrush Data'!$A$1:$A$20000,0),MATCH("CPC*",'Semrush Data'!$A$1:$Z$1,0)),"")</f>
        <v/>
      </c>
      <c r="J1412" s="42">
        <f>IFERROR(INDEX('Semrush Data'!$A$1:$Z$20000,MATCH(A1412,'Semrush Data'!$A$1:$A$20000,0),MATCH("Intent",'Semrush Data'!$A$1:$Z$1,0)),"")</f>
        <v/>
      </c>
    </row>
    <row r="1413" ht="15" customHeight="1" s="37">
      <c r="A1413" s="42" t="inlineStr">
        <is>
          <t>dunhill signature collection mongolian cashmere eau de parfum</t>
        </is>
      </c>
      <c r="B1413" s="42" t="inlineStr">
        <is>
          <t>Product + type</t>
        </is>
      </c>
      <c r="C1413" s="42" t="n">
        <v>2</v>
      </c>
      <c r="D1413" s="42" t="n">
        <v>15</v>
      </c>
      <c r="E1413" s="42" t="n">
        <v>1</v>
      </c>
      <c r="F1413" s="42" t="inlineStr">
        <is>
          <t>FR-138</t>
        </is>
      </c>
      <c r="G1413" s="55">
        <f>IFERROR(INDEX('Semrush Data'!$A$1:$Z$20000,MATCH(A1413,'Semrush Data'!$A$1:$A$20000,0),MATCH("Volume",'Semrush Data'!$A$1:$Z$1,0)),"")</f>
        <v/>
      </c>
      <c r="H1413" s="42">
        <f>IFERROR(INDEX('Semrush Data'!$A$1:$Z$20000,MATCH(A1413,'Semrush Data'!$A$1:$A$20000,0),MATCH("Keyword Difficulty*",'Semrush Data'!$A$1:$Z$1,0)),"")</f>
        <v/>
      </c>
      <c r="I1413" s="56">
        <f>IFERROR(INDEX('Semrush Data'!$A$1:$Z$20000,MATCH(A1413,'Semrush Data'!$A$1:$A$20000,0),MATCH("CPC*",'Semrush Data'!$A$1:$Z$1,0)),"")</f>
        <v/>
      </c>
      <c r="J1413" s="42">
        <f>IFERROR(INDEX('Semrush Data'!$A$1:$Z$20000,MATCH(A1413,'Semrush Data'!$A$1:$A$20000,0),MATCH("Intent",'Semrush Data'!$A$1:$Z$1,0)),"")</f>
        <v/>
      </c>
    </row>
    <row r="1414" ht="15" customHeight="1" s="37">
      <c r="A1414" s="42" t="inlineStr">
        <is>
          <t>dunhill signature collection moroccan amber eau de parfum</t>
        </is>
      </c>
      <c r="B1414" s="42" t="inlineStr">
        <is>
          <t>Product + type</t>
        </is>
      </c>
      <c r="C1414" s="42" t="n">
        <v>2</v>
      </c>
      <c r="D1414" s="42" t="n">
        <v>15</v>
      </c>
      <c r="E1414" s="42" t="n">
        <v>1</v>
      </c>
      <c r="F1414" s="42" t="inlineStr">
        <is>
          <t>FR-139</t>
        </is>
      </c>
      <c r="G1414" s="55">
        <f>IFERROR(INDEX('Semrush Data'!$A$1:$Z$20000,MATCH(A1414,'Semrush Data'!$A$1:$A$20000,0),MATCH("Volume",'Semrush Data'!$A$1:$Z$1,0)),"")</f>
        <v/>
      </c>
      <c r="H1414" s="42">
        <f>IFERROR(INDEX('Semrush Data'!$A$1:$Z$20000,MATCH(A1414,'Semrush Data'!$A$1:$A$20000,0),MATCH("Keyword Difficulty*",'Semrush Data'!$A$1:$Z$1,0)),"")</f>
        <v/>
      </c>
      <c r="I1414" s="56">
        <f>IFERROR(INDEX('Semrush Data'!$A$1:$Z$20000,MATCH(A1414,'Semrush Data'!$A$1:$A$20000,0),MATCH("CPC*",'Semrush Data'!$A$1:$Z$1,0)),"")</f>
        <v/>
      </c>
      <c r="J1414" s="42">
        <f>IFERROR(INDEX('Semrush Data'!$A$1:$Z$20000,MATCH(A1414,'Semrush Data'!$A$1:$A$20000,0),MATCH("Intent",'Semrush Data'!$A$1:$Z$1,0)),"")</f>
        <v/>
      </c>
    </row>
    <row r="1415" ht="15" customHeight="1" s="37">
      <c r="A1415" s="42" t="inlineStr">
        <is>
          <t>dunhill signature collection nordic fougere eau de parfum</t>
        </is>
      </c>
      <c r="B1415" s="42" t="inlineStr">
        <is>
          <t>Product + type</t>
        </is>
      </c>
      <c r="C1415" s="42" t="n">
        <v>2</v>
      </c>
      <c r="D1415" s="42" t="n">
        <v>15</v>
      </c>
      <c r="E1415" s="42" t="n">
        <v>1</v>
      </c>
      <c r="F1415" s="42" t="inlineStr">
        <is>
          <t>FR-140</t>
        </is>
      </c>
      <c r="G1415" s="55">
        <f>IFERROR(INDEX('Semrush Data'!$A$1:$Z$20000,MATCH(A1415,'Semrush Data'!$A$1:$A$20000,0),MATCH("Volume",'Semrush Data'!$A$1:$Z$1,0)),"")</f>
        <v/>
      </c>
      <c r="H1415" s="42">
        <f>IFERROR(INDEX('Semrush Data'!$A$1:$Z$20000,MATCH(A1415,'Semrush Data'!$A$1:$A$20000,0),MATCH("Keyword Difficulty*",'Semrush Data'!$A$1:$Z$1,0)),"")</f>
        <v/>
      </c>
      <c r="I1415" s="56">
        <f>IFERROR(INDEX('Semrush Data'!$A$1:$Z$20000,MATCH(A1415,'Semrush Data'!$A$1:$A$20000,0),MATCH("CPC*",'Semrush Data'!$A$1:$Z$1,0)),"")</f>
        <v/>
      </c>
      <c r="J1415" s="42">
        <f>IFERROR(INDEX('Semrush Data'!$A$1:$Z$20000,MATCH(A1415,'Semrush Data'!$A$1:$A$20000,0),MATCH("Intent",'Semrush Data'!$A$1:$Z$1,0)),"")</f>
        <v/>
      </c>
    </row>
    <row r="1416" ht="15" customHeight="1" s="37">
      <c r="A1416" s="42" t="inlineStr">
        <is>
          <t>dunhill signature collection valensole lavender eau de parfum</t>
        </is>
      </c>
      <c r="B1416" s="42" t="inlineStr">
        <is>
          <t>Product + type</t>
        </is>
      </c>
      <c r="C1416" s="42" t="n">
        <v>2</v>
      </c>
      <c r="D1416" s="42" t="n">
        <v>15</v>
      </c>
      <c r="E1416" s="42" t="n">
        <v>1</v>
      </c>
      <c r="F1416" s="42" t="inlineStr">
        <is>
          <t>FR-141</t>
        </is>
      </c>
      <c r="G1416" s="55">
        <f>IFERROR(INDEX('Semrush Data'!$A$1:$Z$20000,MATCH(A1416,'Semrush Data'!$A$1:$A$20000,0),MATCH("Volume",'Semrush Data'!$A$1:$Z$1,0)),"")</f>
        <v/>
      </c>
      <c r="H1416" s="42">
        <f>IFERROR(INDEX('Semrush Data'!$A$1:$Z$20000,MATCH(A1416,'Semrush Data'!$A$1:$A$20000,0),MATCH("Keyword Difficulty*",'Semrush Data'!$A$1:$Z$1,0)),"")</f>
        <v/>
      </c>
      <c r="I1416" s="56">
        <f>IFERROR(INDEX('Semrush Data'!$A$1:$Z$20000,MATCH(A1416,'Semrush Data'!$A$1:$A$20000,0),MATCH("CPC*",'Semrush Data'!$A$1:$Z$1,0)),"")</f>
        <v/>
      </c>
      <c r="J1416" s="42">
        <f>IFERROR(INDEX('Semrush Data'!$A$1:$Z$20000,MATCH(A1416,'Semrush Data'!$A$1:$A$20000,0),MATCH("Intent",'Semrush Data'!$A$1:$Z$1,0)),"")</f>
        <v/>
      </c>
    </row>
    <row r="1417" ht="15" customHeight="1" s="37">
      <c r="A1417" s="42" t="inlineStr">
        <is>
          <t>elie saab elixir eau de parfum</t>
        </is>
      </c>
      <c r="B1417" s="42" t="inlineStr">
        <is>
          <t>Product + type</t>
        </is>
      </c>
      <c r="C1417" s="42" t="n">
        <v>2</v>
      </c>
      <c r="D1417" s="42" t="inlineStr">
        <is>
          <t>T2-1</t>
        </is>
      </c>
      <c r="E1417" s="42" t="n">
        <v>1</v>
      </c>
      <c r="F1417" s="42" t="inlineStr">
        <is>
          <t>FR-146</t>
        </is>
      </c>
      <c r="G1417" s="55">
        <f>IFERROR(INDEX('Semrush Data'!$A$1:$Z$20000,MATCH(A1417,'Semrush Data'!$A$1:$A$20000,0),MATCH("Volume",'Semrush Data'!$A$1:$Z$1,0)),"")</f>
        <v/>
      </c>
      <c r="H1417" s="42">
        <f>IFERROR(INDEX('Semrush Data'!$A$1:$Z$20000,MATCH(A1417,'Semrush Data'!$A$1:$A$20000,0),MATCH("Keyword Difficulty*",'Semrush Data'!$A$1:$Z$1,0)),"")</f>
        <v/>
      </c>
      <c r="I1417" s="56">
        <f>IFERROR(INDEX('Semrush Data'!$A$1:$Z$20000,MATCH(A1417,'Semrush Data'!$A$1:$A$20000,0),MATCH("CPC*",'Semrush Data'!$A$1:$Z$1,0)),"")</f>
        <v/>
      </c>
      <c r="J1417" s="42">
        <f>IFERROR(INDEX('Semrush Data'!$A$1:$Z$20000,MATCH(A1417,'Semrush Data'!$A$1:$A$20000,0),MATCH("Intent",'Semrush Data'!$A$1:$Z$1,0)),"")</f>
        <v/>
      </c>
    </row>
    <row r="1418" ht="15" customHeight="1" s="37">
      <c r="A1418" s="42" t="inlineStr">
        <is>
          <t>elie saab la collection des essences no. 1 rose eau de parfum</t>
        </is>
      </c>
      <c r="B1418" s="42" t="inlineStr">
        <is>
          <t>Product + type</t>
        </is>
      </c>
      <c r="C1418" s="42" t="n">
        <v>2</v>
      </c>
      <c r="D1418" s="42" t="n">
        <v>15</v>
      </c>
      <c r="E1418" s="42" t="n">
        <v>1</v>
      </c>
      <c r="F1418" s="42" t="inlineStr">
        <is>
          <t>FR-147</t>
        </is>
      </c>
      <c r="G1418" s="55">
        <f>IFERROR(INDEX('Semrush Data'!$A$1:$Z$20000,MATCH(A1418,'Semrush Data'!$A$1:$A$20000,0),MATCH("Volume",'Semrush Data'!$A$1:$Z$1,0)),"")</f>
        <v/>
      </c>
      <c r="H1418" s="42">
        <f>IFERROR(INDEX('Semrush Data'!$A$1:$Z$20000,MATCH(A1418,'Semrush Data'!$A$1:$A$20000,0),MATCH("Keyword Difficulty*",'Semrush Data'!$A$1:$Z$1,0)),"")</f>
        <v/>
      </c>
      <c r="I1418" s="56">
        <f>IFERROR(INDEX('Semrush Data'!$A$1:$Z$20000,MATCH(A1418,'Semrush Data'!$A$1:$A$20000,0),MATCH("CPC*",'Semrush Data'!$A$1:$Z$1,0)),"")</f>
        <v/>
      </c>
      <c r="J1418" s="42">
        <f>IFERROR(INDEX('Semrush Data'!$A$1:$Z$20000,MATCH(A1418,'Semrush Data'!$A$1:$A$20000,0),MATCH("Intent",'Semrush Data'!$A$1:$Z$1,0)),"")</f>
        <v/>
      </c>
    </row>
    <row r="1419" ht="15" customHeight="1" s="37">
      <c r="A1419" s="42" t="inlineStr">
        <is>
          <t>elie saab la collection des essences no. 4 oud eau de parfum</t>
        </is>
      </c>
      <c r="B1419" s="42" t="inlineStr">
        <is>
          <t>Product + type</t>
        </is>
      </c>
      <c r="C1419" s="42" t="n">
        <v>2</v>
      </c>
      <c r="D1419" s="42" t="n">
        <v>15</v>
      </c>
      <c r="E1419" s="42" t="n">
        <v>1</v>
      </c>
      <c r="F1419" s="42" t="inlineStr">
        <is>
          <t>FR-148</t>
        </is>
      </c>
      <c r="G1419" s="55">
        <f>IFERROR(INDEX('Semrush Data'!$A$1:$Z$20000,MATCH(A1419,'Semrush Data'!$A$1:$A$20000,0),MATCH("Volume",'Semrush Data'!$A$1:$Z$1,0)),"")</f>
        <v/>
      </c>
      <c r="H1419" s="42">
        <f>IFERROR(INDEX('Semrush Data'!$A$1:$Z$20000,MATCH(A1419,'Semrush Data'!$A$1:$A$20000,0),MATCH("Keyword Difficulty*",'Semrush Data'!$A$1:$Z$1,0)),"")</f>
        <v/>
      </c>
      <c r="I1419" s="56">
        <f>IFERROR(INDEX('Semrush Data'!$A$1:$Z$20000,MATCH(A1419,'Semrush Data'!$A$1:$A$20000,0),MATCH("CPC*",'Semrush Data'!$A$1:$Z$1,0)),"")</f>
        <v/>
      </c>
      <c r="J1419" s="42">
        <f>IFERROR(INDEX('Semrush Data'!$A$1:$Z$20000,MATCH(A1419,'Semrush Data'!$A$1:$A$20000,0),MATCH("Intent",'Semrush Data'!$A$1:$Z$1,0)),"")</f>
        <v/>
      </c>
    </row>
    <row r="1420" ht="15" customHeight="1" s="37">
      <c r="A1420" s="42" t="inlineStr">
        <is>
          <t>elie saab le eau de parfum</t>
        </is>
      </c>
      <c r="B1420" s="42" t="inlineStr">
        <is>
          <t>Product + type</t>
        </is>
      </c>
      <c r="C1420" s="42" t="n">
        <v>2</v>
      </c>
      <c r="D1420" s="42" t="n">
        <v>15</v>
      </c>
      <c r="E1420" s="42" t="n">
        <v>1</v>
      </c>
      <c r="F1420" s="42" t="inlineStr">
        <is>
          <t>FR-150</t>
        </is>
      </c>
      <c r="G1420" s="55">
        <f>IFERROR(INDEX('Semrush Data'!$A$1:$Z$20000,MATCH(A1420,'Semrush Data'!$A$1:$A$20000,0),MATCH("Volume",'Semrush Data'!$A$1:$Z$1,0)),"")</f>
        <v/>
      </c>
      <c r="H1420" s="42">
        <f>IFERROR(INDEX('Semrush Data'!$A$1:$Z$20000,MATCH(A1420,'Semrush Data'!$A$1:$A$20000,0),MATCH("Keyword Difficulty*",'Semrush Data'!$A$1:$Z$1,0)),"")</f>
        <v/>
      </c>
      <c r="I1420" s="56">
        <f>IFERROR(INDEX('Semrush Data'!$A$1:$Z$20000,MATCH(A1420,'Semrush Data'!$A$1:$A$20000,0),MATCH("CPC*",'Semrush Data'!$A$1:$Z$1,0)),"")</f>
        <v/>
      </c>
      <c r="J1420" s="42">
        <f>IFERROR(INDEX('Semrush Data'!$A$1:$Z$20000,MATCH(A1420,'Semrush Data'!$A$1:$A$20000,0),MATCH("Intent",'Semrush Data'!$A$1:$Z$1,0)),"")</f>
        <v/>
      </c>
    </row>
    <row r="1421" ht="15" customHeight="1" s="37">
      <c r="A1421" s="42" t="inlineStr">
        <is>
          <t>elie saab le parfum bridal eau de parfum</t>
        </is>
      </c>
      <c r="B1421" s="42" t="inlineStr">
        <is>
          <t>Product + type</t>
        </is>
      </c>
      <c r="C1421" s="42" t="n">
        <v>2</v>
      </c>
      <c r="D1421" s="42" t="n">
        <v>15</v>
      </c>
      <c r="E1421" s="42" t="n">
        <v>1</v>
      </c>
      <c r="F1421" s="42" t="inlineStr">
        <is>
          <t>FR-149</t>
        </is>
      </c>
      <c r="G1421" s="55">
        <f>IFERROR(INDEX('Semrush Data'!$A$1:$Z$20000,MATCH(A1421,'Semrush Data'!$A$1:$A$20000,0),MATCH("Volume",'Semrush Data'!$A$1:$Z$1,0)),"")</f>
        <v/>
      </c>
      <c r="H1421" s="42">
        <f>IFERROR(INDEX('Semrush Data'!$A$1:$Z$20000,MATCH(A1421,'Semrush Data'!$A$1:$A$20000,0),MATCH("Keyword Difficulty*",'Semrush Data'!$A$1:$Z$1,0)),"")</f>
        <v/>
      </c>
      <c r="I1421" s="56">
        <f>IFERROR(INDEX('Semrush Data'!$A$1:$Z$20000,MATCH(A1421,'Semrush Data'!$A$1:$A$20000,0),MATCH("CPC*",'Semrush Data'!$A$1:$Z$1,0)),"")</f>
        <v/>
      </c>
      <c r="J1421" s="42">
        <f>IFERROR(INDEX('Semrush Data'!$A$1:$Z$20000,MATCH(A1421,'Semrush Data'!$A$1:$A$20000,0),MATCH("Intent",'Semrush Data'!$A$1:$Z$1,0)),"")</f>
        <v/>
      </c>
    </row>
    <row r="1422" ht="15" customHeight="1" s="37">
      <c r="A1422" s="42" t="inlineStr">
        <is>
          <t>elie saab le parfum intense eau de parfum</t>
        </is>
      </c>
      <c r="B1422" s="42" t="inlineStr">
        <is>
          <t>Product + type</t>
        </is>
      </c>
      <c r="C1422" s="42" t="n">
        <v>2</v>
      </c>
      <c r="D1422" s="42" t="n">
        <v>15</v>
      </c>
      <c r="E1422" s="42" t="n">
        <v>1</v>
      </c>
      <c r="F1422" s="42" t="inlineStr">
        <is>
          <t>FR-151</t>
        </is>
      </c>
      <c r="G1422" s="55">
        <f>IFERROR(INDEX('Semrush Data'!$A$1:$Z$20000,MATCH(A1422,'Semrush Data'!$A$1:$A$20000,0),MATCH("Volume",'Semrush Data'!$A$1:$Z$1,0)),"")</f>
        <v/>
      </c>
      <c r="H1422" s="42">
        <f>IFERROR(INDEX('Semrush Data'!$A$1:$Z$20000,MATCH(A1422,'Semrush Data'!$A$1:$A$20000,0),MATCH("Keyword Difficulty*",'Semrush Data'!$A$1:$Z$1,0)),"")</f>
        <v/>
      </c>
      <c r="I1422" s="56">
        <f>IFERROR(INDEX('Semrush Data'!$A$1:$Z$20000,MATCH(A1422,'Semrush Data'!$A$1:$A$20000,0),MATCH("CPC*",'Semrush Data'!$A$1:$Z$1,0)),"")</f>
        <v/>
      </c>
      <c r="J1422" s="42">
        <f>IFERROR(INDEX('Semrush Data'!$A$1:$Z$20000,MATCH(A1422,'Semrush Data'!$A$1:$A$20000,0),MATCH("Intent",'Semrush Data'!$A$1:$Z$1,0)),"")</f>
        <v/>
      </c>
    </row>
    <row r="1423" ht="15" customHeight="1" s="37">
      <c r="A1423" s="42" t="inlineStr">
        <is>
          <t>elie saab nuit noor eau de parfum</t>
        </is>
      </c>
      <c r="B1423" s="42" t="inlineStr">
        <is>
          <t>Product + type</t>
        </is>
      </c>
      <c r="C1423" s="42" t="n">
        <v>2</v>
      </c>
      <c r="D1423" s="42" t="inlineStr">
        <is>
          <t>T2-2</t>
        </is>
      </c>
      <c r="E1423" s="42" t="n">
        <v>1</v>
      </c>
      <c r="F1423" s="42" t="inlineStr">
        <is>
          <t>FR-152</t>
        </is>
      </c>
      <c r="G1423" s="55">
        <f>IFERROR(INDEX('Semrush Data'!$A$1:$Z$20000,MATCH(A1423,'Semrush Data'!$A$1:$A$20000,0),MATCH("Volume",'Semrush Data'!$A$1:$Z$1,0)),"")</f>
        <v/>
      </c>
      <c r="H1423" s="42">
        <f>IFERROR(INDEX('Semrush Data'!$A$1:$Z$20000,MATCH(A1423,'Semrush Data'!$A$1:$A$20000,0),MATCH("Keyword Difficulty*",'Semrush Data'!$A$1:$Z$1,0)),"")</f>
        <v/>
      </c>
      <c r="I1423" s="56">
        <f>IFERROR(INDEX('Semrush Data'!$A$1:$Z$20000,MATCH(A1423,'Semrush Data'!$A$1:$A$20000,0),MATCH("CPC*",'Semrush Data'!$A$1:$Z$1,0)),"")</f>
        <v/>
      </c>
      <c r="J1423" s="42">
        <f>IFERROR(INDEX('Semrush Data'!$A$1:$Z$20000,MATCH(A1423,'Semrush Data'!$A$1:$A$20000,0),MATCH("Intent",'Semrush Data'!$A$1:$Z$1,0)),"")</f>
        <v/>
      </c>
    </row>
    <row r="1424" ht="15" customHeight="1" s="37">
      <c r="A1424" s="42" t="inlineStr">
        <is>
          <t>elizabeth arden beauty eau de parfum</t>
        </is>
      </c>
      <c r="B1424" s="42" t="inlineStr">
        <is>
          <t>Product + type</t>
        </is>
      </c>
      <c r="C1424" s="42" t="n">
        <v>2</v>
      </c>
      <c r="D1424" s="42" t="inlineStr">
        <is>
          <t>T2-1</t>
        </is>
      </c>
      <c r="E1424" s="42" t="n">
        <v>1</v>
      </c>
      <c r="F1424" s="42" t="inlineStr">
        <is>
          <t>FR-156</t>
        </is>
      </c>
      <c r="G1424" s="55">
        <f>IFERROR(INDEX('Semrush Data'!$A$1:$Z$20000,MATCH(A1424,'Semrush Data'!$A$1:$A$20000,0),MATCH("Volume",'Semrush Data'!$A$1:$Z$1,0)),"")</f>
        <v/>
      </c>
      <c r="H1424" s="42">
        <f>IFERROR(INDEX('Semrush Data'!$A$1:$Z$20000,MATCH(A1424,'Semrush Data'!$A$1:$A$20000,0),MATCH("Keyword Difficulty*",'Semrush Data'!$A$1:$Z$1,0)),"")</f>
        <v/>
      </c>
      <c r="I1424" s="56">
        <f>IFERROR(INDEX('Semrush Data'!$A$1:$Z$20000,MATCH(A1424,'Semrush Data'!$A$1:$A$20000,0),MATCH("CPC*",'Semrush Data'!$A$1:$Z$1,0)),"")</f>
        <v/>
      </c>
      <c r="J1424" s="42">
        <f>IFERROR(INDEX('Semrush Data'!$A$1:$Z$20000,MATCH(A1424,'Semrush Data'!$A$1:$A$20000,0),MATCH("Intent",'Semrush Data'!$A$1:$Z$1,0)),"")</f>
        <v/>
      </c>
    </row>
    <row r="1425" ht="15" customHeight="1" s="37">
      <c r="A1425" s="42" t="inlineStr">
        <is>
          <t>escada magnetic dream eau de parfum</t>
        </is>
      </c>
      <c r="B1425" s="42" t="inlineStr">
        <is>
          <t>Product + type</t>
        </is>
      </c>
      <c r="C1425" s="42" t="n">
        <v>2</v>
      </c>
      <c r="D1425" s="42" t="n">
        <v>15</v>
      </c>
      <c r="E1425" s="42" t="n">
        <v>1</v>
      </c>
      <c r="F1425" s="42" t="inlineStr">
        <is>
          <t>FR-157</t>
        </is>
      </c>
      <c r="G1425" s="55">
        <f>IFERROR(INDEX('Semrush Data'!$A$1:$Z$20000,MATCH(A1425,'Semrush Data'!$A$1:$A$20000,0),MATCH("Volume",'Semrush Data'!$A$1:$Z$1,0)),"")</f>
        <v/>
      </c>
      <c r="H1425" s="42">
        <f>IFERROR(INDEX('Semrush Data'!$A$1:$Z$20000,MATCH(A1425,'Semrush Data'!$A$1:$A$20000,0),MATCH("Keyword Difficulty*",'Semrush Data'!$A$1:$Z$1,0)),"")</f>
        <v/>
      </c>
      <c r="I1425" s="56">
        <f>IFERROR(INDEX('Semrush Data'!$A$1:$Z$20000,MATCH(A1425,'Semrush Data'!$A$1:$A$20000,0),MATCH("CPC*",'Semrush Data'!$A$1:$Z$1,0)),"")</f>
        <v/>
      </c>
      <c r="J1425" s="42">
        <f>IFERROR(INDEX('Semrush Data'!$A$1:$Z$20000,MATCH(A1425,'Semrush Data'!$A$1:$A$20000,0),MATCH("Intent",'Semrush Data'!$A$1:$Z$1,0)),"")</f>
        <v/>
      </c>
    </row>
    <row r="1426" ht="15" customHeight="1" s="37">
      <c r="A1426" s="42" t="inlineStr">
        <is>
          <t>escada magnetism eau de parfum</t>
        </is>
      </c>
      <c r="B1426" s="42" t="inlineStr">
        <is>
          <t>Product + type</t>
        </is>
      </c>
      <c r="C1426" s="42" t="n">
        <v>2</v>
      </c>
      <c r="D1426" s="42" t="inlineStr">
        <is>
          <t>T2-1</t>
        </is>
      </c>
      <c r="E1426" s="42" t="n">
        <v>1</v>
      </c>
      <c r="F1426" s="42" t="inlineStr">
        <is>
          <t>FR-158</t>
        </is>
      </c>
      <c r="G1426" s="55">
        <f>IFERROR(INDEX('Semrush Data'!$A$1:$Z$20000,MATCH(A1426,'Semrush Data'!$A$1:$A$20000,0),MATCH("Volume",'Semrush Data'!$A$1:$Z$1,0)),"")</f>
        <v/>
      </c>
      <c r="H1426" s="42">
        <f>IFERROR(INDEX('Semrush Data'!$A$1:$Z$20000,MATCH(A1426,'Semrush Data'!$A$1:$A$20000,0),MATCH("Keyword Difficulty*",'Semrush Data'!$A$1:$Z$1,0)),"")</f>
        <v/>
      </c>
      <c r="I1426" s="56">
        <f>IFERROR(INDEX('Semrush Data'!$A$1:$Z$20000,MATCH(A1426,'Semrush Data'!$A$1:$A$20000,0),MATCH("CPC*",'Semrush Data'!$A$1:$Z$1,0)),"")</f>
        <v/>
      </c>
      <c r="J1426" s="42">
        <f>IFERROR(INDEX('Semrush Data'!$A$1:$Z$20000,MATCH(A1426,'Semrush Data'!$A$1:$A$20000,0),MATCH("Intent",'Semrush Data'!$A$1:$Z$1,0)),"")</f>
        <v/>
      </c>
    </row>
    <row r="1427" ht="15" customHeight="1" s="37">
      <c r="A1427" s="42" t="inlineStr">
        <is>
          <t>escada party love eau de parfum</t>
        </is>
      </c>
      <c r="B1427" s="42" t="inlineStr">
        <is>
          <t>Product + type</t>
        </is>
      </c>
      <c r="C1427" s="42" t="n">
        <v>2</v>
      </c>
      <c r="D1427" s="42" t="inlineStr">
        <is>
          <t>T2-2</t>
        </is>
      </c>
      <c r="E1427" s="42" t="n">
        <v>1</v>
      </c>
      <c r="F1427" s="42" t="inlineStr">
        <is>
          <t>FR-159</t>
        </is>
      </c>
      <c r="G1427" s="55">
        <f>IFERROR(INDEX('Semrush Data'!$A$1:$Z$20000,MATCH(A1427,'Semrush Data'!$A$1:$A$20000,0),MATCH("Volume",'Semrush Data'!$A$1:$Z$1,0)),"")</f>
        <v/>
      </c>
      <c r="H1427" s="42">
        <f>IFERROR(INDEX('Semrush Data'!$A$1:$Z$20000,MATCH(A1427,'Semrush Data'!$A$1:$A$20000,0),MATCH("Keyword Difficulty*",'Semrush Data'!$A$1:$Z$1,0)),"")</f>
        <v/>
      </c>
      <c r="I1427" s="56">
        <f>IFERROR(INDEX('Semrush Data'!$A$1:$Z$20000,MATCH(A1427,'Semrush Data'!$A$1:$A$20000,0),MATCH("CPC*",'Semrush Data'!$A$1:$Z$1,0)),"")</f>
        <v/>
      </c>
      <c r="J1427" s="42">
        <f>IFERROR(INDEX('Semrush Data'!$A$1:$Z$20000,MATCH(A1427,'Semrush Data'!$A$1:$A$20000,0),MATCH("Intent",'Semrush Data'!$A$1:$Z$1,0)),"")</f>
        <v/>
      </c>
    </row>
    <row r="1428" ht="15" customHeight="1" s="37">
      <c r="A1428" s="42" t="inlineStr">
        <is>
          <t>estee lauder spellbound eau de parfum</t>
        </is>
      </c>
      <c r="B1428" s="42" t="inlineStr">
        <is>
          <t>Product + type</t>
        </is>
      </c>
      <c r="C1428" s="42" t="n">
        <v>2</v>
      </c>
      <c r="D1428" s="42" t="inlineStr">
        <is>
          <t>T2-1</t>
        </is>
      </c>
      <c r="E1428" s="42" t="n">
        <v>1</v>
      </c>
      <c r="F1428" s="42" t="inlineStr">
        <is>
          <t>FR-160</t>
        </is>
      </c>
      <c r="G1428" s="55">
        <f>IFERROR(INDEX('Semrush Data'!$A$1:$Z$20000,MATCH(A1428,'Semrush Data'!$A$1:$A$20000,0),MATCH("Volume",'Semrush Data'!$A$1:$Z$1,0)),"")</f>
        <v/>
      </c>
      <c r="H1428" s="42">
        <f>IFERROR(INDEX('Semrush Data'!$A$1:$Z$20000,MATCH(A1428,'Semrush Data'!$A$1:$A$20000,0),MATCH("Keyword Difficulty*",'Semrush Data'!$A$1:$Z$1,0)),"")</f>
        <v/>
      </c>
      <c r="I1428" s="56">
        <f>IFERROR(INDEX('Semrush Data'!$A$1:$Z$20000,MATCH(A1428,'Semrush Data'!$A$1:$A$20000,0),MATCH("CPC*",'Semrush Data'!$A$1:$Z$1,0)),"")</f>
        <v/>
      </c>
      <c r="J1428" s="42">
        <f>IFERROR(INDEX('Semrush Data'!$A$1:$Z$20000,MATCH(A1428,'Semrush Data'!$A$1:$A$20000,0),MATCH("Intent",'Semrush Data'!$A$1:$Z$1,0)),"")</f>
        <v/>
      </c>
    </row>
    <row r="1429" ht="15" customHeight="1" s="37">
      <c r="A1429" s="42" t="inlineStr">
        <is>
          <t>etienne aigner first class explorer eau de toilette</t>
        </is>
      </c>
      <c r="B1429" s="42" t="inlineStr">
        <is>
          <t>Product + type</t>
        </is>
      </c>
      <c r="C1429" s="42" t="n">
        <v>2</v>
      </c>
      <c r="D1429" s="42" t="n">
        <v>15</v>
      </c>
      <c r="E1429" s="42" t="n">
        <v>1</v>
      </c>
      <c r="F1429" s="42" t="inlineStr">
        <is>
          <t>FR-161</t>
        </is>
      </c>
      <c r="G1429" s="55">
        <f>IFERROR(INDEX('Semrush Data'!$A$1:$Z$20000,MATCH(A1429,'Semrush Data'!$A$1:$A$20000,0),MATCH("Volume",'Semrush Data'!$A$1:$Z$1,0)),"")</f>
        <v/>
      </c>
      <c r="H1429" s="42">
        <f>IFERROR(INDEX('Semrush Data'!$A$1:$Z$20000,MATCH(A1429,'Semrush Data'!$A$1:$A$20000,0),MATCH("Keyword Difficulty*",'Semrush Data'!$A$1:$Z$1,0)),"")</f>
        <v/>
      </c>
      <c r="I1429" s="56">
        <f>IFERROR(INDEX('Semrush Data'!$A$1:$Z$20000,MATCH(A1429,'Semrush Data'!$A$1:$A$20000,0),MATCH("CPC*",'Semrush Data'!$A$1:$Z$1,0)),"")</f>
        <v/>
      </c>
      <c r="J1429" s="42">
        <f>IFERROR(INDEX('Semrush Data'!$A$1:$Z$20000,MATCH(A1429,'Semrush Data'!$A$1:$A$20000,0),MATCH("Intent",'Semrush Data'!$A$1:$Z$1,0)),"")</f>
        <v/>
      </c>
    </row>
    <row r="1430" ht="15" customHeight="1" s="37">
      <c r="A1430" s="42" t="inlineStr">
        <is>
          <t>etienne aigner no. 1 intense eau de toilette</t>
        </is>
      </c>
      <c r="B1430" s="42" t="inlineStr">
        <is>
          <t>Product + type</t>
        </is>
      </c>
      <c r="C1430" s="42" t="n">
        <v>2</v>
      </c>
      <c r="D1430" s="42" t="n">
        <v>15</v>
      </c>
      <c r="E1430" s="42" t="n">
        <v>1</v>
      </c>
      <c r="F1430" s="42" t="inlineStr">
        <is>
          <t>FR-162</t>
        </is>
      </c>
      <c r="G1430" s="55">
        <f>IFERROR(INDEX('Semrush Data'!$A$1:$Z$20000,MATCH(A1430,'Semrush Data'!$A$1:$A$20000,0),MATCH("Volume",'Semrush Data'!$A$1:$Z$1,0)),"")</f>
        <v/>
      </c>
      <c r="H1430" s="42">
        <f>IFERROR(INDEX('Semrush Data'!$A$1:$Z$20000,MATCH(A1430,'Semrush Data'!$A$1:$A$20000,0),MATCH("Keyword Difficulty*",'Semrush Data'!$A$1:$Z$1,0)),"")</f>
        <v/>
      </c>
      <c r="I1430" s="56">
        <f>IFERROR(INDEX('Semrush Data'!$A$1:$Z$20000,MATCH(A1430,'Semrush Data'!$A$1:$A$20000,0),MATCH("CPC*",'Semrush Data'!$A$1:$Z$1,0)),"")</f>
        <v/>
      </c>
      <c r="J1430" s="42">
        <f>IFERROR(INDEX('Semrush Data'!$A$1:$Z$20000,MATCH(A1430,'Semrush Data'!$A$1:$A$20000,0),MATCH("Intent",'Semrush Data'!$A$1:$Z$1,0)),"")</f>
        <v/>
      </c>
    </row>
    <row r="1431" ht="15" customHeight="1" s="37">
      <c r="A1431" s="42" t="inlineStr">
        <is>
          <t>fumeri 540 eau de parfum</t>
        </is>
      </c>
      <c r="B1431" s="42" t="inlineStr">
        <is>
          <t>Product + type</t>
        </is>
      </c>
      <c r="C1431" s="42" t="n">
        <v>2</v>
      </c>
      <c r="D1431" s="42" t="n">
        <v>15</v>
      </c>
      <c r="E1431" s="42" t="n">
        <v>1</v>
      </c>
      <c r="F1431" s="42" t="inlineStr">
        <is>
          <t>FR-163</t>
        </is>
      </c>
      <c r="G1431" s="55">
        <f>IFERROR(INDEX('Semrush Data'!$A$1:$Z$20000,MATCH(A1431,'Semrush Data'!$A$1:$A$20000,0),MATCH("Volume",'Semrush Data'!$A$1:$Z$1,0)),"")</f>
        <v/>
      </c>
      <c r="H1431" s="42">
        <f>IFERROR(INDEX('Semrush Data'!$A$1:$Z$20000,MATCH(A1431,'Semrush Data'!$A$1:$A$20000,0),MATCH("Keyword Difficulty*",'Semrush Data'!$A$1:$Z$1,0)),"")</f>
        <v/>
      </c>
      <c r="I1431" s="56">
        <f>IFERROR(INDEX('Semrush Data'!$A$1:$Z$20000,MATCH(A1431,'Semrush Data'!$A$1:$A$20000,0),MATCH("CPC*",'Semrush Data'!$A$1:$Z$1,0)),"")</f>
        <v/>
      </c>
      <c r="J1431" s="42">
        <f>IFERROR(INDEX('Semrush Data'!$A$1:$Z$20000,MATCH(A1431,'Semrush Data'!$A$1:$A$20000,0),MATCH("Intent",'Semrush Data'!$A$1:$Z$1,0)),"")</f>
        <v/>
      </c>
    </row>
    <row r="1432" ht="15" customHeight="1" s="37">
      <c r="A1432" s="42" t="inlineStr">
        <is>
          <t>fumeri adore edp</t>
        </is>
      </c>
      <c r="B1432" s="42" t="inlineStr">
        <is>
          <t>Product + type</t>
        </is>
      </c>
      <c r="C1432" s="42" t="n">
        <v>2</v>
      </c>
      <c r="D1432" s="42" t="n">
        <v>15</v>
      </c>
      <c r="E1432" s="42" t="n">
        <v>1</v>
      </c>
      <c r="F1432" s="42" t="inlineStr">
        <is>
          <t>FR-164</t>
        </is>
      </c>
      <c r="G1432" s="55">
        <f>IFERROR(INDEX('Semrush Data'!$A$1:$Z$20000,MATCH(A1432,'Semrush Data'!$A$1:$A$20000,0),MATCH("Volume",'Semrush Data'!$A$1:$Z$1,0)),"")</f>
        <v/>
      </c>
      <c r="H1432" s="42">
        <f>IFERROR(INDEX('Semrush Data'!$A$1:$Z$20000,MATCH(A1432,'Semrush Data'!$A$1:$A$20000,0),MATCH("Keyword Difficulty*",'Semrush Data'!$A$1:$Z$1,0)),"")</f>
        <v/>
      </c>
      <c r="I1432" s="56">
        <f>IFERROR(INDEX('Semrush Data'!$A$1:$Z$20000,MATCH(A1432,'Semrush Data'!$A$1:$A$20000,0),MATCH("CPC*",'Semrush Data'!$A$1:$Z$1,0)),"")</f>
        <v/>
      </c>
      <c r="J1432" s="42">
        <f>IFERROR(INDEX('Semrush Data'!$A$1:$Z$20000,MATCH(A1432,'Semrush Data'!$A$1:$A$20000,0),MATCH("Intent",'Semrush Data'!$A$1:$Z$1,0)),"")</f>
        <v/>
      </c>
    </row>
    <row r="1433" ht="15" customHeight="1" s="37">
      <c r="A1433" s="42" t="inlineStr">
        <is>
          <t>fumeri ambre night edp</t>
        </is>
      </c>
      <c r="B1433" s="42" t="inlineStr">
        <is>
          <t>Product + type</t>
        </is>
      </c>
      <c r="C1433" s="42" t="n">
        <v>2</v>
      </c>
      <c r="D1433" s="42" t="n">
        <v>15</v>
      </c>
      <c r="E1433" s="42" t="n">
        <v>1</v>
      </c>
      <c r="F1433" s="42" t="inlineStr">
        <is>
          <t>FR-165</t>
        </is>
      </c>
      <c r="G1433" s="55">
        <f>IFERROR(INDEX('Semrush Data'!$A$1:$Z$20000,MATCH(A1433,'Semrush Data'!$A$1:$A$20000,0),MATCH("Volume",'Semrush Data'!$A$1:$Z$1,0)),"")</f>
        <v/>
      </c>
      <c r="H1433" s="42">
        <f>IFERROR(INDEX('Semrush Data'!$A$1:$Z$20000,MATCH(A1433,'Semrush Data'!$A$1:$A$20000,0),MATCH("Keyword Difficulty*",'Semrush Data'!$A$1:$Z$1,0)),"")</f>
        <v/>
      </c>
      <c r="I1433" s="56">
        <f>IFERROR(INDEX('Semrush Data'!$A$1:$Z$20000,MATCH(A1433,'Semrush Data'!$A$1:$A$20000,0),MATCH("CPC*",'Semrush Data'!$A$1:$Z$1,0)),"")</f>
        <v/>
      </c>
      <c r="J1433" s="42">
        <f>IFERROR(INDEX('Semrush Data'!$A$1:$Z$20000,MATCH(A1433,'Semrush Data'!$A$1:$A$20000,0),MATCH("Intent",'Semrush Data'!$A$1:$Z$1,0)),"")</f>
        <v/>
      </c>
    </row>
    <row r="1434" ht="15" customHeight="1" s="37">
      <c r="A1434" s="42" t="inlineStr">
        <is>
          <t>fumeri angel edp</t>
        </is>
      </c>
      <c r="B1434" s="42" t="inlineStr">
        <is>
          <t>Product + type</t>
        </is>
      </c>
      <c r="C1434" s="42" t="n">
        <v>2</v>
      </c>
      <c r="D1434" s="42" t="n">
        <v>15</v>
      </c>
      <c r="E1434" s="42" t="n">
        <v>1</v>
      </c>
      <c r="F1434" s="42" t="inlineStr">
        <is>
          <t>FR-166</t>
        </is>
      </c>
      <c r="G1434" s="55">
        <f>IFERROR(INDEX('Semrush Data'!$A$1:$Z$20000,MATCH(A1434,'Semrush Data'!$A$1:$A$20000,0),MATCH("Volume",'Semrush Data'!$A$1:$Z$1,0)),"")</f>
        <v/>
      </c>
      <c r="H1434" s="42">
        <f>IFERROR(INDEX('Semrush Data'!$A$1:$Z$20000,MATCH(A1434,'Semrush Data'!$A$1:$A$20000,0),MATCH("Keyword Difficulty*",'Semrush Data'!$A$1:$Z$1,0)),"")</f>
        <v/>
      </c>
      <c r="I1434" s="56">
        <f>IFERROR(INDEX('Semrush Data'!$A$1:$Z$20000,MATCH(A1434,'Semrush Data'!$A$1:$A$20000,0),MATCH("CPC*",'Semrush Data'!$A$1:$Z$1,0)),"")</f>
        <v/>
      </c>
      <c r="J1434" s="42">
        <f>IFERROR(INDEX('Semrush Data'!$A$1:$Z$20000,MATCH(A1434,'Semrush Data'!$A$1:$A$20000,0),MATCH("Intent",'Semrush Data'!$A$1:$Z$1,0)),"")</f>
        <v/>
      </c>
    </row>
    <row r="1435" ht="15" customHeight="1" s="37">
      <c r="A1435" s="42" t="inlineStr">
        <is>
          <t>fumeri blue edp</t>
        </is>
      </c>
      <c r="B1435" s="42" t="inlineStr">
        <is>
          <t>Product + type</t>
        </is>
      </c>
      <c r="C1435" s="42" t="n">
        <v>2</v>
      </c>
      <c r="D1435" s="42" t="n">
        <v>15</v>
      </c>
      <c r="E1435" s="42" t="n">
        <v>1</v>
      </c>
      <c r="F1435" s="42" t="inlineStr">
        <is>
          <t>FR-167</t>
        </is>
      </c>
      <c r="G1435" s="55">
        <f>IFERROR(INDEX('Semrush Data'!$A$1:$Z$20000,MATCH(A1435,'Semrush Data'!$A$1:$A$20000,0),MATCH("Volume",'Semrush Data'!$A$1:$Z$1,0)),"")</f>
        <v/>
      </c>
      <c r="H1435" s="42">
        <f>IFERROR(INDEX('Semrush Data'!$A$1:$Z$20000,MATCH(A1435,'Semrush Data'!$A$1:$A$20000,0),MATCH("Keyword Difficulty*",'Semrush Data'!$A$1:$Z$1,0)),"")</f>
        <v/>
      </c>
      <c r="I1435" s="56">
        <f>IFERROR(INDEX('Semrush Data'!$A$1:$Z$20000,MATCH(A1435,'Semrush Data'!$A$1:$A$20000,0),MATCH("CPC*",'Semrush Data'!$A$1:$Z$1,0)),"")</f>
        <v/>
      </c>
      <c r="J1435" s="42">
        <f>IFERROR(INDEX('Semrush Data'!$A$1:$Z$20000,MATCH(A1435,'Semrush Data'!$A$1:$A$20000,0),MATCH("Intent",'Semrush Data'!$A$1:$Z$1,0)),"")</f>
        <v/>
      </c>
    </row>
    <row r="1436" ht="15" customHeight="1" s="37">
      <c r="A1436" s="42" t="inlineStr">
        <is>
          <t>fumeri elixir edp</t>
        </is>
      </c>
      <c r="B1436" s="42" t="inlineStr">
        <is>
          <t>Product + type</t>
        </is>
      </c>
      <c r="C1436" s="42" t="n">
        <v>2</v>
      </c>
      <c r="D1436" s="42" t="n">
        <v>15</v>
      </c>
      <c r="E1436" s="42" t="n">
        <v>1</v>
      </c>
      <c r="F1436" s="42" t="inlineStr">
        <is>
          <t>FR-168</t>
        </is>
      </c>
      <c r="G1436" s="55">
        <f>IFERROR(INDEX('Semrush Data'!$A$1:$Z$20000,MATCH(A1436,'Semrush Data'!$A$1:$A$20000,0),MATCH("Volume",'Semrush Data'!$A$1:$Z$1,0)),"")</f>
        <v/>
      </c>
      <c r="H1436" s="42">
        <f>IFERROR(INDEX('Semrush Data'!$A$1:$Z$20000,MATCH(A1436,'Semrush Data'!$A$1:$A$20000,0),MATCH("Keyword Difficulty*",'Semrush Data'!$A$1:$Z$1,0)),"")</f>
        <v/>
      </c>
      <c r="I1436" s="56">
        <f>IFERROR(INDEX('Semrush Data'!$A$1:$Z$20000,MATCH(A1436,'Semrush Data'!$A$1:$A$20000,0),MATCH("CPC*",'Semrush Data'!$A$1:$Z$1,0)),"")</f>
        <v/>
      </c>
      <c r="J1436" s="42">
        <f>IFERROR(INDEX('Semrush Data'!$A$1:$Z$20000,MATCH(A1436,'Semrush Data'!$A$1:$A$20000,0),MATCH("Intent",'Semrush Data'!$A$1:$Z$1,0)),"")</f>
        <v/>
      </c>
    </row>
    <row r="1437" ht="15" customHeight="1" s="37">
      <c r="A1437" s="42" t="inlineStr">
        <is>
          <t>fumeri flirt eau de parfum</t>
        </is>
      </c>
      <c r="B1437" s="42" t="inlineStr">
        <is>
          <t>Product + type</t>
        </is>
      </c>
      <c r="C1437" s="42" t="n">
        <v>2</v>
      </c>
      <c r="D1437" s="42" t="n">
        <v>15</v>
      </c>
      <c r="E1437" s="42" t="n">
        <v>1</v>
      </c>
      <c r="F1437" s="42" t="inlineStr">
        <is>
          <t>FR-169</t>
        </is>
      </c>
      <c r="G1437" s="55">
        <f>IFERROR(INDEX('Semrush Data'!$A$1:$Z$20000,MATCH(A1437,'Semrush Data'!$A$1:$A$20000,0),MATCH("Volume",'Semrush Data'!$A$1:$Z$1,0)),"")</f>
        <v/>
      </c>
      <c r="H1437" s="42">
        <f>IFERROR(INDEX('Semrush Data'!$A$1:$Z$20000,MATCH(A1437,'Semrush Data'!$A$1:$A$20000,0),MATCH("Keyword Difficulty*",'Semrush Data'!$A$1:$Z$1,0)),"")</f>
        <v/>
      </c>
      <c r="I1437" s="56">
        <f>IFERROR(INDEX('Semrush Data'!$A$1:$Z$20000,MATCH(A1437,'Semrush Data'!$A$1:$A$20000,0),MATCH("CPC*",'Semrush Data'!$A$1:$Z$1,0)),"")</f>
        <v/>
      </c>
      <c r="J1437" s="42">
        <f>IFERROR(INDEX('Semrush Data'!$A$1:$Z$20000,MATCH(A1437,'Semrush Data'!$A$1:$A$20000,0),MATCH("Intent",'Semrush Data'!$A$1:$Z$1,0)),"")</f>
        <v/>
      </c>
    </row>
    <row r="1438" ht="15" customHeight="1" s="37">
      <c r="A1438" s="42" t="inlineStr">
        <is>
          <t>fumeri gabriella eau de parfum</t>
        </is>
      </c>
      <c r="B1438" s="42" t="inlineStr">
        <is>
          <t>Product + type</t>
        </is>
      </c>
      <c r="C1438" s="42" t="n">
        <v>2</v>
      </c>
      <c r="D1438" s="42" t="n">
        <v>15</v>
      </c>
      <c r="E1438" s="42" t="n">
        <v>1</v>
      </c>
      <c r="F1438" s="42" t="inlineStr">
        <is>
          <t>FR-170</t>
        </is>
      </c>
      <c r="G1438" s="55">
        <f>IFERROR(INDEX('Semrush Data'!$A$1:$Z$20000,MATCH(A1438,'Semrush Data'!$A$1:$A$20000,0),MATCH("Volume",'Semrush Data'!$A$1:$Z$1,0)),"")</f>
        <v/>
      </c>
      <c r="H1438" s="42">
        <f>IFERROR(INDEX('Semrush Data'!$A$1:$Z$20000,MATCH(A1438,'Semrush Data'!$A$1:$A$20000,0),MATCH("Keyword Difficulty*",'Semrush Data'!$A$1:$Z$1,0)),"")</f>
        <v/>
      </c>
      <c r="I1438" s="56">
        <f>IFERROR(INDEX('Semrush Data'!$A$1:$Z$20000,MATCH(A1438,'Semrush Data'!$A$1:$A$20000,0),MATCH("CPC*",'Semrush Data'!$A$1:$Z$1,0)),"")</f>
        <v/>
      </c>
      <c r="J1438" s="42">
        <f>IFERROR(INDEX('Semrush Data'!$A$1:$Z$20000,MATCH(A1438,'Semrush Data'!$A$1:$A$20000,0),MATCH("Intent",'Semrush Data'!$A$1:$Z$1,0)),"")</f>
        <v/>
      </c>
    </row>
    <row r="1439" ht="15" customHeight="1" s="37">
      <c r="A1439" s="42" t="inlineStr">
        <is>
          <t>fumeri gris eau de parfum</t>
        </is>
      </c>
      <c r="B1439" s="42" t="inlineStr">
        <is>
          <t>Product + type</t>
        </is>
      </c>
      <c r="C1439" s="42" t="n">
        <v>2</v>
      </c>
      <c r="D1439" s="42" t="n">
        <v>15</v>
      </c>
      <c r="E1439" s="42" t="n">
        <v>1</v>
      </c>
      <c r="F1439" s="42" t="inlineStr">
        <is>
          <t>FR-171</t>
        </is>
      </c>
      <c r="G1439" s="55">
        <f>IFERROR(INDEX('Semrush Data'!$A$1:$Z$20000,MATCH(A1439,'Semrush Data'!$A$1:$A$20000,0),MATCH("Volume",'Semrush Data'!$A$1:$Z$1,0)),"")</f>
        <v/>
      </c>
      <c r="H1439" s="42">
        <f>IFERROR(INDEX('Semrush Data'!$A$1:$Z$20000,MATCH(A1439,'Semrush Data'!$A$1:$A$20000,0),MATCH("Keyword Difficulty*",'Semrush Data'!$A$1:$Z$1,0)),"")</f>
        <v/>
      </c>
      <c r="I1439" s="56">
        <f>IFERROR(INDEX('Semrush Data'!$A$1:$Z$20000,MATCH(A1439,'Semrush Data'!$A$1:$A$20000,0),MATCH("CPC*",'Semrush Data'!$A$1:$Z$1,0)),"")</f>
        <v/>
      </c>
      <c r="J1439" s="42">
        <f>IFERROR(INDEX('Semrush Data'!$A$1:$Z$20000,MATCH(A1439,'Semrush Data'!$A$1:$A$20000,0),MATCH("Intent",'Semrush Data'!$A$1:$Z$1,0)),"")</f>
        <v/>
      </c>
    </row>
    <row r="1440" ht="15" customHeight="1" s="37">
      <c r="A1440" s="42" t="inlineStr">
        <is>
          <t>fumeri orchid noir eau de parfum</t>
        </is>
      </c>
      <c r="B1440" s="42" t="inlineStr">
        <is>
          <t>Product + type</t>
        </is>
      </c>
      <c r="C1440" s="42" t="n">
        <v>2</v>
      </c>
      <c r="D1440" s="42" t="n">
        <v>15</v>
      </c>
      <c r="E1440" s="42" t="n">
        <v>1</v>
      </c>
      <c r="F1440" s="42" t="inlineStr">
        <is>
          <t>FR-172</t>
        </is>
      </c>
      <c r="G1440" s="55">
        <f>IFERROR(INDEX('Semrush Data'!$A$1:$Z$20000,MATCH(A1440,'Semrush Data'!$A$1:$A$20000,0),MATCH("Volume",'Semrush Data'!$A$1:$Z$1,0)),"")</f>
        <v/>
      </c>
      <c r="H1440" s="42">
        <f>IFERROR(INDEX('Semrush Data'!$A$1:$Z$20000,MATCH(A1440,'Semrush Data'!$A$1:$A$20000,0),MATCH("Keyword Difficulty*",'Semrush Data'!$A$1:$Z$1,0)),"")</f>
        <v/>
      </c>
      <c r="I1440" s="56">
        <f>IFERROR(INDEX('Semrush Data'!$A$1:$Z$20000,MATCH(A1440,'Semrush Data'!$A$1:$A$20000,0),MATCH("CPC*",'Semrush Data'!$A$1:$Z$1,0)),"")</f>
        <v/>
      </c>
      <c r="J1440" s="42">
        <f>IFERROR(INDEX('Semrush Data'!$A$1:$Z$20000,MATCH(A1440,'Semrush Data'!$A$1:$A$20000,0),MATCH("Intent",'Semrush Data'!$A$1:$Z$1,0)),"")</f>
        <v/>
      </c>
    </row>
    <row r="1441" ht="15" customHeight="1" s="37">
      <c r="A1441" s="42" t="inlineStr">
        <is>
          <t>fumeri orpheon eau de parfum</t>
        </is>
      </c>
      <c r="B1441" s="42" t="inlineStr">
        <is>
          <t>Product + type</t>
        </is>
      </c>
      <c r="C1441" s="42" t="n">
        <v>2</v>
      </c>
      <c r="D1441" s="42" t="n">
        <v>15</v>
      </c>
      <c r="E1441" s="42" t="n">
        <v>1</v>
      </c>
      <c r="F1441" s="42" t="inlineStr">
        <is>
          <t>FR-173</t>
        </is>
      </c>
      <c r="G1441" s="55">
        <f>IFERROR(INDEX('Semrush Data'!$A$1:$Z$20000,MATCH(A1441,'Semrush Data'!$A$1:$A$20000,0),MATCH("Volume",'Semrush Data'!$A$1:$Z$1,0)),"")</f>
        <v/>
      </c>
      <c r="H1441" s="42">
        <f>IFERROR(INDEX('Semrush Data'!$A$1:$Z$20000,MATCH(A1441,'Semrush Data'!$A$1:$A$20000,0),MATCH("Keyword Difficulty*",'Semrush Data'!$A$1:$Z$1,0)),"")</f>
        <v/>
      </c>
      <c r="I1441" s="56">
        <f>IFERROR(INDEX('Semrush Data'!$A$1:$Z$20000,MATCH(A1441,'Semrush Data'!$A$1:$A$20000,0),MATCH("CPC*",'Semrush Data'!$A$1:$Z$1,0)),"")</f>
        <v/>
      </c>
      <c r="J1441" s="42">
        <f>IFERROR(INDEX('Semrush Data'!$A$1:$Z$20000,MATCH(A1441,'Semrush Data'!$A$1:$A$20000,0),MATCH("Intent",'Semrush Data'!$A$1:$Z$1,0)),"")</f>
        <v/>
      </c>
    </row>
    <row r="1442" ht="15" customHeight="1" s="37">
      <c r="A1442" s="42" t="inlineStr">
        <is>
          <t>fumeri oud saffron eau de parfum</t>
        </is>
      </c>
      <c r="B1442" s="42" t="inlineStr">
        <is>
          <t>Product + type</t>
        </is>
      </c>
      <c r="C1442" s="42" t="n">
        <v>2</v>
      </c>
      <c r="D1442" s="42" t="n">
        <v>15</v>
      </c>
      <c r="E1442" s="42" t="n">
        <v>1</v>
      </c>
      <c r="F1442" s="42" t="inlineStr">
        <is>
          <t>FR-174</t>
        </is>
      </c>
      <c r="G1442" s="55">
        <f>IFERROR(INDEX('Semrush Data'!$A$1:$Z$20000,MATCH(A1442,'Semrush Data'!$A$1:$A$20000,0),MATCH("Volume",'Semrush Data'!$A$1:$Z$1,0)),"")</f>
        <v/>
      </c>
      <c r="H1442" s="42">
        <f>IFERROR(INDEX('Semrush Data'!$A$1:$Z$20000,MATCH(A1442,'Semrush Data'!$A$1:$A$20000,0),MATCH("Keyword Difficulty*",'Semrush Data'!$A$1:$Z$1,0)),"")</f>
        <v/>
      </c>
      <c r="I1442" s="56">
        <f>IFERROR(INDEX('Semrush Data'!$A$1:$Z$20000,MATCH(A1442,'Semrush Data'!$A$1:$A$20000,0),MATCH("CPC*",'Semrush Data'!$A$1:$Z$1,0)),"")</f>
        <v/>
      </c>
      <c r="J1442" s="42">
        <f>IFERROR(INDEX('Semrush Data'!$A$1:$Z$20000,MATCH(A1442,'Semrush Data'!$A$1:$A$20000,0),MATCH("Intent",'Semrush Data'!$A$1:$Z$1,0)),"")</f>
        <v/>
      </c>
    </row>
    <row r="1443" ht="15" customHeight="1" s="37">
      <c r="A1443" s="42" t="inlineStr">
        <is>
          <t>fumeri peach eau de parfum</t>
        </is>
      </c>
      <c r="B1443" s="42" t="inlineStr">
        <is>
          <t>Product + type</t>
        </is>
      </c>
      <c r="C1443" s="42" t="n">
        <v>2</v>
      </c>
      <c r="D1443" s="42" t="n">
        <v>15</v>
      </c>
      <c r="E1443" s="42" t="n">
        <v>1</v>
      </c>
      <c r="F1443" s="42" t="inlineStr">
        <is>
          <t>FR-175</t>
        </is>
      </c>
      <c r="G1443" s="55">
        <f>IFERROR(INDEX('Semrush Data'!$A$1:$Z$20000,MATCH(A1443,'Semrush Data'!$A$1:$A$20000,0),MATCH("Volume",'Semrush Data'!$A$1:$Z$1,0)),"")</f>
        <v/>
      </c>
      <c r="H1443" s="42">
        <f>IFERROR(INDEX('Semrush Data'!$A$1:$Z$20000,MATCH(A1443,'Semrush Data'!$A$1:$A$20000,0),MATCH("Keyword Difficulty*",'Semrush Data'!$A$1:$Z$1,0)),"")</f>
        <v/>
      </c>
      <c r="I1443" s="56">
        <f>IFERROR(INDEX('Semrush Data'!$A$1:$Z$20000,MATCH(A1443,'Semrush Data'!$A$1:$A$20000,0),MATCH("CPC*",'Semrush Data'!$A$1:$Z$1,0)),"")</f>
        <v/>
      </c>
      <c r="J1443" s="42">
        <f>IFERROR(INDEX('Semrush Data'!$A$1:$Z$20000,MATCH(A1443,'Semrush Data'!$A$1:$A$20000,0),MATCH("Intent",'Semrush Data'!$A$1:$Z$1,0)),"")</f>
        <v/>
      </c>
    </row>
    <row r="1444" ht="15" customHeight="1" s="37">
      <c r="A1444" s="42" t="inlineStr">
        <is>
          <t>fumeri smokey leather eau de parfum</t>
        </is>
      </c>
      <c r="B1444" s="42" t="inlineStr">
        <is>
          <t>Product + type</t>
        </is>
      </c>
      <c r="C1444" s="42" t="n">
        <v>2</v>
      </c>
      <c r="D1444" s="42" t="n">
        <v>15</v>
      </c>
      <c r="E1444" s="42" t="n">
        <v>1</v>
      </c>
      <c r="F1444" s="42" t="inlineStr">
        <is>
          <t>FR-176</t>
        </is>
      </c>
      <c r="G1444" s="55">
        <f>IFERROR(INDEX('Semrush Data'!$A$1:$Z$20000,MATCH(A1444,'Semrush Data'!$A$1:$A$20000,0),MATCH("Volume",'Semrush Data'!$A$1:$Z$1,0)),"")</f>
        <v/>
      </c>
      <c r="H1444" s="42">
        <f>IFERROR(INDEX('Semrush Data'!$A$1:$Z$20000,MATCH(A1444,'Semrush Data'!$A$1:$A$20000,0),MATCH("Keyword Difficulty*",'Semrush Data'!$A$1:$Z$1,0)),"")</f>
        <v/>
      </c>
      <c r="I1444" s="56">
        <f>IFERROR(INDEX('Semrush Data'!$A$1:$Z$20000,MATCH(A1444,'Semrush Data'!$A$1:$A$20000,0),MATCH("CPC*",'Semrush Data'!$A$1:$Z$1,0)),"")</f>
        <v/>
      </c>
      <c r="J1444" s="42">
        <f>IFERROR(INDEX('Semrush Data'!$A$1:$Z$20000,MATCH(A1444,'Semrush Data'!$A$1:$A$20000,0),MATCH("Intent",'Semrush Data'!$A$1:$Z$1,0)),"")</f>
        <v/>
      </c>
    </row>
    <row r="1445" ht="15" customHeight="1" s="37">
      <c r="A1445" s="42" t="inlineStr">
        <is>
          <t>fumeri style 33 eau de parfum</t>
        </is>
      </c>
      <c r="B1445" s="42" t="inlineStr">
        <is>
          <t>Product + type</t>
        </is>
      </c>
      <c r="C1445" s="42" t="n">
        <v>2</v>
      </c>
      <c r="D1445" s="42" t="n">
        <v>15</v>
      </c>
      <c r="E1445" s="42" t="n">
        <v>1</v>
      </c>
      <c r="F1445" s="42" t="inlineStr">
        <is>
          <t>FR-177</t>
        </is>
      </c>
      <c r="G1445" s="55">
        <f>IFERROR(INDEX('Semrush Data'!$A$1:$Z$20000,MATCH(A1445,'Semrush Data'!$A$1:$A$20000,0),MATCH("Volume",'Semrush Data'!$A$1:$Z$1,0)),"")</f>
        <v/>
      </c>
      <c r="H1445" s="42">
        <f>IFERROR(INDEX('Semrush Data'!$A$1:$Z$20000,MATCH(A1445,'Semrush Data'!$A$1:$A$20000,0),MATCH("Keyword Difficulty*",'Semrush Data'!$A$1:$Z$1,0)),"")</f>
        <v/>
      </c>
      <c r="I1445" s="56">
        <f>IFERROR(INDEX('Semrush Data'!$A$1:$Z$20000,MATCH(A1445,'Semrush Data'!$A$1:$A$20000,0),MATCH("CPC*",'Semrush Data'!$A$1:$Z$1,0)),"")</f>
        <v/>
      </c>
      <c r="J1445" s="42">
        <f>IFERROR(INDEX('Semrush Data'!$A$1:$Z$20000,MATCH(A1445,'Semrush Data'!$A$1:$A$20000,0),MATCH("Intent",'Semrush Data'!$A$1:$Z$1,0)),"")</f>
        <v/>
      </c>
    </row>
    <row r="1446" ht="15" customHeight="1" s="37">
      <c r="A1446" s="42" t="inlineStr">
        <is>
          <t>fumeri victorious eau de parfum</t>
        </is>
      </c>
      <c r="B1446" s="42" t="inlineStr">
        <is>
          <t>Product + type</t>
        </is>
      </c>
      <c r="C1446" s="42" t="n">
        <v>2</v>
      </c>
      <c r="D1446" s="42" t="n">
        <v>15</v>
      </c>
      <c r="E1446" s="42" t="n">
        <v>1</v>
      </c>
      <c r="F1446" s="42" t="inlineStr">
        <is>
          <t>FR-178</t>
        </is>
      </c>
      <c r="G1446" s="55">
        <f>IFERROR(INDEX('Semrush Data'!$A$1:$Z$20000,MATCH(A1446,'Semrush Data'!$A$1:$A$20000,0),MATCH("Volume",'Semrush Data'!$A$1:$Z$1,0)),"")</f>
        <v/>
      </c>
      <c r="H1446" s="42">
        <f>IFERROR(INDEX('Semrush Data'!$A$1:$Z$20000,MATCH(A1446,'Semrush Data'!$A$1:$A$20000,0),MATCH("Keyword Difficulty*",'Semrush Data'!$A$1:$Z$1,0)),"")</f>
        <v/>
      </c>
      <c r="I1446" s="56">
        <f>IFERROR(INDEX('Semrush Data'!$A$1:$Z$20000,MATCH(A1446,'Semrush Data'!$A$1:$A$20000,0),MATCH("CPC*",'Semrush Data'!$A$1:$Z$1,0)),"")</f>
        <v/>
      </c>
      <c r="J1446" s="42">
        <f>IFERROR(INDEX('Semrush Data'!$A$1:$Z$20000,MATCH(A1446,'Semrush Data'!$A$1:$A$20000,0),MATCH("Intent",'Semrush Data'!$A$1:$Z$1,0)),"")</f>
        <v/>
      </c>
    </row>
    <row r="1447" ht="15" customHeight="1" s="37">
      <c r="A1447" s="42" t="inlineStr">
        <is>
          <t>fumeri wild eau de parfum</t>
        </is>
      </c>
      <c r="B1447" s="42" t="inlineStr">
        <is>
          <t>Product + type</t>
        </is>
      </c>
      <c r="C1447" s="42" t="n">
        <v>2</v>
      </c>
      <c r="D1447" s="42" t="n">
        <v>15</v>
      </c>
      <c r="E1447" s="42" t="n">
        <v>1</v>
      </c>
      <c r="F1447" s="42" t="inlineStr">
        <is>
          <t>FR-179</t>
        </is>
      </c>
      <c r="G1447" s="55">
        <f>IFERROR(INDEX('Semrush Data'!$A$1:$Z$20000,MATCH(A1447,'Semrush Data'!$A$1:$A$20000,0),MATCH("Volume",'Semrush Data'!$A$1:$Z$1,0)),"")</f>
        <v/>
      </c>
      <c r="H1447" s="42">
        <f>IFERROR(INDEX('Semrush Data'!$A$1:$Z$20000,MATCH(A1447,'Semrush Data'!$A$1:$A$20000,0),MATCH("Keyword Difficulty*",'Semrush Data'!$A$1:$Z$1,0)),"")</f>
        <v/>
      </c>
      <c r="I1447" s="56">
        <f>IFERROR(INDEX('Semrush Data'!$A$1:$Z$20000,MATCH(A1447,'Semrush Data'!$A$1:$A$20000,0),MATCH("CPC*",'Semrush Data'!$A$1:$Z$1,0)),"")</f>
        <v/>
      </c>
      <c r="J1447" s="42">
        <f>IFERROR(INDEX('Semrush Data'!$A$1:$Z$20000,MATCH(A1447,'Semrush Data'!$A$1:$A$20000,0),MATCH("Intent",'Semrush Data'!$A$1:$Z$1,0)),"")</f>
        <v/>
      </c>
    </row>
    <row r="1448" ht="15" customHeight="1" s="37">
      <c r="A1448" s="42" t="inlineStr">
        <is>
          <t>game of spades bid eau de parfum</t>
        </is>
      </c>
      <c r="B1448" s="42" t="inlineStr">
        <is>
          <t>Product + type</t>
        </is>
      </c>
      <c r="C1448" s="42" t="n">
        <v>2</v>
      </c>
      <c r="D1448" s="42" t="inlineStr">
        <is>
          <t>T2-2</t>
        </is>
      </c>
      <c r="E1448" s="42" t="n">
        <v>1</v>
      </c>
      <c r="F1448" s="42" t="inlineStr">
        <is>
          <t>FR-180</t>
        </is>
      </c>
      <c r="G1448" s="55">
        <f>IFERROR(INDEX('Semrush Data'!$A$1:$Z$20000,MATCH(A1448,'Semrush Data'!$A$1:$A$20000,0),MATCH("Volume",'Semrush Data'!$A$1:$Z$1,0)),"")</f>
        <v/>
      </c>
      <c r="H1448" s="42">
        <f>IFERROR(INDEX('Semrush Data'!$A$1:$Z$20000,MATCH(A1448,'Semrush Data'!$A$1:$A$20000,0),MATCH("Keyword Difficulty*",'Semrush Data'!$A$1:$Z$1,0)),"")</f>
        <v/>
      </c>
      <c r="I1448" s="56">
        <f>IFERROR(INDEX('Semrush Data'!$A$1:$Z$20000,MATCH(A1448,'Semrush Data'!$A$1:$A$20000,0),MATCH("CPC*",'Semrush Data'!$A$1:$Z$1,0)),"")</f>
        <v/>
      </c>
      <c r="J1448" s="42">
        <f>IFERROR(INDEX('Semrush Data'!$A$1:$Z$20000,MATCH(A1448,'Semrush Data'!$A$1:$A$20000,0),MATCH("Intent",'Semrush Data'!$A$1:$Z$1,0)),"")</f>
        <v/>
      </c>
    </row>
    <row r="1449" ht="15" customHeight="1" s="37">
      <c r="A1449" s="42" t="inlineStr">
        <is>
          <t>game of spades blind-bid eau de parfum</t>
        </is>
      </c>
      <c r="B1449" s="42" t="inlineStr">
        <is>
          <t>Product + type</t>
        </is>
      </c>
      <c r="C1449" s="42" t="n">
        <v>2</v>
      </c>
      <c r="D1449" s="42" t="n">
        <v>15</v>
      </c>
      <c r="E1449" s="42" t="n">
        <v>1</v>
      </c>
      <c r="F1449" s="42" t="inlineStr">
        <is>
          <t>FR-181</t>
        </is>
      </c>
      <c r="G1449" s="55">
        <f>IFERROR(INDEX('Semrush Data'!$A$1:$Z$20000,MATCH(A1449,'Semrush Data'!$A$1:$A$20000,0),MATCH("Volume",'Semrush Data'!$A$1:$Z$1,0)),"")</f>
        <v/>
      </c>
      <c r="H1449" s="42">
        <f>IFERROR(INDEX('Semrush Data'!$A$1:$Z$20000,MATCH(A1449,'Semrush Data'!$A$1:$A$20000,0),MATCH("Keyword Difficulty*",'Semrush Data'!$A$1:$Z$1,0)),"")</f>
        <v/>
      </c>
      <c r="I1449" s="56">
        <f>IFERROR(INDEX('Semrush Data'!$A$1:$Z$20000,MATCH(A1449,'Semrush Data'!$A$1:$A$20000,0),MATCH("CPC*",'Semrush Data'!$A$1:$Z$1,0)),"")</f>
        <v/>
      </c>
      <c r="J1449" s="42">
        <f>IFERROR(INDEX('Semrush Data'!$A$1:$Z$20000,MATCH(A1449,'Semrush Data'!$A$1:$A$20000,0),MATCH("Intent",'Semrush Data'!$A$1:$Z$1,0)),"")</f>
        <v/>
      </c>
    </row>
    <row r="1450" ht="15" customHeight="1" s="37">
      <c r="A1450" s="42" t="inlineStr">
        <is>
          <t>game of spades boston eau de parfum</t>
        </is>
      </c>
      <c r="B1450" s="42" t="inlineStr">
        <is>
          <t>Product + type</t>
        </is>
      </c>
      <c r="C1450" s="42" t="n">
        <v>2</v>
      </c>
      <c r="D1450" s="42" t="n">
        <v>15</v>
      </c>
      <c r="E1450" s="42" t="n">
        <v>1</v>
      </c>
      <c r="F1450" s="42" t="inlineStr">
        <is>
          <t>FR-182</t>
        </is>
      </c>
      <c r="G1450" s="55">
        <f>IFERROR(INDEX('Semrush Data'!$A$1:$Z$20000,MATCH(A1450,'Semrush Data'!$A$1:$A$20000,0),MATCH("Volume",'Semrush Data'!$A$1:$Z$1,0)),"")</f>
        <v/>
      </c>
      <c r="H1450" s="42">
        <f>IFERROR(INDEX('Semrush Data'!$A$1:$Z$20000,MATCH(A1450,'Semrush Data'!$A$1:$A$20000,0),MATCH("Keyword Difficulty*",'Semrush Data'!$A$1:$Z$1,0)),"")</f>
        <v/>
      </c>
      <c r="I1450" s="56">
        <f>IFERROR(INDEX('Semrush Data'!$A$1:$Z$20000,MATCH(A1450,'Semrush Data'!$A$1:$A$20000,0),MATCH("CPC*",'Semrush Data'!$A$1:$Z$1,0)),"")</f>
        <v/>
      </c>
      <c r="J1450" s="42">
        <f>IFERROR(INDEX('Semrush Data'!$A$1:$Z$20000,MATCH(A1450,'Semrush Data'!$A$1:$A$20000,0),MATCH("Intent",'Semrush Data'!$A$1:$Z$1,0)),"")</f>
        <v/>
      </c>
    </row>
    <row r="1451" ht="15" customHeight="1" s="37">
      <c r="A1451" s="42" t="inlineStr">
        <is>
          <t>game of spades diamond eau de parfum</t>
        </is>
      </c>
      <c r="B1451" s="42" t="inlineStr">
        <is>
          <t>Product + type</t>
        </is>
      </c>
      <c r="C1451" s="42" t="n">
        <v>2</v>
      </c>
      <c r="D1451" s="42" t="n">
        <v>15</v>
      </c>
      <c r="E1451" s="42" t="n">
        <v>1</v>
      </c>
      <c r="F1451" s="42" t="inlineStr">
        <is>
          <t>FR-183</t>
        </is>
      </c>
      <c r="G1451" s="55">
        <f>IFERROR(INDEX('Semrush Data'!$A$1:$Z$20000,MATCH(A1451,'Semrush Data'!$A$1:$A$20000,0),MATCH("Volume",'Semrush Data'!$A$1:$Z$1,0)),"")</f>
        <v/>
      </c>
      <c r="H1451" s="42">
        <f>IFERROR(INDEX('Semrush Data'!$A$1:$Z$20000,MATCH(A1451,'Semrush Data'!$A$1:$A$20000,0),MATCH("Keyword Difficulty*",'Semrush Data'!$A$1:$Z$1,0)),"")</f>
        <v/>
      </c>
      <c r="I1451" s="56">
        <f>IFERROR(INDEX('Semrush Data'!$A$1:$Z$20000,MATCH(A1451,'Semrush Data'!$A$1:$A$20000,0),MATCH("CPC*",'Semrush Data'!$A$1:$Z$1,0)),"")</f>
        <v/>
      </c>
      <c r="J1451" s="42">
        <f>IFERROR(INDEX('Semrush Data'!$A$1:$Z$20000,MATCH(A1451,'Semrush Data'!$A$1:$A$20000,0),MATCH("Intent",'Semrush Data'!$A$1:$Z$1,0)),"")</f>
        <v/>
      </c>
    </row>
    <row r="1452" ht="15" customHeight="1" s="37">
      <c r="A1452" s="42" t="inlineStr">
        <is>
          <t>game of spades full house eau de parfum</t>
        </is>
      </c>
      <c r="B1452" s="42" t="inlineStr">
        <is>
          <t>Product + type</t>
        </is>
      </c>
      <c r="C1452" s="42" t="n">
        <v>2</v>
      </c>
      <c r="D1452" s="42" t="inlineStr">
        <is>
          <t>T2-1</t>
        </is>
      </c>
      <c r="E1452" s="42" t="n">
        <v>1</v>
      </c>
      <c r="F1452" s="42" t="inlineStr">
        <is>
          <t>FR-184</t>
        </is>
      </c>
      <c r="G1452" s="55">
        <f>IFERROR(INDEX('Semrush Data'!$A$1:$Z$20000,MATCH(A1452,'Semrush Data'!$A$1:$A$20000,0),MATCH("Volume",'Semrush Data'!$A$1:$Z$1,0)),"")</f>
        <v/>
      </c>
      <c r="H1452" s="42">
        <f>IFERROR(INDEX('Semrush Data'!$A$1:$Z$20000,MATCH(A1452,'Semrush Data'!$A$1:$A$20000,0),MATCH("Keyword Difficulty*",'Semrush Data'!$A$1:$Z$1,0)),"")</f>
        <v/>
      </c>
      <c r="I1452" s="56">
        <f>IFERROR(INDEX('Semrush Data'!$A$1:$Z$20000,MATCH(A1452,'Semrush Data'!$A$1:$A$20000,0),MATCH("CPC*",'Semrush Data'!$A$1:$Z$1,0)),"")</f>
        <v/>
      </c>
      <c r="J1452" s="42">
        <f>IFERROR(INDEX('Semrush Data'!$A$1:$Z$20000,MATCH(A1452,'Semrush Data'!$A$1:$A$20000,0),MATCH("Intent",'Semrush Data'!$A$1:$Z$1,0)),"")</f>
        <v/>
      </c>
    </row>
    <row r="1453" ht="15" customHeight="1" s="37">
      <c r="A1453" s="42" t="inlineStr">
        <is>
          <t>game of spades high roller eau de parfum</t>
        </is>
      </c>
      <c r="B1453" s="42" t="inlineStr">
        <is>
          <t>Product + type</t>
        </is>
      </c>
      <c r="C1453" s="42" t="n">
        <v>2</v>
      </c>
      <c r="D1453" s="42" t="n">
        <v>15</v>
      </c>
      <c r="E1453" s="42" t="n">
        <v>1</v>
      </c>
      <c r="F1453" s="42" t="inlineStr">
        <is>
          <t>FR-185</t>
        </is>
      </c>
      <c r="G1453" s="55">
        <f>IFERROR(INDEX('Semrush Data'!$A$1:$Z$20000,MATCH(A1453,'Semrush Data'!$A$1:$A$20000,0),MATCH("Volume",'Semrush Data'!$A$1:$Z$1,0)),"")</f>
        <v/>
      </c>
      <c r="H1453" s="42">
        <f>IFERROR(INDEX('Semrush Data'!$A$1:$Z$20000,MATCH(A1453,'Semrush Data'!$A$1:$A$20000,0),MATCH("Keyword Difficulty*",'Semrush Data'!$A$1:$Z$1,0)),"")</f>
        <v/>
      </c>
      <c r="I1453" s="56">
        <f>IFERROR(INDEX('Semrush Data'!$A$1:$Z$20000,MATCH(A1453,'Semrush Data'!$A$1:$A$20000,0),MATCH("CPC*",'Semrush Data'!$A$1:$Z$1,0)),"")</f>
        <v/>
      </c>
      <c r="J1453" s="42">
        <f>IFERROR(INDEX('Semrush Data'!$A$1:$Z$20000,MATCH(A1453,'Semrush Data'!$A$1:$A$20000,0),MATCH("Intent",'Semrush Data'!$A$1:$Z$1,0)),"")</f>
        <v/>
      </c>
    </row>
    <row r="1454" ht="15" customHeight="1" s="37">
      <c r="A1454" s="42" t="inlineStr">
        <is>
          <t>game of spades jackpot eau de parfum</t>
        </is>
      </c>
      <c r="B1454" s="42" t="inlineStr">
        <is>
          <t>Product + type</t>
        </is>
      </c>
      <c r="C1454" s="42" t="n">
        <v>2</v>
      </c>
      <c r="D1454" s="42" t="n">
        <v>15</v>
      </c>
      <c r="E1454" s="42" t="n">
        <v>1</v>
      </c>
      <c r="F1454" s="42" t="inlineStr">
        <is>
          <t>FR-186</t>
        </is>
      </c>
      <c r="G1454" s="55">
        <f>IFERROR(INDEX('Semrush Data'!$A$1:$Z$20000,MATCH(A1454,'Semrush Data'!$A$1:$A$20000,0),MATCH("Volume",'Semrush Data'!$A$1:$Z$1,0)),"")</f>
        <v/>
      </c>
      <c r="H1454" s="42">
        <f>IFERROR(INDEX('Semrush Data'!$A$1:$Z$20000,MATCH(A1454,'Semrush Data'!$A$1:$A$20000,0),MATCH("Keyword Difficulty*",'Semrush Data'!$A$1:$Z$1,0)),"")</f>
        <v/>
      </c>
      <c r="I1454" s="56">
        <f>IFERROR(INDEX('Semrush Data'!$A$1:$Z$20000,MATCH(A1454,'Semrush Data'!$A$1:$A$20000,0),MATCH("CPC*",'Semrush Data'!$A$1:$Z$1,0)),"")</f>
        <v/>
      </c>
      <c r="J1454" s="42">
        <f>IFERROR(INDEX('Semrush Data'!$A$1:$Z$20000,MATCH(A1454,'Semrush Data'!$A$1:$A$20000,0),MATCH("Intent",'Semrush Data'!$A$1:$Z$1,0)),"")</f>
        <v/>
      </c>
    </row>
    <row r="1455" ht="15" customHeight="1" s="37">
      <c r="A1455" s="42" t="inlineStr">
        <is>
          <t>game of spades king eau de parfum</t>
        </is>
      </c>
      <c r="B1455" s="42" t="inlineStr">
        <is>
          <t>Product + type</t>
        </is>
      </c>
      <c r="C1455" s="42" t="n">
        <v>2</v>
      </c>
      <c r="D1455" s="42" t="n">
        <v>15</v>
      </c>
      <c r="E1455" s="42" t="n">
        <v>1</v>
      </c>
      <c r="F1455" s="42" t="inlineStr">
        <is>
          <t>FR-187</t>
        </is>
      </c>
      <c r="G1455" s="55">
        <f>IFERROR(INDEX('Semrush Data'!$A$1:$Z$20000,MATCH(A1455,'Semrush Data'!$A$1:$A$20000,0),MATCH("Volume",'Semrush Data'!$A$1:$Z$1,0)),"")</f>
        <v/>
      </c>
      <c r="H1455" s="42">
        <f>IFERROR(INDEX('Semrush Data'!$A$1:$Z$20000,MATCH(A1455,'Semrush Data'!$A$1:$A$20000,0),MATCH("Keyword Difficulty*",'Semrush Data'!$A$1:$Z$1,0)),"")</f>
        <v/>
      </c>
      <c r="I1455" s="56">
        <f>IFERROR(INDEX('Semrush Data'!$A$1:$Z$20000,MATCH(A1455,'Semrush Data'!$A$1:$A$20000,0),MATCH("CPC*",'Semrush Data'!$A$1:$Z$1,0)),"")</f>
        <v/>
      </c>
      <c r="J1455" s="42">
        <f>IFERROR(INDEX('Semrush Data'!$A$1:$Z$20000,MATCH(A1455,'Semrush Data'!$A$1:$A$20000,0),MATCH("Intent",'Semrush Data'!$A$1:$Z$1,0)),"")</f>
        <v/>
      </c>
    </row>
    <row r="1456" ht="15" customHeight="1" s="37">
      <c r="A1456" s="42" t="inlineStr">
        <is>
          <t>game of spades moon eau de parfum</t>
        </is>
      </c>
      <c r="B1456" s="42" t="inlineStr">
        <is>
          <t>Product + type</t>
        </is>
      </c>
      <c r="C1456" s="42" t="n">
        <v>2</v>
      </c>
      <c r="D1456" s="42" t="inlineStr">
        <is>
          <t>T2-1</t>
        </is>
      </c>
      <c r="E1456" s="42" t="n">
        <v>1</v>
      </c>
      <c r="F1456" s="42" t="inlineStr">
        <is>
          <t>FR-188</t>
        </is>
      </c>
      <c r="G1456" s="55">
        <f>IFERROR(INDEX('Semrush Data'!$A$1:$Z$20000,MATCH(A1456,'Semrush Data'!$A$1:$A$20000,0),MATCH("Volume",'Semrush Data'!$A$1:$Z$1,0)),"")</f>
        <v/>
      </c>
      <c r="H1456" s="42">
        <f>IFERROR(INDEX('Semrush Data'!$A$1:$Z$20000,MATCH(A1456,'Semrush Data'!$A$1:$A$20000,0),MATCH("Keyword Difficulty*",'Semrush Data'!$A$1:$Z$1,0)),"")</f>
        <v/>
      </c>
      <c r="I1456" s="56">
        <f>IFERROR(INDEX('Semrush Data'!$A$1:$Z$20000,MATCH(A1456,'Semrush Data'!$A$1:$A$20000,0),MATCH("CPC*",'Semrush Data'!$A$1:$Z$1,0)),"")</f>
        <v/>
      </c>
      <c r="J1456" s="42">
        <f>IFERROR(INDEX('Semrush Data'!$A$1:$Z$20000,MATCH(A1456,'Semrush Data'!$A$1:$A$20000,0),MATCH("Intent",'Semrush Data'!$A$1:$Z$1,0)),"")</f>
        <v/>
      </c>
    </row>
    <row r="1457" ht="15" customHeight="1" s="37">
      <c r="A1457" s="42" t="inlineStr">
        <is>
          <t>game of spades opal eau de parfum</t>
        </is>
      </c>
      <c r="B1457" s="42" t="inlineStr">
        <is>
          <t>Product + type</t>
        </is>
      </c>
      <c r="C1457" s="42" t="n">
        <v>2</v>
      </c>
      <c r="D1457" s="42" t="inlineStr">
        <is>
          <t>T2-2</t>
        </is>
      </c>
      <c r="E1457" s="42" t="n">
        <v>1</v>
      </c>
      <c r="F1457" s="42" t="inlineStr">
        <is>
          <t>FR-189</t>
        </is>
      </c>
      <c r="G1457" s="55">
        <f>IFERROR(INDEX('Semrush Data'!$A$1:$Z$20000,MATCH(A1457,'Semrush Data'!$A$1:$A$20000,0),MATCH("Volume",'Semrush Data'!$A$1:$Z$1,0)),"")</f>
        <v/>
      </c>
      <c r="H1457" s="42">
        <f>IFERROR(INDEX('Semrush Data'!$A$1:$Z$20000,MATCH(A1457,'Semrush Data'!$A$1:$A$20000,0),MATCH("Keyword Difficulty*",'Semrush Data'!$A$1:$Z$1,0)),"")</f>
        <v/>
      </c>
      <c r="I1457" s="56">
        <f>IFERROR(INDEX('Semrush Data'!$A$1:$Z$20000,MATCH(A1457,'Semrush Data'!$A$1:$A$20000,0),MATCH("CPC*",'Semrush Data'!$A$1:$Z$1,0)),"")</f>
        <v/>
      </c>
      <c r="J1457" s="42">
        <f>IFERROR(INDEX('Semrush Data'!$A$1:$Z$20000,MATCH(A1457,'Semrush Data'!$A$1:$A$20000,0),MATCH("Intent",'Semrush Data'!$A$1:$Z$1,0)),"")</f>
        <v/>
      </c>
    </row>
    <row r="1458" ht="15" customHeight="1" s="37">
      <c r="A1458" s="42" t="inlineStr">
        <is>
          <t>game of spades rouge eau de parfum</t>
        </is>
      </c>
      <c r="B1458" s="42" t="inlineStr">
        <is>
          <t>Product + type</t>
        </is>
      </c>
      <c r="C1458" s="42" t="n">
        <v>2</v>
      </c>
      <c r="D1458" s="42" t="inlineStr">
        <is>
          <t>T2-2</t>
        </is>
      </c>
      <c r="E1458" s="42" t="n">
        <v>1</v>
      </c>
      <c r="F1458" s="42" t="inlineStr">
        <is>
          <t>FR-190</t>
        </is>
      </c>
      <c r="G1458" s="55">
        <f>IFERROR(INDEX('Semrush Data'!$A$1:$Z$20000,MATCH(A1458,'Semrush Data'!$A$1:$A$20000,0),MATCH("Volume",'Semrush Data'!$A$1:$Z$1,0)),"")</f>
        <v/>
      </c>
      <c r="H1458" s="42">
        <f>IFERROR(INDEX('Semrush Data'!$A$1:$Z$20000,MATCH(A1458,'Semrush Data'!$A$1:$A$20000,0),MATCH("Keyword Difficulty*",'Semrush Data'!$A$1:$Z$1,0)),"")</f>
        <v/>
      </c>
      <c r="I1458" s="56">
        <f>IFERROR(INDEX('Semrush Data'!$A$1:$Z$20000,MATCH(A1458,'Semrush Data'!$A$1:$A$20000,0),MATCH("CPC*",'Semrush Data'!$A$1:$Z$1,0)),"")</f>
        <v/>
      </c>
      <c r="J1458" s="42">
        <f>IFERROR(INDEX('Semrush Data'!$A$1:$Z$20000,MATCH(A1458,'Semrush Data'!$A$1:$A$20000,0),MATCH("Intent",'Semrush Data'!$A$1:$Z$1,0)),"")</f>
        <v/>
      </c>
    </row>
    <row r="1459" ht="15" customHeight="1" s="37">
      <c r="A1459" s="42" t="inlineStr">
        <is>
          <t>game of spades royale eau de parfum</t>
        </is>
      </c>
      <c r="B1459" s="42" t="inlineStr">
        <is>
          <t>Product + type</t>
        </is>
      </c>
      <c r="C1459" s="42" t="n">
        <v>2</v>
      </c>
      <c r="D1459" s="42" t="inlineStr">
        <is>
          <t>T2-2</t>
        </is>
      </c>
      <c r="E1459" s="42" t="n">
        <v>1</v>
      </c>
      <c r="F1459" s="42" t="inlineStr">
        <is>
          <t>FR-191</t>
        </is>
      </c>
      <c r="G1459" s="55">
        <f>IFERROR(INDEX('Semrush Data'!$A$1:$Z$20000,MATCH(A1459,'Semrush Data'!$A$1:$A$20000,0),MATCH("Volume",'Semrush Data'!$A$1:$Z$1,0)),"")</f>
        <v/>
      </c>
      <c r="H1459" s="42">
        <f>IFERROR(INDEX('Semrush Data'!$A$1:$Z$20000,MATCH(A1459,'Semrush Data'!$A$1:$A$20000,0),MATCH("Keyword Difficulty*",'Semrush Data'!$A$1:$Z$1,0)),"")</f>
        <v/>
      </c>
      <c r="I1459" s="56">
        <f>IFERROR(INDEX('Semrush Data'!$A$1:$Z$20000,MATCH(A1459,'Semrush Data'!$A$1:$A$20000,0),MATCH("CPC*",'Semrush Data'!$A$1:$Z$1,0)),"")</f>
        <v/>
      </c>
      <c r="J1459" s="42">
        <f>IFERROR(INDEX('Semrush Data'!$A$1:$Z$20000,MATCH(A1459,'Semrush Data'!$A$1:$A$20000,0),MATCH("Intent",'Semrush Data'!$A$1:$Z$1,0)),"")</f>
        <v/>
      </c>
    </row>
    <row r="1460" ht="15" customHeight="1" s="37">
      <c r="A1460" s="42" t="inlineStr">
        <is>
          <t>game of spades ruby eau de parfum</t>
        </is>
      </c>
      <c r="B1460" s="42" t="inlineStr">
        <is>
          <t>Product + type</t>
        </is>
      </c>
      <c r="C1460" s="42" t="n">
        <v>2</v>
      </c>
      <c r="D1460" s="42" t="n">
        <v>15</v>
      </c>
      <c r="E1460" s="42" t="n">
        <v>1</v>
      </c>
      <c r="F1460" s="42" t="inlineStr">
        <is>
          <t>FR-192</t>
        </is>
      </c>
      <c r="G1460" s="55">
        <f>IFERROR(INDEX('Semrush Data'!$A$1:$Z$20000,MATCH(A1460,'Semrush Data'!$A$1:$A$20000,0),MATCH("Volume",'Semrush Data'!$A$1:$Z$1,0)),"")</f>
        <v/>
      </c>
      <c r="H1460" s="42">
        <f>IFERROR(INDEX('Semrush Data'!$A$1:$Z$20000,MATCH(A1460,'Semrush Data'!$A$1:$A$20000,0),MATCH("Keyword Difficulty*",'Semrush Data'!$A$1:$Z$1,0)),"")</f>
        <v/>
      </c>
      <c r="I1460" s="56">
        <f>IFERROR(INDEX('Semrush Data'!$A$1:$Z$20000,MATCH(A1460,'Semrush Data'!$A$1:$A$20000,0),MATCH("CPC*",'Semrush Data'!$A$1:$Z$1,0)),"")</f>
        <v/>
      </c>
      <c r="J1460" s="42">
        <f>IFERROR(INDEX('Semrush Data'!$A$1:$Z$20000,MATCH(A1460,'Semrush Data'!$A$1:$A$20000,0),MATCH("Intent",'Semrush Data'!$A$1:$Z$1,0)),"")</f>
        <v/>
      </c>
    </row>
    <row r="1461" ht="15" customHeight="1" s="37">
      <c r="A1461" s="42" t="inlineStr">
        <is>
          <t>game of spades wildcard eau de parfum</t>
        </is>
      </c>
      <c r="B1461" s="42" t="inlineStr">
        <is>
          <t>Product + type</t>
        </is>
      </c>
      <c r="C1461" s="42" t="n">
        <v>2</v>
      </c>
      <c r="D1461" s="42" t="inlineStr">
        <is>
          <t>T2-1</t>
        </is>
      </c>
      <c r="E1461" s="42" t="n">
        <v>1</v>
      </c>
      <c r="F1461" s="42" t="inlineStr">
        <is>
          <t>FR-193</t>
        </is>
      </c>
      <c r="G1461" s="55">
        <f>IFERROR(INDEX('Semrush Data'!$A$1:$Z$20000,MATCH(A1461,'Semrush Data'!$A$1:$A$20000,0),MATCH("Volume",'Semrush Data'!$A$1:$Z$1,0)),"")</f>
        <v/>
      </c>
      <c r="H1461" s="42">
        <f>IFERROR(INDEX('Semrush Data'!$A$1:$Z$20000,MATCH(A1461,'Semrush Data'!$A$1:$A$20000,0),MATCH("Keyword Difficulty*",'Semrush Data'!$A$1:$Z$1,0)),"")</f>
        <v/>
      </c>
      <c r="I1461" s="56">
        <f>IFERROR(INDEX('Semrush Data'!$A$1:$Z$20000,MATCH(A1461,'Semrush Data'!$A$1:$A$20000,0),MATCH("CPC*",'Semrush Data'!$A$1:$Z$1,0)),"")</f>
        <v/>
      </c>
      <c r="J1461" s="42">
        <f>IFERROR(INDEX('Semrush Data'!$A$1:$Z$20000,MATCH(A1461,'Semrush Data'!$A$1:$A$20000,0),MATCH("Intent",'Semrush Data'!$A$1:$Z$1,0)),"")</f>
        <v/>
      </c>
    </row>
    <row r="1462" ht="15" customHeight="1" s="37">
      <c r="A1462" s="42" t="inlineStr">
        <is>
          <t>game of spades win eau de parfum</t>
        </is>
      </c>
      <c r="B1462" s="42" t="inlineStr">
        <is>
          <t>Product + type</t>
        </is>
      </c>
      <c r="C1462" s="42" t="n">
        <v>2</v>
      </c>
      <c r="D1462" s="42" t="inlineStr">
        <is>
          <t>T2-2</t>
        </is>
      </c>
      <c r="E1462" s="42" t="n">
        <v>1</v>
      </c>
      <c r="F1462" s="42" t="inlineStr">
        <is>
          <t>FR-194</t>
        </is>
      </c>
      <c r="G1462" s="55">
        <f>IFERROR(INDEX('Semrush Data'!$A$1:$Z$20000,MATCH(A1462,'Semrush Data'!$A$1:$A$20000,0),MATCH("Volume",'Semrush Data'!$A$1:$Z$1,0)),"")</f>
        <v/>
      </c>
      <c r="H1462" s="42">
        <f>IFERROR(INDEX('Semrush Data'!$A$1:$Z$20000,MATCH(A1462,'Semrush Data'!$A$1:$A$20000,0),MATCH("Keyword Difficulty*",'Semrush Data'!$A$1:$Z$1,0)),"")</f>
        <v/>
      </c>
      <c r="I1462" s="56">
        <f>IFERROR(INDEX('Semrush Data'!$A$1:$Z$20000,MATCH(A1462,'Semrush Data'!$A$1:$A$20000,0),MATCH("CPC*",'Semrush Data'!$A$1:$Z$1,0)),"")</f>
        <v/>
      </c>
      <c r="J1462" s="42">
        <f>IFERROR(INDEX('Semrush Data'!$A$1:$Z$20000,MATCH(A1462,'Semrush Data'!$A$1:$A$20000,0),MATCH("Intent",'Semrush Data'!$A$1:$Z$1,0)),"")</f>
        <v/>
      </c>
    </row>
    <row r="1463" ht="15" customHeight="1" s="37">
      <c r="A1463" s="42" t="inlineStr">
        <is>
          <t>game of spades yellow sapphire eau de parfum</t>
        </is>
      </c>
      <c r="B1463" s="42" t="inlineStr">
        <is>
          <t>Product + type</t>
        </is>
      </c>
      <c r="C1463" s="42" t="n">
        <v>2</v>
      </c>
      <c r="D1463" s="42" t="n">
        <v>15</v>
      </c>
      <c r="E1463" s="42" t="n">
        <v>1</v>
      </c>
      <c r="F1463" s="42" t="inlineStr">
        <is>
          <t>FR-195</t>
        </is>
      </c>
      <c r="G1463" s="55">
        <f>IFERROR(INDEX('Semrush Data'!$A$1:$Z$20000,MATCH(A1463,'Semrush Data'!$A$1:$A$20000,0),MATCH("Volume",'Semrush Data'!$A$1:$Z$1,0)),"")</f>
        <v/>
      </c>
      <c r="H1463" s="42">
        <f>IFERROR(INDEX('Semrush Data'!$A$1:$Z$20000,MATCH(A1463,'Semrush Data'!$A$1:$A$20000,0),MATCH("Keyword Difficulty*",'Semrush Data'!$A$1:$Z$1,0)),"")</f>
        <v/>
      </c>
      <c r="I1463" s="56">
        <f>IFERROR(INDEX('Semrush Data'!$A$1:$Z$20000,MATCH(A1463,'Semrush Data'!$A$1:$A$20000,0),MATCH("CPC*",'Semrush Data'!$A$1:$Z$1,0)),"")</f>
        <v/>
      </c>
      <c r="J1463" s="42">
        <f>IFERROR(INDEX('Semrush Data'!$A$1:$Z$20000,MATCH(A1463,'Semrush Data'!$A$1:$A$20000,0),MATCH("Intent",'Semrush Data'!$A$1:$Z$1,0)),"")</f>
        <v/>
      </c>
    </row>
    <row r="1464" ht="15" customHeight="1" s="37">
      <c r="A1464" s="42" t="inlineStr">
        <is>
          <t>giorgia armani giorgio armani code refillable edt</t>
        </is>
      </c>
      <c r="B1464" s="42" t="inlineStr">
        <is>
          <t>Product + type</t>
        </is>
      </c>
      <c r="C1464" s="42" t="n">
        <v>2</v>
      </c>
      <c r="D1464" s="42" t="n">
        <v>15</v>
      </c>
      <c r="E1464" s="42" t="n">
        <v>1</v>
      </c>
      <c r="F1464" s="42" t="inlineStr">
        <is>
          <t>FR-212</t>
        </is>
      </c>
      <c r="G1464" s="55">
        <f>IFERROR(INDEX('Semrush Data'!$A$1:$Z$20000,MATCH(A1464,'Semrush Data'!$A$1:$A$20000,0),MATCH("Volume",'Semrush Data'!$A$1:$Z$1,0)),"")</f>
        <v/>
      </c>
      <c r="H1464" s="42">
        <f>IFERROR(INDEX('Semrush Data'!$A$1:$Z$20000,MATCH(A1464,'Semrush Data'!$A$1:$A$20000,0),MATCH("Keyword Difficulty*",'Semrush Data'!$A$1:$Z$1,0)),"")</f>
        <v/>
      </c>
      <c r="I1464" s="56">
        <f>IFERROR(INDEX('Semrush Data'!$A$1:$Z$20000,MATCH(A1464,'Semrush Data'!$A$1:$A$20000,0),MATCH("CPC*",'Semrush Data'!$A$1:$Z$1,0)),"")</f>
        <v/>
      </c>
      <c r="J1464" s="42">
        <f>IFERROR(INDEX('Semrush Data'!$A$1:$Z$20000,MATCH(A1464,'Semrush Data'!$A$1:$A$20000,0),MATCH("Intent",'Semrush Data'!$A$1:$Z$1,0)),"")</f>
        <v/>
      </c>
    </row>
    <row r="1465" ht="15" customHeight="1" s="37">
      <c r="A1465" s="42" t="inlineStr">
        <is>
          <t>giorgio armani code refillable eau de toilette</t>
        </is>
      </c>
      <c r="B1465" s="42" t="inlineStr">
        <is>
          <t>Product + type</t>
        </is>
      </c>
      <c r="C1465" s="42" t="n">
        <v>2</v>
      </c>
      <c r="D1465" s="42" t="n">
        <v>15</v>
      </c>
      <c r="E1465" s="42" t="n">
        <v>1</v>
      </c>
      <c r="F1465" s="42" t="inlineStr">
        <is>
          <t>FR-213</t>
        </is>
      </c>
      <c r="G1465" s="55">
        <f>IFERROR(INDEX('Semrush Data'!$A$1:$Z$20000,MATCH(A1465,'Semrush Data'!$A$1:$A$20000,0),MATCH("Volume",'Semrush Data'!$A$1:$Z$1,0)),"")</f>
        <v/>
      </c>
      <c r="H1465" s="42">
        <f>IFERROR(INDEX('Semrush Data'!$A$1:$Z$20000,MATCH(A1465,'Semrush Data'!$A$1:$A$20000,0),MATCH("Keyword Difficulty*",'Semrush Data'!$A$1:$Z$1,0)),"")</f>
        <v/>
      </c>
      <c r="I1465" s="56">
        <f>IFERROR(INDEX('Semrush Data'!$A$1:$Z$20000,MATCH(A1465,'Semrush Data'!$A$1:$A$20000,0),MATCH("CPC*",'Semrush Data'!$A$1:$Z$1,0)),"")</f>
        <v/>
      </c>
      <c r="J1465" s="42">
        <f>IFERROR(INDEX('Semrush Data'!$A$1:$Z$20000,MATCH(A1465,'Semrush Data'!$A$1:$A$20000,0),MATCH("Intent",'Semrush Data'!$A$1:$Z$1,0)),"")</f>
        <v/>
      </c>
    </row>
    <row r="1466" ht="15" customHeight="1" s="37">
      <c r="A1466" s="42" t="inlineStr">
        <is>
          <t>givenchy amarige eau de toilette</t>
        </is>
      </c>
      <c r="B1466" s="42" t="inlineStr">
        <is>
          <t>Product + type</t>
        </is>
      </c>
      <c r="C1466" s="42" t="n">
        <v>2</v>
      </c>
      <c r="D1466" s="42" t="inlineStr">
        <is>
          <t>T2-1</t>
        </is>
      </c>
      <c r="E1466" s="42" t="n">
        <v>1</v>
      </c>
      <c r="F1466" s="42" t="inlineStr">
        <is>
          <t>FR-214</t>
        </is>
      </c>
      <c r="G1466" s="55">
        <f>IFERROR(INDEX('Semrush Data'!$A$1:$Z$20000,MATCH(A1466,'Semrush Data'!$A$1:$A$20000,0),MATCH("Volume",'Semrush Data'!$A$1:$Z$1,0)),"")</f>
        <v/>
      </c>
      <c r="H1466" s="42">
        <f>IFERROR(INDEX('Semrush Data'!$A$1:$Z$20000,MATCH(A1466,'Semrush Data'!$A$1:$A$20000,0),MATCH("Keyword Difficulty*",'Semrush Data'!$A$1:$Z$1,0)),"")</f>
        <v/>
      </c>
      <c r="I1466" s="56">
        <f>IFERROR(INDEX('Semrush Data'!$A$1:$Z$20000,MATCH(A1466,'Semrush Data'!$A$1:$A$20000,0),MATCH("CPC*",'Semrush Data'!$A$1:$Z$1,0)),"")</f>
        <v/>
      </c>
      <c r="J1466" s="42">
        <f>IFERROR(INDEX('Semrush Data'!$A$1:$Z$20000,MATCH(A1466,'Semrush Data'!$A$1:$A$20000,0),MATCH("Intent",'Semrush Data'!$A$1:$Z$1,0)),"")</f>
        <v/>
      </c>
    </row>
    <row r="1467" ht="15" customHeight="1" s="37">
      <c r="A1467" s="42" t="inlineStr">
        <is>
          <t>givenchy gentleman originale eau de toilette</t>
        </is>
      </c>
      <c r="B1467" s="42" t="inlineStr">
        <is>
          <t>Product + type</t>
        </is>
      </c>
      <c r="C1467" s="42" t="n">
        <v>2</v>
      </c>
      <c r="D1467" s="42" t="n">
        <v>15</v>
      </c>
      <c r="E1467" s="42" t="n">
        <v>1</v>
      </c>
      <c r="F1467" s="42" t="inlineStr">
        <is>
          <t>FR-215</t>
        </is>
      </c>
      <c r="G1467" s="55">
        <f>IFERROR(INDEX('Semrush Data'!$A$1:$Z$20000,MATCH(A1467,'Semrush Data'!$A$1:$A$20000,0),MATCH("Volume",'Semrush Data'!$A$1:$Z$1,0)),"")</f>
        <v/>
      </c>
      <c r="H1467" s="42">
        <f>IFERROR(INDEX('Semrush Data'!$A$1:$Z$20000,MATCH(A1467,'Semrush Data'!$A$1:$A$20000,0),MATCH("Keyword Difficulty*",'Semrush Data'!$A$1:$Z$1,0)),"")</f>
        <v/>
      </c>
      <c r="I1467" s="56">
        <f>IFERROR(INDEX('Semrush Data'!$A$1:$Z$20000,MATCH(A1467,'Semrush Data'!$A$1:$A$20000,0),MATCH("CPC*",'Semrush Data'!$A$1:$Z$1,0)),"")</f>
        <v/>
      </c>
      <c r="J1467" s="42">
        <f>IFERROR(INDEX('Semrush Data'!$A$1:$Z$20000,MATCH(A1467,'Semrush Data'!$A$1:$A$20000,0),MATCH("Intent",'Semrush Data'!$A$1:$Z$1,0)),"")</f>
        <v/>
      </c>
    </row>
    <row r="1468" ht="15" customHeight="1" s="37">
      <c r="A1468" s="42" t="inlineStr">
        <is>
          <t>gucci bloom miniature eau de toilette</t>
        </is>
      </c>
      <c r="B1468" s="42" t="inlineStr">
        <is>
          <t>Product + type</t>
        </is>
      </c>
      <c r="C1468" s="42" t="n">
        <v>2</v>
      </c>
      <c r="D1468" s="42" t="n">
        <v>15</v>
      </c>
      <c r="E1468" s="42" t="n">
        <v>1</v>
      </c>
      <c r="F1468" s="42" t="inlineStr">
        <is>
          <t>FR-221</t>
        </is>
      </c>
      <c r="G1468" s="55">
        <f>IFERROR(INDEX('Semrush Data'!$A$1:$Z$20000,MATCH(A1468,'Semrush Data'!$A$1:$A$20000,0),MATCH("Volume",'Semrush Data'!$A$1:$Z$1,0)),"")</f>
        <v/>
      </c>
      <c r="H1468" s="42">
        <f>IFERROR(INDEX('Semrush Data'!$A$1:$Z$20000,MATCH(A1468,'Semrush Data'!$A$1:$A$20000,0),MATCH("Keyword Difficulty*",'Semrush Data'!$A$1:$Z$1,0)),"")</f>
        <v/>
      </c>
      <c r="I1468" s="56">
        <f>IFERROR(INDEX('Semrush Data'!$A$1:$Z$20000,MATCH(A1468,'Semrush Data'!$A$1:$A$20000,0),MATCH("CPC*",'Semrush Data'!$A$1:$Z$1,0)),"")</f>
        <v/>
      </c>
      <c r="J1468" s="42">
        <f>IFERROR(INDEX('Semrush Data'!$A$1:$Z$20000,MATCH(A1468,'Semrush Data'!$A$1:$A$20000,0),MATCH("Intent",'Semrush Data'!$A$1:$Z$1,0)),"")</f>
        <v/>
      </c>
    </row>
    <row r="1469" ht="15" customHeight="1" s="37">
      <c r="A1469" s="42" t="inlineStr">
        <is>
          <t>gucci bloom parfum miniature parfum</t>
        </is>
      </c>
      <c r="B1469" s="42" t="inlineStr">
        <is>
          <t>Product + type</t>
        </is>
      </c>
      <c r="C1469" s="42" t="n">
        <v>2</v>
      </c>
      <c r="D1469" s="42" t="n">
        <v>15</v>
      </c>
      <c r="E1469" s="42" t="n">
        <v>1</v>
      </c>
      <c r="F1469" s="42" t="inlineStr">
        <is>
          <t>FR-228</t>
        </is>
      </c>
      <c r="G1469" s="55">
        <f>IFERROR(INDEX('Semrush Data'!$A$1:$Z$20000,MATCH(A1469,'Semrush Data'!$A$1:$A$20000,0),MATCH("Volume",'Semrush Data'!$A$1:$Z$1,0)),"")</f>
        <v/>
      </c>
      <c r="H1469" s="42">
        <f>IFERROR(INDEX('Semrush Data'!$A$1:$Z$20000,MATCH(A1469,'Semrush Data'!$A$1:$A$20000,0),MATCH("Keyword Difficulty*",'Semrush Data'!$A$1:$Z$1,0)),"")</f>
        <v/>
      </c>
      <c r="I1469" s="56">
        <f>IFERROR(INDEX('Semrush Data'!$A$1:$Z$20000,MATCH(A1469,'Semrush Data'!$A$1:$A$20000,0),MATCH("CPC*",'Semrush Data'!$A$1:$Z$1,0)),"")</f>
        <v/>
      </c>
      <c r="J1469" s="42">
        <f>IFERROR(INDEX('Semrush Data'!$A$1:$Z$20000,MATCH(A1469,'Semrush Data'!$A$1:$A$20000,0),MATCH("Intent",'Semrush Data'!$A$1:$Z$1,0)),"")</f>
        <v/>
      </c>
    </row>
    <row r="1470" ht="15" customHeight="1" s="37">
      <c r="A1470" s="42" t="inlineStr">
        <is>
          <t>gucci bloom profumo di fiori pen eau de parfum</t>
        </is>
      </c>
      <c r="B1470" s="42" t="inlineStr">
        <is>
          <t>Product + type</t>
        </is>
      </c>
      <c r="C1470" s="42" t="n">
        <v>2</v>
      </c>
      <c r="D1470" s="42" t="n">
        <v>15</v>
      </c>
      <c r="E1470" s="42" t="n">
        <v>1</v>
      </c>
      <c r="F1470" s="42" t="inlineStr">
        <is>
          <t>FR-216</t>
        </is>
      </c>
      <c r="G1470" s="55">
        <f>IFERROR(INDEX('Semrush Data'!$A$1:$Z$20000,MATCH(A1470,'Semrush Data'!$A$1:$A$20000,0),MATCH("Volume",'Semrush Data'!$A$1:$Z$1,0)),"")</f>
        <v/>
      </c>
      <c r="H1470" s="42">
        <f>IFERROR(INDEX('Semrush Data'!$A$1:$Z$20000,MATCH(A1470,'Semrush Data'!$A$1:$A$20000,0),MATCH("Keyword Difficulty*",'Semrush Data'!$A$1:$Z$1,0)),"")</f>
        <v/>
      </c>
      <c r="I1470" s="56">
        <f>IFERROR(INDEX('Semrush Data'!$A$1:$Z$20000,MATCH(A1470,'Semrush Data'!$A$1:$A$20000,0),MATCH("CPC*",'Semrush Data'!$A$1:$Z$1,0)),"")</f>
        <v/>
      </c>
      <c r="J1470" s="42">
        <f>IFERROR(INDEX('Semrush Data'!$A$1:$Z$20000,MATCH(A1470,'Semrush Data'!$A$1:$A$20000,0),MATCH("Intent",'Semrush Data'!$A$1:$Z$1,0)),"")</f>
        <v/>
      </c>
    </row>
    <row r="1471" ht="15" customHeight="1" s="37">
      <c r="A1471" s="42" t="inlineStr">
        <is>
          <t>gucci flora gorgeous gardenia eau de parfum</t>
        </is>
      </c>
      <c r="B1471" s="42" t="inlineStr">
        <is>
          <t>Product + type</t>
        </is>
      </c>
      <c r="C1471" s="42" t="n">
        <v>2</v>
      </c>
      <c r="D1471" s="42" t="inlineStr">
        <is>
          <t>T2-1</t>
        </is>
      </c>
      <c r="E1471" s="42" t="n">
        <v>1</v>
      </c>
      <c r="F1471" s="42" t="inlineStr">
        <is>
          <t>FR-217</t>
        </is>
      </c>
      <c r="G1471" s="55">
        <f>IFERROR(INDEX('Semrush Data'!$A$1:$Z$20000,MATCH(A1471,'Semrush Data'!$A$1:$A$20000,0),MATCH("Volume",'Semrush Data'!$A$1:$Z$1,0)),"")</f>
        <v/>
      </c>
      <c r="H1471" s="42">
        <f>IFERROR(INDEX('Semrush Data'!$A$1:$Z$20000,MATCH(A1471,'Semrush Data'!$A$1:$A$20000,0),MATCH("Keyword Difficulty*",'Semrush Data'!$A$1:$Z$1,0)),"")</f>
        <v/>
      </c>
      <c r="I1471" s="56">
        <f>IFERROR(INDEX('Semrush Data'!$A$1:$Z$20000,MATCH(A1471,'Semrush Data'!$A$1:$A$20000,0),MATCH("CPC*",'Semrush Data'!$A$1:$Z$1,0)),"")</f>
        <v/>
      </c>
      <c r="J1471" s="42">
        <f>IFERROR(INDEX('Semrush Data'!$A$1:$Z$20000,MATCH(A1471,'Semrush Data'!$A$1:$A$20000,0),MATCH("Intent",'Semrush Data'!$A$1:$Z$1,0)),"")</f>
        <v/>
      </c>
    </row>
    <row r="1472" ht="15" customHeight="1" s="37">
      <c r="A1472" s="42" t="inlineStr">
        <is>
          <t>gucci flora gorgeous orchid miniature eau de parfum</t>
        </is>
      </c>
      <c r="B1472" s="42" t="inlineStr">
        <is>
          <t>Product + type</t>
        </is>
      </c>
      <c r="C1472" s="42" t="n">
        <v>2</v>
      </c>
      <c r="D1472" s="42" t="n">
        <v>15</v>
      </c>
      <c r="E1472" s="42" t="n">
        <v>1</v>
      </c>
      <c r="F1472" s="42" t="inlineStr">
        <is>
          <t>FR-218</t>
        </is>
      </c>
      <c r="G1472" s="55">
        <f>IFERROR(INDEX('Semrush Data'!$A$1:$Z$20000,MATCH(A1472,'Semrush Data'!$A$1:$A$20000,0),MATCH("Volume",'Semrush Data'!$A$1:$Z$1,0)),"")</f>
        <v/>
      </c>
      <c r="H1472" s="42">
        <f>IFERROR(INDEX('Semrush Data'!$A$1:$Z$20000,MATCH(A1472,'Semrush Data'!$A$1:$A$20000,0),MATCH("Keyword Difficulty*",'Semrush Data'!$A$1:$Z$1,0)),"")</f>
        <v/>
      </c>
      <c r="I1472" s="56">
        <f>IFERROR(INDEX('Semrush Data'!$A$1:$Z$20000,MATCH(A1472,'Semrush Data'!$A$1:$A$20000,0),MATCH("CPC*",'Semrush Data'!$A$1:$Z$1,0)),"")</f>
        <v/>
      </c>
      <c r="J1472" s="42">
        <f>IFERROR(INDEX('Semrush Data'!$A$1:$Z$20000,MATCH(A1472,'Semrush Data'!$A$1:$A$20000,0),MATCH("Intent",'Semrush Data'!$A$1:$Z$1,0)),"")</f>
        <v/>
      </c>
    </row>
    <row r="1473" ht="15" customHeight="1" s="37">
      <c r="A1473" s="42" t="inlineStr">
        <is>
          <t>gucci guilty pour femme miniature eau de parfum</t>
        </is>
      </c>
      <c r="B1473" s="42" t="inlineStr">
        <is>
          <t>Product + type</t>
        </is>
      </c>
      <c r="C1473" s="42" t="n">
        <v>2</v>
      </c>
      <c r="D1473" s="42" t="n">
        <v>15</v>
      </c>
      <c r="E1473" s="42" t="n">
        <v>1</v>
      </c>
      <c r="F1473" s="42" t="inlineStr">
        <is>
          <t>FR-219</t>
        </is>
      </c>
      <c r="G1473" s="55">
        <f>IFERROR(INDEX('Semrush Data'!$A$1:$Z$20000,MATCH(A1473,'Semrush Data'!$A$1:$A$20000,0),MATCH("Volume",'Semrush Data'!$A$1:$Z$1,0)),"")</f>
        <v/>
      </c>
      <c r="H1473" s="42">
        <f>IFERROR(INDEX('Semrush Data'!$A$1:$Z$20000,MATCH(A1473,'Semrush Data'!$A$1:$A$20000,0),MATCH("Keyword Difficulty*",'Semrush Data'!$A$1:$Z$1,0)),"")</f>
        <v/>
      </c>
      <c r="I1473" s="56">
        <f>IFERROR(INDEX('Semrush Data'!$A$1:$Z$20000,MATCH(A1473,'Semrush Data'!$A$1:$A$20000,0),MATCH("CPC*",'Semrush Data'!$A$1:$Z$1,0)),"")</f>
        <v/>
      </c>
      <c r="J1473" s="42">
        <f>IFERROR(INDEX('Semrush Data'!$A$1:$Z$20000,MATCH(A1473,'Semrush Data'!$A$1:$A$20000,0),MATCH("Intent",'Semrush Data'!$A$1:$Z$1,0)),"")</f>
        <v/>
      </c>
    </row>
    <row r="1474" ht="15" customHeight="1" s="37">
      <c r="A1474" s="42" t="inlineStr">
        <is>
          <t>gucci guilty pour homme eau de toilette</t>
        </is>
      </c>
      <c r="B1474" s="42" t="inlineStr">
        <is>
          <t>Product + type</t>
        </is>
      </c>
      <c r="C1474" s="42" t="n">
        <v>2</v>
      </c>
      <c r="D1474" s="42" t="inlineStr">
        <is>
          <t>T2-1</t>
        </is>
      </c>
      <c r="E1474" s="42" t="n">
        <v>1</v>
      </c>
      <c r="F1474" s="42" t="inlineStr">
        <is>
          <t>FR-222</t>
        </is>
      </c>
      <c r="G1474" s="55">
        <f>IFERROR(INDEX('Semrush Data'!$A$1:$Z$20000,MATCH(A1474,'Semrush Data'!$A$1:$A$20000,0),MATCH("Volume",'Semrush Data'!$A$1:$Z$1,0)),"")</f>
        <v/>
      </c>
      <c r="H1474" s="42">
        <f>IFERROR(INDEX('Semrush Data'!$A$1:$Z$20000,MATCH(A1474,'Semrush Data'!$A$1:$A$20000,0),MATCH("Keyword Difficulty*",'Semrush Data'!$A$1:$Z$1,0)),"")</f>
        <v/>
      </c>
      <c r="I1474" s="56">
        <f>IFERROR(INDEX('Semrush Data'!$A$1:$Z$20000,MATCH(A1474,'Semrush Data'!$A$1:$A$20000,0),MATCH("CPC*",'Semrush Data'!$A$1:$Z$1,0)),"")</f>
        <v/>
      </c>
      <c r="J1474" s="42">
        <f>IFERROR(INDEX('Semrush Data'!$A$1:$Z$20000,MATCH(A1474,'Semrush Data'!$A$1:$A$20000,0),MATCH("Intent",'Semrush Data'!$A$1:$Z$1,0)),"")</f>
        <v/>
      </c>
    </row>
    <row r="1475" ht="15" customHeight="1" s="37">
      <c r="A1475" s="42" t="inlineStr">
        <is>
          <t>gucci intense oud eau de parfum</t>
        </is>
      </c>
      <c r="B1475" s="42" t="inlineStr">
        <is>
          <t>Product + type</t>
        </is>
      </c>
      <c r="C1475" s="42" t="n">
        <v>2</v>
      </c>
      <c r="D1475" s="42" t="inlineStr">
        <is>
          <t>T2-1</t>
        </is>
      </c>
      <c r="E1475" s="42" t="n">
        <v>1</v>
      </c>
      <c r="F1475" s="42" t="inlineStr">
        <is>
          <t>FR-220</t>
        </is>
      </c>
      <c r="G1475" s="55">
        <f>IFERROR(INDEX('Semrush Data'!$A$1:$Z$20000,MATCH(A1475,'Semrush Data'!$A$1:$A$20000,0),MATCH("Volume",'Semrush Data'!$A$1:$Z$1,0)),"")</f>
        <v/>
      </c>
      <c r="H1475" s="42">
        <f>IFERROR(INDEX('Semrush Data'!$A$1:$Z$20000,MATCH(A1475,'Semrush Data'!$A$1:$A$20000,0),MATCH("Keyword Difficulty*",'Semrush Data'!$A$1:$Z$1,0)),"")</f>
        <v/>
      </c>
      <c r="I1475" s="56">
        <f>IFERROR(INDEX('Semrush Data'!$A$1:$Z$20000,MATCH(A1475,'Semrush Data'!$A$1:$A$20000,0),MATCH("CPC*",'Semrush Data'!$A$1:$Z$1,0)),"")</f>
        <v/>
      </c>
      <c r="J1475" s="42">
        <f>IFERROR(INDEX('Semrush Data'!$A$1:$Z$20000,MATCH(A1475,'Semrush Data'!$A$1:$A$20000,0),MATCH("Intent",'Semrush Data'!$A$1:$Z$1,0)),"")</f>
        <v/>
      </c>
    </row>
    <row r="1476" ht="15" customHeight="1" s="37">
      <c r="A1476" s="42" t="inlineStr">
        <is>
          <t>guerlain epices exquises eau de parfum</t>
        </is>
      </c>
      <c r="B1476" s="42" t="inlineStr">
        <is>
          <t>Product + type</t>
        </is>
      </c>
      <c r="C1476" s="42" t="n">
        <v>2</v>
      </c>
      <c r="D1476" s="42" t="inlineStr">
        <is>
          <t>T2-2</t>
        </is>
      </c>
      <c r="E1476" s="42" t="n">
        <v>1</v>
      </c>
      <c r="F1476" s="42" t="inlineStr">
        <is>
          <t>FR-234</t>
        </is>
      </c>
      <c r="G1476" s="55">
        <f>IFERROR(INDEX('Semrush Data'!$A$1:$Z$20000,MATCH(A1476,'Semrush Data'!$A$1:$A$20000,0),MATCH("Volume",'Semrush Data'!$A$1:$Z$1,0)),"")</f>
        <v/>
      </c>
      <c r="H1476" s="42">
        <f>IFERROR(INDEX('Semrush Data'!$A$1:$Z$20000,MATCH(A1476,'Semrush Data'!$A$1:$A$20000,0),MATCH("Keyword Difficulty*",'Semrush Data'!$A$1:$Z$1,0)),"")</f>
        <v/>
      </c>
      <c r="I1476" s="56">
        <f>IFERROR(INDEX('Semrush Data'!$A$1:$Z$20000,MATCH(A1476,'Semrush Data'!$A$1:$A$20000,0),MATCH("CPC*",'Semrush Data'!$A$1:$Z$1,0)),"")</f>
        <v/>
      </c>
      <c r="J1476" s="42">
        <f>IFERROR(INDEX('Semrush Data'!$A$1:$Z$20000,MATCH(A1476,'Semrush Data'!$A$1:$A$20000,0),MATCH("Intent",'Semrush Data'!$A$1:$Z$1,0)),"")</f>
        <v/>
      </c>
    </row>
    <row r="1477" ht="15" customHeight="1" s="37">
      <c r="A1477" s="42" t="inlineStr">
        <is>
          <t>guerlain habit rouge eau de parfum</t>
        </is>
      </c>
      <c r="B1477" s="42" t="inlineStr">
        <is>
          <t>Product + type</t>
        </is>
      </c>
      <c r="C1477" s="42" t="n">
        <v>2</v>
      </c>
      <c r="D1477" s="42" t="inlineStr">
        <is>
          <t>T2-1</t>
        </is>
      </c>
      <c r="E1477" s="42" t="n">
        <v>1</v>
      </c>
      <c r="F1477" s="42" t="inlineStr">
        <is>
          <t>FR-229</t>
        </is>
      </c>
      <c r="G1477" s="55">
        <f>IFERROR(INDEX('Semrush Data'!$A$1:$Z$20000,MATCH(A1477,'Semrush Data'!$A$1:$A$20000,0),MATCH("Volume",'Semrush Data'!$A$1:$Z$1,0)),"")</f>
        <v/>
      </c>
      <c r="H1477" s="42">
        <f>IFERROR(INDEX('Semrush Data'!$A$1:$Z$20000,MATCH(A1477,'Semrush Data'!$A$1:$A$20000,0),MATCH("Keyword Difficulty*",'Semrush Data'!$A$1:$Z$1,0)),"")</f>
        <v/>
      </c>
      <c r="I1477" s="56">
        <f>IFERROR(INDEX('Semrush Data'!$A$1:$Z$20000,MATCH(A1477,'Semrush Data'!$A$1:$A$20000,0),MATCH("CPC*",'Semrush Data'!$A$1:$Z$1,0)),"")</f>
        <v/>
      </c>
      <c r="J1477" s="42">
        <f>IFERROR(INDEX('Semrush Data'!$A$1:$Z$20000,MATCH(A1477,'Semrush Data'!$A$1:$A$20000,0),MATCH("Intent",'Semrush Data'!$A$1:$Z$1,0)),"")</f>
        <v/>
      </c>
    </row>
    <row r="1478" ht="15" customHeight="1" s="37">
      <c r="A1478" s="42" t="inlineStr">
        <is>
          <t>guerlain l'instant de guerlain eau de parfum</t>
        </is>
      </c>
      <c r="B1478" s="42" t="inlineStr">
        <is>
          <t>Product + type</t>
        </is>
      </c>
      <c r="C1478" s="42" t="n">
        <v>2</v>
      </c>
      <c r="D1478" s="42" t="n">
        <v>15</v>
      </c>
      <c r="E1478" s="42" t="n">
        <v>1</v>
      </c>
      <c r="F1478" s="42" t="inlineStr">
        <is>
          <t>FR-230</t>
        </is>
      </c>
      <c r="G1478" s="55">
        <f>IFERROR(INDEX('Semrush Data'!$A$1:$Z$20000,MATCH(A1478,'Semrush Data'!$A$1:$A$20000,0),MATCH("Volume",'Semrush Data'!$A$1:$Z$1,0)),"")</f>
        <v/>
      </c>
      <c r="H1478" s="42">
        <f>IFERROR(INDEX('Semrush Data'!$A$1:$Z$20000,MATCH(A1478,'Semrush Data'!$A$1:$A$20000,0),MATCH("Keyword Difficulty*",'Semrush Data'!$A$1:$Z$1,0)),"")</f>
        <v/>
      </c>
      <c r="I1478" s="56">
        <f>IFERROR(INDEX('Semrush Data'!$A$1:$Z$20000,MATCH(A1478,'Semrush Data'!$A$1:$A$20000,0),MATCH("CPC*",'Semrush Data'!$A$1:$Z$1,0)),"")</f>
        <v/>
      </c>
      <c r="J1478" s="42">
        <f>IFERROR(INDEX('Semrush Data'!$A$1:$Z$20000,MATCH(A1478,'Semrush Data'!$A$1:$A$20000,0),MATCH("Intent",'Semrush Data'!$A$1:$Z$1,0)),"")</f>
        <v/>
      </c>
    </row>
    <row r="1479" ht="15" customHeight="1" s="37">
      <c r="A1479" s="42" t="inlineStr">
        <is>
          <t>guerlain la petite robe noire ma robe cocktail eau de toilette</t>
        </is>
      </c>
      <c r="B1479" s="42" t="inlineStr">
        <is>
          <t>Product + type</t>
        </is>
      </c>
      <c r="C1479" s="42" t="n">
        <v>2</v>
      </c>
      <c r="D1479" s="42" t="n">
        <v>15</v>
      </c>
      <c r="E1479" s="42" t="n">
        <v>1</v>
      </c>
      <c r="F1479" s="42" t="inlineStr">
        <is>
          <t>FR-235</t>
        </is>
      </c>
      <c r="G1479" s="55">
        <f>IFERROR(INDEX('Semrush Data'!$A$1:$Z$20000,MATCH(A1479,'Semrush Data'!$A$1:$A$20000,0),MATCH("Volume",'Semrush Data'!$A$1:$Z$1,0)),"")</f>
        <v/>
      </c>
      <c r="H1479" s="42">
        <f>IFERROR(INDEX('Semrush Data'!$A$1:$Z$20000,MATCH(A1479,'Semrush Data'!$A$1:$A$20000,0),MATCH("Keyword Difficulty*",'Semrush Data'!$A$1:$Z$1,0)),"")</f>
        <v/>
      </c>
      <c r="I1479" s="56">
        <f>IFERROR(INDEX('Semrush Data'!$A$1:$Z$20000,MATCH(A1479,'Semrush Data'!$A$1:$A$20000,0),MATCH("CPC*",'Semrush Data'!$A$1:$Z$1,0)),"")</f>
        <v/>
      </c>
      <c r="J1479" s="42">
        <f>IFERROR(INDEX('Semrush Data'!$A$1:$Z$20000,MATCH(A1479,'Semrush Data'!$A$1:$A$20000,0),MATCH("Intent",'Semrush Data'!$A$1:$Z$1,0)),"")</f>
        <v/>
      </c>
    </row>
    <row r="1480" ht="15" customHeight="1" s="37">
      <c r="A1480" s="42" t="inlineStr">
        <is>
          <t>guerlain musc noble eau de parfum</t>
        </is>
      </c>
      <c r="B1480" s="42" t="inlineStr">
        <is>
          <t>Product + type</t>
        </is>
      </c>
      <c r="C1480" s="42" t="n">
        <v>2</v>
      </c>
      <c r="D1480" s="42" t="n">
        <v>15</v>
      </c>
      <c r="E1480" s="42" t="n">
        <v>1</v>
      </c>
      <c r="F1480" s="42" t="inlineStr">
        <is>
          <t>FR-231</t>
        </is>
      </c>
      <c r="G1480" s="55">
        <f>IFERROR(INDEX('Semrush Data'!$A$1:$Z$20000,MATCH(A1480,'Semrush Data'!$A$1:$A$20000,0),MATCH("Volume",'Semrush Data'!$A$1:$Z$1,0)),"")</f>
        <v/>
      </c>
      <c r="H1480" s="42">
        <f>IFERROR(INDEX('Semrush Data'!$A$1:$Z$20000,MATCH(A1480,'Semrush Data'!$A$1:$A$20000,0),MATCH("Keyword Difficulty*",'Semrush Data'!$A$1:$Z$1,0)),"")</f>
        <v/>
      </c>
      <c r="I1480" s="56">
        <f>IFERROR(INDEX('Semrush Data'!$A$1:$Z$20000,MATCH(A1480,'Semrush Data'!$A$1:$A$20000,0),MATCH("CPC*",'Semrush Data'!$A$1:$Z$1,0)),"")</f>
        <v/>
      </c>
      <c r="J1480" s="42">
        <f>IFERROR(INDEX('Semrush Data'!$A$1:$Z$20000,MATCH(A1480,'Semrush Data'!$A$1:$A$20000,0),MATCH("Intent",'Semrush Data'!$A$1:$Z$1,0)),"")</f>
        <v/>
      </c>
    </row>
    <row r="1481" ht="15" customHeight="1" s="37">
      <c r="A1481" s="42" t="inlineStr">
        <is>
          <t>guerlain oud essentiel eau de parfum</t>
        </is>
      </c>
      <c r="B1481" s="42" t="inlineStr">
        <is>
          <t>Product + type</t>
        </is>
      </c>
      <c r="C1481" s="42" t="n">
        <v>2</v>
      </c>
      <c r="D1481" s="42" t="inlineStr">
        <is>
          <t>T2-1</t>
        </is>
      </c>
      <c r="E1481" s="42" t="n">
        <v>1</v>
      </c>
      <c r="F1481" s="42" t="inlineStr">
        <is>
          <t>FR-232</t>
        </is>
      </c>
      <c r="G1481" s="55">
        <f>IFERROR(INDEX('Semrush Data'!$A$1:$Z$20000,MATCH(A1481,'Semrush Data'!$A$1:$A$20000,0),MATCH("Volume",'Semrush Data'!$A$1:$Z$1,0)),"")</f>
        <v/>
      </c>
      <c r="H1481" s="42">
        <f>IFERROR(INDEX('Semrush Data'!$A$1:$Z$20000,MATCH(A1481,'Semrush Data'!$A$1:$A$20000,0),MATCH("Keyword Difficulty*",'Semrush Data'!$A$1:$Z$1,0)),"")</f>
        <v/>
      </c>
      <c r="I1481" s="56">
        <f>IFERROR(INDEX('Semrush Data'!$A$1:$Z$20000,MATCH(A1481,'Semrush Data'!$A$1:$A$20000,0),MATCH("CPC*",'Semrush Data'!$A$1:$Z$1,0)),"")</f>
        <v/>
      </c>
      <c r="J1481" s="42">
        <f>IFERROR(INDEX('Semrush Data'!$A$1:$Z$20000,MATCH(A1481,'Semrush Data'!$A$1:$A$20000,0),MATCH("Intent",'Semrush Data'!$A$1:$Z$1,0)),"")</f>
        <v/>
      </c>
    </row>
    <row r="1482" ht="15" customHeight="1" s="37">
      <c r="A1482" s="42" t="inlineStr">
        <is>
          <t>guerlain samsara eau de parfum</t>
        </is>
      </c>
      <c r="B1482" s="42" t="inlineStr">
        <is>
          <t>Product + type</t>
        </is>
      </c>
      <c r="C1482" s="42" t="n">
        <v>2</v>
      </c>
      <c r="D1482" s="42" t="inlineStr">
        <is>
          <t>T2-1</t>
        </is>
      </c>
      <c r="E1482" s="42" t="n">
        <v>1</v>
      </c>
      <c r="F1482" s="42" t="inlineStr">
        <is>
          <t>FR-233</t>
        </is>
      </c>
      <c r="G1482" s="55">
        <f>IFERROR(INDEX('Semrush Data'!$A$1:$Z$20000,MATCH(A1482,'Semrush Data'!$A$1:$A$20000,0),MATCH("Volume",'Semrush Data'!$A$1:$Z$1,0)),"")</f>
        <v/>
      </c>
      <c r="H1482" s="42">
        <f>IFERROR(INDEX('Semrush Data'!$A$1:$Z$20000,MATCH(A1482,'Semrush Data'!$A$1:$A$20000,0),MATCH("Keyword Difficulty*",'Semrush Data'!$A$1:$Z$1,0)),"")</f>
        <v/>
      </c>
      <c r="I1482" s="56">
        <f>IFERROR(INDEX('Semrush Data'!$A$1:$Z$20000,MATCH(A1482,'Semrush Data'!$A$1:$A$20000,0),MATCH("CPC*",'Semrush Data'!$A$1:$Z$1,0)),"")</f>
        <v/>
      </c>
      <c r="J1482" s="42">
        <f>IFERROR(INDEX('Semrush Data'!$A$1:$Z$20000,MATCH(A1482,'Semrush Data'!$A$1:$A$20000,0),MATCH("Intent",'Semrush Data'!$A$1:$Z$1,0)),"")</f>
        <v/>
      </c>
    </row>
    <row r="1483" ht="15" customHeight="1" s="37">
      <c r="A1483" s="42" t="inlineStr">
        <is>
          <t>hemel affair eau de parfum</t>
        </is>
      </c>
      <c r="B1483" s="42" t="inlineStr">
        <is>
          <t>Product + type</t>
        </is>
      </c>
      <c r="C1483" s="42" t="n">
        <v>2</v>
      </c>
      <c r="D1483" s="42" t="n">
        <v>15</v>
      </c>
      <c r="E1483" s="42" t="n">
        <v>2</v>
      </c>
      <c r="F1483" s="42" t="inlineStr">
        <is>
          <t>FR-242, FR-243</t>
        </is>
      </c>
      <c r="G1483" s="55">
        <f>IFERROR(INDEX('Semrush Data'!$A$1:$Z$20000,MATCH(A1483,'Semrush Data'!$A$1:$A$20000,0),MATCH("Volume",'Semrush Data'!$A$1:$Z$1,0)),"")</f>
        <v/>
      </c>
      <c r="H1483" s="42">
        <f>IFERROR(INDEX('Semrush Data'!$A$1:$Z$20000,MATCH(A1483,'Semrush Data'!$A$1:$A$20000,0),MATCH("Keyword Difficulty*",'Semrush Data'!$A$1:$Z$1,0)),"")</f>
        <v/>
      </c>
      <c r="I1483" s="56">
        <f>IFERROR(INDEX('Semrush Data'!$A$1:$Z$20000,MATCH(A1483,'Semrush Data'!$A$1:$A$20000,0),MATCH("CPC*",'Semrush Data'!$A$1:$Z$1,0)),"")</f>
        <v/>
      </c>
      <c r="J1483" s="42">
        <f>IFERROR(INDEX('Semrush Data'!$A$1:$Z$20000,MATCH(A1483,'Semrush Data'!$A$1:$A$20000,0),MATCH("Intent",'Semrush Data'!$A$1:$Z$1,0)),"")</f>
        <v/>
      </c>
    </row>
    <row r="1484" ht="15" customHeight="1" s="37">
      <c r="A1484" s="42" t="inlineStr">
        <is>
          <t>hemel amethyst dream eau de parfum</t>
        </is>
      </c>
      <c r="B1484" s="42" t="inlineStr">
        <is>
          <t>Product + type</t>
        </is>
      </c>
      <c r="C1484" s="42" t="n">
        <v>2</v>
      </c>
      <c r="D1484" s="42" t="n">
        <v>15</v>
      </c>
      <c r="E1484" s="42" t="n">
        <v>1</v>
      </c>
      <c r="F1484" s="42" t="inlineStr">
        <is>
          <t>FR-237</t>
        </is>
      </c>
      <c r="G1484" s="55">
        <f>IFERROR(INDEX('Semrush Data'!$A$1:$Z$20000,MATCH(A1484,'Semrush Data'!$A$1:$A$20000,0),MATCH("Volume",'Semrush Data'!$A$1:$Z$1,0)),"")</f>
        <v/>
      </c>
      <c r="H1484" s="42">
        <f>IFERROR(INDEX('Semrush Data'!$A$1:$Z$20000,MATCH(A1484,'Semrush Data'!$A$1:$A$20000,0),MATCH("Keyword Difficulty*",'Semrush Data'!$A$1:$Z$1,0)),"")</f>
        <v/>
      </c>
      <c r="I1484" s="56">
        <f>IFERROR(INDEX('Semrush Data'!$A$1:$Z$20000,MATCH(A1484,'Semrush Data'!$A$1:$A$20000,0),MATCH("CPC*",'Semrush Data'!$A$1:$Z$1,0)),"")</f>
        <v/>
      </c>
      <c r="J1484" s="42">
        <f>IFERROR(INDEX('Semrush Data'!$A$1:$Z$20000,MATCH(A1484,'Semrush Data'!$A$1:$A$20000,0),MATCH("Intent",'Semrush Data'!$A$1:$Z$1,0)),"")</f>
        <v/>
      </c>
    </row>
    <row r="1485" ht="15" customHeight="1" s="37">
      <c r="A1485" s="42" t="inlineStr">
        <is>
          <t>hemel amethyst dream edp</t>
        </is>
      </c>
      <c r="B1485" s="42" t="inlineStr">
        <is>
          <t>Product + type</t>
        </is>
      </c>
      <c r="C1485" s="42" t="n">
        <v>2</v>
      </c>
      <c r="D1485" s="42" t="n">
        <v>15</v>
      </c>
      <c r="E1485" s="42" t="n">
        <v>1</v>
      </c>
      <c r="F1485" s="42" t="inlineStr">
        <is>
          <t>FR-238</t>
        </is>
      </c>
      <c r="G1485" s="55">
        <f>IFERROR(INDEX('Semrush Data'!$A$1:$Z$20000,MATCH(A1485,'Semrush Data'!$A$1:$A$20000,0),MATCH("Volume",'Semrush Data'!$A$1:$Z$1,0)),"")</f>
        <v/>
      </c>
      <c r="H1485" s="42">
        <f>IFERROR(INDEX('Semrush Data'!$A$1:$Z$20000,MATCH(A1485,'Semrush Data'!$A$1:$A$20000,0),MATCH("Keyword Difficulty*",'Semrush Data'!$A$1:$Z$1,0)),"")</f>
        <v/>
      </c>
      <c r="I1485" s="56">
        <f>IFERROR(INDEX('Semrush Data'!$A$1:$Z$20000,MATCH(A1485,'Semrush Data'!$A$1:$A$20000,0),MATCH("CPC*",'Semrush Data'!$A$1:$Z$1,0)),"")</f>
        <v/>
      </c>
      <c r="J1485" s="42">
        <f>IFERROR(INDEX('Semrush Data'!$A$1:$Z$20000,MATCH(A1485,'Semrush Data'!$A$1:$A$20000,0),MATCH("Intent",'Semrush Data'!$A$1:$Z$1,0)),"")</f>
        <v/>
      </c>
    </row>
    <row r="1486" ht="15" customHeight="1" s="37">
      <c r="A1486" s="42" t="inlineStr">
        <is>
          <t>hemel dorado eau de parfum</t>
        </is>
      </c>
      <c r="B1486" s="42" t="inlineStr">
        <is>
          <t>Product + type</t>
        </is>
      </c>
      <c r="C1486" s="42" t="n">
        <v>2</v>
      </c>
      <c r="D1486" s="42" t="n">
        <v>15</v>
      </c>
      <c r="E1486" s="42" t="n">
        <v>1</v>
      </c>
      <c r="F1486" s="42" t="inlineStr">
        <is>
          <t>FR-239</t>
        </is>
      </c>
      <c r="G1486" s="55">
        <f>IFERROR(INDEX('Semrush Data'!$A$1:$Z$20000,MATCH(A1486,'Semrush Data'!$A$1:$A$20000,0),MATCH("Volume",'Semrush Data'!$A$1:$Z$1,0)),"")</f>
        <v/>
      </c>
      <c r="H1486" s="42">
        <f>IFERROR(INDEX('Semrush Data'!$A$1:$Z$20000,MATCH(A1486,'Semrush Data'!$A$1:$A$20000,0),MATCH("Keyword Difficulty*",'Semrush Data'!$A$1:$Z$1,0)),"")</f>
        <v/>
      </c>
      <c r="I1486" s="56">
        <f>IFERROR(INDEX('Semrush Data'!$A$1:$Z$20000,MATCH(A1486,'Semrush Data'!$A$1:$A$20000,0),MATCH("CPC*",'Semrush Data'!$A$1:$Z$1,0)),"")</f>
        <v/>
      </c>
      <c r="J1486" s="42">
        <f>IFERROR(INDEX('Semrush Data'!$A$1:$Z$20000,MATCH(A1486,'Semrush Data'!$A$1:$A$20000,0),MATCH("Intent",'Semrush Data'!$A$1:$Z$1,0)),"")</f>
        <v/>
      </c>
    </row>
    <row r="1487" ht="15" customHeight="1" s="37">
      <c r="A1487" s="42" t="inlineStr">
        <is>
          <t>hemel favourite black eau de parfum</t>
        </is>
      </c>
      <c r="B1487" s="42" t="inlineStr">
        <is>
          <t>Product + type</t>
        </is>
      </c>
      <c r="C1487" s="42" t="n">
        <v>2</v>
      </c>
      <c r="D1487" s="42" t="n">
        <v>15</v>
      </c>
      <c r="E1487" s="42" t="n">
        <v>2</v>
      </c>
      <c r="F1487" s="42" t="inlineStr">
        <is>
          <t>FR-240, FR-241</t>
        </is>
      </c>
      <c r="G1487" s="55">
        <f>IFERROR(INDEX('Semrush Data'!$A$1:$Z$20000,MATCH(A1487,'Semrush Data'!$A$1:$A$20000,0),MATCH("Volume",'Semrush Data'!$A$1:$Z$1,0)),"")</f>
        <v/>
      </c>
      <c r="H1487" s="42">
        <f>IFERROR(INDEX('Semrush Data'!$A$1:$Z$20000,MATCH(A1487,'Semrush Data'!$A$1:$A$20000,0),MATCH("Keyword Difficulty*",'Semrush Data'!$A$1:$Z$1,0)),"")</f>
        <v/>
      </c>
      <c r="I1487" s="56">
        <f>IFERROR(INDEX('Semrush Data'!$A$1:$Z$20000,MATCH(A1487,'Semrush Data'!$A$1:$A$20000,0),MATCH("CPC*",'Semrush Data'!$A$1:$Z$1,0)),"")</f>
        <v/>
      </c>
      <c r="J1487" s="42">
        <f>IFERROR(INDEX('Semrush Data'!$A$1:$Z$20000,MATCH(A1487,'Semrush Data'!$A$1:$A$20000,0),MATCH("Intent",'Semrush Data'!$A$1:$Z$1,0)),"")</f>
        <v/>
      </c>
    </row>
    <row r="1488" ht="15" customHeight="1" s="37">
      <c r="A1488" s="42" t="inlineStr">
        <is>
          <t>hemel gris eau de parfum</t>
        </is>
      </c>
      <c r="B1488" s="42" t="inlineStr">
        <is>
          <t>Product + type</t>
        </is>
      </c>
      <c r="C1488" s="42" t="n">
        <v>2</v>
      </c>
      <c r="D1488" s="42" t="n">
        <v>15</v>
      </c>
      <c r="E1488" s="42" t="n">
        <v>1</v>
      </c>
      <c r="F1488" s="42" t="inlineStr">
        <is>
          <t>FR-244</t>
        </is>
      </c>
      <c r="G1488" s="55">
        <f>IFERROR(INDEX('Semrush Data'!$A$1:$Z$20000,MATCH(A1488,'Semrush Data'!$A$1:$A$20000,0),MATCH("Volume",'Semrush Data'!$A$1:$Z$1,0)),"")</f>
        <v/>
      </c>
      <c r="H1488" s="42">
        <f>IFERROR(INDEX('Semrush Data'!$A$1:$Z$20000,MATCH(A1488,'Semrush Data'!$A$1:$A$20000,0),MATCH("Keyword Difficulty*",'Semrush Data'!$A$1:$Z$1,0)),"")</f>
        <v/>
      </c>
      <c r="I1488" s="56">
        <f>IFERROR(INDEX('Semrush Data'!$A$1:$Z$20000,MATCH(A1488,'Semrush Data'!$A$1:$A$20000,0),MATCH("CPC*",'Semrush Data'!$A$1:$Z$1,0)),"")</f>
        <v/>
      </c>
      <c r="J1488" s="42">
        <f>IFERROR(INDEX('Semrush Data'!$A$1:$Z$20000,MATCH(A1488,'Semrush Data'!$A$1:$A$20000,0),MATCH("Intent",'Semrush Data'!$A$1:$Z$1,0)),"")</f>
        <v/>
      </c>
    </row>
    <row r="1489" ht="15" customHeight="1" s="37">
      <c r="A1489" s="42" t="inlineStr">
        <is>
          <t>hemel paris dorado edp</t>
        </is>
      </c>
      <c r="B1489" s="42" t="inlineStr">
        <is>
          <t>Product + type</t>
        </is>
      </c>
      <c r="C1489" s="42" t="n">
        <v>2</v>
      </c>
      <c r="D1489" s="42" t="n">
        <v>15</v>
      </c>
      <c r="E1489" s="42" t="n">
        <v>1</v>
      </c>
      <c r="F1489" s="42" t="inlineStr">
        <is>
          <t>FR-245</t>
        </is>
      </c>
      <c r="G1489" s="55">
        <f>IFERROR(INDEX('Semrush Data'!$A$1:$Z$20000,MATCH(A1489,'Semrush Data'!$A$1:$A$20000,0),MATCH("Volume",'Semrush Data'!$A$1:$Z$1,0)),"")</f>
        <v/>
      </c>
      <c r="H1489" s="42">
        <f>IFERROR(INDEX('Semrush Data'!$A$1:$Z$20000,MATCH(A1489,'Semrush Data'!$A$1:$A$20000,0),MATCH("Keyword Difficulty*",'Semrush Data'!$A$1:$Z$1,0)),"")</f>
        <v/>
      </c>
      <c r="I1489" s="56">
        <f>IFERROR(INDEX('Semrush Data'!$A$1:$Z$20000,MATCH(A1489,'Semrush Data'!$A$1:$A$20000,0),MATCH("CPC*",'Semrush Data'!$A$1:$Z$1,0)),"")</f>
        <v/>
      </c>
      <c r="J1489" s="42">
        <f>IFERROR(INDEX('Semrush Data'!$A$1:$Z$20000,MATCH(A1489,'Semrush Data'!$A$1:$A$20000,0),MATCH("Intent",'Semrush Data'!$A$1:$Z$1,0)),"")</f>
        <v/>
      </c>
    </row>
    <row r="1490" ht="15" customHeight="1" s="37">
      <c r="A1490" s="42" t="inlineStr">
        <is>
          <t>hemel paris gris for all eau de parfum</t>
        </is>
      </c>
      <c r="B1490" s="42" t="inlineStr">
        <is>
          <t>Product + type</t>
        </is>
      </c>
      <c r="C1490" s="42" t="n">
        <v>2</v>
      </c>
      <c r="D1490" s="42" t="n">
        <v>15</v>
      </c>
      <c r="E1490" s="42" t="n">
        <v>1</v>
      </c>
      <c r="F1490" s="42" t="inlineStr">
        <is>
          <t>FR-246</t>
        </is>
      </c>
      <c r="G1490" s="55">
        <f>IFERROR(INDEX('Semrush Data'!$A$1:$Z$20000,MATCH(A1490,'Semrush Data'!$A$1:$A$20000,0),MATCH("Volume",'Semrush Data'!$A$1:$Z$1,0)),"")</f>
        <v/>
      </c>
      <c r="H1490" s="42">
        <f>IFERROR(INDEX('Semrush Data'!$A$1:$Z$20000,MATCH(A1490,'Semrush Data'!$A$1:$A$20000,0),MATCH("Keyword Difficulty*",'Semrush Data'!$A$1:$Z$1,0)),"")</f>
        <v/>
      </c>
      <c r="I1490" s="56">
        <f>IFERROR(INDEX('Semrush Data'!$A$1:$Z$20000,MATCH(A1490,'Semrush Data'!$A$1:$A$20000,0),MATCH("CPC*",'Semrush Data'!$A$1:$Z$1,0)),"")</f>
        <v/>
      </c>
      <c r="J1490" s="42">
        <f>IFERROR(INDEX('Semrush Data'!$A$1:$Z$20000,MATCH(A1490,'Semrush Data'!$A$1:$A$20000,0),MATCH("Intent",'Semrush Data'!$A$1:$Z$1,0)),"")</f>
        <v/>
      </c>
    </row>
    <row r="1491" ht="15" customHeight="1" s="37">
      <c r="A1491" s="42" t="inlineStr">
        <is>
          <t>hemel patchouli for all eau de parfum</t>
        </is>
      </c>
      <c r="B1491" s="42" t="inlineStr">
        <is>
          <t>Product + type</t>
        </is>
      </c>
      <c r="C1491" s="42" t="n">
        <v>2</v>
      </c>
      <c r="D1491" s="42" t="n">
        <v>15</v>
      </c>
      <c r="E1491" s="42" t="n">
        <v>2</v>
      </c>
      <c r="F1491" s="42" t="inlineStr">
        <is>
          <t>FR-247, FR-248</t>
        </is>
      </c>
      <c r="G1491" s="55">
        <f>IFERROR(INDEX('Semrush Data'!$A$1:$Z$20000,MATCH(A1491,'Semrush Data'!$A$1:$A$20000,0),MATCH("Volume",'Semrush Data'!$A$1:$Z$1,0)),"")</f>
        <v/>
      </c>
      <c r="H1491" s="42">
        <f>IFERROR(INDEX('Semrush Data'!$A$1:$Z$20000,MATCH(A1491,'Semrush Data'!$A$1:$A$20000,0),MATCH("Keyword Difficulty*",'Semrush Data'!$A$1:$Z$1,0)),"")</f>
        <v/>
      </c>
      <c r="I1491" s="56">
        <f>IFERROR(INDEX('Semrush Data'!$A$1:$Z$20000,MATCH(A1491,'Semrush Data'!$A$1:$A$20000,0),MATCH("CPC*",'Semrush Data'!$A$1:$Z$1,0)),"")</f>
        <v/>
      </c>
      <c r="J1491" s="42">
        <f>IFERROR(INDEX('Semrush Data'!$A$1:$Z$20000,MATCH(A1491,'Semrush Data'!$A$1:$A$20000,0),MATCH("Intent",'Semrush Data'!$A$1:$Z$1,0)),"")</f>
        <v/>
      </c>
    </row>
    <row r="1492" ht="15" customHeight="1" s="37">
      <c r="A1492" s="42" t="inlineStr">
        <is>
          <t>hemel plateado eau de parfum</t>
        </is>
      </c>
      <c r="B1492" s="42" t="inlineStr">
        <is>
          <t>Product + type</t>
        </is>
      </c>
      <c r="C1492" s="42" t="n">
        <v>2</v>
      </c>
      <c r="D1492" s="42" t="n">
        <v>15</v>
      </c>
      <c r="E1492" s="42" t="n">
        <v>2</v>
      </c>
      <c r="F1492" s="42" t="inlineStr">
        <is>
          <t>FR-249, FR-250</t>
        </is>
      </c>
      <c r="G1492" s="55">
        <f>IFERROR(INDEX('Semrush Data'!$A$1:$Z$20000,MATCH(A1492,'Semrush Data'!$A$1:$A$20000,0),MATCH("Volume",'Semrush Data'!$A$1:$Z$1,0)),"")</f>
        <v/>
      </c>
      <c r="H1492" s="42">
        <f>IFERROR(INDEX('Semrush Data'!$A$1:$Z$20000,MATCH(A1492,'Semrush Data'!$A$1:$A$20000,0),MATCH("Keyword Difficulty*",'Semrush Data'!$A$1:$Z$1,0)),"")</f>
        <v/>
      </c>
      <c r="I1492" s="56">
        <f>IFERROR(INDEX('Semrush Data'!$A$1:$Z$20000,MATCH(A1492,'Semrush Data'!$A$1:$A$20000,0),MATCH("CPC*",'Semrush Data'!$A$1:$Z$1,0)),"")</f>
        <v/>
      </c>
      <c r="J1492" s="42">
        <f>IFERROR(INDEX('Semrush Data'!$A$1:$Z$20000,MATCH(A1492,'Semrush Data'!$A$1:$A$20000,0),MATCH("Intent",'Semrush Data'!$A$1:$Z$1,0)),"")</f>
        <v/>
      </c>
    </row>
    <row r="1493" ht="15" customHeight="1" s="37">
      <c r="A1493" s="42" t="inlineStr">
        <is>
          <t>hemel rosado eau de parfum</t>
        </is>
      </c>
      <c r="B1493" s="42" t="inlineStr">
        <is>
          <t>Product + type</t>
        </is>
      </c>
      <c r="C1493" s="42" t="n">
        <v>2</v>
      </c>
      <c r="D1493" s="42" t="n">
        <v>15</v>
      </c>
      <c r="E1493" s="42" t="n">
        <v>2</v>
      </c>
      <c r="F1493" s="42" t="inlineStr">
        <is>
          <t>FR-251, FR-252</t>
        </is>
      </c>
      <c r="G1493" s="55">
        <f>IFERROR(INDEX('Semrush Data'!$A$1:$Z$20000,MATCH(A1493,'Semrush Data'!$A$1:$A$20000,0),MATCH("Volume",'Semrush Data'!$A$1:$Z$1,0)),"")</f>
        <v/>
      </c>
      <c r="H1493" s="42">
        <f>IFERROR(INDEX('Semrush Data'!$A$1:$Z$20000,MATCH(A1493,'Semrush Data'!$A$1:$A$20000,0),MATCH("Keyword Difficulty*",'Semrush Data'!$A$1:$Z$1,0)),"")</f>
        <v/>
      </c>
      <c r="I1493" s="56">
        <f>IFERROR(INDEX('Semrush Data'!$A$1:$Z$20000,MATCH(A1493,'Semrush Data'!$A$1:$A$20000,0),MATCH("CPC*",'Semrush Data'!$A$1:$Z$1,0)),"")</f>
        <v/>
      </c>
      <c r="J1493" s="42">
        <f>IFERROR(INDEX('Semrush Data'!$A$1:$Z$20000,MATCH(A1493,'Semrush Data'!$A$1:$A$20000,0),MATCH("Intent",'Semrush Data'!$A$1:$Z$1,0)),"")</f>
        <v/>
      </c>
    </row>
    <row r="1494" ht="15" customHeight="1" s="37">
      <c r="A1494" s="42" t="inlineStr">
        <is>
          <t>hemel valley of diamond eau de parfum</t>
        </is>
      </c>
      <c r="B1494" s="42" t="inlineStr">
        <is>
          <t>Product + type</t>
        </is>
      </c>
      <c r="C1494" s="42" t="n">
        <v>2</v>
      </c>
      <c r="D1494" s="42" t="n">
        <v>15</v>
      </c>
      <c r="E1494" s="42" t="n">
        <v>2</v>
      </c>
      <c r="F1494" s="42" t="inlineStr">
        <is>
          <t>FR-253, FR-254</t>
        </is>
      </c>
      <c r="G1494" s="55">
        <f>IFERROR(INDEX('Semrush Data'!$A$1:$Z$20000,MATCH(A1494,'Semrush Data'!$A$1:$A$20000,0),MATCH("Volume",'Semrush Data'!$A$1:$Z$1,0)),"")</f>
        <v/>
      </c>
      <c r="H1494" s="42">
        <f>IFERROR(INDEX('Semrush Data'!$A$1:$Z$20000,MATCH(A1494,'Semrush Data'!$A$1:$A$20000,0),MATCH("Keyword Difficulty*",'Semrush Data'!$A$1:$Z$1,0)),"")</f>
        <v/>
      </c>
      <c r="I1494" s="56">
        <f>IFERROR(INDEX('Semrush Data'!$A$1:$Z$20000,MATCH(A1494,'Semrush Data'!$A$1:$A$20000,0),MATCH("CPC*",'Semrush Data'!$A$1:$Z$1,0)),"")</f>
        <v/>
      </c>
      <c r="J1494" s="42">
        <f>IFERROR(INDEX('Semrush Data'!$A$1:$Z$20000,MATCH(A1494,'Semrush Data'!$A$1:$A$20000,0),MATCH("Intent",'Semrush Data'!$A$1:$Z$1,0)),"")</f>
        <v/>
      </c>
    </row>
    <row r="1495" ht="15" customHeight="1" s="37">
      <c r="A1495" s="42" t="inlineStr">
        <is>
          <t>hermes hermes un jardin a cythere miniature edt</t>
        </is>
      </c>
      <c r="B1495" s="42" t="inlineStr">
        <is>
          <t>Product + type</t>
        </is>
      </c>
      <c r="C1495" s="42" t="n">
        <v>2</v>
      </c>
      <c r="D1495" s="42" t="n">
        <v>15</v>
      </c>
      <c r="E1495" s="42" t="n">
        <v>1</v>
      </c>
      <c r="F1495" s="42" t="inlineStr">
        <is>
          <t>FR-255</t>
        </is>
      </c>
      <c r="G1495" s="55">
        <f>IFERROR(INDEX('Semrush Data'!$A$1:$Z$20000,MATCH(A1495,'Semrush Data'!$A$1:$A$20000,0),MATCH("Volume",'Semrush Data'!$A$1:$Z$1,0)),"")</f>
        <v/>
      </c>
      <c r="H1495" s="42">
        <f>IFERROR(INDEX('Semrush Data'!$A$1:$Z$20000,MATCH(A1495,'Semrush Data'!$A$1:$A$20000,0),MATCH("Keyword Difficulty*",'Semrush Data'!$A$1:$Z$1,0)),"")</f>
        <v/>
      </c>
      <c r="I1495" s="56">
        <f>IFERROR(INDEX('Semrush Data'!$A$1:$Z$20000,MATCH(A1495,'Semrush Data'!$A$1:$A$20000,0),MATCH("CPC*",'Semrush Data'!$A$1:$Z$1,0)),"")</f>
        <v/>
      </c>
      <c r="J1495" s="42">
        <f>IFERROR(INDEX('Semrush Data'!$A$1:$Z$20000,MATCH(A1495,'Semrush Data'!$A$1:$A$20000,0),MATCH("Intent",'Semrush Data'!$A$1:$Z$1,0)),"")</f>
        <v/>
      </c>
    </row>
    <row r="1496" ht="15" customHeight="1" s="37">
      <c r="A1496" s="42" t="inlineStr">
        <is>
          <t>hermes un jardin a cythere miniature eau de toilette</t>
        </is>
      </c>
      <c r="B1496" s="42" t="inlineStr">
        <is>
          <t>Product + type</t>
        </is>
      </c>
      <c r="C1496" s="42" t="n">
        <v>2</v>
      </c>
      <c r="D1496" s="42" t="n">
        <v>15</v>
      </c>
      <c r="E1496" s="42" t="n">
        <v>1</v>
      </c>
      <c r="F1496" s="42" t="inlineStr">
        <is>
          <t>FR-338</t>
        </is>
      </c>
      <c r="G1496" s="55">
        <f>IFERROR(INDEX('Semrush Data'!$A$1:$Z$20000,MATCH(A1496,'Semrush Data'!$A$1:$A$20000,0),MATCH("Volume",'Semrush Data'!$A$1:$Z$1,0)),"")</f>
        <v/>
      </c>
      <c r="H1496" s="42">
        <f>IFERROR(INDEX('Semrush Data'!$A$1:$Z$20000,MATCH(A1496,'Semrush Data'!$A$1:$A$20000,0),MATCH("Keyword Difficulty*",'Semrush Data'!$A$1:$Z$1,0)),"")</f>
        <v/>
      </c>
      <c r="I1496" s="56">
        <f>IFERROR(INDEX('Semrush Data'!$A$1:$Z$20000,MATCH(A1496,'Semrush Data'!$A$1:$A$20000,0),MATCH("CPC*",'Semrush Data'!$A$1:$Z$1,0)),"")</f>
        <v/>
      </c>
      <c r="J1496" s="42">
        <f>IFERROR(INDEX('Semrush Data'!$A$1:$Z$20000,MATCH(A1496,'Semrush Data'!$A$1:$A$20000,0),MATCH("Intent",'Semrush Data'!$A$1:$Z$1,0)),"")</f>
        <v/>
      </c>
    </row>
    <row r="1497" ht="15" customHeight="1" s="37">
      <c r="A1497" s="42" t="inlineStr">
        <is>
          <t>hermes un jardin en mediterranee miniature edt</t>
        </is>
      </c>
      <c r="B1497" s="42" t="inlineStr">
        <is>
          <t>Product + type</t>
        </is>
      </c>
      <c r="C1497" s="42" t="n">
        <v>2</v>
      </c>
      <c r="D1497" s="42" t="n">
        <v>15</v>
      </c>
      <c r="E1497" s="42" t="n">
        <v>1</v>
      </c>
      <c r="F1497" s="42" t="inlineStr">
        <is>
          <t>FR-336</t>
        </is>
      </c>
      <c r="G1497" s="55">
        <f>IFERROR(INDEX('Semrush Data'!$A$1:$Z$20000,MATCH(A1497,'Semrush Data'!$A$1:$A$20000,0),MATCH("Volume",'Semrush Data'!$A$1:$Z$1,0)),"")</f>
        <v/>
      </c>
      <c r="H1497" s="42">
        <f>IFERROR(INDEX('Semrush Data'!$A$1:$Z$20000,MATCH(A1497,'Semrush Data'!$A$1:$A$20000,0),MATCH("Keyword Difficulty*",'Semrush Data'!$A$1:$Z$1,0)),"")</f>
        <v/>
      </c>
      <c r="I1497" s="56">
        <f>IFERROR(INDEX('Semrush Data'!$A$1:$Z$20000,MATCH(A1497,'Semrush Data'!$A$1:$A$20000,0),MATCH("CPC*",'Semrush Data'!$A$1:$Z$1,0)),"")</f>
        <v/>
      </c>
      <c r="J1497" s="42">
        <f>IFERROR(INDEX('Semrush Data'!$A$1:$Z$20000,MATCH(A1497,'Semrush Data'!$A$1:$A$20000,0),MATCH("Intent",'Semrush Data'!$A$1:$Z$1,0)),"")</f>
        <v/>
      </c>
    </row>
    <row r="1498" ht="15" customHeight="1" s="37">
      <c r="A1498" s="42" t="inlineStr">
        <is>
          <t>hermes un jardin sur le toit miniature eau de toilette</t>
        </is>
      </c>
      <c r="B1498" s="42" t="inlineStr">
        <is>
          <t>Product + type</t>
        </is>
      </c>
      <c r="C1498" s="42" t="n">
        <v>2</v>
      </c>
      <c r="D1498" s="42" t="n">
        <v>15</v>
      </c>
      <c r="E1498" s="42" t="n">
        <v>1</v>
      </c>
      <c r="F1498" s="42" t="inlineStr">
        <is>
          <t>FR-337</t>
        </is>
      </c>
      <c r="G1498" s="55">
        <f>IFERROR(INDEX('Semrush Data'!$A$1:$Z$20000,MATCH(A1498,'Semrush Data'!$A$1:$A$20000,0),MATCH("Volume",'Semrush Data'!$A$1:$Z$1,0)),"")</f>
        <v/>
      </c>
      <c r="H1498" s="42">
        <f>IFERROR(INDEX('Semrush Data'!$A$1:$Z$20000,MATCH(A1498,'Semrush Data'!$A$1:$A$20000,0),MATCH("Keyword Difficulty*",'Semrush Data'!$A$1:$Z$1,0)),"")</f>
        <v/>
      </c>
      <c r="I1498" s="56">
        <f>IFERROR(INDEX('Semrush Data'!$A$1:$Z$20000,MATCH(A1498,'Semrush Data'!$A$1:$A$20000,0),MATCH("CPC*",'Semrush Data'!$A$1:$Z$1,0)),"")</f>
        <v/>
      </c>
      <c r="J1498" s="42">
        <f>IFERROR(INDEX('Semrush Data'!$A$1:$Z$20000,MATCH(A1498,'Semrush Data'!$A$1:$A$20000,0),MATCH("Intent",'Semrush Data'!$A$1:$Z$1,0)),"")</f>
        <v/>
      </c>
    </row>
    <row r="1499" ht="15" customHeight="1" s="37">
      <c r="A1499" s="42" t="inlineStr">
        <is>
          <t>hollister festival vibes eau de toilette</t>
        </is>
      </c>
      <c r="B1499" s="42" t="inlineStr">
        <is>
          <t>Product + type</t>
        </is>
      </c>
      <c r="C1499" s="42" t="n">
        <v>2</v>
      </c>
      <c r="D1499" s="42" t="inlineStr">
        <is>
          <t>T2-2</t>
        </is>
      </c>
      <c r="E1499" s="42" t="n">
        <v>1</v>
      </c>
      <c r="F1499" s="42" t="inlineStr">
        <is>
          <t>FR-256</t>
        </is>
      </c>
      <c r="G1499" s="55">
        <f>IFERROR(INDEX('Semrush Data'!$A$1:$Z$20000,MATCH(A1499,'Semrush Data'!$A$1:$A$20000,0),MATCH("Volume",'Semrush Data'!$A$1:$Z$1,0)),"")</f>
        <v/>
      </c>
      <c r="H1499" s="42">
        <f>IFERROR(INDEX('Semrush Data'!$A$1:$Z$20000,MATCH(A1499,'Semrush Data'!$A$1:$A$20000,0),MATCH("Keyword Difficulty*",'Semrush Data'!$A$1:$Z$1,0)),"")</f>
        <v/>
      </c>
      <c r="I1499" s="56">
        <f>IFERROR(INDEX('Semrush Data'!$A$1:$Z$20000,MATCH(A1499,'Semrush Data'!$A$1:$A$20000,0),MATCH("CPC*",'Semrush Data'!$A$1:$Z$1,0)),"")</f>
        <v/>
      </c>
      <c r="J1499" s="42">
        <f>IFERROR(INDEX('Semrush Data'!$A$1:$Z$20000,MATCH(A1499,'Semrush Data'!$A$1:$A$20000,0),MATCH("Intent",'Semrush Data'!$A$1:$Z$1,0)),"")</f>
        <v/>
      </c>
    </row>
    <row r="1500" ht="15" customHeight="1" s="37">
      <c r="A1500" s="42" t="inlineStr">
        <is>
          <t>hugo boss alive eau de parfum</t>
        </is>
      </c>
      <c r="B1500" s="42" t="inlineStr">
        <is>
          <t>Product + type</t>
        </is>
      </c>
      <c r="C1500" s="42" t="n">
        <v>2</v>
      </c>
      <c r="D1500" s="42" t="inlineStr">
        <is>
          <t>T2-1</t>
        </is>
      </c>
      <c r="E1500" s="42" t="n">
        <v>1</v>
      </c>
      <c r="F1500" s="42" t="inlineStr">
        <is>
          <t>FR-261</t>
        </is>
      </c>
      <c r="G1500" s="55">
        <f>IFERROR(INDEX('Semrush Data'!$A$1:$Z$20000,MATCH(A1500,'Semrush Data'!$A$1:$A$20000,0),MATCH("Volume",'Semrush Data'!$A$1:$Z$1,0)),"")</f>
        <v/>
      </c>
      <c r="H1500" s="42">
        <f>IFERROR(INDEX('Semrush Data'!$A$1:$Z$20000,MATCH(A1500,'Semrush Data'!$A$1:$A$20000,0),MATCH("Keyword Difficulty*",'Semrush Data'!$A$1:$Z$1,0)),"")</f>
        <v/>
      </c>
      <c r="I1500" s="56">
        <f>IFERROR(INDEX('Semrush Data'!$A$1:$Z$20000,MATCH(A1500,'Semrush Data'!$A$1:$A$20000,0),MATCH("CPC*",'Semrush Data'!$A$1:$Z$1,0)),"")</f>
        <v/>
      </c>
      <c r="J1500" s="42">
        <f>IFERROR(INDEX('Semrush Data'!$A$1:$Z$20000,MATCH(A1500,'Semrush Data'!$A$1:$A$20000,0),MATCH("Intent",'Semrush Data'!$A$1:$Z$1,0)),"")</f>
        <v/>
      </c>
    </row>
    <row r="1501" ht="15" customHeight="1" s="37">
      <c r="A1501" s="42" t="inlineStr">
        <is>
          <t>hugo boss boss the scent tester eau de toilette</t>
        </is>
      </c>
      <c r="B1501" s="42" t="inlineStr">
        <is>
          <t>Product + type</t>
        </is>
      </c>
      <c r="C1501" s="42" t="n">
        <v>2</v>
      </c>
      <c r="D1501" s="42" t="n">
        <v>15</v>
      </c>
      <c r="E1501" s="42" t="n">
        <v>1</v>
      </c>
      <c r="F1501" s="42" t="inlineStr">
        <is>
          <t>FR-259</t>
        </is>
      </c>
      <c r="G1501" s="55">
        <f>IFERROR(INDEX('Semrush Data'!$A$1:$Z$20000,MATCH(A1501,'Semrush Data'!$A$1:$A$20000,0),MATCH("Volume",'Semrush Data'!$A$1:$Z$1,0)),"")</f>
        <v/>
      </c>
      <c r="H1501" s="42">
        <f>IFERROR(INDEX('Semrush Data'!$A$1:$Z$20000,MATCH(A1501,'Semrush Data'!$A$1:$A$20000,0),MATCH("Keyword Difficulty*",'Semrush Data'!$A$1:$Z$1,0)),"")</f>
        <v/>
      </c>
      <c r="I1501" s="56">
        <f>IFERROR(INDEX('Semrush Data'!$A$1:$Z$20000,MATCH(A1501,'Semrush Data'!$A$1:$A$20000,0),MATCH("CPC*",'Semrush Data'!$A$1:$Z$1,0)),"")</f>
        <v/>
      </c>
      <c r="J1501" s="42">
        <f>IFERROR(INDEX('Semrush Data'!$A$1:$Z$20000,MATCH(A1501,'Semrush Data'!$A$1:$A$20000,0),MATCH("Intent",'Semrush Data'!$A$1:$Z$1,0)),"")</f>
        <v/>
      </c>
    </row>
    <row r="1502" ht="15" customHeight="1" s="37">
      <c r="A1502" s="42" t="inlineStr">
        <is>
          <t>hugo boss bottled eau de parfum</t>
        </is>
      </c>
      <c r="B1502" s="42" t="inlineStr">
        <is>
          <t>Product + type</t>
        </is>
      </c>
      <c r="C1502" s="42" t="n">
        <v>2</v>
      </c>
      <c r="D1502" s="42" t="inlineStr">
        <is>
          <t>T2-1</t>
        </is>
      </c>
      <c r="E1502" s="42" t="n">
        <v>1</v>
      </c>
      <c r="F1502" s="42" t="inlineStr">
        <is>
          <t>FR-257</t>
        </is>
      </c>
      <c r="G1502" s="55">
        <f>IFERROR(INDEX('Semrush Data'!$A$1:$Z$20000,MATCH(A1502,'Semrush Data'!$A$1:$A$20000,0),MATCH("Volume",'Semrush Data'!$A$1:$Z$1,0)),"")</f>
        <v/>
      </c>
      <c r="H1502" s="42">
        <f>IFERROR(INDEX('Semrush Data'!$A$1:$Z$20000,MATCH(A1502,'Semrush Data'!$A$1:$A$20000,0),MATCH("Keyword Difficulty*",'Semrush Data'!$A$1:$Z$1,0)),"")</f>
        <v/>
      </c>
      <c r="I1502" s="56">
        <f>IFERROR(INDEX('Semrush Data'!$A$1:$Z$20000,MATCH(A1502,'Semrush Data'!$A$1:$A$20000,0),MATCH("CPC*",'Semrush Data'!$A$1:$Z$1,0)),"")</f>
        <v/>
      </c>
      <c r="J1502" s="42">
        <f>IFERROR(INDEX('Semrush Data'!$A$1:$Z$20000,MATCH(A1502,'Semrush Data'!$A$1:$A$20000,0),MATCH("Intent",'Semrush Data'!$A$1:$Z$1,0)),"")</f>
        <v/>
      </c>
    </row>
    <row r="1503" ht="15" customHeight="1" s="37">
      <c r="A1503" s="42" t="inlineStr">
        <is>
          <t>hugo boss hugo man eau de toilette</t>
        </is>
      </c>
      <c r="B1503" s="42" t="inlineStr">
        <is>
          <t>Product + type</t>
        </is>
      </c>
      <c r="C1503" s="42" t="n">
        <v>2</v>
      </c>
      <c r="D1503" s="42" t="inlineStr">
        <is>
          <t>T2-1</t>
        </is>
      </c>
      <c r="E1503" s="42" t="n">
        <v>1</v>
      </c>
      <c r="F1503" s="42" t="inlineStr">
        <is>
          <t>FR-260</t>
        </is>
      </c>
      <c r="G1503" s="55">
        <f>IFERROR(INDEX('Semrush Data'!$A$1:$Z$20000,MATCH(A1503,'Semrush Data'!$A$1:$A$20000,0),MATCH("Volume",'Semrush Data'!$A$1:$Z$1,0)),"")</f>
        <v/>
      </c>
      <c r="H1503" s="42">
        <f>IFERROR(INDEX('Semrush Data'!$A$1:$Z$20000,MATCH(A1503,'Semrush Data'!$A$1:$A$20000,0),MATCH("Keyword Difficulty*",'Semrush Data'!$A$1:$Z$1,0)),"")</f>
        <v/>
      </c>
      <c r="I1503" s="56">
        <f>IFERROR(INDEX('Semrush Data'!$A$1:$Z$20000,MATCH(A1503,'Semrush Data'!$A$1:$A$20000,0),MATCH("CPC*",'Semrush Data'!$A$1:$Z$1,0)),"")</f>
        <v/>
      </c>
      <c r="J1503" s="42">
        <f>IFERROR(INDEX('Semrush Data'!$A$1:$Z$20000,MATCH(A1503,'Semrush Data'!$A$1:$A$20000,0),MATCH("Intent",'Semrush Data'!$A$1:$Z$1,0)),"")</f>
        <v/>
      </c>
    </row>
    <row r="1504" ht="15" customHeight="1" s="37">
      <c r="A1504" s="42" t="inlineStr">
        <is>
          <t>hugo boss the collection confident oud intense eau de parfum</t>
        </is>
      </c>
      <c r="B1504" s="42" t="inlineStr">
        <is>
          <t>Product + type</t>
        </is>
      </c>
      <c r="C1504" s="42" t="n">
        <v>2</v>
      </c>
      <c r="D1504" s="42" t="n">
        <v>16</v>
      </c>
      <c r="E1504" s="42" t="n">
        <v>1</v>
      </c>
      <c r="F1504" s="42" t="inlineStr">
        <is>
          <t>FR-258</t>
        </is>
      </c>
      <c r="G1504" s="55">
        <f>IFERROR(INDEX('Semrush Data'!$A$1:$Z$20000,MATCH(A1504,'Semrush Data'!$A$1:$A$20000,0),MATCH("Volume",'Semrush Data'!$A$1:$Z$1,0)),"")</f>
        <v/>
      </c>
      <c r="H1504" s="42">
        <f>IFERROR(INDEX('Semrush Data'!$A$1:$Z$20000,MATCH(A1504,'Semrush Data'!$A$1:$A$20000,0),MATCH("Keyword Difficulty*",'Semrush Data'!$A$1:$Z$1,0)),"")</f>
        <v/>
      </c>
      <c r="I1504" s="56">
        <f>IFERROR(INDEX('Semrush Data'!$A$1:$Z$20000,MATCH(A1504,'Semrush Data'!$A$1:$A$20000,0),MATCH("CPC*",'Semrush Data'!$A$1:$Z$1,0)),"")</f>
        <v/>
      </c>
      <c r="J1504" s="42">
        <f>IFERROR(INDEX('Semrush Data'!$A$1:$Z$20000,MATCH(A1504,'Semrush Data'!$A$1:$A$20000,0),MATCH("Intent",'Semrush Data'!$A$1:$Z$1,0)),"")</f>
        <v/>
      </c>
    </row>
    <row r="1505" ht="15" customHeight="1" s="37">
      <c r="A1505" s="42" t="inlineStr">
        <is>
          <t>jean paul gaultier scandal gold eau de parfum</t>
        </is>
      </c>
      <c r="B1505" s="42" t="inlineStr">
        <is>
          <t>Product + type</t>
        </is>
      </c>
      <c r="C1505" s="42" t="n">
        <v>2</v>
      </c>
      <c r="D1505" s="42" t="n">
        <v>16</v>
      </c>
      <c r="E1505" s="42" t="n">
        <v>1</v>
      </c>
      <c r="F1505" s="42" t="inlineStr">
        <is>
          <t>FR-262</t>
        </is>
      </c>
      <c r="G1505" s="55">
        <f>IFERROR(INDEX('Semrush Data'!$A$1:$Z$20000,MATCH(A1505,'Semrush Data'!$A$1:$A$20000,0),MATCH("Volume",'Semrush Data'!$A$1:$Z$1,0)),"")</f>
        <v/>
      </c>
      <c r="H1505" s="42">
        <f>IFERROR(INDEX('Semrush Data'!$A$1:$Z$20000,MATCH(A1505,'Semrush Data'!$A$1:$A$20000,0),MATCH("Keyword Difficulty*",'Semrush Data'!$A$1:$Z$1,0)),"")</f>
        <v/>
      </c>
      <c r="I1505" s="56">
        <f>IFERROR(INDEX('Semrush Data'!$A$1:$Z$20000,MATCH(A1505,'Semrush Data'!$A$1:$A$20000,0),MATCH("CPC*",'Semrush Data'!$A$1:$Z$1,0)),"")</f>
        <v/>
      </c>
      <c r="J1505" s="42">
        <f>IFERROR(INDEX('Semrush Data'!$A$1:$Z$20000,MATCH(A1505,'Semrush Data'!$A$1:$A$20000,0),MATCH("Intent",'Semrush Data'!$A$1:$Z$1,0)),"")</f>
        <v/>
      </c>
    </row>
    <row r="1506" ht="15" customHeight="1" s="37">
      <c r="A1506" s="42" t="inlineStr">
        <is>
          <t>jimmy choo i want choo forever miniature eau de parfum</t>
        </is>
      </c>
      <c r="B1506" s="42" t="inlineStr">
        <is>
          <t>Product + type</t>
        </is>
      </c>
      <c r="C1506" s="42" t="n">
        <v>2</v>
      </c>
      <c r="D1506" s="42" t="n">
        <v>16</v>
      </c>
      <c r="E1506" s="42" t="n">
        <v>1</v>
      </c>
      <c r="F1506" s="42" t="inlineStr">
        <is>
          <t>FR-264</t>
        </is>
      </c>
      <c r="G1506" s="55">
        <f>IFERROR(INDEX('Semrush Data'!$A$1:$Z$20000,MATCH(A1506,'Semrush Data'!$A$1:$A$20000,0),MATCH("Volume",'Semrush Data'!$A$1:$Z$1,0)),"")</f>
        <v/>
      </c>
      <c r="H1506" s="42">
        <f>IFERROR(INDEX('Semrush Data'!$A$1:$Z$20000,MATCH(A1506,'Semrush Data'!$A$1:$A$20000,0),MATCH("Keyword Difficulty*",'Semrush Data'!$A$1:$Z$1,0)),"")</f>
        <v/>
      </c>
      <c r="I1506" s="56">
        <f>IFERROR(INDEX('Semrush Data'!$A$1:$Z$20000,MATCH(A1506,'Semrush Data'!$A$1:$A$20000,0),MATCH("CPC*",'Semrush Data'!$A$1:$Z$1,0)),"")</f>
        <v/>
      </c>
      <c r="J1506" s="42">
        <f>IFERROR(INDEX('Semrush Data'!$A$1:$Z$20000,MATCH(A1506,'Semrush Data'!$A$1:$A$20000,0),MATCH("Intent",'Semrush Data'!$A$1:$Z$1,0)),"")</f>
        <v/>
      </c>
    </row>
    <row r="1507" ht="15" customHeight="1" s="37">
      <c r="A1507" s="42" t="inlineStr">
        <is>
          <t>jo milano game of spades wildcard for parfum , 3.4 ounce parfum</t>
        </is>
      </c>
      <c r="B1507" s="42" t="inlineStr">
        <is>
          <t>Product + type</t>
        </is>
      </c>
      <c r="C1507" s="42" t="n">
        <v>2</v>
      </c>
      <c r="D1507" s="42" t="n">
        <v>16</v>
      </c>
      <c r="E1507" s="42" t="n">
        <v>1</v>
      </c>
      <c r="F1507" s="42" t="inlineStr">
        <is>
          <t>FR-267</t>
        </is>
      </c>
      <c r="G1507" s="55">
        <f>IFERROR(INDEX('Semrush Data'!$A$1:$Z$20000,MATCH(A1507,'Semrush Data'!$A$1:$A$20000,0),MATCH("Volume",'Semrush Data'!$A$1:$Z$1,0)),"")</f>
        <v/>
      </c>
      <c r="H1507" s="42">
        <f>IFERROR(INDEX('Semrush Data'!$A$1:$Z$20000,MATCH(A1507,'Semrush Data'!$A$1:$A$20000,0),MATCH("Keyword Difficulty*",'Semrush Data'!$A$1:$Z$1,0)),"")</f>
        <v/>
      </c>
      <c r="I1507" s="56">
        <f>IFERROR(INDEX('Semrush Data'!$A$1:$Z$20000,MATCH(A1507,'Semrush Data'!$A$1:$A$20000,0),MATCH("CPC*",'Semrush Data'!$A$1:$Z$1,0)),"")</f>
        <v/>
      </c>
      <c r="J1507" s="42">
        <f>IFERROR(INDEX('Semrush Data'!$A$1:$Z$20000,MATCH(A1507,'Semrush Data'!$A$1:$A$20000,0),MATCH("Intent",'Semrush Data'!$A$1:$Z$1,0)),"")</f>
        <v/>
      </c>
    </row>
    <row r="1508" ht="15" customHeight="1" s="37">
      <c r="A1508" s="42" t="inlineStr">
        <is>
          <t>john varvatos artisan eau de toilette</t>
        </is>
      </c>
      <c r="B1508" s="42" t="inlineStr">
        <is>
          <t>Product + type</t>
        </is>
      </c>
      <c r="C1508" s="42" t="n">
        <v>2</v>
      </c>
      <c r="D1508" s="42" t="inlineStr">
        <is>
          <t>T2-1</t>
        </is>
      </c>
      <c r="E1508" s="42" t="n">
        <v>1</v>
      </c>
      <c r="F1508" s="42" t="inlineStr">
        <is>
          <t>FR-268</t>
        </is>
      </c>
      <c r="G1508" s="55">
        <f>IFERROR(INDEX('Semrush Data'!$A$1:$Z$20000,MATCH(A1508,'Semrush Data'!$A$1:$A$20000,0),MATCH("Volume",'Semrush Data'!$A$1:$Z$1,0)),"")</f>
        <v/>
      </c>
      <c r="H1508" s="42">
        <f>IFERROR(INDEX('Semrush Data'!$A$1:$Z$20000,MATCH(A1508,'Semrush Data'!$A$1:$A$20000,0),MATCH("Keyword Difficulty*",'Semrush Data'!$A$1:$Z$1,0)),"")</f>
        <v/>
      </c>
      <c r="I1508" s="56">
        <f>IFERROR(INDEX('Semrush Data'!$A$1:$Z$20000,MATCH(A1508,'Semrush Data'!$A$1:$A$20000,0),MATCH("CPC*",'Semrush Data'!$A$1:$Z$1,0)),"")</f>
        <v/>
      </c>
      <c r="J1508" s="42">
        <f>IFERROR(INDEX('Semrush Data'!$A$1:$Z$20000,MATCH(A1508,'Semrush Data'!$A$1:$A$20000,0),MATCH("Intent",'Semrush Data'!$A$1:$Z$1,0)),"")</f>
        <v/>
      </c>
    </row>
    <row r="1509" ht="15" customHeight="1" s="37">
      <c r="A1509" s="42" t="inlineStr">
        <is>
          <t>joop! homme eau de toilette</t>
        </is>
      </c>
      <c r="B1509" s="42" t="inlineStr">
        <is>
          <t>Product + type</t>
        </is>
      </c>
      <c r="C1509" s="42" t="n">
        <v>2</v>
      </c>
      <c r="D1509" s="42" t="inlineStr">
        <is>
          <t>T2-1</t>
        </is>
      </c>
      <c r="E1509" s="42" t="n">
        <v>1</v>
      </c>
      <c r="F1509" s="42" t="inlineStr">
        <is>
          <t>FR-269</t>
        </is>
      </c>
      <c r="G1509" s="55">
        <f>IFERROR(INDEX('Semrush Data'!$A$1:$Z$20000,MATCH(A1509,'Semrush Data'!$A$1:$A$20000,0),MATCH("Volume",'Semrush Data'!$A$1:$Z$1,0)),"")</f>
        <v/>
      </c>
      <c r="H1509" s="42">
        <f>IFERROR(INDEX('Semrush Data'!$A$1:$Z$20000,MATCH(A1509,'Semrush Data'!$A$1:$A$20000,0),MATCH("Keyword Difficulty*",'Semrush Data'!$A$1:$Z$1,0)),"")</f>
        <v/>
      </c>
      <c r="I1509" s="56">
        <f>IFERROR(INDEX('Semrush Data'!$A$1:$Z$20000,MATCH(A1509,'Semrush Data'!$A$1:$A$20000,0),MATCH("CPC*",'Semrush Data'!$A$1:$Z$1,0)),"")</f>
        <v/>
      </c>
      <c r="J1509" s="42">
        <f>IFERROR(INDEX('Semrush Data'!$A$1:$Z$20000,MATCH(A1509,'Semrush Data'!$A$1:$A$20000,0),MATCH("Intent",'Semrush Data'!$A$1:$Z$1,0)),"")</f>
        <v/>
      </c>
    </row>
    <row r="1510" ht="15" customHeight="1" s="37">
      <c r="A1510" s="42" t="inlineStr">
        <is>
          <t>joop! homme le parfum</t>
        </is>
      </c>
      <c r="B1510" s="42" t="inlineStr">
        <is>
          <t>Product + type</t>
        </is>
      </c>
      <c r="C1510" s="42" t="n">
        <v>2</v>
      </c>
      <c r="D1510" s="42" t="n">
        <v>16</v>
      </c>
      <c r="E1510" s="42" t="n">
        <v>1</v>
      </c>
      <c r="F1510" s="42" t="inlineStr">
        <is>
          <t>FR-270</t>
        </is>
      </c>
      <c r="G1510" s="55">
        <f>IFERROR(INDEX('Semrush Data'!$A$1:$Z$20000,MATCH(A1510,'Semrush Data'!$A$1:$A$20000,0),MATCH("Volume",'Semrush Data'!$A$1:$Z$1,0)),"")</f>
        <v/>
      </c>
      <c r="H1510" s="42">
        <f>IFERROR(INDEX('Semrush Data'!$A$1:$Z$20000,MATCH(A1510,'Semrush Data'!$A$1:$A$20000,0),MATCH("Keyword Difficulty*",'Semrush Data'!$A$1:$Z$1,0)),"")</f>
        <v/>
      </c>
      <c r="I1510" s="56">
        <f>IFERROR(INDEX('Semrush Data'!$A$1:$Z$20000,MATCH(A1510,'Semrush Data'!$A$1:$A$20000,0),MATCH("CPC*",'Semrush Data'!$A$1:$Z$1,0)),"")</f>
        <v/>
      </c>
      <c r="J1510" s="42">
        <f>IFERROR(INDEX('Semrush Data'!$A$1:$Z$20000,MATCH(A1510,'Semrush Data'!$A$1:$A$20000,0),MATCH("Intent",'Semrush Data'!$A$1:$Z$1,0)),"")</f>
        <v/>
      </c>
    </row>
    <row r="1511" ht="15" customHeight="1" s="37">
      <c r="A1511" s="42" t="inlineStr">
        <is>
          <t>juicy couture viva la juicy rose eau de parfum</t>
        </is>
      </c>
      <c r="B1511" s="42" t="inlineStr">
        <is>
          <t>Product + type</t>
        </is>
      </c>
      <c r="C1511" s="42" t="n">
        <v>2</v>
      </c>
      <c r="D1511" s="42" t="n">
        <v>16</v>
      </c>
      <c r="E1511" s="42" t="n">
        <v>3</v>
      </c>
      <c r="F1511" s="42" t="inlineStr">
        <is>
          <t>FR-271, FR-272, FR-273</t>
        </is>
      </c>
      <c r="G1511" s="55">
        <f>IFERROR(INDEX('Semrush Data'!$A$1:$Z$20000,MATCH(A1511,'Semrush Data'!$A$1:$A$20000,0),MATCH("Volume",'Semrush Data'!$A$1:$Z$1,0)),"")</f>
        <v/>
      </c>
      <c r="H1511" s="42">
        <f>IFERROR(INDEX('Semrush Data'!$A$1:$Z$20000,MATCH(A1511,'Semrush Data'!$A$1:$A$20000,0),MATCH("Keyword Difficulty*",'Semrush Data'!$A$1:$Z$1,0)),"")</f>
        <v/>
      </c>
      <c r="I1511" s="56">
        <f>IFERROR(INDEX('Semrush Data'!$A$1:$Z$20000,MATCH(A1511,'Semrush Data'!$A$1:$A$20000,0),MATCH("CPC*",'Semrush Data'!$A$1:$Z$1,0)),"")</f>
        <v/>
      </c>
      <c r="J1511" s="42">
        <f>IFERROR(INDEX('Semrush Data'!$A$1:$Z$20000,MATCH(A1511,'Semrush Data'!$A$1:$A$20000,0),MATCH("Intent",'Semrush Data'!$A$1:$Z$1,0)),"")</f>
        <v/>
      </c>
    </row>
    <row r="1512" ht="15" customHeight="1" s="37">
      <c r="A1512" s="42" t="inlineStr">
        <is>
          <t>kenneth cole moonlight blue eau de toilette</t>
        </is>
      </c>
      <c r="B1512" s="42" t="inlineStr">
        <is>
          <t>Product + type</t>
        </is>
      </c>
      <c r="C1512" s="42" t="n">
        <v>2</v>
      </c>
      <c r="D1512" s="42" t="n">
        <v>16</v>
      </c>
      <c r="E1512" s="42" t="n">
        <v>1</v>
      </c>
      <c r="F1512" s="42" t="inlineStr">
        <is>
          <t>FR-274</t>
        </is>
      </c>
      <c r="G1512" s="55">
        <f>IFERROR(INDEX('Semrush Data'!$A$1:$Z$20000,MATCH(A1512,'Semrush Data'!$A$1:$A$20000,0),MATCH("Volume",'Semrush Data'!$A$1:$Z$1,0)),"")</f>
        <v/>
      </c>
      <c r="H1512" s="42">
        <f>IFERROR(INDEX('Semrush Data'!$A$1:$Z$20000,MATCH(A1512,'Semrush Data'!$A$1:$A$20000,0),MATCH("Keyword Difficulty*",'Semrush Data'!$A$1:$Z$1,0)),"")</f>
        <v/>
      </c>
      <c r="I1512" s="56">
        <f>IFERROR(INDEX('Semrush Data'!$A$1:$Z$20000,MATCH(A1512,'Semrush Data'!$A$1:$A$20000,0),MATCH("CPC*",'Semrush Data'!$A$1:$Z$1,0)),"")</f>
        <v/>
      </c>
      <c r="J1512" s="42">
        <f>IFERROR(INDEX('Semrush Data'!$A$1:$Z$20000,MATCH(A1512,'Semrush Data'!$A$1:$A$20000,0),MATCH("Intent",'Semrush Data'!$A$1:$Z$1,0)),"")</f>
        <v/>
      </c>
    </row>
    <row r="1513" ht="15" customHeight="1" s="37">
      <c r="A1513" s="42" t="inlineStr">
        <is>
          <t>korloff cuir mythique eau de parfum</t>
        </is>
      </c>
      <c r="B1513" s="42" t="inlineStr">
        <is>
          <t>Product + type</t>
        </is>
      </c>
      <c r="C1513" s="42" t="n">
        <v>2</v>
      </c>
      <c r="D1513" s="42" t="n">
        <v>16</v>
      </c>
      <c r="E1513" s="42" t="n">
        <v>1</v>
      </c>
      <c r="F1513" s="42" t="inlineStr">
        <is>
          <t>FR-275</t>
        </is>
      </c>
      <c r="G1513" s="55">
        <f>IFERROR(INDEX('Semrush Data'!$A$1:$Z$20000,MATCH(A1513,'Semrush Data'!$A$1:$A$20000,0),MATCH("Volume",'Semrush Data'!$A$1:$Z$1,0)),"")</f>
        <v/>
      </c>
      <c r="H1513" s="42">
        <f>IFERROR(INDEX('Semrush Data'!$A$1:$Z$20000,MATCH(A1513,'Semrush Data'!$A$1:$A$20000,0),MATCH("Keyword Difficulty*",'Semrush Data'!$A$1:$Z$1,0)),"")</f>
        <v/>
      </c>
      <c r="I1513" s="56">
        <f>IFERROR(INDEX('Semrush Data'!$A$1:$Z$20000,MATCH(A1513,'Semrush Data'!$A$1:$A$20000,0),MATCH("CPC*",'Semrush Data'!$A$1:$Z$1,0)),"")</f>
        <v/>
      </c>
      <c r="J1513" s="42">
        <f>IFERROR(INDEX('Semrush Data'!$A$1:$Z$20000,MATCH(A1513,'Semrush Data'!$A$1:$A$20000,0),MATCH("Intent",'Semrush Data'!$A$1:$Z$1,0)),"")</f>
        <v/>
      </c>
    </row>
    <row r="1514" ht="15" customHeight="1" s="37">
      <c r="A1514" s="42" t="inlineStr">
        <is>
          <t>korloff in love eau de parfum</t>
        </is>
      </c>
      <c r="B1514" s="42" t="inlineStr">
        <is>
          <t>Product + type</t>
        </is>
      </c>
      <c r="C1514" s="42" t="n">
        <v>2</v>
      </c>
      <c r="D1514" s="42" t="n">
        <v>16</v>
      </c>
      <c r="E1514" s="42" t="n">
        <v>1</v>
      </c>
      <c r="F1514" s="42" t="inlineStr">
        <is>
          <t>FR-276</t>
        </is>
      </c>
      <c r="G1514" s="55">
        <f>IFERROR(INDEX('Semrush Data'!$A$1:$Z$20000,MATCH(A1514,'Semrush Data'!$A$1:$A$20000,0),MATCH("Volume",'Semrush Data'!$A$1:$Z$1,0)),"")</f>
        <v/>
      </c>
      <c r="H1514" s="42">
        <f>IFERROR(INDEX('Semrush Data'!$A$1:$Z$20000,MATCH(A1514,'Semrush Data'!$A$1:$A$20000,0),MATCH("Keyword Difficulty*",'Semrush Data'!$A$1:$Z$1,0)),"")</f>
        <v/>
      </c>
      <c r="I1514" s="56">
        <f>IFERROR(INDEX('Semrush Data'!$A$1:$Z$20000,MATCH(A1514,'Semrush Data'!$A$1:$A$20000,0),MATCH("CPC*",'Semrush Data'!$A$1:$Z$1,0)),"")</f>
        <v/>
      </c>
      <c r="J1514" s="42">
        <f>IFERROR(INDEX('Semrush Data'!$A$1:$Z$20000,MATCH(A1514,'Semrush Data'!$A$1:$A$20000,0),MATCH("Intent",'Semrush Data'!$A$1:$Z$1,0)),"")</f>
        <v/>
      </c>
    </row>
    <row r="1515" ht="15" customHeight="1" s="37">
      <c r="A1515" s="42" t="inlineStr">
        <is>
          <t>korloff in white eau de toilette</t>
        </is>
      </c>
      <c r="B1515" s="42" t="inlineStr">
        <is>
          <t>Product + type</t>
        </is>
      </c>
      <c r="C1515" s="42" t="n">
        <v>2</v>
      </c>
      <c r="D1515" s="42" t="n">
        <v>16</v>
      </c>
      <c r="E1515" s="42" t="n">
        <v>1</v>
      </c>
      <c r="F1515" s="42" t="inlineStr">
        <is>
          <t>FR-339</t>
        </is>
      </c>
      <c r="G1515" s="55">
        <f>IFERROR(INDEX('Semrush Data'!$A$1:$Z$20000,MATCH(A1515,'Semrush Data'!$A$1:$A$20000,0),MATCH("Volume",'Semrush Data'!$A$1:$Z$1,0)),"")</f>
        <v/>
      </c>
      <c r="H1515" s="42">
        <f>IFERROR(INDEX('Semrush Data'!$A$1:$Z$20000,MATCH(A1515,'Semrush Data'!$A$1:$A$20000,0),MATCH("Keyword Difficulty*",'Semrush Data'!$A$1:$Z$1,0)),"")</f>
        <v/>
      </c>
      <c r="I1515" s="56">
        <f>IFERROR(INDEX('Semrush Data'!$A$1:$Z$20000,MATCH(A1515,'Semrush Data'!$A$1:$A$20000,0),MATCH("CPC*",'Semrush Data'!$A$1:$Z$1,0)),"")</f>
        <v/>
      </c>
      <c r="J1515" s="42">
        <f>IFERROR(INDEX('Semrush Data'!$A$1:$Z$20000,MATCH(A1515,'Semrush Data'!$A$1:$A$20000,0),MATCH("Intent",'Semrush Data'!$A$1:$Z$1,0)),"")</f>
        <v/>
      </c>
    </row>
    <row r="1516" ht="15" customHeight="1" s="37">
      <c r="A1516" s="42" t="inlineStr">
        <is>
          <t>korloff lady intense eau de parfum</t>
        </is>
      </c>
      <c r="B1516" s="42" t="inlineStr">
        <is>
          <t>Product + type</t>
        </is>
      </c>
      <c r="C1516" s="42" t="n">
        <v>2</v>
      </c>
      <c r="D1516" s="42" t="n">
        <v>16</v>
      </c>
      <c r="E1516" s="42" t="n">
        <v>1</v>
      </c>
      <c r="F1516" s="42" t="inlineStr">
        <is>
          <t>FR-277</t>
        </is>
      </c>
      <c r="G1516" s="55">
        <f>IFERROR(INDEX('Semrush Data'!$A$1:$Z$20000,MATCH(A1516,'Semrush Data'!$A$1:$A$20000,0),MATCH("Volume",'Semrush Data'!$A$1:$Z$1,0)),"")</f>
        <v/>
      </c>
      <c r="H1516" s="42">
        <f>IFERROR(INDEX('Semrush Data'!$A$1:$Z$20000,MATCH(A1516,'Semrush Data'!$A$1:$A$20000,0),MATCH("Keyword Difficulty*",'Semrush Data'!$A$1:$Z$1,0)),"")</f>
        <v/>
      </c>
      <c r="I1516" s="56">
        <f>IFERROR(INDEX('Semrush Data'!$A$1:$Z$20000,MATCH(A1516,'Semrush Data'!$A$1:$A$20000,0),MATCH("CPC*",'Semrush Data'!$A$1:$Z$1,0)),"")</f>
        <v/>
      </c>
      <c r="J1516" s="42">
        <f>IFERROR(INDEX('Semrush Data'!$A$1:$Z$20000,MATCH(A1516,'Semrush Data'!$A$1:$A$20000,0),MATCH("Intent",'Semrush Data'!$A$1:$Z$1,0)),"")</f>
        <v/>
      </c>
    </row>
    <row r="1517" ht="15" customHeight="1" s="37">
      <c r="A1517" s="42" t="inlineStr">
        <is>
          <t>korloff miss korloff eau de parfum</t>
        </is>
      </c>
      <c r="B1517" s="42" t="inlineStr">
        <is>
          <t>Product + type</t>
        </is>
      </c>
      <c r="C1517" s="42" t="n">
        <v>2</v>
      </c>
      <c r="D1517" s="42" t="n">
        <v>16</v>
      </c>
      <c r="E1517" s="42" t="n">
        <v>1</v>
      </c>
      <c r="F1517" s="42" t="inlineStr">
        <is>
          <t>FR-280</t>
        </is>
      </c>
      <c r="G1517" s="55">
        <f>IFERROR(INDEX('Semrush Data'!$A$1:$Z$20000,MATCH(A1517,'Semrush Data'!$A$1:$A$20000,0),MATCH("Volume",'Semrush Data'!$A$1:$Z$1,0)),"")</f>
        <v/>
      </c>
      <c r="H1517" s="42">
        <f>IFERROR(INDEX('Semrush Data'!$A$1:$Z$20000,MATCH(A1517,'Semrush Data'!$A$1:$A$20000,0),MATCH("Keyword Difficulty*",'Semrush Data'!$A$1:$Z$1,0)),"")</f>
        <v/>
      </c>
      <c r="I1517" s="56">
        <f>IFERROR(INDEX('Semrush Data'!$A$1:$Z$20000,MATCH(A1517,'Semrush Data'!$A$1:$A$20000,0),MATCH("CPC*",'Semrush Data'!$A$1:$Z$1,0)),"")</f>
        <v/>
      </c>
      <c r="J1517" s="42">
        <f>IFERROR(INDEX('Semrush Data'!$A$1:$Z$20000,MATCH(A1517,'Semrush Data'!$A$1:$A$20000,0),MATCH("Intent",'Semrush Data'!$A$1:$Z$1,0)),"")</f>
        <v/>
      </c>
    </row>
    <row r="1518" ht="15" customHeight="1" s="37">
      <c r="A1518" s="42" t="inlineStr">
        <is>
          <t>korloff royal oud korloff paris eau de parfum</t>
        </is>
      </c>
      <c r="B1518" s="42" t="inlineStr">
        <is>
          <t>Product + type</t>
        </is>
      </c>
      <c r="C1518" s="42" t="n">
        <v>2</v>
      </c>
      <c r="D1518" s="42" t="n">
        <v>16</v>
      </c>
      <c r="E1518" s="42" t="n">
        <v>1</v>
      </c>
      <c r="F1518" s="42" t="inlineStr">
        <is>
          <t>FR-281</t>
        </is>
      </c>
      <c r="G1518" s="55">
        <f>IFERROR(INDEX('Semrush Data'!$A$1:$Z$20000,MATCH(A1518,'Semrush Data'!$A$1:$A$20000,0),MATCH("Volume",'Semrush Data'!$A$1:$Z$1,0)),"")</f>
        <v/>
      </c>
      <c r="H1518" s="42">
        <f>IFERROR(INDEX('Semrush Data'!$A$1:$Z$20000,MATCH(A1518,'Semrush Data'!$A$1:$A$20000,0),MATCH("Keyword Difficulty*",'Semrush Data'!$A$1:$Z$1,0)),"")</f>
        <v/>
      </c>
      <c r="I1518" s="56">
        <f>IFERROR(INDEX('Semrush Data'!$A$1:$Z$20000,MATCH(A1518,'Semrush Data'!$A$1:$A$20000,0),MATCH("CPC*",'Semrush Data'!$A$1:$Z$1,0)),"")</f>
        <v/>
      </c>
      <c r="J1518" s="42">
        <f>IFERROR(INDEX('Semrush Data'!$A$1:$Z$20000,MATCH(A1518,'Semrush Data'!$A$1:$A$20000,0),MATCH("Intent",'Semrush Data'!$A$1:$Z$1,0)),"")</f>
        <v/>
      </c>
    </row>
    <row r="1519" ht="15" customHeight="1" s="37">
      <c r="A1519" s="42" t="inlineStr">
        <is>
          <t>korloff royal rose eau de parfum</t>
        </is>
      </c>
      <c r="B1519" s="42" t="inlineStr">
        <is>
          <t>Product + type</t>
        </is>
      </c>
      <c r="C1519" s="42" t="n">
        <v>2</v>
      </c>
      <c r="D1519" s="42" t="n">
        <v>16</v>
      </c>
      <c r="E1519" s="42" t="n">
        <v>1</v>
      </c>
      <c r="F1519" s="42" t="inlineStr">
        <is>
          <t>FR-278</t>
        </is>
      </c>
      <c r="G1519" s="55">
        <f>IFERROR(INDEX('Semrush Data'!$A$1:$Z$20000,MATCH(A1519,'Semrush Data'!$A$1:$A$20000,0),MATCH("Volume",'Semrush Data'!$A$1:$Z$1,0)),"")</f>
        <v/>
      </c>
      <c r="H1519" s="42">
        <f>IFERROR(INDEX('Semrush Data'!$A$1:$Z$20000,MATCH(A1519,'Semrush Data'!$A$1:$A$20000,0),MATCH("Keyword Difficulty*",'Semrush Data'!$A$1:$Z$1,0)),"")</f>
        <v/>
      </c>
      <c r="I1519" s="56">
        <f>IFERROR(INDEX('Semrush Data'!$A$1:$Z$20000,MATCH(A1519,'Semrush Data'!$A$1:$A$20000,0),MATCH("CPC*",'Semrush Data'!$A$1:$Z$1,0)),"")</f>
        <v/>
      </c>
      <c r="J1519" s="42">
        <f>IFERROR(INDEX('Semrush Data'!$A$1:$Z$20000,MATCH(A1519,'Semrush Data'!$A$1:$A$20000,0),MATCH("Intent",'Semrush Data'!$A$1:$Z$1,0)),"")</f>
        <v/>
      </c>
    </row>
    <row r="1520" ht="15" customHeight="1" s="37">
      <c r="A1520" s="42" t="inlineStr">
        <is>
          <t>korloff un soir a paris eau de parfum</t>
        </is>
      </c>
      <c r="B1520" s="42" t="inlineStr">
        <is>
          <t>Product + type</t>
        </is>
      </c>
      <c r="C1520" s="42" t="n">
        <v>2</v>
      </c>
      <c r="D1520" s="42" t="n">
        <v>16</v>
      </c>
      <c r="E1520" s="42" t="n">
        <v>1</v>
      </c>
      <c r="F1520" s="42" t="inlineStr">
        <is>
          <t>FR-279</t>
        </is>
      </c>
      <c r="G1520" s="55">
        <f>IFERROR(INDEX('Semrush Data'!$A$1:$Z$20000,MATCH(A1520,'Semrush Data'!$A$1:$A$20000,0),MATCH("Volume",'Semrush Data'!$A$1:$Z$1,0)),"")</f>
        <v/>
      </c>
      <c r="H1520" s="42">
        <f>IFERROR(INDEX('Semrush Data'!$A$1:$Z$20000,MATCH(A1520,'Semrush Data'!$A$1:$A$20000,0),MATCH("Keyword Difficulty*",'Semrush Data'!$A$1:$Z$1,0)),"")</f>
        <v/>
      </c>
      <c r="I1520" s="56">
        <f>IFERROR(INDEX('Semrush Data'!$A$1:$Z$20000,MATCH(A1520,'Semrush Data'!$A$1:$A$20000,0),MATCH("CPC*",'Semrush Data'!$A$1:$Z$1,0)),"")</f>
        <v/>
      </c>
      <c r="J1520" s="42">
        <f>IFERROR(INDEX('Semrush Data'!$A$1:$Z$20000,MATCH(A1520,'Semrush Data'!$A$1:$A$20000,0),MATCH("Intent",'Semrush Data'!$A$1:$Z$1,0)),"")</f>
        <v/>
      </c>
    </row>
    <row r="1521" ht="15" customHeight="1" s="37">
      <c r="A1521" s="42" t="inlineStr">
        <is>
          <t>la maison de la vanille absolu de vanille eau de parfum</t>
        </is>
      </c>
      <c r="B1521" s="42" t="inlineStr">
        <is>
          <t>Product + type</t>
        </is>
      </c>
      <c r="C1521" s="42" t="n">
        <v>2</v>
      </c>
      <c r="D1521" s="42" t="n">
        <v>16</v>
      </c>
      <c r="E1521" s="42" t="n">
        <v>1</v>
      </c>
      <c r="F1521" s="42" t="inlineStr">
        <is>
          <t>FR-283</t>
        </is>
      </c>
      <c r="G1521" s="55">
        <f>IFERROR(INDEX('Semrush Data'!$A$1:$Z$20000,MATCH(A1521,'Semrush Data'!$A$1:$A$20000,0),MATCH("Volume",'Semrush Data'!$A$1:$Z$1,0)),"")</f>
        <v/>
      </c>
      <c r="H1521" s="42">
        <f>IFERROR(INDEX('Semrush Data'!$A$1:$Z$20000,MATCH(A1521,'Semrush Data'!$A$1:$A$20000,0),MATCH("Keyword Difficulty*",'Semrush Data'!$A$1:$Z$1,0)),"")</f>
        <v/>
      </c>
      <c r="I1521" s="56">
        <f>IFERROR(INDEX('Semrush Data'!$A$1:$Z$20000,MATCH(A1521,'Semrush Data'!$A$1:$A$20000,0),MATCH("CPC*",'Semrush Data'!$A$1:$Z$1,0)),"")</f>
        <v/>
      </c>
      <c r="J1521" s="42">
        <f>IFERROR(INDEX('Semrush Data'!$A$1:$Z$20000,MATCH(A1521,'Semrush Data'!$A$1:$A$20000,0),MATCH("Intent",'Semrush Data'!$A$1:$Z$1,0)),"")</f>
        <v/>
      </c>
    </row>
    <row r="1522" ht="15" customHeight="1" s="37">
      <c r="A1522" s="42" t="inlineStr">
        <is>
          <t>la maison de la vanille ambre secret eau de parfum</t>
        </is>
      </c>
      <c r="B1522" s="42" t="inlineStr">
        <is>
          <t>Product + type</t>
        </is>
      </c>
      <c r="C1522" s="42" t="n">
        <v>2</v>
      </c>
      <c r="D1522" s="42" t="n">
        <v>16</v>
      </c>
      <c r="E1522" s="42" t="n">
        <v>1</v>
      </c>
      <c r="F1522" s="42" t="inlineStr">
        <is>
          <t>FR-284</t>
        </is>
      </c>
      <c r="G1522" s="55">
        <f>IFERROR(INDEX('Semrush Data'!$A$1:$Z$20000,MATCH(A1522,'Semrush Data'!$A$1:$A$20000,0),MATCH("Volume",'Semrush Data'!$A$1:$Z$1,0)),"")</f>
        <v/>
      </c>
      <c r="H1522" s="42">
        <f>IFERROR(INDEX('Semrush Data'!$A$1:$Z$20000,MATCH(A1522,'Semrush Data'!$A$1:$A$20000,0),MATCH("Keyword Difficulty*",'Semrush Data'!$A$1:$Z$1,0)),"")</f>
        <v/>
      </c>
      <c r="I1522" s="56">
        <f>IFERROR(INDEX('Semrush Data'!$A$1:$Z$20000,MATCH(A1522,'Semrush Data'!$A$1:$A$20000,0),MATCH("CPC*",'Semrush Data'!$A$1:$Z$1,0)),"")</f>
        <v/>
      </c>
      <c r="J1522" s="42">
        <f>IFERROR(INDEX('Semrush Data'!$A$1:$Z$20000,MATCH(A1522,'Semrush Data'!$A$1:$A$20000,0),MATCH("Intent",'Semrush Data'!$A$1:$Z$1,0)),"")</f>
        <v/>
      </c>
    </row>
    <row r="1523" ht="15" customHeight="1" s="37">
      <c r="A1523" s="42" t="inlineStr">
        <is>
          <t>la maison de la vanille royal oud eau de parfum</t>
        </is>
      </c>
      <c r="B1523" s="42" t="inlineStr">
        <is>
          <t>Product + type</t>
        </is>
      </c>
      <c r="C1523" s="42" t="n">
        <v>2</v>
      </c>
      <c r="D1523" s="42" t="n">
        <v>16</v>
      </c>
      <c r="E1523" s="42" t="n">
        <v>1</v>
      </c>
      <c r="F1523" s="42" t="inlineStr">
        <is>
          <t>FR-285</t>
        </is>
      </c>
      <c r="G1523" s="55">
        <f>IFERROR(INDEX('Semrush Data'!$A$1:$Z$20000,MATCH(A1523,'Semrush Data'!$A$1:$A$20000,0),MATCH("Volume",'Semrush Data'!$A$1:$Z$1,0)),"")</f>
        <v/>
      </c>
      <c r="H1523" s="42">
        <f>IFERROR(INDEX('Semrush Data'!$A$1:$Z$20000,MATCH(A1523,'Semrush Data'!$A$1:$A$20000,0),MATCH("Keyword Difficulty*",'Semrush Data'!$A$1:$Z$1,0)),"")</f>
        <v/>
      </c>
      <c r="I1523" s="56">
        <f>IFERROR(INDEX('Semrush Data'!$A$1:$Z$20000,MATCH(A1523,'Semrush Data'!$A$1:$A$20000,0),MATCH("CPC*",'Semrush Data'!$A$1:$Z$1,0)),"")</f>
        <v/>
      </c>
      <c r="J1523" s="42">
        <f>IFERROR(INDEX('Semrush Data'!$A$1:$Z$20000,MATCH(A1523,'Semrush Data'!$A$1:$A$20000,0),MATCH("Intent",'Semrush Data'!$A$1:$Z$1,0)),"")</f>
        <v/>
      </c>
    </row>
    <row r="1524" ht="15" customHeight="1" s="37">
      <c r="A1524" s="42" t="inlineStr">
        <is>
          <t>la maison de la wooden coffret edt</t>
        </is>
      </c>
      <c r="B1524" s="42" t="inlineStr">
        <is>
          <t>Product + type</t>
        </is>
      </c>
      <c r="C1524" s="42" t="n">
        <v>2</v>
      </c>
      <c r="D1524" s="42" t="n">
        <v>16</v>
      </c>
      <c r="E1524" s="42" t="n">
        <v>1</v>
      </c>
      <c r="F1524" s="42" t="inlineStr">
        <is>
          <t>FR-286</t>
        </is>
      </c>
      <c r="G1524" s="55">
        <f>IFERROR(INDEX('Semrush Data'!$A$1:$Z$20000,MATCH(A1524,'Semrush Data'!$A$1:$A$20000,0),MATCH("Volume",'Semrush Data'!$A$1:$Z$1,0)),"")</f>
        <v/>
      </c>
      <c r="H1524" s="42">
        <f>IFERROR(INDEX('Semrush Data'!$A$1:$Z$20000,MATCH(A1524,'Semrush Data'!$A$1:$A$20000,0),MATCH("Keyword Difficulty*",'Semrush Data'!$A$1:$Z$1,0)),"")</f>
        <v/>
      </c>
      <c r="I1524" s="56">
        <f>IFERROR(INDEX('Semrush Data'!$A$1:$Z$20000,MATCH(A1524,'Semrush Data'!$A$1:$A$20000,0),MATCH("CPC*",'Semrush Data'!$A$1:$Z$1,0)),"")</f>
        <v/>
      </c>
      <c r="J1524" s="42">
        <f>IFERROR(INDEX('Semrush Data'!$A$1:$Z$20000,MATCH(A1524,'Semrush Data'!$A$1:$A$20000,0),MATCH("Intent",'Semrush Data'!$A$1:$Z$1,0)),"")</f>
        <v/>
      </c>
    </row>
    <row r="1525" ht="15" customHeight="1" s="37">
      <c r="A1525" s="42" t="inlineStr">
        <is>
          <t>lancome idole nectar eau de parfum</t>
        </is>
      </c>
      <c r="B1525" s="42" t="inlineStr">
        <is>
          <t>Product + type</t>
        </is>
      </c>
      <c r="C1525" s="42" t="n">
        <v>2</v>
      </c>
      <c r="D1525" s="42" t="inlineStr">
        <is>
          <t>T2-1</t>
        </is>
      </c>
      <c r="E1525" s="42" t="n">
        <v>1</v>
      </c>
      <c r="F1525" s="42" t="inlineStr">
        <is>
          <t>FR-287</t>
        </is>
      </c>
      <c r="G1525" s="55">
        <f>IFERROR(INDEX('Semrush Data'!$A$1:$Z$20000,MATCH(A1525,'Semrush Data'!$A$1:$A$20000,0),MATCH("Volume",'Semrush Data'!$A$1:$Z$1,0)),"")</f>
        <v/>
      </c>
      <c r="H1525" s="42">
        <f>IFERROR(INDEX('Semrush Data'!$A$1:$Z$20000,MATCH(A1525,'Semrush Data'!$A$1:$A$20000,0),MATCH("Keyword Difficulty*",'Semrush Data'!$A$1:$Z$1,0)),"")</f>
        <v/>
      </c>
      <c r="I1525" s="56">
        <f>IFERROR(INDEX('Semrush Data'!$A$1:$Z$20000,MATCH(A1525,'Semrush Data'!$A$1:$A$20000,0),MATCH("CPC*",'Semrush Data'!$A$1:$Z$1,0)),"")</f>
        <v/>
      </c>
      <c r="J1525" s="42">
        <f>IFERROR(INDEX('Semrush Data'!$A$1:$Z$20000,MATCH(A1525,'Semrush Data'!$A$1:$A$20000,0),MATCH("Intent",'Semrush Data'!$A$1:$Z$1,0)),"")</f>
        <v/>
      </c>
    </row>
    <row r="1526" ht="15" customHeight="1" s="37">
      <c r="A1526" s="42" t="inlineStr">
        <is>
          <t>lancome idole now florale eau de parfum</t>
        </is>
      </c>
      <c r="B1526" s="42" t="inlineStr">
        <is>
          <t>Product + type</t>
        </is>
      </c>
      <c r="C1526" s="42" t="n">
        <v>2</v>
      </c>
      <c r="D1526" s="42" t="n">
        <v>16</v>
      </c>
      <c r="E1526" s="42" t="n">
        <v>1</v>
      </c>
      <c r="F1526" s="42" t="inlineStr">
        <is>
          <t>FR-288</t>
        </is>
      </c>
      <c r="G1526" s="55">
        <f>IFERROR(INDEX('Semrush Data'!$A$1:$Z$20000,MATCH(A1526,'Semrush Data'!$A$1:$A$20000,0),MATCH("Volume",'Semrush Data'!$A$1:$Z$1,0)),"")</f>
        <v/>
      </c>
      <c r="H1526" s="42">
        <f>IFERROR(INDEX('Semrush Data'!$A$1:$Z$20000,MATCH(A1526,'Semrush Data'!$A$1:$A$20000,0),MATCH("Keyword Difficulty*",'Semrush Data'!$A$1:$Z$1,0)),"")</f>
        <v/>
      </c>
      <c r="I1526" s="56">
        <f>IFERROR(INDEX('Semrush Data'!$A$1:$Z$20000,MATCH(A1526,'Semrush Data'!$A$1:$A$20000,0),MATCH("CPC*",'Semrush Data'!$A$1:$Z$1,0)),"")</f>
        <v/>
      </c>
      <c r="J1526" s="42">
        <f>IFERROR(INDEX('Semrush Data'!$A$1:$Z$20000,MATCH(A1526,'Semrush Data'!$A$1:$A$20000,0),MATCH("Intent",'Semrush Data'!$A$1:$Z$1,0)),"")</f>
        <v/>
      </c>
    </row>
    <row r="1527" ht="15" customHeight="1" s="37">
      <c r="A1527" s="42" t="inlineStr">
        <is>
          <t>maison de milan amalfi bleu eau de parfum</t>
        </is>
      </c>
      <c r="B1527" s="42" t="inlineStr">
        <is>
          <t>Product + type</t>
        </is>
      </c>
      <c r="C1527" s="42" t="n">
        <v>2</v>
      </c>
      <c r="D1527" s="42" t="n">
        <v>16</v>
      </c>
      <c r="E1527" s="42" t="n">
        <v>1</v>
      </c>
      <c r="F1527" s="42" t="inlineStr">
        <is>
          <t>FR-196</t>
        </is>
      </c>
      <c r="G1527" s="55">
        <f>IFERROR(INDEX('Semrush Data'!$A$1:$Z$20000,MATCH(A1527,'Semrush Data'!$A$1:$A$20000,0),MATCH("Volume",'Semrush Data'!$A$1:$Z$1,0)),"")</f>
        <v/>
      </c>
      <c r="H1527" s="42">
        <f>IFERROR(INDEX('Semrush Data'!$A$1:$Z$20000,MATCH(A1527,'Semrush Data'!$A$1:$A$20000,0),MATCH("Keyword Difficulty*",'Semrush Data'!$A$1:$Z$1,0)),"")</f>
        <v/>
      </c>
      <c r="I1527" s="56">
        <f>IFERROR(INDEX('Semrush Data'!$A$1:$Z$20000,MATCH(A1527,'Semrush Data'!$A$1:$A$20000,0),MATCH("CPC*",'Semrush Data'!$A$1:$Z$1,0)),"")</f>
        <v/>
      </c>
      <c r="J1527" s="42">
        <f>IFERROR(INDEX('Semrush Data'!$A$1:$Z$20000,MATCH(A1527,'Semrush Data'!$A$1:$A$20000,0),MATCH("Intent",'Semrush Data'!$A$1:$Z$1,0)),"")</f>
        <v/>
      </c>
    </row>
    <row r="1528" ht="15" customHeight="1" s="37">
      <c r="A1528" s="42" t="inlineStr">
        <is>
          <t>maison de milan bliss rouge eau de parfum</t>
        </is>
      </c>
      <c r="B1528" s="42" t="inlineStr">
        <is>
          <t>Product + type</t>
        </is>
      </c>
      <c r="C1528" s="42" t="n">
        <v>2</v>
      </c>
      <c r="D1528" s="42" t="n">
        <v>16</v>
      </c>
      <c r="E1528" s="42" t="n">
        <v>1</v>
      </c>
      <c r="F1528" s="42" t="inlineStr">
        <is>
          <t>FR-197</t>
        </is>
      </c>
      <c r="G1528" s="55">
        <f>IFERROR(INDEX('Semrush Data'!$A$1:$Z$20000,MATCH(A1528,'Semrush Data'!$A$1:$A$20000,0),MATCH("Volume",'Semrush Data'!$A$1:$Z$1,0)),"")</f>
        <v/>
      </c>
      <c r="H1528" s="42">
        <f>IFERROR(INDEX('Semrush Data'!$A$1:$Z$20000,MATCH(A1528,'Semrush Data'!$A$1:$A$20000,0),MATCH("Keyword Difficulty*",'Semrush Data'!$A$1:$Z$1,0)),"")</f>
        <v/>
      </c>
      <c r="I1528" s="56">
        <f>IFERROR(INDEX('Semrush Data'!$A$1:$Z$20000,MATCH(A1528,'Semrush Data'!$A$1:$A$20000,0),MATCH("CPC*",'Semrush Data'!$A$1:$Z$1,0)),"")</f>
        <v/>
      </c>
      <c r="J1528" s="42">
        <f>IFERROR(INDEX('Semrush Data'!$A$1:$Z$20000,MATCH(A1528,'Semrush Data'!$A$1:$A$20000,0),MATCH("Intent",'Semrush Data'!$A$1:$Z$1,0)),"")</f>
        <v/>
      </c>
    </row>
    <row r="1529" ht="15" customHeight="1" s="37">
      <c r="A1529" s="42" t="inlineStr">
        <is>
          <t>maison de milan brave lad eau de parfum</t>
        </is>
      </c>
      <c r="B1529" s="42" t="inlineStr">
        <is>
          <t>Product + type</t>
        </is>
      </c>
      <c r="C1529" s="42" t="n">
        <v>2</v>
      </c>
      <c r="D1529" s="42" t="n">
        <v>16</v>
      </c>
      <c r="E1529" s="42" t="n">
        <v>1</v>
      </c>
      <c r="F1529" s="42" t="inlineStr">
        <is>
          <t>FR-198</t>
        </is>
      </c>
      <c r="G1529" s="55">
        <f>IFERROR(INDEX('Semrush Data'!$A$1:$Z$20000,MATCH(A1529,'Semrush Data'!$A$1:$A$20000,0),MATCH("Volume",'Semrush Data'!$A$1:$Z$1,0)),"")</f>
        <v/>
      </c>
      <c r="H1529" s="42">
        <f>IFERROR(INDEX('Semrush Data'!$A$1:$Z$20000,MATCH(A1529,'Semrush Data'!$A$1:$A$20000,0),MATCH("Keyword Difficulty*",'Semrush Data'!$A$1:$Z$1,0)),"")</f>
        <v/>
      </c>
      <c r="I1529" s="56">
        <f>IFERROR(INDEX('Semrush Data'!$A$1:$Z$20000,MATCH(A1529,'Semrush Data'!$A$1:$A$20000,0),MATCH("CPC*",'Semrush Data'!$A$1:$Z$1,0)),"")</f>
        <v/>
      </c>
      <c r="J1529" s="42">
        <f>IFERROR(INDEX('Semrush Data'!$A$1:$Z$20000,MATCH(A1529,'Semrush Data'!$A$1:$A$20000,0),MATCH("Intent",'Semrush Data'!$A$1:$Z$1,0)),"")</f>
        <v/>
      </c>
    </row>
    <row r="1530" ht="15" customHeight="1" s="37">
      <c r="A1530" s="42" t="inlineStr">
        <is>
          <t>maison de milan delight pour femme eau de parfum</t>
        </is>
      </c>
      <c r="B1530" s="42" t="inlineStr">
        <is>
          <t>Product + type</t>
        </is>
      </c>
      <c r="C1530" s="42" t="n">
        <v>2</v>
      </c>
      <c r="D1530" s="42" t="n">
        <v>16</v>
      </c>
      <c r="E1530" s="42" t="n">
        <v>1</v>
      </c>
      <c r="F1530" s="42" t="inlineStr">
        <is>
          <t>FR-199</t>
        </is>
      </c>
      <c r="G1530" s="55">
        <f>IFERROR(INDEX('Semrush Data'!$A$1:$Z$20000,MATCH(A1530,'Semrush Data'!$A$1:$A$20000,0),MATCH("Volume",'Semrush Data'!$A$1:$Z$1,0)),"")</f>
        <v/>
      </c>
      <c r="H1530" s="42">
        <f>IFERROR(INDEX('Semrush Data'!$A$1:$Z$20000,MATCH(A1530,'Semrush Data'!$A$1:$A$20000,0),MATCH("Keyword Difficulty*",'Semrush Data'!$A$1:$Z$1,0)),"")</f>
        <v/>
      </c>
      <c r="I1530" s="56">
        <f>IFERROR(INDEX('Semrush Data'!$A$1:$Z$20000,MATCH(A1530,'Semrush Data'!$A$1:$A$20000,0),MATCH("CPC*",'Semrush Data'!$A$1:$Z$1,0)),"")</f>
        <v/>
      </c>
      <c r="J1530" s="42">
        <f>IFERROR(INDEX('Semrush Data'!$A$1:$Z$20000,MATCH(A1530,'Semrush Data'!$A$1:$A$20000,0),MATCH("Intent",'Semrush Data'!$A$1:$Z$1,0)),"")</f>
        <v/>
      </c>
    </row>
    <row r="1531" ht="15" customHeight="1" s="37">
      <c r="A1531" s="42" t="inlineStr">
        <is>
          <t>maison de milan elegance pour femme eau de parfum</t>
        </is>
      </c>
      <c r="B1531" s="42" t="inlineStr">
        <is>
          <t>Product + type</t>
        </is>
      </c>
      <c r="C1531" s="42" t="n">
        <v>2</v>
      </c>
      <c r="D1531" s="42" t="n">
        <v>16</v>
      </c>
      <c r="E1531" s="42" t="n">
        <v>1</v>
      </c>
      <c r="F1531" s="42" t="inlineStr">
        <is>
          <t>FR-200</t>
        </is>
      </c>
      <c r="G1531" s="55">
        <f>IFERROR(INDEX('Semrush Data'!$A$1:$Z$20000,MATCH(A1531,'Semrush Data'!$A$1:$A$20000,0),MATCH("Volume",'Semrush Data'!$A$1:$Z$1,0)),"")</f>
        <v/>
      </c>
      <c r="H1531" s="42">
        <f>IFERROR(INDEX('Semrush Data'!$A$1:$Z$20000,MATCH(A1531,'Semrush Data'!$A$1:$A$20000,0),MATCH("Keyword Difficulty*",'Semrush Data'!$A$1:$Z$1,0)),"")</f>
        <v/>
      </c>
      <c r="I1531" s="56">
        <f>IFERROR(INDEX('Semrush Data'!$A$1:$Z$20000,MATCH(A1531,'Semrush Data'!$A$1:$A$20000,0),MATCH("CPC*",'Semrush Data'!$A$1:$Z$1,0)),"")</f>
        <v/>
      </c>
      <c r="J1531" s="42">
        <f>IFERROR(INDEX('Semrush Data'!$A$1:$Z$20000,MATCH(A1531,'Semrush Data'!$A$1:$A$20000,0),MATCH("Intent",'Semrush Data'!$A$1:$Z$1,0)),"")</f>
        <v/>
      </c>
    </row>
    <row r="1532" ht="15" customHeight="1" s="37">
      <c r="A1532" s="42" t="inlineStr">
        <is>
          <t>maison de milan gossip pour femme eau de parfum</t>
        </is>
      </c>
      <c r="B1532" s="42" t="inlineStr">
        <is>
          <t>Product + type</t>
        </is>
      </c>
      <c r="C1532" s="42" t="n">
        <v>2</v>
      </c>
      <c r="D1532" s="42" t="n">
        <v>16</v>
      </c>
      <c r="E1532" s="42" t="n">
        <v>1</v>
      </c>
      <c r="F1532" s="42" t="inlineStr">
        <is>
          <t>FR-201</t>
        </is>
      </c>
      <c r="G1532" s="55">
        <f>IFERROR(INDEX('Semrush Data'!$A$1:$Z$20000,MATCH(A1532,'Semrush Data'!$A$1:$A$20000,0),MATCH("Volume",'Semrush Data'!$A$1:$Z$1,0)),"")</f>
        <v/>
      </c>
      <c r="H1532" s="42">
        <f>IFERROR(INDEX('Semrush Data'!$A$1:$Z$20000,MATCH(A1532,'Semrush Data'!$A$1:$A$20000,0),MATCH("Keyword Difficulty*",'Semrush Data'!$A$1:$Z$1,0)),"")</f>
        <v/>
      </c>
      <c r="I1532" s="56">
        <f>IFERROR(INDEX('Semrush Data'!$A$1:$Z$20000,MATCH(A1532,'Semrush Data'!$A$1:$A$20000,0),MATCH("CPC*",'Semrush Data'!$A$1:$Z$1,0)),"")</f>
        <v/>
      </c>
      <c r="J1532" s="42">
        <f>IFERROR(INDEX('Semrush Data'!$A$1:$Z$20000,MATCH(A1532,'Semrush Data'!$A$1:$A$20000,0),MATCH("Intent",'Semrush Data'!$A$1:$Z$1,0)),"")</f>
        <v/>
      </c>
    </row>
    <row r="1533" ht="15" customHeight="1" s="37">
      <c r="A1533" s="42" t="inlineStr">
        <is>
          <t>maison de milan invincible eau de parfum</t>
        </is>
      </c>
      <c r="B1533" s="42" t="inlineStr">
        <is>
          <t>Product + type</t>
        </is>
      </c>
      <c r="C1533" s="42" t="n">
        <v>2</v>
      </c>
      <c r="D1533" s="42" t="n">
        <v>16</v>
      </c>
      <c r="E1533" s="42" t="n">
        <v>1</v>
      </c>
      <c r="F1533" s="42" t="inlineStr">
        <is>
          <t>FR-202</t>
        </is>
      </c>
      <c r="G1533" s="55">
        <f>IFERROR(INDEX('Semrush Data'!$A$1:$Z$20000,MATCH(A1533,'Semrush Data'!$A$1:$A$20000,0),MATCH("Volume",'Semrush Data'!$A$1:$Z$1,0)),"")</f>
        <v/>
      </c>
      <c r="H1533" s="42">
        <f>IFERROR(INDEX('Semrush Data'!$A$1:$Z$20000,MATCH(A1533,'Semrush Data'!$A$1:$A$20000,0),MATCH("Keyword Difficulty*",'Semrush Data'!$A$1:$Z$1,0)),"")</f>
        <v/>
      </c>
      <c r="I1533" s="56">
        <f>IFERROR(INDEX('Semrush Data'!$A$1:$Z$20000,MATCH(A1533,'Semrush Data'!$A$1:$A$20000,0),MATCH("CPC*",'Semrush Data'!$A$1:$Z$1,0)),"")</f>
        <v/>
      </c>
      <c r="J1533" s="42">
        <f>IFERROR(INDEX('Semrush Data'!$A$1:$Z$20000,MATCH(A1533,'Semrush Data'!$A$1:$A$20000,0),MATCH("Intent",'Semrush Data'!$A$1:$Z$1,0)),"")</f>
        <v/>
      </c>
    </row>
    <row r="1534" ht="15" customHeight="1" s="37">
      <c r="A1534" s="42" t="inlineStr">
        <is>
          <t>maison de milan l'homme suave eau de parfum</t>
        </is>
      </c>
      <c r="B1534" s="42" t="inlineStr">
        <is>
          <t>Product + type</t>
        </is>
      </c>
      <c r="C1534" s="42" t="n">
        <v>2</v>
      </c>
      <c r="D1534" s="42" t="n">
        <v>16</v>
      </c>
      <c r="E1534" s="42" t="n">
        <v>1</v>
      </c>
      <c r="F1534" s="42" t="inlineStr">
        <is>
          <t>FR-203</t>
        </is>
      </c>
      <c r="G1534" s="55">
        <f>IFERROR(INDEX('Semrush Data'!$A$1:$Z$20000,MATCH(A1534,'Semrush Data'!$A$1:$A$20000,0),MATCH("Volume",'Semrush Data'!$A$1:$Z$1,0)),"")</f>
        <v/>
      </c>
      <c r="H1534" s="42">
        <f>IFERROR(INDEX('Semrush Data'!$A$1:$Z$20000,MATCH(A1534,'Semrush Data'!$A$1:$A$20000,0),MATCH("Keyword Difficulty*",'Semrush Data'!$A$1:$Z$1,0)),"")</f>
        <v/>
      </c>
      <c r="I1534" s="56">
        <f>IFERROR(INDEX('Semrush Data'!$A$1:$Z$20000,MATCH(A1534,'Semrush Data'!$A$1:$A$20000,0),MATCH("CPC*",'Semrush Data'!$A$1:$Z$1,0)),"")</f>
        <v/>
      </c>
      <c r="J1534" s="42">
        <f>IFERROR(INDEX('Semrush Data'!$A$1:$Z$20000,MATCH(A1534,'Semrush Data'!$A$1:$A$20000,0),MATCH("Intent",'Semrush Data'!$A$1:$Z$1,0)),"")</f>
        <v/>
      </c>
    </row>
    <row r="1535" ht="15" customHeight="1" s="37">
      <c r="A1535" s="42" t="inlineStr">
        <is>
          <t>maison de milan m eau de parfum</t>
        </is>
      </c>
      <c r="B1535" s="42" t="inlineStr">
        <is>
          <t>Product + type</t>
        </is>
      </c>
      <c r="C1535" s="42" t="n">
        <v>2</v>
      </c>
      <c r="D1535" s="42" t="n">
        <v>16</v>
      </c>
      <c r="E1535" s="42" t="n">
        <v>1</v>
      </c>
      <c r="F1535" s="42" t="inlineStr">
        <is>
          <t>FR-204</t>
        </is>
      </c>
      <c r="G1535" s="55">
        <f>IFERROR(INDEX('Semrush Data'!$A$1:$Z$20000,MATCH(A1535,'Semrush Data'!$A$1:$A$20000,0),MATCH("Volume",'Semrush Data'!$A$1:$Z$1,0)),"")</f>
        <v/>
      </c>
      <c r="H1535" s="42">
        <f>IFERROR(INDEX('Semrush Data'!$A$1:$Z$20000,MATCH(A1535,'Semrush Data'!$A$1:$A$20000,0),MATCH("Keyword Difficulty*",'Semrush Data'!$A$1:$Z$1,0)),"")</f>
        <v/>
      </c>
      <c r="I1535" s="56">
        <f>IFERROR(INDEX('Semrush Data'!$A$1:$Z$20000,MATCH(A1535,'Semrush Data'!$A$1:$A$20000,0),MATCH("CPC*",'Semrush Data'!$A$1:$Z$1,0)),"")</f>
        <v/>
      </c>
      <c r="J1535" s="42">
        <f>IFERROR(INDEX('Semrush Data'!$A$1:$Z$20000,MATCH(A1535,'Semrush Data'!$A$1:$A$20000,0),MATCH("Intent",'Semrush Data'!$A$1:$Z$1,0)),"")</f>
        <v/>
      </c>
    </row>
    <row r="1536" ht="15" customHeight="1" s="37">
      <c r="A1536" s="42" t="inlineStr">
        <is>
          <t>maison de milan milano girl black eau de parfum</t>
        </is>
      </c>
      <c r="B1536" s="42" t="inlineStr">
        <is>
          <t>Product + type</t>
        </is>
      </c>
      <c r="C1536" s="42" t="n">
        <v>2</v>
      </c>
      <c r="D1536" s="42" t="n">
        <v>16</v>
      </c>
      <c r="E1536" s="42" t="n">
        <v>1</v>
      </c>
      <c r="F1536" s="42" t="inlineStr">
        <is>
          <t>FR-205</t>
        </is>
      </c>
      <c r="G1536" s="55">
        <f>IFERROR(INDEX('Semrush Data'!$A$1:$Z$20000,MATCH(A1536,'Semrush Data'!$A$1:$A$20000,0),MATCH("Volume",'Semrush Data'!$A$1:$Z$1,0)),"")</f>
        <v/>
      </c>
      <c r="H1536" s="42">
        <f>IFERROR(INDEX('Semrush Data'!$A$1:$Z$20000,MATCH(A1536,'Semrush Data'!$A$1:$A$20000,0),MATCH("Keyword Difficulty*",'Semrush Data'!$A$1:$Z$1,0)),"")</f>
        <v/>
      </c>
      <c r="I1536" s="56">
        <f>IFERROR(INDEX('Semrush Data'!$A$1:$Z$20000,MATCH(A1536,'Semrush Data'!$A$1:$A$20000,0),MATCH("CPC*",'Semrush Data'!$A$1:$Z$1,0)),"")</f>
        <v/>
      </c>
      <c r="J1536" s="42">
        <f>IFERROR(INDEX('Semrush Data'!$A$1:$Z$20000,MATCH(A1536,'Semrush Data'!$A$1:$A$20000,0),MATCH("Intent",'Semrush Data'!$A$1:$Z$1,0)),"")</f>
        <v/>
      </c>
    </row>
    <row r="1537" ht="15" customHeight="1" s="37">
      <c r="A1537" s="42" t="inlineStr">
        <is>
          <t>maison de milan milano girl red eau de parfum</t>
        </is>
      </c>
      <c r="B1537" s="42" t="inlineStr">
        <is>
          <t>Product + type</t>
        </is>
      </c>
      <c r="C1537" s="42" t="n">
        <v>2</v>
      </c>
      <c r="D1537" s="42" t="n">
        <v>16</v>
      </c>
      <c r="E1537" s="42" t="n">
        <v>1</v>
      </c>
      <c r="F1537" s="42" t="inlineStr">
        <is>
          <t>FR-206</t>
        </is>
      </c>
      <c r="G1537" s="55">
        <f>IFERROR(INDEX('Semrush Data'!$A$1:$Z$20000,MATCH(A1537,'Semrush Data'!$A$1:$A$20000,0),MATCH("Volume",'Semrush Data'!$A$1:$Z$1,0)),"")</f>
        <v/>
      </c>
      <c r="H1537" s="42">
        <f>IFERROR(INDEX('Semrush Data'!$A$1:$Z$20000,MATCH(A1537,'Semrush Data'!$A$1:$A$20000,0),MATCH("Keyword Difficulty*",'Semrush Data'!$A$1:$Z$1,0)),"")</f>
        <v/>
      </c>
      <c r="I1537" s="56">
        <f>IFERROR(INDEX('Semrush Data'!$A$1:$Z$20000,MATCH(A1537,'Semrush Data'!$A$1:$A$20000,0),MATCH("CPC*",'Semrush Data'!$A$1:$Z$1,0)),"")</f>
        <v/>
      </c>
      <c r="J1537" s="42">
        <f>IFERROR(INDEX('Semrush Data'!$A$1:$Z$20000,MATCH(A1537,'Semrush Data'!$A$1:$A$20000,0),MATCH("Intent",'Semrush Data'!$A$1:$Z$1,0)),"")</f>
        <v/>
      </c>
    </row>
    <row r="1538" ht="15" customHeight="1" s="37">
      <c r="A1538" s="42" t="inlineStr">
        <is>
          <t>maison de milan milano girl white eau de parfum</t>
        </is>
      </c>
      <c r="B1538" s="42" t="inlineStr">
        <is>
          <t>Product + type</t>
        </is>
      </c>
      <c r="C1538" s="42" t="n">
        <v>2</v>
      </c>
      <c r="D1538" s="42" t="n">
        <v>16</v>
      </c>
      <c r="E1538" s="42" t="n">
        <v>1</v>
      </c>
      <c r="F1538" s="42" t="inlineStr">
        <is>
          <t>FR-207</t>
        </is>
      </c>
      <c r="G1538" s="55">
        <f>IFERROR(INDEX('Semrush Data'!$A$1:$Z$20000,MATCH(A1538,'Semrush Data'!$A$1:$A$20000,0),MATCH("Volume",'Semrush Data'!$A$1:$Z$1,0)),"")</f>
        <v/>
      </c>
      <c r="H1538" s="42">
        <f>IFERROR(INDEX('Semrush Data'!$A$1:$Z$20000,MATCH(A1538,'Semrush Data'!$A$1:$A$20000,0),MATCH("Keyword Difficulty*",'Semrush Data'!$A$1:$Z$1,0)),"")</f>
        <v/>
      </c>
      <c r="I1538" s="56">
        <f>IFERROR(INDEX('Semrush Data'!$A$1:$Z$20000,MATCH(A1538,'Semrush Data'!$A$1:$A$20000,0),MATCH("CPC*",'Semrush Data'!$A$1:$Z$1,0)),"")</f>
        <v/>
      </c>
      <c r="J1538" s="42">
        <f>IFERROR(INDEX('Semrush Data'!$A$1:$Z$20000,MATCH(A1538,'Semrush Data'!$A$1:$A$20000,0),MATCH("Intent",'Semrush Data'!$A$1:$Z$1,0)),"")</f>
        <v/>
      </c>
    </row>
    <row r="1539" ht="15" customHeight="1" s="37">
      <c r="A1539" s="42" t="inlineStr">
        <is>
          <t>maison de milan opulent gold eau de parfum</t>
        </is>
      </c>
      <c r="B1539" s="42" t="inlineStr">
        <is>
          <t>Product + type</t>
        </is>
      </c>
      <c r="C1539" s="42" t="n">
        <v>2</v>
      </c>
      <c r="D1539" s="42" t="n">
        <v>16</v>
      </c>
      <c r="E1539" s="42" t="n">
        <v>1</v>
      </c>
      <c r="F1539" s="42" t="inlineStr">
        <is>
          <t>FR-208</t>
        </is>
      </c>
      <c r="G1539" s="55">
        <f>IFERROR(INDEX('Semrush Data'!$A$1:$Z$20000,MATCH(A1539,'Semrush Data'!$A$1:$A$20000,0),MATCH("Volume",'Semrush Data'!$A$1:$Z$1,0)),"")</f>
        <v/>
      </c>
      <c r="H1539" s="42">
        <f>IFERROR(INDEX('Semrush Data'!$A$1:$Z$20000,MATCH(A1539,'Semrush Data'!$A$1:$A$20000,0),MATCH("Keyword Difficulty*",'Semrush Data'!$A$1:$Z$1,0)),"")</f>
        <v/>
      </c>
      <c r="I1539" s="56">
        <f>IFERROR(INDEX('Semrush Data'!$A$1:$Z$20000,MATCH(A1539,'Semrush Data'!$A$1:$A$20000,0),MATCH("CPC*",'Semrush Data'!$A$1:$Z$1,0)),"")</f>
        <v/>
      </c>
      <c r="J1539" s="42">
        <f>IFERROR(INDEX('Semrush Data'!$A$1:$Z$20000,MATCH(A1539,'Semrush Data'!$A$1:$A$20000,0),MATCH("Intent",'Semrush Data'!$A$1:$Z$1,0)),"")</f>
        <v/>
      </c>
    </row>
    <row r="1540" ht="15" customHeight="1" s="37">
      <c r="A1540" s="42" t="inlineStr">
        <is>
          <t>maison de milan valiant pour homme eau de parfum</t>
        </is>
      </c>
      <c r="B1540" s="42" t="inlineStr">
        <is>
          <t>Product + type</t>
        </is>
      </c>
      <c r="C1540" s="42" t="n">
        <v>2</v>
      </c>
      <c r="D1540" s="42" t="n">
        <v>16</v>
      </c>
      <c r="E1540" s="42" t="n">
        <v>1</v>
      </c>
      <c r="F1540" s="42" t="inlineStr">
        <is>
          <t>FR-209</t>
        </is>
      </c>
      <c r="G1540" s="55">
        <f>IFERROR(INDEX('Semrush Data'!$A$1:$Z$20000,MATCH(A1540,'Semrush Data'!$A$1:$A$20000,0),MATCH("Volume",'Semrush Data'!$A$1:$Z$1,0)),"")</f>
        <v/>
      </c>
      <c r="H1540" s="42">
        <f>IFERROR(INDEX('Semrush Data'!$A$1:$Z$20000,MATCH(A1540,'Semrush Data'!$A$1:$A$20000,0),MATCH("Keyword Difficulty*",'Semrush Data'!$A$1:$Z$1,0)),"")</f>
        <v/>
      </c>
      <c r="I1540" s="56">
        <f>IFERROR(INDEX('Semrush Data'!$A$1:$Z$20000,MATCH(A1540,'Semrush Data'!$A$1:$A$20000,0),MATCH("CPC*",'Semrush Data'!$A$1:$Z$1,0)),"")</f>
        <v/>
      </c>
      <c r="J1540" s="42">
        <f>IFERROR(INDEX('Semrush Data'!$A$1:$Z$20000,MATCH(A1540,'Semrush Data'!$A$1:$A$20000,0),MATCH("Intent",'Semrush Data'!$A$1:$Z$1,0)),"")</f>
        <v/>
      </c>
    </row>
    <row r="1541" ht="15" customHeight="1" s="37">
      <c r="A1541" s="42" t="inlineStr">
        <is>
          <t>mancera black noir eau de parfum</t>
        </is>
      </c>
      <c r="B1541" s="42" t="inlineStr">
        <is>
          <t>Product + type</t>
        </is>
      </c>
      <c r="C1541" s="42" t="n">
        <v>2</v>
      </c>
      <c r="D1541" s="42" t="n">
        <v>16</v>
      </c>
      <c r="E1541" s="42" t="n">
        <v>1</v>
      </c>
      <c r="F1541" s="42" t="inlineStr">
        <is>
          <t>FR-289</t>
        </is>
      </c>
      <c r="G1541" s="55">
        <f>IFERROR(INDEX('Semrush Data'!$A$1:$Z$20000,MATCH(A1541,'Semrush Data'!$A$1:$A$20000,0),MATCH("Volume",'Semrush Data'!$A$1:$Z$1,0)),"")</f>
        <v/>
      </c>
      <c r="H1541" s="42">
        <f>IFERROR(INDEX('Semrush Data'!$A$1:$Z$20000,MATCH(A1541,'Semrush Data'!$A$1:$A$20000,0),MATCH("Keyword Difficulty*",'Semrush Data'!$A$1:$Z$1,0)),"")</f>
        <v/>
      </c>
      <c r="I1541" s="56">
        <f>IFERROR(INDEX('Semrush Data'!$A$1:$Z$20000,MATCH(A1541,'Semrush Data'!$A$1:$A$20000,0),MATCH("CPC*",'Semrush Data'!$A$1:$Z$1,0)),"")</f>
        <v/>
      </c>
      <c r="J1541" s="42">
        <f>IFERROR(INDEX('Semrush Data'!$A$1:$Z$20000,MATCH(A1541,'Semrush Data'!$A$1:$A$20000,0),MATCH("Intent",'Semrush Data'!$A$1:$Z$1,0)),"")</f>
        <v/>
      </c>
    </row>
    <row r="1542" ht="15" customHeight="1" s="37">
      <c r="A1542" s="42" t="inlineStr">
        <is>
          <t>mancera intense red tobacco extrait de parfum</t>
        </is>
      </c>
      <c r="B1542" s="42" t="inlineStr">
        <is>
          <t>Product + type</t>
        </is>
      </c>
      <c r="C1542" s="42" t="n">
        <v>2</v>
      </c>
      <c r="D1542" s="42" t="inlineStr">
        <is>
          <t>T2-2</t>
        </is>
      </c>
      <c r="E1542" s="42" t="n">
        <v>1</v>
      </c>
      <c r="F1542" s="42" t="inlineStr">
        <is>
          <t>FR-290</t>
        </is>
      </c>
      <c r="G1542" s="55">
        <f>IFERROR(INDEX('Semrush Data'!$A$1:$Z$20000,MATCH(A1542,'Semrush Data'!$A$1:$A$20000,0),MATCH("Volume",'Semrush Data'!$A$1:$Z$1,0)),"")</f>
        <v/>
      </c>
      <c r="H1542" s="42">
        <f>IFERROR(INDEX('Semrush Data'!$A$1:$Z$20000,MATCH(A1542,'Semrush Data'!$A$1:$A$20000,0),MATCH("Keyword Difficulty*",'Semrush Data'!$A$1:$Z$1,0)),"")</f>
        <v/>
      </c>
      <c r="I1542" s="56">
        <f>IFERROR(INDEX('Semrush Data'!$A$1:$Z$20000,MATCH(A1542,'Semrush Data'!$A$1:$A$20000,0),MATCH("CPC*",'Semrush Data'!$A$1:$Z$1,0)),"")</f>
        <v/>
      </c>
      <c r="J1542" s="42">
        <f>IFERROR(INDEX('Semrush Data'!$A$1:$Z$20000,MATCH(A1542,'Semrush Data'!$A$1:$A$20000,0),MATCH("Intent",'Semrush Data'!$A$1:$Z$1,0)),"")</f>
        <v/>
      </c>
    </row>
    <row r="1543" ht="15" customHeight="1" s="37">
      <c r="A1543" s="42" t="inlineStr">
        <is>
          <t>marc jacobs daisy love glow limited edition eau de toilette</t>
        </is>
      </c>
      <c r="B1543" s="42" t="inlineStr">
        <is>
          <t>Product + type</t>
        </is>
      </c>
      <c r="C1543" s="42" t="n">
        <v>2</v>
      </c>
      <c r="D1543" s="42" t="n">
        <v>16</v>
      </c>
      <c r="E1543" s="42" t="n">
        <v>1</v>
      </c>
      <c r="F1543" s="42" t="inlineStr">
        <is>
          <t>FR-295</t>
        </is>
      </c>
      <c r="G1543" s="55">
        <f>IFERROR(INDEX('Semrush Data'!$A$1:$Z$20000,MATCH(A1543,'Semrush Data'!$A$1:$A$20000,0),MATCH("Volume",'Semrush Data'!$A$1:$Z$1,0)),"")</f>
        <v/>
      </c>
      <c r="H1543" s="42">
        <f>IFERROR(INDEX('Semrush Data'!$A$1:$Z$20000,MATCH(A1543,'Semrush Data'!$A$1:$A$20000,0),MATCH("Keyword Difficulty*",'Semrush Data'!$A$1:$Z$1,0)),"")</f>
        <v/>
      </c>
      <c r="I1543" s="56">
        <f>IFERROR(INDEX('Semrush Data'!$A$1:$Z$20000,MATCH(A1543,'Semrush Data'!$A$1:$A$20000,0),MATCH("CPC*",'Semrush Data'!$A$1:$Z$1,0)),"")</f>
        <v/>
      </c>
      <c r="J1543" s="42">
        <f>IFERROR(INDEX('Semrush Data'!$A$1:$Z$20000,MATCH(A1543,'Semrush Data'!$A$1:$A$20000,0),MATCH("Intent",'Semrush Data'!$A$1:$Z$1,0)),"")</f>
        <v/>
      </c>
    </row>
    <row r="1544" ht="15" customHeight="1" s="37">
      <c r="A1544" s="42" t="inlineStr">
        <is>
          <t>marc jacobs daisy love miniature eau de toilette</t>
        </is>
      </c>
      <c r="B1544" s="42" t="inlineStr">
        <is>
          <t>Product + type</t>
        </is>
      </c>
      <c r="C1544" s="42" t="n">
        <v>2</v>
      </c>
      <c r="D1544" s="42" t="n">
        <v>16</v>
      </c>
      <c r="E1544" s="42" t="n">
        <v>1</v>
      </c>
      <c r="F1544" s="42" t="inlineStr">
        <is>
          <t>FR-294</t>
        </is>
      </c>
      <c r="G1544" s="55">
        <f>IFERROR(INDEX('Semrush Data'!$A$1:$Z$20000,MATCH(A1544,'Semrush Data'!$A$1:$A$20000,0),MATCH("Volume",'Semrush Data'!$A$1:$Z$1,0)),"")</f>
        <v/>
      </c>
      <c r="H1544" s="42">
        <f>IFERROR(INDEX('Semrush Data'!$A$1:$Z$20000,MATCH(A1544,'Semrush Data'!$A$1:$A$20000,0),MATCH("Keyword Difficulty*",'Semrush Data'!$A$1:$Z$1,0)),"")</f>
        <v/>
      </c>
      <c r="I1544" s="56">
        <f>IFERROR(INDEX('Semrush Data'!$A$1:$Z$20000,MATCH(A1544,'Semrush Data'!$A$1:$A$20000,0),MATCH("CPC*",'Semrush Data'!$A$1:$Z$1,0)),"")</f>
        <v/>
      </c>
      <c r="J1544" s="42">
        <f>IFERROR(INDEX('Semrush Data'!$A$1:$Z$20000,MATCH(A1544,'Semrush Data'!$A$1:$A$20000,0),MATCH("Intent",'Semrush Data'!$A$1:$Z$1,0)),"")</f>
        <v/>
      </c>
    </row>
    <row r="1545" ht="15" customHeight="1" s="37">
      <c r="A1545" s="42" t="inlineStr">
        <is>
          <t>marc jacobs honey eau de parfum</t>
        </is>
      </c>
      <c r="B1545" s="42" t="inlineStr">
        <is>
          <t>Product + type</t>
        </is>
      </c>
      <c r="C1545" s="42" t="n">
        <v>2</v>
      </c>
      <c r="D1545" s="42" t="inlineStr">
        <is>
          <t>T2-1</t>
        </is>
      </c>
      <c r="E1545" s="42" t="n">
        <v>1</v>
      </c>
      <c r="F1545" s="42" t="inlineStr">
        <is>
          <t>FR-291</t>
        </is>
      </c>
      <c r="G1545" s="55">
        <f>IFERROR(INDEX('Semrush Data'!$A$1:$Z$20000,MATCH(A1545,'Semrush Data'!$A$1:$A$20000,0),MATCH("Volume",'Semrush Data'!$A$1:$Z$1,0)),"")</f>
        <v/>
      </c>
      <c r="H1545" s="42">
        <f>IFERROR(INDEX('Semrush Data'!$A$1:$Z$20000,MATCH(A1545,'Semrush Data'!$A$1:$A$20000,0),MATCH("Keyword Difficulty*",'Semrush Data'!$A$1:$Z$1,0)),"")</f>
        <v/>
      </c>
      <c r="I1545" s="56">
        <f>IFERROR(INDEX('Semrush Data'!$A$1:$Z$20000,MATCH(A1545,'Semrush Data'!$A$1:$A$20000,0),MATCH("CPC*",'Semrush Data'!$A$1:$Z$1,0)),"")</f>
        <v/>
      </c>
      <c r="J1545" s="42">
        <f>IFERROR(INDEX('Semrush Data'!$A$1:$Z$20000,MATCH(A1545,'Semrush Data'!$A$1:$A$20000,0),MATCH("Intent",'Semrush Data'!$A$1:$Z$1,0)),"")</f>
        <v/>
      </c>
    </row>
    <row r="1546" ht="15" customHeight="1" s="37">
      <c r="A1546" s="42" t="inlineStr">
        <is>
          <t>marc jacobs perfect eau de parfum</t>
        </is>
      </c>
      <c r="B1546" s="42" t="inlineStr">
        <is>
          <t>Product + type</t>
        </is>
      </c>
      <c r="C1546" s="42" t="n">
        <v>2</v>
      </c>
      <c r="D1546" s="42" t="inlineStr">
        <is>
          <t>T2-1</t>
        </is>
      </c>
      <c r="E1546" s="42" t="n">
        <v>1</v>
      </c>
      <c r="F1546" s="42" t="inlineStr">
        <is>
          <t>FR-292</t>
        </is>
      </c>
      <c r="G1546" s="55">
        <f>IFERROR(INDEX('Semrush Data'!$A$1:$Z$20000,MATCH(A1546,'Semrush Data'!$A$1:$A$20000,0),MATCH("Volume",'Semrush Data'!$A$1:$Z$1,0)),"")</f>
        <v/>
      </c>
      <c r="H1546" s="42">
        <f>IFERROR(INDEX('Semrush Data'!$A$1:$Z$20000,MATCH(A1546,'Semrush Data'!$A$1:$A$20000,0),MATCH("Keyword Difficulty*",'Semrush Data'!$A$1:$Z$1,0)),"")</f>
        <v/>
      </c>
      <c r="I1546" s="56">
        <f>IFERROR(INDEX('Semrush Data'!$A$1:$Z$20000,MATCH(A1546,'Semrush Data'!$A$1:$A$20000,0),MATCH("CPC*",'Semrush Data'!$A$1:$Z$1,0)),"")</f>
        <v/>
      </c>
      <c r="J1546" s="42">
        <f>IFERROR(INDEX('Semrush Data'!$A$1:$Z$20000,MATCH(A1546,'Semrush Data'!$A$1:$A$20000,0),MATCH("Intent",'Semrush Data'!$A$1:$Z$1,0)),"")</f>
        <v/>
      </c>
    </row>
    <row r="1547" ht="15" customHeight="1" s="37">
      <c r="A1547" s="42" t="inlineStr">
        <is>
          <t>marc jacobs perfect elixir miniature eau de parfum</t>
        </is>
      </c>
      <c r="B1547" s="42" t="inlineStr">
        <is>
          <t>Product + type</t>
        </is>
      </c>
      <c r="C1547" s="42" t="n">
        <v>2</v>
      </c>
      <c r="D1547" s="42" t="n">
        <v>16</v>
      </c>
      <c r="E1547" s="42" t="n">
        <v>1</v>
      </c>
      <c r="F1547" s="42" t="inlineStr">
        <is>
          <t>FR-293</t>
        </is>
      </c>
      <c r="G1547" s="55">
        <f>IFERROR(INDEX('Semrush Data'!$A$1:$Z$20000,MATCH(A1547,'Semrush Data'!$A$1:$A$20000,0),MATCH("Volume",'Semrush Data'!$A$1:$Z$1,0)),"")</f>
        <v/>
      </c>
      <c r="H1547" s="42">
        <f>IFERROR(INDEX('Semrush Data'!$A$1:$Z$20000,MATCH(A1547,'Semrush Data'!$A$1:$A$20000,0),MATCH("Keyword Difficulty*",'Semrush Data'!$A$1:$Z$1,0)),"")</f>
        <v/>
      </c>
      <c r="I1547" s="56">
        <f>IFERROR(INDEX('Semrush Data'!$A$1:$Z$20000,MATCH(A1547,'Semrush Data'!$A$1:$A$20000,0),MATCH("CPC*",'Semrush Data'!$A$1:$Z$1,0)),"")</f>
        <v/>
      </c>
      <c r="J1547" s="42">
        <f>IFERROR(INDEX('Semrush Data'!$A$1:$Z$20000,MATCH(A1547,'Semrush Data'!$A$1:$A$20000,0),MATCH("Intent",'Semrush Data'!$A$1:$Z$1,0)),"")</f>
        <v/>
      </c>
    </row>
    <row r="1548" ht="15" customHeight="1" s="37">
      <c r="A1548" s="42" t="inlineStr">
        <is>
          <t>marc jacobs perfect miniature eau de toilette</t>
        </is>
      </c>
      <c r="B1548" s="42" t="inlineStr">
        <is>
          <t>Product + type</t>
        </is>
      </c>
      <c r="C1548" s="42" t="n">
        <v>2</v>
      </c>
      <c r="D1548" s="42" t="n">
        <v>16</v>
      </c>
      <c r="E1548" s="42" t="n">
        <v>1</v>
      </c>
      <c r="F1548" s="42" t="inlineStr">
        <is>
          <t>FR-296</t>
        </is>
      </c>
      <c r="G1548" s="55">
        <f>IFERROR(INDEX('Semrush Data'!$A$1:$Z$20000,MATCH(A1548,'Semrush Data'!$A$1:$A$20000,0),MATCH("Volume",'Semrush Data'!$A$1:$Z$1,0)),"")</f>
        <v/>
      </c>
      <c r="H1548" s="42">
        <f>IFERROR(INDEX('Semrush Data'!$A$1:$Z$20000,MATCH(A1548,'Semrush Data'!$A$1:$A$20000,0),MATCH("Keyword Difficulty*",'Semrush Data'!$A$1:$Z$1,0)),"")</f>
        <v/>
      </c>
      <c r="I1548" s="56">
        <f>IFERROR(INDEX('Semrush Data'!$A$1:$Z$20000,MATCH(A1548,'Semrush Data'!$A$1:$A$20000,0),MATCH("CPC*",'Semrush Data'!$A$1:$Z$1,0)),"")</f>
        <v/>
      </c>
      <c r="J1548" s="42">
        <f>IFERROR(INDEX('Semrush Data'!$A$1:$Z$20000,MATCH(A1548,'Semrush Data'!$A$1:$A$20000,0),MATCH("Intent",'Semrush Data'!$A$1:$Z$1,0)),"")</f>
        <v/>
      </c>
    </row>
    <row r="1549" ht="15" customHeight="1" s="37">
      <c r="A1549" s="42" t="inlineStr">
        <is>
          <t>montale aoud damascus eau de parfum</t>
        </is>
      </c>
      <c r="B1549" s="42" t="inlineStr">
        <is>
          <t>Product + type</t>
        </is>
      </c>
      <c r="C1549" s="42" t="n">
        <v>2</v>
      </c>
      <c r="D1549" s="42" t="n">
        <v>16</v>
      </c>
      <c r="E1549" s="42" t="n">
        <v>1</v>
      </c>
      <c r="F1549" s="42" t="inlineStr">
        <is>
          <t>FR-298</t>
        </is>
      </c>
      <c r="G1549" s="55">
        <f>IFERROR(INDEX('Semrush Data'!$A$1:$Z$20000,MATCH(A1549,'Semrush Data'!$A$1:$A$20000,0),MATCH("Volume",'Semrush Data'!$A$1:$Z$1,0)),"")</f>
        <v/>
      </c>
      <c r="H1549" s="42">
        <f>IFERROR(INDEX('Semrush Data'!$A$1:$Z$20000,MATCH(A1549,'Semrush Data'!$A$1:$A$20000,0),MATCH("Keyword Difficulty*",'Semrush Data'!$A$1:$Z$1,0)),"")</f>
        <v/>
      </c>
      <c r="I1549" s="56">
        <f>IFERROR(INDEX('Semrush Data'!$A$1:$Z$20000,MATCH(A1549,'Semrush Data'!$A$1:$A$20000,0),MATCH("CPC*",'Semrush Data'!$A$1:$Z$1,0)),"")</f>
        <v/>
      </c>
      <c r="J1549" s="42">
        <f>IFERROR(INDEX('Semrush Data'!$A$1:$Z$20000,MATCH(A1549,'Semrush Data'!$A$1:$A$20000,0),MATCH("Intent",'Semrush Data'!$A$1:$Z$1,0)),"")</f>
        <v/>
      </c>
    </row>
    <row r="1550" ht="15" customHeight="1" s="37">
      <c r="A1550" s="42" t="inlineStr">
        <is>
          <t>montale aoud safran eau de parfum</t>
        </is>
      </c>
      <c r="B1550" s="42" t="inlineStr">
        <is>
          <t>Product + type</t>
        </is>
      </c>
      <c r="C1550" s="42" t="n">
        <v>2</v>
      </c>
      <c r="D1550" s="42" t="n">
        <v>16</v>
      </c>
      <c r="E1550" s="42" t="n">
        <v>1</v>
      </c>
      <c r="F1550" s="42" t="inlineStr">
        <is>
          <t>FR-299</t>
        </is>
      </c>
      <c r="G1550" s="55">
        <f>IFERROR(INDEX('Semrush Data'!$A$1:$Z$20000,MATCH(A1550,'Semrush Data'!$A$1:$A$20000,0),MATCH("Volume",'Semrush Data'!$A$1:$Z$1,0)),"")</f>
        <v/>
      </c>
      <c r="H1550" s="42">
        <f>IFERROR(INDEX('Semrush Data'!$A$1:$Z$20000,MATCH(A1550,'Semrush Data'!$A$1:$A$20000,0),MATCH("Keyword Difficulty*",'Semrush Data'!$A$1:$Z$1,0)),"")</f>
        <v/>
      </c>
      <c r="I1550" s="56">
        <f>IFERROR(INDEX('Semrush Data'!$A$1:$Z$20000,MATCH(A1550,'Semrush Data'!$A$1:$A$20000,0),MATCH("CPC*",'Semrush Data'!$A$1:$Z$1,0)),"")</f>
        <v/>
      </c>
      <c r="J1550" s="42">
        <f>IFERROR(INDEX('Semrush Data'!$A$1:$Z$20000,MATCH(A1550,'Semrush Data'!$A$1:$A$20000,0),MATCH("Intent",'Semrush Data'!$A$1:$Z$1,0)),"")</f>
        <v/>
      </c>
    </row>
    <row r="1551" ht="15" customHeight="1" s="37">
      <c r="A1551" s="42" t="inlineStr">
        <is>
          <t>nina ricci l'air du temps eau de toilette</t>
        </is>
      </c>
      <c r="B1551" s="42" t="inlineStr">
        <is>
          <t>Product + type</t>
        </is>
      </c>
      <c r="C1551" s="42" t="n">
        <v>2</v>
      </c>
      <c r="D1551" s="42" t="inlineStr">
        <is>
          <t>T2-1</t>
        </is>
      </c>
      <c r="E1551" s="42" t="n">
        <v>2</v>
      </c>
      <c r="F1551" s="42" t="inlineStr">
        <is>
          <t>FR-302, FR-303</t>
        </is>
      </c>
      <c r="G1551" s="55">
        <f>IFERROR(INDEX('Semrush Data'!$A$1:$Z$20000,MATCH(A1551,'Semrush Data'!$A$1:$A$20000,0),MATCH("Volume",'Semrush Data'!$A$1:$Z$1,0)),"")</f>
        <v/>
      </c>
      <c r="H1551" s="42">
        <f>IFERROR(INDEX('Semrush Data'!$A$1:$Z$20000,MATCH(A1551,'Semrush Data'!$A$1:$A$20000,0),MATCH("Keyword Difficulty*",'Semrush Data'!$A$1:$Z$1,0)),"")</f>
        <v/>
      </c>
      <c r="I1551" s="56">
        <f>IFERROR(INDEX('Semrush Data'!$A$1:$Z$20000,MATCH(A1551,'Semrush Data'!$A$1:$A$20000,0),MATCH("CPC*",'Semrush Data'!$A$1:$Z$1,0)),"")</f>
        <v/>
      </c>
      <c r="J1551" s="42">
        <f>IFERROR(INDEX('Semrush Data'!$A$1:$Z$20000,MATCH(A1551,'Semrush Data'!$A$1:$A$20000,0),MATCH("Intent",'Semrush Data'!$A$1:$Z$1,0)),"")</f>
        <v/>
      </c>
    </row>
    <row r="1552" ht="15" customHeight="1" s="37">
      <c r="A1552" s="42" t="inlineStr">
        <is>
          <t>nina ricci nina illusion eau de parfum</t>
        </is>
      </c>
      <c r="B1552" s="42" t="inlineStr">
        <is>
          <t>Product + type</t>
        </is>
      </c>
      <c r="C1552" s="42" t="n">
        <v>2</v>
      </c>
      <c r="D1552" s="42" t="n">
        <v>16</v>
      </c>
      <c r="E1552" s="42" t="n">
        <v>1</v>
      </c>
      <c r="F1552" s="42" t="inlineStr">
        <is>
          <t>FR-300</t>
        </is>
      </c>
      <c r="G1552" s="55">
        <f>IFERROR(INDEX('Semrush Data'!$A$1:$Z$20000,MATCH(A1552,'Semrush Data'!$A$1:$A$20000,0),MATCH("Volume",'Semrush Data'!$A$1:$Z$1,0)),"")</f>
        <v/>
      </c>
      <c r="H1552" s="42">
        <f>IFERROR(INDEX('Semrush Data'!$A$1:$Z$20000,MATCH(A1552,'Semrush Data'!$A$1:$A$20000,0),MATCH("Keyword Difficulty*",'Semrush Data'!$A$1:$Z$1,0)),"")</f>
        <v/>
      </c>
      <c r="I1552" s="56">
        <f>IFERROR(INDEX('Semrush Data'!$A$1:$Z$20000,MATCH(A1552,'Semrush Data'!$A$1:$A$20000,0),MATCH("CPC*",'Semrush Data'!$A$1:$Z$1,0)),"")</f>
        <v/>
      </c>
      <c r="J1552" s="42">
        <f>IFERROR(INDEX('Semrush Data'!$A$1:$Z$20000,MATCH(A1552,'Semrush Data'!$A$1:$A$20000,0),MATCH("Intent",'Semrush Data'!$A$1:$Z$1,0)),"")</f>
        <v/>
      </c>
    </row>
    <row r="1553" ht="15" customHeight="1" s="37">
      <c r="A1553" s="42" t="inlineStr">
        <is>
          <t>nina ricci nina precious gold eau de parfum</t>
        </is>
      </c>
      <c r="B1553" s="42" t="inlineStr">
        <is>
          <t>Product + type</t>
        </is>
      </c>
      <c r="C1553" s="42" t="n">
        <v>2</v>
      </c>
      <c r="D1553" s="42" t="n">
        <v>16</v>
      </c>
      <c r="E1553" s="42" t="n">
        <v>1</v>
      </c>
      <c r="F1553" s="42" t="inlineStr">
        <is>
          <t>FR-301</t>
        </is>
      </c>
      <c r="G1553" s="55">
        <f>IFERROR(INDEX('Semrush Data'!$A$1:$Z$20000,MATCH(A1553,'Semrush Data'!$A$1:$A$20000,0),MATCH("Volume",'Semrush Data'!$A$1:$Z$1,0)),"")</f>
        <v/>
      </c>
      <c r="H1553" s="42">
        <f>IFERROR(INDEX('Semrush Data'!$A$1:$Z$20000,MATCH(A1553,'Semrush Data'!$A$1:$A$20000,0),MATCH("Keyword Difficulty*",'Semrush Data'!$A$1:$Z$1,0)),"")</f>
        <v/>
      </c>
      <c r="I1553" s="56">
        <f>IFERROR(INDEX('Semrush Data'!$A$1:$Z$20000,MATCH(A1553,'Semrush Data'!$A$1:$A$20000,0),MATCH("CPC*",'Semrush Data'!$A$1:$Z$1,0)),"")</f>
        <v/>
      </c>
      <c r="J1553" s="42">
        <f>IFERROR(INDEX('Semrush Data'!$A$1:$Z$20000,MATCH(A1553,'Semrush Data'!$A$1:$A$20000,0),MATCH("Intent",'Semrush Data'!$A$1:$Z$1,0)),"")</f>
        <v/>
      </c>
    </row>
    <row r="1554" ht="15" customHeight="1" s="37">
      <c r="A1554" s="42" t="inlineStr">
        <is>
          <t>paloma picasso eau de toilette</t>
        </is>
      </c>
      <c r="B1554" s="42" t="inlineStr">
        <is>
          <t>Product + type</t>
        </is>
      </c>
      <c r="C1554" s="42" t="n">
        <v>2</v>
      </c>
      <c r="D1554" s="42" t="inlineStr">
        <is>
          <t>T2-1</t>
        </is>
      </c>
      <c r="E1554" s="42" t="n">
        <v>1</v>
      </c>
      <c r="F1554" s="42" t="inlineStr">
        <is>
          <t>FR-304</t>
        </is>
      </c>
      <c r="G1554" s="55">
        <f>IFERROR(INDEX('Semrush Data'!$A$1:$Z$20000,MATCH(A1554,'Semrush Data'!$A$1:$A$20000,0),MATCH("Volume",'Semrush Data'!$A$1:$Z$1,0)),"")</f>
        <v/>
      </c>
      <c r="H1554" s="42">
        <f>IFERROR(INDEX('Semrush Data'!$A$1:$Z$20000,MATCH(A1554,'Semrush Data'!$A$1:$A$20000,0),MATCH("Keyword Difficulty*",'Semrush Data'!$A$1:$Z$1,0)),"")</f>
        <v/>
      </c>
      <c r="I1554" s="56">
        <f>IFERROR(INDEX('Semrush Data'!$A$1:$Z$20000,MATCH(A1554,'Semrush Data'!$A$1:$A$20000,0),MATCH("CPC*",'Semrush Data'!$A$1:$Z$1,0)),"")</f>
        <v/>
      </c>
      <c r="J1554" s="42">
        <f>IFERROR(INDEX('Semrush Data'!$A$1:$Z$20000,MATCH(A1554,'Semrush Data'!$A$1:$A$20000,0),MATCH("Intent",'Semrush Data'!$A$1:$Z$1,0)),"")</f>
        <v/>
      </c>
    </row>
    <row r="1555" ht="15" customHeight="1" s="37">
      <c r="A1555" s="42" t="inlineStr">
        <is>
          <t>philipp plein no limits super fresh eau de toilette</t>
        </is>
      </c>
      <c r="B1555" s="42" t="inlineStr">
        <is>
          <t>Product + type</t>
        </is>
      </c>
      <c r="C1555" s="42" t="n">
        <v>2</v>
      </c>
      <c r="D1555" s="42" t="n">
        <v>16</v>
      </c>
      <c r="E1555" s="42" t="n">
        <v>1</v>
      </c>
      <c r="F1555" s="42" t="inlineStr">
        <is>
          <t>FR-306</t>
        </is>
      </c>
      <c r="G1555" s="55">
        <f>IFERROR(INDEX('Semrush Data'!$A$1:$Z$20000,MATCH(A1555,'Semrush Data'!$A$1:$A$20000,0),MATCH("Volume",'Semrush Data'!$A$1:$Z$1,0)),"")</f>
        <v/>
      </c>
      <c r="H1555" s="42">
        <f>IFERROR(INDEX('Semrush Data'!$A$1:$Z$20000,MATCH(A1555,'Semrush Data'!$A$1:$A$20000,0),MATCH("Keyword Difficulty*",'Semrush Data'!$A$1:$Z$1,0)),"")</f>
        <v/>
      </c>
      <c r="I1555" s="56">
        <f>IFERROR(INDEX('Semrush Data'!$A$1:$Z$20000,MATCH(A1555,'Semrush Data'!$A$1:$A$20000,0),MATCH("CPC*",'Semrush Data'!$A$1:$Z$1,0)),"")</f>
        <v/>
      </c>
      <c r="J1555" s="42">
        <f>IFERROR(INDEX('Semrush Data'!$A$1:$Z$20000,MATCH(A1555,'Semrush Data'!$A$1:$A$20000,0),MATCH("Intent",'Semrush Data'!$A$1:$Z$1,0)),"")</f>
        <v/>
      </c>
    </row>
    <row r="1556" ht="15" customHeight="1" s="37">
      <c r="A1556" s="42" t="inlineStr">
        <is>
          <t>rihanah ajwaa oud eau de parfum</t>
        </is>
      </c>
      <c r="B1556" s="42" t="inlineStr">
        <is>
          <t>Product + type</t>
        </is>
      </c>
      <c r="C1556" s="42" t="n">
        <v>2</v>
      </c>
      <c r="D1556" s="42" t="n">
        <v>16</v>
      </c>
      <c r="E1556" s="42" t="n">
        <v>1</v>
      </c>
      <c r="F1556" s="42" t="inlineStr">
        <is>
          <t>FR-308</t>
        </is>
      </c>
      <c r="G1556" s="55">
        <f>IFERROR(INDEX('Semrush Data'!$A$1:$Z$20000,MATCH(A1556,'Semrush Data'!$A$1:$A$20000,0),MATCH("Volume",'Semrush Data'!$A$1:$Z$1,0)),"")</f>
        <v/>
      </c>
      <c r="H1556" s="42">
        <f>IFERROR(INDEX('Semrush Data'!$A$1:$Z$20000,MATCH(A1556,'Semrush Data'!$A$1:$A$20000,0),MATCH("Keyword Difficulty*",'Semrush Data'!$A$1:$Z$1,0)),"")</f>
        <v/>
      </c>
      <c r="I1556" s="56">
        <f>IFERROR(INDEX('Semrush Data'!$A$1:$Z$20000,MATCH(A1556,'Semrush Data'!$A$1:$A$20000,0),MATCH("CPC*",'Semrush Data'!$A$1:$Z$1,0)),"")</f>
        <v/>
      </c>
      <c r="J1556" s="42">
        <f>IFERROR(INDEX('Semrush Data'!$A$1:$Z$20000,MATCH(A1556,'Semrush Data'!$A$1:$A$20000,0),MATCH("Intent",'Semrush Data'!$A$1:$Z$1,0)),"")</f>
        <v/>
      </c>
    </row>
    <row r="1557" ht="15" customHeight="1" s="37">
      <c r="A1557" s="42" t="inlineStr">
        <is>
          <t>roll it 1 eau de parfum</t>
        </is>
      </c>
      <c r="B1557" s="42" t="inlineStr">
        <is>
          <t>Product + type</t>
        </is>
      </c>
      <c r="C1557" s="42" t="n">
        <v>2</v>
      </c>
      <c r="D1557" s="42" t="n">
        <v>16</v>
      </c>
      <c r="E1557" s="42" t="n">
        <v>1</v>
      </c>
      <c r="F1557" s="42" t="inlineStr">
        <is>
          <t>FR-210</t>
        </is>
      </c>
      <c r="G1557" s="55">
        <f>IFERROR(INDEX('Semrush Data'!$A$1:$Z$20000,MATCH(A1557,'Semrush Data'!$A$1:$A$20000,0),MATCH("Volume",'Semrush Data'!$A$1:$Z$1,0)),"")</f>
        <v/>
      </c>
      <c r="H1557" s="42">
        <f>IFERROR(INDEX('Semrush Data'!$A$1:$Z$20000,MATCH(A1557,'Semrush Data'!$A$1:$A$20000,0),MATCH("Keyword Difficulty*",'Semrush Data'!$A$1:$Z$1,0)),"")</f>
        <v/>
      </c>
      <c r="I1557" s="56">
        <f>IFERROR(INDEX('Semrush Data'!$A$1:$Z$20000,MATCH(A1557,'Semrush Data'!$A$1:$A$20000,0),MATCH("CPC*",'Semrush Data'!$A$1:$Z$1,0)),"")</f>
        <v/>
      </c>
      <c r="J1557" s="42">
        <f>IFERROR(INDEX('Semrush Data'!$A$1:$Z$20000,MATCH(A1557,'Semrush Data'!$A$1:$A$20000,0),MATCH("Intent",'Semrush Data'!$A$1:$Z$1,0)),"")</f>
        <v/>
      </c>
    </row>
    <row r="1558" ht="15" customHeight="1" s="37">
      <c r="A1558" s="42" t="inlineStr">
        <is>
          <t>s.t. dupont perfect tobacco eau de parfum</t>
        </is>
      </c>
      <c r="B1558" s="42" t="inlineStr">
        <is>
          <t>Product + type</t>
        </is>
      </c>
      <c r="C1558" s="42" t="n">
        <v>2</v>
      </c>
      <c r="D1558" s="42" t="n">
        <v>16</v>
      </c>
      <c r="E1558" s="42" t="n">
        <v>1</v>
      </c>
      <c r="F1558" s="42" t="inlineStr">
        <is>
          <t>FR-309</t>
        </is>
      </c>
      <c r="G1558" s="55">
        <f>IFERROR(INDEX('Semrush Data'!$A$1:$Z$20000,MATCH(A1558,'Semrush Data'!$A$1:$A$20000,0),MATCH("Volume",'Semrush Data'!$A$1:$Z$1,0)),"")</f>
        <v/>
      </c>
      <c r="H1558" s="42">
        <f>IFERROR(INDEX('Semrush Data'!$A$1:$Z$20000,MATCH(A1558,'Semrush Data'!$A$1:$A$20000,0),MATCH("Keyword Difficulty*",'Semrush Data'!$A$1:$Z$1,0)),"")</f>
        <v/>
      </c>
      <c r="I1558" s="56">
        <f>IFERROR(INDEX('Semrush Data'!$A$1:$Z$20000,MATCH(A1558,'Semrush Data'!$A$1:$A$20000,0),MATCH("CPC*",'Semrush Data'!$A$1:$Z$1,0)),"")</f>
        <v/>
      </c>
      <c r="J1558" s="42">
        <f>IFERROR(INDEX('Semrush Data'!$A$1:$Z$20000,MATCH(A1558,'Semrush Data'!$A$1:$A$20000,0),MATCH("Intent",'Semrush Data'!$A$1:$Z$1,0)),"")</f>
        <v/>
      </c>
    </row>
    <row r="1559" ht="15" customHeight="1" s="37">
      <c r="A1559" s="42" t="inlineStr">
        <is>
          <t>s.t. dupont pure bloom eau de parfum</t>
        </is>
      </c>
      <c r="B1559" s="42" t="inlineStr">
        <is>
          <t>Product + type</t>
        </is>
      </c>
      <c r="C1559" s="42" t="n">
        <v>2</v>
      </c>
      <c r="D1559" s="42" t="n">
        <v>16</v>
      </c>
      <c r="E1559" s="42" t="n">
        <v>1</v>
      </c>
      <c r="F1559" s="42" t="inlineStr">
        <is>
          <t>FR-310</t>
        </is>
      </c>
      <c r="G1559" s="55">
        <f>IFERROR(INDEX('Semrush Data'!$A$1:$Z$20000,MATCH(A1559,'Semrush Data'!$A$1:$A$20000,0),MATCH("Volume",'Semrush Data'!$A$1:$Z$1,0)),"")</f>
        <v/>
      </c>
      <c r="H1559" s="42">
        <f>IFERROR(INDEX('Semrush Data'!$A$1:$Z$20000,MATCH(A1559,'Semrush Data'!$A$1:$A$20000,0),MATCH("Keyword Difficulty*",'Semrush Data'!$A$1:$Z$1,0)),"")</f>
        <v/>
      </c>
      <c r="I1559" s="56">
        <f>IFERROR(INDEX('Semrush Data'!$A$1:$Z$20000,MATCH(A1559,'Semrush Data'!$A$1:$A$20000,0),MATCH("CPC*",'Semrush Data'!$A$1:$Z$1,0)),"")</f>
        <v/>
      </c>
      <c r="J1559" s="42">
        <f>IFERROR(INDEX('Semrush Data'!$A$1:$Z$20000,MATCH(A1559,'Semrush Data'!$A$1:$A$20000,0),MATCH("Intent",'Semrush Data'!$A$1:$Z$1,0)),"")</f>
        <v/>
      </c>
    </row>
    <row r="1560" ht="15" customHeight="1" s="37">
      <c r="A1560" s="42" t="inlineStr">
        <is>
          <t>s.t. dupont royal amber eau de parfum</t>
        </is>
      </c>
      <c r="B1560" s="42" t="inlineStr">
        <is>
          <t>Product + type</t>
        </is>
      </c>
      <c r="C1560" s="42" t="n">
        <v>2</v>
      </c>
      <c r="D1560" s="42" t="n">
        <v>16</v>
      </c>
      <c r="E1560" s="42" t="n">
        <v>1</v>
      </c>
      <c r="F1560" s="42" t="inlineStr">
        <is>
          <t>FR-311</t>
        </is>
      </c>
      <c r="G1560" s="55">
        <f>IFERROR(INDEX('Semrush Data'!$A$1:$Z$20000,MATCH(A1560,'Semrush Data'!$A$1:$A$20000,0),MATCH("Volume",'Semrush Data'!$A$1:$Z$1,0)),"")</f>
        <v/>
      </c>
      <c r="H1560" s="42">
        <f>IFERROR(INDEX('Semrush Data'!$A$1:$Z$20000,MATCH(A1560,'Semrush Data'!$A$1:$A$20000,0),MATCH("Keyword Difficulty*",'Semrush Data'!$A$1:$Z$1,0)),"")</f>
        <v/>
      </c>
      <c r="I1560" s="56">
        <f>IFERROR(INDEX('Semrush Data'!$A$1:$Z$20000,MATCH(A1560,'Semrush Data'!$A$1:$A$20000,0),MATCH("CPC*",'Semrush Data'!$A$1:$Z$1,0)),"")</f>
        <v/>
      </c>
      <c r="J1560" s="42">
        <f>IFERROR(INDEX('Semrush Data'!$A$1:$Z$20000,MATCH(A1560,'Semrush Data'!$A$1:$A$20000,0),MATCH("Intent",'Semrush Data'!$A$1:$Z$1,0)),"")</f>
        <v/>
      </c>
    </row>
    <row r="1561" ht="15" customHeight="1" s="37">
      <c r="A1561" s="42" t="inlineStr">
        <is>
          <t>sap le roi extrait de parfum</t>
        </is>
      </c>
      <c r="B1561" s="42" t="inlineStr">
        <is>
          <t>Product + type</t>
        </is>
      </c>
      <c r="C1561" s="42" t="n">
        <v>2</v>
      </c>
      <c r="D1561" s="42" t="n">
        <v>16</v>
      </c>
      <c r="E1561" s="42" t="n">
        <v>1</v>
      </c>
      <c r="F1561" s="42" t="inlineStr">
        <is>
          <t>FR-312</t>
        </is>
      </c>
      <c r="G1561" s="55">
        <f>IFERROR(INDEX('Semrush Data'!$A$1:$Z$20000,MATCH(A1561,'Semrush Data'!$A$1:$A$20000,0),MATCH("Volume",'Semrush Data'!$A$1:$Z$1,0)),"")</f>
        <v/>
      </c>
      <c r="H1561" s="42">
        <f>IFERROR(INDEX('Semrush Data'!$A$1:$Z$20000,MATCH(A1561,'Semrush Data'!$A$1:$A$20000,0),MATCH("Keyword Difficulty*",'Semrush Data'!$A$1:$Z$1,0)),"")</f>
        <v/>
      </c>
      <c r="I1561" s="56">
        <f>IFERROR(INDEX('Semrush Data'!$A$1:$Z$20000,MATCH(A1561,'Semrush Data'!$A$1:$A$20000,0),MATCH("CPC*",'Semrush Data'!$A$1:$Z$1,0)),"")</f>
        <v/>
      </c>
      <c r="J1561" s="42">
        <f>IFERROR(INDEX('Semrush Data'!$A$1:$Z$20000,MATCH(A1561,'Semrush Data'!$A$1:$A$20000,0),MATCH("Intent",'Semrush Data'!$A$1:$Z$1,0)),"")</f>
        <v/>
      </c>
    </row>
    <row r="1562" ht="15" customHeight="1" s="37">
      <c r="A1562" s="42" t="inlineStr">
        <is>
          <t>sap oud leopard fr extrait de parfum</t>
        </is>
      </c>
      <c r="B1562" s="42" t="inlineStr">
        <is>
          <t>Product + type</t>
        </is>
      </c>
      <c r="C1562" s="42" t="n">
        <v>2</v>
      </c>
      <c r="D1562" s="42" t="n">
        <v>16</v>
      </c>
      <c r="E1562" s="42" t="n">
        <v>1</v>
      </c>
      <c r="F1562" s="42" t="inlineStr">
        <is>
          <t>FR-313</t>
        </is>
      </c>
      <c r="G1562" s="55">
        <f>IFERROR(INDEX('Semrush Data'!$A$1:$Z$20000,MATCH(A1562,'Semrush Data'!$A$1:$A$20000,0),MATCH("Volume",'Semrush Data'!$A$1:$Z$1,0)),"")</f>
        <v/>
      </c>
      <c r="H1562" s="42">
        <f>IFERROR(INDEX('Semrush Data'!$A$1:$Z$20000,MATCH(A1562,'Semrush Data'!$A$1:$A$20000,0),MATCH("Keyword Difficulty*",'Semrush Data'!$A$1:$Z$1,0)),"")</f>
        <v/>
      </c>
      <c r="I1562" s="56">
        <f>IFERROR(INDEX('Semrush Data'!$A$1:$Z$20000,MATCH(A1562,'Semrush Data'!$A$1:$A$20000,0),MATCH("CPC*",'Semrush Data'!$A$1:$Z$1,0)),"")</f>
        <v/>
      </c>
      <c r="J1562" s="42">
        <f>IFERROR(INDEX('Semrush Data'!$A$1:$Z$20000,MATCH(A1562,'Semrush Data'!$A$1:$A$20000,0),MATCH("Intent",'Semrush Data'!$A$1:$Z$1,0)),"")</f>
        <v/>
      </c>
    </row>
    <row r="1563" ht="15" customHeight="1" s="37">
      <c r="A1563" s="42" t="inlineStr">
        <is>
          <t>sap patchouli intense extrait de parfum</t>
        </is>
      </c>
      <c r="B1563" s="42" t="inlineStr">
        <is>
          <t>Product + type</t>
        </is>
      </c>
      <c r="C1563" s="42" t="n">
        <v>2</v>
      </c>
      <c r="D1563" s="42" t="n">
        <v>16</v>
      </c>
      <c r="E1563" s="42" t="n">
        <v>1</v>
      </c>
      <c r="F1563" s="42" t="inlineStr">
        <is>
          <t>FR-314</t>
        </is>
      </c>
      <c r="G1563" s="55">
        <f>IFERROR(INDEX('Semrush Data'!$A$1:$Z$20000,MATCH(A1563,'Semrush Data'!$A$1:$A$20000,0),MATCH("Volume",'Semrush Data'!$A$1:$Z$1,0)),"")</f>
        <v/>
      </c>
      <c r="H1563" s="42">
        <f>IFERROR(INDEX('Semrush Data'!$A$1:$Z$20000,MATCH(A1563,'Semrush Data'!$A$1:$A$20000,0),MATCH("Keyword Difficulty*",'Semrush Data'!$A$1:$Z$1,0)),"")</f>
        <v/>
      </c>
      <c r="I1563" s="56">
        <f>IFERROR(INDEX('Semrush Data'!$A$1:$Z$20000,MATCH(A1563,'Semrush Data'!$A$1:$A$20000,0),MATCH("CPC*",'Semrush Data'!$A$1:$Z$1,0)),"")</f>
        <v/>
      </c>
      <c r="J1563" s="42">
        <f>IFERROR(INDEX('Semrush Data'!$A$1:$Z$20000,MATCH(A1563,'Semrush Data'!$A$1:$A$20000,0),MATCH("Intent",'Semrush Data'!$A$1:$Z$1,0)),"")</f>
        <v/>
      </c>
    </row>
    <row r="1564" ht="15" customHeight="1" s="37">
      <c r="A1564" s="42" t="inlineStr">
        <is>
          <t>sap saffron oud extrait de parfum</t>
        </is>
      </c>
      <c r="B1564" s="42" t="inlineStr">
        <is>
          <t>Product + type</t>
        </is>
      </c>
      <c r="C1564" s="42" t="n">
        <v>2</v>
      </c>
      <c r="D1564" s="42" t="n">
        <v>16</v>
      </c>
      <c r="E1564" s="42" t="n">
        <v>1</v>
      </c>
      <c r="F1564" s="42" t="inlineStr">
        <is>
          <t>FR-315</t>
        </is>
      </c>
      <c r="G1564" s="55">
        <f>IFERROR(INDEX('Semrush Data'!$A$1:$Z$20000,MATCH(A1564,'Semrush Data'!$A$1:$A$20000,0),MATCH("Volume",'Semrush Data'!$A$1:$Z$1,0)),"")</f>
        <v/>
      </c>
      <c r="H1564" s="42">
        <f>IFERROR(INDEX('Semrush Data'!$A$1:$Z$20000,MATCH(A1564,'Semrush Data'!$A$1:$A$20000,0),MATCH("Keyword Difficulty*",'Semrush Data'!$A$1:$Z$1,0)),"")</f>
        <v/>
      </c>
      <c r="I1564" s="56">
        <f>IFERROR(INDEX('Semrush Data'!$A$1:$Z$20000,MATCH(A1564,'Semrush Data'!$A$1:$A$20000,0),MATCH("CPC*",'Semrush Data'!$A$1:$Z$1,0)),"")</f>
        <v/>
      </c>
      <c r="J1564" s="42">
        <f>IFERROR(INDEX('Semrush Data'!$A$1:$Z$20000,MATCH(A1564,'Semrush Data'!$A$1:$A$20000,0),MATCH("Intent",'Semrush Data'!$A$1:$Z$1,0)),"")</f>
        <v/>
      </c>
    </row>
    <row r="1565" ht="15" customHeight="1" s="37">
      <c r="A1565" s="42" t="inlineStr">
        <is>
          <t>sap vert club extrait de parfum</t>
        </is>
      </c>
      <c r="B1565" s="42" t="inlineStr">
        <is>
          <t>Product + type</t>
        </is>
      </c>
      <c r="C1565" s="42" t="n">
        <v>2</v>
      </c>
      <c r="D1565" s="42" t="n">
        <v>16</v>
      </c>
      <c r="E1565" s="42" t="n">
        <v>1</v>
      </c>
      <c r="F1565" s="42" t="inlineStr">
        <is>
          <t>FR-316</t>
        </is>
      </c>
      <c r="G1565" s="55">
        <f>IFERROR(INDEX('Semrush Data'!$A$1:$Z$20000,MATCH(A1565,'Semrush Data'!$A$1:$A$20000,0),MATCH("Volume",'Semrush Data'!$A$1:$Z$1,0)),"")</f>
        <v/>
      </c>
      <c r="H1565" s="42">
        <f>IFERROR(INDEX('Semrush Data'!$A$1:$Z$20000,MATCH(A1565,'Semrush Data'!$A$1:$A$20000,0),MATCH("Keyword Difficulty*",'Semrush Data'!$A$1:$Z$1,0)),"")</f>
        <v/>
      </c>
      <c r="I1565" s="56">
        <f>IFERROR(INDEX('Semrush Data'!$A$1:$Z$20000,MATCH(A1565,'Semrush Data'!$A$1:$A$20000,0),MATCH("CPC*",'Semrush Data'!$A$1:$Z$1,0)),"")</f>
        <v/>
      </c>
      <c r="J1565" s="42">
        <f>IFERROR(INDEX('Semrush Data'!$A$1:$Z$20000,MATCH(A1565,'Semrush Data'!$A$1:$A$20000,0),MATCH("Intent",'Semrush Data'!$A$1:$Z$1,0)),"")</f>
        <v/>
      </c>
    </row>
    <row r="1566" ht="15" customHeight="1" s="37">
      <c r="A1566" s="42" t="inlineStr">
        <is>
          <t>serge lutens la fille de berlin eau de parfum</t>
        </is>
      </c>
      <c r="B1566" s="42" t="inlineStr">
        <is>
          <t>Product + type</t>
        </is>
      </c>
      <c r="C1566" s="42" t="n">
        <v>2</v>
      </c>
      <c r="D1566" s="42" t="inlineStr">
        <is>
          <t>T2-2</t>
        </is>
      </c>
      <c r="E1566" s="42" t="n">
        <v>1</v>
      </c>
      <c r="F1566" s="42" t="inlineStr">
        <is>
          <t>FR-317</t>
        </is>
      </c>
      <c r="G1566" s="55">
        <f>IFERROR(INDEX('Semrush Data'!$A$1:$Z$20000,MATCH(A1566,'Semrush Data'!$A$1:$A$20000,0),MATCH("Volume",'Semrush Data'!$A$1:$Z$1,0)),"")</f>
        <v/>
      </c>
      <c r="H1566" s="42">
        <f>IFERROR(INDEX('Semrush Data'!$A$1:$Z$20000,MATCH(A1566,'Semrush Data'!$A$1:$A$20000,0),MATCH("Keyword Difficulty*",'Semrush Data'!$A$1:$Z$1,0)),"")</f>
        <v/>
      </c>
      <c r="I1566" s="56">
        <f>IFERROR(INDEX('Semrush Data'!$A$1:$Z$20000,MATCH(A1566,'Semrush Data'!$A$1:$A$20000,0),MATCH("CPC*",'Semrush Data'!$A$1:$Z$1,0)),"")</f>
        <v/>
      </c>
      <c r="J1566" s="42">
        <f>IFERROR(INDEX('Semrush Data'!$A$1:$Z$20000,MATCH(A1566,'Semrush Data'!$A$1:$A$20000,0),MATCH("Intent",'Semrush Data'!$A$1:$Z$1,0)),"")</f>
        <v/>
      </c>
    </row>
    <row r="1567" ht="15" customHeight="1" s="37">
      <c r="A1567" s="42" t="inlineStr">
        <is>
          <t>shiseido zen eau de parfum</t>
        </is>
      </c>
      <c r="B1567" s="42" t="inlineStr">
        <is>
          <t>Product + type</t>
        </is>
      </c>
      <c r="C1567" s="42" t="n">
        <v>2</v>
      </c>
      <c r="D1567" s="42" t="inlineStr">
        <is>
          <t>T2-2</t>
        </is>
      </c>
      <c r="E1567" s="42" t="n">
        <v>1</v>
      </c>
      <c r="F1567" s="42" t="inlineStr">
        <is>
          <t>FR-318</t>
        </is>
      </c>
      <c r="G1567" s="55">
        <f>IFERROR(INDEX('Semrush Data'!$A$1:$Z$20000,MATCH(A1567,'Semrush Data'!$A$1:$A$20000,0),MATCH("Volume",'Semrush Data'!$A$1:$Z$1,0)),"")</f>
        <v/>
      </c>
      <c r="H1567" s="42">
        <f>IFERROR(INDEX('Semrush Data'!$A$1:$Z$20000,MATCH(A1567,'Semrush Data'!$A$1:$A$20000,0),MATCH("Keyword Difficulty*",'Semrush Data'!$A$1:$Z$1,0)),"")</f>
        <v/>
      </c>
      <c r="I1567" s="56">
        <f>IFERROR(INDEX('Semrush Data'!$A$1:$Z$20000,MATCH(A1567,'Semrush Data'!$A$1:$A$20000,0),MATCH("CPC*",'Semrush Data'!$A$1:$Z$1,0)),"")</f>
        <v/>
      </c>
      <c r="J1567" s="42">
        <f>IFERROR(INDEX('Semrush Data'!$A$1:$Z$20000,MATCH(A1567,'Semrush Data'!$A$1:$A$20000,0),MATCH("Intent",'Semrush Data'!$A$1:$Z$1,0)),"")</f>
        <v/>
      </c>
    </row>
    <row r="1568" ht="15" customHeight="1" s="37">
      <c r="A1568" s="42" t="inlineStr">
        <is>
          <t>signature ambre eau de parfum</t>
        </is>
      </c>
      <c r="B1568" s="42" t="inlineStr">
        <is>
          <t>Product + type</t>
        </is>
      </c>
      <c r="C1568" s="42" t="n">
        <v>2</v>
      </c>
      <c r="D1568" s="42" t="n">
        <v>16</v>
      </c>
      <c r="E1568" s="42" t="n">
        <v>1</v>
      </c>
      <c r="F1568" s="42" t="inlineStr">
        <is>
          <t>FR-319</t>
        </is>
      </c>
      <c r="G1568" s="55">
        <f>IFERROR(INDEX('Semrush Data'!$A$1:$Z$20000,MATCH(A1568,'Semrush Data'!$A$1:$A$20000,0),MATCH("Volume",'Semrush Data'!$A$1:$Z$1,0)),"")</f>
        <v/>
      </c>
      <c r="H1568" s="42">
        <f>IFERROR(INDEX('Semrush Data'!$A$1:$Z$20000,MATCH(A1568,'Semrush Data'!$A$1:$A$20000,0),MATCH("Keyword Difficulty*",'Semrush Data'!$A$1:$Z$1,0)),"")</f>
        <v/>
      </c>
      <c r="I1568" s="56">
        <f>IFERROR(INDEX('Semrush Data'!$A$1:$Z$20000,MATCH(A1568,'Semrush Data'!$A$1:$A$20000,0),MATCH("CPC*",'Semrush Data'!$A$1:$Z$1,0)),"")</f>
        <v/>
      </c>
      <c r="J1568" s="42">
        <f>IFERROR(INDEX('Semrush Data'!$A$1:$Z$20000,MATCH(A1568,'Semrush Data'!$A$1:$A$20000,0),MATCH("Intent",'Semrush Data'!$A$1:$Z$1,0)),"")</f>
        <v/>
      </c>
    </row>
    <row r="1569" ht="15" customHeight="1" s="37">
      <c r="A1569" s="42" t="inlineStr">
        <is>
          <t>signature aura edp</t>
        </is>
      </c>
      <c r="B1569" s="42" t="inlineStr">
        <is>
          <t>Product + type</t>
        </is>
      </c>
      <c r="C1569" s="42" t="n">
        <v>2</v>
      </c>
      <c r="D1569" s="42" t="n">
        <v>16</v>
      </c>
      <c r="E1569" s="42" t="n">
        <v>1</v>
      </c>
      <c r="F1569" s="42" t="inlineStr">
        <is>
          <t>FR-320</t>
        </is>
      </c>
      <c r="G1569" s="55">
        <f>IFERROR(INDEX('Semrush Data'!$A$1:$Z$20000,MATCH(A1569,'Semrush Data'!$A$1:$A$20000,0),MATCH("Volume",'Semrush Data'!$A$1:$Z$1,0)),"")</f>
        <v/>
      </c>
      <c r="H1569" s="42">
        <f>IFERROR(INDEX('Semrush Data'!$A$1:$Z$20000,MATCH(A1569,'Semrush Data'!$A$1:$A$20000,0),MATCH("Keyword Difficulty*",'Semrush Data'!$A$1:$Z$1,0)),"")</f>
        <v/>
      </c>
      <c r="I1569" s="56">
        <f>IFERROR(INDEX('Semrush Data'!$A$1:$Z$20000,MATCH(A1569,'Semrush Data'!$A$1:$A$20000,0),MATCH("CPC*",'Semrush Data'!$A$1:$Z$1,0)),"")</f>
        <v/>
      </c>
      <c r="J1569" s="42">
        <f>IFERROR(INDEX('Semrush Data'!$A$1:$Z$20000,MATCH(A1569,'Semrush Data'!$A$1:$A$20000,0),MATCH("Intent",'Semrush Data'!$A$1:$Z$1,0)),"")</f>
        <v/>
      </c>
    </row>
    <row r="1570" ht="15" customHeight="1" s="37">
      <c r="A1570" s="42" t="inlineStr">
        <is>
          <t>signature black pour homme edp</t>
        </is>
      </c>
      <c r="B1570" s="42" t="inlineStr">
        <is>
          <t>Product + type</t>
        </is>
      </c>
      <c r="C1570" s="42" t="n">
        <v>2</v>
      </c>
      <c r="D1570" s="42" t="n">
        <v>16</v>
      </c>
      <c r="E1570" s="42" t="n">
        <v>1</v>
      </c>
      <c r="F1570" s="42" t="inlineStr">
        <is>
          <t>FR-321</t>
        </is>
      </c>
      <c r="G1570" s="55">
        <f>IFERROR(INDEX('Semrush Data'!$A$1:$Z$20000,MATCH(A1570,'Semrush Data'!$A$1:$A$20000,0),MATCH("Volume",'Semrush Data'!$A$1:$Z$1,0)),"")</f>
        <v/>
      </c>
      <c r="H1570" s="42">
        <f>IFERROR(INDEX('Semrush Data'!$A$1:$Z$20000,MATCH(A1570,'Semrush Data'!$A$1:$A$20000,0),MATCH("Keyword Difficulty*",'Semrush Data'!$A$1:$Z$1,0)),"")</f>
        <v/>
      </c>
      <c r="I1570" s="56">
        <f>IFERROR(INDEX('Semrush Data'!$A$1:$Z$20000,MATCH(A1570,'Semrush Data'!$A$1:$A$20000,0),MATCH("CPC*",'Semrush Data'!$A$1:$Z$1,0)),"")</f>
        <v/>
      </c>
      <c r="J1570" s="42">
        <f>IFERROR(INDEX('Semrush Data'!$A$1:$Z$20000,MATCH(A1570,'Semrush Data'!$A$1:$A$20000,0),MATCH("Intent",'Semrush Data'!$A$1:$Z$1,0)),"")</f>
        <v/>
      </c>
    </row>
    <row r="1571" ht="15" customHeight="1" s="37">
      <c r="A1571" s="42" t="inlineStr">
        <is>
          <t>signature blue edp</t>
        </is>
      </c>
      <c r="B1571" s="42" t="inlineStr">
        <is>
          <t>Product + type</t>
        </is>
      </c>
      <c r="C1571" s="42" t="n">
        <v>2</v>
      </c>
      <c r="D1571" s="42" t="inlineStr">
        <is>
          <t>T2-2</t>
        </is>
      </c>
      <c r="E1571" s="42" t="n">
        <v>1</v>
      </c>
      <c r="F1571" s="42" t="inlineStr">
        <is>
          <t>FR-332</t>
        </is>
      </c>
      <c r="G1571" s="55">
        <f>IFERROR(INDEX('Semrush Data'!$A$1:$Z$20000,MATCH(A1571,'Semrush Data'!$A$1:$A$20000,0),MATCH("Volume",'Semrush Data'!$A$1:$Z$1,0)),"")</f>
        <v/>
      </c>
      <c r="H1571" s="42">
        <f>IFERROR(INDEX('Semrush Data'!$A$1:$Z$20000,MATCH(A1571,'Semrush Data'!$A$1:$A$20000,0),MATCH("Keyword Difficulty*",'Semrush Data'!$A$1:$Z$1,0)),"")</f>
        <v/>
      </c>
      <c r="I1571" s="56">
        <f>IFERROR(INDEX('Semrush Data'!$A$1:$Z$20000,MATCH(A1571,'Semrush Data'!$A$1:$A$20000,0),MATCH("CPC*",'Semrush Data'!$A$1:$Z$1,0)),"")</f>
        <v/>
      </c>
      <c r="J1571" s="42">
        <f>IFERROR(INDEX('Semrush Data'!$A$1:$Z$20000,MATCH(A1571,'Semrush Data'!$A$1:$A$20000,0),MATCH("Intent",'Semrush Data'!$A$1:$Z$1,0)),"")</f>
        <v/>
      </c>
    </row>
    <row r="1572" ht="15" customHeight="1" s="37">
      <c r="A1572" s="42" t="inlineStr">
        <is>
          <t>signature charm edp</t>
        </is>
      </c>
      <c r="B1572" s="42" t="inlineStr">
        <is>
          <t>Product + type</t>
        </is>
      </c>
      <c r="C1572" s="42" t="n">
        <v>2</v>
      </c>
      <c r="D1572" s="42" t="n">
        <v>16</v>
      </c>
      <c r="E1572" s="42" t="n">
        <v>1</v>
      </c>
      <c r="F1572" s="42" t="inlineStr">
        <is>
          <t>FR-322</t>
        </is>
      </c>
      <c r="G1572" s="55">
        <f>IFERROR(INDEX('Semrush Data'!$A$1:$Z$20000,MATCH(A1572,'Semrush Data'!$A$1:$A$20000,0),MATCH("Volume",'Semrush Data'!$A$1:$Z$1,0)),"")</f>
        <v/>
      </c>
      <c r="H1572" s="42">
        <f>IFERROR(INDEX('Semrush Data'!$A$1:$Z$20000,MATCH(A1572,'Semrush Data'!$A$1:$A$20000,0),MATCH("Keyword Difficulty*",'Semrush Data'!$A$1:$Z$1,0)),"")</f>
        <v/>
      </c>
      <c r="I1572" s="56">
        <f>IFERROR(INDEX('Semrush Data'!$A$1:$Z$20000,MATCH(A1572,'Semrush Data'!$A$1:$A$20000,0),MATCH("CPC*",'Semrush Data'!$A$1:$Z$1,0)),"")</f>
        <v/>
      </c>
      <c r="J1572" s="42">
        <f>IFERROR(INDEX('Semrush Data'!$A$1:$Z$20000,MATCH(A1572,'Semrush Data'!$A$1:$A$20000,0),MATCH("Intent",'Semrush Data'!$A$1:$Z$1,0)),"")</f>
        <v/>
      </c>
    </row>
    <row r="1573" ht="15" customHeight="1" s="37">
      <c r="A1573" s="42" t="inlineStr">
        <is>
          <t>signature diamond eau de parfum</t>
        </is>
      </c>
      <c r="B1573" s="42" t="inlineStr">
        <is>
          <t>Product + type</t>
        </is>
      </c>
      <c r="C1573" s="42" t="n">
        <v>2</v>
      </c>
      <c r="D1573" s="42" t="n">
        <v>16</v>
      </c>
      <c r="E1573" s="42" t="n">
        <v>1</v>
      </c>
      <c r="F1573" s="42" t="inlineStr">
        <is>
          <t>FR-330</t>
        </is>
      </c>
      <c r="G1573" s="55">
        <f>IFERROR(INDEX('Semrush Data'!$A$1:$Z$20000,MATCH(A1573,'Semrush Data'!$A$1:$A$20000,0),MATCH("Volume",'Semrush Data'!$A$1:$Z$1,0)),"")</f>
        <v/>
      </c>
      <c r="H1573" s="42">
        <f>IFERROR(INDEX('Semrush Data'!$A$1:$Z$20000,MATCH(A1573,'Semrush Data'!$A$1:$A$20000,0),MATCH("Keyword Difficulty*",'Semrush Data'!$A$1:$Z$1,0)),"")</f>
        <v/>
      </c>
      <c r="I1573" s="56">
        <f>IFERROR(INDEX('Semrush Data'!$A$1:$Z$20000,MATCH(A1573,'Semrush Data'!$A$1:$A$20000,0),MATCH("CPC*",'Semrush Data'!$A$1:$Z$1,0)),"")</f>
        <v/>
      </c>
      <c r="J1573" s="42">
        <f>IFERROR(INDEX('Semrush Data'!$A$1:$Z$20000,MATCH(A1573,'Semrush Data'!$A$1:$A$20000,0),MATCH("Intent",'Semrush Data'!$A$1:$Z$1,0)),"")</f>
        <v/>
      </c>
    </row>
    <row r="1574" ht="15" customHeight="1" s="37">
      <c r="A1574" s="42" t="inlineStr">
        <is>
          <t>signature jade edp</t>
        </is>
      </c>
      <c r="B1574" s="42" t="inlineStr">
        <is>
          <t>Product + type</t>
        </is>
      </c>
      <c r="C1574" s="42" t="n">
        <v>2</v>
      </c>
      <c r="D1574" s="42" t="n">
        <v>16</v>
      </c>
      <c r="E1574" s="42" t="n">
        <v>1</v>
      </c>
      <c r="F1574" s="42" t="inlineStr">
        <is>
          <t>FR-333</t>
        </is>
      </c>
      <c r="G1574" s="55">
        <f>IFERROR(INDEX('Semrush Data'!$A$1:$Z$20000,MATCH(A1574,'Semrush Data'!$A$1:$A$20000,0),MATCH("Volume",'Semrush Data'!$A$1:$Z$1,0)),"")</f>
        <v/>
      </c>
      <c r="H1574" s="42">
        <f>IFERROR(INDEX('Semrush Data'!$A$1:$Z$20000,MATCH(A1574,'Semrush Data'!$A$1:$A$20000,0),MATCH("Keyword Difficulty*",'Semrush Data'!$A$1:$Z$1,0)),"")</f>
        <v/>
      </c>
      <c r="I1574" s="56">
        <f>IFERROR(INDEX('Semrush Data'!$A$1:$Z$20000,MATCH(A1574,'Semrush Data'!$A$1:$A$20000,0),MATCH("CPC*",'Semrush Data'!$A$1:$Z$1,0)),"")</f>
        <v/>
      </c>
      <c r="J1574" s="42">
        <f>IFERROR(INDEX('Semrush Data'!$A$1:$Z$20000,MATCH(A1574,'Semrush Data'!$A$1:$A$20000,0),MATCH("Intent",'Semrush Data'!$A$1:$Z$1,0)),"")</f>
        <v/>
      </c>
    </row>
    <row r="1575" ht="15" customHeight="1" s="37">
      <c r="A1575" s="42" t="inlineStr">
        <is>
          <t>signature le femme gold edp</t>
        </is>
      </c>
      <c r="B1575" s="42" t="inlineStr">
        <is>
          <t>Product + type</t>
        </is>
      </c>
      <c r="C1575" s="42" t="n">
        <v>2</v>
      </c>
      <c r="D1575" s="42" t="n">
        <v>16</v>
      </c>
      <c r="E1575" s="42" t="n">
        <v>1</v>
      </c>
      <c r="F1575" s="42" t="inlineStr">
        <is>
          <t>FR-323</t>
        </is>
      </c>
      <c r="G1575" s="55">
        <f>IFERROR(INDEX('Semrush Data'!$A$1:$Z$20000,MATCH(A1575,'Semrush Data'!$A$1:$A$20000,0),MATCH("Volume",'Semrush Data'!$A$1:$Z$1,0)),"")</f>
        <v/>
      </c>
      <c r="H1575" s="42">
        <f>IFERROR(INDEX('Semrush Data'!$A$1:$Z$20000,MATCH(A1575,'Semrush Data'!$A$1:$A$20000,0),MATCH("Keyword Difficulty*",'Semrush Data'!$A$1:$Z$1,0)),"")</f>
        <v/>
      </c>
      <c r="I1575" s="56">
        <f>IFERROR(INDEX('Semrush Data'!$A$1:$Z$20000,MATCH(A1575,'Semrush Data'!$A$1:$A$20000,0),MATCH("CPC*",'Semrush Data'!$A$1:$Z$1,0)),"")</f>
        <v/>
      </c>
      <c r="J1575" s="42">
        <f>IFERROR(INDEX('Semrush Data'!$A$1:$Z$20000,MATCH(A1575,'Semrush Data'!$A$1:$A$20000,0),MATCH("Intent",'Semrush Data'!$A$1:$Z$1,0)),"")</f>
        <v/>
      </c>
    </row>
    <row r="1576" ht="15" customHeight="1" s="37">
      <c r="A1576" s="42" t="inlineStr">
        <is>
          <t>signature musk eau de parfum</t>
        </is>
      </c>
      <c r="B1576" s="42" t="inlineStr">
        <is>
          <t>Product + type</t>
        </is>
      </c>
      <c r="C1576" s="42" t="n">
        <v>2</v>
      </c>
      <c r="D1576" s="42" t="n">
        <v>16</v>
      </c>
      <c r="E1576" s="42" t="n">
        <v>1</v>
      </c>
      <c r="F1576" s="42" t="inlineStr">
        <is>
          <t>FR-324</t>
        </is>
      </c>
      <c r="G1576" s="55">
        <f>IFERROR(INDEX('Semrush Data'!$A$1:$Z$20000,MATCH(A1576,'Semrush Data'!$A$1:$A$20000,0),MATCH("Volume",'Semrush Data'!$A$1:$Z$1,0)),"")</f>
        <v/>
      </c>
      <c r="H1576" s="42">
        <f>IFERROR(INDEX('Semrush Data'!$A$1:$Z$20000,MATCH(A1576,'Semrush Data'!$A$1:$A$20000,0),MATCH("Keyword Difficulty*",'Semrush Data'!$A$1:$Z$1,0)),"")</f>
        <v/>
      </c>
      <c r="I1576" s="56">
        <f>IFERROR(INDEX('Semrush Data'!$A$1:$Z$20000,MATCH(A1576,'Semrush Data'!$A$1:$A$20000,0),MATCH("CPC*",'Semrush Data'!$A$1:$Z$1,0)),"")</f>
        <v/>
      </c>
      <c r="J1576" s="42">
        <f>IFERROR(INDEX('Semrush Data'!$A$1:$Z$20000,MATCH(A1576,'Semrush Data'!$A$1:$A$20000,0),MATCH("Intent",'Semrush Data'!$A$1:$Z$1,0)),"")</f>
        <v/>
      </c>
    </row>
    <row r="1577" ht="15" customHeight="1" s="37">
      <c r="A1577" s="42" t="inlineStr">
        <is>
          <t>signature onyx eau de parfum</t>
        </is>
      </c>
      <c r="B1577" s="42" t="inlineStr">
        <is>
          <t>Product + type</t>
        </is>
      </c>
      <c r="C1577" s="42" t="n">
        <v>2</v>
      </c>
      <c r="D1577" s="42" t="n">
        <v>16</v>
      </c>
      <c r="E1577" s="42" t="n">
        <v>1</v>
      </c>
      <c r="F1577" s="42" t="inlineStr">
        <is>
          <t>FR-325</t>
        </is>
      </c>
      <c r="G1577" s="55">
        <f>IFERROR(INDEX('Semrush Data'!$A$1:$Z$20000,MATCH(A1577,'Semrush Data'!$A$1:$A$20000,0),MATCH("Volume",'Semrush Data'!$A$1:$Z$1,0)),"")</f>
        <v/>
      </c>
      <c r="H1577" s="42">
        <f>IFERROR(INDEX('Semrush Data'!$A$1:$Z$20000,MATCH(A1577,'Semrush Data'!$A$1:$A$20000,0),MATCH("Keyword Difficulty*",'Semrush Data'!$A$1:$Z$1,0)),"")</f>
        <v/>
      </c>
      <c r="I1577" s="56">
        <f>IFERROR(INDEX('Semrush Data'!$A$1:$Z$20000,MATCH(A1577,'Semrush Data'!$A$1:$A$20000,0),MATCH("CPC*",'Semrush Data'!$A$1:$Z$1,0)),"")</f>
        <v/>
      </c>
      <c r="J1577" s="42">
        <f>IFERROR(INDEX('Semrush Data'!$A$1:$Z$20000,MATCH(A1577,'Semrush Data'!$A$1:$A$20000,0),MATCH("Intent",'Semrush Data'!$A$1:$Z$1,0)),"")</f>
        <v/>
      </c>
    </row>
    <row r="1578" ht="15" customHeight="1" s="37">
      <c r="A1578" s="42" t="inlineStr">
        <is>
          <t>signature opal eau de parfum</t>
        </is>
      </c>
      <c r="B1578" s="42" t="inlineStr">
        <is>
          <t>Product + type</t>
        </is>
      </c>
      <c r="C1578" s="42" t="n">
        <v>2</v>
      </c>
      <c r="D1578" s="42" t="n">
        <v>16</v>
      </c>
      <c r="E1578" s="42" t="n">
        <v>1</v>
      </c>
      <c r="F1578" s="42" t="inlineStr">
        <is>
          <t>FR-326</t>
        </is>
      </c>
      <c r="G1578" s="55">
        <f>IFERROR(INDEX('Semrush Data'!$A$1:$Z$20000,MATCH(A1578,'Semrush Data'!$A$1:$A$20000,0),MATCH("Volume",'Semrush Data'!$A$1:$Z$1,0)),"")</f>
        <v/>
      </c>
      <c r="H1578" s="42">
        <f>IFERROR(INDEX('Semrush Data'!$A$1:$Z$20000,MATCH(A1578,'Semrush Data'!$A$1:$A$20000,0),MATCH("Keyword Difficulty*",'Semrush Data'!$A$1:$Z$1,0)),"")</f>
        <v/>
      </c>
      <c r="I1578" s="56">
        <f>IFERROR(INDEX('Semrush Data'!$A$1:$Z$20000,MATCH(A1578,'Semrush Data'!$A$1:$A$20000,0),MATCH("CPC*",'Semrush Data'!$A$1:$Z$1,0)),"")</f>
        <v/>
      </c>
      <c r="J1578" s="42">
        <f>IFERROR(INDEX('Semrush Data'!$A$1:$Z$20000,MATCH(A1578,'Semrush Data'!$A$1:$A$20000,0),MATCH("Intent",'Semrush Data'!$A$1:$Z$1,0)),"")</f>
        <v/>
      </c>
    </row>
    <row r="1579" ht="15" customHeight="1" s="37">
      <c r="A1579" s="42" t="inlineStr">
        <is>
          <t>signature paradiso edp</t>
        </is>
      </c>
      <c r="B1579" s="42" t="inlineStr">
        <is>
          <t>Product + type</t>
        </is>
      </c>
      <c r="C1579" s="42" t="n">
        <v>2</v>
      </c>
      <c r="D1579" s="42" t="n">
        <v>16</v>
      </c>
      <c r="E1579" s="42" t="n">
        <v>1</v>
      </c>
      <c r="F1579" s="42" t="inlineStr">
        <is>
          <t>FR-327</t>
        </is>
      </c>
      <c r="G1579" s="55">
        <f>IFERROR(INDEX('Semrush Data'!$A$1:$Z$20000,MATCH(A1579,'Semrush Data'!$A$1:$A$20000,0),MATCH("Volume",'Semrush Data'!$A$1:$Z$1,0)),"")</f>
        <v/>
      </c>
      <c r="H1579" s="42">
        <f>IFERROR(INDEX('Semrush Data'!$A$1:$Z$20000,MATCH(A1579,'Semrush Data'!$A$1:$A$20000,0),MATCH("Keyword Difficulty*",'Semrush Data'!$A$1:$Z$1,0)),"")</f>
        <v/>
      </c>
      <c r="I1579" s="56">
        <f>IFERROR(INDEX('Semrush Data'!$A$1:$Z$20000,MATCH(A1579,'Semrush Data'!$A$1:$A$20000,0),MATCH("CPC*",'Semrush Data'!$A$1:$Z$1,0)),"")</f>
        <v/>
      </c>
      <c r="J1579" s="42">
        <f>IFERROR(INDEX('Semrush Data'!$A$1:$Z$20000,MATCH(A1579,'Semrush Data'!$A$1:$A$20000,0),MATCH("Intent",'Semrush Data'!$A$1:$Z$1,0)),"")</f>
        <v/>
      </c>
    </row>
    <row r="1580" ht="15" customHeight="1" s="37">
      <c r="A1580" s="42" t="inlineStr">
        <is>
          <t>signature rose edp</t>
        </is>
      </c>
      <c r="B1580" s="42" t="inlineStr">
        <is>
          <t>Product + type</t>
        </is>
      </c>
      <c r="C1580" s="42" t="n">
        <v>2</v>
      </c>
      <c r="D1580" s="42" t="n">
        <v>16</v>
      </c>
      <c r="E1580" s="42" t="n">
        <v>1</v>
      </c>
      <c r="F1580" s="42" t="inlineStr">
        <is>
          <t>FR-334</t>
        </is>
      </c>
      <c r="G1580" s="55">
        <f>IFERROR(INDEX('Semrush Data'!$A$1:$Z$20000,MATCH(A1580,'Semrush Data'!$A$1:$A$20000,0),MATCH("Volume",'Semrush Data'!$A$1:$Z$1,0)),"")</f>
        <v/>
      </c>
      <c r="H1580" s="42">
        <f>IFERROR(INDEX('Semrush Data'!$A$1:$Z$20000,MATCH(A1580,'Semrush Data'!$A$1:$A$20000,0),MATCH("Keyword Difficulty*",'Semrush Data'!$A$1:$Z$1,0)),"")</f>
        <v/>
      </c>
      <c r="I1580" s="56">
        <f>IFERROR(INDEX('Semrush Data'!$A$1:$Z$20000,MATCH(A1580,'Semrush Data'!$A$1:$A$20000,0),MATCH("CPC*",'Semrush Data'!$A$1:$Z$1,0)),"")</f>
        <v/>
      </c>
      <c r="J1580" s="42">
        <f>IFERROR(INDEX('Semrush Data'!$A$1:$Z$20000,MATCH(A1580,'Semrush Data'!$A$1:$A$20000,0),MATCH("Intent",'Semrush Data'!$A$1:$Z$1,0)),"")</f>
        <v/>
      </c>
    </row>
    <row r="1581" ht="15" customHeight="1" s="37">
      <c r="A1581" s="42" t="inlineStr">
        <is>
          <t>signature santal eau de parfum</t>
        </is>
      </c>
      <c r="B1581" s="42" t="inlineStr">
        <is>
          <t>Product + type</t>
        </is>
      </c>
      <c r="C1581" s="42" t="n">
        <v>2</v>
      </c>
      <c r="D1581" s="42" t="n">
        <v>16</v>
      </c>
      <c r="E1581" s="42" t="n">
        <v>1</v>
      </c>
      <c r="F1581" s="42" t="inlineStr">
        <is>
          <t>FR-328</t>
        </is>
      </c>
      <c r="G1581" s="55">
        <f>IFERROR(INDEX('Semrush Data'!$A$1:$Z$20000,MATCH(A1581,'Semrush Data'!$A$1:$A$20000,0),MATCH("Volume",'Semrush Data'!$A$1:$Z$1,0)),"")</f>
        <v/>
      </c>
      <c r="H1581" s="42">
        <f>IFERROR(INDEX('Semrush Data'!$A$1:$Z$20000,MATCH(A1581,'Semrush Data'!$A$1:$A$20000,0),MATCH("Keyword Difficulty*",'Semrush Data'!$A$1:$Z$1,0)),"")</f>
        <v/>
      </c>
      <c r="I1581" s="56">
        <f>IFERROR(INDEX('Semrush Data'!$A$1:$Z$20000,MATCH(A1581,'Semrush Data'!$A$1:$A$20000,0),MATCH("CPC*",'Semrush Data'!$A$1:$Z$1,0)),"")</f>
        <v/>
      </c>
      <c r="J1581" s="42">
        <f>IFERROR(INDEX('Semrush Data'!$A$1:$Z$20000,MATCH(A1581,'Semrush Data'!$A$1:$A$20000,0),MATCH("Intent",'Semrush Data'!$A$1:$Z$1,0)),"")</f>
        <v/>
      </c>
    </row>
    <row r="1582" ht="15" customHeight="1" s="37">
      <c r="A1582" s="42" t="inlineStr">
        <is>
          <t>signature sapphire eau de parfum</t>
        </is>
      </c>
      <c r="B1582" s="42" t="inlineStr">
        <is>
          <t>Product + type</t>
        </is>
      </c>
      <c r="C1582" s="42" t="n">
        <v>2</v>
      </c>
      <c r="D1582" s="42" t="n">
        <v>16</v>
      </c>
      <c r="E1582" s="42" t="n">
        <v>1</v>
      </c>
      <c r="F1582" s="42" t="inlineStr">
        <is>
          <t>FR-329</t>
        </is>
      </c>
      <c r="G1582" s="55">
        <f>IFERROR(INDEX('Semrush Data'!$A$1:$Z$20000,MATCH(A1582,'Semrush Data'!$A$1:$A$20000,0),MATCH("Volume",'Semrush Data'!$A$1:$Z$1,0)),"")</f>
        <v/>
      </c>
      <c r="H1582" s="42">
        <f>IFERROR(INDEX('Semrush Data'!$A$1:$Z$20000,MATCH(A1582,'Semrush Data'!$A$1:$A$20000,0),MATCH("Keyword Difficulty*",'Semrush Data'!$A$1:$Z$1,0)),"")</f>
        <v/>
      </c>
      <c r="I1582" s="56">
        <f>IFERROR(INDEX('Semrush Data'!$A$1:$Z$20000,MATCH(A1582,'Semrush Data'!$A$1:$A$20000,0),MATCH("CPC*",'Semrush Data'!$A$1:$Z$1,0)),"")</f>
        <v/>
      </c>
      <c r="J1582" s="42">
        <f>IFERROR(INDEX('Semrush Data'!$A$1:$Z$20000,MATCH(A1582,'Semrush Data'!$A$1:$A$20000,0),MATCH("Intent",'Semrush Data'!$A$1:$Z$1,0)),"")</f>
        <v/>
      </c>
    </row>
    <row r="1583" ht="15" customHeight="1" s="37">
      <c r="A1583" s="42" t="inlineStr">
        <is>
          <t>the woods collection azure eau de parfum</t>
        </is>
      </c>
      <c r="B1583" s="42" t="inlineStr">
        <is>
          <t>Product + type</t>
        </is>
      </c>
      <c r="C1583" s="42" t="n">
        <v>2</v>
      </c>
      <c r="D1583" s="42" t="n">
        <v>16</v>
      </c>
      <c r="E1583" s="42" t="n">
        <v>1</v>
      </c>
      <c r="F1583" s="42" t="inlineStr">
        <is>
          <t>FR-342</t>
        </is>
      </c>
      <c r="G1583" s="55">
        <f>IFERROR(INDEX('Semrush Data'!$A$1:$Z$20000,MATCH(A1583,'Semrush Data'!$A$1:$A$20000,0),MATCH("Volume",'Semrush Data'!$A$1:$Z$1,0)),"")</f>
        <v/>
      </c>
      <c r="H1583" s="42">
        <f>IFERROR(INDEX('Semrush Data'!$A$1:$Z$20000,MATCH(A1583,'Semrush Data'!$A$1:$A$20000,0),MATCH("Keyword Difficulty*",'Semrush Data'!$A$1:$Z$1,0)),"")</f>
        <v/>
      </c>
      <c r="I1583" s="56">
        <f>IFERROR(INDEX('Semrush Data'!$A$1:$Z$20000,MATCH(A1583,'Semrush Data'!$A$1:$A$20000,0),MATCH("CPC*",'Semrush Data'!$A$1:$Z$1,0)),"")</f>
        <v/>
      </c>
      <c r="J1583" s="42">
        <f>IFERROR(INDEX('Semrush Data'!$A$1:$Z$20000,MATCH(A1583,'Semrush Data'!$A$1:$A$20000,0),MATCH("Intent",'Semrush Data'!$A$1:$Z$1,0)),"")</f>
        <v/>
      </c>
    </row>
    <row r="1584" ht="15" customHeight="1" s="37">
      <c r="A1584" s="42" t="inlineStr">
        <is>
          <t>the woods collection eden eau de parfum</t>
        </is>
      </c>
      <c r="B1584" s="42" t="inlineStr">
        <is>
          <t>Product + type</t>
        </is>
      </c>
      <c r="C1584" s="42" t="n">
        <v>2</v>
      </c>
      <c r="D1584" s="42" t="n">
        <v>16</v>
      </c>
      <c r="E1584" s="42" t="n">
        <v>1</v>
      </c>
      <c r="F1584" s="42" t="inlineStr">
        <is>
          <t>FR-343</t>
        </is>
      </c>
      <c r="G1584" s="55">
        <f>IFERROR(INDEX('Semrush Data'!$A$1:$Z$20000,MATCH(A1584,'Semrush Data'!$A$1:$A$20000,0),MATCH("Volume",'Semrush Data'!$A$1:$Z$1,0)),"")</f>
        <v/>
      </c>
      <c r="H1584" s="42">
        <f>IFERROR(INDEX('Semrush Data'!$A$1:$Z$20000,MATCH(A1584,'Semrush Data'!$A$1:$A$20000,0),MATCH("Keyword Difficulty*",'Semrush Data'!$A$1:$Z$1,0)),"")</f>
        <v/>
      </c>
      <c r="I1584" s="56">
        <f>IFERROR(INDEX('Semrush Data'!$A$1:$Z$20000,MATCH(A1584,'Semrush Data'!$A$1:$A$20000,0),MATCH("CPC*",'Semrush Data'!$A$1:$Z$1,0)),"")</f>
        <v/>
      </c>
      <c r="J1584" s="42">
        <f>IFERROR(INDEX('Semrush Data'!$A$1:$Z$20000,MATCH(A1584,'Semrush Data'!$A$1:$A$20000,0),MATCH("Intent",'Semrush Data'!$A$1:$Z$1,0)),"")</f>
        <v/>
      </c>
    </row>
    <row r="1585" ht="15" customHeight="1" s="37">
      <c r="A1585" s="42" t="inlineStr">
        <is>
          <t>the woods collection elysian eau de parfum</t>
        </is>
      </c>
      <c r="B1585" s="42" t="inlineStr">
        <is>
          <t>Product + type</t>
        </is>
      </c>
      <c r="C1585" s="42" t="n">
        <v>2</v>
      </c>
      <c r="D1585" s="42" t="n">
        <v>16</v>
      </c>
      <c r="E1585" s="42" t="n">
        <v>1</v>
      </c>
      <c r="F1585" s="42" t="inlineStr">
        <is>
          <t>FR-344</t>
        </is>
      </c>
      <c r="G1585" s="55">
        <f>IFERROR(INDEX('Semrush Data'!$A$1:$Z$20000,MATCH(A1585,'Semrush Data'!$A$1:$A$20000,0),MATCH("Volume",'Semrush Data'!$A$1:$Z$1,0)),"")</f>
        <v/>
      </c>
      <c r="H1585" s="42">
        <f>IFERROR(INDEX('Semrush Data'!$A$1:$Z$20000,MATCH(A1585,'Semrush Data'!$A$1:$A$20000,0),MATCH("Keyword Difficulty*",'Semrush Data'!$A$1:$Z$1,0)),"")</f>
        <v/>
      </c>
      <c r="I1585" s="56">
        <f>IFERROR(INDEX('Semrush Data'!$A$1:$Z$20000,MATCH(A1585,'Semrush Data'!$A$1:$A$20000,0),MATCH("CPC*",'Semrush Data'!$A$1:$Z$1,0)),"")</f>
        <v/>
      </c>
      <c r="J1585" s="42">
        <f>IFERROR(INDEX('Semrush Data'!$A$1:$Z$20000,MATCH(A1585,'Semrush Data'!$A$1:$A$20000,0),MATCH("Intent",'Semrush Data'!$A$1:$Z$1,0)),"")</f>
        <v/>
      </c>
    </row>
    <row r="1586" ht="15" customHeight="1" s="37">
      <c r="A1586" s="42" t="inlineStr">
        <is>
          <t>the woods collection green walk eau de parfum</t>
        </is>
      </c>
      <c r="B1586" s="42" t="inlineStr">
        <is>
          <t>Product + type</t>
        </is>
      </c>
      <c r="C1586" s="42" t="n">
        <v>2</v>
      </c>
      <c r="D1586" s="42" t="n">
        <v>16</v>
      </c>
      <c r="E1586" s="42" t="n">
        <v>1</v>
      </c>
      <c r="F1586" s="42" t="inlineStr">
        <is>
          <t>FR-345</t>
        </is>
      </c>
      <c r="G1586" s="55">
        <f>IFERROR(INDEX('Semrush Data'!$A$1:$Z$20000,MATCH(A1586,'Semrush Data'!$A$1:$A$20000,0),MATCH("Volume",'Semrush Data'!$A$1:$Z$1,0)),"")</f>
        <v/>
      </c>
      <c r="H1586" s="42">
        <f>IFERROR(INDEX('Semrush Data'!$A$1:$Z$20000,MATCH(A1586,'Semrush Data'!$A$1:$A$20000,0),MATCH("Keyword Difficulty*",'Semrush Data'!$A$1:$Z$1,0)),"")</f>
        <v/>
      </c>
      <c r="I1586" s="56">
        <f>IFERROR(INDEX('Semrush Data'!$A$1:$Z$20000,MATCH(A1586,'Semrush Data'!$A$1:$A$20000,0),MATCH("CPC*",'Semrush Data'!$A$1:$Z$1,0)),"")</f>
        <v/>
      </c>
      <c r="J1586" s="42">
        <f>IFERROR(INDEX('Semrush Data'!$A$1:$Z$20000,MATCH(A1586,'Semrush Data'!$A$1:$A$20000,0),MATCH("Intent",'Semrush Data'!$A$1:$Z$1,0)),"")</f>
        <v/>
      </c>
    </row>
    <row r="1587" ht="15" customHeight="1" s="37">
      <c r="A1587" s="42" t="inlineStr">
        <is>
          <t>the woods collection mirage eau de parfum</t>
        </is>
      </c>
      <c r="B1587" s="42" t="inlineStr">
        <is>
          <t>Product + type</t>
        </is>
      </c>
      <c r="C1587" s="42" t="n">
        <v>2</v>
      </c>
      <c r="D1587" s="42" t="n">
        <v>16</v>
      </c>
      <c r="E1587" s="42" t="n">
        <v>1</v>
      </c>
      <c r="F1587" s="42" t="inlineStr">
        <is>
          <t>FR-346</t>
        </is>
      </c>
      <c r="G1587" s="55">
        <f>IFERROR(INDEX('Semrush Data'!$A$1:$Z$20000,MATCH(A1587,'Semrush Data'!$A$1:$A$20000,0),MATCH("Volume",'Semrush Data'!$A$1:$Z$1,0)),"")</f>
        <v/>
      </c>
      <c r="H1587" s="42">
        <f>IFERROR(INDEX('Semrush Data'!$A$1:$Z$20000,MATCH(A1587,'Semrush Data'!$A$1:$A$20000,0),MATCH("Keyword Difficulty*",'Semrush Data'!$A$1:$Z$1,0)),"")</f>
        <v/>
      </c>
      <c r="I1587" s="56">
        <f>IFERROR(INDEX('Semrush Data'!$A$1:$Z$20000,MATCH(A1587,'Semrush Data'!$A$1:$A$20000,0),MATCH("CPC*",'Semrush Data'!$A$1:$Z$1,0)),"")</f>
        <v/>
      </c>
      <c r="J1587" s="42">
        <f>IFERROR(INDEX('Semrush Data'!$A$1:$Z$20000,MATCH(A1587,'Semrush Data'!$A$1:$A$20000,0),MATCH("Intent",'Semrush Data'!$A$1:$Z$1,0)),"")</f>
        <v/>
      </c>
    </row>
    <row r="1588" ht="15" customHeight="1" s="37">
      <c r="A1588" s="42" t="inlineStr">
        <is>
          <t>the woods collection pure shine eau de parfum</t>
        </is>
      </c>
      <c r="B1588" s="42" t="inlineStr">
        <is>
          <t>Product + type</t>
        </is>
      </c>
      <c r="C1588" s="42" t="n">
        <v>2</v>
      </c>
      <c r="D1588" s="42" t="n">
        <v>16</v>
      </c>
      <c r="E1588" s="42" t="n">
        <v>1</v>
      </c>
      <c r="F1588" s="42" t="inlineStr">
        <is>
          <t>FR-347</t>
        </is>
      </c>
      <c r="G1588" s="55">
        <f>IFERROR(INDEX('Semrush Data'!$A$1:$Z$20000,MATCH(A1588,'Semrush Data'!$A$1:$A$20000,0),MATCH("Volume",'Semrush Data'!$A$1:$Z$1,0)),"")</f>
        <v/>
      </c>
      <c r="H1588" s="42">
        <f>IFERROR(INDEX('Semrush Data'!$A$1:$Z$20000,MATCH(A1588,'Semrush Data'!$A$1:$A$20000,0),MATCH("Keyword Difficulty*",'Semrush Data'!$A$1:$Z$1,0)),"")</f>
        <v/>
      </c>
      <c r="I1588" s="56">
        <f>IFERROR(INDEX('Semrush Data'!$A$1:$Z$20000,MATCH(A1588,'Semrush Data'!$A$1:$A$20000,0),MATCH("CPC*",'Semrush Data'!$A$1:$Z$1,0)),"")</f>
        <v/>
      </c>
      <c r="J1588" s="42">
        <f>IFERROR(INDEX('Semrush Data'!$A$1:$Z$20000,MATCH(A1588,'Semrush Data'!$A$1:$A$20000,0),MATCH("Intent",'Semrush Data'!$A$1:$Z$1,0)),"")</f>
        <v/>
      </c>
    </row>
    <row r="1589" ht="15" customHeight="1" s="37">
      <c r="A1589" s="42" t="inlineStr">
        <is>
          <t>the woods collection secret source eau de parfum</t>
        </is>
      </c>
      <c r="B1589" s="42" t="inlineStr">
        <is>
          <t>Product + type</t>
        </is>
      </c>
      <c r="C1589" s="42" t="n">
        <v>2</v>
      </c>
      <c r="D1589" s="42" t="n">
        <v>16</v>
      </c>
      <c r="E1589" s="42" t="n">
        <v>1</v>
      </c>
      <c r="F1589" s="42" t="inlineStr">
        <is>
          <t>FR-348</t>
        </is>
      </c>
      <c r="G1589" s="55">
        <f>IFERROR(INDEX('Semrush Data'!$A$1:$Z$20000,MATCH(A1589,'Semrush Data'!$A$1:$A$20000,0),MATCH("Volume",'Semrush Data'!$A$1:$Z$1,0)),"")</f>
        <v/>
      </c>
      <c r="H1589" s="42">
        <f>IFERROR(INDEX('Semrush Data'!$A$1:$Z$20000,MATCH(A1589,'Semrush Data'!$A$1:$A$20000,0),MATCH("Keyword Difficulty*",'Semrush Data'!$A$1:$Z$1,0)),"")</f>
        <v/>
      </c>
      <c r="I1589" s="56">
        <f>IFERROR(INDEX('Semrush Data'!$A$1:$Z$20000,MATCH(A1589,'Semrush Data'!$A$1:$A$20000,0),MATCH("CPC*",'Semrush Data'!$A$1:$Z$1,0)),"")</f>
        <v/>
      </c>
      <c r="J1589" s="42">
        <f>IFERROR(INDEX('Semrush Data'!$A$1:$Z$20000,MATCH(A1589,'Semrush Data'!$A$1:$A$20000,0),MATCH("Intent",'Semrush Data'!$A$1:$Z$1,0)),"")</f>
        <v/>
      </c>
    </row>
    <row r="1590" ht="15" customHeight="1" s="37">
      <c r="A1590" s="42" t="inlineStr">
        <is>
          <t>the woods collection sunrise eau de parfum</t>
        </is>
      </c>
      <c r="B1590" s="42" t="inlineStr">
        <is>
          <t>Product + type</t>
        </is>
      </c>
      <c r="C1590" s="42" t="n">
        <v>2</v>
      </c>
      <c r="D1590" s="42" t="n">
        <v>16</v>
      </c>
      <c r="E1590" s="42" t="n">
        <v>1</v>
      </c>
      <c r="F1590" s="42" t="inlineStr">
        <is>
          <t>FR-349</t>
        </is>
      </c>
      <c r="G1590" s="55">
        <f>IFERROR(INDEX('Semrush Data'!$A$1:$Z$20000,MATCH(A1590,'Semrush Data'!$A$1:$A$20000,0),MATCH("Volume",'Semrush Data'!$A$1:$Z$1,0)),"")</f>
        <v/>
      </c>
      <c r="H1590" s="42">
        <f>IFERROR(INDEX('Semrush Data'!$A$1:$Z$20000,MATCH(A1590,'Semrush Data'!$A$1:$A$20000,0),MATCH("Keyword Difficulty*",'Semrush Data'!$A$1:$Z$1,0)),"")</f>
        <v/>
      </c>
      <c r="I1590" s="56">
        <f>IFERROR(INDEX('Semrush Data'!$A$1:$Z$20000,MATCH(A1590,'Semrush Data'!$A$1:$A$20000,0),MATCH("CPC*",'Semrush Data'!$A$1:$Z$1,0)),"")</f>
        <v/>
      </c>
      <c r="J1590" s="42">
        <f>IFERROR(INDEX('Semrush Data'!$A$1:$Z$20000,MATCH(A1590,'Semrush Data'!$A$1:$A$20000,0),MATCH("Intent",'Semrush Data'!$A$1:$Z$1,0)),"")</f>
        <v/>
      </c>
    </row>
    <row r="1591" ht="15" customHeight="1" s="37">
      <c r="A1591" s="42" t="inlineStr">
        <is>
          <t>the woods collection timeless sands eau de parfum</t>
        </is>
      </c>
      <c r="B1591" s="42" t="inlineStr">
        <is>
          <t>Product + type</t>
        </is>
      </c>
      <c r="C1591" s="42" t="n">
        <v>2</v>
      </c>
      <c r="D1591" s="42" t="n">
        <v>16</v>
      </c>
      <c r="E1591" s="42" t="n">
        <v>1</v>
      </c>
      <c r="F1591" s="42" t="inlineStr">
        <is>
          <t>FR-350</t>
        </is>
      </c>
      <c r="G1591" s="55">
        <f>IFERROR(INDEX('Semrush Data'!$A$1:$Z$20000,MATCH(A1591,'Semrush Data'!$A$1:$A$20000,0),MATCH("Volume",'Semrush Data'!$A$1:$Z$1,0)),"")</f>
        <v/>
      </c>
      <c r="H1591" s="42">
        <f>IFERROR(INDEX('Semrush Data'!$A$1:$Z$20000,MATCH(A1591,'Semrush Data'!$A$1:$A$20000,0),MATCH("Keyword Difficulty*",'Semrush Data'!$A$1:$Z$1,0)),"")</f>
        <v/>
      </c>
      <c r="I1591" s="56">
        <f>IFERROR(INDEX('Semrush Data'!$A$1:$Z$20000,MATCH(A1591,'Semrush Data'!$A$1:$A$20000,0),MATCH("CPC*",'Semrush Data'!$A$1:$Z$1,0)),"")</f>
        <v/>
      </c>
      <c r="J1591" s="42">
        <f>IFERROR(INDEX('Semrush Data'!$A$1:$Z$20000,MATCH(A1591,'Semrush Data'!$A$1:$A$20000,0),MATCH("Intent",'Semrush Data'!$A$1:$Z$1,0)),"")</f>
        <v/>
      </c>
    </row>
    <row r="1592" ht="15" customHeight="1" s="37">
      <c r="A1592" s="42" t="inlineStr">
        <is>
          <t>the woods collection twilight eau de parfum</t>
        </is>
      </c>
      <c r="B1592" s="42" t="inlineStr">
        <is>
          <t>Product + type</t>
        </is>
      </c>
      <c r="C1592" s="42" t="n">
        <v>2</v>
      </c>
      <c r="D1592" s="42" t="n">
        <v>16</v>
      </c>
      <c r="E1592" s="42" t="n">
        <v>1</v>
      </c>
      <c r="F1592" s="42" t="inlineStr">
        <is>
          <t>FR-351</t>
        </is>
      </c>
      <c r="G1592" s="55">
        <f>IFERROR(INDEX('Semrush Data'!$A$1:$Z$20000,MATCH(A1592,'Semrush Data'!$A$1:$A$20000,0),MATCH("Volume",'Semrush Data'!$A$1:$Z$1,0)),"")</f>
        <v/>
      </c>
      <c r="H1592" s="42">
        <f>IFERROR(INDEX('Semrush Data'!$A$1:$Z$20000,MATCH(A1592,'Semrush Data'!$A$1:$A$20000,0),MATCH("Keyword Difficulty*",'Semrush Data'!$A$1:$Z$1,0)),"")</f>
        <v/>
      </c>
      <c r="I1592" s="56">
        <f>IFERROR(INDEX('Semrush Data'!$A$1:$Z$20000,MATCH(A1592,'Semrush Data'!$A$1:$A$20000,0),MATCH("CPC*",'Semrush Data'!$A$1:$Z$1,0)),"")</f>
        <v/>
      </c>
      <c r="J1592" s="42">
        <f>IFERROR(INDEX('Semrush Data'!$A$1:$Z$20000,MATCH(A1592,'Semrush Data'!$A$1:$A$20000,0),MATCH("Intent",'Semrush Data'!$A$1:$Z$1,0)),"")</f>
        <v/>
      </c>
    </row>
    <row r="1593" ht="15" customHeight="1" s="37">
      <c r="A1593" s="42" t="inlineStr">
        <is>
          <t>the woods collection wild roses eau de parfum</t>
        </is>
      </c>
      <c r="B1593" s="42" t="inlineStr">
        <is>
          <t>Product + type</t>
        </is>
      </c>
      <c r="C1593" s="42" t="n">
        <v>2</v>
      </c>
      <c r="D1593" s="42" t="n">
        <v>16</v>
      </c>
      <c r="E1593" s="42" t="n">
        <v>1</v>
      </c>
      <c r="F1593" s="42" t="inlineStr">
        <is>
          <t>FR-352</t>
        </is>
      </c>
      <c r="G1593" s="55">
        <f>IFERROR(INDEX('Semrush Data'!$A$1:$Z$20000,MATCH(A1593,'Semrush Data'!$A$1:$A$20000,0),MATCH("Volume",'Semrush Data'!$A$1:$Z$1,0)),"")</f>
        <v/>
      </c>
      <c r="H1593" s="42">
        <f>IFERROR(INDEX('Semrush Data'!$A$1:$Z$20000,MATCH(A1593,'Semrush Data'!$A$1:$A$20000,0),MATCH("Keyword Difficulty*",'Semrush Data'!$A$1:$Z$1,0)),"")</f>
        <v/>
      </c>
      <c r="I1593" s="56">
        <f>IFERROR(INDEX('Semrush Data'!$A$1:$Z$20000,MATCH(A1593,'Semrush Data'!$A$1:$A$20000,0),MATCH("CPC*",'Semrush Data'!$A$1:$Z$1,0)),"")</f>
        <v/>
      </c>
      <c r="J1593" s="42">
        <f>IFERROR(INDEX('Semrush Data'!$A$1:$Z$20000,MATCH(A1593,'Semrush Data'!$A$1:$A$20000,0),MATCH("Intent",'Semrush Data'!$A$1:$Z$1,0)),"")</f>
        <v/>
      </c>
    </row>
    <row r="1594" ht="15" customHeight="1" s="37">
      <c r="A1594" s="42" t="inlineStr">
        <is>
          <t>tiziana terenzi akragas extrait de parfum</t>
        </is>
      </c>
      <c r="B1594" s="42" t="inlineStr">
        <is>
          <t>Product + type</t>
        </is>
      </c>
      <c r="C1594" s="42" t="n">
        <v>2</v>
      </c>
      <c r="D1594" s="42" t="n">
        <v>16</v>
      </c>
      <c r="E1594" s="42" t="n">
        <v>1</v>
      </c>
      <c r="F1594" s="42" t="inlineStr">
        <is>
          <t>FR-353</t>
        </is>
      </c>
      <c r="G1594" s="55">
        <f>IFERROR(INDEX('Semrush Data'!$A$1:$Z$20000,MATCH(A1594,'Semrush Data'!$A$1:$A$20000,0),MATCH("Volume",'Semrush Data'!$A$1:$Z$1,0)),"")</f>
        <v/>
      </c>
      <c r="H1594" s="42">
        <f>IFERROR(INDEX('Semrush Data'!$A$1:$Z$20000,MATCH(A1594,'Semrush Data'!$A$1:$A$20000,0),MATCH("Keyword Difficulty*",'Semrush Data'!$A$1:$Z$1,0)),"")</f>
        <v/>
      </c>
      <c r="I1594" s="56">
        <f>IFERROR(INDEX('Semrush Data'!$A$1:$Z$20000,MATCH(A1594,'Semrush Data'!$A$1:$A$20000,0),MATCH("CPC*",'Semrush Data'!$A$1:$Z$1,0)),"")</f>
        <v/>
      </c>
      <c r="J1594" s="42">
        <f>IFERROR(INDEX('Semrush Data'!$A$1:$Z$20000,MATCH(A1594,'Semrush Data'!$A$1:$A$20000,0),MATCH("Intent",'Semrush Data'!$A$1:$Z$1,0)),"")</f>
        <v/>
      </c>
    </row>
    <row r="1595" ht="15" customHeight="1" s="37">
      <c r="A1595" s="42" t="inlineStr">
        <is>
          <t>tiziana terenzi andromeda extrait de parfum</t>
        </is>
      </c>
      <c r="B1595" s="42" t="inlineStr">
        <is>
          <t>Product + type</t>
        </is>
      </c>
      <c r="C1595" s="42" t="n">
        <v>2</v>
      </c>
      <c r="D1595" s="42" t="inlineStr">
        <is>
          <t>T2-2</t>
        </is>
      </c>
      <c r="E1595" s="42" t="n">
        <v>1</v>
      </c>
      <c r="F1595" s="42" t="inlineStr">
        <is>
          <t>FR-354</t>
        </is>
      </c>
      <c r="G1595" s="55">
        <f>IFERROR(INDEX('Semrush Data'!$A$1:$Z$20000,MATCH(A1595,'Semrush Data'!$A$1:$A$20000,0),MATCH("Volume",'Semrush Data'!$A$1:$Z$1,0)),"")</f>
        <v/>
      </c>
      <c r="H1595" s="42">
        <f>IFERROR(INDEX('Semrush Data'!$A$1:$Z$20000,MATCH(A1595,'Semrush Data'!$A$1:$A$20000,0),MATCH("Keyword Difficulty*",'Semrush Data'!$A$1:$Z$1,0)),"")</f>
        <v/>
      </c>
      <c r="I1595" s="56">
        <f>IFERROR(INDEX('Semrush Data'!$A$1:$Z$20000,MATCH(A1595,'Semrush Data'!$A$1:$A$20000,0),MATCH("CPC*",'Semrush Data'!$A$1:$Z$1,0)),"")</f>
        <v/>
      </c>
      <c r="J1595" s="42">
        <f>IFERROR(INDEX('Semrush Data'!$A$1:$Z$20000,MATCH(A1595,'Semrush Data'!$A$1:$A$20000,0),MATCH("Intent",'Semrush Data'!$A$1:$Z$1,0)),"")</f>
        <v/>
      </c>
    </row>
    <row r="1596" ht="15" customHeight="1" s="37">
      <c r="A1596" s="42" t="inlineStr">
        <is>
          <t>tiziana terenzi borelli linea tt extrait de parfum</t>
        </is>
      </c>
      <c r="B1596" s="42" t="inlineStr">
        <is>
          <t>Product + type</t>
        </is>
      </c>
      <c r="C1596" s="42" t="n">
        <v>2</v>
      </c>
      <c r="D1596" s="42" t="n">
        <v>16</v>
      </c>
      <c r="E1596" s="42" t="n">
        <v>1</v>
      </c>
      <c r="F1596" s="42" t="inlineStr">
        <is>
          <t>FR-355</t>
        </is>
      </c>
      <c r="G1596" s="55">
        <f>IFERROR(INDEX('Semrush Data'!$A$1:$Z$20000,MATCH(A1596,'Semrush Data'!$A$1:$A$20000,0),MATCH("Volume",'Semrush Data'!$A$1:$Z$1,0)),"")</f>
        <v/>
      </c>
      <c r="H1596" s="42">
        <f>IFERROR(INDEX('Semrush Data'!$A$1:$Z$20000,MATCH(A1596,'Semrush Data'!$A$1:$A$20000,0),MATCH("Keyword Difficulty*",'Semrush Data'!$A$1:$Z$1,0)),"")</f>
        <v/>
      </c>
      <c r="I1596" s="56">
        <f>IFERROR(INDEX('Semrush Data'!$A$1:$Z$20000,MATCH(A1596,'Semrush Data'!$A$1:$A$20000,0),MATCH("CPC*",'Semrush Data'!$A$1:$Z$1,0)),"")</f>
        <v/>
      </c>
      <c r="J1596" s="42">
        <f>IFERROR(INDEX('Semrush Data'!$A$1:$Z$20000,MATCH(A1596,'Semrush Data'!$A$1:$A$20000,0),MATCH("Intent",'Semrush Data'!$A$1:$Z$1,0)),"")</f>
        <v/>
      </c>
    </row>
    <row r="1597" ht="15" customHeight="1" s="37">
      <c r="A1597" s="42" t="inlineStr">
        <is>
          <t>tiziana terenzi caput mundi extrait de parfum</t>
        </is>
      </c>
      <c r="B1597" s="42" t="inlineStr">
        <is>
          <t>Product + type</t>
        </is>
      </c>
      <c r="C1597" s="42" t="n">
        <v>2</v>
      </c>
      <c r="D1597" s="42" t="n">
        <v>16</v>
      </c>
      <c r="E1597" s="42" t="n">
        <v>2</v>
      </c>
      <c r="F1597" s="42" t="inlineStr">
        <is>
          <t>FR-356, FR-357</t>
        </is>
      </c>
      <c r="G1597" s="55">
        <f>IFERROR(INDEX('Semrush Data'!$A$1:$Z$20000,MATCH(A1597,'Semrush Data'!$A$1:$A$20000,0),MATCH("Volume",'Semrush Data'!$A$1:$Z$1,0)),"")</f>
        <v/>
      </c>
      <c r="H1597" s="42">
        <f>IFERROR(INDEX('Semrush Data'!$A$1:$Z$20000,MATCH(A1597,'Semrush Data'!$A$1:$A$20000,0),MATCH("Keyword Difficulty*",'Semrush Data'!$A$1:$Z$1,0)),"")</f>
        <v/>
      </c>
      <c r="I1597" s="56">
        <f>IFERROR(INDEX('Semrush Data'!$A$1:$Z$20000,MATCH(A1597,'Semrush Data'!$A$1:$A$20000,0),MATCH("CPC*",'Semrush Data'!$A$1:$Z$1,0)),"")</f>
        <v/>
      </c>
      <c r="J1597" s="42">
        <f>IFERROR(INDEX('Semrush Data'!$A$1:$Z$20000,MATCH(A1597,'Semrush Data'!$A$1:$A$20000,0),MATCH("Intent",'Semrush Data'!$A$1:$Z$1,0)),"")</f>
        <v/>
      </c>
    </row>
    <row r="1598" ht="15" customHeight="1" s="37">
      <c r="A1598" s="42" t="inlineStr">
        <is>
          <t>tiziana terenzi chimaera anniversary extrait de parfum</t>
        </is>
      </c>
      <c r="B1598" s="42" t="inlineStr">
        <is>
          <t>Product + type</t>
        </is>
      </c>
      <c r="C1598" s="42" t="n">
        <v>2</v>
      </c>
      <c r="D1598" s="42" t="n">
        <v>16</v>
      </c>
      <c r="E1598" s="42" t="n">
        <v>1</v>
      </c>
      <c r="F1598" s="42" t="inlineStr">
        <is>
          <t>FR-358</t>
        </is>
      </c>
      <c r="G1598" s="55">
        <f>IFERROR(INDEX('Semrush Data'!$A$1:$Z$20000,MATCH(A1598,'Semrush Data'!$A$1:$A$20000,0),MATCH("Volume",'Semrush Data'!$A$1:$Z$1,0)),"")</f>
        <v/>
      </c>
      <c r="H1598" s="42">
        <f>IFERROR(INDEX('Semrush Data'!$A$1:$Z$20000,MATCH(A1598,'Semrush Data'!$A$1:$A$20000,0),MATCH("Keyword Difficulty*",'Semrush Data'!$A$1:$Z$1,0)),"")</f>
        <v/>
      </c>
      <c r="I1598" s="56">
        <f>IFERROR(INDEX('Semrush Data'!$A$1:$Z$20000,MATCH(A1598,'Semrush Data'!$A$1:$A$20000,0),MATCH("CPC*",'Semrush Data'!$A$1:$Z$1,0)),"")</f>
        <v/>
      </c>
      <c r="J1598" s="42">
        <f>IFERROR(INDEX('Semrush Data'!$A$1:$Z$20000,MATCH(A1598,'Semrush Data'!$A$1:$A$20000,0),MATCH("Intent",'Semrush Data'!$A$1:$Z$1,0)),"")</f>
        <v/>
      </c>
    </row>
    <row r="1599" ht="15" customHeight="1" s="37">
      <c r="A1599" s="42" t="inlineStr">
        <is>
          <t>tiziana terenzi draconis extrait de parfum</t>
        </is>
      </c>
      <c r="B1599" s="42" t="inlineStr">
        <is>
          <t>Product + type</t>
        </is>
      </c>
      <c r="C1599" s="42" t="n">
        <v>2</v>
      </c>
      <c r="D1599" s="42" t="n">
        <v>16</v>
      </c>
      <c r="E1599" s="42" t="n">
        <v>1</v>
      </c>
      <c r="F1599" s="42" t="inlineStr">
        <is>
          <t>FR-359</t>
        </is>
      </c>
      <c r="G1599" s="55">
        <f>IFERROR(INDEX('Semrush Data'!$A$1:$Z$20000,MATCH(A1599,'Semrush Data'!$A$1:$A$20000,0),MATCH("Volume",'Semrush Data'!$A$1:$Z$1,0)),"")</f>
        <v/>
      </c>
      <c r="H1599" s="42">
        <f>IFERROR(INDEX('Semrush Data'!$A$1:$Z$20000,MATCH(A1599,'Semrush Data'!$A$1:$A$20000,0),MATCH("Keyword Difficulty*",'Semrush Data'!$A$1:$Z$1,0)),"")</f>
        <v/>
      </c>
      <c r="I1599" s="56">
        <f>IFERROR(INDEX('Semrush Data'!$A$1:$Z$20000,MATCH(A1599,'Semrush Data'!$A$1:$A$20000,0),MATCH("CPC*",'Semrush Data'!$A$1:$Z$1,0)),"")</f>
        <v/>
      </c>
      <c r="J1599" s="42">
        <f>IFERROR(INDEX('Semrush Data'!$A$1:$Z$20000,MATCH(A1599,'Semrush Data'!$A$1:$A$20000,0),MATCH("Intent",'Semrush Data'!$A$1:$Z$1,0)),"")</f>
        <v/>
      </c>
    </row>
    <row r="1600" ht="15" customHeight="1" s="37">
      <c r="A1600" s="42" t="inlineStr">
        <is>
          <t>tiziana terenzi dubhe assoluto extrait de parfum</t>
        </is>
      </c>
      <c r="B1600" s="42" t="inlineStr">
        <is>
          <t>Product + type</t>
        </is>
      </c>
      <c r="C1600" s="42" t="n">
        <v>2</v>
      </c>
      <c r="D1600" s="42" t="n">
        <v>16</v>
      </c>
      <c r="E1600" s="42" t="n">
        <v>1</v>
      </c>
      <c r="F1600" s="42" t="inlineStr">
        <is>
          <t>FR-360</t>
        </is>
      </c>
      <c r="G1600" s="55">
        <f>IFERROR(INDEX('Semrush Data'!$A$1:$Z$20000,MATCH(A1600,'Semrush Data'!$A$1:$A$20000,0),MATCH("Volume",'Semrush Data'!$A$1:$Z$1,0)),"")</f>
        <v/>
      </c>
      <c r="H1600" s="42">
        <f>IFERROR(INDEX('Semrush Data'!$A$1:$Z$20000,MATCH(A1600,'Semrush Data'!$A$1:$A$20000,0),MATCH("Keyword Difficulty*",'Semrush Data'!$A$1:$Z$1,0)),"")</f>
        <v/>
      </c>
      <c r="I1600" s="56">
        <f>IFERROR(INDEX('Semrush Data'!$A$1:$Z$20000,MATCH(A1600,'Semrush Data'!$A$1:$A$20000,0),MATCH("CPC*",'Semrush Data'!$A$1:$Z$1,0)),"")</f>
        <v/>
      </c>
      <c r="J1600" s="42">
        <f>IFERROR(INDEX('Semrush Data'!$A$1:$Z$20000,MATCH(A1600,'Semrush Data'!$A$1:$A$20000,0),MATCH("Intent",'Semrush Data'!$A$1:$Z$1,0)),"")</f>
        <v/>
      </c>
    </row>
    <row r="1601" ht="15" customHeight="1" s="37">
      <c r="A1601" s="42" t="inlineStr">
        <is>
          <t>tiziana terenzi ecstasy extrait de parfum</t>
        </is>
      </c>
      <c r="B1601" s="42" t="inlineStr">
        <is>
          <t>Product + type</t>
        </is>
      </c>
      <c r="C1601" s="42" t="n">
        <v>2</v>
      </c>
      <c r="D1601" s="42" t="n">
        <v>16</v>
      </c>
      <c r="E1601" s="42" t="n">
        <v>1</v>
      </c>
      <c r="F1601" s="42" t="inlineStr">
        <is>
          <t>FR-361</t>
        </is>
      </c>
      <c r="G1601" s="55">
        <f>IFERROR(INDEX('Semrush Data'!$A$1:$Z$20000,MATCH(A1601,'Semrush Data'!$A$1:$A$20000,0),MATCH("Volume",'Semrush Data'!$A$1:$Z$1,0)),"")</f>
        <v/>
      </c>
      <c r="H1601" s="42">
        <f>IFERROR(INDEX('Semrush Data'!$A$1:$Z$20000,MATCH(A1601,'Semrush Data'!$A$1:$A$20000,0),MATCH("Keyword Difficulty*",'Semrush Data'!$A$1:$Z$1,0)),"")</f>
        <v/>
      </c>
      <c r="I1601" s="56">
        <f>IFERROR(INDEX('Semrush Data'!$A$1:$Z$20000,MATCH(A1601,'Semrush Data'!$A$1:$A$20000,0),MATCH("CPC*",'Semrush Data'!$A$1:$Z$1,0)),"")</f>
        <v/>
      </c>
      <c r="J1601" s="42">
        <f>IFERROR(INDEX('Semrush Data'!$A$1:$Z$20000,MATCH(A1601,'Semrush Data'!$A$1:$A$20000,0),MATCH("Intent",'Semrush Data'!$A$1:$Z$1,0)),"")</f>
        <v/>
      </c>
    </row>
    <row r="1602" ht="15" customHeight="1" s="37">
      <c r="A1602" s="42" t="inlineStr">
        <is>
          <t>tiziana terenzi gold rose oudh extrait de parfum</t>
        </is>
      </c>
      <c r="B1602" s="42" t="inlineStr">
        <is>
          <t>Product + type</t>
        </is>
      </c>
      <c r="C1602" s="42" t="n">
        <v>2</v>
      </c>
      <c r="D1602" s="42" t="inlineStr">
        <is>
          <t>T2-2</t>
        </is>
      </c>
      <c r="E1602" s="42" t="n">
        <v>1</v>
      </c>
      <c r="F1602" s="42" t="inlineStr">
        <is>
          <t>FR-362</t>
        </is>
      </c>
      <c r="G1602" s="55">
        <f>IFERROR(INDEX('Semrush Data'!$A$1:$Z$20000,MATCH(A1602,'Semrush Data'!$A$1:$A$20000,0),MATCH("Volume",'Semrush Data'!$A$1:$Z$1,0)),"")</f>
        <v/>
      </c>
      <c r="H1602" s="42">
        <f>IFERROR(INDEX('Semrush Data'!$A$1:$Z$20000,MATCH(A1602,'Semrush Data'!$A$1:$A$20000,0),MATCH("Keyword Difficulty*",'Semrush Data'!$A$1:$Z$1,0)),"")</f>
        <v/>
      </c>
      <c r="I1602" s="56">
        <f>IFERROR(INDEX('Semrush Data'!$A$1:$Z$20000,MATCH(A1602,'Semrush Data'!$A$1:$A$20000,0),MATCH("CPC*",'Semrush Data'!$A$1:$Z$1,0)),"")</f>
        <v/>
      </c>
      <c r="J1602" s="42">
        <f>IFERROR(INDEX('Semrush Data'!$A$1:$Z$20000,MATCH(A1602,'Semrush Data'!$A$1:$A$20000,0),MATCH("Intent",'Semrush Data'!$A$1:$Z$1,0)),"")</f>
        <v/>
      </c>
    </row>
    <row r="1603" ht="15" customHeight="1" s="37">
      <c r="A1603" s="42" t="inlineStr">
        <is>
          <t>tiziana terenzi gumin extrait de parfum</t>
        </is>
      </c>
      <c r="B1603" s="42" t="inlineStr">
        <is>
          <t>Product + type</t>
        </is>
      </c>
      <c r="C1603" s="42" t="n">
        <v>2</v>
      </c>
      <c r="D1603" s="42" t="n">
        <v>17</v>
      </c>
      <c r="E1603" s="42" t="n">
        <v>1</v>
      </c>
      <c r="F1603" s="42" t="inlineStr">
        <is>
          <t>FR-363</t>
        </is>
      </c>
      <c r="G1603" s="55">
        <f>IFERROR(INDEX('Semrush Data'!$A$1:$Z$20000,MATCH(A1603,'Semrush Data'!$A$1:$A$20000,0),MATCH("Volume",'Semrush Data'!$A$1:$Z$1,0)),"")</f>
        <v/>
      </c>
      <c r="H1603" s="42">
        <f>IFERROR(INDEX('Semrush Data'!$A$1:$Z$20000,MATCH(A1603,'Semrush Data'!$A$1:$A$20000,0),MATCH("Keyword Difficulty*",'Semrush Data'!$A$1:$Z$1,0)),"")</f>
        <v/>
      </c>
      <c r="I1603" s="56">
        <f>IFERROR(INDEX('Semrush Data'!$A$1:$Z$20000,MATCH(A1603,'Semrush Data'!$A$1:$A$20000,0),MATCH("CPC*",'Semrush Data'!$A$1:$Z$1,0)),"")</f>
        <v/>
      </c>
      <c r="J1603" s="42">
        <f>IFERROR(INDEX('Semrush Data'!$A$1:$Z$20000,MATCH(A1603,'Semrush Data'!$A$1:$A$20000,0),MATCH("Intent",'Semrush Data'!$A$1:$Z$1,0)),"")</f>
        <v/>
      </c>
    </row>
    <row r="1604" ht="15" customHeight="1" s="37">
      <c r="A1604" s="42" t="inlineStr">
        <is>
          <t>tiziana terenzi kaff extrait de parfum</t>
        </is>
      </c>
      <c r="B1604" s="42" t="inlineStr">
        <is>
          <t>Product + type</t>
        </is>
      </c>
      <c r="C1604" s="42" t="n">
        <v>2</v>
      </c>
      <c r="D1604" s="42" t="n">
        <v>17</v>
      </c>
      <c r="E1604" s="42" t="n">
        <v>1</v>
      </c>
      <c r="F1604" s="42" t="inlineStr">
        <is>
          <t>FR-364</t>
        </is>
      </c>
      <c r="G1604" s="55">
        <f>IFERROR(INDEX('Semrush Data'!$A$1:$Z$20000,MATCH(A1604,'Semrush Data'!$A$1:$A$20000,0),MATCH("Volume",'Semrush Data'!$A$1:$Z$1,0)),"")</f>
        <v/>
      </c>
      <c r="H1604" s="42">
        <f>IFERROR(INDEX('Semrush Data'!$A$1:$Z$20000,MATCH(A1604,'Semrush Data'!$A$1:$A$20000,0),MATCH("Keyword Difficulty*",'Semrush Data'!$A$1:$Z$1,0)),"")</f>
        <v/>
      </c>
      <c r="I1604" s="56">
        <f>IFERROR(INDEX('Semrush Data'!$A$1:$Z$20000,MATCH(A1604,'Semrush Data'!$A$1:$A$20000,0),MATCH("CPC*",'Semrush Data'!$A$1:$Z$1,0)),"")</f>
        <v/>
      </c>
      <c r="J1604" s="42">
        <f>IFERROR(INDEX('Semrush Data'!$A$1:$Z$20000,MATCH(A1604,'Semrush Data'!$A$1:$A$20000,0),MATCH("Intent",'Semrush Data'!$A$1:$Z$1,0)),"")</f>
        <v/>
      </c>
    </row>
    <row r="1605" ht="15" customHeight="1" s="37">
      <c r="A1605" s="42" t="inlineStr">
        <is>
          <t>tiziana terenzi kirke extrait de parfum</t>
        </is>
      </c>
      <c r="B1605" s="42" t="inlineStr">
        <is>
          <t>Product + type</t>
        </is>
      </c>
      <c r="C1605" s="42" t="n">
        <v>2</v>
      </c>
      <c r="D1605" s="42" t="inlineStr">
        <is>
          <t>T2-1</t>
        </is>
      </c>
      <c r="E1605" s="42" t="n">
        <v>1</v>
      </c>
      <c r="F1605" s="42" t="inlineStr">
        <is>
          <t>FR-365</t>
        </is>
      </c>
      <c r="G1605" s="55">
        <f>IFERROR(INDEX('Semrush Data'!$A$1:$Z$20000,MATCH(A1605,'Semrush Data'!$A$1:$A$20000,0),MATCH("Volume",'Semrush Data'!$A$1:$Z$1,0)),"")</f>
        <v/>
      </c>
      <c r="H1605" s="42">
        <f>IFERROR(INDEX('Semrush Data'!$A$1:$Z$20000,MATCH(A1605,'Semrush Data'!$A$1:$A$20000,0),MATCH("Keyword Difficulty*",'Semrush Data'!$A$1:$Z$1,0)),"")</f>
        <v/>
      </c>
      <c r="I1605" s="56">
        <f>IFERROR(INDEX('Semrush Data'!$A$1:$Z$20000,MATCH(A1605,'Semrush Data'!$A$1:$A$20000,0),MATCH("CPC*",'Semrush Data'!$A$1:$Z$1,0)),"")</f>
        <v/>
      </c>
      <c r="J1605" s="42">
        <f>IFERROR(INDEX('Semrush Data'!$A$1:$Z$20000,MATCH(A1605,'Semrush Data'!$A$1:$A$20000,0),MATCH("Intent",'Semrush Data'!$A$1:$Z$1,0)),"")</f>
        <v/>
      </c>
    </row>
    <row r="1606" ht="15" customHeight="1" s="37">
      <c r="A1606" s="42" t="inlineStr">
        <is>
          <t>tiziana terenzi leo extrait de parfum</t>
        </is>
      </c>
      <c r="B1606" s="42" t="inlineStr">
        <is>
          <t>Product + type</t>
        </is>
      </c>
      <c r="C1606" s="42" t="n">
        <v>2</v>
      </c>
      <c r="D1606" s="42" t="n">
        <v>17</v>
      </c>
      <c r="E1606" s="42" t="n">
        <v>1</v>
      </c>
      <c r="F1606" s="42" t="inlineStr">
        <is>
          <t>FR-366</t>
        </is>
      </c>
      <c r="G1606" s="55">
        <f>IFERROR(INDEX('Semrush Data'!$A$1:$Z$20000,MATCH(A1606,'Semrush Data'!$A$1:$A$20000,0),MATCH("Volume",'Semrush Data'!$A$1:$Z$1,0)),"")</f>
        <v/>
      </c>
      <c r="H1606" s="42">
        <f>IFERROR(INDEX('Semrush Data'!$A$1:$Z$20000,MATCH(A1606,'Semrush Data'!$A$1:$A$20000,0),MATCH("Keyword Difficulty*",'Semrush Data'!$A$1:$Z$1,0)),"")</f>
        <v/>
      </c>
      <c r="I1606" s="56">
        <f>IFERROR(INDEX('Semrush Data'!$A$1:$Z$20000,MATCH(A1606,'Semrush Data'!$A$1:$A$20000,0),MATCH("CPC*",'Semrush Data'!$A$1:$Z$1,0)),"")</f>
        <v/>
      </c>
      <c r="J1606" s="42">
        <f>IFERROR(INDEX('Semrush Data'!$A$1:$Z$20000,MATCH(A1606,'Semrush Data'!$A$1:$A$20000,0),MATCH("Intent",'Semrush Data'!$A$1:$Z$1,0)),"")</f>
        <v/>
      </c>
    </row>
    <row r="1607" ht="15" customHeight="1" s="37">
      <c r="A1607" s="42" t="inlineStr">
        <is>
          <t>tiziana terenzi moro di venezia extrait de parfum</t>
        </is>
      </c>
      <c r="B1607" s="42" t="inlineStr">
        <is>
          <t>Product + type</t>
        </is>
      </c>
      <c r="C1607" s="42" t="n">
        <v>2</v>
      </c>
      <c r="D1607" s="42" t="n">
        <v>17</v>
      </c>
      <c r="E1607" s="42" t="n">
        <v>1</v>
      </c>
      <c r="F1607" s="42" t="inlineStr">
        <is>
          <t>FR-367</t>
        </is>
      </c>
      <c r="G1607" s="55">
        <f>IFERROR(INDEX('Semrush Data'!$A$1:$Z$20000,MATCH(A1607,'Semrush Data'!$A$1:$A$20000,0),MATCH("Volume",'Semrush Data'!$A$1:$Z$1,0)),"")</f>
        <v/>
      </c>
      <c r="H1607" s="42">
        <f>IFERROR(INDEX('Semrush Data'!$A$1:$Z$20000,MATCH(A1607,'Semrush Data'!$A$1:$A$20000,0),MATCH("Keyword Difficulty*",'Semrush Data'!$A$1:$Z$1,0)),"")</f>
        <v/>
      </c>
      <c r="I1607" s="56">
        <f>IFERROR(INDEX('Semrush Data'!$A$1:$Z$20000,MATCH(A1607,'Semrush Data'!$A$1:$A$20000,0),MATCH("CPC*",'Semrush Data'!$A$1:$Z$1,0)),"")</f>
        <v/>
      </c>
      <c r="J1607" s="42">
        <f>IFERROR(INDEX('Semrush Data'!$A$1:$Z$20000,MATCH(A1607,'Semrush Data'!$A$1:$A$20000,0),MATCH("Intent",'Semrush Data'!$A$1:$Z$1,0)),"")</f>
        <v/>
      </c>
    </row>
    <row r="1608" ht="15" customHeight="1" s="37">
      <c r="A1608" s="42" t="inlineStr">
        <is>
          <t>tiziana terenzi orion extrait de parfum</t>
        </is>
      </c>
      <c r="B1608" s="42" t="inlineStr">
        <is>
          <t>Product + type</t>
        </is>
      </c>
      <c r="C1608" s="42" t="n">
        <v>2</v>
      </c>
      <c r="D1608" s="42" t="n">
        <v>17</v>
      </c>
      <c r="E1608" s="42" t="n">
        <v>1</v>
      </c>
      <c r="F1608" s="42" t="inlineStr">
        <is>
          <t>FR-368</t>
        </is>
      </c>
      <c r="G1608" s="55">
        <f>IFERROR(INDEX('Semrush Data'!$A$1:$Z$20000,MATCH(A1608,'Semrush Data'!$A$1:$A$20000,0),MATCH("Volume",'Semrush Data'!$A$1:$Z$1,0)),"")</f>
        <v/>
      </c>
      <c r="H1608" s="42">
        <f>IFERROR(INDEX('Semrush Data'!$A$1:$Z$20000,MATCH(A1608,'Semrush Data'!$A$1:$A$20000,0),MATCH("Keyword Difficulty*",'Semrush Data'!$A$1:$Z$1,0)),"")</f>
        <v/>
      </c>
      <c r="I1608" s="56">
        <f>IFERROR(INDEX('Semrush Data'!$A$1:$Z$20000,MATCH(A1608,'Semrush Data'!$A$1:$A$20000,0),MATCH("CPC*",'Semrush Data'!$A$1:$Z$1,0)),"")</f>
        <v/>
      </c>
      <c r="J1608" s="42">
        <f>IFERROR(INDEX('Semrush Data'!$A$1:$Z$20000,MATCH(A1608,'Semrush Data'!$A$1:$A$20000,0),MATCH("Intent",'Semrush Data'!$A$1:$Z$1,0)),"")</f>
        <v/>
      </c>
    </row>
    <row r="1609" ht="15" customHeight="1" s="37">
      <c r="A1609" s="42" t="inlineStr">
        <is>
          <t>tiziana terenzi orza linea tt extrait de parfum</t>
        </is>
      </c>
      <c r="B1609" s="42" t="inlineStr">
        <is>
          <t>Product + type</t>
        </is>
      </c>
      <c r="C1609" s="42" t="n">
        <v>2</v>
      </c>
      <c r="D1609" s="42" t="n">
        <v>17</v>
      </c>
      <c r="E1609" s="42" t="n">
        <v>1</v>
      </c>
      <c r="F1609" s="42" t="inlineStr">
        <is>
          <t>FR-369</t>
        </is>
      </c>
      <c r="G1609" s="55">
        <f>IFERROR(INDEX('Semrush Data'!$A$1:$Z$20000,MATCH(A1609,'Semrush Data'!$A$1:$A$20000,0),MATCH("Volume",'Semrush Data'!$A$1:$Z$1,0)),"")</f>
        <v/>
      </c>
      <c r="H1609" s="42">
        <f>IFERROR(INDEX('Semrush Data'!$A$1:$Z$20000,MATCH(A1609,'Semrush Data'!$A$1:$A$20000,0),MATCH("Keyword Difficulty*",'Semrush Data'!$A$1:$Z$1,0)),"")</f>
        <v/>
      </c>
      <c r="I1609" s="56">
        <f>IFERROR(INDEX('Semrush Data'!$A$1:$Z$20000,MATCH(A1609,'Semrush Data'!$A$1:$A$20000,0),MATCH("CPC*",'Semrush Data'!$A$1:$Z$1,0)),"")</f>
        <v/>
      </c>
      <c r="J1609" s="42">
        <f>IFERROR(INDEX('Semrush Data'!$A$1:$Z$20000,MATCH(A1609,'Semrush Data'!$A$1:$A$20000,0),MATCH("Intent",'Semrush Data'!$A$1:$Z$1,0)),"")</f>
        <v/>
      </c>
    </row>
    <row r="1610" ht="15" customHeight="1" s="37">
      <c r="A1610" s="42" t="inlineStr">
        <is>
          <t>tiziana terenzi porpora extrait de parfum</t>
        </is>
      </c>
      <c r="B1610" s="42" t="inlineStr">
        <is>
          <t>Product + type</t>
        </is>
      </c>
      <c r="C1610" s="42" t="n">
        <v>2</v>
      </c>
      <c r="D1610" s="42" t="n">
        <v>17</v>
      </c>
      <c r="E1610" s="42" t="n">
        <v>1</v>
      </c>
      <c r="F1610" s="42" t="inlineStr">
        <is>
          <t>FR-370</t>
        </is>
      </c>
      <c r="G1610" s="55">
        <f>IFERROR(INDEX('Semrush Data'!$A$1:$Z$20000,MATCH(A1610,'Semrush Data'!$A$1:$A$20000,0),MATCH("Volume",'Semrush Data'!$A$1:$Z$1,0)),"")</f>
        <v/>
      </c>
      <c r="H1610" s="42">
        <f>IFERROR(INDEX('Semrush Data'!$A$1:$Z$20000,MATCH(A1610,'Semrush Data'!$A$1:$A$20000,0),MATCH("Keyword Difficulty*",'Semrush Data'!$A$1:$Z$1,0)),"")</f>
        <v/>
      </c>
      <c r="I1610" s="56">
        <f>IFERROR(INDEX('Semrush Data'!$A$1:$Z$20000,MATCH(A1610,'Semrush Data'!$A$1:$A$20000,0),MATCH("CPC*",'Semrush Data'!$A$1:$Z$1,0)),"")</f>
        <v/>
      </c>
      <c r="J1610" s="42">
        <f>IFERROR(INDEX('Semrush Data'!$A$1:$Z$20000,MATCH(A1610,'Semrush Data'!$A$1:$A$20000,0),MATCH("Intent",'Semrush Data'!$A$1:$Z$1,0)),"")</f>
        <v/>
      </c>
    </row>
    <row r="1611" ht="15" customHeight="1" s="37">
      <c r="A1611" s="42" t="inlineStr">
        <is>
          <t>tiziana terenzi saiph extrait de parfum</t>
        </is>
      </c>
      <c r="B1611" s="42" t="inlineStr">
        <is>
          <t>Product + type</t>
        </is>
      </c>
      <c r="C1611" s="42" t="n">
        <v>2</v>
      </c>
      <c r="D1611" s="42" t="n">
        <v>17</v>
      </c>
      <c r="E1611" s="42" t="n">
        <v>1</v>
      </c>
      <c r="F1611" s="42" t="inlineStr">
        <is>
          <t>FR-371</t>
        </is>
      </c>
      <c r="G1611" s="55">
        <f>IFERROR(INDEX('Semrush Data'!$A$1:$Z$20000,MATCH(A1611,'Semrush Data'!$A$1:$A$20000,0),MATCH("Volume",'Semrush Data'!$A$1:$Z$1,0)),"")</f>
        <v/>
      </c>
      <c r="H1611" s="42">
        <f>IFERROR(INDEX('Semrush Data'!$A$1:$Z$20000,MATCH(A1611,'Semrush Data'!$A$1:$A$20000,0),MATCH("Keyword Difficulty*",'Semrush Data'!$A$1:$Z$1,0)),"")</f>
        <v/>
      </c>
      <c r="I1611" s="56">
        <f>IFERROR(INDEX('Semrush Data'!$A$1:$Z$20000,MATCH(A1611,'Semrush Data'!$A$1:$A$20000,0),MATCH("CPC*",'Semrush Data'!$A$1:$Z$1,0)),"")</f>
        <v/>
      </c>
      <c r="J1611" s="42">
        <f>IFERROR(INDEX('Semrush Data'!$A$1:$Z$20000,MATCH(A1611,'Semrush Data'!$A$1:$A$20000,0),MATCH("Intent",'Semrush Data'!$A$1:$Z$1,0)),"")</f>
        <v/>
      </c>
    </row>
    <row r="1612" ht="15" customHeight="1" s="37">
      <c r="A1612" s="42" t="inlineStr">
        <is>
          <t>tiziana terenzi sea stars collection deriva extrait de parfum</t>
        </is>
      </c>
      <c r="B1612" s="42" t="inlineStr">
        <is>
          <t>Product + type</t>
        </is>
      </c>
      <c r="C1612" s="42" t="n">
        <v>2</v>
      </c>
      <c r="D1612" s="42" t="n">
        <v>17</v>
      </c>
      <c r="E1612" s="42" t="n">
        <v>1</v>
      </c>
      <c r="F1612" s="42" t="inlineStr">
        <is>
          <t>FR-372</t>
        </is>
      </c>
      <c r="G1612" s="55">
        <f>IFERROR(INDEX('Semrush Data'!$A$1:$Z$20000,MATCH(A1612,'Semrush Data'!$A$1:$A$20000,0),MATCH("Volume",'Semrush Data'!$A$1:$Z$1,0)),"")</f>
        <v/>
      </c>
      <c r="H1612" s="42">
        <f>IFERROR(INDEX('Semrush Data'!$A$1:$Z$20000,MATCH(A1612,'Semrush Data'!$A$1:$A$20000,0),MATCH("Keyword Difficulty*",'Semrush Data'!$A$1:$Z$1,0)),"")</f>
        <v/>
      </c>
      <c r="I1612" s="56">
        <f>IFERROR(INDEX('Semrush Data'!$A$1:$Z$20000,MATCH(A1612,'Semrush Data'!$A$1:$A$20000,0),MATCH("CPC*",'Semrush Data'!$A$1:$Z$1,0)),"")</f>
        <v/>
      </c>
      <c r="J1612" s="42">
        <f>IFERROR(INDEX('Semrush Data'!$A$1:$Z$20000,MATCH(A1612,'Semrush Data'!$A$1:$A$20000,0),MATCH("Intent",'Semrush Data'!$A$1:$Z$1,0)),"")</f>
        <v/>
      </c>
    </row>
    <row r="1613" ht="15" customHeight="1" s="37">
      <c r="A1613" s="42" t="inlineStr">
        <is>
          <t>tiziana terenzi white fire extrait de parfum</t>
        </is>
      </c>
      <c r="B1613" s="42" t="inlineStr">
        <is>
          <t>Product + type</t>
        </is>
      </c>
      <c r="C1613" s="42" t="n">
        <v>2</v>
      </c>
      <c r="D1613" s="42" t="n">
        <v>17</v>
      </c>
      <c r="E1613" s="42" t="n">
        <v>1</v>
      </c>
      <c r="F1613" s="42" t="inlineStr">
        <is>
          <t>FR-373</t>
        </is>
      </c>
      <c r="G1613" s="55">
        <f>IFERROR(INDEX('Semrush Data'!$A$1:$Z$20000,MATCH(A1613,'Semrush Data'!$A$1:$A$20000,0),MATCH("Volume",'Semrush Data'!$A$1:$Z$1,0)),"")</f>
        <v/>
      </c>
      <c r="H1613" s="42">
        <f>IFERROR(INDEX('Semrush Data'!$A$1:$Z$20000,MATCH(A1613,'Semrush Data'!$A$1:$A$20000,0),MATCH("Keyword Difficulty*",'Semrush Data'!$A$1:$Z$1,0)),"")</f>
        <v/>
      </c>
      <c r="I1613" s="56">
        <f>IFERROR(INDEX('Semrush Data'!$A$1:$Z$20000,MATCH(A1613,'Semrush Data'!$A$1:$A$20000,0),MATCH("CPC*",'Semrush Data'!$A$1:$Z$1,0)),"")</f>
        <v/>
      </c>
      <c r="J1613" s="42">
        <f>IFERROR(INDEX('Semrush Data'!$A$1:$Z$20000,MATCH(A1613,'Semrush Data'!$A$1:$A$20000,0),MATCH("Intent",'Semrush Data'!$A$1:$Z$1,0)),"")</f>
        <v/>
      </c>
    </row>
    <row r="1614" ht="15" customHeight="1" s="37">
      <c r="A1614" s="42" t="inlineStr">
        <is>
          <t>tom ford black orchid parfum</t>
        </is>
      </c>
      <c r="B1614" s="42" t="inlineStr">
        <is>
          <t>Product + type</t>
        </is>
      </c>
      <c r="C1614" s="42" t="n">
        <v>2</v>
      </c>
      <c r="D1614" s="42" t="inlineStr">
        <is>
          <t>T2-1</t>
        </is>
      </c>
      <c r="E1614" s="42" t="n">
        <v>1</v>
      </c>
      <c r="F1614" s="42" t="inlineStr">
        <is>
          <t>FR-378</t>
        </is>
      </c>
      <c r="G1614" s="55">
        <f>IFERROR(INDEX('Semrush Data'!$A$1:$Z$20000,MATCH(A1614,'Semrush Data'!$A$1:$A$20000,0),MATCH("Volume",'Semrush Data'!$A$1:$Z$1,0)),"")</f>
        <v/>
      </c>
      <c r="H1614" s="42">
        <f>IFERROR(INDEX('Semrush Data'!$A$1:$Z$20000,MATCH(A1614,'Semrush Data'!$A$1:$A$20000,0),MATCH("Keyword Difficulty*",'Semrush Data'!$A$1:$Z$1,0)),"")</f>
        <v/>
      </c>
      <c r="I1614" s="56">
        <f>IFERROR(INDEX('Semrush Data'!$A$1:$Z$20000,MATCH(A1614,'Semrush Data'!$A$1:$A$20000,0),MATCH("CPC*",'Semrush Data'!$A$1:$Z$1,0)),"")</f>
        <v/>
      </c>
      <c r="J1614" s="42">
        <f>IFERROR(INDEX('Semrush Data'!$A$1:$Z$20000,MATCH(A1614,'Semrush Data'!$A$1:$A$20000,0),MATCH("Intent",'Semrush Data'!$A$1:$Z$1,0)),"")</f>
        <v/>
      </c>
    </row>
    <row r="1615" ht="15" customHeight="1" s="37">
      <c r="A1615" s="42" t="inlineStr">
        <is>
          <t>tom ford ebene fume eau de parfum</t>
        </is>
      </c>
      <c r="B1615" s="42" t="inlineStr">
        <is>
          <t>Product + type</t>
        </is>
      </c>
      <c r="C1615" s="42" t="n">
        <v>2</v>
      </c>
      <c r="D1615" s="42" t="inlineStr">
        <is>
          <t>T2-1</t>
        </is>
      </c>
      <c r="E1615" s="42" t="n">
        <v>1</v>
      </c>
      <c r="F1615" s="42" t="inlineStr">
        <is>
          <t>FR-377</t>
        </is>
      </c>
      <c r="G1615" s="55">
        <f>IFERROR(INDEX('Semrush Data'!$A$1:$Z$20000,MATCH(A1615,'Semrush Data'!$A$1:$A$20000,0),MATCH("Volume",'Semrush Data'!$A$1:$Z$1,0)),"")</f>
        <v/>
      </c>
      <c r="H1615" s="42">
        <f>IFERROR(INDEX('Semrush Data'!$A$1:$Z$20000,MATCH(A1615,'Semrush Data'!$A$1:$A$20000,0),MATCH("Keyword Difficulty*",'Semrush Data'!$A$1:$Z$1,0)),"")</f>
        <v/>
      </c>
      <c r="I1615" s="56">
        <f>IFERROR(INDEX('Semrush Data'!$A$1:$Z$20000,MATCH(A1615,'Semrush Data'!$A$1:$A$20000,0),MATCH("CPC*",'Semrush Data'!$A$1:$Z$1,0)),"")</f>
        <v/>
      </c>
      <c r="J1615" s="42">
        <f>IFERROR(INDEX('Semrush Data'!$A$1:$Z$20000,MATCH(A1615,'Semrush Data'!$A$1:$A$20000,0),MATCH("Intent",'Semrush Data'!$A$1:$Z$1,0)),"")</f>
        <v/>
      </c>
    </row>
    <row r="1616" ht="15" customHeight="1" s="37">
      <c r="A1616" s="42" t="inlineStr">
        <is>
          <t>tom ford neroli portofino eau de parfum</t>
        </is>
      </c>
      <c r="B1616" s="42" t="inlineStr">
        <is>
          <t>Product + type</t>
        </is>
      </c>
      <c r="C1616" s="42" t="n">
        <v>2</v>
      </c>
      <c r="D1616" s="42" t="inlineStr">
        <is>
          <t>T2-1</t>
        </is>
      </c>
      <c r="E1616" s="42" t="n">
        <v>1</v>
      </c>
      <c r="F1616" s="42" t="inlineStr">
        <is>
          <t>FR-374</t>
        </is>
      </c>
      <c r="G1616" s="55">
        <f>IFERROR(INDEX('Semrush Data'!$A$1:$Z$20000,MATCH(A1616,'Semrush Data'!$A$1:$A$20000,0),MATCH("Volume",'Semrush Data'!$A$1:$Z$1,0)),"")</f>
        <v/>
      </c>
      <c r="H1616" s="42">
        <f>IFERROR(INDEX('Semrush Data'!$A$1:$Z$20000,MATCH(A1616,'Semrush Data'!$A$1:$A$20000,0),MATCH("Keyword Difficulty*",'Semrush Data'!$A$1:$Z$1,0)),"")</f>
        <v/>
      </c>
      <c r="I1616" s="56">
        <f>IFERROR(INDEX('Semrush Data'!$A$1:$Z$20000,MATCH(A1616,'Semrush Data'!$A$1:$A$20000,0),MATCH("CPC*",'Semrush Data'!$A$1:$Z$1,0)),"")</f>
        <v/>
      </c>
      <c r="J1616" s="42">
        <f>IFERROR(INDEX('Semrush Data'!$A$1:$Z$20000,MATCH(A1616,'Semrush Data'!$A$1:$A$20000,0),MATCH("Intent",'Semrush Data'!$A$1:$Z$1,0)),"")</f>
        <v/>
      </c>
    </row>
    <row r="1617" ht="15" customHeight="1" s="37">
      <c r="A1617" s="42" t="inlineStr">
        <is>
          <t>tom ford noir extreme parfum</t>
        </is>
      </c>
      <c r="B1617" s="42" t="inlineStr">
        <is>
          <t>Product + type</t>
        </is>
      </c>
      <c r="C1617" s="42" t="n">
        <v>2</v>
      </c>
      <c r="D1617" s="42" t="inlineStr">
        <is>
          <t>T2-1</t>
        </is>
      </c>
      <c r="E1617" s="42" t="n">
        <v>1</v>
      </c>
      <c r="F1617" s="42" t="inlineStr">
        <is>
          <t>FR-379</t>
        </is>
      </c>
      <c r="G1617" s="55">
        <f>IFERROR(INDEX('Semrush Data'!$A$1:$Z$20000,MATCH(A1617,'Semrush Data'!$A$1:$A$20000,0),MATCH("Volume",'Semrush Data'!$A$1:$Z$1,0)),"")</f>
        <v/>
      </c>
      <c r="H1617" s="42">
        <f>IFERROR(INDEX('Semrush Data'!$A$1:$Z$20000,MATCH(A1617,'Semrush Data'!$A$1:$A$20000,0),MATCH("Keyword Difficulty*",'Semrush Data'!$A$1:$Z$1,0)),"")</f>
        <v/>
      </c>
      <c r="I1617" s="56">
        <f>IFERROR(INDEX('Semrush Data'!$A$1:$Z$20000,MATCH(A1617,'Semrush Data'!$A$1:$A$20000,0),MATCH("CPC*",'Semrush Data'!$A$1:$Z$1,0)),"")</f>
        <v/>
      </c>
      <c r="J1617" s="42">
        <f>IFERROR(INDEX('Semrush Data'!$A$1:$Z$20000,MATCH(A1617,'Semrush Data'!$A$1:$A$20000,0),MATCH("Intent",'Semrush Data'!$A$1:$Z$1,0)),"")</f>
        <v/>
      </c>
    </row>
    <row r="1618" ht="15" customHeight="1" s="37">
      <c r="A1618" s="42" t="inlineStr">
        <is>
          <t>tom ford oud wood eau de parfum</t>
        </is>
      </c>
      <c r="B1618" s="42" t="inlineStr">
        <is>
          <t>Product + type</t>
        </is>
      </c>
      <c r="C1618" s="42" t="n">
        <v>2</v>
      </c>
      <c r="D1618" s="42" t="inlineStr">
        <is>
          <t>T2-1</t>
        </is>
      </c>
      <c r="E1618" s="42" t="n">
        <v>2</v>
      </c>
      <c r="F1618" s="42" t="inlineStr">
        <is>
          <t>FR-375, FR-376</t>
        </is>
      </c>
      <c r="G1618" s="55">
        <f>IFERROR(INDEX('Semrush Data'!$A$1:$Z$20000,MATCH(A1618,'Semrush Data'!$A$1:$A$20000,0),MATCH("Volume",'Semrush Data'!$A$1:$Z$1,0)),"")</f>
        <v/>
      </c>
      <c r="H1618" s="42">
        <f>IFERROR(INDEX('Semrush Data'!$A$1:$Z$20000,MATCH(A1618,'Semrush Data'!$A$1:$A$20000,0),MATCH("Keyword Difficulty*",'Semrush Data'!$A$1:$Z$1,0)),"")</f>
        <v/>
      </c>
      <c r="I1618" s="56">
        <f>IFERROR(INDEX('Semrush Data'!$A$1:$Z$20000,MATCH(A1618,'Semrush Data'!$A$1:$A$20000,0),MATCH("CPC*",'Semrush Data'!$A$1:$Z$1,0)),"")</f>
        <v/>
      </c>
      <c r="J1618" s="42">
        <f>IFERROR(INDEX('Semrush Data'!$A$1:$Z$20000,MATCH(A1618,'Semrush Data'!$A$1:$A$20000,0),MATCH("Intent",'Semrush Data'!$A$1:$Z$1,0)),"")</f>
        <v/>
      </c>
    </row>
    <row r="1619" ht="15" customHeight="1" s="37">
      <c r="A1619" s="42" t="inlineStr">
        <is>
          <t>trussardi black extreme miniature eau de toilette</t>
        </is>
      </c>
      <c r="B1619" s="42" t="inlineStr">
        <is>
          <t>Product + type</t>
        </is>
      </c>
      <c r="C1619" s="42" t="n">
        <v>2</v>
      </c>
      <c r="D1619" s="42" t="n">
        <v>17</v>
      </c>
      <c r="E1619" s="42" t="n">
        <v>1</v>
      </c>
      <c r="F1619" s="42" t="inlineStr">
        <is>
          <t>FR-382</t>
        </is>
      </c>
      <c r="G1619" s="55">
        <f>IFERROR(INDEX('Semrush Data'!$A$1:$Z$20000,MATCH(A1619,'Semrush Data'!$A$1:$A$20000,0),MATCH("Volume",'Semrush Data'!$A$1:$Z$1,0)),"")</f>
        <v/>
      </c>
      <c r="H1619" s="42">
        <f>IFERROR(INDEX('Semrush Data'!$A$1:$Z$20000,MATCH(A1619,'Semrush Data'!$A$1:$A$20000,0),MATCH("Keyword Difficulty*",'Semrush Data'!$A$1:$Z$1,0)),"")</f>
        <v/>
      </c>
      <c r="I1619" s="56">
        <f>IFERROR(INDEX('Semrush Data'!$A$1:$Z$20000,MATCH(A1619,'Semrush Data'!$A$1:$A$20000,0),MATCH("CPC*",'Semrush Data'!$A$1:$Z$1,0)),"")</f>
        <v/>
      </c>
      <c r="J1619" s="42">
        <f>IFERROR(INDEX('Semrush Data'!$A$1:$Z$20000,MATCH(A1619,'Semrush Data'!$A$1:$A$20000,0),MATCH("Intent",'Semrush Data'!$A$1:$Z$1,0)),"")</f>
        <v/>
      </c>
    </row>
    <row r="1620" ht="15" customHeight="1" s="37">
      <c r="A1620" s="42" t="inlineStr">
        <is>
          <t>trussardi delicate rose eau de toilette</t>
        </is>
      </c>
      <c r="B1620" s="42" t="inlineStr">
        <is>
          <t>Product + type</t>
        </is>
      </c>
      <c r="C1620" s="42" t="n">
        <v>2</v>
      </c>
      <c r="D1620" s="42" t="n">
        <v>17</v>
      </c>
      <c r="E1620" s="42" t="n">
        <v>1</v>
      </c>
      <c r="F1620" s="42" t="inlineStr">
        <is>
          <t>FR-383</t>
        </is>
      </c>
      <c r="G1620" s="55">
        <f>IFERROR(INDEX('Semrush Data'!$A$1:$Z$20000,MATCH(A1620,'Semrush Data'!$A$1:$A$20000,0),MATCH("Volume",'Semrush Data'!$A$1:$Z$1,0)),"")</f>
        <v/>
      </c>
      <c r="H1620" s="42">
        <f>IFERROR(INDEX('Semrush Data'!$A$1:$Z$20000,MATCH(A1620,'Semrush Data'!$A$1:$A$20000,0),MATCH("Keyword Difficulty*",'Semrush Data'!$A$1:$Z$1,0)),"")</f>
        <v/>
      </c>
      <c r="I1620" s="56">
        <f>IFERROR(INDEX('Semrush Data'!$A$1:$Z$20000,MATCH(A1620,'Semrush Data'!$A$1:$A$20000,0),MATCH("CPC*",'Semrush Data'!$A$1:$Z$1,0)),"")</f>
        <v/>
      </c>
      <c r="J1620" s="42">
        <f>IFERROR(INDEX('Semrush Data'!$A$1:$Z$20000,MATCH(A1620,'Semrush Data'!$A$1:$A$20000,0),MATCH("Intent",'Semrush Data'!$A$1:$Z$1,0)),"")</f>
        <v/>
      </c>
    </row>
    <row r="1621" ht="15" customHeight="1" s="37">
      <c r="A1621" s="42" t="inlineStr">
        <is>
          <t>trussardi pure jasmine eau de parfum</t>
        </is>
      </c>
      <c r="B1621" s="42" t="inlineStr">
        <is>
          <t>Product + type</t>
        </is>
      </c>
      <c r="C1621" s="42" t="n">
        <v>2</v>
      </c>
      <c r="D1621" s="42" t="n">
        <v>17</v>
      </c>
      <c r="E1621" s="42" t="n">
        <v>1</v>
      </c>
      <c r="F1621" s="42" t="inlineStr">
        <is>
          <t>FR-381</t>
        </is>
      </c>
      <c r="G1621" s="55">
        <f>IFERROR(INDEX('Semrush Data'!$A$1:$Z$20000,MATCH(A1621,'Semrush Data'!$A$1:$A$20000,0),MATCH("Volume",'Semrush Data'!$A$1:$Z$1,0)),"")</f>
        <v/>
      </c>
      <c r="H1621" s="42">
        <f>IFERROR(INDEX('Semrush Data'!$A$1:$Z$20000,MATCH(A1621,'Semrush Data'!$A$1:$A$20000,0),MATCH("Keyword Difficulty*",'Semrush Data'!$A$1:$Z$1,0)),"")</f>
        <v/>
      </c>
      <c r="I1621" s="56">
        <f>IFERROR(INDEX('Semrush Data'!$A$1:$Z$20000,MATCH(A1621,'Semrush Data'!$A$1:$A$20000,0),MATCH("CPC*",'Semrush Data'!$A$1:$Z$1,0)),"")</f>
        <v/>
      </c>
      <c r="J1621" s="42">
        <f>IFERROR(INDEX('Semrush Data'!$A$1:$Z$20000,MATCH(A1621,'Semrush Data'!$A$1:$A$20000,0),MATCH("Intent",'Semrush Data'!$A$1:$Z$1,0)),"")</f>
        <v/>
      </c>
    </row>
    <row r="1622" ht="15" customHeight="1" s="37">
      <c r="A1622" s="42" t="inlineStr">
        <is>
          <t>trussardi pure jasmine miniature eau de parfum</t>
        </is>
      </c>
      <c r="B1622" s="42" t="inlineStr">
        <is>
          <t>Product + type</t>
        </is>
      </c>
      <c r="C1622" s="42" t="n">
        <v>2</v>
      </c>
      <c r="D1622" s="42" t="n">
        <v>17</v>
      </c>
      <c r="E1622" s="42" t="n">
        <v>1</v>
      </c>
      <c r="F1622" s="42" t="inlineStr">
        <is>
          <t>FR-380</t>
        </is>
      </c>
      <c r="G1622" s="55">
        <f>IFERROR(INDEX('Semrush Data'!$A$1:$Z$20000,MATCH(A1622,'Semrush Data'!$A$1:$A$20000,0),MATCH("Volume",'Semrush Data'!$A$1:$Z$1,0)),"")</f>
        <v/>
      </c>
      <c r="H1622" s="42">
        <f>IFERROR(INDEX('Semrush Data'!$A$1:$Z$20000,MATCH(A1622,'Semrush Data'!$A$1:$A$20000,0),MATCH("Keyword Difficulty*",'Semrush Data'!$A$1:$Z$1,0)),"")</f>
        <v/>
      </c>
      <c r="I1622" s="56">
        <f>IFERROR(INDEX('Semrush Data'!$A$1:$Z$20000,MATCH(A1622,'Semrush Data'!$A$1:$A$20000,0),MATCH("CPC*",'Semrush Data'!$A$1:$Z$1,0)),"")</f>
        <v/>
      </c>
      <c r="J1622" s="42">
        <f>IFERROR(INDEX('Semrush Data'!$A$1:$Z$20000,MATCH(A1622,'Semrush Data'!$A$1:$A$20000,0),MATCH("Intent",'Semrush Data'!$A$1:$Z$1,0)),"")</f>
        <v/>
      </c>
    </row>
    <row r="1623" ht="15" customHeight="1" s="37">
      <c r="A1623" s="42" t="inlineStr">
        <is>
          <t>viktor &amp; rolf good fortune miniature eau de parfum</t>
        </is>
      </c>
      <c r="B1623" s="42" t="inlineStr">
        <is>
          <t>Product + type</t>
        </is>
      </c>
      <c r="C1623" s="42" t="n">
        <v>2</v>
      </c>
      <c r="D1623" s="42" t="n">
        <v>17</v>
      </c>
      <c r="E1623" s="42" t="n">
        <v>1</v>
      </c>
      <c r="F1623" s="42" t="inlineStr">
        <is>
          <t>FR-386</t>
        </is>
      </c>
      <c r="G1623" s="55">
        <f>IFERROR(INDEX('Semrush Data'!$A$1:$Z$20000,MATCH(A1623,'Semrush Data'!$A$1:$A$20000,0),MATCH("Volume",'Semrush Data'!$A$1:$Z$1,0)),"")</f>
        <v/>
      </c>
      <c r="H1623" s="42">
        <f>IFERROR(INDEX('Semrush Data'!$A$1:$Z$20000,MATCH(A1623,'Semrush Data'!$A$1:$A$20000,0),MATCH("Keyword Difficulty*",'Semrush Data'!$A$1:$Z$1,0)),"")</f>
        <v/>
      </c>
      <c r="I1623" s="56">
        <f>IFERROR(INDEX('Semrush Data'!$A$1:$Z$20000,MATCH(A1623,'Semrush Data'!$A$1:$A$20000,0),MATCH("CPC*",'Semrush Data'!$A$1:$Z$1,0)),"")</f>
        <v/>
      </c>
      <c r="J1623" s="42">
        <f>IFERROR(INDEX('Semrush Data'!$A$1:$Z$20000,MATCH(A1623,'Semrush Data'!$A$1:$A$20000,0),MATCH("Intent",'Semrush Data'!$A$1:$Z$1,0)),"")</f>
        <v/>
      </c>
    </row>
    <row r="1624" ht="15" customHeight="1" s="37">
      <c r="A1624" s="42" t="inlineStr">
        <is>
          <t>ysl yves saint laurent yvresse w eau de toilette</t>
        </is>
      </c>
      <c r="B1624" s="42" t="inlineStr">
        <is>
          <t>Product + type</t>
        </is>
      </c>
      <c r="C1624" s="42" t="n">
        <v>2</v>
      </c>
      <c r="D1624" s="42" t="n">
        <v>17</v>
      </c>
      <c r="E1624" s="42" t="n">
        <v>1</v>
      </c>
      <c r="F1624" s="42" t="inlineStr">
        <is>
          <t>FR-387</t>
        </is>
      </c>
      <c r="G1624" s="55">
        <f>IFERROR(INDEX('Semrush Data'!$A$1:$Z$20000,MATCH(A1624,'Semrush Data'!$A$1:$A$20000,0),MATCH("Volume",'Semrush Data'!$A$1:$Z$1,0)),"")</f>
        <v/>
      </c>
      <c r="H1624" s="42">
        <f>IFERROR(INDEX('Semrush Data'!$A$1:$Z$20000,MATCH(A1624,'Semrush Data'!$A$1:$A$20000,0),MATCH("Keyword Difficulty*",'Semrush Data'!$A$1:$Z$1,0)),"")</f>
        <v/>
      </c>
      <c r="I1624" s="56">
        <f>IFERROR(INDEX('Semrush Data'!$A$1:$Z$20000,MATCH(A1624,'Semrush Data'!$A$1:$A$20000,0),MATCH("CPC*",'Semrush Data'!$A$1:$Z$1,0)),"")</f>
        <v/>
      </c>
      <c r="J1624" s="42">
        <f>IFERROR(INDEX('Semrush Data'!$A$1:$Z$20000,MATCH(A1624,'Semrush Data'!$A$1:$A$20000,0),MATCH("Intent",'Semrush Data'!$A$1:$Z$1,0)),"")</f>
        <v/>
      </c>
    </row>
    <row r="1625" ht="15" customHeight="1" s="37">
      <c r="A1625" s="42" t="inlineStr">
        <is>
          <t>buy abercrombie &amp; fitch first instinct together online</t>
        </is>
      </c>
      <c r="B1625" s="42" t="inlineStr">
        <is>
          <t>Buy online</t>
        </is>
      </c>
      <c r="C1625" s="42" t="n">
        <v>3</v>
      </c>
      <c r="D1625" s="42" t="n">
        <v>17</v>
      </c>
      <c r="E1625" s="42" t="n">
        <v>1</v>
      </c>
      <c r="F1625" s="42" t="inlineStr">
        <is>
          <t>FR-001</t>
        </is>
      </c>
      <c r="G1625" s="55">
        <f>IFERROR(INDEX('Semrush Data'!$A$1:$Z$20000,MATCH(A1625,'Semrush Data'!$A$1:$A$20000,0),MATCH("Volume",'Semrush Data'!$A$1:$Z$1,0)),"")</f>
        <v/>
      </c>
      <c r="H1625" s="42">
        <f>IFERROR(INDEX('Semrush Data'!$A$1:$Z$20000,MATCH(A1625,'Semrush Data'!$A$1:$A$20000,0),MATCH("Keyword Difficulty*",'Semrush Data'!$A$1:$Z$1,0)),"")</f>
        <v/>
      </c>
      <c r="I1625" s="56">
        <f>IFERROR(INDEX('Semrush Data'!$A$1:$Z$20000,MATCH(A1625,'Semrush Data'!$A$1:$A$20000,0),MATCH("CPC*",'Semrush Data'!$A$1:$Z$1,0)),"")</f>
        <v/>
      </c>
      <c r="J1625" s="42">
        <f>IFERROR(INDEX('Semrush Data'!$A$1:$Z$20000,MATCH(A1625,'Semrush Data'!$A$1:$A$20000,0),MATCH("Intent",'Semrush Data'!$A$1:$Z$1,0)),"")</f>
        <v/>
      </c>
    </row>
    <row r="1626" ht="15" customHeight="1" s="37">
      <c r="A1626" s="42" t="inlineStr">
        <is>
          <t>buy abercrombie &amp; fitch naturally fierce online</t>
        </is>
      </c>
      <c r="B1626" s="42" t="inlineStr">
        <is>
          <t>Buy online</t>
        </is>
      </c>
      <c r="C1626" s="42" t="n">
        <v>3</v>
      </c>
      <c r="D1626" s="42" t="n">
        <v>17</v>
      </c>
      <c r="E1626" s="42" t="n">
        <v>1</v>
      </c>
      <c r="F1626" s="42" t="inlineStr">
        <is>
          <t>FR-002</t>
        </is>
      </c>
      <c r="G1626" s="55">
        <f>IFERROR(INDEX('Semrush Data'!$A$1:$Z$20000,MATCH(A1626,'Semrush Data'!$A$1:$A$20000,0),MATCH("Volume",'Semrush Data'!$A$1:$Z$1,0)),"")</f>
        <v/>
      </c>
      <c r="H1626" s="42">
        <f>IFERROR(INDEX('Semrush Data'!$A$1:$Z$20000,MATCH(A1626,'Semrush Data'!$A$1:$A$20000,0),MATCH("Keyword Difficulty*",'Semrush Data'!$A$1:$Z$1,0)),"")</f>
        <v/>
      </c>
      <c r="I1626" s="56">
        <f>IFERROR(INDEX('Semrush Data'!$A$1:$Z$20000,MATCH(A1626,'Semrush Data'!$A$1:$A$20000,0),MATCH("CPC*",'Semrush Data'!$A$1:$Z$1,0)),"")</f>
        <v/>
      </c>
      <c r="J1626" s="42">
        <f>IFERROR(INDEX('Semrush Data'!$A$1:$Z$20000,MATCH(A1626,'Semrush Data'!$A$1:$A$20000,0),MATCH("Intent",'Semrush Data'!$A$1:$Z$1,0)),"")</f>
        <v/>
      </c>
    </row>
    <row r="1627" ht="15" customHeight="1" s="37">
      <c r="A1627" s="42" t="inlineStr">
        <is>
          <t>buy acqua di parma blu mediterraneo discovery set online</t>
        </is>
      </c>
      <c r="B1627" s="42" t="inlineStr">
        <is>
          <t>Buy online</t>
        </is>
      </c>
      <c r="C1627" s="42" t="n">
        <v>3</v>
      </c>
      <c r="D1627" s="42" t="n">
        <v>17</v>
      </c>
      <c r="E1627" s="42" t="n">
        <v>1</v>
      </c>
      <c r="F1627" s="42" t="inlineStr">
        <is>
          <t>FR-009</t>
        </is>
      </c>
      <c r="G1627" s="55">
        <f>IFERROR(INDEX('Semrush Data'!$A$1:$Z$20000,MATCH(A1627,'Semrush Data'!$A$1:$A$20000,0),MATCH("Volume",'Semrush Data'!$A$1:$Z$1,0)),"")</f>
        <v/>
      </c>
      <c r="H1627" s="42">
        <f>IFERROR(INDEX('Semrush Data'!$A$1:$Z$20000,MATCH(A1627,'Semrush Data'!$A$1:$A$20000,0),MATCH("Keyword Difficulty*",'Semrush Data'!$A$1:$Z$1,0)),"")</f>
        <v/>
      </c>
      <c r="I1627" s="56">
        <f>IFERROR(INDEX('Semrush Data'!$A$1:$Z$20000,MATCH(A1627,'Semrush Data'!$A$1:$A$20000,0),MATCH("CPC*",'Semrush Data'!$A$1:$Z$1,0)),"")</f>
        <v/>
      </c>
      <c r="J1627" s="42">
        <f>IFERROR(INDEX('Semrush Data'!$A$1:$Z$20000,MATCH(A1627,'Semrush Data'!$A$1:$A$20000,0),MATCH("Intent",'Semrush Data'!$A$1:$Z$1,0)),"")</f>
        <v/>
      </c>
    </row>
    <row r="1628" ht="15" customHeight="1" s="37">
      <c r="A1628" s="42" t="inlineStr">
        <is>
          <t>buy acqua di parma colonia essenza deodorant stick online</t>
        </is>
      </c>
      <c r="B1628" s="42" t="inlineStr">
        <is>
          <t>Buy online</t>
        </is>
      </c>
      <c r="C1628" s="42" t="n">
        <v>3</v>
      </c>
      <c r="D1628" s="42" t="n">
        <v>17</v>
      </c>
      <c r="E1628" s="42" t="n">
        <v>1</v>
      </c>
      <c r="F1628" s="42" t="inlineStr">
        <is>
          <t>FR-004</t>
        </is>
      </c>
      <c r="G1628" s="55">
        <f>IFERROR(INDEX('Semrush Data'!$A$1:$Z$20000,MATCH(A1628,'Semrush Data'!$A$1:$A$20000,0),MATCH("Volume",'Semrush Data'!$A$1:$Z$1,0)),"")</f>
        <v/>
      </c>
      <c r="H1628" s="42">
        <f>IFERROR(INDEX('Semrush Data'!$A$1:$Z$20000,MATCH(A1628,'Semrush Data'!$A$1:$A$20000,0),MATCH("Keyword Difficulty*",'Semrush Data'!$A$1:$Z$1,0)),"")</f>
        <v/>
      </c>
      <c r="I1628" s="56">
        <f>IFERROR(INDEX('Semrush Data'!$A$1:$Z$20000,MATCH(A1628,'Semrush Data'!$A$1:$A$20000,0),MATCH("CPC*",'Semrush Data'!$A$1:$Z$1,0)),"")</f>
        <v/>
      </c>
      <c r="J1628" s="42">
        <f>IFERROR(INDEX('Semrush Data'!$A$1:$Z$20000,MATCH(A1628,'Semrush Data'!$A$1:$A$20000,0),MATCH("Intent",'Semrush Data'!$A$1:$Z$1,0)),"")</f>
        <v/>
      </c>
    </row>
    <row r="1629" ht="15" customHeight="1" s="37">
      <c r="A1629" s="42" t="inlineStr">
        <is>
          <t>buy acqua di parma colonia pura online</t>
        </is>
      </c>
      <c r="B1629" s="42" t="inlineStr">
        <is>
          <t>Buy online</t>
        </is>
      </c>
      <c r="C1629" s="42" t="n">
        <v>3</v>
      </c>
      <c r="D1629" s="42" t="n">
        <v>17</v>
      </c>
      <c r="E1629" s="42" t="n">
        <v>1</v>
      </c>
      <c r="F1629" s="42" t="inlineStr">
        <is>
          <t>FR-003</t>
        </is>
      </c>
      <c r="G1629" s="55">
        <f>IFERROR(INDEX('Semrush Data'!$A$1:$Z$20000,MATCH(A1629,'Semrush Data'!$A$1:$A$20000,0),MATCH("Volume",'Semrush Data'!$A$1:$Z$1,0)),"")</f>
        <v/>
      </c>
      <c r="H1629" s="42">
        <f>IFERROR(INDEX('Semrush Data'!$A$1:$Z$20000,MATCH(A1629,'Semrush Data'!$A$1:$A$20000,0),MATCH("Keyword Difficulty*",'Semrush Data'!$A$1:$Z$1,0)),"")</f>
        <v/>
      </c>
      <c r="I1629" s="56">
        <f>IFERROR(INDEX('Semrush Data'!$A$1:$Z$20000,MATCH(A1629,'Semrush Data'!$A$1:$A$20000,0),MATCH("CPC*",'Semrush Data'!$A$1:$Z$1,0)),"")</f>
        <v/>
      </c>
      <c r="J1629" s="42">
        <f>IFERROR(INDEX('Semrush Data'!$A$1:$Z$20000,MATCH(A1629,'Semrush Data'!$A$1:$A$20000,0),MATCH("Intent",'Semrush Data'!$A$1:$Z$1,0)),"")</f>
        <v/>
      </c>
    </row>
    <row r="1630" ht="15" customHeight="1" s="37">
      <c r="A1630" s="42" t="inlineStr">
        <is>
          <t>buy acqua di parma holiday discovery set online</t>
        </is>
      </c>
      <c r="B1630" s="42" t="inlineStr">
        <is>
          <t>Buy online</t>
        </is>
      </c>
      <c r="C1630" s="42" t="n">
        <v>3</v>
      </c>
      <c r="D1630" s="42" t="n">
        <v>17</v>
      </c>
      <c r="E1630" s="42" t="n">
        <v>1</v>
      </c>
      <c r="F1630" s="42" t="inlineStr">
        <is>
          <t>FR-010</t>
        </is>
      </c>
      <c r="G1630" s="55">
        <f>IFERROR(INDEX('Semrush Data'!$A$1:$Z$20000,MATCH(A1630,'Semrush Data'!$A$1:$A$20000,0),MATCH("Volume",'Semrush Data'!$A$1:$Z$1,0)),"")</f>
        <v/>
      </c>
      <c r="H1630" s="42">
        <f>IFERROR(INDEX('Semrush Data'!$A$1:$Z$20000,MATCH(A1630,'Semrush Data'!$A$1:$A$20000,0),MATCH("Keyword Difficulty*",'Semrush Data'!$A$1:$Z$1,0)),"")</f>
        <v/>
      </c>
      <c r="I1630" s="56">
        <f>IFERROR(INDEX('Semrush Data'!$A$1:$Z$20000,MATCH(A1630,'Semrush Data'!$A$1:$A$20000,0),MATCH("CPC*",'Semrush Data'!$A$1:$Z$1,0)),"")</f>
        <v/>
      </c>
      <c r="J1630" s="42">
        <f>IFERROR(INDEX('Semrush Data'!$A$1:$Z$20000,MATCH(A1630,'Semrush Data'!$A$1:$A$20000,0),MATCH("Intent",'Semrush Data'!$A$1:$Z$1,0)),"")</f>
        <v/>
      </c>
    </row>
    <row r="1631" ht="15" customHeight="1" s="37">
      <c r="A1631" s="42" t="inlineStr">
        <is>
          <t>buy acqua di parma oud &amp; spice online</t>
        </is>
      </c>
      <c r="B1631" s="42" t="inlineStr">
        <is>
          <t>Buy online</t>
        </is>
      </c>
      <c r="C1631" s="42" t="n">
        <v>3</v>
      </c>
      <c r="D1631" s="42" t="n">
        <v>17</v>
      </c>
      <c r="E1631" s="42" t="n">
        <v>1</v>
      </c>
      <c r="F1631" s="42" t="inlineStr">
        <is>
          <t>FR-005</t>
        </is>
      </c>
      <c r="G1631" s="55">
        <f>IFERROR(INDEX('Semrush Data'!$A$1:$Z$20000,MATCH(A1631,'Semrush Data'!$A$1:$A$20000,0),MATCH("Volume",'Semrush Data'!$A$1:$Z$1,0)),"")</f>
        <v/>
      </c>
      <c r="H1631" s="42">
        <f>IFERROR(INDEX('Semrush Data'!$A$1:$Z$20000,MATCH(A1631,'Semrush Data'!$A$1:$A$20000,0),MATCH("Keyword Difficulty*",'Semrush Data'!$A$1:$Z$1,0)),"")</f>
        <v/>
      </c>
      <c r="I1631" s="56">
        <f>IFERROR(INDEX('Semrush Data'!$A$1:$Z$20000,MATCH(A1631,'Semrush Data'!$A$1:$A$20000,0),MATCH("CPC*",'Semrush Data'!$A$1:$Z$1,0)),"")</f>
        <v/>
      </c>
      <c r="J1631" s="42">
        <f>IFERROR(INDEX('Semrush Data'!$A$1:$Z$20000,MATCH(A1631,'Semrush Data'!$A$1:$A$20000,0),MATCH("Intent",'Semrush Data'!$A$1:$Z$1,0)),"")</f>
        <v/>
      </c>
    </row>
    <row r="1632" ht="15" customHeight="1" s="37">
      <c r="A1632" s="42" t="inlineStr">
        <is>
          <t>buy acqua di parma rosa nobile online</t>
        </is>
      </c>
      <c r="B1632" s="42" t="inlineStr">
        <is>
          <t>Buy online</t>
        </is>
      </c>
      <c r="C1632" s="42" t="n">
        <v>3</v>
      </c>
      <c r="D1632" s="42" t="n">
        <v>17</v>
      </c>
      <c r="E1632" s="42" t="n">
        <v>1</v>
      </c>
      <c r="F1632" s="42" t="inlineStr">
        <is>
          <t>FR-006</t>
        </is>
      </c>
      <c r="G1632" s="55">
        <f>IFERROR(INDEX('Semrush Data'!$A$1:$Z$20000,MATCH(A1632,'Semrush Data'!$A$1:$A$20000,0),MATCH("Volume",'Semrush Data'!$A$1:$Z$1,0)),"")</f>
        <v/>
      </c>
      <c r="H1632" s="42">
        <f>IFERROR(INDEX('Semrush Data'!$A$1:$Z$20000,MATCH(A1632,'Semrush Data'!$A$1:$A$20000,0),MATCH("Keyword Difficulty*",'Semrush Data'!$A$1:$Z$1,0)),"")</f>
        <v/>
      </c>
      <c r="I1632" s="56">
        <f>IFERROR(INDEX('Semrush Data'!$A$1:$Z$20000,MATCH(A1632,'Semrush Data'!$A$1:$A$20000,0),MATCH("CPC*",'Semrush Data'!$A$1:$Z$1,0)),"")</f>
        <v/>
      </c>
      <c r="J1632" s="42">
        <f>IFERROR(INDEX('Semrush Data'!$A$1:$Z$20000,MATCH(A1632,'Semrush Data'!$A$1:$A$20000,0),MATCH("Intent",'Semrush Data'!$A$1:$Z$1,0)),"")</f>
        <v/>
      </c>
    </row>
    <row r="1633" ht="15" customHeight="1" s="37">
      <c r="A1633" s="42" t="inlineStr">
        <is>
          <t>buy acqua di parma sakura online</t>
        </is>
      </c>
      <c r="B1633" s="42" t="inlineStr">
        <is>
          <t>Buy online</t>
        </is>
      </c>
      <c r="C1633" s="42" t="n">
        <v>3</v>
      </c>
      <c r="D1633" s="42" t="n">
        <v>17</v>
      </c>
      <c r="E1633" s="42" t="n">
        <v>1</v>
      </c>
      <c r="F1633" s="42" t="inlineStr">
        <is>
          <t>FR-007</t>
        </is>
      </c>
      <c r="G1633" s="55">
        <f>IFERROR(INDEX('Semrush Data'!$A$1:$Z$20000,MATCH(A1633,'Semrush Data'!$A$1:$A$20000,0),MATCH("Volume",'Semrush Data'!$A$1:$Z$1,0)),"")</f>
        <v/>
      </c>
      <c r="H1633" s="42">
        <f>IFERROR(INDEX('Semrush Data'!$A$1:$Z$20000,MATCH(A1633,'Semrush Data'!$A$1:$A$20000,0),MATCH("Keyword Difficulty*",'Semrush Data'!$A$1:$Z$1,0)),"")</f>
        <v/>
      </c>
      <c r="I1633" s="56">
        <f>IFERROR(INDEX('Semrush Data'!$A$1:$Z$20000,MATCH(A1633,'Semrush Data'!$A$1:$A$20000,0),MATCH("CPC*",'Semrush Data'!$A$1:$Z$1,0)),"")</f>
        <v/>
      </c>
      <c r="J1633" s="42">
        <f>IFERROR(INDEX('Semrush Data'!$A$1:$Z$20000,MATCH(A1633,'Semrush Data'!$A$1:$A$20000,0),MATCH("Intent",'Semrush Data'!$A$1:$Z$1,0)),"")</f>
        <v/>
      </c>
    </row>
    <row r="1634" ht="15" customHeight="1" s="37">
      <c r="A1634" s="42" t="inlineStr">
        <is>
          <t>buy acqua di parma sandalo online</t>
        </is>
      </c>
      <c r="B1634" s="42" t="inlineStr">
        <is>
          <t>Buy online</t>
        </is>
      </c>
      <c r="C1634" s="42" t="n">
        <v>3</v>
      </c>
      <c r="D1634" s="42" t="n">
        <v>17</v>
      </c>
      <c r="E1634" s="42" t="n">
        <v>1</v>
      </c>
      <c r="F1634" s="42" t="inlineStr">
        <is>
          <t>FR-008</t>
        </is>
      </c>
      <c r="G1634" s="55">
        <f>IFERROR(INDEX('Semrush Data'!$A$1:$Z$20000,MATCH(A1634,'Semrush Data'!$A$1:$A$20000,0),MATCH("Volume",'Semrush Data'!$A$1:$Z$1,0)),"")</f>
        <v/>
      </c>
      <c r="H1634" s="42">
        <f>IFERROR(INDEX('Semrush Data'!$A$1:$Z$20000,MATCH(A1634,'Semrush Data'!$A$1:$A$20000,0),MATCH("Keyword Difficulty*",'Semrush Data'!$A$1:$Z$1,0)),"")</f>
        <v/>
      </c>
      <c r="I1634" s="56">
        <f>IFERROR(INDEX('Semrush Data'!$A$1:$Z$20000,MATCH(A1634,'Semrush Data'!$A$1:$A$20000,0),MATCH("CPC*",'Semrush Data'!$A$1:$Z$1,0)),"")</f>
        <v/>
      </c>
      <c r="J1634" s="42">
        <f>IFERROR(INDEX('Semrush Data'!$A$1:$Z$20000,MATCH(A1634,'Semrush Data'!$A$1:$A$20000,0),MATCH("Intent",'Semrush Data'!$A$1:$Z$1,0)),"")</f>
        <v/>
      </c>
    </row>
    <row r="1635" ht="15" customHeight="1" s="37">
      <c r="A1635" s="42" t="inlineStr">
        <is>
          <t>buy acqua di parma zafferano online</t>
        </is>
      </c>
      <c r="B1635" s="42" t="inlineStr">
        <is>
          <t>Buy online</t>
        </is>
      </c>
      <c r="C1635" s="42" t="n">
        <v>3</v>
      </c>
      <c r="D1635" s="42" t="n">
        <v>17</v>
      </c>
      <c r="E1635" s="42" t="n">
        <v>1</v>
      </c>
      <c r="F1635" s="42" t="inlineStr">
        <is>
          <t>FR-335</t>
        </is>
      </c>
      <c r="G1635" s="55">
        <f>IFERROR(INDEX('Semrush Data'!$A$1:$Z$20000,MATCH(A1635,'Semrush Data'!$A$1:$A$20000,0),MATCH("Volume",'Semrush Data'!$A$1:$Z$1,0)),"")</f>
        <v/>
      </c>
      <c r="H1635" s="42">
        <f>IFERROR(INDEX('Semrush Data'!$A$1:$Z$20000,MATCH(A1635,'Semrush Data'!$A$1:$A$20000,0),MATCH("Keyword Difficulty*",'Semrush Data'!$A$1:$Z$1,0)),"")</f>
        <v/>
      </c>
      <c r="I1635" s="56">
        <f>IFERROR(INDEX('Semrush Data'!$A$1:$Z$20000,MATCH(A1635,'Semrush Data'!$A$1:$A$20000,0),MATCH("CPC*",'Semrush Data'!$A$1:$Z$1,0)),"")</f>
        <v/>
      </c>
      <c r="J1635" s="42">
        <f>IFERROR(INDEX('Semrush Data'!$A$1:$Z$20000,MATCH(A1635,'Semrush Data'!$A$1:$A$20000,0),MATCH("Intent",'Semrush Data'!$A$1:$Z$1,0)),"")</f>
        <v/>
      </c>
    </row>
    <row r="1636" ht="15" customHeight="1" s="37">
      <c r="A1636" s="42" t="inlineStr">
        <is>
          <t>buy al haramain amber musk online</t>
        </is>
      </c>
      <c r="B1636" s="42" t="inlineStr">
        <is>
          <t>Buy online</t>
        </is>
      </c>
      <c r="C1636" s="42" t="n">
        <v>3</v>
      </c>
      <c r="D1636" s="42" t="n">
        <v>17</v>
      </c>
      <c r="E1636" s="42" t="n">
        <v>1</v>
      </c>
      <c r="F1636" s="42" t="inlineStr">
        <is>
          <t>FR-011</t>
        </is>
      </c>
      <c r="G1636" s="55">
        <f>IFERROR(INDEX('Semrush Data'!$A$1:$Z$20000,MATCH(A1636,'Semrush Data'!$A$1:$A$20000,0),MATCH("Volume",'Semrush Data'!$A$1:$Z$1,0)),"")</f>
        <v/>
      </c>
      <c r="H1636" s="42">
        <f>IFERROR(INDEX('Semrush Data'!$A$1:$Z$20000,MATCH(A1636,'Semrush Data'!$A$1:$A$20000,0),MATCH("Keyword Difficulty*",'Semrush Data'!$A$1:$Z$1,0)),"")</f>
        <v/>
      </c>
      <c r="I1636" s="56">
        <f>IFERROR(INDEX('Semrush Data'!$A$1:$Z$20000,MATCH(A1636,'Semrush Data'!$A$1:$A$20000,0),MATCH("CPC*",'Semrush Data'!$A$1:$Z$1,0)),"")</f>
        <v/>
      </c>
      <c r="J1636" s="42">
        <f>IFERROR(INDEX('Semrush Data'!$A$1:$Z$20000,MATCH(A1636,'Semrush Data'!$A$1:$A$20000,0),MATCH("Intent",'Semrush Data'!$A$1:$Z$1,0)),"")</f>
        <v/>
      </c>
    </row>
    <row r="1637" ht="15" customHeight="1" s="37">
      <c r="A1637" s="42" t="inlineStr">
        <is>
          <t>buy al haramain amber oud black edition online</t>
        </is>
      </c>
      <c r="B1637" s="42" t="inlineStr">
        <is>
          <t>Buy online</t>
        </is>
      </c>
      <c r="C1637" s="42" t="n">
        <v>3</v>
      </c>
      <c r="D1637" s="42" t="n">
        <v>17</v>
      </c>
      <c r="E1637" s="42" t="n">
        <v>1</v>
      </c>
      <c r="F1637" s="42" t="inlineStr">
        <is>
          <t>FR-012</t>
        </is>
      </c>
      <c r="G1637" s="55">
        <f>IFERROR(INDEX('Semrush Data'!$A$1:$Z$20000,MATCH(A1637,'Semrush Data'!$A$1:$A$20000,0),MATCH("Volume",'Semrush Data'!$A$1:$Z$1,0)),"")</f>
        <v/>
      </c>
      <c r="H1637" s="42">
        <f>IFERROR(INDEX('Semrush Data'!$A$1:$Z$20000,MATCH(A1637,'Semrush Data'!$A$1:$A$20000,0),MATCH("Keyword Difficulty*",'Semrush Data'!$A$1:$Z$1,0)),"")</f>
        <v/>
      </c>
      <c r="I1637" s="56">
        <f>IFERROR(INDEX('Semrush Data'!$A$1:$Z$20000,MATCH(A1637,'Semrush Data'!$A$1:$A$20000,0),MATCH("CPC*",'Semrush Data'!$A$1:$Z$1,0)),"")</f>
        <v/>
      </c>
      <c r="J1637" s="42">
        <f>IFERROR(INDEX('Semrush Data'!$A$1:$Z$20000,MATCH(A1637,'Semrush Data'!$A$1:$A$20000,0),MATCH("Intent",'Semrush Data'!$A$1:$Z$1,0)),"")</f>
        <v/>
      </c>
    </row>
    <row r="1638" ht="15" customHeight="1" s="37">
      <c r="A1638" s="42" t="inlineStr">
        <is>
          <t>buy al haramain amber oud bleu edition online</t>
        </is>
      </c>
      <c r="B1638" s="42" t="inlineStr">
        <is>
          <t>Buy online</t>
        </is>
      </c>
      <c r="C1638" s="42" t="n">
        <v>3</v>
      </c>
      <c r="D1638" s="42" t="n">
        <v>17</v>
      </c>
      <c r="E1638" s="42" t="n">
        <v>1</v>
      </c>
      <c r="F1638" s="42" t="inlineStr">
        <is>
          <t>FR-013</t>
        </is>
      </c>
      <c r="G1638" s="55">
        <f>IFERROR(INDEX('Semrush Data'!$A$1:$Z$20000,MATCH(A1638,'Semrush Data'!$A$1:$A$20000,0),MATCH("Volume",'Semrush Data'!$A$1:$Z$1,0)),"")</f>
        <v/>
      </c>
      <c r="H1638" s="42">
        <f>IFERROR(INDEX('Semrush Data'!$A$1:$Z$20000,MATCH(A1638,'Semrush Data'!$A$1:$A$20000,0),MATCH("Keyword Difficulty*",'Semrush Data'!$A$1:$Z$1,0)),"")</f>
        <v/>
      </c>
      <c r="I1638" s="56">
        <f>IFERROR(INDEX('Semrush Data'!$A$1:$Z$20000,MATCH(A1638,'Semrush Data'!$A$1:$A$20000,0),MATCH("CPC*",'Semrush Data'!$A$1:$Z$1,0)),"")</f>
        <v/>
      </c>
      <c r="J1638" s="42">
        <f>IFERROR(INDEX('Semrush Data'!$A$1:$Z$20000,MATCH(A1638,'Semrush Data'!$A$1:$A$20000,0),MATCH("Intent",'Semrush Data'!$A$1:$Z$1,0)),"")</f>
        <v/>
      </c>
    </row>
    <row r="1639" ht="15" customHeight="1" s="37">
      <c r="A1639" s="42" t="inlineStr">
        <is>
          <t>buy al haramain amber oud carbon edition online</t>
        </is>
      </c>
      <c r="B1639" s="42" t="inlineStr">
        <is>
          <t>Buy online</t>
        </is>
      </c>
      <c r="C1639" s="42" t="n">
        <v>3</v>
      </c>
      <c r="D1639" s="42" t="n">
        <v>17</v>
      </c>
      <c r="E1639" s="42" t="n">
        <v>1</v>
      </c>
      <c r="F1639" s="42" t="inlineStr">
        <is>
          <t>FR-014</t>
        </is>
      </c>
      <c r="G1639" s="55">
        <f>IFERROR(INDEX('Semrush Data'!$A$1:$Z$20000,MATCH(A1639,'Semrush Data'!$A$1:$A$20000,0),MATCH("Volume",'Semrush Data'!$A$1:$Z$1,0)),"")</f>
        <v/>
      </c>
      <c r="H1639" s="42">
        <f>IFERROR(INDEX('Semrush Data'!$A$1:$Z$20000,MATCH(A1639,'Semrush Data'!$A$1:$A$20000,0),MATCH("Keyword Difficulty*",'Semrush Data'!$A$1:$Z$1,0)),"")</f>
        <v/>
      </c>
      <c r="I1639" s="56">
        <f>IFERROR(INDEX('Semrush Data'!$A$1:$Z$20000,MATCH(A1639,'Semrush Data'!$A$1:$A$20000,0),MATCH("CPC*",'Semrush Data'!$A$1:$Z$1,0)),"")</f>
        <v/>
      </c>
      <c r="J1639" s="42">
        <f>IFERROR(INDEX('Semrush Data'!$A$1:$Z$20000,MATCH(A1639,'Semrush Data'!$A$1:$A$20000,0),MATCH("Intent",'Semrush Data'!$A$1:$Z$1,0)),"")</f>
        <v/>
      </c>
    </row>
    <row r="1640" ht="15" customHeight="1" s="37">
      <c r="A1640" s="42" t="inlineStr">
        <is>
          <t>buy al haramain amber oud extreme gold edition online</t>
        </is>
      </c>
      <c r="B1640" s="42" t="inlineStr">
        <is>
          <t>Buy online</t>
        </is>
      </c>
      <c r="C1640" s="42" t="n">
        <v>3</v>
      </c>
      <c r="D1640" s="42" t="n">
        <v>17</v>
      </c>
      <c r="E1640" s="42" t="n">
        <v>1</v>
      </c>
      <c r="F1640" s="42" t="inlineStr">
        <is>
          <t>FR-026</t>
        </is>
      </c>
      <c r="G1640" s="55">
        <f>IFERROR(INDEX('Semrush Data'!$A$1:$Z$20000,MATCH(A1640,'Semrush Data'!$A$1:$A$20000,0),MATCH("Volume",'Semrush Data'!$A$1:$Z$1,0)),"")</f>
        <v/>
      </c>
      <c r="H1640" s="42">
        <f>IFERROR(INDEX('Semrush Data'!$A$1:$Z$20000,MATCH(A1640,'Semrush Data'!$A$1:$A$20000,0),MATCH("Keyword Difficulty*",'Semrush Data'!$A$1:$Z$1,0)),"")</f>
        <v/>
      </c>
      <c r="I1640" s="56">
        <f>IFERROR(INDEX('Semrush Data'!$A$1:$Z$20000,MATCH(A1640,'Semrush Data'!$A$1:$A$20000,0),MATCH("CPC*",'Semrush Data'!$A$1:$Z$1,0)),"")</f>
        <v/>
      </c>
      <c r="J1640" s="42">
        <f>IFERROR(INDEX('Semrush Data'!$A$1:$Z$20000,MATCH(A1640,'Semrush Data'!$A$1:$A$20000,0),MATCH("Intent",'Semrush Data'!$A$1:$Z$1,0)),"")</f>
        <v/>
      </c>
    </row>
    <row r="1641" ht="15" customHeight="1" s="37">
      <c r="A1641" s="42" t="inlineStr">
        <is>
          <t>buy al haramain amber oud gold edition online</t>
        </is>
      </c>
      <c r="B1641" s="42" t="inlineStr">
        <is>
          <t>Buy online</t>
        </is>
      </c>
      <c r="C1641" s="42" t="n">
        <v>3</v>
      </c>
      <c r="D1641" s="42" t="n">
        <v>17</v>
      </c>
      <c r="E1641" s="42" t="n">
        <v>1</v>
      </c>
      <c r="F1641" s="42" t="inlineStr">
        <is>
          <t>FR-016</t>
        </is>
      </c>
      <c r="G1641" s="55">
        <f>IFERROR(INDEX('Semrush Data'!$A$1:$Z$20000,MATCH(A1641,'Semrush Data'!$A$1:$A$20000,0),MATCH("Volume",'Semrush Data'!$A$1:$Z$1,0)),"")</f>
        <v/>
      </c>
      <c r="H1641" s="42">
        <f>IFERROR(INDEX('Semrush Data'!$A$1:$Z$20000,MATCH(A1641,'Semrush Data'!$A$1:$A$20000,0),MATCH("Keyword Difficulty*",'Semrush Data'!$A$1:$Z$1,0)),"")</f>
        <v/>
      </c>
      <c r="I1641" s="56">
        <f>IFERROR(INDEX('Semrush Data'!$A$1:$Z$20000,MATCH(A1641,'Semrush Data'!$A$1:$A$20000,0),MATCH("CPC*",'Semrush Data'!$A$1:$Z$1,0)),"")</f>
        <v/>
      </c>
      <c r="J1641" s="42">
        <f>IFERROR(INDEX('Semrush Data'!$A$1:$Z$20000,MATCH(A1641,'Semrush Data'!$A$1:$A$20000,0),MATCH("Intent",'Semrush Data'!$A$1:$Z$1,0)),"")</f>
        <v/>
      </c>
    </row>
    <row r="1642" ht="15" customHeight="1" s="37">
      <c r="A1642" s="42" t="inlineStr">
        <is>
          <t>buy al haramain amber oud online</t>
        </is>
      </c>
      <c r="B1642" s="42" t="inlineStr">
        <is>
          <t>Buy online</t>
        </is>
      </c>
      <c r="C1642" s="42" t="n">
        <v>3</v>
      </c>
      <c r="D1642" s="42" t="inlineStr">
        <is>
          <t>T3-1</t>
        </is>
      </c>
      <c r="E1642" s="42" t="n">
        <v>1</v>
      </c>
      <c r="F1642" s="42" t="inlineStr">
        <is>
          <t>FR-015</t>
        </is>
      </c>
      <c r="G1642" s="55">
        <f>IFERROR(INDEX('Semrush Data'!$A$1:$Z$20000,MATCH(A1642,'Semrush Data'!$A$1:$A$20000,0),MATCH("Volume",'Semrush Data'!$A$1:$Z$1,0)),"")</f>
        <v/>
      </c>
      <c r="H1642" s="42">
        <f>IFERROR(INDEX('Semrush Data'!$A$1:$Z$20000,MATCH(A1642,'Semrush Data'!$A$1:$A$20000,0),MATCH("Keyword Difficulty*",'Semrush Data'!$A$1:$Z$1,0)),"")</f>
        <v/>
      </c>
      <c r="I1642" s="56">
        <f>IFERROR(INDEX('Semrush Data'!$A$1:$Z$20000,MATCH(A1642,'Semrush Data'!$A$1:$A$20000,0),MATCH("CPC*",'Semrush Data'!$A$1:$Z$1,0)),"")</f>
        <v/>
      </c>
      <c r="J1642" s="42">
        <f>IFERROR(INDEX('Semrush Data'!$A$1:$Z$20000,MATCH(A1642,'Semrush Data'!$A$1:$A$20000,0),MATCH("Intent",'Semrush Data'!$A$1:$Z$1,0)),"")</f>
        <v/>
      </c>
    </row>
    <row r="1643" ht="15" customHeight="1" s="37">
      <c r="A1643" s="42" t="inlineStr">
        <is>
          <t>buy al haramain amber oud ruby edition online</t>
        </is>
      </c>
      <c r="B1643" s="42" t="inlineStr">
        <is>
          <t>Buy online</t>
        </is>
      </c>
      <c r="C1643" s="42" t="n">
        <v>3</v>
      </c>
      <c r="D1643" s="42" t="n">
        <v>17</v>
      </c>
      <c r="E1643" s="42" t="n">
        <v>1</v>
      </c>
      <c r="F1643" s="42" t="inlineStr">
        <is>
          <t>FR-017</t>
        </is>
      </c>
      <c r="G1643" s="55">
        <f>IFERROR(INDEX('Semrush Data'!$A$1:$Z$20000,MATCH(A1643,'Semrush Data'!$A$1:$A$20000,0),MATCH("Volume",'Semrush Data'!$A$1:$Z$1,0)),"")</f>
        <v/>
      </c>
      <c r="H1643" s="42">
        <f>IFERROR(INDEX('Semrush Data'!$A$1:$Z$20000,MATCH(A1643,'Semrush Data'!$A$1:$A$20000,0),MATCH("Keyword Difficulty*",'Semrush Data'!$A$1:$Z$1,0)),"")</f>
        <v/>
      </c>
      <c r="I1643" s="56">
        <f>IFERROR(INDEX('Semrush Data'!$A$1:$Z$20000,MATCH(A1643,'Semrush Data'!$A$1:$A$20000,0),MATCH("CPC*",'Semrush Data'!$A$1:$Z$1,0)),"")</f>
        <v/>
      </c>
      <c r="J1643" s="42">
        <f>IFERROR(INDEX('Semrush Data'!$A$1:$Z$20000,MATCH(A1643,'Semrush Data'!$A$1:$A$20000,0),MATCH("Intent",'Semrush Data'!$A$1:$Z$1,0)),"")</f>
        <v/>
      </c>
    </row>
    <row r="1644" ht="15" customHeight="1" s="37">
      <c r="A1644" s="42" t="inlineStr">
        <is>
          <t>buy al haramain amber oud tobacco edition online</t>
        </is>
      </c>
      <c r="B1644" s="42" t="inlineStr">
        <is>
          <t>Buy online</t>
        </is>
      </c>
      <c r="C1644" s="42" t="n">
        <v>3</v>
      </c>
      <c r="D1644" s="42" t="n">
        <v>17</v>
      </c>
      <c r="E1644" s="42" t="n">
        <v>1</v>
      </c>
      <c r="F1644" s="42" t="inlineStr">
        <is>
          <t>FR-018</t>
        </is>
      </c>
      <c r="G1644" s="55">
        <f>IFERROR(INDEX('Semrush Data'!$A$1:$Z$20000,MATCH(A1644,'Semrush Data'!$A$1:$A$20000,0),MATCH("Volume",'Semrush Data'!$A$1:$Z$1,0)),"")</f>
        <v/>
      </c>
      <c r="H1644" s="42">
        <f>IFERROR(INDEX('Semrush Data'!$A$1:$Z$20000,MATCH(A1644,'Semrush Data'!$A$1:$A$20000,0),MATCH("Keyword Difficulty*",'Semrush Data'!$A$1:$Z$1,0)),"")</f>
        <v/>
      </c>
      <c r="I1644" s="56">
        <f>IFERROR(INDEX('Semrush Data'!$A$1:$Z$20000,MATCH(A1644,'Semrush Data'!$A$1:$A$20000,0),MATCH("CPC*",'Semrush Data'!$A$1:$Z$1,0)),"")</f>
        <v/>
      </c>
      <c r="J1644" s="42">
        <f>IFERROR(INDEX('Semrush Data'!$A$1:$Z$20000,MATCH(A1644,'Semrush Data'!$A$1:$A$20000,0),MATCH("Intent",'Semrush Data'!$A$1:$Z$1,0)),"")</f>
        <v/>
      </c>
    </row>
    <row r="1645" ht="15" customHeight="1" s="37">
      <c r="A1645" s="42" t="inlineStr">
        <is>
          <t>buy al haramain amber oud white edition online</t>
        </is>
      </c>
      <c r="B1645" s="42" t="inlineStr">
        <is>
          <t>Buy online</t>
        </is>
      </c>
      <c r="C1645" s="42" t="n">
        <v>3</v>
      </c>
      <c r="D1645" s="42" t="n">
        <v>17</v>
      </c>
      <c r="E1645" s="42" t="n">
        <v>1</v>
      </c>
      <c r="F1645" s="42" t="inlineStr">
        <is>
          <t>FR-019</t>
        </is>
      </c>
      <c r="G1645" s="55">
        <f>IFERROR(INDEX('Semrush Data'!$A$1:$Z$20000,MATCH(A1645,'Semrush Data'!$A$1:$A$20000,0),MATCH("Volume",'Semrush Data'!$A$1:$Z$1,0)),"")</f>
        <v/>
      </c>
      <c r="H1645" s="42">
        <f>IFERROR(INDEX('Semrush Data'!$A$1:$Z$20000,MATCH(A1645,'Semrush Data'!$A$1:$A$20000,0),MATCH("Keyword Difficulty*",'Semrush Data'!$A$1:$Z$1,0)),"")</f>
        <v/>
      </c>
      <c r="I1645" s="56">
        <f>IFERROR(INDEX('Semrush Data'!$A$1:$Z$20000,MATCH(A1645,'Semrush Data'!$A$1:$A$20000,0),MATCH("CPC*",'Semrush Data'!$A$1:$Z$1,0)),"")</f>
        <v/>
      </c>
      <c r="J1645" s="42">
        <f>IFERROR(INDEX('Semrush Data'!$A$1:$Z$20000,MATCH(A1645,'Semrush Data'!$A$1:$A$20000,0),MATCH("Intent",'Semrush Data'!$A$1:$Z$1,0)),"")</f>
        <v/>
      </c>
    </row>
    <row r="1646" ht="15" customHeight="1" s="37">
      <c r="A1646" s="42" t="inlineStr">
        <is>
          <t>buy al haramain detour noir online</t>
        </is>
      </c>
      <c r="B1646" s="42" t="inlineStr">
        <is>
          <t>Buy online</t>
        </is>
      </c>
      <c r="C1646" s="42" t="n">
        <v>3</v>
      </c>
      <c r="D1646" s="42" t="n">
        <v>17</v>
      </c>
      <c r="E1646" s="42" t="n">
        <v>1</v>
      </c>
      <c r="F1646" s="42" t="inlineStr">
        <is>
          <t>FR-020</t>
        </is>
      </c>
      <c r="G1646" s="55">
        <f>IFERROR(INDEX('Semrush Data'!$A$1:$Z$20000,MATCH(A1646,'Semrush Data'!$A$1:$A$20000,0),MATCH("Volume",'Semrush Data'!$A$1:$Z$1,0)),"")</f>
        <v/>
      </c>
      <c r="H1646" s="42">
        <f>IFERROR(INDEX('Semrush Data'!$A$1:$Z$20000,MATCH(A1646,'Semrush Data'!$A$1:$A$20000,0),MATCH("Keyword Difficulty*",'Semrush Data'!$A$1:$Z$1,0)),"")</f>
        <v/>
      </c>
      <c r="I1646" s="56">
        <f>IFERROR(INDEX('Semrush Data'!$A$1:$Z$20000,MATCH(A1646,'Semrush Data'!$A$1:$A$20000,0),MATCH("CPC*",'Semrush Data'!$A$1:$Z$1,0)),"")</f>
        <v/>
      </c>
      <c r="J1646" s="42">
        <f>IFERROR(INDEX('Semrush Data'!$A$1:$Z$20000,MATCH(A1646,'Semrush Data'!$A$1:$A$20000,0),MATCH("Intent",'Semrush Data'!$A$1:$Z$1,0)),"")</f>
        <v/>
      </c>
    </row>
    <row r="1647" ht="15" customHeight="1" s="37">
      <c r="A1647" s="42" t="inlineStr">
        <is>
          <t>buy al haramain l'aventure blanche online</t>
        </is>
      </c>
      <c r="B1647" s="42" t="inlineStr">
        <is>
          <t>Buy online</t>
        </is>
      </c>
      <c r="C1647" s="42" t="n">
        <v>3</v>
      </c>
      <c r="D1647" s="42" t="n">
        <v>17</v>
      </c>
      <c r="E1647" s="42" t="n">
        <v>1</v>
      </c>
      <c r="F1647" s="42" t="inlineStr">
        <is>
          <t>FR-021</t>
        </is>
      </c>
      <c r="G1647" s="55">
        <f>IFERROR(INDEX('Semrush Data'!$A$1:$Z$20000,MATCH(A1647,'Semrush Data'!$A$1:$A$20000,0),MATCH("Volume",'Semrush Data'!$A$1:$Z$1,0)),"")</f>
        <v/>
      </c>
      <c r="H1647" s="42">
        <f>IFERROR(INDEX('Semrush Data'!$A$1:$Z$20000,MATCH(A1647,'Semrush Data'!$A$1:$A$20000,0),MATCH("Keyword Difficulty*",'Semrush Data'!$A$1:$Z$1,0)),"")</f>
        <v/>
      </c>
      <c r="I1647" s="56">
        <f>IFERROR(INDEX('Semrush Data'!$A$1:$Z$20000,MATCH(A1647,'Semrush Data'!$A$1:$A$20000,0),MATCH("CPC*",'Semrush Data'!$A$1:$Z$1,0)),"")</f>
        <v/>
      </c>
      <c r="J1647" s="42">
        <f>IFERROR(INDEX('Semrush Data'!$A$1:$Z$20000,MATCH(A1647,'Semrush Data'!$A$1:$A$20000,0),MATCH("Intent",'Semrush Data'!$A$1:$Z$1,0)),"")</f>
        <v/>
      </c>
    </row>
    <row r="1648" ht="15" customHeight="1" s="37">
      <c r="A1648" s="42" t="inlineStr">
        <is>
          <t>buy al haramain l'aventure femme online</t>
        </is>
      </c>
      <c r="B1648" s="42" t="inlineStr">
        <is>
          <t>Buy online</t>
        </is>
      </c>
      <c r="C1648" s="42" t="n">
        <v>3</v>
      </c>
      <c r="D1648" s="42" t="n">
        <v>17</v>
      </c>
      <c r="E1648" s="42" t="n">
        <v>1</v>
      </c>
      <c r="F1648" s="42" t="inlineStr">
        <is>
          <t>FR-023</t>
        </is>
      </c>
      <c r="G1648" s="55">
        <f>IFERROR(INDEX('Semrush Data'!$A$1:$Z$20000,MATCH(A1648,'Semrush Data'!$A$1:$A$20000,0),MATCH("Volume",'Semrush Data'!$A$1:$Z$1,0)),"")</f>
        <v/>
      </c>
      <c r="H1648" s="42">
        <f>IFERROR(INDEX('Semrush Data'!$A$1:$Z$20000,MATCH(A1648,'Semrush Data'!$A$1:$A$20000,0),MATCH("Keyword Difficulty*",'Semrush Data'!$A$1:$Z$1,0)),"")</f>
        <v/>
      </c>
      <c r="I1648" s="56">
        <f>IFERROR(INDEX('Semrush Data'!$A$1:$Z$20000,MATCH(A1648,'Semrush Data'!$A$1:$A$20000,0),MATCH("CPC*",'Semrush Data'!$A$1:$Z$1,0)),"")</f>
        <v/>
      </c>
      <c r="J1648" s="42">
        <f>IFERROR(INDEX('Semrush Data'!$A$1:$Z$20000,MATCH(A1648,'Semrush Data'!$A$1:$A$20000,0),MATCH("Intent",'Semrush Data'!$A$1:$Z$1,0)),"")</f>
        <v/>
      </c>
    </row>
    <row r="1649" ht="15" customHeight="1" s="37">
      <c r="A1649" s="42" t="inlineStr">
        <is>
          <t>buy al haramain l'aventure gold online</t>
        </is>
      </c>
      <c r="B1649" s="42" t="inlineStr">
        <is>
          <t>Buy online</t>
        </is>
      </c>
      <c r="C1649" s="42" t="n">
        <v>3</v>
      </c>
      <c r="D1649" s="42" t="n">
        <v>17</v>
      </c>
      <c r="E1649" s="42" t="n">
        <v>1</v>
      </c>
      <c r="F1649" s="42" t="inlineStr">
        <is>
          <t>FR-024</t>
        </is>
      </c>
      <c r="G1649" s="55">
        <f>IFERROR(INDEX('Semrush Data'!$A$1:$Z$20000,MATCH(A1649,'Semrush Data'!$A$1:$A$20000,0),MATCH("Volume",'Semrush Data'!$A$1:$Z$1,0)),"")</f>
        <v/>
      </c>
      <c r="H1649" s="42">
        <f>IFERROR(INDEX('Semrush Data'!$A$1:$Z$20000,MATCH(A1649,'Semrush Data'!$A$1:$A$20000,0),MATCH("Keyword Difficulty*",'Semrush Data'!$A$1:$Z$1,0)),"")</f>
        <v/>
      </c>
      <c r="I1649" s="56">
        <f>IFERROR(INDEX('Semrush Data'!$A$1:$Z$20000,MATCH(A1649,'Semrush Data'!$A$1:$A$20000,0),MATCH("CPC*",'Semrush Data'!$A$1:$Z$1,0)),"")</f>
        <v/>
      </c>
      <c r="J1649" s="42">
        <f>IFERROR(INDEX('Semrush Data'!$A$1:$Z$20000,MATCH(A1649,'Semrush Data'!$A$1:$A$20000,0),MATCH("Intent",'Semrush Data'!$A$1:$Z$1,0)),"")</f>
        <v/>
      </c>
    </row>
    <row r="1650" ht="15" customHeight="1" s="37">
      <c r="A1650" s="42" t="inlineStr">
        <is>
          <t>buy al haramain l'aventure intense online</t>
        </is>
      </c>
      <c r="B1650" s="42" t="inlineStr">
        <is>
          <t>Buy online</t>
        </is>
      </c>
      <c r="C1650" s="42" t="n">
        <v>3</v>
      </c>
      <c r="D1650" s="42" t="n">
        <v>17</v>
      </c>
      <c r="E1650" s="42" t="n">
        <v>1</v>
      </c>
      <c r="F1650" s="42" t="inlineStr">
        <is>
          <t>FR-025</t>
        </is>
      </c>
      <c r="G1650" s="55">
        <f>IFERROR(INDEX('Semrush Data'!$A$1:$Z$20000,MATCH(A1650,'Semrush Data'!$A$1:$A$20000,0),MATCH("Volume",'Semrush Data'!$A$1:$Z$1,0)),"")</f>
        <v/>
      </c>
      <c r="H1650" s="42">
        <f>IFERROR(INDEX('Semrush Data'!$A$1:$Z$20000,MATCH(A1650,'Semrush Data'!$A$1:$A$20000,0),MATCH("Keyword Difficulty*",'Semrush Data'!$A$1:$Z$1,0)),"")</f>
        <v/>
      </c>
      <c r="I1650" s="56">
        <f>IFERROR(INDEX('Semrush Data'!$A$1:$Z$20000,MATCH(A1650,'Semrush Data'!$A$1:$A$20000,0),MATCH("CPC*",'Semrush Data'!$A$1:$Z$1,0)),"")</f>
        <v/>
      </c>
      <c r="J1650" s="42">
        <f>IFERROR(INDEX('Semrush Data'!$A$1:$Z$20000,MATCH(A1650,'Semrush Data'!$A$1:$A$20000,0),MATCH("Intent",'Semrush Data'!$A$1:$Z$1,0)),"")</f>
        <v/>
      </c>
    </row>
    <row r="1651" ht="15" customHeight="1" s="37">
      <c r="A1651" s="42" t="inlineStr">
        <is>
          <t>buy al haramain l'aventure online</t>
        </is>
      </c>
      <c r="B1651" s="42" t="inlineStr">
        <is>
          <t>Buy online</t>
        </is>
      </c>
      <c r="C1651" s="42" t="n">
        <v>3</v>
      </c>
      <c r="D1651" s="42" t="n">
        <v>17</v>
      </c>
      <c r="E1651" s="42" t="n">
        <v>1</v>
      </c>
      <c r="F1651" s="42" t="inlineStr">
        <is>
          <t>FR-022</t>
        </is>
      </c>
      <c r="G1651" s="55">
        <f>IFERROR(INDEX('Semrush Data'!$A$1:$Z$20000,MATCH(A1651,'Semrush Data'!$A$1:$A$20000,0),MATCH("Volume",'Semrush Data'!$A$1:$Z$1,0)),"")</f>
        <v/>
      </c>
      <c r="H1651" s="42">
        <f>IFERROR(INDEX('Semrush Data'!$A$1:$Z$20000,MATCH(A1651,'Semrush Data'!$A$1:$A$20000,0),MATCH("Keyword Difficulty*",'Semrush Data'!$A$1:$Z$1,0)),"")</f>
        <v/>
      </c>
      <c r="I1651" s="56">
        <f>IFERROR(INDEX('Semrush Data'!$A$1:$Z$20000,MATCH(A1651,'Semrush Data'!$A$1:$A$20000,0),MATCH("CPC*",'Semrush Data'!$A$1:$Z$1,0)),"")</f>
        <v/>
      </c>
      <c r="J1651" s="42">
        <f>IFERROR(INDEX('Semrush Data'!$A$1:$Z$20000,MATCH(A1651,'Semrush Data'!$A$1:$A$20000,0),MATCH("Intent",'Semrush Data'!$A$1:$Z$1,0)),"")</f>
        <v/>
      </c>
    </row>
    <row r="1652" ht="15" customHeight="1" s="37">
      <c r="A1652" s="42" t="inlineStr">
        <is>
          <t>buy anatome balance online</t>
        </is>
      </c>
      <c r="B1652" s="42" t="inlineStr">
        <is>
          <t>Buy online</t>
        </is>
      </c>
      <c r="C1652" s="42" t="n">
        <v>3</v>
      </c>
      <c r="D1652" s="42" t="n">
        <v>17</v>
      </c>
      <c r="E1652" s="42" t="n">
        <v>3</v>
      </c>
      <c r="F1652" s="42" t="inlineStr">
        <is>
          <t>FR-027, FR-028, FR-029</t>
        </is>
      </c>
      <c r="G1652" s="55">
        <f>IFERROR(INDEX('Semrush Data'!$A$1:$Z$20000,MATCH(A1652,'Semrush Data'!$A$1:$A$20000,0),MATCH("Volume",'Semrush Data'!$A$1:$Z$1,0)),"")</f>
        <v/>
      </c>
      <c r="H1652" s="42">
        <f>IFERROR(INDEX('Semrush Data'!$A$1:$Z$20000,MATCH(A1652,'Semrush Data'!$A$1:$A$20000,0),MATCH("Keyword Difficulty*",'Semrush Data'!$A$1:$Z$1,0)),"")</f>
        <v/>
      </c>
      <c r="I1652" s="56">
        <f>IFERROR(INDEX('Semrush Data'!$A$1:$Z$20000,MATCH(A1652,'Semrush Data'!$A$1:$A$20000,0),MATCH("CPC*",'Semrush Data'!$A$1:$Z$1,0)),"")</f>
        <v/>
      </c>
      <c r="J1652" s="42">
        <f>IFERROR(INDEX('Semrush Data'!$A$1:$Z$20000,MATCH(A1652,'Semrush Data'!$A$1:$A$20000,0),MATCH("Intent",'Semrush Data'!$A$1:$Z$1,0)),"")</f>
        <v/>
      </c>
    </row>
    <row r="1653" ht="15" customHeight="1" s="37">
      <c r="A1653" s="42" t="inlineStr">
        <is>
          <t>buy anatome energy online</t>
        </is>
      </c>
      <c r="B1653" s="42" t="inlineStr">
        <is>
          <t>Buy online</t>
        </is>
      </c>
      <c r="C1653" s="42" t="n">
        <v>3</v>
      </c>
      <c r="D1653" s="42" t="n">
        <v>17</v>
      </c>
      <c r="E1653" s="42" t="n">
        <v>3</v>
      </c>
      <c r="F1653" s="42" t="inlineStr">
        <is>
          <t>FR-030, FR-031, FR-032</t>
        </is>
      </c>
      <c r="G1653" s="55">
        <f>IFERROR(INDEX('Semrush Data'!$A$1:$Z$20000,MATCH(A1653,'Semrush Data'!$A$1:$A$20000,0),MATCH("Volume",'Semrush Data'!$A$1:$Z$1,0)),"")</f>
        <v/>
      </c>
      <c r="H1653" s="42">
        <f>IFERROR(INDEX('Semrush Data'!$A$1:$Z$20000,MATCH(A1653,'Semrush Data'!$A$1:$A$20000,0),MATCH("Keyword Difficulty*",'Semrush Data'!$A$1:$Z$1,0)),"")</f>
        <v/>
      </c>
      <c r="I1653" s="56">
        <f>IFERROR(INDEX('Semrush Data'!$A$1:$Z$20000,MATCH(A1653,'Semrush Data'!$A$1:$A$20000,0),MATCH("CPC*",'Semrush Data'!$A$1:$Z$1,0)),"")</f>
        <v/>
      </c>
      <c r="J1653" s="42">
        <f>IFERROR(INDEX('Semrush Data'!$A$1:$Z$20000,MATCH(A1653,'Semrush Data'!$A$1:$A$20000,0),MATCH("Intent",'Semrush Data'!$A$1:$Z$1,0)),"")</f>
        <v/>
      </c>
    </row>
    <row r="1654" ht="15" customHeight="1" s="37">
      <c r="A1654" s="42" t="inlineStr">
        <is>
          <t>buy anatome expression online</t>
        </is>
      </c>
      <c r="B1654" s="42" t="inlineStr">
        <is>
          <t>Buy online</t>
        </is>
      </c>
      <c r="C1654" s="42" t="n">
        <v>3</v>
      </c>
      <c r="D1654" s="42" t="n">
        <v>17</v>
      </c>
      <c r="E1654" s="42" t="n">
        <v>3</v>
      </c>
      <c r="F1654" s="42" t="inlineStr">
        <is>
          <t>FR-033, FR-034, FR-035</t>
        </is>
      </c>
      <c r="G1654" s="55">
        <f>IFERROR(INDEX('Semrush Data'!$A$1:$Z$20000,MATCH(A1654,'Semrush Data'!$A$1:$A$20000,0),MATCH("Volume",'Semrush Data'!$A$1:$Z$1,0)),"")</f>
        <v/>
      </c>
      <c r="H1654" s="42">
        <f>IFERROR(INDEX('Semrush Data'!$A$1:$Z$20000,MATCH(A1654,'Semrush Data'!$A$1:$A$20000,0),MATCH("Keyword Difficulty*",'Semrush Data'!$A$1:$Z$1,0)),"")</f>
        <v/>
      </c>
      <c r="I1654" s="56">
        <f>IFERROR(INDEX('Semrush Data'!$A$1:$Z$20000,MATCH(A1654,'Semrush Data'!$A$1:$A$20000,0),MATCH("CPC*",'Semrush Data'!$A$1:$Z$1,0)),"")</f>
        <v/>
      </c>
      <c r="J1654" s="42">
        <f>IFERROR(INDEX('Semrush Data'!$A$1:$Z$20000,MATCH(A1654,'Semrush Data'!$A$1:$A$20000,0),MATCH("Intent",'Semrush Data'!$A$1:$Z$1,0)),"")</f>
        <v/>
      </c>
    </row>
    <row r="1655" ht="15" customHeight="1" s="37">
      <c r="A1655" s="42" t="inlineStr">
        <is>
          <t>buy anatome focus online</t>
        </is>
      </c>
      <c r="B1655" s="42" t="inlineStr">
        <is>
          <t>Buy online</t>
        </is>
      </c>
      <c r="C1655" s="42" t="n">
        <v>3</v>
      </c>
      <c r="D1655" s="42" t="n">
        <v>17</v>
      </c>
      <c r="E1655" s="42" t="n">
        <v>3</v>
      </c>
      <c r="F1655" s="42" t="inlineStr">
        <is>
          <t>FR-036, FR-037, FR-038</t>
        </is>
      </c>
      <c r="G1655" s="55">
        <f>IFERROR(INDEX('Semrush Data'!$A$1:$Z$20000,MATCH(A1655,'Semrush Data'!$A$1:$A$20000,0),MATCH("Volume",'Semrush Data'!$A$1:$Z$1,0)),"")</f>
        <v/>
      </c>
      <c r="H1655" s="42">
        <f>IFERROR(INDEX('Semrush Data'!$A$1:$Z$20000,MATCH(A1655,'Semrush Data'!$A$1:$A$20000,0),MATCH("Keyword Difficulty*",'Semrush Data'!$A$1:$Z$1,0)),"")</f>
        <v/>
      </c>
      <c r="I1655" s="56">
        <f>IFERROR(INDEX('Semrush Data'!$A$1:$Z$20000,MATCH(A1655,'Semrush Data'!$A$1:$A$20000,0),MATCH("CPC*",'Semrush Data'!$A$1:$Z$1,0)),"")</f>
        <v/>
      </c>
      <c r="J1655" s="42">
        <f>IFERROR(INDEX('Semrush Data'!$A$1:$Z$20000,MATCH(A1655,'Semrush Data'!$A$1:$A$20000,0),MATCH("Intent",'Semrush Data'!$A$1:$Z$1,0)),"")</f>
        <v/>
      </c>
    </row>
    <row r="1656" ht="15" customHeight="1" s="37">
      <c r="A1656" s="42" t="inlineStr">
        <is>
          <t>buy anatome support online</t>
        </is>
      </c>
      <c r="B1656" s="42" t="inlineStr">
        <is>
          <t>Buy online</t>
        </is>
      </c>
      <c r="C1656" s="42" t="n">
        <v>3</v>
      </c>
      <c r="D1656" s="42" t="n">
        <v>17</v>
      </c>
      <c r="E1656" s="42" t="n">
        <v>4</v>
      </c>
      <c r="F1656" s="42" t="inlineStr">
        <is>
          <t>FR-039, FR-040, FR-041, FR-042</t>
        </is>
      </c>
      <c r="G1656" s="55">
        <f>IFERROR(INDEX('Semrush Data'!$A$1:$Z$20000,MATCH(A1656,'Semrush Data'!$A$1:$A$20000,0),MATCH("Volume",'Semrush Data'!$A$1:$Z$1,0)),"")</f>
        <v/>
      </c>
      <c r="H1656" s="42">
        <f>IFERROR(INDEX('Semrush Data'!$A$1:$Z$20000,MATCH(A1656,'Semrush Data'!$A$1:$A$20000,0),MATCH("Keyword Difficulty*",'Semrush Data'!$A$1:$Z$1,0)),"")</f>
        <v/>
      </c>
      <c r="I1656" s="56">
        <f>IFERROR(INDEX('Semrush Data'!$A$1:$Z$20000,MATCH(A1656,'Semrush Data'!$A$1:$A$20000,0),MATCH("CPC*",'Semrush Data'!$A$1:$Z$1,0)),"")</f>
        <v/>
      </c>
      <c r="J1656" s="42">
        <f>IFERROR(INDEX('Semrush Data'!$A$1:$Z$20000,MATCH(A1656,'Semrush Data'!$A$1:$A$20000,0),MATCH("Intent",'Semrush Data'!$A$1:$Z$1,0)),"")</f>
        <v/>
      </c>
    </row>
    <row r="1657" ht="15" customHeight="1" s="37">
      <c r="A1657" s="42" t="inlineStr">
        <is>
          <t>buy anna sui sky online</t>
        </is>
      </c>
      <c r="B1657" s="42" t="inlineStr">
        <is>
          <t>Buy online</t>
        </is>
      </c>
      <c r="C1657" s="42" t="n">
        <v>3</v>
      </c>
      <c r="D1657" s="42" t="n">
        <v>17</v>
      </c>
      <c r="E1657" s="42" t="n">
        <v>1</v>
      </c>
      <c r="F1657" s="42" t="inlineStr">
        <is>
          <t>FR-043</t>
        </is>
      </c>
      <c r="G1657" s="55">
        <f>IFERROR(INDEX('Semrush Data'!$A$1:$Z$20000,MATCH(A1657,'Semrush Data'!$A$1:$A$20000,0),MATCH("Volume",'Semrush Data'!$A$1:$Z$1,0)),"")</f>
        <v/>
      </c>
      <c r="H1657" s="42">
        <f>IFERROR(INDEX('Semrush Data'!$A$1:$Z$20000,MATCH(A1657,'Semrush Data'!$A$1:$A$20000,0),MATCH("Keyword Difficulty*",'Semrush Data'!$A$1:$Z$1,0)),"")</f>
        <v/>
      </c>
      <c r="I1657" s="56">
        <f>IFERROR(INDEX('Semrush Data'!$A$1:$Z$20000,MATCH(A1657,'Semrush Data'!$A$1:$A$20000,0),MATCH("CPC*",'Semrush Data'!$A$1:$Z$1,0)),"")</f>
        <v/>
      </c>
      <c r="J1657" s="42">
        <f>IFERROR(INDEX('Semrush Data'!$A$1:$Z$20000,MATCH(A1657,'Semrush Data'!$A$1:$A$20000,0),MATCH("Intent",'Semrush Data'!$A$1:$Z$1,0)),"")</f>
        <v/>
      </c>
    </row>
    <row r="1658" ht="15" customHeight="1" s="37">
      <c r="A1658" s="42" t="inlineStr">
        <is>
          <t>buy antonio banderas boucheron patchouli d'angkor online</t>
        </is>
      </c>
      <c r="B1658" s="42" t="inlineStr">
        <is>
          <t>Buy online</t>
        </is>
      </c>
      <c r="C1658" s="42" t="n">
        <v>3</v>
      </c>
      <c r="D1658" s="42" t="n">
        <v>17</v>
      </c>
      <c r="E1658" s="42" t="n">
        <v>1</v>
      </c>
      <c r="F1658" s="42" t="inlineStr">
        <is>
          <t>FR-044</t>
        </is>
      </c>
      <c r="G1658" s="55">
        <f>IFERROR(INDEX('Semrush Data'!$A$1:$Z$20000,MATCH(A1658,'Semrush Data'!$A$1:$A$20000,0),MATCH("Volume",'Semrush Data'!$A$1:$Z$1,0)),"")</f>
        <v/>
      </c>
      <c r="H1658" s="42">
        <f>IFERROR(INDEX('Semrush Data'!$A$1:$Z$20000,MATCH(A1658,'Semrush Data'!$A$1:$A$20000,0),MATCH("Keyword Difficulty*",'Semrush Data'!$A$1:$Z$1,0)),"")</f>
        <v/>
      </c>
      <c r="I1658" s="56">
        <f>IFERROR(INDEX('Semrush Data'!$A$1:$Z$20000,MATCH(A1658,'Semrush Data'!$A$1:$A$20000,0),MATCH("CPC*",'Semrush Data'!$A$1:$Z$1,0)),"")</f>
        <v/>
      </c>
      <c r="J1658" s="42">
        <f>IFERROR(INDEX('Semrush Data'!$A$1:$Z$20000,MATCH(A1658,'Semrush Data'!$A$1:$A$20000,0),MATCH("Intent",'Semrush Data'!$A$1:$Z$1,0)),"")</f>
        <v/>
      </c>
    </row>
    <row r="1659" ht="15" customHeight="1" s="37">
      <c r="A1659" s="42" t="inlineStr">
        <is>
          <t>buy antonio banderas boucheron rose d'isparta online</t>
        </is>
      </c>
      <c r="B1659" s="42" t="inlineStr">
        <is>
          <t>Buy online</t>
        </is>
      </c>
      <c r="C1659" s="42" t="n">
        <v>3</v>
      </c>
      <c r="D1659" s="42" t="n">
        <v>17</v>
      </c>
      <c r="E1659" s="42" t="n">
        <v>1</v>
      </c>
      <c r="F1659" s="42" t="inlineStr">
        <is>
          <t>FR-045</t>
        </is>
      </c>
      <c r="G1659" s="55">
        <f>IFERROR(INDEX('Semrush Data'!$A$1:$Z$20000,MATCH(A1659,'Semrush Data'!$A$1:$A$20000,0),MATCH("Volume",'Semrush Data'!$A$1:$Z$1,0)),"")</f>
        <v/>
      </c>
      <c r="H1659" s="42">
        <f>IFERROR(INDEX('Semrush Data'!$A$1:$Z$20000,MATCH(A1659,'Semrush Data'!$A$1:$A$20000,0),MATCH("Keyword Difficulty*",'Semrush Data'!$A$1:$Z$1,0)),"")</f>
        <v/>
      </c>
      <c r="I1659" s="56">
        <f>IFERROR(INDEX('Semrush Data'!$A$1:$Z$20000,MATCH(A1659,'Semrush Data'!$A$1:$A$20000,0),MATCH("CPC*",'Semrush Data'!$A$1:$Z$1,0)),"")</f>
        <v/>
      </c>
      <c r="J1659" s="42">
        <f>IFERROR(INDEX('Semrush Data'!$A$1:$Z$20000,MATCH(A1659,'Semrush Data'!$A$1:$A$20000,0),MATCH("Intent",'Semrush Data'!$A$1:$Z$1,0)),"")</f>
        <v/>
      </c>
    </row>
    <row r="1660" ht="15" customHeight="1" s="37">
      <c r="A1660" s="42" t="inlineStr">
        <is>
          <t>buy antonio banderas diavolo online</t>
        </is>
      </c>
      <c r="B1660" s="42" t="inlineStr">
        <is>
          <t>Buy online</t>
        </is>
      </c>
      <c r="C1660" s="42" t="n">
        <v>3</v>
      </c>
      <c r="D1660" s="42" t="n">
        <v>17</v>
      </c>
      <c r="E1660" s="42" t="n">
        <v>1</v>
      </c>
      <c r="F1660" s="42" t="inlineStr">
        <is>
          <t>FR-046</t>
        </is>
      </c>
      <c r="G1660" s="55">
        <f>IFERROR(INDEX('Semrush Data'!$A$1:$Z$20000,MATCH(A1660,'Semrush Data'!$A$1:$A$20000,0),MATCH("Volume",'Semrush Data'!$A$1:$Z$1,0)),"")</f>
        <v/>
      </c>
      <c r="H1660" s="42">
        <f>IFERROR(INDEX('Semrush Data'!$A$1:$Z$20000,MATCH(A1660,'Semrush Data'!$A$1:$A$20000,0),MATCH("Keyword Difficulty*",'Semrush Data'!$A$1:$Z$1,0)),"")</f>
        <v/>
      </c>
      <c r="I1660" s="56">
        <f>IFERROR(INDEX('Semrush Data'!$A$1:$Z$20000,MATCH(A1660,'Semrush Data'!$A$1:$A$20000,0),MATCH("CPC*",'Semrush Data'!$A$1:$Z$1,0)),"")</f>
        <v/>
      </c>
      <c r="J1660" s="42">
        <f>IFERROR(INDEX('Semrush Data'!$A$1:$Z$20000,MATCH(A1660,'Semrush Data'!$A$1:$A$20000,0),MATCH("Intent",'Semrush Data'!$A$1:$Z$1,0)),"")</f>
        <v/>
      </c>
    </row>
    <row r="1661" ht="15" customHeight="1" s="37">
      <c r="A1661" s="42" t="inlineStr">
        <is>
          <t>buy antonio banderas her secret desire online</t>
        </is>
      </c>
      <c r="B1661" s="42" t="inlineStr">
        <is>
          <t>Buy online</t>
        </is>
      </c>
      <c r="C1661" s="42" t="n">
        <v>3</v>
      </c>
      <c r="D1661" s="42" t="n">
        <v>17</v>
      </c>
      <c r="E1661" s="42" t="n">
        <v>1</v>
      </c>
      <c r="F1661" s="42" t="inlineStr">
        <is>
          <t>FR-047</t>
        </is>
      </c>
      <c r="G1661" s="55">
        <f>IFERROR(INDEX('Semrush Data'!$A$1:$Z$20000,MATCH(A1661,'Semrush Data'!$A$1:$A$20000,0),MATCH("Volume",'Semrush Data'!$A$1:$Z$1,0)),"")</f>
        <v/>
      </c>
      <c r="H1661" s="42">
        <f>IFERROR(INDEX('Semrush Data'!$A$1:$Z$20000,MATCH(A1661,'Semrush Data'!$A$1:$A$20000,0),MATCH("Keyword Difficulty*",'Semrush Data'!$A$1:$Z$1,0)),"")</f>
        <v/>
      </c>
      <c r="I1661" s="56">
        <f>IFERROR(INDEX('Semrush Data'!$A$1:$Z$20000,MATCH(A1661,'Semrush Data'!$A$1:$A$20000,0),MATCH("CPC*",'Semrush Data'!$A$1:$Z$1,0)),"")</f>
        <v/>
      </c>
      <c r="J1661" s="42">
        <f>IFERROR(INDEX('Semrush Data'!$A$1:$Z$20000,MATCH(A1661,'Semrush Data'!$A$1:$A$20000,0),MATCH("Intent",'Semrush Data'!$A$1:$Z$1,0)),"")</f>
        <v/>
      </c>
    </row>
    <row r="1662" ht="15" customHeight="1" s="37">
      <c r="A1662" s="42" t="inlineStr">
        <is>
          <t>buy antonio banderas her secret temptation online</t>
        </is>
      </c>
      <c r="B1662" s="42" t="inlineStr">
        <is>
          <t>Buy online</t>
        </is>
      </c>
      <c r="C1662" s="42" t="n">
        <v>3</v>
      </c>
      <c r="D1662" s="42" t="n">
        <v>17</v>
      </c>
      <c r="E1662" s="42" t="n">
        <v>1</v>
      </c>
      <c r="F1662" s="42" t="inlineStr">
        <is>
          <t>FR-048</t>
        </is>
      </c>
      <c r="G1662" s="55">
        <f>IFERROR(INDEX('Semrush Data'!$A$1:$Z$20000,MATCH(A1662,'Semrush Data'!$A$1:$A$20000,0),MATCH("Volume",'Semrush Data'!$A$1:$Z$1,0)),"")</f>
        <v/>
      </c>
      <c r="H1662" s="42">
        <f>IFERROR(INDEX('Semrush Data'!$A$1:$Z$20000,MATCH(A1662,'Semrush Data'!$A$1:$A$20000,0),MATCH("Keyword Difficulty*",'Semrush Data'!$A$1:$Z$1,0)),"")</f>
        <v/>
      </c>
      <c r="I1662" s="56">
        <f>IFERROR(INDEX('Semrush Data'!$A$1:$Z$20000,MATCH(A1662,'Semrush Data'!$A$1:$A$20000,0),MATCH("CPC*",'Semrush Data'!$A$1:$Z$1,0)),"")</f>
        <v/>
      </c>
      <c r="J1662" s="42">
        <f>IFERROR(INDEX('Semrush Data'!$A$1:$Z$20000,MATCH(A1662,'Semrush Data'!$A$1:$A$20000,0),MATCH("Intent",'Semrush Data'!$A$1:$Z$1,0)),"")</f>
        <v/>
      </c>
    </row>
    <row r="1663" ht="15" customHeight="1" s="37">
      <c r="A1663" s="42" t="inlineStr">
        <is>
          <t>buy antonio banderas power of seduction online</t>
        </is>
      </c>
      <c r="B1663" s="42" t="inlineStr">
        <is>
          <t>Buy online</t>
        </is>
      </c>
      <c r="C1663" s="42" t="n">
        <v>3</v>
      </c>
      <c r="D1663" s="42" t="n">
        <v>17</v>
      </c>
      <c r="E1663" s="42" t="n">
        <v>1</v>
      </c>
      <c r="F1663" s="42" t="inlineStr">
        <is>
          <t>FR-049</t>
        </is>
      </c>
      <c r="G1663" s="55">
        <f>IFERROR(INDEX('Semrush Data'!$A$1:$Z$20000,MATCH(A1663,'Semrush Data'!$A$1:$A$20000,0),MATCH("Volume",'Semrush Data'!$A$1:$Z$1,0)),"")</f>
        <v/>
      </c>
      <c r="H1663" s="42">
        <f>IFERROR(INDEX('Semrush Data'!$A$1:$Z$20000,MATCH(A1663,'Semrush Data'!$A$1:$A$20000,0),MATCH("Keyword Difficulty*",'Semrush Data'!$A$1:$Z$1,0)),"")</f>
        <v/>
      </c>
      <c r="I1663" s="56">
        <f>IFERROR(INDEX('Semrush Data'!$A$1:$Z$20000,MATCH(A1663,'Semrush Data'!$A$1:$A$20000,0),MATCH("CPC*",'Semrush Data'!$A$1:$Z$1,0)),"")</f>
        <v/>
      </c>
      <c r="J1663" s="42">
        <f>IFERROR(INDEX('Semrush Data'!$A$1:$Z$20000,MATCH(A1663,'Semrush Data'!$A$1:$A$20000,0),MATCH("Intent",'Semrush Data'!$A$1:$Z$1,0)),"")</f>
        <v/>
      </c>
    </row>
    <row r="1664" ht="15" customHeight="1" s="37">
      <c r="A1664" s="42" t="inlineStr">
        <is>
          <t>buy ariana grande thank u, next online</t>
        </is>
      </c>
      <c r="B1664" s="42" t="inlineStr">
        <is>
          <t>Buy online</t>
        </is>
      </c>
      <c r="C1664" s="42" t="n">
        <v>3</v>
      </c>
      <c r="D1664" s="42" t="n">
        <v>17</v>
      </c>
      <c r="E1664" s="42" t="n">
        <v>1</v>
      </c>
      <c r="F1664" s="42" t="inlineStr">
        <is>
          <t>FR-050</t>
        </is>
      </c>
      <c r="G1664" s="55">
        <f>IFERROR(INDEX('Semrush Data'!$A$1:$Z$20000,MATCH(A1664,'Semrush Data'!$A$1:$A$20000,0),MATCH("Volume",'Semrush Data'!$A$1:$Z$1,0)),"")</f>
        <v/>
      </c>
      <c r="H1664" s="42">
        <f>IFERROR(INDEX('Semrush Data'!$A$1:$Z$20000,MATCH(A1664,'Semrush Data'!$A$1:$A$20000,0),MATCH("Keyword Difficulty*",'Semrush Data'!$A$1:$Z$1,0)),"")</f>
        <v/>
      </c>
      <c r="I1664" s="56">
        <f>IFERROR(INDEX('Semrush Data'!$A$1:$Z$20000,MATCH(A1664,'Semrush Data'!$A$1:$A$20000,0),MATCH("CPC*",'Semrush Data'!$A$1:$Z$1,0)),"")</f>
        <v/>
      </c>
      <c r="J1664" s="42">
        <f>IFERROR(INDEX('Semrush Data'!$A$1:$Z$20000,MATCH(A1664,'Semrush Data'!$A$1:$A$20000,0),MATCH("Intent",'Semrush Data'!$A$1:$Z$1,0)),"")</f>
        <v/>
      </c>
    </row>
    <row r="1665" ht="15" customHeight="1" s="37">
      <c r="A1665" s="42" t="inlineStr">
        <is>
          <t>buy armaf hunter online</t>
        </is>
      </c>
      <c r="B1665" s="42" t="inlineStr">
        <is>
          <t>Buy online</t>
        </is>
      </c>
      <c r="C1665" s="42" t="n">
        <v>3</v>
      </c>
      <c r="D1665" s="42" t="n">
        <v>17</v>
      </c>
      <c r="E1665" s="42" t="n">
        <v>1</v>
      </c>
      <c r="F1665" s="42" t="inlineStr">
        <is>
          <t>FR-051</t>
        </is>
      </c>
      <c r="G1665" s="55">
        <f>IFERROR(INDEX('Semrush Data'!$A$1:$Z$20000,MATCH(A1665,'Semrush Data'!$A$1:$A$20000,0),MATCH("Volume",'Semrush Data'!$A$1:$Z$1,0)),"")</f>
        <v/>
      </c>
      <c r="H1665" s="42">
        <f>IFERROR(INDEX('Semrush Data'!$A$1:$Z$20000,MATCH(A1665,'Semrush Data'!$A$1:$A$20000,0),MATCH("Keyword Difficulty*",'Semrush Data'!$A$1:$Z$1,0)),"")</f>
        <v/>
      </c>
      <c r="I1665" s="56">
        <f>IFERROR(INDEX('Semrush Data'!$A$1:$Z$20000,MATCH(A1665,'Semrush Data'!$A$1:$A$20000,0),MATCH("CPC*",'Semrush Data'!$A$1:$Z$1,0)),"")</f>
        <v/>
      </c>
      <c r="J1665" s="42">
        <f>IFERROR(INDEX('Semrush Data'!$A$1:$Z$20000,MATCH(A1665,'Semrush Data'!$A$1:$A$20000,0),MATCH("Intent",'Semrush Data'!$A$1:$Z$1,0)),"")</f>
        <v/>
      </c>
    </row>
    <row r="1666" ht="15" customHeight="1" s="37">
      <c r="A1666" s="42" t="inlineStr">
        <is>
          <t>buy bentley absolute online</t>
        </is>
      </c>
      <c r="B1666" s="42" t="inlineStr">
        <is>
          <t>Buy online</t>
        </is>
      </c>
      <c r="C1666" s="42" t="n">
        <v>3</v>
      </c>
      <c r="D1666" s="42" t="n">
        <v>17</v>
      </c>
      <c r="E1666" s="42" t="n">
        <v>1</v>
      </c>
      <c r="F1666" s="42" t="inlineStr">
        <is>
          <t>FR-054</t>
        </is>
      </c>
      <c r="G1666" s="55">
        <f>IFERROR(INDEX('Semrush Data'!$A$1:$Z$20000,MATCH(A1666,'Semrush Data'!$A$1:$A$20000,0),MATCH("Volume",'Semrush Data'!$A$1:$Z$1,0)),"")</f>
        <v/>
      </c>
      <c r="H1666" s="42">
        <f>IFERROR(INDEX('Semrush Data'!$A$1:$Z$20000,MATCH(A1666,'Semrush Data'!$A$1:$A$20000,0),MATCH("Keyword Difficulty*",'Semrush Data'!$A$1:$Z$1,0)),"")</f>
        <v/>
      </c>
      <c r="I1666" s="56">
        <f>IFERROR(INDEX('Semrush Data'!$A$1:$Z$20000,MATCH(A1666,'Semrush Data'!$A$1:$A$20000,0),MATCH("CPC*",'Semrush Data'!$A$1:$Z$1,0)),"")</f>
        <v/>
      </c>
      <c r="J1666" s="42">
        <f>IFERROR(INDEX('Semrush Data'!$A$1:$Z$20000,MATCH(A1666,'Semrush Data'!$A$1:$A$20000,0),MATCH("Intent",'Semrush Data'!$A$1:$Z$1,0)),"")</f>
        <v/>
      </c>
    </row>
    <row r="1667" ht="15" customHeight="1" s="37">
      <c r="A1667" s="42" t="inlineStr">
        <is>
          <t>buy bentley azure online</t>
        </is>
      </c>
      <c r="B1667" s="42" t="inlineStr">
        <is>
          <t>Buy online</t>
        </is>
      </c>
      <c r="C1667" s="42" t="n">
        <v>3</v>
      </c>
      <c r="D1667" s="42" t="inlineStr">
        <is>
          <t>T3-1</t>
        </is>
      </c>
      <c r="E1667" s="42" t="n">
        <v>1</v>
      </c>
      <c r="F1667" s="42" t="inlineStr">
        <is>
          <t>FR-058</t>
        </is>
      </c>
      <c r="G1667" s="55">
        <f>IFERROR(INDEX('Semrush Data'!$A$1:$Z$20000,MATCH(A1667,'Semrush Data'!$A$1:$A$20000,0),MATCH("Volume",'Semrush Data'!$A$1:$Z$1,0)),"")</f>
        <v/>
      </c>
      <c r="H1667" s="42">
        <f>IFERROR(INDEX('Semrush Data'!$A$1:$Z$20000,MATCH(A1667,'Semrush Data'!$A$1:$A$20000,0),MATCH("Keyword Difficulty*",'Semrush Data'!$A$1:$Z$1,0)),"")</f>
        <v/>
      </c>
      <c r="I1667" s="56">
        <f>IFERROR(INDEX('Semrush Data'!$A$1:$Z$20000,MATCH(A1667,'Semrush Data'!$A$1:$A$20000,0),MATCH("CPC*",'Semrush Data'!$A$1:$Z$1,0)),"")</f>
        <v/>
      </c>
      <c r="J1667" s="42">
        <f>IFERROR(INDEX('Semrush Data'!$A$1:$Z$20000,MATCH(A1667,'Semrush Data'!$A$1:$A$20000,0),MATCH("Intent",'Semrush Data'!$A$1:$Z$1,0)),"")</f>
        <v/>
      </c>
    </row>
    <row r="1668" ht="15" customHeight="1" s="37">
      <c r="A1668" s="42" t="inlineStr">
        <is>
          <t>buy bentley azzaro chrome legend online</t>
        </is>
      </c>
      <c r="B1668" s="42" t="inlineStr">
        <is>
          <t>Buy online</t>
        </is>
      </c>
      <c r="C1668" s="42" t="n">
        <v>3</v>
      </c>
      <c r="D1668" s="42" t="n">
        <v>17</v>
      </c>
      <c r="E1668" s="42" t="n">
        <v>2</v>
      </c>
      <c r="F1668" s="42" t="inlineStr">
        <is>
          <t>FR-056, FR-057</t>
        </is>
      </c>
      <c r="G1668" s="55">
        <f>IFERROR(INDEX('Semrush Data'!$A$1:$Z$20000,MATCH(A1668,'Semrush Data'!$A$1:$A$20000,0),MATCH("Volume",'Semrush Data'!$A$1:$Z$1,0)),"")</f>
        <v/>
      </c>
      <c r="H1668" s="42">
        <f>IFERROR(INDEX('Semrush Data'!$A$1:$Z$20000,MATCH(A1668,'Semrush Data'!$A$1:$A$20000,0),MATCH("Keyword Difficulty*",'Semrush Data'!$A$1:$Z$1,0)),"")</f>
        <v/>
      </c>
      <c r="I1668" s="56">
        <f>IFERROR(INDEX('Semrush Data'!$A$1:$Z$20000,MATCH(A1668,'Semrush Data'!$A$1:$A$20000,0),MATCH("CPC*",'Semrush Data'!$A$1:$Z$1,0)),"")</f>
        <v/>
      </c>
      <c r="J1668" s="42">
        <f>IFERROR(INDEX('Semrush Data'!$A$1:$Z$20000,MATCH(A1668,'Semrush Data'!$A$1:$A$20000,0),MATCH("Intent",'Semrush Data'!$A$1:$Z$1,0)),"")</f>
        <v/>
      </c>
    </row>
    <row r="1669" ht="15" customHeight="1" s="37">
      <c r="A1669" s="42" t="inlineStr">
        <is>
          <t>buy bentley azzaro pour homme deodorant online</t>
        </is>
      </c>
      <c r="B1669" s="42" t="inlineStr">
        <is>
          <t>Buy online</t>
        </is>
      </c>
      <c r="C1669" s="42" t="n">
        <v>3</v>
      </c>
      <c r="D1669" s="42" t="n">
        <v>17</v>
      </c>
      <c r="E1669" s="42" t="n">
        <v>1</v>
      </c>
      <c r="F1669" s="42" t="inlineStr">
        <is>
          <t>FR-052</t>
        </is>
      </c>
      <c r="G1669" s="55">
        <f>IFERROR(INDEX('Semrush Data'!$A$1:$Z$20000,MATCH(A1669,'Semrush Data'!$A$1:$A$20000,0),MATCH("Volume",'Semrush Data'!$A$1:$Z$1,0)),"")</f>
        <v/>
      </c>
      <c r="H1669" s="42">
        <f>IFERROR(INDEX('Semrush Data'!$A$1:$Z$20000,MATCH(A1669,'Semrush Data'!$A$1:$A$20000,0),MATCH("Keyword Difficulty*",'Semrush Data'!$A$1:$Z$1,0)),"")</f>
        <v/>
      </c>
      <c r="I1669" s="56">
        <f>IFERROR(INDEX('Semrush Data'!$A$1:$Z$20000,MATCH(A1669,'Semrush Data'!$A$1:$A$20000,0),MATCH("CPC*",'Semrush Data'!$A$1:$Z$1,0)),"")</f>
        <v/>
      </c>
      <c r="J1669" s="42">
        <f>IFERROR(INDEX('Semrush Data'!$A$1:$Z$20000,MATCH(A1669,'Semrush Data'!$A$1:$A$20000,0),MATCH("Intent",'Semrush Data'!$A$1:$Z$1,0)),"")</f>
        <v/>
      </c>
    </row>
    <row r="1670" ht="15" customHeight="1" s="37">
      <c r="A1670" s="42" t="inlineStr">
        <is>
          <t>buy bentley azzaro the most wanted intense gift set online</t>
        </is>
      </c>
      <c r="B1670" s="42" t="inlineStr">
        <is>
          <t>Buy online</t>
        </is>
      </c>
      <c r="C1670" s="42" t="n">
        <v>3</v>
      </c>
      <c r="D1670" s="42" t="n">
        <v>17</v>
      </c>
      <c r="E1670" s="42" t="n">
        <v>1</v>
      </c>
      <c r="F1670" s="42" t="inlineStr">
        <is>
          <t>FR-061</t>
        </is>
      </c>
      <c r="G1670" s="55">
        <f>IFERROR(INDEX('Semrush Data'!$A$1:$Z$20000,MATCH(A1670,'Semrush Data'!$A$1:$A$20000,0),MATCH("Volume",'Semrush Data'!$A$1:$Z$1,0)),"")</f>
        <v/>
      </c>
      <c r="H1670" s="42">
        <f>IFERROR(INDEX('Semrush Data'!$A$1:$Z$20000,MATCH(A1670,'Semrush Data'!$A$1:$A$20000,0),MATCH("Keyword Difficulty*",'Semrush Data'!$A$1:$Z$1,0)),"")</f>
        <v/>
      </c>
      <c r="I1670" s="56">
        <f>IFERROR(INDEX('Semrush Data'!$A$1:$Z$20000,MATCH(A1670,'Semrush Data'!$A$1:$A$20000,0),MATCH("CPC*",'Semrush Data'!$A$1:$Z$1,0)),"")</f>
        <v/>
      </c>
      <c r="J1670" s="42">
        <f>IFERROR(INDEX('Semrush Data'!$A$1:$Z$20000,MATCH(A1670,'Semrush Data'!$A$1:$A$20000,0),MATCH("Intent",'Semrush Data'!$A$1:$Z$1,0)),"")</f>
        <v/>
      </c>
    </row>
    <row r="1671" ht="15" customHeight="1" s="37">
      <c r="A1671" s="42" t="inlineStr">
        <is>
          <t>buy bentley azzaro the most wanted online</t>
        </is>
      </c>
      <c r="B1671" s="42" t="inlineStr">
        <is>
          <t>Buy online</t>
        </is>
      </c>
      <c r="C1671" s="42" t="n">
        <v>3</v>
      </c>
      <c r="D1671" s="42" t="n">
        <v>17</v>
      </c>
      <c r="E1671" s="42" t="n">
        <v>1</v>
      </c>
      <c r="F1671" s="42" t="inlineStr">
        <is>
          <t>FR-062</t>
        </is>
      </c>
      <c r="G1671" s="55">
        <f>IFERROR(INDEX('Semrush Data'!$A$1:$Z$20000,MATCH(A1671,'Semrush Data'!$A$1:$A$20000,0),MATCH("Volume",'Semrush Data'!$A$1:$Z$1,0)),"")</f>
        <v/>
      </c>
      <c r="H1671" s="42">
        <f>IFERROR(INDEX('Semrush Data'!$A$1:$Z$20000,MATCH(A1671,'Semrush Data'!$A$1:$A$20000,0),MATCH("Keyword Difficulty*",'Semrush Data'!$A$1:$Z$1,0)),"")</f>
        <v/>
      </c>
      <c r="I1671" s="56">
        <f>IFERROR(INDEX('Semrush Data'!$A$1:$Z$20000,MATCH(A1671,'Semrush Data'!$A$1:$A$20000,0),MATCH("CPC*",'Semrush Data'!$A$1:$Z$1,0)),"")</f>
        <v/>
      </c>
      <c r="J1671" s="42">
        <f>IFERROR(INDEX('Semrush Data'!$A$1:$Z$20000,MATCH(A1671,'Semrush Data'!$A$1:$A$20000,0),MATCH("Intent",'Semrush Data'!$A$1:$Z$1,0)),"")</f>
        <v/>
      </c>
    </row>
    <row r="1672" ht="15" customHeight="1" s="37">
      <c r="A1672" s="42" t="inlineStr">
        <is>
          <t>buy bentley become online</t>
        </is>
      </c>
      <c r="B1672" s="42" t="inlineStr">
        <is>
          <t>Buy online</t>
        </is>
      </c>
      <c r="C1672" s="42" t="n">
        <v>3</v>
      </c>
      <c r="D1672" s="42" t="n">
        <v>17</v>
      </c>
      <c r="E1672" s="42" t="n">
        <v>1</v>
      </c>
      <c r="F1672" s="42" t="inlineStr">
        <is>
          <t>FR-053</t>
        </is>
      </c>
      <c r="G1672" s="55">
        <f>IFERROR(INDEX('Semrush Data'!$A$1:$Z$20000,MATCH(A1672,'Semrush Data'!$A$1:$A$20000,0),MATCH("Volume",'Semrush Data'!$A$1:$Z$1,0)),"")</f>
        <v/>
      </c>
      <c r="H1672" s="42">
        <f>IFERROR(INDEX('Semrush Data'!$A$1:$Z$20000,MATCH(A1672,'Semrush Data'!$A$1:$A$20000,0),MATCH("Keyword Difficulty*",'Semrush Data'!$A$1:$Z$1,0)),"")</f>
        <v/>
      </c>
      <c r="I1672" s="56">
        <f>IFERROR(INDEX('Semrush Data'!$A$1:$Z$20000,MATCH(A1672,'Semrush Data'!$A$1:$A$20000,0),MATCH("CPC*",'Semrush Data'!$A$1:$Z$1,0)),"")</f>
        <v/>
      </c>
      <c r="J1672" s="42">
        <f>IFERROR(INDEX('Semrush Data'!$A$1:$Z$20000,MATCH(A1672,'Semrush Data'!$A$1:$A$20000,0),MATCH("Intent",'Semrush Data'!$A$1:$Z$1,0)),"")</f>
        <v/>
      </c>
    </row>
    <row r="1673" ht="15" customHeight="1" s="37">
      <c r="A1673" s="42" t="inlineStr">
        <is>
          <t>buy bentley infinite online</t>
        </is>
      </c>
      <c r="B1673" s="42" t="inlineStr">
        <is>
          <t>Buy online</t>
        </is>
      </c>
      <c r="C1673" s="42" t="n">
        <v>3</v>
      </c>
      <c r="D1673" s="42" t="n">
        <v>17</v>
      </c>
      <c r="E1673" s="42" t="n">
        <v>1</v>
      </c>
      <c r="F1673" s="42" t="inlineStr">
        <is>
          <t>FR-059</t>
        </is>
      </c>
      <c r="G1673" s="55">
        <f>IFERROR(INDEX('Semrush Data'!$A$1:$Z$20000,MATCH(A1673,'Semrush Data'!$A$1:$A$20000,0),MATCH("Volume",'Semrush Data'!$A$1:$Z$1,0)),"")</f>
        <v/>
      </c>
      <c r="H1673" s="42">
        <f>IFERROR(INDEX('Semrush Data'!$A$1:$Z$20000,MATCH(A1673,'Semrush Data'!$A$1:$A$20000,0),MATCH("Keyword Difficulty*",'Semrush Data'!$A$1:$Z$1,0)),"")</f>
        <v/>
      </c>
      <c r="I1673" s="56">
        <f>IFERROR(INDEX('Semrush Data'!$A$1:$Z$20000,MATCH(A1673,'Semrush Data'!$A$1:$A$20000,0),MATCH("CPC*",'Semrush Data'!$A$1:$Z$1,0)),"")</f>
        <v/>
      </c>
      <c r="J1673" s="42">
        <f>IFERROR(INDEX('Semrush Data'!$A$1:$Z$20000,MATCH(A1673,'Semrush Data'!$A$1:$A$20000,0),MATCH("Intent",'Semrush Data'!$A$1:$Z$1,0)),"")</f>
        <v/>
      </c>
    </row>
    <row r="1674" ht="15" customHeight="1" s="37">
      <c r="A1674" s="42" t="inlineStr">
        <is>
          <t>buy bentley momentum unlimited online</t>
        </is>
      </c>
      <c r="B1674" s="42" t="inlineStr">
        <is>
          <t>Buy online</t>
        </is>
      </c>
      <c r="C1674" s="42" t="n">
        <v>3</v>
      </c>
      <c r="D1674" s="42" t="n">
        <v>17</v>
      </c>
      <c r="E1674" s="42" t="n">
        <v>1</v>
      </c>
      <c r="F1674" s="42" t="inlineStr">
        <is>
          <t>FR-060</t>
        </is>
      </c>
      <c r="G1674" s="55">
        <f>IFERROR(INDEX('Semrush Data'!$A$1:$Z$20000,MATCH(A1674,'Semrush Data'!$A$1:$A$20000,0),MATCH("Volume",'Semrush Data'!$A$1:$Z$1,0)),"")</f>
        <v/>
      </c>
      <c r="H1674" s="42">
        <f>IFERROR(INDEX('Semrush Data'!$A$1:$Z$20000,MATCH(A1674,'Semrush Data'!$A$1:$A$20000,0),MATCH("Keyword Difficulty*",'Semrush Data'!$A$1:$Z$1,0)),"")</f>
        <v/>
      </c>
      <c r="I1674" s="56">
        <f>IFERROR(INDEX('Semrush Data'!$A$1:$Z$20000,MATCH(A1674,'Semrush Data'!$A$1:$A$20000,0),MATCH("CPC*",'Semrush Data'!$A$1:$Z$1,0)),"")</f>
        <v/>
      </c>
      <c r="J1674" s="42">
        <f>IFERROR(INDEX('Semrush Data'!$A$1:$Z$20000,MATCH(A1674,'Semrush Data'!$A$1:$A$20000,0),MATCH("Intent",'Semrush Data'!$A$1:$Z$1,0)),"")</f>
        <v/>
      </c>
    </row>
    <row r="1675" ht="15" customHeight="1" s="37">
      <c r="A1675" s="42" t="inlineStr">
        <is>
          <t>buy bentley silverlake online</t>
        </is>
      </c>
      <c r="B1675" s="42" t="inlineStr">
        <is>
          <t>Buy online</t>
        </is>
      </c>
      <c r="C1675" s="42" t="n">
        <v>3</v>
      </c>
      <c r="D1675" s="42" t="n">
        <v>17</v>
      </c>
      <c r="E1675" s="42" t="n">
        <v>1</v>
      </c>
      <c r="F1675" s="42" t="inlineStr">
        <is>
          <t>FR-055</t>
        </is>
      </c>
      <c r="G1675" s="55">
        <f>IFERROR(INDEX('Semrush Data'!$A$1:$Z$20000,MATCH(A1675,'Semrush Data'!$A$1:$A$20000,0),MATCH("Volume",'Semrush Data'!$A$1:$Z$1,0)),"")</f>
        <v/>
      </c>
      <c r="H1675" s="42">
        <f>IFERROR(INDEX('Semrush Data'!$A$1:$Z$20000,MATCH(A1675,'Semrush Data'!$A$1:$A$20000,0),MATCH("Keyword Difficulty*",'Semrush Data'!$A$1:$Z$1,0)),"")</f>
        <v/>
      </c>
      <c r="I1675" s="56">
        <f>IFERROR(INDEX('Semrush Data'!$A$1:$Z$20000,MATCH(A1675,'Semrush Data'!$A$1:$A$20000,0),MATCH("CPC*",'Semrush Data'!$A$1:$Z$1,0)),"")</f>
        <v/>
      </c>
      <c r="J1675" s="42">
        <f>IFERROR(INDEX('Semrush Data'!$A$1:$Z$20000,MATCH(A1675,'Semrush Data'!$A$1:$A$20000,0),MATCH("Intent",'Semrush Data'!$A$1:$Z$1,0)),"")</f>
        <v/>
      </c>
    </row>
    <row r="1676" ht="15" customHeight="1" s="37">
      <c r="A1676" s="42" t="inlineStr">
        <is>
          <t>buy burberry miniature set online</t>
        </is>
      </c>
      <c r="B1676" s="42" t="inlineStr">
        <is>
          <t>Buy online</t>
        </is>
      </c>
      <c r="C1676" s="42" t="n">
        <v>3</v>
      </c>
      <c r="D1676" s="42" t="n">
        <v>17</v>
      </c>
      <c r="E1676" s="42" t="n">
        <v>1</v>
      </c>
      <c r="F1676" s="42" t="inlineStr">
        <is>
          <t>FR-065</t>
        </is>
      </c>
      <c r="G1676" s="55">
        <f>IFERROR(INDEX('Semrush Data'!$A$1:$Z$20000,MATCH(A1676,'Semrush Data'!$A$1:$A$20000,0),MATCH("Volume",'Semrush Data'!$A$1:$Z$1,0)),"")</f>
        <v/>
      </c>
      <c r="H1676" s="42">
        <f>IFERROR(INDEX('Semrush Data'!$A$1:$Z$20000,MATCH(A1676,'Semrush Data'!$A$1:$A$20000,0),MATCH("Keyword Difficulty*",'Semrush Data'!$A$1:$Z$1,0)),"")</f>
        <v/>
      </c>
      <c r="I1676" s="56">
        <f>IFERROR(INDEX('Semrush Data'!$A$1:$Z$20000,MATCH(A1676,'Semrush Data'!$A$1:$A$20000,0),MATCH("CPC*",'Semrush Data'!$A$1:$Z$1,0)),"")</f>
        <v/>
      </c>
      <c r="J1676" s="42">
        <f>IFERROR(INDEX('Semrush Data'!$A$1:$Z$20000,MATCH(A1676,'Semrush Data'!$A$1:$A$20000,0),MATCH("Intent",'Semrush Data'!$A$1:$Z$1,0)),"")</f>
        <v/>
      </c>
    </row>
    <row r="1677" ht="15" customHeight="1" s="37">
      <c r="A1677" s="42" t="inlineStr">
        <is>
          <t>buy burberry my burberry black online</t>
        </is>
      </c>
      <c r="B1677" s="42" t="inlineStr">
        <is>
          <t>Buy online</t>
        </is>
      </c>
      <c r="C1677" s="42" t="n">
        <v>3</v>
      </c>
      <c r="D1677" s="42" t="n">
        <v>17</v>
      </c>
      <c r="E1677" s="42" t="n">
        <v>2</v>
      </c>
      <c r="F1677" s="42" t="inlineStr">
        <is>
          <t>FR-066, FR-067</t>
        </is>
      </c>
      <c r="G1677" s="55">
        <f>IFERROR(INDEX('Semrush Data'!$A$1:$Z$20000,MATCH(A1677,'Semrush Data'!$A$1:$A$20000,0),MATCH("Volume",'Semrush Data'!$A$1:$Z$1,0)),"")</f>
        <v/>
      </c>
      <c r="H1677" s="42">
        <f>IFERROR(INDEX('Semrush Data'!$A$1:$Z$20000,MATCH(A1677,'Semrush Data'!$A$1:$A$20000,0),MATCH("Keyword Difficulty*",'Semrush Data'!$A$1:$Z$1,0)),"")</f>
        <v/>
      </c>
      <c r="I1677" s="56">
        <f>IFERROR(INDEX('Semrush Data'!$A$1:$Z$20000,MATCH(A1677,'Semrush Data'!$A$1:$A$20000,0),MATCH("CPC*",'Semrush Data'!$A$1:$Z$1,0)),"")</f>
        <v/>
      </c>
      <c r="J1677" s="42">
        <f>IFERROR(INDEX('Semrush Data'!$A$1:$Z$20000,MATCH(A1677,'Semrush Data'!$A$1:$A$20000,0),MATCH("Intent",'Semrush Data'!$A$1:$Z$1,0)),"")</f>
        <v/>
      </c>
    </row>
    <row r="1678" ht="15" customHeight="1" s="37">
      <c r="A1678" s="42" t="inlineStr">
        <is>
          <t>buy burberry my burberry online</t>
        </is>
      </c>
      <c r="B1678" s="42" t="inlineStr">
        <is>
          <t>Buy online</t>
        </is>
      </c>
      <c r="C1678" s="42" t="n">
        <v>3</v>
      </c>
      <c r="D1678" s="42" t="n">
        <v>17</v>
      </c>
      <c r="E1678" s="42" t="n">
        <v>2</v>
      </c>
      <c r="F1678" s="42" t="inlineStr">
        <is>
          <t>FR-063, FR-064</t>
        </is>
      </c>
      <c r="G1678" s="55">
        <f>IFERROR(INDEX('Semrush Data'!$A$1:$Z$20000,MATCH(A1678,'Semrush Data'!$A$1:$A$20000,0),MATCH("Volume",'Semrush Data'!$A$1:$Z$1,0)),"")</f>
        <v/>
      </c>
      <c r="H1678" s="42">
        <f>IFERROR(INDEX('Semrush Data'!$A$1:$Z$20000,MATCH(A1678,'Semrush Data'!$A$1:$A$20000,0),MATCH("Keyword Difficulty*",'Semrush Data'!$A$1:$Z$1,0)),"")</f>
        <v/>
      </c>
      <c r="I1678" s="56">
        <f>IFERROR(INDEX('Semrush Data'!$A$1:$Z$20000,MATCH(A1678,'Semrush Data'!$A$1:$A$20000,0),MATCH("CPC*",'Semrush Data'!$A$1:$Z$1,0)),"")</f>
        <v/>
      </c>
      <c r="J1678" s="42">
        <f>IFERROR(INDEX('Semrush Data'!$A$1:$Z$20000,MATCH(A1678,'Semrush Data'!$A$1:$A$20000,0),MATCH("Intent",'Semrush Data'!$A$1:$Z$1,0)),"")</f>
        <v/>
      </c>
    </row>
    <row r="1679" ht="15" customHeight="1" s="37">
      <c r="A1679" s="42" t="inlineStr">
        <is>
          <t>buy bvlgari man glacial essence gift set online</t>
        </is>
      </c>
      <c r="B1679" s="42" t="inlineStr">
        <is>
          <t>Buy online</t>
        </is>
      </c>
      <c r="C1679" s="42" t="n">
        <v>3</v>
      </c>
      <c r="D1679" s="42" t="n">
        <v>17</v>
      </c>
      <c r="E1679" s="42" t="n">
        <v>1</v>
      </c>
      <c r="F1679" s="42" t="inlineStr">
        <is>
          <t>FR-071</t>
        </is>
      </c>
      <c r="G1679" s="55">
        <f>IFERROR(INDEX('Semrush Data'!$A$1:$Z$20000,MATCH(A1679,'Semrush Data'!$A$1:$A$20000,0),MATCH("Volume",'Semrush Data'!$A$1:$Z$1,0)),"")</f>
        <v/>
      </c>
      <c r="H1679" s="42">
        <f>IFERROR(INDEX('Semrush Data'!$A$1:$Z$20000,MATCH(A1679,'Semrush Data'!$A$1:$A$20000,0),MATCH("Keyword Difficulty*",'Semrush Data'!$A$1:$Z$1,0)),"")</f>
        <v/>
      </c>
      <c r="I1679" s="56">
        <f>IFERROR(INDEX('Semrush Data'!$A$1:$Z$20000,MATCH(A1679,'Semrush Data'!$A$1:$A$20000,0),MATCH("CPC*",'Semrush Data'!$A$1:$Z$1,0)),"")</f>
        <v/>
      </c>
      <c r="J1679" s="42">
        <f>IFERROR(INDEX('Semrush Data'!$A$1:$Z$20000,MATCH(A1679,'Semrush Data'!$A$1:$A$20000,0),MATCH("Intent",'Semrush Data'!$A$1:$Z$1,0)),"")</f>
        <v/>
      </c>
    </row>
    <row r="1680" ht="15" customHeight="1" s="37">
      <c r="A1680" s="42" t="inlineStr">
        <is>
          <t>buy bvlgari man in black online</t>
        </is>
      </c>
      <c r="B1680" s="42" t="inlineStr">
        <is>
          <t>Buy online</t>
        </is>
      </c>
      <c r="C1680" s="42" t="n">
        <v>3</v>
      </c>
      <c r="D1680" s="42" t="inlineStr">
        <is>
          <t>T3-1</t>
        </is>
      </c>
      <c r="E1680" s="42" t="n">
        <v>1</v>
      </c>
      <c r="F1680" s="42" t="inlineStr">
        <is>
          <t>FR-068</t>
        </is>
      </c>
      <c r="G1680" s="55">
        <f>IFERROR(INDEX('Semrush Data'!$A$1:$Z$20000,MATCH(A1680,'Semrush Data'!$A$1:$A$20000,0),MATCH("Volume",'Semrush Data'!$A$1:$Z$1,0)),"")</f>
        <v/>
      </c>
      <c r="H1680" s="42">
        <f>IFERROR(INDEX('Semrush Data'!$A$1:$Z$20000,MATCH(A1680,'Semrush Data'!$A$1:$A$20000,0),MATCH("Keyword Difficulty*",'Semrush Data'!$A$1:$Z$1,0)),"")</f>
        <v/>
      </c>
      <c r="I1680" s="56">
        <f>IFERROR(INDEX('Semrush Data'!$A$1:$Z$20000,MATCH(A1680,'Semrush Data'!$A$1:$A$20000,0),MATCH("CPC*",'Semrush Data'!$A$1:$Z$1,0)),"")</f>
        <v/>
      </c>
      <c r="J1680" s="42">
        <f>IFERROR(INDEX('Semrush Data'!$A$1:$Z$20000,MATCH(A1680,'Semrush Data'!$A$1:$A$20000,0),MATCH("Intent",'Semrush Data'!$A$1:$Z$1,0)),"")</f>
        <v/>
      </c>
    </row>
    <row r="1681" ht="15" customHeight="1" s="37">
      <c r="A1681" s="42" t="inlineStr">
        <is>
          <t>buy bvlgari man rain essence gift set online</t>
        </is>
      </c>
      <c r="B1681" s="42" t="inlineStr">
        <is>
          <t>Buy online</t>
        </is>
      </c>
      <c r="C1681" s="42" t="n">
        <v>3</v>
      </c>
      <c r="D1681" s="42" t="n">
        <v>17</v>
      </c>
      <c r="E1681" s="42" t="n">
        <v>1</v>
      </c>
      <c r="F1681" s="42" t="inlineStr">
        <is>
          <t>FR-072</t>
        </is>
      </c>
      <c r="G1681" s="55">
        <f>IFERROR(INDEX('Semrush Data'!$A$1:$Z$20000,MATCH(A1681,'Semrush Data'!$A$1:$A$20000,0),MATCH("Volume",'Semrush Data'!$A$1:$Z$1,0)),"")</f>
        <v/>
      </c>
      <c r="H1681" s="42">
        <f>IFERROR(INDEX('Semrush Data'!$A$1:$Z$20000,MATCH(A1681,'Semrush Data'!$A$1:$A$20000,0),MATCH("Keyword Difficulty*",'Semrush Data'!$A$1:$Z$1,0)),"")</f>
        <v/>
      </c>
      <c r="I1681" s="56">
        <f>IFERROR(INDEX('Semrush Data'!$A$1:$Z$20000,MATCH(A1681,'Semrush Data'!$A$1:$A$20000,0),MATCH("CPC*",'Semrush Data'!$A$1:$Z$1,0)),"")</f>
        <v/>
      </c>
      <c r="J1681" s="42">
        <f>IFERROR(INDEX('Semrush Data'!$A$1:$Z$20000,MATCH(A1681,'Semrush Data'!$A$1:$A$20000,0),MATCH("Intent",'Semrush Data'!$A$1:$Z$1,0)),"")</f>
        <v/>
      </c>
    </row>
    <row r="1682" ht="15" customHeight="1" s="37">
      <c r="A1682" s="42" t="inlineStr">
        <is>
          <t>buy bvlgari man terrae essence gift set online</t>
        </is>
      </c>
      <c r="B1682" s="42" t="inlineStr">
        <is>
          <t>Buy online</t>
        </is>
      </c>
      <c r="C1682" s="42" t="n">
        <v>3</v>
      </c>
      <c r="D1682" s="42" t="n">
        <v>17</v>
      </c>
      <c r="E1682" s="42" t="n">
        <v>1</v>
      </c>
      <c r="F1682" s="42" t="inlineStr">
        <is>
          <t>FR-073</t>
        </is>
      </c>
      <c r="G1682" s="55">
        <f>IFERROR(INDEX('Semrush Data'!$A$1:$Z$20000,MATCH(A1682,'Semrush Data'!$A$1:$A$20000,0),MATCH("Volume",'Semrush Data'!$A$1:$Z$1,0)),"")</f>
        <v/>
      </c>
      <c r="H1682" s="42">
        <f>IFERROR(INDEX('Semrush Data'!$A$1:$Z$20000,MATCH(A1682,'Semrush Data'!$A$1:$A$20000,0),MATCH("Keyword Difficulty*",'Semrush Data'!$A$1:$Z$1,0)),"")</f>
        <v/>
      </c>
      <c r="I1682" s="56">
        <f>IFERROR(INDEX('Semrush Data'!$A$1:$Z$20000,MATCH(A1682,'Semrush Data'!$A$1:$A$20000,0),MATCH("CPC*",'Semrush Data'!$A$1:$Z$1,0)),"")</f>
        <v/>
      </c>
      <c r="J1682" s="42">
        <f>IFERROR(INDEX('Semrush Data'!$A$1:$Z$20000,MATCH(A1682,'Semrush Data'!$A$1:$A$20000,0),MATCH("Intent",'Semrush Data'!$A$1:$Z$1,0)),"")</f>
        <v/>
      </c>
    </row>
    <row r="1683" ht="15" customHeight="1" s="37">
      <c r="A1683" s="42" t="inlineStr">
        <is>
          <t>buy bvlgari man wood essence gift set online</t>
        </is>
      </c>
      <c r="B1683" s="42" t="inlineStr">
        <is>
          <t>Buy online</t>
        </is>
      </c>
      <c r="C1683" s="42" t="n">
        <v>3</v>
      </c>
      <c r="D1683" s="42" t="n">
        <v>17</v>
      </c>
      <c r="E1683" s="42" t="n">
        <v>1</v>
      </c>
      <c r="F1683" s="42" t="inlineStr">
        <is>
          <t>FR-074</t>
        </is>
      </c>
      <c r="G1683" s="55">
        <f>IFERROR(INDEX('Semrush Data'!$A$1:$Z$20000,MATCH(A1683,'Semrush Data'!$A$1:$A$20000,0),MATCH("Volume",'Semrush Data'!$A$1:$Z$1,0)),"")</f>
        <v/>
      </c>
      <c r="H1683" s="42">
        <f>IFERROR(INDEX('Semrush Data'!$A$1:$Z$20000,MATCH(A1683,'Semrush Data'!$A$1:$A$20000,0),MATCH("Keyword Difficulty*",'Semrush Data'!$A$1:$Z$1,0)),"")</f>
        <v/>
      </c>
      <c r="I1683" s="56">
        <f>IFERROR(INDEX('Semrush Data'!$A$1:$Z$20000,MATCH(A1683,'Semrush Data'!$A$1:$A$20000,0),MATCH("CPC*",'Semrush Data'!$A$1:$Z$1,0)),"")</f>
        <v/>
      </c>
      <c r="J1683" s="42">
        <f>IFERROR(INDEX('Semrush Data'!$A$1:$Z$20000,MATCH(A1683,'Semrush Data'!$A$1:$A$20000,0),MATCH("Intent",'Semrush Data'!$A$1:$Z$1,0)),"")</f>
        <v/>
      </c>
    </row>
    <row r="1684" ht="15" customHeight="1" s="37">
      <c r="A1684" s="42" t="inlineStr">
        <is>
          <t>buy bvlgari omnia amethyste online</t>
        </is>
      </c>
      <c r="B1684" s="42" t="inlineStr">
        <is>
          <t>Buy online</t>
        </is>
      </c>
      <c r="C1684" s="42" t="n">
        <v>3</v>
      </c>
      <c r="D1684" s="42" t="n">
        <v>17</v>
      </c>
      <c r="E1684" s="42" t="n">
        <v>1</v>
      </c>
      <c r="F1684" s="42" t="inlineStr">
        <is>
          <t>FR-070</t>
        </is>
      </c>
      <c r="G1684" s="55">
        <f>IFERROR(INDEX('Semrush Data'!$A$1:$Z$20000,MATCH(A1684,'Semrush Data'!$A$1:$A$20000,0),MATCH("Volume",'Semrush Data'!$A$1:$Z$1,0)),"")</f>
        <v/>
      </c>
      <c r="H1684" s="42">
        <f>IFERROR(INDEX('Semrush Data'!$A$1:$Z$20000,MATCH(A1684,'Semrush Data'!$A$1:$A$20000,0),MATCH("Keyword Difficulty*",'Semrush Data'!$A$1:$Z$1,0)),"")</f>
        <v/>
      </c>
      <c r="I1684" s="56">
        <f>IFERROR(INDEX('Semrush Data'!$A$1:$Z$20000,MATCH(A1684,'Semrush Data'!$A$1:$A$20000,0),MATCH("CPC*",'Semrush Data'!$A$1:$Z$1,0)),"")</f>
        <v/>
      </c>
      <c r="J1684" s="42">
        <f>IFERROR(INDEX('Semrush Data'!$A$1:$Z$20000,MATCH(A1684,'Semrush Data'!$A$1:$A$20000,0),MATCH("Intent",'Semrush Data'!$A$1:$Z$1,0)),"")</f>
        <v/>
      </c>
    </row>
    <row r="1685" ht="15" customHeight="1" s="37">
      <c r="A1685" s="42" t="inlineStr">
        <is>
          <t>buy bvlgari rose goldea blossom delight gift set online</t>
        </is>
      </c>
      <c r="B1685" s="42" t="inlineStr">
        <is>
          <t>Buy online</t>
        </is>
      </c>
      <c r="C1685" s="42" t="n">
        <v>3</v>
      </c>
      <c r="D1685" s="42" t="n">
        <v>17</v>
      </c>
      <c r="E1685" s="42" t="n">
        <v>1</v>
      </c>
      <c r="F1685" s="42" t="inlineStr">
        <is>
          <t>FR-075</t>
        </is>
      </c>
      <c r="G1685" s="55">
        <f>IFERROR(INDEX('Semrush Data'!$A$1:$Z$20000,MATCH(A1685,'Semrush Data'!$A$1:$A$20000,0),MATCH("Volume",'Semrush Data'!$A$1:$Z$1,0)),"")</f>
        <v/>
      </c>
      <c r="H1685" s="42">
        <f>IFERROR(INDEX('Semrush Data'!$A$1:$Z$20000,MATCH(A1685,'Semrush Data'!$A$1:$A$20000,0),MATCH("Keyword Difficulty*",'Semrush Data'!$A$1:$Z$1,0)),"")</f>
        <v/>
      </c>
      <c r="I1685" s="56">
        <f>IFERROR(INDEX('Semrush Data'!$A$1:$Z$20000,MATCH(A1685,'Semrush Data'!$A$1:$A$20000,0),MATCH("CPC*",'Semrush Data'!$A$1:$Z$1,0)),"")</f>
        <v/>
      </c>
      <c r="J1685" s="42">
        <f>IFERROR(INDEX('Semrush Data'!$A$1:$Z$20000,MATCH(A1685,'Semrush Data'!$A$1:$A$20000,0),MATCH("Intent",'Semrush Data'!$A$1:$Z$1,0)),"")</f>
        <v/>
      </c>
    </row>
    <row r="1686" ht="15" customHeight="1" s="37">
      <c r="A1686" s="42" t="inlineStr">
        <is>
          <t>buy bvlgari splendida tubereuse mystique online</t>
        </is>
      </c>
      <c r="B1686" s="42" t="inlineStr">
        <is>
          <t>Buy online</t>
        </is>
      </c>
      <c r="C1686" s="42" t="n">
        <v>3</v>
      </c>
      <c r="D1686" s="42" t="n">
        <v>17</v>
      </c>
      <c r="E1686" s="42" t="n">
        <v>1</v>
      </c>
      <c r="F1686" s="42" t="inlineStr">
        <is>
          <t>FR-069</t>
        </is>
      </c>
      <c r="G1686" s="55">
        <f>IFERROR(INDEX('Semrush Data'!$A$1:$Z$20000,MATCH(A1686,'Semrush Data'!$A$1:$A$20000,0),MATCH("Volume",'Semrush Data'!$A$1:$Z$1,0)),"")</f>
        <v/>
      </c>
      <c r="H1686" s="42">
        <f>IFERROR(INDEX('Semrush Data'!$A$1:$Z$20000,MATCH(A1686,'Semrush Data'!$A$1:$A$20000,0),MATCH("Keyword Difficulty*",'Semrush Data'!$A$1:$Z$1,0)),"")</f>
        <v/>
      </c>
      <c r="I1686" s="56">
        <f>IFERROR(INDEX('Semrush Data'!$A$1:$Z$20000,MATCH(A1686,'Semrush Data'!$A$1:$A$20000,0),MATCH("CPC*",'Semrush Data'!$A$1:$Z$1,0)),"")</f>
        <v/>
      </c>
      <c r="J1686" s="42">
        <f>IFERROR(INDEX('Semrush Data'!$A$1:$Z$20000,MATCH(A1686,'Semrush Data'!$A$1:$A$20000,0),MATCH("Intent",'Semrush Data'!$A$1:$Z$1,0)),"")</f>
        <v/>
      </c>
    </row>
    <row r="1687" ht="15" customHeight="1" s="37">
      <c r="A1687" s="42" t="inlineStr">
        <is>
          <t>buy calvin klein defy miniature online</t>
        </is>
      </c>
      <c r="B1687" s="42" t="inlineStr">
        <is>
          <t>Buy online</t>
        </is>
      </c>
      <c r="C1687" s="42" t="n">
        <v>3</v>
      </c>
      <c r="D1687" s="42" t="n">
        <v>17</v>
      </c>
      <c r="E1687" s="42" t="n">
        <v>1</v>
      </c>
      <c r="F1687" s="42" t="inlineStr">
        <is>
          <t>FR-076</t>
        </is>
      </c>
      <c r="G1687" s="55">
        <f>IFERROR(INDEX('Semrush Data'!$A$1:$Z$20000,MATCH(A1687,'Semrush Data'!$A$1:$A$20000,0),MATCH("Volume",'Semrush Data'!$A$1:$Z$1,0)),"")</f>
        <v/>
      </c>
      <c r="H1687" s="42">
        <f>IFERROR(INDEX('Semrush Data'!$A$1:$Z$20000,MATCH(A1687,'Semrush Data'!$A$1:$A$20000,0),MATCH("Keyword Difficulty*",'Semrush Data'!$A$1:$Z$1,0)),"")</f>
        <v/>
      </c>
      <c r="I1687" s="56">
        <f>IFERROR(INDEX('Semrush Data'!$A$1:$Z$20000,MATCH(A1687,'Semrush Data'!$A$1:$A$20000,0),MATCH("CPC*",'Semrush Data'!$A$1:$Z$1,0)),"")</f>
        <v/>
      </c>
      <c r="J1687" s="42">
        <f>IFERROR(INDEX('Semrush Data'!$A$1:$Z$20000,MATCH(A1687,'Semrush Data'!$A$1:$A$20000,0),MATCH("Intent",'Semrush Data'!$A$1:$Z$1,0)),"")</f>
        <v/>
      </c>
    </row>
    <row r="1688" ht="15" customHeight="1" s="37">
      <c r="A1688" s="42" t="inlineStr">
        <is>
          <t>buy calvin klein defy online</t>
        </is>
      </c>
      <c r="B1688" s="42" t="inlineStr">
        <is>
          <t>Buy online</t>
        </is>
      </c>
      <c r="C1688" s="42" t="n">
        <v>3</v>
      </c>
      <c r="D1688" s="42" t="n">
        <v>17</v>
      </c>
      <c r="E1688" s="42" t="n">
        <v>2</v>
      </c>
      <c r="F1688" s="42" t="inlineStr">
        <is>
          <t>FR-082, FR-083</t>
        </is>
      </c>
      <c r="G1688" s="55">
        <f>IFERROR(INDEX('Semrush Data'!$A$1:$Z$20000,MATCH(A1688,'Semrush Data'!$A$1:$A$20000,0),MATCH("Volume",'Semrush Data'!$A$1:$Z$1,0)),"")</f>
        <v/>
      </c>
      <c r="H1688" s="42">
        <f>IFERROR(INDEX('Semrush Data'!$A$1:$Z$20000,MATCH(A1688,'Semrush Data'!$A$1:$A$20000,0),MATCH("Keyword Difficulty*",'Semrush Data'!$A$1:$Z$1,0)),"")</f>
        <v/>
      </c>
      <c r="I1688" s="56">
        <f>IFERROR(INDEX('Semrush Data'!$A$1:$Z$20000,MATCH(A1688,'Semrush Data'!$A$1:$A$20000,0),MATCH("CPC*",'Semrush Data'!$A$1:$Z$1,0)),"")</f>
        <v/>
      </c>
      <c r="J1688" s="42">
        <f>IFERROR(INDEX('Semrush Data'!$A$1:$Z$20000,MATCH(A1688,'Semrush Data'!$A$1:$A$20000,0),MATCH("Intent",'Semrush Data'!$A$1:$Z$1,0)),"")</f>
        <v/>
      </c>
    </row>
    <row r="1689" ht="15" customHeight="1" s="37">
      <c r="A1689" s="42" t="inlineStr">
        <is>
          <t>buy calvin klein defy parfum miniature online</t>
        </is>
      </c>
      <c r="B1689" s="42" t="inlineStr">
        <is>
          <t>Buy online</t>
        </is>
      </c>
      <c r="C1689" s="42" t="n">
        <v>3</v>
      </c>
      <c r="D1689" s="42" t="n">
        <v>17</v>
      </c>
      <c r="E1689" s="42" t="n">
        <v>1</v>
      </c>
      <c r="F1689" s="42" t="inlineStr">
        <is>
          <t>FR-081</t>
        </is>
      </c>
      <c r="G1689" s="55">
        <f>IFERROR(INDEX('Semrush Data'!$A$1:$Z$20000,MATCH(A1689,'Semrush Data'!$A$1:$A$20000,0),MATCH("Volume",'Semrush Data'!$A$1:$Z$1,0)),"")</f>
        <v/>
      </c>
      <c r="H1689" s="42">
        <f>IFERROR(INDEX('Semrush Data'!$A$1:$Z$20000,MATCH(A1689,'Semrush Data'!$A$1:$A$20000,0),MATCH("Keyword Difficulty*",'Semrush Data'!$A$1:$Z$1,0)),"")</f>
        <v/>
      </c>
      <c r="I1689" s="56">
        <f>IFERROR(INDEX('Semrush Data'!$A$1:$Z$20000,MATCH(A1689,'Semrush Data'!$A$1:$A$20000,0),MATCH("CPC*",'Semrush Data'!$A$1:$Z$1,0)),"")</f>
        <v/>
      </c>
      <c r="J1689" s="42">
        <f>IFERROR(INDEX('Semrush Data'!$A$1:$Z$20000,MATCH(A1689,'Semrush Data'!$A$1:$A$20000,0),MATCH("Intent",'Semrush Data'!$A$1:$Z$1,0)),"")</f>
        <v/>
      </c>
    </row>
    <row r="1690" ht="15" customHeight="1" s="37">
      <c r="A1690" s="42" t="inlineStr">
        <is>
          <t>buy calvin klein eternity aromatic essence parfum intense miniature online</t>
        </is>
      </c>
      <c r="B1690" s="42" t="inlineStr">
        <is>
          <t>Buy online</t>
        </is>
      </c>
      <c r="C1690" s="42" t="n">
        <v>3</v>
      </c>
      <c r="D1690" s="42" t="n">
        <v>17</v>
      </c>
      <c r="E1690" s="42" t="n">
        <v>2</v>
      </c>
      <c r="F1690" s="42" t="inlineStr">
        <is>
          <t>FR-084, FR-085</t>
        </is>
      </c>
      <c r="G1690" s="55">
        <f>IFERROR(INDEX('Semrush Data'!$A$1:$Z$20000,MATCH(A1690,'Semrush Data'!$A$1:$A$20000,0),MATCH("Volume",'Semrush Data'!$A$1:$Z$1,0)),"")</f>
        <v/>
      </c>
      <c r="H1690" s="42">
        <f>IFERROR(INDEX('Semrush Data'!$A$1:$Z$20000,MATCH(A1690,'Semrush Data'!$A$1:$A$20000,0),MATCH("Keyword Difficulty*",'Semrush Data'!$A$1:$Z$1,0)),"")</f>
        <v/>
      </c>
      <c r="I1690" s="56">
        <f>IFERROR(INDEX('Semrush Data'!$A$1:$Z$20000,MATCH(A1690,'Semrush Data'!$A$1:$A$20000,0),MATCH("CPC*",'Semrush Data'!$A$1:$Z$1,0)),"")</f>
        <v/>
      </c>
      <c r="J1690" s="42">
        <f>IFERROR(INDEX('Semrush Data'!$A$1:$Z$20000,MATCH(A1690,'Semrush Data'!$A$1:$A$20000,0),MATCH("Intent",'Semrush Data'!$A$1:$Z$1,0)),"")</f>
        <v/>
      </c>
    </row>
    <row r="1691" ht="15" customHeight="1" s="37">
      <c r="A1691" s="42" t="inlineStr">
        <is>
          <t>buy calvin klein eternity online</t>
        </is>
      </c>
      <c r="B1691" s="42" t="inlineStr">
        <is>
          <t>Buy online</t>
        </is>
      </c>
      <c r="C1691" s="42" t="n">
        <v>3</v>
      </c>
      <c r="D1691" s="42" t="inlineStr">
        <is>
          <t>T3-1</t>
        </is>
      </c>
      <c r="E1691" s="42" t="n">
        <v>2</v>
      </c>
      <c r="F1691" s="42" t="inlineStr">
        <is>
          <t>FR-077, FR-079</t>
        </is>
      </c>
      <c r="G1691" s="55">
        <f>IFERROR(INDEX('Semrush Data'!$A$1:$Z$20000,MATCH(A1691,'Semrush Data'!$A$1:$A$20000,0),MATCH("Volume",'Semrush Data'!$A$1:$Z$1,0)),"")</f>
        <v/>
      </c>
      <c r="H1691" s="42">
        <f>IFERROR(INDEX('Semrush Data'!$A$1:$Z$20000,MATCH(A1691,'Semrush Data'!$A$1:$A$20000,0),MATCH("Keyword Difficulty*",'Semrush Data'!$A$1:$Z$1,0)),"")</f>
        <v/>
      </c>
      <c r="I1691" s="56">
        <f>IFERROR(INDEX('Semrush Data'!$A$1:$Z$20000,MATCH(A1691,'Semrush Data'!$A$1:$A$20000,0),MATCH("CPC*",'Semrush Data'!$A$1:$Z$1,0)),"")</f>
        <v/>
      </c>
      <c r="J1691" s="42">
        <f>IFERROR(INDEX('Semrush Data'!$A$1:$Z$20000,MATCH(A1691,'Semrush Data'!$A$1:$A$20000,0),MATCH("Intent",'Semrush Data'!$A$1:$Z$1,0)),"")</f>
        <v/>
      </c>
    </row>
    <row r="1692" ht="15" customHeight="1" s="37">
      <c r="A1692" s="42" t="inlineStr">
        <is>
          <t>buy calvin klein eternity parfum miniature online</t>
        </is>
      </c>
      <c r="B1692" s="42" t="inlineStr">
        <is>
          <t>Buy online</t>
        </is>
      </c>
      <c r="C1692" s="42" t="n">
        <v>3</v>
      </c>
      <c r="D1692" s="42" t="n">
        <v>17</v>
      </c>
      <c r="E1692" s="42" t="n">
        <v>1</v>
      </c>
      <c r="F1692" s="42" t="inlineStr">
        <is>
          <t>FR-086</t>
        </is>
      </c>
      <c r="G1692" s="55">
        <f>IFERROR(INDEX('Semrush Data'!$A$1:$Z$20000,MATCH(A1692,'Semrush Data'!$A$1:$A$20000,0),MATCH("Volume",'Semrush Data'!$A$1:$Z$1,0)),"")</f>
        <v/>
      </c>
      <c r="H1692" s="42">
        <f>IFERROR(INDEX('Semrush Data'!$A$1:$Z$20000,MATCH(A1692,'Semrush Data'!$A$1:$A$20000,0),MATCH("Keyword Difficulty*",'Semrush Data'!$A$1:$Z$1,0)),"")</f>
        <v/>
      </c>
      <c r="I1692" s="56">
        <f>IFERROR(INDEX('Semrush Data'!$A$1:$Z$20000,MATCH(A1692,'Semrush Data'!$A$1:$A$20000,0),MATCH("CPC*",'Semrush Data'!$A$1:$Z$1,0)),"")</f>
        <v/>
      </c>
      <c r="J1692" s="42">
        <f>IFERROR(INDEX('Semrush Data'!$A$1:$Z$20000,MATCH(A1692,'Semrush Data'!$A$1:$A$20000,0),MATCH("Intent",'Semrush Data'!$A$1:$Z$1,0)),"")</f>
        <v/>
      </c>
    </row>
    <row r="1693" ht="15" customHeight="1" s="37">
      <c r="A1693" s="42" t="inlineStr">
        <is>
          <t>buy calvin klein miniature set online</t>
        </is>
      </c>
      <c r="B1693" s="42" t="inlineStr">
        <is>
          <t>Buy online</t>
        </is>
      </c>
      <c r="C1693" s="42" t="n">
        <v>3</v>
      </c>
      <c r="D1693" s="42" t="n">
        <v>17</v>
      </c>
      <c r="E1693" s="42" t="n">
        <v>1</v>
      </c>
      <c r="F1693" s="42" t="inlineStr">
        <is>
          <t>FR-080</t>
        </is>
      </c>
      <c r="G1693" s="55">
        <f>IFERROR(INDEX('Semrush Data'!$A$1:$Z$20000,MATCH(A1693,'Semrush Data'!$A$1:$A$20000,0),MATCH("Volume",'Semrush Data'!$A$1:$Z$1,0)),"")</f>
        <v/>
      </c>
      <c r="H1693" s="42">
        <f>IFERROR(INDEX('Semrush Data'!$A$1:$Z$20000,MATCH(A1693,'Semrush Data'!$A$1:$A$20000,0),MATCH("Keyword Difficulty*",'Semrush Data'!$A$1:$Z$1,0)),"")</f>
        <v/>
      </c>
      <c r="I1693" s="56">
        <f>IFERROR(INDEX('Semrush Data'!$A$1:$Z$20000,MATCH(A1693,'Semrush Data'!$A$1:$A$20000,0),MATCH("CPC*",'Semrush Data'!$A$1:$Z$1,0)),"")</f>
        <v/>
      </c>
      <c r="J1693" s="42">
        <f>IFERROR(INDEX('Semrush Data'!$A$1:$Z$20000,MATCH(A1693,'Semrush Data'!$A$1:$A$20000,0),MATCH("Intent",'Semrush Data'!$A$1:$Z$1,0)),"")</f>
        <v/>
      </c>
    </row>
    <row r="1694" ht="15" customHeight="1" s="37">
      <c r="A1694" s="42" t="inlineStr">
        <is>
          <t>buy calvin klein my euphoria miniature online</t>
        </is>
      </c>
      <c r="B1694" s="42" t="inlineStr">
        <is>
          <t>Buy online</t>
        </is>
      </c>
      <c r="C1694" s="42" t="n">
        <v>3</v>
      </c>
      <c r="D1694" s="42" t="n">
        <v>17</v>
      </c>
      <c r="E1694" s="42" t="n">
        <v>1</v>
      </c>
      <c r="F1694" s="42" t="inlineStr">
        <is>
          <t>FR-078</t>
        </is>
      </c>
      <c r="G1694" s="55">
        <f>IFERROR(INDEX('Semrush Data'!$A$1:$Z$20000,MATCH(A1694,'Semrush Data'!$A$1:$A$20000,0),MATCH("Volume",'Semrush Data'!$A$1:$Z$1,0)),"")</f>
        <v/>
      </c>
      <c r="H1694" s="42">
        <f>IFERROR(INDEX('Semrush Data'!$A$1:$Z$20000,MATCH(A1694,'Semrush Data'!$A$1:$A$20000,0),MATCH("Keyword Difficulty*",'Semrush Data'!$A$1:$Z$1,0)),"")</f>
        <v/>
      </c>
      <c r="I1694" s="56">
        <f>IFERROR(INDEX('Semrush Data'!$A$1:$Z$20000,MATCH(A1694,'Semrush Data'!$A$1:$A$20000,0),MATCH("CPC*",'Semrush Data'!$A$1:$Z$1,0)),"")</f>
        <v/>
      </c>
      <c r="J1694" s="42">
        <f>IFERROR(INDEX('Semrush Data'!$A$1:$Z$20000,MATCH(A1694,'Semrush Data'!$A$1:$A$20000,0),MATCH("Intent",'Semrush Data'!$A$1:$Z$1,0)),"")</f>
        <v/>
      </c>
    </row>
    <row r="1695" ht="15" customHeight="1" s="37">
      <c r="A1695" s="42" t="inlineStr">
        <is>
          <t>buy carolina herrera 212 sexy men online</t>
        </is>
      </c>
      <c r="B1695" s="42" t="inlineStr">
        <is>
          <t>Buy online</t>
        </is>
      </c>
      <c r="C1695" s="42" t="n">
        <v>3</v>
      </c>
      <c r="D1695" s="42" t="n">
        <v>17</v>
      </c>
      <c r="E1695" s="42" t="n">
        <v>1</v>
      </c>
      <c r="F1695" s="42" t="inlineStr">
        <is>
          <t>FR-092</t>
        </is>
      </c>
      <c r="G1695" s="55">
        <f>IFERROR(INDEX('Semrush Data'!$A$1:$Z$20000,MATCH(A1695,'Semrush Data'!$A$1:$A$20000,0),MATCH("Volume",'Semrush Data'!$A$1:$Z$1,0)),"")</f>
        <v/>
      </c>
      <c r="H1695" s="42">
        <f>IFERROR(INDEX('Semrush Data'!$A$1:$Z$20000,MATCH(A1695,'Semrush Data'!$A$1:$A$20000,0),MATCH("Keyword Difficulty*",'Semrush Data'!$A$1:$Z$1,0)),"")</f>
        <v/>
      </c>
      <c r="I1695" s="56">
        <f>IFERROR(INDEX('Semrush Data'!$A$1:$Z$20000,MATCH(A1695,'Semrush Data'!$A$1:$A$20000,0),MATCH("CPC*",'Semrush Data'!$A$1:$Z$1,0)),"")</f>
        <v/>
      </c>
      <c r="J1695" s="42">
        <f>IFERROR(INDEX('Semrush Data'!$A$1:$Z$20000,MATCH(A1695,'Semrush Data'!$A$1:$A$20000,0),MATCH("Intent",'Semrush Data'!$A$1:$Z$1,0)),"")</f>
        <v/>
      </c>
    </row>
    <row r="1696" ht="15" customHeight="1" s="37">
      <c r="A1696" s="42" t="inlineStr">
        <is>
          <t>buy carolina herrera 212 vip men online</t>
        </is>
      </c>
      <c r="B1696" s="42" t="inlineStr">
        <is>
          <t>Buy online</t>
        </is>
      </c>
      <c r="C1696" s="42" t="n">
        <v>3</v>
      </c>
      <c r="D1696" s="42" t="n">
        <v>17</v>
      </c>
      <c r="E1696" s="42" t="n">
        <v>1</v>
      </c>
      <c r="F1696" s="42" t="inlineStr">
        <is>
          <t>FR-093</t>
        </is>
      </c>
      <c r="G1696" s="55">
        <f>IFERROR(INDEX('Semrush Data'!$A$1:$Z$20000,MATCH(A1696,'Semrush Data'!$A$1:$A$20000,0),MATCH("Volume",'Semrush Data'!$A$1:$Z$1,0)),"")</f>
        <v/>
      </c>
      <c r="H1696" s="42">
        <f>IFERROR(INDEX('Semrush Data'!$A$1:$Z$20000,MATCH(A1696,'Semrush Data'!$A$1:$A$20000,0),MATCH("Keyword Difficulty*",'Semrush Data'!$A$1:$Z$1,0)),"")</f>
        <v/>
      </c>
      <c r="I1696" s="56">
        <f>IFERROR(INDEX('Semrush Data'!$A$1:$Z$20000,MATCH(A1696,'Semrush Data'!$A$1:$A$20000,0),MATCH("CPC*",'Semrush Data'!$A$1:$Z$1,0)),"")</f>
        <v/>
      </c>
      <c r="J1696" s="42">
        <f>IFERROR(INDEX('Semrush Data'!$A$1:$Z$20000,MATCH(A1696,'Semrush Data'!$A$1:$A$20000,0),MATCH("Intent",'Semrush Data'!$A$1:$Z$1,0)),"")</f>
        <v/>
      </c>
    </row>
    <row r="1697" ht="15" customHeight="1" s="37">
      <c r="A1697" s="42" t="inlineStr">
        <is>
          <t>buy carolina herrera 212 vip rose online</t>
        </is>
      </c>
      <c r="B1697" s="42" t="inlineStr">
        <is>
          <t>Buy online</t>
        </is>
      </c>
      <c r="C1697" s="42" t="n">
        <v>3</v>
      </c>
      <c r="D1697" s="42" t="n">
        <v>17</v>
      </c>
      <c r="E1697" s="42" t="n">
        <v>1</v>
      </c>
      <c r="F1697" s="42" t="inlineStr">
        <is>
          <t>FR-087</t>
        </is>
      </c>
      <c r="G1697" s="55">
        <f>IFERROR(INDEX('Semrush Data'!$A$1:$Z$20000,MATCH(A1697,'Semrush Data'!$A$1:$A$20000,0),MATCH("Volume",'Semrush Data'!$A$1:$Z$1,0)),"")</f>
        <v/>
      </c>
      <c r="H1697" s="42">
        <f>IFERROR(INDEX('Semrush Data'!$A$1:$Z$20000,MATCH(A1697,'Semrush Data'!$A$1:$A$20000,0),MATCH("Keyword Difficulty*",'Semrush Data'!$A$1:$Z$1,0)),"")</f>
        <v/>
      </c>
      <c r="I1697" s="56">
        <f>IFERROR(INDEX('Semrush Data'!$A$1:$Z$20000,MATCH(A1697,'Semrush Data'!$A$1:$A$20000,0),MATCH("CPC*",'Semrush Data'!$A$1:$Z$1,0)),"")</f>
        <v/>
      </c>
      <c r="J1697" s="42">
        <f>IFERROR(INDEX('Semrush Data'!$A$1:$Z$20000,MATCH(A1697,'Semrush Data'!$A$1:$A$20000,0),MATCH("Intent",'Semrush Data'!$A$1:$Z$1,0)),"")</f>
        <v/>
      </c>
    </row>
    <row r="1698" ht="15" customHeight="1" s="37">
      <c r="A1698" s="42" t="inlineStr">
        <is>
          <t>buy carolina herrera bad boy extreme online</t>
        </is>
      </c>
      <c r="B1698" s="42" t="inlineStr">
        <is>
          <t>Buy online</t>
        </is>
      </c>
      <c r="C1698" s="42" t="n">
        <v>3</v>
      </c>
      <c r="D1698" s="42" t="n">
        <v>17</v>
      </c>
      <c r="E1698" s="42" t="n">
        <v>2</v>
      </c>
      <c r="F1698" s="42" t="inlineStr">
        <is>
          <t>FR-088, FR-089</t>
        </is>
      </c>
      <c r="G1698" s="55">
        <f>IFERROR(INDEX('Semrush Data'!$A$1:$Z$20000,MATCH(A1698,'Semrush Data'!$A$1:$A$20000,0),MATCH("Volume",'Semrush Data'!$A$1:$Z$1,0)),"")</f>
        <v/>
      </c>
      <c r="H1698" s="42">
        <f>IFERROR(INDEX('Semrush Data'!$A$1:$Z$20000,MATCH(A1698,'Semrush Data'!$A$1:$A$20000,0),MATCH("Keyword Difficulty*",'Semrush Data'!$A$1:$Z$1,0)),"")</f>
        <v/>
      </c>
      <c r="I1698" s="56">
        <f>IFERROR(INDEX('Semrush Data'!$A$1:$Z$20000,MATCH(A1698,'Semrush Data'!$A$1:$A$20000,0),MATCH("CPC*",'Semrush Data'!$A$1:$Z$1,0)),"")</f>
        <v/>
      </c>
      <c r="J1698" s="42">
        <f>IFERROR(INDEX('Semrush Data'!$A$1:$Z$20000,MATCH(A1698,'Semrush Data'!$A$1:$A$20000,0),MATCH("Intent",'Semrush Data'!$A$1:$Z$1,0)),"")</f>
        <v/>
      </c>
    </row>
    <row r="1699" ht="15" customHeight="1" s="37">
      <c r="A1699" s="42" t="inlineStr">
        <is>
          <t>buy carolina herrera bad boy le online</t>
        </is>
      </c>
      <c r="B1699" s="42" t="inlineStr">
        <is>
          <t>Buy online</t>
        </is>
      </c>
      <c r="C1699" s="42" t="n">
        <v>3</v>
      </c>
      <c r="D1699" s="42" t="n">
        <v>17</v>
      </c>
      <c r="E1699" s="42" t="n">
        <v>2</v>
      </c>
      <c r="F1699" s="42" t="inlineStr">
        <is>
          <t>FR-090, FR-091</t>
        </is>
      </c>
      <c r="G1699" s="55">
        <f>IFERROR(INDEX('Semrush Data'!$A$1:$Z$20000,MATCH(A1699,'Semrush Data'!$A$1:$A$20000,0),MATCH("Volume",'Semrush Data'!$A$1:$Z$1,0)),"")</f>
        <v/>
      </c>
      <c r="H1699" s="42">
        <f>IFERROR(INDEX('Semrush Data'!$A$1:$Z$20000,MATCH(A1699,'Semrush Data'!$A$1:$A$20000,0),MATCH("Keyword Difficulty*",'Semrush Data'!$A$1:$Z$1,0)),"")</f>
        <v/>
      </c>
      <c r="I1699" s="56">
        <f>IFERROR(INDEX('Semrush Data'!$A$1:$Z$20000,MATCH(A1699,'Semrush Data'!$A$1:$A$20000,0),MATCH("CPC*",'Semrush Data'!$A$1:$Z$1,0)),"")</f>
        <v/>
      </c>
      <c r="J1699" s="42">
        <f>IFERROR(INDEX('Semrush Data'!$A$1:$Z$20000,MATCH(A1699,'Semrush Data'!$A$1:$A$20000,0),MATCH("Intent",'Semrush Data'!$A$1:$Z$1,0)),"")</f>
        <v/>
      </c>
    </row>
    <row r="1700" ht="15" customHeight="1" s="37">
      <c r="A1700" s="42" t="inlineStr">
        <is>
          <t>buy carolina herrera very good girl glam online</t>
        </is>
      </c>
      <c r="B1700" s="42" t="inlineStr">
        <is>
          <t>Buy online</t>
        </is>
      </c>
      <c r="C1700" s="42" t="n">
        <v>3</v>
      </c>
      <c r="D1700" s="42" t="n">
        <v>17</v>
      </c>
      <c r="E1700" s="42" t="n">
        <v>1</v>
      </c>
      <c r="F1700" s="42" t="inlineStr">
        <is>
          <t>FR-094</t>
        </is>
      </c>
      <c r="G1700" s="55">
        <f>IFERROR(INDEX('Semrush Data'!$A$1:$Z$20000,MATCH(A1700,'Semrush Data'!$A$1:$A$20000,0),MATCH("Volume",'Semrush Data'!$A$1:$Z$1,0)),"")</f>
        <v/>
      </c>
      <c r="H1700" s="42">
        <f>IFERROR(INDEX('Semrush Data'!$A$1:$Z$20000,MATCH(A1700,'Semrush Data'!$A$1:$A$20000,0),MATCH("Keyword Difficulty*",'Semrush Data'!$A$1:$Z$1,0)),"")</f>
        <v/>
      </c>
      <c r="I1700" s="56">
        <f>IFERROR(INDEX('Semrush Data'!$A$1:$Z$20000,MATCH(A1700,'Semrush Data'!$A$1:$A$20000,0),MATCH("CPC*",'Semrush Data'!$A$1:$Z$1,0)),"")</f>
        <v/>
      </c>
      <c r="J1700" s="42">
        <f>IFERROR(INDEX('Semrush Data'!$A$1:$Z$20000,MATCH(A1700,'Semrush Data'!$A$1:$A$20000,0),MATCH("Intent",'Semrush Data'!$A$1:$Z$1,0)),"")</f>
        <v/>
      </c>
    </row>
    <row r="1701" ht="15" customHeight="1" s="37">
      <c r="A1701" s="42" t="inlineStr">
        <is>
          <t>buy casanova anniversary online</t>
        </is>
      </c>
      <c r="B1701" s="42" t="inlineStr">
        <is>
          <t>Buy online</t>
        </is>
      </c>
      <c r="C1701" s="42" t="n">
        <v>3</v>
      </c>
      <c r="D1701" s="42" t="n">
        <v>17</v>
      </c>
      <c r="E1701" s="42" t="n">
        <v>1</v>
      </c>
      <c r="F1701" s="42" t="inlineStr">
        <is>
          <t>FR-341</t>
        </is>
      </c>
      <c r="G1701" s="55">
        <f>IFERROR(INDEX('Semrush Data'!$A$1:$Z$20000,MATCH(A1701,'Semrush Data'!$A$1:$A$20000,0),MATCH("Volume",'Semrush Data'!$A$1:$Z$1,0)),"")</f>
        <v/>
      </c>
      <c r="H1701" s="42">
        <f>IFERROR(INDEX('Semrush Data'!$A$1:$Z$20000,MATCH(A1701,'Semrush Data'!$A$1:$A$20000,0),MATCH("Keyword Difficulty*",'Semrush Data'!$A$1:$Z$1,0)),"")</f>
        <v/>
      </c>
      <c r="I1701" s="56">
        <f>IFERROR(INDEX('Semrush Data'!$A$1:$Z$20000,MATCH(A1701,'Semrush Data'!$A$1:$A$20000,0),MATCH("CPC*",'Semrush Data'!$A$1:$Z$1,0)),"")</f>
        <v/>
      </c>
      <c r="J1701" s="42">
        <f>IFERROR(INDEX('Semrush Data'!$A$1:$Z$20000,MATCH(A1701,'Semrush Data'!$A$1:$A$20000,0),MATCH("Intent",'Semrush Data'!$A$1:$Z$1,0)),"")</f>
        <v/>
      </c>
    </row>
    <row r="1702" ht="15" customHeight="1" s="37">
      <c r="A1702" s="42" t="inlineStr">
        <is>
          <t>buy chloe miniature gift set online</t>
        </is>
      </c>
      <c r="B1702" s="42" t="inlineStr">
        <is>
          <t>Buy online</t>
        </is>
      </c>
      <c r="C1702" s="42" t="n">
        <v>3</v>
      </c>
      <c r="D1702" s="42" t="n">
        <v>18</v>
      </c>
      <c r="E1702" s="42" t="n">
        <v>1</v>
      </c>
      <c r="F1702" s="42" t="inlineStr">
        <is>
          <t>FR-100</t>
        </is>
      </c>
      <c r="G1702" s="55">
        <f>IFERROR(INDEX('Semrush Data'!$A$1:$Z$20000,MATCH(A1702,'Semrush Data'!$A$1:$A$20000,0),MATCH("Volume",'Semrush Data'!$A$1:$Z$1,0)),"")</f>
        <v/>
      </c>
      <c r="H1702" s="42">
        <f>IFERROR(INDEX('Semrush Data'!$A$1:$Z$20000,MATCH(A1702,'Semrush Data'!$A$1:$A$20000,0),MATCH("Keyword Difficulty*",'Semrush Data'!$A$1:$Z$1,0)),"")</f>
        <v/>
      </c>
      <c r="I1702" s="56">
        <f>IFERROR(INDEX('Semrush Data'!$A$1:$Z$20000,MATCH(A1702,'Semrush Data'!$A$1:$A$20000,0),MATCH("CPC*",'Semrush Data'!$A$1:$Z$1,0)),"")</f>
        <v/>
      </c>
      <c r="J1702" s="42">
        <f>IFERROR(INDEX('Semrush Data'!$A$1:$Z$20000,MATCH(A1702,'Semrush Data'!$A$1:$A$20000,0),MATCH("Intent",'Semrush Data'!$A$1:$Z$1,0)),"")</f>
        <v/>
      </c>
    </row>
    <row r="1703" ht="15" customHeight="1" s="37">
      <c r="A1703" s="42" t="inlineStr">
        <is>
          <t>buy chloe miniature set online</t>
        </is>
      </c>
      <c r="B1703" s="42" t="inlineStr">
        <is>
          <t>Buy online</t>
        </is>
      </c>
      <c r="C1703" s="42" t="n">
        <v>3</v>
      </c>
      <c r="D1703" s="42" t="n">
        <v>18</v>
      </c>
      <c r="E1703" s="42" t="n">
        <v>1</v>
      </c>
      <c r="F1703" s="42" t="inlineStr">
        <is>
          <t>FR-101</t>
        </is>
      </c>
      <c r="G1703" s="55">
        <f>IFERROR(INDEX('Semrush Data'!$A$1:$Z$20000,MATCH(A1703,'Semrush Data'!$A$1:$A$20000,0),MATCH("Volume",'Semrush Data'!$A$1:$Z$1,0)),"")</f>
        <v/>
      </c>
      <c r="H1703" s="42">
        <f>IFERROR(INDEX('Semrush Data'!$A$1:$Z$20000,MATCH(A1703,'Semrush Data'!$A$1:$A$20000,0),MATCH("Keyword Difficulty*",'Semrush Data'!$A$1:$Z$1,0)),"")</f>
        <v/>
      </c>
      <c r="I1703" s="56">
        <f>IFERROR(INDEX('Semrush Data'!$A$1:$Z$20000,MATCH(A1703,'Semrush Data'!$A$1:$A$20000,0),MATCH("CPC*",'Semrush Data'!$A$1:$Z$1,0)),"")</f>
        <v/>
      </c>
      <c r="J1703" s="42">
        <f>IFERROR(INDEX('Semrush Data'!$A$1:$Z$20000,MATCH(A1703,'Semrush Data'!$A$1:$A$20000,0),MATCH("Intent",'Semrush Data'!$A$1:$Z$1,0)),"")</f>
        <v/>
      </c>
    </row>
    <row r="1704" ht="15" customHeight="1" s="37">
      <c r="A1704" s="42" t="inlineStr">
        <is>
          <t>buy chloe nomade gift set online</t>
        </is>
      </c>
      <c r="B1704" s="42" t="inlineStr">
        <is>
          <t>Buy online</t>
        </is>
      </c>
      <c r="C1704" s="42" t="n">
        <v>3</v>
      </c>
      <c r="D1704" s="42" t="n">
        <v>18</v>
      </c>
      <c r="E1704" s="42" t="n">
        <v>1</v>
      </c>
      <c r="F1704" s="42" t="inlineStr">
        <is>
          <t>FR-099</t>
        </is>
      </c>
      <c r="G1704" s="55">
        <f>IFERROR(INDEX('Semrush Data'!$A$1:$Z$20000,MATCH(A1704,'Semrush Data'!$A$1:$A$20000,0),MATCH("Volume",'Semrush Data'!$A$1:$Z$1,0)),"")</f>
        <v/>
      </c>
      <c r="H1704" s="42">
        <f>IFERROR(INDEX('Semrush Data'!$A$1:$Z$20000,MATCH(A1704,'Semrush Data'!$A$1:$A$20000,0),MATCH("Keyword Difficulty*",'Semrush Data'!$A$1:$Z$1,0)),"")</f>
        <v/>
      </c>
      <c r="I1704" s="56">
        <f>IFERROR(INDEX('Semrush Data'!$A$1:$Z$20000,MATCH(A1704,'Semrush Data'!$A$1:$A$20000,0),MATCH("CPC*",'Semrush Data'!$A$1:$Z$1,0)),"")</f>
        <v/>
      </c>
      <c r="J1704" s="42">
        <f>IFERROR(INDEX('Semrush Data'!$A$1:$Z$20000,MATCH(A1704,'Semrush Data'!$A$1:$A$20000,0),MATCH("Intent",'Semrush Data'!$A$1:$Z$1,0)),"")</f>
        <v/>
      </c>
    </row>
    <row r="1705" ht="15" customHeight="1" s="37">
      <c r="A1705" s="42" t="inlineStr">
        <is>
          <t>buy chloe nomade jasmin naturel intense online</t>
        </is>
      </c>
      <c r="B1705" s="42" t="inlineStr">
        <is>
          <t>Buy online</t>
        </is>
      </c>
      <c r="C1705" s="42" t="n">
        <v>3</v>
      </c>
      <c r="D1705" s="42" t="n">
        <v>18</v>
      </c>
      <c r="E1705" s="42" t="n">
        <v>1</v>
      </c>
      <c r="F1705" s="42" t="inlineStr">
        <is>
          <t>FR-096</t>
        </is>
      </c>
      <c r="G1705" s="55">
        <f>IFERROR(INDEX('Semrush Data'!$A$1:$Z$20000,MATCH(A1705,'Semrush Data'!$A$1:$A$20000,0),MATCH("Volume",'Semrush Data'!$A$1:$Z$1,0)),"")</f>
        <v/>
      </c>
      <c r="H1705" s="42">
        <f>IFERROR(INDEX('Semrush Data'!$A$1:$Z$20000,MATCH(A1705,'Semrush Data'!$A$1:$A$20000,0),MATCH("Keyword Difficulty*",'Semrush Data'!$A$1:$Z$1,0)),"")</f>
        <v/>
      </c>
      <c r="I1705" s="56">
        <f>IFERROR(INDEX('Semrush Data'!$A$1:$Z$20000,MATCH(A1705,'Semrush Data'!$A$1:$A$20000,0),MATCH("CPC*",'Semrush Data'!$A$1:$Z$1,0)),"")</f>
        <v/>
      </c>
      <c r="J1705" s="42">
        <f>IFERROR(INDEX('Semrush Data'!$A$1:$Z$20000,MATCH(A1705,'Semrush Data'!$A$1:$A$20000,0),MATCH("Intent",'Semrush Data'!$A$1:$Z$1,0)),"")</f>
        <v/>
      </c>
    </row>
    <row r="1706" ht="15" customHeight="1" s="37">
      <c r="A1706" s="42" t="inlineStr">
        <is>
          <t>buy chloe nomade nuit d'egypte online</t>
        </is>
      </c>
      <c r="B1706" s="42" t="inlineStr">
        <is>
          <t>Buy online</t>
        </is>
      </c>
      <c r="C1706" s="42" t="n">
        <v>3</v>
      </c>
      <c r="D1706" s="42" t="n">
        <v>18</v>
      </c>
      <c r="E1706" s="42" t="n">
        <v>1</v>
      </c>
      <c r="F1706" s="42" t="inlineStr">
        <is>
          <t>FR-097</t>
        </is>
      </c>
      <c r="G1706" s="55">
        <f>IFERROR(INDEX('Semrush Data'!$A$1:$Z$20000,MATCH(A1706,'Semrush Data'!$A$1:$A$20000,0),MATCH("Volume",'Semrush Data'!$A$1:$Z$1,0)),"")</f>
        <v/>
      </c>
      <c r="H1706" s="42">
        <f>IFERROR(INDEX('Semrush Data'!$A$1:$Z$20000,MATCH(A1706,'Semrush Data'!$A$1:$A$20000,0),MATCH("Keyword Difficulty*",'Semrush Data'!$A$1:$Z$1,0)),"")</f>
        <v/>
      </c>
      <c r="I1706" s="56">
        <f>IFERROR(INDEX('Semrush Data'!$A$1:$Z$20000,MATCH(A1706,'Semrush Data'!$A$1:$A$20000,0),MATCH("CPC*",'Semrush Data'!$A$1:$Z$1,0)),"")</f>
        <v/>
      </c>
      <c r="J1706" s="42">
        <f>IFERROR(INDEX('Semrush Data'!$A$1:$Z$20000,MATCH(A1706,'Semrush Data'!$A$1:$A$20000,0),MATCH("Intent",'Semrush Data'!$A$1:$Z$1,0)),"")</f>
        <v/>
      </c>
    </row>
    <row r="1707" ht="15" customHeight="1" s="37">
      <c r="A1707" s="42" t="inlineStr">
        <is>
          <t>buy chloe nomade online</t>
        </is>
      </c>
      <c r="B1707" s="42" t="inlineStr">
        <is>
          <t>Buy online</t>
        </is>
      </c>
      <c r="C1707" s="42" t="n">
        <v>3</v>
      </c>
      <c r="D1707" s="42" t="inlineStr">
        <is>
          <t>T3-1</t>
        </is>
      </c>
      <c r="E1707" s="42" t="n">
        <v>1</v>
      </c>
      <c r="F1707" s="42" t="inlineStr">
        <is>
          <t>FR-095</t>
        </is>
      </c>
      <c r="G1707" s="55">
        <f>IFERROR(INDEX('Semrush Data'!$A$1:$Z$20000,MATCH(A1707,'Semrush Data'!$A$1:$A$20000,0),MATCH("Volume",'Semrush Data'!$A$1:$Z$1,0)),"")</f>
        <v/>
      </c>
      <c r="H1707" s="42">
        <f>IFERROR(INDEX('Semrush Data'!$A$1:$Z$20000,MATCH(A1707,'Semrush Data'!$A$1:$A$20000,0),MATCH("Keyword Difficulty*",'Semrush Data'!$A$1:$Z$1,0)),"")</f>
        <v/>
      </c>
      <c r="I1707" s="56">
        <f>IFERROR(INDEX('Semrush Data'!$A$1:$Z$20000,MATCH(A1707,'Semrush Data'!$A$1:$A$20000,0),MATCH("CPC*",'Semrush Data'!$A$1:$Z$1,0)),"")</f>
        <v/>
      </c>
      <c r="J1707" s="42">
        <f>IFERROR(INDEX('Semrush Data'!$A$1:$Z$20000,MATCH(A1707,'Semrush Data'!$A$1:$A$20000,0),MATCH("Intent",'Semrush Data'!$A$1:$Z$1,0)),"")</f>
        <v/>
      </c>
    </row>
    <row r="1708" ht="15" customHeight="1" s="37">
      <c r="A1708" s="42" t="inlineStr">
        <is>
          <t>buy chloe rose naturelle intense online</t>
        </is>
      </c>
      <c r="B1708" s="42" t="inlineStr">
        <is>
          <t>Buy online</t>
        </is>
      </c>
      <c r="C1708" s="42" t="n">
        <v>3</v>
      </c>
      <c r="D1708" s="42" t="n">
        <v>18</v>
      </c>
      <c r="E1708" s="42" t="n">
        <v>1</v>
      </c>
      <c r="F1708" s="42" t="inlineStr">
        <is>
          <t>FR-098</t>
        </is>
      </c>
      <c r="G1708" s="55">
        <f>IFERROR(INDEX('Semrush Data'!$A$1:$Z$20000,MATCH(A1708,'Semrush Data'!$A$1:$A$20000,0),MATCH("Volume",'Semrush Data'!$A$1:$Z$1,0)),"")</f>
        <v/>
      </c>
      <c r="H1708" s="42">
        <f>IFERROR(INDEX('Semrush Data'!$A$1:$Z$20000,MATCH(A1708,'Semrush Data'!$A$1:$A$20000,0),MATCH("Keyword Difficulty*",'Semrush Data'!$A$1:$Z$1,0)),"")</f>
        <v/>
      </c>
      <c r="I1708" s="56">
        <f>IFERROR(INDEX('Semrush Data'!$A$1:$Z$20000,MATCH(A1708,'Semrush Data'!$A$1:$A$20000,0),MATCH("CPC*",'Semrush Data'!$A$1:$Z$1,0)),"")</f>
        <v/>
      </c>
      <c r="J1708" s="42">
        <f>IFERROR(INDEX('Semrush Data'!$A$1:$Z$20000,MATCH(A1708,'Semrush Data'!$A$1:$A$20000,0),MATCH("Intent",'Semrush Data'!$A$1:$Z$1,0)),"")</f>
        <v/>
      </c>
    </row>
    <row r="1709" ht="15" customHeight="1" s="37">
      <c r="A1709" s="42" t="inlineStr">
        <is>
          <t>buy chopard amber malaki online</t>
        </is>
      </c>
      <c r="B1709" s="42" t="inlineStr">
        <is>
          <t>Buy online</t>
        </is>
      </c>
      <c r="C1709" s="42" t="n">
        <v>3</v>
      </c>
      <c r="D1709" s="42" t="n">
        <v>18</v>
      </c>
      <c r="E1709" s="42" t="n">
        <v>1</v>
      </c>
      <c r="F1709" s="42" t="inlineStr">
        <is>
          <t>FR-102</t>
        </is>
      </c>
      <c r="G1709" s="55">
        <f>IFERROR(INDEX('Semrush Data'!$A$1:$Z$20000,MATCH(A1709,'Semrush Data'!$A$1:$A$20000,0),MATCH("Volume",'Semrush Data'!$A$1:$Z$1,0)),"")</f>
        <v/>
      </c>
      <c r="H1709" s="42">
        <f>IFERROR(INDEX('Semrush Data'!$A$1:$Z$20000,MATCH(A1709,'Semrush Data'!$A$1:$A$20000,0),MATCH("Keyword Difficulty*",'Semrush Data'!$A$1:$Z$1,0)),"")</f>
        <v/>
      </c>
      <c r="I1709" s="56">
        <f>IFERROR(INDEX('Semrush Data'!$A$1:$Z$20000,MATCH(A1709,'Semrush Data'!$A$1:$A$20000,0),MATCH("CPC*",'Semrush Data'!$A$1:$Z$1,0)),"")</f>
        <v/>
      </c>
      <c r="J1709" s="42">
        <f>IFERROR(INDEX('Semrush Data'!$A$1:$Z$20000,MATCH(A1709,'Semrush Data'!$A$1:$A$20000,0),MATCH("Intent",'Semrush Data'!$A$1:$Z$1,0)),"")</f>
        <v/>
      </c>
    </row>
    <row r="1710" ht="15" customHeight="1" s="37">
      <c r="A1710" s="42" t="inlineStr">
        <is>
          <t>buy chopard black incense malaki online</t>
        </is>
      </c>
      <c r="B1710" s="42" t="inlineStr">
        <is>
          <t>Buy online</t>
        </is>
      </c>
      <c r="C1710" s="42" t="n">
        <v>3</v>
      </c>
      <c r="D1710" s="42" t="n">
        <v>18</v>
      </c>
      <c r="E1710" s="42" t="n">
        <v>1</v>
      </c>
      <c r="F1710" s="42" t="inlineStr">
        <is>
          <t>FR-103</t>
        </is>
      </c>
      <c r="G1710" s="55">
        <f>IFERROR(INDEX('Semrush Data'!$A$1:$Z$20000,MATCH(A1710,'Semrush Data'!$A$1:$A$20000,0),MATCH("Volume",'Semrush Data'!$A$1:$Z$1,0)),"")</f>
        <v/>
      </c>
      <c r="H1710" s="42">
        <f>IFERROR(INDEX('Semrush Data'!$A$1:$Z$20000,MATCH(A1710,'Semrush Data'!$A$1:$A$20000,0),MATCH("Keyword Difficulty*",'Semrush Data'!$A$1:$Z$1,0)),"")</f>
        <v/>
      </c>
      <c r="I1710" s="56">
        <f>IFERROR(INDEX('Semrush Data'!$A$1:$Z$20000,MATCH(A1710,'Semrush Data'!$A$1:$A$20000,0),MATCH("CPC*",'Semrush Data'!$A$1:$Z$1,0)),"")</f>
        <v/>
      </c>
      <c r="J1710" s="42">
        <f>IFERROR(INDEX('Semrush Data'!$A$1:$Z$20000,MATCH(A1710,'Semrush Data'!$A$1:$A$20000,0),MATCH("Intent",'Semrush Data'!$A$1:$Z$1,0)),"")</f>
        <v/>
      </c>
    </row>
    <row r="1711" ht="15" customHeight="1" s="37">
      <c r="A1711" s="42" t="inlineStr">
        <is>
          <t>buy chopard gardens of paradise discovery set online</t>
        </is>
      </c>
      <c r="B1711" s="42" t="inlineStr">
        <is>
          <t>Buy online</t>
        </is>
      </c>
      <c r="C1711" s="42" t="n">
        <v>3</v>
      </c>
      <c r="D1711" s="42" t="n">
        <v>18</v>
      </c>
      <c r="E1711" s="42" t="n">
        <v>1</v>
      </c>
      <c r="F1711" s="42" t="inlineStr">
        <is>
          <t>FR-106</t>
        </is>
      </c>
      <c r="G1711" s="55">
        <f>IFERROR(INDEX('Semrush Data'!$A$1:$Z$20000,MATCH(A1711,'Semrush Data'!$A$1:$A$20000,0),MATCH("Volume",'Semrush Data'!$A$1:$Z$1,0)),"")</f>
        <v/>
      </c>
      <c r="H1711" s="42">
        <f>IFERROR(INDEX('Semrush Data'!$A$1:$Z$20000,MATCH(A1711,'Semrush Data'!$A$1:$A$20000,0),MATCH("Keyword Difficulty*",'Semrush Data'!$A$1:$Z$1,0)),"")</f>
        <v/>
      </c>
      <c r="I1711" s="56">
        <f>IFERROR(INDEX('Semrush Data'!$A$1:$Z$20000,MATCH(A1711,'Semrush Data'!$A$1:$A$20000,0),MATCH("CPC*",'Semrush Data'!$A$1:$Z$1,0)),"")</f>
        <v/>
      </c>
      <c r="J1711" s="42">
        <f>IFERROR(INDEX('Semrush Data'!$A$1:$Z$20000,MATCH(A1711,'Semrush Data'!$A$1:$A$20000,0),MATCH("Intent",'Semrush Data'!$A$1:$Z$1,0)),"")</f>
        <v/>
      </c>
    </row>
    <row r="1712" ht="15" customHeight="1" s="37">
      <c r="A1712" s="42" t="inlineStr">
        <is>
          <t>buy chopard imperiale iris malika online</t>
        </is>
      </c>
      <c r="B1712" s="42" t="inlineStr">
        <is>
          <t>Buy online</t>
        </is>
      </c>
      <c r="C1712" s="42" t="n">
        <v>3</v>
      </c>
      <c r="D1712" s="42" t="n">
        <v>18</v>
      </c>
      <c r="E1712" s="42" t="n">
        <v>1</v>
      </c>
      <c r="F1712" s="42" t="inlineStr">
        <is>
          <t>FR-104</t>
        </is>
      </c>
      <c r="G1712" s="55">
        <f>IFERROR(INDEX('Semrush Data'!$A$1:$Z$20000,MATCH(A1712,'Semrush Data'!$A$1:$A$20000,0),MATCH("Volume",'Semrush Data'!$A$1:$Z$1,0)),"")</f>
        <v/>
      </c>
      <c r="H1712" s="42">
        <f>IFERROR(INDEX('Semrush Data'!$A$1:$Z$20000,MATCH(A1712,'Semrush Data'!$A$1:$A$20000,0),MATCH("Keyword Difficulty*",'Semrush Data'!$A$1:$Z$1,0)),"")</f>
        <v/>
      </c>
      <c r="I1712" s="56">
        <f>IFERROR(INDEX('Semrush Data'!$A$1:$Z$20000,MATCH(A1712,'Semrush Data'!$A$1:$A$20000,0),MATCH("CPC*",'Semrush Data'!$A$1:$Z$1,0)),"")</f>
        <v/>
      </c>
      <c r="J1712" s="42">
        <f>IFERROR(INDEX('Semrush Data'!$A$1:$Z$20000,MATCH(A1712,'Semrush Data'!$A$1:$A$20000,0),MATCH("Intent",'Semrush Data'!$A$1:$Z$1,0)),"")</f>
        <v/>
      </c>
    </row>
    <row r="1713" ht="15" customHeight="1" s="37">
      <c r="A1713" s="42" t="inlineStr">
        <is>
          <t>buy chopard oud malaki online</t>
        </is>
      </c>
      <c r="B1713" s="42" t="inlineStr">
        <is>
          <t>Buy online</t>
        </is>
      </c>
      <c r="C1713" s="42" t="n">
        <v>3</v>
      </c>
      <c r="D1713" s="42" t="n">
        <v>18</v>
      </c>
      <c r="E1713" s="42" t="n">
        <v>1</v>
      </c>
      <c r="F1713" s="42" t="inlineStr">
        <is>
          <t>FR-105</t>
        </is>
      </c>
      <c r="G1713" s="55">
        <f>IFERROR(INDEX('Semrush Data'!$A$1:$Z$20000,MATCH(A1713,'Semrush Data'!$A$1:$A$20000,0),MATCH("Volume",'Semrush Data'!$A$1:$Z$1,0)),"")</f>
        <v/>
      </c>
      <c r="H1713" s="42">
        <f>IFERROR(INDEX('Semrush Data'!$A$1:$Z$20000,MATCH(A1713,'Semrush Data'!$A$1:$A$20000,0),MATCH("Keyword Difficulty*",'Semrush Data'!$A$1:$Z$1,0)),"")</f>
        <v/>
      </c>
      <c r="I1713" s="56">
        <f>IFERROR(INDEX('Semrush Data'!$A$1:$Z$20000,MATCH(A1713,'Semrush Data'!$A$1:$A$20000,0),MATCH("CPC*",'Semrush Data'!$A$1:$Z$1,0)),"")</f>
        <v/>
      </c>
      <c r="J1713" s="42">
        <f>IFERROR(INDEX('Semrush Data'!$A$1:$Z$20000,MATCH(A1713,'Semrush Data'!$A$1:$A$20000,0),MATCH("Intent",'Semrush Data'!$A$1:$Z$1,0)),"")</f>
        <v/>
      </c>
    </row>
    <row r="1714" ht="15" customHeight="1" s="37">
      <c r="A1714" s="42" t="inlineStr">
        <is>
          <t>buy chris adams black shadow pour homme online</t>
        </is>
      </c>
      <c r="B1714" s="42" t="inlineStr">
        <is>
          <t>Buy online</t>
        </is>
      </c>
      <c r="C1714" s="42" t="n">
        <v>3</v>
      </c>
      <c r="D1714" s="42" t="n">
        <v>18</v>
      </c>
      <c r="E1714" s="42" t="n">
        <v>1</v>
      </c>
      <c r="F1714" s="42" t="inlineStr">
        <is>
          <t>FR-108</t>
        </is>
      </c>
      <c r="G1714" s="55">
        <f>IFERROR(INDEX('Semrush Data'!$A$1:$Z$20000,MATCH(A1714,'Semrush Data'!$A$1:$A$20000,0),MATCH("Volume",'Semrush Data'!$A$1:$Z$1,0)),"")</f>
        <v/>
      </c>
      <c r="H1714" s="42">
        <f>IFERROR(INDEX('Semrush Data'!$A$1:$Z$20000,MATCH(A1714,'Semrush Data'!$A$1:$A$20000,0),MATCH("Keyword Difficulty*",'Semrush Data'!$A$1:$Z$1,0)),"")</f>
        <v/>
      </c>
      <c r="I1714" s="56">
        <f>IFERROR(INDEX('Semrush Data'!$A$1:$Z$20000,MATCH(A1714,'Semrush Data'!$A$1:$A$20000,0),MATCH("CPC*",'Semrush Data'!$A$1:$Z$1,0)),"")</f>
        <v/>
      </c>
      <c r="J1714" s="42">
        <f>IFERROR(INDEX('Semrush Data'!$A$1:$Z$20000,MATCH(A1714,'Semrush Data'!$A$1:$A$20000,0),MATCH("Intent",'Semrush Data'!$A$1:$Z$1,0)),"")</f>
        <v/>
      </c>
    </row>
    <row r="1715" ht="15" customHeight="1" s="37">
      <c r="A1715" s="42" t="inlineStr">
        <is>
          <t>buy chris adams ca dx 77 pour homme online</t>
        </is>
      </c>
      <c r="B1715" s="42" t="inlineStr">
        <is>
          <t>Buy online</t>
        </is>
      </c>
      <c r="C1715" s="42" t="n">
        <v>3</v>
      </c>
      <c r="D1715" s="42" t="n">
        <v>18</v>
      </c>
      <c r="E1715" s="42" t="n">
        <v>1</v>
      </c>
      <c r="F1715" s="42" t="inlineStr">
        <is>
          <t>FR-107</t>
        </is>
      </c>
      <c r="G1715" s="55">
        <f>IFERROR(INDEX('Semrush Data'!$A$1:$Z$20000,MATCH(A1715,'Semrush Data'!$A$1:$A$20000,0),MATCH("Volume",'Semrush Data'!$A$1:$Z$1,0)),"")</f>
        <v/>
      </c>
      <c r="H1715" s="42">
        <f>IFERROR(INDEX('Semrush Data'!$A$1:$Z$20000,MATCH(A1715,'Semrush Data'!$A$1:$A$20000,0),MATCH("Keyword Difficulty*",'Semrush Data'!$A$1:$Z$1,0)),"")</f>
        <v/>
      </c>
      <c r="I1715" s="56">
        <f>IFERROR(INDEX('Semrush Data'!$A$1:$Z$20000,MATCH(A1715,'Semrush Data'!$A$1:$A$20000,0),MATCH("CPC*",'Semrush Data'!$A$1:$Z$1,0)),"")</f>
        <v/>
      </c>
      <c r="J1715" s="42">
        <f>IFERROR(INDEX('Semrush Data'!$A$1:$Z$20000,MATCH(A1715,'Semrush Data'!$A$1:$A$20000,0),MATCH("Intent",'Semrush Data'!$A$1:$Z$1,0)),"")</f>
        <v/>
      </c>
    </row>
    <row r="1716" ht="15" customHeight="1" s="37">
      <c r="A1716" s="42" t="inlineStr">
        <is>
          <t>buy davidoff champion online</t>
        </is>
      </c>
      <c r="B1716" s="42" t="inlineStr">
        <is>
          <t>Buy online</t>
        </is>
      </c>
      <c r="C1716" s="42" t="n">
        <v>3</v>
      </c>
      <c r="D1716" s="42" t="n">
        <v>18</v>
      </c>
      <c r="E1716" s="42" t="n">
        <v>1</v>
      </c>
      <c r="F1716" s="42" t="inlineStr">
        <is>
          <t>FR-110</t>
        </is>
      </c>
      <c r="G1716" s="55">
        <f>IFERROR(INDEX('Semrush Data'!$A$1:$Z$20000,MATCH(A1716,'Semrush Data'!$A$1:$A$20000,0),MATCH("Volume",'Semrush Data'!$A$1:$Z$1,0)),"")</f>
        <v/>
      </c>
      <c r="H1716" s="42">
        <f>IFERROR(INDEX('Semrush Data'!$A$1:$Z$20000,MATCH(A1716,'Semrush Data'!$A$1:$A$20000,0),MATCH("Keyword Difficulty*",'Semrush Data'!$A$1:$Z$1,0)),"")</f>
        <v/>
      </c>
      <c r="I1716" s="56">
        <f>IFERROR(INDEX('Semrush Data'!$A$1:$Z$20000,MATCH(A1716,'Semrush Data'!$A$1:$A$20000,0),MATCH("CPC*",'Semrush Data'!$A$1:$Z$1,0)),"")</f>
        <v/>
      </c>
      <c r="J1716" s="42">
        <f>IFERROR(INDEX('Semrush Data'!$A$1:$Z$20000,MATCH(A1716,'Semrush Data'!$A$1:$A$20000,0),MATCH("Intent",'Semrush Data'!$A$1:$Z$1,0)),"")</f>
        <v/>
      </c>
    </row>
    <row r="1717" ht="15" customHeight="1" s="37">
      <c r="A1717" s="42" t="inlineStr">
        <is>
          <t>buy davidoff cool water reborn intense online</t>
        </is>
      </c>
      <c r="B1717" s="42" t="inlineStr">
        <is>
          <t>Buy online</t>
        </is>
      </c>
      <c r="C1717" s="42" t="n">
        <v>3</v>
      </c>
      <c r="D1717" s="42" t="n">
        <v>18</v>
      </c>
      <c r="E1717" s="42" t="n">
        <v>1</v>
      </c>
      <c r="F1717" s="42" t="inlineStr">
        <is>
          <t>FR-109</t>
        </is>
      </c>
      <c r="G1717" s="55">
        <f>IFERROR(INDEX('Semrush Data'!$A$1:$Z$20000,MATCH(A1717,'Semrush Data'!$A$1:$A$20000,0),MATCH("Volume",'Semrush Data'!$A$1:$Z$1,0)),"")</f>
        <v/>
      </c>
      <c r="H1717" s="42">
        <f>IFERROR(INDEX('Semrush Data'!$A$1:$Z$20000,MATCH(A1717,'Semrush Data'!$A$1:$A$20000,0),MATCH("Keyword Difficulty*",'Semrush Data'!$A$1:$Z$1,0)),"")</f>
        <v/>
      </c>
      <c r="I1717" s="56">
        <f>IFERROR(INDEX('Semrush Data'!$A$1:$Z$20000,MATCH(A1717,'Semrush Data'!$A$1:$A$20000,0),MATCH("CPC*",'Semrush Data'!$A$1:$Z$1,0)),"")</f>
        <v/>
      </c>
      <c r="J1717" s="42">
        <f>IFERROR(INDEX('Semrush Data'!$A$1:$Z$20000,MATCH(A1717,'Semrush Data'!$A$1:$A$20000,0),MATCH("Intent",'Semrush Data'!$A$1:$Z$1,0)),"")</f>
        <v/>
      </c>
    </row>
    <row r="1718" ht="15" customHeight="1" s="37">
      <c r="A1718" s="42" t="inlineStr">
        <is>
          <t>buy davidoff indigo online</t>
        </is>
      </c>
      <c r="B1718" s="42" t="inlineStr">
        <is>
          <t>Buy online</t>
        </is>
      </c>
      <c r="C1718" s="42" t="n">
        <v>3</v>
      </c>
      <c r="D1718" s="42" t="n">
        <v>18</v>
      </c>
      <c r="E1718" s="42" t="n">
        <v>1</v>
      </c>
      <c r="F1718" s="42" t="inlineStr">
        <is>
          <t>FR-111</t>
        </is>
      </c>
      <c r="G1718" s="55">
        <f>IFERROR(INDEX('Semrush Data'!$A$1:$Z$20000,MATCH(A1718,'Semrush Data'!$A$1:$A$20000,0),MATCH("Volume",'Semrush Data'!$A$1:$Z$1,0)),"")</f>
        <v/>
      </c>
      <c r="H1718" s="42">
        <f>IFERROR(INDEX('Semrush Data'!$A$1:$Z$20000,MATCH(A1718,'Semrush Data'!$A$1:$A$20000,0),MATCH("Keyword Difficulty*",'Semrush Data'!$A$1:$Z$1,0)),"")</f>
        <v/>
      </c>
      <c r="I1718" s="56">
        <f>IFERROR(INDEX('Semrush Data'!$A$1:$Z$20000,MATCH(A1718,'Semrush Data'!$A$1:$A$20000,0),MATCH("CPC*",'Semrush Data'!$A$1:$Z$1,0)),"")</f>
        <v/>
      </c>
      <c r="J1718" s="42">
        <f>IFERROR(INDEX('Semrush Data'!$A$1:$Z$20000,MATCH(A1718,'Semrush Data'!$A$1:$A$20000,0),MATCH("Intent",'Semrush Data'!$A$1:$Z$1,0)),"")</f>
        <v/>
      </c>
    </row>
    <row r="1719" ht="15" customHeight="1" s="37">
      <c r="A1719" s="42" t="inlineStr">
        <is>
          <t>buy davidoff the game online</t>
        </is>
      </c>
      <c r="B1719" s="42" t="inlineStr">
        <is>
          <t>Buy online</t>
        </is>
      </c>
      <c r="C1719" s="42" t="n">
        <v>3</v>
      </c>
      <c r="D1719" s="42" t="n">
        <v>18</v>
      </c>
      <c r="E1719" s="42" t="n">
        <v>1</v>
      </c>
      <c r="F1719" s="42" t="inlineStr">
        <is>
          <t>FR-112</t>
        </is>
      </c>
      <c r="G1719" s="55">
        <f>IFERROR(INDEX('Semrush Data'!$A$1:$Z$20000,MATCH(A1719,'Semrush Data'!$A$1:$A$20000,0),MATCH("Volume",'Semrush Data'!$A$1:$Z$1,0)),"")</f>
        <v/>
      </c>
      <c r="H1719" s="42">
        <f>IFERROR(INDEX('Semrush Data'!$A$1:$Z$20000,MATCH(A1719,'Semrush Data'!$A$1:$A$20000,0),MATCH("Keyword Difficulty*",'Semrush Data'!$A$1:$Z$1,0)),"")</f>
        <v/>
      </c>
      <c r="I1719" s="56">
        <f>IFERROR(INDEX('Semrush Data'!$A$1:$Z$20000,MATCH(A1719,'Semrush Data'!$A$1:$A$20000,0),MATCH("CPC*",'Semrush Data'!$A$1:$Z$1,0)),"")</f>
        <v/>
      </c>
      <c r="J1719" s="42">
        <f>IFERROR(INDEX('Semrush Data'!$A$1:$Z$20000,MATCH(A1719,'Semrush Data'!$A$1:$A$20000,0),MATCH("Intent",'Semrush Data'!$A$1:$Z$1,0)),"")</f>
        <v/>
      </c>
    </row>
    <row r="1720" ht="15" customHeight="1" s="37">
      <c r="A1720" s="42" t="inlineStr">
        <is>
          <t>buy deyga 10% vitamin c face serum online</t>
        </is>
      </c>
      <c r="B1720" s="42" t="inlineStr">
        <is>
          <t>Buy online</t>
        </is>
      </c>
      <c r="C1720" s="42" t="n">
        <v>3</v>
      </c>
      <c r="D1720" s="42" t="n">
        <v>18</v>
      </c>
      <c r="E1720" s="42" t="n">
        <v>1</v>
      </c>
      <c r="F1720" s="42" t="inlineStr">
        <is>
          <t>VD-134</t>
        </is>
      </c>
      <c r="G1720" s="55">
        <f>IFERROR(INDEX('Semrush Data'!$A$1:$Z$20000,MATCH(A1720,'Semrush Data'!$A$1:$A$20000,0),MATCH("Volume",'Semrush Data'!$A$1:$Z$1,0)),"")</f>
        <v/>
      </c>
      <c r="H1720" s="42">
        <f>IFERROR(INDEX('Semrush Data'!$A$1:$Z$20000,MATCH(A1720,'Semrush Data'!$A$1:$A$20000,0),MATCH("Keyword Difficulty*",'Semrush Data'!$A$1:$Z$1,0)),"")</f>
        <v/>
      </c>
      <c r="I1720" s="56">
        <f>IFERROR(INDEX('Semrush Data'!$A$1:$Z$20000,MATCH(A1720,'Semrush Data'!$A$1:$A$20000,0),MATCH("CPC*",'Semrush Data'!$A$1:$Z$1,0)),"")</f>
        <v/>
      </c>
      <c r="J1720" s="42">
        <f>IFERROR(INDEX('Semrush Data'!$A$1:$Z$20000,MATCH(A1720,'Semrush Data'!$A$1:$A$20000,0),MATCH("Intent",'Semrush Data'!$A$1:$Z$1,0)),"")</f>
        <v/>
      </c>
    </row>
    <row r="1721" ht="15" customHeight="1" s="37">
      <c r="A1721" s="42" t="inlineStr">
        <is>
          <t>buy deyga 2% hyaluronic acid serum online</t>
        </is>
      </c>
      <c r="B1721" s="42" t="inlineStr">
        <is>
          <t>Buy online</t>
        </is>
      </c>
      <c r="C1721" s="42" t="n">
        <v>3</v>
      </c>
      <c r="D1721" s="42" t="n">
        <v>18</v>
      </c>
      <c r="E1721" s="42" t="n">
        <v>1</v>
      </c>
      <c r="F1721" s="42" t="inlineStr">
        <is>
          <t>VD-087</t>
        </is>
      </c>
      <c r="G1721" s="55">
        <f>IFERROR(INDEX('Semrush Data'!$A$1:$Z$20000,MATCH(A1721,'Semrush Data'!$A$1:$A$20000,0),MATCH("Volume",'Semrush Data'!$A$1:$Z$1,0)),"")</f>
        <v/>
      </c>
      <c r="H1721" s="42">
        <f>IFERROR(INDEX('Semrush Data'!$A$1:$Z$20000,MATCH(A1721,'Semrush Data'!$A$1:$A$20000,0),MATCH("Keyword Difficulty*",'Semrush Data'!$A$1:$Z$1,0)),"")</f>
        <v/>
      </c>
      <c r="I1721" s="56">
        <f>IFERROR(INDEX('Semrush Data'!$A$1:$Z$20000,MATCH(A1721,'Semrush Data'!$A$1:$A$20000,0),MATCH("CPC*",'Semrush Data'!$A$1:$Z$1,0)),"")</f>
        <v/>
      </c>
      <c r="J1721" s="42">
        <f>IFERROR(INDEX('Semrush Data'!$A$1:$Z$20000,MATCH(A1721,'Semrush Data'!$A$1:$A$20000,0),MATCH("Intent",'Semrush Data'!$A$1:$Z$1,0)),"")</f>
        <v/>
      </c>
    </row>
    <row r="1722" ht="15" customHeight="1" s="37">
      <c r="A1722" s="42" t="inlineStr">
        <is>
          <t>buy deyga abc kit online</t>
        </is>
      </c>
      <c r="B1722" s="42" t="inlineStr">
        <is>
          <t>Buy online</t>
        </is>
      </c>
      <c r="C1722" s="42" t="n">
        <v>3</v>
      </c>
      <c r="D1722" s="42" t="n">
        <v>18</v>
      </c>
      <c r="E1722" s="42" t="n">
        <v>1</v>
      </c>
      <c r="F1722" s="42" t="inlineStr">
        <is>
          <t>VD-149</t>
        </is>
      </c>
      <c r="G1722" s="55">
        <f>IFERROR(INDEX('Semrush Data'!$A$1:$Z$20000,MATCH(A1722,'Semrush Data'!$A$1:$A$20000,0),MATCH("Volume",'Semrush Data'!$A$1:$Z$1,0)),"")</f>
        <v/>
      </c>
      <c r="H1722" s="42">
        <f>IFERROR(INDEX('Semrush Data'!$A$1:$Z$20000,MATCH(A1722,'Semrush Data'!$A$1:$A$20000,0),MATCH("Keyword Difficulty*",'Semrush Data'!$A$1:$Z$1,0)),"")</f>
        <v/>
      </c>
      <c r="I1722" s="56">
        <f>IFERROR(INDEX('Semrush Data'!$A$1:$Z$20000,MATCH(A1722,'Semrush Data'!$A$1:$A$20000,0),MATCH("CPC*",'Semrush Data'!$A$1:$Z$1,0)),"")</f>
        <v/>
      </c>
      <c r="J1722" s="42">
        <f>IFERROR(INDEX('Semrush Data'!$A$1:$Z$20000,MATCH(A1722,'Semrush Data'!$A$1:$A$20000,0),MATCH("Intent",'Semrush Data'!$A$1:$Z$1,0)),"")</f>
        <v/>
      </c>
    </row>
    <row r="1723" ht="15" customHeight="1" s="37">
      <c r="A1723" s="42" t="inlineStr">
        <is>
          <t>buy deyga acne relief combo online</t>
        </is>
      </c>
      <c r="B1723" s="42" t="inlineStr">
        <is>
          <t>Buy online</t>
        </is>
      </c>
      <c r="C1723" s="42" t="n">
        <v>3</v>
      </c>
      <c r="D1723" s="42" t="n">
        <v>18</v>
      </c>
      <c r="E1723" s="42" t="n">
        <v>1</v>
      </c>
      <c r="F1723" s="42" t="inlineStr">
        <is>
          <t>VD-138</t>
        </is>
      </c>
      <c r="G1723" s="55">
        <f>IFERROR(INDEX('Semrush Data'!$A$1:$Z$20000,MATCH(A1723,'Semrush Data'!$A$1:$A$20000,0),MATCH("Volume",'Semrush Data'!$A$1:$Z$1,0)),"")</f>
        <v/>
      </c>
      <c r="H1723" s="42">
        <f>IFERROR(INDEX('Semrush Data'!$A$1:$Z$20000,MATCH(A1723,'Semrush Data'!$A$1:$A$20000,0),MATCH("Keyword Difficulty*",'Semrush Data'!$A$1:$Z$1,0)),"")</f>
        <v/>
      </c>
      <c r="I1723" s="56">
        <f>IFERROR(INDEX('Semrush Data'!$A$1:$Z$20000,MATCH(A1723,'Semrush Data'!$A$1:$A$20000,0),MATCH("CPC*",'Semrush Data'!$A$1:$Z$1,0)),"")</f>
        <v/>
      </c>
      <c r="J1723" s="42">
        <f>IFERROR(INDEX('Semrush Data'!$A$1:$Z$20000,MATCH(A1723,'Semrush Data'!$A$1:$A$20000,0),MATCH("Intent",'Semrush Data'!$A$1:$Z$1,0)),"")</f>
        <v/>
      </c>
    </row>
    <row r="1724" ht="15" customHeight="1" s="37">
      <c r="A1724" s="42" t="inlineStr">
        <is>
          <t>buy deyga acne vanishing combo online</t>
        </is>
      </c>
      <c r="B1724" s="42" t="inlineStr">
        <is>
          <t>Buy online</t>
        </is>
      </c>
      <c r="C1724" s="42" t="n">
        <v>3</v>
      </c>
      <c r="D1724" s="42" t="n">
        <v>18</v>
      </c>
      <c r="E1724" s="42" t="n">
        <v>1</v>
      </c>
      <c r="F1724" s="42" t="inlineStr">
        <is>
          <t>VD-139</t>
        </is>
      </c>
      <c r="G1724" s="55">
        <f>IFERROR(INDEX('Semrush Data'!$A$1:$Z$20000,MATCH(A1724,'Semrush Data'!$A$1:$A$20000,0),MATCH("Volume",'Semrush Data'!$A$1:$Z$1,0)),"")</f>
        <v/>
      </c>
      <c r="H1724" s="42">
        <f>IFERROR(INDEX('Semrush Data'!$A$1:$Z$20000,MATCH(A1724,'Semrush Data'!$A$1:$A$20000,0),MATCH("Keyword Difficulty*",'Semrush Data'!$A$1:$Z$1,0)),"")</f>
        <v/>
      </c>
      <c r="I1724" s="56">
        <f>IFERROR(INDEX('Semrush Data'!$A$1:$Z$20000,MATCH(A1724,'Semrush Data'!$A$1:$A$20000,0),MATCH("CPC*",'Semrush Data'!$A$1:$Z$1,0)),"")</f>
        <v/>
      </c>
      <c r="J1724" s="42">
        <f>IFERROR(INDEX('Semrush Data'!$A$1:$Z$20000,MATCH(A1724,'Semrush Data'!$A$1:$A$20000,0),MATCH("Intent",'Semrush Data'!$A$1:$Z$1,0)),"")</f>
        <v/>
      </c>
    </row>
    <row r="1725" ht="15" customHeight="1" s="37">
      <c r="A1725" s="42" t="inlineStr">
        <is>
          <t>buy deyga activated charcoal body wash online</t>
        </is>
      </c>
      <c r="B1725" s="42" t="inlineStr">
        <is>
          <t>Buy online</t>
        </is>
      </c>
      <c r="C1725" s="42" t="n">
        <v>3</v>
      </c>
      <c r="D1725" s="42" t="n">
        <v>18</v>
      </c>
      <c r="E1725" s="42" t="n">
        <v>1</v>
      </c>
      <c r="F1725" s="42" t="inlineStr">
        <is>
          <t>VD-084</t>
        </is>
      </c>
      <c r="G1725" s="55">
        <f>IFERROR(INDEX('Semrush Data'!$A$1:$Z$20000,MATCH(A1725,'Semrush Data'!$A$1:$A$20000,0),MATCH("Volume",'Semrush Data'!$A$1:$Z$1,0)),"")</f>
        <v/>
      </c>
      <c r="H1725" s="42">
        <f>IFERROR(INDEX('Semrush Data'!$A$1:$Z$20000,MATCH(A1725,'Semrush Data'!$A$1:$A$20000,0),MATCH("Keyword Difficulty*",'Semrush Data'!$A$1:$Z$1,0)),"")</f>
        <v/>
      </c>
      <c r="I1725" s="56">
        <f>IFERROR(INDEX('Semrush Data'!$A$1:$Z$20000,MATCH(A1725,'Semrush Data'!$A$1:$A$20000,0),MATCH("CPC*",'Semrush Data'!$A$1:$Z$1,0)),"")</f>
        <v/>
      </c>
      <c r="J1725" s="42">
        <f>IFERROR(INDEX('Semrush Data'!$A$1:$Z$20000,MATCH(A1725,'Semrush Data'!$A$1:$A$20000,0),MATCH("Intent",'Semrush Data'!$A$1:$Z$1,0)),"")</f>
        <v/>
      </c>
    </row>
    <row r="1726" ht="15" customHeight="1" s="37">
      <c r="A1726" s="42" t="inlineStr">
        <is>
          <t>buy deyga almond milk body lotion online</t>
        </is>
      </c>
      <c r="B1726" s="42" t="inlineStr">
        <is>
          <t>Buy online</t>
        </is>
      </c>
      <c r="C1726" s="42" t="n">
        <v>3</v>
      </c>
      <c r="D1726" s="42" t="n">
        <v>18</v>
      </c>
      <c r="E1726" s="42" t="n">
        <v>1</v>
      </c>
      <c r="F1726" s="42" t="inlineStr">
        <is>
          <t>VD-114</t>
        </is>
      </c>
      <c r="G1726" s="55">
        <f>IFERROR(INDEX('Semrush Data'!$A$1:$Z$20000,MATCH(A1726,'Semrush Data'!$A$1:$A$20000,0),MATCH("Volume",'Semrush Data'!$A$1:$Z$1,0)),"")</f>
        <v/>
      </c>
      <c r="H1726" s="42">
        <f>IFERROR(INDEX('Semrush Data'!$A$1:$Z$20000,MATCH(A1726,'Semrush Data'!$A$1:$A$20000,0),MATCH("Keyword Difficulty*",'Semrush Data'!$A$1:$Z$1,0)),"")</f>
        <v/>
      </c>
      <c r="I1726" s="56">
        <f>IFERROR(INDEX('Semrush Data'!$A$1:$Z$20000,MATCH(A1726,'Semrush Data'!$A$1:$A$20000,0),MATCH("CPC*",'Semrush Data'!$A$1:$Z$1,0)),"")</f>
        <v/>
      </c>
      <c r="J1726" s="42">
        <f>IFERROR(INDEX('Semrush Data'!$A$1:$Z$20000,MATCH(A1726,'Semrush Data'!$A$1:$A$20000,0),MATCH("Intent",'Semrush Data'!$A$1:$Z$1,0)),"")</f>
        <v/>
      </c>
    </row>
    <row r="1727" ht="15" customHeight="1" s="37">
      <c r="A1727" s="42" t="inlineStr">
        <is>
          <t>buy deyga anti dandruff shampoo online</t>
        </is>
      </c>
      <c r="B1727" s="42" t="inlineStr">
        <is>
          <t>Buy online</t>
        </is>
      </c>
      <c r="C1727" s="42" t="n">
        <v>3</v>
      </c>
      <c r="D1727" s="42" t="n">
        <v>18</v>
      </c>
      <c r="E1727" s="42" t="n">
        <v>1</v>
      </c>
      <c r="F1727" s="42" t="inlineStr">
        <is>
          <t>VD-130</t>
        </is>
      </c>
      <c r="G1727" s="55">
        <f>IFERROR(INDEX('Semrush Data'!$A$1:$Z$20000,MATCH(A1727,'Semrush Data'!$A$1:$A$20000,0),MATCH("Volume",'Semrush Data'!$A$1:$Z$1,0)),"")</f>
        <v/>
      </c>
      <c r="H1727" s="42">
        <f>IFERROR(INDEX('Semrush Data'!$A$1:$Z$20000,MATCH(A1727,'Semrush Data'!$A$1:$A$20000,0),MATCH("Keyword Difficulty*",'Semrush Data'!$A$1:$Z$1,0)),"")</f>
        <v/>
      </c>
      <c r="I1727" s="56">
        <f>IFERROR(INDEX('Semrush Data'!$A$1:$Z$20000,MATCH(A1727,'Semrush Data'!$A$1:$A$20000,0),MATCH("CPC*",'Semrush Data'!$A$1:$Z$1,0)),"")</f>
        <v/>
      </c>
      <c r="J1727" s="42">
        <f>IFERROR(INDEX('Semrush Data'!$A$1:$Z$20000,MATCH(A1727,'Semrush Data'!$A$1:$A$20000,0),MATCH("Intent",'Semrush Data'!$A$1:$Z$1,0)),"")</f>
        <v/>
      </c>
    </row>
    <row r="1728" ht="15" customHeight="1" s="37">
      <c r="A1728" s="42" t="inlineStr">
        <is>
          <t>buy deyga anti-dandruff oil online</t>
        </is>
      </c>
      <c r="B1728" s="42" t="inlineStr">
        <is>
          <t>Buy online</t>
        </is>
      </c>
      <c r="C1728" s="42" t="n">
        <v>3</v>
      </c>
      <c r="D1728" s="42" t="n">
        <v>18</v>
      </c>
      <c r="E1728" s="42" t="n">
        <v>1</v>
      </c>
      <c r="F1728" s="42" t="inlineStr">
        <is>
          <t>VD-090</t>
        </is>
      </c>
      <c r="G1728" s="55">
        <f>IFERROR(INDEX('Semrush Data'!$A$1:$Z$20000,MATCH(A1728,'Semrush Data'!$A$1:$A$20000,0),MATCH("Volume",'Semrush Data'!$A$1:$Z$1,0)),"")</f>
        <v/>
      </c>
      <c r="H1728" s="42">
        <f>IFERROR(INDEX('Semrush Data'!$A$1:$Z$20000,MATCH(A1728,'Semrush Data'!$A$1:$A$20000,0),MATCH("Keyword Difficulty*",'Semrush Data'!$A$1:$Z$1,0)),"")</f>
        <v/>
      </c>
      <c r="I1728" s="56">
        <f>IFERROR(INDEX('Semrush Data'!$A$1:$Z$20000,MATCH(A1728,'Semrush Data'!$A$1:$A$20000,0),MATCH("CPC*",'Semrush Data'!$A$1:$Z$1,0)),"")</f>
        <v/>
      </c>
      <c r="J1728" s="42">
        <f>IFERROR(INDEX('Semrush Data'!$A$1:$Z$20000,MATCH(A1728,'Semrush Data'!$A$1:$A$20000,0),MATCH("Intent",'Semrush Data'!$A$1:$Z$1,0)),"")</f>
        <v/>
      </c>
    </row>
    <row r="1729" ht="15" customHeight="1" s="37">
      <c r="A1729" s="42" t="inlineStr">
        <is>
          <t>buy deyga baby bath bar online</t>
        </is>
      </c>
      <c r="B1729" s="42" t="inlineStr">
        <is>
          <t>Buy online</t>
        </is>
      </c>
      <c r="C1729" s="42" t="n">
        <v>3</v>
      </c>
      <c r="D1729" s="42" t="n">
        <v>18</v>
      </c>
      <c r="E1729" s="42" t="n">
        <v>1</v>
      </c>
      <c r="F1729" s="42" t="inlineStr">
        <is>
          <t>VD-129</t>
        </is>
      </c>
      <c r="G1729" s="55">
        <f>IFERROR(INDEX('Semrush Data'!$A$1:$Z$20000,MATCH(A1729,'Semrush Data'!$A$1:$A$20000,0),MATCH("Volume",'Semrush Data'!$A$1:$Z$1,0)),"")</f>
        <v/>
      </c>
      <c r="H1729" s="42">
        <f>IFERROR(INDEX('Semrush Data'!$A$1:$Z$20000,MATCH(A1729,'Semrush Data'!$A$1:$A$20000,0),MATCH("Keyword Difficulty*",'Semrush Data'!$A$1:$Z$1,0)),"")</f>
        <v/>
      </c>
      <c r="I1729" s="56">
        <f>IFERROR(INDEX('Semrush Data'!$A$1:$Z$20000,MATCH(A1729,'Semrush Data'!$A$1:$A$20000,0),MATCH("CPC*",'Semrush Data'!$A$1:$Z$1,0)),"")</f>
        <v/>
      </c>
      <c r="J1729" s="42">
        <f>IFERROR(INDEX('Semrush Data'!$A$1:$Z$20000,MATCH(A1729,'Semrush Data'!$A$1:$A$20000,0),MATCH("Intent",'Semrush Data'!$A$1:$Z$1,0)),"")</f>
        <v/>
      </c>
    </row>
    <row r="1730" ht="15" customHeight="1" s="37">
      <c r="A1730" s="42" t="inlineStr">
        <is>
          <t>buy deyga beautifying serum online</t>
        </is>
      </c>
      <c r="B1730" s="42" t="inlineStr">
        <is>
          <t>Buy online</t>
        </is>
      </c>
      <c r="C1730" s="42" t="n">
        <v>3</v>
      </c>
      <c r="D1730" s="42" t="n">
        <v>18</v>
      </c>
      <c r="E1730" s="42" t="n">
        <v>1</v>
      </c>
      <c r="F1730" s="42" t="inlineStr">
        <is>
          <t>VD-120</t>
        </is>
      </c>
      <c r="G1730" s="55">
        <f>IFERROR(INDEX('Semrush Data'!$A$1:$Z$20000,MATCH(A1730,'Semrush Data'!$A$1:$A$20000,0),MATCH("Volume",'Semrush Data'!$A$1:$Z$1,0)),"")</f>
        <v/>
      </c>
      <c r="H1730" s="42">
        <f>IFERROR(INDEX('Semrush Data'!$A$1:$Z$20000,MATCH(A1730,'Semrush Data'!$A$1:$A$20000,0),MATCH("Keyword Difficulty*",'Semrush Data'!$A$1:$Z$1,0)),"")</f>
        <v/>
      </c>
      <c r="I1730" s="56">
        <f>IFERROR(INDEX('Semrush Data'!$A$1:$Z$20000,MATCH(A1730,'Semrush Data'!$A$1:$A$20000,0),MATCH("CPC*",'Semrush Data'!$A$1:$Z$1,0)),"")</f>
        <v/>
      </c>
      <c r="J1730" s="42">
        <f>IFERROR(INDEX('Semrush Data'!$A$1:$Z$20000,MATCH(A1730,'Semrush Data'!$A$1:$A$20000,0),MATCH("Intent",'Semrush Data'!$A$1:$Z$1,0)),"")</f>
        <v/>
      </c>
    </row>
    <row r="1731" ht="15" customHeight="1" s="37">
      <c r="A1731" s="42" t="inlineStr">
        <is>
          <t>buy deyga beetroot lip balm classic online</t>
        </is>
      </c>
      <c r="B1731" s="42" t="inlineStr">
        <is>
          <t>Buy online</t>
        </is>
      </c>
      <c r="C1731" s="42" t="n">
        <v>3</v>
      </c>
      <c r="D1731" s="42" t="n">
        <v>18</v>
      </c>
      <c r="E1731" s="42" t="n">
        <v>1</v>
      </c>
      <c r="F1731" s="42" t="inlineStr">
        <is>
          <t>VD-132</t>
        </is>
      </c>
      <c r="G1731" s="55">
        <f>IFERROR(INDEX('Semrush Data'!$A$1:$Z$20000,MATCH(A1731,'Semrush Data'!$A$1:$A$20000,0),MATCH("Volume",'Semrush Data'!$A$1:$Z$1,0)),"")</f>
        <v/>
      </c>
      <c r="H1731" s="42">
        <f>IFERROR(INDEX('Semrush Data'!$A$1:$Z$20000,MATCH(A1731,'Semrush Data'!$A$1:$A$20000,0),MATCH("Keyword Difficulty*",'Semrush Data'!$A$1:$Z$1,0)),"")</f>
        <v/>
      </c>
      <c r="I1731" s="56">
        <f>IFERROR(INDEX('Semrush Data'!$A$1:$Z$20000,MATCH(A1731,'Semrush Data'!$A$1:$A$20000,0),MATCH("CPC*",'Semrush Data'!$A$1:$Z$1,0)),"")</f>
        <v/>
      </c>
      <c r="J1731" s="42">
        <f>IFERROR(INDEX('Semrush Data'!$A$1:$Z$20000,MATCH(A1731,'Semrush Data'!$A$1:$A$20000,0),MATCH("Intent",'Semrush Data'!$A$1:$Z$1,0)),"")</f>
        <v/>
      </c>
    </row>
    <row r="1732" ht="15" customHeight="1" s="37">
      <c r="A1732" s="42" t="inlineStr">
        <is>
          <t>buy deyga beetroot lip balm stick online</t>
        </is>
      </c>
      <c r="B1732" s="42" t="inlineStr">
        <is>
          <t>Buy online</t>
        </is>
      </c>
      <c r="C1732" s="42" t="n">
        <v>3</v>
      </c>
      <c r="D1732" s="42" t="n">
        <v>18</v>
      </c>
      <c r="E1732" s="42" t="n">
        <v>1</v>
      </c>
      <c r="F1732" s="42" t="inlineStr">
        <is>
          <t>VD-117</t>
        </is>
      </c>
      <c r="G1732" s="55">
        <f>IFERROR(INDEX('Semrush Data'!$A$1:$Z$20000,MATCH(A1732,'Semrush Data'!$A$1:$A$20000,0),MATCH("Volume",'Semrush Data'!$A$1:$Z$1,0)),"")</f>
        <v/>
      </c>
      <c r="H1732" s="42">
        <f>IFERROR(INDEX('Semrush Data'!$A$1:$Z$20000,MATCH(A1732,'Semrush Data'!$A$1:$A$20000,0),MATCH("Keyword Difficulty*",'Semrush Data'!$A$1:$Z$1,0)),"")</f>
        <v/>
      </c>
      <c r="I1732" s="56">
        <f>IFERROR(INDEX('Semrush Data'!$A$1:$Z$20000,MATCH(A1732,'Semrush Data'!$A$1:$A$20000,0),MATCH("CPC*",'Semrush Data'!$A$1:$Z$1,0)),"")</f>
        <v/>
      </c>
      <c r="J1732" s="42">
        <f>IFERROR(INDEX('Semrush Data'!$A$1:$Z$20000,MATCH(A1732,'Semrush Data'!$A$1:$A$20000,0),MATCH("Intent",'Semrush Data'!$A$1:$Z$1,0)),"")</f>
        <v/>
      </c>
    </row>
    <row r="1733" ht="15" customHeight="1" s="37">
      <c r="A1733" s="42" t="inlineStr">
        <is>
          <t>buy deyga best selling face care kit online</t>
        </is>
      </c>
      <c r="B1733" s="42" t="inlineStr">
        <is>
          <t>Buy online</t>
        </is>
      </c>
      <c r="C1733" s="42" t="n">
        <v>3</v>
      </c>
      <c r="D1733" s="42" t="n">
        <v>18</v>
      </c>
      <c r="E1733" s="42" t="n">
        <v>1</v>
      </c>
      <c r="F1733" s="42" t="inlineStr">
        <is>
          <t>VD-143</t>
        </is>
      </c>
      <c r="G1733" s="55">
        <f>IFERROR(INDEX('Semrush Data'!$A$1:$Z$20000,MATCH(A1733,'Semrush Data'!$A$1:$A$20000,0),MATCH("Volume",'Semrush Data'!$A$1:$Z$1,0)),"")</f>
        <v/>
      </c>
      <c r="H1733" s="42">
        <f>IFERROR(INDEX('Semrush Data'!$A$1:$Z$20000,MATCH(A1733,'Semrush Data'!$A$1:$A$20000,0),MATCH("Keyword Difficulty*",'Semrush Data'!$A$1:$Z$1,0)),"")</f>
        <v/>
      </c>
      <c r="I1733" s="56">
        <f>IFERROR(INDEX('Semrush Data'!$A$1:$Z$20000,MATCH(A1733,'Semrush Data'!$A$1:$A$20000,0),MATCH("CPC*",'Semrush Data'!$A$1:$Z$1,0)),"")</f>
        <v/>
      </c>
      <c r="J1733" s="42">
        <f>IFERROR(INDEX('Semrush Data'!$A$1:$Z$20000,MATCH(A1733,'Semrush Data'!$A$1:$A$20000,0),MATCH("Intent",'Semrush Data'!$A$1:$Z$1,0)),"")</f>
        <v/>
      </c>
    </row>
    <row r="1734" ht="15" customHeight="1" s="37">
      <c r="A1734" s="42" t="inlineStr">
        <is>
          <t>buy deyga body scrub online</t>
        </is>
      </c>
      <c r="B1734" s="42" t="inlineStr">
        <is>
          <t>Buy online</t>
        </is>
      </c>
      <c r="C1734" s="42" t="n">
        <v>3</v>
      </c>
      <c r="D1734" s="42" t="n">
        <v>18</v>
      </c>
      <c r="E1734" s="42" t="n">
        <v>1</v>
      </c>
      <c r="F1734" s="42" t="inlineStr">
        <is>
          <t>VD-085</t>
        </is>
      </c>
      <c r="G1734" s="55">
        <f>IFERROR(INDEX('Semrush Data'!$A$1:$Z$20000,MATCH(A1734,'Semrush Data'!$A$1:$A$20000,0),MATCH("Volume",'Semrush Data'!$A$1:$Z$1,0)),"")</f>
        <v/>
      </c>
      <c r="H1734" s="42">
        <f>IFERROR(INDEX('Semrush Data'!$A$1:$Z$20000,MATCH(A1734,'Semrush Data'!$A$1:$A$20000,0),MATCH("Keyword Difficulty*",'Semrush Data'!$A$1:$Z$1,0)),"")</f>
        <v/>
      </c>
      <c r="I1734" s="56">
        <f>IFERROR(INDEX('Semrush Data'!$A$1:$Z$20000,MATCH(A1734,'Semrush Data'!$A$1:$A$20000,0),MATCH("CPC*",'Semrush Data'!$A$1:$Z$1,0)),"")</f>
        <v/>
      </c>
      <c r="J1734" s="42">
        <f>IFERROR(INDEX('Semrush Data'!$A$1:$Z$20000,MATCH(A1734,'Semrush Data'!$A$1:$A$20000,0),MATCH("Intent",'Semrush Data'!$A$1:$Z$1,0)),"")</f>
        <v/>
      </c>
    </row>
    <row r="1735" ht="15" customHeight="1" s="37">
      <c r="A1735" s="42" t="inlineStr">
        <is>
          <t>buy deyga charcoal bath bar online</t>
        </is>
      </c>
      <c r="B1735" s="42" t="inlineStr">
        <is>
          <t>Buy online</t>
        </is>
      </c>
      <c r="C1735" s="42" t="n">
        <v>3</v>
      </c>
      <c r="D1735" s="42" t="n">
        <v>18</v>
      </c>
      <c r="E1735" s="42" t="n">
        <v>1</v>
      </c>
      <c r="F1735" s="42" t="inlineStr">
        <is>
          <t>VD-121</t>
        </is>
      </c>
      <c r="G1735" s="55">
        <f>IFERROR(INDEX('Semrush Data'!$A$1:$Z$20000,MATCH(A1735,'Semrush Data'!$A$1:$A$20000,0),MATCH("Volume",'Semrush Data'!$A$1:$Z$1,0)),"")</f>
        <v/>
      </c>
      <c r="H1735" s="42">
        <f>IFERROR(INDEX('Semrush Data'!$A$1:$Z$20000,MATCH(A1735,'Semrush Data'!$A$1:$A$20000,0),MATCH("Keyword Difficulty*",'Semrush Data'!$A$1:$Z$1,0)),"")</f>
        <v/>
      </c>
      <c r="I1735" s="56">
        <f>IFERROR(INDEX('Semrush Data'!$A$1:$Z$20000,MATCH(A1735,'Semrush Data'!$A$1:$A$20000,0),MATCH("CPC*",'Semrush Data'!$A$1:$Z$1,0)),"")</f>
        <v/>
      </c>
      <c r="J1735" s="42">
        <f>IFERROR(INDEX('Semrush Data'!$A$1:$Z$20000,MATCH(A1735,'Semrush Data'!$A$1:$A$20000,0),MATCH("Intent",'Semrush Data'!$A$1:$Z$1,0)),"")</f>
        <v/>
      </c>
    </row>
    <row r="1736" ht="15" customHeight="1" s="37">
      <c r="A1736" s="42" t="inlineStr">
        <is>
          <t>buy deyga charcoal detox face mask online</t>
        </is>
      </c>
      <c r="B1736" s="42" t="inlineStr">
        <is>
          <t>Buy online</t>
        </is>
      </c>
      <c r="C1736" s="42" t="n">
        <v>3</v>
      </c>
      <c r="D1736" s="42" t="n">
        <v>18</v>
      </c>
      <c r="E1736" s="42" t="n">
        <v>1</v>
      </c>
      <c r="F1736" s="42" t="inlineStr">
        <is>
          <t>VD-083</t>
        </is>
      </c>
      <c r="G1736" s="55">
        <f>IFERROR(INDEX('Semrush Data'!$A$1:$Z$20000,MATCH(A1736,'Semrush Data'!$A$1:$A$20000,0),MATCH("Volume",'Semrush Data'!$A$1:$Z$1,0)),"")</f>
        <v/>
      </c>
      <c r="H1736" s="42">
        <f>IFERROR(INDEX('Semrush Data'!$A$1:$Z$20000,MATCH(A1736,'Semrush Data'!$A$1:$A$20000,0),MATCH("Keyword Difficulty*",'Semrush Data'!$A$1:$Z$1,0)),"")</f>
        <v/>
      </c>
      <c r="I1736" s="56">
        <f>IFERROR(INDEX('Semrush Data'!$A$1:$Z$20000,MATCH(A1736,'Semrush Data'!$A$1:$A$20000,0),MATCH("CPC*",'Semrush Data'!$A$1:$Z$1,0)),"")</f>
        <v/>
      </c>
      <c r="J1736" s="42">
        <f>IFERROR(INDEX('Semrush Data'!$A$1:$Z$20000,MATCH(A1736,'Semrush Data'!$A$1:$A$20000,0),MATCH("Intent",'Semrush Data'!$A$1:$Z$1,0)),"")</f>
        <v/>
      </c>
    </row>
    <row r="1737" ht="15" customHeight="1" s="37">
      <c r="A1737" s="42" t="inlineStr">
        <is>
          <t>buy deyga charcoal face wash online</t>
        </is>
      </c>
      <c r="B1737" s="42" t="inlineStr">
        <is>
          <t>Buy online</t>
        </is>
      </c>
      <c r="C1737" s="42" t="n">
        <v>3</v>
      </c>
      <c r="D1737" s="42" t="n">
        <v>18</v>
      </c>
      <c r="E1737" s="42" t="n">
        <v>1</v>
      </c>
      <c r="F1737" s="42" t="inlineStr">
        <is>
          <t>VD-123</t>
        </is>
      </c>
      <c r="G1737" s="55">
        <f>IFERROR(INDEX('Semrush Data'!$A$1:$Z$20000,MATCH(A1737,'Semrush Data'!$A$1:$A$20000,0),MATCH("Volume",'Semrush Data'!$A$1:$Z$1,0)),"")</f>
        <v/>
      </c>
      <c r="H1737" s="42">
        <f>IFERROR(INDEX('Semrush Data'!$A$1:$Z$20000,MATCH(A1737,'Semrush Data'!$A$1:$A$20000,0),MATCH("Keyword Difficulty*",'Semrush Data'!$A$1:$Z$1,0)),"")</f>
        <v/>
      </c>
      <c r="I1737" s="56">
        <f>IFERROR(INDEX('Semrush Data'!$A$1:$Z$20000,MATCH(A1737,'Semrush Data'!$A$1:$A$20000,0),MATCH("CPC*",'Semrush Data'!$A$1:$Z$1,0)),"")</f>
        <v/>
      </c>
      <c r="J1737" s="42">
        <f>IFERROR(INDEX('Semrush Data'!$A$1:$Z$20000,MATCH(A1737,'Semrush Data'!$A$1:$A$20000,0),MATCH("Intent",'Semrush Data'!$A$1:$Z$1,0)),"")</f>
        <v/>
      </c>
    </row>
    <row r="1738" ht="15" customHeight="1" s="37">
      <c r="A1738" s="42" t="inlineStr">
        <is>
          <t>buy deyga chocolate body butter online</t>
        </is>
      </c>
      <c r="B1738" s="42" t="inlineStr">
        <is>
          <t>Buy online</t>
        </is>
      </c>
      <c r="C1738" s="42" t="n">
        <v>3</v>
      </c>
      <c r="D1738" s="42" t="n">
        <v>18</v>
      </c>
      <c r="E1738" s="42" t="n">
        <v>1</v>
      </c>
      <c r="F1738" s="42" t="inlineStr">
        <is>
          <t>VD-082</t>
        </is>
      </c>
      <c r="G1738" s="55">
        <f>IFERROR(INDEX('Semrush Data'!$A$1:$Z$20000,MATCH(A1738,'Semrush Data'!$A$1:$A$20000,0),MATCH("Volume",'Semrush Data'!$A$1:$Z$1,0)),"")</f>
        <v/>
      </c>
      <c r="H1738" s="42">
        <f>IFERROR(INDEX('Semrush Data'!$A$1:$Z$20000,MATCH(A1738,'Semrush Data'!$A$1:$A$20000,0),MATCH("Keyword Difficulty*",'Semrush Data'!$A$1:$Z$1,0)),"")</f>
        <v/>
      </c>
      <c r="I1738" s="56">
        <f>IFERROR(INDEX('Semrush Data'!$A$1:$Z$20000,MATCH(A1738,'Semrush Data'!$A$1:$A$20000,0),MATCH("CPC*",'Semrush Data'!$A$1:$Z$1,0)),"")</f>
        <v/>
      </c>
      <c r="J1738" s="42">
        <f>IFERROR(INDEX('Semrush Data'!$A$1:$Z$20000,MATCH(A1738,'Semrush Data'!$A$1:$A$20000,0),MATCH("Intent",'Semrush Data'!$A$1:$Z$1,0)),"")</f>
        <v/>
      </c>
    </row>
    <row r="1739" ht="15" customHeight="1" s="37">
      <c r="A1739" s="42" t="inlineStr">
        <is>
          <t>buy deyga clear skin kit online</t>
        </is>
      </c>
      <c r="B1739" s="42" t="inlineStr">
        <is>
          <t>Buy online</t>
        </is>
      </c>
      <c r="C1739" s="42" t="n">
        <v>3</v>
      </c>
      <c r="D1739" s="42" t="n">
        <v>18</v>
      </c>
      <c r="E1739" s="42" t="n">
        <v>1</v>
      </c>
      <c r="F1739" s="42" t="inlineStr">
        <is>
          <t>VD-142</t>
        </is>
      </c>
      <c r="G1739" s="55">
        <f>IFERROR(INDEX('Semrush Data'!$A$1:$Z$20000,MATCH(A1739,'Semrush Data'!$A$1:$A$20000,0),MATCH("Volume",'Semrush Data'!$A$1:$Z$1,0)),"")</f>
        <v/>
      </c>
      <c r="H1739" s="42">
        <f>IFERROR(INDEX('Semrush Data'!$A$1:$Z$20000,MATCH(A1739,'Semrush Data'!$A$1:$A$20000,0),MATCH("Keyword Difficulty*",'Semrush Data'!$A$1:$Z$1,0)),"")</f>
        <v/>
      </c>
      <c r="I1739" s="56">
        <f>IFERROR(INDEX('Semrush Data'!$A$1:$Z$20000,MATCH(A1739,'Semrush Data'!$A$1:$A$20000,0),MATCH("CPC*",'Semrush Data'!$A$1:$Z$1,0)),"")</f>
        <v/>
      </c>
      <c r="J1739" s="42">
        <f>IFERROR(INDEX('Semrush Data'!$A$1:$Z$20000,MATCH(A1739,'Semrush Data'!$A$1:$A$20000,0),MATCH("Intent",'Semrush Data'!$A$1:$Z$1,0)),"")</f>
        <v/>
      </c>
    </row>
    <row r="1740" ht="15" customHeight="1" s="37">
      <c r="A1740" s="42" t="inlineStr">
        <is>
          <t>buy deyga daily essential kit online</t>
        </is>
      </c>
      <c r="B1740" s="42" t="inlineStr">
        <is>
          <t>Buy online</t>
        </is>
      </c>
      <c r="C1740" s="42" t="n">
        <v>3</v>
      </c>
      <c r="D1740" s="42" t="n">
        <v>18</v>
      </c>
      <c r="E1740" s="42" t="n">
        <v>1</v>
      </c>
      <c r="F1740" s="42" t="inlineStr">
        <is>
          <t>VD-141</t>
        </is>
      </c>
      <c r="G1740" s="55">
        <f>IFERROR(INDEX('Semrush Data'!$A$1:$Z$20000,MATCH(A1740,'Semrush Data'!$A$1:$A$20000,0),MATCH("Volume",'Semrush Data'!$A$1:$Z$1,0)),"")</f>
        <v/>
      </c>
      <c r="H1740" s="42">
        <f>IFERROR(INDEX('Semrush Data'!$A$1:$Z$20000,MATCH(A1740,'Semrush Data'!$A$1:$A$20000,0),MATCH("Keyword Difficulty*",'Semrush Data'!$A$1:$Z$1,0)),"")</f>
        <v/>
      </c>
      <c r="I1740" s="56">
        <f>IFERROR(INDEX('Semrush Data'!$A$1:$Z$20000,MATCH(A1740,'Semrush Data'!$A$1:$A$20000,0),MATCH("CPC*",'Semrush Data'!$A$1:$Z$1,0)),"")</f>
        <v/>
      </c>
      <c r="J1740" s="42">
        <f>IFERROR(INDEX('Semrush Data'!$A$1:$Z$20000,MATCH(A1740,'Semrush Data'!$A$1:$A$20000,0),MATCH("Intent",'Semrush Data'!$A$1:$Z$1,0)),"")</f>
        <v/>
      </c>
    </row>
    <row r="1741" ht="15" customHeight="1" s="37">
      <c r="A1741" s="42" t="inlineStr">
        <is>
          <t>buy deyga daily use healthy hair kit online</t>
        </is>
      </c>
      <c r="B1741" s="42" t="inlineStr">
        <is>
          <t>Buy online</t>
        </is>
      </c>
      <c r="C1741" s="42" t="n">
        <v>3</v>
      </c>
      <c r="D1741" s="42" t="n">
        <v>18</v>
      </c>
      <c r="E1741" s="42" t="n">
        <v>1</v>
      </c>
      <c r="F1741" s="42" t="inlineStr">
        <is>
          <t>VD-159</t>
        </is>
      </c>
      <c r="G1741" s="55">
        <f>IFERROR(INDEX('Semrush Data'!$A$1:$Z$20000,MATCH(A1741,'Semrush Data'!$A$1:$A$20000,0),MATCH("Volume",'Semrush Data'!$A$1:$Z$1,0)),"")</f>
        <v/>
      </c>
      <c r="H1741" s="42">
        <f>IFERROR(INDEX('Semrush Data'!$A$1:$Z$20000,MATCH(A1741,'Semrush Data'!$A$1:$A$20000,0),MATCH("Keyword Difficulty*",'Semrush Data'!$A$1:$Z$1,0)),"")</f>
        <v/>
      </c>
      <c r="I1741" s="56">
        <f>IFERROR(INDEX('Semrush Data'!$A$1:$Z$20000,MATCH(A1741,'Semrush Data'!$A$1:$A$20000,0),MATCH("CPC*",'Semrush Data'!$A$1:$Z$1,0)),"")</f>
        <v/>
      </c>
      <c r="J1741" s="42">
        <f>IFERROR(INDEX('Semrush Data'!$A$1:$Z$20000,MATCH(A1741,'Semrush Data'!$A$1:$A$20000,0),MATCH("Intent",'Semrush Data'!$A$1:$Z$1,0)),"")</f>
        <v/>
      </c>
    </row>
    <row r="1742" ht="15" customHeight="1" s="37">
      <c r="A1742" s="42" t="inlineStr">
        <is>
          <t>buy deyga de- tan &amp; pigmentation kit online</t>
        </is>
      </c>
      <c r="B1742" s="42" t="inlineStr">
        <is>
          <t>Buy online</t>
        </is>
      </c>
      <c r="C1742" s="42" t="n">
        <v>3</v>
      </c>
      <c r="D1742" s="42" t="n">
        <v>18</v>
      </c>
      <c r="E1742" s="42" t="n">
        <v>1</v>
      </c>
      <c r="F1742" s="42" t="inlineStr">
        <is>
          <t>VD-157</t>
        </is>
      </c>
      <c r="G1742" s="55">
        <f>IFERROR(INDEX('Semrush Data'!$A$1:$Z$20000,MATCH(A1742,'Semrush Data'!$A$1:$A$20000,0),MATCH("Volume",'Semrush Data'!$A$1:$Z$1,0)),"")</f>
        <v/>
      </c>
      <c r="H1742" s="42">
        <f>IFERROR(INDEX('Semrush Data'!$A$1:$Z$20000,MATCH(A1742,'Semrush Data'!$A$1:$A$20000,0),MATCH("Keyword Difficulty*",'Semrush Data'!$A$1:$Z$1,0)),"")</f>
        <v/>
      </c>
      <c r="I1742" s="56">
        <f>IFERROR(INDEX('Semrush Data'!$A$1:$Z$20000,MATCH(A1742,'Semrush Data'!$A$1:$A$20000,0),MATCH("CPC*",'Semrush Data'!$A$1:$Z$1,0)),"")</f>
        <v/>
      </c>
      <c r="J1742" s="42">
        <f>IFERROR(INDEX('Semrush Data'!$A$1:$Z$20000,MATCH(A1742,'Semrush Data'!$A$1:$A$20000,0),MATCH("Intent",'Semrush Data'!$A$1:$Z$1,0)),"")</f>
        <v/>
      </c>
    </row>
    <row r="1743" ht="15" customHeight="1" s="37">
      <c r="A1743" s="42" t="inlineStr">
        <is>
          <t>buy deyga deep moisturising face cream online</t>
        </is>
      </c>
      <c r="B1743" s="42" t="inlineStr">
        <is>
          <t>Buy online</t>
        </is>
      </c>
      <c r="C1743" s="42" t="n">
        <v>3</v>
      </c>
      <c r="D1743" s="42" t="n">
        <v>18</v>
      </c>
      <c r="E1743" s="42" t="n">
        <v>1</v>
      </c>
      <c r="F1743" s="42" t="inlineStr">
        <is>
          <t>VD-086</t>
        </is>
      </c>
      <c r="G1743" s="55">
        <f>IFERROR(INDEX('Semrush Data'!$A$1:$Z$20000,MATCH(A1743,'Semrush Data'!$A$1:$A$20000,0),MATCH("Volume",'Semrush Data'!$A$1:$Z$1,0)),"")</f>
        <v/>
      </c>
      <c r="H1743" s="42">
        <f>IFERROR(INDEX('Semrush Data'!$A$1:$Z$20000,MATCH(A1743,'Semrush Data'!$A$1:$A$20000,0),MATCH("Keyword Difficulty*",'Semrush Data'!$A$1:$Z$1,0)),"")</f>
        <v/>
      </c>
      <c r="I1743" s="56">
        <f>IFERROR(INDEX('Semrush Data'!$A$1:$Z$20000,MATCH(A1743,'Semrush Data'!$A$1:$A$20000,0),MATCH("CPC*",'Semrush Data'!$A$1:$Z$1,0)),"")</f>
        <v/>
      </c>
      <c r="J1743" s="42">
        <f>IFERROR(INDEX('Semrush Data'!$A$1:$Z$20000,MATCH(A1743,'Semrush Data'!$A$1:$A$20000,0),MATCH("Intent",'Semrush Data'!$A$1:$Z$1,0)),"")</f>
        <v/>
      </c>
    </row>
    <row r="1744" ht="15" customHeight="1" s="37">
      <c r="A1744" s="42" t="inlineStr">
        <is>
          <t>buy deyga double hydration kit online</t>
        </is>
      </c>
      <c r="B1744" s="42" t="inlineStr">
        <is>
          <t>Buy online</t>
        </is>
      </c>
      <c r="C1744" s="42" t="n">
        <v>3</v>
      </c>
      <c r="D1744" s="42" t="n">
        <v>18</v>
      </c>
      <c r="E1744" s="42" t="n">
        <v>1</v>
      </c>
      <c r="F1744" s="42" t="inlineStr">
        <is>
          <t>VD-155</t>
        </is>
      </c>
      <c r="G1744" s="55">
        <f>IFERROR(INDEX('Semrush Data'!$A$1:$Z$20000,MATCH(A1744,'Semrush Data'!$A$1:$A$20000,0),MATCH("Volume",'Semrush Data'!$A$1:$Z$1,0)),"")</f>
        <v/>
      </c>
      <c r="H1744" s="42">
        <f>IFERROR(INDEX('Semrush Data'!$A$1:$Z$20000,MATCH(A1744,'Semrush Data'!$A$1:$A$20000,0),MATCH("Keyword Difficulty*",'Semrush Data'!$A$1:$Z$1,0)),"")</f>
        <v/>
      </c>
      <c r="I1744" s="56">
        <f>IFERROR(INDEX('Semrush Data'!$A$1:$Z$20000,MATCH(A1744,'Semrush Data'!$A$1:$A$20000,0),MATCH("CPC*",'Semrush Data'!$A$1:$Z$1,0)),"")</f>
        <v/>
      </c>
      <c r="J1744" s="42">
        <f>IFERROR(INDEX('Semrush Data'!$A$1:$Z$20000,MATCH(A1744,'Semrush Data'!$A$1:$A$20000,0),MATCH("Intent",'Semrush Data'!$A$1:$Z$1,0)),"")</f>
        <v/>
      </c>
    </row>
    <row r="1745" ht="15" customHeight="1" s="37">
      <c r="A1745" s="42" t="inlineStr">
        <is>
          <t>buy deyga eyebrow growth oil online</t>
        </is>
      </c>
      <c r="B1745" s="42" t="inlineStr">
        <is>
          <t>Buy online</t>
        </is>
      </c>
      <c r="C1745" s="42" t="n">
        <v>3</v>
      </c>
      <c r="D1745" s="42" t="n">
        <v>18</v>
      </c>
      <c r="E1745" s="42" t="n">
        <v>1</v>
      </c>
      <c r="F1745" s="42" t="inlineStr">
        <is>
          <t>VD-104</t>
        </is>
      </c>
      <c r="G1745" s="55">
        <f>IFERROR(INDEX('Semrush Data'!$A$1:$Z$20000,MATCH(A1745,'Semrush Data'!$A$1:$A$20000,0),MATCH("Volume",'Semrush Data'!$A$1:$Z$1,0)),"")</f>
        <v/>
      </c>
      <c r="H1745" s="42">
        <f>IFERROR(INDEX('Semrush Data'!$A$1:$Z$20000,MATCH(A1745,'Semrush Data'!$A$1:$A$20000,0),MATCH("Keyword Difficulty*",'Semrush Data'!$A$1:$Z$1,0)),"")</f>
        <v/>
      </c>
      <c r="I1745" s="56">
        <f>IFERROR(INDEX('Semrush Data'!$A$1:$Z$20000,MATCH(A1745,'Semrush Data'!$A$1:$A$20000,0),MATCH("CPC*",'Semrush Data'!$A$1:$Z$1,0)),"")</f>
        <v/>
      </c>
      <c r="J1745" s="42">
        <f>IFERROR(INDEX('Semrush Data'!$A$1:$Z$20000,MATCH(A1745,'Semrush Data'!$A$1:$A$20000,0),MATCH("Intent",'Semrush Data'!$A$1:$Z$1,0)),"")</f>
        <v/>
      </c>
    </row>
    <row r="1746" ht="15" customHeight="1" s="37">
      <c r="A1746" s="42" t="inlineStr">
        <is>
          <t>buy deyga face &amp; body exfoliator powder online</t>
        </is>
      </c>
      <c r="B1746" s="42" t="inlineStr">
        <is>
          <t>Buy online</t>
        </is>
      </c>
      <c r="C1746" s="42" t="n">
        <v>3</v>
      </c>
      <c r="D1746" s="42" t="n">
        <v>18</v>
      </c>
      <c r="E1746" s="42" t="n">
        <v>1</v>
      </c>
      <c r="F1746" s="42" t="inlineStr">
        <is>
          <t>VD-118</t>
        </is>
      </c>
      <c r="G1746" s="55">
        <f>IFERROR(INDEX('Semrush Data'!$A$1:$Z$20000,MATCH(A1746,'Semrush Data'!$A$1:$A$20000,0),MATCH("Volume",'Semrush Data'!$A$1:$Z$1,0)),"")</f>
        <v/>
      </c>
      <c r="H1746" s="42">
        <f>IFERROR(INDEX('Semrush Data'!$A$1:$Z$20000,MATCH(A1746,'Semrush Data'!$A$1:$A$20000,0),MATCH("Keyword Difficulty*",'Semrush Data'!$A$1:$Z$1,0)),"")</f>
        <v/>
      </c>
      <c r="I1746" s="56">
        <f>IFERROR(INDEX('Semrush Data'!$A$1:$Z$20000,MATCH(A1746,'Semrush Data'!$A$1:$A$20000,0),MATCH("CPC*",'Semrush Data'!$A$1:$Z$1,0)),"")</f>
        <v/>
      </c>
      <c r="J1746" s="42">
        <f>IFERROR(INDEX('Semrush Data'!$A$1:$Z$20000,MATCH(A1746,'Semrush Data'!$A$1:$A$20000,0),MATCH("Intent",'Semrush Data'!$A$1:$Z$1,0)),"")</f>
        <v/>
      </c>
    </row>
    <row r="1747" ht="15" customHeight="1" s="37">
      <c r="A1747" s="42" t="inlineStr">
        <is>
          <t>buy deyga foot butter online</t>
        </is>
      </c>
      <c r="B1747" s="42" t="inlineStr">
        <is>
          <t>Buy online</t>
        </is>
      </c>
      <c r="C1747" s="42" t="n">
        <v>3</v>
      </c>
      <c r="D1747" s="42" t="n">
        <v>18</v>
      </c>
      <c r="E1747" s="42" t="n">
        <v>1</v>
      </c>
      <c r="F1747" s="42" t="inlineStr">
        <is>
          <t>VD-128</t>
        </is>
      </c>
      <c r="G1747" s="55">
        <f>IFERROR(INDEX('Semrush Data'!$A$1:$Z$20000,MATCH(A1747,'Semrush Data'!$A$1:$A$20000,0),MATCH("Volume",'Semrush Data'!$A$1:$Z$1,0)),"")</f>
        <v/>
      </c>
      <c r="H1747" s="42">
        <f>IFERROR(INDEX('Semrush Data'!$A$1:$Z$20000,MATCH(A1747,'Semrush Data'!$A$1:$A$20000,0),MATCH("Keyword Difficulty*",'Semrush Data'!$A$1:$Z$1,0)),"")</f>
        <v/>
      </c>
      <c r="I1747" s="56">
        <f>IFERROR(INDEX('Semrush Data'!$A$1:$Z$20000,MATCH(A1747,'Semrush Data'!$A$1:$A$20000,0),MATCH("CPC*",'Semrush Data'!$A$1:$Z$1,0)),"")</f>
        <v/>
      </c>
      <c r="J1747" s="42">
        <f>IFERROR(INDEX('Semrush Data'!$A$1:$Z$20000,MATCH(A1747,'Semrush Data'!$A$1:$A$20000,0),MATCH("Intent",'Semrush Data'!$A$1:$Z$1,0)),"")</f>
        <v/>
      </c>
    </row>
    <row r="1748" ht="15" customHeight="1" s="37">
      <c r="A1748" s="42" t="inlineStr">
        <is>
          <t>buy deyga foot scrub online</t>
        </is>
      </c>
      <c r="B1748" s="42" t="inlineStr">
        <is>
          <t>Buy online</t>
        </is>
      </c>
      <c r="C1748" s="42" t="n">
        <v>3</v>
      </c>
      <c r="D1748" s="42" t="n">
        <v>18</v>
      </c>
      <c r="E1748" s="42" t="n">
        <v>1</v>
      </c>
      <c r="F1748" s="42" t="inlineStr">
        <is>
          <t>VD-103</t>
        </is>
      </c>
      <c r="G1748" s="55">
        <f>IFERROR(INDEX('Semrush Data'!$A$1:$Z$20000,MATCH(A1748,'Semrush Data'!$A$1:$A$20000,0),MATCH("Volume",'Semrush Data'!$A$1:$Z$1,0)),"")</f>
        <v/>
      </c>
      <c r="H1748" s="42">
        <f>IFERROR(INDEX('Semrush Data'!$A$1:$Z$20000,MATCH(A1748,'Semrush Data'!$A$1:$A$20000,0),MATCH("Keyword Difficulty*",'Semrush Data'!$A$1:$Z$1,0)),"")</f>
        <v/>
      </c>
      <c r="I1748" s="56">
        <f>IFERROR(INDEX('Semrush Data'!$A$1:$Z$20000,MATCH(A1748,'Semrush Data'!$A$1:$A$20000,0),MATCH("CPC*",'Semrush Data'!$A$1:$Z$1,0)),"")</f>
        <v/>
      </c>
      <c r="J1748" s="42">
        <f>IFERROR(INDEX('Semrush Data'!$A$1:$Z$20000,MATCH(A1748,'Semrush Data'!$A$1:$A$20000,0),MATCH("Intent",'Semrush Data'!$A$1:$Z$1,0)),"")</f>
        <v/>
      </c>
    </row>
    <row r="1749" ht="15" customHeight="1" s="37">
      <c r="A1749" s="42" t="inlineStr">
        <is>
          <t>buy deyga foot soak powder online</t>
        </is>
      </c>
      <c r="B1749" s="42" t="inlineStr">
        <is>
          <t>Buy online</t>
        </is>
      </c>
      <c r="C1749" s="42" t="n">
        <v>3</v>
      </c>
      <c r="D1749" s="42" t="n">
        <v>18</v>
      </c>
      <c r="E1749" s="42" t="n">
        <v>1</v>
      </c>
      <c r="F1749" s="42" t="inlineStr">
        <is>
          <t>VD-094</t>
        </is>
      </c>
      <c r="G1749" s="55">
        <f>IFERROR(INDEX('Semrush Data'!$A$1:$Z$20000,MATCH(A1749,'Semrush Data'!$A$1:$A$20000,0),MATCH("Volume",'Semrush Data'!$A$1:$Z$1,0)),"")</f>
        <v/>
      </c>
      <c r="H1749" s="42">
        <f>IFERROR(INDEX('Semrush Data'!$A$1:$Z$20000,MATCH(A1749,'Semrush Data'!$A$1:$A$20000,0),MATCH("Keyword Difficulty*",'Semrush Data'!$A$1:$Z$1,0)),"")</f>
        <v/>
      </c>
      <c r="I1749" s="56">
        <f>IFERROR(INDEX('Semrush Data'!$A$1:$Z$20000,MATCH(A1749,'Semrush Data'!$A$1:$A$20000,0),MATCH("CPC*",'Semrush Data'!$A$1:$Z$1,0)),"")</f>
        <v/>
      </c>
      <c r="J1749" s="42">
        <f>IFERROR(INDEX('Semrush Data'!$A$1:$Z$20000,MATCH(A1749,'Semrush Data'!$A$1:$A$20000,0),MATCH("Intent",'Semrush Data'!$A$1:$Z$1,0)),"")</f>
        <v/>
      </c>
    </row>
    <row r="1750" ht="15" customHeight="1" s="37">
      <c r="A1750" s="42" t="inlineStr">
        <is>
          <t>buy deyga game changer face care kit online</t>
        </is>
      </c>
      <c r="B1750" s="42" t="inlineStr">
        <is>
          <t>Buy online</t>
        </is>
      </c>
      <c r="C1750" s="42" t="n">
        <v>3</v>
      </c>
      <c r="D1750" s="42" t="n">
        <v>18</v>
      </c>
      <c r="E1750" s="42" t="n">
        <v>1</v>
      </c>
      <c r="F1750" s="42" t="inlineStr">
        <is>
          <t>VD-158</t>
        </is>
      </c>
      <c r="G1750" s="55">
        <f>IFERROR(INDEX('Semrush Data'!$A$1:$Z$20000,MATCH(A1750,'Semrush Data'!$A$1:$A$20000,0),MATCH("Volume",'Semrush Data'!$A$1:$Z$1,0)),"")</f>
        <v/>
      </c>
      <c r="H1750" s="42">
        <f>IFERROR(INDEX('Semrush Data'!$A$1:$Z$20000,MATCH(A1750,'Semrush Data'!$A$1:$A$20000,0),MATCH("Keyword Difficulty*",'Semrush Data'!$A$1:$Z$1,0)),"")</f>
        <v/>
      </c>
      <c r="I1750" s="56">
        <f>IFERROR(INDEX('Semrush Data'!$A$1:$Z$20000,MATCH(A1750,'Semrush Data'!$A$1:$A$20000,0),MATCH("CPC*",'Semrush Data'!$A$1:$Z$1,0)),"")</f>
        <v/>
      </c>
      <c r="J1750" s="42">
        <f>IFERROR(INDEX('Semrush Data'!$A$1:$Z$20000,MATCH(A1750,'Semrush Data'!$A$1:$A$20000,0),MATCH("Intent",'Semrush Data'!$A$1:$Z$1,0)),"")</f>
        <v/>
      </c>
    </row>
    <row r="1751" ht="15" customHeight="1" s="37">
      <c r="A1751" s="42" t="inlineStr">
        <is>
          <t>buy deyga hair care kit online</t>
        </is>
      </c>
      <c r="B1751" s="42" t="inlineStr">
        <is>
          <t>Buy online</t>
        </is>
      </c>
      <c r="C1751" s="42" t="n">
        <v>3</v>
      </c>
      <c r="D1751" s="42" t="n">
        <v>18</v>
      </c>
      <c r="E1751" s="42" t="n">
        <v>1</v>
      </c>
      <c r="F1751" s="42" t="inlineStr">
        <is>
          <t>VD-151</t>
        </is>
      </c>
      <c r="G1751" s="55">
        <f>IFERROR(INDEX('Semrush Data'!$A$1:$Z$20000,MATCH(A1751,'Semrush Data'!$A$1:$A$20000,0),MATCH("Volume",'Semrush Data'!$A$1:$Z$1,0)),"")</f>
        <v/>
      </c>
      <c r="H1751" s="42">
        <f>IFERROR(INDEX('Semrush Data'!$A$1:$Z$20000,MATCH(A1751,'Semrush Data'!$A$1:$A$20000,0),MATCH("Keyword Difficulty*",'Semrush Data'!$A$1:$Z$1,0)),"")</f>
        <v/>
      </c>
      <c r="I1751" s="56">
        <f>IFERROR(INDEX('Semrush Data'!$A$1:$Z$20000,MATCH(A1751,'Semrush Data'!$A$1:$A$20000,0),MATCH("CPC*",'Semrush Data'!$A$1:$Z$1,0)),"")</f>
        <v/>
      </c>
      <c r="J1751" s="42">
        <f>IFERROR(INDEX('Semrush Data'!$A$1:$Z$20000,MATCH(A1751,'Semrush Data'!$A$1:$A$20000,0),MATCH("Intent",'Semrush Data'!$A$1:$Z$1,0)),"")</f>
        <v/>
      </c>
    </row>
    <row r="1752" ht="15" customHeight="1" s="37">
      <c r="A1752" s="42" t="inlineStr">
        <is>
          <t>buy deyga hair growth oil online</t>
        </is>
      </c>
      <c r="B1752" s="42" t="inlineStr">
        <is>
          <t>Buy online</t>
        </is>
      </c>
      <c r="C1752" s="42" t="n">
        <v>3</v>
      </c>
      <c r="D1752" s="42" t="n">
        <v>18</v>
      </c>
      <c r="E1752" s="42" t="n">
        <v>1</v>
      </c>
      <c r="F1752" s="42" t="inlineStr">
        <is>
          <t>VD-122</t>
        </is>
      </c>
      <c r="G1752" s="55">
        <f>IFERROR(INDEX('Semrush Data'!$A$1:$Z$20000,MATCH(A1752,'Semrush Data'!$A$1:$A$20000,0),MATCH("Volume",'Semrush Data'!$A$1:$Z$1,0)),"")</f>
        <v/>
      </c>
      <c r="H1752" s="42">
        <f>IFERROR(INDEX('Semrush Data'!$A$1:$Z$20000,MATCH(A1752,'Semrush Data'!$A$1:$A$20000,0),MATCH("Keyword Difficulty*",'Semrush Data'!$A$1:$Z$1,0)),"")</f>
        <v/>
      </c>
      <c r="I1752" s="56">
        <f>IFERROR(INDEX('Semrush Data'!$A$1:$Z$20000,MATCH(A1752,'Semrush Data'!$A$1:$A$20000,0),MATCH("CPC*",'Semrush Data'!$A$1:$Z$1,0)),"")</f>
        <v/>
      </c>
      <c r="J1752" s="42">
        <f>IFERROR(INDEX('Semrush Data'!$A$1:$Z$20000,MATCH(A1752,'Semrush Data'!$A$1:$A$20000,0),MATCH("Intent",'Semrush Data'!$A$1:$Z$1,0)),"")</f>
        <v/>
      </c>
    </row>
    <row r="1753" ht="15" customHeight="1" s="37">
      <c r="A1753" s="42" t="inlineStr">
        <is>
          <t>buy deyga hair nourishment kit online</t>
        </is>
      </c>
      <c r="B1753" s="42" t="inlineStr">
        <is>
          <t>Buy online</t>
        </is>
      </c>
      <c r="C1753" s="42" t="n">
        <v>3</v>
      </c>
      <c r="D1753" s="42" t="n">
        <v>18</v>
      </c>
      <c r="E1753" s="42" t="n">
        <v>1</v>
      </c>
      <c r="F1753" s="42" t="inlineStr">
        <is>
          <t>VD-147</t>
        </is>
      </c>
      <c r="G1753" s="55">
        <f>IFERROR(INDEX('Semrush Data'!$A$1:$Z$20000,MATCH(A1753,'Semrush Data'!$A$1:$A$20000,0),MATCH("Volume",'Semrush Data'!$A$1:$Z$1,0)),"")</f>
        <v/>
      </c>
      <c r="H1753" s="42">
        <f>IFERROR(INDEX('Semrush Data'!$A$1:$Z$20000,MATCH(A1753,'Semrush Data'!$A$1:$A$20000,0),MATCH("Keyword Difficulty*",'Semrush Data'!$A$1:$Z$1,0)),"")</f>
        <v/>
      </c>
      <c r="I1753" s="56">
        <f>IFERROR(INDEX('Semrush Data'!$A$1:$Z$20000,MATCH(A1753,'Semrush Data'!$A$1:$A$20000,0),MATCH("CPC*",'Semrush Data'!$A$1:$Z$1,0)),"")</f>
        <v/>
      </c>
      <c r="J1753" s="42">
        <f>IFERROR(INDEX('Semrush Data'!$A$1:$Z$20000,MATCH(A1753,'Semrush Data'!$A$1:$A$20000,0),MATCH("Intent",'Semrush Data'!$A$1:$Z$1,0)),"")</f>
        <v/>
      </c>
    </row>
    <row r="1754" ht="15" customHeight="1" s="37">
      <c r="A1754" s="42" t="inlineStr">
        <is>
          <t>buy deyga hair removal powder online</t>
        </is>
      </c>
      <c r="B1754" s="42" t="inlineStr">
        <is>
          <t>Buy online</t>
        </is>
      </c>
      <c r="C1754" s="42" t="n">
        <v>3</v>
      </c>
      <c r="D1754" s="42" t="n">
        <v>18</v>
      </c>
      <c r="E1754" s="42" t="n">
        <v>1</v>
      </c>
      <c r="F1754" s="42" t="inlineStr">
        <is>
          <t>VD-112</t>
        </is>
      </c>
      <c r="G1754" s="55">
        <f>IFERROR(INDEX('Semrush Data'!$A$1:$Z$20000,MATCH(A1754,'Semrush Data'!$A$1:$A$20000,0),MATCH("Volume",'Semrush Data'!$A$1:$Z$1,0)),"")</f>
        <v/>
      </c>
      <c r="H1754" s="42">
        <f>IFERROR(INDEX('Semrush Data'!$A$1:$Z$20000,MATCH(A1754,'Semrush Data'!$A$1:$A$20000,0),MATCH("Keyword Difficulty*",'Semrush Data'!$A$1:$Z$1,0)),"")</f>
        <v/>
      </c>
      <c r="I1754" s="56">
        <f>IFERROR(INDEX('Semrush Data'!$A$1:$Z$20000,MATCH(A1754,'Semrush Data'!$A$1:$A$20000,0),MATCH("CPC*",'Semrush Data'!$A$1:$Z$1,0)),"")</f>
        <v/>
      </c>
      <c r="J1754" s="42">
        <f>IFERROR(INDEX('Semrush Data'!$A$1:$Z$20000,MATCH(A1754,'Semrush Data'!$A$1:$A$20000,0),MATCH("Intent",'Semrush Data'!$A$1:$Z$1,0)),"")</f>
        <v/>
      </c>
    </row>
    <row r="1755" ht="15" customHeight="1" s="37">
      <c r="A1755" s="42" t="inlineStr">
        <is>
          <t>buy deyga hair strengthening kit online</t>
        </is>
      </c>
      <c r="B1755" s="42" t="inlineStr">
        <is>
          <t>Buy online</t>
        </is>
      </c>
      <c r="C1755" s="42" t="n">
        <v>3</v>
      </c>
      <c r="D1755" s="42" t="n">
        <v>18</v>
      </c>
      <c r="E1755" s="42" t="n">
        <v>1</v>
      </c>
      <c r="F1755" s="42" t="inlineStr">
        <is>
          <t>VD-152</t>
        </is>
      </c>
      <c r="G1755" s="55">
        <f>IFERROR(INDEX('Semrush Data'!$A$1:$Z$20000,MATCH(A1755,'Semrush Data'!$A$1:$A$20000,0),MATCH("Volume",'Semrush Data'!$A$1:$Z$1,0)),"")</f>
        <v/>
      </c>
      <c r="H1755" s="42">
        <f>IFERROR(INDEX('Semrush Data'!$A$1:$Z$20000,MATCH(A1755,'Semrush Data'!$A$1:$A$20000,0),MATCH("Keyword Difficulty*",'Semrush Data'!$A$1:$Z$1,0)),"")</f>
        <v/>
      </c>
      <c r="I1755" s="56">
        <f>IFERROR(INDEX('Semrush Data'!$A$1:$Z$20000,MATCH(A1755,'Semrush Data'!$A$1:$A$20000,0),MATCH("CPC*",'Semrush Data'!$A$1:$Z$1,0)),"")</f>
        <v/>
      </c>
      <c r="J1755" s="42">
        <f>IFERROR(INDEX('Semrush Data'!$A$1:$Z$20000,MATCH(A1755,'Semrush Data'!$A$1:$A$20000,0),MATCH("Intent",'Semrush Data'!$A$1:$Z$1,0)),"")</f>
        <v/>
      </c>
    </row>
    <row r="1756" ht="15" customHeight="1" s="37">
      <c r="A1756" s="42" t="inlineStr">
        <is>
          <t>buy deyga healthy glow kit online</t>
        </is>
      </c>
      <c r="B1756" s="42" t="inlineStr">
        <is>
          <t>Buy online</t>
        </is>
      </c>
      <c r="C1756" s="42" t="n">
        <v>3</v>
      </c>
      <c r="D1756" s="42" t="n">
        <v>18</v>
      </c>
      <c r="E1756" s="42" t="n">
        <v>1</v>
      </c>
      <c r="F1756" s="42" t="inlineStr">
        <is>
          <t>VD-146</t>
        </is>
      </c>
      <c r="G1756" s="55">
        <f>IFERROR(INDEX('Semrush Data'!$A$1:$Z$20000,MATCH(A1756,'Semrush Data'!$A$1:$A$20000,0),MATCH("Volume",'Semrush Data'!$A$1:$Z$1,0)),"")</f>
        <v/>
      </c>
      <c r="H1756" s="42">
        <f>IFERROR(INDEX('Semrush Data'!$A$1:$Z$20000,MATCH(A1756,'Semrush Data'!$A$1:$A$20000,0),MATCH("Keyword Difficulty*",'Semrush Data'!$A$1:$Z$1,0)),"")</f>
        <v/>
      </c>
      <c r="I1756" s="56">
        <f>IFERROR(INDEX('Semrush Data'!$A$1:$Z$20000,MATCH(A1756,'Semrush Data'!$A$1:$A$20000,0),MATCH("CPC*",'Semrush Data'!$A$1:$Z$1,0)),"")</f>
        <v/>
      </c>
      <c r="J1756" s="42">
        <f>IFERROR(INDEX('Semrush Data'!$A$1:$Z$20000,MATCH(A1756,'Semrush Data'!$A$1:$A$20000,0),MATCH("Intent",'Semrush Data'!$A$1:$Z$1,0)),"")</f>
        <v/>
      </c>
    </row>
    <row r="1757" ht="15" customHeight="1" s="37">
      <c r="A1757" s="42" t="inlineStr">
        <is>
          <t>buy deyga hydro boosting skin care kit online</t>
        </is>
      </c>
      <c r="B1757" s="42" t="inlineStr">
        <is>
          <t>Buy online</t>
        </is>
      </c>
      <c r="C1757" s="42" t="n">
        <v>3</v>
      </c>
      <c r="D1757" s="42" t="n">
        <v>18</v>
      </c>
      <c r="E1757" s="42" t="n">
        <v>1</v>
      </c>
      <c r="F1757" s="42" t="inlineStr">
        <is>
          <t>VD-150</t>
        </is>
      </c>
      <c r="G1757" s="55">
        <f>IFERROR(INDEX('Semrush Data'!$A$1:$Z$20000,MATCH(A1757,'Semrush Data'!$A$1:$A$20000,0),MATCH("Volume",'Semrush Data'!$A$1:$Z$1,0)),"")</f>
        <v/>
      </c>
      <c r="H1757" s="42">
        <f>IFERROR(INDEX('Semrush Data'!$A$1:$Z$20000,MATCH(A1757,'Semrush Data'!$A$1:$A$20000,0),MATCH("Keyword Difficulty*",'Semrush Data'!$A$1:$Z$1,0)),"")</f>
        <v/>
      </c>
      <c r="I1757" s="56">
        <f>IFERROR(INDEX('Semrush Data'!$A$1:$Z$20000,MATCH(A1757,'Semrush Data'!$A$1:$A$20000,0),MATCH("CPC*",'Semrush Data'!$A$1:$Z$1,0)),"")</f>
        <v/>
      </c>
      <c r="J1757" s="42">
        <f>IFERROR(INDEX('Semrush Data'!$A$1:$Z$20000,MATCH(A1757,'Semrush Data'!$A$1:$A$20000,0),MATCH("Intent",'Semrush Data'!$A$1:$Z$1,0)),"")</f>
        <v/>
      </c>
    </row>
    <row r="1758" ht="15" customHeight="1" s="37">
      <c r="A1758" s="42" t="inlineStr">
        <is>
          <t>buy deyga instant hair removal kit online</t>
        </is>
      </c>
      <c r="B1758" s="42" t="inlineStr">
        <is>
          <t>Buy online</t>
        </is>
      </c>
      <c r="C1758" s="42" t="n">
        <v>3</v>
      </c>
      <c r="D1758" s="42" t="n">
        <v>18</v>
      </c>
      <c r="E1758" s="42" t="n">
        <v>1</v>
      </c>
      <c r="F1758" s="42" t="inlineStr">
        <is>
          <t>VD-144</t>
        </is>
      </c>
      <c r="G1758" s="55">
        <f>IFERROR(INDEX('Semrush Data'!$A$1:$Z$20000,MATCH(A1758,'Semrush Data'!$A$1:$A$20000,0),MATCH("Volume",'Semrush Data'!$A$1:$Z$1,0)),"")</f>
        <v/>
      </c>
      <c r="H1758" s="42">
        <f>IFERROR(INDEX('Semrush Data'!$A$1:$Z$20000,MATCH(A1758,'Semrush Data'!$A$1:$A$20000,0),MATCH("Keyword Difficulty*",'Semrush Data'!$A$1:$Z$1,0)),"")</f>
        <v/>
      </c>
      <c r="I1758" s="56">
        <f>IFERROR(INDEX('Semrush Data'!$A$1:$Z$20000,MATCH(A1758,'Semrush Data'!$A$1:$A$20000,0),MATCH("CPC*",'Semrush Data'!$A$1:$Z$1,0)),"")</f>
        <v/>
      </c>
      <c r="J1758" s="42">
        <f>IFERROR(INDEX('Semrush Data'!$A$1:$Z$20000,MATCH(A1758,'Semrush Data'!$A$1:$A$20000,0),MATCH("Intent",'Semrush Data'!$A$1:$Z$1,0)),"")</f>
        <v/>
      </c>
    </row>
    <row r="1759" ht="15" customHeight="1" s="37">
      <c r="A1759" s="42" t="inlineStr">
        <is>
          <t>buy deyga instant hair removal kit with toner online</t>
        </is>
      </c>
      <c r="B1759" s="42" t="inlineStr">
        <is>
          <t>Buy online</t>
        </is>
      </c>
      <c r="C1759" s="42" t="n">
        <v>3</v>
      </c>
      <c r="D1759" s="42" t="n">
        <v>18</v>
      </c>
      <c r="E1759" s="42" t="n">
        <v>1</v>
      </c>
      <c r="F1759" s="42" t="inlineStr">
        <is>
          <t>VD-145</t>
        </is>
      </c>
      <c r="G1759" s="55">
        <f>IFERROR(INDEX('Semrush Data'!$A$1:$Z$20000,MATCH(A1759,'Semrush Data'!$A$1:$A$20000,0),MATCH("Volume",'Semrush Data'!$A$1:$Z$1,0)),"")</f>
        <v/>
      </c>
      <c r="H1759" s="42">
        <f>IFERROR(INDEX('Semrush Data'!$A$1:$Z$20000,MATCH(A1759,'Semrush Data'!$A$1:$A$20000,0),MATCH("Keyword Difficulty*",'Semrush Data'!$A$1:$Z$1,0)),"")</f>
        <v/>
      </c>
      <c r="I1759" s="56">
        <f>IFERROR(INDEX('Semrush Data'!$A$1:$Z$20000,MATCH(A1759,'Semrush Data'!$A$1:$A$20000,0),MATCH("CPC*",'Semrush Data'!$A$1:$Z$1,0)),"")</f>
        <v/>
      </c>
      <c r="J1759" s="42">
        <f>IFERROR(INDEX('Semrush Data'!$A$1:$Z$20000,MATCH(A1759,'Semrush Data'!$A$1:$A$20000,0),MATCH("Intent",'Semrush Data'!$A$1:$Z$1,0)),"")</f>
        <v/>
      </c>
    </row>
    <row r="1760" ht="15" customHeight="1" s="37">
      <c r="A1760" s="42" t="inlineStr">
        <is>
          <t>buy deyga light moisturising face cream online</t>
        </is>
      </c>
      <c r="B1760" s="42" t="inlineStr">
        <is>
          <t>Buy online</t>
        </is>
      </c>
      <c r="C1760" s="42" t="n">
        <v>3</v>
      </c>
      <c r="D1760" s="42" t="n">
        <v>18</v>
      </c>
      <c r="E1760" s="42" t="n">
        <v>1</v>
      </c>
      <c r="F1760" s="42" t="inlineStr">
        <is>
          <t>VD-093</t>
        </is>
      </c>
      <c r="G1760" s="55">
        <f>IFERROR(INDEX('Semrush Data'!$A$1:$Z$20000,MATCH(A1760,'Semrush Data'!$A$1:$A$20000,0),MATCH("Volume",'Semrush Data'!$A$1:$Z$1,0)),"")</f>
        <v/>
      </c>
      <c r="H1760" s="42">
        <f>IFERROR(INDEX('Semrush Data'!$A$1:$Z$20000,MATCH(A1760,'Semrush Data'!$A$1:$A$20000,0),MATCH("Keyword Difficulty*",'Semrush Data'!$A$1:$Z$1,0)),"")</f>
        <v/>
      </c>
      <c r="I1760" s="56">
        <f>IFERROR(INDEX('Semrush Data'!$A$1:$Z$20000,MATCH(A1760,'Semrush Data'!$A$1:$A$20000,0),MATCH("CPC*",'Semrush Data'!$A$1:$Z$1,0)),"")</f>
        <v/>
      </c>
      <c r="J1760" s="42">
        <f>IFERROR(INDEX('Semrush Data'!$A$1:$Z$20000,MATCH(A1760,'Semrush Data'!$A$1:$A$20000,0),MATCH("Intent",'Semrush Data'!$A$1:$Z$1,0)),"")</f>
        <v/>
      </c>
    </row>
    <row r="1761" ht="15" customHeight="1" s="37">
      <c r="A1761" s="42" t="inlineStr">
        <is>
          <t>buy deyga mini foot spa combo online</t>
        </is>
      </c>
      <c r="B1761" s="42" t="inlineStr">
        <is>
          <t>Buy online</t>
        </is>
      </c>
      <c r="C1761" s="42" t="n">
        <v>3</v>
      </c>
      <c r="D1761" s="42" t="n">
        <v>18</v>
      </c>
      <c r="E1761" s="42" t="n">
        <v>1</v>
      </c>
      <c r="F1761" s="42" t="inlineStr">
        <is>
          <t>VD-140</t>
        </is>
      </c>
      <c r="G1761" s="55">
        <f>IFERROR(INDEX('Semrush Data'!$A$1:$Z$20000,MATCH(A1761,'Semrush Data'!$A$1:$A$20000,0),MATCH("Volume",'Semrush Data'!$A$1:$Z$1,0)),"")</f>
        <v/>
      </c>
      <c r="H1761" s="42">
        <f>IFERROR(INDEX('Semrush Data'!$A$1:$Z$20000,MATCH(A1761,'Semrush Data'!$A$1:$A$20000,0),MATCH("Keyword Difficulty*",'Semrush Data'!$A$1:$Z$1,0)),"")</f>
        <v/>
      </c>
      <c r="I1761" s="56">
        <f>IFERROR(INDEX('Semrush Data'!$A$1:$Z$20000,MATCH(A1761,'Semrush Data'!$A$1:$A$20000,0),MATCH("CPC*",'Semrush Data'!$A$1:$Z$1,0)),"")</f>
        <v/>
      </c>
      <c r="J1761" s="42">
        <f>IFERROR(INDEX('Semrush Data'!$A$1:$Z$20000,MATCH(A1761,'Semrush Data'!$A$1:$A$20000,0),MATCH("Intent",'Semrush Data'!$A$1:$Z$1,0)),"")</f>
        <v/>
      </c>
    </row>
    <row r="1762" ht="15" customHeight="1" s="37">
      <c r="A1762" s="42" t="inlineStr">
        <is>
          <t>buy deyga mint lip scrub online</t>
        </is>
      </c>
      <c r="B1762" s="42" t="inlineStr">
        <is>
          <t>Buy online</t>
        </is>
      </c>
      <c r="C1762" s="42" t="n">
        <v>3</v>
      </c>
      <c r="D1762" s="42" t="n">
        <v>18</v>
      </c>
      <c r="E1762" s="42" t="n">
        <v>1</v>
      </c>
      <c r="F1762" s="42" t="inlineStr">
        <is>
          <t>VD-111</t>
        </is>
      </c>
      <c r="G1762" s="55">
        <f>IFERROR(INDEX('Semrush Data'!$A$1:$Z$20000,MATCH(A1762,'Semrush Data'!$A$1:$A$20000,0),MATCH("Volume",'Semrush Data'!$A$1:$Z$1,0)),"")</f>
        <v/>
      </c>
      <c r="H1762" s="42">
        <f>IFERROR(INDEX('Semrush Data'!$A$1:$Z$20000,MATCH(A1762,'Semrush Data'!$A$1:$A$20000,0),MATCH("Keyword Difficulty*",'Semrush Data'!$A$1:$Z$1,0)),"")</f>
        <v/>
      </c>
      <c r="I1762" s="56">
        <f>IFERROR(INDEX('Semrush Data'!$A$1:$Z$20000,MATCH(A1762,'Semrush Data'!$A$1:$A$20000,0),MATCH("CPC*",'Semrush Data'!$A$1:$Z$1,0)),"")</f>
        <v/>
      </c>
      <c r="J1762" s="42">
        <f>IFERROR(INDEX('Semrush Data'!$A$1:$Z$20000,MATCH(A1762,'Semrush Data'!$A$1:$A$20000,0),MATCH("Intent",'Semrush Data'!$A$1:$Z$1,0)),"")</f>
        <v/>
      </c>
    </row>
    <row r="1763" ht="15" customHeight="1" s="37">
      <c r="A1763" s="42" t="inlineStr">
        <is>
          <t>buy deyga natural hair care kit online</t>
        </is>
      </c>
      <c r="B1763" s="42" t="inlineStr">
        <is>
          <t>Buy online</t>
        </is>
      </c>
      <c r="C1763" s="42" t="n">
        <v>3</v>
      </c>
      <c r="D1763" s="42" t="n">
        <v>18</v>
      </c>
      <c r="E1763" s="42" t="n">
        <v>1</v>
      </c>
      <c r="F1763" s="42" t="inlineStr">
        <is>
          <t>VD-154</t>
        </is>
      </c>
      <c r="G1763" s="55">
        <f>IFERROR(INDEX('Semrush Data'!$A$1:$Z$20000,MATCH(A1763,'Semrush Data'!$A$1:$A$20000,0),MATCH("Volume",'Semrush Data'!$A$1:$Z$1,0)),"")</f>
        <v/>
      </c>
      <c r="H1763" s="42">
        <f>IFERROR(INDEX('Semrush Data'!$A$1:$Z$20000,MATCH(A1763,'Semrush Data'!$A$1:$A$20000,0),MATCH("Keyword Difficulty*",'Semrush Data'!$A$1:$Z$1,0)),"")</f>
        <v/>
      </c>
      <c r="I1763" s="56">
        <f>IFERROR(INDEX('Semrush Data'!$A$1:$Z$20000,MATCH(A1763,'Semrush Data'!$A$1:$A$20000,0),MATCH("CPC*",'Semrush Data'!$A$1:$Z$1,0)),"")</f>
        <v/>
      </c>
      <c r="J1763" s="42">
        <f>IFERROR(INDEX('Semrush Data'!$A$1:$Z$20000,MATCH(A1763,'Semrush Data'!$A$1:$A$20000,0),MATCH("Intent",'Semrush Data'!$A$1:$Z$1,0)),"")</f>
        <v/>
      </c>
    </row>
    <row r="1764" ht="15" customHeight="1" s="37">
      <c r="A1764" s="42" t="inlineStr">
        <is>
          <t>buy deyga natural lip balm online</t>
        </is>
      </c>
      <c r="B1764" s="42" t="inlineStr">
        <is>
          <t>Buy online</t>
        </is>
      </c>
      <c r="C1764" s="42" t="n">
        <v>3</v>
      </c>
      <c r="D1764" s="42" t="n">
        <v>18</v>
      </c>
      <c r="E1764" s="42" t="n">
        <v>1</v>
      </c>
      <c r="F1764" s="42" t="inlineStr">
        <is>
          <t>VD-106</t>
        </is>
      </c>
      <c r="G1764" s="55">
        <f>IFERROR(INDEX('Semrush Data'!$A$1:$Z$20000,MATCH(A1764,'Semrush Data'!$A$1:$A$20000,0),MATCH("Volume",'Semrush Data'!$A$1:$Z$1,0)),"")</f>
        <v/>
      </c>
      <c r="H1764" s="42">
        <f>IFERROR(INDEX('Semrush Data'!$A$1:$Z$20000,MATCH(A1764,'Semrush Data'!$A$1:$A$20000,0),MATCH("Keyword Difficulty*",'Semrush Data'!$A$1:$Z$1,0)),"")</f>
        <v/>
      </c>
      <c r="I1764" s="56">
        <f>IFERROR(INDEX('Semrush Data'!$A$1:$Z$20000,MATCH(A1764,'Semrush Data'!$A$1:$A$20000,0),MATCH("CPC*",'Semrush Data'!$A$1:$Z$1,0)),"")</f>
        <v/>
      </c>
      <c r="J1764" s="42">
        <f>IFERROR(INDEX('Semrush Data'!$A$1:$Z$20000,MATCH(A1764,'Semrush Data'!$A$1:$A$20000,0),MATCH("Intent",'Semrush Data'!$A$1:$Z$1,0)),"")</f>
        <v/>
      </c>
    </row>
    <row r="1765" ht="15" customHeight="1" s="37">
      <c r="A1765" s="42" t="inlineStr">
        <is>
          <t>buy deyga natural loose setting powder online</t>
        </is>
      </c>
      <c r="B1765" s="42" t="inlineStr">
        <is>
          <t>Buy online</t>
        </is>
      </c>
      <c r="C1765" s="42" t="n">
        <v>3</v>
      </c>
      <c r="D1765" s="42" t="n">
        <v>18</v>
      </c>
      <c r="E1765" s="42" t="n">
        <v>1</v>
      </c>
      <c r="F1765" s="42" t="inlineStr">
        <is>
          <t>VD-135</t>
        </is>
      </c>
      <c r="G1765" s="55">
        <f>IFERROR(INDEX('Semrush Data'!$A$1:$Z$20000,MATCH(A1765,'Semrush Data'!$A$1:$A$20000,0),MATCH("Volume",'Semrush Data'!$A$1:$Z$1,0)),"")</f>
        <v/>
      </c>
      <c r="H1765" s="42">
        <f>IFERROR(INDEX('Semrush Data'!$A$1:$Z$20000,MATCH(A1765,'Semrush Data'!$A$1:$A$20000,0),MATCH("Keyword Difficulty*",'Semrush Data'!$A$1:$Z$1,0)),"")</f>
        <v/>
      </c>
      <c r="I1765" s="56">
        <f>IFERROR(INDEX('Semrush Data'!$A$1:$Z$20000,MATCH(A1765,'Semrush Data'!$A$1:$A$20000,0),MATCH("CPC*",'Semrush Data'!$A$1:$Z$1,0)),"")</f>
        <v/>
      </c>
      <c r="J1765" s="42">
        <f>IFERROR(INDEX('Semrush Data'!$A$1:$Z$20000,MATCH(A1765,'Semrush Data'!$A$1:$A$20000,0),MATCH("Intent",'Semrush Data'!$A$1:$Z$1,0)),"")</f>
        <v/>
      </c>
    </row>
    <row r="1766" ht="15" customHeight="1" s="37">
      <c r="A1766" s="42" t="inlineStr">
        <is>
          <t>buy deyga neem &amp; turmeric bath bar online</t>
        </is>
      </c>
      <c r="B1766" s="42" t="inlineStr">
        <is>
          <t>Buy online</t>
        </is>
      </c>
      <c r="C1766" s="42" t="n">
        <v>3</v>
      </c>
      <c r="D1766" s="42" t="n">
        <v>18</v>
      </c>
      <c r="E1766" s="42" t="n">
        <v>1</v>
      </c>
      <c r="F1766" s="42" t="inlineStr">
        <is>
          <t>VD-110</t>
        </is>
      </c>
      <c r="G1766" s="55">
        <f>IFERROR(INDEX('Semrush Data'!$A$1:$Z$20000,MATCH(A1766,'Semrush Data'!$A$1:$A$20000,0),MATCH("Volume",'Semrush Data'!$A$1:$Z$1,0)),"")</f>
        <v/>
      </c>
      <c r="H1766" s="42">
        <f>IFERROR(INDEX('Semrush Data'!$A$1:$Z$20000,MATCH(A1766,'Semrush Data'!$A$1:$A$20000,0),MATCH("Keyword Difficulty*",'Semrush Data'!$A$1:$Z$1,0)),"")</f>
        <v/>
      </c>
      <c r="I1766" s="56">
        <f>IFERROR(INDEX('Semrush Data'!$A$1:$Z$20000,MATCH(A1766,'Semrush Data'!$A$1:$A$20000,0),MATCH("CPC*",'Semrush Data'!$A$1:$Z$1,0)),"")</f>
        <v/>
      </c>
      <c r="J1766" s="42">
        <f>IFERROR(INDEX('Semrush Data'!$A$1:$Z$20000,MATCH(A1766,'Semrush Data'!$A$1:$A$20000,0),MATCH("Intent",'Semrush Data'!$A$1:$Z$1,0)),"")</f>
        <v/>
      </c>
    </row>
    <row r="1767" ht="15" customHeight="1" s="37">
      <c r="A1767" s="42" t="inlineStr">
        <is>
          <t>buy deyga neem seed oil online</t>
        </is>
      </c>
      <c r="B1767" s="42" t="inlineStr">
        <is>
          <t>Buy online</t>
        </is>
      </c>
      <c r="C1767" s="42" t="n">
        <v>3</v>
      </c>
      <c r="D1767" s="42" t="n">
        <v>18</v>
      </c>
      <c r="E1767" s="42" t="n">
        <v>1</v>
      </c>
      <c r="F1767" s="42" t="inlineStr">
        <is>
          <t>VD-097</t>
        </is>
      </c>
      <c r="G1767" s="55">
        <f>IFERROR(INDEX('Semrush Data'!$A$1:$Z$20000,MATCH(A1767,'Semrush Data'!$A$1:$A$20000,0),MATCH("Volume",'Semrush Data'!$A$1:$Z$1,0)),"")</f>
        <v/>
      </c>
      <c r="H1767" s="42">
        <f>IFERROR(INDEX('Semrush Data'!$A$1:$Z$20000,MATCH(A1767,'Semrush Data'!$A$1:$A$20000,0),MATCH("Keyword Difficulty*",'Semrush Data'!$A$1:$Z$1,0)),"")</f>
        <v/>
      </c>
      <c r="I1767" s="56">
        <f>IFERROR(INDEX('Semrush Data'!$A$1:$Z$20000,MATCH(A1767,'Semrush Data'!$A$1:$A$20000,0),MATCH("CPC*",'Semrush Data'!$A$1:$Z$1,0)),"")</f>
        <v/>
      </c>
      <c r="J1767" s="42">
        <f>IFERROR(INDEX('Semrush Data'!$A$1:$Z$20000,MATCH(A1767,'Semrush Data'!$A$1:$A$20000,0),MATCH("Intent",'Semrush Data'!$A$1:$Z$1,0)),"")</f>
        <v/>
      </c>
    </row>
    <row r="1768" ht="15" customHeight="1" s="37">
      <c r="A1768" s="42" t="inlineStr">
        <is>
          <t>buy deyga nourished lip care kit online</t>
        </is>
      </c>
      <c r="B1768" s="42" t="inlineStr">
        <is>
          <t>Buy online</t>
        </is>
      </c>
      <c r="C1768" s="42" t="n">
        <v>3</v>
      </c>
      <c r="D1768" s="42" t="n">
        <v>18</v>
      </c>
      <c r="E1768" s="42" t="n">
        <v>1</v>
      </c>
      <c r="F1768" s="42" t="inlineStr">
        <is>
          <t>VD-153</t>
        </is>
      </c>
      <c r="G1768" s="55">
        <f>IFERROR(INDEX('Semrush Data'!$A$1:$Z$20000,MATCH(A1768,'Semrush Data'!$A$1:$A$20000,0),MATCH("Volume",'Semrush Data'!$A$1:$Z$1,0)),"")</f>
        <v/>
      </c>
      <c r="H1768" s="42">
        <f>IFERROR(INDEX('Semrush Data'!$A$1:$Z$20000,MATCH(A1768,'Semrush Data'!$A$1:$A$20000,0),MATCH("Keyword Difficulty*",'Semrush Data'!$A$1:$Z$1,0)),"")</f>
        <v/>
      </c>
      <c r="I1768" s="56">
        <f>IFERROR(INDEX('Semrush Data'!$A$1:$Z$20000,MATCH(A1768,'Semrush Data'!$A$1:$A$20000,0),MATCH("CPC*",'Semrush Data'!$A$1:$Z$1,0)),"")</f>
        <v/>
      </c>
      <c r="J1768" s="42">
        <f>IFERROR(INDEX('Semrush Data'!$A$1:$Z$20000,MATCH(A1768,'Semrush Data'!$A$1:$A$20000,0),MATCH("Intent",'Semrush Data'!$A$1:$Z$1,0)),"")</f>
        <v/>
      </c>
    </row>
    <row r="1769" ht="15" customHeight="1" s="37">
      <c r="A1769" s="42" t="inlineStr">
        <is>
          <t>buy deyga nourished lips stick kit online</t>
        </is>
      </c>
      <c r="B1769" s="42" t="inlineStr">
        <is>
          <t>Buy online</t>
        </is>
      </c>
      <c r="C1769" s="42" t="n">
        <v>3</v>
      </c>
      <c r="D1769" s="42" t="n">
        <v>18</v>
      </c>
      <c r="E1769" s="42" t="n">
        <v>1</v>
      </c>
      <c r="F1769" s="42" t="inlineStr">
        <is>
          <t>VD-156</t>
        </is>
      </c>
      <c r="G1769" s="55">
        <f>IFERROR(INDEX('Semrush Data'!$A$1:$Z$20000,MATCH(A1769,'Semrush Data'!$A$1:$A$20000,0),MATCH("Volume",'Semrush Data'!$A$1:$Z$1,0)),"")</f>
        <v/>
      </c>
      <c r="H1769" s="42">
        <f>IFERROR(INDEX('Semrush Data'!$A$1:$Z$20000,MATCH(A1769,'Semrush Data'!$A$1:$A$20000,0),MATCH("Keyword Difficulty*",'Semrush Data'!$A$1:$Z$1,0)),"")</f>
        <v/>
      </c>
      <c r="I1769" s="56">
        <f>IFERROR(INDEX('Semrush Data'!$A$1:$Z$20000,MATCH(A1769,'Semrush Data'!$A$1:$A$20000,0),MATCH("CPC*",'Semrush Data'!$A$1:$Z$1,0)),"")</f>
        <v/>
      </c>
      <c r="J1769" s="42">
        <f>IFERROR(INDEX('Semrush Data'!$A$1:$Z$20000,MATCH(A1769,'Semrush Data'!$A$1:$A$20000,0),MATCH("Intent",'Semrush Data'!$A$1:$Z$1,0)),"")</f>
        <v/>
      </c>
    </row>
    <row r="1770" ht="15" customHeight="1" s="37">
      <c r="A1770" s="42" t="inlineStr">
        <is>
          <t>buy deyga oat milk face wash online</t>
        </is>
      </c>
      <c r="B1770" s="42" t="inlineStr">
        <is>
          <t>Buy online</t>
        </is>
      </c>
      <c r="C1770" s="42" t="n">
        <v>3</v>
      </c>
      <c r="D1770" s="42" t="n">
        <v>18</v>
      </c>
      <c r="E1770" s="42" t="n">
        <v>1</v>
      </c>
      <c r="F1770" s="42" t="inlineStr">
        <is>
          <t>VD-113</t>
        </is>
      </c>
      <c r="G1770" s="55">
        <f>IFERROR(INDEX('Semrush Data'!$A$1:$Z$20000,MATCH(A1770,'Semrush Data'!$A$1:$A$20000,0),MATCH("Volume",'Semrush Data'!$A$1:$Z$1,0)),"")</f>
        <v/>
      </c>
      <c r="H1770" s="42">
        <f>IFERROR(INDEX('Semrush Data'!$A$1:$Z$20000,MATCH(A1770,'Semrush Data'!$A$1:$A$20000,0),MATCH("Keyword Difficulty*",'Semrush Data'!$A$1:$Z$1,0)),"")</f>
        <v/>
      </c>
      <c r="I1770" s="56">
        <f>IFERROR(INDEX('Semrush Data'!$A$1:$Z$20000,MATCH(A1770,'Semrush Data'!$A$1:$A$20000,0),MATCH("CPC*",'Semrush Data'!$A$1:$Z$1,0)),"")</f>
        <v/>
      </c>
      <c r="J1770" s="42">
        <f>IFERROR(INDEX('Semrush Data'!$A$1:$Z$20000,MATCH(A1770,'Semrush Data'!$A$1:$A$20000,0),MATCH("Intent",'Semrush Data'!$A$1:$Z$1,0)),"")</f>
        <v/>
      </c>
    </row>
    <row r="1771" ht="15" customHeight="1" s="37">
      <c r="A1771" s="42" t="inlineStr">
        <is>
          <t>buy deyga orange &amp; almond face pack powder online</t>
        </is>
      </c>
      <c r="B1771" s="42" t="inlineStr">
        <is>
          <t>Buy online</t>
        </is>
      </c>
      <c r="C1771" s="42" t="n">
        <v>3</v>
      </c>
      <c r="D1771" s="42" t="n">
        <v>18</v>
      </c>
      <c r="E1771" s="42" t="n">
        <v>1</v>
      </c>
      <c r="F1771" s="42" t="inlineStr">
        <is>
          <t>VD-088</t>
        </is>
      </c>
      <c r="G1771" s="55">
        <f>IFERROR(INDEX('Semrush Data'!$A$1:$Z$20000,MATCH(A1771,'Semrush Data'!$A$1:$A$20000,0),MATCH("Volume",'Semrush Data'!$A$1:$Z$1,0)),"")</f>
        <v/>
      </c>
      <c r="H1771" s="42">
        <f>IFERROR(INDEX('Semrush Data'!$A$1:$Z$20000,MATCH(A1771,'Semrush Data'!$A$1:$A$20000,0),MATCH("Keyword Difficulty*",'Semrush Data'!$A$1:$Z$1,0)),"")</f>
        <v/>
      </c>
      <c r="I1771" s="56">
        <f>IFERROR(INDEX('Semrush Data'!$A$1:$Z$20000,MATCH(A1771,'Semrush Data'!$A$1:$A$20000,0),MATCH("CPC*",'Semrush Data'!$A$1:$Z$1,0)),"")</f>
        <v/>
      </c>
      <c r="J1771" s="42">
        <f>IFERROR(INDEX('Semrush Data'!$A$1:$Z$20000,MATCH(A1771,'Semrush Data'!$A$1:$A$20000,0),MATCH("Intent",'Semrush Data'!$A$1:$Z$1,0)),"")</f>
        <v/>
      </c>
    </row>
    <row r="1772" ht="15" customHeight="1" s="37">
      <c r="A1772" s="42" t="inlineStr">
        <is>
          <t>buy deyga organic loofah for body exfoliation online</t>
        </is>
      </c>
      <c r="B1772" s="42" t="inlineStr">
        <is>
          <t>Buy online</t>
        </is>
      </c>
      <c r="C1772" s="42" t="n">
        <v>3</v>
      </c>
      <c r="D1772" s="42" t="n">
        <v>18</v>
      </c>
      <c r="E1772" s="42" t="n">
        <v>1</v>
      </c>
      <c r="F1772" s="42" t="inlineStr">
        <is>
          <t>VD-102</t>
        </is>
      </c>
      <c r="G1772" s="55">
        <f>IFERROR(INDEX('Semrush Data'!$A$1:$Z$20000,MATCH(A1772,'Semrush Data'!$A$1:$A$20000,0),MATCH("Volume",'Semrush Data'!$A$1:$Z$1,0)),"")</f>
        <v/>
      </c>
      <c r="H1772" s="42">
        <f>IFERROR(INDEX('Semrush Data'!$A$1:$Z$20000,MATCH(A1772,'Semrush Data'!$A$1:$A$20000,0),MATCH("Keyword Difficulty*",'Semrush Data'!$A$1:$Z$1,0)),"")</f>
        <v/>
      </c>
      <c r="I1772" s="56">
        <f>IFERROR(INDEX('Semrush Data'!$A$1:$Z$20000,MATCH(A1772,'Semrush Data'!$A$1:$A$20000,0),MATCH("CPC*",'Semrush Data'!$A$1:$Z$1,0)),"")</f>
        <v/>
      </c>
      <c r="J1772" s="42">
        <f>IFERROR(INDEX('Semrush Data'!$A$1:$Z$20000,MATCH(A1772,'Semrush Data'!$A$1:$A$20000,0),MATCH("Intent",'Semrush Data'!$A$1:$Z$1,0)),"")</f>
        <v/>
      </c>
    </row>
    <row r="1773" ht="15" customHeight="1" s="37">
      <c r="A1773" s="42" t="inlineStr">
        <is>
          <t>buy deyga plant based hair color – black online</t>
        </is>
      </c>
      <c r="B1773" s="42" t="inlineStr">
        <is>
          <t>Buy online</t>
        </is>
      </c>
      <c r="C1773" s="42" t="n">
        <v>3</v>
      </c>
      <c r="D1773" s="42" t="n">
        <v>18</v>
      </c>
      <c r="E1773" s="42" t="n">
        <v>1</v>
      </c>
      <c r="F1773" s="42" t="inlineStr">
        <is>
          <t>VD-125</t>
        </is>
      </c>
      <c r="G1773" s="55">
        <f>IFERROR(INDEX('Semrush Data'!$A$1:$Z$20000,MATCH(A1773,'Semrush Data'!$A$1:$A$20000,0),MATCH("Volume",'Semrush Data'!$A$1:$Z$1,0)),"")</f>
        <v/>
      </c>
      <c r="H1773" s="42">
        <f>IFERROR(INDEX('Semrush Data'!$A$1:$Z$20000,MATCH(A1773,'Semrush Data'!$A$1:$A$20000,0),MATCH("Keyword Difficulty*",'Semrush Data'!$A$1:$Z$1,0)),"")</f>
        <v/>
      </c>
      <c r="I1773" s="56">
        <f>IFERROR(INDEX('Semrush Data'!$A$1:$Z$20000,MATCH(A1773,'Semrush Data'!$A$1:$A$20000,0),MATCH("CPC*",'Semrush Data'!$A$1:$Z$1,0)),"")</f>
        <v/>
      </c>
      <c r="J1773" s="42">
        <f>IFERROR(INDEX('Semrush Data'!$A$1:$Z$20000,MATCH(A1773,'Semrush Data'!$A$1:$A$20000,0),MATCH("Intent",'Semrush Data'!$A$1:$Z$1,0)),"")</f>
        <v/>
      </c>
    </row>
    <row r="1774" ht="15" customHeight="1" s="37">
      <c r="A1774" s="42" t="inlineStr">
        <is>
          <t>buy deyga premature greying hair oil online</t>
        </is>
      </c>
      <c r="B1774" s="42" t="inlineStr">
        <is>
          <t>Buy online</t>
        </is>
      </c>
      <c r="C1774" s="42" t="n">
        <v>3</v>
      </c>
      <c r="D1774" s="42" t="n">
        <v>18</v>
      </c>
      <c r="E1774" s="42" t="n">
        <v>1</v>
      </c>
      <c r="F1774" s="42" t="inlineStr">
        <is>
          <t>VD-089</t>
        </is>
      </c>
      <c r="G1774" s="55">
        <f>IFERROR(INDEX('Semrush Data'!$A$1:$Z$20000,MATCH(A1774,'Semrush Data'!$A$1:$A$20000,0),MATCH("Volume",'Semrush Data'!$A$1:$Z$1,0)),"")</f>
        <v/>
      </c>
      <c r="H1774" s="42">
        <f>IFERROR(INDEX('Semrush Data'!$A$1:$Z$20000,MATCH(A1774,'Semrush Data'!$A$1:$A$20000,0),MATCH("Keyword Difficulty*",'Semrush Data'!$A$1:$Z$1,0)),"")</f>
        <v/>
      </c>
      <c r="I1774" s="56">
        <f>IFERROR(INDEX('Semrush Data'!$A$1:$Z$20000,MATCH(A1774,'Semrush Data'!$A$1:$A$20000,0),MATCH("CPC*",'Semrush Data'!$A$1:$Z$1,0)),"")</f>
        <v/>
      </c>
      <c r="J1774" s="42">
        <f>IFERROR(INDEX('Semrush Data'!$A$1:$Z$20000,MATCH(A1774,'Semrush Data'!$A$1:$A$20000,0),MATCH("Intent",'Semrush Data'!$A$1:$Z$1,0)),"")</f>
        <v/>
      </c>
    </row>
    <row r="1775" ht="15" customHeight="1" s="37">
      <c r="A1775" s="42" t="inlineStr">
        <is>
          <t>buy deyga pure aloe vera gel online</t>
        </is>
      </c>
      <c r="B1775" s="42" t="inlineStr">
        <is>
          <t>Buy online</t>
        </is>
      </c>
      <c r="C1775" s="42" t="n">
        <v>3</v>
      </c>
      <c r="D1775" s="42" t="n">
        <v>18</v>
      </c>
      <c r="E1775" s="42" t="n">
        <v>1</v>
      </c>
      <c r="F1775" s="42" t="inlineStr">
        <is>
          <t>VD-124</t>
        </is>
      </c>
      <c r="G1775" s="55">
        <f>IFERROR(INDEX('Semrush Data'!$A$1:$Z$20000,MATCH(A1775,'Semrush Data'!$A$1:$A$20000,0),MATCH("Volume",'Semrush Data'!$A$1:$Z$1,0)),"")</f>
        <v/>
      </c>
      <c r="H1775" s="42">
        <f>IFERROR(INDEX('Semrush Data'!$A$1:$Z$20000,MATCH(A1775,'Semrush Data'!$A$1:$A$20000,0),MATCH("Keyword Difficulty*",'Semrush Data'!$A$1:$Z$1,0)),"")</f>
        <v/>
      </c>
      <c r="I1775" s="56">
        <f>IFERROR(INDEX('Semrush Data'!$A$1:$Z$20000,MATCH(A1775,'Semrush Data'!$A$1:$A$20000,0),MATCH("CPC*",'Semrush Data'!$A$1:$Z$1,0)),"")</f>
        <v/>
      </c>
      <c r="J1775" s="42">
        <f>IFERROR(INDEX('Semrush Data'!$A$1:$Z$20000,MATCH(A1775,'Semrush Data'!$A$1:$A$20000,0),MATCH("Intent",'Semrush Data'!$A$1:$Z$1,0)),"")</f>
        <v/>
      </c>
    </row>
    <row r="1776" ht="15" customHeight="1" s="37">
      <c r="A1776" s="42" t="inlineStr">
        <is>
          <t>buy deyga pure rose water toner online</t>
        </is>
      </c>
      <c r="B1776" s="42" t="inlineStr">
        <is>
          <t>Buy online</t>
        </is>
      </c>
      <c r="C1776" s="42" t="n">
        <v>3</v>
      </c>
      <c r="D1776" s="42" t="n">
        <v>18</v>
      </c>
      <c r="E1776" s="42" t="n">
        <v>1</v>
      </c>
      <c r="F1776" s="42" t="inlineStr">
        <is>
          <t>VD-115</t>
        </is>
      </c>
      <c r="G1776" s="55">
        <f>IFERROR(INDEX('Semrush Data'!$A$1:$Z$20000,MATCH(A1776,'Semrush Data'!$A$1:$A$20000,0),MATCH("Volume",'Semrush Data'!$A$1:$Z$1,0)),"")</f>
        <v/>
      </c>
      <c r="H1776" s="42">
        <f>IFERROR(INDEX('Semrush Data'!$A$1:$Z$20000,MATCH(A1776,'Semrush Data'!$A$1:$A$20000,0),MATCH("Keyword Difficulty*",'Semrush Data'!$A$1:$Z$1,0)),"")</f>
        <v/>
      </c>
      <c r="I1776" s="56">
        <f>IFERROR(INDEX('Semrush Data'!$A$1:$Z$20000,MATCH(A1776,'Semrush Data'!$A$1:$A$20000,0),MATCH("CPC*",'Semrush Data'!$A$1:$Z$1,0)),"")</f>
        <v/>
      </c>
      <c r="J1776" s="42">
        <f>IFERROR(INDEX('Semrush Data'!$A$1:$Z$20000,MATCH(A1776,'Semrush Data'!$A$1:$A$20000,0),MATCH("Intent",'Semrush Data'!$A$1:$Z$1,0)),"")</f>
        <v/>
      </c>
    </row>
    <row r="1777" ht="15" customHeight="1" s="37">
      <c r="A1777" s="42" t="inlineStr">
        <is>
          <t>buy deyga rice water shampoo online</t>
        </is>
      </c>
      <c r="B1777" s="42" t="inlineStr">
        <is>
          <t>Buy online</t>
        </is>
      </c>
      <c r="C1777" s="42" t="n">
        <v>3</v>
      </c>
      <c r="D1777" s="42" t="n">
        <v>18</v>
      </c>
      <c r="E1777" s="42" t="n">
        <v>1</v>
      </c>
      <c r="F1777" s="42" t="inlineStr">
        <is>
          <t>VD-126</t>
        </is>
      </c>
      <c r="G1777" s="55">
        <f>IFERROR(INDEX('Semrush Data'!$A$1:$Z$20000,MATCH(A1777,'Semrush Data'!$A$1:$A$20000,0),MATCH("Volume",'Semrush Data'!$A$1:$Z$1,0)),"")</f>
        <v/>
      </c>
      <c r="H1777" s="42">
        <f>IFERROR(INDEX('Semrush Data'!$A$1:$Z$20000,MATCH(A1777,'Semrush Data'!$A$1:$A$20000,0),MATCH("Keyword Difficulty*",'Semrush Data'!$A$1:$Z$1,0)),"")</f>
        <v/>
      </c>
      <c r="I1777" s="56">
        <f>IFERROR(INDEX('Semrush Data'!$A$1:$Z$20000,MATCH(A1777,'Semrush Data'!$A$1:$A$20000,0),MATCH("CPC*",'Semrush Data'!$A$1:$Z$1,0)),"")</f>
        <v/>
      </c>
      <c r="J1777" s="42">
        <f>IFERROR(INDEX('Semrush Data'!$A$1:$Z$20000,MATCH(A1777,'Semrush Data'!$A$1:$A$20000,0),MATCH("Intent",'Semrush Data'!$A$1:$Z$1,0)),"")</f>
        <v/>
      </c>
    </row>
    <row r="1778" ht="15" customHeight="1" s="37">
      <c r="A1778" s="42" t="inlineStr">
        <is>
          <t>buy deyga rose &amp; geranium body butter online</t>
        </is>
      </c>
      <c r="B1778" s="42" t="inlineStr">
        <is>
          <t>Buy online</t>
        </is>
      </c>
      <c r="C1778" s="42" t="n">
        <v>3</v>
      </c>
      <c r="D1778" s="42" t="n">
        <v>18</v>
      </c>
      <c r="E1778" s="42" t="n">
        <v>1</v>
      </c>
      <c r="F1778" s="42" t="inlineStr">
        <is>
          <t>VD-091</t>
        </is>
      </c>
      <c r="G1778" s="55">
        <f>IFERROR(INDEX('Semrush Data'!$A$1:$Z$20000,MATCH(A1778,'Semrush Data'!$A$1:$A$20000,0),MATCH("Volume",'Semrush Data'!$A$1:$Z$1,0)),"")</f>
        <v/>
      </c>
      <c r="H1778" s="42">
        <f>IFERROR(INDEX('Semrush Data'!$A$1:$Z$20000,MATCH(A1778,'Semrush Data'!$A$1:$A$20000,0),MATCH("Keyword Difficulty*",'Semrush Data'!$A$1:$Z$1,0)),"")</f>
        <v/>
      </c>
      <c r="I1778" s="56">
        <f>IFERROR(INDEX('Semrush Data'!$A$1:$Z$20000,MATCH(A1778,'Semrush Data'!$A$1:$A$20000,0),MATCH("CPC*",'Semrush Data'!$A$1:$Z$1,0)),"")</f>
        <v/>
      </c>
      <c r="J1778" s="42">
        <f>IFERROR(INDEX('Semrush Data'!$A$1:$Z$20000,MATCH(A1778,'Semrush Data'!$A$1:$A$20000,0),MATCH("Intent",'Semrush Data'!$A$1:$Z$1,0)),"")</f>
        <v/>
      </c>
    </row>
    <row r="1779" ht="15" customHeight="1" s="37">
      <c r="A1779" s="42" t="inlineStr">
        <is>
          <t>buy deyga rose &amp; mulethi skin brightening pack online</t>
        </is>
      </c>
      <c r="B1779" s="42" t="inlineStr">
        <is>
          <t>Buy online</t>
        </is>
      </c>
      <c r="C1779" s="42" t="n">
        <v>3</v>
      </c>
      <c r="D1779" s="42" t="n">
        <v>18</v>
      </c>
      <c r="E1779" s="42" t="n">
        <v>2</v>
      </c>
      <c r="F1779" s="42" t="inlineStr">
        <is>
          <t>VD-116, VD-119</t>
        </is>
      </c>
      <c r="G1779" s="55">
        <f>IFERROR(INDEX('Semrush Data'!$A$1:$Z$20000,MATCH(A1779,'Semrush Data'!$A$1:$A$20000,0),MATCH("Volume",'Semrush Data'!$A$1:$Z$1,0)),"")</f>
        <v/>
      </c>
      <c r="H1779" s="42">
        <f>IFERROR(INDEX('Semrush Data'!$A$1:$Z$20000,MATCH(A1779,'Semrush Data'!$A$1:$A$20000,0),MATCH("Keyword Difficulty*",'Semrush Data'!$A$1:$Z$1,0)),"")</f>
        <v/>
      </c>
      <c r="I1779" s="56">
        <f>IFERROR(INDEX('Semrush Data'!$A$1:$Z$20000,MATCH(A1779,'Semrush Data'!$A$1:$A$20000,0),MATCH("CPC*",'Semrush Data'!$A$1:$Z$1,0)),"")</f>
        <v/>
      </c>
      <c r="J1779" s="42">
        <f>IFERROR(INDEX('Semrush Data'!$A$1:$Z$20000,MATCH(A1779,'Semrush Data'!$A$1:$A$20000,0),MATCH("Intent",'Semrush Data'!$A$1:$Z$1,0)),"")</f>
        <v/>
      </c>
    </row>
    <row r="1780" ht="15" customHeight="1" s="37">
      <c r="A1780" s="42" t="inlineStr">
        <is>
          <t>buy deyga rose glow serum online</t>
        </is>
      </c>
      <c r="B1780" s="42" t="inlineStr">
        <is>
          <t>Buy online</t>
        </is>
      </c>
      <c r="C1780" s="42" t="n">
        <v>3</v>
      </c>
      <c r="D1780" s="42" t="n">
        <v>18</v>
      </c>
      <c r="E1780" s="42" t="n">
        <v>1</v>
      </c>
      <c r="F1780" s="42" t="inlineStr">
        <is>
          <t>VD-092</t>
        </is>
      </c>
      <c r="G1780" s="55">
        <f>IFERROR(INDEX('Semrush Data'!$A$1:$Z$20000,MATCH(A1780,'Semrush Data'!$A$1:$A$20000,0),MATCH("Volume",'Semrush Data'!$A$1:$Z$1,0)),"")</f>
        <v/>
      </c>
      <c r="H1780" s="42">
        <f>IFERROR(INDEX('Semrush Data'!$A$1:$Z$20000,MATCH(A1780,'Semrush Data'!$A$1:$A$20000,0),MATCH("Keyword Difficulty*",'Semrush Data'!$A$1:$Z$1,0)),"")</f>
        <v/>
      </c>
      <c r="I1780" s="56">
        <f>IFERROR(INDEX('Semrush Data'!$A$1:$Z$20000,MATCH(A1780,'Semrush Data'!$A$1:$A$20000,0),MATCH("CPC*",'Semrush Data'!$A$1:$Z$1,0)),"")</f>
        <v/>
      </c>
      <c r="J1780" s="42">
        <f>IFERROR(INDEX('Semrush Data'!$A$1:$Z$20000,MATCH(A1780,'Semrush Data'!$A$1:$A$20000,0),MATCH("Intent",'Semrush Data'!$A$1:$Z$1,0)),"")</f>
        <v/>
      </c>
    </row>
    <row r="1781" ht="15" customHeight="1" s="37">
      <c r="A1781" s="42" t="inlineStr">
        <is>
          <t>buy deyga rose pink clay bath bar online</t>
        </is>
      </c>
      <c r="B1781" s="42" t="inlineStr">
        <is>
          <t>Buy online</t>
        </is>
      </c>
      <c r="C1781" s="42" t="n">
        <v>3</v>
      </c>
      <c r="D1781" s="42" t="n">
        <v>18</v>
      </c>
      <c r="E1781" s="42" t="n">
        <v>1</v>
      </c>
      <c r="F1781" s="42" t="inlineStr">
        <is>
          <t>VD-109</t>
        </is>
      </c>
      <c r="G1781" s="55">
        <f>IFERROR(INDEX('Semrush Data'!$A$1:$Z$20000,MATCH(A1781,'Semrush Data'!$A$1:$A$20000,0),MATCH("Volume",'Semrush Data'!$A$1:$Z$1,0)),"")</f>
        <v/>
      </c>
      <c r="H1781" s="42">
        <f>IFERROR(INDEX('Semrush Data'!$A$1:$Z$20000,MATCH(A1781,'Semrush Data'!$A$1:$A$20000,0),MATCH("Keyword Difficulty*",'Semrush Data'!$A$1:$Z$1,0)),"")</f>
        <v/>
      </c>
      <c r="I1781" s="56">
        <f>IFERROR(INDEX('Semrush Data'!$A$1:$Z$20000,MATCH(A1781,'Semrush Data'!$A$1:$A$20000,0),MATCH("CPC*",'Semrush Data'!$A$1:$Z$1,0)),"")</f>
        <v/>
      </c>
      <c r="J1781" s="42">
        <f>IFERROR(INDEX('Semrush Data'!$A$1:$Z$20000,MATCH(A1781,'Semrush Data'!$A$1:$A$20000,0),MATCH("Intent",'Semrush Data'!$A$1:$Z$1,0)),"")</f>
        <v/>
      </c>
    </row>
    <row r="1782" ht="15" customHeight="1" s="37">
      <c r="A1782" s="42" t="inlineStr">
        <is>
          <t>buy deyga sensitive skin kit online</t>
        </is>
      </c>
      <c r="B1782" s="42" t="inlineStr">
        <is>
          <t>Buy online</t>
        </is>
      </c>
      <c r="C1782" s="42" t="n">
        <v>3</v>
      </c>
      <c r="D1782" s="42" t="n">
        <v>18</v>
      </c>
      <c r="E1782" s="42" t="n">
        <v>1</v>
      </c>
      <c r="F1782" s="42" t="inlineStr">
        <is>
          <t>VD-148</t>
        </is>
      </c>
      <c r="G1782" s="55">
        <f>IFERROR(INDEX('Semrush Data'!$A$1:$Z$20000,MATCH(A1782,'Semrush Data'!$A$1:$A$20000,0),MATCH("Volume",'Semrush Data'!$A$1:$Z$1,0)),"")</f>
        <v/>
      </c>
      <c r="H1782" s="42">
        <f>IFERROR(INDEX('Semrush Data'!$A$1:$Z$20000,MATCH(A1782,'Semrush Data'!$A$1:$A$20000,0),MATCH("Keyword Difficulty*",'Semrush Data'!$A$1:$Z$1,0)),"")</f>
        <v/>
      </c>
      <c r="I1782" s="56">
        <f>IFERROR(INDEX('Semrush Data'!$A$1:$Z$20000,MATCH(A1782,'Semrush Data'!$A$1:$A$20000,0),MATCH("CPC*",'Semrush Data'!$A$1:$Z$1,0)),"")</f>
        <v/>
      </c>
      <c r="J1782" s="42">
        <f>IFERROR(INDEX('Semrush Data'!$A$1:$Z$20000,MATCH(A1782,'Semrush Data'!$A$1:$A$20000,0),MATCH("Intent",'Semrush Data'!$A$1:$Z$1,0)),"")</f>
        <v/>
      </c>
    </row>
    <row r="1783" ht="15" customHeight="1" s="37">
      <c r="A1783" s="42" t="inlineStr">
        <is>
          <t>buy deyga shea saffron bath bar online</t>
        </is>
      </c>
      <c r="B1783" s="42" t="inlineStr">
        <is>
          <t>Buy online</t>
        </is>
      </c>
      <c r="C1783" s="42" t="n">
        <v>3</v>
      </c>
      <c r="D1783" s="42" t="n">
        <v>18</v>
      </c>
      <c r="E1783" s="42" t="n">
        <v>1</v>
      </c>
      <c r="F1783" s="42" t="inlineStr">
        <is>
          <t>VD-108</t>
        </is>
      </c>
      <c r="G1783" s="55">
        <f>IFERROR(INDEX('Semrush Data'!$A$1:$Z$20000,MATCH(A1783,'Semrush Data'!$A$1:$A$20000,0),MATCH("Volume",'Semrush Data'!$A$1:$Z$1,0)),"")</f>
        <v/>
      </c>
      <c r="H1783" s="42">
        <f>IFERROR(INDEX('Semrush Data'!$A$1:$Z$20000,MATCH(A1783,'Semrush Data'!$A$1:$A$20000,0),MATCH("Keyword Difficulty*",'Semrush Data'!$A$1:$Z$1,0)),"")</f>
        <v/>
      </c>
      <c r="I1783" s="56">
        <f>IFERROR(INDEX('Semrush Data'!$A$1:$Z$20000,MATCH(A1783,'Semrush Data'!$A$1:$A$20000,0),MATCH("CPC*",'Semrush Data'!$A$1:$Z$1,0)),"")</f>
        <v/>
      </c>
      <c r="J1783" s="42">
        <f>IFERROR(INDEX('Semrush Data'!$A$1:$Z$20000,MATCH(A1783,'Semrush Data'!$A$1:$A$20000,0),MATCH("Intent",'Semrush Data'!$A$1:$Z$1,0)),"")</f>
        <v/>
      </c>
    </row>
    <row r="1784" ht="15" customHeight="1" s="37">
      <c r="A1784" s="42" t="inlineStr">
        <is>
          <t>buy deyga soft lip combo online</t>
        </is>
      </c>
      <c r="B1784" s="42" t="inlineStr">
        <is>
          <t>Buy online</t>
        </is>
      </c>
      <c r="C1784" s="42" t="n">
        <v>3</v>
      </c>
      <c r="D1784" s="42" t="n">
        <v>18</v>
      </c>
      <c r="E1784" s="42" t="n">
        <v>1</v>
      </c>
      <c r="F1784" s="42" t="inlineStr">
        <is>
          <t>VD-136</t>
        </is>
      </c>
      <c r="G1784" s="55">
        <f>IFERROR(INDEX('Semrush Data'!$A$1:$Z$20000,MATCH(A1784,'Semrush Data'!$A$1:$A$20000,0),MATCH("Volume",'Semrush Data'!$A$1:$Z$1,0)),"")</f>
        <v/>
      </c>
      <c r="H1784" s="42">
        <f>IFERROR(INDEX('Semrush Data'!$A$1:$Z$20000,MATCH(A1784,'Semrush Data'!$A$1:$A$20000,0),MATCH("Keyword Difficulty*",'Semrush Data'!$A$1:$Z$1,0)),"")</f>
        <v/>
      </c>
      <c r="I1784" s="56">
        <f>IFERROR(INDEX('Semrush Data'!$A$1:$Z$20000,MATCH(A1784,'Semrush Data'!$A$1:$A$20000,0),MATCH("CPC*",'Semrush Data'!$A$1:$Z$1,0)),"")</f>
        <v/>
      </c>
      <c r="J1784" s="42">
        <f>IFERROR(INDEX('Semrush Data'!$A$1:$Z$20000,MATCH(A1784,'Semrush Data'!$A$1:$A$20000,0),MATCH("Intent",'Semrush Data'!$A$1:$Z$1,0)),"")</f>
        <v/>
      </c>
    </row>
    <row r="1785" ht="15" customHeight="1" s="37">
      <c r="A1785" s="42" t="inlineStr">
        <is>
          <t>buy deyga soy milk conditioner online</t>
        </is>
      </c>
      <c r="B1785" s="42" t="inlineStr">
        <is>
          <t>Buy online</t>
        </is>
      </c>
      <c r="C1785" s="42" t="n">
        <v>3</v>
      </c>
      <c r="D1785" s="42" t="n">
        <v>18</v>
      </c>
      <c r="E1785" s="42" t="n">
        <v>1</v>
      </c>
      <c r="F1785" s="42" t="inlineStr">
        <is>
          <t>VD-127</t>
        </is>
      </c>
      <c r="G1785" s="55">
        <f>IFERROR(INDEX('Semrush Data'!$A$1:$Z$20000,MATCH(A1785,'Semrush Data'!$A$1:$A$20000,0),MATCH("Volume",'Semrush Data'!$A$1:$Z$1,0)),"")</f>
        <v/>
      </c>
      <c r="H1785" s="42">
        <f>IFERROR(INDEX('Semrush Data'!$A$1:$Z$20000,MATCH(A1785,'Semrush Data'!$A$1:$A$20000,0),MATCH("Keyword Difficulty*",'Semrush Data'!$A$1:$Z$1,0)),"")</f>
        <v/>
      </c>
      <c r="I1785" s="56">
        <f>IFERROR(INDEX('Semrush Data'!$A$1:$Z$20000,MATCH(A1785,'Semrush Data'!$A$1:$A$20000,0),MATCH("CPC*",'Semrush Data'!$A$1:$Z$1,0)),"")</f>
        <v/>
      </c>
      <c r="J1785" s="42">
        <f>IFERROR(INDEX('Semrush Data'!$A$1:$Z$20000,MATCH(A1785,'Semrush Data'!$A$1:$A$20000,0),MATCH("Intent",'Semrush Data'!$A$1:$Z$1,0)),"")</f>
        <v/>
      </c>
    </row>
    <row r="1786" ht="15" customHeight="1" s="37">
      <c r="A1786" s="42" t="inlineStr">
        <is>
          <t>buy deyga spinach &amp; cucumber bath bar online</t>
        </is>
      </c>
      <c r="B1786" s="42" t="inlineStr">
        <is>
          <t>Buy online</t>
        </is>
      </c>
      <c r="C1786" s="42" t="n">
        <v>3</v>
      </c>
      <c r="D1786" s="42" t="n">
        <v>18</v>
      </c>
      <c r="E1786" s="42" t="n">
        <v>1</v>
      </c>
      <c r="F1786" s="42" t="inlineStr">
        <is>
          <t>VD-107</t>
        </is>
      </c>
      <c r="G1786" s="55">
        <f>IFERROR(INDEX('Semrush Data'!$A$1:$Z$20000,MATCH(A1786,'Semrush Data'!$A$1:$A$20000,0),MATCH("Volume",'Semrush Data'!$A$1:$Z$1,0)),"")</f>
        <v/>
      </c>
      <c r="H1786" s="42">
        <f>IFERROR(INDEX('Semrush Data'!$A$1:$Z$20000,MATCH(A1786,'Semrush Data'!$A$1:$A$20000,0),MATCH("Keyword Difficulty*",'Semrush Data'!$A$1:$Z$1,0)),"")</f>
        <v/>
      </c>
      <c r="I1786" s="56">
        <f>IFERROR(INDEX('Semrush Data'!$A$1:$Z$20000,MATCH(A1786,'Semrush Data'!$A$1:$A$20000,0),MATCH("CPC*",'Semrush Data'!$A$1:$Z$1,0)),"")</f>
        <v/>
      </c>
      <c r="J1786" s="42">
        <f>IFERROR(INDEX('Semrush Data'!$A$1:$Z$20000,MATCH(A1786,'Semrush Data'!$A$1:$A$20000,0),MATCH("Intent",'Semrush Data'!$A$1:$Z$1,0)),"")</f>
        <v/>
      </c>
    </row>
    <row r="1787" ht="15" customHeight="1" s="37">
      <c r="A1787" s="42" t="inlineStr">
        <is>
          <t>buy deyga spirulina matcha face pack online</t>
        </is>
      </c>
      <c r="B1787" s="42" t="inlineStr">
        <is>
          <t>Buy online</t>
        </is>
      </c>
      <c r="C1787" s="42" t="n">
        <v>3</v>
      </c>
      <c r="D1787" s="42" t="n">
        <v>18</v>
      </c>
      <c r="E1787" s="42" t="n">
        <v>1</v>
      </c>
      <c r="F1787" s="42" t="inlineStr">
        <is>
          <t>VD-099</t>
        </is>
      </c>
      <c r="G1787" s="55">
        <f>IFERROR(INDEX('Semrush Data'!$A$1:$Z$20000,MATCH(A1787,'Semrush Data'!$A$1:$A$20000,0),MATCH("Volume",'Semrush Data'!$A$1:$Z$1,0)),"")</f>
        <v/>
      </c>
      <c r="H1787" s="42">
        <f>IFERROR(INDEX('Semrush Data'!$A$1:$Z$20000,MATCH(A1787,'Semrush Data'!$A$1:$A$20000,0),MATCH("Keyword Difficulty*",'Semrush Data'!$A$1:$Z$1,0)),"")</f>
        <v/>
      </c>
      <c r="I1787" s="56">
        <f>IFERROR(INDEX('Semrush Data'!$A$1:$Z$20000,MATCH(A1787,'Semrush Data'!$A$1:$A$20000,0),MATCH("CPC*",'Semrush Data'!$A$1:$Z$1,0)),"")</f>
        <v/>
      </c>
      <c r="J1787" s="42">
        <f>IFERROR(INDEX('Semrush Data'!$A$1:$Z$20000,MATCH(A1787,'Semrush Data'!$A$1:$A$20000,0),MATCH("Intent",'Semrush Data'!$A$1:$Z$1,0)),"")</f>
        <v/>
      </c>
    </row>
    <row r="1788" ht="15" customHeight="1" s="37">
      <c r="A1788" s="42" t="inlineStr">
        <is>
          <t>buy deyga strawberry lip scrub online</t>
        </is>
      </c>
      <c r="B1788" s="42" t="inlineStr">
        <is>
          <t>Buy online</t>
        </is>
      </c>
      <c r="C1788" s="42" t="n">
        <v>3</v>
      </c>
      <c r="D1788" s="42" t="n">
        <v>18</v>
      </c>
      <c r="E1788" s="42" t="n">
        <v>1</v>
      </c>
      <c r="F1788" s="42" t="inlineStr">
        <is>
          <t>VD-131</t>
        </is>
      </c>
      <c r="G1788" s="55">
        <f>IFERROR(INDEX('Semrush Data'!$A$1:$Z$20000,MATCH(A1788,'Semrush Data'!$A$1:$A$20000,0),MATCH("Volume",'Semrush Data'!$A$1:$Z$1,0)),"")</f>
        <v/>
      </c>
      <c r="H1788" s="42">
        <f>IFERROR(INDEX('Semrush Data'!$A$1:$Z$20000,MATCH(A1788,'Semrush Data'!$A$1:$A$20000,0),MATCH("Keyword Difficulty*",'Semrush Data'!$A$1:$Z$1,0)),"")</f>
        <v/>
      </c>
      <c r="I1788" s="56">
        <f>IFERROR(INDEX('Semrush Data'!$A$1:$Z$20000,MATCH(A1788,'Semrush Data'!$A$1:$A$20000,0),MATCH("CPC*",'Semrush Data'!$A$1:$Z$1,0)),"")</f>
        <v/>
      </c>
      <c r="J1788" s="42">
        <f>IFERROR(INDEX('Semrush Data'!$A$1:$Z$20000,MATCH(A1788,'Semrush Data'!$A$1:$A$20000,0),MATCH("Intent",'Semrush Data'!$A$1:$Z$1,0)),"")</f>
        <v/>
      </c>
    </row>
    <row r="1789" ht="15" customHeight="1" s="37">
      <c r="A1789" s="42" t="inlineStr">
        <is>
          <t>buy deyga sunscreen online</t>
        </is>
      </c>
      <c r="B1789" s="42" t="inlineStr">
        <is>
          <t>Buy online</t>
        </is>
      </c>
      <c r="C1789" s="42" t="n">
        <v>3</v>
      </c>
      <c r="D1789" s="42" t="n">
        <v>18</v>
      </c>
      <c r="E1789" s="42" t="n">
        <v>1</v>
      </c>
      <c r="F1789" s="42" t="inlineStr">
        <is>
          <t>VD-105</t>
        </is>
      </c>
      <c r="G1789" s="55">
        <f>IFERROR(INDEX('Semrush Data'!$A$1:$Z$20000,MATCH(A1789,'Semrush Data'!$A$1:$A$20000,0),MATCH("Volume",'Semrush Data'!$A$1:$Z$1,0)),"")</f>
        <v/>
      </c>
      <c r="H1789" s="42">
        <f>IFERROR(INDEX('Semrush Data'!$A$1:$Z$20000,MATCH(A1789,'Semrush Data'!$A$1:$A$20000,0),MATCH("Keyword Difficulty*",'Semrush Data'!$A$1:$Z$1,0)),"")</f>
        <v/>
      </c>
      <c r="I1789" s="56">
        <f>IFERROR(INDEX('Semrush Data'!$A$1:$Z$20000,MATCH(A1789,'Semrush Data'!$A$1:$A$20000,0),MATCH("CPC*",'Semrush Data'!$A$1:$Z$1,0)),"")</f>
        <v/>
      </c>
      <c r="J1789" s="42">
        <f>IFERROR(INDEX('Semrush Data'!$A$1:$Z$20000,MATCH(A1789,'Semrush Data'!$A$1:$A$20000,0),MATCH("Intent",'Semrush Data'!$A$1:$Z$1,0)),"")</f>
        <v/>
      </c>
    </row>
    <row r="1790" ht="15" customHeight="1" s="37">
      <c r="A1790" s="42" t="inlineStr">
        <is>
          <t>buy deyga tangerine cleansing balm for makeup removal online</t>
        </is>
      </c>
      <c r="B1790" s="42" t="inlineStr">
        <is>
          <t>Buy online</t>
        </is>
      </c>
      <c r="C1790" s="42" t="n">
        <v>3</v>
      </c>
      <c r="D1790" s="42" t="n">
        <v>18</v>
      </c>
      <c r="E1790" s="42" t="n">
        <v>1</v>
      </c>
      <c r="F1790" s="42" t="inlineStr">
        <is>
          <t>VD-101</t>
        </is>
      </c>
      <c r="G1790" s="55">
        <f>IFERROR(INDEX('Semrush Data'!$A$1:$Z$20000,MATCH(A1790,'Semrush Data'!$A$1:$A$20000,0),MATCH("Volume",'Semrush Data'!$A$1:$Z$1,0)),"")</f>
        <v/>
      </c>
      <c r="H1790" s="42">
        <f>IFERROR(INDEX('Semrush Data'!$A$1:$Z$20000,MATCH(A1790,'Semrush Data'!$A$1:$A$20000,0),MATCH("Keyword Difficulty*",'Semrush Data'!$A$1:$Z$1,0)),"")</f>
        <v/>
      </c>
      <c r="I1790" s="56">
        <f>IFERROR(INDEX('Semrush Data'!$A$1:$Z$20000,MATCH(A1790,'Semrush Data'!$A$1:$A$20000,0),MATCH("CPC*",'Semrush Data'!$A$1:$Z$1,0)),"")</f>
        <v/>
      </c>
      <c r="J1790" s="42">
        <f>IFERROR(INDEX('Semrush Data'!$A$1:$Z$20000,MATCH(A1790,'Semrush Data'!$A$1:$A$20000,0),MATCH("Intent",'Semrush Data'!$A$1:$Z$1,0)),"")</f>
        <v/>
      </c>
    </row>
    <row r="1791" ht="15" customHeight="1" s="37">
      <c r="A1791" s="42" t="inlineStr">
        <is>
          <t>buy deyga tea tree facial toner online</t>
        </is>
      </c>
      <c r="B1791" s="42" t="inlineStr">
        <is>
          <t>Buy online</t>
        </is>
      </c>
      <c r="C1791" s="42" t="n">
        <v>3</v>
      </c>
      <c r="D1791" s="42" t="n">
        <v>18</v>
      </c>
      <c r="E1791" s="42" t="n">
        <v>1</v>
      </c>
      <c r="F1791" s="42" t="inlineStr">
        <is>
          <t>VD-100</t>
        </is>
      </c>
      <c r="G1791" s="55">
        <f>IFERROR(INDEX('Semrush Data'!$A$1:$Z$20000,MATCH(A1791,'Semrush Data'!$A$1:$A$20000,0),MATCH("Volume",'Semrush Data'!$A$1:$Z$1,0)),"")</f>
        <v/>
      </c>
      <c r="H1791" s="42">
        <f>IFERROR(INDEX('Semrush Data'!$A$1:$Z$20000,MATCH(A1791,'Semrush Data'!$A$1:$A$20000,0),MATCH("Keyword Difficulty*",'Semrush Data'!$A$1:$Z$1,0)),"")</f>
        <v/>
      </c>
      <c r="I1791" s="56">
        <f>IFERROR(INDEX('Semrush Data'!$A$1:$Z$20000,MATCH(A1791,'Semrush Data'!$A$1:$A$20000,0),MATCH("CPC*",'Semrush Data'!$A$1:$Z$1,0)),"")</f>
        <v/>
      </c>
      <c r="J1791" s="42">
        <f>IFERROR(INDEX('Semrush Data'!$A$1:$Z$20000,MATCH(A1791,'Semrush Data'!$A$1:$A$20000,0),MATCH("Intent",'Semrush Data'!$A$1:$Z$1,0)),"")</f>
        <v/>
      </c>
    </row>
    <row r="1792" ht="15" customHeight="1" s="37">
      <c r="A1792" s="42" t="inlineStr">
        <is>
          <t>buy deyga under eye cream online</t>
        </is>
      </c>
      <c r="B1792" s="42" t="inlineStr">
        <is>
          <t>Buy online</t>
        </is>
      </c>
      <c r="C1792" s="42" t="n">
        <v>3</v>
      </c>
      <c r="D1792" s="42" t="n">
        <v>18</v>
      </c>
      <c r="E1792" s="42" t="n">
        <v>1</v>
      </c>
      <c r="F1792" s="42" t="inlineStr">
        <is>
          <t>VD-133</t>
        </is>
      </c>
      <c r="G1792" s="55">
        <f>IFERROR(INDEX('Semrush Data'!$A$1:$Z$20000,MATCH(A1792,'Semrush Data'!$A$1:$A$20000,0),MATCH("Volume",'Semrush Data'!$A$1:$Z$1,0)),"")</f>
        <v/>
      </c>
      <c r="H1792" s="42">
        <f>IFERROR(INDEX('Semrush Data'!$A$1:$Z$20000,MATCH(A1792,'Semrush Data'!$A$1:$A$20000,0),MATCH("Keyword Difficulty*",'Semrush Data'!$A$1:$Z$1,0)),"")</f>
        <v/>
      </c>
      <c r="I1792" s="56">
        <f>IFERROR(INDEX('Semrush Data'!$A$1:$Z$20000,MATCH(A1792,'Semrush Data'!$A$1:$A$20000,0),MATCH("CPC*",'Semrush Data'!$A$1:$Z$1,0)),"")</f>
        <v/>
      </c>
      <c r="J1792" s="42">
        <f>IFERROR(INDEX('Semrush Data'!$A$1:$Z$20000,MATCH(A1792,'Semrush Data'!$A$1:$A$20000,0),MATCH("Intent",'Semrush Data'!$A$1:$Z$1,0)),"")</f>
        <v/>
      </c>
    </row>
    <row r="1793" ht="15" customHeight="1" s="37">
      <c r="A1793" s="42" t="inlineStr">
        <is>
          <t>buy deyga under eye mask online</t>
        </is>
      </c>
      <c r="B1793" s="42" t="inlineStr">
        <is>
          <t>Buy online</t>
        </is>
      </c>
      <c r="C1793" s="42" t="n">
        <v>3</v>
      </c>
      <c r="D1793" s="42" t="n">
        <v>18</v>
      </c>
      <c r="E1793" s="42" t="n">
        <v>1</v>
      </c>
      <c r="F1793" s="42" t="inlineStr">
        <is>
          <t>VD-098</t>
        </is>
      </c>
      <c r="G1793" s="55">
        <f>IFERROR(INDEX('Semrush Data'!$A$1:$Z$20000,MATCH(A1793,'Semrush Data'!$A$1:$A$20000,0),MATCH("Volume",'Semrush Data'!$A$1:$Z$1,0)),"")</f>
        <v/>
      </c>
      <c r="H1793" s="42">
        <f>IFERROR(INDEX('Semrush Data'!$A$1:$Z$20000,MATCH(A1793,'Semrush Data'!$A$1:$A$20000,0),MATCH("Keyword Difficulty*",'Semrush Data'!$A$1:$Z$1,0)),"")</f>
        <v/>
      </c>
      <c r="I1793" s="56">
        <f>IFERROR(INDEX('Semrush Data'!$A$1:$Z$20000,MATCH(A1793,'Semrush Data'!$A$1:$A$20000,0),MATCH("CPC*",'Semrush Data'!$A$1:$Z$1,0)),"")</f>
        <v/>
      </c>
      <c r="J1793" s="42">
        <f>IFERROR(INDEX('Semrush Data'!$A$1:$Z$20000,MATCH(A1793,'Semrush Data'!$A$1:$A$20000,0),MATCH("Intent",'Semrush Data'!$A$1:$Z$1,0)),"")</f>
        <v/>
      </c>
    </row>
    <row r="1794" ht="15" customHeight="1" s="37">
      <c r="A1794" s="42" t="inlineStr">
        <is>
          <t>buy deyga vitamin c daily glow combo online</t>
        </is>
      </c>
      <c r="B1794" s="42" t="inlineStr">
        <is>
          <t>Buy online</t>
        </is>
      </c>
      <c r="C1794" s="42" t="n">
        <v>3</v>
      </c>
      <c r="D1794" s="42" t="n">
        <v>18</v>
      </c>
      <c r="E1794" s="42" t="n">
        <v>1</v>
      </c>
      <c r="F1794" s="42" t="inlineStr">
        <is>
          <t>VD-137</t>
        </is>
      </c>
      <c r="G1794" s="55">
        <f>IFERROR(INDEX('Semrush Data'!$A$1:$Z$20000,MATCH(A1794,'Semrush Data'!$A$1:$A$20000,0),MATCH("Volume",'Semrush Data'!$A$1:$Z$1,0)),"")</f>
        <v/>
      </c>
      <c r="H1794" s="42">
        <f>IFERROR(INDEX('Semrush Data'!$A$1:$Z$20000,MATCH(A1794,'Semrush Data'!$A$1:$A$20000,0),MATCH("Keyword Difficulty*",'Semrush Data'!$A$1:$Z$1,0)),"")</f>
        <v/>
      </c>
      <c r="I1794" s="56">
        <f>IFERROR(INDEX('Semrush Data'!$A$1:$Z$20000,MATCH(A1794,'Semrush Data'!$A$1:$A$20000,0),MATCH("CPC*",'Semrush Data'!$A$1:$Z$1,0)),"")</f>
        <v/>
      </c>
      <c r="J1794" s="42">
        <f>IFERROR(INDEX('Semrush Data'!$A$1:$Z$20000,MATCH(A1794,'Semrush Data'!$A$1:$A$20000,0),MATCH("Intent",'Semrush Data'!$A$1:$Z$1,0)),"")</f>
        <v/>
      </c>
    </row>
    <row r="1795" ht="15" customHeight="1" s="37">
      <c r="A1795" s="42" t="inlineStr">
        <is>
          <t>buy deyga vitamin c foaming face wash online</t>
        </is>
      </c>
      <c r="B1795" s="42" t="inlineStr">
        <is>
          <t>Buy online</t>
        </is>
      </c>
      <c r="C1795" s="42" t="n">
        <v>3</v>
      </c>
      <c r="D1795" s="42" t="n">
        <v>18</v>
      </c>
      <c r="E1795" s="42" t="n">
        <v>1</v>
      </c>
      <c r="F1795" s="42" t="inlineStr">
        <is>
          <t>VD-095</t>
        </is>
      </c>
      <c r="G1795" s="55">
        <f>IFERROR(INDEX('Semrush Data'!$A$1:$Z$20000,MATCH(A1795,'Semrush Data'!$A$1:$A$20000,0),MATCH("Volume",'Semrush Data'!$A$1:$Z$1,0)),"")</f>
        <v/>
      </c>
      <c r="H1795" s="42">
        <f>IFERROR(INDEX('Semrush Data'!$A$1:$Z$20000,MATCH(A1795,'Semrush Data'!$A$1:$A$20000,0),MATCH("Keyword Difficulty*",'Semrush Data'!$A$1:$Z$1,0)),"")</f>
        <v/>
      </c>
      <c r="I1795" s="56">
        <f>IFERROR(INDEX('Semrush Data'!$A$1:$Z$20000,MATCH(A1795,'Semrush Data'!$A$1:$A$20000,0),MATCH("CPC*",'Semrush Data'!$A$1:$Z$1,0)),"")</f>
        <v/>
      </c>
      <c r="J1795" s="42">
        <f>IFERROR(INDEX('Semrush Data'!$A$1:$Z$20000,MATCH(A1795,'Semrush Data'!$A$1:$A$20000,0),MATCH("Intent",'Semrush Data'!$A$1:$Z$1,0)),"")</f>
        <v/>
      </c>
    </row>
    <row r="1796" ht="15" customHeight="1" s="37">
      <c r="A1796" s="42" t="inlineStr">
        <is>
          <t>buy deyga wild berry body wash online</t>
        </is>
      </c>
      <c r="B1796" s="42" t="inlineStr">
        <is>
          <t>Buy online</t>
        </is>
      </c>
      <c r="C1796" s="42" t="n">
        <v>3</v>
      </c>
      <c r="D1796" s="42" t="n">
        <v>18</v>
      </c>
      <c r="E1796" s="42" t="n">
        <v>1</v>
      </c>
      <c r="F1796" s="42" t="inlineStr">
        <is>
          <t>VD-096</t>
        </is>
      </c>
      <c r="G1796" s="55">
        <f>IFERROR(INDEX('Semrush Data'!$A$1:$Z$20000,MATCH(A1796,'Semrush Data'!$A$1:$A$20000,0),MATCH("Volume",'Semrush Data'!$A$1:$Z$1,0)),"")</f>
        <v/>
      </c>
      <c r="H1796" s="42">
        <f>IFERROR(INDEX('Semrush Data'!$A$1:$Z$20000,MATCH(A1796,'Semrush Data'!$A$1:$A$20000,0),MATCH("Keyword Difficulty*",'Semrush Data'!$A$1:$Z$1,0)),"")</f>
        <v/>
      </c>
      <c r="I1796" s="56">
        <f>IFERROR(INDEX('Semrush Data'!$A$1:$Z$20000,MATCH(A1796,'Semrush Data'!$A$1:$A$20000,0),MATCH("CPC*",'Semrush Data'!$A$1:$Z$1,0)),"")</f>
        <v/>
      </c>
      <c r="J1796" s="42">
        <f>IFERROR(INDEX('Semrush Data'!$A$1:$Z$20000,MATCH(A1796,'Semrush Data'!$A$1:$A$20000,0),MATCH("Intent",'Semrush Data'!$A$1:$Z$1,0)),"")</f>
        <v/>
      </c>
    </row>
    <row r="1797" ht="15" customHeight="1" s="37">
      <c r="A1797" s="42" t="inlineStr">
        <is>
          <t>buy dior iconics mini discovery set online</t>
        </is>
      </c>
      <c r="B1797" s="42" t="inlineStr">
        <is>
          <t>Buy online</t>
        </is>
      </c>
      <c r="C1797" s="42" t="n">
        <v>3</v>
      </c>
      <c r="D1797" s="42" t="n">
        <v>18</v>
      </c>
      <c r="E1797" s="42" t="n">
        <v>1</v>
      </c>
      <c r="F1797" s="42" t="inlineStr">
        <is>
          <t>FR-114</t>
        </is>
      </c>
      <c r="G1797" s="55">
        <f>IFERROR(INDEX('Semrush Data'!$A$1:$Z$20000,MATCH(A1797,'Semrush Data'!$A$1:$A$20000,0),MATCH("Volume",'Semrush Data'!$A$1:$Z$1,0)),"")</f>
        <v/>
      </c>
      <c r="H1797" s="42">
        <f>IFERROR(INDEX('Semrush Data'!$A$1:$Z$20000,MATCH(A1797,'Semrush Data'!$A$1:$A$20000,0),MATCH("Keyword Difficulty*",'Semrush Data'!$A$1:$Z$1,0)),"")</f>
        <v/>
      </c>
      <c r="I1797" s="56">
        <f>IFERROR(INDEX('Semrush Data'!$A$1:$Z$20000,MATCH(A1797,'Semrush Data'!$A$1:$A$20000,0),MATCH("CPC*",'Semrush Data'!$A$1:$Z$1,0)),"")</f>
        <v/>
      </c>
      <c r="J1797" s="42">
        <f>IFERROR(INDEX('Semrush Data'!$A$1:$Z$20000,MATCH(A1797,'Semrush Data'!$A$1:$A$20000,0),MATCH("Intent",'Semrush Data'!$A$1:$Z$1,0)),"")</f>
        <v/>
      </c>
    </row>
    <row r="1798" ht="15" customHeight="1" s="37">
      <c r="A1798" s="42" t="inlineStr">
        <is>
          <t>buy dior miss dior roller-pearl online</t>
        </is>
      </c>
      <c r="B1798" s="42" t="inlineStr">
        <is>
          <t>Buy online</t>
        </is>
      </c>
      <c r="C1798" s="42" t="n">
        <v>3</v>
      </c>
      <c r="D1798" s="42" t="n">
        <v>18</v>
      </c>
      <c r="E1798" s="42" t="n">
        <v>1</v>
      </c>
      <c r="F1798" s="42" t="inlineStr">
        <is>
          <t>FR-113</t>
        </is>
      </c>
      <c r="G1798" s="55">
        <f>IFERROR(INDEX('Semrush Data'!$A$1:$Z$20000,MATCH(A1798,'Semrush Data'!$A$1:$A$20000,0),MATCH("Volume",'Semrush Data'!$A$1:$Z$1,0)),"")</f>
        <v/>
      </c>
      <c r="H1798" s="42">
        <f>IFERROR(INDEX('Semrush Data'!$A$1:$Z$20000,MATCH(A1798,'Semrush Data'!$A$1:$A$20000,0),MATCH("Keyword Difficulty*",'Semrush Data'!$A$1:$Z$1,0)),"")</f>
        <v/>
      </c>
      <c r="I1798" s="56">
        <f>IFERROR(INDEX('Semrush Data'!$A$1:$Z$20000,MATCH(A1798,'Semrush Data'!$A$1:$A$20000,0),MATCH("CPC*",'Semrush Data'!$A$1:$Z$1,0)),"")</f>
        <v/>
      </c>
      <c r="J1798" s="42">
        <f>IFERROR(INDEX('Semrush Data'!$A$1:$Z$20000,MATCH(A1798,'Semrush Data'!$A$1:$A$20000,0),MATCH("Intent",'Semrush Data'!$A$1:$Z$1,0)),"")</f>
        <v/>
      </c>
    </row>
    <row r="1799" ht="15" customHeight="1" s="37">
      <c r="A1799" s="42" t="inlineStr">
        <is>
          <t>buy dior sauvage online</t>
        </is>
      </c>
      <c r="B1799" s="42" t="inlineStr">
        <is>
          <t>Buy online</t>
        </is>
      </c>
      <c r="C1799" s="42" t="n">
        <v>3</v>
      </c>
      <c r="D1799" s="42" t="inlineStr">
        <is>
          <t>T3-1</t>
        </is>
      </c>
      <c r="E1799" s="42" t="n">
        <v>1</v>
      </c>
      <c r="F1799" s="42" t="inlineStr">
        <is>
          <t>FR-115</t>
        </is>
      </c>
      <c r="G1799" s="55">
        <f>IFERROR(INDEX('Semrush Data'!$A$1:$Z$20000,MATCH(A1799,'Semrush Data'!$A$1:$A$20000,0),MATCH("Volume",'Semrush Data'!$A$1:$Z$1,0)),"")</f>
        <v/>
      </c>
      <c r="H1799" s="42">
        <f>IFERROR(INDEX('Semrush Data'!$A$1:$Z$20000,MATCH(A1799,'Semrush Data'!$A$1:$A$20000,0),MATCH("Keyword Difficulty*",'Semrush Data'!$A$1:$Z$1,0)),"")</f>
        <v/>
      </c>
      <c r="I1799" s="56">
        <f>IFERROR(INDEX('Semrush Data'!$A$1:$Z$20000,MATCH(A1799,'Semrush Data'!$A$1:$A$20000,0),MATCH("CPC*",'Semrush Data'!$A$1:$Z$1,0)),"")</f>
        <v/>
      </c>
      <c r="J1799" s="42">
        <f>IFERROR(INDEX('Semrush Data'!$A$1:$Z$20000,MATCH(A1799,'Semrush Data'!$A$1:$A$20000,0),MATCH("Intent",'Semrush Data'!$A$1:$Z$1,0)),"")</f>
        <v/>
      </c>
    </row>
    <row r="1800" ht="15" customHeight="1" s="37">
      <c r="A1800" s="42" t="inlineStr">
        <is>
          <t>buy dkny be delicious &amp; be delicious fresh blossom gift set online</t>
        </is>
      </c>
      <c r="B1800" s="42" t="inlineStr">
        <is>
          <t>Buy online</t>
        </is>
      </c>
      <c r="C1800" s="42" t="n">
        <v>3</v>
      </c>
      <c r="D1800" s="42" t="n">
        <v>18</v>
      </c>
      <c r="E1800" s="42" t="n">
        <v>1</v>
      </c>
      <c r="F1800" s="42" t="inlineStr">
        <is>
          <t>FR-118</t>
        </is>
      </c>
      <c r="G1800" s="55">
        <f>IFERROR(INDEX('Semrush Data'!$A$1:$Z$20000,MATCH(A1800,'Semrush Data'!$A$1:$A$20000,0),MATCH("Volume",'Semrush Data'!$A$1:$Z$1,0)),"")</f>
        <v/>
      </c>
      <c r="H1800" s="42">
        <f>IFERROR(INDEX('Semrush Data'!$A$1:$Z$20000,MATCH(A1800,'Semrush Data'!$A$1:$A$20000,0),MATCH("Keyword Difficulty*",'Semrush Data'!$A$1:$Z$1,0)),"")</f>
        <v/>
      </c>
      <c r="I1800" s="56">
        <f>IFERROR(INDEX('Semrush Data'!$A$1:$Z$20000,MATCH(A1800,'Semrush Data'!$A$1:$A$20000,0),MATCH("CPC*",'Semrush Data'!$A$1:$Z$1,0)),"")</f>
        <v/>
      </c>
      <c r="J1800" s="42">
        <f>IFERROR(INDEX('Semrush Data'!$A$1:$Z$20000,MATCH(A1800,'Semrush Data'!$A$1:$A$20000,0),MATCH("Intent",'Semrush Data'!$A$1:$Z$1,0)),"")</f>
        <v/>
      </c>
    </row>
    <row r="1801" ht="15" customHeight="1" s="37">
      <c r="A1801" s="42" t="inlineStr">
        <is>
          <t>buy dkny be delicious orchard street online</t>
        </is>
      </c>
      <c r="B1801" s="42" t="inlineStr">
        <is>
          <t>Buy online</t>
        </is>
      </c>
      <c r="C1801" s="42" t="n">
        <v>3</v>
      </c>
      <c r="D1801" s="42" t="n">
        <v>18</v>
      </c>
      <c r="E1801" s="42" t="n">
        <v>1</v>
      </c>
      <c r="F1801" s="42" t="inlineStr">
        <is>
          <t>FR-116</t>
        </is>
      </c>
      <c r="G1801" s="55">
        <f>IFERROR(INDEX('Semrush Data'!$A$1:$Z$20000,MATCH(A1801,'Semrush Data'!$A$1:$A$20000,0),MATCH("Volume",'Semrush Data'!$A$1:$Z$1,0)),"")</f>
        <v/>
      </c>
      <c r="H1801" s="42">
        <f>IFERROR(INDEX('Semrush Data'!$A$1:$Z$20000,MATCH(A1801,'Semrush Data'!$A$1:$A$20000,0),MATCH("Keyword Difficulty*",'Semrush Data'!$A$1:$Z$1,0)),"")</f>
        <v/>
      </c>
      <c r="I1801" s="56">
        <f>IFERROR(INDEX('Semrush Data'!$A$1:$Z$20000,MATCH(A1801,'Semrush Data'!$A$1:$A$20000,0),MATCH("CPC*",'Semrush Data'!$A$1:$Z$1,0)),"")</f>
        <v/>
      </c>
      <c r="J1801" s="42">
        <f>IFERROR(INDEX('Semrush Data'!$A$1:$Z$20000,MATCH(A1801,'Semrush Data'!$A$1:$A$20000,0),MATCH("Intent",'Semrush Data'!$A$1:$Z$1,0)),"")</f>
        <v/>
      </c>
    </row>
    <row r="1802" ht="15" customHeight="1" s="37">
      <c r="A1802" s="42" t="inlineStr">
        <is>
          <t>buy dkny be tempted online</t>
        </is>
      </c>
      <c r="B1802" s="42" t="inlineStr">
        <is>
          <t>Buy online</t>
        </is>
      </c>
      <c r="C1802" s="42" t="n">
        <v>3</v>
      </c>
      <c r="D1802" s="42" t="n">
        <v>19</v>
      </c>
      <c r="E1802" s="42" t="n">
        <v>1</v>
      </c>
      <c r="F1802" s="42" t="inlineStr">
        <is>
          <t>FR-117</t>
        </is>
      </c>
      <c r="G1802" s="55">
        <f>IFERROR(INDEX('Semrush Data'!$A$1:$Z$20000,MATCH(A1802,'Semrush Data'!$A$1:$A$20000,0),MATCH("Volume",'Semrush Data'!$A$1:$Z$1,0)),"")</f>
        <v/>
      </c>
      <c r="H1802" s="42">
        <f>IFERROR(INDEX('Semrush Data'!$A$1:$Z$20000,MATCH(A1802,'Semrush Data'!$A$1:$A$20000,0),MATCH("Keyword Difficulty*",'Semrush Data'!$A$1:$Z$1,0)),"")</f>
        <v/>
      </c>
      <c r="I1802" s="56">
        <f>IFERROR(INDEX('Semrush Data'!$A$1:$Z$20000,MATCH(A1802,'Semrush Data'!$A$1:$A$20000,0),MATCH("CPC*",'Semrush Data'!$A$1:$Z$1,0)),"")</f>
        <v/>
      </c>
      <c r="J1802" s="42">
        <f>IFERROR(INDEX('Semrush Data'!$A$1:$Z$20000,MATCH(A1802,'Semrush Data'!$A$1:$A$20000,0),MATCH("Intent",'Semrush Data'!$A$1:$Z$1,0)),"")</f>
        <v/>
      </c>
    </row>
    <row r="1803" ht="15" customHeight="1" s="37">
      <c r="A1803" s="42" t="inlineStr">
        <is>
          <t>buy dkny miniature set online</t>
        </is>
      </c>
      <c r="B1803" s="42" t="inlineStr">
        <is>
          <t>Buy online</t>
        </is>
      </c>
      <c r="C1803" s="42" t="n">
        <v>3</v>
      </c>
      <c r="D1803" s="42" t="n">
        <v>19</v>
      </c>
      <c r="E1803" s="42" t="n">
        <v>1</v>
      </c>
      <c r="F1803" s="42" t="inlineStr">
        <is>
          <t>FR-119</t>
        </is>
      </c>
      <c r="G1803" s="55">
        <f>IFERROR(INDEX('Semrush Data'!$A$1:$Z$20000,MATCH(A1803,'Semrush Data'!$A$1:$A$20000,0),MATCH("Volume",'Semrush Data'!$A$1:$Z$1,0)),"")</f>
        <v/>
      </c>
      <c r="H1803" s="42">
        <f>IFERROR(INDEX('Semrush Data'!$A$1:$Z$20000,MATCH(A1803,'Semrush Data'!$A$1:$A$20000,0),MATCH("Keyword Difficulty*",'Semrush Data'!$A$1:$Z$1,0)),"")</f>
        <v/>
      </c>
      <c r="I1803" s="56">
        <f>IFERROR(INDEX('Semrush Data'!$A$1:$Z$20000,MATCH(A1803,'Semrush Data'!$A$1:$A$20000,0),MATCH("CPC*",'Semrush Data'!$A$1:$Z$1,0)),"")</f>
        <v/>
      </c>
      <c r="J1803" s="42">
        <f>IFERROR(INDEX('Semrush Data'!$A$1:$Z$20000,MATCH(A1803,'Semrush Data'!$A$1:$A$20000,0),MATCH("Intent",'Semrush Data'!$A$1:$Z$1,0)),"")</f>
        <v/>
      </c>
    </row>
    <row r="1804" ht="15" customHeight="1" s="37">
      <c r="A1804" s="42" t="inlineStr">
        <is>
          <t>buy dolce &amp; gabbana devotion gift set online</t>
        </is>
      </c>
      <c r="B1804" s="42" t="inlineStr">
        <is>
          <t>Buy online</t>
        </is>
      </c>
      <c r="C1804" s="42" t="n">
        <v>3</v>
      </c>
      <c r="D1804" s="42" t="n">
        <v>19</v>
      </c>
      <c r="E1804" s="42" t="n">
        <v>1</v>
      </c>
      <c r="F1804" s="42" t="inlineStr">
        <is>
          <t>FR-127</t>
        </is>
      </c>
      <c r="G1804" s="55">
        <f>IFERROR(INDEX('Semrush Data'!$A$1:$Z$20000,MATCH(A1804,'Semrush Data'!$A$1:$A$20000,0),MATCH("Volume",'Semrush Data'!$A$1:$Z$1,0)),"")</f>
        <v/>
      </c>
      <c r="H1804" s="42">
        <f>IFERROR(INDEX('Semrush Data'!$A$1:$Z$20000,MATCH(A1804,'Semrush Data'!$A$1:$A$20000,0),MATCH("Keyword Difficulty*",'Semrush Data'!$A$1:$Z$1,0)),"")</f>
        <v/>
      </c>
      <c r="I1804" s="56">
        <f>IFERROR(INDEX('Semrush Data'!$A$1:$Z$20000,MATCH(A1804,'Semrush Data'!$A$1:$A$20000,0),MATCH("CPC*",'Semrush Data'!$A$1:$Z$1,0)),"")</f>
        <v/>
      </c>
      <c r="J1804" s="42">
        <f>IFERROR(INDEX('Semrush Data'!$A$1:$Z$20000,MATCH(A1804,'Semrush Data'!$A$1:$A$20000,0),MATCH("Intent",'Semrush Data'!$A$1:$Z$1,0)),"")</f>
        <v/>
      </c>
    </row>
    <row r="1805" ht="15" customHeight="1" s="37">
      <c r="A1805" s="42" t="inlineStr">
        <is>
          <t>buy dolce &amp; gabbana devotion online</t>
        </is>
      </c>
      <c r="B1805" s="42" t="inlineStr">
        <is>
          <t>Buy online</t>
        </is>
      </c>
      <c r="C1805" s="42" t="n">
        <v>3</v>
      </c>
      <c r="D1805" s="42" t="n">
        <v>19</v>
      </c>
      <c r="E1805" s="42" t="n">
        <v>1</v>
      </c>
      <c r="F1805" s="42" t="inlineStr">
        <is>
          <t>FR-120</t>
        </is>
      </c>
      <c r="G1805" s="55">
        <f>IFERROR(INDEX('Semrush Data'!$A$1:$Z$20000,MATCH(A1805,'Semrush Data'!$A$1:$A$20000,0),MATCH("Volume",'Semrush Data'!$A$1:$Z$1,0)),"")</f>
        <v/>
      </c>
      <c r="H1805" s="42">
        <f>IFERROR(INDEX('Semrush Data'!$A$1:$Z$20000,MATCH(A1805,'Semrush Data'!$A$1:$A$20000,0),MATCH("Keyword Difficulty*",'Semrush Data'!$A$1:$Z$1,0)),"")</f>
        <v/>
      </c>
      <c r="I1805" s="56">
        <f>IFERROR(INDEX('Semrush Data'!$A$1:$Z$20000,MATCH(A1805,'Semrush Data'!$A$1:$A$20000,0),MATCH("CPC*",'Semrush Data'!$A$1:$Z$1,0)),"")</f>
        <v/>
      </c>
      <c r="J1805" s="42">
        <f>IFERROR(INDEX('Semrush Data'!$A$1:$Z$20000,MATCH(A1805,'Semrush Data'!$A$1:$A$20000,0),MATCH("Intent",'Semrush Data'!$A$1:$Z$1,0)),"")</f>
        <v/>
      </c>
    </row>
    <row r="1806" ht="15" customHeight="1" s="37">
      <c r="A1806" s="42" t="inlineStr">
        <is>
          <t>buy dolce &amp; gabbana k gift set online</t>
        </is>
      </c>
      <c r="B1806" s="42" t="inlineStr">
        <is>
          <t>Buy online</t>
        </is>
      </c>
      <c r="C1806" s="42" t="n">
        <v>3</v>
      </c>
      <c r="D1806" s="42" t="n">
        <v>19</v>
      </c>
      <c r="E1806" s="42" t="n">
        <v>1</v>
      </c>
      <c r="F1806" s="42" t="inlineStr">
        <is>
          <t>FR-128</t>
        </is>
      </c>
      <c r="G1806" s="55">
        <f>IFERROR(INDEX('Semrush Data'!$A$1:$Z$20000,MATCH(A1806,'Semrush Data'!$A$1:$A$20000,0),MATCH("Volume",'Semrush Data'!$A$1:$Z$1,0)),"")</f>
        <v/>
      </c>
      <c r="H1806" s="42">
        <f>IFERROR(INDEX('Semrush Data'!$A$1:$Z$20000,MATCH(A1806,'Semrush Data'!$A$1:$A$20000,0),MATCH("Keyword Difficulty*",'Semrush Data'!$A$1:$Z$1,0)),"")</f>
        <v/>
      </c>
      <c r="I1806" s="56">
        <f>IFERROR(INDEX('Semrush Data'!$A$1:$Z$20000,MATCH(A1806,'Semrush Data'!$A$1:$A$20000,0),MATCH("CPC*",'Semrush Data'!$A$1:$Z$1,0)),"")</f>
        <v/>
      </c>
      <c r="J1806" s="42">
        <f>IFERROR(INDEX('Semrush Data'!$A$1:$Z$20000,MATCH(A1806,'Semrush Data'!$A$1:$A$20000,0),MATCH("Intent",'Semrush Data'!$A$1:$Z$1,0)),"")</f>
        <v/>
      </c>
    </row>
    <row r="1807" ht="15" customHeight="1" s="37">
      <c r="A1807" s="42" t="inlineStr">
        <is>
          <t>buy dolce &amp; gabbana l'imperatrice online</t>
        </is>
      </c>
      <c r="B1807" s="42" t="inlineStr">
        <is>
          <t>Buy online</t>
        </is>
      </c>
      <c r="C1807" s="42" t="n">
        <v>3</v>
      </c>
      <c r="D1807" s="42" t="n">
        <v>19</v>
      </c>
      <c r="E1807" s="42" t="n">
        <v>1</v>
      </c>
      <c r="F1807" s="42" t="inlineStr">
        <is>
          <t>FR-126</t>
        </is>
      </c>
      <c r="G1807" s="55">
        <f>IFERROR(INDEX('Semrush Data'!$A$1:$Z$20000,MATCH(A1807,'Semrush Data'!$A$1:$A$20000,0),MATCH("Volume",'Semrush Data'!$A$1:$Z$1,0)),"")</f>
        <v/>
      </c>
      <c r="H1807" s="42">
        <f>IFERROR(INDEX('Semrush Data'!$A$1:$Z$20000,MATCH(A1807,'Semrush Data'!$A$1:$A$20000,0),MATCH("Keyword Difficulty*",'Semrush Data'!$A$1:$Z$1,0)),"")</f>
        <v/>
      </c>
      <c r="I1807" s="56">
        <f>IFERROR(INDEX('Semrush Data'!$A$1:$Z$20000,MATCH(A1807,'Semrush Data'!$A$1:$A$20000,0),MATCH("CPC*",'Semrush Data'!$A$1:$Z$1,0)),"")</f>
        <v/>
      </c>
      <c r="J1807" s="42">
        <f>IFERROR(INDEX('Semrush Data'!$A$1:$Z$20000,MATCH(A1807,'Semrush Data'!$A$1:$A$20000,0),MATCH("Intent",'Semrush Data'!$A$1:$Z$1,0)),"")</f>
        <v/>
      </c>
    </row>
    <row r="1808" ht="15" customHeight="1" s="37">
      <c r="A1808" s="42" t="inlineStr">
        <is>
          <t>buy dolce &amp; gabbana miniature set online</t>
        </is>
      </c>
      <c r="B1808" s="42" t="inlineStr">
        <is>
          <t>Buy online</t>
        </is>
      </c>
      <c r="C1808" s="42" t="n">
        <v>3</v>
      </c>
      <c r="D1808" s="42" t="n">
        <v>19</v>
      </c>
      <c r="E1808" s="42" t="n">
        <v>2</v>
      </c>
      <c r="F1808" s="42" t="inlineStr">
        <is>
          <t>FR-129, FR-131</t>
        </is>
      </c>
      <c r="G1808" s="55">
        <f>IFERROR(INDEX('Semrush Data'!$A$1:$Z$20000,MATCH(A1808,'Semrush Data'!$A$1:$A$20000,0),MATCH("Volume",'Semrush Data'!$A$1:$Z$1,0)),"")</f>
        <v/>
      </c>
      <c r="H1808" s="42">
        <f>IFERROR(INDEX('Semrush Data'!$A$1:$Z$20000,MATCH(A1808,'Semrush Data'!$A$1:$A$20000,0),MATCH("Keyword Difficulty*",'Semrush Data'!$A$1:$Z$1,0)),"")</f>
        <v/>
      </c>
      <c r="I1808" s="56">
        <f>IFERROR(INDEX('Semrush Data'!$A$1:$Z$20000,MATCH(A1808,'Semrush Data'!$A$1:$A$20000,0),MATCH("CPC*",'Semrush Data'!$A$1:$Z$1,0)),"")</f>
        <v/>
      </c>
      <c r="J1808" s="42">
        <f>IFERROR(INDEX('Semrush Data'!$A$1:$Z$20000,MATCH(A1808,'Semrush Data'!$A$1:$A$20000,0),MATCH("Intent",'Semrush Data'!$A$1:$Z$1,0)),"")</f>
        <v/>
      </c>
    </row>
    <row r="1809" ht="15" customHeight="1" s="37">
      <c r="A1809" s="42" t="inlineStr">
        <is>
          <t>buy dolce &amp; gabbana q online</t>
        </is>
      </c>
      <c r="B1809" s="42" t="inlineStr">
        <is>
          <t>Buy online</t>
        </is>
      </c>
      <c r="C1809" s="42" t="n">
        <v>3</v>
      </c>
      <c r="D1809" s="42" t="n">
        <v>19</v>
      </c>
      <c r="E1809" s="42" t="n">
        <v>1</v>
      </c>
      <c r="F1809" s="42" t="inlineStr">
        <is>
          <t>FR-121</t>
        </is>
      </c>
      <c r="G1809" s="55">
        <f>IFERROR(INDEX('Semrush Data'!$A$1:$Z$20000,MATCH(A1809,'Semrush Data'!$A$1:$A$20000,0),MATCH("Volume",'Semrush Data'!$A$1:$Z$1,0)),"")</f>
        <v/>
      </c>
      <c r="H1809" s="42">
        <f>IFERROR(INDEX('Semrush Data'!$A$1:$Z$20000,MATCH(A1809,'Semrush Data'!$A$1:$A$20000,0),MATCH("Keyword Difficulty*",'Semrush Data'!$A$1:$Z$1,0)),"")</f>
        <v/>
      </c>
      <c r="I1809" s="56">
        <f>IFERROR(INDEX('Semrush Data'!$A$1:$Z$20000,MATCH(A1809,'Semrush Data'!$A$1:$A$20000,0),MATCH("CPC*",'Semrush Data'!$A$1:$Z$1,0)),"")</f>
        <v/>
      </c>
      <c r="J1809" s="42">
        <f>IFERROR(INDEX('Semrush Data'!$A$1:$Z$20000,MATCH(A1809,'Semrush Data'!$A$1:$A$20000,0),MATCH("Intent",'Semrush Data'!$A$1:$Z$1,0)),"")</f>
        <v/>
      </c>
    </row>
    <row r="1810" ht="15" customHeight="1" s="37">
      <c r="A1810" s="42" t="inlineStr">
        <is>
          <t>buy dolce &amp; gabbana the one gift set online</t>
        </is>
      </c>
      <c r="B1810" s="42" t="inlineStr">
        <is>
          <t>Buy online</t>
        </is>
      </c>
      <c r="C1810" s="42" t="n">
        <v>3</v>
      </c>
      <c r="D1810" s="42" t="n">
        <v>19</v>
      </c>
      <c r="E1810" s="42" t="n">
        <v>1</v>
      </c>
      <c r="F1810" s="42" t="inlineStr">
        <is>
          <t>FR-130</t>
        </is>
      </c>
      <c r="G1810" s="55">
        <f>IFERROR(INDEX('Semrush Data'!$A$1:$Z$20000,MATCH(A1810,'Semrush Data'!$A$1:$A$20000,0),MATCH("Volume",'Semrush Data'!$A$1:$Z$1,0)),"")</f>
        <v/>
      </c>
      <c r="H1810" s="42">
        <f>IFERROR(INDEX('Semrush Data'!$A$1:$Z$20000,MATCH(A1810,'Semrush Data'!$A$1:$A$20000,0),MATCH("Keyword Difficulty*",'Semrush Data'!$A$1:$Z$1,0)),"")</f>
        <v/>
      </c>
      <c r="I1810" s="56">
        <f>IFERROR(INDEX('Semrush Data'!$A$1:$Z$20000,MATCH(A1810,'Semrush Data'!$A$1:$A$20000,0),MATCH("CPC*",'Semrush Data'!$A$1:$Z$1,0)),"")</f>
        <v/>
      </c>
      <c r="J1810" s="42">
        <f>IFERROR(INDEX('Semrush Data'!$A$1:$Z$20000,MATCH(A1810,'Semrush Data'!$A$1:$A$20000,0),MATCH("Intent",'Semrush Data'!$A$1:$Z$1,0)),"")</f>
        <v/>
      </c>
    </row>
    <row r="1811" ht="15" customHeight="1" s="37">
      <c r="A1811" s="42" t="inlineStr">
        <is>
          <t>buy dolce &amp; gabbana the one gold intense online</t>
        </is>
      </c>
      <c r="B1811" s="42" t="inlineStr">
        <is>
          <t>Buy online</t>
        </is>
      </c>
      <c r="C1811" s="42" t="n">
        <v>3</v>
      </c>
      <c r="D1811" s="42" t="n">
        <v>19</v>
      </c>
      <c r="E1811" s="42" t="n">
        <v>1</v>
      </c>
      <c r="F1811" s="42" t="inlineStr">
        <is>
          <t>FR-125</t>
        </is>
      </c>
      <c r="G1811" s="55">
        <f>IFERROR(INDEX('Semrush Data'!$A$1:$Z$20000,MATCH(A1811,'Semrush Data'!$A$1:$A$20000,0),MATCH("Volume",'Semrush Data'!$A$1:$Z$1,0)),"")</f>
        <v/>
      </c>
      <c r="H1811" s="42">
        <f>IFERROR(INDEX('Semrush Data'!$A$1:$Z$20000,MATCH(A1811,'Semrush Data'!$A$1:$A$20000,0),MATCH("Keyword Difficulty*",'Semrush Data'!$A$1:$Z$1,0)),"")</f>
        <v/>
      </c>
      <c r="I1811" s="56">
        <f>IFERROR(INDEX('Semrush Data'!$A$1:$Z$20000,MATCH(A1811,'Semrush Data'!$A$1:$A$20000,0),MATCH("CPC*",'Semrush Data'!$A$1:$Z$1,0)),"")</f>
        <v/>
      </c>
      <c r="J1811" s="42">
        <f>IFERROR(INDEX('Semrush Data'!$A$1:$Z$20000,MATCH(A1811,'Semrush Data'!$A$1:$A$20000,0),MATCH("Intent",'Semrush Data'!$A$1:$Z$1,0)),"")</f>
        <v/>
      </c>
    </row>
    <row r="1812" ht="15" customHeight="1" s="37">
      <c r="A1812" s="42" t="inlineStr">
        <is>
          <t>buy dolce &amp; gabbana the one intense online</t>
        </is>
      </c>
      <c r="B1812" s="42" t="inlineStr">
        <is>
          <t>Buy online</t>
        </is>
      </c>
      <c r="C1812" s="42" t="n">
        <v>3</v>
      </c>
      <c r="D1812" s="42" t="n">
        <v>19</v>
      </c>
      <c r="E1812" s="42" t="n">
        <v>1</v>
      </c>
      <c r="F1812" s="42" t="inlineStr">
        <is>
          <t>FR-124</t>
        </is>
      </c>
      <c r="G1812" s="55">
        <f>IFERROR(INDEX('Semrush Data'!$A$1:$Z$20000,MATCH(A1812,'Semrush Data'!$A$1:$A$20000,0),MATCH("Volume",'Semrush Data'!$A$1:$Z$1,0)),"")</f>
        <v/>
      </c>
      <c r="H1812" s="42">
        <f>IFERROR(INDEX('Semrush Data'!$A$1:$Z$20000,MATCH(A1812,'Semrush Data'!$A$1:$A$20000,0),MATCH("Keyword Difficulty*",'Semrush Data'!$A$1:$Z$1,0)),"")</f>
        <v/>
      </c>
      <c r="I1812" s="56">
        <f>IFERROR(INDEX('Semrush Data'!$A$1:$Z$20000,MATCH(A1812,'Semrush Data'!$A$1:$A$20000,0),MATCH("CPC*",'Semrush Data'!$A$1:$Z$1,0)),"")</f>
        <v/>
      </c>
      <c r="J1812" s="42">
        <f>IFERROR(INDEX('Semrush Data'!$A$1:$Z$20000,MATCH(A1812,'Semrush Data'!$A$1:$A$20000,0),MATCH("Intent",'Semrush Data'!$A$1:$Z$1,0)),"")</f>
        <v/>
      </c>
    </row>
    <row r="1813" ht="15" customHeight="1" s="37">
      <c r="A1813" s="42" t="inlineStr">
        <is>
          <t>buy dolce &amp; gabbana the one online</t>
        </is>
      </c>
      <c r="B1813" s="42" t="inlineStr">
        <is>
          <t>Buy online</t>
        </is>
      </c>
      <c r="C1813" s="42" t="n">
        <v>3</v>
      </c>
      <c r="D1813" s="42" t="n">
        <v>19</v>
      </c>
      <c r="E1813" s="42" t="n">
        <v>2</v>
      </c>
      <c r="F1813" s="42" t="inlineStr">
        <is>
          <t>FR-122, FR-123</t>
        </is>
      </c>
      <c r="G1813" s="55">
        <f>IFERROR(INDEX('Semrush Data'!$A$1:$Z$20000,MATCH(A1813,'Semrush Data'!$A$1:$A$20000,0),MATCH("Volume",'Semrush Data'!$A$1:$Z$1,0)),"")</f>
        <v/>
      </c>
      <c r="H1813" s="42">
        <f>IFERROR(INDEX('Semrush Data'!$A$1:$Z$20000,MATCH(A1813,'Semrush Data'!$A$1:$A$20000,0),MATCH("Keyword Difficulty*",'Semrush Data'!$A$1:$Z$1,0)),"")</f>
        <v/>
      </c>
      <c r="I1813" s="56">
        <f>IFERROR(INDEX('Semrush Data'!$A$1:$Z$20000,MATCH(A1813,'Semrush Data'!$A$1:$A$20000,0),MATCH("CPC*",'Semrush Data'!$A$1:$Z$1,0)),"")</f>
        <v/>
      </c>
      <c r="J1813" s="42">
        <f>IFERROR(INDEX('Semrush Data'!$A$1:$Z$20000,MATCH(A1813,'Semrush Data'!$A$1:$A$20000,0),MATCH("Intent",'Semrush Data'!$A$1:$Z$1,0)),"")</f>
        <v/>
      </c>
    </row>
    <row r="1814" ht="15" customHeight="1" s="37">
      <c r="A1814" s="42" t="inlineStr">
        <is>
          <t>buy dunhill desire black online</t>
        </is>
      </c>
      <c r="B1814" s="42" t="inlineStr">
        <is>
          <t>Buy online</t>
        </is>
      </c>
      <c r="C1814" s="42" t="n">
        <v>3</v>
      </c>
      <c r="D1814" s="42" t="n">
        <v>19</v>
      </c>
      <c r="E1814" s="42" t="n">
        <v>1</v>
      </c>
      <c r="F1814" s="42" t="inlineStr">
        <is>
          <t>FR-142</t>
        </is>
      </c>
      <c r="G1814" s="55">
        <f>IFERROR(INDEX('Semrush Data'!$A$1:$Z$20000,MATCH(A1814,'Semrush Data'!$A$1:$A$20000,0),MATCH("Volume",'Semrush Data'!$A$1:$Z$1,0)),"")</f>
        <v/>
      </c>
      <c r="H1814" s="42">
        <f>IFERROR(INDEX('Semrush Data'!$A$1:$Z$20000,MATCH(A1814,'Semrush Data'!$A$1:$A$20000,0),MATCH("Keyword Difficulty*",'Semrush Data'!$A$1:$Z$1,0)),"")</f>
        <v/>
      </c>
      <c r="I1814" s="56">
        <f>IFERROR(INDEX('Semrush Data'!$A$1:$Z$20000,MATCH(A1814,'Semrush Data'!$A$1:$A$20000,0),MATCH("CPC*",'Semrush Data'!$A$1:$Z$1,0)),"")</f>
        <v/>
      </c>
      <c r="J1814" s="42">
        <f>IFERROR(INDEX('Semrush Data'!$A$1:$Z$20000,MATCH(A1814,'Semrush Data'!$A$1:$A$20000,0),MATCH("Intent",'Semrush Data'!$A$1:$Z$1,0)),"")</f>
        <v/>
      </c>
    </row>
    <row r="1815" ht="15" customHeight="1" s="37">
      <c r="A1815" s="42" t="inlineStr">
        <is>
          <t>buy dunhill desire blue online</t>
        </is>
      </c>
      <c r="B1815" s="42" t="inlineStr">
        <is>
          <t>Buy online</t>
        </is>
      </c>
      <c r="C1815" s="42" t="n">
        <v>3</v>
      </c>
      <c r="D1815" s="42" t="n">
        <v>19</v>
      </c>
      <c r="E1815" s="42" t="n">
        <v>1</v>
      </c>
      <c r="F1815" s="42" t="inlineStr">
        <is>
          <t>FR-143</t>
        </is>
      </c>
      <c r="G1815" s="55">
        <f>IFERROR(INDEX('Semrush Data'!$A$1:$Z$20000,MATCH(A1815,'Semrush Data'!$A$1:$A$20000,0),MATCH("Volume",'Semrush Data'!$A$1:$Z$1,0)),"")</f>
        <v/>
      </c>
      <c r="H1815" s="42">
        <f>IFERROR(INDEX('Semrush Data'!$A$1:$Z$20000,MATCH(A1815,'Semrush Data'!$A$1:$A$20000,0),MATCH("Keyword Difficulty*",'Semrush Data'!$A$1:$Z$1,0)),"")</f>
        <v/>
      </c>
      <c r="I1815" s="56">
        <f>IFERROR(INDEX('Semrush Data'!$A$1:$Z$20000,MATCH(A1815,'Semrush Data'!$A$1:$A$20000,0),MATCH("CPC*",'Semrush Data'!$A$1:$Z$1,0)),"")</f>
        <v/>
      </c>
      <c r="J1815" s="42">
        <f>IFERROR(INDEX('Semrush Data'!$A$1:$Z$20000,MATCH(A1815,'Semrush Data'!$A$1:$A$20000,0),MATCH("Intent",'Semrush Data'!$A$1:$Z$1,0)),"")</f>
        <v/>
      </c>
    </row>
    <row r="1816" ht="15" customHeight="1" s="37">
      <c r="A1816" s="42" t="inlineStr">
        <is>
          <t>buy dunhill desire gold online</t>
        </is>
      </c>
      <c r="B1816" s="42" t="inlineStr">
        <is>
          <t>Buy online</t>
        </is>
      </c>
      <c r="C1816" s="42" t="n">
        <v>3</v>
      </c>
      <c r="D1816" s="42" t="n">
        <v>19</v>
      </c>
      <c r="E1816" s="42" t="n">
        <v>1</v>
      </c>
      <c r="F1816" s="42" t="inlineStr">
        <is>
          <t>FR-144</t>
        </is>
      </c>
      <c r="G1816" s="55">
        <f>IFERROR(INDEX('Semrush Data'!$A$1:$Z$20000,MATCH(A1816,'Semrush Data'!$A$1:$A$20000,0),MATCH("Volume",'Semrush Data'!$A$1:$Z$1,0)),"")</f>
        <v/>
      </c>
      <c r="H1816" s="42">
        <f>IFERROR(INDEX('Semrush Data'!$A$1:$Z$20000,MATCH(A1816,'Semrush Data'!$A$1:$A$20000,0),MATCH("Keyword Difficulty*",'Semrush Data'!$A$1:$Z$1,0)),"")</f>
        <v/>
      </c>
      <c r="I1816" s="56">
        <f>IFERROR(INDEX('Semrush Data'!$A$1:$Z$20000,MATCH(A1816,'Semrush Data'!$A$1:$A$20000,0),MATCH("CPC*",'Semrush Data'!$A$1:$Z$1,0)),"")</f>
        <v/>
      </c>
      <c r="J1816" s="42">
        <f>IFERROR(INDEX('Semrush Data'!$A$1:$Z$20000,MATCH(A1816,'Semrush Data'!$A$1:$A$20000,0),MATCH("Intent",'Semrush Data'!$A$1:$Z$1,0)),"")</f>
        <v/>
      </c>
    </row>
    <row r="1817" ht="15" customHeight="1" s="37">
      <c r="A1817" s="42" t="inlineStr">
        <is>
          <t>buy dunhill desire silver online</t>
        </is>
      </c>
      <c r="B1817" s="42" t="inlineStr">
        <is>
          <t>Buy online</t>
        </is>
      </c>
      <c r="C1817" s="42" t="n">
        <v>3</v>
      </c>
      <c r="D1817" s="42" t="n">
        <v>19</v>
      </c>
      <c r="E1817" s="42" t="n">
        <v>1</v>
      </c>
      <c r="F1817" s="42" t="inlineStr">
        <is>
          <t>FR-145</t>
        </is>
      </c>
      <c r="G1817" s="55">
        <f>IFERROR(INDEX('Semrush Data'!$A$1:$Z$20000,MATCH(A1817,'Semrush Data'!$A$1:$A$20000,0),MATCH("Volume",'Semrush Data'!$A$1:$Z$1,0)),"")</f>
        <v/>
      </c>
      <c r="H1817" s="42">
        <f>IFERROR(INDEX('Semrush Data'!$A$1:$Z$20000,MATCH(A1817,'Semrush Data'!$A$1:$A$20000,0),MATCH("Keyword Difficulty*",'Semrush Data'!$A$1:$Z$1,0)),"")</f>
        <v/>
      </c>
      <c r="I1817" s="56">
        <f>IFERROR(INDEX('Semrush Data'!$A$1:$Z$20000,MATCH(A1817,'Semrush Data'!$A$1:$A$20000,0),MATCH("CPC*",'Semrush Data'!$A$1:$Z$1,0)),"")</f>
        <v/>
      </c>
      <c r="J1817" s="42">
        <f>IFERROR(INDEX('Semrush Data'!$A$1:$Z$20000,MATCH(A1817,'Semrush Data'!$A$1:$A$20000,0),MATCH("Intent",'Semrush Data'!$A$1:$Z$1,0)),"")</f>
        <v/>
      </c>
    </row>
    <row r="1818" ht="15" customHeight="1" s="37">
      <c r="A1818" s="42" t="inlineStr">
        <is>
          <t>buy dunhill signature collection agar wood online</t>
        </is>
      </c>
      <c r="B1818" s="42" t="inlineStr">
        <is>
          <t>Buy online</t>
        </is>
      </c>
      <c r="C1818" s="42" t="n">
        <v>3</v>
      </c>
      <c r="D1818" s="42" t="n">
        <v>19</v>
      </c>
      <c r="E1818" s="42" t="n">
        <v>1</v>
      </c>
      <c r="F1818" s="42" t="inlineStr">
        <is>
          <t>FR-132</t>
        </is>
      </c>
      <c r="G1818" s="55">
        <f>IFERROR(INDEX('Semrush Data'!$A$1:$Z$20000,MATCH(A1818,'Semrush Data'!$A$1:$A$20000,0),MATCH("Volume",'Semrush Data'!$A$1:$Z$1,0)),"")</f>
        <v/>
      </c>
      <c r="H1818" s="42">
        <f>IFERROR(INDEX('Semrush Data'!$A$1:$Z$20000,MATCH(A1818,'Semrush Data'!$A$1:$A$20000,0),MATCH("Keyword Difficulty*",'Semrush Data'!$A$1:$Z$1,0)),"")</f>
        <v/>
      </c>
      <c r="I1818" s="56">
        <f>IFERROR(INDEX('Semrush Data'!$A$1:$Z$20000,MATCH(A1818,'Semrush Data'!$A$1:$A$20000,0),MATCH("CPC*",'Semrush Data'!$A$1:$Z$1,0)),"")</f>
        <v/>
      </c>
      <c r="J1818" s="42">
        <f>IFERROR(INDEX('Semrush Data'!$A$1:$Z$20000,MATCH(A1818,'Semrush Data'!$A$1:$A$20000,0),MATCH("Intent",'Semrush Data'!$A$1:$Z$1,0)),"")</f>
        <v/>
      </c>
    </row>
    <row r="1819" ht="15" customHeight="1" s="37">
      <c r="A1819" s="42" t="inlineStr">
        <is>
          <t>buy dunhill signature collection amalfi citrus online</t>
        </is>
      </c>
      <c r="B1819" s="42" t="inlineStr">
        <is>
          <t>Buy online</t>
        </is>
      </c>
      <c r="C1819" s="42" t="n">
        <v>3</v>
      </c>
      <c r="D1819" s="42" t="n">
        <v>19</v>
      </c>
      <c r="E1819" s="42" t="n">
        <v>1</v>
      </c>
      <c r="F1819" s="42" t="inlineStr">
        <is>
          <t>FR-133</t>
        </is>
      </c>
      <c r="G1819" s="55">
        <f>IFERROR(INDEX('Semrush Data'!$A$1:$Z$20000,MATCH(A1819,'Semrush Data'!$A$1:$A$20000,0),MATCH("Volume",'Semrush Data'!$A$1:$Z$1,0)),"")</f>
        <v/>
      </c>
      <c r="H1819" s="42">
        <f>IFERROR(INDEX('Semrush Data'!$A$1:$Z$20000,MATCH(A1819,'Semrush Data'!$A$1:$A$20000,0),MATCH("Keyword Difficulty*",'Semrush Data'!$A$1:$Z$1,0)),"")</f>
        <v/>
      </c>
      <c r="I1819" s="56">
        <f>IFERROR(INDEX('Semrush Data'!$A$1:$Z$20000,MATCH(A1819,'Semrush Data'!$A$1:$A$20000,0),MATCH("CPC*",'Semrush Data'!$A$1:$Z$1,0)),"")</f>
        <v/>
      </c>
      <c r="J1819" s="42">
        <f>IFERROR(INDEX('Semrush Data'!$A$1:$Z$20000,MATCH(A1819,'Semrush Data'!$A$1:$A$20000,0),MATCH("Intent",'Semrush Data'!$A$1:$Z$1,0)),"")</f>
        <v/>
      </c>
    </row>
    <row r="1820" ht="15" customHeight="1" s="37">
      <c r="A1820" s="42" t="inlineStr">
        <is>
          <t>buy dunhill signature collection arabian desert online</t>
        </is>
      </c>
      <c r="B1820" s="42" t="inlineStr">
        <is>
          <t>Buy online</t>
        </is>
      </c>
      <c r="C1820" s="42" t="n">
        <v>3</v>
      </c>
      <c r="D1820" s="42" t="n">
        <v>19</v>
      </c>
      <c r="E1820" s="42" t="n">
        <v>1</v>
      </c>
      <c r="F1820" s="42" t="inlineStr">
        <is>
          <t>FR-134</t>
        </is>
      </c>
      <c r="G1820" s="55">
        <f>IFERROR(INDEX('Semrush Data'!$A$1:$Z$20000,MATCH(A1820,'Semrush Data'!$A$1:$A$20000,0),MATCH("Volume",'Semrush Data'!$A$1:$Z$1,0)),"")</f>
        <v/>
      </c>
      <c r="H1820" s="42">
        <f>IFERROR(INDEX('Semrush Data'!$A$1:$Z$20000,MATCH(A1820,'Semrush Data'!$A$1:$A$20000,0),MATCH("Keyword Difficulty*",'Semrush Data'!$A$1:$Z$1,0)),"")</f>
        <v/>
      </c>
      <c r="I1820" s="56">
        <f>IFERROR(INDEX('Semrush Data'!$A$1:$Z$20000,MATCH(A1820,'Semrush Data'!$A$1:$A$20000,0),MATCH("CPC*",'Semrush Data'!$A$1:$Z$1,0)),"")</f>
        <v/>
      </c>
      <c r="J1820" s="42">
        <f>IFERROR(INDEX('Semrush Data'!$A$1:$Z$20000,MATCH(A1820,'Semrush Data'!$A$1:$A$20000,0),MATCH("Intent",'Semrush Data'!$A$1:$Z$1,0)),"")</f>
        <v/>
      </c>
    </row>
    <row r="1821" ht="15" customHeight="1" s="37">
      <c r="A1821" s="42" t="inlineStr">
        <is>
          <t>buy dunhill signature collection british leather online</t>
        </is>
      </c>
      <c r="B1821" s="42" t="inlineStr">
        <is>
          <t>Buy online</t>
        </is>
      </c>
      <c r="C1821" s="42" t="n">
        <v>3</v>
      </c>
      <c r="D1821" s="42" t="n">
        <v>19</v>
      </c>
      <c r="E1821" s="42" t="n">
        <v>1</v>
      </c>
      <c r="F1821" s="42" t="inlineStr">
        <is>
          <t>FR-135</t>
        </is>
      </c>
      <c r="G1821" s="55">
        <f>IFERROR(INDEX('Semrush Data'!$A$1:$Z$20000,MATCH(A1821,'Semrush Data'!$A$1:$A$20000,0),MATCH("Volume",'Semrush Data'!$A$1:$Z$1,0)),"")</f>
        <v/>
      </c>
      <c r="H1821" s="42">
        <f>IFERROR(INDEX('Semrush Data'!$A$1:$Z$20000,MATCH(A1821,'Semrush Data'!$A$1:$A$20000,0),MATCH("Keyword Difficulty*",'Semrush Data'!$A$1:$Z$1,0)),"")</f>
        <v/>
      </c>
      <c r="I1821" s="56">
        <f>IFERROR(INDEX('Semrush Data'!$A$1:$Z$20000,MATCH(A1821,'Semrush Data'!$A$1:$A$20000,0),MATCH("CPC*",'Semrush Data'!$A$1:$Z$1,0)),"")</f>
        <v/>
      </c>
      <c r="J1821" s="42">
        <f>IFERROR(INDEX('Semrush Data'!$A$1:$Z$20000,MATCH(A1821,'Semrush Data'!$A$1:$A$20000,0),MATCH("Intent",'Semrush Data'!$A$1:$Z$1,0)),"")</f>
        <v/>
      </c>
    </row>
    <row r="1822" ht="15" customHeight="1" s="37">
      <c r="A1822" s="42" t="inlineStr">
        <is>
          <t>buy dunhill signature collection egyptian smoke online</t>
        </is>
      </c>
      <c r="B1822" s="42" t="inlineStr">
        <is>
          <t>Buy online</t>
        </is>
      </c>
      <c r="C1822" s="42" t="n">
        <v>3</v>
      </c>
      <c r="D1822" s="42" t="n">
        <v>19</v>
      </c>
      <c r="E1822" s="42" t="n">
        <v>1</v>
      </c>
      <c r="F1822" s="42" t="inlineStr">
        <is>
          <t>FR-136</t>
        </is>
      </c>
      <c r="G1822" s="55">
        <f>IFERROR(INDEX('Semrush Data'!$A$1:$Z$20000,MATCH(A1822,'Semrush Data'!$A$1:$A$20000,0),MATCH("Volume",'Semrush Data'!$A$1:$Z$1,0)),"")</f>
        <v/>
      </c>
      <c r="H1822" s="42">
        <f>IFERROR(INDEX('Semrush Data'!$A$1:$Z$20000,MATCH(A1822,'Semrush Data'!$A$1:$A$20000,0),MATCH("Keyword Difficulty*",'Semrush Data'!$A$1:$Z$1,0)),"")</f>
        <v/>
      </c>
      <c r="I1822" s="56">
        <f>IFERROR(INDEX('Semrush Data'!$A$1:$Z$20000,MATCH(A1822,'Semrush Data'!$A$1:$A$20000,0),MATCH("CPC*",'Semrush Data'!$A$1:$Z$1,0)),"")</f>
        <v/>
      </c>
      <c r="J1822" s="42">
        <f>IFERROR(INDEX('Semrush Data'!$A$1:$Z$20000,MATCH(A1822,'Semrush Data'!$A$1:$A$20000,0),MATCH("Intent",'Semrush Data'!$A$1:$Z$1,0)),"")</f>
        <v/>
      </c>
    </row>
    <row r="1823" ht="15" customHeight="1" s="37">
      <c r="A1823" s="42" t="inlineStr">
        <is>
          <t>buy dunhill signature collection indian sandalwood online</t>
        </is>
      </c>
      <c r="B1823" s="42" t="inlineStr">
        <is>
          <t>Buy online</t>
        </is>
      </c>
      <c r="C1823" s="42" t="n">
        <v>3</v>
      </c>
      <c r="D1823" s="42" t="n">
        <v>19</v>
      </c>
      <c r="E1823" s="42" t="n">
        <v>1</v>
      </c>
      <c r="F1823" s="42" t="inlineStr">
        <is>
          <t>FR-137</t>
        </is>
      </c>
      <c r="G1823" s="55">
        <f>IFERROR(INDEX('Semrush Data'!$A$1:$Z$20000,MATCH(A1823,'Semrush Data'!$A$1:$A$20000,0),MATCH("Volume",'Semrush Data'!$A$1:$Z$1,0)),"")</f>
        <v/>
      </c>
      <c r="H1823" s="42">
        <f>IFERROR(INDEX('Semrush Data'!$A$1:$Z$20000,MATCH(A1823,'Semrush Data'!$A$1:$A$20000,0),MATCH("Keyword Difficulty*",'Semrush Data'!$A$1:$Z$1,0)),"")</f>
        <v/>
      </c>
      <c r="I1823" s="56">
        <f>IFERROR(INDEX('Semrush Data'!$A$1:$Z$20000,MATCH(A1823,'Semrush Data'!$A$1:$A$20000,0),MATCH("CPC*",'Semrush Data'!$A$1:$Z$1,0)),"")</f>
        <v/>
      </c>
      <c r="J1823" s="42">
        <f>IFERROR(INDEX('Semrush Data'!$A$1:$Z$20000,MATCH(A1823,'Semrush Data'!$A$1:$A$20000,0),MATCH("Intent",'Semrush Data'!$A$1:$Z$1,0)),"")</f>
        <v/>
      </c>
    </row>
    <row r="1824" ht="15" customHeight="1" s="37">
      <c r="A1824" s="42" t="inlineStr">
        <is>
          <t>buy dunhill signature collection mongolian cashmere online</t>
        </is>
      </c>
      <c r="B1824" s="42" t="inlineStr">
        <is>
          <t>Buy online</t>
        </is>
      </c>
      <c r="C1824" s="42" t="n">
        <v>3</v>
      </c>
      <c r="D1824" s="42" t="n">
        <v>19</v>
      </c>
      <c r="E1824" s="42" t="n">
        <v>1</v>
      </c>
      <c r="F1824" s="42" t="inlineStr">
        <is>
          <t>FR-138</t>
        </is>
      </c>
      <c r="G1824" s="55">
        <f>IFERROR(INDEX('Semrush Data'!$A$1:$Z$20000,MATCH(A1824,'Semrush Data'!$A$1:$A$20000,0),MATCH("Volume",'Semrush Data'!$A$1:$Z$1,0)),"")</f>
        <v/>
      </c>
      <c r="H1824" s="42">
        <f>IFERROR(INDEX('Semrush Data'!$A$1:$Z$20000,MATCH(A1824,'Semrush Data'!$A$1:$A$20000,0),MATCH("Keyword Difficulty*",'Semrush Data'!$A$1:$Z$1,0)),"")</f>
        <v/>
      </c>
      <c r="I1824" s="56">
        <f>IFERROR(INDEX('Semrush Data'!$A$1:$Z$20000,MATCH(A1824,'Semrush Data'!$A$1:$A$20000,0),MATCH("CPC*",'Semrush Data'!$A$1:$Z$1,0)),"")</f>
        <v/>
      </c>
      <c r="J1824" s="42">
        <f>IFERROR(INDEX('Semrush Data'!$A$1:$Z$20000,MATCH(A1824,'Semrush Data'!$A$1:$A$20000,0),MATCH("Intent",'Semrush Data'!$A$1:$Z$1,0)),"")</f>
        <v/>
      </c>
    </row>
    <row r="1825" ht="15" customHeight="1" s="37">
      <c r="A1825" s="42" t="inlineStr">
        <is>
          <t>buy dunhill signature collection moroccan amber online</t>
        </is>
      </c>
      <c r="B1825" s="42" t="inlineStr">
        <is>
          <t>Buy online</t>
        </is>
      </c>
      <c r="C1825" s="42" t="n">
        <v>3</v>
      </c>
      <c r="D1825" s="42" t="n">
        <v>19</v>
      </c>
      <c r="E1825" s="42" t="n">
        <v>1</v>
      </c>
      <c r="F1825" s="42" t="inlineStr">
        <is>
          <t>FR-139</t>
        </is>
      </c>
      <c r="G1825" s="55">
        <f>IFERROR(INDEX('Semrush Data'!$A$1:$Z$20000,MATCH(A1825,'Semrush Data'!$A$1:$A$20000,0),MATCH("Volume",'Semrush Data'!$A$1:$Z$1,0)),"")</f>
        <v/>
      </c>
      <c r="H1825" s="42">
        <f>IFERROR(INDEX('Semrush Data'!$A$1:$Z$20000,MATCH(A1825,'Semrush Data'!$A$1:$A$20000,0),MATCH("Keyword Difficulty*",'Semrush Data'!$A$1:$Z$1,0)),"")</f>
        <v/>
      </c>
      <c r="I1825" s="56">
        <f>IFERROR(INDEX('Semrush Data'!$A$1:$Z$20000,MATCH(A1825,'Semrush Data'!$A$1:$A$20000,0),MATCH("CPC*",'Semrush Data'!$A$1:$Z$1,0)),"")</f>
        <v/>
      </c>
      <c r="J1825" s="42">
        <f>IFERROR(INDEX('Semrush Data'!$A$1:$Z$20000,MATCH(A1825,'Semrush Data'!$A$1:$A$20000,0),MATCH("Intent",'Semrush Data'!$A$1:$Z$1,0)),"")</f>
        <v/>
      </c>
    </row>
    <row r="1826" ht="15" customHeight="1" s="37">
      <c r="A1826" s="42" t="inlineStr">
        <is>
          <t>buy dunhill signature collection nordic fougere online</t>
        </is>
      </c>
      <c r="B1826" s="42" t="inlineStr">
        <is>
          <t>Buy online</t>
        </is>
      </c>
      <c r="C1826" s="42" t="n">
        <v>3</v>
      </c>
      <c r="D1826" s="42" t="n">
        <v>19</v>
      </c>
      <c r="E1826" s="42" t="n">
        <v>1</v>
      </c>
      <c r="F1826" s="42" t="inlineStr">
        <is>
          <t>FR-140</t>
        </is>
      </c>
      <c r="G1826" s="55">
        <f>IFERROR(INDEX('Semrush Data'!$A$1:$Z$20000,MATCH(A1826,'Semrush Data'!$A$1:$A$20000,0),MATCH("Volume",'Semrush Data'!$A$1:$Z$1,0)),"")</f>
        <v/>
      </c>
      <c r="H1826" s="42">
        <f>IFERROR(INDEX('Semrush Data'!$A$1:$Z$20000,MATCH(A1826,'Semrush Data'!$A$1:$A$20000,0),MATCH("Keyword Difficulty*",'Semrush Data'!$A$1:$Z$1,0)),"")</f>
        <v/>
      </c>
      <c r="I1826" s="56">
        <f>IFERROR(INDEX('Semrush Data'!$A$1:$Z$20000,MATCH(A1826,'Semrush Data'!$A$1:$A$20000,0),MATCH("CPC*",'Semrush Data'!$A$1:$Z$1,0)),"")</f>
        <v/>
      </c>
      <c r="J1826" s="42">
        <f>IFERROR(INDEX('Semrush Data'!$A$1:$Z$20000,MATCH(A1826,'Semrush Data'!$A$1:$A$20000,0),MATCH("Intent",'Semrush Data'!$A$1:$Z$1,0)),"")</f>
        <v/>
      </c>
    </row>
    <row r="1827" ht="15" customHeight="1" s="37">
      <c r="A1827" s="42" t="inlineStr">
        <is>
          <t>buy dunhill signature collection valensole lavender online</t>
        </is>
      </c>
      <c r="B1827" s="42" t="inlineStr">
        <is>
          <t>Buy online</t>
        </is>
      </c>
      <c r="C1827" s="42" t="n">
        <v>3</v>
      </c>
      <c r="D1827" s="42" t="n">
        <v>19</v>
      </c>
      <c r="E1827" s="42" t="n">
        <v>1</v>
      </c>
      <c r="F1827" s="42" t="inlineStr">
        <is>
          <t>FR-141</t>
        </is>
      </c>
      <c r="G1827" s="55">
        <f>IFERROR(INDEX('Semrush Data'!$A$1:$Z$20000,MATCH(A1827,'Semrush Data'!$A$1:$A$20000,0),MATCH("Volume",'Semrush Data'!$A$1:$Z$1,0)),"")</f>
        <v/>
      </c>
      <c r="H1827" s="42">
        <f>IFERROR(INDEX('Semrush Data'!$A$1:$Z$20000,MATCH(A1827,'Semrush Data'!$A$1:$A$20000,0),MATCH("Keyword Difficulty*",'Semrush Data'!$A$1:$Z$1,0)),"")</f>
        <v/>
      </c>
      <c r="I1827" s="56">
        <f>IFERROR(INDEX('Semrush Data'!$A$1:$Z$20000,MATCH(A1827,'Semrush Data'!$A$1:$A$20000,0),MATCH("CPC*",'Semrush Data'!$A$1:$Z$1,0)),"")</f>
        <v/>
      </c>
      <c r="J1827" s="42">
        <f>IFERROR(INDEX('Semrush Data'!$A$1:$Z$20000,MATCH(A1827,'Semrush Data'!$A$1:$A$20000,0),MATCH("Intent",'Semrush Data'!$A$1:$Z$1,0)),"")</f>
        <v/>
      </c>
    </row>
    <row r="1828" ht="15" customHeight="1" s="37">
      <c r="A1828" s="42" t="inlineStr">
        <is>
          <t>buy elie saab elixir online</t>
        </is>
      </c>
      <c r="B1828" s="42" t="inlineStr">
        <is>
          <t>Buy online</t>
        </is>
      </c>
      <c r="C1828" s="42" t="n">
        <v>3</v>
      </c>
      <c r="D1828" s="42" t="n">
        <v>19</v>
      </c>
      <c r="E1828" s="42" t="n">
        <v>1</v>
      </c>
      <c r="F1828" s="42" t="inlineStr">
        <is>
          <t>FR-146</t>
        </is>
      </c>
      <c r="G1828" s="55">
        <f>IFERROR(INDEX('Semrush Data'!$A$1:$Z$20000,MATCH(A1828,'Semrush Data'!$A$1:$A$20000,0),MATCH("Volume",'Semrush Data'!$A$1:$Z$1,0)),"")</f>
        <v/>
      </c>
      <c r="H1828" s="42">
        <f>IFERROR(INDEX('Semrush Data'!$A$1:$Z$20000,MATCH(A1828,'Semrush Data'!$A$1:$A$20000,0),MATCH("Keyword Difficulty*",'Semrush Data'!$A$1:$Z$1,0)),"")</f>
        <v/>
      </c>
      <c r="I1828" s="56">
        <f>IFERROR(INDEX('Semrush Data'!$A$1:$Z$20000,MATCH(A1828,'Semrush Data'!$A$1:$A$20000,0),MATCH("CPC*",'Semrush Data'!$A$1:$Z$1,0)),"")</f>
        <v/>
      </c>
      <c r="J1828" s="42">
        <f>IFERROR(INDEX('Semrush Data'!$A$1:$Z$20000,MATCH(A1828,'Semrush Data'!$A$1:$A$20000,0),MATCH("Intent",'Semrush Data'!$A$1:$Z$1,0)),"")</f>
        <v/>
      </c>
    </row>
    <row r="1829" ht="15" customHeight="1" s="37">
      <c r="A1829" s="42" t="inlineStr">
        <is>
          <t>buy elie saab girl of now lovely gift set online</t>
        </is>
      </c>
      <c r="B1829" s="42" t="inlineStr">
        <is>
          <t>Buy online</t>
        </is>
      </c>
      <c r="C1829" s="42" t="n">
        <v>3</v>
      </c>
      <c r="D1829" s="42" t="n">
        <v>19</v>
      </c>
      <c r="E1829" s="42" t="n">
        <v>1</v>
      </c>
      <c r="F1829" s="42" t="inlineStr">
        <is>
          <t>FR-153</t>
        </is>
      </c>
      <c r="G1829" s="55">
        <f>IFERROR(INDEX('Semrush Data'!$A$1:$Z$20000,MATCH(A1829,'Semrush Data'!$A$1:$A$20000,0),MATCH("Volume",'Semrush Data'!$A$1:$Z$1,0)),"")</f>
        <v/>
      </c>
      <c r="H1829" s="42">
        <f>IFERROR(INDEX('Semrush Data'!$A$1:$Z$20000,MATCH(A1829,'Semrush Data'!$A$1:$A$20000,0),MATCH("Keyword Difficulty*",'Semrush Data'!$A$1:$Z$1,0)),"")</f>
        <v/>
      </c>
      <c r="I1829" s="56">
        <f>IFERROR(INDEX('Semrush Data'!$A$1:$Z$20000,MATCH(A1829,'Semrush Data'!$A$1:$A$20000,0),MATCH("CPC*",'Semrush Data'!$A$1:$Z$1,0)),"")</f>
        <v/>
      </c>
      <c r="J1829" s="42">
        <f>IFERROR(INDEX('Semrush Data'!$A$1:$Z$20000,MATCH(A1829,'Semrush Data'!$A$1:$A$20000,0),MATCH("Intent",'Semrush Data'!$A$1:$Z$1,0)),"")</f>
        <v/>
      </c>
    </row>
    <row r="1830" ht="15" customHeight="1" s="37">
      <c r="A1830" s="42" t="inlineStr">
        <is>
          <t>buy elie saab la collection des essences no. 1 rose online</t>
        </is>
      </c>
      <c r="B1830" s="42" t="inlineStr">
        <is>
          <t>Buy online</t>
        </is>
      </c>
      <c r="C1830" s="42" t="n">
        <v>3</v>
      </c>
      <c r="D1830" s="42" t="n">
        <v>19</v>
      </c>
      <c r="E1830" s="42" t="n">
        <v>1</v>
      </c>
      <c r="F1830" s="42" t="inlineStr">
        <is>
          <t>FR-147</t>
        </is>
      </c>
      <c r="G1830" s="55">
        <f>IFERROR(INDEX('Semrush Data'!$A$1:$Z$20000,MATCH(A1830,'Semrush Data'!$A$1:$A$20000,0),MATCH("Volume",'Semrush Data'!$A$1:$Z$1,0)),"")</f>
        <v/>
      </c>
      <c r="H1830" s="42">
        <f>IFERROR(INDEX('Semrush Data'!$A$1:$Z$20000,MATCH(A1830,'Semrush Data'!$A$1:$A$20000,0),MATCH("Keyword Difficulty*",'Semrush Data'!$A$1:$Z$1,0)),"")</f>
        <v/>
      </c>
      <c r="I1830" s="56">
        <f>IFERROR(INDEX('Semrush Data'!$A$1:$Z$20000,MATCH(A1830,'Semrush Data'!$A$1:$A$20000,0),MATCH("CPC*",'Semrush Data'!$A$1:$Z$1,0)),"")</f>
        <v/>
      </c>
      <c r="J1830" s="42">
        <f>IFERROR(INDEX('Semrush Data'!$A$1:$Z$20000,MATCH(A1830,'Semrush Data'!$A$1:$A$20000,0),MATCH("Intent",'Semrush Data'!$A$1:$Z$1,0)),"")</f>
        <v/>
      </c>
    </row>
    <row r="1831" ht="15" customHeight="1" s="37">
      <c r="A1831" s="42" t="inlineStr">
        <is>
          <t>buy elie saab la collection des essences no. 4 oud online</t>
        </is>
      </c>
      <c r="B1831" s="42" t="inlineStr">
        <is>
          <t>Buy online</t>
        </is>
      </c>
      <c r="C1831" s="42" t="n">
        <v>3</v>
      </c>
      <c r="D1831" s="42" t="n">
        <v>19</v>
      </c>
      <c r="E1831" s="42" t="n">
        <v>1</v>
      </c>
      <c r="F1831" s="42" t="inlineStr">
        <is>
          <t>FR-148</t>
        </is>
      </c>
      <c r="G1831" s="55">
        <f>IFERROR(INDEX('Semrush Data'!$A$1:$Z$20000,MATCH(A1831,'Semrush Data'!$A$1:$A$20000,0),MATCH("Volume",'Semrush Data'!$A$1:$Z$1,0)),"")</f>
        <v/>
      </c>
      <c r="H1831" s="42">
        <f>IFERROR(INDEX('Semrush Data'!$A$1:$Z$20000,MATCH(A1831,'Semrush Data'!$A$1:$A$20000,0),MATCH("Keyword Difficulty*",'Semrush Data'!$A$1:$Z$1,0)),"")</f>
        <v/>
      </c>
      <c r="I1831" s="56">
        <f>IFERROR(INDEX('Semrush Data'!$A$1:$Z$20000,MATCH(A1831,'Semrush Data'!$A$1:$A$20000,0),MATCH("CPC*",'Semrush Data'!$A$1:$Z$1,0)),"")</f>
        <v/>
      </c>
      <c r="J1831" s="42">
        <f>IFERROR(INDEX('Semrush Data'!$A$1:$Z$20000,MATCH(A1831,'Semrush Data'!$A$1:$A$20000,0),MATCH("Intent",'Semrush Data'!$A$1:$Z$1,0)),"")</f>
        <v/>
      </c>
    </row>
    <row r="1832" ht="15" customHeight="1" s="37">
      <c r="A1832" s="42" t="inlineStr">
        <is>
          <t>buy elie saab le online</t>
        </is>
      </c>
      <c r="B1832" s="42" t="inlineStr">
        <is>
          <t>Buy online</t>
        </is>
      </c>
      <c r="C1832" s="42" t="n">
        <v>3</v>
      </c>
      <c r="D1832" s="42" t="n">
        <v>19</v>
      </c>
      <c r="E1832" s="42" t="n">
        <v>1</v>
      </c>
      <c r="F1832" s="42" t="inlineStr">
        <is>
          <t>FR-150</t>
        </is>
      </c>
      <c r="G1832" s="55">
        <f>IFERROR(INDEX('Semrush Data'!$A$1:$Z$20000,MATCH(A1832,'Semrush Data'!$A$1:$A$20000,0),MATCH("Volume",'Semrush Data'!$A$1:$Z$1,0)),"")</f>
        <v/>
      </c>
      <c r="H1832" s="42">
        <f>IFERROR(INDEX('Semrush Data'!$A$1:$Z$20000,MATCH(A1832,'Semrush Data'!$A$1:$A$20000,0),MATCH("Keyword Difficulty*",'Semrush Data'!$A$1:$Z$1,0)),"")</f>
        <v/>
      </c>
      <c r="I1832" s="56">
        <f>IFERROR(INDEX('Semrush Data'!$A$1:$Z$20000,MATCH(A1832,'Semrush Data'!$A$1:$A$20000,0),MATCH("CPC*",'Semrush Data'!$A$1:$Z$1,0)),"")</f>
        <v/>
      </c>
      <c r="J1832" s="42">
        <f>IFERROR(INDEX('Semrush Data'!$A$1:$Z$20000,MATCH(A1832,'Semrush Data'!$A$1:$A$20000,0),MATCH("Intent",'Semrush Data'!$A$1:$Z$1,0)),"")</f>
        <v/>
      </c>
    </row>
    <row r="1833" ht="15" customHeight="1" s="37">
      <c r="A1833" s="42" t="inlineStr">
        <is>
          <t>buy elie saab le parfum bridal online</t>
        </is>
      </c>
      <c r="B1833" s="42" t="inlineStr">
        <is>
          <t>Buy online</t>
        </is>
      </c>
      <c r="C1833" s="42" t="n">
        <v>3</v>
      </c>
      <c r="D1833" s="42" t="n">
        <v>19</v>
      </c>
      <c r="E1833" s="42" t="n">
        <v>1</v>
      </c>
      <c r="F1833" s="42" t="inlineStr">
        <is>
          <t>FR-149</t>
        </is>
      </c>
      <c r="G1833" s="55">
        <f>IFERROR(INDEX('Semrush Data'!$A$1:$Z$20000,MATCH(A1833,'Semrush Data'!$A$1:$A$20000,0),MATCH("Volume",'Semrush Data'!$A$1:$Z$1,0)),"")</f>
        <v/>
      </c>
      <c r="H1833" s="42">
        <f>IFERROR(INDEX('Semrush Data'!$A$1:$Z$20000,MATCH(A1833,'Semrush Data'!$A$1:$A$20000,0),MATCH("Keyword Difficulty*",'Semrush Data'!$A$1:$Z$1,0)),"")</f>
        <v/>
      </c>
      <c r="I1833" s="56">
        <f>IFERROR(INDEX('Semrush Data'!$A$1:$Z$20000,MATCH(A1833,'Semrush Data'!$A$1:$A$20000,0),MATCH("CPC*",'Semrush Data'!$A$1:$Z$1,0)),"")</f>
        <v/>
      </c>
      <c r="J1833" s="42">
        <f>IFERROR(INDEX('Semrush Data'!$A$1:$Z$20000,MATCH(A1833,'Semrush Data'!$A$1:$A$20000,0),MATCH("Intent",'Semrush Data'!$A$1:$Z$1,0)),"")</f>
        <v/>
      </c>
    </row>
    <row r="1834" ht="15" customHeight="1" s="37">
      <c r="A1834" s="42" t="inlineStr">
        <is>
          <t>buy elie saab le parfum gift set online</t>
        </is>
      </c>
      <c r="B1834" s="42" t="inlineStr">
        <is>
          <t>Buy online</t>
        </is>
      </c>
      <c r="C1834" s="42" t="n">
        <v>3</v>
      </c>
      <c r="D1834" s="42" t="n">
        <v>19</v>
      </c>
      <c r="E1834" s="42" t="n">
        <v>1</v>
      </c>
      <c r="F1834" s="42" t="inlineStr">
        <is>
          <t>FR-154</t>
        </is>
      </c>
      <c r="G1834" s="55">
        <f>IFERROR(INDEX('Semrush Data'!$A$1:$Z$20000,MATCH(A1834,'Semrush Data'!$A$1:$A$20000,0),MATCH("Volume",'Semrush Data'!$A$1:$Z$1,0)),"")</f>
        <v/>
      </c>
      <c r="H1834" s="42">
        <f>IFERROR(INDEX('Semrush Data'!$A$1:$Z$20000,MATCH(A1834,'Semrush Data'!$A$1:$A$20000,0),MATCH("Keyword Difficulty*",'Semrush Data'!$A$1:$Z$1,0)),"")</f>
        <v/>
      </c>
      <c r="I1834" s="56">
        <f>IFERROR(INDEX('Semrush Data'!$A$1:$Z$20000,MATCH(A1834,'Semrush Data'!$A$1:$A$20000,0),MATCH("CPC*",'Semrush Data'!$A$1:$Z$1,0)),"")</f>
        <v/>
      </c>
      <c r="J1834" s="42">
        <f>IFERROR(INDEX('Semrush Data'!$A$1:$Z$20000,MATCH(A1834,'Semrush Data'!$A$1:$A$20000,0),MATCH("Intent",'Semrush Data'!$A$1:$Z$1,0)),"")</f>
        <v/>
      </c>
    </row>
    <row r="1835" ht="15" customHeight="1" s="37">
      <c r="A1835" s="42" t="inlineStr">
        <is>
          <t>buy elie saab le parfum intense online</t>
        </is>
      </c>
      <c r="B1835" s="42" t="inlineStr">
        <is>
          <t>Buy online</t>
        </is>
      </c>
      <c r="C1835" s="42" t="n">
        <v>3</v>
      </c>
      <c r="D1835" s="42" t="n">
        <v>19</v>
      </c>
      <c r="E1835" s="42" t="n">
        <v>1</v>
      </c>
      <c r="F1835" s="42" t="inlineStr">
        <is>
          <t>FR-151</t>
        </is>
      </c>
      <c r="G1835" s="55">
        <f>IFERROR(INDEX('Semrush Data'!$A$1:$Z$20000,MATCH(A1835,'Semrush Data'!$A$1:$A$20000,0),MATCH("Volume",'Semrush Data'!$A$1:$Z$1,0)),"")</f>
        <v/>
      </c>
      <c r="H1835" s="42">
        <f>IFERROR(INDEX('Semrush Data'!$A$1:$Z$20000,MATCH(A1835,'Semrush Data'!$A$1:$A$20000,0),MATCH("Keyword Difficulty*",'Semrush Data'!$A$1:$Z$1,0)),"")</f>
        <v/>
      </c>
      <c r="I1835" s="56">
        <f>IFERROR(INDEX('Semrush Data'!$A$1:$Z$20000,MATCH(A1835,'Semrush Data'!$A$1:$A$20000,0),MATCH("CPC*",'Semrush Data'!$A$1:$Z$1,0)),"")</f>
        <v/>
      </c>
      <c r="J1835" s="42">
        <f>IFERROR(INDEX('Semrush Data'!$A$1:$Z$20000,MATCH(A1835,'Semrush Data'!$A$1:$A$20000,0),MATCH("Intent",'Semrush Data'!$A$1:$Z$1,0)),"")</f>
        <v/>
      </c>
    </row>
    <row r="1836" ht="15" customHeight="1" s="37">
      <c r="A1836" s="42" t="inlineStr">
        <is>
          <t>buy elie saab le parfum lumiere gift set online</t>
        </is>
      </c>
      <c r="B1836" s="42" t="inlineStr">
        <is>
          <t>Buy online</t>
        </is>
      </c>
      <c r="C1836" s="42" t="n">
        <v>3</v>
      </c>
      <c r="D1836" s="42" t="n">
        <v>19</v>
      </c>
      <c r="E1836" s="42" t="n">
        <v>1</v>
      </c>
      <c r="F1836" s="42" t="inlineStr">
        <is>
          <t>FR-155</t>
        </is>
      </c>
      <c r="G1836" s="55">
        <f>IFERROR(INDEX('Semrush Data'!$A$1:$Z$20000,MATCH(A1836,'Semrush Data'!$A$1:$A$20000,0),MATCH("Volume",'Semrush Data'!$A$1:$Z$1,0)),"")</f>
        <v/>
      </c>
      <c r="H1836" s="42">
        <f>IFERROR(INDEX('Semrush Data'!$A$1:$Z$20000,MATCH(A1836,'Semrush Data'!$A$1:$A$20000,0),MATCH("Keyword Difficulty*",'Semrush Data'!$A$1:$Z$1,0)),"")</f>
        <v/>
      </c>
      <c r="I1836" s="56">
        <f>IFERROR(INDEX('Semrush Data'!$A$1:$Z$20000,MATCH(A1836,'Semrush Data'!$A$1:$A$20000,0),MATCH("CPC*",'Semrush Data'!$A$1:$Z$1,0)),"")</f>
        <v/>
      </c>
      <c r="J1836" s="42">
        <f>IFERROR(INDEX('Semrush Data'!$A$1:$Z$20000,MATCH(A1836,'Semrush Data'!$A$1:$A$20000,0),MATCH("Intent",'Semrush Data'!$A$1:$Z$1,0)),"")</f>
        <v/>
      </c>
    </row>
    <row r="1837" ht="15" customHeight="1" s="37">
      <c r="A1837" s="42" t="inlineStr">
        <is>
          <t>buy elie saab nuit noor online</t>
        </is>
      </c>
      <c r="B1837" s="42" t="inlineStr">
        <is>
          <t>Buy online</t>
        </is>
      </c>
      <c r="C1837" s="42" t="n">
        <v>3</v>
      </c>
      <c r="D1837" s="42" t="n">
        <v>19</v>
      </c>
      <c r="E1837" s="42" t="n">
        <v>1</v>
      </c>
      <c r="F1837" s="42" t="inlineStr">
        <is>
          <t>FR-152</t>
        </is>
      </c>
      <c r="G1837" s="55">
        <f>IFERROR(INDEX('Semrush Data'!$A$1:$Z$20000,MATCH(A1837,'Semrush Data'!$A$1:$A$20000,0),MATCH("Volume",'Semrush Data'!$A$1:$Z$1,0)),"")</f>
        <v/>
      </c>
      <c r="H1837" s="42">
        <f>IFERROR(INDEX('Semrush Data'!$A$1:$Z$20000,MATCH(A1837,'Semrush Data'!$A$1:$A$20000,0),MATCH("Keyword Difficulty*",'Semrush Data'!$A$1:$Z$1,0)),"")</f>
        <v/>
      </c>
      <c r="I1837" s="56">
        <f>IFERROR(INDEX('Semrush Data'!$A$1:$Z$20000,MATCH(A1837,'Semrush Data'!$A$1:$A$20000,0),MATCH("CPC*",'Semrush Data'!$A$1:$Z$1,0)),"")</f>
        <v/>
      </c>
      <c r="J1837" s="42">
        <f>IFERROR(INDEX('Semrush Data'!$A$1:$Z$20000,MATCH(A1837,'Semrush Data'!$A$1:$A$20000,0),MATCH("Intent",'Semrush Data'!$A$1:$Z$1,0)),"")</f>
        <v/>
      </c>
    </row>
    <row r="1838" ht="15" customHeight="1" s="37">
      <c r="A1838" s="42" t="inlineStr">
        <is>
          <t>buy elizabeth arden beauty online</t>
        </is>
      </c>
      <c r="B1838" s="42" t="inlineStr">
        <is>
          <t>Buy online</t>
        </is>
      </c>
      <c r="C1838" s="42" t="n">
        <v>3</v>
      </c>
      <c r="D1838" s="42" t="n">
        <v>19</v>
      </c>
      <c r="E1838" s="42" t="n">
        <v>1</v>
      </c>
      <c r="F1838" s="42" t="inlineStr">
        <is>
          <t>FR-156</t>
        </is>
      </c>
      <c r="G1838" s="55">
        <f>IFERROR(INDEX('Semrush Data'!$A$1:$Z$20000,MATCH(A1838,'Semrush Data'!$A$1:$A$20000,0),MATCH("Volume",'Semrush Data'!$A$1:$Z$1,0)),"")</f>
        <v/>
      </c>
      <c r="H1838" s="42">
        <f>IFERROR(INDEX('Semrush Data'!$A$1:$Z$20000,MATCH(A1838,'Semrush Data'!$A$1:$A$20000,0),MATCH("Keyword Difficulty*",'Semrush Data'!$A$1:$Z$1,0)),"")</f>
        <v/>
      </c>
      <c r="I1838" s="56">
        <f>IFERROR(INDEX('Semrush Data'!$A$1:$Z$20000,MATCH(A1838,'Semrush Data'!$A$1:$A$20000,0),MATCH("CPC*",'Semrush Data'!$A$1:$Z$1,0)),"")</f>
        <v/>
      </c>
      <c r="J1838" s="42">
        <f>IFERROR(INDEX('Semrush Data'!$A$1:$Z$20000,MATCH(A1838,'Semrush Data'!$A$1:$A$20000,0),MATCH("Intent",'Semrush Data'!$A$1:$Z$1,0)),"")</f>
        <v/>
      </c>
    </row>
    <row r="1839" ht="15" customHeight="1" s="37">
      <c r="A1839" s="42" t="inlineStr">
        <is>
          <t>buy escada magnetic dream online</t>
        </is>
      </c>
      <c r="B1839" s="42" t="inlineStr">
        <is>
          <t>Buy online</t>
        </is>
      </c>
      <c r="C1839" s="42" t="n">
        <v>3</v>
      </c>
      <c r="D1839" s="42" t="n">
        <v>19</v>
      </c>
      <c r="E1839" s="42" t="n">
        <v>1</v>
      </c>
      <c r="F1839" s="42" t="inlineStr">
        <is>
          <t>FR-157</t>
        </is>
      </c>
      <c r="G1839" s="55">
        <f>IFERROR(INDEX('Semrush Data'!$A$1:$Z$20000,MATCH(A1839,'Semrush Data'!$A$1:$A$20000,0),MATCH("Volume",'Semrush Data'!$A$1:$Z$1,0)),"")</f>
        <v/>
      </c>
      <c r="H1839" s="42">
        <f>IFERROR(INDEX('Semrush Data'!$A$1:$Z$20000,MATCH(A1839,'Semrush Data'!$A$1:$A$20000,0),MATCH("Keyword Difficulty*",'Semrush Data'!$A$1:$Z$1,0)),"")</f>
        <v/>
      </c>
      <c r="I1839" s="56">
        <f>IFERROR(INDEX('Semrush Data'!$A$1:$Z$20000,MATCH(A1839,'Semrush Data'!$A$1:$A$20000,0),MATCH("CPC*",'Semrush Data'!$A$1:$Z$1,0)),"")</f>
        <v/>
      </c>
      <c r="J1839" s="42">
        <f>IFERROR(INDEX('Semrush Data'!$A$1:$Z$20000,MATCH(A1839,'Semrush Data'!$A$1:$A$20000,0),MATCH("Intent",'Semrush Data'!$A$1:$Z$1,0)),"")</f>
        <v/>
      </c>
    </row>
    <row r="1840" ht="15" customHeight="1" s="37">
      <c r="A1840" s="42" t="inlineStr">
        <is>
          <t>buy escada magnetism online</t>
        </is>
      </c>
      <c r="B1840" s="42" t="inlineStr">
        <is>
          <t>Buy online</t>
        </is>
      </c>
      <c r="C1840" s="42" t="n">
        <v>3</v>
      </c>
      <c r="D1840" s="42" t="n">
        <v>19</v>
      </c>
      <c r="E1840" s="42" t="n">
        <v>1</v>
      </c>
      <c r="F1840" s="42" t="inlineStr">
        <is>
          <t>FR-158</t>
        </is>
      </c>
      <c r="G1840" s="55">
        <f>IFERROR(INDEX('Semrush Data'!$A$1:$Z$20000,MATCH(A1840,'Semrush Data'!$A$1:$A$20000,0),MATCH("Volume",'Semrush Data'!$A$1:$Z$1,0)),"")</f>
        <v/>
      </c>
      <c r="H1840" s="42">
        <f>IFERROR(INDEX('Semrush Data'!$A$1:$Z$20000,MATCH(A1840,'Semrush Data'!$A$1:$A$20000,0),MATCH("Keyword Difficulty*",'Semrush Data'!$A$1:$Z$1,0)),"")</f>
        <v/>
      </c>
      <c r="I1840" s="56">
        <f>IFERROR(INDEX('Semrush Data'!$A$1:$Z$20000,MATCH(A1840,'Semrush Data'!$A$1:$A$20000,0),MATCH("CPC*",'Semrush Data'!$A$1:$Z$1,0)),"")</f>
        <v/>
      </c>
      <c r="J1840" s="42">
        <f>IFERROR(INDEX('Semrush Data'!$A$1:$Z$20000,MATCH(A1840,'Semrush Data'!$A$1:$A$20000,0),MATCH("Intent",'Semrush Data'!$A$1:$Z$1,0)),"")</f>
        <v/>
      </c>
    </row>
    <row r="1841" ht="15" customHeight="1" s="37">
      <c r="A1841" s="42" t="inlineStr">
        <is>
          <t>buy escada party love online</t>
        </is>
      </c>
      <c r="B1841" s="42" t="inlineStr">
        <is>
          <t>Buy online</t>
        </is>
      </c>
      <c r="C1841" s="42" t="n">
        <v>3</v>
      </c>
      <c r="D1841" s="42" t="n">
        <v>19</v>
      </c>
      <c r="E1841" s="42" t="n">
        <v>1</v>
      </c>
      <c r="F1841" s="42" t="inlineStr">
        <is>
          <t>FR-159</t>
        </is>
      </c>
      <c r="G1841" s="55">
        <f>IFERROR(INDEX('Semrush Data'!$A$1:$Z$20000,MATCH(A1841,'Semrush Data'!$A$1:$A$20000,0),MATCH("Volume",'Semrush Data'!$A$1:$Z$1,0)),"")</f>
        <v/>
      </c>
      <c r="H1841" s="42">
        <f>IFERROR(INDEX('Semrush Data'!$A$1:$Z$20000,MATCH(A1841,'Semrush Data'!$A$1:$A$20000,0),MATCH("Keyword Difficulty*",'Semrush Data'!$A$1:$Z$1,0)),"")</f>
        <v/>
      </c>
      <c r="I1841" s="56">
        <f>IFERROR(INDEX('Semrush Data'!$A$1:$Z$20000,MATCH(A1841,'Semrush Data'!$A$1:$A$20000,0),MATCH("CPC*",'Semrush Data'!$A$1:$Z$1,0)),"")</f>
        <v/>
      </c>
      <c r="J1841" s="42">
        <f>IFERROR(INDEX('Semrush Data'!$A$1:$Z$20000,MATCH(A1841,'Semrush Data'!$A$1:$A$20000,0),MATCH("Intent",'Semrush Data'!$A$1:$Z$1,0)),"")</f>
        <v/>
      </c>
    </row>
    <row r="1842" ht="15" customHeight="1" s="37">
      <c r="A1842" s="42" t="inlineStr">
        <is>
          <t>buy estee lauder spellbound online</t>
        </is>
      </c>
      <c r="B1842" s="42" t="inlineStr">
        <is>
          <t>Buy online</t>
        </is>
      </c>
      <c r="C1842" s="42" t="n">
        <v>3</v>
      </c>
      <c r="D1842" s="42" t="n">
        <v>19</v>
      </c>
      <c r="E1842" s="42" t="n">
        <v>1</v>
      </c>
      <c r="F1842" s="42" t="inlineStr">
        <is>
          <t>FR-160</t>
        </is>
      </c>
      <c r="G1842" s="55">
        <f>IFERROR(INDEX('Semrush Data'!$A$1:$Z$20000,MATCH(A1842,'Semrush Data'!$A$1:$A$20000,0),MATCH("Volume",'Semrush Data'!$A$1:$Z$1,0)),"")</f>
        <v/>
      </c>
      <c r="H1842" s="42">
        <f>IFERROR(INDEX('Semrush Data'!$A$1:$Z$20000,MATCH(A1842,'Semrush Data'!$A$1:$A$20000,0),MATCH("Keyword Difficulty*",'Semrush Data'!$A$1:$Z$1,0)),"")</f>
        <v/>
      </c>
      <c r="I1842" s="56">
        <f>IFERROR(INDEX('Semrush Data'!$A$1:$Z$20000,MATCH(A1842,'Semrush Data'!$A$1:$A$20000,0),MATCH("CPC*",'Semrush Data'!$A$1:$Z$1,0)),"")</f>
        <v/>
      </c>
      <c r="J1842" s="42">
        <f>IFERROR(INDEX('Semrush Data'!$A$1:$Z$20000,MATCH(A1842,'Semrush Data'!$A$1:$A$20000,0),MATCH("Intent",'Semrush Data'!$A$1:$Z$1,0)),"")</f>
        <v/>
      </c>
    </row>
    <row r="1843" ht="15" customHeight="1" s="37">
      <c r="A1843" s="42" t="inlineStr">
        <is>
          <t>buy etienne aigner first class explorer online</t>
        </is>
      </c>
      <c r="B1843" s="42" t="inlineStr">
        <is>
          <t>Buy online</t>
        </is>
      </c>
      <c r="C1843" s="42" t="n">
        <v>3</v>
      </c>
      <c r="D1843" s="42" t="n">
        <v>19</v>
      </c>
      <c r="E1843" s="42" t="n">
        <v>1</v>
      </c>
      <c r="F1843" s="42" t="inlineStr">
        <is>
          <t>FR-161</t>
        </is>
      </c>
      <c r="G1843" s="55">
        <f>IFERROR(INDEX('Semrush Data'!$A$1:$Z$20000,MATCH(A1843,'Semrush Data'!$A$1:$A$20000,0),MATCH("Volume",'Semrush Data'!$A$1:$Z$1,0)),"")</f>
        <v/>
      </c>
      <c r="H1843" s="42">
        <f>IFERROR(INDEX('Semrush Data'!$A$1:$Z$20000,MATCH(A1843,'Semrush Data'!$A$1:$A$20000,0),MATCH("Keyword Difficulty*",'Semrush Data'!$A$1:$Z$1,0)),"")</f>
        <v/>
      </c>
      <c r="I1843" s="56">
        <f>IFERROR(INDEX('Semrush Data'!$A$1:$Z$20000,MATCH(A1843,'Semrush Data'!$A$1:$A$20000,0),MATCH("CPC*",'Semrush Data'!$A$1:$Z$1,0)),"")</f>
        <v/>
      </c>
      <c r="J1843" s="42">
        <f>IFERROR(INDEX('Semrush Data'!$A$1:$Z$20000,MATCH(A1843,'Semrush Data'!$A$1:$A$20000,0),MATCH("Intent",'Semrush Data'!$A$1:$Z$1,0)),"")</f>
        <v/>
      </c>
    </row>
    <row r="1844" ht="15" customHeight="1" s="37">
      <c r="A1844" s="42" t="inlineStr">
        <is>
          <t>buy etienne aigner no. 1 intense online</t>
        </is>
      </c>
      <c r="B1844" s="42" t="inlineStr">
        <is>
          <t>Buy online</t>
        </is>
      </c>
      <c r="C1844" s="42" t="n">
        <v>3</v>
      </c>
      <c r="D1844" s="42" t="n">
        <v>19</v>
      </c>
      <c r="E1844" s="42" t="n">
        <v>1</v>
      </c>
      <c r="F1844" s="42" t="inlineStr">
        <is>
          <t>FR-162</t>
        </is>
      </c>
      <c r="G1844" s="55">
        <f>IFERROR(INDEX('Semrush Data'!$A$1:$Z$20000,MATCH(A1844,'Semrush Data'!$A$1:$A$20000,0),MATCH("Volume",'Semrush Data'!$A$1:$Z$1,0)),"")</f>
        <v/>
      </c>
      <c r="H1844" s="42">
        <f>IFERROR(INDEX('Semrush Data'!$A$1:$Z$20000,MATCH(A1844,'Semrush Data'!$A$1:$A$20000,0),MATCH("Keyword Difficulty*",'Semrush Data'!$A$1:$Z$1,0)),"")</f>
        <v/>
      </c>
      <c r="I1844" s="56">
        <f>IFERROR(INDEX('Semrush Data'!$A$1:$Z$20000,MATCH(A1844,'Semrush Data'!$A$1:$A$20000,0),MATCH("CPC*",'Semrush Data'!$A$1:$Z$1,0)),"")</f>
        <v/>
      </c>
      <c r="J1844" s="42">
        <f>IFERROR(INDEX('Semrush Data'!$A$1:$Z$20000,MATCH(A1844,'Semrush Data'!$A$1:$A$20000,0),MATCH("Intent",'Semrush Data'!$A$1:$Z$1,0)),"")</f>
        <v/>
      </c>
    </row>
    <row r="1845" ht="15" customHeight="1" s="37">
      <c r="A1845" s="42" t="inlineStr">
        <is>
          <t>buy fumeri 540 online</t>
        </is>
      </c>
      <c r="B1845" s="42" t="inlineStr">
        <is>
          <t>Buy online</t>
        </is>
      </c>
      <c r="C1845" s="42" t="n">
        <v>3</v>
      </c>
      <c r="D1845" s="42" t="n">
        <v>19</v>
      </c>
      <c r="E1845" s="42" t="n">
        <v>1</v>
      </c>
      <c r="F1845" s="42" t="inlineStr">
        <is>
          <t>FR-163</t>
        </is>
      </c>
      <c r="G1845" s="55">
        <f>IFERROR(INDEX('Semrush Data'!$A$1:$Z$20000,MATCH(A1845,'Semrush Data'!$A$1:$A$20000,0),MATCH("Volume",'Semrush Data'!$A$1:$Z$1,0)),"")</f>
        <v/>
      </c>
      <c r="H1845" s="42">
        <f>IFERROR(INDEX('Semrush Data'!$A$1:$Z$20000,MATCH(A1845,'Semrush Data'!$A$1:$A$20000,0),MATCH("Keyword Difficulty*",'Semrush Data'!$A$1:$Z$1,0)),"")</f>
        <v/>
      </c>
      <c r="I1845" s="56">
        <f>IFERROR(INDEX('Semrush Data'!$A$1:$Z$20000,MATCH(A1845,'Semrush Data'!$A$1:$A$20000,0),MATCH("CPC*",'Semrush Data'!$A$1:$Z$1,0)),"")</f>
        <v/>
      </c>
      <c r="J1845" s="42">
        <f>IFERROR(INDEX('Semrush Data'!$A$1:$Z$20000,MATCH(A1845,'Semrush Data'!$A$1:$A$20000,0),MATCH("Intent",'Semrush Data'!$A$1:$Z$1,0)),"")</f>
        <v/>
      </c>
    </row>
    <row r="1846" ht="15" customHeight="1" s="37">
      <c r="A1846" s="42" t="inlineStr">
        <is>
          <t>buy fumeri adore online</t>
        </is>
      </c>
      <c r="B1846" s="42" t="inlineStr">
        <is>
          <t>Buy online</t>
        </is>
      </c>
      <c r="C1846" s="42" t="n">
        <v>3</v>
      </c>
      <c r="D1846" s="42" t="n">
        <v>19</v>
      </c>
      <c r="E1846" s="42" t="n">
        <v>1</v>
      </c>
      <c r="F1846" s="42" t="inlineStr">
        <is>
          <t>FR-164</t>
        </is>
      </c>
      <c r="G1846" s="55">
        <f>IFERROR(INDEX('Semrush Data'!$A$1:$Z$20000,MATCH(A1846,'Semrush Data'!$A$1:$A$20000,0),MATCH("Volume",'Semrush Data'!$A$1:$Z$1,0)),"")</f>
        <v/>
      </c>
      <c r="H1846" s="42">
        <f>IFERROR(INDEX('Semrush Data'!$A$1:$Z$20000,MATCH(A1846,'Semrush Data'!$A$1:$A$20000,0),MATCH("Keyword Difficulty*",'Semrush Data'!$A$1:$Z$1,0)),"")</f>
        <v/>
      </c>
      <c r="I1846" s="56">
        <f>IFERROR(INDEX('Semrush Data'!$A$1:$Z$20000,MATCH(A1846,'Semrush Data'!$A$1:$A$20000,0),MATCH("CPC*",'Semrush Data'!$A$1:$Z$1,0)),"")</f>
        <v/>
      </c>
      <c r="J1846" s="42">
        <f>IFERROR(INDEX('Semrush Data'!$A$1:$Z$20000,MATCH(A1846,'Semrush Data'!$A$1:$A$20000,0),MATCH("Intent",'Semrush Data'!$A$1:$Z$1,0)),"")</f>
        <v/>
      </c>
    </row>
    <row r="1847" ht="15" customHeight="1" s="37">
      <c r="A1847" s="42" t="inlineStr">
        <is>
          <t>buy fumeri ambre night online</t>
        </is>
      </c>
      <c r="B1847" s="42" t="inlineStr">
        <is>
          <t>Buy online</t>
        </is>
      </c>
      <c r="C1847" s="42" t="n">
        <v>3</v>
      </c>
      <c r="D1847" s="42" t="n">
        <v>19</v>
      </c>
      <c r="E1847" s="42" t="n">
        <v>1</v>
      </c>
      <c r="F1847" s="42" t="inlineStr">
        <is>
          <t>FR-165</t>
        </is>
      </c>
      <c r="G1847" s="55">
        <f>IFERROR(INDEX('Semrush Data'!$A$1:$Z$20000,MATCH(A1847,'Semrush Data'!$A$1:$A$20000,0),MATCH("Volume",'Semrush Data'!$A$1:$Z$1,0)),"")</f>
        <v/>
      </c>
      <c r="H1847" s="42">
        <f>IFERROR(INDEX('Semrush Data'!$A$1:$Z$20000,MATCH(A1847,'Semrush Data'!$A$1:$A$20000,0),MATCH("Keyword Difficulty*",'Semrush Data'!$A$1:$Z$1,0)),"")</f>
        <v/>
      </c>
      <c r="I1847" s="56">
        <f>IFERROR(INDEX('Semrush Data'!$A$1:$Z$20000,MATCH(A1847,'Semrush Data'!$A$1:$A$20000,0),MATCH("CPC*",'Semrush Data'!$A$1:$Z$1,0)),"")</f>
        <v/>
      </c>
      <c r="J1847" s="42">
        <f>IFERROR(INDEX('Semrush Data'!$A$1:$Z$20000,MATCH(A1847,'Semrush Data'!$A$1:$A$20000,0),MATCH("Intent",'Semrush Data'!$A$1:$Z$1,0)),"")</f>
        <v/>
      </c>
    </row>
    <row r="1848" ht="15" customHeight="1" s="37">
      <c r="A1848" s="42" t="inlineStr">
        <is>
          <t>buy fumeri angel online</t>
        </is>
      </c>
      <c r="B1848" s="42" t="inlineStr">
        <is>
          <t>Buy online</t>
        </is>
      </c>
      <c r="C1848" s="42" t="n">
        <v>3</v>
      </c>
      <c r="D1848" s="42" t="n">
        <v>19</v>
      </c>
      <c r="E1848" s="42" t="n">
        <v>1</v>
      </c>
      <c r="F1848" s="42" t="inlineStr">
        <is>
          <t>FR-166</t>
        </is>
      </c>
      <c r="G1848" s="55">
        <f>IFERROR(INDEX('Semrush Data'!$A$1:$Z$20000,MATCH(A1848,'Semrush Data'!$A$1:$A$20000,0),MATCH("Volume",'Semrush Data'!$A$1:$Z$1,0)),"")</f>
        <v/>
      </c>
      <c r="H1848" s="42">
        <f>IFERROR(INDEX('Semrush Data'!$A$1:$Z$20000,MATCH(A1848,'Semrush Data'!$A$1:$A$20000,0),MATCH("Keyword Difficulty*",'Semrush Data'!$A$1:$Z$1,0)),"")</f>
        <v/>
      </c>
      <c r="I1848" s="56">
        <f>IFERROR(INDEX('Semrush Data'!$A$1:$Z$20000,MATCH(A1848,'Semrush Data'!$A$1:$A$20000,0),MATCH("CPC*",'Semrush Data'!$A$1:$Z$1,0)),"")</f>
        <v/>
      </c>
      <c r="J1848" s="42">
        <f>IFERROR(INDEX('Semrush Data'!$A$1:$Z$20000,MATCH(A1848,'Semrush Data'!$A$1:$A$20000,0),MATCH("Intent",'Semrush Data'!$A$1:$Z$1,0)),"")</f>
        <v/>
      </c>
    </row>
    <row r="1849" ht="15" customHeight="1" s="37">
      <c r="A1849" s="42" t="inlineStr">
        <is>
          <t>buy fumeri blue online</t>
        </is>
      </c>
      <c r="B1849" s="42" t="inlineStr">
        <is>
          <t>Buy online</t>
        </is>
      </c>
      <c r="C1849" s="42" t="n">
        <v>3</v>
      </c>
      <c r="D1849" s="42" t="n">
        <v>19</v>
      </c>
      <c r="E1849" s="42" t="n">
        <v>1</v>
      </c>
      <c r="F1849" s="42" t="inlineStr">
        <is>
          <t>FR-167</t>
        </is>
      </c>
      <c r="G1849" s="55">
        <f>IFERROR(INDEX('Semrush Data'!$A$1:$Z$20000,MATCH(A1849,'Semrush Data'!$A$1:$A$20000,0),MATCH("Volume",'Semrush Data'!$A$1:$Z$1,0)),"")</f>
        <v/>
      </c>
      <c r="H1849" s="42">
        <f>IFERROR(INDEX('Semrush Data'!$A$1:$Z$20000,MATCH(A1849,'Semrush Data'!$A$1:$A$20000,0),MATCH("Keyword Difficulty*",'Semrush Data'!$A$1:$Z$1,0)),"")</f>
        <v/>
      </c>
      <c r="I1849" s="56">
        <f>IFERROR(INDEX('Semrush Data'!$A$1:$Z$20000,MATCH(A1849,'Semrush Data'!$A$1:$A$20000,0),MATCH("CPC*",'Semrush Data'!$A$1:$Z$1,0)),"")</f>
        <v/>
      </c>
      <c r="J1849" s="42">
        <f>IFERROR(INDEX('Semrush Data'!$A$1:$Z$20000,MATCH(A1849,'Semrush Data'!$A$1:$A$20000,0),MATCH("Intent",'Semrush Data'!$A$1:$Z$1,0)),"")</f>
        <v/>
      </c>
    </row>
    <row r="1850" ht="15" customHeight="1" s="37">
      <c r="A1850" s="42" t="inlineStr">
        <is>
          <t>buy fumeri elixir online</t>
        </is>
      </c>
      <c r="B1850" s="42" t="inlineStr">
        <is>
          <t>Buy online</t>
        </is>
      </c>
      <c r="C1850" s="42" t="n">
        <v>3</v>
      </c>
      <c r="D1850" s="42" t="n">
        <v>19</v>
      </c>
      <c r="E1850" s="42" t="n">
        <v>1</v>
      </c>
      <c r="F1850" s="42" t="inlineStr">
        <is>
          <t>FR-168</t>
        </is>
      </c>
      <c r="G1850" s="55">
        <f>IFERROR(INDEX('Semrush Data'!$A$1:$Z$20000,MATCH(A1850,'Semrush Data'!$A$1:$A$20000,0),MATCH("Volume",'Semrush Data'!$A$1:$Z$1,0)),"")</f>
        <v/>
      </c>
      <c r="H1850" s="42">
        <f>IFERROR(INDEX('Semrush Data'!$A$1:$Z$20000,MATCH(A1850,'Semrush Data'!$A$1:$A$20000,0),MATCH("Keyword Difficulty*",'Semrush Data'!$A$1:$Z$1,0)),"")</f>
        <v/>
      </c>
      <c r="I1850" s="56">
        <f>IFERROR(INDEX('Semrush Data'!$A$1:$Z$20000,MATCH(A1850,'Semrush Data'!$A$1:$A$20000,0),MATCH("CPC*",'Semrush Data'!$A$1:$Z$1,0)),"")</f>
        <v/>
      </c>
      <c r="J1850" s="42">
        <f>IFERROR(INDEX('Semrush Data'!$A$1:$Z$20000,MATCH(A1850,'Semrush Data'!$A$1:$A$20000,0),MATCH("Intent",'Semrush Data'!$A$1:$Z$1,0)),"")</f>
        <v/>
      </c>
    </row>
    <row r="1851" ht="15" customHeight="1" s="37">
      <c r="A1851" s="42" t="inlineStr">
        <is>
          <t>buy fumeri flirt online</t>
        </is>
      </c>
      <c r="B1851" s="42" t="inlineStr">
        <is>
          <t>Buy online</t>
        </is>
      </c>
      <c r="C1851" s="42" t="n">
        <v>3</v>
      </c>
      <c r="D1851" s="42" t="n">
        <v>19</v>
      </c>
      <c r="E1851" s="42" t="n">
        <v>1</v>
      </c>
      <c r="F1851" s="42" t="inlineStr">
        <is>
          <t>FR-169</t>
        </is>
      </c>
      <c r="G1851" s="55">
        <f>IFERROR(INDEX('Semrush Data'!$A$1:$Z$20000,MATCH(A1851,'Semrush Data'!$A$1:$A$20000,0),MATCH("Volume",'Semrush Data'!$A$1:$Z$1,0)),"")</f>
        <v/>
      </c>
      <c r="H1851" s="42">
        <f>IFERROR(INDEX('Semrush Data'!$A$1:$Z$20000,MATCH(A1851,'Semrush Data'!$A$1:$A$20000,0),MATCH("Keyword Difficulty*",'Semrush Data'!$A$1:$Z$1,0)),"")</f>
        <v/>
      </c>
      <c r="I1851" s="56">
        <f>IFERROR(INDEX('Semrush Data'!$A$1:$Z$20000,MATCH(A1851,'Semrush Data'!$A$1:$A$20000,0),MATCH("CPC*",'Semrush Data'!$A$1:$Z$1,0)),"")</f>
        <v/>
      </c>
      <c r="J1851" s="42">
        <f>IFERROR(INDEX('Semrush Data'!$A$1:$Z$20000,MATCH(A1851,'Semrush Data'!$A$1:$A$20000,0),MATCH("Intent",'Semrush Data'!$A$1:$Z$1,0)),"")</f>
        <v/>
      </c>
    </row>
    <row r="1852" ht="15" customHeight="1" s="37">
      <c r="A1852" s="42" t="inlineStr">
        <is>
          <t>buy fumeri gabriella online</t>
        </is>
      </c>
      <c r="B1852" s="42" t="inlineStr">
        <is>
          <t>Buy online</t>
        </is>
      </c>
      <c r="C1852" s="42" t="n">
        <v>3</v>
      </c>
      <c r="D1852" s="42" t="n">
        <v>19</v>
      </c>
      <c r="E1852" s="42" t="n">
        <v>1</v>
      </c>
      <c r="F1852" s="42" t="inlineStr">
        <is>
          <t>FR-170</t>
        </is>
      </c>
      <c r="G1852" s="55">
        <f>IFERROR(INDEX('Semrush Data'!$A$1:$Z$20000,MATCH(A1852,'Semrush Data'!$A$1:$A$20000,0),MATCH("Volume",'Semrush Data'!$A$1:$Z$1,0)),"")</f>
        <v/>
      </c>
      <c r="H1852" s="42">
        <f>IFERROR(INDEX('Semrush Data'!$A$1:$Z$20000,MATCH(A1852,'Semrush Data'!$A$1:$A$20000,0),MATCH("Keyword Difficulty*",'Semrush Data'!$A$1:$Z$1,0)),"")</f>
        <v/>
      </c>
      <c r="I1852" s="56">
        <f>IFERROR(INDEX('Semrush Data'!$A$1:$Z$20000,MATCH(A1852,'Semrush Data'!$A$1:$A$20000,0),MATCH("CPC*",'Semrush Data'!$A$1:$Z$1,0)),"")</f>
        <v/>
      </c>
      <c r="J1852" s="42">
        <f>IFERROR(INDEX('Semrush Data'!$A$1:$Z$20000,MATCH(A1852,'Semrush Data'!$A$1:$A$20000,0),MATCH("Intent",'Semrush Data'!$A$1:$Z$1,0)),"")</f>
        <v/>
      </c>
    </row>
    <row r="1853" ht="15" customHeight="1" s="37">
      <c r="A1853" s="42" t="inlineStr">
        <is>
          <t>buy fumeri gris online</t>
        </is>
      </c>
      <c r="B1853" s="42" t="inlineStr">
        <is>
          <t>Buy online</t>
        </is>
      </c>
      <c r="C1853" s="42" t="n">
        <v>3</v>
      </c>
      <c r="D1853" s="42" t="n">
        <v>19</v>
      </c>
      <c r="E1853" s="42" t="n">
        <v>1</v>
      </c>
      <c r="F1853" s="42" t="inlineStr">
        <is>
          <t>FR-171</t>
        </is>
      </c>
      <c r="G1853" s="55">
        <f>IFERROR(INDEX('Semrush Data'!$A$1:$Z$20000,MATCH(A1853,'Semrush Data'!$A$1:$A$20000,0),MATCH("Volume",'Semrush Data'!$A$1:$Z$1,0)),"")</f>
        <v/>
      </c>
      <c r="H1853" s="42">
        <f>IFERROR(INDEX('Semrush Data'!$A$1:$Z$20000,MATCH(A1853,'Semrush Data'!$A$1:$A$20000,0),MATCH("Keyword Difficulty*",'Semrush Data'!$A$1:$Z$1,0)),"")</f>
        <v/>
      </c>
      <c r="I1853" s="56">
        <f>IFERROR(INDEX('Semrush Data'!$A$1:$Z$20000,MATCH(A1853,'Semrush Data'!$A$1:$A$20000,0),MATCH("CPC*",'Semrush Data'!$A$1:$Z$1,0)),"")</f>
        <v/>
      </c>
      <c r="J1853" s="42">
        <f>IFERROR(INDEX('Semrush Data'!$A$1:$Z$20000,MATCH(A1853,'Semrush Data'!$A$1:$A$20000,0),MATCH("Intent",'Semrush Data'!$A$1:$Z$1,0)),"")</f>
        <v/>
      </c>
    </row>
    <row r="1854" ht="15" customHeight="1" s="37">
      <c r="A1854" s="42" t="inlineStr">
        <is>
          <t>buy fumeri orchid noir online</t>
        </is>
      </c>
      <c r="B1854" s="42" t="inlineStr">
        <is>
          <t>Buy online</t>
        </is>
      </c>
      <c r="C1854" s="42" t="n">
        <v>3</v>
      </c>
      <c r="D1854" s="42" t="n">
        <v>19</v>
      </c>
      <c r="E1854" s="42" t="n">
        <v>1</v>
      </c>
      <c r="F1854" s="42" t="inlineStr">
        <is>
          <t>FR-172</t>
        </is>
      </c>
      <c r="G1854" s="55">
        <f>IFERROR(INDEX('Semrush Data'!$A$1:$Z$20000,MATCH(A1854,'Semrush Data'!$A$1:$A$20000,0),MATCH("Volume",'Semrush Data'!$A$1:$Z$1,0)),"")</f>
        <v/>
      </c>
      <c r="H1854" s="42">
        <f>IFERROR(INDEX('Semrush Data'!$A$1:$Z$20000,MATCH(A1854,'Semrush Data'!$A$1:$A$20000,0),MATCH("Keyword Difficulty*",'Semrush Data'!$A$1:$Z$1,0)),"")</f>
        <v/>
      </c>
      <c r="I1854" s="56">
        <f>IFERROR(INDEX('Semrush Data'!$A$1:$Z$20000,MATCH(A1854,'Semrush Data'!$A$1:$A$20000,0),MATCH("CPC*",'Semrush Data'!$A$1:$Z$1,0)),"")</f>
        <v/>
      </c>
      <c r="J1854" s="42">
        <f>IFERROR(INDEX('Semrush Data'!$A$1:$Z$20000,MATCH(A1854,'Semrush Data'!$A$1:$A$20000,0),MATCH("Intent",'Semrush Data'!$A$1:$Z$1,0)),"")</f>
        <v/>
      </c>
    </row>
    <row r="1855" ht="15" customHeight="1" s="37">
      <c r="A1855" s="42" t="inlineStr">
        <is>
          <t>buy fumeri orpheon online</t>
        </is>
      </c>
      <c r="B1855" s="42" t="inlineStr">
        <is>
          <t>Buy online</t>
        </is>
      </c>
      <c r="C1855" s="42" t="n">
        <v>3</v>
      </c>
      <c r="D1855" s="42" t="n">
        <v>19</v>
      </c>
      <c r="E1855" s="42" t="n">
        <v>1</v>
      </c>
      <c r="F1855" s="42" t="inlineStr">
        <is>
          <t>FR-173</t>
        </is>
      </c>
      <c r="G1855" s="55">
        <f>IFERROR(INDEX('Semrush Data'!$A$1:$Z$20000,MATCH(A1855,'Semrush Data'!$A$1:$A$20000,0),MATCH("Volume",'Semrush Data'!$A$1:$Z$1,0)),"")</f>
        <v/>
      </c>
      <c r="H1855" s="42">
        <f>IFERROR(INDEX('Semrush Data'!$A$1:$Z$20000,MATCH(A1855,'Semrush Data'!$A$1:$A$20000,0),MATCH("Keyword Difficulty*",'Semrush Data'!$A$1:$Z$1,0)),"")</f>
        <v/>
      </c>
      <c r="I1855" s="56">
        <f>IFERROR(INDEX('Semrush Data'!$A$1:$Z$20000,MATCH(A1855,'Semrush Data'!$A$1:$A$20000,0),MATCH("CPC*",'Semrush Data'!$A$1:$Z$1,0)),"")</f>
        <v/>
      </c>
      <c r="J1855" s="42">
        <f>IFERROR(INDEX('Semrush Data'!$A$1:$Z$20000,MATCH(A1855,'Semrush Data'!$A$1:$A$20000,0),MATCH("Intent",'Semrush Data'!$A$1:$Z$1,0)),"")</f>
        <v/>
      </c>
    </row>
    <row r="1856" ht="15" customHeight="1" s="37">
      <c r="A1856" s="42" t="inlineStr">
        <is>
          <t>buy fumeri oud saffron online</t>
        </is>
      </c>
      <c r="B1856" s="42" t="inlineStr">
        <is>
          <t>Buy online</t>
        </is>
      </c>
      <c r="C1856" s="42" t="n">
        <v>3</v>
      </c>
      <c r="D1856" s="42" t="n">
        <v>19</v>
      </c>
      <c r="E1856" s="42" t="n">
        <v>1</v>
      </c>
      <c r="F1856" s="42" t="inlineStr">
        <is>
          <t>FR-174</t>
        </is>
      </c>
      <c r="G1856" s="55">
        <f>IFERROR(INDEX('Semrush Data'!$A$1:$Z$20000,MATCH(A1856,'Semrush Data'!$A$1:$A$20000,0),MATCH("Volume",'Semrush Data'!$A$1:$Z$1,0)),"")</f>
        <v/>
      </c>
      <c r="H1856" s="42">
        <f>IFERROR(INDEX('Semrush Data'!$A$1:$Z$20000,MATCH(A1856,'Semrush Data'!$A$1:$A$20000,0),MATCH("Keyword Difficulty*",'Semrush Data'!$A$1:$Z$1,0)),"")</f>
        <v/>
      </c>
      <c r="I1856" s="56">
        <f>IFERROR(INDEX('Semrush Data'!$A$1:$Z$20000,MATCH(A1856,'Semrush Data'!$A$1:$A$20000,0),MATCH("CPC*",'Semrush Data'!$A$1:$Z$1,0)),"")</f>
        <v/>
      </c>
      <c r="J1856" s="42">
        <f>IFERROR(INDEX('Semrush Data'!$A$1:$Z$20000,MATCH(A1856,'Semrush Data'!$A$1:$A$20000,0),MATCH("Intent",'Semrush Data'!$A$1:$Z$1,0)),"")</f>
        <v/>
      </c>
    </row>
    <row r="1857" ht="15" customHeight="1" s="37">
      <c r="A1857" s="42" t="inlineStr">
        <is>
          <t>buy fumeri peach online</t>
        </is>
      </c>
      <c r="B1857" s="42" t="inlineStr">
        <is>
          <t>Buy online</t>
        </is>
      </c>
      <c r="C1857" s="42" t="n">
        <v>3</v>
      </c>
      <c r="D1857" s="42" t="n">
        <v>19</v>
      </c>
      <c r="E1857" s="42" t="n">
        <v>1</v>
      </c>
      <c r="F1857" s="42" t="inlineStr">
        <is>
          <t>FR-175</t>
        </is>
      </c>
      <c r="G1857" s="55">
        <f>IFERROR(INDEX('Semrush Data'!$A$1:$Z$20000,MATCH(A1857,'Semrush Data'!$A$1:$A$20000,0),MATCH("Volume",'Semrush Data'!$A$1:$Z$1,0)),"")</f>
        <v/>
      </c>
      <c r="H1857" s="42">
        <f>IFERROR(INDEX('Semrush Data'!$A$1:$Z$20000,MATCH(A1857,'Semrush Data'!$A$1:$A$20000,0),MATCH("Keyword Difficulty*",'Semrush Data'!$A$1:$Z$1,0)),"")</f>
        <v/>
      </c>
      <c r="I1857" s="56">
        <f>IFERROR(INDEX('Semrush Data'!$A$1:$Z$20000,MATCH(A1857,'Semrush Data'!$A$1:$A$20000,0),MATCH("CPC*",'Semrush Data'!$A$1:$Z$1,0)),"")</f>
        <v/>
      </c>
      <c r="J1857" s="42">
        <f>IFERROR(INDEX('Semrush Data'!$A$1:$Z$20000,MATCH(A1857,'Semrush Data'!$A$1:$A$20000,0),MATCH("Intent",'Semrush Data'!$A$1:$Z$1,0)),"")</f>
        <v/>
      </c>
    </row>
    <row r="1858" ht="15" customHeight="1" s="37">
      <c r="A1858" s="42" t="inlineStr">
        <is>
          <t>buy fumeri smokey leather online</t>
        </is>
      </c>
      <c r="B1858" s="42" t="inlineStr">
        <is>
          <t>Buy online</t>
        </is>
      </c>
      <c r="C1858" s="42" t="n">
        <v>3</v>
      </c>
      <c r="D1858" s="42" t="n">
        <v>19</v>
      </c>
      <c r="E1858" s="42" t="n">
        <v>1</v>
      </c>
      <c r="F1858" s="42" t="inlineStr">
        <is>
          <t>FR-176</t>
        </is>
      </c>
      <c r="G1858" s="55">
        <f>IFERROR(INDEX('Semrush Data'!$A$1:$Z$20000,MATCH(A1858,'Semrush Data'!$A$1:$A$20000,0),MATCH("Volume",'Semrush Data'!$A$1:$Z$1,0)),"")</f>
        <v/>
      </c>
      <c r="H1858" s="42">
        <f>IFERROR(INDEX('Semrush Data'!$A$1:$Z$20000,MATCH(A1858,'Semrush Data'!$A$1:$A$20000,0),MATCH("Keyword Difficulty*",'Semrush Data'!$A$1:$Z$1,0)),"")</f>
        <v/>
      </c>
      <c r="I1858" s="56">
        <f>IFERROR(INDEX('Semrush Data'!$A$1:$Z$20000,MATCH(A1858,'Semrush Data'!$A$1:$A$20000,0),MATCH("CPC*",'Semrush Data'!$A$1:$Z$1,0)),"")</f>
        <v/>
      </c>
      <c r="J1858" s="42">
        <f>IFERROR(INDEX('Semrush Data'!$A$1:$Z$20000,MATCH(A1858,'Semrush Data'!$A$1:$A$20000,0),MATCH("Intent",'Semrush Data'!$A$1:$Z$1,0)),"")</f>
        <v/>
      </c>
    </row>
    <row r="1859" ht="15" customHeight="1" s="37">
      <c r="A1859" s="42" t="inlineStr">
        <is>
          <t>buy fumeri style 33 online</t>
        </is>
      </c>
      <c r="B1859" s="42" t="inlineStr">
        <is>
          <t>Buy online</t>
        </is>
      </c>
      <c r="C1859" s="42" t="n">
        <v>3</v>
      </c>
      <c r="D1859" s="42" t="n">
        <v>19</v>
      </c>
      <c r="E1859" s="42" t="n">
        <v>1</v>
      </c>
      <c r="F1859" s="42" t="inlineStr">
        <is>
          <t>FR-177</t>
        </is>
      </c>
      <c r="G1859" s="55">
        <f>IFERROR(INDEX('Semrush Data'!$A$1:$Z$20000,MATCH(A1859,'Semrush Data'!$A$1:$A$20000,0),MATCH("Volume",'Semrush Data'!$A$1:$Z$1,0)),"")</f>
        <v/>
      </c>
      <c r="H1859" s="42">
        <f>IFERROR(INDEX('Semrush Data'!$A$1:$Z$20000,MATCH(A1859,'Semrush Data'!$A$1:$A$20000,0),MATCH("Keyword Difficulty*",'Semrush Data'!$A$1:$Z$1,0)),"")</f>
        <v/>
      </c>
      <c r="I1859" s="56">
        <f>IFERROR(INDEX('Semrush Data'!$A$1:$Z$20000,MATCH(A1859,'Semrush Data'!$A$1:$A$20000,0),MATCH("CPC*",'Semrush Data'!$A$1:$Z$1,0)),"")</f>
        <v/>
      </c>
      <c r="J1859" s="42">
        <f>IFERROR(INDEX('Semrush Data'!$A$1:$Z$20000,MATCH(A1859,'Semrush Data'!$A$1:$A$20000,0),MATCH("Intent",'Semrush Data'!$A$1:$Z$1,0)),"")</f>
        <v/>
      </c>
    </row>
    <row r="1860" ht="15" customHeight="1" s="37">
      <c r="A1860" s="42" t="inlineStr">
        <is>
          <t>buy fumeri victorious online</t>
        </is>
      </c>
      <c r="B1860" s="42" t="inlineStr">
        <is>
          <t>Buy online</t>
        </is>
      </c>
      <c r="C1860" s="42" t="n">
        <v>3</v>
      </c>
      <c r="D1860" s="42" t="n">
        <v>19</v>
      </c>
      <c r="E1860" s="42" t="n">
        <v>1</v>
      </c>
      <c r="F1860" s="42" t="inlineStr">
        <is>
          <t>FR-178</t>
        </is>
      </c>
      <c r="G1860" s="55">
        <f>IFERROR(INDEX('Semrush Data'!$A$1:$Z$20000,MATCH(A1860,'Semrush Data'!$A$1:$A$20000,0),MATCH("Volume",'Semrush Data'!$A$1:$Z$1,0)),"")</f>
        <v/>
      </c>
      <c r="H1860" s="42">
        <f>IFERROR(INDEX('Semrush Data'!$A$1:$Z$20000,MATCH(A1860,'Semrush Data'!$A$1:$A$20000,0),MATCH("Keyword Difficulty*",'Semrush Data'!$A$1:$Z$1,0)),"")</f>
        <v/>
      </c>
      <c r="I1860" s="56">
        <f>IFERROR(INDEX('Semrush Data'!$A$1:$Z$20000,MATCH(A1860,'Semrush Data'!$A$1:$A$20000,0),MATCH("CPC*",'Semrush Data'!$A$1:$Z$1,0)),"")</f>
        <v/>
      </c>
      <c r="J1860" s="42">
        <f>IFERROR(INDEX('Semrush Data'!$A$1:$Z$20000,MATCH(A1860,'Semrush Data'!$A$1:$A$20000,0),MATCH("Intent",'Semrush Data'!$A$1:$Z$1,0)),"")</f>
        <v/>
      </c>
    </row>
    <row r="1861" ht="15" customHeight="1" s="37">
      <c r="A1861" s="42" t="inlineStr">
        <is>
          <t>buy fumeri wild online</t>
        </is>
      </c>
      <c r="B1861" s="42" t="inlineStr">
        <is>
          <t>Buy online</t>
        </is>
      </c>
      <c r="C1861" s="42" t="n">
        <v>3</v>
      </c>
      <c r="D1861" s="42" t="n">
        <v>19</v>
      </c>
      <c r="E1861" s="42" t="n">
        <v>1</v>
      </c>
      <c r="F1861" s="42" t="inlineStr">
        <is>
          <t>FR-179</t>
        </is>
      </c>
      <c r="G1861" s="55">
        <f>IFERROR(INDEX('Semrush Data'!$A$1:$Z$20000,MATCH(A1861,'Semrush Data'!$A$1:$A$20000,0),MATCH("Volume",'Semrush Data'!$A$1:$Z$1,0)),"")</f>
        <v/>
      </c>
      <c r="H1861" s="42">
        <f>IFERROR(INDEX('Semrush Data'!$A$1:$Z$20000,MATCH(A1861,'Semrush Data'!$A$1:$A$20000,0),MATCH("Keyword Difficulty*",'Semrush Data'!$A$1:$Z$1,0)),"")</f>
        <v/>
      </c>
      <c r="I1861" s="56">
        <f>IFERROR(INDEX('Semrush Data'!$A$1:$Z$20000,MATCH(A1861,'Semrush Data'!$A$1:$A$20000,0),MATCH("CPC*",'Semrush Data'!$A$1:$Z$1,0)),"")</f>
        <v/>
      </c>
      <c r="J1861" s="42">
        <f>IFERROR(INDEX('Semrush Data'!$A$1:$Z$20000,MATCH(A1861,'Semrush Data'!$A$1:$A$20000,0),MATCH("Intent",'Semrush Data'!$A$1:$Z$1,0)),"")</f>
        <v/>
      </c>
    </row>
    <row r="1862" ht="15" customHeight="1" s="37">
      <c r="A1862" s="42" t="inlineStr">
        <is>
          <t>buy game of spades bid online</t>
        </is>
      </c>
      <c r="B1862" s="42" t="inlineStr">
        <is>
          <t>Buy online</t>
        </is>
      </c>
      <c r="C1862" s="42" t="n">
        <v>3</v>
      </c>
      <c r="D1862" s="42" t="n">
        <v>19</v>
      </c>
      <c r="E1862" s="42" t="n">
        <v>1</v>
      </c>
      <c r="F1862" s="42" t="inlineStr">
        <is>
          <t>FR-180</t>
        </is>
      </c>
      <c r="G1862" s="55">
        <f>IFERROR(INDEX('Semrush Data'!$A$1:$Z$20000,MATCH(A1862,'Semrush Data'!$A$1:$A$20000,0),MATCH("Volume",'Semrush Data'!$A$1:$Z$1,0)),"")</f>
        <v/>
      </c>
      <c r="H1862" s="42">
        <f>IFERROR(INDEX('Semrush Data'!$A$1:$Z$20000,MATCH(A1862,'Semrush Data'!$A$1:$A$20000,0),MATCH("Keyword Difficulty*",'Semrush Data'!$A$1:$Z$1,0)),"")</f>
        <v/>
      </c>
      <c r="I1862" s="56">
        <f>IFERROR(INDEX('Semrush Data'!$A$1:$Z$20000,MATCH(A1862,'Semrush Data'!$A$1:$A$20000,0),MATCH("CPC*",'Semrush Data'!$A$1:$Z$1,0)),"")</f>
        <v/>
      </c>
      <c r="J1862" s="42">
        <f>IFERROR(INDEX('Semrush Data'!$A$1:$Z$20000,MATCH(A1862,'Semrush Data'!$A$1:$A$20000,0),MATCH("Intent",'Semrush Data'!$A$1:$Z$1,0)),"")</f>
        <v/>
      </c>
    </row>
    <row r="1863" ht="15" customHeight="1" s="37">
      <c r="A1863" s="42" t="inlineStr">
        <is>
          <t>buy game of spades blind-bid online</t>
        </is>
      </c>
      <c r="B1863" s="42" t="inlineStr">
        <is>
          <t>Buy online</t>
        </is>
      </c>
      <c r="C1863" s="42" t="n">
        <v>3</v>
      </c>
      <c r="D1863" s="42" t="n">
        <v>19</v>
      </c>
      <c r="E1863" s="42" t="n">
        <v>1</v>
      </c>
      <c r="F1863" s="42" t="inlineStr">
        <is>
          <t>FR-181</t>
        </is>
      </c>
      <c r="G1863" s="55">
        <f>IFERROR(INDEX('Semrush Data'!$A$1:$Z$20000,MATCH(A1863,'Semrush Data'!$A$1:$A$20000,0),MATCH("Volume",'Semrush Data'!$A$1:$Z$1,0)),"")</f>
        <v/>
      </c>
      <c r="H1863" s="42">
        <f>IFERROR(INDEX('Semrush Data'!$A$1:$Z$20000,MATCH(A1863,'Semrush Data'!$A$1:$A$20000,0),MATCH("Keyword Difficulty*",'Semrush Data'!$A$1:$Z$1,0)),"")</f>
        <v/>
      </c>
      <c r="I1863" s="56">
        <f>IFERROR(INDEX('Semrush Data'!$A$1:$Z$20000,MATCH(A1863,'Semrush Data'!$A$1:$A$20000,0),MATCH("CPC*",'Semrush Data'!$A$1:$Z$1,0)),"")</f>
        <v/>
      </c>
      <c r="J1863" s="42">
        <f>IFERROR(INDEX('Semrush Data'!$A$1:$Z$20000,MATCH(A1863,'Semrush Data'!$A$1:$A$20000,0),MATCH("Intent",'Semrush Data'!$A$1:$Z$1,0)),"")</f>
        <v/>
      </c>
    </row>
    <row r="1864" ht="15" customHeight="1" s="37">
      <c r="A1864" s="42" t="inlineStr">
        <is>
          <t>buy game of spades boston online</t>
        </is>
      </c>
      <c r="B1864" s="42" t="inlineStr">
        <is>
          <t>Buy online</t>
        </is>
      </c>
      <c r="C1864" s="42" t="n">
        <v>3</v>
      </c>
      <c r="D1864" s="42" t="n">
        <v>19</v>
      </c>
      <c r="E1864" s="42" t="n">
        <v>1</v>
      </c>
      <c r="F1864" s="42" t="inlineStr">
        <is>
          <t>FR-182</t>
        </is>
      </c>
      <c r="G1864" s="55">
        <f>IFERROR(INDEX('Semrush Data'!$A$1:$Z$20000,MATCH(A1864,'Semrush Data'!$A$1:$A$20000,0),MATCH("Volume",'Semrush Data'!$A$1:$Z$1,0)),"")</f>
        <v/>
      </c>
      <c r="H1864" s="42">
        <f>IFERROR(INDEX('Semrush Data'!$A$1:$Z$20000,MATCH(A1864,'Semrush Data'!$A$1:$A$20000,0),MATCH("Keyword Difficulty*",'Semrush Data'!$A$1:$Z$1,0)),"")</f>
        <v/>
      </c>
      <c r="I1864" s="56">
        <f>IFERROR(INDEX('Semrush Data'!$A$1:$Z$20000,MATCH(A1864,'Semrush Data'!$A$1:$A$20000,0),MATCH("CPC*",'Semrush Data'!$A$1:$Z$1,0)),"")</f>
        <v/>
      </c>
      <c r="J1864" s="42">
        <f>IFERROR(INDEX('Semrush Data'!$A$1:$Z$20000,MATCH(A1864,'Semrush Data'!$A$1:$A$20000,0),MATCH("Intent",'Semrush Data'!$A$1:$Z$1,0)),"")</f>
        <v/>
      </c>
    </row>
    <row r="1865" ht="15" customHeight="1" s="37">
      <c r="A1865" s="42" t="inlineStr">
        <is>
          <t>buy game of spades diamond online</t>
        </is>
      </c>
      <c r="B1865" s="42" t="inlineStr">
        <is>
          <t>Buy online</t>
        </is>
      </c>
      <c r="C1865" s="42" t="n">
        <v>3</v>
      </c>
      <c r="D1865" s="42" t="n">
        <v>19</v>
      </c>
      <c r="E1865" s="42" t="n">
        <v>1</v>
      </c>
      <c r="F1865" s="42" t="inlineStr">
        <is>
          <t>FR-183</t>
        </is>
      </c>
      <c r="G1865" s="55">
        <f>IFERROR(INDEX('Semrush Data'!$A$1:$Z$20000,MATCH(A1865,'Semrush Data'!$A$1:$A$20000,0),MATCH("Volume",'Semrush Data'!$A$1:$Z$1,0)),"")</f>
        <v/>
      </c>
      <c r="H1865" s="42">
        <f>IFERROR(INDEX('Semrush Data'!$A$1:$Z$20000,MATCH(A1865,'Semrush Data'!$A$1:$A$20000,0),MATCH("Keyword Difficulty*",'Semrush Data'!$A$1:$Z$1,0)),"")</f>
        <v/>
      </c>
      <c r="I1865" s="56">
        <f>IFERROR(INDEX('Semrush Data'!$A$1:$Z$20000,MATCH(A1865,'Semrush Data'!$A$1:$A$20000,0),MATCH("CPC*",'Semrush Data'!$A$1:$Z$1,0)),"")</f>
        <v/>
      </c>
      <c r="J1865" s="42">
        <f>IFERROR(INDEX('Semrush Data'!$A$1:$Z$20000,MATCH(A1865,'Semrush Data'!$A$1:$A$20000,0),MATCH("Intent",'Semrush Data'!$A$1:$Z$1,0)),"")</f>
        <v/>
      </c>
    </row>
    <row r="1866" ht="15" customHeight="1" s="37">
      <c r="A1866" s="42" t="inlineStr">
        <is>
          <t>buy game of spades full house online</t>
        </is>
      </c>
      <c r="B1866" s="42" t="inlineStr">
        <is>
          <t>Buy online</t>
        </is>
      </c>
      <c r="C1866" s="42" t="n">
        <v>3</v>
      </c>
      <c r="D1866" s="42" t="inlineStr">
        <is>
          <t>T3-1</t>
        </is>
      </c>
      <c r="E1866" s="42" t="n">
        <v>1</v>
      </c>
      <c r="F1866" s="42" t="inlineStr">
        <is>
          <t>FR-184</t>
        </is>
      </c>
      <c r="G1866" s="55">
        <f>IFERROR(INDEX('Semrush Data'!$A$1:$Z$20000,MATCH(A1866,'Semrush Data'!$A$1:$A$20000,0),MATCH("Volume",'Semrush Data'!$A$1:$Z$1,0)),"")</f>
        <v/>
      </c>
      <c r="H1866" s="42">
        <f>IFERROR(INDEX('Semrush Data'!$A$1:$Z$20000,MATCH(A1866,'Semrush Data'!$A$1:$A$20000,0),MATCH("Keyword Difficulty*",'Semrush Data'!$A$1:$Z$1,0)),"")</f>
        <v/>
      </c>
      <c r="I1866" s="56">
        <f>IFERROR(INDEX('Semrush Data'!$A$1:$Z$20000,MATCH(A1866,'Semrush Data'!$A$1:$A$20000,0),MATCH("CPC*",'Semrush Data'!$A$1:$Z$1,0)),"")</f>
        <v/>
      </c>
      <c r="J1866" s="42">
        <f>IFERROR(INDEX('Semrush Data'!$A$1:$Z$20000,MATCH(A1866,'Semrush Data'!$A$1:$A$20000,0),MATCH("Intent",'Semrush Data'!$A$1:$Z$1,0)),"")</f>
        <v/>
      </c>
    </row>
    <row r="1867" ht="15" customHeight="1" s="37">
      <c r="A1867" s="42" t="inlineStr">
        <is>
          <t>buy game of spades high roller online</t>
        </is>
      </c>
      <c r="B1867" s="42" t="inlineStr">
        <is>
          <t>Buy online</t>
        </is>
      </c>
      <c r="C1867" s="42" t="n">
        <v>3</v>
      </c>
      <c r="D1867" s="42" t="n">
        <v>19</v>
      </c>
      <c r="E1867" s="42" t="n">
        <v>1</v>
      </c>
      <c r="F1867" s="42" t="inlineStr">
        <is>
          <t>FR-185</t>
        </is>
      </c>
      <c r="G1867" s="55">
        <f>IFERROR(INDEX('Semrush Data'!$A$1:$Z$20000,MATCH(A1867,'Semrush Data'!$A$1:$A$20000,0),MATCH("Volume",'Semrush Data'!$A$1:$Z$1,0)),"")</f>
        <v/>
      </c>
      <c r="H1867" s="42">
        <f>IFERROR(INDEX('Semrush Data'!$A$1:$Z$20000,MATCH(A1867,'Semrush Data'!$A$1:$A$20000,0),MATCH("Keyword Difficulty*",'Semrush Data'!$A$1:$Z$1,0)),"")</f>
        <v/>
      </c>
      <c r="I1867" s="56">
        <f>IFERROR(INDEX('Semrush Data'!$A$1:$Z$20000,MATCH(A1867,'Semrush Data'!$A$1:$A$20000,0),MATCH("CPC*",'Semrush Data'!$A$1:$Z$1,0)),"")</f>
        <v/>
      </c>
      <c r="J1867" s="42">
        <f>IFERROR(INDEX('Semrush Data'!$A$1:$Z$20000,MATCH(A1867,'Semrush Data'!$A$1:$A$20000,0),MATCH("Intent",'Semrush Data'!$A$1:$Z$1,0)),"")</f>
        <v/>
      </c>
    </row>
    <row r="1868" ht="15" customHeight="1" s="37">
      <c r="A1868" s="42" t="inlineStr">
        <is>
          <t>buy game of spades jackpot online</t>
        </is>
      </c>
      <c r="B1868" s="42" t="inlineStr">
        <is>
          <t>Buy online</t>
        </is>
      </c>
      <c r="C1868" s="42" t="n">
        <v>3</v>
      </c>
      <c r="D1868" s="42" t="n">
        <v>19</v>
      </c>
      <c r="E1868" s="42" t="n">
        <v>1</v>
      </c>
      <c r="F1868" s="42" t="inlineStr">
        <is>
          <t>FR-186</t>
        </is>
      </c>
      <c r="G1868" s="55">
        <f>IFERROR(INDEX('Semrush Data'!$A$1:$Z$20000,MATCH(A1868,'Semrush Data'!$A$1:$A$20000,0),MATCH("Volume",'Semrush Data'!$A$1:$Z$1,0)),"")</f>
        <v/>
      </c>
      <c r="H1868" s="42">
        <f>IFERROR(INDEX('Semrush Data'!$A$1:$Z$20000,MATCH(A1868,'Semrush Data'!$A$1:$A$20000,0),MATCH("Keyword Difficulty*",'Semrush Data'!$A$1:$Z$1,0)),"")</f>
        <v/>
      </c>
      <c r="I1868" s="56">
        <f>IFERROR(INDEX('Semrush Data'!$A$1:$Z$20000,MATCH(A1868,'Semrush Data'!$A$1:$A$20000,0),MATCH("CPC*",'Semrush Data'!$A$1:$Z$1,0)),"")</f>
        <v/>
      </c>
      <c r="J1868" s="42">
        <f>IFERROR(INDEX('Semrush Data'!$A$1:$Z$20000,MATCH(A1868,'Semrush Data'!$A$1:$A$20000,0),MATCH("Intent",'Semrush Data'!$A$1:$Z$1,0)),"")</f>
        <v/>
      </c>
    </row>
    <row r="1869" ht="15" customHeight="1" s="37">
      <c r="A1869" s="42" t="inlineStr">
        <is>
          <t>buy game of spades king online</t>
        </is>
      </c>
      <c r="B1869" s="42" t="inlineStr">
        <is>
          <t>Buy online</t>
        </is>
      </c>
      <c r="C1869" s="42" t="n">
        <v>3</v>
      </c>
      <c r="D1869" s="42" t="n">
        <v>19</v>
      </c>
      <c r="E1869" s="42" t="n">
        <v>1</v>
      </c>
      <c r="F1869" s="42" t="inlineStr">
        <is>
          <t>FR-187</t>
        </is>
      </c>
      <c r="G1869" s="55">
        <f>IFERROR(INDEX('Semrush Data'!$A$1:$Z$20000,MATCH(A1869,'Semrush Data'!$A$1:$A$20000,0),MATCH("Volume",'Semrush Data'!$A$1:$Z$1,0)),"")</f>
        <v/>
      </c>
      <c r="H1869" s="42">
        <f>IFERROR(INDEX('Semrush Data'!$A$1:$Z$20000,MATCH(A1869,'Semrush Data'!$A$1:$A$20000,0),MATCH("Keyword Difficulty*",'Semrush Data'!$A$1:$Z$1,0)),"")</f>
        <v/>
      </c>
      <c r="I1869" s="56">
        <f>IFERROR(INDEX('Semrush Data'!$A$1:$Z$20000,MATCH(A1869,'Semrush Data'!$A$1:$A$20000,0),MATCH("CPC*",'Semrush Data'!$A$1:$Z$1,0)),"")</f>
        <v/>
      </c>
      <c r="J1869" s="42">
        <f>IFERROR(INDEX('Semrush Data'!$A$1:$Z$20000,MATCH(A1869,'Semrush Data'!$A$1:$A$20000,0),MATCH("Intent",'Semrush Data'!$A$1:$Z$1,0)),"")</f>
        <v/>
      </c>
    </row>
    <row r="1870" ht="15" customHeight="1" s="37">
      <c r="A1870" s="42" t="inlineStr">
        <is>
          <t>buy game of spades moon online</t>
        </is>
      </c>
      <c r="B1870" s="42" t="inlineStr">
        <is>
          <t>Buy online</t>
        </is>
      </c>
      <c r="C1870" s="42" t="n">
        <v>3</v>
      </c>
      <c r="D1870" s="42" t="n">
        <v>19</v>
      </c>
      <c r="E1870" s="42" t="n">
        <v>1</v>
      </c>
      <c r="F1870" s="42" t="inlineStr">
        <is>
          <t>FR-188</t>
        </is>
      </c>
      <c r="G1870" s="55">
        <f>IFERROR(INDEX('Semrush Data'!$A$1:$Z$20000,MATCH(A1870,'Semrush Data'!$A$1:$A$20000,0),MATCH("Volume",'Semrush Data'!$A$1:$Z$1,0)),"")</f>
        <v/>
      </c>
      <c r="H1870" s="42">
        <f>IFERROR(INDEX('Semrush Data'!$A$1:$Z$20000,MATCH(A1870,'Semrush Data'!$A$1:$A$20000,0),MATCH("Keyword Difficulty*",'Semrush Data'!$A$1:$Z$1,0)),"")</f>
        <v/>
      </c>
      <c r="I1870" s="56">
        <f>IFERROR(INDEX('Semrush Data'!$A$1:$Z$20000,MATCH(A1870,'Semrush Data'!$A$1:$A$20000,0),MATCH("CPC*",'Semrush Data'!$A$1:$Z$1,0)),"")</f>
        <v/>
      </c>
      <c r="J1870" s="42">
        <f>IFERROR(INDEX('Semrush Data'!$A$1:$Z$20000,MATCH(A1870,'Semrush Data'!$A$1:$A$20000,0),MATCH("Intent",'Semrush Data'!$A$1:$Z$1,0)),"")</f>
        <v/>
      </c>
    </row>
    <row r="1871" ht="15" customHeight="1" s="37">
      <c r="A1871" s="42" t="inlineStr">
        <is>
          <t>buy game of spades opal online</t>
        </is>
      </c>
      <c r="B1871" s="42" t="inlineStr">
        <is>
          <t>Buy online</t>
        </is>
      </c>
      <c r="C1871" s="42" t="n">
        <v>3</v>
      </c>
      <c r="D1871" s="42" t="n">
        <v>19</v>
      </c>
      <c r="E1871" s="42" t="n">
        <v>1</v>
      </c>
      <c r="F1871" s="42" t="inlineStr">
        <is>
          <t>FR-189</t>
        </is>
      </c>
      <c r="G1871" s="55">
        <f>IFERROR(INDEX('Semrush Data'!$A$1:$Z$20000,MATCH(A1871,'Semrush Data'!$A$1:$A$20000,0),MATCH("Volume",'Semrush Data'!$A$1:$Z$1,0)),"")</f>
        <v/>
      </c>
      <c r="H1871" s="42">
        <f>IFERROR(INDEX('Semrush Data'!$A$1:$Z$20000,MATCH(A1871,'Semrush Data'!$A$1:$A$20000,0),MATCH("Keyword Difficulty*",'Semrush Data'!$A$1:$Z$1,0)),"")</f>
        <v/>
      </c>
      <c r="I1871" s="56">
        <f>IFERROR(INDEX('Semrush Data'!$A$1:$Z$20000,MATCH(A1871,'Semrush Data'!$A$1:$A$20000,0),MATCH("CPC*",'Semrush Data'!$A$1:$Z$1,0)),"")</f>
        <v/>
      </c>
      <c r="J1871" s="42">
        <f>IFERROR(INDEX('Semrush Data'!$A$1:$Z$20000,MATCH(A1871,'Semrush Data'!$A$1:$A$20000,0),MATCH("Intent",'Semrush Data'!$A$1:$Z$1,0)),"")</f>
        <v/>
      </c>
    </row>
    <row r="1872" ht="15" customHeight="1" s="37">
      <c r="A1872" s="42" t="inlineStr">
        <is>
          <t>buy game of spades rouge extrait online</t>
        </is>
      </c>
      <c r="B1872" s="42" t="inlineStr">
        <is>
          <t>Buy online</t>
        </is>
      </c>
      <c r="C1872" s="42" t="n">
        <v>3</v>
      </c>
      <c r="D1872" s="42" t="n">
        <v>19</v>
      </c>
      <c r="E1872" s="42" t="n">
        <v>1</v>
      </c>
      <c r="F1872" s="42" t="inlineStr">
        <is>
          <t>FR-211</t>
        </is>
      </c>
      <c r="G1872" s="55">
        <f>IFERROR(INDEX('Semrush Data'!$A$1:$Z$20000,MATCH(A1872,'Semrush Data'!$A$1:$A$20000,0),MATCH("Volume",'Semrush Data'!$A$1:$Z$1,0)),"")</f>
        <v/>
      </c>
      <c r="H1872" s="42">
        <f>IFERROR(INDEX('Semrush Data'!$A$1:$Z$20000,MATCH(A1872,'Semrush Data'!$A$1:$A$20000,0),MATCH("Keyword Difficulty*",'Semrush Data'!$A$1:$Z$1,0)),"")</f>
        <v/>
      </c>
      <c r="I1872" s="56">
        <f>IFERROR(INDEX('Semrush Data'!$A$1:$Z$20000,MATCH(A1872,'Semrush Data'!$A$1:$A$20000,0),MATCH("CPC*",'Semrush Data'!$A$1:$Z$1,0)),"")</f>
        <v/>
      </c>
      <c r="J1872" s="42">
        <f>IFERROR(INDEX('Semrush Data'!$A$1:$Z$20000,MATCH(A1872,'Semrush Data'!$A$1:$A$20000,0),MATCH("Intent",'Semrush Data'!$A$1:$Z$1,0)),"")</f>
        <v/>
      </c>
    </row>
    <row r="1873" ht="15" customHeight="1" s="37">
      <c r="A1873" s="42" t="inlineStr">
        <is>
          <t>buy game of spades rouge online</t>
        </is>
      </c>
      <c r="B1873" s="42" t="inlineStr">
        <is>
          <t>Buy online</t>
        </is>
      </c>
      <c r="C1873" s="42" t="n">
        <v>3</v>
      </c>
      <c r="D1873" s="42" t="n">
        <v>19</v>
      </c>
      <c r="E1873" s="42" t="n">
        <v>1</v>
      </c>
      <c r="F1873" s="42" t="inlineStr">
        <is>
          <t>FR-190</t>
        </is>
      </c>
      <c r="G1873" s="55">
        <f>IFERROR(INDEX('Semrush Data'!$A$1:$Z$20000,MATCH(A1873,'Semrush Data'!$A$1:$A$20000,0),MATCH("Volume",'Semrush Data'!$A$1:$Z$1,0)),"")</f>
        <v/>
      </c>
      <c r="H1873" s="42">
        <f>IFERROR(INDEX('Semrush Data'!$A$1:$Z$20000,MATCH(A1873,'Semrush Data'!$A$1:$A$20000,0),MATCH("Keyword Difficulty*",'Semrush Data'!$A$1:$Z$1,0)),"")</f>
        <v/>
      </c>
      <c r="I1873" s="56">
        <f>IFERROR(INDEX('Semrush Data'!$A$1:$Z$20000,MATCH(A1873,'Semrush Data'!$A$1:$A$20000,0),MATCH("CPC*",'Semrush Data'!$A$1:$Z$1,0)),"")</f>
        <v/>
      </c>
      <c r="J1873" s="42">
        <f>IFERROR(INDEX('Semrush Data'!$A$1:$Z$20000,MATCH(A1873,'Semrush Data'!$A$1:$A$20000,0),MATCH("Intent",'Semrush Data'!$A$1:$Z$1,0)),"")</f>
        <v/>
      </c>
    </row>
    <row r="1874" ht="15" customHeight="1" s="37">
      <c r="A1874" s="42" t="inlineStr">
        <is>
          <t>buy game of spades royale online</t>
        </is>
      </c>
      <c r="B1874" s="42" t="inlineStr">
        <is>
          <t>Buy online</t>
        </is>
      </c>
      <c r="C1874" s="42" t="n">
        <v>3</v>
      </c>
      <c r="D1874" s="42" t="n">
        <v>19</v>
      </c>
      <c r="E1874" s="42" t="n">
        <v>1</v>
      </c>
      <c r="F1874" s="42" t="inlineStr">
        <is>
          <t>FR-191</t>
        </is>
      </c>
      <c r="G1874" s="55">
        <f>IFERROR(INDEX('Semrush Data'!$A$1:$Z$20000,MATCH(A1874,'Semrush Data'!$A$1:$A$20000,0),MATCH("Volume",'Semrush Data'!$A$1:$Z$1,0)),"")</f>
        <v/>
      </c>
      <c r="H1874" s="42">
        <f>IFERROR(INDEX('Semrush Data'!$A$1:$Z$20000,MATCH(A1874,'Semrush Data'!$A$1:$A$20000,0),MATCH("Keyword Difficulty*",'Semrush Data'!$A$1:$Z$1,0)),"")</f>
        <v/>
      </c>
      <c r="I1874" s="56">
        <f>IFERROR(INDEX('Semrush Data'!$A$1:$Z$20000,MATCH(A1874,'Semrush Data'!$A$1:$A$20000,0),MATCH("CPC*",'Semrush Data'!$A$1:$Z$1,0)),"")</f>
        <v/>
      </c>
      <c r="J1874" s="42">
        <f>IFERROR(INDEX('Semrush Data'!$A$1:$Z$20000,MATCH(A1874,'Semrush Data'!$A$1:$A$20000,0),MATCH("Intent",'Semrush Data'!$A$1:$Z$1,0)),"")</f>
        <v/>
      </c>
    </row>
    <row r="1875" ht="15" customHeight="1" s="37">
      <c r="A1875" s="42" t="inlineStr">
        <is>
          <t>buy game of spades ruby online</t>
        </is>
      </c>
      <c r="B1875" s="42" t="inlineStr">
        <is>
          <t>Buy online</t>
        </is>
      </c>
      <c r="C1875" s="42" t="n">
        <v>3</v>
      </c>
      <c r="D1875" s="42" t="n">
        <v>19</v>
      </c>
      <c r="E1875" s="42" t="n">
        <v>1</v>
      </c>
      <c r="F1875" s="42" t="inlineStr">
        <is>
          <t>FR-192</t>
        </is>
      </c>
      <c r="G1875" s="55">
        <f>IFERROR(INDEX('Semrush Data'!$A$1:$Z$20000,MATCH(A1875,'Semrush Data'!$A$1:$A$20000,0),MATCH("Volume",'Semrush Data'!$A$1:$Z$1,0)),"")</f>
        <v/>
      </c>
      <c r="H1875" s="42">
        <f>IFERROR(INDEX('Semrush Data'!$A$1:$Z$20000,MATCH(A1875,'Semrush Data'!$A$1:$A$20000,0),MATCH("Keyword Difficulty*",'Semrush Data'!$A$1:$Z$1,0)),"")</f>
        <v/>
      </c>
      <c r="I1875" s="56">
        <f>IFERROR(INDEX('Semrush Data'!$A$1:$Z$20000,MATCH(A1875,'Semrush Data'!$A$1:$A$20000,0),MATCH("CPC*",'Semrush Data'!$A$1:$Z$1,0)),"")</f>
        <v/>
      </c>
      <c r="J1875" s="42">
        <f>IFERROR(INDEX('Semrush Data'!$A$1:$Z$20000,MATCH(A1875,'Semrush Data'!$A$1:$A$20000,0),MATCH("Intent",'Semrush Data'!$A$1:$Z$1,0)),"")</f>
        <v/>
      </c>
    </row>
    <row r="1876" ht="15" customHeight="1" s="37">
      <c r="A1876" s="42" t="inlineStr">
        <is>
          <t>buy game of spades wildcard online</t>
        </is>
      </c>
      <c r="B1876" s="42" t="inlineStr">
        <is>
          <t>Buy online</t>
        </is>
      </c>
      <c r="C1876" s="42" t="n">
        <v>3</v>
      </c>
      <c r="D1876" s="42" t="n">
        <v>19</v>
      </c>
      <c r="E1876" s="42" t="n">
        <v>1</v>
      </c>
      <c r="F1876" s="42" t="inlineStr">
        <is>
          <t>FR-193</t>
        </is>
      </c>
      <c r="G1876" s="55">
        <f>IFERROR(INDEX('Semrush Data'!$A$1:$Z$20000,MATCH(A1876,'Semrush Data'!$A$1:$A$20000,0),MATCH("Volume",'Semrush Data'!$A$1:$Z$1,0)),"")</f>
        <v/>
      </c>
      <c r="H1876" s="42">
        <f>IFERROR(INDEX('Semrush Data'!$A$1:$Z$20000,MATCH(A1876,'Semrush Data'!$A$1:$A$20000,0),MATCH("Keyword Difficulty*",'Semrush Data'!$A$1:$Z$1,0)),"")</f>
        <v/>
      </c>
      <c r="I1876" s="56">
        <f>IFERROR(INDEX('Semrush Data'!$A$1:$Z$20000,MATCH(A1876,'Semrush Data'!$A$1:$A$20000,0),MATCH("CPC*",'Semrush Data'!$A$1:$Z$1,0)),"")</f>
        <v/>
      </c>
      <c r="J1876" s="42">
        <f>IFERROR(INDEX('Semrush Data'!$A$1:$Z$20000,MATCH(A1876,'Semrush Data'!$A$1:$A$20000,0),MATCH("Intent",'Semrush Data'!$A$1:$Z$1,0)),"")</f>
        <v/>
      </c>
    </row>
    <row r="1877" ht="15" customHeight="1" s="37">
      <c r="A1877" s="42" t="inlineStr">
        <is>
          <t>buy game of spades win online</t>
        </is>
      </c>
      <c r="B1877" s="42" t="inlineStr">
        <is>
          <t>Buy online</t>
        </is>
      </c>
      <c r="C1877" s="42" t="n">
        <v>3</v>
      </c>
      <c r="D1877" s="42" t="n">
        <v>19</v>
      </c>
      <c r="E1877" s="42" t="n">
        <v>1</v>
      </c>
      <c r="F1877" s="42" t="inlineStr">
        <is>
          <t>FR-194</t>
        </is>
      </c>
      <c r="G1877" s="55">
        <f>IFERROR(INDEX('Semrush Data'!$A$1:$Z$20000,MATCH(A1877,'Semrush Data'!$A$1:$A$20000,0),MATCH("Volume",'Semrush Data'!$A$1:$Z$1,0)),"")</f>
        <v/>
      </c>
      <c r="H1877" s="42">
        <f>IFERROR(INDEX('Semrush Data'!$A$1:$Z$20000,MATCH(A1877,'Semrush Data'!$A$1:$A$20000,0),MATCH("Keyword Difficulty*",'Semrush Data'!$A$1:$Z$1,0)),"")</f>
        <v/>
      </c>
      <c r="I1877" s="56">
        <f>IFERROR(INDEX('Semrush Data'!$A$1:$Z$20000,MATCH(A1877,'Semrush Data'!$A$1:$A$20000,0),MATCH("CPC*",'Semrush Data'!$A$1:$Z$1,0)),"")</f>
        <v/>
      </c>
      <c r="J1877" s="42">
        <f>IFERROR(INDEX('Semrush Data'!$A$1:$Z$20000,MATCH(A1877,'Semrush Data'!$A$1:$A$20000,0),MATCH("Intent",'Semrush Data'!$A$1:$Z$1,0)),"")</f>
        <v/>
      </c>
    </row>
    <row r="1878" ht="15" customHeight="1" s="37">
      <c r="A1878" s="42" t="inlineStr">
        <is>
          <t>buy game of spades yellow sapphire online</t>
        </is>
      </c>
      <c r="B1878" s="42" t="inlineStr">
        <is>
          <t>Buy online</t>
        </is>
      </c>
      <c r="C1878" s="42" t="n">
        <v>3</v>
      </c>
      <c r="D1878" s="42" t="n">
        <v>19</v>
      </c>
      <c r="E1878" s="42" t="n">
        <v>1</v>
      </c>
      <c r="F1878" s="42" t="inlineStr">
        <is>
          <t>FR-195</t>
        </is>
      </c>
      <c r="G1878" s="55">
        <f>IFERROR(INDEX('Semrush Data'!$A$1:$Z$20000,MATCH(A1878,'Semrush Data'!$A$1:$A$20000,0),MATCH("Volume",'Semrush Data'!$A$1:$Z$1,0)),"")</f>
        <v/>
      </c>
      <c r="H1878" s="42">
        <f>IFERROR(INDEX('Semrush Data'!$A$1:$Z$20000,MATCH(A1878,'Semrush Data'!$A$1:$A$20000,0),MATCH("Keyword Difficulty*",'Semrush Data'!$A$1:$Z$1,0)),"")</f>
        <v/>
      </c>
      <c r="I1878" s="56">
        <f>IFERROR(INDEX('Semrush Data'!$A$1:$Z$20000,MATCH(A1878,'Semrush Data'!$A$1:$A$20000,0),MATCH("CPC*",'Semrush Data'!$A$1:$Z$1,0)),"")</f>
        <v/>
      </c>
      <c r="J1878" s="42">
        <f>IFERROR(INDEX('Semrush Data'!$A$1:$Z$20000,MATCH(A1878,'Semrush Data'!$A$1:$A$20000,0),MATCH("Intent",'Semrush Data'!$A$1:$Z$1,0)),"")</f>
        <v/>
      </c>
    </row>
    <row r="1879" ht="15" customHeight="1" s="37">
      <c r="A1879" s="42" t="inlineStr">
        <is>
          <t>buy giorgia armani giorgio armani code refillable online</t>
        </is>
      </c>
      <c r="B1879" s="42" t="inlineStr">
        <is>
          <t>Buy online</t>
        </is>
      </c>
      <c r="C1879" s="42" t="n">
        <v>3</v>
      </c>
      <c r="D1879" s="42" t="n">
        <v>19</v>
      </c>
      <c r="E1879" s="42" t="n">
        <v>1</v>
      </c>
      <c r="F1879" s="42" t="inlineStr">
        <is>
          <t>FR-212</t>
        </is>
      </c>
      <c r="G1879" s="55">
        <f>IFERROR(INDEX('Semrush Data'!$A$1:$Z$20000,MATCH(A1879,'Semrush Data'!$A$1:$A$20000,0),MATCH("Volume",'Semrush Data'!$A$1:$Z$1,0)),"")</f>
        <v/>
      </c>
      <c r="H1879" s="42">
        <f>IFERROR(INDEX('Semrush Data'!$A$1:$Z$20000,MATCH(A1879,'Semrush Data'!$A$1:$A$20000,0),MATCH("Keyword Difficulty*",'Semrush Data'!$A$1:$Z$1,0)),"")</f>
        <v/>
      </c>
      <c r="I1879" s="56">
        <f>IFERROR(INDEX('Semrush Data'!$A$1:$Z$20000,MATCH(A1879,'Semrush Data'!$A$1:$A$20000,0),MATCH("CPC*",'Semrush Data'!$A$1:$Z$1,0)),"")</f>
        <v/>
      </c>
      <c r="J1879" s="42">
        <f>IFERROR(INDEX('Semrush Data'!$A$1:$Z$20000,MATCH(A1879,'Semrush Data'!$A$1:$A$20000,0),MATCH("Intent",'Semrush Data'!$A$1:$Z$1,0)),"")</f>
        <v/>
      </c>
    </row>
    <row r="1880" ht="15" customHeight="1" s="37">
      <c r="A1880" s="42" t="inlineStr">
        <is>
          <t>buy giorgio armani code refillable online</t>
        </is>
      </c>
      <c r="B1880" s="42" t="inlineStr">
        <is>
          <t>Buy online</t>
        </is>
      </c>
      <c r="C1880" s="42" t="n">
        <v>3</v>
      </c>
      <c r="D1880" s="42" t="n">
        <v>19</v>
      </c>
      <c r="E1880" s="42" t="n">
        <v>1</v>
      </c>
      <c r="F1880" s="42" t="inlineStr">
        <is>
          <t>FR-213</t>
        </is>
      </c>
      <c r="G1880" s="55">
        <f>IFERROR(INDEX('Semrush Data'!$A$1:$Z$20000,MATCH(A1880,'Semrush Data'!$A$1:$A$20000,0),MATCH("Volume",'Semrush Data'!$A$1:$Z$1,0)),"")</f>
        <v/>
      </c>
      <c r="H1880" s="42">
        <f>IFERROR(INDEX('Semrush Data'!$A$1:$Z$20000,MATCH(A1880,'Semrush Data'!$A$1:$A$20000,0),MATCH("Keyword Difficulty*",'Semrush Data'!$A$1:$Z$1,0)),"")</f>
        <v/>
      </c>
      <c r="I1880" s="56">
        <f>IFERROR(INDEX('Semrush Data'!$A$1:$Z$20000,MATCH(A1880,'Semrush Data'!$A$1:$A$20000,0),MATCH("CPC*",'Semrush Data'!$A$1:$Z$1,0)),"")</f>
        <v/>
      </c>
      <c r="J1880" s="42">
        <f>IFERROR(INDEX('Semrush Data'!$A$1:$Z$20000,MATCH(A1880,'Semrush Data'!$A$1:$A$20000,0),MATCH("Intent",'Semrush Data'!$A$1:$Z$1,0)),"")</f>
        <v/>
      </c>
    </row>
    <row r="1881" ht="15" customHeight="1" s="37">
      <c r="A1881" s="42" t="inlineStr">
        <is>
          <t>buy givenchy amarige online</t>
        </is>
      </c>
      <c r="B1881" s="42" t="inlineStr">
        <is>
          <t>Buy online</t>
        </is>
      </c>
      <c r="C1881" s="42" t="n">
        <v>3</v>
      </c>
      <c r="D1881" s="42" t="n">
        <v>19</v>
      </c>
      <c r="E1881" s="42" t="n">
        <v>1</v>
      </c>
      <c r="F1881" s="42" t="inlineStr">
        <is>
          <t>FR-214</t>
        </is>
      </c>
      <c r="G1881" s="55">
        <f>IFERROR(INDEX('Semrush Data'!$A$1:$Z$20000,MATCH(A1881,'Semrush Data'!$A$1:$A$20000,0),MATCH("Volume",'Semrush Data'!$A$1:$Z$1,0)),"")</f>
        <v/>
      </c>
      <c r="H1881" s="42">
        <f>IFERROR(INDEX('Semrush Data'!$A$1:$Z$20000,MATCH(A1881,'Semrush Data'!$A$1:$A$20000,0),MATCH("Keyword Difficulty*",'Semrush Data'!$A$1:$Z$1,0)),"")</f>
        <v/>
      </c>
      <c r="I1881" s="56">
        <f>IFERROR(INDEX('Semrush Data'!$A$1:$Z$20000,MATCH(A1881,'Semrush Data'!$A$1:$A$20000,0),MATCH("CPC*",'Semrush Data'!$A$1:$Z$1,0)),"")</f>
        <v/>
      </c>
      <c r="J1881" s="42">
        <f>IFERROR(INDEX('Semrush Data'!$A$1:$Z$20000,MATCH(A1881,'Semrush Data'!$A$1:$A$20000,0),MATCH("Intent",'Semrush Data'!$A$1:$Z$1,0)),"")</f>
        <v/>
      </c>
    </row>
    <row r="1882" ht="15" customHeight="1" s="37">
      <c r="A1882" s="42" t="inlineStr">
        <is>
          <t>buy givenchy gentleman originale online</t>
        </is>
      </c>
      <c r="B1882" s="42" t="inlineStr">
        <is>
          <t>Buy online</t>
        </is>
      </c>
      <c r="C1882" s="42" t="n">
        <v>3</v>
      </c>
      <c r="D1882" s="42" t="n">
        <v>19</v>
      </c>
      <c r="E1882" s="42" t="n">
        <v>1</v>
      </c>
      <c r="F1882" s="42" t="inlineStr">
        <is>
          <t>FR-215</t>
        </is>
      </c>
      <c r="G1882" s="55">
        <f>IFERROR(INDEX('Semrush Data'!$A$1:$Z$20000,MATCH(A1882,'Semrush Data'!$A$1:$A$20000,0),MATCH("Volume",'Semrush Data'!$A$1:$Z$1,0)),"")</f>
        <v/>
      </c>
      <c r="H1882" s="42">
        <f>IFERROR(INDEX('Semrush Data'!$A$1:$Z$20000,MATCH(A1882,'Semrush Data'!$A$1:$A$20000,0),MATCH("Keyword Difficulty*",'Semrush Data'!$A$1:$Z$1,0)),"")</f>
        <v/>
      </c>
      <c r="I1882" s="56">
        <f>IFERROR(INDEX('Semrush Data'!$A$1:$Z$20000,MATCH(A1882,'Semrush Data'!$A$1:$A$20000,0),MATCH("CPC*",'Semrush Data'!$A$1:$Z$1,0)),"")</f>
        <v/>
      </c>
      <c r="J1882" s="42">
        <f>IFERROR(INDEX('Semrush Data'!$A$1:$Z$20000,MATCH(A1882,'Semrush Data'!$A$1:$A$20000,0),MATCH("Intent",'Semrush Data'!$A$1:$Z$1,0)),"")</f>
        <v/>
      </c>
    </row>
    <row r="1883" ht="15" customHeight="1" s="37">
      <c r="A1883" s="42" t="inlineStr">
        <is>
          <t>buy gucci bloom gift set online</t>
        </is>
      </c>
      <c r="B1883" s="42" t="inlineStr">
        <is>
          <t>Buy online</t>
        </is>
      </c>
      <c r="C1883" s="42" t="n">
        <v>3</v>
      </c>
      <c r="D1883" s="42" t="n">
        <v>19</v>
      </c>
      <c r="E1883" s="42" t="n">
        <v>1</v>
      </c>
      <c r="F1883" s="42" t="inlineStr">
        <is>
          <t>FR-223</t>
        </is>
      </c>
      <c r="G1883" s="55">
        <f>IFERROR(INDEX('Semrush Data'!$A$1:$Z$20000,MATCH(A1883,'Semrush Data'!$A$1:$A$20000,0),MATCH("Volume",'Semrush Data'!$A$1:$Z$1,0)),"")</f>
        <v/>
      </c>
      <c r="H1883" s="42">
        <f>IFERROR(INDEX('Semrush Data'!$A$1:$Z$20000,MATCH(A1883,'Semrush Data'!$A$1:$A$20000,0),MATCH("Keyword Difficulty*",'Semrush Data'!$A$1:$Z$1,0)),"")</f>
        <v/>
      </c>
      <c r="I1883" s="56">
        <f>IFERROR(INDEX('Semrush Data'!$A$1:$Z$20000,MATCH(A1883,'Semrush Data'!$A$1:$A$20000,0),MATCH("CPC*",'Semrush Data'!$A$1:$Z$1,0)),"")</f>
        <v/>
      </c>
      <c r="J1883" s="42">
        <f>IFERROR(INDEX('Semrush Data'!$A$1:$Z$20000,MATCH(A1883,'Semrush Data'!$A$1:$A$20000,0),MATCH("Intent",'Semrush Data'!$A$1:$Z$1,0)),"")</f>
        <v/>
      </c>
    </row>
    <row r="1884" ht="15" customHeight="1" s="37">
      <c r="A1884" s="42" t="inlineStr">
        <is>
          <t>buy gucci bloom miniature online</t>
        </is>
      </c>
      <c r="B1884" s="42" t="inlineStr">
        <is>
          <t>Buy online</t>
        </is>
      </c>
      <c r="C1884" s="42" t="n">
        <v>3</v>
      </c>
      <c r="D1884" s="42" t="n">
        <v>19</v>
      </c>
      <c r="E1884" s="42" t="n">
        <v>1</v>
      </c>
      <c r="F1884" s="42" t="inlineStr">
        <is>
          <t>FR-221</t>
        </is>
      </c>
      <c r="G1884" s="55">
        <f>IFERROR(INDEX('Semrush Data'!$A$1:$Z$20000,MATCH(A1884,'Semrush Data'!$A$1:$A$20000,0),MATCH("Volume",'Semrush Data'!$A$1:$Z$1,0)),"")</f>
        <v/>
      </c>
      <c r="H1884" s="42">
        <f>IFERROR(INDEX('Semrush Data'!$A$1:$Z$20000,MATCH(A1884,'Semrush Data'!$A$1:$A$20000,0),MATCH("Keyword Difficulty*",'Semrush Data'!$A$1:$Z$1,0)),"")</f>
        <v/>
      </c>
      <c r="I1884" s="56">
        <f>IFERROR(INDEX('Semrush Data'!$A$1:$Z$20000,MATCH(A1884,'Semrush Data'!$A$1:$A$20000,0),MATCH("CPC*",'Semrush Data'!$A$1:$Z$1,0)),"")</f>
        <v/>
      </c>
      <c r="J1884" s="42">
        <f>IFERROR(INDEX('Semrush Data'!$A$1:$Z$20000,MATCH(A1884,'Semrush Data'!$A$1:$A$20000,0),MATCH("Intent",'Semrush Data'!$A$1:$Z$1,0)),"")</f>
        <v/>
      </c>
    </row>
    <row r="1885" ht="15" customHeight="1" s="37">
      <c r="A1885" s="42" t="inlineStr">
        <is>
          <t>buy gucci bloom parfum miniature online</t>
        </is>
      </c>
      <c r="B1885" s="42" t="inlineStr">
        <is>
          <t>Buy online</t>
        </is>
      </c>
      <c r="C1885" s="42" t="n">
        <v>3</v>
      </c>
      <c r="D1885" s="42" t="n">
        <v>19</v>
      </c>
      <c r="E1885" s="42" t="n">
        <v>1</v>
      </c>
      <c r="F1885" s="42" t="inlineStr">
        <is>
          <t>FR-228</t>
        </is>
      </c>
      <c r="G1885" s="55">
        <f>IFERROR(INDEX('Semrush Data'!$A$1:$Z$20000,MATCH(A1885,'Semrush Data'!$A$1:$A$20000,0),MATCH("Volume",'Semrush Data'!$A$1:$Z$1,0)),"")</f>
        <v/>
      </c>
      <c r="H1885" s="42">
        <f>IFERROR(INDEX('Semrush Data'!$A$1:$Z$20000,MATCH(A1885,'Semrush Data'!$A$1:$A$20000,0),MATCH("Keyword Difficulty*",'Semrush Data'!$A$1:$Z$1,0)),"")</f>
        <v/>
      </c>
      <c r="I1885" s="56">
        <f>IFERROR(INDEX('Semrush Data'!$A$1:$Z$20000,MATCH(A1885,'Semrush Data'!$A$1:$A$20000,0),MATCH("CPC*",'Semrush Data'!$A$1:$Z$1,0)),"")</f>
        <v/>
      </c>
      <c r="J1885" s="42">
        <f>IFERROR(INDEX('Semrush Data'!$A$1:$Z$20000,MATCH(A1885,'Semrush Data'!$A$1:$A$20000,0),MATCH("Intent",'Semrush Data'!$A$1:$Z$1,0)),"")</f>
        <v/>
      </c>
    </row>
    <row r="1886" ht="15" customHeight="1" s="37">
      <c r="A1886" s="42" t="inlineStr">
        <is>
          <t>buy gucci bloom profumo di fiori pen online</t>
        </is>
      </c>
      <c r="B1886" s="42" t="inlineStr">
        <is>
          <t>Buy online</t>
        </is>
      </c>
      <c r="C1886" s="42" t="n">
        <v>3</v>
      </c>
      <c r="D1886" s="42" t="n">
        <v>19</v>
      </c>
      <c r="E1886" s="42" t="n">
        <v>1</v>
      </c>
      <c r="F1886" s="42" t="inlineStr">
        <is>
          <t>FR-216</t>
        </is>
      </c>
      <c r="G1886" s="55">
        <f>IFERROR(INDEX('Semrush Data'!$A$1:$Z$20000,MATCH(A1886,'Semrush Data'!$A$1:$A$20000,0),MATCH("Volume",'Semrush Data'!$A$1:$Z$1,0)),"")</f>
        <v/>
      </c>
      <c r="H1886" s="42">
        <f>IFERROR(INDEX('Semrush Data'!$A$1:$Z$20000,MATCH(A1886,'Semrush Data'!$A$1:$A$20000,0),MATCH("Keyword Difficulty*",'Semrush Data'!$A$1:$Z$1,0)),"")</f>
        <v/>
      </c>
      <c r="I1886" s="56">
        <f>IFERROR(INDEX('Semrush Data'!$A$1:$Z$20000,MATCH(A1886,'Semrush Data'!$A$1:$A$20000,0),MATCH("CPC*",'Semrush Data'!$A$1:$Z$1,0)),"")</f>
        <v/>
      </c>
      <c r="J1886" s="42">
        <f>IFERROR(INDEX('Semrush Data'!$A$1:$Z$20000,MATCH(A1886,'Semrush Data'!$A$1:$A$20000,0),MATCH("Intent",'Semrush Data'!$A$1:$Z$1,0)),"")</f>
        <v/>
      </c>
    </row>
    <row r="1887" ht="15" customHeight="1" s="37">
      <c r="A1887" s="42" t="inlineStr">
        <is>
          <t>buy gucci flora gorgeous gardenia online</t>
        </is>
      </c>
      <c r="B1887" s="42" t="inlineStr">
        <is>
          <t>Buy online</t>
        </is>
      </c>
      <c r="C1887" s="42" t="n">
        <v>3</v>
      </c>
      <c r="D1887" s="42" t="inlineStr">
        <is>
          <t>T3-1</t>
        </is>
      </c>
      <c r="E1887" s="42" t="n">
        <v>1</v>
      </c>
      <c r="F1887" s="42" t="inlineStr">
        <is>
          <t>FR-217</t>
        </is>
      </c>
      <c r="G1887" s="55">
        <f>IFERROR(INDEX('Semrush Data'!$A$1:$Z$20000,MATCH(A1887,'Semrush Data'!$A$1:$A$20000,0),MATCH("Volume",'Semrush Data'!$A$1:$Z$1,0)),"")</f>
        <v/>
      </c>
      <c r="H1887" s="42">
        <f>IFERROR(INDEX('Semrush Data'!$A$1:$Z$20000,MATCH(A1887,'Semrush Data'!$A$1:$A$20000,0),MATCH("Keyword Difficulty*",'Semrush Data'!$A$1:$Z$1,0)),"")</f>
        <v/>
      </c>
      <c r="I1887" s="56">
        <f>IFERROR(INDEX('Semrush Data'!$A$1:$Z$20000,MATCH(A1887,'Semrush Data'!$A$1:$A$20000,0),MATCH("CPC*",'Semrush Data'!$A$1:$Z$1,0)),"")</f>
        <v/>
      </c>
      <c r="J1887" s="42">
        <f>IFERROR(INDEX('Semrush Data'!$A$1:$Z$20000,MATCH(A1887,'Semrush Data'!$A$1:$A$20000,0),MATCH("Intent",'Semrush Data'!$A$1:$Z$1,0)),"")</f>
        <v/>
      </c>
    </row>
    <row r="1888" ht="15" customHeight="1" s="37">
      <c r="A1888" s="42" t="inlineStr">
        <is>
          <t>buy gucci flora gorgeous miniature set online</t>
        </is>
      </c>
      <c r="B1888" s="42" t="inlineStr">
        <is>
          <t>Buy online</t>
        </is>
      </c>
      <c r="C1888" s="42" t="n">
        <v>3</v>
      </c>
      <c r="D1888" s="42" t="n">
        <v>19</v>
      </c>
      <c r="E1888" s="42" t="n">
        <v>1</v>
      </c>
      <c r="F1888" s="42" t="inlineStr">
        <is>
          <t>FR-224</t>
        </is>
      </c>
      <c r="G1888" s="55">
        <f>IFERROR(INDEX('Semrush Data'!$A$1:$Z$20000,MATCH(A1888,'Semrush Data'!$A$1:$A$20000,0),MATCH("Volume",'Semrush Data'!$A$1:$Z$1,0)),"")</f>
        <v/>
      </c>
      <c r="H1888" s="42">
        <f>IFERROR(INDEX('Semrush Data'!$A$1:$Z$20000,MATCH(A1888,'Semrush Data'!$A$1:$A$20000,0),MATCH("Keyword Difficulty*",'Semrush Data'!$A$1:$Z$1,0)),"")</f>
        <v/>
      </c>
      <c r="I1888" s="56">
        <f>IFERROR(INDEX('Semrush Data'!$A$1:$Z$20000,MATCH(A1888,'Semrush Data'!$A$1:$A$20000,0),MATCH("CPC*",'Semrush Data'!$A$1:$Z$1,0)),"")</f>
        <v/>
      </c>
      <c r="J1888" s="42">
        <f>IFERROR(INDEX('Semrush Data'!$A$1:$Z$20000,MATCH(A1888,'Semrush Data'!$A$1:$A$20000,0),MATCH("Intent",'Semrush Data'!$A$1:$Z$1,0)),"")</f>
        <v/>
      </c>
    </row>
    <row r="1889" ht="15" customHeight="1" s="37">
      <c r="A1889" s="42" t="inlineStr">
        <is>
          <t>buy gucci flora gorgeous orchid miniature online</t>
        </is>
      </c>
      <c r="B1889" s="42" t="inlineStr">
        <is>
          <t>Buy online</t>
        </is>
      </c>
      <c r="C1889" s="42" t="n">
        <v>3</v>
      </c>
      <c r="D1889" s="42" t="n">
        <v>19</v>
      </c>
      <c r="E1889" s="42" t="n">
        <v>1</v>
      </c>
      <c r="F1889" s="42" t="inlineStr">
        <is>
          <t>FR-218</t>
        </is>
      </c>
      <c r="G1889" s="55">
        <f>IFERROR(INDEX('Semrush Data'!$A$1:$Z$20000,MATCH(A1889,'Semrush Data'!$A$1:$A$20000,0),MATCH("Volume",'Semrush Data'!$A$1:$Z$1,0)),"")</f>
        <v/>
      </c>
      <c r="H1889" s="42">
        <f>IFERROR(INDEX('Semrush Data'!$A$1:$Z$20000,MATCH(A1889,'Semrush Data'!$A$1:$A$20000,0),MATCH("Keyword Difficulty*",'Semrush Data'!$A$1:$Z$1,0)),"")</f>
        <v/>
      </c>
      <c r="I1889" s="56">
        <f>IFERROR(INDEX('Semrush Data'!$A$1:$Z$20000,MATCH(A1889,'Semrush Data'!$A$1:$A$20000,0),MATCH("CPC*",'Semrush Data'!$A$1:$Z$1,0)),"")</f>
        <v/>
      </c>
      <c r="J1889" s="42">
        <f>IFERROR(INDEX('Semrush Data'!$A$1:$Z$20000,MATCH(A1889,'Semrush Data'!$A$1:$A$20000,0),MATCH("Intent",'Semrush Data'!$A$1:$Z$1,0)),"")</f>
        <v/>
      </c>
    </row>
    <row r="1890" ht="15" customHeight="1" s="37">
      <c r="A1890" s="42" t="inlineStr">
        <is>
          <t>buy gucci guilty pour femme gift set online</t>
        </is>
      </c>
      <c r="B1890" s="42" t="inlineStr">
        <is>
          <t>Buy online</t>
        </is>
      </c>
      <c r="C1890" s="42" t="n">
        <v>3</v>
      </c>
      <c r="D1890" s="42" t="n">
        <v>19</v>
      </c>
      <c r="E1890" s="42" t="n">
        <v>1</v>
      </c>
      <c r="F1890" s="42" t="inlineStr">
        <is>
          <t>FR-225</t>
        </is>
      </c>
      <c r="G1890" s="55">
        <f>IFERROR(INDEX('Semrush Data'!$A$1:$Z$20000,MATCH(A1890,'Semrush Data'!$A$1:$A$20000,0),MATCH("Volume",'Semrush Data'!$A$1:$Z$1,0)),"")</f>
        <v/>
      </c>
      <c r="H1890" s="42">
        <f>IFERROR(INDEX('Semrush Data'!$A$1:$Z$20000,MATCH(A1890,'Semrush Data'!$A$1:$A$20000,0),MATCH("Keyword Difficulty*",'Semrush Data'!$A$1:$Z$1,0)),"")</f>
        <v/>
      </c>
      <c r="I1890" s="56">
        <f>IFERROR(INDEX('Semrush Data'!$A$1:$Z$20000,MATCH(A1890,'Semrush Data'!$A$1:$A$20000,0),MATCH("CPC*",'Semrush Data'!$A$1:$Z$1,0)),"")</f>
        <v/>
      </c>
      <c r="J1890" s="42">
        <f>IFERROR(INDEX('Semrush Data'!$A$1:$Z$20000,MATCH(A1890,'Semrush Data'!$A$1:$A$20000,0),MATCH("Intent",'Semrush Data'!$A$1:$Z$1,0)),"")</f>
        <v/>
      </c>
    </row>
    <row r="1891" ht="15" customHeight="1" s="37">
      <c r="A1891" s="42" t="inlineStr">
        <is>
          <t>buy gucci guilty pour femme miniature online</t>
        </is>
      </c>
      <c r="B1891" s="42" t="inlineStr">
        <is>
          <t>Buy online</t>
        </is>
      </c>
      <c r="C1891" s="42" t="n">
        <v>3</v>
      </c>
      <c r="D1891" s="42" t="n">
        <v>19</v>
      </c>
      <c r="E1891" s="42" t="n">
        <v>1</v>
      </c>
      <c r="F1891" s="42" t="inlineStr">
        <is>
          <t>FR-219</t>
        </is>
      </c>
      <c r="G1891" s="55">
        <f>IFERROR(INDEX('Semrush Data'!$A$1:$Z$20000,MATCH(A1891,'Semrush Data'!$A$1:$A$20000,0),MATCH("Volume",'Semrush Data'!$A$1:$Z$1,0)),"")</f>
        <v/>
      </c>
      <c r="H1891" s="42">
        <f>IFERROR(INDEX('Semrush Data'!$A$1:$Z$20000,MATCH(A1891,'Semrush Data'!$A$1:$A$20000,0),MATCH("Keyword Difficulty*",'Semrush Data'!$A$1:$Z$1,0)),"")</f>
        <v/>
      </c>
      <c r="I1891" s="56">
        <f>IFERROR(INDEX('Semrush Data'!$A$1:$Z$20000,MATCH(A1891,'Semrush Data'!$A$1:$A$20000,0),MATCH("CPC*",'Semrush Data'!$A$1:$Z$1,0)),"")</f>
        <v/>
      </c>
      <c r="J1891" s="42">
        <f>IFERROR(INDEX('Semrush Data'!$A$1:$Z$20000,MATCH(A1891,'Semrush Data'!$A$1:$A$20000,0),MATCH("Intent",'Semrush Data'!$A$1:$Z$1,0)),"")</f>
        <v/>
      </c>
    </row>
    <row r="1892" ht="15" customHeight="1" s="37">
      <c r="A1892" s="42" t="inlineStr">
        <is>
          <t>buy gucci guilty pour homme online</t>
        </is>
      </c>
      <c r="B1892" s="42" t="inlineStr">
        <is>
          <t>Buy online</t>
        </is>
      </c>
      <c r="C1892" s="42" t="n">
        <v>3</v>
      </c>
      <c r="D1892" s="42" t="inlineStr">
        <is>
          <t>T3-1</t>
        </is>
      </c>
      <c r="E1892" s="42" t="n">
        <v>1</v>
      </c>
      <c r="F1892" s="42" t="inlineStr">
        <is>
          <t>FR-222</t>
        </is>
      </c>
      <c r="G1892" s="55">
        <f>IFERROR(INDEX('Semrush Data'!$A$1:$Z$20000,MATCH(A1892,'Semrush Data'!$A$1:$A$20000,0),MATCH("Volume",'Semrush Data'!$A$1:$Z$1,0)),"")</f>
        <v/>
      </c>
      <c r="H1892" s="42">
        <f>IFERROR(INDEX('Semrush Data'!$A$1:$Z$20000,MATCH(A1892,'Semrush Data'!$A$1:$A$20000,0),MATCH("Keyword Difficulty*",'Semrush Data'!$A$1:$Z$1,0)),"")</f>
        <v/>
      </c>
      <c r="I1892" s="56">
        <f>IFERROR(INDEX('Semrush Data'!$A$1:$Z$20000,MATCH(A1892,'Semrush Data'!$A$1:$A$20000,0),MATCH("CPC*",'Semrush Data'!$A$1:$Z$1,0)),"")</f>
        <v/>
      </c>
      <c r="J1892" s="42">
        <f>IFERROR(INDEX('Semrush Data'!$A$1:$Z$20000,MATCH(A1892,'Semrush Data'!$A$1:$A$20000,0),MATCH("Intent",'Semrush Data'!$A$1:$Z$1,0)),"")</f>
        <v/>
      </c>
    </row>
    <row r="1893" ht="15" customHeight="1" s="37">
      <c r="A1893" s="42" t="inlineStr">
        <is>
          <t>buy gucci intense oud online</t>
        </is>
      </c>
      <c r="B1893" s="42" t="inlineStr">
        <is>
          <t>Buy online</t>
        </is>
      </c>
      <c r="C1893" s="42" t="n">
        <v>3</v>
      </c>
      <c r="D1893" s="42" t="inlineStr">
        <is>
          <t>T3-1</t>
        </is>
      </c>
      <c r="E1893" s="42" t="n">
        <v>1</v>
      </c>
      <c r="F1893" s="42" t="inlineStr">
        <is>
          <t>FR-220</t>
        </is>
      </c>
      <c r="G1893" s="55">
        <f>IFERROR(INDEX('Semrush Data'!$A$1:$Z$20000,MATCH(A1893,'Semrush Data'!$A$1:$A$20000,0),MATCH("Volume",'Semrush Data'!$A$1:$Z$1,0)),"")</f>
        <v/>
      </c>
      <c r="H1893" s="42">
        <f>IFERROR(INDEX('Semrush Data'!$A$1:$Z$20000,MATCH(A1893,'Semrush Data'!$A$1:$A$20000,0),MATCH("Keyword Difficulty*",'Semrush Data'!$A$1:$Z$1,0)),"")</f>
        <v/>
      </c>
      <c r="I1893" s="56">
        <f>IFERROR(INDEX('Semrush Data'!$A$1:$Z$20000,MATCH(A1893,'Semrush Data'!$A$1:$A$20000,0),MATCH("CPC*",'Semrush Data'!$A$1:$Z$1,0)),"")</f>
        <v/>
      </c>
      <c r="J1893" s="42">
        <f>IFERROR(INDEX('Semrush Data'!$A$1:$Z$20000,MATCH(A1893,'Semrush Data'!$A$1:$A$20000,0),MATCH("Intent",'Semrush Data'!$A$1:$Z$1,0)),"")</f>
        <v/>
      </c>
    </row>
    <row r="1894" ht="15" customHeight="1" s="37">
      <c r="A1894" s="42" t="inlineStr">
        <is>
          <t>buy gucci miniature set online</t>
        </is>
      </c>
      <c r="B1894" s="42" t="inlineStr">
        <is>
          <t>Buy online</t>
        </is>
      </c>
      <c r="C1894" s="42" t="n">
        <v>3</v>
      </c>
      <c r="D1894" s="42" t="n">
        <v>19</v>
      </c>
      <c r="E1894" s="42" t="n">
        <v>1</v>
      </c>
      <c r="F1894" s="42" t="inlineStr">
        <is>
          <t>FR-226</t>
        </is>
      </c>
      <c r="G1894" s="55">
        <f>IFERROR(INDEX('Semrush Data'!$A$1:$Z$20000,MATCH(A1894,'Semrush Data'!$A$1:$A$20000,0),MATCH("Volume",'Semrush Data'!$A$1:$Z$1,0)),"")</f>
        <v/>
      </c>
      <c r="H1894" s="42">
        <f>IFERROR(INDEX('Semrush Data'!$A$1:$Z$20000,MATCH(A1894,'Semrush Data'!$A$1:$A$20000,0),MATCH("Keyword Difficulty*",'Semrush Data'!$A$1:$Z$1,0)),"")</f>
        <v/>
      </c>
      <c r="I1894" s="56">
        <f>IFERROR(INDEX('Semrush Data'!$A$1:$Z$20000,MATCH(A1894,'Semrush Data'!$A$1:$A$20000,0),MATCH("CPC*",'Semrush Data'!$A$1:$Z$1,0)),"")</f>
        <v/>
      </c>
      <c r="J1894" s="42">
        <f>IFERROR(INDEX('Semrush Data'!$A$1:$Z$20000,MATCH(A1894,'Semrush Data'!$A$1:$A$20000,0),MATCH("Intent",'Semrush Data'!$A$1:$Z$1,0)),"")</f>
        <v/>
      </c>
    </row>
    <row r="1895" ht="15" customHeight="1" s="37">
      <c r="A1895" s="42" t="inlineStr">
        <is>
          <t>buy gucci set online</t>
        </is>
      </c>
      <c r="B1895" s="42" t="inlineStr">
        <is>
          <t>Buy online</t>
        </is>
      </c>
      <c r="C1895" s="42" t="n">
        <v>3</v>
      </c>
      <c r="D1895" s="42" t="n">
        <v>19</v>
      </c>
      <c r="E1895" s="42" t="n">
        <v>1</v>
      </c>
      <c r="F1895" s="42" t="inlineStr">
        <is>
          <t>FR-227</t>
        </is>
      </c>
      <c r="G1895" s="55">
        <f>IFERROR(INDEX('Semrush Data'!$A$1:$Z$20000,MATCH(A1895,'Semrush Data'!$A$1:$A$20000,0),MATCH("Volume",'Semrush Data'!$A$1:$Z$1,0)),"")</f>
        <v/>
      </c>
      <c r="H1895" s="42">
        <f>IFERROR(INDEX('Semrush Data'!$A$1:$Z$20000,MATCH(A1895,'Semrush Data'!$A$1:$A$20000,0),MATCH("Keyword Difficulty*",'Semrush Data'!$A$1:$Z$1,0)),"")</f>
        <v/>
      </c>
      <c r="I1895" s="56">
        <f>IFERROR(INDEX('Semrush Data'!$A$1:$Z$20000,MATCH(A1895,'Semrush Data'!$A$1:$A$20000,0),MATCH("CPC*",'Semrush Data'!$A$1:$Z$1,0)),"")</f>
        <v/>
      </c>
      <c r="J1895" s="42">
        <f>IFERROR(INDEX('Semrush Data'!$A$1:$Z$20000,MATCH(A1895,'Semrush Data'!$A$1:$A$20000,0),MATCH("Intent",'Semrush Data'!$A$1:$Z$1,0)),"")</f>
        <v/>
      </c>
    </row>
    <row r="1896" ht="15" customHeight="1" s="37">
      <c r="A1896" s="42" t="inlineStr">
        <is>
          <t>buy guerlain epices exquises online</t>
        </is>
      </c>
      <c r="B1896" s="42" t="inlineStr">
        <is>
          <t>Buy online</t>
        </is>
      </c>
      <c r="C1896" s="42" t="n">
        <v>3</v>
      </c>
      <c r="D1896" s="42" t="n">
        <v>19</v>
      </c>
      <c r="E1896" s="42" t="n">
        <v>1</v>
      </c>
      <c r="F1896" s="42" t="inlineStr">
        <is>
          <t>FR-234</t>
        </is>
      </c>
      <c r="G1896" s="55">
        <f>IFERROR(INDEX('Semrush Data'!$A$1:$Z$20000,MATCH(A1896,'Semrush Data'!$A$1:$A$20000,0),MATCH("Volume",'Semrush Data'!$A$1:$Z$1,0)),"")</f>
        <v/>
      </c>
      <c r="H1896" s="42">
        <f>IFERROR(INDEX('Semrush Data'!$A$1:$Z$20000,MATCH(A1896,'Semrush Data'!$A$1:$A$20000,0),MATCH("Keyword Difficulty*",'Semrush Data'!$A$1:$Z$1,0)),"")</f>
        <v/>
      </c>
      <c r="I1896" s="56">
        <f>IFERROR(INDEX('Semrush Data'!$A$1:$Z$20000,MATCH(A1896,'Semrush Data'!$A$1:$A$20000,0),MATCH("CPC*",'Semrush Data'!$A$1:$Z$1,0)),"")</f>
        <v/>
      </c>
      <c r="J1896" s="42">
        <f>IFERROR(INDEX('Semrush Data'!$A$1:$Z$20000,MATCH(A1896,'Semrush Data'!$A$1:$A$20000,0),MATCH("Intent",'Semrush Data'!$A$1:$Z$1,0)),"")</f>
        <v/>
      </c>
    </row>
    <row r="1897" ht="15" customHeight="1" s="37">
      <c r="A1897" s="42" t="inlineStr">
        <is>
          <t>buy guerlain habit rouge online</t>
        </is>
      </c>
      <c r="B1897" s="42" t="inlineStr">
        <is>
          <t>Buy online</t>
        </is>
      </c>
      <c r="C1897" s="42" t="n">
        <v>3</v>
      </c>
      <c r="D1897" s="42" t="n">
        <v>19</v>
      </c>
      <c r="E1897" s="42" t="n">
        <v>1</v>
      </c>
      <c r="F1897" s="42" t="inlineStr">
        <is>
          <t>FR-229</t>
        </is>
      </c>
      <c r="G1897" s="55">
        <f>IFERROR(INDEX('Semrush Data'!$A$1:$Z$20000,MATCH(A1897,'Semrush Data'!$A$1:$A$20000,0),MATCH("Volume",'Semrush Data'!$A$1:$Z$1,0)),"")</f>
        <v/>
      </c>
      <c r="H1897" s="42">
        <f>IFERROR(INDEX('Semrush Data'!$A$1:$Z$20000,MATCH(A1897,'Semrush Data'!$A$1:$A$20000,0),MATCH("Keyword Difficulty*",'Semrush Data'!$A$1:$Z$1,0)),"")</f>
        <v/>
      </c>
      <c r="I1897" s="56">
        <f>IFERROR(INDEX('Semrush Data'!$A$1:$Z$20000,MATCH(A1897,'Semrush Data'!$A$1:$A$20000,0),MATCH("CPC*",'Semrush Data'!$A$1:$Z$1,0)),"")</f>
        <v/>
      </c>
      <c r="J1897" s="42">
        <f>IFERROR(INDEX('Semrush Data'!$A$1:$Z$20000,MATCH(A1897,'Semrush Data'!$A$1:$A$20000,0),MATCH("Intent",'Semrush Data'!$A$1:$Z$1,0)),"")</f>
        <v/>
      </c>
    </row>
    <row r="1898" ht="15" customHeight="1" s="37">
      <c r="A1898" s="42" t="inlineStr">
        <is>
          <t>buy guerlain l'instant de guerlain online</t>
        </is>
      </c>
      <c r="B1898" s="42" t="inlineStr">
        <is>
          <t>Buy online</t>
        </is>
      </c>
      <c r="C1898" s="42" t="n">
        <v>3</v>
      </c>
      <c r="D1898" s="42" t="n">
        <v>19</v>
      </c>
      <c r="E1898" s="42" t="n">
        <v>1</v>
      </c>
      <c r="F1898" s="42" t="inlineStr">
        <is>
          <t>FR-230</t>
        </is>
      </c>
      <c r="G1898" s="55">
        <f>IFERROR(INDEX('Semrush Data'!$A$1:$Z$20000,MATCH(A1898,'Semrush Data'!$A$1:$A$20000,0),MATCH("Volume",'Semrush Data'!$A$1:$Z$1,0)),"")</f>
        <v/>
      </c>
      <c r="H1898" s="42">
        <f>IFERROR(INDEX('Semrush Data'!$A$1:$Z$20000,MATCH(A1898,'Semrush Data'!$A$1:$A$20000,0),MATCH("Keyword Difficulty*",'Semrush Data'!$A$1:$Z$1,0)),"")</f>
        <v/>
      </c>
      <c r="I1898" s="56">
        <f>IFERROR(INDEX('Semrush Data'!$A$1:$Z$20000,MATCH(A1898,'Semrush Data'!$A$1:$A$20000,0),MATCH("CPC*",'Semrush Data'!$A$1:$Z$1,0)),"")</f>
        <v/>
      </c>
      <c r="J1898" s="42">
        <f>IFERROR(INDEX('Semrush Data'!$A$1:$Z$20000,MATCH(A1898,'Semrush Data'!$A$1:$A$20000,0),MATCH("Intent",'Semrush Data'!$A$1:$Z$1,0)),"")</f>
        <v/>
      </c>
    </row>
    <row r="1899" ht="15" customHeight="1" s="37">
      <c r="A1899" s="42" t="inlineStr">
        <is>
          <t>buy guerlain la petite robe noire ma robe cocktail online</t>
        </is>
      </c>
      <c r="B1899" s="42" t="inlineStr">
        <is>
          <t>Buy online</t>
        </is>
      </c>
      <c r="C1899" s="42" t="n">
        <v>3</v>
      </c>
      <c r="D1899" s="42" t="n">
        <v>19</v>
      </c>
      <c r="E1899" s="42" t="n">
        <v>1</v>
      </c>
      <c r="F1899" s="42" t="inlineStr">
        <is>
          <t>FR-235</t>
        </is>
      </c>
      <c r="G1899" s="55">
        <f>IFERROR(INDEX('Semrush Data'!$A$1:$Z$20000,MATCH(A1899,'Semrush Data'!$A$1:$A$20000,0),MATCH("Volume",'Semrush Data'!$A$1:$Z$1,0)),"")</f>
        <v/>
      </c>
      <c r="H1899" s="42">
        <f>IFERROR(INDEX('Semrush Data'!$A$1:$Z$20000,MATCH(A1899,'Semrush Data'!$A$1:$A$20000,0),MATCH("Keyword Difficulty*",'Semrush Data'!$A$1:$Z$1,0)),"")</f>
        <v/>
      </c>
      <c r="I1899" s="56">
        <f>IFERROR(INDEX('Semrush Data'!$A$1:$Z$20000,MATCH(A1899,'Semrush Data'!$A$1:$A$20000,0),MATCH("CPC*",'Semrush Data'!$A$1:$Z$1,0)),"")</f>
        <v/>
      </c>
      <c r="J1899" s="42">
        <f>IFERROR(INDEX('Semrush Data'!$A$1:$Z$20000,MATCH(A1899,'Semrush Data'!$A$1:$A$20000,0),MATCH("Intent",'Semrush Data'!$A$1:$Z$1,0)),"")</f>
        <v/>
      </c>
    </row>
    <row r="1900" ht="15" customHeight="1" s="37">
      <c r="A1900" s="42" t="inlineStr">
        <is>
          <t>buy guerlain mon guerlain miniature gift set online</t>
        </is>
      </c>
      <c r="B1900" s="42" t="inlineStr">
        <is>
          <t>Buy online</t>
        </is>
      </c>
      <c r="C1900" s="42" t="n">
        <v>3</v>
      </c>
      <c r="D1900" s="42" t="n">
        <v>19</v>
      </c>
      <c r="E1900" s="42" t="n">
        <v>1</v>
      </c>
      <c r="F1900" s="42" t="inlineStr">
        <is>
          <t>FR-236</t>
        </is>
      </c>
      <c r="G1900" s="55">
        <f>IFERROR(INDEX('Semrush Data'!$A$1:$Z$20000,MATCH(A1900,'Semrush Data'!$A$1:$A$20000,0),MATCH("Volume",'Semrush Data'!$A$1:$Z$1,0)),"")</f>
        <v/>
      </c>
      <c r="H1900" s="42">
        <f>IFERROR(INDEX('Semrush Data'!$A$1:$Z$20000,MATCH(A1900,'Semrush Data'!$A$1:$A$20000,0),MATCH("Keyword Difficulty*",'Semrush Data'!$A$1:$Z$1,0)),"")</f>
        <v/>
      </c>
      <c r="I1900" s="56">
        <f>IFERROR(INDEX('Semrush Data'!$A$1:$Z$20000,MATCH(A1900,'Semrush Data'!$A$1:$A$20000,0),MATCH("CPC*",'Semrush Data'!$A$1:$Z$1,0)),"")</f>
        <v/>
      </c>
      <c r="J1900" s="42">
        <f>IFERROR(INDEX('Semrush Data'!$A$1:$Z$20000,MATCH(A1900,'Semrush Data'!$A$1:$A$20000,0),MATCH("Intent",'Semrush Data'!$A$1:$Z$1,0)),"")</f>
        <v/>
      </c>
    </row>
    <row r="1901" ht="15" customHeight="1" s="37">
      <c r="A1901" s="42" t="inlineStr">
        <is>
          <t>buy guerlain musc noble online</t>
        </is>
      </c>
      <c r="B1901" s="42" t="inlineStr">
        <is>
          <t>Buy online</t>
        </is>
      </c>
      <c r="C1901" s="42" t="n">
        <v>3</v>
      </c>
      <c r="D1901" s="42" t="n">
        <v>19</v>
      </c>
      <c r="E1901" s="42" t="n">
        <v>1</v>
      </c>
      <c r="F1901" s="42" t="inlineStr">
        <is>
          <t>FR-231</t>
        </is>
      </c>
      <c r="G1901" s="55">
        <f>IFERROR(INDEX('Semrush Data'!$A$1:$Z$20000,MATCH(A1901,'Semrush Data'!$A$1:$A$20000,0),MATCH("Volume",'Semrush Data'!$A$1:$Z$1,0)),"")</f>
        <v/>
      </c>
      <c r="H1901" s="42">
        <f>IFERROR(INDEX('Semrush Data'!$A$1:$Z$20000,MATCH(A1901,'Semrush Data'!$A$1:$A$20000,0),MATCH("Keyword Difficulty*",'Semrush Data'!$A$1:$Z$1,0)),"")</f>
        <v/>
      </c>
      <c r="I1901" s="56">
        <f>IFERROR(INDEX('Semrush Data'!$A$1:$Z$20000,MATCH(A1901,'Semrush Data'!$A$1:$A$20000,0),MATCH("CPC*",'Semrush Data'!$A$1:$Z$1,0)),"")</f>
        <v/>
      </c>
      <c r="J1901" s="42">
        <f>IFERROR(INDEX('Semrush Data'!$A$1:$Z$20000,MATCH(A1901,'Semrush Data'!$A$1:$A$20000,0),MATCH("Intent",'Semrush Data'!$A$1:$Z$1,0)),"")</f>
        <v/>
      </c>
    </row>
    <row r="1902" ht="15" customHeight="1" s="37">
      <c r="A1902" s="42" t="inlineStr">
        <is>
          <t>buy guerlain oud essentiel online</t>
        </is>
      </c>
      <c r="B1902" s="42" t="inlineStr">
        <is>
          <t>Buy online</t>
        </is>
      </c>
      <c r="C1902" s="42" t="n">
        <v>3</v>
      </c>
      <c r="D1902" s="42" t="n">
        <v>20</v>
      </c>
      <c r="E1902" s="42" t="n">
        <v>1</v>
      </c>
      <c r="F1902" s="42" t="inlineStr">
        <is>
          <t>FR-232</t>
        </is>
      </c>
      <c r="G1902" s="55">
        <f>IFERROR(INDEX('Semrush Data'!$A$1:$Z$20000,MATCH(A1902,'Semrush Data'!$A$1:$A$20000,0),MATCH("Volume",'Semrush Data'!$A$1:$Z$1,0)),"")</f>
        <v/>
      </c>
      <c r="H1902" s="42">
        <f>IFERROR(INDEX('Semrush Data'!$A$1:$Z$20000,MATCH(A1902,'Semrush Data'!$A$1:$A$20000,0),MATCH("Keyword Difficulty*",'Semrush Data'!$A$1:$Z$1,0)),"")</f>
        <v/>
      </c>
      <c r="I1902" s="56">
        <f>IFERROR(INDEX('Semrush Data'!$A$1:$Z$20000,MATCH(A1902,'Semrush Data'!$A$1:$A$20000,0),MATCH("CPC*",'Semrush Data'!$A$1:$Z$1,0)),"")</f>
        <v/>
      </c>
      <c r="J1902" s="42">
        <f>IFERROR(INDEX('Semrush Data'!$A$1:$Z$20000,MATCH(A1902,'Semrush Data'!$A$1:$A$20000,0),MATCH("Intent",'Semrush Data'!$A$1:$Z$1,0)),"")</f>
        <v/>
      </c>
    </row>
    <row r="1903" ht="15" customHeight="1" s="37">
      <c r="A1903" s="42" t="inlineStr">
        <is>
          <t>buy guerlain samsara online</t>
        </is>
      </c>
      <c r="B1903" s="42" t="inlineStr">
        <is>
          <t>Buy online</t>
        </is>
      </c>
      <c r="C1903" s="42" t="n">
        <v>3</v>
      </c>
      <c r="D1903" s="42" t="n">
        <v>20</v>
      </c>
      <c r="E1903" s="42" t="n">
        <v>1</v>
      </c>
      <c r="F1903" s="42" t="inlineStr">
        <is>
          <t>FR-233</t>
        </is>
      </c>
      <c r="G1903" s="55">
        <f>IFERROR(INDEX('Semrush Data'!$A$1:$Z$20000,MATCH(A1903,'Semrush Data'!$A$1:$A$20000,0),MATCH("Volume",'Semrush Data'!$A$1:$Z$1,0)),"")</f>
        <v/>
      </c>
      <c r="H1903" s="42">
        <f>IFERROR(INDEX('Semrush Data'!$A$1:$Z$20000,MATCH(A1903,'Semrush Data'!$A$1:$A$20000,0),MATCH("Keyword Difficulty*",'Semrush Data'!$A$1:$Z$1,0)),"")</f>
        <v/>
      </c>
      <c r="I1903" s="56">
        <f>IFERROR(INDEX('Semrush Data'!$A$1:$Z$20000,MATCH(A1903,'Semrush Data'!$A$1:$A$20000,0),MATCH("CPC*",'Semrush Data'!$A$1:$Z$1,0)),"")</f>
        <v/>
      </c>
      <c r="J1903" s="42">
        <f>IFERROR(INDEX('Semrush Data'!$A$1:$Z$20000,MATCH(A1903,'Semrush Data'!$A$1:$A$20000,0),MATCH("Intent",'Semrush Data'!$A$1:$Z$1,0)),"")</f>
        <v/>
      </c>
    </row>
    <row r="1904" ht="15" customHeight="1" s="37">
      <c r="A1904" s="42" t="inlineStr">
        <is>
          <t>buy hemel affair online</t>
        </is>
      </c>
      <c r="B1904" s="42" t="inlineStr">
        <is>
          <t>Buy online</t>
        </is>
      </c>
      <c r="C1904" s="42" t="n">
        <v>3</v>
      </c>
      <c r="D1904" s="42" t="n">
        <v>20</v>
      </c>
      <c r="E1904" s="42" t="n">
        <v>2</v>
      </c>
      <c r="F1904" s="42" t="inlineStr">
        <is>
          <t>FR-242, FR-243</t>
        </is>
      </c>
      <c r="G1904" s="55">
        <f>IFERROR(INDEX('Semrush Data'!$A$1:$Z$20000,MATCH(A1904,'Semrush Data'!$A$1:$A$20000,0),MATCH("Volume",'Semrush Data'!$A$1:$Z$1,0)),"")</f>
        <v/>
      </c>
      <c r="H1904" s="42">
        <f>IFERROR(INDEX('Semrush Data'!$A$1:$Z$20000,MATCH(A1904,'Semrush Data'!$A$1:$A$20000,0),MATCH("Keyword Difficulty*",'Semrush Data'!$A$1:$Z$1,0)),"")</f>
        <v/>
      </c>
      <c r="I1904" s="56">
        <f>IFERROR(INDEX('Semrush Data'!$A$1:$Z$20000,MATCH(A1904,'Semrush Data'!$A$1:$A$20000,0),MATCH("CPC*",'Semrush Data'!$A$1:$Z$1,0)),"")</f>
        <v/>
      </c>
      <c r="J1904" s="42">
        <f>IFERROR(INDEX('Semrush Data'!$A$1:$Z$20000,MATCH(A1904,'Semrush Data'!$A$1:$A$20000,0),MATCH("Intent",'Semrush Data'!$A$1:$Z$1,0)),"")</f>
        <v/>
      </c>
    </row>
    <row r="1905" ht="15" customHeight="1" s="37">
      <c r="A1905" s="42" t="inlineStr">
        <is>
          <t>buy hemel amethyst dream online</t>
        </is>
      </c>
      <c r="B1905" s="42" t="inlineStr">
        <is>
          <t>Buy online</t>
        </is>
      </c>
      <c r="C1905" s="42" t="n">
        <v>3</v>
      </c>
      <c r="D1905" s="42" t="n">
        <v>20</v>
      </c>
      <c r="E1905" s="42" t="n">
        <v>2</v>
      </c>
      <c r="F1905" s="42" t="inlineStr">
        <is>
          <t>FR-237, FR-238</t>
        </is>
      </c>
      <c r="G1905" s="55">
        <f>IFERROR(INDEX('Semrush Data'!$A$1:$Z$20000,MATCH(A1905,'Semrush Data'!$A$1:$A$20000,0),MATCH("Volume",'Semrush Data'!$A$1:$Z$1,0)),"")</f>
        <v/>
      </c>
      <c r="H1905" s="42">
        <f>IFERROR(INDEX('Semrush Data'!$A$1:$Z$20000,MATCH(A1905,'Semrush Data'!$A$1:$A$20000,0),MATCH("Keyword Difficulty*",'Semrush Data'!$A$1:$Z$1,0)),"")</f>
        <v/>
      </c>
      <c r="I1905" s="56">
        <f>IFERROR(INDEX('Semrush Data'!$A$1:$Z$20000,MATCH(A1905,'Semrush Data'!$A$1:$A$20000,0),MATCH("CPC*",'Semrush Data'!$A$1:$Z$1,0)),"")</f>
        <v/>
      </c>
      <c r="J1905" s="42">
        <f>IFERROR(INDEX('Semrush Data'!$A$1:$Z$20000,MATCH(A1905,'Semrush Data'!$A$1:$A$20000,0),MATCH("Intent",'Semrush Data'!$A$1:$Z$1,0)),"")</f>
        <v/>
      </c>
    </row>
    <row r="1906" ht="15" customHeight="1" s="37">
      <c r="A1906" s="42" t="inlineStr">
        <is>
          <t>buy hemel dorado online</t>
        </is>
      </c>
      <c r="B1906" s="42" t="inlineStr">
        <is>
          <t>Buy online</t>
        </is>
      </c>
      <c r="C1906" s="42" t="n">
        <v>3</v>
      </c>
      <c r="D1906" s="42" t="n">
        <v>20</v>
      </c>
      <c r="E1906" s="42" t="n">
        <v>1</v>
      </c>
      <c r="F1906" s="42" t="inlineStr">
        <is>
          <t>FR-239</t>
        </is>
      </c>
      <c r="G1906" s="55">
        <f>IFERROR(INDEX('Semrush Data'!$A$1:$Z$20000,MATCH(A1906,'Semrush Data'!$A$1:$A$20000,0),MATCH("Volume",'Semrush Data'!$A$1:$Z$1,0)),"")</f>
        <v/>
      </c>
      <c r="H1906" s="42">
        <f>IFERROR(INDEX('Semrush Data'!$A$1:$Z$20000,MATCH(A1906,'Semrush Data'!$A$1:$A$20000,0),MATCH("Keyword Difficulty*",'Semrush Data'!$A$1:$Z$1,0)),"")</f>
        <v/>
      </c>
      <c r="I1906" s="56">
        <f>IFERROR(INDEX('Semrush Data'!$A$1:$Z$20000,MATCH(A1906,'Semrush Data'!$A$1:$A$20000,0),MATCH("CPC*",'Semrush Data'!$A$1:$Z$1,0)),"")</f>
        <v/>
      </c>
      <c r="J1906" s="42">
        <f>IFERROR(INDEX('Semrush Data'!$A$1:$Z$20000,MATCH(A1906,'Semrush Data'!$A$1:$A$20000,0),MATCH("Intent",'Semrush Data'!$A$1:$Z$1,0)),"")</f>
        <v/>
      </c>
    </row>
    <row r="1907" ht="15" customHeight="1" s="37">
      <c r="A1907" s="42" t="inlineStr">
        <is>
          <t>buy hemel favourite black online</t>
        </is>
      </c>
      <c r="B1907" s="42" t="inlineStr">
        <is>
          <t>Buy online</t>
        </is>
      </c>
      <c r="C1907" s="42" t="n">
        <v>3</v>
      </c>
      <c r="D1907" s="42" t="n">
        <v>20</v>
      </c>
      <c r="E1907" s="42" t="n">
        <v>2</v>
      </c>
      <c r="F1907" s="42" t="inlineStr">
        <is>
          <t>FR-240, FR-241</t>
        </is>
      </c>
      <c r="G1907" s="55">
        <f>IFERROR(INDEX('Semrush Data'!$A$1:$Z$20000,MATCH(A1907,'Semrush Data'!$A$1:$A$20000,0),MATCH("Volume",'Semrush Data'!$A$1:$Z$1,0)),"")</f>
        <v/>
      </c>
      <c r="H1907" s="42">
        <f>IFERROR(INDEX('Semrush Data'!$A$1:$Z$20000,MATCH(A1907,'Semrush Data'!$A$1:$A$20000,0),MATCH("Keyword Difficulty*",'Semrush Data'!$A$1:$Z$1,0)),"")</f>
        <v/>
      </c>
      <c r="I1907" s="56">
        <f>IFERROR(INDEX('Semrush Data'!$A$1:$Z$20000,MATCH(A1907,'Semrush Data'!$A$1:$A$20000,0),MATCH("CPC*",'Semrush Data'!$A$1:$Z$1,0)),"")</f>
        <v/>
      </c>
      <c r="J1907" s="42">
        <f>IFERROR(INDEX('Semrush Data'!$A$1:$Z$20000,MATCH(A1907,'Semrush Data'!$A$1:$A$20000,0),MATCH("Intent",'Semrush Data'!$A$1:$Z$1,0)),"")</f>
        <v/>
      </c>
    </row>
    <row r="1908" ht="15" customHeight="1" s="37">
      <c r="A1908" s="42" t="inlineStr">
        <is>
          <t>buy hemel gris online</t>
        </is>
      </c>
      <c r="B1908" s="42" t="inlineStr">
        <is>
          <t>Buy online</t>
        </is>
      </c>
      <c r="C1908" s="42" t="n">
        <v>3</v>
      </c>
      <c r="D1908" s="42" t="n">
        <v>20</v>
      </c>
      <c r="E1908" s="42" t="n">
        <v>1</v>
      </c>
      <c r="F1908" s="42" t="inlineStr">
        <is>
          <t>FR-244</t>
        </is>
      </c>
      <c r="G1908" s="55">
        <f>IFERROR(INDEX('Semrush Data'!$A$1:$Z$20000,MATCH(A1908,'Semrush Data'!$A$1:$A$20000,0),MATCH("Volume",'Semrush Data'!$A$1:$Z$1,0)),"")</f>
        <v/>
      </c>
      <c r="H1908" s="42">
        <f>IFERROR(INDEX('Semrush Data'!$A$1:$Z$20000,MATCH(A1908,'Semrush Data'!$A$1:$A$20000,0),MATCH("Keyword Difficulty*",'Semrush Data'!$A$1:$Z$1,0)),"")</f>
        <v/>
      </c>
      <c r="I1908" s="56">
        <f>IFERROR(INDEX('Semrush Data'!$A$1:$Z$20000,MATCH(A1908,'Semrush Data'!$A$1:$A$20000,0),MATCH("CPC*",'Semrush Data'!$A$1:$Z$1,0)),"")</f>
        <v/>
      </c>
      <c r="J1908" s="42">
        <f>IFERROR(INDEX('Semrush Data'!$A$1:$Z$20000,MATCH(A1908,'Semrush Data'!$A$1:$A$20000,0),MATCH("Intent",'Semrush Data'!$A$1:$Z$1,0)),"")</f>
        <v/>
      </c>
    </row>
    <row r="1909" ht="15" customHeight="1" s="37">
      <c r="A1909" s="42" t="inlineStr">
        <is>
          <t>buy hemel paris dorado online</t>
        </is>
      </c>
      <c r="B1909" s="42" t="inlineStr">
        <is>
          <t>Buy online</t>
        </is>
      </c>
      <c r="C1909" s="42" t="n">
        <v>3</v>
      </c>
      <c r="D1909" s="42" t="n">
        <v>20</v>
      </c>
      <c r="E1909" s="42" t="n">
        <v>1</v>
      </c>
      <c r="F1909" s="42" t="inlineStr">
        <is>
          <t>FR-245</t>
        </is>
      </c>
      <c r="G1909" s="55">
        <f>IFERROR(INDEX('Semrush Data'!$A$1:$Z$20000,MATCH(A1909,'Semrush Data'!$A$1:$A$20000,0),MATCH("Volume",'Semrush Data'!$A$1:$Z$1,0)),"")</f>
        <v/>
      </c>
      <c r="H1909" s="42">
        <f>IFERROR(INDEX('Semrush Data'!$A$1:$Z$20000,MATCH(A1909,'Semrush Data'!$A$1:$A$20000,0),MATCH("Keyword Difficulty*",'Semrush Data'!$A$1:$Z$1,0)),"")</f>
        <v/>
      </c>
      <c r="I1909" s="56">
        <f>IFERROR(INDEX('Semrush Data'!$A$1:$Z$20000,MATCH(A1909,'Semrush Data'!$A$1:$A$20000,0),MATCH("CPC*",'Semrush Data'!$A$1:$Z$1,0)),"")</f>
        <v/>
      </c>
      <c r="J1909" s="42">
        <f>IFERROR(INDEX('Semrush Data'!$A$1:$Z$20000,MATCH(A1909,'Semrush Data'!$A$1:$A$20000,0),MATCH("Intent",'Semrush Data'!$A$1:$Z$1,0)),"")</f>
        <v/>
      </c>
    </row>
    <row r="1910" ht="15" customHeight="1" s="37">
      <c r="A1910" s="42" t="inlineStr">
        <is>
          <t>buy hemel paris gris for all online</t>
        </is>
      </c>
      <c r="B1910" s="42" t="inlineStr">
        <is>
          <t>Buy online</t>
        </is>
      </c>
      <c r="C1910" s="42" t="n">
        <v>3</v>
      </c>
      <c r="D1910" s="42" t="n">
        <v>20</v>
      </c>
      <c r="E1910" s="42" t="n">
        <v>1</v>
      </c>
      <c r="F1910" s="42" t="inlineStr">
        <is>
          <t>FR-246</t>
        </is>
      </c>
      <c r="G1910" s="55">
        <f>IFERROR(INDEX('Semrush Data'!$A$1:$Z$20000,MATCH(A1910,'Semrush Data'!$A$1:$A$20000,0),MATCH("Volume",'Semrush Data'!$A$1:$Z$1,0)),"")</f>
        <v/>
      </c>
      <c r="H1910" s="42">
        <f>IFERROR(INDEX('Semrush Data'!$A$1:$Z$20000,MATCH(A1910,'Semrush Data'!$A$1:$A$20000,0),MATCH("Keyword Difficulty*",'Semrush Data'!$A$1:$Z$1,0)),"")</f>
        <v/>
      </c>
      <c r="I1910" s="56">
        <f>IFERROR(INDEX('Semrush Data'!$A$1:$Z$20000,MATCH(A1910,'Semrush Data'!$A$1:$A$20000,0),MATCH("CPC*",'Semrush Data'!$A$1:$Z$1,0)),"")</f>
        <v/>
      </c>
      <c r="J1910" s="42">
        <f>IFERROR(INDEX('Semrush Data'!$A$1:$Z$20000,MATCH(A1910,'Semrush Data'!$A$1:$A$20000,0),MATCH("Intent",'Semrush Data'!$A$1:$Z$1,0)),"")</f>
        <v/>
      </c>
    </row>
    <row r="1911" ht="15" customHeight="1" s="37">
      <c r="A1911" s="42" t="inlineStr">
        <is>
          <t>buy hemel patchouli for all online</t>
        </is>
      </c>
      <c r="B1911" s="42" t="inlineStr">
        <is>
          <t>Buy online</t>
        </is>
      </c>
      <c r="C1911" s="42" t="n">
        <v>3</v>
      </c>
      <c r="D1911" s="42" t="n">
        <v>20</v>
      </c>
      <c r="E1911" s="42" t="n">
        <v>2</v>
      </c>
      <c r="F1911" s="42" t="inlineStr">
        <is>
          <t>FR-247, FR-248</t>
        </is>
      </c>
      <c r="G1911" s="55">
        <f>IFERROR(INDEX('Semrush Data'!$A$1:$Z$20000,MATCH(A1911,'Semrush Data'!$A$1:$A$20000,0),MATCH("Volume",'Semrush Data'!$A$1:$Z$1,0)),"")</f>
        <v/>
      </c>
      <c r="H1911" s="42">
        <f>IFERROR(INDEX('Semrush Data'!$A$1:$Z$20000,MATCH(A1911,'Semrush Data'!$A$1:$A$20000,0),MATCH("Keyword Difficulty*",'Semrush Data'!$A$1:$Z$1,0)),"")</f>
        <v/>
      </c>
      <c r="I1911" s="56">
        <f>IFERROR(INDEX('Semrush Data'!$A$1:$Z$20000,MATCH(A1911,'Semrush Data'!$A$1:$A$20000,0),MATCH("CPC*",'Semrush Data'!$A$1:$Z$1,0)),"")</f>
        <v/>
      </c>
      <c r="J1911" s="42">
        <f>IFERROR(INDEX('Semrush Data'!$A$1:$Z$20000,MATCH(A1911,'Semrush Data'!$A$1:$A$20000,0),MATCH("Intent",'Semrush Data'!$A$1:$Z$1,0)),"")</f>
        <v/>
      </c>
    </row>
    <row r="1912" ht="15" customHeight="1" s="37">
      <c r="A1912" s="42" t="inlineStr">
        <is>
          <t>buy hemel plateado online</t>
        </is>
      </c>
      <c r="B1912" s="42" t="inlineStr">
        <is>
          <t>Buy online</t>
        </is>
      </c>
      <c r="C1912" s="42" t="n">
        <v>3</v>
      </c>
      <c r="D1912" s="42" t="n">
        <v>20</v>
      </c>
      <c r="E1912" s="42" t="n">
        <v>2</v>
      </c>
      <c r="F1912" s="42" t="inlineStr">
        <is>
          <t>FR-249, FR-250</t>
        </is>
      </c>
      <c r="G1912" s="55">
        <f>IFERROR(INDEX('Semrush Data'!$A$1:$Z$20000,MATCH(A1912,'Semrush Data'!$A$1:$A$20000,0),MATCH("Volume",'Semrush Data'!$A$1:$Z$1,0)),"")</f>
        <v/>
      </c>
      <c r="H1912" s="42">
        <f>IFERROR(INDEX('Semrush Data'!$A$1:$Z$20000,MATCH(A1912,'Semrush Data'!$A$1:$A$20000,0),MATCH("Keyword Difficulty*",'Semrush Data'!$A$1:$Z$1,0)),"")</f>
        <v/>
      </c>
      <c r="I1912" s="56">
        <f>IFERROR(INDEX('Semrush Data'!$A$1:$Z$20000,MATCH(A1912,'Semrush Data'!$A$1:$A$20000,0),MATCH("CPC*",'Semrush Data'!$A$1:$Z$1,0)),"")</f>
        <v/>
      </c>
      <c r="J1912" s="42">
        <f>IFERROR(INDEX('Semrush Data'!$A$1:$Z$20000,MATCH(A1912,'Semrush Data'!$A$1:$A$20000,0),MATCH("Intent",'Semrush Data'!$A$1:$Z$1,0)),"")</f>
        <v/>
      </c>
    </row>
    <row r="1913" ht="15" customHeight="1" s="37">
      <c r="A1913" s="42" t="inlineStr">
        <is>
          <t>buy hemel rosado online</t>
        </is>
      </c>
      <c r="B1913" s="42" t="inlineStr">
        <is>
          <t>Buy online</t>
        </is>
      </c>
      <c r="C1913" s="42" t="n">
        <v>3</v>
      </c>
      <c r="D1913" s="42" t="n">
        <v>20</v>
      </c>
      <c r="E1913" s="42" t="n">
        <v>2</v>
      </c>
      <c r="F1913" s="42" t="inlineStr">
        <is>
          <t>FR-251, FR-252</t>
        </is>
      </c>
      <c r="G1913" s="55">
        <f>IFERROR(INDEX('Semrush Data'!$A$1:$Z$20000,MATCH(A1913,'Semrush Data'!$A$1:$A$20000,0),MATCH("Volume",'Semrush Data'!$A$1:$Z$1,0)),"")</f>
        <v/>
      </c>
      <c r="H1913" s="42">
        <f>IFERROR(INDEX('Semrush Data'!$A$1:$Z$20000,MATCH(A1913,'Semrush Data'!$A$1:$A$20000,0),MATCH("Keyword Difficulty*",'Semrush Data'!$A$1:$Z$1,0)),"")</f>
        <v/>
      </c>
      <c r="I1913" s="56">
        <f>IFERROR(INDEX('Semrush Data'!$A$1:$Z$20000,MATCH(A1913,'Semrush Data'!$A$1:$A$20000,0),MATCH("CPC*",'Semrush Data'!$A$1:$Z$1,0)),"")</f>
        <v/>
      </c>
      <c r="J1913" s="42">
        <f>IFERROR(INDEX('Semrush Data'!$A$1:$Z$20000,MATCH(A1913,'Semrush Data'!$A$1:$A$20000,0),MATCH("Intent",'Semrush Data'!$A$1:$Z$1,0)),"")</f>
        <v/>
      </c>
    </row>
    <row r="1914" ht="15" customHeight="1" s="37">
      <c r="A1914" s="42" t="inlineStr">
        <is>
          <t>buy hemel valley of diamond online</t>
        </is>
      </c>
      <c r="B1914" s="42" t="inlineStr">
        <is>
          <t>Buy online</t>
        </is>
      </c>
      <c r="C1914" s="42" t="n">
        <v>3</v>
      </c>
      <c r="D1914" s="42" t="n">
        <v>20</v>
      </c>
      <c r="E1914" s="42" t="n">
        <v>2</v>
      </c>
      <c r="F1914" s="42" t="inlineStr">
        <is>
          <t>FR-253, FR-254</t>
        </is>
      </c>
      <c r="G1914" s="55">
        <f>IFERROR(INDEX('Semrush Data'!$A$1:$Z$20000,MATCH(A1914,'Semrush Data'!$A$1:$A$20000,0),MATCH("Volume",'Semrush Data'!$A$1:$Z$1,0)),"")</f>
        <v/>
      </c>
      <c r="H1914" s="42">
        <f>IFERROR(INDEX('Semrush Data'!$A$1:$Z$20000,MATCH(A1914,'Semrush Data'!$A$1:$A$20000,0),MATCH("Keyword Difficulty*",'Semrush Data'!$A$1:$Z$1,0)),"")</f>
        <v/>
      </c>
      <c r="I1914" s="56">
        <f>IFERROR(INDEX('Semrush Data'!$A$1:$Z$20000,MATCH(A1914,'Semrush Data'!$A$1:$A$20000,0),MATCH("CPC*",'Semrush Data'!$A$1:$Z$1,0)),"")</f>
        <v/>
      </c>
      <c r="J1914" s="42">
        <f>IFERROR(INDEX('Semrush Data'!$A$1:$Z$20000,MATCH(A1914,'Semrush Data'!$A$1:$A$20000,0),MATCH("Intent",'Semrush Data'!$A$1:$Z$1,0)),"")</f>
        <v/>
      </c>
    </row>
    <row r="1915" ht="15" customHeight="1" s="37">
      <c r="A1915" s="42" t="inlineStr">
        <is>
          <t>buy hermes hermes un jardin a cythere miniature online</t>
        </is>
      </c>
      <c r="B1915" s="42" t="inlineStr">
        <is>
          <t>Buy online</t>
        </is>
      </c>
      <c r="C1915" s="42" t="n">
        <v>3</v>
      </c>
      <c r="D1915" s="42" t="n">
        <v>20</v>
      </c>
      <c r="E1915" s="42" t="n">
        <v>1</v>
      </c>
      <c r="F1915" s="42" t="inlineStr">
        <is>
          <t>FR-255</t>
        </is>
      </c>
      <c r="G1915" s="55">
        <f>IFERROR(INDEX('Semrush Data'!$A$1:$Z$20000,MATCH(A1915,'Semrush Data'!$A$1:$A$20000,0),MATCH("Volume",'Semrush Data'!$A$1:$Z$1,0)),"")</f>
        <v/>
      </c>
      <c r="H1915" s="42">
        <f>IFERROR(INDEX('Semrush Data'!$A$1:$Z$20000,MATCH(A1915,'Semrush Data'!$A$1:$A$20000,0),MATCH("Keyword Difficulty*",'Semrush Data'!$A$1:$Z$1,0)),"")</f>
        <v/>
      </c>
      <c r="I1915" s="56">
        <f>IFERROR(INDEX('Semrush Data'!$A$1:$Z$20000,MATCH(A1915,'Semrush Data'!$A$1:$A$20000,0),MATCH("CPC*",'Semrush Data'!$A$1:$Z$1,0)),"")</f>
        <v/>
      </c>
      <c r="J1915" s="42">
        <f>IFERROR(INDEX('Semrush Data'!$A$1:$Z$20000,MATCH(A1915,'Semrush Data'!$A$1:$A$20000,0),MATCH("Intent",'Semrush Data'!$A$1:$Z$1,0)),"")</f>
        <v/>
      </c>
    </row>
    <row r="1916" ht="15" customHeight="1" s="37">
      <c r="A1916" s="42" t="inlineStr">
        <is>
          <t>buy hermes miniature gift set 4 x fragrances online</t>
        </is>
      </c>
      <c r="B1916" s="42" t="inlineStr">
        <is>
          <t>Buy online</t>
        </is>
      </c>
      <c r="C1916" s="42" t="n">
        <v>3</v>
      </c>
      <c r="D1916" s="42" t="n">
        <v>20</v>
      </c>
      <c r="E1916" s="42" t="n">
        <v>1</v>
      </c>
      <c r="F1916" s="42" t="inlineStr">
        <is>
          <t>FR-340</t>
        </is>
      </c>
      <c r="G1916" s="55">
        <f>IFERROR(INDEX('Semrush Data'!$A$1:$Z$20000,MATCH(A1916,'Semrush Data'!$A$1:$A$20000,0),MATCH("Volume",'Semrush Data'!$A$1:$Z$1,0)),"")</f>
        <v/>
      </c>
      <c r="H1916" s="42">
        <f>IFERROR(INDEX('Semrush Data'!$A$1:$Z$20000,MATCH(A1916,'Semrush Data'!$A$1:$A$20000,0),MATCH("Keyword Difficulty*",'Semrush Data'!$A$1:$Z$1,0)),"")</f>
        <v/>
      </c>
      <c r="I1916" s="56">
        <f>IFERROR(INDEX('Semrush Data'!$A$1:$Z$20000,MATCH(A1916,'Semrush Data'!$A$1:$A$20000,0),MATCH("CPC*",'Semrush Data'!$A$1:$Z$1,0)),"")</f>
        <v/>
      </c>
      <c r="J1916" s="42">
        <f>IFERROR(INDEX('Semrush Data'!$A$1:$Z$20000,MATCH(A1916,'Semrush Data'!$A$1:$A$20000,0),MATCH("Intent",'Semrush Data'!$A$1:$Z$1,0)),"")</f>
        <v/>
      </c>
    </row>
    <row r="1917" ht="15" customHeight="1" s="37">
      <c r="A1917" s="42" t="inlineStr">
        <is>
          <t>buy hermes un jardin a cythere miniature online</t>
        </is>
      </c>
      <c r="B1917" s="42" t="inlineStr">
        <is>
          <t>Buy online</t>
        </is>
      </c>
      <c r="C1917" s="42" t="n">
        <v>3</v>
      </c>
      <c r="D1917" s="42" t="n">
        <v>20</v>
      </c>
      <c r="E1917" s="42" t="n">
        <v>1</v>
      </c>
      <c r="F1917" s="42" t="inlineStr">
        <is>
          <t>FR-338</t>
        </is>
      </c>
      <c r="G1917" s="55">
        <f>IFERROR(INDEX('Semrush Data'!$A$1:$Z$20000,MATCH(A1917,'Semrush Data'!$A$1:$A$20000,0),MATCH("Volume",'Semrush Data'!$A$1:$Z$1,0)),"")</f>
        <v/>
      </c>
      <c r="H1917" s="42">
        <f>IFERROR(INDEX('Semrush Data'!$A$1:$Z$20000,MATCH(A1917,'Semrush Data'!$A$1:$A$20000,0),MATCH("Keyword Difficulty*",'Semrush Data'!$A$1:$Z$1,0)),"")</f>
        <v/>
      </c>
      <c r="I1917" s="56">
        <f>IFERROR(INDEX('Semrush Data'!$A$1:$Z$20000,MATCH(A1917,'Semrush Data'!$A$1:$A$20000,0),MATCH("CPC*",'Semrush Data'!$A$1:$Z$1,0)),"")</f>
        <v/>
      </c>
      <c r="J1917" s="42">
        <f>IFERROR(INDEX('Semrush Data'!$A$1:$Z$20000,MATCH(A1917,'Semrush Data'!$A$1:$A$20000,0),MATCH("Intent",'Semrush Data'!$A$1:$Z$1,0)),"")</f>
        <v/>
      </c>
    </row>
    <row r="1918" ht="15" customHeight="1" s="37">
      <c r="A1918" s="42" t="inlineStr">
        <is>
          <t>buy hermes un jardin en mediterranee miniature online</t>
        </is>
      </c>
      <c r="B1918" s="42" t="inlineStr">
        <is>
          <t>Buy online</t>
        </is>
      </c>
      <c r="C1918" s="42" t="n">
        <v>3</v>
      </c>
      <c r="D1918" s="42" t="n">
        <v>20</v>
      </c>
      <c r="E1918" s="42" t="n">
        <v>1</v>
      </c>
      <c r="F1918" s="42" t="inlineStr">
        <is>
          <t>FR-336</t>
        </is>
      </c>
      <c r="G1918" s="55">
        <f>IFERROR(INDEX('Semrush Data'!$A$1:$Z$20000,MATCH(A1918,'Semrush Data'!$A$1:$A$20000,0),MATCH("Volume",'Semrush Data'!$A$1:$Z$1,0)),"")</f>
        <v/>
      </c>
      <c r="H1918" s="42">
        <f>IFERROR(INDEX('Semrush Data'!$A$1:$Z$20000,MATCH(A1918,'Semrush Data'!$A$1:$A$20000,0),MATCH("Keyword Difficulty*",'Semrush Data'!$A$1:$Z$1,0)),"")</f>
        <v/>
      </c>
      <c r="I1918" s="56">
        <f>IFERROR(INDEX('Semrush Data'!$A$1:$Z$20000,MATCH(A1918,'Semrush Data'!$A$1:$A$20000,0),MATCH("CPC*",'Semrush Data'!$A$1:$Z$1,0)),"")</f>
        <v/>
      </c>
      <c r="J1918" s="42">
        <f>IFERROR(INDEX('Semrush Data'!$A$1:$Z$20000,MATCH(A1918,'Semrush Data'!$A$1:$A$20000,0),MATCH("Intent",'Semrush Data'!$A$1:$Z$1,0)),"")</f>
        <v/>
      </c>
    </row>
    <row r="1919" ht="15" customHeight="1" s="37">
      <c r="A1919" s="42" t="inlineStr">
        <is>
          <t>buy hermes un jardin sur le toit miniature online</t>
        </is>
      </c>
      <c r="B1919" s="42" t="inlineStr">
        <is>
          <t>Buy online</t>
        </is>
      </c>
      <c r="C1919" s="42" t="n">
        <v>3</v>
      </c>
      <c r="D1919" s="42" t="n">
        <v>20</v>
      </c>
      <c r="E1919" s="42" t="n">
        <v>1</v>
      </c>
      <c r="F1919" s="42" t="inlineStr">
        <is>
          <t>FR-337</t>
        </is>
      </c>
      <c r="G1919" s="55">
        <f>IFERROR(INDEX('Semrush Data'!$A$1:$Z$20000,MATCH(A1919,'Semrush Data'!$A$1:$A$20000,0),MATCH("Volume",'Semrush Data'!$A$1:$Z$1,0)),"")</f>
        <v/>
      </c>
      <c r="H1919" s="42">
        <f>IFERROR(INDEX('Semrush Data'!$A$1:$Z$20000,MATCH(A1919,'Semrush Data'!$A$1:$A$20000,0),MATCH("Keyword Difficulty*",'Semrush Data'!$A$1:$Z$1,0)),"")</f>
        <v/>
      </c>
      <c r="I1919" s="56">
        <f>IFERROR(INDEX('Semrush Data'!$A$1:$Z$20000,MATCH(A1919,'Semrush Data'!$A$1:$A$20000,0),MATCH("CPC*",'Semrush Data'!$A$1:$Z$1,0)),"")</f>
        <v/>
      </c>
      <c r="J1919" s="42">
        <f>IFERROR(INDEX('Semrush Data'!$A$1:$Z$20000,MATCH(A1919,'Semrush Data'!$A$1:$A$20000,0),MATCH("Intent",'Semrush Data'!$A$1:$Z$1,0)),"")</f>
        <v/>
      </c>
    </row>
    <row r="1920" ht="15" customHeight="1" s="37">
      <c r="A1920" s="42" t="inlineStr">
        <is>
          <t>buy hollister festival vibes online</t>
        </is>
      </c>
      <c r="B1920" s="42" t="inlineStr">
        <is>
          <t>Buy online</t>
        </is>
      </c>
      <c r="C1920" s="42" t="n">
        <v>3</v>
      </c>
      <c r="D1920" s="42" t="n">
        <v>20</v>
      </c>
      <c r="E1920" s="42" t="n">
        <v>1</v>
      </c>
      <c r="F1920" s="42" t="inlineStr">
        <is>
          <t>FR-256</t>
        </is>
      </c>
      <c r="G1920" s="55">
        <f>IFERROR(INDEX('Semrush Data'!$A$1:$Z$20000,MATCH(A1920,'Semrush Data'!$A$1:$A$20000,0),MATCH("Volume",'Semrush Data'!$A$1:$Z$1,0)),"")</f>
        <v/>
      </c>
      <c r="H1920" s="42">
        <f>IFERROR(INDEX('Semrush Data'!$A$1:$Z$20000,MATCH(A1920,'Semrush Data'!$A$1:$A$20000,0),MATCH("Keyword Difficulty*",'Semrush Data'!$A$1:$Z$1,0)),"")</f>
        <v/>
      </c>
      <c r="I1920" s="56">
        <f>IFERROR(INDEX('Semrush Data'!$A$1:$Z$20000,MATCH(A1920,'Semrush Data'!$A$1:$A$20000,0),MATCH("CPC*",'Semrush Data'!$A$1:$Z$1,0)),"")</f>
        <v/>
      </c>
      <c r="J1920" s="42">
        <f>IFERROR(INDEX('Semrush Data'!$A$1:$Z$20000,MATCH(A1920,'Semrush Data'!$A$1:$A$20000,0),MATCH("Intent",'Semrush Data'!$A$1:$Z$1,0)),"")</f>
        <v/>
      </c>
    </row>
    <row r="1921" ht="15" customHeight="1" s="37">
      <c r="A1921" s="42" t="inlineStr">
        <is>
          <t>buy hugo boss alive online</t>
        </is>
      </c>
      <c r="B1921" s="42" t="inlineStr">
        <is>
          <t>Buy online</t>
        </is>
      </c>
      <c r="C1921" s="42" t="n">
        <v>3</v>
      </c>
      <c r="D1921" s="42" t="n">
        <v>20</v>
      </c>
      <c r="E1921" s="42" t="n">
        <v>1</v>
      </c>
      <c r="F1921" s="42" t="inlineStr">
        <is>
          <t>FR-261</t>
        </is>
      </c>
      <c r="G1921" s="55">
        <f>IFERROR(INDEX('Semrush Data'!$A$1:$Z$20000,MATCH(A1921,'Semrush Data'!$A$1:$A$20000,0),MATCH("Volume",'Semrush Data'!$A$1:$Z$1,0)),"")</f>
        <v/>
      </c>
      <c r="H1921" s="42">
        <f>IFERROR(INDEX('Semrush Data'!$A$1:$Z$20000,MATCH(A1921,'Semrush Data'!$A$1:$A$20000,0),MATCH("Keyword Difficulty*",'Semrush Data'!$A$1:$Z$1,0)),"")</f>
        <v/>
      </c>
      <c r="I1921" s="56">
        <f>IFERROR(INDEX('Semrush Data'!$A$1:$Z$20000,MATCH(A1921,'Semrush Data'!$A$1:$A$20000,0),MATCH("CPC*",'Semrush Data'!$A$1:$Z$1,0)),"")</f>
        <v/>
      </c>
      <c r="J1921" s="42">
        <f>IFERROR(INDEX('Semrush Data'!$A$1:$Z$20000,MATCH(A1921,'Semrush Data'!$A$1:$A$20000,0),MATCH("Intent",'Semrush Data'!$A$1:$Z$1,0)),"")</f>
        <v/>
      </c>
    </row>
    <row r="1922" ht="15" customHeight="1" s="37">
      <c r="A1922" s="42" t="inlineStr">
        <is>
          <t>buy hugo boss boss the scent tester online</t>
        </is>
      </c>
      <c r="B1922" s="42" t="inlineStr">
        <is>
          <t>Buy online</t>
        </is>
      </c>
      <c r="C1922" s="42" t="n">
        <v>3</v>
      </c>
      <c r="D1922" s="42" t="n">
        <v>20</v>
      </c>
      <c r="E1922" s="42" t="n">
        <v>1</v>
      </c>
      <c r="F1922" s="42" t="inlineStr">
        <is>
          <t>FR-259</t>
        </is>
      </c>
      <c r="G1922" s="55">
        <f>IFERROR(INDEX('Semrush Data'!$A$1:$Z$20000,MATCH(A1922,'Semrush Data'!$A$1:$A$20000,0),MATCH("Volume",'Semrush Data'!$A$1:$Z$1,0)),"")</f>
        <v/>
      </c>
      <c r="H1922" s="42">
        <f>IFERROR(INDEX('Semrush Data'!$A$1:$Z$20000,MATCH(A1922,'Semrush Data'!$A$1:$A$20000,0),MATCH("Keyword Difficulty*",'Semrush Data'!$A$1:$Z$1,0)),"")</f>
        <v/>
      </c>
      <c r="I1922" s="56">
        <f>IFERROR(INDEX('Semrush Data'!$A$1:$Z$20000,MATCH(A1922,'Semrush Data'!$A$1:$A$20000,0),MATCH("CPC*",'Semrush Data'!$A$1:$Z$1,0)),"")</f>
        <v/>
      </c>
      <c r="J1922" s="42">
        <f>IFERROR(INDEX('Semrush Data'!$A$1:$Z$20000,MATCH(A1922,'Semrush Data'!$A$1:$A$20000,0),MATCH("Intent",'Semrush Data'!$A$1:$Z$1,0)),"")</f>
        <v/>
      </c>
    </row>
    <row r="1923" ht="15" customHeight="1" s="37">
      <c r="A1923" s="42" t="inlineStr">
        <is>
          <t>buy hugo boss bottled online</t>
        </is>
      </c>
      <c r="B1923" s="42" t="inlineStr">
        <is>
          <t>Buy online</t>
        </is>
      </c>
      <c r="C1923" s="42" t="n">
        <v>3</v>
      </c>
      <c r="D1923" s="42" t="inlineStr">
        <is>
          <t>T3-1</t>
        </is>
      </c>
      <c r="E1923" s="42" t="n">
        <v>1</v>
      </c>
      <c r="F1923" s="42" t="inlineStr">
        <is>
          <t>FR-257</t>
        </is>
      </c>
      <c r="G1923" s="55">
        <f>IFERROR(INDEX('Semrush Data'!$A$1:$Z$20000,MATCH(A1923,'Semrush Data'!$A$1:$A$20000,0),MATCH("Volume",'Semrush Data'!$A$1:$Z$1,0)),"")</f>
        <v/>
      </c>
      <c r="H1923" s="42">
        <f>IFERROR(INDEX('Semrush Data'!$A$1:$Z$20000,MATCH(A1923,'Semrush Data'!$A$1:$A$20000,0),MATCH("Keyword Difficulty*",'Semrush Data'!$A$1:$Z$1,0)),"")</f>
        <v/>
      </c>
      <c r="I1923" s="56">
        <f>IFERROR(INDEX('Semrush Data'!$A$1:$Z$20000,MATCH(A1923,'Semrush Data'!$A$1:$A$20000,0),MATCH("CPC*",'Semrush Data'!$A$1:$Z$1,0)),"")</f>
        <v/>
      </c>
      <c r="J1923" s="42">
        <f>IFERROR(INDEX('Semrush Data'!$A$1:$Z$20000,MATCH(A1923,'Semrush Data'!$A$1:$A$20000,0),MATCH("Intent",'Semrush Data'!$A$1:$Z$1,0)),"")</f>
        <v/>
      </c>
    </row>
    <row r="1924" ht="15" customHeight="1" s="37">
      <c r="A1924" s="42" t="inlineStr">
        <is>
          <t>buy hugo boss hugo man online</t>
        </is>
      </c>
      <c r="B1924" s="42" t="inlineStr">
        <is>
          <t>Buy online</t>
        </is>
      </c>
      <c r="C1924" s="42" t="n">
        <v>3</v>
      </c>
      <c r="D1924" s="42" t="n">
        <v>20</v>
      </c>
      <c r="E1924" s="42" t="n">
        <v>1</v>
      </c>
      <c r="F1924" s="42" t="inlineStr">
        <is>
          <t>FR-260</t>
        </is>
      </c>
      <c r="G1924" s="55">
        <f>IFERROR(INDEX('Semrush Data'!$A$1:$Z$20000,MATCH(A1924,'Semrush Data'!$A$1:$A$20000,0),MATCH("Volume",'Semrush Data'!$A$1:$Z$1,0)),"")</f>
        <v/>
      </c>
      <c r="H1924" s="42">
        <f>IFERROR(INDEX('Semrush Data'!$A$1:$Z$20000,MATCH(A1924,'Semrush Data'!$A$1:$A$20000,0),MATCH("Keyword Difficulty*",'Semrush Data'!$A$1:$Z$1,0)),"")</f>
        <v/>
      </c>
      <c r="I1924" s="56">
        <f>IFERROR(INDEX('Semrush Data'!$A$1:$Z$20000,MATCH(A1924,'Semrush Data'!$A$1:$A$20000,0),MATCH("CPC*",'Semrush Data'!$A$1:$Z$1,0)),"")</f>
        <v/>
      </c>
      <c r="J1924" s="42">
        <f>IFERROR(INDEX('Semrush Data'!$A$1:$Z$20000,MATCH(A1924,'Semrush Data'!$A$1:$A$20000,0),MATCH("Intent",'Semrush Data'!$A$1:$Z$1,0)),"")</f>
        <v/>
      </c>
    </row>
    <row r="1925" ht="15" customHeight="1" s="37">
      <c r="A1925" s="42" t="inlineStr">
        <is>
          <t>buy hugo boss the collection confident oud intense online</t>
        </is>
      </c>
      <c r="B1925" s="42" t="inlineStr">
        <is>
          <t>Buy online</t>
        </is>
      </c>
      <c r="C1925" s="42" t="n">
        <v>3</v>
      </c>
      <c r="D1925" s="42" t="n">
        <v>20</v>
      </c>
      <c r="E1925" s="42" t="n">
        <v>1</v>
      </c>
      <c r="F1925" s="42" t="inlineStr">
        <is>
          <t>FR-258</t>
        </is>
      </c>
      <c r="G1925" s="55">
        <f>IFERROR(INDEX('Semrush Data'!$A$1:$Z$20000,MATCH(A1925,'Semrush Data'!$A$1:$A$20000,0),MATCH("Volume",'Semrush Data'!$A$1:$Z$1,0)),"")</f>
        <v/>
      </c>
      <c r="H1925" s="42">
        <f>IFERROR(INDEX('Semrush Data'!$A$1:$Z$20000,MATCH(A1925,'Semrush Data'!$A$1:$A$20000,0),MATCH("Keyword Difficulty*",'Semrush Data'!$A$1:$Z$1,0)),"")</f>
        <v/>
      </c>
      <c r="I1925" s="56">
        <f>IFERROR(INDEX('Semrush Data'!$A$1:$Z$20000,MATCH(A1925,'Semrush Data'!$A$1:$A$20000,0),MATCH("CPC*",'Semrush Data'!$A$1:$Z$1,0)),"")</f>
        <v/>
      </c>
      <c r="J1925" s="42">
        <f>IFERROR(INDEX('Semrush Data'!$A$1:$Z$20000,MATCH(A1925,'Semrush Data'!$A$1:$A$20000,0),MATCH("Intent",'Semrush Data'!$A$1:$Z$1,0)),"")</f>
        <v/>
      </c>
    </row>
    <row r="1926" ht="15" customHeight="1" s="37">
      <c r="A1926" s="42" t="inlineStr">
        <is>
          <t>buy jean paul gaultier classique perfumed shower gel online</t>
        </is>
      </c>
      <c r="B1926" s="42" t="inlineStr">
        <is>
          <t>Buy online</t>
        </is>
      </c>
      <c r="C1926" s="42" t="n">
        <v>3</v>
      </c>
      <c r="D1926" s="42" t="n">
        <v>20</v>
      </c>
      <c r="E1926" s="42" t="n">
        <v>1</v>
      </c>
      <c r="F1926" s="42" t="inlineStr">
        <is>
          <t>FR-263</t>
        </is>
      </c>
      <c r="G1926" s="55">
        <f>IFERROR(INDEX('Semrush Data'!$A$1:$Z$20000,MATCH(A1926,'Semrush Data'!$A$1:$A$20000,0),MATCH("Volume",'Semrush Data'!$A$1:$Z$1,0)),"")</f>
        <v/>
      </c>
      <c r="H1926" s="42">
        <f>IFERROR(INDEX('Semrush Data'!$A$1:$Z$20000,MATCH(A1926,'Semrush Data'!$A$1:$A$20000,0),MATCH("Keyword Difficulty*",'Semrush Data'!$A$1:$Z$1,0)),"")</f>
        <v/>
      </c>
      <c r="I1926" s="56">
        <f>IFERROR(INDEX('Semrush Data'!$A$1:$Z$20000,MATCH(A1926,'Semrush Data'!$A$1:$A$20000,0),MATCH("CPC*",'Semrush Data'!$A$1:$Z$1,0)),"")</f>
        <v/>
      </c>
      <c r="J1926" s="42">
        <f>IFERROR(INDEX('Semrush Data'!$A$1:$Z$20000,MATCH(A1926,'Semrush Data'!$A$1:$A$20000,0),MATCH("Intent",'Semrush Data'!$A$1:$Z$1,0)),"")</f>
        <v/>
      </c>
    </row>
    <row r="1927" ht="15" customHeight="1" s="37">
      <c r="A1927" s="42" t="inlineStr">
        <is>
          <t>buy jean paul gaultier scandal gold online</t>
        </is>
      </c>
      <c r="B1927" s="42" t="inlineStr">
        <is>
          <t>Buy online</t>
        </is>
      </c>
      <c r="C1927" s="42" t="n">
        <v>3</v>
      </c>
      <c r="D1927" s="42" t="n">
        <v>20</v>
      </c>
      <c r="E1927" s="42" t="n">
        <v>1</v>
      </c>
      <c r="F1927" s="42" t="inlineStr">
        <is>
          <t>FR-262</t>
        </is>
      </c>
      <c r="G1927" s="55">
        <f>IFERROR(INDEX('Semrush Data'!$A$1:$Z$20000,MATCH(A1927,'Semrush Data'!$A$1:$A$20000,0),MATCH("Volume",'Semrush Data'!$A$1:$Z$1,0)),"")</f>
        <v/>
      </c>
      <c r="H1927" s="42">
        <f>IFERROR(INDEX('Semrush Data'!$A$1:$Z$20000,MATCH(A1927,'Semrush Data'!$A$1:$A$20000,0),MATCH("Keyword Difficulty*",'Semrush Data'!$A$1:$Z$1,0)),"")</f>
        <v/>
      </c>
      <c r="I1927" s="56">
        <f>IFERROR(INDEX('Semrush Data'!$A$1:$Z$20000,MATCH(A1927,'Semrush Data'!$A$1:$A$20000,0),MATCH("CPC*",'Semrush Data'!$A$1:$Z$1,0)),"")</f>
        <v/>
      </c>
      <c r="J1927" s="42">
        <f>IFERROR(INDEX('Semrush Data'!$A$1:$Z$20000,MATCH(A1927,'Semrush Data'!$A$1:$A$20000,0),MATCH("Intent",'Semrush Data'!$A$1:$Z$1,0)),"")</f>
        <v/>
      </c>
    </row>
    <row r="1928" ht="15" customHeight="1" s="37">
      <c r="A1928" s="42" t="inlineStr">
        <is>
          <t>buy jimmy choo i want choo forever miniature online</t>
        </is>
      </c>
      <c r="B1928" s="42" t="inlineStr">
        <is>
          <t>Buy online</t>
        </is>
      </c>
      <c r="C1928" s="42" t="n">
        <v>3</v>
      </c>
      <c r="D1928" s="42" t="n">
        <v>20</v>
      </c>
      <c r="E1928" s="42" t="n">
        <v>1</v>
      </c>
      <c r="F1928" s="42" t="inlineStr">
        <is>
          <t>FR-264</t>
        </is>
      </c>
      <c r="G1928" s="55">
        <f>IFERROR(INDEX('Semrush Data'!$A$1:$Z$20000,MATCH(A1928,'Semrush Data'!$A$1:$A$20000,0),MATCH("Volume",'Semrush Data'!$A$1:$Z$1,0)),"")</f>
        <v/>
      </c>
      <c r="H1928" s="42">
        <f>IFERROR(INDEX('Semrush Data'!$A$1:$Z$20000,MATCH(A1928,'Semrush Data'!$A$1:$A$20000,0),MATCH("Keyword Difficulty*",'Semrush Data'!$A$1:$Z$1,0)),"")</f>
        <v/>
      </c>
      <c r="I1928" s="56">
        <f>IFERROR(INDEX('Semrush Data'!$A$1:$Z$20000,MATCH(A1928,'Semrush Data'!$A$1:$A$20000,0),MATCH("CPC*",'Semrush Data'!$A$1:$Z$1,0)),"")</f>
        <v/>
      </c>
      <c r="J1928" s="42">
        <f>IFERROR(INDEX('Semrush Data'!$A$1:$Z$20000,MATCH(A1928,'Semrush Data'!$A$1:$A$20000,0),MATCH("Intent",'Semrush Data'!$A$1:$Z$1,0)),"")</f>
        <v/>
      </c>
    </row>
    <row r="1929" ht="15" customHeight="1" s="37">
      <c r="A1929" s="42" t="inlineStr">
        <is>
          <t>buy jimmy choo miniature gift set 5x4. online</t>
        </is>
      </c>
      <c r="B1929" s="42" t="inlineStr">
        <is>
          <t>Buy online</t>
        </is>
      </c>
      <c r="C1929" s="42" t="n">
        <v>3</v>
      </c>
      <c r="D1929" s="42" t="n">
        <v>20</v>
      </c>
      <c r="E1929" s="42" t="n">
        <v>1</v>
      </c>
      <c r="F1929" s="42" t="inlineStr">
        <is>
          <t>FR-265</t>
        </is>
      </c>
      <c r="G1929" s="55">
        <f>IFERROR(INDEX('Semrush Data'!$A$1:$Z$20000,MATCH(A1929,'Semrush Data'!$A$1:$A$20000,0),MATCH("Volume",'Semrush Data'!$A$1:$Z$1,0)),"")</f>
        <v/>
      </c>
      <c r="H1929" s="42">
        <f>IFERROR(INDEX('Semrush Data'!$A$1:$Z$20000,MATCH(A1929,'Semrush Data'!$A$1:$A$20000,0),MATCH("Keyword Difficulty*",'Semrush Data'!$A$1:$Z$1,0)),"")</f>
        <v/>
      </c>
      <c r="I1929" s="56">
        <f>IFERROR(INDEX('Semrush Data'!$A$1:$Z$20000,MATCH(A1929,'Semrush Data'!$A$1:$A$20000,0),MATCH("CPC*",'Semrush Data'!$A$1:$Z$1,0)),"")</f>
        <v/>
      </c>
      <c r="J1929" s="42">
        <f>IFERROR(INDEX('Semrush Data'!$A$1:$Z$20000,MATCH(A1929,'Semrush Data'!$A$1:$A$20000,0),MATCH("Intent",'Semrush Data'!$A$1:$Z$1,0)),"")</f>
        <v/>
      </c>
    </row>
    <row r="1930" ht="15" customHeight="1" s="37">
      <c r="A1930" s="42" t="inlineStr">
        <is>
          <t>buy jo milano game of spades queen for online</t>
        </is>
      </c>
      <c r="B1930" s="42" t="inlineStr">
        <is>
          <t>Buy online</t>
        </is>
      </c>
      <c r="C1930" s="42" t="n">
        <v>3</v>
      </c>
      <c r="D1930" s="42" t="n">
        <v>20</v>
      </c>
      <c r="E1930" s="42" t="n">
        <v>1</v>
      </c>
      <c r="F1930" s="42" t="inlineStr">
        <is>
          <t>FR-266</t>
        </is>
      </c>
      <c r="G1930" s="55">
        <f>IFERROR(INDEX('Semrush Data'!$A$1:$Z$20000,MATCH(A1930,'Semrush Data'!$A$1:$A$20000,0),MATCH("Volume",'Semrush Data'!$A$1:$Z$1,0)),"")</f>
        <v/>
      </c>
      <c r="H1930" s="42">
        <f>IFERROR(INDEX('Semrush Data'!$A$1:$Z$20000,MATCH(A1930,'Semrush Data'!$A$1:$A$20000,0),MATCH("Keyword Difficulty*",'Semrush Data'!$A$1:$Z$1,0)),"")</f>
        <v/>
      </c>
      <c r="I1930" s="56">
        <f>IFERROR(INDEX('Semrush Data'!$A$1:$Z$20000,MATCH(A1930,'Semrush Data'!$A$1:$A$20000,0),MATCH("CPC*",'Semrush Data'!$A$1:$Z$1,0)),"")</f>
        <v/>
      </c>
      <c r="J1930" s="42">
        <f>IFERROR(INDEX('Semrush Data'!$A$1:$Z$20000,MATCH(A1930,'Semrush Data'!$A$1:$A$20000,0),MATCH("Intent",'Semrush Data'!$A$1:$Z$1,0)),"")</f>
        <v/>
      </c>
    </row>
    <row r="1931" ht="15" customHeight="1" s="37">
      <c r="A1931" s="42" t="inlineStr">
        <is>
          <t>buy jo milano game of spades wildcard for parfum , 3.4 ounce online</t>
        </is>
      </c>
      <c r="B1931" s="42" t="inlineStr">
        <is>
          <t>Buy online</t>
        </is>
      </c>
      <c r="C1931" s="42" t="n">
        <v>3</v>
      </c>
      <c r="D1931" s="42" t="n">
        <v>20</v>
      </c>
      <c r="E1931" s="42" t="n">
        <v>1</v>
      </c>
      <c r="F1931" s="42" t="inlineStr">
        <is>
          <t>FR-267</t>
        </is>
      </c>
      <c r="G1931" s="55">
        <f>IFERROR(INDEX('Semrush Data'!$A$1:$Z$20000,MATCH(A1931,'Semrush Data'!$A$1:$A$20000,0),MATCH("Volume",'Semrush Data'!$A$1:$Z$1,0)),"")</f>
        <v/>
      </c>
      <c r="H1931" s="42">
        <f>IFERROR(INDEX('Semrush Data'!$A$1:$Z$20000,MATCH(A1931,'Semrush Data'!$A$1:$A$20000,0),MATCH("Keyword Difficulty*",'Semrush Data'!$A$1:$Z$1,0)),"")</f>
        <v/>
      </c>
      <c r="I1931" s="56">
        <f>IFERROR(INDEX('Semrush Data'!$A$1:$Z$20000,MATCH(A1931,'Semrush Data'!$A$1:$A$20000,0),MATCH("CPC*",'Semrush Data'!$A$1:$Z$1,0)),"")</f>
        <v/>
      </c>
      <c r="J1931" s="42">
        <f>IFERROR(INDEX('Semrush Data'!$A$1:$Z$20000,MATCH(A1931,'Semrush Data'!$A$1:$A$20000,0),MATCH("Intent",'Semrush Data'!$A$1:$Z$1,0)),"")</f>
        <v/>
      </c>
    </row>
    <row r="1932" ht="15" customHeight="1" s="37">
      <c r="A1932" s="42" t="inlineStr">
        <is>
          <t>buy john varvatos artisan online</t>
        </is>
      </c>
      <c r="B1932" s="42" t="inlineStr">
        <is>
          <t>Buy online</t>
        </is>
      </c>
      <c r="C1932" s="42" t="n">
        <v>3</v>
      </c>
      <c r="D1932" s="42" t="n">
        <v>20</v>
      </c>
      <c r="E1932" s="42" t="n">
        <v>1</v>
      </c>
      <c r="F1932" s="42" t="inlineStr">
        <is>
          <t>FR-268</t>
        </is>
      </c>
      <c r="G1932" s="55">
        <f>IFERROR(INDEX('Semrush Data'!$A$1:$Z$20000,MATCH(A1932,'Semrush Data'!$A$1:$A$20000,0),MATCH("Volume",'Semrush Data'!$A$1:$Z$1,0)),"")</f>
        <v/>
      </c>
      <c r="H1932" s="42">
        <f>IFERROR(INDEX('Semrush Data'!$A$1:$Z$20000,MATCH(A1932,'Semrush Data'!$A$1:$A$20000,0),MATCH("Keyword Difficulty*",'Semrush Data'!$A$1:$Z$1,0)),"")</f>
        <v/>
      </c>
      <c r="I1932" s="56">
        <f>IFERROR(INDEX('Semrush Data'!$A$1:$Z$20000,MATCH(A1932,'Semrush Data'!$A$1:$A$20000,0),MATCH("CPC*",'Semrush Data'!$A$1:$Z$1,0)),"")</f>
        <v/>
      </c>
      <c r="J1932" s="42">
        <f>IFERROR(INDEX('Semrush Data'!$A$1:$Z$20000,MATCH(A1932,'Semrush Data'!$A$1:$A$20000,0),MATCH("Intent",'Semrush Data'!$A$1:$Z$1,0)),"")</f>
        <v/>
      </c>
    </row>
    <row r="1933" ht="15" customHeight="1" s="37">
      <c r="A1933" s="42" t="inlineStr">
        <is>
          <t>buy joop! homme le online</t>
        </is>
      </c>
      <c r="B1933" s="42" t="inlineStr">
        <is>
          <t>Buy online</t>
        </is>
      </c>
      <c r="C1933" s="42" t="n">
        <v>3</v>
      </c>
      <c r="D1933" s="42" t="n">
        <v>20</v>
      </c>
      <c r="E1933" s="42" t="n">
        <v>1</v>
      </c>
      <c r="F1933" s="42" t="inlineStr">
        <is>
          <t>FR-270</t>
        </is>
      </c>
      <c r="G1933" s="55">
        <f>IFERROR(INDEX('Semrush Data'!$A$1:$Z$20000,MATCH(A1933,'Semrush Data'!$A$1:$A$20000,0),MATCH("Volume",'Semrush Data'!$A$1:$Z$1,0)),"")</f>
        <v/>
      </c>
      <c r="H1933" s="42">
        <f>IFERROR(INDEX('Semrush Data'!$A$1:$Z$20000,MATCH(A1933,'Semrush Data'!$A$1:$A$20000,0),MATCH("Keyword Difficulty*",'Semrush Data'!$A$1:$Z$1,0)),"")</f>
        <v/>
      </c>
      <c r="I1933" s="56">
        <f>IFERROR(INDEX('Semrush Data'!$A$1:$Z$20000,MATCH(A1933,'Semrush Data'!$A$1:$A$20000,0),MATCH("CPC*",'Semrush Data'!$A$1:$Z$1,0)),"")</f>
        <v/>
      </c>
      <c r="J1933" s="42">
        <f>IFERROR(INDEX('Semrush Data'!$A$1:$Z$20000,MATCH(A1933,'Semrush Data'!$A$1:$A$20000,0),MATCH("Intent",'Semrush Data'!$A$1:$Z$1,0)),"")</f>
        <v/>
      </c>
    </row>
    <row r="1934" ht="15" customHeight="1" s="37">
      <c r="A1934" s="42" t="inlineStr">
        <is>
          <t>buy joop! homme online</t>
        </is>
      </c>
      <c r="B1934" s="42" t="inlineStr">
        <is>
          <t>Buy online</t>
        </is>
      </c>
      <c r="C1934" s="42" t="n">
        <v>3</v>
      </c>
      <c r="D1934" s="42" t="inlineStr">
        <is>
          <t>T3-1</t>
        </is>
      </c>
      <c r="E1934" s="42" t="n">
        <v>1</v>
      </c>
      <c r="F1934" s="42" t="inlineStr">
        <is>
          <t>FR-269</t>
        </is>
      </c>
      <c r="G1934" s="55">
        <f>IFERROR(INDEX('Semrush Data'!$A$1:$Z$20000,MATCH(A1934,'Semrush Data'!$A$1:$A$20000,0),MATCH("Volume",'Semrush Data'!$A$1:$Z$1,0)),"")</f>
        <v/>
      </c>
      <c r="H1934" s="42">
        <f>IFERROR(INDEX('Semrush Data'!$A$1:$Z$20000,MATCH(A1934,'Semrush Data'!$A$1:$A$20000,0),MATCH("Keyword Difficulty*",'Semrush Data'!$A$1:$Z$1,0)),"")</f>
        <v/>
      </c>
      <c r="I1934" s="56">
        <f>IFERROR(INDEX('Semrush Data'!$A$1:$Z$20000,MATCH(A1934,'Semrush Data'!$A$1:$A$20000,0),MATCH("CPC*",'Semrush Data'!$A$1:$Z$1,0)),"")</f>
        <v/>
      </c>
      <c r="J1934" s="42">
        <f>IFERROR(INDEX('Semrush Data'!$A$1:$Z$20000,MATCH(A1934,'Semrush Data'!$A$1:$A$20000,0),MATCH("Intent",'Semrush Data'!$A$1:$Z$1,0)),"")</f>
        <v/>
      </c>
    </row>
    <row r="1935" ht="15" customHeight="1" s="37">
      <c r="A1935" s="42" t="inlineStr">
        <is>
          <t>buy juicy couture viva la juicy rose online</t>
        </is>
      </c>
      <c r="B1935" s="42" t="inlineStr">
        <is>
          <t>Buy online</t>
        </is>
      </c>
      <c r="C1935" s="42" t="n">
        <v>3</v>
      </c>
      <c r="D1935" s="42" t="n">
        <v>20</v>
      </c>
      <c r="E1935" s="42" t="n">
        <v>3</v>
      </c>
      <c r="F1935" s="42" t="inlineStr">
        <is>
          <t>FR-271, FR-272, FR-273</t>
        </is>
      </c>
      <c r="G1935" s="55">
        <f>IFERROR(INDEX('Semrush Data'!$A$1:$Z$20000,MATCH(A1935,'Semrush Data'!$A$1:$A$20000,0),MATCH("Volume",'Semrush Data'!$A$1:$Z$1,0)),"")</f>
        <v/>
      </c>
      <c r="H1935" s="42">
        <f>IFERROR(INDEX('Semrush Data'!$A$1:$Z$20000,MATCH(A1935,'Semrush Data'!$A$1:$A$20000,0),MATCH("Keyword Difficulty*",'Semrush Data'!$A$1:$Z$1,0)),"")</f>
        <v/>
      </c>
      <c r="I1935" s="56">
        <f>IFERROR(INDEX('Semrush Data'!$A$1:$Z$20000,MATCH(A1935,'Semrush Data'!$A$1:$A$20000,0),MATCH("CPC*",'Semrush Data'!$A$1:$Z$1,0)),"")</f>
        <v/>
      </c>
      <c r="J1935" s="42">
        <f>IFERROR(INDEX('Semrush Data'!$A$1:$Z$20000,MATCH(A1935,'Semrush Data'!$A$1:$A$20000,0),MATCH("Intent",'Semrush Data'!$A$1:$Z$1,0)),"")</f>
        <v/>
      </c>
    </row>
    <row r="1936" ht="15" customHeight="1" s="37">
      <c r="A1936" s="42" t="inlineStr">
        <is>
          <t>buy kenneth cole moonlight blue online</t>
        </is>
      </c>
      <c r="B1936" s="42" t="inlineStr">
        <is>
          <t>Buy online</t>
        </is>
      </c>
      <c r="C1936" s="42" t="n">
        <v>3</v>
      </c>
      <c r="D1936" s="42" t="n">
        <v>20</v>
      </c>
      <c r="E1936" s="42" t="n">
        <v>1</v>
      </c>
      <c r="F1936" s="42" t="inlineStr">
        <is>
          <t>FR-274</t>
        </is>
      </c>
      <c r="G1936" s="55">
        <f>IFERROR(INDEX('Semrush Data'!$A$1:$Z$20000,MATCH(A1936,'Semrush Data'!$A$1:$A$20000,0),MATCH("Volume",'Semrush Data'!$A$1:$Z$1,0)),"")</f>
        <v/>
      </c>
      <c r="H1936" s="42">
        <f>IFERROR(INDEX('Semrush Data'!$A$1:$Z$20000,MATCH(A1936,'Semrush Data'!$A$1:$A$20000,0),MATCH("Keyword Difficulty*",'Semrush Data'!$A$1:$Z$1,0)),"")</f>
        <v/>
      </c>
      <c r="I1936" s="56">
        <f>IFERROR(INDEX('Semrush Data'!$A$1:$Z$20000,MATCH(A1936,'Semrush Data'!$A$1:$A$20000,0),MATCH("CPC*",'Semrush Data'!$A$1:$Z$1,0)),"")</f>
        <v/>
      </c>
      <c r="J1936" s="42">
        <f>IFERROR(INDEX('Semrush Data'!$A$1:$Z$20000,MATCH(A1936,'Semrush Data'!$A$1:$A$20000,0),MATCH("Intent",'Semrush Data'!$A$1:$Z$1,0)),"")</f>
        <v/>
      </c>
    </row>
    <row r="1937" ht="15" customHeight="1" s="37">
      <c r="A1937" s="42" t="inlineStr">
        <is>
          <t>buy korloff cuir mythique online</t>
        </is>
      </c>
      <c r="B1937" s="42" t="inlineStr">
        <is>
          <t>Buy online</t>
        </is>
      </c>
      <c r="C1937" s="42" t="n">
        <v>3</v>
      </c>
      <c r="D1937" s="42" t="n">
        <v>20</v>
      </c>
      <c r="E1937" s="42" t="n">
        <v>1</v>
      </c>
      <c r="F1937" s="42" t="inlineStr">
        <is>
          <t>FR-275</t>
        </is>
      </c>
      <c r="G1937" s="55">
        <f>IFERROR(INDEX('Semrush Data'!$A$1:$Z$20000,MATCH(A1937,'Semrush Data'!$A$1:$A$20000,0),MATCH("Volume",'Semrush Data'!$A$1:$Z$1,0)),"")</f>
        <v/>
      </c>
      <c r="H1937" s="42">
        <f>IFERROR(INDEX('Semrush Data'!$A$1:$Z$20000,MATCH(A1937,'Semrush Data'!$A$1:$A$20000,0),MATCH("Keyword Difficulty*",'Semrush Data'!$A$1:$Z$1,0)),"")</f>
        <v/>
      </c>
      <c r="I1937" s="56">
        <f>IFERROR(INDEX('Semrush Data'!$A$1:$Z$20000,MATCH(A1937,'Semrush Data'!$A$1:$A$20000,0),MATCH("CPC*",'Semrush Data'!$A$1:$Z$1,0)),"")</f>
        <v/>
      </c>
      <c r="J1937" s="42">
        <f>IFERROR(INDEX('Semrush Data'!$A$1:$Z$20000,MATCH(A1937,'Semrush Data'!$A$1:$A$20000,0),MATCH("Intent",'Semrush Data'!$A$1:$Z$1,0)),"")</f>
        <v/>
      </c>
    </row>
    <row r="1938" ht="15" customHeight="1" s="37">
      <c r="A1938" s="42" t="inlineStr">
        <is>
          <t>buy korloff in love online</t>
        </is>
      </c>
      <c r="B1938" s="42" t="inlineStr">
        <is>
          <t>Buy online</t>
        </is>
      </c>
      <c r="C1938" s="42" t="n">
        <v>3</v>
      </c>
      <c r="D1938" s="42" t="n">
        <v>20</v>
      </c>
      <c r="E1938" s="42" t="n">
        <v>1</v>
      </c>
      <c r="F1938" s="42" t="inlineStr">
        <is>
          <t>FR-276</t>
        </is>
      </c>
      <c r="G1938" s="55">
        <f>IFERROR(INDEX('Semrush Data'!$A$1:$Z$20000,MATCH(A1938,'Semrush Data'!$A$1:$A$20000,0),MATCH("Volume",'Semrush Data'!$A$1:$Z$1,0)),"")</f>
        <v/>
      </c>
      <c r="H1938" s="42">
        <f>IFERROR(INDEX('Semrush Data'!$A$1:$Z$20000,MATCH(A1938,'Semrush Data'!$A$1:$A$20000,0),MATCH("Keyword Difficulty*",'Semrush Data'!$A$1:$Z$1,0)),"")</f>
        <v/>
      </c>
      <c r="I1938" s="56">
        <f>IFERROR(INDEX('Semrush Data'!$A$1:$Z$20000,MATCH(A1938,'Semrush Data'!$A$1:$A$20000,0),MATCH("CPC*",'Semrush Data'!$A$1:$Z$1,0)),"")</f>
        <v/>
      </c>
      <c r="J1938" s="42">
        <f>IFERROR(INDEX('Semrush Data'!$A$1:$Z$20000,MATCH(A1938,'Semrush Data'!$A$1:$A$20000,0),MATCH("Intent",'Semrush Data'!$A$1:$Z$1,0)),"")</f>
        <v/>
      </c>
    </row>
    <row r="1939" ht="15" customHeight="1" s="37">
      <c r="A1939" s="42" t="inlineStr">
        <is>
          <t>buy korloff in white online</t>
        </is>
      </c>
      <c r="B1939" s="42" t="inlineStr">
        <is>
          <t>Buy online</t>
        </is>
      </c>
      <c r="C1939" s="42" t="n">
        <v>3</v>
      </c>
      <c r="D1939" s="42" t="n">
        <v>20</v>
      </c>
      <c r="E1939" s="42" t="n">
        <v>1</v>
      </c>
      <c r="F1939" s="42" t="inlineStr">
        <is>
          <t>FR-339</t>
        </is>
      </c>
      <c r="G1939" s="55">
        <f>IFERROR(INDEX('Semrush Data'!$A$1:$Z$20000,MATCH(A1939,'Semrush Data'!$A$1:$A$20000,0),MATCH("Volume",'Semrush Data'!$A$1:$Z$1,0)),"")</f>
        <v/>
      </c>
      <c r="H1939" s="42">
        <f>IFERROR(INDEX('Semrush Data'!$A$1:$Z$20000,MATCH(A1939,'Semrush Data'!$A$1:$A$20000,0),MATCH("Keyword Difficulty*",'Semrush Data'!$A$1:$Z$1,0)),"")</f>
        <v/>
      </c>
      <c r="I1939" s="56">
        <f>IFERROR(INDEX('Semrush Data'!$A$1:$Z$20000,MATCH(A1939,'Semrush Data'!$A$1:$A$20000,0),MATCH("CPC*",'Semrush Data'!$A$1:$Z$1,0)),"")</f>
        <v/>
      </c>
      <c r="J1939" s="42">
        <f>IFERROR(INDEX('Semrush Data'!$A$1:$Z$20000,MATCH(A1939,'Semrush Data'!$A$1:$A$20000,0),MATCH("Intent",'Semrush Data'!$A$1:$Z$1,0)),"")</f>
        <v/>
      </c>
    </row>
    <row r="1940" ht="15" customHeight="1" s="37">
      <c r="A1940" s="42" t="inlineStr">
        <is>
          <t>buy korloff lady intense online</t>
        </is>
      </c>
      <c r="B1940" s="42" t="inlineStr">
        <is>
          <t>Buy online</t>
        </is>
      </c>
      <c r="C1940" s="42" t="n">
        <v>3</v>
      </c>
      <c r="D1940" s="42" t="n">
        <v>20</v>
      </c>
      <c r="E1940" s="42" t="n">
        <v>1</v>
      </c>
      <c r="F1940" s="42" t="inlineStr">
        <is>
          <t>FR-277</t>
        </is>
      </c>
      <c r="G1940" s="55">
        <f>IFERROR(INDEX('Semrush Data'!$A$1:$Z$20000,MATCH(A1940,'Semrush Data'!$A$1:$A$20000,0),MATCH("Volume",'Semrush Data'!$A$1:$Z$1,0)),"")</f>
        <v/>
      </c>
      <c r="H1940" s="42">
        <f>IFERROR(INDEX('Semrush Data'!$A$1:$Z$20000,MATCH(A1940,'Semrush Data'!$A$1:$A$20000,0),MATCH("Keyword Difficulty*",'Semrush Data'!$A$1:$Z$1,0)),"")</f>
        <v/>
      </c>
      <c r="I1940" s="56">
        <f>IFERROR(INDEX('Semrush Data'!$A$1:$Z$20000,MATCH(A1940,'Semrush Data'!$A$1:$A$20000,0),MATCH("CPC*",'Semrush Data'!$A$1:$Z$1,0)),"")</f>
        <v/>
      </c>
      <c r="J1940" s="42">
        <f>IFERROR(INDEX('Semrush Data'!$A$1:$Z$20000,MATCH(A1940,'Semrush Data'!$A$1:$A$20000,0),MATCH("Intent",'Semrush Data'!$A$1:$Z$1,0)),"")</f>
        <v/>
      </c>
    </row>
    <row r="1941" ht="15" customHeight="1" s="37">
      <c r="A1941" s="42" t="inlineStr">
        <is>
          <t>buy korloff miss korloff online</t>
        </is>
      </c>
      <c r="B1941" s="42" t="inlineStr">
        <is>
          <t>Buy online</t>
        </is>
      </c>
      <c r="C1941" s="42" t="n">
        <v>3</v>
      </c>
      <c r="D1941" s="42" t="n">
        <v>20</v>
      </c>
      <c r="E1941" s="42" t="n">
        <v>1</v>
      </c>
      <c r="F1941" s="42" t="inlineStr">
        <is>
          <t>FR-280</t>
        </is>
      </c>
      <c r="G1941" s="55">
        <f>IFERROR(INDEX('Semrush Data'!$A$1:$Z$20000,MATCH(A1941,'Semrush Data'!$A$1:$A$20000,0),MATCH("Volume",'Semrush Data'!$A$1:$Z$1,0)),"")</f>
        <v/>
      </c>
      <c r="H1941" s="42">
        <f>IFERROR(INDEX('Semrush Data'!$A$1:$Z$20000,MATCH(A1941,'Semrush Data'!$A$1:$A$20000,0),MATCH("Keyword Difficulty*",'Semrush Data'!$A$1:$Z$1,0)),"")</f>
        <v/>
      </c>
      <c r="I1941" s="56">
        <f>IFERROR(INDEX('Semrush Data'!$A$1:$Z$20000,MATCH(A1941,'Semrush Data'!$A$1:$A$20000,0),MATCH("CPC*",'Semrush Data'!$A$1:$Z$1,0)),"")</f>
        <v/>
      </c>
      <c r="J1941" s="42">
        <f>IFERROR(INDEX('Semrush Data'!$A$1:$Z$20000,MATCH(A1941,'Semrush Data'!$A$1:$A$20000,0),MATCH("Intent",'Semrush Data'!$A$1:$Z$1,0)),"")</f>
        <v/>
      </c>
    </row>
    <row r="1942" ht="15" customHeight="1" s="37">
      <c r="A1942" s="42" t="inlineStr">
        <is>
          <t>buy korloff paris discovery set online</t>
        </is>
      </c>
      <c r="B1942" s="42" t="inlineStr">
        <is>
          <t>Buy online</t>
        </is>
      </c>
      <c r="C1942" s="42" t="n">
        <v>3</v>
      </c>
      <c r="D1942" s="42" t="n">
        <v>20</v>
      </c>
      <c r="E1942" s="42" t="n">
        <v>1</v>
      </c>
      <c r="F1942" s="42" t="inlineStr">
        <is>
          <t>FR-282</t>
        </is>
      </c>
      <c r="G1942" s="55">
        <f>IFERROR(INDEX('Semrush Data'!$A$1:$Z$20000,MATCH(A1942,'Semrush Data'!$A$1:$A$20000,0),MATCH("Volume",'Semrush Data'!$A$1:$Z$1,0)),"")</f>
        <v/>
      </c>
      <c r="H1942" s="42">
        <f>IFERROR(INDEX('Semrush Data'!$A$1:$Z$20000,MATCH(A1942,'Semrush Data'!$A$1:$A$20000,0),MATCH("Keyword Difficulty*",'Semrush Data'!$A$1:$Z$1,0)),"")</f>
        <v/>
      </c>
      <c r="I1942" s="56">
        <f>IFERROR(INDEX('Semrush Data'!$A$1:$Z$20000,MATCH(A1942,'Semrush Data'!$A$1:$A$20000,0),MATCH("CPC*",'Semrush Data'!$A$1:$Z$1,0)),"")</f>
        <v/>
      </c>
      <c r="J1942" s="42">
        <f>IFERROR(INDEX('Semrush Data'!$A$1:$Z$20000,MATCH(A1942,'Semrush Data'!$A$1:$A$20000,0),MATCH("Intent",'Semrush Data'!$A$1:$Z$1,0)),"")</f>
        <v/>
      </c>
    </row>
    <row r="1943" ht="15" customHeight="1" s="37">
      <c r="A1943" s="42" t="inlineStr">
        <is>
          <t>buy korloff royal oud korloff paris online</t>
        </is>
      </c>
      <c r="B1943" s="42" t="inlineStr">
        <is>
          <t>Buy online</t>
        </is>
      </c>
      <c r="C1943" s="42" t="n">
        <v>3</v>
      </c>
      <c r="D1943" s="42" t="n">
        <v>20</v>
      </c>
      <c r="E1943" s="42" t="n">
        <v>1</v>
      </c>
      <c r="F1943" s="42" t="inlineStr">
        <is>
          <t>FR-281</t>
        </is>
      </c>
      <c r="G1943" s="55">
        <f>IFERROR(INDEX('Semrush Data'!$A$1:$Z$20000,MATCH(A1943,'Semrush Data'!$A$1:$A$20000,0),MATCH("Volume",'Semrush Data'!$A$1:$Z$1,0)),"")</f>
        <v/>
      </c>
      <c r="H1943" s="42">
        <f>IFERROR(INDEX('Semrush Data'!$A$1:$Z$20000,MATCH(A1943,'Semrush Data'!$A$1:$A$20000,0),MATCH("Keyword Difficulty*",'Semrush Data'!$A$1:$Z$1,0)),"")</f>
        <v/>
      </c>
      <c r="I1943" s="56">
        <f>IFERROR(INDEX('Semrush Data'!$A$1:$Z$20000,MATCH(A1943,'Semrush Data'!$A$1:$A$20000,0),MATCH("CPC*",'Semrush Data'!$A$1:$Z$1,0)),"")</f>
        <v/>
      </c>
      <c r="J1943" s="42">
        <f>IFERROR(INDEX('Semrush Data'!$A$1:$Z$20000,MATCH(A1943,'Semrush Data'!$A$1:$A$20000,0),MATCH("Intent",'Semrush Data'!$A$1:$Z$1,0)),"")</f>
        <v/>
      </c>
    </row>
    <row r="1944" ht="15" customHeight="1" s="37">
      <c r="A1944" s="42" t="inlineStr">
        <is>
          <t>buy korloff royal rose online</t>
        </is>
      </c>
      <c r="B1944" s="42" t="inlineStr">
        <is>
          <t>Buy online</t>
        </is>
      </c>
      <c r="C1944" s="42" t="n">
        <v>3</v>
      </c>
      <c r="D1944" s="42" t="n">
        <v>20</v>
      </c>
      <c r="E1944" s="42" t="n">
        <v>1</v>
      </c>
      <c r="F1944" s="42" t="inlineStr">
        <is>
          <t>FR-278</t>
        </is>
      </c>
      <c r="G1944" s="55">
        <f>IFERROR(INDEX('Semrush Data'!$A$1:$Z$20000,MATCH(A1944,'Semrush Data'!$A$1:$A$20000,0),MATCH("Volume",'Semrush Data'!$A$1:$Z$1,0)),"")</f>
        <v/>
      </c>
      <c r="H1944" s="42">
        <f>IFERROR(INDEX('Semrush Data'!$A$1:$Z$20000,MATCH(A1944,'Semrush Data'!$A$1:$A$20000,0),MATCH("Keyword Difficulty*",'Semrush Data'!$A$1:$Z$1,0)),"")</f>
        <v/>
      </c>
      <c r="I1944" s="56">
        <f>IFERROR(INDEX('Semrush Data'!$A$1:$Z$20000,MATCH(A1944,'Semrush Data'!$A$1:$A$20000,0),MATCH("CPC*",'Semrush Data'!$A$1:$Z$1,0)),"")</f>
        <v/>
      </c>
      <c r="J1944" s="42">
        <f>IFERROR(INDEX('Semrush Data'!$A$1:$Z$20000,MATCH(A1944,'Semrush Data'!$A$1:$A$20000,0),MATCH("Intent",'Semrush Data'!$A$1:$Z$1,0)),"")</f>
        <v/>
      </c>
    </row>
    <row r="1945" ht="15" customHeight="1" s="37">
      <c r="A1945" s="42" t="inlineStr">
        <is>
          <t>buy korloff un soir a paris online</t>
        </is>
      </c>
      <c r="B1945" s="42" t="inlineStr">
        <is>
          <t>Buy online</t>
        </is>
      </c>
      <c r="C1945" s="42" t="n">
        <v>3</v>
      </c>
      <c r="D1945" s="42" t="n">
        <v>20</v>
      </c>
      <c r="E1945" s="42" t="n">
        <v>1</v>
      </c>
      <c r="F1945" s="42" t="inlineStr">
        <is>
          <t>FR-279</t>
        </is>
      </c>
      <c r="G1945" s="55">
        <f>IFERROR(INDEX('Semrush Data'!$A$1:$Z$20000,MATCH(A1945,'Semrush Data'!$A$1:$A$20000,0),MATCH("Volume",'Semrush Data'!$A$1:$Z$1,0)),"")</f>
        <v/>
      </c>
      <c r="H1945" s="42">
        <f>IFERROR(INDEX('Semrush Data'!$A$1:$Z$20000,MATCH(A1945,'Semrush Data'!$A$1:$A$20000,0),MATCH("Keyword Difficulty*",'Semrush Data'!$A$1:$Z$1,0)),"")</f>
        <v/>
      </c>
      <c r="I1945" s="56">
        <f>IFERROR(INDEX('Semrush Data'!$A$1:$Z$20000,MATCH(A1945,'Semrush Data'!$A$1:$A$20000,0),MATCH("CPC*",'Semrush Data'!$A$1:$Z$1,0)),"")</f>
        <v/>
      </c>
      <c r="J1945" s="42">
        <f>IFERROR(INDEX('Semrush Data'!$A$1:$Z$20000,MATCH(A1945,'Semrush Data'!$A$1:$A$20000,0),MATCH("Intent",'Semrush Data'!$A$1:$Z$1,0)),"")</f>
        <v/>
      </c>
    </row>
    <row r="1946" ht="15" customHeight="1" s="37">
      <c r="A1946" s="42" t="inlineStr">
        <is>
          <t>buy la maison de la vanille absolu de vanille online</t>
        </is>
      </c>
      <c r="B1946" s="42" t="inlineStr">
        <is>
          <t>Buy online</t>
        </is>
      </c>
      <c r="C1946" s="42" t="n">
        <v>3</v>
      </c>
      <c r="D1946" s="42" t="n">
        <v>20</v>
      </c>
      <c r="E1946" s="42" t="n">
        <v>1</v>
      </c>
      <c r="F1946" s="42" t="inlineStr">
        <is>
          <t>FR-283</t>
        </is>
      </c>
      <c r="G1946" s="55">
        <f>IFERROR(INDEX('Semrush Data'!$A$1:$Z$20000,MATCH(A1946,'Semrush Data'!$A$1:$A$20000,0),MATCH("Volume",'Semrush Data'!$A$1:$Z$1,0)),"")</f>
        <v/>
      </c>
      <c r="H1946" s="42">
        <f>IFERROR(INDEX('Semrush Data'!$A$1:$Z$20000,MATCH(A1946,'Semrush Data'!$A$1:$A$20000,0),MATCH("Keyword Difficulty*",'Semrush Data'!$A$1:$Z$1,0)),"")</f>
        <v/>
      </c>
      <c r="I1946" s="56">
        <f>IFERROR(INDEX('Semrush Data'!$A$1:$Z$20000,MATCH(A1946,'Semrush Data'!$A$1:$A$20000,0),MATCH("CPC*",'Semrush Data'!$A$1:$Z$1,0)),"")</f>
        <v/>
      </c>
      <c r="J1946" s="42">
        <f>IFERROR(INDEX('Semrush Data'!$A$1:$Z$20000,MATCH(A1946,'Semrush Data'!$A$1:$A$20000,0),MATCH("Intent",'Semrush Data'!$A$1:$Z$1,0)),"")</f>
        <v/>
      </c>
    </row>
    <row r="1947" ht="15" customHeight="1" s="37">
      <c r="A1947" s="42" t="inlineStr">
        <is>
          <t>buy la maison de la vanille ambre secret online</t>
        </is>
      </c>
      <c r="B1947" s="42" t="inlineStr">
        <is>
          <t>Buy online</t>
        </is>
      </c>
      <c r="C1947" s="42" t="n">
        <v>3</v>
      </c>
      <c r="D1947" s="42" t="n">
        <v>20</v>
      </c>
      <c r="E1947" s="42" t="n">
        <v>1</v>
      </c>
      <c r="F1947" s="42" t="inlineStr">
        <is>
          <t>FR-284</t>
        </is>
      </c>
      <c r="G1947" s="55">
        <f>IFERROR(INDEX('Semrush Data'!$A$1:$Z$20000,MATCH(A1947,'Semrush Data'!$A$1:$A$20000,0),MATCH("Volume",'Semrush Data'!$A$1:$Z$1,0)),"")</f>
        <v/>
      </c>
      <c r="H1947" s="42">
        <f>IFERROR(INDEX('Semrush Data'!$A$1:$Z$20000,MATCH(A1947,'Semrush Data'!$A$1:$A$20000,0),MATCH("Keyword Difficulty*",'Semrush Data'!$A$1:$Z$1,0)),"")</f>
        <v/>
      </c>
      <c r="I1947" s="56">
        <f>IFERROR(INDEX('Semrush Data'!$A$1:$Z$20000,MATCH(A1947,'Semrush Data'!$A$1:$A$20000,0),MATCH("CPC*",'Semrush Data'!$A$1:$Z$1,0)),"")</f>
        <v/>
      </c>
      <c r="J1947" s="42">
        <f>IFERROR(INDEX('Semrush Data'!$A$1:$Z$20000,MATCH(A1947,'Semrush Data'!$A$1:$A$20000,0),MATCH("Intent",'Semrush Data'!$A$1:$Z$1,0)),"")</f>
        <v/>
      </c>
    </row>
    <row r="1948" ht="15" customHeight="1" s="37">
      <c r="A1948" s="42" t="inlineStr">
        <is>
          <t>buy la maison de la vanille royal oud online</t>
        </is>
      </c>
      <c r="B1948" s="42" t="inlineStr">
        <is>
          <t>Buy online</t>
        </is>
      </c>
      <c r="C1948" s="42" t="n">
        <v>3</v>
      </c>
      <c r="D1948" s="42" t="n">
        <v>20</v>
      </c>
      <c r="E1948" s="42" t="n">
        <v>1</v>
      </c>
      <c r="F1948" s="42" t="inlineStr">
        <is>
          <t>FR-285</t>
        </is>
      </c>
      <c r="G1948" s="55">
        <f>IFERROR(INDEX('Semrush Data'!$A$1:$Z$20000,MATCH(A1948,'Semrush Data'!$A$1:$A$20000,0),MATCH("Volume",'Semrush Data'!$A$1:$Z$1,0)),"")</f>
        <v/>
      </c>
      <c r="H1948" s="42">
        <f>IFERROR(INDEX('Semrush Data'!$A$1:$Z$20000,MATCH(A1948,'Semrush Data'!$A$1:$A$20000,0),MATCH("Keyword Difficulty*",'Semrush Data'!$A$1:$Z$1,0)),"")</f>
        <v/>
      </c>
      <c r="I1948" s="56">
        <f>IFERROR(INDEX('Semrush Data'!$A$1:$Z$20000,MATCH(A1948,'Semrush Data'!$A$1:$A$20000,0),MATCH("CPC*",'Semrush Data'!$A$1:$Z$1,0)),"")</f>
        <v/>
      </c>
      <c r="J1948" s="42">
        <f>IFERROR(INDEX('Semrush Data'!$A$1:$Z$20000,MATCH(A1948,'Semrush Data'!$A$1:$A$20000,0),MATCH("Intent",'Semrush Data'!$A$1:$Z$1,0)),"")</f>
        <v/>
      </c>
    </row>
    <row r="1949" ht="15" customHeight="1" s="37">
      <c r="A1949" s="42" t="inlineStr">
        <is>
          <t>buy la maison de la wooden coffret online</t>
        </is>
      </c>
      <c r="B1949" s="42" t="inlineStr">
        <is>
          <t>Buy online</t>
        </is>
      </c>
      <c r="C1949" s="42" t="n">
        <v>3</v>
      </c>
      <c r="D1949" s="42" t="n">
        <v>20</v>
      </c>
      <c r="E1949" s="42" t="n">
        <v>1</v>
      </c>
      <c r="F1949" s="42" t="inlineStr">
        <is>
          <t>FR-286</t>
        </is>
      </c>
      <c r="G1949" s="55">
        <f>IFERROR(INDEX('Semrush Data'!$A$1:$Z$20000,MATCH(A1949,'Semrush Data'!$A$1:$A$20000,0),MATCH("Volume",'Semrush Data'!$A$1:$Z$1,0)),"")</f>
        <v/>
      </c>
      <c r="H1949" s="42">
        <f>IFERROR(INDEX('Semrush Data'!$A$1:$Z$20000,MATCH(A1949,'Semrush Data'!$A$1:$A$20000,0),MATCH("Keyword Difficulty*",'Semrush Data'!$A$1:$Z$1,0)),"")</f>
        <v/>
      </c>
      <c r="I1949" s="56">
        <f>IFERROR(INDEX('Semrush Data'!$A$1:$Z$20000,MATCH(A1949,'Semrush Data'!$A$1:$A$20000,0),MATCH("CPC*",'Semrush Data'!$A$1:$Z$1,0)),"")</f>
        <v/>
      </c>
      <c r="J1949" s="42">
        <f>IFERROR(INDEX('Semrush Data'!$A$1:$Z$20000,MATCH(A1949,'Semrush Data'!$A$1:$A$20000,0),MATCH("Intent",'Semrush Data'!$A$1:$Z$1,0)),"")</f>
        <v/>
      </c>
    </row>
    <row r="1950" ht="15" customHeight="1" s="37">
      <c r="A1950" s="42" t="inlineStr">
        <is>
          <t>buy lancome idole nectar online</t>
        </is>
      </c>
      <c r="B1950" s="42" t="inlineStr">
        <is>
          <t>Buy online</t>
        </is>
      </c>
      <c r="C1950" s="42" t="n">
        <v>3</v>
      </c>
      <c r="D1950" s="42" t="n">
        <v>20</v>
      </c>
      <c r="E1950" s="42" t="n">
        <v>1</v>
      </c>
      <c r="F1950" s="42" t="inlineStr">
        <is>
          <t>FR-287</t>
        </is>
      </c>
      <c r="G1950" s="55">
        <f>IFERROR(INDEX('Semrush Data'!$A$1:$Z$20000,MATCH(A1950,'Semrush Data'!$A$1:$A$20000,0),MATCH("Volume",'Semrush Data'!$A$1:$Z$1,0)),"")</f>
        <v/>
      </c>
      <c r="H1950" s="42">
        <f>IFERROR(INDEX('Semrush Data'!$A$1:$Z$20000,MATCH(A1950,'Semrush Data'!$A$1:$A$20000,0),MATCH("Keyword Difficulty*",'Semrush Data'!$A$1:$Z$1,0)),"")</f>
        <v/>
      </c>
      <c r="I1950" s="56">
        <f>IFERROR(INDEX('Semrush Data'!$A$1:$Z$20000,MATCH(A1950,'Semrush Data'!$A$1:$A$20000,0),MATCH("CPC*",'Semrush Data'!$A$1:$Z$1,0)),"")</f>
        <v/>
      </c>
      <c r="J1950" s="42">
        <f>IFERROR(INDEX('Semrush Data'!$A$1:$Z$20000,MATCH(A1950,'Semrush Data'!$A$1:$A$20000,0),MATCH("Intent",'Semrush Data'!$A$1:$Z$1,0)),"")</f>
        <v/>
      </c>
    </row>
    <row r="1951" ht="15" customHeight="1" s="37">
      <c r="A1951" s="42" t="inlineStr">
        <is>
          <t>buy lancome idole now florale online</t>
        </is>
      </c>
      <c r="B1951" s="42" t="inlineStr">
        <is>
          <t>Buy online</t>
        </is>
      </c>
      <c r="C1951" s="42" t="n">
        <v>3</v>
      </c>
      <c r="D1951" s="42" t="n">
        <v>20</v>
      </c>
      <c r="E1951" s="42" t="n">
        <v>1</v>
      </c>
      <c r="F1951" s="42" t="inlineStr">
        <is>
          <t>FR-288</t>
        </is>
      </c>
      <c r="G1951" s="55">
        <f>IFERROR(INDEX('Semrush Data'!$A$1:$Z$20000,MATCH(A1951,'Semrush Data'!$A$1:$A$20000,0),MATCH("Volume",'Semrush Data'!$A$1:$Z$1,0)),"")</f>
        <v/>
      </c>
      <c r="H1951" s="42">
        <f>IFERROR(INDEX('Semrush Data'!$A$1:$Z$20000,MATCH(A1951,'Semrush Data'!$A$1:$A$20000,0),MATCH("Keyword Difficulty*",'Semrush Data'!$A$1:$Z$1,0)),"")</f>
        <v/>
      </c>
      <c r="I1951" s="56">
        <f>IFERROR(INDEX('Semrush Data'!$A$1:$Z$20000,MATCH(A1951,'Semrush Data'!$A$1:$A$20000,0),MATCH("CPC*",'Semrush Data'!$A$1:$Z$1,0)),"")</f>
        <v/>
      </c>
      <c r="J1951" s="42">
        <f>IFERROR(INDEX('Semrush Data'!$A$1:$Z$20000,MATCH(A1951,'Semrush Data'!$A$1:$A$20000,0),MATCH("Intent",'Semrush Data'!$A$1:$Z$1,0)),"")</f>
        <v/>
      </c>
    </row>
    <row r="1952" ht="15" customHeight="1" s="37">
      <c r="A1952" s="42" t="inlineStr">
        <is>
          <t>buy maison de milan amalfi bleu online</t>
        </is>
      </c>
      <c r="B1952" s="42" t="inlineStr">
        <is>
          <t>Buy online</t>
        </is>
      </c>
      <c r="C1952" s="42" t="n">
        <v>3</v>
      </c>
      <c r="D1952" s="42" t="n">
        <v>20</v>
      </c>
      <c r="E1952" s="42" t="n">
        <v>1</v>
      </c>
      <c r="F1952" s="42" t="inlineStr">
        <is>
          <t>FR-196</t>
        </is>
      </c>
      <c r="G1952" s="55">
        <f>IFERROR(INDEX('Semrush Data'!$A$1:$Z$20000,MATCH(A1952,'Semrush Data'!$A$1:$A$20000,0),MATCH("Volume",'Semrush Data'!$A$1:$Z$1,0)),"")</f>
        <v/>
      </c>
      <c r="H1952" s="42">
        <f>IFERROR(INDEX('Semrush Data'!$A$1:$Z$20000,MATCH(A1952,'Semrush Data'!$A$1:$A$20000,0),MATCH("Keyword Difficulty*",'Semrush Data'!$A$1:$Z$1,0)),"")</f>
        <v/>
      </c>
      <c r="I1952" s="56">
        <f>IFERROR(INDEX('Semrush Data'!$A$1:$Z$20000,MATCH(A1952,'Semrush Data'!$A$1:$A$20000,0),MATCH("CPC*",'Semrush Data'!$A$1:$Z$1,0)),"")</f>
        <v/>
      </c>
      <c r="J1952" s="42">
        <f>IFERROR(INDEX('Semrush Data'!$A$1:$Z$20000,MATCH(A1952,'Semrush Data'!$A$1:$A$20000,0),MATCH("Intent",'Semrush Data'!$A$1:$Z$1,0)),"")</f>
        <v/>
      </c>
    </row>
    <row r="1953" ht="15" customHeight="1" s="37">
      <c r="A1953" s="42" t="inlineStr">
        <is>
          <t>buy maison de milan bliss rouge online</t>
        </is>
      </c>
      <c r="B1953" s="42" t="inlineStr">
        <is>
          <t>Buy online</t>
        </is>
      </c>
      <c r="C1953" s="42" t="n">
        <v>3</v>
      </c>
      <c r="D1953" s="42" t="n">
        <v>20</v>
      </c>
      <c r="E1953" s="42" t="n">
        <v>1</v>
      </c>
      <c r="F1953" s="42" t="inlineStr">
        <is>
          <t>FR-197</t>
        </is>
      </c>
      <c r="G1953" s="55">
        <f>IFERROR(INDEX('Semrush Data'!$A$1:$Z$20000,MATCH(A1953,'Semrush Data'!$A$1:$A$20000,0),MATCH("Volume",'Semrush Data'!$A$1:$Z$1,0)),"")</f>
        <v/>
      </c>
      <c r="H1953" s="42">
        <f>IFERROR(INDEX('Semrush Data'!$A$1:$Z$20000,MATCH(A1953,'Semrush Data'!$A$1:$A$20000,0),MATCH("Keyword Difficulty*",'Semrush Data'!$A$1:$Z$1,0)),"")</f>
        <v/>
      </c>
      <c r="I1953" s="56">
        <f>IFERROR(INDEX('Semrush Data'!$A$1:$Z$20000,MATCH(A1953,'Semrush Data'!$A$1:$A$20000,0),MATCH("CPC*",'Semrush Data'!$A$1:$Z$1,0)),"")</f>
        <v/>
      </c>
      <c r="J1953" s="42">
        <f>IFERROR(INDEX('Semrush Data'!$A$1:$Z$20000,MATCH(A1953,'Semrush Data'!$A$1:$A$20000,0),MATCH("Intent",'Semrush Data'!$A$1:$Z$1,0)),"")</f>
        <v/>
      </c>
    </row>
    <row r="1954" ht="15" customHeight="1" s="37">
      <c r="A1954" s="42" t="inlineStr">
        <is>
          <t>buy maison de milan brave lad online</t>
        </is>
      </c>
      <c r="B1954" s="42" t="inlineStr">
        <is>
          <t>Buy online</t>
        </is>
      </c>
      <c r="C1954" s="42" t="n">
        <v>3</v>
      </c>
      <c r="D1954" s="42" t="n">
        <v>20</v>
      </c>
      <c r="E1954" s="42" t="n">
        <v>1</v>
      </c>
      <c r="F1954" s="42" t="inlineStr">
        <is>
          <t>FR-198</t>
        </is>
      </c>
      <c r="G1954" s="55">
        <f>IFERROR(INDEX('Semrush Data'!$A$1:$Z$20000,MATCH(A1954,'Semrush Data'!$A$1:$A$20000,0),MATCH("Volume",'Semrush Data'!$A$1:$Z$1,0)),"")</f>
        <v/>
      </c>
      <c r="H1954" s="42">
        <f>IFERROR(INDEX('Semrush Data'!$A$1:$Z$20000,MATCH(A1954,'Semrush Data'!$A$1:$A$20000,0),MATCH("Keyword Difficulty*",'Semrush Data'!$A$1:$Z$1,0)),"")</f>
        <v/>
      </c>
      <c r="I1954" s="56">
        <f>IFERROR(INDEX('Semrush Data'!$A$1:$Z$20000,MATCH(A1954,'Semrush Data'!$A$1:$A$20000,0),MATCH("CPC*",'Semrush Data'!$A$1:$Z$1,0)),"")</f>
        <v/>
      </c>
      <c r="J1954" s="42">
        <f>IFERROR(INDEX('Semrush Data'!$A$1:$Z$20000,MATCH(A1954,'Semrush Data'!$A$1:$A$20000,0),MATCH("Intent",'Semrush Data'!$A$1:$Z$1,0)),"")</f>
        <v/>
      </c>
    </row>
    <row r="1955" ht="15" customHeight="1" s="37">
      <c r="A1955" s="42" t="inlineStr">
        <is>
          <t>buy maison de milan delight pour femme online</t>
        </is>
      </c>
      <c r="B1955" s="42" t="inlineStr">
        <is>
          <t>Buy online</t>
        </is>
      </c>
      <c r="C1955" s="42" t="n">
        <v>3</v>
      </c>
      <c r="D1955" s="42" t="n">
        <v>20</v>
      </c>
      <c r="E1955" s="42" t="n">
        <v>1</v>
      </c>
      <c r="F1955" s="42" t="inlineStr">
        <is>
          <t>FR-199</t>
        </is>
      </c>
      <c r="G1955" s="55">
        <f>IFERROR(INDEX('Semrush Data'!$A$1:$Z$20000,MATCH(A1955,'Semrush Data'!$A$1:$A$20000,0),MATCH("Volume",'Semrush Data'!$A$1:$Z$1,0)),"")</f>
        <v/>
      </c>
      <c r="H1955" s="42">
        <f>IFERROR(INDEX('Semrush Data'!$A$1:$Z$20000,MATCH(A1955,'Semrush Data'!$A$1:$A$20000,0),MATCH("Keyword Difficulty*",'Semrush Data'!$A$1:$Z$1,0)),"")</f>
        <v/>
      </c>
      <c r="I1955" s="56">
        <f>IFERROR(INDEX('Semrush Data'!$A$1:$Z$20000,MATCH(A1955,'Semrush Data'!$A$1:$A$20000,0),MATCH("CPC*",'Semrush Data'!$A$1:$Z$1,0)),"")</f>
        <v/>
      </c>
      <c r="J1955" s="42">
        <f>IFERROR(INDEX('Semrush Data'!$A$1:$Z$20000,MATCH(A1955,'Semrush Data'!$A$1:$A$20000,0),MATCH("Intent",'Semrush Data'!$A$1:$Z$1,0)),"")</f>
        <v/>
      </c>
    </row>
    <row r="1956" ht="15" customHeight="1" s="37">
      <c r="A1956" s="42" t="inlineStr">
        <is>
          <t>buy maison de milan elegance pour femme online</t>
        </is>
      </c>
      <c r="B1956" s="42" t="inlineStr">
        <is>
          <t>Buy online</t>
        </is>
      </c>
      <c r="C1956" s="42" t="n">
        <v>3</v>
      </c>
      <c r="D1956" s="42" t="n">
        <v>20</v>
      </c>
      <c r="E1956" s="42" t="n">
        <v>1</v>
      </c>
      <c r="F1956" s="42" t="inlineStr">
        <is>
          <t>FR-200</t>
        </is>
      </c>
      <c r="G1956" s="55">
        <f>IFERROR(INDEX('Semrush Data'!$A$1:$Z$20000,MATCH(A1956,'Semrush Data'!$A$1:$A$20000,0),MATCH("Volume",'Semrush Data'!$A$1:$Z$1,0)),"")</f>
        <v/>
      </c>
      <c r="H1956" s="42">
        <f>IFERROR(INDEX('Semrush Data'!$A$1:$Z$20000,MATCH(A1956,'Semrush Data'!$A$1:$A$20000,0),MATCH("Keyword Difficulty*",'Semrush Data'!$A$1:$Z$1,0)),"")</f>
        <v/>
      </c>
      <c r="I1956" s="56">
        <f>IFERROR(INDEX('Semrush Data'!$A$1:$Z$20000,MATCH(A1956,'Semrush Data'!$A$1:$A$20000,0),MATCH("CPC*",'Semrush Data'!$A$1:$Z$1,0)),"")</f>
        <v/>
      </c>
      <c r="J1956" s="42">
        <f>IFERROR(INDEX('Semrush Data'!$A$1:$Z$20000,MATCH(A1956,'Semrush Data'!$A$1:$A$20000,0),MATCH("Intent",'Semrush Data'!$A$1:$Z$1,0)),"")</f>
        <v/>
      </c>
    </row>
    <row r="1957" ht="15" customHeight="1" s="37">
      <c r="A1957" s="42" t="inlineStr">
        <is>
          <t>buy maison de milan gossip pour femme online</t>
        </is>
      </c>
      <c r="B1957" s="42" t="inlineStr">
        <is>
          <t>Buy online</t>
        </is>
      </c>
      <c r="C1957" s="42" t="n">
        <v>3</v>
      </c>
      <c r="D1957" s="42" t="n">
        <v>20</v>
      </c>
      <c r="E1957" s="42" t="n">
        <v>1</v>
      </c>
      <c r="F1957" s="42" t="inlineStr">
        <is>
          <t>FR-201</t>
        </is>
      </c>
      <c r="G1957" s="55">
        <f>IFERROR(INDEX('Semrush Data'!$A$1:$Z$20000,MATCH(A1957,'Semrush Data'!$A$1:$A$20000,0),MATCH("Volume",'Semrush Data'!$A$1:$Z$1,0)),"")</f>
        <v/>
      </c>
      <c r="H1957" s="42">
        <f>IFERROR(INDEX('Semrush Data'!$A$1:$Z$20000,MATCH(A1957,'Semrush Data'!$A$1:$A$20000,0),MATCH("Keyword Difficulty*",'Semrush Data'!$A$1:$Z$1,0)),"")</f>
        <v/>
      </c>
      <c r="I1957" s="56">
        <f>IFERROR(INDEX('Semrush Data'!$A$1:$Z$20000,MATCH(A1957,'Semrush Data'!$A$1:$A$20000,0),MATCH("CPC*",'Semrush Data'!$A$1:$Z$1,0)),"")</f>
        <v/>
      </c>
      <c r="J1957" s="42">
        <f>IFERROR(INDEX('Semrush Data'!$A$1:$Z$20000,MATCH(A1957,'Semrush Data'!$A$1:$A$20000,0),MATCH("Intent",'Semrush Data'!$A$1:$Z$1,0)),"")</f>
        <v/>
      </c>
    </row>
    <row r="1958" ht="15" customHeight="1" s="37">
      <c r="A1958" s="42" t="inlineStr">
        <is>
          <t>buy maison de milan invincible online</t>
        </is>
      </c>
      <c r="B1958" s="42" t="inlineStr">
        <is>
          <t>Buy online</t>
        </is>
      </c>
      <c r="C1958" s="42" t="n">
        <v>3</v>
      </c>
      <c r="D1958" s="42" t="n">
        <v>20</v>
      </c>
      <c r="E1958" s="42" t="n">
        <v>1</v>
      </c>
      <c r="F1958" s="42" t="inlineStr">
        <is>
          <t>FR-202</t>
        </is>
      </c>
      <c r="G1958" s="55">
        <f>IFERROR(INDEX('Semrush Data'!$A$1:$Z$20000,MATCH(A1958,'Semrush Data'!$A$1:$A$20000,0),MATCH("Volume",'Semrush Data'!$A$1:$Z$1,0)),"")</f>
        <v/>
      </c>
      <c r="H1958" s="42">
        <f>IFERROR(INDEX('Semrush Data'!$A$1:$Z$20000,MATCH(A1958,'Semrush Data'!$A$1:$A$20000,0),MATCH("Keyword Difficulty*",'Semrush Data'!$A$1:$Z$1,0)),"")</f>
        <v/>
      </c>
      <c r="I1958" s="56">
        <f>IFERROR(INDEX('Semrush Data'!$A$1:$Z$20000,MATCH(A1958,'Semrush Data'!$A$1:$A$20000,0),MATCH("CPC*",'Semrush Data'!$A$1:$Z$1,0)),"")</f>
        <v/>
      </c>
      <c r="J1958" s="42">
        <f>IFERROR(INDEX('Semrush Data'!$A$1:$Z$20000,MATCH(A1958,'Semrush Data'!$A$1:$A$20000,0),MATCH("Intent",'Semrush Data'!$A$1:$Z$1,0)),"")</f>
        <v/>
      </c>
    </row>
    <row r="1959" ht="15" customHeight="1" s="37">
      <c r="A1959" s="42" t="inlineStr">
        <is>
          <t>buy maison de milan l'homme suave online</t>
        </is>
      </c>
      <c r="B1959" s="42" t="inlineStr">
        <is>
          <t>Buy online</t>
        </is>
      </c>
      <c r="C1959" s="42" t="n">
        <v>3</v>
      </c>
      <c r="D1959" s="42" t="n">
        <v>20</v>
      </c>
      <c r="E1959" s="42" t="n">
        <v>1</v>
      </c>
      <c r="F1959" s="42" t="inlineStr">
        <is>
          <t>FR-203</t>
        </is>
      </c>
      <c r="G1959" s="55">
        <f>IFERROR(INDEX('Semrush Data'!$A$1:$Z$20000,MATCH(A1959,'Semrush Data'!$A$1:$A$20000,0),MATCH("Volume",'Semrush Data'!$A$1:$Z$1,0)),"")</f>
        <v/>
      </c>
      <c r="H1959" s="42">
        <f>IFERROR(INDEX('Semrush Data'!$A$1:$Z$20000,MATCH(A1959,'Semrush Data'!$A$1:$A$20000,0),MATCH("Keyword Difficulty*",'Semrush Data'!$A$1:$Z$1,0)),"")</f>
        <v/>
      </c>
      <c r="I1959" s="56">
        <f>IFERROR(INDEX('Semrush Data'!$A$1:$Z$20000,MATCH(A1959,'Semrush Data'!$A$1:$A$20000,0),MATCH("CPC*",'Semrush Data'!$A$1:$Z$1,0)),"")</f>
        <v/>
      </c>
      <c r="J1959" s="42">
        <f>IFERROR(INDEX('Semrush Data'!$A$1:$Z$20000,MATCH(A1959,'Semrush Data'!$A$1:$A$20000,0),MATCH("Intent",'Semrush Data'!$A$1:$Z$1,0)),"")</f>
        <v/>
      </c>
    </row>
    <row r="1960" ht="15" customHeight="1" s="37">
      <c r="A1960" s="42" t="inlineStr">
        <is>
          <t>buy maison de milan m online</t>
        </is>
      </c>
      <c r="B1960" s="42" t="inlineStr">
        <is>
          <t>Buy online</t>
        </is>
      </c>
      <c r="C1960" s="42" t="n">
        <v>3</v>
      </c>
      <c r="D1960" s="42" t="n">
        <v>20</v>
      </c>
      <c r="E1960" s="42" t="n">
        <v>1</v>
      </c>
      <c r="F1960" s="42" t="inlineStr">
        <is>
          <t>FR-204</t>
        </is>
      </c>
      <c r="G1960" s="55">
        <f>IFERROR(INDEX('Semrush Data'!$A$1:$Z$20000,MATCH(A1960,'Semrush Data'!$A$1:$A$20000,0),MATCH("Volume",'Semrush Data'!$A$1:$Z$1,0)),"")</f>
        <v/>
      </c>
      <c r="H1960" s="42">
        <f>IFERROR(INDEX('Semrush Data'!$A$1:$Z$20000,MATCH(A1960,'Semrush Data'!$A$1:$A$20000,0),MATCH("Keyword Difficulty*",'Semrush Data'!$A$1:$Z$1,0)),"")</f>
        <v/>
      </c>
      <c r="I1960" s="56">
        <f>IFERROR(INDEX('Semrush Data'!$A$1:$Z$20000,MATCH(A1960,'Semrush Data'!$A$1:$A$20000,0),MATCH("CPC*",'Semrush Data'!$A$1:$Z$1,0)),"")</f>
        <v/>
      </c>
      <c r="J1960" s="42">
        <f>IFERROR(INDEX('Semrush Data'!$A$1:$Z$20000,MATCH(A1960,'Semrush Data'!$A$1:$A$20000,0),MATCH("Intent",'Semrush Data'!$A$1:$Z$1,0)),"")</f>
        <v/>
      </c>
    </row>
    <row r="1961" ht="15" customHeight="1" s="37">
      <c r="A1961" s="42" t="inlineStr">
        <is>
          <t>buy maison de milan milano girl black online</t>
        </is>
      </c>
      <c r="B1961" s="42" t="inlineStr">
        <is>
          <t>Buy online</t>
        </is>
      </c>
      <c r="C1961" s="42" t="n">
        <v>3</v>
      </c>
      <c r="D1961" s="42" t="n">
        <v>20</v>
      </c>
      <c r="E1961" s="42" t="n">
        <v>1</v>
      </c>
      <c r="F1961" s="42" t="inlineStr">
        <is>
          <t>FR-205</t>
        </is>
      </c>
      <c r="G1961" s="55">
        <f>IFERROR(INDEX('Semrush Data'!$A$1:$Z$20000,MATCH(A1961,'Semrush Data'!$A$1:$A$20000,0),MATCH("Volume",'Semrush Data'!$A$1:$Z$1,0)),"")</f>
        <v/>
      </c>
      <c r="H1961" s="42">
        <f>IFERROR(INDEX('Semrush Data'!$A$1:$Z$20000,MATCH(A1961,'Semrush Data'!$A$1:$A$20000,0),MATCH("Keyword Difficulty*",'Semrush Data'!$A$1:$Z$1,0)),"")</f>
        <v/>
      </c>
      <c r="I1961" s="56">
        <f>IFERROR(INDEX('Semrush Data'!$A$1:$Z$20000,MATCH(A1961,'Semrush Data'!$A$1:$A$20000,0),MATCH("CPC*",'Semrush Data'!$A$1:$Z$1,0)),"")</f>
        <v/>
      </c>
      <c r="J1961" s="42">
        <f>IFERROR(INDEX('Semrush Data'!$A$1:$Z$20000,MATCH(A1961,'Semrush Data'!$A$1:$A$20000,0),MATCH("Intent",'Semrush Data'!$A$1:$Z$1,0)),"")</f>
        <v/>
      </c>
    </row>
    <row r="1962" ht="15" customHeight="1" s="37">
      <c r="A1962" s="42" t="inlineStr">
        <is>
          <t>buy maison de milan milano girl red online</t>
        </is>
      </c>
      <c r="B1962" s="42" t="inlineStr">
        <is>
          <t>Buy online</t>
        </is>
      </c>
      <c r="C1962" s="42" t="n">
        <v>3</v>
      </c>
      <c r="D1962" s="42" t="n">
        <v>20</v>
      </c>
      <c r="E1962" s="42" t="n">
        <v>1</v>
      </c>
      <c r="F1962" s="42" t="inlineStr">
        <is>
          <t>FR-206</t>
        </is>
      </c>
      <c r="G1962" s="55">
        <f>IFERROR(INDEX('Semrush Data'!$A$1:$Z$20000,MATCH(A1962,'Semrush Data'!$A$1:$A$20000,0),MATCH("Volume",'Semrush Data'!$A$1:$Z$1,0)),"")</f>
        <v/>
      </c>
      <c r="H1962" s="42">
        <f>IFERROR(INDEX('Semrush Data'!$A$1:$Z$20000,MATCH(A1962,'Semrush Data'!$A$1:$A$20000,0),MATCH("Keyword Difficulty*",'Semrush Data'!$A$1:$Z$1,0)),"")</f>
        <v/>
      </c>
      <c r="I1962" s="56">
        <f>IFERROR(INDEX('Semrush Data'!$A$1:$Z$20000,MATCH(A1962,'Semrush Data'!$A$1:$A$20000,0),MATCH("CPC*",'Semrush Data'!$A$1:$Z$1,0)),"")</f>
        <v/>
      </c>
      <c r="J1962" s="42">
        <f>IFERROR(INDEX('Semrush Data'!$A$1:$Z$20000,MATCH(A1962,'Semrush Data'!$A$1:$A$20000,0),MATCH("Intent",'Semrush Data'!$A$1:$Z$1,0)),"")</f>
        <v/>
      </c>
    </row>
    <row r="1963" ht="15" customHeight="1" s="37">
      <c r="A1963" s="42" t="inlineStr">
        <is>
          <t>buy maison de milan milano girl white online</t>
        </is>
      </c>
      <c r="B1963" s="42" t="inlineStr">
        <is>
          <t>Buy online</t>
        </is>
      </c>
      <c r="C1963" s="42" t="n">
        <v>3</v>
      </c>
      <c r="D1963" s="42" t="n">
        <v>20</v>
      </c>
      <c r="E1963" s="42" t="n">
        <v>1</v>
      </c>
      <c r="F1963" s="42" t="inlineStr">
        <is>
          <t>FR-207</t>
        </is>
      </c>
      <c r="G1963" s="55">
        <f>IFERROR(INDEX('Semrush Data'!$A$1:$Z$20000,MATCH(A1963,'Semrush Data'!$A$1:$A$20000,0),MATCH("Volume",'Semrush Data'!$A$1:$Z$1,0)),"")</f>
        <v/>
      </c>
      <c r="H1963" s="42">
        <f>IFERROR(INDEX('Semrush Data'!$A$1:$Z$20000,MATCH(A1963,'Semrush Data'!$A$1:$A$20000,0),MATCH("Keyword Difficulty*",'Semrush Data'!$A$1:$Z$1,0)),"")</f>
        <v/>
      </c>
      <c r="I1963" s="56">
        <f>IFERROR(INDEX('Semrush Data'!$A$1:$Z$20000,MATCH(A1963,'Semrush Data'!$A$1:$A$20000,0),MATCH("CPC*",'Semrush Data'!$A$1:$Z$1,0)),"")</f>
        <v/>
      </c>
      <c r="J1963" s="42">
        <f>IFERROR(INDEX('Semrush Data'!$A$1:$Z$20000,MATCH(A1963,'Semrush Data'!$A$1:$A$20000,0),MATCH("Intent",'Semrush Data'!$A$1:$Z$1,0)),"")</f>
        <v/>
      </c>
    </row>
    <row r="1964" ht="15" customHeight="1" s="37">
      <c r="A1964" s="42" t="inlineStr">
        <is>
          <t>buy maison de milan opulent gold online</t>
        </is>
      </c>
      <c r="B1964" s="42" t="inlineStr">
        <is>
          <t>Buy online</t>
        </is>
      </c>
      <c r="C1964" s="42" t="n">
        <v>3</v>
      </c>
      <c r="D1964" s="42" t="n">
        <v>20</v>
      </c>
      <c r="E1964" s="42" t="n">
        <v>1</v>
      </c>
      <c r="F1964" s="42" t="inlineStr">
        <is>
          <t>FR-208</t>
        </is>
      </c>
      <c r="G1964" s="55">
        <f>IFERROR(INDEX('Semrush Data'!$A$1:$Z$20000,MATCH(A1964,'Semrush Data'!$A$1:$A$20000,0),MATCH("Volume",'Semrush Data'!$A$1:$Z$1,0)),"")</f>
        <v/>
      </c>
      <c r="H1964" s="42">
        <f>IFERROR(INDEX('Semrush Data'!$A$1:$Z$20000,MATCH(A1964,'Semrush Data'!$A$1:$A$20000,0),MATCH("Keyword Difficulty*",'Semrush Data'!$A$1:$Z$1,0)),"")</f>
        <v/>
      </c>
      <c r="I1964" s="56">
        <f>IFERROR(INDEX('Semrush Data'!$A$1:$Z$20000,MATCH(A1964,'Semrush Data'!$A$1:$A$20000,0),MATCH("CPC*",'Semrush Data'!$A$1:$Z$1,0)),"")</f>
        <v/>
      </c>
      <c r="J1964" s="42">
        <f>IFERROR(INDEX('Semrush Data'!$A$1:$Z$20000,MATCH(A1964,'Semrush Data'!$A$1:$A$20000,0),MATCH("Intent",'Semrush Data'!$A$1:$Z$1,0)),"")</f>
        <v/>
      </c>
    </row>
    <row r="1965" ht="15" customHeight="1" s="37">
      <c r="A1965" s="42" t="inlineStr">
        <is>
          <t>buy maison de milan valiant pour homme online</t>
        </is>
      </c>
      <c r="B1965" s="42" t="inlineStr">
        <is>
          <t>Buy online</t>
        </is>
      </c>
      <c r="C1965" s="42" t="n">
        <v>3</v>
      </c>
      <c r="D1965" s="42" t="n">
        <v>20</v>
      </c>
      <c r="E1965" s="42" t="n">
        <v>1</v>
      </c>
      <c r="F1965" s="42" t="inlineStr">
        <is>
          <t>FR-209</t>
        </is>
      </c>
      <c r="G1965" s="55">
        <f>IFERROR(INDEX('Semrush Data'!$A$1:$Z$20000,MATCH(A1965,'Semrush Data'!$A$1:$A$20000,0),MATCH("Volume",'Semrush Data'!$A$1:$Z$1,0)),"")</f>
        <v/>
      </c>
      <c r="H1965" s="42">
        <f>IFERROR(INDEX('Semrush Data'!$A$1:$Z$20000,MATCH(A1965,'Semrush Data'!$A$1:$A$20000,0),MATCH("Keyword Difficulty*",'Semrush Data'!$A$1:$Z$1,0)),"")</f>
        <v/>
      </c>
      <c r="I1965" s="56">
        <f>IFERROR(INDEX('Semrush Data'!$A$1:$Z$20000,MATCH(A1965,'Semrush Data'!$A$1:$A$20000,0),MATCH("CPC*",'Semrush Data'!$A$1:$Z$1,0)),"")</f>
        <v/>
      </c>
      <c r="J1965" s="42">
        <f>IFERROR(INDEX('Semrush Data'!$A$1:$Z$20000,MATCH(A1965,'Semrush Data'!$A$1:$A$20000,0),MATCH("Intent",'Semrush Data'!$A$1:$Z$1,0)),"")</f>
        <v/>
      </c>
    </row>
    <row r="1966" ht="15" customHeight="1" s="37">
      <c r="A1966" s="42" t="inlineStr">
        <is>
          <t>buy mancera black noir online</t>
        </is>
      </c>
      <c r="B1966" s="42" t="inlineStr">
        <is>
          <t>Buy online</t>
        </is>
      </c>
      <c r="C1966" s="42" t="n">
        <v>3</v>
      </c>
      <c r="D1966" s="42" t="n">
        <v>20</v>
      </c>
      <c r="E1966" s="42" t="n">
        <v>1</v>
      </c>
      <c r="F1966" s="42" t="inlineStr">
        <is>
          <t>FR-289</t>
        </is>
      </c>
      <c r="G1966" s="55">
        <f>IFERROR(INDEX('Semrush Data'!$A$1:$Z$20000,MATCH(A1966,'Semrush Data'!$A$1:$A$20000,0),MATCH("Volume",'Semrush Data'!$A$1:$Z$1,0)),"")</f>
        <v/>
      </c>
      <c r="H1966" s="42">
        <f>IFERROR(INDEX('Semrush Data'!$A$1:$Z$20000,MATCH(A1966,'Semrush Data'!$A$1:$A$20000,0),MATCH("Keyword Difficulty*",'Semrush Data'!$A$1:$Z$1,0)),"")</f>
        <v/>
      </c>
      <c r="I1966" s="56">
        <f>IFERROR(INDEX('Semrush Data'!$A$1:$Z$20000,MATCH(A1966,'Semrush Data'!$A$1:$A$20000,0),MATCH("CPC*",'Semrush Data'!$A$1:$Z$1,0)),"")</f>
        <v/>
      </c>
      <c r="J1966" s="42">
        <f>IFERROR(INDEX('Semrush Data'!$A$1:$Z$20000,MATCH(A1966,'Semrush Data'!$A$1:$A$20000,0),MATCH("Intent",'Semrush Data'!$A$1:$Z$1,0)),"")</f>
        <v/>
      </c>
    </row>
    <row r="1967" ht="15" customHeight="1" s="37">
      <c r="A1967" s="42" t="inlineStr">
        <is>
          <t>buy mancera intense red tobacco online</t>
        </is>
      </c>
      <c r="B1967" s="42" t="inlineStr">
        <is>
          <t>Buy online</t>
        </is>
      </c>
      <c r="C1967" s="42" t="n">
        <v>3</v>
      </c>
      <c r="D1967" s="42" t="n">
        <v>20</v>
      </c>
      <c r="E1967" s="42" t="n">
        <v>1</v>
      </c>
      <c r="F1967" s="42" t="inlineStr">
        <is>
          <t>FR-290</t>
        </is>
      </c>
      <c r="G1967" s="55">
        <f>IFERROR(INDEX('Semrush Data'!$A$1:$Z$20000,MATCH(A1967,'Semrush Data'!$A$1:$A$20000,0),MATCH("Volume",'Semrush Data'!$A$1:$Z$1,0)),"")</f>
        <v/>
      </c>
      <c r="H1967" s="42">
        <f>IFERROR(INDEX('Semrush Data'!$A$1:$Z$20000,MATCH(A1967,'Semrush Data'!$A$1:$A$20000,0),MATCH("Keyword Difficulty*",'Semrush Data'!$A$1:$Z$1,0)),"")</f>
        <v/>
      </c>
      <c r="I1967" s="56">
        <f>IFERROR(INDEX('Semrush Data'!$A$1:$Z$20000,MATCH(A1967,'Semrush Data'!$A$1:$A$20000,0),MATCH("CPC*",'Semrush Data'!$A$1:$Z$1,0)),"")</f>
        <v/>
      </c>
      <c r="J1967" s="42">
        <f>IFERROR(INDEX('Semrush Data'!$A$1:$Z$20000,MATCH(A1967,'Semrush Data'!$A$1:$A$20000,0),MATCH("Intent",'Semrush Data'!$A$1:$Z$1,0)),"")</f>
        <v/>
      </c>
    </row>
    <row r="1968" ht="15" customHeight="1" s="37">
      <c r="A1968" s="42" t="inlineStr">
        <is>
          <t>buy marc jacobs daisy love glow limited edition online</t>
        </is>
      </c>
      <c r="B1968" s="42" t="inlineStr">
        <is>
          <t>Buy online</t>
        </is>
      </c>
      <c r="C1968" s="42" t="n">
        <v>3</v>
      </c>
      <c r="D1968" s="42" t="n">
        <v>20</v>
      </c>
      <c r="E1968" s="42" t="n">
        <v>1</v>
      </c>
      <c r="F1968" s="42" t="inlineStr">
        <is>
          <t>FR-295</t>
        </is>
      </c>
      <c r="G1968" s="55">
        <f>IFERROR(INDEX('Semrush Data'!$A$1:$Z$20000,MATCH(A1968,'Semrush Data'!$A$1:$A$20000,0),MATCH("Volume",'Semrush Data'!$A$1:$Z$1,0)),"")</f>
        <v/>
      </c>
      <c r="H1968" s="42">
        <f>IFERROR(INDEX('Semrush Data'!$A$1:$Z$20000,MATCH(A1968,'Semrush Data'!$A$1:$A$20000,0),MATCH("Keyword Difficulty*",'Semrush Data'!$A$1:$Z$1,0)),"")</f>
        <v/>
      </c>
      <c r="I1968" s="56">
        <f>IFERROR(INDEX('Semrush Data'!$A$1:$Z$20000,MATCH(A1968,'Semrush Data'!$A$1:$A$20000,0),MATCH("CPC*",'Semrush Data'!$A$1:$Z$1,0)),"")</f>
        <v/>
      </c>
      <c r="J1968" s="42">
        <f>IFERROR(INDEX('Semrush Data'!$A$1:$Z$20000,MATCH(A1968,'Semrush Data'!$A$1:$A$20000,0),MATCH("Intent",'Semrush Data'!$A$1:$Z$1,0)),"")</f>
        <v/>
      </c>
    </row>
    <row r="1969" ht="15" customHeight="1" s="37">
      <c r="A1969" s="42" t="inlineStr">
        <is>
          <t>buy marc jacobs daisy love miniature online</t>
        </is>
      </c>
      <c r="B1969" s="42" t="inlineStr">
        <is>
          <t>Buy online</t>
        </is>
      </c>
      <c r="C1969" s="42" t="n">
        <v>3</v>
      </c>
      <c r="D1969" s="42" t="n">
        <v>20</v>
      </c>
      <c r="E1969" s="42" t="n">
        <v>1</v>
      </c>
      <c r="F1969" s="42" t="inlineStr">
        <is>
          <t>FR-294</t>
        </is>
      </c>
      <c r="G1969" s="55">
        <f>IFERROR(INDEX('Semrush Data'!$A$1:$Z$20000,MATCH(A1969,'Semrush Data'!$A$1:$A$20000,0),MATCH("Volume",'Semrush Data'!$A$1:$Z$1,0)),"")</f>
        <v/>
      </c>
      <c r="H1969" s="42">
        <f>IFERROR(INDEX('Semrush Data'!$A$1:$Z$20000,MATCH(A1969,'Semrush Data'!$A$1:$A$20000,0),MATCH("Keyword Difficulty*",'Semrush Data'!$A$1:$Z$1,0)),"")</f>
        <v/>
      </c>
      <c r="I1969" s="56">
        <f>IFERROR(INDEX('Semrush Data'!$A$1:$Z$20000,MATCH(A1969,'Semrush Data'!$A$1:$A$20000,0),MATCH("CPC*",'Semrush Data'!$A$1:$Z$1,0)),"")</f>
        <v/>
      </c>
      <c r="J1969" s="42">
        <f>IFERROR(INDEX('Semrush Data'!$A$1:$Z$20000,MATCH(A1969,'Semrush Data'!$A$1:$A$20000,0),MATCH("Intent",'Semrush Data'!$A$1:$Z$1,0)),"")</f>
        <v/>
      </c>
    </row>
    <row r="1970" ht="15" customHeight="1" s="37">
      <c r="A1970" s="42" t="inlineStr">
        <is>
          <t>buy marc jacobs honey online</t>
        </is>
      </c>
      <c r="B1970" s="42" t="inlineStr">
        <is>
          <t>Buy online</t>
        </is>
      </c>
      <c r="C1970" s="42" t="n">
        <v>3</v>
      </c>
      <c r="D1970" s="42" t="inlineStr">
        <is>
          <t>T3-1</t>
        </is>
      </c>
      <c r="E1970" s="42" t="n">
        <v>1</v>
      </c>
      <c r="F1970" s="42" t="inlineStr">
        <is>
          <t>FR-291</t>
        </is>
      </c>
      <c r="G1970" s="55">
        <f>IFERROR(INDEX('Semrush Data'!$A$1:$Z$20000,MATCH(A1970,'Semrush Data'!$A$1:$A$20000,0),MATCH("Volume",'Semrush Data'!$A$1:$Z$1,0)),"")</f>
        <v/>
      </c>
      <c r="H1970" s="42">
        <f>IFERROR(INDEX('Semrush Data'!$A$1:$Z$20000,MATCH(A1970,'Semrush Data'!$A$1:$A$20000,0),MATCH("Keyword Difficulty*",'Semrush Data'!$A$1:$Z$1,0)),"")</f>
        <v/>
      </c>
      <c r="I1970" s="56">
        <f>IFERROR(INDEX('Semrush Data'!$A$1:$Z$20000,MATCH(A1970,'Semrush Data'!$A$1:$A$20000,0),MATCH("CPC*",'Semrush Data'!$A$1:$Z$1,0)),"")</f>
        <v/>
      </c>
      <c r="J1970" s="42">
        <f>IFERROR(INDEX('Semrush Data'!$A$1:$Z$20000,MATCH(A1970,'Semrush Data'!$A$1:$A$20000,0),MATCH("Intent",'Semrush Data'!$A$1:$Z$1,0)),"")</f>
        <v/>
      </c>
    </row>
    <row r="1971" ht="15" customHeight="1" s="37">
      <c r="A1971" s="42" t="inlineStr">
        <is>
          <t>buy marc jacobs miniature gift set 2025 online</t>
        </is>
      </c>
      <c r="B1971" s="42" t="inlineStr">
        <is>
          <t>Buy online</t>
        </is>
      </c>
      <c r="C1971" s="42" t="n">
        <v>3</v>
      </c>
      <c r="D1971" s="42" t="n">
        <v>20</v>
      </c>
      <c r="E1971" s="42" t="n">
        <v>1</v>
      </c>
      <c r="F1971" s="42" t="inlineStr">
        <is>
          <t>FR-297</t>
        </is>
      </c>
      <c r="G1971" s="55">
        <f>IFERROR(INDEX('Semrush Data'!$A$1:$Z$20000,MATCH(A1971,'Semrush Data'!$A$1:$A$20000,0),MATCH("Volume",'Semrush Data'!$A$1:$Z$1,0)),"")</f>
        <v/>
      </c>
      <c r="H1971" s="42">
        <f>IFERROR(INDEX('Semrush Data'!$A$1:$Z$20000,MATCH(A1971,'Semrush Data'!$A$1:$A$20000,0),MATCH("Keyword Difficulty*",'Semrush Data'!$A$1:$Z$1,0)),"")</f>
        <v/>
      </c>
      <c r="I1971" s="56">
        <f>IFERROR(INDEX('Semrush Data'!$A$1:$Z$20000,MATCH(A1971,'Semrush Data'!$A$1:$A$20000,0),MATCH("CPC*",'Semrush Data'!$A$1:$Z$1,0)),"")</f>
        <v/>
      </c>
      <c r="J1971" s="42">
        <f>IFERROR(INDEX('Semrush Data'!$A$1:$Z$20000,MATCH(A1971,'Semrush Data'!$A$1:$A$20000,0),MATCH("Intent",'Semrush Data'!$A$1:$Z$1,0)),"")</f>
        <v/>
      </c>
    </row>
    <row r="1972" ht="15" customHeight="1" s="37">
      <c r="A1972" s="42" t="inlineStr">
        <is>
          <t>buy marc jacobs perfect elixir miniature online</t>
        </is>
      </c>
      <c r="B1972" s="42" t="inlineStr">
        <is>
          <t>Buy online</t>
        </is>
      </c>
      <c r="C1972" s="42" t="n">
        <v>3</v>
      </c>
      <c r="D1972" s="42" t="n">
        <v>20</v>
      </c>
      <c r="E1972" s="42" t="n">
        <v>1</v>
      </c>
      <c r="F1972" s="42" t="inlineStr">
        <is>
          <t>FR-293</t>
        </is>
      </c>
      <c r="G1972" s="55">
        <f>IFERROR(INDEX('Semrush Data'!$A$1:$Z$20000,MATCH(A1972,'Semrush Data'!$A$1:$A$20000,0),MATCH("Volume",'Semrush Data'!$A$1:$Z$1,0)),"")</f>
        <v/>
      </c>
      <c r="H1972" s="42">
        <f>IFERROR(INDEX('Semrush Data'!$A$1:$Z$20000,MATCH(A1972,'Semrush Data'!$A$1:$A$20000,0),MATCH("Keyword Difficulty*",'Semrush Data'!$A$1:$Z$1,0)),"")</f>
        <v/>
      </c>
      <c r="I1972" s="56">
        <f>IFERROR(INDEX('Semrush Data'!$A$1:$Z$20000,MATCH(A1972,'Semrush Data'!$A$1:$A$20000,0),MATCH("CPC*",'Semrush Data'!$A$1:$Z$1,0)),"")</f>
        <v/>
      </c>
      <c r="J1972" s="42">
        <f>IFERROR(INDEX('Semrush Data'!$A$1:$Z$20000,MATCH(A1972,'Semrush Data'!$A$1:$A$20000,0),MATCH("Intent",'Semrush Data'!$A$1:$Z$1,0)),"")</f>
        <v/>
      </c>
    </row>
    <row r="1973" ht="15" customHeight="1" s="37">
      <c r="A1973" s="42" t="inlineStr">
        <is>
          <t>buy marc jacobs perfect miniature online</t>
        </is>
      </c>
      <c r="B1973" s="42" t="inlineStr">
        <is>
          <t>Buy online</t>
        </is>
      </c>
      <c r="C1973" s="42" t="n">
        <v>3</v>
      </c>
      <c r="D1973" s="42" t="n">
        <v>20</v>
      </c>
      <c r="E1973" s="42" t="n">
        <v>1</v>
      </c>
      <c r="F1973" s="42" t="inlineStr">
        <is>
          <t>FR-296</t>
        </is>
      </c>
      <c r="G1973" s="55">
        <f>IFERROR(INDEX('Semrush Data'!$A$1:$Z$20000,MATCH(A1973,'Semrush Data'!$A$1:$A$20000,0),MATCH("Volume",'Semrush Data'!$A$1:$Z$1,0)),"")</f>
        <v/>
      </c>
      <c r="H1973" s="42">
        <f>IFERROR(INDEX('Semrush Data'!$A$1:$Z$20000,MATCH(A1973,'Semrush Data'!$A$1:$A$20000,0),MATCH("Keyword Difficulty*",'Semrush Data'!$A$1:$Z$1,0)),"")</f>
        <v/>
      </c>
      <c r="I1973" s="56">
        <f>IFERROR(INDEX('Semrush Data'!$A$1:$Z$20000,MATCH(A1973,'Semrush Data'!$A$1:$A$20000,0),MATCH("CPC*",'Semrush Data'!$A$1:$Z$1,0)),"")</f>
        <v/>
      </c>
      <c r="J1973" s="42">
        <f>IFERROR(INDEX('Semrush Data'!$A$1:$Z$20000,MATCH(A1973,'Semrush Data'!$A$1:$A$20000,0),MATCH("Intent",'Semrush Data'!$A$1:$Z$1,0)),"")</f>
        <v/>
      </c>
    </row>
    <row r="1974" ht="15" customHeight="1" s="37">
      <c r="A1974" s="42" t="inlineStr">
        <is>
          <t>buy marc jacobs perfect online</t>
        </is>
      </c>
      <c r="B1974" s="42" t="inlineStr">
        <is>
          <t>Buy online</t>
        </is>
      </c>
      <c r="C1974" s="42" t="n">
        <v>3</v>
      </c>
      <c r="D1974" s="42" t="inlineStr">
        <is>
          <t>T3-1</t>
        </is>
      </c>
      <c r="E1974" s="42" t="n">
        <v>1</v>
      </c>
      <c r="F1974" s="42" t="inlineStr">
        <is>
          <t>FR-292</t>
        </is>
      </c>
      <c r="G1974" s="55">
        <f>IFERROR(INDEX('Semrush Data'!$A$1:$Z$20000,MATCH(A1974,'Semrush Data'!$A$1:$A$20000,0),MATCH("Volume",'Semrush Data'!$A$1:$Z$1,0)),"")</f>
        <v/>
      </c>
      <c r="H1974" s="42">
        <f>IFERROR(INDEX('Semrush Data'!$A$1:$Z$20000,MATCH(A1974,'Semrush Data'!$A$1:$A$20000,0),MATCH("Keyword Difficulty*",'Semrush Data'!$A$1:$Z$1,0)),"")</f>
        <v/>
      </c>
      <c r="I1974" s="56">
        <f>IFERROR(INDEX('Semrush Data'!$A$1:$Z$20000,MATCH(A1974,'Semrush Data'!$A$1:$A$20000,0),MATCH("CPC*",'Semrush Data'!$A$1:$Z$1,0)),"")</f>
        <v/>
      </c>
      <c r="J1974" s="42">
        <f>IFERROR(INDEX('Semrush Data'!$A$1:$Z$20000,MATCH(A1974,'Semrush Data'!$A$1:$A$20000,0),MATCH("Intent",'Semrush Data'!$A$1:$Z$1,0)),"")</f>
        <v/>
      </c>
    </row>
    <row r="1975" ht="15" customHeight="1" s="37">
      <c r="A1975" s="42" t="inlineStr">
        <is>
          <t>buy montale aoud damascus online</t>
        </is>
      </c>
      <c r="B1975" s="42" t="inlineStr">
        <is>
          <t>Buy online</t>
        </is>
      </c>
      <c r="C1975" s="42" t="n">
        <v>3</v>
      </c>
      <c r="D1975" s="42" t="n">
        <v>20</v>
      </c>
      <c r="E1975" s="42" t="n">
        <v>1</v>
      </c>
      <c r="F1975" s="42" t="inlineStr">
        <is>
          <t>FR-298</t>
        </is>
      </c>
      <c r="G1975" s="55">
        <f>IFERROR(INDEX('Semrush Data'!$A$1:$Z$20000,MATCH(A1975,'Semrush Data'!$A$1:$A$20000,0),MATCH("Volume",'Semrush Data'!$A$1:$Z$1,0)),"")</f>
        <v/>
      </c>
      <c r="H1975" s="42">
        <f>IFERROR(INDEX('Semrush Data'!$A$1:$Z$20000,MATCH(A1975,'Semrush Data'!$A$1:$A$20000,0),MATCH("Keyword Difficulty*",'Semrush Data'!$A$1:$Z$1,0)),"")</f>
        <v/>
      </c>
      <c r="I1975" s="56">
        <f>IFERROR(INDEX('Semrush Data'!$A$1:$Z$20000,MATCH(A1975,'Semrush Data'!$A$1:$A$20000,0),MATCH("CPC*",'Semrush Data'!$A$1:$Z$1,0)),"")</f>
        <v/>
      </c>
      <c r="J1975" s="42">
        <f>IFERROR(INDEX('Semrush Data'!$A$1:$Z$20000,MATCH(A1975,'Semrush Data'!$A$1:$A$20000,0),MATCH("Intent",'Semrush Data'!$A$1:$Z$1,0)),"")</f>
        <v/>
      </c>
    </row>
    <row r="1976" ht="15" customHeight="1" s="37">
      <c r="A1976" s="42" t="inlineStr">
        <is>
          <t>buy montale aoud safran online</t>
        </is>
      </c>
      <c r="B1976" s="42" t="inlineStr">
        <is>
          <t>Buy online</t>
        </is>
      </c>
      <c r="C1976" s="42" t="n">
        <v>3</v>
      </c>
      <c r="D1976" s="42" t="n">
        <v>20</v>
      </c>
      <c r="E1976" s="42" t="n">
        <v>1</v>
      </c>
      <c r="F1976" s="42" t="inlineStr">
        <is>
          <t>FR-299</t>
        </is>
      </c>
      <c r="G1976" s="55">
        <f>IFERROR(INDEX('Semrush Data'!$A$1:$Z$20000,MATCH(A1976,'Semrush Data'!$A$1:$A$20000,0),MATCH("Volume",'Semrush Data'!$A$1:$Z$1,0)),"")</f>
        <v/>
      </c>
      <c r="H1976" s="42">
        <f>IFERROR(INDEX('Semrush Data'!$A$1:$Z$20000,MATCH(A1976,'Semrush Data'!$A$1:$A$20000,0),MATCH("Keyword Difficulty*",'Semrush Data'!$A$1:$Z$1,0)),"")</f>
        <v/>
      </c>
      <c r="I1976" s="56">
        <f>IFERROR(INDEX('Semrush Data'!$A$1:$Z$20000,MATCH(A1976,'Semrush Data'!$A$1:$A$20000,0),MATCH("CPC*",'Semrush Data'!$A$1:$Z$1,0)),"")</f>
        <v/>
      </c>
      <c r="J1976" s="42">
        <f>IFERROR(INDEX('Semrush Data'!$A$1:$Z$20000,MATCH(A1976,'Semrush Data'!$A$1:$A$20000,0),MATCH("Intent",'Semrush Data'!$A$1:$Z$1,0)),"")</f>
        <v/>
      </c>
    </row>
    <row r="1977" ht="15" customHeight="1" s="37">
      <c r="A1977" s="42" t="inlineStr">
        <is>
          <t>buy nina ricci l'air du temps online</t>
        </is>
      </c>
      <c r="B1977" s="42" t="inlineStr">
        <is>
          <t>Buy online</t>
        </is>
      </c>
      <c r="C1977" s="42" t="n">
        <v>3</v>
      </c>
      <c r="D1977" s="42" t="inlineStr">
        <is>
          <t>T3-1</t>
        </is>
      </c>
      <c r="E1977" s="42" t="n">
        <v>2</v>
      </c>
      <c r="F1977" s="42" t="inlineStr">
        <is>
          <t>FR-302, FR-303</t>
        </is>
      </c>
      <c r="G1977" s="55">
        <f>IFERROR(INDEX('Semrush Data'!$A$1:$Z$20000,MATCH(A1977,'Semrush Data'!$A$1:$A$20000,0),MATCH("Volume",'Semrush Data'!$A$1:$Z$1,0)),"")</f>
        <v/>
      </c>
      <c r="H1977" s="42">
        <f>IFERROR(INDEX('Semrush Data'!$A$1:$Z$20000,MATCH(A1977,'Semrush Data'!$A$1:$A$20000,0),MATCH("Keyword Difficulty*",'Semrush Data'!$A$1:$Z$1,0)),"")</f>
        <v/>
      </c>
      <c r="I1977" s="56">
        <f>IFERROR(INDEX('Semrush Data'!$A$1:$Z$20000,MATCH(A1977,'Semrush Data'!$A$1:$A$20000,0),MATCH("CPC*",'Semrush Data'!$A$1:$Z$1,0)),"")</f>
        <v/>
      </c>
      <c r="J1977" s="42">
        <f>IFERROR(INDEX('Semrush Data'!$A$1:$Z$20000,MATCH(A1977,'Semrush Data'!$A$1:$A$20000,0),MATCH("Intent",'Semrush Data'!$A$1:$Z$1,0)),"")</f>
        <v/>
      </c>
    </row>
    <row r="1978" ht="15" customHeight="1" s="37">
      <c r="A1978" s="42" t="inlineStr">
        <is>
          <t>buy nina ricci nina illusion online</t>
        </is>
      </c>
      <c r="B1978" s="42" t="inlineStr">
        <is>
          <t>Buy online</t>
        </is>
      </c>
      <c r="C1978" s="42" t="n">
        <v>3</v>
      </c>
      <c r="D1978" s="42" t="n">
        <v>20</v>
      </c>
      <c r="E1978" s="42" t="n">
        <v>1</v>
      </c>
      <c r="F1978" s="42" t="inlineStr">
        <is>
          <t>FR-300</t>
        </is>
      </c>
      <c r="G1978" s="55">
        <f>IFERROR(INDEX('Semrush Data'!$A$1:$Z$20000,MATCH(A1978,'Semrush Data'!$A$1:$A$20000,0),MATCH("Volume",'Semrush Data'!$A$1:$Z$1,0)),"")</f>
        <v/>
      </c>
      <c r="H1978" s="42">
        <f>IFERROR(INDEX('Semrush Data'!$A$1:$Z$20000,MATCH(A1978,'Semrush Data'!$A$1:$A$20000,0),MATCH("Keyword Difficulty*",'Semrush Data'!$A$1:$Z$1,0)),"")</f>
        <v/>
      </c>
      <c r="I1978" s="56">
        <f>IFERROR(INDEX('Semrush Data'!$A$1:$Z$20000,MATCH(A1978,'Semrush Data'!$A$1:$A$20000,0),MATCH("CPC*",'Semrush Data'!$A$1:$Z$1,0)),"")</f>
        <v/>
      </c>
      <c r="J1978" s="42">
        <f>IFERROR(INDEX('Semrush Data'!$A$1:$Z$20000,MATCH(A1978,'Semrush Data'!$A$1:$A$20000,0),MATCH("Intent",'Semrush Data'!$A$1:$Z$1,0)),"")</f>
        <v/>
      </c>
    </row>
    <row r="1979" ht="15" customHeight="1" s="37">
      <c r="A1979" s="42" t="inlineStr">
        <is>
          <t>buy nina ricci nina precious gold online</t>
        </is>
      </c>
      <c r="B1979" s="42" t="inlineStr">
        <is>
          <t>Buy online</t>
        </is>
      </c>
      <c r="C1979" s="42" t="n">
        <v>3</v>
      </c>
      <c r="D1979" s="42" t="n">
        <v>20</v>
      </c>
      <c r="E1979" s="42" t="n">
        <v>1</v>
      </c>
      <c r="F1979" s="42" t="inlineStr">
        <is>
          <t>FR-301</t>
        </is>
      </c>
      <c r="G1979" s="55">
        <f>IFERROR(INDEX('Semrush Data'!$A$1:$Z$20000,MATCH(A1979,'Semrush Data'!$A$1:$A$20000,0),MATCH("Volume",'Semrush Data'!$A$1:$Z$1,0)),"")</f>
        <v/>
      </c>
      <c r="H1979" s="42">
        <f>IFERROR(INDEX('Semrush Data'!$A$1:$Z$20000,MATCH(A1979,'Semrush Data'!$A$1:$A$20000,0),MATCH("Keyword Difficulty*",'Semrush Data'!$A$1:$Z$1,0)),"")</f>
        <v/>
      </c>
      <c r="I1979" s="56">
        <f>IFERROR(INDEX('Semrush Data'!$A$1:$Z$20000,MATCH(A1979,'Semrush Data'!$A$1:$A$20000,0),MATCH("CPC*",'Semrush Data'!$A$1:$Z$1,0)),"")</f>
        <v/>
      </c>
      <c r="J1979" s="42">
        <f>IFERROR(INDEX('Semrush Data'!$A$1:$Z$20000,MATCH(A1979,'Semrush Data'!$A$1:$A$20000,0),MATCH("Intent",'Semrush Data'!$A$1:$Z$1,0)),"")</f>
        <v/>
      </c>
    </row>
    <row r="1980" ht="15" customHeight="1" s="37">
      <c r="A1980" s="42" t="inlineStr">
        <is>
          <t>buy paloma picasso online</t>
        </is>
      </c>
      <c r="B1980" s="42" t="inlineStr">
        <is>
          <t>Buy online</t>
        </is>
      </c>
      <c r="C1980" s="42" t="n">
        <v>3</v>
      </c>
      <c r="D1980" s="42" t="inlineStr">
        <is>
          <t>T3-1</t>
        </is>
      </c>
      <c r="E1980" s="42" t="n">
        <v>1</v>
      </c>
      <c r="F1980" s="42" t="inlineStr">
        <is>
          <t>FR-304</t>
        </is>
      </c>
      <c r="G1980" s="55">
        <f>IFERROR(INDEX('Semrush Data'!$A$1:$Z$20000,MATCH(A1980,'Semrush Data'!$A$1:$A$20000,0),MATCH("Volume",'Semrush Data'!$A$1:$Z$1,0)),"")</f>
        <v/>
      </c>
      <c r="H1980" s="42">
        <f>IFERROR(INDEX('Semrush Data'!$A$1:$Z$20000,MATCH(A1980,'Semrush Data'!$A$1:$A$20000,0),MATCH("Keyword Difficulty*",'Semrush Data'!$A$1:$Z$1,0)),"")</f>
        <v/>
      </c>
      <c r="I1980" s="56">
        <f>IFERROR(INDEX('Semrush Data'!$A$1:$Z$20000,MATCH(A1980,'Semrush Data'!$A$1:$A$20000,0),MATCH("CPC*",'Semrush Data'!$A$1:$Z$1,0)),"")</f>
        <v/>
      </c>
      <c r="J1980" s="42">
        <f>IFERROR(INDEX('Semrush Data'!$A$1:$Z$20000,MATCH(A1980,'Semrush Data'!$A$1:$A$20000,0),MATCH("Intent",'Semrush Data'!$A$1:$Z$1,0)),"")</f>
        <v/>
      </c>
    </row>
    <row r="1981" ht="15" customHeight="1" s="37">
      <c r="A1981" s="42" t="inlineStr">
        <is>
          <t>buy philipp plein no limits after shave balm online</t>
        </is>
      </c>
      <c r="B1981" s="42" t="inlineStr">
        <is>
          <t>Buy online</t>
        </is>
      </c>
      <c r="C1981" s="42" t="n">
        <v>3</v>
      </c>
      <c r="D1981" s="42" t="n">
        <v>20</v>
      </c>
      <c r="E1981" s="42" t="n">
        <v>1</v>
      </c>
      <c r="F1981" s="42" t="inlineStr">
        <is>
          <t>FR-307</t>
        </is>
      </c>
      <c r="G1981" s="55">
        <f>IFERROR(INDEX('Semrush Data'!$A$1:$Z$20000,MATCH(A1981,'Semrush Data'!$A$1:$A$20000,0),MATCH("Volume",'Semrush Data'!$A$1:$Z$1,0)),"")</f>
        <v/>
      </c>
      <c r="H1981" s="42">
        <f>IFERROR(INDEX('Semrush Data'!$A$1:$Z$20000,MATCH(A1981,'Semrush Data'!$A$1:$A$20000,0),MATCH("Keyword Difficulty*",'Semrush Data'!$A$1:$Z$1,0)),"")</f>
        <v/>
      </c>
      <c r="I1981" s="56">
        <f>IFERROR(INDEX('Semrush Data'!$A$1:$Z$20000,MATCH(A1981,'Semrush Data'!$A$1:$A$20000,0),MATCH("CPC*",'Semrush Data'!$A$1:$Z$1,0)),"")</f>
        <v/>
      </c>
      <c r="J1981" s="42">
        <f>IFERROR(INDEX('Semrush Data'!$A$1:$Z$20000,MATCH(A1981,'Semrush Data'!$A$1:$A$20000,0),MATCH("Intent",'Semrush Data'!$A$1:$Z$1,0)),"")</f>
        <v/>
      </c>
    </row>
    <row r="1982" ht="15" customHeight="1" s="37">
      <c r="A1982" s="42" t="inlineStr">
        <is>
          <t>buy philipp plein no limits deodorant stick online</t>
        </is>
      </c>
      <c r="B1982" s="42" t="inlineStr">
        <is>
          <t>Buy online</t>
        </is>
      </c>
      <c r="C1982" s="42" t="n">
        <v>3</v>
      </c>
      <c r="D1982" s="42" t="n">
        <v>20</v>
      </c>
      <c r="E1982" s="42" t="n">
        <v>1</v>
      </c>
      <c r="F1982" s="42" t="inlineStr">
        <is>
          <t>FR-305</t>
        </is>
      </c>
      <c r="G1982" s="55">
        <f>IFERROR(INDEX('Semrush Data'!$A$1:$Z$20000,MATCH(A1982,'Semrush Data'!$A$1:$A$20000,0),MATCH("Volume",'Semrush Data'!$A$1:$Z$1,0)),"")</f>
        <v/>
      </c>
      <c r="H1982" s="42">
        <f>IFERROR(INDEX('Semrush Data'!$A$1:$Z$20000,MATCH(A1982,'Semrush Data'!$A$1:$A$20000,0),MATCH("Keyword Difficulty*",'Semrush Data'!$A$1:$Z$1,0)),"")</f>
        <v/>
      </c>
      <c r="I1982" s="56">
        <f>IFERROR(INDEX('Semrush Data'!$A$1:$Z$20000,MATCH(A1982,'Semrush Data'!$A$1:$A$20000,0),MATCH("CPC*",'Semrush Data'!$A$1:$Z$1,0)),"")</f>
        <v/>
      </c>
      <c r="J1982" s="42">
        <f>IFERROR(INDEX('Semrush Data'!$A$1:$Z$20000,MATCH(A1982,'Semrush Data'!$A$1:$A$20000,0),MATCH("Intent",'Semrush Data'!$A$1:$Z$1,0)),"")</f>
        <v/>
      </c>
    </row>
    <row r="1983" ht="15" customHeight="1" s="37">
      <c r="A1983" s="42" t="inlineStr">
        <is>
          <t>buy philipp plein no limits super fresh online</t>
        </is>
      </c>
      <c r="B1983" s="42" t="inlineStr">
        <is>
          <t>Buy online</t>
        </is>
      </c>
      <c r="C1983" s="42" t="n">
        <v>3</v>
      </c>
      <c r="D1983" s="42" t="n">
        <v>20</v>
      </c>
      <c r="E1983" s="42" t="n">
        <v>1</v>
      </c>
      <c r="F1983" s="42" t="inlineStr">
        <is>
          <t>FR-306</t>
        </is>
      </c>
      <c r="G1983" s="55">
        <f>IFERROR(INDEX('Semrush Data'!$A$1:$Z$20000,MATCH(A1983,'Semrush Data'!$A$1:$A$20000,0),MATCH("Volume",'Semrush Data'!$A$1:$Z$1,0)),"")</f>
        <v/>
      </c>
      <c r="H1983" s="42">
        <f>IFERROR(INDEX('Semrush Data'!$A$1:$Z$20000,MATCH(A1983,'Semrush Data'!$A$1:$A$20000,0),MATCH("Keyword Difficulty*",'Semrush Data'!$A$1:$Z$1,0)),"")</f>
        <v/>
      </c>
      <c r="I1983" s="56">
        <f>IFERROR(INDEX('Semrush Data'!$A$1:$Z$20000,MATCH(A1983,'Semrush Data'!$A$1:$A$20000,0),MATCH("CPC*",'Semrush Data'!$A$1:$Z$1,0)),"")</f>
        <v/>
      </c>
      <c r="J1983" s="42">
        <f>IFERROR(INDEX('Semrush Data'!$A$1:$Z$20000,MATCH(A1983,'Semrush Data'!$A$1:$A$20000,0),MATCH("Intent",'Semrush Data'!$A$1:$Z$1,0)),"")</f>
        <v/>
      </c>
    </row>
    <row r="1984" ht="15" customHeight="1" s="37">
      <c r="A1984" s="42" t="inlineStr">
        <is>
          <t>buy rihanah ajwaa oud online</t>
        </is>
      </c>
      <c r="B1984" s="42" t="inlineStr">
        <is>
          <t>Buy online</t>
        </is>
      </c>
      <c r="C1984" s="42" t="n">
        <v>3</v>
      </c>
      <c r="D1984" s="42" t="n">
        <v>20</v>
      </c>
      <c r="E1984" s="42" t="n">
        <v>1</v>
      </c>
      <c r="F1984" s="42" t="inlineStr">
        <is>
          <t>FR-308</t>
        </is>
      </c>
      <c r="G1984" s="55">
        <f>IFERROR(INDEX('Semrush Data'!$A$1:$Z$20000,MATCH(A1984,'Semrush Data'!$A$1:$A$20000,0),MATCH("Volume",'Semrush Data'!$A$1:$Z$1,0)),"")</f>
        <v/>
      </c>
      <c r="H1984" s="42">
        <f>IFERROR(INDEX('Semrush Data'!$A$1:$Z$20000,MATCH(A1984,'Semrush Data'!$A$1:$A$20000,0),MATCH("Keyword Difficulty*",'Semrush Data'!$A$1:$Z$1,0)),"")</f>
        <v/>
      </c>
      <c r="I1984" s="56">
        <f>IFERROR(INDEX('Semrush Data'!$A$1:$Z$20000,MATCH(A1984,'Semrush Data'!$A$1:$A$20000,0),MATCH("CPC*",'Semrush Data'!$A$1:$Z$1,0)),"")</f>
        <v/>
      </c>
      <c r="J1984" s="42">
        <f>IFERROR(INDEX('Semrush Data'!$A$1:$Z$20000,MATCH(A1984,'Semrush Data'!$A$1:$A$20000,0),MATCH("Intent",'Semrush Data'!$A$1:$Z$1,0)),"")</f>
        <v/>
      </c>
    </row>
    <row r="1985" ht="15" customHeight="1" s="37">
      <c r="A1985" s="42" t="inlineStr">
        <is>
          <t>buy roll it 1 online</t>
        </is>
      </c>
      <c r="B1985" s="42" t="inlineStr">
        <is>
          <t>Buy online</t>
        </is>
      </c>
      <c r="C1985" s="42" t="n">
        <v>3</v>
      </c>
      <c r="D1985" s="42" t="n">
        <v>20</v>
      </c>
      <c r="E1985" s="42" t="n">
        <v>1</v>
      </c>
      <c r="F1985" s="42" t="inlineStr">
        <is>
          <t>FR-210</t>
        </is>
      </c>
      <c r="G1985" s="55">
        <f>IFERROR(INDEX('Semrush Data'!$A$1:$Z$20000,MATCH(A1985,'Semrush Data'!$A$1:$A$20000,0),MATCH("Volume",'Semrush Data'!$A$1:$Z$1,0)),"")</f>
        <v/>
      </c>
      <c r="H1985" s="42">
        <f>IFERROR(INDEX('Semrush Data'!$A$1:$Z$20000,MATCH(A1985,'Semrush Data'!$A$1:$A$20000,0),MATCH("Keyword Difficulty*",'Semrush Data'!$A$1:$Z$1,0)),"")</f>
        <v/>
      </c>
      <c r="I1985" s="56">
        <f>IFERROR(INDEX('Semrush Data'!$A$1:$Z$20000,MATCH(A1985,'Semrush Data'!$A$1:$A$20000,0),MATCH("CPC*",'Semrush Data'!$A$1:$Z$1,0)),"")</f>
        <v/>
      </c>
      <c r="J1985" s="42">
        <f>IFERROR(INDEX('Semrush Data'!$A$1:$Z$20000,MATCH(A1985,'Semrush Data'!$A$1:$A$20000,0),MATCH("Intent",'Semrush Data'!$A$1:$Z$1,0)),"")</f>
        <v/>
      </c>
    </row>
    <row r="1986" ht="15" customHeight="1" s="37">
      <c r="A1986" s="42" t="inlineStr">
        <is>
          <t>buy s.t. dupont perfect tobacco online</t>
        </is>
      </c>
      <c r="B1986" s="42" t="inlineStr">
        <is>
          <t>Buy online</t>
        </is>
      </c>
      <c r="C1986" s="42" t="n">
        <v>3</v>
      </c>
      <c r="D1986" s="42" t="n">
        <v>20</v>
      </c>
      <c r="E1986" s="42" t="n">
        <v>1</v>
      </c>
      <c r="F1986" s="42" t="inlineStr">
        <is>
          <t>FR-309</t>
        </is>
      </c>
      <c r="G1986" s="55">
        <f>IFERROR(INDEX('Semrush Data'!$A$1:$Z$20000,MATCH(A1986,'Semrush Data'!$A$1:$A$20000,0),MATCH("Volume",'Semrush Data'!$A$1:$Z$1,0)),"")</f>
        <v/>
      </c>
      <c r="H1986" s="42">
        <f>IFERROR(INDEX('Semrush Data'!$A$1:$Z$20000,MATCH(A1986,'Semrush Data'!$A$1:$A$20000,0),MATCH("Keyword Difficulty*",'Semrush Data'!$A$1:$Z$1,0)),"")</f>
        <v/>
      </c>
      <c r="I1986" s="56">
        <f>IFERROR(INDEX('Semrush Data'!$A$1:$Z$20000,MATCH(A1986,'Semrush Data'!$A$1:$A$20000,0),MATCH("CPC*",'Semrush Data'!$A$1:$Z$1,0)),"")</f>
        <v/>
      </c>
      <c r="J1986" s="42">
        <f>IFERROR(INDEX('Semrush Data'!$A$1:$Z$20000,MATCH(A1986,'Semrush Data'!$A$1:$A$20000,0),MATCH("Intent",'Semrush Data'!$A$1:$Z$1,0)),"")</f>
        <v/>
      </c>
    </row>
    <row r="1987" ht="15" customHeight="1" s="37">
      <c r="A1987" s="42" t="inlineStr">
        <is>
          <t>buy s.t. dupont pure bloom online</t>
        </is>
      </c>
      <c r="B1987" s="42" t="inlineStr">
        <is>
          <t>Buy online</t>
        </is>
      </c>
      <c r="C1987" s="42" t="n">
        <v>3</v>
      </c>
      <c r="D1987" s="42" t="n">
        <v>20</v>
      </c>
      <c r="E1987" s="42" t="n">
        <v>1</v>
      </c>
      <c r="F1987" s="42" t="inlineStr">
        <is>
          <t>FR-310</t>
        </is>
      </c>
      <c r="G1987" s="55">
        <f>IFERROR(INDEX('Semrush Data'!$A$1:$Z$20000,MATCH(A1987,'Semrush Data'!$A$1:$A$20000,0),MATCH("Volume",'Semrush Data'!$A$1:$Z$1,0)),"")</f>
        <v/>
      </c>
      <c r="H1987" s="42">
        <f>IFERROR(INDEX('Semrush Data'!$A$1:$Z$20000,MATCH(A1987,'Semrush Data'!$A$1:$A$20000,0),MATCH("Keyword Difficulty*",'Semrush Data'!$A$1:$Z$1,0)),"")</f>
        <v/>
      </c>
      <c r="I1987" s="56">
        <f>IFERROR(INDEX('Semrush Data'!$A$1:$Z$20000,MATCH(A1987,'Semrush Data'!$A$1:$A$20000,0),MATCH("CPC*",'Semrush Data'!$A$1:$Z$1,0)),"")</f>
        <v/>
      </c>
      <c r="J1987" s="42">
        <f>IFERROR(INDEX('Semrush Data'!$A$1:$Z$20000,MATCH(A1987,'Semrush Data'!$A$1:$A$20000,0),MATCH("Intent",'Semrush Data'!$A$1:$Z$1,0)),"")</f>
        <v/>
      </c>
    </row>
    <row r="1988" ht="15" customHeight="1" s="37">
      <c r="A1988" s="42" t="inlineStr">
        <is>
          <t>buy s.t. dupont royal amber online</t>
        </is>
      </c>
      <c r="B1988" s="42" t="inlineStr">
        <is>
          <t>Buy online</t>
        </is>
      </c>
      <c r="C1988" s="42" t="n">
        <v>3</v>
      </c>
      <c r="D1988" s="42" t="n">
        <v>20</v>
      </c>
      <c r="E1988" s="42" t="n">
        <v>1</v>
      </c>
      <c r="F1988" s="42" t="inlineStr">
        <is>
          <t>FR-311</t>
        </is>
      </c>
      <c r="G1988" s="55">
        <f>IFERROR(INDEX('Semrush Data'!$A$1:$Z$20000,MATCH(A1988,'Semrush Data'!$A$1:$A$20000,0),MATCH("Volume",'Semrush Data'!$A$1:$Z$1,0)),"")</f>
        <v/>
      </c>
      <c r="H1988" s="42">
        <f>IFERROR(INDEX('Semrush Data'!$A$1:$Z$20000,MATCH(A1988,'Semrush Data'!$A$1:$A$20000,0),MATCH("Keyword Difficulty*",'Semrush Data'!$A$1:$Z$1,0)),"")</f>
        <v/>
      </c>
      <c r="I1988" s="56">
        <f>IFERROR(INDEX('Semrush Data'!$A$1:$Z$20000,MATCH(A1988,'Semrush Data'!$A$1:$A$20000,0),MATCH("CPC*",'Semrush Data'!$A$1:$Z$1,0)),"")</f>
        <v/>
      </c>
      <c r="J1988" s="42">
        <f>IFERROR(INDEX('Semrush Data'!$A$1:$Z$20000,MATCH(A1988,'Semrush Data'!$A$1:$A$20000,0),MATCH("Intent",'Semrush Data'!$A$1:$Z$1,0)),"")</f>
        <v/>
      </c>
    </row>
    <row r="1989" ht="15" customHeight="1" s="37">
      <c r="A1989" s="42" t="inlineStr">
        <is>
          <t>buy sap le roi online</t>
        </is>
      </c>
      <c r="B1989" s="42" t="inlineStr">
        <is>
          <t>Buy online</t>
        </is>
      </c>
      <c r="C1989" s="42" t="n">
        <v>3</v>
      </c>
      <c r="D1989" s="42" t="n">
        <v>20</v>
      </c>
      <c r="E1989" s="42" t="n">
        <v>1</v>
      </c>
      <c r="F1989" s="42" t="inlineStr">
        <is>
          <t>FR-312</t>
        </is>
      </c>
      <c r="G1989" s="55">
        <f>IFERROR(INDEX('Semrush Data'!$A$1:$Z$20000,MATCH(A1989,'Semrush Data'!$A$1:$A$20000,0),MATCH("Volume",'Semrush Data'!$A$1:$Z$1,0)),"")</f>
        <v/>
      </c>
      <c r="H1989" s="42">
        <f>IFERROR(INDEX('Semrush Data'!$A$1:$Z$20000,MATCH(A1989,'Semrush Data'!$A$1:$A$20000,0),MATCH("Keyword Difficulty*",'Semrush Data'!$A$1:$Z$1,0)),"")</f>
        <v/>
      </c>
      <c r="I1989" s="56">
        <f>IFERROR(INDEX('Semrush Data'!$A$1:$Z$20000,MATCH(A1989,'Semrush Data'!$A$1:$A$20000,0),MATCH("CPC*",'Semrush Data'!$A$1:$Z$1,0)),"")</f>
        <v/>
      </c>
      <c r="J1989" s="42">
        <f>IFERROR(INDEX('Semrush Data'!$A$1:$Z$20000,MATCH(A1989,'Semrush Data'!$A$1:$A$20000,0),MATCH("Intent",'Semrush Data'!$A$1:$Z$1,0)),"")</f>
        <v/>
      </c>
    </row>
    <row r="1990" ht="15" customHeight="1" s="37">
      <c r="A1990" s="42" t="inlineStr">
        <is>
          <t>buy sap oud leopard fr online</t>
        </is>
      </c>
      <c r="B1990" s="42" t="inlineStr">
        <is>
          <t>Buy online</t>
        </is>
      </c>
      <c r="C1990" s="42" t="n">
        <v>3</v>
      </c>
      <c r="D1990" s="42" t="n">
        <v>20</v>
      </c>
      <c r="E1990" s="42" t="n">
        <v>1</v>
      </c>
      <c r="F1990" s="42" t="inlineStr">
        <is>
          <t>FR-313</t>
        </is>
      </c>
      <c r="G1990" s="55">
        <f>IFERROR(INDEX('Semrush Data'!$A$1:$Z$20000,MATCH(A1990,'Semrush Data'!$A$1:$A$20000,0),MATCH("Volume",'Semrush Data'!$A$1:$Z$1,0)),"")</f>
        <v/>
      </c>
      <c r="H1990" s="42">
        <f>IFERROR(INDEX('Semrush Data'!$A$1:$Z$20000,MATCH(A1990,'Semrush Data'!$A$1:$A$20000,0),MATCH("Keyword Difficulty*",'Semrush Data'!$A$1:$Z$1,0)),"")</f>
        <v/>
      </c>
      <c r="I1990" s="56">
        <f>IFERROR(INDEX('Semrush Data'!$A$1:$Z$20000,MATCH(A1990,'Semrush Data'!$A$1:$A$20000,0),MATCH("CPC*",'Semrush Data'!$A$1:$Z$1,0)),"")</f>
        <v/>
      </c>
      <c r="J1990" s="42">
        <f>IFERROR(INDEX('Semrush Data'!$A$1:$Z$20000,MATCH(A1990,'Semrush Data'!$A$1:$A$20000,0),MATCH("Intent",'Semrush Data'!$A$1:$Z$1,0)),"")</f>
        <v/>
      </c>
    </row>
    <row r="1991" ht="15" customHeight="1" s="37">
      <c r="A1991" s="42" t="inlineStr">
        <is>
          <t>buy sap patchouli intense online</t>
        </is>
      </c>
      <c r="B1991" s="42" t="inlineStr">
        <is>
          <t>Buy online</t>
        </is>
      </c>
      <c r="C1991" s="42" t="n">
        <v>3</v>
      </c>
      <c r="D1991" s="42" t="n">
        <v>20</v>
      </c>
      <c r="E1991" s="42" t="n">
        <v>1</v>
      </c>
      <c r="F1991" s="42" t="inlineStr">
        <is>
          <t>FR-314</t>
        </is>
      </c>
      <c r="G1991" s="55">
        <f>IFERROR(INDEX('Semrush Data'!$A$1:$Z$20000,MATCH(A1991,'Semrush Data'!$A$1:$A$20000,0),MATCH("Volume",'Semrush Data'!$A$1:$Z$1,0)),"")</f>
        <v/>
      </c>
      <c r="H1991" s="42">
        <f>IFERROR(INDEX('Semrush Data'!$A$1:$Z$20000,MATCH(A1991,'Semrush Data'!$A$1:$A$20000,0),MATCH("Keyword Difficulty*",'Semrush Data'!$A$1:$Z$1,0)),"")</f>
        <v/>
      </c>
      <c r="I1991" s="56">
        <f>IFERROR(INDEX('Semrush Data'!$A$1:$Z$20000,MATCH(A1991,'Semrush Data'!$A$1:$A$20000,0),MATCH("CPC*",'Semrush Data'!$A$1:$Z$1,0)),"")</f>
        <v/>
      </c>
      <c r="J1991" s="42">
        <f>IFERROR(INDEX('Semrush Data'!$A$1:$Z$20000,MATCH(A1991,'Semrush Data'!$A$1:$A$20000,0),MATCH("Intent",'Semrush Data'!$A$1:$Z$1,0)),"")</f>
        <v/>
      </c>
    </row>
    <row r="1992" ht="15" customHeight="1" s="37">
      <c r="A1992" s="42" t="inlineStr">
        <is>
          <t>buy sap saffron oud online</t>
        </is>
      </c>
      <c r="B1992" s="42" t="inlineStr">
        <is>
          <t>Buy online</t>
        </is>
      </c>
      <c r="C1992" s="42" t="n">
        <v>3</v>
      </c>
      <c r="D1992" s="42" t="n">
        <v>20</v>
      </c>
      <c r="E1992" s="42" t="n">
        <v>1</v>
      </c>
      <c r="F1992" s="42" t="inlineStr">
        <is>
          <t>FR-315</t>
        </is>
      </c>
      <c r="G1992" s="55">
        <f>IFERROR(INDEX('Semrush Data'!$A$1:$Z$20000,MATCH(A1992,'Semrush Data'!$A$1:$A$20000,0),MATCH("Volume",'Semrush Data'!$A$1:$Z$1,0)),"")</f>
        <v/>
      </c>
      <c r="H1992" s="42">
        <f>IFERROR(INDEX('Semrush Data'!$A$1:$Z$20000,MATCH(A1992,'Semrush Data'!$A$1:$A$20000,0),MATCH("Keyword Difficulty*",'Semrush Data'!$A$1:$Z$1,0)),"")</f>
        <v/>
      </c>
      <c r="I1992" s="56">
        <f>IFERROR(INDEX('Semrush Data'!$A$1:$Z$20000,MATCH(A1992,'Semrush Data'!$A$1:$A$20000,0),MATCH("CPC*",'Semrush Data'!$A$1:$Z$1,0)),"")</f>
        <v/>
      </c>
      <c r="J1992" s="42">
        <f>IFERROR(INDEX('Semrush Data'!$A$1:$Z$20000,MATCH(A1992,'Semrush Data'!$A$1:$A$20000,0),MATCH("Intent",'Semrush Data'!$A$1:$Z$1,0)),"")</f>
        <v/>
      </c>
    </row>
    <row r="1993" ht="15" customHeight="1" s="37">
      <c r="A1993" s="42" t="inlineStr">
        <is>
          <t>buy sap vert club online</t>
        </is>
      </c>
      <c r="B1993" s="42" t="inlineStr">
        <is>
          <t>Buy online</t>
        </is>
      </c>
      <c r="C1993" s="42" t="n">
        <v>3</v>
      </c>
      <c r="D1993" s="42" t="n">
        <v>20</v>
      </c>
      <c r="E1993" s="42" t="n">
        <v>1</v>
      </c>
      <c r="F1993" s="42" t="inlineStr">
        <is>
          <t>FR-316</t>
        </is>
      </c>
      <c r="G1993" s="55">
        <f>IFERROR(INDEX('Semrush Data'!$A$1:$Z$20000,MATCH(A1993,'Semrush Data'!$A$1:$A$20000,0),MATCH("Volume",'Semrush Data'!$A$1:$Z$1,0)),"")</f>
        <v/>
      </c>
      <c r="H1993" s="42">
        <f>IFERROR(INDEX('Semrush Data'!$A$1:$Z$20000,MATCH(A1993,'Semrush Data'!$A$1:$A$20000,0),MATCH("Keyword Difficulty*",'Semrush Data'!$A$1:$Z$1,0)),"")</f>
        <v/>
      </c>
      <c r="I1993" s="56">
        <f>IFERROR(INDEX('Semrush Data'!$A$1:$Z$20000,MATCH(A1993,'Semrush Data'!$A$1:$A$20000,0),MATCH("CPC*",'Semrush Data'!$A$1:$Z$1,0)),"")</f>
        <v/>
      </c>
      <c r="J1993" s="42">
        <f>IFERROR(INDEX('Semrush Data'!$A$1:$Z$20000,MATCH(A1993,'Semrush Data'!$A$1:$A$20000,0),MATCH("Intent",'Semrush Data'!$A$1:$Z$1,0)),"")</f>
        <v/>
      </c>
    </row>
    <row r="1994" ht="15" customHeight="1" s="37">
      <c r="A1994" s="42" t="inlineStr">
        <is>
          <t>buy serge lutens la fille de berlin online</t>
        </is>
      </c>
      <c r="B1994" s="42" t="inlineStr">
        <is>
          <t>Buy online</t>
        </is>
      </c>
      <c r="C1994" s="42" t="n">
        <v>3</v>
      </c>
      <c r="D1994" s="42" t="n">
        <v>20</v>
      </c>
      <c r="E1994" s="42" t="n">
        <v>1</v>
      </c>
      <c r="F1994" s="42" t="inlineStr">
        <is>
          <t>FR-317</t>
        </is>
      </c>
      <c r="G1994" s="55">
        <f>IFERROR(INDEX('Semrush Data'!$A$1:$Z$20000,MATCH(A1994,'Semrush Data'!$A$1:$A$20000,0),MATCH("Volume",'Semrush Data'!$A$1:$Z$1,0)),"")</f>
        <v/>
      </c>
      <c r="H1994" s="42">
        <f>IFERROR(INDEX('Semrush Data'!$A$1:$Z$20000,MATCH(A1994,'Semrush Data'!$A$1:$A$20000,0),MATCH("Keyword Difficulty*",'Semrush Data'!$A$1:$Z$1,0)),"")</f>
        <v/>
      </c>
      <c r="I1994" s="56">
        <f>IFERROR(INDEX('Semrush Data'!$A$1:$Z$20000,MATCH(A1994,'Semrush Data'!$A$1:$A$20000,0),MATCH("CPC*",'Semrush Data'!$A$1:$Z$1,0)),"")</f>
        <v/>
      </c>
      <c r="J1994" s="42">
        <f>IFERROR(INDEX('Semrush Data'!$A$1:$Z$20000,MATCH(A1994,'Semrush Data'!$A$1:$A$20000,0),MATCH("Intent",'Semrush Data'!$A$1:$Z$1,0)),"")</f>
        <v/>
      </c>
    </row>
    <row r="1995" ht="15" customHeight="1" s="37">
      <c r="A1995" s="42" t="inlineStr">
        <is>
          <t>buy shiseido zen online</t>
        </is>
      </c>
      <c r="B1995" s="42" t="inlineStr">
        <is>
          <t>Buy online</t>
        </is>
      </c>
      <c r="C1995" s="42" t="n">
        <v>3</v>
      </c>
      <c r="D1995" s="42" t="n">
        <v>20</v>
      </c>
      <c r="E1995" s="42" t="n">
        <v>1</v>
      </c>
      <c r="F1995" s="42" t="inlineStr">
        <is>
          <t>FR-318</t>
        </is>
      </c>
      <c r="G1995" s="55">
        <f>IFERROR(INDEX('Semrush Data'!$A$1:$Z$20000,MATCH(A1995,'Semrush Data'!$A$1:$A$20000,0),MATCH("Volume",'Semrush Data'!$A$1:$Z$1,0)),"")</f>
        <v/>
      </c>
      <c r="H1995" s="42">
        <f>IFERROR(INDEX('Semrush Data'!$A$1:$Z$20000,MATCH(A1995,'Semrush Data'!$A$1:$A$20000,0),MATCH("Keyword Difficulty*",'Semrush Data'!$A$1:$Z$1,0)),"")</f>
        <v/>
      </c>
      <c r="I1995" s="56">
        <f>IFERROR(INDEX('Semrush Data'!$A$1:$Z$20000,MATCH(A1995,'Semrush Data'!$A$1:$A$20000,0),MATCH("CPC*",'Semrush Data'!$A$1:$Z$1,0)),"")</f>
        <v/>
      </c>
      <c r="J1995" s="42">
        <f>IFERROR(INDEX('Semrush Data'!$A$1:$Z$20000,MATCH(A1995,'Semrush Data'!$A$1:$A$20000,0),MATCH("Intent",'Semrush Data'!$A$1:$Z$1,0)),"")</f>
        <v/>
      </c>
    </row>
    <row r="1996" ht="15" customHeight="1" s="37">
      <c r="A1996" s="42" t="inlineStr">
        <is>
          <t>buy signature ambre online</t>
        </is>
      </c>
      <c r="B1996" s="42" t="inlineStr">
        <is>
          <t>Buy online</t>
        </is>
      </c>
      <c r="C1996" s="42" t="n">
        <v>3</v>
      </c>
      <c r="D1996" s="42" t="n">
        <v>20</v>
      </c>
      <c r="E1996" s="42" t="n">
        <v>1</v>
      </c>
      <c r="F1996" s="42" t="inlineStr">
        <is>
          <t>FR-319</t>
        </is>
      </c>
      <c r="G1996" s="55">
        <f>IFERROR(INDEX('Semrush Data'!$A$1:$Z$20000,MATCH(A1996,'Semrush Data'!$A$1:$A$20000,0),MATCH("Volume",'Semrush Data'!$A$1:$Z$1,0)),"")</f>
        <v/>
      </c>
      <c r="H1996" s="42">
        <f>IFERROR(INDEX('Semrush Data'!$A$1:$Z$20000,MATCH(A1996,'Semrush Data'!$A$1:$A$20000,0),MATCH("Keyword Difficulty*",'Semrush Data'!$A$1:$Z$1,0)),"")</f>
        <v/>
      </c>
      <c r="I1996" s="56">
        <f>IFERROR(INDEX('Semrush Data'!$A$1:$Z$20000,MATCH(A1996,'Semrush Data'!$A$1:$A$20000,0),MATCH("CPC*",'Semrush Data'!$A$1:$Z$1,0)),"")</f>
        <v/>
      </c>
      <c r="J1996" s="42">
        <f>IFERROR(INDEX('Semrush Data'!$A$1:$Z$20000,MATCH(A1996,'Semrush Data'!$A$1:$A$20000,0),MATCH("Intent",'Semrush Data'!$A$1:$Z$1,0)),"")</f>
        <v/>
      </c>
    </row>
    <row r="1997" ht="15" customHeight="1" s="37">
      <c r="A1997" s="42" t="inlineStr">
        <is>
          <t>buy signature aura online</t>
        </is>
      </c>
      <c r="B1997" s="42" t="inlineStr">
        <is>
          <t>Buy online</t>
        </is>
      </c>
      <c r="C1997" s="42" t="n">
        <v>3</v>
      </c>
      <c r="D1997" s="42" t="n">
        <v>20</v>
      </c>
      <c r="E1997" s="42" t="n">
        <v>1</v>
      </c>
      <c r="F1997" s="42" t="inlineStr">
        <is>
          <t>FR-320</t>
        </is>
      </c>
      <c r="G1997" s="55">
        <f>IFERROR(INDEX('Semrush Data'!$A$1:$Z$20000,MATCH(A1997,'Semrush Data'!$A$1:$A$20000,0),MATCH("Volume",'Semrush Data'!$A$1:$Z$1,0)),"")</f>
        <v/>
      </c>
      <c r="H1997" s="42">
        <f>IFERROR(INDEX('Semrush Data'!$A$1:$Z$20000,MATCH(A1997,'Semrush Data'!$A$1:$A$20000,0),MATCH("Keyword Difficulty*",'Semrush Data'!$A$1:$Z$1,0)),"")</f>
        <v/>
      </c>
      <c r="I1997" s="56">
        <f>IFERROR(INDEX('Semrush Data'!$A$1:$Z$20000,MATCH(A1997,'Semrush Data'!$A$1:$A$20000,0),MATCH("CPC*",'Semrush Data'!$A$1:$Z$1,0)),"")</f>
        <v/>
      </c>
      <c r="J1997" s="42">
        <f>IFERROR(INDEX('Semrush Data'!$A$1:$Z$20000,MATCH(A1997,'Semrush Data'!$A$1:$A$20000,0),MATCH("Intent",'Semrush Data'!$A$1:$Z$1,0)),"")</f>
        <v/>
      </c>
    </row>
    <row r="1998" ht="15" customHeight="1" s="37">
      <c r="A1998" s="42" t="inlineStr">
        <is>
          <t>buy signature black pour homme online</t>
        </is>
      </c>
      <c r="B1998" s="42" t="inlineStr">
        <is>
          <t>Buy online</t>
        </is>
      </c>
      <c r="C1998" s="42" t="n">
        <v>3</v>
      </c>
      <c r="D1998" s="42" t="n">
        <v>20</v>
      </c>
      <c r="E1998" s="42" t="n">
        <v>1</v>
      </c>
      <c r="F1998" s="42" t="inlineStr">
        <is>
          <t>FR-321</t>
        </is>
      </c>
      <c r="G1998" s="55">
        <f>IFERROR(INDEX('Semrush Data'!$A$1:$Z$20000,MATCH(A1998,'Semrush Data'!$A$1:$A$20000,0),MATCH("Volume",'Semrush Data'!$A$1:$Z$1,0)),"")</f>
        <v/>
      </c>
      <c r="H1998" s="42">
        <f>IFERROR(INDEX('Semrush Data'!$A$1:$Z$20000,MATCH(A1998,'Semrush Data'!$A$1:$A$20000,0),MATCH("Keyword Difficulty*",'Semrush Data'!$A$1:$Z$1,0)),"")</f>
        <v/>
      </c>
      <c r="I1998" s="56">
        <f>IFERROR(INDEX('Semrush Data'!$A$1:$Z$20000,MATCH(A1998,'Semrush Data'!$A$1:$A$20000,0),MATCH("CPC*",'Semrush Data'!$A$1:$Z$1,0)),"")</f>
        <v/>
      </c>
      <c r="J1998" s="42">
        <f>IFERROR(INDEX('Semrush Data'!$A$1:$Z$20000,MATCH(A1998,'Semrush Data'!$A$1:$A$20000,0),MATCH("Intent",'Semrush Data'!$A$1:$Z$1,0)),"")</f>
        <v/>
      </c>
    </row>
    <row r="1999" ht="15" customHeight="1" s="37">
      <c r="A1999" s="42" t="inlineStr">
        <is>
          <t>buy signature blue online</t>
        </is>
      </c>
      <c r="B1999" s="42" t="inlineStr">
        <is>
          <t>Buy online</t>
        </is>
      </c>
      <c r="C1999" s="42" t="n">
        <v>3</v>
      </c>
      <c r="D1999" s="42" t="n">
        <v>20</v>
      </c>
      <c r="E1999" s="42" t="n">
        <v>1</v>
      </c>
      <c r="F1999" s="42" t="inlineStr">
        <is>
          <t>FR-332</t>
        </is>
      </c>
      <c r="G1999" s="55">
        <f>IFERROR(INDEX('Semrush Data'!$A$1:$Z$20000,MATCH(A1999,'Semrush Data'!$A$1:$A$20000,0),MATCH("Volume",'Semrush Data'!$A$1:$Z$1,0)),"")</f>
        <v/>
      </c>
      <c r="H1999" s="42">
        <f>IFERROR(INDEX('Semrush Data'!$A$1:$Z$20000,MATCH(A1999,'Semrush Data'!$A$1:$A$20000,0),MATCH("Keyword Difficulty*",'Semrush Data'!$A$1:$Z$1,0)),"")</f>
        <v/>
      </c>
      <c r="I1999" s="56">
        <f>IFERROR(INDEX('Semrush Data'!$A$1:$Z$20000,MATCH(A1999,'Semrush Data'!$A$1:$A$20000,0),MATCH("CPC*",'Semrush Data'!$A$1:$Z$1,0)),"")</f>
        <v/>
      </c>
      <c r="J1999" s="42">
        <f>IFERROR(INDEX('Semrush Data'!$A$1:$Z$20000,MATCH(A1999,'Semrush Data'!$A$1:$A$20000,0),MATCH("Intent",'Semrush Data'!$A$1:$Z$1,0)),"")</f>
        <v/>
      </c>
    </row>
    <row r="2000" ht="15" customHeight="1" s="37">
      <c r="A2000" s="42" t="inlineStr">
        <is>
          <t>buy signature charm online</t>
        </is>
      </c>
      <c r="B2000" s="42" t="inlineStr">
        <is>
          <t>Buy online</t>
        </is>
      </c>
      <c r="C2000" s="42" t="n">
        <v>3</v>
      </c>
      <c r="D2000" s="42" t="n">
        <v>20</v>
      </c>
      <c r="E2000" s="42" t="n">
        <v>1</v>
      </c>
      <c r="F2000" s="42" t="inlineStr">
        <is>
          <t>FR-322</t>
        </is>
      </c>
      <c r="G2000" s="55">
        <f>IFERROR(INDEX('Semrush Data'!$A$1:$Z$20000,MATCH(A2000,'Semrush Data'!$A$1:$A$20000,0),MATCH("Volume",'Semrush Data'!$A$1:$Z$1,0)),"")</f>
        <v/>
      </c>
      <c r="H2000" s="42">
        <f>IFERROR(INDEX('Semrush Data'!$A$1:$Z$20000,MATCH(A2000,'Semrush Data'!$A$1:$A$20000,0),MATCH("Keyword Difficulty*",'Semrush Data'!$A$1:$Z$1,0)),"")</f>
        <v/>
      </c>
      <c r="I2000" s="56">
        <f>IFERROR(INDEX('Semrush Data'!$A$1:$Z$20000,MATCH(A2000,'Semrush Data'!$A$1:$A$20000,0),MATCH("CPC*",'Semrush Data'!$A$1:$Z$1,0)),"")</f>
        <v/>
      </c>
      <c r="J2000" s="42">
        <f>IFERROR(INDEX('Semrush Data'!$A$1:$Z$20000,MATCH(A2000,'Semrush Data'!$A$1:$A$20000,0),MATCH("Intent",'Semrush Data'!$A$1:$Z$1,0)),"")</f>
        <v/>
      </c>
    </row>
    <row r="2001" ht="15" customHeight="1" s="37">
      <c r="A2001" s="42" t="inlineStr">
        <is>
          <t>buy signature diamond online</t>
        </is>
      </c>
      <c r="B2001" s="42" t="inlineStr">
        <is>
          <t>Buy online</t>
        </is>
      </c>
      <c r="C2001" s="42" t="n">
        <v>3</v>
      </c>
      <c r="D2001" s="42" t="n">
        <v>20</v>
      </c>
      <c r="E2001" s="42" t="n">
        <v>1</v>
      </c>
      <c r="F2001" s="42" t="inlineStr">
        <is>
          <t>FR-330</t>
        </is>
      </c>
      <c r="G2001" s="55">
        <f>IFERROR(INDEX('Semrush Data'!$A$1:$Z$20000,MATCH(A2001,'Semrush Data'!$A$1:$A$20000,0),MATCH("Volume",'Semrush Data'!$A$1:$Z$1,0)),"")</f>
        <v/>
      </c>
      <c r="H2001" s="42">
        <f>IFERROR(INDEX('Semrush Data'!$A$1:$Z$20000,MATCH(A2001,'Semrush Data'!$A$1:$A$20000,0),MATCH("Keyword Difficulty*",'Semrush Data'!$A$1:$Z$1,0)),"")</f>
        <v/>
      </c>
      <c r="I2001" s="56">
        <f>IFERROR(INDEX('Semrush Data'!$A$1:$Z$20000,MATCH(A2001,'Semrush Data'!$A$1:$A$20000,0),MATCH("CPC*",'Semrush Data'!$A$1:$Z$1,0)),"")</f>
        <v/>
      </c>
      <c r="J2001" s="42">
        <f>IFERROR(INDEX('Semrush Data'!$A$1:$Z$20000,MATCH(A2001,'Semrush Data'!$A$1:$A$20000,0),MATCH("Intent",'Semrush Data'!$A$1:$Z$1,0)),"")</f>
        <v/>
      </c>
    </row>
    <row r="2002" ht="15" customHeight="1" s="37">
      <c r="A2002" s="42" t="inlineStr">
        <is>
          <t>buy signature discovery set online</t>
        </is>
      </c>
      <c r="B2002" s="42" t="inlineStr">
        <is>
          <t>Buy online</t>
        </is>
      </c>
      <c r="C2002" s="42" t="n">
        <v>3</v>
      </c>
      <c r="D2002" s="42" t="n">
        <v>21</v>
      </c>
      <c r="E2002" s="42" t="n">
        <v>1</v>
      </c>
      <c r="F2002" s="42" t="inlineStr">
        <is>
          <t>FR-331</t>
        </is>
      </c>
      <c r="G2002" s="55">
        <f>IFERROR(INDEX('Semrush Data'!$A$1:$Z$20000,MATCH(A2002,'Semrush Data'!$A$1:$A$20000,0),MATCH("Volume",'Semrush Data'!$A$1:$Z$1,0)),"")</f>
        <v/>
      </c>
      <c r="H2002" s="42">
        <f>IFERROR(INDEX('Semrush Data'!$A$1:$Z$20000,MATCH(A2002,'Semrush Data'!$A$1:$A$20000,0),MATCH("Keyword Difficulty*",'Semrush Data'!$A$1:$Z$1,0)),"")</f>
        <v/>
      </c>
      <c r="I2002" s="56">
        <f>IFERROR(INDEX('Semrush Data'!$A$1:$Z$20000,MATCH(A2002,'Semrush Data'!$A$1:$A$20000,0),MATCH("CPC*",'Semrush Data'!$A$1:$Z$1,0)),"")</f>
        <v/>
      </c>
      <c r="J2002" s="42">
        <f>IFERROR(INDEX('Semrush Data'!$A$1:$Z$20000,MATCH(A2002,'Semrush Data'!$A$1:$A$20000,0),MATCH("Intent",'Semrush Data'!$A$1:$Z$1,0)),"")</f>
        <v/>
      </c>
    </row>
    <row r="2003" ht="15" customHeight="1" s="37">
      <c r="A2003" s="42" t="inlineStr">
        <is>
          <t>buy signature jade online</t>
        </is>
      </c>
      <c r="B2003" s="42" t="inlineStr">
        <is>
          <t>Buy online</t>
        </is>
      </c>
      <c r="C2003" s="42" t="n">
        <v>3</v>
      </c>
      <c r="D2003" s="42" t="n">
        <v>21</v>
      </c>
      <c r="E2003" s="42" t="n">
        <v>1</v>
      </c>
      <c r="F2003" s="42" t="inlineStr">
        <is>
          <t>FR-333</t>
        </is>
      </c>
      <c r="G2003" s="55">
        <f>IFERROR(INDEX('Semrush Data'!$A$1:$Z$20000,MATCH(A2003,'Semrush Data'!$A$1:$A$20000,0),MATCH("Volume",'Semrush Data'!$A$1:$Z$1,0)),"")</f>
        <v/>
      </c>
      <c r="H2003" s="42">
        <f>IFERROR(INDEX('Semrush Data'!$A$1:$Z$20000,MATCH(A2003,'Semrush Data'!$A$1:$A$20000,0),MATCH("Keyword Difficulty*",'Semrush Data'!$A$1:$Z$1,0)),"")</f>
        <v/>
      </c>
      <c r="I2003" s="56">
        <f>IFERROR(INDEX('Semrush Data'!$A$1:$Z$20000,MATCH(A2003,'Semrush Data'!$A$1:$A$20000,0),MATCH("CPC*",'Semrush Data'!$A$1:$Z$1,0)),"")</f>
        <v/>
      </c>
      <c r="J2003" s="42">
        <f>IFERROR(INDEX('Semrush Data'!$A$1:$Z$20000,MATCH(A2003,'Semrush Data'!$A$1:$A$20000,0),MATCH("Intent",'Semrush Data'!$A$1:$Z$1,0)),"")</f>
        <v/>
      </c>
    </row>
    <row r="2004" ht="15" customHeight="1" s="37">
      <c r="A2004" s="42" t="inlineStr">
        <is>
          <t>buy signature le femme gold online</t>
        </is>
      </c>
      <c r="B2004" s="42" t="inlineStr">
        <is>
          <t>Buy online</t>
        </is>
      </c>
      <c r="C2004" s="42" t="n">
        <v>3</v>
      </c>
      <c r="D2004" s="42" t="n">
        <v>21</v>
      </c>
      <c r="E2004" s="42" t="n">
        <v>1</v>
      </c>
      <c r="F2004" s="42" t="inlineStr">
        <is>
          <t>FR-323</t>
        </is>
      </c>
      <c r="G2004" s="55">
        <f>IFERROR(INDEX('Semrush Data'!$A$1:$Z$20000,MATCH(A2004,'Semrush Data'!$A$1:$A$20000,0),MATCH("Volume",'Semrush Data'!$A$1:$Z$1,0)),"")</f>
        <v/>
      </c>
      <c r="H2004" s="42">
        <f>IFERROR(INDEX('Semrush Data'!$A$1:$Z$20000,MATCH(A2004,'Semrush Data'!$A$1:$A$20000,0),MATCH("Keyword Difficulty*",'Semrush Data'!$A$1:$Z$1,0)),"")</f>
        <v/>
      </c>
      <c r="I2004" s="56">
        <f>IFERROR(INDEX('Semrush Data'!$A$1:$Z$20000,MATCH(A2004,'Semrush Data'!$A$1:$A$20000,0),MATCH("CPC*",'Semrush Data'!$A$1:$Z$1,0)),"")</f>
        <v/>
      </c>
      <c r="J2004" s="42">
        <f>IFERROR(INDEX('Semrush Data'!$A$1:$Z$20000,MATCH(A2004,'Semrush Data'!$A$1:$A$20000,0),MATCH("Intent",'Semrush Data'!$A$1:$Z$1,0)),"")</f>
        <v/>
      </c>
    </row>
    <row r="2005" ht="15" customHeight="1" s="37">
      <c r="A2005" s="42" t="inlineStr">
        <is>
          <t>buy signature musk online</t>
        </is>
      </c>
      <c r="B2005" s="42" t="inlineStr">
        <is>
          <t>Buy online</t>
        </is>
      </c>
      <c r="C2005" s="42" t="n">
        <v>3</v>
      </c>
      <c r="D2005" s="42" t="n">
        <v>21</v>
      </c>
      <c r="E2005" s="42" t="n">
        <v>1</v>
      </c>
      <c r="F2005" s="42" t="inlineStr">
        <is>
          <t>FR-324</t>
        </is>
      </c>
      <c r="G2005" s="55">
        <f>IFERROR(INDEX('Semrush Data'!$A$1:$Z$20000,MATCH(A2005,'Semrush Data'!$A$1:$A$20000,0),MATCH("Volume",'Semrush Data'!$A$1:$Z$1,0)),"")</f>
        <v/>
      </c>
      <c r="H2005" s="42">
        <f>IFERROR(INDEX('Semrush Data'!$A$1:$Z$20000,MATCH(A2005,'Semrush Data'!$A$1:$A$20000,0),MATCH("Keyword Difficulty*",'Semrush Data'!$A$1:$Z$1,0)),"")</f>
        <v/>
      </c>
      <c r="I2005" s="56">
        <f>IFERROR(INDEX('Semrush Data'!$A$1:$Z$20000,MATCH(A2005,'Semrush Data'!$A$1:$A$20000,0),MATCH("CPC*",'Semrush Data'!$A$1:$Z$1,0)),"")</f>
        <v/>
      </c>
      <c r="J2005" s="42">
        <f>IFERROR(INDEX('Semrush Data'!$A$1:$Z$20000,MATCH(A2005,'Semrush Data'!$A$1:$A$20000,0),MATCH("Intent",'Semrush Data'!$A$1:$Z$1,0)),"")</f>
        <v/>
      </c>
    </row>
    <row r="2006" ht="15" customHeight="1" s="37">
      <c r="A2006" s="42" t="inlineStr">
        <is>
          <t>buy signature onyx online</t>
        </is>
      </c>
      <c r="B2006" s="42" t="inlineStr">
        <is>
          <t>Buy online</t>
        </is>
      </c>
      <c r="C2006" s="42" t="n">
        <v>3</v>
      </c>
      <c r="D2006" s="42" t="n">
        <v>21</v>
      </c>
      <c r="E2006" s="42" t="n">
        <v>1</v>
      </c>
      <c r="F2006" s="42" t="inlineStr">
        <is>
          <t>FR-325</t>
        </is>
      </c>
      <c r="G2006" s="55">
        <f>IFERROR(INDEX('Semrush Data'!$A$1:$Z$20000,MATCH(A2006,'Semrush Data'!$A$1:$A$20000,0),MATCH("Volume",'Semrush Data'!$A$1:$Z$1,0)),"")</f>
        <v/>
      </c>
      <c r="H2006" s="42">
        <f>IFERROR(INDEX('Semrush Data'!$A$1:$Z$20000,MATCH(A2006,'Semrush Data'!$A$1:$A$20000,0),MATCH("Keyword Difficulty*",'Semrush Data'!$A$1:$Z$1,0)),"")</f>
        <v/>
      </c>
      <c r="I2006" s="56">
        <f>IFERROR(INDEX('Semrush Data'!$A$1:$Z$20000,MATCH(A2006,'Semrush Data'!$A$1:$A$20000,0),MATCH("CPC*",'Semrush Data'!$A$1:$Z$1,0)),"")</f>
        <v/>
      </c>
      <c r="J2006" s="42">
        <f>IFERROR(INDEX('Semrush Data'!$A$1:$Z$20000,MATCH(A2006,'Semrush Data'!$A$1:$A$20000,0),MATCH("Intent",'Semrush Data'!$A$1:$Z$1,0)),"")</f>
        <v/>
      </c>
    </row>
    <row r="2007" ht="15" customHeight="1" s="37">
      <c r="A2007" s="42" t="inlineStr">
        <is>
          <t>buy signature opal online</t>
        </is>
      </c>
      <c r="B2007" s="42" t="inlineStr">
        <is>
          <t>Buy online</t>
        </is>
      </c>
      <c r="C2007" s="42" t="n">
        <v>3</v>
      </c>
      <c r="D2007" s="42" t="n">
        <v>21</v>
      </c>
      <c r="E2007" s="42" t="n">
        <v>1</v>
      </c>
      <c r="F2007" s="42" t="inlineStr">
        <is>
          <t>FR-326</t>
        </is>
      </c>
      <c r="G2007" s="55">
        <f>IFERROR(INDEX('Semrush Data'!$A$1:$Z$20000,MATCH(A2007,'Semrush Data'!$A$1:$A$20000,0),MATCH("Volume",'Semrush Data'!$A$1:$Z$1,0)),"")</f>
        <v/>
      </c>
      <c r="H2007" s="42">
        <f>IFERROR(INDEX('Semrush Data'!$A$1:$Z$20000,MATCH(A2007,'Semrush Data'!$A$1:$A$20000,0),MATCH("Keyword Difficulty*",'Semrush Data'!$A$1:$Z$1,0)),"")</f>
        <v/>
      </c>
      <c r="I2007" s="56">
        <f>IFERROR(INDEX('Semrush Data'!$A$1:$Z$20000,MATCH(A2007,'Semrush Data'!$A$1:$A$20000,0),MATCH("CPC*",'Semrush Data'!$A$1:$Z$1,0)),"")</f>
        <v/>
      </c>
      <c r="J2007" s="42">
        <f>IFERROR(INDEX('Semrush Data'!$A$1:$Z$20000,MATCH(A2007,'Semrush Data'!$A$1:$A$20000,0),MATCH("Intent",'Semrush Data'!$A$1:$Z$1,0)),"")</f>
        <v/>
      </c>
    </row>
    <row r="2008" ht="15" customHeight="1" s="37">
      <c r="A2008" s="42" t="inlineStr">
        <is>
          <t>buy signature paradiso online</t>
        </is>
      </c>
      <c r="B2008" s="42" t="inlineStr">
        <is>
          <t>Buy online</t>
        </is>
      </c>
      <c r="C2008" s="42" t="n">
        <v>3</v>
      </c>
      <c r="D2008" s="42" t="n">
        <v>21</v>
      </c>
      <c r="E2008" s="42" t="n">
        <v>1</v>
      </c>
      <c r="F2008" s="42" t="inlineStr">
        <is>
          <t>FR-327</t>
        </is>
      </c>
      <c r="G2008" s="55">
        <f>IFERROR(INDEX('Semrush Data'!$A$1:$Z$20000,MATCH(A2008,'Semrush Data'!$A$1:$A$20000,0),MATCH("Volume",'Semrush Data'!$A$1:$Z$1,0)),"")</f>
        <v/>
      </c>
      <c r="H2008" s="42">
        <f>IFERROR(INDEX('Semrush Data'!$A$1:$Z$20000,MATCH(A2008,'Semrush Data'!$A$1:$A$20000,0),MATCH("Keyword Difficulty*",'Semrush Data'!$A$1:$Z$1,0)),"")</f>
        <v/>
      </c>
      <c r="I2008" s="56">
        <f>IFERROR(INDEX('Semrush Data'!$A$1:$Z$20000,MATCH(A2008,'Semrush Data'!$A$1:$A$20000,0),MATCH("CPC*",'Semrush Data'!$A$1:$Z$1,0)),"")</f>
        <v/>
      </c>
      <c r="J2008" s="42">
        <f>IFERROR(INDEX('Semrush Data'!$A$1:$Z$20000,MATCH(A2008,'Semrush Data'!$A$1:$A$20000,0),MATCH("Intent",'Semrush Data'!$A$1:$Z$1,0)),"")</f>
        <v/>
      </c>
    </row>
    <row r="2009" ht="15" customHeight="1" s="37">
      <c r="A2009" s="42" t="inlineStr">
        <is>
          <t>buy signature rose online</t>
        </is>
      </c>
      <c r="B2009" s="42" t="inlineStr">
        <is>
          <t>Buy online</t>
        </is>
      </c>
      <c r="C2009" s="42" t="n">
        <v>3</v>
      </c>
      <c r="D2009" s="42" t="n">
        <v>21</v>
      </c>
      <c r="E2009" s="42" t="n">
        <v>1</v>
      </c>
      <c r="F2009" s="42" t="inlineStr">
        <is>
          <t>FR-334</t>
        </is>
      </c>
      <c r="G2009" s="55">
        <f>IFERROR(INDEX('Semrush Data'!$A$1:$Z$20000,MATCH(A2009,'Semrush Data'!$A$1:$A$20000,0),MATCH("Volume",'Semrush Data'!$A$1:$Z$1,0)),"")</f>
        <v/>
      </c>
      <c r="H2009" s="42">
        <f>IFERROR(INDEX('Semrush Data'!$A$1:$Z$20000,MATCH(A2009,'Semrush Data'!$A$1:$A$20000,0),MATCH("Keyword Difficulty*",'Semrush Data'!$A$1:$Z$1,0)),"")</f>
        <v/>
      </c>
      <c r="I2009" s="56">
        <f>IFERROR(INDEX('Semrush Data'!$A$1:$Z$20000,MATCH(A2009,'Semrush Data'!$A$1:$A$20000,0),MATCH("CPC*",'Semrush Data'!$A$1:$Z$1,0)),"")</f>
        <v/>
      </c>
      <c r="J2009" s="42">
        <f>IFERROR(INDEX('Semrush Data'!$A$1:$Z$20000,MATCH(A2009,'Semrush Data'!$A$1:$A$20000,0),MATCH("Intent",'Semrush Data'!$A$1:$Z$1,0)),"")</f>
        <v/>
      </c>
    </row>
    <row r="2010" ht="15" customHeight="1" s="37">
      <c r="A2010" s="42" t="inlineStr">
        <is>
          <t>buy signature santal online</t>
        </is>
      </c>
      <c r="B2010" s="42" t="inlineStr">
        <is>
          <t>Buy online</t>
        </is>
      </c>
      <c r="C2010" s="42" t="n">
        <v>3</v>
      </c>
      <c r="D2010" s="42" t="n">
        <v>21</v>
      </c>
      <c r="E2010" s="42" t="n">
        <v>1</v>
      </c>
      <c r="F2010" s="42" t="inlineStr">
        <is>
          <t>FR-328</t>
        </is>
      </c>
      <c r="G2010" s="55">
        <f>IFERROR(INDEX('Semrush Data'!$A$1:$Z$20000,MATCH(A2010,'Semrush Data'!$A$1:$A$20000,0),MATCH("Volume",'Semrush Data'!$A$1:$Z$1,0)),"")</f>
        <v/>
      </c>
      <c r="H2010" s="42">
        <f>IFERROR(INDEX('Semrush Data'!$A$1:$Z$20000,MATCH(A2010,'Semrush Data'!$A$1:$A$20000,0),MATCH("Keyword Difficulty*",'Semrush Data'!$A$1:$Z$1,0)),"")</f>
        <v/>
      </c>
      <c r="I2010" s="56">
        <f>IFERROR(INDEX('Semrush Data'!$A$1:$Z$20000,MATCH(A2010,'Semrush Data'!$A$1:$A$20000,0),MATCH("CPC*",'Semrush Data'!$A$1:$Z$1,0)),"")</f>
        <v/>
      </c>
      <c r="J2010" s="42">
        <f>IFERROR(INDEX('Semrush Data'!$A$1:$Z$20000,MATCH(A2010,'Semrush Data'!$A$1:$A$20000,0),MATCH("Intent",'Semrush Data'!$A$1:$Z$1,0)),"")</f>
        <v/>
      </c>
    </row>
    <row r="2011" ht="15" customHeight="1" s="37">
      <c r="A2011" s="42" t="inlineStr">
        <is>
          <t>buy signature sapphire online</t>
        </is>
      </c>
      <c r="B2011" s="42" t="inlineStr">
        <is>
          <t>Buy online</t>
        </is>
      </c>
      <c r="C2011" s="42" t="n">
        <v>3</v>
      </c>
      <c r="D2011" s="42" t="n">
        <v>21</v>
      </c>
      <c r="E2011" s="42" t="n">
        <v>1</v>
      </c>
      <c r="F2011" s="42" t="inlineStr">
        <is>
          <t>FR-329</t>
        </is>
      </c>
      <c r="G2011" s="55">
        <f>IFERROR(INDEX('Semrush Data'!$A$1:$Z$20000,MATCH(A2011,'Semrush Data'!$A$1:$A$20000,0),MATCH("Volume",'Semrush Data'!$A$1:$Z$1,0)),"")</f>
        <v/>
      </c>
      <c r="H2011" s="42">
        <f>IFERROR(INDEX('Semrush Data'!$A$1:$Z$20000,MATCH(A2011,'Semrush Data'!$A$1:$A$20000,0),MATCH("Keyword Difficulty*",'Semrush Data'!$A$1:$Z$1,0)),"")</f>
        <v/>
      </c>
      <c r="I2011" s="56">
        <f>IFERROR(INDEX('Semrush Data'!$A$1:$Z$20000,MATCH(A2011,'Semrush Data'!$A$1:$A$20000,0),MATCH("CPC*",'Semrush Data'!$A$1:$Z$1,0)),"")</f>
        <v/>
      </c>
      <c r="J2011" s="42">
        <f>IFERROR(INDEX('Semrush Data'!$A$1:$Z$20000,MATCH(A2011,'Semrush Data'!$A$1:$A$20000,0),MATCH("Intent",'Semrush Data'!$A$1:$Z$1,0)),"")</f>
        <v/>
      </c>
    </row>
    <row r="2012" ht="15" customHeight="1" s="37">
      <c r="A2012" s="42" t="inlineStr">
        <is>
          <t>buy the woods collection azure online</t>
        </is>
      </c>
      <c r="B2012" s="42" t="inlineStr">
        <is>
          <t>Buy online</t>
        </is>
      </c>
      <c r="C2012" s="42" t="n">
        <v>3</v>
      </c>
      <c r="D2012" s="42" t="n">
        <v>21</v>
      </c>
      <c r="E2012" s="42" t="n">
        <v>1</v>
      </c>
      <c r="F2012" s="42" t="inlineStr">
        <is>
          <t>FR-342</t>
        </is>
      </c>
      <c r="G2012" s="55">
        <f>IFERROR(INDEX('Semrush Data'!$A$1:$Z$20000,MATCH(A2012,'Semrush Data'!$A$1:$A$20000,0),MATCH("Volume",'Semrush Data'!$A$1:$Z$1,0)),"")</f>
        <v/>
      </c>
      <c r="H2012" s="42">
        <f>IFERROR(INDEX('Semrush Data'!$A$1:$Z$20000,MATCH(A2012,'Semrush Data'!$A$1:$A$20000,0),MATCH("Keyword Difficulty*",'Semrush Data'!$A$1:$Z$1,0)),"")</f>
        <v/>
      </c>
      <c r="I2012" s="56">
        <f>IFERROR(INDEX('Semrush Data'!$A$1:$Z$20000,MATCH(A2012,'Semrush Data'!$A$1:$A$20000,0),MATCH("CPC*",'Semrush Data'!$A$1:$Z$1,0)),"")</f>
        <v/>
      </c>
      <c r="J2012" s="42">
        <f>IFERROR(INDEX('Semrush Data'!$A$1:$Z$20000,MATCH(A2012,'Semrush Data'!$A$1:$A$20000,0),MATCH("Intent",'Semrush Data'!$A$1:$Z$1,0)),"")</f>
        <v/>
      </c>
    </row>
    <row r="2013" ht="15" customHeight="1" s="37">
      <c r="A2013" s="42" t="inlineStr">
        <is>
          <t>buy the woods collection eden online</t>
        </is>
      </c>
      <c r="B2013" s="42" t="inlineStr">
        <is>
          <t>Buy online</t>
        </is>
      </c>
      <c r="C2013" s="42" t="n">
        <v>3</v>
      </c>
      <c r="D2013" s="42" t="n">
        <v>21</v>
      </c>
      <c r="E2013" s="42" t="n">
        <v>1</v>
      </c>
      <c r="F2013" s="42" t="inlineStr">
        <is>
          <t>FR-343</t>
        </is>
      </c>
      <c r="G2013" s="55">
        <f>IFERROR(INDEX('Semrush Data'!$A$1:$Z$20000,MATCH(A2013,'Semrush Data'!$A$1:$A$20000,0),MATCH("Volume",'Semrush Data'!$A$1:$Z$1,0)),"")</f>
        <v/>
      </c>
      <c r="H2013" s="42">
        <f>IFERROR(INDEX('Semrush Data'!$A$1:$Z$20000,MATCH(A2013,'Semrush Data'!$A$1:$A$20000,0),MATCH("Keyword Difficulty*",'Semrush Data'!$A$1:$Z$1,0)),"")</f>
        <v/>
      </c>
      <c r="I2013" s="56">
        <f>IFERROR(INDEX('Semrush Data'!$A$1:$Z$20000,MATCH(A2013,'Semrush Data'!$A$1:$A$20000,0),MATCH("CPC*",'Semrush Data'!$A$1:$Z$1,0)),"")</f>
        <v/>
      </c>
      <c r="J2013" s="42">
        <f>IFERROR(INDEX('Semrush Data'!$A$1:$Z$20000,MATCH(A2013,'Semrush Data'!$A$1:$A$20000,0),MATCH("Intent",'Semrush Data'!$A$1:$Z$1,0)),"")</f>
        <v/>
      </c>
    </row>
    <row r="2014" ht="15" customHeight="1" s="37">
      <c r="A2014" s="42" t="inlineStr">
        <is>
          <t>buy the woods collection elysian online</t>
        </is>
      </c>
      <c r="B2014" s="42" t="inlineStr">
        <is>
          <t>Buy online</t>
        </is>
      </c>
      <c r="C2014" s="42" t="n">
        <v>3</v>
      </c>
      <c r="D2014" s="42" t="n">
        <v>21</v>
      </c>
      <c r="E2014" s="42" t="n">
        <v>1</v>
      </c>
      <c r="F2014" s="42" t="inlineStr">
        <is>
          <t>FR-344</t>
        </is>
      </c>
      <c r="G2014" s="55">
        <f>IFERROR(INDEX('Semrush Data'!$A$1:$Z$20000,MATCH(A2014,'Semrush Data'!$A$1:$A$20000,0),MATCH("Volume",'Semrush Data'!$A$1:$Z$1,0)),"")</f>
        <v/>
      </c>
      <c r="H2014" s="42">
        <f>IFERROR(INDEX('Semrush Data'!$A$1:$Z$20000,MATCH(A2014,'Semrush Data'!$A$1:$A$20000,0),MATCH("Keyword Difficulty*",'Semrush Data'!$A$1:$Z$1,0)),"")</f>
        <v/>
      </c>
      <c r="I2014" s="56">
        <f>IFERROR(INDEX('Semrush Data'!$A$1:$Z$20000,MATCH(A2014,'Semrush Data'!$A$1:$A$20000,0),MATCH("CPC*",'Semrush Data'!$A$1:$Z$1,0)),"")</f>
        <v/>
      </c>
      <c r="J2014" s="42">
        <f>IFERROR(INDEX('Semrush Data'!$A$1:$Z$20000,MATCH(A2014,'Semrush Data'!$A$1:$A$20000,0),MATCH("Intent",'Semrush Data'!$A$1:$Z$1,0)),"")</f>
        <v/>
      </c>
    </row>
    <row r="2015" ht="15" customHeight="1" s="37">
      <c r="A2015" s="42" t="inlineStr">
        <is>
          <t>buy the woods collection green walk online</t>
        </is>
      </c>
      <c r="B2015" s="42" t="inlineStr">
        <is>
          <t>Buy online</t>
        </is>
      </c>
      <c r="C2015" s="42" t="n">
        <v>3</v>
      </c>
      <c r="D2015" s="42" t="n">
        <v>21</v>
      </c>
      <c r="E2015" s="42" t="n">
        <v>1</v>
      </c>
      <c r="F2015" s="42" t="inlineStr">
        <is>
          <t>FR-345</t>
        </is>
      </c>
      <c r="G2015" s="55">
        <f>IFERROR(INDEX('Semrush Data'!$A$1:$Z$20000,MATCH(A2015,'Semrush Data'!$A$1:$A$20000,0),MATCH("Volume",'Semrush Data'!$A$1:$Z$1,0)),"")</f>
        <v/>
      </c>
      <c r="H2015" s="42">
        <f>IFERROR(INDEX('Semrush Data'!$A$1:$Z$20000,MATCH(A2015,'Semrush Data'!$A$1:$A$20000,0),MATCH("Keyword Difficulty*",'Semrush Data'!$A$1:$Z$1,0)),"")</f>
        <v/>
      </c>
      <c r="I2015" s="56">
        <f>IFERROR(INDEX('Semrush Data'!$A$1:$Z$20000,MATCH(A2015,'Semrush Data'!$A$1:$A$20000,0),MATCH("CPC*",'Semrush Data'!$A$1:$Z$1,0)),"")</f>
        <v/>
      </c>
      <c r="J2015" s="42">
        <f>IFERROR(INDEX('Semrush Data'!$A$1:$Z$20000,MATCH(A2015,'Semrush Data'!$A$1:$A$20000,0),MATCH("Intent",'Semrush Data'!$A$1:$Z$1,0)),"")</f>
        <v/>
      </c>
    </row>
    <row r="2016" ht="15" customHeight="1" s="37">
      <c r="A2016" s="42" t="inlineStr">
        <is>
          <t>buy the woods collection mirage online</t>
        </is>
      </c>
      <c r="B2016" s="42" t="inlineStr">
        <is>
          <t>Buy online</t>
        </is>
      </c>
      <c r="C2016" s="42" t="n">
        <v>3</v>
      </c>
      <c r="D2016" s="42" t="n">
        <v>21</v>
      </c>
      <c r="E2016" s="42" t="n">
        <v>1</v>
      </c>
      <c r="F2016" s="42" t="inlineStr">
        <is>
          <t>FR-346</t>
        </is>
      </c>
      <c r="G2016" s="55">
        <f>IFERROR(INDEX('Semrush Data'!$A$1:$Z$20000,MATCH(A2016,'Semrush Data'!$A$1:$A$20000,0),MATCH("Volume",'Semrush Data'!$A$1:$Z$1,0)),"")</f>
        <v/>
      </c>
      <c r="H2016" s="42">
        <f>IFERROR(INDEX('Semrush Data'!$A$1:$Z$20000,MATCH(A2016,'Semrush Data'!$A$1:$A$20000,0),MATCH("Keyword Difficulty*",'Semrush Data'!$A$1:$Z$1,0)),"")</f>
        <v/>
      </c>
      <c r="I2016" s="56">
        <f>IFERROR(INDEX('Semrush Data'!$A$1:$Z$20000,MATCH(A2016,'Semrush Data'!$A$1:$A$20000,0),MATCH("CPC*",'Semrush Data'!$A$1:$Z$1,0)),"")</f>
        <v/>
      </c>
      <c r="J2016" s="42">
        <f>IFERROR(INDEX('Semrush Data'!$A$1:$Z$20000,MATCH(A2016,'Semrush Data'!$A$1:$A$20000,0),MATCH("Intent",'Semrush Data'!$A$1:$Z$1,0)),"")</f>
        <v/>
      </c>
    </row>
    <row r="2017" ht="15" customHeight="1" s="37">
      <c r="A2017" s="42" t="inlineStr">
        <is>
          <t>buy the woods collection pure shine online</t>
        </is>
      </c>
      <c r="B2017" s="42" t="inlineStr">
        <is>
          <t>Buy online</t>
        </is>
      </c>
      <c r="C2017" s="42" t="n">
        <v>3</v>
      </c>
      <c r="D2017" s="42" t="n">
        <v>21</v>
      </c>
      <c r="E2017" s="42" t="n">
        <v>1</v>
      </c>
      <c r="F2017" s="42" t="inlineStr">
        <is>
          <t>FR-347</t>
        </is>
      </c>
      <c r="G2017" s="55">
        <f>IFERROR(INDEX('Semrush Data'!$A$1:$Z$20000,MATCH(A2017,'Semrush Data'!$A$1:$A$20000,0),MATCH("Volume",'Semrush Data'!$A$1:$Z$1,0)),"")</f>
        <v/>
      </c>
      <c r="H2017" s="42">
        <f>IFERROR(INDEX('Semrush Data'!$A$1:$Z$20000,MATCH(A2017,'Semrush Data'!$A$1:$A$20000,0),MATCH("Keyword Difficulty*",'Semrush Data'!$A$1:$Z$1,0)),"")</f>
        <v/>
      </c>
      <c r="I2017" s="56">
        <f>IFERROR(INDEX('Semrush Data'!$A$1:$Z$20000,MATCH(A2017,'Semrush Data'!$A$1:$A$20000,0),MATCH("CPC*",'Semrush Data'!$A$1:$Z$1,0)),"")</f>
        <v/>
      </c>
      <c r="J2017" s="42">
        <f>IFERROR(INDEX('Semrush Data'!$A$1:$Z$20000,MATCH(A2017,'Semrush Data'!$A$1:$A$20000,0),MATCH("Intent",'Semrush Data'!$A$1:$Z$1,0)),"")</f>
        <v/>
      </c>
    </row>
    <row r="2018" ht="15" customHeight="1" s="37">
      <c r="A2018" s="42" t="inlineStr">
        <is>
          <t>buy the woods collection secret source online</t>
        </is>
      </c>
      <c r="B2018" s="42" t="inlineStr">
        <is>
          <t>Buy online</t>
        </is>
      </c>
      <c r="C2018" s="42" t="n">
        <v>3</v>
      </c>
      <c r="D2018" s="42" t="n">
        <v>21</v>
      </c>
      <c r="E2018" s="42" t="n">
        <v>1</v>
      </c>
      <c r="F2018" s="42" t="inlineStr">
        <is>
          <t>FR-348</t>
        </is>
      </c>
      <c r="G2018" s="55">
        <f>IFERROR(INDEX('Semrush Data'!$A$1:$Z$20000,MATCH(A2018,'Semrush Data'!$A$1:$A$20000,0),MATCH("Volume",'Semrush Data'!$A$1:$Z$1,0)),"")</f>
        <v/>
      </c>
      <c r="H2018" s="42">
        <f>IFERROR(INDEX('Semrush Data'!$A$1:$Z$20000,MATCH(A2018,'Semrush Data'!$A$1:$A$20000,0),MATCH("Keyword Difficulty*",'Semrush Data'!$A$1:$Z$1,0)),"")</f>
        <v/>
      </c>
      <c r="I2018" s="56">
        <f>IFERROR(INDEX('Semrush Data'!$A$1:$Z$20000,MATCH(A2018,'Semrush Data'!$A$1:$A$20000,0),MATCH("CPC*",'Semrush Data'!$A$1:$Z$1,0)),"")</f>
        <v/>
      </c>
      <c r="J2018" s="42">
        <f>IFERROR(INDEX('Semrush Data'!$A$1:$Z$20000,MATCH(A2018,'Semrush Data'!$A$1:$A$20000,0),MATCH("Intent",'Semrush Data'!$A$1:$Z$1,0)),"")</f>
        <v/>
      </c>
    </row>
    <row r="2019" ht="15" customHeight="1" s="37">
      <c r="A2019" s="42" t="inlineStr">
        <is>
          <t>buy the woods collection sunrise online</t>
        </is>
      </c>
      <c r="B2019" s="42" t="inlineStr">
        <is>
          <t>Buy online</t>
        </is>
      </c>
      <c r="C2019" s="42" t="n">
        <v>3</v>
      </c>
      <c r="D2019" s="42" t="n">
        <v>21</v>
      </c>
      <c r="E2019" s="42" t="n">
        <v>1</v>
      </c>
      <c r="F2019" s="42" t="inlineStr">
        <is>
          <t>FR-349</t>
        </is>
      </c>
      <c r="G2019" s="55">
        <f>IFERROR(INDEX('Semrush Data'!$A$1:$Z$20000,MATCH(A2019,'Semrush Data'!$A$1:$A$20000,0),MATCH("Volume",'Semrush Data'!$A$1:$Z$1,0)),"")</f>
        <v/>
      </c>
      <c r="H2019" s="42">
        <f>IFERROR(INDEX('Semrush Data'!$A$1:$Z$20000,MATCH(A2019,'Semrush Data'!$A$1:$A$20000,0),MATCH("Keyword Difficulty*",'Semrush Data'!$A$1:$Z$1,0)),"")</f>
        <v/>
      </c>
      <c r="I2019" s="56">
        <f>IFERROR(INDEX('Semrush Data'!$A$1:$Z$20000,MATCH(A2019,'Semrush Data'!$A$1:$A$20000,0),MATCH("CPC*",'Semrush Data'!$A$1:$Z$1,0)),"")</f>
        <v/>
      </c>
      <c r="J2019" s="42">
        <f>IFERROR(INDEX('Semrush Data'!$A$1:$Z$20000,MATCH(A2019,'Semrush Data'!$A$1:$A$20000,0),MATCH("Intent",'Semrush Data'!$A$1:$Z$1,0)),"")</f>
        <v/>
      </c>
    </row>
    <row r="2020" ht="15" customHeight="1" s="37">
      <c r="A2020" s="42" t="inlineStr">
        <is>
          <t>buy the woods collection timeless sands online</t>
        </is>
      </c>
      <c r="B2020" s="42" t="inlineStr">
        <is>
          <t>Buy online</t>
        </is>
      </c>
      <c r="C2020" s="42" t="n">
        <v>3</v>
      </c>
      <c r="D2020" s="42" t="n">
        <v>21</v>
      </c>
      <c r="E2020" s="42" t="n">
        <v>1</v>
      </c>
      <c r="F2020" s="42" t="inlineStr">
        <is>
          <t>FR-350</t>
        </is>
      </c>
      <c r="G2020" s="55">
        <f>IFERROR(INDEX('Semrush Data'!$A$1:$Z$20000,MATCH(A2020,'Semrush Data'!$A$1:$A$20000,0),MATCH("Volume",'Semrush Data'!$A$1:$Z$1,0)),"")</f>
        <v/>
      </c>
      <c r="H2020" s="42">
        <f>IFERROR(INDEX('Semrush Data'!$A$1:$Z$20000,MATCH(A2020,'Semrush Data'!$A$1:$A$20000,0),MATCH("Keyword Difficulty*",'Semrush Data'!$A$1:$Z$1,0)),"")</f>
        <v/>
      </c>
      <c r="I2020" s="56">
        <f>IFERROR(INDEX('Semrush Data'!$A$1:$Z$20000,MATCH(A2020,'Semrush Data'!$A$1:$A$20000,0),MATCH("CPC*",'Semrush Data'!$A$1:$Z$1,0)),"")</f>
        <v/>
      </c>
      <c r="J2020" s="42">
        <f>IFERROR(INDEX('Semrush Data'!$A$1:$Z$20000,MATCH(A2020,'Semrush Data'!$A$1:$A$20000,0),MATCH("Intent",'Semrush Data'!$A$1:$Z$1,0)),"")</f>
        <v/>
      </c>
    </row>
    <row r="2021" ht="15" customHeight="1" s="37">
      <c r="A2021" s="42" t="inlineStr">
        <is>
          <t>buy the woods collection twilight online</t>
        </is>
      </c>
      <c r="B2021" s="42" t="inlineStr">
        <is>
          <t>Buy online</t>
        </is>
      </c>
      <c r="C2021" s="42" t="n">
        <v>3</v>
      </c>
      <c r="D2021" s="42" t="n">
        <v>21</v>
      </c>
      <c r="E2021" s="42" t="n">
        <v>1</v>
      </c>
      <c r="F2021" s="42" t="inlineStr">
        <is>
          <t>FR-351</t>
        </is>
      </c>
      <c r="G2021" s="55">
        <f>IFERROR(INDEX('Semrush Data'!$A$1:$Z$20000,MATCH(A2021,'Semrush Data'!$A$1:$A$20000,0),MATCH("Volume",'Semrush Data'!$A$1:$Z$1,0)),"")</f>
        <v/>
      </c>
      <c r="H2021" s="42">
        <f>IFERROR(INDEX('Semrush Data'!$A$1:$Z$20000,MATCH(A2021,'Semrush Data'!$A$1:$A$20000,0),MATCH("Keyword Difficulty*",'Semrush Data'!$A$1:$Z$1,0)),"")</f>
        <v/>
      </c>
      <c r="I2021" s="56">
        <f>IFERROR(INDEX('Semrush Data'!$A$1:$Z$20000,MATCH(A2021,'Semrush Data'!$A$1:$A$20000,0),MATCH("CPC*",'Semrush Data'!$A$1:$Z$1,0)),"")</f>
        <v/>
      </c>
      <c r="J2021" s="42">
        <f>IFERROR(INDEX('Semrush Data'!$A$1:$Z$20000,MATCH(A2021,'Semrush Data'!$A$1:$A$20000,0),MATCH("Intent",'Semrush Data'!$A$1:$Z$1,0)),"")</f>
        <v/>
      </c>
    </row>
    <row r="2022" ht="15" customHeight="1" s="37">
      <c r="A2022" s="42" t="inlineStr">
        <is>
          <t>buy the woods collection wild roses online</t>
        </is>
      </c>
      <c r="B2022" s="42" t="inlineStr">
        <is>
          <t>Buy online</t>
        </is>
      </c>
      <c r="C2022" s="42" t="n">
        <v>3</v>
      </c>
      <c r="D2022" s="42" t="n">
        <v>21</v>
      </c>
      <c r="E2022" s="42" t="n">
        <v>1</v>
      </c>
      <c r="F2022" s="42" t="inlineStr">
        <is>
          <t>FR-352</t>
        </is>
      </c>
      <c r="G2022" s="55">
        <f>IFERROR(INDEX('Semrush Data'!$A$1:$Z$20000,MATCH(A2022,'Semrush Data'!$A$1:$A$20000,0),MATCH("Volume",'Semrush Data'!$A$1:$Z$1,0)),"")</f>
        <v/>
      </c>
      <c r="H2022" s="42">
        <f>IFERROR(INDEX('Semrush Data'!$A$1:$Z$20000,MATCH(A2022,'Semrush Data'!$A$1:$A$20000,0),MATCH("Keyword Difficulty*",'Semrush Data'!$A$1:$Z$1,0)),"")</f>
        <v/>
      </c>
      <c r="I2022" s="56">
        <f>IFERROR(INDEX('Semrush Data'!$A$1:$Z$20000,MATCH(A2022,'Semrush Data'!$A$1:$A$20000,0),MATCH("CPC*",'Semrush Data'!$A$1:$Z$1,0)),"")</f>
        <v/>
      </c>
      <c r="J2022" s="42">
        <f>IFERROR(INDEX('Semrush Data'!$A$1:$Z$20000,MATCH(A2022,'Semrush Data'!$A$1:$A$20000,0),MATCH("Intent",'Semrush Data'!$A$1:$Z$1,0)),"")</f>
        <v/>
      </c>
    </row>
    <row r="2023" ht="15" customHeight="1" s="37">
      <c r="A2023" s="42" t="inlineStr">
        <is>
          <t>buy tiziana terenzi akragas online</t>
        </is>
      </c>
      <c r="B2023" s="42" t="inlineStr">
        <is>
          <t>Buy online</t>
        </is>
      </c>
      <c r="C2023" s="42" t="n">
        <v>3</v>
      </c>
      <c r="D2023" s="42" t="n">
        <v>21</v>
      </c>
      <c r="E2023" s="42" t="n">
        <v>1</v>
      </c>
      <c r="F2023" s="42" t="inlineStr">
        <is>
          <t>FR-353</t>
        </is>
      </c>
      <c r="G2023" s="55">
        <f>IFERROR(INDEX('Semrush Data'!$A$1:$Z$20000,MATCH(A2023,'Semrush Data'!$A$1:$A$20000,0),MATCH("Volume",'Semrush Data'!$A$1:$Z$1,0)),"")</f>
        <v/>
      </c>
      <c r="H2023" s="42">
        <f>IFERROR(INDEX('Semrush Data'!$A$1:$Z$20000,MATCH(A2023,'Semrush Data'!$A$1:$A$20000,0),MATCH("Keyword Difficulty*",'Semrush Data'!$A$1:$Z$1,0)),"")</f>
        <v/>
      </c>
      <c r="I2023" s="56">
        <f>IFERROR(INDEX('Semrush Data'!$A$1:$Z$20000,MATCH(A2023,'Semrush Data'!$A$1:$A$20000,0),MATCH("CPC*",'Semrush Data'!$A$1:$Z$1,0)),"")</f>
        <v/>
      </c>
      <c r="J2023" s="42">
        <f>IFERROR(INDEX('Semrush Data'!$A$1:$Z$20000,MATCH(A2023,'Semrush Data'!$A$1:$A$20000,0),MATCH("Intent",'Semrush Data'!$A$1:$Z$1,0)),"")</f>
        <v/>
      </c>
    </row>
    <row r="2024" ht="15" customHeight="1" s="37">
      <c r="A2024" s="42" t="inlineStr">
        <is>
          <t>buy tiziana terenzi andromeda online</t>
        </is>
      </c>
      <c r="B2024" s="42" t="inlineStr">
        <is>
          <t>Buy online</t>
        </is>
      </c>
      <c r="C2024" s="42" t="n">
        <v>3</v>
      </c>
      <c r="D2024" s="42" t="n">
        <v>21</v>
      </c>
      <c r="E2024" s="42" t="n">
        <v>1</v>
      </c>
      <c r="F2024" s="42" t="inlineStr">
        <is>
          <t>FR-354</t>
        </is>
      </c>
      <c r="G2024" s="55">
        <f>IFERROR(INDEX('Semrush Data'!$A$1:$Z$20000,MATCH(A2024,'Semrush Data'!$A$1:$A$20000,0),MATCH("Volume",'Semrush Data'!$A$1:$Z$1,0)),"")</f>
        <v/>
      </c>
      <c r="H2024" s="42">
        <f>IFERROR(INDEX('Semrush Data'!$A$1:$Z$20000,MATCH(A2024,'Semrush Data'!$A$1:$A$20000,0),MATCH("Keyword Difficulty*",'Semrush Data'!$A$1:$Z$1,0)),"")</f>
        <v/>
      </c>
      <c r="I2024" s="56">
        <f>IFERROR(INDEX('Semrush Data'!$A$1:$Z$20000,MATCH(A2024,'Semrush Data'!$A$1:$A$20000,0),MATCH("CPC*",'Semrush Data'!$A$1:$Z$1,0)),"")</f>
        <v/>
      </c>
      <c r="J2024" s="42">
        <f>IFERROR(INDEX('Semrush Data'!$A$1:$Z$20000,MATCH(A2024,'Semrush Data'!$A$1:$A$20000,0),MATCH("Intent",'Semrush Data'!$A$1:$Z$1,0)),"")</f>
        <v/>
      </c>
    </row>
    <row r="2025" ht="15" customHeight="1" s="37">
      <c r="A2025" s="42" t="inlineStr">
        <is>
          <t>buy tiziana terenzi borelli linea tt online</t>
        </is>
      </c>
      <c r="B2025" s="42" t="inlineStr">
        <is>
          <t>Buy online</t>
        </is>
      </c>
      <c r="C2025" s="42" t="n">
        <v>3</v>
      </c>
      <c r="D2025" s="42" t="n">
        <v>21</v>
      </c>
      <c r="E2025" s="42" t="n">
        <v>1</v>
      </c>
      <c r="F2025" s="42" t="inlineStr">
        <is>
          <t>FR-355</t>
        </is>
      </c>
      <c r="G2025" s="55">
        <f>IFERROR(INDEX('Semrush Data'!$A$1:$Z$20000,MATCH(A2025,'Semrush Data'!$A$1:$A$20000,0),MATCH("Volume",'Semrush Data'!$A$1:$Z$1,0)),"")</f>
        <v/>
      </c>
      <c r="H2025" s="42">
        <f>IFERROR(INDEX('Semrush Data'!$A$1:$Z$20000,MATCH(A2025,'Semrush Data'!$A$1:$A$20000,0),MATCH("Keyword Difficulty*",'Semrush Data'!$A$1:$Z$1,0)),"")</f>
        <v/>
      </c>
      <c r="I2025" s="56">
        <f>IFERROR(INDEX('Semrush Data'!$A$1:$Z$20000,MATCH(A2025,'Semrush Data'!$A$1:$A$20000,0),MATCH("CPC*",'Semrush Data'!$A$1:$Z$1,0)),"")</f>
        <v/>
      </c>
      <c r="J2025" s="42">
        <f>IFERROR(INDEX('Semrush Data'!$A$1:$Z$20000,MATCH(A2025,'Semrush Data'!$A$1:$A$20000,0),MATCH("Intent",'Semrush Data'!$A$1:$Z$1,0)),"")</f>
        <v/>
      </c>
    </row>
    <row r="2026" ht="15" customHeight="1" s="37">
      <c r="A2026" s="42" t="inlineStr">
        <is>
          <t>buy tiziana terenzi caput mundi online</t>
        </is>
      </c>
      <c r="B2026" s="42" t="inlineStr">
        <is>
          <t>Buy online</t>
        </is>
      </c>
      <c r="C2026" s="42" t="n">
        <v>3</v>
      </c>
      <c r="D2026" s="42" t="n">
        <v>21</v>
      </c>
      <c r="E2026" s="42" t="n">
        <v>2</v>
      </c>
      <c r="F2026" s="42" t="inlineStr">
        <is>
          <t>FR-356, FR-357</t>
        </is>
      </c>
      <c r="G2026" s="55">
        <f>IFERROR(INDEX('Semrush Data'!$A$1:$Z$20000,MATCH(A2026,'Semrush Data'!$A$1:$A$20000,0),MATCH("Volume",'Semrush Data'!$A$1:$Z$1,0)),"")</f>
        <v/>
      </c>
      <c r="H2026" s="42">
        <f>IFERROR(INDEX('Semrush Data'!$A$1:$Z$20000,MATCH(A2026,'Semrush Data'!$A$1:$A$20000,0),MATCH("Keyword Difficulty*",'Semrush Data'!$A$1:$Z$1,0)),"")</f>
        <v/>
      </c>
      <c r="I2026" s="56">
        <f>IFERROR(INDEX('Semrush Data'!$A$1:$Z$20000,MATCH(A2026,'Semrush Data'!$A$1:$A$20000,0),MATCH("CPC*",'Semrush Data'!$A$1:$Z$1,0)),"")</f>
        <v/>
      </c>
      <c r="J2026" s="42">
        <f>IFERROR(INDEX('Semrush Data'!$A$1:$Z$20000,MATCH(A2026,'Semrush Data'!$A$1:$A$20000,0),MATCH("Intent",'Semrush Data'!$A$1:$Z$1,0)),"")</f>
        <v/>
      </c>
    </row>
    <row r="2027" ht="15" customHeight="1" s="37">
      <c r="A2027" s="42" t="inlineStr">
        <is>
          <t>buy tiziana terenzi chimaera anniversary online</t>
        </is>
      </c>
      <c r="B2027" s="42" t="inlineStr">
        <is>
          <t>Buy online</t>
        </is>
      </c>
      <c r="C2027" s="42" t="n">
        <v>3</v>
      </c>
      <c r="D2027" s="42" t="n">
        <v>21</v>
      </c>
      <c r="E2027" s="42" t="n">
        <v>1</v>
      </c>
      <c r="F2027" s="42" t="inlineStr">
        <is>
          <t>FR-358</t>
        </is>
      </c>
      <c r="G2027" s="55">
        <f>IFERROR(INDEX('Semrush Data'!$A$1:$Z$20000,MATCH(A2027,'Semrush Data'!$A$1:$A$20000,0),MATCH("Volume",'Semrush Data'!$A$1:$Z$1,0)),"")</f>
        <v/>
      </c>
      <c r="H2027" s="42">
        <f>IFERROR(INDEX('Semrush Data'!$A$1:$Z$20000,MATCH(A2027,'Semrush Data'!$A$1:$A$20000,0),MATCH("Keyword Difficulty*",'Semrush Data'!$A$1:$Z$1,0)),"")</f>
        <v/>
      </c>
      <c r="I2027" s="56">
        <f>IFERROR(INDEX('Semrush Data'!$A$1:$Z$20000,MATCH(A2027,'Semrush Data'!$A$1:$A$20000,0),MATCH("CPC*",'Semrush Data'!$A$1:$Z$1,0)),"")</f>
        <v/>
      </c>
      <c r="J2027" s="42">
        <f>IFERROR(INDEX('Semrush Data'!$A$1:$Z$20000,MATCH(A2027,'Semrush Data'!$A$1:$A$20000,0),MATCH("Intent",'Semrush Data'!$A$1:$Z$1,0)),"")</f>
        <v/>
      </c>
    </row>
    <row r="2028" ht="15" customHeight="1" s="37">
      <c r="A2028" s="42" t="inlineStr">
        <is>
          <t>buy tiziana terenzi draconis online</t>
        </is>
      </c>
      <c r="B2028" s="42" t="inlineStr">
        <is>
          <t>Buy online</t>
        </is>
      </c>
      <c r="C2028" s="42" t="n">
        <v>3</v>
      </c>
      <c r="D2028" s="42" t="n">
        <v>21</v>
      </c>
      <c r="E2028" s="42" t="n">
        <v>1</v>
      </c>
      <c r="F2028" s="42" t="inlineStr">
        <is>
          <t>FR-359</t>
        </is>
      </c>
      <c r="G2028" s="55">
        <f>IFERROR(INDEX('Semrush Data'!$A$1:$Z$20000,MATCH(A2028,'Semrush Data'!$A$1:$A$20000,0),MATCH("Volume",'Semrush Data'!$A$1:$Z$1,0)),"")</f>
        <v/>
      </c>
      <c r="H2028" s="42">
        <f>IFERROR(INDEX('Semrush Data'!$A$1:$Z$20000,MATCH(A2028,'Semrush Data'!$A$1:$A$20000,0),MATCH("Keyword Difficulty*",'Semrush Data'!$A$1:$Z$1,0)),"")</f>
        <v/>
      </c>
      <c r="I2028" s="56">
        <f>IFERROR(INDEX('Semrush Data'!$A$1:$Z$20000,MATCH(A2028,'Semrush Data'!$A$1:$A$20000,0),MATCH("CPC*",'Semrush Data'!$A$1:$Z$1,0)),"")</f>
        <v/>
      </c>
      <c r="J2028" s="42">
        <f>IFERROR(INDEX('Semrush Data'!$A$1:$Z$20000,MATCH(A2028,'Semrush Data'!$A$1:$A$20000,0),MATCH("Intent",'Semrush Data'!$A$1:$Z$1,0)),"")</f>
        <v/>
      </c>
    </row>
    <row r="2029" ht="15" customHeight="1" s="37">
      <c r="A2029" s="42" t="inlineStr">
        <is>
          <t>buy tiziana terenzi dubhe assoluto online</t>
        </is>
      </c>
      <c r="B2029" s="42" t="inlineStr">
        <is>
          <t>Buy online</t>
        </is>
      </c>
      <c r="C2029" s="42" t="n">
        <v>3</v>
      </c>
      <c r="D2029" s="42" t="n">
        <v>21</v>
      </c>
      <c r="E2029" s="42" t="n">
        <v>1</v>
      </c>
      <c r="F2029" s="42" t="inlineStr">
        <is>
          <t>FR-360</t>
        </is>
      </c>
      <c r="G2029" s="55">
        <f>IFERROR(INDEX('Semrush Data'!$A$1:$Z$20000,MATCH(A2029,'Semrush Data'!$A$1:$A$20000,0),MATCH("Volume",'Semrush Data'!$A$1:$Z$1,0)),"")</f>
        <v/>
      </c>
      <c r="H2029" s="42">
        <f>IFERROR(INDEX('Semrush Data'!$A$1:$Z$20000,MATCH(A2029,'Semrush Data'!$A$1:$A$20000,0),MATCH("Keyword Difficulty*",'Semrush Data'!$A$1:$Z$1,0)),"")</f>
        <v/>
      </c>
      <c r="I2029" s="56">
        <f>IFERROR(INDEX('Semrush Data'!$A$1:$Z$20000,MATCH(A2029,'Semrush Data'!$A$1:$A$20000,0),MATCH("CPC*",'Semrush Data'!$A$1:$Z$1,0)),"")</f>
        <v/>
      </c>
      <c r="J2029" s="42">
        <f>IFERROR(INDEX('Semrush Data'!$A$1:$Z$20000,MATCH(A2029,'Semrush Data'!$A$1:$A$20000,0),MATCH("Intent",'Semrush Data'!$A$1:$Z$1,0)),"")</f>
        <v/>
      </c>
    </row>
    <row r="2030" ht="15" customHeight="1" s="37">
      <c r="A2030" s="42" t="inlineStr">
        <is>
          <t>buy tiziana terenzi ecstasy online</t>
        </is>
      </c>
      <c r="B2030" s="42" t="inlineStr">
        <is>
          <t>Buy online</t>
        </is>
      </c>
      <c r="C2030" s="42" t="n">
        <v>3</v>
      </c>
      <c r="D2030" s="42" t="n">
        <v>21</v>
      </c>
      <c r="E2030" s="42" t="n">
        <v>1</v>
      </c>
      <c r="F2030" s="42" t="inlineStr">
        <is>
          <t>FR-361</t>
        </is>
      </c>
      <c r="G2030" s="55">
        <f>IFERROR(INDEX('Semrush Data'!$A$1:$Z$20000,MATCH(A2030,'Semrush Data'!$A$1:$A$20000,0),MATCH("Volume",'Semrush Data'!$A$1:$Z$1,0)),"")</f>
        <v/>
      </c>
      <c r="H2030" s="42">
        <f>IFERROR(INDEX('Semrush Data'!$A$1:$Z$20000,MATCH(A2030,'Semrush Data'!$A$1:$A$20000,0),MATCH("Keyword Difficulty*",'Semrush Data'!$A$1:$Z$1,0)),"")</f>
        <v/>
      </c>
      <c r="I2030" s="56">
        <f>IFERROR(INDEX('Semrush Data'!$A$1:$Z$20000,MATCH(A2030,'Semrush Data'!$A$1:$A$20000,0),MATCH("CPC*",'Semrush Data'!$A$1:$Z$1,0)),"")</f>
        <v/>
      </c>
      <c r="J2030" s="42">
        <f>IFERROR(INDEX('Semrush Data'!$A$1:$Z$20000,MATCH(A2030,'Semrush Data'!$A$1:$A$20000,0),MATCH("Intent",'Semrush Data'!$A$1:$Z$1,0)),"")</f>
        <v/>
      </c>
    </row>
    <row r="2031" ht="15" customHeight="1" s="37">
      <c r="A2031" s="42" t="inlineStr">
        <is>
          <t>buy tiziana terenzi gold rose oudh online</t>
        </is>
      </c>
      <c r="B2031" s="42" t="inlineStr">
        <is>
          <t>Buy online</t>
        </is>
      </c>
      <c r="C2031" s="42" t="n">
        <v>3</v>
      </c>
      <c r="D2031" s="42" t="n">
        <v>21</v>
      </c>
      <c r="E2031" s="42" t="n">
        <v>1</v>
      </c>
      <c r="F2031" s="42" t="inlineStr">
        <is>
          <t>FR-362</t>
        </is>
      </c>
      <c r="G2031" s="55">
        <f>IFERROR(INDEX('Semrush Data'!$A$1:$Z$20000,MATCH(A2031,'Semrush Data'!$A$1:$A$20000,0),MATCH("Volume",'Semrush Data'!$A$1:$Z$1,0)),"")</f>
        <v/>
      </c>
      <c r="H2031" s="42">
        <f>IFERROR(INDEX('Semrush Data'!$A$1:$Z$20000,MATCH(A2031,'Semrush Data'!$A$1:$A$20000,0),MATCH("Keyword Difficulty*",'Semrush Data'!$A$1:$Z$1,0)),"")</f>
        <v/>
      </c>
      <c r="I2031" s="56">
        <f>IFERROR(INDEX('Semrush Data'!$A$1:$Z$20000,MATCH(A2031,'Semrush Data'!$A$1:$A$20000,0),MATCH("CPC*",'Semrush Data'!$A$1:$Z$1,0)),"")</f>
        <v/>
      </c>
      <c r="J2031" s="42">
        <f>IFERROR(INDEX('Semrush Data'!$A$1:$Z$20000,MATCH(A2031,'Semrush Data'!$A$1:$A$20000,0),MATCH("Intent",'Semrush Data'!$A$1:$Z$1,0)),"")</f>
        <v/>
      </c>
    </row>
    <row r="2032" ht="15" customHeight="1" s="37">
      <c r="A2032" s="42" t="inlineStr">
        <is>
          <t>buy tiziana terenzi gumin online</t>
        </is>
      </c>
      <c r="B2032" s="42" t="inlineStr">
        <is>
          <t>Buy online</t>
        </is>
      </c>
      <c r="C2032" s="42" t="n">
        <v>3</v>
      </c>
      <c r="D2032" s="42" t="n">
        <v>21</v>
      </c>
      <c r="E2032" s="42" t="n">
        <v>1</v>
      </c>
      <c r="F2032" s="42" t="inlineStr">
        <is>
          <t>FR-363</t>
        </is>
      </c>
      <c r="G2032" s="55">
        <f>IFERROR(INDEX('Semrush Data'!$A$1:$Z$20000,MATCH(A2032,'Semrush Data'!$A$1:$A$20000,0),MATCH("Volume",'Semrush Data'!$A$1:$Z$1,0)),"")</f>
        <v/>
      </c>
      <c r="H2032" s="42">
        <f>IFERROR(INDEX('Semrush Data'!$A$1:$Z$20000,MATCH(A2032,'Semrush Data'!$A$1:$A$20000,0),MATCH("Keyword Difficulty*",'Semrush Data'!$A$1:$Z$1,0)),"")</f>
        <v/>
      </c>
      <c r="I2032" s="56">
        <f>IFERROR(INDEX('Semrush Data'!$A$1:$Z$20000,MATCH(A2032,'Semrush Data'!$A$1:$A$20000,0),MATCH("CPC*",'Semrush Data'!$A$1:$Z$1,0)),"")</f>
        <v/>
      </c>
      <c r="J2032" s="42">
        <f>IFERROR(INDEX('Semrush Data'!$A$1:$Z$20000,MATCH(A2032,'Semrush Data'!$A$1:$A$20000,0),MATCH("Intent",'Semrush Data'!$A$1:$Z$1,0)),"")</f>
        <v/>
      </c>
    </row>
    <row r="2033" ht="15" customHeight="1" s="37">
      <c r="A2033" s="42" t="inlineStr">
        <is>
          <t>buy tiziana terenzi kaff online</t>
        </is>
      </c>
      <c r="B2033" s="42" t="inlineStr">
        <is>
          <t>Buy online</t>
        </is>
      </c>
      <c r="C2033" s="42" t="n">
        <v>3</v>
      </c>
      <c r="D2033" s="42" t="n">
        <v>21</v>
      </c>
      <c r="E2033" s="42" t="n">
        <v>1</v>
      </c>
      <c r="F2033" s="42" t="inlineStr">
        <is>
          <t>FR-364</t>
        </is>
      </c>
      <c r="G2033" s="55">
        <f>IFERROR(INDEX('Semrush Data'!$A$1:$Z$20000,MATCH(A2033,'Semrush Data'!$A$1:$A$20000,0),MATCH("Volume",'Semrush Data'!$A$1:$Z$1,0)),"")</f>
        <v/>
      </c>
      <c r="H2033" s="42">
        <f>IFERROR(INDEX('Semrush Data'!$A$1:$Z$20000,MATCH(A2033,'Semrush Data'!$A$1:$A$20000,0),MATCH("Keyword Difficulty*",'Semrush Data'!$A$1:$Z$1,0)),"")</f>
        <v/>
      </c>
      <c r="I2033" s="56">
        <f>IFERROR(INDEX('Semrush Data'!$A$1:$Z$20000,MATCH(A2033,'Semrush Data'!$A$1:$A$20000,0),MATCH("CPC*",'Semrush Data'!$A$1:$Z$1,0)),"")</f>
        <v/>
      </c>
      <c r="J2033" s="42">
        <f>IFERROR(INDEX('Semrush Data'!$A$1:$Z$20000,MATCH(A2033,'Semrush Data'!$A$1:$A$20000,0),MATCH("Intent",'Semrush Data'!$A$1:$Z$1,0)),"")</f>
        <v/>
      </c>
    </row>
    <row r="2034" ht="15" customHeight="1" s="37">
      <c r="A2034" s="42" t="inlineStr">
        <is>
          <t>buy tiziana terenzi kirke online</t>
        </is>
      </c>
      <c r="B2034" s="42" t="inlineStr">
        <is>
          <t>Buy online</t>
        </is>
      </c>
      <c r="C2034" s="42" t="n">
        <v>3</v>
      </c>
      <c r="D2034" s="42" t="n">
        <v>21</v>
      </c>
      <c r="E2034" s="42" t="n">
        <v>1</v>
      </c>
      <c r="F2034" s="42" t="inlineStr">
        <is>
          <t>FR-365</t>
        </is>
      </c>
      <c r="G2034" s="55">
        <f>IFERROR(INDEX('Semrush Data'!$A$1:$Z$20000,MATCH(A2034,'Semrush Data'!$A$1:$A$20000,0),MATCH("Volume",'Semrush Data'!$A$1:$Z$1,0)),"")</f>
        <v/>
      </c>
      <c r="H2034" s="42">
        <f>IFERROR(INDEX('Semrush Data'!$A$1:$Z$20000,MATCH(A2034,'Semrush Data'!$A$1:$A$20000,0),MATCH("Keyword Difficulty*",'Semrush Data'!$A$1:$Z$1,0)),"")</f>
        <v/>
      </c>
      <c r="I2034" s="56">
        <f>IFERROR(INDEX('Semrush Data'!$A$1:$Z$20000,MATCH(A2034,'Semrush Data'!$A$1:$A$20000,0),MATCH("CPC*",'Semrush Data'!$A$1:$Z$1,0)),"")</f>
        <v/>
      </c>
      <c r="J2034" s="42">
        <f>IFERROR(INDEX('Semrush Data'!$A$1:$Z$20000,MATCH(A2034,'Semrush Data'!$A$1:$A$20000,0),MATCH("Intent",'Semrush Data'!$A$1:$Z$1,0)),"")</f>
        <v/>
      </c>
    </row>
    <row r="2035" ht="15" customHeight="1" s="37">
      <c r="A2035" s="42" t="inlineStr">
        <is>
          <t>buy tiziana terenzi leo online</t>
        </is>
      </c>
      <c r="B2035" s="42" t="inlineStr">
        <is>
          <t>Buy online</t>
        </is>
      </c>
      <c r="C2035" s="42" t="n">
        <v>3</v>
      </c>
      <c r="D2035" s="42" t="n">
        <v>21</v>
      </c>
      <c r="E2035" s="42" t="n">
        <v>1</v>
      </c>
      <c r="F2035" s="42" t="inlineStr">
        <is>
          <t>FR-366</t>
        </is>
      </c>
      <c r="G2035" s="55">
        <f>IFERROR(INDEX('Semrush Data'!$A$1:$Z$20000,MATCH(A2035,'Semrush Data'!$A$1:$A$20000,0),MATCH("Volume",'Semrush Data'!$A$1:$Z$1,0)),"")</f>
        <v/>
      </c>
      <c r="H2035" s="42">
        <f>IFERROR(INDEX('Semrush Data'!$A$1:$Z$20000,MATCH(A2035,'Semrush Data'!$A$1:$A$20000,0),MATCH("Keyword Difficulty*",'Semrush Data'!$A$1:$Z$1,0)),"")</f>
        <v/>
      </c>
      <c r="I2035" s="56">
        <f>IFERROR(INDEX('Semrush Data'!$A$1:$Z$20000,MATCH(A2035,'Semrush Data'!$A$1:$A$20000,0),MATCH("CPC*",'Semrush Data'!$A$1:$Z$1,0)),"")</f>
        <v/>
      </c>
      <c r="J2035" s="42">
        <f>IFERROR(INDEX('Semrush Data'!$A$1:$Z$20000,MATCH(A2035,'Semrush Data'!$A$1:$A$20000,0),MATCH("Intent",'Semrush Data'!$A$1:$Z$1,0)),"")</f>
        <v/>
      </c>
    </row>
    <row r="2036" ht="15" customHeight="1" s="37">
      <c r="A2036" s="42" t="inlineStr">
        <is>
          <t>buy tiziana terenzi moro di venezia online</t>
        </is>
      </c>
      <c r="B2036" s="42" t="inlineStr">
        <is>
          <t>Buy online</t>
        </is>
      </c>
      <c r="C2036" s="42" t="n">
        <v>3</v>
      </c>
      <c r="D2036" s="42" t="n">
        <v>21</v>
      </c>
      <c r="E2036" s="42" t="n">
        <v>1</v>
      </c>
      <c r="F2036" s="42" t="inlineStr">
        <is>
          <t>FR-367</t>
        </is>
      </c>
      <c r="G2036" s="55">
        <f>IFERROR(INDEX('Semrush Data'!$A$1:$Z$20000,MATCH(A2036,'Semrush Data'!$A$1:$A$20000,0),MATCH("Volume",'Semrush Data'!$A$1:$Z$1,0)),"")</f>
        <v/>
      </c>
      <c r="H2036" s="42">
        <f>IFERROR(INDEX('Semrush Data'!$A$1:$Z$20000,MATCH(A2036,'Semrush Data'!$A$1:$A$20000,0),MATCH("Keyword Difficulty*",'Semrush Data'!$A$1:$Z$1,0)),"")</f>
        <v/>
      </c>
      <c r="I2036" s="56">
        <f>IFERROR(INDEX('Semrush Data'!$A$1:$Z$20000,MATCH(A2036,'Semrush Data'!$A$1:$A$20000,0),MATCH("CPC*",'Semrush Data'!$A$1:$Z$1,0)),"")</f>
        <v/>
      </c>
      <c r="J2036" s="42">
        <f>IFERROR(INDEX('Semrush Data'!$A$1:$Z$20000,MATCH(A2036,'Semrush Data'!$A$1:$A$20000,0),MATCH("Intent",'Semrush Data'!$A$1:$Z$1,0)),"")</f>
        <v/>
      </c>
    </row>
    <row r="2037" ht="15" customHeight="1" s="37">
      <c r="A2037" s="42" t="inlineStr">
        <is>
          <t>buy tiziana terenzi orion online</t>
        </is>
      </c>
      <c r="B2037" s="42" t="inlineStr">
        <is>
          <t>Buy online</t>
        </is>
      </c>
      <c r="C2037" s="42" t="n">
        <v>3</v>
      </c>
      <c r="D2037" s="42" t="n">
        <v>21</v>
      </c>
      <c r="E2037" s="42" t="n">
        <v>1</v>
      </c>
      <c r="F2037" s="42" t="inlineStr">
        <is>
          <t>FR-368</t>
        </is>
      </c>
      <c r="G2037" s="55">
        <f>IFERROR(INDEX('Semrush Data'!$A$1:$Z$20000,MATCH(A2037,'Semrush Data'!$A$1:$A$20000,0),MATCH("Volume",'Semrush Data'!$A$1:$Z$1,0)),"")</f>
        <v/>
      </c>
      <c r="H2037" s="42">
        <f>IFERROR(INDEX('Semrush Data'!$A$1:$Z$20000,MATCH(A2037,'Semrush Data'!$A$1:$A$20000,0),MATCH("Keyword Difficulty*",'Semrush Data'!$A$1:$Z$1,0)),"")</f>
        <v/>
      </c>
      <c r="I2037" s="56">
        <f>IFERROR(INDEX('Semrush Data'!$A$1:$Z$20000,MATCH(A2037,'Semrush Data'!$A$1:$A$20000,0),MATCH("CPC*",'Semrush Data'!$A$1:$Z$1,0)),"")</f>
        <v/>
      </c>
      <c r="J2037" s="42">
        <f>IFERROR(INDEX('Semrush Data'!$A$1:$Z$20000,MATCH(A2037,'Semrush Data'!$A$1:$A$20000,0),MATCH("Intent",'Semrush Data'!$A$1:$Z$1,0)),"")</f>
        <v/>
      </c>
    </row>
    <row r="2038" ht="15" customHeight="1" s="37">
      <c r="A2038" s="42" t="inlineStr">
        <is>
          <t>buy tiziana terenzi orza linea tt online</t>
        </is>
      </c>
      <c r="B2038" s="42" t="inlineStr">
        <is>
          <t>Buy online</t>
        </is>
      </c>
      <c r="C2038" s="42" t="n">
        <v>3</v>
      </c>
      <c r="D2038" s="42" t="n">
        <v>21</v>
      </c>
      <c r="E2038" s="42" t="n">
        <v>1</v>
      </c>
      <c r="F2038" s="42" t="inlineStr">
        <is>
          <t>FR-369</t>
        </is>
      </c>
      <c r="G2038" s="55">
        <f>IFERROR(INDEX('Semrush Data'!$A$1:$Z$20000,MATCH(A2038,'Semrush Data'!$A$1:$A$20000,0),MATCH("Volume",'Semrush Data'!$A$1:$Z$1,0)),"")</f>
        <v/>
      </c>
      <c r="H2038" s="42">
        <f>IFERROR(INDEX('Semrush Data'!$A$1:$Z$20000,MATCH(A2038,'Semrush Data'!$A$1:$A$20000,0),MATCH("Keyword Difficulty*",'Semrush Data'!$A$1:$Z$1,0)),"")</f>
        <v/>
      </c>
      <c r="I2038" s="56">
        <f>IFERROR(INDEX('Semrush Data'!$A$1:$Z$20000,MATCH(A2038,'Semrush Data'!$A$1:$A$20000,0),MATCH("CPC*",'Semrush Data'!$A$1:$Z$1,0)),"")</f>
        <v/>
      </c>
      <c r="J2038" s="42">
        <f>IFERROR(INDEX('Semrush Data'!$A$1:$Z$20000,MATCH(A2038,'Semrush Data'!$A$1:$A$20000,0),MATCH("Intent",'Semrush Data'!$A$1:$Z$1,0)),"")</f>
        <v/>
      </c>
    </row>
    <row r="2039" ht="15" customHeight="1" s="37">
      <c r="A2039" s="42" t="inlineStr">
        <is>
          <t>buy tiziana terenzi porpora online</t>
        </is>
      </c>
      <c r="B2039" s="42" t="inlineStr">
        <is>
          <t>Buy online</t>
        </is>
      </c>
      <c r="C2039" s="42" t="n">
        <v>3</v>
      </c>
      <c r="D2039" s="42" t="n">
        <v>21</v>
      </c>
      <c r="E2039" s="42" t="n">
        <v>1</v>
      </c>
      <c r="F2039" s="42" t="inlineStr">
        <is>
          <t>FR-370</t>
        </is>
      </c>
      <c r="G2039" s="55">
        <f>IFERROR(INDEX('Semrush Data'!$A$1:$Z$20000,MATCH(A2039,'Semrush Data'!$A$1:$A$20000,0),MATCH("Volume",'Semrush Data'!$A$1:$Z$1,0)),"")</f>
        <v/>
      </c>
      <c r="H2039" s="42">
        <f>IFERROR(INDEX('Semrush Data'!$A$1:$Z$20000,MATCH(A2039,'Semrush Data'!$A$1:$A$20000,0),MATCH("Keyword Difficulty*",'Semrush Data'!$A$1:$Z$1,0)),"")</f>
        <v/>
      </c>
      <c r="I2039" s="56">
        <f>IFERROR(INDEX('Semrush Data'!$A$1:$Z$20000,MATCH(A2039,'Semrush Data'!$A$1:$A$20000,0),MATCH("CPC*",'Semrush Data'!$A$1:$Z$1,0)),"")</f>
        <v/>
      </c>
      <c r="J2039" s="42">
        <f>IFERROR(INDEX('Semrush Data'!$A$1:$Z$20000,MATCH(A2039,'Semrush Data'!$A$1:$A$20000,0),MATCH("Intent",'Semrush Data'!$A$1:$Z$1,0)),"")</f>
        <v/>
      </c>
    </row>
    <row r="2040" ht="15" customHeight="1" s="37">
      <c r="A2040" s="42" t="inlineStr">
        <is>
          <t>buy tiziana terenzi saiph online</t>
        </is>
      </c>
      <c r="B2040" s="42" t="inlineStr">
        <is>
          <t>Buy online</t>
        </is>
      </c>
      <c r="C2040" s="42" t="n">
        <v>3</v>
      </c>
      <c r="D2040" s="42" t="n">
        <v>21</v>
      </c>
      <c r="E2040" s="42" t="n">
        <v>1</v>
      </c>
      <c r="F2040" s="42" t="inlineStr">
        <is>
          <t>FR-371</t>
        </is>
      </c>
      <c r="G2040" s="55">
        <f>IFERROR(INDEX('Semrush Data'!$A$1:$Z$20000,MATCH(A2040,'Semrush Data'!$A$1:$A$20000,0),MATCH("Volume",'Semrush Data'!$A$1:$Z$1,0)),"")</f>
        <v/>
      </c>
      <c r="H2040" s="42">
        <f>IFERROR(INDEX('Semrush Data'!$A$1:$Z$20000,MATCH(A2040,'Semrush Data'!$A$1:$A$20000,0),MATCH("Keyword Difficulty*",'Semrush Data'!$A$1:$Z$1,0)),"")</f>
        <v/>
      </c>
      <c r="I2040" s="56">
        <f>IFERROR(INDEX('Semrush Data'!$A$1:$Z$20000,MATCH(A2040,'Semrush Data'!$A$1:$A$20000,0),MATCH("CPC*",'Semrush Data'!$A$1:$Z$1,0)),"")</f>
        <v/>
      </c>
      <c r="J2040" s="42">
        <f>IFERROR(INDEX('Semrush Data'!$A$1:$Z$20000,MATCH(A2040,'Semrush Data'!$A$1:$A$20000,0),MATCH("Intent",'Semrush Data'!$A$1:$Z$1,0)),"")</f>
        <v/>
      </c>
    </row>
    <row r="2041" ht="15" customHeight="1" s="37">
      <c r="A2041" s="42" t="inlineStr">
        <is>
          <t>buy tiziana terenzi sea stars collection deriva online</t>
        </is>
      </c>
      <c r="B2041" s="42" t="inlineStr">
        <is>
          <t>Buy online</t>
        </is>
      </c>
      <c r="C2041" s="42" t="n">
        <v>3</v>
      </c>
      <c r="D2041" s="42" t="n">
        <v>21</v>
      </c>
      <c r="E2041" s="42" t="n">
        <v>1</v>
      </c>
      <c r="F2041" s="42" t="inlineStr">
        <is>
          <t>FR-372</t>
        </is>
      </c>
      <c r="G2041" s="55">
        <f>IFERROR(INDEX('Semrush Data'!$A$1:$Z$20000,MATCH(A2041,'Semrush Data'!$A$1:$A$20000,0),MATCH("Volume",'Semrush Data'!$A$1:$Z$1,0)),"")</f>
        <v/>
      </c>
      <c r="H2041" s="42">
        <f>IFERROR(INDEX('Semrush Data'!$A$1:$Z$20000,MATCH(A2041,'Semrush Data'!$A$1:$A$20000,0),MATCH("Keyword Difficulty*",'Semrush Data'!$A$1:$Z$1,0)),"")</f>
        <v/>
      </c>
      <c r="I2041" s="56">
        <f>IFERROR(INDEX('Semrush Data'!$A$1:$Z$20000,MATCH(A2041,'Semrush Data'!$A$1:$A$20000,0),MATCH("CPC*",'Semrush Data'!$A$1:$Z$1,0)),"")</f>
        <v/>
      </c>
      <c r="J2041" s="42">
        <f>IFERROR(INDEX('Semrush Data'!$A$1:$Z$20000,MATCH(A2041,'Semrush Data'!$A$1:$A$20000,0),MATCH("Intent",'Semrush Data'!$A$1:$Z$1,0)),"")</f>
        <v/>
      </c>
    </row>
    <row r="2042" ht="15" customHeight="1" s="37">
      <c r="A2042" s="42" t="inlineStr">
        <is>
          <t>buy tiziana terenzi white fire online</t>
        </is>
      </c>
      <c r="B2042" s="42" t="inlineStr">
        <is>
          <t>Buy online</t>
        </is>
      </c>
      <c r="C2042" s="42" t="n">
        <v>3</v>
      </c>
      <c r="D2042" s="42" t="n">
        <v>21</v>
      </c>
      <c r="E2042" s="42" t="n">
        <v>1</v>
      </c>
      <c r="F2042" s="42" t="inlineStr">
        <is>
          <t>FR-373</t>
        </is>
      </c>
      <c r="G2042" s="55">
        <f>IFERROR(INDEX('Semrush Data'!$A$1:$Z$20000,MATCH(A2042,'Semrush Data'!$A$1:$A$20000,0),MATCH("Volume",'Semrush Data'!$A$1:$Z$1,0)),"")</f>
        <v/>
      </c>
      <c r="H2042" s="42">
        <f>IFERROR(INDEX('Semrush Data'!$A$1:$Z$20000,MATCH(A2042,'Semrush Data'!$A$1:$A$20000,0),MATCH("Keyword Difficulty*",'Semrush Data'!$A$1:$Z$1,0)),"")</f>
        <v/>
      </c>
      <c r="I2042" s="56">
        <f>IFERROR(INDEX('Semrush Data'!$A$1:$Z$20000,MATCH(A2042,'Semrush Data'!$A$1:$A$20000,0),MATCH("CPC*",'Semrush Data'!$A$1:$Z$1,0)),"")</f>
        <v/>
      </c>
      <c r="J2042" s="42">
        <f>IFERROR(INDEX('Semrush Data'!$A$1:$Z$20000,MATCH(A2042,'Semrush Data'!$A$1:$A$20000,0),MATCH("Intent",'Semrush Data'!$A$1:$Z$1,0)),"")</f>
        <v/>
      </c>
    </row>
    <row r="2043" ht="15" customHeight="1" s="37">
      <c r="A2043" s="42" t="inlineStr">
        <is>
          <t>buy tom ford black orchid online</t>
        </is>
      </c>
      <c r="B2043" s="42" t="inlineStr">
        <is>
          <t>Buy online</t>
        </is>
      </c>
      <c r="C2043" s="42" t="n">
        <v>3</v>
      </c>
      <c r="D2043" s="42" t="inlineStr">
        <is>
          <t>T3-1</t>
        </is>
      </c>
      <c r="E2043" s="42" t="n">
        <v>1</v>
      </c>
      <c r="F2043" s="42" t="inlineStr">
        <is>
          <t>FR-378</t>
        </is>
      </c>
      <c r="G2043" s="55">
        <f>IFERROR(INDEX('Semrush Data'!$A$1:$Z$20000,MATCH(A2043,'Semrush Data'!$A$1:$A$20000,0),MATCH("Volume",'Semrush Data'!$A$1:$Z$1,0)),"")</f>
        <v/>
      </c>
      <c r="H2043" s="42">
        <f>IFERROR(INDEX('Semrush Data'!$A$1:$Z$20000,MATCH(A2043,'Semrush Data'!$A$1:$A$20000,0),MATCH("Keyword Difficulty*",'Semrush Data'!$A$1:$Z$1,0)),"")</f>
        <v/>
      </c>
      <c r="I2043" s="56">
        <f>IFERROR(INDEX('Semrush Data'!$A$1:$Z$20000,MATCH(A2043,'Semrush Data'!$A$1:$A$20000,0),MATCH("CPC*",'Semrush Data'!$A$1:$Z$1,0)),"")</f>
        <v/>
      </c>
      <c r="J2043" s="42">
        <f>IFERROR(INDEX('Semrush Data'!$A$1:$Z$20000,MATCH(A2043,'Semrush Data'!$A$1:$A$20000,0),MATCH("Intent",'Semrush Data'!$A$1:$Z$1,0)),"")</f>
        <v/>
      </c>
    </row>
    <row r="2044" ht="15" customHeight="1" s="37">
      <c r="A2044" s="42" t="inlineStr">
        <is>
          <t>buy tom ford ebene fume online</t>
        </is>
      </c>
      <c r="B2044" s="42" t="inlineStr">
        <is>
          <t>Buy online</t>
        </is>
      </c>
      <c r="C2044" s="42" t="n">
        <v>3</v>
      </c>
      <c r="D2044" s="42" t="n">
        <v>21</v>
      </c>
      <c r="E2044" s="42" t="n">
        <v>1</v>
      </c>
      <c r="F2044" s="42" t="inlineStr">
        <is>
          <t>FR-377</t>
        </is>
      </c>
      <c r="G2044" s="55">
        <f>IFERROR(INDEX('Semrush Data'!$A$1:$Z$20000,MATCH(A2044,'Semrush Data'!$A$1:$A$20000,0),MATCH("Volume",'Semrush Data'!$A$1:$Z$1,0)),"")</f>
        <v/>
      </c>
      <c r="H2044" s="42">
        <f>IFERROR(INDEX('Semrush Data'!$A$1:$Z$20000,MATCH(A2044,'Semrush Data'!$A$1:$A$20000,0),MATCH("Keyword Difficulty*",'Semrush Data'!$A$1:$Z$1,0)),"")</f>
        <v/>
      </c>
      <c r="I2044" s="56">
        <f>IFERROR(INDEX('Semrush Data'!$A$1:$Z$20000,MATCH(A2044,'Semrush Data'!$A$1:$A$20000,0),MATCH("CPC*",'Semrush Data'!$A$1:$Z$1,0)),"")</f>
        <v/>
      </c>
      <c r="J2044" s="42">
        <f>IFERROR(INDEX('Semrush Data'!$A$1:$Z$20000,MATCH(A2044,'Semrush Data'!$A$1:$A$20000,0),MATCH("Intent",'Semrush Data'!$A$1:$Z$1,0)),"")</f>
        <v/>
      </c>
    </row>
    <row r="2045" ht="15" customHeight="1" s="37">
      <c r="A2045" s="42" t="inlineStr">
        <is>
          <t>buy tom ford neroli portofino online</t>
        </is>
      </c>
      <c r="B2045" s="42" t="inlineStr">
        <is>
          <t>Buy online</t>
        </is>
      </c>
      <c r="C2045" s="42" t="n">
        <v>3</v>
      </c>
      <c r="D2045" s="42" t="inlineStr">
        <is>
          <t>T3-1</t>
        </is>
      </c>
      <c r="E2045" s="42" t="n">
        <v>1</v>
      </c>
      <c r="F2045" s="42" t="inlineStr">
        <is>
          <t>FR-374</t>
        </is>
      </c>
      <c r="G2045" s="55">
        <f>IFERROR(INDEX('Semrush Data'!$A$1:$Z$20000,MATCH(A2045,'Semrush Data'!$A$1:$A$20000,0),MATCH("Volume",'Semrush Data'!$A$1:$Z$1,0)),"")</f>
        <v/>
      </c>
      <c r="H2045" s="42">
        <f>IFERROR(INDEX('Semrush Data'!$A$1:$Z$20000,MATCH(A2045,'Semrush Data'!$A$1:$A$20000,0),MATCH("Keyword Difficulty*",'Semrush Data'!$A$1:$Z$1,0)),"")</f>
        <v/>
      </c>
      <c r="I2045" s="56">
        <f>IFERROR(INDEX('Semrush Data'!$A$1:$Z$20000,MATCH(A2045,'Semrush Data'!$A$1:$A$20000,0),MATCH("CPC*",'Semrush Data'!$A$1:$Z$1,0)),"")</f>
        <v/>
      </c>
      <c r="J2045" s="42">
        <f>IFERROR(INDEX('Semrush Data'!$A$1:$Z$20000,MATCH(A2045,'Semrush Data'!$A$1:$A$20000,0),MATCH("Intent",'Semrush Data'!$A$1:$Z$1,0)),"")</f>
        <v/>
      </c>
    </row>
    <row r="2046" ht="15" customHeight="1" s="37">
      <c r="A2046" s="42" t="inlineStr">
        <is>
          <t>buy tom ford noir extreme online</t>
        </is>
      </c>
      <c r="B2046" s="42" t="inlineStr">
        <is>
          <t>Buy online</t>
        </is>
      </c>
      <c r="C2046" s="42" t="n">
        <v>3</v>
      </c>
      <c r="D2046" s="42" t="inlineStr">
        <is>
          <t>T3-1</t>
        </is>
      </c>
      <c r="E2046" s="42" t="n">
        <v>1</v>
      </c>
      <c r="F2046" s="42" t="inlineStr">
        <is>
          <t>FR-379</t>
        </is>
      </c>
      <c r="G2046" s="55">
        <f>IFERROR(INDEX('Semrush Data'!$A$1:$Z$20000,MATCH(A2046,'Semrush Data'!$A$1:$A$20000,0),MATCH("Volume",'Semrush Data'!$A$1:$Z$1,0)),"")</f>
        <v/>
      </c>
      <c r="H2046" s="42">
        <f>IFERROR(INDEX('Semrush Data'!$A$1:$Z$20000,MATCH(A2046,'Semrush Data'!$A$1:$A$20000,0),MATCH("Keyword Difficulty*",'Semrush Data'!$A$1:$Z$1,0)),"")</f>
        <v/>
      </c>
      <c r="I2046" s="56">
        <f>IFERROR(INDEX('Semrush Data'!$A$1:$Z$20000,MATCH(A2046,'Semrush Data'!$A$1:$A$20000,0),MATCH("CPC*",'Semrush Data'!$A$1:$Z$1,0)),"")</f>
        <v/>
      </c>
      <c r="J2046" s="42">
        <f>IFERROR(INDEX('Semrush Data'!$A$1:$Z$20000,MATCH(A2046,'Semrush Data'!$A$1:$A$20000,0),MATCH("Intent",'Semrush Data'!$A$1:$Z$1,0)),"")</f>
        <v/>
      </c>
    </row>
    <row r="2047" ht="15" customHeight="1" s="37">
      <c r="A2047" s="42" t="inlineStr">
        <is>
          <t>buy tom ford oud wood online</t>
        </is>
      </c>
      <c r="B2047" s="42" t="inlineStr">
        <is>
          <t>Buy online</t>
        </is>
      </c>
      <c r="C2047" s="42" t="n">
        <v>3</v>
      </c>
      <c r="D2047" s="42" t="inlineStr">
        <is>
          <t>T3-1</t>
        </is>
      </c>
      <c r="E2047" s="42" t="n">
        <v>2</v>
      </c>
      <c r="F2047" s="42" t="inlineStr">
        <is>
          <t>FR-375, FR-376</t>
        </is>
      </c>
      <c r="G2047" s="55">
        <f>IFERROR(INDEX('Semrush Data'!$A$1:$Z$20000,MATCH(A2047,'Semrush Data'!$A$1:$A$20000,0),MATCH("Volume",'Semrush Data'!$A$1:$Z$1,0)),"")</f>
        <v/>
      </c>
      <c r="H2047" s="42">
        <f>IFERROR(INDEX('Semrush Data'!$A$1:$Z$20000,MATCH(A2047,'Semrush Data'!$A$1:$A$20000,0),MATCH("Keyword Difficulty*",'Semrush Data'!$A$1:$Z$1,0)),"")</f>
        <v/>
      </c>
      <c r="I2047" s="56">
        <f>IFERROR(INDEX('Semrush Data'!$A$1:$Z$20000,MATCH(A2047,'Semrush Data'!$A$1:$A$20000,0),MATCH("CPC*",'Semrush Data'!$A$1:$Z$1,0)),"")</f>
        <v/>
      </c>
      <c r="J2047" s="42">
        <f>IFERROR(INDEX('Semrush Data'!$A$1:$Z$20000,MATCH(A2047,'Semrush Data'!$A$1:$A$20000,0),MATCH("Intent",'Semrush Data'!$A$1:$Z$1,0)),"")</f>
        <v/>
      </c>
    </row>
    <row r="2048" ht="15" customHeight="1" s="37">
      <c r="A2048" s="42" t="inlineStr">
        <is>
          <t>buy trussardi black extreme miniature online</t>
        </is>
      </c>
      <c r="B2048" s="42" t="inlineStr">
        <is>
          <t>Buy online</t>
        </is>
      </c>
      <c r="C2048" s="42" t="n">
        <v>3</v>
      </c>
      <c r="D2048" s="42" t="n">
        <v>21</v>
      </c>
      <c r="E2048" s="42" t="n">
        <v>1</v>
      </c>
      <c r="F2048" s="42" t="inlineStr">
        <is>
          <t>FR-382</t>
        </is>
      </c>
      <c r="G2048" s="55">
        <f>IFERROR(INDEX('Semrush Data'!$A$1:$Z$20000,MATCH(A2048,'Semrush Data'!$A$1:$A$20000,0),MATCH("Volume",'Semrush Data'!$A$1:$Z$1,0)),"")</f>
        <v/>
      </c>
      <c r="H2048" s="42">
        <f>IFERROR(INDEX('Semrush Data'!$A$1:$Z$20000,MATCH(A2048,'Semrush Data'!$A$1:$A$20000,0),MATCH("Keyword Difficulty*",'Semrush Data'!$A$1:$Z$1,0)),"")</f>
        <v/>
      </c>
      <c r="I2048" s="56">
        <f>IFERROR(INDEX('Semrush Data'!$A$1:$Z$20000,MATCH(A2048,'Semrush Data'!$A$1:$A$20000,0),MATCH("CPC*",'Semrush Data'!$A$1:$Z$1,0)),"")</f>
        <v/>
      </c>
      <c r="J2048" s="42">
        <f>IFERROR(INDEX('Semrush Data'!$A$1:$Z$20000,MATCH(A2048,'Semrush Data'!$A$1:$A$20000,0),MATCH("Intent",'Semrush Data'!$A$1:$Z$1,0)),"")</f>
        <v/>
      </c>
    </row>
    <row r="2049" ht="15" customHeight="1" s="37">
      <c r="A2049" s="42" t="inlineStr">
        <is>
          <t>buy trussardi delicate rose online</t>
        </is>
      </c>
      <c r="B2049" s="42" t="inlineStr">
        <is>
          <t>Buy online</t>
        </is>
      </c>
      <c r="C2049" s="42" t="n">
        <v>3</v>
      </c>
      <c r="D2049" s="42" t="n">
        <v>21</v>
      </c>
      <c r="E2049" s="42" t="n">
        <v>1</v>
      </c>
      <c r="F2049" s="42" t="inlineStr">
        <is>
          <t>FR-383</t>
        </is>
      </c>
      <c r="G2049" s="55">
        <f>IFERROR(INDEX('Semrush Data'!$A$1:$Z$20000,MATCH(A2049,'Semrush Data'!$A$1:$A$20000,0),MATCH("Volume",'Semrush Data'!$A$1:$Z$1,0)),"")</f>
        <v/>
      </c>
      <c r="H2049" s="42">
        <f>IFERROR(INDEX('Semrush Data'!$A$1:$Z$20000,MATCH(A2049,'Semrush Data'!$A$1:$A$20000,0),MATCH("Keyword Difficulty*",'Semrush Data'!$A$1:$Z$1,0)),"")</f>
        <v/>
      </c>
      <c r="I2049" s="56">
        <f>IFERROR(INDEX('Semrush Data'!$A$1:$Z$20000,MATCH(A2049,'Semrush Data'!$A$1:$A$20000,0),MATCH("CPC*",'Semrush Data'!$A$1:$Z$1,0)),"")</f>
        <v/>
      </c>
      <c r="J2049" s="42">
        <f>IFERROR(INDEX('Semrush Data'!$A$1:$Z$20000,MATCH(A2049,'Semrush Data'!$A$1:$A$20000,0),MATCH("Intent",'Semrush Data'!$A$1:$Z$1,0)),"")</f>
        <v/>
      </c>
    </row>
    <row r="2050" ht="15" customHeight="1" s="37">
      <c r="A2050" s="42" t="inlineStr">
        <is>
          <t>buy trussardi pure jasmine lifestyle mini gift set online</t>
        </is>
      </c>
      <c r="B2050" s="42" t="inlineStr">
        <is>
          <t>Buy online</t>
        </is>
      </c>
      <c r="C2050" s="42" t="n">
        <v>3</v>
      </c>
      <c r="D2050" s="42" t="n">
        <v>21</v>
      </c>
      <c r="E2050" s="42" t="n">
        <v>1</v>
      </c>
      <c r="F2050" s="42" t="inlineStr">
        <is>
          <t>FR-384</t>
        </is>
      </c>
      <c r="G2050" s="55">
        <f>IFERROR(INDEX('Semrush Data'!$A$1:$Z$20000,MATCH(A2050,'Semrush Data'!$A$1:$A$20000,0),MATCH("Volume",'Semrush Data'!$A$1:$Z$1,0)),"")</f>
        <v/>
      </c>
      <c r="H2050" s="42">
        <f>IFERROR(INDEX('Semrush Data'!$A$1:$Z$20000,MATCH(A2050,'Semrush Data'!$A$1:$A$20000,0),MATCH("Keyword Difficulty*",'Semrush Data'!$A$1:$Z$1,0)),"")</f>
        <v/>
      </c>
      <c r="I2050" s="56">
        <f>IFERROR(INDEX('Semrush Data'!$A$1:$Z$20000,MATCH(A2050,'Semrush Data'!$A$1:$A$20000,0),MATCH("CPC*",'Semrush Data'!$A$1:$Z$1,0)),"")</f>
        <v/>
      </c>
      <c r="J2050" s="42">
        <f>IFERROR(INDEX('Semrush Data'!$A$1:$Z$20000,MATCH(A2050,'Semrush Data'!$A$1:$A$20000,0),MATCH("Intent",'Semrush Data'!$A$1:$Z$1,0)),"")</f>
        <v/>
      </c>
    </row>
    <row r="2051" ht="15" customHeight="1" s="37">
      <c r="A2051" s="42" t="inlineStr">
        <is>
          <t>buy trussardi pure jasmine miniature online</t>
        </is>
      </c>
      <c r="B2051" s="42" t="inlineStr">
        <is>
          <t>Buy online</t>
        </is>
      </c>
      <c r="C2051" s="42" t="n">
        <v>3</v>
      </c>
      <c r="D2051" s="42" t="n">
        <v>21</v>
      </c>
      <c r="E2051" s="42" t="n">
        <v>1</v>
      </c>
      <c r="F2051" s="42" t="inlineStr">
        <is>
          <t>FR-380</t>
        </is>
      </c>
      <c r="G2051" s="55">
        <f>IFERROR(INDEX('Semrush Data'!$A$1:$Z$20000,MATCH(A2051,'Semrush Data'!$A$1:$A$20000,0),MATCH("Volume",'Semrush Data'!$A$1:$Z$1,0)),"")</f>
        <v/>
      </c>
      <c r="H2051" s="42">
        <f>IFERROR(INDEX('Semrush Data'!$A$1:$Z$20000,MATCH(A2051,'Semrush Data'!$A$1:$A$20000,0),MATCH("Keyword Difficulty*",'Semrush Data'!$A$1:$Z$1,0)),"")</f>
        <v/>
      </c>
      <c r="I2051" s="56">
        <f>IFERROR(INDEX('Semrush Data'!$A$1:$Z$20000,MATCH(A2051,'Semrush Data'!$A$1:$A$20000,0),MATCH("CPC*",'Semrush Data'!$A$1:$Z$1,0)),"")</f>
        <v/>
      </c>
      <c r="J2051" s="42">
        <f>IFERROR(INDEX('Semrush Data'!$A$1:$Z$20000,MATCH(A2051,'Semrush Data'!$A$1:$A$20000,0),MATCH("Intent",'Semrush Data'!$A$1:$Z$1,0)),"")</f>
        <v/>
      </c>
    </row>
    <row r="2052" ht="15" customHeight="1" s="37">
      <c r="A2052" s="42" t="inlineStr">
        <is>
          <t>buy trussardi pure jasmine online</t>
        </is>
      </c>
      <c r="B2052" s="42" t="inlineStr">
        <is>
          <t>Buy online</t>
        </is>
      </c>
      <c r="C2052" s="42" t="n">
        <v>3</v>
      </c>
      <c r="D2052" s="42" t="n">
        <v>21</v>
      </c>
      <c r="E2052" s="42" t="n">
        <v>1</v>
      </c>
      <c r="F2052" s="42" t="inlineStr">
        <is>
          <t>FR-381</t>
        </is>
      </c>
      <c r="G2052" s="55">
        <f>IFERROR(INDEX('Semrush Data'!$A$1:$Z$20000,MATCH(A2052,'Semrush Data'!$A$1:$A$20000,0),MATCH("Volume",'Semrush Data'!$A$1:$Z$1,0)),"")</f>
        <v/>
      </c>
      <c r="H2052" s="42">
        <f>IFERROR(INDEX('Semrush Data'!$A$1:$Z$20000,MATCH(A2052,'Semrush Data'!$A$1:$A$20000,0),MATCH("Keyword Difficulty*",'Semrush Data'!$A$1:$Z$1,0)),"")</f>
        <v/>
      </c>
      <c r="I2052" s="56">
        <f>IFERROR(INDEX('Semrush Data'!$A$1:$Z$20000,MATCH(A2052,'Semrush Data'!$A$1:$A$20000,0),MATCH("CPC*",'Semrush Data'!$A$1:$Z$1,0)),"")</f>
        <v/>
      </c>
      <c r="J2052" s="42">
        <f>IFERROR(INDEX('Semrush Data'!$A$1:$Z$20000,MATCH(A2052,'Semrush Data'!$A$1:$A$20000,0),MATCH("Intent",'Semrush Data'!$A$1:$Z$1,0)),"")</f>
        <v/>
      </c>
    </row>
    <row r="2053" ht="15" customHeight="1" s="37">
      <c r="A2053" s="42" t="inlineStr">
        <is>
          <t>buy trussardi ruby red gift set online</t>
        </is>
      </c>
      <c r="B2053" s="42" t="inlineStr">
        <is>
          <t>Buy online</t>
        </is>
      </c>
      <c r="C2053" s="42" t="n">
        <v>3</v>
      </c>
      <c r="D2053" s="42" t="n">
        <v>21</v>
      </c>
      <c r="E2053" s="42" t="n">
        <v>1</v>
      </c>
      <c r="F2053" s="42" t="inlineStr">
        <is>
          <t>FR-385</t>
        </is>
      </c>
      <c r="G2053" s="55">
        <f>IFERROR(INDEX('Semrush Data'!$A$1:$Z$20000,MATCH(A2053,'Semrush Data'!$A$1:$A$20000,0),MATCH("Volume",'Semrush Data'!$A$1:$Z$1,0)),"")</f>
        <v/>
      </c>
      <c r="H2053" s="42">
        <f>IFERROR(INDEX('Semrush Data'!$A$1:$Z$20000,MATCH(A2053,'Semrush Data'!$A$1:$A$20000,0),MATCH("Keyword Difficulty*",'Semrush Data'!$A$1:$Z$1,0)),"")</f>
        <v/>
      </c>
      <c r="I2053" s="56">
        <f>IFERROR(INDEX('Semrush Data'!$A$1:$Z$20000,MATCH(A2053,'Semrush Data'!$A$1:$A$20000,0),MATCH("CPC*",'Semrush Data'!$A$1:$Z$1,0)),"")</f>
        <v/>
      </c>
      <c r="J2053" s="42">
        <f>IFERROR(INDEX('Semrush Data'!$A$1:$Z$20000,MATCH(A2053,'Semrush Data'!$A$1:$A$20000,0),MATCH("Intent",'Semrush Data'!$A$1:$Z$1,0)),"")</f>
        <v/>
      </c>
    </row>
    <row r="2054" ht="15" customHeight="1" s="37">
      <c r="A2054" s="42" t="inlineStr">
        <is>
          <t>buy viktor &amp; rolf good fortune miniature online</t>
        </is>
      </c>
      <c r="B2054" s="42" t="inlineStr">
        <is>
          <t>Buy online</t>
        </is>
      </c>
      <c r="C2054" s="42" t="n">
        <v>3</v>
      </c>
      <c r="D2054" s="42" t="n">
        <v>21</v>
      </c>
      <c r="E2054" s="42" t="n">
        <v>1</v>
      </c>
      <c r="F2054" s="42" t="inlineStr">
        <is>
          <t>FR-386</t>
        </is>
      </c>
      <c r="G2054" s="55">
        <f>IFERROR(INDEX('Semrush Data'!$A$1:$Z$20000,MATCH(A2054,'Semrush Data'!$A$1:$A$20000,0),MATCH("Volume",'Semrush Data'!$A$1:$Z$1,0)),"")</f>
        <v/>
      </c>
      <c r="H2054" s="42">
        <f>IFERROR(INDEX('Semrush Data'!$A$1:$Z$20000,MATCH(A2054,'Semrush Data'!$A$1:$A$20000,0),MATCH("Keyword Difficulty*",'Semrush Data'!$A$1:$Z$1,0)),"")</f>
        <v/>
      </c>
      <c r="I2054" s="56">
        <f>IFERROR(INDEX('Semrush Data'!$A$1:$Z$20000,MATCH(A2054,'Semrush Data'!$A$1:$A$20000,0),MATCH("CPC*",'Semrush Data'!$A$1:$Z$1,0)),"")</f>
        <v/>
      </c>
      <c r="J2054" s="42">
        <f>IFERROR(INDEX('Semrush Data'!$A$1:$Z$20000,MATCH(A2054,'Semrush Data'!$A$1:$A$20000,0),MATCH("Intent",'Semrush Data'!$A$1:$Z$1,0)),"")</f>
        <v/>
      </c>
    </row>
    <row r="2055" ht="15" customHeight="1" s="37">
      <c r="A2055" s="42" t="inlineStr">
        <is>
          <t>buy vilvah aloe vera gel online</t>
        </is>
      </c>
      <c r="B2055" s="42" t="inlineStr">
        <is>
          <t>Buy online</t>
        </is>
      </c>
      <c r="C2055" s="42" t="n">
        <v>3</v>
      </c>
      <c r="D2055" s="42" t="n">
        <v>21</v>
      </c>
      <c r="E2055" s="42" t="n">
        <v>1</v>
      </c>
      <c r="F2055" s="42" t="inlineStr">
        <is>
          <t>VD-020</t>
        </is>
      </c>
      <c r="G2055" s="55">
        <f>IFERROR(INDEX('Semrush Data'!$A$1:$Z$20000,MATCH(A2055,'Semrush Data'!$A$1:$A$20000,0),MATCH("Volume",'Semrush Data'!$A$1:$Z$1,0)),"")</f>
        <v/>
      </c>
      <c r="H2055" s="42">
        <f>IFERROR(INDEX('Semrush Data'!$A$1:$Z$20000,MATCH(A2055,'Semrush Data'!$A$1:$A$20000,0),MATCH("Keyword Difficulty*",'Semrush Data'!$A$1:$Z$1,0)),"")</f>
        <v/>
      </c>
      <c r="I2055" s="56">
        <f>IFERROR(INDEX('Semrush Data'!$A$1:$Z$20000,MATCH(A2055,'Semrush Data'!$A$1:$A$20000,0),MATCH("CPC*",'Semrush Data'!$A$1:$Z$1,0)),"")</f>
        <v/>
      </c>
      <c r="J2055" s="42">
        <f>IFERROR(INDEX('Semrush Data'!$A$1:$Z$20000,MATCH(A2055,'Semrush Data'!$A$1:$A$20000,0),MATCH("Intent",'Semrush Data'!$A$1:$Z$1,0)),"")</f>
        <v/>
      </c>
    </row>
    <row r="2056" ht="15" customHeight="1" s="37">
      <c r="A2056" s="42" t="inlineStr">
        <is>
          <t>buy vilvah am brightening kit online</t>
        </is>
      </c>
      <c r="B2056" s="42" t="inlineStr">
        <is>
          <t>Buy online</t>
        </is>
      </c>
      <c r="C2056" s="42" t="n">
        <v>3</v>
      </c>
      <c r="D2056" s="42" t="n">
        <v>21</v>
      </c>
      <c r="E2056" s="42" t="n">
        <v>1</v>
      </c>
      <c r="F2056" s="42" t="inlineStr">
        <is>
          <t>VD-059</t>
        </is>
      </c>
      <c r="G2056" s="55">
        <f>IFERROR(INDEX('Semrush Data'!$A$1:$Z$20000,MATCH(A2056,'Semrush Data'!$A$1:$A$20000,0),MATCH("Volume",'Semrush Data'!$A$1:$Z$1,0)),"")</f>
        <v/>
      </c>
      <c r="H2056" s="42">
        <f>IFERROR(INDEX('Semrush Data'!$A$1:$Z$20000,MATCH(A2056,'Semrush Data'!$A$1:$A$20000,0),MATCH("Keyword Difficulty*",'Semrush Data'!$A$1:$Z$1,0)),"")</f>
        <v/>
      </c>
      <c r="I2056" s="56">
        <f>IFERROR(INDEX('Semrush Data'!$A$1:$Z$20000,MATCH(A2056,'Semrush Data'!$A$1:$A$20000,0),MATCH("CPC*",'Semrush Data'!$A$1:$Z$1,0)),"")</f>
        <v/>
      </c>
      <c r="J2056" s="42">
        <f>IFERROR(INDEX('Semrush Data'!$A$1:$Z$20000,MATCH(A2056,'Semrush Data'!$A$1:$A$20000,0),MATCH("Intent",'Semrush Data'!$A$1:$Z$1,0)),"")</f>
        <v/>
      </c>
    </row>
    <row r="2057" ht="15" customHeight="1" s="37">
      <c r="A2057" s="42" t="inlineStr">
        <is>
          <t>buy vilvah am pm serum kit online</t>
        </is>
      </c>
      <c r="B2057" s="42" t="inlineStr">
        <is>
          <t>Buy online</t>
        </is>
      </c>
      <c r="C2057" s="42" t="n">
        <v>3</v>
      </c>
      <c r="D2057" s="42" t="n">
        <v>21</v>
      </c>
      <c r="E2057" s="42" t="n">
        <v>1</v>
      </c>
      <c r="F2057" s="42" t="inlineStr">
        <is>
          <t>VD-057</t>
        </is>
      </c>
      <c r="G2057" s="55">
        <f>IFERROR(INDEX('Semrush Data'!$A$1:$Z$20000,MATCH(A2057,'Semrush Data'!$A$1:$A$20000,0),MATCH("Volume",'Semrush Data'!$A$1:$Z$1,0)),"")</f>
        <v/>
      </c>
      <c r="H2057" s="42">
        <f>IFERROR(INDEX('Semrush Data'!$A$1:$Z$20000,MATCH(A2057,'Semrush Data'!$A$1:$A$20000,0),MATCH("Keyword Difficulty*",'Semrush Data'!$A$1:$Z$1,0)),"")</f>
        <v/>
      </c>
      <c r="I2057" s="56">
        <f>IFERROR(INDEX('Semrush Data'!$A$1:$Z$20000,MATCH(A2057,'Semrush Data'!$A$1:$A$20000,0),MATCH("CPC*",'Semrush Data'!$A$1:$Z$1,0)),"")</f>
        <v/>
      </c>
      <c r="J2057" s="42">
        <f>IFERROR(INDEX('Semrush Data'!$A$1:$Z$20000,MATCH(A2057,'Semrush Data'!$A$1:$A$20000,0),MATCH("Intent",'Semrush Data'!$A$1:$Z$1,0)),"")</f>
        <v/>
      </c>
    </row>
    <row r="2058" ht="15" customHeight="1" s="37">
      <c r="A2058" s="42" t="inlineStr">
        <is>
          <t>buy vilvah anti frizz hair kit online</t>
        </is>
      </c>
      <c r="B2058" s="42" t="inlineStr">
        <is>
          <t>Buy online</t>
        </is>
      </c>
      <c r="C2058" s="42" t="n">
        <v>3</v>
      </c>
      <c r="D2058" s="42" t="n">
        <v>21</v>
      </c>
      <c r="E2058" s="42" t="n">
        <v>1</v>
      </c>
      <c r="F2058" s="42" t="inlineStr">
        <is>
          <t>VD-075</t>
        </is>
      </c>
      <c r="G2058" s="55">
        <f>IFERROR(INDEX('Semrush Data'!$A$1:$Z$20000,MATCH(A2058,'Semrush Data'!$A$1:$A$20000,0),MATCH("Volume",'Semrush Data'!$A$1:$Z$1,0)),"")</f>
        <v/>
      </c>
      <c r="H2058" s="42">
        <f>IFERROR(INDEX('Semrush Data'!$A$1:$Z$20000,MATCH(A2058,'Semrush Data'!$A$1:$A$20000,0),MATCH("Keyword Difficulty*",'Semrush Data'!$A$1:$Z$1,0)),"")</f>
        <v/>
      </c>
      <c r="I2058" s="56">
        <f>IFERROR(INDEX('Semrush Data'!$A$1:$Z$20000,MATCH(A2058,'Semrush Data'!$A$1:$A$20000,0),MATCH("CPC*",'Semrush Data'!$A$1:$Z$1,0)),"")</f>
        <v/>
      </c>
      <c r="J2058" s="42">
        <f>IFERROR(INDEX('Semrush Data'!$A$1:$Z$20000,MATCH(A2058,'Semrush Data'!$A$1:$A$20000,0),MATCH("Intent",'Semrush Data'!$A$1:$Z$1,0)),"")</f>
        <v/>
      </c>
    </row>
    <row r="2059" ht="15" customHeight="1" s="37">
      <c r="A2059" s="42" t="inlineStr">
        <is>
          <t>buy vilvah anti-dandruff hair oil online</t>
        </is>
      </c>
      <c r="B2059" s="42" t="inlineStr">
        <is>
          <t>Buy online</t>
        </is>
      </c>
      <c r="C2059" s="42" t="n">
        <v>3</v>
      </c>
      <c r="D2059" s="42" t="n">
        <v>21</v>
      </c>
      <c r="E2059" s="42" t="n">
        <v>1</v>
      </c>
      <c r="F2059" s="42" t="inlineStr">
        <is>
          <t>VD-021</t>
        </is>
      </c>
      <c r="G2059" s="55">
        <f>IFERROR(INDEX('Semrush Data'!$A$1:$Z$20000,MATCH(A2059,'Semrush Data'!$A$1:$A$20000,0),MATCH("Volume",'Semrush Data'!$A$1:$Z$1,0)),"")</f>
        <v/>
      </c>
      <c r="H2059" s="42">
        <f>IFERROR(INDEX('Semrush Data'!$A$1:$Z$20000,MATCH(A2059,'Semrush Data'!$A$1:$A$20000,0),MATCH("Keyword Difficulty*",'Semrush Data'!$A$1:$Z$1,0)),"")</f>
        <v/>
      </c>
      <c r="I2059" s="56">
        <f>IFERROR(INDEX('Semrush Data'!$A$1:$Z$20000,MATCH(A2059,'Semrush Data'!$A$1:$A$20000,0),MATCH("CPC*",'Semrush Data'!$A$1:$Z$1,0)),"")</f>
        <v/>
      </c>
      <c r="J2059" s="42">
        <f>IFERROR(INDEX('Semrush Data'!$A$1:$Z$20000,MATCH(A2059,'Semrush Data'!$A$1:$A$20000,0),MATCH("Intent",'Semrush Data'!$A$1:$Z$1,0)),"")</f>
        <v/>
      </c>
    </row>
    <row r="2060" ht="15" customHeight="1" s="37">
      <c r="A2060" s="42" t="inlineStr">
        <is>
          <t>buy vilvah anti-frizz hair serum online</t>
        </is>
      </c>
      <c r="B2060" s="42" t="inlineStr">
        <is>
          <t>Buy online</t>
        </is>
      </c>
      <c r="C2060" s="42" t="n">
        <v>3</v>
      </c>
      <c r="D2060" s="42" t="n">
        <v>21</v>
      </c>
      <c r="E2060" s="42" t="n">
        <v>1</v>
      </c>
      <c r="F2060" s="42" t="inlineStr">
        <is>
          <t>VD-022</t>
        </is>
      </c>
      <c r="G2060" s="55">
        <f>IFERROR(INDEX('Semrush Data'!$A$1:$Z$20000,MATCH(A2060,'Semrush Data'!$A$1:$A$20000,0),MATCH("Volume",'Semrush Data'!$A$1:$Z$1,0)),"")</f>
        <v/>
      </c>
      <c r="H2060" s="42">
        <f>IFERROR(INDEX('Semrush Data'!$A$1:$Z$20000,MATCH(A2060,'Semrush Data'!$A$1:$A$20000,0),MATCH("Keyword Difficulty*",'Semrush Data'!$A$1:$Z$1,0)),"")</f>
        <v/>
      </c>
      <c r="I2060" s="56">
        <f>IFERROR(INDEX('Semrush Data'!$A$1:$Z$20000,MATCH(A2060,'Semrush Data'!$A$1:$A$20000,0),MATCH("CPC*",'Semrush Data'!$A$1:$Z$1,0)),"")</f>
        <v/>
      </c>
      <c r="J2060" s="42">
        <f>IFERROR(INDEX('Semrush Data'!$A$1:$Z$20000,MATCH(A2060,'Semrush Data'!$A$1:$A$20000,0),MATCH("Intent",'Semrush Data'!$A$1:$Z$1,0)),"")</f>
        <v/>
      </c>
    </row>
    <row r="2061" ht="15" customHeight="1" s="37">
      <c r="A2061" s="42" t="inlineStr">
        <is>
          <t>buy vilvah anti‑acne kit online</t>
        </is>
      </c>
      <c r="B2061" s="42" t="inlineStr">
        <is>
          <t>Buy online</t>
        </is>
      </c>
      <c r="C2061" s="42" t="n">
        <v>3</v>
      </c>
      <c r="D2061" s="42" t="n">
        <v>21</v>
      </c>
      <c r="E2061" s="42" t="n">
        <v>1</v>
      </c>
      <c r="F2061" s="42" t="inlineStr">
        <is>
          <t>VD-052</t>
        </is>
      </c>
      <c r="G2061" s="55">
        <f>IFERROR(INDEX('Semrush Data'!$A$1:$Z$20000,MATCH(A2061,'Semrush Data'!$A$1:$A$20000,0),MATCH("Volume",'Semrush Data'!$A$1:$Z$1,0)),"")</f>
        <v/>
      </c>
      <c r="H2061" s="42">
        <f>IFERROR(INDEX('Semrush Data'!$A$1:$Z$20000,MATCH(A2061,'Semrush Data'!$A$1:$A$20000,0),MATCH("Keyword Difficulty*",'Semrush Data'!$A$1:$Z$1,0)),"")</f>
        <v/>
      </c>
      <c r="I2061" s="56">
        <f>IFERROR(INDEX('Semrush Data'!$A$1:$Z$20000,MATCH(A2061,'Semrush Data'!$A$1:$A$20000,0),MATCH("CPC*",'Semrush Data'!$A$1:$Z$1,0)),"")</f>
        <v/>
      </c>
      <c r="J2061" s="42">
        <f>IFERROR(INDEX('Semrush Data'!$A$1:$Z$20000,MATCH(A2061,'Semrush Data'!$A$1:$A$20000,0),MATCH("Intent",'Semrush Data'!$A$1:$Z$1,0)),"")</f>
        <v/>
      </c>
    </row>
    <row r="2062" ht="15" customHeight="1" s="37">
      <c r="A2062" s="42" t="inlineStr">
        <is>
          <t>buy vilvah anti‑dandruff haircare kit online</t>
        </is>
      </c>
      <c r="B2062" s="42" t="inlineStr">
        <is>
          <t>Buy online</t>
        </is>
      </c>
      <c r="C2062" s="42" t="n">
        <v>3</v>
      </c>
      <c r="D2062" s="42" t="n">
        <v>21</v>
      </c>
      <c r="E2062" s="42" t="n">
        <v>2</v>
      </c>
      <c r="F2062" s="42" t="inlineStr">
        <is>
          <t>VD-053, VD-078</t>
        </is>
      </c>
      <c r="G2062" s="55">
        <f>IFERROR(INDEX('Semrush Data'!$A$1:$Z$20000,MATCH(A2062,'Semrush Data'!$A$1:$A$20000,0),MATCH("Volume",'Semrush Data'!$A$1:$Z$1,0)),"")</f>
        <v/>
      </c>
      <c r="H2062" s="42">
        <f>IFERROR(INDEX('Semrush Data'!$A$1:$Z$20000,MATCH(A2062,'Semrush Data'!$A$1:$A$20000,0),MATCH("Keyword Difficulty*",'Semrush Data'!$A$1:$Z$1,0)),"")</f>
        <v/>
      </c>
      <c r="I2062" s="56">
        <f>IFERROR(INDEX('Semrush Data'!$A$1:$Z$20000,MATCH(A2062,'Semrush Data'!$A$1:$A$20000,0),MATCH("CPC*",'Semrush Data'!$A$1:$Z$1,0)),"")</f>
        <v/>
      </c>
      <c r="J2062" s="42">
        <f>IFERROR(INDEX('Semrush Data'!$A$1:$Z$20000,MATCH(A2062,'Semrush Data'!$A$1:$A$20000,0),MATCH("Intent",'Semrush Data'!$A$1:$Z$1,0)),"")</f>
        <v/>
      </c>
    </row>
    <row r="2063" ht="15" customHeight="1" s="37">
      <c r="A2063" s="42" t="inlineStr">
        <is>
          <t>buy vilvah bestseller hair kit online</t>
        </is>
      </c>
      <c r="B2063" s="42" t="inlineStr">
        <is>
          <t>Buy online</t>
        </is>
      </c>
      <c r="C2063" s="42" t="n">
        <v>3</v>
      </c>
      <c r="D2063" s="42" t="n">
        <v>21</v>
      </c>
      <c r="E2063" s="42" t="n">
        <v>1</v>
      </c>
      <c r="F2063" s="42" t="inlineStr">
        <is>
          <t>VD-070</t>
        </is>
      </c>
      <c r="G2063" s="55">
        <f>IFERROR(INDEX('Semrush Data'!$A$1:$Z$20000,MATCH(A2063,'Semrush Data'!$A$1:$A$20000,0),MATCH("Volume",'Semrush Data'!$A$1:$Z$1,0)),"")</f>
        <v/>
      </c>
      <c r="H2063" s="42">
        <f>IFERROR(INDEX('Semrush Data'!$A$1:$Z$20000,MATCH(A2063,'Semrush Data'!$A$1:$A$20000,0),MATCH("Keyword Difficulty*",'Semrush Data'!$A$1:$Z$1,0)),"")</f>
        <v/>
      </c>
      <c r="I2063" s="56">
        <f>IFERROR(INDEX('Semrush Data'!$A$1:$Z$20000,MATCH(A2063,'Semrush Data'!$A$1:$A$20000,0),MATCH("CPC*",'Semrush Data'!$A$1:$Z$1,0)),"")</f>
        <v/>
      </c>
      <c r="J2063" s="42">
        <f>IFERROR(INDEX('Semrush Data'!$A$1:$Z$20000,MATCH(A2063,'Semrush Data'!$A$1:$A$20000,0),MATCH("Intent",'Semrush Data'!$A$1:$Z$1,0)),"")</f>
        <v/>
      </c>
    </row>
    <row r="2064" ht="15" customHeight="1" s="37">
      <c r="A2064" s="42" t="inlineStr">
        <is>
          <t>buy vilvah better ageing kit online</t>
        </is>
      </c>
      <c r="B2064" s="42" t="inlineStr">
        <is>
          <t>Buy online</t>
        </is>
      </c>
      <c r="C2064" s="42" t="n">
        <v>3</v>
      </c>
      <c r="D2064" s="42" t="n">
        <v>21</v>
      </c>
      <c r="E2064" s="42" t="n">
        <v>1</v>
      </c>
      <c r="F2064" s="42" t="inlineStr">
        <is>
          <t>VD-058</t>
        </is>
      </c>
      <c r="G2064" s="55">
        <f>IFERROR(INDEX('Semrush Data'!$A$1:$Z$20000,MATCH(A2064,'Semrush Data'!$A$1:$A$20000,0),MATCH("Volume",'Semrush Data'!$A$1:$Z$1,0)),"")</f>
        <v/>
      </c>
      <c r="H2064" s="42">
        <f>IFERROR(INDEX('Semrush Data'!$A$1:$Z$20000,MATCH(A2064,'Semrush Data'!$A$1:$A$20000,0),MATCH("Keyword Difficulty*",'Semrush Data'!$A$1:$Z$1,0)),"")</f>
        <v/>
      </c>
      <c r="I2064" s="56">
        <f>IFERROR(INDEX('Semrush Data'!$A$1:$Z$20000,MATCH(A2064,'Semrush Data'!$A$1:$A$20000,0),MATCH("CPC*",'Semrush Data'!$A$1:$Z$1,0)),"")</f>
        <v/>
      </c>
      <c r="J2064" s="42">
        <f>IFERROR(INDEX('Semrush Data'!$A$1:$Z$20000,MATCH(A2064,'Semrush Data'!$A$1:$A$20000,0),MATCH("Intent",'Semrush Data'!$A$1:$Z$1,0)),"")</f>
        <v/>
      </c>
    </row>
    <row r="2065" ht="15" customHeight="1" s="37">
      <c r="A2065" s="42" t="inlineStr">
        <is>
          <t>buy vilvah better ageing serum online</t>
        </is>
      </c>
      <c r="B2065" s="42" t="inlineStr">
        <is>
          <t>Buy online</t>
        </is>
      </c>
      <c r="C2065" s="42" t="n">
        <v>3</v>
      </c>
      <c r="D2065" s="42" t="n">
        <v>21</v>
      </c>
      <c r="E2065" s="42" t="n">
        <v>1</v>
      </c>
      <c r="F2065" s="42" t="inlineStr">
        <is>
          <t>VD-023</t>
        </is>
      </c>
      <c r="G2065" s="55">
        <f>IFERROR(INDEX('Semrush Data'!$A$1:$Z$20000,MATCH(A2065,'Semrush Data'!$A$1:$A$20000,0),MATCH("Volume",'Semrush Data'!$A$1:$Z$1,0)),"")</f>
        <v/>
      </c>
      <c r="H2065" s="42">
        <f>IFERROR(INDEX('Semrush Data'!$A$1:$Z$20000,MATCH(A2065,'Semrush Data'!$A$1:$A$20000,0),MATCH("Keyword Difficulty*",'Semrush Data'!$A$1:$Z$1,0)),"")</f>
        <v/>
      </c>
      <c r="I2065" s="56">
        <f>IFERROR(INDEX('Semrush Data'!$A$1:$Z$20000,MATCH(A2065,'Semrush Data'!$A$1:$A$20000,0),MATCH("CPC*",'Semrush Data'!$A$1:$Z$1,0)),"")</f>
        <v/>
      </c>
      <c r="J2065" s="42">
        <f>IFERROR(INDEX('Semrush Data'!$A$1:$Z$20000,MATCH(A2065,'Semrush Data'!$A$1:$A$20000,0),MATCH("Intent",'Semrush Data'!$A$1:$Z$1,0)),"")</f>
        <v/>
      </c>
    </row>
    <row r="2066" ht="15" customHeight="1" s="37">
      <c r="A2066" s="42" t="inlineStr">
        <is>
          <t>buy vilvah body polishing kit online</t>
        </is>
      </c>
      <c r="B2066" s="42" t="inlineStr">
        <is>
          <t>Buy online</t>
        </is>
      </c>
      <c r="C2066" s="42" t="n">
        <v>3</v>
      </c>
      <c r="D2066" s="42" t="n">
        <v>21</v>
      </c>
      <c r="E2066" s="42" t="n">
        <v>1</v>
      </c>
      <c r="F2066" s="42" t="inlineStr">
        <is>
          <t>VD-076</t>
        </is>
      </c>
      <c r="G2066" s="55">
        <f>IFERROR(INDEX('Semrush Data'!$A$1:$Z$20000,MATCH(A2066,'Semrush Data'!$A$1:$A$20000,0),MATCH("Volume",'Semrush Data'!$A$1:$Z$1,0)),"")</f>
        <v/>
      </c>
      <c r="H2066" s="42">
        <f>IFERROR(INDEX('Semrush Data'!$A$1:$Z$20000,MATCH(A2066,'Semrush Data'!$A$1:$A$20000,0),MATCH("Keyword Difficulty*",'Semrush Data'!$A$1:$Z$1,0)),"")</f>
        <v/>
      </c>
      <c r="I2066" s="56">
        <f>IFERROR(INDEX('Semrush Data'!$A$1:$Z$20000,MATCH(A2066,'Semrush Data'!$A$1:$A$20000,0),MATCH("CPC*",'Semrush Data'!$A$1:$Z$1,0)),"")</f>
        <v/>
      </c>
      <c r="J2066" s="42">
        <f>IFERROR(INDEX('Semrush Data'!$A$1:$Z$20000,MATCH(A2066,'Semrush Data'!$A$1:$A$20000,0),MATCH("Intent",'Semrush Data'!$A$1:$Z$1,0)),"")</f>
        <v/>
      </c>
    </row>
    <row r="2067" ht="15" customHeight="1" s="37">
      <c r="A2067" s="42" t="inlineStr">
        <is>
          <t>buy vilvah budget skincare combo online</t>
        </is>
      </c>
      <c r="B2067" s="42" t="inlineStr">
        <is>
          <t>Buy online</t>
        </is>
      </c>
      <c r="C2067" s="42" t="n">
        <v>3</v>
      </c>
      <c r="D2067" s="42" t="n">
        <v>21</v>
      </c>
      <c r="E2067" s="42" t="n">
        <v>1</v>
      </c>
      <c r="F2067" s="42" t="inlineStr">
        <is>
          <t>VD-065</t>
        </is>
      </c>
      <c r="G2067" s="55">
        <f>IFERROR(INDEX('Semrush Data'!$A$1:$Z$20000,MATCH(A2067,'Semrush Data'!$A$1:$A$20000,0),MATCH("Volume",'Semrush Data'!$A$1:$Z$1,0)),"")</f>
        <v/>
      </c>
      <c r="H2067" s="42">
        <f>IFERROR(INDEX('Semrush Data'!$A$1:$Z$20000,MATCH(A2067,'Semrush Data'!$A$1:$A$20000,0),MATCH("Keyword Difficulty*",'Semrush Data'!$A$1:$Z$1,0)),"")</f>
        <v/>
      </c>
      <c r="I2067" s="56">
        <f>IFERROR(INDEX('Semrush Data'!$A$1:$Z$20000,MATCH(A2067,'Semrush Data'!$A$1:$A$20000,0),MATCH("CPC*",'Semrush Data'!$A$1:$Z$1,0)),"")</f>
        <v/>
      </c>
      <c r="J2067" s="42">
        <f>IFERROR(INDEX('Semrush Data'!$A$1:$Z$20000,MATCH(A2067,'Semrush Data'!$A$1:$A$20000,0),MATCH("Intent",'Semrush Data'!$A$1:$Z$1,0)),"")</f>
        <v/>
      </c>
    </row>
    <row r="2068" ht="15" customHeight="1" s="37">
      <c r="A2068" s="42" t="inlineStr">
        <is>
          <t>buy vilvah charcoal facemask online</t>
        </is>
      </c>
      <c r="B2068" s="42" t="inlineStr">
        <is>
          <t>Buy online</t>
        </is>
      </c>
      <c r="C2068" s="42" t="n">
        <v>3</v>
      </c>
      <c r="D2068" s="42" t="n">
        <v>21</v>
      </c>
      <c r="E2068" s="42" t="n">
        <v>1</v>
      </c>
      <c r="F2068" s="42" t="inlineStr">
        <is>
          <t>VD-024</t>
        </is>
      </c>
      <c r="G2068" s="55">
        <f>IFERROR(INDEX('Semrush Data'!$A$1:$Z$20000,MATCH(A2068,'Semrush Data'!$A$1:$A$20000,0),MATCH("Volume",'Semrush Data'!$A$1:$Z$1,0)),"")</f>
        <v/>
      </c>
      <c r="H2068" s="42">
        <f>IFERROR(INDEX('Semrush Data'!$A$1:$Z$20000,MATCH(A2068,'Semrush Data'!$A$1:$A$20000,0),MATCH("Keyword Difficulty*",'Semrush Data'!$A$1:$Z$1,0)),"")</f>
        <v/>
      </c>
      <c r="I2068" s="56">
        <f>IFERROR(INDEX('Semrush Data'!$A$1:$Z$20000,MATCH(A2068,'Semrush Data'!$A$1:$A$20000,0),MATCH("CPC*",'Semrush Data'!$A$1:$Z$1,0)),"")</f>
        <v/>
      </c>
      <c r="J2068" s="42">
        <f>IFERROR(INDEX('Semrush Data'!$A$1:$Z$20000,MATCH(A2068,'Semrush Data'!$A$1:$A$20000,0),MATCH("Intent",'Semrush Data'!$A$1:$Z$1,0)),"")</f>
        <v/>
      </c>
    </row>
    <row r="2069" ht="15" customHeight="1" s="37">
      <c r="A2069" s="42" t="inlineStr">
        <is>
          <t>buy vilvah charcoal goatmilk soap online</t>
        </is>
      </c>
      <c r="B2069" s="42" t="inlineStr">
        <is>
          <t>Buy online</t>
        </is>
      </c>
      <c r="C2069" s="42" t="n">
        <v>3</v>
      </c>
      <c r="D2069" s="42" t="n">
        <v>21</v>
      </c>
      <c r="E2069" s="42" t="n">
        <v>1</v>
      </c>
      <c r="F2069" s="42" t="inlineStr">
        <is>
          <t>VD-011</t>
        </is>
      </c>
      <c r="G2069" s="55">
        <f>IFERROR(INDEX('Semrush Data'!$A$1:$Z$20000,MATCH(A2069,'Semrush Data'!$A$1:$A$20000,0),MATCH("Volume",'Semrush Data'!$A$1:$Z$1,0)),"")</f>
        <v/>
      </c>
      <c r="H2069" s="42">
        <f>IFERROR(INDEX('Semrush Data'!$A$1:$Z$20000,MATCH(A2069,'Semrush Data'!$A$1:$A$20000,0),MATCH("Keyword Difficulty*",'Semrush Data'!$A$1:$Z$1,0)),"")</f>
        <v/>
      </c>
      <c r="I2069" s="56">
        <f>IFERROR(INDEX('Semrush Data'!$A$1:$Z$20000,MATCH(A2069,'Semrush Data'!$A$1:$A$20000,0),MATCH("CPC*",'Semrush Data'!$A$1:$Z$1,0)),"")</f>
        <v/>
      </c>
      <c r="J2069" s="42">
        <f>IFERROR(INDEX('Semrush Data'!$A$1:$Z$20000,MATCH(A2069,'Semrush Data'!$A$1:$A$20000,0),MATCH("Intent",'Semrush Data'!$A$1:$Z$1,0)),"")</f>
        <v/>
      </c>
    </row>
    <row r="2070" ht="15" customHeight="1" s="37">
      <c r="A2070" s="42" t="inlineStr">
        <is>
          <t>buy vilvah classic goatmilk soap online</t>
        </is>
      </c>
      <c r="B2070" s="42" t="inlineStr">
        <is>
          <t>Buy online</t>
        </is>
      </c>
      <c r="C2070" s="42" t="n">
        <v>3</v>
      </c>
      <c r="D2070" s="42" t="n">
        <v>21</v>
      </c>
      <c r="E2070" s="42" t="n">
        <v>1</v>
      </c>
      <c r="F2070" s="42" t="inlineStr">
        <is>
          <t>VD-003</t>
        </is>
      </c>
      <c r="G2070" s="55">
        <f>IFERROR(INDEX('Semrush Data'!$A$1:$Z$20000,MATCH(A2070,'Semrush Data'!$A$1:$A$20000,0),MATCH("Volume",'Semrush Data'!$A$1:$Z$1,0)),"")</f>
        <v/>
      </c>
      <c r="H2070" s="42">
        <f>IFERROR(INDEX('Semrush Data'!$A$1:$Z$20000,MATCH(A2070,'Semrush Data'!$A$1:$A$20000,0),MATCH("Keyword Difficulty*",'Semrush Data'!$A$1:$Z$1,0)),"")</f>
        <v/>
      </c>
      <c r="I2070" s="56">
        <f>IFERROR(INDEX('Semrush Data'!$A$1:$Z$20000,MATCH(A2070,'Semrush Data'!$A$1:$A$20000,0),MATCH("CPC*",'Semrush Data'!$A$1:$Z$1,0)),"")</f>
        <v/>
      </c>
      <c r="J2070" s="42">
        <f>IFERROR(INDEX('Semrush Data'!$A$1:$Z$20000,MATCH(A2070,'Semrush Data'!$A$1:$A$20000,0),MATCH("Intent",'Semrush Data'!$A$1:$Z$1,0)),"")</f>
        <v/>
      </c>
    </row>
    <row r="2071" ht="15" customHeight="1" s="37">
      <c r="A2071" s="42" t="inlineStr">
        <is>
          <t>buy vilvah classic rose goatmilk soap online</t>
        </is>
      </c>
      <c r="B2071" s="42" t="inlineStr">
        <is>
          <t>Buy online</t>
        </is>
      </c>
      <c r="C2071" s="42" t="n">
        <v>3</v>
      </c>
      <c r="D2071" s="42" t="n">
        <v>21</v>
      </c>
      <c r="E2071" s="42" t="n">
        <v>1</v>
      </c>
      <c r="F2071" s="42" t="inlineStr">
        <is>
          <t>VD-008</t>
        </is>
      </c>
      <c r="G2071" s="55">
        <f>IFERROR(INDEX('Semrush Data'!$A$1:$Z$20000,MATCH(A2071,'Semrush Data'!$A$1:$A$20000,0),MATCH("Volume",'Semrush Data'!$A$1:$Z$1,0)),"")</f>
        <v/>
      </c>
      <c r="H2071" s="42">
        <f>IFERROR(INDEX('Semrush Data'!$A$1:$Z$20000,MATCH(A2071,'Semrush Data'!$A$1:$A$20000,0),MATCH("Keyword Difficulty*",'Semrush Data'!$A$1:$Z$1,0)),"")</f>
        <v/>
      </c>
      <c r="I2071" s="56">
        <f>IFERROR(INDEX('Semrush Data'!$A$1:$Z$20000,MATCH(A2071,'Semrush Data'!$A$1:$A$20000,0),MATCH("CPC*",'Semrush Data'!$A$1:$Z$1,0)),"")</f>
        <v/>
      </c>
      <c r="J2071" s="42">
        <f>IFERROR(INDEX('Semrush Data'!$A$1:$Z$20000,MATCH(A2071,'Semrush Data'!$A$1:$A$20000,0),MATCH("Intent",'Semrush Data'!$A$1:$Z$1,0)),"")</f>
        <v/>
      </c>
    </row>
    <row r="2072" ht="15" customHeight="1" s="37">
      <c r="A2072" s="42" t="inlineStr">
        <is>
          <t>buy vilvah cookie n cream body mask online</t>
        </is>
      </c>
      <c r="B2072" s="42" t="inlineStr">
        <is>
          <t>Buy online</t>
        </is>
      </c>
      <c r="C2072" s="42" t="n">
        <v>3</v>
      </c>
      <c r="D2072" s="42" t="n">
        <v>21</v>
      </c>
      <c r="E2072" s="42" t="n">
        <v>1</v>
      </c>
      <c r="F2072" s="42" t="inlineStr">
        <is>
          <t>VD-025</t>
        </is>
      </c>
      <c r="G2072" s="55">
        <f>IFERROR(INDEX('Semrush Data'!$A$1:$Z$20000,MATCH(A2072,'Semrush Data'!$A$1:$A$20000,0),MATCH("Volume",'Semrush Data'!$A$1:$Z$1,0)),"")</f>
        <v/>
      </c>
      <c r="H2072" s="42">
        <f>IFERROR(INDEX('Semrush Data'!$A$1:$Z$20000,MATCH(A2072,'Semrush Data'!$A$1:$A$20000,0),MATCH("Keyword Difficulty*",'Semrush Data'!$A$1:$Z$1,0)),"")</f>
        <v/>
      </c>
      <c r="I2072" s="56">
        <f>IFERROR(INDEX('Semrush Data'!$A$1:$Z$20000,MATCH(A2072,'Semrush Data'!$A$1:$A$20000,0),MATCH("CPC*",'Semrush Data'!$A$1:$Z$1,0)),"")</f>
        <v/>
      </c>
      <c r="J2072" s="42">
        <f>IFERROR(INDEX('Semrush Data'!$A$1:$Z$20000,MATCH(A2072,'Semrush Data'!$A$1:$A$20000,0),MATCH("Intent",'Semrush Data'!$A$1:$Z$1,0)),"")</f>
        <v/>
      </c>
    </row>
    <row r="2073" ht="15" customHeight="1" s="37">
      <c r="A2073" s="42" t="inlineStr">
        <is>
          <t>buy vilvah cookie n cream body polish online</t>
        </is>
      </c>
      <c r="B2073" s="42" t="inlineStr">
        <is>
          <t>Buy online</t>
        </is>
      </c>
      <c r="C2073" s="42" t="n">
        <v>3</v>
      </c>
      <c r="D2073" s="42" t="n">
        <v>21</v>
      </c>
      <c r="E2073" s="42" t="n">
        <v>1</v>
      </c>
      <c r="F2073" s="42" t="inlineStr">
        <is>
          <t>VD-026</t>
        </is>
      </c>
      <c r="G2073" s="55">
        <f>IFERROR(INDEX('Semrush Data'!$A$1:$Z$20000,MATCH(A2073,'Semrush Data'!$A$1:$A$20000,0),MATCH("Volume",'Semrush Data'!$A$1:$Z$1,0)),"")</f>
        <v/>
      </c>
      <c r="H2073" s="42">
        <f>IFERROR(INDEX('Semrush Data'!$A$1:$Z$20000,MATCH(A2073,'Semrush Data'!$A$1:$A$20000,0),MATCH("Keyword Difficulty*",'Semrush Data'!$A$1:$Z$1,0)),"")</f>
        <v/>
      </c>
      <c r="I2073" s="56">
        <f>IFERROR(INDEX('Semrush Data'!$A$1:$Z$20000,MATCH(A2073,'Semrush Data'!$A$1:$A$20000,0),MATCH("CPC*",'Semrush Data'!$A$1:$Z$1,0)),"")</f>
        <v/>
      </c>
      <c r="J2073" s="42">
        <f>IFERROR(INDEX('Semrush Data'!$A$1:$Z$20000,MATCH(A2073,'Semrush Data'!$A$1:$A$20000,0),MATCH("Intent",'Semrush Data'!$A$1:$Z$1,0)),"")</f>
        <v/>
      </c>
    </row>
    <row r="2074" ht="15" customHeight="1" s="37">
      <c r="A2074" s="42" t="inlineStr">
        <is>
          <t>buy vilvah cream bun lip balm online</t>
        </is>
      </c>
      <c r="B2074" s="42" t="inlineStr">
        <is>
          <t>Buy online</t>
        </is>
      </c>
      <c r="C2074" s="42" t="n">
        <v>3</v>
      </c>
      <c r="D2074" s="42" t="n">
        <v>21</v>
      </c>
      <c r="E2074" s="42" t="n">
        <v>1</v>
      </c>
      <c r="F2074" s="42" t="inlineStr">
        <is>
          <t>VD-046</t>
        </is>
      </c>
      <c r="G2074" s="55">
        <f>IFERROR(INDEX('Semrush Data'!$A$1:$Z$20000,MATCH(A2074,'Semrush Data'!$A$1:$A$20000,0),MATCH("Volume",'Semrush Data'!$A$1:$Z$1,0)),"")</f>
        <v/>
      </c>
      <c r="H2074" s="42">
        <f>IFERROR(INDEX('Semrush Data'!$A$1:$Z$20000,MATCH(A2074,'Semrush Data'!$A$1:$A$20000,0),MATCH("Keyword Difficulty*",'Semrush Data'!$A$1:$Z$1,0)),"")</f>
        <v/>
      </c>
      <c r="I2074" s="56">
        <f>IFERROR(INDEX('Semrush Data'!$A$1:$Z$20000,MATCH(A2074,'Semrush Data'!$A$1:$A$20000,0),MATCH("CPC*",'Semrush Data'!$A$1:$Z$1,0)),"")</f>
        <v/>
      </c>
      <c r="J2074" s="42">
        <f>IFERROR(INDEX('Semrush Data'!$A$1:$Z$20000,MATCH(A2074,'Semrush Data'!$A$1:$A$20000,0),MATCH("Intent",'Semrush Data'!$A$1:$Z$1,0)),"")</f>
        <v/>
      </c>
    </row>
    <row r="2075" ht="15" customHeight="1" s="37">
      <c r="A2075" s="42" t="inlineStr">
        <is>
          <t>buy vilvah cream conditioner online</t>
        </is>
      </c>
      <c r="B2075" s="42" t="inlineStr">
        <is>
          <t>Buy online</t>
        </is>
      </c>
      <c r="C2075" s="42" t="n">
        <v>3</v>
      </c>
      <c r="D2075" s="42" t="n">
        <v>21</v>
      </c>
      <c r="E2075" s="42" t="n">
        <v>1</v>
      </c>
      <c r="F2075" s="42" t="inlineStr">
        <is>
          <t>VD-012</t>
        </is>
      </c>
      <c r="G2075" s="55">
        <f>IFERROR(INDEX('Semrush Data'!$A$1:$Z$20000,MATCH(A2075,'Semrush Data'!$A$1:$A$20000,0),MATCH("Volume",'Semrush Data'!$A$1:$Z$1,0)),"")</f>
        <v/>
      </c>
      <c r="H2075" s="42">
        <f>IFERROR(INDEX('Semrush Data'!$A$1:$Z$20000,MATCH(A2075,'Semrush Data'!$A$1:$A$20000,0),MATCH("Keyword Difficulty*",'Semrush Data'!$A$1:$Z$1,0)),"")</f>
        <v/>
      </c>
      <c r="I2075" s="56">
        <f>IFERROR(INDEX('Semrush Data'!$A$1:$Z$20000,MATCH(A2075,'Semrush Data'!$A$1:$A$20000,0),MATCH("CPC*",'Semrush Data'!$A$1:$Z$1,0)),"")</f>
        <v/>
      </c>
      <c r="J2075" s="42">
        <f>IFERROR(INDEX('Semrush Data'!$A$1:$Z$20000,MATCH(A2075,'Semrush Data'!$A$1:$A$20000,0),MATCH("Intent",'Semrush Data'!$A$1:$Z$1,0)),"")</f>
        <v/>
      </c>
    </row>
    <row r="2076" ht="15" customHeight="1" s="37">
      <c r="A2076" s="42" t="inlineStr">
        <is>
          <t>buy vilvah cream face wash (fragrance free) online</t>
        </is>
      </c>
      <c r="B2076" s="42" t="inlineStr">
        <is>
          <t>Buy online</t>
        </is>
      </c>
      <c r="C2076" s="42" t="n">
        <v>3</v>
      </c>
      <c r="D2076" s="42" t="n">
        <v>21</v>
      </c>
      <c r="E2076" s="42" t="n">
        <v>1</v>
      </c>
      <c r="F2076" s="42" t="inlineStr">
        <is>
          <t>VD-027</t>
        </is>
      </c>
      <c r="G2076" s="55">
        <f>IFERROR(INDEX('Semrush Data'!$A$1:$Z$20000,MATCH(A2076,'Semrush Data'!$A$1:$A$20000,0),MATCH("Volume",'Semrush Data'!$A$1:$Z$1,0)),"")</f>
        <v/>
      </c>
      <c r="H2076" s="42">
        <f>IFERROR(INDEX('Semrush Data'!$A$1:$Z$20000,MATCH(A2076,'Semrush Data'!$A$1:$A$20000,0),MATCH("Keyword Difficulty*",'Semrush Data'!$A$1:$Z$1,0)),"")</f>
        <v/>
      </c>
      <c r="I2076" s="56">
        <f>IFERROR(INDEX('Semrush Data'!$A$1:$Z$20000,MATCH(A2076,'Semrush Data'!$A$1:$A$20000,0),MATCH("CPC*",'Semrush Data'!$A$1:$Z$1,0)),"")</f>
        <v/>
      </c>
      <c r="J2076" s="42">
        <f>IFERROR(INDEX('Semrush Data'!$A$1:$Z$20000,MATCH(A2076,'Semrush Data'!$A$1:$A$20000,0),MATCH("Intent",'Semrush Data'!$A$1:$Z$1,0)),"")</f>
        <v/>
      </c>
    </row>
    <row r="2077" ht="15" customHeight="1" s="37">
      <c r="A2077" s="42" t="inlineStr">
        <is>
          <t>buy vilvah cucumber, curd &amp; mint soap online</t>
        </is>
      </c>
      <c r="B2077" s="42" t="inlineStr">
        <is>
          <t>Buy online</t>
        </is>
      </c>
      <c r="C2077" s="42" t="n">
        <v>3</v>
      </c>
      <c r="D2077" s="42" t="n">
        <v>21</v>
      </c>
      <c r="E2077" s="42" t="n">
        <v>1</v>
      </c>
      <c r="F2077" s="42" t="inlineStr">
        <is>
          <t>VD-028</t>
        </is>
      </c>
      <c r="G2077" s="55">
        <f>IFERROR(INDEX('Semrush Data'!$A$1:$Z$20000,MATCH(A2077,'Semrush Data'!$A$1:$A$20000,0),MATCH("Volume",'Semrush Data'!$A$1:$Z$1,0)),"")</f>
        <v/>
      </c>
      <c r="H2077" s="42">
        <f>IFERROR(INDEX('Semrush Data'!$A$1:$Z$20000,MATCH(A2077,'Semrush Data'!$A$1:$A$20000,0),MATCH("Keyword Difficulty*",'Semrush Data'!$A$1:$Z$1,0)),"")</f>
        <v/>
      </c>
      <c r="I2077" s="56">
        <f>IFERROR(INDEX('Semrush Data'!$A$1:$Z$20000,MATCH(A2077,'Semrush Data'!$A$1:$A$20000,0),MATCH("CPC*",'Semrush Data'!$A$1:$Z$1,0)),"")</f>
        <v/>
      </c>
      <c r="J2077" s="42">
        <f>IFERROR(INDEX('Semrush Data'!$A$1:$Z$20000,MATCH(A2077,'Semrush Data'!$A$1:$A$20000,0),MATCH("Intent",'Semrush Data'!$A$1:$Z$1,0)),"")</f>
        <v/>
      </c>
    </row>
    <row r="2078" ht="15" customHeight="1" s="37">
      <c r="A2078" s="42" t="inlineStr">
        <is>
          <t>buy vilvah deo shot - lavender and sage online</t>
        </is>
      </c>
      <c r="B2078" s="42" t="inlineStr">
        <is>
          <t>Buy online</t>
        </is>
      </c>
      <c r="C2078" s="42" t="n">
        <v>3</v>
      </c>
      <c r="D2078" s="42" t="n">
        <v>21</v>
      </c>
      <c r="E2078" s="42" t="n">
        <v>1</v>
      </c>
      <c r="F2078" s="42" t="inlineStr">
        <is>
          <t>VD-029</t>
        </is>
      </c>
      <c r="G2078" s="55">
        <f>IFERROR(INDEX('Semrush Data'!$A$1:$Z$20000,MATCH(A2078,'Semrush Data'!$A$1:$A$20000,0),MATCH("Volume",'Semrush Data'!$A$1:$Z$1,0)),"")</f>
        <v/>
      </c>
      <c r="H2078" s="42">
        <f>IFERROR(INDEX('Semrush Data'!$A$1:$Z$20000,MATCH(A2078,'Semrush Data'!$A$1:$A$20000,0),MATCH("Keyword Difficulty*",'Semrush Data'!$A$1:$Z$1,0)),"")</f>
        <v/>
      </c>
      <c r="I2078" s="56">
        <f>IFERROR(INDEX('Semrush Data'!$A$1:$Z$20000,MATCH(A2078,'Semrush Data'!$A$1:$A$20000,0),MATCH("CPC*",'Semrush Data'!$A$1:$Z$1,0)),"")</f>
        <v/>
      </c>
      <c r="J2078" s="42">
        <f>IFERROR(INDEX('Semrush Data'!$A$1:$Z$20000,MATCH(A2078,'Semrush Data'!$A$1:$A$20000,0),MATCH("Intent",'Semrush Data'!$A$1:$Z$1,0)),"")</f>
        <v/>
      </c>
    </row>
    <row r="2079" ht="15" customHeight="1" s="37">
      <c r="A2079" s="42" t="inlineStr">
        <is>
          <t>buy vilvah deo shot - rose and vanilla online</t>
        </is>
      </c>
      <c r="B2079" s="42" t="inlineStr">
        <is>
          <t>Buy online</t>
        </is>
      </c>
      <c r="C2079" s="42" t="n">
        <v>3</v>
      </c>
      <c r="D2079" s="42" t="n">
        <v>21</v>
      </c>
      <c r="E2079" s="42" t="n">
        <v>1</v>
      </c>
      <c r="F2079" s="42" t="inlineStr">
        <is>
          <t>VD-004</t>
        </is>
      </c>
      <c r="G2079" s="55">
        <f>IFERROR(INDEX('Semrush Data'!$A$1:$Z$20000,MATCH(A2079,'Semrush Data'!$A$1:$A$20000,0),MATCH("Volume",'Semrush Data'!$A$1:$Z$1,0)),"")</f>
        <v/>
      </c>
      <c r="H2079" s="42">
        <f>IFERROR(INDEX('Semrush Data'!$A$1:$Z$20000,MATCH(A2079,'Semrush Data'!$A$1:$A$20000,0),MATCH("Keyword Difficulty*",'Semrush Data'!$A$1:$Z$1,0)),"")</f>
        <v/>
      </c>
      <c r="I2079" s="56">
        <f>IFERROR(INDEX('Semrush Data'!$A$1:$Z$20000,MATCH(A2079,'Semrush Data'!$A$1:$A$20000,0),MATCH("CPC*",'Semrush Data'!$A$1:$Z$1,0)),"")</f>
        <v/>
      </c>
      <c r="J2079" s="42">
        <f>IFERROR(INDEX('Semrush Data'!$A$1:$Z$20000,MATCH(A2079,'Semrush Data'!$A$1:$A$20000,0),MATCH("Intent",'Semrush Data'!$A$1:$Z$1,0)),"")</f>
        <v/>
      </c>
    </row>
    <row r="2080" ht="15" customHeight="1" s="37">
      <c r="A2080" s="42" t="inlineStr">
        <is>
          <t>buy vilvah everyday care milk kit online</t>
        </is>
      </c>
      <c r="B2080" s="42" t="inlineStr">
        <is>
          <t>Buy online</t>
        </is>
      </c>
      <c r="C2080" s="42" t="n">
        <v>3</v>
      </c>
      <c r="D2080" s="42" t="n">
        <v>21</v>
      </c>
      <c r="E2080" s="42" t="n">
        <v>1</v>
      </c>
      <c r="F2080" s="42" t="inlineStr">
        <is>
          <t>VD-080</t>
        </is>
      </c>
      <c r="G2080" s="55">
        <f>IFERROR(INDEX('Semrush Data'!$A$1:$Z$20000,MATCH(A2080,'Semrush Data'!$A$1:$A$20000,0),MATCH("Volume",'Semrush Data'!$A$1:$Z$1,0)),"")</f>
        <v/>
      </c>
      <c r="H2080" s="42">
        <f>IFERROR(INDEX('Semrush Data'!$A$1:$Z$20000,MATCH(A2080,'Semrush Data'!$A$1:$A$20000,0),MATCH("Keyword Difficulty*",'Semrush Data'!$A$1:$Z$1,0)),"")</f>
        <v/>
      </c>
      <c r="I2080" s="56">
        <f>IFERROR(INDEX('Semrush Data'!$A$1:$Z$20000,MATCH(A2080,'Semrush Data'!$A$1:$A$20000,0),MATCH("CPC*",'Semrush Data'!$A$1:$Z$1,0)),"")</f>
        <v/>
      </c>
      <c r="J2080" s="42">
        <f>IFERROR(INDEX('Semrush Data'!$A$1:$Z$20000,MATCH(A2080,'Semrush Data'!$A$1:$A$20000,0),MATCH("Intent",'Semrush Data'!$A$1:$Z$1,0)),"")</f>
        <v/>
      </c>
    </row>
    <row r="2081" ht="15" customHeight="1" s="37">
      <c r="A2081" s="42" t="inlineStr">
        <is>
          <t>buy vilvah face brightening kit large online</t>
        </is>
      </c>
      <c r="B2081" s="42" t="inlineStr">
        <is>
          <t>Buy online</t>
        </is>
      </c>
      <c r="C2081" s="42" t="n">
        <v>3</v>
      </c>
      <c r="D2081" s="42" t="n">
        <v>21</v>
      </c>
      <c r="E2081" s="42" t="n">
        <v>1</v>
      </c>
      <c r="F2081" s="42" t="inlineStr">
        <is>
          <t>VD-063</t>
        </is>
      </c>
      <c r="G2081" s="55">
        <f>IFERROR(INDEX('Semrush Data'!$A$1:$Z$20000,MATCH(A2081,'Semrush Data'!$A$1:$A$20000,0),MATCH("Volume",'Semrush Data'!$A$1:$Z$1,0)),"")</f>
        <v/>
      </c>
      <c r="H2081" s="42">
        <f>IFERROR(INDEX('Semrush Data'!$A$1:$Z$20000,MATCH(A2081,'Semrush Data'!$A$1:$A$20000,0),MATCH("Keyword Difficulty*",'Semrush Data'!$A$1:$Z$1,0)),"")</f>
        <v/>
      </c>
      <c r="I2081" s="56">
        <f>IFERROR(INDEX('Semrush Data'!$A$1:$Z$20000,MATCH(A2081,'Semrush Data'!$A$1:$A$20000,0),MATCH("CPC*",'Semrush Data'!$A$1:$Z$1,0)),"")</f>
        <v/>
      </c>
      <c r="J2081" s="42">
        <f>IFERROR(INDEX('Semrush Data'!$A$1:$Z$20000,MATCH(A2081,'Semrush Data'!$A$1:$A$20000,0),MATCH("Intent",'Semrush Data'!$A$1:$Z$1,0)),"")</f>
        <v/>
      </c>
    </row>
    <row r="2082" ht="15" customHeight="1" s="37">
      <c r="A2082" s="42" t="inlineStr">
        <is>
          <t>buy vilvah face brightening kit online</t>
        </is>
      </c>
      <c r="B2082" s="42" t="inlineStr">
        <is>
          <t>Buy online</t>
        </is>
      </c>
      <c r="C2082" s="42" t="n">
        <v>3</v>
      </c>
      <c r="D2082" s="42" t="n">
        <v>21</v>
      </c>
      <c r="E2082" s="42" t="n">
        <v>1</v>
      </c>
      <c r="F2082" s="42" t="inlineStr">
        <is>
          <t>VD-064</t>
        </is>
      </c>
      <c r="G2082" s="55">
        <f>IFERROR(INDEX('Semrush Data'!$A$1:$Z$20000,MATCH(A2082,'Semrush Data'!$A$1:$A$20000,0),MATCH("Volume",'Semrush Data'!$A$1:$Z$1,0)),"")</f>
        <v/>
      </c>
      <c r="H2082" s="42">
        <f>IFERROR(INDEX('Semrush Data'!$A$1:$Z$20000,MATCH(A2082,'Semrush Data'!$A$1:$A$20000,0),MATCH("Keyword Difficulty*",'Semrush Data'!$A$1:$Z$1,0)),"")</f>
        <v/>
      </c>
      <c r="I2082" s="56">
        <f>IFERROR(INDEX('Semrush Data'!$A$1:$Z$20000,MATCH(A2082,'Semrush Data'!$A$1:$A$20000,0),MATCH("CPC*",'Semrush Data'!$A$1:$Z$1,0)),"")</f>
        <v/>
      </c>
      <c r="J2082" s="42">
        <f>IFERROR(INDEX('Semrush Data'!$A$1:$Z$20000,MATCH(A2082,'Semrush Data'!$A$1:$A$20000,0),MATCH("Intent",'Semrush Data'!$A$1:$Z$1,0)),"")</f>
        <v/>
      </c>
    </row>
    <row r="2083" ht="15" customHeight="1" s="37">
      <c r="A2083" s="42" t="inlineStr">
        <is>
          <t>buy vilvah face lift kit online</t>
        </is>
      </c>
      <c r="B2083" s="42" t="inlineStr">
        <is>
          <t>Buy online</t>
        </is>
      </c>
      <c r="C2083" s="42" t="n">
        <v>3</v>
      </c>
      <c r="D2083" s="42" t="n">
        <v>21</v>
      </c>
      <c r="E2083" s="42" t="n">
        <v>1</v>
      </c>
      <c r="F2083" s="42" t="inlineStr">
        <is>
          <t>VD-066</t>
        </is>
      </c>
      <c r="G2083" s="55">
        <f>IFERROR(INDEX('Semrush Data'!$A$1:$Z$20000,MATCH(A2083,'Semrush Data'!$A$1:$A$20000,0),MATCH("Volume",'Semrush Data'!$A$1:$Z$1,0)),"")</f>
        <v/>
      </c>
      <c r="H2083" s="42">
        <f>IFERROR(INDEX('Semrush Data'!$A$1:$Z$20000,MATCH(A2083,'Semrush Data'!$A$1:$A$20000,0),MATCH("Keyword Difficulty*",'Semrush Data'!$A$1:$Z$1,0)),"")</f>
        <v/>
      </c>
      <c r="I2083" s="56">
        <f>IFERROR(INDEX('Semrush Data'!$A$1:$Z$20000,MATCH(A2083,'Semrush Data'!$A$1:$A$20000,0),MATCH("CPC*",'Semrush Data'!$A$1:$Z$1,0)),"")</f>
        <v/>
      </c>
      <c r="J2083" s="42">
        <f>IFERROR(INDEX('Semrush Data'!$A$1:$Z$20000,MATCH(A2083,'Semrush Data'!$A$1:$A$20000,0),MATCH("Intent",'Semrush Data'!$A$1:$Z$1,0)),"")</f>
        <v/>
      </c>
    </row>
    <row r="2084" ht="15" customHeight="1" s="37">
      <c r="A2084" s="42" t="inlineStr">
        <is>
          <t>buy vilvah filter kaapi lip balm online</t>
        </is>
      </c>
      <c r="B2084" s="42" t="inlineStr">
        <is>
          <t>Buy online</t>
        </is>
      </c>
      <c r="C2084" s="42" t="n">
        <v>3</v>
      </c>
      <c r="D2084" s="42" t="n">
        <v>21</v>
      </c>
      <c r="E2084" s="42" t="n">
        <v>1</v>
      </c>
      <c r="F2084" s="42" t="inlineStr">
        <is>
          <t>VD-044</t>
        </is>
      </c>
      <c r="G2084" s="55">
        <f>IFERROR(INDEX('Semrush Data'!$A$1:$Z$20000,MATCH(A2084,'Semrush Data'!$A$1:$A$20000,0),MATCH("Volume",'Semrush Data'!$A$1:$Z$1,0)),"")</f>
        <v/>
      </c>
      <c r="H2084" s="42">
        <f>IFERROR(INDEX('Semrush Data'!$A$1:$Z$20000,MATCH(A2084,'Semrush Data'!$A$1:$A$20000,0),MATCH("Keyword Difficulty*",'Semrush Data'!$A$1:$Z$1,0)),"")</f>
        <v/>
      </c>
      <c r="I2084" s="56">
        <f>IFERROR(INDEX('Semrush Data'!$A$1:$Z$20000,MATCH(A2084,'Semrush Data'!$A$1:$A$20000,0),MATCH("CPC*",'Semrush Data'!$A$1:$Z$1,0)),"")</f>
        <v/>
      </c>
      <c r="J2084" s="42">
        <f>IFERROR(INDEX('Semrush Data'!$A$1:$Z$20000,MATCH(A2084,'Semrush Data'!$A$1:$A$20000,0),MATCH("Intent",'Semrush Data'!$A$1:$Z$1,0)),"")</f>
        <v/>
      </c>
    </row>
    <row r="2085" ht="15" customHeight="1" s="37">
      <c r="A2085" s="42" t="inlineStr">
        <is>
          <t>buy vilvah foot cream and body lotion kit online</t>
        </is>
      </c>
      <c r="B2085" s="42" t="inlineStr">
        <is>
          <t>Buy online</t>
        </is>
      </c>
      <c r="C2085" s="42" t="n">
        <v>3</v>
      </c>
      <c r="D2085" s="42" t="n">
        <v>21</v>
      </c>
      <c r="E2085" s="42" t="n">
        <v>1</v>
      </c>
      <c r="F2085" s="42" t="inlineStr">
        <is>
          <t>VD-048</t>
        </is>
      </c>
      <c r="G2085" s="55">
        <f>IFERROR(INDEX('Semrush Data'!$A$1:$Z$20000,MATCH(A2085,'Semrush Data'!$A$1:$A$20000,0),MATCH("Volume",'Semrush Data'!$A$1:$Z$1,0)),"")</f>
        <v/>
      </c>
      <c r="H2085" s="42">
        <f>IFERROR(INDEX('Semrush Data'!$A$1:$Z$20000,MATCH(A2085,'Semrush Data'!$A$1:$A$20000,0),MATCH("Keyword Difficulty*",'Semrush Data'!$A$1:$Z$1,0)),"")</f>
        <v/>
      </c>
      <c r="I2085" s="56">
        <f>IFERROR(INDEX('Semrush Data'!$A$1:$Z$20000,MATCH(A2085,'Semrush Data'!$A$1:$A$20000,0),MATCH("CPC*",'Semrush Data'!$A$1:$Z$1,0)),"")</f>
        <v/>
      </c>
      <c r="J2085" s="42">
        <f>IFERROR(INDEX('Semrush Data'!$A$1:$Z$20000,MATCH(A2085,'Semrush Data'!$A$1:$A$20000,0),MATCH("Intent",'Semrush Data'!$A$1:$Z$1,0)),"")</f>
        <v/>
      </c>
    </row>
    <row r="2086" ht="15" customHeight="1" s="37">
      <c r="A2086" s="42" t="inlineStr">
        <is>
          <t>buy vilvah foot cream online</t>
        </is>
      </c>
      <c r="B2086" s="42" t="inlineStr">
        <is>
          <t>Buy online</t>
        </is>
      </c>
      <c r="C2086" s="42" t="n">
        <v>3</v>
      </c>
      <c r="D2086" s="42" t="n">
        <v>21</v>
      </c>
      <c r="E2086" s="42" t="n">
        <v>1</v>
      </c>
      <c r="F2086" s="42" t="inlineStr">
        <is>
          <t>VD-030</t>
        </is>
      </c>
      <c r="G2086" s="55">
        <f>IFERROR(INDEX('Semrush Data'!$A$1:$Z$20000,MATCH(A2086,'Semrush Data'!$A$1:$A$20000,0),MATCH("Volume",'Semrush Data'!$A$1:$Z$1,0)),"")</f>
        <v/>
      </c>
      <c r="H2086" s="42">
        <f>IFERROR(INDEX('Semrush Data'!$A$1:$Z$20000,MATCH(A2086,'Semrush Data'!$A$1:$A$20000,0),MATCH("Keyword Difficulty*",'Semrush Data'!$A$1:$Z$1,0)),"")</f>
        <v/>
      </c>
      <c r="I2086" s="56">
        <f>IFERROR(INDEX('Semrush Data'!$A$1:$Z$20000,MATCH(A2086,'Semrush Data'!$A$1:$A$20000,0),MATCH("CPC*",'Semrush Data'!$A$1:$Z$1,0)),"")</f>
        <v/>
      </c>
      <c r="J2086" s="42">
        <f>IFERROR(INDEX('Semrush Data'!$A$1:$Z$20000,MATCH(A2086,'Semrush Data'!$A$1:$A$20000,0),MATCH("Intent",'Semrush Data'!$A$1:$Z$1,0)),"")</f>
        <v/>
      </c>
    </row>
    <row r="2087" ht="15" customHeight="1" s="37">
      <c r="A2087" s="42" t="inlineStr">
        <is>
          <t>buy vilvah goat milk body wash online</t>
        </is>
      </c>
      <c r="B2087" s="42" t="inlineStr">
        <is>
          <t>Buy online</t>
        </is>
      </c>
      <c r="C2087" s="42" t="n">
        <v>3</v>
      </c>
      <c r="D2087" s="42" t="n">
        <v>21</v>
      </c>
      <c r="E2087" s="42" t="n">
        <v>1</v>
      </c>
      <c r="F2087" s="42" t="inlineStr">
        <is>
          <t>VD-009</t>
        </is>
      </c>
      <c r="G2087" s="55">
        <f>IFERROR(INDEX('Semrush Data'!$A$1:$Z$20000,MATCH(A2087,'Semrush Data'!$A$1:$A$20000,0),MATCH("Volume",'Semrush Data'!$A$1:$Z$1,0)),"")</f>
        <v/>
      </c>
      <c r="H2087" s="42">
        <f>IFERROR(INDEX('Semrush Data'!$A$1:$Z$20000,MATCH(A2087,'Semrush Data'!$A$1:$A$20000,0),MATCH("Keyword Difficulty*",'Semrush Data'!$A$1:$Z$1,0)),"")</f>
        <v/>
      </c>
      <c r="I2087" s="56">
        <f>IFERROR(INDEX('Semrush Data'!$A$1:$Z$20000,MATCH(A2087,'Semrush Data'!$A$1:$A$20000,0),MATCH("CPC*",'Semrush Data'!$A$1:$Z$1,0)),"")</f>
        <v/>
      </c>
      <c r="J2087" s="42">
        <f>IFERROR(INDEX('Semrush Data'!$A$1:$Z$20000,MATCH(A2087,'Semrush Data'!$A$1:$A$20000,0),MATCH("Intent",'Semrush Data'!$A$1:$Z$1,0)),"")</f>
        <v/>
      </c>
    </row>
    <row r="2088" ht="15" customHeight="1" s="37">
      <c r="A2088" s="42" t="inlineStr">
        <is>
          <t>buy vilvah goat milk hair kit online</t>
        </is>
      </c>
      <c r="B2088" s="42" t="inlineStr">
        <is>
          <t>Buy online</t>
        </is>
      </c>
      <c r="C2088" s="42" t="n">
        <v>3</v>
      </c>
      <c r="D2088" s="42" t="n">
        <v>21</v>
      </c>
      <c r="E2088" s="42" t="n">
        <v>1</v>
      </c>
      <c r="F2088" s="42" t="inlineStr">
        <is>
          <t>VD-079</t>
        </is>
      </c>
      <c r="G2088" s="55">
        <f>IFERROR(INDEX('Semrush Data'!$A$1:$Z$20000,MATCH(A2088,'Semrush Data'!$A$1:$A$20000,0),MATCH("Volume",'Semrush Data'!$A$1:$Z$1,0)),"")</f>
        <v/>
      </c>
      <c r="H2088" s="42">
        <f>IFERROR(INDEX('Semrush Data'!$A$1:$Z$20000,MATCH(A2088,'Semrush Data'!$A$1:$A$20000,0),MATCH("Keyword Difficulty*",'Semrush Data'!$A$1:$Z$1,0)),"")</f>
        <v/>
      </c>
      <c r="I2088" s="56">
        <f>IFERROR(INDEX('Semrush Data'!$A$1:$Z$20000,MATCH(A2088,'Semrush Data'!$A$1:$A$20000,0),MATCH("CPC*",'Semrush Data'!$A$1:$Z$1,0)),"")</f>
        <v/>
      </c>
      <c r="J2088" s="42">
        <f>IFERROR(INDEX('Semrush Data'!$A$1:$Z$20000,MATCH(A2088,'Semrush Data'!$A$1:$A$20000,0),MATCH("Intent",'Semrush Data'!$A$1:$Z$1,0)),"")</f>
        <v/>
      </c>
    </row>
    <row r="2089" ht="15" customHeight="1" s="37">
      <c r="A2089" s="42" t="inlineStr">
        <is>
          <t>buy vilvah goat milk hair mask online</t>
        </is>
      </c>
      <c r="B2089" s="42" t="inlineStr">
        <is>
          <t>Buy online</t>
        </is>
      </c>
      <c r="C2089" s="42" t="n">
        <v>3</v>
      </c>
      <c r="D2089" s="42" t="n">
        <v>21</v>
      </c>
      <c r="E2089" s="42" t="n">
        <v>1</v>
      </c>
      <c r="F2089" s="42" t="inlineStr">
        <is>
          <t>VD-031</t>
        </is>
      </c>
      <c r="G2089" s="55">
        <f>IFERROR(INDEX('Semrush Data'!$A$1:$Z$20000,MATCH(A2089,'Semrush Data'!$A$1:$A$20000,0),MATCH("Volume",'Semrush Data'!$A$1:$Z$1,0)),"")</f>
        <v/>
      </c>
      <c r="H2089" s="42">
        <f>IFERROR(INDEX('Semrush Data'!$A$1:$Z$20000,MATCH(A2089,'Semrush Data'!$A$1:$A$20000,0),MATCH("Keyword Difficulty*",'Semrush Data'!$A$1:$Z$1,0)),"")</f>
        <v/>
      </c>
      <c r="I2089" s="56">
        <f>IFERROR(INDEX('Semrush Data'!$A$1:$Z$20000,MATCH(A2089,'Semrush Data'!$A$1:$A$20000,0),MATCH("CPC*",'Semrush Data'!$A$1:$Z$1,0)),"")</f>
        <v/>
      </c>
      <c r="J2089" s="42">
        <f>IFERROR(INDEX('Semrush Data'!$A$1:$Z$20000,MATCH(A2089,'Semrush Data'!$A$1:$A$20000,0),MATCH("Intent",'Semrush Data'!$A$1:$Z$1,0)),"")</f>
        <v/>
      </c>
    </row>
    <row r="2090" ht="15" customHeight="1" s="37">
      <c r="A2090" s="42" t="inlineStr">
        <is>
          <t>buy vilvah goat milk shampoo online</t>
        </is>
      </c>
      <c r="B2090" s="42" t="inlineStr">
        <is>
          <t>Buy online</t>
        </is>
      </c>
      <c r="C2090" s="42" t="n">
        <v>3</v>
      </c>
      <c r="D2090" s="42" t="n">
        <v>21</v>
      </c>
      <c r="E2090" s="42" t="n">
        <v>1</v>
      </c>
      <c r="F2090" s="42" t="inlineStr">
        <is>
          <t>VD-013</t>
        </is>
      </c>
      <c r="G2090" s="55">
        <f>IFERROR(INDEX('Semrush Data'!$A$1:$Z$20000,MATCH(A2090,'Semrush Data'!$A$1:$A$20000,0),MATCH("Volume",'Semrush Data'!$A$1:$Z$1,0)),"")</f>
        <v/>
      </c>
      <c r="H2090" s="42">
        <f>IFERROR(INDEX('Semrush Data'!$A$1:$Z$20000,MATCH(A2090,'Semrush Data'!$A$1:$A$20000,0),MATCH("Keyword Difficulty*",'Semrush Data'!$A$1:$Z$1,0)),"")</f>
        <v/>
      </c>
      <c r="I2090" s="56">
        <f>IFERROR(INDEX('Semrush Data'!$A$1:$Z$20000,MATCH(A2090,'Semrush Data'!$A$1:$A$20000,0),MATCH("CPC*",'Semrush Data'!$A$1:$Z$1,0)),"")</f>
        <v/>
      </c>
      <c r="J2090" s="42">
        <f>IFERROR(INDEX('Semrush Data'!$A$1:$Z$20000,MATCH(A2090,'Semrush Data'!$A$1:$A$20000,0),MATCH("Intent",'Semrush Data'!$A$1:$Z$1,0)),"")</f>
        <v/>
      </c>
    </row>
    <row r="2091" ht="15" customHeight="1" s="37">
      <c r="A2091" s="42" t="inlineStr">
        <is>
          <t>buy vilvah hair growth oil online</t>
        </is>
      </c>
      <c r="B2091" s="42" t="inlineStr">
        <is>
          <t>Buy online</t>
        </is>
      </c>
      <c r="C2091" s="42" t="n">
        <v>3</v>
      </c>
      <c r="D2091" s="42" t="n">
        <v>21</v>
      </c>
      <c r="E2091" s="42" t="n">
        <v>3</v>
      </c>
      <c r="F2091" s="42" t="inlineStr">
        <is>
          <t>VD-002, VD-032, VD-033</t>
        </is>
      </c>
      <c r="G2091" s="55">
        <f>IFERROR(INDEX('Semrush Data'!$A$1:$Z$20000,MATCH(A2091,'Semrush Data'!$A$1:$A$20000,0),MATCH("Volume",'Semrush Data'!$A$1:$Z$1,0)),"")</f>
        <v/>
      </c>
      <c r="H2091" s="42">
        <f>IFERROR(INDEX('Semrush Data'!$A$1:$Z$20000,MATCH(A2091,'Semrush Data'!$A$1:$A$20000,0),MATCH("Keyword Difficulty*",'Semrush Data'!$A$1:$Z$1,0)),"")</f>
        <v/>
      </c>
      <c r="I2091" s="56">
        <f>IFERROR(INDEX('Semrush Data'!$A$1:$Z$20000,MATCH(A2091,'Semrush Data'!$A$1:$A$20000,0),MATCH("CPC*",'Semrush Data'!$A$1:$Z$1,0)),"")</f>
        <v/>
      </c>
      <c r="J2091" s="42">
        <f>IFERROR(INDEX('Semrush Data'!$A$1:$Z$20000,MATCH(A2091,'Semrush Data'!$A$1:$A$20000,0),MATCH("Intent",'Semrush Data'!$A$1:$Z$1,0)),"")</f>
        <v/>
      </c>
    </row>
    <row r="2092" ht="15" customHeight="1" s="37">
      <c r="A2092" s="42" t="inlineStr">
        <is>
          <t>buy vilvah hair strengthening kit online</t>
        </is>
      </c>
      <c r="B2092" s="42" t="inlineStr">
        <is>
          <t>Buy online</t>
        </is>
      </c>
      <c r="C2092" s="42" t="n">
        <v>3</v>
      </c>
      <c r="D2092" s="42" t="n">
        <v>21</v>
      </c>
      <c r="E2092" s="42" t="n">
        <v>1</v>
      </c>
      <c r="F2092" s="42" t="inlineStr">
        <is>
          <t>VD-072</t>
        </is>
      </c>
      <c r="G2092" s="55">
        <f>IFERROR(INDEX('Semrush Data'!$A$1:$Z$20000,MATCH(A2092,'Semrush Data'!$A$1:$A$20000,0),MATCH("Volume",'Semrush Data'!$A$1:$Z$1,0)),"")</f>
        <v/>
      </c>
      <c r="H2092" s="42">
        <f>IFERROR(INDEX('Semrush Data'!$A$1:$Z$20000,MATCH(A2092,'Semrush Data'!$A$1:$A$20000,0),MATCH("Keyword Difficulty*",'Semrush Data'!$A$1:$Z$1,0)),"")</f>
        <v/>
      </c>
      <c r="I2092" s="56">
        <f>IFERROR(INDEX('Semrush Data'!$A$1:$Z$20000,MATCH(A2092,'Semrush Data'!$A$1:$A$20000,0),MATCH("CPC*",'Semrush Data'!$A$1:$Z$1,0)),"")</f>
        <v/>
      </c>
      <c r="J2092" s="42">
        <f>IFERROR(INDEX('Semrush Data'!$A$1:$Z$20000,MATCH(A2092,'Semrush Data'!$A$1:$A$20000,0),MATCH("Intent",'Semrush Data'!$A$1:$Z$1,0)),"")</f>
        <v/>
      </c>
    </row>
    <row r="2093" ht="15" customHeight="1" s="37">
      <c r="A2093" s="42" t="inlineStr">
        <is>
          <t>buy vilvah hairfall control kit online</t>
        </is>
      </c>
      <c r="B2093" s="42" t="inlineStr">
        <is>
          <t>Buy online</t>
        </is>
      </c>
      <c r="C2093" s="42" t="n">
        <v>3</v>
      </c>
      <c r="D2093" s="42" t="n">
        <v>21</v>
      </c>
      <c r="E2093" s="42" t="n">
        <v>1</v>
      </c>
      <c r="F2093" s="42" t="inlineStr">
        <is>
          <t>VD-077</t>
        </is>
      </c>
      <c r="G2093" s="55">
        <f>IFERROR(INDEX('Semrush Data'!$A$1:$Z$20000,MATCH(A2093,'Semrush Data'!$A$1:$A$20000,0),MATCH("Volume",'Semrush Data'!$A$1:$Z$1,0)),"")</f>
        <v/>
      </c>
      <c r="H2093" s="42">
        <f>IFERROR(INDEX('Semrush Data'!$A$1:$Z$20000,MATCH(A2093,'Semrush Data'!$A$1:$A$20000,0),MATCH("Keyword Difficulty*",'Semrush Data'!$A$1:$Z$1,0)),"")</f>
        <v/>
      </c>
      <c r="I2093" s="56">
        <f>IFERROR(INDEX('Semrush Data'!$A$1:$Z$20000,MATCH(A2093,'Semrush Data'!$A$1:$A$20000,0),MATCH("CPC*",'Semrush Data'!$A$1:$Z$1,0)),"")</f>
        <v/>
      </c>
      <c r="J2093" s="42">
        <f>IFERROR(INDEX('Semrush Data'!$A$1:$Z$20000,MATCH(A2093,'Semrush Data'!$A$1:$A$20000,0),MATCH("Intent",'Semrush Data'!$A$1:$Z$1,0)),"")</f>
        <v/>
      </c>
    </row>
    <row r="2094" ht="15" customHeight="1" s="37">
      <c r="A2094" s="42" t="inlineStr">
        <is>
          <t>buy vilvah herbal shampoo (dandruff control) online</t>
        </is>
      </c>
      <c r="B2094" s="42" t="inlineStr">
        <is>
          <t>Buy online</t>
        </is>
      </c>
      <c r="C2094" s="42" t="n">
        <v>3</v>
      </c>
      <c r="D2094" s="42" t="n">
        <v>21</v>
      </c>
      <c r="E2094" s="42" t="n">
        <v>1</v>
      </c>
      <c r="F2094" s="42" t="inlineStr">
        <is>
          <t>VD-034</t>
        </is>
      </c>
      <c r="G2094" s="55">
        <f>IFERROR(INDEX('Semrush Data'!$A$1:$Z$20000,MATCH(A2094,'Semrush Data'!$A$1:$A$20000,0),MATCH("Volume",'Semrush Data'!$A$1:$Z$1,0)),"")</f>
        <v/>
      </c>
      <c r="H2094" s="42">
        <f>IFERROR(INDEX('Semrush Data'!$A$1:$Z$20000,MATCH(A2094,'Semrush Data'!$A$1:$A$20000,0),MATCH("Keyword Difficulty*",'Semrush Data'!$A$1:$Z$1,0)),"")</f>
        <v/>
      </c>
      <c r="I2094" s="56">
        <f>IFERROR(INDEX('Semrush Data'!$A$1:$Z$20000,MATCH(A2094,'Semrush Data'!$A$1:$A$20000,0),MATCH("CPC*",'Semrush Data'!$A$1:$Z$1,0)),"")</f>
        <v/>
      </c>
      <c r="J2094" s="42">
        <f>IFERROR(INDEX('Semrush Data'!$A$1:$Z$20000,MATCH(A2094,'Semrush Data'!$A$1:$A$20000,0),MATCH("Intent",'Semrush Data'!$A$1:$Z$1,0)),"")</f>
        <v/>
      </c>
    </row>
    <row r="2095" ht="15" customHeight="1" s="37">
      <c r="A2095" s="42" t="inlineStr">
        <is>
          <t>buy vilvah honey fix face wash online</t>
        </is>
      </c>
      <c r="B2095" s="42" t="inlineStr">
        <is>
          <t>Buy online</t>
        </is>
      </c>
      <c r="C2095" s="42" t="n">
        <v>3</v>
      </c>
      <c r="D2095" s="42" t="n">
        <v>21</v>
      </c>
      <c r="E2095" s="42" t="n">
        <v>1</v>
      </c>
      <c r="F2095" s="42" t="inlineStr">
        <is>
          <t>VD-014</t>
        </is>
      </c>
      <c r="G2095" s="55">
        <f>IFERROR(INDEX('Semrush Data'!$A$1:$Z$20000,MATCH(A2095,'Semrush Data'!$A$1:$A$20000,0),MATCH("Volume",'Semrush Data'!$A$1:$Z$1,0)),"")</f>
        <v/>
      </c>
      <c r="H2095" s="42">
        <f>IFERROR(INDEX('Semrush Data'!$A$1:$Z$20000,MATCH(A2095,'Semrush Data'!$A$1:$A$20000,0),MATCH("Keyword Difficulty*",'Semrush Data'!$A$1:$Z$1,0)),"")</f>
        <v/>
      </c>
      <c r="I2095" s="56">
        <f>IFERROR(INDEX('Semrush Data'!$A$1:$Z$20000,MATCH(A2095,'Semrush Data'!$A$1:$A$20000,0),MATCH("CPC*",'Semrush Data'!$A$1:$Z$1,0)),"")</f>
        <v/>
      </c>
      <c r="J2095" s="42">
        <f>IFERROR(INDEX('Semrush Data'!$A$1:$Z$20000,MATCH(A2095,'Semrush Data'!$A$1:$A$20000,0),MATCH("Intent",'Semrush Data'!$A$1:$Z$1,0)),"")</f>
        <v/>
      </c>
    </row>
    <row r="2096" ht="15" customHeight="1" s="37">
      <c r="A2096" s="42" t="inlineStr">
        <is>
          <t>buy vilvah lip balm - grapefruit online</t>
        </is>
      </c>
      <c r="B2096" s="42" t="inlineStr">
        <is>
          <t>Buy online</t>
        </is>
      </c>
      <c r="C2096" s="42" t="n">
        <v>3</v>
      </c>
      <c r="D2096" s="42" t="n">
        <v>21</v>
      </c>
      <c r="E2096" s="42" t="n">
        <v>1</v>
      </c>
      <c r="F2096" s="42" t="inlineStr">
        <is>
          <t>VD-035</t>
        </is>
      </c>
      <c r="G2096" s="55">
        <f>IFERROR(INDEX('Semrush Data'!$A$1:$Z$20000,MATCH(A2096,'Semrush Data'!$A$1:$A$20000,0),MATCH("Volume",'Semrush Data'!$A$1:$Z$1,0)),"")</f>
        <v/>
      </c>
      <c r="H2096" s="42">
        <f>IFERROR(INDEX('Semrush Data'!$A$1:$Z$20000,MATCH(A2096,'Semrush Data'!$A$1:$A$20000,0),MATCH("Keyword Difficulty*",'Semrush Data'!$A$1:$Z$1,0)),"")</f>
        <v/>
      </c>
      <c r="I2096" s="56">
        <f>IFERROR(INDEX('Semrush Data'!$A$1:$Z$20000,MATCH(A2096,'Semrush Data'!$A$1:$A$20000,0),MATCH("CPC*",'Semrush Data'!$A$1:$Z$1,0)),"")</f>
        <v/>
      </c>
      <c r="J2096" s="42">
        <f>IFERROR(INDEX('Semrush Data'!$A$1:$Z$20000,MATCH(A2096,'Semrush Data'!$A$1:$A$20000,0),MATCH("Intent",'Semrush Data'!$A$1:$Z$1,0)),"")</f>
        <v/>
      </c>
    </row>
    <row r="2097" ht="15" customHeight="1" s="37">
      <c r="A2097" s="42" t="inlineStr">
        <is>
          <t>buy vilvah lip balm - lemon online</t>
        </is>
      </c>
      <c r="B2097" s="42" t="inlineStr">
        <is>
          <t>Buy online</t>
        </is>
      </c>
      <c r="C2097" s="42" t="n">
        <v>3</v>
      </c>
      <c r="D2097" s="42" t="n">
        <v>21</v>
      </c>
      <c r="E2097" s="42" t="n">
        <v>1</v>
      </c>
      <c r="F2097" s="42" t="inlineStr">
        <is>
          <t>VD-015</t>
        </is>
      </c>
      <c r="G2097" s="55">
        <f>IFERROR(INDEX('Semrush Data'!$A$1:$Z$20000,MATCH(A2097,'Semrush Data'!$A$1:$A$20000,0),MATCH("Volume",'Semrush Data'!$A$1:$Z$1,0)),"")</f>
        <v/>
      </c>
      <c r="H2097" s="42">
        <f>IFERROR(INDEX('Semrush Data'!$A$1:$Z$20000,MATCH(A2097,'Semrush Data'!$A$1:$A$20000,0),MATCH("Keyword Difficulty*",'Semrush Data'!$A$1:$Z$1,0)),"")</f>
        <v/>
      </c>
      <c r="I2097" s="56">
        <f>IFERROR(INDEX('Semrush Data'!$A$1:$Z$20000,MATCH(A2097,'Semrush Data'!$A$1:$A$20000,0),MATCH("CPC*",'Semrush Data'!$A$1:$Z$1,0)),"")</f>
        <v/>
      </c>
      <c r="J2097" s="42">
        <f>IFERROR(INDEX('Semrush Data'!$A$1:$Z$20000,MATCH(A2097,'Semrush Data'!$A$1:$A$20000,0),MATCH("Intent",'Semrush Data'!$A$1:$Z$1,0)),"")</f>
        <v/>
      </c>
    </row>
    <row r="2098" ht="15" customHeight="1" s="37">
      <c r="A2098" s="42" t="inlineStr">
        <is>
          <t>buy vilvah lip lightening kit online</t>
        </is>
      </c>
      <c r="B2098" s="42" t="inlineStr">
        <is>
          <t>Buy online</t>
        </is>
      </c>
      <c r="C2098" s="42" t="n">
        <v>3</v>
      </c>
      <c r="D2098" s="42" t="n">
        <v>21</v>
      </c>
      <c r="E2098" s="42" t="n">
        <v>1</v>
      </c>
      <c r="F2098" s="42" t="inlineStr">
        <is>
          <t>VD-073</t>
        </is>
      </c>
      <c r="G2098" s="55">
        <f>IFERROR(INDEX('Semrush Data'!$A$1:$Z$20000,MATCH(A2098,'Semrush Data'!$A$1:$A$20000,0),MATCH("Volume",'Semrush Data'!$A$1:$Z$1,0)),"")</f>
        <v/>
      </c>
      <c r="H2098" s="42">
        <f>IFERROR(INDEX('Semrush Data'!$A$1:$Z$20000,MATCH(A2098,'Semrush Data'!$A$1:$A$20000,0),MATCH("Keyword Difficulty*",'Semrush Data'!$A$1:$Z$1,0)),"")</f>
        <v/>
      </c>
      <c r="I2098" s="56">
        <f>IFERROR(INDEX('Semrush Data'!$A$1:$Z$20000,MATCH(A2098,'Semrush Data'!$A$1:$A$20000,0),MATCH("CPC*",'Semrush Data'!$A$1:$Z$1,0)),"")</f>
        <v/>
      </c>
      <c r="J2098" s="42">
        <f>IFERROR(INDEX('Semrush Data'!$A$1:$Z$20000,MATCH(A2098,'Semrush Data'!$A$1:$A$20000,0),MATCH("Intent",'Semrush Data'!$A$1:$Z$1,0)),"")</f>
        <v/>
      </c>
    </row>
    <row r="2099" ht="15" customHeight="1" s="37">
      <c r="A2099" s="42" t="inlineStr">
        <is>
          <t>buy vilvah lip nourishing kit online</t>
        </is>
      </c>
      <c r="B2099" s="42" t="inlineStr">
        <is>
          <t>Buy online</t>
        </is>
      </c>
      <c r="C2099" s="42" t="n">
        <v>3</v>
      </c>
      <c r="D2099" s="42" t="n">
        <v>21</v>
      </c>
      <c r="E2099" s="42" t="n">
        <v>1</v>
      </c>
      <c r="F2099" s="42" t="inlineStr">
        <is>
          <t>VD-081</t>
        </is>
      </c>
      <c r="G2099" s="55">
        <f>IFERROR(INDEX('Semrush Data'!$A$1:$Z$20000,MATCH(A2099,'Semrush Data'!$A$1:$A$20000,0),MATCH("Volume",'Semrush Data'!$A$1:$Z$1,0)),"")</f>
        <v/>
      </c>
      <c r="H2099" s="42">
        <f>IFERROR(INDEX('Semrush Data'!$A$1:$Z$20000,MATCH(A2099,'Semrush Data'!$A$1:$A$20000,0),MATCH("Keyword Difficulty*",'Semrush Data'!$A$1:$Z$1,0)),"")</f>
        <v/>
      </c>
      <c r="I2099" s="56">
        <f>IFERROR(INDEX('Semrush Data'!$A$1:$Z$20000,MATCH(A2099,'Semrush Data'!$A$1:$A$20000,0),MATCH("CPC*",'Semrush Data'!$A$1:$Z$1,0)),"")</f>
        <v/>
      </c>
      <c r="J2099" s="42">
        <f>IFERROR(INDEX('Semrush Data'!$A$1:$Z$20000,MATCH(A2099,'Semrush Data'!$A$1:$A$20000,0),MATCH("Intent",'Semrush Data'!$A$1:$Z$1,0)),"")</f>
        <v/>
      </c>
    </row>
    <row r="2100" ht="15" customHeight="1" s="37">
      <c r="A2100" s="42" t="inlineStr">
        <is>
          <t>buy vilvah lip scrub online</t>
        </is>
      </c>
      <c r="B2100" s="42" t="inlineStr">
        <is>
          <t>Buy online</t>
        </is>
      </c>
      <c r="C2100" s="42" t="n">
        <v>3</v>
      </c>
      <c r="D2100" s="42" t="n">
        <v>21</v>
      </c>
      <c r="E2100" s="42" t="n">
        <v>1</v>
      </c>
      <c r="F2100" s="42" t="inlineStr">
        <is>
          <t>VD-036</t>
        </is>
      </c>
      <c r="G2100" s="55">
        <f>IFERROR(INDEX('Semrush Data'!$A$1:$Z$20000,MATCH(A2100,'Semrush Data'!$A$1:$A$20000,0),MATCH("Volume",'Semrush Data'!$A$1:$Z$1,0)),"")</f>
        <v/>
      </c>
      <c r="H2100" s="42">
        <f>IFERROR(INDEX('Semrush Data'!$A$1:$Z$20000,MATCH(A2100,'Semrush Data'!$A$1:$A$20000,0),MATCH("Keyword Difficulty*",'Semrush Data'!$A$1:$Z$1,0)),"")</f>
        <v/>
      </c>
      <c r="I2100" s="56">
        <f>IFERROR(INDEX('Semrush Data'!$A$1:$Z$20000,MATCH(A2100,'Semrush Data'!$A$1:$A$20000,0),MATCH("CPC*",'Semrush Data'!$A$1:$Z$1,0)),"")</f>
        <v/>
      </c>
      <c r="J2100" s="42">
        <f>IFERROR(INDEX('Semrush Data'!$A$1:$Z$20000,MATCH(A2100,'Semrush Data'!$A$1:$A$20000,0),MATCH("Intent",'Semrush Data'!$A$1:$Z$1,0)),"")</f>
        <v/>
      </c>
    </row>
    <row r="2101" ht="15" customHeight="1" s="37">
      <c r="A2101" s="42" t="inlineStr">
        <is>
          <t>buy vilvah mango shake lip balm online</t>
        </is>
      </c>
      <c r="B2101" s="42" t="inlineStr">
        <is>
          <t>Buy online</t>
        </is>
      </c>
      <c r="C2101" s="42" t="n">
        <v>3</v>
      </c>
      <c r="D2101" s="42" t="n">
        <v>21</v>
      </c>
      <c r="E2101" s="42" t="n">
        <v>1</v>
      </c>
      <c r="F2101" s="42" t="inlineStr">
        <is>
          <t>VD-045</t>
        </is>
      </c>
      <c r="G2101" s="55">
        <f>IFERROR(INDEX('Semrush Data'!$A$1:$Z$20000,MATCH(A2101,'Semrush Data'!$A$1:$A$20000,0),MATCH("Volume",'Semrush Data'!$A$1:$Z$1,0)),"")</f>
        <v/>
      </c>
      <c r="H2101" s="42">
        <f>IFERROR(INDEX('Semrush Data'!$A$1:$Z$20000,MATCH(A2101,'Semrush Data'!$A$1:$A$20000,0),MATCH("Keyword Difficulty*",'Semrush Data'!$A$1:$Z$1,0)),"")</f>
        <v/>
      </c>
      <c r="I2101" s="56">
        <f>IFERROR(INDEX('Semrush Data'!$A$1:$Z$20000,MATCH(A2101,'Semrush Data'!$A$1:$A$20000,0),MATCH("CPC*",'Semrush Data'!$A$1:$Z$1,0)),"")</f>
        <v/>
      </c>
      <c r="J2101" s="42">
        <f>IFERROR(INDEX('Semrush Data'!$A$1:$Z$20000,MATCH(A2101,'Semrush Data'!$A$1:$A$20000,0),MATCH("Intent",'Semrush Data'!$A$1:$Z$1,0)),"")</f>
        <v/>
      </c>
    </row>
    <row r="2102" ht="15" customHeight="1" s="37">
      <c r="A2102" s="42" t="inlineStr">
        <is>
          <t>buy vilvah men's comb / detangling comb online</t>
        </is>
      </c>
      <c r="B2102" s="42" t="inlineStr">
        <is>
          <t>Buy online</t>
        </is>
      </c>
      <c r="C2102" s="42" t="n">
        <v>3</v>
      </c>
      <c r="D2102" s="42" t="n">
        <v>22</v>
      </c>
      <c r="E2102" s="42" t="n">
        <v>1</v>
      </c>
      <c r="F2102" s="42" t="inlineStr">
        <is>
          <t>VD-037</t>
        </is>
      </c>
      <c r="G2102" s="55">
        <f>IFERROR(INDEX('Semrush Data'!$A$1:$Z$20000,MATCH(A2102,'Semrush Data'!$A$1:$A$20000,0),MATCH("Volume",'Semrush Data'!$A$1:$Z$1,0)),"")</f>
        <v/>
      </c>
      <c r="H2102" s="42">
        <f>IFERROR(INDEX('Semrush Data'!$A$1:$Z$20000,MATCH(A2102,'Semrush Data'!$A$1:$A$20000,0),MATCH("Keyword Difficulty*",'Semrush Data'!$A$1:$Z$1,0)),"")</f>
        <v/>
      </c>
      <c r="I2102" s="56">
        <f>IFERROR(INDEX('Semrush Data'!$A$1:$Z$20000,MATCH(A2102,'Semrush Data'!$A$1:$A$20000,0),MATCH("CPC*",'Semrush Data'!$A$1:$Z$1,0)),"")</f>
        <v/>
      </c>
      <c r="J2102" s="42">
        <f>IFERROR(INDEX('Semrush Data'!$A$1:$Z$20000,MATCH(A2102,'Semrush Data'!$A$1:$A$20000,0),MATCH("Intent",'Semrush Data'!$A$1:$Z$1,0)),"")</f>
        <v/>
      </c>
    </row>
    <row r="2103" ht="15" customHeight="1" s="37">
      <c r="A2103" s="42" t="inlineStr">
        <is>
          <t>buy vilvah milk body kit online</t>
        </is>
      </c>
      <c r="B2103" s="42" t="inlineStr">
        <is>
          <t>Buy online</t>
        </is>
      </c>
      <c r="C2103" s="42" t="n">
        <v>3</v>
      </c>
      <c r="D2103" s="42" t="n">
        <v>22</v>
      </c>
      <c r="E2103" s="42" t="n">
        <v>1</v>
      </c>
      <c r="F2103" s="42" t="inlineStr">
        <is>
          <t>VD-047</t>
        </is>
      </c>
      <c r="G2103" s="55">
        <f>IFERROR(INDEX('Semrush Data'!$A$1:$Z$20000,MATCH(A2103,'Semrush Data'!$A$1:$A$20000,0),MATCH("Volume",'Semrush Data'!$A$1:$Z$1,0)),"")</f>
        <v/>
      </c>
      <c r="H2103" s="42">
        <f>IFERROR(INDEX('Semrush Data'!$A$1:$Z$20000,MATCH(A2103,'Semrush Data'!$A$1:$A$20000,0),MATCH("Keyword Difficulty*",'Semrush Data'!$A$1:$Z$1,0)),"")</f>
        <v/>
      </c>
      <c r="I2103" s="56">
        <f>IFERROR(INDEX('Semrush Data'!$A$1:$Z$20000,MATCH(A2103,'Semrush Data'!$A$1:$A$20000,0),MATCH("CPC*",'Semrush Data'!$A$1:$Z$1,0)),"")</f>
        <v/>
      </c>
      <c r="J2103" s="42">
        <f>IFERROR(INDEX('Semrush Data'!$A$1:$Z$20000,MATCH(A2103,'Semrush Data'!$A$1:$A$20000,0),MATCH("Intent",'Semrush Data'!$A$1:$Z$1,0)),"")</f>
        <v/>
      </c>
    </row>
    <row r="2104" ht="15" customHeight="1" s="37">
      <c r="A2104" s="42" t="inlineStr">
        <is>
          <t>buy vilvah milk body lotion online</t>
        </is>
      </c>
      <c r="B2104" s="42" t="inlineStr">
        <is>
          <t>Buy online</t>
        </is>
      </c>
      <c r="C2104" s="42" t="n">
        <v>3</v>
      </c>
      <c r="D2104" s="42" t="n">
        <v>22</v>
      </c>
      <c r="E2104" s="42" t="n">
        <v>1</v>
      </c>
      <c r="F2104" s="42" t="inlineStr">
        <is>
          <t>VD-016</t>
        </is>
      </c>
      <c r="G2104" s="55">
        <f>IFERROR(INDEX('Semrush Data'!$A$1:$Z$20000,MATCH(A2104,'Semrush Data'!$A$1:$A$20000,0),MATCH("Volume",'Semrush Data'!$A$1:$Z$1,0)),"")</f>
        <v/>
      </c>
      <c r="H2104" s="42">
        <f>IFERROR(INDEX('Semrush Data'!$A$1:$Z$20000,MATCH(A2104,'Semrush Data'!$A$1:$A$20000,0),MATCH("Keyword Difficulty*",'Semrush Data'!$A$1:$Z$1,0)),"")</f>
        <v/>
      </c>
      <c r="I2104" s="56">
        <f>IFERROR(INDEX('Semrush Data'!$A$1:$Z$20000,MATCH(A2104,'Semrush Data'!$A$1:$A$20000,0),MATCH("CPC*",'Semrush Data'!$A$1:$Z$1,0)),"")</f>
        <v/>
      </c>
      <c r="J2104" s="42">
        <f>IFERROR(INDEX('Semrush Data'!$A$1:$Z$20000,MATCH(A2104,'Semrush Data'!$A$1:$A$20000,0),MATCH("Intent",'Semrush Data'!$A$1:$Z$1,0)),"")</f>
        <v/>
      </c>
    </row>
    <row r="2105" ht="15" customHeight="1" s="37">
      <c r="A2105" s="42" t="inlineStr">
        <is>
          <t>buy vilvah milk drops brightening serum online</t>
        </is>
      </c>
      <c r="B2105" s="42" t="inlineStr">
        <is>
          <t>Buy online</t>
        </is>
      </c>
      <c r="C2105" s="42" t="n">
        <v>3</v>
      </c>
      <c r="D2105" s="42" t="n">
        <v>22</v>
      </c>
      <c r="E2105" s="42" t="n">
        <v>2</v>
      </c>
      <c r="F2105" s="42" t="inlineStr">
        <is>
          <t>VD-038, VD-039</t>
        </is>
      </c>
      <c r="G2105" s="55">
        <f>IFERROR(INDEX('Semrush Data'!$A$1:$Z$20000,MATCH(A2105,'Semrush Data'!$A$1:$A$20000,0),MATCH("Volume",'Semrush Data'!$A$1:$Z$1,0)),"")</f>
        <v/>
      </c>
      <c r="H2105" s="42">
        <f>IFERROR(INDEX('Semrush Data'!$A$1:$Z$20000,MATCH(A2105,'Semrush Data'!$A$1:$A$20000,0),MATCH("Keyword Difficulty*",'Semrush Data'!$A$1:$Z$1,0)),"")</f>
        <v/>
      </c>
      <c r="I2105" s="56">
        <f>IFERROR(INDEX('Semrush Data'!$A$1:$Z$20000,MATCH(A2105,'Semrush Data'!$A$1:$A$20000,0),MATCH("CPC*",'Semrush Data'!$A$1:$Z$1,0)),"")</f>
        <v/>
      </c>
      <c r="J2105" s="42">
        <f>IFERROR(INDEX('Semrush Data'!$A$1:$Z$20000,MATCH(A2105,'Semrush Data'!$A$1:$A$20000,0),MATCH("Intent",'Semrush Data'!$A$1:$Z$1,0)),"")</f>
        <v/>
      </c>
    </row>
    <row r="2106" ht="15" customHeight="1" s="37">
      <c r="A2106" s="42" t="inlineStr">
        <is>
          <t>buy vilvah milk face kit online</t>
        </is>
      </c>
      <c r="B2106" s="42" t="inlineStr">
        <is>
          <t>Buy online</t>
        </is>
      </c>
      <c r="C2106" s="42" t="n">
        <v>3</v>
      </c>
      <c r="D2106" s="42" t="n">
        <v>22</v>
      </c>
      <c r="E2106" s="42" t="n">
        <v>1</v>
      </c>
      <c r="F2106" s="42" t="inlineStr">
        <is>
          <t>VD-049</t>
        </is>
      </c>
      <c r="G2106" s="55">
        <f>IFERROR(INDEX('Semrush Data'!$A$1:$Z$20000,MATCH(A2106,'Semrush Data'!$A$1:$A$20000,0),MATCH("Volume",'Semrush Data'!$A$1:$Z$1,0)),"")</f>
        <v/>
      </c>
      <c r="H2106" s="42">
        <f>IFERROR(INDEX('Semrush Data'!$A$1:$Z$20000,MATCH(A2106,'Semrush Data'!$A$1:$A$20000,0),MATCH("Keyword Difficulty*",'Semrush Data'!$A$1:$Z$1,0)),"")</f>
        <v/>
      </c>
      <c r="I2106" s="56">
        <f>IFERROR(INDEX('Semrush Data'!$A$1:$Z$20000,MATCH(A2106,'Semrush Data'!$A$1:$A$20000,0),MATCH("CPC*",'Semrush Data'!$A$1:$Z$1,0)),"")</f>
        <v/>
      </c>
      <c r="J2106" s="42">
        <f>IFERROR(INDEX('Semrush Data'!$A$1:$Z$20000,MATCH(A2106,'Semrush Data'!$A$1:$A$20000,0),MATCH("Intent",'Semrush Data'!$A$1:$Z$1,0)),"")</f>
        <v/>
      </c>
    </row>
    <row r="2107" ht="15" customHeight="1" s="37">
      <c r="A2107" s="42" t="inlineStr">
        <is>
          <t>buy vilvah milk face toner online</t>
        </is>
      </c>
      <c r="B2107" s="42" t="inlineStr">
        <is>
          <t>Buy online</t>
        </is>
      </c>
      <c r="C2107" s="42" t="n">
        <v>3</v>
      </c>
      <c r="D2107" s="42" t="n">
        <v>22</v>
      </c>
      <c r="E2107" s="42" t="n">
        <v>1</v>
      </c>
      <c r="F2107" s="42" t="inlineStr">
        <is>
          <t>VD-017</t>
        </is>
      </c>
      <c r="G2107" s="55">
        <f>IFERROR(INDEX('Semrush Data'!$A$1:$Z$20000,MATCH(A2107,'Semrush Data'!$A$1:$A$20000,0),MATCH("Volume",'Semrush Data'!$A$1:$Z$1,0)),"")</f>
        <v/>
      </c>
      <c r="H2107" s="42">
        <f>IFERROR(INDEX('Semrush Data'!$A$1:$Z$20000,MATCH(A2107,'Semrush Data'!$A$1:$A$20000,0),MATCH("Keyword Difficulty*",'Semrush Data'!$A$1:$Z$1,0)),"")</f>
        <v/>
      </c>
      <c r="I2107" s="56">
        <f>IFERROR(INDEX('Semrush Data'!$A$1:$Z$20000,MATCH(A2107,'Semrush Data'!$A$1:$A$20000,0),MATCH("CPC*",'Semrush Data'!$A$1:$Z$1,0)),"")</f>
        <v/>
      </c>
      <c r="J2107" s="42">
        <f>IFERROR(INDEX('Semrush Data'!$A$1:$Z$20000,MATCH(A2107,'Semrush Data'!$A$1:$A$20000,0),MATCH("Intent",'Semrush Data'!$A$1:$Z$1,0)),"")</f>
        <v/>
      </c>
    </row>
    <row r="2108" ht="15" customHeight="1" s="37">
      <c r="A2108" s="42" t="inlineStr">
        <is>
          <t>buy vilvah milk lip balm spf 30 pa+++ online</t>
        </is>
      </c>
      <c r="B2108" s="42" t="inlineStr">
        <is>
          <t>Buy online</t>
        </is>
      </c>
      <c r="C2108" s="42" t="n">
        <v>3</v>
      </c>
      <c r="D2108" s="42" t="n">
        <v>22</v>
      </c>
      <c r="E2108" s="42" t="n">
        <v>1</v>
      </c>
      <c r="F2108" s="42" t="inlineStr">
        <is>
          <t>VD-040</t>
        </is>
      </c>
      <c r="G2108" s="55">
        <f>IFERROR(INDEX('Semrush Data'!$A$1:$Z$20000,MATCH(A2108,'Semrush Data'!$A$1:$A$20000,0),MATCH("Volume",'Semrush Data'!$A$1:$Z$1,0)),"")</f>
        <v/>
      </c>
      <c r="H2108" s="42">
        <f>IFERROR(INDEX('Semrush Data'!$A$1:$Z$20000,MATCH(A2108,'Semrush Data'!$A$1:$A$20000,0),MATCH("Keyword Difficulty*",'Semrush Data'!$A$1:$Z$1,0)),"")</f>
        <v/>
      </c>
      <c r="I2108" s="56">
        <f>IFERROR(INDEX('Semrush Data'!$A$1:$Z$20000,MATCH(A2108,'Semrush Data'!$A$1:$A$20000,0),MATCH("CPC*",'Semrush Data'!$A$1:$Z$1,0)),"")</f>
        <v/>
      </c>
      <c r="J2108" s="42">
        <f>IFERROR(INDEX('Semrush Data'!$A$1:$Z$20000,MATCH(A2108,'Semrush Data'!$A$1:$A$20000,0),MATCH("Intent",'Semrush Data'!$A$1:$Z$1,0)),"")</f>
        <v/>
      </c>
    </row>
    <row r="2109" ht="15" customHeight="1" s="37">
      <c r="A2109" s="42" t="inlineStr">
        <is>
          <t>buy vilvah milk mud mask online</t>
        </is>
      </c>
      <c r="B2109" s="42" t="inlineStr">
        <is>
          <t>Buy online</t>
        </is>
      </c>
      <c r="C2109" s="42" t="n">
        <v>3</v>
      </c>
      <c r="D2109" s="42" t="n">
        <v>22</v>
      </c>
      <c r="E2109" s="42" t="n">
        <v>1</v>
      </c>
      <c r="F2109" s="42" t="inlineStr">
        <is>
          <t>VD-018</t>
        </is>
      </c>
      <c r="G2109" s="55">
        <f>IFERROR(INDEX('Semrush Data'!$A$1:$Z$20000,MATCH(A2109,'Semrush Data'!$A$1:$A$20000,0),MATCH("Volume",'Semrush Data'!$A$1:$Z$1,0)),"")</f>
        <v/>
      </c>
      <c r="H2109" s="42">
        <f>IFERROR(INDEX('Semrush Data'!$A$1:$Z$20000,MATCH(A2109,'Semrush Data'!$A$1:$A$20000,0),MATCH("Keyword Difficulty*",'Semrush Data'!$A$1:$Z$1,0)),"")</f>
        <v/>
      </c>
      <c r="I2109" s="56">
        <f>IFERROR(INDEX('Semrush Data'!$A$1:$Z$20000,MATCH(A2109,'Semrush Data'!$A$1:$A$20000,0),MATCH("CPC*",'Semrush Data'!$A$1:$Z$1,0)),"")</f>
        <v/>
      </c>
      <c r="J2109" s="42">
        <f>IFERROR(INDEX('Semrush Data'!$A$1:$Z$20000,MATCH(A2109,'Semrush Data'!$A$1:$A$20000,0),MATCH("Intent",'Semrush Data'!$A$1:$Z$1,0)),"")</f>
        <v/>
      </c>
    </row>
    <row r="2110" ht="15" customHeight="1" s="37">
      <c r="A2110" s="42" t="inlineStr">
        <is>
          <t>buy vilvah milk powder face wash online</t>
        </is>
      </c>
      <c r="B2110" s="42" t="inlineStr">
        <is>
          <t>Buy online</t>
        </is>
      </c>
      <c r="C2110" s="42" t="n">
        <v>3</v>
      </c>
      <c r="D2110" s="42" t="n">
        <v>22</v>
      </c>
      <c r="E2110" s="42" t="n">
        <v>1</v>
      </c>
      <c r="F2110" s="42" t="inlineStr">
        <is>
          <t>VD-006</t>
        </is>
      </c>
      <c r="G2110" s="55">
        <f>IFERROR(INDEX('Semrush Data'!$A$1:$Z$20000,MATCH(A2110,'Semrush Data'!$A$1:$A$20000,0),MATCH("Volume",'Semrush Data'!$A$1:$Z$1,0)),"")</f>
        <v/>
      </c>
      <c r="H2110" s="42">
        <f>IFERROR(INDEX('Semrush Data'!$A$1:$Z$20000,MATCH(A2110,'Semrush Data'!$A$1:$A$20000,0),MATCH("Keyword Difficulty*",'Semrush Data'!$A$1:$Z$1,0)),"")</f>
        <v/>
      </c>
      <c r="I2110" s="56">
        <f>IFERROR(INDEX('Semrush Data'!$A$1:$Z$20000,MATCH(A2110,'Semrush Data'!$A$1:$A$20000,0),MATCH("CPC*",'Semrush Data'!$A$1:$Z$1,0)),"")</f>
        <v/>
      </c>
      <c r="J2110" s="42">
        <f>IFERROR(INDEX('Semrush Data'!$A$1:$Z$20000,MATCH(A2110,'Semrush Data'!$A$1:$A$20000,0),MATCH("Intent",'Semrush Data'!$A$1:$Z$1,0)),"")</f>
        <v/>
      </c>
    </row>
    <row r="2111" ht="15" customHeight="1" s="37">
      <c r="A2111" s="42" t="inlineStr">
        <is>
          <t>buy vilvah neem wood comb (with handle) online</t>
        </is>
      </c>
      <c r="B2111" s="42" t="inlineStr">
        <is>
          <t>Buy online</t>
        </is>
      </c>
      <c r="C2111" s="42" t="n">
        <v>3</v>
      </c>
      <c r="D2111" s="42" t="n">
        <v>22</v>
      </c>
      <c r="E2111" s="42" t="n">
        <v>1</v>
      </c>
      <c r="F2111" s="42" t="inlineStr">
        <is>
          <t>VD-041</t>
        </is>
      </c>
      <c r="G2111" s="55">
        <f>IFERROR(INDEX('Semrush Data'!$A$1:$Z$20000,MATCH(A2111,'Semrush Data'!$A$1:$A$20000,0),MATCH("Volume",'Semrush Data'!$A$1:$Z$1,0)),"")</f>
        <v/>
      </c>
      <c r="H2111" s="42">
        <f>IFERROR(INDEX('Semrush Data'!$A$1:$Z$20000,MATCH(A2111,'Semrush Data'!$A$1:$A$20000,0),MATCH("Keyword Difficulty*",'Semrush Data'!$A$1:$Z$1,0)),"")</f>
        <v/>
      </c>
      <c r="I2111" s="56">
        <f>IFERROR(INDEX('Semrush Data'!$A$1:$Z$20000,MATCH(A2111,'Semrush Data'!$A$1:$A$20000,0),MATCH("CPC*",'Semrush Data'!$A$1:$Z$1,0)),"")</f>
        <v/>
      </c>
      <c r="J2111" s="42">
        <f>IFERROR(INDEX('Semrush Data'!$A$1:$Z$20000,MATCH(A2111,'Semrush Data'!$A$1:$A$20000,0),MATCH("Intent",'Semrush Data'!$A$1:$Z$1,0)),"")</f>
        <v/>
      </c>
    </row>
    <row r="2112" ht="15" customHeight="1" s="37">
      <c r="A2112" s="42" t="inlineStr">
        <is>
          <t>buy vilvah neem wood comb(fine and wide tooth) online</t>
        </is>
      </c>
      <c r="B2112" s="42" t="inlineStr">
        <is>
          <t>Buy online</t>
        </is>
      </c>
      <c r="C2112" s="42" t="n">
        <v>3</v>
      </c>
      <c r="D2112" s="42" t="n">
        <v>22</v>
      </c>
      <c r="E2112" s="42" t="n">
        <v>1</v>
      </c>
      <c r="F2112" s="42" t="inlineStr">
        <is>
          <t>VD-042</t>
        </is>
      </c>
      <c r="G2112" s="55">
        <f>IFERROR(INDEX('Semrush Data'!$A$1:$Z$20000,MATCH(A2112,'Semrush Data'!$A$1:$A$20000,0),MATCH("Volume",'Semrush Data'!$A$1:$Z$1,0)),"")</f>
        <v/>
      </c>
      <c r="H2112" s="42">
        <f>IFERROR(INDEX('Semrush Data'!$A$1:$Z$20000,MATCH(A2112,'Semrush Data'!$A$1:$A$20000,0),MATCH("Keyword Difficulty*",'Semrush Data'!$A$1:$Z$1,0)),"")</f>
        <v/>
      </c>
      <c r="I2112" s="56">
        <f>IFERROR(INDEX('Semrush Data'!$A$1:$Z$20000,MATCH(A2112,'Semrush Data'!$A$1:$A$20000,0),MATCH("CPC*",'Semrush Data'!$A$1:$Z$1,0)),"")</f>
        <v/>
      </c>
      <c r="J2112" s="42">
        <f>IFERROR(INDEX('Semrush Data'!$A$1:$Z$20000,MATCH(A2112,'Semrush Data'!$A$1:$A$20000,0),MATCH("Intent",'Semrush Data'!$A$1:$Z$1,0)),"")</f>
        <v/>
      </c>
    </row>
    <row r="2113" ht="15" customHeight="1" s="37">
      <c r="A2113" s="42" t="inlineStr">
        <is>
          <t>buy vilvah night repair kit online</t>
        </is>
      </c>
      <c r="B2113" s="42" t="inlineStr">
        <is>
          <t>Buy online</t>
        </is>
      </c>
      <c r="C2113" s="42" t="n">
        <v>3</v>
      </c>
      <c r="D2113" s="42" t="n">
        <v>22</v>
      </c>
      <c r="E2113" s="42" t="n">
        <v>1</v>
      </c>
      <c r="F2113" s="42" t="inlineStr">
        <is>
          <t>VD-056</t>
        </is>
      </c>
      <c r="G2113" s="55">
        <f>IFERROR(INDEX('Semrush Data'!$A$1:$Z$20000,MATCH(A2113,'Semrush Data'!$A$1:$A$20000,0),MATCH("Volume",'Semrush Data'!$A$1:$Z$1,0)),"")</f>
        <v/>
      </c>
      <c r="H2113" s="42">
        <f>IFERROR(INDEX('Semrush Data'!$A$1:$Z$20000,MATCH(A2113,'Semrush Data'!$A$1:$A$20000,0),MATCH("Keyword Difficulty*",'Semrush Data'!$A$1:$Z$1,0)),"")</f>
        <v/>
      </c>
      <c r="I2113" s="56">
        <f>IFERROR(INDEX('Semrush Data'!$A$1:$Z$20000,MATCH(A2113,'Semrush Data'!$A$1:$A$20000,0),MATCH("CPC*",'Semrush Data'!$A$1:$Z$1,0)),"")</f>
        <v/>
      </c>
      <c r="J2113" s="42">
        <f>IFERROR(INDEX('Semrush Data'!$A$1:$Z$20000,MATCH(A2113,'Semrush Data'!$A$1:$A$20000,0),MATCH("Intent",'Semrush Data'!$A$1:$Z$1,0)),"")</f>
        <v/>
      </c>
    </row>
    <row r="2114" ht="15" customHeight="1" s="37">
      <c r="A2114" s="42" t="inlineStr">
        <is>
          <t>buy vilvah oil control kit online</t>
        </is>
      </c>
      <c r="B2114" s="42" t="inlineStr">
        <is>
          <t>Buy online</t>
        </is>
      </c>
      <c r="C2114" s="42" t="n">
        <v>3</v>
      </c>
      <c r="D2114" s="42" t="n">
        <v>22</v>
      </c>
      <c r="E2114" s="42" t="n">
        <v>1</v>
      </c>
      <c r="F2114" s="42" t="inlineStr">
        <is>
          <t>VD-050</t>
        </is>
      </c>
      <c r="G2114" s="55">
        <f>IFERROR(INDEX('Semrush Data'!$A$1:$Z$20000,MATCH(A2114,'Semrush Data'!$A$1:$A$20000,0),MATCH("Volume",'Semrush Data'!$A$1:$Z$1,0)),"")</f>
        <v/>
      </c>
      <c r="H2114" s="42">
        <f>IFERROR(INDEX('Semrush Data'!$A$1:$Z$20000,MATCH(A2114,'Semrush Data'!$A$1:$A$20000,0),MATCH("Keyword Difficulty*",'Semrush Data'!$A$1:$Z$1,0)),"")</f>
        <v/>
      </c>
      <c r="I2114" s="56">
        <f>IFERROR(INDEX('Semrush Data'!$A$1:$Z$20000,MATCH(A2114,'Semrush Data'!$A$1:$A$20000,0),MATCH("CPC*",'Semrush Data'!$A$1:$Z$1,0)),"")</f>
        <v/>
      </c>
      <c r="J2114" s="42">
        <f>IFERROR(INDEX('Semrush Data'!$A$1:$Z$20000,MATCH(A2114,'Semrush Data'!$A$1:$A$20000,0),MATCH("Intent",'Semrush Data'!$A$1:$Z$1,0)),"")</f>
        <v/>
      </c>
    </row>
    <row r="2115" ht="15" customHeight="1" s="37">
      <c r="A2115" s="42" t="inlineStr">
        <is>
          <t>buy vilvah pore minimising kit online</t>
        </is>
      </c>
      <c r="B2115" s="42" t="inlineStr">
        <is>
          <t>Buy online</t>
        </is>
      </c>
      <c r="C2115" s="42" t="n">
        <v>3</v>
      </c>
      <c r="D2115" s="42" t="n">
        <v>22</v>
      </c>
      <c r="E2115" s="42" t="n">
        <v>1</v>
      </c>
      <c r="F2115" s="42" t="inlineStr">
        <is>
          <t>VD-062</t>
        </is>
      </c>
      <c r="G2115" s="55">
        <f>IFERROR(INDEX('Semrush Data'!$A$1:$Z$20000,MATCH(A2115,'Semrush Data'!$A$1:$A$20000,0),MATCH("Volume",'Semrush Data'!$A$1:$Z$1,0)),"")</f>
        <v/>
      </c>
      <c r="H2115" s="42">
        <f>IFERROR(INDEX('Semrush Data'!$A$1:$Z$20000,MATCH(A2115,'Semrush Data'!$A$1:$A$20000,0),MATCH("Keyword Difficulty*",'Semrush Data'!$A$1:$Z$1,0)),"")</f>
        <v/>
      </c>
      <c r="I2115" s="56">
        <f>IFERROR(INDEX('Semrush Data'!$A$1:$Z$20000,MATCH(A2115,'Semrush Data'!$A$1:$A$20000,0),MATCH("CPC*",'Semrush Data'!$A$1:$Z$1,0)),"")</f>
        <v/>
      </c>
      <c r="J2115" s="42">
        <f>IFERROR(INDEX('Semrush Data'!$A$1:$Z$20000,MATCH(A2115,'Semrush Data'!$A$1:$A$20000,0),MATCH("Intent",'Semrush Data'!$A$1:$Z$1,0)),"")</f>
        <v/>
      </c>
    </row>
    <row r="2116" ht="15" customHeight="1" s="37">
      <c r="A2116" s="42" t="inlineStr">
        <is>
          <t>buy vilvah rose milk lip balm online</t>
        </is>
      </c>
      <c r="B2116" s="42" t="inlineStr">
        <is>
          <t>Buy online</t>
        </is>
      </c>
      <c r="C2116" s="42" t="n">
        <v>3</v>
      </c>
      <c r="D2116" s="42" t="n">
        <v>22</v>
      </c>
      <c r="E2116" s="42" t="n">
        <v>1</v>
      </c>
      <c r="F2116" s="42" t="inlineStr">
        <is>
          <t>VD-010</t>
        </is>
      </c>
      <c r="G2116" s="55">
        <f>IFERROR(INDEX('Semrush Data'!$A$1:$Z$20000,MATCH(A2116,'Semrush Data'!$A$1:$A$20000,0),MATCH("Volume",'Semrush Data'!$A$1:$Z$1,0)),"")</f>
        <v/>
      </c>
      <c r="H2116" s="42">
        <f>IFERROR(INDEX('Semrush Data'!$A$1:$Z$20000,MATCH(A2116,'Semrush Data'!$A$1:$A$20000,0),MATCH("Keyword Difficulty*",'Semrush Data'!$A$1:$Z$1,0)),"")</f>
        <v/>
      </c>
      <c r="I2116" s="56">
        <f>IFERROR(INDEX('Semrush Data'!$A$1:$Z$20000,MATCH(A2116,'Semrush Data'!$A$1:$A$20000,0),MATCH("CPC*",'Semrush Data'!$A$1:$Z$1,0)),"")</f>
        <v/>
      </c>
      <c r="J2116" s="42">
        <f>IFERROR(INDEX('Semrush Data'!$A$1:$Z$20000,MATCH(A2116,'Semrush Data'!$A$1:$A$20000,0),MATCH("Intent",'Semrush Data'!$A$1:$Z$1,0)),"")</f>
        <v/>
      </c>
    </row>
    <row r="2117" ht="15" customHeight="1" s="37">
      <c r="A2117" s="42" t="inlineStr">
        <is>
          <t>buy vilvah rosewater facial toner online</t>
        </is>
      </c>
      <c r="B2117" s="42" t="inlineStr">
        <is>
          <t>Buy online</t>
        </is>
      </c>
      <c r="C2117" s="42" t="n">
        <v>3</v>
      </c>
      <c r="D2117" s="42" t="n">
        <v>22</v>
      </c>
      <c r="E2117" s="42" t="n">
        <v>1</v>
      </c>
      <c r="F2117" s="42" t="inlineStr">
        <is>
          <t>VD-001</t>
        </is>
      </c>
      <c r="G2117" s="55">
        <f>IFERROR(INDEX('Semrush Data'!$A$1:$Z$20000,MATCH(A2117,'Semrush Data'!$A$1:$A$20000,0),MATCH("Volume",'Semrush Data'!$A$1:$Z$1,0)),"")</f>
        <v/>
      </c>
      <c r="H2117" s="42">
        <f>IFERROR(INDEX('Semrush Data'!$A$1:$Z$20000,MATCH(A2117,'Semrush Data'!$A$1:$A$20000,0),MATCH("Keyword Difficulty*",'Semrush Data'!$A$1:$Z$1,0)),"")</f>
        <v/>
      </c>
      <c r="I2117" s="56">
        <f>IFERROR(INDEX('Semrush Data'!$A$1:$Z$20000,MATCH(A2117,'Semrush Data'!$A$1:$A$20000,0),MATCH("CPC*",'Semrush Data'!$A$1:$Z$1,0)),"")</f>
        <v/>
      </c>
      <c r="J2117" s="42">
        <f>IFERROR(INDEX('Semrush Data'!$A$1:$Z$20000,MATCH(A2117,'Semrush Data'!$A$1:$A$20000,0),MATCH("Intent",'Semrush Data'!$A$1:$Z$1,0)),"")</f>
        <v/>
      </c>
    </row>
    <row r="2118" ht="15" customHeight="1" s="37">
      <c r="A2118" s="42" t="inlineStr">
        <is>
          <t>buy vilvah sensitive skin kit online</t>
        </is>
      </c>
      <c r="B2118" s="42" t="inlineStr">
        <is>
          <t>Buy online</t>
        </is>
      </c>
      <c r="C2118" s="42" t="n">
        <v>3</v>
      </c>
      <c r="D2118" s="42" t="n">
        <v>22</v>
      </c>
      <c r="E2118" s="42" t="n">
        <v>1</v>
      </c>
      <c r="F2118" s="42" t="inlineStr">
        <is>
          <t>VD-051</t>
        </is>
      </c>
      <c r="G2118" s="55">
        <f>IFERROR(INDEX('Semrush Data'!$A$1:$Z$20000,MATCH(A2118,'Semrush Data'!$A$1:$A$20000,0),MATCH("Volume",'Semrush Data'!$A$1:$Z$1,0)),"")</f>
        <v/>
      </c>
      <c r="H2118" s="42">
        <f>IFERROR(INDEX('Semrush Data'!$A$1:$Z$20000,MATCH(A2118,'Semrush Data'!$A$1:$A$20000,0),MATCH("Keyword Difficulty*",'Semrush Data'!$A$1:$Z$1,0)),"")</f>
        <v/>
      </c>
      <c r="I2118" s="56">
        <f>IFERROR(INDEX('Semrush Data'!$A$1:$Z$20000,MATCH(A2118,'Semrush Data'!$A$1:$A$20000,0),MATCH("CPC*",'Semrush Data'!$A$1:$Z$1,0)),"")</f>
        <v/>
      </c>
      <c r="J2118" s="42">
        <f>IFERROR(INDEX('Semrush Data'!$A$1:$Z$20000,MATCH(A2118,'Semrush Data'!$A$1:$A$20000,0),MATCH("Intent",'Semrush Data'!$A$1:$Z$1,0)),"")</f>
        <v/>
      </c>
    </row>
    <row r="2119" ht="15" customHeight="1" s="37">
      <c r="A2119" s="42" t="inlineStr">
        <is>
          <t>buy vilvah shampoo and hair serum kit online</t>
        </is>
      </c>
      <c r="B2119" s="42" t="inlineStr">
        <is>
          <t>Buy online</t>
        </is>
      </c>
      <c r="C2119" s="42" t="n">
        <v>3</v>
      </c>
      <c r="D2119" s="42" t="n">
        <v>22</v>
      </c>
      <c r="E2119" s="42" t="n">
        <v>1</v>
      </c>
      <c r="F2119" s="42" t="inlineStr">
        <is>
          <t>VD-071</t>
        </is>
      </c>
      <c r="G2119" s="55">
        <f>IFERROR(INDEX('Semrush Data'!$A$1:$Z$20000,MATCH(A2119,'Semrush Data'!$A$1:$A$20000,0),MATCH("Volume",'Semrush Data'!$A$1:$Z$1,0)),"")</f>
        <v/>
      </c>
      <c r="H2119" s="42">
        <f>IFERROR(INDEX('Semrush Data'!$A$1:$Z$20000,MATCH(A2119,'Semrush Data'!$A$1:$A$20000,0),MATCH("Keyword Difficulty*",'Semrush Data'!$A$1:$Z$1,0)),"")</f>
        <v/>
      </c>
      <c r="I2119" s="56">
        <f>IFERROR(INDEX('Semrush Data'!$A$1:$Z$20000,MATCH(A2119,'Semrush Data'!$A$1:$A$20000,0),MATCH("CPC*",'Semrush Data'!$A$1:$Z$1,0)),"")</f>
        <v/>
      </c>
      <c r="J2119" s="42">
        <f>IFERROR(INDEX('Semrush Data'!$A$1:$Z$20000,MATCH(A2119,'Semrush Data'!$A$1:$A$20000,0),MATCH("Intent",'Semrush Data'!$A$1:$Z$1,0)),"")</f>
        <v/>
      </c>
    </row>
    <row r="2120" ht="15" customHeight="1" s="37">
      <c r="A2120" s="42" t="inlineStr">
        <is>
          <t>buy vilvah skin brightening kit online</t>
        </is>
      </c>
      <c r="B2120" s="42" t="inlineStr">
        <is>
          <t>Buy online</t>
        </is>
      </c>
      <c r="C2120" s="42" t="n">
        <v>3</v>
      </c>
      <c r="D2120" s="42" t="n">
        <v>22</v>
      </c>
      <c r="E2120" s="42" t="n">
        <v>1</v>
      </c>
      <c r="F2120" s="42" t="inlineStr">
        <is>
          <t>VD-055</t>
        </is>
      </c>
      <c r="G2120" s="55">
        <f>IFERROR(INDEX('Semrush Data'!$A$1:$Z$20000,MATCH(A2120,'Semrush Data'!$A$1:$A$20000,0),MATCH("Volume",'Semrush Data'!$A$1:$Z$1,0)),"")</f>
        <v/>
      </c>
      <c r="H2120" s="42">
        <f>IFERROR(INDEX('Semrush Data'!$A$1:$Z$20000,MATCH(A2120,'Semrush Data'!$A$1:$A$20000,0),MATCH("Keyword Difficulty*",'Semrush Data'!$A$1:$Z$1,0)),"")</f>
        <v/>
      </c>
      <c r="I2120" s="56">
        <f>IFERROR(INDEX('Semrush Data'!$A$1:$Z$20000,MATCH(A2120,'Semrush Data'!$A$1:$A$20000,0),MATCH("CPC*",'Semrush Data'!$A$1:$Z$1,0)),"")</f>
        <v/>
      </c>
      <c r="J2120" s="42">
        <f>IFERROR(INDEX('Semrush Data'!$A$1:$Z$20000,MATCH(A2120,'Semrush Data'!$A$1:$A$20000,0),MATCH("Intent",'Semrush Data'!$A$1:$Z$1,0)),"")</f>
        <v/>
      </c>
    </row>
    <row r="2121" ht="15" customHeight="1" s="37">
      <c r="A2121" s="42" t="inlineStr">
        <is>
          <t>buy vilvah skin finish sunscreen spf 50 online</t>
        </is>
      </c>
      <c r="B2121" s="42" t="inlineStr">
        <is>
          <t>Buy online</t>
        </is>
      </c>
      <c r="C2121" s="42" t="n">
        <v>3</v>
      </c>
      <c r="D2121" s="42" t="n">
        <v>22</v>
      </c>
      <c r="E2121" s="42" t="n">
        <v>1</v>
      </c>
      <c r="F2121" s="42" t="inlineStr">
        <is>
          <t>VD-005</t>
        </is>
      </c>
      <c r="G2121" s="55">
        <f>IFERROR(INDEX('Semrush Data'!$A$1:$Z$20000,MATCH(A2121,'Semrush Data'!$A$1:$A$20000,0),MATCH("Volume",'Semrush Data'!$A$1:$Z$1,0)),"")</f>
        <v/>
      </c>
      <c r="H2121" s="42">
        <f>IFERROR(INDEX('Semrush Data'!$A$1:$Z$20000,MATCH(A2121,'Semrush Data'!$A$1:$A$20000,0),MATCH("Keyword Difficulty*",'Semrush Data'!$A$1:$Z$1,0)),"")</f>
        <v/>
      </c>
      <c r="I2121" s="56">
        <f>IFERROR(INDEX('Semrush Data'!$A$1:$Z$20000,MATCH(A2121,'Semrush Data'!$A$1:$A$20000,0),MATCH("CPC*",'Semrush Data'!$A$1:$Z$1,0)),"")</f>
        <v/>
      </c>
      <c r="J2121" s="42">
        <f>IFERROR(INDEX('Semrush Data'!$A$1:$Z$20000,MATCH(A2121,'Semrush Data'!$A$1:$A$20000,0),MATCH("Intent",'Semrush Data'!$A$1:$Z$1,0)),"")</f>
        <v/>
      </c>
    </row>
    <row r="2122" ht="15" customHeight="1" s="37">
      <c r="A2122" s="42" t="inlineStr">
        <is>
          <t>buy vilvah skin hydration kit online</t>
        </is>
      </c>
      <c r="B2122" s="42" t="inlineStr">
        <is>
          <t>Buy online</t>
        </is>
      </c>
      <c r="C2122" s="42" t="n">
        <v>3</v>
      </c>
      <c r="D2122" s="42" t="n">
        <v>22</v>
      </c>
      <c r="E2122" s="42" t="n">
        <v>1</v>
      </c>
      <c r="F2122" s="42" t="inlineStr">
        <is>
          <t>VD-074</t>
        </is>
      </c>
      <c r="G2122" s="55">
        <f>IFERROR(INDEX('Semrush Data'!$A$1:$Z$20000,MATCH(A2122,'Semrush Data'!$A$1:$A$20000,0),MATCH("Volume",'Semrush Data'!$A$1:$Z$1,0)),"")</f>
        <v/>
      </c>
      <c r="H2122" s="42">
        <f>IFERROR(INDEX('Semrush Data'!$A$1:$Z$20000,MATCH(A2122,'Semrush Data'!$A$1:$A$20000,0),MATCH("Keyword Difficulty*",'Semrush Data'!$A$1:$Z$1,0)),"")</f>
        <v/>
      </c>
      <c r="I2122" s="56">
        <f>IFERROR(INDEX('Semrush Data'!$A$1:$Z$20000,MATCH(A2122,'Semrush Data'!$A$1:$A$20000,0),MATCH("CPC*",'Semrush Data'!$A$1:$Z$1,0)),"")</f>
        <v/>
      </c>
      <c r="J2122" s="42">
        <f>IFERROR(INDEX('Semrush Data'!$A$1:$Z$20000,MATCH(A2122,'Semrush Data'!$A$1:$A$20000,0),MATCH("Intent",'Semrush Data'!$A$1:$Z$1,0)),"")</f>
        <v/>
      </c>
    </row>
    <row r="2123" ht="15" customHeight="1" s="37">
      <c r="A2123" s="42" t="inlineStr">
        <is>
          <t>buy vilvah skin radiance kit online</t>
        </is>
      </c>
      <c r="B2123" s="42" t="inlineStr">
        <is>
          <t>Buy online</t>
        </is>
      </c>
      <c r="C2123" s="42" t="n">
        <v>3</v>
      </c>
      <c r="D2123" s="42" t="n">
        <v>22</v>
      </c>
      <c r="E2123" s="42" t="n">
        <v>1</v>
      </c>
      <c r="F2123" s="42" t="inlineStr">
        <is>
          <t>VD-061</t>
        </is>
      </c>
      <c r="G2123" s="55">
        <f>IFERROR(INDEX('Semrush Data'!$A$1:$Z$20000,MATCH(A2123,'Semrush Data'!$A$1:$A$20000,0),MATCH("Volume",'Semrush Data'!$A$1:$Z$1,0)),"")</f>
        <v/>
      </c>
      <c r="H2123" s="42">
        <f>IFERROR(INDEX('Semrush Data'!$A$1:$Z$20000,MATCH(A2123,'Semrush Data'!$A$1:$A$20000,0),MATCH("Keyword Difficulty*",'Semrush Data'!$A$1:$Z$1,0)),"")</f>
        <v/>
      </c>
      <c r="I2123" s="56">
        <f>IFERROR(INDEX('Semrush Data'!$A$1:$Z$20000,MATCH(A2123,'Semrush Data'!$A$1:$A$20000,0),MATCH("CPC*",'Semrush Data'!$A$1:$Z$1,0)),"")</f>
        <v/>
      </c>
      <c r="J2123" s="42">
        <f>IFERROR(INDEX('Semrush Data'!$A$1:$Z$20000,MATCH(A2123,'Semrush Data'!$A$1:$A$20000,0),MATCH("Intent",'Semrush Data'!$A$1:$Z$1,0)),"")</f>
        <v/>
      </c>
    </row>
    <row r="2124" ht="15" customHeight="1" s="37">
      <c r="A2124" s="42" t="inlineStr">
        <is>
          <t>buy vilvah store frizz free hair combo online</t>
        </is>
      </c>
      <c r="B2124" s="42" t="inlineStr">
        <is>
          <t>Buy online</t>
        </is>
      </c>
      <c r="C2124" s="42" t="n">
        <v>3</v>
      </c>
      <c r="D2124" s="42" t="n">
        <v>22</v>
      </c>
      <c r="E2124" s="42" t="n">
        <v>1</v>
      </c>
      <c r="F2124" s="42" t="inlineStr">
        <is>
          <t>VD-069</t>
        </is>
      </c>
      <c r="G2124" s="55">
        <f>IFERROR(INDEX('Semrush Data'!$A$1:$Z$20000,MATCH(A2124,'Semrush Data'!$A$1:$A$20000,0),MATCH("Volume",'Semrush Data'!$A$1:$Z$1,0)),"")</f>
        <v/>
      </c>
      <c r="H2124" s="42">
        <f>IFERROR(INDEX('Semrush Data'!$A$1:$Z$20000,MATCH(A2124,'Semrush Data'!$A$1:$A$20000,0),MATCH("Keyword Difficulty*",'Semrush Data'!$A$1:$Z$1,0)),"")</f>
        <v/>
      </c>
      <c r="I2124" s="56">
        <f>IFERROR(INDEX('Semrush Data'!$A$1:$Z$20000,MATCH(A2124,'Semrush Data'!$A$1:$A$20000,0),MATCH("CPC*",'Semrush Data'!$A$1:$Z$1,0)),"")</f>
        <v/>
      </c>
      <c r="J2124" s="42">
        <f>IFERROR(INDEX('Semrush Data'!$A$1:$Z$20000,MATCH(A2124,'Semrush Data'!$A$1:$A$20000,0),MATCH("Intent",'Semrush Data'!$A$1:$Z$1,0)),"")</f>
        <v/>
      </c>
    </row>
    <row r="2125" ht="15" customHeight="1" s="37">
      <c r="A2125" s="42" t="inlineStr">
        <is>
          <t>buy vilvah sun protection kit online</t>
        </is>
      </c>
      <c r="B2125" s="42" t="inlineStr">
        <is>
          <t>Buy online</t>
        </is>
      </c>
      <c r="C2125" s="42" t="n">
        <v>3</v>
      </c>
      <c r="D2125" s="42" t="n">
        <v>22</v>
      </c>
      <c r="E2125" s="42" t="n">
        <v>1</v>
      </c>
      <c r="F2125" s="42" t="inlineStr">
        <is>
          <t>VD-054</t>
        </is>
      </c>
      <c r="G2125" s="55">
        <f>IFERROR(INDEX('Semrush Data'!$A$1:$Z$20000,MATCH(A2125,'Semrush Data'!$A$1:$A$20000,0),MATCH("Volume",'Semrush Data'!$A$1:$Z$1,0)),"")</f>
        <v/>
      </c>
      <c r="H2125" s="42">
        <f>IFERROR(INDEX('Semrush Data'!$A$1:$Z$20000,MATCH(A2125,'Semrush Data'!$A$1:$A$20000,0),MATCH("Keyword Difficulty*",'Semrush Data'!$A$1:$Z$1,0)),"")</f>
        <v/>
      </c>
      <c r="I2125" s="56">
        <f>IFERROR(INDEX('Semrush Data'!$A$1:$Z$20000,MATCH(A2125,'Semrush Data'!$A$1:$A$20000,0),MATCH("CPC*",'Semrush Data'!$A$1:$Z$1,0)),"")</f>
        <v/>
      </c>
      <c r="J2125" s="42">
        <f>IFERROR(INDEX('Semrush Data'!$A$1:$Z$20000,MATCH(A2125,'Semrush Data'!$A$1:$A$20000,0),MATCH("Intent",'Semrush Data'!$A$1:$Z$1,0)),"")</f>
        <v/>
      </c>
    </row>
    <row r="2126" ht="15" customHeight="1" s="37">
      <c r="A2126" s="42" t="inlineStr">
        <is>
          <t>buy vilvah tan protection kit online</t>
        </is>
      </c>
      <c r="B2126" s="42" t="inlineStr">
        <is>
          <t>Buy online</t>
        </is>
      </c>
      <c r="C2126" s="42" t="n">
        <v>3</v>
      </c>
      <c r="D2126" s="42" t="n">
        <v>22</v>
      </c>
      <c r="E2126" s="42" t="n">
        <v>1</v>
      </c>
      <c r="F2126" s="42" t="inlineStr">
        <is>
          <t>VD-060</t>
        </is>
      </c>
      <c r="G2126" s="55">
        <f>IFERROR(INDEX('Semrush Data'!$A$1:$Z$20000,MATCH(A2126,'Semrush Data'!$A$1:$A$20000,0),MATCH("Volume",'Semrush Data'!$A$1:$Z$1,0)),"")</f>
        <v/>
      </c>
      <c r="H2126" s="42">
        <f>IFERROR(INDEX('Semrush Data'!$A$1:$Z$20000,MATCH(A2126,'Semrush Data'!$A$1:$A$20000,0),MATCH("Keyword Difficulty*",'Semrush Data'!$A$1:$Z$1,0)),"")</f>
        <v/>
      </c>
      <c r="I2126" s="56">
        <f>IFERROR(INDEX('Semrush Data'!$A$1:$Z$20000,MATCH(A2126,'Semrush Data'!$A$1:$A$20000,0),MATCH("CPC*",'Semrush Data'!$A$1:$Z$1,0)),"")</f>
        <v/>
      </c>
      <c r="J2126" s="42">
        <f>IFERROR(INDEX('Semrush Data'!$A$1:$Z$20000,MATCH(A2126,'Semrush Data'!$A$1:$A$20000,0),MATCH("Intent",'Semrush Data'!$A$1:$Z$1,0)),"")</f>
        <v/>
      </c>
    </row>
    <row r="2127" ht="15" customHeight="1" s="37">
      <c r="A2127" s="42" t="inlineStr">
        <is>
          <t>buy vilvah tinted lip balm kit online</t>
        </is>
      </c>
      <c r="B2127" s="42" t="inlineStr">
        <is>
          <t>Buy online</t>
        </is>
      </c>
      <c r="C2127" s="42" t="n">
        <v>3</v>
      </c>
      <c r="D2127" s="42" t="n">
        <v>22</v>
      </c>
      <c r="E2127" s="42" t="n">
        <v>1</v>
      </c>
      <c r="F2127" s="42" t="inlineStr">
        <is>
          <t>VD-068</t>
        </is>
      </c>
      <c r="G2127" s="55">
        <f>IFERROR(INDEX('Semrush Data'!$A$1:$Z$20000,MATCH(A2127,'Semrush Data'!$A$1:$A$20000,0),MATCH("Volume",'Semrush Data'!$A$1:$Z$1,0)),"")</f>
        <v/>
      </c>
      <c r="H2127" s="42">
        <f>IFERROR(INDEX('Semrush Data'!$A$1:$Z$20000,MATCH(A2127,'Semrush Data'!$A$1:$A$20000,0),MATCH("Keyword Difficulty*",'Semrush Data'!$A$1:$Z$1,0)),"")</f>
        <v/>
      </c>
      <c r="I2127" s="56">
        <f>IFERROR(INDEX('Semrush Data'!$A$1:$Z$20000,MATCH(A2127,'Semrush Data'!$A$1:$A$20000,0),MATCH("CPC*",'Semrush Data'!$A$1:$Z$1,0)),"")</f>
        <v/>
      </c>
      <c r="J2127" s="42">
        <f>IFERROR(INDEX('Semrush Data'!$A$1:$Z$20000,MATCH(A2127,'Semrush Data'!$A$1:$A$20000,0),MATCH("Intent",'Semrush Data'!$A$1:$Z$1,0)),"")</f>
        <v/>
      </c>
    </row>
    <row r="2128" ht="15" customHeight="1" s="37">
      <c r="A2128" s="42" t="inlineStr">
        <is>
          <t>buy vilvah ultra moisturising cream online</t>
        </is>
      </c>
      <c r="B2128" s="42" t="inlineStr">
        <is>
          <t>Buy online</t>
        </is>
      </c>
      <c r="C2128" s="42" t="n">
        <v>3</v>
      </c>
      <c r="D2128" s="42" t="n">
        <v>22</v>
      </c>
      <c r="E2128" s="42" t="n">
        <v>1</v>
      </c>
      <c r="F2128" s="42" t="inlineStr">
        <is>
          <t>VD-007</t>
        </is>
      </c>
      <c r="G2128" s="55">
        <f>IFERROR(INDEX('Semrush Data'!$A$1:$Z$20000,MATCH(A2128,'Semrush Data'!$A$1:$A$20000,0),MATCH("Volume",'Semrush Data'!$A$1:$Z$1,0)),"")</f>
        <v/>
      </c>
      <c r="H2128" s="42">
        <f>IFERROR(INDEX('Semrush Data'!$A$1:$Z$20000,MATCH(A2128,'Semrush Data'!$A$1:$A$20000,0),MATCH("Keyword Difficulty*",'Semrush Data'!$A$1:$Z$1,0)),"")</f>
        <v/>
      </c>
      <c r="I2128" s="56">
        <f>IFERROR(INDEX('Semrush Data'!$A$1:$Z$20000,MATCH(A2128,'Semrush Data'!$A$1:$A$20000,0),MATCH("CPC*",'Semrush Data'!$A$1:$Z$1,0)),"")</f>
        <v/>
      </c>
      <c r="J2128" s="42">
        <f>IFERROR(INDEX('Semrush Data'!$A$1:$Z$20000,MATCH(A2128,'Semrush Data'!$A$1:$A$20000,0),MATCH("Intent",'Semrush Data'!$A$1:$Z$1,0)),"")</f>
        <v/>
      </c>
    </row>
    <row r="2129" ht="15" customHeight="1" s="37">
      <c r="A2129" s="42" t="inlineStr">
        <is>
          <t>buy vilvah under eye cream (dark circles control) online</t>
        </is>
      </c>
      <c r="B2129" s="42" t="inlineStr">
        <is>
          <t>Buy online</t>
        </is>
      </c>
      <c r="C2129" s="42" t="n">
        <v>3</v>
      </c>
      <c r="D2129" s="42" t="n">
        <v>22</v>
      </c>
      <c r="E2129" s="42" t="n">
        <v>1</v>
      </c>
      <c r="F2129" s="42" t="inlineStr">
        <is>
          <t>VD-043</t>
        </is>
      </c>
      <c r="G2129" s="55">
        <f>IFERROR(INDEX('Semrush Data'!$A$1:$Z$20000,MATCH(A2129,'Semrush Data'!$A$1:$A$20000,0),MATCH("Volume",'Semrush Data'!$A$1:$Z$1,0)),"")</f>
        <v/>
      </c>
      <c r="H2129" s="42">
        <f>IFERROR(INDEX('Semrush Data'!$A$1:$Z$20000,MATCH(A2129,'Semrush Data'!$A$1:$A$20000,0),MATCH("Keyword Difficulty*",'Semrush Data'!$A$1:$Z$1,0)),"")</f>
        <v/>
      </c>
      <c r="I2129" s="56">
        <f>IFERROR(INDEX('Semrush Data'!$A$1:$Z$20000,MATCH(A2129,'Semrush Data'!$A$1:$A$20000,0),MATCH("CPC*",'Semrush Data'!$A$1:$Z$1,0)),"")</f>
        <v/>
      </c>
      <c r="J2129" s="42">
        <f>IFERROR(INDEX('Semrush Data'!$A$1:$Z$20000,MATCH(A2129,'Semrush Data'!$A$1:$A$20000,0),MATCH("Intent",'Semrush Data'!$A$1:$Z$1,0)),"")</f>
        <v/>
      </c>
    </row>
    <row r="2130" ht="15" customHeight="1" s="37">
      <c r="A2130" s="42" t="inlineStr">
        <is>
          <t>buy vilvah wild rose facemask online</t>
        </is>
      </c>
      <c r="B2130" s="42" t="inlineStr">
        <is>
          <t>Buy online</t>
        </is>
      </c>
      <c r="C2130" s="42" t="n">
        <v>3</v>
      </c>
      <c r="D2130" s="42" t="n">
        <v>22</v>
      </c>
      <c r="E2130" s="42" t="n">
        <v>1</v>
      </c>
      <c r="F2130" s="42" t="inlineStr">
        <is>
          <t>VD-019</t>
        </is>
      </c>
      <c r="G2130" s="55">
        <f>IFERROR(INDEX('Semrush Data'!$A$1:$Z$20000,MATCH(A2130,'Semrush Data'!$A$1:$A$20000,0),MATCH("Volume",'Semrush Data'!$A$1:$Z$1,0)),"")</f>
        <v/>
      </c>
      <c r="H2130" s="42">
        <f>IFERROR(INDEX('Semrush Data'!$A$1:$Z$20000,MATCH(A2130,'Semrush Data'!$A$1:$A$20000,0),MATCH("Keyword Difficulty*",'Semrush Data'!$A$1:$Z$1,0)),"")</f>
        <v/>
      </c>
      <c r="I2130" s="56">
        <f>IFERROR(INDEX('Semrush Data'!$A$1:$Z$20000,MATCH(A2130,'Semrush Data'!$A$1:$A$20000,0),MATCH("CPC*",'Semrush Data'!$A$1:$Z$1,0)),"")</f>
        <v/>
      </c>
      <c r="J2130" s="42">
        <f>IFERROR(INDEX('Semrush Data'!$A$1:$Z$20000,MATCH(A2130,'Semrush Data'!$A$1:$A$20000,0),MATCH("Intent",'Semrush Data'!$A$1:$Z$1,0)),"")</f>
        <v/>
      </c>
    </row>
    <row r="2131" ht="15" customHeight="1" s="37">
      <c r="A2131" s="42" t="inlineStr">
        <is>
          <t>buy vilvah x annapoorna gift box online</t>
        </is>
      </c>
      <c r="B2131" s="42" t="inlineStr">
        <is>
          <t>Buy online</t>
        </is>
      </c>
      <c r="C2131" s="42" t="n">
        <v>3</v>
      </c>
      <c r="D2131" s="42" t="n">
        <v>22</v>
      </c>
      <c r="E2131" s="42" t="n">
        <v>1</v>
      </c>
      <c r="F2131" s="42" t="inlineStr">
        <is>
          <t>VD-067</t>
        </is>
      </c>
      <c r="G2131" s="55">
        <f>IFERROR(INDEX('Semrush Data'!$A$1:$Z$20000,MATCH(A2131,'Semrush Data'!$A$1:$A$20000,0),MATCH("Volume",'Semrush Data'!$A$1:$Z$1,0)),"")</f>
        <v/>
      </c>
      <c r="H2131" s="42">
        <f>IFERROR(INDEX('Semrush Data'!$A$1:$Z$20000,MATCH(A2131,'Semrush Data'!$A$1:$A$20000,0),MATCH("Keyword Difficulty*",'Semrush Data'!$A$1:$Z$1,0)),"")</f>
        <v/>
      </c>
      <c r="I2131" s="56">
        <f>IFERROR(INDEX('Semrush Data'!$A$1:$Z$20000,MATCH(A2131,'Semrush Data'!$A$1:$A$20000,0),MATCH("CPC*",'Semrush Data'!$A$1:$Z$1,0)),"")</f>
        <v/>
      </c>
      <c r="J2131" s="42">
        <f>IFERROR(INDEX('Semrush Data'!$A$1:$Z$20000,MATCH(A2131,'Semrush Data'!$A$1:$A$20000,0),MATCH("Intent",'Semrush Data'!$A$1:$Z$1,0)),"")</f>
        <v/>
      </c>
    </row>
    <row r="2132" ht="15" customHeight="1" s="37">
      <c r="A2132" s="42" t="inlineStr">
        <is>
          <t>buy ysl yves saint laurent yvresse w online</t>
        </is>
      </c>
      <c r="B2132" s="42" t="inlineStr">
        <is>
          <t>Buy online</t>
        </is>
      </c>
      <c r="C2132" s="42" t="n">
        <v>3</v>
      </c>
      <c r="D2132" s="42" t="n">
        <v>22</v>
      </c>
      <c r="E2132" s="42" t="n">
        <v>1</v>
      </c>
      <c r="F2132" s="42" t="inlineStr">
        <is>
          <t>FR-387</t>
        </is>
      </c>
      <c r="G2132" s="55">
        <f>IFERROR(INDEX('Semrush Data'!$A$1:$Z$20000,MATCH(A2132,'Semrush Data'!$A$1:$A$20000,0),MATCH("Volume",'Semrush Data'!$A$1:$Z$1,0)),"")</f>
        <v/>
      </c>
      <c r="H2132" s="42">
        <f>IFERROR(INDEX('Semrush Data'!$A$1:$Z$20000,MATCH(A2132,'Semrush Data'!$A$1:$A$20000,0),MATCH("Keyword Difficulty*",'Semrush Data'!$A$1:$Z$1,0)),"")</f>
        <v/>
      </c>
      <c r="I2132" s="56">
        <f>IFERROR(INDEX('Semrush Data'!$A$1:$Z$20000,MATCH(A2132,'Semrush Data'!$A$1:$A$20000,0),MATCH("CPC*",'Semrush Data'!$A$1:$Z$1,0)),"")</f>
        <v/>
      </c>
      <c r="J2132" s="42">
        <f>IFERROR(INDEX('Semrush Data'!$A$1:$Z$20000,MATCH(A2132,'Semrush Data'!$A$1:$A$20000,0),MATCH("Intent",'Semrush Data'!$A$1:$Z$1,0)),"")</f>
        <v/>
      </c>
    </row>
    <row r="2133" ht="15" customHeight="1" s="37">
      <c r="A2133" s="42" t="inlineStr">
        <is>
          <t>abercrombie &amp; fitch first instinct together men</t>
        </is>
      </c>
      <c r="B2133" s="42" t="inlineStr">
        <is>
          <t>Google suggest</t>
        </is>
      </c>
      <c r="C2133" s="42" t="n">
        <v>3</v>
      </c>
      <c r="D2133" s="42" t="n">
        <v>22</v>
      </c>
      <c r="E2133" s="42" t="n">
        <v>1</v>
      </c>
      <c r="F2133" s="42" t="inlineStr">
        <is>
          <t>FR-001</t>
        </is>
      </c>
      <c r="G2133" s="55">
        <f>IFERROR(INDEX('Semrush Data'!$A$1:$Z$20000,MATCH(A2133,'Semrush Data'!$A$1:$A$20000,0),MATCH("Volume",'Semrush Data'!$A$1:$Z$1,0)),"")</f>
        <v/>
      </c>
      <c r="H2133" s="42">
        <f>IFERROR(INDEX('Semrush Data'!$A$1:$Z$20000,MATCH(A2133,'Semrush Data'!$A$1:$A$20000,0),MATCH("Keyword Difficulty*",'Semrush Data'!$A$1:$Z$1,0)),"")</f>
        <v/>
      </c>
      <c r="I2133" s="56">
        <f>IFERROR(INDEX('Semrush Data'!$A$1:$Z$20000,MATCH(A2133,'Semrush Data'!$A$1:$A$20000,0),MATCH("CPC*",'Semrush Data'!$A$1:$Z$1,0)),"")</f>
        <v/>
      </c>
      <c r="J2133" s="42">
        <f>IFERROR(INDEX('Semrush Data'!$A$1:$Z$20000,MATCH(A2133,'Semrush Data'!$A$1:$A$20000,0),MATCH("Intent",'Semrush Data'!$A$1:$Z$1,0)),"")</f>
        <v/>
      </c>
    </row>
    <row r="2134" ht="15" customHeight="1" s="37">
      <c r="A2134" s="42" t="inlineStr">
        <is>
          <t>abercrombie &amp; fitch first instinct together women</t>
        </is>
      </c>
      <c r="B2134" s="42" t="inlineStr">
        <is>
          <t>Google suggest</t>
        </is>
      </c>
      <c r="C2134" s="42" t="n">
        <v>3</v>
      </c>
      <c r="D2134" s="42" t="n">
        <v>22</v>
      </c>
      <c r="E2134" s="42" t="n">
        <v>1</v>
      </c>
      <c r="F2134" s="42" t="inlineStr">
        <is>
          <t>FR-001</t>
        </is>
      </c>
      <c r="G2134" s="55">
        <f>IFERROR(INDEX('Semrush Data'!$A$1:$Z$20000,MATCH(A2134,'Semrush Data'!$A$1:$A$20000,0),MATCH("Volume",'Semrush Data'!$A$1:$Z$1,0)),"")</f>
        <v/>
      </c>
      <c r="H2134" s="42">
        <f>IFERROR(INDEX('Semrush Data'!$A$1:$Z$20000,MATCH(A2134,'Semrush Data'!$A$1:$A$20000,0),MATCH("Keyword Difficulty*",'Semrush Data'!$A$1:$Z$1,0)),"")</f>
        <v/>
      </c>
      <c r="I2134" s="56">
        <f>IFERROR(INDEX('Semrush Data'!$A$1:$Z$20000,MATCH(A2134,'Semrush Data'!$A$1:$A$20000,0),MATCH("CPC*",'Semrush Data'!$A$1:$Z$1,0)),"")</f>
        <v/>
      </c>
      <c r="J2134" s="42">
        <f>IFERROR(INDEX('Semrush Data'!$A$1:$Z$20000,MATCH(A2134,'Semrush Data'!$A$1:$A$20000,0),MATCH("Intent",'Semrush Data'!$A$1:$Z$1,0)),"")</f>
        <v/>
      </c>
    </row>
    <row r="2135" ht="15" customHeight="1" s="37">
      <c r="A2135" s="42" t="inlineStr">
        <is>
          <t>abercrombie &amp; fitch naturally fierce eau de parfum 100ml</t>
        </is>
      </c>
      <c r="B2135" s="42" t="inlineStr">
        <is>
          <t>Google suggest</t>
        </is>
      </c>
      <c r="C2135" s="42" t="n">
        <v>3</v>
      </c>
      <c r="D2135" s="42" t="n">
        <v>22</v>
      </c>
      <c r="E2135" s="42" t="n">
        <v>1</v>
      </c>
      <c r="F2135" s="42" t="inlineStr">
        <is>
          <t>FR-002</t>
        </is>
      </c>
      <c r="G2135" s="55">
        <f>IFERROR(INDEX('Semrush Data'!$A$1:$Z$20000,MATCH(A2135,'Semrush Data'!$A$1:$A$20000,0),MATCH("Volume",'Semrush Data'!$A$1:$Z$1,0)),"")</f>
        <v/>
      </c>
      <c r="H2135" s="42">
        <f>IFERROR(INDEX('Semrush Data'!$A$1:$Z$20000,MATCH(A2135,'Semrush Data'!$A$1:$A$20000,0),MATCH("Keyword Difficulty*",'Semrush Data'!$A$1:$Z$1,0)),"")</f>
        <v/>
      </c>
      <c r="I2135" s="56">
        <f>IFERROR(INDEX('Semrush Data'!$A$1:$Z$20000,MATCH(A2135,'Semrush Data'!$A$1:$A$20000,0),MATCH("CPC*",'Semrush Data'!$A$1:$Z$1,0)),"")</f>
        <v/>
      </c>
      <c r="J2135" s="42">
        <f>IFERROR(INDEX('Semrush Data'!$A$1:$Z$20000,MATCH(A2135,'Semrush Data'!$A$1:$A$20000,0),MATCH("Intent",'Semrush Data'!$A$1:$Z$1,0)),"")</f>
        <v/>
      </c>
    </row>
    <row r="2136" ht="15" customHeight="1" s="37">
      <c r="A2136" s="42" t="inlineStr">
        <is>
          <t>abercrombie &amp; fitch naturally fierce eau de parfum 30ml</t>
        </is>
      </c>
      <c r="B2136" s="42" t="inlineStr">
        <is>
          <t>Google suggest</t>
        </is>
      </c>
      <c r="C2136" s="42" t="n">
        <v>3</v>
      </c>
      <c r="D2136" s="42" t="n">
        <v>22</v>
      </c>
      <c r="E2136" s="42" t="n">
        <v>1</v>
      </c>
      <c r="F2136" s="42" t="inlineStr">
        <is>
          <t>FR-002</t>
        </is>
      </c>
      <c r="G2136" s="55">
        <f>IFERROR(INDEX('Semrush Data'!$A$1:$Z$20000,MATCH(A2136,'Semrush Data'!$A$1:$A$20000,0),MATCH("Volume",'Semrush Data'!$A$1:$Z$1,0)),"")</f>
        <v/>
      </c>
      <c r="H2136" s="42">
        <f>IFERROR(INDEX('Semrush Data'!$A$1:$Z$20000,MATCH(A2136,'Semrush Data'!$A$1:$A$20000,0),MATCH("Keyword Difficulty*",'Semrush Data'!$A$1:$Z$1,0)),"")</f>
        <v/>
      </c>
      <c r="I2136" s="56">
        <f>IFERROR(INDEX('Semrush Data'!$A$1:$Z$20000,MATCH(A2136,'Semrush Data'!$A$1:$A$20000,0),MATCH("CPC*",'Semrush Data'!$A$1:$Z$1,0)),"")</f>
        <v/>
      </c>
      <c r="J2136" s="42">
        <f>IFERROR(INDEX('Semrush Data'!$A$1:$Z$20000,MATCH(A2136,'Semrush Data'!$A$1:$A$20000,0),MATCH("Intent",'Semrush Data'!$A$1:$Z$1,0)),"")</f>
        <v/>
      </c>
    </row>
    <row r="2137" ht="15" customHeight="1" s="37">
      <c r="A2137" s="42" t="inlineStr">
        <is>
          <t>abercrombie &amp; fitch naturally fierce edp</t>
        </is>
      </c>
      <c r="B2137" s="42" t="inlineStr">
        <is>
          <t>Google suggest</t>
        </is>
      </c>
      <c r="C2137" s="42" t="n">
        <v>3</v>
      </c>
      <c r="D2137" s="42" t="n">
        <v>22</v>
      </c>
      <c r="E2137" s="42" t="n">
        <v>1</v>
      </c>
      <c r="F2137" s="42" t="inlineStr">
        <is>
          <t>FR-002</t>
        </is>
      </c>
      <c r="G2137" s="55">
        <f>IFERROR(INDEX('Semrush Data'!$A$1:$Z$20000,MATCH(A2137,'Semrush Data'!$A$1:$A$20000,0),MATCH("Volume",'Semrush Data'!$A$1:$Z$1,0)),"")</f>
        <v/>
      </c>
      <c r="H2137" s="42">
        <f>IFERROR(INDEX('Semrush Data'!$A$1:$Z$20000,MATCH(A2137,'Semrush Data'!$A$1:$A$20000,0),MATCH("Keyword Difficulty*",'Semrush Data'!$A$1:$Z$1,0)),"")</f>
        <v/>
      </c>
      <c r="I2137" s="56">
        <f>IFERROR(INDEX('Semrush Data'!$A$1:$Z$20000,MATCH(A2137,'Semrush Data'!$A$1:$A$20000,0),MATCH("CPC*",'Semrush Data'!$A$1:$Z$1,0)),"")</f>
        <v/>
      </c>
      <c r="J2137" s="42">
        <f>IFERROR(INDEX('Semrush Data'!$A$1:$Z$20000,MATCH(A2137,'Semrush Data'!$A$1:$A$20000,0),MATCH("Intent",'Semrush Data'!$A$1:$Z$1,0)),"")</f>
        <v/>
      </c>
    </row>
    <row r="2138" ht="15" customHeight="1" s="37">
      <c r="A2138" s="42" t="inlineStr">
        <is>
          <t>abercrombie &amp; fitch naturally fierce edp 100ml</t>
        </is>
      </c>
      <c r="B2138" s="42" t="inlineStr">
        <is>
          <t>Google suggest</t>
        </is>
      </c>
      <c r="C2138" s="42" t="n">
        <v>3</v>
      </c>
      <c r="D2138" s="42" t="n">
        <v>22</v>
      </c>
      <c r="E2138" s="42" t="n">
        <v>1</v>
      </c>
      <c r="F2138" s="42" t="inlineStr">
        <is>
          <t>FR-002</t>
        </is>
      </c>
      <c r="G2138" s="55">
        <f>IFERROR(INDEX('Semrush Data'!$A$1:$Z$20000,MATCH(A2138,'Semrush Data'!$A$1:$A$20000,0),MATCH("Volume",'Semrush Data'!$A$1:$Z$1,0)),"")</f>
        <v/>
      </c>
      <c r="H2138" s="42">
        <f>IFERROR(INDEX('Semrush Data'!$A$1:$Z$20000,MATCH(A2138,'Semrush Data'!$A$1:$A$20000,0),MATCH("Keyword Difficulty*",'Semrush Data'!$A$1:$Z$1,0)),"")</f>
        <v/>
      </c>
      <c r="I2138" s="56">
        <f>IFERROR(INDEX('Semrush Data'!$A$1:$Z$20000,MATCH(A2138,'Semrush Data'!$A$1:$A$20000,0),MATCH("CPC*",'Semrush Data'!$A$1:$Z$1,0)),"")</f>
        <v/>
      </c>
      <c r="J2138" s="42">
        <f>IFERROR(INDEX('Semrush Data'!$A$1:$Z$20000,MATCH(A2138,'Semrush Data'!$A$1:$A$20000,0),MATCH("Intent",'Semrush Data'!$A$1:$Z$1,0)),"")</f>
        <v/>
      </c>
    </row>
    <row r="2139" ht="15" customHeight="1" s="37">
      <c r="A2139" s="42" t="inlineStr">
        <is>
          <t>abercrombie &amp; fitch naturally fierce edp 50ml</t>
        </is>
      </c>
      <c r="B2139" s="42" t="inlineStr">
        <is>
          <t>Google suggest</t>
        </is>
      </c>
      <c r="C2139" s="42" t="n">
        <v>3</v>
      </c>
      <c r="D2139" s="42" t="n">
        <v>22</v>
      </c>
      <c r="E2139" s="42" t="n">
        <v>1</v>
      </c>
      <c r="F2139" s="42" t="inlineStr">
        <is>
          <t>FR-002</t>
        </is>
      </c>
      <c r="G2139" s="55">
        <f>IFERROR(INDEX('Semrush Data'!$A$1:$Z$20000,MATCH(A2139,'Semrush Data'!$A$1:$A$20000,0),MATCH("Volume",'Semrush Data'!$A$1:$Z$1,0)),"")</f>
        <v/>
      </c>
      <c r="H2139" s="42">
        <f>IFERROR(INDEX('Semrush Data'!$A$1:$Z$20000,MATCH(A2139,'Semrush Data'!$A$1:$A$20000,0),MATCH("Keyword Difficulty*",'Semrush Data'!$A$1:$Z$1,0)),"")</f>
        <v/>
      </c>
      <c r="I2139" s="56">
        <f>IFERROR(INDEX('Semrush Data'!$A$1:$Z$20000,MATCH(A2139,'Semrush Data'!$A$1:$A$20000,0),MATCH("CPC*",'Semrush Data'!$A$1:$Z$1,0)),"")</f>
        <v/>
      </c>
      <c r="J2139" s="42">
        <f>IFERROR(INDEX('Semrush Data'!$A$1:$Z$20000,MATCH(A2139,'Semrush Data'!$A$1:$A$20000,0),MATCH("Intent",'Semrush Data'!$A$1:$Z$1,0)),"")</f>
        <v/>
      </c>
    </row>
    <row r="2140" ht="15" customHeight="1" s="37">
      <c r="A2140" s="42" t="inlineStr">
        <is>
          <t>acqua di parma blu mediterraneo price</t>
        </is>
      </c>
      <c r="B2140" s="42" t="inlineStr">
        <is>
          <t>Google suggest</t>
        </is>
      </c>
      <c r="C2140" s="42" t="n">
        <v>3</v>
      </c>
      <c r="D2140" s="42" t="n">
        <v>22</v>
      </c>
      <c r="E2140" s="42" t="n">
        <v>1</v>
      </c>
      <c r="F2140" s="42" t="inlineStr">
        <is>
          <t>FR-009</t>
        </is>
      </c>
      <c r="G2140" s="55">
        <f>IFERROR(INDEX('Semrush Data'!$A$1:$Z$20000,MATCH(A2140,'Semrush Data'!$A$1:$A$20000,0),MATCH("Volume",'Semrush Data'!$A$1:$Z$1,0)),"")</f>
        <v/>
      </c>
      <c r="H2140" s="42">
        <f>IFERROR(INDEX('Semrush Data'!$A$1:$Z$20000,MATCH(A2140,'Semrush Data'!$A$1:$A$20000,0),MATCH("Keyword Difficulty*",'Semrush Data'!$A$1:$Z$1,0)),"")</f>
        <v/>
      </c>
      <c r="I2140" s="56">
        <f>IFERROR(INDEX('Semrush Data'!$A$1:$Z$20000,MATCH(A2140,'Semrush Data'!$A$1:$A$20000,0),MATCH("CPC*",'Semrush Data'!$A$1:$Z$1,0)),"")</f>
        <v/>
      </c>
      <c r="J2140" s="42">
        <f>IFERROR(INDEX('Semrush Data'!$A$1:$Z$20000,MATCH(A2140,'Semrush Data'!$A$1:$A$20000,0),MATCH("Intent",'Semrush Data'!$A$1:$Z$1,0)),"")</f>
        <v/>
      </c>
    </row>
    <row r="2141" ht="15" customHeight="1" s="37">
      <c r="A2141" s="42" t="inlineStr">
        <is>
          <t>acqua di parma blu mediterraneo review</t>
        </is>
      </c>
      <c r="B2141" s="42" t="inlineStr">
        <is>
          <t>Google suggest</t>
        </is>
      </c>
      <c r="C2141" s="42" t="n">
        <v>3</v>
      </c>
      <c r="D2141" s="42" t="n">
        <v>22</v>
      </c>
      <c r="E2141" s="42" t="n">
        <v>1</v>
      </c>
      <c r="F2141" s="42" t="inlineStr">
        <is>
          <t>FR-009</t>
        </is>
      </c>
      <c r="G2141" s="55">
        <f>IFERROR(INDEX('Semrush Data'!$A$1:$Z$20000,MATCH(A2141,'Semrush Data'!$A$1:$A$20000,0),MATCH("Volume",'Semrush Data'!$A$1:$Z$1,0)),"")</f>
        <v/>
      </c>
      <c r="H2141" s="42">
        <f>IFERROR(INDEX('Semrush Data'!$A$1:$Z$20000,MATCH(A2141,'Semrush Data'!$A$1:$A$20000,0),MATCH("Keyword Difficulty*",'Semrush Data'!$A$1:$Z$1,0)),"")</f>
        <v/>
      </c>
      <c r="I2141" s="56">
        <f>IFERROR(INDEX('Semrush Data'!$A$1:$Z$20000,MATCH(A2141,'Semrush Data'!$A$1:$A$20000,0),MATCH("CPC*",'Semrush Data'!$A$1:$Z$1,0)),"")</f>
        <v/>
      </c>
      <c r="J2141" s="42">
        <f>IFERROR(INDEX('Semrush Data'!$A$1:$Z$20000,MATCH(A2141,'Semrush Data'!$A$1:$A$20000,0),MATCH("Intent",'Semrush Data'!$A$1:$Z$1,0)),"")</f>
        <v/>
      </c>
    </row>
    <row r="2142" ht="15" customHeight="1" s="37">
      <c r="A2142" s="42" t="inlineStr">
        <is>
          <t>acqua di parma colonia essenza deodorant stick 75ml</t>
        </is>
      </c>
      <c r="B2142" s="42" t="inlineStr">
        <is>
          <t>Google suggest</t>
        </is>
      </c>
      <c r="C2142" s="42" t="n">
        <v>3</v>
      </c>
      <c r="D2142" s="42" t="n">
        <v>22</v>
      </c>
      <c r="E2142" s="42" t="n">
        <v>1</v>
      </c>
      <c r="F2142" s="42" t="inlineStr">
        <is>
          <t>FR-004</t>
        </is>
      </c>
      <c r="G2142" s="55">
        <f>IFERROR(INDEX('Semrush Data'!$A$1:$Z$20000,MATCH(A2142,'Semrush Data'!$A$1:$A$20000,0),MATCH("Volume",'Semrush Data'!$A$1:$Z$1,0)),"")</f>
        <v/>
      </c>
      <c r="H2142" s="42">
        <f>IFERROR(INDEX('Semrush Data'!$A$1:$Z$20000,MATCH(A2142,'Semrush Data'!$A$1:$A$20000,0),MATCH("Keyword Difficulty*",'Semrush Data'!$A$1:$Z$1,0)),"")</f>
        <v/>
      </c>
      <c r="I2142" s="56">
        <f>IFERROR(INDEX('Semrush Data'!$A$1:$Z$20000,MATCH(A2142,'Semrush Data'!$A$1:$A$20000,0),MATCH("CPC*",'Semrush Data'!$A$1:$Z$1,0)),"")</f>
        <v/>
      </c>
      <c r="J2142" s="42">
        <f>IFERROR(INDEX('Semrush Data'!$A$1:$Z$20000,MATCH(A2142,'Semrush Data'!$A$1:$A$20000,0),MATCH("Intent",'Semrush Data'!$A$1:$Z$1,0)),"")</f>
        <v/>
      </c>
    </row>
    <row r="2143" ht="15" customHeight="1" s="37">
      <c r="A2143" s="42" t="inlineStr">
        <is>
          <t>acqua di parma colonia essenza deodorant stick review</t>
        </is>
      </c>
      <c r="B2143" s="42" t="inlineStr">
        <is>
          <t>Google suggest</t>
        </is>
      </c>
      <c r="C2143" s="42" t="n">
        <v>3</v>
      </c>
      <c r="D2143" s="42" t="n">
        <v>22</v>
      </c>
      <c r="E2143" s="42" t="n">
        <v>1</v>
      </c>
      <c r="F2143" s="42" t="inlineStr">
        <is>
          <t>FR-004</t>
        </is>
      </c>
      <c r="G2143" s="55">
        <f>IFERROR(INDEX('Semrush Data'!$A$1:$Z$20000,MATCH(A2143,'Semrush Data'!$A$1:$A$20000,0),MATCH("Volume",'Semrush Data'!$A$1:$Z$1,0)),"")</f>
        <v/>
      </c>
      <c r="H2143" s="42">
        <f>IFERROR(INDEX('Semrush Data'!$A$1:$Z$20000,MATCH(A2143,'Semrush Data'!$A$1:$A$20000,0),MATCH("Keyword Difficulty*",'Semrush Data'!$A$1:$Z$1,0)),"")</f>
        <v/>
      </c>
      <c r="I2143" s="56">
        <f>IFERROR(INDEX('Semrush Data'!$A$1:$Z$20000,MATCH(A2143,'Semrush Data'!$A$1:$A$20000,0),MATCH("CPC*",'Semrush Data'!$A$1:$Z$1,0)),"")</f>
        <v/>
      </c>
      <c r="J2143" s="42">
        <f>IFERROR(INDEX('Semrush Data'!$A$1:$Z$20000,MATCH(A2143,'Semrush Data'!$A$1:$A$20000,0),MATCH("Intent",'Semrush Data'!$A$1:$Z$1,0)),"")</f>
        <v/>
      </c>
    </row>
    <row r="2144" ht="15" customHeight="1" s="37">
      <c r="A2144" s="42" t="inlineStr">
        <is>
          <t>acqua di parma colonia essenza review</t>
        </is>
      </c>
      <c r="B2144" s="42" t="inlineStr">
        <is>
          <t>Google suggest</t>
        </is>
      </c>
      <c r="C2144" s="42" t="n">
        <v>3</v>
      </c>
      <c r="D2144" s="42" t="n">
        <v>22</v>
      </c>
      <c r="E2144" s="42" t="n">
        <v>1</v>
      </c>
      <c r="F2144" s="42" t="inlineStr">
        <is>
          <t>FR-004</t>
        </is>
      </c>
      <c r="G2144" s="55">
        <f>IFERROR(INDEX('Semrush Data'!$A$1:$Z$20000,MATCH(A2144,'Semrush Data'!$A$1:$A$20000,0),MATCH("Volume",'Semrush Data'!$A$1:$Z$1,0)),"")</f>
        <v/>
      </c>
      <c r="H2144" s="42">
        <f>IFERROR(INDEX('Semrush Data'!$A$1:$Z$20000,MATCH(A2144,'Semrush Data'!$A$1:$A$20000,0),MATCH("Keyword Difficulty*",'Semrush Data'!$A$1:$Z$1,0)),"")</f>
        <v/>
      </c>
      <c r="I2144" s="56">
        <f>IFERROR(INDEX('Semrush Data'!$A$1:$Z$20000,MATCH(A2144,'Semrush Data'!$A$1:$A$20000,0),MATCH("CPC*",'Semrush Data'!$A$1:$Z$1,0)),"")</f>
        <v/>
      </c>
      <c r="J2144" s="42">
        <f>IFERROR(INDEX('Semrush Data'!$A$1:$Z$20000,MATCH(A2144,'Semrush Data'!$A$1:$A$20000,0),MATCH("Intent",'Semrush Data'!$A$1:$Z$1,0)),"")</f>
        <v/>
      </c>
    </row>
    <row r="2145" ht="15" customHeight="1" s="37">
      <c r="A2145" s="42" t="inlineStr">
        <is>
          <t>acqua di parma colonia pura 100ml</t>
        </is>
      </c>
      <c r="B2145" s="42" t="inlineStr">
        <is>
          <t>Google suggest</t>
        </is>
      </c>
      <c r="C2145" s="42" t="n">
        <v>3</v>
      </c>
      <c r="D2145" s="42" t="n">
        <v>22</v>
      </c>
      <c r="E2145" s="42" t="n">
        <v>1</v>
      </c>
      <c r="F2145" s="42" t="inlineStr">
        <is>
          <t>FR-003</t>
        </is>
      </c>
      <c r="G2145" s="55">
        <f>IFERROR(INDEX('Semrush Data'!$A$1:$Z$20000,MATCH(A2145,'Semrush Data'!$A$1:$A$20000,0),MATCH("Volume",'Semrush Data'!$A$1:$Z$1,0)),"")</f>
        <v/>
      </c>
      <c r="H2145" s="42">
        <f>IFERROR(INDEX('Semrush Data'!$A$1:$Z$20000,MATCH(A2145,'Semrush Data'!$A$1:$A$20000,0),MATCH("Keyword Difficulty*",'Semrush Data'!$A$1:$Z$1,0)),"")</f>
        <v/>
      </c>
      <c r="I2145" s="56">
        <f>IFERROR(INDEX('Semrush Data'!$A$1:$Z$20000,MATCH(A2145,'Semrush Data'!$A$1:$A$20000,0),MATCH("CPC*",'Semrush Data'!$A$1:$Z$1,0)),"")</f>
        <v/>
      </c>
      <c r="J2145" s="42">
        <f>IFERROR(INDEX('Semrush Data'!$A$1:$Z$20000,MATCH(A2145,'Semrush Data'!$A$1:$A$20000,0),MATCH("Intent",'Semrush Data'!$A$1:$Z$1,0)),"")</f>
        <v/>
      </c>
    </row>
    <row r="2146" ht="15" customHeight="1" s="37">
      <c r="A2146" s="42" t="inlineStr">
        <is>
          <t>acqua di parma colonia pura 50ml</t>
        </is>
      </c>
      <c r="B2146" s="42" t="inlineStr">
        <is>
          <t>Google suggest</t>
        </is>
      </c>
      <c r="C2146" s="42" t="n">
        <v>3</v>
      </c>
      <c r="D2146" s="42" t="n">
        <v>22</v>
      </c>
      <c r="E2146" s="42" t="n">
        <v>1</v>
      </c>
      <c r="F2146" s="42" t="inlineStr">
        <is>
          <t>FR-003</t>
        </is>
      </c>
      <c r="G2146" s="55">
        <f>IFERROR(INDEX('Semrush Data'!$A$1:$Z$20000,MATCH(A2146,'Semrush Data'!$A$1:$A$20000,0),MATCH("Volume",'Semrush Data'!$A$1:$Z$1,0)),"")</f>
        <v/>
      </c>
      <c r="H2146" s="42">
        <f>IFERROR(INDEX('Semrush Data'!$A$1:$Z$20000,MATCH(A2146,'Semrush Data'!$A$1:$A$20000,0),MATCH("Keyword Difficulty*",'Semrush Data'!$A$1:$Z$1,0)),"")</f>
        <v/>
      </c>
      <c r="I2146" s="56">
        <f>IFERROR(INDEX('Semrush Data'!$A$1:$Z$20000,MATCH(A2146,'Semrush Data'!$A$1:$A$20000,0),MATCH("CPC*",'Semrush Data'!$A$1:$Z$1,0)),"")</f>
        <v/>
      </c>
      <c r="J2146" s="42">
        <f>IFERROR(INDEX('Semrush Data'!$A$1:$Z$20000,MATCH(A2146,'Semrush Data'!$A$1:$A$20000,0),MATCH("Intent",'Semrush Data'!$A$1:$Z$1,0)),"")</f>
        <v/>
      </c>
    </row>
    <row r="2147" ht="15" customHeight="1" s="37">
      <c r="A2147" s="42" t="inlineStr">
        <is>
          <t>acqua di parma colonia pura notes</t>
        </is>
      </c>
      <c r="B2147" s="42" t="inlineStr">
        <is>
          <t>Google suggest</t>
        </is>
      </c>
      <c r="C2147" s="42" t="n">
        <v>3</v>
      </c>
      <c r="D2147" s="42" t="n">
        <v>22</v>
      </c>
      <c r="E2147" s="42" t="n">
        <v>1</v>
      </c>
      <c r="F2147" s="42" t="inlineStr">
        <is>
          <t>FR-003</t>
        </is>
      </c>
      <c r="G2147" s="55">
        <f>IFERROR(INDEX('Semrush Data'!$A$1:$Z$20000,MATCH(A2147,'Semrush Data'!$A$1:$A$20000,0),MATCH("Volume",'Semrush Data'!$A$1:$Z$1,0)),"")</f>
        <v/>
      </c>
      <c r="H2147" s="42">
        <f>IFERROR(INDEX('Semrush Data'!$A$1:$Z$20000,MATCH(A2147,'Semrush Data'!$A$1:$A$20000,0),MATCH("Keyword Difficulty*",'Semrush Data'!$A$1:$Z$1,0)),"")</f>
        <v/>
      </c>
      <c r="I2147" s="56">
        <f>IFERROR(INDEX('Semrush Data'!$A$1:$Z$20000,MATCH(A2147,'Semrush Data'!$A$1:$A$20000,0),MATCH("CPC*",'Semrush Data'!$A$1:$Z$1,0)),"")</f>
        <v/>
      </c>
      <c r="J2147" s="42">
        <f>IFERROR(INDEX('Semrush Data'!$A$1:$Z$20000,MATCH(A2147,'Semrush Data'!$A$1:$A$20000,0),MATCH("Intent",'Semrush Data'!$A$1:$Z$1,0)),"")</f>
        <v/>
      </c>
    </row>
    <row r="2148" ht="15" customHeight="1" s="37">
      <c r="A2148" s="42" t="inlineStr">
        <is>
          <t>acqua di parma colonia pura review</t>
        </is>
      </c>
      <c r="B2148" s="42" t="inlineStr">
        <is>
          <t>Google suggest</t>
        </is>
      </c>
      <c r="C2148" s="42" t="n">
        <v>3</v>
      </c>
      <c r="D2148" s="42" t="n">
        <v>22</v>
      </c>
      <c r="E2148" s="42" t="n">
        <v>1</v>
      </c>
      <c r="F2148" s="42" t="inlineStr">
        <is>
          <t>FR-003</t>
        </is>
      </c>
      <c r="G2148" s="55">
        <f>IFERROR(INDEX('Semrush Data'!$A$1:$Z$20000,MATCH(A2148,'Semrush Data'!$A$1:$A$20000,0),MATCH("Volume",'Semrush Data'!$A$1:$Z$1,0)),"")</f>
        <v/>
      </c>
      <c r="H2148" s="42">
        <f>IFERROR(INDEX('Semrush Data'!$A$1:$Z$20000,MATCH(A2148,'Semrush Data'!$A$1:$A$20000,0),MATCH("Keyword Difficulty*",'Semrush Data'!$A$1:$Z$1,0)),"")</f>
        <v/>
      </c>
      <c r="I2148" s="56">
        <f>IFERROR(INDEX('Semrush Data'!$A$1:$Z$20000,MATCH(A2148,'Semrush Data'!$A$1:$A$20000,0),MATCH("CPC*",'Semrush Data'!$A$1:$Z$1,0)),"")</f>
        <v/>
      </c>
      <c r="J2148" s="42">
        <f>IFERROR(INDEX('Semrush Data'!$A$1:$Z$20000,MATCH(A2148,'Semrush Data'!$A$1:$A$20000,0),MATCH("Intent",'Semrush Data'!$A$1:$Z$1,0)),"")</f>
        <v/>
      </c>
    </row>
    <row r="2149" ht="15" customHeight="1" s="37">
      <c r="A2149" s="42" t="inlineStr">
        <is>
          <t>acqua di parma oud &amp; spice 100ml</t>
        </is>
      </c>
      <c r="B2149" s="42" t="inlineStr">
        <is>
          <t>Google suggest</t>
        </is>
      </c>
      <c r="C2149" s="42" t="n">
        <v>3</v>
      </c>
      <c r="D2149" s="42" t="n">
        <v>22</v>
      </c>
      <c r="E2149" s="42" t="n">
        <v>1</v>
      </c>
      <c r="F2149" s="42" t="inlineStr">
        <is>
          <t>FR-005</t>
        </is>
      </c>
      <c r="G2149" s="55">
        <f>IFERROR(INDEX('Semrush Data'!$A$1:$Z$20000,MATCH(A2149,'Semrush Data'!$A$1:$A$20000,0),MATCH("Volume",'Semrush Data'!$A$1:$Z$1,0)),"")</f>
        <v/>
      </c>
      <c r="H2149" s="42">
        <f>IFERROR(INDEX('Semrush Data'!$A$1:$Z$20000,MATCH(A2149,'Semrush Data'!$A$1:$A$20000,0),MATCH("Keyword Difficulty*",'Semrush Data'!$A$1:$Z$1,0)),"")</f>
        <v/>
      </c>
      <c r="I2149" s="56">
        <f>IFERROR(INDEX('Semrush Data'!$A$1:$Z$20000,MATCH(A2149,'Semrush Data'!$A$1:$A$20000,0),MATCH("CPC*",'Semrush Data'!$A$1:$Z$1,0)),"")</f>
        <v/>
      </c>
      <c r="J2149" s="42">
        <f>IFERROR(INDEX('Semrush Data'!$A$1:$Z$20000,MATCH(A2149,'Semrush Data'!$A$1:$A$20000,0),MATCH("Intent",'Semrush Data'!$A$1:$Z$1,0)),"")</f>
        <v/>
      </c>
    </row>
    <row r="2150" ht="15" customHeight="1" s="37">
      <c r="A2150" s="42" t="inlineStr">
        <is>
          <t>acqua di parma oud &amp; spice eau de parfum</t>
        </is>
      </c>
      <c r="B2150" s="42" t="inlineStr">
        <is>
          <t>Google suggest</t>
        </is>
      </c>
      <c r="C2150" s="42" t="n">
        <v>3</v>
      </c>
      <c r="D2150" s="42" t="n">
        <v>22</v>
      </c>
      <c r="E2150" s="42" t="n">
        <v>1</v>
      </c>
      <c r="F2150" s="42" t="inlineStr">
        <is>
          <t>FR-005</t>
        </is>
      </c>
      <c r="G2150" s="55">
        <f>IFERROR(INDEX('Semrush Data'!$A$1:$Z$20000,MATCH(A2150,'Semrush Data'!$A$1:$A$20000,0),MATCH("Volume",'Semrush Data'!$A$1:$Z$1,0)),"")</f>
        <v/>
      </c>
      <c r="H2150" s="42">
        <f>IFERROR(INDEX('Semrush Data'!$A$1:$Z$20000,MATCH(A2150,'Semrush Data'!$A$1:$A$20000,0),MATCH("Keyword Difficulty*",'Semrush Data'!$A$1:$Z$1,0)),"")</f>
        <v/>
      </c>
      <c r="I2150" s="56">
        <f>IFERROR(INDEX('Semrush Data'!$A$1:$Z$20000,MATCH(A2150,'Semrush Data'!$A$1:$A$20000,0),MATCH("CPC*",'Semrush Data'!$A$1:$Z$1,0)),"")</f>
        <v/>
      </c>
      <c r="J2150" s="42">
        <f>IFERROR(INDEX('Semrush Data'!$A$1:$Z$20000,MATCH(A2150,'Semrush Data'!$A$1:$A$20000,0),MATCH("Intent",'Semrush Data'!$A$1:$Z$1,0)),"")</f>
        <v/>
      </c>
    </row>
    <row r="2151" ht="15" customHeight="1" s="37">
      <c r="A2151" s="42" t="inlineStr">
        <is>
          <t>acqua di parma oud &amp; spice review</t>
        </is>
      </c>
      <c r="B2151" s="42" t="inlineStr">
        <is>
          <t>Google suggest</t>
        </is>
      </c>
      <c r="C2151" s="42" t="n">
        <v>3</v>
      </c>
      <c r="D2151" s="42" t="n">
        <v>22</v>
      </c>
      <c r="E2151" s="42" t="n">
        <v>1</v>
      </c>
      <c r="F2151" s="42" t="inlineStr">
        <is>
          <t>FR-005</t>
        </is>
      </c>
      <c r="G2151" s="55">
        <f>IFERROR(INDEX('Semrush Data'!$A$1:$Z$20000,MATCH(A2151,'Semrush Data'!$A$1:$A$20000,0),MATCH("Volume",'Semrush Data'!$A$1:$Z$1,0)),"")</f>
        <v/>
      </c>
      <c r="H2151" s="42">
        <f>IFERROR(INDEX('Semrush Data'!$A$1:$Z$20000,MATCH(A2151,'Semrush Data'!$A$1:$A$20000,0),MATCH("Keyword Difficulty*",'Semrush Data'!$A$1:$Z$1,0)),"")</f>
        <v/>
      </c>
      <c r="I2151" s="56">
        <f>IFERROR(INDEX('Semrush Data'!$A$1:$Z$20000,MATCH(A2151,'Semrush Data'!$A$1:$A$20000,0),MATCH("CPC*",'Semrush Data'!$A$1:$Z$1,0)),"")</f>
        <v/>
      </c>
      <c r="J2151" s="42">
        <f>IFERROR(INDEX('Semrush Data'!$A$1:$Z$20000,MATCH(A2151,'Semrush Data'!$A$1:$A$20000,0),MATCH("Intent",'Semrush Data'!$A$1:$Z$1,0)),"")</f>
        <v/>
      </c>
    </row>
    <row r="2152" ht="15" customHeight="1" s="37">
      <c r="A2152" s="42" t="inlineStr">
        <is>
          <t>acqua di parma oud spice 180ml</t>
        </is>
      </c>
      <c r="B2152" s="42" t="inlineStr">
        <is>
          <t>Google suggest</t>
        </is>
      </c>
      <c r="C2152" s="42" t="n">
        <v>3</v>
      </c>
      <c r="D2152" s="42" t="n">
        <v>22</v>
      </c>
      <c r="E2152" s="42" t="n">
        <v>1</v>
      </c>
      <c r="F2152" s="42" t="inlineStr">
        <is>
          <t>FR-005</t>
        </is>
      </c>
      <c r="G2152" s="55">
        <f>IFERROR(INDEX('Semrush Data'!$A$1:$Z$20000,MATCH(A2152,'Semrush Data'!$A$1:$A$20000,0),MATCH("Volume",'Semrush Data'!$A$1:$Z$1,0)),"")</f>
        <v/>
      </c>
      <c r="H2152" s="42">
        <f>IFERROR(INDEX('Semrush Data'!$A$1:$Z$20000,MATCH(A2152,'Semrush Data'!$A$1:$A$20000,0),MATCH("Keyword Difficulty*",'Semrush Data'!$A$1:$Z$1,0)),"")</f>
        <v/>
      </c>
      <c r="I2152" s="56">
        <f>IFERROR(INDEX('Semrush Data'!$A$1:$Z$20000,MATCH(A2152,'Semrush Data'!$A$1:$A$20000,0),MATCH("CPC*",'Semrush Data'!$A$1:$Z$1,0)),"")</f>
        <v/>
      </c>
      <c r="J2152" s="42">
        <f>IFERROR(INDEX('Semrush Data'!$A$1:$Z$20000,MATCH(A2152,'Semrush Data'!$A$1:$A$20000,0),MATCH("Intent",'Semrush Data'!$A$1:$Z$1,0)),"")</f>
        <v/>
      </c>
    </row>
    <row r="2153" ht="15" customHeight="1" s="37">
      <c r="A2153" s="42" t="inlineStr">
        <is>
          <t>acqua di parma oud spice 50ml</t>
        </is>
      </c>
      <c r="B2153" s="42" t="inlineStr">
        <is>
          <t>Google suggest</t>
        </is>
      </c>
      <c r="C2153" s="42" t="n">
        <v>3</v>
      </c>
      <c r="D2153" s="42" t="n">
        <v>22</v>
      </c>
      <c r="E2153" s="42" t="n">
        <v>1</v>
      </c>
      <c r="F2153" s="42" t="inlineStr">
        <is>
          <t>FR-005</t>
        </is>
      </c>
      <c r="G2153" s="55">
        <f>IFERROR(INDEX('Semrush Data'!$A$1:$Z$20000,MATCH(A2153,'Semrush Data'!$A$1:$A$20000,0),MATCH("Volume",'Semrush Data'!$A$1:$Z$1,0)),"")</f>
        <v/>
      </c>
      <c r="H2153" s="42">
        <f>IFERROR(INDEX('Semrush Data'!$A$1:$Z$20000,MATCH(A2153,'Semrush Data'!$A$1:$A$20000,0),MATCH("Keyword Difficulty*",'Semrush Data'!$A$1:$Z$1,0)),"")</f>
        <v/>
      </c>
      <c r="I2153" s="56">
        <f>IFERROR(INDEX('Semrush Data'!$A$1:$Z$20000,MATCH(A2153,'Semrush Data'!$A$1:$A$20000,0),MATCH("CPC*",'Semrush Data'!$A$1:$Z$1,0)),"")</f>
        <v/>
      </c>
      <c r="J2153" s="42">
        <f>IFERROR(INDEX('Semrush Data'!$A$1:$Z$20000,MATCH(A2153,'Semrush Data'!$A$1:$A$20000,0),MATCH("Intent",'Semrush Data'!$A$1:$Z$1,0)),"")</f>
        <v/>
      </c>
    </row>
    <row r="2154" ht="15" customHeight="1" s="37">
      <c r="A2154" s="42" t="inlineStr">
        <is>
          <t>acqua di parma rosa nobile 100ml</t>
        </is>
      </c>
      <c r="B2154" s="42" t="inlineStr">
        <is>
          <t>Google suggest</t>
        </is>
      </c>
      <c r="C2154" s="42" t="n">
        <v>3</v>
      </c>
      <c r="D2154" s="42" t="n">
        <v>22</v>
      </c>
      <c r="E2154" s="42" t="n">
        <v>1</v>
      </c>
      <c r="F2154" s="42" t="inlineStr">
        <is>
          <t>FR-006</t>
        </is>
      </c>
      <c r="G2154" s="55">
        <f>IFERROR(INDEX('Semrush Data'!$A$1:$Z$20000,MATCH(A2154,'Semrush Data'!$A$1:$A$20000,0),MATCH("Volume",'Semrush Data'!$A$1:$Z$1,0)),"")</f>
        <v/>
      </c>
      <c r="H2154" s="42">
        <f>IFERROR(INDEX('Semrush Data'!$A$1:$Z$20000,MATCH(A2154,'Semrush Data'!$A$1:$A$20000,0),MATCH("Keyword Difficulty*",'Semrush Data'!$A$1:$Z$1,0)),"")</f>
        <v/>
      </c>
      <c r="I2154" s="56">
        <f>IFERROR(INDEX('Semrush Data'!$A$1:$Z$20000,MATCH(A2154,'Semrush Data'!$A$1:$A$20000,0),MATCH("CPC*",'Semrush Data'!$A$1:$Z$1,0)),"")</f>
        <v/>
      </c>
      <c r="J2154" s="42">
        <f>IFERROR(INDEX('Semrush Data'!$A$1:$Z$20000,MATCH(A2154,'Semrush Data'!$A$1:$A$20000,0),MATCH("Intent",'Semrush Data'!$A$1:$Z$1,0)),"")</f>
        <v/>
      </c>
    </row>
    <row r="2155" ht="15" customHeight="1" s="37">
      <c r="A2155" s="42" t="inlineStr">
        <is>
          <t>acqua di parma rosa nobile dupe</t>
        </is>
      </c>
      <c r="B2155" s="42" t="inlineStr">
        <is>
          <t>Google suggest</t>
        </is>
      </c>
      <c r="C2155" s="42" t="n">
        <v>3</v>
      </c>
      <c r="D2155" s="42" t="inlineStr">
        <is>
          <t>T3-2</t>
        </is>
      </c>
      <c r="E2155" s="42" t="n">
        <v>1</v>
      </c>
      <c r="F2155" s="42" t="inlineStr">
        <is>
          <t>FR-006</t>
        </is>
      </c>
      <c r="G2155" s="55">
        <f>IFERROR(INDEX('Semrush Data'!$A$1:$Z$20000,MATCH(A2155,'Semrush Data'!$A$1:$A$20000,0),MATCH("Volume",'Semrush Data'!$A$1:$Z$1,0)),"")</f>
        <v/>
      </c>
      <c r="H2155" s="42">
        <f>IFERROR(INDEX('Semrush Data'!$A$1:$Z$20000,MATCH(A2155,'Semrush Data'!$A$1:$A$20000,0),MATCH("Keyword Difficulty*",'Semrush Data'!$A$1:$Z$1,0)),"")</f>
        <v/>
      </c>
      <c r="I2155" s="56">
        <f>IFERROR(INDEX('Semrush Data'!$A$1:$Z$20000,MATCH(A2155,'Semrush Data'!$A$1:$A$20000,0),MATCH("CPC*",'Semrush Data'!$A$1:$Z$1,0)),"")</f>
        <v/>
      </c>
      <c r="J2155" s="42">
        <f>IFERROR(INDEX('Semrush Data'!$A$1:$Z$20000,MATCH(A2155,'Semrush Data'!$A$1:$A$20000,0),MATCH("Intent",'Semrush Data'!$A$1:$Z$1,0)),"")</f>
        <v/>
      </c>
    </row>
    <row r="2156" ht="15" customHeight="1" s="37">
      <c r="A2156" s="42" t="inlineStr">
        <is>
          <t>acqua di parma rosa nobile eau de parfum</t>
        </is>
      </c>
      <c r="B2156" s="42" t="inlineStr">
        <is>
          <t>Google suggest</t>
        </is>
      </c>
      <c r="C2156" s="42" t="n">
        <v>3</v>
      </c>
      <c r="D2156" s="42" t="n">
        <v>22</v>
      </c>
      <c r="E2156" s="42" t="n">
        <v>1</v>
      </c>
      <c r="F2156" s="42" t="inlineStr">
        <is>
          <t>FR-006</t>
        </is>
      </c>
      <c r="G2156" s="55">
        <f>IFERROR(INDEX('Semrush Data'!$A$1:$Z$20000,MATCH(A2156,'Semrush Data'!$A$1:$A$20000,0),MATCH("Volume",'Semrush Data'!$A$1:$Z$1,0)),"")</f>
        <v/>
      </c>
      <c r="H2156" s="42">
        <f>IFERROR(INDEX('Semrush Data'!$A$1:$Z$20000,MATCH(A2156,'Semrush Data'!$A$1:$A$20000,0),MATCH("Keyword Difficulty*",'Semrush Data'!$A$1:$Z$1,0)),"")</f>
        <v/>
      </c>
      <c r="I2156" s="56">
        <f>IFERROR(INDEX('Semrush Data'!$A$1:$Z$20000,MATCH(A2156,'Semrush Data'!$A$1:$A$20000,0),MATCH("CPC*",'Semrush Data'!$A$1:$Z$1,0)),"")</f>
        <v/>
      </c>
      <c r="J2156" s="42">
        <f>IFERROR(INDEX('Semrush Data'!$A$1:$Z$20000,MATCH(A2156,'Semrush Data'!$A$1:$A$20000,0),MATCH("Intent",'Semrush Data'!$A$1:$Z$1,0)),"")</f>
        <v/>
      </c>
    </row>
    <row r="2157" ht="15" customHeight="1" s="37">
      <c r="A2157" s="42" t="inlineStr">
        <is>
          <t>acqua di parma rosa nobile notes</t>
        </is>
      </c>
      <c r="B2157" s="42" t="inlineStr">
        <is>
          <t>Google suggest</t>
        </is>
      </c>
      <c r="C2157" s="42" t="n">
        <v>3</v>
      </c>
      <c r="D2157" s="42" t="n">
        <v>22</v>
      </c>
      <c r="E2157" s="42" t="n">
        <v>1</v>
      </c>
      <c r="F2157" s="42" t="inlineStr">
        <is>
          <t>FR-006</t>
        </is>
      </c>
      <c r="G2157" s="55">
        <f>IFERROR(INDEX('Semrush Data'!$A$1:$Z$20000,MATCH(A2157,'Semrush Data'!$A$1:$A$20000,0),MATCH("Volume",'Semrush Data'!$A$1:$Z$1,0)),"")</f>
        <v/>
      </c>
      <c r="H2157" s="42">
        <f>IFERROR(INDEX('Semrush Data'!$A$1:$Z$20000,MATCH(A2157,'Semrush Data'!$A$1:$A$20000,0),MATCH("Keyword Difficulty*",'Semrush Data'!$A$1:$Z$1,0)),"")</f>
        <v/>
      </c>
      <c r="I2157" s="56">
        <f>IFERROR(INDEX('Semrush Data'!$A$1:$Z$20000,MATCH(A2157,'Semrush Data'!$A$1:$A$20000,0),MATCH("CPC*",'Semrush Data'!$A$1:$Z$1,0)),"")</f>
        <v/>
      </c>
      <c r="J2157" s="42">
        <f>IFERROR(INDEX('Semrush Data'!$A$1:$Z$20000,MATCH(A2157,'Semrush Data'!$A$1:$A$20000,0),MATCH("Intent",'Semrush Data'!$A$1:$Z$1,0)),"")</f>
        <v/>
      </c>
    </row>
    <row r="2158" ht="15" customHeight="1" s="37">
      <c r="A2158" s="42" t="inlineStr">
        <is>
          <t>acqua di parma rosa nobile review</t>
        </is>
      </c>
      <c r="B2158" s="42" t="inlineStr">
        <is>
          <t>Google suggest</t>
        </is>
      </c>
      <c r="C2158" s="42" t="n">
        <v>3</v>
      </c>
      <c r="D2158" s="42" t="inlineStr">
        <is>
          <t>T3-2</t>
        </is>
      </c>
      <c r="E2158" s="42" t="n">
        <v>1</v>
      </c>
      <c r="F2158" s="42" t="inlineStr">
        <is>
          <t>FR-006</t>
        </is>
      </c>
      <c r="G2158" s="55">
        <f>IFERROR(INDEX('Semrush Data'!$A$1:$Z$20000,MATCH(A2158,'Semrush Data'!$A$1:$A$20000,0),MATCH("Volume",'Semrush Data'!$A$1:$Z$1,0)),"")</f>
        <v/>
      </c>
      <c r="H2158" s="42">
        <f>IFERROR(INDEX('Semrush Data'!$A$1:$Z$20000,MATCH(A2158,'Semrush Data'!$A$1:$A$20000,0),MATCH("Keyword Difficulty*",'Semrush Data'!$A$1:$Z$1,0)),"")</f>
        <v/>
      </c>
      <c r="I2158" s="56">
        <f>IFERROR(INDEX('Semrush Data'!$A$1:$Z$20000,MATCH(A2158,'Semrush Data'!$A$1:$A$20000,0),MATCH("CPC*",'Semrush Data'!$A$1:$Z$1,0)),"")</f>
        <v/>
      </c>
      <c r="J2158" s="42">
        <f>IFERROR(INDEX('Semrush Data'!$A$1:$Z$20000,MATCH(A2158,'Semrush Data'!$A$1:$A$20000,0),MATCH("Intent",'Semrush Data'!$A$1:$Z$1,0)),"")</f>
        <v/>
      </c>
    </row>
    <row r="2159" ht="15" customHeight="1" s="37">
      <c r="A2159" s="42" t="inlineStr">
        <is>
          <t>acqua di parma sakura 100ml</t>
        </is>
      </c>
      <c r="B2159" s="42" t="inlineStr">
        <is>
          <t>Google suggest</t>
        </is>
      </c>
      <c r="C2159" s="42" t="n">
        <v>3</v>
      </c>
      <c r="D2159" s="42" t="n">
        <v>22</v>
      </c>
      <c r="E2159" s="42" t="n">
        <v>1</v>
      </c>
      <c r="F2159" s="42" t="inlineStr">
        <is>
          <t>FR-007</t>
        </is>
      </c>
      <c r="G2159" s="55">
        <f>IFERROR(INDEX('Semrush Data'!$A$1:$Z$20000,MATCH(A2159,'Semrush Data'!$A$1:$A$20000,0),MATCH("Volume",'Semrush Data'!$A$1:$Z$1,0)),"")</f>
        <v/>
      </c>
      <c r="H2159" s="42">
        <f>IFERROR(INDEX('Semrush Data'!$A$1:$Z$20000,MATCH(A2159,'Semrush Data'!$A$1:$A$20000,0),MATCH("Keyword Difficulty*",'Semrush Data'!$A$1:$Z$1,0)),"")</f>
        <v/>
      </c>
      <c r="I2159" s="56">
        <f>IFERROR(INDEX('Semrush Data'!$A$1:$Z$20000,MATCH(A2159,'Semrush Data'!$A$1:$A$20000,0),MATCH("CPC*",'Semrush Data'!$A$1:$Z$1,0)),"")</f>
        <v/>
      </c>
      <c r="J2159" s="42">
        <f>IFERROR(INDEX('Semrush Data'!$A$1:$Z$20000,MATCH(A2159,'Semrush Data'!$A$1:$A$20000,0),MATCH("Intent",'Semrush Data'!$A$1:$Z$1,0)),"")</f>
        <v/>
      </c>
    </row>
    <row r="2160" ht="15" customHeight="1" s="37">
      <c r="A2160" s="42" t="inlineStr">
        <is>
          <t>acqua di parma sakura eau de parfum</t>
        </is>
      </c>
      <c r="B2160" s="42" t="inlineStr">
        <is>
          <t>Google suggest</t>
        </is>
      </c>
      <c r="C2160" s="42" t="n">
        <v>3</v>
      </c>
      <c r="D2160" s="42" t="n">
        <v>22</v>
      </c>
      <c r="E2160" s="42" t="n">
        <v>1</v>
      </c>
      <c r="F2160" s="42" t="inlineStr">
        <is>
          <t>FR-007</t>
        </is>
      </c>
      <c r="G2160" s="55">
        <f>IFERROR(INDEX('Semrush Data'!$A$1:$Z$20000,MATCH(A2160,'Semrush Data'!$A$1:$A$20000,0),MATCH("Volume",'Semrush Data'!$A$1:$Z$1,0)),"")</f>
        <v/>
      </c>
      <c r="H2160" s="42">
        <f>IFERROR(INDEX('Semrush Data'!$A$1:$Z$20000,MATCH(A2160,'Semrush Data'!$A$1:$A$20000,0),MATCH("Keyword Difficulty*",'Semrush Data'!$A$1:$Z$1,0)),"")</f>
        <v/>
      </c>
      <c r="I2160" s="56">
        <f>IFERROR(INDEX('Semrush Data'!$A$1:$Z$20000,MATCH(A2160,'Semrush Data'!$A$1:$A$20000,0),MATCH("CPC*",'Semrush Data'!$A$1:$Z$1,0)),"")</f>
        <v/>
      </c>
      <c r="J2160" s="42">
        <f>IFERROR(INDEX('Semrush Data'!$A$1:$Z$20000,MATCH(A2160,'Semrush Data'!$A$1:$A$20000,0),MATCH("Intent",'Semrush Data'!$A$1:$Z$1,0)),"")</f>
        <v/>
      </c>
    </row>
    <row r="2161" ht="15" customHeight="1" s="37">
      <c r="A2161" s="42" t="inlineStr">
        <is>
          <t>acqua di parma sakura notes</t>
        </is>
      </c>
      <c r="B2161" s="42" t="inlineStr">
        <is>
          <t>Google suggest</t>
        </is>
      </c>
      <c r="C2161" s="42" t="n">
        <v>3</v>
      </c>
      <c r="D2161" s="42" t="inlineStr">
        <is>
          <t>T3-2</t>
        </is>
      </c>
      <c r="E2161" s="42" t="n">
        <v>1</v>
      </c>
      <c r="F2161" s="42" t="inlineStr">
        <is>
          <t>FR-007</t>
        </is>
      </c>
      <c r="G2161" s="55">
        <f>IFERROR(INDEX('Semrush Data'!$A$1:$Z$20000,MATCH(A2161,'Semrush Data'!$A$1:$A$20000,0),MATCH("Volume",'Semrush Data'!$A$1:$Z$1,0)),"")</f>
        <v/>
      </c>
      <c r="H2161" s="42">
        <f>IFERROR(INDEX('Semrush Data'!$A$1:$Z$20000,MATCH(A2161,'Semrush Data'!$A$1:$A$20000,0),MATCH("Keyword Difficulty*",'Semrush Data'!$A$1:$Z$1,0)),"")</f>
        <v/>
      </c>
      <c r="I2161" s="56">
        <f>IFERROR(INDEX('Semrush Data'!$A$1:$Z$20000,MATCH(A2161,'Semrush Data'!$A$1:$A$20000,0),MATCH("CPC*",'Semrush Data'!$A$1:$Z$1,0)),"")</f>
        <v/>
      </c>
      <c r="J2161" s="42">
        <f>IFERROR(INDEX('Semrush Data'!$A$1:$Z$20000,MATCH(A2161,'Semrush Data'!$A$1:$A$20000,0),MATCH("Intent",'Semrush Data'!$A$1:$Z$1,0)),"")</f>
        <v/>
      </c>
    </row>
    <row r="2162" ht="15" customHeight="1" s="37">
      <c r="A2162" s="42" t="inlineStr">
        <is>
          <t>acqua di parma sakura review</t>
        </is>
      </c>
      <c r="B2162" s="42" t="inlineStr">
        <is>
          <t>Google suggest</t>
        </is>
      </c>
      <c r="C2162" s="42" t="n">
        <v>3</v>
      </c>
      <c r="D2162" s="42" t="inlineStr">
        <is>
          <t>T3-2</t>
        </is>
      </c>
      <c r="E2162" s="42" t="n">
        <v>1</v>
      </c>
      <c r="F2162" s="42" t="inlineStr">
        <is>
          <t>FR-007</t>
        </is>
      </c>
      <c r="G2162" s="55">
        <f>IFERROR(INDEX('Semrush Data'!$A$1:$Z$20000,MATCH(A2162,'Semrush Data'!$A$1:$A$20000,0),MATCH("Volume",'Semrush Data'!$A$1:$Z$1,0)),"")</f>
        <v/>
      </c>
      <c r="H2162" s="42">
        <f>IFERROR(INDEX('Semrush Data'!$A$1:$Z$20000,MATCH(A2162,'Semrush Data'!$A$1:$A$20000,0),MATCH("Keyword Difficulty*",'Semrush Data'!$A$1:$Z$1,0)),"")</f>
        <v/>
      </c>
      <c r="I2162" s="56">
        <f>IFERROR(INDEX('Semrush Data'!$A$1:$Z$20000,MATCH(A2162,'Semrush Data'!$A$1:$A$20000,0),MATCH("CPC*",'Semrush Data'!$A$1:$Z$1,0)),"")</f>
        <v/>
      </c>
      <c r="J2162" s="42">
        <f>IFERROR(INDEX('Semrush Data'!$A$1:$Z$20000,MATCH(A2162,'Semrush Data'!$A$1:$A$20000,0),MATCH("Intent",'Semrush Data'!$A$1:$Z$1,0)),"")</f>
        <v/>
      </c>
    </row>
    <row r="2163" ht="15" customHeight="1" s="37">
      <c r="A2163" s="42" t="inlineStr">
        <is>
          <t>acqua di parma sandalo 100ml</t>
        </is>
      </c>
      <c r="B2163" s="42" t="inlineStr">
        <is>
          <t>Google suggest</t>
        </is>
      </c>
      <c r="C2163" s="42" t="n">
        <v>3</v>
      </c>
      <c r="D2163" s="42" t="n">
        <v>22</v>
      </c>
      <c r="E2163" s="42" t="n">
        <v>1</v>
      </c>
      <c r="F2163" s="42" t="inlineStr">
        <is>
          <t>FR-008</t>
        </is>
      </c>
      <c r="G2163" s="55">
        <f>IFERROR(INDEX('Semrush Data'!$A$1:$Z$20000,MATCH(A2163,'Semrush Data'!$A$1:$A$20000,0),MATCH("Volume",'Semrush Data'!$A$1:$Z$1,0)),"")</f>
        <v/>
      </c>
      <c r="H2163" s="42">
        <f>IFERROR(INDEX('Semrush Data'!$A$1:$Z$20000,MATCH(A2163,'Semrush Data'!$A$1:$A$20000,0),MATCH("Keyword Difficulty*",'Semrush Data'!$A$1:$Z$1,0)),"")</f>
        <v/>
      </c>
      <c r="I2163" s="56">
        <f>IFERROR(INDEX('Semrush Data'!$A$1:$Z$20000,MATCH(A2163,'Semrush Data'!$A$1:$A$20000,0),MATCH("CPC*",'Semrush Data'!$A$1:$Z$1,0)),"")</f>
        <v/>
      </c>
      <c r="J2163" s="42">
        <f>IFERROR(INDEX('Semrush Data'!$A$1:$Z$20000,MATCH(A2163,'Semrush Data'!$A$1:$A$20000,0),MATCH("Intent",'Semrush Data'!$A$1:$Z$1,0)),"")</f>
        <v/>
      </c>
    </row>
    <row r="2164" ht="15" customHeight="1" s="37">
      <c r="A2164" s="42" t="inlineStr">
        <is>
          <t>acqua di parma sandalo 50ml</t>
        </is>
      </c>
      <c r="B2164" s="42" t="inlineStr">
        <is>
          <t>Google suggest</t>
        </is>
      </c>
      <c r="C2164" s="42" t="n">
        <v>3</v>
      </c>
      <c r="D2164" s="42" t="n">
        <v>22</v>
      </c>
      <c r="E2164" s="42" t="n">
        <v>1</v>
      </c>
      <c r="F2164" s="42" t="inlineStr">
        <is>
          <t>FR-008</t>
        </is>
      </c>
      <c r="G2164" s="55">
        <f>IFERROR(INDEX('Semrush Data'!$A$1:$Z$20000,MATCH(A2164,'Semrush Data'!$A$1:$A$20000,0),MATCH("Volume",'Semrush Data'!$A$1:$Z$1,0)),"")</f>
        <v/>
      </c>
      <c r="H2164" s="42">
        <f>IFERROR(INDEX('Semrush Data'!$A$1:$Z$20000,MATCH(A2164,'Semrush Data'!$A$1:$A$20000,0),MATCH("Keyword Difficulty*",'Semrush Data'!$A$1:$Z$1,0)),"")</f>
        <v/>
      </c>
      <c r="I2164" s="56">
        <f>IFERROR(INDEX('Semrush Data'!$A$1:$Z$20000,MATCH(A2164,'Semrush Data'!$A$1:$A$20000,0),MATCH("CPC*",'Semrush Data'!$A$1:$Z$1,0)),"")</f>
        <v/>
      </c>
      <c r="J2164" s="42">
        <f>IFERROR(INDEX('Semrush Data'!$A$1:$Z$20000,MATCH(A2164,'Semrush Data'!$A$1:$A$20000,0),MATCH("Intent",'Semrush Data'!$A$1:$Z$1,0)),"")</f>
        <v/>
      </c>
    </row>
    <row r="2165" ht="15" customHeight="1" s="37">
      <c r="A2165" s="42" t="inlineStr">
        <is>
          <t>acqua di parma sandalo dupe</t>
        </is>
      </c>
      <c r="B2165" s="42" t="inlineStr">
        <is>
          <t>Google suggest</t>
        </is>
      </c>
      <c r="C2165" s="42" t="n">
        <v>3</v>
      </c>
      <c r="D2165" s="42" t="inlineStr">
        <is>
          <t>T3-1</t>
        </is>
      </c>
      <c r="E2165" s="42" t="n">
        <v>1</v>
      </c>
      <c r="F2165" s="42" t="inlineStr">
        <is>
          <t>FR-008</t>
        </is>
      </c>
      <c r="G2165" s="55">
        <f>IFERROR(INDEX('Semrush Data'!$A$1:$Z$20000,MATCH(A2165,'Semrush Data'!$A$1:$A$20000,0),MATCH("Volume",'Semrush Data'!$A$1:$Z$1,0)),"")</f>
        <v/>
      </c>
      <c r="H2165" s="42">
        <f>IFERROR(INDEX('Semrush Data'!$A$1:$Z$20000,MATCH(A2165,'Semrush Data'!$A$1:$A$20000,0),MATCH("Keyword Difficulty*",'Semrush Data'!$A$1:$Z$1,0)),"")</f>
        <v/>
      </c>
      <c r="I2165" s="56">
        <f>IFERROR(INDEX('Semrush Data'!$A$1:$Z$20000,MATCH(A2165,'Semrush Data'!$A$1:$A$20000,0),MATCH("CPC*",'Semrush Data'!$A$1:$Z$1,0)),"")</f>
        <v/>
      </c>
      <c r="J2165" s="42">
        <f>IFERROR(INDEX('Semrush Data'!$A$1:$Z$20000,MATCH(A2165,'Semrush Data'!$A$1:$A$20000,0),MATCH("Intent",'Semrush Data'!$A$1:$Z$1,0)),"")</f>
        <v/>
      </c>
    </row>
    <row r="2166" ht="15" customHeight="1" s="37">
      <c r="A2166" s="42" t="inlineStr">
        <is>
          <t>acqua di parma sandalo eau de parfum</t>
        </is>
      </c>
      <c r="B2166" s="42" t="inlineStr">
        <is>
          <t>Google suggest</t>
        </is>
      </c>
      <c r="C2166" s="42" t="n">
        <v>3</v>
      </c>
      <c r="D2166" s="42" t="n">
        <v>22</v>
      </c>
      <c r="E2166" s="42" t="n">
        <v>1</v>
      </c>
      <c r="F2166" s="42" t="inlineStr">
        <is>
          <t>FR-008</t>
        </is>
      </c>
      <c r="G2166" s="55">
        <f>IFERROR(INDEX('Semrush Data'!$A$1:$Z$20000,MATCH(A2166,'Semrush Data'!$A$1:$A$20000,0),MATCH("Volume",'Semrush Data'!$A$1:$Z$1,0)),"")</f>
        <v/>
      </c>
      <c r="H2166" s="42">
        <f>IFERROR(INDEX('Semrush Data'!$A$1:$Z$20000,MATCH(A2166,'Semrush Data'!$A$1:$A$20000,0),MATCH("Keyword Difficulty*",'Semrush Data'!$A$1:$Z$1,0)),"")</f>
        <v/>
      </c>
      <c r="I2166" s="56">
        <f>IFERROR(INDEX('Semrush Data'!$A$1:$Z$20000,MATCH(A2166,'Semrush Data'!$A$1:$A$20000,0),MATCH("CPC*",'Semrush Data'!$A$1:$Z$1,0)),"")</f>
        <v/>
      </c>
      <c r="J2166" s="42">
        <f>IFERROR(INDEX('Semrush Data'!$A$1:$Z$20000,MATCH(A2166,'Semrush Data'!$A$1:$A$20000,0),MATCH("Intent",'Semrush Data'!$A$1:$Z$1,0)),"")</f>
        <v/>
      </c>
    </row>
    <row r="2167" ht="15" customHeight="1" s="37">
      <c r="A2167" s="42" t="inlineStr">
        <is>
          <t>acqua di parma sandalo review</t>
        </is>
      </c>
      <c r="B2167" s="42" t="inlineStr">
        <is>
          <t>Google suggest</t>
        </is>
      </c>
      <c r="C2167" s="42" t="n">
        <v>3</v>
      </c>
      <c r="D2167" s="42" t="inlineStr">
        <is>
          <t>T3-1</t>
        </is>
      </c>
      <c r="E2167" s="42" t="n">
        <v>1</v>
      </c>
      <c r="F2167" s="42" t="inlineStr">
        <is>
          <t>FR-008</t>
        </is>
      </c>
      <c r="G2167" s="55">
        <f>IFERROR(INDEX('Semrush Data'!$A$1:$Z$20000,MATCH(A2167,'Semrush Data'!$A$1:$A$20000,0),MATCH("Volume",'Semrush Data'!$A$1:$Z$1,0)),"")</f>
        <v/>
      </c>
      <c r="H2167" s="42">
        <f>IFERROR(INDEX('Semrush Data'!$A$1:$Z$20000,MATCH(A2167,'Semrush Data'!$A$1:$A$20000,0),MATCH("Keyword Difficulty*",'Semrush Data'!$A$1:$Z$1,0)),"")</f>
        <v/>
      </c>
      <c r="I2167" s="56">
        <f>IFERROR(INDEX('Semrush Data'!$A$1:$Z$20000,MATCH(A2167,'Semrush Data'!$A$1:$A$20000,0),MATCH("CPC*",'Semrush Data'!$A$1:$Z$1,0)),"")</f>
        <v/>
      </c>
      <c r="J2167" s="42">
        <f>IFERROR(INDEX('Semrush Data'!$A$1:$Z$20000,MATCH(A2167,'Semrush Data'!$A$1:$A$20000,0),MATCH("Intent",'Semrush Data'!$A$1:$Z$1,0)),"")</f>
        <v/>
      </c>
    </row>
    <row r="2168" ht="15" customHeight="1" s="37">
      <c r="A2168" s="42" t="inlineStr">
        <is>
          <t>acqua di parma zafferano 100ml</t>
        </is>
      </c>
      <c r="B2168" s="42" t="inlineStr">
        <is>
          <t>Google suggest</t>
        </is>
      </c>
      <c r="C2168" s="42" t="n">
        <v>3</v>
      </c>
      <c r="D2168" s="42" t="n">
        <v>22</v>
      </c>
      <c r="E2168" s="42" t="n">
        <v>1</v>
      </c>
      <c r="F2168" s="42" t="inlineStr">
        <is>
          <t>FR-335</t>
        </is>
      </c>
      <c r="G2168" s="55">
        <f>IFERROR(INDEX('Semrush Data'!$A$1:$Z$20000,MATCH(A2168,'Semrush Data'!$A$1:$A$20000,0),MATCH("Volume",'Semrush Data'!$A$1:$Z$1,0)),"")</f>
        <v/>
      </c>
      <c r="H2168" s="42">
        <f>IFERROR(INDEX('Semrush Data'!$A$1:$Z$20000,MATCH(A2168,'Semrush Data'!$A$1:$A$20000,0),MATCH("Keyword Difficulty*",'Semrush Data'!$A$1:$Z$1,0)),"")</f>
        <v/>
      </c>
      <c r="I2168" s="56">
        <f>IFERROR(INDEX('Semrush Data'!$A$1:$Z$20000,MATCH(A2168,'Semrush Data'!$A$1:$A$20000,0),MATCH("CPC*",'Semrush Data'!$A$1:$Z$1,0)),"")</f>
        <v/>
      </c>
      <c r="J2168" s="42">
        <f>IFERROR(INDEX('Semrush Data'!$A$1:$Z$20000,MATCH(A2168,'Semrush Data'!$A$1:$A$20000,0),MATCH("Intent",'Semrush Data'!$A$1:$Z$1,0)),"")</f>
        <v/>
      </c>
    </row>
    <row r="2169" ht="15" customHeight="1" s="37">
      <c r="A2169" s="42" t="inlineStr">
        <is>
          <t>acqua di parma zafferano dupe</t>
        </is>
      </c>
      <c r="B2169" s="42" t="inlineStr">
        <is>
          <t>Google suggest</t>
        </is>
      </c>
      <c r="C2169" s="42" t="n">
        <v>3</v>
      </c>
      <c r="D2169" s="42" t="inlineStr">
        <is>
          <t>T3-1</t>
        </is>
      </c>
      <c r="E2169" s="42" t="n">
        <v>1</v>
      </c>
      <c r="F2169" s="42" t="inlineStr">
        <is>
          <t>FR-335</t>
        </is>
      </c>
      <c r="G2169" s="55">
        <f>IFERROR(INDEX('Semrush Data'!$A$1:$Z$20000,MATCH(A2169,'Semrush Data'!$A$1:$A$20000,0),MATCH("Volume",'Semrush Data'!$A$1:$Z$1,0)),"")</f>
        <v/>
      </c>
      <c r="H2169" s="42">
        <f>IFERROR(INDEX('Semrush Data'!$A$1:$Z$20000,MATCH(A2169,'Semrush Data'!$A$1:$A$20000,0),MATCH("Keyword Difficulty*",'Semrush Data'!$A$1:$Z$1,0)),"")</f>
        <v/>
      </c>
      <c r="I2169" s="56">
        <f>IFERROR(INDEX('Semrush Data'!$A$1:$Z$20000,MATCH(A2169,'Semrush Data'!$A$1:$A$20000,0),MATCH("CPC*",'Semrush Data'!$A$1:$Z$1,0)),"")</f>
        <v/>
      </c>
      <c r="J2169" s="42">
        <f>IFERROR(INDEX('Semrush Data'!$A$1:$Z$20000,MATCH(A2169,'Semrush Data'!$A$1:$A$20000,0),MATCH("Intent",'Semrush Data'!$A$1:$Z$1,0)),"")</f>
        <v/>
      </c>
    </row>
    <row r="2170" ht="15" customHeight="1" s="37">
      <c r="A2170" s="42" t="inlineStr">
        <is>
          <t>acqua di parma zafferano eau de parfum</t>
        </is>
      </c>
      <c r="B2170" s="42" t="inlineStr">
        <is>
          <t>Google suggest</t>
        </is>
      </c>
      <c r="C2170" s="42" t="n">
        <v>3</v>
      </c>
      <c r="D2170" s="42" t="n">
        <v>22</v>
      </c>
      <c r="E2170" s="42" t="n">
        <v>1</v>
      </c>
      <c r="F2170" s="42" t="inlineStr">
        <is>
          <t>FR-335</t>
        </is>
      </c>
      <c r="G2170" s="55">
        <f>IFERROR(INDEX('Semrush Data'!$A$1:$Z$20000,MATCH(A2170,'Semrush Data'!$A$1:$A$20000,0),MATCH("Volume",'Semrush Data'!$A$1:$Z$1,0)),"")</f>
        <v/>
      </c>
      <c r="H2170" s="42">
        <f>IFERROR(INDEX('Semrush Data'!$A$1:$Z$20000,MATCH(A2170,'Semrush Data'!$A$1:$A$20000,0),MATCH("Keyword Difficulty*",'Semrush Data'!$A$1:$Z$1,0)),"")</f>
        <v/>
      </c>
      <c r="I2170" s="56">
        <f>IFERROR(INDEX('Semrush Data'!$A$1:$Z$20000,MATCH(A2170,'Semrush Data'!$A$1:$A$20000,0),MATCH("CPC*",'Semrush Data'!$A$1:$Z$1,0)),"")</f>
        <v/>
      </c>
      <c r="J2170" s="42">
        <f>IFERROR(INDEX('Semrush Data'!$A$1:$Z$20000,MATCH(A2170,'Semrush Data'!$A$1:$A$20000,0),MATCH("Intent",'Semrush Data'!$A$1:$Z$1,0)),"")</f>
        <v/>
      </c>
    </row>
    <row r="2171" ht="15" customHeight="1" s="37">
      <c r="A2171" s="42" t="inlineStr">
        <is>
          <t>acqua di parma zafferano review</t>
        </is>
      </c>
      <c r="B2171" s="42" t="inlineStr">
        <is>
          <t>Google suggest</t>
        </is>
      </c>
      <c r="C2171" s="42" t="n">
        <v>3</v>
      </c>
      <c r="D2171" s="42" t="inlineStr">
        <is>
          <t>T3-1</t>
        </is>
      </c>
      <c r="E2171" s="42" t="n">
        <v>1</v>
      </c>
      <c r="F2171" s="42" t="inlineStr">
        <is>
          <t>FR-335</t>
        </is>
      </c>
      <c r="G2171" s="55">
        <f>IFERROR(INDEX('Semrush Data'!$A$1:$Z$20000,MATCH(A2171,'Semrush Data'!$A$1:$A$20000,0),MATCH("Volume",'Semrush Data'!$A$1:$Z$1,0)),"")</f>
        <v/>
      </c>
      <c r="H2171" s="42">
        <f>IFERROR(INDEX('Semrush Data'!$A$1:$Z$20000,MATCH(A2171,'Semrush Data'!$A$1:$A$20000,0),MATCH("Keyword Difficulty*",'Semrush Data'!$A$1:$Z$1,0)),"")</f>
        <v/>
      </c>
      <c r="I2171" s="56">
        <f>IFERROR(INDEX('Semrush Data'!$A$1:$Z$20000,MATCH(A2171,'Semrush Data'!$A$1:$A$20000,0),MATCH("CPC*",'Semrush Data'!$A$1:$Z$1,0)),"")</f>
        <v/>
      </c>
      <c r="J2171" s="42">
        <f>IFERROR(INDEX('Semrush Data'!$A$1:$Z$20000,MATCH(A2171,'Semrush Data'!$A$1:$A$20000,0),MATCH("Intent",'Semrush Data'!$A$1:$Z$1,0)),"")</f>
        <v/>
      </c>
    </row>
    <row r="2172" ht="15" customHeight="1" s="37">
      <c r="A2172" s="42" t="inlineStr">
        <is>
          <t>al haramain - l'aventure femme edp</t>
        </is>
      </c>
      <c r="B2172" s="42" t="inlineStr">
        <is>
          <t>Google suggest</t>
        </is>
      </c>
      <c r="C2172" s="42" t="n">
        <v>3</v>
      </c>
      <c r="D2172" s="42" t="n">
        <v>22</v>
      </c>
      <c r="E2172" s="42" t="n">
        <v>1</v>
      </c>
      <c r="F2172" s="42" t="inlineStr">
        <is>
          <t>FR-023</t>
        </is>
      </c>
      <c r="G2172" s="55">
        <f>IFERROR(INDEX('Semrush Data'!$A$1:$Z$20000,MATCH(A2172,'Semrush Data'!$A$1:$A$20000,0),MATCH("Volume",'Semrush Data'!$A$1:$Z$1,0)),"")</f>
        <v/>
      </c>
      <c r="H2172" s="42">
        <f>IFERROR(INDEX('Semrush Data'!$A$1:$Z$20000,MATCH(A2172,'Semrush Data'!$A$1:$A$20000,0),MATCH("Keyword Difficulty*",'Semrush Data'!$A$1:$Z$1,0)),"")</f>
        <v/>
      </c>
      <c r="I2172" s="56">
        <f>IFERROR(INDEX('Semrush Data'!$A$1:$Z$20000,MATCH(A2172,'Semrush Data'!$A$1:$A$20000,0),MATCH("CPC*",'Semrush Data'!$A$1:$Z$1,0)),"")</f>
        <v/>
      </c>
      <c r="J2172" s="42">
        <f>IFERROR(INDEX('Semrush Data'!$A$1:$Z$20000,MATCH(A2172,'Semrush Data'!$A$1:$A$20000,0),MATCH("Intent",'Semrush Data'!$A$1:$Z$1,0)),"")</f>
        <v/>
      </c>
    </row>
    <row r="2173" ht="15" customHeight="1" s="37">
      <c r="A2173" s="42" t="inlineStr">
        <is>
          <t>al haramain amber musk dupe of</t>
        </is>
      </c>
      <c r="B2173" s="42" t="inlineStr">
        <is>
          <t>Google suggest</t>
        </is>
      </c>
      <c r="C2173" s="42" t="n">
        <v>3</v>
      </c>
      <c r="D2173" s="42" t="n">
        <v>22</v>
      </c>
      <c r="E2173" s="42" t="n">
        <v>1</v>
      </c>
      <c r="F2173" s="42" t="inlineStr">
        <is>
          <t>FR-011</t>
        </is>
      </c>
      <c r="G2173" s="55">
        <f>IFERROR(INDEX('Semrush Data'!$A$1:$Z$20000,MATCH(A2173,'Semrush Data'!$A$1:$A$20000,0),MATCH("Volume",'Semrush Data'!$A$1:$Z$1,0)),"")</f>
        <v/>
      </c>
      <c r="H2173" s="42">
        <f>IFERROR(INDEX('Semrush Data'!$A$1:$Z$20000,MATCH(A2173,'Semrush Data'!$A$1:$A$20000,0),MATCH("Keyword Difficulty*",'Semrush Data'!$A$1:$Z$1,0)),"")</f>
        <v/>
      </c>
      <c r="I2173" s="56">
        <f>IFERROR(INDEX('Semrush Data'!$A$1:$Z$20000,MATCH(A2173,'Semrush Data'!$A$1:$A$20000,0),MATCH("CPC*",'Semrush Data'!$A$1:$Z$1,0)),"")</f>
        <v/>
      </c>
      <c r="J2173" s="42">
        <f>IFERROR(INDEX('Semrush Data'!$A$1:$Z$20000,MATCH(A2173,'Semrush Data'!$A$1:$A$20000,0),MATCH("Intent",'Semrush Data'!$A$1:$Z$1,0)),"")</f>
        <v/>
      </c>
    </row>
    <row r="2174" ht="15" customHeight="1" s="37">
      <c r="A2174" s="42" t="inlineStr">
        <is>
          <t>al haramain amber musk edp</t>
        </is>
      </c>
      <c r="B2174" s="42" t="inlineStr">
        <is>
          <t>Google suggest</t>
        </is>
      </c>
      <c r="C2174" s="42" t="n">
        <v>3</v>
      </c>
      <c r="D2174" s="42" t="n">
        <v>22</v>
      </c>
      <c r="E2174" s="42" t="n">
        <v>1</v>
      </c>
      <c r="F2174" s="42" t="inlineStr">
        <is>
          <t>FR-011</t>
        </is>
      </c>
      <c r="G2174" s="55">
        <f>IFERROR(INDEX('Semrush Data'!$A$1:$Z$20000,MATCH(A2174,'Semrush Data'!$A$1:$A$20000,0),MATCH("Volume",'Semrush Data'!$A$1:$Z$1,0)),"")</f>
        <v/>
      </c>
      <c r="H2174" s="42">
        <f>IFERROR(INDEX('Semrush Data'!$A$1:$Z$20000,MATCH(A2174,'Semrush Data'!$A$1:$A$20000,0),MATCH("Keyword Difficulty*",'Semrush Data'!$A$1:$Z$1,0)),"")</f>
        <v/>
      </c>
      <c r="I2174" s="56">
        <f>IFERROR(INDEX('Semrush Data'!$A$1:$Z$20000,MATCH(A2174,'Semrush Data'!$A$1:$A$20000,0),MATCH("CPC*",'Semrush Data'!$A$1:$Z$1,0)),"")</f>
        <v/>
      </c>
      <c r="J2174" s="42">
        <f>IFERROR(INDEX('Semrush Data'!$A$1:$Z$20000,MATCH(A2174,'Semrush Data'!$A$1:$A$20000,0),MATCH("Intent",'Semrush Data'!$A$1:$Z$1,0)),"")</f>
        <v/>
      </c>
    </row>
    <row r="2175" ht="15" customHeight="1" s="37">
      <c r="A2175" s="42" t="inlineStr">
        <is>
          <t>al haramain amber musk notes</t>
        </is>
      </c>
      <c r="B2175" s="42" t="inlineStr">
        <is>
          <t>Google suggest</t>
        </is>
      </c>
      <c r="C2175" s="42" t="n">
        <v>3</v>
      </c>
      <c r="D2175" s="42" t="n">
        <v>22</v>
      </c>
      <c r="E2175" s="42" t="n">
        <v>1</v>
      </c>
      <c r="F2175" s="42" t="inlineStr">
        <is>
          <t>FR-011</t>
        </is>
      </c>
      <c r="G2175" s="55">
        <f>IFERROR(INDEX('Semrush Data'!$A$1:$Z$20000,MATCH(A2175,'Semrush Data'!$A$1:$A$20000,0),MATCH("Volume",'Semrush Data'!$A$1:$Z$1,0)),"")</f>
        <v/>
      </c>
      <c r="H2175" s="42">
        <f>IFERROR(INDEX('Semrush Data'!$A$1:$Z$20000,MATCH(A2175,'Semrush Data'!$A$1:$A$20000,0),MATCH("Keyword Difficulty*",'Semrush Data'!$A$1:$Z$1,0)),"")</f>
        <v/>
      </c>
      <c r="I2175" s="56">
        <f>IFERROR(INDEX('Semrush Data'!$A$1:$Z$20000,MATCH(A2175,'Semrush Data'!$A$1:$A$20000,0),MATCH("CPC*",'Semrush Data'!$A$1:$Z$1,0)),"")</f>
        <v/>
      </c>
      <c r="J2175" s="42">
        <f>IFERROR(INDEX('Semrush Data'!$A$1:$Z$20000,MATCH(A2175,'Semrush Data'!$A$1:$A$20000,0),MATCH("Intent",'Semrush Data'!$A$1:$Z$1,0)),"")</f>
        <v/>
      </c>
    </row>
    <row r="2176" ht="15" customHeight="1" s="37">
      <c r="A2176" s="42" t="inlineStr">
        <is>
          <t>al haramain amber musk perfume</t>
        </is>
      </c>
      <c r="B2176" s="42" t="inlineStr">
        <is>
          <t>Google suggest</t>
        </is>
      </c>
      <c r="C2176" s="42" t="n">
        <v>3</v>
      </c>
      <c r="D2176" s="42" t="n">
        <v>22</v>
      </c>
      <c r="E2176" s="42" t="n">
        <v>1</v>
      </c>
      <c r="F2176" s="42" t="inlineStr">
        <is>
          <t>FR-011</t>
        </is>
      </c>
      <c r="G2176" s="55">
        <f>IFERROR(INDEX('Semrush Data'!$A$1:$Z$20000,MATCH(A2176,'Semrush Data'!$A$1:$A$20000,0),MATCH("Volume",'Semrush Data'!$A$1:$Z$1,0)),"")</f>
        <v/>
      </c>
      <c r="H2176" s="42">
        <f>IFERROR(INDEX('Semrush Data'!$A$1:$Z$20000,MATCH(A2176,'Semrush Data'!$A$1:$A$20000,0),MATCH("Keyword Difficulty*",'Semrush Data'!$A$1:$Z$1,0)),"")</f>
        <v/>
      </c>
      <c r="I2176" s="56">
        <f>IFERROR(INDEX('Semrush Data'!$A$1:$Z$20000,MATCH(A2176,'Semrush Data'!$A$1:$A$20000,0),MATCH("CPC*",'Semrush Data'!$A$1:$Z$1,0)),"")</f>
        <v/>
      </c>
      <c r="J2176" s="42">
        <f>IFERROR(INDEX('Semrush Data'!$A$1:$Z$20000,MATCH(A2176,'Semrush Data'!$A$1:$A$20000,0),MATCH("Intent",'Semrush Data'!$A$1:$Z$1,0)),"")</f>
        <v/>
      </c>
    </row>
    <row r="2177" ht="15" customHeight="1" s="37">
      <c r="A2177" s="42" t="inlineStr">
        <is>
          <t>al haramain amber musk review</t>
        </is>
      </c>
      <c r="B2177" s="42" t="inlineStr">
        <is>
          <t>Google suggest</t>
        </is>
      </c>
      <c r="C2177" s="42" t="n">
        <v>3</v>
      </c>
      <c r="D2177" s="42" t="n">
        <v>22</v>
      </c>
      <c r="E2177" s="42" t="n">
        <v>1</v>
      </c>
      <c r="F2177" s="42" t="inlineStr">
        <is>
          <t>FR-011</t>
        </is>
      </c>
      <c r="G2177" s="55">
        <f>IFERROR(INDEX('Semrush Data'!$A$1:$Z$20000,MATCH(A2177,'Semrush Data'!$A$1:$A$20000,0),MATCH("Volume",'Semrush Data'!$A$1:$Z$1,0)),"")</f>
        <v/>
      </c>
      <c r="H2177" s="42">
        <f>IFERROR(INDEX('Semrush Data'!$A$1:$Z$20000,MATCH(A2177,'Semrush Data'!$A$1:$A$20000,0),MATCH("Keyword Difficulty*",'Semrush Data'!$A$1:$Z$1,0)),"")</f>
        <v/>
      </c>
      <c r="I2177" s="56">
        <f>IFERROR(INDEX('Semrush Data'!$A$1:$Z$20000,MATCH(A2177,'Semrush Data'!$A$1:$A$20000,0),MATCH("CPC*",'Semrush Data'!$A$1:$Z$1,0)),"")</f>
        <v/>
      </c>
      <c r="J2177" s="42">
        <f>IFERROR(INDEX('Semrush Data'!$A$1:$Z$20000,MATCH(A2177,'Semrush Data'!$A$1:$A$20000,0),MATCH("Intent",'Semrush Data'!$A$1:$Z$1,0)),"")</f>
        <v/>
      </c>
    </row>
    <row r="2178" ht="15" customHeight="1" s="37">
      <c r="A2178" s="42" t="inlineStr">
        <is>
          <t>al haramain amber oud black edition 200ml</t>
        </is>
      </c>
      <c r="B2178" s="42" t="inlineStr">
        <is>
          <t>Google suggest</t>
        </is>
      </c>
      <c r="C2178" s="42" t="n">
        <v>3</v>
      </c>
      <c r="D2178" s="42" t="n">
        <v>22</v>
      </c>
      <c r="E2178" s="42" t="n">
        <v>1</v>
      </c>
      <c r="F2178" s="42" t="inlineStr">
        <is>
          <t>FR-012</t>
        </is>
      </c>
      <c r="G2178" s="55">
        <f>IFERROR(INDEX('Semrush Data'!$A$1:$Z$20000,MATCH(A2178,'Semrush Data'!$A$1:$A$20000,0),MATCH("Volume",'Semrush Data'!$A$1:$Z$1,0)),"")</f>
        <v/>
      </c>
      <c r="H2178" s="42">
        <f>IFERROR(INDEX('Semrush Data'!$A$1:$Z$20000,MATCH(A2178,'Semrush Data'!$A$1:$A$20000,0),MATCH("Keyword Difficulty*",'Semrush Data'!$A$1:$Z$1,0)),"")</f>
        <v/>
      </c>
      <c r="I2178" s="56">
        <f>IFERROR(INDEX('Semrush Data'!$A$1:$Z$20000,MATCH(A2178,'Semrush Data'!$A$1:$A$20000,0),MATCH("CPC*",'Semrush Data'!$A$1:$Z$1,0)),"")</f>
        <v/>
      </c>
      <c r="J2178" s="42">
        <f>IFERROR(INDEX('Semrush Data'!$A$1:$Z$20000,MATCH(A2178,'Semrush Data'!$A$1:$A$20000,0),MATCH("Intent",'Semrush Data'!$A$1:$Z$1,0)),"")</f>
        <v/>
      </c>
    </row>
    <row r="2179" ht="15" customHeight="1" s="37">
      <c r="A2179" s="42" t="inlineStr">
        <is>
          <t>al haramain amber oud black edition dupe of</t>
        </is>
      </c>
      <c r="B2179" s="42" t="inlineStr">
        <is>
          <t>Google suggest</t>
        </is>
      </c>
      <c r="C2179" s="42" t="n">
        <v>3</v>
      </c>
      <c r="D2179" s="42" t="n">
        <v>22</v>
      </c>
      <c r="E2179" s="42" t="n">
        <v>1</v>
      </c>
      <c r="F2179" s="42" t="inlineStr">
        <is>
          <t>FR-012</t>
        </is>
      </c>
      <c r="G2179" s="55">
        <f>IFERROR(INDEX('Semrush Data'!$A$1:$Z$20000,MATCH(A2179,'Semrush Data'!$A$1:$A$20000,0),MATCH("Volume",'Semrush Data'!$A$1:$Z$1,0)),"")</f>
        <v/>
      </c>
      <c r="H2179" s="42">
        <f>IFERROR(INDEX('Semrush Data'!$A$1:$Z$20000,MATCH(A2179,'Semrush Data'!$A$1:$A$20000,0),MATCH("Keyword Difficulty*",'Semrush Data'!$A$1:$Z$1,0)),"")</f>
        <v/>
      </c>
      <c r="I2179" s="56">
        <f>IFERROR(INDEX('Semrush Data'!$A$1:$Z$20000,MATCH(A2179,'Semrush Data'!$A$1:$A$20000,0),MATCH("CPC*",'Semrush Data'!$A$1:$Z$1,0)),"")</f>
        <v/>
      </c>
      <c r="J2179" s="42">
        <f>IFERROR(INDEX('Semrush Data'!$A$1:$Z$20000,MATCH(A2179,'Semrush Data'!$A$1:$A$20000,0),MATCH("Intent",'Semrush Data'!$A$1:$Z$1,0)),"")</f>
        <v/>
      </c>
    </row>
    <row r="2180" ht="15" customHeight="1" s="37">
      <c r="A2180" s="42" t="inlineStr">
        <is>
          <t>al haramain amber oud black edition notes</t>
        </is>
      </c>
      <c r="B2180" s="42" t="inlineStr">
        <is>
          <t>Google suggest</t>
        </is>
      </c>
      <c r="C2180" s="42" t="n">
        <v>3</v>
      </c>
      <c r="D2180" s="42" t="n">
        <v>22</v>
      </c>
      <c r="E2180" s="42" t="n">
        <v>1</v>
      </c>
      <c r="F2180" s="42" t="inlineStr">
        <is>
          <t>FR-012</t>
        </is>
      </c>
      <c r="G2180" s="55">
        <f>IFERROR(INDEX('Semrush Data'!$A$1:$Z$20000,MATCH(A2180,'Semrush Data'!$A$1:$A$20000,0),MATCH("Volume",'Semrush Data'!$A$1:$Z$1,0)),"")</f>
        <v/>
      </c>
      <c r="H2180" s="42">
        <f>IFERROR(INDEX('Semrush Data'!$A$1:$Z$20000,MATCH(A2180,'Semrush Data'!$A$1:$A$20000,0),MATCH("Keyword Difficulty*",'Semrush Data'!$A$1:$Z$1,0)),"")</f>
        <v/>
      </c>
      <c r="I2180" s="56">
        <f>IFERROR(INDEX('Semrush Data'!$A$1:$Z$20000,MATCH(A2180,'Semrush Data'!$A$1:$A$20000,0),MATCH("CPC*",'Semrush Data'!$A$1:$Z$1,0)),"")</f>
        <v/>
      </c>
      <c r="J2180" s="42">
        <f>IFERROR(INDEX('Semrush Data'!$A$1:$Z$20000,MATCH(A2180,'Semrush Data'!$A$1:$A$20000,0),MATCH("Intent",'Semrush Data'!$A$1:$Z$1,0)),"")</f>
        <v/>
      </c>
    </row>
    <row r="2181" ht="15" customHeight="1" s="37">
      <c r="A2181" s="42" t="inlineStr">
        <is>
          <t>al haramain amber oud black edition review</t>
        </is>
      </c>
      <c r="B2181" s="42" t="inlineStr">
        <is>
          <t>Google suggest</t>
        </is>
      </c>
      <c r="C2181" s="42" t="n">
        <v>3</v>
      </c>
      <c r="D2181" s="42" t="n">
        <v>22</v>
      </c>
      <c r="E2181" s="42" t="n">
        <v>1</v>
      </c>
      <c r="F2181" s="42" t="inlineStr">
        <is>
          <t>FR-012</t>
        </is>
      </c>
      <c r="G2181" s="55">
        <f>IFERROR(INDEX('Semrush Data'!$A$1:$Z$20000,MATCH(A2181,'Semrush Data'!$A$1:$A$20000,0),MATCH("Volume",'Semrush Data'!$A$1:$Z$1,0)),"")</f>
        <v/>
      </c>
      <c r="H2181" s="42">
        <f>IFERROR(INDEX('Semrush Data'!$A$1:$Z$20000,MATCH(A2181,'Semrush Data'!$A$1:$A$20000,0),MATCH("Keyword Difficulty*",'Semrush Data'!$A$1:$Z$1,0)),"")</f>
        <v/>
      </c>
      <c r="I2181" s="56">
        <f>IFERROR(INDEX('Semrush Data'!$A$1:$Z$20000,MATCH(A2181,'Semrush Data'!$A$1:$A$20000,0),MATCH("CPC*",'Semrush Data'!$A$1:$Z$1,0)),"")</f>
        <v/>
      </c>
      <c r="J2181" s="42">
        <f>IFERROR(INDEX('Semrush Data'!$A$1:$Z$20000,MATCH(A2181,'Semrush Data'!$A$1:$A$20000,0),MATCH("Intent",'Semrush Data'!$A$1:$Z$1,0)),"")</f>
        <v/>
      </c>
    </row>
    <row r="2182" ht="15" customHeight="1" s="37">
      <c r="A2182" s="42" t="inlineStr">
        <is>
          <t>al haramain amber oud black edition smells like</t>
        </is>
      </c>
      <c r="B2182" s="42" t="inlineStr">
        <is>
          <t>Google suggest</t>
        </is>
      </c>
      <c r="C2182" s="42" t="n">
        <v>3</v>
      </c>
      <c r="D2182" s="42" t="n">
        <v>22</v>
      </c>
      <c r="E2182" s="42" t="n">
        <v>1</v>
      </c>
      <c r="F2182" s="42" t="inlineStr">
        <is>
          <t>FR-012</t>
        </is>
      </c>
      <c r="G2182" s="55">
        <f>IFERROR(INDEX('Semrush Data'!$A$1:$Z$20000,MATCH(A2182,'Semrush Data'!$A$1:$A$20000,0),MATCH("Volume",'Semrush Data'!$A$1:$Z$1,0)),"")</f>
        <v/>
      </c>
      <c r="H2182" s="42">
        <f>IFERROR(INDEX('Semrush Data'!$A$1:$Z$20000,MATCH(A2182,'Semrush Data'!$A$1:$A$20000,0),MATCH("Keyword Difficulty*",'Semrush Data'!$A$1:$Z$1,0)),"")</f>
        <v/>
      </c>
      <c r="I2182" s="56">
        <f>IFERROR(INDEX('Semrush Data'!$A$1:$Z$20000,MATCH(A2182,'Semrush Data'!$A$1:$A$20000,0),MATCH("CPC*",'Semrush Data'!$A$1:$Z$1,0)),"")</f>
        <v/>
      </c>
      <c r="J2182" s="42">
        <f>IFERROR(INDEX('Semrush Data'!$A$1:$Z$20000,MATCH(A2182,'Semrush Data'!$A$1:$A$20000,0),MATCH("Intent",'Semrush Data'!$A$1:$Z$1,0)),"")</f>
        <v/>
      </c>
    </row>
    <row r="2183" ht="15" customHeight="1" s="37">
      <c r="A2183" s="42" t="inlineStr">
        <is>
          <t>al haramain amber oud bleu edition 100ml</t>
        </is>
      </c>
      <c r="B2183" s="42" t="inlineStr">
        <is>
          <t>Google suggest</t>
        </is>
      </c>
      <c r="C2183" s="42" t="n">
        <v>3</v>
      </c>
      <c r="D2183" s="42" t="n">
        <v>22</v>
      </c>
      <c r="E2183" s="42" t="n">
        <v>1</v>
      </c>
      <c r="F2183" s="42" t="inlineStr">
        <is>
          <t>FR-013</t>
        </is>
      </c>
      <c r="G2183" s="55">
        <f>IFERROR(INDEX('Semrush Data'!$A$1:$Z$20000,MATCH(A2183,'Semrush Data'!$A$1:$A$20000,0),MATCH("Volume",'Semrush Data'!$A$1:$Z$1,0)),"")</f>
        <v/>
      </c>
      <c r="H2183" s="42">
        <f>IFERROR(INDEX('Semrush Data'!$A$1:$Z$20000,MATCH(A2183,'Semrush Data'!$A$1:$A$20000,0),MATCH("Keyword Difficulty*",'Semrush Data'!$A$1:$Z$1,0)),"")</f>
        <v/>
      </c>
      <c r="I2183" s="56">
        <f>IFERROR(INDEX('Semrush Data'!$A$1:$Z$20000,MATCH(A2183,'Semrush Data'!$A$1:$A$20000,0),MATCH("CPC*",'Semrush Data'!$A$1:$Z$1,0)),"")</f>
        <v/>
      </c>
      <c r="J2183" s="42">
        <f>IFERROR(INDEX('Semrush Data'!$A$1:$Z$20000,MATCH(A2183,'Semrush Data'!$A$1:$A$20000,0),MATCH("Intent",'Semrush Data'!$A$1:$Z$1,0)),"")</f>
        <v/>
      </c>
    </row>
    <row r="2184" ht="15" customHeight="1" s="37">
      <c r="A2184" s="42" t="inlineStr">
        <is>
          <t>al haramain amber oud bleu edition 200ml</t>
        </is>
      </c>
      <c r="B2184" s="42" t="inlineStr">
        <is>
          <t>Google suggest</t>
        </is>
      </c>
      <c r="C2184" s="42" t="n">
        <v>3</v>
      </c>
      <c r="D2184" s="42" t="n">
        <v>22</v>
      </c>
      <c r="E2184" s="42" t="n">
        <v>1</v>
      </c>
      <c r="F2184" s="42" t="inlineStr">
        <is>
          <t>FR-013</t>
        </is>
      </c>
      <c r="G2184" s="55">
        <f>IFERROR(INDEX('Semrush Data'!$A$1:$Z$20000,MATCH(A2184,'Semrush Data'!$A$1:$A$20000,0),MATCH("Volume",'Semrush Data'!$A$1:$Z$1,0)),"")</f>
        <v/>
      </c>
      <c r="H2184" s="42">
        <f>IFERROR(INDEX('Semrush Data'!$A$1:$Z$20000,MATCH(A2184,'Semrush Data'!$A$1:$A$20000,0),MATCH("Keyword Difficulty*",'Semrush Data'!$A$1:$Z$1,0)),"")</f>
        <v/>
      </c>
      <c r="I2184" s="56">
        <f>IFERROR(INDEX('Semrush Data'!$A$1:$Z$20000,MATCH(A2184,'Semrush Data'!$A$1:$A$20000,0),MATCH("CPC*",'Semrush Data'!$A$1:$Z$1,0)),"")</f>
        <v/>
      </c>
      <c r="J2184" s="42">
        <f>IFERROR(INDEX('Semrush Data'!$A$1:$Z$20000,MATCH(A2184,'Semrush Data'!$A$1:$A$20000,0),MATCH("Intent",'Semrush Data'!$A$1:$Z$1,0)),"")</f>
        <v/>
      </c>
    </row>
    <row r="2185" ht="15" customHeight="1" s="37">
      <c r="A2185" s="42" t="inlineStr">
        <is>
          <t>al haramain amber oud bleu edition dupe of</t>
        </is>
      </c>
      <c r="B2185" s="42" t="inlineStr">
        <is>
          <t>Google suggest</t>
        </is>
      </c>
      <c r="C2185" s="42" t="n">
        <v>3</v>
      </c>
      <c r="D2185" s="42" t="n">
        <v>22</v>
      </c>
      <c r="E2185" s="42" t="n">
        <v>1</v>
      </c>
      <c r="F2185" s="42" t="inlineStr">
        <is>
          <t>FR-013</t>
        </is>
      </c>
      <c r="G2185" s="55">
        <f>IFERROR(INDEX('Semrush Data'!$A$1:$Z$20000,MATCH(A2185,'Semrush Data'!$A$1:$A$20000,0),MATCH("Volume",'Semrush Data'!$A$1:$Z$1,0)),"")</f>
        <v/>
      </c>
      <c r="H2185" s="42">
        <f>IFERROR(INDEX('Semrush Data'!$A$1:$Z$20000,MATCH(A2185,'Semrush Data'!$A$1:$A$20000,0),MATCH("Keyword Difficulty*",'Semrush Data'!$A$1:$Z$1,0)),"")</f>
        <v/>
      </c>
      <c r="I2185" s="56">
        <f>IFERROR(INDEX('Semrush Data'!$A$1:$Z$20000,MATCH(A2185,'Semrush Data'!$A$1:$A$20000,0),MATCH("CPC*",'Semrush Data'!$A$1:$Z$1,0)),"")</f>
        <v/>
      </c>
      <c r="J2185" s="42">
        <f>IFERROR(INDEX('Semrush Data'!$A$1:$Z$20000,MATCH(A2185,'Semrush Data'!$A$1:$A$20000,0),MATCH("Intent",'Semrush Data'!$A$1:$Z$1,0)),"")</f>
        <v/>
      </c>
    </row>
    <row r="2186" ht="15" customHeight="1" s="37">
      <c r="A2186" s="42" t="inlineStr">
        <is>
          <t>al haramain amber oud bleu edition edp</t>
        </is>
      </c>
      <c r="B2186" s="42" t="inlineStr">
        <is>
          <t>Google suggest</t>
        </is>
      </c>
      <c r="C2186" s="42" t="n">
        <v>3</v>
      </c>
      <c r="D2186" s="42" t="n">
        <v>22</v>
      </c>
      <c r="E2186" s="42" t="n">
        <v>1</v>
      </c>
      <c r="F2186" s="42" t="inlineStr">
        <is>
          <t>FR-013</t>
        </is>
      </c>
      <c r="G2186" s="55">
        <f>IFERROR(INDEX('Semrush Data'!$A$1:$Z$20000,MATCH(A2186,'Semrush Data'!$A$1:$A$20000,0),MATCH("Volume",'Semrush Data'!$A$1:$Z$1,0)),"")</f>
        <v/>
      </c>
      <c r="H2186" s="42">
        <f>IFERROR(INDEX('Semrush Data'!$A$1:$Z$20000,MATCH(A2186,'Semrush Data'!$A$1:$A$20000,0),MATCH("Keyword Difficulty*",'Semrush Data'!$A$1:$Z$1,0)),"")</f>
        <v/>
      </c>
      <c r="I2186" s="56">
        <f>IFERROR(INDEX('Semrush Data'!$A$1:$Z$20000,MATCH(A2186,'Semrush Data'!$A$1:$A$20000,0),MATCH("CPC*",'Semrush Data'!$A$1:$Z$1,0)),"")</f>
        <v/>
      </c>
      <c r="J2186" s="42">
        <f>IFERROR(INDEX('Semrush Data'!$A$1:$Z$20000,MATCH(A2186,'Semrush Data'!$A$1:$A$20000,0),MATCH("Intent",'Semrush Data'!$A$1:$Z$1,0)),"")</f>
        <v/>
      </c>
    </row>
    <row r="2187" ht="15" customHeight="1" s="37">
      <c r="A2187" s="42" t="inlineStr">
        <is>
          <t>al haramain amber oud bleu edition review</t>
        </is>
      </c>
      <c r="B2187" s="42" t="inlineStr">
        <is>
          <t>Google suggest</t>
        </is>
      </c>
      <c r="C2187" s="42" t="n">
        <v>3</v>
      </c>
      <c r="D2187" s="42" t="n">
        <v>22</v>
      </c>
      <c r="E2187" s="42" t="n">
        <v>1</v>
      </c>
      <c r="F2187" s="42" t="inlineStr">
        <is>
          <t>FR-013</t>
        </is>
      </c>
      <c r="G2187" s="55">
        <f>IFERROR(INDEX('Semrush Data'!$A$1:$Z$20000,MATCH(A2187,'Semrush Data'!$A$1:$A$20000,0),MATCH("Volume",'Semrush Data'!$A$1:$Z$1,0)),"")</f>
        <v/>
      </c>
      <c r="H2187" s="42">
        <f>IFERROR(INDEX('Semrush Data'!$A$1:$Z$20000,MATCH(A2187,'Semrush Data'!$A$1:$A$20000,0),MATCH("Keyword Difficulty*",'Semrush Data'!$A$1:$Z$1,0)),"")</f>
        <v/>
      </c>
      <c r="I2187" s="56">
        <f>IFERROR(INDEX('Semrush Data'!$A$1:$Z$20000,MATCH(A2187,'Semrush Data'!$A$1:$A$20000,0),MATCH("CPC*",'Semrush Data'!$A$1:$Z$1,0)),"")</f>
        <v/>
      </c>
      <c r="J2187" s="42">
        <f>IFERROR(INDEX('Semrush Data'!$A$1:$Z$20000,MATCH(A2187,'Semrush Data'!$A$1:$A$20000,0),MATCH("Intent",'Semrush Data'!$A$1:$Z$1,0)),"")</f>
        <v/>
      </c>
    </row>
    <row r="2188" ht="15" customHeight="1" s="37">
      <c r="A2188" s="42" t="inlineStr">
        <is>
          <t>al haramain amber oud carbon edition 200ml</t>
        </is>
      </c>
      <c r="B2188" s="42" t="inlineStr">
        <is>
          <t>Google suggest</t>
        </is>
      </c>
      <c r="C2188" s="42" t="n">
        <v>3</v>
      </c>
      <c r="D2188" s="42" t="n">
        <v>22</v>
      </c>
      <c r="E2188" s="42" t="n">
        <v>1</v>
      </c>
      <c r="F2188" s="42" t="inlineStr">
        <is>
          <t>FR-014</t>
        </is>
      </c>
      <c r="G2188" s="55">
        <f>IFERROR(INDEX('Semrush Data'!$A$1:$Z$20000,MATCH(A2188,'Semrush Data'!$A$1:$A$20000,0),MATCH("Volume",'Semrush Data'!$A$1:$Z$1,0)),"")</f>
        <v/>
      </c>
      <c r="H2188" s="42">
        <f>IFERROR(INDEX('Semrush Data'!$A$1:$Z$20000,MATCH(A2188,'Semrush Data'!$A$1:$A$20000,0),MATCH("Keyword Difficulty*",'Semrush Data'!$A$1:$Z$1,0)),"")</f>
        <v/>
      </c>
      <c r="I2188" s="56">
        <f>IFERROR(INDEX('Semrush Data'!$A$1:$Z$20000,MATCH(A2188,'Semrush Data'!$A$1:$A$20000,0),MATCH("CPC*",'Semrush Data'!$A$1:$Z$1,0)),"")</f>
        <v/>
      </c>
      <c r="J2188" s="42">
        <f>IFERROR(INDEX('Semrush Data'!$A$1:$Z$20000,MATCH(A2188,'Semrush Data'!$A$1:$A$20000,0),MATCH("Intent",'Semrush Data'!$A$1:$Z$1,0)),"")</f>
        <v/>
      </c>
    </row>
    <row r="2189" ht="15" customHeight="1" s="37">
      <c r="A2189" s="42" t="inlineStr">
        <is>
          <t>al haramain amber oud carbon edition dupe of</t>
        </is>
      </c>
      <c r="B2189" s="42" t="inlineStr">
        <is>
          <t>Google suggest</t>
        </is>
      </c>
      <c r="C2189" s="42" t="n">
        <v>3</v>
      </c>
      <c r="D2189" s="42" t="n">
        <v>22</v>
      </c>
      <c r="E2189" s="42" t="n">
        <v>1</v>
      </c>
      <c r="F2189" s="42" t="inlineStr">
        <is>
          <t>FR-014</t>
        </is>
      </c>
      <c r="G2189" s="55">
        <f>IFERROR(INDEX('Semrush Data'!$A$1:$Z$20000,MATCH(A2189,'Semrush Data'!$A$1:$A$20000,0),MATCH("Volume",'Semrush Data'!$A$1:$Z$1,0)),"")</f>
        <v/>
      </c>
      <c r="H2189" s="42">
        <f>IFERROR(INDEX('Semrush Data'!$A$1:$Z$20000,MATCH(A2189,'Semrush Data'!$A$1:$A$20000,0),MATCH("Keyword Difficulty*",'Semrush Data'!$A$1:$Z$1,0)),"")</f>
        <v/>
      </c>
      <c r="I2189" s="56">
        <f>IFERROR(INDEX('Semrush Data'!$A$1:$Z$20000,MATCH(A2189,'Semrush Data'!$A$1:$A$20000,0),MATCH("CPC*",'Semrush Data'!$A$1:$Z$1,0)),"")</f>
        <v/>
      </c>
      <c r="J2189" s="42">
        <f>IFERROR(INDEX('Semrush Data'!$A$1:$Z$20000,MATCH(A2189,'Semrush Data'!$A$1:$A$20000,0),MATCH("Intent",'Semrush Data'!$A$1:$Z$1,0)),"")</f>
        <v/>
      </c>
    </row>
    <row r="2190" ht="15" customHeight="1" s="37">
      <c r="A2190" s="42" t="inlineStr">
        <is>
          <t>al haramain amber oud carbon edition edp</t>
        </is>
      </c>
      <c r="B2190" s="42" t="inlineStr">
        <is>
          <t>Google suggest</t>
        </is>
      </c>
      <c r="C2190" s="42" t="n">
        <v>3</v>
      </c>
      <c r="D2190" s="42" t="n">
        <v>22</v>
      </c>
      <c r="E2190" s="42" t="n">
        <v>1</v>
      </c>
      <c r="F2190" s="42" t="inlineStr">
        <is>
          <t>FR-014</t>
        </is>
      </c>
      <c r="G2190" s="55">
        <f>IFERROR(INDEX('Semrush Data'!$A$1:$Z$20000,MATCH(A2190,'Semrush Data'!$A$1:$A$20000,0),MATCH("Volume",'Semrush Data'!$A$1:$Z$1,0)),"")</f>
        <v/>
      </c>
      <c r="H2190" s="42">
        <f>IFERROR(INDEX('Semrush Data'!$A$1:$Z$20000,MATCH(A2190,'Semrush Data'!$A$1:$A$20000,0),MATCH("Keyword Difficulty*",'Semrush Data'!$A$1:$Z$1,0)),"")</f>
        <v/>
      </c>
      <c r="I2190" s="56">
        <f>IFERROR(INDEX('Semrush Data'!$A$1:$Z$20000,MATCH(A2190,'Semrush Data'!$A$1:$A$20000,0),MATCH("CPC*",'Semrush Data'!$A$1:$Z$1,0)),"")</f>
        <v/>
      </c>
      <c r="J2190" s="42">
        <f>IFERROR(INDEX('Semrush Data'!$A$1:$Z$20000,MATCH(A2190,'Semrush Data'!$A$1:$A$20000,0),MATCH("Intent",'Semrush Data'!$A$1:$Z$1,0)),"")</f>
        <v/>
      </c>
    </row>
    <row r="2191" ht="15" customHeight="1" s="37">
      <c r="A2191" s="42" t="inlineStr">
        <is>
          <t>al haramain amber oud carbon edition notes</t>
        </is>
      </c>
      <c r="B2191" s="42" t="inlineStr">
        <is>
          <t>Google suggest</t>
        </is>
      </c>
      <c r="C2191" s="42" t="n">
        <v>3</v>
      </c>
      <c r="D2191" s="42" t="n">
        <v>22</v>
      </c>
      <c r="E2191" s="42" t="n">
        <v>1</v>
      </c>
      <c r="F2191" s="42" t="inlineStr">
        <is>
          <t>FR-014</t>
        </is>
      </c>
      <c r="G2191" s="55">
        <f>IFERROR(INDEX('Semrush Data'!$A$1:$Z$20000,MATCH(A2191,'Semrush Data'!$A$1:$A$20000,0),MATCH("Volume",'Semrush Data'!$A$1:$Z$1,0)),"")</f>
        <v/>
      </c>
      <c r="H2191" s="42">
        <f>IFERROR(INDEX('Semrush Data'!$A$1:$Z$20000,MATCH(A2191,'Semrush Data'!$A$1:$A$20000,0),MATCH("Keyword Difficulty*",'Semrush Data'!$A$1:$Z$1,0)),"")</f>
        <v/>
      </c>
      <c r="I2191" s="56">
        <f>IFERROR(INDEX('Semrush Data'!$A$1:$Z$20000,MATCH(A2191,'Semrush Data'!$A$1:$A$20000,0),MATCH("CPC*",'Semrush Data'!$A$1:$Z$1,0)),"")</f>
        <v/>
      </c>
      <c r="J2191" s="42">
        <f>IFERROR(INDEX('Semrush Data'!$A$1:$Z$20000,MATCH(A2191,'Semrush Data'!$A$1:$A$20000,0),MATCH("Intent",'Semrush Data'!$A$1:$Z$1,0)),"")</f>
        <v/>
      </c>
    </row>
    <row r="2192" ht="15" customHeight="1" s="37">
      <c r="A2192" s="42" t="inlineStr">
        <is>
          <t>al haramain amber oud carbon edition review</t>
        </is>
      </c>
      <c r="B2192" s="42" t="inlineStr">
        <is>
          <t>Google suggest</t>
        </is>
      </c>
      <c r="C2192" s="42" t="n">
        <v>3</v>
      </c>
      <c r="D2192" s="42" t="n">
        <v>22</v>
      </c>
      <c r="E2192" s="42" t="n">
        <v>1</v>
      </c>
      <c r="F2192" s="42" t="inlineStr">
        <is>
          <t>FR-014</t>
        </is>
      </c>
      <c r="G2192" s="55">
        <f>IFERROR(INDEX('Semrush Data'!$A$1:$Z$20000,MATCH(A2192,'Semrush Data'!$A$1:$A$20000,0),MATCH("Volume",'Semrush Data'!$A$1:$Z$1,0)),"")</f>
        <v/>
      </c>
      <c r="H2192" s="42">
        <f>IFERROR(INDEX('Semrush Data'!$A$1:$Z$20000,MATCH(A2192,'Semrush Data'!$A$1:$A$20000,0),MATCH("Keyword Difficulty*",'Semrush Data'!$A$1:$Z$1,0)),"")</f>
        <v/>
      </c>
      <c r="I2192" s="56">
        <f>IFERROR(INDEX('Semrush Data'!$A$1:$Z$20000,MATCH(A2192,'Semrush Data'!$A$1:$A$20000,0),MATCH("CPC*",'Semrush Data'!$A$1:$Z$1,0)),"")</f>
        <v/>
      </c>
      <c r="J2192" s="42">
        <f>IFERROR(INDEX('Semrush Data'!$A$1:$Z$20000,MATCH(A2192,'Semrush Data'!$A$1:$A$20000,0),MATCH("Intent",'Semrush Data'!$A$1:$Z$1,0)),"")</f>
        <v/>
      </c>
    </row>
    <row r="2193" ht="15" customHeight="1" s="37">
      <c r="A2193" s="42" t="inlineStr">
        <is>
          <t>al haramain amber oud extreme gold edition dupe of</t>
        </is>
      </c>
      <c r="B2193" s="42" t="inlineStr">
        <is>
          <t>Google suggest</t>
        </is>
      </c>
      <c r="C2193" s="42" t="n">
        <v>3</v>
      </c>
      <c r="D2193" s="42" t="n">
        <v>22</v>
      </c>
      <c r="E2193" s="42" t="n">
        <v>1</v>
      </c>
      <c r="F2193" s="42" t="inlineStr">
        <is>
          <t>FR-026</t>
        </is>
      </c>
      <c r="G2193" s="55">
        <f>IFERROR(INDEX('Semrush Data'!$A$1:$Z$20000,MATCH(A2193,'Semrush Data'!$A$1:$A$20000,0),MATCH("Volume",'Semrush Data'!$A$1:$Z$1,0)),"")</f>
        <v/>
      </c>
      <c r="H2193" s="42">
        <f>IFERROR(INDEX('Semrush Data'!$A$1:$Z$20000,MATCH(A2193,'Semrush Data'!$A$1:$A$20000,0),MATCH("Keyword Difficulty*",'Semrush Data'!$A$1:$Z$1,0)),"")</f>
        <v/>
      </c>
      <c r="I2193" s="56">
        <f>IFERROR(INDEX('Semrush Data'!$A$1:$Z$20000,MATCH(A2193,'Semrush Data'!$A$1:$A$20000,0),MATCH("CPC*",'Semrush Data'!$A$1:$Z$1,0)),"")</f>
        <v/>
      </c>
      <c r="J2193" s="42">
        <f>IFERROR(INDEX('Semrush Data'!$A$1:$Z$20000,MATCH(A2193,'Semrush Data'!$A$1:$A$20000,0),MATCH("Intent",'Semrush Data'!$A$1:$Z$1,0)),"")</f>
        <v/>
      </c>
    </row>
    <row r="2194" ht="15" customHeight="1" s="37">
      <c r="A2194" s="42" t="inlineStr">
        <is>
          <t>al haramain amber oud extreme gold edition extrait</t>
        </is>
      </c>
      <c r="B2194" s="42" t="inlineStr">
        <is>
          <t>Google suggest</t>
        </is>
      </c>
      <c r="C2194" s="42" t="n">
        <v>3</v>
      </c>
      <c r="D2194" s="42" t="n">
        <v>22</v>
      </c>
      <c r="E2194" s="42" t="n">
        <v>1</v>
      </c>
      <c r="F2194" s="42" t="inlineStr">
        <is>
          <t>FR-026</t>
        </is>
      </c>
      <c r="G2194" s="55">
        <f>IFERROR(INDEX('Semrush Data'!$A$1:$Z$20000,MATCH(A2194,'Semrush Data'!$A$1:$A$20000,0),MATCH("Volume",'Semrush Data'!$A$1:$Z$1,0)),"")</f>
        <v/>
      </c>
      <c r="H2194" s="42">
        <f>IFERROR(INDEX('Semrush Data'!$A$1:$Z$20000,MATCH(A2194,'Semrush Data'!$A$1:$A$20000,0),MATCH("Keyword Difficulty*",'Semrush Data'!$A$1:$Z$1,0)),"")</f>
        <v/>
      </c>
      <c r="I2194" s="56">
        <f>IFERROR(INDEX('Semrush Data'!$A$1:$Z$20000,MATCH(A2194,'Semrush Data'!$A$1:$A$20000,0),MATCH("CPC*",'Semrush Data'!$A$1:$Z$1,0)),"")</f>
        <v/>
      </c>
      <c r="J2194" s="42">
        <f>IFERROR(INDEX('Semrush Data'!$A$1:$Z$20000,MATCH(A2194,'Semrush Data'!$A$1:$A$20000,0),MATCH("Intent",'Semrush Data'!$A$1:$Z$1,0)),"")</f>
        <v/>
      </c>
    </row>
    <row r="2195" ht="15" customHeight="1" s="37">
      <c r="A2195" s="42" t="inlineStr">
        <is>
          <t>al haramain amber oud extreme gold edition notes</t>
        </is>
      </c>
      <c r="B2195" s="42" t="inlineStr">
        <is>
          <t>Google suggest</t>
        </is>
      </c>
      <c r="C2195" s="42" t="n">
        <v>3</v>
      </c>
      <c r="D2195" s="42" t="n">
        <v>22</v>
      </c>
      <c r="E2195" s="42" t="n">
        <v>1</v>
      </c>
      <c r="F2195" s="42" t="inlineStr">
        <is>
          <t>FR-026</t>
        </is>
      </c>
      <c r="G2195" s="55">
        <f>IFERROR(INDEX('Semrush Data'!$A$1:$Z$20000,MATCH(A2195,'Semrush Data'!$A$1:$A$20000,0),MATCH("Volume",'Semrush Data'!$A$1:$Z$1,0)),"")</f>
        <v/>
      </c>
      <c r="H2195" s="42">
        <f>IFERROR(INDEX('Semrush Data'!$A$1:$Z$20000,MATCH(A2195,'Semrush Data'!$A$1:$A$20000,0),MATCH("Keyword Difficulty*",'Semrush Data'!$A$1:$Z$1,0)),"")</f>
        <v/>
      </c>
      <c r="I2195" s="56">
        <f>IFERROR(INDEX('Semrush Data'!$A$1:$Z$20000,MATCH(A2195,'Semrush Data'!$A$1:$A$20000,0),MATCH("CPC*",'Semrush Data'!$A$1:$Z$1,0)),"")</f>
        <v/>
      </c>
      <c r="J2195" s="42">
        <f>IFERROR(INDEX('Semrush Data'!$A$1:$Z$20000,MATCH(A2195,'Semrush Data'!$A$1:$A$20000,0),MATCH("Intent",'Semrush Data'!$A$1:$Z$1,0)),"")</f>
        <v/>
      </c>
    </row>
    <row r="2196" ht="15" customHeight="1" s="37">
      <c r="A2196" s="42" t="inlineStr">
        <is>
          <t>al haramain amber oud extreme gold edition review</t>
        </is>
      </c>
      <c r="B2196" s="42" t="inlineStr">
        <is>
          <t>Google suggest</t>
        </is>
      </c>
      <c r="C2196" s="42" t="n">
        <v>3</v>
      </c>
      <c r="D2196" s="42" t="n">
        <v>22</v>
      </c>
      <c r="E2196" s="42" t="n">
        <v>1</v>
      </c>
      <c r="F2196" s="42" t="inlineStr">
        <is>
          <t>FR-026</t>
        </is>
      </c>
      <c r="G2196" s="55">
        <f>IFERROR(INDEX('Semrush Data'!$A$1:$Z$20000,MATCH(A2196,'Semrush Data'!$A$1:$A$20000,0),MATCH("Volume",'Semrush Data'!$A$1:$Z$1,0)),"")</f>
        <v/>
      </c>
      <c r="H2196" s="42">
        <f>IFERROR(INDEX('Semrush Data'!$A$1:$Z$20000,MATCH(A2196,'Semrush Data'!$A$1:$A$20000,0),MATCH("Keyword Difficulty*",'Semrush Data'!$A$1:$Z$1,0)),"")</f>
        <v/>
      </c>
      <c r="I2196" s="56">
        <f>IFERROR(INDEX('Semrush Data'!$A$1:$Z$20000,MATCH(A2196,'Semrush Data'!$A$1:$A$20000,0),MATCH("CPC*",'Semrush Data'!$A$1:$Z$1,0)),"")</f>
        <v/>
      </c>
      <c r="J2196" s="42">
        <f>IFERROR(INDEX('Semrush Data'!$A$1:$Z$20000,MATCH(A2196,'Semrush Data'!$A$1:$A$20000,0),MATCH("Intent",'Semrush Data'!$A$1:$Z$1,0)),"")</f>
        <v/>
      </c>
    </row>
    <row r="2197" ht="15" customHeight="1" s="37">
      <c r="A2197" s="42" t="inlineStr">
        <is>
          <t>al haramain amber oud gold edition 120ml</t>
        </is>
      </c>
      <c r="B2197" s="42" t="inlineStr">
        <is>
          <t>Google suggest</t>
        </is>
      </c>
      <c r="C2197" s="42" t="n">
        <v>3</v>
      </c>
      <c r="D2197" s="42" t="n">
        <v>22</v>
      </c>
      <c r="E2197" s="42" t="n">
        <v>1</v>
      </c>
      <c r="F2197" s="42" t="inlineStr">
        <is>
          <t>FR-016</t>
        </is>
      </c>
      <c r="G2197" s="55">
        <f>IFERROR(INDEX('Semrush Data'!$A$1:$Z$20000,MATCH(A2197,'Semrush Data'!$A$1:$A$20000,0),MATCH("Volume",'Semrush Data'!$A$1:$Z$1,0)),"")</f>
        <v/>
      </c>
      <c r="H2197" s="42">
        <f>IFERROR(INDEX('Semrush Data'!$A$1:$Z$20000,MATCH(A2197,'Semrush Data'!$A$1:$A$20000,0),MATCH("Keyword Difficulty*",'Semrush Data'!$A$1:$Z$1,0)),"")</f>
        <v/>
      </c>
      <c r="I2197" s="56">
        <f>IFERROR(INDEX('Semrush Data'!$A$1:$Z$20000,MATCH(A2197,'Semrush Data'!$A$1:$A$20000,0),MATCH("CPC*",'Semrush Data'!$A$1:$Z$1,0)),"")</f>
        <v/>
      </c>
      <c r="J2197" s="42">
        <f>IFERROR(INDEX('Semrush Data'!$A$1:$Z$20000,MATCH(A2197,'Semrush Data'!$A$1:$A$20000,0),MATCH("Intent",'Semrush Data'!$A$1:$Z$1,0)),"")</f>
        <v/>
      </c>
    </row>
    <row r="2198" ht="15" customHeight="1" s="37">
      <c r="A2198" s="42" t="inlineStr">
        <is>
          <t>al haramain amber oud gold edition dupe of</t>
        </is>
      </c>
      <c r="B2198" s="42" t="inlineStr">
        <is>
          <t>Google suggest</t>
        </is>
      </c>
      <c r="C2198" s="42" t="n">
        <v>3</v>
      </c>
      <c r="D2198" s="42" t="inlineStr">
        <is>
          <t>T3-1</t>
        </is>
      </c>
      <c r="E2198" s="42" t="n">
        <v>1</v>
      </c>
      <c r="F2198" s="42" t="inlineStr">
        <is>
          <t>FR-016</t>
        </is>
      </c>
      <c r="G2198" s="55">
        <f>IFERROR(INDEX('Semrush Data'!$A$1:$Z$20000,MATCH(A2198,'Semrush Data'!$A$1:$A$20000,0),MATCH("Volume",'Semrush Data'!$A$1:$Z$1,0)),"")</f>
        <v/>
      </c>
      <c r="H2198" s="42">
        <f>IFERROR(INDEX('Semrush Data'!$A$1:$Z$20000,MATCH(A2198,'Semrush Data'!$A$1:$A$20000,0),MATCH("Keyword Difficulty*",'Semrush Data'!$A$1:$Z$1,0)),"")</f>
        <v/>
      </c>
      <c r="I2198" s="56">
        <f>IFERROR(INDEX('Semrush Data'!$A$1:$Z$20000,MATCH(A2198,'Semrush Data'!$A$1:$A$20000,0),MATCH("CPC*",'Semrush Data'!$A$1:$Z$1,0)),"")</f>
        <v/>
      </c>
      <c r="J2198" s="42">
        <f>IFERROR(INDEX('Semrush Data'!$A$1:$Z$20000,MATCH(A2198,'Semrush Data'!$A$1:$A$20000,0),MATCH("Intent",'Semrush Data'!$A$1:$Z$1,0)),"")</f>
        <v/>
      </c>
    </row>
    <row r="2199" ht="15" customHeight="1" s="37">
      <c r="A2199" s="42" t="inlineStr">
        <is>
          <t>al haramain amber oud gold edition notes</t>
        </is>
      </c>
      <c r="B2199" s="42" t="inlineStr">
        <is>
          <t>Google suggest</t>
        </is>
      </c>
      <c r="C2199" s="42" t="n">
        <v>3</v>
      </c>
      <c r="D2199" s="42" t="n">
        <v>22</v>
      </c>
      <c r="E2199" s="42" t="n">
        <v>1</v>
      </c>
      <c r="F2199" s="42" t="inlineStr">
        <is>
          <t>FR-016</t>
        </is>
      </c>
      <c r="G2199" s="55">
        <f>IFERROR(INDEX('Semrush Data'!$A$1:$Z$20000,MATCH(A2199,'Semrush Data'!$A$1:$A$20000,0),MATCH("Volume",'Semrush Data'!$A$1:$Z$1,0)),"")</f>
        <v/>
      </c>
      <c r="H2199" s="42">
        <f>IFERROR(INDEX('Semrush Data'!$A$1:$Z$20000,MATCH(A2199,'Semrush Data'!$A$1:$A$20000,0),MATCH("Keyword Difficulty*",'Semrush Data'!$A$1:$Z$1,0)),"")</f>
        <v/>
      </c>
      <c r="I2199" s="56">
        <f>IFERROR(INDEX('Semrush Data'!$A$1:$Z$20000,MATCH(A2199,'Semrush Data'!$A$1:$A$20000,0),MATCH("CPC*",'Semrush Data'!$A$1:$Z$1,0)),"")</f>
        <v/>
      </c>
      <c r="J2199" s="42">
        <f>IFERROR(INDEX('Semrush Data'!$A$1:$Z$20000,MATCH(A2199,'Semrush Data'!$A$1:$A$20000,0),MATCH("Intent",'Semrush Data'!$A$1:$Z$1,0)),"")</f>
        <v/>
      </c>
    </row>
    <row r="2200" ht="15" customHeight="1" s="37">
      <c r="A2200" s="42" t="inlineStr">
        <is>
          <t>al haramain amber oud gold edition review</t>
        </is>
      </c>
      <c r="B2200" s="42" t="inlineStr">
        <is>
          <t>Google suggest</t>
        </is>
      </c>
      <c r="C2200" s="42" t="n">
        <v>3</v>
      </c>
      <c r="D2200" s="42" t="inlineStr">
        <is>
          <t>T3-1</t>
        </is>
      </c>
      <c r="E2200" s="42" t="n">
        <v>1</v>
      </c>
      <c r="F2200" s="42" t="inlineStr">
        <is>
          <t>FR-016</t>
        </is>
      </c>
      <c r="G2200" s="55">
        <f>IFERROR(INDEX('Semrush Data'!$A$1:$Z$20000,MATCH(A2200,'Semrush Data'!$A$1:$A$20000,0),MATCH("Volume",'Semrush Data'!$A$1:$Z$1,0)),"")</f>
        <v/>
      </c>
      <c r="H2200" s="42">
        <f>IFERROR(INDEX('Semrush Data'!$A$1:$Z$20000,MATCH(A2200,'Semrush Data'!$A$1:$A$20000,0),MATCH("Keyword Difficulty*",'Semrush Data'!$A$1:$Z$1,0)),"")</f>
        <v/>
      </c>
      <c r="I2200" s="56">
        <f>IFERROR(INDEX('Semrush Data'!$A$1:$Z$20000,MATCH(A2200,'Semrush Data'!$A$1:$A$20000,0),MATCH("CPC*",'Semrush Data'!$A$1:$Z$1,0)),"")</f>
        <v/>
      </c>
      <c r="J2200" s="42">
        <f>IFERROR(INDEX('Semrush Data'!$A$1:$Z$20000,MATCH(A2200,'Semrush Data'!$A$1:$A$20000,0),MATCH("Intent",'Semrush Data'!$A$1:$Z$1,0)),"")</f>
        <v/>
      </c>
    </row>
    <row r="2201" ht="15" customHeight="1" s="37">
      <c r="A2201" s="42" t="inlineStr">
        <is>
          <t>al haramain amber oud ruby edition 100 ml</t>
        </is>
      </c>
      <c r="B2201" s="42" t="inlineStr">
        <is>
          <t>Google suggest</t>
        </is>
      </c>
      <c r="C2201" s="42" t="n">
        <v>3</v>
      </c>
      <c r="D2201" s="42" t="n">
        <v>22</v>
      </c>
      <c r="E2201" s="42" t="n">
        <v>1</v>
      </c>
      <c r="F2201" s="42" t="inlineStr">
        <is>
          <t>FR-017</t>
        </is>
      </c>
      <c r="G2201" s="55">
        <f>IFERROR(INDEX('Semrush Data'!$A$1:$Z$20000,MATCH(A2201,'Semrush Data'!$A$1:$A$20000,0),MATCH("Volume",'Semrush Data'!$A$1:$Z$1,0)),"")</f>
        <v/>
      </c>
      <c r="H2201" s="42">
        <f>IFERROR(INDEX('Semrush Data'!$A$1:$Z$20000,MATCH(A2201,'Semrush Data'!$A$1:$A$20000,0),MATCH("Keyword Difficulty*",'Semrush Data'!$A$1:$Z$1,0)),"")</f>
        <v/>
      </c>
      <c r="I2201" s="56">
        <f>IFERROR(INDEX('Semrush Data'!$A$1:$Z$20000,MATCH(A2201,'Semrush Data'!$A$1:$A$20000,0),MATCH("CPC*",'Semrush Data'!$A$1:$Z$1,0)),"")</f>
        <v/>
      </c>
      <c r="J2201" s="42">
        <f>IFERROR(INDEX('Semrush Data'!$A$1:$Z$20000,MATCH(A2201,'Semrush Data'!$A$1:$A$20000,0),MATCH("Intent",'Semrush Data'!$A$1:$Z$1,0)),"")</f>
        <v/>
      </c>
    </row>
    <row r="2202" ht="15" customHeight="1" s="37">
      <c r="A2202" s="42" t="inlineStr">
        <is>
          <t>al haramain amber oud ruby edition 200ml</t>
        </is>
      </c>
      <c r="B2202" s="42" t="inlineStr">
        <is>
          <t>Google suggest</t>
        </is>
      </c>
      <c r="C2202" s="42" t="n">
        <v>3</v>
      </c>
      <c r="D2202" s="42" t="n">
        <v>23</v>
      </c>
      <c r="E2202" s="42" t="n">
        <v>1</v>
      </c>
      <c r="F2202" s="42" t="inlineStr">
        <is>
          <t>FR-017</t>
        </is>
      </c>
      <c r="G2202" s="55">
        <f>IFERROR(INDEX('Semrush Data'!$A$1:$Z$20000,MATCH(A2202,'Semrush Data'!$A$1:$A$20000,0),MATCH("Volume",'Semrush Data'!$A$1:$Z$1,0)),"")</f>
        <v/>
      </c>
      <c r="H2202" s="42">
        <f>IFERROR(INDEX('Semrush Data'!$A$1:$Z$20000,MATCH(A2202,'Semrush Data'!$A$1:$A$20000,0),MATCH("Keyword Difficulty*",'Semrush Data'!$A$1:$Z$1,0)),"")</f>
        <v/>
      </c>
      <c r="I2202" s="56">
        <f>IFERROR(INDEX('Semrush Data'!$A$1:$Z$20000,MATCH(A2202,'Semrush Data'!$A$1:$A$20000,0),MATCH("CPC*",'Semrush Data'!$A$1:$Z$1,0)),"")</f>
        <v/>
      </c>
      <c r="J2202" s="42">
        <f>IFERROR(INDEX('Semrush Data'!$A$1:$Z$20000,MATCH(A2202,'Semrush Data'!$A$1:$A$20000,0),MATCH("Intent",'Semrush Data'!$A$1:$Z$1,0)),"")</f>
        <v/>
      </c>
    </row>
    <row r="2203" ht="15" customHeight="1" s="37">
      <c r="A2203" s="42" t="inlineStr">
        <is>
          <t>al haramain amber oud ruby edition dupe of</t>
        </is>
      </c>
      <c r="B2203" s="42" t="inlineStr">
        <is>
          <t>Google suggest</t>
        </is>
      </c>
      <c r="C2203" s="42" t="n">
        <v>3</v>
      </c>
      <c r="D2203" s="42" t="n">
        <v>23</v>
      </c>
      <c r="E2203" s="42" t="n">
        <v>1</v>
      </c>
      <c r="F2203" s="42" t="inlineStr">
        <is>
          <t>FR-017</t>
        </is>
      </c>
      <c r="G2203" s="55">
        <f>IFERROR(INDEX('Semrush Data'!$A$1:$Z$20000,MATCH(A2203,'Semrush Data'!$A$1:$A$20000,0),MATCH("Volume",'Semrush Data'!$A$1:$Z$1,0)),"")</f>
        <v/>
      </c>
      <c r="H2203" s="42">
        <f>IFERROR(INDEX('Semrush Data'!$A$1:$Z$20000,MATCH(A2203,'Semrush Data'!$A$1:$A$20000,0),MATCH("Keyword Difficulty*",'Semrush Data'!$A$1:$Z$1,0)),"")</f>
        <v/>
      </c>
      <c r="I2203" s="56">
        <f>IFERROR(INDEX('Semrush Data'!$A$1:$Z$20000,MATCH(A2203,'Semrush Data'!$A$1:$A$20000,0),MATCH("CPC*",'Semrush Data'!$A$1:$Z$1,0)),"")</f>
        <v/>
      </c>
      <c r="J2203" s="42">
        <f>IFERROR(INDEX('Semrush Data'!$A$1:$Z$20000,MATCH(A2203,'Semrush Data'!$A$1:$A$20000,0),MATCH("Intent",'Semrush Data'!$A$1:$Z$1,0)),"")</f>
        <v/>
      </c>
    </row>
    <row r="2204" ht="15" customHeight="1" s="37">
      <c r="A2204" s="42" t="inlineStr">
        <is>
          <t>al haramain amber oud ruby edition edp</t>
        </is>
      </c>
      <c r="B2204" s="42" t="inlineStr">
        <is>
          <t>Google suggest</t>
        </is>
      </c>
      <c r="C2204" s="42" t="n">
        <v>3</v>
      </c>
      <c r="D2204" s="42" t="n">
        <v>23</v>
      </c>
      <c r="E2204" s="42" t="n">
        <v>1</v>
      </c>
      <c r="F2204" s="42" t="inlineStr">
        <is>
          <t>FR-017</t>
        </is>
      </c>
      <c r="G2204" s="55">
        <f>IFERROR(INDEX('Semrush Data'!$A$1:$Z$20000,MATCH(A2204,'Semrush Data'!$A$1:$A$20000,0),MATCH("Volume",'Semrush Data'!$A$1:$Z$1,0)),"")</f>
        <v/>
      </c>
      <c r="H2204" s="42">
        <f>IFERROR(INDEX('Semrush Data'!$A$1:$Z$20000,MATCH(A2204,'Semrush Data'!$A$1:$A$20000,0),MATCH("Keyword Difficulty*",'Semrush Data'!$A$1:$Z$1,0)),"")</f>
        <v/>
      </c>
      <c r="I2204" s="56">
        <f>IFERROR(INDEX('Semrush Data'!$A$1:$Z$20000,MATCH(A2204,'Semrush Data'!$A$1:$A$20000,0),MATCH("CPC*",'Semrush Data'!$A$1:$Z$1,0)),"")</f>
        <v/>
      </c>
      <c r="J2204" s="42">
        <f>IFERROR(INDEX('Semrush Data'!$A$1:$Z$20000,MATCH(A2204,'Semrush Data'!$A$1:$A$20000,0),MATCH("Intent",'Semrush Data'!$A$1:$Z$1,0)),"")</f>
        <v/>
      </c>
    </row>
    <row r="2205" ht="15" customHeight="1" s="37">
      <c r="A2205" s="42" t="inlineStr">
        <is>
          <t>al haramain amber oud ruby edition review</t>
        </is>
      </c>
      <c r="B2205" s="42" t="inlineStr">
        <is>
          <t>Google suggest</t>
        </is>
      </c>
      <c r="C2205" s="42" t="n">
        <v>3</v>
      </c>
      <c r="D2205" s="42" t="n">
        <v>23</v>
      </c>
      <c r="E2205" s="42" t="n">
        <v>1</v>
      </c>
      <c r="F2205" s="42" t="inlineStr">
        <is>
          <t>FR-017</t>
        </is>
      </c>
      <c r="G2205" s="55">
        <f>IFERROR(INDEX('Semrush Data'!$A$1:$Z$20000,MATCH(A2205,'Semrush Data'!$A$1:$A$20000,0),MATCH("Volume",'Semrush Data'!$A$1:$Z$1,0)),"")</f>
        <v/>
      </c>
      <c r="H2205" s="42">
        <f>IFERROR(INDEX('Semrush Data'!$A$1:$Z$20000,MATCH(A2205,'Semrush Data'!$A$1:$A$20000,0),MATCH("Keyword Difficulty*",'Semrush Data'!$A$1:$Z$1,0)),"")</f>
        <v/>
      </c>
      <c r="I2205" s="56">
        <f>IFERROR(INDEX('Semrush Data'!$A$1:$Z$20000,MATCH(A2205,'Semrush Data'!$A$1:$A$20000,0),MATCH("CPC*",'Semrush Data'!$A$1:$Z$1,0)),"")</f>
        <v/>
      </c>
      <c r="J2205" s="42">
        <f>IFERROR(INDEX('Semrush Data'!$A$1:$Z$20000,MATCH(A2205,'Semrush Data'!$A$1:$A$20000,0),MATCH("Intent",'Semrush Data'!$A$1:$Z$1,0)),"")</f>
        <v/>
      </c>
    </row>
    <row r="2206" ht="15" customHeight="1" s="37">
      <c r="A2206" s="42" t="inlineStr">
        <is>
          <t>al haramain amber oud tobacco edition 100ml</t>
        </is>
      </c>
      <c r="B2206" s="42" t="inlineStr">
        <is>
          <t>Google suggest</t>
        </is>
      </c>
      <c r="C2206" s="42" t="n">
        <v>3</v>
      </c>
      <c r="D2206" s="42" t="n">
        <v>23</v>
      </c>
      <c r="E2206" s="42" t="n">
        <v>1</v>
      </c>
      <c r="F2206" s="42" t="inlineStr">
        <is>
          <t>FR-018</t>
        </is>
      </c>
      <c r="G2206" s="55">
        <f>IFERROR(INDEX('Semrush Data'!$A$1:$Z$20000,MATCH(A2206,'Semrush Data'!$A$1:$A$20000,0),MATCH("Volume",'Semrush Data'!$A$1:$Z$1,0)),"")</f>
        <v/>
      </c>
      <c r="H2206" s="42">
        <f>IFERROR(INDEX('Semrush Data'!$A$1:$Z$20000,MATCH(A2206,'Semrush Data'!$A$1:$A$20000,0),MATCH("Keyword Difficulty*",'Semrush Data'!$A$1:$Z$1,0)),"")</f>
        <v/>
      </c>
      <c r="I2206" s="56">
        <f>IFERROR(INDEX('Semrush Data'!$A$1:$Z$20000,MATCH(A2206,'Semrush Data'!$A$1:$A$20000,0),MATCH("CPC*",'Semrush Data'!$A$1:$Z$1,0)),"")</f>
        <v/>
      </c>
      <c r="J2206" s="42">
        <f>IFERROR(INDEX('Semrush Data'!$A$1:$Z$20000,MATCH(A2206,'Semrush Data'!$A$1:$A$20000,0),MATCH("Intent",'Semrush Data'!$A$1:$Z$1,0)),"")</f>
        <v/>
      </c>
    </row>
    <row r="2207" ht="15" customHeight="1" s="37">
      <c r="A2207" s="42" t="inlineStr">
        <is>
          <t>al haramain amber oud tobacco edition 200ml</t>
        </is>
      </c>
      <c r="B2207" s="42" t="inlineStr">
        <is>
          <t>Google suggest</t>
        </is>
      </c>
      <c r="C2207" s="42" t="n">
        <v>3</v>
      </c>
      <c r="D2207" s="42" t="n">
        <v>23</v>
      </c>
      <c r="E2207" s="42" t="n">
        <v>1</v>
      </c>
      <c r="F2207" s="42" t="inlineStr">
        <is>
          <t>FR-018</t>
        </is>
      </c>
      <c r="G2207" s="55">
        <f>IFERROR(INDEX('Semrush Data'!$A$1:$Z$20000,MATCH(A2207,'Semrush Data'!$A$1:$A$20000,0),MATCH("Volume",'Semrush Data'!$A$1:$Z$1,0)),"")</f>
        <v/>
      </c>
      <c r="H2207" s="42">
        <f>IFERROR(INDEX('Semrush Data'!$A$1:$Z$20000,MATCH(A2207,'Semrush Data'!$A$1:$A$20000,0),MATCH("Keyword Difficulty*",'Semrush Data'!$A$1:$Z$1,0)),"")</f>
        <v/>
      </c>
      <c r="I2207" s="56">
        <f>IFERROR(INDEX('Semrush Data'!$A$1:$Z$20000,MATCH(A2207,'Semrush Data'!$A$1:$A$20000,0),MATCH("CPC*",'Semrush Data'!$A$1:$Z$1,0)),"")</f>
        <v/>
      </c>
      <c r="J2207" s="42">
        <f>IFERROR(INDEX('Semrush Data'!$A$1:$Z$20000,MATCH(A2207,'Semrush Data'!$A$1:$A$20000,0),MATCH("Intent",'Semrush Data'!$A$1:$Z$1,0)),"")</f>
        <v/>
      </c>
    </row>
    <row r="2208" ht="15" customHeight="1" s="37">
      <c r="A2208" s="42" t="inlineStr">
        <is>
          <t>al haramain amber oud tobacco edition dupe of</t>
        </is>
      </c>
      <c r="B2208" s="42" t="inlineStr">
        <is>
          <t>Google suggest</t>
        </is>
      </c>
      <c r="C2208" s="42" t="n">
        <v>3</v>
      </c>
      <c r="D2208" s="42" t="inlineStr">
        <is>
          <t>T3-1</t>
        </is>
      </c>
      <c r="E2208" s="42" t="n">
        <v>1</v>
      </c>
      <c r="F2208" s="42" t="inlineStr">
        <is>
          <t>FR-018</t>
        </is>
      </c>
      <c r="G2208" s="55">
        <f>IFERROR(INDEX('Semrush Data'!$A$1:$Z$20000,MATCH(A2208,'Semrush Data'!$A$1:$A$20000,0),MATCH("Volume",'Semrush Data'!$A$1:$Z$1,0)),"")</f>
        <v/>
      </c>
      <c r="H2208" s="42">
        <f>IFERROR(INDEX('Semrush Data'!$A$1:$Z$20000,MATCH(A2208,'Semrush Data'!$A$1:$A$20000,0),MATCH("Keyword Difficulty*",'Semrush Data'!$A$1:$Z$1,0)),"")</f>
        <v/>
      </c>
      <c r="I2208" s="56">
        <f>IFERROR(INDEX('Semrush Data'!$A$1:$Z$20000,MATCH(A2208,'Semrush Data'!$A$1:$A$20000,0),MATCH("CPC*",'Semrush Data'!$A$1:$Z$1,0)),"")</f>
        <v/>
      </c>
      <c r="J2208" s="42">
        <f>IFERROR(INDEX('Semrush Data'!$A$1:$Z$20000,MATCH(A2208,'Semrush Data'!$A$1:$A$20000,0),MATCH("Intent",'Semrush Data'!$A$1:$Z$1,0)),"")</f>
        <v/>
      </c>
    </row>
    <row r="2209" ht="15" customHeight="1" s="37">
      <c r="A2209" s="42" t="inlineStr">
        <is>
          <t>al haramain amber oud tobacco edition notes</t>
        </is>
      </c>
      <c r="B2209" s="42" t="inlineStr">
        <is>
          <t>Google suggest</t>
        </is>
      </c>
      <c r="C2209" s="42" t="n">
        <v>3</v>
      </c>
      <c r="D2209" s="42" t="n">
        <v>23</v>
      </c>
      <c r="E2209" s="42" t="n">
        <v>1</v>
      </c>
      <c r="F2209" s="42" t="inlineStr">
        <is>
          <t>FR-018</t>
        </is>
      </c>
      <c r="G2209" s="55">
        <f>IFERROR(INDEX('Semrush Data'!$A$1:$Z$20000,MATCH(A2209,'Semrush Data'!$A$1:$A$20000,0),MATCH("Volume",'Semrush Data'!$A$1:$Z$1,0)),"")</f>
        <v/>
      </c>
      <c r="H2209" s="42">
        <f>IFERROR(INDEX('Semrush Data'!$A$1:$Z$20000,MATCH(A2209,'Semrush Data'!$A$1:$A$20000,0),MATCH("Keyword Difficulty*",'Semrush Data'!$A$1:$Z$1,0)),"")</f>
        <v/>
      </c>
      <c r="I2209" s="56">
        <f>IFERROR(INDEX('Semrush Data'!$A$1:$Z$20000,MATCH(A2209,'Semrush Data'!$A$1:$A$20000,0),MATCH("CPC*",'Semrush Data'!$A$1:$Z$1,0)),"")</f>
        <v/>
      </c>
      <c r="J2209" s="42">
        <f>IFERROR(INDEX('Semrush Data'!$A$1:$Z$20000,MATCH(A2209,'Semrush Data'!$A$1:$A$20000,0),MATCH("Intent",'Semrush Data'!$A$1:$Z$1,0)),"")</f>
        <v/>
      </c>
    </row>
    <row r="2210" ht="15" customHeight="1" s="37">
      <c r="A2210" s="42" t="inlineStr">
        <is>
          <t>al haramain amber oud tobacco edition review</t>
        </is>
      </c>
      <c r="B2210" s="42" t="inlineStr">
        <is>
          <t>Google suggest</t>
        </is>
      </c>
      <c r="C2210" s="42" t="n">
        <v>3</v>
      </c>
      <c r="D2210" s="42" t="inlineStr">
        <is>
          <t>T3-1</t>
        </is>
      </c>
      <c r="E2210" s="42" t="n">
        <v>1</v>
      </c>
      <c r="F2210" s="42" t="inlineStr">
        <is>
          <t>FR-018</t>
        </is>
      </c>
      <c r="G2210" s="55">
        <f>IFERROR(INDEX('Semrush Data'!$A$1:$Z$20000,MATCH(A2210,'Semrush Data'!$A$1:$A$20000,0),MATCH("Volume",'Semrush Data'!$A$1:$Z$1,0)),"")</f>
        <v/>
      </c>
      <c r="H2210" s="42">
        <f>IFERROR(INDEX('Semrush Data'!$A$1:$Z$20000,MATCH(A2210,'Semrush Data'!$A$1:$A$20000,0),MATCH("Keyword Difficulty*",'Semrush Data'!$A$1:$Z$1,0)),"")</f>
        <v/>
      </c>
      <c r="I2210" s="56">
        <f>IFERROR(INDEX('Semrush Data'!$A$1:$Z$20000,MATCH(A2210,'Semrush Data'!$A$1:$A$20000,0),MATCH("CPC*",'Semrush Data'!$A$1:$Z$1,0)),"")</f>
        <v/>
      </c>
      <c r="J2210" s="42">
        <f>IFERROR(INDEX('Semrush Data'!$A$1:$Z$20000,MATCH(A2210,'Semrush Data'!$A$1:$A$20000,0),MATCH("Intent",'Semrush Data'!$A$1:$Z$1,0)),"")</f>
        <v/>
      </c>
    </row>
    <row r="2211" ht="15" customHeight="1" s="37">
      <c r="A2211" s="42" t="inlineStr">
        <is>
          <t>al haramain amber oud white edition 200ml</t>
        </is>
      </c>
      <c r="B2211" s="42" t="inlineStr">
        <is>
          <t>Google suggest</t>
        </is>
      </c>
      <c r="C2211" s="42" t="n">
        <v>3</v>
      </c>
      <c r="D2211" s="42" t="n">
        <v>23</v>
      </c>
      <c r="E2211" s="42" t="n">
        <v>1</v>
      </c>
      <c r="F2211" s="42" t="inlineStr">
        <is>
          <t>FR-019</t>
        </is>
      </c>
      <c r="G2211" s="55">
        <f>IFERROR(INDEX('Semrush Data'!$A$1:$Z$20000,MATCH(A2211,'Semrush Data'!$A$1:$A$20000,0),MATCH("Volume",'Semrush Data'!$A$1:$Z$1,0)),"")</f>
        <v/>
      </c>
      <c r="H2211" s="42">
        <f>IFERROR(INDEX('Semrush Data'!$A$1:$Z$20000,MATCH(A2211,'Semrush Data'!$A$1:$A$20000,0),MATCH("Keyword Difficulty*",'Semrush Data'!$A$1:$Z$1,0)),"")</f>
        <v/>
      </c>
      <c r="I2211" s="56">
        <f>IFERROR(INDEX('Semrush Data'!$A$1:$Z$20000,MATCH(A2211,'Semrush Data'!$A$1:$A$20000,0),MATCH("CPC*",'Semrush Data'!$A$1:$Z$1,0)),"")</f>
        <v/>
      </c>
      <c r="J2211" s="42">
        <f>IFERROR(INDEX('Semrush Data'!$A$1:$Z$20000,MATCH(A2211,'Semrush Data'!$A$1:$A$20000,0),MATCH("Intent",'Semrush Data'!$A$1:$Z$1,0)),"")</f>
        <v/>
      </c>
    </row>
    <row r="2212" ht="15" customHeight="1" s="37">
      <c r="A2212" s="42" t="inlineStr">
        <is>
          <t>al haramain amber oud white edition dupe of</t>
        </is>
      </c>
      <c r="B2212" s="42" t="inlineStr">
        <is>
          <t>Google suggest</t>
        </is>
      </c>
      <c r="C2212" s="42" t="n">
        <v>3</v>
      </c>
      <c r="D2212" s="42" t="n">
        <v>23</v>
      </c>
      <c r="E2212" s="42" t="n">
        <v>1</v>
      </c>
      <c r="F2212" s="42" t="inlineStr">
        <is>
          <t>FR-019</t>
        </is>
      </c>
      <c r="G2212" s="55">
        <f>IFERROR(INDEX('Semrush Data'!$A$1:$Z$20000,MATCH(A2212,'Semrush Data'!$A$1:$A$20000,0),MATCH("Volume",'Semrush Data'!$A$1:$Z$1,0)),"")</f>
        <v/>
      </c>
      <c r="H2212" s="42">
        <f>IFERROR(INDEX('Semrush Data'!$A$1:$Z$20000,MATCH(A2212,'Semrush Data'!$A$1:$A$20000,0),MATCH("Keyword Difficulty*",'Semrush Data'!$A$1:$Z$1,0)),"")</f>
        <v/>
      </c>
      <c r="I2212" s="56">
        <f>IFERROR(INDEX('Semrush Data'!$A$1:$Z$20000,MATCH(A2212,'Semrush Data'!$A$1:$A$20000,0),MATCH("CPC*",'Semrush Data'!$A$1:$Z$1,0)),"")</f>
        <v/>
      </c>
      <c r="J2212" s="42">
        <f>IFERROR(INDEX('Semrush Data'!$A$1:$Z$20000,MATCH(A2212,'Semrush Data'!$A$1:$A$20000,0),MATCH("Intent",'Semrush Data'!$A$1:$Z$1,0)),"")</f>
        <v/>
      </c>
    </row>
    <row r="2213" ht="15" customHeight="1" s="37">
      <c r="A2213" s="42" t="inlineStr">
        <is>
          <t>al haramain amber oud white edition edp</t>
        </is>
      </c>
      <c r="B2213" s="42" t="inlineStr">
        <is>
          <t>Google suggest</t>
        </is>
      </c>
      <c r="C2213" s="42" t="n">
        <v>3</v>
      </c>
      <c r="D2213" s="42" t="n">
        <v>23</v>
      </c>
      <c r="E2213" s="42" t="n">
        <v>1</v>
      </c>
      <c r="F2213" s="42" t="inlineStr">
        <is>
          <t>FR-019</t>
        </is>
      </c>
      <c r="G2213" s="55">
        <f>IFERROR(INDEX('Semrush Data'!$A$1:$Z$20000,MATCH(A2213,'Semrush Data'!$A$1:$A$20000,0),MATCH("Volume",'Semrush Data'!$A$1:$Z$1,0)),"")</f>
        <v/>
      </c>
      <c r="H2213" s="42">
        <f>IFERROR(INDEX('Semrush Data'!$A$1:$Z$20000,MATCH(A2213,'Semrush Data'!$A$1:$A$20000,0),MATCH("Keyword Difficulty*",'Semrush Data'!$A$1:$Z$1,0)),"")</f>
        <v/>
      </c>
      <c r="I2213" s="56">
        <f>IFERROR(INDEX('Semrush Data'!$A$1:$Z$20000,MATCH(A2213,'Semrush Data'!$A$1:$A$20000,0),MATCH("CPC*",'Semrush Data'!$A$1:$Z$1,0)),"")</f>
        <v/>
      </c>
      <c r="J2213" s="42">
        <f>IFERROR(INDEX('Semrush Data'!$A$1:$Z$20000,MATCH(A2213,'Semrush Data'!$A$1:$A$20000,0),MATCH("Intent",'Semrush Data'!$A$1:$Z$1,0)),"")</f>
        <v/>
      </c>
    </row>
    <row r="2214" ht="15" customHeight="1" s="37">
      <c r="A2214" s="42" t="inlineStr">
        <is>
          <t>al haramain amber oud white edition edp 100ml</t>
        </is>
      </c>
      <c r="B2214" s="42" t="inlineStr">
        <is>
          <t>Google suggest</t>
        </is>
      </c>
      <c r="C2214" s="42" t="n">
        <v>3</v>
      </c>
      <c r="D2214" s="42" t="n">
        <v>23</v>
      </c>
      <c r="E2214" s="42" t="n">
        <v>1</v>
      </c>
      <c r="F2214" s="42" t="inlineStr">
        <is>
          <t>FR-019</t>
        </is>
      </c>
      <c r="G2214" s="55">
        <f>IFERROR(INDEX('Semrush Data'!$A$1:$Z$20000,MATCH(A2214,'Semrush Data'!$A$1:$A$20000,0),MATCH("Volume",'Semrush Data'!$A$1:$Z$1,0)),"")</f>
        <v/>
      </c>
      <c r="H2214" s="42">
        <f>IFERROR(INDEX('Semrush Data'!$A$1:$Z$20000,MATCH(A2214,'Semrush Data'!$A$1:$A$20000,0),MATCH("Keyword Difficulty*",'Semrush Data'!$A$1:$Z$1,0)),"")</f>
        <v/>
      </c>
      <c r="I2214" s="56">
        <f>IFERROR(INDEX('Semrush Data'!$A$1:$Z$20000,MATCH(A2214,'Semrush Data'!$A$1:$A$20000,0),MATCH("CPC*",'Semrush Data'!$A$1:$Z$1,0)),"")</f>
        <v/>
      </c>
      <c r="J2214" s="42">
        <f>IFERROR(INDEX('Semrush Data'!$A$1:$Z$20000,MATCH(A2214,'Semrush Data'!$A$1:$A$20000,0),MATCH("Intent",'Semrush Data'!$A$1:$Z$1,0)),"")</f>
        <v/>
      </c>
    </row>
    <row r="2215" ht="15" customHeight="1" s="37">
      <c r="A2215" s="42" t="inlineStr">
        <is>
          <t>al haramain amber oud white edition review</t>
        </is>
      </c>
      <c r="B2215" s="42" t="inlineStr">
        <is>
          <t>Google suggest</t>
        </is>
      </c>
      <c r="C2215" s="42" t="n">
        <v>3</v>
      </c>
      <c r="D2215" s="42" t="n">
        <v>23</v>
      </c>
      <c r="E2215" s="42" t="n">
        <v>1</v>
      </c>
      <c r="F2215" s="42" t="inlineStr">
        <is>
          <t>FR-019</t>
        </is>
      </c>
      <c r="G2215" s="55">
        <f>IFERROR(INDEX('Semrush Data'!$A$1:$Z$20000,MATCH(A2215,'Semrush Data'!$A$1:$A$20000,0),MATCH("Volume",'Semrush Data'!$A$1:$Z$1,0)),"")</f>
        <v/>
      </c>
      <c r="H2215" s="42">
        <f>IFERROR(INDEX('Semrush Data'!$A$1:$Z$20000,MATCH(A2215,'Semrush Data'!$A$1:$A$20000,0),MATCH("Keyword Difficulty*",'Semrush Data'!$A$1:$Z$1,0)),"")</f>
        <v/>
      </c>
      <c r="I2215" s="56">
        <f>IFERROR(INDEX('Semrush Data'!$A$1:$Z$20000,MATCH(A2215,'Semrush Data'!$A$1:$A$20000,0),MATCH("CPC*",'Semrush Data'!$A$1:$Z$1,0)),"")</f>
        <v/>
      </c>
      <c r="J2215" s="42">
        <f>IFERROR(INDEX('Semrush Data'!$A$1:$Z$20000,MATCH(A2215,'Semrush Data'!$A$1:$A$20000,0),MATCH("Intent",'Semrush Data'!$A$1:$Z$1,0)),"")</f>
        <v/>
      </c>
    </row>
    <row r="2216" ht="15" customHeight="1" s="37">
      <c r="A2216" s="42" t="inlineStr">
        <is>
          <t>al haramain detour noir dupe of</t>
        </is>
      </c>
      <c r="B2216" s="42" t="inlineStr">
        <is>
          <t>Google suggest</t>
        </is>
      </c>
      <c r="C2216" s="42" t="n">
        <v>3</v>
      </c>
      <c r="D2216" s="42" t="n">
        <v>23</v>
      </c>
      <c r="E2216" s="42" t="n">
        <v>1</v>
      </c>
      <c r="F2216" s="42" t="inlineStr">
        <is>
          <t>FR-020</t>
        </is>
      </c>
      <c r="G2216" s="55">
        <f>IFERROR(INDEX('Semrush Data'!$A$1:$Z$20000,MATCH(A2216,'Semrush Data'!$A$1:$A$20000,0),MATCH("Volume",'Semrush Data'!$A$1:$Z$1,0)),"")</f>
        <v/>
      </c>
      <c r="H2216" s="42">
        <f>IFERROR(INDEX('Semrush Data'!$A$1:$Z$20000,MATCH(A2216,'Semrush Data'!$A$1:$A$20000,0),MATCH("Keyword Difficulty*",'Semrush Data'!$A$1:$Z$1,0)),"")</f>
        <v/>
      </c>
      <c r="I2216" s="56">
        <f>IFERROR(INDEX('Semrush Data'!$A$1:$Z$20000,MATCH(A2216,'Semrush Data'!$A$1:$A$20000,0),MATCH("CPC*",'Semrush Data'!$A$1:$Z$1,0)),"")</f>
        <v/>
      </c>
      <c r="J2216" s="42">
        <f>IFERROR(INDEX('Semrush Data'!$A$1:$Z$20000,MATCH(A2216,'Semrush Data'!$A$1:$A$20000,0),MATCH("Intent",'Semrush Data'!$A$1:$Z$1,0)),"")</f>
        <v/>
      </c>
    </row>
    <row r="2217" ht="15" customHeight="1" s="37">
      <c r="A2217" s="42" t="inlineStr">
        <is>
          <t>al haramain l'aventure blanche dupe of</t>
        </is>
      </c>
      <c r="B2217" s="42" t="inlineStr">
        <is>
          <t>Google suggest</t>
        </is>
      </c>
      <c r="C2217" s="42" t="n">
        <v>3</v>
      </c>
      <c r="D2217" s="42" t="n">
        <v>23</v>
      </c>
      <c r="E2217" s="42" t="n">
        <v>1</v>
      </c>
      <c r="F2217" s="42" t="inlineStr">
        <is>
          <t>FR-021</t>
        </is>
      </c>
      <c r="G2217" s="55">
        <f>IFERROR(INDEX('Semrush Data'!$A$1:$Z$20000,MATCH(A2217,'Semrush Data'!$A$1:$A$20000,0),MATCH("Volume",'Semrush Data'!$A$1:$Z$1,0)),"")</f>
        <v/>
      </c>
      <c r="H2217" s="42">
        <f>IFERROR(INDEX('Semrush Data'!$A$1:$Z$20000,MATCH(A2217,'Semrush Data'!$A$1:$A$20000,0),MATCH("Keyword Difficulty*",'Semrush Data'!$A$1:$Z$1,0)),"")</f>
        <v/>
      </c>
      <c r="I2217" s="56">
        <f>IFERROR(INDEX('Semrush Data'!$A$1:$Z$20000,MATCH(A2217,'Semrush Data'!$A$1:$A$20000,0),MATCH("CPC*",'Semrush Data'!$A$1:$Z$1,0)),"")</f>
        <v/>
      </c>
      <c r="J2217" s="42">
        <f>IFERROR(INDEX('Semrush Data'!$A$1:$Z$20000,MATCH(A2217,'Semrush Data'!$A$1:$A$20000,0),MATCH("Intent",'Semrush Data'!$A$1:$Z$1,0)),"")</f>
        <v/>
      </c>
    </row>
    <row r="2218" ht="15" customHeight="1" s="37">
      <c r="A2218" s="42" t="inlineStr">
        <is>
          <t>al haramain l'aventure blanche edp</t>
        </is>
      </c>
      <c r="B2218" s="42" t="inlineStr">
        <is>
          <t>Google suggest</t>
        </is>
      </c>
      <c r="C2218" s="42" t="n">
        <v>3</v>
      </c>
      <c r="D2218" s="42" t="n">
        <v>23</v>
      </c>
      <c r="E2218" s="42" t="n">
        <v>1</v>
      </c>
      <c r="F2218" s="42" t="inlineStr">
        <is>
          <t>FR-021</t>
        </is>
      </c>
      <c r="G2218" s="55">
        <f>IFERROR(INDEX('Semrush Data'!$A$1:$Z$20000,MATCH(A2218,'Semrush Data'!$A$1:$A$20000,0),MATCH("Volume",'Semrush Data'!$A$1:$Z$1,0)),"")</f>
        <v/>
      </c>
      <c r="H2218" s="42">
        <f>IFERROR(INDEX('Semrush Data'!$A$1:$Z$20000,MATCH(A2218,'Semrush Data'!$A$1:$A$20000,0),MATCH("Keyword Difficulty*",'Semrush Data'!$A$1:$Z$1,0)),"")</f>
        <v/>
      </c>
      <c r="I2218" s="56">
        <f>IFERROR(INDEX('Semrush Data'!$A$1:$Z$20000,MATCH(A2218,'Semrush Data'!$A$1:$A$20000,0),MATCH("CPC*",'Semrush Data'!$A$1:$Z$1,0)),"")</f>
        <v/>
      </c>
      <c r="J2218" s="42">
        <f>IFERROR(INDEX('Semrush Data'!$A$1:$Z$20000,MATCH(A2218,'Semrush Data'!$A$1:$A$20000,0),MATCH("Intent",'Semrush Data'!$A$1:$Z$1,0)),"")</f>
        <v/>
      </c>
    </row>
    <row r="2219" ht="15" customHeight="1" s="37">
      <c r="A2219" s="42" t="inlineStr">
        <is>
          <t>al haramain l'aventure blanche review</t>
        </is>
      </c>
      <c r="B2219" s="42" t="inlineStr">
        <is>
          <t>Google suggest</t>
        </is>
      </c>
      <c r="C2219" s="42" t="n">
        <v>3</v>
      </c>
      <c r="D2219" s="42" t="n">
        <v>23</v>
      </c>
      <c r="E2219" s="42" t="n">
        <v>1</v>
      </c>
      <c r="F2219" s="42" t="inlineStr">
        <is>
          <t>FR-021</t>
        </is>
      </c>
      <c r="G2219" s="55">
        <f>IFERROR(INDEX('Semrush Data'!$A$1:$Z$20000,MATCH(A2219,'Semrush Data'!$A$1:$A$20000,0),MATCH("Volume",'Semrush Data'!$A$1:$Z$1,0)),"")</f>
        <v/>
      </c>
      <c r="H2219" s="42">
        <f>IFERROR(INDEX('Semrush Data'!$A$1:$Z$20000,MATCH(A2219,'Semrush Data'!$A$1:$A$20000,0),MATCH("Keyword Difficulty*",'Semrush Data'!$A$1:$Z$1,0)),"")</f>
        <v/>
      </c>
      <c r="I2219" s="56">
        <f>IFERROR(INDEX('Semrush Data'!$A$1:$Z$20000,MATCH(A2219,'Semrush Data'!$A$1:$A$20000,0),MATCH("CPC*",'Semrush Data'!$A$1:$Z$1,0)),"")</f>
        <v/>
      </c>
      <c r="J2219" s="42">
        <f>IFERROR(INDEX('Semrush Data'!$A$1:$Z$20000,MATCH(A2219,'Semrush Data'!$A$1:$A$20000,0),MATCH("Intent",'Semrush Data'!$A$1:$Z$1,0)),"")</f>
        <v/>
      </c>
    </row>
    <row r="2220" ht="15" customHeight="1" s="37">
      <c r="A2220" s="42" t="inlineStr">
        <is>
          <t>al haramain l'aventure dupe of</t>
        </is>
      </c>
      <c r="B2220" s="42" t="inlineStr">
        <is>
          <t>Google suggest</t>
        </is>
      </c>
      <c r="C2220" s="42" t="n">
        <v>3</v>
      </c>
      <c r="D2220" s="42" t="inlineStr">
        <is>
          <t>T3-1</t>
        </is>
      </c>
      <c r="E2220" s="42" t="n">
        <v>1</v>
      </c>
      <c r="F2220" s="42" t="inlineStr">
        <is>
          <t>FR-022</t>
        </is>
      </c>
      <c r="G2220" s="55">
        <f>IFERROR(INDEX('Semrush Data'!$A$1:$Z$20000,MATCH(A2220,'Semrush Data'!$A$1:$A$20000,0),MATCH("Volume",'Semrush Data'!$A$1:$Z$1,0)),"")</f>
        <v/>
      </c>
      <c r="H2220" s="42">
        <f>IFERROR(INDEX('Semrush Data'!$A$1:$Z$20000,MATCH(A2220,'Semrush Data'!$A$1:$A$20000,0),MATCH("Keyword Difficulty*",'Semrush Data'!$A$1:$Z$1,0)),"")</f>
        <v/>
      </c>
      <c r="I2220" s="56">
        <f>IFERROR(INDEX('Semrush Data'!$A$1:$Z$20000,MATCH(A2220,'Semrush Data'!$A$1:$A$20000,0),MATCH("CPC*",'Semrush Data'!$A$1:$Z$1,0)),"")</f>
        <v/>
      </c>
      <c r="J2220" s="42">
        <f>IFERROR(INDEX('Semrush Data'!$A$1:$Z$20000,MATCH(A2220,'Semrush Data'!$A$1:$A$20000,0),MATCH("Intent",'Semrush Data'!$A$1:$Z$1,0)),"")</f>
        <v/>
      </c>
    </row>
    <row r="2221" ht="15" customHeight="1" s="37">
      <c r="A2221" s="42" t="inlineStr">
        <is>
          <t>al haramain l'aventure femme dupe</t>
        </is>
      </c>
      <c r="B2221" s="42" t="inlineStr">
        <is>
          <t>Google suggest</t>
        </is>
      </c>
      <c r="C2221" s="42" t="n">
        <v>3</v>
      </c>
      <c r="D2221" s="42" t="n">
        <v>23</v>
      </c>
      <c r="E2221" s="42" t="n">
        <v>1</v>
      </c>
      <c r="F2221" s="42" t="inlineStr">
        <is>
          <t>FR-023</t>
        </is>
      </c>
      <c r="G2221" s="55">
        <f>IFERROR(INDEX('Semrush Data'!$A$1:$Z$20000,MATCH(A2221,'Semrush Data'!$A$1:$A$20000,0),MATCH("Volume",'Semrush Data'!$A$1:$Z$1,0)),"")</f>
        <v/>
      </c>
      <c r="H2221" s="42">
        <f>IFERROR(INDEX('Semrush Data'!$A$1:$Z$20000,MATCH(A2221,'Semrush Data'!$A$1:$A$20000,0),MATCH("Keyword Difficulty*",'Semrush Data'!$A$1:$Z$1,0)),"")</f>
        <v/>
      </c>
      <c r="I2221" s="56">
        <f>IFERROR(INDEX('Semrush Data'!$A$1:$Z$20000,MATCH(A2221,'Semrush Data'!$A$1:$A$20000,0),MATCH("CPC*",'Semrush Data'!$A$1:$Z$1,0)),"")</f>
        <v/>
      </c>
      <c r="J2221" s="42">
        <f>IFERROR(INDEX('Semrush Data'!$A$1:$Z$20000,MATCH(A2221,'Semrush Data'!$A$1:$A$20000,0),MATCH("Intent",'Semrush Data'!$A$1:$Z$1,0)),"")</f>
        <v/>
      </c>
    </row>
    <row r="2222" ht="15" customHeight="1" s="37">
      <c r="A2222" s="42" t="inlineStr">
        <is>
          <t>al haramain l'aventure femme notes</t>
        </is>
      </c>
      <c r="B2222" s="42" t="inlineStr">
        <is>
          <t>Google suggest</t>
        </is>
      </c>
      <c r="C2222" s="42" t="n">
        <v>3</v>
      </c>
      <c r="D2222" s="42" t="n">
        <v>23</v>
      </c>
      <c r="E2222" s="42" t="n">
        <v>1</v>
      </c>
      <c r="F2222" s="42" t="inlineStr">
        <is>
          <t>FR-023</t>
        </is>
      </c>
      <c r="G2222" s="55">
        <f>IFERROR(INDEX('Semrush Data'!$A$1:$Z$20000,MATCH(A2222,'Semrush Data'!$A$1:$A$20000,0),MATCH("Volume",'Semrush Data'!$A$1:$Z$1,0)),"")</f>
        <v/>
      </c>
      <c r="H2222" s="42">
        <f>IFERROR(INDEX('Semrush Data'!$A$1:$Z$20000,MATCH(A2222,'Semrush Data'!$A$1:$A$20000,0),MATCH("Keyword Difficulty*",'Semrush Data'!$A$1:$Z$1,0)),"")</f>
        <v/>
      </c>
      <c r="I2222" s="56">
        <f>IFERROR(INDEX('Semrush Data'!$A$1:$Z$20000,MATCH(A2222,'Semrush Data'!$A$1:$A$20000,0),MATCH("CPC*",'Semrush Data'!$A$1:$Z$1,0)),"")</f>
        <v/>
      </c>
      <c r="J2222" s="42">
        <f>IFERROR(INDEX('Semrush Data'!$A$1:$Z$20000,MATCH(A2222,'Semrush Data'!$A$1:$A$20000,0),MATCH("Intent",'Semrush Data'!$A$1:$Z$1,0)),"")</f>
        <v/>
      </c>
    </row>
    <row r="2223" ht="15" customHeight="1" s="37">
      <c r="A2223" s="42" t="inlineStr">
        <is>
          <t>al haramain l'aventure gold dupe</t>
        </is>
      </c>
      <c r="B2223" s="42" t="inlineStr">
        <is>
          <t>Google suggest</t>
        </is>
      </c>
      <c r="C2223" s="42" t="n">
        <v>3</v>
      </c>
      <c r="D2223" s="42" t="n">
        <v>23</v>
      </c>
      <c r="E2223" s="42" t="n">
        <v>1</v>
      </c>
      <c r="F2223" s="42" t="inlineStr">
        <is>
          <t>FR-024</t>
        </is>
      </c>
      <c r="G2223" s="55">
        <f>IFERROR(INDEX('Semrush Data'!$A$1:$Z$20000,MATCH(A2223,'Semrush Data'!$A$1:$A$20000,0),MATCH("Volume",'Semrush Data'!$A$1:$Z$1,0)),"")</f>
        <v/>
      </c>
      <c r="H2223" s="42">
        <f>IFERROR(INDEX('Semrush Data'!$A$1:$Z$20000,MATCH(A2223,'Semrush Data'!$A$1:$A$20000,0),MATCH("Keyword Difficulty*",'Semrush Data'!$A$1:$Z$1,0)),"")</f>
        <v/>
      </c>
      <c r="I2223" s="56">
        <f>IFERROR(INDEX('Semrush Data'!$A$1:$Z$20000,MATCH(A2223,'Semrush Data'!$A$1:$A$20000,0),MATCH("CPC*",'Semrush Data'!$A$1:$Z$1,0)),"")</f>
        <v/>
      </c>
      <c r="J2223" s="42">
        <f>IFERROR(INDEX('Semrush Data'!$A$1:$Z$20000,MATCH(A2223,'Semrush Data'!$A$1:$A$20000,0),MATCH("Intent",'Semrush Data'!$A$1:$Z$1,0)),"")</f>
        <v/>
      </c>
    </row>
    <row r="2224" ht="15" customHeight="1" s="37">
      <c r="A2224" s="42" t="inlineStr">
        <is>
          <t>al haramain l'aventure gold perfume</t>
        </is>
      </c>
      <c r="B2224" s="42" t="inlineStr">
        <is>
          <t>Google suggest</t>
        </is>
      </c>
      <c r="C2224" s="42" t="n">
        <v>3</v>
      </c>
      <c r="D2224" s="42" t="n">
        <v>23</v>
      </c>
      <c r="E2224" s="42" t="n">
        <v>1</v>
      </c>
      <c r="F2224" s="42" t="inlineStr">
        <is>
          <t>FR-024</t>
        </is>
      </c>
      <c r="G2224" s="55">
        <f>IFERROR(INDEX('Semrush Data'!$A$1:$Z$20000,MATCH(A2224,'Semrush Data'!$A$1:$A$20000,0),MATCH("Volume",'Semrush Data'!$A$1:$Z$1,0)),"")</f>
        <v/>
      </c>
      <c r="H2224" s="42">
        <f>IFERROR(INDEX('Semrush Data'!$A$1:$Z$20000,MATCH(A2224,'Semrush Data'!$A$1:$A$20000,0),MATCH("Keyword Difficulty*",'Semrush Data'!$A$1:$Z$1,0)),"")</f>
        <v/>
      </c>
      <c r="I2224" s="56">
        <f>IFERROR(INDEX('Semrush Data'!$A$1:$Z$20000,MATCH(A2224,'Semrush Data'!$A$1:$A$20000,0),MATCH("CPC*",'Semrush Data'!$A$1:$Z$1,0)),"")</f>
        <v/>
      </c>
      <c r="J2224" s="42">
        <f>IFERROR(INDEX('Semrush Data'!$A$1:$Z$20000,MATCH(A2224,'Semrush Data'!$A$1:$A$20000,0),MATCH("Intent",'Semrush Data'!$A$1:$Z$1,0)),"")</f>
        <v/>
      </c>
    </row>
    <row r="2225" ht="15" customHeight="1" s="37">
      <c r="A2225" s="42" t="inlineStr">
        <is>
          <t>al haramain l'aventure intense dupe of</t>
        </is>
      </c>
      <c r="B2225" s="42" t="inlineStr">
        <is>
          <t>Google suggest</t>
        </is>
      </c>
      <c r="C2225" s="42" t="n">
        <v>3</v>
      </c>
      <c r="D2225" s="42" t="n">
        <v>23</v>
      </c>
      <c r="E2225" s="42" t="n">
        <v>1</v>
      </c>
      <c r="F2225" s="42" t="inlineStr">
        <is>
          <t>FR-025</t>
        </is>
      </c>
      <c r="G2225" s="55">
        <f>IFERROR(INDEX('Semrush Data'!$A$1:$Z$20000,MATCH(A2225,'Semrush Data'!$A$1:$A$20000,0),MATCH("Volume",'Semrush Data'!$A$1:$Z$1,0)),"")</f>
        <v/>
      </c>
      <c r="H2225" s="42">
        <f>IFERROR(INDEX('Semrush Data'!$A$1:$Z$20000,MATCH(A2225,'Semrush Data'!$A$1:$A$20000,0),MATCH("Keyword Difficulty*",'Semrush Data'!$A$1:$Z$1,0)),"")</f>
        <v/>
      </c>
      <c r="I2225" s="56">
        <f>IFERROR(INDEX('Semrush Data'!$A$1:$Z$20000,MATCH(A2225,'Semrush Data'!$A$1:$A$20000,0),MATCH("CPC*",'Semrush Data'!$A$1:$Z$1,0)),"")</f>
        <v/>
      </c>
      <c r="J2225" s="42">
        <f>IFERROR(INDEX('Semrush Data'!$A$1:$Z$20000,MATCH(A2225,'Semrush Data'!$A$1:$A$20000,0),MATCH("Intent",'Semrush Data'!$A$1:$Z$1,0)),"")</f>
        <v/>
      </c>
    </row>
    <row r="2226" ht="15" customHeight="1" s="37">
      <c r="A2226" s="42" t="inlineStr">
        <is>
          <t>al haramain l'aventure intense eau de parfum 100ml</t>
        </is>
      </c>
      <c r="B2226" s="42" t="inlineStr">
        <is>
          <t>Google suggest</t>
        </is>
      </c>
      <c r="C2226" s="42" t="n">
        <v>3</v>
      </c>
      <c r="D2226" s="42" t="n">
        <v>23</v>
      </c>
      <c r="E2226" s="42" t="n">
        <v>1</v>
      </c>
      <c r="F2226" s="42" t="inlineStr">
        <is>
          <t>FR-025</t>
        </is>
      </c>
      <c r="G2226" s="55">
        <f>IFERROR(INDEX('Semrush Data'!$A$1:$Z$20000,MATCH(A2226,'Semrush Data'!$A$1:$A$20000,0),MATCH("Volume",'Semrush Data'!$A$1:$Z$1,0)),"")</f>
        <v/>
      </c>
      <c r="H2226" s="42">
        <f>IFERROR(INDEX('Semrush Data'!$A$1:$Z$20000,MATCH(A2226,'Semrush Data'!$A$1:$A$20000,0),MATCH("Keyword Difficulty*",'Semrush Data'!$A$1:$Z$1,0)),"")</f>
        <v/>
      </c>
      <c r="I2226" s="56">
        <f>IFERROR(INDEX('Semrush Data'!$A$1:$Z$20000,MATCH(A2226,'Semrush Data'!$A$1:$A$20000,0),MATCH("CPC*",'Semrush Data'!$A$1:$Z$1,0)),"")</f>
        <v/>
      </c>
      <c r="J2226" s="42">
        <f>IFERROR(INDEX('Semrush Data'!$A$1:$Z$20000,MATCH(A2226,'Semrush Data'!$A$1:$A$20000,0),MATCH("Intent",'Semrush Data'!$A$1:$Z$1,0)),"")</f>
        <v/>
      </c>
    </row>
    <row r="2227" ht="15" customHeight="1" s="37">
      <c r="A2227" s="42" t="inlineStr">
        <is>
          <t>al haramain l'aventure intense edp</t>
        </is>
      </c>
      <c r="B2227" s="42" t="inlineStr">
        <is>
          <t>Google suggest</t>
        </is>
      </c>
      <c r="C2227" s="42" t="n">
        <v>3</v>
      </c>
      <c r="D2227" s="42" t="n">
        <v>23</v>
      </c>
      <c r="E2227" s="42" t="n">
        <v>1</v>
      </c>
      <c r="F2227" s="42" t="inlineStr">
        <is>
          <t>FR-025</t>
        </is>
      </c>
      <c r="G2227" s="55">
        <f>IFERROR(INDEX('Semrush Data'!$A$1:$Z$20000,MATCH(A2227,'Semrush Data'!$A$1:$A$20000,0),MATCH("Volume",'Semrush Data'!$A$1:$Z$1,0)),"")</f>
        <v/>
      </c>
      <c r="H2227" s="42">
        <f>IFERROR(INDEX('Semrush Data'!$A$1:$Z$20000,MATCH(A2227,'Semrush Data'!$A$1:$A$20000,0),MATCH("Keyword Difficulty*",'Semrush Data'!$A$1:$Z$1,0)),"")</f>
        <v/>
      </c>
      <c r="I2227" s="56">
        <f>IFERROR(INDEX('Semrush Data'!$A$1:$Z$20000,MATCH(A2227,'Semrush Data'!$A$1:$A$20000,0),MATCH("CPC*",'Semrush Data'!$A$1:$Z$1,0)),"")</f>
        <v/>
      </c>
      <c r="J2227" s="42">
        <f>IFERROR(INDEX('Semrush Data'!$A$1:$Z$20000,MATCH(A2227,'Semrush Data'!$A$1:$A$20000,0),MATCH("Intent",'Semrush Data'!$A$1:$Z$1,0)),"")</f>
        <v/>
      </c>
    </row>
    <row r="2228" ht="15" customHeight="1" s="37">
      <c r="A2228" s="42" t="inlineStr">
        <is>
          <t>al haramain l'aventure intense review</t>
        </is>
      </c>
      <c r="B2228" s="42" t="inlineStr">
        <is>
          <t>Google suggest</t>
        </is>
      </c>
      <c r="C2228" s="42" t="n">
        <v>3</v>
      </c>
      <c r="D2228" s="42" t="n">
        <v>23</v>
      </c>
      <c r="E2228" s="42" t="n">
        <v>1</v>
      </c>
      <c r="F2228" s="42" t="inlineStr">
        <is>
          <t>FR-025</t>
        </is>
      </c>
      <c r="G2228" s="55">
        <f>IFERROR(INDEX('Semrush Data'!$A$1:$Z$20000,MATCH(A2228,'Semrush Data'!$A$1:$A$20000,0),MATCH("Volume",'Semrush Data'!$A$1:$Z$1,0)),"")</f>
        <v/>
      </c>
      <c r="H2228" s="42">
        <f>IFERROR(INDEX('Semrush Data'!$A$1:$Z$20000,MATCH(A2228,'Semrush Data'!$A$1:$A$20000,0),MATCH("Keyword Difficulty*",'Semrush Data'!$A$1:$Z$1,0)),"")</f>
        <v/>
      </c>
      <c r="I2228" s="56">
        <f>IFERROR(INDEX('Semrush Data'!$A$1:$Z$20000,MATCH(A2228,'Semrush Data'!$A$1:$A$20000,0),MATCH("CPC*",'Semrush Data'!$A$1:$Z$1,0)),"")</f>
        <v/>
      </c>
      <c r="J2228" s="42">
        <f>IFERROR(INDEX('Semrush Data'!$A$1:$Z$20000,MATCH(A2228,'Semrush Data'!$A$1:$A$20000,0),MATCH("Intent",'Semrush Data'!$A$1:$Z$1,0)),"")</f>
        <v/>
      </c>
    </row>
    <row r="2229" ht="15" customHeight="1" s="37">
      <c r="A2229" s="42" t="inlineStr">
        <is>
          <t>anatome balance perfume</t>
        </is>
      </c>
      <c r="B2229" s="42" t="inlineStr">
        <is>
          <t>Google suggest</t>
        </is>
      </c>
      <c r="C2229" s="42" t="n">
        <v>3</v>
      </c>
      <c r="D2229" s="42" t="n">
        <v>23</v>
      </c>
      <c r="E2229" s="42" t="n">
        <v>3</v>
      </c>
      <c r="F2229" s="42" t="inlineStr">
        <is>
          <t>FR-027, FR-028, FR-029</t>
        </is>
      </c>
      <c r="G2229" s="55">
        <f>IFERROR(INDEX('Semrush Data'!$A$1:$Z$20000,MATCH(A2229,'Semrush Data'!$A$1:$A$20000,0),MATCH("Volume",'Semrush Data'!$A$1:$Z$1,0)),"")</f>
        <v/>
      </c>
      <c r="H2229" s="42">
        <f>IFERROR(INDEX('Semrush Data'!$A$1:$Z$20000,MATCH(A2229,'Semrush Data'!$A$1:$A$20000,0),MATCH("Keyword Difficulty*",'Semrush Data'!$A$1:$Z$1,0)),"")</f>
        <v/>
      </c>
      <c r="I2229" s="56">
        <f>IFERROR(INDEX('Semrush Data'!$A$1:$Z$20000,MATCH(A2229,'Semrush Data'!$A$1:$A$20000,0),MATCH("CPC*",'Semrush Data'!$A$1:$Z$1,0)),"")</f>
        <v/>
      </c>
      <c r="J2229" s="42">
        <f>IFERROR(INDEX('Semrush Data'!$A$1:$Z$20000,MATCH(A2229,'Semrush Data'!$A$1:$A$20000,0),MATCH("Intent",'Semrush Data'!$A$1:$Z$1,0)),"")</f>
        <v/>
      </c>
    </row>
    <row r="2230" ht="15" customHeight="1" s="37">
      <c r="A2230" s="42" t="inlineStr">
        <is>
          <t>anatome energy perfume</t>
        </is>
      </c>
      <c r="B2230" s="42" t="inlineStr">
        <is>
          <t>Google suggest</t>
        </is>
      </c>
      <c r="C2230" s="42" t="n">
        <v>3</v>
      </c>
      <c r="D2230" s="42" t="n">
        <v>23</v>
      </c>
      <c r="E2230" s="42" t="n">
        <v>3</v>
      </c>
      <c r="F2230" s="42" t="inlineStr">
        <is>
          <t>FR-030, FR-031, FR-032</t>
        </is>
      </c>
      <c r="G2230" s="55">
        <f>IFERROR(INDEX('Semrush Data'!$A$1:$Z$20000,MATCH(A2230,'Semrush Data'!$A$1:$A$20000,0),MATCH("Volume",'Semrush Data'!$A$1:$Z$1,0)),"")</f>
        <v/>
      </c>
      <c r="H2230" s="42">
        <f>IFERROR(INDEX('Semrush Data'!$A$1:$Z$20000,MATCH(A2230,'Semrush Data'!$A$1:$A$20000,0),MATCH("Keyword Difficulty*",'Semrush Data'!$A$1:$Z$1,0)),"")</f>
        <v/>
      </c>
      <c r="I2230" s="56">
        <f>IFERROR(INDEX('Semrush Data'!$A$1:$Z$20000,MATCH(A2230,'Semrush Data'!$A$1:$A$20000,0),MATCH("CPC*",'Semrush Data'!$A$1:$Z$1,0)),"")</f>
        <v/>
      </c>
      <c r="J2230" s="42">
        <f>IFERROR(INDEX('Semrush Data'!$A$1:$Z$20000,MATCH(A2230,'Semrush Data'!$A$1:$A$20000,0),MATCH("Intent",'Semrush Data'!$A$1:$Z$1,0)),"")</f>
        <v/>
      </c>
    </row>
    <row r="2231" ht="15" customHeight="1" s="37">
      <c r="A2231" s="42" t="inlineStr">
        <is>
          <t>anatome focus parfum</t>
        </is>
      </c>
      <c r="B2231" s="42" t="inlineStr">
        <is>
          <t>Google suggest</t>
        </is>
      </c>
      <c r="C2231" s="42" t="n">
        <v>3</v>
      </c>
      <c r="D2231" s="42" t="n">
        <v>23</v>
      </c>
      <c r="E2231" s="42" t="n">
        <v>3</v>
      </c>
      <c r="F2231" s="42" t="inlineStr">
        <is>
          <t>FR-036, FR-037, FR-038</t>
        </is>
      </c>
      <c r="G2231" s="55">
        <f>IFERROR(INDEX('Semrush Data'!$A$1:$Z$20000,MATCH(A2231,'Semrush Data'!$A$1:$A$20000,0),MATCH("Volume",'Semrush Data'!$A$1:$Z$1,0)),"")</f>
        <v/>
      </c>
      <c r="H2231" s="42">
        <f>IFERROR(INDEX('Semrush Data'!$A$1:$Z$20000,MATCH(A2231,'Semrush Data'!$A$1:$A$20000,0),MATCH("Keyword Difficulty*",'Semrush Data'!$A$1:$Z$1,0)),"")</f>
        <v/>
      </c>
      <c r="I2231" s="56">
        <f>IFERROR(INDEX('Semrush Data'!$A$1:$Z$20000,MATCH(A2231,'Semrush Data'!$A$1:$A$20000,0),MATCH("CPC*",'Semrush Data'!$A$1:$Z$1,0)),"")</f>
        <v/>
      </c>
      <c r="J2231" s="42">
        <f>IFERROR(INDEX('Semrush Data'!$A$1:$Z$20000,MATCH(A2231,'Semrush Data'!$A$1:$A$20000,0),MATCH("Intent",'Semrush Data'!$A$1:$Z$1,0)),"")</f>
        <v/>
      </c>
    </row>
    <row r="2232" ht="15" customHeight="1" s="37">
      <c r="A2232" s="42" t="inlineStr">
        <is>
          <t>anna sui sky 75ml</t>
        </is>
      </c>
      <c r="B2232" s="42" t="inlineStr">
        <is>
          <t>Google suggest</t>
        </is>
      </c>
      <c r="C2232" s="42" t="n">
        <v>3</v>
      </c>
      <c r="D2232" s="42" t="n">
        <v>23</v>
      </c>
      <c r="E2232" s="42" t="n">
        <v>1</v>
      </c>
      <c r="F2232" s="42" t="inlineStr">
        <is>
          <t>FR-043</t>
        </is>
      </c>
      <c r="G2232" s="55">
        <f>IFERROR(INDEX('Semrush Data'!$A$1:$Z$20000,MATCH(A2232,'Semrush Data'!$A$1:$A$20000,0),MATCH("Volume",'Semrush Data'!$A$1:$Z$1,0)),"")</f>
        <v/>
      </c>
      <c r="H2232" s="42">
        <f>IFERROR(INDEX('Semrush Data'!$A$1:$Z$20000,MATCH(A2232,'Semrush Data'!$A$1:$A$20000,0),MATCH("Keyword Difficulty*",'Semrush Data'!$A$1:$Z$1,0)),"")</f>
        <v/>
      </c>
      <c r="I2232" s="56">
        <f>IFERROR(INDEX('Semrush Data'!$A$1:$Z$20000,MATCH(A2232,'Semrush Data'!$A$1:$A$20000,0),MATCH("CPC*",'Semrush Data'!$A$1:$Z$1,0)),"")</f>
        <v/>
      </c>
      <c r="J2232" s="42">
        <f>IFERROR(INDEX('Semrush Data'!$A$1:$Z$20000,MATCH(A2232,'Semrush Data'!$A$1:$A$20000,0),MATCH("Intent",'Semrush Data'!$A$1:$Z$1,0)),"")</f>
        <v/>
      </c>
    </row>
    <row r="2233" ht="15" customHeight="1" s="37">
      <c r="A2233" s="42" t="inlineStr">
        <is>
          <t>anna sui sky notes</t>
        </is>
      </c>
      <c r="B2233" s="42" t="inlineStr">
        <is>
          <t>Google suggest</t>
        </is>
      </c>
      <c r="C2233" s="42" t="n">
        <v>3</v>
      </c>
      <c r="D2233" s="42" t="n">
        <v>23</v>
      </c>
      <c r="E2233" s="42" t="n">
        <v>1</v>
      </c>
      <c r="F2233" s="42" t="inlineStr">
        <is>
          <t>FR-043</t>
        </is>
      </c>
      <c r="G2233" s="55">
        <f>IFERROR(INDEX('Semrush Data'!$A$1:$Z$20000,MATCH(A2233,'Semrush Data'!$A$1:$A$20000,0),MATCH("Volume",'Semrush Data'!$A$1:$Z$1,0)),"")</f>
        <v/>
      </c>
      <c r="H2233" s="42">
        <f>IFERROR(INDEX('Semrush Data'!$A$1:$Z$20000,MATCH(A2233,'Semrush Data'!$A$1:$A$20000,0),MATCH("Keyword Difficulty*",'Semrush Data'!$A$1:$Z$1,0)),"")</f>
        <v/>
      </c>
      <c r="I2233" s="56">
        <f>IFERROR(INDEX('Semrush Data'!$A$1:$Z$20000,MATCH(A2233,'Semrush Data'!$A$1:$A$20000,0),MATCH("CPC*",'Semrush Data'!$A$1:$Z$1,0)),"")</f>
        <v/>
      </c>
      <c r="J2233" s="42">
        <f>IFERROR(INDEX('Semrush Data'!$A$1:$Z$20000,MATCH(A2233,'Semrush Data'!$A$1:$A$20000,0),MATCH("Intent",'Semrush Data'!$A$1:$Z$1,0)),"")</f>
        <v/>
      </c>
    </row>
    <row r="2234" ht="15" customHeight="1" s="37">
      <c r="A2234" s="42" t="inlineStr">
        <is>
          <t>anna sui sky perfume</t>
        </is>
      </c>
      <c r="B2234" s="42" t="inlineStr">
        <is>
          <t>Google suggest</t>
        </is>
      </c>
      <c r="C2234" s="42" t="n">
        <v>3</v>
      </c>
      <c r="D2234" s="42" t="n">
        <v>23</v>
      </c>
      <c r="E2234" s="42" t="n">
        <v>1</v>
      </c>
      <c r="F2234" s="42" t="inlineStr">
        <is>
          <t>FR-043</t>
        </is>
      </c>
      <c r="G2234" s="55">
        <f>IFERROR(INDEX('Semrush Data'!$A$1:$Z$20000,MATCH(A2234,'Semrush Data'!$A$1:$A$20000,0),MATCH("Volume",'Semrush Data'!$A$1:$Z$1,0)),"")</f>
        <v/>
      </c>
      <c r="H2234" s="42">
        <f>IFERROR(INDEX('Semrush Data'!$A$1:$Z$20000,MATCH(A2234,'Semrush Data'!$A$1:$A$20000,0),MATCH("Keyword Difficulty*",'Semrush Data'!$A$1:$Z$1,0)),"")</f>
        <v/>
      </c>
      <c r="I2234" s="56">
        <f>IFERROR(INDEX('Semrush Data'!$A$1:$Z$20000,MATCH(A2234,'Semrush Data'!$A$1:$A$20000,0),MATCH("CPC*",'Semrush Data'!$A$1:$Z$1,0)),"")</f>
        <v/>
      </c>
      <c r="J2234" s="42">
        <f>IFERROR(INDEX('Semrush Data'!$A$1:$Z$20000,MATCH(A2234,'Semrush Data'!$A$1:$A$20000,0),MATCH("Intent",'Semrush Data'!$A$1:$Z$1,0)),"")</f>
        <v/>
      </c>
    </row>
    <row r="2235" ht="15" customHeight="1" s="37">
      <c r="A2235" s="42" t="inlineStr">
        <is>
          <t>anna sui sky perfume price</t>
        </is>
      </c>
      <c r="B2235" s="42" t="inlineStr">
        <is>
          <t>Google suggest</t>
        </is>
      </c>
      <c r="C2235" s="42" t="n">
        <v>3</v>
      </c>
      <c r="D2235" s="42" t="n">
        <v>23</v>
      </c>
      <c r="E2235" s="42" t="n">
        <v>1</v>
      </c>
      <c r="F2235" s="42" t="inlineStr">
        <is>
          <t>FR-043</t>
        </is>
      </c>
      <c r="G2235" s="55">
        <f>IFERROR(INDEX('Semrush Data'!$A$1:$Z$20000,MATCH(A2235,'Semrush Data'!$A$1:$A$20000,0),MATCH("Volume",'Semrush Data'!$A$1:$Z$1,0)),"")</f>
        <v/>
      </c>
      <c r="H2235" s="42">
        <f>IFERROR(INDEX('Semrush Data'!$A$1:$Z$20000,MATCH(A2235,'Semrush Data'!$A$1:$A$20000,0),MATCH("Keyword Difficulty*",'Semrush Data'!$A$1:$Z$1,0)),"")</f>
        <v/>
      </c>
      <c r="I2235" s="56">
        <f>IFERROR(INDEX('Semrush Data'!$A$1:$Z$20000,MATCH(A2235,'Semrush Data'!$A$1:$A$20000,0),MATCH("CPC*",'Semrush Data'!$A$1:$Z$1,0)),"")</f>
        <v/>
      </c>
      <c r="J2235" s="42">
        <f>IFERROR(INDEX('Semrush Data'!$A$1:$Z$20000,MATCH(A2235,'Semrush Data'!$A$1:$A$20000,0),MATCH("Intent",'Semrush Data'!$A$1:$Z$1,0)),"")</f>
        <v/>
      </c>
    </row>
    <row r="2236" ht="15" customHeight="1" s="37">
      <c r="A2236" s="42" t="inlineStr">
        <is>
          <t>anna sui sky perfume review</t>
        </is>
      </c>
      <c r="B2236" s="42" t="inlineStr">
        <is>
          <t>Google suggest</t>
        </is>
      </c>
      <c r="C2236" s="42" t="n">
        <v>3</v>
      </c>
      <c r="D2236" s="42" t="inlineStr">
        <is>
          <t>T3-2</t>
        </is>
      </c>
      <c r="E2236" s="42" t="n">
        <v>1</v>
      </c>
      <c r="F2236" s="42" t="inlineStr">
        <is>
          <t>FR-043</t>
        </is>
      </c>
      <c r="G2236" s="55">
        <f>IFERROR(INDEX('Semrush Data'!$A$1:$Z$20000,MATCH(A2236,'Semrush Data'!$A$1:$A$20000,0),MATCH("Volume",'Semrush Data'!$A$1:$Z$1,0)),"")</f>
        <v/>
      </c>
      <c r="H2236" s="42">
        <f>IFERROR(INDEX('Semrush Data'!$A$1:$Z$20000,MATCH(A2236,'Semrush Data'!$A$1:$A$20000,0),MATCH("Keyword Difficulty*",'Semrush Data'!$A$1:$Z$1,0)),"")</f>
        <v/>
      </c>
      <c r="I2236" s="56">
        <f>IFERROR(INDEX('Semrush Data'!$A$1:$Z$20000,MATCH(A2236,'Semrush Data'!$A$1:$A$20000,0),MATCH("CPC*",'Semrush Data'!$A$1:$Z$1,0)),"")</f>
        <v/>
      </c>
      <c r="J2236" s="42">
        <f>IFERROR(INDEX('Semrush Data'!$A$1:$Z$20000,MATCH(A2236,'Semrush Data'!$A$1:$A$20000,0),MATCH("Intent",'Semrush Data'!$A$1:$Z$1,0)),"")</f>
        <v/>
      </c>
    </row>
    <row r="2237" ht="15" customHeight="1" s="37">
      <c r="A2237" s="42" t="inlineStr">
        <is>
          <t>anna sui sky review</t>
        </is>
      </c>
      <c r="B2237" s="42" t="inlineStr">
        <is>
          <t>Google suggest</t>
        </is>
      </c>
      <c r="C2237" s="42" t="n">
        <v>3</v>
      </c>
      <c r="D2237" s="42" t="inlineStr">
        <is>
          <t>T3-2</t>
        </is>
      </c>
      <c r="E2237" s="42" t="n">
        <v>1</v>
      </c>
      <c r="F2237" s="42" t="inlineStr">
        <is>
          <t>FR-043</t>
        </is>
      </c>
      <c r="G2237" s="55">
        <f>IFERROR(INDEX('Semrush Data'!$A$1:$Z$20000,MATCH(A2237,'Semrush Data'!$A$1:$A$20000,0),MATCH("Volume",'Semrush Data'!$A$1:$Z$1,0)),"")</f>
        <v/>
      </c>
      <c r="H2237" s="42">
        <f>IFERROR(INDEX('Semrush Data'!$A$1:$Z$20000,MATCH(A2237,'Semrush Data'!$A$1:$A$20000,0),MATCH("Keyword Difficulty*",'Semrush Data'!$A$1:$Z$1,0)),"")</f>
        <v/>
      </c>
      <c r="I2237" s="56">
        <f>IFERROR(INDEX('Semrush Data'!$A$1:$Z$20000,MATCH(A2237,'Semrush Data'!$A$1:$A$20000,0),MATCH("CPC*",'Semrush Data'!$A$1:$Z$1,0)),"")</f>
        <v/>
      </c>
      <c r="J2237" s="42">
        <f>IFERROR(INDEX('Semrush Data'!$A$1:$Z$20000,MATCH(A2237,'Semrush Data'!$A$1:$A$20000,0),MATCH("Intent",'Semrush Data'!$A$1:$Z$1,0)),"")</f>
        <v/>
      </c>
    </row>
    <row r="2238" ht="15" customHeight="1" s="37">
      <c r="A2238" s="42" t="inlineStr">
        <is>
          <t>anniversary casanova</t>
        </is>
      </c>
      <c r="B2238" s="42" t="inlineStr">
        <is>
          <t>Google suggest</t>
        </is>
      </c>
      <c r="C2238" s="42" t="n">
        <v>3</v>
      </c>
      <c r="D2238" s="42" t="n">
        <v>23</v>
      </c>
      <c r="E2238" s="42" t="n">
        <v>1</v>
      </c>
      <c r="F2238" s="42" t="inlineStr">
        <is>
          <t>FR-341</t>
        </is>
      </c>
      <c r="G2238" s="55">
        <f>IFERROR(INDEX('Semrush Data'!$A$1:$Z$20000,MATCH(A2238,'Semrush Data'!$A$1:$A$20000,0),MATCH("Volume",'Semrush Data'!$A$1:$Z$1,0)),"")</f>
        <v/>
      </c>
      <c r="H2238" s="42">
        <f>IFERROR(INDEX('Semrush Data'!$A$1:$Z$20000,MATCH(A2238,'Semrush Data'!$A$1:$A$20000,0),MATCH("Keyword Difficulty*",'Semrush Data'!$A$1:$Z$1,0)),"")</f>
        <v/>
      </c>
      <c r="I2238" s="56">
        <f>IFERROR(INDEX('Semrush Data'!$A$1:$Z$20000,MATCH(A2238,'Semrush Data'!$A$1:$A$20000,0),MATCH("CPC*",'Semrush Data'!$A$1:$Z$1,0)),"")</f>
        <v/>
      </c>
      <c r="J2238" s="42">
        <f>IFERROR(INDEX('Semrush Data'!$A$1:$Z$20000,MATCH(A2238,'Semrush Data'!$A$1:$A$20000,0),MATCH("Intent",'Semrush Data'!$A$1:$Z$1,0)),"")</f>
        <v/>
      </c>
    </row>
    <row r="2239" ht="15" customHeight="1" s="37">
      <c r="A2239" s="42" t="inlineStr">
        <is>
          <t>antonio banderas diavolo for men</t>
        </is>
      </c>
      <c r="B2239" s="42" t="inlineStr">
        <is>
          <t>Google suggest</t>
        </is>
      </c>
      <c r="C2239" s="42" t="n">
        <v>3</v>
      </c>
      <c r="D2239" s="42" t="n">
        <v>23</v>
      </c>
      <c r="E2239" s="42" t="n">
        <v>1</v>
      </c>
      <c r="F2239" s="42" t="inlineStr">
        <is>
          <t>FR-046</t>
        </is>
      </c>
      <c r="G2239" s="55">
        <f>IFERROR(INDEX('Semrush Data'!$A$1:$Z$20000,MATCH(A2239,'Semrush Data'!$A$1:$A$20000,0),MATCH("Volume",'Semrush Data'!$A$1:$Z$1,0)),"")</f>
        <v/>
      </c>
      <c r="H2239" s="42">
        <f>IFERROR(INDEX('Semrush Data'!$A$1:$Z$20000,MATCH(A2239,'Semrush Data'!$A$1:$A$20000,0),MATCH("Keyword Difficulty*",'Semrush Data'!$A$1:$Z$1,0)),"")</f>
        <v/>
      </c>
      <c r="I2239" s="56">
        <f>IFERROR(INDEX('Semrush Data'!$A$1:$Z$20000,MATCH(A2239,'Semrush Data'!$A$1:$A$20000,0),MATCH("CPC*",'Semrush Data'!$A$1:$Z$1,0)),"")</f>
        <v/>
      </c>
      <c r="J2239" s="42">
        <f>IFERROR(INDEX('Semrush Data'!$A$1:$Z$20000,MATCH(A2239,'Semrush Data'!$A$1:$A$20000,0),MATCH("Intent",'Semrush Data'!$A$1:$Z$1,0)),"")</f>
        <v/>
      </c>
    </row>
    <row r="2240" ht="15" customHeight="1" s="37">
      <c r="A2240" s="42" t="inlineStr">
        <is>
          <t>antonio banderas diavolo for women</t>
        </is>
      </c>
      <c r="B2240" s="42" t="inlineStr">
        <is>
          <t>Google suggest</t>
        </is>
      </c>
      <c r="C2240" s="42" t="n">
        <v>3</v>
      </c>
      <c r="D2240" s="42" t="n">
        <v>23</v>
      </c>
      <c r="E2240" s="42" t="n">
        <v>1</v>
      </c>
      <c r="F2240" s="42" t="inlineStr">
        <is>
          <t>FR-046</t>
        </is>
      </c>
      <c r="G2240" s="55">
        <f>IFERROR(INDEX('Semrush Data'!$A$1:$Z$20000,MATCH(A2240,'Semrush Data'!$A$1:$A$20000,0),MATCH("Volume",'Semrush Data'!$A$1:$Z$1,0)),"")</f>
        <v/>
      </c>
      <c r="H2240" s="42">
        <f>IFERROR(INDEX('Semrush Data'!$A$1:$Z$20000,MATCH(A2240,'Semrush Data'!$A$1:$A$20000,0),MATCH("Keyword Difficulty*",'Semrush Data'!$A$1:$Z$1,0)),"")</f>
        <v/>
      </c>
      <c r="I2240" s="56">
        <f>IFERROR(INDEX('Semrush Data'!$A$1:$Z$20000,MATCH(A2240,'Semrush Data'!$A$1:$A$20000,0),MATCH("CPC*",'Semrush Data'!$A$1:$Z$1,0)),"")</f>
        <v/>
      </c>
      <c r="J2240" s="42">
        <f>IFERROR(INDEX('Semrush Data'!$A$1:$Z$20000,MATCH(A2240,'Semrush Data'!$A$1:$A$20000,0),MATCH("Intent",'Semrush Data'!$A$1:$Z$1,0)),"")</f>
        <v/>
      </c>
    </row>
    <row r="2241" ht="15" customHeight="1" s="37">
      <c r="A2241" s="42" t="inlineStr">
        <is>
          <t>antonio banderas diavolo review</t>
        </is>
      </c>
      <c r="B2241" s="42" t="inlineStr">
        <is>
          <t>Google suggest</t>
        </is>
      </c>
      <c r="C2241" s="42" t="n">
        <v>3</v>
      </c>
      <c r="D2241" s="42" t="n">
        <v>23</v>
      </c>
      <c r="E2241" s="42" t="n">
        <v>1</v>
      </c>
      <c r="F2241" s="42" t="inlineStr">
        <is>
          <t>FR-046</t>
        </is>
      </c>
      <c r="G2241" s="55">
        <f>IFERROR(INDEX('Semrush Data'!$A$1:$Z$20000,MATCH(A2241,'Semrush Data'!$A$1:$A$20000,0),MATCH("Volume",'Semrush Data'!$A$1:$Z$1,0)),"")</f>
        <v/>
      </c>
      <c r="H2241" s="42">
        <f>IFERROR(INDEX('Semrush Data'!$A$1:$Z$20000,MATCH(A2241,'Semrush Data'!$A$1:$A$20000,0),MATCH("Keyword Difficulty*",'Semrush Data'!$A$1:$Z$1,0)),"")</f>
        <v/>
      </c>
      <c r="I2241" s="56">
        <f>IFERROR(INDEX('Semrush Data'!$A$1:$Z$20000,MATCH(A2241,'Semrush Data'!$A$1:$A$20000,0),MATCH("CPC*",'Semrush Data'!$A$1:$Z$1,0)),"")</f>
        <v/>
      </c>
      <c r="J2241" s="42">
        <f>IFERROR(INDEX('Semrush Data'!$A$1:$Z$20000,MATCH(A2241,'Semrush Data'!$A$1:$A$20000,0),MATCH("Intent",'Semrush Data'!$A$1:$Z$1,0)),"")</f>
        <v/>
      </c>
    </row>
    <row r="2242" ht="15" customHeight="1" s="37">
      <c r="A2242" s="42" t="inlineStr">
        <is>
          <t>antonio banderas her secret desire 80 ml</t>
        </is>
      </c>
      <c r="B2242" s="42" t="inlineStr">
        <is>
          <t>Google suggest</t>
        </is>
      </c>
      <c r="C2242" s="42" t="n">
        <v>3</v>
      </c>
      <c r="D2242" s="42" t="n">
        <v>23</v>
      </c>
      <c r="E2242" s="42" t="n">
        <v>1</v>
      </c>
      <c r="F2242" s="42" t="inlineStr">
        <is>
          <t>FR-047</t>
        </is>
      </c>
      <c r="G2242" s="55">
        <f>IFERROR(INDEX('Semrush Data'!$A$1:$Z$20000,MATCH(A2242,'Semrush Data'!$A$1:$A$20000,0),MATCH("Volume",'Semrush Data'!$A$1:$Z$1,0)),"")</f>
        <v/>
      </c>
      <c r="H2242" s="42">
        <f>IFERROR(INDEX('Semrush Data'!$A$1:$Z$20000,MATCH(A2242,'Semrush Data'!$A$1:$A$20000,0),MATCH("Keyword Difficulty*",'Semrush Data'!$A$1:$Z$1,0)),"")</f>
        <v/>
      </c>
      <c r="I2242" s="56">
        <f>IFERROR(INDEX('Semrush Data'!$A$1:$Z$20000,MATCH(A2242,'Semrush Data'!$A$1:$A$20000,0),MATCH("CPC*",'Semrush Data'!$A$1:$Z$1,0)),"")</f>
        <v/>
      </c>
      <c r="J2242" s="42">
        <f>IFERROR(INDEX('Semrush Data'!$A$1:$Z$20000,MATCH(A2242,'Semrush Data'!$A$1:$A$20000,0),MATCH("Intent",'Semrush Data'!$A$1:$Z$1,0)),"")</f>
        <v/>
      </c>
    </row>
    <row r="2243" ht="15" customHeight="1" s="37">
      <c r="A2243" s="42" t="inlineStr">
        <is>
          <t>antonio banderas her secret desire edt 80 ml</t>
        </is>
      </c>
      <c r="B2243" s="42" t="inlineStr">
        <is>
          <t>Google suggest</t>
        </is>
      </c>
      <c r="C2243" s="42" t="n">
        <v>3</v>
      </c>
      <c r="D2243" s="42" t="n">
        <v>23</v>
      </c>
      <c r="E2243" s="42" t="n">
        <v>1</v>
      </c>
      <c r="F2243" s="42" t="inlineStr">
        <is>
          <t>FR-047</t>
        </is>
      </c>
      <c r="G2243" s="55">
        <f>IFERROR(INDEX('Semrush Data'!$A$1:$Z$20000,MATCH(A2243,'Semrush Data'!$A$1:$A$20000,0),MATCH("Volume",'Semrush Data'!$A$1:$Z$1,0)),"")</f>
        <v/>
      </c>
      <c r="H2243" s="42">
        <f>IFERROR(INDEX('Semrush Data'!$A$1:$Z$20000,MATCH(A2243,'Semrush Data'!$A$1:$A$20000,0),MATCH("Keyword Difficulty*",'Semrush Data'!$A$1:$Z$1,0)),"")</f>
        <v/>
      </c>
      <c r="I2243" s="56">
        <f>IFERROR(INDEX('Semrush Data'!$A$1:$Z$20000,MATCH(A2243,'Semrush Data'!$A$1:$A$20000,0),MATCH("CPC*",'Semrush Data'!$A$1:$Z$1,0)),"")</f>
        <v/>
      </c>
      <c r="J2243" s="42">
        <f>IFERROR(INDEX('Semrush Data'!$A$1:$Z$20000,MATCH(A2243,'Semrush Data'!$A$1:$A$20000,0),MATCH("Intent",'Semrush Data'!$A$1:$Z$1,0)),"")</f>
        <v/>
      </c>
    </row>
    <row r="2244" ht="15" customHeight="1" s="37">
      <c r="A2244" s="42" t="inlineStr">
        <is>
          <t>antonio banderas her secret desire perfume</t>
        </is>
      </c>
      <c r="B2244" s="42" t="inlineStr">
        <is>
          <t>Google suggest</t>
        </is>
      </c>
      <c r="C2244" s="42" t="n">
        <v>3</v>
      </c>
      <c r="D2244" s="42" t="n">
        <v>23</v>
      </c>
      <c r="E2244" s="42" t="n">
        <v>1</v>
      </c>
      <c r="F2244" s="42" t="inlineStr">
        <is>
          <t>FR-047</t>
        </is>
      </c>
      <c r="G2244" s="55">
        <f>IFERROR(INDEX('Semrush Data'!$A$1:$Z$20000,MATCH(A2244,'Semrush Data'!$A$1:$A$20000,0),MATCH("Volume",'Semrush Data'!$A$1:$Z$1,0)),"")</f>
        <v/>
      </c>
      <c r="H2244" s="42">
        <f>IFERROR(INDEX('Semrush Data'!$A$1:$Z$20000,MATCH(A2244,'Semrush Data'!$A$1:$A$20000,0),MATCH("Keyword Difficulty*",'Semrush Data'!$A$1:$Z$1,0)),"")</f>
        <v/>
      </c>
      <c r="I2244" s="56">
        <f>IFERROR(INDEX('Semrush Data'!$A$1:$Z$20000,MATCH(A2244,'Semrush Data'!$A$1:$A$20000,0),MATCH("CPC*",'Semrush Data'!$A$1:$Z$1,0)),"")</f>
        <v/>
      </c>
      <c r="J2244" s="42">
        <f>IFERROR(INDEX('Semrush Data'!$A$1:$Z$20000,MATCH(A2244,'Semrush Data'!$A$1:$A$20000,0),MATCH("Intent",'Semrush Data'!$A$1:$Z$1,0)),"")</f>
        <v/>
      </c>
    </row>
    <row r="2245" ht="15" customHeight="1" s="37">
      <c r="A2245" s="42" t="inlineStr">
        <is>
          <t>antonio banderas her secret desire perfume review</t>
        </is>
      </c>
      <c r="B2245" s="42" t="inlineStr">
        <is>
          <t>Google suggest</t>
        </is>
      </c>
      <c r="C2245" s="42" t="n">
        <v>3</v>
      </c>
      <c r="D2245" s="42" t="n">
        <v>23</v>
      </c>
      <c r="E2245" s="42" t="n">
        <v>1</v>
      </c>
      <c r="F2245" s="42" t="inlineStr">
        <is>
          <t>FR-047</t>
        </is>
      </c>
      <c r="G2245" s="55">
        <f>IFERROR(INDEX('Semrush Data'!$A$1:$Z$20000,MATCH(A2245,'Semrush Data'!$A$1:$A$20000,0),MATCH("Volume",'Semrush Data'!$A$1:$Z$1,0)),"")</f>
        <v/>
      </c>
      <c r="H2245" s="42">
        <f>IFERROR(INDEX('Semrush Data'!$A$1:$Z$20000,MATCH(A2245,'Semrush Data'!$A$1:$A$20000,0),MATCH("Keyword Difficulty*",'Semrush Data'!$A$1:$Z$1,0)),"")</f>
        <v/>
      </c>
      <c r="I2245" s="56">
        <f>IFERROR(INDEX('Semrush Data'!$A$1:$Z$20000,MATCH(A2245,'Semrush Data'!$A$1:$A$20000,0),MATCH("CPC*",'Semrush Data'!$A$1:$Z$1,0)),"")</f>
        <v/>
      </c>
      <c r="J2245" s="42">
        <f>IFERROR(INDEX('Semrush Data'!$A$1:$Z$20000,MATCH(A2245,'Semrush Data'!$A$1:$A$20000,0),MATCH("Intent",'Semrush Data'!$A$1:$Z$1,0)),"")</f>
        <v/>
      </c>
    </row>
    <row r="2246" ht="15" customHeight="1" s="37">
      <c r="A2246" s="42" t="inlineStr">
        <is>
          <t>antonio banderas her secret desire review</t>
        </is>
      </c>
      <c r="B2246" s="42" t="inlineStr">
        <is>
          <t>Google suggest</t>
        </is>
      </c>
      <c r="C2246" s="42" t="n">
        <v>3</v>
      </c>
      <c r="D2246" s="42" t="n">
        <v>23</v>
      </c>
      <c r="E2246" s="42" t="n">
        <v>1</v>
      </c>
      <c r="F2246" s="42" t="inlineStr">
        <is>
          <t>FR-047</t>
        </is>
      </c>
      <c r="G2246" s="55">
        <f>IFERROR(INDEX('Semrush Data'!$A$1:$Z$20000,MATCH(A2246,'Semrush Data'!$A$1:$A$20000,0),MATCH("Volume",'Semrush Data'!$A$1:$Z$1,0)),"")</f>
        <v/>
      </c>
      <c r="H2246" s="42">
        <f>IFERROR(INDEX('Semrush Data'!$A$1:$Z$20000,MATCH(A2246,'Semrush Data'!$A$1:$A$20000,0),MATCH("Keyword Difficulty*",'Semrush Data'!$A$1:$Z$1,0)),"")</f>
        <v/>
      </c>
      <c r="I2246" s="56">
        <f>IFERROR(INDEX('Semrush Data'!$A$1:$Z$20000,MATCH(A2246,'Semrush Data'!$A$1:$A$20000,0),MATCH("CPC*",'Semrush Data'!$A$1:$Z$1,0)),"")</f>
        <v/>
      </c>
      <c r="J2246" s="42">
        <f>IFERROR(INDEX('Semrush Data'!$A$1:$Z$20000,MATCH(A2246,'Semrush Data'!$A$1:$A$20000,0),MATCH("Intent",'Semrush Data'!$A$1:$Z$1,0)),"")</f>
        <v/>
      </c>
    </row>
    <row r="2247" ht="15" customHeight="1" s="37">
      <c r="A2247" s="42" t="inlineStr">
        <is>
          <t>antonio banderas her secret temptation notes</t>
        </is>
      </c>
      <c r="B2247" s="42" t="inlineStr">
        <is>
          <t>Google suggest</t>
        </is>
      </c>
      <c r="C2247" s="42" t="n">
        <v>3</v>
      </c>
      <c r="D2247" s="42" t="n">
        <v>23</v>
      </c>
      <c r="E2247" s="42" t="n">
        <v>1</v>
      </c>
      <c r="F2247" s="42" t="inlineStr">
        <is>
          <t>FR-048</t>
        </is>
      </c>
      <c r="G2247" s="55">
        <f>IFERROR(INDEX('Semrush Data'!$A$1:$Z$20000,MATCH(A2247,'Semrush Data'!$A$1:$A$20000,0),MATCH("Volume",'Semrush Data'!$A$1:$Z$1,0)),"")</f>
        <v/>
      </c>
      <c r="H2247" s="42">
        <f>IFERROR(INDEX('Semrush Data'!$A$1:$Z$20000,MATCH(A2247,'Semrush Data'!$A$1:$A$20000,0),MATCH("Keyword Difficulty*",'Semrush Data'!$A$1:$Z$1,0)),"")</f>
        <v/>
      </c>
      <c r="I2247" s="56">
        <f>IFERROR(INDEX('Semrush Data'!$A$1:$Z$20000,MATCH(A2247,'Semrush Data'!$A$1:$A$20000,0),MATCH("CPC*",'Semrush Data'!$A$1:$Z$1,0)),"")</f>
        <v/>
      </c>
      <c r="J2247" s="42">
        <f>IFERROR(INDEX('Semrush Data'!$A$1:$Z$20000,MATCH(A2247,'Semrush Data'!$A$1:$A$20000,0),MATCH("Intent",'Semrush Data'!$A$1:$Z$1,0)),"")</f>
        <v/>
      </c>
    </row>
    <row r="2248" ht="15" customHeight="1" s="37">
      <c r="A2248" s="42" t="inlineStr">
        <is>
          <t>antonio banderas her secret temptation perfume price</t>
        </is>
      </c>
      <c r="B2248" s="42" t="inlineStr">
        <is>
          <t>Google suggest</t>
        </is>
      </c>
      <c r="C2248" s="42" t="n">
        <v>3</v>
      </c>
      <c r="D2248" s="42" t="n">
        <v>23</v>
      </c>
      <c r="E2248" s="42" t="n">
        <v>1</v>
      </c>
      <c r="F2248" s="42" t="inlineStr">
        <is>
          <t>FR-048</t>
        </is>
      </c>
      <c r="G2248" s="55">
        <f>IFERROR(INDEX('Semrush Data'!$A$1:$Z$20000,MATCH(A2248,'Semrush Data'!$A$1:$A$20000,0),MATCH("Volume",'Semrush Data'!$A$1:$Z$1,0)),"")</f>
        <v/>
      </c>
      <c r="H2248" s="42">
        <f>IFERROR(INDEX('Semrush Data'!$A$1:$Z$20000,MATCH(A2248,'Semrush Data'!$A$1:$A$20000,0),MATCH("Keyword Difficulty*",'Semrush Data'!$A$1:$Z$1,0)),"")</f>
        <v/>
      </c>
      <c r="I2248" s="56">
        <f>IFERROR(INDEX('Semrush Data'!$A$1:$Z$20000,MATCH(A2248,'Semrush Data'!$A$1:$A$20000,0),MATCH("CPC*",'Semrush Data'!$A$1:$Z$1,0)),"")</f>
        <v/>
      </c>
      <c r="J2248" s="42">
        <f>IFERROR(INDEX('Semrush Data'!$A$1:$Z$20000,MATCH(A2248,'Semrush Data'!$A$1:$A$20000,0),MATCH("Intent",'Semrush Data'!$A$1:$Z$1,0)),"")</f>
        <v/>
      </c>
    </row>
    <row r="2249" ht="15" customHeight="1" s="37">
      <c r="A2249" s="42" t="inlineStr">
        <is>
          <t>antonio banderas her secret temptation perfume review</t>
        </is>
      </c>
      <c r="B2249" s="42" t="inlineStr">
        <is>
          <t>Google suggest</t>
        </is>
      </c>
      <c r="C2249" s="42" t="n">
        <v>3</v>
      </c>
      <c r="D2249" s="42" t="n">
        <v>23</v>
      </c>
      <c r="E2249" s="42" t="n">
        <v>1</v>
      </c>
      <c r="F2249" s="42" t="inlineStr">
        <is>
          <t>FR-048</t>
        </is>
      </c>
      <c r="G2249" s="55">
        <f>IFERROR(INDEX('Semrush Data'!$A$1:$Z$20000,MATCH(A2249,'Semrush Data'!$A$1:$A$20000,0),MATCH("Volume",'Semrush Data'!$A$1:$Z$1,0)),"")</f>
        <v/>
      </c>
      <c r="H2249" s="42">
        <f>IFERROR(INDEX('Semrush Data'!$A$1:$Z$20000,MATCH(A2249,'Semrush Data'!$A$1:$A$20000,0),MATCH("Keyword Difficulty*",'Semrush Data'!$A$1:$Z$1,0)),"")</f>
        <v/>
      </c>
      <c r="I2249" s="56">
        <f>IFERROR(INDEX('Semrush Data'!$A$1:$Z$20000,MATCH(A2249,'Semrush Data'!$A$1:$A$20000,0),MATCH("CPC*",'Semrush Data'!$A$1:$Z$1,0)),"")</f>
        <v/>
      </c>
      <c r="J2249" s="42">
        <f>IFERROR(INDEX('Semrush Data'!$A$1:$Z$20000,MATCH(A2249,'Semrush Data'!$A$1:$A$20000,0),MATCH("Intent",'Semrush Data'!$A$1:$Z$1,0)),"")</f>
        <v/>
      </c>
    </row>
    <row r="2250" ht="15" customHeight="1" s="37">
      <c r="A2250" s="42" t="inlineStr">
        <is>
          <t>antonio banderas her secret temptation review</t>
        </is>
      </c>
      <c r="B2250" s="42" t="inlineStr">
        <is>
          <t>Google suggest</t>
        </is>
      </c>
      <c r="C2250" s="42" t="n">
        <v>3</v>
      </c>
      <c r="D2250" s="42" t="n">
        <v>23</v>
      </c>
      <c r="E2250" s="42" t="n">
        <v>1</v>
      </c>
      <c r="F2250" s="42" t="inlineStr">
        <is>
          <t>FR-048</t>
        </is>
      </c>
      <c r="G2250" s="55">
        <f>IFERROR(INDEX('Semrush Data'!$A$1:$Z$20000,MATCH(A2250,'Semrush Data'!$A$1:$A$20000,0),MATCH("Volume",'Semrush Data'!$A$1:$Z$1,0)),"")</f>
        <v/>
      </c>
      <c r="H2250" s="42">
        <f>IFERROR(INDEX('Semrush Data'!$A$1:$Z$20000,MATCH(A2250,'Semrush Data'!$A$1:$A$20000,0),MATCH("Keyword Difficulty*",'Semrush Data'!$A$1:$Z$1,0)),"")</f>
        <v/>
      </c>
      <c r="I2250" s="56">
        <f>IFERROR(INDEX('Semrush Data'!$A$1:$Z$20000,MATCH(A2250,'Semrush Data'!$A$1:$A$20000,0),MATCH("CPC*",'Semrush Data'!$A$1:$Z$1,0)),"")</f>
        <v/>
      </c>
      <c r="J2250" s="42">
        <f>IFERROR(INDEX('Semrush Data'!$A$1:$Z$20000,MATCH(A2250,'Semrush Data'!$A$1:$A$20000,0),MATCH("Intent",'Semrush Data'!$A$1:$Z$1,0)),"")</f>
        <v/>
      </c>
    </row>
    <row r="2251" ht="15" customHeight="1" s="37">
      <c r="A2251" s="42" t="inlineStr">
        <is>
          <t>antonio banderas her secret temptation women</t>
        </is>
      </c>
      <c r="B2251" s="42" t="inlineStr">
        <is>
          <t>Google suggest</t>
        </is>
      </c>
      <c r="C2251" s="42" t="n">
        <v>3</v>
      </c>
      <c r="D2251" s="42" t="n">
        <v>23</v>
      </c>
      <c r="E2251" s="42" t="n">
        <v>1</v>
      </c>
      <c r="F2251" s="42" t="inlineStr">
        <is>
          <t>FR-048</t>
        </is>
      </c>
      <c r="G2251" s="55">
        <f>IFERROR(INDEX('Semrush Data'!$A$1:$Z$20000,MATCH(A2251,'Semrush Data'!$A$1:$A$20000,0),MATCH("Volume",'Semrush Data'!$A$1:$Z$1,0)),"")</f>
        <v/>
      </c>
      <c r="H2251" s="42">
        <f>IFERROR(INDEX('Semrush Data'!$A$1:$Z$20000,MATCH(A2251,'Semrush Data'!$A$1:$A$20000,0),MATCH("Keyword Difficulty*",'Semrush Data'!$A$1:$Z$1,0)),"")</f>
        <v/>
      </c>
      <c r="I2251" s="56">
        <f>IFERROR(INDEX('Semrush Data'!$A$1:$Z$20000,MATCH(A2251,'Semrush Data'!$A$1:$A$20000,0),MATCH("CPC*",'Semrush Data'!$A$1:$Z$1,0)),"")</f>
        <v/>
      </c>
      <c r="J2251" s="42">
        <f>IFERROR(INDEX('Semrush Data'!$A$1:$Z$20000,MATCH(A2251,'Semrush Data'!$A$1:$A$20000,0),MATCH("Intent",'Semrush Data'!$A$1:$Z$1,0)),"")</f>
        <v/>
      </c>
    </row>
    <row r="2252" ht="15" customHeight="1" s="37">
      <c r="A2252" s="42" t="inlineStr">
        <is>
          <t>antonio banderas power of seduction 200ml</t>
        </is>
      </c>
      <c r="B2252" s="42" t="inlineStr">
        <is>
          <t>Google suggest</t>
        </is>
      </c>
      <c r="C2252" s="42" t="n">
        <v>3</v>
      </c>
      <c r="D2252" s="42" t="n">
        <v>23</v>
      </c>
      <c r="E2252" s="42" t="n">
        <v>1</v>
      </c>
      <c r="F2252" s="42" t="inlineStr">
        <is>
          <t>FR-049</t>
        </is>
      </c>
      <c r="G2252" s="55">
        <f>IFERROR(INDEX('Semrush Data'!$A$1:$Z$20000,MATCH(A2252,'Semrush Data'!$A$1:$A$20000,0),MATCH("Volume",'Semrush Data'!$A$1:$Z$1,0)),"")</f>
        <v/>
      </c>
      <c r="H2252" s="42">
        <f>IFERROR(INDEX('Semrush Data'!$A$1:$Z$20000,MATCH(A2252,'Semrush Data'!$A$1:$A$20000,0),MATCH("Keyword Difficulty*",'Semrush Data'!$A$1:$Z$1,0)),"")</f>
        <v/>
      </c>
      <c r="I2252" s="56">
        <f>IFERROR(INDEX('Semrush Data'!$A$1:$Z$20000,MATCH(A2252,'Semrush Data'!$A$1:$A$20000,0),MATCH("CPC*",'Semrush Data'!$A$1:$Z$1,0)),"")</f>
        <v/>
      </c>
      <c r="J2252" s="42">
        <f>IFERROR(INDEX('Semrush Data'!$A$1:$Z$20000,MATCH(A2252,'Semrush Data'!$A$1:$A$20000,0),MATCH("Intent",'Semrush Data'!$A$1:$Z$1,0)),"")</f>
        <v/>
      </c>
    </row>
    <row r="2253" ht="15" customHeight="1" s="37">
      <c r="A2253" s="42" t="inlineStr">
        <is>
          <t>antonio banderas power of seduction edt</t>
        </is>
      </c>
      <c r="B2253" s="42" t="inlineStr">
        <is>
          <t>Google suggest</t>
        </is>
      </c>
      <c r="C2253" s="42" t="n">
        <v>3</v>
      </c>
      <c r="D2253" s="42" t="n">
        <v>23</v>
      </c>
      <c r="E2253" s="42" t="n">
        <v>1</v>
      </c>
      <c r="F2253" s="42" t="inlineStr">
        <is>
          <t>FR-049</t>
        </is>
      </c>
      <c r="G2253" s="55">
        <f>IFERROR(INDEX('Semrush Data'!$A$1:$Z$20000,MATCH(A2253,'Semrush Data'!$A$1:$A$20000,0),MATCH("Volume",'Semrush Data'!$A$1:$Z$1,0)),"")</f>
        <v/>
      </c>
      <c r="H2253" s="42">
        <f>IFERROR(INDEX('Semrush Data'!$A$1:$Z$20000,MATCH(A2253,'Semrush Data'!$A$1:$A$20000,0),MATCH("Keyword Difficulty*",'Semrush Data'!$A$1:$Z$1,0)),"")</f>
        <v/>
      </c>
      <c r="I2253" s="56">
        <f>IFERROR(INDEX('Semrush Data'!$A$1:$Z$20000,MATCH(A2253,'Semrush Data'!$A$1:$A$20000,0),MATCH("CPC*",'Semrush Data'!$A$1:$Z$1,0)),"")</f>
        <v/>
      </c>
      <c r="J2253" s="42">
        <f>IFERROR(INDEX('Semrush Data'!$A$1:$Z$20000,MATCH(A2253,'Semrush Data'!$A$1:$A$20000,0),MATCH("Intent",'Semrush Data'!$A$1:$Z$1,0)),"")</f>
        <v/>
      </c>
    </row>
    <row r="2254" ht="15" customHeight="1" s="37">
      <c r="A2254" s="42" t="inlineStr">
        <is>
          <t>antonio banderas power of seduction notes</t>
        </is>
      </c>
      <c r="B2254" s="42" t="inlineStr">
        <is>
          <t>Google suggest</t>
        </is>
      </c>
      <c r="C2254" s="42" t="n">
        <v>3</v>
      </c>
      <c r="D2254" s="42" t="n">
        <v>23</v>
      </c>
      <c r="E2254" s="42" t="n">
        <v>1</v>
      </c>
      <c r="F2254" s="42" t="inlineStr">
        <is>
          <t>FR-049</t>
        </is>
      </c>
      <c r="G2254" s="55">
        <f>IFERROR(INDEX('Semrush Data'!$A$1:$Z$20000,MATCH(A2254,'Semrush Data'!$A$1:$A$20000,0),MATCH("Volume",'Semrush Data'!$A$1:$Z$1,0)),"")</f>
        <v/>
      </c>
      <c r="H2254" s="42">
        <f>IFERROR(INDEX('Semrush Data'!$A$1:$Z$20000,MATCH(A2254,'Semrush Data'!$A$1:$A$20000,0),MATCH("Keyword Difficulty*",'Semrush Data'!$A$1:$Z$1,0)),"")</f>
        <v/>
      </c>
      <c r="I2254" s="56">
        <f>IFERROR(INDEX('Semrush Data'!$A$1:$Z$20000,MATCH(A2254,'Semrush Data'!$A$1:$A$20000,0),MATCH("CPC*",'Semrush Data'!$A$1:$Z$1,0)),"")</f>
        <v/>
      </c>
      <c r="J2254" s="42">
        <f>IFERROR(INDEX('Semrush Data'!$A$1:$Z$20000,MATCH(A2254,'Semrush Data'!$A$1:$A$20000,0),MATCH("Intent",'Semrush Data'!$A$1:$Z$1,0)),"")</f>
        <v/>
      </c>
    </row>
    <row r="2255" ht="15" customHeight="1" s="37">
      <c r="A2255" s="42" t="inlineStr">
        <is>
          <t>antonio banderas power of seduction perfume</t>
        </is>
      </c>
      <c r="B2255" s="42" t="inlineStr">
        <is>
          <t>Google suggest</t>
        </is>
      </c>
      <c r="C2255" s="42" t="n">
        <v>3</v>
      </c>
      <c r="D2255" s="42" t="n">
        <v>23</v>
      </c>
      <c r="E2255" s="42" t="n">
        <v>1</v>
      </c>
      <c r="F2255" s="42" t="inlineStr">
        <is>
          <t>FR-049</t>
        </is>
      </c>
      <c r="G2255" s="55">
        <f>IFERROR(INDEX('Semrush Data'!$A$1:$Z$20000,MATCH(A2255,'Semrush Data'!$A$1:$A$20000,0),MATCH("Volume",'Semrush Data'!$A$1:$Z$1,0)),"")</f>
        <v/>
      </c>
      <c r="H2255" s="42">
        <f>IFERROR(INDEX('Semrush Data'!$A$1:$Z$20000,MATCH(A2255,'Semrush Data'!$A$1:$A$20000,0),MATCH("Keyword Difficulty*",'Semrush Data'!$A$1:$Z$1,0)),"")</f>
        <v/>
      </c>
      <c r="I2255" s="56">
        <f>IFERROR(INDEX('Semrush Data'!$A$1:$Z$20000,MATCH(A2255,'Semrush Data'!$A$1:$A$20000,0),MATCH("CPC*",'Semrush Data'!$A$1:$Z$1,0)),"")</f>
        <v/>
      </c>
      <c r="J2255" s="42">
        <f>IFERROR(INDEX('Semrush Data'!$A$1:$Z$20000,MATCH(A2255,'Semrush Data'!$A$1:$A$20000,0),MATCH("Intent",'Semrush Data'!$A$1:$Z$1,0)),"")</f>
        <v/>
      </c>
    </row>
    <row r="2256" ht="15" customHeight="1" s="37">
      <c r="A2256" s="42" t="inlineStr">
        <is>
          <t>antonio banderas power of seduction review</t>
        </is>
      </c>
      <c r="B2256" s="42" t="inlineStr">
        <is>
          <t>Google suggest</t>
        </is>
      </c>
      <c r="C2256" s="42" t="n">
        <v>3</v>
      </c>
      <c r="D2256" s="42" t="n">
        <v>23</v>
      </c>
      <c r="E2256" s="42" t="n">
        <v>1</v>
      </c>
      <c r="F2256" s="42" t="inlineStr">
        <is>
          <t>FR-049</t>
        </is>
      </c>
      <c r="G2256" s="55">
        <f>IFERROR(INDEX('Semrush Data'!$A$1:$Z$20000,MATCH(A2256,'Semrush Data'!$A$1:$A$20000,0),MATCH("Volume",'Semrush Data'!$A$1:$Z$1,0)),"")</f>
        <v/>
      </c>
      <c r="H2256" s="42">
        <f>IFERROR(INDEX('Semrush Data'!$A$1:$Z$20000,MATCH(A2256,'Semrush Data'!$A$1:$A$20000,0),MATCH("Keyword Difficulty*",'Semrush Data'!$A$1:$Z$1,0)),"")</f>
        <v/>
      </c>
      <c r="I2256" s="56">
        <f>IFERROR(INDEX('Semrush Data'!$A$1:$Z$20000,MATCH(A2256,'Semrush Data'!$A$1:$A$20000,0),MATCH("CPC*",'Semrush Data'!$A$1:$Z$1,0)),"")</f>
        <v/>
      </c>
      <c r="J2256" s="42">
        <f>IFERROR(INDEX('Semrush Data'!$A$1:$Z$20000,MATCH(A2256,'Semrush Data'!$A$1:$A$20000,0),MATCH("Intent",'Semrush Data'!$A$1:$Z$1,0)),"")</f>
        <v/>
      </c>
    </row>
    <row r="2257" ht="15" customHeight="1" s="37">
      <c r="A2257" s="42" t="inlineStr">
        <is>
          <t>ariana grande thank u next</t>
        </is>
      </c>
      <c r="B2257" s="42" t="inlineStr">
        <is>
          <t>Google suggest</t>
        </is>
      </c>
      <c r="C2257" s="42" t="n">
        <v>3</v>
      </c>
      <c r="D2257" s="42" t="n">
        <v>23</v>
      </c>
      <c r="E2257" s="42" t="n">
        <v>1</v>
      </c>
      <c r="F2257" s="42" t="inlineStr">
        <is>
          <t>FR-050</t>
        </is>
      </c>
      <c r="G2257" s="55">
        <f>IFERROR(INDEX('Semrush Data'!$A$1:$Z$20000,MATCH(A2257,'Semrush Data'!$A$1:$A$20000,0),MATCH("Volume",'Semrush Data'!$A$1:$Z$1,0)),"")</f>
        <v/>
      </c>
      <c r="H2257" s="42">
        <f>IFERROR(INDEX('Semrush Data'!$A$1:$Z$20000,MATCH(A2257,'Semrush Data'!$A$1:$A$20000,0),MATCH("Keyword Difficulty*",'Semrush Data'!$A$1:$Z$1,0)),"")</f>
        <v/>
      </c>
      <c r="I2257" s="56">
        <f>IFERROR(INDEX('Semrush Data'!$A$1:$Z$20000,MATCH(A2257,'Semrush Data'!$A$1:$A$20000,0),MATCH("CPC*",'Semrush Data'!$A$1:$Z$1,0)),"")</f>
        <v/>
      </c>
      <c r="J2257" s="42">
        <f>IFERROR(INDEX('Semrush Data'!$A$1:$Z$20000,MATCH(A2257,'Semrush Data'!$A$1:$A$20000,0),MATCH("Intent",'Semrush Data'!$A$1:$Z$1,0)),"")</f>
        <v/>
      </c>
    </row>
    <row r="2258" ht="15" customHeight="1" s="37">
      <c r="A2258" s="42" t="inlineStr">
        <is>
          <t>ariana grande thank u next 2.0</t>
        </is>
      </c>
      <c r="B2258" s="42" t="inlineStr">
        <is>
          <t>Google suggest</t>
        </is>
      </c>
      <c r="C2258" s="42" t="n">
        <v>3</v>
      </c>
      <c r="D2258" s="42" t="n">
        <v>23</v>
      </c>
      <c r="E2258" s="42" t="n">
        <v>1</v>
      </c>
      <c r="F2258" s="42" t="inlineStr">
        <is>
          <t>FR-050</t>
        </is>
      </c>
      <c r="G2258" s="55">
        <f>IFERROR(INDEX('Semrush Data'!$A$1:$Z$20000,MATCH(A2258,'Semrush Data'!$A$1:$A$20000,0),MATCH("Volume",'Semrush Data'!$A$1:$Z$1,0)),"")</f>
        <v/>
      </c>
      <c r="H2258" s="42">
        <f>IFERROR(INDEX('Semrush Data'!$A$1:$Z$20000,MATCH(A2258,'Semrush Data'!$A$1:$A$20000,0),MATCH("Keyword Difficulty*",'Semrush Data'!$A$1:$Z$1,0)),"")</f>
        <v/>
      </c>
      <c r="I2258" s="56">
        <f>IFERROR(INDEX('Semrush Data'!$A$1:$Z$20000,MATCH(A2258,'Semrush Data'!$A$1:$A$20000,0),MATCH("CPC*",'Semrush Data'!$A$1:$Z$1,0)),"")</f>
        <v/>
      </c>
      <c r="J2258" s="42">
        <f>IFERROR(INDEX('Semrush Data'!$A$1:$Z$20000,MATCH(A2258,'Semrush Data'!$A$1:$A$20000,0),MATCH("Intent",'Semrush Data'!$A$1:$Z$1,0)),"")</f>
        <v/>
      </c>
    </row>
    <row r="2259" ht="15" customHeight="1" s="37">
      <c r="A2259" s="42" t="inlineStr">
        <is>
          <t>ariana grande thank u next 2.0 perfume</t>
        </is>
      </c>
      <c r="B2259" s="42" t="inlineStr">
        <is>
          <t>Google suggest</t>
        </is>
      </c>
      <c r="C2259" s="42" t="n">
        <v>3</v>
      </c>
      <c r="D2259" s="42" t="n">
        <v>23</v>
      </c>
      <c r="E2259" s="42" t="n">
        <v>1</v>
      </c>
      <c r="F2259" s="42" t="inlineStr">
        <is>
          <t>FR-050</t>
        </is>
      </c>
      <c r="G2259" s="55">
        <f>IFERROR(INDEX('Semrush Data'!$A$1:$Z$20000,MATCH(A2259,'Semrush Data'!$A$1:$A$20000,0),MATCH("Volume",'Semrush Data'!$A$1:$Z$1,0)),"")</f>
        <v/>
      </c>
      <c r="H2259" s="42">
        <f>IFERROR(INDEX('Semrush Data'!$A$1:$Z$20000,MATCH(A2259,'Semrush Data'!$A$1:$A$20000,0),MATCH("Keyword Difficulty*",'Semrush Data'!$A$1:$Z$1,0)),"")</f>
        <v/>
      </c>
      <c r="I2259" s="56">
        <f>IFERROR(INDEX('Semrush Data'!$A$1:$Z$20000,MATCH(A2259,'Semrush Data'!$A$1:$A$20000,0),MATCH("CPC*",'Semrush Data'!$A$1:$Z$1,0)),"")</f>
        <v/>
      </c>
      <c r="J2259" s="42">
        <f>IFERROR(INDEX('Semrush Data'!$A$1:$Z$20000,MATCH(A2259,'Semrush Data'!$A$1:$A$20000,0),MATCH("Intent",'Semrush Data'!$A$1:$Z$1,0)),"")</f>
        <v/>
      </c>
    </row>
    <row r="2260" ht="15" customHeight="1" s="37">
      <c r="A2260" s="42" t="inlineStr">
        <is>
          <t>ariana grande thank u next perfume</t>
        </is>
      </c>
      <c r="B2260" s="42" t="inlineStr">
        <is>
          <t>Google suggest</t>
        </is>
      </c>
      <c r="C2260" s="42" t="n">
        <v>3</v>
      </c>
      <c r="D2260" s="42" t="n">
        <v>23</v>
      </c>
      <c r="E2260" s="42" t="n">
        <v>1</v>
      </c>
      <c r="F2260" s="42" t="inlineStr">
        <is>
          <t>FR-050</t>
        </is>
      </c>
      <c r="G2260" s="55">
        <f>IFERROR(INDEX('Semrush Data'!$A$1:$Z$20000,MATCH(A2260,'Semrush Data'!$A$1:$A$20000,0),MATCH("Volume",'Semrush Data'!$A$1:$Z$1,0)),"")</f>
        <v/>
      </c>
      <c r="H2260" s="42">
        <f>IFERROR(INDEX('Semrush Data'!$A$1:$Z$20000,MATCH(A2260,'Semrush Data'!$A$1:$A$20000,0),MATCH("Keyword Difficulty*",'Semrush Data'!$A$1:$Z$1,0)),"")</f>
        <v/>
      </c>
      <c r="I2260" s="56">
        <f>IFERROR(INDEX('Semrush Data'!$A$1:$Z$20000,MATCH(A2260,'Semrush Data'!$A$1:$A$20000,0),MATCH("CPC*",'Semrush Data'!$A$1:$Z$1,0)),"")</f>
        <v/>
      </c>
      <c r="J2260" s="42">
        <f>IFERROR(INDEX('Semrush Data'!$A$1:$Z$20000,MATCH(A2260,'Semrush Data'!$A$1:$A$20000,0),MATCH("Intent",'Semrush Data'!$A$1:$Z$1,0)),"")</f>
        <v/>
      </c>
    </row>
    <row r="2261" ht="15" customHeight="1" s="37">
      <c r="A2261" s="42" t="inlineStr">
        <is>
          <t>armaf hunter dupe of</t>
        </is>
      </c>
      <c r="B2261" s="42" t="inlineStr">
        <is>
          <t>Google suggest</t>
        </is>
      </c>
      <c r="C2261" s="42" t="n">
        <v>3</v>
      </c>
      <c r="D2261" s="42" t="n">
        <v>23</v>
      </c>
      <c r="E2261" s="42" t="n">
        <v>1</v>
      </c>
      <c r="F2261" s="42" t="inlineStr">
        <is>
          <t>FR-051</t>
        </is>
      </c>
      <c r="G2261" s="55">
        <f>IFERROR(INDEX('Semrush Data'!$A$1:$Z$20000,MATCH(A2261,'Semrush Data'!$A$1:$A$20000,0),MATCH("Volume",'Semrush Data'!$A$1:$Z$1,0)),"")</f>
        <v/>
      </c>
      <c r="H2261" s="42">
        <f>IFERROR(INDEX('Semrush Data'!$A$1:$Z$20000,MATCH(A2261,'Semrush Data'!$A$1:$A$20000,0),MATCH("Keyword Difficulty*",'Semrush Data'!$A$1:$Z$1,0)),"")</f>
        <v/>
      </c>
      <c r="I2261" s="56">
        <f>IFERROR(INDEX('Semrush Data'!$A$1:$Z$20000,MATCH(A2261,'Semrush Data'!$A$1:$A$20000,0),MATCH("CPC*",'Semrush Data'!$A$1:$Z$1,0)),"")</f>
        <v/>
      </c>
      <c r="J2261" s="42">
        <f>IFERROR(INDEX('Semrush Data'!$A$1:$Z$20000,MATCH(A2261,'Semrush Data'!$A$1:$A$20000,0),MATCH("Intent",'Semrush Data'!$A$1:$Z$1,0)),"")</f>
        <v/>
      </c>
    </row>
    <row r="2262" ht="15" customHeight="1" s="37">
      <c r="A2262" s="42" t="inlineStr">
        <is>
          <t>armaf hunter men</t>
        </is>
      </c>
      <c r="B2262" s="42" t="inlineStr">
        <is>
          <t>Google suggest</t>
        </is>
      </c>
      <c r="C2262" s="42" t="n">
        <v>3</v>
      </c>
      <c r="D2262" s="42" t="n">
        <v>23</v>
      </c>
      <c r="E2262" s="42" t="n">
        <v>1</v>
      </c>
      <c r="F2262" s="42" t="inlineStr">
        <is>
          <t>FR-051</t>
        </is>
      </c>
      <c r="G2262" s="55">
        <f>IFERROR(INDEX('Semrush Data'!$A$1:$Z$20000,MATCH(A2262,'Semrush Data'!$A$1:$A$20000,0),MATCH("Volume",'Semrush Data'!$A$1:$Z$1,0)),"")</f>
        <v/>
      </c>
      <c r="H2262" s="42">
        <f>IFERROR(INDEX('Semrush Data'!$A$1:$Z$20000,MATCH(A2262,'Semrush Data'!$A$1:$A$20000,0),MATCH("Keyword Difficulty*",'Semrush Data'!$A$1:$Z$1,0)),"")</f>
        <v/>
      </c>
      <c r="I2262" s="56">
        <f>IFERROR(INDEX('Semrush Data'!$A$1:$Z$20000,MATCH(A2262,'Semrush Data'!$A$1:$A$20000,0),MATCH("CPC*",'Semrush Data'!$A$1:$Z$1,0)),"")</f>
        <v/>
      </c>
      <c r="J2262" s="42">
        <f>IFERROR(INDEX('Semrush Data'!$A$1:$Z$20000,MATCH(A2262,'Semrush Data'!$A$1:$A$20000,0),MATCH("Intent",'Semrush Data'!$A$1:$Z$1,0)),"")</f>
        <v/>
      </c>
    </row>
    <row r="2263" ht="15" customHeight="1" s="37">
      <c r="A2263" s="42" t="inlineStr">
        <is>
          <t>armaf hunter perfume</t>
        </is>
      </c>
      <c r="B2263" s="42" t="inlineStr">
        <is>
          <t>Google suggest</t>
        </is>
      </c>
      <c r="C2263" s="42" t="n">
        <v>3</v>
      </c>
      <c r="D2263" s="42" t="n">
        <v>23</v>
      </c>
      <c r="E2263" s="42" t="n">
        <v>1</v>
      </c>
      <c r="F2263" s="42" t="inlineStr">
        <is>
          <t>FR-051</t>
        </is>
      </c>
      <c r="G2263" s="55">
        <f>IFERROR(INDEX('Semrush Data'!$A$1:$Z$20000,MATCH(A2263,'Semrush Data'!$A$1:$A$20000,0),MATCH("Volume",'Semrush Data'!$A$1:$Z$1,0)),"")</f>
        <v/>
      </c>
      <c r="H2263" s="42">
        <f>IFERROR(INDEX('Semrush Data'!$A$1:$Z$20000,MATCH(A2263,'Semrush Data'!$A$1:$A$20000,0),MATCH("Keyword Difficulty*",'Semrush Data'!$A$1:$Z$1,0)),"")</f>
        <v/>
      </c>
      <c r="I2263" s="56">
        <f>IFERROR(INDEX('Semrush Data'!$A$1:$Z$20000,MATCH(A2263,'Semrush Data'!$A$1:$A$20000,0),MATCH("CPC*",'Semrush Data'!$A$1:$Z$1,0)),"")</f>
        <v/>
      </c>
      <c r="J2263" s="42">
        <f>IFERROR(INDEX('Semrush Data'!$A$1:$Z$20000,MATCH(A2263,'Semrush Data'!$A$1:$A$20000,0),MATCH("Intent",'Semrush Data'!$A$1:$Z$1,0)),"")</f>
        <v/>
      </c>
    </row>
    <row r="2264" ht="15" customHeight="1" s="37">
      <c r="A2264" s="42" t="inlineStr">
        <is>
          <t>bentley absolute edp</t>
        </is>
      </c>
      <c r="B2264" s="42" t="inlineStr">
        <is>
          <t>Google suggest</t>
        </is>
      </c>
      <c r="C2264" s="42" t="n">
        <v>3</v>
      </c>
      <c r="D2264" s="42" t="n">
        <v>23</v>
      </c>
      <c r="E2264" s="42" t="n">
        <v>1</v>
      </c>
      <c r="F2264" s="42" t="inlineStr">
        <is>
          <t>FR-054</t>
        </is>
      </c>
      <c r="G2264" s="55">
        <f>IFERROR(INDEX('Semrush Data'!$A$1:$Z$20000,MATCH(A2264,'Semrush Data'!$A$1:$A$20000,0),MATCH("Volume",'Semrush Data'!$A$1:$Z$1,0)),"")</f>
        <v/>
      </c>
      <c r="H2264" s="42">
        <f>IFERROR(INDEX('Semrush Data'!$A$1:$Z$20000,MATCH(A2264,'Semrush Data'!$A$1:$A$20000,0),MATCH("Keyword Difficulty*",'Semrush Data'!$A$1:$Z$1,0)),"")</f>
        <v/>
      </c>
      <c r="I2264" s="56">
        <f>IFERROR(INDEX('Semrush Data'!$A$1:$Z$20000,MATCH(A2264,'Semrush Data'!$A$1:$A$20000,0),MATCH("CPC*",'Semrush Data'!$A$1:$Z$1,0)),"")</f>
        <v/>
      </c>
      <c r="J2264" s="42">
        <f>IFERROR(INDEX('Semrush Data'!$A$1:$Z$20000,MATCH(A2264,'Semrush Data'!$A$1:$A$20000,0),MATCH("Intent",'Semrush Data'!$A$1:$Z$1,0)),"")</f>
        <v/>
      </c>
    </row>
    <row r="2265" ht="15" customHeight="1" s="37">
      <c r="A2265" s="42" t="inlineStr">
        <is>
          <t>bentley absolute for men</t>
        </is>
      </c>
      <c r="B2265" s="42" t="inlineStr">
        <is>
          <t>Google suggest</t>
        </is>
      </c>
      <c r="C2265" s="42" t="n">
        <v>3</v>
      </c>
      <c r="D2265" s="42" t="n">
        <v>23</v>
      </c>
      <c r="E2265" s="42" t="n">
        <v>1</v>
      </c>
      <c r="F2265" s="42" t="inlineStr">
        <is>
          <t>FR-054</t>
        </is>
      </c>
      <c r="G2265" s="55">
        <f>IFERROR(INDEX('Semrush Data'!$A$1:$Z$20000,MATCH(A2265,'Semrush Data'!$A$1:$A$20000,0),MATCH("Volume",'Semrush Data'!$A$1:$Z$1,0)),"")</f>
        <v/>
      </c>
      <c r="H2265" s="42">
        <f>IFERROR(INDEX('Semrush Data'!$A$1:$Z$20000,MATCH(A2265,'Semrush Data'!$A$1:$A$20000,0),MATCH("Keyword Difficulty*",'Semrush Data'!$A$1:$Z$1,0)),"")</f>
        <v/>
      </c>
      <c r="I2265" s="56">
        <f>IFERROR(INDEX('Semrush Data'!$A$1:$Z$20000,MATCH(A2265,'Semrush Data'!$A$1:$A$20000,0),MATCH("CPC*",'Semrush Data'!$A$1:$Z$1,0)),"")</f>
        <v/>
      </c>
      <c r="J2265" s="42">
        <f>IFERROR(INDEX('Semrush Data'!$A$1:$Z$20000,MATCH(A2265,'Semrush Data'!$A$1:$A$20000,0),MATCH("Intent",'Semrush Data'!$A$1:$Z$1,0)),"")</f>
        <v/>
      </c>
    </row>
    <row r="2266" ht="15" customHeight="1" s="37">
      <c r="A2266" s="42" t="inlineStr">
        <is>
          <t>bentley absolute for men review</t>
        </is>
      </c>
      <c r="B2266" s="42" t="inlineStr">
        <is>
          <t>Google suggest</t>
        </is>
      </c>
      <c r="C2266" s="42" t="n">
        <v>3</v>
      </c>
      <c r="D2266" s="42" t="n">
        <v>23</v>
      </c>
      <c r="E2266" s="42" t="n">
        <v>1</v>
      </c>
      <c r="F2266" s="42" t="inlineStr">
        <is>
          <t>FR-054</t>
        </is>
      </c>
      <c r="G2266" s="55">
        <f>IFERROR(INDEX('Semrush Data'!$A$1:$Z$20000,MATCH(A2266,'Semrush Data'!$A$1:$A$20000,0),MATCH("Volume",'Semrush Data'!$A$1:$Z$1,0)),"")</f>
        <v/>
      </c>
      <c r="H2266" s="42">
        <f>IFERROR(INDEX('Semrush Data'!$A$1:$Z$20000,MATCH(A2266,'Semrush Data'!$A$1:$A$20000,0),MATCH("Keyword Difficulty*",'Semrush Data'!$A$1:$Z$1,0)),"")</f>
        <v/>
      </c>
      <c r="I2266" s="56">
        <f>IFERROR(INDEX('Semrush Data'!$A$1:$Z$20000,MATCH(A2266,'Semrush Data'!$A$1:$A$20000,0),MATCH("CPC*",'Semrush Data'!$A$1:$Z$1,0)),"")</f>
        <v/>
      </c>
      <c r="J2266" s="42">
        <f>IFERROR(INDEX('Semrush Data'!$A$1:$Z$20000,MATCH(A2266,'Semrush Data'!$A$1:$A$20000,0),MATCH("Intent",'Semrush Data'!$A$1:$Z$1,0)),"")</f>
        <v/>
      </c>
    </row>
    <row r="2267" ht="15" customHeight="1" s="37">
      <c r="A2267" s="42" t="inlineStr">
        <is>
          <t>bentley absolute men edp</t>
        </is>
      </c>
      <c r="B2267" s="42" t="inlineStr">
        <is>
          <t>Google suggest</t>
        </is>
      </c>
      <c r="C2267" s="42" t="n">
        <v>3</v>
      </c>
      <c r="D2267" s="42" t="n">
        <v>23</v>
      </c>
      <c r="E2267" s="42" t="n">
        <v>1</v>
      </c>
      <c r="F2267" s="42" t="inlineStr">
        <is>
          <t>FR-054</t>
        </is>
      </c>
      <c r="G2267" s="55">
        <f>IFERROR(INDEX('Semrush Data'!$A$1:$Z$20000,MATCH(A2267,'Semrush Data'!$A$1:$A$20000,0),MATCH("Volume",'Semrush Data'!$A$1:$Z$1,0)),"")</f>
        <v/>
      </c>
      <c r="H2267" s="42">
        <f>IFERROR(INDEX('Semrush Data'!$A$1:$Z$20000,MATCH(A2267,'Semrush Data'!$A$1:$A$20000,0),MATCH("Keyword Difficulty*",'Semrush Data'!$A$1:$Z$1,0)),"")</f>
        <v/>
      </c>
      <c r="I2267" s="56">
        <f>IFERROR(INDEX('Semrush Data'!$A$1:$Z$20000,MATCH(A2267,'Semrush Data'!$A$1:$A$20000,0),MATCH("CPC*",'Semrush Data'!$A$1:$Z$1,0)),"")</f>
        <v/>
      </c>
      <c r="J2267" s="42">
        <f>IFERROR(INDEX('Semrush Data'!$A$1:$Z$20000,MATCH(A2267,'Semrush Data'!$A$1:$A$20000,0),MATCH("Intent",'Semrush Data'!$A$1:$Z$1,0)),"")</f>
        <v/>
      </c>
    </row>
    <row r="2268" ht="15" customHeight="1" s="37">
      <c r="A2268" s="42" t="inlineStr">
        <is>
          <t>bentley absolute review</t>
        </is>
      </c>
      <c r="B2268" s="42" t="inlineStr">
        <is>
          <t>Google suggest</t>
        </is>
      </c>
      <c r="C2268" s="42" t="n">
        <v>3</v>
      </c>
      <c r="D2268" s="42" t="n">
        <v>23</v>
      </c>
      <c r="E2268" s="42" t="n">
        <v>1</v>
      </c>
      <c r="F2268" s="42" t="inlineStr">
        <is>
          <t>FR-054</t>
        </is>
      </c>
      <c r="G2268" s="55">
        <f>IFERROR(INDEX('Semrush Data'!$A$1:$Z$20000,MATCH(A2268,'Semrush Data'!$A$1:$A$20000,0),MATCH("Volume",'Semrush Data'!$A$1:$Z$1,0)),"")</f>
        <v/>
      </c>
      <c r="H2268" s="42">
        <f>IFERROR(INDEX('Semrush Data'!$A$1:$Z$20000,MATCH(A2268,'Semrush Data'!$A$1:$A$20000,0),MATCH("Keyword Difficulty*",'Semrush Data'!$A$1:$Z$1,0)),"")</f>
        <v/>
      </c>
      <c r="I2268" s="56">
        <f>IFERROR(INDEX('Semrush Data'!$A$1:$Z$20000,MATCH(A2268,'Semrush Data'!$A$1:$A$20000,0),MATCH("CPC*",'Semrush Data'!$A$1:$Z$1,0)),"")</f>
        <v/>
      </c>
      <c r="J2268" s="42">
        <f>IFERROR(INDEX('Semrush Data'!$A$1:$Z$20000,MATCH(A2268,'Semrush Data'!$A$1:$A$20000,0),MATCH("Intent",'Semrush Data'!$A$1:$Z$1,0)),"")</f>
        <v/>
      </c>
    </row>
    <row r="2269" ht="15" customHeight="1" s="37">
      <c r="A2269" s="42" t="inlineStr">
        <is>
          <t>bentley azure 2026</t>
        </is>
      </c>
      <c r="B2269" s="42" t="inlineStr">
        <is>
          <t>Google suggest</t>
        </is>
      </c>
      <c r="C2269" s="42" t="n">
        <v>3</v>
      </c>
      <c r="D2269" s="42" t="inlineStr">
        <is>
          <t>T3-1</t>
        </is>
      </c>
      <c r="E2269" s="42" t="n">
        <v>1</v>
      </c>
      <c r="F2269" s="42" t="inlineStr">
        <is>
          <t>FR-058</t>
        </is>
      </c>
      <c r="G2269" s="55">
        <f>IFERROR(INDEX('Semrush Data'!$A$1:$Z$20000,MATCH(A2269,'Semrush Data'!$A$1:$A$20000,0),MATCH("Volume",'Semrush Data'!$A$1:$Z$1,0)),"")</f>
        <v/>
      </c>
      <c r="H2269" s="42">
        <f>IFERROR(INDEX('Semrush Data'!$A$1:$Z$20000,MATCH(A2269,'Semrush Data'!$A$1:$A$20000,0),MATCH("Keyword Difficulty*",'Semrush Data'!$A$1:$Z$1,0)),"")</f>
        <v/>
      </c>
      <c r="I2269" s="56">
        <f>IFERROR(INDEX('Semrush Data'!$A$1:$Z$20000,MATCH(A2269,'Semrush Data'!$A$1:$A$20000,0),MATCH("CPC*",'Semrush Data'!$A$1:$Z$1,0)),"")</f>
        <v/>
      </c>
      <c r="J2269" s="42">
        <f>IFERROR(INDEX('Semrush Data'!$A$1:$Z$20000,MATCH(A2269,'Semrush Data'!$A$1:$A$20000,0),MATCH("Intent",'Semrush Data'!$A$1:$Z$1,0)),"")</f>
        <v/>
      </c>
    </row>
    <row r="2270" ht="15" customHeight="1" s="37">
      <c r="A2270" s="42" t="inlineStr">
        <is>
          <t>bentley azure 2026 price</t>
        </is>
      </c>
      <c r="B2270" s="42" t="inlineStr">
        <is>
          <t>Google suggest</t>
        </is>
      </c>
      <c r="C2270" s="42" t="n">
        <v>3</v>
      </c>
      <c r="D2270" s="42" t="n">
        <v>23</v>
      </c>
      <c r="E2270" s="42" t="n">
        <v>1</v>
      </c>
      <c r="F2270" s="42" t="inlineStr">
        <is>
          <t>FR-058</t>
        </is>
      </c>
      <c r="G2270" s="55">
        <f>IFERROR(INDEX('Semrush Data'!$A$1:$Z$20000,MATCH(A2270,'Semrush Data'!$A$1:$A$20000,0),MATCH("Volume",'Semrush Data'!$A$1:$Z$1,0)),"")</f>
        <v/>
      </c>
      <c r="H2270" s="42">
        <f>IFERROR(INDEX('Semrush Data'!$A$1:$Z$20000,MATCH(A2270,'Semrush Data'!$A$1:$A$20000,0),MATCH("Keyword Difficulty*",'Semrush Data'!$A$1:$Z$1,0)),"")</f>
        <v/>
      </c>
      <c r="I2270" s="56">
        <f>IFERROR(INDEX('Semrush Data'!$A$1:$Z$20000,MATCH(A2270,'Semrush Data'!$A$1:$A$20000,0),MATCH("CPC*",'Semrush Data'!$A$1:$Z$1,0)),"")</f>
        <v/>
      </c>
      <c r="J2270" s="42">
        <f>IFERROR(INDEX('Semrush Data'!$A$1:$Z$20000,MATCH(A2270,'Semrush Data'!$A$1:$A$20000,0),MATCH("Intent",'Semrush Data'!$A$1:$Z$1,0)),"")</f>
        <v/>
      </c>
    </row>
    <row r="2271" ht="15" customHeight="1" s="37">
      <c r="A2271" s="42" t="inlineStr">
        <is>
          <t>bentley azure for men</t>
        </is>
      </c>
      <c r="B2271" s="42" t="inlineStr">
        <is>
          <t>Google suggest</t>
        </is>
      </c>
      <c r="C2271" s="42" t="n">
        <v>3</v>
      </c>
      <c r="D2271" s="42" t="n">
        <v>23</v>
      </c>
      <c r="E2271" s="42" t="n">
        <v>1</v>
      </c>
      <c r="F2271" s="42" t="inlineStr">
        <is>
          <t>FR-058</t>
        </is>
      </c>
      <c r="G2271" s="55">
        <f>IFERROR(INDEX('Semrush Data'!$A$1:$Z$20000,MATCH(A2271,'Semrush Data'!$A$1:$A$20000,0),MATCH("Volume",'Semrush Data'!$A$1:$Z$1,0)),"")</f>
        <v/>
      </c>
      <c r="H2271" s="42">
        <f>IFERROR(INDEX('Semrush Data'!$A$1:$Z$20000,MATCH(A2271,'Semrush Data'!$A$1:$A$20000,0),MATCH("Keyword Difficulty*",'Semrush Data'!$A$1:$Z$1,0)),"")</f>
        <v/>
      </c>
      <c r="I2271" s="56">
        <f>IFERROR(INDEX('Semrush Data'!$A$1:$Z$20000,MATCH(A2271,'Semrush Data'!$A$1:$A$20000,0),MATCH("CPC*",'Semrush Data'!$A$1:$Z$1,0)),"")</f>
        <v/>
      </c>
      <c r="J2271" s="42">
        <f>IFERROR(INDEX('Semrush Data'!$A$1:$Z$20000,MATCH(A2271,'Semrush Data'!$A$1:$A$20000,0),MATCH("Intent",'Semrush Data'!$A$1:$Z$1,0)),"")</f>
        <v/>
      </c>
    </row>
    <row r="2272" ht="15" customHeight="1" s="37">
      <c r="A2272" s="42" t="inlineStr">
        <is>
          <t>bentley azure for sale</t>
        </is>
      </c>
      <c r="B2272" s="42" t="inlineStr">
        <is>
          <t>Google suggest</t>
        </is>
      </c>
      <c r="C2272" s="42" t="n">
        <v>3</v>
      </c>
      <c r="D2272" s="42" t="inlineStr">
        <is>
          <t>T3-1</t>
        </is>
      </c>
      <c r="E2272" s="42" t="n">
        <v>1</v>
      </c>
      <c r="F2272" s="42" t="inlineStr">
        <is>
          <t>FR-058</t>
        </is>
      </c>
      <c r="G2272" s="55">
        <f>IFERROR(INDEX('Semrush Data'!$A$1:$Z$20000,MATCH(A2272,'Semrush Data'!$A$1:$A$20000,0),MATCH("Volume",'Semrush Data'!$A$1:$Z$1,0)),"")</f>
        <v/>
      </c>
      <c r="H2272" s="42">
        <f>IFERROR(INDEX('Semrush Data'!$A$1:$Z$20000,MATCH(A2272,'Semrush Data'!$A$1:$A$20000,0),MATCH("Keyword Difficulty*",'Semrush Data'!$A$1:$Z$1,0)),"")</f>
        <v/>
      </c>
      <c r="I2272" s="56">
        <f>IFERROR(INDEX('Semrush Data'!$A$1:$Z$20000,MATCH(A2272,'Semrush Data'!$A$1:$A$20000,0),MATCH("CPC*",'Semrush Data'!$A$1:$Z$1,0)),"")</f>
        <v/>
      </c>
      <c r="J2272" s="42">
        <f>IFERROR(INDEX('Semrush Data'!$A$1:$Z$20000,MATCH(A2272,'Semrush Data'!$A$1:$A$20000,0),MATCH("Intent",'Semrush Data'!$A$1:$Z$1,0)),"")</f>
        <v/>
      </c>
    </row>
    <row r="2273" ht="15" customHeight="1" s="37">
      <c r="A2273" s="42" t="inlineStr">
        <is>
          <t>bentley azure perfume</t>
        </is>
      </c>
      <c r="B2273" s="42" t="inlineStr">
        <is>
          <t>Google suggest</t>
        </is>
      </c>
      <c r="C2273" s="42" t="n">
        <v>3</v>
      </c>
      <c r="D2273" s="42" t="n">
        <v>23</v>
      </c>
      <c r="E2273" s="42" t="n">
        <v>1</v>
      </c>
      <c r="F2273" s="42" t="inlineStr">
        <is>
          <t>FR-058</t>
        </is>
      </c>
      <c r="G2273" s="55">
        <f>IFERROR(INDEX('Semrush Data'!$A$1:$Z$20000,MATCH(A2273,'Semrush Data'!$A$1:$A$20000,0),MATCH("Volume",'Semrush Data'!$A$1:$Z$1,0)),"")</f>
        <v/>
      </c>
      <c r="H2273" s="42">
        <f>IFERROR(INDEX('Semrush Data'!$A$1:$Z$20000,MATCH(A2273,'Semrush Data'!$A$1:$A$20000,0),MATCH("Keyword Difficulty*",'Semrush Data'!$A$1:$Z$1,0)),"")</f>
        <v/>
      </c>
      <c r="I2273" s="56">
        <f>IFERROR(INDEX('Semrush Data'!$A$1:$Z$20000,MATCH(A2273,'Semrush Data'!$A$1:$A$20000,0),MATCH("CPC*",'Semrush Data'!$A$1:$Z$1,0)),"")</f>
        <v/>
      </c>
      <c r="J2273" s="42">
        <f>IFERROR(INDEX('Semrush Data'!$A$1:$Z$20000,MATCH(A2273,'Semrush Data'!$A$1:$A$20000,0),MATCH("Intent",'Semrush Data'!$A$1:$Z$1,0)),"")</f>
        <v/>
      </c>
    </row>
    <row r="2274" ht="15" customHeight="1" s="37">
      <c r="A2274" s="42" t="inlineStr">
        <is>
          <t>bentley become edp</t>
        </is>
      </c>
      <c r="B2274" s="42" t="inlineStr">
        <is>
          <t>Google suggest</t>
        </is>
      </c>
      <c r="C2274" s="42" t="n">
        <v>3</v>
      </c>
      <c r="D2274" s="42" t="n">
        <v>23</v>
      </c>
      <c r="E2274" s="42" t="n">
        <v>1</v>
      </c>
      <c r="F2274" s="42" t="inlineStr">
        <is>
          <t>FR-053</t>
        </is>
      </c>
      <c r="G2274" s="55">
        <f>IFERROR(INDEX('Semrush Data'!$A$1:$Z$20000,MATCH(A2274,'Semrush Data'!$A$1:$A$20000,0),MATCH("Volume",'Semrush Data'!$A$1:$Z$1,0)),"")</f>
        <v/>
      </c>
      <c r="H2274" s="42">
        <f>IFERROR(INDEX('Semrush Data'!$A$1:$Z$20000,MATCH(A2274,'Semrush Data'!$A$1:$A$20000,0),MATCH("Keyword Difficulty*",'Semrush Data'!$A$1:$Z$1,0)),"")</f>
        <v/>
      </c>
      <c r="I2274" s="56">
        <f>IFERROR(INDEX('Semrush Data'!$A$1:$Z$20000,MATCH(A2274,'Semrush Data'!$A$1:$A$20000,0),MATCH("CPC*",'Semrush Data'!$A$1:$Z$1,0)),"")</f>
        <v/>
      </c>
      <c r="J2274" s="42">
        <f>IFERROR(INDEX('Semrush Data'!$A$1:$Z$20000,MATCH(A2274,'Semrush Data'!$A$1:$A$20000,0),MATCH("Intent",'Semrush Data'!$A$1:$Z$1,0)),"")</f>
        <v/>
      </c>
    </row>
    <row r="2275" ht="15" customHeight="1" s="37">
      <c r="A2275" s="42" t="inlineStr">
        <is>
          <t>bentley become perfume</t>
        </is>
      </c>
      <c r="B2275" s="42" t="inlineStr">
        <is>
          <t>Google suggest</t>
        </is>
      </c>
      <c r="C2275" s="42" t="n">
        <v>3</v>
      </c>
      <c r="D2275" s="42" t="n">
        <v>23</v>
      </c>
      <c r="E2275" s="42" t="n">
        <v>1</v>
      </c>
      <c r="F2275" s="42" t="inlineStr">
        <is>
          <t>FR-053</t>
        </is>
      </c>
      <c r="G2275" s="55">
        <f>IFERROR(INDEX('Semrush Data'!$A$1:$Z$20000,MATCH(A2275,'Semrush Data'!$A$1:$A$20000,0),MATCH("Volume",'Semrush Data'!$A$1:$Z$1,0)),"")</f>
        <v/>
      </c>
      <c r="H2275" s="42">
        <f>IFERROR(INDEX('Semrush Data'!$A$1:$Z$20000,MATCH(A2275,'Semrush Data'!$A$1:$A$20000,0),MATCH("Keyword Difficulty*",'Semrush Data'!$A$1:$Z$1,0)),"")</f>
        <v/>
      </c>
      <c r="I2275" s="56">
        <f>IFERROR(INDEX('Semrush Data'!$A$1:$Z$20000,MATCH(A2275,'Semrush Data'!$A$1:$A$20000,0),MATCH("CPC*",'Semrush Data'!$A$1:$Z$1,0)),"")</f>
        <v/>
      </c>
      <c r="J2275" s="42">
        <f>IFERROR(INDEX('Semrush Data'!$A$1:$Z$20000,MATCH(A2275,'Semrush Data'!$A$1:$A$20000,0),MATCH("Intent",'Semrush Data'!$A$1:$Z$1,0)),"")</f>
        <v/>
      </c>
    </row>
    <row r="2276" ht="15" customHeight="1" s="37">
      <c r="A2276" s="42" t="inlineStr">
        <is>
          <t>bentley become perfume price</t>
        </is>
      </c>
      <c r="B2276" s="42" t="inlineStr">
        <is>
          <t>Google suggest</t>
        </is>
      </c>
      <c r="C2276" s="42" t="n">
        <v>3</v>
      </c>
      <c r="D2276" s="42" t="n">
        <v>23</v>
      </c>
      <c r="E2276" s="42" t="n">
        <v>1</v>
      </c>
      <c r="F2276" s="42" t="inlineStr">
        <is>
          <t>FR-053</t>
        </is>
      </c>
      <c r="G2276" s="55">
        <f>IFERROR(INDEX('Semrush Data'!$A$1:$Z$20000,MATCH(A2276,'Semrush Data'!$A$1:$A$20000,0),MATCH("Volume",'Semrush Data'!$A$1:$Z$1,0)),"")</f>
        <v/>
      </c>
      <c r="H2276" s="42">
        <f>IFERROR(INDEX('Semrush Data'!$A$1:$Z$20000,MATCH(A2276,'Semrush Data'!$A$1:$A$20000,0),MATCH("Keyword Difficulty*",'Semrush Data'!$A$1:$Z$1,0)),"")</f>
        <v/>
      </c>
      <c r="I2276" s="56">
        <f>IFERROR(INDEX('Semrush Data'!$A$1:$Z$20000,MATCH(A2276,'Semrush Data'!$A$1:$A$20000,0),MATCH("CPC*",'Semrush Data'!$A$1:$Z$1,0)),"")</f>
        <v/>
      </c>
      <c r="J2276" s="42">
        <f>IFERROR(INDEX('Semrush Data'!$A$1:$Z$20000,MATCH(A2276,'Semrush Data'!$A$1:$A$20000,0),MATCH("Intent",'Semrush Data'!$A$1:$Z$1,0)),"")</f>
        <v/>
      </c>
    </row>
    <row r="2277" ht="15" customHeight="1" s="37">
      <c r="A2277" s="42" t="inlineStr">
        <is>
          <t>bentley become review</t>
        </is>
      </c>
      <c r="B2277" s="42" t="inlineStr">
        <is>
          <t>Google suggest</t>
        </is>
      </c>
      <c r="C2277" s="42" t="n">
        <v>3</v>
      </c>
      <c r="D2277" s="42" t="n">
        <v>23</v>
      </c>
      <c r="E2277" s="42" t="n">
        <v>1</v>
      </c>
      <c r="F2277" s="42" t="inlineStr">
        <is>
          <t>FR-053</t>
        </is>
      </c>
      <c r="G2277" s="55">
        <f>IFERROR(INDEX('Semrush Data'!$A$1:$Z$20000,MATCH(A2277,'Semrush Data'!$A$1:$A$20000,0),MATCH("Volume",'Semrush Data'!$A$1:$Z$1,0)),"")</f>
        <v/>
      </c>
      <c r="H2277" s="42">
        <f>IFERROR(INDEX('Semrush Data'!$A$1:$Z$20000,MATCH(A2277,'Semrush Data'!$A$1:$A$20000,0),MATCH("Keyword Difficulty*",'Semrush Data'!$A$1:$Z$1,0)),"")</f>
        <v/>
      </c>
      <c r="I2277" s="56">
        <f>IFERROR(INDEX('Semrush Data'!$A$1:$Z$20000,MATCH(A2277,'Semrush Data'!$A$1:$A$20000,0),MATCH("CPC*",'Semrush Data'!$A$1:$Z$1,0)),"")</f>
        <v/>
      </c>
      <c r="J2277" s="42">
        <f>IFERROR(INDEX('Semrush Data'!$A$1:$Z$20000,MATCH(A2277,'Semrush Data'!$A$1:$A$20000,0),MATCH("Intent",'Semrush Data'!$A$1:$Z$1,0)),"")</f>
        <v/>
      </c>
    </row>
    <row r="2278" ht="15" customHeight="1" s="37">
      <c r="A2278" s="42" t="inlineStr">
        <is>
          <t>bentley infinite edt</t>
        </is>
      </c>
      <c r="B2278" s="42" t="inlineStr">
        <is>
          <t>Google suggest</t>
        </is>
      </c>
      <c r="C2278" s="42" t="n">
        <v>3</v>
      </c>
      <c r="D2278" s="42" t="n">
        <v>23</v>
      </c>
      <c r="E2278" s="42" t="n">
        <v>1</v>
      </c>
      <c r="F2278" s="42" t="inlineStr">
        <is>
          <t>FR-059</t>
        </is>
      </c>
      <c r="G2278" s="55">
        <f>IFERROR(INDEX('Semrush Data'!$A$1:$Z$20000,MATCH(A2278,'Semrush Data'!$A$1:$A$20000,0),MATCH("Volume",'Semrush Data'!$A$1:$Z$1,0)),"")</f>
        <v/>
      </c>
      <c r="H2278" s="42">
        <f>IFERROR(INDEX('Semrush Data'!$A$1:$Z$20000,MATCH(A2278,'Semrush Data'!$A$1:$A$20000,0),MATCH("Keyword Difficulty*",'Semrush Data'!$A$1:$Z$1,0)),"")</f>
        <v/>
      </c>
      <c r="I2278" s="56">
        <f>IFERROR(INDEX('Semrush Data'!$A$1:$Z$20000,MATCH(A2278,'Semrush Data'!$A$1:$A$20000,0),MATCH("CPC*",'Semrush Data'!$A$1:$Z$1,0)),"")</f>
        <v/>
      </c>
      <c r="J2278" s="42">
        <f>IFERROR(INDEX('Semrush Data'!$A$1:$Z$20000,MATCH(A2278,'Semrush Data'!$A$1:$A$20000,0),MATCH("Intent",'Semrush Data'!$A$1:$Z$1,0)),"")</f>
        <v/>
      </c>
    </row>
    <row r="2279" ht="15" customHeight="1" s="37">
      <c r="A2279" s="42" t="inlineStr">
        <is>
          <t>bentley infinite perfume</t>
        </is>
      </c>
      <c r="B2279" s="42" t="inlineStr">
        <is>
          <t>Google suggest</t>
        </is>
      </c>
      <c r="C2279" s="42" t="n">
        <v>3</v>
      </c>
      <c r="D2279" s="42" t="n">
        <v>23</v>
      </c>
      <c r="E2279" s="42" t="n">
        <v>1</v>
      </c>
      <c r="F2279" s="42" t="inlineStr">
        <is>
          <t>FR-059</t>
        </is>
      </c>
      <c r="G2279" s="55">
        <f>IFERROR(INDEX('Semrush Data'!$A$1:$Z$20000,MATCH(A2279,'Semrush Data'!$A$1:$A$20000,0),MATCH("Volume",'Semrush Data'!$A$1:$Z$1,0)),"")</f>
        <v/>
      </c>
      <c r="H2279" s="42">
        <f>IFERROR(INDEX('Semrush Data'!$A$1:$Z$20000,MATCH(A2279,'Semrush Data'!$A$1:$A$20000,0),MATCH("Keyword Difficulty*",'Semrush Data'!$A$1:$Z$1,0)),"")</f>
        <v/>
      </c>
      <c r="I2279" s="56">
        <f>IFERROR(INDEX('Semrush Data'!$A$1:$Z$20000,MATCH(A2279,'Semrush Data'!$A$1:$A$20000,0),MATCH("CPC*",'Semrush Data'!$A$1:$Z$1,0)),"")</f>
        <v/>
      </c>
      <c r="J2279" s="42">
        <f>IFERROR(INDEX('Semrush Data'!$A$1:$Z$20000,MATCH(A2279,'Semrush Data'!$A$1:$A$20000,0),MATCH("Intent",'Semrush Data'!$A$1:$Z$1,0)),"")</f>
        <v/>
      </c>
    </row>
    <row r="2280" ht="15" customHeight="1" s="37">
      <c r="A2280" s="42" t="inlineStr">
        <is>
          <t>bentley momentum unlimited edp</t>
        </is>
      </c>
      <c r="B2280" s="42" t="inlineStr">
        <is>
          <t>Google suggest</t>
        </is>
      </c>
      <c r="C2280" s="42" t="n">
        <v>3</v>
      </c>
      <c r="D2280" s="42" t="n">
        <v>23</v>
      </c>
      <c r="E2280" s="42" t="n">
        <v>1</v>
      </c>
      <c r="F2280" s="42" t="inlineStr">
        <is>
          <t>FR-060</t>
        </is>
      </c>
      <c r="G2280" s="55">
        <f>IFERROR(INDEX('Semrush Data'!$A$1:$Z$20000,MATCH(A2280,'Semrush Data'!$A$1:$A$20000,0),MATCH("Volume",'Semrush Data'!$A$1:$Z$1,0)),"")</f>
        <v/>
      </c>
      <c r="H2280" s="42">
        <f>IFERROR(INDEX('Semrush Data'!$A$1:$Z$20000,MATCH(A2280,'Semrush Data'!$A$1:$A$20000,0),MATCH("Keyword Difficulty*",'Semrush Data'!$A$1:$Z$1,0)),"")</f>
        <v/>
      </c>
      <c r="I2280" s="56">
        <f>IFERROR(INDEX('Semrush Data'!$A$1:$Z$20000,MATCH(A2280,'Semrush Data'!$A$1:$A$20000,0),MATCH("CPC*",'Semrush Data'!$A$1:$Z$1,0)),"")</f>
        <v/>
      </c>
      <c r="J2280" s="42">
        <f>IFERROR(INDEX('Semrush Data'!$A$1:$Z$20000,MATCH(A2280,'Semrush Data'!$A$1:$A$20000,0),MATCH("Intent",'Semrush Data'!$A$1:$Z$1,0)),"")</f>
        <v/>
      </c>
    </row>
    <row r="2281" ht="15" customHeight="1" s="37">
      <c r="A2281" s="42" t="inlineStr">
        <is>
          <t>bentley momentum unlimited edt</t>
        </is>
      </c>
      <c r="B2281" s="42" t="inlineStr">
        <is>
          <t>Google suggest</t>
        </is>
      </c>
      <c r="C2281" s="42" t="n">
        <v>3</v>
      </c>
      <c r="D2281" s="42" t="n">
        <v>23</v>
      </c>
      <c r="E2281" s="42" t="n">
        <v>1</v>
      </c>
      <c r="F2281" s="42" t="inlineStr">
        <is>
          <t>FR-060</t>
        </is>
      </c>
      <c r="G2281" s="55">
        <f>IFERROR(INDEX('Semrush Data'!$A$1:$Z$20000,MATCH(A2281,'Semrush Data'!$A$1:$A$20000,0),MATCH("Volume",'Semrush Data'!$A$1:$Z$1,0)),"")</f>
        <v/>
      </c>
      <c r="H2281" s="42">
        <f>IFERROR(INDEX('Semrush Data'!$A$1:$Z$20000,MATCH(A2281,'Semrush Data'!$A$1:$A$20000,0),MATCH("Keyword Difficulty*",'Semrush Data'!$A$1:$Z$1,0)),"")</f>
        <v/>
      </c>
      <c r="I2281" s="56">
        <f>IFERROR(INDEX('Semrush Data'!$A$1:$Z$20000,MATCH(A2281,'Semrush Data'!$A$1:$A$20000,0),MATCH("CPC*",'Semrush Data'!$A$1:$Z$1,0)),"")</f>
        <v/>
      </c>
      <c r="J2281" s="42">
        <f>IFERROR(INDEX('Semrush Data'!$A$1:$Z$20000,MATCH(A2281,'Semrush Data'!$A$1:$A$20000,0),MATCH("Intent",'Semrush Data'!$A$1:$Z$1,0)),"")</f>
        <v/>
      </c>
    </row>
    <row r="2282" ht="15" customHeight="1" s="37">
      <c r="A2282" s="42" t="inlineStr">
        <is>
          <t>bentley momentum unlimited edt 100ml</t>
        </is>
      </c>
      <c r="B2282" s="42" t="inlineStr">
        <is>
          <t>Google suggest</t>
        </is>
      </c>
      <c r="C2282" s="42" t="n">
        <v>3</v>
      </c>
      <c r="D2282" s="42" t="n">
        <v>23</v>
      </c>
      <c r="E2282" s="42" t="n">
        <v>1</v>
      </c>
      <c r="F2282" s="42" t="inlineStr">
        <is>
          <t>FR-060</t>
        </is>
      </c>
      <c r="G2282" s="55">
        <f>IFERROR(INDEX('Semrush Data'!$A$1:$Z$20000,MATCH(A2282,'Semrush Data'!$A$1:$A$20000,0),MATCH("Volume",'Semrush Data'!$A$1:$Z$1,0)),"")</f>
        <v/>
      </c>
      <c r="H2282" s="42">
        <f>IFERROR(INDEX('Semrush Data'!$A$1:$Z$20000,MATCH(A2282,'Semrush Data'!$A$1:$A$20000,0),MATCH("Keyword Difficulty*",'Semrush Data'!$A$1:$Z$1,0)),"")</f>
        <v/>
      </c>
      <c r="I2282" s="56">
        <f>IFERROR(INDEX('Semrush Data'!$A$1:$Z$20000,MATCH(A2282,'Semrush Data'!$A$1:$A$20000,0),MATCH("CPC*",'Semrush Data'!$A$1:$Z$1,0)),"")</f>
        <v/>
      </c>
      <c r="J2282" s="42">
        <f>IFERROR(INDEX('Semrush Data'!$A$1:$Z$20000,MATCH(A2282,'Semrush Data'!$A$1:$A$20000,0),MATCH("Intent",'Semrush Data'!$A$1:$Z$1,0)),"")</f>
        <v/>
      </c>
    </row>
    <row r="2283" ht="15" customHeight="1" s="37">
      <c r="A2283" s="42" t="inlineStr">
        <is>
          <t>bentley momentum unlimited notes</t>
        </is>
      </c>
      <c r="B2283" s="42" t="inlineStr">
        <is>
          <t>Google suggest</t>
        </is>
      </c>
      <c r="C2283" s="42" t="n">
        <v>3</v>
      </c>
      <c r="D2283" s="42" t="n">
        <v>23</v>
      </c>
      <c r="E2283" s="42" t="n">
        <v>1</v>
      </c>
      <c r="F2283" s="42" t="inlineStr">
        <is>
          <t>FR-060</t>
        </is>
      </c>
      <c r="G2283" s="55">
        <f>IFERROR(INDEX('Semrush Data'!$A$1:$Z$20000,MATCH(A2283,'Semrush Data'!$A$1:$A$20000,0),MATCH("Volume",'Semrush Data'!$A$1:$Z$1,0)),"")</f>
        <v/>
      </c>
      <c r="H2283" s="42">
        <f>IFERROR(INDEX('Semrush Data'!$A$1:$Z$20000,MATCH(A2283,'Semrush Data'!$A$1:$A$20000,0),MATCH("Keyword Difficulty*",'Semrush Data'!$A$1:$Z$1,0)),"")</f>
        <v/>
      </c>
      <c r="I2283" s="56">
        <f>IFERROR(INDEX('Semrush Data'!$A$1:$Z$20000,MATCH(A2283,'Semrush Data'!$A$1:$A$20000,0),MATCH("CPC*",'Semrush Data'!$A$1:$Z$1,0)),"")</f>
        <v/>
      </c>
      <c r="J2283" s="42">
        <f>IFERROR(INDEX('Semrush Data'!$A$1:$Z$20000,MATCH(A2283,'Semrush Data'!$A$1:$A$20000,0),MATCH("Intent",'Semrush Data'!$A$1:$Z$1,0)),"")</f>
        <v/>
      </c>
    </row>
    <row r="2284" ht="15" customHeight="1" s="37">
      <c r="A2284" s="42" t="inlineStr">
        <is>
          <t>bentley momentum unlimited review</t>
        </is>
      </c>
      <c r="B2284" s="42" t="inlineStr">
        <is>
          <t>Google suggest</t>
        </is>
      </c>
      <c r="C2284" s="42" t="n">
        <v>3</v>
      </c>
      <c r="D2284" s="42" t="n">
        <v>23</v>
      </c>
      <c r="E2284" s="42" t="n">
        <v>1</v>
      </c>
      <c r="F2284" s="42" t="inlineStr">
        <is>
          <t>FR-060</t>
        </is>
      </c>
      <c r="G2284" s="55">
        <f>IFERROR(INDEX('Semrush Data'!$A$1:$Z$20000,MATCH(A2284,'Semrush Data'!$A$1:$A$20000,0),MATCH("Volume",'Semrush Data'!$A$1:$Z$1,0)),"")</f>
        <v/>
      </c>
      <c r="H2284" s="42">
        <f>IFERROR(INDEX('Semrush Data'!$A$1:$Z$20000,MATCH(A2284,'Semrush Data'!$A$1:$A$20000,0),MATCH("Keyword Difficulty*",'Semrush Data'!$A$1:$Z$1,0)),"")</f>
        <v/>
      </c>
      <c r="I2284" s="56">
        <f>IFERROR(INDEX('Semrush Data'!$A$1:$Z$20000,MATCH(A2284,'Semrush Data'!$A$1:$A$20000,0),MATCH("CPC*",'Semrush Data'!$A$1:$Z$1,0)),"")</f>
        <v/>
      </c>
      <c r="J2284" s="42">
        <f>IFERROR(INDEX('Semrush Data'!$A$1:$Z$20000,MATCH(A2284,'Semrush Data'!$A$1:$A$20000,0),MATCH("Intent",'Semrush Data'!$A$1:$Z$1,0)),"")</f>
        <v/>
      </c>
    </row>
    <row r="2285" ht="15" customHeight="1" s="37">
      <c r="A2285" s="42" t="inlineStr">
        <is>
          <t>bentley silverlake dupe of</t>
        </is>
      </c>
      <c r="B2285" s="42" t="inlineStr">
        <is>
          <t>Google suggest</t>
        </is>
      </c>
      <c r="C2285" s="42" t="n">
        <v>3</v>
      </c>
      <c r="D2285" s="42" t="n">
        <v>23</v>
      </c>
      <c r="E2285" s="42" t="n">
        <v>1</v>
      </c>
      <c r="F2285" s="42" t="inlineStr">
        <is>
          <t>FR-055</t>
        </is>
      </c>
      <c r="G2285" s="55">
        <f>IFERROR(INDEX('Semrush Data'!$A$1:$Z$20000,MATCH(A2285,'Semrush Data'!$A$1:$A$20000,0),MATCH("Volume",'Semrush Data'!$A$1:$Z$1,0)),"")</f>
        <v/>
      </c>
      <c r="H2285" s="42">
        <f>IFERROR(INDEX('Semrush Data'!$A$1:$Z$20000,MATCH(A2285,'Semrush Data'!$A$1:$A$20000,0),MATCH("Keyword Difficulty*",'Semrush Data'!$A$1:$Z$1,0)),"")</f>
        <v/>
      </c>
      <c r="I2285" s="56">
        <f>IFERROR(INDEX('Semrush Data'!$A$1:$Z$20000,MATCH(A2285,'Semrush Data'!$A$1:$A$20000,0),MATCH("CPC*",'Semrush Data'!$A$1:$Z$1,0)),"")</f>
        <v/>
      </c>
      <c r="J2285" s="42">
        <f>IFERROR(INDEX('Semrush Data'!$A$1:$Z$20000,MATCH(A2285,'Semrush Data'!$A$1:$A$20000,0),MATCH("Intent",'Semrush Data'!$A$1:$Z$1,0)),"")</f>
        <v/>
      </c>
    </row>
    <row r="2286" ht="15" customHeight="1" s="37">
      <c r="A2286" s="42" t="inlineStr">
        <is>
          <t>bentley silverlake edp</t>
        </is>
      </c>
      <c r="B2286" s="42" t="inlineStr">
        <is>
          <t>Google suggest</t>
        </is>
      </c>
      <c r="C2286" s="42" t="n">
        <v>3</v>
      </c>
      <c r="D2286" s="42" t="n">
        <v>23</v>
      </c>
      <c r="E2286" s="42" t="n">
        <v>1</v>
      </c>
      <c r="F2286" s="42" t="inlineStr">
        <is>
          <t>FR-055</t>
        </is>
      </c>
      <c r="G2286" s="55">
        <f>IFERROR(INDEX('Semrush Data'!$A$1:$Z$20000,MATCH(A2286,'Semrush Data'!$A$1:$A$20000,0),MATCH("Volume",'Semrush Data'!$A$1:$Z$1,0)),"")</f>
        <v/>
      </c>
      <c r="H2286" s="42">
        <f>IFERROR(INDEX('Semrush Data'!$A$1:$Z$20000,MATCH(A2286,'Semrush Data'!$A$1:$A$20000,0),MATCH("Keyword Difficulty*",'Semrush Data'!$A$1:$Z$1,0)),"")</f>
        <v/>
      </c>
      <c r="I2286" s="56">
        <f>IFERROR(INDEX('Semrush Data'!$A$1:$Z$20000,MATCH(A2286,'Semrush Data'!$A$1:$A$20000,0),MATCH("CPC*",'Semrush Data'!$A$1:$Z$1,0)),"")</f>
        <v/>
      </c>
      <c r="J2286" s="42">
        <f>IFERROR(INDEX('Semrush Data'!$A$1:$Z$20000,MATCH(A2286,'Semrush Data'!$A$1:$A$20000,0),MATCH("Intent",'Semrush Data'!$A$1:$Z$1,0)),"")</f>
        <v/>
      </c>
    </row>
    <row r="2287" ht="15" customHeight="1" s="37">
      <c r="A2287" s="42" t="inlineStr">
        <is>
          <t>bentley silverlake notes</t>
        </is>
      </c>
      <c r="B2287" s="42" t="inlineStr">
        <is>
          <t>Google suggest</t>
        </is>
      </c>
      <c r="C2287" s="42" t="n">
        <v>3</v>
      </c>
      <c r="D2287" s="42" t="n">
        <v>23</v>
      </c>
      <c r="E2287" s="42" t="n">
        <v>1</v>
      </c>
      <c r="F2287" s="42" t="inlineStr">
        <is>
          <t>FR-055</t>
        </is>
      </c>
      <c r="G2287" s="55">
        <f>IFERROR(INDEX('Semrush Data'!$A$1:$Z$20000,MATCH(A2287,'Semrush Data'!$A$1:$A$20000,0),MATCH("Volume",'Semrush Data'!$A$1:$Z$1,0)),"")</f>
        <v/>
      </c>
      <c r="H2287" s="42">
        <f>IFERROR(INDEX('Semrush Data'!$A$1:$Z$20000,MATCH(A2287,'Semrush Data'!$A$1:$A$20000,0),MATCH("Keyword Difficulty*",'Semrush Data'!$A$1:$Z$1,0)),"")</f>
        <v/>
      </c>
      <c r="I2287" s="56">
        <f>IFERROR(INDEX('Semrush Data'!$A$1:$Z$20000,MATCH(A2287,'Semrush Data'!$A$1:$A$20000,0),MATCH("CPC*",'Semrush Data'!$A$1:$Z$1,0)),"")</f>
        <v/>
      </c>
      <c r="J2287" s="42">
        <f>IFERROR(INDEX('Semrush Data'!$A$1:$Z$20000,MATCH(A2287,'Semrush Data'!$A$1:$A$20000,0),MATCH("Intent",'Semrush Data'!$A$1:$Z$1,0)),"")</f>
        <v/>
      </c>
    </row>
    <row r="2288" ht="15" customHeight="1" s="37">
      <c r="A2288" s="42" t="inlineStr">
        <is>
          <t>bentley silverlake perfume</t>
        </is>
      </c>
      <c r="B2288" s="42" t="inlineStr">
        <is>
          <t>Google suggest</t>
        </is>
      </c>
      <c r="C2288" s="42" t="n">
        <v>3</v>
      </c>
      <c r="D2288" s="42" t="n">
        <v>23</v>
      </c>
      <c r="E2288" s="42" t="n">
        <v>1</v>
      </c>
      <c r="F2288" s="42" t="inlineStr">
        <is>
          <t>FR-055</t>
        </is>
      </c>
      <c r="G2288" s="55">
        <f>IFERROR(INDEX('Semrush Data'!$A$1:$Z$20000,MATCH(A2288,'Semrush Data'!$A$1:$A$20000,0),MATCH("Volume",'Semrush Data'!$A$1:$Z$1,0)),"")</f>
        <v/>
      </c>
      <c r="H2288" s="42">
        <f>IFERROR(INDEX('Semrush Data'!$A$1:$Z$20000,MATCH(A2288,'Semrush Data'!$A$1:$A$20000,0),MATCH("Keyword Difficulty*",'Semrush Data'!$A$1:$Z$1,0)),"")</f>
        <v/>
      </c>
      <c r="I2288" s="56">
        <f>IFERROR(INDEX('Semrush Data'!$A$1:$Z$20000,MATCH(A2288,'Semrush Data'!$A$1:$A$20000,0),MATCH("CPC*",'Semrush Data'!$A$1:$Z$1,0)),"")</f>
        <v/>
      </c>
      <c r="J2288" s="42">
        <f>IFERROR(INDEX('Semrush Data'!$A$1:$Z$20000,MATCH(A2288,'Semrush Data'!$A$1:$A$20000,0),MATCH("Intent",'Semrush Data'!$A$1:$Z$1,0)),"")</f>
        <v/>
      </c>
    </row>
    <row r="2289" ht="15" customHeight="1" s="37">
      <c r="A2289" s="42" t="inlineStr">
        <is>
          <t>bentley silverlake review</t>
        </is>
      </c>
      <c r="B2289" s="42" t="inlineStr">
        <is>
          <t>Google suggest</t>
        </is>
      </c>
      <c r="C2289" s="42" t="n">
        <v>3</v>
      </c>
      <c r="D2289" s="42" t="n">
        <v>23</v>
      </c>
      <c r="E2289" s="42" t="n">
        <v>1</v>
      </c>
      <c r="F2289" s="42" t="inlineStr">
        <is>
          <t>FR-055</t>
        </is>
      </c>
      <c r="G2289" s="55">
        <f>IFERROR(INDEX('Semrush Data'!$A$1:$Z$20000,MATCH(A2289,'Semrush Data'!$A$1:$A$20000,0),MATCH("Volume",'Semrush Data'!$A$1:$Z$1,0)),"")</f>
        <v/>
      </c>
      <c r="H2289" s="42">
        <f>IFERROR(INDEX('Semrush Data'!$A$1:$Z$20000,MATCH(A2289,'Semrush Data'!$A$1:$A$20000,0),MATCH("Keyword Difficulty*",'Semrush Data'!$A$1:$Z$1,0)),"")</f>
        <v/>
      </c>
      <c r="I2289" s="56">
        <f>IFERROR(INDEX('Semrush Data'!$A$1:$Z$20000,MATCH(A2289,'Semrush Data'!$A$1:$A$20000,0),MATCH("CPC*",'Semrush Data'!$A$1:$Z$1,0)),"")</f>
        <v/>
      </c>
      <c r="J2289" s="42">
        <f>IFERROR(INDEX('Semrush Data'!$A$1:$Z$20000,MATCH(A2289,'Semrush Data'!$A$1:$A$20000,0),MATCH("Intent",'Semrush Data'!$A$1:$Z$1,0)),"")</f>
        <v/>
      </c>
    </row>
    <row r="2290" ht="15" customHeight="1" s="37">
      <c r="A2290" s="42" t="inlineStr">
        <is>
          <t>burberry mini set</t>
        </is>
      </c>
      <c r="B2290" s="42" t="inlineStr">
        <is>
          <t>Google suggest</t>
        </is>
      </c>
      <c r="C2290" s="42" t="n">
        <v>3</v>
      </c>
      <c r="D2290" s="42" t="n">
        <v>23</v>
      </c>
      <c r="E2290" s="42" t="n">
        <v>1</v>
      </c>
      <c r="F2290" s="42" t="inlineStr">
        <is>
          <t>FR-065</t>
        </is>
      </c>
      <c r="G2290" s="55">
        <f>IFERROR(INDEX('Semrush Data'!$A$1:$Z$20000,MATCH(A2290,'Semrush Data'!$A$1:$A$20000,0),MATCH("Volume",'Semrush Data'!$A$1:$Z$1,0)),"")</f>
        <v/>
      </c>
      <c r="H2290" s="42">
        <f>IFERROR(INDEX('Semrush Data'!$A$1:$Z$20000,MATCH(A2290,'Semrush Data'!$A$1:$A$20000,0),MATCH("Keyword Difficulty*",'Semrush Data'!$A$1:$Z$1,0)),"")</f>
        <v/>
      </c>
      <c r="I2290" s="56">
        <f>IFERROR(INDEX('Semrush Data'!$A$1:$Z$20000,MATCH(A2290,'Semrush Data'!$A$1:$A$20000,0),MATCH("CPC*",'Semrush Data'!$A$1:$Z$1,0)),"")</f>
        <v/>
      </c>
      <c r="J2290" s="42">
        <f>IFERROR(INDEX('Semrush Data'!$A$1:$Z$20000,MATCH(A2290,'Semrush Data'!$A$1:$A$20000,0),MATCH("Intent",'Semrush Data'!$A$1:$Z$1,0)),"")</f>
        <v/>
      </c>
    </row>
    <row r="2291" ht="15" customHeight="1" s="37">
      <c r="A2291" s="42" t="inlineStr">
        <is>
          <t>burberry mini set 4</t>
        </is>
      </c>
      <c r="B2291" s="42" t="inlineStr">
        <is>
          <t>Google suggest</t>
        </is>
      </c>
      <c r="C2291" s="42" t="n">
        <v>3</v>
      </c>
      <c r="D2291" s="42" t="n">
        <v>23</v>
      </c>
      <c r="E2291" s="42" t="n">
        <v>1</v>
      </c>
      <c r="F2291" s="42" t="inlineStr">
        <is>
          <t>FR-065</t>
        </is>
      </c>
      <c r="G2291" s="55">
        <f>IFERROR(INDEX('Semrush Data'!$A$1:$Z$20000,MATCH(A2291,'Semrush Data'!$A$1:$A$20000,0),MATCH("Volume",'Semrush Data'!$A$1:$Z$1,0)),"")</f>
        <v/>
      </c>
      <c r="H2291" s="42">
        <f>IFERROR(INDEX('Semrush Data'!$A$1:$Z$20000,MATCH(A2291,'Semrush Data'!$A$1:$A$20000,0),MATCH("Keyword Difficulty*",'Semrush Data'!$A$1:$Z$1,0)),"")</f>
        <v/>
      </c>
      <c r="I2291" s="56">
        <f>IFERROR(INDEX('Semrush Data'!$A$1:$Z$20000,MATCH(A2291,'Semrush Data'!$A$1:$A$20000,0),MATCH("CPC*",'Semrush Data'!$A$1:$Z$1,0)),"")</f>
        <v/>
      </c>
      <c r="J2291" s="42">
        <f>IFERROR(INDEX('Semrush Data'!$A$1:$Z$20000,MATCH(A2291,'Semrush Data'!$A$1:$A$20000,0),MATCH("Intent",'Semrush Data'!$A$1:$Z$1,0)),"")</f>
        <v/>
      </c>
    </row>
    <row r="2292" ht="15" customHeight="1" s="37">
      <c r="A2292" s="42" t="inlineStr">
        <is>
          <t>burberry mini set perfume</t>
        </is>
      </c>
      <c r="B2292" s="42" t="inlineStr">
        <is>
          <t>Google suggest</t>
        </is>
      </c>
      <c r="C2292" s="42" t="n">
        <v>3</v>
      </c>
      <c r="D2292" s="42" t="n">
        <v>23</v>
      </c>
      <c r="E2292" s="42" t="n">
        <v>1</v>
      </c>
      <c r="F2292" s="42" t="inlineStr">
        <is>
          <t>FR-065</t>
        </is>
      </c>
      <c r="G2292" s="55">
        <f>IFERROR(INDEX('Semrush Data'!$A$1:$Z$20000,MATCH(A2292,'Semrush Data'!$A$1:$A$20000,0),MATCH("Volume",'Semrush Data'!$A$1:$Z$1,0)),"")</f>
        <v/>
      </c>
      <c r="H2292" s="42">
        <f>IFERROR(INDEX('Semrush Data'!$A$1:$Z$20000,MATCH(A2292,'Semrush Data'!$A$1:$A$20000,0),MATCH("Keyword Difficulty*",'Semrush Data'!$A$1:$Z$1,0)),"")</f>
        <v/>
      </c>
      <c r="I2292" s="56">
        <f>IFERROR(INDEX('Semrush Data'!$A$1:$Z$20000,MATCH(A2292,'Semrush Data'!$A$1:$A$20000,0),MATCH("CPC*",'Semrush Data'!$A$1:$Z$1,0)),"")</f>
        <v/>
      </c>
      <c r="J2292" s="42">
        <f>IFERROR(INDEX('Semrush Data'!$A$1:$Z$20000,MATCH(A2292,'Semrush Data'!$A$1:$A$20000,0),MATCH("Intent",'Semrush Data'!$A$1:$Z$1,0)),"")</f>
        <v/>
      </c>
    </row>
    <row r="2293" ht="15" customHeight="1" s="37">
      <c r="A2293" s="42" t="inlineStr">
        <is>
          <t>burberry miniature perfume set</t>
        </is>
      </c>
      <c r="B2293" s="42" t="inlineStr">
        <is>
          <t>Google suggest</t>
        </is>
      </c>
      <c r="C2293" s="42" t="n">
        <v>3</v>
      </c>
      <c r="D2293" s="42" t="n">
        <v>23</v>
      </c>
      <c r="E2293" s="42" t="n">
        <v>1</v>
      </c>
      <c r="F2293" s="42" t="inlineStr">
        <is>
          <t>FR-065</t>
        </is>
      </c>
      <c r="G2293" s="55">
        <f>IFERROR(INDEX('Semrush Data'!$A$1:$Z$20000,MATCH(A2293,'Semrush Data'!$A$1:$A$20000,0),MATCH("Volume",'Semrush Data'!$A$1:$Z$1,0)),"")</f>
        <v/>
      </c>
      <c r="H2293" s="42">
        <f>IFERROR(INDEX('Semrush Data'!$A$1:$Z$20000,MATCH(A2293,'Semrush Data'!$A$1:$A$20000,0),MATCH("Keyword Difficulty*",'Semrush Data'!$A$1:$Z$1,0)),"")</f>
        <v/>
      </c>
      <c r="I2293" s="56">
        <f>IFERROR(INDEX('Semrush Data'!$A$1:$Z$20000,MATCH(A2293,'Semrush Data'!$A$1:$A$20000,0),MATCH("CPC*",'Semrush Data'!$A$1:$Z$1,0)),"")</f>
        <v/>
      </c>
      <c r="J2293" s="42">
        <f>IFERROR(INDEX('Semrush Data'!$A$1:$Z$20000,MATCH(A2293,'Semrush Data'!$A$1:$A$20000,0),MATCH("Intent",'Semrush Data'!$A$1:$Z$1,0)),"")</f>
        <v/>
      </c>
    </row>
    <row r="2294" ht="15" customHeight="1" s="37">
      <c r="A2294" s="42" t="inlineStr">
        <is>
          <t>burberry my burberry black eau de parfum</t>
        </is>
      </c>
      <c r="B2294" s="42" t="inlineStr">
        <is>
          <t>Google suggest</t>
        </is>
      </c>
      <c r="C2294" s="42" t="n">
        <v>3</v>
      </c>
      <c r="D2294" s="42" t="n">
        <v>23</v>
      </c>
      <c r="E2294" s="42" t="n">
        <v>2</v>
      </c>
      <c r="F2294" s="42" t="inlineStr">
        <is>
          <t>FR-066, FR-067</t>
        </is>
      </c>
      <c r="G2294" s="55">
        <f>IFERROR(INDEX('Semrush Data'!$A$1:$Z$20000,MATCH(A2294,'Semrush Data'!$A$1:$A$20000,0),MATCH("Volume",'Semrush Data'!$A$1:$Z$1,0)),"")</f>
        <v/>
      </c>
      <c r="H2294" s="42">
        <f>IFERROR(INDEX('Semrush Data'!$A$1:$Z$20000,MATCH(A2294,'Semrush Data'!$A$1:$A$20000,0),MATCH("Keyword Difficulty*",'Semrush Data'!$A$1:$Z$1,0)),"")</f>
        <v/>
      </c>
      <c r="I2294" s="56">
        <f>IFERROR(INDEX('Semrush Data'!$A$1:$Z$20000,MATCH(A2294,'Semrush Data'!$A$1:$A$20000,0),MATCH("CPC*",'Semrush Data'!$A$1:$Z$1,0)),"")</f>
        <v/>
      </c>
      <c r="J2294" s="42">
        <f>IFERROR(INDEX('Semrush Data'!$A$1:$Z$20000,MATCH(A2294,'Semrush Data'!$A$1:$A$20000,0),MATCH("Intent",'Semrush Data'!$A$1:$Z$1,0)),"")</f>
        <v/>
      </c>
    </row>
    <row r="2295" ht="15" customHeight="1" s="37">
      <c r="A2295" s="42" t="inlineStr">
        <is>
          <t>burberry my burberry black eau de parfum 50ml</t>
        </is>
      </c>
      <c r="B2295" s="42" t="inlineStr">
        <is>
          <t>Google suggest</t>
        </is>
      </c>
      <c r="C2295" s="42" t="n">
        <v>3</v>
      </c>
      <c r="D2295" s="42" t="n">
        <v>23</v>
      </c>
      <c r="E2295" s="42" t="n">
        <v>2</v>
      </c>
      <c r="F2295" s="42" t="inlineStr">
        <is>
          <t>FR-066, FR-067</t>
        </is>
      </c>
      <c r="G2295" s="55">
        <f>IFERROR(INDEX('Semrush Data'!$A$1:$Z$20000,MATCH(A2295,'Semrush Data'!$A$1:$A$20000,0),MATCH("Volume",'Semrush Data'!$A$1:$Z$1,0)),"")</f>
        <v/>
      </c>
      <c r="H2295" s="42">
        <f>IFERROR(INDEX('Semrush Data'!$A$1:$Z$20000,MATCH(A2295,'Semrush Data'!$A$1:$A$20000,0),MATCH("Keyword Difficulty*",'Semrush Data'!$A$1:$Z$1,0)),"")</f>
        <v/>
      </c>
      <c r="I2295" s="56">
        <f>IFERROR(INDEX('Semrush Data'!$A$1:$Z$20000,MATCH(A2295,'Semrush Data'!$A$1:$A$20000,0),MATCH("CPC*",'Semrush Data'!$A$1:$Z$1,0)),"")</f>
        <v/>
      </c>
      <c r="J2295" s="42">
        <f>IFERROR(INDEX('Semrush Data'!$A$1:$Z$20000,MATCH(A2295,'Semrush Data'!$A$1:$A$20000,0),MATCH("Intent",'Semrush Data'!$A$1:$Z$1,0)),"")</f>
        <v/>
      </c>
    </row>
    <row r="2296" ht="15" customHeight="1" s="37">
      <c r="A2296" s="42" t="inlineStr">
        <is>
          <t>burberry my burberry black eau de parfum 90ml</t>
        </is>
      </c>
      <c r="B2296" s="42" t="inlineStr">
        <is>
          <t>Google suggest</t>
        </is>
      </c>
      <c r="C2296" s="42" t="n">
        <v>3</v>
      </c>
      <c r="D2296" s="42" t="n">
        <v>23</v>
      </c>
      <c r="E2296" s="42" t="n">
        <v>2</v>
      </c>
      <c r="F2296" s="42" t="inlineStr">
        <is>
          <t>FR-066, FR-067</t>
        </is>
      </c>
      <c r="G2296" s="55">
        <f>IFERROR(INDEX('Semrush Data'!$A$1:$Z$20000,MATCH(A2296,'Semrush Data'!$A$1:$A$20000,0),MATCH("Volume",'Semrush Data'!$A$1:$Z$1,0)),"")</f>
        <v/>
      </c>
      <c r="H2296" s="42">
        <f>IFERROR(INDEX('Semrush Data'!$A$1:$Z$20000,MATCH(A2296,'Semrush Data'!$A$1:$A$20000,0),MATCH("Keyword Difficulty*",'Semrush Data'!$A$1:$Z$1,0)),"")</f>
        <v/>
      </c>
      <c r="I2296" s="56">
        <f>IFERROR(INDEX('Semrush Data'!$A$1:$Z$20000,MATCH(A2296,'Semrush Data'!$A$1:$A$20000,0),MATCH("CPC*",'Semrush Data'!$A$1:$Z$1,0)),"")</f>
        <v/>
      </c>
      <c r="J2296" s="42">
        <f>IFERROR(INDEX('Semrush Data'!$A$1:$Z$20000,MATCH(A2296,'Semrush Data'!$A$1:$A$20000,0),MATCH("Intent",'Semrush Data'!$A$1:$Z$1,0)),"")</f>
        <v/>
      </c>
    </row>
    <row r="2297" ht="15" customHeight="1" s="37">
      <c r="A2297" s="42" t="inlineStr">
        <is>
          <t>burberry my burberry black edp</t>
        </is>
      </c>
      <c r="B2297" s="42" t="inlineStr">
        <is>
          <t>Google suggest</t>
        </is>
      </c>
      <c r="C2297" s="42" t="n">
        <v>3</v>
      </c>
      <c r="D2297" s="42" t="n">
        <v>23</v>
      </c>
      <c r="E2297" s="42" t="n">
        <v>2</v>
      </c>
      <c r="F2297" s="42" t="inlineStr">
        <is>
          <t>FR-066, FR-067</t>
        </is>
      </c>
      <c r="G2297" s="55">
        <f>IFERROR(INDEX('Semrush Data'!$A$1:$Z$20000,MATCH(A2297,'Semrush Data'!$A$1:$A$20000,0),MATCH("Volume",'Semrush Data'!$A$1:$Z$1,0)),"")</f>
        <v/>
      </c>
      <c r="H2297" s="42">
        <f>IFERROR(INDEX('Semrush Data'!$A$1:$Z$20000,MATCH(A2297,'Semrush Data'!$A$1:$A$20000,0),MATCH("Keyword Difficulty*",'Semrush Data'!$A$1:$Z$1,0)),"")</f>
        <v/>
      </c>
      <c r="I2297" s="56">
        <f>IFERROR(INDEX('Semrush Data'!$A$1:$Z$20000,MATCH(A2297,'Semrush Data'!$A$1:$A$20000,0),MATCH("CPC*",'Semrush Data'!$A$1:$Z$1,0)),"")</f>
        <v/>
      </c>
      <c r="J2297" s="42">
        <f>IFERROR(INDEX('Semrush Data'!$A$1:$Z$20000,MATCH(A2297,'Semrush Data'!$A$1:$A$20000,0),MATCH("Intent",'Semrush Data'!$A$1:$Z$1,0)),"")</f>
        <v/>
      </c>
    </row>
    <row r="2298" ht="15" customHeight="1" s="37">
      <c r="A2298" s="42" t="inlineStr">
        <is>
          <t>burberry my burberry black parfum 90ml</t>
        </is>
      </c>
      <c r="B2298" s="42" t="inlineStr">
        <is>
          <t>Google suggest</t>
        </is>
      </c>
      <c r="C2298" s="42" t="n">
        <v>3</v>
      </c>
      <c r="D2298" s="42" t="n">
        <v>23</v>
      </c>
      <c r="E2298" s="42" t="n">
        <v>2</v>
      </c>
      <c r="F2298" s="42" t="inlineStr">
        <is>
          <t>FR-066, FR-067</t>
        </is>
      </c>
      <c r="G2298" s="55">
        <f>IFERROR(INDEX('Semrush Data'!$A$1:$Z$20000,MATCH(A2298,'Semrush Data'!$A$1:$A$20000,0),MATCH("Volume",'Semrush Data'!$A$1:$Z$1,0)),"")</f>
        <v/>
      </c>
      <c r="H2298" s="42">
        <f>IFERROR(INDEX('Semrush Data'!$A$1:$Z$20000,MATCH(A2298,'Semrush Data'!$A$1:$A$20000,0),MATCH("Keyword Difficulty*",'Semrush Data'!$A$1:$Z$1,0)),"")</f>
        <v/>
      </c>
      <c r="I2298" s="56">
        <f>IFERROR(INDEX('Semrush Data'!$A$1:$Z$20000,MATCH(A2298,'Semrush Data'!$A$1:$A$20000,0),MATCH("CPC*",'Semrush Data'!$A$1:$Z$1,0)),"")</f>
        <v/>
      </c>
      <c r="J2298" s="42">
        <f>IFERROR(INDEX('Semrush Data'!$A$1:$Z$20000,MATCH(A2298,'Semrush Data'!$A$1:$A$20000,0),MATCH("Intent",'Semrush Data'!$A$1:$Z$1,0)),"")</f>
        <v/>
      </c>
    </row>
    <row r="2299" ht="15" customHeight="1" s="37">
      <c r="A2299" s="42" t="inlineStr">
        <is>
          <t>burberry my burberry eau de parfum 90ml</t>
        </is>
      </c>
      <c r="B2299" s="42" t="inlineStr">
        <is>
          <t>Google suggest</t>
        </is>
      </c>
      <c r="C2299" s="42" t="n">
        <v>3</v>
      </c>
      <c r="D2299" s="42" t="n">
        <v>23</v>
      </c>
      <c r="E2299" s="42" t="n">
        <v>2</v>
      </c>
      <c r="F2299" s="42" t="inlineStr">
        <is>
          <t>FR-063, FR-064</t>
        </is>
      </c>
      <c r="G2299" s="55">
        <f>IFERROR(INDEX('Semrush Data'!$A$1:$Z$20000,MATCH(A2299,'Semrush Data'!$A$1:$A$20000,0),MATCH("Volume",'Semrush Data'!$A$1:$Z$1,0)),"")</f>
        <v/>
      </c>
      <c r="H2299" s="42">
        <f>IFERROR(INDEX('Semrush Data'!$A$1:$Z$20000,MATCH(A2299,'Semrush Data'!$A$1:$A$20000,0),MATCH("Keyword Difficulty*",'Semrush Data'!$A$1:$Z$1,0)),"")</f>
        <v/>
      </c>
      <c r="I2299" s="56">
        <f>IFERROR(INDEX('Semrush Data'!$A$1:$Z$20000,MATCH(A2299,'Semrush Data'!$A$1:$A$20000,0),MATCH("CPC*",'Semrush Data'!$A$1:$Z$1,0)),"")</f>
        <v/>
      </c>
      <c r="J2299" s="42">
        <f>IFERROR(INDEX('Semrush Data'!$A$1:$Z$20000,MATCH(A2299,'Semrush Data'!$A$1:$A$20000,0),MATCH("Intent",'Semrush Data'!$A$1:$Z$1,0)),"")</f>
        <v/>
      </c>
    </row>
    <row r="2300" ht="15" customHeight="1" s="37">
      <c r="A2300" s="42" t="inlineStr">
        <is>
          <t>burberry my burberry edp</t>
        </is>
      </c>
      <c r="B2300" s="42" t="inlineStr">
        <is>
          <t>Google suggest</t>
        </is>
      </c>
      <c r="C2300" s="42" t="n">
        <v>3</v>
      </c>
      <c r="D2300" s="42" t="n">
        <v>23</v>
      </c>
      <c r="E2300" s="42" t="n">
        <v>2</v>
      </c>
      <c r="F2300" s="42" t="inlineStr">
        <is>
          <t>FR-063, FR-064</t>
        </is>
      </c>
      <c r="G2300" s="55">
        <f>IFERROR(INDEX('Semrush Data'!$A$1:$Z$20000,MATCH(A2300,'Semrush Data'!$A$1:$A$20000,0),MATCH("Volume",'Semrush Data'!$A$1:$Z$1,0)),"")</f>
        <v/>
      </c>
      <c r="H2300" s="42">
        <f>IFERROR(INDEX('Semrush Data'!$A$1:$Z$20000,MATCH(A2300,'Semrush Data'!$A$1:$A$20000,0),MATCH("Keyword Difficulty*",'Semrush Data'!$A$1:$Z$1,0)),"")</f>
        <v/>
      </c>
      <c r="I2300" s="56">
        <f>IFERROR(INDEX('Semrush Data'!$A$1:$Z$20000,MATCH(A2300,'Semrush Data'!$A$1:$A$20000,0),MATCH("CPC*",'Semrush Data'!$A$1:$Z$1,0)),"")</f>
        <v/>
      </c>
      <c r="J2300" s="42">
        <f>IFERROR(INDEX('Semrush Data'!$A$1:$Z$20000,MATCH(A2300,'Semrush Data'!$A$1:$A$20000,0),MATCH("Intent",'Semrush Data'!$A$1:$Z$1,0)),"")</f>
        <v/>
      </c>
    </row>
    <row r="2301" ht="15" customHeight="1" s="37">
      <c r="A2301" s="42" t="inlineStr">
        <is>
          <t>burberry my burberry perfume</t>
        </is>
      </c>
      <c r="B2301" s="42" t="inlineStr">
        <is>
          <t>Google suggest</t>
        </is>
      </c>
      <c r="C2301" s="42" t="n">
        <v>3</v>
      </c>
      <c r="D2301" s="42" t="n">
        <v>23</v>
      </c>
      <c r="E2301" s="42" t="n">
        <v>2</v>
      </c>
      <c r="F2301" s="42" t="inlineStr">
        <is>
          <t>FR-063, FR-064</t>
        </is>
      </c>
      <c r="G2301" s="55">
        <f>IFERROR(INDEX('Semrush Data'!$A$1:$Z$20000,MATCH(A2301,'Semrush Data'!$A$1:$A$20000,0),MATCH("Volume",'Semrush Data'!$A$1:$Z$1,0)),"")</f>
        <v/>
      </c>
      <c r="H2301" s="42">
        <f>IFERROR(INDEX('Semrush Data'!$A$1:$Z$20000,MATCH(A2301,'Semrush Data'!$A$1:$A$20000,0),MATCH("Keyword Difficulty*",'Semrush Data'!$A$1:$Z$1,0)),"")</f>
        <v/>
      </c>
      <c r="I2301" s="56">
        <f>IFERROR(INDEX('Semrush Data'!$A$1:$Z$20000,MATCH(A2301,'Semrush Data'!$A$1:$A$20000,0),MATCH("CPC*",'Semrush Data'!$A$1:$Z$1,0)),"")</f>
        <v/>
      </c>
      <c r="J2301" s="42">
        <f>IFERROR(INDEX('Semrush Data'!$A$1:$Z$20000,MATCH(A2301,'Semrush Data'!$A$1:$A$20000,0),MATCH("Intent",'Semrush Data'!$A$1:$Z$1,0)),"")</f>
        <v/>
      </c>
    </row>
    <row r="2302" ht="15" customHeight="1" s="37">
      <c r="A2302" s="42" t="inlineStr">
        <is>
          <t>bvlgari - rose goldea blossom delight kit</t>
        </is>
      </c>
      <c r="B2302" s="42" t="inlineStr">
        <is>
          <t>Google suggest</t>
        </is>
      </c>
      <c r="C2302" s="42" t="n">
        <v>3</v>
      </c>
      <c r="D2302" s="42" t="n">
        <v>24</v>
      </c>
      <c r="E2302" s="42" t="n">
        <v>1</v>
      </c>
      <c r="F2302" s="42" t="inlineStr">
        <is>
          <t>FR-075</t>
        </is>
      </c>
      <c r="G2302" s="55">
        <f>IFERROR(INDEX('Semrush Data'!$A$1:$Z$20000,MATCH(A2302,'Semrush Data'!$A$1:$A$20000,0),MATCH("Volume",'Semrush Data'!$A$1:$Z$1,0)),"")</f>
        <v/>
      </c>
      <c r="H2302" s="42">
        <f>IFERROR(INDEX('Semrush Data'!$A$1:$Z$20000,MATCH(A2302,'Semrush Data'!$A$1:$A$20000,0),MATCH("Keyword Difficulty*",'Semrush Data'!$A$1:$Z$1,0)),"")</f>
        <v/>
      </c>
      <c r="I2302" s="56">
        <f>IFERROR(INDEX('Semrush Data'!$A$1:$Z$20000,MATCH(A2302,'Semrush Data'!$A$1:$A$20000,0),MATCH("CPC*",'Semrush Data'!$A$1:$Z$1,0)),"")</f>
        <v/>
      </c>
      <c r="J2302" s="42">
        <f>IFERROR(INDEX('Semrush Data'!$A$1:$Z$20000,MATCH(A2302,'Semrush Data'!$A$1:$A$20000,0),MATCH("Intent",'Semrush Data'!$A$1:$Z$1,0)),"")</f>
        <v/>
      </c>
    </row>
    <row r="2303" ht="15" customHeight="1" s="37">
      <c r="A2303" s="42" t="inlineStr">
        <is>
          <t>bvlgari glacial essence price</t>
        </is>
      </c>
      <c r="B2303" s="42" t="inlineStr">
        <is>
          <t>Google suggest</t>
        </is>
      </c>
      <c r="C2303" s="42" t="n">
        <v>3</v>
      </c>
      <c r="D2303" s="42" t="n">
        <v>24</v>
      </c>
      <c r="E2303" s="42" t="n">
        <v>1</v>
      </c>
      <c r="F2303" s="42" t="inlineStr">
        <is>
          <t>FR-071</t>
        </is>
      </c>
      <c r="G2303" s="55">
        <f>IFERROR(INDEX('Semrush Data'!$A$1:$Z$20000,MATCH(A2303,'Semrush Data'!$A$1:$A$20000,0),MATCH("Volume",'Semrush Data'!$A$1:$Z$1,0)),"")</f>
        <v/>
      </c>
      <c r="H2303" s="42">
        <f>IFERROR(INDEX('Semrush Data'!$A$1:$Z$20000,MATCH(A2303,'Semrush Data'!$A$1:$A$20000,0),MATCH("Keyword Difficulty*",'Semrush Data'!$A$1:$Z$1,0)),"")</f>
        <v/>
      </c>
      <c r="I2303" s="56">
        <f>IFERROR(INDEX('Semrush Data'!$A$1:$Z$20000,MATCH(A2303,'Semrush Data'!$A$1:$A$20000,0),MATCH("CPC*",'Semrush Data'!$A$1:$Z$1,0)),"")</f>
        <v/>
      </c>
      <c r="J2303" s="42">
        <f>IFERROR(INDEX('Semrush Data'!$A$1:$Z$20000,MATCH(A2303,'Semrush Data'!$A$1:$A$20000,0),MATCH("Intent",'Semrush Data'!$A$1:$Z$1,0)),"")</f>
        <v/>
      </c>
    </row>
    <row r="2304" ht="15" customHeight="1" s="37">
      <c r="A2304" s="42" t="inlineStr">
        <is>
          <t>bvlgari man glacial essence eau de parfum gift set 100ml</t>
        </is>
      </c>
      <c r="B2304" s="42" t="inlineStr">
        <is>
          <t>Google suggest</t>
        </is>
      </c>
      <c r="C2304" s="42" t="n">
        <v>3</v>
      </c>
      <c r="D2304" s="42" t="n">
        <v>24</v>
      </c>
      <c r="E2304" s="42" t="n">
        <v>1</v>
      </c>
      <c r="F2304" s="42" t="inlineStr">
        <is>
          <t>FR-071</t>
        </is>
      </c>
      <c r="G2304" s="55">
        <f>IFERROR(INDEX('Semrush Data'!$A$1:$Z$20000,MATCH(A2304,'Semrush Data'!$A$1:$A$20000,0),MATCH("Volume",'Semrush Data'!$A$1:$Z$1,0)),"")</f>
        <v/>
      </c>
      <c r="H2304" s="42">
        <f>IFERROR(INDEX('Semrush Data'!$A$1:$Z$20000,MATCH(A2304,'Semrush Data'!$A$1:$A$20000,0),MATCH("Keyword Difficulty*",'Semrush Data'!$A$1:$Z$1,0)),"")</f>
        <v/>
      </c>
      <c r="I2304" s="56">
        <f>IFERROR(INDEX('Semrush Data'!$A$1:$Z$20000,MATCH(A2304,'Semrush Data'!$A$1:$A$20000,0),MATCH("CPC*",'Semrush Data'!$A$1:$Z$1,0)),"")</f>
        <v/>
      </c>
      <c r="J2304" s="42">
        <f>IFERROR(INDEX('Semrush Data'!$A$1:$Z$20000,MATCH(A2304,'Semrush Data'!$A$1:$A$20000,0),MATCH("Intent",'Semrush Data'!$A$1:$Z$1,0)),"")</f>
        <v/>
      </c>
    </row>
    <row r="2305" ht="15" customHeight="1" s="37">
      <c r="A2305" s="42" t="inlineStr">
        <is>
          <t>bvlgari man glacial essence eau de parfum review</t>
        </is>
      </c>
      <c r="B2305" s="42" t="inlineStr">
        <is>
          <t>Google suggest</t>
        </is>
      </c>
      <c r="C2305" s="42" t="n">
        <v>3</v>
      </c>
      <c r="D2305" s="42" t="n">
        <v>24</v>
      </c>
      <c r="E2305" s="42" t="n">
        <v>1</v>
      </c>
      <c r="F2305" s="42" t="inlineStr">
        <is>
          <t>FR-071</t>
        </is>
      </c>
      <c r="G2305" s="55">
        <f>IFERROR(INDEX('Semrush Data'!$A$1:$Z$20000,MATCH(A2305,'Semrush Data'!$A$1:$A$20000,0),MATCH("Volume",'Semrush Data'!$A$1:$Z$1,0)),"")</f>
        <v/>
      </c>
      <c r="H2305" s="42">
        <f>IFERROR(INDEX('Semrush Data'!$A$1:$Z$20000,MATCH(A2305,'Semrush Data'!$A$1:$A$20000,0),MATCH("Keyword Difficulty*",'Semrush Data'!$A$1:$Z$1,0)),"")</f>
        <v/>
      </c>
      <c r="I2305" s="56">
        <f>IFERROR(INDEX('Semrush Data'!$A$1:$Z$20000,MATCH(A2305,'Semrush Data'!$A$1:$A$20000,0),MATCH("CPC*",'Semrush Data'!$A$1:$Z$1,0)),"")</f>
        <v/>
      </c>
      <c r="J2305" s="42">
        <f>IFERROR(INDEX('Semrush Data'!$A$1:$Z$20000,MATCH(A2305,'Semrush Data'!$A$1:$A$20000,0),MATCH("Intent",'Semrush Data'!$A$1:$Z$1,0)),"")</f>
        <v/>
      </c>
    </row>
    <row r="2306" ht="15" customHeight="1" s="37">
      <c r="A2306" s="42" t="inlineStr">
        <is>
          <t>bvlgari man glacial essence kit</t>
        </is>
      </c>
      <c r="B2306" s="42" t="inlineStr">
        <is>
          <t>Google suggest</t>
        </is>
      </c>
      <c r="C2306" s="42" t="n">
        <v>3</v>
      </c>
      <c r="D2306" s="42" t="n">
        <v>24</v>
      </c>
      <c r="E2306" s="42" t="n">
        <v>1</v>
      </c>
      <c r="F2306" s="42" t="inlineStr">
        <is>
          <t>FR-071</t>
        </is>
      </c>
      <c r="G2306" s="55">
        <f>IFERROR(INDEX('Semrush Data'!$A$1:$Z$20000,MATCH(A2306,'Semrush Data'!$A$1:$A$20000,0),MATCH("Volume",'Semrush Data'!$A$1:$Z$1,0)),"")</f>
        <v/>
      </c>
      <c r="H2306" s="42">
        <f>IFERROR(INDEX('Semrush Data'!$A$1:$Z$20000,MATCH(A2306,'Semrush Data'!$A$1:$A$20000,0),MATCH("Keyword Difficulty*",'Semrush Data'!$A$1:$Z$1,0)),"")</f>
        <v/>
      </c>
      <c r="I2306" s="56">
        <f>IFERROR(INDEX('Semrush Data'!$A$1:$Z$20000,MATCH(A2306,'Semrush Data'!$A$1:$A$20000,0),MATCH("CPC*",'Semrush Data'!$A$1:$Z$1,0)),"")</f>
        <v/>
      </c>
      <c r="J2306" s="42">
        <f>IFERROR(INDEX('Semrush Data'!$A$1:$Z$20000,MATCH(A2306,'Semrush Data'!$A$1:$A$20000,0),MATCH("Intent",'Semrush Data'!$A$1:$Z$1,0)),"")</f>
        <v/>
      </c>
    </row>
    <row r="2307" ht="15" customHeight="1" s="37">
      <c r="A2307" s="42" t="inlineStr">
        <is>
          <t>bvlgari man glacial essence review</t>
        </is>
      </c>
      <c r="B2307" s="42" t="inlineStr">
        <is>
          <t>Google suggest</t>
        </is>
      </c>
      <c r="C2307" s="42" t="n">
        <v>3</v>
      </c>
      <c r="D2307" s="42" t="n">
        <v>24</v>
      </c>
      <c r="E2307" s="42" t="n">
        <v>1</v>
      </c>
      <c r="F2307" s="42" t="inlineStr">
        <is>
          <t>FR-071</t>
        </is>
      </c>
      <c r="G2307" s="55">
        <f>IFERROR(INDEX('Semrush Data'!$A$1:$Z$20000,MATCH(A2307,'Semrush Data'!$A$1:$A$20000,0),MATCH("Volume",'Semrush Data'!$A$1:$Z$1,0)),"")</f>
        <v/>
      </c>
      <c r="H2307" s="42">
        <f>IFERROR(INDEX('Semrush Data'!$A$1:$Z$20000,MATCH(A2307,'Semrush Data'!$A$1:$A$20000,0),MATCH("Keyword Difficulty*",'Semrush Data'!$A$1:$Z$1,0)),"")</f>
        <v/>
      </c>
      <c r="I2307" s="56">
        <f>IFERROR(INDEX('Semrush Data'!$A$1:$Z$20000,MATCH(A2307,'Semrush Data'!$A$1:$A$20000,0),MATCH("CPC*",'Semrush Data'!$A$1:$Z$1,0)),"")</f>
        <v/>
      </c>
      <c r="J2307" s="42">
        <f>IFERROR(INDEX('Semrush Data'!$A$1:$Z$20000,MATCH(A2307,'Semrush Data'!$A$1:$A$20000,0),MATCH("Intent",'Semrush Data'!$A$1:$Z$1,0)),"")</f>
        <v/>
      </c>
    </row>
    <row r="2308" ht="15" customHeight="1" s="37">
      <c r="A2308" s="42" t="inlineStr">
        <is>
          <t>bvlgari man glacial essence set</t>
        </is>
      </c>
      <c r="B2308" s="42" t="inlineStr">
        <is>
          <t>Google suggest</t>
        </is>
      </c>
      <c r="C2308" s="42" t="n">
        <v>3</v>
      </c>
      <c r="D2308" s="42" t="n">
        <v>24</v>
      </c>
      <c r="E2308" s="42" t="n">
        <v>1</v>
      </c>
      <c r="F2308" s="42" t="inlineStr">
        <is>
          <t>FR-071</t>
        </is>
      </c>
      <c r="G2308" s="55">
        <f>IFERROR(INDEX('Semrush Data'!$A$1:$Z$20000,MATCH(A2308,'Semrush Data'!$A$1:$A$20000,0),MATCH("Volume",'Semrush Data'!$A$1:$Z$1,0)),"")</f>
        <v/>
      </c>
      <c r="H2308" s="42">
        <f>IFERROR(INDEX('Semrush Data'!$A$1:$Z$20000,MATCH(A2308,'Semrush Data'!$A$1:$A$20000,0),MATCH("Keyword Difficulty*",'Semrush Data'!$A$1:$Z$1,0)),"")</f>
        <v/>
      </c>
      <c r="I2308" s="56">
        <f>IFERROR(INDEX('Semrush Data'!$A$1:$Z$20000,MATCH(A2308,'Semrush Data'!$A$1:$A$20000,0),MATCH("CPC*",'Semrush Data'!$A$1:$Z$1,0)),"")</f>
        <v/>
      </c>
      <c r="J2308" s="42">
        <f>IFERROR(INDEX('Semrush Data'!$A$1:$Z$20000,MATCH(A2308,'Semrush Data'!$A$1:$A$20000,0),MATCH("Intent",'Semrush Data'!$A$1:$Z$1,0)),"")</f>
        <v/>
      </c>
    </row>
    <row r="2309" ht="15" customHeight="1" s="37">
      <c r="A2309" s="42" t="inlineStr">
        <is>
          <t>bvlgari man in black edp</t>
        </is>
      </c>
      <c r="B2309" s="42" t="inlineStr">
        <is>
          <t>Google suggest</t>
        </is>
      </c>
      <c r="C2309" s="42" t="n">
        <v>3</v>
      </c>
      <c r="D2309" s="42" t="n">
        <v>24</v>
      </c>
      <c r="E2309" s="42" t="n">
        <v>1</v>
      </c>
      <c r="F2309" s="42" t="inlineStr">
        <is>
          <t>FR-068</t>
        </is>
      </c>
      <c r="G2309" s="55">
        <f>IFERROR(INDEX('Semrush Data'!$A$1:$Z$20000,MATCH(A2309,'Semrush Data'!$A$1:$A$20000,0),MATCH("Volume",'Semrush Data'!$A$1:$Z$1,0)),"")</f>
        <v/>
      </c>
      <c r="H2309" s="42">
        <f>IFERROR(INDEX('Semrush Data'!$A$1:$Z$20000,MATCH(A2309,'Semrush Data'!$A$1:$A$20000,0),MATCH("Keyword Difficulty*",'Semrush Data'!$A$1:$Z$1,0)),"")</f>
        <v/>
      </c>
      <c r="I2309" s="56">
        <f>IFERROR(INDEX('Semrush Data'!$A$1:$Z$20000,MATCH(A2309,'Semrush Data'!$A$1:$A$20000,0),MATCH("CPC*",'Semrush Data'!$A$1:$Z$1,0)),"")</f>
        <v/>
      </c>
      <c r="J2309" s="42">
        <f>IFERROR(INDEX('Semrush Data'!$A$1:$Z$20000,MATCH(A2309,'Semrush Data'!$A$1:$A$20000,0),MATCH("Intent",'Semrush Data'!$A$1:$Z$1,0)),"")</f>
        <v/>
      </c>
    </row>
    <row r="2310" ht="15" customHeight="1" s="37">
      <c r="A2310" s="42" t="inlineStr">
        <is>
          <t>bvlgari man in black notes</t>
        </is>
      </c>
      <c r="B2310" s="42" t="inlineStr">
        <is>
          <t>Google suggest</t>
        </is>
      </c>
      <c r="C2310" s="42" t="n">
        <v>3</v>
      </c>
      <c r="D2310" s="42" t="inlineStr">
        <is>
          <t>T3-1</t>
        </is>
      </c>
      <c r="E2310" s="42" t="n">
        <v>1</v>
      </c>
      <c r="F2310" s="42" t="inlineStr">
        <is>
          <t>FR-068</t>
        </is>
      </c>
      <c r="G2310" s="55">
        <f>IFERROR(INDEX('Semrush Data'!$A$1:$Z$20000,MATCH(A2310,'Semrush Data'!$A$1:$A$20000,0),MATCH("Volume",'Semrush Data'!$A$1:$Z$1,0)),"")</f>
        <v/>
      </c>
      <c r="H2310" s="42">
        <f>IFERROR(INDEX('Semrush Data'!$A$1:$Z$20000,MATCH(A2310,'Semrush Data'!$A$1:$A$20000,0),MATCH("Keyword Difficulty*",'Semrush Data'!$A$1:$Z$1,0)),"")</f>
        <v/>
      </c>
      <c r="I2310" s="56">
        <f>IFERROR(INDEX('Semrush Data'!$A$1:$Z$20000,MATCH(A2310,'Semrush Data'!$A$1:$A$20000,0),MATCH("CPC*",'Semrush Data'!$A$1:$Z$1,0)),"")</f>
        <v/>
      </c>
      <c r="J2310" s="42">
        <f>IFERROR(INDEX('Semrush Data'!$A$1:$Z$20000,MATCH(A2310,'Semrush Data'!$A$1:$A$20000,0),MATCH("Intent",'Semrush Data'!$A$1:$Z$1,0)),"")</f>
        <v/>
      </c>
    </row>
    <row r="2311" ht="15" customHeight="1" s="37">
      <c r="A2311" s="42" t="inlineStr">
        <is>
          <t>bvlgari man in black parfum</t>
        </is>
      </c>
      <c r="B2311" s="42" t="inlineStr">
        <is>
          <t>Google suggest</t>
        </is>
      </c>
      <c r="C2311" s="42" t="n">
        <v>3</v>
      </c>
      <c r="D2311" s="42" t="inlineStr">
        <is>
          <t>T3-1</t>
        </is>
      </c>
      <c r="E2311" s="42" t="n">
        <v>1</v>
      </c>
      <c r="F2311" s="42" t="inlineStr">
        <is>
          <t>FR-068</t>
        </is>
      </c>
      <c r="G2311" s="55">
        <f>IFERROR(INDEX('Semrush Data'!$A$1:$Z$20000,MATCH(A2311,'Semrush Data'!$A$1:$A$20000,0),MATCH("Volume",'Semrush Data'!$A$1:$Z$1,0)),"")</f>
        <v/>
      </c>
      <c r="H2311" s="42">
        <f>IFERROR(INDEX('Semrush Data'!$A$1:$Z$20000,MATCH(A2311,'Semrush Data'!$A$1:$A$20000,0),MATCH("Keyword Difficulty*",'Semrush Data'!$A$1:$Z$1,0)),"")</f>
        <v/>
      </c>
      <c r="I2311" s="56">
        <f>IFERROR(INDEX('Semrush Data'!$A$1:$Z$20000,MATCH(A2311,'Semrush Data'!$A$1:$A$20000,0),MATCH("CPC*",'Semrush Data'!$A$1:$Z$1,0)),"")</f>
        <v/>
      </c>
      <c r="J2311" s="42">
        <f>IFERROR(INDEX('Semrush Data'!$A$1:$Z$20000,MATCH(A2311,'Semrush Data'!$A$1:$A$20000,0),MATCH("Intent",'Semrush Data'!$A$1:$Z$1,0)),"")</f>
        <v/>
      </c>
    </row>
    <row r="2312" ht="15" customHeight="1" s="37">
      <c r="A2312" s="42" t="inlineStr">
        <is>
          <t>bvlgari man in black perfume</t>
        </is>
      </c>
      <c r="B2312" s="42" t="inlineStr">
        <is>
          <t>Google suggest</t>
        </is>
      </c>
      <c r="C2312" s="42" t="n">
        <v>3</v>
      </c>
      <c r="D2312" s="42" t="n">
        <v>24</v>
      </c>
      <c r="E2312" s="42" t="n">
        <v>1</v>
      </c>
      <c r="F2312" s="42" t="inlineStr">
        <is>
          <t>FR-068</t>
        </is>
      </c>
      <c r="G2312" s="55">
        <f>IFERROR(INDEX('Semrush Data'!$A$1:$Z$20000,MATCH(A2312,'Semrush Data'!$A$1:$A$20000,0),MATCH("Volume",'Semrush Data'!$A$1:$Z$1,0)),"")</f>
        <v/>
      </c>
      <c r="H2312" s="42">
        <f>IFERROR(INDEX('Semrush Data'!$A$1:$Z$20000,MATCH(A2312,'Semrush Data'!$A$1:$A$20000,0),MATCH("Keyword Difficulty*",'Semrush Data'!$A$1:$Z$1,0)),"")</f>
        <v/>
      </c>
      <c r="I2312" s="56">
        <f>IFERROR(INDEX('Semrush Data'!$A$1:$Z$20000,MATCH(A2312,'Semrush Data'!$A$1:$A$20000,0),MATCH("CPC*",'Semrush Data'!$A$1:$Z$1,0)),"")</f>
        <v/>
      </c>
      <c r="J2312" s="42">
        <f>IFERROR(INDEX('Semrush Data'!$A$1:$Z$20000,MATCH(A2312,'Semrush Data'!$A$1:$A$20000,0),MATCH("Intent",'Semrush Data'!$A$1:$Z$1,0)),"")</f>
        <v/>
      </c>
    </row>
    <row r="2313" ht="15" customHeight="1" s="37">
      <c r="A2313" s="42" t="inlineStr">
        <is>
          <t>bvlgari man rain essence eau de parfum gift set</t>
        </is>
      </c>
      <c r="B2313" s="42" t="inlineStr">
        <is>
          <t>Google suggest</t>
        </is>
      </c>
      <c r="C2313" s="42" t="n">
        <v>3</v>
      </c>
      <c r="D2313" s="42" t="n">
        <v>24</v>
      </c>
      <c r="E2313" s="42" t="n">
        <v>1</v>
      </c>
      <c r="F2313" s="42" t="inlineStr">
        <is>
          <t>FR-072</t>
        </is>
      </c>
      <c r="G2313" s="55">
        <f>IFERROR(INDEX('Semrush Data'!$A$1:$Z$20000,MATCH(A2313,'Semrush Data'!$A$1:$A$20000,0),MATCH("Volume",'Semrush Data'!$A$1:$Z$1,0)),"")</f>
        <v/>
      </c>
      <c r="H2313" s="42">
        <f>IFERROR(INDEX('Semrush Data'!$A$1:$Z$20000,MATCH(A2313,'Semrush Data'!$A$1:$A$20000,0),MATCH("Keyword Difficulty*",'Semrush Data'!$A$1:$Z$1,0)),"")</f>
        <v/>
      </c>
      <c r="I2313" s="56">
        <f>IFERROR(INDEX('Semrush Data'!$A$1:$Z$20000,MATCH(A2313,'Semrush Data'!$A$1:$A$20000,0),MATCH("CPC*",'Semrush Data'!$A$1:$Z$1,0)),"")</f>
        <v/>
      </c>
      <c r="J2313" s="42">
        <f>IFERROR(INDEX('Semrush Data'!$A$1:$Z$20000,MATCH(A2313,'Semrush Data'!$A$1:$A$20000,0),MATCH("Intent",'Semrush Data'!$A$1:$Z$1,0)),"")</f>
        <v/>
      </c>
    </row>
    <row r="2314" ht="15" customHeight="1" s="37">
      <c r="A2314" s="42" t="inlineStr">
        <is>
          <t>bvlgari man rain essence eau de parfum gift set 100ml</t>
        </is>
      </c>
      <c r="B2314" s="42" t="inlineStr">
        <is>
          <t>Google suggest</t>
        </is>
      </c>
      <c r="C2314" s="42" t="n">
        <v>3</v>
      </c>
      <c r="D2314" s="42" t="n">
        <v>24</v>
      </c>
      <c r="E2314" s="42" t="n">
        <v>1</v>
      </c>
      <c r="F2314" s="42" t="inlineStr">
        <is>
          <t>FR-072</t>
        </is>
      </c>
      <c r="G2314" s="55">
        <f>IFERROR(INDEX('Semrush Data'!$A$1:$Z$20000,MATCH(A2314,'Semrush Data'!$A$1:$A$20000,0),MATCH("Volume",'Semrush Data'!$A$1:$Z$1,0)),"")</f>
        <v/>
      </c>
      <c r="H2314" s="42">
        <f>IFERROR(INDEX('Semrush Data'!$A$1:$Z$20000,MATCH(A2314,'Semrush Data'!$A$1:$A$20000,0),MATCH("Keyword Difficulty*",'Semrush Data'!$A$1:$Z$1,0)),"")</f>
        <v/>
      </c>
      <c r="I2314" s="56">
        <f>IFERROR(INDEX('Semrush Data'!$A$1:$Z$20000,MATCH(A2314,'Semrush Data'!$A$1:$A$20000,0),MATCH("CPC*",'Semrush Data'!$A$1:$Z$1,0)),"")</f>
        <v/>
      </c>
      <c r="J2314" s="42">
        <f>IFERROR(INDEX('Semrush Data'!$A$1:$Z$20000,MATCH(A2314,'Semrush Data'!$A$1:$A$20000,0),MATCH("Intent",'Semrush Data'!$A$1:$Z$1,0)),"")</f>
        <v/>
      </c>
    </row>
    <row r="2315" ht="15" customHeight="1" s="37">
      <c r="A2315" s="42" t="inlineStr">
        <is>
          <t>bvlgari man rain essence gift set 100ml edp 15ml edp</t>
        </is>
      </c>
      <c r="B2315" s="42" t="inlineStr">
        <is>
          <t>Google suggest</t>
        </is>
      </c>
      <c r="C2315" s="42" t="n">
        <v>3</v>
      </c>
      <c r="D2315" s="42" t="n">
        <v>24</v>
      </c>
      <c r="E2315" s="42" t="n">
        <v>1</v>
      </c>
      <c r="F2315" s="42" t="inlineStr">
        <is>
          <t>FR-072</t>
        </is>
      </c>
      <c r="G2315" s="55">
        <f>IFERROR(INDEX('Semrush Data'!$A$1:$Z$20000,MATCH(A2315,'Semrush Data'!$A$1:$A$20000,0),MATCH("Volume",'Semrush Data'!$A$1:$Z$1,0)),"")</f>
        <v/>
      </c>
      <c r="H2315" s="42">
        <f>IFERROR(INDEX('Semrush Data'!$A$1:$Z$20000,MATCH(A2315,'Semrush Data'!$A$1:$A$20000,0),MATCH("Keyword Difficulty*",'Semrush Data'!$A$1:$Z$1,0)),"")</f>
        <v/>
      </c>
      <c r="I2315" s="56">
        <f>IFERROR(INDEX('Semrush Data'!$A$1:$Z$20000,MATCH(A2315,'Semrush Data'!$A$1:$A$20000,0),MATCH("CPC*",'Semrush Data'!$A$1:$Z$1,0)),"")</f>
        <v/>
      </c>
      <c r="J2315" s="42">
        <f>IFERROR(INDEX('Semrush Data'!$A$1:$Z$20000,MATCH(A2315,'Semrush Data'!$A$1:$A$20000,0),MATCH("Intent",'Semrush Data'!$A$1:$Z$1,0)),"")</f>
        <v/>
      </c>
    </row>
    <row r="2316" ht="15" customHeight="1" s="37">
      <c r="A2316" s="42" t="inlineStr">
        <is>
          <t>bvlgari man rain essence kit</t>
        </is>
      </c>
      <c r="B2316" s="42" t="inlineStr">
        <is>
          <t>Google suggest</t>
        </is>
      </c>
      <c r="C2316" s="42" t="n">
        <v>3</v>
      </c>
      <c r="D2316" s="42" t="n">
        <v>24</v>
      </c>
      <c r="E2316" s="42" t="n">
        <v>1</v>
      </c>
      <c r="F2316" s="42" t="inlineStr">
        <is>
          <t>FR-072</t>
        </is>
      </c>
      <c r="G2316" s="55">
        <f>IFERROR(INDEX('Semrush Data'!$A$1:$Z$20000,MATCH(A2316,'Semrush Data'!$A$1:$A$20000,0),MATCH("Volume",'Semrush Data'!$A$1:$Z$1,0)),"")</f>
        <v/>
      </c>
      <c r="H2316" s="42">
        <f>IFERROR(INDEX('Semrush Data'!$A$1:$Z$20000,MATCH(A2316,'Semrush Data'!$A$1:$A$20000,0),MATCH("Keyword Difficulty*",'Semrush Data'!$A$1:$Z$1,0)),"")</f>
        <v/>
      </c>
      <c r="I2316" s="56">
        <f>IFERROR(INDEX('Semrush Data'!$A$1:$Z$20000,MATCH(A2316,'Semrush Data'!$A$1:$A$20000,0),MATCH("CPC*",'Semrush Data'!$A$1:$Z$1,0)),"")</f>
        <v/>
      </c>
      <c r="J2316" s="42">
        <f>IFERROR(INDEX('Semrush Data'!$A$1:$Z$20000,MATCH(A2316,'Semrush Data'!$A$1:$A$20000,0),MATCH("Intent",'Semrush Data'!$A$1:$Z$1,0)),"")</f>
        <v/>
      </c>
    </row>
    <row r="2317" ht="15" customHeight="1" s="37">
      <c r="A2317" s="42" t="inlineStr">
        <is>
          <t>bvlgari man rain essence set</t>
        </is>
      </c>
      <c r="B2317" s="42" t="inlineStr">
        <is>
          <t>Google suggest</t>
        </is>
      </c>
      <c r="C2317" s="42" t="n">
        <v>3</v>
      </c>
      <c r="D2317" s="42" t="n">
        <v>24</v>
      </c>
      <c r="E2317" s="42" t="n">
        <v>1</v>
      </c>
      <c r="F2317" s="42" t="inlineStr">
        <is>
          <t>FR-072</t>
        </is>
      </c>
      <c r="G2317" s="55">
        <f>IFERROR(INDEX('Semrush Data'!$A$1:$Z$20000,MATCH(A2317,'Semrush Data'!$A$1:$A$20000,0),MATCH("Volume",'Semrush Data'!$A$1:$Z$1,0)),"")</f>
        <v/>
      </c>
      <c r="H2317" s="42">
        <f>IFERROR(INDEX('Semrush Data'!$A$1:$Z$20000,MATCH(A2317,'Semrush Data'!$A$1:$A$20000,0),MATCH("Keyword Difficulty*",'Semrush Data'!$A$1:$Z$1,0)),"")</f>
        <v/>
      </c>
      <c r="I2317" s="56">
        <f>IFERROR(INDEX('Semrush Data'!$A$1:$Z$20000,MATCH(A2317,'Semrush Data'!$A$1:$A$20000,0),MATCH("CPC*",'Semrush Data'!$A$1:$Z$1,0)),"")</f>
        <v/>
      </c>
      <c r="J2317" s="42">
        <f>IFERROR(INDEX('Semrush Data'!$A$1:$Z$20000,MATCH(A2317,'Semrush Data'!$A$1:$A$20000,0),MATCH("Intent",'Semrush Data'!$A$1:$Z$1,0)),"")</f>
        <v/>
      </c>
    </row>
    <row r="2318" ht="15" customHeight="1" s="37">
      <c r="A2318" s="42" t="inlineStr">
        <is>
          <t>bvlgari man terrae essence eau de parfum gift set</t>
        </is>
      </c>
      <c r="B2318" s="42" t="inlineStr">
        <is>
          <t>Google suggest</t>
        </is>
      </c>
      <c r="C2318" s="42" t="n">
        <v>3</v>
      </c>
      <c r="D2318" s="42" t="n">
        <v>24</v>
      </c>
      <c r="E2318" s="42" t="n">
        <v>1</v>
      </c>
      <c r="F2318" s="42" t="inlineStr">
        <is>
          <t>FR-073</t>
        </is>
      </c>
      <c r="G2318" s="55">
        <f>IFERROR(INDEX('Semrush Data'!$A$1:$Z$20000,MATCH(A2318,'Semrush Data'!$A$1:$A$20000,0),MATCH("Volume",'Semrush Data'!$A$1:$Z$1,0)),"")</f>
        <v/>
      </c>
      <c r="H2318" s="42">
        <f>IFERROR(INDEX('Semrush Data'!$A$1:$Z$20000,MATCH(A2318,'Semrush Data'!$A$1:$A$20000,0),MATCH("Keyword Difficulty*",'Semrush Data'!$A$1:$Z$1,0)),"")</f>
        <v/>
      </c>
      <c r="I2318" s="56">
        <f>IFERROR(INDEX('Semrush Data'!$A$1:$Z$20000,MATCH(A2318,'Semrush Data'!$A$1:$A$20000,0),MATCH("CPC*",'Semrush Data'!$A$1:$Z$1,0)),"")</f>
        <v/>
      </c>
      <c r="J2318" s="42">
        <f>IFERROR(INDEX('Semrush Data'!$A$1:$Z$20000,MATCH(A2318,'Semrush Data'!$A$1:$A$20000,0),MATCH("Intent",'Semrush Data'!$A$1:$Z$1,0)),"")</f>
        <v/>
      </c>
    </row>
    <row r="2319" ht="15" customHeight="1" s="37">
      <c r="A2319" s="42" t="inlineStr">
        <is>
          <t>bvlgari man terrae essence edp set 115 ml</t>
        </is>
      </c>
      <c r="B2319" s="42" t="inlineStr">
        <is>
          <t>Google suggest</t>
        </is>
      </c>
      <c r="C2319" s="42" t="n">
        <v>3</v>
      </c>
      <c r="D2319" s="42" t="n">
        <v>24</v>
      </c>
      <c r="E2319" s="42" t="n">
        <v>1</v>
      </c>
      <c r="F2319" s="42" t="inlineStr">
        <is>
          <t>FR-073</t>
        </is>
      </c>
      <c r="G2319" s="55">
        <f>IFERROR(INDEX('Semrush Data'!$A$1:$Z$20000,MATCH(A2319,'Semrush Data'!$A$1:$A$20000,0),MATCH("Volume",'Semrush Data'!$A$1:$Z$1,0)),"")</f>
        <v/>
      </c>
      <c r="H2319" s="42">
        <f>IFERROR(INDEX('Semrush Data'!$A$1:$Z$20000,MATCH(A2319,'Semrush Data'!$A$1:$A$20000,0),MATCH("Keyword Difficulty*",'Semrush Data'!$A$1:$Z$1,0)),"")</f>
        <v/>
      </c>
      <c r="I2319" s="56">
        <f>IFERROR(INDEX('Semrush Data'!$A$1:$Z$20000,MATCH(A2319,'Semrush Data'!$A$1:$A$20000,0),MATCH("CPC*",'Semrush Data'!$A$1:$Z$1,0)),"")</f>
        <v/>
      </c>
      <c r="J2319" s="42">
        <f>IFERROR(INDEX('Semrush Data'!$A$1:$Z$20000,MATCH(A2319,'Semrush Data'!$A$1:$A$20000,0),MATCH("Intent",'Semrush Data'!$A$1:$Z$1,0)),"")</f>
        <v/>
      </c>
    </row>
    <row r="2320" ht="15" customHeight="1" s="37">
      <c r="A2320" s="42" t="inlineStr">
        <is>
          <t>bvlgari man terrae essence set</t>
        </is>
      </c>
      <c r="B2320" s="42" t="inlineStr">
        <is>
          <t>Google suggest</t>
        </is>
      </c>
      <c r="C2320" s="42" t="n">
        <v>3</v>
      </c>
      <c r="D2320" s="42" t="n">
        <v>24</v>
      </c>
      <c r="E2320" s="42" t="n">
        <v>1</v>
      </c>
      <c r="F2320" s="42" t="inlineStr">
        <is>
          <t>FR-073</t>
        </is>
      </c>
      <c r="G2320" s="55">
        <f>IFERROR(INDEX('Semrush Data'!$A$1:$Z$20000,MATCH(A2320,'Semrush Data'!$A$1:$A$20000,0),MATCH("Volume",'Semrush Data'!$A$1:$Z$1,0)),"")</f>
        <v/>
      </c>
      <c r="H2320" s="42">
        <f>IFERROR(INDEX('Semrush Data'!$A$1:$Z$20000,MATCH(A2320,'Semrush Data'!$A$1:$A$20000,0),MATCH("Keyword Difficulty*",'Semrush Data'!$A$1:$Z$1,0)),"")</f>
        <v/>
      </c>
      <c r="I2320" s="56">
        <f>IFERROR(INDEX('Semrush Data'!$A$1:$Z$20000,MATCH(A2320,'Semrush Data'!$A$1:$A$20000,0),MATCH("CPC*",'Semrush Data'!$A$1:$Z$1,0)),"")</f>
        <v/>
      </c>
      <c r="J2320" s="42">
        <f>IFERROR(INDEX('Semrush Data'!$A$1:$Z$20000,MATCH(A2320,'Semrush Data'!$A$1:$A$20000,0),MATCH("Intent",'Semrush Data'!$A$1:$Z$1,0)),"")</f>
        <v/>
      </c>
    </row>
    <row r="2321" ht="15" customHeight="1" s="37">
      <c r="A2321" s="42" t="inlineStr">
        <is>
          <t>bvlgari man wood essence eau de parfum gift set</t>
        </is>
      </c>
      <c r="B2321" s="42" t="inlineStr">
        <is>
          <t>Google suggest</t>
        </is>
      </c>
      <c r="C2321" s="42" t="n">
        <v>3</v>
      </c>
      <c r="D2321" s="42" t="n">
        <v>24</v>
      </c>
      <c r="E2321" s="42" t="n">
        <v>1</v>
      </c>
      <c r="F2321" s="42" t="inlineStr">
        <is>
          <t>FR-074</t>
        </is>
      </c>
      <c r="G2321" s="55">
        <f>IFERROR(INDEX('Semrush Data'!$A$1:$Z$20000,MATCH(A2321,'Semrush Data'!$A$1:$A$20000,0),MATCH("Volume",'Semrush Data'!$A$1:$Z$1,0)),"")</f>
        <v/>
      </c>
      <c r="H2321" s="42">
        <f>IFERROR(INDEX('Semrush Data'!$A$1:$Z$20000,MATCH(A2321,'Semrush Data'!$A$1:$A$20000,0),MATCH("Keyword Difficulty*",'Semrush Data'!$A$1:$Z$1,0)),"")</f>
        <v/>
      </c>
      <c r="I2321" s="56">
        <f>IFERROR(INDEX('Semrush Data'!$A$1:$Z$20000,MATCH(A2321,'Semrush Data'!$A$1:$A$20000,0),MATCH("CPC*",'Semrush Data'!$A$1:$Z$1,0)),"")</f>
        <v/>
      </c>
      <c r="J2321" s="42">
        <f>IFERROR(INDEX('Semrush Data'!$A$1:$Z$20000,MATCH(A2321,'Semrush Data'!$A$1:$A$20000,0),MATCH("Intent",'Semrush Data'!$A$1:$Z$1,0)),"")</f>
        <v/>
      </c>
    </row>
    <row r="2322" ht="15" customHeight="1" s="37">
      <c r="A2322" s="42" t="inlineStr">
        <is>
          <t>bvlgari man wood essence eau de parfum gift set 100ml</t>
        </is>
      </c>
      <c r="B2322" s="42" t="inlineStr">
        <is>
          <t>Google suggest</t>
        </is>
      </c>
      <c r="C2322" s="42" t="n">
        <v>3</v>
      </c>
      <c r="D2322" s="42" t="n">
        <v>24</v>
      </c>
      <c r="E2322" s="42" t="n">
        <v>1</v>
      </c>
      <c r="F2322" s="42" t="inlineStr">
        <is>
          <t>FR-074</t>
        </is>
      </c>
      <c r="G2322" s="55">
        <f>IFERROR(INDEX('Semrush Data'!$A$1:$Z$20000,MATCH(A2322,'Semrush Data'!$A$1:$A$20000,0),MATCH("Volume",'Semrush Data'!$A$1:$Z$1,0)),"")</f>
        <v/>
      </c>
      <c r="H2322" s="42">
        <f>IFERROR(INDEX('Semrush Data'!$A$1:$Z$20000,MATCH(A2322,'Semrush Data'!$A$1:$A$20000,0),MATCH("Keyword Difficulty*",'Semrush Data'!$A$1:$Z$1,0)),"")</f>
        <v/>
      </c>
      <c r="I2322" s="56">
        <f>IFERROR(INDEX('Semrush Data'!$A$1:$Z$20000,MATCH(A2322,'Semrush Data'!$A$1:$A$20000,0),MATCH("CPC*",'Semrush Data'!$A$1:$Z$1,0)),"")</f>
        <v/>
      </c>
      <c r="J2322" s="42">
        <f>IFERROR(INDEX('Semrush Data'!$A$1:$Z$20000,MATCH(A2322,'Semrush Data'!$A$1:$A$20000,0),MATCH("Intent",'Semrush Data'!$A$1:$Z$1,0)),"")</f>
        <v/>
      </c>
    </row>
    <row r="2323" ht="15" customHeight="1" s="37">
      <c r="A2323" s="42" t="inlineStr">
        <is>
          <t>bvlgari man wood essence edp set</t>
        </is>
      </c>
      <c r="B2323" s="42" t="inlineStr">
        <is>
          <t>Google suggest</t>
        </is>
      </c>
      <c r="C2323" s="42" t="n">
        <v>3</v>
      </c>
      <c r="D2323" s="42" t="n">
        <v>24</v>
      </c>
      <c r="E2323" s="42" t="n">
        <v>1</v>
      </c>
      <c r="F2323" s="42" t="inlineStr">
        <is>
          <t>FR-074</t>
        </is>
      </c>
      <c r="G2323" s="55">
        <f>IFERROR(INDEX('Semrush Data'!$A$1:$Z$20000,MATCH(A2323,'Semrush Data'!$A$1:$A$20000,0),MATCH("Volume",'Semrush Data'!$A$1:$Z$1,0)),"")</f>
        <v/>
      </c>
      <c r="H2323" s="42">
        <f>IFERROR(INDEX('Semrush Data'!$A$1:$Z$20000,MATCH(A2323,'Semrush Data'!$A$1:$A$20000,0),MATCH("Keyword Difficulty*",'Semrush Data'!$A$1:$Z$1,0)),"")</f>
        <v/>
      </c>
      <c r="I2323" s="56">
        <f>IFERROR(INDEX('Semrush Data'!$A$1:$Z$20000,MATCH(A2323,'Semrush Data'!$A$1:$A$20000,0),MATCH("CPC*",'Semrush Data'!$A$1:$Z$1,0)),"")</f>
        <v/>
      </c>
      <c r="J2323" s="42">
        <f>IFERROR(INDEX('Semrush Data'!$A$1:$Z$20000,MATCH(A2323,'Semrush Data'!$A$1:$A$20000,0),MATCH("Intent",'Semrush Data'!$A$1:$Z$1,0)),"")</f>
        <v/>
      </c>
    </row>
    <row r="2324" ht="15" customHeight="1" s="37">
      <c r="A2324" s="42" t="inlineStr">
        <is>
          <t>bvlgari man wood essence gift set 100ml edp 15ml edp</t>
        </is>
      </c>
      <c r="B2324" s="42" t="inlineStr">
        <is>
          <t>Google suggest</t>
        </is>
      </c>
      <c r="C2324" s="42" t="n">
        <v>3</v>
      </c>
      <c r="D2324" s="42" t="n">
        <v>24</v>
      </c>
      <c r="E2324" s="42" t="n">
        <v>1</v>
      </c>
      <c r="F2324" s="42" t="inlineStr">
        <is>
          <t>FR-074</t>
        </is>
      </c>
      <c r="G2324" s="55">
        <f>IFERROR(INDEX('Semrush Data'!$A$1:$Z$20000,MATCH(A2324,'Semrush Data'!$A$1:$A$20000,0),MATCH("Volume",'Semrush Data'!$A$1:$Z$1,0)),"")</f>
        <v/>
      </c>
      <c r="H2324" s="42">
        <f>IFERROR(INDEX('Semrush Data'!$A$1:$Z$20000,MATCH(A2324,'Semrush Data'!$A$1:$A$20000,0),MATCH("Keyword Difficulty*",'Semrush Data'!$A$1:$Z$1,0)),"")</f>
        <v/>
      </c>
      <c r="I2324" s="56">
        <f>IFERROR(INDEX('Semrush Data'!$A$1:$Z$20000,MATCH(A2324,'Semrush Data'!$A$1:$A$20000,0),MATCH("CPC*",'Semrush Data'!$A$1:$Z$1,0)),"")</f>
        <v/>
      </c>
      <c r="J2324" s="42">
        <f>IFERROR(INDEX('Semrush Data'!$A$1:$Z$20000,MATCH(A2324,'Semrush Data'!$A$1:$A$20000,0),MATCH("Intent",'Semrush Data'!$A$1:$Z$1,0)),"")</f>
        <v/>
      </c>
    </row>
    <row r="2325" ht="15" customHeight="1" s="37">
      <c r="A2325" s="42" t="inlineStr">
        <is>
          <t>bvlgari man wood essence kit</t>
        </is>
      </c>
      <c r="B2325" s="42" t="inlineStr">
        <is>
          <t>Google suggest</t>
        </is>
      </c>
      <c r="C2325" s="42" t="n">
        <v>3</v>
      </c>
      <c r="D2325" s="42" t="n">
        <v>24</v>
      </c>
      <c r="E2325" s="42" t="n">
        <v>1</v>
      </c>
      <c r="F2325" s="42" t="inlineStr">
        <is>
          <t>FR-074</t>
        </is>
      </c>
      <c r="G2325" s="55">
        <f>IFERROR(INDEX('Semrush Data'!$A$1:$Z$20000,MATCH(A2325,'Semrush Data'!$A$1:$A$20000,0),MATCH("Volume",'Semrush Data'!$A$1:$Z$1,0)),"")</f>
        <v/>
      </c>
      <c r="H2325" s="42">
        <f>IFERROR(INDEX('Semrush Data'!$A$1:$Z$20000,MATCH(A2325,'Semrush Data'!$A$1:$A$20000,0),MATCH("Keyword Difficulty*",'Semrush Data'!$A$1:$Z$1,0)),"")</f>
        <v/>
      </c>
      <c r="I2325" s="56">
        <f>IFERROR(INDEX('Semrush Data'!$A$1:$Z$20000,MATCH(A2325,'Semrush Data'!$A$1:$A$20000,0),MATCH("CPC*",'Semrush Data'!$A$1:$Z$1,0)),"")</f>
        <v/>
      </c>
      <c r="J2325" s="42">
        <f>IFERROR(INDEX('Semrush Data'!$A$1:$Z$20000,MATCH(A2325,'Semrush Data'!$A$1:$A$20000,0),MATCH("Intent",'Semrush Data'!$A$1:$Z$1,0)),"")</f>
        <v/>
      </c>
    </row>
    <row r="2326" ht="15" customHeight="1" s="37">
      <c r="A2326" s="42" t="inlineStr">
        <is>
          <t>bvlgari man wood essence set</t>
        </is>
      </c>
      <c r="B2326" s="42" t="inlineStr">
        <is>
          <t>Google suggest</t>
        </is>
      </c>
      <c r="C2326" s="42" t="n">
        <v>3</v>
      </c>
      <c r="D2326" s="42" t="n">
        <v>24</v>
      </c>
      <c r="E2326" s="42" t="n">
        <v>1</v>
      </c>
      <c r="F2326" s="42" t="inlineStr">
        <is>
          <t>FR-074</t>
        </is>
      </c>
      <c r="G2326" s="55">
        <f>IFERROR(INDEX('Semrush Data'!$A$1:$Z$20000,MATCH(A2326,'Semrush Data'!$A$1:$A$20000,0),MATCH("Volume",'Semrush Data'!$A$1:$Z$1,0)),"")</f>
        <v/>
      </c>
      <c r="H2326" s="42">
        <f>IFERROR(INDEX('Semrush Data'!$A$1:$Z$20000,MATCH(A2326,'Semrush Data'!$A$1:$A$20000,0),MATCH("Keyword Difficulty*",'Semrush Data'!$A$1:$Z$1,0)),"")</f>
        <v/>
      </c>
      <c r="I2326" s="56">
        <f>IFERROR(INDEX('Semrush Data'!$A$1:$Z$20000,MATCH(A2326,'Semrush Data'!$A$1:$A$20000,0),MATCH("CPC*",'Semrush Data'!$A$1:$Z$1,0)),"")</f>
        <v/>
      </c>
      <c r="J2326" s="42">
        <f>IFERROR(INDEX('Semrush Data'!$A$1:$Z$20000,MATCH(A2326,'Semrush Data'!$A$1:$A$20000,0),MATCH("Intent",'Semrush Data'!$A$1:$Z$1,0)),"")</f>
        <v/>
      </c>
    </row>
    <row r="2327" ht="15" customHeight="1" s="37">
      <c r="A2327" s="42" t="inlineStr">
        <is>
          <t>bvlgari omnia amethyste 100ml</t>
        </is>
      </c>
      <c r="B2327" s="42" t="inlineStr">
        <is>
          <t>Google suggest</t>
        </is>
      </c>
      <c r="C2327" s="42" t="n">
        <v>3</v>
      </c>
      <c r="D2327" s="42" t="n">
        <v>24</v>
      </c>
      <c r="E2327" s="42" t="n">
        <v>1</v>
      </c>
      <c r="F2327" s="42" t="inlineStr">
        <is>
          <t>FR-070</t>
        </is>
      </c>
      <c r="G2327" s="55">
        <f>IFERROR(INDEX('Semrush Data'!$A$1:$Z$20000,MATCH(A2327,'Semrush Data'!$A$1:$A$20000,0),MATCH("Volume",'Semrush Data'!$A$1:$Z$1,0)),"")</f>
        <v/>
      </c>
      <c r="H2327" s="42">
        <f>IFERROR(INDEX('Semrush Data'!$A$1:$Z$20000,MATCH(A2327,'Semrush Data'!$A$1:$A$20000,0),MATCH("Keyword Difficulty*",'Semrush Data'!$A$1:$Z$1,0)),"")</f>
        <v/>
      </c>
      <c r="I2327" s="56">
        <f>IFERROR(INDEX('Semrush Data'!$A$1:$Z$20000,MATCH(A2327,'Semrush Data'!$A$1:$A$20000,0),MATCH("CPC*",'Semrush Data'!$A$1:$Z$1,0)),"")</f>
        <v/>
      </c>
      <c r="J2327" s="42">
        <f>IFERROR(INDEX('Semrush Data'!$A$1:$Z$20000,MATCH(A2327,'Semrush Data'!$A$1:$A$20000,0),MATCH("Intent",'Semrush Data'!$A$1:$Z$1,0)),"")</f>
        <v/>
      </c>
    </row>
    <row r="2328" ht="15" customHeight="1" s="37">
      <c r="A2328" s="42" t="inlineStr">
        <is>
          <t>bvlgari omnia amethyste dupe</t>
        </is>
      </c>
      <c r="B2328" s="42" t="inlineStr">
        <is>
          <t>Google suggest</t>
        </is>
      </c>
      <c r="C2328" s="42" t="n">
        <v>3</v>
      </c>
      <c r="D2328" s="42" t="inlineStr">
        <is>
          <t>T3-2</t>
        </is>
      </c>
      <c r="E2328" s="42" t="n">
        <v>1</v>
      </c>
      <c r="F2328" s="42" t="inlineStr">
        <is>
          <t>FR-070</t>
        </is>
      </c>
      <c r="G2328" s="55">
        <f>IFERROR(INDEX('Semrush Data'!$A$1:$Z$20000,MATCH(A2328,'Semrush Data'!$A$1:$A$20000,0),MATCH("Volume",'Semrush Data'!$A$1:$Z$1,0)),"")</f>
        <v/>
      </c>
      <c r="H2328" s="42">
        <f>IFERROR(INDEX('Semrush Data'!$A$1:$Z$20000,MATCH(A2328,'Semrush Data'!$A$1:$A$20000,0),MATCH("Keyword Difficulty*",'Semrush Data'!$A$1:$Z$1,0)),"")</f>
        <v/>
      </c>
      <c r="I2328" s="56">
        <f>IFERROR(INDEX('Semrush Data'!$A$1:$Z$20000,MATCH(A2328,'Semrush Data'!$A$1:$A$20000,0),MATCH("CPC*",'Semrush Data'!$A$1:$Z$1,0)),"")</f>
        <v/>
      </c>
      <c r="J2328" s="42">
        <f>IFERROR(INDEX('Semrush Data'!$A$1:$Z$20000,MATCH(A2328,'Semrush Data'!$A$1:$A$20000,0),MATCH("Intent",'Semrush Data'!$A$1:$Z$1,0)),"")</f>
        <v/>
      </c>
    </row>
    <row r="2329" ht="15" customHeight="1" s="37">
      <c r="A2329" s="42" t="inlineStr">
        <is>
          <t>bvlgari omnia amethyste edp</t>
        </is>
      </c>
      <c r="B2329" s="42" t="inlineStr">
        <is>
          <t>Google suggest</t>
        </is>
      </c>
      <c r="C2329" s="42" t="n">
        <v>3</v>
      </c>
      <c r="D2329" s="42" t="n">
        <v>24</v>
      </c>
      <c r="E2329" s="42" t="n">
        <v>1</v>
      </c>
      <c r="F2329" s="42" t="inlineStr">
        <is>
          <t>FR-070</t>
        </is>
      </c>
      <c r="G2329" s="55">
        <f>IFERROR(INDEX('Semrush Data'!$A$1:$Z$20000,MATCH(A2329,'Semrush Data'!$A$1:$A$20000,0),MATCH("Volume",'Semrush Data'!$A$1:$Z$1,0)),"")</f>
        <v/>
      </c>
      <c r="H2329" s="42">
        <f>IFERROR(INDEX('Semrush Data'!$A$1:$Z$20000,MATCH(A2329,'Semrush Data'!$A$1:$A$20000,0),MATCH("Keyword Difficulty*",'Semrush Data'!$A$1:$Z$1,0)),"")</f>
        <v/>
      </c>
      <c r="I2329" s="56">
        <f>IFERROR(INDEX('Semrush Data'!$A$1:$Z$20000,MATCH(A2329,'Semrush Data'!$A$1:$A$20000,0),MATCH("CPC*",'Semrush Data'!$A$1:$Z$1,0)),"")</f>
        <v/>
      </c>
      <c r="J2329" s="42">
        <f>IFERROR(INDEX('Semrush Data'!$A$1:$Z$20000,MATCH(A2329,'Semrush Data'!$A$1:$A$20000,0),MATCH("Intent",'Semrush Data'!$A$1:$Z$1,0)),"")</f>
        <v/>
      </c>
    </row>
    <row r="2330" ht="15" customHeight="1" s="37">
      <c r="A2330" s="42" t="inlineStr">
        <is>
          <t>bvlgari omnia amethyste notes</t>
        </is>
      </c>
      <c r="B2330" s="42" t="inlineStr">
        <is>
          <t>Google suggest</t>
        </is>
      </c>
      <c r="C2330" s="42" t="n">
        <v>3</v>
      </c>
      <c r="D2330" s="42" t="n">
        <v>24</v>
      </c>
      <c r="E2330" s="42" t="n">
        <v>1</v>
      </c>
      <c r="F2330" s="42" t="inlineStr">
        <is>
          <t>FR-070</t>
        </is>
      </c>
      <c r="G2330" s="55">
        <f>IFERROR(INDEX('Semrush Data'!$A$1:$Z$20000,MATCH(A2330,'Semrush Data'!$A$1:$A$20000,0),MATCH("Volume",'Semrush Data'!$A$1:$Z$1,0)),"")</f>
        <v/>
      </c>
      <c r="H2330" s="42">
        <f>IFERROR(INDEX('Semrush Data'!$A$1:$Z$20000,MATCH(A2330,'Semrush Data'!$A$1:$A$20000,0),MATCH("Keyword Difficulty*",'Semrush Data'!$A$1:$Z$1,0)),"")</f>
        <v/>
      </c>
      <c r="I2330" s="56">
        <f>IFERROR(INDEX('Semrush Data'!$A$1:$Z$20000,MATCH(A2330,'Semrush Data'!$A$1:$A$20000,0),MATCH("CPC*",'Semrush Data'!$A$1:$Z$1,0)),"")</f>
        <v/>
      </c>
      <c r="J2330" s="42">
        <f>IFERROR(INDEX('Semrush Data'!$A$1:$Z$20000,MATCH(A2330,'Semrush Data'!$A$1:$A$20000,0),MATCH("Intent",'Semrush Data'!$A$1:$Z$1,0)),"")</f>
        <v/>
      </c>
    </row>
    <row r="2331" ht="15" customHeight="1" s="37">
      <c r="A2331" s="42" t="inlineStr">
        <is>
          <t>bvlgari omnia amethyste review</t>
        </is>
      </c>
      <c r="B2331" s="42" t="inlineStr">
        <is>
          <t>Google suggest</t>
        </is>
      </c>
      <c r="C2331" s="42" t="n">
        <v>3</v>
      </c>
      <c r="D2331" s="42" t="inlineStr">
        <is>
          <t>T3-2</t>
        </is>
      </c>
      <c r="E2331" s="42" t="n">
        <v>1</v>
      </c>
      <c r="F2331" s="42" t="inlineStr">
        <is>
          <t>FR-070</t>
        </is>
      </c>
      <c r="G2331" s="55">
        <f>IFERROR(INDEX('Semrush Data'!$A$1:$Z$20000,MATCH(A2331,'Semrush Data'!$A$1:$A$20000,0),MATCH("Volume",'Semrush Data'!$A$1:$Z$1,0)),"")</f>
        <v/>
      </c>
      <c r="H2331" s="42">
        <f>IFERROR(INDEX('Semrush Data'!$A$1:$Z$20000,MATCH(A2331,'Semrush Data'!$A$1:$A$20000,0),MATCH("Keyword Difficulty*",'Semrush Data'!$A$1:$Z$1,0)),"")</f>
        <v/>
      </c>
      <c r="I2331" s="56">
        <f>IFERROR(INDEX('Semrush Data'!$A$1:$Z$20000,MATCH(A2331,'Semrush Data'!$A$1:$A$20000,0),MATCH("CPC*",'Semrush Data'!$A$1:$Z$1,0)),"")</f>
        <v/>
      </c>
      <c r="J2331" s="42">
        <f>IFERROR(INDEX('Semrush Data'!$A$1:$Z$20000,MATCH(A2331,'Semrush Data'!$A$1:$A$20000,0),MATCH("Intent",'Semrush Data'!$A$1:$Z$1,0)),"")</f>
        <v/>
      </c>
    </row>
    <row r="2332" ht="15" customHeight="1" s="37">
      <c r="A2332" s="42" t="inlineStr">
        <is>
          <t>bvlgari rose goldea blossom delight 75ml price</t>
        </is>
      </c>
      <c r="B2332" s="42" t="inlineStr">
        <is>
          <t>Google suggest</t>
        </is>
      </c>
      <c r="C2332" s="42" t="n">
        <v>3</v>
      </c>
      <c r="D2332" s="42" t="n">
        <v>24</v>
      </c>
      <c r="E2332" s="42" t="n">
        <v>1</v>
      </c>
      <c r="F2332" s="42" t="inlineStr">
        <is>
          <t>FR-075</t>
        </is>
      </c>
      <c r="G2332" s="55">
        <f>IFERROR(INDEX('Semrush Data'!$A$1:$Z$20000,MATCH(A2332,'Semrush Data'!$A$1:$A$20000,0),MATCH("Volume",'Semrush Data'!$A$1:$Z$1,0)),"")</f>
        <v/>
      </c>
      <c r="H2332" s="42">
        <f>IFERROR(INDEX('Semrush Data'!$A$1:$Z$20000,MATCH(A2332,'Semrush Data'!$A$1:$A$20000,0),MATCH("Keyword Difficulty*",'Semrush Data'!$A$1:$Z$1,0)),"")</f>
        <v/>
      </c>
      <c r="I2332" s="56">
        <f>IFERROR(INDEX('Semrush Data'!$A$1:$Z$20000,MATCH(A2332,'Semrush Data'!$A$1:$A$20000,0),MATCH("CPC*",'Semrush Data'!$A$1:$Z$1,0)),"")</f>
        <v/>
      </c>
      <c r="J2332" s="42">
        <f>IFERROR(INDEX('Semrush Data'!$A$1:$Z$20000,MATCH(A2332,'Semrush Data'!$A$1:$A$20000,0),MATCH("Intent",'Semrush Data'!$A$1:$Z$1,0)),"")</f>
        <v/>
      </c>
    </row>
    <row r="2333" ht="15" customHeight="1" s="37">
      <c r="A2333" s="42" t="inlineStr">
        <is>
          <t>bvlgari rose goldea blossom delight eau de parfum gift set</t>
        </is>
      </c>
      <c r="B2333" s="42" t="inlineStr">
        <is>
          <t>Google suggest</t>
        </is>
      </c>
      <c r="C2333" s="42" t="n">
        <v>3</v>
      </c>
      <c r="D2333" s="42" t="n">
        <v>24</v>
      </c>
      <c r="E2333" s="42" t="n">
        <v>1</v>
      </c>
      <c r="F2333" s="42" t="inlineStr">
        <is>
          <t>FR-075</t>
        </is>
      </c>
      <c r="G2333" s="55">
        <f>IFERROR(INDEX('Semrush Data'!$A$1:$Z$20000,MATCH(A2333,'Semrush Data'!$A$1:$A$20000,0),MATCH("Volume",'Semrush Data'!$A$1:$Z$1,0)),"")</f>
        <v/>
      </c>
      <c r="H2333" s="42">
        <f>IFERROR(INDEX('Semrush Data'!$A$1:$Z$20000,MATCH(A2333,'Semrush Data'!$A$1:$A$20000,0),MATCH("Keyword Difficulty*",'Semrush Data'!$A$1:$Z$1,0)),"")</f>
        <v/>
      </c>
      <c r="I2333" s="56">
        <f>IFERROR(INDEX('Semrush Data'!$A$1:$Z$20000,MATCH(A2333,'Semrush Data'!$A$1:$A$20000,0),MATCH("CPC*",'Semrush Data'!$A$1:$Z$1,0)),"")</f>
        <v/>
      </c>
      <c r="J2333" s="42">
        <f>IFERROR(INDEX('Semrush Data'!$A$1:$Z$20000,MATCH(A2333,'Semrush Data'!$A$1:$A$20000,0),MATCH("Intent",'Semrush Data'!$A$1:$Z$1,0)),"")</f>
        <v/>
      </c>
    </row>
    <row r="2334" ht="15" customHeight="1" s="37">
      <c r="A2334" s="42" t="inlineStr">
        <is>
          <t>bvlgari rose goldea blossom delight edp set</t>
        </is>
      </c>
      <c r="B2334" s="42" t="inlineStr">
        <is>
          <t>Google suggest</t>
        </is>
      </c>
      <c r="C2334" s="42" t="n">
        <v>3</v>
      </c>
      <c r="D2334" s="42" t="n">
        <v>24</v>
      </c>
      <c r="E2334" s="42" t="n">
        <v>1</v>
      </c>
      <c r="F2334" s="42" t="inlineStr">
        <is>
          <t>FR-075</t>
        </is>
      </c>
      <c r="G2334" s="55">
        <f>IFERROR(INDEX('Semrush Data'!$A$1:$Z$20000,MATCH(A2334,'Semrush Data'!$A$1:$A$20000,0),MATCH("Volume",'Semrush Data'!$A$1:$Z$1,0)),"")</f>
        <v/>
      </c>
      <c r="H2334" s="42">
        <f>IFERROR(INDEX('Semrush Data'!$A$1:$Z$20000,MATCH(A2334,'Semrush Data'!$A$1:$A$20000,0),MATCH("Keyword Difficulty*",'Semrush Data'!$A$1:$Z$1,0)),"")</f>
        <v/>
      </c>
      <c r="I2334" s="56">
        <f>IFERROR(INDEX('Semrush Data'!$A$1:$Z$20000,MATCH(A2334,'Semrush Data'!$A$1:$A$20000,0),MATCH("CPC*",'Semrush Data'!$A$1:$Z$1,0)),"")</f>
        <v/>
      </c>
      <c r="J2334" s="42">
        <f>IFERROR(INDEX('Semrush Data'!$A$1:$Z$20000,MATCH(A2334,'Semrush Data'!$A$1:$A$20000,0),MATCH("Intent",'Semrush Data'!$A$1:$Z$1,0)),"")</f>
        <v/>
      </c>
    </row>
    <row r="2335" ht="15" customHeight="1" s="37">
      <c r="A2335" s="42" t="inlineStr">
        <is>
          <t>bvlgari rose goldea blossom delight price</t>
        </is>
      </c>
      <c r="B2335" s="42" t="inlineStr">
        <is>
          <t>Google suggest</t>
        </is>
      </c>
      <c r="C2335" s="42" t="n">
        <v>3</v>
      </c>
      <c r="D2335" s="42" t="n">
        <v>24</v>
      </c>
      <c r="E2335" s="42" t="n">
        <v>1</v>
      </c>
      <c r="F2335" s="42" t="inlineStr">
        <is>
          <t>FR-075</t>
        </is>
      </c>
      <c r="G2335" s="55">
        <f>IFERROR(INDEX('Semrush Data'!$A$1:$Z$20000,MATCH(A2335,'Semrush Data'!$A$1:$A$20000,0),MATCH("Volume",'Semrush Data'!$A$1:$Z$1,0)),"")</f>
        <v/>
      </c>
      <c r="H2335" s="42">
        <f>IFERROR(INDEX('Semrush Data'!$A$1:$Z$20000,MATCH(A2335,'Semrush Data'!$A$1:$A$20000,0),MATCH("Keyword Difficulty*",'Semrush Data'!$A$1:$Z$1,0)),"")</f>
        <v/>
      </c>
      <c r="I2335" s="56">
        <f>IFERROR(INDEX('Semrush Data'!$A$1:$Z$20000,MATCH(A2335,'Semrush Data'!$A$1:$A$20000,0),MATCH("CPC*",'Semrush Data'!$A$1:$Z$1,0)),"")</f>
        <v/>
      </c>
      <c r="J2335" s="42">
        <f>IFERROR(INDEX('Semrush Data'!$A$1:$Z$20000,MATCH(A2335,'Semrush Data'!$A$1:$A$20000,0),MATCH("Intent",'Semrush Data'!$A$1:$Z$1,0)),"")</f>
        <v/>
      </c>
    </row>
    <row r="2336" ht="15" customHeight="1" s="37">
      <c r="A2336" s="42" t="inlineStr">
        <is>
          <t>bvlgari rose goldea blossom delight set</t>
        </is>
      </c>
      <c r="B2336" s="42" t="inlineStr">
        <is>
          <t>Google suggest</t>
        </is>
      </c>
      <c r="C2336" s="42" t="n">
        <v>3</v>
      </c>
      <c r="D2336" s="42" t="n">
        <v>24</v>
      </c>
      <c r="E2336" s="42" t="n">
        <v>1</v>
      </c>
      <c r="F2336" s="42" t="inlineStr">
        <is>
          <t>FR-075</t>
        </is>
      </c>
      <c r="G2336" s="55">
        <f>IFERROR(INDEX('Semrush Data'!$A$1:$Z$20000,MATCH(A2336,'Semrush Data'!$A$1:$A$20000,0),MATCH("Volume",'Semrush Data'!$A$1:$Z$1,0)),"")</f>
        <v/>
      </c>
      <c r="H2336" s="42">
        <f>IFERROR(INDEX('Semrush Data'!$A$1:$Z$20000,MATCH(A2336,'Semrush Data'!$A$1:$A$20000,0),MATCH("Keyword Difficulty*",'Semrush Data'!$A$1:$Z$1,0)),"")</f>
        <v/>
      </c>
      <c r="I2336" s="56">
        <f>IFERROR(INDEX('Semrush Data'!$A$1:$Z$20000,MATCH(A2336,'Semrush Data'!$A$1:$A$20000,0),MATCH("CPC*",'Semrush Data'!$A$1:$Z$1,0)),"")</f>
        <v/>
      </c>
      <c r="J2336" s="42">
        <f>IFERROR(INDEX('Semrush Data'!$A$1:$Z$20000,MATCH(A2336,'Semrush Data'!$A$1:$A$20000,0),MATCH("Intent",'Semrush Data'!$A$1:$Z$1,0)),"")</f>
        <v/>
      </c>
    </row>
    <row r="2337" ht="15" customHeight="1" s="37">
      <c r="A2337" s="42" t="inlineStr">
        <is>
          <t>bvlgari splendida tubereuse mystique 100ml</t>
        </is>
      </c>
      <c r="B2337" s="42" t="inlineStr">
        <is>
          <t>Google suggest</t>
        </is>
      </c>
      <c r="C2337" s="42" t="n">
        <v>3</v>
      </c>
      <c r="D2337" s="42" t="n">
        <v>24</v>
      </c>
      <c r="E2337" s="42" t="n">
        <v>1</v>
      </c>
      <c r="F2337" s="42" t="inlineStr">
        <is>
          <t>FR-069</t>
        </is>
      </c>
      <c r="G2337" s="55">
        <f>IFERROR(INDEX('Semrush Data'!$A$1:$Z$20000,MATCH(A2337,'Semrush Data'!$A$1:$A$20000,0),MATCH("Volume",'Semrush Data'!$A$1:$Z$1,0)),"")</f>
        <v/>
      </c>
      <c r="H2337" s="42">
        <f>IFERROR(INDEX('Semrush Data'!$A$1:$Z$20000,MATCH(A2337,'Semrush Data'!$A$1:$A$20000,0),MATCH("Keyword Difficulty*",'Semrush Data'!$A$1:$Z$1,0)),"")</f>
        <v/>
      </c>
      <c r="I2337" s="56">
        <f>IFERROR(INDEX('Semrush Data'!$A$1:$Z$20000,MATCH(A2337,'Semrush Data'!$A$1:$A$20000,0),MATCH("CPC*",'Semrush Data'!$A$1:$Z$1,0)),"")</f>
        <v/>
      </c>
      <c r="J2337" s="42">
        <f>IFERROR(INDEX('Semrush Data'!$A$1:$Z$20000,MATCH(A2337,'Semrush Data'!$A$1:$A$20000,0),MATCH("Intent",'Semrush Data'!$A$1:$Z$1,0)),"")</f>
        <v/>
      </c>
    </row>
    <row r="2338" ht="15" customHeight="1" s="37">
      <c r="A2338" s="42" t="inlineStr">
        <is>
          <t>bvlgari splendida tubereuse mystique eau de parfum 50ml</t>
        </is>
      </c>
      <c r="B2338" s="42" t="inlineStr">
        <is>
          <t>Google suggest</t>
        </is>
      </c>
      <c r="C2338" s="42" t="n">
        <v>3</v>
      </c>
      <c r="D2338" s="42" t="n">
        <v>24</v>
      </c>
      <c r="E2338" s="42" t="n">
        <v>1</v>
      </c>
      <c r="F2338" s="42" t="inlineStr">
        <is>
          <t>FR-069</t>
        </is>
      </c>
      <c r="G2338" s="55">
        <f>IFERROR(INDEX('Semrush Data'!$A$1:$Z$20000,MATCH(A2338,'Semrush Data'!$A$1:$A$20000,0),MATCH("Volume",'Semrush Data'!$A$1:$Z$1,0)),"")</f>
        <v/>
      </c>
      <c r="H2338" s="42">
        <f>IFERROR(INDEX('Semrush Data'!$A$1:$Z$20000,MATCH(A2338,'Semrush Data'!$A$1:$A$20000,0),MATCH("Keyword Difficulty*",'Semrush Data'!$A$1:$Z$1,0)),"")</f>
        <v/>
      </c>
      <c r="I2338" s="56">
        <f>IFERROR(INDEX('Semrush Data'!$A$1:$Z$20000,MATCH(A2338,'Semrush Data'!$A$1:$A$20000,0),MATCH("CPC*",'Semrush Data'!$A$1:$Z$1,0)),"")</f>
        <v/>
      </c>
      <c r="J2338" s="42">
        <f>IFERROR(INDEX('Semrush Data'!$A$1:$Z$20000,MATCH(A2338,'Semrush Data'!$A$1:$A$20000,0),MATCH("Intent",'Semrush Data'!$A$1:$Z$1,0)),"")</f>
        <v/>
      </c>
    </row>
    <row r="2339" ht="15" customHeight="1" s="37">
      <c r="A2339" s="42" t="inlineStr">
        <is>
          <t>bvlgari splendida tubereuse mystique edp</t>
        </is>
      </c>
      <c r="B2339" s="42" t="inlineStr">
        <is>
          <t>Google suggest</t>
        </is>
      </c>
      <c r="C2339" s="42" t="n">
        <v>3</v>
      </c>
      <c r="D2339" s="42" t="n">
        <v>24</v>
      </c>
      <c r="E2339" s="42" t="n">
        <v>1</v>
      </c>
      <c r="F2339" s="42" t="inlineStr">
        <is>
          <t>FR-069</t>
        </is>
      </c>
      <c r="G2339" s="55">
        <f>IFERROR(INDEX('Semrush Data'!$A$1:$Z$20000,MATCH(A2339,'Semrush Data'!$A$1:$A$20000,0),MATCH("Volume",'Semrush Data'!$A$1:$Z$1,0)),"")</f>
        <v/>
      </c>
      <c r="H2339" s="42">
        <f>IFERROR(INDEX('Semrush Data'!$A$1:$Z$20000,MATCH(A2339,'Semrush Data'!$A$1:$A$20000,0),MATCH("Keyword Difficulty*",'Semrush Data'!$A$1:$Z$1,0)),"")</f>
        <v/>
      </c>
      <c r="I2339" s="56">
        <f>IFERROR(INDEX('Semrush Data'!$A$1:$Z$20000,MATCH(A2339,'Semrush Data'!$A$1:$A$20000,0),MATCH("CPC*",'Semrush Data'!$A$1:$Z$1,0)),"")</f>
        <v/>
      </c>
      <c r="J2339" s="42">
        <f>IFERROR(INDEX('Semrush Data'!$A$1:$Z$20000,MATCH(A2339,'Semrush Data'!$A$1:$A$20000,0),MATCH("Intent",'Semrush Data'!$A$1:$Z$1,0)),"")</f>
        <v/>
      </c>
    </row>
    <row r="2340" ht="15" customHeight="1" s="37">
      <c r="A2340" s="42" t="inlineStr">
        <is>
          <t>bvlgari splendida tubereuse mystique notes</t>
        </is>
      </c>
      <c r="B2340" s="42" t="inlineStr">
        <is>
          <t>Google suggest</t>
        </is>
      </c>
      <c r="C2340" s="42" t="n">
        <v>3</v>
      </c>
      <c r="D2340" s="42" t="n">
        <v>24</v>
      </c>
      <c r="E2340" s="42" t="n">
        <v>1</v>
      </c>
      <c r="F2340" s="42" t="inlineStr">
        <is>
          <t>FR-069</t>
        </is>
      </c>
      <c r="G2340" s="55">
        <f>IFERROR(INDEX('Semrush Data'!$A$1:$Z$20000,MATCH(A2340,'Semrush Data'!$A$1:$A$20000,0),MATCH("Volume",'Semrush Data'!$A$1:$Z$1,0)),"")</f>
        <v/>
      </c>
      <c r="H2340" s="42">
        <f>IFERROR(INDEX('Semrush Data'!$A$1:$Z$20000,MATCH(A2340,'Semrush Data'!$A$1:$A$20000,0),MATCH("Keyword Difficulty*",'Semrush Data'!$A$1:$Z$1,0)),"")</f>
        <v/>
      </c>
      <c r="I2340" s="56">
        <f>IFERROR(INDEX('Semrush Data'!$A$1:$Z$20000,MATCH(A2340,'Semrush Data'!$A$1:$A$20000,0),MATCH("CPC*",'Semrush Data'!$A$1:$Z$1,0)),"")</f>
        <v/>
      </c>
      <c r="J2340" s="42">
        <f>IFERROR(INDEX('Semrush Data'!$A$1:$Z$20000,MATCH(A2340,'Semrush Data'!$A$1:$A$20000,0),MATCH("Intent",'Semrush Data'!$A$1:$Z$1,0)),"")</f>
        <v/>
      </c>
    </row>
    <row r="2341" ht="15" customHeight="1" s="37">
      <c r="A2341" s="42" t="inlineStr">
        <is>
          <t>bvlgari splendida tubereuse mystique review</t>
        </is>
      </c>
      <c r="B2341" s="42" t="inlineStr">
        <is>
          <t>Google suggest</t>
        </is>
      </c>
      <c r="C2341" s="42" t="n">
        <v>3</v>
      </c>
      <c r="D2341" s="42" t="n">
        <v>24</v>
      </c>
      <c r="E2341" s="42" t="n">
        <v>1</v>
      </c>
      <c r="F2341" s="42" t="inlineStr">
        <is>
          <t>FR-069</t>
        </is>
      </c>
      <c r="G2341" s="55">
        <f>IFERROR(INDEX('Semrush Data'!$A$1:$Z$20000,MATCH(A2341,'Semrush Data'!$A$1:$A$20000,0),MATCH("Volume",'Semrush Data'!$A$1:$Z$1,0)),"")</f>
        <v/>
      </c>
      <c r="H2341" s="42">
        <f>IFERROR(INDEX('Semrush Data'!$A$1:$Z$20000,MATCH(A2341,'Semrush Data'!$A$1:$A$20000,0),MATCH("Keyword Difficulty*",'Semrush Data'!$A$1:$Z$1,0)),"")</f>
        <v/>
      </c>
      <c r="I2341" s="56">
        <f>IFERROR(INDEX('Semrush Data'!$A$1:$Z$20000,MATCH(A2341,'Semrush Data'!$A$1:$A$20000,0),MATCH("CPC*",'Semrush Data'!$A$1:$Z$1,0)),"")</f>
        <v/>
      </c>
      <c r="J2341" s="42">
        <f>IFERROR(INDEX('Semrush Data'!$A$1:$Z$20000,MATCH(A2341,'Semrush Data'!$A$1:$A$20000,0),MATCH("Intent",'Semrush Data'!$A$1:$Z$1,0)),"")</f>
        <v/>
      </c>
    </row>
    <row r="2342" ht="15" customHeight="1" s="37">
      <c r="A2342" s="42" t="inlineStr">
        <is>
          <t>calvin klein defy eau de parfum</t>
        </is>
      </c>
      <c r="B2342" s="42" t="inlineStr">
        <is>
          <t>Google suggest</t>
        </is>
      </c>
      <c r="C2342" s="42" t="n">
        <v>3</v>
      </c>
      <c r="D2342" s="42" t="n">
        <v>24</v>
      </c>
      <c r="E2342" s="42" t="n">
        <v>2</v>
      </c>
      <c r="F2342" s="42" t="inlineStr">
        <is>
          <t>FR-082, FR-083</t>
        </is>
      </c>
      <c r="G2342" s="55">
        <f>IFERROR(INDEX('Semrush Data'!$A$1:$Z$20000,MATCH(A2342,'Semrush Data'!$A$1:$A$20000,0),MATCH("Volume",'Semrush Data'!$A$1:$Z$1,0)),"")</f>
        <v/>
      </c>
      <c r="H2342" s="42">
        <f>IFERROR(INDEX('Semrush Data'!$A$1:$Z$20000,MATCH(A2342,'Semrush Data'!$A$1:$A$20000,0),MATCH("Keyword Difficulty*",'Semrush Data'!$A$1:$Z$1,0)),"")</f>
        <v/>
      </c>
      <c r="I2342" s="56">
        <f>IFERROR(INDEX('Semrush Data'!$A$1:$Z$20000,MATCH(A2342,'Semrush Data'!$A$1:$A$20000,0),MATCH("CPC*",'Semrush Data'!$A$1:$Z$1,0)),"")</f>
        <v/>
      </c>
      <c r="J2342" s="42">
        <f>IFERROR(INDEX('Semrush Data'!$A$1:$Z$20000,MATCH(A2342,'Semrush Data'!$A$1:$A$20000,0),MATCH("Intent",'Semrush Data'!$A$1:$Z$1,0)),"")</f>
        <v/>
      </c>
    </row>
    <row r="2343" ht="15" customHeight="1" s="37">
      <c r="A2343" s="42" t="inlineStr">
        <is>
          <t>calvin klein defy edp</t>
        </is>
      </c>
      <c r="B2343" s="42" t="inlineStr">
        <is>
          <t>Google suggest</t>
        </is>
      </c>
      <c r="C2343" s="42" t="n">
        <v>3</v>
      </c>
      <c r="D2343" s="42" t="n">
        <v>24</v>
      </c>
      <c r="E2343" s="42" t="n">
        <v>2</v>
      </c>
      <c r="F2343" s="42" t="inlineStr">
        <is>
          <t>FR-082, FR-083</t>
        </is>
      </c>
      <c r="G2343" s="55">
        <f>IFERROR(INDEX('Semrush Data'!$A$1:$Z$20000,MATCH(A2343,'Semrush Data'!$A$1:$A$20000,0),MATCH("Volume",'Semrush Data'!$A$1:$Z$1,0)),"")</f>
        <v/>
      </c>
      <c r="H2343" s="42">
        <f>IFERROR(INDEX('Semrush Data'!$A$1:$Z$20000,MATCH(A2343,'Semrush Data'!$A$1:$A$20000,0),MATCH("Keyword Difficulty*",'Semrush Data'!$A$1:$Z$1,0)),"")</f>
        <v/>
      </c>
      <c r="I2343" s="56">
        <f>IFERROR(INDEX('Semrush Data'!$A$1:$Z$20000,MATCH(A2343,'Semrush Data'!$A$1:$A$20000,0),MATCH("CPC*",'Semrush Data'!$A$1:$Z$1,0)),"")</f>
        <v/>
      </c>
      <c r="J2343" s="42">
        <f>IFERROR(INDEX('Semrush Data'!$A$1:$Z$20000,MATCH(A2343,'Semrush Data'!$A$1:$A$20000,0),MATCH("Intent",'Semrush Data'!$A$1:$Z$1,0)),"")</f>
        <v/>
      </c>
    </row>
    <row r="2344" ht="15" customHeight="1" s="37">
      <c r="A2344" s="42" t="inlineStr">
        <is>
          <t>calvin klein defy perfume</t>
        </is>
      </c>
      <c r="B2344" s="42" t="inlineStr">
        <is>
          <t>Google suggest</t>
        </is>
      </c>
      <c r="C2344" s="42" t="n">
        <v>3</v>
      </c>
      <c r="D2344" s="42" t="inlineStr">
        <is>
          <t>T3-1</t>
        </is>
      </c>
      <c r="E2344" s="42" t="n">
        <v>2</v>
      </c>
      <c r="F2344" s="42" t="inlineStr">
        <is>
          <t>FR-082, FR-083</t>
        </is>
      </c>
      <c r="G2344" s="55">
        <f>IFERROR(INDEX('Semrush Data'!$A$1:$Z$20000,MATCH(A2344,'Semrush Data'!$A$1:$A$20000,0),MATCH("Volume",'Semrush Data'!$A$1:$Z$1,0)),"")</f>
        <v/>
      </c>
      <c r="H2344" s="42">
        <f>IFERROR(INDEX('Semrush Data'!$A$1:$Z$20000,MATCH(A2344,'Semrush Data'!$A$1:$A$20000,0),MATCH("Keyword Difficulty*",'Semrush Data'!$A$1:$Z$1,0)),"")</f>
        <v/>
      </c>
      <c r="I2344" s="56">
        <f>IFERROR(INDEX('Semrush Data'!$A$1:$Z$20000,MATCH(A2344,'Semrush Data'!$A$1:$A$20000,0),MATCH("CPC*",'Semrush Data'!$A$1:$Z$1,0)),"")</f>
        <v/>
      </c>
      <c r="J2344" s="42">
        <f>IFERROR(INDEX('Semrush Data'!$A$1:$Z$20000,MATCH(A2344,'Semrush Data'!$A$1:$A$20000,0),MATCH("Intent",'Semrush Data'!$A$1:$Z$1,0)),"")</f>
        <v/>
      </c>
    </row>
    <row r="2345" ht="15" customHeight="1" s="37">
      <c r="A2345" s="42" t="inlineStr">
        <is>
          <t>calvin klein defy perfume price</t>
        </is>
      </c>
      <c r="B2345" s="42" t="inlineStr">
        <is>
          <t>Google suggest</t>
        </is>
      </c>
      <c r="C2345" s="42" t="n">
        <v>3</v>
      </c>
      <c r="D2345" s="42" t="n">
        <v>24</v>
      </c>
      <c r="E2345" s="42" t="n">
        <v>2</v>
      </c>
      <c r="F2345" s="42" t="inlineStr">
        <is>
          <t>FR-082, FR-083</t>
        </is>
      </c>
      <c r="G2345" s="55">
        <f>IFERROR(INDEX('Semrush Data'!$A$1:$Z$20000,MATCH(A2345,'Semrush Data'!$A$1:$A$20000,0),MATCH("Volume",'Semrush Data'!$A$1:$Z$1,0)),"")</f>
        <v/>
      </c>
      <c r="H2345" s="42">
        <f>IFERROR(INDEX('Semrush Data'!$A$1:$Z$20000,MATCH(A2345,'Semrush Data'!$A$1:$A$20000,0),MATCH("Keyword Difficulty*",'Semrush Data'!$A$1:$Z$1,0)),"")</f>
        <v/>
      </c>
      <c r="I2345" s="56">
        <f>IFERROR(INDEX('Semrush Data'!$A$1:$Z$20000,MATCH(A2345,'Semrush Data'!$A$1:$A$20000,0),MATCH("CPC*",'Semrush Data'!$A$1:$Z$1,0)),"")</f>
        <v/>
      </c>
      <c r="J2345" s="42">
        <f>IFERROR(INDEX('Semrush Data'!$A$1:$Z$20000,MATCH(A2345,'Semrush Data'!$A$1:$A$20000,0),MATCH("Intent",'Semrush Data'!$A$1:$Z$1,0)),"")</f>
        <v/>
      </c>
    </row>
    <row r="2346" ht="15" customHeight="1" s="37">
      <c r="A2346" s="42" t="inlineStr">
        <is>
          <t>calvin klein defy review</t>
        </is>
      </c>
      <c r="B2346" s="42" t="inlineStr">
        <is>
          <t>Google suggest</t>
        </is>
      </c>
      <c r="C2346" s="42" t="n">
        <v>3</v>
      </c>
      <c r="D2346" s="42" t="inlineStr">
        <is>
          <t>T3-1</t>
        </is>
      </c>
      <c r="E2346" s="42" t="n">
        <v>2</v>
      </c>
      <c r="F2346" s="42" t="inlineStr">
        <is>
          <t>FR-082, FR-083</t>
        </is>
      </c>
      <c r="G2346" s="55">
        <f>IFERROR(INDEX('Semrush Data'!$A$1:$Z$20000,MATCH(A2346,'Semrush Data'!$A$1:$A$20000,0),MATCH("Volume",'Semrush Data'!$A$1:$Z$1,0)),"")</f>
        <v/>
      </c>
      <c r="H2346" s="42">
        <f>IFERROR(INDEX('Semrush Data'!$A$1:$Z$20000,MATCH(A2346,'Semrush Data'!$A$1:$A$20000,0),MATCH("Keyword Difficulty*",'Semrush Data'!$A$1:$Z$1,0)),"")</f>
        <v/>
      </c>
      <c r="I2346" s="56">
        <f>IFERROR(INDEX('Semrush Data'!$A$1:$Z$20000,MATCH(A2346,'Semrush Data'!$A$1:$A$20000,0),MATCH("CPC*",'Semrush Data'!$A$1:$Z$1,0)),"")</f>
        <v/>
      </c>
      <c r="J2346" s="42">
        <f>IFERROR(INDEX('Semrush Data'!$A$1:$Z$20000,MATCH(A2346,'Semrush Data'!$A$1:$A$20000,0),MATCH("Intent",'Semrush Data'!$A$1:$Z$1,0)),"")</f>
        <v/>
      </c>
    </row>
    <row r="2347" ht="15" customHeight="1" s="37">
      <c r="A2347" s="42" t="inlineStr">
        <is>
          <t>calvin klein eternity for men</t>
        </is>
      </c>
      <c r="B2347" s="42" t="inlineStr">
        <is>
          <t>Google suggest</t>
        </is>
      </c>
      <c r="C2347" s="42" t="n">
        <v>3</v>
      </c>
      <c r="D2347" s="42" t="inlineStr">
        <is>
          <t>T3-1</t>
        </is>
      </c>
      <c r="E2347" s="42" t="n">
        <v>2</v>
      </c>
      <c r="F2347" s="42" t="inlineStr">
        <is>
          <t>FR-077, FR-079</t>
        </is>
      </c>
      <c r="G2347" s="55">
        <f>IFERROR(INDEX('Semrush Data'!$A$1:$Z$20000,MATCH(A2347,'Semrush Data'!$A$1:$A$20000,0),MATCH("Volume",'Semrush Data'!$A$1:$Z$1,0)),"")</f>
        <v/>
      </c>
      <c r="H2347" s="42">
        <f>IFERROR(INDEX('Semrush Data'!$A$1:$Z$20000,MATCH(A2347,'Semrush Data'!$A$1:$A$20000,0),MATCH("Keyword Difficulty*",'Semrush Data'!$A$1:$Z$1,0)),"")</f>
        <v/>
      </c>
      <c r="I2347" s="56">
        <f>IFERROR(INDEX('Semrush Data'!$A$1:$Z$20000,MATCH(A2347,'Semrush Data'!$A$1:$A$20000,0),MATCH("CPC*",'Semrush Data'!$A$1:$Z$1,0)),"")</f>
        <v/>
      </c>
      <c r="J2347" s="42">
        <f>IFERROR(INDEX('Semrush Data'!$A$1:$Z$20000,MATCH(A2347,'Semrush Data'!$A$1:$A$20000,0),MATCH("Intent",'Semrush Data'!$A$1:$Z$1,0)),"")</f>
        <v/>
      </c>
    </row>
    <row r="2348" ht="15" customHeight="1" s="37">
      <c r="A2348" s="42" t="inlineStr">
        <is>
          <t>calvin klein eternity for women</t>
        </is>
      </c>
      <c r="B2348" s="42" t="inlineStr">
        <is>
          <t>Google suggest</t>
        </is>
      </c>
      <c r="C2348" s="42" t="n">
        <v>3</v>
      </c>
      <c r="D2348" s="42" t="inlineStr">
        <is>
          <t>T3-1</t>
        </is>
      </c>
      <c r="E2348" s="42" t="n">
        <v>2</v>
      </c>
      <c r="F2348" s="42" t="inlineStr">
        <is>
          <t>FR-077, FR-079</t>
        </is>
      </c>
      <c r="G2348" s="55">
        <f>IFERROR(INDEX('Semrush Data'!$A$1:$Z$20000,MATCH(A2348,'Semrush Data'!$A$1:$A$20000,0),MATCH("Volume",'Semrush Data'!$A$1:$Z$1,0)),"")</f>
        <v/>
      </c>
      <c r="H2348" s="42">
        <f>IFERROR(INDEX('Semrush Data'!$A$1:$Z$20000,MATCH(A2348,'Semrush Data'!$A$1:$A$20000,0),MATCH("Keyword Difficulty*",'Semrush Data'!$A$1:$Z$1,0)),"")</f>
        <v/>
      </c>
      <c r="I2348" s="56">
        <f>IFERROR(INDEX('Semrush Data'!$A$1:$Z$20000,MATCH(A2348,'Semrush Data'!$A$1:$A$20000,0),MATCH("CPC*",'Semrush Data'!$A$1:$Z$1,0)),"")</f>
        <v/>
      </c>
      <c r="J2348" s="42">
        <f>IFERROR(INDEX('Semrush Data'!$A$1:$Z$20000,MATCH(A2348,'Semrush Data'!$A$1:$A$20000,0),MATCH("Intent",'Semrush Data'!$A$1:$Z$1,0)),"")</f>
        <v/>
      </c>
    </row>
    <row r="2349" ht="15" customHeight="1" s="37">
      <c r="A2349" s="42" t="inlineStr">
        <is>
          <t>calvin klein eternity perfume</t>
        </is>
      </c>
      <c r="B2349" s="42" t="inlineStr">
        <is>
          <t>Google suggest</t>
        </is>
      </c>
      <c r="C2349" s="42" t="n">
        <v>3</v>
      </c>
      <c r="D2349" s="42" t="n">
        <v>24</v>
      </c>
      <c r="E2349" s="42" t="n">
        <v>2</v>
      </c>
      <c r="F2349" s="42" t="inlineStr">
        <is>
          <t>FR-077, FR-079</t>
        </is>
      </c>
      <c r="G2349" s="55">
        <f>IFERROR(INDEX('Semrush Data'!$A$1:$Z$20000,MATCH(A2349,'Semrush Data'!$A$1:$A$20000,0),MATCH("Volume",'Semrush Data'!$A$1:$Z$1,0)),"")</f>
        <v/>
      </c>
      <c r="H2349" s="42">
        <f>IFERROR(INDEX('Semrush Data'!$A$1:$Z$20000,MATCH(A2349,'Semrush Data'!$A$1:$A$20000,0),MATCH("Keyword Difficulty*",'Semrush Data'!$A$1:$Z$1,0)),"")</f>
        <v/>
      </c>
      <c r="I2349" s="56">
        <f>IFERROR(INDEX('Semrush Data'!$A$1:$Z$20000,MATCH(A2349,'Semrush Data'!$A$1:$A$20000,0),MATCH("CPC*",'Semrush Data'!$A$1:$Z$1,0)),"")</f>
        <v/>
      </c>
      <c r="J2349" s="42">
        <f>IFERROR(INDEX('Semrush Data'!$A$1:$Z$20000,MATCH(A2349,'Semrush Data'!$A$1:$A$20000,0),MATCH("Intent",'Semrush Data'!$A$1:$Z$1,0)),"")</f>
        <v/>
      </c>
    </row>
    <row r="2350" ht="15" customHeight="1" s="37">
      <c r="A2350" s="42" t="inlineStr">
        <is>
          <t>calvin klein mini set</t>
        </is>
      </c>
      <c r="B2350" s="42" t="inlineStr">
        <is>
          <t>Google suggest</t>
        </is>
      </c>
      <c r="C2350" s="42" t="n">
        <v>3</v>
      </c>
      <c r="D2350" s="42" t="n">
        <v>24</v>
      </c>
      <c r="E2350" s="42" t="n">
        <v>1</v>
      </c>
      <c r="F2350" s="42" t="inlineStr">
        <is>
          <t>FR-080</t>
        </is>
      </c>
      <c r="G2350" s="55">
        <f>IFERROR(INDEX('Semrush Data'!$A$1:$Z$20000,MATCH(A2350,'Semrush Data'!$A$1:$A$20000,0),MATCH("Volume",'Semrush Data'!$A$1:$Z$1,0)),"")</f>
        <v/>
      </c>
      <c r="H2350" s="42">
        <f>IFERROR(INDEX('Semrush Data'!$A$1:$Z$20000,MATCH(A2350,'Semrush Data'!$A$1:$A$20000,0),MATCH("Keyword Difficulty*",'Semrush Data'!$A$1:$Z$1,0)),"")</f>
        <v/>
      </c>
      <c r="I2350" s="56">
        <f>IFERROR(INDEX('Semrush Data'!$A$1:$Z$20000,MATCH(A2350,'Semrush Data'!$A$1:$A$20000,0),MATCH("CPC*",'Semrush Data'!$A$1:$Z$1,0)),"")</f>
        <v/>
      </c>
      <c r="J2350" s="42">
        <f>IFERROR(INDEX('Semrush Data'!$A$1:$Z$20000,MATCH(A2350,'Semrush Data'!$A$1:$A$20000,0),MATCH("Intent",'Semrush Data'!$A$1:$Z$1,0)),"")</f>
        <v/>
      </c>
    </row>
    <row r="2351" ht="15" customHeight="1" s="37">
      <c r="A2351" s="42" t="inlineStr">
        <is>
          <t>calvin klein mini set perfume</t>
        </is>
      </c>
      <c r="B2351" s="42" t="inlineStr">
        <is>
          <t>Google suggest</t>
        </is>
      </c>
      <c r="C2351" s="42" t="n">
        <v>3</v>
      </c>
      <c r="D2351" s="42" t="n">
        <v>24</v>
      </c>
      <c r="E2351" s="42" t="n">
        <v>1</v>
      </c>
      <c r="F2351" s="42" t="inlineStr">
        <is>
          <t>FR-080</t>
        </is>
      </c>
      <c r="G2351" s="55">
        <f>IFERROR(INDEX('Semrush Data'!$A$1:$Z$20000,MATCH(A2351,'Semrush Data'!$A$1:$A$20000,0),MATCH("Volume",'Semrush Data'!$A$1:$Z$1,0)),"")</f>
        <v/>
      </c>
      <c r="H2351" s="42">
        <f>IFERROR(INDEX('Semrush Data'!$A$1:$Z$20000,MATCH(A2351,'Semrush Data'!$A$1:$A$20000,0),MATCH("Keyword Difficulty*",'Semrush Data'!$A$1:$Z$1,0)),"")</f>
        <v/>
      </c>
      <c r="I2351" s="56">
        <f>IFERROR(INDEX('Semrush Data'!$A$1:$Z$20000,MATCH(A2351,'Semrush Data'!$A$1:$A$20000,0),MATCH("CPC*",'Semrush Data'!$A$1:$Z$1,0)),"")</f>
        <v/>
      </c>
      <c r="J2351" s="42">
        <f>IFERROR(INDEX('Semrush Data'!$A$1:$Z$20000,MATCH(A2351,'Semrush Data'!$A$1:$A$20000,0),MATCH("Intent",'Semrush Data'!$A$1:$Z$1,0)),"")</f>
        <v/>
      </c>
    </row>
    <row r="2352" ht="15" customHeight="1" s="37">
      <c r="A2352" s="42" t="inlineStr">
        <is>
          <t>calvin klein mini set women</t>
        </is>
      </c>
      <c r="B2352" s="42" t="inlineStr">
        <is>
          <t>Google suggest</t>
        </is>
      </c>
      <c r="C2352" s="42" t="n">
        <v>3</v>
      </c>
      <c r="D2352" s="42" t="n">
        <v>24</v>
      </c>
      <c r="E2352" s="42" t="n">
        <v>1</v>
      </c>
      <c r="F2352" s="42" t="inlineStr">
        <is>
          <t>FR-080</t>
        </is>
      </c>
      <c r="G2352" s="55">
        <f>IFERROR(INDEX('Semrush Data'!$A$1:$Z$20000,MATCH(A2352,'Semrush Data'!$A$1:$A$20000,0),MATCH("Volume",'Semrush Data'!$A$1:$Z$1,0)),"")</f>
        <v/>
      </c>
      <c r="H2352" s="42">
        <f>IFERROR(INDEX('Semrush Data'!$A$1:$Z$20000,MATCH(A2352,'Semrush Data'!$A$1:$A$20000,0),MATCH("Keyword Difficulty*",'Semrush Data'!$A$1:$Z$1,0)),"")</f>
        <v/>
      </c>
      <c r="I2352" s="56">
        <f>IFERROR(INDEX('Semrush Data'!$A$1:$Z$20000,MATCH(A2352,'Semrush Data'!$A$1:$A$20000,0),MATCH("CPC*",'Semrush Data'!$A$1:$Z$1,0)),"")</f>
        <v/>
      </c>
      <c r="J2352" s="42">
        <f>IFERROR(INDEX('Semrush Data'!$A$1:$Z$20000,MATCH(A2352,'Semrush Data'!$A$1:$A$20000,0),MATCH("Intent",'Semrush Data'!$A$1:$Z$1,0)),"")</f>
        <v/>
      </c>
    </row>
    <row r="2353" ht="15" customHeight="1" s="37">
      <c r="A2353" s="42" t="inlineStr">
        <is>
          <t>calvin klein miniature perfume set</t>
        </is>
      </c>
      <c r="B2353" s="42" t="inlineStr">
        <is>
          <t>Google suggest</t>
        </is>
      </c>
      <c r="C2353" s="42" t="n">
        <v>3</v>
      </c>
      <c r="D2353" s="42" t="n">
        <v>24</v>
      </c>
      <c r="E2353" s="42" t="n">
        <v>1</v>
      </c>
      <c r="F2353" s="42" t="inlineStr">
        <is>
          <t>FR-080</t>
        </is>
      </c>
      <c r="G2353" s="55">
        <f>IFERROR(INDEX('Semrush Data'!$A$1:$Z$20000,MATCH(A2353,'Semrush Data'!$A$1:$A$20000,0),MATCH("Volume",'Semrush Data'!$A$1:$Z$1,0)),"")</f>
        <v/>
      </c>
      <c r="H2353" s="42">
        <f>IFERROR(INDEX('Semrush Data'!$A$1:$Z$20000,MATCH(A2353,'Semrush Data'!$A$1:$A$20000,0),MATCH("Keyword Difficulty*",'Semrush Data'!$A$1:$Z$1,0)),"")</f>
        <v/>
      </c>
      <c r="I2353" s="56">
        <f>IFERROR(INDEX('Semrush Data'!$A$1:$Z$20000,MATCH(A2353,'Semrush Data'!$A$1:$A$20000,0),MATCH("CPC*",'Semrush Data'!$A$1:$Z$1,0)),"")</f>
        <v/>
      </c>
      <c r="J2353" s="42">
        <f>IFERROR(INDEX('Semrush Data'!$A$1:$Z$20000,MATCH(A2353,'Semrush Data'!$A$1:$A$20000,0),MATCH("Intent",'Semrush Data'!$A$1:$Z$1,0)),"")</f>
        <v/>
      </c>
    </row>
    <row r="2354" ht="15" customHeight="1" s="37">
      <c r="A2354" s="42" t="inlineStr">
        <is>
          <t>calvin klein miniature set for men</t>
        </is>
      </c>
      <c r="B2354" s="42" t="inlineStr">
        <is>
          <t>Google suggest</t>
        </is>
      </c>
      <c r="C2354" s="42" t="n">
        <v>3</v>
      </c>
      <c r="D2354" s="42" t="n">
        <v>24</v>
      </c>
      <c r="E2354" s="42" t="n">
        <v>1</v>
      </c>
      <c r="F2354" s="42" t="inlineStr">
        <is>
          <t>FR-080</t>
        </is>
      </c>
      <c r="G2354" s="55">
        <f>IFERROR(INDEX('Semrush Data'!$A$1:$Z$20000,MATCH(A2354,'Semrush Data'!$A$1:$A$20000,0),MATCH("Volume",'Semrush Data'!$A$1:$Z$1,0)),"")</f>
        <v/>
      </c>
      <c r="H2354" s="42">
        <f>IFERROR(INDEX('Semrush Data'!$A$1:$Z$20000,MATCH(A2354,'Semrush Data'!$A$1:$A$20000,0),MATCH("Keyword Difficulty*",'Semrush Data'!$A$1:$Z$1,0)),"")</f>
        <v/>
      </c>
      <c r="I2354" s="56">
        <f>IFERROR(INDEX('Semrush Data'!$A$1:$Z$20000,MATCH(A2354,'Semrush Data'!$A$1:$A$20000,0),MATCH("CPC*",'Semrush Data'!$A$1:$Z$1,0)),"")</f>
        <v/>
      </c>
      <c r="J2354" s="42">
        <f>IFERROR(INDEX('Semrush Data'!$A$1:$Z$20000,MATCH(A2354,'Semrush Data'!$A$1:$A$20000,0),MATCH("Intent",'Semrush Data'!$A$1:$Z$1,0)),"")</f>
        <v/>
      </c>
    </row>
    <row r="2355" ht="15" customHeight="1" s="37">
      <c r="A2355" s="42" t="inlineStr">
        <is>
          <t>calvin klein perfume eternity mini</t>
        </is>
      </c>
      <c r="B2355" s="42" t="inlineStr">
        <is>
          <t>Google suggest</t>
        </is>
      </c>
      <c r="C2355" s="42" t="n">
        <v>3</v>
      </c>
      <c r="D2355" s="42" t="n">
        <v>24</v>
      </c>
      <c r="E2355" s="42" t="n">
        <v>1</v>
      </c>
      <c r="F2355" s="42" t="inlineStr">
        <is>
          <t>FR-086</t>
        </is>
      </c>
      <c r="G2355" s="55">
        <f>IFERROR(INDEX('Semrush Data'!$A$1:$Z$20000,MATCH(A2355,'Semrush Data'!$A$1:$A$20000,0),MATCH("Volume",'Semrush Data'!$A$1:$Z$1,0)),"")</f>
        <v/>
      </c>
      <c r="H2355" s="42">
        <f>IFERROR(INDEX('Semrush Data'!$A$1:$Z$20000,MATCH(A2355,'Semrush Data'!$A$1:$A$20000,0),MATCH("Keyword Difficulty*",'Semrush Data'!$A$1:$Z$1,0)),"")</f>
        <v/>
      </c>
      <c r="I2355" s="56">
        <f>IFERROR(INDEX('Semrush Data'!$A$1:$Z$20000,MATCH(A2355,'Semrush Data'!$A$1:$A$20000,0),MATCH("CPC*",'Semrush Data'!$A$1:$Z$1,0)),"")</f>
        <v/>
      </c>
      <c r="J2355" s="42">
        <f>IFERROR(INDEX('Semrush Data'!$A$1:$Z$20000,MATCH(A2355,'Semrush Data'!$A$1:$A$20000,0),MATCH("Intent",'Semrush Data'!$A$1:$Z$1,0)),"")</f>
        <v/>
      </c>
    </row>
    <row r="2356" ht="15" customHeight="1" s="37">
      <c r="A2356" s="42" t="inlineStr">
        <is>
          <t>carolina herrera 212 vip men edt</t>
        </is>
      </c>
      <c r="B2356" s="42" t="inlineStr">
        <is>
          <t>Google suggest</t>
        </is>
      </c>
      <c r="C2356" s="42" t="n">
        <v>3</v>
      </c>
      <c r="D2356" s="42" t="n">
        <v>24</v>
      </c>
      <c r="E2356" s="42" t="n">
        <v>1</v>
      </c>
      <c r="F2356" s="42" t="inlineStr">
        <is>
          <t>FR-093</t>
        </is>
      </c>
      <c r="G2356" s="55">
        <f>IFERROR(INDEX('Semrush Data'!$A$1:$Z$20000,MATCH(A2356,'Semrush Data'!$A$1:$A$20000,0),MATCH("Volume",'Semrush Data'!$A$1:$Z$1,0)),"")</f>
        <v/>
      </c>
      <c r="H2356" s="42">
        <f>IFERROR(INDEX('Semrush Data'!$A$1:$Z$20000,MATCH(A2356,'Semrush Data'!$A$1:$A$20000,0),MATCH("Keyword Difficulty*",'Semrush Data'!$A$1:$Z$1,0)),"")</f>
        <v/>
      </c>
      <c r="I2356" s="56">
        <f>IFERROR(INDEX('Semrush Data'!$A$1:$Z$20000,MATCH(A2356,'Semrush Data'!$A$1:$A$20000,0),MATCH("CPC*",'Semrush Data'!$A$1:$Z$1,0)),"")</f>
        <v/>
      </c>
      <c r="J2356" s="42">
        <f>IFERROR(INDEX('Semrush Data'!$A$1:$Z$20000,MATCH(A2356,'Semrush Data'!$A$1:$A$20000,0),MATCH("Intent",'Semrush Data'!$A$1:$Z$1,0)),"")</f>
        <v/>
      </c>
    </row>
    <row r="2357" ht="15" customHeight="1" s="37">
      <c r="A2357" s="42" t="inlineStr">
        <is>
          <t>carolina herrera 212 vip men notes</t>
        </is>
      </c>
      <c r="B2357" s="42" t="inlineStr">
        <is>
          <t>Google suggest</t>
        </is>
      </c>
      <c r="C2357" s="42" t="n">
        <v>3</v>
      </c>
      <c r="D2357" s="42" t="inlineStr">
        <is>
          <t>T3-2</t>
        </is>
      </c>
      <c r="E2357" s="42" t="n">
        <v>1</v>
      </c>
      <c r="F2357" s="42" t="inlineStr">
        <is>
          <t>FR-093</t>
        </is>
      </c>
      <c r="G2357" s="55">
        <f>IFERROR(INDEX('Semrush Data'!$A$1:$Z$20000,MATCH(A2357,'Semrush Data'!$A$1:$A$20000,0),MATCH("Volume",'Semrush Data'!$A$1:$Z$1,0)),"")</f>
        <v/>
      </c>
      <c r="H2357" s="42">
        <f>IFERROR(INDEX('Semrush Data'!$A$1:$Z$20000,MATCH(A2357,'Semrush Data'!$A$1:$A$20000,0),MATCH("Keyword Difficulty*",'Semrush Data'!$A$1:$Z$1,0)),"")</f>
        <v/>
      </c>
      <c r="I2357" s="56">
        <f>IFERROR(INDEX('Semrush Data'!$A$1:$Z$20000,MATCH(A2357,'Semrush Data'!$A$1:$A$20000,0),MATCH("CPC*",'Semrush Data'!$A$1:$Z$1,0)),"")</f>
        <v/>
      </c>
      <c r="J2357" s="42">
        <f>IFERROR(INDEX('Semrush Data'!$A$1:$Z$20000,MATCH(A2357,'Semrush Data'!$A$1:$A$20000,0),MATCH("Intent",'Semrush Data'!$A$1:$Z$1,0)),"")</f>
        <v/>
      </c>
    </row>
    <row r="2358" ht="15" customHeight="1" s="37">
      <c r="A2358" s="42" t="inlineStr">
        <is>
          <t>carolina herrera 212 vip men review</t>
        </is>
      </c>
      <c r="B2358" s="42" t="inlineStr">
        <is>
          <t>Google suggest</t>
        </is>
      </c>
      <c r="C2358" s="42" t="n">
        <v>3</v>
      </c>
      <c r="D2358" s="42" t="inlineStr">
        <is>
          <t>T3-2</t>
        </is>
      </c>
      <c r="E2358" s="42" t="n">
        <v>1</v>
      </c>
      <c r="F2358" s="42" t="inlineStr">
        <is>
          <t>FR-093</t>
        </is>
      </c>
      <c r="G2358" s="55">
        <f>IFERROR(INDEX('Semrush Data'!$A$1:$Z$20000,MATCH(A2358,'Semrush Data'!$A$1:$A$20000,0),MATCH("Volume",'Semrush Data'!$A$1:$Z$1,0)),"")</f>
        <v/>
      </c>
      <c r="H2358" s="42">
        <f>IFERROR(INDEX('Semrush Data'!$A$1:$Z$20000,MATCH(A2358,'Semrush Data'!$A$1:$A$20000,0),MATCH("Keyword Difficulty*",'Semrush Data'!$A$1:$Z$1,0)),"")</f>
        <v/>
      </c>
      <c r="I2358" s="56">
        <f>IFERROR(INDEX('Semrush Data'!$A$1:$Z$20000,MATCH(A2358,'Semrush Data'!$A$1:$A$20000,0),MATCH("CPC*",'Semrush Data'!$A$1:$Z$1,0)),"")</f>
        <v/>
      </c>
      <c r="J2358" s="42">
        <f>IFERROR(INDEX('Semrush Data'!$A$1:$Z$20000,MATCH(A2358,'Semrush Data'!$A$1:$A$20000,0),MATCH("Intent",'Semrush Data'!$A$1:$Z$1,0)),"")</f>
        <v/>
      </c>
    </row>
    <row r="2359" ht="15" customHeight="1" s="37">
      <c r="A2359" s="42" t="inlineStr">
        <is>
          <t>carolina herrera 212 vip rose 100ml</t>
        </is>
      </c>
      <c r="B2359" s="42" t="inlineStr">
        <is>
          <t>Google suggest</t>
        </is>
      </c>
      <c r="C2359" s="42" t="n">
        <v>3</v>
      </c>
      <c r="D2359" s="42" t="n">
        <v>24</v>
      </c>
      <c r="E2359" s="42" t="n">
        <v>1</v>
      </c>
      <c r="F2359" s="42" t="inlineStr">
        <is>
          <t>FR-087</t>
        </is>
      </c>
      <c r="G2359" s="55">
        <f>IFERROR(INDEX('Semrush Data'!$A$1:$Z$20000,MATCH(A2359,'Semrush Data'!$A$1:$A$20000,0),MATCH("Volume",'Semrush Data'!$A$1:$Z$1,0)),"")</f>
        <v/>
      </c>
      <c r="H2359" s="42">
        <f>IFERROR(INDEX('Semrush Data'!$A$1:$Z$20000,MATCH(A2359,'Semrush Data'!$A$1:$A$20000,0),MATCH("Keyword Difficulty*",'Semrush Data'!$A$1:$Z$1,0)),"")</f>
        <v/>
      </c>
      <c r="I2359" s="56">
        <f>IFERROR(INDEX('Semrush Data'!$A$1:$Z$20000,MATCH(A2359,'Semrush Data'!$A$1:$A$20000,0),MATCH("CPC*",'Semrush Data'!$A$1:$Z$1,0)),"")</f>
        <v/>
      </c>
      <c r="J2359" s="42">
        <f>IFERROR(INDEX('Semrush Data'!$A$1:$Z$20000,MATCH(A2359,'Semrush Data'!$A$1:$A$20000,0),MATCH("Intent",'Semrush Data'!$A$1:$Z$1,0)),"")</f>
        <v/>
      </c>
    </row>
    <row r="2360" ht="15" customHeight="1" s="37">
      <c r="A2360" s="42" t="inlineStr">
        <is>
          <t>carolina herrera 212 vip rose eau de parfum 50ml</t>
        </is>
      </c>
      <c r="B2360" s="42" t="inlineStr">
        <is>
          <t>Google suggest</t>
        </is>
      </c>
      <c r="C2360" s="42" t="n">
        <v>3</v>
      </c>
      <c r="D2360" s="42" t="n">
        <v>24</v>
      </c>
      <c r="E2360" s="42" t="n">
        <v>1</v>
      </c>
      <c r="F2360" s="42" t="inlineStr">
        <is>
          <t>FR-087</t>
        </is>
      </c>
      <c r="G2360" s="55">
        <f>IFERROR(INDEX('Semrush Data'!$A$1:$Z$20000,MATCH(A2360,'Semrush Data'!$A$1:$A$20000,0),MATCH("Volume",'Semrush Data'!$A$1:$Z$1,0)),"")</f>
        <v/>
      </c>
      <c r="H2360" s="42">
        <f>IFERROR(INDEX('Semrush Data'!$A$1:$Z$20000,MATCH(A2360,'Semrush Data'!$A$1:$A$20000,0),MATCH("Keyword Difficulty*",'Semrush Data'!$A$1:$Z$1,0)),"")</f>
        <v/>
      </c>
      <c r="I2360" s="56">
        <f>IFERROR(INDEX('Semrush Data'!$A$1:$Z$20000,MATCH(A2360,'Semrush Data'!$A$1:$A$20000,0),MATCH("CPC*",'Semrush Data'!$A$1:$Z$1,0)),"")</f>
        <v/>
      </c>
      <c r="J2360" s="42">
        <f>IFERROR(INDEX('Semrush Data'!$A$1:$Z$20000,MATCH(A2360,'Semrush Data'!$A$1:$A$20000,0),MATCH("Intent",'Semrush Data'!$A$1:$Z$1,0)),"")</f>
        <v/>
      </c>
    </row>
    <row r="2361" ht="15" customHeight="1" s="37">
      <c r="A2361" s="42" t="inlineStr">
        <is>
          <t>carolina herrera 212 vip rose notes</t>
        </is>
      </c>
      <c r="B2361" s="42" t="inlineStr">
        <is>
          <t>Google suggest</t>
        </is>
      </c>
      <c r="C2361" s="42" t="n">
        <v>3</v>
      </c>
      <c r="D2361" s="42" t="n">
        <v>24</v>
      </c>
      <c r="E2361" s="42" t="n">
        <v>1</v>
      </c>
      <c r="F2361" s="42" t="inlineStr">
        <is>
          <t>FR-087</t>
        </is>
      </c>
      <c r="G2361" s="55">
        <f>IFERROR(INDEX('Semrush Data'!$A$1:$Z$20000,MATCH(A2361,'Semrush Data'!$A$1:$A$20000,0),MATCH("Volume",'Semrush Data'!$A$1:$Z$1,0)),"")</f>
        <v/>
      </c>
      <c r="H2361" s="42">
        <f>IFERROR(INDEX('Semrush Data'!$A$1:$Z$20000,MATCH(A2361,'Semrush Data'!$A$1:$A$20000,0),MATCH("Keyword Difficulty*",'Semrush Data'!$A$1:$Z$1,0)),"")</f>
        <v/>
      </c>
      <c r="I2361" s="56">
        <f>IFERROR(INDEX('Semrush Data'!$A$1:$Z$20000,MATCH(A2361,'Semrush Data'!$A$1:$A$20000,0),MATCH("CPC*",'Semrush Data'!$A$1:$Z$1,0)),"")</f>
        <v/>
      </c>
      <c r="J2361" s="42">
        <f>IFERROR(INDEX('Semrush Data'!$A$1:$Z$20000,MATCH(A2361,'Semrush Data'!$A$1:$A$20000,0),MATCH("Intent",'Semrush Data'!$A$1:$Z$1,0)),"")</f>
        <v/>
      </c>
    </row>
    <row r="2362" ht="15" customHeight="1" s="37">
      <c r="A2362" s="42" t="inlineStr">
        <is>
          <t>carolina herrera 212 vip rose review</t>
        </is>
      </c>
      <c r="B2362" s="42" t="inlineStr">
        <is>
          <t>Google suggest</t>
        </is>
      </c>
      <c r="C2362" s="42" t="n">
        <v>3</v>
      </c>
      <c r="D2362" s="42" t="n">
        <v>24</v>
      </c>
      <c r="E2362" s="42" t="n">
        <v>1</v>
      </c>
      <c r="F2362" s="42" t="inlineStr">
        <is>
          <t>FR-087</t>
        </is>
      </c>
      <c r="G2362" s="55">
        <f>IFERROR(INDEX('Semrush Data'!$A$1:$Z$20000,MATCH(A2362,'Semrush Data'!$A$1:$A$20000,0),MATCH("Volume",'Semrush Data'!$A$1:$Z$1,0)),"")</f>
        <v/>
      </c>
      <c r="H2362" s="42">
        <f>IFERROR(INDEX('Semrush Data'!$A$1:$Z$20000,MATCH(A2362,'Semrush Data'!$A$1:$A$20000,0),MATCH("Keyword Difficulty*",'Semrush Data'!$A$1:$Z$1,0)),"")</f>
        <v/>
      </c>
      <c r="I2362" s="56">
        <f>IFERROR(INDEX('Semrush Data'!$A$1:$Z$20000,MATCH(A2362,'Semrush Data'!$A$1:$A$20000,0),MATCH("CPC*",'Semrush Data'!$A$1:$Z$1,0)),"")</f>
        <v/>
      </c>
      <c r="J2362" s="42">
        <f>IFERROR(INDEX('Semrush Data'!$A$1:$Z$20000,MATCH(A2362,'Semrush Data'!$A$1:$A$20000,0),MATCH("Intent",'Semrush Data'!$A$1:$Z$1,0)),"")</f>
        <v/>
      </c>
    </row>
    <row r="2363" ht="15" customHeight="1" s="37">
      <c r="A2363" s="42" t="inlineStr">
        <is>
          <t>carolina herrera 212 vip rose women</t>
        </is>
      </c>
      <c r="B2363" s="42" t="inlineStr">
        <is>
          <t>Google suggest</t>
        </is>
      </c>
      <c r="C2363" s="42" t="n">
        <v>3</v>
      </c>
      <c r="D2363" s="42" t="n">
        <v>24</v>
      </c>
      <c r="E2363" s="42" t="n">
        <v>1</v>
      </c>
      <c r="F2363" s="42" t="inlineStr">
        <is>
          <t>FR-087</t>
        </is>
      </c>
      <c r="G2363" s="55">
        <f>IFERROR(INDEX('Semrush Data'!$A$1:$Z$20000,MATCH(A2363,'Semrush Data'!$A$1:$A$20000,0),MATCH("Volume",'Semrush Data'!$A$1:$Z$1,0)),"")</f>
        <v/>
      </c>
      <c r="H2363" s="42">
        <f>IFERROR(INDEX('Semrush Data'!$A$1:$Z$20000,MATCH(A2363,'Semrush Data'!$A$1:$A$20000,0),MATCH("Keyword Difficulty*",'Semrush Data'!$A$1:$Z$1,0)),"")</f>
        <v/>
      </c>
      <c r="I2363" s="56">
        <f>IFERROR(INDEX('Semrush Data'!$A$1:$Z$20000,MATCH(A2363,'Semrush Data'!$A$1:$A$20000,0),MATCH("CPC*",'Semrush Data'!$A$1:$Z$1,0)),"")</f>
        <v/>
      </c>
      <c r="J2363" s="42">
        <f>IFERROR(INDEX('Semrush Data'!$A$1:$Z$20000,MATCH(A2363,'Semrush Data'!$A$1:$A$20000,0),MATCH("Intent",'Semrush Data'!$A$1:$Z$1,0)),"")</f>
        <v/>
      </c>
    </row>
    <row r="2364" ht="15" customHeight="1" s="37">
      <c r="A2364" s="42" t="inlineStr">
        <is>
          <t>carolina herrera bad boy extreme 100ml</t>
        </is>
      </c>
      <c r="B2364" s="42" t="inlineStr">
        <is>
          <t>Google suggest</t>
        </is>
      </c>
      <c r="C2364" s="42" t="n">
        <v>3</v>
      </c>
      <c r="D2364" s="42" t="n">
        <v>24</v>
      </c>
      <c r="E2364" s="42" t="n">
        <v>2</v>
      </c>
      <c r="F2364" s="42" t="inlineStr">
        <is>
          <t>FR-088, FR-089</t>
        </is>
      </c>
      <c r="G2364" s="55">
        <f>IFERROR(INDEX('Semrush Data'!$A$1:$Z$20000,MATCH(A2364,'Semrush Data'!$A$1:$A$20000,0),MATCH("Volume",'Semrush Data'!$A$1:$Z$1,0)),"")</f>
        <v/>
      </c>
      <c r="H2364" s="42">
        <f>IFERROR(INDEX('Semrush Data'!$A$1:$Z$20000,MATCH(A2364,'Semrush Data'!$A$1:$A$20000,0),MATCH("Keyword Difficulty*",'Semrush Data'!$A$1:$Z$1,0)),"")</f>
        <v/>
      </c>
      <c r="I2364" s="56">
        <f>IFERROR(INDEX('Semrush Data'!$A$1:$Z$20000,MATCH(A2364,'Semrush Data'!$A$1:$A$20000,0),MATCH("CPC*",'Semrush Data'!$A$1:$Z$1,0)),"")</f>
        <v/>
      </c>
      <c r="J2364" s="42">
        <f>IFERROR(INDEX('Semrush Data'!$A$1:$Z$20000,MATCH(A2364,'Semrush Data'!$A$1:$A$20000,0),MATCH("Intent",'Semrush Data'!$A$1:$Z$1,0)),"")</f>
        <v/>
      </c>
    </row>
    <row r="2365" ht="15" customHeight="1" s="37">
      <c r="A2365" s="42" t="inlineStr">
        <is>
          <t>carolina herrera bad boy extreme 150ml</t>
        </is>
      </c>
      <c r="B2365" s="42" t="inlineStr">
        <is>
          <t>Google suggest</t>
        </is>
      </c>
      <c r="C2365" s="42" t="n">
        <v>3</v>
      </c>
      <c r="D2365" s="42" t="n">
        <v>24</v>
      </c>
      <c r="E2365" s="42" t="n">
        <v>2</v>
      </c>
      <c r="F2365" s="42" t="inlineStr">
        <is>
          <t>FR-088, FR-089</t>
        </is>
      </c>
      <c r="G2365" s="55">
        <f>IFERROR(INDEX('Semrush Data'!$A$1:$Z$20000,MATCH(A2365,'Semrush Data'!$A$1:$A$20000,0),MATCH("Volume",'Semrush Data'!$A$1:$Z$1,0)),"")</f>
        <v/>
      </c>
      <c r="H2365" s="42">
        <f>IFERROR(INDEX('Semrush Data'!$A$1:$Z$20000,MATCH(A2365,'Semrush Data'!$A$1:$A$20000,0),MATCH("Keyword Difficulty*",'Semrush Data'!$A$1:$Z$1,0)),"")</f>
        <v/>
      </c>
      <c r="I2365" s="56">
        <f>IFERROR(INDEX('Semrush Data'!$A$1:$Z$20000,MATCH(A2365,'Semrush Data'!$A$1:$A$20000,0),MATCH("CPC*",'Semrush Data'!$A$1:$Z$1,0)),"")</f>
        <v/>
      </c>
      <c r="J2365" s="42">
        <f>IFERROR(INDEX('Semrush Data'!$A$1:$Z$20000,MATCH(A2365,'Semrush Data'!$A$1:$A$20000,0),MATCH("Intent",'Semrush Data'!$A$1:$Z$1,0)),"")</f>
        <v/>
      </c>
    </row>
    <row r="2366" ht="15" customHeight="1" s="37">
      <c r="A2366" s="42" t="inlineStr">
        <is>
          <t>carolina herrera bad boy extreme edp</t>
        </is>
      </c>
      <c r="B2366" s="42" t="inlineStr">
        <is>
          <t>Google suggest</t>
        </is>
      </c>
      <c r="C2366" s="42" t="n">
        <v>3</v>
      </c>
      <c r="D2366" s="42" t="n">
        <v>24</v>
      </c>
      <c r="E2366" s="42" t="n">
        <v>2</v>
      </c>
      <c r="F2366" s="42" t="inlineStr">
        <is>
          <t>FR-088, FR-089</t>
        </is>
      </c>
      <c r="G2366" s="55">
        <f>IFERROR(INDEX('Semrush Data'!$A$1:$Z$20000,MATCH(A2366,'Semrush Data'!$A$1:$A$20000,0),MATCH("Volume",'Semrush Data'!$A$1:$Z$1,0)),"")</f>
        <v/>
      </c>
      <c r="H2366" s="42">
        <f>IFERROR(INDEX('Semrush Data'!$A$1:$Z$20000,MATCH(A2366,'Semrush Data'!$A$1:$A$20000,0),MATCH("Keyword Difficulty*",'Semrush Data'!$A$1:$Z$1,0)),"")</f>
        <v/>
      </c>
      <c r="I2366" s="56">
        <f>IFERROR(INDEX('Semrush Data'!$A$1:$Z$20000,MATCH(A2366,'Semrush Data'!$A$1:$A$20000,0),MATCH("CPC*",'Semrush Data'!$A$1:$Z$1,0)),"")</f>
        <v/>
      </c>
      <c r="J2366" s="42">
        <f>IFERROR(INDEX('Semrush Data'!$A$1:$Z$20000,MATCH(A2366,'Semrush Data'!$A$1:$A$20000,0),MATCH("Intent",'Semrush Data'!$A$1:$Z$1,0)),"")</f>
        <v/>
      </c>
    </row>
    <row r="2367" ht="15" customHeight="1" s="37">
      <c r="A2367" s="42" t="inlineStr">
        <is>
          <t>carolina herrera bad boy extreme notes</t>
        </is>
      </c>
      <c r="B2367" s="42" t="inlineStr">
        <is>
          <t>Google suggest</t>
        </is>
      </c>
      <c r="C2367" s="42" t="n">
        <v>3</v>
      </c>
      <c r="D2367" s="42" t="inlineStr">
        <is>
          <t>T3-2</t>
        </is>
      </c>
      <c r="E2367" s="42" t="n">
        <v>2</v>
      </c>
      <c r="F2367" s="42" t="inlineStr">
        <is>
          <t>FR-088, FR-089</t>
        </is>
      </c>
      <c r="G2367" s="55">
        <f>IFERROR(INDEX('Semrush Data'!$A$1:$Z$20000,MATCH(A2367,'Semrush Data'!$A$1:$A$20000,0),MATCH("Volume",'Semrush Data'!$A$1:$Z$1,0)),"")</f>
        <v/>
      </c>
      <c r="H2367" s="42">
        <f>IFERROR(INDEX('Semrush Data'!$A$1:$Z$20000,MATCH(A2367,'Semrush Data'!$A$1:$A$20000,0),MATCH("Keyword Difficulty*",'Semrush Data'!$A$1:$Z$1,0)),"")</f>
        <v/>
      </c>
      <c r="I2367" s="56">
        <f>IFERROR(INDEX('Semrush Data'!$A$1:$Z$20000,MATCH(A2367,'Semrush Data'!$A$1:$A$20000,0),MATCH("CPC*",'Semrush Data'!$A$1:$Z$1,0)),"")</f>
        <v/>
      </c>
      <c r="J2367" s="42">
        <f>IFERROR(INDEX('Semrush Data'!$A$1:$Z$20000,MATCH(A2367,'Semrush Data'!$A$1:$A$20000,0),MATCH("Intent",'Semrush Data'!$A$1:$Z$1,0)),"")</f>
        <v/>
      </c>
    </row>
    <row r="2368" ht="15" customHeight="1" s="37">
      <c r="A2368" s="42" t="inlineStr">
        <is>
          <t>carolina herrera bad boy extreme review</t>
        </is>
      </c>
      <c r="B2368" s="42" t="inlineStr">
        <is>
          <t>Google suggest</t>
        </is>
      </c>
      <c r="C2368" s="42" t="n">
        <v>3</v>
      </c>
      <c r="D2368" s="42" t="inlineStr">
        <is>
          <t>T3-2</t>
        </is>
      </c>
      <c r="E2368" s="42" t="n">
        <v>2</v>
      </c>
      <c r="F2368" s="42" t="inlineStr">
        <is>
          <t>FR-088, FR-089</t>
        </is>
      </c>
      <c r="G2368" s="55">
        <f>IFERROR(INDEX('Semrush Data'!$A$1:$Z$20000,MATCH(A2368,'Semrush Data'!$A$1:$A$20000,0),MATCH("Volume",'Semrush Data'!$A$1:$Z$1,0)),"")</f>
        <v/>
      </c>
      <c r="H2368" s="42">
        <f>IFERROR(INDEX('Semrush Data'!$A$1:$Z$20000,MATCH(A2368,'Semrush Data'!$A$1:$A$20000,0),MATCH("Keyword Difficulty*",'Semrush Data'!$A$1:$Z$1,0)),"")</f>
        <v/>
      </c>
      <c r="I2368" s="56">
        <f>IFERROR(INDEX('Semrush Data'!$A$1:$Z$20000,MATCH(A2368,'Semrush Data'!$A$1:$A$20000,0),MATCH("CPC*",'Semrush Data'!$A$1:$Z$1,0)),"")</f>
        <v/>
      </c>
      <c r="J2368" s="42">
        <f>IFERROR(INDEX('Semrush Data'!$A$1:$Z$20000,MATCH(A2368,'Semrush Data'!$A$1:$A$20000,0),MATCH("Intent",'Semrush Data'!$A$1:$Z$1,0)),"")</f>
        <v/>
      </c>
    </row>
    <row r="2369" ht="15" customHeight="1" s="37">
      <c r="A2369" s="42" t="inlineStr">
        <is>
          <t>carolina herrera bad boy le parfum</t>
        </is>
      </c>
      <c r="B2369" s="42" t="inlineStr">
        <is>
          <t>Google suggest</t>
        </is>
      </c>
      <c r="C2369" s="42" t="n">
        <v>3</v>
      </c>
      <c r="D2369" s="42" t="n">
        <v>24</v>
      </c>
      <c r="E2369" s="42" t="n">
        <v>2</v>
      </c>
      <c r="F2369" s="42" t="inlineStr">
        <is>
          <t>FR-090, FR-091</t>
        </is>
      </c>
      <c r="G2369" s="55">
        <f>IFERROR(INDEX('Semrush Data'!$A$1:$Z$20000,MATCH(A2369,'Semrush Data'!$A$1:$A$20000,0),MATCH("Volume",'Semrush Data'!$A$1:$Z$1,0)),"")</f>
        <v/>
      </c>
      <c r="H2369" s="42">
        <f>IFERROR(INDEX('Semrush Data'!$A$1:$Z$20000,MATCH(A2369,'Semrush Data'!$A$1:$A$20000,0),MATCH("Keyword Difficulty*",'Semrush Data'!$A$1:$Z$1,0)),"")</f>
        <v/>
      </c>
      <c r="I2369" s="56">
        <f>IFERROR(INDEX('Semrush Data'!$A$1:$Z$20000,MATCH(A2369,'Semrush Data'!$A$1:$A$20000,0),MATCH("CPC*",'Semrush Data'!$A$1:$Z$1,0)),"")</f>
        <v/>
      </c>
      <c r="J2369" s="42">
        <f>IFERROR(INDEX('Semrush Data'!$A$1:$Z$20000,MATCH(A2369,'Semrush Data'!$A$1:$A$20000,0),MATCH("Intent",'Semrush Data'!$A$1:$Z$1,0)),"")</f>
        <v/>
      </c>
    </row>
    <row r="2370" ht="15" customHeight="1" s="37">
      <c r="A2370" s="42" t="inlineStr">
        <is>
          <t>carolina herrera bad boy le parfum 100ml</t>
        </is>
      </c>
      <c r="B2370" s="42" t="inlineStr">
        <is>
          <t>Google suggest</t>
        </is>
      </c>
      <c r="C2370" s="42" t="n">
        <v>3</v>
      </c>
      <c r="D2370" s="42" t="n">
        <v>24</v>
      </c>
      <c r="E2370" s="42" t="n">
        <v>2</v>
      </c>
      <c r="F2370" s="42" t="inlineStr">
        <is>
          <t>FR-090, FR-091</t>
        </is>
      </c>
      <c r="G2370" s="55">
        <f>IFERROR(INDEX('Semrush Data'!$A$1:$Z$20000,MATCH(A2370,'Semrush Data'!$A$1:$A$20000,0),MATCH("Volume",'Semrush Data'!$A$1:$Z$1,0)),"")</f>
        <v/>
      </c>
      <c r="H2370" s="42">
        <f>IFERROR(INDEX('Semrush Data'!$A$1:$Z$20000,MATCH(A2370,'Semrush Data'!$A$1:$A$20000,0),MATCH("Keyword Difficulty*",'Semrush Data'!$A$1:$Z$1,0)),"")</f>
        <v/>
      </c>
      <c r="I2370" s="56">
        <f>IFERROR(INDEX('Semrush Data'!$A$1:$Z$20000,MATCH(A2370,'Semrush Data'!$A$1:$A$20000,0),MATCH("CPC*",'Semrush Data'!$A$1:$Z$1,0)),"")</f>
        <v/>
      </c>
      <c r="J2370" s="42">
        <f>IFERROR(INDEX('Semrush Data'!$A$1:$Z$20000,MATCH(A2370,'Semrush Data'!$A$1:$A$20000,0),MATCH("Intent",'Semrush Data'!$A$1:$Z$1,0)),"")</f>
        <v/>
      </c>
    </row>
    <row r="2371" ht="15" customHeight="1" s="37">
      <c r="A2371" s="42" t="inlineStr">
        <is>
          <t>carolina herrera bad boy le parfum 150ml</t>
        </is>
      </c>
      <c r="B2371" s="42" t="inlineStr">
        <is>
          <t>Google suggest</t>
        </is>
      </c>
      <c r="C2371" s="42" t="n">
        <v>3</v>
      </c>
      <c r="D2371" s="42" t="n">
        <v>24</v>
      </c>
      <c r="E2371" s="42" t="n">
        <v>2</v>
      </c>
      <c r="F2371" s="42" t="inlineStr">
        <is>
          <t>FR-090, FR-091</t>
        </is>
      </c>
      <c r="G2371" s="55">
        <f>IFERROR(INDEX('Semrush Data'!$A$1:$Z$20000,MATCH(A2371,'Semrush Data'!$A$1:$A$20000,0),MATCH("Volume",'Semrush Data'!$A$1:$Z$1,0)),"")</f>
        <v/>
      </c>
      <c r="H2371" s="42">
        <f>IFERROR(INDEX('Semrush Data'!$A$1:$Z$20000,MATCH(A2371,'Semrush Data'!$A$1:$A$20000,0),MATCH("Keyword Difficulty*",'Semrush Data'!$A$1:$Z$1,0)),"")</f>
        <v/>
      </c>
      <c r="I2371" s="56">
        <f>IFERROR(INDEX('Semrush Data'!$A$1:$Z$20000,MATCH(A2371,'Semrush Data'!$A$1:$A$20000,0),MATCH("CPC*",'Semrush Data'!$A$1:$Z$1,0)),"")</f>
        <v/>
      </c>
      <c r="J2371" s="42">
        <f>IFERROR(INDEX('Semrush Data'!$A$1:$Z$20000,MATCH(A2371,'Semrush Data'!$A$1:$A$20000,0),MATCH("Intent",'Semrush Data'!$A$1:$Z$1,0)),"")</f>
        <v/>
      </c>
    </row>
    <row r="2372" ht="15" customHeight="1" s="37">
      <c r="A2372" s="42" t="inlineStr">
        <is>
          <t>carolina herrera bad boy le parfum eau de parfum</t>
        </is>
      </c>
      <c r="B2372" s="42" t="inlineStr">
        <is>
          <t>Google suggest</t>
        </is>
      </c>
      <c r="C2372" s="42" t="n">
        <v>3</v>
      </c>
      <c r="D2372" s="42" t="n">
        <v>24</v>
      </c>
      <c r="E2372" s="42" t="n">
        <v>2</v>
      </c>
      <c r="F2372" s="42" t="inlineStr">
        <is>
          <t>FR-090, FR-091</t>
        </is>
      </c>
      <c r="G2372" s="55">
        <f>IFERROR(INDEX('Semrush Data'!$A$1:$Z$20000,MATCH(A2372,'Semrush Data'!$A$1:$A$20000,0),MATCH("Volume",'Semrush Data'!$A$1:$Z$1,0)),"")</f>
        <v/>
      </c>
      <c r="H2372" s="42">
        <f>IFERROR(INDEX('Semrush Data'!$A$1:$Z$20000,MATCH(A2372,'Semrush Data'!$A$1:$A$20000,0),MATCH("Keyword Difficulty*",'Semrush Data'!$A$1:$Z$1,0)),"")</f>
        <v/>
      </c>
      <c r="I2372" s="56">
        <f>IFERROR(INDEX('Semrush Data'!$A$1:$Z$20000,MATCH(A2372,'Semrush Data'!$A$1:$A$20000,0),MATCH("CPC*",'Semrush Data'!$A$1:$Z$1,0)),"")</f>
        <v/>
      </c>
      <c r="J2372" s="42">
        <f>IFERROR(INDEX('Semrush Data'!$A$1:$Z$20000,MATCH(A2372,'Semrush Data'!$A$1:$A$20000,0),MATCH("Intent",'Semrush Data'!$A$1:$Z$1,0)),"")</f>
        <v/>
      </c>
    </row>
    <row r="2373" ht="15" customHeight="1" s="37">
      <c r="A2373" s="42" t="inlineStr">
        <is>
          <t>carolina herrera bad boy le parfum notes</t>
        </is>
      </c>
      <c r="B2373" s="42" t="inlineStr">
        <is>
          <t>Google suggest</t>
        </is>
      </c>
      <c r="C2373" s="42" t="n">
        <v>3</v>
      </c>
      <c r="D2373" s="42" t="n">
        <v>24</v>
      </c>
      <c r="E2373" s="42" t="n">
        <v>2</v>
      </c>
      <c r="F2373" s="42" t="inlineStr">
        <is>
          <t>FR-090, FR-091</t>
        </is>
      </c>
      <c r="G2373" s="55">
        <f>IFERROR(INDEX('Semrush Data'!$A$1:$Z$20000,MATCH(A2373,'Semrush Data'!$A$1:$A$20000,0),MATCH("Volume",'Semrush Data'!$A$1:$Z$1,0)),"")</f>
        <v/>
      </c>
      <c r="H2373" s="42">
        <f>IFERROR(INDEX('Semrush Data'!$A$1:$Z$20000,MATCH(A2373,'Semrush Data'!$A$1:$A$20000,0),MATCH("Keyword Difficulty*",'Semrush Data'!$A$1:$Z$1,0)),"")</f>
        <v/>
      </c>
      <c r="I2373" s="56">
        <f>IFERROR(INDEX('Semrush Data'!$A$1:$Z$20000,MATCH(A2373,'Semrush Data'!$A$1:$A$20000,0),MATCH("CPC*",'Semrush Data'!$A$1:$Z$1,0)),"")</f>
        <v/>
      </c>
      <c r="J2373" s="42">
        <f>IFERROR(INDEX('Semrush Data'!$A$1:$Z$20000,MATCH(A2373,'Semrush Data'!$A$1:$A$20000,0),MATCH("Intent",'Semrush Data'!$A$1:$Z$1,0)),"")</f>
        <v/>
      </c>
    </row>
    <row r="2374" ht="15" customHeight="1" s="37">
      <c r="A2374" s="42" t="inlineStr">
        <is>
          <t>carolina herrera bad boy le parfum review</t>
        </is>
      </c>
      <c r="B2374" s="42" t="inlineStr">
        <is>
          <t>Google suggest</t>
        </is>
      </c>
      <c r="C2374" s="42" t="n">
        <v>3</v>
      </c>
      <c r="D2374" s="42" t="n">
        <v>24</v>
      </c>
      <c r="E2374" s="42" t="n">
        <v>2</v>
      </c>
      <c r="F2374" s="42" t="inlineStr">
        <is>
          <t>FR-090, FR-091</t>
        </is>
      </c>
      <c r="G2374" s="55">
        <f>IFERROR(INDEX('Semrush Data'!$A$1:$Z$20000,MATCH(A2374,'Semrush Data'!$A$1:$A$20000,0),MATCH("Volume",'Semrush Data'!$A$1:$Z$1,0)),"")</f>
        <v/>
      </c>
      <c r="H2374" s="42">
        <f>IFERROR(INDEX('Semrush Data'!$A$1:$Z$20000,MATCH(A2374,'Semrush Data'!$A$1:$A$20000,0),MATCH("Keyword Difficulty*",'Semrush Data'!$A$1:$Z$1,0)),"")</f>
        <v/>
      </c>
      <c r="I2374" s="56">
        <f>IFERROR(INDEX('Semrush Data'!$A$1:$Z$20000,MATCH(A2374,'Semrush Data'!$A$1:$A$20000,0),MATCH("CPC*",'Semrush Data'!$A$1:$Z$1,0)),"")</f>
        <v/>
      </c>
      <c r="J2374" s="42">
        <f>IFERROR(INDEX('Semrush Data'!$A$1:$Z$20000,MATCH(A2374,'Semrush Data'!$A$1:$A$20000,0),MATCH("Intent",'Semrush Data'!$A$1:$Z$1,0)),"")</f>
        <v/>
      </c>
    </row>
    <row r="2375" ht="15" customHeight="1" s="37">
      <c r="A2375" s="42" t="inlineStr">
        <is>
          <t>carolina herrera very good girl glam 100ml</t>
        </is>
      </c>
      <c r="B2375" s="42" t="inlineStr">
        <is>
          <t>Google suggest</t>
        </is>
      </c>
      <c r="C2375" s="42" t="n">
        <v>3</v>
      </c>
      <c r="D2375" s="42" t="n">
        <v>24</v>
      </c>
      <c r="E2375" s="42" t="n">
        <v>1</v>
      </c>
      <c r="F2375" s="42" t="inlineStr">
        <is>
          <t>FR-094</t>
        </is>
      </c>
      <c r="G2375" s="55">
        <f>IFERROR(INDEX('Semrush Data'!$A$1:$Z$20000,MATCH(A2375,'Semrush Data'!$A$1:$A$20000,0),MATCH("Volume",'Semrush Data'!$A$1:$Z$1,0)),"")</f>
        <v/>
      </c>
      <c r="H2375" s="42">
        <f>IFERROR(INDEX('Semrush Data'!$A$1:$Z$20000,MATCH(A2375,'Semrush Data'!$A$1:$A$20000,0),MATCH("Keyword Difficulty*",'Semrush Data'!$A$1:$Z$1,0)),"")</f>
        <v/>
      </c>
      <c r="I2375" s="56">
        <f>IFERROR(INDEX('Semrush Data'!$A$1:$Z$20000,MATCH(A2375,'Semrush Data'!$A$1:$A$20000,0),MATCH("CPC*",'Semrush Data'!$A$1:$Z$1,0)),"")</f>
        <v/>
      </c>
      <c r="J2375" s="42">
        <f>IFERROR(INDEX('Semrush Data'!$A$1:$Z$20000,MATCH(A2375,'Semrush Data'!$A$1:$A$20000,0),MATCH("Intent",'Semrush Data'!$A$1:$Z$1,0)),"")</f>
        <v/>
      </c>
    </row>
    <row r="2376" ht="15" customHeight="1" s="37">
      <c r="A2376" s="42" t="inlineStr">
        <is>
          <t>carolina herrera very good girl glam 80ml</t>
        </is>
      </c>
      <c r="B2376" s="42" t="inlineStr">
        <is>
          <t>Google suggest</t>
        </is>
      </c>
      <c r="C2376" s="42" t="n">
        <v>3</v>
      </c>
      <c r="D2376" s="42" t="n">
        <v>24</v>
      </c>
      <c r="E2376" s="42" t="n">
        <v>1</v>
      </c>
      <c r="F2376" s="42" t="inlineStr">
        <is>
          <t>FR-094</t>
        </is>
      </c>
      <c r="G2376" s="55">
        <f>IFERROR(INDEX('Semrush Data'!$A$1:$Z$20000,MATCH(A2376,'Semrush Data'!$A$1:$A$20000,0),MATCH("Volume",'Semrush Data'!$A$1:$Z$1,0)),"")</f>
        <v/>
      </c>
      <c r="H2376" s="42">
        <f>IFERROR(INDEX('Semrush Data'!$A$1:$Z$20000,MATCH(A2376,'Semrush Data'!$A$1:$A$20000,0),MATCH("Keyword Difficulty*",'Semrush Data'!$A$1:$Z$1,0)),"")</f>
        <v/>
      </c>
      <c r="I2376" s="56">
        <f>IFERROR(INDEX('Semrush Data'!$A$1:$Z$20000,MATCH(A2376,'Semrush Data'!$A$1:$A$20000,0),MATCH("CPC*",'Semrush Data'!$A$1:$Z$1,0)),"")</f>
        <v/>
      </c>
      <c r="J2376" s="42">
        <f>IFERROR(INDEX('Semrush Data'!$A$1:$Z$20000,MATCH(A2376,'Semrush Data'!$A$1:$A$20000,0),MATCH("Intent",'Semrush Data'!$A$1:$Z$1,0)),"")</f>
        <v/>
      </c>
    </row>
    <row r="2377" ht="15" customHeight="1" s="37">
      <c r="A2377" s="42" t="inlineStr">
        <is>
          <t>carolina herrera very good girl glam dupe</t>
        </is>
      </c>
      <c r="B2377" s="42" t="inlineStr">
        <is>
          <t>Google suggest</t>
        </is>
      </c>
      <c r="C2377" s="42" t="n">
        <v>3</v>
      </c>
      <c r="D2377" s="42" t="inlineStr">
        <is>
          <t>T3-2</t>
        </is>
      </c>
      <c r="E2377" s="42" t="n">
        <v>1</v>
      </c>
      <c r="F2377" s="42" t="inlineStr">
        <is>
          <t>FR-094</t>
        </is>
      </c>
      <c r="G2377" s="55">
        <f>IFERROR(INDEX('Semrush Data'!$A$1:$Z$20000,MATCH(A2377,'Semrush Data'!$A$1:$A$20000,0),MATCH("Volume",'Semrush Data'!$A$1:$Z$1,0)),"")</f>
        <v/>
      </c>
      <c r="H2377" s="42">
        <f>IFERROR(INDEX('Semrush Data'!$A$1:$Z$20000,MATCH(A2377,'Semrush Data'!$A$1:$A$20000,0),MATCH("Keyword Difficulty*",'Semrush Data'!$A$1:$Z$1,0)),"")</f>
        <v/>
      </c>
      <c r="I2377" s="56">
        <f>IFERROR(INDEX('Semrush Data'!$A$1:$Z$20000,MATCH(A2377,'Semrush Data'!$A$1:$A$20000,0),MATCH("CPC*",'Semrush Data'!$A$1:$Z$1,0)),"")</f>
        <v/>
      </c>
      <c r="J2377" s="42">
        <f>IFERROR(INDEX('Semrush Data'!$A$1:$Z$20000,MATCH(A2377,'Semrush Data'!$A$1:$A$20000,0),MATCH("Intent",'Semrush Data'!$A$1:$Z$1,0)),"")</f>
        <v/>
      </c>
    </row>
    <row r="2378" ht="15" customHeight="1" s="37">
      <c r="A2378" s="42" t="inlineStr">
        <is>
          <t>carolina herrera very good girl glam eau de parfum</t>
        </is>
      </c>
      <c r="B2378" s="42" t="inlineStr">
        <is>
          <t>Google suggest</t>
        </is>
      </c>
      <c r="C2378" s="42" t="n">
        <v>3</v>
      </c>
      <c r="D2378" s="42" t="n">
        <v>24</v>
      </c>
      <c r="E2378" s="42" t="n">
        <v>1</v>
      </c>
      <c r="F2378" s="42" t="inlineStr">
        <is>
          <t>FR-094</t>
        </is>
      </c>
      <c r="G2378" s="55">
        <f>IFERROR(INDEX('Semrush Data'!$A$1:$Z$20000,MATCH(A2378,'Semrush Data'!$A$1:$A$20000,0),MATCH("Volume",'Semrush Data'!$A$1:$Z$1,0)),"")</f>
        <v/>
      </c>
      <c r="H2378" s="42">
        <f>IFERROR(INDEX('Semrush Data'!$A$1:$Z$20000,MATCH(A2378,'Semrush Data'!$A$1:$A$20000,0),MATCH("Keyword Difficulty*",'Semrush Data'!$A$1:$Z$1,0)),"")</f>
        <v/>
      </c>
      <c r="I2378" s="56">
        <f>IFERROR(INDEX('Semrush Data'!$A$1:$Z$20000,MATCH(A2378,'Semrush Data'!$A$1:$A$20000,0),MATCH("CPC*",'Semrush Data'!$A$1:$Z$1,0)),"")</f>
        <v/>
      </c>
      <c r="J2378" s="42">
        <f>IFERROR(INDEX('Semrush Data'!$A$1:$Z$20000,MATCH(A2378,'Semrush Data'!$A$1:$A$20000,0),MATCH("Intent",'Semrush Data'!$A$1:$Z$1,0)),"")</f>
        <v/>
      </c>
    </row>
    <row r="2379" ht="15" customHeight="1" s="37">
      <c r="A2379" s="42" t="inlineStr">
        <is>
          <t>carolina herrera very good girl glam notes</t>
        </is>
      </c>
      <c r="B2379" s="42" t="inlineStr">
        <is>
          <t>Google suggest</t>
        </is>
      </c>
      <c r="C2379" s="42" t="n">
        <v>3</v>
      </c>
      <c r="D2379" s="42" t="inlineStr">
        <is>
          <t>T3-2</t>
        </is>
      </c>
      <c r="E2379" s="42" t="n">
        <v>1</v>
      </c>
      <c r="F2379" s="42" t="inlineStr">
        <is>
          <t>FR-094</t>
        </is>
      </c>
      <c r="G2379" s="55">
        <f>IFERROR(INDEX('Semrush Data'!$A$1:$Z$20000,MATCH(A2379,'Semrush Data'!$A$1:$A$20000,0),MATCH("Volume",'Semrush Data'!$A$1:$Z$1,0)),"")</f>
        <v/>
      </c>
      <c r="H2379" s="42">
        <f>IFERROR(INDEX('Semrush Data'!$A$1:$Z$20000,MATCH(A2379,'Semrush Data'!$A$1:$A$20000,0),MATCH("Keyword Difficulty*",'Semrush Data'!$A$1:$Z$1,0)),"")</f>
        <v/>
      </c>
      <c r="I2379" s="56">
        <f>IFERROR(INDEX('Semrush Data'!$A$1:$Z$20000,MATCH(A2379,'Semrush Data'!$A$1:$A$20000,0),MATCH("CPC*",'Semrush Data'!$A$1:$Z$1,0)),"")</f>
        <v/>
      </c>
      <c r="J2379" s="42">
        <f>IFERROR(INDEX('Semrush Data'!$A$1:$Z$20000,MATCH(A2379,'Semrush Data'!$A$1:$A$20000,0),MATCH("Intent",'Semrush Data'!$A$1:$Z$1,0)),"")</f>
        <v/>
      </c>
    </row>
    <row r="2380" ht="15" customHeight="1" s="37">
      <c r="A2380" s="42" t="inlineStr">
        <is>
          <t>charcoal bath bar deyga review</t>
        </is>
      </c>
      <c r="B2380" s="42" t="inlineStr">
        <is>
          <t>Google suggest</t>
        </is>
      </c>
      <c r="C2380" s="42" t="n">
        <v>3</v>
      </c>
      <c r="D2380" s="42" t="inlineStr">
        <is>
          <t>T3-2</t>
        </is>
      </c>
      <c r="E2380" s="42" t="n">
        <v>1</v>
      </c>
      <c r="F2380" s="42" t="inlineStr">
        <is>
          <t>VD-121</t>
        </is>
      </c>
      <c r="G2380" s="55">
        <f>IFERROR(INDEX('Semrush Data'!$A$1:$Z$20000,MATCH(A2380,'Semrush Data'!$A$1:$A$20000,0),MATCH("Volume",'Semrush Data'!$A$1:$Z$1,0)),"")</f>
        <v/>
      </c>
      <c r="H2380" s="42">
        <f>IFERROR(INDEX('Semrush Data'!$A$1:$Z$20000,MATCH(A2380,'Semrush Data'!$A$1:$A$20000,0),MATCH("Keyword Difficulty*",'Semrush Data'!$A$1:$Z$1,0)),"")</f>
        <v/>
      </c>
      <c r="I2380" s="56">
        <f>IFERROR(INDEX('Semrush Data'!$A$1:$Z$20000,MATCH(A2380,'Semrush Data'!$A$1:$A$20000,0),MATCH("CPC*",'Semrush Data'!$A$1:$Z$1,0)),"")</f>
        <v/>
      </c>
      <c r="J2380" s="42">
        <f>IFERROR(INDEX('Semrush Data'!$A$1:$Z$20000,MATCH(A2380,'Semrush Data'!$A$1:$A$20000,0),MATCH("Intent",'Semrush Data'!$A$1:$Z$1,0)),"")</f>
        <v/>
      </c>
    </row>
    <row r="2381" ht="15" customHeight="1" s="37">
      <c r="A2381" s="42" t="inlineStr">
        <is>
          <t>chloe mini gift set</t>
        </is>
      </c>
      <c r="B2381" s="42" t="inlineStr">
        <is>
          <t>Google suggest</t>
        </is>
      </c>
      <c r="C2381" s="42" t="n">
        <v>3</v>
      </c>
      <c r="D2381" s="42" t="n">
        <v>24</v>
      </c>
      <c r="E2381" s="42" t="n">
        <v>1</v>
      </c>
      <c r="F2381" s="42" t="inlineStr">
        <is>
          <t>FR-100</t>
        </is>
      </c>
      <c r="G2381" s="55">
        <f>IFERROR(INDEX('Semrush Data'!$A$1:$Z$20000,MATCH(A2381,'Semrush Data'!$A$1:$A$20000,0),MATCH("Volume",'Semrush Data'!$A$1:$Z$1,0)),"")</f>
        <v/>
      </c>
      <c r="H2381" s="42">
        <f>IFERROR(INDEX('Semrush Data'!$A$1:$Z$20000,MATCH(A2381,'Semrush Data'!$A$1:$A$20000,0),MATCH("Keyword Difficulty*",'Semrush Data'!$A$1:$Z$1,0)),"")</f>
        <v/>
      </c>
      <c r="I2381" s="56">
        <f>IFERROR(INDEX('Semrush Data'!$A$1:$Z$20000,MATCH(A2381,'Semrush Data'!$A$1:$A$20000,0),MATCH("CPC*",'Semrush Data'!$A$1:$Z$1,0)),"")</f>
        <v/>
      </c>
      <c r="J2381" s="42">
        <f>IFERROR(INDEX('Semrush Data'!$A$1:$Z$20000,MATCH(A2381,'Semrush Data'!$A$1:$A$20000,0),MATCH("Intent",'Semrush Data'!$A$1:$Z$1,0)),"")</f>
        <v/>
      </c>
    </row>
    <row r="2382" ht="15" customHeight="1" s="37">
      <c r="A2382" s="42" t="inlineStr">
        <is>
          <t>chloe mini gift set perfume</t>
        </is>
      </c>
      <c r="B2382" s="42" t="inlineStr">
        <is>
          <t>Google suggest</t>
        </is>
      </c>
      <c r="C2382" s="42" t="n">
        <v>3</v>
      </c>
      <c r="D2382" s="42" t="n">
        <v>24</v>
      </c>
      <c r="E2382" s="42" t="n">
        <v>1</v>
      </c>
      <c r="F2382" s="42" t="inlineStr">
        <is>
          <t>FR-100</t>
        </is>
      </c>
      <c r="G2382" s="55">
        <f>IFERROR(INDEX('Semrush Data'!$A$1:$Z$20000,MATCH(A2382,'Semrush Data'!$A$1:$A$20000,0),MATCH("Volume",'Semrush Data'!$A$1:$Z$1,0)),"")</f>
        <v/>
      </c>
      <c r="H2382" s="42">
        <f>IFERROR(INDEX('Semrush Data'!$A$1:$Z$20000,MATCH(A2382,'Semrush Data'!$A$1:$A$20000,0),MATCH("Keyword Difficulty*",'Semrush Data'!$A$1:$Z$1,0)),"")</f>
        <v/>
      </c>
      <c r="I2382" s="56">
        <f>IFERROR(INDEX('Semrush Data'!$A$1:$Z$20000,MATCH(A2382,'Semrush Data'!$A$1:$A$20000,0),MATCH("CPC*",'Semrush Data'!$A$1:$Z$1,0)),"")</f>
        <v/>
      </c>
      <c r="J2382" s="42">
        <f>IFERROR(INDEX('Semrush Data'!$A$1:$Z$20000,MATCH(A2382,'Semrush Data'!$A$1:$A$20000,0),MATCH("Intent",'Semrush Data'!$A$1:$Z$1,0)),"")</f>
        <v/>
      </c>
    </row>
    <row r="2383" ht="15" customHeight="1" s="37">
      <c r="A2383" s="42" t="inlineStr">
        <is>
          <t>chloe mini set</t>
        </is>
      </c>
      <c r="B2383" s="42" t="inlineStr">
        <is>
          <t>Google suggest</t>
        </is>
      </c>
      <c r="C2383" s="42" t="n">
        <v>3</v>
      </c>
      <c r="D2383" s="42" t="n">
        <v>24</v>
      </c>
      <c r="E2383" s="42" t="n">
        <v>1</v>
      </c>
      <c r="F2383" s="42" t="inlineStr">
        <is>
          <t>FR-101</t>
        </is>
      </c>
      <c r="G2383" s="55">
        <f>IFERROR(INDEX('Semrush Data'!$A$1:$Z$20000,MATCH(A2383,'Semrush Data'!$A$1:$A$20000,0),MATCH("Volume",'Semrush Data'!$A$1:$Z$1,0)),"")</f>
        <v/>
      </c>
      <c r="H2383" s="42">
        <f>IFERROR(INDEX('Semrush Data'!$A$1:$Z$20000,MATCH(A2383,'Semrush Data'!$A$1:$A$20000,0),MATCH("Keyword Difficulty*",'Semrush Data'!$A$1:$Z$1,0)),"")</f>
        <v/>
      </c>
      <c r="I2383" s="56">
        <f>IFERROR(INDEX('Semrush Data'!$A$1:$Z$20000,MATCH(A2383,'Semrush Data'!$A$1:$A$20000,0),MATCH("CPC*",'Semrush Data'!$A$1:$Z$1,0)),"")</f>
        <v/>
      </c>
      <c r="J2383" s="42">
        <f>IFERROR(INDEX('Semrush Data'!$A$1:$Z$20000,MATCH(A2383,'Semrush Data'!$A$1:$A$20000,0),MATCH("Intent",'Semrush Data'!$A$1:$Z$1,0)),"")</f>
        <v/>
      </c>
    </row>
    <row r="2384" ht="15" customHeight="1" s="37">
      <c r="A2384" s="42" t="inlineStr">
        <is>
          <t>chloe mini set perfume</t>
        </is>
      </c>
      <c r="B2384" s="42" t="inlineStr">
        <is>
          <t>Google suggest</t>
        </is>
      </c>
      <c r="C2384" s="42" t="n">
        <v>3</v>
      </c>
      <c r="D2384" s="42" t="n">
        <v>24</v>
      </c>
      <c r="E2384" s="42" t="n">
        <v>1</v>
      </c>
      <c r="F2384" s="42" t="inlineStr">
        <is>
          <t>FR-101</t>
        </is>
      </c>
      <c r="G2384" s="55">
        <f>IFERROR(INDEX('Semrush Data'!$A$1:$Z$20000,MATCH(A2384,'Semrush Data'!$A$1:$A$20000,0),MATCH("Volume",'Semrush Data'!$A$1:$Z$1,0)),"")</f>
        <v/>
      </c>
      <c r="H2384" s="42">
        <f>IFERROR(INDEX('Semrush Data'!$A$1:$Z$20000,MATCH(A2384,'Semrush Data'!$A$1:$A$20000,0),MATCH("Keyword Difficulty*",'Semrush Data'!$A$1:$Z$1,0)),"")</f>
        <v/>
      </c>
      <c r="I2384" s="56">
        <f>IFERROR(INDEX('Semrush Data'!$A$1:$Z$20000,MATCH(A2384,'Semrush Data'!$A$1:$A$20000,0),MATCH("CPC*",'Semrush Data'!$A$1:$Z$1,0)),"")</f>
        <v/>
      </c>
      <c r="J2384" s="42">
        <f>IFERROR(INDEX('Semrush Data'!$A$1:$Z$20000,MATCH(A2384,'Semrush Data'!$A$1:$A$20000,0),MATCH("Intent",'Semrush Data'!$A$1:$Z$1,0)),"")</f>
        <v/>
      </c>
    </row>
    <row r="2385" ht="15" customHeight="1" s="37">
      <c r="A2385" s="42" t="inlineStr">
        <is>
          <t>chloe miniature perfume set</t>
        </is>
      </c>
      <c r="B2385" s="42" t="inlineStr">
        <is>
          <t>Google suggest</t>
        </is>
      </c>
      <c r="C2385" s="42" t="n">
        <v>3</v>
      </c>
      <c r="D2385" s="42" t="n">
        <v>24</v>
      </c>
      <c r="E2385" s="42" t="n">
        <v>1</v>
      </c>
      <c r="F2385" s="42" t="inlineStr">
        <is>
          <t>FR-101</t>
        </is>
      </c>
      <c r="G2385" s="55">
        <f>IFERROR(INDEX('Semrush Data'!$A$1:$Z$20000,MATCH(A2385,'Semrush Data'!$A$1:$A$20000,0),MATCH("Volume",'Semrush Data'!$A$1:$Z$1,0)),"")</f>
        <v/>
      </c>
      <c r="H2385" s="42">
        <f>IFERROR(INDEX('Semrush Data'!$A$1:$Z$20000,MATCH(A2385,'Semrush Data'!$A$1:$A$20000,0),MATCH("Keyword Difficulty*",'Semrush Data'!$A$1:$Z$1,0)),"")</f>
        <v/>
      </c>
      <c r="I2385" s="56">
        <f>IFERROR(INDEX('Semrush Data'!$A$1:$Z$20000,MATCH(A2385,'Semrush Data'!$A$1:$A$20000,0),MATCH("CPC*",'Semrush Data'!$A$1:$Z$1,0)),"")</f>
        <v/>
      </c>
      <c r="J2385" s="42">
        <f>IFERROR(INDEX('Semrush Data'!$A$1:$Z$20000,MATCH(A2385,'Semrush Data'!$A$1:$A$20000,0),MATCH("Intent",'Semrush Data'!$A$1:$Z$1,0)),"")</f>
        <v/>
      </c>
    </row>
    <row r="2386" ht="15" customHeight="1" s="37">
      <c r="A2386" s="42" t="inlineStr">
        <is>
          <t>chloe nomade eau de parfum gift set</t>
        </is>
      </c>
      <c r="B2386" s="42" t="inlineStr">
        <is>
          <t>Google suggest</t>
        </is>
      </c>
      <c r="C2386" s="42" t="n">
        <v>3</v>
      </c>
      <c r="D2386" s="42" t="n">
        <v>24</v>
      </c>
      <c r="E2386" s="42" t="n">
        <v>1</v>
      </c>
      <c r="F2386" s="42" t="inlineStr">
        <is>
          <t>FR-099</t>
        </is>
      </c>
      <c r="G2386" s="55">
        <f>IFERROR(INDEX('Semrush Data'!$A$1:$Z$20000,MATCH(A2386,'Semrush Data'!$A$1:$A$20000,0),MATCH("Volume",'Semrush Data'!$A$1:$Z$1,0)),"")</f>
        <v/>
      </c>
      <c r="H2386" s="42">
        <f>IFERROR(INDEX('Semrush Data'!$A$1:$Z$20000,MATCH(A2386,'Semrush Data'!$A$1:$A$20000,0),MATCH("Keyword Difficulty*",'Semrush Data'!$A$1:$Z$1,0)),"")</f>
        <v/>
      </c>
      <c r="I2386" s="56">
        <f>IFERROR(INDEX('Semrush Data'!$A$1:$Z$20000,MATCH(A2386,'Semrush Data'!$A$1:$A$20000,0),MATCH("CPC*",'Semrush Data'!$A$1:$Z$1,0)),"")</f>
        <v/>
      </c>
      <c r="J2386" s="42">
        <f>IFERROR(INDEX('Semrush Data'!$A$1:$Z$20000,MATCH(A2386,'Semrush Data'!$A$1:$A$20000,0),MATCH("Intent",'Semrush Data'!$A$1:$Z$1,0)),"")</f>
        <v/>
      </c>
    </row>
    <row r="2387" ht="15" customHeight="1" s="37">
      <c r="A2387" s="42" t="inlineStr">
        <is>
          <t>chloe nomade edp</t>
        </is>
      </c>
      <c r="B2387" s="42" t="inlineStr">
        <is>
          <t>Google suggest</t>
        </is>
      </c>
      <c r="C2387" s="42" t="n">
        <v>3</v>
      </c>
      <c r="D2387" s="42" t="n">
        <v>24</v>
      </c>
      <c r="E2387" s="42" t="n">
        <v>1</v>
      </c>
      <c r="F2387" s="42" t="inlineStr">
        <is>
          <t>FR-095</t>
        </is>
      </c>
      <c r="G2387" s="55">
        <f>IFERROR(INDEX('Semrush Data'!$A$1:$Z$20000,MATCH(A2387,'Semrush Data'!$A$1:$A$20000,0),MATCH("Volume",'Semrush Data'!$A$1:$Z$1,0)),"")</f>
        <v/>
      </c>
      <c r="H2387" s="42">
        <f>IFERROR(INDEX('Semrush Data'!$A$1:$Z$20000,MATCH(A2387,'Semrush Data'!$A$1:$A$20000,0),MATCH("Keyword Difficulty*",'Semrush Data'!$A$1:$Z$1,0)),"")</f>
        <v/>
      </c>
      <c r="I2387" s="56">
        <f>IFERROR(INDEX('Semrush Data'!$A$1:$Z$20000,MATCH(A2387,'Semrush Data'!$A$1:$A$20000,0),MATCH("CPC*",'Semrush Data'!$A$1:$Z$1,0)),"")</f>
        <v/>
      </c>
      <c r="J2387" s="42">
        <f>IFERROR(INDEX('Semrush Data'!$A$1:$Z$20000,MATCH(A2387,'Semrush Data'!$A$1:$A$20000,0),MATCH("Intent",'Semrush Data'!$A$1:$Z$1,0)),"")</f>
        <v/>
      </c>
    </row>
    <row r="2388" ht="15" customHeight="1" s="37">
      <c r="A2388" s="42" t="inlineStr">
        <is>
          <t>chloe nomade gift set 75ml</t>
        </is>
      </c>
      <c r="B2388" s="42" t="inlineStr">
        <is>
          <t>Google suggest</t>
        </is>
      </c>
      <c r="C2388" s="42" t="n">
        <v>3</v>
      </c>
      <c r="D2388" s="42" t="n">
        <v>24</v>
      </c>
      <c r="E2388" s="42" t="n">
        <v>1</v>
      </c>
      <c r="F2388" s="42" t="inlineStr">
        <is>
          <t>FR-099</t>
        </is>
      </c>
      <c r="G2388" s="55">
        <f>IFERROR(INDEX('Semrush Data'!$A$1:$Z$20000,MATCH(A2388,'Semrush Data'!$A$1:$A$20000,0),MATCH("Volume",'Semrush Data'!$A$1:$Z$1,0)),"")</f>
        <v/>
      </c>
      <c r="H2388" s="42">
        <f>IFERROR(INDEX('Semrush Data'!$A$1:$Z$20000,MATCH(A2388,'Semrush Data'!$A$1:$A$20000,0),MATCH("Keyword Difficulty*",'Semrush Data'!$A$1:$Z$1,0)),"")</f>
        <v/>
      </c>
      <c r="I2388" s="56">
        <f>IFERROR(INDEX('Semrush Data'!$A$1:$Z$20000,MATCH(A2388,'Semrush Data'!$A$1:$A$20000,0),MATCH("CPC*",'Semrush Data'!$A$1:$Z$1,0)),"")</f>
        <v/>
      </c>
      <c r="J2388" s="42">
        <f>IFERROR(INDEX('Semrush Data'!$A$1:$Z$20000,MATCH(A2388,'Semrush Data'!$A$1:$A$20000,0),MATCH("Intent",'Semrush Data'!$A$1:$Z$1,0)),"")</f>
        <v/>
      </c>
    </row>
    <row r="2389" ht="15" customHeight="1" s="37">
      <c r="A2389" s="42" t="inlineStr">
        <is>
          <t>chloe nomade gift set perfume</t>
        </is>
      </c>
      <c r="B2389" s="42" t="inlineStr">
        <is>
          <t>Google suggest</t>
        </is>
      </c>
      <c r="C2389" s="42" t="n">
        <v>3</v>
      </c>
      <c r="D2389" s="42" t="n">
        <v>24</v>
      </c>
      <c r="E2389" s="42" t="n">
        <v>1</v>
      </c>
      <c r="F2389" s="42" t="inlineStr">
        <is>
          <t>FR-099</t>
        </is>
      </c>
      <c r="G2389" s="55">
        <f>IFERROR(INDEX('Semrush Data'!$A$1:$Z$20000,MATCH(A2389,'Semrush Data'!$A$1:$A$20000,0),MATCH("Volume",'Semrush Data'!$A$1:$Z$1,0)),"")</f>
        <v/>
      </c>
      <c r="H2389" s="42">
        <f>IFERROR(INDEX('Semrush Data'!$A$1:$Z$20000,MATCH(A2389,'Semrush Data'!$A$1:$A$20000,0),MATCH("Keyword Difficulty*",'Semrush Data'!$A$1:$Z$1,0)),"")</f>
        <v/>
      </c>
      <c r="I2389" s="56">
        <f>IFERROR(INDEX('Semrush Data'!$A$1:$Z$20000,MATCH(A2389,'Semrush Data'!$A$1:$A$20000,0),MATCH("CPC*",'Semrush Data'!$A$1:$Z$1,0)),"")</f>
        <v/>
      </c>
      <c r="J2389" s="42">
        <f>IFERROR(INDEX('Semrush Data'!$A$1:$Z$20000,MATCH(A2389,'Semrush Data'!$A$1:$A$20000,0),MATCH("Intent",'Semrush Data'!$A$1:$Z$1,0)),"")</f>
        <v/>
      </c>
    </row>
    <row r="2390" ht="15" customHeight="1" s="37">
      <c r="A2390" s="42" t="inlineStr">
        <is>
          <t>chloe nomade ingredients</t>
        </is>
      </c>
      <c r="B2390" s="42" t="inlineStr">
        <is>
          <t>Google suggest</t>
        </is>
      </c>
      <c r="C2390" s="42" t="n">
        <v>3</v>
      </c>
      <c r="D2390" s="42" t="n">
        <v>24</v>
      </c>
      <c r="E2390" s="42" t="n">
        <v>1</v>
      </c>
      <c r="F2390" s="42" t="inlineStr">
        <is>
          <t>FR-099</t>
        </is>
      </c>
      <c r="G2390" s="55">
        <f>IFERROR(INDEX('Semrush Data'!$A$1:$Z$20000,MATCH(A2390,'Semrush Data'!$A$1:$A$20000,0),MATCH("Volume",'Semrush Data'!$A$1:$Z$1,0)),"")</f>
        <v/>
      </c>
      <c r="H2390" s="42">
        <f>IFERROR(INDEX('Semrush Data'!$A$1:$Z$20000,MATCH(A2390,'Semrush Data'!$A$1:$A$20000,0),MATCH("Keyword Difficulty*",'Semrush Data'!$A$1:$Z$1,0)),"")</f>
        <v/>
      </c>
      <c r="I2390" s="56">
        <f>IFERROR(INDEX('Semrush Data'!$A$1:$Z$20000,MATCH(A2390,'Semrush Data'!$A$1:$A$20000,0),MATCH("CPC*",'Semrush Data'!$A$1:$Z$1,0)),"")</f>
        <v/>
      </c>
      <c r="J2390" s="42">
        <f>IFERROR(INDEX('Semrush Data'!$A$1:$Z$20000,MATCH(A2390,'Semrush Data'!$A$1:$A$20000,0),MATCH("Intent",'Semrush Data'!$A$1:$Z$1,0)),"")</f>
        <v/>
      </c>
    </row>
    <row r="2391" ht="15" customHeight="1" s="37">
      <c r="A2391" s="42" t="inlineStr">
        <is>
          <t>chloe nomade jasmin naturel intense 75ml</t>
        </is>
      </c>
      <c r="B2391" s="42" t="inlineStr">
        <is>
          <t>Google suggest</t>
        </is>
      </c>
      <c r="C2391" s="42" t="n">
        <v>3</v>
      </c>
      <c r="D2391" s="42" t="n">
        <v>24</v>
      </c>
      <c r="E2391" s="42" t="n">
        <v>1</v>
      </c>
      <c r="F2391" s="42" t="inlineStr">
        <is>
          <t>FR-096</t>
        </is>
      </c>
      <c r="G2391" s="55">
        <f>IFERROR(INDEX('Semrush Data'!$A$1:$Z$20000,MATCH(A2391,'Semrush Data'!$A$1:$A$20000,0),MATCH("Volume",'Semrush Data'!$A$1:$Z$1,0)),"")</f>
        <v/>
      </c>
      <c r="H2391" s="42">
        <f>IFERROR(INDEX('Semrush Data'!$A$1:$Z$20000,MATCH(A2391,'Semrush Data'!$A$1:$A$20000,0),MATCH("Keyword Difficulty*",'Semrush Data'!$A$1:$Z$1,0)),"")</f>
        <v/>
      </c>
      <c r="I2391" s="56">
        <f>IFERROR(INDEX('Semrush Data'!$A$1:$Z$20000,MATCH(A2391,'Semrush Data'!$A$1:$A$20000,0),MATCH("CPC*",'Semrush Data'!$A$1:$Z$1,0)),"")</f>
        <v/>
      </c>
      <c r="J2391" s="42">
        <f>IFERROR(INDEX('Semrush Data'!$A$1:$Z$20000,MATCH(A2391,'Semrush Data'!$A$1:$A$20000,0),MATCH("Intent",'Semrush Data'!$A$1:$Z$1,0)),"")</f>
        <v/>
      </c>
    </row>
    <row r="2392" ht="15" customHeight="1" s="37">
      <c r="A2392" s="42" t="inlineStr">
        <is>
          <t>chloe nomade jasmin naturel intense edp</t>
        </is>
      </c>
      <c r="B2392" s="42" t="inlineStr">
        <is>
          <t>Google suggest</t>
        </is>
      </c>
      <c r="C2392" s="42" t="n">
        <v>3</v>
      </c>
      <c r="D2392" s="42" t="n">
        <v>24</v>
      </c>
      <c r="E2392" s="42" t="n">
        <v>1</v>
      </c>
      <c r="F2392" s="42" t="inlineStr">
        <is>
          <t>FR-096</t>
        </is>
      </c>
      <c r="G2392" s="55">
        <f>IFERROR(INDEX('Semrush Data'!$A$1:$Z$20000,MATCH(A2392,'Semrush Data'!$A$1:$A$20000,0),MATCH("Volume",'Semrush Data'!$A$1:$Z$1,0)),"")</f>
        <v/>
      </c>
      <c r="H2392" s="42">
        <f>IFERROR(INDEX('Semrush Data'!$A$1:$Z$20000,MATCH(A2392,'Semrush Data'!$A$1:$A$20000,0),MATCH("Keyword Difficulty*",'Semrush Data'!$A$1:$Z$1,0)),"")</f>
        <v/>
      </c>
      <c r="I2392" s="56">
        <f>IFERROR(INDEX('Semrush Data'!$A$1:$Z$20000,MATCH(A2392,'Semrush Data'!$A$1:$A$20000,0),MATCH("CPC*",'Semrush Data'!$A$1:$Z$1,0)),"")</f>
        <v/>
      </c>
      <c r="J2392" s="42">
        <f>IFERROR(INDEX('Semrush Data'!$A$1:$Z$20000,MATCH(A2392,'Semrush Data'!$A$1:$A$20000,0),MATCH("Intent",'Semrush Data'!$A$1:$Z$1,0)),"")</f>
        <v/>
      </c>
    </row>
    <row r="2393" ht="15" customHeight="1" s="37">
      <c r="A2393" s="42" t="inlineStr">
        <is>
          <t>chloe nomade jasmin naturel intense notes</t>
        </is>
      </c>
      <c r="B2393" s="42" t="inlineStr">
        <is>
          <t>Google suggest</t>
        </is>
      </c>
      <c r="C2393" s="42" t="n">
        <v>3</v>
      </c>
      <c r="D2393" s="42" t="n">
        <v>24</v>
      </c>
      <c r="E2393" s="42" t="n">
        <v>1</v>
      </c>
      <c r="F2393" s="42" t="inlineStr">
        <is>
          <t>FR-096</t>
        </is>
      </c>
      <c r="G2393" s="55">
        <f>IFERROR(INDEX('Semrush Data'!$A$1:$Z$20000,MATCH(A2393,'Semrush Data'!$A$1:$A$20000,0),MATCH("Volume",'Semrush Data'!$A$1:$Z$1,0)),"")</f>
        <v/>
      </c>
      <c r="H2393" s="42">
        <f>IFERROR(INDEX('Semrush Data'!$A$1:$Z$20000,MATCH(A2393,'Semrush Data'!$A$1:$A$20000,0),MATCH("Keyword Difficulty*",'Semrush Data'!$A$1:$Z$1,0)),"")</f>
        <v/>
      </c>
      <c r="I2393" s="56">
        <f>IFERROR(INDEX('Semrush Data'!$A$1:$Z$20000,MATCH(A2393,'Semrush Data'!$A$1:$A$20000,0),MATCH("CPC*",'Semrush Data'!$A$1:$Z$1,0)),"")</f>
        <v/>
      </c>
      <c r="J2393" s="42">
        <f>IFERROR(INDEX('Semrush Data'!$A$1:$Z$20000,MATCH(A2393,'Semrush Data'!$A$1:$A$20000,0),MATCH("Intent",'Semrush Data'!$A$1:$Z$1,0)),"")</f>
        <v/>
      </c>
    </row>
    <row r="2394" ht="15" customHeight="1" s="37">
      <c r="A2394" s="42" t="inlineStr">
        <is>
          <t>chloe nomade jasmin naturel intense perfume</t>
        </is>
      </c>
      <c r="B2394" s="42" t="inlineStr">
        <is>
          <t>Google suggest</t>
        </is>
      </c>
      <c r="C2394" s="42" t="n">
        <v>3</v>
      </c>
      <c r="D2394" s="42" t="n">
        <v>24</v>
      </c>
      <c r="E2394" s="42" t="n">
        <v>1</v>
      </c>
      <c r="F2394" s="42" t="inlineStr">
        <is>
          <t>FR-096</t>
        </is>
      </c>
      <c r="G2394" s="55">
        <f>IFERROR(INDEX('Semrush Data'!$A$1:$Z$20000,MATCH(A2394,'Semrush Data'!$A$1:$A$20000,0),MATCH("Volume",'Semrush Data'!$A$1:$Z$1,0)),"")</f>
        <v/>
      </c>
      <c r="H2394" s="42">
        <f>IFERROR(INDEX('Semrush Data'!$A$1:$Z$20000,MATCH(A2394,'Semrush Data'!$A$1:$A$20000,0),MATCH("Keyword Difficulty*",'Semrush Data'!$A$1:$Z$1,0)),"")</f>
        <v/>
      </c>
      <c r="I2394" s="56">
        <f>IFERROR(INDEX('Semrush Data'!$A$1:$Z$20000,MATCH(A2394,'Semrush Data'!$A$1:$A$20000,0),MATCH("CPC*",'Semrush Data'!$A$1:$Z$1,0)),"")</f>
        <v/>
      </c>
      <c r="J2394" s="42">
        <f>IFERROR(INDEX('Semrush Data'!$A$1:$Z$20000,MATCH(A2394,'Semrush Data'!$A$1:$A$20000,0),MATCH("Intent",'Semrush Data'!$A$1:$Z$1,0)),"")</f>
        <v/>
      </c>
    </row>
    <row r="2395" ht="15" customHeight="1" s="37">
      <c r="A2395" s="42" t="inlineStr">
        <is>
          <t>chloe nomade jasmin naturel intense review</t>
        </is>
      </c>
      <c r="B2395" s="42" t="inlineStr">
        <is>
          <t>Google suggest</t>
        </is>
      </c>
      <c r="C2395" s="42" t="n">
        <v>3</v>
      </c>
      <c r="D2395" s="42" t="n">
        <v>24</v>
      </c>
      <c r="E2395" s="42" t="n">
        <v>1</v>
      </c>
      <c r="F2395" s="42" t="inlineStr">
        <is>
          <t>FR-096</t>
        </is>
      </c>
      <c r="G2395" s="55">
        <f>IFERROR(INDEX('Semrush Data'!$A$1:$Z$20000,MATCH(A2395,'Semrush Data'!$A$1:$A$20000,0),MATCH("Volume",'Semrush Data'!$A$1:$Z$1,0)),"")</f>
        <v/>
      </c>
      <c r="H2395" s="42">
        <f>IFERROR(INDEX('Semrush Data'!$A$1:$Z$20000,MATCH(A2395,'Semrush Data'!$A$1:$A$20000,0),MATCH("Keyword Difficulty*",'Semrush Data'!$A$1:$Z$1,0)),"")</f>
        <v/>
      </c>
      <c r="I2395" s="56">
        <f>IFERROR(INDEX('Semrush Data'!$A$1:$Z$20000,MATCH(A2395,'Semrush Data'!$A$1:$A$20000,0),MATCH("CPC*",'Semrush Data'!$A$1:$Z$1,0)),"")</f>
        <v/>
      </c>
      <c r="J2395" s="42">
        <f>IFERROR(INDEX('Semrush Data'!$A$1:$Z$20000,MATCH(A2395,'Semrush Data'!$A$1:$A$20000,0),MATCH("Intent",'Semrush Data'!$A$1:$Z$1,0)),"")</f>
        <v/>
      </c>
    </row>
    <row r="2396" ht="15" customHeight="1" s="37">
      <c r="A2396" s="42" t="inlineStr">
        <is>
          <t>chloe nomade notes</t>
        </is>
      </c>
      <c r="B2396" s="42" t="inlineStr">
        <is>
          <t>Google suggest</t>
        </is>
      </c>
      <c r="C2396" s="42" t="n">
        <v>3</v>
      </c>
      <c r="D2396" s="42" t="inlineStr">
        <is>
          <t>T3-1</t>
        </is>
      </c>
      <c r="E2396" s="42" t="n">
        <v>1</v>
      </c>
      <c r="F2396" s="42" t="inlineStr">
        <is>
          <t>FR-095</t>
        </is>
      </c>
      <c r="G2396" s="55">
        <f>IFERROR(INDEX('Semrush Data'!$A$1:$Z$20000,MATCH(A2396,'Semrush Data'!$A$1:$A$20000,0),MATCH("Volume",'Semrush Data'!$A$1:$Z$1,0)),"")</f>
        <v/>
      </c>
      <c r="H2396" s="42">
        <f>IFERROR(INDEX('Semrush Data'!$A$1:$Z$20000,MATCH(A2396,'Semrush Data'!$A$1:$A$20000,0),MATCH("Keyword Difficulty*",'Semrush Data'!$A$1:$Z$1,0)),"")</f>
        <v/>
      </c>
      <c r="I2396" s="56">
        <f>IFERROR(INDEX('Semrush Data'!$A$1:$Z$20000,MATCH(A2396,'Semrush Data'!$A$1:$A$20000,0),MATCH("CPC*",'Semrush Data'!$A$1:$Z$1,0)),"")</f>
        <v/>
      </c>
      <c r="J2396" s="42">
        <f>IFERROR(INDEX('Semrush Data'!$A$1:$Z$20000,MATCH(A2396,'Semrush Data'!$A$1:$A$20000,0),MATCH("Intent",'Semrush Data'!$A$1:$Z$1,0)),"")</f>
        <v/>
      </c>
    </row>
    <row r="2397" ht="15" customHeight="1" s="37">
      <c r="A2397" s="42" t="inlineStr">
        <is>
          <t>chloe nomade nuit d'egypte 50ml</t>
        </is>
      </c>
      <c r="B2397" s="42" t="inlineStr">
        <is>
          <t>Google suggest</t>
        </is>
      </c>
      <c r="C2397" s="42" t="n">
        <v>3</v>
      </c>
      <c r="D2397" s="42" t="n">
        <v>24</v>
      </c>
      <c r="E2397" s="42" t="n">
        <v>1</v>
      </c>
      <c r="F2397" s="42" t="inlineStr">
        <is>
          <t>FR-097</t>
        </is>
      </c>
      <c r="G2397" s="55">
        <f>IFERROR(INDEX('Semrush Data'!$A$1:$Z$20000,MATCH(A2397,'Semrush Data'!$A$1:$A$20000,0),MATCH("Volume",'Semrush Data'!$A$1:$Z$1,0)),"")</f>
        <v/>
      </c>
      <c r="H2397" s="42">
        <f>IFERROR(INDEX('Semrush Data'!$A$1:$Z$20000,MATCH(A2397,'Semrush Data'!$A$1:$A$20000,0),MATCH("Keyword Difficulty*",'Semrush Data'!$A$1:$Z$1,0)),"")</f>
        <v/>
      </c>
      <c r="I2397" s="56">
        <f>IFERROR(INDEX('Semrush Data'!$A$1:$Z$20000,MATCH(A2397,'Semrush Data'!$A$1:$A$20000,0),MATCH("CPC*",'Semrush Data'!$A$1:$Z$1,0)),"")</f>
        <v/>
      </c>
      <c r="J2397" s="42">
        <f>IFERROR(INDEX('Semrush Data'!$A$1:$Z$20000,MATCH(A2397,'Semrush Data'!$A$1:$A$20000,0),MATCH("Intent",'Semrush Data'!$A$1:$Z$1,0)),"")</f>
        <v/>
      </c>
    </row>
    <row r="2398" ht="15" customHeight="1" s="37">
      <c r="A2398" s="42" t="inlineStr">
        <is>
          <t>chloe nomade nuit d'egypte 75ml</t>
        </is>
      </c>
      <c r="B2398" s="42" t="inlineStr">
        <is>
          <t>Google suggest</t>
        </is>
      </c>
      <c r="C2398" s="42" t="n">
        <v>3</v>
      </c>
      <c r="D2398" s="42" t="n">
        <v>24</v>
      </c>
      <c r="E2398" s="42" t="n">
        <v>1</v>
      </c>
      <c r="F2398" s="42" t="inlineStr">
        <is>
          <t>FR-097</t>
        </is>
      </c>
      <c r="G2398" s="55">
        <f>IFERROR(INDEX('Semrush Data'!$A$1:$Z$20000,MATCH(A2398,'Semrush Data'!$A$1:$A$20000,0),MATCH("Volume",'Semrush Data'!$A$1:$Z$1,0)),"")</f>
        <v/>
      </c>
      <c r="H2398" s="42">
        <f>IFERROR(INDEX('Semrush Data'!$A$1:$Z$20000,MATCH(A2398,'Semrush Data'!$A$1:$A$20000,0),MATCH("Keyword Difficulty*",'Semrush Data'!$A$1:$Z$1,0)),"")</f>
        <v/>
      </c>
      <c r="I2398" s="56">
        <f>IFERROR(INDEX('Semrush Data'!$A$1:$Z$20000,MATCH(A2398,'Semrush Data'!$A$1:$A$20000,0),MATCH("CPC*",'Semrush Data'!$A$1:$Z$1,0)),"")</f>
        <v/>
      </c>
      <c r="J2398" s="42">
        <f>IFERROR(INDEX('Semrush Data'!$A$1:$Z$20000,MATCH(A2398,'Semrush Data'!$A$1:$A$20000,0),MATCH("Intent",'Semrush Data'!$A$1:$Z$1,0)),"")</f>
        <v/>
      </c>
    </row>
    <row r="2399" ht="15" customHeight="1" s="37">
      <c r="A2399" s="42" t="inlineStr">
        <is>
          <t>chloe nomade nuit d'egypte dupe</t>
        </is>
      </c>
      <c r="B2399" s="42" t="inlineStr">
        <is>
          <t>Google suggest</t>
        </is>
      </c>
      <c r="C2399" s="42" t="n">
        <v>3</v>
      </c>
      <c r="D2399" s="42" t="n">
        <v>24</v>
      </c>
      <c r="E2399" s="42" t="n">
        <v>1</v>
      </c>
      <c r="F2399" s="42" t="inlineStr">
        <is>
          <t>FR-097</t>
        </is>
      </c>
      <c r="G2399" s="55">
        <f>IFERROR(INDEX('Semrush Data'!$A$1:$Z$20000,MATCH(A2399,'Semrush Data'!$A$1:$A$20000,0),MATCH("Volume",'Semrush Data'!$A$1:$Z$1,0)),"")</f>
        <v/>
      </c>
      <c r="H2399" s="42">
        <f>IFERROR(INDEX('Semrush Data'!$A$1:$Z$20000,MATCH(A2399,'Semrush Data'!$A$1:$A$20000,0),MATCH("Keyword Difficulty*",'Semrush Data'!$A$1:$Z$1,0)),"")</f>
        <v/>
      </c>
      <c r="I2399" s="56">
        <f>IFERROR(INDEX('Semrush Data'!$A$1:$Z$20000,MATCH(A2399,'Semrush Data'!$A$1:$A$20000,0),MATCH("CPC*",'Semrush Data'!$A$1:$Z$1,0)),"")</f>
        <v/>
      </c>
      <c r="J2399" s="42">
        <f>IFERROR(INDEX('Semrush Data'!$A$1:$Z$20000,MATCH(A2399,'Semrush Data'!$A$1:$A$20000,0),MATCH("Intent",'Semrush Data'!$A$1:$Z$1,0)),"")</f>
        <v/>
      </c>
    </row>
    <row r="2400" ht="15" customHeight="1" s="37">
      <c r="A2400" s="42" t="inlineStr">
        <is>
          <t>chloe nomade nuit d'egypte notes</t>
        </is>
      </c>
      <c r="B2400" s="42" t="inlineStr">
        <is>
          <t>Google suggest</t>
        </is>
      </c>
      <c r="C2400" s="42" t="n">
        <v>3</v>
      </c>
      <c r="D2400" s="42" t="n">
        <v>24</v>
      </c>
      <c r="E2400" s="42" t="n">
        <v>1</v>
      </c>
      <c r="F2400" s="42" t="inlineStr">
        <is>
          <t>FR-097</t>
        </is>
      </c>
      <c r="G2400" s="55">
        <f>IFERROR(INDEX('Semrush Data'!$A$1:$Z$20000,MATCH(A2400,'Semrush Data'!$A$1:$A$20000,0),MATCH("Volume",'Semrush Data'!$A$1:$Z$1,0)),"")</f>
        <v/>
      </c>
      <c r="H2400" s="42">
        <f>IFERROR(INDEX('Semrush Data'!$A$1:$Z$20000,MATCH(A2400,'Semrush Data'!$A$1:$A$20000,0),MATCH("Keyword Difficulty*",'Semrush Data'!$A$1:$Z$1,0)),"")</f>
        <v/>
      </c>
      <c r="I2400" s="56">
        <f>IFERROR(INDEX('Semrush Data'!$A$1:$Z$20000,MATCH(A2400,'Semrush Data'!$A$1:$A$20000,0),MATCH("CPC*",'Semrush Data'!$A$1:$Z$1,0)),"")</f>
        <v/>
      </c>
      <c r="J2400" s="42">
        <f>IFERROR(INDEX('Semrush Data'!$A$1:$Z$20000,MATCH(A2400,'Semrush Data'!$A$1:$A$20000,0),MATCH("Intent",'Semrush Data'!$A$1:$Z$1,0)),"")</f>
        <v/>
      </c>
    </row>
    <row r="2401" ht="15" customHeight="1" s="37">
      <c r="A2401" s="42" t="inlineStr">
        <is>
          <t>chloe nomade nuit d'egypte perfume</t>
        </is>
      </c>
      <c r="B2401" s="42" t="inlineStr">
        <is>
          <t>Google suggest</t>
        </is>
      </c>
      <c r="C2401" s="42" t="n">
        <v>3</v>
      </c>
      <c r="D2401" s="42" t="n">
        <v>24</v>
      </c>
      <c r="E2401" s="42" t="n">
        <v>1</v>
      </c>
      <c r="F2401" s="42" t="inlineStr">
        <is>
          <t>FR-097</t>
        </is>
      </c>
      <c r="G2401" s="55">
        <f>IFERROR(INDEX('Semrush Data'!$A$1:$Z$20000,MATCH(A2401,'Semrush Data'!$A$1:$A$20000,0),MATCH("Volume",'Semrush Data'!$A$1:$Z$1,0)),"")</f>
        <v/>
      </c>
      <c r="H2401" s="42">
        <f>IFERROR(INDEX('Semrush Data'!$A$1:$Z$20000,MATCH(A2401,'Semrush Data'!$A$1:$A$20000,0),MATCH("Keyword Difficulty*",'Semrush Data'!$A$1:$Z$1,0)),"")</f>
        <v/>
      </c>
      <c r="I2401" s="56">
        <f>IFERROR(INDEX('Semrush Data'!$A$1:$Z$20000,MATCH(A2401,'Semrush Data'!$A$1:$A$20000,0),MATCH("CPC*",'Semrush Data'!$A$1:$Z$1,0)),"")</f>
        <v/>
      </c>
      <c r="J2401" s="42">
        <f>IFERROR(INDEX('Semrush Data'!$A$1:$Z$20000,MATCH(A2401,'Semrush Data'!$A$1:$A$20000,0),MATCH("Intent",'Semrush Data'!$A$1:$Z$1,0)),"")</f>
        <v/>
      </c>
    </row>
    <row r="2402" ht="15" customHeight="1" s="37">
      <c r="A2402" s="42" t="inlineStr">
        <is>
          <t>chloe nomade nuit d'egypte reviews</t>
        </is>
      </c>
      <c r="B2402" s="42" t="inlineStr">
        <is>
          <t>Google suggest</t>
        </is>
      </c>
      <c r="C2402" s="42" t="n">
        <v>3</v>
      </c>
      <c r="D2402" s="42" t="n">
        <v>25</v>
      </c>
      <c r="E2402" s="42" t="n">
        <v>1</v>
      </c>
      <c r="F2402" s="42" t="inlineStr">
        <is>
          <t>FR-097</t>
        </is>
      </c>
      <c r="G2402" s="55">
        <f>IFERROR(INDEX('Semrush Data'!$A$1:$Z$20000,MATCH(A2402,'Semrush Data'!$A$1:$A$20000,0),MATCH("Volume",'Semrush Data'!$A$1:$Z$1,0)),"")</f>
        <v/>
      </c>
      <c r="H2402" s="42">
        <f>IFERROR(INDEX('Semrush Data'!$A$1:$Z$20000,MATCH(A2402,'Semrush Data'!$A$1:$A$20000,0),MATCH("Keyword Difficulty*",'Semrush Data'!$A$1:$Z$1,0)),"")</f>
        <v/>
      </c>
      <c r="I2402" s="56">
        <f>IFERROR(INDEX('Semrush Data'!$A$1:$Z$20000,MATCH(A2402,'Semrush Data'!$A$1:$A$20000,0),MATCH("CPC*",'Semrush Data'!$A$1:$Z$1,0)),"")</f>
        <v/>
      </c>
      <c r="J2402" s="42">
        <f>IFERROR(INDEX('Semrush Data'!$A$1:$Z$20000,MATCH(A2402,'Semrush Data'!$A$1:$A$20000,0),MATCH("Intent",'Semrush Data'!$A$1:$Z$1,0)),"")</f>
        <v/>
      </c>
    </row>
    <row r="2403" ht="15" customHeight="1" s="37">
      <c r="A2403" s="42" t="inlineStr">
        <is>
          <t>chloe nomade parfum</t>
        </is>
      </c>
      <c r="B2403" s="42" t="inlineStr">
        <is>
          <t>Google suggest</t>
        </is>
      </c>
      <c r="C2403" s="42" t="n">
        <v>3</v>
      </c>
      <c r="D2403" s="42" t="n">
        <v>25</v>
      </c>
      <c r="E2403" s="42" t="n">
        <v>1</v>
      </c>
      <c r="F2403" s="42" t="inlineStr">
        <is>
          <t>FR-095</t>
        </is>
      </c>
      <c r="G2403" s="55">
        <f>IFERROR(INDEX('Semrush Data'!$A$1:$Z$20000,MATCH(A2403,'Semrush Data'!$A$1:$A$20000,0),MATCH("Volume",'Semrush Data'!$A$1:$Z$1,0)),"")</f>
        <v/>
      </c>
      <c r="H2403" s="42">
        <f>IFERROR(INDEX('Semrush Data'!$A$1:$Z$20000,MATCH(A2403,'Semrush Data'!$A$1:$A$20000,0),MATCH("Keyword Difficulty*",'Semrush Data'!$A$1:$Z$1,0)),"")</f>
        <v/>
      </c>
      <c r="I2403" s="56">
        <f>IFERROR(INDEX('Semrush Data'!$A$1:$Z$20000,MATCH(A2403,'Semrush Data'!$A$1:$A$20000,0),MATCH("CPC*",'Semrush Data'!$A$1:$Z$1,0)),"")</f>
        <v/>
      </c>
      <c r="J2403" s="42">
        <f>IFERROR(INDEX('Semrush Data'!$A$1:$Z$20000,MATCH(A2403,'Semrush Data'!$A$1:$A$20000,0),MATCH("Intent",'Semrush Data'!$A$1:$Z$1,0)),"")</f>
        <v/>
      </c>
    </row>
    <row r="2404" ht="15" customHeight="1" s="37">
      <c r="A2404" s="42" t="inlineStr">
        <is>
          <t>chloe nomade perfume</t>
        </is>
      </c>
      <c r="B2404" s="42" t="inlineStr">
        <is>
          <t>Google suggest</t>
        </is>
      </c>
      <c r="C2404" s="42" t="n">
        <v>3</v>
      </c>
      <c r="D2404" s="42" t="inlineStr">
        <is>
          <t>T3-1</t>
        </is>
      </c>
      <c r="E2404" s="42" t="n">
        <v>1</v>
      </c>
      <c r="F2404" s="42" t="inlineStr">
        <is>
          <t>FR-095</t>
        </is>
      </c>
      <c r="G2404" s="55">
        <f>IFERROR(INDEX('Semrush Data'!$A$1:$Z$20000,MATCH(A2404,'Semrush Data'!$A$1:$A$20000,0),MATCH("Volume",'Semrush Data'!$A$1:$Z$1,0)),"")</f>
        <v/>
      </c>
      <c r="H2404" s="42">
        <f>IFERROR(INDEX('Semrush Data'!$A$1:$Z$20000,MATCH(A2404,'Semrush Data'!$A$1:$A$20000,0),MATCH("Keyword Difficulty*",'Semrush Data'!$A$1:$Z$1,0)),"")</f>
        <v/>
      </c>
      <c r="I2404" s="56">
        <f>IFERROR(INDEX('Semrush Data'!$A$1:$Z$20000,MATCH(A2404,'Semrush Data'!$A$1:$A$20000,0),MATCH("CPC*",'Semrush Data'!$A$1:$Z$1,0)),"")</f>
        <v/>
      </c>
      <c r="J2404" s="42">
        <f>IFERROR(INDEX('Semrush Data'!$A$1:$Z$20000,MATCH(A2404,'Semrush Data'!$A$1:$A$20000,0),MATCH("Intent",'Semrush Data'!$A$1:$Z$1,0)),"")</f>
        <v/>
      </c>
    </row>
    <row r="2405" ht="15" customHeight="1" s="37">
      <c r="A2405" s="42" t="inlineStr">
        <is>
          <t>chloe nomade sizes</t>
        </is>
      </c>
      <c r="B2405" s="42" t="inlineStr">
        <is>
          <t>Google suggest</t>
        </is>
      </c>
      <c r="C2405" s="42" t="n">
        <v>3</v>
      </c>
      <c r="D2405" s="42" t="n">
        <v>25</v>
      </c>
      <c r="E2405" s="42" t="n">
        <v>1</v>
      </c>
      <c r="F2405" s="42" t="inlineStr">
        <is>
          <t>FR-099</t>
        </is>
      </c>
      <c r="G2405" s="55">
        <f>IFERROR(INDEX('Semrush Data'!$A$1:$Z$20000,MATCH(A2405,'Semrush Data'!$A$1:$A$20000,0),MATCH("Volume",'Semrush Data'!$A$1:$Z$1,0)),"")</f>
        <v/>
      </c>
      <c r="H2405" s="42">
        <f>IFERROR(INDEX('Semrush Data'!$A$1:$Z$20000,MATCH(A2405,'Semrush Data'!$A$1:$A$20000,0),MATCH("Keyword Difficulty*",'Semrush Data'!$A$1:$Z$1,0)),"")</f>
        <v/>
      </c>
      <c r="I2405" s="56">
        <f>IFERROR(INDEX('Semrush Data'!$A$1:$Z$20000,MATCH(A2405,'Semrush Data'!$A$1:$A$20000,0),MATCH("CPC*",'Semrush Data'!$A$1:$Z$1,0)),"")</f>
        <v/>
      </c>
      <c r="J2405" s="42">
        <f>IFERROR(INDEX('Semrush Data'!$A$1:$Z$20000,MATCH(A2405,'Semrush Data'!$A$1:$A$20000,0),MATCH("Intent",'Semrush Data'!$A$1:$Z$1,0)),"")</f>
        <v/>
      </c>
    </row>
    <row r="2406" ht="15" customHeight="1" s="37">
      <c r="A2406" s="42" t="inlineStr">
        <is>
          <t>chloe perfume miniature gift set</t>
        </is>
      </c>
      <c r="B2406" s="42" t="inlineStr">
        <is>
          <t>Google suggest</t>
        </is>
      </c>
      <c r="C2406" s="42" t="n">
        <v>3</v>
      </c>
      <c r="D2406" s="42" t="n">
        <v>25</v>
      </c>
      <c r="E2406" s="42" t="n">
        <v>1</v>
      </c>
      <c r="F2406" s="42" t="inlineStr">
        <is>
          <t>FR-100</t>
        </is>
      </c>
      <c r="G2406" s="55">
        <f>IFERROR(INDEX('Semrush Data'!$A$1:$Z$20000,MATCH(A2406,'Semrush Data'!$A$1:$A$20000,0),MATCH("Volume",'Semrush Data'!$A$1:$Z$1,0)),"")</f>
        <v/>
      </c>
      <c r="H2406" s="42">
        <f>IFERROR(INDEX('Semrush Data'!$A$1:$Z$20000,MATCH(A2406,'Semrush Data'!$A$1:$A$20000,0),MATCH("Keyword Difficulty*",'Semrush Data'!$A$1:$Z$1,0)),"")</f>
        <v/>
      </c>
      <c r="I2406" s="56">
        <f>IFERROR(INDEX('Semrush Data'!$A$1:$Z$20000,MATCH(A2406,'Semrush Data'!$A$1:$A$20000,0),MATCH("CPC*",'Semrush Data'!$A$1:$Z$1,0)),"")</f>
        <v/>
      </c>
      <c r="J2406" s="42">
        <f>IFERROR(INDEX('Semrush Data'!$A$1:$Z$20000,MATCH(A2406,'Semrush Data'!$A$1:$A$20000,0),MATCH("Intent",'Semrush Data'!$A$1:$Z$1,0)),"")</f>
        <v/>
      </c>
    </row>
    <row r="2407" ht="15" customHeight="1" s="37">
      <c r="A2407" s="42" t="inlineStr">
        <is>
          <t>chloe rose naturelle intense 100ml</t>
        </is>
      </c>
      <c r="B2407" s="42" t="inlineStr">
        <is>
          <t>Google suggest</t>
        </is>
      </c>
      <c r="C2407" s="42" t="n">
        <v>3</v>
      </c>
      <c r="D2407" s="42" t="n">
        <v>25</v>
      </c>
      <c r="E2407" s="42" t="n">
        <v>1</v>
      </c>
      <c r="F2407" s="42" t="inlineStr">
        <is>
          <t>FR-098</t>
        </is>
      </c>
      <c r="G2407" s="55">
        <f>IFERROR(INDEX('Semrush Data'!$A$1:$Z$20000,MATCH(A2407,'Semrush Data'!$A$1:$A$20000,0),MATCH("Volume",'Semrush Data'!$A$1:$Z$1,0)),"")</f>
        <v/>
      </c>
      <c r="H2407" s="42">
        <f>IFERROR(INDEX('Semrush Data'!$A$1:$Z$20000,MATCH(A2407,'Semrush Data'!$A$1:$A$20000,0),MATCH("Keyword Difficulty*",'Semrush Data'!$A$1:$Z$1,0)),"")</f>
        <v/>
      </c>
      <c r="I2407" s="56">
        <f>IFERROR(INDEX('Semrush Data'!$A$1:$Z$20000,MATCH(A2407,'Semrush Data'!$A$1:$A$20000,0),MATCH("CPC*",'Semrush Data'!$A$1:$Z$1,0)),"")</f>
        <v/>
      </c>
      <c r="J2407" s="42">
        <f>IFERROR(INDEX('Semrush Data'!$A$1:$Z$20000,MATCH(A2407,'Semrush Data'!$A$1:$A$20000,0),MATCH("Intent",'Semrush Data'!$A$1:$Z$1,0)),"")</f>
        <v/>
      </c>
    </row>
    <row r="2408" ht="15" customHeight="1" s="37">
      <c r="A2408" s="42" t="inlineStr">
        <is>
          <t>chloe rose naturelle intense dupe</t>
        </is>
      </c>
      <c r="B2408" s="42" t="inlineStr">
        <is>
          <t>Google suggest</t>
        </is>
      </c>
      <c r="C2408" s="42" t="n">
        <v>3</v>
      </c>
      <c r="D2408" s="42" t="n">
        <v>25</v>
      </c>
      <c r="E2408" s="42" t="n">
        <v>1</v>
      </c>
      <c r="F2408" s="42" t="inlineStr">
        <is>
          <t>FR-098</t>
        </is>
      </c>
      <c r="G2408" s="55">
        <f>IFERROR(INDEX('Semrush Data'!$A$1:$Z$20000,MATCH(A2408,'Semrush Data'!$A$1:$A$20000,0),MATCH("Volume",'Semrush Data'!$A$1:$Z$1,0)),"")</f>
        <v/>
      </c>
      <c r="H2408" s="42">
        <f>IFERROR(INDEX('Semrush Data'!$A$1:$Z$20000,MATCH(A2408,'Semrush Data'!$A$1:$A$20000,0),MATCH("Keyword Difficulty*",'Semrush Data'!$A$1:$Z$1,0)),"")</f>
        <v/>
      </c>
      <c r="I2408" s="56">
        <f>IFERROR(INDEX('Semrush Data'!$A$1:$Z$20000,MATCH(A2408,'Semrush Data'!$A$1:$A$20000,0),MATCH("CPC*",'Semrush Data'!$A$1:$Z$1,0)),"")</f>
        <v/>
      </c>
      <c r="J2408" s="42">
        <f>IFERROR(INDEX('Semrush Data'!$A$1:$Z$20000,MATCH(A2408,'Semrush Data'!$A$1:$A$20000,0),MATCH("Intent",'Semrush Data'!$A$1:$Z$1,0)),"")</f>
        <v/>
      </c>
    </row>
    <row r="2409" ht="15" customHeight="1" s="37">
      <c r="A2409" s="42" t="inlineStr">
        <is>
          <t>chloe rose naturelle intense eau de parfum reviews</t>
        </is>
      </c>
      <c r="B2409" s="42" t="inlineStr">
        <is>
          <t>Google suggest</t>
        </is>
      </c>
      <c r="C2409" s="42" t="n">
        <v>3</v>
      </c>
      <c r="D2409" s="42" t="n">
        <v>25</v>
      </c>
      <c r="E2409" s="42" t="n">
        <v>1</v>
      </c>
      <c r="F2409" s="42" t="inlineStr">
        <is>
          <t>FR-098</t>
        </is>
      </c>
      <c r="G2409" s="55">
        <f>IFERROR(INDEX('Semrush Data'!$A$1:$Z$20000,MATCH(A2409,'Semrush Data'!$A$1:$A$20000,0),MATCH("Volume",'Semrush Data'!$A$1:$Z$1,0)),"")</f>
        <v/>
      </c>
      <c r="H2409" s="42">
        <f>IFERROR(INDEX('Semrush Data'!$A$1:$Z$20000,MATCH(A2409,'Semrush Data'!$A$1:$A$20000,0),MATCH("Keyword Difficulty*",'Semrush Data'!$A$1:$Z$1,0)),"")</f>
        <v/>
      </c>
      <c r="I2409" s="56">
        <f>IFERROR(INDEX('Semrush Data'!$A$1:$Z$20000,MATCH(A2409,'Semrush Data'!$A$1:$A$20000,0),MATCH("CPC*",'Semrush Data'!$A$1:$Z$1,0)),"")</f>
        <v/>
      </c>
      <c r="J2409" s="42">
        <f>IFERROR(INDEX('Semrush Data'!$A$1:$Z$20000,MATCH(A2409,'Semrush Data'!$A$1:$A$20000,0),MATCH("Intent",'Semrush Data'!$A$1:$Z$1,0)),"")</f>
        <v/>
      </c>
    </row>
    <row r="2410" ht="15" customHeight="1" s="37">
      <c r="A2410" s="42" t="inlineStr">
        <is>
          <t>chloe rose naturelle intense edp</t>
        </is>
      </c>
      <c r="B2410" s="42" t="inlineStr">
        <is>
          <t>Google suggest</t>
        </is>
      </c>
      <c r="C2410" s="42" t="n">
        <v>3</v>
      </c>
      <c r="D2410" s="42" t="n">
        <v>25</v>
      </c>
      <c r="E2410" s="42" t="n">
        <v>1</v>
      </c>
      <c r="F2410" s="42" t="inlineStr">
        <is>
          <t>FR-098</t>
        </is>
      </c>
      <c r="G2410" s="55">
        <f>IFERROR(INDEX('Semrush Data'!$A$1:$Z$20000,MATCH(A2410,'Semrush Data'!$A$1:$A$20000,0),MATCH("Volume",'Semrush Data'!$A$1:$Z$1,0)),"")</f>
        <v/>
      </c>
      <c r="H2410" s="42">
        <f>IFERROR(INDEX('Semrush Data'!$A$1:$Z$20000,MATCH(A2410,'Semrush Data'!$A$1:$A$20000,0),MATCH("Keyword Difficulty*",'Semrush Data'!$A$1:$Z$1,0)),"")</f>
        <v/>
      </c>
      <c r="I2410" s="56">
        <f>IFERROR(INDEX('Semrush Data'!$A$1:$Z$20000,MATCH(A2410,'Semrush Data'!$A$1:$A$20000,0),MATCH("CPC*",'Semrush Data'!$A$1:$Z$1,0)),"")</f>
        <v/>
      </c>
      <c r="J2410" s="42">
        <f>IFERROR(INDEX('Semrush Data'!$A$1:$Z$20000,MATCH(A2410,'Semrush Data'!$A$1:$A$20000,0),MATCH("Intent",'Semrush Data'!$A$1:$Z$1,0)),"")</f>
        <v/>
      </c>
    </row>
    <row r="2411" ht="15" customHeight="1" s="37">
      <c r="A2411" s="42" t="inlineStr">
        <is>
          <t>chloe rose naturelle intense notes</t>
        </is>
      </c>
      <c r="B2411" s="42" t="inlineStr">
        <is>
          <t>Google suggest</t>
        </is>
      </c>
      <c r="C2411" s="42" t="n">
        <v>3</v>
      </c>
      <c r="D2411" s="42" t="n">
        <v>25</v>
      </c>
      <c r="E2411" s="42" t="n">
        <v>1</v>
      </c>
      <c r="F2411" s="42" t="inlineStr">
        <is>
          <t>FR-098</t>
        </is>
      </c>
      <c r="G2411" s="55">
        <f>IFERROR(INDEX('Semrush Data'!$A$1:$Z$20000,MATCH(A2411,'Semrush Data'!$A$1:$A$20000,0),MATCH("Volume",'Semrush Data'!$A$1:$Z$1,0)),"")</f>
        <v/>
      </c>
      <c r="H2411" s="42">
        <f>IFERROR(INDEX('Semrush Data'!$A$1:$Z$20000,MATCH(A2411,'Semrush Data'!$A$1:$A$20000,0),MATCH("Keyword Difficulty*",'Semrush Data'!$A$1:$Z$1,0)),"")</f>
        <v/>
      </c>
      <c r="I2411" s="56">
        <f>IFERROR(INDEX('Semrush Data'!$A$1:$Z$20000,MATCH(A2411,'Semrush Data'!$A$1:$A$20000,0),MATCH("CPC*",'Semrush Data'!$A$1:$Z$1,0)),"")</f>
        <v/>
      </c>
      <c r="J2411" s="42">
        <f>IFERROR(INDEX('Semrush Data'!$A$1:$Z$20000,MATCH(A2411,'Semrush Data'!$A$1:$A$20000,0),MATCH("Intent",'Semrush Data'!$A$1:$Z$1,0)),"")</f>
        <v/>
      </c>
    </row>
    <row r="2412" ht="15" customHeight="1" s="37">
      <c r="A2412" s="42" t="inlineStr">
        <is>
          <t>chloe women miniature set</t>
        </is>
      </c>
      <c r="B2412" s="42" t="inlineStr">
        <is>
          <t>Google suggest</t>
        </is>
      </c>
      <c r="C2412" s="42" t="n">
        <v>3</v>
      </c>
      <c r="D2412" s="42" t="n">
        <v>25</v>
      </c>
      <c r="E2412" s="42" t="n">
        <v>1</v>
      </c>
      <c r="F2412" s="42" t="inlineStr">
        <is>
          <t>FR-101</t>
        </is>
      </c>
      <c r="G2412" s="55">
        <f>IFERROR(INDEX('Semrush Data'!$A$1:$Z$20000,MATCH(A2412,'Semrush Data'!$A$1:$A$20000,0),MATCH("Volume",'Semrush Data'!$A$1:$Z$1,0)),"")</f>
        <v/>
      </c>
      <c r="H2412" s="42">
        <f>IFERROR(INDEX('Semrush Data'!$A$1:$Z$20000,MATCH(A2412,'Semrush Data'!$A$1:$A$20000,0),MATCH("Keyword Difficulty*",'Semrush Data'!$A$1:$Z$1,0)),"")</f>
        <v/>
      </c>
      <c r="I2412" s="56">
        <f>IFERROR(INDEX('Semrush Data'!$A$1:$Z$20000,MATCH(A2412,'Semrush Data'!$A$1:$A$20000,0),MATCH("CPC*",'Semrush Data'!$A$1:$Z$1,0)),"")</f>
        <v/>
      </c>
      <c r="J2412" s="42">
        <f>IFERROR(INDEX('Semrush Data'!$A$1:$Z$20000,MATCH(A2412,'Semrush Data'!$A$1:$A$20000,0),MATCH("Intent",'Semrush Data'!$A$1:$Z$1,0)),"")</f>
        <v/>
      </c>
    </row>
    <row r="2413" ht="15" customHeight="1" s="37">
      <c r="A2413" s="42" t="inlineStr">
        <is>
          <t>chopard amber malaki edp</t>
        </is>
      </c>
      <c r="B2413" s="42" t="inlineStr">
        <is>
          <t>Google suggest</t>
        </is>
      </c>
      <c r="C2413" s="42" t="n">
        <v>3</v>
      </c>
      <c r="D2413" s="42" t="n">
        <v>25</v>
      </c>
      <c r="E2413" s="42" t="n">
        <v>1</v>
      </c>
      <c r="F2413" s="42" t="inlineStr">
        <is>
          <t>FR-102</t>
        </is>
      </c>
      <c r="G2413" s="55">
        <f>IFERROR(INDEX('Semrush Data'!$A$1:$Z$20000,MATCH(A2413,'Semrush Data'!$A$1:$A$20000,0),MATCH("Volume",'Semrush Data'!$A$1:$Z$1,0)),"")</f>
        <v/>
      </c>
      <c r="H2413" s="42">
        <f>IFERROR(INDEX('Semrush Data'!$A$1:$Z$20000,MATCH(A2413,'Semrush Data'!$A$1:$A$20000,0),MATCH("Keyword Difficulty*",'Semrush Data'!$A$1:$Z$1,0)),"")</f>
        <v/>
      </c>
      <c r="I2413" s="56">
        <f>IFERROR(INDEX('Semrush Data'!$A$1:$Z$20000,MATCH(A2413,'Semrush Data'!$A$1:$A$20000,0),MATCH("CPC*",'Semrush Data'!$A$1:$Z$1,0)),"")</f>
        <v/>
      </c>
      <c r="J2413" s="42">
        <f>IFERROR(INDEX('Semrush Data'!$A$1:$Z$20000,MATCH(A2413,'Semrush Data'!$A$1:$A$20000,0),MATCH("Intent",'Semrush Data'!$A$1:$Z$1,0)),"")</f>
        <v/>
      </c>
    </row>
    <row r="2414" ht="15" customHeight="1" s="37">
      <c r="A2414" s="42" t="inlineStr">
        <is>
          <t>chopard amber malaki notes</t>
        </is>
      </c>
      <c r="B2414" s="42" t="inlineStr">
        <is>
          <t>Google suggest</t>
        </is>
      </c>
      <c r="C2414" s="42" t="n">
        <v>3</v>
      </c>
      <c r="D2414" s="42" t="n">
        <v>25</v>
      </c>
      <c r="E2414" s="42" t="n">
        <v>1</v>
      </c>
      <c r="F2414" s="42" t="inlineStr">
        <is>
          <t>FR-102</t>
        </is>
      </c>
      <c r="G2414" s="55">
        <f>IFERROR(INDEX('Semrush Data'!$A$1:$Z$20000,MATCH(A2414,'Semrush Data'!$A$1:$A$20000,0),MATCH("Volume",'Semrush Data'!$A$1:$Z$1,0)),"")</f>
        <v/>
      </c>
      <c r="H2414" s="42">
        <f>IFERROR(INDEX('Semrush Data'!$A$1:$Z$20000,MATCH(A2414,'Semrush Data'!$A$1:$A$20000,0),MATCH("Keyword Difficulty*",'Semrush Data'!$A$1:$Z$1,0)),"")</f>
        <v/>
      </c>
      <c r="I2414" s="56">
        <f>IFERROR(INDEX('Semrush Data'!$A$1:$Z$20000,MATCH(A2414,'Semrush Data'!$A$1:$A$20000,0),MATCH("CPC*",'Semrush Data'!$A$1:$Z$1,0)),"")</f>
        <v/>
      </c>
      <c r="J2414" s="42">
        <f>IFERROR(INDEX('Semrush Data'!$A$1:$Z$20000,MATCH(A2414,'Semrush Data'!$A$1:$A$20000,0),MATCH("Intent",'Semrush Data'!$A$1:$Z$1,0)),"")</f>
        <v/>
      </c>
    </row>
    <row r="2415" ht="15" customHeight="1" s="37">
      <c r="A2415" s="42" t="inlineStr">
        <is>
          <t>chopard amber malaki perfume</t>
        </is>
      </c>
      <c r="B2415" s="42" t="inlineStr">
        <is>
          <t>Google suggest</t>
        </is>
      </c>
      <c r="C2415" s="42" t="n">
        <v>3</v>
      </c>
      <c r="D2415" s="42" t="n">
        <v>25</v>
      </c>
      <c r="E2415" s="42" t="n">
        <v>1</v>
      </c>
      <c r="F2415" s="42" t="inlineStr">
        <is>
          <t>FR-102</t>
        </is>
      </c>
      <c r="G2415" s="55">
        <f>IFERROR(INDEX('Semrush Data'!$A$1:$Z$20000,MATCH(A2415,'Semrush Data'!$A$1:$A$20000,0),MATCH("Volume",'Semrush Data'!$A$1:$Z$1,0)),"")</f>
        <v/>
      </c>
      <c r="H2415" s="42">
        <f>IFERROR(INDEX('Semrush Data'!$A$1:$Z$20000,MATCH(A2415,'Semrush Data'!$A$1:$A$20000,0),MATCH("Keyword Difficulty*",'Semrush Data'!$A$1:$Z$1,0)),"")</f>
        <v/>
      </c>
      <c r="I2415" s="56">
        <f>IFERROR(INDEX('Semrush Data'!$A$1:$Z$20000,MATCH(A2415,'Semrush Data'!$A$1:$A$20000,0),MATCH("CPC*",'Semrush Data'!$A$1:$Z$1,0)),"")</f>
        <v/>
      </c>
      <c r="J2415" s="42">
        <f>IFERROR(INDEX('Semrush Data'!$A$1:$Z$20000,MATCH(A2415,'Semrush Data'!$A$1:$A$20000,0),MATCH("Intent",'Semrush Data'!$A$1:$Z$1,0)),"")</f>
        <v/>
      </c>
    </row>
    <row r="2416" ht="15" customHeight="1" s="37">
      <c r="A2416" s="42" t="inlineStr">
        <is>
          <t>chopard amber malaki review</t>
        </is>
      </c>
      <c r="B2416" s="42" t="inlineStr">
        <is>
          <t>Google suggest</t>
        </is>
      </c>
      <c r="C2416" s="42" t="n">
        <v>3</v>
      </c>
      <c r="D2416" s="42" t="n">
        <v>25</v>
      </c>
      <c r="E2416" s="42" t="n">
        <v>1</v>
      </c>
      <c r="F2416" s="42" t="inlineStr">
        <is>
          <t>FR-102</t>
        </is>
      </c>
      <c r="G2416" s="55">
        <f>IFERROR(INDEX('Semrush Data'!$A$1:$Z$20000,MATCH(A2416,'Semrush Data'!$A$1:$A$20000,0),MATCH("Volume",'Semrush Data'!$A$1:$Z$1,0)),"")</f>
        <v/>
      </c>
      <c r="H2416" s="42">
        <f>IFERROR(INDEX('Semrush Data'!$A$1:$Z$20000,MATCH(A2416,'Semrush Data'!$A$1:$A$20000,0),MATCH("Keyword Difficulty*",'Semrush Data'!$A$1:$Z$1,0)),"")</f>
        <v/>
      </c>
      <c r="I2416" s="56">
        <f>IFERROR(INDEX('Semrush Data'!$A$1:$Z$20000,MATCH(A2416,'Semrush Data'!$A$1:$A$20000,0),MATCH("CPC*",'Semrush Data'!$A$1:$Z$1,0)),"")</f>
        <v/>
      </c>
      <c r="J2416" s="42">
        <f>IFERROR(INDEX('Semrush Data'!$A$1:$Z$20000,MATCH(A2416,'Semrush Data'!$A$1:$A$20000,0),MATCH("Intent",'Semrush Data'!$A$1:$Z$1,0)),"")</f>
        <v/>
      </c>
    </row>
    <row r="2417" ht="15" customHeight="1" s="37">
      <c r="A2417" s="42" t="inlineStr">
        <is>
          <t>chopard black incense malaki edp</t>
        </is>
      </c>
      <c r="B2417" s="42" t="inlineStr">
        <is>
          <t>Google suggest</t>
        </is>
      </c>
      <c r="C2417" s="42" t="n">
        <v>3</v>
      </c>
      <c r="D2417" s="42" t="n">
        <v>25</v>
      </c>
      <c r="E2417" s="42" t="n">
        <v>1</v>
      </c>
      <c r="F2417" s="42" t="inlineStr">
        <is>
          <t>FR-103</t>
        </is>
      </c>
      <c r="G2417" s="55">
        <f>IFERROR(INDEX('Semrush Data'!$A$1:$Z$20000,MATCH(A2417,'Semrush Data'!$A$1:$A$20000,0),MATCH("Volume",'Semrush Data'!$A$1:$Z$1,0)),"")</f>
        <v/>
      </c>
      <c r="H2417" s="42">
        <f>IFERROR(INDEX('Semrush Data'!$A$1:$Z$20000,MATCH(A2417,'Semrush Data'!$A$1:$A$20000,0),MATCH("Keyword Difficulty*",'Semrush Data'!$A$1:$Z$1,0)),"")</f>
        <v/>
      </c>
      <c r="I2417" s="56">
        <f>IFERROR(INDEX('Semrush Data'!$A$1:$Z$20000,MATCH(A2417,'Semrush Data'!$A$1:$A$20000,0),MATCH("CPC*",'Semrush Data'!$A$1:$Z$1,0)),"")</f>
        <v/>
      </c>
      <c r="J2417" s="42">
        <f>IFERROR(INDEX('Semrush Data'!$A$1:$Z$20000,MATCH(A2417,'Semrush Data'!$A$1:$A$20000,0),MATCH("Intent",'Semrush Data'!$A$1:$Z$1,0)),"")</f>
        <v/>
      </c>
    </row>
    <row r="2418" ht="15" customHeight="1" s="37">
      <c r="A2418" s="42" t="inlineStr">
        <is>
          <t>chopard black incense malaki notes</t>
        </is>
      </c>
      <c r="B2418" s="42" t="inlineStr">
        <is>
          <t>Google suggest</t>
        </is>
      </c>
      <c r="C2418" s="42" t="n">
        <v>3</v>
      </c>
      <c r="D2418" s="42" t="n">
        <v>25</v>
      </c>
      <c r="E2418" s="42" t="n">
        <v>1</v>
      </c>
      <c r="F2418" s="42" t="inlineStr">
        <is>
          <t>FR-103</t>
        </is>
      </c>
      <c r="G2418" s="55">
        <f>IFERROR(INDEX('Semrush Data'!$A$1:$Z$20000,MATCH(A2418,'Semrush Data'!$A$1:$A$20000,0),MATCH("Volume",'Semrush Data'!$A$1:$Z$1,0)),"")</f>
        <v/>
      </c>
      <c r="H2418" s="42">
        <f>IFERROR(INDEX('Semrush Data'!$A$1:$Z$20000,MATCH(A2418,'Semrush Data'!$A$1:$A$20000,0),MATCH("Keyword Difficulty*",'Semrush Data'!$A$1:$Z$1,0)),"")</f>
        <v/>
      </c>
      <c r="I2418" s="56">
        <f>IFERROR(INDEX('Semrush Data'!$A$1:$Z$20000,MATCH(A2418,'Semrush Data'!$A$1:$A$20000,0),MATCH("CPC*",'Semrush Data'!$A$1:$Z$1,0)),"")</f>
        <v/>
      </c>
      <c r="J2418" s="42">
        <f>IFERROR(INDEX('Semrush Data'!$A$1:$Z$20000,MATCH(A2418,'Semrush Data'!$A$1:$A$20000,0),MATCH("Intent",'Semrush Data'!$A$1:$Z$1,0)),"")</f>
        <v/>
      </c>
    </row>
    <row r="2419" ht="15" customHeight="1" s="37">
      <c r="A2419" s="42" t="inlineStr">
        <is>
          <t>chopard black incense malaki perfume</t>
        </is>
      </c>
      <c r="B2419" s="42" t="inlineStr">
        <is>
          <t>Google suggest</t>
        </is>
      </c>
      <c r="C2419" s="42" t="n">
        <v>3</v>
      </c>
      <c r="D2419" s="42" t="n">
        <v>25</v>
      </c>
      <c r="E2419" s="42" t="n">
        <v>1</v>
      </c>
      <c r="F2419" s="42" t="inlineStr">
        <is>
          <t>FR-103</t>
        </is>
      </c>
      <c r="G2419" s="55">
        <f>IFERROR(INDEX('Semrush Data'!$A$1:$Z$20000,MATCH(A2419,'Semrush Data'!$A$1:$A$20000,0),MATCH("Volume",'Semrush Data'!$A$1:$Z$1,0)),"")</f>
        <v/>
      </c>
      <c r="H2419" s="42">
        <f>IFERROR(INDEX('Semrush Data'!$A$1:$Z$20000,MATCH(A2419,'Semrush Data'!$A$1:$A$20000,0),MATCH("Keyword Difficulty*",'Semrush Data'!$A$1:$Z$1,0)),"")</f>
        <v/>
      </c>
      <c r="I2419" s="56">
        <f>IFERROR(INDEX('Semrush Data'!$A$1:$Z$20000,MATCH(A2419,'Semrush Data'!$A$1:$A$20000,0),MATCH("CPC*",'Semrush Data'!$A$1:$Z$1,0)),"")</f>
        <v/>
      </c>
      <c r="J2419" s="42">
        <f>IFERROR(INDEX('Semrush Data'!$A$1:$Z$20000,MATCH(A2419,'Semrush Data'!$A$1:$A$20000,0),MATCH("Intent",'Semrush Data'!$A$1:$Z$1,0)),"")</f>
        <v/>
      </c>
    </row>
    <row r="2420" ht="15" customHeight="1" s="37">
      <c r="A2420" s="42" t="inlineStr">
        <is>
          <t>chopard black incense malaki review</t>
        </is>
      </c>
      <c r="B2420" s="42" t="inlineStr">
        <is>
          <t>Google suggest</t>
        </is>
      </c>
      <c r="C2420" s="42" t="n">
        <v>3</v>
      </c>
      <c r="D2420" s="42" t="n">
        <v>25</v>
      </c>
      <c r="E2420" s="42" t="n">
        <v>1</v>
      </c>
      <c r="F2420" s="42" t="inlineStr">
        <is>
          <t>FR-103</t>
        </is>
      </c>
      <c r="G2420" s="55">
        <f>IFERROR(INDEX('Semrush Data'!$A$1:$Z$20000,MATCH(A2420,'Semrush Data'!$A$1:$A$20000,0),MATCH("Volume",'Semrush Data'!$A$1:$Z$1,0)),"")</f>
        <v/>
      </c>
      <c r="H2420" s="42">
        <f>IFERROR(INDEX('Semrush Data'!$A$1:$Z$20000,MATCH(A2420,'Semrush Data'!$A$1:$A$20000,0),MATCH("Keyword Difficulty*",'Semrush Data'!$A$1:$Z$1,0)),"")</f>
        <v/>
      </c>
      <c r="I2420" s="56">
        <f>IFERROR(INDEX('Semrush Data'!$A$1:$Z$20000,MATCH(A2420,'Semrush Data'!$A$1:$A$20000,0),MATCH("CPC*",'Semrush Data'!$A$1:$Z$1,0)),"")</f>
        <v/>
      </c>
      <c r="J2420" s="42">
        <f>IFERROR(INDEX('Semrush Data'!$A$1:$Z$20000,MATCH(A2420,'Semrush Data'!$A$1:$A$20000,0),MATCH("Intent",'Semrush Data'!$A$1:$Z$1,0)),"")</f>
        <v/>
      </c>
    </row>
    <row r="2421" ht="15" customHeight="1" s="37">
      <c r="A2421" s="42" t="inlineStr">
        <is>
          <t>chopard imperiale iris malika 100ml</t>
        </is>
      </c>
      <c r="B2421" s="42" t="inlineStr">
        <is>
          <t>Google suggest</t>
        </is>
      </c>
      <c r="C2421" s="42" t="n">
        <v>3</v>
      </c>
      <c r="D2421" s="42" t="n">
        <v>25</v>
      </c>
      <c r="E2421" s="42" t="n">
        <v>1</v>
      </c>
      <c r="F2421" s="42" t="inlineStr">
        <is>
          <t>FR-104</t>
        </is>
      </c>
      <c r="G2421" s="55">
        <f>IFERROR(INDEX('Semrush Data'!$A$1:$Z$20000,MATCH(A2421,'Semrush Data'!$A$1:$A$20000,0),MATCH("Volume",'Semrush Data'!$A$1:$Z$1,0)),"")</f>
        <v/>
      </c>
      <c r="H2421" s="42">
        <f>IFERROR(INDEX('Semrush Data'!$A$1:$Z$20000,MATCH(A2421,'Semrush Data'!$A$1:$A$20000,0),MATCH("Keyword Difficulty*",'Semrush Data'!$A$1:$Z$1,0)),"")</f>
        <v/>
      </c>
      <c r="I2421" s="56">
        <f>IFERROR(INDEX('Semrush Data'!$A$1:$Z$20000,MATCH(A2421,'Semrush Data'!$A$1:$A$20000,0),MATCH("CPC*",'Semrush Data'!$A$1:$Z$1,0)),"")</f>
        <v/>
      </c>
      <c r="J2421" s="42">
        <f>IFERROR(INDEX('Semrush Data'!$A$1:$Z$20000,MATCH(A2421,'Semrush Data'!$A$1:$A$20000,0),MATCH("Intent",'Semrush Data'!$A$1:$Z$1,0)),"")</f>
        <v/>
      </c>
    </row>
    <row r="2422" ht="15" customHeight="1" s="37">
      <c r="A2422" s="42" t="inlineStr">
        <is>
          <t>chopard imperiale iris malika edp 100ml</t>
        </is>
      </c>
      <c r="B2422" s="42" t="inlineStr">
        <is>
          <t>Google suggest</t>
        </is>
      </c>
      <c r="C2422" s="42" t="n">
        <v>3</v>
      </c>
      <c r="D2422" s="42" t="n">
        <v>25</v>
      </c>
      <c r="E2422" s="42" t="n">
        <v>1</v>
      </c>
      <c r="F2422" s="42" t="inlineStr">
        <is>
          <t>FR-104</t>
        </is>
      </c>
      <c r="G2422" s="55">
        <f>IFERROR(INDEX('Semrush Data'!$A$1:$Z$20000,MATCH(A2422,'Semrush Data'!$A$1:$A$20000,0),MATCH("Volume",'Semrush Data'!$A$1:$Z$1,0)),"")</f>
        <v/>
      </c>
      <c r="H2422" s="42">
        <f>IFERROR(INDEX('Semrush Data'!$A$1:$Z$20000,MATCH(A2422,'Semrush Data'!$A$1:$A$20000,0),MATCH("Keyword Difficulty*",'Semrush Data'!$A$1:$Z$1,0)),"")</f>
        <v/>
      </c>
      <c r="I2422" s="56">
        <f>IFERROR(INDEX('Semrush Data'!$A$1:$Z$20000,MATCH(A2422,'Semrush Data'!$A$1:$A$20000,0),MATCH("CPC*",'Semrush Data'!$A$1:$Z$1,0)),"")</f>
        <v/>
      </c>
      <c r="J2422" s="42">
        <f>IFERROR(INDEX('Semrush Data'!$A$1:$Z$20000,MATCH(A2422,'Semrush Data'!$A$1:$A$20000,0),MATCH("Intent",'Semrush Data'!$A$1:$Z$1,0)),"")</f>
        <v/>
      </c>
    </row>
    <row r="2423" ht="15" customHeight="1" s="37">
      <c r="A2423" s="42" t="inlineStr">
        <is>
          <t>chopard imperiale iris malika perfume</t>
        </is>
      </c>
      <c r="B2423" s="42" t="inlineStr">
        <is>
          <t>Google suggest</t>
        </is>
      </c>
      <c r="C2423" s="42" t="n">
        <v>3</v>
      </c>
      <c r="D2423" s="42" t="n">
        <v>25</v>
      </c>
      <c r="E2423" s="42" t="n">
        <v>1</v>
      </c>
      <c r="F2423" s="42" t="inlineStr">
        <is>
          <t>FR-104</t>
        </is>
      </c>
      <c r="G2423" s="55">
        <f>IFERROR(INDEX('Semrush Data'!$A$1:$Z$20000,MATCH(A2423,'Semrush Data'!$A$1:$A$20000,0),MATCH("Volume",'Semrush Data'!$A$1:$Z$1,0)),"")</f>
        <v/>
      </c>
      <c r="H2423" s="42">
        <f>IFERROR(INDEX('Semrush Data'!$A$1:$Z$20000,MATCH(A2423,'Semrush Data'!$A$1:$A$20000,0),MATCH("Keyword Difficulty*",'Semrush Data'!$A$1:$Z$1,0)),"")</f>
        <v/>
      </c>
      <c r="I2423" s="56">
        <f>IFERROR(INDEX('Semrush Data'!$A$1:$Z$20000,MATCH(A2423,'Semrush Data'!$A$1:$A$20000,0),MATCH("CPC*",'Semrush Data'!$A$1:$Z$1,0)),"")</f>
        <v/>
      </c>
      <c r="J2423" s="42">
        <f>IFERROR(INDEX('Semrush Data'!$A$1:$Z$20000,MATCH(A2423,'Semrush Data'!$A$1:$A$20000,0),MATCH("Intent",'Semrush Data'!$A$1:$Z$1,0)),"")</f>
        <v/>
      </c>
    </row>
    <row r="2424" ht="15" customHeight="1" s="37">
      <c r="A2424" s="42" t="inlineStr">
        <is>
          <t>chopard imperiale iris malika review</t>
        </is>
      </c>
      <c r="B2424" s="42" t="inlineStr">
        <is>
          <t>Google suggest</t>
        </is>
      </c>
      <c r="C2424" s="42" t="n">
        <v>3</v>
      </c>
      <c r="D2424" s="42" t="n">
        <v>25</v>
      </c>
      <c r="E2424" s="42" t="n">
        <v>1</v>
      </c>
      <c r="F2424" s="42" t="inlineStr">
        <is>
          <t>FR-104</t>
        </is>
      </c>
      <c r="G2424" s="55">
        <f>IFERROR(INDEX('Semrush Data'!$A$1:$Z$20000,MATCH(A2424,'Semrush Data'!$A$1:$A$20000,0),MATCH("Volume",'Semrush Data'!$A$1:$Z$1,0)),"")</f>
        <v/>
      </c>
      <c r="H2424" s="42">
        <f>IFERROR(INDEX('Semrush Data'!$A$1:$Z$20000,MATCH(A2424,'Semrush Data'!$A$1:$A$20000,0),MATCH("Keyword Difficulty*",'Semrush Data'!$A$1:$Z$1,0)),"")</f>
        <v/>
      </c>
      <c r="I2424" s="56">
        <f>IFERROR(INDEX('Semrush Data'!$A$1:$Z$20000,MATCH(A2424,'Semrush Data'!$A$1:$A$20000,0),MATCH("CPC*",'Semrush Data'!$A$1:$Z$1,0)),"")</f>
        <v/>
      </c>
      <c r="J2424" s="42">
        <f>IFERROR(INDEX('Semrush Data'!$A$1:$Z$20000,MATCH(A2424,'Semrush Data'!$A$1:$A$20000,0),MATCH("Intent",'Semrush Data'!$A$1:$Z$1,0)),"")</f>
        <v/>
      </c>
    </row>
    <row r="2425" ht="15" customHeight="1" s="37">
      <c r="A2425" s="42" t="inlineStr">
        <is>
          <t>chopard oud malaki dupe</t>
        </is>
      </c>
      <c r="B2425" s="42" t="inlineStr">
        <is>
          <t>Google suggest</t>
        </is>
      </c>
      <c r="C2425" s="42" t="n">
        <v>3</v>
      </c>
      <c r="D2425" s="42" t="inlineStr">
        <is>
          <t>T3-1</t>
        </is>
      </c>
      <c r="E2425" s="42" t="n">
        <v>1</v>
      </c>
      <c r="F2425" s="42" t="inlineStr">
        <is>
          <t>FR-105</t>
        </is>
      </c>
      <c r="G2425" s="55">
        <f>IFERROR(INDEX('Semrush Data'!$A$1:$Z$20000,MATCH(A2425,'Semrush Data'!$A$1:$A$20000,0),MATCH("Volume",'Semrush Data'!$A$1:$Z$1,0)),"")</f>
        <v/>
      </c>
      <c r="H2425" s="42">
        <f>IFERROR(INDEX('Semrush Data'!$A$1:$Z$20000,MATCH(A2425,'Semrush Data'!$A$1:$A$20000,0),MATCH("Keyword Difficulty*",'Semrush Data'!$A$1:$Z$1,0)),"")</f>
        <v/>
      </c>
      <c r="I2425" s="56">
        <f>IFERROR(INDEX('Semrush Data'!$A$1:$Z$20000,MATCH(A2425,'Semrush Data'!$A$1:$A$20000,0),MATCH("CPC*",'Semrush Data'!$A$1:$Z$1,0)),"")</f>
        <v/>
      </c>
      <c r="J2425" s="42">
        <f>IFERROR(INDEX('Semrush Data'!$A$1:$Z$20000,MATCH(A2425,'Semrush Data'!$A$1:$A$20000,0),MATCH("Intent",'Semrush Data'!$A$1:$Z$1,0)),"")</f>
        <v/>
      </c>
    </row>
    <row r="2426" ht="15" customHeight="1" s="37">
      <c r="A2426" s="42" t="inlineStr">
        <is>
          <t>chopard oud malaki notes</t>
        </is>
      </c>
      <c r="B2426" s="42" t="inlineStr">
        <is>
          <t>Google suggest</t>
        </is>
      </c>
      <c r="C2426" s="42" t="n">
        <v>3</v>
      </c>
      <c r="D2426" s="42" t="n">
        <v>25</v>
      </c>
      <c r="E2426" s="42" t="n">
        <v>1</v>
      </c>
      <c r="F2426" s="42" t="inlineStr">
        <is>
          <t>FR-105</t>
        </is>
      </c>
      <c r="G2426" s="55">
        <f>IFERROR(INDEX('Semrush Data'!$A$1:$Z$20000,MATCH(A2426,'Semrush Data'!$A$1:$A$20000,0),MATCH("Volume",'Semrush Data'!$A$1:$Z$1,0)),"")</f>
        <v/>
      </c>
      <c r="H2426" s="42">
        <f>IFERROR(INDEX('Semrush Data'!$A$1:$Z$20000,MATCH(A2426,'Semrush Data'!$A$1:$A$20000,0),MATCH("Keyword Difficulty*",'Semrush Data'!$A$1:$Z$1,0)),"")</f>
        <v/>
      </c>
      <c r="I2426" s="56">
        <f>IFERROR(INDEX('Semrush Data'!$A$1:$Z$20000,MATCH(A2426,'Semrush Data'!$A$1:$A$20000,0),MATCH("CPC*",'Semrush Data'!$A$1:$Z$1,0)),"")</f>
        <v/>
      </c>
      <c r="J2426" s="42">
        <f>IFERROR(INDEX('Semrush Data'!$A$1:$Z$20000,MATCH(A2426,'Semrush Data'!$A$1:$A$20000,0),MATCH("Intent",'Semrush Data'!$A$1:$Z$1,0)),"")</f>
        <v/>
      </c>
    </row>
    <row r="2427" ht="15" customHeight="1" s="37">
      <c r="A2427" s="42" t="inlineStr">
        <is>
          <t>chopard oud malaki perfume</t>
        </is>
      </c>
      <c r="B2427" s="42" t="inlineStr">
        <is>
          <t>Google suggest</t>
        </is>
      </c>
      <c r="C2427" s="42" t="n">
        <v>3</v>
      </c>
      <c r="D2427" s="42" t="n">
        <v>25</v>
      </c>
      <c r="E2427" s="42" t="n">
        <v>1</v>
      </c>
      <c r="F2427" s="42" t="inlineStr">
        <is>
          <t>FR-105</t>
        </is>
      </c>
      <c r="G2427" s="55">
        <f>IFERROR(INDEX('Semrush Data'!$A$1:$Z$20000,MATCH(A2427,'Semrush Data'!$A$1:$A$20000,0),MATCH("Volume",'Semrush Data'!$A$1:$Z$1,0)),"")</f>
        <v/>
      </c>
      <c r="H2427" s="42">
        <f>IFERROR(INDEX('Semrush Data'!$A$1:$Z$20000,MATCH(A2427,'Semrush Data'!$A$1:$A$20000,0),MATCH("Keyword Difficulty*",'Semrush Data'!$A$1:$Z$1,0)),"")</f>
        <v/>
      </c>
      <c r="I2427" s="56">
        <f>IFERROR(INDEX('Semrush Data'!$A$1:$Z$20000,MATCH(A2427,'Semrush Data'!$A$1:$A$20000,0),MATCH("CPC*",'Semrush Data'!$A$1:$Z$1,0)),"")</f>
        <v/>
      </c>
      <c r="J2427" s="42">
        <f>IFERROR(INDEX('Semrush Data'!$A$1:$Z$20000,MATCH(A2427,'Semrush Data'!$A$1:$A$20000,0),MATCH("Intent",'Semrush Data'!$A$1:$Z$1,0)),"")</f>
        <v/>
      </c>
    </row>
    <row r="2428" ht="15" customHeight="1" s="37">
      <c r="A2428" s="42" t="inlineStr">
        <is>
          <t>chopard oud malaki review</t>
        </is>
      </c>
      <c r="B2428" s="42" t="inlineStr">
        <is>
          <t>Google suggest</t>
        </is>
      </c>
      <c r="C2428" s="42" t="n">
        <v>3</v>
      </c>
      <c r="D2428" s="42" t="inlineStr">
        <is>
          <t>T3-1</t>
        </is>
      </c>
      <c r="E2428" s="42" t="n">
        <v>1</v>
      </c>
      <c r="F2428" s="42" t="inlineStr">
        <is>
          <t>FR-105</t>
        </is>
      </c>
      <c r="G2428" s="55">
        <f>IFERROR(INDEX('Semrush Data'!$A$1:$Z$20000,MATCH(A2428,'Semrush Data'!$A$1:$A$20000,0),MATCH("Volume",'Semrush Data'!$A$1:$Z$1,0)),"")</f>
        <v/>
      </c>
      <c r="H2428" s="42">
        <f>IFERROR(INDEX('Semrush Data'!$A$1:$Z$20000,MATCH(A2428,'Semrush Data'!$A$1:$A$20000,0),MATCH("Keyword Difficulty*",'Semrush Data'!$A$1:$Z$1,0)),"")</f>
        <v/>
      </c>
      <c r="I2428" s="56">
        <f>IFERROR(INDEX('Semrush Data'!$A$1:$Z$20000,MATCH(A2428,'Semrush Data'!$A$1:$A$20000,0),MATCH("CPC*",'Semrush Data'!$A$1:$Z$1,0)),"")</f>
        <v/>
      </c>
      <c r="J2428" s="42">
        <f>IFERROR(INDEX('Semrush Data'!$A$1:$Z$20000,MATCH(A2428,'Semrush Data'!$A$1:$A$20000,0),MATCH("Intent",'Semrush Data'!$A$1:$Z$1,0)),"")</f>
        <v/>
      </c>
    </row>
    <row r="2429" ht="15" customHeight="1" s="37">
      <c r="A2429" s="42" t="inlineStr">
        <is>
          <t>daisy love marc jacobs price</t>
        </is>
      </c>
      <c r="B2429" s="42" t="inlineStr">
        <is>
          <t>Google suggest</t>
        </is>
      </c>
      <c r="C2429" s="42" t="n">
        <v>3</v>
      </c>
      <c r="D2429" s="42" t="n">
        <v>25</v>
      </c>
      <c r="E2429" s="42" t="n">
        <v>2</v>
      </c>
      <c r="F2429" s="42" t="inlineStr">
        <is>
          <t>FR-294, FR-295</t>
        </is>
      </c>
      <c r="G2429" s="55">
        <f>IFERROR(INDEX('Semrush Data'!$A$1:$Z$20000,MATCH(A2429,'Semrush Data'!$A$1:$A$20000,0),MATCH("Volume",'Semrush Data'!$A$1:$Z$1,0)),"")</f>
        <v/>
      </c>
      <c r="H2429" s="42">
        <f>IFERROR(INDEX('Semrush Data'!$A$1:$Z$20000,MATCH(A2429,'Semrush Data'!$A$1:$A$20000,0),MATCH("Keyword Difficulty*",'Semrush Data'!$A$1:$Z$1,0)),"")</f>
        <v/>
      </c>
      <c r="I2429" s="56">
        <f>IFERROR(INDEX('Semrush Data'!$A$1:$Z$20000,MATCH(A2429,'Semrush Data'!$A$1:$A$20000,0),MATCH("CPC*",'Semrush Data'!$A$1:$Z$1,0)),"")</f>
        <v/>
      </c>
      <c r="J2429" s="42">
        <f>IFERROR(INDEX('Semrush Data'!$A$1:$Z$20000,MATCH(A2429,'Semrush Data'!$A$1:$A$20000,0),MATCH("Intent",'Semrush Data'!$A$1:$Z$1,0)),"")</f>
        <v/>
      </c>
    </row>
    <row r="2430" ht="15" customHeight="1" s="37">
      <c r="A2430" s="42" t="inlineStr">
        <is>
          <t>davidoff champion 90ml</t>
        </is>
      </c>
      <c r="B2430" s="42" t="inlineStr">
        <is>
          <t>Google suggest</t>
        </is>
      </c>
      <c r="C2430" s="42" t="n">
        <v>3</v>
      </c>
      <c r="D2430" s="42" t="n">
        <v>25</v>
      </c>
      <c r="E2430" s="42" t="n">
        <v>1</v>
      </c>
      <c r="F2430" s="42" t="inlineStr">
        <is>
          <t>FR-110</t>
        </is>
      </c>
      <c r="G2430" s="55">
        <f>IFERROR(INDEX('Semrush Data'!$A$1:$Z$20000,MATCH(A2430,'Semrush Data'!$A$1:$A$20000,0),MATCH("Volume",'Semrush Data'!$A$1:$Z$1,0)),"")</f>
        <v/>
      </c>
      <c r="H2430" s="42">
        <f>IFERROR(INDEX('Semrush Data'!$A$1:$Z$20000,MATCH(A2430,'Semrush Data'!$A$1:$A$20000,0),MATCH("Keyword Difficulty*",'Semrush Data'!$A$1:$Z$1,0)),"")</f>
        <v/>
      </c>
      <c r="I2430" s="56">
        <f>IFERROR(INDEX('Semrush Data'!$A$1:$Z$20000,MATCH(A2430,'Semrush Data'!$A$1:$A$20000,0),MATCH("CPC*",'Semrush Data'!$A$1:$Z$1,0)),"")</f>
        <v/>
      </c>
      <c r="J2430" s="42">
        <f>IFERROR(INDEX('Semrush Data'!$A$1:$Z$20000,MATCH(A2430,'Semrush Data'!$A$1:$A$20000,0),MATCH("Intent",'Semrush Data'!$A$1:$Z$1,0)),"")</f>
        <v/>
      </c>
    </row>
    <row r="2431" ht="15" customHeight="1" s="37">
      <c r="A2431" s="42" t="inlineStr">
        <is>
          <t>davidoff champion notes</t>
        </is>
      </c>
      <c r="B2431" s="42" t="inlineStr">
        <is>
          <t>Google suggest</t>
        </is>
      </c>
      <c r="C2431" s="42" t="n">
        <v>3</v>
      </c>
      <c r="D2431" s="42" t="inlineStr">
        <is>
          <t>T3-1</t>
        </is>
      </c>
      <c r="E2431" s="42" t="n">
        <v>1</v>
      </c>
      <c r="F2431" s="42" t="inlineStr">
        <is>
          <t>FR-110</t>
        </is>
      </c>
      <c r="G2431" s="55">
        <f>IFERROR(INDEX('Semrush Data'!$A$1:$Z$20000,MATCH(A2431,'Semrush Data'!$A$1:$A$20000,0),MATCH("Volume",'Semrush Data'!$A$1:$Z$1,0)),"")</f>
        <v/>
      </c>
      <c r="H2431" s="42">
        <f>IFERROR(INDEX('Semrush Data'!$A$1:$Z$20000,MATCH(A2431,'Semrush Data'!$A$1:$A$20000,0),MATCH("Keyword Difficulty*",'Semrush Data'!$A$1:$Z$1,0)),"")</f>
        <v/>
      </c>
      <c r="I2431" s="56">
        <f>IFERROR(INDEX('Semrush Data'!$A$1:$Z$20000,MATCH(A2431,'Semrush Data'!$A$1:$A$20000,0),MATCH("CPC*",'Semrush Data'!$A$1:$Z$1,0)),"")</f>
        <v/>
      </c>
      <c r="J2431" s="42">
        <f>IFERROR(INDEX('Semrush Data'!$A$1:$Z$20000,MATCH(A2431,'Semrush Data'!$A$1:$A$20000,0),MATCH("Intent",'Semrush Data'!$A$1:$Z$1,0)),"")</f>
        <v/>
      </c>
    </row>
    <row r="2432" ht="15" customHeight="1" s="37">
      <c r="A2432" s="42" t="inlineStr">
        <is>
          <t>davidoff champion perfume</t>
        </is>
      </c>
      <c r="B2432" s="42" t="inlineStr">
        <is>
          <t>Google suggest</t>
        </is>
      </c>
      <c r="C2432" s="42" t="n">
        <v>3</v>
      </c>
      <c r="D2432" s="42" t="n">
        <v>25</v>
      </c>
      <c r="E2432" s="42" t="n">
        <v>1</v>
      </c>
      <c r="F2432" s="42" t="inlineStr">
        <is>
          <t>FR-110</t>
        </is>
      </c>
      <c r="G2432" s="55">
        <f>IFERROR(INDEX('Semrush Data'!$A$1:$Z$20000,MATCH(A2432,'Semrush Data'!$A$1:$A$20000,0),MATCH("Volume",'Semrush Data'!$A$1:$Z$1,0)),"")</f>
        <v/>
      </c>
      <c r="H2432" s="42">
        <f>IFERROR(INDEX('Semrush Data'!$A$1:$Z$20000,MATCH(A2432,'Semrush Data'!$A$1:$A$20000,0),MATCH("Keyword Difficulty*",'Semrush Data'!$A$1:$Z$1,0)),"")</f>
        <v/>
      </c>
      <c r="I2432" s="56">
        <f>IFERROR(INDEX('Semrush Data'!$A$1:$Z$20000,MATCH(A2432,'Semrush Data'!$A$1:$A$20000,0),MATCH("CPC*",'Semrush Data'!$A$1:$Z$1,0)),"")</f>
        <v/>
      </c>
      <c r="J2432" s="42">
        <f>IFERROR(INDEX('Semrush Data'!$A$1:$Z$20000,MATCH(A2432,'Semrush Data'!$A$1:$A$20000,0),MATCH("Intent",'Semrush Data'!$A$1:$Z$1,0)),"")</f>
        <v/>
      </c>
    </row>
    <row r="2433" ht="15" customHeight="1" s="37">
      <c r="A2433" s="42" t="inlineStr">
        <is>
          <t>davidoff champion perfume price</t>
        </is>
      </c>
      <c r="B2433" s="42" t="inlineStr">
        <is>
          <t>Google suggest</t>
        </is>
      </c>
      <c r="C2433" s="42" t="n">
        <v>3</v>
      </c>
      <c r="D2433" s="42" t="n">
        <v>25</v>
      </c>
      <c r="E2433" s="42" t="n">
        <v>1</v>
      </c>
      <c r="F2433" s="42" t="inlineStr">
        <is>
          <t>FR-110</t>
        </is>
      </c>
      <c r="G2433" s="55">
        <f>IFERROR(INDEX('Semrush Data'!$A$1:$Z$20000,MATCH(A2433,'Semrush Data'!$A$1:$A$20000,0),MATCH("Volume",'Semrush Data'!$A$1:$Z$1,0)),"")</f>
        <v/>
      </c>
      <c r="H2433" s="42">
        <f>IFERROR(INDEX('Semrush Data'!$A$1:$Z$20000,MATCH(A2433,'Semrush Data'!$A$1:$A$20000,0),MATCH("Keyword Difficulty*",'Semrush Data'!$A$1:$Z$1,0)),"")</f>
        <v/>
      </c>
      <c r="I2433" s="56">
        <f>IFERROR(INDEX('Semrush Data'!$A$1:$Z$20000,MATCH(A2433,'Semrush Data'!$A$1:$A$20000,0),MATCH("CPC*",'Semrush Data'!$A$1:$Z$1,0)),"")</f>
        <v/>
      </c>
      <c r="J2433" s="42">
        <f>IFERROR(INDEX('Semrush Data'!$A$1:$Z$20000,MATCH(A2433,'Semrush Data'!$A$1:$A$20000,0),MATCH("Intent",'Semrush Data'!$A$1:$Z$1,0)),"")</f>
        <v/>
      </c>
    </row>
    <row r="2434" ht="15" customHeight="1" s="37">
      <c r="A2434" s="42" t="inlineStr">
        <is>
          <t>davidoff champion review</t>
        </is>
      </c>
      <c r="B2434" s="42" t="inlineStr">
        <is>
          <t>Google suggest</t>
        </is>
      </c>
      <c r="C2434" s="42" t="n">
        <v>3</v>
      </c>
      <c r="D2434" s="42" t="inlineStr">
        <is>
          <t>T3-1</t>
        </is>
      </c>
      <c r="E2434" s="42" t="n">
        <v>1</v>
      </c>
      <c r="F2434" s="42" t="inlineStr">
        <is>
          <t>FR-110</t>
        </is>
      </c>
      <c r="G2434" s="55">
        <f>IFERROR(INDEX('Semrush Data'!$A$1:$Z$20000,MATCH(A2434,'Semrush Data'!$A$1:$A$20000,0),MATCH("Volume",'Semrush Data'!$A$1:$Z$1,0)),"")</f>
        <v/>
      </c>
      <c r="H2434" s="42">
        <f>IFERROR(INDEX('Semrush Data'!$A$1:$Z$20000,MATCH(A2434,'Semrush Data'!$A$1:$A$20000,0),MATCH("Keyword Difficulty*",'Semrush Data'!$A$1:$Z$1,0)),"")</f>
        <v/>
      </c>
      <c r="I2434" s="56">
        <f>IFERROR(INDEX('Semrush Data'!$A$1:$Z$20000,MATCH(A2434,'Semrush Data'!$A$1:$A$20000,0),MATCH("CPC*",'Semrush Data'!$A$1:$Z$1,0)),"")</f>
        <v/>
      </c>
      <c r="J2434" s="42">
        <f>IFERROR(INDEX('Semrush Data'!$A$1:$Z$20000,MATCH(A2434,'Semrush Data'!$A$1:$A$20000,0),MATCH("Intent",'Semrush Data'!$A$1:$Z$1,0)),"")</f>
        <v/>
      </c>
    </row>
    <row r="2435" ht="15" customHeight="1" s="37">
      <c r="A2435" s="42" t="inlineStr">
        <is>
          <t>davidoff cool water reborn intense 100 ml</t>
        </is>
      </c>
      <c r="B2435" s="42" t="inlineStr">
        <is>
          <t>Google suggest</t>
        </is>
      </c>
      <c r="C2435" s="42" t="n">
        <v>3</v>
      </c>
      <c r="D2435" s="42" t="n">
        <v>25</v>
      </c>
      <c r="E2435" s="42" t="n">
        <v>1</v>
      </c>
      <c r="F2435" s="42" t="inlineStr">
        <is>
          <t>FR-109</t>
        </is>
      </c>
      <c r="G2435" s="55">
        <f>IFERROR(INDEX('Semrush Data'!$A$1:$Z$20000,MATCH(A2435,'Semrush Data'!$A$1:$A$20000,0),MATCH("Volume",'Semrush Data'!$A$1:$Z$1,0)),"")</f>
        <v/>
      </c>
      <c r="H2435" s="42">
        <f>IFERROR(INDEX('Semrush Data'!$A$1:$Z$20000,MATCH(A2435,'Semrush Data'!$A$1:$A$20000,0),MATCH("Keyword Difficulty*",'Semrush Data'!$A$1:$Z$1,0)),"")</f>
        <v/>
      </c>
      <c r="I2435" s="56">
        <f>IFERROR(INDEX('Semrush Data'!$A$1:$Z$20000,MATCH(A2435,'Semrush Data'!$A$1:$A$20000,0),MATCH("CPC*",'Semrush Data'!$A$1:$Z$1,0)),"")</f>
        <v/>
      </c>
      <c r="J2435" s="42">
        <f>IFERROR(INDEX('Semrush Data'!$A$1:$Z$20000,MATCH(A2435,'Semrush Data'!$A$1:$A$20000,0),MATCH("Intent",'Semrush Data'!$A$1:$Z$1,0)),"")</f>
        <v/>
      </c>
    </row>
    <row r="2436" ht="15" customHeight="1" s="37">
      <c r="A2436" s="42" t="inlineStr">
        <is>
          <t>davidoff cool water reborn intense edp</t>
        </is>
      </c>
      <c r="B2436" s="42" t="inlineStr">
        <is>
          <t>Google suggest</t>
        </is>
      </c>
      <c r="C2436" s="42" t="n">
        <v>3</v>
      </c>
      <c r="D2436" s="42" t="n">
        <v>25</v>
      </c>
      <c r="E2436" s="42" t="n">
        <v>1</v>
      </c>
      <c r="F2436" s="42" t="inlineStr">
        <is>
          <t>FR-109</t>
        </is>
      </c>
      <c r="G2436" s="55">
        <f>IFERROR(INDEX('Semrush Data'!$A$1:$Z$20000,MATCH(A2436,'Semrush Data'!$A$1:$A$20000,0),MATCH("Volume",'Semrush Data'!$A$1:$Z$1,0)),"")</f>
        <v/>
      </c>
      <c r="H2436" s="42">
        <f>IFERROR(INDEX('Semrush Data'!$A$1:$Z$20000,MATCH(A2436,'Semrush Data'!$A$1:$A$20000,0),MATCH("Keyword Difficulty*",'Semrush Data'!$A$1:$Z$1,0)),"")</f>
        <v/>
      </c>
      <c r="I2436" s="56">
        <f>IFERROR(INDEX('Semrush Data'!$A$1:$Z$20000,MATCH(A2436,'Semrush Data'!$A$1:$A$20000,0),MATCH("CPC*",'Semrush Data'!$A$1:$Z$1,0)),"")</f>
        <v/>
      </c>
      <c r="J2436" s="42">
        <f>IFERROR(INDEX('Semrush Data'!$A$1:$Z$20000,MATCH(A2436,'Semrush Data'!$A$1:$A$20000,0),MATCH("Intent",'Semrush Data'!$A$1:$Z$1,0)),"")</f>
        <v/>
      </c>
    </row>
    <row r="2437" ht="15" customHeight="1" s="37">
      <c r="A2437" s="42" t="inlineStr">
        <is>
          <t>davidoff cool water reborn intense notes</t>
        </is>
      </c>
      <c r="B2437" s="42" t="inlineStr">
        <is>
          <t>Google suggest</t>
        </is>
      </c>
      <c r="C2437" s="42" t="n">
        <v>3</v>
      </c>
      <c r="D2437" s="42" t="n">
        <v>25</v>
      </c>
      <c r="E2437" s="42" t="n">
        <v>1</v>
      </c>
      <c r="F2437" s="42" t="inlineStr">
        <is>
          <t>FR-109</t>
        </is>
      </c>
      <c r="G2437" s="55">
        <f>IFERROR(INDEX('Semrush Data'!$A$1:$Z$20000,MATCH(A2437,'Semrush Data'!$A$1:$A$20000,0),MATCH("Volume",'Semrush Data'!$A$1:$Z$1,0)),"")</f>
        <v/>
      </c>
      <c r="H2437" s="42">
        <f>IFERROR(INDEX('Semrush Data'!$A$1:$Z$20000,MATCH(A2437,'Semrush Data'!$A$1:$A$20000,0),MATCH("Keyword Difficulty*",'Semrush Data'!$A$1:$Z$1,0)),"")</f>
        <v/>
      </c>
      <c r="I2437" s="56">
        <f>IFERROR(INDEX('Semrush Data'!$A$1:$Z$20000,MATCH(A2437,'Semrush Data'!$A$1:$A$20000,0),MATCH("CPC*",'Semrush Data'!$A$1:$Z$1,0)),"")</f>
        <v/>
      </c>
      <c r="J2437" s="42">
        <f>IFERROR(INDEX('Semrush Data'!$A$1:$Z$20000,MATCH(A2437,'Semrush Data'!$A$1:$A$20000,0),MATCH("Intent",'Semrush Data'!$A$1:$Z$1,0)),"")</f>
        <v/>
      </c>
    </row>
    <row r="2438" ht="15" customHeight="1" s="37">
      <c r="A2438" s="42" t="inlineStr">
        <is>
          <t>davidoff cool water reborn intense review</t>
        </is>
      </c>
      <c r="B2438" s="42" t="inlineStr">
        <is>
          <t>Google suggest</t>
        </is>
      </c>
      <c r="C2438" s="42" t="n">
        <v>3</v>
      </c>
      <c r="D2438" s="42" t="n">
        <v>25</v>
      </c>
      <c r="E2438" s="42" t="n">
        <v>1</v>
      </c>
      <c r="F2438" s="42" t="inlineStr">
        <is>
          <t>FR-109</t>
        </is>
      </c>
      <c r="G2438" s="55">
        <f>IFERROR(INDEX('Semrush Data'!$A$1:$Z$20000,MATCH(A2438,'Semrush Data'!$A$1:$A$20000,0),MATCH("Volume",'Semrush Data'!$A$1:$Z$1,0)),"")</f>
        <v/>
      </c>
      <c r="H2438" s="42">
        <f>IFERROR(INDEX('Semrush Data'!$A$1:$Z$20000,MATCH(A2438,'Semrush Data'!$A$1:$A$20000,0),MATCH("Keyword Difficulty*",'Semrush Data'!$A$1:$Z$1,0)),"")</f>
        <v/>
      </c>
      <c r="I2438" s="56">
        <f>IFERROR(INDEX('Semrush Data'!$A$1:$Z$20000,MATCH(A2438,'Semrush Data'!$A$1:$A$20000,0),MATCH("CPC*",'Semrush Data'!$A$1:$Z$1,0)),"")</f>
        <v/>
      </c>
      <c r="J2438" s="42">
        <f>IFERROR(INDEX('Semrush Data'!$A$1:$Z$20000,MATCH(A2438,'Semrush Data'!$A$1:$A$20000,0),MATCH("Intent",'Semrush Data'!$A$1:$Z$1,0)),"")</f>
        <v/>
      </c>
    </row>
    <row r="2439" ht="15" customHeight="1" s="37">
      <c r="A2439" s="42" t="inlineStr">
        <is>
          <t>davidoff cool water reborn intense women</t>
        </is>
      </c>
      <c r="B2439" s="42" t="inlineStr">
        <is>
          <t>Google suggest</t>
        </is>
      </c>
      <c r="C2439" s="42" t="n">
        <v>3</v>
      </c>
      <c r="D2439" s="42" t="n">
        <v>25</v>
      </c>
      <c r="E2439" s="42" t="n">
        <v>1</v>
      </c>
      <c r="F2439" s="42" t="inlineStr">
        <is>
          <t>FR-109</t>
        </is>
      </c>
      <c r="G2439" s="55">
        <f>IFERROR(INDEX('Semrush Data'!$A$1:$Z$20000,MATCH(A2439,'Semrush Data'!$A$1:$A$20000,0),MATCH("Volume",'Semrush Data'!$A$1:$Z$1,0)),"")</f>
        <v/>
      </c>
      <c r="H2439" s="42">
        <f>IFERROR(INDEX('Semrush Data'!$A$1:$Z$20000,MATCH(A2439,'Semrush Data'!$A$1:$A$20000,0),MATCH("Keyword Difficulty*",'Semrush Data'!$A$1:$Z$1,0)),"")</f>
        <v/>
      </c>
      <c r="I2439" s="56">
        <f>IFERROR(INDEX('Semrush Data'!$A$1:$Z$20000,MATCH(A2439,'Semrush Data'!$A$1:$A$20000,0),MATCH("CPC*",'Semrush Data'!$A$1:$Z$1,0)),"")</f>
        <v/>
      </c>
      <c r="J2439" s="42">
        <f>IFERROR(INDEX('Semrush Data'!$A$1:$Z$20000,MATCH(A2439,'Semrush Data'!$A$1:$A$20000,0),MATCH("Intent",'Semrush Data'!$A$1:$Z$1,0)),"")</f>
        <v/>
      </c>
    </row>
    <row r="2440" ht="15" customHeight="1" s="37">
      <c r="A2440" s="42" t="inlineStr">
        <is>
          <t>davidoff indigo 60ml</t>
        </is>
      </c>
      <c r="B2440" s="42" t="inlineStr">
        <is>
          <t>Google suggest</t>
        </is>
      </c>
      <c r="C2440" s="42" t="n">
        <v>3</v>
      </c>
      <c r="D2440" s="42" t="n">
        <v>25</v>
      </c>
      <c r="E2440" s="42" t="n">
        <v>1</v>
      </c>
      <c r="F2440" s="42" t="inlineStr">
        <is>
          <t>FR-111</t>
        </is>
      </c>
      <c r="G2440" s="55">
        <f>IFERROR(INDEX('Semrush Data'!$A$1:$Z$20000,MATCH(A2440,'Semrush Data'!$A$1:$A$20000,0),MATCH("Volume",'Semrush Data'!$A$1:$Z$1,0)),"")</f>
        <v/>
      </c>
      <c r="H2440" s="42">
        <f>IFERROR(INDEX('Semrush Data'!$A$1:$Z$20000,MATCH(A2440,'Semrush Data'!$A$1:$A$20000,0),MATCH("Keyword Difficulty*",'Semrush Data'!$A$1:$Z$1,0)),"")</f>
        <v/>
      </c>
      <c r="I2440" s="56">
        <f>IFERROR(INDEX('Semrush Data'!$A$1:$Z$20000,MATCH(A2440,'Semrush Data'!$A$1:$A$20000,0),MATCH("CPC*",'Semrush Data'!$A$1:$Z$1,0)),"")</f>
        <v/>
      </c>
      <c r="J2440" s="42">
        <f>IFERROR(INDEX('Semrush Data'!$A$1:$Z$20000,MATCH(A2440,'Semrush Data'!$A$1:$A$20000,0),MATCH("Intent",'Semrush Data'!$A$1:$Z$1,0)),"")</f>
        <v/>
      </c>
    </row>
    <row r="2441" ht="15" customHeight="1" s="37">
      <c r="A2441" s="42" t="inlineStr">
        <is>
          <t>davidoff indigo 60ml price</t>
        </is>
      </c>
      <c r="B2441" s="42" t="inlineStr">
        <is>
          <t>Google suggest</t>
        </is>
      </c>
      <c r="C2441" s="42" t="n">
        <v>3</v>
      </c>
      <c r="D2441" s="42" t="n">
        <v>25</v>
      </c>
      <c r="E2441" s="42" t="n">
        <v>1</v>
      </c>
      <c r="F2441" s="42" t="inlineStr">
        <is>
          <t>FR-111</t>
        </is>
      </c>
      <c r="G2441" s="55">
        <f>IFERROR(INDEX('Semrush Data'!$A$1:$Z$20000,MATCH(A2441,'Semrush Data'!$A$1:$A$20000,0),MATCH("Volume",'Semrush Data'!$A$1:$Z$1,0)),"")</f>
        <v/>
      </c>
      <c r="H2441" s="42">
        <f>IFERROR(INDEX('Semrush Data'!$A$1:$Z$20000,MATCH(A2441,'Semrush Data'!$A$1:$A$20000,0),MATCH("Keyword Difficulty*",'Semrush Data'!$A$1:$Z$1,0)),"")</f>
        <v/>
      </c>
      <c r="I2441" s="56">
        <f>IFERROR(INDEX('Semrush Data'!$A$1:$Z$20000,MATCH(A2441,'Semrush Data'!$A$1:$A$20000,0),MATCH("CPC*",'Semrush Data'!$A$1:$Z$1,0)),"")</f>
        <v/>
      </c>
      <c r="J2441" s="42">
        <f>IFERROR(INDEX('Semrush Data'!$A$1:$Z$20000,MATCH(A2441,'Semrush Data'!$A$1:$A$20000,0),MATCH("Intent",'Semrush Data'!$A$1:$Z$1,0)),"")</f>
        <v/>
      </c>
    </row>
    <row r="2442" ht="15" customHeight="1" s="37">
      <c r="A2442" s="42" t="inlineStr">
        <is>
          <t>davidoff indigo perfume</t>
        </is>
      </c>
      <c r="B2442" s="42" t="inlineStr">
        <is>
          <t>Google suggest</t>
        </is>
      </c>
      <c r="C2442" s="42" t="n">
        <v>3</v>
      </c>
      <c r="D2442" s="42" t="n">
        <v>25</v>
      </c>
      <c r="E2442" s="42" t="n">
        <v>1</v>
      </c>
      <c r="F2442" s="42" t="inlineStr">
        <is>
          <t>FR-111</t>
        </is>
      </c>
      <c r="G2442" s="55">
        <f>IFERROR(INDEX('Semrush Data'!$A$1:$Z$20000,MATCH(A2442,'Semrush Data'!$A$1:$A$20000,0),MATCH("Volume",'Semrush Data'!$A$1:$Z$1,0)),"")</f>
        <v/>
      </c>
      <c r="H2442" s="42">
        <f>IFERROR(INDEX('Semrush Data'!$A$1:$Z$20000,MATCH(A2442,'Semrush Data'!$A$1:$A$20000,0),MATCH("Keyword Difficulty*",'Semrush Data'!$A$1:$Z$1,0)),"")</f>
        <v/>
      </c>
      <c r="I2442" s="56">
        <f>IFERROR(INDEX('Semrush Data'!$A$1:$Z$20000,MATCH(A2442,'Semrush Data'!$A$1:$A$20000,0),MATCH("CPC*",'Semrush Data'!$A$1:$Z$1,0)),"")</f>
        <v/>
      </c>
      <c r="J2442" s="42">
        <f>IFERROR(INDEX('Semrush Data'!$A$1:$Z$20000,MATCH(A2442,'Semrush Data'!$A$1:$A$20000,0),MATCH("Intent",'Semrush Data'!$A$1:$Z$1,0)),"")</f>
        <v/>
      </c>
    </row>
    <row r="2443" ht="15" customHeight="1" s="37">
      <c r="A2443" s="42" t="inlineStr">
        <is>
          <t>davidoff indigo perfume price</t>
        </is>
      </c>
      <c r="B2443" s="42" t="inlineStr">
        <is>
          <t>Google suggest</t>
        </is>
      </c>
      <c r="C2443" s="42" t="n">
        <v>3</v>
      </c>
      <c r="D2443" s="42" t="n">
        <v>25</v>
      </c>
      <c r="E2443" s="42" t="n">
        <v>1</v>
      </c>
      <c r="F2443" s="42" t="inlineStr">
        <is>
          <t>FR-111</t>
        </is>
      </c>
      <c r="G2443" s="55">
        <f>IFERROR(INDEX('Semrush Data'!$A$1:$Z$20000,MATCH(A2443,'Semrush Data'!$A$1:$A$20000,0),MATCH("Volume",'Semrush Data'!$A$1:$Z$1,0)),"")</f>
        <v/>
      </c>
      <c r="H2443" s="42">
        <f>IFERROR(INDEX('Semrush Data'!$A$1:$Z$20000,MATCH(A2443,'Semrush Data'!$A$1:$A$20000,0),MATCH("Keyword Difficulty*",'Semrush Data'!$A$1:$Z$1,0)),"")</f>
        <v/>
      </c>
      <c r="I2443" s="56">
        <f>IFERROR(INDEX('Semrush Data'!$A$1:$Z$20000,MATCH(A2443,'Semrush Data'!$A$1:$A$20000,0),MATCH("CPC*",'Semrush Data'!$A$1:$Z$1,0)),"")</f>
        <v/>
      </c>
      <c r="J2443" s="42">
        <f>IFERROR(INDEX('Semrush Data'!$A$1:$Z$20000,MATCH(A2443,'Semrush Data'!$A$1:$A$20000,0),MATCH("Intent",'Semrush Data'!$A$1:$Z$1,0)),"")</f>
        <v/>
      </c>
    </row>
    <row r="2444" ht="15" customHeight="1" s="37">
      <c r="A2444" s="42" t="inlineStr">
        <is>
          <t>davidoff indigo review</t>
        </is>
      </c>
      <c r="B2444" s="42" t="inlineStr">
        <is>
          <t>Google suggest</t>
        </is>
      </c>
      <c r="C2444" s="42" t="n">
        <v>3</v>
      </c>
      <c r="D2444" s="42" t="n">
        <v>25</v>
      </c>
      <c r="E2444" s="42" t="n">
        <v>1</v>
      </c>
      <c r="F2444" s="42" t="inlineStr">
        <is>
          <t>FR-111</t>
        </is>
      </c>
      <c r="G2444" s="55">
        <f>IFERROR(INDEX('Semrush Data'!$A$1:$Z$20000,MATCH(A2444,'Semrush Data'!$A$1:$A$20000,0),MATCH("Volume",'Semrush Data'!$A$1:$Z$1,0)),"")</f>
        <v/>
      </c>
      <c r="H2444" s="42">
        <f>IFERROR(INDEX('Semrush Data'!$A$1:$Z$20000,MATCH(A2444,'Semrush Data'!$A$1:$A$20000,0),MATCH("Keyword Difficulty*",'Semrush Data'!$A$1:$Z$1,0)),"")</f>
        <v/>
      </c>
      <c r="I2444" s="56">
        <f>IFERROR(INDEX('Semrush Data'!$A$1:$Z$20000,MATCH(A2444,'Semrush Data'!$A$1:$A$20000,0),MATCH("CPC*",'Semrush Data'!$A$1:$Z$1,0)),"")</f>
        <v/>
      </c>
      <c r="J2444" s="42">
        <f>IFERROR(INDEX('Semrush Data'!$A$1:$Z$20000,MATCH(A2444,'Semrush Data'!$A$1:$A$20000,0),MATCH("Intent",'Semrush Data'!$A$1:$Z$1,0)),"")</f>
        <v/>
      </c>
    </row>
    <row r="2445" ht="15" customHeight="1" s="37">
      <c r="A2445" s="42" t="inlineStr">
        <is>
          <t>davidoff the game 100ml</t>
        </is>
      </c>
      <c r="B2445" s="42" t="inlineStr">
        <is>
          <t>Google suggest</t>
        </is>
      </c>
      <c r="C2445" s="42" t="n">
        <v>3</v>
      </c>
      <c r="D2445" s="42" t="n">
        <v>25</v>
      </c>
      <c r="E2445" s="42" t="n">
        <v>1</v>
      </c>
      <c r="F2445" s="42" t="inlineStr">
        <is>
          <t>FR-112</t>
        </is>
      </c>
      <c r="G2445" s="55">
        <f>IFERROR(INDEX('Semrush Data'!$A$1:$Z$20000,MATCH(A2445,'Semrush Data'!$A$1:$A$20000,0),MATCH("Volume",'Semrush Data'!$A$1:$Z$1,0)),"")</f>
        <v/>
      </c>
      <c r="H2445" s="42">
        <f>IFERROR(INDEX('Semrush Data'!$A$1:$Z$20000,MATCH(A2445,'Semrush Data'!$A$1:$A$20000,0),MATCH("Keyword Difficulty*",'Semrush Data'!$A$1:$Z$1,0)),"")</f>
        <v/>
      </c>
      <c r="I2445" s="56">
        <f>IFERROR(INDEX('Semrush Data'!$A$1:$Z$20000,MATCH(A2445,'Semrush Data'!$A$1:$A$20000,0),MATCH("CPC*",'Semrush Data'!$A$1:$Z$1,0)),"")</f>
        <v/>
      </c>
      <c r="J2445" s="42">
        <f>IFERROR(INDEX('Semrush Data'!$A$1:$Z$20000,MATCH(A2445,'Semrush Data'!$A$1:$A$20000,0),MATCH("Intent",'Semrush Data'!$A$1:$Z$1,0)),"")</f>
        <v/>
      </c>
    </row>
    <row r="2446" ht="15" customHeight="1" s="37">
      <c r="A2446" s="42" t="inlineStr">
        <is>
          <t>davidoff the game edt</t>
        </is>
      </c>
      <c r="B2446" s="42" t="inlineStr">
        <is>
          <t>Google suggest</t>
        </is>
      </c>
      <c r="C2446" s="42" t="n">
        <v>3</v>
      </c>
      <c r="D2446" s="42" t="n">
        <v>25</v>
      </c>
      <c r="E2446" s="42" t="n">
        <v>1</v>
      </c>
      <c r="F2446" s="42" t="inlineStr">
        <is>
          <t>FR-112</t>
        </is>
      </c>
      <c r="G2446" s="55">
        <f>IFERROR(INDEX('Semrush Data'!$A$1:$Z$20000,MATCH(A2446,'Semrush Data'!$A$1:$A$20000,0),MATCH("Volume",'Semrush Data'!$A$1:$Z$1,0)),"")</f>
        <v/>
      </c>
      <c r="H2446" s="42">
        <f>IFERROR(INDEX('Semrush Data'!$A$1:$Z$20000,MATCH(A2446,'Semrush Data'!$A$1:$A$20000,0),MATCH("Keyword Difficulty*",'Semrush Data'!$A$1:$Z$1,0)),"")</f>
        <v/>
      </c>
      <c r="I2446" s="56">
        <f>IFERROR(INDEX('Semrush Data'!$A$1:$Z$20000,MATCH(A2446,'Semrush Data'!$A$1:$A$20000,0),MATCH("CPC*",'Semrush Data'!$A$1:$Z$1,0)),"")</f>
        <v/>
      </c>
      <c r="J2446" s="42">
        <f>IFERROR(INDEX('Semrush Data'!$A$1:$Z$20000,MATCH(A2446,'Semrush Data'!$A$1:$A$20000,0),MATCH("Intent",'Semrush Data'!$A$1:$Z$1,0)),"")</f>
        <v/>
      </c>
    </row>
    <row r="2447" ht="15" customHeight="1" s="37">
      <c r="A2447" s="42" t="inlineStr">
        <is>
          <t>davidoff the game perfume</t>
        </is>
      </c>
      <c r="B2447" s="42" t="inlineStr">
        <is>
          <t>Google suggest</t>
        </is>
      </c>
      <c r="C2447" s="42" t="n">
        <v>3</v>
      </c>
      <c r="D2447" s="42" t="inlineStr">
        <is>
          <t>T3-1</t>
        </is>
      </c>
      <c r="E2447" s="42" t="n">
        <v>1</v>
      </c>
      <c r="F2447" s="42" t="inlineStr">
        <is>
          <t>FR-112</t>
        </is>
      </c>
      <c r="G2447" s="55">
        <f>IFERROR(INDEX('Semrush Data'!$A$1:$Z$20000,MATCH(A2447,'Semrush Data'!$A$1:$A$20000,0),MATCH("Volume",'Semrush Data'!$A$1:$Z$1,0)),"")</f>
        <v/>
      </c>
      <c r="H2447" s="42">
        <f>IFERROR(INDEX('Semrush Data'!$A$1:$Z$20000,MATCH(A2447,'Semrush Data'!$A$1:$A$20000,0),MATCH("Keyword Difficulty*",'Semrush Data'!$A$1:$Z$1,0)),"")</f>
        <v/>
      </c>
      <c r="I2447" s="56">
        <f>IFERROR(INDEX('Semrush Data'!$A$1:$Z$20000,MATCH(A2447,'Semrush Data'!$A$1:$A$20000,0),MATCH("CPC*",'Semrush Data'!$A$1:$Z$1,0)),"")</f>
        <v/>
      </c>
      <c r="J2447" s="42">
        <f>IFERROR(INDEX('Semrush Data'!$A$1:$Z$20000,MATCH(A2447,'Semrush Data'!$A$1:$A$20000,0),MATCH("Intent",'Semrush Data'!$A$1:$Z$1,0)),"")</f>
        <v/>
      </c>
    </row>
    <row r="2448" ht="15" customHeight="1" s="37">
      <c r="A2448" s="42" t="inlineStr">
        <is>
          <t>davidoff the game perfume price</t>
        </is>
      </c>
      <c r="B2448" s="42" t="inlineStr">
        <is>
          <t>Google suggest</t>
        </is>
      </c>
      <c r="C2448" s="42" t="n">
        <v>3</v>
      </c>
      <c r="D2448" s="42" t="n">
        <v>25</v>
      </c>
      <c r="E2448" s="42" t="n">
        <v>1</v>
      </c>
      <c r="F2448" s="42" t="inlineStr">
        <is>
          <t>FR-112</t>
        </is>
      </c>
      <c r="G2448" s="55">
        <f>IFERROR(INDEX('Semrush Data'!$A$1:$Z$20000,MATCH(A2448,'Semrush Data'!$A$1:$A$20000,0),MATCH("Volume",'Semrush Data'!$A$1:$Z$1,0)),"")</f>
        <v/>
      </c>
      <c r="H2448" s="42">
        <f>IFERROR(INDEX('Semrush Data'!$A$1:$Z$20000,MATCH(A2448,'Semrush Data'!$A$1:$A$20000,0),MATCH("Keyword Difficulty*",'Semrush Data'!$A$1:$Z$1,0)),"")</f>
        <v/>
      </c>
      <c r="I2448" s="56">
        <f>IFERROR(INDEX('Semrush Data'!$A$1:$Z$20000,MATCH(A2448,'Semrush Data'!$A$1:$A$20000,0),MATCH("CPC*",'Semrush Data'!$A$1:$Z$1,0)),"")</f>
        <v/>
      </c>
      <c r="J2448" s="42">
        <f>IFERROR(INDEX('Semrush Data'!$A$1:$Z$20000,MATCH(A2448,'Semrush Data'!$A$1:$A$20000,0),MATCH("Intent",'Semrush Data'!$A$1:$Z$1,0)),"")</f>
        <v/>
      </c>
    </row>
    <row r="2449" ht="15" customHeight="1" s="37">
      <c r="A2449" s="42" t="inlineStr">
        <is>
          <t>davidoff the game review</t>
        </is>
      </c>
      <c r="B2449" s="42" t="inlineStr">
        <is>
          <t>Google suggest</t>
        </is>
      </c>
      <c r="C2449" s="42" t="n">
        <v>3</v>
      </c>
      <c r="D2449" s="42" t="inlineStr">
        <is>
          <t>T3-1</t>
        </is>
      </c>
      <c r="E2449" s="42" t="n">
        <v>1</v>
      </c>
      <c r="F2449" s="42" t="inlineStr">
        <is>
          <t>FR-112</t>
        </is>
      </c>
      <c r="G2449" s="55">
        <f>IFERROR(INDEX('Semrush Data'!$A$1:$Z$20000,MATCH(A2449,'Semrush Data'!$A$1:$A$20000,0),MATCH("Volume",'Semrush Data'!$A$1:$Z$1,0)),"")</f>
        <v/>
      </c>
      <c r="H2449" s="42">
        <f>IFERROR(INDEX('Semrush Data'!$A$1:$Z$20000,MATCH(A2449,'Semrush Data'!$A$1:$A$20000,0),MATCH("Keyword Difficulty*",'Semrush Data'!$A$1:$Z$1,0)),"")</f>
        <v/>
      </c>
      <c r="I2449" s="56">
        <f>IFERROR(INDEX('Semrush Data'!$A$1:$Z$20000,MATCH(A2449,'Semrush Data'!$A$1:$A$20000,0),MATCH("CPC*",'Semrush Data'!$A$1:$Z$1,0)),"")</f>
        <v/>
      </c>
      <c r="J2449" s="42">
        <f>IFERROR(INDEX('Semrush Data'!$A$1:$Z$20000,MATCH(A2449,'Semrush Data'!$A$1:$A$20000,0),MATCH("Intent",'Semrush Data'!$A$1:$Z$1,0)),"")</f>
        <v/>
      </c>
    </row>
    <row r="2450" ht="15" customHeight="1" s="37">
      <c r="A2450" s="42" t="inlineStr">
        <is>
          <t>deyga 10 vitamin c face serum</t>
        </is>
      </c>
      <c r="B2450" s="42" t="inlineStr">
        <is>
          <t>Google suggest</t>
        </is>
      </c>
      <c r="C2450" s="42" t="n">
        <v>3</v>
      </c>
      <c r="D2450" s="42" t="inlineStr">
        <is>
          <t>T3-2</t>
        </is>
      </c>
      <c r="E2450" s="42" t="n">
        <v>1</v>
      </c>
      <c r="F2450" s="42" t="inlineStr">
        <is>
          <t>VD-134</t>
        </is>
      </c>
      <c r="G2450" s="55">
        <f>IFERROR(INDEX('Semrush Data'!$A$1:$Z$20000,MATCH(A2450,'Semrush Data'!$A$1:$A$20000,0),MATCH("Volume",'Semrush Data'!$A$1:$Z$1,0)),"")</f>
        <v/>
      </c>
      <c r="H2450" s="42">
        <f>IFERROR(INDEX('Semrush Data'!$A$1:$Z$20000,MATCH(A2450,'Semrush Data'!$A$1:$A$20000,0),MATCH("Keyword Difficulty*",'Semrush Data'!$A$1:$Z$1,0)),"")</f>
        <v/>
      </c>
      <c r="I2450" s="56">
        <f>IFERROR(INDEX('Semrush Data'!$A$1:$Z$20000,MATCH(A2450,'Semrush Data'!$A$1:$A$20000,0),MATCH("CPC*",'Semrush Data'!$A$1:$Z$1,0)),"")</f>
        <v/>
      </c>
      <c r="J2450" s="42">
        <f>IFERROR(INDEX('Semrush Data'!$A$1:$Z$20000,MATCH(A2450,'Semrush Data'!$A$1:$A$20000,0),MATCH("Intent",'Semrush Data'!$A$1:$Z$1,0)),"")</f>
        <v/>
      </c>
    </row>
    <row r="2451" ht="15" customHeight="1" s="37">
      <c r="A2451" s="42" t="inlineStr">
        <is>
          <t>deyga 100 plant based hair color black</t>
        </is>
      </c>
      <c r="B2451" s="42" t="inlineStr">
        <is>
          <t>Google suggest</t>
        </is>
      </c>
      <c r="C2451" s="42" t="n">
        <v>3</v>
      </c>
      <c r="D2451" s="42" t="inlineStr">
        <is>
          <t>T3-2</t>
        </is>
      </c>
      <c r="E2451" s="42" t="n">
        <v>1</v>
      </c>
      <c r="F2451" s="42" t="inlineStr">
        <is>
          <t>VD-125</t>
        </is>
      </c>
      <c r="G2451" s="55">
        <f>IFERROR(INDEX('Semrush Data'!$A$1:$Z$20000,MATCH(A2451,'Semrush Data'!$A$1:$A$20000,0),MATCH("Volume",'Semrush Data'!$A$1:$Z$1,0)),"")</f>
        <v/>
      </c>
      <c r="H2451" s="42">
        <f>IFERROR(INDEX('Semrush Data'!$A$1:$Z$20000,MATCH(A2451,'Semrush Data'!$A$1:$A$20000,0),MATCH("Keyword Difficulty*",'Semrush Data'!$A$1:$Z$1,0)),"")</f>
        <v/>
      </c>
      <c r="I2451" s="56">
        <f>IFERROR(INDEX('Semrush Data'!$A$1:$Z$20000,MATCH(A2451,'Semrush Data'!$A$1:$A$20000,0),MATCH("CPC*",'Semrush Data'!$A$1:$Z$1,0)),"")</f>
        <v/>
      </c>
      <c r="J2451" s="42">
        <f>IFERROR(INDEX('Semrush Data'!$A$1:$Z$20000,MATCH(A2451,'Semrush Data'!$A$1:$A$20000,0),MATCH("Intent",'Semrush Data'!$A$1:$Z$1,0)),"")</f>
        <v/>
      </c>
    </row>
    <row r="2452" ht="15" customHeight="1" s="37">
      <c r="A2452" s="42" t="inlineStr">
        <is>
          <t>deyga 100 pure aloe vera gel</t>
        </is>
      </c>
      <c r="B2452" s="42" t="inlineStr">
        <is>
          <t>Google suggest</t>
        </is>
      </c>
      <c r="C2452" s="42" t="n">
        <v>3</v>
      </c>
      <c r="D2452" s="42" t="n">
        <v>25</v>
      </c>
      <c r="E2452" s="42" t="n">
        <v>1</v>
      </c>
      <c r="F2452" s="42" t="inlineStr">
        <is>
          <t>VD-124</t>
        </is>
      </c>
      <c r="G2452" s="55">
        <f>IFERROR(INDEX('Semrush Data'!$A$1:$Z$20000,MATCH(A2452,'Semrush Data'!$A$1:$A$20000,0),MATCH("Volume",'Semrush Data'!$A$1:$Z$1,0)),"")</f>
        <v/>
      </c>
      <c r="H2452" s="42">
        <f>IFERROR(INDEX('Semrush Data'!$A$1:$Z$20000,MATCH(A2452,'Semrush Data'!$A$1:$A$20000,0),MATCH("Keyword Difficulty*",'Semrush Data'!$A$1:$Z$1,0)),"")</f>
        <v/>
      </c>
      <c r="I2452" s="56">
        <f>IFERROR(INDEX('Semrush Data'!$A$1:$Z$20000,MATCH(A2452,'Semrush Data'!$A$1:$A$20000,0),MATCH("CPC*",'Semrush Data'!$A$1:$Z$1,0)),"")</f>
        <v/>
      </c>
      <c r="J2452" s="42">
        <f>IFERROR(INDEX('Semrush Data'!$A$1:$Z$20000,MATCH(A2452,'Semrush Data'!$A$1:$A$20000,0),MATCH("Intent",'Semrush Data'!$A$1:$Z$1,0)),"")</f>
        <v/>
      </c>
    </row>
    <row r="2453" ht="15" customHeight="1" s="37">
      <c r="A2453" s="42" t="inlineStr">
        <is>
          <t>deyga aloe vera gel review</t>
        </is>
      </c>
      <c r="B2453" s="42" t="inlineStr">
        <is>
          <t>Google suggest</t>
        </is>
      </c>
      <c r="C2453" s="42" t="n">
        <v>3</v>
      </c>
      <c r="D2453" s="42" t="inlineStr">
        <is>
          <t>T3-2</t>
        </is>
      </c>
      <c r="E2453" s="42" t="n">
        <v>1</v>
      </c>
      <c r="F2453" s="42" t="inlineStr">
        <is>
          <t>VD-124</t>
        </is>
      </c>
      <c r="G2453" s="55">
        <f>IFERROR(INDEX('Semrush Data'!$A$1:$Z$20000,MATCH(A2453,'Semrush Data'!$A$1:$A$20000,0),MATCH("Volume",'Semrush Data'!$A$1:$Z$1,0)),"")</f>
        <v/>
      </c>
      <c r="H2453" s="42">
        <f>IFERROR(INDEX('Semrush Data'!$A$1:$Z$20000,MATCH(A2453,'Semrush Data'!$A$1:$A$20000,0),MATCH("Keyword Difficulty*",'Semrush Data'!$A$1:$Z$1,0)),"")</f>
        <v/>
      </c>
      <c r="I2453" s="56">
        <f>IFERROR(INDEX('Semrush Data'!$A$1:$Z$20000,MATCH(A2453,'Semrush Data'!$A$1:$A$20000,0),MATCH("CPC*",'Semrush Data'!$A$1:$Z$1,0)),"")</f>
        <v/>
      </c>
      <c r="J2453" s="42">
        <f>IFERROR(INDEX('Semrush Data'!$A$1:$Z$20000,MATCH(A2453,'Semrush Data'!$A$1:$A$20000,0),MATCH("Intent",'Semrush Data'!$A$1:$Z$1,0)),"")</f>
        <v/>
      </c>
    </row>
    <row r="2454" ht="15" customHeight="1" s="37">
      <c r="A2454" s="42" t="inlineStr">
        <is>
          <t>deyga anti dandruff oil</t>
        </is>
      </c>
      <c r="B2454" s="42" t="inlineStr">
        <is>
          <t>Google suggest</t>
        </is>
      </c>
      <c r="C2454" s="42" t="n">
        <v>3</v>
      </c>
      <c r="D2454" s="42" t="n">
        <v>25</v>
      </c>
      <c r="E2454" s="42" t="n">
        <v>1</v>
      </c>
      <c r="F2454" s="42" t="inlineStr">
        <is>
          <t>VD-090</t>
        </is>
      </c>
      <c r="G2454" s="55">
        <f>IFERROR(INDEX('Semrush Data'!$A$1:$Z$20000,MATCH(A2454,'Semrush Data'!$A$1:$A$20000,0),MATCH("Volume",'Semrush Data'!$A$1:$Z$1,0)),"")</f>
        <v/>
      </c>
      <c r="H2454" s="42">
        <f>IFERROR(INDEX('Semrush Data'!$A$1:$Z$20000,MATCH(A2454,'Semrush Data'!$A$1:$A$20000,0),MATCH("Keyword Difficulty*",'Semrush Data'!$A$1:$Z$1,0)),"")</f>
        <v/>
      </c>
      <c r="I2454" s="56">
        <f>IFERROR(INDEX('Semrush Data'!$A$1:$Z$20000,MATCH(A2454,'Semrush Data'!$A$1:$A$20000,0),MATCH("CPC*",'Semrush Data'!$A$1:$Z$1,0)),"")</f>
        <v/>
      </c>
      <c r="J2454" s="42">
        <f>IFERROR(INDEX('Semrush Data'!$A$1:$Z$20000,MATCH(A2454,'Semrush Data'!$A$1:$A$20000,0),MATCH("Intent",'Semrush Data'!$A$1:$Z$1,0)),"")</f>
        <v/>
      </c>
    </row>
    <row r="2455" ht="15" customHeight="1" s="37">
      <c r="A2455" s="42" t="inlineStr">
        <is>
          <t>deyga anti dandruff oil review</t>
        </is>
      </c>
      <c r="B2455" s="42" t="inlineStr">
        <is>
          <t>Google suggest</t>
        </is>
      </c>
      <c r="C2455" s="42" t="n">
        <v>3</v>
      </c>
      <c r="D2455" s="42" t="inlineStr">
        <is>
          <t>T3-2</t>
        </is>
      </c>
      <c r="E2455" s="42" t="n">
        <v>1</v>
      </c>
      <c r="F2455" s="42" t="inlineStr">
        <is>
          <t>VD-090</t>
        </is>
      </c>
      <c r="G2455" s="55">
        <f>IFERROR(INDEX('Semrush Data'!$A$1:$Z$20000,MATCH(A2455,'Semrush Data'!$A$1:$A$20000,0),MATCH("Volume",'Semrush Data'!$A$1:$Z$1,0)),"")</f>
        <v/>
      </c>
      <c r="H2455" s="42">
        <f>IFERROR(INDEX('Semrush Data'!$A$1:$Z$20000,MATCH(A2455,'Semrush Data'!$A$1:$A$20000,0),MATCH("Keyword Difficulty*",'Semrush Data'!$A$1:$Z$1,0)),"")</f>
        <v/>
      </c>
      <c r="I2455" s="56">
        <f>IFERROR(INDEX('Semrush Data'!$A$1:$Z$20000,MATCH(A2455,'Semrush Data'!$A$1:$A$20000,0),MATCH("CPC*",'Semrush Data'!$A$1:$Z$1,0)),"")</f>
        <v/>
      </c>
      <c r="J2455" s="42">
        <f>IFERROR(INDEX('Semrush Data'!$A$1:$Z$20000,MATCH(A2455,'Semrush Data'!$A$1:$A$20000,0),MATCH("Intent",'Semrush Data'!$A$1:$Z$1,0)),"")</f>
        <v/>
      </c>
    </row>
    <row r="2456" ht="15" customHeight="1" s="37">
      <c r="A2456" s="42" t="inlineStr">
        <is>
          <t>deyga anti dandruff shampoo review</t>
        </is>
      </c>
      <c r="B2456" s="42" t="inlineStr">
        <is>
          <t>Google suggest</t>
        </is>
      </c>
      <c r="C2456" s="42" t="n">
        <v>3</v>
      </c>
      <c r="D2456" s="42" t="inlineStr">
        <is>
          <t>T3-2</t>
        </is>
      </c>
      <c r="E2456" s="42" t="n">
        <v>1</v>
      </c>
      <c r="F2456" s="42" t="inlineStr">
        <is>
          <t>VD-130</t>
        </is>
      </c>
      <c r="G2456" s="55">
        <f>IFERROR(INDEX('Semrush Data'!$A$1:$Z$20000,MATCH(A2456,'Semrush Data'!$A$1:$A$20000,0),MATCH("Volume",'Semrush Data'!$A$1:$Z$1,0)),"")</f>
        <v/>
      </c>
      <c r="H2456" s="42">
        <f>IFERROR(INDEX('Semrush Data'!$A$1:$Z$20000,MATCH(A2456,'Semrush Data'!$A$1:$A$20000,0),MATCH("Keyword Difficulty*",'Semrush Data'!$A$1:$Z$1,0)),"")</f>
        <v/>
      </c>
      <c r="I2456" s="56">
        <f>IFERROR(INDEX('Semrush Data'!$A$1:$Z$20000,MATCH(A2456,'Semrush Data'!$A$1:$A$20000,0),MATCH("CPC*",'Semrush Data'!$A$1:$Z$1,0)),"")</f>
        <v/>
      </c>
      <c r="J2456" s="42">
        <f>IFERROR(INDEX('Semrush Data'!$A$1:$Z$20000,MATCH(A2456,'Semrush Data'!$A$1:$A$20000,0),MATCH("Intent",'Semrush Data'!$A$1:$Z$1,0)),"")</f>
        <v/>
      </c>
    </row>
    <row r="2457" ht="15" customHeight="1" s="37">
      <c r="A2457" s="42" t="inlineStr">
        <is>
          <t>deyga beautifying serum benefits</t>
        </is>
      </c>
      <c r="B2457" s="42" t="inlineStr">
        <is>
          <t>Google suggest</t>
        </is>
      </c>
      <c r="C2457" s="42" t="n">
        <v>3</v>
      </c>
      <c r="D2457" s="42" t="n">
        <v>25</v>
      </c>
      <c r="E2457" s="42" t="n">
        <v>1</v>
      </c>
      <c r="F2457" s="42" t="inlineStr">
        <is>
          <t>VD-120</t>
        </is>
      </c>
      <c r="G2457" s="55">
        <f>IFERROR(INDEX('Semrush Data'!$A$1:$Z$20000,MATCH(A2457,'Semrush Data'!$A$1:$A$20000,0),MATCH("Volume",'Semrush Data'!$A$1:$Z$1,0)),"")</f>
        <v/>
      </c>
      <c r="H2457" s="42">
        <f>IFERROR(INDEX('Semrush Data'!$A$1:$Z$20000,MATCH(A2457,'Semrush Data'!$A$1:$A$20000,0),MATCH("Keyword Difficulty*",'Semrush Data'!$A$1:$Z$1,0)),"")</f>
        <v/>
      </c>
      <c r="I2457" s="56">
        <f>IFERROR(INDEX('Semrush Data'!$A$1:$Z$20000,MATCH(A2457,'Semrush Data'!$A$1:$A$20000,0),MATCH("CPC*",'Semrush Data'!$A$1:$Z$1,0)),"")</f>
        <v/>
      </c>
      <c r="J2457" s="42">
        <f>IFERROR(INDEX('Semrush Data'!$A$1:$Z$20000,MATCH(A2457,'Semrush Data'!$A$1:$A$20000,0),MATCH("Intent",'Semrush Data'!$A$1:$Z$1,0)),"")</f>
        <v/>
      </c>
    </row>
    <row r="2458" ht="15" customHeight="1" s="37">
      <c r="A2458" s="42" t="inlineStr">
        <is>
          <t>deyga beautifying serum review</t>
        </is>
      </c>
      <c r="B2458" s="42" t="inlineStr">
        <is>
          <t>Google suggest</t>
        </is>
      </c>
      <c r="C2458" s="42" t="n">
        <v>3</v>
      </c>
      <c r="D2458" s="42" t="inlineStr">
        <is>
          <t>T3-2</t>
        </is>
      </c>
      <c r="E2458" s="42" t="n">
        <v>1</v>
      </c>
      <c r="F2458" s="42" t="inlineStr">
        <is>
          <t>VD-120</t>
        </is>
      </c>
      <c r="G2458" s="55">
        <f>IFERROR(INDEX('Semrush Data'!$A$1:$Z$20000,MATCH(A2458,'Semrush Data'!$A$1:$A$20000,0),MATCH("Volume",'Semrush Data'!$A$1:$Z$1,0)),"")</f>
        <v/>
      </c>
      <c r="H2458" s="42">
        <f>IFERROR(INDEX('Semrush Data'!$A$1:$Z$20000,MATCH(A2458,'Semrush Data'!$A$1:$A$20000,0),MATCH("Keyword Difficulty*",'Semrush Data'!$A$1:$Z$1,0)),"")</f>
        <v/>
      </c>
      <c r="I2458" s="56">
        <f>IFERROR(INDEX('Semrush Data'!$A$1:$Z$20000,MATCH(A2458,'Semrush Data'!$A$1:$A$20000,0),MATCH("CPC*",'Semrush Data'!$A$1:$Z$1,0)),"")</f>
        <v/>
      </c>
      <c r="J2458" s="42">
        <f>IFERROR(INDEX('Semrush Data'!$A$1:$Z$20000,MATCH(A2458,'Semrush Data'!$A$1:$A$20000,0),MATCH("Intent",'Semrush Data'!$A$1:$Z$1,0)),"")</f>
        <v/>
      </c>
    </row>
    <row r="2459" ht="15" customHeight="1" s="37">
      <c r="A2459" s="42" t="inlineStr">
        <is>
          <t>deyga beetroot lip balm review</t>
        </is>
      </c>
      <c r="B2459" s="42" t="inlineStr">
        <is>
          <t>Google suggest</t>
        </is>
      </c>
      <c r="C2459" s="42" t="n">
        <v>3</v>
      </c>
      <c r="D2459" s="42" t="inlineStr">
        <is>
          <t>T3-2</t>
        </is>
      </c>
      <c r="E2459" s="42" t="n">
        <v>2</v>
      </c>
      <c r="F2459" s="42" t="inlineStr">
        <is>
          <t>VD-117, VD-132</t>
        </is>
      </c>
      <c r="G2459" s="55">
        <f>IFERROR(INDEX('Semrush Data'!$A$1:$Z$20000,MATCH(A2459,'Semrush Data'!$A$1:$A$20000,0),MATCH("Volume",'Semrush Data'!$A$1:$Z$1,0)),"")</f>
        <v/>
      </c>
      <c r="H2459" s="42">
        <f>IFERROR(INDEX('Semrush Data'!$A$1:$Z$20000,MATCH(A2459,'Semrush Data'!$A$1:$A$20000,0),MATCH("Keyword Difficulty*",'Semrush Data'!$A$1:$Z$1,0)),"")</f>
        <v/>
      </c>
      <c r="I2459" s="56">
        <f>IFERROR(INDEX('Semrush Data'!$A$1:$Z$20000,MATCH(A2459,'Semrush Data'!$A$1:$A$20000,0),MATCH("CPC*",'Semrush Data'!$A$1:$Z$1,0)),"")</f>
        <v/>
      </c>
      <c r="J2459" s="42">
        <f>IFERROR(INDEX('Semrush Data'!$A$1:$Z$20000,MATCH(A2459,'Semrush Data'!$A$1:$A$20000,0),MATCH("Intent",'Semrush Data'!$A$1:$Z$1,0)),"")</f>
        <v/>
      </c>
    </row>
    <row r="2460" ht="15" customHeight="1" s="37">
      <c r="A2460" s="42" t="inlineStr">
        <is>
          <t>deyga beetroot lip balm stick review</t>
        </is>
      </c>
      <c r="B2460" s="42" t="inlineStr">
        <is>
          <t>Google suggest</t>
        </is>
      </c>
      <c r="C2460" s="42" t="n">
        <v>3</v>
      </c>
      <c r="D2460" s="42" t="inlineStr">
        <is>
          <t>T3-2</t>
        </is>
      </c>
      <c r="E2460" s="42" t="n">
        <v>1</v>
      </c>
      <c r="F2460" s="42" t="inlineStr">
        <is>
          <t>VD-117</t>
        </is>
      </c>
      <c r="G2460" s="55">
        <f>IFERROR(INDEX('Semrush Data'!$A$1:$Z$20000,MATCH(A2460,'Semrush Data'!$A$1:$A$20000,0),MATCH("Volume",'Semrush Data'!$A$1:$Z$1,0)),"")</f>
        <v/>
      </c>
      <c r="H2460" s="42">
        <f>IFERROR(INDEX('Semrush Data'!$A$1:$Z$20000,MATCH(A2460,'Semrush Data'!$A$1:$A$20000,0),MATCH("Keyword Difficulty*",'Semrush Data'!$A$1:$Z$1,0)),"")</f>
        <v/>
      </c>
      <c r="I2460" s="56">
        <f>IFERROR(INDEX('Semrush Data'!$A$1:$Z$20000,MATCH(A2460,'Semrush Data'!$A$1:$A$20000,0),MATCH("CPC*",'Semrush Data'!$A$1:$Z$1,0)),"")</f>
        <v/>
      </c>
      <c r="J2460" s="42">
        <f>IFERROR(INDEX('Semrush Data'!$A$1:$Z$20000,MATCH(A2460,'Semrush Data'!$A$1:$A$20000,0),MATCH("Intent",'Semrush Data'!$A$1:$Z$1,0)),"")</f>
        <v/>
      </c>
    </row>
    <row r="2461" ht="15" customHeight="1" s="37">
      <c r="A2461" s="42" t="inlineStr">
        <is>
          <t>deyga body wash ingredients</t>
        </is>
      </c>
      <c r="B2461" s="42" t="inlineStr">
        <is>
          <t>Google suggest</t>
        </is>
      </c>
      <c r="C2461" s="42" t="n">
        <v>3</v>
      </c>
      <c r="D2461" s="42" t="n">
        <v>25</v>
      </c>
      <c r="E2461" s="42" t="n">
        <v>1</v>
      </c>
      <c r="F2461" s="42" t="inlineStr">
        <is>
          <t>VD-085</t>
        </is>
      </c>
      <c r="G2461" s="55">
        <f>IFERROR(INDEX('Semrush Data'!$A$1:$Z$20000,MATCH(A2461,'Semrush Data'!$A$1:$A$20000,0),MATCH("Volume",'Semrush Data'!$A$1:$Z$1,0)),"")</f>
        <v/>
      </c>
      <c r="H2461" s="42">
        <f>IFERROR(INDEX('Semrush Data'!$A$1:$Z$20000,MATCH(A2461,'Semrush Data'!$A$1:$A$20000,0),MATCH("Keyword Difficulty*",'Semrush Data'!$A$1:$Z$1,0)),"")</f>
        <v/>
      </c>
      <c r="I2461" s="56">
        <f>IFERROR(INDEX('Semrush Data'!$A$1:$Z$20000,MATCH(A2461,'Semrush Data'!$A$1:$A$20000,0),MATCH("CPC*",'Semrush Data'!$A$1:$Z$1,0)),"")</f>
        <v/>
      </c>
      <c r="J2461" s="42">
        <f>IFERROR(INDEX('Semrush Data'!$A$1:$Z$20000,MATCH(A2461,'Semrush Data'!$A$1:$A$20000,0),MATCH("Intent",'Semrush Data'!$A$1:$Z$1,0)),"")</f>
        <v/>
      </c>
    </row>
    <row r="2462" ht="15" customHeight="1" s="37">
      <c r="A2462" s="42" t="inlineStr">
        <is>
          <t>deyga body wash review</t>
        </is>
      </c>
      <c r="B2462" s="42" t="inlineStr">
        <is>
          <t>Google suggest</t>
        </is>
      </c>
      <c r="C2462" s="42" t="n">
        <v>3</v>
      </c>
      <c r="D2462" s="42" t="inlineStr">
        <is>
          <t>T3-2</t>
        </is>
      </c>
      <c r="E2462" s="42" t="n">
        <v>1</v>
      </c>
      <c r="F2462" s="42" t="inlineStr">
        <is>
          <t>VD-085</t>
        </is>
      </c>
      <c r="G2462" s="55">
        <f>IFERROR(INDEX('Semrush Data'!$A$1:$Z$20000,MATCH(A2462,'Semrush Data'!$A$1:$A$20000,0),MATCH("Volume",'Semrush Data'!$A$1:$Z$1,0)),"")</f>
        <v/>
      </c>
      <c r="H2462" s="42">
        <f>IFERROR(INDEX('Semrush Data'!$A$1:$Z$20000,MATCH(A2462,'Semrush Data'!$A$1:$A$20000,0),MATCH("Keyword Difficulty*",'Semrush Data'!$A$1:$Z$1,0)),"")</f>
        <v/>
      </c>
      <c r="I2462" s="56">
        <f>IFERROR(INDEX('Semrush Data'!$A$1:$Z$20000,MATCH(A2462,'Semrush Data'!$A$1:$A$20000,0),MATCH("CPC*",'Semrush Data'!$A$1:$Z$1,0)),"")</f>
        <v/>
      </c>
      <c r="J2462" s="42">
        <f>IFERROR(INDEX('Semrush Data'!$A$1:$Z$20000,MATCH(A2462,'Semrush Data'!$A$1:$A$20000,0),MATCH("Intent",'Semrush Data'!$A$1:$Z$1,0)),"")</f>
        <v/>
      </c>
    </row>
    <row r="2463" ht="15" customHeight="1" s="37">
      <c r="A2463" s="42" t="inlineStr">
        <is>
          <t>deyga charcoal face wash amazon</t>
        </is>
      </c>
      <c r="B2463" s="42" t="inlineStr">
        <is>
          <t>Google suggest</t>
        </is>
      </c>
      <c r="C2463" s="42" t="n">
        <v>3</v>
      </c>
      <c r="D2463" s="42" t="n">
        <v>25</v>
      </c>
      <c r="E2463" s="42" t="n">
        <v>1</v>
      </c>
      <c r="F2463" s="42" t="inlineStr">
        <is>
          <t>VD-123</t>
        </is>
      </c>
      <c r="G2463" s="55">
        <f>IFERROR(INDEX('Semrush Data'!$A$1:$Z$20000,MATCH(A2463,'Semrush Data'!$A$1:$A$20000,0),MATCH("Volume",'Semrush Data'!$A$1:$Z$1,0)),"")</f>
        <v/>
      </c>
      <c r="H2463" s="42">
        <f>IFERROR(INDEX('Semrush Data'!$A$1:$Z$20000,MATCH(A2463,'Semrush Data'!$A$1:$A$20000,0),MATCH("Keyword Difficulty*",'Semrush Data'!$A$1:$Z$1,0)),"")</f>
        <v/>
      </c>
      <c r="I2463" s="56">
        <f>IFERROR(INDEX('Semrush Data'!$A$1:$Z$20000,MATCH(A2463,'Semrush Data'!$A$1:$A$20000,0),MATCH("CPC*",'Semrush Data'!$A$1:$Z$1,0)),"")</f>
        <v/>
      </c>
      <c r="J2463" s="42">
        <f>IFERROR(INDEX('Semrush Data'!$A$1:$Z$20000,MATCH(A2463,'Semrush Data'!$A$1:$A$20000,0),MATCH("Intent",'Semrush Data'!$A$1:$Z$1,0)),"")</f>
        <v/>
      </c>
    </row>
    <row r="2464" ht="15" customHeight="1" s="37">
      <c r="A2464" s="42" t="inlineStr">
        <is>
          <t>deyga charcoal face wash benefits</t>
        </is>
      </c>
      <c r="B2464" s="42" t="inlineStr">
        <is>
          <t>Google suggest</t>
        </is>
      </c>
      <c r="C2464" s="42" t="n">
        <v>3</v>
      </c>
      <c r="D2464" s="42" t="n">
        <v>25</v>
      </c>
      <c r="E2464" s="42" t="n">
        <v>1</v>
      </c>
      <c r="F2464" s="42" t="inlineStr">
        <is>
          <t>VD-123</t>
        </is>
      </c>
      <c r="G2464" s="55">
        <f>IFERROR(INDEX('Semrush Data'!$A$1:$Z$20000,MATCH(A2464,'Semrush Data'!$A$1:$A$20000,0),MATCH("Volume",'Semrush Data'!$A$1:$Z$1,0)),"")</f>
        <v/>
      </c>
      <c r="H2464" s="42">
        <f>IFERROR(INDEX('Semrush Data'!$A$1:$Z$20000,MATCH(A2464,'Semrush Data'!$A$1:$A$20000,0),MATCH("Keyword Difficulty*",'Semrush Data'!$A$1:$Z$1,0)),"")</f>
        <v/>
      </c>
      <c r="I2464" s="56">
        <f>IFERROR(INDEX('Semrush Data'!$A$1:$Z$20000,MATCH(A2464,'Semrush Data'!$A$1:$A$20000,0),MATCH("CPC*",'Semrush Data'!$A$1:$Z$1,0)),"")</f>
        <v/>
      </c>
      <c r="J2464" s="42">
        <f>IFERROR(INDEX('Semrush Data'!$A$1:$Z$20000,MATCH(A2464,'Semrush Data'!$A$1:$A$20000,0),MATCH("Intent",'Semrush Data'!$A$1:$Z$1,0)),"")</f>
        <v/>
      </c>
    </row>
    <row r="2465" ht="15" customHeight="1" s="37">
      <c r="A2465" s="42" t="inlineStr">
        <is>
          <t>deyga charcoal face wash for men</t>
        </is>
      </c>
      <c r="B2465" s="42" t="inlineStr">
        <is>
          <t>Google suggest</t>
        </is>
      </c>
      <c r="C2465" s="42" t="n">
        <v>3</v>
      </c>
      <c r="D2465" s="42" t="n">
        <v>25</v>
      </c>
      <c r="E2465" s="42" t="n">
        <v>1</v>
      </c>
      <c r="F2465" s="42" t="inlineStr">
        <is>
          <t>VD-123</t>
        </is>
      </c>
      <c r="G2465" s="55">
        <f>IFERROR(INDEX('Semrush Data'!$A$1:$Z$20000,MATCH(A2465,'Semrush Data'!$A$1:$A$20000,0),MATCH("Volume",'Semrush Data'!$A$1:$Z$1,0)),"")</f>
        <v/>
      </c>
      <c r="H2465" s="42">
        <f>IFERROR(INDEX('Semrush Data'!$A$1:$Z$20000,MATCH(A2465,'Semrush Data'!$A$1:$A$20000,0),MATCH("Keyword Difficulty*",'Semrush Data'!$A$1:$Z$1,0)),"")</f>
        <v/>
      </c>
      <c r="I2465" s="56">
        <f>IFERROR(INDEX('Semrush Data'!$A$1:$Z$20000,MATCH(A2465,'Semrush Data'!$A$1:$A$20000,0),MATCH("CPC*",'Semrush Data'!$A$1:$Z$1,0)),"")</f>
        <v/>
      </c>
      <c r="J2465" s="42">
        <f>IFERROR(INDEX('Semrush Data'!$A$1:$Z$20000,MATCH(A2465,'Semrush Data'!$A$1:$A$20000,0),MATCH("Intent",'Semrush Data'!$A$1:$Z$1,0)),"")</f>
        <v/>
      </c>
    </row>
    <row r="2466" ht="15" customHeight="1" s="37">
      <c r="A2466" s="42" t="inlineStr">
        <is>
          <t>deyga charcoal face wash ingredients</t>
        </is>
      </c>
      <c r="B2466" s="42" t="inlineStr">
        <is>
          <t>Google suggest</t>
        </is>
      </c>
      <c r="C2466" s="42" t="n">
        <v>3</v>
      </c>
      <c r="D2466" s="42" t="n">
        <v>25</v>
      </c>
      <c r="E2466" s="42" t="n">
        <v>1</v>
      </c>
      <c r="F2466" s="42" t="inlineStr">
        <is>
          <t>VD-123</t>
        </is>
      </c>
      <c r="G2466" s="55">
        <f>IFERROR(INDEX('Semrush Data'!$A$1:$Z$20000,MATCH(A2466,'Semrush Data'!$A$1:$A$20000,0),MATCH("Volume",'Semrush Data'!$A$1:$Z$1,0)),"")</f>
        <v/>
      </c>
      <c r="H2466" s="42">
        <f>IFERROR(INDEX('Semrush Data'!$A$1:$Z$20000,MATCH(A2466,'Semrush Data'!$A$1:$A$20000,0),MATCH("Keyword Difficulty*",'Semrush Data'!$A$1:$Z$1,0)),"")</f>
        <v/>
      </c>
      <c r="I2466" s="56">
        <f>IFERROR(INDEX('Semrush Data'!$A$1:$Z$20000,MATCH(A2466,'Semrush Data'!$A$1:$A$20000,0),MATCH("CPC*",'Semrush Data'!$A$1:$Z$1,0)),"")</f>
        <v/>
      </c>
      <c r="J2466" s="42">
        <f>IFERROR(INDEX('Semrush Data'!$A$1:$Z$20000,MATCH(A2466,'Semrush Data'!$A$1:$A$20000,0),MATCH("Intent",'Semrush Data'!$A$1:$Z$1,0)),"")</f>
        <v/>
      </c>
    </row>
    <row r="2467" ht="15" customHeight="1" s="37">
      <c r="A2467" s="42" t="inlineStr">
        <is>
          <t>deyga charcoal face wash review</t>
        </is>
      </c>
      <c r="B2467" s="42" t="inlineStr">
        <is>
          <t>Google suggest</t>
        </is>
      </c>
      <c r="C2467" s="42" t="n">
        <v>3</v>
      </c>
      <c r="D2467" s="42" t="inlineStr">
        <is>
          <t>T3-2</t>
        </is>
      </c>
      <c r="E2467" s="42" t="n">
        <v>1</v>
      </c>
      <c r="F2467" s="42" t="inlineStr">
        <is>
          <t>VD-123</t>
        </is>
      </c>
      <c r="G2467" s="55">
        <f>IFERROR(INDEX('Semrush Data'!$A$1:$Z$20000,MATCH(A2467,'Semrush Data'!$A$1:$A$20000,0),MATCH("Volume",'Semrush Data'!$A$1:$Z$1,0)),"")</f>
        <v/>
      </c>
      <c r="H2467" s="42">
        <f>IFERROR(INDEX('Semrush Data'!$A$1:$Z$20000,MATCH(A2467,'Semrush Data'!$A$1:$A$20000,0),MATCH("Keyword Difficulty*",'Semrush Data'!$A$1:$Z$1,0)),"")</f>
        <v/>
      </c>
      <c r="I2467" s="56">
        <f>IFERROR(INDEX('Semrush Data'!$A$1:$Z$20000,MATCH(A2467,'Semrush Data'!$A$1:$A$20000,0),MATCH("CPC*",'Semrush Data'!$A$1:$Z$1,0)),"")</f>
        <v/>
      </c>
      <c r="J2467" s="42">
        <f>IFERROR(INDEX('Semrush Data'!$A$1:$Z$20000,MATCH(A2467,'Semrush Data'!$A$1:$A$20000,0),MATCH("Intent",'Semrush Data'!$A$1:$Z$1,0)),"")</f>
        <v/>
      </c>
    </row>
    <row r="2468" ht="15" customHeight="1" s="37">
      <c r="A2468" s="42" t="inlineStr">
        <is>
          <t>deyga charcoal soap ingredients</t>
        </is>
      </c>
      <c r="B2468" s="42" t="inlineStr">
        <is>
          <t>Google suggest</t>
        </is>
      </c>
      <c r="C2468" s="42" t="n">
        <v>3</v>
      </c>
      <c r="D2468" s="42" t="n">
        <v>25</v>
      </c>
      <c r="E2468" s="42" t="n">
        <v>1</v>
      </c>
      <c r="F2468" s="42" t="inlineStr">
        <is>
          <t>VD-121</t>
        </is>
      </c>
      <c r="G2468" s="55">
        <f>IFERROR(INDEX('Semrush Data'!$A$1:$Z$20000,MATCH(A2468,'Semrush Data'!$A$1:$A$20000,0),MATCH("Volume",'Semrush Data'!$A$1:$Z$1,0)),"")</f>
        <v/>
      </c>
      <c r="H2468" s="42">
        <f>IFERROR(INDEX('Semrush Data'!$A$1:$Z$20000,MATCH(A2468,'Semrush Data'!$A$1:$A$20000,0),MATCH("Keyword Difficulty*",'Semrush Data'!$A$1:$Z$1,0)),"")</f>
        <v/>
      </c>
      <c r="I2468" s="56">
        <f>IFERROR(INDEX('Semrush Data'!$A$1:$Z$20000,MATCH(A2468,'Semrush Data'!$A$1:$A$20000,0),MATCH("CPC*",'Semrush Data'!$A$1:$Z$1,0)),"")</f>
        <v/>
      </c>
      <c r="J2468" s="42">
        <f>IFERROR(INDEX('Semrush Data'!$A$1:$Z$20000,MATCH(A2468,'Semrush Data'!$A$1:$A$20000,0),MATCH("Intent",'Semrush Data'!$A$1:$Z$1,0)),"")</f>
        <v/>
      </c>
    </row>
    <row r="2469" ht="15" customHeight="1" s="37">
      <c r="A2469" s="42" t="inlineStr">
        <is>
          <t>deyga charcoal soap price</t>
        </is>
      </c>
      <c r="B2469" s="42" t="inlineStr">
        <is>
          <t>Google suggest</t>
        </is>
      </c>
      <c r="C2469" s="42" t="n">
        <v>3</v>
      </c>
      <c r="D2469" s="42" t="n">
        <v>25</v>
      </c>
      <c r="E2469" s="42" t="n">
        <v>1</v>
      </c>
      <c r="F2469" s="42" t="inlineStr">
        <is>
          <t>VD-121</t>
        </is>
      </c>
      <c r="G2469" s="55">
        <f>IFERROR(INDEX('Semrush Data'!$A$1:$Z$20000,MATCH(A2469,'Semrush Data'!$A$1:$A$20000,0),MATCH("Volume",'Semrush Data'!$A$1:$Z$1,0)),"")</f>
        <v/>
      </c>
      <c r="H2469" s="42">
        <f>IFERROR(INDEX('Semrush Data'!$A$1:$Z$20000,MATCH(A2469,'Semrush Data'!$A$1:$A$20000,0),MATCH("Keyword Difficulty*",'Semrush Data'!$A$1:$Z$1,0)),"")</f>
        <v/>
      </c>
      <c r="I2469" s="56">
        <f>IFERROR(INDEX('Semrush Data'!$A$1:$Z$20000,MATCH(A2469,'Semrush Data'!$A$1:$A$20000,0),MATCH("CPC*",'Semrush Data'!$A$1:$Z$1,0)),"")</f>
        <v/>
      </c>
      <c r="J2469" s="42">
        <f>IFERROR(INDEX('Semrush Data'!$A$1:$Z$20000,MATCH(A2469,'Semrush Data'!$A$1:$A$20000,0),MATCH("Intent",'Semrush Data'!$A$1:$Z$1,0)),"")</f>
        <v/>
      </c>
    </row>
    <row r="2470" ht="15" customHeight="1" s="37">
      <c r="A2470" s="42" t="inlineStr">
        <is>
          <t>deyga charcoal soap review</t>
        </is>
      </c>
      <c r="B2470" s="42" t="inlineStr">
        <is>
          <t>Google suggest</t>
        </is>
      </c>
      <c r="C2470" s="42" t="n">
        <v>3</v>
      </c>
      <c r="D2470" s="42" t="n">
        <v>25</v>
      </c>
      <c r="E2470" s="42" t="n">
        <v>1</v>
      </c>
      <c r="F2470" s="42" t="inlineStr">
        <is>
          <t>VD-121</t>
        </is>
      </c>
      <c r="G2470" s="55">
        <f>IFERROR(INDEX('Semrush Data'!$A$1:$Z$20000,MATCH(A2470,'Semrush Data'!$A$1:$A$20000,0),MATCH("Volume",'Semrush Data'!$A$1:$Z$1,0)),"")</f>
        <v/>
      </c>
      <c r="H2470" s="42">
        <f>IFERROR(INDEX('Semrush Data'!$A$1:$Z$20000,MATCH(A2470,'Semrush Data'!$A$1:$A$20000,0),MATCH("Keyword Difficulty*",'Semrush Data'!$A$1:$Z$1,0)),"")</f>
        <v/>
      </c>
      <c r="I2470" s="56">
        <f>IFERROR(INDEX('Semrush Data'!$A$1:$Z$20000,MATCH(A2470,'Semrush Data'!$A$1:$A$20000,0),MATCH("CPC*",'Semrush Data'!$A$1:$Z$1,0)),"")</f>
        <v/>
      </c>
      <c r="J2470" s="42">
        <f>IFERROR(INDEX('Semrush Data'!$A$1:$Z$20000,MATCH(A2470,'Semrush Data'!$A$1:$A$20000,0),MATCH("Intent",'Semrush Data'!$A$1:$Z$1,0)),"")</f>
        <v/>
      </c>
    </row>
    <row r="2471" ht="15" customHeight="1" s="37">
      <c r="A2471" s="42" t="inlineStr">
        <is>
          <t>deyga eyebrow growth oil review</t>
        </is>
      </c>
      <c r="B2471" s="42" t="inlineStr">
        <is>
          <t>Google suggest</t>
        </is>
      </c>
      <c r="C2471" s="42" t="n">
        <v>3</v>
      </c>
      <c r="D2471" s="42" t="inlineStr">
        <is>
          <t>T3-2</t>
        </is>
      </c>
      <c r="E2471" s="42" t="n">
        <v>1</v>
      </c>
      <c r="F2471" s="42" t="inlineStr">
        <is>
          <t>VD-104</t>
        </is>
      </c>
      <c r="G2471" s="55">
        <f>IFERROR(INDEX('Semrush Data'!$A$1:$Z$20000,MATCH(A2471,'Semrush Data'!$A$1:$A$20000,0),MATCH("Volume",'Semrush Data'!$A$1:$Z$1,0)),"")</f>
        <v/>
      </c>
      <c r="H2471" s="42">
        <f>IFERROR(INDEX('Semrush Data'!$A$1:$Z$20000,MATCH(A2471,'Semrush Data'!$A$1:$A$20000,0),MATCH("Keyword Difficulty*",'Semrush Data'!$A$1:$Z$1,0)),"")</f>
        <v/>
      </c>
      <c r="I2471" s="56">
        <f>IFERROR(INDEX('Semrush Data'!$A$1:$Z$20000,MATCH(A2471,'Semrush Data'!$A$1:$A$20000,0),MATCH("CPC*",'Semrush Data'!$A$1:$Z$1,0)),"")</f>
        <v/>
      </c>
      <c r="J2471" s="42">
        <f>IFERROR(INDEX('Semrush Data'!$A$1:$Z$20000,MATCH(A2471,'Semrush Data'!$A$1:$A$20000,0),MATCH("Intent",'Semrush Data'!$A$1:$Z$1,0)),"")</f>
        <v/>
      </c>
    </row>
    <row r="2472" ht="15" customHeight="1" s="37">
      <c r="A2472" s="42" t="inlineStr">
        <is>
          <t>deyga foot butter cream</t>
        </is>
      </c>
      <c r="B2472" s="42" t="inlineStr">
        <is>
          <t>Google suggest</t>
        </is>
      </c>
      <c r="C2472" s="42" t="n">
        <v>3</v>
      </c>
      <c r="D2472" s="42" t="n">
        <v>25</v>
      </c>
      <c r="E2472" s="42" t="n">
        <v>1</v>
      </c>
      <c r="F2472" s="42" t="inlineStr">
        <is>
          <t>VD-128</t>
        </is>
      </c>
      <c r="G2472" s="55">
        <f>IFERROR(INDEX('Semrush Data'!$A$1:$Z$20000,MATCH(A2472,'Semrush Data'!$A$1:$A$20000,0),MATCH("Volume",'Semrush Data'!$A$1:$Z$1,0)),"")</f>
        <v/>
      </c>
      <c r="H2472" s="42">
        <f>IFERROR(INDEX('Semrush Data'!$A$1:$Z$20000,MATCH(A2472,'Semrush Data'!$A$1:$A$20000,0),MATCH("Keyword Difficulty*",'Semrush Data'!$A$1:$Z$1,0)),"")</f>
        <v/>
      </c>
      <c r="I2472" s="56">
        <f>IFERROR(INDEX('Semrush Data'!$A$1:$Z$20000,MATCH(A2472,'Semrush Data'!$A$1:$A$20000,0),MATCH("CPC*",'Semrush Data'!$A$1:$Z$1,0)),"")</f>
        <v/>
      </c>
      <c r="J2472" s="42">
        <f>IFERROR(INDEX('Semrush Data'!$A$1:$Z$20000,MATCH(A2472,'Semrush Data'!$A$1:$A$20000,0),MATCH("Intent",'Semrush Data'!$A$1:$Z$1,0)),"")</f>
        <v/>
      </c>
    </row>
    <row r="2473" ht="15" customHeight="1" s="37">
      <c r="A2473" s="42" t="inlineStr">
        <is>
          <t>deyga foot butter ingredients</t>
        </is>
      </c>
      <c r="B2473" s="42" t="inlineStr">
        <is>
          <t>Google suggest</t>
        </is>
      </c>
      <c r="C2473" s="42" t="n">
        <v>3</v>
      </c>
      <c r="D2473" s="42" t="n">
        <v>25</v>
      </c>
      <c r="E2473" s="42" t="n">
        <v>1</v>
      </c>
      <c r="F2473" s="42" t="inlineStr">
        <is>
          <t>VD-128</t>
        </is>
      </c>
      <c r="G2473" s="55">
        <f>IFERROR(INDEX('Semrush Data'!$A$1:$Z$20000,MATCH(A2473,'Semrush Data'!$A$1:$A$20000,0),MATCH("Volume",'Semrush Data'!$A$1:$Z$1,0)),"")</f>
        <v/>
      </c>
      <c r="H2473" s="42">
        <f>IFERROR(INDEX('Semrush Data'!$A$1:$Z$20000,MATCH(A2473,'Semrush Data'!$A$1:$A$20000,0),MATCH("Keyword Difficulty*",'Semrush Data'!$A$1:$Z$1,0)),"")</f>
        <v/>
      </c>
      <c r="I2473" s="56">
        <f>IFERROR(INDEX('Semrush Data'!$A$1:$Z$20000,MATCH(A2473,'Semrush Data'!$A$1:$A$20000,0),MATCH("CPC*",'Semrush Data'!$A$1:$Z$1,0)),"")</f>
        <v/>
      </c>
      <c r="J2473" s="42">
        <f>IFERROR(INDEX('Semrush Data'!$A$1:$Z$20000,MATCH(A2473,'Semrush Data'!$A$1:$A$20000,0),MATCH("Intent",'Semrush Data'!$A$1:$Z$1,0)),"")</f>
        <v/>
      </c>
    </row>
    <row r="2474" ht="15" customHeight="1" s="37">
      <c r="A2474" s="42" t="inlineStr">
        <is>
          <t>deyga foot butter review</t>
        </is>
      </c>
      <c r="B2474" s="42" t="inlineStr">
        <is>
          <t>Google suggest</t>
        </is>
      </c>
      <c r="C2474" s="42" t="n">
        <v>3</v>
      </c>
      <c r="D2474" s="42" t="inlineStr">
        <is>
          <t>T3-2</t>
        </is>
      </c>
      <c r="E2474" s="42" t="n">
        <v>1</v>
      </c>
      <c r="F2474" s="42" t="inlineStr">
        <is>
          <t>VD-128</t>
        </is>
      </c>
      <c r="G2474" s="55">
        <f>IFERROR(INDEX('Semrush Data'!$A$1:$Z$20000,MATCH(A2474,'Semrush Data'!$A$1:$A$20000,0),MATCH("Volume",'Semrush Data'!$A$1:$Z$1,0)),"")</f>
        <v/>
      </c>
      <c r="H2474" s="42">
        <f>IFERROR(INDEX('Semrush Data'!$A$1:$Z$20000,MATCH(A2474,'Semrush Data'!$A$1:$A$20000,0),MATCH("Keyword Difficulty*",'Semrush Data'!$A$1:$Z$1,0)),"")</f>
        <v/>
      </c>
      <c r="I2474" s="56">
        <f>IFERROR(INDEX('Semrush Data'!$A$1:$Z$20000,MATCH(A2474,'Semrush Data'!$A$1:$A$20000,0),MATCH("CPC*",'Semrush Data'!$A$1:$Z$1,0)),"")</f>
        <v/>
      </c>
      <c r="J2474" s="42">
        <f>IFERROR(INDEX('Semrush Data'!$A$1:$Z$20000,MATCH(A2474,'Semrush Data'!$A$1:$A$20000,0),MATCH("Intent",'Semrush Data'!$A$1:$Z$1,0)),"")</f>
        <v/>
      </c>
    </row>
    <row r="2475" ht="15" customHeight="1" s="37">
      <c r="A2475" s="42" t="inlineStr">
        <is>
          <t>deyga foot cream</t>
        </is>
      </c>
      <c r="B2475" s="42" t="inlineStr">
        <is>
          <t>Google suggest</t>
        </is>
      </c>
      <c r="C2475" s="42" t="n">
        <v>3</v>
      </c>
      <c r="D2475" s="42" t="n">
        <v>25</v>
      </c>
      <c r="E2475" s="42" t="n">
        <v>1</v>
      </c>
      <c r="F2475" s="42" t="inlineStr">
        <is>
          <t>VD-128</t>
        </is>
      </c>
      <c r="G2475" s="55">
        <f>IFERROR(INDEX('Semrush Data'!$A$1:$Z$20000,MATCH(A2475,'Semrush Data'!$A$1:$A$20000,0),MATCH("Volume",'Semrush Data'!$A$1:$Z$1,0)),"")</f>
        <v/>
      </c>
      <c r="H2475" s="42">
        <f>IFERROR(INDEX('Semrush Data'!$A$1:$Z$20000,MATCH(A2475,'Semrush Data'!$A$1:$A$20000,0),MATCH("Keyword Difficulty*",'Semrush Data'!$A$1:$Z$1,0)),"")</f>
        <v/>
      </c>
      <c r="I2475" s="56">
        <f>IFERROR(INDEX('Semrush Data'!$A$1:$Z$20000,MATCH(A2475,'Semrush Data'!$A$1:$A$20000,0),MATCH("CPC*",'Semrush Data'!$A$1:$Z$1,0)),"")</f>
        <v/>
      </c>
      <c r="J2475" s="42">
        <f>IFERROR(INDEX('Semrush Data'!$A$1:$Z$20000,MATCH(A2475,'Semrush Data'!$A$1:$A$20000,0),MATCH("Intent",'Semrush Data'!$A$1:$Z$1,0)),"")</f>
        <v/>
      </c>
    </row>
    <row r="2476" ht="15" customHeight="1" s="37">
      <c r="A2476" s="42" t="inlineStr">
        <is>
          <t>deyga foot cream ingredients</t>
        </is>
      </c>
      <c r="B2476" s="42" t="inlineStr">
        <is>
          <t>Google suggest</t>
        </is>
      </c>
      <c r="C2476" s="42" t="n">
        <v>3</v>
      </c>
      <c r="D2476" s="42" t="n">
        <v>25</v>
      </c>
      <c r="E2476" s="42" t="n">
        <v>1</v>
      </c>
      <c r="F2476" s="42" t="inlineStr">
        <is>
          <t>VD-128</t>
        </is>
      </c>
      <c r="G2476" s="55">
        <f>IFERROR(INDEX('Semrush Data'!$A$1:$Z$20000,MATCH(A2476,'Semrush Data'!$A$1:$A$20000,0),MATCH("Volume",'Semrush Data'!$A$1:$Z$1,0)),"")</f>
        <v/>
      </c>
      <c r="H2476" s="42">
        <f>IFERROR(INDEX('Semrush Data'!$A$1:$Z$20000,MATCH(A2476,'Semrush Data'!$A$1:$A$20000,0),MATCH("Keyword Difficulty*",'Semrush Data'!$A$1:$Z$1,0)),"")</f>
        <v/>
      </c>
      <c r="I2476" s="56">
        <f>IFERROR(INDEX('Semrush Data'!$A$1:$Z$20000,MATCH(A2476,'Semrush Data'!$A$1:$A$20000,0),MATCH("CPC*",'Semrush Data'!$A$1:$Z$1,0)),"")</f>
        <v/>
      </c>
      <c r="J2476" s="42">
        <f>IFERROR(INDEX('Semrush Data'!$A$1:$Z$20000,MATCH(A2476,'Semrush Data'!$A$1:$A$20000,0),MATCH("Intent",'Semrush Data'!$A$1:$Z$1,0)),"")</f>
        <v/>
      </c>
    </row>
    <row r="2477" ht="15" customHeight="1" s="37">
      <c r="A2477" s="42" t="inlineStr">
        <is>
          <t>deyga foot cream review</t>
        </is>
      </c>
      <c r="B2477" s="42" t="inlineStr">
        <is>
          <t>Google suggest</t>
        </is>
      </c>
      <c r="C2477" s="42" t="n">
        <v>3</v>
      </c>
      <c r="D2477" s="42" t="n">
        <v>25</v>
      </c>
      <c r="E2477" s="42" t="n">
        <v>1</v>
      </c>
      <c r="F2477" s="42" t="inlineStr">
        <is>
          <t>VD-128</t>
        </is>
      </c>
      <c r="G2477" s="55">
        <f>IFERROR(INDEX('Semrush Data'!$A$1:$Z$20000,MATCH(A2477,'Semrush Data'!$A$1:$A$20000,0),MATCH("Volume",'Semrush Data'!$A$1:$Z$1,0)),"")</f>
        <v/>
      </c>
      <c r="H2477" s="42">
        <f>IFERROR(INDEX('Semrush Data'!$A$1:$Z$20000,MATCH(A2477,'Semrush Data'!$A$1:$A$20000,0),MATCH("Keyword Difficulty*",'Semrush Data'!$A$1:$Z$1,0)),"")</f>
        <v/>
      </c>
      <c r="I2477" s="56">
        <f>IFERROR(INDEX('Semrush Data'!$A$1:$Z$20000,MATCH(A2477,'Semrush Data'!$A$1:$A$20000,0),MATCH("CPC*",'Semrush Data'!$A$1:$Z$1,0)),"")</f>
        <v/>
      </c>
      <c r="J2477" s="42">
        <f>IFERROR(INDEX('Semrush Data'!$A$1:$Z$20000,MATCH(A2477,'Semrush Data'!$A$1:$A$20000,0),MATCH("Intent",'Semrush Data'!$A$1:$Z$1,0)),"")</f>
        <v/>
      </c>
    </row>
    <row r="2478" ht="15" customHeight="1" s="37">
      <c r="A2478" s="42" t="inlineStr">
        <is>
          <t>deyga foot scrub how to use</t>
        </is>
      </c>
      <c r="B2478" s="42" t="inlineStr">
        <is>
          <t>Google suggest</t>
        </is>
      </c>
      <c r="C2478" s="42" t="n">
        <v>3</v>
      </c>
      <c r="D2478" s="42" t="inlineStr">
        <is>
          <t>T3-2</t>
        </is>
      </c>
      <c r="E2478" s="42" t="n">
        <v>1</v>
      </c>
      <c r="F2478" s="42" t="inlineStr">
        <is>
          <t>VD-103</t>
        </is>
      </c>
      <c r="G2478" s="55">
        <f>IFERROR(INDEX('Semrush Data'!$A$1:$Z$20000,MATCH(A2478,'Semrush Data'!$A$1:$A$20000,0),MATCH("Volume",'Semrush Data'!$A$1:$Z$1,0)),"")</f>
        <v/>
      </c>
      <c r="H2478" s="42">
        <f>IFERROR(INDEX('Semrush Data'!$A$1:$Z$20000,MATCH(A2478,'Semrush Data'!$A$1:$A$20000,0),MATCH("Keyword Difficulty*",'Semrush Data'!$A$1:$Z$1,0)),"")</f>
        <v/>
      </c>
      <c r="I2478" s="56">
        <f>IFERROR(INDEX('Semrush Data'!$A$1:$Z$20000,MATCH(A2478,'Semrush Data'!$A$1:$A$20000,0),MATCH("CPC*",'Semrush Data'!$A$1:$Z$1,0)),"")</f>
        <v/>
      </c>
      <c r="J2478" s="42">
        <f>IFERROR(INDEX('Semrush Data'!$A$1:$Z$20000,MATCH(A2478,'Semrush Data'!$A$1:$A$20000,0),MATCH("Intent",'Semrush Data'!$A$1:$Z$1,0)),"")</f>
        <v/>
      </c>
    </row>
    <row r="2479" ht="15" customHeight="1" s="37">
      <c r="A2479" s="42" t="inlineStr">
        <is>
          <t>deyga hair care kit review</t>
        </is>
      </c>
      <c r="B2479" s="42" t="inlineStr">
        <is>
          <t>Google suggest</t>
        </is>
      </c>
      <c r="C2479" s="42" t="n">
        <v>3</v>
      </c>
      <c r="D2479" s="42" t="inlineStr">
        <is>
          <t>T3-2</t>
        </is>
      </c>
      <c r="E2479" s="42" t="n">
        <v>1</v>
      </c>
      <c r="F2479" s="42" t="inlineStr">
        <is>
          <t>VD-151</t>
        </is>
      </c>
      <c r="G2479" s="55">
        <f>IFERROR(INDEX('Semrush Data'!$A$1:$Z$20000,MATCH(A2479,'Semrush Data'!$A$1:$A$20000,0),MATCH("Volume",'Semrush Data'!$A$1:$Z$1,0)),"")</f>
        <v/>
      </c>
      <c r="H2479" s="42">
        <f>IFERROR(INDEX('Semrush Data'!$A$1:$Z$20000,MATCH(A2479,'Semrush Data'!$A$1:$A$20000,0),MATCH("Keyword Difficulty*",'Semrush Data'!$A$1:$Z$1,0)),"")</f>
        <v/>
      </c>
      <c r="I2479" s="56">
        <f>IFERROR(INDEX('Semrush Data'!$A$1:$Z$20000,MATCH(A2479,'Semrush Data'!$A$1:$A$20000,0),MATCH("CPC*",'Semrush Data'!$A$1:$Z$1,0)),"")</f>
        <v/>
      </c>
      <c r="J2479" s="42">
        <f>IFERROR(INDEX('Semrush Data'!$A$1:$Z$20000,MATCH(A2479,'Semrush Data'!$A$1:$A$20000,0),MATCH("Intent",'Semrush Data'!$A$1:$Z$1,0)),"")</f>
        <v/>
      </c>
    </row>
    <row r="2480" ht="15" customHeight="1" s="37">
      <c r="A2480" s="42" t="inlineStr">
        <is>
          <t>deyga hair growth oil benefits</t>
        </is>
      </c>
      <c r="B2480" s="42" t="inlineStr">
        <is>
          <t>Google suggest</t>
        </is>
      </c>
      <c r="C2480" s="42" t="n">
        <v>3</v>
      </c>
      <c r="D2480" s="42" t="n">
        <v>25</v>
      </c>
      <c r="E2480" s="42" t="n">
        <v>1</v>
      </c>
      <c r="F2480" s="42" t="inlineStr">
        <is>
          <t>VD-122</t>
        </is>
      </c>
      <c r="G2480" s="55">
        <f>IFERROR(INDEX('Semrush Data'!$A$1:$Z$20000,MATCH(A2480,'Semrush Data'!$A$1:$A$20000,0),MATCH("Volume",'Semrush Data'!$A$1:$Z$1,0)),"")</f>
        <v/>
      </c>
      <c r="H2480" s="42">
        <f>IFERROR(INDEX('Semrush Data'!$A$1:$Z$20000,MATCH(A2480,'Semrush Data'!$A$1:$A$20000,0),MATCH("Keyword Difficulty*",'Semrush Data'!$A$1:$Z$1,0)),"")</f>
        <v/>
      </c>
      <c r="I2480" s="56">
        <f>IFERROR(INDEX('Semrush Data'!$A$1:$Z$20000,MATCH(A2480,'Semrush Data'!$A$1:$A$20000,0),MATCH("CPC*",'Semrush Data'!$A$1:$Z$1,0)),"")</f>
        <v/>
      </c>
      <c r="J2480" s="42">
        <f>IFERROR(INDEX('Semrush Data'!$A$1:$Z$20000,MATCH(A2480,'Semrush Data'!$A$1:$A$20000,0),MATCH("Intent",'Semrush Data'!$A$1:$Z$1,0)),"")</f>
        <v/>
      </c>
    </row>
    <row r="2481" ht="15" customHeight="1" s="37">
      <c r="A2481" s="42" t="inlineStr">
        <is>
          <t>deyga hair growth oil how to use</t>
        </is>
      </c>
      <c r="B2481" s="42" t="inlineStr">
        <is>
          <t>Google suggest</t>
        </is>
      </c>
      <c r="C2481" s="42" t="n">
        <v>3</v>
      </c>
      <c r="D2481" s="42" t="n">
        <v>25</v>
      </c>
      <c r="E2481" s="42" t="n">
        <v>1</v>
      </c>
      <c r="F2481" s="42" t="inlineStr">
        <is>
          <t>VD-122</t>
        </is>
      </c>
      <c r="G2481" s="55">
        <f>IFERROR(INDEX('Semrush Data'!$A$1:$Z$20000,MATCH(A2481,'Semrush Data'!$A$1:$A$20000,0),MATCH("Volume",'Semrush Data'!$A$1:$Z$1,0)),"")</f>
        <v/>
      </c>
      <c r="H2481" s="42">
        <f>IFERROR(INDEX('Semrush Data'!$A$1:$Z$20000,MATCH(A2481,'Semrush Data'!$A$1:$A$20000,0),MATCH("Keyword Difficulty*",'Semrush Data'!$A$1:$Z$1,0)),"")</f>
        <v/>
      </c>
      <c r="I2481" s="56">
        <f>IFERROR(INDEX('Semrush Data'!$A$1:$Z$20000,MATCH(A2481,'Semrush Data'!$A$1:$A$20000,0),MATCH("CPC*",'Semrush Data'!$A$1:$Z$1,0)),"")</f>
        <v/>
      </c>
      <c r="J2481" s="42">
        <f>IFERROR(INDEX('Semrush Data'!$A$1:$Z$20000,MATCH(A2481,'Semrush Data'!$A$1:$A$20000,0),MATCH("Intent",'Semrush Data'!$A$1:$Z$1,0)),"")</f>
        <v/>
      </c>
    </row>
    <row r="2482" ht="15" customHeight="1" s="37">
      <c r="A2482" s="42" t="inlineStr">
        <is>
          <t>deyga hair growth oil ingredients</t>
        </is>
      </c>
      <c r="B2482" s="42" t="inlineStr">
        <is>
          <t>Google suggest</t>
        </is>
      </c>
      <c r="C2482" s="42" t="n">
        <v>3</v>
      </c>
      <c r="D2482" s="42" t="n">
        <v>25</v>
      </c>
      <c r="E2482" s="42" t="n">
        <v>1</v>
      </c>
      <c r="F2482" s="42" t="inlineStr">
        <is>
          <t>VD-122</t>
        </is>
      </c>
      <c r="G2482" s="55">
        <f>IFERROR(INDEX('Semrush Data'!$A$1:$Z$20000,MATCH(A2482,'Semrush Data'!$A$1:$A$20000,0),MATCH("Volume",'Semrush Data'!$A$1:$Z$1,0)),"")</f>
        <v/>
      </c>
      <c r="H2482" s="42">
        <f>IFERROR(INDEX('Semrush Data'!$A$1:$Z$20000,MATCH(A2482,'Semrush Data'!$A$1:$A$20000,0),MATCH("Keyword Difficulty*",'Semrush Data'!$A$1:$Z$1,0)),"")</f>
        <v/>
      </c>
      <c r="I2482" s="56">
        <f>IFERROR(INDEX('Semrush Data'!$A$1:$Z$20000,MATCH(A2482,'Semrush Data'!$A$1:$A$20000,0),MATCH("CPC*",'Semrush Data'!$A$1:$Z$1,0)),"")</f>
        <v/>
      </c>
      <c r="J2482" s="42">
        <f>IFERROR(INDEX('Semrush Data'!$A$1:$Z$20000,MATCH(A2482,'Semrush Data'!$A$1:$A$20000,0),MATCH("Intent",'Semrush Data'!$A$1:$Z$1,0)),"")</f>
        <v/>
      </c>
    </row>
    <row r="2483" ht="15" customHeight="1" s="37">
      <c r="A2483" s="42" t="inlineStr">
        <is>
          <t>deyga hair growth oil review</t>
        </is>
      </c>
      <c r="B2483" s="42" t="inlineStr">
        <is>
          <t>Google suggest</t>
        </is>
      </c>
      <c r="C2483" s="42" t="n">
        <v>3</v>
      </c>
      <c r="D2483" s="42" t="inlineStr">
        <is>
          <t>T3-2</t>
        </is>
      </c>
      <c r="E2483" s="42" t="n">
        <v>1</v>
      </c>
      <c r="F2483" s="42" t="inlineStr">
        <is>
          <t>VD-122</t>
        </is>
      </c>
      <c r="G2483" s="55">
        <f>IFERROR(INDEX('Semrush Data'!$A$1:$Z$20000,MATCH(A2483,'Semrush Data'!$A$1:$A$20000,0),MATCH("Volume",'Semrush Data'!$A$1:$Z$1,0)),"")</f>
        <v/>
      </c>
      <c r="H2483" s="42">
        <f>IFERROR(INDEX('Semrush Data'!$A$1:$Z$20000,MATCH(A2483,'Semrush Data'!$A$1:$A$20000,0),MATCH("Keyword Difficulty*",'Semrush Data'!$A$1:$Z$1,0)),"")</f>
        <v/>
      </c>
      <c r="I2483" s="56">
        <f>IFERROR(INDEX('Semrush Data'!$A$1:$Z$20000,MATCH(A2483,'Semrush Data'!$A$1:$A$20000,0),MATCH("CPC*",'Semrush Data'!$A$1:$Z$1,0)),"")</f>
        <v/>
      </c>
      <c r="J2483" s="42">
        <f>IFERROR(INDEX('Semrush Data'!$A$1:$Z$20000,MATCH(A2483,'Semrush Data'!$A$1:$A$20000,0),MATCH("Intent",'Semrush Data'!$A$1:$Z$1,0)),"")</f>
        <v/>
      </c>
    </row>
    <row r="2484" ht="15" customHeight="1" s="37">
      <c r="A2484" s="42" t="inlineStr">
        <is>
          <t>deyga hair removal powder amazon</t>
        </is>
      </c>
      <c r="B2484" s="42" t="inlineStr">
        <is>
          <t>Google suggest</t>
        </is>
      </c>
      <c r="C2484" s="42" t="n">
        <v>3</v>
      </c>
      <c r="D2484" s="42" t="n">
        <v>25</v>
      </c>
      <c r="E2484" s="42" t="n">
        <v>1</v>
      </c>
      <c r="F2484" s="42" t="inlineStr">
        <is>
          <t>VD-112</t>
        </is>
      </c>
      <c r="G2484" s="55">
        <f>IFERROR(INDEX('Semrush Data'!$A$1:$Z$20000,MATCH(A2484,'Semrush Data'!$A$1:$A$20000,0),MATCH("Volume",'Semrush Data'!$A$1:$Z$1,0)),"")</f>
        <v/>
      </c>
      <c r="H2484" s="42">
        <f>IFERROR(INDEX('Semrush Data'!$A$1:$Z$20000,MATCH(A2484,'Semrush Data'!$A$1:$A$20000,0),MATCH("Keyword Difficulty*",'Semrush Data'!$A$1:$Z$1,0)),"")</f>
        <v/>
      </c>
      <c r="I2484" s="56">
        <f>IFERROR(INDEX('Semrush Data'!$A$1:$Z$20000,MATCH(A2484,'Semrush Data'!$A$1:$A$20000,0),MATCH("CPC*",'Semrush Data'!$A$1:$Z$1,0)),"")</f>
        <v/>
      </c>
      <c r="J2484" s="42">
        <f>IFERROR(INDEX('Semrush Data'!$A$1:$Z$20000,MATCH(A2484,'Semrush Data'!$A$1:$A$20000,0),MATCH("Intent",'Semrush Data'!$A$1:$Z$1,0)),"")</f>
        <v/>
      </c>
    </row>
    <row r="2485" ht="15" customHeight="1" s="37">
      <c r="A2485" s="42" t="inlineStr">
        <is>
          <t>deyga hair removal powder how to use</t>
        </is>
      </c>
      <c r="B2485" s="42" t="inlineStr">
        <is>
          <t>Google suggest</t>
        </is>
      </c>
      <c r="C2485" s="42" t="n">
        <v>3</v>
      </c>
      <c r="D2485" s="42" t="n">
        <v>25</v>
      </c>
      <c r="E2485" s="42" t="n">
        <v>1</v>
      </c>
      <c r="F2485" s="42" t="inlineStr">
        <is>
          <t>VD-112</t>
        </is>
      </c>
      <c r="G2485" s="55">
        <f>IFERROR(INDEX('Semrush Data'!$A$1:$Z$20000,MATCH(A2485,'Semrush Data'!$A$1:$A$20000,0),MATCH("Volume",'Semrush Data'!$A$1:$Z$1,0)),"")</f>
        <v/>
      </c>
      <c r="H2485" s="42">
        <f>IFERROR(INDEX('Semrush Data'!$A$1:$Z$20000,MATCH(A2485,'Semrush Data'!$A$1:$A$20000,0),MATCH("Keyword Difficulty*",'Semrush Data'!$A$1:$Z$1,0)),"")</f>
        <v/>
      </c>
      <c r="I2485" s="56">
        <f>IFERROR(INDEX('Semrush Data'!$A$1:$Z$20000,MATCH(A2485,'Semrush Data'!$A$1:$A$20000,0),MATCH("CPC*",'Semrush Data'!$A$1:$Z$1,0)),"")</f>
        <v/>
      </c>
      <c r="J2485" s="42">
        <f>IFERROR(INDEX('Semrush Data'!$A$1:$Z$20000,MATCH(A2485,'Semrush Data'!$A$1:$A$20000,0),MATCH("Intent",'Semrush Data'!$A$1:$Z$1,0)),"")</f>
        <v/>
      </c>
    </row>
    <row r="2486" ht="15" customHeight="1" s="37">
      <c r="A2486" s="42" t="inlineStr">
        <is>
          <t>deyga hair removal powder ingredients</t>
        </is>
      </c>
      <c r="B2486" s="42" t="inlineStr">
        <is>
          <t>Google suggest</t>
        </is>
      </c>
      <c r="C2486" s="42" t="n">
        <v>3</v>
      </c>
      <c r="D2486" s="42" t="n">
        <v>25</v>
      </c>
      <c r="E2486" s="42" t="n">
        <v>1</v>
      </c>
      <c r="F2486" s="42" t="inlineStr">
        <is>
          <t>VD-112</t>
        </is>
      </c>
      <c r="G2486" s="55">
        <f>IFERROR(INDEX('Semrush Data'!$A$1:$Z$20000,MATCH(A2486,'Semrush Data'!$A$1:$A$20000,0),MATCH("Volume",'Semrush Data'!$A$1:$Z$1,0)),"")</f>
        <v/>
      </c>
      <c r="H2486" s="42">
        <f>IFERROR(INDEX('Semrush Data'!$A$1:$Z$20000,MATCH(A2486,'Semrush Data'!$A$1:$A$20000,0),MATCH("Keyword Difficulty*",'Semrush Data'!$A$1:$Z$1,0)),"")</f>
        <v/>
      </c>
      <c r="I2486" s="56">
        <f>IFERROR(INDEX('Semrush Data'!$A$1:$Z$20000,MATCH(A2486,'Semrush Data'!$A$1:$A$20000,0),MATCH("CPC*",'Semrush Data'!$A$1:$Z$1,0)),"")</f>
        <v/>
      </c>
      <c r="J2486" s="42">
        <f>IFERROR(INDEX('Semrush Data'!$A$1:$Z$20000,MATCH(A2486,'Semrush Data'!$A$1:$A$20000,0),MATCH("Intent",'Semrush Data'!$A$1:$Z$1,0)),"")</f>
        <v/>
      </c>
    </row>
    <row r="2487" ht="15" customHeight="1" s="37">
      <c r="A2487" s="42" t="inlineStr">
        <is>
          <t>deyga hair removal powder mini</t>
        </is>
      </c>
      <c r="B2487" s="42" t="inlineStr">
        <is>
          <t>Google suggest</t>
        </is>
      </c>
      <c r="C2487" s="42" t="n">
        <v>3</v>
      </c>
      <c r="D2487" s="42" t="n">
        <v>25</v>
      </c>
      <c r="E2487" s="42" t="n">
        <v>1</v>
      </c>
      <c r="F2487" s="42" t="inlineStr">
        <is>
          <t>VD-112</t>
        </is>
      </c>
      <c r="G2487" s="55">
        <f>IFERROR(INDEX('Semrush Data'!$A$1:$Z$20000,MATCH(A2487,'Semrush Data'!$A$1:$A$20000,0),MATCH("Volume",'Semrush Data'!$A$1:$Z$1,0)),"")</f>
        <v/>
      </c>
      <c r="H2487" s="42">
        <f>IFERROR(INDEX('Semrush Data'!$A$1:$Z$20000,MATCH(A2487,'Semrush Data'!$A$1:$A$20000,0),MATCH("Keyword Difficulty*",'Semrush Data'!$A$1:$Z$1,0)),"")</f>
        <v/>
      </c>
      <c r="I2487" s="56">
        <f>IFERROR(INDEX('Semrush Data'!$A$1:$Z$20000,MATCH(A2487,'Semrush Data'!$A$1:$A$20000,0),MATCH("CPC*",'Semrush Data'!$A$1:$Z$1,0)),"")</f>
        <v/>
      </c>
      <c r="J2487" s="42">
        <f>IFERROR(INDEX('Semrush Data'!$A$1:$Z$20000,MATCH(A2487,'Semrush Data'!$A$1:$A$20000,0),MATCH("Intent",'Semrush Data'!$A$1:$Z$1,0)),"")</f>
        <v/>
      </c>
    </row>
    <row r="2488" ht="15" customHeight="1" s="37">
      <c r="A2488" s="42" t="inlineStr">
        <is>
          <t>deyga hair removal powder review</t>
        </is>
      </c>
      <c r="B2488" s="42" t="inlineStr">
        <is>
          <t>Google suggest</t>
        </is>
      </c>
      <c r="C2488" s="42" t="n">
        <v>3</v>
      </c>
      <c r="D2488" s="42" t="inlineStr">
        <is>
          <t>T3-2</t>
        </is>
      </c>
      <c r="E2488" s="42" t="n">
        <v>1</v>
      </c>
      <c r="F2488" s="42" t="inlineStr">
        <is>
          <t>VD-112</t>
        </is>
      </c>
      <c r="G2488" s="55">
        <f>IFERROR(INDEX('Semrush Data'!$A$1:$Z$20000,MATCH(A2488,'Semrush Data'!$A$1:$A$20000,0),MATCH("Volume",'Semrush Data'!$A$1:$Z$1,0)),"")</f>
        <v/>
      </c>
      <c r="H2488" s="42">
        <f>IFERROR(INDEX('Semrush Data'!$A$1:$Z$20000,MATCH(A2488,'Semrush Data'!$A$1:$A$20000,0),MATCH("Keyword Difficulty*",'Semrush Data'!$A$1:$Z$1,0)),"")</f>
        <v/>
      </c>
      <c r="I2488" s="56">
        <f>IFERROR(INDEX('Semrush Data'!$A$1:$Z$20000,MATCH(A2488,'Semrush Data'!$A$1:$A$20000,0),MATCH("CPC*",'Semrush Data'!$A$1:$Z$1,0)),"")</f>
        <v/>
      </c>
      <c r="J2488" s="42">
        <f>IFERROR(INDEX('Semrush Data'!$A$1:$Z$20000,MATCH(A2488,'Semrush Data'!$A$1:$A$20000,0),MATCH("Intent",'Semrush Data'!$A$1:$Z$1,0)),"")</f>
        <v/>
      </c>
    </row>
    <row r="2489" ht="15" customHeight="1" s="37">
      <c r="A2489" s="42" t="inlineStr">
        <is>
          <t>deyga lip balm ingredients</t>
        </is>
      </c>
      <c r="B2489" s="42" t="inlineStr">
        <is>
          <t>Google suggest</t>
        </is>
      </c>
      <c r="C2489" s="42" t="n">
        <v>3</v>
      </c>
      <c r="D2489" s="42" t="n">
        <v>25</v>
      </c>
      <c r="E2489" s="42" t="n">
        <v>1</v>
      </c>
      <c r="F2489" s="42" t="inlineStr">
        <is>
          <t>VD-106</t>
        </is>
      </c>
      <c r="G2489" s="55">
        <f>IFERROR(INDEX('Semrush Data'!$A$1:$Z$20000,MATCH(A2489,'Semrush Data'!$A$1:$A$20000,0),MATCH("Volume",'Semrush Data'!$A$1:$Z$1,0)),"")</f>
        <v/>
      </c>
      <c r="H2489" s="42">
        <f>IFERROR(INDEX('Semrush Data'!$A$1:$Z$20000,MATCH(A2489,'Semrush Data'!$A$1:$A$20000,0),MATCH("Keyword Difficulty*",'Semrush Data'!$A$1:$Z$1,0)),"")</f>
        <v/>
      </c>
      <c r="I2489" s="56">
        <f>IFERROR(INDEX('Semrush Data'!$A$1:$Z$20000,MATCH(A2489,'Semrush Data'!$A$1:$A$20000,0),MATCH("CPC*",'Semrush Data'!$A$1:$Z$1,0)),"")</f>
        <v/>
      </c>
      <c r="J2489" s="42">
        <f>IFERROR(INDEX('Semrush Data'!$A$1:$Z$20000,MATCH(A2489,'Semrush Data'!$A$1:$A$20000,0),MATCH("Intent",'Semrush Data'!$A$1:$Z$1,0)),"")</f>
        <v/>
      </c>
    </row>
    <row r="2490" ht="15" customHeight="1" s="37">
      <c r="A2490" s="42" t="inlineStr">
        <is>
          <t>deyga lip balm review</t>
        </is>
      </c>
      <c r="B2490" s="42" t="inlineStr">
        <is>
          <t>Google suggest</t>
        </is>
      </c>
      <c r="C2490" s="42" t="n">
        <v>3</v>
      </c>
      <c r="D2490" s="42" t="inlineStr">
        <is>
          <t>T3-2</t>
        </is>
      </c>
      <c r="E2490" s="42" t="n">
        <v>1</v>
      </c>
      <c r="F2490" s="42" t="inlineStr">
        <is>
          <t>VD-106</t>
        </is>
      </c>
      <c r="G2490" s="55">
        <f>IFERROR(INDEX('Semrush Data'!$A$1:$Z$20000,MATCH(A2490,'Semrush Data'!$A$1:$A$20000,0),MATCH("Volume",'Semrush Data'!$A$1:$Z$1,0)),"")</f>
        <v/>
      </c>
      <c r="H2490" s="42">
        <f>IFERROR(INDEX('Semrush Data'!$A$1:$Z$20000,MATCH(A2490,'Semrush Data'!$A$1:$A$20000,0),MATCH("Keyword Difficulty*",'Semrush Data'!$A$1:$Z$1,0)),"")</f>
        <v/>
      </c>
      <c r="I2490" s="56">
        <f>IFERROR(INDEX('Semrush Data'!$A$1:$Z$20000,MATCH(A2490,'Semrush Data'!$A$1:$A$20000,0),MATCH("CPC*",'Semrush Data'!$A$1:$Z$1,0)),"")</f>
        <v/>
      </c>
      <c r="J2490" s="42">
        <f>IFERROR(INDEX('Semrush Data'!$A$1:$Z$20000,MATCH(A2490,'Semrush Data'!$A$1:$A$20000,0),MATCH("Intent",'Semrush Data'!$A$1:$Z$1,0)),"")</f>
        <v/>
      </c>
    </row>
    <row r="2491" ht="15" customHeight="1" s="37">
      <c r="A2491" s="42" t="inlineStr">
        <is>
          <t>deyga neem seed oil review</t>
        </is>
      </c>
      <c r="B2491" s="42" t="inlineStr">
        <is>
          <t>Google suggest</t>
        </is>
      </c>
      <c r="C2491" s="42" t="n">
        <v>3</v>
      </c>
      <c r="D2491" s="42" t="inlineStr">
        <is>
          <t>T3-2</t>
        </is>
      </c>
      <c r="E2491" s="42" t="n">
        <v>1</v>
      </c>
      <c r="F2491" s="42" t="inlineStr">
        <is>
          <t>VD-097</t>
        </is>
      </c>
      <c r="G2491" s="55">
        <f>IFERROR(INDEX('Semrush Data'!$A$1:$Z$20000,MATCH(A2491,'Semrush Data'!$A$1:$A$20000,0),MATCH("Volume",'Semrush Data'!$A$1:$Z$1,0)),"")</f>
        <v/>
      </c>
      <c r="H2491" s="42">
        <f>IFERROR(INDEX('Semrush Data'!$A$1:$Z$20000,MATCH(A2491,'Semrush Data'!$A$1:$A$20000,0),MATCH("Keyword Difficulty*",'Semrush Data'!$A$1:$Z$1,0)),"")</f>
        <v/>
      </c>
      <c r="I2491" s="56">
        <f>IFERROR(INDEX('Semrush Data'!$A$1:$Z$20000,MATCH(A2491,'Semrush Data'!$A$1:$A$20000,0),MATCH("CPC*",'Semrush Data'!$A$1:$Z$1,0)),"")</f>
        <v/>
      </c>
      <c r="J2491" s="42">
        <f>IFERROR(INDEX('Semrush Data'!$A$1:$Z$20000,MATCH(A2491,'Semrush Data'!$A$1:$A$20000,0),MATCH("Intent",'Semrush Data'!$A$1:$Z$1,0)),"")</f>
        <v/>
      </c>
    </row>
    <row r="2492" ht="15" customHeight="1" s="37">
      <c r="A2492" s="42" t="inlineStr">
        <is>
          <t>deyga rice water shampoo amazon</t>
        </is>
      </c>
      <c r="B2492" s="42" t="inlineStr">
        <is>
          <t>Google suggest</t>
        </is>
      </c>
      <c r="C2492" s="42" t="n">
        <v>3</v>
      </c>
      <c r="D2492" s="42" t="n">
        <v>25</v>
      </c>
      <c r="E2492" s="42" t="n">
        <v>1</v>
      </c>
      <c r="F2492" s="42" t="inlineStr">
        <is>
          <t>VD-126</t>
        </is>
      </c>
      <c r="G2492" s="55">
        <f>IFERROR(INDEX('Semrush Data'!$A$1:$Z$20000,MATCH(A2492,'Semrush Data'!$A$1:$A$20000,0),MATCH("Volume",'Semrush Data'!$A$1:$Z$1,0)),"")</f>
        <v/>
      </c>
      <c r="H2492" s="42">
        <f>IFERROR(INDEX('Semrush Data'!$A$1:$Z$20000,MATCH(A2492,'Semrush Data'!$A$1:$A$20000,0),MATCH("Keyword Difficulty*",'Semrush Data'!$A$1:$Z$1,0)),"")</f>
        <v/>
      </c>
      <c r="I2492" s="56">
        <f>IFERROR(INDEX('Semrush Data'!$A$1:$Z$20000,MATCH(A2492,'Semrush Data'!$A$1:$A$20000,0),MATCH("CPC*",'Semrush Data'!$A$1:$Z$1,0)),"")</f>
        <v/>
      </c>
      <c r="J2492" s="42">
        <f>IFERROR(INDEX('Semrush Data'!$A$1:$Z$20000,MATCH(A2492,'Semrush Data'!$A$1:$A$20000,0),MATCH("Intent",'Semrush Data'!$A$1:$Z$1,0)),"")</f>
        <v/>
      </c>
    </row>
    <row r="2493" ht="15" customHeight="1" s="37">
      <c r="A2493" s="42" t="inlineStr">
        <is>
          <t>deyga rice water shampoo benefits</t>
        </is>
      </c>
      <c r="B2493" s="42" t="inlineStr">
        <is>
          <t>Google suggest</t>
        </is>
      </c>
      <c r="C2493" s="42" t="n">
        <v>3</v>
      </c>
      <c r="D2493" s="42" t="n">
        <v>25</v>
      </c>
      <c r="E2493" s="42" t="n">
        <v>1</v>
      </c>
      <c r="F2493" s="42" t="inlineStr">
        <is>
          <t>VD-126</t>
        </is>
      </c>
      <c r="G2493" s="55">
        <f>IFERROR(INDEX('Semrush Data'!$A$1:$Z$20000,MATCH(A2493,'Semrush Data'!$A$1:$A$20000,0),MATCH("Volume",'Semrush Data'!$A$1:$Z$1,0)),"")</f>
        <v/>
      </c>
      <c r="H2493" s="42">
        <f>IFERROR(INDEX('Semrush Data'!$A$1:$Z$20000,MATCH(A2493,'Semrush Data'!$A$1:$A$20000,0),MATCH("Keyword Difficulty*",'Semrush Data'!$A$1:$Z$1,0)),"")</f>
        <v/>
      </c>
      <c r="I2493" s="56">
        <f>IFERROR(INDEX('Semrush Data'!$A$1:$Z$20000,MATCH(A2493,'Semrush Data'!$A$1:$A$20000,0),MATCH("CPC*",'Semrush Data'!$A$1:$Z$1,0)),"")</f>
        <v/>
      </c>
      <c r="J2493" s="42">
        <f>IFERROR(INDEX('Semrush Data'!$A$1:$Z$20000,MATCH(A2493,'Semrush Data'!$A$1:$A$20000,0),MATCH("Intent",'Semrush Data'!$A$1:$Z$1,0)),"")</f>
        <v/>
      </c>
    </row>
    <row r="2494" ht="15" customHeight="1" s="37">
      <c r="A2494" s="42" t="inlineStr">
        <is>
          <t>deyga rice water shampoo ingredients</t>
        </is>
      </c>
      <c r="B2494" s="42" t="inlineStr">
        <is>
          <t>Google suggest</t>
        </is>
      </c>
      <c r="C2494" s="42" t="n">
        <v>3</v>
      </c>
      <c r="D2494" s="42" t="n">
        <v>25</v>
      </c>
      <c r="E2494" s="42" t="n">
        <v>1</v>
      </c>
      <c r="F2494" s="42" t="inlineStr">
        <is>
          <t>VD-126</t>
        </is>
      </c>
      <c r="G2494" s="55">
        <f>IFERROR(INDEX('Semrush Data'!$A$1:$Z$20000,MATCH(A2494,'Semrush Data'!$A$1:$A$20000,0),MATCH("Volume",'Semrush Data'!$A$1:$Z$1,0)),"")</f>
        <v/>
      </c>
      <c r="H2494" s="42">
        <f>IFERROR(INDEX('Semrush Data'!$A$1:$Z$20000,MATCH(A2494,'Semrush Data'!$A$1:$A$20000,0),MATCH("Keyword Difficulty*",'Semrush Data'!$A$1:$Z$1,0)),"")</f>
        <v/>
      </c>
      <c r="I2494" s="56">
        <f>IFERROR(INDEX('Semrush Data'!$A$1:$Z$20000,MATCH(A2494,'Semrush Data'!$A$1:$A$20000,0),MATCH("CPC*",'Semrush Data'!$A$1:$Z$1,0)),"")</f>
        <v/>
      </c>
      <c r="J2494" s="42">
        <f>IFERROR(INDEX('Semrush Data'!$A$1:$Z$20000,MATCH(A2494,'Semrush Data'!$A$1:$A$20000,0),MATCH("Intent",'Semrush Data'!$A$1:$Z$1,0)),"")</f>
        <v/>
      </c>
    </row>
    <row r="2495" ht="15" customHeight="1" s="37">
      <c r="A2495" s="42" t="inlineStr">
        <is>
          <t>deyga rice water shampoo review</t>
        </is>
      </c>
      <c r="B2495" s="42" t="inlineStr">
        <is>
          <t>Google suggest</t>
        </is>
      </c>
      <c r="C2495" s="42" t="n">
        <v>3</v>
      </c>
      <c r="D2495" s="42" t="inlineStr">
        <is>
          <t>T3-2</t>
        </is>
      </c>
      <c r="E2495" s="42" t="n">
        <v>1</v>
      </c>
      <c r="F2495" s="42" t="inlineStr">
        <is>
          <t>VD-126</t>
        </is>
      </c>
      <c r="G2495" s="55">
        <f>IFERROR(INDEX('Semrush Data'!$A$1:$Z$20000,MATCH(A2495,'Semrush Data'!$A$1:$A$20000,0),MATCH("Volume",'Semrush Data'!$A$1:$Z$1,0)),"")</f>
        <v/>
      </c>
      <c r="H2495" s="42">
        <f>IFERROR(INDEX('Semrush Data'!$A$1:$Z$20000,MATCH(A2495,'Semrush Data'!$A$1:$A$20000,0),MATCH("Keyword Difficulty*",'Semrush Data'!$A$1:$Z$1,0)),"")</f>
        <v/>
      </c>
      <c r="I2495" s="56">
        <f>IFERROR(INDEX('Semrush Data'!$A$1:$Z$20000,MATCH(A2495,'Semrush Data'!$A$1:$A$20000,0),MATCH("CPC*",'Semrush Data'!$A$1:$Z$1,0)),"")</f>
        <v/>
      </c>
      <c r="J2495" s="42">
        <f>IFERROR(INDEX('Semrush Data'!$A$1:$Z$20000,MATCH(A2495,'Semrush Data'!$A$1:$A$20000,0),MATCH("Intent",'Semrush Data'!$A$1:$Z$1,0)),"")</f>
        <v/>
      </c>
    </row>
    <row r="2496" ht="15" customHeight="1" s="37">
      <c r="A2496" s="42" t="inlineStr">
        <is>
          <t>deyga rose glow serum review</t>
        </is>
      </c>
      <c r="B2496" s="42" t="inlineStr">
        <is>
          <t>Google suggest</t>
        </is>
      </c>
      <c r="C2496" s="42" t="n">
        <v>3</v>
      </c>
      <c r="D2496" s="42" t="inlineStr">
        <is>
          <t>T3-2</t>
        </is>
      </c>
      <c r="E2496" s="42" t="n">
        <v>1</v>
      </c>
      <c r="F2496" s="42" t="inlineStr">
        <is>
          <t>VD-092</t>
        </is>
      </c>
      <c r="G2496" s="55">
        <f>IFERROR(INDEX('Semrush Data'!$A$1:$Z$20000,MATCH(A2496,'Semrush Data'!$A$1:$A$20000,0),MATCH("Volume",'Semrush Data'!$A$1:$Z$1,0)),"")</f>
        <v/>
      </c>
      <c r="H2496" s="42">
        <f>IFERROR(INDEX('Semrush Data'!$A$1:$Z$20000,MATCH(A2496,'Semrush Data'!$A$1:$A$20000,0),MATCH("Keyword Difficulty*",'Semrush Data'!$A$1:$Z$1,0)),"")</f>
        <v/>
      </c>
      <c r="I2496" s="56">
        <f>IFERROR(INDEX('Semrush Data'!$A$1:$Z$20000,MATCH(A2496,'Semrush Data'!$A$1:$A$20000,0),MATCH("CPC*",'Semrush Data'!$A$1:$Z$1,0)),"")</f>
        <v/>
      </c>
      <c r="J2496" s="42">
        <f>IFERROR(INDEX('Semrush Data'!$A$1:$Z$20000,MATCH(A2496,'Semrush Data'!$A$1:$A$20000,0),MATCH("Intent",'Semrush Data'!$A$1:$Z$1,0)),"")</f>
        <v/>
      </c>
    </row>
    <row r="2497" ht="15" customHeight="1" s="37">
      <c r="A2497" s="42" t="inlineStr">
        <is>
          <t>deyga soy milk conditioner 50ml</t>
        </is>
      </c>
      <c r="B2497" s="42" t="inlineStr">
        <is>
          <t>Google suggest</t>
        </is>
      </c>
      <c r="C2497" s="42" t="n">
        <v>3</v>
      </c>
      <c r="D2497" s="42" t="n">
        <v>25</v>
      </c>
      <c r="E2497" s="42" t="n">
        <v>1</v>
      </c>
      <c r="F2497" s="42" t="inlineStr">
        <is>
          <t>VD-127</t>
        </is>
      </c>
      <c r="G2497" s="55">
        <f>IFERROR(INDEX('Semrush Data'!$A$1:$Z$20000,MATCH(A2497,'Semrush Data'!$A$1:$A$20000,0),MATCH("Volume",'Semrush Data'!$A$1:$Z$1,0)),"")</f>
        <v/>
      </c>
      <c r="H2497" s="42">
        <f>IFERROR(INDEX('Semrush Data'!$A$1:$Z$20000,MATCH(A2497,'Semrush Data'!$A$1:$A$20000,0),MATCH("Keyword Difficulty*",'Semrush Data'!$A$1:$Z$1,0)),"")</f>
        <v/>
      </c>
      <c r="I2497" s="56">
        <f>IFERROR(INDEX('Semrush Data'!$A$1:$Z$20000,MATCH(A2497,'Semrush Data'!$A$1:$A$20000,0),MATCH("CPC*",'Semrush Data'!$A$1:$Z$1,0)),"")</f>
        <v/>
      </c>
      <c r="J2497" s="42">
        <f>IFERROR(INDEX('Semrush Data'!$A$1:$Z$20000,MATCH(A2497,'Semrush Data'!$A$1:$A$20000,0),MATCH("Intent",'Semrush Data'!$A$1:$Z$1,0)),"")</f>
        <v/>
      </c>
    </row>
    <row r="2498" ht="15" customHeight="1" s="37">
      <c r="A2498" s="42" t="inlineStr">
        <is>
          <t>deyga soy milk conditioner benefits</t>
        </is>
      </c>
      <c r="B2498" s="42" t="inlineStr">
        <is>
          <t>Google suggest</t>
        </is>
      </c>
      <c r="C2498" s="42" t="n">
        <v>3</v>
      </c>
      <c r="D2498" s="42" t="n">
        <v>25</v>
      </c>
      <c r="E2498" s="42" t="n">
        <v>1</v>
      </c>
      <c r="F2498" s="42" t="inlineStr">
        <is>
          <t>VD-127</t>
        </is>
      </c>
      <c r="G2498" s="55">
        <f>IFERROR(INDEX('Semrush Data'!$A$1:$Z$20000,MATCH(A2498,'Semrush Data'!$A$1:$A$20000,0),MATCH("Volume",'Semrush Data'!$A$1:$Z$1,0)),"")</f>
        <v/>
      </c>
      <c r="H2498" s="42">
        <f>IFERROR(INDEX('Semrush Data'!$A$1:$Z$20000,MATCH(A2498,'Semrush Data'!$A$1:$A$20000,0),MATCH("Keyword Difficulty*",'Semrush Data'!$A$1:$Z$1,0)),"")</f>
        <v/>
      </c>
      <c r="I2498" s="56">
        <f>IFERROR(INDEX('Semrush Data'!$A$1:$Z$20000,MATCH(A2498,'Semrush Data'!$A$1:$A$20000,0),MATCH("CPC*",'Semrush Data'!$A$1:$Z$1,0)),"")</f>
        <v/>
      </c>
      <c r="J2498" s="42">
        <f>IFERROR(INDEX('Semrush Data'!$A$1:$Z$20000,MATCH(A2498,'Semrush Data'!$A$1:$A$20000,0),MATCH("Intent",'Semrush Data'!$A$1:$Z$1,0)),"")</f>
        <v/>
      </c>
    </row>
    <row r="2499" ht="15" customHeight="1" s="37">
      <c r="A2499" s="42" t="inlineStr">
        <is>
          <t>deyga soy milk conditioner ingredients</t>
        </is>
      </c>
      <c r="B2499" s="42" t="inlineStr">
        <is>
          <t>Google suggest</t>
        </is>
      </c>
      <c r="C2499" s="42" t="n">
        <v>3</v>
      </c>
      <c r="D2499" s="42" t="n">
        <v>25</v>
      </c>
      <c r="E2499" s="42" t="n">
        <v>1</v>
      </c>
      <c r="F2499" s="42" t="inlineStr">
        <is>
          <t>VD-127</t>
        </is>
      </c>
      <c r="G2499" s="55">
        <f>IFERROR(INDEX('Semrush Data'!$A$1:$Z$20000,MATCH(A2499,'Semrush Data'!$A$1:$A$20000,0),MATCH("Volume",'Semrush Data'!$A$1:$Z$1,0)),"")</f>
        <v/>
      </c>
      <c r="H2499" s="42">
        <f>IFERROR(INDEX('Semrush Data'!$A$1:$Z$20000,MATCH(A2499,'Semrush Data'!$A$1:$A$20000,0),MATCH("Keyword Difficulty*",'Semrush Data'!$A$1:$Z$1,0)),"")</f>
        <v/>
      </c>
      <c r="I2499" s="56">
        <f>IFERROR(INDEX('Semrush Data'!$A$1:$Z$20000,MATCH(A2499,'Semrush Data'!$A$1:$A$20000,0),MATCH("CPC*",'Semrush Data'!$A$1:$Z$1,0)),"")</f>
        <v/>
      </c>
      <c r="J2499" s="42">
        <f>IFERROR(INDEX('Semrush Data'!$A$1:$Z$20000,MATCH(A2499,'Semrush Data'!$A$1:$A$20000,0),MATCH("Intent",'Semrush Data'!$A$1:$Z$1,0)),"")</f>
        <v/>
      </c>
    </row>
    <row r="2500" ht="15" customHeight="1" s="37">
      <c r="A2500" s="42" t="inlineStr">
        <is>
          <t>deyga soy milk conditioner review</t>
        </is>
      </c>
      <c r="B2500" s="42" t="inlineStr">
        <is>
          <t>Google suggest</t>
        </is>
      </c>
      <c r="C2500" s="42" t="n">
        <v>3</v>
      </c>
      <c r="D2500" s="42" t="inlineStr">
        <is>
          <t>T3-2</t>
        </is>
      </c>
      <c r="E2500" s="42" t="n">
        <v>1</v>
      </c>
      <c r="F2500" s="42" t="inlineStr">
        <is>
          <t>VD-127</t>
        </is>
      </c>
      <c r="G2500" s="55">
        <f>IFERROR(INDEX('Semrush Data'!$A$1:$Z$20000,MATCH(A2500,'Semrush Data'!$A$1:$A$20000,0),MATCH("Volume",'Semrush Data'!$A$1:$Z$1,0)),"")</f>
        <v/>
      </c>
      <c r="H2500" s="42">
        <f>IFERROR(INDEX('Semrush Data'!$A$1:$Z$20000,MATCH(A2500,'Semrush Data'!$A$1:$A$20000,0),MATCH("Keyword Difficulty*",'Semrush Data'!$A$1:$Z$1,0)),"")</f>
        <v/>
      </c>
      <c r="I2500" s="56">
        <f>IFERROR(INDEX('Semrush Data'!$A$1:$Z$20000,MATCH(A2500,'Semrush Data'!$A$1:$A$20000,0),MATCH("CPC*",'Semrush Data'!$A$1:$Z$1,0)),"")</f>
        <v/>
      </c>
      <c r="J2500" s="42">
        <f>IFERROR(INDEX('Semrush Data'!$A$1:$Z$20000,MATCH(A2500,'Semrush Data'!$A$1:$A$20000,0),MATCH("Intent",'Semrush Data'!$A$1:$Z$1,0)),"")</f>
        <v/>
      </c>
    </row>
    <row r="2501" ht="15" customHeight="1" s="37">
      <c r="A2501" s="42" t="inlineStr">
        <is>
          <t>deyga sunscreen amazon</t>
        </is>
      </c>
      <c r="B2501" s="42" t="inlineStr">
        <is>
          <t>Google suggest</t>
        </is>
      </c>
      <c r="C2501" s="42" t="n">
        <v>3</v>
      </c>
      <c r="D2501" s="42" t="n">
        <v>25</v>
      </c>
      <c r="E2501" s="42" t="n">
        <v>1</v>
      </c>
      <c r="F2501" s="42" t="inlineStr">
        <is>
          <t>VD-105</t>
        </is>
      </c>
      <c r="G2501" s="55">
        <f>IFERROR(INDEX('Semrush Data'!$A$1:$Z$20000,MATCH(A2501,'Semrush Data'!$A$1:$A$20000,0),MATCH("Volume",'Semrush Data'!$A$1:$Z$1,0)),"")</f>
        <v/>
      </c>
      <c r="H2501" s="42">
        <f>IFERROR(INDEX('Semrush Data'!$A$1:$Z$20000,MATCH(A2501,'Semrush Data'!$A$1:$A$20000,0),MATCH("Keyword Difficulty*",'Semrush Data'!$A$1:$Z$1,0)),"")</f>
        <v/>
      </c>
      <c r="I2501" s="56">
        <f>IFERROR(INDEX('Semrush Data'!$A$1:$Z$20000,MATCH(A2501,'Semrush Data'!$A$1:$A$20000,0),MATCH("CPC*",'Semrush Data'!$A$1:$Z$1,0)),"")</f>
        <v/>
      </c>
      <c r="J2501" s="42">
        <f>IFERROR(INDEX('Semrush Data'!$A$1:$Z$20000,MATCH(A2501,'Semrush Data'!$A$1:$A$20000,0),MATCH("Intent",'Semrush Data'!$A$1:$Z$1,0)),"")</f>
        <v/>
      </c>
    </row>
    <row r="2502" ht="15" customHeight="1" s="37">
      <c r="A2502" s="42" t="inlineStr">
        <is>
          <t>deyga sunscreen ingredients</t>
        </is>
      </c>
      <c r="B2502" s="42" t="inlineStr">
        <is>
          <t>Google suggest</t>
        </is>
      </c>
      <c r="C2502" s="42" t="n">
        <v>3</v>
      </c>
      <c r="D2502" s="42" t="n">
        <v>26</v>
      </c>
      <c r="E2502" s="42" t="n">
        <v>1</v>
      </c>
      <c r="F2502" s="42" t="inlineStr">
        <is>
          <t>VD-105</t>
        </is>
      </c>
      <c r="G2502" s="55">
        <f>IFERROR(INDEX('Semrush Data'!$A$1:$Z$20000,MATCH(A2502,'Semrush Data'!$A$1:$A$20000,0),MATCH("Volume",'Semrush Data'!$A$1:$Z$1,0)),"")</f>
        <v/>
      </c>
      <c r="H2502" s="42">
        <f>IFERROR(INDEX('Semrush Data'!$A$1:$Z$20000,MATCH(A2502,'Semrush Data'!$A$1:$A$20000,0),MATCH("Keyword Difficulty*",'Semrush Data'!$A$1:$Z$1,0)),"")</f>
        <v/>
      </c>
      <c r="I2502" s="56">
        <f>IFERROR(INDEX('Semrush Data'!$A$1:$Z$20000,MATCH(A2502,'Semrush Data'!$A$1:$A$20000,0),MATCH("CPC*",'Semrush Data'!$A$1:$Z$1,0)),"")</f>
        <v/>
      </c>
      <c r="J2502" s="42">
        <f>IFERROR(INDEX('Semrush Data'!$A$1:$Z$20000,MATCH(A2502,'Semrush Data'!$A$1:$A$20000,0),MATCH("Intent",'Semrush Data'!$A$1:$Z$1,0)),"")</f>
        <v/>
      </c>
    </row>
    <row r="2503" ht="15" customHeight="1" s="37">
      <c r="A2503" s="42" t="inlineStr">
        <is>
          <t>deyga sunscreen review</t>
        </is>
      </c>
      <c r="B2503" s="42" t="inlineStr">
        <is>
          <t>Google suggest</t>
        </is>
      </c>
      <c r="C2503" s="42" t="n">
        <v>3</v>
      </c>
      <c r="D2503" s="42" t="inlineStr">
        <is>
          <t>T3-2</t>
        </is>
      </c>
      <c r="E2503" s="42" t="n">
        <v>1</v>
      </c>
      <c r="F2503" s="42" t="inlineStr">
        <is>
          <t>VD-105</t>
        </is>
      </c>
      <c r="G2503" s="55">
        <f>IFERROR(INDEX('Semrush Data'!$A$1:$Z$20000,MATCH(A2503,'Semrush Data'!$A$1:$A$20000,0),MATCH("Volume",'Semrush Data'!$A$1:$Z$1,0)),"")</f>
        <v/>
      </c>
      <c r="H2503" s="42">
        <f>IFERROR(INDEX('Semrush Data'!$A$1:$Z$20000,MATCH(A2503,'Semrush Data'!$A$1:$A$20000,0),MATCH("Keyword Difficulty*",'Semrush Data'!$A$1:$Z$1,0)),"")</f>
        <v/>
      </c>
      <c r="I2503" s="56">
        <f>IFERROR(INDEX('Semrush Data'!$A$1:$Z$20000,MATCH(A2503,'Semrush Data'!$A$1:$A$20000,0),MATCH("CPC*",'Semrush Data'!$A$1:$Z$1,0)),"")</f>
        <v/>
      </c>
      <c r="J2503" s="42">
        <f>IFERROR(INDEX('Semrush Data'!$A$1:$Z$20000,MATCH(A2503,'Semrush Data'!$A$1:$A$20000,0),MATCH("Intent",'Semrush Data'!$A$1:$Z$1,0)),"")</f>
        <v/>
      </c>
    </row>
    <row r="2504" ht="15" customHeight="1" s="37">
      <c r="A2504" s="42" t="inlineStr">
        <is>
          <t>deyga under eye cream amazon</t>
        </is>
      </c>
      <c r="B2504" s="42" t="inlineStr">
        <is>
          <t>Google suggest</t>
        </is>
      </c>
      <c r="C2504" s="42" t="n">
        <v>3</v>
      </c>
      <c r="D2504" s="42" t="n">
        <v>26</v>
      </c>
      <c r="E2504" s="42" t="n">
        <v>1</v>
      </c>
      <c r="F2504" s="42" t="inlineStr">
        <is>
          <t>VD-133</t>
        </is>
      </c>
      <c r="G2504" s="55">
        <f>IFERROR(INDEX('Semrush Data'!$A$1:$Z$20000,MATCH(A2504,'Semrush Data'!$A$1:$A$20000,0),MATCH("Volume",'Semrush Data'!$A$1:$Z$1,0)),"")</f>
        <v/>
      </c>
      <c r="H2504" s="42">
        <f>IFERROR(INDEX('Semrush Data'!$A$1:$Z$20000,MATCH(A2504,'Semrush Data'!$A$1:$A$20000,0),MATCH("Keyword Difficulty*",'Semrush Data'!$A$1:$Z$1,0)),"")</f>
        <v/>
      </c>
      <c r="I2504" s="56">
        <f>IFERROR(INDEX('Semrush Data'!$A$1:$Z$20000,MATCH(A2504,'Semrush Data'!$A$1:$A$20000,0),MATCH("CPC*",'Semrush Data'!$A$1:$Z$1,0)),"")</f>
        <v/>
      </c>
      <c r="J2504" s="42">
        <f>IFERROR(INDEX('Semrush Data'!$A$1:$Z$20000,MATCH(A2504,'Semrush Data'!$A$1:$A$20000,0),MATCH("Intent",'Semrush Data'!$A$1:$Z$1,0)),"")</f>
        <v/>
      </c>
    </row>
    <row r="2505" ht="15" customHeight="1" s="37">
      <c r="A2505" s="42" t="inlineStr">
        <is>
          <t>deyga under eye cream benefits</t>
        </is>
      </c>
      <c r="B2505" s="42" t="inlineStr">
        <is>
          <t>Google suggest</t>
        </is>
      </c>
      <c r="C2505" s="42" t="n">
        <v>3</v>
      </c>
      <c r="D2505" s="42" t="n">
        <v>26</v>
      </c>
      <c r="E2505" s="42" t="n">
        <v>1</v>
      </c>
      <c r="F2505" s="42" t="inlineStr">
        <is>
          <t>VD-133</t>
        </is>
      </c>
      <c r="G2505" s="55">
        <f>IFERROR(INDEX('Semrush Data'!$A$1:$Z$20000,MATCH(A2505,'Semrush Data'!$A$1:$A$20000,0),MATCH("Volume",'Semrush Data'!$A$1:$Z$1,0)),"")</f>
        <v/>
      </c>
      <c r="H2505" s="42">
        <f>IFERROR(INDEX('Semrush Data'!$A$1:$Z$20000,MATCH(A2505,'Semrush Data'!$A$1:$A$20000,0),MATCH("Keyword Difficulty*",'Semrush Data'!$A$1:$Z$1,0)),"")</f>
        <v/>
      </c>
      <c r="I2505" s="56">
        <f>IFERROR(INDEX('Semrush Data'!$A$1:$Z$20000,MATCH(A2505,'Semrush Data'!$A$1:$A$20000,0),MATCH("CPC*",'Semrush Data'!$A$1:$Z$1,0)),"")</f>
        <v/>
      </c>
      <c r="J2505" s="42">
        <f>IFERROR(INDEX('Semrush Data'!$A$1:$Z$20000,MATCH(A2505,'Semrush Data'!$A$1:$A$20000,0),MATCH("Intent",'Semrush Data'!$A$1:$Z$1,0)),"")</f>
        <v/>
      </c>
    </row>
    <row r="2506" ht="15" customHeight="1" s="37">
      <c r="A2506" s="42" t="inlineStr">
        <is>
          <t>deyga under eye cream how to use</t>
        </is>
      </c>
      <c r="B2506" s="42" t="inlineStr">
        <is>
          <t>Google suggest</t>
        </is>
      </c>
      <c r="C2506" s="42" t="n">
        <v>3</v>
      </c>
      <c r="D2506" s="42" t="n">
        <v>26</v>
      </c>
      <c r="E2506" s="42" t="n">
        <v>1</v>
      </c>
      <c r="F2506" s="42" t="inlineStr">
        <is>
          <t>VD-133</t>
        </is>
      </c>
      <c r="G2506" s="55">
        <f>IFERROR(INDEX('Semrush Data'!$A$1:$Z$20000,MATCH(A2506,'Semrush Data'!$A$1:$A$20000,0),MATCH("Volume",'Semrush Data'!$A$1:$Z$1,0)),"")</f>
        <v/>
      </c>
      <c r="H2506" s="42">
        <f>IFERROR(INDEX('Semrush Data'!$A$1:$Z$20000,MATCH(A2506,'Semrush Data'!$A$1:$A$20000,0),MATCH("Keyword Difficulty*",'Semrush Data'!$A$1:$Z$1,0)),"")</f>
        <v/>
      </c>
      <c r="I2506" s="56">
        <f>IFERROR(INDEX('Semrush Data'!$A$1:$Z$20000,MATCH(A2506,'Semrush Data'!$A$1:$A$20000,0),MATCH("CPC*",'Semrush Data'!$A$1:$Z$1,0)),"")</f>
        <v/>
      </c>
      <c r="J2506" s="42">
        <f>IFERROR(INDEX('Semrush Data'!$A$1:$Z$20000,MATCH(A2506,'Semrush Data'!$A$1:$A$20000,0),MATCH("Intent",'Semrush Data'!$A$1:$Z$1,0)),"")</f>
        <v/>
      </c>
    </row>
    <row r="2507" ht="15" customHeight="1" s="37">
      <c r="A2507" s="42" t="inlineStr">
        <is>
          <t>deyga under eye cream ingredients</t>
        </is>
      </c>
      <c r="B2507" s="42" t="inlineStr">
        <is>
          <t>Google suggest</t>
        </is>
      </c>
      <c r="C2507" s="42" t="n">
        <v>3</v>
      </c>
      <c r="D2507" s="42" t="n">
        <v>26</v>
      </c>
      <c r="E2507" s="42" t="n">
        <v>1</v>
      </c>
      <c r="F2507" s="42" t="inlineStr">
        <is>
          <t>VD-133</t>
        </is>
      </c>
      <c r="G2507" s="55">
        <f>IFERROR(INDEX('Semrush Data'!$A$1:$Z$20000,MATCH(A2507,'Semrush Data'!$A$1:$A$20000,0),MATCH("Volume",'Semrush Data'!$A$1:$Z$1,0)),"")</f>
        <v/>
      </c>
      <c r="H2507" s="42">
        <f>IFERROR(INDEX('Semrush Data'!$A$1:$Z$20000,MATCH(A2507,'Semrush Data'!$A$1:$A$20000,0),MATCH("Keyword Difficulty*",'Semrush Data'!$A$1:$Z$1,0)),"")</f>
        <v/>
      </c>
      <c r="I2507" s="56">
        <f>IFERROR(INDEX('Semrush Data'!$A$1:$Z$20000,MATCH(A2507,'Semrush Data'!$A$1:$A$20000,0),MATCH("CPC*",'Semrush Data'!$A$1:$Z$1,0)),"")</f>
        <v/>
      </c>
      <c r="J2507" s="42">
        <f>IFERROR(INDEX('Semrush Data'!$A$1:$Z$20000,MATCH(A2507,'Semrush Data'!$A$1:$A$20000,0),MATCH("Intent",'Semrush Data'!$A$1:$Z$1,0)),"")</f>
        <v/>
      </c>
    </row>
    <row r="2508" ht="15" customHeight="1" s="37">
      <c r="A2508" s="42" t="inlineStr">
        <is>
          <t>deyga under eye cream review</t>
        </is>
      </c>
      <c r="B2508" s="42" t="inlineStr">
        <is>
          <t>Google suggest</t>
        </is>
      </c>
      <c r="C2508" s="42" t="n">
        <v>3</v>
      </c>
      <c r="D2508" s="42" t="inlineStr">
        <is>
          <t>T3-2</t>
        </is>
      </c>
      <c r="E2508" s="42" t="n">
        <v>1</v>
      </c>
      <c r="F2508" s="42" t="inlineStr">
        <is>
          <t>VD-133</t>
        </is>
      </c>
      <c r="G2508" s="55">
        <f>IFERROR(INDEX('Semrush Data'!$A$1:$Z$20000,MATCH(A2508,'Semrush Data'!$A$1:$A$20000,0),MATCH("Volume",'Semrush Data'!$A$1:$Z$1,0)),"")</f>
        <v/>
      </c>
      <c r="H2508" s="42">
        <f>IFERROR(INDEX('Semrush Data'!$A$1:$Z$20000,MATCH(A2508,'Semrush Data'!$A$1:$A$20000,0),MATCH("Keyword Difficulty*",'Semrush Data'!$A$1:$Z$1,0)),"")</f>
        <v/>
      </c>
      <c r="I2508" s="56">
        <f>IFERROR(INDEX('Semrush Data'!$A$1:$Z$20000,MATCH(A2508,'Semrush Data'!$A$1:$A$20000,0),MATCH("CPC*",'Semrush Data'!$A$1:$Z$1,0)),"")</f>
        <v/>
      </c>
      <c r="J2508" s="42">
        <f>IFERROR(INDEX('Semrush Data'!$A$1:$Z$20000,MATCH(A2508,'Semrush Data'!$A$1:$A$20000,0),MATCH("Intent",'Semrush Data'!$A$1:$Z$1,0)),"")</f>
        <v/>
      </c>
    </row>
    <row r="2509" ht="15" customHeight="1" s="37">
      <c r="A2509" s="42" t="inlineStr">
        <is>
          <t>deyga under eye mask review</t>
        </is>
      </c>
      <c r="B2509" s="42" t="inlineStr">
        <is>
          <t>Google suggest</t>
        </is>
      </c>
      <c r="C2509" s="42" t="n">
        <v>3</v>
      </c>
      <c r="D2509" s="42" t="inlineStr">
        <is>
          <t>T3-2</t>
        </is>
      </c>
      <c r="E2509" s="42" t="n">
        <v>1</v>
      </c>
      <c r="F2509" s="42" t="inlineStr">
        <is>
          <t>VD-098</t>
        </is>
      </c>
      <c r="G2509" s="55">
        <f>IFERROR(INDEX('Semrush Data'!$A$1:$Z$20000,MATCH(A2509,'Semrush Data'!$A$1:$A$20000,0),MATCH("Volume",'Semrush Data'!$A$1:$Z$1,0)),"")</f>
        <v/>
      </c>
      <c r="H2509" s="42">
        <f>IFERROR(INDEX('Semrush Data'!$A$1:$Z$20000,MATCH(A2509,'Semrush Data'!$A$1:$A$20000,0),MATCH("Keyword Difficulty*",'Semrush Data'!$A$1:$Z$1,0)),"")</f>
        <v/>
      </c>
      <c r="I2509" s="56">
        <f>IFERROR(INDEX('Semrush Data'!$A$1:$Z$20000,MATCH(A2509,'Semrush Data'!$A$1:$A$20000,0),MATCH("CPC*",'Semrush Data'!$A$1:$Z$1,0)),"")</f>
        <v/>
      </c>
      <c r="J2509" s="42">
        <f>IFERROR(INDEX('Semrush Data'!$A$1:$Z$20000,MATCH(A2509,'Semrush Data'!$A$1:$A$20000,0),MATCH("Intent",'Semrush Data'!$A$1:$Z$1,0)),"")</f>
        <v/>
      </c>
    </row>
    <row r="2510" ht="15" customHeight="1" s="37">
      <c r="A2510" s="42" t="inlineStr">
        <is>
          <t>deyga vitamin c foaming face wash review</t>
        </is>
      </c>
      <c r="B2510" s="42" t="inlineStr">
        <is>
          <t>Google suggest</t>
        </is>
      </c>
      <c r="C2510" s="42" t="n">
        <v>3</v>
      </c>
      <c r="D2510" s="42" t="inlineStr">
        <is>
          <t>T3-2</t>
        </is>
      </c>
      <c r="E2510" s="42" t="n">
        <v>1</v>
      </c>
      <c r="F2510" s="42" t="inlineStr">
        <is>
          <t>VD-095</t>
        </is>
      </c>
      <c r="G2510" s="55">
        <f>IFERROR(INDEX('Semrush Data'!$A$1:$Z$20000,MATCH(A2510,'Semrush Data'!$A$1:$A$20000,0),MATCH("Volume",'Semrush Data'!$A$1:$Z$1,0)),"")</f>
        <v/>
      </c>
      <c r="H2510" s="42">
        <f>IFERROR(INDEX('Semrush Data'!$A$1:$Z$20000,MATCH(A2510,'Semrush Data'!$A$1:$A$20000,0),MATCH("Keyword Difficulty*",'Semrush Data'!$A$1:$Z$1,0)),"")</f>
        <v/>
      </c>
      <c r="I2510" s="56">
        <f>IFERROR(INDEX('Semrush Data'!$A$1:$Z$20000,MATCH(A2510,'Semrush Data'!$A$1:$A$20000,0),MATCH("CPC*",'Semrush Data'!$A$1:$Z$1,0)),"")</f>
        <v/>
      </c>
      <c r="J2510" s="42">
        <f>IFERROR(INDEX('Semrush Data'!$A$1:$Z$20000,MATCH(A2510,'Semrush Data'!$A$1:$A$20000,0),MATCH("Intent",'Semrush Data'!$A$1:$Z$1,0)),"")</f>
        <v/>
      </c>
    </row>
    <row r="2511" ht="15" customHeight="1" s="37">
      <c r="A2511" s="42" t="inlineStr">
        <is>
          <t>deyga wild berry body wash review</t>
        </is>
      </c>
      <c r="B2511" s="42" t="inlineStr">
        <is>
          <t>Google suggest</t>
        </is>
      </c>
      <c r="C2511" s="42" t="n">
        <v>3</v>
      </c>
      <c r="D2511" s="42" t="inlineStr">
        <is>
          <t>T3-2</t>
        </is>
      </c>
      <c r="E2511" s="42" t="n">
        <v>1</v>
      </c>
      <c r="F2511" s="42" t="inlineStr">
        <is>
          <t>VD-096</t>
        </is>
      </c>
      <c r="G2511" s="55">
        <f>IFERROR(INDEX('Semrush Data'!$A$1:$Z$20000,MATCH(A2511,'Semrush Data'!$A$1:$A$20000,0),MATCH("Volume",'Semrush Data'!$A$1:$Z$1,0)),"")</f>
        <v/>
      </c>
      <c r="H2511" s="42">
        <f>IFERROR(INDEX('Semrush Data'!$A$1:$Z$20000,MATCH(A2511,'Semrush Data'!$A$1:$A$20000,0),MATCH("Keyword Difficulty*",'Semrush Data'!$A$1:$Z$1,0)),"")</f>
        <v/>
      </c>
      <c r="I2511" s="56">
        <f>IFERROR(INDEX('Semrush Data'!$A$1:$Z$20000,MATCH(A2511,'Semrush Data'!$A$1:$A$20000,0),MATCH("CPC*",'Semrush Data'!$A$1:$Z$1,0)),"")</f>
        <v/>
      </c>
      <c r="J2511" s="42">
        <f>IFERROR(INDEX('Semrush Data'!$A$1:$Z$20000,MATCH(A2511,'Semrush Data'!$A$1:$A$20000,0),MATCH("Intent",'Semrush Data'!$A$1:$Z$1,0)),"")</f>
        <v/>
      </c>
    </row>
    <row r="2512" ht="15" customHeight="1" s="37">
      <c r="A2512" s="42" t="inlineStr">
        <is>
          <t>dior miss dior roller pearl 20ml</t>
        </is>
      </c>
      <c r="B2512" s="42" t="inlineStr">
        <is>
          <t>Google suggest</t>
        </is>
      </c>
      <c r="C2512" s="42" t="n">
        <v>3</v>
      </c>
      <c r="D2512" s="42" t="n">
        <v>26</v>
      </c>
      <c r="E2512" s="42" t="n">
        <v>1</v>
      </c>
      <c r="F2512" s="42" t="inlineStr">
        <is>
          <t>FR-113</t>
        </is>
      </c>
      <c r="G2512" s="55">
        <f>IFERROR(INDEX('Semrush Data'!$A$1:$Z$20000,MATCH(A2512,'Semrush Data'!$A$1:$A$20000,0),MATCH("Volume",'Semrush Data'!$A$1:$Z$1,0)),"")</f>
        <v/>
      </c>
      <c r="H2512" s="42">
        <f>IFERROR(INDEX('Semrush Data'!$A$1:$Z$20000,MATCH(A2512,'Semrush Data'!$A$1:$A$20000,0),MATCH("Keyword Difficulty*",'Semrush Data'!$A$1:$Z$1,0)),"")</f>
        <v/>
      </c>
      <c r="I2512" s="56">
        <f>IFERROR(INDEX('Semrush Data'!$A$1:$Z$20000,MATCH(A2512,'Semrush Data'!$A$1:$A$20000,0),MATCH("CPC*",'Semrush Data'!$A$1:$Z$1,0)),"")</f>
        <v/>
      </c>
      <c r="J2512" s="42">
        <f>IFERROR(INDEX('Semrush Data'!$A$1:$Z$20000,MATCH(A2512,'Semrush Data'!$A$1:$A$20000,0),MATCH("Intent",'Semrush Data'!$A$1:$Z$1,0)),"")</f>
        <v/>
      </c>
    </row>
    <row r="2513" ht="15" customHeight="1" s="37">
      <c r="A2513" s="42" t="inlineStr">
        <is>
          <t>dior miss dior roller pearl eau de parfum</t>
        </is>
      </c>
      <c r="B2513" s="42" t="inlineStr">
        <is>
          <t>Google suggest</t>
        </is>
      </c>
      <c r="C2513" s="42" t="n">
        <v>3</v>
      </c>
      <c r="D2513" s="42" t="n">
        <v>26</v>
      </c>
      <c r="E2513" s="42" t="n">
        <v>1</v>
      </c>
      <c r="F2513" s="42" t="inlineStr">
        <is>
          <t>FR-113</t>
        </is>
      </c>
      <c r="G2513" s="55">
        <f>IFERROR(INDEX('Semrush Data'!$A$1:$Z$20000,MATCH(A2513,'Semrush Data'!$A$1:$A$20000,0),MATCH("Volume",'Semrush Data'!$A$1:$Z$1,0)),"")</f>
        <v/>
      </c>
      <c r="H2513" s="42">
        <f>IFERROR(INDEX('Semrush Data'!$A$1:$Z$20000,MATCH(A2513,'Semrush Data'!$A$1:$A$20000,0),MATCH("Keyword Difficulty*",'Semrush Data'!$A$1:$Z$1,0)),"")</f>
        <v/>
      </c>
      <c r="I2513" s="56">
        <f>IFERROR(INDEX('Semrush Data'!$A$1:$Z$20000,MATCH(A2513,'Semrush Data'!$A$1:$A$20000,0),MATCH("CPC*",'Semrush Data'!$A$1:$Z$1,0)),"")</f>
        <v/>
      </c>
      <c r="J2513" s="42">
        <f>IFERROR(INDEX('Semrush Data'!$A$1:$Z$20000,MATCH(A2513,'Semrush Data'!$A$1:$A$20000,0),MATCH("Intent",'Semrush Data'!$A$1:$Z$1,0)),"")</f>
        <v/>
      </c>
    </row>
    <row r="2514" ht="15" customHeight="1" s="37">
      <c r="A2514" s="42" t="inlineStr">
        <is>
          <t>dior miss dior roller pearl edp 20ml</t>
        </is>
      </c>
      <c r="B2514" s="42" t="inlineStr">
        <is>
          <t>Google suggest</t>
        </is>
      </c>
      <c r="C2514" s="42" t="n">
        <v>3</v>
      </c>
      <c r="D2514" s="42" t="n">
        <v>26</v>
      </c>
      <c r="E2514" s="42" t="n">
        <v>1</v>
      </c>
      <c r="F2514" s="42" t="inlineStr">
        <is>
          <t>FR-113</t>
        </is>
      </c>
      <c r="G2514" s="55">
        <f>IFERROR(INDEX('Semrush Data'!$A$1:$Z$20000,MATCH(A2514,'Semrush Data'!$A$1:$A$20000,0),MATCH("Volume",'Semrush Data'!$A$1:$Z$1,0)),"")</f>
        <v/>
      </c>
      <c r="H2514" s="42">
        <f>IFERROR(INDEX('Semrush Data'!$A$1:$Z$20000,MATCH(A2514,'Semrush Data'!$A$1:$A$20000,0),MATCH("Keyword Difficulty*",'Semrush Data'!$A$1:$Z$1,0)),"")</f>
        <v/>
      </c>
      <c r="I2514" s="56">
        <f>IFERROR(INDEX('Semrush Data'!$A$1:$Z$20000,MATCH(A2514,'Semrush Data'!$A$1:$A$20000,0),MATCH("CPC*",'Semrush Data'!$A$1:$Z$1,0)),"")</f>
        <v/>
      </c>
      <c r="J2514" s="42">
        <f>IFERROR(INDEX('Semrush Data'!$A$1:$Z$20000,MATCH(A2514,'Semrush Data'!$A$1:$A$20000,0),MATCH("Intent",'Semrush Data'!$A$1:$Z$1,0)),"")</f>
        <v/>
      </c>
    </row>
    <row r="2515" ht="15" customHeight="1" s="37">
      <c r="A2515" s="42" t="inlineStr">
        <is>
          <t>dior miss dior roller pearl parfum</t>
        </is>
      </c>
      <c r="B2515" s="42" t="inlineStr">
        <is>
          <t>Google suggest</t>
        </is>
      </c>
      <c r="C2515" s="42" t="n">
        <v>3</v>
      </c>
      <c r="D2515" s="42" t="n">
        <v>26</v>
      </c>
      <c r="E2515" s="42" t="n">
        <v>1</v>
      </c>
      <c r="F2515" s="42" t="inlineStr">
        <is>
          <t>FR-113</t>
        </is>
      </c>
      <c r="G2515" s="55">
        <f>IFERROR(INDEX('Semrush Data'!$A$1:$Z$20000,MATCH(A2515,'Semrush Data'!$A$1:$A$20000,0),MATCH("Volume",'Semrush Data'!$A$1:$Z$1,0)),"")</f>
        <v/>
      </c>
      <c r="H2515" s="42">
        <f>IFERROR(INDEX('Semrush Data'!$A$1:$Z$20000,MATCH(A2515,'Semrush Data'!$A$1:$A$20000,0),MATCH("Keyword Difficulty*",'Semrush Data'!$A$1:$Z$1,0)),"")</f>
        <v/>
      </c>
      <c r="I2515" s="56">
        <f>IFERROR(INDEX('Semrush Data'!$A$1:$Z$20000,MATCH(A2515,'Semrush Data'!$A$1:$A$20000,0),MATCH("CPC*",'Semrush Data'!$A$1:$Z$1,0)),"")</f>
        <v/>
      </c>
      <c r="J2515" s="42">
        <f>IFERROR(INDEX('Semrush Data'!$A$1:$Z$20000,MATCH(A2515,'Semrush Data'!$A$1:$A$20000,0),MATCH("Intent",'Semrush Data'!$A$1:$Z$1,0)),"")</f>
        <v/>
      </c>
    </row>
    <row r="2516" ht="15" customHeight="1" s="37">
      <c r="A2516" s="42" t="inlineStr">
        <is>
          <t>dior sauvage edp</t>
        </is>
      </c>
      <c r="B2516" s="42" t="inlineStr">
        <is>
          <t>Google suggest</t>
        </is>
      </c>
      <c r="C2516" s="42" t="n">
        <v>3</v>
      </c>
      <c r="D2516" s="42" t="n">
        <v>26</v>
      </c>
      <c r="E2516" s="42" t="n">
        <v>1</v>
      </c>
      <c r="F2516" s="42" t="inlineStr">
        <is>
          <t>FR-115</t>
        </is>
      </c>
      <c r="G2516" s="55">
        <f>IFERROR(INDEX('Semrush Data'!$A$1:$Z$20000,MATCH(A2516,'Semrush Data'!$A$1:$A$20000,0),MATCH("Volume",'Semrush Data'!$A$1:$Z$1,0)),"")</f>
        <v/>
      </c>
      <c r="H2516" s="42">
        <f>IFERROR(INDEX('Semrush Data'!$A$1:$Z$20000,MATCH(A2516,'Semrush Data'!$A$1:$A$20000,0),MATCH("Keyword Difficulty*",'Semrush Data'!$A$1:$Z$1,0)),"")</f>
        <v/>
      </c>
      <c r="I2516" s="56">
        <f>IFERROR(INDEX('Semrush Data'!$A$1:$Z$20000,MATCH(A2516,'Semrush Data'!$A$1:$A$20000,0),MATCH("CPC*",'Semrush Data'!$A$1:$Z$1,0)),"")</f>
        <v/>
      </c>
      <c r="J2516" s="42">
        <f>IFERROR(INDEX('Semrush Data'!$A$1:$Z$20000,MATCH(A2516,'Semrush Data'!$A$1:$A$20000,0),MATCH("Intent",'Semrush Data'!$A$1:$Z$1,0)),"")</f>
        <v/>
      </c>
    </row>
    <row r="2517" ht="15" customHeight="1" s="37">
      <c r="A2517" s="42" t="inlineStr">
        <is>
          <t>dior sauvage edt</t>
        </is>
      </c>
      <c r="B2517" s="42" t="inlineStr">
        <is>
          <t>Google suggest</t>
        </is>
      </c>
      <c r="C2517" s="42" t="n">
        <v>3</v>
      </c>
      <c r="D2517" s="42" t="n">
        <v>26</v>
      </c>
      <c r="E2517" s="42" t="n">
        <v>1</v>
      </c>
      <c r="F2517" s="42" t="inlineStr">
        <is>
          <t>FR-115</t>
        </is>
      </c>
      <c r="G2517" s="55">
        <f>IFERROR(INDEX('Semrush Data'!$A$1:$Z$20000,MATCH(A2517,'Semrush Data'!$A$1:$A$20000,0),MATCH("Volume",'Semrush Data'!$A$1:$Z$1,0)),"")</f>
        <v/>
      </c>
      <c r="H2517" s="42">
        <f>IFERROR(INDEX('Semrush Data'!$A$1:$Z$20000,MATCH(A2517,'Semrush Data'!$A$1:$A$20000,0),MATCH("Keyword Difficulty*",'Semrush Data'!$A$1:$Z$1,0)),"")</f>
        <v/>
      </c>
      <c r="I2517" s="56">
        <f>IFERROR(INDEX('Semrush Data'!$A$1:$Z$20000,MATCH(A2517,'Semrush Data'!$A$1:$A$20000,0),MATCH("CPC*",'Semrush Data'!$A$1:$Z$1,0)),"")</f>
        <v/>
      </c>
      <c r="J2517" s="42">
        <f>IFERROR(INDEX('Semrush Data'!$A$1:$Z$20000,MATCH(A2517,'Semrush Data'!$A$1:$A$20000,0),MATCH("Intent",'Semrush Data'!$A$1:$Z$1,0)),"")</f>
        <v/>
      </c>
    </row>
    <row r="2518" ht="15" customHeight="1" s="37">
      <c r="A2518" s="42" t="inlineStr">
        <is>
          <t>dior sauvage extrait</t>
        </is>
      </c>
      <c r="B2518" s="42" t="inlineStr">
        <is>
          <t>Google suggest</t>
        </is>
      </c>
      <c r="C2518" s="42" t="n">
        <v>3</v>
      </c>
      <c r="D2518" s="42" t="inlineStr">
        <is>
          <t>T3-1</t>
        </is>
      </c>
      <c r="E2518" s="42" t="n">
        <v>1</v>
      </c>
      <c r="F2518" s="42" t="inlineStr">
        <is>
          <t>FR-115</t>
        </is>
      </c>
      <c r="G2518" s="55">
        <f>IFERROR(INDEX('Semrush Data'!$A$1:$Z$20000,MATCH(A2518,'Semrush Data'!$A$1:$A$20000,0),MATCH("Volume",'Semrush Data'!$A$1:$Z$1,0)),"")</f>
        <v/>
      </c>
      <c r="H2518" s="42">
        <f>IFERROR(INDEX('Semrush Data'!$A$1:$Z$20000,MATCH(A2518,'Semrush Data'!$A$1:$A$20000,0),MATCH("Keyword Difficulty*",'Semrush Data'!$A$1:$Z$1,0)),"")</f>
        <v/>
      </c>
      <c r="I2518" s="56">
        <f>IFERROR(INDEX('Semrush Data'!$A$1:$Z$20000,MATCH(A2518,'Semrush Data'!$A$1:$A$20000,0),MATCH("CPC*",'Semrush Data'!$A$1:$Z$1,0)),"")</f>
        <v/>
      </c>
      <c r="J2518" s="42">
        <f>IFERROR(INDEX('Semrush Data'!$A$1:$Z$20000,MATCH(A2518,'Semrush Data'!$A$1:$A$20000,0),MATCH("Intent",'Semrush Data'!$A$1:$Z$1,0)),"")</f>
        <v/>
      </c>
    </row>
    <row r="2519" ht="15" customHeight="1" s="37">
      <c r="A2519" s="42" t="inlineStr">
        <is>
          <t>dior sauvage parfum</t>
        </is>
      </c>
      <c r="B2519" s="42" t="inlineStr">
        <is>
          <t>Google suggest</t>
        </is>
      </c>
      <c r="C2519" s="42" t="n">
        <v>3</v>
      </c>
      <c r="D2519" s="42" t="inlineStr">
        <is>
          <t>T3-1</t>
        </is>
      </c>
      <c r="E2519" s="42" t="n">
        <v>1</v>
      </c>
      <c r="F2519" s="42" t="inlineStr">
        <is>
          <t>FR-115</t>
        </is>
      </c>
      <c r="G2519" s="55">
        <f>IFERROR(INDEX('Semrush Data'!$A$1:$Z$20000,MATCH(A2519,'Semrush Data'!$A$1:$A$20000,0),MATCH("Volume",'Semrush Data'!$A$1:$Z$1,0)),"")</f>
        <v/>
      </c>
      <c r="H2519" s="42">
        <f>IFERROR(INDEX('Semrush Data'!$A$1:$Z$20000,MATCH(A2519,'Semrush Data'!$A$1:$A$20000,0),MATCH("Keyword Difficulty*",'Semrush Data'!$A$1:$Z$1,0)),"")</f>
        <v/>
      </c>
      <c r="I2519" s="56">
        <f>IFERROR(INDEX('Semrush Data'!$A$1:$Z$20000,MATCH(A2519,'Semrush Data'!$A$1:$A$20000,0),MATCH("CPC*",'Semrush Data'!$A$1:$Z$1,0)),"")</f>
        <v/>
      </c>
      <c r="J2519" s="42">
        <f>IFERROR(INDEX('Semrush Data'!$A$1:$Z$20000,MATCH(A2519,'Semrush Data'!$A$1:$A$20000,0),MATCH("Intent",'Semrush Data'!$A$1:$Z$1,0)),"")</f>
        <v/>
      </c>
    </row>
    <row r="2520" ht="15" customHeight="1" s="37">
      <c r="A2520" s="42" t="inlineStr">
        <is>
          <t>dkny be delicious fresh blossom gift set</t>
        </is>
      </c>
      <c r="B2520" s="42" t="inlineStr">
        <is>
          <t>Google suggest</t>
        </is>
      </c>
      <c r="C2520" s="42" t="n">
        <v>3</v>
      </c>
      <c r="D2520" s="42" t="n">
        <v>26</v>
      </c>
      <c r="E2520" s="42" t="n">
        <v>1</v>
      </c>
      <c r="F2520" s="42" t="inlineStr">
        <is>
          <t>FR-118</t>
        </is>
      </c>
      <c r="G2520" s="55">
        <f>IFERROR(INDEX('Semrush Data'!$A$1:$Z$20000,MATCH(A2520,'Semrush Data'!$A$1:$A$20000,0),MATCH("Volume",'Semrush Data'!$A$1:$Z$1,0)),"")</f>
        <v/>
      </c>
      <c r="H2520" s="42">
        <f>IFERROR(INDEX('Semrush Data'!$A$1:$Z$20000,MATCH(A2520,'Semrush Data'!$A$1:$A$20000,0),MATCH("Keyword Difficulty*",'Semrush Data'!$A$1:$Z$1,0)),"")</f>
        <v/>
      </c>
      <c r="I2520" s="56">
        <f>IFERROR(INDEX('Semrush Data'!$A$1:$Z$20000,MATCH(A2520,'Semrush Data'!$A$1:$A$20000,0),MATCH("CPC*",'Semrush Data'!$A$1:$Z$1,0)),"")</f>
        <v/>
      </c>
      <c r="J2520" s="42">
        <f>IFERROR(INDEX('Semrush Data'!$A$1:$Z$20000,MATCH(A2520,'Semrush Data'!$A$1:$A$20000,0),MATCH("Intent",'Semrush Data'!$A$1:$Z$1,0)),"")</f>
        <v/>
      </c>
    </row>
    <row r="2521" ht="15" customHeight="1" s="37">
      <c r="A2521" s="42" t="inlineStr">
        <is>
          <t>dkny be delicious fresh blossom gift set 30ml edp 7ml edp</t>
        </is>
      </c>
      <c r="B2521" s="42" t="inlineStr">
        <is>
          <t>Google suggest</t>
        </is>
      </c>
      <c r="C2521" s="42" t="n">
        <v>3</v>
      </c>
      <c r="D2521" s="42" t="n">
        <v>26</v>
      </c>
      <c r="E2521" s="42" t="n">
        <v>1</v>
      </c>
      <c r="F2521" s="42" t="inlineStr">
        <is>
          <t>FR-118</t>
        </is>
      </c>
      <c r="G2521" s="55">
        <f>IFERROR(INDEX('Semrush Data'!$A$1:$Z$20000,MATCH(A2521,'Semrush Data'!$A$1:$A$20000,0),MATCH("Volume",'Semrush Data'!$A$1:$Z$1,0)),"")</f>
        <v/>
      </c>
      <c r="H2521" s="42">
        <f>IFERROR(INDEX('Semrush Data'!$A$1:$Z$20000,MATCH(A2521,'Semrush Data'!$A$1:$A$20000,0),MATCH("Keyword Difficulty*",'Semrush Data'!$A$1:$Z$1,0)),"")</f>
        <v/>
      </c>
      <c r="I2521" s="56">
        <f>IFERROR(INDEX('Semrush Data'!$A$1:$Z$20000,MATCH(A2521,'Semrush Data'!$A$1:$A$20000,0),MATCH("CPC*",'Semrush Data'!$A$1:$Z$1,0)),"")</f>
        <v/>
      </c>
      <c r="J2521" s="42">
        <f>IFERROR(INDEX('Semrush Data'!$A$1:$Z$20000,MATCH(A2521,'Semrush Data'!$A$1:$A$20000,0),MATCH("Intent",'Semrush Data'!$A$1:$Z$1,0)),"")</f>
        <v/>
      </c>
    </row>
    <row r="2522" ht="15" customHeight="1" s="37">
      <c r="A2522" s="42" t="inlineStr">
        <is>
          <t>dkny be delicious fresh blossom review</t>
        </is>
      </c>
      <c r="B2522" s="42" t="inlineStr">
        <is>
          <t>Google suggest</t>
        </is>
      </c>
      <c r="C2522" s="42" t="n">
        <v>3</v>
      </c>
      <c r="D2522" s="42" t="n">
        <v>26</v>
      </c>
      <c r="E2522" s="42" t="n">
        <v>1</v>
      </c>
      <c r="F2522" s="42" t="inlineStr">
        <is>
          <t>FR-118</t>
        </is>
      </c>
      <c r="G2522" s="55">
        <f>IFERROR(INDEX('Semrush Data'!$A$1:$Z$20000,MATCH(A2522,'Semrush Data'!$A$1:$A$20000,0),MATCH("Volume",'Semrush Data'!$A$1:$Z$1,0)),"")</f>
        <v/>
      </c>
      <c r="H2522" s="42">
        <f>IFERROR(INDEX('Semrush Data'!$A$1:$Z$20000,MATCH(A2522,'Semrush Data'!$A$1:$A$20000,0),MATCH("Keyword Difficulty*",'Semrush Data'!$A$1:$Z$1,0)),"")</f>
        <v/>
      </c>
      <c r="I2522" s="56">
        <f>IFERROR(INDEX('Semrush Data'!$A$1:$Z$20000,MATCH(A2522,'Semrush Data'!$A$1:$A$20000,0),MATCH("CPC*",'Semrush Data'!$A$1:$Z$1,0)),"")</f>
        <v/>
      </c>
      <c r="J2522" s="42">
        <f>IFERROR(INDEX('Semrush Data'!$A$1:$Z$20000,MATCH(A2522,'Semrush Data'!$A$1:$A$20000,0),MATCH("Intent",'Semrush Data'!$A$1:$Z$1,0)),"")</f>
        <v/>
      </c>
    </row>
    <row r="2523" ht="15" customHeight="1" s="37">
      <c r="A2523" s="42" t="inlineStr">
        <is>
          <t>dkny be delicious gift set 30ml be delicious edp 30ml fresh blossom edp</t>
        </is>
      </c>
      <c r="B2523" s="42" t="inlineStr">
        <is>
          <t>Google suggest</t>
        </is>
      </c>
      <c r="C2523" s="42" t="n">
        <v>3</v>
      </c>
      <c r="D2523" s="42" t="n">
        <v>26</v>
      </c>
      <c r="E2523" s="42" t="n">
        <v>1</v>
      </c>
      <c r="F2523" s="42" t="inlineStr">
        <is>
          <t>FR-118</t>
        </is>
      </c>
      <c r="G2523" s="55">
        <f>IFERROR(INDEX('Semrush Data'!$A$1:$Z$20000,MATCH(A2523,'Semrush Data'!$A$1:$A$20000,0),MATCH("Volume",'Semrush Data'!$A$1:$Z$1,0)),"")</f>
        <v/>
      </c>
      <c r="H2523" s="42">
        <f>IFERROR(INDEX('Semrush Data'!$A$1:$Z$20000,MATCH(A2523,'Semrush Data'!$A$1:$A$20000,0),MATCH("Keyword Difficulty*",'Semrush Data'!$A$1:$Z$1,0)),"")</f>
        <v/>
      </c>
      <c r="I2523" s="56">
        <f>IFERROR(INDEX('Semrush Data'!$A$1:$Z$20000,MATCH(A2523,'Semrush Data'!$A$1:$A$20000,0),MATCH("CPC*",'Semrush Data'!$A$1:$Z$1,0)),"")</f>
        <v/>
      </c>
      <c r="J2523" s="42">
        <f>IFERROR(INDEX('Semrush Data'!$A$1:$Z$20000,MATCH(A2523,'Semrush Data'!$A$1:$A$20000,0),MATCH("Intent",'Semrush Data'!$A$1:$Z$1,0)),"")</f>
        <v/>
      </c>
    </row>
    <row r="2524" ht="15" customHeight="1" s="37">
      <c r="A2524" s="42" t="inlineStr">
        <is>
          <t>dkny be delicious orchard street eau de parfum 100ml</t>
        </is>
      </c>
      <c r="B2524" s="42" t="inlineStr">
        <is>
          <t>Google suggest</t>
        </is>
      </c>
      <c r="C2524" s="42" t="n">
        <v>3</v>
      </c>
      <c r="D2524" s="42" t="n">
        <v>26</v>
      </c>
      <c r="E2524" s="42" t="n">
        <v>1</v>
      </c>
      <c r="F2524" s="42" t="inlineStr">
        <is>
          <t>FR-116</t>
        </is>
      </c>
      <c r="G2524" s="55">
        <f>IFERROR(INDEX('Semrush Data'!$A$1:$Z$20000,MATCH(A2524,'Semrush Data'!$A$1:$A$20000,0),MATCH("Volume",'Semrush Data'!$A$1:$Z$1,0)),"")</f>
        <v/>
      </c>
      <c r="H2524" s="42">
        <f>IFERROR(INDEX('Semrush Data'!$A$1:$Z$20000,MATCH(A2524,'Semrush Data'!$A$1:$A$20000,0),MATCH("Keyword Difficulty*",'Semrush Data'!$A$1:$Z$1,0)),"")</f>
        <v/>
      </c>
      <c r="I2524" s="56">
        <f>IFERROR(INDEX('Semrush Data'!$A$1:$Z$20000,MATCH(A2524,'Semrush Data'!$A$1:$A$20000,0),MATCH("CPC*",'Semrush Data'!$A$1:$Z$1,0)),"")</f>
        <v/>
      </c>
      <c r="J2524" s="42">
        <f>IFERROR(INDEX('Semrush Data'!$A$1:$Z$20000,MATCH(A2524,'Semrush Data'!$A$1:$A$20000,0),MATCH("Intent",'Semrush Data'!$A$1:$Z$1,0)),"")</f>
        <v/>
      </c>
    </row>
    <row r="2525" ht="15" customHeight="1" s="37">
      <c r="A2525" s="42" t="inlineStr">
        <is>
          <t>dkny be delicious orchard street edp</t>
        </is>
      </c>
      <c r="B2525" s="42" t="inlineStr">
        <is>
          <t>Google suggest</t>
        </is>
      </c>
      <c r="C2525" s="42" t="n">
        <v>3</v>
      </c>
      <c r="D2525" s="42" t="n">
        <v>26</v>
      </c>
      <c r="E2525" s="42" t="n">
        <v>1</v>
      </c>
      <c r="F2525" s="42" t="inlineStr">
        <is>
          <t>FR-116</t>
        </is>
      </c>
      <c r="G2525" s="55">
        <f>IFERROR(INDEX('Semrush Data'!$A$1:$Z$20000,MATCH(A2525,'Semrush Data'!$A$1:$A$20000,0),MATCH("Volume",'Semrush Data'!$A$1:$Z$1,0)),"")</f>
        <v/>
      </c>
      <c r="H2525" s="42">
        <f>IFERROR(INDEX('Semrush Data'!$A$1:$Z$20000,MATCH(A2525,'Semrush Data'!$A$1:$A$20000,0),MATCH("Keyword Difficulty*",'Semrush Data'!$A$1:$Z$1,0)),"")</f>
        <v/>
      </c>
      <c r="I2525" s="56">
        <f>IFERROR(INDEX('Semrush Data'!$A$1:$Z$20000,MATCH(A2525,'Semrush Data'!$A$1:$A$20000,0),MATCH("CPC*",'Semrush Data'!$A$1:$Z$1,0)),"")</f>
        <v/>
      </c>
      <c r="J2525" s="42">
        <f>IFERROR(INDEX('Semrush Data'!$A$1:$Z$20000,MATCH(A2525,'Semrush Data'!$A$1:$A$20000,0),MATCH("Intent",'Semrush Data'!$A$1:$Z$1,0)),"")</f>
        <v/>
      </c>
    </row>
    <row r="2526" ht="15" customHeight="1" s="37">
      <c r="A2526" s="42" t="inlineStr">
        <is>
          <t>dkny be delicious orchard street edp 100ml</t>
        </is>
      </c>
      <c r="B2526" s="42" t="inlineStr">
        <is>
          <t>Google suggest</t>
        </is>
      </c>
      <c r="C2526" s="42" t="n">
        <v>3</v>
      </c>
      <c r="D2526" s="42" t="n">
        <v>26</v>
      </c>
      <c r="E2526" s="42" t="n">
        <v>1</v>
      </c>
      <c r="F2526" s="42" t="inlineStr">
        <is>
          <t>FR-116</t>
        </is>
      </c>
      <c r="G2526" s="55">
        <f>IFERROR(INDEX('Semrush Data'!$A$1:$Z$20000,MATCH(A2526,'Semrush Data'!$A$1:$A$20000,0),MATCH("Volume",'Semrush Data'!$A$1:$Z$1,0)),"")</f>
        <v/>
      </c>
      <c r="H2526" s="42">
        <f>IFERROR(INDEX('Semrush Data'!$A$1:$Z$20000,MATCH(A2526,'Semrush Data'!$A$1:$A$20000,0),MATCH("Keyword Difficulty*",'Semrush Data'!$A$1:$Z$1,0)),"")</f>
        <v/>
      </c>
      <c r="I2526" s="56">
        <f>IFERROR(INDEX('Semrush Data'!$A$1:$Z$20000,MATCH(A2526,'Semrush Data'!$A$1:$A$20000,0),MATCH("CPC*",'Semrush Data'!$A$1:$Z$1,0)),"")</f>
        <v/>
      </c>
      <c r="J2526" s="42">
        <f>IFERROR(INDEX('Semrush Data'!$A$1:$Z$20000,MATCH(A2526,'Semrush Data'!$A$1:$A$20000,0),MATCH("Intent",'Semrush Data'!$A$1:$Z$1,0)),"")</f>
        <v/>
      </c>
    </row>
    <row r="2527" ht="15" customHeight="1" s="37">
      <c r="A2527" s="42" t="inlineStr">
        <is>
          <t>dkny be delicious orchard street edp 30ml</t>
        </is>
      </c>
      <c r="B2527" s="42" t="inlineStr">
        <is>
          <t>Google suggest</t>
        </is>
      </c>
      <c r="C2527" s="42" t="n">
        <v>3</v>
      </c>
      <c r="D2527" s="42" t="n">
        <v>26</v>
      </c>
      <c r="E2527" s="42" t="n">
        <v>1</v>
      </c>
      <c r="F2527" s="42" t="inlineStr">
        <is>
          <t>FR-116</t>
        </is>
      </c>
      <c r="G2527" s="55">
        <f>IFERROR(INDEX('Semrush Data'!$A$1:$Z$20000,MATCH(A2527,'Semrush Data'!$A$1:$A$20000,0),MATCH("Volume",'Semrush Data'!$A$1:$Z$1,0)),"")</f>
        <v/>
      </c>
      <c r="H2527" s="42">
        <f>IFERROR(INDEX('Semrush Data'!$A$1:$Z$20000,MATCH(A2527,'Semrush Data'!$A$1:$A$20000,0),MATCH("Keyword Difficulty*",'Semrush Data'!$A$1:$Z$1,0)),"")</f>
        <v/>
      </c>
      <c r="I2527" s="56">
        <f>IFERROR(INDEX('Semrush Data'!$A$1:$Z$20000,MATCH(A2527,'Semrush Data'!$A$1:$A$20000,0),MATCH("CPC*",'Semrush Data'!$A$1:$Z$1,0)),"")</f>
        <v/>
      </c>
      <c r="J2527" s="42">
        <f>IFERROR(INDEX('Semrush Data'!$A$1:$Z$20000,MATCH(A2527,'Semrush Data'!$A$1:$A$20000,0),MATCH("Intent",'Semrush Data'!$A$1:$Z$1,0)),"")</f>
        <v/>
      </c>
    </row>
    <row r="2528" ht="15" customHeight="1" s="37">
      <c r="A2528" s="42" t="inlineStr">
        <is>
          <t>dkny be delicious orchard street perfume</t>
        </is>
      </c>
      <c r="B2528" s="42" t="inlineStr">
        <is>
          <t>Google suggest</t>
        </is>
      </c>
      <c r="C2528" s="42" t="n">
        <v>3</v>
      </c>
      <c r="D2528" s="42" t="n">
        <v>26</v>
      </c>
      <c r="E2528" s="42" t="n">
        <v>1</v>
      </c>
      <c r="F2528" s="42" t="inlineStr">
        <is>
          <t>FR-116</t>
        </is>
      </c>
      <c r="G2528" s="55">
        <f>IFERROR(INDEX('Semrush Data'!$A$1:$Z$20000,MATCH(A2528,'Semrush Data'!$A$1:$A$20000,0),MATCH("Volume",'Semrush Data'!$A$1:$Z$1,0)),"")</f>
        <v/>
      </c>
      <c r="H2528" s="42">
        <f>IFERROR(INDEX('Semrush Data'!$A$1:$Z$20000,MATCH(A2528,'Semrush Data'!$A$1:$A$20000,0),MATCH("Keyword Difficulty*",'Semrush Data'!$A$1:$Z$1,0)),"")</f>
        <v/>
      </c>
      <c r="I2528" s="56">
        <f>IFERROR(INDEX('Semrush Data'!$A$1:$Z$20000,MATCH(A2528,'Semrush Data'!$A$1:$A$20000,0),MATCH("CPC*",'Semrush Data'!$A$1:$Z$1,0)),"")</f>
        <v/>
      </c>
      <c r="J2528" s="42">
        <f>IFERROR(INDEX('Semrush Data'!$A$1:$Z$20000,MATCH(A2528,'Semrush Data'!$A$1:$A$20000,0),MATCH("Intent",'Semrush Data'!$A$1:$Z$1,0)),"")</f>
        <v/>
      </c>
    </row>
    <row r="2529" ht="15" customHeight="1" s="37">
      <c r="A2529" s="42" t="inlineStr">
        <is>
          <t>dkny be tempted 100ml</t>
        </is>
      </c>
      <c r="B2529" s="42" t="inlineStr">
        <is>
          <t>Google suggest</t>
        </is>
      </c>
      <c r="C2529" s="42" t="n">
        <v>3</v>
      </c>
      <c r="D2529" s="42" t="n">
        <v>26</v>
      </c>
      <c r="E2529" s="42" t="n">
        <v>1</v>
      </c>
      <c r="F2529" s="42" t="inlineStr">
        <is>
          <t>FR-117</t>
        </is>
      </c>
      <c r="G2529" s="55">
        <f>IFERROR(INDEX('Semrush Data'!$A$1:$Z$20000,MATCH(A2529,'Semrush Data'!$A$1:$A$20000,0),MATCH("Volume",'Semrush Data'!$A$1:$Z$1,0)),"")</f>
        <v/>
      </c>
      <c r="H2529" s="42">
        <f>IFERROR(INDEX('Semrush Data'!$A$1:$Z$20000,MATCH(A2529,'Semrush Data'!$A$1:$A$20000,0),MATCH("Keyword Difficulty*",'Semrush Data'!$A$1:$Z$1,0)),"")</f>
        <v/>
      </c>
      <c r="I2529" s="56">
        <f>IFERROR(INDEX('Semrush Data'!$A$1:$Z$20000,MATCH(A2529,'Semrush Data'!$A$1:$A$20000,0),MATCH("CPC*",'Semrush Data'!$A$1:$Z$1,0)),"")</f>
        <v/>
      </c>
      <c r="J2529" s="42">
        <f>IFERROR(INDEX('Semrush Data'!$A$1:$Z$20000,MATCH(A2529,'Semrush Data'!$A$1:$A$20000,0),MATCH("Intent",'Semrush Data'!$A$1:$Z$1,0)),"")</f>
        <v/>
      </c>
    </row>
    <row r="2530" ht="15" customHeight="1" s="37">
      <c r="A2530" s="42" t="inlineStr">
        <is>
          <t>dkny be tempted 50ml</t>
        </is>
      </c>
      <c r="B2530" s="42" t="inlineStr">
        <is>
          <t>Google suggest</t>
        </is>
      </c>
      <c r="C2530" s="42" t="n">
        <v>3</v>
      </c>
      <c r="D2530" s="42" t="n">
        <v>26</v>
      </c>
      <c r="E2530" s="42" t="n">
        <v>1</v>
      </c>
      <c r="F2530" s="42" t="inlineStr">
        <is>
          <t>FR-117</t>
        </is>
      </c>
      <c r="G2530" s="55">
        <f>IFERROR(INDEX('Semrush Data'!$A$1:$Z$20000,MATCH(A2530,'Semrush Data'!$A$1:$A$20000,0),MATCH("Volume",'Semrush Data'!$A$1:$Z$1,0)),"")</f>
        <v/>
      </c>
      <c r="H2530" s="42">
        <f>IFERROR(INDEX('Semrush Data'!$A$1:$Z$20000,MATCH(A2530,'Semrush Data'!$A$1:$A$20000,0),MATCH("Keyword Difficulty*",'Semrush Data'!$A$1:$Z$1,0)),"")</f>
        <v/>
      </c>
      <c r="I2530" s="56">
        <f>IFERROR(INDEX('Semrush Data'!$A$1:$Z$20000,MATCH(A2530,'Semrush Data'!$A$1:$A$20000,0),MATCH("CPC*",'Semrush Data'!$A$1:$Z$1,0)),"")</f>
        <v/>
      </c>
      <c r="J2530" s="42">
        <f>IFERROR(INDEX('Semrush Data'!$A$1:$Z$20000,MATCH(A2530,'Semrush Data'!$A$1:$A$20000,0),MATCH("Intent",'Semrush Data'!$A$1:$Z$1,0)),"")</f>
        <v/>
      </c>
    </row>
    <row r="2531" ht="15" customHeight="1" s="37">
      <c r="A2531" s="42" t="inlineStr">
        <is>
          <t>dkny be tempted notes</t>
        </is>
      </c>
      <c r="B2531" s="42" t="inlineStr">
        <is>
          <t>Google suggest</t>
        </is>
      </c>
      <c r="C2531" s="42" t="n">
        <v>3</v>
      </c>
      <c r="D2531" s="42" t="inlineStr">
        <is>
          <t>T3-2</t>
        </is>
      </c>
      <c r="E2531" s="42" t="n">
        <v>1</v>
      </c>
      <c r="F2531" s="42" t="inlineStr">
        <is>
          <t>FR-117</t>
        </is>
      </c>
      <c r="G2531" s="55">
        <f>IFERROR(INDEX('Semrush Data'!$A$1:$Z$20000,MATCH(A2531,'Semrush Data'!$A$1:$A$20000,0),MATCH("Volume",'Semrush Data'!$A$1:$Z$1,0)),"")</f>
        <v/>
      </c>
      <c r="H2531" s="42">
        <f>IFERROR(INDEX('Semrush Data'!$A$1:$Z$20000,MATCH(A2531,'Semrush Data'!$A$1:$A$20000,0),MATCH("Keyword Difficulty*",'Semrush Data'!$A$1:$Z$1,0)),"")</f>
        <v/>
      </c>
      <c r="I2531" s="56">
        <f>IFERROR(INDEX('Semrush Data'!$A$1:$Z$20000,MATCH(A2531,'Semrush Data'!$A$1:$A$20000,0),MATCH("CPC*",'Semrush Data'!$A$1:$Z$1,0)),"")</f>
        <v/>
      </c>
      <c r="J2531" s="42">
        <f>IFERROR(INDEX('Semrush Data'!$A$1:$Z$20000,MATCH(A2531,'Semrush Data'!$A$1:$A$20000,0),MATCH("Intent",'Semrush Data'!$A$1:$Z$1,0)),"")</f>
        <v/>
      </c>
    </row>
    <row r="2532" ht="15" customHeight="1" s="37">
      <c r="A2532" s="42" t="inlineStr">
        <is>
          <t>dkny be tempted perfume</t>
        </is>
      </c>
      <c r="B2532" s="42" t="inlineStr">
        <is>
          <t>Google suggest</t>
        </is>
      </c>
      <c r="C2532" s="42" t="n">
        <v>3</v>
      </c>
      <c r="D2532" s="42" t="n">
        <v>26</v>
      </c>
      <c r="E2532" s="42" t="n">
        <v>1</v>
      </c>
      <c r="F2532" s="42" t="inlineStr">
        <is>
          <t>FR-117</t>
        </is>
      </c>
      <c r="G2532" s="55">
        <f>IFERROR(INDEX('Semrush Data'!$A$1:$Z$20000,MATCH(A2532,'Semrush Data'!$A$1:$A$20000,0),MATCH("Volume",'Semrush Data'!$A$1:$Z$1,0)),"")</f>
        <v/>
      </c>
      <c r="H2532" s="42">
        <f>IFERROR(INDEX('Semrush Data'!$A$1:$Z$20000,MATCH(A2532,'Semrush Data'!$A$1:$A$20000,0),MATCH("Keyword Difficulty*",'Semrush Data'!$A$1:$Z$1,0)),"")</f>
        <v/>
      </c>
      <c r="I2532" s="56">
        <f>IFERROR(INDEX('Semrush Data'!$A$1:$Z$20000,MATCH(A2532,'Semrush Data'!$A$1:$A$20000,0),MATCH("CPC*",'Semrush Data'!$A$1:$Z$1,0)),"")</f>
        <v/>
      </c>
      <c r="J2532" s="42">
        <f>IFERROR(INDEX('Semrush Data'!$A$1:$Z$20000,MATCH(A2532,'Semrush Data'!$A$1:$A$20000,0),MATCH("Intent",'Semrush Data'!$A$1:$Z$1,0)),"")</f>
        <v/>
      </c>
    </row>
    <row r="2533" ht="15" customHeight="1" s="37">
      <c r="A2533" s="42" t="inlineStr">
        <is>
          <t>dkny be tempted review</t>
        </is>
      </c>
      <c r="B2533" s="42" t="inlineStr">
        <is>
          <t>Google suggest</t>
        </is>
      </c>
      <c r="C2533" s="42" t="n">
        <v>3</v>
      </c>
      <c r="D2533" s="42" t="inlineStr">
        <is>
          <t>T3-2</t>
        </is>
      </c>
      <c r="E2533" s="42" t="n">
        <v>1</v>
      </c>
      <c r="F2533" s="42" t="inlineStr">
        <is>
          <t>FR-117</t>
        </is>
      </c>
      <c r="G2533" s="55">
        <f>IFERROR(INDEX('Semrush Data'!$A$1:$Z$20000,MATCH(A2533,'Semrush Data'!$A$1:$A$20000,0),MATCH("Volume",'Semrush Data'!$A$1:$Z$1,0)),"")</f>
        <v/>
      </c>
      <c r="H2533" s="42">
        <f>IFERROR(INDEX('Semrush Data'!$A$1:$Z$20000,MATCH(A2533,'Semrush Data'!$A$1:$A$20000,0),MATCH("Keyword Difficulty*",'Semrush Data'!$A$1:$Z$1,0)),"")</f>
        <v/>
      </c>
      <c r="I2533" s="56">
        <f>IFERROR(INDEX('Semrush Data'!$A$1:$Z$20000,MATCH(A2533,'Semrush Data'!$A$1:$A$20000,0),MATCH("CPC*",'Semrush Data'!$A$1:$Z$1,0)),"")</f>
        <v/>
      </c>
      <c r="J2533" s="42">
        <f>IFERROR(INDEX('Semrush Data'!$A$1:$Z$20000,MATCH(A2533,'Semrush Data'!$A$1:$A$20000,0),MATCH("Intent",'Semrush Data'!$A$1:$Z$1,0)),"")</f>
        <v/>
      </c>
    </row>
    <row r="2534" ht="15" customHeight="1" s="37">
      <c r="A2534" s="42" t="inlineStr">
        <is>
          <t>dkny mini set</t>
        </is>
      </c>
      <c r="B2534" s="42" t="inlineStr">
        <is>
          <t>Google suggest</t>
        </is>
      </c>
      <c r="C2534" s="42" t="n">
        <v>3</v>
      </c>
      <c r="D2534" s="42" t="n">
        <v>26</v>
      </c>
      <c r="E2534" s="42" t="n">
        <v>1</v>
      </c>
      <c r="F2534" s="42" t="inlineStr">
        <is>
          <t>FR-119</t>
        </is>
      </c>
      <c r="G2534" s="55">
        <f>IFERROR(INDEX('Semrush Data'!$A$1:$Z$20000,MATCH(A2534,'Semrush Data'!$A$1:$A$20000,0),MATCH("Volume",'Semrush Data'!$A$1:$Z$1,0)),"")</f>
        <v/>
      </c>
      <c r="H2534" s="42">
        <f>IFERROR(INDEX('Semrush Data'!$A$1:$Z$20000,MATCH(A2534,'Semrush Data'!$A$1:$A$20000,0),MATCH("Keyword Difficulty*",'Semrush Data'!$A$1:$Z$1,0)),"")</f>
        <v/>
      </c>
      <c r="I2534" s="56">
        <f>IFERROR(INDEX('Semrush Data'!$A$1:$Z$20000,MATCH(A2534,'Semrush Data'!$A$1:$A$20000,0),MATCH("CPC*",'Semrush Data'!$A$1:$Z$1,0)),"")</f>
        <v/>
      </c>
      <c r="J2534" s="42">
        <f>IFERROR(INDEX('Semrush Data'!$A$1:$Z$20000,MATCH(A2534,'Semrush Data'!$A$1:$A$20000,0),MATCH("Intent",'Semrush Data'!$A$1:$Z$1,0)),"")</f>
        <v/>
      </c>
    </row>
    <row r="2535" ht="15" customHeight="1" s="37">
      <c r="A2535" s="42" t="inlineStr">
        <is>
          <t>dkny mini set perfume</t>
        </is>
      </c>
      <c r="B2535" s="42" t="inlineStr">
        <is>
          <t>Google suggest</t>
        </is>
      </c>
      <c r="C2535" s="42" t="n">
        <v>3</v>
      </c>
      <c r="D2535" s="42" t="n">
        <v>26</v>
      </c>
      <c r="E2535" s="42" t="n">
        <v>1</v>
      </c>
      <c r="F2535" s="42" t="inlineStr">
        <is>
          <t>FR-119</t>
        </is>
      </c>
      <c r="G2535" s="55">
        <f>IFERROR(INDEX('Semrush Data'!$A$1:$Z$20000,MATCH(A2535,'Semrush Data'!$A$1:$A$20000,0),MATCH("Volume",'Semrush Data'!$A$1:$Z$1,0)),"")</f>
        <v/>
      </c>
      <c r="H2535" s="42">
        <f>IFERROR(INDEX('Semrush Data'!$A$1:$Z$20000,MATCH(A2535,'Semrush Data'!$A$1:$A$20000,0),MATCH("Keyword Difficulty*",'Semrush Data'!$A$1:$Z$1,0)),"")</f>
        <v/>
      </c>
      <c r="I2535" s="56">
        <f>IFERROR(INDEX('Semrush Data'!$A$1:$Z$20000,MATCH(A2535,'Semrush Data'!$A$1:$A$20000,0),MATCH("CPC*",'Semrush Data'!$A$1:$Z$1,0)),"")</f>
        <v/>
      </c>
      <c r="J2535" s="42">
        <f>IFERROR(INDEX('Semrush Data'!$A$1:$Z$20000,MATCH(A2535,'Semrush Data'!$A$1:$A$20000,0),MATCH("Intent",'Semrush Data'!$A$1:$Z$1,0)),"")</f>
        <v/>
      </c>
    </row>
    <row r="2536" ht="15" customHeight="1" s="37">
      <c r="A2536" s="42" t="inlineStr">
        <is>
          <t>dkny miniature gift set</t>
        </is>
      </c>
      <c r="B2536" s="42" t="inlineStr">
        <is>
          <t>Google suggest</t>
        </is>
      </c>
      <c r="C2536" s="42" t="n">
        <v>3</v>
      </c>
      <c r="D2536" s="42" t="n">
        <v>26</v>
      </c>
      <c r="E2536" s="42" t="n">
        <v>1</v>
      </c>
      <c r="F2536" s="42" t="inlineStr">
        <is>
          <t>FR-119</t>
        </is>
      </c>
      <c r="G2536" s="55">
        <f>IFERROR(INDEX('Semrush Data'!$A$1:$Z$20000,MATCH(A2536,'Semrush Data'!$A$1:$A$20000,0),MATCH("Volume",'Semrush Data'!$A$1:$Z$1,0)),"")</f>
        <v/>
      </c>
      <c r="H2536" s="42">
        <f>IFERROR(INDEX('Semrush Data'!$A$1:$Z$20000,MATCH(A2536,'Semrush Data'!$A$1:$A$20000,0),MATCH("Keyword Difficulty*",'Semrush Data'!$A$1:$Z$1,0)),"")</f>
        <v/>
      </c>
      <c r="I2536" s="56">
        <f>IFERROR(INDEX('Semrush Data'!$A$1:$Z$20000,MATCH(A2536,'Semrush Data'!$A$1:$A$20000,0),MATCH("CPC*",'Semrush Data'!$A$1:$Z$1,0)),"")</f>
        <v/>
      </c>
      <c r="J2536" s="42">
        <f>IFERROR(INDEX('Semrush Data'!$A$1:$Z$20000,MATCH(A2536,'Semrush Data'!$A$1:$A$20000,0),MATCH("Intent",'Semrush Data'!$A$1:$Z$1,0)),"")</f>
        <v/>
      </c>
    </row>
    <row r="2537" ht="15" customHeight="1" s="37">
      <c r="A2537" s="42" t="inlineStr">
        <is>
          <t>dkny miniature perfume set</t>
        </is>
      </c>
      <c r="B2537" s="42" t="inlineStr">
        <is>
          <t>Google suggest</t>
        </is>
      </c>
      <c r="C2537" s="42" t="n">
        <v>3</v>
      </c>
      <c r="D2537" s="42" t="n">
        <v>26</v>
      </c>
      <c r="E2537" s="42" t="n">
        <v>1</v>
      </c>
      <c r="F2537" s="42" t="inlineStr">
        <is>
          <t>FR-119</t>
        </is>
      </c>
      <c r="G2537" s="55">
        <f>IFERROR(INDEX('Semrush Data'!$A$1:$Z$20000,MATCH(A2537,'Semrush Data'!$A$1:$A$20000,0),MATCH("Volume",'Semrush Data'!$A$1:$Z$1,0)),"")</f>
        <v/>
      </c>
      <c r="H2537" s="42">
        <f>IFERROR(INDEX('Semrush Data'!$A$1:$Z$20000,MATCH(A2537,'Semrush Data'!$A$1:$A$20000,0),MATCH("Keyword Difficulty*",'Semrush Data'!$A$1:$Z$1,0)),"")</f>
        <v/>
      </c>
      <c r="I2537" s="56">
        <f>IFERROR(INDEX('Semrush Data'!$A$1:$Z$20000,MATCH(A2537,'Semrush Data'!$A$1:$A$20000,0),MATCH("CPC*",'Semrush Data'!$A$1:$Z$1,0)),"")</f>
        <v/>
      </c>
      <c r="J2537" s="42">
        <f>IFERROR(INDEX('Semrush Data'!$A$1:$Z$20000,MATCH(A2537,'Semrush Data'!$A$1:$A$20000,0),MATCH("Intent",'Semrush Data'!$A$1:$Z$1,0)),"")</f>
        <v/>
      </c>
    </row>
    <row r="2538" ht="15" customHeight="1" s="37">
      <c r="A2538" s="42" t="inlineStr">
        <is>
          <t>dolce &amp; gabbana devotion for men</t>
        </is>
      </c>
      <c r="B2538" s="42" t="inlineStr">
        <is>
          <t>Google suggest</t>
        </is>
      </c>
      <c r="C2538" s="42" t="n">
        <v>3</v>
      </c>
      <c r="D2538" s="42" t="n">
        <v>26</v>
      </c>
      <c r="E2538" s="42" t="n">
        <v>1</v>
      </c>
      <c r="F2538" s="42" t="inlineStr">
        <is>
          <t>FR-120</t>
        </is>
      </c>
      <c r="G2538" s="55">
        <f>IFERROR(INDEX('Semrush Data'!$A$1:$Z$20000,MATCH(A2538,'Semrush Data'!$A$1:$A$20000,0),MATCH("Volume",'Semrush Data'!$A$1:$Z$1,0)),"")</f>
        <v/>
      </c>
      <c r="H2538" s="42">
        <f>IFERROR(INDEX('Semrush Data'!$A$1:$Z$20000,MATCH(A2538,'Semrush Data'!$A$1:$A$20000,0),MATCH("Keyword Difficulty*",'Semrush Data'!$A$1:$Z$1,0)),"")</f>
        <v/>
      </c>
      <c r="I2538" s="56">
        <f>IFERROR(INDEX('Semrush Data'!$A$1:$Z$20000,MATCH(A2538,'Semrush Data'!$A$1:$A$20000,0),MATCH("CPC*",'Semrush Data'!$A$1:$Z$1,0)),"")</f>
        <v/>
      </c>
      <c r="J2538" s="42">
        <f>IFERROR(INDEX('Semrush Data'!$A$1:$Z$20000,MATCH(A2538,'Semrush Data'!$A$1:$A$20000,0),MATCH("Intent",'Semrush Data'!$A$1:$Z$1,0)),"")</f>
        <v/>
      </c>
    </row>
    <row r="2539" ht="15" customHeight="1" s="37">
      <c r="A2539" s="42" t="inlineStr">
        <is>
          <t>dolce &amp; gabbana devotion for women</t>
        </is>
      </c>
      <c r="B2539" s="42" t="inlineStr">
        <is>
          <t>Google suggest</t>
        </is>
      </c>
      <c r="C2539" s="42" t="n">
        <v>3</v>
      </c>
      <c r="D2539" s="42" t="n">
        <v>26</v>
      </c>
      <c r="E2539" s="42" t="n">
        <v>1</v>
      </c>
      <c r="F2539" s="42" t="inlineStr">
        <is>
          <t>FR-120</t>
        </is>
      </c>
      <c r="G2539" s="55">
        <f>IFERROR(INDEX('Semrush Data'!$A$1:$Z$20000,MATCH(A2539,'Semrush Data'!$A$1:$A$20000,0),MATCH("Volume",'Semrush Data'!$A$1:$Z$1,0)),"")</f>
        <v/>
      </c>
      <c r="H2539" s="42">
        <f>IFERROR(INDEX('Semrush Data'!$A$1:$Z$20000,MATCH(A2539,'Semrush Data'!$A$1:$A$20000,0),MATCH("Keyword Difficulty*",'Semrush Data'!$A$1:$Z$1,0)),"")</f>
        <v/>
      </c>
      <c r="I2539" s="56">
        <f>IFERROR(INDEX('Semrush Data'!$A$1:$Z$20000,MATCH(A2539,'Semrush Data'!$A$1:$A$20000,0),MATCH("CPC*",'Semrush Data'!$A$1:$Z$1,0)),"")</f>
        <v/>
      </c>
      <c r="J2539" s="42">
        <f>IFERROR(INDEX('Semrush Data'!$A$1:$Z$20000,MATCH(A2539,'Semrush Data'!$A$1:$A$20000,0),MATCH("Intent",'Semrush Data'!$A$1:$Z$1,0)),"")</f>
        <v/>
      </c>
    </row>
    <row r="2540" ht="15" customHeight="1" s="37">
      <c r="A2540" s="42" t="inlineStr">
        <is>
          <t>dolce &amp; gabbana devotion parfum</t>
        </is>
      </c>
      <c r="B2540" s="42" t="inlineStr">
        <is>
          <t>Google suggest</t>
        </is>
      </c>
      <c r="C2540" s="42" t="n">
        <v>3</v>
      </c>
      <c r="D2540" s="42" t="n">
        <v>26</v>
      </c>
      <c r="E2540" s="42" t="n">
        <v>1</v>
      </c>
      <c r="F2540" s="42" t="inlineStr">
        <is>
          <t>FR-120</t>
        </is>
      </c>
      <c r="G2540" s="55">
        <f>IFERROR(INDEX('Semrush Data'!$A$1:$Z$20000,MATCH(A2540,'Semrush Data'!$A$1:$A$20000,0),MATCH("Volume",'Semrush Data'!$A$1:$Z$1,0)),"")</f>
        <v/>
      </c>
      <c r="H2540" s="42">
        <f>IFERROR(INDEX('Semrush Data'!$A$1:$Z$20000,MATCH(A2540,'Semrush Data'!$A$1:$A$20000,0),MATCH("Keyword Difficulty*",'Semrush Data'!$A$1:$Z$1,0)),"")</f>
        <v/>
      </c>
      <c r="I2540" s="56">
        <f>IFERROR(INDEX('Semrush Data'!$A$1:$Z$20000,MATCH(A2540,'Semrush Data'!$A$1:$A$20000,0),MATCH("CPC*",'Semrush Data'!$A$1:$Z$1,0)),"")</f>
        <v/>
      </c>
      <c r="J2540" s="42">
        <f>IFERROR(INDEX('Semrush Data'!$A$1:$Z$20000,MATCH(A2540,'Semrush Data'!$A$1:$A$20000,0),MATCH("Intent",'Semrush Data'!$A$1:$Z$1,0)),"")</f>
        <v/>
      </c>
    </row>
    <row r="2541" ht="15" customHeight="1" s="37">
      <c r="A2541" s="42" t="inlineStr">
        <is>
          <t>dolce &amp; gabbana devotion perfume</t>
        </is>
      </c>
      <c r="B2541" s="42" t="inlineStr">
        <is>
          <t>Google suggest</t>
        </is>
      </c>
      <c r="C2541" s="42" t="n">
        <v>3</v>
      </c>
      <c r="D2541" s="42" t="n">
        <v>26</v>
      </c>
      <c r="E2541" s="42" t="n">
        <v>1</v>
      </c>
      <c r="F2541" s="42" t="inlineStr">
        <is>
          <t>FR-120</t>
        </is>
      </c>
      <c r="G2541" s="55">
        <f>IFERROR(INDEX('Semrush Data'!$A$1:$Z$20000,MATCH(A2541,'Semrush Data'!$A$1:$A$20000,0),MATCH("Volume",'Semrush Data'!$A$1:$Z$1,0)),"")</f>
        <v/>
      </c>
      <c r="H2541" s="42">
        <f>IFERROR(INDEX('Semrush Data'!$A$1:$Z$20000,MATCH(A2541,'Semrush Data'!$A$1:$A$20000,0),MATCH("Keyword Difficulty*",'Semrush Data'!$A$1:$Z$1,0)),"")</f>
        <v/>
      </c>
      <c r="I2541" s="56">
        <f>IFERROR(INDEX('Semrush Data'!$A$1:$Z$20000,MATCH(A2541,'Semrush Data'!$A$1:$A$20000,0),MATCH("CPC*",'Semrush Data'!$A$1:$Z$1,0)),"")</f>
        <v/>
      </c>
      <c r="J2541" s="42">
        <f>IFERROR(INDEX('Semrush Data'!$A$1:$Z$20000,MATCH(A2541,'Semrush Data'!$A$1:$A$20000,0),MATCH("Intent",'Semrush Data'!$A$1:$Z$1,0)),"")</f>
        <v/>
      </c>
    </row>
    <row r="2542" ht="15" customHeight="1" s="37">
      <c r="A2542" s="42" t="inlineStr">
        <is>
          <t>dolce &amp; gabbana k eau de parfum gift set 100ml</t>
        </is>
      </c>
      <c r="B2542" s="42" t="inlineStr">
        <is>
          <t>Google suggest</t>
        </is>
      </c>
      <c r="C2542" s="42" t="n">
        <v>3</v>
      </c>
      <c r="D2542" s="42" t="n">
        <v>26</v>
      </c>
      <c r="E2542" s="42" t="n">
        <v>1</v>
      </c>
      <c r="F2542" s="42" t="inlineStr">
        <is>
          <t>FR-128</t>
        </is>
      </c>
      <c r="G2542" s="55">
        <f>IFERROR(INDEX('Semrush Data'!$A$1:$Z$20000,MATCH(A2542,'Semrush Data'!$A$1:$A$20000,0),MATCH("Volume",'Semrush Data'!$A$1:$Z$1,0)),"")</f>
        <v/>
      </c>
      <c r="H2542" s="42">
        <f>IFERROR(INDEX('Semrush Data'!$A$1:$Z$20000,MATCH(A2542,'Semrush Data'!$A$1:$A$20000,0),MATCH("Keyword Difficulty*",'Semrush Data'!$A$1:$Z$1,0)),"")</f>
        <v/>
      </c>
      <c r="I2542" s="56">
        <f>IFERROR(INDEX('Semrush Data'!$A$1:$Z$20000,MATCH(A2542,'Semrush Data'!$A$1:$A$20000,0),MATCH("CPC*",'Semrush Data'!$A$1:$Z$1,0)),"")</f>
        <v/>
      </c>
      <c r="J2542" s="42">
        <f>IFERROR(INDEX('Semrush Data'!$A$1:$Z$20000,MATCH(A2542,'Semrush Data'!$A$1:$A$20000,0),MATCH("Intent",'Semrush Data'!$A$1:$Z$1,0)),"")</f>
        <v/>
      </c>
    </row>
    <row r="2543" ht="15" customHeight="1" s="37">
      <c r="A2543" s="42" t="inlineStr">
        <is>
          <t>dolce &amp; gabbana k edt gift set</t>
        </is>
      </c>
      <c r="B2543" s="42" t="inlineStr">
        <is>
          <t>Google suggest</t>
        </is>
      </c>
      <c r="C2543" s="42" t="n">
        <v>3</v>
      </c>
      <c r="D2543" s="42" t="n">
        <v>26</v>
      </c>
      <c r="E2543" s="42" t="n">
        <v>1</v>
      </c>
      <c r="F2543" s="42" t="inlineStr">
        <is>
          <t>FR-128</t>
        </is>
      </c>
      <c r="G2543" s="55">
        <f>IFERROR(INDEX('Semrush Data'!$A$1:$Z$20000,MATCH(A2543,'Semrush Data'!$A$1:$A$20000,0),MATCH("Volume",'Semrush Data'!$A$1:$Z$1,0)),"")</f>
        <v/>
      </c>
      <c r="H2543" s="42">
        <f>IFERROR(INDEX('Semrush Data'!$A$1:$Z$20000,MATCH(A2543,'Semrush Data'!$A$1:$A$20000,0),MATCH("Keyword Difficulty*",'Semrush Data'!$A$1:$Z$1,0)),"")</f>
        <v/>
      </c>
      <c r="I2543" s="56">
        <f>IFERROR(INDEX('Semrush Data'!$A$1:$Z$20000,MATCH(A2543,'Semrush Data'!$A$1:$A$20000,0),MATCH("CPC*",'Semrush Data'!$A$1:$Z$1,0)),"")</f>
        <v/>
      </c>
      <c r="J2543" s="42">
        <f>IFERROR(INDEX('Semrush Data'!$A$1:$Z$20000,MATCH(A2543,'Semrush Data'!$A$1:$A$20000,0),MATCH("Intent",'Semrush Data'!$A$1:$Z$1,0)),"")</f>
        <v/>
      </c>
    </row>
    <row r="2544" ht="15" customHeight="1" s="37">
      <c r="A2544" s="42" t="inlineStr">
        <is>
          <t>dolce &amp; gabbana k gift set for men</t>
        </is>
      </c>
      <c r="B2544" s="42" t="inlineStr">
        <is>
          <t>Google suggest</t>
        </is>
      </c>
      <c r="C2544" s="42" t="n">
        <v>3</v>
      </c>
      <c r="D2544" s="42" t="n">
        <v>26</v>
      </c>
      <c r="E2544" s="42" t="n">
        <v>1</v>
      </c>
      <c r="F2544" s="42" t="inlineStr">
        <is>
          <t>FR-128</t>
        </is>
      </c>
      <c r="G2544" s="55">
        <f>IFERROR(INDEX('Semrush Data'!$A$1:$Z$20000,MATCH(A2544,'Semrush Data'!$A$1:$A$20000,0),MATCH("Volume",'Semrush Data'!$A$1:$Z$1,0)),"")</f>
        <v/>
      </c>
      <c r="H2544" s="42">
        <f>IFERROR(INDEX('Semrush Data'!$A$1:$Z$20000,MATCH(A2544,'Semrush Data'!$A$1:$A$20000,0),MATCH("Keyword Difficulty*",'Semrush Data'!$A$1:$Z$1,0)),"")</f>
        <v/>
      </c>
      <c r="I2544" s="56">
        <f>IFERROR(INDEX('Semrush Data'!$A$1:$Z$20000,MATCH(A2544,'Semrush Data'!$A$1:$A$20000,0),MATCH("CPC*",'Semrush Data'!$A$1:$Z$1,0)),"")</f>
        <v/>
      </c>
      <c r="J2544" s="42">
        <f>IFERROR(INDEX('Semrush Data'!$A$1:$Z$20000,MATCH(A2544,'Semrush Data'!$A$1:$A$20000,0),MATCH("Intent",'Semrush Data'!$A$1:$Z$1,0)),"")</f>
        <v/>
      </c>
    </row>
    <row r="2545" ht="15" customHeight="1" s="37">
      <c r="A2545" s="42" t="inlineStr">
        <is>
          <t>dolce &amp; gabbana l'imperatrice 100ml</t>
        </is>
      </c>
      <c r="B2545" s="42" t="inlineStr">
        <is>
          <t>Google suggest</t>
        </is>
      </c>
      <c r="C2545" s="42" t="n">
        <v>3</v>
      </c>
      <c r="D2545" s="42" t="n">
        <v>26</v>
      </c>
      <c r="E2545" s="42" t="n">
        <v>1</v>
      </c>
      <c r="F2545" s="42" t="inlineStr">
        <is>
          <t>FR-126</t>
        </is>
      </c>
      <c r="G2545" s="55">
        <f>IFERROR(INDEX('Semrush Data'!$A$1:$Z$20000,MATCH(A2545,'Semrush Data'!$A$1:$A$20000,0),MATCH("Volume",'Semrush Data'!$A$1:$Z$1,0)),"")</f>
        <v/>
      </c>
      <c r="H2545" s="42">
        <f>IFERROR(INDEX('Semrush Data'!$A$1:$Z$20000,MATCH(A2545,'Semrush Data'!$A$1:$A$20000,0),MATCH("Keyword Difficulty*",'Semrush Data'!$A$1:$Z$1,0)),"")</f>
        <v/>
      </c>
      <c r="I2545" s="56">
        <f>IFERROR(INDEX('Semrush Data'!$A$1:$Z$20000,MATCH(A2545,'Semrush Data'!$A$1:$A$20000,0),MATCH("CPC*",'Semrush Data'!$A$1:$Z$1,0)),"")</f>
        <v/>
      </c>
      <c r="J2545" s="42">
        <f>IFERROR(INDEX('Semrush Data'!$A$1:$Z$20000,MATCH(A2545,'Semrush Data'!$A$1:$A$20000,0),MATCH("Intent",'Semrush Data'!$A$1:$Z$1,0)),"")</f>
        <v/>
      </c>
    </row>
    <row r="2546" ht="15" customHeight="1" s="37">
      <c r="A2546" s="42" t="inlineStr">
        <is>
          <t>dolce &amp; gabbana l'imperatrice 100ml price</t>
        </is>
      </c>
      <c r="B2546" s="42" t="inlineStr">
        <is>
          <t>Google suggest</t>
        </is>
      </c>
      <c r="C2546" s="42" t="n">
        <v>3</v>
      </c>
      <c r="D2546" s="42" t="n">
        <v>26</v>
      </c>
      <c r="E2546" s="42" t="n">
        <v>1</v>
      </c>
      <c r="F2546" s="42" t="inlineStr">
        <is>
          <t>FR-126</t>
        </is>
      </c>
      <c r="G2546" s="55">
        <f>IFERROR(INDEX('Semrush Data'!$A$1:$Z$20000,MATCH(A2546,'Semrush Data'!$A$1:$A$20000,0),MATCH("Volume",'Semrush Data'!$A$1:$Z$1,0)),"")</f>
        <v/>
      </c>
      <c r="H2546" s="42">
        <f>IFERROR(INDEX('Semrush Data'!$A$1:$Z$20000,MATCH(A2546,'Semrush Data'!$A$1:$A$20000,0),MATCH("Keyword Difficulty*",'Semrush Data'!$A$1:$Z$1,0)),"")</f>
        <v/>
      </c>
      <c r="I2546" s="56">
        <f>IFERROR(INDEX('Semrush Data'!$A$1:$Z$20000,MATCH(A2546,'Semrush Data'!$A$1:$A$20000,0),MATCH("CPC*",'Semrush Data'!$A$1:$Z$1,0)),"")</f>
        <v/>
      </c>
      <c r="J2546" s="42">
        <f>IFERROR(INDEX('Semrush Data'!$A$1:$Z$20000,MATCH(A2546,'Semrush Data'!$A$1:$A$20000,0),MATCH("Intent",'Semrush Data'!$A$1:$Z$1,0)),"")</f>
        <v/>
      </c>
    </row>
    <row r="2547" ht="15" customHeight="1" s="37">
      <c r="A2547" s="42" t="inlineStr">
        <is>
          <t>dolce &amp; gabbana l'imperatrice 3</t>
        </is>
      </c>
      <c r="B2547" s="42" t="inlineStr">
        <is>
          <t>Google suggest</t>
        </is>
      </c>
      <c r="C2547" s="42" t="n">
        <v>3</v>
      </c>
      <c r="D2547" s="42" t="n">
        <v>26</v>
      </c>
      <c r="E2547" s="42" t="n">
        <v>1</v>
      </c>
      <c r="F2547" s="42" t="inlineStr">
        <is>
          <t>FR-126</t>
        </is>
      </c>
      <c r="G2547" s="55">
        <f>IFERROR(INDEX('Semrush Data'!$A$1:$Z$20000,MATCH(A2547,'Semrush Data'!$A$1:$A$20000,0),MATCH("Volume",'Semrush Data'!$A$1:$Z$1,0)),"")</f>
        <v/>
      </c>
      <c r="H2547" s="42">
        <f>IFERROR(INDEX('Semrush Data'!$A$1:$Z$20000,MATCH(A2547,'Semrush Data'!$A$1:$A$20000,0),MATCH("Keyword Difficulty*",'Semrush Data'!$A$1:$Z$1,0)),"")</f>
        <v/>
      </c>
      <c r="I2547" s="56">
        <f>IFERROR(INDEX('Semrush Data'!$A$1:$Z$20000,MATCH(A2547,'Semrush Data'!$A$1:$A$20000,0),MATCH("CPC*",'Semrush Data'!$A$1:$Z$1,0)),"")</f>
        <v/>
      </c>
      <c r="J2547" s="42">
        <f>IFERROR(INDEX('Semrush Data'!$A$1:$Z$20000,MATCH(A2547,'Semrush Data'!$A$1:$A$20000,0),MATCH("Intent",'Semrush Data'!$A$1:$Z$1,0)),"")</f>
        <v/>
      </c>
    </row>
    <row r="2548" ht="15" customHeight="1" s="37">
      <c r="A2548" s="42" t="inlineStr">
        <is>
          <t>dolce &amp; gabbana l'imperatrice edt</t>
        </is>
      </c>
      <c r="B2548" s="42" t="inlineStr">
        <is>
          <t>Google suggest</t>
        </is>
      </c>
      <c r="C2548" s="42" t="n">
        <v>3</v>
      </c>
      <c r="D2548" s="42" t="n">
        <v>26</v>
      </c>
      <c r="E2548" s="42" t="n">
        <v>1</v>
      </c>
      <c r="F2548" s="42" t="inlineStr">
        <is>
          <t>FR-126</t>
        </is>
      </c>
      <c r="G2548" s="55">
        <f>IFERROR(INDEX('Semrush Data'!$A$1:$Z$20000,MATCH(A2548,'Semrush Data'!$A$1:$A$20000,0),MATCH("Volume",'Semrush Data'!$A$1:$Z$1,0)),"")</f>
        <v/>
      </c>
      <c r="H2548" s="42">
        <f>IFERROR(INDEX('Semrush Data'!$A$1:$Z$20000,MATCH(A2548,'Semrush Data'!$A$1:$A$20000,0),MATCH("Keyword Difficulty*",'Semrush Data'!$A$1:$Z$1,0)),"")</f>
        <v/>
      </c>
      <c r="I2548" s="56">
        <f>IFERROR(INDEX('Semrush Data'!$A$1:$Z$20000,MATCH(A2548,'Semrush Data'!$A$1:$A$20000,0),MATCH("CPC*",'Semrush Data'!$A$1:$Z$1,0)),"")</f>
        <v/>
      </c>
      <c r="J2548" s="42">
        <f>IFERROR(INDEX('Semrush Data'!$A$1:$Z$20000,MATCH(A2548,'Semrush Data'!$A$1:$A$20000,0),MATCH("Intent",'Semrush Data'!$A$1:$Z$1,0)),"")</f>
        <v/>
      </c>
    </row>
    <row r="2549" ht="15" customHeight="1" s="37">
      <c r="A2549" s="42" t="inlineStr">
        <is>
          <t>dolce &amp; gabbana l'imperatrice perfume</t>
        </is>
      </c>
      <c r="B2549" s="42" t="inlineStr">
        <is>
          <t>Google suggest</t>
        </is>
      </c>
      <c r="C2549" s="42" t="n">
        <v>3</v>
      </c>
      <c r="D2549" s="42" t="n">
        <v>26</v>
      </c>
      <c r="E2549" s="42" t="n">
        <v>1</v>
      </c>
      <c r="F2549" s="42" t="inlineStr">
        <is>
          <t>FR-126</t>
        </is>
      </c>
      <c r="G2549" s="55">
        <f>IFERROR(INDEX('Semrush Data'!$A$1:$Z$20000,MATCH(A2549,'Semrush Data'!$A$1:$A$20000,0),MATCH("Volume",'Semrush Data'!$A$1:$Z$1,0)),"")</f>
        <v/>
      </c>
      <c r="H2549" s="42">
        <f>IFERROR(INDEX('Semrush Data'!$A$1:$Z$20000,MATCH(A2549,'Semrush Data'!$A$1:$A$20000,0),MATCH("Keyword Difficulty*",'Semrush Data'!$A$1:$Z$1,0)),"")</f>
        <v/>
      </c>
      <c r="I2549" s="56">
        <f>IFERROR(INDEX('Semrush Data'!$A$1:$Z$20000,MATCH(A2549,'Semrush Data'!$A$1:$A$20000,0),MATCH("CPC*",'Semrush Data'!$A$1:$Z$1,0)),"")</f>
        <v/>
      </c>
      <c r="J2549" s="42">
        <f>IFERROR(INDEX('Semrush Data'!$A$1:$Z$20000,MATCH(A2549,'Semrush Data'!$A$1:$A$20000,0),MATCH("Intent",'Semrush Data'!$A$1:$Z$1,0)),"")</f>
        <v/>
      </c>
    </row>
    <row r="2550" ht="15" customHeight="1" s="37">
      <c r="A2550" s="42" t="inlineStr">
        <is>
          <t>dolce &amp; gabbana q parfum</t>
        </is>
      </c>
      <c r="B2550" s="42" t="inlineStr">
        <is>
          <t>Google suggest</t>
        </is>
      </c>
      <c r="C2550" s="42" t="n">
        <v>3</v>
      </c>
      <c r="D2550" s="42" t="n">
        <v>26</v>
      </c>
      <c r="E2550" s="42" t="n">
        <v>1</v>
      </c>
      <c r="F2550" s="42" t="inlineStr">
        <is>
          <t>FR-121</t>
        </is>
      </c>
      <c r="G2550" s="55">
        <f>IFERROR(INDEX('Semrush Data'!$A$1:$Z$20000,MATCH(A2550,'Semrush Data'!$A$1:$A$20000,0),MATCH("Volume",'Semrush Data'!$A$1:$Z$1,0)),"")</f>
        <v/>
      </c>
      <c r="H2550" s="42">
        <f>IFERROR(INDEX('Semrush Data'!$A$1:$Z$20000,MATCH(A2550,'Semrush Data'!$A$1:$A$20000,0),MATCH("Keyword Difficulty*",'Semrush Data'!$A$1:$Z$1,0)),"")</f>
        <v/>
      </c>
      <c r="I2550" s="56">
        <f>IFERROR(INDEX('Semrush Data'!$A$1:$Z$20000,MATCH(A2550,'Semrush Data'!$A$1:$A$20000,0),MATCH("CPC*",'Semrush Data'!$A$1:$Z$1,0)),"")</f>
        <v/>
      </c>
      <c r="J2550" s="42">
        <f>IFERROR(INDEX('Semrush Data'!$A$1:$Z$20000,MATCH(A2550,'Semrush Data'!$A$1:$A$20000,0),MATCH("Intent",'Semrush Data'!$A$1:$Z$1,0)),"")</f>
        <v/>
      </c>
    </row>
    <row r="2551" ht="15" customHeight="1" s="37">
      <c r="A2551" s="42" t="inlineStr">
        <is>
          <t>dolce &amp; gabbana q perfume</t>
        </is>
      </c>
      <c r="B2551" s="42" t="inlineStr">
        <is>
          <t>Google suggest</t>
        </is>
      </c>
      <c r="C2551" s="42" t="n">
        <v>3</v>
      </c>
      <c r="D2551" s="42" t="n">
        <v>26</v>
      </c>
      <c r="E2551" s="42" t="n">
        <v>1</v>
      </c>
      <c r="F2551" s="42" t="inlineStr">
        <is>
          <t>FR-121</t>
        </is>
      </c>
      <c r="G2551" s="55">
        <f>IFERROR(INDEX('Semrush Data'!$A$1:$Z$20000,MATCH(A2551,'Semrush Data'!$A$1:$A$20000,0),MATCH("Volume",'Semrush Data'!$A$1:$Z$1,0)),"")</f>
        <v/>
      </c>
      <c r="H2551" s="42">
        <f>IFERROR(INDEX('Semrush Data'!$A$1:$Z$20000,MATCH(A2551,'Semrush Data'!$A$1:$A$20000,0),MATCH("Keyword Difficulty*",'Semrush Data'!$A$1:$Z$1,0)),"")</f>
        <v/>
      </c>
      <c r="I2551" s="56">
        <f>IFERROR(INDEX('Semrush Data'!$A$1:$Z$20000,MATCH(A2551,'Semrush Data'!$A$1:$A$20000,0),MATCH("CPC*",'Semrush Data'!$A$1:$Z$1,0)),"")</f>
        <v/>
      </c>
      <c r="J2551" s="42">
        <f>IFERROR(INDEX('Semrush Data'!$A$1:$Z$20000,MATCH(A2551,'Semrush Data'!$A$1:$A$20000,0),MATCH("Intent",'Semrush Data'!$A$1:$Z$1,0)),"")</f>
        <v/>
      </c>
    </row>
    <row r="2552" ht="15" customHeight="1" s="37">
      <c r="A2552" s="42" t="inlineStr">
        <is>
          <t>dolce &amp; gabbana the one edp</t>
        </is>
      </c>
      <c r="B2552" s="42" t="inlineStr">
        <is>
          <t>Google suggest</t>
        </is>
      </c>
      <c r="C2552" s="42" t="n">
        <v>3</v>
      </c>
      <c r="D2552" s="42" t="inlineStr">
        <is>
          <t>T3-1</t>
        </is>
      </c>
      <c r="E2552" s="42" t="n">
        <v>2</v>
      </c>
      <c r="F2552" s="42" t="inlineStr">
        <is>
          <t>FR-122, FR-123</t>
        </is>
      </c>
      <c r="G2552" s="55">
        <f>IFERROR(INDEX('Semrush Data'!$A$1:$Z$20000,MATCH(A2552,'Semrush Data'!$A$1:$A$20000,0),MATCH("Volume",'Semrush Data'!$A$1:$Z$1,0)),"")</f>
        <v/>
      </c>
      <c r="H2552" s="42">
        <f>IFERROR(INDEX('Semrush Data'!$A$1:$Z$20000,MATCH(A2552,'Semrush Data'!$A$1:$A$20000,0),MATCH("Keyword Difficulty*",'Semrush Data'!$A$1:$Z$1,0)),"")</f>
        <v/>
      </c>
      <c r="I2552" s="56">
        <f>IFERROR(INDEX('Semrush Data'!$A$1:$Z$20000,MATCH(A2552,'Semrush Data'!$A$1:$A$20000,0),MATCH("CPC*",'Semrush Data'!$A$1:$Z$1,0)),"")</f>
        <v/>
      </c>
      <c r="J2552" s="42">
        <f>IFERROR(INDEX('Semrush Data'!$A$1:$Z$20000,MATCH(A2552,'Semrush Data'!$A$1:$A$20000,0),MATCH("Intent",'Semrush Data'!$A$1:$Z$1,0)),"")</f>
        <v/>
      </c>
    </row>
    <row r="2553" ht="15" customHeight="1" s="37">
      <c r="A2553" s="42" t="inlineStr">
        <is>
          <t>dolce &amp; gabbana the one for men</t>
        </is>
      </c>
      <c r="B2553" s="42" t="inlineStr">
        <is>
          <t>Google suggest</t>
        </is>
      </c>
      <c r="C2553" s="42" t="n">
        <v>3</v>
      </c>
      <c r="D2553" s="42" t="inlineStr">
        <is>
          <t>T3-1</t>
        </is>
      </c>
      <c r="E2553" s="42" t="n">
        <v>2</v>
      </c>
      <c r="F2553" s="42" t="inlineStr">
        <is>
          <t>FR-122, FR-123</t>
        </is>
      </c>
      <c r="G2553" s="55">
        <f>IFERROR(INDEX('Semrush Data'!$A$1:$Z$20000,MATCH(A2553,'Semrush Data'!$A$1:$A$20000,0),MATCH("Volume",'Semrush Data'!$A$1:$Z$1,0)),"")</f>
        <v/>
      </c>
      <c r="H2553" s="42">
        <f>IFERROR(INDEX('Semrush Data'!$A$1:$Z$20000,MATCH(A2553,'Semrush Data'!$A$1:$A$20000,0),MATCH("Keyword Difficulty*",'Semrush Data'!$A$1:$Z$1,0)),"")</f>
        <v/>
      </c>
      <c r="I2553" s="56">
        <f>IFERROR(INDEX('Semrush Data'!$A$1:$Z$20000,MATCH(A2553,'Semrush Data'!$A$1:$A$20000,0),MATCH("CPC*",'Semrush Data'!$A$1:$Z$1,0)),"")</f>
        <v/>
      </c>
      <c r="J2553" s="42">
        <f>IFERROR(INDEX('Semrush Data'!$A$1:$Z$20000,MATCH(A2553,'Semrush Data'!$A$1:$A$20000,0),MATCH("Intent",'Semrush Data'!$A$1:$Z$1,0)),"")</f>
        <v/>
      </c>
    </row>
    <row r="2554" ht="15" customHeight="1" s="37">
      <c r="A2554" s="42" t="inlineStr">
        <is>
          <t>dolce &amp; gabbana the one for men eau de parfum</t>
        </is>
      </c>
      <c r="B2554" s="42" t="inlineStr">
        <is>
          <t>Google suggest</t>
        </is>
      </c>
      <c r="C2554" s="42" t="n">
        <v>3</v>
      </c>
      <c r="D2554" s="42" t="n">
        <v>26</v>
      </c>
      <c r="E2554" s="42" t="n">
        <v>2</v>
      </c>
      <c r="F2554" s="42" t="inlineStr">
        <is>
          <t>FR-122, FR-123</t>
        </is>
      </c>
      <c r="G2554" s="55">
        <f>IFERROR(INDEX('Semrush Data'!$A$1:$Z$20000,MATCH(A2554,'Semrush Data'!$A$1:$A$20000,0),MATCH("Volume",'Semrush Data'!$A$1:$Z$1,0)),"")</f>
        <v/>
      </c>
      <c r="H2554" s="42">
        <f>IFERROR(INDEX('Semrush Data'!$A$1:$Z$20000,MATCH(A2554,'Semrush Data'!$A$1:$A$20000,0),MATCH("Keyword Difficulty*",'Semrush Data'!$A$1:$Z$1,0)),"")</f>
        <v/>
      </c>
      <c r="I2554" s="56">
        <f>IFERROR(INDEX('Semrush Data'!$A$1:$Z$20000,MATCH(A2554,'Semrush Data'!$A$1:$A$20000,0),MATCH("CPC*",'Semrush Data'!$A$1:$Z$1,0)),"")</f>
        <v/>
      </c>
      <c r="J2554" s="42">
        <f>IFERROR(INDEX('Semrush Data'!$A$1:$Z$20000,MATCH(A2554,'Semrush Data'!$A$1:$A$20000,0),MATCH("Intent",'Semrush Data'!$A$1:$Z$1,0)),"")</f>
        <v/>
      </c>
    </row>
    <row r="2555" ht="15" customHeight="1" s="37">
      <c r="A2555" s="42" t="inlineStr">
        <is>
          <t>dolce &amp; gabbana the one for men edp</t>
        </is>
      </c>
      <c r="B2555" s="42" t="inlineStr">
        <is>
          <t>Google suggest</t>
        </is>
      </c>
      <c r="C2555" s="42" t="n">
        <v>3</v>
      </c>
      <c r="D2555" s="42" t="n">
        <v>26</v>
      </c>
      <c r="E2555" s="42" t="n">
        <v>2</v>
      </c>
      <c r="F2555" s="42" t="inlineStr">
        <is>
          <t>FR-122, FR-123</t>
        </is>
      </c>
      <c r="G2555" s="55">
        <f>IFERROR(INDEX('Semrush Data'!$A$1:$Z$20000,MATCH(A2555,'Semrush Data'!$A$1:$A$20000,0),MATCH("Volume",'Semrush Data'!$A$1:$Z$1,0)),"")</f>
        <v/>
      </c>
      <c r="H2555" s="42">
        <f>IFERROR(INDEX('Semrush Data'!$A$1:$Z$20000,MATCH(A2555,'Semrush Data'!$A$1:$A$20000,0),MATCH("Keyword Difficulty*",'Semrush Data'!$A$1:$Z$1,0)),"")</f>
        <v/>
      </c>
      <c r="I2555" s="56">
        <f>IFERROR(INDEX('Semrush Data'!$A$1:$Z$20000,MATCH(A2555,'Semrush Data'!$A$1:$A$20000,0),MATCH("CPC*",'Semrush Data'!$A$1:$Z$1,0)),"")</f>
        <v/>
      </c>
      <c r="J2555" s="42">
        <f>IFERROR(INDEX('Semrush Data'!$A$1:$Z$20000,MATCH(A2555,'Semrush Data'!$A$1:$A$20000,0),MATCH("Intent",'Semrush Data'!$A$1:$Z$1,0)),"")</f>
        <v/>
      </c>
    </row>
    <row r="2556" ht="15" customHeight="1" s="37">
      <c r="A2556" s="42" t="inlineStr">
        <is>
          <t>dolce &amp; gabbana the one for women eau de parfum gift set 75ml</t>
        </is>
      </c>
      <c r="B2556" s="42" t="inlineStr">
        <is>
          <t>Google suggest</t>
        </is>
      </c>
      <c r="C2556" s="42" t="n">
        <v>3</v>
      </c>
      <c r="D2556" s="42" t="n">
        <v>26</v>
      </c>
      <c r="E2556" s="42" t="n">
        <v>1</v>
      </c>
      <c r="F2556" s="42" t="inlineStr">
        <is>
          <t>FR-130</t>
        </is>
      </c>
      <c r="G2556" s="55">
        <f>IFERROR(INDEX('Semrush Data'!$A$1:$Z$20000,MATCH(A2556,'Semrush Data'!$A$1:$A$20000,0),MATCH("Volume",'Semrush Data'!$A$1:$Z$1,0)),"")</f>
        <v/>
      </c>
      <c r="H2556" s="42">
        <f>IFERROR(INDEX('Semrush Data'!$A$1:$Z$20000,MATCH(A2556,'Semrush Data'!$A$1:$A$20000,0),MATCH("Keyword Difficulty*",'Semrush Data'!$A$1:$Z$1,0)),"")</f>
        <v/>
      </c>
      <c r="I2556" s="56">
        <f>IFERROR(INDEX('Semrush Data'!$A$1:$Z$20000,MATCH(A2556,'Semrush Data'!$A$1:$A$20000,0),MATCH("CPC*",'Semrush Data'!$A$1:$Z$1,0)),"")</f>
        <v/>
      </c>
      <c r="J2556" s="42">
        <f>IFERROR(INDEX('Semrush Data'!$A$1:$Z$20000,MATCH(A2556,'Semrush Data'!$A$1:$A$20000,0),MATCH("Intent",'Semrush Data'!$A$1:$Z$1,0)),"")</f>
        <v/>
      </c>
    </row>
    <row r="2557" ht="15" customHeight="1" s="37">
      <c r="A2557" s="42" t="inlineStr">
        <is>
          <t>dolce &amp; gabbana the one gold intense edp</t>
        </is>
      </c>
      <c r="B2557" s="42" t="inlineStr">
        <is>
          <t>Google suggest</t>
        </is>
      </c>
      <c r="C2557" s="42" t="n">
        <v>3</v>
      </c>
      <c r="D2557" s="42" t="n">
        <v>26</v>
      </c>
      <c r="E2557" s="42" t="n">
        <v>1</v>
      </c>
      <c r="F2557" s="42" t="inlineStr">
        <is>
          <t>FR-125</t>
        </is>
      </c>
      <c r="G2557" s="55">
        <f>IFERROR(INDEX('Semrush Data'!$A$1:$Z$20000,MATCH(A2557,'Semrush Data'!$A$1:$A$20000,0),MATCH("Volume",'Semrush Data'!$A$1:$Z$1,0)),"")</f>
        <v/>
      </c>
      <c r="H2557" s="42">
        <f>IFERROR(INDEX('Semrush Data'!$A$1:$Z$20000,MATCH(A2557,'Semrush Data'!$A$1:$A$20000,0),MATCH("Keyword Difficulty*",'Semrush Data'!$A$1:$Z$1,0)),"")</f>
        <v/>
      </c>
      <c r="I2557" s="56">
        <f>IFERROR(INDEX('Semrush Data'!$A$1:$Z$20000,MATCH(A2557,'Semrush Data'!$A$1:$A$20000,0),MATCH("CPC*",'Semrush Data'!$A$1:$Z$1,0)),"")</f>
        <v/>
      </c>
      <c r="J2557" s="42">
        <f>IFERROR(INDEX('Semrush Data'!$A$1:$Z$20000,MATCH(A2557,'Semrush Data'!$A$1:$A$20000,0),MATCH("Intent",'Semrush Data'!$A$1:$Z$1,0)),"")</f>
        <v/>
      </c>
    </row>
    <row r="2558" ht="15" customHeight="1" s="37">
      <c r="A2558" s="42" t="inlineStr">
        <is>
          <t>dolce &amp; gabbana the one gold intense edp 100ml</t>
        </is>
      </c>
      <c r="B2558" s="42" t="inlineStr">
        <is>
          <t>Google suggest</t>
        </is>
      </c>
      <c r="C2558" s="42" t="n">
        <v>3</v>
      </c>
      <c r="D2558" s="42" t="n">
        <v>26</v>
      </c>
      <c r="E2558" s="42" t="n">
        <v>1</v>
      </c>
      <c r="F2558" s="42" t="inlineStr">
        <is>
          <t>FR-125</t>
        </is>
      </c>
      <c r="G2558" s="55">
        <f>IFERROR(INDEX('Semrush Data'!$A$1:$Z$20000,MATCH(A2558,'Semrush Data'!$A$1:$A$20000,0),MATCH("Volume",'Semrush Data'!$A$1:$Z$1,0)),"")</f>
        <v/>
      </c>
      <c r="H2558" s="42">
        <f>IFERROR(INDEX('Semrush Data'!$A$1:$Z$20000,MATCH(A2558,'Semrush Data'!$A$1:$A$20000,0),MATCH("Keyword Difficulty*",'Semrush Data'!$A$1:$Z$1,0)),"")</f>
        <v/>
      </c>
      <c r="I2558" s="56">
        <f>IFERROR(INDEX('Semrush Data'!$A$1:$Z$20000,MATCH(A2558,'Semrush Data'!$A$1:$A$20000,0),MATCH("CPC*",'Semrush Data'!$A$1:$Z$1,0)),"")</f>
        <v/>
      </c>
      <c r="J2558" s="42">
        <f>IFERROR(INDEX('Semrush Data'!$A$1:$Z$20000,MATCH(A2558,'Semrush Data'!$A$1:$A$20000,0),MATCH("Intent",'Semrush Data'!$A$1:$Z$1,0)),"")</f>
        <v/>
      </c>
    </row>
    <row r="2559" ht="15" customHeight="1" s="37">
      <c r="A2559" s="42" t="inlineStr">
        <is>
          <t>dolce &amp; gabbana the one intense eau de parfum 100ml</t>
        </is>
      </c>
      <c r="B2559" s="42" t="inlineStr">
        <is>
          <t>Google suggest</t>
        </is>
      </c>
      <c r="C2559" s="42" t="n">
        <v>3</v>
      </c>
      <c r="D2559" s="42" t="n">
        <v>26</v>
      </c>
      <c r="E2559" s="42" t="n">
        <v>1</v>
      </c>
      <c r="F2559" s="42" t="inlineStr">
        <is>
          <t>FR-124</t>
        </is>
      </c>
      <c r="G2559" s="55">
        <f>IFERROR(INDEX('Semrush Data'!$A$1:$Z$20000,MATCH(A2559,'Semrush Data'!$A$1:$A$20000,0),MATCH("Volume",'Semrush Data'!$A$1:$Z$1,0)),"")</f>
        <v/>
      </c>
      <c r="H2559" s="42">
        <f>IFERROR(INDEX('Semrush Data'!$A$1:$Z$20000,MATCH(A2559,'Semrush Data'!$A$1:$A$20000,0),MATCH("Keyword Difficulty*",'Semrush Data'!$A$1:$Z$1,0)),"")</f>
        <v/>
      </c>
      <c r="I2559" s="56">
        <f>IFERROR(INDEX('Semrush Data'!$A$1:$Z$20000,MATCH(A2559,'Semrush Data'!$A$1:$A$20000,0),MATCH("CPC*",'Semrush Data'!$A$1:$Z$1,0)),"")</f>
        <v/>
      </c>
      <c r="J2559" s="42">
        <f>IFERROR(INDEX('Semrush Data'!$A$1:$Z$20000,MATCH(A2559,'Semrush Data'!$A$1:$A$20000,0),MATCH("Intent",'Semrush Data'!$A$1:$Z$1,0)),"")</f>
        <v/>
      </c>
    </row>
    <row r="2560" ht="15" customHeight="1" s="37">
      <c r="A2560" s="42" t="inlineStr">
        <is>
          <t>dolce &amp; gabbana the one intense edp</t>
        </is>
      </c>
      <c r="B2560" s="42" t="inlineStr">
        <is>
          <t>Google suggest</t>
        </is>
      </c>
      <c r="C2560" s="42" t="n">
        <v>3</v>
      </c>
      <c r="D2560" s="42" t="n">
        <v>26</v>
      </c>
      <c r="E2560" s="42" t="n">
        <v>1</v>
      </c>
      <c r="F2560" s="42" t="inlineStr">
        <is>
          <t>FR-124</t>
        </is>
      </c>
      <c r="G2560" s="55">
        <f>IFERROR(INDEX('Semrush Data'!$A$1:$Z$20000,MATCH(A2560,'Semrush Data'!$A$1:$A$20000,0),MATCH("Volume",'Semrush Data'!$A$1:$Z$1,0)),"")</f>
        <v/>
      </c>
      <c r="H2560" s="42">
        <f>IFERROR(INDEX('Semrush Data'!$A$1:$Z$20000,MATCH(A2560,'Semrush Data'!$A$1:$A$20000,0),MATCH("Keyword Difficulty*",'Semrush Data'!$A$1:$Z$1,0)),"")</f>
        <v/>
      </c>
      <c r="I2560" s="56">
        <f>IFERROR(INDEX('Semrush Data'!$A$1:$Z$20000,MATCH(A2560,'Semrush Data'!$A$1:$A$20000,0),MATCH("CPC*",'Semrush Data'!$A$1:$Z$1,0)),"")</f>
        <v/>
      </c>
      <c r="J2560" s="42">
        <f>IFERROR(INDEX('Semrush Data'!$A$1:$Z$20000,MATCH(A2560,'Semrush Data'!$A$1:$A$20000,0),MATCH("Intent",'Semrush Data'!$A$1:$Z$1,0)),"")</f>
        <v/>
      </c>
    </row>
    <row r="2561" ht="15" customHeight="1" s="37">
      <c r="A2561" s="42" t="inlineStr">
        <is>
          <t>dolce &amp; gabbana the one intense for women</t>
        </is>
      </c>
      <c r="B2561" s="42" t="inlineStr">
        <is>
          <t>Google suggest</t>
        </is>
      </c>
      <c r="C2561" s="42" t="n">
        <v>3</v>
      </c>
      <c r="D2561" s="42" t="n">
        <v>26</v>
      </c>
      <c r="E2561" s="42" t="n">
        <v>1</v>
      </c>
      <c r="F2561" s="42" t="inlineStr">
        <is>
          <t>FR-124</t>
        </is>
      </c>
      <c r="G2561" s="55">
        <f>IFERROR(INDEX('Semrush Data'!$A$1:$Z$20000,MATCH(A2561,'Semrush Data'!$A$1:$A$20000,0),MATCH("Volume",'Semrush Data'!$A$1:$Z$1,0)),"")</f>
        <v/>
      </c>
      <c r="H2561" s="42">
        <f>IFERROR(INDEX('Semrush Data'!$A$1:$Z$20000,MATCH(A2561,'Semrush Data'!$A$1:$A$20000,0),MATCH("Keyword Difficulty*",'Semrush Data'!$A$1:$Z$1,0)),"")</f>
        <v/>
      </c>
      <c r="I2561" s="56">
        <f>IFERROR(INDEX('Semrush Data'!$A$1:$Z$20000,MATCH(A2561,'Semrush Data'!$A$1:$A$20000,0),MATCH("CPC*",'Semrush Data'!$A$1:$Z$1,0)),"")</f>
        <v/>
      </c>
      <c r="J2561" s="42">
        <f>IFERROR(INDEX('Semrush Data'!$A$1:$Z$20000,MATCH(A2561,'Semrush Data'!$A$1:$A$20000,0),MATCH("Intent",'Semrush Data'!$A$1:$Z$1,0)),"")</f>
        <v/>
      </c>
    </row>
    <row r="2562" ht="15" customHeight="1" s="37">
      <c r="A2562" s="42" t="inlineStr">
        <is>
          <t>dolce &amp; gabbana the one intense men</t>
        </is>
      </c>
      <c r="B2562" s="42" t="inlineStr">
        <is>
          <t>Google suggest</t>
        </is>
      </c>
      <c r="C2562" s="42" t="n">
        <v>3</v>
      </c>
      <c r="D2562" s="42" t="n">
        <v>26</v>
      </c>
      <c r="E2562" s="42" t="n">
        <v>1</v>
      </c>
      <c r="F2562" s="42" t="inlineStr">
        <is>
          <t>FR-124</t>
        </is>
      </c>
      <c r="G2562" s="55">
        <f>IFERROR(INDEX('Semrush Data'!$A$1:$Z$20000,MATCH(A2562,'Semrush Data'!$A$1:$A$20000,0),MATCH("Volume",'Semrush Data'!$A$1:$Z$1,0)),"")</f>
        <v/>
      </c>
      <c r="H2562" s="42">
        <f>IFERROR(INDEX('Semrush Data'!$A$1:$Z$20000,MATCH(A2562,'Semrush Data'!$A$1:$A$20000,0),MATCH("Keyword Difficulty*",'Semrush Data'!$A$1:$Z$1,0)),"")</f>
        <v/>
      </c>
      <c r="I2562" s="56">
        <f>IFERROR(INDEX('Semrush Data'!$A$1:$Z$20000,MATCH(A2562,'Semrush Data'!$A$1:$A$20000,0),MATCH("CPC*",'Semrush Data'!$A$1:$Z$1,0)),"")</f>
        <v/>
      </c>
      <c r="J2562" s="42">
        <f>IFERROR(INDEX('Semrush Data'!$A$1:$Z$20000,MATCH(A2562,'Semrush Data'!$A$1:$A$20000,0),MATCH("Intent",'Semrush Data'!$A$1:$Z$1,0)),"")</f>
        <v/>
      </c>
    </row>
    <row r="2563" ht="15" customHeight="1" s="37">
      <c r="A2563" s="42" t="inlineStr">
        <is>
          <t>dolce &amp; gabbana the one intense notes</t>
        </is>
      </c>
      <c r="B2563" s="42" t="inlineStr">
        <is>
          <t>Google suggest</t>
        </is>
      </c>
      <c r="C2563" s="42" t="n">
        <v>3</v>
      </c>
      <c r="D2563" s="42" t="n">
        <v>26</v>
      </c>
      <c r="E2563" s="42" t="n">
        <v>1</v>
      </c>
      <c r="F2563" s="42" t="inlineStr">
        <is>
          <t>FR-124</t>
        </is>
      </c>
      <c r="G2563" s="55">
        <f>IFERROR(INDEX('Semrush Data'!$A$1:$Z$20000,MATCH(A2563,'Semrush Data'!$A$1:$A$20000,0),MATCH("Volume",'Semrush Data'!$A$1:$Z$1,0)),"")</f>
        <v/>
      </c>
      <c r="H2563" s="42">
        <f>IFERROR(INDEX('Semrush Data'!$A$1:$Z$20000,MATCH(A2563,'Semrush Data'!$A$1:$A$20000,0),MATCH("Keyword Difficulty*",'Semrush Data'!$A$1:$Z$1,0)),"")</f>
        <v/>
      </c>
      <c r="I2563" s="56">
        <f>IFERROR(INDEX('Semrush Data'!$A$1:$Z$20000,MATCH(A2563,'Semrush Data'!$A$1:$A$20000,0),MATCH("CPC*",'Semrush Data'!$A$1:$Z$1,0)),"")</f>
        <v/>
      </c>
      <c r="J2563" s="42">
        <f>IFERROR(INDEX('Semrush Data'!$A$1:$Z$20000,MATCH(A2563,'Semrush Data'!$A$1:$A$20000,0),MATCH("Intent",'Semrush Data'!$A$1:$Z$1,0)),"")</f>
        <v/>
      </c>
    </row>
    <row r="2564" ht="15" customHeight="1" s="37">
      <c r="A2564" s="42" t="inlineStr">
        <is>
          <t>dolce &amp; gabbana the one parfum</t>
        </is>
      </c>
      <c r="B2564" s="42" t="inlineStr">
        <is>
          <t>Google suggest</t>
        </is>
      </c>
      <c r="C2564" s="42" t="n">
        <v>3</v>
      </c>
      <c r="D2564" s="42" t="n">
        <v>26</v>
      </c>
      <c r="E2564" s="42" t="n">
        <v>2</v>
      </c>
      <c r="F2564" s="42" t="inlineStr">
        <is>
          <t>FR-122, FR-123</t>
        </is>
      </c>
      <c r="G2564" s="55">
        <f>IFERROR(INDEX('Semrush Data'!$A$1:$Z$20000,MATCH(A2564,'Semrush Data'!$A$1:$A$20000,0),MATCH("Volume",'Semrush Data'!$A$1:$Z$1,0)),"")</f>
        <v/>
      </c>
      <c r="H2564" s="42">
        <f>IFERROR(INDEX('Semrush Data'!$A$1:$Z$20000,MATCH(A2564,'Semrush Data'!$A$1:$A$20000,0),MATCH("Keyword Difficulty*",'Semrush Data'!$A$1:$Z$1,0)),"")</f>
        <v/>
      </c>
      <c r="I2564" s="56">
        <f>IFERROR(INDEX('Semrush Data'!$A$1:$Z$20000,MATCH(A2564,'Semrush Data'!$A$1:$A$20000,0),MATCH("CPC*",'Semrush Data'!$A$1:$Z$1,0)),"")</f>
        <v/>
      </c>
      <c r="J2564" s="42">
        <f>IFERROR(INDEX('Semrush Data'!$A$1:$Z$20000,MATCH(A2564,'Semrush Data'!$A$1:$A$20000,0),MATCH("Intent",'Semrush Data'!$A$1:$Z$1,0)),"")</f>
        <v/>
      </c>
    </row>
    <row r="2565" ht="15" customHeight="1" s="37">
      <c r="A2565" s="42" t="inlineStr">
        <is>
          <t>dolce and gabbana k gift set 100ml</t>
        </is>
      </c>
      <c r="B2565" s="42" t="inlineStr">
        <is>
          <t>Google suggest</t>
        </is>
      </c>
      <c r="C2565" s="42" t="n">
        <v>3</v>
      </c>
      <c r="D2565" s="42" t="n">
        <v>26</v>
      </c>
      <c r="E2565" s="42" t="n">
        <v>1</v>
      </c>
      <c r="F2565" s="42" t="inlineStr">
        <is>
          <t>FR-128</t>
        </is>
      </c>
      <c r="G2565" s="55">
        <f>IFERROR(INDEX('Semrush Data'!$A$1:$Z$20000,MATCH(A2565,'Semrush Data'!$A$1:$A$20000,0),MATCH("Volume",'Semrush Data'!$A$1:$Z$1,0)),"")</f>
        <v/>
      </c>
      <c r="H2565" s="42">
        <f>IFERROR(INDEX('Semrush Data'!$A$1:$Z$20000,MATCH(A2565,'Semrush Data'!$A$1:$A$20000,0),MATCH("Keyword Difficulty*",'Semrush Data'!$A$1:$Z$1,0)),"")</f>
        <v/>
      </c>
      <c r="I2565" s="56">
        <f>IFERROR(INDEX('Semrush Data'!$A$1:$Z$20000,MATCH(A2565,'Semrush Data'!$A$1:$A$20000,0),MATCH("CPC*",'Semrush Data'!$A$1:$Z$1,0)),"")</f>
        <v/>
      </c>
      <c r="J2565" s="42">
        <f>IFERROR(INDEX('Semrush Data'!$A$1:$Z$20000,MATCH(A2565,'Semrush Data'!$A$1:$A$20000,0),MATCH("Intent",'Semrush Data'!$A$1:$Z$1,0)),"")</f>
        <v/>
      </c>
    </row>
    <row r="2566" ht="15" customHeight="1" s="37">
      <c r="A2566" s="42" t="inlineStr">
        <is>
          <t>dolce and gabbana miniature gift set</t>
        </is>
      </c>
      <c r="B2566" s="42" t="inlineStr">
        <is>
          <t>Google suggest</t>
        </is>
      </c>
      <c r="C2566" s="42" t="n">
        <v>3</v>
      </c>
      <c r="D2566" s="42" t="n">
        <v>26</v>
      </c>
      <c r="E2566" s="42" t="n">
        <v>2</v>
      </c>
      <c r="F2566" s="42" t="inlineStr">
        <is>
          <t>FR-129, FR-131</t>
        </is>
      </c>
      <c r="G2566" s="55">
        <f>IFERROR(INDEX('Semrush Data'!$A$1:$Z$20000,MATCH(A2566,'Semrush Data'!$A$1:$A$20000,0),MATCH("Volume",'Semrush Data'!$A$1:$Z$1,0)),"")</f>
        <v/>
      </c>
      <c r="H2566" s="42">
        <f>IFERROR(INDEX('Semrush Data'!$A$1:$Z$20000,MATCH(A2566,'Semrush Data'!$A$1:$A$20000,0),MATCH("Keyword Difficulty*",'Semrush Data'!$A$1:$Z$1,0)),"")</f>
        <v/>
      </c>
      <c r="I2566" s="56">
        <f>IFERROR(INDEX('Semrush Data'!$A$1:$Z$20000,MATCH(A2566,'Semrush Data'!$A$1:$A$20000,0),MATCH("CPC*",'Semrush Data'!$A$1:$Z$1,0)),"")</f>
        <v/>
      </c>
      <c r="J2566" s="42">
        <f>IFERROR(INDEX('Semrush Data'!$A$1:$Z$20000,MATCH(A2566,'Semrush Data'!$A$1:$A$20000,0),MATCH("Intent",'Semrush Data'!$A$1:$Z$1,0)),"")</f>
        <v/>
      </c>
    </row>
    <row r="2567" ht="15" customHeight="1" s="37">
      <c r="A2567" s="42" t="inlineStr">
        <is>
          <t>dolce and gabbana miniature set</t>
        </is>
      </c>
      <c r="B2567" s="42" t="inlineStr">
        <is>
          <t>Google suggest</t>
        </is>
      </c>
      <c r="C2567" s="42" t="n">
        <v>3</v>
      </c>
      <c r="D2567" s="42" t="n">
        <v>26</v>
      </c>
      <c r="E2567" s="42" t="n">
        <v>2</v>
      </c>
      <c r="F2567" s="42" t="inlineStr">
        <is>
          <t>FR-129, FR-131</t>
        </is>
      </c>
      <c r="G2567" s="55">
        <f>IFERROR(INDEX('Semrush Data'!$A$1:$Z$20000,MATCH(A2567,'Semrush Data'!$A$1:$A$20000,0),MATCH("Volume",'Semrush Data'!$A$1:$Z$1,0)),"")</f>
        <v/>
      </c>
      <c r="H2567" s="42">
        <f>IFERROR(INDEX('Semrush Data'!$A$1:$Z$20000,MATCH(A2567,'Semrush Data'!$A$1:$A$20000,0),MATCH("Keyword Difficulty*",'Semrush Data'!$A$1:$Z$1,0)),"")</f>
        <v/>
      </c>
      <c r="I2567" s="56">
        <f>IFERROR(INDEX('Semrush Data'!$A$1:$Z$20000,MATCH(A2567,'Semrush Data'!$A$1:$A$20000,0),MATCH("CPC*",'Semrush Data'!$A$1:$Z$1,0)),"")</f>
        <v/>
      </c>
      <c r="J2567" s="42">
        <f>IFERROR(INDEX('Semrush Data'!$A$1:$Z$20000,MATCH(A2567,'Semrush Data'!$A$1:$A$20000,0),MATCH("Intent",'Semrush Data'!$A$1:$Z$1,0)),"")</f>
        <v/>
      </c>
    </row>
    <row r="2568" ht="15" customHeight="1" s="37">
      <c r="A2568" s="42" t="inlineStr">
        <is>
          <t>dolce gabbana devotion men gift set</t>
        </is>
      </c>
      <c r="B2568" s="42" t="inlineStr">
        <is>
          <t>Google suggest</t>
        </is>
      </c>
      <c r="C2568" s="42" t="n">
        <v>3</v>
      </c>
      <c r="D2568" s="42" t="n">
        <v>26</v>
      </c>
      <c r="E2568" s="42" t="n">
        <v>1</v>
      </c>
      <c r="F2568" s="42" t="inlineStr">
        <is>
          <t>FR-127</t>
        </is>
      </c>
      <c r="G2568" s="55">
        <f>IFERROR(INDEX('Semrush Data'!$A$1:$Z$20000,MATCH(A2568,'Semrush Data'!$A$1:$A$20000,0),MATCH("Volume",'Semrush Data'!$A$1:$Z$1,0)),"")</f>
        <v/>
      </c>
      <c r="H2568" s="42">
        <f>IFERROR(INDEX('Semrush Data'!$A$1:$Z$20000,MATCH(A2568,'Semrush Data'!$A$1:$A$20000,0),MATCH("Keyword Difficulty*",'Semrush Data'!$A$1:$Z$1,0)),"")</f>
        <v/>
      </c>
      <c r="I2568" s="56">
        <f>IFERROR(INDEX('Semrush Data'!$A$1:$Z$20000,MATCH(A2568,'Semrush Data'!$A$1:$A$20000,0),MATCH("CPC*",'Semrush Data'!$A$1:$Z$1,0)),"")</f>
        <v/>
      </c>
      <c r="J2568" s="42">
        <f>IFERROR(INDEX('Semrush Data'!$A$1:$Z$20000,MATCH(A2568,'Semrush Data'!$A$1:$A$20000,0),MATCH("Intent",'Semrush Data'!$A$1:$Z$1,0)),"")</f>
        <v/>
      </c>
    </row>
    <row r="2569" ht="15" customHeight="1" s="37">
      <c r="A2569" s="42" t="inlineStr">
        <is>
          <t>dolce gabbana devotion perfume gift set</t>
        </is>
      </c>
      <c r="B2569" s="42" t="inlineStr">
        <is>
          <t>Google suggest</t>
        </is>
      </c>
      <c r="C2569" s="42" t="n">
        <v>3</v>
      </c>
      <c r="D2569" s="42" t="n">
        <v>26</v>
      </c>
      <c r="E2569" s="42" t="n">
        <v>1</v>
      </c>
      <c r="F2569" s="42" t="inlineStr">
        <is>
          <t>FR-127</t>
        </is>
      </c>
      <c r="G2569" s="55">
        <f>IFERROR(INDEX('Semrush Data'!$A$1:$Z$20000,MATCH(A2569,'Semrush Data'!$A$1:$A$20000,0),MATCH("Volume",'Semrush Data'!$A$1:$Z$1,0)),"")</f>
        <v/>
      </c>
      <c r="H2569" s="42">
        <f>IFERROR(INDEX('Semrush Data'!$A$1:$Z$20000,MATCH(A2569,'Semrush Data'!$A$1:$A$20000,0),MATCH("Keyword Difficulty*",'Semrush Data'!$A$1:$Z$1,0)),"")</f>
        <v/>
      </c>
      <c r="I2569" s="56">
        <f>IFERROR(INDEX('Semrush Data'!$A$1:$Z$20000,MATCH(A2569,'Semrush Data'!$A$1:$A$20000,0),MATCH("CPC*",'Semrush Data'!$A$1:$Z$1,0)),"")</f>
        <v/>
      </c>
      <c r="J2569" s="42">
        <f>IFERROR(INDEX('Semrush Data'!$A$1:$Z$20000,MATCH(A2569,'Semrush Data'!$A$1:$A$20000,0),MATCH("Intent",'Semrush Data'!$A$1:$Z$1,0)),"")</f>
        <v/>
      </c>
    </row>
    <row r="2570" ht="15" customHeight="1" s="37">
      <c r="A2570" s="42" t="inlineStr">
        <is>
          <t>dolce gabbana devotion set</t>
        </is>
      </c>
      <c r="B2570" s="42" t="inlineStr">
        <is>
          <t>Google suggest</t>
        </is>
      </c>
      <c r="C2570" s="42" t="n">
        <v>3</v>
      </c>
      <c r="D2570" s="42" t="n">
        <v>26</v>
      </c>
      <c r="E2570" s="42" t="n">
        <v>1</v>
      </c>
      <c r="F2570" s="42" t="inlineStr">
        <is>
          <t>FR-127</t>
        </is>
      </c>
      <c r="G2570" s="55">
        <f>IFERROR(INDEX('Semrush Data'!$A$1:$Z$20000,MATCH(A2570,'Semrush Data'!$A$1:$A$20000,0),MATCH("Volume",'Semrush Data'!$A$1:$Z$1,0)),"")</f>
        <v/>
      </c>
      <c r="H2570" s="42">
        <f>IFERROR(INDEX('Semrush Data'!$A$1:$Z$20000,MATCH(A2570,'Semrush Data'!$A$1:$A$20000,0),MATCH("Keyword Difficulty*",'Semrush Data'!$A$1:$Z$1,0)),"")</f>
        <v/>
      </c>
      <c r="I2570" s="56">
        <f>IFERROR(INDEX('Semrush Data'!$A$1:$Z$20000,MATCH(A2570,'Semrush Data'!$A$1:$A$20000,0),MATCH("CPC*",'Semrush Data'!$A$1:$Z$1,0)),"")</f>
        <v/>
      </c>
      <c r="J2570" s="42">
        <f>IFERROR(INDEX('Semrush Data'!$A$1:$Z$20000,MATCH(A2570,'Semrush Data'!$A$1:$A$20000,0),MATCH("Intent",'Semrush Data'!$A$1:$Z$1,0)),"")</f>
        <v/>
      </c>
    </row>
    <row r="2571" ht="15" customHeight="1" s="37">
      <c r="A2571" s="42" t="inlineStr">
        <is>
          <t>dolce gabbana devotion set mini</t>
        </is>
      </c>
      <c r="B2571" s="42" t="inlineStr">
        <is>
          <t>Google suggest</t>
        </is>
      </c>
      <c r="C2571" s="42" t="n">
        <v>3</v>
      </c>
      <c r="D2571" s="42" t="n">
        <v>26</v>
      </c>
      <c r="E2571" s="42" t="n">
        <v>1</v>
      </c>
      <c r="F2571" s="42" t="inlineStr">
        <is>
          <t>FR-127</t>
        </is>
      </c>
      <c r="G2571" s="55">
        <f>IFERROR(INDEX('Semrush Data'!$A$1:$Z$20000,MATCH(A2571,'Semrush Data'!$A$1:$A$20000,0),MATCH("Volume",'Semrush Data'!$A$1:$Z$1,0)),"")</f>
        <v/>
      </c>
      <c r="H2571" s="42">
        <f>IFERROR(INDEX('Semrush Data'!$A$1:$Z$20000,MATCH(A2571,'Semrush Data'!$A$1:$A$20000,0),MATCH("Keyword Difficulty*",'Semrush Data'!$A$1:$Z$1,0)),"")</f>
        <v/>
      </c>
      <c r="I2571" s="56">
        <f>IFERROR(INDEX('Semrush Data'!$A$1:$Z$20000,MATCH(A2571,'Semrush Data'!$A$1:$A$20000,0),MATCH("CPC*",'Semrush Data'!$A$1:$Z$1,0)),"")</f>
        <v/>
      </c>
      <c r="J2571" s="42">
        <f>IFERROR(INDEX('Semrush Data'!$A$1:$Z$20000,MATCH(A2571,'Semrush Data'!$A$1:$A$20000,0),MATCH("Intent",'Semrush Data'!$A$1:$Z$1,0)),"")</f>
        <v/>
      </c>
    </row>
    <row r="2572" ht="15" customHeight="1" s="37">
      <c r="A2572" s="42" t="inlineStr">
        <is>
          <t>dolce gabbana k edp gift set</t>
        </is>
      </c>
      <c r="B2572" s="42" t="inlineStr">
        <is>
          <t>Google suggest</t>
        </is>
      </c>
      <c r="C2572" s="42" t="n">
        <v>3</v>
      </c>
      <c r="D2572" s="42" t="n">
        <v>26</v>
      </c>
      <c r="E2572" s="42" t="n">
        <v>1</v>
      </c>
      <c r="F2572" s="42" t="inlineStr">
        <is>
          <t>FR-128</t>
        </is>
      </c>
      <c r="G2572" s="55">
        <f>IFERROR(INDEX('Semrush Data'!$A$1:$Z$20000,MATCH(A2572,'Semrush Data'!$A$1:$A$20000,0),MATCH("Volume",'Semrush Data'!$A$1:$Z$1,0)),"")</f>
        <v/>
      </c>
      <c r="H2572" s="42">
        <f>IFERROR(INDEX('Semrush Data'!$A$1:$Z$20000,MATCH(A2572,'Semrush Data'!$A$1:$A$20000,0),MATCH("Keyword Difficulty*",'Semrush Data'!$A$1:$Z$1,0)),"")</f>
        <v/>
      </c>
      <c r="I2572" s="56">
        <f>IFERROR(INDEX('Semrush Data'!$A$1:$Z$20000,MATCH(A2572,'Semrush Data'!$A$1:$A$20000,0),MATCH("CPC*",'Semrush Data'!$A$1:$Z$1,0)),"")</f>
        <v/>
      </c>
      <c r="J2572" s="42">
        <f>IFERROR(INDEX('Semrush Data'!$A$1:$Z$20000,MATCH(A2572,'Semrush Data'!$A$1:$A$20000,0),MATCH("Intent",'Semrush Data'!$A$1:$Z$1,0)),"")</f>
        <v/>
      </c>
    </row>
    <row r="2573" ht="15" customHeight="1" s="37">
      <c r="A2573" s="42" t="inlineStr">
        <is>
          <t>dolce gabbana k gift set</t>
        </is>
      </c>
      <c r="B2573" s="42" t="inlineStr">
        <is>
          <t>Google suggest</t>
        </is>
      </c>
      <c r="C2573" s="42" t="n">
        <v>3</v>
      </c>
      <c r="D2573" s="42" t="n">
        <v>26</v>
      </c>
      <c r="E2573" s="42" t="n">
        <v>1</v>
      </c>
      <c r="F2573" s="42" t="inlineStr">
        <is>
          <t>FR-128</t>
        </is>
      </c>
      <c r="G2573" s="55">
        <f>IFERROR(INDEX('Semrush Data'!$A$1:$Z$20000,MATCH(A2573,'Semrush Data'!$A$1:$A$20000,0),MATCH("Volume",'Semrush Data'!$A$1:$Z$1,0)),"")</f>
        <v/>
      </c>
      <c r="H2573" s="42">
        <f>IFERROR(INDEX('Semrush Data'!$A$1:$Z$20000,MATCH(A2573,'Semrush Data'!$A$1:$A$20000,0),MATCH("Keyword Difficulty*",'Semrush Data'!$A$1:$Z$1,0)),"")</f>
        <v/>
      </c>
      <c r="I2573" s="56">
        <f>IFERROR(INDEX('Semrush Data'!$A$1:$Z$20000,MATCH(A2573,'Semrush Data'!$A$1:$A$20000,0),MATCH("CPC*",'Semrush Data'!$A$1:$Z$1,0)),"")</f>
        <v/>
      </c>
      <c r="J2573" s="42">
        <f>IFERROR(INDEX('Semrush Data'!$A$1:$Z$20000,MATCH(A2573,'Semrush Data'!$A$1:$A$20000,0),MATCH("Intent",'Semrush Data'!$A$1:$Z$1,0)),"")</f>
        <v/>
      </c>
    </row>
    <row r="2574" ht="15" customHeight="1" s="37">
      <c r="A2574" s="42" t="inlineStr">
        <is>
          <t>dolce gabbana mini set</t>
        </is>
      </c>
      <c r="B2574" s="42" t="inlineStr">
        <is>
          <t>Google suggest</t>
        </is>
      </c>
      <c r="C2574" s="42" t="n">
        <v>3</v>
      </c>
      <c r="D2574" s="42" t="n">
        <v>26</v>
      </c>
      <c r="E2574" s="42" t="n">
        <v>2</v>
      </c>
      <c r="F2574" s="42" t="inlineStr">
        <is>
          <t>FR-129, FR-131</t>
        </is>
      </c>
      <c r="G2574" s="55">
        <f>IFERROR(INDEX('Semrush Data'!$A$1:$Z$20000,MATCH(A2574,'Semrush Data'!$A$1:$A$20000,0),MATCH("Volume",'Semrush Data'!$A$1:$Z$1,0)),"")</f>
        <v/>
      </c>
      <c r="H2574" s="42">
        <f>IFERROR(INDEX('Semrush Data'!$A$1:$Z$20000,MATCH(A2574,'Semrush Data'!$A$1:$A$20000,0),MATCH("Keyword Difficulty*",'Semrush Data'!$A$1:$Z$1,0)),"")</f>
        <v/>
      </c>
      <c r="I2574" s="56">
        <f>IFERROR(INDEX('Semrush Data'!$A$1:$Z$20000,MATCH(A2574,'Semrush Data'!$A$1:$A$20000,0),MATCH("CPC*",'Semrush Data'!$A$1:$Z$1,0)),"")</f>
        <v/>
      </c>
      <c r="J2574" s="42">
        <f>IFERROR(INDEX('Semrush Data'!$A$1:$Z$20000,MATCH(A2574,'Semrush Data'!$A$1:$A$20000,0),MATCH("Intent",'Semrush Data'!$A$1:$Z$1,0)),"")</f>
        <v/>
      </c>
    </row>
    <row r="2575" ht="15" customHeight="1" s="37">
      <c r="A2575" s="42" t="inlineStr">
        <is>
          <t>dolce gabbana mini set men</t>
        </is>
      </c>
      <c r="B2575" s="42" t="inlineStr">
        <is>
          <t>Google suggest</t>
        </is>
      </c>
      <c r="C2575" s="42" t="n">
        <v>3</v>
      </c>
      <c r="D2575" s="42" t="n">
        <v>26</v>
      </c>
      <c r="E2575" s="42" t="n">
        <v>2</v>
      </c>
      <c r="F2575" s="42" t="inlineStr">
        <is>
          <t>FR-129, FR-131</t>
        </is>
      </c>
      <c r="G2575" s="55">
        <f>IFERROR(INDEX('Semrush Data'!$A$1:$Z$20000,MATCH(A2575,'Semrush Data'!$A$1:$A$20000,0),MATCH("Volume",'Semrush Data'!$A$1:$Z$1,0)),"")</f>
        <v/>
      </c>
      <c r="H2575" s="42">
        <f>IFERROR(INDEX('Semrush Data'!$A$1:$Z$20000,MATCH(A2575,'Semrush Data'!$A$1:$A$20000,0),MATCH("Keyword Difficulty*",'Semrush Data'!$A$1:$Z$1,0)),"")</f>
        <v/>
      </c>
      <c r="I2575" s="56">
        <f>IFERROR(INDEX('Semrush Data'!$A$1:$Z$20000,MATCH(A2575,'Semrush Data'!$A$1:$A$20000,0),MATCH("CPC*",'Semrush Data'!$A$1:$Z$1,0)),"")</f>
        <v/>
      </c>
      <c r="J2575" s="42">
        <f>IFERROR(INDEX('Semrush Data'!$A$1:$Z$20000,MATCH(A2575,'Semrush Data'!$A$1:$A$20000,0),MATCH("Intent",'Semrush Data'!$A$1:$Z$1,0)),"")</f>
        <v/>
      </c>
    </row>
    <row r="2576" ht="15" customHeight="1" s="37">
      <c r="A2576" s="42" t="inlineStr">
        <is>
          <t>dolce gabbana mini set perfume</t>
        </is>
      </c>
      <c r="B2576" s="42" t="inlineStr">
        <is>
          <t>Google suggest</t>
        </is>
      </c>
      <c r="C2576" s="42" t="n">
        <v>3</v>
      </c>
      <c r="D2576" s="42" t="n">
        <v>26</v>
      </c>
      <c r="E2576" s="42" t="n">
        <v>2</v>
      </c>
      <c r="F2576" s="42" t="inlineStr">
        <is>
          <t>FR-129, FR-131</t>
        </is>
      </c>
      <c r="G2576" s="55">
        <f>IFERROR(INDEX('Semrush Data'!$A$1:$Z$20000,MATCH(A2576,'Semrush Data'!$A$1:$A$20000,0),MATCH("Volume",'Semrush Data'!$A$1:$Z$1,0)),"")</f>
        <v/>
      </c>
      <c r="H2576" s="42">
        <f>IFERROR(INDEX('Semrush Data'!$A$1:$Z$20000,MATCH(A2576,'Semrush Data'!$A$1:$A$20000,0),MATCH("Keyword Difficulty*",'Semrush Data'!$A$1:$Z$1,0)),"")</f>
        <v/>
      </c>
      <c r="I2576" s="56">
        <f>IFERROR(INDEX('Semrush Data'!$A$1:$Z$20000,MATCH(A2576,'Semrush Data'!$A$1:$A$20000,0),MATCH("CPC*",'Semrush Data'!$A$1:$Z$1,0)),"")</f>
        <v/>
      </c>
      <c r="J2576" s="42">
        <f>IFERROR(INDEX('Semrush Data'!$A$1:$Z$20000,MATCH(A2576,'Semrush Data'!$A$1:$A$20000,0),MATCH("Intent",'Semrush Data'!$A$1:$Z$1,0)),"")</f>
        <v/>
      </c>
    </row>
    <row r="2577" ht="15" customHeight="1" s="37">
      <c r="A2577" s="42" t="inlineStr">
        <is>
          <t>dolce gabbana miniature perfume set</t>
        </is>
      </c>
      <c r="B2577" s="42" t="inlineStr">
        <is>
          <t>Google suggest</t>
        </is>
      </c>
      <c r="C2577" s="42" t="n">
        <v>3</v>
      </c>
      <c r="D2577" s="42" t="n">
        <v>26</v>
      </c>
      <c r="E2577" s="42" t="n">
        <v>2</v>
      </c>
      <c r="F2577" s="42" t="inlineStr">
        <is>
          <t>FR-129, FR-131</t>
        </is>
      </c>
      <c r="G2577" s="55">
        <f>IFERROR(INDEX('Semrush Data'!$A$1:$Z$20000,MATCH(A2577,'Semrush Data'!$A$1:$A$20000,0),MATCH("Volume",'Semrush Data'!$A$1:$Z$1,0)),"")</f>
        <v/>
      </c>
      <c r="H2577" s="42">
        <f>IFERROR(INDEX('Semrush Data'!$A$1:$Z$20000,MATCH(A2577,'Semrush Data'!$A$1:$A$20000,0),MATCH("Keyword Difficulty*",'Semrush Data'!$A$1:$Z$1,0)),"")</f>
        <v/>
      </c>
      <c r="I2577" s="56">
        <f>IFERROR(INDEX('Semrush Data'!$A$1:$Z$20000,MATCH(A2577,'Semrush Data'!$A$1:$A$20000,0),MATCH("CPC*",'Semrush Data'!$A$1:$Z$1,0)),"")</f>
        <v/>
      </c>
      <c r="J2577" s="42">
        <f>IFERROR(INDEX('Semrush Data'!$A$1:$Z$20000,MATCH(A2577,'Semrush Data'!$A$1:$A$20000,0),MATCH("Intent",'Semrush Data'!$A$1:$Z$1,0)),"")</f>
        <v/>
      </c>
    </row>
    <row r="2578" ht="15" customHeight="1" s="37">
      <c r="A2578" s="42" t="inlineStr">
        <is>
          <t>dolce gabbana the one gift set men</t>
        </is>
      </c>
      <c r="B2578" s="42" t="inlineStr">
        <is>
          <t>Google suggest</t>
        </is>
      </c>
      <c r="C2578" s="42" t="n">
        <v>3</v>
      </c>
      <c r="D2578" s="42" t="n">
        <v>26</v>
      </c>
      <c r="E2578" s="42" t="n">
        <v>1</v>
      </c>
      <c r="F2578" s="42" t="inlineStr">
        <is>
          <t>FR-130</t>
        </is>
      </c>
      <c r="G2578" s="55">
        <f>IFERROR(INDEX('Semrush Data'!$A$1:$Z$20000,MATCH(A2578,'Semrush Data'!$A$1:$A$20000,0),MATCH("Volume",'Semrush Data'!$A$1:$Z$1,0)),"")</f>
        <v/>
      </c>
      <c r="H2578" s="42">
        <f>IFERROR(INDEX('Semrush Data'!$A$1:$Z$20000,MATCH(A2578,'Semrush Data'!$A$1:$A$20000,0),MATCH("Keyword Difficulty*",'Semrush Data'!$A$1:$Z$1,0)),"")</f>
        <v/>
      </c>
      <c r="I2578" s="56">
        <f>IFERROR(INDEX('Semrush Data'!$A$1:$Z$20000,MATCH(A2578,'Semrush Data'!$A$1:$A$20000,0),MATCH("CPC*",'Semrush Data'!$A$1:$Z$1,0)),"")</f>
        <v/>
      </c>
      <c r="J2578" s="42">
        <f>IFERROR(INDEX('Semrush Data'!$A$1:$Z$20000,MATCH(A2578,'Semrush Data'!$A$1:$A$20000,0),MATCH("Intent",'Semrush Data'!$A$1:$Z$1,0)),"")</f>
        <v/>
      </c>
    </row>
    <row r="2579" ht="15" customHeight="1" s="37">
      <c r="A2579" s="42" t="inlineStr">
        <is>
          <t>dolce gabbana the one gold intense 100ml</t>
        </is>
      </c>
      <c r="B2579" s="42" t="inlineStr">
        <is>
          <t>Google suggest</t>
        </is>
      </c>
      <c r="C2579" s="42" t="n">
        <v>3</v>
      </c>
      <c r="D2579" s="42" t="n">
        <v>26</v>
      </c>
      <c r="E2579" s="42" t="n">
        <v>1</v>
      </c>
      <c r="F2579" s="42" t="inlineStr">
        <is>
          <t>FR-125</t>
        </is>
      </c>
      <c r="G2579" s="55">
        <f>IFERROR(INDEX('Semrush Data'!$A$1:$Z$20000,MATCH(A2579,'Semrush Data'!$A$1:$A$20000,0),MATCH("Volume",'Semrush Data'!$A$1:$Z$1,0)),"")</f>
        <v/>
      </c>
      <c r="H2579" s="42">
        <f>IFERROR(INDEX('Semrush Data'!$A$1:$Z$20000,MATCH(A2579,'Semrush Data'!$A$1:$A$20000,0),MATCH("Keyword Difficulty*",'Semrush Data'!$A$1:$Z$1,0)),"")</f>
        <v/>
      </c>
      <c r="I2579" s="56">
        <f>IFERROR(INDEX('Semrush Data'!$A$1:$Z$20000,MATCH(A2579,'Semrush Data'!$A$1:$A$20000,0),MATCH("CPC*",'Semrush Data'!$A$1:$Z$1,0)),"")</f>
        <v/>
      </c>
      <c r="J2579" s="42">
        <f>IFERROR(INDEX('Semrush Data'!$A$1:$Z$20000,MATCH(A2579,'Semrush Data'!$A$1:$A$20000,0),MATCH("Intent",'Semrush Data'!$A$1:$Z$1,0)),"")</f>
        <v/>
      </c>
    </row>
    <row r="2580" ht="15" customHeight="1" s="37">
      <c r="A2580" s="42" t="inlineStr">
        <is>
          <t>dolce gabbana the one gold intense men</t>
        </is>
      </c>
      <c r="B2580" s="42" t="inlineStr">
        <is>
          <t>Google suggest</t>
        </is>
      </c>
      <c r="C2580" s="42" t="n">
        <v>3</v>
      </c>
      <c r="D2580" s="42" t="n">
        <v>26</v>
      </c>
      <c r="E2580" s="42" t="n">
        <v>1</v>
      </c>
      <c r="F2580" s="42" t="inlineStr">
        <is>
          <t>FR-125</t>
        </is>
      </c>
      <c r="G2580" s="55">
        <f>IFERROR(INDEX('Semrush Data'!$A$1:$Z$20000,MATCH(A2580,'Semrush Data'!$A$1:$A$20000,0),MATCH("Volume",'Semrush Data'!$A$1:$Z$1,0)),"")</f>
        <v/>
      </c>
      <c r="H2580" s="42">
        <f>IFERROR(INDEX('Semrush Data'!$A$1:$Z$20000,MATCH(A2580,'Semrush Data'!$A$1:$A$20000,0),MATCH("Keyword Difficulty*",'Semrush Data'!$A$1:$Z$1,0)),"")</f>
        <v/>
      </c>
      <c r="I2580" s="56">
        <f>IFERROR(INDEX('Semrush Data'!$A$1:$Z$20000,MATCH(A2580,'Semrush Data'!$A$1:$A$20000,0),MATCH("CPC*",'Semrush Data'!$A$1:$Z$1,0)),"")</f>
        <v/>
      </c>
      <c r="J2580" s="42">
        <f>IFERROR(INDEX('Semrush Data'!$A$1:$Z$20000,MATCH(A2580,'Semrush Data'!$A$1:$A$20000,0),MATCH("Intent",'Semrush Data'!$A$1:$Z$1,0)),"")</f>
        <v/>
      </c>
    </row>
    <row r="2581" ht="15" customHeight="1" s="37">
      <c r="A2581" s="42" t="inlineStr">
        <is>
          <t>dolce gabbana the one gold intense women</t>
        </is>
      </c>
      <c r="B2581" s="42" t="inlineStr">
        <is>
          <t>Google suggest</t>
        </is>
      </c>
      <c r="C2581" s="42" t="n">
        <v>3</v>
      </c>
      <c r="D2581" s="42" t="n">
        <v>26</v>
      </c>
      <c r="E2581" s="42" t="n">
        <v>1</v>
      </c>
      <c r="F2581" s="42" t="inlineStr">
        <is>
          <t>FR-125</t>
        </is>
      </c>
      <c r="G2581" s="55">
        <f>IFERROR(INDEX('Semrush Data'!$A$1:$Z$20000,MATCH(A2581,'Semrush Data'!$A$1:$A$20000,0),MATCH("Volume",'Semrush Data'!$A$1:$Z$1,0)),"")</f>
        <v/>
      </c>
      <c r="H2581" s="42">
        <f>IFERROR(INDEX('Semrush Data'!$A$1:$Z$20000,MATCH(A2581,'Semrush Data'!$A$1:$A$20000,0),MATCH("Keyword Difficulty*",'Semrush Data'!$A$1:$Z$1,0)),"")</f>
        <v/>
      </c>
      <c r="I2581" s="56">
        <f>IFERROR(INDEX('Semrush Data'!$A$1:$Z$20000,MATCH(A2581,'Semrush Data'!$A$1:$A$20000,0),MATCH("CPC*",'Semrush Data'!$A$1:$Z$1,0)),"")</f>
        <v/>
      </c>
      <c r="J2581" s="42">
        <f>IFERROR(INDEX('Semrush Data'!$A$1:$Z$20000,MATCH(A2581,'Semrush Data'!$A$1:$A$20000,0),MATCH("Intent",'Semrush Data'!$A$1:$Z$1,0)),"")</f>
        <v/>
      </c>
    </row>
    <row r="2582" ht="15" customHeight="1" s="37">
      <c r="A2582" s="42" t="inlineStr">
        <is>
          <t>dolce gabbana the one set</t>
        </is>
      </c>
      <c r="B2582" s="42" t="inlineStr">
        <is>
          <t>Google suggest</t>
        </is>
      </c>
      <c r="C2582" s="42" t="n">
        <v>3</v>
      </c>
      <c r="D2582" s="42" t="n">
        <v>26</v>
      </c>
      <c r="E2582" s="42" t="n">
        <v>1</v>
      </c>
      <c r="F2582" s="42" t="inlineStr">
        <is>
          <t>FR-130</t>
        </is>
      </c>
      <c r="G2582" s="55">
        <f>IFERROR(INDEX('Semrush Data'!$A$1:$Z$20000,MATCH(A2582,'Semrush Data'!$A$1:$A$20000,0),MATCH("Volume",'Semrush Data'!$A$1:$Z$1,0)),"")</f>
        <v/>
      </c>
      <c r="H2582" s="42">
        <f>IFERROR(INDEX('Semrush Data'!$A$1:$Z$20000,MATCH(A2582,'Semrush Data'!$A$1:$A$20000,0),MATCH("Keyword Difficulty*",'Semrush Data'!$A$1:$Z$1,0)),"")</f>
        <v/>
      </c>
      <c r="I2582" s="56">
        <f>IFERROR(INDEX('Semrush Data'!$A$1:$Z$20000,MATCH(A2582,'Semrush Data'!$A$1:$A$20000,0),MATCH("CPC*",'Semrush Data'!$A$1:$Z$1,0)),"")</f>
        <v/>
      </c>
      <c r="J2582" s="42">
        <f>IFERROR(INDEX('Semrush Data'!$A$1:$Z$20000,MATCH(A2582,'Semrush Data'!$A$1:$A$20000,0),MATCH("Intent",'Semrush Data'!$A$1:$Z$1,0)),"")</f>
        <v/>
      </c>
    </row>
    <row r="2583" ht="15" customHeight="1" s="37">
      <c r="A2583" s="42" t="inlineStr">
        <is>
          <t>dolce gabbana the one set men</t>
        </is>
      </c>
      <c r="B2583" s="42" t="inlineStr">
        <is>
          <t>Google suggest</t>
        </is>
      </c>
      <c r="C2583" s="42" t="n">
        <v>3</v>
      </c>
      <c r="D2583" s="42" t="n">
        <v>26</v>
      </c>
      <c r="E2583" s="42" t="n">
        <v>1</v>
      </c>
      <c r="F2583" s="42" t="inlineStr">
        <is>
          <t>FR-130</t>
        </is>
      </c>
      <c r="G2583" s="55">
        <f>IFERROR(INDEX('Semrush Data'!$A$1:$Z$20000,MATCH(A2583,'Semrush Data'!$A$1:$A$20000,0),MATCH("Volume",'Semrush Data'!$A$1:$Z$1,0)),"")</f>
        <v/>
      </c>
      <c r="H2583" s="42">
        <f>IFERROR(INDEX('Semrush Data'!$A$1:$Z$20000,MATCH(A2583,'Semrush Data'!$A$1:$A$20000,0),MATCH("Keyword Difficulty*",'Semrush Data'!$A$1:$Z$1,0)),"")</f>
        <v/>
      </c>
      <c r="I2583" s="56">
        <f>IFERROR(INDEX('Semrush Data'!$A$1:$Z$20000,MATCH(A2583,'Semrush Data'!$A$1:$A$20000,0),MATCH("CPC*",'Semrush Data'!$A$1:$Z$1,0)),"")</f>
        <v/>
      </c>
      <c r="J2583" s="42">
        <f>IFERROR(INDEX('Semrush Data'!$A$1:$Z$20000,MATCH(A2583,'Semrush Data'!$A$1:$A$20000,0),MATCH("Intent",'Semrush Data'!$A$1:$Z$1,0)),"")</f>
        <v/>
      </c>
    </row>
    <row r="2584" ht="15" customHeight="1" s="37">
      <c r="A2584" s="42" t="inlineStr">
        <is>
          <t>dolce gabbana the one set women</t>
        </is>
      </c>
      <c r="B2584" s="42" t="inlineStr">
        <is>
          <t>Google suggest</t>
        </is>
      </c>
      <c r="C2584" s="42" t="n">
        <v>3</v>
      </c>
      <c r="D2584" s="42" t="n">
        <v>26</v>
      </c>
      <c r="E2584" s="42" t="n">
        <v>1</v>
      </c>
      <c r="F2584" s="42" t="inlineStr">
        <is>
          <t>FR-130</t>
        </is>
      </c>
      <c r="G2584" s="55">
        <f>IFERROR(INDEX('Semrush Data'!$A$1:$Z$20000,MATCH(A2584,'Semrush Data'!$A$1:$A$20000,0),MATCH("Volume",'Semrush Data'!$A$1:$Z$1,0)),"")</f>
        <v/>
      </c>
      <c r="H2584" s="42">
        <f>IFERROR(INDEX('Semrush Data'!$A$1:$Z$20000,MATCH(A2584,'Semrush Data'!$A$1:$A$20000,0),MATCH("Keyword Difficulty*",'Semrush Data'!$A$1:$Z$1,0)),"")</f>
        <v/>
      </c>
      <c r="I2584" s="56">
        <f>IFERROR(INDEX('Semrush Data'!$A$1:$Z$20000,MATCH(A2584,'Semrush Data'!$A$1:$A$20000,0),MATCH("CPC*",'Semrush Data'!$A$1:$Z$1,0)),"")</f>
        <v/>
      </c>
      <c r="J2584" s="42">
        <f>IFERROR(INDEX('Semrush Data'!$A$1:$Z$20000,MATCH(A2584,'Semrush Data'!$A$1:$A$20000,0),MATCH("Intent",'Semrush Data'!$A$1:$Z$1,0)),"")</f>
        <v/>
      </c>
    </row>
    <row r="2585" ht="15" customHeight="1" s="37">
      <c r="A2585" s="42" t="inlineStr">
        <is>
          <t>dunhill arabian desert review</t>
        </is>
      </c>
      <c r="B2585" s="42" t="inlineStr">
        <is>
          <t>Google suggest</t>
        </is>
      </c>
      <c r="C2585" s="42" t="n">
        <v>3</v>
      </c>
      <c r="D2585" s="42" t="n">
        <v>26</v>
      </c>
      <c r="E2585" s="42" t="n">
        <v>1</v>
      </c>
      <c r="F2585" s="42" t="inlineStr">
        <is>
          <t>FR-134</t>
        </is>
      </c>
      <c r="G2585" s="55">
        <f>IFERROR(INDEX('Semrush Data'!$A$1:$Z$20000,MATCH(A2585,'Semrush Data'!$A$1:$A$20000,0),MATCH("Volume",'Semrush Data'!$A$1:$Z$1,0)),"")</f>
        <v/>
      </c>
      <c r="H2585" s="42">
        <f>IFERROR(INDEX('Semrush Data'!$A$1:$Z$20000,MATCH(A2585,'Semrush Data'!$A$1:$A$20000,0),MATCH("Keyword Difficulty*",'Semrush Data'!$A$1:$Z$1,0)),"")</f>
        <v/>
      </c>
      <c r="I2585" s="56">
        <f>IFERROR(INDEX('Semrush Data'!$A$1:$Z$20000,MATCH(A2585,'Semrush Data'!$A$1:$A$20000,0),MATCH("CPC*",'Semrush Data'!$A$1:$Z$1,0)),"")</f>
        <v/>
      </c>
      <c r="J2585" s="42">
        <f>IFERROR(INDEX('Semrush Data'!$A$1:$Z$20000,MATCH(A2585,'Semrush Data'!$A$1:$A$20000,0),MATCH("Intent",'Semrush Data'!$A$1:$Z$1,0)),"")</f>
        <v/>
      </c>
    </row>
    <row r="2586" ht="15" customHeight="1" s="37">
      <c r="A2586" s="42" t="inlineStr">
        <is>
          <t>dunhill british leather review</t>
        </is>
      </c>
      <c r="B2586" s="42" t="inlineStr">
        <is>
          <t>Google suggest</t>
        </is>
      </c>
      <c r="C2586" s="42" t="n">
        <v>3</v>
      </c>
      <c r="D2586" s="42" t="n">
        <v>26</v>
      </c>
      <c r="E2586" s="42" t="n">
        <v>1</v>
      </c>
      <c r="F2586" s="42" t="inlineStr">
        <is>
          <t>FR-135</t>
        </is>
      </c>
      <c r="G2586" s="55">
        <f>IFERROR(INDEX('Semrush Data'!$A$1:$Z$20000,MATCH(A2586,'Semrush Data'!$A$1:$A$20000,0),MATCH("Volume",'Semrush Data'!$A$1:$Z$1,0)),"")</f>
        <v/>
      </c>
      <c r="H2586" s="42">
        <f>IFERROR(INDEX('Semrush Data'!$A$1:$Z$20000,MATCH(A2586,'Semrush Data'!$A$1:$A$20000,0),MATCH("Keyword Difficulty*",'Semrush Data'!$A$1:$Z$1,0)),"")</f>
        <v/>
      </c>
      <c r="I2586" s="56">
        <f>IFERROR(INDEX('Semrush Data'!$A$1:$Z$20000,MATCH(A2586,'Semrush Data'!$A$1:$A$20000,0),MATCH("CPC*",'Semrush Data'!$A$1:$Z$1,0)),"")</f>
        <v/>
      </c>
      <c r="J2586" s="42">
        <f>IFERROR(INDEX('Semrush Data'!$A$1:$Z$20000,MATCH(A2586,'Semrush Data'!$A$1:$A$20000,0),MATCH("Intent",'Semrush Data'!$A$1:$Z$1,0)),"")</f>
        <v/>
      </c>
    </row>
    <row r="2587" ht="15" customHeight="1" s="37">
      <c r="A2587" s="42" t="inlineStr">
        <is>
          <t>dunhill desire black edt</t>
        </is>
      </c>
      <c r="B2587" s="42" t="inlineStr">
        <is>
          <t>Google suggest</t>
        </is>
      </c>
      <c r="C2587" s="42" t="n">
        <v>3</v>
      </c>
      <c r="D2587" s="42" t="n">
        <v>26</v>
      </c>
      <c r="E2587" s="42" t="n">
        <v>1</v>
      </c>
      <c r="F2587" s="42" t="inlineStr">
        <is>
          <t>FR-142</t>
        </is>
      </c>
      <c r="G2587" s="55">
        <f>IFERROR(INDEX('Semrush Data'!$A$1:$Z$20000,MATCH(A2587,'Semrush Data'!$A$1:$A$20000,0),MATCH("Volume",'Semrush Data'!$A$1:$Z$1,0)),"")</f>
        <v/>
      </c>
      <c r="H2587" s="42">
        <f>IFERROR(INDEX('Semrush Data'!$A$1:$Z$20000,MATCH(A2587,'Semrush Data'!$A$1:$A$20000,0),MATCH("Keyword Difficulty*",'Semrush Data'!$A$1:$Z$1,0)),"")</f>
        <v/>
      </c>
      <c r="I2587" s="56">
        <f>IFERROR(INDEX('Semrush Data'!$A$1:$Z$20000,MATCH(A2587,'Semrush Data'!$A$1:$A$20000,0),MATCH("CPC*",'Semrush Data'!$A$1:$Z$1,0)),"")</f>
        <v/>
      </c>
      <c r="J2587" s="42">
        <f>IFERROR(INDEX('Semrush Data'!$A$1:$Z$20000,MATCH(A2587,'Semrush Data'!$A$1:$A$20000,0),MATCH("Intent",'Semrush Data'!$A$1:$Z$1,0)),"")</f>
        <v/>
      </c>
    </row>
    <row r="2588" ht="15" customHeight="1" s="37">
      <c r="A2588" s="42" t="inlineStr">
        <is>
          <t>dunhill desire black notes</t>
        </is>
      </c>
      <c r="B2588" s="42" t="inlineStr">
        <is>
          <t>Google suggest</t>
        </is>
      </c>
      <c r="C2588" s="42" t="n">
        <v>3</v>
      </c>
      <c r="D2588" s="42" t="n">
        <v>26</v>
      </c>
      <c r="E2588" s="42" t="n">
        <v>1</v>
      </c>
      <c r="F2588" s="42" t="inlineStr">
        <is>
          <t>FR-142</t>
        </is>
      </c>
      <c r="G2588" s="55">
        <f>IFERROR(INDEX('Semrush Data'!$A$1:$Z$20000,MATCH(A2588,'Semrush Data'!$A$1:$A$20000,0),MATCH("Volume",'Semrush Data'!$A$1:$Z$1,0)),"")</f>
        <v/>
      </c>
      <c r="H2588" s="42">
        <f>IFERROR(INDEX('Semrush Data'!$A$1:$Z$20000,MATCH(A2588,'Semrush Data'!$A$1:$A$20000,0),MATCH("Keyword Difficulty*",'Semrush Data'!$A$1:$Z$1,0)),"")</f>
        <v/>
      </c>
      <c r="I2588" s="56">
        <f>IFERROR(INDEX('Semrush Data'!$A$1:$Z$20000,MATCH(A2588,'Semrush Data'!$A$1:$A$20000,0),MATCH("CPC*",'Semrush Data'!$A$1:$Z$1,0)),"")</f>
        <v/>
      </c>
      <c r="J2588" s="42">
        <f>IFERROR(INDEX('Semrush Data'!$A$1:$Z$20000,MATCH(A2588,'Semrush Data'!$A$1:$A$20000,0),MATCH("Intent",'Semrush Data'!$A$1:$Z$1,0)),"")</f>
        <v/>
      </c>
    </row>
    <row r="2589" ht="15" customHeight="1" s="37">
      <c r="A2589" s="42" t="inlineStr">
        <is>
          <t>dunhill desire black perfume</t>
        </is>
      </c>
      <c r="B2589" s="42" t="inlineStr">
        <is>
          <t>Google suggest</t>
        </is>
      </c>
      <c r="C2589" s="42" t="n">
        <v>3</v>
      </c>
      <c r="D2589" s="42" t="n">
        <v>26</v>
      </c>
      <c r="E2589" s="42" t="n">
        <v>1</v>
      </c>
      <c r="F2589" s="42" t="inlineStr">
        <is>
          <t>FR-142</t>
        </is>
      </c>
      <c r="G2589" s="55">
        <f>IFERROR(INDEX('Semrush Data'!$A$1:$Z$20000,MATCH(A2589,'Semrush Data'!$A$1:$A$20000,0),MATCH("Volume",'Semrush Data'!$A$1:$Z$1,0)),"")</f>
        <v/>
      </c>
      <c r="H2589" s="42">
        <f>IFERROR(INDEX('Semrush Data'!$A$1:$Z$20000,MATCH(A2589,'Semrush Data'!$A$1:$A$20000,0),MATCH("Keyword Difficulty*",'Semrush Data'!$A$1:$Z$1,0)),"")</f>
        <v/>
      </c>
      <c r="I2589" s="56">
        <f>IFERROR(INDEX('Semrush Data'!$A$1:$Z$20000,MATCH(A2589,'Semrush Data'!$A$1:$A$20000,0),MATCH("CPC*",'Semrush Data'!$A$1:$Z$1,0)),"")</f>
        <v/>
      </c>
      <c r="J2589" s="42">
        <f>IFERROR(INDEX('Semrush Data'!$A$1:$Z$20000,MATCH(A2589,'Semrush Data'!$A$1:$A$20000,0),MATCH("Intent",'Semrush Data'!$A$1:$Z$1,0)),"")</f>
        <v/>
      </c>
    </row>
    <row r="2590" ht="15" customHeight="1" s="37">
      <c r="A2590" s="42" t="inlineStr">
        <is>
          <t>dunhill desire black review</t>
        </is>
      </c>
      <c r="B2590" s="42" t="inlineStr">
        <is>
          <t>Google suggest</t>
        </is>
      </c>
      <c r="C2590" s="42" t="n">
        <v>3</v>
      </c>
      <c r="D2590" s="42" t="n">
        <v>26</v>
      </c>
      <c r="E2590" s="42" t="n">
        <v>1</v>
      </c>
      <c r="F2590" s="42" t="inlineStr">
        <is>
          <t>FR-142</t>
        </is>
      </c>
      <c r="G2590" s="55">
        <f>IFERROR(INDEX('Semrush Data'!$A$1:$Z$20000,MATCH(A2590,'Semrush Data'!$A$1:$A$20000,0),MATCH("Volume",'Semrush Data'!$A$1:$Z$1,0)),"")</f>
        <v/>
      </c>
      <c r="H2590" s="42">
        <f>IFERROR(INDEX('Semrush Data'!$A$1:$Z$20000,MATCH(A2590,'Semrush Data'!$A$1:$A$20000,0),MATCH("Keyword Difficulty*",'Semrush Data'!$A$1:$Z$1,0)),"")</f>
        <v/>
      </c>
      <c r="I2590" s="56">
        <f>IFERROR(INDEX('Semrush Data'!$A$1:$Z$20000,MATCH(A2590,'Semrush Data'!$A$1:$A$20000,0),MATCH("CPC*",'Semrush Data'!$A$1:$Z$1,0)),"")</f>
        <v/>
      </c>
      <c r="J2590" s="42">
        <f>IFERROR(INDEX('Semrush Data'!$A$1:$Z$20000,MATCH(A2590,'Semrush Data'!$A$1:$A$20000,0),MATCH("Intent",'Semrush Data'!$A$1:$Z$1,0)),"")</f>
        <v/>
      </c>
    </row>
    <row r="2591" ht="15" customHeight="1" s="37">
      <c r="A2591" s="42" t="inlineStr">
        <is>
          <t>dunhill desire blue notes</t>
        </is>
      </c>
      <c r="B2591" s="42" t="inlineStr">
        <is>
          <t>Google suggest</t>
        </is>
      </c>
      <c r="C2591" s="42" t="n">
        <v>3</v>
      </c>
      <c r="D2591" s="42" t="n">
        <v>26</v>
      </c>
      <c r="E2591" s="42" t="n">
        <v>1</v>
      </c>
      <c r="F2591" s="42" t="inlineStr">
        <is>
          <t>FR-143</t>
        </is>
      </c>
      <c r="G2591" s="55">
        <f>IFERROR(INDEX('Semrush Data'!$A$1:$Z$20000,MATCH(A2591,'Semrush Data'!$A$1:$A$20000,0),MATCH("Volume",'Semrush Data'!$A$1:$Z$1,0)),"")</f>
        <v/>
      </c>
      <c r="H2591" s="42">
        <f>IFERROR(INDEX('Semrush Data'!$A$1:$Z$20000,MATCH(A2591,'Semrush Data'!$A$1:$A$20000,0),MATCH("Keyword Difficulty*",'Semrush Data'!$A$1:$Z$1,0)),"")</f>
        <v/>
      </c>
      <c r="I2591" s="56">
        <f>IFERROR(INDEX('Semrush Data'!$A$1:$Z$20000,MATCH(A2591,'Semrush Data'!$A$1:$A$20000,0),MATCH("CPC*",'Semrush Data'!$A$1:$Z$1,0)),"")</f>
        <v/>
      </c>
      <c r="J2591" s="42">
        <f>IFERROR(INDEX('Semrush Data'!$A$1:$Z$20000,MATCH(A2591,'Semrush Data'!$A$1:$A$20000,0),MATCH("Intent",'Semrush Data'!$A$1:$Z$1,0)),"")</f>
        <v/>
      </c>
    </row>
    <row r="2592" ht="15" customHeight="1" s="37">
      <c r="A2592" s="42" t="inlineStr">
        <is>
          <t>dunhill desire blue original</t>
        </is>
      </c>
      <c r="B2592" s="42" t="inlineStr">
        <is>
          <t>Google suggest</t>
        </is>
      </c>
      <c r="C2592" s="42" t="n">
        <v>3</v>
      </c>
      <c r="D2592" s="42" t="n">
        <v>26</v>
      </c>
      <c r="E2592" s="42" t="n">
        <v>1</v>
      </c>
      <c r="F2592" s="42" t="inlineStr">
        <is>
          <t>FR-143</t>
        </is>
      </c>
      <c r="G2592" s="55">
        <f>IFERROR(INDEX('Semrush Data'!$A$1:$Z$20000,MATCH(A2592,'Semrush Data'!$A$1:$A$20000,0),MATCH("Volume",'Semrush Data'!$A$1:$Z$1,0)),"")</f>
        <v/>
      </c>
      <c r="H2592" s="42">
        <f>IFERROR(INDEX('Semrush Data'!$A$1:$Z$20000,MATCH(A2592,'Semrush Data'!$A$1:$A$20000,0),MATCH("Keyword Difficulty*",'Semrush Data'!$A$1:$Z$1,0)),"")</f>
        <v/>
      </c>
      <c r="I2592" s="56">
        <f>IFERROR(INDEX('Semrush Data'!$A$1:$Z$20000,MATCH(A2592,'Semrush Data'!$A$1:$A$20000,0),MATCH("CPC*",'Semrush Data'!$A$1:$Z$1,0)),"")</f>
        <v/>
      </c>
      <c r="J2592" s="42">
        <f>IFERROR(INDEX('Semrush Data'!$A$1:$Z$20000,MATCH(A2592,'Semrush Data'!$A$1:$A$20000,0),MATCH("Intent",'Semrush Data'!$A$1:$Z$1,0)),"")</f>
        <v/>
      </c>
    </row>
    <row r="2593" ht="15" customHeight="1" s="37">
      <c r="A2593" s="42" t="inlineStr">
        <is>
          <t>dunhill desire blue perfume</t>
        </is>
      </c>
      <c r="B2593" s="42" t="inlineStr">
        <is>
          <t>Google suggest</t>
        </is>
      </c>
      <c r="C2593" s="42" t="n">
        <v>3</v>
      </c>
      <c r="D2593" s="42" t="n">
        <v>26</v>
      </c>
      <c r="E2593" s="42" t="n">
        <v>1</v>
      </c>
      <c r="F2593" s="42" t="inlineStr">
        <is>
          <t>FR-143</t>
        </is>
      </c>
      <c r="G2593" s="55">
        <f>IFERROR(INDEX('Semrush Data'!$A$1:$Z$20000,MATCH(A2593,'Semrush Data'!$A$1:$A$20000,0),MATCH("Volume",'Semrush Data'!$A$1:$Z$1,0)),"")</f>
        <v/>
      </c>
      <c r="H2593" s="42">
        <f>IFERROR(INDEX('Semrush Data'!$A$1:$Z$20000,MATCH(A2593,'Semrush Data'!$A$1:$A$20000,0),MATCH("Keyword Difficulty*",'Semrush Data'!$A$1:$Z$1,0)),"")</f>
        <v/>
      </c>
      <c r="I2593" s="56">
        <f>IFERROR(INDEX('Semrush Data'!$A$1:$Z$20000,MATCH(A2593,'Semrush Data'!$A$1:$A$20000,0),MATCH("CPC*",'Semrush Data'!$A$1:$Z$1,0)),"")</f>
        <v/>
      </c>
      <c r="J2593" s="42">
        <f>IFERROR(INDEX('Semrush Data'!$A$1:$Z$20000,MATCH(A2593,'Semrush Data'!$A$1:$A$20000,0),MATCH("Intent",'Semrush Data'!$A$1:$Z$1,0)),"")</f>
        <v/>
      </c>
    </row>
    <row r="2594" ht="15" customHeight="1" s="37">
      <c r="A2594" s="42" t="inlineStr">
        <is>
          <t>dunhill desire blue review</t>
        </is>
      </c>
      <c r="B2594" s="42" t="inlineStr">
        <is>
          <t>Google suggest</t>
        </is>
      </c>
      <c r="C2594" s="42" t="n">
        <v>3</v>
      </c>
      <c r="D2594" s="42" t="n">
        <v>26</v>
      </c>
      <c r="E2594" s="42" t="n">
        <v>1</v>
      </c>
      <c r="F2594" s="42" t="inlineStr">
        <is>
          <t>FR-143</t>
        </is>
      </c>
      <c r="G2594" s="55">
        <f>IFERROR(INDEX('Semrush Data'!$A$1:$Z$20000,MATCH(A2594,'Semrush Data'!$A$1:$A$20000,0),MATCH("Volume",'Semrush Data'!$A$1:$Z$1,0)),"")</f>
        <v/>
      </c>
      <c r="H2594" s="42">
        <f>IFERROR(INDEX('Semrush Data'!$A$1:$Z$20000,MATCH(A2594,'Semrush Data'!$A$1:$A$20000,0),MATCH("Keyword Difficulty*",'Semrush Data'!$A$1:$Z$1,0)),"")</f>
        <v/>
      </c>
      <c r="I2594" s="56">
        <f>IFERROR(INDEX('Semrush Data'!$A$1:$Z$20000,MATCH(A2594,'Semrush Data'!$A$1:$A$20000,0),MATCH("CPC*",'Semrush Data'!$A$1:$Z$1,0)),"")</f>
        <v/>
      </c>
      <c r="J2594" s="42">
        <f>IFERROR(INDEX('Semrush Data'!$A$1:$Z$20000,MATCH(A2594,'Semrush Data'!$A$1:$A$20000,0),MATCH("Intent",'Semrush Data'!$A$1:$Z$1,0)),"")</f>
        <v/>
      </c>
    </row>
    <row r="2595" ht="15" customHeight="1" s="37">
      <c r="A2595" s="42" t="inlineStr">
        <is>
          <t>dunhill desire gold edt</t>
        </is>
      </c>
      <c r="B2595" s="42" t="inlineStr">
        <is>
          <t>Google suggest</t>
        </is>
      </c>
      <c r="C2595" s="42" t="n">
        <v>3</v>
      </c>
      <c r="D2595" s="42" t="n">
        <v>26</v>
      </c>
      <c r="E2595" s="42" t="n">
        <v>1</v>
      </c>
      <c r="F2595" s="42" t="inlineStr">
        <is>
          <t>FR-144</t>
        </is>
      </c>
      <c r="G2595" s="55">
        <f>IFERROR(INDEX('Semrush Data'!$A$1:$Z$20000,MATCH(A2595,'Semrush Data'!$A$1:$A$20000,0),MATCH("Volume",'Semrush Data'!$A$1:$Z$1,0)),"")</f>
        <v/>
      </c>
      <c r="H2595" s="42">
        <f>IFERROR(INDEX('Semrush Data'!$A$1:$Z$20000,MATCH(A2595,'Semrush Data'!$A$1:$A$20000,0),MATCH("Keyword Difficulty*",'Semrush Data'!$A$1:$Z$1,0)),"")</f>
        <v/>
      </c>
      <c r="I2595" s="56">
        <f>IFERROR(INDEX('Semrush Data'!$A$1:$Z$20000,MATCH(A2595,'Semrush Data'!$A$1:$A$20000,0),MATCH("CPC*",'Semrush Data'!$A$1:$Z$1,0)),"")</f>
        <v/>
      </c>
      <c r="J2595" s="42">
        <f>IFERROR(INDEX('Semrush Data'!$A$1:$Z$20000,MATCH(A2595,'Semrush Data'!$A$1:$A$20000,0),MATCH("Intent",'Semrush Data'!$A$1:$Z$1,0)),"")</f>
        <v/>
      </c>
    </row>
    <row r="2596" ht="15" customHeight="1" s="37">
      <c r="A2596" s="42" t="inlineStr">
        <is>
          <t>dunhill desire gold edt 100ml</t>
        </is>
      </c>
      <c r="B2596" s="42" t="inlineStr">
        <is>
          <t>Google suggest</t>
        </is>
      </c>
      <c r="C2596" s="42" t="n">
        <v>3</v>
      </c>
      <c r="D2596" s="42" t="n">
        <v>26</v>
      </c>
      <c r="E2596" s="42" t="n">
        <v>1</v>
      </c>
      <c r="F2596" s="42" t="inlineStr">
        <is>
          <t>FR-144</t>
        </is>
      </c>
      <c r="G2596" s="55">
        <f>IFERROR(INDEX('Semrush Data'!$A$1:$Z$20000,MATCH(A2596,'Semrush Data'!$A$1:$A$20000,0),MATCH("Volume",'Semrush Data'!$A$1:$Z$1,0)),"")</f>
        <v/>
      </c>
      <c r="H2596" s="42">
        <f>IFERROR(INDEX('Semrush Data'!$A$1:$Z$20000,MATCH(A2596,'Semrush Data'!$A$1:$A$20000,0),MATCH("Keyword Difficulty*",'Semrush Data'!$A$1:$Z$1,0)),"")</f>
        <v/>
      </c>
      <c r="I2596" s="56">
        <f>IFERROR(INDEX('Semrush Data'!$A$1:$Z$20000,MATCH(A2596,'Semrush Data'!$A$1:$A$20000,0),MATCH("CPC*",'Semrush Data'!$A$1:$Z$1,0)),"")</f>
        <v/>
      </c>
      <c r="J2596" s="42">
        <f>IFERROR(INDEX('Semrush Data'!$A$1:$Z$20000,MATCH(A2596,'Semrush Data'!$A$1:$A$20000,0),MATCH("Intent",'Semrush Data'!$A$1:$Z$1,0)),"")</f>
        <v/>
      </c>
    </row>
    <row r="2597" ht="15" customHeight="1" s="37">
      <c r="A2597" s="42" t="inlineStr">
        <is>
          <t>dunhill desire gold for men</t>
        </is>
      </c>
      <c r="B2597" s="42" t="inlineStr">
        <is>
          <t>Google suggest</t>
        </is>
      </c>
      <c r="C2597" s="42" t="n">
        <v>3</v>
      </c>
      <c r="D2597" s="42" t="n">
        <v>26</v>
      </c>
      <c r="E2597" s="42" t="n">
        <v>1</v>
      </c>
      <c r="F2597" s="42" t="inlineStr">
        <is>
          <t>FR-144</t>
        </is>
      </c>
      <c r="G2597" s="55">
        <f>IFERROR(INDEX('Semrush Data'!$A$1:$Z$20000,MATCH(A2597,'Semrush Data'!$A$1:$A$20000,0),MATCH("Volume",'Semrush Data'!$A$1:$Z$1,0)),"")</f>
        <v/>
      </c>
      <c r="H2597" s="42">
        <f>IFERROR(INDEX('Semrush Data'!$A$1:$Z$20000,MATCH(A2597,'Semrush Data'!$A$1:$A$20000,0),MATCH("Keyword Difficulty*",'Semrush Data'!$A$1:$Z$1,0)),"")</f>
        <v/>
      </c>
      <c r="I2597" s="56">
        <f>IFERROR(INDEX('Semrush Data'!$A$1:$Z$20000,MATCH(A2597,'Semrush Data'!$A$1:$A$20000,0),MATCH("CPC*",'Semrush Data'!$A$1:$Z$1,0)),"")</f>
        <v/>
      </c>
      <c r="J2597" s="42">
        <f>IFERROR(INDEX('Semrush Data'!$A$1:$Z$20000,MATCH(A2597,'Semrush Data'!$A$1:$A$20000,0),MATCH("Intent",'Semrush Data'!$A$1:$Z$1,0)),"")</f>
        <v/>
      </c>
    </row>
    <row r="2598" ht="15" customHeight="1" s="37">
      <c r="A2598" s="42" t="inlineStr">
        <is>
          <t>dunhill desire gold perfume</t>
        </is>
      </c>
      <c r="B2598" s="42" t="inlineStr">
        <is>
          <t>Google suggest</t>
        </is>
      </c>
      <c r="C2598" s="42" t="n">
        <v>3</v>
      </c>
      <c r="D2598" s="42" t="n">
        <v>26</v>
      </c>
      <c r="E2598" s="42" t="n">
        <v>1</v>
      </c>
      <c r="F2598" s="42" t="inlineStr">
        <is>
          <t>FR-144</t>
        </is>
      </c>
      <c r="G2598" s="55">
        <f>IFERROR(INDEX('Semrush Data'!$A$1:$Z$20000,MATCH(A2598,'Semrush Data'!$A$1:$A$20000,0),MATCH("Volume",'Semrush Data'!$A$1:$Z$1,0)),"")</f>
        <v/>
      </c>
      <c r="H2598" s="42">
        <f>IFERROR(INDEX('Semrush Data'!$A$1:$Z$20000,MATCH(A2598,'Semrush Data'!$A$1:$A$20000,0),MATCH("Keyword Difficulty*",'Semrush Data'!$A$1:$Z$1,0)),"")</f>
        <v/>
      </c>
      <c r="I2598" s="56">
        <f>IFERROR(INDEX('Semrush Data'!$A$1:$Z$20000,MATCH(A2598,'Semrush Data'!$A$1:$A$20000,0),MATCH("CPC*",'Semrush Data'!$A$1:$Z$1,0)),"")</f>
        <v/>
      </c>
      <c r="J2598" s="42">
        <f>IFERROR(INDEX('Semrush Data'!$A$1:$Z$20000,MATCH(A2598,'Semrush Data'!$A$1:$A$20000,0),MATCH("Intent",'Semrush Data'!$A$1:$Z$1,0)),"")</f>
        <v/>
      </c>
    </row>
    <row r="2599" ht="15" customHeight="1" s="37">
      <c r="A2599" s="42" t="inlineStr">
        <is>
          <t>dunhill desire gold review</t>
        </is>
      </c>
      <c r="B2599" s="42" t="inlineStr">
        <is>
          <t>Google suggest</t>
        </is>
      </c>
      <c r="C2599" s="42" t="n">
        <v>3</v>
      </c>
      <c r="D2599" s="42" t="n">
        <v>26</v>
      </c>
      <c r="E2599" s="42" t="n">
        <v>1</v>
      </c>
      <c r="F2599" s="42" t="inlineStr">
        <is>
          <t>FR-144</t>
        </is>
      </c>
      <c r="G2599" s="55">
        <f>IFERROR(INDEX('Semrush Data'!$A$1:$Z$20000,MATCH(A2599,'Semrush Data'!$A$1:$A$20000,0),MATCH("Volume",'Semrush Data'!$A$1:$Z$1,0)),"")</f>
        <v/>
      </c>
      <c r="H2599" s="42">
        <f>IFERROR(INDEX('Semrush Data'!$A$1:$Z$20000,MATCH(A2599,'Semrush Data'!$A$1:$A$20000,0),MATCH("Keyword Difficulty*",'Semrush Data'!$A$1:$Z$1,0)),"")</f>
        <v/>
      </c>
      <c r="I2599" s="56">
        <f>IFERROR(INDEX('Semrush Data'!$A$1:$Z$20000,MATCH(A2599,'Semrush Data'!$A$1:$A$20000,0),MATCH("CPC*",'Semrush Data'!$A$1:$Z$1,0)),"")</f>
        <v/>
      </c>
      <c r="J2599" s="42">
        <f>IFERROR(INDEX('Semrush Data'!$A$1:$Z$20000,MATCH(A2599,'Semrush Data'!$A$1:$A$20000,0),MATCH("Intent",'Semrush Data'!$A$1:$Z$1,0)),"")</f>
        <v/>
      </c>
    </row>
    <row r="2600" ht="15" customHeight="1" s="37">
      <c r="A2600" s="42" t="inlineStr">
        <is>
          <t>dunhill desire silver 100ml</t>
        </is>
      </c>
      <c r="B2600" s="42" t="inlineStr">
        <is>
          <t>Google suggest</t>
        </is>
      </c>
      <c r="C2600" s="42" t="n">
        <v>3</v>
      </c>
      <c r="D2600" s="42" t="n">
        <v>26</v>
      </c>
      <c r="E2600" s="42" t="n">
        <v>1</v>
      </c>
      <c r="F2600" s="42" t="inlineStr">
        <is>
          <t>FR-145</t>
        </is>
      </c>
      <c r="G2600" s="55">
        <f>IFERROR(INDEX('Semrush Data'!$A$1:$Z$20000,MATCH(A2600,'Semrush Data'!$A$1:$A$20000,0),MATCH("Volume",'Semrush Data'!$A$1:$Z$1,0)),"")</f>
        <v/>
      </c>
      <c r="H2600" s="42">
        <f>IFERROR(INDEX('Semrush Data'!$A$1:$Z$20000,MATCH(A2600,'Semrush Data'!$A$1:$A$20000,0),MATCH("Keyword Difficulty*",'Semrush Data'!$A$1:$Z$1,0)),"")</f>
        <v/>
      </c>
      <c r="I2600" s="56">
        <f>IFERROR(INDEX('Semrush Data'!$A$1:$Z$20000,MATCH(A2600,'Semrush Data'!$A$1:$A$20000,0),MATCH("CPC*",'Semrush Data'!$A$1:$Z$1,0)),"")</f>
        <v/>
      </c>
      <c r="J2600" s="42">
        <f>IFERROR(INDEX('Semrush Data'!$A$1:$Z$20000,MATCH(A2600,'Semrush Data'!$A$1:$A$20000,0),MATCH("Intent",'Semrush Data'!$A$1:$Z$1,0)),"")</f>
        <v/>
      </c>
    </row>
    <row r="2601" ht="15" customHeight="1" s="37">
      <c r="A2601" s="42" t="inlineStr">
        <is>
          <t>dunhill desire silver edt</t>
        </is>
      </c>
      <c r="B2601" s="42" t="inlineStr">
        <is>
          <t>Google suggest</t>
        </is>
      </c>
      <c r="C2601" s="42" t="n">
        <v>3</v>
      </c>
      <c r="D2601" s="42" t="n">
        <v>26</v>
      </c>
      <c r="E2601" s="42" t="n">
        <v>1</v>
      </c>
      <c r="F2601" s="42" t="inlineStr">
        <is>
          <t>FR-145</t>
        </is>
      </c>
      <c r="G2601" s="55">
        <f>IFERROR(INDEX('Semrush Data'!$A$1:$Z$20000,MATCH(A2601,'Semrush Data'!$A$1:$A$20000,0),MATCH("Volume",'Semrush Data'!$A$1:$Z$1,0)),"")</f>
        <v/>
      </c>
      <c r="H2601" s="42">
        <f>IFERROR(INDEX('Semrush Data'!$A$1:$Z$20000,MATCH(A2601,'Semrush Data'!$A$1:$A$20000,0),MATCH("Keyword Difficulty*",'Semrush Data'!$A$1:$Z$1,0)),"")</f>
        <v/>
      </c>
      <c r="I2601" s="56">
        <f>IFERROR(INDEX('Semrush Data'!$A$1:$Z$20000,MATCH(A2601,'Semrush Data'!$A$1:$A$20000,0),MATCH("CPC*",'Semrush Data'!$A$1:$Z$1,0)),"")</f>
        <v/>
      </c>
      <c r="J2601" s="42">
        <f>IFERROR(INDEX('Semrush Data'!$A$1:$Z$20000,MATCH(A2601,'Semrush Data'!$A$1:$A$20000,0),MATCH("Intent",'Semrush Data'!$A$1:$Z$1,0)),"")</f>
        <v/>
      </c>
    </row>
    <row r="2602" ht="15" customHeight="1" s="37">
      <c r="A2602" s="42" t="inlineStr">
        <is>
          <t>dunhill desire silver notes</t>
        </is>
      </c>
      <c r="B2602" s="42" t="inlineStr">
        <is>
          <t>Google suggest</t>
        </is>
      </c>
      <c r="C2602" s="42" t="n">
        <v>3</v>
      </c>
      <c r="D2602" s="42" t="n">
        <v>27</v>
      </c>
      <c r="E2602" s="42" t="n">
        <v>1</v>
      </c>
      <c r="F2602" s="42" t="inlineStr">
        <is>
          <t>FR-145</t>
        </is>
      </c>
      <c r="G2602" s="55">
        <f>IFERROR(INDEX('Semrush Data'!$A$1:$Z$20000,MATCH(A2602,'Semrush Data'!$A$1:$A$20000,0),MATCH("Volume",'Semrush Data'!$A$1:$Z$1,0)),"")</f>
        <v/>
      </c>
      <c r="H2602" s="42">
        <f>IFERROR(INDEX('Semrush Data'!$A$1:$Z$20000,MATCH(A2602,'Semrush Data'!$A$1:$A$20000,0),MATCH("Keyword Difficulty*",'Semrush Data'!$A$1:$Z$1,0)),"")</f>
        <v/>
      </c>
      <c r="I2602" s="56">
        <f>IFERROR(INDEX('Semrush Data'!$A$1:$Z$20000,MATCH(A2602,'Semrush Data'!$A$1:$A$20000,0),MATCH("CPC*",'Semrush Data'!$A$1:$Z$1,0)),"")</f>
        <v/>
      </c>
      <c r="J2602" s="42">
        <f>IFERROR(INDEX('Semrush Data'!$A$1:$Z$20000,MATCH(A2602,'Semrush Data'!$A$1:$A$20000,0),MATCH("Intent",'Semrush Data'!$A$1:$Z$1,0)),"")</f>
        <v/>
      </c>
    </row>
    <row r="2603" ht="15" customHeight="1" s="37">
      <c r="A2603" s="42" t="inlineStr">
        <is>
          <t>dunhill desire silver perfume</t>
        </is>
      </c>
      <c r="B2603" s="42" t="inlineStr">
        <is>
          <t>Google suggest</t>
        </is>
      </c>
      <c r="C2603" s="42" t="n">
        <v>3</v>
      </c>
      <c r="D2603" s="42" t="n">
        <v>27</v>
      </c>
      <c r="E2603" s="42" t="n">
        <v>1</v>
      </c>
      <c r="F2603" s="42" t="inlineStr">
        <is>
          <t>FR-145</t>
        </is>
      </c>
      <c r="G2603" s="55">
        <f>IFERROR(INDEX('Semrush Data'!$A$1:$Z$20000,MATCH(A2603,'Semrush Data'!$A$1:$A$20000,0),MATCH("Volume",'Semrush Data'!$A$1:$Z$1,0)),"")</f>
        <v/>
      </c>
      <c r="H2603" s="42">
        <f>IFERROR(INDEX('Semrush Data'!$A$1:$Z$20000,MATCH(A2603,'Semrush Data'!$A$1:$A$20000,0),MATCH("Keyword Difficulty*",'Semrush Data'!$A$1:$Z$1,0)),"")</f>
        <v/>
      </c>
      <c r="I2603" s="56">
        <f>IFERROR(INDEX('Semrush Data'!$A$1:$Z$20000,MATCH(A2603,'Semrush Data'!$A$1:$A$20000,0),MATCH("CPC*",'Semrush Data'!$A$1:$Z$1,0)),"")</f>
        <v/>
      </c>
      <c r="J2603" s="42">
        <f>IFERROR(INDEX('Semrush Data'!$A$1:$Z$20000,MATCH(A2603,'Semrush Data'!$A$1:$A$20000,0),MATCH("Intent",'Semrush Data'!$A$1:$Z$1,0)),"")</f>
        <v/>
      </c>
    </row>
    <row r="2604" ht="15" customHeight="1" s="37">
      <c r="A2604" s="42" t="inlineStr">
        <is>
          <t>dunhill desire silver review</t>
        </is>
      </c>
      <c r="B2604" s="42" t="inlineStr">
        <is>
          <t>Google suggest</t>
        </is>
      </c>
      <c r="C2604" s="42" t="n">
        <v>3</v>
      </c>
      <c r="D2604" s="42" t="n">
        <v>27</v>
      </c>
      <c r="E2604" s="42" t="n">
        <v>1</v>
      </c>
      <c r="F2604" s="42" t="inlineStr">
        <is>
          <t>FR-145</t>
        </is>
      </c>
      <c r="G2604" s="55">
        <f>IFERROR(INDEX('Semrush Data'!$A$1:$Z$20000,MATCH(A2604,'Semrush Data'!$A$1:$A$20000,0),MATCH("Volume",'Semrush Data'!$A$1:$Z$1,0)),"")</f>
        <v/>
      </c>
      <c r="H2604" s="42">
        <f>IFERROR(INDEX('Semrush Data'!$A$1:$Z$20000,MATCH(A2604,'Semrush Data'!$A$1:$A$20000,0),MATCH("Keyword Difficulty*",'Semrush Data'!$A$1:$Z$1,0)),"")</f>
        <v/>
      </c>
      <c r="I2604" s="56">
        <f>IFERROR(INDEX('Semrush Data'!$A$1:$Z$20000,MATCH(A2604,'Semrush Data'!$A$1:$A$20000,0),MATCH("CPC*",'Semrush Data'!$A$1:$Z$1,0)),"")</f>
        <v/>
      </c>
      <c r="J2604" s="42">
        <f>IFERROR(INDEX('Semrush Data'!$A$1:$Z$20000,MATCH(A2604,'Semrush Data'!$A$1:$A$20000,0),MATCH("Intent",'Semrush Data'!$A$1:$Z$1,0)),"")</f>
        <v/>
      </c>
    </row>
    <row r="2605" ht="15" customHeight="1" s="37">
      <c r="A2605" s="42" t="inlineStr">
        <is>
          <t>dunhill signature amalfi citrus</t>
        </is>
      </c>
      <c r="B2605" s="42" t="inlineStr">
        <is>
          <t>Google suggest</t>
        </is>
      </c>
      <c r="C2605" s="42" t="n">
        <v>3</v>
      </c>
      <c r="D2605" s="42" t="n">
        <v>27</v>
      </c>
      <c r="E2605" s="42" t="n">
        <v>1</v>
      </c>
      <c r="F2605" s="42" t="inlineStr">
        <is>
          <t>FR-133</t>
        </is>
      </c>
      <c r="G2605" s="55">
        <f>IFERROR(INDEX('Semrush Data'!$A$1:$Z$20000,MATCH(A2605,'Semrush Data'!$A$1:$A$20000,0),MATCH("Volume",'Semrush Data'!$A$1:$Z$1,0)),"")</f>
        <v/>
      </c>
      <c r="H2605" s="42">
        <f>IFERROR(INDEX('Semrush Data'!$A$1:$Z$20000,MATCH(A2605,'Semrush Data'!$A$1:$A$20000,0),MATCH("Keyword Difficulty*",'Semrush Data'!$A$1:$Z$1,0)),"")</f>
        <v/>
      </c>
      <c r="I2605" s="56">
        <f>IFERROR(INDEX('Semrush Data'!$A$1:$Z$20000,MATCH(A2605,'Semrush Data'!$A$1:$A$20000,0),MATCH("CPC*",'Semrush Data'!$A$1:$Z$1,0)),"")</f>
        <v/>
      </c>
      <c r="J2605" s="42">
        <f>IFERROR(INDEX('Semrush Data'!$A$1:$Z$20000,MATCH(A2605,'Semrush Data'!$A$1:$A$20000,0),MATCH("Intent",'Semrush Data'!$A$1:$Z$1,0)),"")</f>
        <v/>
      </c>
    </row>
    <row r="2606" ht="15" customHeight="1" s="37">
      <c r="A2606" s="42" t="inlineStr">
        <is>
          <t>dunhill signature arabian desert</t>
        </is>
      </c>
      <c r="B2606" s="42" t="inlineStr">
        <is>
          <t>Google suggest</t>
        </is>
      </c>
      <c r="C2606" s="42" t="n">
        <v>3</v>
      </c>
      <c r="D2606" s="42" t="n">
        <v>27</v>
      </c>
      <c r="E2606" s="42" t="n">
        <v>1</v>
      </c>
      <c r="F2606" s="42" t="inlineStr">
        <is>
          <t>FR-134</t>
        </is>
      </c>
      <c r="G2606" s="55">
        <f>IFERROR(INDEX('Semrush Data'!$A$1:$Z$20000,MATCH(A2606,'Semrush Data'!$A$1:$A$20000,0),MATCH("Volume",'Semrush Data'!$A$1:$Z$1,0)),"")</f>
        <v/>
      </c>
      <c r="H2606" s="42">
        <f>IFERROR(INDEX('Semrush Data'!$A$1:$Z$20000,MATCH(A2606,'Semrush Data'!$A$1:$A$20000,0),MATCH("Keyword Difficulty*",'Semrush Data'!$A$1:$Z$1,0)),"")</f>
        <v/>
      </c>
      <c r="I2606" s="56">
        <f>IFERROR(INDEX('Semrush Data'!$A$1:$Z$20000,MATCH(A2606,'Semrush Data'!$A$1:$A$20000,0),MATCH("CPC*",'Semrush Data'!$A$1:$Z$1,0)),"")</f>
        <v/>
      </c>
      <c r="J2606" s="42">
        <f>IFERROR(INDEX('Semrush Data'!$A$1:$Z$20000,MATCH(A2606,'Semrush Data'!$A$1:$A$20000,0),MATCH("Intent",'Semrush Data'!$A$1:$Z$1,0)),"")</f>
        <v/>
      </c>
    </row>
    <row r="2607" ht="15" customHeight="1" s="37">
      <c r="A2607" s="42" t="inlineStr">
        <is>
          <t>dunhill signature arabian desert edp</t>
        </is>
      </c>
      <c r="B2607" s="42" t="inlineStr">
        <is>
          <t>Google suggest</t>
        </is>
      </c>
      <c r="C2607" s="42" t="n">
        <v>3</v>
      </c>
      <c r="D2607" s="42" t="n">
        <v>27</v>
      </c>
      <c r="E2607" s="42" t="n">
        <v>1</v>
      </c>
      <c r="F2607" s="42" t="inlineStr">
        <is>
          <t>FR-134</t>
        </is>
      </c>
      <c r="G2607" s="55">
        <f>IFERROR(INDEX('Semrush Data'!$A$1:$Z$20000,MATCH(A2607,'Semrush Data'!$A$1:$A$20000,0),MATCH("Volume",'Semrush Data'!$A$1:$Z$1,0)),"")</f>
        <v/>
      </c>
      <c r="H2607" s="42">
        <f>IFERROR(INDEX('Semrush Data'!$A$1:$Z$20000,MATCH(A2607,'Semrush Data'!$A$1:$A$20000,0),MATCH("Keyword Difficulty*",'Semrush Data'!$A$1:$Z$1,0)),"")</f>
        <v/>
      </c>
      <c r="I2607" s="56">
        <f>IFERROR(INDEX('Semrush Data'!$A$1:$Z$20000,MATCH(A2607,'Semrush Data'!$A$1:$A$20000,0),MATCH("CPC*",'Semrush Data'!$A$1:$Z$1,0)),"")</f>
        <v/>
      </c>
      <c r="J2607" s="42">
        <f>IFERROR(INDEX('Semrush Data'!$A$1:$Z$20000,MATCH(A2607,'Semrush Data'!$A$1:$A$20000,0),MATCH("Intent",'Semrush Data'!$A$1:$Z$1,0)),"")</f>
        <v/>
      </c>
    </row>
    <row r="2608" ht="15" customHeight="1" s="37">
      <c r="A2608" s="42" t="inlineStr">
        <is>
          <t>dunhill signature british leather</t>
        </is>
      </c>
      <c r="B2608" s="42" t="inlineStr">
        <is>
          <t>Google suggest</t>
        </is>
      </c>
      <c r="C2608" s="42" t="n">
        <v>3</v>
      </c>
      <c r="D2608" s="42" t="n">
        <v>27</v>
      </c>
      <c r="E2608" s="42" t="n">
        <v>1</v>
      </c>
      <c r="F2608" s="42" t="inlineStr">
        <is>
          <t>FR-135</t>
        </is>
      </c>
      <c r="G2608" s="55">
        <f>IFERROR(INDEX('Semrush Data'!$A$1:$Z$20000,MATCH(A2608,'Semrush Data'!$A$1:$A$20000,0),MATCH("Volume",'Semrush Data'!$A$1:$Z$1,0)),"")</f>
        <v/>
      </c>
      <c r="H2608" s="42">
        <f>IFERROR(INDEX('Semrush Data'!$A$1:$Z$20000,MATCH(A2608,'Semrush Data'!$A$1:$A$20000,0),MATCH("Keyword Difficulty*",'Semrush Data'!$A$1:$Z$1,0)),"")</f>
        <v/>
      </c>
      <c r="I2608" s="56">
        <f>IFERROR(INDEX('Semrush Data'!$A$1:$Z$20000,MATCH(A2608,'Semrush Data'!$A$1:$A$20000,0),MATCH("CPC*",'Semrush Data'!$A$1:$Z$1,0)),"")</f>
        <v/>
      </c>
      <c r="J2608" s="42">
        <f>IFERROR(INDEX('Semrush Data'!$A$1:$Z$20000,MATCH(A2608,'Semrush Data'!$A$1:$A$20000,0),MATCH("Intent",'Semrush Data'!$A$1:$Z$1,0)),"")</f>
        <v/>
      </c>
    </row>
    <row r="2609" ht="15" customHeight="1" s="37">
      <c r="A2609" s="42" t="inlineStr">
        <is>
          <t>dunhill signature collection agar wood eau de parfum 100ml</t>
        </is>
      </c>
      <c r="B2609" s="42" t="inlineStr">
        <is>
          <t>Google suggest</t>
        </is>
      </c>
      <c r="C2609" s="42" t="n">
        <v>3</v>
      </c>
      <c r="D2609" s="42" t="n">
        <v>27</v>
      </c>
      <c r="E2609" s="42" t="n">
        <v>1</v>
      </c>
      <c r="F2609" s="42" t="inlineStr">
        <is>
          <t>FR-132</t>
        </is>
      </c>
      <c r="G2609" s="55">
        <f>IFERROR(INDEX('Semrush Data'!$A$1:$Z$20000,MATCH(A2609,'Semrush Data'!$A$1:$A$20000,0),MATCH("Volume",'Semrush Data'!$A$1:$Z$1,0)),"")</f>
        <v/>
      </c>
      <c r="H2609" s="42">
        <f>IFERROR(INDEX('Semrush Data'!$A$1:$Z$20000,MATCH(A2609,'Semrush Data'!$A$1:$A$20000,0),MATCH("Keyword Difficulty*",'Semrush Data'!$A$1:$Z$1,0)),"")</f>
        <v/>
      </c>
      <c r="I2609" s="56">
        <f>IFERROR(INDEX('Semrush Data'!$A$1:$Z$20000,MATCH(A2609,'Semrush Data'!$A$1:$A$20000,0),MATCH("CPC*",'Semrush Data'!$A$1:$Z$1,0)),"")</f>
        <v/>
      </c>
      <c r="J2609" s="42">
        <f>IFERROR(INDEX('Semrush Data'!$A$1:$Z$20000,MATCH(A2609,'Semrush Data'!$A$1:$A$20000,0),MATCH("Intent",'Semrush Data'!$A$1:$Z$1,0)),"")</f>
        <v/>
      </c>
    </row>
    <row r="2610" ht="15" customHeight="1" s="37">
      <c r="A2610" s="42" t="inlineStr">
        <is>
          <t>dunhill signature collection agar wood eau de parfum for men</t>
        </is>
      </c>
      <c r="B2610" s="42" t="inlineStr">
        <is>
          <t>Google suggest</t>
        </is>
      </c>
      <c r="C2610" s="42" t="n">
        <v>3</v>
      </c>
      <c r="D2610" s="42" t="n">
        <v>27</v>
      </c>
      <c r="E2610" s="42" t="n">
        <v>1</v>
      </c>
      <c r="F2610" s="42" t="inlineStr">
        <is>
          <t>FR-132</t>
        </is>
      </c>
      <c r="G2610" s="55">
        <f>IFERROR(INDEX('Semrush Data'!$A$1:$Z$20000,MATCH(A2610,'Semrush Data'!$A$1:$A$20000,0),MATCH("Volume",'Semrush Data'!$A$1:$Z$1,0)),"")</f>
        <v/>
      </c>
      <c r="H2610" s="42">
        <f>IFERROR(INDEX('Semrush Data'!$A$1:$Z$20000,MATCH(A2610,'Semrush Data'!$A$1:$A$20000,0),MATCH("Keyword Difficulty*",'Semrush Data'!$A$1:$Z$1,0)),"")</f>
        <v/>
      </c>
      <c r="I2610" s="56">
        <f>IFERROR(INDEX('Semrush Data'!$A$1:$Z$20000,MATCH(A2610,'Semrush Data'!$A$1:$A$20000,0),MATCH("CPC*",'Semrush Data'!$A$1:$Z$1,0)),"")</f>
        <v/>
      </c>
      <c r="J2610" s="42">
        <f>IFERROR(INDEX('Semrush Data'!$A$1:$Z$20000,MATCH(A2610,'Semrush Data'!$A$1:$A$20000,0),MATCH("Intent",'Semrush Data'!$A$1:$Z$1,0)),"")</f>
        <v/>
      </c>
    </row>
    <row r="2611" ht="15" customHeight="1" s="37">
      <c r="A2611" s="42" t="inlineStr">
        <is>
          <t>dunhill signature collection agar wood edp</t>
        </is>
      </c>
      <c r="B2611" s="42" t="inlineStr">
        <is>
          <t>Google suggest</t>
        </is>
      </c>
      <c r="C2611" s="42" t="n">
        <v>3</v>
      </c>
      <c r="D2611" s="42" t="n">
        <v>27</v>
      </c>
      <c r="E2611" s="42" t="n">
        <v>1</v>
      </c>
      <c r="F2611" s="42" t="inlineStr">
        <is>
          <t>FR-132</t>
        </is>
      </c>
      <c r="G2611" s="55">
        <f>IFERROR(INDEX('Semrush Data'!$A$1:$Z$20000,MATCH(A2611,'Semrush Data'!$A$1:$A$20000,0),MATCH("Volume",'Semrush Data'!$A$1:$Z$1,0)),"")</f>
        <v/>
      </c>
      <c r="H2611" s="42">
        <f>IFERROR(INDEX('Semrush Data'!$A$1:$Z$20000,MATCH(A2611,'Semrush Data'!$A$1:$A$20000,0),MATCH("Keyword Difficulty*",'Semrush Data'!$A$1:$Z$1,0)),"")</f>
        <v/>
      </c>
      <c r="I2611" s="56">
        <f>IFERROR(INDEX('Semrush Data'!$A$1:$Z$20000,MATCH(A2611,'Semrush Data'!$A$1:$A$20000,0),MATCH("CPC*",'Semrush Data'!$A$1:$Z$1,0)),"")</f>
        <v/>
      </c>
      <c r="J2611" s="42">
        <f>IFERROR(INDEX('Semrush Data'!$A$1:$Z$20000,MATCH(A2611,'Semrush Data'!$A$1:$A$20000,0),MATCH("Intent",'Semrush Data'!$A$1:$Z$1,0)),"")</f>
        <v/>
      </c>
    </row>
    <row r="2612" ht="15" customHeight="1" s="37">
      <c r="A2612" s="42" t="inlineStr">
        <is>
          <t>dunhill signature collection agar wood edp 100ml</t>
        </is>
      </c>
      <c r="B2612" s="42" t="inlineStr">
        <is>
          <t>Google suggest</t>
        </is>
      </c>
      <c r="C2612" s="42" t="n">
        <v>3</v>
      </c>
      <c r="D2612" s="42" t="n">
        <v>27</v>
      </c>
      <c r="E2612" s="42" t="n">
        <v>1</v>
      </c>
      <c r="F2612" s="42" t="inlineStr">
        <is>
          <t>FR-132</t>
        </is>
      </c>
      <c r="G2612" s="55">
        <f>IFERROR(INDEX('Semrush Data'!$A$1:$Z$20000,MATCH(A2612,'Semrush Data'!$A$1:$A$20000,0),MATCH("Volume",'Semrush Data'!$A$1:$Z$1,0)),"")</f>
        <v/>
      </c>
      <c r="H2612" s="42">
        <f>IFERROR(INDEX('Semrush Data'!$A$1:$Z$20000,MATCH(A2612,'Semrush Data'!$A$1:$A$20000,0),MATCH("Keyword Difficulty*",'Semrush Data'!$A$1:$Z$1,0)),"")</f>
        <v/>
      </c>
      <c r="I2612" s="56">
        <f>IFERROR(INDEX('Semrush Data'!$A$1:$Z$20000,MATCH(A2612,'Semrush Data'!$A$1:$A$20000,0),MATCH("CPC*",'Semrush Data'!$A$1:$Z$1,0)),"")</f>
        <v/>
      </c>
      <c r="J2612" s="42">
        <f>IFERROR(INDEX('Semrush Data'!$A$1:$Z$20000,MATCH(A2612,'Semrush Data'!$A$1:$A$20000,0),MATCH("Intent",'Semrush Data'!$A$1:$Z$1,0)),"")</f>
        <v/>
      </c>
    </row>
    <row r="2613" ht="15" customHeight="1" s="37">
      <c r="A2613" s="42" t="inlineStr">
        <is>
          <t>dunhill signature collection agar wood review</t>
        </is>
      </c>
      <c r="B2613" s="42" t="inlineStr">
        <is>
          <t>Google suggest</t>
        </is>
      </c>
      <c r="C2613" s="42" t="n">
        <v>3</v>
      </c>
      <c r="D2613" s="42" t="n">
        <v>27</v>
      </c>
      <c r="E2613" s="42" t="n">
        <v>1</v>
      </c>
      <c r="F2613" s="42" t="inlineStr">
        <is>
          <t>FR-132</t>
        </is>
      </c>
      <c r="G2613" s="55">
        <f>IFERROR(INDEX('Semrush Data'!$A$1:$Z$20000,MATCH(A2613,'Semrush Data'!$A$1:$A$20000,0),MATCH("Volume",'Semrush Data'!$A$1:$Z$1,0)),"")</f>
        <v/>
      </c>
      <c r="H2613" s="42">
        <f>IFERROR(INDEX('Semrush Data'!$A$1:$Z$20000,MATCH(A2613,'Semrush Data'!$A$1:$A$20000,0),MATCH("Keyword Difficulty*",'Semrush Data'!$A$1:$Z$1,0)),"")</f>
        <v/>
      </c>
      <c r="I2613" s="56">
        <f>IFERROR(INDEX('Semrush Data'!$A$1:$Z$20000,MATCH(A2613,'Semrush Data'!$A$1:$A$20000,0),MATCH("CPC*",'Semrush Data'!$A$1:$Z$1,0)),"")</f>
        <v/>
      </c>
      <c r="J2613" s="42">
        <f>IFERROR(INDEX('Semrush Data'!$A$1:$Z$20000,MATCH(A2613,'Semrush Data'!$A$1:$A$20000,0),MATCH("Intent",'Semrush Data'!$A$1:$Z$1,0)),"")</f>
        <v/>
      </c>
    </row>
    <row r="2614" ht="15" customHeight="1" s="37">
      <c r="A2614" s="42" t="inlineStr">
        <is>
          <t>dunhill signature collection amalfi citrus eau de parfum for men</t>
        </is>
      </c>
      <c r="B2614" s="42" t="inlineStr">
        <is>
          <t>Google suggest</t>
        </is>
      </c>
      <c r="C2614" s="42" t="n">
        <v>3</v>
      </c>
      <c r="D2614" s="42" t="n">
        <v>27</v>
      </c>
      <c r="E2614" s="42" t="n">
        <v>1</v>
      </c>
      <c r="F2614" s="42" t="inlineStr">
        <is>
          <t>FR-133</t>
        </is>
      </c>
      <c r="G2614" s="55">
        <f>IFERROR(INDEX('Semrush Data'!$A$1:$Z$20000,MATCH(A2614,'Semrush Data'!$A$1:$A$20000,0),MATCH("Volume",'Semrush Data'!$A$1:$Z$1,0)),"")</f>
        <v/>
      </c>
      <c r="H2614" s="42">
        <f>IFERROR(INDEX('Semrush Data'!$A$1:$Z$20000,MATCH(A2614,'Semrush Data'!$A$1:$A$20000,0),MATCH("Keyword Difficulty*",'Semrush Data'!$A$1:$Z$1,0)),"")</f>
        <v/>
      </c>
      <c r="I2614" s="56">
        <f>IFERROR(INDEX('Semrush Data'!$A$1:$Z$20000,MATCH(A2614,'Semrush Data'!$A$1:$A$20000,0),MATCH("CPC*",'Semrush Data'!$A$1:$Z$1,0)),"")</f>
        <v/>
      </c>
      <c r="J2614" s="42">
        <f>IFERROR(INDEX('Semrush Data'!$A$1:$Z$20000,MATCH(A2614,'Semrush Data'!$A$1:$A$20000,0),MATCH("Intent",'Semrush Data'!$A$1:$Z$1,0)),"")</f>
        <v/>
      </c>
    </row>
    <row r="2615" ht="15" customHeight="1" s="37">
      <c r="A2615" s="42" t="inlineStr">
        <is>
          <t>dunhill signature collection amalfi citrus edp</t>
        </is>
      </c>
      <c r="B2615" s="42" t="inlineStr">
        <is>
          <t>Google suggest</t>
        </is>
      </c>
      <c r="C2615" s="42" t="n">
        <v>3</v>
      </c>
      <c r="D2615" s="42" t="n">
        <v>27</v>
      </c>
      <c r="E2615" s="42" t="n">
        <v>1</v>
      </c>
      <c r="F2615" s="42" t="inlineStr">
        <is>
          <t>FR-133</t>
        </is>
      </c>
      <c r="G2615" s="55">
        <f>IFERROR(INDEX('Semrush Data'!$A$1:$Z$20000,MATCH(A2615,'Semrush Data'!$A$1:$A$20000,0),MATCH("Volume",'Semrush Data'!$A$1:$Z$1,0)),"")</f>
        <v/>
      </c>
      <c r="H2615" s="42">
        <f>IFERROR(INDEX('Semrush Data'!$A$1:$Z$20000,MATCH(A2615,'Semrush Data'!$A$1:$A$20000,0),MATCH("Keyword Difficulty*",'Semrush Data'!$A$1:$Z$1,0)),"")</f>
        <v/>
      </c>
      <c r="I2615" s="56">
        <f>IFERROR(INDEX('Semrush Data'!$A$1:$Z$20000,MATCH(A2615,'Semrush Data'!$A$1:$A$20000,0),MATCH("CPC*",'Semrush Data'!$A$1:$Z$1,0)),"")</f>
        <v/>
      </c>
      <c r="J2615" s="42">
        <f>IFERROR(INDEX('Semrush Data'!$A$1:$Z$20000,MATCH(A2615,'Semrush Data'!$A$1:$A$20000,0),MATCH("Intent",'Semrush Data'!$A$1:$Z$1,0)),"")</f>
        <v/>
      </c>
    </row>
    <row r="2616" ht="15" customHeight="1" s="37">
      <c r="A2616" s="42" t="inlineStr">
        <is>
          <t>dunhill signature collection amalfi citrus review</t>
        </is>
      </c>
      <c r="B2616" s="42" t="inlineStr">
        <is>
          <t>Google suggest</t>
        </is>
      </c>
      <c r="C2616" s="42" t="n">
        <v>3</v>
      </c>
      <c r="D2616" s="42" t="n">
        <v>27</v>
      </c>
      <c r="E2616" s="42" t="n">
        <v>1</v>
      </c>
      <c r="F2616" s="42" t="inlineStr">
        <is>
          <t>FR-133</t>
        </is>
      </c>
      <c r="G2616" s="55">
        <f>IFERROR(INDEX('Semrush Data'!$A$1:$Z$20000,MATCH(A2616,'Semrush Data'!$A$1:$A$20000,0),MATCH("Volume",'Semrush Data'!$A$1:$Z$1,0)),"")</f>
        <v/>
      </c>
      <c r="H2616" s="42">
        <f>IFERROR(INDEX('Semrush Data'!$A$1:$Z$20000,MATCH(A2616,'Semrush Data'!$A$1:$A$20000,0),MATCH("Keyword Difficulty*",'Semrush Data'!$A$1:$Z$1,0)),"")</f>
        <v/>
      </c>
      <c r="I2616" s="56">
        <f>IFERROR(INDEX('Semrush Data'!$A$1:$Z$20000,MATCH(A2616,'Semrush Data'!$A$1:$A$20000,0),MATCH("CPC*",'Semrush Data'!$A$1:$Z$1,0)),"")</f>
        <v/>
      </c>
      <c r="J2616" s="42">
        <f>IFERROR(INDEX('Semrush Data'!$A$1:$Z$20000,MATCH(A2616,'Semrush Data'!$A$1:$A$20000,0),MATCH("Intent",'Semrush Data'!$A$1:$Z$1,0)),"")</f>
        <v/>
      </c>
    </row>
    <row r="2617" ht="15" customHeight="1" s="37">
      <c r="A2617" s="42" t="inlineStr">
        <is>
          <t>dunhill signature collection arabian desert review</t>
        </is>
      </c>
      <c r="B2617" s="42" t="inlineStr">
        <is>
          <t>Google suggest</t>
        </is>
      </c>
      <c r="C2617" s="42" t="n">
        <v>3</v>
      </c>
      <c r="D2617" s="42" t="n">
        <v>27</v>
      </c>
      <c r="E2617" s="42" t="n">
        <v>1</v>
      </c>
      <c r="F2617" s="42" t="inlineStr">
        <is>
          <t>FR-134</t>
        </is>
      </c>
      <c r="G2617" s="55">
        <f>IFERROR(INDEX('Semrush Data'!$A$1:$Z$20000,MATCH(A2617,'Semrush Data'!$A$1:$A$20000,0),MATCH("Volume",'Semrush Data'!$A$1:$Z$1,0)),"")</f>
        <v/>
      </c>
      <c r="H2617" s="42">
        <f>IFERROR(INDEX('Semrush Data'!$A$1:$Z$20000,MATCH(A2617,'Semrush Data'!$A$1:$A$20000,0),MATCH("Keyword Difficulty*",'Semrush Data'!$A$1:$Z$1,0)),"")</f>
        <v/>
      </c>
      <c r="I2617" s="56">
        <f>IFERROR(INDEX('Semrush Data'!$A$1:$Z$20000,MATCH(A2617,'Semrush Data'!$A$1:$A$20000,0),MATCH("CPC*",'Semrush Data'!$A$1:$Z$1,0)),"")</f>
        <v/>
      </c>
      <c r="J2617" s="42">
        <f>IFERROR(INDEX('Semrush Data'!$A$1:$Z$20000,MATCH(A2617,'Semrush Data'!$A$1:$A$20000,0),MATCH("Intent",'Semrush Data'!$A$1:$Z$1,0)),"")</f>
        <v/>
      </c>
    </row>
    <row r="2618" ht="15" customHeight="1" s="37">
      <c r="A2618" s="42" t="inlineStr">
        <is>
          <t>dunhill signature collection british leather edp</t>
        </is>
      </c>
      <c r="B2618" s="42" t="inlineStr">
        <is>
          <t>Google suggest</t>
        </is>
      </c>
      <c r="C2618" s="42" t="n">
        <v>3</v>
      </c>
      <c r="D2618" s="42" t="n">
        <v>27</v>
      </c>
      <c r="E2618" s="42" t="n">
        <v>1</v>
      </c>
      <c r="F2618" s="42" t="inlineStr">
        <is>
          <t>FR-135</t>
        </is>
      </c>
      <c r="G2618" s="55">
        <f>IFERROR(INDEX('Semrush Data'!$A$1:$Z$20000,MATCH(A2618,'Semrush Data'!$A$1:$A$20000,0),MATCH("Volume",'Semrush Data'!$A$1:$Z$1,0)),"")</f>
        <v/>
      </c>
      <c r="H2618" s="42">
        <f>IFERROR(INDEX('Semrush Data'!$A$1:$Z$20000,MATCH(A2618,'Semrush Data'!$A$1:$A$20000,0),MATCH("Keyword Difficulty*",'Semrush Data'!$A$1:$Z$1,0)),"")</f>
        <v/>
      </c>
      <c r="I2618" s="56">
        <f>IFERROR(INDEX('Semrush Data'!$A$1:$Z$20000,MATCH(A2618,'Semrush Data'!$A$1:$A$20000,0),MATCH("CPC*",'Semrush Data'!$A$1:$Z$1,0)),"")</f>
        <v/>
      </c>
      <c r="J2618" s="42">
        <f>IFERROR(INDEX('Semrush Data'!$A$1:$Z$20000,MATCH(A2618,'Semrush Data'!$A$1:$A$20000,0),MATCH("Intent",'Semrush Data'!$A$1:$Z$1,0)),"")</f>
        <v/>
      </c>
    </row>
    <row r="2619" ht="15" customHeight="1" s="37">
      <c r="A2619" s="42" t="inlineStr">
        <is>
          <t>dunhill signature collection british leather edp 100ml</t>
        </is>
      </c>
      <c r="B2619" s="42" t="inlineStr">
        <is>
          <t>Google suggest</t>
        </is>
      </c>
      <c r="C2619" s="42" t="n">
        <v>3</v>
      </c>
      <c r="D2619" s="42" t="n">
        <v>27</v>
      </c>
      <c r="E2619" s="42" t="n">
        <v>1</v>
      </c>
      <c r="F2619" s="42" t="inlineStr">
        <is>
          <t>FR-135</t>
        </is>
      </c>
      <c r="G2619" s="55">
        <f>IFERROR(INDEX('Semrush Data'!$A$1:$Z$20000,MATCH(A2619,'Semrush Data'!$A$1:$A$20000,0),MATCH("Volume",'Semrush Data'!$A$1:$Z$1,0)),"")</f>
        <v/>
      </c>
      <c r="H2619" s="42">
        <f>IFERROR(INDEX('Semrush Data'!$A$1:$Z$20000,MATCH(A2619,'Semrush Data'!$A$1:$A$20000,0),MATCH("Keyword Difficulty*",'Semrush Data'!$A$1:$Z$1,0)),"")</f>
        <v/>
      </c>
      <c r="I2619" s="56">
        <f>IFERROR(INDEX('Semrush Data'!$A$1:$Z$20000,MATCH(A2619,'Semrush Data'!$A$1:$A$20000,0),MATCH("CPC*",'Semrush Data'!$A$1:$Z$1,0)),"")</f>
        <v/>
      </c>
      <c r="J2619" s="42">
        <f>IFERROR(INDEX('Semrush Data'!$A$1:$Z$20000,MATCH(A2619,'Semrush Data'!$A$1:$A$20000,0),MATCH("Intent",'Semrush Data'!$A$1:$Z$1,0)),"")</f>
        <v/>
      </c>
    </row>
    <row r="2620" ht="15" customHeight="1" s="37">
      <c r="A2620" s="42" t="inlineStr">
        <is>
          <t>dunhill signature collection british leather review</t>
        </is>
      </c>
      <c r="B2620" s="42" t="inlineStr">
        <is>
          <t>Google suggest</t>
        </is>
      </c>
      <c r="C2620" s="42" t="n">
        <v>3</v>
      </c>
      <c r="D2620" s="42" t="n">
        <v>27</v>
      </c>
      <c r="E2620" s="42" t="n">
        <v>1</v>
      </c>
      <c r="F2620" s="42" t="inlineStr">
        <is>
          <t>FR-135</t>
        </is>
      </c>
      <c r="G2620" s="55">
        <f>IFERROR(INDEX('Semrush Data'!$A$1:$Z$20000,MATCH(A2620,'Semrush Data'!$A$1:$A$20000,0),MATCH("Volume",'Semrush Data'!$A$1:$Z$1,0)),"")</f>
        <v/>
      </c>
      <c r="H2620" s="42">
        <f>IFERROR(INDEX('Semrush Data'!$A$1:$Z$20000,MATCH(A2620,'Semrush Data'!$A$1:$A$20000,0),MATCH("Keyword Difficulty*",'Semrush Data'!$A$1:$Z$1,0)),"")</f>
        <v/>
      </c>
      <c r="I2620" s="56">
        <f>IFERROR(INDEX('Semrush Data'!$A$1:$Z$20000,MATCH(A2620,'Semrush Data'!$A$1:$A$20000,0),MATCH("CPC*",'Semrush Data'!$A$1:$Z$1,0)),"")</f>
        <v/>
      </c>
      <c r="J2620" s="42">
        <f>IFERROR(INDEX('Semrush Data'!$A$1:$Z$20000,MATCH(A2620,'Semrush Data'!$A$1:$A$20000,0),MATCH("Intent",'Semrush Data'!$A$1:$Z$1,0)),"")</f>
        <v/>
      </c>
    </row>
    <row r="2621" ht="15" customHeight="1" s="37">
      <c r="A2621" s="42" t="inlineStr">
        <is>
          <t>dunhill signature collection egyptian smoke edp 100ml</t>
        </is>
      </c>
      <c r="B2621" s="42" t="inlineStr">
        <is>
          <t>Google suggest</t>
        </is>
      </c>
      <c r="C2621" s="42" t="n">
        <v>3</v>
      </c>
      <c r="D2621" s="42" t="n">
        <v>27</v>
      </c>
      <c r="E2621" s="42" t="n">
        <v>1</v>
      </c>
      <c r="F2621" s="42" t="inlineStr">
        <is>
          <t>FR-136</t>
        </is>
      </c>
      <c r="G2621" s="55">
        <f>IFERROR(INDEX('Semrush Data'!$A$1:$Z$20000,MATCH(A2621,'Semrush Data'!$A$1:$A$20000,0),MATCH("Volume",'Semrush Data'!$A$1:$Z$1,0)),"")</f>
        <v/>
      </c>
      <c r="H2621" s="42">
        <f>IFERROR(INDEX('Semrush Data'!$A$1:$Z$20000,MATCH(A2621,'Semrush Data'!$A$1:$A$20000,0),MATCH("Keyword Difficulty*",'Semrush Data'!$A$1:$Z$1,0)),"")</f>
        <v/>
      </c>
      <c r="I2621" s="56">
        <f>IFERROR(INDEX('Semrush Data'!$A$1:$Z$20000,MATCH(A2621,'Semrush Data'!$A$1:$A$20000,0),MATCH("CPC*",'Semrush Data'!$A$1:$Z$1,0)),"")</f>
        <v/>
      </c>
      <c r="J2621" s="42">
        <f>IFERROR(INDEX('Semrush Data'!$A$1:$Z$20000,MATCH(A2621,'Semrush Data'!$A$1:$A$20000,0),MATCH("Intent",'Semrush Data'!$A$1:$Z$1,0)),"")</f>
        <v/>
      </c>
    </row>
    <row r="2622" ht="15" customHeight="1" s="37">
      <c r="A2622" s="42" t="inlineStr">
        <is>
          <t>dunhill signature collection egyptian smoke review</t>
        </is>
      </c>
      <c r="B2622" s="42" t="inlineStr">
        <is>
          <t>Google suggest</t>
        </is>
      </c>
      <c r="C2622" s="42" t="n">
        <v>3</v>
      </c>
      <c r="D2622" s="42" t="n">
        <v>27</v>
      </c>
      <c r="E2622" s="42" t="n">
        <v>1</v>
      </c>
      <c r="F2622" s="42" t="inlineStr">
        <is>
          <t>FR-136</t>
        </is>
      </c>
      <c r="G2622" s="55">
        <f>IFERROR(INDEX('Semrush Data'!$A$1:$Z$20000,MATCH(A2622,'Semrush Data'!$A$1:$A$20000,0),MATCH("Volume",'Semrush Data'!$A$1:$Z$1,0)),"")</f>
        <v/>
      </c>
      <c r="H2622" s="42">
        <f>IFERROR(INDEX('Semrush Data'!$A$1:$Z$20000,MATCH(A2622,'Semrush Data'!$A$1:$A$20000,0),MATCH("Keyword Difficulty*",'Semrush Data'!$A$1:$Z$1,0)),"")</f>
        <v/>
      </c>
      <c r="I2622" s="56">
        <f>IFERROR(INDEX('Semrush Data'!$A$1:$Z$20000,MATCH(A2622,'Semrush Data'!$A$1:$A$20000,0),MATCH("CPC*",'Semrush Data'!$A$1:$Z$1,0)),"")</f>
        <v/>
      </c>
      <c r="J2622" s="42">
        <f>IFERROR(INDEX('Semrush Data'!$A$1:$Z$20000,MATCH(A2622,'Semrush Data'!$A$1:$A$20000,0),MATCH("Intent",'Semrush Data'!$A$1:$Z$1,0)),"")</f>
        <v/>
      </c>
    </row>
    <row r="2623" ht="15" customHeight="1" s="37">
      <c r="A2623" s="42" t="inlineStr">
        <is>
          <t>dunhill signature collection indian sandalwood eau de parfum 100ml</t>
        </is>
      </c>
      <c r="B2623" s="42" t="inlineStr">
        <is>
          <t>Google suggest</t>
        </is>
      </c>
      <c r="C2623" s="42" t="n">
        <v>3</v>
      </c>
      <c r="D2623" s="42" t="n">
        <v>27</v>
      </c>
      <c r="E2623" s="42" t="n">
        <v>1</v>
      </c>
      <c r="F2623" s="42" t="inlineStr">
        <is>
          <t>FR-137</t>
        </is>
      </c>
      <c r="G2623" s="55">
        <f>IFERROR(INDEX('Semrush Data'!$A$1:$Z$20000,MATCH(A2623,'Semrush Data'!$A$1:$A$20000,0),MATCH("Volume",'Semrush Data'!$A$1:$Z$1,0)),"")</f>
        <v/>
      </c>
      <c r="H2623" s="42">
        <f>IFERROR(INDEX('Semrush Data'!$A$1:$Z$20000,MATCH(A2623,'Semrush Data'!$A$1:$A$20000,0),MATCH("Keyword Difficulty*",'Semrush Data'!$A$1:$Z$1,0)),"")</f>
        <v/>
      </c>
      <c r="I2623" s="56">
        <f>IFERROR(INDEX('Semrush Data'!$A$1:$Z$20000,MATCH(A2623,'Semrush Data'!$A$1:$A$20000,0),MATCH("CPC*",'Semrush Data'!$A$1:$Z$1,0)),"")</f>
        <v/>
      </c>
      <c r="J2623" s="42">
        <f>IFERROR(INDEX('Semrush Data'!$A$1:$Z$20000,MATCH(A2623,'Semrush Data'!$A$1:$A$20000,0),MATCH("Intent",'Semrush Data'!$A$1:$Z$1,0)),"")</f>
        <v/>
      </c>
    </row>
    <row r="2624" ht="15" customHeight="1" s="37">
      <c r="A2624" s="42" t="inlineStr">
        <is>
          <t>dunhill signature collection indian sandalwood edp</t>
        </is>
      </c>
      <c r="B2624" s="42" t="inlineStr">
        <is>
          <t>Google suggest</t>
        </is>
      </c>
      <c r="C2624" s="42" t="n">
        <v>3</v>
      </c>
      <c r="D2624" s="42" t="n">
        <v>27</v>
      </c>
      <c r="E2624" s="42" t="n">
        <v>1</v>
      </c>
      <c r="F2624" s="42" t="inlineStr">
        <is>
          <t>FR-137</t>
        </is>
      </c>
      <c r="G2624" s="55">
        <f>IFERROR(INDEX('Semrush Data'!$A$1:$Z$20000,MATCH(A2624,'Semrush Data'!$A$1:$A$20000,0),MATCH("Volume",'Semrush Data'!$A$1:$Z$1,0)),"")</f>
        <v/>
      </c>
      <c r="H2624" s="42">
        <f>IFERROR(INDEX('Semrush Data'!$A$1:$Z$20000,MATCH(A2624,'Semrush Data'!$A$1:$A$20000,0),MATCH("Keyword Difficulty*",'Semrush Data'!$A$1:$Z$1,0)),"")</f>
        <v/>
      </c>
      <c r="I2624" s="56">
        <f>IFERROR(INDEX('Semrush Data'!$A$1:$Z$20000,MATCH(A2624,'Semrush Data'!$A$1:$A$20000,0),MATCH("CPC*",'Semrush Data'!$A$1:$Z$1,0)),"")</f>
        <v/>
      </c>
      <c r="J2624" s="42">
        <f>IFERROR(INDEX('Semrush Data'!$A$1:$Z$20000,MATCH(A2624,'Semrush Data'!$A$1:$A$20000,0),MATCH("Intent",'Semrush Data'!$A$1:$Z$1,0)),"")</f>
        <v/>
      </c>
    </row>
    <row r="2625" ht="15" customHeight="1" s="37">
      <c r="A2625" s="42" t="inlineStr">
        <is>
          <t>dunhill signature collection indian sandalwood edp 100ml</t>
        </is>
      </c>
      <c r="B2625" s="42" t="inlineStr">
        <is>
          <t>Google suggest</t>
        </is>
      </c>
      <c r="C2625" s="42" t="n">
        <v>3</v>
      </c>
      <c r="D2625" s="42" t="n">
        <v>27</v>
      </c>
      <c r="E2625" s="42" t="n">
        <v>1</v>
      </c>
      <c r="F2625" s="42" t="inlineStr">
        <is>
          <t>FR-137</t>
        </is>
      </c>
      <c r="G2625" s="55">
        <f>IFERROR(INDEX('Semrush Data'!$A$1:$Z$20000,MATCH(A2625,'Semrush Data'!$A$1:$A$20000,0),MATCH("Volume",'Semrush Data'!$A$1:$Z$1,0)),"")</f>
        <v/>
      </c>
      <c r="H2625" s="42">
        <f>IFERROR(INDEX('Semrush Data'!$A$1:$Z$20000,MATCH(A2625,'Semrush Data'!$A$1:$A$20000,0),MATCH("Keyword Difficulty*",'Semrush Data'!$A$1:$Z$1,0)),"")</f>
        <v/>
      </c>
      <c r="I2625" s="56">
        <f>IFERROR(INDEX('Semrush Data'!$A$1:$Z$20000,MATCH(A2625,'Semrush Data'!$A$1:$A$20000,0),MATCH("CPC*",'Semrush Data'!$A$1:$Z$1,0)),"")</f>
        <v/>
      </c>
      <c r="J2625" s="42">
        <f>IFERROR(INDEX('Semrush Data'!$A$1:$Z$20000,MATCH(A2625,'Semrush Data'!$A$1:$A$20000,0),MATCH("Intent",'Semrush Data'!$A$1:$Z$1,0)),"")</f>
        <v/>
      </c>
    </row>
    <row r="2626" ht="15" customHeight="1" s="37">
      <c r="A2626" s="42" t="inlineStr">
        <is>
          <t>dunhill signature collection indian sandalwood for men</t>
        </is>
      </c>
      <c r="B2626" s="42" t="inlineStr">
        <is>
          <t>Google suggest</t>
        </is>
      </c>
      <c r="C2626" s="42" t="n">
        <v>3</v>
      </c>
      <c r="D2626" s="42" t="n">
        <v>27</v>
      </c>
      <c r="E2626" s="42" t="n">
        <v>1</v>
      </c>
      <c r="F2626" s="42" t="inlineStr">
        <is>
          <t>FR-137</t>
        </is>
      </c>
      <c r="G2626" s="55">
        <f>IFERROR(INDEX('Semrush Data'!$A$1:$Z$20000,MATCH(A2626,'Semrush Data'!$A$1:$A$20000,0),MATCH("Volume",'Semrush Data'!$A$1:$Z$1,0)),"")</f>
        <v/>
      </c>
      <c r="H2626" s="42">
        <f>IFERROR(INDEX('Semrush Data'!$A$1:$Z$20000,MATCH(A2626,'Semrush Data'!$A$1:$A$20000,0),MATCH("Keyword Difficulty*",'Semrush Data'!$A$1:$Z$1,0)),"")</f>
        <v/>
      </c>
      <c r="I2626" s="56">
        <f>IFERROR(INDEX('Semrush Data'!$A$1:$Z$20000,MATCH(A2626,'Semrush Data'!$A$1:$A$20000,0),MATCH("CPC*",'Semrush Data'!$A$1:$Z$1,0)),"")</f>
        <v/>
      </c>
      <c r="J2626" s="42">
        <f>IFERROR(INDEX('Semrush Data'!$A$1:$Z$20000,MATCH(A2626,'Semrush Data'!$A$1:$A$20000,0),MATCH("Intent",'Semrush Data'!$A$1:$Z$1,0)),"")</f>
        <v/>
      </c>
    </row>
    <row r="2627" ht="15" customHeight="1" s="37">
      <c r="A2627" s="42" t="inlineStr">
        <is>
          <t>dunhill signature collection indian sandalwood review</t>
        </is>
      </c>
      <c r="B2627" s="42" t="inlineStr">
        <is>
          <t>Google suggest</t>
        </is>
      </c>
      <c r="C2627" s="42" t="n">
        <v>3</v>
      </c>
      <c r="D2627" s="42" t="n">
        <v>27</v>
      </c>
      <c r="E2627" s="42" t="n">
        <v>1</v>
      </c>
      <c r="F2627" s="42" t="inlineStr">
        <is>
          <t>FR-137</t>
        </is>
      </c>
      <c r="G2627" s="55">
        <f>IFERROR(INDEX('Semrush Data'!$A$1:$Z$20000,MATCH(A2627,'Semrush Data'!$A$1:$A$20000,0),MATCH("Volume",'Semrush Data'!$A$1:$Z$1,0)),"")</f>
        <v/>
      </c>
      <c r="H2627" s="42">
        <f>IFERROR(INDEX('Semrush Data'!$A$1:$Z$20000,MATCH(A2627,'Semrush Data'!$A$1:$A$20000,0),MATCH("Keyword Difficulty*",'Semrush Data'!$A$1:$Z$1,0)),"")</f>
        <v/>
      </c>
      <c r="I2627" s="56">
        <f>IFERROR(INDEX('Semrush Data'!$A$1:$Z$20000,MATCH(A2627,'Semrush Data'!$A$1:$A$20000,0),MATCH("CPC*",'Semrush Data'!$A$1:$Z$1,0)),"")</f>
        <v/>
      </c>
      <c r="J2627" s="42">
        <f>IFERROR(INDEX('Semrush Data'!$A$1:$Z$20000,MATCH(A2627,'Semrush Data'!$A$1:$A$20000,0),MATCH("Intent",'Semrush Data'!$A$1:$Z$1,0)),"")</f>
        <v/>
      </c>
    </row>
    <row r="2628" ht="15" customHeight="1" s="37">
      <c r="A2628" s="42" t="inlineStr">
        <is>
          <t>dunhill signature collection mongolian cashmere eau de parfum 100ml</t>
        </is>
      </c>
      <c r="B2628" s="42" t="inlineStr">
        <is>
          <t>Google suggest</t>
        </is>
      </c>
      <c r="C2628" s="42" t="n">
        <v>3</v>
      </c>
      <c r="D2628" s="42" t="n">
        <v>27</v>
      </c>
      <c r="E2628" s="42" t="n">
        <v>1</v>
      </c>
      <c r="F2628" s="42" t="inlineStr">
        <is>
          <t>FR-138</t>
        </is>
      </c>
      <c r="G2628" s="55">
        <f>IFERROR(INDEX('Semrush Data'!$A$1:$Z$20000,MATCH(A2628,'Semrush Data'!$A$1:$A$20000,0),MATCH("Volume",'Semrush Data'!$A$1:$Z$1,0)),"")</f>
        <v/>
      </c>
      <c r="H2628" s="42">
        <f>IFERROR(INDEX('Semrush Data'!$A$1:$Z$20000,MATCH(A2628,'Semrush Data'!$A$1:$A$20000,0),MATCH("Keyword Difficulty*",'Semrush Data'!$A$1:$Z$1,0)),"")</f>
        <v/>
      </c>
      <c r="I2628" s="56">
        <f>IFERROR(INDEX('Semrush Data'!$A$1:$Z$20000,MATCH(A2628,'Semrush Data'!$A$1:$A$20000,0),MATCH("CPC*",'Semrush Data'!$A$1:$Z$1,0)),"")</f>
        <v/>
      </c>
      <c r="J2628" s="42">
        <f>IFERROR(INDEX('Semrush Data'!$A$1:$Z$20000,MATCH(A2628,'Semrush Data'!$A$1:$A$20000,0),MATCH("Intent",'Semrush Data'!$A$1:$Z$1,0)),"")</f>
        <v/>
      </c>
    </row>
    <row r="2629" ht="15" customHeight="1" s="37">
      <c r="A2629" s="42" t="inlineStr">
        <is>
          <t>dunhill signature collection moroccan amber edp 100ml</t>
        </is>
      </c>
      <c r="B2629" s="42" t="inlineStr">
        <is>
          <t>Google suggest</t>
        </is>
      </c>
      <c r="C2629" s="42" t="n">
        <v>3</v>
      </c>
      <c r="D2629" s="42" t="n">
        <v>27</v>
      </c>
      <c r="E2629" s="42" t="n">
        <v>1</v>
      </c>
      <c r="F2629" s="42" t="inlineStr">
        <is>
          <t>FR-139</t>
        </is>
      </c>
      <c r="G2629" s="55">
        <f>IFERROR(INDEX('Semrush Data'!$A$1:$Z$20000,MATCH(A2629,'Semrush Data'!$A$1:$A$20000,0),MATCH("Volume",'Semrush Data'!$A$1:$Z$1,0)),"")</f>
        <v/>
      </c>
      <c r="H2629" s="42">
        <f>IFERROR(INDEX('Semrush Data'!$A$1:$Z$20000,MATCH(A2629,'Semrush Data'!$A$1:$A$20000,0),MATCH("Keyword Difficulty*",'Semrush Data'!$A$1:$Z$1,0)),"")</f>
        <v/>
      </c>
      <c r="I2629" s="56">
        <f>IFERROR(INDEX('Semrush Data'!$A$1:$Z$20000,MATCH(A2629,'Semrush Data'!$A$1:$A$20000,0),MATCH("CPC*",'Semrush Data'!$A$1:$Z$1,0)),"")</f>
        <v/>
      </c>
      <c r="J2629" s="42">
        <f>IFERROR(INDEX('Semrush Data'!$A$1:$Z$20000,MATCH(A2629,'Semrush Data'!$A$1:$A$20000,0),MATCH("Intent",'Semrush Data'!$A$1:$Z$1,0)),"")</f>
        <v/>
      </c>
    </row>
    <row r="2630" ht="15" customHeight="1" s="37">
      <c r="A2630" s="42" t="inlineStr">
        <is>
          <t>dunhill signature collection moroccan amber for men</t>
        </is>
      </c>
      <c r="B2630" s="42" t="inlineStr">
        <is>
          <t>Google suggest</t>
        </is>
      </c>
      <c r="C2630" s="42" t="n">
        <v>3</v>
      </c>
      <c r="D2630" s="42" t="n">
        <v>27</v>
      </c>
      <c r="E2630" s="42" t="n">
        <v>1</v>
      </c>
      <c r="F2630" s="42" t="inlineStr">
        <is>
          <t>FR-139</t>
        </is>
      </c>
      <c r="G2630" s="55">
        <f>IFERROR(INDEX('Semrush Data'!$A$1:$Z$20000,MATCH(A2630,'Semrush Data'!$A$1:$A$20000,0),MATCH("Volume",'Semrush Data'!$A$1:$Z$1,0)),"")</f>
        <v/>
      </c>
      <c r="H2630" s="42">
        <f>IFERROR(INDEX('Semrush Data'!$A$1:$Z$20000,MATCH(A2630,'Semrush Data'!$A$1:$A$20000,0),MATCH("Keyword Difficulty*",'Semrush Data'!$A$1:$Z$1,0)),"")</f>
        <v/>
      </c>
      <c r="I2630" s="56">
        <f>IFERROR(INDEX('Semrush Data'!$A$1:$Z$20000,MATCH(A2630,'Semrush Data'!$A$1:$A$20000,0),MATCH("CPC*",'Semrush Data'!$A$1:$Z$1,0)),"")</f>
        <v/>
      </c>
      <c r="J2630" s="42">
        <f>IFERROR(INDEX('Semrush Data'!$A$1:$Z$20000,MATCH(A2630,'Semrush Data'!$A$1:$A$20000,0),MATCH("Intent",'Semrush Data'!$A$1:$Z$1,0)),"")</f>
        <v/>
      </c>
    </row>
    <row r="2631" ht="15" customHeight="1" s="37">
      <c r="A2631" s="42" t="inlineStr">
        <is>
          <t>dunhill signature collection moroccan amber review</t>
        </is>
      </c>
      <c r="B2631" s="42" t="inlineStr">
        <is>
          <t>Google suggest</t>
        </is>
      </c>
      <c r="C2631" s="42" t="n">
        <v>3</v>
      </c>
      <c r="D2631" s="42" t="n">
        <v>27</v>
      </c>
      <c r="E2631" s="42" t="n">
        <v>1</v>
      </c>
      <c r="F2631" s="42" t="inlineStr">
        <is>
          <t>FR-139</t>
        </is>
      </c>
      <c r="G2631" s="55">
        <f>IFERROR(INDEX('Semrush Data'!$A$1:$Z$20000,MATCH(A2631,'Semrush Data'!$A$1:$A$20000,0),MATCH("Volume",'Semrush Data'!$A$1:$Z$1,0)),"")</f>
        <v/>
      </c>
      <c r="H2631" s="42">
        <f>IFERROR(INDEX('Semrush Data'!$A$1:$Z$20000,MATCH(A2631,'Semrush Data'!$A$1:$A$20000,0),MATCH("Keyword Difficulty*",'Semrush Data'!$A$1:$Z$1,0)),"")</f>
        <v/>
      </c>
      <c r="I2631" s="56">
        <f>IFERROR(INDEX('Semrush Data'!$A$1:$Z$20000,MATCH(A2631,'Semrush Data'!$A$1:$A$20000,0),MATCH("CPC*",'Semrush Data'!$A$1:$Z$1,0)),"")</f>
        <v/>
      </c>
      <c r="J2631" s="42">
        <f>IFERROR(INDEX('Semrush Data'!$A$1:$Z$20000,MATCH(A2631,'Semrush Data'!$A$1:$A$20000,0),MATCH("Intent",'Semrush Data'!$A$1:$Z$1,0)),"")</f>
        <v/>
      </c>
    </row>
    <row r="2632" ht="15" customHeight="1" s="37">
      <c r="A2632" s="42" t="inlineStr">
        <is>
          <t>dunhill signature collection nordic fougere edp</t>
        </is>
      </c>
      <c r="B2632" s="42" t="inlineStr">
        <is>
          <t>Google suggest</t>
        </is>
      </c>
      <c r="C2632" s="42" t="n">
        <v>3</v>
      </c>
      <c r="D2632" s="42" t="n">
        <v>27</v>
      </c>
      <c r="E2632" s="42" t="n">
        <v>1</v>
      </c>
      <c r="F2632" s="42" t="inlineStr">
        <is>
          <t>FR-140</t>
        </is>
      </c>
      <c r="G2632" s="55">
        <f>IFERROR(INDEX('Semrush Data'!$A$1:$Z$20000,MATCH(A2632,'Semrush Data'!$A$1:$A$20000,0),MATCH("Volume",'Semrush Data'!$A$1:$Z$1,0)),"")</f>
        <v/>
      </c>
      <c r="H2632" s="42">
        <f>IFERROR(INDEX('Semrush Data'!$A$1:$Z$20000,MATCH(A2632,'Semrush Data'!$A$1:$A$20000,0),MATCH("Keyword Difficulty*",'Semrush Data'!$A$1:$Z$1,0)),"")</f>
        <v/>
      </c>
      <c r="I2632" s="56">
        <f>IFERROR(INDEX('Semrush Data'!$A$1:$Z$20000,MATCH(A2632,'Semrush Data'!$A$1:$A$20000,0),MATCH("CPC*",'Semrush Data'!$A$1:$Z$1,0)),"")</f>
        <v/>
      </c>
      <c r="J2632" s="42">
        <f>IFERROR(INDEX('Semrush Data'!$A$1:$Z$20000,MATCH(A2632,'Semrush Data'!$A$1:$A$20000,0),MATCH("Intent",'Semrush Data'!$A$1:$Z$1,0)),"")</f>
        <v/>
      </c>
    </row>
    <row r="2633" ht="15" customHeight="1" s="37">
      <c r="A2633" s="42" t="inlineStr">
        <is>
          <t>dunhill signature collection nordic fougere edp 100ml</t>
        </is>
      </c>
      <c r="B2633" s="42" t="inlineStr">
        <is>
          <t>Google suggest</t>
        </is>
      </c>
      <c r="C2633" s="42" t="n">
        <v>3</v>
      </c>
      <c r="D2633" s="42" t="n">
        <v>27</v>
      </c>
      <c r="E2633" s="42" t="n">
        <v>1</v>
      </c>
      <c r="F2633" s="42" t="inlineStr">
        <is>
          <t>FR-140</t>
        </is>
      </c>
      <c r="G2633" s="55">
        <f>IFERROR(INDEX('Semrush Data'!$A$1:$Z$20000,MATCH(A2633,'Semrush Data'!$A$1:$A$20000,0),MATCH("Volume",'Semrush Data'!$A$1:$Z$1,0)),"")</f>
        <v/>
      </c>
      <c r="H2633" s="42">
        <f>IFERROR(INDEX('Semrush Data'!$A$1:$Z$20000,MATCH(A2633,'Semrush Data'!$A$1:$A$20000,0),MATCH("Keyword Difficulty*",'Semrush Data'!$A$1:$Z$1,0)),"")</f>
        <v/>
      </c>
      <c r="I2633" s="56">
        <f>IFERROR(INDEX('Semrush Data'!$A$1:$Z$20000,MATCH(A2633,'Semrush Data'!$A$1:$A$20000,0),MATCH("CPC*",'Semrush Data'!$A$1:$Z$1,0)),"")</f>
        <v/>
      </c>
      <c r="J2633" s="42">
        <f>IFERROR(INDEX('Semrush Data'!$A$1:$Z$20000,MATCH(A2633,'Semrush Data'!$A$1:$A$20000,0),MATCH("Intent",'Semrush Data'!$A$1:$Z$1,0)),"")</f>
        <v/>
      </c>
    </row>
    <row r="2634" ht="15" customHeight="1" s="37">
      <c r="A2634" s="42" t="inlineStr">
        <is>
          <t>dunhill signature collection review</t>
        </is>
      </c>
      <c r="B2634" s="42" t="inlineStr">
        <is>
          <t>Google suggest</t>
        </is>
      </c>
      <c r="C2634" s="42" t="n">
        <v>3</v>
      </c>
      <c r="D2634" s="42" t="n">
        <v>27</v>
      </c>
      <c r="E2634" s="42" t="n">
        <v>2</v>
      </c>
      <c r="F2634" s="42" t="inlineStr">
        <is>
          <t>FR-136, FR-140</t>
        </is>
      </c>
      <c r="G2634" s="55">
        <f>IFERROR(INDEX('Semrush Data'!$A$1:$Z$20000,MATCH(A2634,'Semrush Data'!$A$1:$A$20000,0),MATCH("Volume",'Semrush Data'!$A$1:$Z$1,0)),"")</f>
        <v/>
      </c>
      <c r="H2634" s="42">
        <f>IFERROR(INDEX('Semrush Data'!$A$1:$Z$20000,MATCH(A2634,'Semrush Data'!$A$1:$A$20000,0),MATCH("Keyword Difficulty*",'Semrush Data'!$A$1:$Z$1,0)),"")</f>
        <v/>
      </c>
      <c r="I2634" s="56">
        <f>IFERROR(INDEX('Semrush Data'!$A$1:$Z$20000,MATCH(A2634,'Semrush Data'!$A$1:$A$20000,0),MATCH("CPC*",'Semrush Data'!$A$1:$Z$1,0)),"")</f>
        <v/>
      </c>
      <c r="J2634" s="42">
        <f>IFERROR(INDEX('Semrush Data'!$A$1:$Z$20000,MATCH(A2634,'Semrush Data'!$A$1:$A$20000,0),MATCH("Intent",'Semrush Data'!$A$1:$Z$1,0)),"")</f>
        <v/>
      </c>
    </row>
    <row r="2635" ht="15" customHeight="1" s="37">
      <c r="A2635" s="42" t="inlineStr">
        <is>
          <t>dunhill signature collection valensole lavender eau de parfum 100ml</t>
        </is>
      </c>
      <c r="B2635" s="42" t="inlineStr">
        <is>
          <t>Google suggest</t>
        </is>
      </c>
      <c r="C2635" s="42" t="n">
        <v>3</v>
      </c>
      <c r="D2635" s="42" t="n">
        <v>27</v>
      </c>
      <c r="E2635" s="42" t="n">
        <v>1</v>
      </c>
      <c r="F2635" s="42" t="inlineStr">
        <is>
          <t>FR-141</t>
        </is>
      </c>
      <c r="G2635" s="55">
        <f>IFERROR(INDEX('Semrush Data'!$A$1:$Z$20000,MATCH(A2635,'Semrush Data'!$A$1:$A$20000,0),MATCH("Volume",'Semrush Data'!$A$1:$Z$1,0)),"")</f>
        <v/>
      </c>
      <c r="H2635" s="42">
        <f>IFERROR(INDEX('Semrush Data'!$A$1:$Z$20000,MATCH(A2635,'Semrush Data'!$A$1:$A$20000,0),MATCH("Keyword Difficulty*",'Semrush Data'!$A$1:$Z$1,0)),"")</f>
        <v/>
      </c>
      <c r="I2635" s="56">
        <f>IFERROR(INDEX('Semrush Data'!$A$1:$Z$20000,MATCH(A2635,'Semrush Data'!$A$1:$A$20000,0),MATCH("CPC*",'Semrush Data'!$A$1:$Z$1,0)),"")</f>
        <v/>
      </c>
      <c r="J2635" s="42">
        <f>IFERROR(INDEX('Semrush Data'!$A$1:$Z$20000,MATCH(A2635,'Semrush Data'!$A$1:$A$20000,0),MATCH("Intent",'Semrush Data'!$A$1:$Z$1,0)),"")</f>
        <v/>
      </c>
    </row>
    <row r="2636" ht="15" customHeight="1" s="37">
      <c r="A2636" s="42" t="inlineStr">
        <is>
          <t>dunhill signature collection valensole lavender edp</t>
        </is>
      </c>
      <c r="B2636" s="42" t="inlineStr">
        <is>
          <t>Google suggest</t>
        </is>
      </c>
      <c r="C2636" s="42" t="n">
        <v>3</v>
      </c>
      <c r="D2636" s="42" t="n">
        <v>27</v>
      </c>
      <c r="E2636" s="42" t="n">
        <v>1</v>
      </c>
      <c r="F2636" s="42" t="inlineStr">
        <is>
          <t>FR-141</t>
        </is>
      </c>
      <c r="G2636" s="55">
        <f>IFERROR(INDEX('Semrush Data'!$A$1:$Z$20000,MATCH(A2636,'Semrush Data'!$A$1:$A$20000,0),MATCH("Volume",'Semrush Data'!$A$1:$Z$1,0)),"")</f>
        <v/>
      </c>
      <c r="H2636" s="42">
        <f>IFERROR(INDEX('Semrush Data'!$A$1:$Z$20000,MATCH(A2636,'Semrush Data'!$A$1:$A$20000,0),MATCH("Keyword Difficulty*",'Semrush Data'!$A$1:$Z$1,0)),"")</f>
        <v/>
      </c>
      <c r="I2636" s="56">
        <f>IFERROR(INDEX('Semrush Data'!$A$1:$Z$20000,MATCH(A2636,'Semrush Data'!$A$1:$A$20000,0),MATCH("CPC*",'Semrush Data'!$A$1:$Z$1,0)),"")</f>
        <v/>
      </c>
      <c r="J2636" s="42">
        <f>IFERROR(INDEX('Semrush Data'!$A$1:$Z$20000,MATCH(A2636,'Semrush Data'!$A$1:$A$20000,0),MATCH("Intent",'Semrush Data'!$A$1:$Z$1,0)),"")</f>
        <v/>
      </c>
    </row>
    <row r="2637" ht="15" customHeight="1" s="37">
      <c r="A2637" s="42" t="inlineStr">
        <is>
          <t>dunhill signature egyptian smoke</t>
        </is>
      </c>
      <c r="B2637" s="42" t="inlineStr">
        <is>
          <t>Google suggest</t>
        </is>
      </c>
      <c r="C2637" s="42" t="n">
        <v>3</v>
      </c>
      <c r="D2637" s="42" t="n">
        <v>27</v>
      </c>
      <c r="E2637" s="42" t="n">
        <v>1</v>
      </c>
      <c r="F2637" s="42" t="inlineStr">
        <is>
          <t>FR-136</t>
        </is>
      </c>
      <c r="G2637" s="55">
        <f>IFERROR(INDEX('Semrush Data'!$A$1:$Z$20000,MATCH(A2637,'Semrush Data'!$A$1:$A$20000,0),MATCH("Volume",'Semrush Data'!$A$1:$Z$1,0)),"")</f>
        <v/>
      </c>
      <c r="H2637" s="42">
        <f>IFERROR(INDEX('Semrush Data'!$A$1:$Z$20000,MATCH(A2637,'Semrush Data'!$A$1:$A$20000,0),MATCH("Keyword Difficulty*",'Semrush Data'!$A$1:$Z$1,0)),"")</f>
        <v/>
      </c>
      <c r="I2637" s="56">
        <f>IFERROR(INDEX('Semrush Data'!$A$1:$Z$20000,MATCH(A2637,'Semrush Data'!$A$1:$A$20000,0),MATCH("CPC*",'Semrush Data'!$A$1:$Z$1,0)),"")</f>
        <v/>
      </c>
      <c r="J2637" s="42">
        <f>IFERROR(INDEX('Semrush Data'!$A$1:$Z$20000,MATCH(A2637,'Semrush Data'!$A$1:$A$20000,0),MATCH("Intent",'Semrush Data'!$A$1:$Z$1,0)),"")</f>
        <v/>
      </c>
    </row>
    <row r="2638" ht="15" customHeight="1" s="37">
      <c r="A2638" s="42" t="inlineStr">
        <is>
          <t>dunhill signature mongolian cashmere</t>
        </is>
      </c>
      <c r="B2638" s="42" t="inlineStr">
        <is>
          <t>Google suggest</t>
        </is>
      </c>
      <c r="C2638" s="42" t="n">
        <v>3</v>
      </c>
      <c r="D2638" s="42" t="n">
        <v>27</v>
      </c>
      <c r="E2638" s="42" t="n">
        <v>1</v>
      </c>
      <c r="F2638" s="42" t="inlineStr">
        <is>
          <t>FR-138</t>
        </is>
      </c>
      <c r="G2638" s="55">
        <f>IFERROR(INDEX('Semrush Data'!$A$1:$Z$20000,MATCH(A2638,'Semrush Data'!$A$1:$A$20000,0),MATCH("Volume",'Semrush Data'!$A$1:$Z$1,0)),"")</f>
        <v/>
      </c>
      <c r="H2638" s="42">
        <f>IFERROR(INDEX('Semrush Data'!$A$1:$Z$20000,MATCH(A2638,'Semrush Data'!$A$1:$A$20000,0),MATCH("Keyword Difficulty*",'Semrush Data'!$A$1:$Z$1,0)),"")</f>
        <v/>
      </c>
      <c r="I2638" s="56">
        <f>IFERROR(INDEX('Semrush Data'!$A$1:$Z$20000,MATCH(A2638,'Semrush Data'!$A$1:$A$20000,0),MATCH("CPC*",'Semrush Data'!$A$1:$Z$1,0)),"")</f>
        <v/>
      </c>
      <c r="J2638" s="42">
        <f>IFERROR(INDEX('Semrush Data'!$A$1:$Z$20000,MATCH(A2638,'Semrush Data'!$A$1:$A$20000,0),MATCH("Intent",'Semrush Data'!$A$1:$Z$1,0)),"")</f>
        <v/>
      </c>
    </row>
    <row r="2639" ht="15" customHeight="1" s="37">
      <c r="A2639" s="42" t="inlineStr">
        <is>
          <t>dunhill signature mongolian cashmere edp</t>
        </is>
      </c>
      <c r="B2639" s="42" t="inlineStr">
        <is>
          <t>Google suggest</t>
        </is>
      </c>
      <c r="C2639" s="42" t="n">
        <v>3</v>
      </c>
      <c r="D2639" s="42" t="n">
        <v>27</v>
      </c>
      <c r="E2639" s="42" t="n">
        <v>1</v>
      </c>
      <c r="F2639" s="42" t="inlineStr">
        <is>
          <t>FR-138</t>
        </is>
      </c>
      <c r="G2639" s="55">
        <f>IFERROR(INDEX('Semrush Data'!$A$1:$Z$20000,MATCH(A2639,'Semrush Data'!$A$1:$A$20000,0),MATCH("Volume",'Semrush Data'!$A$1:$Z$1,0)),"")</f>
        <v/>
      </c>
      <c r="H2639" s="42">
        <f>IFERROR(INDEX('Semrush Data'!$A$1:$Z$20000,MATCH(A2639,'Semrush Data'!$A$1:$A$20000,0),MATCH("Keyword Difficulty*",'Semrush Data'!$A$1:$Z$1,0)),"")</f>
        <v/>
      </c>
      <c r="I2639" s="56">
        <f>IFERROR(INDEX('Semrush Data'!$A$1:$Z$20000,MATCH(A2639,'Semrush Data'!$A$1:$A$20000,0),MATCH("CPC*",'Semrush Data'!$A$1:$Z$1,0)),"")</f>
        <v/>
      </c>
      <c r="J2639" s="42">
        <f>IFERROR(INDEX('Semrush Data'!$A$1:$Z$20000,MATCH(A2639,'Semrush Data'!$A$1:$A$20000,0),MATCH("Intent",'Semrush Data'!$A$1:$Z$1,0)),"")</f>
        <v/>
      </c>
    </row>
    <row r="2640" ht="15" customHeight="1" s="37">
      <c r="A2640" s="42" t="inlineStr">
        <is>
          <t>dunhill signature moroccan amber</t>
        </is>
      </c>
      <c r="B2640" s="42" t="inlineStr">
        <is>
          <t>Google suggest</t>
        </is>
      </c>
      <c r="C2640" s="42" t="n">
        <v>3</v>
      </c>
      <c r="D2640" s="42" t="n">
        <v>27</v>
      </c>
      <c r="E2640" s="42" t="n">
        <v>1</v>
      </c>
      <c r="F2640" s="42" t="inlineStr">
        <is>
          <t>FR-139</t>
        </is>
      </c>
      <c r="G2640" s="55">
        <f>IFERROR(INDEX('Semrush Data'!$A$1:$Z$20000,MATCH(A2640,'Semrush Data'!$A$1:$A$20000,0),MATCH("Volume",'Semrush Data'!$A$1:$Z$1,0)),"")</f>
        <v/>
      </c>
      <c r="H2640" s="42">
        <f>IFERROR(INDEX('Semrush Data'!$A$1:$Z$20000,MATCH(A2640,'Semrush Data'!$A$1:$A$20000,0),MATCH("Keyword Difficulty*",'Semrush Data'!$A$1:$Z$1,0)),"")</f>
        <v/>
      </c>
      <c r="I2640" s="56">
        <f>IFERROR(INDEX('Semrush Data'!$A$1:$Z$20000,MATCH(A2640,'Semrush Data'!$A$1:$A$20000,0),MATCH("CPC*",'Semrush Data'!$A$1:$Z$1,0)),"")</f>
        <v/>
      </c>
      <c r="J2640" s="42">
        <f>IFERROR(INDEX('Semrush Data'!$A$1:$Z$20000,MATCH(A2640,'Semrush Data'!$A$1:$A$20000,0),MATCH("Intent",'Semrush Data'!$A$1:$Z$1,0)),"")</f>
        <v/>
      </c>
    </row>
    <row r="2641" ht="15" customHeight="1" s="37">
      <c r="A2641" s="42" t="inlineStr">
        <is>
          <t>dunhill signature nordic fougere edp</t>
        </is>
      </c>
      <c r="B2641" s="42" t="inlineStr">
        <is>
          <t>Google suggest</t>
        </is>
      </c>
      <c r="C2641" s="42" t="n">
        <v>3</v>
      </c>
      <c r="D2641" s="42" t="n">
        <v>27</v>
      </c>
      <c r="E2641" s="42" t="n">
        <v>1</v>
      </c>
      <c r="F2641" s="42" t="inlineStr">
        <is>
          <t>FR-140</t>
        </is>
      </c>
      <c r="G2641" s="55">
        <f>IFERROR(INDEX('Semrush Data'!$A$1:$Z$20000,MATCH(A2641,'Semrush Data'!$A$1:$A$20000,0),MATCH("Volume",'Semrush Data'!$A$1:$Z$1,0)),"")</f>
        <v/>
      </c>
      <c r="H2641" s="42">
        <f>IFERROR(INDEX('Semrush Data'!$A$1:$Z$20000,MATCH(A2641,'Semrush Data'!$A$1:$A$20000,0),MATCH("Keyword Difficulty*",'Semrush Data'!$A$1:$Z$1,0)),"")</f>
        <v/>
      </c>
      <c r="I2641" s="56">
        <f>IFERROR(INDEX('Semrush Data'!$A$1:$Z$20000,MATCH(A2641,'Semrush Data'!$A$1:$A$20000,0),MATCH("CPC*",'Semrush Data'!$A$1:$Z$1,0)),"")</f>
        <v/>
      </c>
      <c r="J2641" s="42">
        <f>IFERROR(INDEX('Semrush Data'!$A$1:$Z$20000,MATCH(A2641,'Semrush Data'!$A$1:$A$20000,0),MATCH("Intent",'Semrush Data'!$A$1:$Z$1,0)),"")</f>
        <v/>
      </c>
    </row>
    <row r="2642" ht="15" customHeight="1" s="37">
      <c r="A2642" s="42" t="inlineStr">
        <is>
          <t>dunhill signature valensole lavender</t>
        </is>
      </c>
      <c r="B2642" s="42" t="inlineStr">
        <is>
          <t>Google suggest</t>
        </is>
      </c>
      <c r="C2642" s="42" t="n">
        <v>3</v>
      </c>
      <c r="D2642" s="42" t="n">
        <v>27</v>
      </c>
      <c r="E2642" s="42" t="n">
        <v>1</v>
      </c>
      <c r="F2642" s="42" t="inlineStr">
        <is>
          <t>FR-141</t>
        </is>
      </c>
      <c r="G2642" s="55">
        <f>IFERROR(INDEX('Semrush Data'!$A$1:$Z$20000,MATCH(A2642,'Semrush Data'!$A$1:$A$20000,0),MATCH("Volume",'Semrush Data'!$A$1:$Z$1,0)),"")</f>
        <v/>
      </c>
      <c r="H2642" s="42">
        <f>IFERROR(INDEX('Semrush Data'!$A$1:$Z$20000,MATCH(A2642,'Semrush Data'!$A$1:$A$20000,0),MATCH("Keyword Difficulty*",'Semrush Data'!$A$1:$Z$1,0)),"")</f>
        <v/>
      </c>
      <c r="I2642" s="56">
        <f>IFERROR(INDEX('Semrush Data'!$A$1:$Z$20000,MATCH(A2642,'Semrush Data'!$A$1:$A$20000,0),MATCH("CPC*",'Semrush Data'!$A$1:$Z$1,0)),"")</f>
        <v/>
      </c>
      <c r="J2642" s="42">
        <f>IFERROR(INDEX('Semrush Data'!$A$1:$Z$20000,MATCH(A2642,'Semrush Data'!$A$1:$A$20000,0),MATCH("Intent",'Semrush Data'!$A$1:$Z$1,0)),"")</f>
        <v/>
      </c>
    </row>
    <row r="2643" ht="15" customHeight="1" s="37">
      <c r="A2643" s="42" t="inlineStr">
        <is>
          <t>elie saab eau de parfum gift set</t>
        </is>
      </c>
      <c r="B2643" s="42" t="inlineStr">
        <is>
          <t>Google suggest</t>
        </is>
      </c>
      <c r="C2643" s="42" t="n">
        <v>3</v>
      </c>
      <c r="D2643" s="42" t="n">
        <v>27</v>
      </c>
      <c r="E2643" s="42" t="n">
        <v>1</v>
      </c>
      <c r="F2643" s="42" t="inlineStr">
        <is>
          <t>FR-154</t>
        </is>
      </c>
      <c r="G2643" s="55">
        <f>IFERROR(INDEX('Semrush Data'!$A$1:$Z$20000,MATCH(A2643,'Semrush Data'!$A$1:$A$20000,0),MATCH("Volume",'Semrush Data'!$A$1:$Z$1,0)),"")</f>
        <v/>
      </c>
      <c r="H2643" s="42">
        <f>IFERROR(INDEX('Semrush Data'!$A$1:$Z$20000,MATCH(A2643,'Semrush Data'!$A$1:$A$20000,0),MATCH("Keyword Difficulty*",'Semrush Data'!$A$1:$Z$1,0)),"")</f>
        <v/>
      </c>
      <c r="I2643" s="56">
        <f>IFERROR(INDEX('Semrush Data'!$A$1:$Z$20000,MATCH(A2643,'Semrush Data'!$A$1:$A$20000,0),MATCH("CPC*",'Semrush Data'!$A$1:$Z$1,0)),"")</f>
        <v/>
      </c>
      <c r="J2643" s="42">
        <f>IFERROR(INDEX('Semrush Data'!$A$1:$Z$20000,MATCH(A2643,'Semrush Data'!$A$1:$A$20000,0),MATCH("Intent",'Semrush Data'!$A$1:$Z$1,0)),"")</f>
        <v/>
      </c>
    </row>
    <row r="2644" ht="15" customHeight="1" s="37">
      <c r="A2644" s="42" t="inlineStr">
        <is>
          <t>elie saab elixir 100ml</t>
        </is>
      </c>
      <c r="B2644" s="42" t="inlineStr">
        <is>
          <t>Google suggest</t>
        </is>
      </c>
      <c r="C2644" s="42" t="n">
        <v>3</v>
      </c>
      <c r="D2644" s="42" t="n">
        <v>27</v>
      </c>
      <c r="E2644" s="42" t="n">
        <v>1</v>
      </c>
      <c r="F2644" s="42" t="inlineStr">
        <is>
          <t>FR-146</t>
        </is>
      </c>
      <c r="G2644" s="55">
        <f>IFERROR(INDEX('Semrush Data'!$A$1:$Z$20000,MATCH(A2644,'Semrush Data'!$A$1:$A$20000,0),MATCH("Volume",'Semrush Data'!$A$1:$Z$1,0)),"")</f>
        <v/>
      </c>
      <c r="H2644" s="42">
        <f>IFERROR(INDEX('Semrush Data'!$A$1:$Z$20000,MATCH(A2644,'Semrush Data'!$A$1:$A$20000,0),MATCH("Keyword Difficulty*",'Semrush Data'!$A$1:$Z$1,0)),"")</f>
        <v/>
      </c>
      <c r="I2644" s="56">
        <f>IFERROR(INDEX('Semrush Data'!$A$1:$Z$20000,MATCH(A2644,'Semrush Data'!$A$1:$A$20000,0),MATCH("CPC*",'Semrush Data'!$A$1:$Z$1,0)),"")</f>
        <v/>
      </c>
      <c r="J2644" s="42">
        <f>IFERROR(INDEX('Semrush Data'!$A$1:$Z$20000,MATCH(A2644,'Semrush Data'!$A$1:$A$20000,0),MATCH("Intent",'Semrush Data'!$A$1:$Z$1,0)),"")</f>
        <v/>
      </c>
    </row>
    <row r="2645" ht="15" customHeight="1" s="37">
      <c r="A2645" s="42" t="inlineStr">
        <is>
          <t>elie saab elixir 30ml</t>
        </is>
      </c>
      <c r="B2645" s="42" t="inlineStr">
        <is>
          <t>Google suggest</t>
        </is>
      </c>
      <c r="C2645" s="42" t="n">
        <v>3</v>
      </c>
      <c r="D2645" s="42" t="n">
        <v>27</v>
      </c>
      <c r="E2645" s="42" t="n">
        <v>1</v>
      </c>
      <c r="F2645" s="42" t="inlineStr">
        <is>
          <t>FR-146</t>
        </is>
      </c>
      <c r="G2645" s="55">
        <f>IFERROR(INDEX('Semrush Data'!$A$1:$Z$20000,MATCH(A2645,'Semrush Data'!$A$1:$A$20000,0),MATCH("Volume",'Semrush Data'!$A$1:$Z$1,0)),"")</f>
        <v/>
      </c>
      <c r="H2645" s="42">
        <f>IFERROR(INDEX('Semrush Data'!$A$1:$Z$20000,MATCH(A2645,'Semrush Data'!$A$1:$A$20000,0),MATCH("Keyword Difficulty*",'Semrush Data'!$A$1:$Z$1,0)),"")</f>
        <v/>
      </c>
      <c r="I2645" s="56">
        <f>IFERROR(INDEX('Semrush Data'!$A$1:$Z$20000,MATCH(A2645,'Semrush Data'!$A$1:$A$20000,0),MATCH("CPC*",'Semrush Data'!$A$1:$Z$1,0)),"")</f>
        <v/>
      </c>
      <c r="J2645" s="42">
        <f>IFERROR(INDEX('Semrush Data'!$A$1:$Z$20000,MATCH(A2645,'Semrush Data'!$A$1:$A$20000,0),MATCH("Intent",'Semrush Data'!$A$1:$Z$1,0)),"")</f>
        <v/>
      </c>
    </row>
    <row r="2646" ht="15" customHeight="1" s="37">
      <c r="A2646" s="42" t="inlineStr">
        <is>
          <t>elie saab elixir notes</t>
        </is>
      </c>
      <c r="B2646" s="42" t="inlineStr">
        <is>
          <t>Google suggest</t>
        </is>
      </c>
      <c r="C2646" s="42" t="n">
        <v>3</v>
      </c>
      <c r="D2646" s="42" t="inlineStr">
        <is>
          <t>T3-1</t>
        </is>
      </c>
      <c r="E2646" s="42" t="n">
        <v>1</v>
      </c>
      <c r="F2646" s="42" t="inlineStr">
        <is>
          <t>FR-146</t>
        </is>
      </c>
      <c r="G2646" s="55">
        <f>IFERROR(INDEX('Semrush Data'!$A$1:$Z$20000,MATCH(A2646,'Semrush Data'!$A$1:$A$20000,0),MATCH("Volume",'Semrush Data'!$A$1:$Z$1,0)),"")</f>
        <v/>
      </c>
      <c r="H2646" s="42">
        <f>IFERROR(INDEX('Semrush Data'!$A$1:$Z$20000,MATCH(A2646,'Semrush Data'!$A$1:$A$20000,0),MATCH("Keyword Difficulty*",'Semrush Data'!$A$1:$Z$1,0)),"")</f>
        <v/>
      </c>
      <c r="I2646" s="56">
        <f>IFERROR(INDEX('Semrush Data'!$A$1:$Z$20000,MATCH(A2646,'Semrush Data'!$A$1:$A$20000,0),MATCH("CPC*",'Semrush Data'!$A$1:$Z$1,0)),"")</f>
        <v/>
      </c>
      <c r="J2646" s="42">
        <f>IFERROR(INDEX('Semrush Data'!$A$1:$Z$20000,MATCH(A2646,'Semrush Data'!$A$1:$A$20000,0),MATCH("Intent",'Semrush Data'!$A$1:$Z$1,0)),"")</f>
        <v/>
      </c>
    </row>
    <row r="2647" ht="15" customHeight="1" s="37">
      <c r="A2647" s="42" t="inlineStr">
        <is>
          <t>elie saab elixir perfume</t>
        </is>
      </c>
      <c r="B2647" s="42" t="inlineStr">
        <is>
          <t>Google suggest</t>
        </is>
      </c>
      <c r="C2647" s="42" t="n">
        <v>3</v>
      </c>
      <c r="D2647" s="42" t="n">
        <v>27</v>
      </c>
      <c r="E2647" s="42" t="n">
        <v>1</v>
      </c>
      <c r="F2647" s="42" t="inlineStr">
        <is>
          <t>FR-146</t>
        </is>
      </c>
      <c r="G2647" s="55">
        <f>IFERROR(INDEX('Semrush Data'!$A$1:$Z$20000,MATCH(A2647,'Semrush Data'!$A$1:$A$20000,0),MATCH("Volume",'Semrush Data'!$A$1:$Z$1,0)),"")</f>
        <v/>
      </c>
      <c r="H2647" s="42">
        <f>IFERROR(INDEX('Semrush Data'!$A$1:$Z$20000,MATCH(A2647,'Semrush Data'!$A$1:$A$20000,0),MATCH("Keyword Difficulty*",'Semrush Data'!$A$1:$Z$1,0)),"")</f>
        <v/>
      </c>
      <c r="I2647" s="56">
        <f>IFERROR(INDEX('Semrush Data'!$A$1:$Z$20000,MATCH(A2647,'Semrush Data'!$A$1:$A$20000,0),MATCH("CPC*",'Semrush Data'!$A$1:$Z$1,0)),"")</f>
        <v/>
      </c>
      <c r="J2647" s="42">
        <f>IFERROR(INDEX('Semrush Data'!$A$1:$Z$20000,MATCH(A2647,'Semrush Data'!$A$1:$A$20000,0),MATCH("Intent",'Semrush Data'!$A$1:$Z$1,0)),"")</f>
        <v/>
      </c>
    </row>
    <row r="2648" ht="15" customHeight="1" s="37">
      <c r="A2648" s="42" t="inlineStr">
        <is>
          <t>elie saab elixir reviews</t>
        </is>
      </c>
      <c r="B2648" s="42" t="inlineStr">
        <is>
          <t>Google suggest</t>
        </is>
      </c>
      <c r="C2648" s="42" t="n">
        <v>3</v>
      </c>
      <c r="D2648" s="42" t="inlineStr">
        <is>
          <t>T3-1</t>
        </is>
      </c>
      <c r="E2648" s="42" t="n">
        <v>1</v>
      </c>
      <c r="F2648" s="42" t="inlineStr">
        <is>
          <t>FR-146</t>
        </is>
      </c>
      <c r="G2648" s="55">
        <f>IFERROR(INDEX('Semrush Data'!$A$1:$Z$20000,MATCH(A2648,'Semrush Data'!$A$1:$A$20000,0),MATCH("Volume",'Semrush Data'!$A$1:$Z$1,0)),"")</f>
        <v/>
      </c>
      <c r="H2648" s="42">
        <f>IFERROR(INDEX('Semrush Data'!$A$1:$Z$20000,MATCH(A2648,'Semrush Data'!$A$1:$A$20000,0),MATCH("Keyword Difficulty*",'Semrush Data'!$A$1:$Z$1,0)),"")</f>
        <v/>
      </c>
      <c r="I2648" s="56">
        <f>IFERROR(INDEX('Semrush Data'!$A$1:$Z$20000,MATCH(A2648,'Semrush Data'!$A$1:$A$20000,0),MATCH("CPC*",'Semrush Data'!$A$1:$Z$1,0)),"")</f>
        <v/>
      </c>
      <c r="J2648" s="42">
        <f>IFERROR(INDEX('Semrush Data'!$A$1:$Z$20000,MATCH(A2648,'Semrush Data'!$A$1:$A$20000,0),MATCH("Intent",'Semrush Data'!$A$1:$Z$1,0)),"")</f>
        <v/>
      </c>
    </row>
    <row r="2649" ht="15" customHeight="1" s="37">
      <c r="A2649" s="42" t="inlineStr">
        <is>
          <t>elie saab girl of now lovely set</t>
        </is>
      </c>
      <c r="B2649" s="42" t="inlineStr">
        <is>
          <t>Google suggest</t>
        </is>
      </c>
      <c r="C2649" s="42" t="n">
        <v>3</v>
      </c>
      <c r="D2649" s="42" t="n">
        <v>27</v>
      </c>
      <c r="E2649" s="42" t="n">
        <v>1</v>
      </c>
      <c r="F2649" s="42" t="inlineStr">
        <is>
          <t>FR-153</t>
        </is>
      </c>
      <c r="G2649" s="55">
        <f>IFERROR(INDEX('Semrush Data'!$A$1:$Z$20000,MATCH(A2649,'Semrush Data'!$A$1:$A$20000,0),MATCH("Volume",'Semrush Data'!$A$1:$Z$1,0)),"")</f>
        <v/>
      </c>
      <c r="H2649" s="42">
        <f>IFERROR(INDEX('Semrush Data'!$A$1:$Z$20000,MATCH(A2649,'Semrush Data'!$A$1:$A$20000,0),MATCH("Keyword Difficulty*",'Semrush Data'!$A$1:$Z$1,0)),"")</f>
        <v/>
      </c>
      <c r="I2649" s="56">
        <f>IFERROR(INDEX('Semrush Data'!$A$1:$Z$20000,MATCH(A2649,'Semrush Data'!$A$1:$A$20000,0),MATCH("CPC*",'Semrush Data'!$A$1:$Z$1,0)),"")</f>
        <v/>
      </c>
      <c r="J2649" s="42">
        <f>IFERROR(INDEX('Semrush Data'!$A$1:$Z$20000,MATCH(A2649,'Semrush Data'!$A$1:$A$20000,0),MATCH("Intent",'Semrush Data'!$A$1:$Z$1,0)),"")</f>
        <v/>
      </c>
    </row>
    <row r="2650" ht="15" customHeight="1" s="37">
      <c r="A2650" s="42" t="inlineStr">
        <is>
          <t>elie saab le parfum</t>
        </is>
      </c>
      <c r="B2650" s="42" t="inlineStr">
        <is>
          <t>Google suggest</t>
        </is>
      </c>
      <c r="C2650" s="42" t="n">
        <v>3</v>
      </c>
      <c r="D2650" s="42" t="n">
        <v>27</v>
      </c>
      <c r="E2650" s="42" t="n">
        <v>1</v>
      </c>
      <c r="F2650" s="42" t="inlineStr">
        <is>
          <t>FR-150</t>
        </is>
      </c>
      <c r="G2650" s="55">
        <f>IFERROR(INDEX('Semrush Data'!$A$1:$Z$20000,MATCH(A2650,'Semrush Data'!$A$1:$A$20000,0),MATCH("Volume",'Semrush Data'!$A$1:$Z$1,0)),"")</f>
        <v/>
      </c>
      <c r="H2650" s="42">
        <f>IFERROR(INDEX('Semrush Data'!$A$1:$Z$20000,MATCH(A2650,'Semrush Data'!$A$1:$A$20000,0),MATCH("Keyword Difficulty*",'Semrush Data'!$A$1:$Z$1,0)),"")</f>
        <v/>
      </c>
      <c r="I2650" s="56">
        <f>IFERROR(INDEX('Semrush Data'!$A$1:$Z$20000,MATCH(A2650,'Semrush Data'!$A$1:$A$20000,0),MATCH("CPC*",'Semrush Data'!$A$1:$Z$1,0)),"")</f>
        <v/>
      </c>
      <c r="J2650" s="42">
        <f>IFERROR(INDEX('Semrush Data'!$A$1:$Z$20000,MATCH(A2650,'Semrush Data'!$A$1:$A$20000,0),MATCH("Intent",'Semrush Data'!$A$1:$Z$1,0)),"")</f>
        <v/>
      </c>
    </row>
    <row r="2651" ht="15" customHeight="1" s="37">
      <c r="A2651" s="42" t="inlineStr">
        <is>
          <t>elie saab le parfum bridal 30ml</t>
        </is>
      </c>
      <c r="B2651" s="42" t="inlineStr">
        <is>
          <t>Google suggest</t>
        </is>
      </c>
      <c r="C2651" s="42" t="n">
        <v>3</v>
      </c>
      <c r="D2651" s="42" t="n">
        <v>27</v>
      </c>
      <c r="E2651" s="42" t="n">
        <v>1</v>
      </c>
      <c r="F2651" s="42" t="inlineStr">
        <is>
          <t>FR-149</t>
        </is>
      </c>
      <c r="G2651" s="55">
        <f>IFERROR(INDEX('Semrush Data'!$A$1:$Z$20000,MATCH(A2651,'Semrush Data'!$A$1:$A$20000,0),MATCH("Volume",'Semrush Data'!$A$1:$Z$1,0)),"")</f>
        <v/>
      </c>
      <c r="H2651" s="42">
        <f>IFERROR(INDEX('Semrush Data'!$A$1:$Z$20000,MATCH(A2651,'Semrush Data'!$A$1:$A$20000,0),MATCH("Keyword Difficulty*",'Semrush Data'!$A$1:$Z$1,0)),"")</f>
        <v/>
      </c>
      <c r="I2651" s="56">
        <f>IFERROR(INDEX('Semrush Data'!$A$1:$Z$20000,MATCH(A2651,'Semrush Data'!$A$1:$A$20000,0),MATCH("CPC*",'Semrush Data'!$A$1:$Z$1,0)),"")</f>
        <v/>
      </c>
      <c r="J2651" s="42">
        <f>IFERROR(INDEX('Semrush Data'!$A$1:$Z$20000,MATCH(A2651,'Semrush Data'!$A$1:$A$20000,0),MATCH("Intent",'Semrush Data'!$A$1:$Z$1,0)),"")</f>
        <v/>
      </c>
    </row>
    <row r="2652" ht="15" customHeight="1" s="37">
      <c r="A2652" s="42" t="inlineStr">
        <is>
          <t>elie saab le parfum bridal 90ml</t>
        </is>
      </c>
      <c r="B2652" s="42" t="inlineStr">
        <is>
          <t>Google suggest</t>
        </is>
      </c>
      <c r="C2652" s="42" t="n">
        <v>3</v>
      </c>
      <c r="D2652" s="42" t="n">
        <v>27</v>
      </c>
      <c r="E2652" s="42" t="n">
        <v>1</v>
      </c>
      <c r="F2652" s="42" t="inlineStr">
        <is>
          <t>FR-149</t>
        </is>
      </c>
      <c r="G2652" s="55">
        <f>IFERROR(INDEX('Semrush Data'!$A$1:$Z$20000,MATCH(A2652,'Semrush Data'!$A$1:$A$20000,0),MATCH("Volume",'Semrush Data'!$A$1:$Z$1,0)),"")</f>
        <v/>
      </c>
      <c r="H2652" s="42">
        <f>IFERROR(INDEX('Semrush Data'!$A$1:$Z$20000,MATCH(A2652,'Semrush Data'!$A$1:$A$20000,0),MATCH("Keyword Difficulty*",'Semrush Data'!$A$1:$Z$1,0)),"")</f>
        <v/>
      </c>
      <c r="I2652" s="56">
        <f>IFERROR(INDEX('Semrush Data'!$A$1:$Z$20000,MATCH(A2652,'Semrush Data'!$A$1:$A$20000,0),MATCH("CPC*",'Semrush Data'!$A$1:$Z$1,0)),"")</f>
        <v/>
      </c>
      <c r="J2652" s="42">
        <f>IFERROR(INDEX('Semrush Data'!$A$1:$Z$20000,MATCH(A2652,'Semrush Data'!$A$1:$A$20000,0),MATCH("Intent",'Semrush Data'!$A$1:$Z$1,0)),"")</f>
        <v/>
      </c>
    </row>
    <row r="2653" ht="15" customHeight="1" s="37">
      <c r="A2653" s="42" t="inlineStr">
        <is>
          <t>elie saab le parfum bridal edp</t>
        </is>
      </c>
      <c r="B2653" s="42" t="inlineStr">
        <is>
          <t>Google suggest</t>
        </is>
      </c>
      <c r="C2653" s="42" t="n">
        <v>3</v>
      </c>
      <c r="D2653" s="42" t="n">
        <v>27</v>
      </c>
      <c r="E2653" s="42" t="n">
        <v>1</v>
      </c>
      <c r="F2653" s="42" t="inlineStr">
        <is>
          <t>FR-149</t>
        </is>
      </c>
      <c r="G2653" s="55">
        <f>IFERROR(INDEX('Semrush Data'!$A$1:$Z$20000,MATCH(A2653,'Semrush Data'!$A$1:$A$20000,0),MATCH("Volume",'Semrush Data'!$A$1:$Z$1,0)),"")</f>
        <v/>
      </c>
      <c r="H2653" s="42">
        <f>IFERROR(INDEX('Semrush Data'!$A$1:$Z$20000,MATCH(A2653,'Semrush Data'!$A$1:$A$20000,0),MATCH("Keyword Difficulty*",'Semrush Data'!$A$1:$Z$1,0)),"")</f>
        <v/>
      </c>
      <c r="I2653" s="56">
        <f>IFERROR(INDEX('Semrush Data'!$A$1:$Z$20000,MATCH(A2653,'Semrush Data'!$A$1:$A$20000,0),MATCH("CPC*",'Semrush Data'!$A$1:$Z$1,0)),"")</f>
        <v/>
      </c>
      <c r="J2653" s="42">
        <f>IFERROR(INDEX('Semrush Data'!$A$1:$Z$20000,MATCH(A2653,'Semrush Data'!$A$1:$A$20000,0),MATCH("Intent",'Semrush Data'!$A$1:$Z$1,0)),"")</f>
        <v/>
      </c>
    </row>
    <row r="2654" ht="15" customHeight="1" s="37">
      <c r="A2654" s="42" t="inlineStr">
        <is>
          <t>elie saab le parfum bridal notes</t>
        </is>
      </c>
      <c r="B2654" s="42" t="inlineStr">
        <is>
          <t>Google suggest</t>
        </is>
      </c>
      <c r="C2654" s="42" t="n">
        <v>3</v>
      </c>
      <c r="D2654" s="42" t="n">
        <v>27</v>
      </c>
      <c r="E2654" s="42" t="n">
        <v>1</v>
      </c>
      <c r="F2654" s="42" t="inlineStr">
        <is>
          <t>FR-149</t>
        </is>
      </c>
      <c r="G2654" s="55">
        <f>IFERROR(INDEX('Semrush Data'!$A$1:$Z$20000,MATCH(A2654,'Semrush Data'!$A$1:$A$20000,0),MATCH("Volume",'Semrush Data'!$A$1:$Z$1,0)),"")</f>
        <v/>
      </c>
      <c r="H2654" s="42">
        <f>IFERROR(INDEX('Semrush Data'!$A$1:$Z$20000,MATCH(A2654,'Semrush Data'!$A$1:$A$20000,0),MATCH("Keyword Difficulty*",'Semrush Data'!$A$1:$Z$1,0)),"")</f>
        <v/>
      </c>
      <c r="I2654" s="56">
        <f>IFERROR(INDEX('Semrush Data'!$A$1:$Z$20000,MATCH(A2654,'Semrush Data'!$A$1:$A$20000,0),MATCH("CPC*",'Semrush Data'!$A$1:$Z$1,0)),"")</f>
        <v/>
      </c>
      <c r="J2654" s="42">
        <f>IFERROR(INDEX('Semrush Data'!$A$1:$Z$20000,MATCH(A2654,'Semrush Data'!$A$1:$A$20000,0),MATCH("Intent",'Semrush Data'!$A$1:$Z$1,0)),"")</f>
        <v/>
      </c>
    </row>
    <row r="2655" ht="15" customHeight="1" s="37">
      <c r="A2655" s="42" t="inlineStr">
        <is>
          <t>elie saab le parfum bridal review</t>
        </is>
      </c>
      <c r="B2655" s="42" t="inlineStr">
        <is>
          <t>Google suggest</t>
        </is>
      </c>
      <c r="C2655" s="42" t="n">
        <v>3</v>
      </c>
      <c r="D2655" s="42" t="n">
        <v>27</v>
      </c>
      <c r="E2655" s="42" t="n">
        <v>1</v>
      </c>
      <c r="F2655" s="42" t="inlineStr">
        <is>
          <t>FR-149</t>
        </is>
      </c>
      <c r="G2655" s="55">
        <f>IFERROR(INDEX('Semrush Data'!$A$1:$Z$20000,MATCH(A2655,'Semrush Data'!$A$1:$A$20000,0),MATCH("Volume",'Semrush Data'!$A$1:$Z$1,0)),"")</f>
        <v/>
      </c>
      <c r="H2655" s="42">
        <f>IFERROR(INDEX('Semrush Data'!$A$1:$Z$20000,MATCH(A2655,'Semrush Data'!$A$1:$A$20000,0),MATCH("Keyword Difficulty*",'Semrush Data'!$A$1:$Z$1,0)),"")</f>
        <v/>
      </c>
      <c r="I2655" s="56">
        <f>IFERROR(INDEX('Semrush Data'!$A$1:$Z$20000,MATCH(A2655,'Semrush Data'!$A$1:$A$20000,0),MATCH("CPC*",'Semrush Data'!$A$1:$Z$1,0)),"")</f>
        <v/>
      </c>
      <c r="J2655" s="42">
        <f>IFERROR(INDEX('Semrush Data'!$A$1:$Z$20000,MATCH(A2655,'Semrush Data'!$A$1:$A$20000,0),MATCH("Intent",'Semrush Data'!$A$1:$Z$1,0)),"")</f>
        <v/>
      </c>
    </row>
    <row r="2656" ht="15" customHeight="1" s="37">
      <c r="A2656" s="42" t="inlineStr">
        <is>
          <t>elie saab le parfum eau de parfum</t>
        </is>
      </c>
      <c r="B2656" s="42" t="inlineStr">
        <is>
          <t>Google suggest</t>
        </is>
      </c>
      <c r="C2656" s="42" t="n">
        <v>3</v>
      </c>
      <c r="D2656" s="42" t="n">
        <v>27</v>
      </c>
      <c r="E2656" s="42" t="n">
        <v>1</v>
      </c>
      <c r="F2656" s="42" t="inlineStr">
        <is>
          <t>FR-150</t>
        </is>
      </c>
      <c r="G2656" s="55">
        <f>IFERROR(INDEX('Semrush Data'!$A$1:$Z$20000,MATCH(A2656,'Semrush Data'!$A$1:$A$20000,0),MATCH("Volume",'Semrush Data'!$A$1:$Z$1,0)),"")</f>
        <v/>
      </c>
      <c r="H2656" s="42">
        <f>IFERROR(INDEX('Semrush Data'!$A$1:$Z$20000,MATCH(A2656,'Semrush Data'!$A$1:$A$20000,0),MATCH("Keyword Difficulty*",'Semrush Data'!$A$1:$Z$1,0)),"")</f>
        <v/>
      </c>
      <c r="I2656" s="56">
        <f>IFERROR(INDEX('Semrush Data'!$A$1:$Z$20000,MATCH(A2656,'Semrush Data'!$A$1:$A$20000,0),MATCH("CPC*",'Semrush Data'!$A$1:$Z$1,0)),"")</f>
        <v/>
      </c>
      <c r="J2656" s="42">
        <f>IFERROR(INDEX('Semrush Data'!$A$1:$Z$20000,MATCH(A2656,'Semrush Data'!$A$1:$A$20000,0),MATCH("Intent",'Semrush Data'!$A$1:$Z$1,0)),"")</f>
        <v/>
      </c>
    </row>
    <row r="2657" ht="15" customHeight="1" s="37">
      <c r="A2657" s="42" t="inlineStr">
        <is>
          <t>elie saab le parfum eau de parfum gift set 50ml</t>
        </is>
      </c>
      <c r="B2657" s="42" t="inlineStr">
        <is>
          <t>Google suggest</t>
        </is>
      </c>
      <c r="C2657" s="42" t="n">
        <v>3</v>
      </c>
      <c r="D2657" s="42" t="n">
        <v>27</v>
      </c>
      <c r="E2657" s="42" t="n">
        <v>1</v>
      </c>
      <c r="F2657" s="42" t="inlineStr">
        <is>
          <t>FR-154</t>
        </is>
      </c>
      <c r="G2657" s="55">
        <f>IFERROR(INDEX('Semrush Data'!$A$1:$Z$20000,MATCH(A2657,'Semrush Data'!$A$1:$A$20000,0),MATCH("Volume",'Semrush Data'!$A$1:$Z$1,0)),"")</f>
        <v/>
      </c>
      <c r="H2657" s="42">
        <f>IFERROR(INDEX('Semrush Data'!$A$1:$Z$20000,MATCH(A2657,'Semrush Data'!$A$1:$A$20000,0),MATCH("Keyword Difficulty*",'Semrush Data'!$A$1:$Z$1,0)),"")</f>
        <v/>
      </c>
      <c r="I2657" s="56">
        <f>IFERROR(INDEX('Semrush Data'!$A$1:$Z$20000,MATCH(A2657,'Semrush Data'!$A$1:$A$20000,0),MATCH("CPC*",'Semrush Data'!$A$1:$Z$1,0)),"")</f>
        <v/>
      </c>
      <c r="J2657" s="42">
        <f>IFERROR(INDEX('Semrush Data'!$A$1:$Z$20000,MATCH(A2657,'Semrush Data'!$A$1:$A$20000,0),MATCH("Intent",'Semrush Data'!$A$1:$Z$1,0)),"")</f>
        <v/>
      </c>
    </row>
    <row r="2658" ht="15" customHeight="1" s="37">
      <c r="A2658" s="42" t="inlineStr">
        <is>
          <t>elie saab le parfum gift set 50ml</t>
        </is>
      </c>
      <c r="B2658" s="42" t="inlineStr">
        <is>
          <t>Google suggest</t>
        </is>
      </c>
      <c r="C2658" s="42" t="n">
        <v>3</v>
      </c>
      <c r="D2658" s="42" t="n">
        <v>27</v>
      </c>
      <c r="E2658" s="42" t="n">
        <v>1</v>
      </c>
      <c r="F2658" s="42" t="inlineStr">
        <is>
          <t>FR-154</t>
        </is>
      </c>
      <c r="G2658" s="55">
        <f>IFERROR(INDEX('Semrush Data'!$A$1:$Z$20000,MATCH(A2658,'Semrush Data'!$A$1:$A$20000,0),MATCH("Volume",'Semrush Data'!$A$1:$Z$1,0)),"")</f>
        <v/>
      </c>
      <c r="H2658" s="42">
        <f>IFERROR(INDEX('Semrush Data'!$A$1:$Z$20000,MATCH(A2658,'Semrush Data'!$A$1:$A$20000,0),MATCH("Keyword Difficulty*",'Semrush Data'!$A$1:$Z$1,0)),"")</f>
        <v/>
      </c>
      <c r="I2658" s="56">
        <f>IFERROR(INDEX('Semrush Data'!$A$1:$Z$20000,MATCH(A2658,'Semrush Data'!$A$1:$A$20000,0),MATCH("CPC*",'Semrush Data'!$A$1:$Z$1,0)),"")</f>
        <v/>
      </c>
      <c r="J2658" s="42">
        <f>IFERROR(INDEX('Semrush Data'!$A$1:$Z$20000,MATCH(A2658,'Semrush Data'!$A$1:$A$20000,0),MATCH("Intent",'Semrush Data'!$A$1:$Z$1,0)),"")</f>
        <v/>
      </c>
    </row>
    <row r="2659" ht="15" customHeight="1" s="37">
      <c r="A2659" s="42" t="inlineStr">
        <is>
          <t>elie saab le parfum gift set 90ml</t>
        </is>
      </c>
      <c r="B2659" s="42" t="inlineStr">
        <is>
          <t>Google suggest</t>
        </is>
      </c>
      <c r="C2659" s="42" t="n">
        <v>3</v>
      </c>
      <c r="D2659" s="42" t="n">
        <v>27</v>
      </c>
      <c r="E2659" s="42" t="n">
        <v>1</v>
      </c>
      <c r="F2659" s="42" t="inlineStr">
        <is>
          <t>FR-154</t>
        </is>
      </c>
      <c r="G2659" s="55">
        <f>IFERROR(INDEX('Semrush Data'!$A$1:$Z$20000,MATCH(A2659,'Semrush Data'!$A$1:$A$20000,0),MATCH("Volume",'Semrush Data'!$A$1:$Z$1,0)),"")</f>
        <v/>
      </c>
      <c r="H2659" s="42">
        <f>IFERROR(INDEX('Semrush Data'!$A$1:$Z$20000,MATCH(A2659,'Semrush Data'!$A$1:$A$20000,0),MATCH("Keyword Difficulty*",'Semrush Data'!$A$1:$Z$1,0)),"")</f>
        <v/>
      </c>
      <c r="I2659" s="56">
        <f>IFERROR(INDEX('Semrush Data'!$A$1:$Z$20000,MATCH(A2659,'Semrush Data'!$A$1:$A$20000,0),MATCH("CPC*",'Semrush Data'!$A$1:$Z$1,0)),"")</f>
        <v/>
      </c>
      <c r="J2659" s="42">
        <f>IFERROR(INDEX('Semrush Data'!$A$1:$Z$20000,MATCH(A2659,'Semrush Data'!$A$1:$A$20000,0),MATCH("Intent",'Semrush Data'!$A$1:$Z$1,0)),"")</f>
        <v/>
      </c>
    </row>
    <row r="2660" ht="15" customHeight="1" s="37">
      <c r="A2660" s="42" t="inlineStr">
        <is>
          <t>elie saab le parfum intense 90ml</t>
        </is>
      </c>
      <c r="B2660" s="42" t="inlineStr">
        <is>
          <t>Google suggest</t>
        </is>
      </c>
      <c r="C2660" s="42" t="n">
        <v>3</v>
      </c>
      <c r="D2660" s="42" t="n">
        <v>27</v>
      </c>
      <c r="E2660" s="42" t="n">
        <v>1</v>
      </c>
      <c r="F2660" s="42" t="inlineStr">
        <is>
          <t>FR-151</t>
        </is>
      </c>
      <c r="G2660" s="55">
        <f>IFERROR(INDEX('Semrush Data'!$A$1:$Z$20000,MATCH(A2660,'Semrush Data'!$A$1:$A$20000,0),MATCH("Volume",'Semrush Data'!$A$1:$Z$1,0)),"")</f>
        <v/>
      </c>
      <c r="H2660" s="42">
        <f>IFERROR(INDEX('Semrush Data'!$A$1:$Z$20000,MATCH(A2660,'Semrush Data'!$A$1:$A$20000,0),MATCH("Keyword Difficulty*",'Semrush Data'!$A$1:$Z$1,0)),"")</f>
        <v/>
      </c>
      <c r="I2660" s="56">
        <f>IFERROR(INDEX('Semrush Data'!$A$1:$Z$20000,MATCH(A2660,'Semrush Data'!$A$1:$A$20000,0),MATCH("CPC*",'Semrush Data'!$A$1:$Z$1,0)),"")</f>
        <v/>
      </c>
      <c r="J2660" s="42">
        <f>IFERROR(INDEX('Semrush Data'!$A$1:$Z$20000,MATCH(A2660,'Semrush Data'!$A$1:$A$20000,0),MATCH("Intent",'Semrush Data'!$A$1:$Z$1,0)),"")</f>
        <v/>
      </c>
    </row>
    <row r="2661" ht="15" customHeight="1" s="37">
      <c r="A2661" s="42" t="inlineStr">
        <is>
          <t>elie saab le parfum intense edp</t>
        </is>
      </c>
      <c r="B2661" s="42" t="inlineStr">
        <is>
          <t>Google suggest</t>
        </is>
      </c>
      <c r="C2661" s="42" t="n">
        <v>3</v>
      </c>
      <c r="D2661" s="42" t="n">
        <v>27</v>
      </c>
      <c r="E2661" s="42" t="n">
        <v>1</v>
      </c>
      <c r="F2661" s="42" t="inlineStr">
        <is>
          <t>FR-151</t>
        </is>
      </c>
      <c r="G2661" s="55">
        <f>IFERROR(INDEX('Semrush Data'!$A$1:$Z$20000,MATCH(A2661,'Semrush Data'!$A$1:$A$20000,0),MATCH("Volume",'Semrush Data'!$A$1:$Z$1,0)),"")</f>
        <v/>
      </c>
      <c r="H2661" s="42">
        <f>IFERROR(INDEX('Semrush Data'!$A$1:$Z$20000,MATCH(A2661,'Semrush Data'!$A$1:$A$20000,0),MATCH("Keyword Difficulty*",'Semrush Data'!$A$1:$Z$1,0)),"")</f>
        <v/>
      </c>
      <c r="I2661" s="56">
        <f>IFERROR(INDEX('Semrush Data'!$A$1:$Z$20000,MATCH(A2661,'Semrush Data'!$A$1:$A$20000,0),MATCH("CPC*",'Semrush Data'!$A$1:$Z$1,0)),"")</f>
        <v/>
      </c>
      <c r="J2661" s="42">
        <f>IFERROR(INDEX('Semrush Data'!$A$1:$Z$20000,MATCH(A2661,'Semrush Data'!$A$1:$A$20000,0),MATCH("Intent",'Semrush Data'!$A$1:$Z$1,0)),"")</f>
        <v/>
      </c>
    </row>
    <row r="2662" ht="15" customHeight="1" s="37">
      <c r="A2662" s="42" t="inlineStr">
        <is>
          <t>elie saab le parfum intense edp 90ml</t>
        </is>
      </c>
      <c r="B2662" s="42" t="inlineStr">
        <is>
          <t>Google suggest</t>
        </is>
      </c>
      <c r="C2662" s="42" t="n">
        <v>3</v>
      </c>
      <c r="D2662" s="42" t="n">
        <v>27</v>
      </c>
      <c r="E2662" s="42" t="n">
        <v>1</v>
      </c>
      <c r="F2662" s="42" t="inlineStr">
        <is>
          <t>FR-151</t>
        </is>
      </c>
      <c r="G2662" s="55">
        <f>IFERROR(INDEX('Semrush Data'!$A$1:$Z$20000,MATCH(A2662,'Semrush Data'!$A$1:$A$20000,0),MATCH("Volume",'Semrush Data'!$A$1:$Z$1,0)),"")</f>
        <v/>
      </c>
      <c r="H2662" s="42">
        <f>IFERROR(INDEX('Semrush Data'!$A$1:$Z$20000,MATCH(A2662,'Semrush Data'!$A$1:$A$20000,0),MATCH("Keyword Difficulty*",'Semrush Data'!$A$1:$Z$1,0)),"")</f>
        <v/>
      </c>
      <c r="I2662" s="56">
        <f>IFERROR(INDEX('Semrush Data'!$A$1:$Z$20000,MATCH(A2662,'Semrush Data'!$A$1:$A$20000,0),MATCH("CPC*",'Semrush Data'!$A$1:$Z$1,0)),"")</f>
        <v/>
      </c>
      <c r="J2662" s="42">
        <f>IFERROR(INDEX('Semrush Data'!$A$1:$Z$20000,MATCH(A2662,'Semrush Data'!$A$1:$A$20000,0),MATCH("Intent",'Semrush Data'!$A$1:$Z$1,0)),"")</f>
        <v/>
      </c>
    </row>
    <row r="2663" ht="15" customHeight="1" s="37">
      <c r="A2663" s="42" t="inlineStr">
        <is>
          <t>elie saab le parfum intense notes</t>
        </is>
      </c>
      <c r="B2663" s="42" t="inlineStr">
        <is>
          <t>Google suggest</t>
        </is>
      </c>
      <c r="C2663" s="42" t="n">
        <v>3</v>
      </c>
      <c r="D2663" s="42" t="n">
        <v>27</v>
      </c>
      <c r="E2663" s="42" t="n">
        <v>1</v>
      </c>
      <c r="F2663" s="42" t="inlineStr">
        <is>
          <t>FR-151</t>
        </is>
      </c>
      <c r="G2663" s="55">
        <f>IFERROR(INDEX('Semrush Data'!$A$1:$Z$20000,MATCH(A2663,'Semrush Data'!$A$1:$A$20000,0),MATCH("Volume",'Semrush Data'!$A$1:$Z$1,0)),"")</f>
        <v/>
      </c>
      <c r="H2663" s="42">
        <f>IFERROR(INDEX('Semrush Data'!$A$1:$Z$20000,MATCH(A2663,'Semrush Data'!$A$1:$A$20000,0),MATCH("Keyword Difficulty*",'Semrush Data'!$A$1:$Z$1,0)),"")</f>
        <v/>
      </c>
      <c r="I2663" s="56">
        <f>IFERROR(INDEX('Semrush Data'!$A$1:$Z$20000,MATCH(A2663,'Semrush Data'!$A$1:$A$20000,0),MATCH("CPC*",'Semrush Data'!$A$1:$Z$1,0)),"")</f>
        <v/>
      </c>
      <c r="J2663" s="42">
        <f>IFERROR(INDEX('Semrush Data'!$A$1:$Z$20000,MATCH(A2663,'Semrush Data'!$A$1:$A$20000,0),MATCH("Intent",'Semrush Data'!$A$1:$Z$1,0)),"")</f>
        <v/>
      </c>
    </row>
    <row r="2664" ht="15" customHeight="1" s="37">
      <c r="A2664" s="42" t="inlineStr">
        <is>
          <t>elie saab le parfum intense review</t>
        </is>
      </c>
      <c r="B2664" s="42" t="inlineStr">
        <is>
          <t>Google suggest</t>
        </is>
      </c>
      <c r="C2664" s="42" t="n">
        <v>3</v>
      </c>
      <c r="D2664" s="42" t="n">
        <v>27</v>
      </c>
      <c r="E2664" s="42" t="n">
        <v>1</v>
      </c>
      <c r="F2664" s="42" t="inlineStr">
        <is>
          <t>FR-151</t>
        </is>
      </c>
      <c r="G2664" s="55">
        <f>IFERROR(INDEX('Semrush Data'!$A$1:$Z$20000,MATCH(A2664,'Semrush Data'!$A$1:$A$20000,0),MATCH("Volume",'Semrush Data'!$A$1:$Z$1,0)),"")</f>
        <v/>
      </c>
      <c r="H2664" s="42">
        <f>IFERROR(INDEX('Semrush Data'!$A$1:$Z$20000,MATCH(A2664,'Semrush Data'!$A$1:$A$20000,0),MATCH("Keyword Difficulty*",'Semrush Data'!$A$1:$Z$1,0)),"")</f>
        <v/>
      </c>
      <c r="I2664" s="56">
        <f>IFERROR(INDEX('Semrush Data'!$A$1:$Z$20000,MATCH(A2664,'Semrush Data'!$A$1:$A$20000,0),MATCH("CPC*",'Semrush Data'!$A$1:$Z$1,0)),"")</f>
        <v/>
      </c>
      <c r="J2664" s="42">
        <f>IFERROR(INDEX('Semrush Data'!$A$1:$Z$20000,MATCH(A2664,'Semrush Data'!$A$1:$A$20000,0),MATCH("Intent",'Semrush Data'!$A$1:$Z$1,0)),"")</f>
        <v/>
      </c>
    </row>
    <row r="2665" ht="15" customHeight="1" s="37">
      <c r="A2665" s="42" t="inlineStr">
        <is>
          <t>elie saab le parfum lumiere set</t>
        </is>
      </c>
      <c r="B2665" s="42" t="inlineStr">
        <is>
          <t>Google suggest</t>
        </is>
      </c>
      <c r="C2665" s="42" t="n">
        <v>3</v>
      </c>
      <c r="D2665" s="42" t="n">
        <v>27</v>
      </c>
      <c r="E2665" s="42" t="n">
        <v>1</v>
      </c>
      <c r="F2665" s="42" t="inlineStr">
        <is>
          <t>FR-155</t>
        </is>
      </c>
      <c r="G2665" s="55">
        <f>IFERROR(INDEX('Semrush Data'!$A$1:$Z$20000,MATCH(A2665,'Semrush Data'!$A$1:$A$20000,0),MATCH("Volume",'Semrush Data'!$A$1:$Z$1,0)),"")</f>
        <v/>
      </c>
      <c r="H2665" s="42">
        <f>IFERROR(INDEX('Semrush Data'!$A$1:$Z$20000,MATCH(A2665,'Semrush Data'!$A$1:$A$20000,0),MATCH("Keyword Difficulty*",'Semrush Data'!$A$1:$Z$1,0)),"")</f>
        <v/>
      </c>
      <c r="I2665" s="56">
        <f>IFERROR(INDEX('Semrush Data'!$A$1:$Z$20000,MATCH(A2665,'Semrush Data'!$A$1:$A$20000,0),MATCH("CPC*",'Semrush Data'!$A$1:$Z$1,0)),"")</f>
        <v/>
      </c>
      <c r="J2665" s="42">
        <f>IFERROR(INDEX('Semrush Data'!$A$1:$Z$20000,MATCH(A2665,'Semrush Data'!$A$1:$A$20000,0),MATCH("Intent",'Semrush Data'!$A$1:$Z$1,0)),"")</f>
        <v/>
      </c>
    </row>
    <row r="2666" ht="15" customHeight="1" s="37">
      <c r="A2666" s="42" t="inlineStr">
        <is>
          <t>elie saab le parfum notes</t>
        </is>
      </c>
      <c r="B2666" s="42" t="inlineStr">
        <is>
          <t>Google suggest</t>
        </is>
      </c>
      <c r="C2666" s="42" t="n">
        <v>3</v>
      </c>
      <c r="D2666" s="42" t="n">
        <v>27</v>
      </c>
      <c r="E2666" s="42" t="n">
        <v>1</v>
      </c>
      <c r="F2666" s="42" t="inlineStr">
        <is>
          <t>FR-150</t>
        </is>
      </c>
      <c r="G2666" s="55">
        <f>IFERROR(INDEX('Semrush Data'!$A$1:$Z$20000,MATCH(A2666,'Semrush Data'!$A$1:$A$20000,0),MATCH("Volume",'Semrush Data'!$A$1:$Z$1,0)),"")</f>
        <v/>
      </c>
      <c r="H2666" s="42">
        <f>IFERROR(INDEX('Semrush Data'!$A$1:$Z$20000,MATCH(A2666,'Semrush Data'!$A$1:$A$20000,0),MATCH("Keyword Difficulty*",'Semrush Data'!$A$1:$Z$1,0)),"")</f>
        <v/>
      </c>
      <c r="I2666" s="56">
        <f>IFERROR(INDEX('Semrush Data'!$A$1:$Z$20000,MATCH(A2666,'Semrush Data'!$A$1:$A$20000,0),MATCH("CPC*",'Semrush Data'!$A$1:$Z$1,0)),"")</f>
        <v/>
      </c>
      <c r="J2666" s="42">
        <f>IFERROR(INDEX('Semrush Data'!$A$1:$Z$20000,MATCH(A2666,'Semrush Data'!$A$1:$A$20000,0),MATCH("Intent",'Semrush Data'!$A$1:$Z$1,0)),"")</f>
        <v/>
      </c>
    </row>
    <row r="2667" ht="15" customHeight="1" s="37">
      <c r="A2667" s="42" t="inlineStr">
        <is>
          <t>elie saab le parfum set</t>
        </is>
      </c>
      <c r="B2667" s="42" t="inlineStr">
        <is>
          <t>Google suggest</t>
        </is>
      </c>
      <c r="C2667" s="42" t="n">
        <v>3</v>
      </c>
      <c r="D2667" s="42" t="n">
        <v>27</v>
      </c>
      <c r="E2667" s="42" t="n">
        <v>1</v>
      </c>
      <c r="F2667" s="42" t="inlineStr">
        <is>
          <t>FR-154</t>
        </is>
      </c>
      <c r="G2667" s="55">
        <f>IFERROR(INDEX('Semrush Data'!$A$1:$Z$20000,MATCH(A2667,'Semrush Data'!$A$1:$A$20000,0),MATCH("Volume",'Semrush Data'!$A$1:$Z$1,0)),"")</f>
        <v/>
      </c>
      <c r="H2667" s="42">
        <f>IFERROR(INDEX('Semrush Data'!$A$1:$Z$20000,MATCH(A2667,'Semrush Data'!$A$1:$A$20000,0),MATCH("Keyword Difficulty*",'Semrush Data'!$A$1:$Z$1,0)),"")</f>
        <v/>
      </c>
      <c r="I2667" s="56">
        <f>IFERROR(INDEX('Semrush Data'!$A$1:$Z$20000,MATCH(A2667,'Semrush Data'!$A$1:$A$20000,0),MATCH("CPC*",'Semrush Data'!$A$1:$Z$1,0)),"")</f>
        <v/>
      </c>
      <c r="J2667" s="42">
        <f>IFERROR(INDEX('Semrush Data'!$A$1:$Z$20000,MATCH(A2667,'Semrush Data'!$A$1:$A$20000,0),MATCH("Intent",'Semrush Data'!$A$1:$Z$1,0)),"")</f>
        <v/>
      </c>
    </row>
    <row r="2668" ht="15" customHeight="1" s="37">
      <c r="A2668" s="42" t="inlineStr">
        <is>
          <t>elie saab nuit noor edp</t>
        </is>
      </c>
      <c r="B2668" s="42" t="inlineStr">
        <is>
          <t>Google suggest</t>
        </is>
      </c>
      <c r="C2668" s="42" t="n">
        <v>3</v>
      </c>
      <c r="D2668" s="42" t="n">
        <v>27</v>
      </c>
      <c r="E2668" s="42" t="n">
        <v>1</v>
      </c>
      <c r="F2668" s="42" t="inlineStr">
        <is>
          <t>FR-152</t>
        </is>
      </c>
      <c r="G2668" s="55">
        <f>IFERROR(INDEX('Semrush Data'!$A$1:$Z$20000,MATCH(A2668,'Semrush Data'!$A$1:$A$20000,0),MATCH("Volume",'Semrush Data'!$A$1:$Z$1,0)),"")</f>
        <v/>
      </c>
      <c r="H2668" s="42">
        <f>IFERROR(INDEX('Semrush Data'!$A$1:$Z$20000,MATCH(A2668,'Semrush Data'!$A$1:$A$20000,0),MATCH("Keyword Difficulty*",'Semrush Data'!$A$1:$Z$1,0)),"")</f>
        <v/>
      </c>
      <c r="I2668" s="56">
        <f>IFERROR(INDEX('Semrush Data'!$A$1:$Z$20000,MATCH(A2668,'Semrush Data'!$A$1:$A$20000,0),MATCH("CPC*",'Semrush Data'!$A$1:$Z$1,0)),"")</f>
        <v/>
      </c>
      <c r="J2668" s="42">
        <f>IFERROR(INDEX('Semrush Data'!$A$1:$Z$20000,MATCH(A2668,'Semrush Data'!$A$1:$A$20000,0),MATCH("Intent",'Semrush Data'!$A$1:$Z$1,0)),"")</f>
        <v/>
      </c>
    </row>
    <row r="2669" ht="15" customHeight="1" s="37">
      <c r="A2669" s="42" t="inlineStr">
        <is>
          <t>elie saab nuit noor edp 90ml</t>
        </is>
      </c>
      <c r="B2669" s="42" t="inlineStr">
        <is>
          <t>Google suggest</t>
        </is>
      </c>
      <c r="C2669" s="42" t="n">
        <v>3</v>
      </c>
      <c r="D2669" s="42" t="n">
        <v>27</v>
      </c>
      <c r="E2669" s="42" t="n">
        <v>1</v>
      </c>
      <c r="F2669" s="42" t="inlineStr">
        <is>
          <t>FR-152</t>
        </is>
      </c>
      <c r="G2669" s="55">
        <f>IFERROR(INDEX('Semrush Data'!$A$1:$Z$20000,MATCH(A2669,'Semrush Data'!$A$1:$A$20000,0),MATCH("Volume",'Semrush Data'!$A$1:$Z$1,0)),"")</f>
        <v/>
      </c>
      <c r="H2669" s="42">
        <f>IFERROR(INDEX('Semrush Data'!$A$1:$Z$20000,MATCH(A2669,'Semrush Data'!$A$1:$A$20000,0),MATCH("Keyword Difficulty*",'Semrush Data'!$A$1:$Z$1,0)),"")</f>
        <v/>
      </c>
      <c r="I2669" s="56">
        <f>IFERROR(INDEX('Semrush Data'!$A$1:$Z$20000,MATCH(A2669,'Semrush Data'!$A$1:$A$20000,0),MATCH("CPC*",'Semrush Data'!$A$1:$Z$1,0)),"")</f>
        <v/>
      </c>
      <c r="J2669" s="42">
        <f>IFERROR(INDEX('Semrush Data'!$A$1:$Z$20000,MATCH(A2669,'Semrush Data'!$A$1:$A$20000,0),MATCH("Intent",'Semrush Data'!$A$1:$Z$1,0)),"")</f>
        <v/>
      </c>
    </row>
    <row r="2670" ht="15" customHeight="1" s="37">
      <c r="A2670" s="42" t="inlineStr">
        <is>
          <t>elie saab nuit noor notes</t>
        </is>
      </c>
      <c r="B2670" s="42" t="inlineStr">
        <is>
          <t>Google suggest</t>
        </is>
      </c>
      <c r="C2670" s="42" t="n">
        <v>3</v>
      </c>
      <c r="D2670" s="42" t="n">
        <v>27</v>
      </c>
      <c r="E2670" s="42" t="n">
        <v>1</v>
      </c>
      <c r="F2670" s="42" t="inlineStr">
        <is>
          <t>FR-152</t>
        </is>
      </c>
      <c r="G2670" s="55">
        <f>IFERROR(INDEX('Semrush Data'!$A$1:$Z$20000,MATCH(A2670,'Semrush Data'!$A$1:$A$20000,0),MATCH("Volume",'Semrush Data'!$A$1:$Z$1,0)),"")</f>
        <v/>
      </c>
      <c r="H2670" s="42">
        <f>IFERROR(INDEX('Semrush Data'!$A$1:$Z$20000,MATCH(A2670,'Semrush Data'!$A$1:$A$20000,0),MATCH("Keyword Difficulty*",'Semrush Data'!$A$1:$Z$1,0)),"")</f>
        <v/>
      </c>
      <c r="I2670" s="56">
        <f>IFERROR(INDEX('Semrush Data'!$A$1:$Z$20000,MATCH(A2670,'Semrush Data'!$A$1:$A$20000,0),MATCH("CPC*",'Semrush Data'!$A$1:$Z$1,0)),"")</f>
        <v/>
      </c>
      <c r="J2670" s="42">
        <f>IFERROR(INDEX('Semrush Data'!$A$1:$Z$20000,MATCH(A2670,'Semrush Data'!$A$1:$A$20000,0),MATCH("Intent",'Semrush Data'!$A$1:$Z$1,0)),"")</f>
        <v/>
      </c>
    </row>
    <row r="2671" ht="15" customHeight="1" s="37">
      <c r="A2671" s="42" t="inlineStr">
        <is>
          <t>elie saab nuit noor perfume</t>
        </is>
      </c>
      <c r="B2671" s="42" t="inlineStr">
        <is>
          <t>Google suggest</t>
        </is>
      </c>
      <c r="C2671" s="42" t="n">
        <v>3</v>
      </c>
      <c r="D2671" s="42" t="n">
        <v>27</v>
      </c>
      <c r="E2671" s="42" t="n">
        <v>1</v>
      </c>
      <c r="F2671" s="42" t="inlineStr">
        <is>
          <t>FR-152</t>
        </is>
      </c>
      <c r="G2671" s="55">
        <f>IFERROR(INDEX('Semrush Data'!$A$1:$Z$20000,MATCH(A2671,'Semrush Data'!$A$1:$A$20000,0),MATCH("Volume",'Semrush Data'!$A$1:$Z$1,0)),"")</f>
        <v/>
      </c>
      <c r="H2671" s="42">
        <f>IFERROR(INDEX('Semrush Data'!$A$1:$Z$20000,MATCH(A2671,'Semrush Data'!$A$1:$A$20000,0),MATCH("Keyword Difficulty*",'Semrush Data'!$A$1:$Z$1,0)),"")</f>
        <v/>
      </c>
      <c r="I2671" s="56">
        <f>IFERROR(INDEX('Semrush Data'!$A$1:$Z$20000,MATCH(A2671,'Semrush Data'!$A$1:$A$20000,0),MATCH("CPC*",'Semrush Data'!$A$1:$Z$1,0)),"")</f>
        <v/>
      </c>
      <c r="J2671" s="42">
        <f>IFERROR(INDEX('Semrush Data'!$A$1:$Z$20000,MATCH(A2671,'Semrush Data'!$A$1:$A$20000,0),MATCH("Intent",'Semrush Data'!$A$1:$Z$1,0)),"")</f>
        <v/>
      </c>
    </row>
    <row r="2672" ht="15" customHeight="1" s="37">
      <c r="A2672" s="42" t="inlineStr">
        <is>
          <t>elie saab nuit noor review</t>
        </is>
      </c>
      <c r="B2672" s="42" t="inlineStr">
        <is>
          <t>Google suggest</t>
        </is>
      </c>
      <c r="C2672" s="42" t="n">
        <v>3</v>
      </c>
      <c r="D2672" s="42" t="n">
        <v>27</v>
      </c>
      <c r="E2672" s="42" t="n">
        <v>1</v>
      </c>
      <c r="F2672" s="42" t="inlineStr">
        <is>
          <t>FR-152</t>
        </is>
      </c>
      <c r="G2672" s="55">
        <f>IFERROR(INDEX('Semrush Data'!$A$1:$Z$20000,MATCH(A2672,'Semrush Data'!$A$1:$A$20000,0),MATCH("Volume",'Semrush Data'!$A$1:$Z$1,0)),"")</f>
        <v/>
      </c>
      <c r="H2672" s="42">
        <f>IFERROR(INDEX('Semrush Data'!$A$1:$Z$20000,MATCH(A2672,'Semrush Data'!$A$1:$A$20000,0),MATCH("Keyword Difficulty*",'Semrush Data'!$A$1:$Z$1,0)),"")</f>
        <v/>
      </c>
      <c r="I2672" s="56">
        <f>IFERROR(INDEX('Semrush Data'!$A$1:$Z$20000,MATCH(A2672,'Semrush Data'!$A$1:$A$20000,0),MATCH("CPC*",'Semrush Data'!$A$1:$Z$1,0)),"")</f>
        <v/>
      </c>
      <c r="J2672" s="42">
        <f>IFERROR(INDEX('Semrush Data'!$A$1:$Z$20000,MATCH(A2672,'Semrush Data'!$A$1:$A$20000,0),MATCH("Intent",'Semrush Data'!$A$1:$Z$1,0)),"")</f>
        <v/>
      </c>
    </row>
    <row r="2673" ht="15" customHeight="1" s="37">
      <c r="A2673" s="42" t="inlineStr">
        <is>
          <t>elizabeth arden beauty eau de parfum 100ml</t>
        </is>
      </c>
      <c r="B2673" s="42" t="inlineStr">
        <is>
          <t>Google suggest</t>
        </is>
      </c>
      <c r="C2673" s="42" t="n">
        <v>3</v>
      </c>
      <c r="D2673" s="42" t="n">
        <v>27</v>
      </c>
      <c r="E2673" s="42" t="n">
        <v>1</v>
      </c>
      <c r="F2673" s="42" t="inlineStr">
        <is>
          <t>FR-156</t>
        </is>
      </c>
      <c r="G2673" s="55">
        <f>IFERROR(INDEX('Semrush Data'!$A$1:$Z$20000,MATCH(A2673,'Semrush Data'!$A$1:$A$20000,0),MATCH("Volume",'Semrush Data'!$A$1:$Z$1,0)),"")</f>
        <v/>
      </c>
      <c r="H2673" s="42">
        <f>IFERROR(INDEX('Semrush Data'!$A$1:$Z$20000,MATCH(A2673,'Semrush Data'!$A$1:$A$20000,0),MATCH("Keyword Difficulty*",'Semrush Data'!$A$1:$Z$1,0)),"")</f>
        <v/>
      </c>
      <c r="I2673" s="56">
        <f>IFERROR(INDEX('Semrush Data'!$A$1:$Z$20000,MATCH(A2673,'Semrush Data'!$A$1:$A$20000,0),MATCH("CPC*",'Semrush Data'!$A$1:$Z$1,0)),"")</f>
        <v/>
      </c>
      <c r="J2673" s="42">
        <f>IFERROR(INDEX('Semrush Data'!$A$1:$Z$20000,MATCH(A2673,'Semrush Data'!$A$1:$A$20000,0),MATCH("Intent",'Semrush Data'!$A$1:$Z$1,0)),"")</f>
        <v/>
      </c>
    </row>
    <row r="2674" ht="15" customHeight="1" s="37">
      <c r="A2674" s="42" t="inlineStr">
        <is>
          <t>elizabeth arden beauty edp</t>
        </is>
      </c>
      <c r="B2674" s="42" t="inlineStr">
        <is>
          <t>Google suggest</t>
        </is>
      </c>
      <c r="C2674" s="42" t="n">
        <v>3</v>
      </c>
      <c r="D2674" s="42" t="n">
        <v>27</v>
      </c>
      <c r="E2674" s="42" t="n">
        <v>1</v>
      </c>
      <c r="F2674" s="42" t="inlineStr">
        <is>
          <t>FR-156</t>
        </is>
      </c>
      <c r="G2674" s="55">
        <f>IFERROR(INDEX('Semrush Data'!$A$1:$Z$20000,MATCH(A2674,'Semrush Data'!$A$1:$A$20000,0),MATCH("Volume",'Semrush Data'!$A$1:$Z$1,0)),"")</f>
        <v/>
      </c>
      <c r="H2674" s="42">
        <f>IFERROR(INDEX('Semrush Data'!$A$1:$Z$20000,MATCH(A2674,'Semrush Data'!$A$1:$A$20000,0),MATCH("Keyword Difficulty*",'Semrush Data'!$A$1:$Z$1,0)),"")</f>
        <v/>
      </c>
      <c r="I2674" s="56">
        <f>IFERROR(INDEX('Semrush Data'!$A$1:$Z$20000,MATCH(A2674,'Semrush Data'!$A$1:$A$20000,0),MATCH("CPC*",'Semrush Data'!$A$1:$Z$1,0)),"")</f>
        <v/>
      </c>
      <c r="J2674" s="42">
        <f>IFERROR(INDEX('Semrush Data'!$A$1:$Z$20000,MATCH(A2674,'Semrush Data'!$A$1:$A$20000,0),MATCH("Intent",'Semrush Data'!$A$1:$Z$1,0)),"")</f>
        <v/>
      </c>
    </row>
    <row r="2675" ht="15" customHeight="1" s="37">
      <c r="A2675" s="42" t="inlineStr">
        <is>
          <t>elizabeth arden beauty perfume</t>
        </is>
      </c>
      <c r="B2675" s="42" t="inlineStr">
        <is>
          <t>Google suggest</t>
        </is>
      </c>
      <c r="C2675" s="42" t="n">
        <v>3</v>
      </c>
      <c r="D2675" s="42" t="n">
        <v>27</v>
      </c>
      <c r="E2675" s="42" t="n">
        <v>1</v>
      </c>
      <c r="F2675" s="42" t="inlineStr">
        <is>
          <t>FR-156</t>
        </is>
      </c>
      <c r="G2675" s="55">
        <f>IFERROR(INDEX('Semrush Data'!$A$1:$Z$20000,MATCH(A2675,'Semrush Data'!$A$1:$A$20000,0),MATCH("Volume",'Semrush Data'!$A$1:$Z$1,0)),"")</f>
        <v/>
      </c>
      <c r="H2675" s="42">
        <f>IFERROR(INDEX('Semrush Data'!$A$1:$Z$20000,MATCH(A2675,'Semrush Data'!$A$1:$A$20000,0),MATCH("Keyword Difficulty*",'Semrush Data'!$A$1:$Z$1,0)),"")</f>
        <v/>
      </c>
      <c r="I2675" s="56">
        <f>IFERROR(INDEX('Semrush Data'!$A$1:$Z$20000,MATCH(A2675,'Semrush Data'!$A$1:$A$20000,0),MATCH("CPC*",'Semrush Data'!$A$1:$Z$1,0)),"")</f>
        <v/>
      </c>
      <c r="J2675" s="42">
        <f>IFERROR(INDEX('Semrush Data'!$A$1:$Z$20000,MATCH(A2675,'Semrush Data'!$A$1:$A$20000,0),MATCH("Intent",'Semrush Data'!$A$1:$Z$1,0)),"")</f>
        <v/>
      </c>
    </row>
    <row r="2676" ht="15" customHeight="1" s="37">
      <c r="A2676" s="42" t="inlineStr">
        <is>
          <t>elizabeth arden beauty perfume 100ml</t>
        </is>
      </c>
      <c r="B2676" s="42" t="inlineStr">
        <is>
          <t>Google suggest</t>
        </is>
      </c>
      <c r="C2676" s="42" t="n">
        <v>3</v>
      </c>
      <c r="D2676" s="42" t="n">
        <v>27</v>
      </c>
      <c r="E2676" s="42" t="n">
        <v>1</v>
      </c>
      <c r="F2676" s="42" t="inlineStr">
        <is>
          <t>FR-156</t>
        </is>
      </c>
      <c r="G2676" s="55">
        <f>IFERROR(INDEX('Semrush Data'!$A$1:$Z$20000,MATCH(A2676,'Semrush Data'!$A$1:$A$20000,0),MATCH("Volume",'Semrush Data'!$A$1:$Z$1,0)),"")</f>
        <v/>
      </c>
      <c r="H2676" s="42">
        <f>IFERROR(INDEX('Semrush Data'!$A$1:$Z$20000,MATCH(A2676,'Semrush Data'!$A$1:$A$20000,0),MATCH("Keyword Difficulty*",'Semrush Data'!$A$1:$Z$1,0)),"")</f>
        <v/>
      </c>
      <c r="I2676" s="56">
        <f>IFERROR(INDEX('Semrush Data'!$A$1:$Z$20000,MATCH(A2676,'Semrush Data'!$A$1:$A$20000,0),MATCH("CPC*",'Semrush Data'!$A$1:$Z$1,0)),"")</f>
        <v/>
      </c>
      <c r="J2676" s="42">
        <f>IFERROR(INDEX('Semrush Data'!$A$1:$Z$20000,MATCH(A2676,'Semrush Data'!$A$1:$A$20000,0),MATCH("Intent",'Semrush Data'!$A$1:$Z$1,0)),"")</f>
        <v/>
      </c>
    </row>
    <row r="2677" ht="15" customHeight="1" s="37">
      <c r="A2677" s="42" t="inlineStr">
        <is>
          <t>elizabeth arden beauty perfume review</t>
        </is>
      </c>
      <c r="B2677" s="42" t="inlineStr">
        <is>
          <t>Google suggest</t>
        </is>
      </c>
      <c r="C2677" s="42" t="n">
        <v>3</v>
      </c>
      <c r="D2677" s="42" t="n">
        <v>27</v>
      </c>
      <c r="E2677" s="42" t="n">
        <v>1</v>
      </c>
      <c r="F2677" s="42" t="inlineStr">
        <is>
          <t>FR-156</t>
        </is>
      </c>
      <c r="G2677" s="55">
        <f>IFERROR(INDEX('Semrush Data'!$A$1:$Z$20000,MATCH(A2677,'Semrush Data'!$A$1:$A$20000,0),MATCH("Volume",'Semrush Data'!$A$1:$Z$1,0)),"")</f>
        <v/>
      </c>
      <c r="H2677" s="42">
        <f>IFERROR(INDEX('Semrush Data'!$A$1:$Z$20000,MATCH(A2677,'Semrush Data'!$A$1:$A$20000,0),MATCH("Keyword Difficulty*",'Semrush Data'!$A$1:$Z$1,0)),"")</f>
        <v/>
      </c>
      <c r="I2677" s="56">
        <f>IFERROR(INDEX('Semrush Data'!$A$1:$Z$20000,MATCH(A2677,'Semrush Data'!$A$1:$A$20000,0),MATCH("CPC*",'Semrush Data'!$A$1:$Z$1,0)),"")</f>
        <v/>
      </c>
      <c r="J2677" s="42">
        <f>IFERROR(INDEX('Semrush Data'!$A$1:$Z$20000,MATCH(A2677,'Semrush Data'!$A$1:$A$20000,0),MATCH("Intent",'Semrush Data'!$A$1:$Z$1,0)),"")</f>
        <v/>
      </c>
    </row>
    <row r="2678" ht="15" customHeight="1" s="37">
      <c r="A2678" s="42" t="inlineStr">
        <is>
          <t>escada magnetic dream edp 75ml</t>
        </is>
      </c>
      <c r="B2678" s="42" t="inlineStr">
        <is>
          <t>Google suggest</t>
        </is>
      </c>
      <c r="C2678" s="42" t="n">
        <v>3</v>
      </c>
      <c r="D2678" s="42" t="n">
        <v>27</v>
      </c>
      <c r="E2678" s="42" t="n">
        <v>1</v>
      </c>
      <c r="F2678" s="42" t="inlineStr">
        <is>
          <t>FR-157</t>
        </is>
      </c>
      <c r="G2678" s="55">
        <f>IFERROR(INDEX('Semrush Data'!$A$1:$Z$20000,MATCH(A2678,'Semrush Data'!$A$1:$A$20000,0),MATCH("Volume",'Semrush Data'!$A$1:$Z$1,0)),"")</f>
        <v/>
      </c>
      <c r="H2678" s="42">
        <f>IFERROR(INDEX('Semrush Data'!$A$1:$Z$20000,MATCH(A2678,'Semrush Data'!$A$1:$A$20000,0),MATCH("Keyword Difficulty*",'Semrush Data'!$A$1:$Z$1,0)),"")</f>
        <v/>
      </c>
      <c r="I2678" s="56">
        <f>IFERROR(INDEX('Semrush Data'!$A$1:$Z$20000,MATCH(A2678,'Semrush Data'!$A$1:$A$20000,0),MATCH("CPC*",'Semrush Data'!$A$1:$Z$1,0)),"")</f>
        <v/>
      </c>
      <c r="J2678" s="42">
        <f>IFERROR(INDEX('Semrush Data'!$A$1:$Z$20000,MATCH(A2678,'Semrush Data'!$A$1:$A$20000,0),MATCH("Intent",'Semrush Data'!$A$1:$Z$1,0)),"")</f>
        <v/>
      </c>
    </row>
    <row r="2679" ht="15" customHeight="1" s="37">
      <c r="A2679" s="42" t="inlineStr">
        <is>
          <t>escada magnetic dream notes</t>
        </is>
      </c>
      <c r="B2679" s="42" t="inlineStr">
        <is>
          <t>Google suggest</t>
        </is>
      </c>
      <c r="C2679" s="42" t="n">
        <v>3</v>
      </c>
      <c r="D2679" s="42" t="n">
        <v>27</v>
      </c>
      <c r="E2679" s="42" t="n">
        <v>1</v>
      </c>
      <c r="F2679" s="42" t="inlineStr">
        <is>
          <t>FR-157</t>
        </is>
      </c>
      <c r="G2679" s="55">
        <f>IFERROR(INDEX('Semrush Data'!$A$1:$Z$20000,MATCH(A2679,'Semrush Data'!$A$1:$A$20000,0),MATCH("Volume",'Semrush Data'!$A$1:$Z$1,0)),"")</f>
        <v/>
      </c>
      <c r="H2679" s="42">
        <f>IFERROR(INDEX('Semrush Data'!$A$1:$Z$20000,MATCH(A2679,'Semrush Data'!$A$1:$A$20000,0),MATCH("Keyword Difficulty*",'Semrush Data'!$A$1:$Z$1,0)),"")</f>
        <v/>
      </c>
      <c r="I2679" s="56">
        <f>IFERROR(INDEX('Semrush Data'!$A$1:$Z$20000,MATCH(A2679,'Semrush Data'!$A$1:$A$20000,0),MATCH("CPC*",'Semrush Data'!$A$1:$Z$1,0)),"")</f>
        <v/>
      </c>
      <c r="J2679" s="42">
        <f>IFERROR(INDEX('Semrush Data'!$A$1:$Z$20000,MATCH(A2679,'Semrush Data'!$A$1:$A$20000,0),MATCH("Intent",'Semrush Data'!$A$1:$Z$1,0)),"")</f>
        <v/>
      </c>
    </row>
    <row r="2680" ht="15" customHeight="1" s="37">
      <c r="A2680" s="42" t="inlineStr">
        <is>
          <t>escada magnetic dream review</t>
        </is>
      </c>
      <c r="B2680" s="42" t="inlineStr">
        <is>
          <t>Google suggest</t>
        </is>
      </c>
      <c r="C2680" s="42" t="n">
        <v>3</v>
      </c>
      <c r="D2680" s="42" t="n">
        <v>27</v>
      </c>
      <c r="E2680" s="42" t="n">
        <v>1</v>
      </c>
      <c r="F2680" s="42" t="inlineStr">
        <is>
          <t>FR-157</t>
        </is>
      </c>
      <c r="G2680" s="55">
        <f>IFERROR(INDEX('Semrush Data'!$A$1:$Z$20000,MATCH(A2680,'Semrush Data'!$A$1:$A$20000,0),MATCH("Volume",'Semrush Data'!$A$1:$Z$1,0)),"")</f>
        <v/>
      </c>
      <c r="H2680" s="42">
        <f>IFERROR(INDEX('Semrush Data'!$A$1:$Z$20000,MATCH(A2680,'Semrush Data'!$A$1:$A$20000,0),MATCH("Keyword Difficulty*",'Semrush Data'!$A$1:$Z$1,0)),"")</f>
        <v/>
      </c>
      <c r="I2680" s="56">
        <f>IFERROR(INDEX('Semrush Data'!$A$1:$Z$20000,MATCH(A2680,'Semrush Data'!$A$1:$A$20000,0),MATCH("CPC*",'Semrush Data'!$A$1:$Z$1,0)),"")</f>
        <v/>
      </c>
      <c r="J2680" s="42">
        <f>IFERROR(INDEX('Semrush Data'!$A$1:$Z$20000,MATCH(A2680,'Semrush Data'!$A$1:$A$20000,0),MATCH("Intent",'Semrush Data'!$A$1:$Z$1,0)),"")</f>
        <v/>
      </c>
    </row>
    <row r="2681" ht="15" customHeight="1" s="37">
      <c r="A2681" s="42" t="inlineStr">
        <is>
          <t>escada magnetism men</t>
        </is>
      </c>
      <c r="B2681" s="42" t="inlineStr">
        <is>
          <t>Google suggest</t>
        </is>
      </c>
      <c r="C2681" s="42" t="n">
        <v>3</v>
      </c>
      <c r="D2681" s="42" t="n">
        <v>27</v>
      </c>
      <c r="E2681" s="42" t="n">
        <v>1</v>
      </c>
      <c r="F2681" s="42" t="inlineStr">
        <is>
          <t>FR-158</t>
        </is>
      </c>
      <c r="G2681" s="55">
        <f>IFERROR(INDEX('Semrush Data'!$A$1:$Z$20000,MATCH(A2681,'Semrush Data'!$A$1:$A$20000,0),MATCH("Volume",'Semrush Data'!$A$1:$Z$1,0)),"")</f>
        <v/>
      </c>
      <c r="H2681" s="42">
        <f>IFERROR(INDEX('Semrush Data'!$A$1:$Z$20000,MATCH(A2681,'Semrush Data'!$A$1:$A$20000,0),MATCH("Keyword Difficulty*",'Semrush Data'!$A$1:$Z$1,0)),"")</f>
        <v/>
      </c>
      <c r="I2681" s="56">
        <f>IFERROR(INDEX('Semrush Data'!$A$1:$Z$20000,MATCH(A2681,'Semrush Data'!$A$1:$A$20000,0),MATCH("CPC*",'Semrush Data'!$A$1:$Z$1,0)),"")</f>
        <v/>
      </c>
      <c r="J2681" s="42">
        <f>IFERROR(INDEX('Semrush Data'!$A$1:$Z$20000,MATCH(A2681,'Semrush Data'!$A$1:$A$20000,0),MATCH("Intent",'Semrush Data'!$A$1:$Z$1,0)),"")</f>
        <v/>
      </c>
    </row>
    <row r="2682" ht="15" customHeight="1" s="37">
      <c r="A2682" s="42" t="inlineStr">
        <is>
          <t>escada magnetism notes</t>
        </is>
      </c>
      <c r="B2682" s="42" t="inlineStr">
        <is>
          <t>Google suggest</t>
        </is>
      </c>
      <c r="C2682" s="42" t="n">
        <v>3</v>
      </c>
      <c r="D2682" s="42" t="inlineStr">
        <is>
          <t>T3-2</t>
        </is>
      </c>
      <c r="E2682" s="42" t="n">
        <v>1</v>
      </c>
      <c r="F2682" s="42" t="inlineStr">
        <is>
          <t>FR-158</t>
        </is>
      </c>
      <c r="G2682" s="55">
        <f>IFERROR(INDEX('Semrush Data'!$A$1:$Z$20000,MATCH(A2682,'Semrush Data'!$A$1:$A$20000,0),MATCH("Volume",'Semrush Data'!$A$1:$Z$1,0)),"")</f>
        <v/>
      </c>
      <c r="H2682" s="42">
        <f>IFERROR(INDEX('Semrush Data'!$A$1:$Z$20000,MATCH(A2682,'Semrush Data'!$A$1:$A$20000,0),MATCH("Keyword Difficulty*",'Semrush Data'!$A$1:$Z$1,0)),"")</f>
        <v/>
      </c>
      <c r="I2682" s="56">
        <f>IFERROR(INDEX('Semrush Data'!$A$1:$Z$20000,MATCH(A2682,'Semrush Data'!$A$1:$A$20000,0),MATCH("CPC*",'Semrush Data'!$A$1:$Z$1,0)),"")</f>
        <v/>
      </c>
      <c r="J2682" s="42">
        <f>IFERROR(INDEX('Semrush Data'!$A$1:$Z$20000,MATCH(A2682,'Semrush Data'!$A$1:$A$20000,0),MATCH("Intent",'Semrush Data'!$A$1:$Z$1,0)),"")</f>
        <v/>
      </c>
    </row>
    <row r="2683" ht="15" customHeight="1" s="37">
      <c r="A2683" s="42" t="inlineStr">
        <is>
          <t>escada magnetism perfume</t>
        </is>
      </c>
      <c r="B2683" s="42" t="inlineStr">
        <is>
          <t>Google suggest</t>
        </is>
      </c>
      <c r="C2683" s="42" t="n">
        <v>3</v>
      </c>
      <c r="D2683" s="42" t="n">
        <v>27</v>
      </c>
      <c r="E2683" s="42" t="n">
        <v>1</v>
      </c>
      <c r="F2683" s="42" t="inlineStr">
        <is>
          <t>FR-158</t>
        </is>
      </c>
      <c r="G2683" s="55">
        <f>IFERROR(INDEX('Semrush Data'!$A$1:$Z$20000,MATCH(A2683,'Semrush Data'!$A$1:$A$20000,0),MATCH("Volume",'Semrush Data'!$A$1:$Z$1,0)),"")</f>
        <v/>
      </c>
      <c r="H2683" s="42">
        <f>IFERROR(INDEX('Semrush Data'!$A$1:$Z$20000,MATCH(A2683,'Semrush Data'!$A$1:$A$20000,0),MATCH("Keyword Difficulty*",'Semrush Data'!$A$1:$Z$1,0)),"")</f>
        <v/>
      </c>
      <c r="I2683" s="56">
        <f>IFERROR(INDEX('Semrush Data'!$A$1:$Z$20000,MATCH(A2683,'Semrush Data'!$A$1:$A$20000,0),MATCH("CPC*",'Semrush Data'!$A$1:$Z$1,0)),"")</f>
        <v/>
      </c>
      <c r="J2683" s="42">
        <f>IFERROR(INDEX('Semrush Data'!$A$1:$Z$20000,MATCH(A2683,'Semrush Data'!$A$1:$A$20000,0),MATCH("Intent",'Semrush Data'!$A$1:$Z$1,0)),"")</f>
        <v/>
      </c>
    </row>
    <row r="2684" ht="15" customHeight="1" s="37">
      <c r="A2684" s="42" t="inlineStr">
        <is>
          <t>escada magnetism review</t>
        </is>
      </c>
      <c r="B2684" s="42" t="inlineStr">
        <is>
          <t>Google suggest</t>
        </is>
      </c>
      <c r="C2684" s="42" t="n">
        <v>3</v>
      </c>
      <c r="D2684" s="42" t="inlineStr">
        <is>
          <t>T3-2</t>
        </is>
      </c>
      <c r="E2684" s="42" t="n">
        <v>1</v>
      </c>
      <c r="F2684" s="42" t="inlineStr">
        <is>
          <t>FR-158</t>
        </is>
      </c>
      <c r="G2684" s="55">
        <f>IFERROR(INDEX('Semrush Data'!$A$1:$Z$20000,MATCH(A2684,'Semrush Data'!$A$1:$A$20000,0),MATCH("Volume",'Semrush Data'!$A$1:$Z$1,0)),"")</f>
        <v/>
      </c>
      <c r="H2684" s="42">
        <f>IFERROR(INDEX('Semrush Data'!$A$1:$Z$20000,MATCH(A2684,'Semrush Data'!$A$1:$A$20000,0),MATCH("Keyword Difficulty*",'Semrush Data'!$A$1:$Z$1,0)),"")</f>
        <v/>
      </c>
      <c r="I2684" s="56">
        <f>IFERROR(INDEX('Semrush Data'!$A$1:$Z$20000,MATCH(A2684,'Semrush Data'!$A$1:$A$20000,0),MATCH("CPC*",'Semrush Data'!$A$1:$Z$1,0)),"")</f>
        <v/>
      </c>
      <c r="J2684" s="42">
        <f>IFERROR(INDEX('Semrush Data'!$A$1:$Z$20000,MATCH(A2684,'Semrush Data'!$A$1:$A$20000,0),MATCH("Intent",'Semrush Data'!$A$1:$Z$1,0)),"")</f>
        <v/>
      </c>
    </row>
    <row r="2685" ht="15" customHeight="1" s="37">
      <c r="A2685" s="42" t="inlineStr">
        <is>
          <t>escada magnetism women</t>
        </is>
      </c>
      <c r="B2685" s="42" t="inlineStr">
        <is>
          <t>Google suggest</t>
        </is>
      </c>
      <c r="C2685" s="42" t="n">
        <v>3</v>
      </c>
      <c r="D2685" s="42" t="n">
        <v>27</v>
      </c>
      <c r="E2685" s="42" t="n">
        <v>1</v>
      </c>
      <c r="F2685" s="42" t="inlineStr">
        <is>
          <t>FR-158</t>
        </is>
      </c>
      <c r="G2685" s="55">
        <f>IFERROR(INDEX('Semrush Data'!$A$1:$Z$20000,MATCH(A2685,'Semrush Data'!$A$1:$A$20000,0),MATCH("Volume",'Semrush Data'!$A$1:$Z$1,0)),"")</f>
        <v/>
      </c>
      <c r="H2685" s="42">
        <f>IFERROR(INDEX('Semrush Data'!$A$1:$Z$20000,MATCH(A2685,'Semrush Data'!$A$1:$A$20000,0),MATCH("Keyword Difficulty*",'Semrush Data'!$A$1:$Z$1,0)),"")</f>
        <v/>
      </c>
      <c r="I2685" s="56">
        <f>IFERROR(INDEX('Semrush Data'!$A$1:$Z$20000,MATCH(A2685,'Semrush Data'!$A$1:$A$20000,0),MATCH("CPC*",'Semrush Data'!$A$1:$Z$1,0)),"")</f>
        <v/>
      </c>
      <c r="J2685" s="42">
        <f>IFERROR(INDEX('Semrush Data'!$A$1:$Z$20000,MATCH(A2685,'Semrush Data'!$A$1:$A$20000,0),MATCH("Intent",'Semrush Data'!$A$1:$Z$1,0)),"")</f>
        <v/>
      </c>
    </row>
    <row r="2686" ht="15" customHeight="1" s="37">
      <c r="A2686" s="42" t="inlineStr">
        <is>
          <t>escada party love 100ml</t>
        </is>
      </c>
      <c r="B2686" s="42" t="inlineStr">
        <is>
          <t>Google suggest</t>
        </is>
      </c>
      <c r="C2686" s="42" t="n">
        <v>3</v>
      </c>
      <c r="D2686" s="42" t="n">
        <v>27</v>
      </c>
      <c r="E2686" s="42" t="n">
        <v>1</v>
      </c>
      <c r="F2686" s="42" t="inlineStr">
        <is>
          <t>FR-159</t>
        </is>
      </c>
      <c r="G2686" s="55">
        <f>IFERROR(INDEX('Semrush Data'!$A$1:$Z$20000,MATCH(A2686,'Semrush Data'!$A$1:$A$20000,0),MATCH("Volume",'Semrush Data'!$A$1:$Z$1,0)),"")</f>
        <v/>
      </c>
      <c r="H2686" s="42">
        <f>IFERROR(INDEX('Semrush Data'!$A$1:$Z$20000,MATCH(A2686,'Semrush Data'!$A$1:$A$20000,0),MATCH("Keyword Difficulty*",'Semrush Data'!$A$1:$Z$1,0)),"")</f>
        <v/>
      </c>
      <c r="I2686" s="56">
        <f>IFERROR(INDEX('Semrush Data'!$A$1:$Z$20000,MATCH(A2686,'Semrush Data'!$A$1:$A$20000,0),MATCH("CPC*",'Semrush Data'!$A$1:$Z$1,0)),"")</f>
        <v/>
      </c>
      <c r="J2686" s="42">
        <f>IFERROR(INDEX('Semrush Data'!$A$1:$Z$20000,MATCH(A2686,'Semrush Data'!$A$1:$A$20000,0),MATCH("Intent",'Semrush Data'!$A$1:$Z$1,0)),"")</f>
        <v/>
      </c>
    </row>
    <row r="2687" ht="15" customHeight="1" s="37">
      <c r="A2687" s="42" t="inlineStr">
        <is>
          <t>escada party love notes</t>
        </is>
      </c>
      <c r="B2687" s="42" t="inlineStr">
        <is>
          <t>Google suggest</t>
        </is>
      </c>
      <c r="C2687" s="42" t="n">
        <v>3</v>
      </c>
      <c r="D2687" s="42" t="n">
        <v>27</v>
      </c>
      <c r="E2687" s="42" t="n">
        <v>1</v>
      </c>
      <c r="F2687" s="42" t="inlineStr">
        <is>
          <t>FR-159</t>
        </is>
      </c>
      <c r="G2687" s="55">
        <f>IFERROR(INDEX('Semrush Data'!$A$1:$Z$20000,MATCH(A2687,'Semrush Data'!$A$1:$A$20000,0),MATCH("Volume",'Semrush Data'!$A$1:$Z$1,0)),"")</f>
        <v/>
      </c>
      <c r="H2687" s="42">
        <f>IFERROR(INDEX('Semrush Data'!$A$1:$Z$20000,MATCH(A2687,'Semrush Data'!$A$1:$A$20000,0),MATCH("Keyword Difficulty*",'Semrush Data'!$A$1:$Z$1,0)),"")</f>
        <v/>
      </c>
      <c r="I2687" s="56">
        <f>IFERROR(INDEX('Semrush Data'!$A$1:$Z$20000,MATCH(A2687,'Semrush Data'!$A$1:$A$20000,0),MATCH("CPC*",'Semrush Data'!$A$1:$Z$1,0)),"")</f>
        <v/>
      </c>
      <c r="J2687" s="42">
        <f>IFERROR(INDEX('Semrush Data'!$A$1:$Z$20000,MATCH(A2687,'Semrush Data'!$A$1:$A$20000,0),MATCH("Intent",'Semrush Data'!$A$1:$Z$1,0)),"")</f>
        <v/>
      </c>
    </row>
    <row r="2688" ht="15" customHeight="1" s="37">
      <c r="A2688" s="42" t="inlineStr">
        <is>
          <t>escada party love perfume</t>
        </is>
      </c>
      <c r="B2688" s="42" t="inlineStr">
        <is>
          <t>Google suggest</t>
        </is>
      </c>
      <c r="C2688" s="42" t="n">
        <v>3</v>
      </c>
      <c r="D2688" s="42" t="n">
        <v>27</v>
      </c>
      <c r="E2688" s="42" t="n">
        <v>1</v>
      </c>
      <c r="F2688" s="42" t="inlineStr">
        <is>
          <t>FR-159</t>
        </is>
      </c>
      <c r="G2688" s="55">
        <f>IFERROR(INDEX('Semrush Data'!$A$1:$Z$20000,MATCH(A2688,'Semrush Data'!$A$1:$A$20000,0),MATCH("Volume",'Semrush Data'!$A$1:$Z$1,0)),"")</f>
        <v/>
      </c>
      <c r="H2688" s="42">
        <f>IFERROR(INDEX('Semrush Data'!$A$1:$Z$20000,MATCH(A2688,'Semrush Data'!$A$1:$A$20000,0),MATCH("Keyword Difficulty*",'Semrush Data'!$A$1:$Z$1,0)),"")</f>
        <v/>
      </c>
      <c r="I2688" s="56">
        <f>IFERROR(INDEX('Semrush Data'!$A$1:$Z$20000,MATCH(A2688,'Semrush Data'!$A$1:$A$20000,0),MATCH("CPC*",'Semrush Data'!$A$1:$Z$1,0)),"")</f>
        <v/>
      </c>
      <c r="J2688" s="42">
        <f>IFERROR(INDEX('Semrush Data'!$A$1:$Z$20000,MATCH(A2688,'Semrush Data'!$A$1:$A$20000,0),MATCH("Intent",'Semrush Data'!$A$1:$Z$1,0)),"")</f>
        <v/>
      </c>
    </row>
    <row r="2689" ht="15" customHeight="1" s="37">
      <c r="A2689" s="42" t="inlineStr">
        <is>
          <t>escada party love perfume notes</t>
        </is>
      </c>
      <c r="B2689" s="42" t="inlineStr">
        <is>
          <t>Google suggest</t>
        </is>
      </c>
      <c r="C2689" s="42" t="n">
        <v>3</v>
      </c>
      <c r="D2689" s="42" t="n">
        <v>27</v>
      </c>
      <c r="E2689" s="42" t="n">
        <v>1</v>
      </c>
      <c r="F2689" s="42" t="inlineStr">
        <is>
          <t>FR-159</t>
        </is>
      </c>
      <c r="G2689" s="55">
        <f>IFERROR(INDEX('Semrush Data'!$A$1:$Z$20000,MATCH(A2689,'Semrush Data'!$A$1:$A$20000,0),MATCH("Volume",'Semrush Data'!$A$1:$Z$1,0)),"")</f>
        <v/>
      </c>
      <c r="H2689" s="42">
        <f>IFERROR(INDEX('Semrush Data'!$A$1:$Z$20000,MATCH(A2689,'Semrush Data'!$A$1:$A$20000,0),MATCH("Keyword Difficulty*",'Semrush Data'!$A$1:$Z$1,0)),"")</f>
        <v/>
      </c>
      <c r="I2689" s="56">
        <f>IFERROR(INDEX('Semrush Data'!$A$1:$Z$20000,MATCH(A2689,'Semrush Data'!$A$1:$A$20000,0),MATCH("CPC*",'Semrush Data'!$A$1:$Z$1,0)),"")</f>
        <v/>
      </c>
      <c r="J2689" s="42">
        <f>IFERROR(INDEX('Semrush Data'!$A$1:$Z$20000,MATCH(A2689,'Semrush Data'!$A$1:$A$20000,0),MATCH("Intent",'Semrush Data'!$A$1:$Z$1,0)),"")</f>
        <v/>
      </c>
    </row>
    <row r="2690" ht="15" customHeight="1" s="37">
      <c r="A2690" s="42" t="inlineStr">
        <is>
          <t>escada party love review</t>
        </is>
      </c>
      <c r="B2690" s="42" t="inlineStr">
        <is>
          <t>Google suggest</t>
        </is>
      </c>
      <c r="C2690" s="42" t="n">
        <v>3</v>
      </c>
      <c r="D2690" s="42" t="n">
        <v>27</v>
      </c>
      <c r="E2690" s="42" t="n">
        <v>1</v>
      </c>
      <c r="F2690" s="42" t="inlineStr">
        <is>
          <t>FR-159</t>
        </is>
      </c>
      <c r="G2690" s="55">
        <f>IFERROR(INDEX('Semrush Data'!$A$1:$Z$20000,MATCH(A2690,'Semrush Data'!$A$1:$A$20000,0),MATCH("Volume",'Semrush Data'!$A$1:$Z$1,0)),"")</f>
        <v/>
      </c>
      <c r="H2690" s="42">
        <f>IFERROR(INDEX('Semrush Data'!$A$1:$Z$20000,MATCH(A2690,'Semrush Data'!$A$1:$A$20000,0),MATCH("Keyword Difficulty*",'Semrush Data'!$A$1:$Z$1,0)),"")</f>
        <v/>
      </c>
      <c r="I2690" s="56">
        <f>IFERROR(INDEX('Semrush Data'!$A$1:$Z$20000,MATCH(A2690,'Semrush Data'!$A$1:$A$20000,0),MATCH("CPC*",'Semrush Data'!$A$1:$Z$1,0)),"")</f>
        <v/>
      </c>
      <c r="J2690" s="42">
        <f>IFERROR(INDEX('Semrush Data'!$A$1:$Z$20000,MATCH(A2690,'Semrush Data'!$A$1:$A$20000,0),MATCH("Intent",'Semrush Data'!$A$1:$Z$1,0)),"")</f>
        <v/>
      </c>
    </row>
    <row r="2691" ht="15" customHeight="1" s="37">
      <c r="A2691" s="42" t="inlineStr">
        <is>
          <t>estee lauder spellbound dupe</t>
        </is>
      </c>
      <c r="B2691" s="42" t="inlineStr">
        <is>
          <t>Google suggest</t>
        </is>
      </c>
      <c r="C2691" s="42" t="n">
        <v>3</v>
      </c>
      <c r="D2691" s="42" t="n">
        <v>27</v>
      </c>
      <c r="E2691" s="42" t="n">
        <v>1</v>
      </c>
      <c r="F2691" s="42" t="inlineStr">
        <is>
          <t>FR-160</t>
        </is>
      </c>
      <c r="G2691" s="55">
        <f>IFERROR(INDEX('Semrush Data'!$A$1:$Z$20000,MATCH(A2691,'Semrush Data'!$A$1:$A$20000,0),MATCH("Volume",'Semrush Data'!$A$1:$Z$1,0)),"")</f>
        <v/>
      </c>
      <c r="H2691" s="42">
        <f>IFERROR(INDEX('Semrush Data'!$A$1:$Z$20000,MATCH(A2691,'Semrush Data'!$A$1:$A$20000,0),MATCH("Keyword Difficulty*",'Semrush Data'!$A$1:$Z$1,0)),"")</f>
        <v/>
      </c>
      <c r="I2691" s="56">
        <f>IFERROR(INDEX('Semrush Data'!$A$1:$Z$20000,MATCH(A2691,'Semrush Data'!$A$1:$A$20000,0),MATCH("CPC*",'Semrush Data'!$A$1:$Z$1,0)),"")</f>
        <v/>
      </c>
      <c r="J2691" s="42">
        <f>IFERROR(INDEX('Semrush Data'!$A$1:$Z$20000,MATCH(A2691,'Semrush Data'!$A$1:$A$20000,0),MATCH("Intent",'Semrush Data'!$A$1:$Z$1,0)),"")</f>
        <v/>
      </c>
    </row>
    <row r="2692" ht="15" customHeight="1" s="37">
      <c r="A2692" s="42" t="inlineStr">
        <is>
          <t>estee lauder spellbound edp</t>
        </is>
      </c>
      <c r="B2692" s="42" t="inlineStr">
        <is>
          <t>Google suggest</t>
        </is>
      </c>
      <c r="C2692" s="42" t="n">
        <v>3</v>
      </c>
      <c r="D2692" s="42" t="n">
        <v>27</v>
      </c>
      <c r="E2692" s="42" t="n">
        <v>1</v>
      </c>
      <c r="F2692" s="42" t="inlineStr">
        <is>
          <t>FR-160</t>
        </is>
      </c>
      <c r="G2692" s="55">
        <f>IFERROR(INDEX('Semrush Data'!$A$1:$Z$20000,MATCH(A2692,'Semrush Data'!$A$1:$A$20000,0),MATCH("Volume",'Semrush Data'!$A$1:$Z$1,0)),"")</f>
        <v/>
      </c>
      <c r="H2692" s="42">
        <f>IFERROR(INDEX('Semrush Data'!$A$1:$Z$20000,MATCH(A2692,'Semrush Data'!$A$1:$A$20000,0),MATCH("Keyword Difficulty*",'Semrush Data'!$A$1:$Z$1,0)),"")</f>
        <v/>
      </c>
      <c r="I2692" s="56">
        <f>IFERROR(INDEX('Semrush Data'!$A$1:$Z$20000,MATCH(A2692,'Semrush Data'!$A$1:$A$20000,0),MATCH("CPC*",'Semrush Data'!$A$1:$Z$1,0)),"")</f>
        <v/>
      </c>
      <c r="J2692" s="42">
        <f>IFERROR(INDEX('Semrush Data'!$A$1:$Z$20000,MATCH(A2692,'Semrush Data'!$A$1:$A$20000,0),MATCH("Intent",'Semrush Data'!$A$1:$Z$1,0)),"")</f>
        <v/>
      </c>
    </row>
    <row r="2693" ht="15" customHeight="1" s="37">
      <c r="A2693" s="42" t="inlineStr">
        <is>
          <t>estee lauder spellbound notes</t>
        </is>
      </c>
      <c r="B2693" s="42" t="inlineStr">
        <is>
          <t>Google suggest</t>
        </is>
      </c>
      <c r="C2693" s="42" t="n">
        <v>3</v>
      </c>
      <c r="D2693" s="42" t="n">
        <v>27</v>
      </c>
      <c r="E2693" s="42" t="n">
        <v>1</v>
      </c>
      <c r="F2693" s="42" t="inlineStr">
        <is>
          <t>FR-160</t>
        </is>
      </c>
      <c r="G2693" s="55">
        <f>IFERROR(INDEX('Semrush Data'!$A$1:$Z$20000,MATCH(A2693,'Semrush Data'!$A$1:$A$20000,0),MATCH("Volume",'Semrush Data'!$A$1:$Z$1,0)),"")</f>
        <v/>
      </c>
      <c r="H2693" s="42">
        <f>IFERROR(INDEX('Semrush Data'!$A$1:$Z$20000,MATCH(A2693,'Semrush Data'!$A$1:$A$20000,0),MATCH("Keyword Difficulty*",'Semrush Data'!$A$1:$Z$1,0)),"")</f>
        <v/>
      </c>
      <c r="I2693" s="56">
        <f>IFERROR(INDEX('Semrush Data'!$A$1:$Z$20000,MATCH(A2693,'Semrush Data'!$A$1:$A$20000,0),MATCH("CPC*",'Semrush Data'!$A$1:$Z$1,0)),"")</f>
        <v/>
      </c>
      <c r="J2693" s="42">
        <f>IFERROR(INDEX('Semrush Data'!$A$1:$Z$20000,MATCH(A2693,'Semrush Data'!$A$1:$A$20000,0),MATCH("Intent",'Semrush Data'!$A$1:$Z$1,0)),"")</f>
        <v/>
      </c>
    </row>
    <row r="2694" ht="15" customHeight="1" s="37">
      <c r="A2694" s="42" t="inlineStr">
        <is>
          <t>estee lauder spellbound original</t>
        </is>
      </c>
      <c r="B2694" s="42" t="inlineStr">
        <is>
          <t>Google suggest</t>
        </is>
      </c>
      <c r="C2694" s="42" t="n">
        <v>3</v>
      </c>
      <c r="D2694" s="42" t="n">
        <v>27</v>
      </c>
      <c r="E2694" s="42" t="n">
        <v>1</v>
      </c>
      <c r="F2694" s="42" t="inlineStr">
        <is>
          <t>FR-160</t>
        </is>
      </c>
      <c r="G2694" s="55">
        <f>IFERROR(INDEX('Semrush Data'!$A$1:$Z$20000,MATCH(A2694,'Semrush Data'!$A$1:$A$20000,0),MATCH("Volume",'Semrush Data'!$A$1:$Z$1,0)),"")</f>
        <v/>
      </c>
      <c r="H2694" s="42">
        <f>IFERROR(INDEX('Semrush Data'!$A$1:$Z$20000,MATCH(A2694,'Semrush Data'!$A$1:$A$20000,0),MATCH("Keyword Difficulty*",'Semrush Data'!$A$1:$Z$1,0)),"")</f>
        <v/>
      </c>
      <c r="I2694" s="56">
        <f>IFERROR(INDEX('Semrush Data'!$A$1:$Z$20000,MATCH(A2694,'Semrush Data'!$A$1:$A$20000,0),MATCH("CPC*",'Semrush Data'!$A$1:$Z$1,0)),"")</f>
        <v/>
      </c>
      <c r="J2694" s="42">
        <f>IFERROR(INDEX('Semrush Data'!$A$1:$Z$20000,MATCH(A2694,'Semrush Data'!$A$1:$A$20000,0),MATCH("Intent",'Semrush Data'!$A$1:$Z$1,0)),"")</f>
        <v/>
      </c>
    </row>
    <row r="2695" ht="15" customHeight="1" s="37">
      <c r="A2695" s="42" t="inlineStr">
        <is>
          <t>estee lauder spellbound perfume</t>
        </is>
      </c>
      <c r="B2695" s="42" t="inlineStr">
        <is>
          <t>Google suggest</t>
        </is>
      </c>
      <c r="C2695" s="42" t="n">
        <v>3</v>
      </c>
      <c r="D2695" s="42" t="n">
        <v>27</v>
      </c>
      <c r="E2695" s="42" t="n">
        <v>1</v>
      </c>
      <c r="F2695" s="42" t="inlineStr">
        <is>
          <t>FR-160</t>
        </is>
      </c>
      <c r="G2695" s="55">
        <f>IFERROR(INDEX('Semrush Data'!$A$1:$Z$20000,MATCH(A2695,'Semrush Data'!$A$1:$A$20000,0),MATCH("Volume",'Semrush Data'!$A$1:$Z$1,0)),"")</f>
        <v/>
      </c>
      <c r="H2695" s="42">
        <f>IFERROR(INDEX('Semrush Data'!$A$1:$Z$20000,MATCH(A2695,'Semrush Data'!$A$1:$A$20000,0),MATCH("Keyword Difficulty*",'Semrush Data'!$A$1:$Z$1,0)),"")</f>
        <v/>
      </c>
      <c r="I2695" s="56">
        <f>IFERROR(INDEX('Semrush Data'!$A$1:$Z$20000,MATCH(A2695,'Semrush Data'!$A$1:$A$20000,0),MATCH("CPC*",'Semrush Data'!$A$1:$Z$1,0)),"")</f>
        <v/>
      </c>
      <c r="J2695" s="42">
        <f>IFERROR(INDEX('Semrush Data'!$A$1:$Z$20000,MATCH(A2695,'Semrush Data'!$A$1:$A$20000,0),MATCH("Intent",'Semrush Data'!$A$1:$Z$1,0)),"")</f>
        <v/>
      </c>
    </row>
    <row r="2696" ht="15" customHeight="1" s="37">
      <c r="A2696" s="42" t="inlineStr">
        <is>
          <t>estee lauder spellbound review</t>
        </is>
      </c>
      <c r="B2696" s="42" t="inlineStr">
        <is>
          <t>Google suggest</t>
        </is>
      </c>
      <c r="C2696" s="42" t="n">
        <v>3</v>
      </c>
      <c r="D2696" s="42" t="n">
        <v>27</v>
      </c>
      <c r="E2696" s="42" t="n">
        <v>1</v>
      </c>
      <c r="F2696" s="42" t="inlineStr">
        <is>
          <t>FR-160</t>
        </is>
      </c>
      <c r="G2696" s="55">
        <f>IFERROR(INDEX('Semrush Data'!$A$1:$Z$20000,MATCH(A2696,'Semrush Data'!$A$1:$A$20000,0),MATCH("Volume",'Semrush Data'!$A$1:$Z$1,0)),"")</f>
        <v/>
      </c>
      <c r="H2696" s="42">
        <f>IFERROR(INDEX('Semrush Data'!$A$1:$Z$20000,MATCH(A2696,'Semrush Data'!$A$1:$A$20000,0),MATCH("Keyword Difficulty*",'Semrush Data'!$A$1:$Z$1,0)),"")</f>
        <v/>
      </c>
      <c r="I2696" s="56">
        <f>IFERROR(INDEX('Semrush Data'!$A$1:$Z$20000,MATCH(A2696,'Semrush Data'!$A$1:$A$20000,0),MATCH("CPC*",'Semrush Data'!$A$1:$Z$1,0)),"")</f>
        <v/>
      </c>
      <c r="J2696" s="42">
        <f>IFERROR(INDEX('Semrush Data'!$A$1:$Z$20000,MATCH(A2696,'Semrush Data'!$A$1:$A$20000,0),MATCH("Intent",'Semrush Data'!$A$1:$Z$1,0)),"")</f>
        <v/>
      </c>
    </row>
    <row r="2697" ht="15" customHeight="1" s="37">
      <c r="A2697" s="42" t="inlineStr">
        <is>
          <t>etienne aigner no 1 intense</t>
        </is>
      </c>
      <c r="B2697" s="42" t="inlineStr">
        <is>
          <t>Google suggest</t>
        </is>
      </c>
      <c r="C2697" s="42" t="n">
        <v>3</v>
      </c>
      <c r="D2697" s="42" t="n">
        <v>27</v>
      </c>
      <c r="E2697" s="42" t="n">
        <v>1</v>
      </c>
      <c r="F2697" s="42" t="inlineStr">
        <is>
          <t>FR-162</t>
        </is>
      </c>
      <c r="G2697" s="55">
        <f>IFERROR(INDEX('Semrush Data'!$A$1:$Z$20000,MATCH(A2697,'Semrush Data'!$A$1:$A$20000,0),MATCH("Volume",'Semrush Data'!$A$1:$Z$1,0)),"")</f>
        <v/>
      </c>
      <c r="H2697" s="42">
        <f>IFERROR(INDEX('Semrush Data'!$A$1:$Z$20000,MATCH(A2697,'Semrush Data'!$A$1:$A$20000,0),MATCH("Keyword Difficulty*",'Semrush Data'!$A$1:$Z$1,0)),"")</f>
        <v/>
      </c>
      <c r="I2697" s="56">
        <f>IFERROR(INDEX('Semrush Data'!$A$1:$Z$20000,MATCH(A2697,'Semrush Data'!$A$1:$A$20000,0),MATCH("CPC*",'Semrush Data'!$A$1:$Z$1,0)),"")</f>
        <v/>
      </c>
      <c r="J2697" s="42">
        <f>IFERROR(INDEX('Semrush Data'!$A$1:$Z$20000,MATCH(A2697,'Semrush Data'!$A$1:$A$20000,0),MATCH("Intent",'Semrush Data'!$A$1:$Z$1,0)),"")</f>
        <v/>
      </c>
    </row>
    <row r="2698" ht="15" customHeight="1" s="37">
      <c r="A2698" s="42" t="inlineStr">
        <is>
          <t>first class explorer etienne aigner for men</t>
        </is>
      </c>
      <c r="B2698" s="42" t="inlineStr">
        <is>
          <t>Google suggest</t>
        </is>
      </c>
      <c r="C2698" s="42" t="n">
        <v>3</v>
      </c>
      <c r="D2698" s="42" t="n">
        <v>27</v>
      </c>
      <c r="E2698" s="42" t="n">
        <v>1</v>
      </c>
      <c r="F2698" s="42" t="inlineStr">
        <is>
          <t>FR-161</t>
        </is>
      </c>
      <c r="G2698" s="55">
        <f>IFERROR(INDEX('Semrush Data'!$A$1:$Z$20000,MATCH(A2698,'Semrush Data'!$A$1:$A$20000,0),MATCH("Volume",'Semrush Data'!$A$1:$Z$1,0)),"")</f>
        <v/>
      </c>
      <c r="H2698" s="42">
        <f>IFERROR(INDEX('Semrush Data'!$A$1:$Z$20000,MATCH(A2698,'Semrush Data'!$A$1:$A$20000,0),MATCH("Keyword Difficulty*",'Semrush Data'!$A$1:$Z$1,0)),"")</f>
        <v/>
      </c>
      <c r="I2698" s="56">
        <f>IFERROR(INDEX('Semrush Data'!$A$1:$Z$20000,MATCH(A2698,'Semrush Data'!$A$1:$A$20000,0),MATCH("CPC*",'Semrush Data'!$A$1:$Z$1,0)),"")</f>
        <v/>
      </c>
      <c r="J2698" s="42">
        <f>IFERROR(INDEX('Semrush Data'!$A$1:$Z$20000,MATCH(A2698,'Semrush Data'!$A$1:$A$20000,0),MATCH("Intent",'Semrush Data'!$A$1:$Z$1,0)),"")</f>
        <v/>
      </c>
    </row>
    <row r="2699" ht="15" customHeight="1" s="37">
      <c r="A2699" s="42" t="inlineStr">
        <is>
          <t>fumeri 540 perfume</t>
        </is>
      </c>
      <c r="B2699" s="42" t="inlineStr">
        <is>
          <t>Google suggest</t>
        </is>
      </c>
      <c r="C2699" s="42" t="n">
        <v>3</v>
      </c>
      <c r="D2699" s="42" t="n">
        <v>27</v>
      </c>
      <c r="E2699" s="42" t="n">
        <v>1</v>
      </c>
      <c r="F2699" s="42" t="inlineStr">
        <is>
          <t>FR-163</t>
        </is>
      </c>
      <c r="G2699" s="55">
        <f>IFERROR(INDEX('Semrush Data'!$A$1:$Z$20000,MATCH(A2699,'Semrush Data'!$A$1:$A$20000,0),MATCH("Volume",'Semrush Data'!$A$1:$Z$1,0)),"")</f>
        <v/>
      </c>
      <c r="H2699" s="42">
        <f>IFERROR(INDEX('Semrush Data'!$A$1:$Z$20000,MATCH(A2699,'Semrush Data'!$A$1:$A$20000,0),MATCH("Keyword Difficulty*",'Semrush Data'!$A$1:$Z$1,0)),"")</f>
        <v/>
      </c>
      <c r="I2699" s="56">
        <f>IFERROR(INDEX('Semrush Data'!$A$1:$Z$20000,MATCH(A2699,'Semrush Data'!$A$1:$A$20000,0),MATCH("CPC*",'Semrush Data'!$A$1:$Z$1,0)),"")</f>
        <v/>
      </c>
      <c r="J2699" s="42">
        <f>IFERROR(INDEX('Semrush Data'!$A$1:$Z$20000,MATCH(A2699,'Semrush Data'!$A$1:$A$20000,0),MATCH("Intent",'Semrush Data'!$A$1:$Z$1,0)),"")</f>
        <v/>
      </c>
    </row>
    <row r="2700" ht="15" customHeight="1" s="37">
      <c r="A2700" s="42" t="inlineStr">
        <is>
          <t>fumeri adore perfume</t>
        </is>
      </c>
      <c r="B2700" s="42" t="inlineStr">
        <is>
          <t>Google suggest</t>
        </is>
      </c>
      <c r="C2700" s="42" t="n">
        <v>3</v>
      </c>
      <c r="D2700" s="42" t="n">
        <v>27</v>
      </c>
      <c r="E2700" s="42" t="n">
        <v>1</v>
      </c>
      <c r="F2700" s="42" t="inlineStr">
        <is>
          <t>FR-164</t>
        </is>
      </c>
      <c r="G2700" s="55">
        <f>IFERROR(INDEX('Semrush Data'!$A$1:$Z$20000,MATCH(A2700,'Semrush Data'!$A$1:$A$20000,0),MATCH("Volume",'Semrush Data'!$A$1:$Z$1,0)),"")</f>
        <v/>
      </c>
      <c r="H2700" s="42">
        <f>IFERROR(INDEX('Semrush Data'!$A$1:$Z$20000,MATCH(A2700,'Semrush Data'!$A$1:$A$20000,0),MATCH("Keyword Difficulty*",'Semrush Data'!$A$1:$Z$1,0)),"")</f>
        <v/>
      </c>
      <c r="I2700" s="56">
        <f>IFERROR(INDEX('Semrush Data'!$A$1:$Z$20000,MATCH(A2700,'Semrush Data'!$A$1:$A$20000,0),MATCH("CPC*",'Semrush Data'!$A$1:$Z$1,0)),"")</f>
        <v/>
      </c>
      <c r="J2700" s="42">
        <f>IFERROR(INDEX('Semrush Data'!$A$1:$Z$20000,MATCH(A2700,'Semrush Data'!$A$1:$A$20000,0),MATCH("Intent",'Semrush Data'!$A$1:$Z$1,0)),"")</f>
        <v/>
      </c>
    </row>
    <row r="2701" ht="15" customHeight="1" s="37">
      <c r="A2701" s="42" t="inlineStr">
        <is>
          <t>fumeri ambre night perfume</t>
        </is>
      </c>
      <c r="B2701" s="42" t="inlineStr">
        <is>
          <t>Google suggest</t>
        </is>
      </c>
      <c r="C2701" s="42" t="n">
        <v>3</v>
      </c>
      <c r="D2701" s="42" t="n">
        <v>27</v>
      </c>
      <c r="E2701" s="42" t="n">
        <v>1</v>
      </c>
      <c r="F2701" s="42" t="inlineStr">
        <is>
          <t>FR-165</t>
        </is>
      </c>
      <c r="G2701" s="55">
        <f>IFERROR(INDEX('Semrush Data'!$A$1:$Z$20000,MATCH(A2701,'Semrush Data'!$A$1:$A$20000,0),MATCH("Volume",'Semrush Data'!$A$1:$Z$1,0)),"")</f>
        <v/>
      </c>
      <c r="H2701" s="42">
        <f>IFERROR(INDEX('Semrush Data'!$A$1:$Z$20000,MATCH(A2701,'Semrush Data'!$A$1:$A$20000,0),MATCH("Keyword Difficulty*",'Semrush Data'!$A$1:$Z$1,0)),"")</f>
        <v/>
      </c>
      <c r="I2701" s="56">
        <f>IFERROR(INDEX('Semrush Data'!$A$1:$Z$20000,MATCH(A2701,'Semrush Data'!$A$1:$A$20000,0),MATCH("CPC*",'Semrush Data'!$A$1:$Z$1,0)),"")</f>
        <v/>
      </c>
      <c r="J2701" s="42">
        <f>IFERROR(INDEX('Semrush Data'!$A$1:$Z$20000,MATCH(A2701,'Semrush Data'!$A$1:$A$20000,0),MATCH("Intent",'Semrush Data'!$A$1:$Z$1,0)),"")</f>
        <v/>
      </c>
    </row>
    <row r="2702" ht="15" customHeight="1" s="37">
      <c r="A2702" s="42" t="inlineStr">
        <is>
          <t>fumeri angel perfume</t>
        </is>
      </c>
      <c r="B2702" s="42" t="inlineStr">
        <is>
          <t>Google suggest</t>
        </is>
      </c>
      <c r="C2702" s="42" t="n">
        <v>3</v>
      </c>
      <c r="D2702" s="42" t="n">
        <v>28</v>
      </c>
      <c r="E2702" s="42" t="n">
        <v>1</v>
      </c>
      <c r="F2702" s="42" t="inlineStr">
        <is>
          <t>FR-166</t>
        </is>
      </c>
      <c r="G2702" s="55">
        <f>IFERROR(INDEX('Semrush Data'!$A$1:$Z$20000,MATCH(A2702,'Semrush Data'!$A$1:$A$20000,0),MATCH("Volume",'Semrush Data'!$A$1:$Z$1,0)),"")</f>
        <v/>
      </c>
      <c r="H2702" s="42">
        <f>IFERROR(INDEX('Semrush Data'!$A$1:$Z$20000,MATCH(A2702,'Semrush Data'!$A$1:$A$20000,0),MATCH("Keyword Difficulty*",'Semrush Data'!$A$1:$Z$1,0)),"")</f>
        <v/>
      </c>
      <c r="I2702" s="56">
        <f>IFERROR(INDEX('Semrush Data'!$A$1:$Z$20000,MATCH(A2702,'Semrush Data'!$A$1:$A$20000,0),MATCH("CPC*",'Semrush Data'!$A$1:$Z$1,0)),"")</f>
        <v/>
      </c>
      <c r="J2702" s="42">
        <f>IFERROR(INDEX('Semrush Data'!$A$1:$Z$20000,MATCH(A2702,'Semrush Data'!$A$1:$A$20000,0),MATCH("Intent",'Semrush Data'!$A$1:$Z$1,0)),"")</f>
        <v/>
      </c>
    </row>
    <row r="2703" ht="15" customHeight="1" s="37">
      <c r="A2703" s="42" t="inlineStr">
        <is>
          <t>fumeri blue perfume</t>
        </is>
      </c>
      <c r="B2703" s="42" t="inlineStr">
        <is>
          <t>Google suggest</t>
        </is>
      </c>
      <c r="C2703" s="42" t="n">
        <v>3</v>
      </c>
      <c r="D2703" s="42" t="n">
        <v>28</v>
      </c>
      <c r="E2703" s="42" t="n">
        <v>1</v>
      </c>
      <c r="F2703" s="42" t="inlineStr">
        <is>
          <t>FR-167</t>
        </is>
      </c>
      <c r="G2703" s="55">
        <f>IFERROR(INDEX('Semrush Data'!$A$1:$Z$20000,MATCH(A2703,'Semrush Data'!$A$1:$A$20000,0),MATCH("Volume",'Semrush Data'!$A$1:$Z$1,0)),"")</f>
        <v/>
      </c>
      <c r="H2703" s="42">
        <f>IFERROR(INDEX('Semrush Data'!$A$1:$Z$20000,MATCH(A2703,'Semrush Data'!$A$1:$A$20000,0),MATCH("Keyword Difficulty*",'Semrush Data'!$A$1:$Z$1,0)),"")</f>
        <v/>
      </c>
      <c r="I2703" s="56">
        <f>IFERROR(INDEX('Semrush Data'!$A$1:$Z$20000,MATCH(A2703,'Semrush Data'!$A$1:$A$20000,0),MATCH("CPC*",'Semrush Data'!$A$1:$Z$1,0)),"")</f>
        <v/>
      </c>
      <c r="J2703" s="42">
        <f>IFERROR(INDEX('Semrush Data'!$A$1:$Z$20000,MATCH(A2703,'Semrush Data'!$A$1:$A$20000,0),MATCH("Intent",'Semrush Data'!$A$1:$Z$1,0)),"")</f>
        <v/>
      </c>
    </row>
    <row r="2704" ht="15" customHeight="1" s="37">
      <c r="A2704" s="42" t="inlineStr">
        <is>
          <t>fumeri blue perfume price</t>
        </is>
      </c>
      <c r="B2704" s="42" t="inlineStr">
        <is>
          <t>Google suggest</t>
        </is>
      </c>
      <c r="C2704" s="42" t="n">
        <v>3</v>
      </c>
      <c r="D2704" s="42" t="n">
        <v>28</v>
      </c>
      <c r="E2704" s="42" t="n">
        <v>1</v>
      </c>
      <c r="F2704" s="42" t="inlineStr">
        <is>
          <t>FR-167</t>
        </is>
      </c>
      <c r="G2704" s="55">
        <f>IFERROR(INDEX('Semrush Data'!$A$1:$Z$20000,MATCH(A2704,'Semrush Data'!$A$1:$A$20000,0),MATCH("Volume",'Semrush Data'!$A$1:$Z$1,0)),"")</f>
        <v/>
      </c>
      <c r="H2704" s="42">
        <f>IFERROR(INDEX('Semrush Data'!$A$1:$Z$20000,MATCH(A2704,'Semrush Data'!$A$1:$A$20000,0),MATCH("Keyword Difficulty*",'Semrush Data'!$A$1:$Z$1,0)),"")</f>
        <v/>
      </c>
      <c r="I2704" s="56">
        <f>IFERROR(INDEX('Semrush Data'!$A$1:$Z$20000,MATCH(A2704,'Semrush Data'!$A$1:$A$20000,0),MATCH("CPC*",'Semrush Data'!$A$1:$Z$1,0)),"")</f>
        <v/>
      </c>
      <c r="J2704" s="42">
        <f>IFERROR(INDEX('Semrush Data'!$A$1:$Z$20000,MATCH(A2704,'Semrush Data'!$A$1:$A$20000,0),MATCH("Intent",'Semrush Data'!$A$1:$Z$1,0)),"")</f>
        <v/>
      </c>
    </row>
    <row r="2705" ht="15" customHeight="1" s="37">
      <c r="A2705" s="42" t="inlineStr">
        <is>
          <t>fumeri elixir perfume</t>
        </is>
      </c>
      <c r="B2705" s="42" t="inlineStr">
        <is>
          <t>Google suggest</t>
        </is>
      </c>
      <c r="C2705" s="42" t="n">
        <v>3</v>
      </c>
      <c r="D2705" s="42" t="n">
        <v>28</v>
      </c>
      <c r="E2705" s="42" t="n">
        <v>1</v>
      </c>
      <c r="F2705" s="42" t="inlineStr">
        <is>
          <t>FR-168</t>
        </is>
      </c>
      <c r="G2705" s="55">
        <f>IFERROR(INDEX('Semrush Data'!$A$1:$Z$20000,MATCH(A2705,'Semrush Data'!$A$1:$A$20000,0),MATCH("Volume",'Semrush Data'!$A$1:$Z$1,0)),"")</f>
        <v/>
      </c>
      <c r="H2705" s="42">
        <f>IFERROR(INDEX('Semrush Data'!$A$1:$Z$20000,MATCH(A2705,'Semrush Data'!$A$1:$A$20000,0),MATCH("Keyword Difficulty*",'Semrush Data'!$A$1:$Z$1,0)),"")</f>
        <v/>
      </c>
      <c r="I2705" s="56">
        <f>IFERROR(INDEX('Semrush Data'!$A$1:$Z$20000,MATCH(A2705,'Semrush Data'!$A$1:$A$20000,0),MATCH("CPC*",'Semrush Data'!$A$1:$Z$1,0)),"")</f>
        <v/>
      </c>
      <c r="J2705" s="42">
        <f>IFERROR(INDEX('Semrush Data'!$A$1:$Z$20000,MATCH(A2705,'Semrush Data'!$A$1:$A$20000,0),MATCH("Intent",'Semrush Data'!$A$1:$Z$1,0)),"")</f>
        <v/>
      </c>
    </row>
    <row r="2706" ht="15" customHeight="1" s="37">
      <c r="A2706" s="42" t="inlineStr">
        <is>
          <t>fumeri elixir perfume price</t>
        </is>
      </c>
      <c r="B2706" s="42" t="inlineStr">
        <is>
          <t>Google suggest</t>
        </is>
      </c>
      <c r="C2706" s="42" t="n">
        <v>3</v>
      </c>
      <c r="D2706" s="42" t="n">
        <v>28</v>
      </c>
      <c r="E2706" s="42" t="n">
        <v>1</v>
      </c>
      <c r="F2706" s="42" t="inlineStr">
        <is>
          <t>FR-168</t>
        </is>
      </c>
      <c r="G2706" s="55">
        <f>IFERROR(INDEX('Semrush Data'!$A$1:$Z$20000,MATCH(A2706,'Semrush Data'!$A$1:$A$20000,0),MATCH("Volume",'Semrush Data'!$A$1:$Z$1,0)),"")</f>
        <v/>
      </c>
      <c r="H2706" s="42">
        <f>IFERROR(INDEX('Semrush Data'!$A$1:$Z$20000,MATCH(A2706,'Semrush Data'!$A$1:$A$20000,0),MATCH("Keyword Difficulty*",'Semrush Data'!$A$1:$Z$1,0)),"")</f>
        <v/>
      </c>
      <c r="I2706" s="56">
        <f>IFERROR(INDEX('Semrush Data'!$A$1:$Z$20000,MATCH(A2706,'Semrush Data'!$A$1:$A$20000,0),MATCH("CPC*",'Semrush Data'!$A$1:$Z$1,0)),"")</f>
        <v/>
      </c>
      <c r="J2706" s="42">
        <f>IFERROR(INDEX('Semrush Data'!$A$1:$Z$20000,MATCH(A2706,'Semrush Data'!$A$1:$A$20000,0),MATCH("Intent",'Semrush Data'!$A$1:$Z$1,0)),"")</f>
        <v/>
      </c>
    </row>
    <row r="2707" ht="15" customHeight="1" s="37">
      <c r="A2707" s="42" t="inlineStr">
        <is>
          <t>fumeri gris perfume</t>
        </is>
      </c>
      <c r="B2707" s="42" t="inlineStr">
        <is>
          <t>Google suggest</t>
        </is>
      </c>
      <c r="C2707" s="42" t="n">
        <v>3</v>
      </c>
      <c r="D2707" s="42" t="n">
        <v>28</v>
      </c>
      <c r="E2707" s="42" t="n">
        <v>1</v>
      </c>
      <c r="F2707" s="42" t="inlineStr">
        <is>
          <t>FR-171</t>
        </is>
      </c>
      <c r="G2707" s="55">
        <f>IFERROR(INDEX('Semrush Data'!$A$1:$Z$20000,MATCH(A2707,'Semrush Data'!$A$1:$A$20000,0),MATCH("Volume",'Semrush Data'!$A$1:$Z$1,0)),"")</f>
        <v/>
      </c>
      <c r="H2707" s="42">
        <f>IFERROR(INDEX('Semrush Data'!$A$1:$Z$20000,MATCH(A2707,'Semrush Data'!$A$1:$A$20000,0),MATCH("Keyword Difficulty*",'Semrush Data'!$A$1:$Z$1,0)),"")</f>
        <v/>
      </c>
      <c r="I2707" s="56">
        <f>IFERROR(INDEX('Semrush Data'!$A$1:$Z$20000,MATCH(A2707,'Semrush Data'!$A$1:$A$20000,0),MATCH("CPC*",'Semrush Data'!$A$1:$Z$1,0)),"")</f>
        <v/>
      </c>
      <c r="J2707" s="42">
        <f>IFERROR(INDEX('Semrush Data'!$A$1:$Z$20000,MATCH(A2707,'Semrush Data'!$A$1:$A$20000,0),MATCH("Intent",'Semrush Data'!$A$1:$Z$1,0)),"")</f>
        <v/>
      </c>
    </row>
    <row r="2708" ht="15" customHeight="1" s="37">
      <c r="A2708" s="42" t="inlineStr">
        <is>
          <t>fumeri orchid noir perfume</t>
        </is>
      </c>
      <c r="B2708" s="42" t="inlineStr">
        <is>
          <t>Google suggest</t>
        </is>
      </c>
      <c r="C2708" s="42" t="n">
        <v>3</v>
      </c>
      <c r="D2708" s="42" t="n">
        <v>28</v>
      </c>
      <c r="E2708" s="42" t="n">
        <v>1</v>
      </c>
      <c r="F2708" s="42" t="inlineStr">
        <is>
          <t>FR-172</t>
        </is>
      </c>
      <c r="G2708" s="55">
        <f>IFERROR(INDEX('Semrush Data'!$A$1:$Z$20000,MATCH(A2708,'Semrush Data'!$A$1:$A$20000,0),MATCH("Volume",'Semrush Data'!$A$1:$Z$1,0)),"")</f>
        <v/>
      </c>
      <c r="H2708" s="42">
        <f>IFERROR(INDEX('Semrush Data'!$A$1:$Z$20000,MATCH(A2708,'Semrush Data'!$A$1:$A$20000,0),MATCH("Keyword Difficulty*",'Semrush Data'!$A$1:$Z$1,0)),"")</f>
        <v/>
      </c>
      <c r="I2708" s="56">
        <f>IFERROR(INDEX('Semrush Data'!$A$1:$Z$20000,MATCH(A2708,'Semrush Data'!$A$1:$A$20000,0),MATCH("CPC*",'Semrush Data'!$A$1:$Z$1,0)),"")</f>
        <v/>
      </c>
      <c r="J2708" s="42">
        <f>IFERROR(INDEX('Semrush Data'!$A$1:$Z$20000,MATCH(A2708,'Semrush Data'!$A$1:$A$20000,0),MATCH("Intent",'Semrush Data'!$A$1:$Z$1,0)),"")</f>
        <v/>
      </c>
    </row>
    <row r="2709" ht="15" customHeight="1" s="37">
      <c r="A2709" s="42" t="inlineStr">
        <is>
          <t>fumeri peach perfume</t>
        </is>
      </c>
      <c r="B2709" s="42" t="inlineStr">
        <is>
          <t>Google suggest</t>
        </is>
      </c>
      <c r="C2709" s="42" t="n">
        <v>3</v>
      </c>
      <c r="D2709" s="42" t="n">
        <v>28</v>
      </c>
      <c r="E2709" s="42" t="n">
        <v>1</v>
      </c>
      <c r="F2709" s="42" t="inlineStr">
        <is>
          <t>FR-175</t>
        </is>
      </c>
      <c r="G2709" s="55">
        <f>IFERROR(INDEX('Semrush Data'!$A$1:$Z$20000,MATCH(A2709,'Semrush Data'!$A$1:$A$20000,0),MATCH("Volume",'Semrush Data'!$A$1:$Z$1,0)),"")</f>
        <v/>
      </c>
      <c r="H2709" s="42">
        <f>IFERROR(INDEX('Semrush Data'!$A$1:$Z$20000,MATCH(A2709,'Semrush Data'!$A$1:$A$20000,0),MATCH("Keyword Difficulty*",'Semrush Data'!$A$1:$Z$1,0)),"")</f>
        <v/>
      </c>
      <c r="I2709" s="56">
        <f>IFERROR(INDEX('Semrush Data'!$A$1:$Z$20000,MATCH(A2709,'Semrush Data'!$A$1:$A$20000,0),MATCH("CPC*",'Semrush Data'!$A$1:$Z$1,0)),"")</f>
        <v/>
      </c>
      <c r="J2709" s="42">
        <f>IFERROR(INDEX('Semrush Data'!$A$1:$Z$20000,MATCH(A2709,'Semrush Data'!$A$1:$A$20000,0),MATCH("Intent",'Semrush Data'!$A$1:$Z$1,0)),"")</f>
        <v/>
      </c>
    </row>
    <row r="2710" ht="15" customHeight="1" s="37">
      <c r="A2710" s="42" t="inlineStr">
        <is>
          <t>fumeri perfume oud saffron</t>
        </is>
      </c>
      <c r="B2710" s="42" t="inlineStr">
        <is>
          <t>Google suggest</t>
        </is>
      </c>
      <c r="C2710" s="42" t="n">
        <v>3</v>
      </c>
      <c r="D2710" s="42" t="n">
        <v>28</v>
      </c>
      <c r="E2710" s="42" t="n">
        <v>1</v>
      </c>
      <c r="F2710" s="42" t="inlineStr">
        <is>
          <t>FR-174</t>
        </is>
      </c>
      <c r="G2710" s="55">
        <f>IFERROR(INDEX('Semrush Data'!$A$1:$Z$20000,MATCH(A2710,'Semrush Data'!$A$1:$A$20000,0),MATCH("Volume",'Semrush Data'!$A$1:$Z$1,0)),"")</f>
        <v/>
      </c>
      <c r="H2710" s="42">
        <f>IFERROR(INDEX('Semrush Data'!$A$1:$Z$20000,MATCH(A2710,'Semrush Data'!$A$1:$A$20000,0),MATCH("Keyword Difficulty*",'Semrush Data'!$A$1:$Z$1,0)),"")</f>
        <v/>
      </c>
      <c r="I2710" s="56">
        <f>IFERROR(INDEX('Semrush Data'!$A$1:$Z$20000,MATCH(A2710,'Semrush Data'!$A$1:$A$20000,0),MATCH("CPC*",'Semrush Data'!$A$1:$Z$1,0)),"")</f>
        <v/>
      </c>
      <c r="J2710" s="42">
        <f>IFERROR(INDEX('Semrush Data'!$A$1:$Z$20000,MATCH(A2710,'Semrush Data'!$A$1:$A$20000,0),MATCH("Intent",'Semrush Data'!$A$1:$Z$1,0)),"")</f>
        <v/>
      </c>
    </row>
    <row r="2711" ht="15" customHeight="1" s="37">
      <c r="A2711" s="42" t="inlineStr">
        <is>
          <t>fumeri style 33 perfume</t>
        </is>
      </c>
      <c r="B2711" s="42" t="inlineStr">
        <is>
          <t>Google suggest</t>
        </is>
      </c>
      <c r="C2711" s="42" t="n">
        <v>3</v>
      </c>
      <c r="D2711" s="42" t="n">
        <v>28</v>
      </c>
      <c r="E2711" s="42" t="n">
        <v>1</v>
      </c>
      <c r="F2711" s="42" t="inlineStr">
        <is>
          <t>FR-177</t>
        </is>
      </c>
      <c r="G2711" s="55">
        <f>IFERROR(INDEX('Semrush Data'!$A$1:$Z$20000,MATCH(A2711,'Semrush Data'!$A$1:$A$20000,0),MATCH("Volume",'Semrush Data'!$A$1:$Z$1,0)),"")</f>
        <v/>
      </c>
      <c r="H2711" s="42">
        <f>IFERROR(INDEX('Semrush Data'!$A$1:$Z$20000,MATCH(A2711,'Semrush Data'!$A$1:$A$20000,0),MATCH("Keyword Difficulty*",'Semrush Data'!$A$1:$Z$1,0)),"")</f>
        <v/>
      </c>
      <c r="I2711" s="56">
        <f>IFERROR(INDEX('Semrush Data'!$A$1:$Z$20000,MATCH(A2711,'Semrush Data'!$A$1:$A$20000,0),MATCH("CPC*",'Semrush Data'!$A$1:$Z$1,0)),"")</f>
        <v/>
      </c>
      <c r="J2711" s="42">
        <f>IFERROR(INDEX('Semrush Data'!$A$1:$Z$20000,MATCH(A2711,'Semrush Data'!$A$1:$A$20000,0),MATCH("Intent",'Semrush Data'!$A$1:$Z$1,0)),"")</f>
        <v/>
      </c>
    </row>
    <row r="2712" ht="15" customHeight="1" s="37">
      <c r="A2712" s="42" t="inlineStr">
        <is>
          <t>fumeri style 33 review</t>
        </is>
      </c>
      <c r="B2712" s="42" t="inlineStr">
        <is>
          <t>Google suggest</t>
        </is>
      </c>
      <c r="C2712" s="42" t="n">
        <v>3</v>
      </c>
      <c r="D2712" s="42" t="n">
        <v>28</v>
      </c>
      <c r="E2712" s="42" t="n">
        <v>1</v>
      </c>
      <c r="F2712" s="42" t="inlineStr">
        <is>
          <t>FR-177</t>
        </is>
      </c>
      <c r="G2712" s="55">
        <f>IFERROR(INDEX('Semrush Data'!$A$1:$Z$20000,MATCH(A2712,'Semrush Data'!$A$1:$A$20000,0),MATCH("Volume",'Semrush Data'!$A$1:$Z$1,0)),"")</f>
        <v/>
      </c>
      <c r="H2712" s="42">
        <f>IFERROR(INDEX('Semrush Data'!$A$1:$Z$20000,MATCH(A2712,'Semrush Data'!$A$1:$A$20000,0),MATCH("Keyword Difficulty*",'Semrush Data'!$A$1:$Z$1,0)),"")</f>
        <v/>
      </c>
      <c r="I2712" s="56">
        <f>IFERROR(INDEX('Semrush Data'!$A$1:$Z$20000,MATCH(A2712,'Semrush Data'!$A$1:$A$20000,0),MATCH("CPC*",'Semrush Data'!$A$1:$Z$1,0)),"")</f>
        <v/>
      </c>
      <c r="J2712" s="42">
        <f>IFERROR(INDEX('Semrush Data'!$A$1:$Z$20000,MATCH(A2712,'Semrush Data'!$A$1:$A$20000,0),MATCH("Intent",'Semrush Data'!$A$1:$Z$1,0)),"")</f>
        <v/>
      </c>
    </row>
    <row r="2713" ht="15" customHeight="1" s="37">
      <c r="A2713" s="42" t="inlineStr">
        <is>
          <t>fumeri victorious perfume</t>
        </is>
      </c>
      <c r="B2713" s="42" t="inlineStr">
        <is>
          <t>Google suggest</t>
        </is>
      </c>
      <c r="C2713" s="42" t="n">
        <v>3</v>
      </c>
      <c r="D2713" s="42" t="n">
        <v>28</v>
      </c>
      <c r="E2713" s="42" t="n">
        <v>1</v>
      </c>
      <c r="F2713" s="42" t="inlineStr">
        <is>
          <t>FR-178</t>
        </is>
      </c>
      <c r="G2713" s="55">
        <f>IFERROR(INDEX('Semrush Data'!$A$1:$Z$20000,MATCH(A2713,'Semrush Data'!$A$1:$A$20000,0),MATCH("Volume",'Semrush Data'!$A$1:$Z$1,0)),"")</f>
        <v/>
      </c>
      <c r="H2713" s="42">
        <f>IFERROR(INDEX('Semrush Data'!$A$1:$Z$20000,MATCH(A2713,'Semrush Data'!$A$1:$A$20000,0),MATCH("Keyword Difficulty*",'Semrush Data'!$A$1:$Z$1,0)),"")</f>
        <v/>
      </c>
      <c r="I2713" s="56">
        <f>IFERROR(INDEX('Semrush Data'!$A$1:$Z$20000,MATCH(A2713,'Semrush Data'!$A$1:$A$20000,0),MATCH("CPC*",'Semrush Data'!$A$1:$Z$1,0)),"")</f>
        <v/>
      </c>
      <c r="J2713" s="42">
        <f>IFERROR(INDEX('Semrush Data'!$A$1:$Z$20000,MATCH(A2713,'Semrush Data'!$A$1:$A$20000,0),MATCH("Intent",'Semrush Data'!$A$1:$Z$1,0)),"")</f>
        <v/>
      </c>
    </row>
    <row r="2714" ht="15" customHeight="1" s="37">
      <c r="A2714" s="42" t="inlineStr">
        <is>
          <t>fumeri victorious perfume price</t>
        </is>
      </c>
      <c r="B2714" s="42" t="inlineStr">
        <is>
          <t>Google suggest</t>
        </is>
      </c>
      <c r="C2714" s="42" t="n">
        <v>3</v>
      </c>
      <c r="D2714" s="42" t="n">
        <v>28</v>
      </c>
      <c r="E2714" s="42" t="n">
        <v>1</v>
      </c>
      <c r="F2714" s="42" t="inlineStr">
        <is>
          <t>FR-178</t>
        </is>
      </c>
      <c r="G2714" s="55">
        <f>IFERROR(INDEX('Semrush Data'!$A$1:$Z$20000,MATCH(A2714,'Semrush Data'!$A$1:$A$20000,0),MATCH("Volume",'Semrush Data'!$A$1:$Z$1,0)),"")</f>
        <v/>
      </c>
      <c r="H2714" s="42">
        <f>IFERROR(INDEX('Semrush Data'!$A$1:$Z$20000,MATCH(A2714,'Semrush Data'!$A$1:$A$20000,0),MATCH("Keyword Difficulty*",'Semrush Data'!$A$1:$Z$1,0)),"")</f>
        <v/>
      </c>
      <c r="I2714" s="56">
        <f>IFERROR(INDEX('Semrush Data'!$A$1:$Z$20000,MATCH(A2714,'Semrush Data'!$A$1:$A$20000,0),MATCH("CPC*",'Semrush Data'!$A$1:$Z$1,0)),"")</f>
        <v/>
      </c>
      <c r="J2714" s="42">
        <f>IFERROR(INDEX('Semrush Data'!$A$1:$Z$20000,MATCH(A2714,'Semrush Data'!$A$1:$A$20000,0),MATCH("Intent",'Semrush Data'!$A$1:$Z$1,0)),"")</f>
        <v/>
      </c>
    </row>
    <row r="2715" ht="15" customHeight="1" s="37">
      <c r="A2715" s="42" t="inlineStr">
        <is>
          <t>fumeri wild perfume</t>
        </is>
      </c>
      <c r="B2715" s="42" t="inlineStr">
        <is>
          <t>Google suggest</t>
        </is>
      </c>
      <c r="C2715" s="42" t="n">
        <v>3</v>
      </c>
      <c r="D2715" s="42" t="n">
        <v>28</v>
      </c>
      <c r="E2715" s="42" t="n">
        <v>1</v>
      </c>
      <c r="F2715" s="42" t="inlineStr">
        <is>
          <t>FR-179</t>
        </is>
      </c>
      <c r="G2715" s="55">
        <f>IFERROR(INDEX('Semrush Data'!$A$1:$Z$20000,MATCH(A2715,'Semrush Data'!$A$1:$A$20000,0),MATCH("Volume",'Semrush Data'!$A$1:$Z$1,0)),"")</f>
        <v/>
      </c>
      <c r="H2715" s="42">
        <f>IFERROR(INDEX('Semrush Data'!$A$1:$Z$20000,MATCH(A2715,'Semrush Data'!$A$1:$A$20000,0),MATCH("Keyword Difficulty*",'Semrush Data'!$A$1:$Z$1,0)),"")</f>
        <v/>
      </c>
      <c r="I2715" s="56">
        <f>IFERROR(INDEX('Semrush Data'!$A$1:$Z$20000,MATCH(A2715,'Semrush Data'!$A$1:$A$20000,0),MATCH("CPC*",'Semrush Data'!$A$1:$Z$1,0)),"")</f>
        <v/>
      </c>
      <c r="J2715" s="42">
        <f>IFERROR(INDEX('Semrush Data'!$A$1:$Z$20000,MATCH(A2715,'Semrush Data'!$A$1:$A$20000,0),MATCH("Intent",'Semrush Data'!$A$1:$Z$1,0)),"")</f>
        <v/>
      </c>
    </row>
    <row r="2716" ht="15" customHeight="1" s="37">
      <c r="A2716" s="42" t="inlineStr">
        <is>
          <t>fumeri wild perfume price</t>
        </is>
      </c>
      <c r="B2716" s="42" t="inlineStr">
        <is>
          <t>Google suggest</t>
        </is>
      </c>
      <c r="C2716" s="42" t="n">
        <v>3</v>
      </c>
      <c r="D2716" s="42" t="n">
        <v>28</v>
      </c>
      <c r="E2716" s="42" t="n">
        <v>1</v>
      </c>
      <c r="F2716" s="42" t="inlineStr">
        <is>
          <t>FR-179</t>
        </is>
      </c>
      <c r="G2716" s="55">
        <f>IFERROR(INDEX('Semrush Data'!$A$1:$Z$20000,MATCH(A2716,'Semrush Data'!$A$1:$A$20000,0),MATCH("Volume",'Semrush Data'!$A$1:$Z$1,0)),"")</f>
        <v/>
      </c>
      <c r="H2716" s="42">
        <f>IFERROR(INDEX('Semrush Data'!$A$1:$Z$20000,MATCH(A2716,'Semrush Data'!$A$1:$A$20000,0),MATCH("Keyword Difficulty*",'Semrush Data'!$A$1:$Z$1,0)),"")</f>
        <v/>
      </c>
      <c r="I2716" s="56">
        <f>IFERROR(INDEX('Semrush Data'!$A$1:$Z$20000,MATCH(A2716,'Semrush Data'!$A$1:$A$20000,0),MATCH("CPC*",'Semrush Data'!$A$1:$Z$1,0)),"")</f>
        <v/>
      </c>
      <c r="J2716" s="42">
        <f>IFERROR(INDEX('Semrush Data'!$A$1:$Z$20000,MATCH(A2716,'Semrush Data'!$A$1:$A$20000,0),MATCH("Intent",'Semrush Data'!$A$1:$Z$1,0)),"")</f>
        <v/>
      </c>
    </row>
    <row r="2717" ht="15" customHeight="1" s="37">
      <c r="A2717" s="42" t="inlineStr">
        <is>
          <t>game of spades bid dupe of</t>
        </is>
      </c>
      <c r="B2717" s="42" t="inlineStr">
        <is>
          <t>Google suggest</t>
        </is>
      </c>
      <c r="C2717" s="42" t="n">
        <v>3</v>
      </c>
      <c r="D2717" s="42" t="n">
        <v>28</v>
      </c>
      <c r="E2717" s="42" t="n">
        <v>1</v>
      </c>
      <c r="F2717" s="42" t="inlineStr">
        <is>
          <t>FR-180</t>
        </is>
      </c>
      <c r="G2717" s="55">
        <f>IFERROR(INDEX('Semrush Data'!$A$1:$Z$20000,MATCH(A2717,'Semrush Data'!$A$1:$A$20000,0),MATCH("Volume",'Semrush Data'!$A$1:$Z$1,0)),"")</f>
        <v/>
      </c>
      <c r="H2717" s="42">
        <f>IFERROR(INDEX('Semrush Data'!$A$1:$Z$20000,MATCH(A2717,'Semrush Data'!$A$1:$A$20000,0),MATCH("Keyword Difficulty*",'Semrush Data'!$A$1:$Z$1,0)),"")</f>
        <v/>
      </c>
      <c r="I2717" s="56">
        <f>IFERROR(INDEX('Semrush Data'!$A$1:$Z$20000,MATCH(A2717,'Semrush Data'!$A$1:$A$20000,0),MATCH("CPC*",'Semrush Data'!$A$1:$Z$1,0)),"")</f>
        <v/>
      </c>
      <c r="J2717" s="42">
        <f>IFERROR(INDEX('Semrush Data'!$A$1:$Z$20000,MATCH(A2717,'Semrush Data'!$A$1:$A$20000,0),MATCH("Intent",'Semrush Data'!$A$1:$Z$1,0)),"")</f>
        <v/>
      </c>
    </row>
    <row r="2718" ht="15" customHeight="1" s="37">
      <c r="A2718" s="42" t="inlineStr">
        <is>
          <t>game of spades bid notes</t>
        </is>
      </c>
      <c r="B2718" s="42" t="inlineStr">
        <is>
          <t>Google suggest</t>
        </is>
      </c>
      <c r="C2718" s="42" t="n">
        <v>3</v>
      </c>
      <c r="D2718" s="42" t="n">
        <v>28</v>
      </c>
      <c r="E2718" s="42" t="n">
        <v>1</v>
      </c>
      <c r="F2718" s="42" t="inlineStr">
        <is>
          <t>FR-180</t>
        </is>
      </c>
      <c r="G2718" s="55">
        <f>IFERROR(INDEX('Semrush Data'!$A$1:$Z$20000,MATCH(A2718,'Semrush Data'!$A$1:$A$20000,0),MATCH("Volume",'Semrush Data'!$A$1:$Z$1,0)),"")</f>
        <v/>
      </c>
      <c r="H2718" s="42">
        <f>IFERROR(INDEX('Semrush Data'!$A$1:$Z$20000,MATCH(A2718,'Semrush Data'!$A$1:$A$20000,0),MATCH("Keyword Difficulty*",'Semrush Data'!$A$1:$Z$1,0)),"")</f>
        <v/>
      </c>
      <c r="I2718" s="56">
        <f>IFERROR(INDEX('Semrush Data'!$A$1:$Z$20000,MATCH(A2718,'Semrush Data'!$A$1:$A$20000,0),MATCH("CPC*",'Semrush Data'!$A$1:$Z$1,0)),"")</f>
        <v/>
      </c>
      <c r="J2718" s="42">
        <f>IFERROR(INDEX('Semrush Data'!$A$1:$Z$20000,MATCH(A2718,'Semrush Data'!$A$1:$A$20000,0),MATCH("Intent",'Semrush Data'!$A$1:$Z$1,0)),"")</f>
        <v/>
      </c>
    </row>
    <row r="2719" ht="15" customHeight="1" s="37">
      <c r="A2719" s="42" t="inlineStr">
        <is>
          <t>game of spades bid parfum</t>
        </is>
      </c>
      <c r="B2719" s="42" t="inlineStr">
        <is>
          <t>Google suggest</t>
        </is>
      </c>
      <c r="C2719" s="42" t="n">
        <v>3</v>
      </c>
      <c r="D2719" s="42" t="n">
        <v>28</v>
      </c>
      <c r="E2719" s="42" t="n">
        <v>1</v>
      </c>
      <c r="F2719" s="42" t="inlineStr">
        <is>
          <t>FR-180</t>
        </is>
      </c>
      <c r="G2719" s="55">
        <f>IFERROR(INDEX('Semrush Data'!$A$1:$Z$20000,MATCH(A2719,'Semrush Data'!$A$1:$A$20000,0),MATCH("Volume",'Semrush Data'!$A$1:$Z$1,0)),"")</f>
        <v/>
      </c>
      <c r="H2719" s="42">
        <f>IFERROR(INDEX('Semrush Data'!$A$1:$Z$20000,MATCH(A2719,'Semrush Data'!$A$1:$A$20000,0),MATCH("Keyword Difficulty*",'Semrush Data'!$A$1:$Z$1,0)),"")</f>
        <v/>
      </c>
      <c r="I2719" s="56">
        <f>IFERROR(INDEX('Semrush Data'!$A$1:$Z$20000,MATCH(A2719,'Semrush Data'!$A$1:$A$20000,0),MATCH("CPC*",'Semrush Data'!$A$1:$Z$1,0)),"")</f>
        <v/>
      </c>
      <c r="J2719" s="42">
        <f>IFERROR(INDEX('Semrush Data'!$A$1:$Z$20000,MATCH(A2719,'Semrush Data'!$A$1:$A$20000,0),MATCH("Intent",'Semrush Data'!$A$1:$Z$1,0)),"")</f>
        <v/>
      </c>
    </row>
    <row r="2720" ht="15" customHeight="1" s="37">
      <c r="A2720" s="42" t="inlineStr">
        <is>
          <t>game of spades bid perfume</t>
        </is>
      </c>
      <c r="B2720" s="42" t="inlineStr">
        <is>
          <t>Google suggest</t>
        </is>
      </c>
      <c r="C2720" s="42" t="n">
        <v>3</v>
      </c>
      <c r="D2720" s="42" t="n">
        <v>28</v>
      </c>
      <c r="E2720" s="42" t="n">
        <v>1</v>
      </c>
      <c r="F2720" s="42" t="inlineStr">
        <is>
          <t>FR-180</t>
        </is>
      </c>
      <c r="G2720" s="55">
        <f>IFERROR(INDEX('Semrush Data'!$A$1:$Z$20000,MATCH(A2720,'Semrush Data'!$A$1:$A$20000,0),MATCH("Volume",'Semrush Data'!$A$1:$Z$1,0)),"")</f>
        <v/>
      </c>
      <c r="H2720" s="42">
        <f>IFERROR(INDEX('Semrush Data'!$A$1:$Z$20000,MATCH(A2720,'Semrush Data'!$A$1:$A$20000,0),MATCH("Keyword Difficulty*",'Semrush Data'!$A$1:$Z$1,0)),"")</f>
        <v/>
      </c>
      <c r="I2720" s="56">
        <f>IFERROR(INDEX('Semrush Data'!$A$1:$Z$20000,MATCH(A2720,'Semrush Data'!$A$1:$A$20000,0),MATCH("CPC*",'Semrush Data'!$A$1:$Z$1,0)),"")</f>
        <v/>
      </c>
      <c r="J2720" s="42">
        <f>IFERROR(INDEX('Semrush Data'!$A$1:$Z$20000,MATCH(A2720,'Semrush Data'!$A$1:$A$20000,0),MATCH("Intent",'Semrush Data'!$A$1:$Z$1,0)),"")</f>
        <v/>
      </c>
    </row>
    <row r="2721" ht="15" customHeight="1" s="37">
      <c r="A2721" s="42" t="inlineStr">
        <is>
          <t>game of spades bid review</t>
        </is>
      </c>
      <c r="B2721" s="42" t="inlineStr">
        <is>
          <t>Google suggest</t>
        </is>
      </c>
      <c r="C2721" s="42" t="n">
        <v>3</v>
      </c>
      <c r="D2721" s="42" t="n">
        <v>28</v>
      </c>
      <c r="E2721" s="42" t="n">
        <v>1</v>
      </c>
      <c r="F2721" s="42" t="inlineStr">
        <is>
          <t>FR-180</t>
        </is>
      </c>
      <c r="G2721" s="55">
        <f>IFERROR(INDEX('Semrush Data'!$A$1:$Z$20000,MATCH(A2721,'Semrush Data'!$A$1:$A$20000,0),MATCH("Volume",'Semrush Data'!$A$1:$Z$1,0)),"")</f>
        <v/>
      </c>
      <c r="H2721" s="42">
        <f>IFERROR(INDEX('Semrush Data'!$A$1:$Z$20000,MATCH(A2721,'Semrush Data'!$A$1:$A$20000,0),MATCH("Keyword Difficulty*",'Semrush Data'!$A$1:$Z$1,0)),"")</f>
        <v/>
      </c>
      <c r="I2721" s="56">
        <f>IFERROR(INDEX('Semrush Data'!$A$1:$Z$20000,MATCH(A2721,'Semrush Data'!$A$1:$A$20000,0),MATCH("CPC*",'Semrush Data'!$A$1:$Z$1,0)),"")</f>
        <v/>
      </c>
      <c r="J2721" s="42">
        <f>IFERROR(INDEX('Semrush Data'!$A$1:$Z$20000,MATCH(A2721,'Semrush Data'!$A$1:$A$20000,0),MATCH("Intent",'Semrush Data'!$A$1:$Z$1,0)),"")</f>
        <v/>
      </c>
    </row>
    <row r="2722" ht="15" customHeight="1" s="37">
      <c r="A2722" s="42" t="inlineStr">
        <is>
          <t>game of spades blind bid dupe</t>
        </is>
      </c>
      <c r="B2722" s="42" t="inlineStr">
        <is>
          <t>Google suggest</t>
        </is>
      </c>
      <c r="C2722" s="42" t="n">
        <v>3</v>
      </c>
      <c r="D2722" s="42" t="n">
        <v>28</v>
      </c>
      <c r="E2722" s="42" t="n">
        <v>1</v>
      </c>
      <c r="F2722" s="42" t="inlineStr">
        <is>
          <t>FR-181</t>
        </is>
      </c>
      <c r="G2722" s="55">
        <f>IFERROR(INDEX('Semrush Data'!$A$1:$Z$20000,MATCH(A2722,'Semrush Data'!$A$1:$A$20000,0),MATCH("Volume",'Semrush Data'!$A$1:$Z$1,0)),"")</f>
        <v/>
      </c>
      <c r="H2722" s="42">
        <f>IFERROR(INDEX('Semrush Data'!$A$1:$Z$20000,MATCH(A2722,'Semrush Data'!$A$1:$A$20000,0),MATCH("Keyword Difficulty*",'Semrush Data'!$A$1:$Z$1,0)),"")</f>
        <v/>
      </c>
      <c r="I2722" s="56">
        <f>IFERROR(INDEX('Semrush Data'!$A$1:$Z$20000,MATCH(A2722,'Semrush Data'!$A$1:$A$20000,0),MATCH("CPC*",'Semrush Data'!$A$1:$Z$1,0)),"")</f>
        <v/>
      </c>
      <c r="J2722" s="42">
        <f>IFERROR(INDEX('Semrush Data'!$A$1:$Z$20000,MATCH(A2722,'Semrush Data'!$A$1:$A$20000,0),MATCH("Intent",'Semrush Data'!$A$1:$Z$1,0)),"")</f>
        <v/>
      </c>
    </row>
    <row r="2723" ht="15" customHeight="1" s="37">
      <c r="A2723" s="42" t="inlineStr">
        <is>
          <t>game of spades blind bid notes</t>
        </is>
      </c>
      <c r="B2723" s="42" t="inlineStr">
        <is>
          <t>Google suggest</t>
        </is>
      </c>
      <c r="C2723" s="42" t="n">
        <v>3</v>
      </c>
      <c r="D2723" s="42" t="n">
        <v>28</v>
      </c>
      <c r="E2723" s="42" t="n">
        <v>1</v>
      </c>
      <c r="F2723" s="42" t="inlineStr">
        <is>
          <t>FR-181</t>
        </is>
      </c>
      <c r="G2723" s="55">
        <f>IFERROR(INDEX('Semrush Data'!$A$1:$Z$20000,MATCH(A2723,'Semrush Data'!$A$1:$A$20000,0),MATCH("Volume",'Semrush Data'!$A$1:$Z$1,0)),"")</f>
        <v/>
      </c>
      <c r="H2723" s="42">
        <f>IFERROR(INDEX('Semrush Data'!$A$1:$Z$20000,MATCH(A2723,'Semrush Data'!$A$1:$A$20000,0),MATCH("Keyword Difficulty*",'Semrush Data'!$A$1:$Z$1,0)),"")</f>
        <v/>
      </c>
      <c r="I2723" s="56">
        <f>IFERROR(INDEX('Semrush Data'!$A$1:$Z$20000,MATCH(A2723,'Semrush Data'!$A$1:$A$20000,0),MATCH("CPC*",'Semrush Data'!$A$1:$Z$1,0)),"")</f>
        <v/>
      </c>
      <c r="J2723" s="42">
        <f>IFERROR(INDEX('Semrush Data'!$A$1:$Z$20000,MATCH(A2723,'Semrush Data'!$A$1:$A$20000,0),MATCH("Intent",'Semrush Data'!$A$1:$Z$1,0)),"")</f>
        <v/>
      </c>
    </row>
    <row r="2724" ht="15" customHeight="1" s="37">
      <c r="A2724" s="42" t="inlineStr">
        <is>
          <t>game of spades blind bid perfume review</t>
        </is>
      </c>
      <c r="B2724" s="42" t="inlineStr">
        <is>
          <t>Google suggest</t>
        </is>
      </c>
      <c r="C2724" s="42" t="n">
        <v>3</v>
      </c>
      <c r="D2724" s="42" t="n">
        <v>28</v>
      </c>
      <c r="E2724" s="42" t="n">
        <v>1</v>
      </c>
      <c r="F2724" s="42" t="inlineStr">
        <is>
          <t>FR-181</t>
        </is>
      </c>
      <c r="G2724" s="55">
        <f>IFERROR(INDEX('Semrush Data'!$A$1:$Z$20000,MATCH(A2724,'Semrush Data'!$A$1:$A$20000,0),MATCH("Volume",'Semrush Data'!$A$1:$Z$1,0)),"")</f>
        <v/>
      </c>
      <c r="H2724" s="42">
        <f>IFERROR(INDEX('Semrush Data'!$A$1:$Z$20000,MATCH(A2724,'Semrush Data'!$A$1:$A$20000,0),MATCH("Keyword Difficulty*",'Semrush Data'!$A$1:$Z$1,0)),"")</f>
        <v/>
      </c>
      <c r="I2724" s="56">
        <f>IFERROR(INDEX('Semrush Data'!$A$1:$Z$20000,MATCH(A2724,'Semrush Data'!$A$1:$A$20000,0),MATCH("CPC*",'Semrush Data'!$A$1:$Z$1,0)),"")</f>
        <v/>
      </c>
      <c r="J2724" s="42">
        <f>IFERROR(INDEX('Semrush Data'!$A$1:$Z$20000,MATCH(A2724,'Semrush Data'!$A$1:$A$20000,0),MATCH("Intent",'Semrush Data'!$A$1:$Z$1,0)),"")</f>
        <v/>
      </c>
    </row>
    <row r="2725" ht="15" customHeight="1" s="37">
      <c r="A2725" s="42" t="inlineStr">
        <is>
          <t>game of spades blind bid review</t>
        </is>
      </c>
      <c r="B2725" s="42" t="inlineStr">
        <is>
          <t>Google suggest</t>
        </is>
      </c>
      <c r="C2725" s="42" t="n">
        <v>3</v>
      </c>
      <c r="D2725" s="42" t="n">
        <v>28</v>
      </c>
      <c r="E2725" s="42" t="n">
        <v>1</v>
      </c>
      <c r="F2725" s="42" t="inlineStr">
        <is>
          <t>FR-181</t>
        </is>
      </c>
      <c r="G2725" s="55">
        <f>IFERROR(INDEX('Semrush Data'!$A$1:$Z$20000,MATCH(A2725,'Semrush Data'!$A$1:$A$20000,0),MATCH("Volume",'Semrush Data'!$A$1:$Z$1,0)),"")</f>
        <v/>
      </c>
      <c r="H2725" s="42">
        <f>IFERROR(INDEX('Semrush Data'!$A$1:$Z$20000,MATCH(A2725,'Semrush Data'!$A$1:$A$20000,0),MATCH("Keyword Difficulty*",'Semrush Data'!$A$1:$Z$1,0)),"")</f>
        <v/>
      </c>
      <c r="I2725" s="56">
        <f>IFERROR(INDEX('Semrush Data'!$A$1:$Z$20000,MATCH(A2725,'Semrush Data'!$A$1:$A$20000,0),MATCH("CPC*",'Semrush Data'!$A$1:$Z$1,0)),"")</f>
        <v/>
      </c>
      <c r="J2725" s="42">
        <f>IFERROR(INDEX('Semrush Data'!$A$1:$Z$20000,MATCH(A2725,'Semrush Data'!$A$1:$A$20000,0),MATCH("Intent",'Semrush Data'!$A$1:$Z$1,0)),"")</f>
        <v/>
      </c>
    </row>
    <row r="2726" ht="15" customHeight="1" s="37">
      <c r="A2726" s="42" t="inlineStr">
        <is>
          <t>game of spades blind bid smells like</t>
        </is>
      </c>
      <c r="B2726" s="42" t="inlineStr">
        <is>
          <t>Google suggest</t>
        </is>
      </c>
      <c r="C2726" s="42" t="n">
        <v>3</v>
      </c>
      <c r="D2726" s="42" t="n">
        <v>28</v>
      </c>
      <c r="E2726" s="42" t="n">
        <v>1</v>
      </c>
      <c r="F2726" s="42" t="inlineStr">
        <is>
          <t>FR-181</t>
        </is>
      </c>
      <c r="G2726" s="55">
        <f>IFERROR(INDEX('Semrush Data'!$A$1:$Z$20000,MATCH(A2726,'Semrush Data'!$A$1:$A$20000,0),MATCH("Volume",'Semrush Data'!$A$1:$Z$1,0)),"")</f>
        <v/>
      </c>
      <c r="H2726" s="42">
        <f>IFERROR(INDEX('Semrush Data'!$A$1:$Z$20000,MATCH(A2726,'Semrush Data'!$A$1:$A$20000,0),MATCH("Keyword Difficulty*",'Semrush Data'!$A$1:$Z$1,0)),"")</f>
        <v/>
      </c>
      <c r="I2726" s="56">
        <f>IFERROR(INDEX('Semrush Data'!$A$1:$Z$20000,MATCH(A2726,'Semrush Data'!$A$1:$A$20000,0),MATCH("CPC*",'Semrush Data'!$A$1:$Z$1,0)),"")</f>
        <v/>
      </c>
      <c r="J2726" s="42">
        <f>IFERROR(INDEX('Semrush Data'!$A$1:$Z$20000,MATCH(A2726,'Semrush Data'!$A$1:$A$20000,0),MATCH("Intent",'Semrush Data'!$A$1:$Z$1,0)),"")</f>
        <v/>
      </c>
    </row>
    <row r="2727" ht="15" customHeight="1" s="37">
      <c r="A2727" s="42" t="inlineStr">
        <is>
          <t>game of spades boston dupe of</t>
        </is>
      </c>
      <c r="B2727" s="42" t="inlineStr">
        <is>
          <t>Google suggest</t>
        </is>
      </c>
      <c r="C2727" s="42" t="n">
        <v>3</v>
      </c>
      <c r="D2727" s="42" t="n">
        <v>28</v>
      </c>
      <c r="E2727" s="42" t="n">
        <v>1</v>
      </c>
      <c r="F2727" s="42" t="inlineStr">
        <is>
          <t>FR-182</t>
        </is>
      </c>
      <c r="G2727" s="55">
        <f>IFERROR(INDEX('Semrush Data'!$A$1:$Z$20000,MATCH(A2727,'Semrush Data'!$A$1:$A$20000,0),MATCH("Volume",'Semrush Data'!$A$1:$Z$1,0)),"")</f>
        <v/>
      </c>
      <c r="H2727" s="42">
        <f>IFERROR(INDEX('Semrush Data'!$A$1:$Z$20000,MATCH(A2727,'Semrush Data'!$A$1:$A$20000,0),MATCH("Keyword Difficulty*",'Semrush Data'!$A$1:$Z$1,0)),"")</f>
        <v/>
      </c>
      <c r="I2727" s="56">
        <f>IFERROR(INDEX('Semrush Data'!$A$1:$Z$20000,MATCH(A2727,'Semrush Data'!$A$1:$A$20000,0),MATCH("CPC*",'Semrush Data'!$A$1:$Z$1,0)),"")</f>
        <v/>
      </c>
      <c r="J2727" s="42">
        <f>IFERROR(INDEX('Semrush Data'!$A$1:$Z$20000,MATCH(A2727,'Semrush Data'!$A$1:$A$20000,0),MATCH("Intent",'Semrush Data'!$A$1:$Z$1,0)),"")</f>
        <v/>
      </c>
    </row>
    <row r="2728" ht="15" customHeight="1" s="37">
      <c r="A2728" s="42" t="inlineStr">
        <is>
          <t>game of spades boston notes</t>
        </is>
      </c>
      <c r="B2728" s="42" t="inlineStr">
        <is>
          <t>Google suggest</t>
        </is>
      </c>
      <c r="C2728" s="42" t="n">
        <v>3</v>
      </c>
      <c r="D2728" s="42" t="n">
        <v>28</v>
      </c>
      <c r="E2728" s="42" t="n">
        <v>1</v>
      </c>
      <c r="F2728" s="42" t="inlineStr">
        <is>
          <t>FR-182</t>
        </is>
      </c>
      <c r="G2728" s="55">
        <f>IFERROR(INDEX('Semrush Data'!$A$1:$Z$20000,MATCH(A2728,'Semrush Data'!$A$1:$A$20000,0),MATCH("Volume",'Semrush Data'!$A$1:$Z$1,0)),"")</f>
        <v/>
      </c>
      <c r="H2728" s="42">
        <f>IFERROR(INDEX('Semrush Data'!$A$1:$Z$20000,MATCH(A2728,'Semrush Data'!$A$1:$A$20000,0),MATCH("Keyword Difficulty*",'Semrush Data'!$A$1:$Z$1,0)),"")</f>
        <v/>
      </c>
      <c r="I2728" s="56">
        <f>IFERROR(INDEX('Semrush Data'!$A$1:$Z$20000,MATCH(A2728,'Semrush Data'!$A$1:$A$20000,0),MATCH("CPC*",'Semrush Data'!$A$1:$Z$1,0)),"")</f>
        <v/>
      </c>
      <c r="J2728" s="42">
        <f>IFERROR(INDEX('Semrush Data'!$A$1:$Z$20000,MATCH(A2728,'Semrush Data'!$A$1:$A$20000,0),MATCH("Intent",'Semrush Data'!$A$1:$Z$1,0)),"")</f>
        <v/>
      </c>
    </row>
    <row r="2729" ht="15" customHeight="1" s="37">
      <c r="A2729" s="42" t="inlineStr">
        <is>
          <t>game of spades boston perfume</t>
        </is>
      </c>
      <c r="B2729" s="42" t="inlineStr">
        <is>
          <t>Google suggest</t>
        </is>
      </c>
      <c r="C2729" s="42" t="n">
        <v>3</v>
      </c>
      <c r="D2729" s="42" t="n">
        <v>28</v>
      </c>
      <c r="E2729" s="42" t="n">
        <v>1</v>
      </c>
      <c r="F2729" s="42" t="inlineStr">
        <is>
          <t>FR-182</t>
        </is>
      </c>
      <c r="G2729" s="55">
        <f>IFERROR(INDEX('Semrush Data'!$A$1:$Z$20000,MATCH(A2729,'Semrush Data'!$A$1:$A$20000,0),MATCH("Volume",'Semrush Data'!$A$1:$Z$1,0)),"")</f>
        <v/>
      </c>
      <c r="H2729" s="42">
        <f>IFERROR(INDEX('Semrush Data'!$A$1:$Z$20000,MATCH(A2729,'Semrush Data'!$A$1:$A$20000,0),MATCH("Keyword Difficulty*",'Semrush Data'!$A$1:$Z$1,0)),"")</f>
        <v/>
      </c>
      <c r="I2729" s="56">
        <f>IFERROR(INDEX('Semrush Data'!$A$1:$Z$20000,MATCH(A2729,'Semrush Data'!$A$1:$A$20000,0),MATCH("CPC*",'Semrush Data'!$A$1:$Z$1,0)),"")</f>
        <v/>
      </c>
      <c r="J2729" s="42">
        <f>IFERROR(INDEX('Semrush Data'!$A$1:$Z$20000,MATCH(A2729,'Semrush Data'!$A$1:$A$20000,0),MATCH("Intent",'Semrush Data'!$A$1:$Z$1,0)),"")</f>
        <v/>
      </c>
    </row>
    <row r="2730" ht="15" customHeight="1" s="37">
      <c r="A2730" s="42" t="inlineStr">
        <is>
          <t>game of spades boston review</t>
        </is>
      </c>
      <c r="B2730" s="42" t="inlineStr">
        <is>
          <t>Google suggest</t>
        </is>
      </c>
      <c r="C2730" s="42" t="n">
        <v>3</v>
      </c>
      <c r="D2730" s="42" t="n">
        <v>28</v>
      </c>
      <c r="E2730" s="42" t="n">
        <v>1</v>
      </c>
      <c r="F2730" s="42" t="inlineStr">
        <is>
          <t>FR-182</t>
        </is>
      </c>
      <c r="G2730" s="55">
        <f>IFERROR(INDEX('Semrush Data'!$A$1:$Z$20000,MATCH(A2730,'Semrush Data'!$A$1:$A$20000,0),MATCH("Volume",'Semrush Data'!$A$1:$Z$1,0)),"")</f>
        <v/>
      </c>
      <c r="H2730" s="42">
        <f>IFERROR(INDEX('Semrush Data'!$A$1:$Z$20000,MATCH(A2730,'Semrush Data'!$A$1:$A$20000,0),MATCH("Keyword Difficulty*",'Semrush Data'!$A$1:$Z$1,0)),"")</f>
        <v/>
      </c>
      <c r="I2730" s="56">
        <f>IFERROR(INDEX('Semrush Data'!$A$1:$Z$20000,MATCH(A2730,'Semrush Data'!$A$1:$A$20000,0),MATCH("CPC*",'Semrush Data'!$A$1:$Z$1,0)),"")</f>
        <v/>
      </c>
      <c r="J2730" s="42">
        <f>IFERROR(INDEX('Semrush Data'!$A$1:$Z$20000,MATCH(A2730,'Semrush Data'!$A$1:$A$20000,0),MATCH("Intent",'Semrush Data'!$A$1:$Z$1,0)),"")</f>
        <v/>
      </c>
    </row>
    <row r="2731" ht="15" customHeight="1" s="37">
      <c r="A2731" s="42" t="inlineStr">
        <is>
          <t>game of spades diamond 30ml</t>
        </is>
      </c>
      <c r="B2731" s="42" t="inlineStr">
        <is>
          <t>Google suggest</t>
        </is>
      </c>
      <c r="C2731" s="42" t="n">
        <v>3</v>
      </c>
      <c r="D2731" s="42" t="n">
        <v>28</v>
      </c>
      <c r="E2731" s="42" t="n">
        <v>1</v>
      </c>
      <c r="F2731" s="42" t="inlineStr">
        <is>
          <t>FR-183</t>
        </is>
      </c>
      <c r="G2731" s="55">
        <f>IFERROR(INDEX('Semrush Data'!$A$1:$Z$20000,MATCH(A2731,'Semrush Data'!$A$1:$A$20000,0),MATCH("Volume",'Semrush Data'!$A$1:$Z$1,0)),"")</f>
        <v/>
      </c>
      <c r="H2731" s="42">
        <f>IFERROR(INDEX('Semrush Data'!$A$1:$Z$20000,MATCH(A2731,'Semrush Data'!$A$1:$A$20000,0),MATCH("Keyword Difficulty*",'Semrush Data'!$A$1:$Z$1,0)),"")</f>
        <v/>
      </c>
      <c r="I2731" s="56">
        <f>IFERROR(INDEX('Semrush Data'!$A$1:$Z$20000,MATCH(A2731,'Semrush Data'!$A$1:$A$20000,0),MATCH("CPC*",'Semrush Data'!$A$1:$Z$1,0)),"")</f>
        <v/>
      </c>
      <c r="J2731" s="42">
        <f>IFERROR(INDEX('Semrush Data'!$A$1:$Z$20000,MATCH(A2731,'Semrush Data'!$A$1:$A$20000,0),MATCH("Intent",'Semrush Data'!$A$1:$Z$1,0)),"")</f>
        <v/>
      </c>
    </row>
    <row r="2732" ht="15" customHeight="1" s="37">
      <c r="A2732" s="42" t="inlineStr">
        <is>
          <t>game of spades diamond dupe of</t>
        </is>
      </c>
      <c r="B2732" s="42" t="inlineStr">
        <is>
          <t>Google suggest</t>
        </is>
      </c>
      <c r="C2732" s="42" t="n">
        <v>3</v>
      </c>
      <c r="D2732" s="42" t="n">
        <v>28</v>
      </c>
      <c r="E2732" s="42" t="n">
        <v>1</v>
      </c>
      <c r="F2732" s="42" t="inlineStr">
        <is>
          <t>FR-183</t>
        </is>
      </c>
      <c r="G2732" s="55">
        <f>IFERROR(INDEX('Semrush Data'!$A$1:$Z$20000,MATCH(A2732,'Semrush Data'!$A$1:$A$20000,0),MATCH("Volume",'Semrush Data'!$A$1:$Z$1,0)),"")</f>
        <v/>
      </c>
      <c r="H2732" s="42">
        <f>IFERROR(INDEX('Semrush Data'!$A$1:$Z$20000,MATCH(A2732,'Semrush Data'!$A$1:$A$20000,0),MATCH("Keyword Difficulty*",'Semrush Data'!$A$1:$Z$1,0)),"")</f>
        <v/>
      </c>
      <c r="I2732" s="56">
        <f>IFERROR(INDEX('Semrush Data'!$A$1:$Z$20000,MATCH(A2732,'Semrush Data'!$A$1:$A$20000,0),MATCH("CPC*",'Semrush Data'!$A$1:$Z$1,0)),"")</f>
        <v/>
      </c>
      <c r="J2732" s="42">
        <f>IFERROR(INDEX('Semrush Data'!$A$1:$Z$20000,MATCH(A2732,'Semrush Data'!$A$1:$A$20000,0),MATCH("Intent",'Semrush Data'!$A$1:$Z$1,0)),"")</f>
        <v/>
      </c>
    </row>
    <row r="2733" ht="15" customHeight="1" s="37">
      <c r="A2733" s="42" t="inlineStr">
        <is>
          <t>game of spades diamond notes</t>
        </is>
      </c>
      <c r="B2733" s="42" t="inlineStr">
        <is>
          <t>Google suggest</t>
        </is>
      </c>
      <c r="C2733" s="42" t="n">
        <v>3</v>
      </c>
      <c r="D2733" s="42" t="n">
        <v>28</v>
      </c>
      <c r="E2733" s="42" t="n">
        <v>1</v>
      </c>
      <c r="F2733" s="42" t="inlineStr">
        <is>
          <t>FR-183</t>
        </is>
      </c>
      <c r="G2733" s="55">
        <f>IFERROR(INDEX('Semrush Data'!$A$1:$Z$20000,MATCH(A2733,'Semrush Data'!$A$1:$A$20000,0),MATCH("Volume",'Semrush Data'!$A$1:$Z$1,0)),"")</f>
        <v/>
      </c>
      <c r="H2733" s="42">
        <f>IFERROR(INDEX('Semrush Data'!$A$1:$Z$20000,MATCH(A2733,'Semrush Data'!$A$1:$A$20000,0),MATCH("Keyword Difficulty*",'Semrush Data'!$A$1:$Z$1,0)),"")</f>
        <v/>
      </c>
      <c r="I2733" s="56">
        <f>IFERROR(INDEX('Semrush Data'!$A$1:$Z$20000,MATCH(A2733,'Semrush Data'!$A$1:$A$20000,0),MATCH("CPC*",'Semrush Data'!$A$1:$Z$1,0)),"")</f>
        <v/>
      </c>
      <c r="J2733" s="42">
        <f>IFERROR(INDEX('Semrush Data'!$A$1:$Z$20000,MATCH(A2733,'Semrush Data'!$A$1:$A$20000,0),MATCH("Intent",'Semrush Data'!$A$1:$Z$1,0)),"")</f>
        <v/>
      </c>
    </row>
    <row r="2734" ht="15" customHeight="1" s="37">
      <c r="A2734" s="42" t="inlineStr">
        <is>
          <t>game of spades diamond perfume</t>
        </is>
      </c>
      <c r="B2734" s="42" t="inlineStr">
        <is>
          <t>Google suggest</t>
        </is>
      </c>
      <c r="C2734" s="42" t="n">
        <v>3</v>
      </c>
      <c r="D2734" s="42" t="n">
        <v>28</v>
      </c>
      <c r="E2734" s="42" t="n">
        <v>1</v>
      </c>
      <c r="F2734" s="42" t="inlineStr">
        <is>
          <t>FR-183</t>
        </is>
      </c>
      <c r="G2734" s="55">
        <f>IFERROR(INDEX('Semrush Data'!$A$1:$Z$20000,MATCH(A2734,'Semrush Data'!$A$1:$A$20000,0),MATCH("Volume",'Semrush Data'!$A$1:$Z$1,0)),"")</f>
        <v/>
      </c>
      <c r="H2734" s="42">
        <f>IFERROR(INDEX('Semrush Data'!$A$1:$Z$20000,MATCH(A2734,'Semrush Data'!$A$1:$A$20000,0),MATCH("Keyword Difficulty*",'Semrush Data'!$A$1:$Z$1,0)),"")</f>
        <v/>
      </c>
      <c r="I2734" s="56">
        <f>IFERROR(INDEX('Semrush Data'!$A$1:$Z$20000,MATCH(A2734,'Semrush Data'!$A$1:$A$20000,0),MATCH("CPC*",'Semrush Data'!$A$1:$Z$1,0)),"")</f>
        <v/>
      </c>
      <c r="J2734" s="42">
        <f>IFERROR(INDEX('Semrush Data'!$A$1:$Z$20000,MATCH(A2734,'Semrush Data'!$A$1:$A$20000,0),MATCH("Intent",'Semrush Data'!$A$1:$Z$1,0)),"")</f>
        <v/>
      </c>
    </row>
    <row r="2735" ht="15" customHeight="1" s="37">
      <c r="A2735" s="42" t="inlineStr">
        <is>
          <t>game of spades diamond review</t>
        </is>
      </c>
      <c r="B2735" s="42" t="inlineStr">
        <is>
          <t>Google suggest</t>
        </is>
      </c>
      <c r="C2735" s="42" t="n">
        <v>3</v>
      </c>
      <c r="D2735" s="42" t="n">
        <v>28</v>
      </c>
      <c r="E2735" s="42" t="n">
        <v>1</v>
      </c>
      <c r="F2735" s="42" t="inlineStr">
        <is>
          <t>FR-183</t>
        </is>
      </c>
      <c r="G2735" s="55">
        <f>IFERROR(INDEX('Semrush Data'!$A$1:$Z$20000,MATCH(A2735,'Semrush Data'!$A$1:$A$20000,0),MATCH("Volume",'Semrush Data'!$A$1:$Z$1,0)),"")</f>
        <v/>
      </c>
      <c r="H2735" s="42">
        <f>IFERROR(INDEX('Semrush Data'!$A$1:$Z$20000,MATCH(A2735,'Semrush Data'!$A$1:$A$20000,0),MATCH("Keyword Difficulty*",'Semrush Data'!$A$1:$Z$1,0)),"")</f>
        <v/>
      </c>
      <c r="I2735" s="56">
        <f>IFERROR(INDEX('Semrush Data'!$A$1:$Z$20000,MATCH(A2735,'Semrush Data'!$A$1:$A$20000,0),MATCH("CPC*",'Semrush Data'!$A$1:$Z$1,0)),"")</f>
        <v/>
      </c>
      <c r="J2735" s="42">
        <f>IFERROR(INDEX('Semrush Data'!$A$1:$Z$20000,MATCH(A2735,'Semrush Data'!$A$1:$A$20000,0),MATCH("Intent",'Semrush Data'!$A$1:$Z$1,0)),"")</f>
        <v/>
      </c>
    </row>
    <row r="2736" ht="15" customHeight="1" s="37">
      <c r="A2736" s="42" t="inlineStr">
        <is>
          <t>game of spades full house dupe</t>
        </is>
      </c>
      <c r="B2736" s="42" t="inlineStr">
        <is>
          <t>Google suggest</t>
        </is>
      </c>
      <c r="C2736" s="42" t="n">
        <v>3</v>
      </c>
      <c r="D2736" s="42" t="inlineStr">
        <is>
          <t>T3-1</t>
        </is>
      </c>
      <c r="E2736" s="42" t="n">
        <v>1</v>
      </c>
      <c r="F2736" s="42" t="inlineStr">
        <is>
          <t>FR-184</t>
        </is>
      </c>
      <c r="G2736" s="55">
        <f>IFERROR(INDEX('Semrush Data'!$A$1:$Z$20000,MATCH(A2736,'Semrush Data'!$A$1:$A$20000,0),MATCH("Volume",'Semrush Data'!$A$1:$Z$1,0)),"")</f>
        <v/>
      </c>
      <c r="H2736" s="42">
        <f>IFERROR(INDEX('Semrush Data'!$A$1:$Z$20000,MATCH(A2736,'Semrush Data'!$A$1:$A$20000,0),MATCH("Keyword Difficulty*",'Semrush Data'!$A$1:$Z$1,0)),"")</f>
        <v/>
      </c>
      <c r="I2736" s="56">
        <f>IFERROR(INDEX('Semrush Data'!$A$1:$Z$20000,MATCH(A2736,'Semrush Data'!$A$1:$A$20000,0),MATCH("CPC*",'Semrush Data'!$A$1:$Z$1,0)),"")</f>
        <v/>
      </c>
      <c r="J2736" s="42">
        <f>IFERROR(INDEX('Semrush Data'!$A$1:$Z$20000,MATCH(A2736,'Semrush Data'!$A$1:$A$20000,0),MATCH("Intent",'Semrush Data'!$A$1:$Z$1,0)),"")</f>
        <v/>
      </c>
    </row>
    <row r="2737" ht="15" customHeight="1" s="37">
      <c r="A2737" s="42" t="inlineStr">
        <is>
          <t>game of spades full house notes</t>
        </is>
      </c>
      <c r="B2737" s="42" t="inlineStr">
        <is>
          <t>Google suggest</t>
        </is>
      </c>
      <c r="C2737" s="42" t="n">
        <v>3</v>
      </c>
      <c r="D2737" s="42" t="n">
        <v>28</v>
      </c>
      <c r="E2737" s="42" t="n">
        <v>1</v>
      </c>
      <c r="F2737" s="42" t="inlineStr">
        <is>
          <t>FR-184</t>
        </is>
      </c>
      <c r="G2737" s="55">
        <f>IFERROR(INDEX('Semrush Data'!$A$1:$Z$20000,MATCH(A2737,'Semrush Data'!$A$1:$A$20000,0),MATCH("Volume",'Semrush Data'!$A$1:$Z$1,0)),"")</f>
        <v/>
      </c>
      <c r="H2737" s="42">
        <f>IFERROR(INDEX('Semrush Data'!$A$1:$Z$20000,MATCH(A2737,'Semrush Data'!$A$1:$A$20000,0),MATCH("Keyword Difficulty*",'Semrush Data'!$A$1:$Z$1,0)),"")</f>
        <v/>
      </c>
      <c r="I2737" s="56">
        <f>IFERROR(INDEX('Semrush Data'!$A$1:$Z$20000,MATCH(A2737,'Semrush Data'!$A$1:$A$20000,0),MATCH("CPC*",'Semrush Data'!$A$1:$Z$1,0)),"")</f>
        <v/>
      </c>
      <c r="J2737" s="42">
        <f>IFERROR(INDEX('Semrush Data'!$A$1:$Z$20000,MATCH(A2737,'Semrush Data'!$A$1:$A$20000,0),MATCH("Intent",'Semrush Data'!$A$1:$Z$1,0)),"")</f>
        <v/>
      </c>
    </row>
    <row r="2738" ht="15" customHeight="1" s="37">
      <c r="A2738" s="42" t="inlineStr">
        <is>
          <t>game of spades full house perfume</t>
        </is>
      </c>
      <c r="B2738" s="42" t="inlineStr">
        <is>
          <t>Google suggest</t>
        </is>
      </c>
      <c r="C2738" s="42" t="n">
        <v>3</v>
      </c>
      <c r="D2738" s="42" t="n">
        <v>28</v>
      </c>
      <c r="E2738" s="42" t="n">
        <v>1</v>
      </c>
      <c r="F2738" s="42" t="inlineStr">
        <is>
          <t>FR-184</t>
        </is>
      </c>
      <c r="G2738" s="55">
        <f>IFERROR(INDEX('Semrush Data'!$A$1:$Z$20000,MATCH(A2738,'Semrush Data'!$A$1:$A$20000,0),MATCH("Volume",'Semrush Data'!$A$1:$Z$1,0)),"")</f>
        <v/>
      </c>
      <c r="H2738" s="42">
        <f>IFERROR(INDEX('Semrush Data'!$A$1:$Z$20000,MATCH(A2738,'Semrush Data'!$A$1:$A$20000,0),MATCH("Keyword Difficulty*",'Semrush Data'!$A$1:$Z$1,0)),"")</f>
        <v/>
      </c>
      <c r="I2738" s="56">
        <f>IFERROR(INDEX('Semrush Data'!$A$1:$Z$20000,MATCH(A2738,'Semrush Data'!$A$1:$A$20000,0),MATCH("CPC*",'Semrush Data'!$A$1:$Z$1,0)),"")</f>
        <v/>
      </c>
      <c r="J2738" s="42">
        <f>IFERROR(INDEX('Semrush Data'!$A$1:$Z$20000,MATCH(A2738,'Semrush Data'!$A$1:$A$20000,0),MATCH("Intent",'Semrush Data'!$A$1:$Z$1,0)),"")</f>
        <v/>
      </c>
    </row>
    <row r="2739" ht="15" customHeight="1" s="37">
      <c r="A2739" s="42" t="inlineStr">
        <is>
          <t>game of spades full house review</t>
        </is>
      </c>
      <c r="B2739" s="42" t="inlineStr">
        <is>
          <t>Google suggest</t>
        </is>
      </c>
      <c r="C2739" s="42" t="n">
        <v>3</v>
      </c>
      <c r="D2739" s="42" t="inlineStr">
        <is>
          <t>T3-1</t>
        </is>
      </c>
      <c r="E2739" s="42" t="n">
        <v>1</v>
      </c>
      <c r="F2739" s="42" t="inlineStr">
        <is>
          <t>FR-184</t>
        </is>
      </c>
      <c r="G2739" s="55">
        <f>IFERROR(INDEX('Semrush Data'!$A$1:$Z$20000,MATCH(A2739,'Semrush Data'!$A$1:$A$20000,0),MATCH("Volume",'Semrush Data'!$A$1:$Z$1,0)),"")</f>
        <v/>
      </c>
      <c r="H2739" s="42">
        <f>IFERROR(INDEX('Semrush Data'!$A$1:$Z$20000,MATCH(A2739,'Semrush Data'!$A$1:$A$20000,0),MATCH("Keyword Difficulty*",'Semrush Data'!$A$1:$Z$1,0)),"")</f>
        <v/>
      </c>
      <c r="I2739" s="56">
        <f>IFERROR(INDEX('Semrush Data'!$A$1:$Z$20000,MATCH(A2739,'Semrush Data'!$A$1:$A$20000,0),MATCH("CPC*",'Semrush Data'!$A$1:$Z$1,0)),"")</f>
        <v/>
      </c>
      <c r="J2739" s="42">
        <f>IFERROR(INDEX('Semrush Data'!$A$1:$Z$20000,MATCH(A2739,'Semrush Data'!$A$1:$A$20000,0),MATCH("Intent",'Semrush Data'!$A$1:$Z$1,0)),"")</f>
        <v/>
      </c>
    </row>
    <row r="2740" ht="15" customHeight="1" s="37">
      <c r="A2740" s="42" t="inlineStr">
        <is>
          <t>game of spades high roller dupe of</t>
        </is>
      </c>
      <c r="B2740" s="42" t="inlineStr">
        <is>
          <t>Google suggest</t>
        </is>
      </c>
      <c r="C2740" s="42" t="n">
        <v>3</v>
      </c>
      <c r="D2740" s="42" t="n">
        <v>28</v>
      </c>
      <c r="E2740" s="42" t="n">
        <v>1</v>
      </c>
      <c r="F2740" s="42" t="inlineStr">
        <is>
          <t>FR-185</t>
        </is>
      </c>
      <c r="G2740" s="55">
        <f>IFERROR(INDEX('Semrush Data'!$A$1:$Z$20000,MATCH(A2740,'Semrush Data'!$A$1:$A$20000,0),MATCH("Volume",'Semrush Data'!$A$1:$Z$1,0)),"")</f>
        <v/>
      </c>
      <c r="H2740" s="42">
        <f>IFERROR(INDEX('Semrush Data'!$A$1:$Z$20000,MATCH(A2740,'Semrush Data'!$A$1:$A$20000,0),MATCH("Keyword Difficulty*",'Semrush Data'!$A$1:$Z$1,0)),"")</f>
        <v/>
      </c>
      <c r="I2740" s="56">
        <f>IFERROR(INDEX('Semrush Data'!$A$1:$Z$20000,MATCH(A2740,'Semrush Data'!$A$1:$A$20000,0),MATCH("CPC*",'Semrush Data'!$A$1:$Z$1,0)),"")</f>
        <v/>
      </c>
      <c r="J2740" s="42">
        <f>IFERROR(INDEX('Semrush Data'!$A$1:$Z$20000,MATCH(A2740,'Semrush Data'!$A$1:$A$20000,0),MATCH("Intent",'Semrush Data'!$A$1:$Z$1,0)),"")</f>
        <v/>
      </c>
    </row>
    <row r="2741" ht="15" customHeight="1" s="37">
      <c r="A2741" s="42" t="inlineStr">
        <is>
          <t>game of spades high roller notes</t>
        </is>
      </c>
      <c r="B2741" s="42" t="inlineStr">
        <is>
          <t>Google suggest</t>
        </is>
      </c>
      <c r="C2741" s="42" t="n">
        <v>3</v>
      </c>
      <c r="D2741" s="42" t="n">
        <v>28</v>
      </c>
      <c r="E2741" s="42" t="n">
        <v>1</v>
      </c>
      <c r="F2741" s="42" t="inlineStr">
        <is>
          <t>FR-185</t>
        </is>
      </c>
      <c r="G2741" s="55">
        <f>IFERROR(INDEX('Semrush Data'!$A$1:$Z$20000,MATCH(A2741,'Semrush Data'!$A$1:$A$20000,0),MATCH("Volume",'Semrush Data'!$A$1:$Z$1,0)),"")</f>
        <v/>
      </c>
      <c r="H2741" s="42">
        <f>IFERROR(INDEX('Semrush Data'!$A$1:$Z$20000,MATCH(A2741,'Semrush Data'!$A$1:$A$20000,0),MATCH("Keyword Difficulty*",'Semrush Data'!$A$1:$Z$1,0)),"")</f>
        <v/>
      </c>
      <c r="I2741" s="56">
        <f>IFERROR(INDEX('Semrush Data'!$A$1:$Z$20000,MATCH(A2741,'Semrush Data'!$A$1:$A$20000,0),MATCH("CPC*",'Semrush Data'!$A$1:$Z$1,0)),"")</f>
        <v/>
      </c>
      <c r="J2741" s="42">
        <f>IFERROR(INDEX('Semrush Data'!$A$1:$Z$20000,MATCH(A2741,'Semrush Data'!$A$1:$A$20000,0),MATCH("Intent",'Semrush Data'!$A$1:$Z$1,0)),"")</f>
        <v/>
      </c>
    </row>
    <row r="2742" ht="15" customHeight="1" s="37">
      <c r="A2742" s="42" t="inlineStr">
        <is>
          <t>game of spades high roller review</t>
        </is>
      </c>
      <c r="B2742" s="42" t="inlineStr">
        <is>
          <t>Google suggest</t>
        </is>
      </c>
      <c r="C2742" s="42" t="n">
        <v>3</v>
      </c>
      <c r="D2742" s="42" t="n">
        <v>28</v>
      </c>
      <c r="E2742" s="42" t="n">
        <v>1</v>
      </c>
      <c r="F2742" s="42" t="inlineStr">
        <is>
          <t>FR-185</t>
        </is>
      </c>
      <c r="G2742" s="55">
        <f>IFERROR(INDEX('Semrush Data'!$A$1:$Z$20000,MATCH(A2742,'Semrush Data'!$A$1:$A$20000,0),MATCH("Volume",'Semrush Data'!$A$1:$Z$1,0)),"")</f>
        <v/>
      </c>
      <c r="H2742" s="42">
        <f>IFERROR(INDEX('Semrush Data'!$A$1:$Z$20000,MATCH(A2742,'Semrush Data'!$A$1:$A$20000,0),MATCH("Keyword Difficulty*",'Semrush Data'!$A$1:$Z$1,0)),"")</f>
        <v/>
      </c>
      <c r="I2742" s="56">
        <f>IFERROR(INDEX('Semrush Data'!$A$1:$Z$20000,MATCH(A2742,'Semrush Data'!$A$1:$A$20000,0),MATCH("CPC*",'Semrush Data'!$A$1:$Z$1,0)),"")</f>
        <v/>
      </c>
      <c r="J2742" s="42">
        <f>IFERROR(INDEX('Semrush Data'!$A$1:$Z$20000,MATCH(A2742,'Semrush Data'!$A$1:$A$20000,0),MATCH("Intent",'Semrush Data'!$A$1:$Z$1,0)),"")</f>
        <v/>
      </c>
    </row>
    <row r="2743" ht="15" customHeight="1" s="37">
      <c r="A2743" s="42" t="inlineStr">
        <is>
          <t>game of spades jackpot dupe of</t>
        </is>
      </c>
      <c r="B2743" s="42" t="inlineStr">
        <is>
          <t>Google suggest</t>
        </is>
      </c>
      <c r="C2743" s="42" t="n">
        <v>3</v>
      </c>
      <c r="D2743" s="42" t="n">
        <v>28</v>
      </c>
      <c r="E2743" s="42" t="n">
        <v>1</v>
      </c>
      <c r="F2743" s="42" t="inlineStr">
        <is>
          <t>FR-186</t>
        </is>
      </c>
      <c r="G2743" s="55">
        <f>IFERROR(INDEX('Semrush Data'!$A$1:$Z$20000,MATCH(A2743,'Semrush Data'!$A$1:$A$20000,0),MATCH("Volume",'Semrush Data'!$A$1:$Z$1,0)),"")</f>
        <v/>
      </c>
      <c r="H2743" s="42">
        <f>IFERROR(INDEX('Semrush Data'!$A$1:$Z$20000,MATCH(A2743,'Semrush Data'!$A$1:$A$20000,0),MATCH("Keyword Difficulty*",'Semrush Data'!$A$1:$Z$1,0)),"")</f>
        <v/>
      </c>
      <c r="I2743" s="56">
        <f>IFERROR(INDEX('Semrush Data'!$A$1:$Z$20000,MATCH(A2743,'Semrush Data'!$A$1:$A$20000,0),MATCH("CPC*",'Semrush Data'!$A$1:$Z$1,0)),"")</f>
        <v/>
      </c>
      <c r="J2743" s="42">
        <f>IFERROR(INDEX('Semrush Data'!$A$1:$Z$20000,MATCH(A2743,'Semrush Data'!$A$1:$A$20000,0),MATCH("Intent",'Semrush Data'!$A$1:$Z$1,0)),"")</f>
        <v/>
      </c>
    </row>
    <row r="2744" ht="15" customHeight="1" s="37">
      <c r="A2744" s="42" t="inlineStr">
        <is>
          <t>game of spades jackpot notes</t>
        </is>
      </c>
      <c r="B2744" s="42" t="inlineStr">
        <is>
          <t>Google suggest</t>
        </is>
      </c>
      <c r="C2744" s="42" t="n">
        <v>3</v>
      </c>
      <c r="D2744" s="42" t="n">
        <v>28</v>
      </c>
      <c r="E2744" s="42" t="n">
        <v>1</v>
      </c>
      <c r="F2744" s="42" t="inlineStr">
        <is>
          <t>FR-186</t>
        </is>
      </c>
      <c r="G2744" s="55">
        <f>IFERROR(INDEX('Semrush Data'!$A$1:$Z$20000,MATCH(A2744,'Semrush Data'!$A$1:$A$20000,0),MATCH("Volume",'Semrush Data'!$A$1:$Z$1,0)),"")</f>
        <v/>
      </c>
      <c r="H2744" s="42">
        <f>IFERROR(INDEX('Semrush Data'!$A$1:$Z$20000,MATCH(A2744,'Semrush Data'!$A$1:$A$20000,0),MATCH("Keyword Difficulty*",'Semrush Data'!$A$1:$Z$1,0)),"")</f>
        <v/>
      </c>
      <c r="I2744" s="56">
        <f>IFERROR(INDEX('Semrush Data'!$A$1:$Z$20000,MATCH(A2744,'Semrush Data'!$A$1:$A$20000,0),MATCH("CPC*",'Semrush Data'!$A$1:$Z$1,0)),"")</f>
        <v/>
      </c>
      <c r="J2744" s="42">
        <f>IFERROR(INDEX('Semrush Data'!$A$1:$Z$20000,MATCH(A2744,'Semrush Data'!$A$1:$A$20000,0),MATCH("Intent",'Semrush Data'!$A$1:$Z$1,0)),"")</f>
        <v/>
      </c>
    </row>
    <row r="2745" ht="15" customHeight="1" s="37">
      <c r="A2745" s="42" t="inlineStr">
        <is>
          <t>game of spades jackpot review</t>
        </is>
      </c>
      <c r="B2745" s="42" t="inlineStr">
        <is>
          <t>Google suggest</t>
        </is>
      </c>
      <c r="C2745" s="42" t="n">
        <v>3</v>
      </c>
      <c r="D2745" s="42" t="n">
        <v>28</v>
      </c>
      <c r="E2745" s="42" t="n">
        <v>1</v>
      </c>
      <c r="F2745" s="42" t="inlineStr">
        <is>
          <t>FR-186</t>
        </is>
      </c>
      <c r="G2745" s="55">
        <f>IFERROR(INDEX('Semrush Data'!$A$1:$Z$20000,MATCH(A2745,'Semrush Data'!$A$1:$A$20000,0),MATCH("Volume",'Semrush Data'!$A$1:$Z$1,0)),"")</f>
        <v/>
      </c>
      <c r="H2745" s="42">
        <f>IFERROR(INDEX('Semrush Data'!$A$1:$Z$20000,MATCH(A2745,'Semrush Data'!$A$1:$A$20000,0),MATCH("Keyword Difficulty*",'Semrush Data'!$A$1:$Z$1,0)),"")</f>
        <v/>
      </c>
      <c r="I2745" s="56">
        <f>IFERROR(INDEX('Semrush Data'!$A$1:$Z$20000,MATCH(A2745,'Semrush Data'!$A$1:$A$20000,0),MATCH("CPC*",'Semrush Data'!$A$1:$Z$1,0)),"")</f>
        <v/>
      </c>
      <c r="J2745" s="42">
        <f>IFERROR(INDEX('Semrush Data'!$A$1:$Z$20000,MATCH(A2745,'Semrush Data'!$A$1:$A$20000,0),MATCH("Intent",'Semrush Data'!$A$1:$Z$1,0)),"")</f>
        <v/>
      </c>
    </row>
    <row r="2746" ht="15" customHeight="1" s="37">
      <c r="A2746" s="42" t="inlineStr">
        <is>
          <t>game of spades king 30ml</t>
        </is>
      </c>
      <c r="B2746" s="42" t="inlineStr">
        <is>
          <t>Google suggest</t>
        </is>
      </c>
      <c r="C2746" s="42" t="n">
        <v>3</v>
      </c>
      <c r="D2746" s="42" t="n">
        <v>28</v>
      </c>
      <c r="E2746" s="42" t="n">
        <v>1</v>
      </c>
      <c r="F2746" s="42" t="inlineStr">
        <is>
          <t>FR-187</t>
        </is>
      </c>
      <c r="G2746" s="55">
        <f>IFERROR(INDEX('Semrush Data'!$A$1:$Z$20000,MATCH(A2746,'Semrush Data'!$A$1:$A$20000,0),MATCH("Volume",'Semrush Data'!$A$1:$Z$1,0)),"")</f>
        <v/>
      </c>
      <c r="H2746" s="42">
        <f>IFERROR(INDEX('Semrush Data'!$A$1:$Z$20000,MATCH(A2746,'Semrush Data'!$A$1:$A$20000,0),MATCH("Keyword Difficulty*",'Semrush Data'!$A$1:$Z$1,0)),"")</f>
        <v/>
      </c>
      <c r="I2746" s="56">
        <f>IFERROR(INDEX('Semrush Data'!$A$1:$Z$20000,MATCH(A2746,'Semrush Data'!$A$1:$A$20000,0),MATCH("CPC*",'Semrush Data'!$A$1:$Z$1,0)),"")</f>
        <v/>
      </c>
      <c r="J2746" s="42">
        <f>IFERROR(INDEX('Semrush Data'!$A$1:$Z$20000,MATCH(A2746,'Semrush Data'!$A$1:$A$20000,0),MATCH("Intent",'Semrush Data'!$A$1:$Z$1,0)),"")</f>
        <v/>
      </c>
    </row>
    <row r="2747" ht="15" customHeight="1" s="37">
      <c r="A2747" s="42" t="inlineStr">
        <is>
          <t>game of spades king dupe of</t>
        </is>
      </c>
      <c r="B2747" s="42" t="inlineStr">
        <is>
          <t>Google suggest</t>
        </is>
      </c>
      <c r="C2747" s="42" t="n">
        <v>3</v>
      </c>
      <c r="D2747" s="42" t="n">
        <v>28</v>
      </c>
      <c r="E2747" s="42" t="n">
        <v>1</v>
      </c>
      <c r="F2747" s="42" t="inlineStr">
        <is>
          <t>FR-187</t>
        </is>
      </c>
      <c r="G2747" s="55">
        <f>IFERROR(INDEX('Semrush Data'!$A$1:$Z$20000,MATCH(A2747,'Semrush Data'!$A$1:$A$20000,0),MATCH("Volume",'Semrush Data'!$A$1:$Z$1,0)),"")</f>
        <v/>
      </c>
      <c r="H2747" s="42">
        <f>IFERROR(INDEX('Semrush Data'!$A$1:$Z$20000,MATCH(A2747,'Semrush Data'!$A$1:$A$20000,0),MATCH("Keyword Difficulty*",'Semrush Data'!$A$1:$Z$1,0)),"")</f>
        <v/>
      </c>
      <c r="I2747" s="56">
        <f>IFERROR(INDEX('Semrush Data'!$A$1:$Z$20000,MATCH(A2747,'Semrush Data'!$A$1:$A$20000,0),MATCH("CPC*",'Semrush Data'!$A$1:$Z$1,0)),"")</f>
        <v/>
      </c>
      <c r="J2747" s="42">
        <f>IFERROR(INDEX('Semrush Data'!$A$1:$Z$20000,MATCH(A2747,'Semrush Data'!$A$1:$A$20000,0),MATCH("Intent",'Semrush Data'!$A$1:$Z$1,0)),"")</f>
        <v/>
      </c>
    </row>
    <row r="2748" ht="15" customHeight="1" s="37">
      <c r="A2748" s="42" t="inlineStr">
        <is>
          <t>game of spades king notes</t>
        </is>
      </c>
      <c r="B2748" s="42" t="inlineStr">
        <is>
          <t>Google suggest</t>
        </is>
      </c>
      <c r="C2748" s="42" t="n">
        <v>3</v>
      </c>
      <c r="D2748" s="42" t="n">
        <v>28</v>
      </c>
      <c r="E2748" s="42" t="n">
        <v>1</v>
      </c>
      <c r="F2748" s="42" t="inlineStr">
        <is>
          <t>FR-187</t>
        </is>
      </c>
      <c r="G2748" s="55">
        <f>IFERROR(INDEX('Semrush Data'!$A$1:$Z$20000,MATCH(A2748,'Semrush Data'!$A$1:$A$20000,0),MATCH("Volume",'Semrush Data'!$A$1:$Z$1,0)),"")</f>
        <v/>
      </c>
      <c r="H2748" s="42">
        <f>IFERROR(INDEX('Semrush Data'!$A$1:$Z$20000,MATCH(A2748,'Semrush Data'!$A$1:$A$20000,0),MATCH("Keyword Difficulty*",'Semrush Data'!$A$1:$Z$1,0)),"")</f>
        <v/>
      </c>
      <c r="I2748" s="56">
        <f>IFERROR(INDEX('Semrush Data'!$A$1:$Z$20000,MATCH(A2748,'Semrush Data'!$A$1:$A$20000,0),MATCH("CPC*",'Semrush Data'!$A$1:$Z$1,0)),"")</f>
        <v/>
      </c>
      <c r="J2748" s="42">
        <f>IFERROR(INDEX('Semrush Data'!$A$1:$Z$20000,MATCH(A2748,'Semrush Data'!$A$1:$A$20000,0),MATCH("Intent",'Semrush Data'!$A$1:$Z$1,0)),"")</f>
        <v/>
      </c>
    </row>
    <row r="2749" ht="15" customHeight="1" s="37">
      <c r="A2749" s="42" t="inlineStr">
        <is>
          <t>game of spades king perfume</t>
        </is>
      </c>
      <c r="B2749" s="42" t="inlineStr">
        <is>
          <t>Google suggest</t>
        </is>
      </c>
      <c r="C2749" s="42" t="n">
        <v>3</v>
      </c>
      <c r="D2749" s="42" t="n">
        <v>28</v>
      </c>
      <c r="E2749" s="42" t="n">
        <v>1</v>
      </c>
      <c r="F2749" s="42" t="inlineStr">
        <is>
          <t>FR-187</t>
        </is>
      </c>
      <c r="G2749" s="55">
        <f>IFERROR(INDEX('Semrush Data'!$A$1:$Z$20000,MATCH(A2749,'Semrush Data'!$A$1:$A$20000,0),MATCH("Volume",'Semrush Data'!$A$1:$Z$1,0)),"")</f>
        <v/>
      </c>
      <c r="H2749" s="42">
        <f>IFERROR(INDEX('Semrush Data'!$A$1:$Z$20000,MATCH(A2749,'Semrush Data'!$A$1:$A$20000,0),MATCH("Keyword Difficulty*",'Semrush Data'!$A$1:$Z$1,0)),"")</f>
        <v/>
      </c>
      <c r="I2749" s="56">
        <f>IFERROR(INDEX('Semrush Data'!$A$1:$Z$20000,MATCH(A2749,'Semrush Data'!$A$1:$A$20000,0),MATCH("CPC*",'Semrush Data'!$A$1:$Z$1,0)),"")</f>
        <v/>
      </c>
      <c r="J2749" s="42">
        <f>IFERROR(INDEX('Semrush Data'!$A$1:$Z$20000,MATCH(A2749,'Semrush Data'!$A$1:$A$20000,0),MATCH("Intent",'Semrush Data'!$A$1:$Z$1,0)),"")</f>
        <v/>
      </c>
    </row>
    <row r="2750" ht="15" customHeight="1" s="37">
      <c r="A2750" s="42" t="inlineStr">
        <is>
          <t>game of spades king review</t>
        </is>
      </c>
      <c r="B2750" s="42" t="inlineStr">
        <is>
          <t>Google suggest</t>
        </is>
      </c>
      <c r="C2750" s="42" t="n">
        <v>3</v>
      </c>
      <c r="D2750" s="42" t="n">
        <v>28</v>
      </c>
      <c r="E2750" s="42" t="n">
        <v>1</v>
      </c>
      <c r="F2750" s="42" t="inlineStr">
        <is>
          <t>FR-187</t>
        </is>
      </c>
      <c r="G2750" s="55">
        <f>IFERROR(INDEX('Semrush Data'!$A$1:$Z$20000,MATCH(A2750,'Semrush Data'!$A$1:$A$20000,0),MATCH("Volume",'Semrush Data'!$A$1:$Z$1,0)),"")</f>
        <v/>
      </c>
      <c r="H2750" s="42">
        <f>IFERROR(INDEX('Semrush Data'!$A$1:$Z$20000,MATCH(A2750,'Semrush Data'!$A$1:$A$20000,0),MATCH("Keyword Difficulty*",'Semrush Data'!$A$1:$Z$1,0)),"")</f>
        <v/>
      </c>
      <c r="I2750" s="56">
        <f>IFERROR(INDEX('Semrush Data'!$A$1:$Z$20000,MATCH(A2750,'Semrush Data'!$A$1:$A$20000,0),MATCH("CPC*",'Semrush Data'!$A$1:$Z$1,0)),"")</f>
        <v/>
      </c>
      <c r="J2750" s="42">
        <f>IFERROR(INDEX('Semrush Data'!$A$1:$Z$20000,MATCH(A2750,'Semrush Data'!$A$1:$A$20000,0),MATCH("Intent",'Semrush Data'!$A$1:$Z$1,0)),"")</f>
        <v/>
      </c>
    </row>
    <row r="2751" ht="15" customHeight="1" s="37">
      <c r="A2751" s="42" t="inlineStr">
        <is>
          <t>game of spades moon dupe of</t>
        </is>
      </c>
      <c r="B2751" s="42" t="inlineStr">
        <is>
          <t>Google suggest</t>
        </is>
      </c>
      <c r="C2751" s="42" t="n">
        <v>3</v>
      </c>
      <c r="D2751" s="42" t="n">
        <v>28</v>
      </c>
      <c r="E2751" s="42" t="n">
        <v>1</v>
      </c>
      <c r="F2751" s="42" t="inlineStr">
        <is>
          <t>FR-188</t>
        </is>
      </c>
      <c r="G2751" s="55">
        <f>IFERROR(INDEX('Semrush Data'!$A$1:$Z$20000,MATCH(A2751,'Semrush Data'!$A$1:$A$20000,0),MATCH("Volume",'Semrush Data'!$A$1:$Z$1,0)),"")</f>
        <v/>
      </c>
      <c r="H2751" s="42">
        <f>IFERROR(INDEX('Semrush Data'!$A$1:$Z$20000,MATCH(A2751,'Semrush Data'!$A$1:$A$20000,0),MATCH("Keyword Difficulty*",'Semrush Data'!$A$1:$Z$1,0)),"")</f>
        <v/>
      </c>
      <c r="I2751" s="56">
        <f>IFERROR(INDEX('Semrush Data'!$A$1:$Z$20000,MATCH(A2751,'Semrush Data'!$A$1:$A$20000,0),MATCH("CPC*",'Semrush Data'!$A$1:$Z$1,0)),"")</f>
        <v/>
      </c>
      <c r="J2751" s="42">
        <f>IFERROR(INDEX('Semrush Data'!$A$1:$Z$20000,MATCH(A2751,'Semrush Data'!$A$1:$A$20000,0),MATCH("Intent",'Semrush Data'!$A$1:$Z$1,0)),"")</f>
        <v/>
      </c>
    </row>
    <row r="2752" ht="15" customHeight="1" s="37">
      <c r="A2752" s="42" t="inlineStr">
        <is>
          <t>game of spades moon notes</t>
        </is>
      </c>
      <c r="B2752" s="42" t="inlineStr">
        <is>
          <t>Google suggest</t>
        </is>
      </c>
      <c r="C2752" s="42" t="n">
        <v>3</v>
      </c>
      <c r="D2752" s="42" t="n">
        <v>28</v>
      </c>
      <c r="E2752" s="42" t="n">
        <v>1</v>
      </c>
      <c r="F2752" s="42" t="inlineStr">
        <is>
          <t>FR-188</t>
        </is>
      </c>
      <c r="G2752" s="55">
        <f>IFERROR(INDEX('Semrush Data'!$A$1:$Z$20000,MATCH(A2752,'Semrush Data'!$A$1:$A$20000,0),MATCH("Volume",'Semrush Data'!$A$1:$Z$1,0)),"")</f>
        <v/>
      </c>
      <c r="H2752" s="42">
        <f>IFERROR(INDEX('Semrush Data'!$A$1:$Z$20000,MATCH(A2752,'Semrush Data'!$A$1:$A$20000,0),MATCH("Keyword Difficulty*",'Semrush Data'!$A$1:$Z$1,0)),"")</f>
        <v/>
      </c>
      <c r="I2752" s="56">
        <f>IFERROR(INDEX('Semrush Data'!$A$1:$Z$20000,MATCH(A2752,'Semrush Data'!$A$1:$A$20000,0),MATCH("CPC*",'Semrush Data'!$A$1:$Z$1,0)),"")</f>
        <v/>
      </c>
      <c r="J2752" s="42">
        <f>IFERROR(INDEX('Semrush Data'!$A$1:$Z$20000,MATCH(A2752,'Semrush Data'!$A$1:$A$20000,0),MATCH("Intent",'Semrush Data'!$A$1:$Z$1,0)),"")</f>
        <v/>
      </c>
    </row>
    <row r="2753" ht="15" customHeight="1" s="37">
      <c r="A2753" s="42" t="inlineStr">
        <is>
          <t>game of spades moon perfume</t>
        </is>
      </c>
      <c r="B2753" s="42" t="inlineStr">
        <is>
          <t>Google suggest</t>
        </is>
      </c>
      <c r="C2753" s="42" t="n">
        <v>3</v>
      </c>
      <c r="D2753" s="42" t="n">
        <v>28</v>
      </c>
      <c r="E2753" s="42" t="n">
        <v>1</v>
      </c>
      <c r="F2753" s="42" t="inlineStr">
        <is>
          <t>FR-188</t>
        </is>
      </c>
      <c r="G2753" s="55">
        <f>IFERROR(INDEX('Semrush Data'!$A$1:$Z$20000,MATCH(A2753,'Semrush Data'!$A$1:$A$20000,0),MATCH("Volume",'Semrush Data'!$A$1:$Z$1,0)),"")</f>
        <v/>
      </c>
      <c r="H2753" s="42">
        <f>IFERROR(INDEX('Semrush Data'!$A$1:$Z$20000,MATCH(A2753,'Semrush Data'!$A$1:$A$20000,0),MATCH("Keyword Difficulty*",'Semrush Data'!$A$1:$Z$1,0)),"")</f>
        <v/>
      </c>
      <c r="I2753" s="56">
        <f>IFERROR(INDEX('Semrush Data'!$A$1:$Z$20000,MATCH(A2753,'Semrush Data'!$A$1:$A$20000,0),MATCH("CPC*",'Semrush Data'!$A$1:$Z$1,0)),"")</f>
        <v/>
      </c>
      <c r="J2753" s="42">
        <f>IFERROR(INDEX('Semrush Data'!$A$1:$Z$20000,MATCH(A2753,'Semrush Data'!$A$1:$A$20000,0),MATCH("Intent",'Semrush Data'!$A$1:$Z$1,0)),"")</f>
        <v/>
      </c>
    </row>
    <row r="2754" ht="15" customHeight="1" s="37">
      <c r="A2754" s="42" t="inlineStr">
        <is>
          <t>game of spades moon review</t>
        </is>
      </c>
      <c r="B2754" s="42" t="inlineStr">
        <is>
          <t>Google suggest</t>
        </is>
      </c>
      <c r="C2754" s="42" t="n">
        <v>3</v>
      </c>
      <c r="D2754" s="42" t="n">
        <v>28</v>
      </c>
      <c r="E2754" s="42" t="n">
        <v>1</v>
      </c>
      <c r="F2754" s="42" t="inlineStr">
        <is>
          <t>FR-188</t>
        </is>
      </c>
      <c r="G2754" s="55">
        <f>IFERROR(INDEX('Semrush Data'!$A$1:$Z$20000,MATCH(A2754,'Semrush Data'!$A$1:$A$20000,0),MATCH("Volume",'Semrush Data'!$A$1:$Z$1,0)),"")</f>
        <v/>
      </c>
      <c r="H2754" s="42">
        <f>IFERROR(INDEX('Semrush Data'!$A$1:$Z$20000,MATCH(A2754,'Semrush Data'!$A$1:$A$20000,0),MATCH("Keyword Difficulty*",'Semrush Data'!$A$1:$Z$1,0)),"")</f>
        <v/>
      </c>
      <c r="I2754" s="56">
        <f>IFERROR(INDEX('Semrush Data'!$A$1:$Z$20000,MATCH(A2754,'Semrush Data'!$A$1:$A$20000,0),MATCH("CPC*",'Semrush Data'!$A$1:$Z$1,0)),"")</f>
        <v/>
      </c>
      <c r="J2754" s="42">
        <f>IFERROR(INDEX('Semrush Data'!$A$1:$Z$20000,MATCH(A2754,'Semrush Data'!$A$1:$A$20000,0),MATCH("Intent",'Semrush Data'!$A$1:$Z$1,0)),"")</f>
        <v/>
      </c>
    </row>
    <row r="2755" ht="15" customHeight="1" s="37">
      <c r="A2755" s="42" t="inlineStr">
        <is>
          <t>game of spades opal dupe of</t>
        </is>
      </c>
      <c r="B2755" s="42" t="inlineStr">
        <is>
          <t>Google suggest</t>
        </is>
      </c>
      <c r="C2755" s="42" t="n">
        <v>3</v>
      </c>
      <c r="D2755" s="42" t="n">
        <v>28</v>
      </c>
      <c r="E2755" s="42" t="n">
        <v>1</v>
      </c>
      <c r="F2755" s="42" t="inlineStr">
        <is>
          <t>FR-189</t>
        </is>
      </c>
      <c r="G2755" s="55">
        <f>IFERROR(INDEX('Semrush Data'!$A$1:$Z$20000,MATCH(A2755,'Semrush Data'!$A$1:$A$20000,0),MATCH("Volume",'Semrush Data'!$A$1:$Z$1,0)),"")</f>
        <v/>
      </c>
      <c r="H2755" s="42">
        <f>IFERROR(INDEX('Semrush Data'!$A$1:$Z$20000,MATCH(A2755,'Semrush Data'!$A$1:$A$20000,0),MATCH("Keyword Difficulty*",'Semrush Data'!$A$1:$Z$1,0)),"")</f>
        <v/>
      </c>
      <c r="I2755" s="56">
        <f>IFERROR(INDEX('Semrush Data'!$A$1:$Z$20000,MATCH(A2755,'Semrush Data'!$A$1:$A$20000,0),MATCH("CPC*",'Semrush Data'!$A$1:$Z$1,0)),"")</f>
        <v/>
      </c>
      <c r="J2755" s="42">
        <f>IFERROR(INDEX('Semrush Data'!$A$1:$Z$20000,MATCH(A2755,'Semrush Data'!$A$1:$A$20000,0),MATCH("Intent",'Semrush Data'!$A$1:$Z$1,0)),"")</f>
        <v/>
      </c>
    </row>
    <row r="2756" ht="15" customHeight="1" s="37">
      <c r="A2756" s="42" t="inlineStr">
        <is>
          <t>game of spades opal notes</t>
        </is>
      </c>
      <c r="B2756" s="42" t="inlineStr">
        <is>
          <t>Google suggest</t>
        </is>
      </c>
      <c r="C2756" s="42" t="n">
        <v>3</v>
      </c>
      <c r="D2756" s="42" t="n">
        <v>28</v>
      </c>
      <c r="E2756" s="42" t="n">
        <v>1</v>
      </c>
      <c r="F2756" s="42" t="inlineStr">
        <is>
          <t>FR-189</t>
        </is>
      </c>
      <c r="G2756" s="55">
        <f>IFERROR(INDEX('Semrush Data'!$A$1:$Z$20000,MATCH(A2756,'Semrush Data'!$A$1:$A$20000,0),MATCH("Volume",'Semrush Data'!$A$1:$Z$1,0)),"")</f>
        <v/>
      </c>
      <c r="H2756" s="42">
        <f>IFERROR(INDEX('Semrush Data'!$A$1:$Z$20000,MATCH(A2756,'Semrush Data'!$A$1:$A$20000,0),MATCH("Keyword Difficulty*",'Semrush Data'!$A$1:$Z$1,0)),"")</f>
        <v/>
      </c>
      <c r="I2756" s="56">
        <f>IFERROR(INDEX('Semrush Data'!$A$1:$Z$20000,MATCH(A2756,'Semrush Data'!$A$1:$A$20000,0),MATCH("CPC*",'Semrush Data'!$A$1:$Z$1,0)),"")</f>
        <v/>
      </c>
      <c r="J2756" s="42">
        <f>IFERROR(INDEX('Semrush Data'!$A$1:$Z$20000,MATCH(A2756,'Semrush Data'!$A$1:$A$20000,0),MATCH("Intent",'Semrush Data'!$A$1:$Z$1,0)),"")</f>
        <v/>
      </c>
    </row>
    <row r="2757" ht="15" customHeight="1" s="37">
      <c r="A2757" s="42" t="inlineStr">
        <is>
          <t>game of spades opal review</t>
        </is>
      </c>
      <c r="B2757" s="42" t="inlineStr">
        <is>
          <t>Google suggest</t>
        </is>
      </c>
      <c r="C2757" s="42" t="n">
        <v>3</v>
      </c>
      <c r="D2757" s="42" t="n">
        <v>28</v>
      </c>
      <c r="E2757" s="42" t="n">
        <v>1</v>
      </c>
      <c r="F2757" s="42" t="inlineStr">
        <is>
          <t>FR-189</t>
        </is>
      </c>
      <c r="G2757" s="55">
        <f>IFERROR(INDEX('Semrush Data'!$A$1:$Z$20000,MATCH(A2757,'Semrush Data'!$A$1:$A$20000,0),MATCH("Volume",'Semrush Data'!$A$1:$Z$1,0)),"")</f>
        <v/>
      </c>
      <c r="H2757" s="42">
        <f>IFERROR(INDEX('Semrush Data'!$A$1:$Z$20000,MATCH(A2757,'Semrush Data'!$A$1:$A$20000,0),MATCH("Keyword Difficulty*",'Semrush Data'!$A$1:$Z$1,0)),"")</f>
        <v/>
      </c>
      <c r="I2757" s="56">
        <f>IFERROR(INDEX('Semrush Data'!$A$1:$Z$20000,MATCH(A2757,'Semrush Data'!$A$1:$A$20000,0),MATCH("CPC*",'Semrush Data'!$A$1:$Z$1,0)),"")</f>
        <v/>
      </c>
      <c r="J2757" s="42">
        <f>IFERROR(INDEX('Semrush Data'!$A$1:$Z$20000,MATCH(A2757,'Semrush Data'!$A$1:$A$20000,0),MATCH("Intent",'Semrush Data'!$A$1:$Z$1,0)),"")</f>
        <v/>
      </c>
    </row>
    <row r="2758" ht="15" customHeight="1" s="37">
      <c r="A2758" s="42" t="inlineStr">
        <is>
          <t>game of spades opal smells like</t>
        </is>
      </c>
      <c r="B2758" s="42" t="inlineStr">
        <is>
          <t>Google suggest</t>
        </is>
      </c>
      <c r="C2758" s="42" t="n">
        <v>3</v>
      </c>
      <c r="D2758" s="42" t="n">
        <v>28</v>
      </c>
      <c r="E2758" s="42" t="n">
        <v>1</v>
      </c>
      <c r="F2758" s="42" t="inlineStr">
        <is>
          <t>FR-189</t>
        </is>
      </c>
      <c r="G2758" s="55">
        <f>IFERROR(INDEX('Semrush Data'!$A$1:$Z$20000,MATCH(A2758,'Semrush Data'!$A$1:$A$20000,0),MATCH("Volume",'Semrush Data'!$A$1:$Z$1,0)),"")</f>
        <v/>
      </c>
      <c r="H2758" s="42">
        <f>IFERROR(INDEX('Semrush Data'!$A$1:$Z$20000,MATCH(A2758,'Semrush Data'!$A$1:$A$20000,0),MATCH("Keyword Difficulty*",'Semrush Data'!$A$1:$Z$1,0)),"")</f>
        <v/>
      </c>
      <c r="I2758" s="56">
        <f>IFERROR(INDEX('Semrush Data'!$A$1:$Z$20000,MATCH(A2758,'Semrush Data'!$A$1:$A$20000,0),MATCH("CPC*",'Semrush Data'!$A$1:$Z$1,0)),"")</f>
        <v/>
      </c>
      <c r="J2758" s="42">
        <f>IFERROR(INDEX('Semrush Data'!$A$1:$Z$20000,MATCH(A2758,'Semrush Data'!$A$1:$A$20000,0),MATCH("Intent",'Semrush Data'!$A$1:$Z$1,0)),"")</f>
        <v/>
      </c>
    </row>
    <row r="2759" ht="15" customHeight="1" s="37">
      <c r="A2759" s="42" t="inlineStr">
        <is>
          <t>game of spades rouge dupe of</t>
        </is>
      </c>
      <c r="B2759" s="42" t="inlineStr">
        <is>
          <t>Google suggest</t>
        </is>
      </c>
      <c r="C2759" s="42" t="n">
        <v>3</v>
      </c>
      <c r="D2759" s="42" t="n">
        <v>28</v>
      </c>
      <c r="E2759" s="42" t="n">
        <v>1</v>
      </c>
      <c r="F2759" s="42" t="inlineStr">
        <is>
          <t>FR-190</t>
        </is>
      </c>
      <c r="G2759" s="55">
        <f>IFERROR(INDEX('Semrush Data'!$A$1:$Z$20000,MATCH(A2759,'Semrush Data'!$A$1:$A$20000,0),MATCH("Volume",'Semrush Data'!$A$1:$Z$1,0)),"")</f>
        <v/>
      </c>
      <c r="H2759" s="42">
        <f>IFERROR(INDEX('Semrush Data'!$A$1:$Z$20000,MATCH(A2759,'Semrush Data'!$A$1:$A$20000,0),MATCH("Keyword Difficulty*",'Semrush Data'!$A$1:$Z$1,0)),"")</f>
        <v/>
      </c>
      <c r="I2759" s="56">
        <f>IFERROR(INDEX('Semrush Data'!$A$1:$Z$20000,MATCH(A2759,'Semrush Data'!$A$1:$A$20000,0),MATCH("CPC*",'Semrush Data'!$A$1:$Z$1,0)),"")</f>
        <v/>
      </c>
      <c r="J2759" s="42">
        <f>IFERROR(INDEX('Semrush Data'!$A$1:$Z$20000,MATCH(A2759,'Semrush Data'!$A$1:$A$20000,0),MATCH("Intent",'Semrush Data'!$A$1:$Z$1,0)),"")</f>
        <v/>
      </c>
    </row>
    <row r="2760" ht="15" customHeight="1" s="37">
      <c r="A2760" s="42" t="inlineStr">
        <is>
          <t>game of spades rouge extrait de parfum</t>
        </is>
      </c>
      <c r="B2760" s="42" t="inlineStr">
        <is>
          <t>Google suggest</t>
        </is>
      </c>
      <c r="C2760" s="42" t="n">
        <v>3</v>
      </c>
      <c r="D2760" s="42" t="n">
        <v>28</v>
      </c>
      <c r="E2760" s="42" t="n">
        <v>2</v>
      </c>
      <c r="F2760" s="42" t="inlineStr">
        <is>
          <t>FR-190, FR-211</t>
        </is>
      </c>
      <c r="G2760" s="55">
        <f>IFERROR(INDEX('Semrush Data'!$A$1:$Z$20000,MATCH(A2760,'Semrush Data'!$A$1:$A$20000,0),MATCH("Volume",'Semrush Data'!$A$1:$Z$1,0)),"")</f>
        <v/>
      </c>
      <c r="H2760" s="42">
        <f>IFERROR(INDEX('Semrush Data'!$A$1:$Z$20000,MATCH(A2760,'Semrush Data'!$A$1:$A$20000,0),MATCH("Keyword Difficulty*",'Semrush Data'!$A$1:$Z$1,0)),"")</f>
        <v/>
      </c>
      <c r="I2760" s="56">
        <f>IFERROR(INDEX('Semrush Data'!$A$1:$Z$20000,MATCH(A2760,'Semrush Data'!$A$1:$A$20000,0),MATCH("CPC*",'Semrush Data'!$A$1:$Z$1,0)),"")</f>
        <v/>
      </c>
      <c r="J2760" s="42">
        <f>IFERROR(INDEX('Semrush Data'!$A$1:$Z$20000,MATCH(A2760,'Semrush Data'!$A$1:$A$20000,0),MATCH("Intent",'Semrush Data'!$A$1:$Z$1,0)),"")</f>
        <v/>
      </c>
    </row>
    <row r="2761" ht="15" customHeight="1" s="37">
      <c r="A2761" s="42" t="inlineStr">
        <is>
          <t>game of spades rouge extrait de parfum notes</t>
        </is>
      </c>
      <c r="B2761" s="42" t="inlineStr">
        <is>
          <t>Google suggest</t>
        </is>
      </c>
      <c r="C2761" s="42" t="n">
        <v>3</v>
      </c>
      <c r="D2761" s="42" t="n">
        <v>28</v>
      </c>
      <c r="E2761" s="42" t="n">
        <v>1</v>
      </c>
      <c r="F2761" s="42" t="inlineStr">
        <is>
          <t>FR-211</t>
        </is>
      </c>
      <c r="G2761" s="55">
        <f>IFERROR(INDEX('Semrush Data'!$A$1:$Z$20000,MATCH(A2761,'Semrush Data'!$A$1:$A$20000,0),MATCH("Volume",'Semrush Data'!$A$1:$Z$1,0)),"")</f>
        <v/>
      </c>
      <c r="H2761" s="42">
        <f>IFERROR(INDEX('Semrush Data'!$A$1:$Z$20000,MATCH(A2761,'Semrush Data'!$A$1:$A$20000,0),MATCH("Keyword Difficulty*",'Semrush Data'!$A$1:$Z$1,0)),"")</f>
        <v/>
      </c>
      <c r="I2761" s="56">
        <f>IFERROR(INDEX('Semrush Data'!$A$1:$Z$20000,MATCH(A2761,'Semrush Data'!$A$1:$A$20000,0),MATCH("CPC*",'Semrush Data'!$A$1:$Z$1,0)),"")</f>
        <v/>
      </c>
      <c r="J2761" s="42">
        <f>IFERROR(INDEX('Semrush Data'!$A$1:$Z$20000,MATCH(A2761,'Semrush Data'!$A$1:$A$20000,0),MATCH("Intent",'Semrush Data'!$A$1:$Z$1,0)),"")</f>
        <v/>
      </c>
    </row>
    <row r="2762" ht="15" customHeight="1" s="37">
      <c r="A2762" s="42" t="inlineStr">
        <is>
          <t>game of spades rouge extrait dupe of</t>
        </is>
      </c>
      <c r="B2762" s="42" t="inlineStr">
        <is>
          <t>Google suggest</t>
        </is>
      </c>
      <c r="C2762" s="42" t="n">
        <v>3</v>
      </c>
      <c r="D2762" s="42" t="n">
        <v>28</v>
      </c>
      <c r="E2762" s="42" t="n">
        <v>1</v>
      </c>
      <c r="F2762" s="42" t="inlineStr">
        <is>
          <t>FR-211</t>
        </is>
      </c>
      <c r="G2762" s="55">
        <f>IFERROR(INDEX('Semrush Data'!$A$1:$Z$20000,MATCH(A2762,'Semrush Data'!$A$1:$A$20000,0),MATCH("Volume",'Semrush Data'!$A$1:$Z$1,0)),"")</f>
        <v/>
      </c>
      <c r="H2762" s="42">
        <f>IFERROR(INDEX('Semrush Data'!$A$1:$Z$20000,MATCH(A2762,'Semrush Data'!$A$1:$A$20000,0),MATCH("Keyword Difficulty*",'Semrush Data'!$A$1:$Z$1,0)),"")</f>
        <v/>
      </c>
      <c r="I2762" s="56">
        <f>IFERROR(INDEX('Semrush Data'!$A$1:$Z$20000,MATCH(A2762,'Semrush Data'!$A$1:$A$20000,0),MATCH("CPC*",'Semrush Data'!$A$1:$Z$1,0)),"")</f>
        <v/>
      </c>
      <c r="J2762" s="42">
        <f>IFERROR(INDEX('Semrush Data'!$A$1:$Z$20000,MATCH(A2762,'Semrush Data'!$A$1:$A$20000,0),MATCH("Intent",'Semrush Data'!$A$1:$Z$1,0)),"")</f>
        <v/>
      </c>
    </row>
    <row r="2763" ht="15" customHeight="1" s="37">
      <c r="A2763" s="42" t="inlineStr">
        <is>
          <t>game of spades rouge extrait notes</t>
        </is>
      </c>
      <c r="B2763" s="42" t="inlineStr">
        <is>
          <t>Google suggest</t>
        </is>
      </c>
      <c r="C2763" s="42" t="n">
        <v>3</v>
      </c>
      <c r="D2763" s="42" t="n">
        <v>28</v>
      </c>
      <c r="E2763" s="42" t="n">
        <v>1</v>
      </c>
      <c r="F2763" s="42" t="inlineStr">
        <is>
          <t>FR-211</t>
        </is>
      </c>
      <c r="G2763" s="55">
        <f>IFERROR(INDEX('Semrush Data'!$A$1:$Z$20000,MATCH(A2763,'Semrush Data'!$A$1:$A$20000,0),MATCH("Volume",'Semrush Data'!$A$1:$Z$1,0)),"")</f>
        <v/>
      </c>
      <c r="H2763" s="42">
        <f>IFERROR(INDEX('Semrush Data'!$A$1:$Z$20000,MATCH(A2763,'Semrush Data'!$A$1:$A$20000,0),MATCH("Keyword Difficulty*",'Semrush Data'!$A$1:$Z$1,0)),"")</f>
        <v/>
      </c>
      <c r="I2763" s="56">
        <f>IFERROR(INDEX('Semrush Data'!$A$1:$Z$20000,MATCH(A2763,'Semrush Data'!$A$1:$A$20000,0),MATCH("CPC*",'Semrush Data'!$A$1:$Z$1,0)),"")</f>
        <v/>
      </c>
      <c r="J2763" s="42">
        <f>IFERROR(INDEX('Semrush Data'!$A$1:$Z$20000,MATCH(A2763,'Semrush Data'!$A$1:$A$20000,0),MATCH("Intent",'Semrush Data'!$A$1:$Z$1,0)),"")</f>
        <v/>
      </c>
    </row>
    <row r="2764" ht="15" customHeight="1" s="37">
      <c r="A2764" s="42" t="inlineStr">
        <is>
          <t>game of spades rouge extrait review</t>
        </is>
      </c>
      <c r="B2764" s="42" t="inlineStr">
        <is>
          <t>Google suggest</t>
        </is>
      </c>
      <c r="C2764" s="42" t="n">
        <v>3</v>
      </c>
      <c r="D2764" s="42" t="n">
        <v>28</v>
      </c>
      <c r="E2764" s="42" t="n">
        <v>1</v>
      </c>
      <c r="F2764" s="42" t="inlineStr">
        <is>
          <t>FR-211</t>
        </is>
      </c>
      <c r="G2764" s="55">
        <f>IFERROR(INDEX('Semrush Data'!$A$1:$Z$20000,MATCH(A2764,'Semrush Data'!$A$1:$A$20000,0),MATCH("Volume",'Semrush Data'!$A$1:$Z$1,0)),"")</f>
        <v/>
      </c>
      <c r="H2764" s="42">
        <f>IFERROR(INDEX('Semrush Data'!$A$1:$Z$20000,MATCH(A2764,'Semrush Data'!$A$1:$A$20000,0),MATCH("Keyword Difficulty*",'Semrush Data'!$A$1:$Z$1,0)),"")</f>
        <v/>
      </c>
      <c r="I2764" s="56">
        <f>IFERROR(INDEX('Semrush Data'!$A$1:$Z$20000,MATCH(A2764,'Semrush Data'!$A$1:$A$20000,0),MATCH("CPC*",'Semrush Data'!$A$1:$Z$1,0)),"")</f>
        <v/>
      </c>
      <c r="J2764" s="42">
        <f>IFERROR(INDEX('Semrush Data'!$A$1:$Z$20000,MATCH(A2764,'Semrush Data'!$A$1:$A$20000,0),MATCH("Intent",'Semrush Data'!$A$1:$Z$1,0)),"")</f>
        <v/>
      </c>
    </row>
    <row r="2765" ht="15" customHeight="1" s="37">
      <c r="A2765" s="42" t="inlineStr">
        <is>
          <t>game of spades rouge notes</t>
        </is>
      </c>
      <c r="B2765" s="42" t="inlineStr">
        <is>
          <t>Google suggest</t>
        </is>
      </c>
      <c r="C2765" s="42" t="n">
        <v>3</v>
      </c>
      <c r="D2765" s="42" t="n">
        <v>28</v>
      </c>
      <c r="E2765" s="42" t="n">
        <v>1</v>
      </c>
      <c r="F2765" s="42" t="inlineStr">
        <is>
          <t>FR-190</t>
        </is>
      </c>
      <c r="G2765" s="55">
        <f>IFERROR(INDEX('Semrush Data'!$A$1:$Z$20000,MATCH(A2765,'Semrush Data'!$A$1:$A$20000,0),MATCH("Volume",'Semrush Data'!$A$1:$Z$1,0)),"")</f>
        <v/>
      </c>
      <c r="H2765" s="42">
        <f>IFERROR(INDEX('Semrush Data'!$A$1:$Z$20000,MATCH(A2765,'Semrush Data'!$A$1:$A$20000,0),MATCH("Keyword Difficulty*",'Semrush Data'!$A$1:$Z$1,0)),"")</f>
        <v/>
      </c>
      <c r="I2765" s="56">
        <f>IFERROR(INDEX('Semrush Data'!$A$1:$Z$20000,MATCH(A2765,'Semrush Data'!$A$1:$A$20000,0),MATCH("CPC*",'Semrush Data'!$A$1:$Z$1,0)),"")</f>
        <v/>
      </c>
      <c r="J2765" s="42">
        <f>IFERROR(INDEX('Semrush Data'!$A$1:$Z$20000,MATCH(A2765,'Semrush Data'!$A$1:$A$20000,0),MATCH("Intent",'Semrush Data'!$A$1:$Z$1,0)),"")</f>
        <v/>
      </c>
    </row>
    <row r="2766" ht="15" customHeight="1" s="37">
      <c r="A2766" s="42" t="inlineStr">
        <is>
          <t>game of spades rouge parfum</t>
        </is>
      </c>
      <c r="B2766" s="42" t="inlineStr">
        <is>
          <t>Google suggest</t>
        </is>
      </c>
      <c r="C2766" s="42" t="n">
        <v>3</v>
      </c>
      <c r="D2766" s="42" t="n">
        <v>28</v>
      </c>
      <c r="E2766" s="42" t="n">
        <v>1</v>
      </c>
      <c r="F2766" s="42" t="inlineStr">
        <is>
          <t>FR-190</t>
        </is>
      </c>
      <c r="G2766" s="55">
        <f>IFERROR(INDEX('Semrush Data'!$A$1:$Z$20000,MATCH(A2766,'Semrush Data'!$A$1:$A$20000,0),MATCH("Volume",'Semrush Data'!$A$1:$Z$1,0)),"")</f>
        <v/>
      </c>
      <c r="H2766" s="42">
        <f>IFERROR(INDEX('Semrush Data'!$A$1:$Z$20000,MATCH(A2766,'Semrush Data'!$A$1:$A$20000,0),MATCH("Keyword Difficulty*",'Semrush Data'!$A$1:$Z$1,0)),"")</f>
        <v/>
      </c>
      <c r="I2766" s="56">
        <f>IFERROR(INDEX('Semrush Data'!$A$1:$Z$20000,MATCH(A2766,'Semrush Data'!$A$1:$A$20000,0),MATCH("CPC*",'Semrush Data'!$A$1:$Z$1,0)),"")</f>
        <v/>
      </c>
      <c r="J2766" s="42">
        <f>IFERROR(INDEX('Semrush Data'!$A$1:$Z$20000,MATCH(A2766,'Semrush Data'!$A$1:$A$20000,0),MATCH("Intent",'Semrush Data'!$A$1:$Z$1,0)),"")</f>
        <v/>
      </c>
    </row>
    <row r="2767" ht="15" customHeight="1" s="37">
      <c r="A2767" s="42" t="inlineStr">
        <is>
          <t>game of spades rouge review</t>
        </is>
      </c>
      <c r="B2767" s="42" t="inlineStr">
        <is>
          <t>Google suggest</t>
        </is>
      </c>
      <c r="C2767" s="42" t="n">
        <v>3</v>
      </c>
      <c r="D2767" s="42" t="n">
        <v>28</v>
      </c>
      <c r="E2767" s="42" t="n">
        <v>1</v>
      </c>
      <c r="F2767" s="42" t="inlineStr">
        <is>
          <t>FR-190</t>
        </is>
      </c>
      <c r="G2767" s="55">
        <f>IFERROR(INDEX('Semrush Data'!$A$1:$Z$20000,MATCH(A2767,'Semrush Data'!$A$1:$A$20000,0),MATCH("Volume",'Semrush Data'!$A$1:$Z$1,0)),"")</f>
        <v/>
      </c>
      <c r="H2767" s="42">
        <f>IFERROR(INDEX('Semrush Data'!$A$1:$Z$20000,MATCH(A2767,'Semrush Data'!$A$1:$A$20000,0),MATCH("Keyword Difficulty*",'Semrush Data'!$A$1:$Z$1,0)),"")</f>
        <v/>
      </c>
      <c r="I2767" s="56">
        <f>IFERROR(INDEX('Semrush Data'!$A$1:$Z$20000,MATCH(A2767,'Semrush Data'!$A$1:$A$20000,0),MATCH("CPC*",'Semrush Data'!$A$1:$Z$1,0)),"")</f>
        <v/>
      </c>
      <c r="J2767" s="42">
        <f>IFERROR(INDEX('Semrush Data'!$A$1:$Z$20000,MATCH(A2767,'Semrush Data'!$A$1:$A$20000,0),MATCH("Intent",'Semrush Data'!$A$1:$Z$1,0)),"")</f>
        <v/>
      </c>
    </row>
    <row r="2768" ht="15" customHeight="1" s="37">
      <c r="A2768" s="42" t="inlineStr">
        <is>
          <t>game of spades royale dupe of</t>
        </is>
      </c>
      <c r="B2768" s="42" t="inlineStr">
        <is>
          <t>Google suggest</t>
        </is>
      </c>
      <c r="C2768" s="42" t="n">
        <v>3</v>
      </c>
      <c r="D2768" s="42" t="n">
        <v>28</v>
      </c>
      <c r="E2768" s="42" t="n">
        <v>1</v>
      </c>
      <c r="F2768" s="42" t="inlineStr">
        <is>
          <t>FR-191</t>
        </is>
      </c>
      <c r="G2768" s="55">
        <f>IFERROR(INDEX('Semrush Data'!$A$1:$Z$20000,MATCH(A2768,'Semrush Data'!$A$1:$A$20000,0),MATCH("Volume",'Semrush Data'!$A$1:$Z$1,0)),"")</f>
        <v/>
      </c>
      <c r="H2768" s="42">
        <f>IFERROR(INDEX('Semrush Data'!$A$1:$Z$20000,MATCH(A2768,'Semrush Data'!$A$1:$A$20000,0),MATCH("Keyword Difficulty*",'Semrush Data'!$A$1:$Z$1,0)),"")</f>
        <v/>
      </c>
      <c r="I2768" s="56">
        <f>IFERROR(INDEX('Semrush Data'!$A$1:$Z$20000,MATCH(A2768,'Semrush Data'!$A$1:$A$20000,0),MATCH("CPC*",'Semrush Data'!$A$1:$Z$1,0)),"")</f>
        <v/>
      </c>
      <c r="J2768" s="42">
        <f>IFERROR(INDEX('Semrush Data'!$A$1:$Z$20000,MATCH(A2768,'Semrush Data'!$A$1:$A$20000,0),MATCH("Intent",'Semrush Data'!$A$1:$Z$1,0)),"")</f>
        <v/>
      </c>
    </row>
    <row r="2769" ht="15" customHeight="1" s="37">
      <c r="A2769" s="42" t="inlineStr">
        <is>
          <t>game of spades royale notes</t>
        </is>
      </c>
      <c r="B2769" s="42" t="inlineStr">
        <is>
          <t>Google suggest</t>
        </is>
      </c>
      <c r="C2769" s="42" t="n">
        <v>3</v>
      </c>
      <c r="D2769" s="42" t="n">
        <v>28</v>
      </c>
      <c r="E2769" s="42" t="n">
        <v>1</v>
      </c>
      <c r="F2769" s="42" t="inlineStr">
        <is>
          <t>FR-191</t>
        </is>
      </c>
      <c r="G2769" s="55">
        <f>IFERROR(INDEX('Semrush Data'!$A$1:$Z$20000,MATCH(A2769,'Semrush Data'!$A$1:$A$20000,0),MATCH("Volume",'Semrush Data'!$A$1:$Z$1,0)),"")</f>
        <v/>
      </c>
      <c r="H2769" s="42">
        <f>IFERROR(INDEX('Semrush Data'!$A$1:$Z$20000,MATCH(A2769,'Semrush Data'!$A$1:$A$20000,0),MATCH("Keyword Difficulty*",'Semrush Data'!$A$1:$Z$1,0)),"")</f>
        <v/>
      </c>
      <c r="I2769" s="56">
        <f>IFERROR(INDEX('Semrush Data'!$A$1:$Z$20000,MATCH(A2769,'Semrush Data'!$A$1:$A$20000,0),MATCH("CPC*",'Semrush Data'!$A$1:$Z$1,0)),"")</f>
        <v/>
      </c>
      <c r="J2769" s="42">
        <f>IFERROR(INDEX('Semrush Data'!$A$1:$Z$20000,MATCH(A2769,'Semrush Data'!$A$1:$A$20000,0),MATCH("Intent",'Semrush Data'!$A$1:$Z$1,0)),"")</f>
        <v/>
      </c>
    </row>
    <row r="2770" ht="15" customHeight="1" s="37">
      <c r="A2770" s="42" t="inlineStr">
        <is>
          <t>game of spades royale parfum</t>
        </is>
      </c>
      <c r="B2770" s="42" t="inlineStr">
        <is>
          <t>Google suggest</t>
        </is>
      </c>
      <c r="C2770" s="42" t="n">
        <v>3</v>
      </c>
      <c r="D2770" s="42" t="n">
        <v>28</v>
      </c>
      <c r="E2770" s="42" t="n">
        <v>1</v>
      </c>
      <c r="F2770" s="42" t="inlineStr">
        <is>
          <t>FR-191</t>
        </is>
      </c>
      <c r="G2770" s="55">
        <f>IFERROR(INDEX('Semrush Data'!$A$1:$Z$20000,MATCH(A2770,'Semrush Data'!$A$1:$A$20000,0),MATCH("Volume",'Semrush Data'!$A$1:$Z$1,0)),"")</f>
        <v/>
      </c>
      <c r="H2770" s="42">
        <f>IFERROR(INDEX('Semrush Data'!$A$1:$Z$20000,MATCH(A2770,'Semrush Data'!$A$1:$A$20000,0),MATCH("Keyword Difficulty*",'Semrush Data'!$A$1:$Z$1,0)),"")</f>
        <v/>
      </c>
      <c r="I2770" s="56">
        <f>IFERROR(INDEX('Semrush Data'!$A$1:$Z$20000,MATCH(A2770,'Semrush Data'!$A$1:$A$20000,0),MATCH("CPC*",'Semrush Data'!$A$1:$Z$1,0)),"")</f>
        <v/>
      </c>
      <c r="J2770" s="42">
        <f>IFERROR(INDEX('Semrush Data'!$A$1:$Z$20000,MATCH(A2770,'Semrush Data'!$A$1:$A$20000,0),MATCH("Intent",'Semrush Data'!$A$1:$Z$1,0)),"")</f>
        <v/>
      </c>
    </row>
    <row r="2771" ht="15" customHeight="1" s="37">
      <c r="A2771" s="42" t="inlineStr">
        <is>
          <t>game of spades royale perfume</t>
        </is>
      </c>
      <c r="B2771" s="42" t="inlineStr">
        <is>
          <t>Google suggest</t>
        </is>
      </c>
      <c r="C2771" s="42" t="n">
        <v>3</v>
      </c>
      <c r="D2771" s="42" t="n">
        <v>28</v>
      </c>
      <c r="E2771" s="42" t="n">
        <v>1</v>
      </c>
      <c r="F2771" s="42" t="inlineStr">
        <is>
          <t>FR-191</t>
        </is>
      </c>
      <c r="G2771" s="55">
        <f>IFERROR(INDEX('Semrush Data'!$A$1:$Z$20000,MATCH(A2771,'Semrush Data'!$A$1:$A$20000,0),MATCH("Volume",'Semrush Data'!$A$1:$Z$1,0)),"")</f>
        <v/>
      </c>
      <c r="H2771" s="42">
        <f>IFERROR(INDEX('Semrush Data'!$A$1:$Z$20000,MATCH(A2771,'Semrush Data'!$A$1:$A$20000,0),MATCH("Keyword Difficulty*",'Semrush Data'!$A$1:$Z$1,0)),"")</f>
        <v/>
      </c>
      <c r="I2771" s="56">
        <f>IFERROR(INDEX('Semrush Data'!$A$1:$Z$20000,MATCH(A2771,'Semrush Data'!$A$1:$A$20000,0),MATCH("CPC*",'Semrush Data'!$A$1:$Z$1,0)),"")</f>
        <v/>
      </c>
      <c r="J2771" s="42">
        <f>IFERROR(INDEX('Semrush Data'!$A$1:$Z$20000,MATCH(A2771,'Semrush Data'!$A$1:$A$20000,0),MATCH("Intent",'Semrush Data'!$A$1:$Z$1,0)),"")</f>
        <v/>
      </c>
    </row>
    <row r="2772" ht="15" customHeight="1" s="37">
      <c r="A2772" s="42" t="inlineStr">
        <is>
          <t>game of spades royale review</t>
        </is>
      </c>
      <c r="B2772" s="42" t="inlineStr">
        <is>
          <t>Google suggest</t>
        </is>
      </c>
      <c r="C2772" s="42" t="n">
        <v>3</v>
      </c>
      <c r="D2772" s="42" t="n">
        <v>28</v>
      </c>
      <c r="E2772" s="42" t="n">
        <v>1</v>
      </c>
      <c r="F2772" s="42" t="inlineStr">
        <is>
          <t>FR-191</t>
        </is>
      </c>
      <c r="G2772" s="55">
        <f>IFERROR(INDEX('Semrush Data'!$A$1:$Z$20000,MATCH(A2772,'Semrush Data'!$A$1:$A$20000,0),MATCH("Volume",'Semrush Data'!$A$1:$Z$1,0)),"")</f>
        <v/>
      </c>
      <c r="H2772" s="42">
        <f>IFERROR(INDEX('Semrush Data'!$A$1:$Z$20000,MATCH(A2772,'Semrush Data'!$A$1:$A$20000,0),MATCH("Keyword Difficulty*",'Semrush Data'!$A$1:$Z$1,0)),"")</f>
        <v/>
      </c>
      <c r="I2772" s="56">
        <f>IFERROR(INDEX('Semrush Data'!$A$1:$Z$20000,MATCH(A2772,'Semrush Data'!$A$1:$A$20000,0),MATCH("CPC*",'Semrush Data'!$A$1:$Z$1,0)),"")</f>
        <v/>
      </c>
      <c r="J2772" s="42">
        <f>IFERROR(INDEX('Semrush Data'!$A$1:$Z$20000,MATCH(A2772,'Semrush Data'!$A$1:$A$20000,0),MATCH("Intent",'Semrush Data'!$A$1:$Z$1,0)),"")</f>
        <v/>
      </c>
    </row>
    <row r="2773" ht="15" customHeight="1" s="37">
      <c r="A2773" s="42" t="inlineStr">
        <is>
          <t>game of spades ruby dupe of</t>
        </is>
      </c>
      <c r="B2773" s="42" t="inlineStr">
        <is>
          <t>Google suggest</t>
        </is>
      </c>
      <c r="C2773" s="42" t="n">
        <v>3</v>
      </c>
      <c r="D2773" s="42" t="n">
        <v>28</v>
      </c>
      <c r="E2773" s="42" t="n">
        <v>1</v>
      </c>
      <c r="F2773" s="42" t="inlineStr">
        <is>
          <t>FR-192</t>
        </is>
      </c>
      <c r="G2773" s="55">
        <f>IFERROR(INDEX('Semrush Data'!$A$1:$Z$20000,MATCH(A2773,'Semrush Data'!$A$1:$A$20000,0),MATCH("Volume",'Semrush Data'!$A$1:$Z$1,0)),"")</f>
        <v/>
      </c>
      <c r="H2773" s="42">
        <f>IFERROR(INDEX('Semrush Data'!$A$1:$Z$20000,MATCH(A2773,'Semrush Data'!$A$1:$A$20000,0),MATCH("Keyword Difficulty*",'Semrush Data'!$A$1:$Z$1,0)),"")</f>
        <v/>
      </c>
      <c r="I2773" s="56">
        <f>IFERROR(INDEX('Semrush Data'!$A$1:$Z$20000,MATCH(A2773,'Semrush Data'!$A$1:$A$20000,0),MATCH("CPC*",'Semrush Data'!$A$1:$Z$1,0)),"")</f>
        <v/>
      </c>
      <c r="J2773" s="42">
        <f>IFERROR(INDEX('Semrush Data'!$A$1:$Z$20000,MATCH(A2773,'Semrush Data'!$A$1:$A$20000,0),MATCH("Intent",'Semrush Data'!$A$1:$Z$1,0)),"")</f>
        <v/>
      </c>
    </row>
    <row r="2774" ht="15" customHeight="1" s="37">
      <c r="A2774" s="42" t="inlineStr">
        <is>
          <t>game of spades ruby notes</t>
        </is>
      </c>
      <c r="B2774" s="42" t="inlineStr">
        <is>
          <t>Google suggest</t>
        </is>
      </c>
      <c r="C2774" s="42" t="n">
        <v>3</v>
      </c>
      <c r="D2774" s="42" t="n">
        <v>28</v>
      </c>
      <c r="E2774" s="42" t="n">
        <v>1</v>
      </c>
      <c r="F2774" s="42" t="inlineStr">
        <is>
          <t>FR-192</t>
        </is>
      </c>
      <c r="G2774" s="55">
        <f>IFERROR(INDEX('Semrush Data'!$A$1:$Z$20000,MATCH(A2774,'Semrush Data'!$A$1:$A$20000,0),MATCH("Volume",'Semrush Data'!$A$1:$Z$1,0)),"")</f>
        <v/>
      </c>
      <c r="H2774" s="42">
        <f>IFERROR(INDEX('Semrush Data'!$A$1:$Z$20000,MATCH(A2774,'Semrush Data'!$A$1:$A$20000,0),MATCH("Keyword Difficulty*",'Semrush Data'!$A$1:$Z$1,0)),"")</f>
        <v/>
      </c>
      <c r="I2774" s="56">
        <f>IFERROR(INDEX('Semrush Data'!$A$1:$Z$20000,MATCH(A2774,'Semrush Data'!$A$1:$A$20000,0),MATCH("CPC*",'Semrush Data'!$A$1:$Z$1,0)),"")</f>
        <v/>
      </c>
      <c r="J2774" s="42">
        <f>IFERROR(INDEX('Semrush Data'!$A$1:$Z$20000,MATCH(A2774,'Semrush Data'!$A$1:$A$20000,0),MATCH("Intent",'Semrush Data'!$A$1:$Z$1,0)),"")</f>
        <v/>
      </c>
    </row>
    <row r="2775" ht="15" customHeight="1" s="37">
      <c r="A2775" s="42" t="inlineStr">
        <is>
          <t>game of spades ruby parfum</t>
        </is>
      </c>
      <c r="B2775" s="42" t="inlineStr">
        <is>
          <t>Google suggest</t>
        </is>
      </c>
      <c r="C2775" s="42" t="n">
        <v>3</v>
      </c>
      <c r="D2775" s="42" t="n">
        <v>28</v>
      </c>
      <c r="E2775" s="42" t="n">
        <v>1</v>
      </c>
      <c r="F2775" s="42" t="inlineStr">
        <is>
          <t>FR-192</t>
        </is>
      </c>
      <c r="G2775" s="55">
        <f>IFERROR(INDEX('Semrush Data'!$A$1:$Z$20000,MATCH(A2775,'Semrush Data'!$A$1:$A$20000,0),MATCH("Volume",'Semrush Data'!$A$1:$Z$1,0)),"")</f>
        <v/>
      </c>
      <c r="H2775" s="42">
        <f>IFERROR(INDEX('Semrush Data'!$A$1:$Z$20000,MATCH(A2775,'Semrush Data'!$A$1:$A$20000,0),MATCH("Keyword Difficulty*",'Semrush Data'!$A$1:$Z$1,0)),"")</f>
        <v/>
      </c>
      <c r="I2775" s="56">
        <f>IFERROR(INDEX('Semrush Data'!$A$1:$Z$20000,MATCH(A2775,'Semrush Data'!$A$1:$A$20000,0),MATCH("CPC*",'Semrush Data'!$A$1:$Z$1,0)),"")</f>
        <v/>
      </c>
      <c r="J2775" s="42">
        <f>IFERROR(INDEX('Semrush Data'!$A$1:$Z$20000,MATCH(A2775,'Semrush Data'!$A$1:$A$20000,0),MATCH("Intent",'Semrush Data'!$A$1:$Z$1,0)),"")</f>
        <v/>
      </c>
    </row>
    <row r="2776" ht="15" customHeight="1" s="37">
      <c r="A2776" s="42" t="inlineStr">
        <is>
          <t>game of spades ruby review</t>
        </is>
      </c>
      <c r="B2776" s="42" t="inlineStr">
        <is>
          <t>Google suggest</t>
        </is>
      </c>
      <c r="C2776" s="42" t="n">
        <v>3</v>
      </c>
      <c r="D2776" s="42" t="n">
        <v>28</v>
      </c>
      <c r="E2776" s="42" t="n">
        <v>1</v>
      </c>
      <c r="F2776" s="42" t="inlineStr">
        <is>
          <t>FR-192</t>
        </is>
      </c>
      <c r="G2776" s="55">
        <f>IFERROR(INDEX('Semrush Data'!$A$1:$Z$20000,MATCH(A2776,'Semrush Data'!$A$1:$A$20000,0),MATCH("Volume",'Semrush Data'!$A$1:$Z$1,0)),"")</f>
        <v/>
      </c>
      <c r="H2776" s="42">
        <f>IFERROR(INDEX('Semrush Data'!$A$1:$Z$20000,MATCH(A2776,'Semrush Data'!$A$1:$A$20000,0),MATCH("Keyword Difficulty*",'Semrush Data'!$A$1:$Z$1,0)),"")</f>
        <v/>
      </c>
      <c r="I2776" s="56">
        <f>IFERROR(INDEX('Semrush Data'!$A$1:$Z$20000,MATCH(A2776,'Semrush Data'!$A$1:$A$20000,0),MATCH("CPC*",'Semrush Data'!$A$1:$Z$1,0)),"")</f>
        <v/>
      </c>
      <c r="J2776" s="42">
        <f>IFERROR(INDEX('Semrush Data'!$A$1:$Z$20000,MATCH(A2776,'Semrush Data'!$A$1:$A$20000,0),MATCH("Intent",'Semrush Data'!$A$1:$Z$1,0)),"")</f>
        <v/>
      </c>
    </row>
    <row r="2777" ht="15" customHeight="1" s="37">
      <c r="A2777" s="42" t="inlineStr">
        <is>
          <t>game of spades wildcard dupe of</t>
        </is>
      </c>
      <c r="B2777" s="42" t="inlineStr">
        <is>
          <t>Google suggest</t>
        </is>
      </c>
      <c r="C2777" s="42" t="n">
        <v>3</v>
      </c>
      <c r="D2777" s="42" t="inlineStr">
        <is>
          <t>T3-1</t>
        </is>
      </c>
      <c r="E2777" s="42" t="n">
        <v>1</v>
      </c>
      <c r="F2777" s="42" t="inlineStr">
        <is>
          <t>FR-193</t>
        </is>
      </c>
      <c r="G2777" s="55">
        <f>IFERROR(INDEX('Semrush Data'!$A$1:$Z$20000,MATCH(A2777,'Semrush Data'!$A$1:$A$20000,0),MATCH("Volume",'Semrush Data'!$A$1:$Z$1,0)),"")</f>
        <v/>
      </c>
      <c r="H2777" s="42">
        <f>IFERROR(INDEX('Semrush Data'!$A$1:$Z$20000,MATCH(A2777,'Semrush Data'!$A$1:$A$20000,0),MATCH("Keyword Difficulty*",'Semrush Data'!$A$1:$Z$1,0)),"")</f>
        <v/>
      </c>
      <c r="I2777" s="56">
        <f>IFERROR(INDEX('Semrush Data'!$A$1:$Z$20000,MATCH(A2777,'Semrush Data'!$A$1:$A$20000,0),MATCH("CPC*",'Semrush Data'!$A$1:$Z$1,0)),"")</f>
        <v/>
      </c>
      <c r="J2777" s="42">
        <f>IFERROR(INDEX('Semrush Data'!$A$1:$Z$20000,MATCH(A2777,'Semrush Data'!$A$1:$A$20000,0),MATCH("Intent",'Semrush Data'!$A$1:$Z$1,0)),"")</f>
        <v/>
      </c>
    </row>
    <row r="2778" ht="15" customHeight="1" s="37">
      <c r="A2778" s="42" t="inlineStr">
        <is>
          <t>game of spades wildcard notes</t>
        </is>
      </c>
      <c r="B2778" s="42" t="inlineStr">
        <is>
          <t>Google suggest</t>
        </is>
      </c>
      <c r="C2778" s="42" t="n">
        <v>3</v>
      </c>
      <c r="D2778" s="42" t="n">
        <v>28</v>
      </c>
      <c r="E2778" s="42" t="n">
        <v>1</v>
      </c>
      <c r="F2778" s="42" t="inlineStr">
        <is>
          <t>FR-193</t>
        </is>
      </c>
      <c r="G2778" s="55">
        <f>IFERROR(INDEX('Semrush Data'!$A$1:$Z$20000,MATCH(A2778,'Semrush Data'!$A$1:$A$20000,0),MATCH("Volume",'Semrush Data'!$A$1:$Z$1,0)),"")</f>
        <v/>
      </c>
      <c r="H2778" s="42">
        <f>IFERROR(INDEX('Semrush Data'!$A$1:$Z$20000,MATCH(A2778,'Semrush Data'!$A$1:$A$20000,0),MATCH("Keyword Difficulty*",'Semrush Data'!$A$1:$Z$1,0)),"")</f>
        <v/>
      </c>
      <c r="I2778" s="56">
        <f>IFERROR(INDEX('Semrush Data'!$A$1:$Z$20000,MATCH(A2778,'Semrush Data'!$A$1:$A$20000,0),MATCH("CPC*",'Semrush Data'!$A$1:$Z$1,0)),"")</f>
        <v/>
      </c>
      <c r="J2778" s="42">
        <f>IFERROR(INDEX('Semrush Data'!$A$1:$Z$20000,MATCH(A2778,'Semrush Data'!$A$1:$A$20000,0),MATCH("Intent",'Semrush Data'!$A$1:$Z$1,0)),"")</f>
        <v/>
      </c>
    </row>
    <row r="2779" ht="15" customHeight="1" s="37">
      <c r="A2779" s="42" t="inlineStr">
        <is>
          <t>game of spades wildcard parfum</t>
        </is>
      </c>
      <c r="B2779" s="42" t="inlineStr">
        <is>
          <t>Google suggest</t>
        </is>
      </c>
      <c r="C2779" s="42" t="n">
        <v>3</v>
      </c>
      <c r="D2779" s="42" t="n">
        <v>28</v>
      </c>
      <c r="E2779" s="42" t="n">
        <v>1</v>
      </c>
      <c r="F2779" s="42" t="inlineStr">
        <is>
          <t>FR-193</t>
        </is>
      </c>
      <c r="G2779" s="55">
        <f>IFERROR(INDEX('Semrush Data'!$A$1:$Z$20000,MATCH(A2779,'Semrush Data'!$A$1:$A$20000,0),MATCH("Volume",'Semrush Data'!$A$1:$Z$1,0)),"")</f>
        <v/>
      </c>
      <c r="H2779" s="42">
        <f>IFERROR(INDEX('Semrush Data'!$A$1:$Z$20000,MATCH(A2779,'Semrush Data'!$A$1:$A$20000,0),MATCH("Keyword Difficulty*",'Semrush Data'!$A$1:$Z$1,0)),"")</f>
        <v/>
      </c>
      <c r="I2779" s="56">
        <f>IFERROR(INDEX('Semrush Data'!$A$1:$Z$20000,MATCH(A2779,'Semrush Data'!$A$1:$A$20000,0),MATCH("CPC*",'Semrush Data'!$A$1:$Z$1,0)),"")</f>
        <v/>
      </c>
      <c r="J2779" s="42">
        <f>IFERROR(INDEX('Semrush Data'!$A$1:$Z$20000,MATCH(A2779,'Semrush Data'!$A$1:$A$20000,0),MATCH("Intent",'Semrush Data'!$A$1:$Z$1,0)),"")</f>
        <v/>
      </c>
    </row>
    <row r="2780" ht="15" customHeight="1" s="37">
      <c r="A2780" s="42" t="inlineStr">
        <is>
          <t>game of spades wildcard perfume</t>
        </is>
      </c>
      <c r="B2780" s="42" t="inlineStr">
        <is>
          <t>Google suggest</t>
        </is>
      </c>
      <c r="C2780" s="42" t="n">
        <v>3</v>
      </c>
      <c r="D2780" s="42" t="n">
        <v>28</v>
      </c>
      <c r="E2780" s="42" t="n">
        <v>1</v>
      </c>
      <c r="F2780" s="42" t="inlineStr">
        <is>
          <t>FR-193</t>
        </is>
      </c>
      <c r="G2780" s="55">
        <f>IFERROR(INDEX('Semrush Data'!$A$1:$Z$20000,MATCH(A2780,'Semrush Data'!$A$1:$A$20000,0),MATCH("Volume",'Semrush Data'!$A$1:$Z$1,0)),"")</f>
        <v/>
      </c>
      <c r="H2780" s="42">
        <f>IFERROR(INDEX('Semrush Data'!$A$1:$Z$20000,MATCH(A2780,'Semrush Data'!$A$1:$A$20000,0),MATCH("Keyword Difficulty*",'Semrush Data'!$A$1:$Z$1,0)),"")</f>
        <v/>
      </c>
      <c r="I2780" s="56">
        <f>IFERROR(INDEX('Semrush Data'!$A$1:$Z$20000,MATCH(A2780,'Semrush Data'!$A$1:$A$20000,0),MATCH("CPC*",'Semrush Data'!$A$1:$Z$1,0)),"")</f>
        <v/>
      </c>
      <c r="J2780" s="42">
        <f>IFERROR(INDEX('Semrush Data'!$A$1:$Z$20000,MATCH(A2780,'Semrush Data'!$A$1:$A$20000,0),MATCH("Intent",'Semrush Data'!$A$1:$Z$1,0)),"")</f>
        <v/>
      </c>
    </row>
    <row r="2781" ht="15" customHeight="1" s="37">
      <c r="A2781" s="42" t="inlineStr">
        <is>
          <t>game of spades wildcard review</t>
        </is>
      </c>
      <c r="B2781" s="42" t="inlineStr">
        <is>
          <t>Google suggest</t>
        </is>
      </c>
      <c r="C2781" s="42" t="n">
        <v>3</v>
      </c>
      <c r="D2781" s="42" t="inlineStr">
        <is>
          <t>T3-1</t>
        </is>
      </c>
      <c r="E2781" s="42" t="n">
        <v>1</v>
      </c>
      <c r="F2781" s="42" t="inlineStr">
        <is>
          <t>FR-193</t>
        </is>
      </c>
      <c r="G2781" s="55">
        <f>IFERROR(INDEX('Semrush Data'!$A$1:$Z$20000,MATCH(A2781,'Semrush Data'!$A$1:$A$20000,0),MATCH("Volume",'Semrush Data'!$A$1:$Z$1,0)),"")</f>
        <v/>
      </c>
      <c r="H2781" s="42">
        <f>IFERROR(INDEX('Semrush Data'!$A$1:$Z$20000,MATCH(A2781,'Semrush Data'!$A$1:$A$20000,0),MATCH("Keyword Difficulty*",'Semrush Data'!$A$1:$Z$1,0)),"")</f>
        <v/>
      </c>
      <c r="I2781" s="56">
        <f>IFERROR(INDEX('Semrush Data'!$A$1:$Z$20000,MATCH(A2781,'Semrush Data'!$A$1:$A$20000,0),MATCH("CPC*",'Semrush Data'!$A$1:$Z$1,0)),"")</f>
        <v/>
      </c>
      <c r="J2781" s="42">
        <f>IFERROR(INDEX('Semrush Data'!$A$1:$Z$20000,MATCH(A2781,'Semrush Data'!$A$1:$A$20000,0),MATCH("Intent",'Semrush Data'!$A$1:$Z$1,0)),"")</f>
        <v/>
      </c>
    </row>
    <row r="2782" ht="15" customHeight="1" s="37">
      <c r="A2782" s="42" t="inlineStr">
        <is>
          <t>game of spades win 30ml</t>
        </is>
      </c>
      <c r="B2782" s="42" t="inlineStr">
        <is>
          <t>Google suggest</t>
        </is>
      </c>
      <c r="C2782" s="42" t="n">
        <v>3</v>
      </c>
      <c r="D2782" s="42" t="n">
        <v>28</v>
      </c>
      <c r="E2782" s="42" t="n">
        <v>1</v>
      </c>
      <c r="F2782" s="42" t="inlineStr">
        <is>
          <t>FR-194</t>
        </is>
      </c>
      <c r="G2782" s="55">
        <f>IFERROR(INDEX('Semrush Data'!$A$1:$Z$20000,MATCH(A2782,'Semrush Data'!$A$1:$A$20000,0),MATCH("Volume",'Semrush Data'!$A$1:$Z$1,0)),"")</f>
        <v/>
      </c>
      <c r="H2782" s="42">
        <f>IFERROR(INDEX('Semrush Data'!$A$1:$Z$20000,MATCH(A2782,'Semrush Data'!$A$1:$A$20000,0),MATCH("Keyword Difficulty*",'Semrush Data'!$A$1:$Z$1,0)),"")</f>
        <v/>
      </c>
      <c r="I2782" s="56">
        <f>IFERROR(INDEX('Semrush Data'!$A$1:$Z$20000,MATCH(A2782,'Semrush Data'!$A$1:$A$20000,0),MATCH("CPC*",'Semrush Data'!$A$1:$Z$1,0)),"")</f>
        <v/>
      </c>
      <c r="J2782" s="42">
        <f>IFERROR(INDEX('Semrush Data'!$A$1:$Z$20000,MATCH(A2782,'Semrush Data'!$A$1:$A$20000,0),MATCH("Intent",'Semrush Data'!$A$1:$Z$1,0)),"")</f>
        <v/>
      </c>
    </row>
    <row r="2783" ht="15" customHeight="1" s="37">
      <c r="A2783" s="42" t="inlineStr">
        <is>
          <t>game of spades win notes</t>
        </is>
      </c>
      <c r="B2783" s="42" t="inlineStr">
        <is>
          <t>Google suggest</t>
        </is>
      </c>
      <c r="C2783" s="42" t="n">
        <v>3</v>
      </c>
      <c r="D2783" s="42" t="n">
        <v>28</v>
      </c>
      <c r="E2783" s="42" t="n">
        <v>1</v>
      </c>
      <c r="F2783" s="42" t="inlineStr">
        <is>
          <t>FR-194</t>
        </is>
      </c>
      <c r="G2783" s="55">
        <f>IFERROR(INDEX('Semrush Data'!$A$1:$Z$20000,MATCH(A2783,'Semrush Data'!$A$1:$A$20000,0),MATCH("Volume",'Semrush Data'!$A$1:$Z$1,0)),"")</f>
        <v/>
      </c>
      <c r="H2783" s="42">
        <f>IFERROR(INDEX('Semrush Data'!$A$1:$Z$20000,MATCH(A2783,'Semrush Data'!$A$1:$A$20000,0),MATCH("Keyword Difficulty*",'Semrush Data'!$A$1:$Z$1,0)),"")</f>
        <v/>
      </c>
      <c r="I2783" s="56">
        <f>IFERROR(INDEX('Semrush Data'!$A$1:$Z$20000,MATCH(A2783,'Semrush Data'!$A$1:$A$20000,0),MATCH("CPC*",'Semrush Data'!$A$1:$Z$1,0)),"")</f>
        <v/>
      </c>
      <c r="J2783" s="42">
        <f>IFERROR(INDEX('Semrush Data'!$A$1:$Z$20000,MATCH(A2783,'Semrush Data'!$A$1:$A$20000,0),MATCH("Intent",'Semrush Data'!$A$1:$Z$1,0)),"")</f>
        <v/>
      </c>
    </row>
    <row r="2784" ht="15" customHeight="1" s="37">
      <c r="A2784" s="42" t="inlineStr">
        <is>
          <t>game of spades win perfume</t>
        </is>
      </c>
      <c r="B2784" s="42" t="inlineStr">
        <is>
          <t>Google suggest</t>
        </is>
      </c>
      <c r="C2784" s="42" t="n">
        <v>3</v>
      </c>
      <c r="D2784" s="42" t="n">
        <v>28</v>
      </c>
      <c r="E2784" s="42" t="n">
        <v>1</v>
      </c>
      <c r="F2784" s="42" t="inlineStr">
        <is>
          <t>FR-194</t>
        </is>
      </c>
      <c r="G2784" s="55">
        <f>IFERROR(INDEX('Semrush Data'!$A$1:$Z$20000,MATCH(A2784,'Semrush Data'!$A$1:$A$20000,0),MATCH("Volume",'Semrush Data'!$A$1:$Z$1,0)),"")</f>
        <v/>
      </c>
      <c r="H2784" s="42">
        <f>IFERROR(INDEX('Semrush Data'!$A$1:$Z$20000,MATCH(A2784,'Semrush Data'!$A$1:$A$20000,0),MATCH("Keyword Difficulty*",'Semrush Data'!$A$1:$Z$1,0)),"")</f>
        <v/>
      </c>
      <c r="I2784" s="56">
        <f>IFERROR(INDEX('Semrush Data'!$A$1:$Z$20000,MATCH(A2784,'Semrush Data'!$A$1:$A$20000,0),MATCH("CPC*",'Semrush Data'!$A$1:$Z$1,0)),"")</f>
        <v/>
      </c>
      <c r="J2784" s="42">
        <f>IFERROR(INDEX('Semrush Data'!$A$1:$Z$20000,MATCH(A2784,'Semrush Data'!$A$1:$A$20000,0),MATCH("Intent",'Semrush Data'!$A$1:$Z$1,0)),"")</f>
        <v/>
      </c>
    </row>
    <row r="2785" ht="15" customHeight="1" s="37">
      <c r="A2785" s="42" t="inlineStr">
        <is>
          <t>game of spades win review</t>
        </is>
      </c>
      <c r="B2785" s="42" t="inlineStr">
        <is>
          <t>Google suggest</t>
        </is>
      </c>
      <c r="C2785" s="42" t="n">
        <v>3</v>
      </c>
      <c r="D2785" s="42" t="n">
        <v>28</v>
      </c>
      <c r="E2785" s="42" t="n">
        <v>1</v>
      </c>
      <c r="F2785" s="42" t="inlineStr">
        <is>
          <t>FR-194</t>
        </is>
      </c>
      <c r="G2785" s="55">
        <f>IFERROR(INDEX('Semrush Data'!$A$1:$Z$20000,MATCH(A2785,'Semrush Data'!$A$1:$A$20000,0),MATCH("Volume",'Semrush Data'!$A$1:$Z$1,0)),"")</f>
        <v/>
      </c>
      <c r="H2785" s="42">
        <f>IFERROR(INDEX('Semrush Data'!$A$1:$Z$20000,MATCH(A2785,'Semrush Data'!$A$1:$A$20000,0),MATCH("Keyword Difficulty*",'Semrush Data'!$A$1:$Z$1,0)),"")</f>
        <v/>
      </c>
      <c r="I2785" s="56">
        <f>IFERROR(INDEX('Semrush Data'!$A$1:$Z$20000,MATCH(A2785,'Semrush Data'!$A$1:$A$20000,0),MATCH("CPC*",'Semrush Data'!$A$1:$Z$1,0)),"")</f>
        <v/>
      </c>
      <c r="J2785" s="42">
        <f>IFERROR(INDEX('Semrush Data'!$A$1:$Z$20000,MATCH(A2785,'Semrush Data'!$A$1:$A$20000,0),MATCH("Intent",'Semrush Data'!$A$1:$Z$1,0)),"")</f>
        <v/>
      </c>
    </row>
    <row r="2786" ht="15" customHeight="1" s="37">
      <c r="A2786" s="42" t="inlineStr">
        <is>
          <t>game of spades yellow sapphire dupe of</t>
        </is>
      </c>
      <c r="B2786" s="42" t="inlineStr">
        <is>
          <t>Google suggest</t>
        </is>
      </c>
      <c r="C2786" s="42" t="n">
        <v>3</v>
      </c>
      <c r="D2786" s="42" t="n">
        <v>28</v>
      </c>
      <c r="E2786" s="42" t="n">
        <v>1</v>
      </c>
      <c r="F2786" s="42" t="inlineStr">
        <is>
          <t>FR-195</t>
        </is>
      </c>
      <c r="G2786" s="55">
        <f>IFERROR(INDEX('Semrush Data'!$A$1:$Z$20000,MATCH(A2786,'Semrush Data'!$A$1:$A$20000,0),MATCH("Volume",'Semrush Data'!$A$1:$Z$1,0)),"")</f>
        <v/>
      </c>
      <c r="H2786" s="42">
        <f>IFERROR(INDEX('Semrush Data'!$A$1:$Z$20000,MATCH(A2786,'Semrush Data'!$A$1:$A$20000,0),MATCH("Keyword Difficulty*",'Semrush Data'!$A$1:$Z$1,0)),"")</f>
        <v/>
      </c>
      <c r="I2786" s="56">
        <f>IFERROR(INDEX('Semrush Data'!$A$1:$Z$20000,MATCH(A2786,'Semrush Data'!$A$1:$A$20000,0),MATCH("CPC*",'Semrush Data'!$A$1:$Z$1,0)),"")</f>
        <v/>
      </c>
      <c r="J2786" s="42">
        <f>IFERROR(INDEX('Semrush Data'!$A$1:$Z$20000,MATCH(A2786,'Semrush Data'!$A$1:$A$20000,0),MATCH("Intent",'Semrush Data'!$A$1:$Z$1,0)),"")</f>
        <v/>
      </c>
    </row>
    <row r="2787" ht="15" customHeight="1" s="37">
      <c r="A2787" s="42" t="inlineStr">
        <is>
          <t>game of spades yellow sapphire notes</t>
        </is>
      </c>
      <c r="B2787" s="42" t="inlineStr">
        <is>
          <t>Google suggest</t>
        </is>
      </c>
      <c r="C2787" s="42" t="n">
        <v>3</v>
      </c>
      <c r="D2787" s="42" t="n">
        <v>28</v>
      </c>
      <c r="E2787" s="42" t="n">
        <v>1</v>
      </c>
      <c r="F2787" s="42" t="inlineStr">
        <is>
          <t>FR-195</t>
        </is>
      </c>
      <c r="G2787" s="55">
        <f>IFERROR(INDEX('Semrush Data'!$A$1:$Z$20000,MATCH(A2787,'Semrush Data'!$A$1:$A$20000,0),MATCH("Volume",'Semrush Data'!$A$1:$Z$1,0)),"")</f>
        <v/>
      </c>
      <c r="H2787" s="42">
        <f>IFERROR(INDEX('Semrush Data'!$A$1:$Z$20000,MATCH(A2787,'Semrush Data'!$A$1:$A$20000,0),MATCH("Keyword Difficulty*",'Semrush Data'!$A$1:$Z$1,0)),"")</f>
        <v/>
      </c>
      <c r="I2787" s="56">
        <f>IFERROR(INDEX('Semrush Data'!$A$1:$Z$20000,MATCH(A2787,'Semrush Data'!$A$1:$A$20000,0),MATCH("CPC*",'Semrush Data'!$A$1:$Z$1,0)),"")</f>
        <v/>
      </c>
      <c r="J2787" s="42">
        <f>IFERROR(INDEX('Semrush Data'!$A$1:$Z$20000,MATCH(A2787,'Semrush Data'!$A$1:$A$20000,0),MATCH("Intent",'Semrush Data'!$A$1:$Z$1,0)),"")</f>
        <v/>
      </c>
    </row>
    <row r="2788" ht="15" customHeight="1" s="37">
      <c r="A2788" s="42" t="inlineStr">
        <is>
          <t>game.of.spades.yellow sapphire smells like</t>
        </is>
      </c>
      <c r="B2788" s="42" t="inlineStr">
        <is>
          <t>Google suggest</t>
        </is>
      </c>
      <c r="C2788" s="42" t="n">
        <v>3</v>
      </c>
      <c r="D2788" s="42" t="n">
        <v>28</v>
      </c>
      <c r="E2788" s="42" t="n">
        <v>1</v>
      </c>
      <c r="F2788" s="42" t="inlineStr">
        <is>
          <t>FR-195</t>
        </is>
      </c>
      <c r="G2788" s="55">
        <f>IFERROR(INDEX('Semrush Data'!$A$1:$Z$20000,MATCH(A2788,'Semrush Data'!$A$1:$A$20000,0),MATCH("Volume",'Semrush Data'!$A$1:$Z$1,0)),"")</f>
        <v/>
      </c>
      <c r="H2788" s="42">
        <f>IFERROR(INDEX('Semrush Data'!$A$1:$Z$20000,MATCH(A2788,'Semrush Data'!$A$1:$A$20000,0),MATCH("Keyword Difficulty*",'Semrush Data'!$A$1:$Z$1,0)),"")</f>
        <v/>
      </c>
      <c r="I2788" s="56">
        <f>IFERROR(INDEX('Semrush Data'!$A$1:$Z$20000,MATCH(A2788,'Semrush Data'!$A$1:$A$20000,0),MATCH("CPC*",'Semrush Data'!$A$1:$Z$1,0)),"")</f>
        <v/>
      </c>
      <c r="J2788" s="42">
        <f>IFERROR(INDEX('Semrush Data'!$A$1:$Z$20000,MATCH(A2788,'Semrush Data'!$A$1:$A$20000,0),MATCH("Intent",'Semrush Data'!$A$1:$Z$1,0)),"")</f>
        <v/>
      </c>
    </row>
    <row r="2789" ht="15" customHeight="1" s="37">
      <c r="A2789" s="42" t="inlineStr">
        <is>
          <t>giorgio armani code refillable edt 75ml</t>
        </is>
      </c>
      <c r="B2789" s="42" t="inlineStr">
        <is>
          <t>Google suggest</t>
        </is>
      </c>
      <c r="C2789" s="42" t="n">
        <v>3</v>
      </c>
      <c r="D2789" s="42" t="n">
        <v>28</v>
      </c>
      <c r="E2789" s="42" t="n">
        <v>1</v>
      </c>
      <c r="F2789" s="42" t="inlineStr">
        <is>
          <t>FR-213</t>
        </is>
      </c>
      <c r="G2789" s="55">
        <f>IFERROR(INDEX('Semrush Data'!$A$1:$Z$20000,MATCH(A2789,'Semrush Data'!$A$1:$A$20000,0),MATCH("Volume",'Semrush Data'!$A$1:$Z$1,0)),"")</f>
        <v/>
      </c>
      <c r="H2789" s="42">
        <f>IFERROR(INDEX('Semrush Data'!$A$1:$Z$20000,MATCH(A2789,'Semrush Data'!$A$1:$A$20000,0),MATCH("Keyword Difficulty*",'Semrush Data'!$A$1:$Z$1,0)),"")</f>
        <v/>
      </c>
      <c r="I2789" s="56">
        <f>IFERROR(INDEX('Semrush Data'!$A$1:$Z$20000,MATCH(A2789,'Semrush Data'!$A$1:$A$20000,0),MATCH("CPC*",'Semrush Data'!$A$1:$Z$1,0)),"")</f>
        <v/>
      </c>
      <c r="J2789" s="42">
        <f>IFERROR(INDEX('Semrush Data'!$A$1:$Z$20000,MATCH(A2789,'Semrush Data'!$A$1:$A$20000,0),MATCH("Intent",'Semrush Data'!$A$1:$Z$1,0)),"")</f>
        <v/>
      </c>
    </row>
    <row r="2790" ht="15" customHeight="1" s="37">
      <c r="A2790" s="42" t="inlineStr">
        <is>
          <t>giorgio armani code refillable parfum</t>
        </is>
      </c>
      <c r="B2790" s="42" t="inlineStr">
        <is>
          <t>Google suggest</t>
        </is>
      </c>
      <c r="C2790" s="42" t="n">
        <v>3</v>
      </c>
      <c r="D2790" s="42" t="n">
        <v>28</v>
      </c>
      <c r="E2790" s="42" t="n">
        <v>1</v>
      </c>
      <c r="F2790" s="42" t="inlineStr">
        <is>
          <t>FR-213</t>
        </is>
      </c>
      <c r="G2790" s="55">
        <f>IFERROR(INDEX('Semrush Data'!$A$1:$Z$20000,MATCH(A2790,'Semrush Data'!$A$1:$A$20000,0),MATCH("Volume",'Semrush Data'!$A$1:$Z$1,0)),"")</f>
        <v/>
      </c>
      <c r="H2790" s="42">
        <f>IFERROR(INDEX('Semrush Data'!$A$1:$Z$20000,MATCH(A2790,'Semrush Data'!$A$1:$A$20000,0),MATCH("Keyword Difficulty*",'Semrush Data'!$A$1:$Z$1,0)),"")</f>
        <v/>
      </c>
      <c r="I2790" s="56">
        <f>IFERROR(INDEX('Semrush Data'!$A$1:$Z$20000,MATCH(A2790,'Semrush Data'!$A$1:$A$20000,0),MATCH("CPC*",'Semrush Data'!$A$1:$Z$1,0)),"")</f>
        <v/>
      </c>
      <c r="J2790" s="42">
        <f>IFERROR(INDEX('Semrush Data'!$A$1:$Z$20000,MATCH(A2790,'Semrush Data'!$A$1:$A$20000,0),MATCH("Intent",'Semrush Data'!$A$1:$Z$1,0)),"")</f>
        <v/>
      </c>
    </row>
    <row r="2791" ht="15" customHeight="1" s="37">
      <c r="A2791" s="42" t="inlineStr">
        <is>
          <t>giorgio armani perfume refillable</t>
        </is>
      </c>
      <c r="B2791" s="42" t="inlineStr">
        <is>
          <t>Google suggest</t>
        </is>
      </c>
      <c r="C2791" s="42" t="n">
        <v>3</v>
      </c>
      <c r="D2791" s="42" t="n">
        <v>28</v>
      </c>
      <c r="E2791" s="42" t="n">
        <v>1</v>
      </c>
      <c r="F2791" s="42" t="inlineStr">
        <is>
          <t>FR-213</t>
        </is>
      </c>
      <c r="G2791" s="55">
        <f>IFERROR(INDEX('Semrush Data'!$A$1:$Z$20000,MATCH(A2791,'Semrush Data'!$A$1:$A$20000,0),MATCH("Volume",'Semrush Data'!$A$1:$Z$1,0)),"")</f>
        <v/>
      </c>
      <c r="H2791" s="42">
        <f>IFERROR(INDEX('Semrush Data'!$A$1:$Z$20000,MATCH(A2791,'Semrush Data'!$A$1:$A$20000,0),MATCH("Keyword Difficulty*",'Semrush Data'!$A$1:$Z$1,0)),"")</f>
        <v/>
      </c>
      <c r="I2791" s="56">
        <f>IFERROR(INDEX('Semrush Data'!$A$1:$Z$20000,MATCH(A2791,'Semrush Data'!$A$1:$A$20000,0),MATCH("CPC*",'Semrush Data'!$A$1:$Z$1,0)),"")</f>
        <v/>
      </c>
      <c r="J2791" s="42">
        <f>IFERROR(INDEX('Semrush Data'!$A$1:$Z$20000,MATCH(A2791,'Semrush Data'!$A$1:$A$20000,0),MATCH("Intent",'Semrush Data'!$A$1:$Z$1,0)),"")</f>
        <v/>
      </c>
    </row>
    <row r="2792" ht="15" customHeight="1" s="37">
      <c r="A2792" s="42" t="inlineStr">
        <is>
          <t>givenchy amarige 100ml</t>
        </is>
      </c>
      <c r="B2792" s="42" t="inlineStr">
        <is>
          <t>Google suggest</t>
        </is>
      </c>
      <c r="C2792" s="42" t="n">
        <v>3</v>
      </c>
      <c r="D2792" s="42" t="n">
        <v>28</v>
      </c>
      <c r="E2792" s="42" t="n">
        <v>1</v>
      </c>
      <c r="F2792" s="42" t="inlineStr">
        <is>
          <t>FR-214</t>
        </is>
      </c>
      <c r="G2792" s="55">
        <f>IFERROR(INDEX('Semrush Data'!$A$1:$Z$20000,MATCH(A2792,'Semrush Data'!$A$1:$A$20000,0),MATCH("Volume",'Semrush Data'!$A$1:$Z$1,0)),"")</f>
        <v/>
      </c>
      <c r="H2792" s="42">
        <f>IFERROR(INDEX('Semrush Data'!$A$1:$Z$20000,MATCH(A2792,'Semrush Data'!$A$1:$A$20000,0),MATCH("Keyword Difficulty*",'Semrush Data'!$A$1:$Z$1,0)),"")</f>
        <v/>
      </c>
      <c r="I2792" s="56">
        <f>IFERROR(INDEX('Semrush Data'!$A$1:$Z$20000,MATCH(A2792,'Semrush Data'!$A$1:$A$20000,0),MATCH("CPC*",'Semrush Data'!$A$1:$Z$1,0)),"")</f>
        <v/>
      </c>
      <c r="J2792" s="42">
        <f>IFERROR(INDEX('Semrush Data'!$A$1:$Z$20000,MATCH(A2792,'Semrush Data'!$A$1:$A$20000,0),MATCH("Intent",'Semrush Data'!$A$1:$Z$1,0)),"")</f>
        <v/>
      </c>
    </row>
    <row r="2793" ht="15" customHeight="1" s="37">
      <c r="A2793" s="42" t="inlineStr">
        <is>
          <t>givenchy amarige eau de parfum</t>
        </is>
      </c>
      <c r="B2793" s="42" t="inlineStr">
        <is>
          <t>Google suggest</t>
        </is>
      </c>
      <c r="C2793" s="42" t="n">
        <v>3</v>
      </c>
      <c r="D2793" s="42" t="n">
        <v>28</v>
      </c>
      <c r="E2793" s="42" t="n">
        <v>1</v>
      </c>
      <c r="F2793" s="42" t="inlineStr">
        <is>
          <t>FR-214</t>
        </is>
      </c>
      <c r="G2793" s="55">
        <f>IFERROR(INDEX('Semrush Data'!$A$1:$Z$20000,MATCH(A2793,'Semrush Data'!$A$1:$A$20000,0),MATCH("Volume",'Semrush Data'!$A$1:$Z$1,0)),"")</f>
        <v/>
      </c>
      <c r="H2793" s="42">
        <f>IFERROR(INDEX('Semrush Data'!$A$1:$Z$20000,MATCH(A2793,'Semrush Data'!$A$1:$A$20000,0),MATCH("Keyword Difficulty*",'Semrush Data'!$A$1:$Z$1,0)),"")</f>
        <v/>
      </c>
      <c r="I2793" s="56">
        <f>IFERROR(INDEX('Semrush Data'!$A$1:$Z$20000,MATCH(A2793,'Semrush Data'!$A$1:$A$20000,0),MATCH("CPC*",'Semrush Data'!$A$1:$Z$1,0)),"")</f>
        <v/>
      </c>
      <c r="J2793" s="42">
        <f>IFERROR(INDEX('Semrush Data'!$A$1:$Z$20000,MATCH(A2793,'Semrush Data'!$A$1:$A$20000,0),MATCH("Intent",'Semrush Data'!$A$1:$Z$1,0)),"")</f>
        <v/>
      </c>
    </row>
    <row r="2794" ht="15" customHeight="1" s="37">
      <c r="A2794" s="42" t="inlineStr">
        <is>
          <t>givenchy amarige edp 100ml</t>
        </is>
      </c>
      <c r="B2794" s="42" t="inlineStr">
        <is>
          <t>Google suggest</t>
        </is>
      </c>
      <c r="C2794" s="42" t="n">
        <v>3</v>
      </c>
      <c r="D2794" s="42" t="n">
        <v>28</v>
      </c>
      <c r="E2794" s="42" t="n">
        <v>1</v>
      </c>
      <c r="F2794" s="42" t="inlineStr">
        <is>
          <t>FR-214</t>
        </is>
      </c>
      <c r="G2794" s="55">
        <f>IFERROR(INDEX('Semrush Data'!$A$1:$Z$20000,MATCH(A2794,'Semrush Data'!$A$1:$A$20000,0),MATCH("Volume",'Semrush Data'!$A$1:$Z$1,0)),"")</f>
        <v/>
      </c>
      <c r="H2794" s="42">
        <f>IFERROR(INDEX('Semrush Data'!$A$1:$Z$20000,MATCH(A2794,'Semrush Data'!$A$1:$A$20000,0),MATCH("Keyword Difficulty*",'Semrush Data'!$A$1:$Z$1,0)),"")</f>
        <v/>
      </c>
      <c r="I2794" s="56">
        <f>IFERROR(INDEX('Semrush Data'!$A$1:$Z$20000,MATCH(A2794,'Semrush Data'!$A$1:$A$20000,0),MATCH("CPC*",'Semrush Data'!$A$1:$Z$1,0)),"")</f>
        <v/>
      </c>
      <c r="J2794" s="42">
        <f>IFERROR(INDEX('Semrush Data'!$A$1:$Z$20000,MATCH(A2794,'Semrush Data'!$A$1:$A$20000,0),MATCH("Intent",'Semrush Data'!$A$1:$Z$1,0)),"")</f>
        <v/>
      </c>
    </row>
    <row r="2795" ht="15" customHeight="1" s="37">
      <c r="A2795" s="42" t="inlineStr">
        <is>
          <t>givenchy amarige edt 100ml</t>
        </is>
      </c>
      <c r="B2795" s="42" t="inlineStr">
        <is>
          <t>Google suggest</t>
        </is>
      </c>
      <c r="C2795" s="42" t="n">
        <v>3</v>
      </c>
      <c r="D2795" s="42" t="n">
        <v>28</v>
      </c>
      <c r="E2795" s="42" t="n">
        <v>1</v>
      </c>
      <c r="F2795" s="42" t="inlineStr">
        <is>
          <t>FR-214</t>
        </is>
      </c>
      <c r="G2795" s="55">
        <f>IFERROR(INDEX('Semrush Data'!$A$1:$Z$20000,MATCH(A2795,'Semrush Data'!$A$1:$A$20000,0),MATCH("Volume",'Semrush Data'!$A$1:$Z$1,0)),"")</f>
        <v/>
      </c>
      <c r="H2795" s="42">
        <f>IFERROR(INDEX('Semrush Data'!$A$1:$Z$20000,MATCH(A2795,'Semrush Data'!$A$1:$A$20000,0),MATCH("Keyword Difficulty*",'Semrush Data'!$A$1:$Z$1,0)),"")</f>
        <v/>
      </c>
      <c r="I2795" s="56">
        <f>IFERROR(INDEX('Semrush Data'!$A$1:$Z$20000,MATCH(A2795,'Semrush Data'!$A$1:$A$20000,0),MATCH("CPC*",'Semrush Data'!$A$1:$Z$1,0)),"")</f>
        <v/>
      </c>
      <c r="J2795" s="42">
        <f>IFERROR(INDEX('Semrush Data'!$A$1:$Z$20000,MATCH(A2795,'Semrush Data'!$A$1:$A$20000,0),MATCH("Intent",'Semrush Data'!$A$1:$Z$1,0)),"")</f>
        <v/>
      </c>
    </row>
    <row r="2796" ht="15" customHeight="1" s="37">
      <c r="A2796" s="42" t="inlineStr">
        <is>
          <t>givenchy amarige notes</t>
        </is>
      </c>
      <c r="B2796" s="42" t="inlineStr">
        <is>
          <t>Google suggest</t>
        </is>
      </c>
      <c r="C2796" s="42" t="n">
        <v>3</v>
      </c>
      <c r="D2796" s="42" t="inlineStr">
        <is>
          <t>T3-1</t>
        </is>
      </c>
      <c r="E2796" s="42" t="n">
        <v>1</v>
      </c>
      <c r="F2796" s="42" t="inlineStr">
        <is>
          <t>FR-214</t>
        </is>
      </c>
      <c r="G2796" s="55">
        <f>IFERROR(INDEX('Semrush Data'!$A$1:$Z$20000,MATCH(A2796,'Semrush Data'!$A$1:$A$20000,0),MATCH("Volume",'Semrush Data'!$A$1:$Z$1,0)),"")</f>
        <v/>
      </c>
      <c r="H2796" s="42">
        <f>IFERROR(INDEX('Semrush Data'!$A$1:$Z$20000,MATCH(A2796,'Semrush Data'!$A$1:$A$20000,0),MATCH("Keyword Difficulty*",'Semrush Data'!$A$1:$Z$1,0)),"")</f>
        <v/>
      </c>
      <c r="I2796" s="56">
        <f>IFERROR(INDEX('Semrush Data'!$A$1:$Z$20000,MATCH(A2796,'Semrush Data'!$A$1:$A$20000,0),MATCH("CPC*",'Semrush Data'!$A$1:$Z$1,0)),"")</f>
        <v/>
      </c>
      <c r="J2796" s="42">
        <f>IFERROR(INDEX('Semrush Data'!$A$1:$Z$20000,MATCH(A2796,'Semrush Data'!$A$1:$A$20000,0),MATCH("Intent",'Semrush Data'!$A$1:$Z$1,0)),"")</f>
        <v/>
      </c>
    </row>
    <row r="2797" ht="15" customHeight="1" s="37">
      <c r="A2797" s="42" t="inlineStr">
        <is>
          <t>givenchy amarige perfume</t>
        </is>
      </c>
      <c r="B2797" s="42" t="inlineStr">
        <is>
          <t>Google suggest</t>
        </is>
      </c>
      <c r="C2797" s="42" t="n">
        <v>3</v>
      </c>
      <c r="D2797" s="42" t="inlineStr">
        <is>
          <t>T3-1</t>
        </is>
      </c>
      <c r="E2797" s="42" t="n">
        <v>1</v>
      </c>
      <c r="F2797" s="42" t="inlineStr">
        <is>
          <t>FR-214</t>
        </is>
      </c>
      <c r="G2797" s="55">
        <f>IFERROR(INDEX('Semrush Data'!$A$1:$Z$20000,MATCH(A2797,'Semrush Data'!$A$1:$A$20000,0),MATCH("Volume",'Semrush Data'!$A$1:$Z$1,0)),"")</f>
        <v/>
      </c>
      <c r="H2797" s="42">
        <f>IFERROR(INDEX('Semrush Data'!$A$1:$Z$20000,MATCH(A2797,'Semrush Data'!$A$1:$A$20000,0),MATCH("Keyword Difficulty*",'Semrush Data'!$A$1:$Z$1,0)),"")</f>
        <v/>
      </c>
      <c r="I2797" s="56">
        <f>IFERROR(INDEX('Semrush Data'!$A$1:$Z$20000,MATCH(A2797,'Semrush Data'!$A$1:$A$20000,0),MATCH("CPC*",'Semrush Data'!$A$1:$Z$1,0)),"")</f>
        <v/>
      </c>
      <c r="J2797" s="42">
        <f>IFERROR(INDEX('Semrush Data'!$A$1:$Z$20000,MATCH(A2797,'Semrush Data'!$A$1:$A$20000,0),MATCH("Intent",'Semrush Data'!$A$1:$Z$1,0)),"")</f>
        <v/>
      </c>
    </row>
    <row r="2798" ht="15" customHeight="1" s="37">
      <c r="A2798" s="42" t="inlineStr">
        <is>
          <t>givenchy gentleman original 2024</t>
        </is>
      </c>
      <c r="B2798" s="42" t="inlineStr">
        <is>
          <t>Google suggest</t>
        </is>
      </c>
      <c r="C2798" s="42" t="n">
        <v>3</v>
      </c>
      <c r="D2798" s="42" t="n">
        <v>28</v>
      </c>
      <c r="E2798" s="42" t="n">
        <v>1</v>
      </c>
      <c r="F2798" s="42" t="inlineStr">
        <is>
          <t>FR-215</t>
        </is>
      </c>
      <c r="G2798" s="55">
        <f>IFERROR(INDEX('Semrush Data'!$A$1:$Z$20000,MATCH(A2798,'Semrush Data'!$A$1:$A$20000,0),MATCH("Volume",'Semrush Data'!$A$1:$Z$1,0)),"")</f>
        <v/>
      </c>
      <c r="H2798" s="42">
        <f>IFERROR(INDEX('Semrush Data'!$A$1:$Z$20000,MATCH(A2798,'Semrush Data'!$A$1:$A$20000,0),MATCH("Keyword Difficulty*",'Semrush Data'!$A$1:$Z$1,0)),"")</f>
        <v/>
      </c>
      <c r="I2798" s="56">
        <f>IFERROR(INDEX('Semrush Data'!$A$1:$Z$20000,MATCH(A2798,'Semrush Data'!$A$1:$A$20000,0),MATCH("CPC*",'Semrush Data'!$A$1:$Z$1,0)),"")</f>
        <v/>
      </c>
      <c r="J2798" s="42">
        <f>IFERROR(INDEX('Semrush Data'!$A$1:$Z$20000,MATCH(A2798,'Semrush Data'!$A$1:$A$20000,0),MATCH("Intent",'Semrush Data'!$A$1:$Z$1,0)),"")</f>
        <v/>
      </c>
    </row>
    <row r="2799" ht="15" customHeight="1" s="37">
      <c r="A2799" s="42" t="inlineStr">
        <is>
          <t>givenchy gentleman original review</t>
        </is>
      </c>
      <c r="B2799" s="42" t="inlineStr">
        <is>
          <t>Google suggest</t>
        </is>
      </c>
      <c r="C2799" s="42" t="n">
        <v>3</v>
      </c>
      <c r="D2799" s="42" t="n">
        <v>28</v>
      </c>
      <c r="E2799" s="42" t="n">
        <v>1</v>
      </c>
      <c r="F2799" s="42" t="inlineStr">
        <is>
          <t>FR-215</t>
        </is>
      </c>
      <c r="G2799" s="55">
        <f>IFERROR(INDEX('Semrush Data'!$A$1:$Z$20000,MATCH(A2799,'Semrush Data'!$A$1:$A$20000,0),MATCH("Volume",'Semrush Data'!$A$1:$Z$1,0)),"")</f>
        <v/>
      </c>
      <c r="H2799" s="42">
        <f>IFERROR(INDEX('Semrush Data'!$A$1:$Z$20000,MATCH(A2799,'Semrush Data'!$A$1:$A$20000,0),MATCH("Keyword Difficulty*",'Semrush Data'!$A$1:$Z$1,0)),"")</f>
        <v/>
      </c>
      <c r="I2799" s="56">
        <f>IFERROR(INDEX('Semrush Data'!$A$1:$Z$20000,MATCH(A2799,'Semrush Data'!$A$1:$A$20000,0),MATCH("CPC*",'Semrush Data'!$A$1:$Z$1,0)),"")</f>
        <v/>
      </c>
      <c r="J2799" s="42">
        <f>IFERROR(INDEX('Semrush Data'!$A$1:$Z$20000,MATCH(A2799,'Semrush Data'!$A$1:$A$20000,0),MATCH("Intent",'Semrush Data'!$A$1:$Z$1,0)),"")</f>
        <v/>
      </c>
    </row>
    <row r="2800" ht="15" customHeight="1" s="37">
      <c r="A2800" s="42" t="inlineStr">
        <is>
          <t>givenchy gentleman originale 100ml</t>
        </is>
      </c>
      <c r="B2800" s="42" t="inlineStr">
        <is>
          <t>Google suggest</t>
        </is>
      </c>
      <c r="C2800" s="42" t="n">
        <v>3</v>
      </c>
      <c r="D2800" s="42" t="n">
        <v>28</v>
      </c>
      <c r="E2800" s="42" t="n">
        <v>1</v>
      </c>
      <c r="F2800" s="42" t="inlineStr">
        <is>
          <t>FR-215</t>
        </is>
      </c>
      <c r="G2800" s="55">
        <f>IFERROR(INDEX('Semrush Data'!$A$1:$Z$20000,MATCH(A2800,'Semrush Data'!$A$1:$A$20000,0),MATCH("Volume",'Semrush Data'!$A$1:$Z$1,0)),"")</f>
        <v/>
      </c>
      <c r="H2800" s="42">
        <f>IFERROR(INDEX('Semrush Data'!$A$1:$Z$20000,MATCH(A2800,'Semrush Data'!$A$1:$A$20000,0),MATCH("Keyword Difficulty*",'Semrush Data'!$A$1:$Z$1,0)),"")</f>
        <v/>
      </c>
      <c r="I2800" s="56">
        <f>IFERROR(INDEX('Semrush Data'!$A$1:$Z$20000,MATCH(A2800,'Semrush Data'!$A$1:$A$20000,0),MATCH("CPC*",'Semrush Data'!$A$1:$Z$1,0)),"")</f>
        <v/>
      </c>
      <c r="J2800" s="42">
        <f>IFERROR(INDEX('Semrush Data'!$A$1:$Z$20000,MATCH(A2800,'Semrush Data'!$A$1:$A$20000,0),MATCH("Intent",'Semrush Data'!$A$1:$Z$1,0)),"")</f>
        <v/>
      </c>
    </row>
    <row r="2801" ht="15" customHeight="1" s="37">
      <c r="A2801" s="42" t="inlineStr">
        <is>
          <t>givenchy gentleman originale edp</t>
        </is>
      </c>
      <c r="B2801" s="42" t="inlineStr">
        <is>
          <t>Google suggest</t>
        </is>
      </c>
      <c r="C2801" s="42" t="n">
        <v>3</v>
      </c>
      <c r="D2801" s="42" t="n">
        <v>28</v>
      </c>
      <c r="E2801" s="42" t="n">
        <v>1</v>
      </c>
      <c r="F2801" s="42" t="inlineStr">
        <is>
          <t>FR-215</t>
        </is>
      </c>
      <c r="G2801" s="55">
        <f>IFERROR(INDEX('Semrush Data'!$A$1:$Z$20000,MATCH(A2801,'Semrush Data'!$A$1:$A$20000,0),MATCH("Volume",'Semrush Data'!$A$1:$Z$1,0)),"")</f>
        <v/>
      </c>
      <c r="H2801" s="42">
        <f>IFERROR(INDEX('Semrush Data'!$A$1:$Z$20000,MATCH(A2801,'Semrush Data'!$A$1:$A$20000,0),MATCH("Keyword Difficulty*",'Semrush Data'!$A$1:$Z$1,0)),"")</f>
        <v/>
      </c>
      <c r="I2801" s="56">
        <f>IFERROR(INDEX('Semrush Data'!$A$1:$Z$20000,MATCH(A2801,'Semrush Data'!$A$1:$A$20000,0),MATCH("CPC*",'Semrush Data'!$A$1:$Z$1,0)),"")</f>
        <v/>
      </c>
      <c r="J2801" s="42">
        <f>IFERROR(INDEX('Semrush Data'!$A$1:$Z$20000,MATCH(A2801,'Semrush Data'!$A$1:$A$20000,0),MATCH("Intent",'Semrush Data'!$A$1:$Z$1,0)),"")</f>
        <v/>
      </c>
    </row>
    <row r="2802" ht="15" customHeight="1" s="37">
      <c r="A2802" s="42" t="inlineStr">
        <is>
          <t>givenchy gentleman originale edt</t>
        </is>
      </c>
      <c r="B2802" s="42" t="inlineStr">
        <is>
          <t>Google suggest</t>
        </is>
      </c>
      <c r="C2802" s="42" t="n">
        <v>3</v>
      </c>
      <c r="D2802" s="42" t="n">
        <v>29</v>
      </c>
      <c r="E2802" s="42" t="n">
        <v>1</v>
      </c>
      <c r="F2802" s="42" t="inlineStr">
        <is>
          <t>FR-215</t>
        </is>
      </c>
      <c r="G2802" s="55">
        <f>IFERROR(INDEX('Semrush Data'!$A$1:$Z$20000,MATCH(A2802,'Semrush Data'!$A$1:$A$20000,0),MATCH("Volume",'Semrush Data'!$A$1:$Z$1,0)),"")</f>
        <v/>
      </c>
      <c r="H2802" s="42">
        <f>IFERROR(INDEX('Semrush Data'!$A$1:$Z$20000,MATCH(A2802,'Semrush Data'!$A$1:$A$20000,0),MATCH("Keyword Difficulty*",'Semrush Data'!$A$1:$Z$1,0)),"")</f>
        <v/>
      </c>
      <c r="I2802" s="56">
        <f>IFERROR(INDEX('Semrush Data'!$A$1:$Z$20000,MATCH(A2802,'Semrush Data'!$A$1:$A$20000,0),MATCH("CPC*",'Semrush Data'!$A$1:$Z$1,0)),"")</f>
        <v/>
      </c>
      <c r="J2802" s="42">
        <f>IFERROR(INDEX('Semrush Data'!$A$1:$Z$20000,MATCH(A2802,'Semrush Data'!$A$1:$A$20000,0),MATCH("Intent",'Semrush Data'!$A$1:$Z$1,0)),"")</f>
        <v/>
      </c>
    </row>
    <row r="2803" ht="15" customHeight="1" s="37">
      <c r="A2803" s="42" t="inlineStr">
        <is>
          <t>givenchy gentleman originale for men edt</t>
        </is>
      </c>
      <c r="B2803" s="42" t="inlineStr">
        <is>
          <t>Google suggest</t>
        </is>
      </c>
      <c r="C2803" s="42" t="n">
        <v>3</v>
      </c>
      <c r="D2803" s="42" t="n">
        <v>29</v>
      </c>
      <c r="E2803" s="42" t="n">
        <v>1</v>
      </c>
      <c r="F2803" s="42" t="inlineStr">
        <is>
          <t>FR-215</t>
        </is>
      </c>
      <c r="G2803" s="55">
        <f>IFERROR(INDEX('Semrush Data'!$A$1:$Z$20000,MATCH(A2803,'Semrush Data'!$A$1:$A$20000,0),MATCH("Volume",'Semrush Data'!$A$1:$Z$1,0)),"")</f>
        <v/>
      </c>
      <c r="H2803" s="42">
        <f>IFERROR(INDEX('Semrush Data'!$A$1:$Z$20000,MATCH(A2803,'Semrush Data'!$A$1:$A$20000,0),MATCH("Keyword Difficulty*",'Semrush Data'!$A$1:$Z$1,0)),"")</f>
        <v/>
      </c>
      <c r="I2803" s="56">
        <f>IFERROR(INDEX('Semrush Data'!$A$1:$Z$20000,MATCH(A2803,'Semrush Data'!$A$1:$A$20000,0),MATCH("CPC*",'Semrush Data'!$A$1:$Z$1,0)),"")</f>
        <v/>
      </c>
      <c r="J2803" s="42">
        <f>IFERROR(INDEX('Semrush Data'!$A$1:$Z$20000,MATCH(A2803,'Semrush Data'!$A$1:$A$20000,0),MATCH("Intent",'Semrush Data'!$A$1:$Z$1,0)),"")</f>
        <v/>
      </c>
    </row>
    <row r="2804" ht="15" customHeight="1" s="37">
      <c r="A2804" s="42" t="inlineStr">
        <is>
          <t>gucci bloom eau de parfum miniature</t>
        </is>
      </c>
      <c r="B2804" s="42" t="inlineStr">
        <is>
          <t>Google suggest</t>
        </is>
      </c>
      <c r="C2804" s="42" t="n">
        <v>3</v>
      </c>
      <c r="D2804" s="42" t="n">
        <v>29</v>
      </c>
      <c r="E2804" s="42" t="n">
        <v>1</v>
      </c>
      <c r="F2804" s="42" t="inlineStr">
        <is>
          <t>FR-228</t>
        </is>
      </c>
      <c r="G2804" s="55">
        <f>IFERROR(INDEX('Semrush Data'!$A$1:$Z$20000,MATCH(A2804,'Semrush Data'!$A$1:$A$20000,0),MATCH("Volume",'Semrush Data'!$A$1:$Z$1,0)),"")</f>
        <v/>
      </c>
      <c r="H2804" s="42">
        <f>IFERROR(INDEX('Semrush Data'!$A$1:$Z$20000,MATCH(A2804,'Semrush Data'!$A$1:$A$20000,0),MATCH("Keyword Difficulty*",'Semrush Data'!$A$1:$Z$1,0)),"")</f>
        <v/>
      </c>
      <c r="I2804" s="56">
        <f>IFERROR(INDEX('Semrush Data'!$A$1:$Z$20000,MATCH(A2804,'Semrush Data'!$A$1:$A$20000,0),MATCH("CPC*",'Semrush Data'!$A$1:$Z$1,0)),"")</f>
        <v/>
      </c>
      <c r="J2804" s="42">
        <f>IFERROR(INDEX('Semrush Data'!$A$1:$Z$20000,MATCH(A2804,'Semrush Data'!$A$1:$A$20000,0),MATCH("Intent",'Semrush Data'!$A$1:$Z$1,0)),"")</f>
        <v/>
      </c>
    </row>
    <row r="2805" ht="15" customHeight="1" s="37">
      <c r="A2805" s="42" t="inlineStr">
        <is>
          <t>gucci bloom gift set 100ml</t>
        </is>
      </c>
      <c r="B2805" s="42" t="inlineStr">
        <is>
          <t>Google suggest</t>
        </is>
      </c>
      <c r="C2805" s="42" t="n">
        <v>3</v>
      </c>
      <c r="D2805" s="42" t="n">
        <v>29</v>
      </c>
      <c r="E2805" s="42" t="n">
        <v>1</v>
      </c>
      <c r="F2805" s="42" t="inlineStr">
        <is>
          <t>FR-223</t>
        </is>
      </c>
      <c r="G2805" s="55">
        <f>IFERROR(INDEX('Semrush Data'!$A$1:$Z$20000,MATCH(A2805,'Semrush Data'!$A$1:$A$20000,0),MATCH("Volume",'Semrush Data'!$A$1:$Z$1,0)),"")</f>
        <v/>
      </c>
      <c r="H2805" s="42">
        <f>IFERROR(INDEX('Semrush Data'!$A$1:$Z$20000,MATCH(A2805,'Semrush Data'!$A$1:$A$20000,0),MATCH("Keyword Difficulty*",'Semrush Data'!$A$1:$Z$1,0)),"")</f>
        <v/>
      </c>
      <c r="I2805" s="56">
        <f>IFERROR(INDEX('Semrush Data'!$A$1:$Z$20000,MATCH(A2805,'Semrush Data'!$A$1:$A$20000,0),MATCH("CPC*",'Semrush Data'!$A$1:$Z$1,0)),"")</f>
        <v/>
      </c>
      <c r="J2805" s="42">
        <f>IFERROR(INDEX('Semrush Data'!$A$1:$Z$20000,MATCH(A2805,'Semrush Data'!$A$1:$A$20000,0),MATCH("Intent",'Semrush Data'!$A$1:$Z$1,0)),"")</f>
        <v/>
      </c>
    </row>
    <row r="2806" ht="15" customHeight="1" s="37">
      <c r="A2806" s="42" t="inlineStr">
        <is>
          <t>gucci bloom gift set 50ml</t>
        </is>
      </c>
      <c r="B2806" s="42" t="inlineStr">
        <is>
          <t>Google suggest</t>
        </is>
      </c>
      <c r="C2806" s="42" t="n">
        <v>3</v>
      </c>
      <c r="D2806" s="42" t="n">
        <v>29</v>
      </c>
      <c r="E2806" s="42" t="n">
        <v>1</v>
      </c>
      <c r="F2806" s="42" t="inlineStr">
        <is>
          <t>FR-223</t>
        </is>
      </c>
      <c r="G2806" s="55">
        <f>IFERROR(INDEX('Semrush Data'!$A$1:$Z$20000,MATCH(A2806,'Semrush Data'!$A$1:$A$20000,0),MATCH("Volume",'Semrush Data'!$A$1:$Z$1,0)),"")</f>
        <v/>
      </c>
      <c r="H2806" s="42">
        <f>IFERROR(INDEX('Semrush Data'!$A$1:$Z$20000,MATCH(A2806,'Semrush Data'!$A$1:$A$20000,0),MATCH("Keyword Difficulty*",'Semrush Data'!$A$1:$Z$1,0)),"")</f>
        <v/>
      </c>
      <c r="I2806" s="56">
        <f>IFERROR(INDEX('Semrush Data'!$A$1:$Z$20000,MATCH(A2806,'Semrush Data'!$A$1:$A$20000,0),MATCH("CPC*",'Semrush Data'!$A$1:$Z$1,0)),"")</f>
        <v/>
      </c>
      <c r="J2806" s="42">
        <f>IFERROR(INDEX('Semrush Data'!$A$1:$Z$20000,MATCH(A2806,'Semrush Data'!$A$1:$A$20000,0),MATCH("Intent",'Semrush Data'!$A$1:$Z$1,0)),"")</f>
        <v/>
      </c>
    </row>
    <row r="2807" ht="15" customHeight="1" s="37">
      <c r="A2807" s="42" t="inlineStr">
        <is>
          <t>gucci bloom gift set boots</t>
        </is>
      </c>
      <c r="B2807" s="42" t="inlineStr">
        <is>
          <t>Google suggest</t>
        </is>
      </c>
      <c r="C2807" s="42" t="n">
        <v>3</v>
      </c>
      <c r="D2807" s="42" t="n">
        <v>29</v>
      </c>
      <c r="E2807" s="42" t="n">
        <v>1</v>
      </c>
      <c r="F2807" s="42" t="inlineStr">
        <is>
          <t>FR-223</t>
        </is>
      </c>
      <c r="G2807" s="55">
        <f>IFERROR(INDEX('Semrush Data'!$A$1:$Z$20000,MATCH(A2807,'Semrush Data'!$A$1:$A$20000,0),MATCH("Volume",'Semrush Data'!$A$1:$Z$1,0)),"")</f>
        <v/>
      </c>
      <c r="H2807" s="42">
        <f>IFERROR(INDEX('Semrush Data'!$A$1:$Z$20000,MATCH(A2807,'Semrush Data'!$A$1:$A$20000,0),MATCH("Keyword Difficulty*",'Semrush Data'!$A$1:$Z$1,0)),"")</f>
        <v/>
      </c>
      <c r="I2807" s="56">
        <f>IFERROR(INDEX('Semrush Data'!$A$1:$Z$20000,MATCH(A2807,'Semrush Data'!$A$1:$A$20000,0),MATCH("CPC*",'Semrush Data'!$A$1:$Z$1,0)),"")</f>
        <v/>
      </c>
      <c r="J2807" s="42">
        <f>IFERROR(INDEX('Semrush Data'!$A$1:$Z$20000,MATCH(A2807,'Semrush Data'!$A$1:$A$20000,0),MATCH("Intent",'Semrush Data'!$A$1:$Z$1,0)),"")</f>
        <v/>
      </c>
    </row>
    <row r="2808" ht="15" customHeight="1" s="37">
      <c r="A2808" s="42" t="inlineStr">
        <is>
          <t>gucci bloom gift set sale</t>
        </is>
      </c>
      <c r="B2808" s="42" t="inlineStr">
        <is>
          <t>Google suggest</t>
        </is>
      </c>
      <c r="C2808" s="42" t="n">
        <v>3</v>
      </c>
      <c r="D2808" s="42" t="n">
        <v>29</v>
      </c>
      <c r="E2808" s="42" t="n">
        <v>1</v>
      </c>
      <c r="F2808" s="42" t="inlineStr">
        <is>
          <t>FR-223</t>
        </is>
      </c>
      <c r="G2808" s="55">
        <f>IFERROR(INDEX('Semrush Data'!$A$1:$Z$20000,MATCH(A2808,'Semrush Data'!$A$1:$A$20000,0),MATCH("Volume",'Semrush Data'!$A$1:$Z$1,0)),"")</f>
        <v/>
      </c>
      <c r="H2808" s="42">
        <f>IFERROR(INDEX('Semrush Data'!$A$1:$Z$20000,MATCH(A2808,'Semrush Data'!$A$1:$A$20000,0),MATCH("Keyword Difficulty*",'Semrush Data'!$A$1:$Z$1,0)),"")</f>
        <v/>
      </c>
      <c r="I2808" s="56">
        <f>IFERROR(INDEX('Semrush Data'!$A$1:$Z$20000,MATCH(A2808,'Semrush Data'!$A$1:$A$20000,0),MATCH("CPC*",'Semrush Data'!$A$1:$Z$1,0)),"")</f>
        <v/>
      </c>
      <c r="J2808" s="42">
        <f>IFERROR(INDEX('Semrush Data'!$A$1:$Z$20000,MATCH(A2808,'Semrush Data'!$A$1:$A$20000,0),MATCH("Intent",'Semrush Data'!$A$1:$Z$1,0)),"")</f>
        <v/>
      </c>
    </row>
    <row r="2809" ht="15" customHeight="1" s="37">
      <c r="A2809" s="42" t="inlineStr">
        <is>
          <t>gucci bloom mini</t>
        </is>
      </c>
      <c r="B2809" s="42" t="inlineStr">
        <is>
          <t>Google suggest</t>
        </is>
      </c>
      <c r="C2809" s="42" t="n">
        <v>3</v>
      </c>
      <c r="D2809" s="42" t="n">
        <v>29</v>
      </c>
      <c r="E2809" s="42" t="n">
        <v>1</v>
      </c>
      <c r="F2809" s="42" t="inlineStr">
        <is>
          <t>FR-221</t>
        </is>
      </c>
      <c r="G2809" s="55">
        <f>IFERROR(INDEX('Semrush Data'!$A$1:$Z$20000,MATCH(A2809,'Semrush Data'!$A$1:$A$20000,0),MATCH("Volume",'Semrush Data'!$A$1:$Z$1,0)),"")</f>
        <v/>
      </c>
      <c r="H2809" s="42">
        <f>IFERROR(INDEX('Semrush Data'!$A$1:$Z$20000,MATCH(A2809,'Semrush Data'!$A$1:$A$20000,0),MATCH("Keyword Difficulty*",'Semrush Data'!$A$1:$Z$1,0)),"")</f>
        <v/>
      </c>
      <c r="I2809" s="56">
        <f>IFERROR(INDEX('Semrush Data'!$A$1:$Z$20000,MATCH(A2809,'Semrush Data'!$A$1:$A$20000,0),MATCH("CPC*",'Semrush Data'!$A$1:$Z$1,0)),"")</f>
        <v/>
      </c>
      <c r="J2809" s="42">
        <f>IFERROR(INDEX('Semrush Data'!$A$1:$Z$20000,MATCH(A2809,'Semrush Data'!$A$1:$A$20000,0),MATCH("Intent",'Semrush Data'!$A$1:$Z$1,0)),"")</f>
        <v/>
      </c>
    </row>
    <row r="2810" ht="15" customHeight="1" s="37">
      <c r="A2810" s="42" t="inlineStr">
        <is>
          <t>gucci bloom mini perfume price</t>
        </is>
      </c>
      <c r="B2810" s="42" t="inlineStr">
        <is>
          <t>Google suggest</t>
        </is>
      </c>
      <c r="C2810" s="42" t="n">
        <v>3</v>
      </c>
      <c r="D2810" s="42" t="n">
        <v>29</v>
      </c>
      <c r="E2810" s="42" t="n">
        <v>1</v>
      </c>
      <c r="F2810" s="42" t="inlineStr">
        <is>
          <t>FR-228</t>
        </is>
      </c>
      <c r="G2810" s="55">
        <f>IFERROR(INDEX('Semrush Data'!$A$1:$Z$20000,MATCH(A2810,'Semrush Data'!$A$1:$A$20000,0),MATCH("Volume",'Semrush Data'!$A$1:$Z$1,0)),"")</f>
        <v/>
      </c>
      <c r="H2810" s="42">
        <f>IFERROR(INDEX('Semrush Data'!$A$1:$Z$20000,MATCH(A2810,'Semrush Data'!$A$1:$A$20000,0),MATCH("Keyword Difficulty*",'Semrush Data'!$A$1:$Z$1,0)),"")</f>
        <v/>
      </c>
      <c r="I2810" s="56">
        <f>IFERROR(INDEX('Semrush Data'!$A$1:$Z$20000,MATCH(A2810,'Semrush Data'!$A$1:$A$20000,0),MATCH("CPC*",'Semrush Data'!$A$1:$Z$1,0)),"")</f>
        <v/>
      </c>
      <c r="J2810" s="42">
        <f>IFERROR(INDEX('Semrush Data'!$A$1:$Z$20000,MATCH(A2810,'Semrush Data'!$A$1:$A$20000,0),MATCH("Intent",'Semrush Data'!$A$1:$Z$1,0)),"")</f>
        <v/>
      </c>
    </row>
    <row r="2811" ht="15" customHeight="1" s="37">
      <c r="A2811" s="42" t="inlineStr">
        <is>
          <t>gucci bloom miniature perfume</t>
        </is>
      </c>
      <c r="B2811" s="42" t="inlineStr">
        <is>
          <t>Google suggest</t>
        </is>
      </c>
      <c r="C2811" s="42" t="n">
        <v>3</v>
      </c>
      <c r="D2811" s="42" t="n">
        <v>29</v>
      </c>
      <c r="E2811" s="42" t="n">
        <v>1</v>
      </c>
      <c r="F2811" s="42" t="inlineStr">
        <is>
          <t>FR-221</t>
        </is>
      </c>
      <c r="G2811" s="55">
        <f>IFERROR(INDEX('Semrush Data'!$A$1:$Z$20000,MATCH(A2811,'Semrush Data'!$A$1:$A$20000,0),MATCH("Volume",'Semrush Data'!$A$1:$Z$1,0)),"")</f>
        <v/>
      </c>
      <c r="H2811" s="42">
        <f>IFERROR(INDEX('Semrush Data'!$A$1:$Z$20000,MATCH(A2811,'Semrush Data'!$A$1:$A$20000,0),MATCH("Keyword Difficulty*",'Semrush Data'!$A$1:$Z$1,0)),"")</f>
        <v/>
      </c>
      <c r="I2811" s="56">
        <f>IFERROR(INDEX('Semrush Data'!$A$1:$Z$20000,MATCH(A2811,'Semrush Data'!$A$1:$A$20000,0),MATCH("CPC*",'Semrush Data'!$A$1:$Z$1,0)),"")</f>
        <v/>
      </c>
      <c r="J2811" s="42">
        <f>IFERROR(INDEX('Semrush Data'!$A$1:$Z$20000,MATCH(A2811,'Semrush Data'!$A$1:$A$20000,0),MATCH("Intent",'Semrush Data'!$A$1:$Z$1,0)),"")</f>
        <v/>
      </c>
    </row>
    <row r="2812" ht="15" customHeight="1" s="37">
      <c r="A2812" s="42" t="inlineStr">
        <is>
          <t>gucci bloom miniature set</t>
        </is>
      </c>
      <c r="B2812" s="42" t="inlineStr">
        <is>
          <t>Google suggest</t>
        </is>
      </c>
      <c r="C2812" s="42" t="n">
        <v>3</v>
      </c>
      <c r="D2812" s="42" t="n">
        <v>29</v>
      </c>
      <c r="E2812" s="42" t="n">
        <v>1</v>
      </c>
      <c r="F2812" s="42" t="inlineStr">
        <is>
          <t>FR-221</t>
        </is>
      </c>
      <c r="G2812" s="55">
        <f>IFERROR(INDEX('Semrush Data'!$A$1:$Z$20000,MATCH(A2812,'Semrush Data'!$A$1:$A$20000,0),MATCH("Volume",'Semrush Data'!$A$1:$Z$1,0)),"")</f>
        <v/>
      </c>
      <c r="H2812" s="42">
        <f>IFERROR(INDEX('Semrush Data'!$A$1:$Z$20000,MATCH(A2812,'Semrush Data'!$A$1:$A$20000,0),MATCH("Keyword Difficulty*",'Semrush Data'!$A$1:$Z$1,0)),"")</f>
        <v/>
      </c>
      <c r="I2812" s="56">
        <f>IFERROR(INDEX('Semrush Data'!$A$1:$Z$20000,MATCH(A2812,'Semrush Data'!$A$1:$A$20000,0),MATCH("CPC*",'Semrush Data'!$A$1:$Z$1,0)),"")</f>
        <v/>
      </c>
      <c r="J2812" s="42">
        <f>IFERROR(INDEX('Semrush Data'!$A$1:$Z$20000,MATCH(A2812,'Semrush Data'!$A$1:$A$20000,0),MATCH("Intent",'Semrush Data'!$A$1:$Z$1,0)),"")</f>
        <v/>
      </c>
    </row>
    <row r="2813" ht="15" customHeight="1" s="37">
      <c r="A2813" s="42" t="inlineStr">
        <is>
          <t>gucci bloom perfume mini</t>
        </is>
      </c>
      <c r="B2813" s="42" t="inlineStr">
        <is>
          <t>Google suggest</t>
        </is>
      </c>
      <c r="C2813" s="42" t="n">
        <v>3</v>
      </c>
      <c r="D2813" s="42" t="n">
        <v>29</v>
      </c>
      <c r="E2813" s="42" t="n">
        <v>1</v>
      </c>
      <c r="F2813" s="42" t="inlineStr">
        <is>
          <t>FR-228</t>
        </is>
      </c>
      <c r="G2813" s="55">
        <f>IFERROR(INDEX('Semrush Data'!$A$1:$Z$20000,MATCH(A2813,'Semrush Data'!$A$1:$A$20000,0),MATCH("Volume",'Semrush Data'!$A$1:$Z$1,0)),"")</f>
        <v/>
      </c>
      <c r="H2813" s="42">
        <f>IFERROR(INDEX('Semrush Data'!$A$1:$Z$20000,MATCH(A2813,'Semrush Data'!$A$1:$A$20000,0),MATCH("Keyword Difficulty*",'Semrush Data'!$A$1:$Z$1,0)),"")</f>
        <v/>
      </c>
      <c r="I2813" s="56">
        <f>IFERROR(INDEX('Semrush Data'!$A$1:$Z$20000,MATCH(A2813,'Semrush Data'!$A$1:$A$20000,0),MATCH("CPC*",'Semrush Data'!$A$1:$Z$1,0)),"")</f>
        <v/>
      </c>
      <c r="J2813" s="42">
        <f>IFERROR(INDEX('Semrush Data'!$A$1:$Z$20000,MATCH(A2813,'Semrush Data'!$A$1:$A$20000,0),MATCH("Intent",'Semrush Data'!$A$1:$Z$1,0)),"")</f>
        <v/>
      </c>
    </row>
    <row r="2814" ht="15" customHeight="1" s="37">
      <c r="A2814" s="42" t="inlineStr">
        <is>
          <t>gucci bloom perfume mini set</t>
        </is>
      </c>
      <c r="B2814" s="42" t="inlineStr">
        <is>
          <t>Google suggest</t>
        </is>
      </c>
      <c r="C2814" s="42" t="n">
        <v>3</v>
      </c>
      <c r="D2814" s="42" t="n">
        <v>29</v>
      </c>
      <c r="E2814" s="42" t="n">
        <v>1</v>
      </c>
      <c r="F2814" s="42" t="inlineStr">
        <is>
          <t>FR-228</t>
        </is>
      </c>
      <c r="G2814" s="55">
        <f>IFERROR(INDEX('Semrush Data'!$A$1:$Z$20000,MATCH(A2814,'Semrush Data'!$A$1:$A$20000,0),MATCH("Volume",'Semrush Data'!$A$1:$Z$1,0)),"")</f>
        <v/>
      </c>
      <c r="H2814" s="42">
        <f>IFERROR(INDEX('Semrush Data'!$A$1:$Z$20000,MATCH(A2814,'Semrush Data'!$A$1:$A$20000,0),MATCH("Keyword Difficulty*",'Semrush Data'!$A$1:$Z$1,0)),"")</f>
        <v/>
      </c>
      <c r="I2814" s="56">
        <f>IFERROR(INDEX('Semrush Data'!$A$1:$Z$20000,MATCH(A2814,'Semrush Data'!$A$1:$A$20000,0),MATCH("CPC*",'Semrush Data'!$A$1:$Z$1,0)),"")</f>
        <v/>
      </c>
      <c r="J2814" s="42">
        <f>IFERROR(INDEX('Semrush Data'!$A$1:$Z$20000,MATCH(A2814,'Semrush Data'!$A$1:$A$20000,0),MATCH("Intent",'Semrush Data'!$A$1:$Z$1,0)),"")</f>
        <v/>
      </c>
    </row>
    <row r="2815" ht="15" customHeight="1" s="37">
      <c r="A2815" s="42" t="inlineStr">
        <is>
          <t>gucci bloom perfume miniature</t>
        </is>
      </c>
      <c r="B2815" s="42" t="inlineStr">
        <is>
          <t>Google suggest</t>
        </is>
      </c>
      <c r="C2815" s="42" t="n">
        <v>3</v>
      </c>
      <c r="D2815" s="42" t="n">
        <v>29</v>
      </c>
      <c r="E2815" s="42" t="n">
        <v>1</v>
      </c>
      <c r="F2815" s="42" t="inlineStr">
        <is>
          <t>FR-228</t>
        </is>
      </c>
      <c r="G2815" s="55">
        <f>IFERROR(INDEX('Semrush Data'!$A$1:$Z$20000,MATCH(A2815,'Semrush Data'!$A$1:$A$20000,0),MATCH("Volume",'Semrush Data'!$A$1:$Z$1,0)),"")</f>
        <v/>
      </c>
      <c r="H2815" s="42">
        <f>IFERROR(INDEX('Semrush Data'!$A$1:$Z$20000,MATCH(A2815,'Semrush Data'!$A$1:$A$20000,0),MATCH("Keyword Difficulty*",'Semrush Data'!$A$1:$Z$1,0)),"")</f>
        <v/>
      </c>
      <c r="I2815" s="56">
        <f>IFERROR(INDEX('Semrush Data'!$A$1:$Z$20000,MATCH(A2815,'Semrush Data'!$A$1:$A$20000,0),MATCH("CPC*",'Semrush Data'!$A$1:$Z$1,0)),"")</f>
        <v/>
      </c>
      <c r="J2815" s="42">
        <f>IFERROR(INDEX('Semrush Data'!$A$1:$Z$20000,MATCH(A2815,'Semrush Data'!$A$1:$A$20000,0),MATCH("Intent",'Semrush Data'!$A$1:$Z$1,0)),"")</f>
        <v/>
      </c>
    </row>
    <row r="2816" ht="15" customHeight="1" s="37">
      <c r="A2816" s="42" t="inlineStr">
        <is>
          <t>gucci flora gorgeous gardenia 100ml</t>
        </is>
      </c>
      <c r="B2816" s="42" t="inlineStr">
        <is>
          <t>Google suggest</t>
        </is>
      </c>
      <c r="C2816" s="42" t="n">
        <v>3</v>
      </c>
      <c r="D2816" s="42" t="n">
        <v>29</v>
      </c>
      <c r="E2816" s="42" t="n">
        <v>1</v>
      </c>
      <c r="F2816" s="42" t="inlineStr">
        <is>
          <t>FR-217</t>
        </is>
      </c>
      <c r="G2816" s="55">
        <f>IFERROR(INDEX('Semrush Data'!$A$1:$Z$20000,MATCH(A2816,'Semrush Data'!$A$1:$A$20000,0),MATCH("Volume",'Semrush Data'!$A$1:$Z$1,0)),"")</f>
        <v/>
      </c>
      <c r="H2816" s="42">
        <f>IFERROR(INDEX('Semrush Data'!$A$1:$Z$20000,MATCH(A2816,'Semrush Data'!$A$1:$A$20000,0),MATCH("Keyword Difficulty*",'Semrush Data'!$A$1:$Z$1,0)),"")</f>
        <v/>
      </c>
      <c r="I2816" s="56">
        <f>IFERROR(INDEX('Semrush Data'!$A$1:$Z$20000,MATCH(A2816,'Semrush Data'!$A$1:$A$20000,0),MATCH("CPC*",'Semrush Data'!$A$1:$Z$1,0)),"")</f>
        <v/>
      </c>
      <c r="J2816" s="42">
        <f>IFERROR(INDEX('Semrush Data'!$A$1:$Z$20000,MATCH(A2816,'Semrush Data'!$A$1:$A$20000,0),MATCH("Intent",'Semrush Data'!$A$1:$Z$1,0)),"")</f>
        <v/>
      </c>
    </row>
    <row r="2817" ht="15" customHeight="1" s="37">
      <c r="A2817" s="42" t="inlineStr">
        <is>
          <t>gucci flora gorgeous gardenia 50ml</t>
        </is>
      </c>
      <c r="B2817" s="42" t="inlineStr">
        <is>
          <t>Google suggest</t>
        </is>
      </c>
      <c r="C2817" s="42" t="n">
        <v>3</v>
      </c>
      <c r="D2817" s="42" t="n">
        <v>29</v>
      </c>
      <c r="E2817" s="42" t="n">
        <v>1</v>
      </c>
      <c r="F2817" s="42" t="inlineStr">
        <is>
          <t>FR-217</t>
        </is>
      </c>
      <c r="G2817" s="55">
        <f>IFERROR(INDEX('Semrush Data'!$A$1:$Z$20000,MATCH(A2817,'Semrush Data'!$A$1:$A$20000,0),MATCH("Volume",'Semrush Data'!$A$1:$Z$1,0)),"")</f>
        <v/>
      </c>
      <c r="H2817" s="42">
        <f>IFERROR(INDEX('Semrush Data'!$A$1:$Z$20000,MATCH(A2817,'Semrush Data'!$A$1:$A$20000,0),MATCH("Keyword Difficulty*",'Semrush Data'!$A$1:$Z$1,0)),"")</f>
        <v/>
      </c>
      <c r="I2817" s="56">
        <f>IFERROR(INDEX('Semrush Data'!$A$1:$Z$20000,MATCH(A2817,'Semrush Data'!$A$1:$A$20000,0),MATCH("CPC*",'Semrush Data'!$A$1:$Z$1,0)),"")</f>
        <v/>
      </c>
      <c r="J2817" s="42">
        <f>IFERROR(INDEX('Semrush Data'!$A$1:$Z$20000,MATCH(A2817,'Semrush Data'!$A$1:$A$20000,0),MATCH("Intent",'Semrush Data'!$A$1:$Z$1,0)),"")</f>
        <v/>
      </c>
    </row>
    <row r="2818" ht="15" customHeight="1" s="37">
      <c r="A2818" s="42" t="inlineStr">
        <is>
          <t>gucci flora gorgeous gardenia dupe</t>
        </is>
      </c>
      <c r="B2818" s="42" t="inlineStr">
        <is>
          <t>Google suggest</t>
        </is>
      </c>
      <c r="C2818" s="42" t="n">
        <v>3</v>
      </c>
      <c r="D2818" s="42" t="inlineStr">
        <is>
          <t>T3-1</t>
        </is>
      </c>
      <c r="E2818" s="42" t="n">
        <v>1</v>
      </c>
      <c r="F2818" s="42" t="inlineStr">
        <is>
          <t>FR-217</t>
        </is>
      </c>
      <c r="G2818" s="55">
        <f>IFERROR(INDEX('Semrush Data'!$A$1:$Z$20000,MATCH(A2818,'Semrush Data'!$A$1:$A$20000,0),MATCH("Volume",'Semrush Data'!$A$1:$Z$1,0)),"")</f>
        <v/>
      </c>
      <c r="H2818" s="42">
        <f>IFERROR(INDEX('Semrush Data'!$A$1:$Z$20000,MATCH(A2818,'Semrush Data'!$A$1:$A$20000,0),MATCH("Keyword Difficulty*",'Semrush Data'!$A$1:$Z$1,0)),"")</f>
        <v/>
      </c>
      <c r="I2818" s="56">
        <f>IFERROR(INDEX('Semrush Data'!$A$1:$Z$20000,MATCH(A2818,'Semrush Data'!$A$1:$A$20000,0),MATCH("CPC*",'Semrush Data'!$A$1:$Z$1,0)),"")</f>
        <v/>
      </c>
      <c r="J2818" s="42">
        <f>IFERROR(INDEX('Semrush Data'!$A$1:$Z$20000,MATCH(A2818,'Semrush Data'!$A$1:$A$20000,0),MATCH("Intent",'Semrush Data'!$A$1:$Z$1,0)),"")</f>
        <v/>
      </c>
    </row>
    <row r="2819" ht="15" customHeight="1" s="37">
      <c r="A2819" s="42" t="inlineStr">
        <is>
          <t>gucci flora gorgeous gardenia notes</t>
        </is>
      </c>
      <c r="B2819" s="42" t="inlineStr">
        <is>
          <t>Google suggest</t>
        </is>
      </c>
      <c r="C2819" s="42" t="n">
        <v>3</v>
      </c>
      <c r="D2819" s="42" t="inlineStr">
        <is>
          <t>T3-1</t>
        </is>
      </c>
      <c r="E2819" s="42" t="n">
        <v>1</v>
      </c>
      <c r="F2819" s="42" t="inlineStr">
        <is>
          <t>FR-217</t>
        </is>
      </c>
      <c r="G2819" s="55">
        <f>IFERROR(INDEX('Semrush Data'!$A$1:$Z$20000,MATCH(A2819,'Semrush Data'!$A$1:$A$20000,0),MATCH("Volume",'Semrush Data'!$A$1:$Z$1,0)),"")</f>
        <v/>
      </c>
      <c r="H2819" s="42">
        <f>IFERROR(INDEX('Semrush Data'!$A$1:$Z$20000,MATCH(A2819,'Semrush Data'!$A$1:$A$20000,0),MATCH("Keyword Difficulty*",'Semrush Data'!$A$1:$Z$1,0)),"")</f>
        <v/>
      </c>
      <c r="I2819" s="56">
        <f>IFERROR(INDEX('Semrush Data'!$A$1:$Z$20000,MATCH(A2819,'Semrush Data'!$A$1:$A$20000,0),MATCH("CPC*",'Semrush Data'!$A$1:$Z$1,0)),"")</f>
        <v/>
      </c>
      <c r="J2819" s="42">
        <f>IFERROR(INDEX('Semrush Data'!$A$1:$Z$20000,MATCH(A2819,'Semrush Data'!$A$1:$A$20000,0),MATCH("Intent",'Semrush Data'!$A$1:$Z$1,0)),"")</f>
        <v/>
      </c>
    </row>
    <row r="2820" ht="15" customHeight="1" s="37">
      <c r="A2820" s="42" t="inlineStr">
        <is>
          <t>gucci flora gorgeous gardenia perfume</t>
        </is>
      </c>
      <c r="B2820" s="42" t="inlineStr">
        <is>
          <t>Google suggest</t>
        </is>
      </c>
      <c r="C2820" s="42" t="n">
        <v>3</v>
      </c>
      <c r="D2820" s="42" t="n">
        <v>29</v>
      </c>
      <c r="E2820" s="42" t="n">
        <v>1</v>
      </c>
      <c r="F2820" s="42" t="inlineStr">
        <is>
          <t>FR-217</t>
        </is>
      </c>
      <c r="G2820" s="55">
        <f>IFERROR(INDEX('Semrush Data'!$A$1:$Z$20000,MATCH(A2820,'Semrush Data'!$A$1:$A$20000,0),MATCH("Volume",'Semrush Data'!$A$1:$Z$1,0)),"")</f>
        <v/>
      </c>
      <c r="H2820" s="42">
        <f>IFERROR(INDEX('Semrush Data'!$A$1:$Z$20000,MATCH(A2820,'Semrush Data'!$A$1:$A$20000,0),MATCH("Keyword Difficulty*",'Semrush Data'!$A$1:$Z$1,0)),"")</f>
        <v/>
      </c>
      <c r="I2820" s="56">
        <f>IFERROR(INDEX('Semrush Data'!$A$1:$Z$20000,MATCH(A2820,'Semrush Data'!$A$1:$A$20000,0),MATCH("CPC*",'Semrush Data'!$A$1:$Z$1,0)),"")</f>
        <v/>
      </c>
      <c r="J2820" s="42">
        <f>IFERROR(INDEX('Semrush Data'!$A$1:$Z$20000,MATCH(A2820,'Semrush Data'!$A$1:$A$20000,0),MATCH("Intent",'Semrush Data'!$A$1:$Z$1,0)),"")</f>
        <v/>
      </c>
    </row>
    <row r="2821" ht="15" customHeight="1" s="37">
      <c r="A2821" s="42" t="inlineStr">
        <is>
          <t>gucci flora gorgeous mini set</t>
        </is>
      </c>
      <c r="B2821" s="42" t="inlineStr">
        <is>
          <t>Google suggest</t>
        </is>
      </c>
      <c r="C2821" s="42" t="n">
        <v>3</v>
      </c>
      <c r="D2821" s="42" t="n">
        <v>29</v>
      </c>
      <c r="E2821" s="42" t="n">
        <v>1</v>
      </c>
      <c r="F2821" s="42" t="inlineStr">
        <is>
          <t>FR-224</t>
        </is>
      </c>
      <c r="G2821" s="55">
        <f>IFERROR(INDEX('Semrush Data'!$A$1:$Z$20000,MATCH(A2821,'Semrush Data'!$A$1:$A$20000,0),MATCH("Volume",'Semrush Data'!$A$1:$Z$1,0)),"")</f>
        <v/>
      </c>
      <c r="H2821" s="42">
        <f>IFERROR(INDEX('Semrush Data'!$A$1:$Z$20000,MATCH(A2821,'Semrush Data'!$A$1:$A$20000,0),MATCH("Keyword Difficulty*",'Semrush Data'!$A$1:$Z$1,0)),"")</f>
        <v/>
      </c>
      <c r="I2821" s="56">
        <f>IFERROR(INDEX('Semrush Data'!$A$1:$Z$20000,MATCH(A2821,'Semrush Data'!$A$1:$A$20000,0),MATCH("CPC*",'Semrush Data'!$A$1:$Z$1,0)),"")</f>
        <v/>
      </c>
      <c r="J2821" s="42">
        <f>IFERROR(INDEX('Semrush Data'!$A$1:$Z$20000,MATCH(A2821,'Semrush Data'!$A$1:$A$20000,0),MATCH("Intent",'Semrush Data'!$A$1:$Z$1,0)),"")</f>
        <v/>
      </c>
    </row>
    <row r="2822" ht="15" customHeight="1" s="37">
      <c r="A2822" s="42" t="inlineStr">
        <is>
          <t>gucci flora gorgeous miniature gift set</t>
        </is>
      </c>
      <c r="B2822" s="42" t="inlineStr">
        <is>
          <t>Google suggest</t>
        </is>
      </c>
      <c r="C2822" s="42" t="n">
        <v>3</v>
      </c>
      <c r="D2822" s="42" t="n">
        <v>29</v>
      </c>
      <c r="E2822" s="42" t="n">
        <v>1</v>
      </c>
      <c r="F2822" s="42" t="inlineStr">
        <is>
          <t>FR-224</t>
        </is>
      </c>
      <c r="G2822" s="55">
        <f>IFERROR(INDEX('Semrush Data'!$A$1:$Z$20000,MATCH(A2822,'Semrush Data'!$A$1:$A$20000,0),MATCH("Volume",'Semrush Data'!$A$1:$Z$1,0)),"")</f>
        <v/>
      </c>
      <c r="H2822" s="42">
        <f>IFERROR(INDEX('Semrush Data'!$A$1:$Z$20000,MATCH(A2822,'Semrush Data'!$A$1:$A$20000,0),MATCH("Keyword Difficulty*",'Semrush Data'!$A$1:$Z$1,0)),"")</f>
        <v/>
      </c>
      <c r="I2822" s="56">
        <f>IFERROR(INDEX('Semrush Data'!$A$1:$Z$20000,MATCH(A2822,'Semrush Data'!$A$1:$A$20000,0),MATCH("CPC*",'Semrush Data'!$A$1:$Z$1,0)),"")</f>
        <v/>
      </c>
      <c r="J2822" s="42">
        <f>IFERROR(INDEX('Semrush Data'!$A$1:$Z$20000,MATCH(A2822,'Semrush Data'!$A$1:$A$20000,0),MATCH("Intent",'Semrush Data'!$A$1:$Z$1,0)),"")</f>
        <v/>
      </c>
    </row>
    <row r="2823" ht="15" customHeight="1" s="37">
      <c r="A2823" s="42" t="inlineStr">
        <is>
          <t>gucci guilty pour femme eau de parfum gift set</t>
        </is>
      </c>
      <c r="B2823" s="42" t="inlineStr">
        <is>
          <t>Google suggest</t>
        </is>
      </c>
      <c r="C2823" s="42" t="n">
        <v>3</v>
      </c>
      <c r="D2823" s="42" t="n">
        <v>29</v>
      </c>
      <c r="E2823" s="42" t="n">
        <v>1</v>
      </c>
      <c r="F2823" s="42" t="inlineStr">
        <is>
          <t>FR-225</t>
        </is>
      </c>
      <c r="G2823" s="55">
        <f>IFERROR(INDEX('Semrush Data'!$A$1:$Z$20000,MATCH(A2823,'Semrush Data'!$A$1:$A$20000,0),MATCH("Volume",'Semrush Data'!$A$1:$Z$1,0)),"")</f>
        <v/>
      </c>
      <c r="H2823" s="42">
        <f>IFERROR(INDEX('Semrush Data'!$A$1:$Z$20000,MATCH(A2823,'Semrush Data'!$A$1:$A$20000,0),MATCH("Keyword Difficulty*",'Semrush Data'!$A$1:$Z$1,0)),"")</f>
        <v/>
      </c>
      <c r="I2823" s="56">
        <f>IFERROR(INDEX('Semrush Data'!$A$1:$Z$20000,MATCH(A2823,'Semrush Data'!$A$1:$A$20000,0),MATCH("CPC*",'Semrush Data'!$A$1:$Z$1,0)),"")</f>
        <v/>
      </c>
      <c r="J2823" s="42">
        <f>IFERROR(INDEX('Semrush Data'!$A$1:$Z$20000,MATCH(A2823,'Semrush Data'!$A$1:$A$20000,0),MATCH("Intent",'Semrush Data'!$A$1:$Z$1,0)),"")</f>
        <v/>
      </c>
    </row>
    <row r="2824" ht="15" customHeight="1" s="37">
      <c r="A2824" s="42" t="inlineStr">
        <is>
          <t>gucci guilty pour femme price</t>
        </is>
      </c>
      <c r="B2824" s="42" t="inlineStr">
        <is>
          <t>Google suggest</t>
        </is>
      </c>
      <c r="C2824" s="42" t="n">
        <v>3</v>
      </c>
      <c r="D2824" s="42" t="n">
        <v>29</v>
      </c>
      <c r="E2824" s="42" t="n">
        <v>1</v>
      </c>
      <c r="F2824" s="42" t="inlineStr">
        <is>
          <t>FR-219</t>
        </is>
      </c>
      <c r="G2824" s="55">
        <f>IFERROR(INDEX('Semrush Data'!$A$1:$Z$20000,MATCH(A2824,'Semrush Data'!$A$1:$A$20000,0),MATCH("Volume",'Semrush Data'!$A$1:$Z$1,0)),"")</f>
        <v/>
      </c>
      <c r="H2824" s="42">
        <f>IFERROR(INDEX('Semrush Data'!$A$1:$Z$20000,MATCH(A2824,'Semrush Data'!$A$1:$A$20000,0),MATCH("Keyword Difficulty*",'Semrush Data'!$A$1:$Z$1,0)),"")</f>
        <v/>
      </c>
      <c r="I2824" s="56">
        <f>IFERROR(INDEX('Semrush Data'!$A$1:$Z$20000,MATCH(A2824,'Semrush Data'!$A$1:$A$20000,0),MATCH("CPC*",'Semrush Data'!$A$1:$Z$1,0)),"")</f>
        <v/>
      </c>
      <c r="J2824" s="42">
        <f>IFERROR(INDEX('Semrush Data'!$A$1:$Z$20000,MATCH(A2824,'Semrush Data'!$A$1:$A$20000,0),MATCH("Intent",'Semrush Data'!$A$1:$Z$1,0)),"")</f>
        <v/>
      </c>
    </row>
    <row r="2825" ht="15" customHeight="1" s="37">
      <c r="A2825" s="42" t="inlineStr">
        <is>
          <t>gucci guilty pour femme set</t>
        </is>
      </c>
      <c r="B2825" s="42" t="inlineStr">
        <is>
          <t>Google suggest</t>
        </is>
      </c>
      <c r="C2825" s="42" t="n">
        <v>3</v>
      </c>
      <c r="D2825" s="42" t="n">
        <v>29</v>
      </c>
      <c r="E2825" s="42" t="n">
        <v>1</v>
      </c>
      <c r="F2825" s="42" t="inlineStr">
        <is>
          <t>FR-225</t>
        </is>
      </c>
      <c r="G2825" s="55">
        <f>IFERROR(INDEX('Semrush Data'!$A$1:$Z$20000,MATCH(A2825,'Semrush Data'!$A$1:$A$20000,0),MATCH("Volume",'Semrush Data'!$A$1:$Z$1,0)),"")</f>
        <v/>
      </c>
      <c r="H2825" s="42">
        <f>IFERROR(INDEX('Semrush Data'!$A$1:$Z$20000,MATCH(A2825,'Semrush Data'!$A$1:$A$20000,0),MATCH("Keyword Difficulty*",'Semrush Data'!$A$1:$Z$1,0)),"")</f>
        <v/>
      </c>
      <c r="I2825" s="56">
        <f>IFERROR(INDEX('Semrush Data'!$A$1:$Z$20000,MATCH(A2825,'Semrush Data'!$A$1:$A$20000,0),MATCH("CPC*",'Semrush Data'!$A$1:$Z$1,0)),"")</f>
        <v/>
      </c>
      <c r="J2825" s="42">
        <f>IFERROR(INDEX('Semrush Data'!$A$1:$Z$20000,MATCH(A2825,'Semrush Data'!$A$1:$A$20000,0),MATCH("Intent",'Semrush Data'!$A$1:$Z$1,0)),"")</f>
        <v/>
      </c>
    </row>
    <row r="2826" ht="15" customHeight="1" s="37">
      <c r="A2826" s="42" t="inlineStr">
        <is>
          <t>gucci guilty pour homme eau de parfum</t>
        </is>
      </c>
      <c r="B2826" s="42" t="inlineStr">
        <is>
          <t>Google suggest</t>
        </is>
      </c>
      <c r="C2826" s="42" t="n">
        <v>3</v>
      </c>
      <c r="D2826" s="42" t="n">
        <v>29</v>
      </c>
      <c r="E2826" s="42" t="n">
        <v>1</v>
      </c>
      <c r="F2826" s="42" t="inlineStr">
        <is>
          <t>FR-222</t>
        </is>
      </c>
      <c r="G2826" s="55">
        <f>IFERROR(INDEX('Semrush Data'!$A$1:$Z$20000,MATCH(A2826,'Semrush Data'!$A$1:$A$20000,0),MATCH("Volume",'Semrush Data'!$A$1:$Z$1,0)),"")</f>
        <v/>
      </c>
      <c r="H2826" s="42">
        <f>IFERROR(INDEX('Semrush Data'!$A$1:$Z$20000,MATCH(A2826,'Semrush Data'!$A$1:$A$20000,0),MATCH("Keyword Difficulty*",'Semrush Data'!$A$1:$Z$1,0)),"")</f>
        <v/>
      </c>
      <c r="I2826" s="56">
        <f>IFERROR(INDEX('Semrush Data'!$A$1:$Z$20000,MATCH(A2826,'Semrush Data'!$A$1:$A$20000,0),MATCH("CPC*",'Semrush Data'!$A$1:$Z$1,0)),"")</f>
        <v/>
      </c>
      <c r="J2826" s="42">
        <f>IFERROR(INDEX('Semrush Data'!$A$1:$Z$20000,MATCH(A2826,'Semrush Data'!$A$1:$A$20000,0),MATCH("Intent",'Semrush Data'!$A$1:$Z$1,0)),"")</f>
        <v/>
      </c>
    </row>
    <row r="2827" ht="15" customHeight="1" s="37">
      <c r="A2827" s="42" t="inlineStr">
        <is>
          <t>gucci guilty pour homme edp</t>
        </is>
      </c>
      <c r="B2827" s="42" t="inlineStr">
        <is>
          <t>Google suggest</t>
        </is>
      </c>
      <c r="C2827" s="42" t="n">
        <v>3</v>
      </c>
      <c r="D2827" s="42" t="n">
        <v>29</v>
      </c>
      <c r="E2827" s="42" t="n">
        <v>1</v>
      </c>
      <c r="F2827" s="42" t="inlineStr">
        <is>
          <t>FR-222</t>
        </is>
      </c>
      <c r="G2827" s="55">
        <f>IFERROR(INDEX('Semrush Data'!$A$1:$Z$20000,MATCH(A2827,'Semrush Data'!$A$1:$A$20000,0),MATCH("Volume",'Semrush Data'!$A$1:$Z$1,0)),"")</f>
        <v/>
      </c>
      <c r="H2827" s="42">
        <f>IFERROR(INDEX('Semrush Data'!$A$1:$Z$20000,MATCH(A2827,'Semrush Data'!$A$1:$A$20000,0),MATCH("Keyword Difficulty*",'Semrush Data'!$A$1:$Z$1,0)),"")</f>
        <v/>
      </c>
      <c r="I2827" s="56">
        <f>IFERROR(INDEX('Semrush Data'!$A$1:$Z$20000,MATCH(A2827,'Semrush Data'!$A$1:$A$20000,0),MATCH("CPC*",'Semrush Data'!$A$1:$Z$1,0)),"")</f>
        <v/>
      </c>
      <c r="J2827" s="42">
        <f>IFERROR(INDEX('Semrush Data'!$A$1:$Z$20000,MATCH(A2827,'Semrush Data'!$A$1:$A$20000,0),MATCH("Intent",'Semrush Data'!$A$1:$Z$1,0)),"")</f>
        <v/>
      </c>
    </row>
    <row r="2828" ht="15" customHeight="1" s="37">
      <c r="A2828" s="42" t="inlineStr">
        <is>
          <t>gucci guilty pour homme edt</t>
        </is>
      </c>
      <c r="B2828" s="42" t="inlineStr">
        <is>
          <t>Google suggest</t>
        </is>
      </c>
      <c r="C2828" s="42" t="n">
        <v>3</v>
      </c>
      <c r="D2828" s="42" t="n">
        <v>29</v>
      </c>
      <c r="E2828" s="42" t="n">
        <v>1</v>
      </c>
      <c r="F2828" s="42" t="inlineStr">
        <is>
          <t>FR-222</t>
        </is>
      </c>
      <c r="G2828" s="55">
        <f>IFERROR(INDEX('Semrush Data'!$A$1:$Z$20000,MATCH(A2828,'Semrush Data'!$A$1:$A$20000,0),MATCH("Volume",'Semrush Data'!$A$1:$Z$1,0)),"")</f>
        <v/>
      </c>
      <c r="H2828" s="42">
        <f>IFERROR(INDEX('Semrush Data'!$A$1:$Z$20000,MATCH(A2828,'Semrush Data'!$A$1:$A$20000,0),MATCH("Keyword Difficulty*",'Semrush Data'!$A$1:$Z$1,0)),"")</f>
        <v/>
      </c>
      <c r="I2828" s="56">
        <f>IFERROR(INDEX('Semrush Data'!$A$1:$Z$20000,MATCH(A2828,'Semrush Data'!$A$1:$A$20000,0),MATCH("CPC*",'Semrush Data'!$A$1:$Z$1,0)),"")</f>
        <v/>
      </c>
      <c r="J2828" s="42">
        <f>IFERROR(INDEX('Semrush Data'!$A$1:$Z$20000,MATCH(A2828,'Semrush Data'!$A$1:$A$20000,0),MATCH("Intent",'Semrush Data'!$A$1:$Z$1,0)),"")</f>
        <v/>
      </c>
    </row>
    <row r="2829" ht="15" customHeight="1" s="37">
      <c r="A2829" s="42" t="inlineStr">
        <is>
          <t>gucci guilty pour homme notes</t>
        </is>
      </c>
      <c r="B2829" s="42" t="inlineStr">
        <is>
          <t>Google suggest</t>
        </is>
      </c>
      <c r="C2829" s="42" t="n">
        <v>3</v>
      </c>
      <c r="D2829" s="42" t="inlineStr">
        <is>
          <t>T3-1</t>
        </is>
      </c>
      <c r="E2829" s="42" t="n">
        <v>1</v>
      </c>
      <c r="F2829" s="42" t="inlineStr">
        <is>
          <t>FR-222</t>
        </is>
      </c>
      <c r="G2829" s="55">
        <f>IFERROR(INDEX('Semrush Data'!$A$1:$Z$20000,MATCH(A2829,'Semrush Data'!$A$1:$A$20000,0),MATCH("Volume",'Semrush Data'!$A$1:$Z$1,0)),"")</f>
        <v/>
      </c>
      <c r="H2829" s="42">
        <f>IFERROR(INDEX('Semrush Data'!$A$1:$Z$20000,MATCH(A2829,'Semrush Data'!$A$1:$A$20000,0),MATCH("Keyword Difficulty*",'Semrush Data'!$A$1:$Z$1,0)),"")</f>
        <v/>
      </c>
      <c r="I2829" s="56">
        <f>IFERROR(INDEX('Semrush Data'!$A$1:$Z$20000,MATCH(A2829,'Semrush Data'!$A$1:$A$20000,0),MATCH("CPC*",'Semrush Data'!$A$1:$Z$1,0)),"")</f>
        <v/>
      </c>
      <c r="J2829" s="42">
        <f>IFERROR(INDEX('Semrush Data'!$A$1:$Z$20000,MATCH(A2829,'Semrush Data'!$A$1:$A$20000,0),MATCH("Intent",'Semrush Data'!$A$1:$Z$1,0)),"")</f>
        <v/>
      </c>
    </row>
    <row r="2830" ht="15" customHeight="1" s="37">
      <c r="A2830" s="42" t="inlineStr">
        <is>
          <t>gucci guilty pour homme parfum</t>
        </is>
      </c>
      <c r="B2830" s="42" t="inlineStr">
        <is>
          <t>Google suggest</t>
        </is>
      </c>
      <c r="C2830" s="42" t="n">
        <v>3</v>
      </c>
      <c r="D2830" s="42" t="n">
        <v>29</v>
      </c>
      <c r="E2830" s="42" t="n">
        <v>1</v>
      </c>
      <c r="F2830" s="42" t="inlineStr">
        <is>
          <t>FR-222</t>
        </is>
      </c>
      <c r="G2830" s="55">
        <f>IFERROR(INDEX('Semrush Data'!$A$1:$Z$20000,MATCH(A2830,'Semrush Data'!$A$1:$A$20000,0),MATCH("Volume",'Semrush Data'!$A$1:$Z$1,0)),"")</f>
        <v/>
      </c>
      <c r="H2830" s="42">
        <f>IFERROR(INDEX('Semrush Data'!$A$1:$Z$20000,MATCH(A2830,'Semrush Data'!$A$1:$A$20000,0),MATCH("Keyword Difficulty*",'Semrush Data'!$A$1:$Z$1,0)),"")</f>
        <v/>
      </c>
      <c r="I2830" s="56">
        <f>IFERROR(INDEX('Semrush Data'!$A$1:$Z$20000,MATCH(A2830,'Semrush Data'!$A$1:$A$20000,0),MATCH("CPC*",'Semrush Data'!$A$1:$Z$1,0)),"")</f>
        <v/>
      </c>
      <c r="J2830" s="42">
        <f>IFERROR(INDEX('Semrush Data'!$A$1:$Z$20000,MATCH(A2830,'Semrush Data'!$A$1:$A$20000,0),MATCH("Intent",'Semrush Data'!$A$1:$Z$1,0)),"")</f>
        <v/>
      </c>
    </row>
    <row r="2831" ht="15" customHeight="1" s="37">
      <c r="A2831" s="42" t="inlineStr">
        <is>
          <t>gucci guilty pour homme review</t>
        </is>
      </c>
      <c r="B2831" s="42" t="inlineStr">
        <is>
          <t>Google suggest</t>
        </is>
      </c>
      <c r="C2831" s="42" t="n">
        <v>3</v>
      </c>
      <c r="D2831" s="42" t="inlineStr">
        <is>
          <t>T3-1</t>
        </is>
      </c>
      <c r="E2831" s="42" t="n">
        <v>1</v>
      </c>
      <c r="F2831" s="42" t="inlineStr">
        <is>
          <t>FR-222</t>
        </is>
      </c>
      <c r="G2831" s="55">
        <f>IFERROR(INDEX('Semrush Data'!$A$1:$Z$20000,MATCH(A2831,'Semrush Data'!$A$1:$A$20000,0),MATCH("Volume",'Semrush Data'!$A$1:$Z$1,0)),"")</f>
        <v/>
      </c>
      <c r="H2831" s="42">
        <f>IFERROR(INDEX('Semrush Data'!$A$1:$Z$20000,MATCH(A2831,'Semrush Data'!$A$1:$A$20000,0),MATCH("Keyword Difficulty*",'Semrush Data'!$A$1:$Z$1,0)),"")</f>
        <v/>
      </c>
      <c r="I2831" s="56">
        <f>IFERROR(INDEX('Semrush Data'!$A$1:$Z$20000,MATCH(A2831,'Semrush Data'!$A$1:$A$20000,0),MATCH("CPC*",'Semrush Data'!$A$1:$Z$1,0)),"")</f>
        <v/>
      </c>
      <c r="J2831" s="42">
        <f>IFERROR(INDEX('Semrush Data'!$A$1:$Z$20000,MATCH(A2831,'Semrush Data'!$A$1:$A$20000,0),MATCH("Intent",'Semrush Data'!$A$1:$Z$1,0)),"")</f>
        <v/>
      </c>
    </row>
    <row r="2832" ht="15" customHeight="1" s="37">
      <c r="A2832" s="42" t="inlineStr">
        <is>
          <t>gucci intense oud 90ml</t>
        </is>
      </c>
      <c r="B2832" s="42" t="inlineStr">
        <is>
          <t>Google suggest</t>
        </is>
      </c>
      <c r="C2832" s="42" t="n">
        <v>3</v>
      </c>
      <c r="D2832" s="42" t="n">
        <v>29</v>
      </c>
      <c r="E2832" s="42" t="n">
        <v>1</v>
      </c>
      <c r="F2832" s="42" t="inlineStr">
        <is>
          <t>FR-220</t>
        </is>
      </c>
      <c r="G2832" s="55">
        <f>IFERROR(INDEX('Semrush Data'!$A$1:$Z$20000,MATCH(A2832,'Semrush Data'!$A$1:$A$20000,0),MATCH("Volume",'Semrush Data'!$A$1:$Z$1,0)),"")</f>
        <v/>
      </c>
      <c r="H2832" s="42">
        <f>IFERROR(INDEX('Semrush Data'!$A$1:$Z$20000,MATCH(A2832,'Semrush Data'!$A$1:$A$20000,0),MATCH("Keyword Difficulty*",'Semrush Data'!$A$1:$Z$1,0)),"")</f>
        <v/>
      </c>
      <c r="I2832" s="56">
        <f>IFERROR(INDEX('Semrush Data'!$A$1:$Z$20000,MATCH(A2832,'Semrush Data'!$A$1:$A$20000,0),MATCH("CPC*",'Semrush Data'!$A$1:$Z$1,0)),"")</f>
        <v/>
      </c>
      <c r="J2832" s="42">
        <f>IFERROR(INDEX('Semrush Data'!$A$1:$Z$20000,MATCH(A2832,'Semrush Data'!$A$1:$A$20000,0),MATCH("Intent",'Semrush Data'!$A$1:$Z$1,0)),"")</f>
        <v/>
      </c>
    </row>
    <row r="2833" ht="15" customHeight="1" s="37">
      <c r="A2833" s="42" t="inlineStr">
        <is>
          <t>gucci intense oud dupe</t>
        </is>
      </c>
      <c r="B2833" s="42" t="inlineStr">
        <is>
          <t>Google suggest</t>
        </is>
      </c>
      <c r="C2833" s="42" t="n">
        <v>3</v>
      </c>
      <c r="D2833" s="42" t="inlineStr">
        <is>
          <t>T3-1</t>
        </is>
      </c>
      <c r="E2833" s="42" t="n">
        <v>1</v>
      </c>
      <c r="F2833" s="42" t="inlineStr">
        <is>
          <t>FR-220</t>
        </is>
      </c>
      <c r="G2833" s="55">
        <f>IFERROR(INDEX('Semrush Data'!$A$1:$Z$20000,MATCH(A2833,'Semrush Data'!$A$1:$A$20000,0),MATCH("Volume",'Semrush Data'!$A$1:$Z$1,0)),"")</f>
        <v/>
      </c>
      <c r="H2833" s="42">
        <f>IFERROR(INDEX('Semrush Data'!$A$1:$Z$20000,MATCH(A2833,'Semrush Data'!$A$1:$A$20000,0),MATCH("Keyword Difficulty*",'Semrush Data'!$A$1:$Z$1,0)),"")</f>
        <v/>
      </c>
      <c r="I2833" s="56">
        <f>IFERROR(INDEX('Semrush Data'!$A$1:$Z$20000,MATCH(A2833,'Semrush Data'!$A$1:$A$20000,0),MATCH("CPC*",'Semrush Data'!$A$1:$Z$1,0)),"")</f>
        <v/>
      </c>
      <c r="J2833" s="42">
        <f>IFERROR(INDEX('Semrush Data'!$A$1:$Z$20000,MATCH(A2833,'Semrush Data'!$A$1:$A$20000,0),MATCH("Intent",'Semrush Data'!$A$1:$Z$1,0)),"")</f>
        <v/>
      </c>
    </row>
    <row r="2834" ht="15" customHeight="1" s="37">
      <c r="A2834" s="42" t="inlineStr">
        <is>
          <t>gucci intense oud notes</t>
        </is>
      </c>
      <c r="B2834" s="42" t="inlineStr">
        <is>
          <t>Google suggest</t>
        </is>
      </c>
      <c r="C2834" s="42" t="n">
        <v>3</v>
      </c>
      <c r="D2834" s="42" t="n">
        <v>29</v>
      </c>
      <c r="E2834" s="42" t="n">
        <v>1</v>
      </c>
      <c r="F2834" s="42" t="inlineStr">
        <is>
          <t>FR-220</t>
        </is>
      </c>
      <c r="G2834" s="55">
        <f>IFERROR(INDEX('Semrush Data'!$A$1:$Z$20000,MATCH(A2834,'Semrush Data'!$A$1:$A$20000,0),MATCH("Volume",'Semrush Data'!$A$1:$Z$1,0)),"")</f>
        <v/>
      </c>
      <c r="H2834" s="42">
        <f>IFERROR(INDEX('Semrush Data'!$A$1:$Z$20000,MATCH(A2834,'Semrush Data'!$A$1:$A$20000,0),MATCH("Keyword Difficulty*",'Semrush Data'!$A$1:$Z$1,0)),"")</f>
        <v/>
      </c>
      <c r="I2834" s="56">
        <f>IFERROR(INDEX('Semrush Data'!$A$1:$Z$20000,MATCH(A2834,'Semrush Data'!$A$1:$A$20000,0),MATCH("CPC*",'Semrush Data'!$A$1:$Z$1,0)),"")</f>
        <v/>
      </c>
      <c r="J2834" s="42">
        <f>IFERROR(INDEX('Semrush Data'!$A$1:$Z$20000,MATCH(A2834,'Semrush Data'!$A$1:$A$20000,0),MATCH("Intent",'Semrush Data'!$A$1:$Z$1,0)),"")</f>
        <v/>
      </c>
    </row>
    <row r="2835" ht="15" customHeight="1" s="37">
      <c r="A2835" s="42" t="inlineStr">
        <is>
          <t>gucci intense oud review</t>
        </is>
      </c>
      <c r="B2835" s="42" t="inlineStr">
        <is>
          <t>Google suggest</t>
        </is>
      </c>
      <c r="C2835" s="42" t="n">
        <v>3</v>
      </c>
      <c r="D2835" s="42" t="inlineStr">
        <is>
          <t>T3-1</t>
        </is>
      </c>
      <c r="E2835" s="42" t="n">
        <v>1</v>
      </c>
      <c r="F2835" s="42" t="inlineStr">
        <is>
          <t>FR-220</t>
        </is>
      </c>
      <c r="G2835" s="55">
        <f>IFERROR(INDEX('Semrush Data'!$A$1:$Z$20000,MATCH(A2835,'Semrush Data'!$A$1:$A$20000,0),MATCH("Volume",'Semrush Data'!$A$1:$Z$1,0)),"")</f>
        <v/>
      </c>
      <c r="H2835" s="42">
        <f>IFERROR(INDEX('Semrush Data'!$A$1:$Z$20000,MATCH(A2835,'Semrush Data'!$A$1:$A$20000,0),MATCH("Keyword Difficulty*",'Semrush Data'!$A$1:$Z$1,0)),"")</f>
        <v/>
      </c>
      <c r="I2835" s="56">
        <f>IFERROR(INDEX('Semrush Data'!$A$1:$Z$20000,MATCH(A2835,'Semrush Data'!$A$1:$A$20000,0),MATCH("CPC*",'Semrush Data'!$A$1:$Z$1,0)),"")</f>
        <v/>
      </c>
      <c r="J2835" s="42">
        <f>IFERROR(INDEX('Semrush Data'!$A$1:$Z$20000,MATCH(A2835,'Semrush Data'!$A$1:$A$20000,0),MATCH("Intent",'Semrush Data'!$A$1:$Z$1,0)),"")</f>
        <v/>
      </c>
    </row>
    <row r="2836" ht="15" customHeight="1" s="37">
      <c r="A2836" s="42" t="inlineStr">
        <is>
          <t>gucci mini set</t>
        </is>
      </c>
      <c r="B2836" s="42" t="inlineStr">
        <is>
          <t>Google suggest</t>
        </is>
      </c>
      <c r="C2836" s="42" t="n">
        <v>3</v>
      </c>
      <c r="D2836" s="42" t="n">
        <v>29</v>
      </c>
      <c r="E2836" s="42" t="n">
        <v>1</v>
      </c>
      <c r="F2836" s="42" t="inlineStr">
        <is>
          <t>FR-226</t>
        </is>
      </c>
      <c r="G2836" s="55">
        <f>IFERROR(INDEX('Semrush Data'!$A$1:$Z$20000,MATCH(A2836,'Semrush Data'!$A$1:$A$20000,0),MATCH("Volume",'Semrush Data'!$A$1:$Z$1,0)),"")</f>
        <v/>
      </c>
      <c r="H2836" s="42">
        <f>IFERROR(INDEX('Semrush Data'!$A$1:$Z$20000,MATCH(A2836,'Semrush Data'!$A$1:$A$20000,0),MATCH("Keyword Difficulty*",'Semrush Data'!$A$1:$Z$1,0)),"")</f>
        <v/>
      </c>
      <c r="I2836" s="56">
        <f>IFERROR(INDEX('Semrush Data'!$A$1:$Z$20000,MATCH(A2836,'Semrush Data'!$A$1:$A$20000,0),MATCH("CPC*",'Semrush Data'!$A$1:$Z$1,0)),"")</f>
        <v/>
      </c>
      <c r="J2836" s="42">
        <f>IFERROR(INDEX('Semrush Data'!$A$1:$Z$20000,MATCH(A2836,'Semrush Data'!$A$1:$A$20000,0),MATCH("Intent",'Semrush Data'!$A$1:$Z$1,0)),"")</f>
        <v/>
      </c>
    </row>
    <row r="2837" ht="15" customHeight="1" s="37">
      <c r="A2837" s="42" t="inlineStr">
        <is>
          <t>gucci mini set men</t>
        </is>
      </c>
      <c r="B2837" s="42" t="inlineStr">
        <is>
          <t>Google suggest</t>
        </is>
      </c>
      <c r="C2837" s="42" t="n">
        <v>3</v>
      </c>
      <c r="D2837" s="42" t="n">
        <v>29</v>
      </c>
      <c r="E2837" s="42" t="n">
        <v>1</v>
      </c>
      <c r="F2837" s="42" t="inlineStr">
        <is>
          <t>FR-226</t>
        </is>
      </c>
      <c r="G2837" s="55">
        <f>IFERROR(INDEX('Semrush Data'!$A$1:$Z$20000,MATCH(A2837,'Semrush Data'!$A$1:$A$20000,0),MATCH("Volume",'Semrush Data'!$A$1:$Z$1,0)),"")</f>
        <v/>
      </c>
      <c r="H2837" s="42">
        <f>IFERROR(INDEX('Semrush Data'!$A$1:$Z$20000,MATCH(A2837,'Semrush Data'!$A$1:$A$20000,0),MATCH("Keyword Difficulty*",'Semrush Data'!$A$1:$Z$1,0)),"")</f>
        <v/>
      </c>
      <c r="I2837" s="56">
        <f>IFERROR(INDEX('Semrush Data'!$A$1:$Z$20000,MATCH(A2837,'Semrush Data'!$A$1:$A$20000,0),MATCH("CPC*",'Semrush Data'!$A$1:$Z$1,0)),"")</f>
        <v/>
      </c>
      <c r="J2837" s="42">
        <f>IFERROR(INDEX('Semrush Data'!$A$1:$Z$20000,MATCH(A2837,'Semrush Data'!$A$1:$A$20000,0),MATCH("Intent",'Semrush Data'!$A$1:$Z$1,0)),"")</f>
        <v/>
      </c>
    </row>
    <row r="2838" ht="15" customHeight="1" s="37">
      <c r="A2838" s="42" t="inlineStr">
        <is>
          <t>gucci mini set of 4</t>
        </is>
      </c>
      <c r="B2838" s="42" t="inlineStr">
        <is>
          <t>Google suggest</t>
        </is>
      </c>
      <c r="C2838" s="42" t="n">
        <v>3</v>
      </c>
      <c r="D2838" s="42" t="n">
        <v>29</v>
      </c>
      <c r="E2838" s="42" t="n">
        <v>1</v>
      </c>
      <c r="F2838" s="42" t="inlineStr">
        <is>
          <t>FR-226</t>
        </is>
      </c>
      <c r="G2838" s="55">
        <f>IFERROR(INDEX('Semrush Data'!$A$1:$Z$20000,MATCH(A2838,'Semrush Data'!$A$1:$A$20000,0),MATCH("Volume",'Semrush Data'!$A$1:$Z$1,0)),"")</f>
        <v/>
      </c>
      <c r="H2838" s="42">
        <f>IFERROR(INDEX('Semrush Data'!$A$1:$Z$20000,MATCH(A2838,'Semrush Data'!$A$1:$A$20000,0),MATCH("Keyword Difficulty*",'Semrush Data'!$A$1:$Z$1,0)),"")</f>
        <v/>
      </c>
      <c r="I2838" s="56">
        <f>IFERROR(INDEX('Semrush Data'!$A$1:$Z$20000,MATCH(A2838,'Semrush Data'!$A$1:$A$20000,0),MATCH("CPC*",'Semrush Data'!$A$1:$Z$1,0)),"")</f>
        <v/>
      </c>
      <c r="J2838" s="42">
        <f>IFERROR(INDEX('Semrush Data'!$A$1:$Z$20000,MATCH(A2838,'Semrush Data'!$A$1:$A$20000,0),MATCH("Intent",'Semrush Data'!$A$1:$Z$1,0)),"")</f>
        <v/>
      </c>
    </row>
    <row r="2839" ht="15" customHeight="1" s="37">
      <c r="A2839" s="42" t="inlineStr">
        <is>
          <t>gucci mini set perfume</t>
        </is>
      </c>
      <c r="B2839" s="42" t="inlineStr">
        <is>
          <t>Google suggest</t>
        </is>
      </c>
      <c r="C2839" s="42" t="n">
        <v>3</v>
      </c>
      <c r="D2839" s="42" t="n">
        <v>29</v>
      </c>
      <c r="E2839" s="42" t="n">
        <v>1</v>
      </c>
      <c r="F2839" s="42" t="inlineStr">
        <is>
          <t>FR-226</t>
        </is>
      </c>
      <c r="G2839" s="55">
        <f>IFERROR(INDEX('Semrush Data'!$A$1:$Z$20000,MATCH(A2839,'Semrush Data'!$A$1:$A$20000,0),MATCH("Volume",'Semrush Data'!$A$1:$Z$1,0)),"")</f>
        <v/>
      </c>
      <c r="H2839" s="42">
        <f>IFERROR(INDEX('Semrush Data'!$A$1:$Z$20000,MATCH(A2839,'Semrush Data'!$A$1:$A$20000,0),MATCH("Keyword Difficulty*",'Semrush Data'!$A$1:$Z$1,0)),"")</f>
        <v/>
      </c>
      <c r="I2839" s="56">
        <f>IFERROR(INDEX('Semrush Data'!$A$1:$Z$20000,MATCH(A2839,'Semrush Data'!$A$1:$A$20000,0),MATCH("CPC*",'Semrush Data'!$A$1:$Z$1,0)),"")</f>
        <v/>
      </c>
      <c r="J2839" s="42">
        <f>IFERROR(INDEX('Semrush Data'!$A$1:$Z$20000,MATCH(A2839,'Semrush Data'!$A$1:$A$20000,0),MATCH("Intent",'Semrush Data'!$A$1:$Z$1,0)),"")</f>
        <v/>
      </c>
    </row>
    <row r="2840" ht="15" customHeight="1" s="37">
      <c r="A2840" s="42" t="inlineStr">
        <is>
          <t>gucci set perfume</t>
        </is>
      </c>
      <c r="B2840" s="42" t="inlineStr">
        <is>
          <t>Google suggest</t>
        </is>
      </c>
      <c r="C2840" s="42" t="n">
        <v>3</v>
      </c>
      <c r="D2840" s="42" t="n">
        <v>29</v>
      </c>
      <c r="E2840" s="42" t="n">
        <v>1</v>
      </c>
      <c r="F2840" s="42" t="inlineStr">
        <is>
          <t>FR-227</t>
        </is>
      </c>
      <c r="G2840" s="55">
        <f>IFERROR(INDEX('Semrush Data'!$A$1:$Z$20000,MATCH(A2840,'Semrush Data'!$A$1:$A$20000,0),MATCH("Volume",'Semrush Data'!$A$1:$Z$1,0)),"")</f>
        <v/>
      </c>
      <c r="H2840" s="42">
        <f>IFERROR(INDEX('Semrush Data'!$A$1:$Z$20000,MATCH(A2840,'Semrush Data'!$A$1:$A$20000,0),MATCH("Keyword Difficulty*",'Semrush Data'!$A$1:$Z$1,0)),"")</f>
        <v/>
      </c>
      <c r="I2840" s="56">
        <f>IFERROR(INDEX('Semrush Data'!$A$1:$Z$20000,MATCH(A2840,'Semrush Data'!$A$1:$A$20000,0),MATCH("CPC*",'Semrush Data'!$A$1:$Z$1,0)),"")</f>
        <v/>
      </c>
      <c r="J2840" s="42">
        <f>IFERROR(INDEX('Semrush Data'!$A$1:$Z$20000,MATCH(A2840,'Semrush Data'!$A$1:$A$20000,0),MATCH("Intent",'Semrush Data'!$A$1:$Z$1,0)),"")</f>
        <v/>
      </c>
    </row>
    <row r="2841" ht="15" customHeight="1" s="37">
      <c r="A2841" s="42" t="inlineStr">
        <is>
          <t>gucci set perfume for women</t>
        </is>
      </c>
      <c r="B2841" s="42" t="inlineStr">
        <is>
          <t>Google suggest</t>
        </is>
      </c>
      <c r="C2841" s="42" t="n">
        <v>3</v>
      </c>
      <c r="D2841" s="42" t="n">
        <v>29</v>
      </c>
      <c r="E2841" s="42" t="n">
        <v>1</v>
      </c>
      <c r="F2841" s="42" t="inlineStr">
        <is>
          <t>FR-227</t>
        </is>
      </c>
      <c r="G2841" s="55">
        <f>IFERROR(INDEX('Semrush Data'!$A$1:$Z$20000,MATCH(A2841,'Semrush Data'!$A$1:$A$20000,0),MATCH("Volume",'Semrush Data'!$A$1:$Z$1,0)),"")</f>
        <v/>
      </c>
      <c r="H2841" s="42">
        <f>IFERROR(INDEX('Semrush Data'!$A$1:$Z$20000,MATCH(A2841,'Semrush Data'!$A$1:$A$20000,0),MATCH("Keyword Difficulty*",'Semrush Data'!$A$1:$Z$1,0)),"")</f>
        <v/>
      </c>
      <c r="I2841" s="56">
        <f>IFERROR(INDEX('Semrush Data'!$A$1:$Z$20000,MATCH(A2841,'Semrush Data'!$A$1:$A$20000,0),MATCH("CPC*",'Semrush Data'!$A$1:$Z$1,0)),"")</f>
        <v/>
      </c>
      <c r="J2841" s="42">
        <f>IFERROR(INDEX('Semrush Data'!$A$1:$Z$20000,MATCH(A2841,'Semrush Data'!$A$1:$A$20000,0),MATCH("Intent",'Semrush Data'!$A$1:$Z$1,0)),"")</f>
        <v/>
      </c>
    </row>
    <row r="2842" ht="15" customHeight="1" s="37">
      <c r="A2842" s="42" t="inlineStr">
        <is>
          <t>gucci set women</t>
        </is>
      </c>
      <c r="B2842" s="42" t="inlineStr">
        <is>
          <t>Google suggest</t>
        </is>
      </c>
      <c r="C2842" s="42" t="n">
        <v>3</v>
      </c>
      <c r="D2842" s="42" t="n">
        <v>29</v>
      </c>
      <c r="E2842" s="42" t="n">
        <v>1</v>
      </c>
      <c r="F2842" s="42" t="inlineStr">
        <is>
          <t>FR-227</t>
        </is>
      </c>
      <c r="G2842" s="55">
        <f>IFERROR(INDEX('Semrush Data'!$A$1:$Z$20000,MATCH(A2842,'Semrush Data'!$A$1:$A$20000,0),MATCH("Volume",'Semrush Data'!$A$1:$Z$1,0)),"")</f>
        <v/>
      </c>
      <c r="H2842" s="42">
        <f>IFERROR(INDEX('Semrush Data'!$A$1:$Z$20000,MATCH(A2842,'Semrush Data'!$A$1:$A$20000,0),MATCH("Keyword Difficulty*",'Semrush Data'!$A$1:$Z$1,0)),"")</f>
        <v/>
      </c>
      <c r="I2842" s="56">
        <f>IFERROR(INDEX('Semrush Data'!$A$1:$Z$20000,MATCH(A2842,'Semrush Data'!$A$1:$A$20000,0),MATCH("CPC*",'Semrush Data'!$A$1:$Z$1,0)),"")</f>
        <v/>
      </c>
      <c r="J2842" s="42">
        <f>IFERROR(INDEX('Semrush Data'!$A$1:$Z$20000,MATCH(A2842,'Semrush Data'!$A$1:$A$20000,0),MATCH("Intent",'Semrush Data'!$A$1:$Z$1,0)),"")</f>
        <v/>
      </c>
    </row>
    <row r="2843" ht="15" customHeight="1" s="37">
      <c r="A2843" s="42" t="inlineStr">
        <is>
          <t>guerlain epices exquises eau de parfum 125ml</t>
        </is>
      </c>
      <c r="B2843" s="42" t="inlineStr">
        <is>
          <t>Google suggest</t>
        </is>
      </c>
      <c r="C2843" s="42" t="n">
        <v>3</v>
      </c>
      <c r="D2843" s="42" t="n">
        <v>29</v>
      </c>
      <c r="E2843" s="42" t="n">
        <v>1</v>
      </c>
      <c r="F2843" s="42" t="inlineStr">
        <is>
          <t>FR-234</t>
        </is>
      </c>
      <c r="G2843" s="55">
        <f>IFERROR(INDEX('Semrush Data'!$A$1:$Z$20000,MATCH(A2843,'Semrush Data'!$A$1:$A$20000,0),MATCH("Volume",'Semrush Data'!$A$1:$Z$1,0)),"")</f>
        <v/>
      </c>
      <c r="H2843" s="42">
        <f>IFERROR(INDEX('Semrush Data'!$A$1:$Z$20000,MATCH(A2843,'Semrush Data'!$A$1:$A$20000,0),MATCH("Keyword Difficulty*",'Semrush Data'!$A$1:$Z$1,0)),"")</f>
        <v/>
      </c>
      <c r="I2843" s="56">
        <f>IFERROR(INDEX('Semrush Data'!$A$1:$Z$20000,MATCH(A2843,'Semrush Data'!$A$1:$A$20000,0),MATCH("CPC*",'Semrush Data'!$A$1:$Z$1,0)),"")</f>
        <v/>
      </c>
      <c r="J2843" s="42">
        <f>IFERROR(INDEX('Semrush Data'!$A$1:$Z$20000,MATCH(A2843,'Semrush Data'!$A$1:$A$20000,0),MATCH("Intent",'Semrush Data'!$A$1:$Z$1,0)),"")</f>
        <v/>
      </c>
    </row>
    <row r="2844" ht="15" customHeight="1" s="37">
      <c r="A2844" s="42" t="inlineStr">
        <is>
          <t>guerlain epices exquises edp</t>
        </is>
      </c>
      <c r="B2844" s="42" t="inlineStr">
        <is>
          <t>Google suggest</t>
        </is>
      </c>
      <c r="C2844" s="42" t="n">
        <v>3</v>
      </c>
      <c r="D2844" s="42" t="n">
        <v>29</v>
      </c>
      <c r="E2844" s="42" t="n">
        <v>1</v>
      </c>
      <c r="F2844" s="42" t="inlineStr">
        <is>
          <t>FR-234</t>
        </is>
      </c>
      <c r="G2844" s="55">
        <f>IFERROR(INDEX('Semrush Data'!$A$1:$Z$20000,MATCH(A2844,'Semrush Data'!$A$1:$A$20000,0),MATCH("Volume",'Semrush Data'!$A$1:$Z$1,0)),"")</f>
        <v/>
      </c>
      <c r="H2844" s="42">
        <f>IFERROR(INDEX('Semrush Data'!$A$1:$Z$20000,MATCH(A2844,'Semrush Data'!$A$1:$A$20000,0),MATCH("Keyword Difficulty*",'Semrush Data'!$A$1:$Z$1,0)),"")</f>
        <v/>
      </c>
      <c r="I2844" s="56">
        <f>IFERROR(INDEX('Semrush Data'!$A$1:$Z$20000,MATCH(A2844,'Semrush Data'!$A$1:$A$20000,0),MATCH("CPC*",'Semrush Data'!$A$1:$Z$1,0)),"")</f>
        <v/>
      </c>
      <c r="J2844" s="42">
        <f>IFERROR(INDEX('Semrush Data'!$A$1:$Z$20000,MATCH(A2844,'Semrush Data'!$A$1:$A$20000,0),MATCH("Intent",'Semrush Data'!$A$1:$Z$1,0)),"")</f>
        <v/>
      </c>
    </row>
    <row r="2845" ht="15" customHeight="1" s="37">
      <c r="A2845" s="42" t="inlineStr">
        <is>
          <t>guerlain epices exquises edp 125ml</t>
        </is>
      </c>
      <c r="B2845" s="42" t="inlineStr">
        <is>
          <t>Google suggest</t>
        </is>
      </c>
      <c r="C2845" s="42" t="n">
        <v>3</v>
      </c>
      <c r="D2845" s="42" t="n">
        <v>29</v>
      </c>
      <c r="E2845" s="42" t="n">
        <v>1</v>
      </c>
      <c r="F2845" s="42" t="inlineStr">
        <is>
          <t>FR-234</t>
        </is>
      </c>
      <c r="G2845" s="55">
        <f>IFERROR(INDEX('Semrush Data'!$A$1:$Z$20000,MATCH(A2845,'Semrush Data'!$A$1:$A$20000,0),MATCH("Volume",'Semrush Data'!$A$1:$Z$1,0)),"")</f>
        <v/>
      </c>
      <c r="H2845" s="42">
        <f>IFERROR(INDEX('Semrush Data'!$A$1:$Z$20000,MATCH(A2845,'Semrush Data'!$A$1:$A$20000,0),MATCH("Keyword Difficulty*",'Semrush Data'!$A$1:$Z$1,0)),"")</f>
        <v/>
      </c>
      <c r="I2845" s="56">
        <f>IFERROR(INDEX('Semrush Data'!$A$1:$Z$20000,MATCH(A2845,'Semrush Data'!$A$1:$A$20000,0),MATCH("CPC*",'Semrush Data'!$A$1:$Z$1,0)),"")</f>
        <v/>
      </c>
      <c r="J2845" s="42">
        <f>IFERROR(INDEX('Semrush Data'!$A$1:$Z$20000,MATCH(A2845,'Semrush Data'!$A$1:$A$20000,0),MATCH("Intent",'Semrush Data'!$A$1:$Z$1,0)),"")</f>
        <v/>
      </c>
    </row>
    <row r="2846" ht="15" customHeight="1" s="37">
      <c r="A2846" s="42" t="inlineStr">
        <is>
          <t>guerlain epices exquises notes</t>
        </is>
      </c>
      <c r="B2846" s="42" t="inlineStr">
        <is>
          <t>Google suggest</t>
        </is>
      </c>
      <c r="C2846" s="42" t="n">
        <v>3</v>
      </c>
      <c r="D2846" s="42" t="n">
        <v>29</v>
      </c>
      <c r="E2846" s="42" t="n">
        <v>1</v>
      </c>
      <c r="F2846" s="42" t="inlineStr">
        <is>
          <t>FR-234</t>
        </is>
      </c>
      <c r="G2846" s="55">
        <f>IFERROR(INDEX('Semrush Data'!$A$1:$Z$20000,MATCH(A2846,'Semrush Data'!$A$1:$A$20000,0),MATCH("Volume",'Semrush Data'!$A$1:$Z$1,0)),"")</f>
        <v/>
      </c>
      <c r="H2846" s="42">
        <f>IFERROR(INDEX('Semrush Data'!$A$1:$Z$20000,MATCH(A2846,'Semrush Data'!$A$1:$A$20000,0),MATCH("Keyword Difficulty*",'Semrush Data'!$A$1:$Z$1,0)),"")</f>
        <v/>
      </c>
      <c r="I2846" s="56">
        <f>IFERROR(INDEX('Semrush Data'!$A$1:$Z$20000,MATCH(A2846,'Semrush Data'!$A$1:$A$20000,0),MATCH("CPC*",'Semrush Data'!$A$1:$Z$1,0)),"")</f>
        <v/>
      </c>
      <c r="J2846" s="42">
        <f>IFERROR(INDEX('Semrush Data'!$A$1:$Z$20000,MATCH(A2846,'Semrush Data'!$A$1:$A$20000,0),MATCH("Intent",'Semrush Data'!$A$1:$Z$1,0)),"")</f>
        <v/>
      </c>
    </row>
    <row r="2847" ht="15" customHeight="1" s="37">
      <c r="A2847" s="42" t="inlineStr">
        <is>
          <t>guerlain epices exquises review</t>
        </is>
      </c>
      <c r="B2847" s="42" t="inlineStr">
        <is>
          <t>Google suggest</t>
        </is>
      </c>
      <c r="C2847" s="42" t="n">
        <v>3</v>
      </c>
      <c r="D2847" s="42" t="n">
        <v>29</v>
      </c>
      <c r="E2847" s="42" t="n">
        <v>1</v>
      </c>
      <c r="F2847" s="42" t="inlineStr">
        <is>
          <t>FR-234</t>
        </is>
      </c>
      <c r="G2847" s="55">
        <f>IFERROR(INDEX('Semrush Data'!$A$1:$Z$20000,MATCH(A2847,'Semrush Data'!$A$1:$A$20000,0),MATCH("Volume",'Semrush Data'!$A$1:$Z$1,0)),"")</f>
        <v/>
      </c>
      <c r="H2847" s="42">
        <f>IFERROR(INDEX('Semrush Data'!$A$1:$Z$20000,MATCH(A2847,'Semrush Data'!$A$1:$A$20000,0),MATCH("Keyword Difficulty*",'Semrush Data'!$A$1:$Z$1,0)),"")</f>
        <v/>
      </c>
      <c r="I2847" s="56">
        <f>IFERROR(INDEX('Semrush Data'!$A$1:$Z$20000,MATCH(A2847,'Semrush Data'!$A$1:$A$20000,0),MATCH("CPC*",'Semrush Data'!$A$1:$Z$1,0)),"")</f>
        <v/>
      </c>
      <c r="J2847" s="42">
        <f>IFERROR(INDEX('Semrush Data'!$A$1:$Z$20000,MATCH(A2847,'Semrush Data'!$A$1:$A$20000,0),MATCH("Intent",'Semrush Data'!$A$1:$Z$1,0)),"")</f>
        <v/>
      </c>
    </row>
    <row r="2848" ht="15" customHeight="1" s="37">
      <c r="A2848" s="42" t="inlineStr">
        <is>
          <t>guerlain habit rouge edp</t>
        </is>
      </c>
      <c r="B2848" s="42" t="inlineStr">
        <is>
          <t>Google suggest</t>
        </is>
      </c>
      <c r="C2848" s="42" t="n">
        <v>3</v>
      </c>
      <c r="D2848" s="42" t="inlineStr">
        <is>
          <t>T3-1</t>
        </is>
      </c>
      <c r="E2848" s="42" t="n">
        <v>1</v>
      </c>
      <c r="F2848" s="42" t="inlineStr">
        <is>
          <t>FR-229</t>
        </is>
      </c>
      <c r="G2848" s="55">
        <f>IFERROR(INDEX('Semrush Data'!$A$1:$Z$20000,MATCH(A2848,'Semrush Data'!$A$1:$A$20000,0),MATCH("Volume",'Semrush Data'!$A$1:$Z$1,0)),"")</f>
        <v/>
      </c>
      <c r="H2848" s="42">
        <f>IFERROR(INDEX('Semrush Data'!$A$1:$Z$20000,MATCH(A2848,'Semrush Data'!$A$1:$A$20000,0),MATCH("Keyword Difficulty*",'Semrush Data'!$A$1:$Z$1,0)),"")</f>
        <v/>
      </c>
      <c r="I2848" s="56">
        <f>IFERROR(INDEX('Semrush Data'!$A$1:$Z$20000,MATCH(A2848,'Semrush Data'!$A$1:$A$20000,0),MATCH("CPC*",'Semrush Data'!$A$1:$Z$1,0)),"")</f>
        <v/>
      </c>
      <c r="J2848" s="42">
        <f>IFERROR(INDEX('Semrush Data'!$A$1:$Z$20000,MATCH(A2848,'Semrush Data'!$A$1:$A$20000,0),MATCH("Intent",'Semrush Data'!$A$1:$Z$1,0)),"")</f>
        <v/>
      </c>
    </row>
    <row r="2849" ht="15" customHeight="1" s="37">
      <c r="A2849" s="42" t="inlineStr">
        <is>
          <t>guerlain habit rouge edt</t>
        </is>
      </c>
      <c r="B2849" s="42" t="inlineStr">
        <is>
          <t>Google suggest</t>
        </is>
      </c>
      <c r="C2849" s="42" t="n">
        <v>3</v>
      </c>
      <c r="D2849" s="42" t="n">
        <v>29</v>
      </c>
      <c r="E2849" s="42" t="n">
        <v>1</v>
      </c>
      <c r="F2849" s="42" t="inlineStr">
        <is>
          <t>FR-229</t>
        </is>
      </c>
      <c r="G2849" s="55">
        <f>IFERROR(INDEX('Semrush Data'!$A$1:$Z$20000,MATCH(A2849,'Semrush Data'!$A$1:$A$20000,0),MATCH("Volume",'Semrush Data'!$A$1:$Z$1,0)),"")</f>
        <v/>
      </c>
      <c r="H2849" s="42">
        <f>IFERROR(INDEX('Semrush Data'!$A$1:$Z$20000,MATCH(A2849,'Semrush Data'!$A$1:$A$20000,0),MATCH("Keyword Difficulty*",'Semrush Data'!$A$1:$Z$1,0)),"")</f>
        <v/>
      </c>
      <c r="I2849" s="56">
        <f>IFERROR(INDEX('Semrush Data'!$A$1:$Z$20000,MATCH(A2849,'Semrush Data'!$A$1:$A$20000,0),MATCH("CPC*",'Semrush Data'!$A$1:$Z$1,0)),"")</f>
        <v/>
      </c>
      <c r="J2849" s="42">
        <f>IFERROR(INDEX('Semrush Data'!$A$1:$Z$20000,MATCH(A2849,'Semrush Data'!$A$1:$A$20000,0),MATCH("Intent",'Semrush Data'!$A$1:$Z$1,0)),"")</f>
        <v/>
      </c>
    </row>
    <row r="2850" ht="15" customHeight="1" s="37">
      <c r="A2850" s="42" t="inlineStr">
        <is>
          <t>guerlain habit rouge parfum</t>
        </is>
      </c>
      <c r="B2850" s="42" t="inlineStr">
        <is>
          <t>Google suggest</t>
        </is>
      </c>
      <c r="C2850" s="42" t="n">
        <v>3</v>
      </c>
      <c r="D2850" s="42" t="inlineStr">
        <is>
          <t>T3-1</t>
        </is>
      </c>
      <c r="E2850" s="42" t="n">
        <v>1</v>
      </c>
      <c r="F2850" s="42" t="inlineStr">
        <is>
          <t>FR-229</t>
        </is>
      </c>
      <c r="G2850" s="55">
        <f>IFERROR(INDEX('Semrush Data'!$A$1:$Z$20000,MATCH(A2850,'Semrush Data'!$A$1:$A$20000,0),MATCH("Volume",'Semrush Data'!$A$1:$Z$1,0)),"")</f>
        <v/>
      </c>
      <c r="H2850" s="42">
        <f>IFERROR(INDEX('Semrush Data'!$A$1:$Z$20000,MATCH(A2850,'Semrush Data'!$A$1:$A$20000,0),MATCH("Keyword Difficulty*",'Semrush Data'!$A$1:$Z$1,0)),"")</f>
        <v/>
      </c>
      <c r="I2850" s="56">
        <f>IFERROR(INDEX('Semrush Data'!$A$1:$Z$20000,MATCH(A2850,'Semrush Data'!$A$1:$A$20000,0),MATCH("CPC*",'Semrush Data'!$A$1:$Z$1,0)),"")</f>
        <v/>
      </c>
      <c r="J2850" s="42">
        <f>IFERROR(INDEX('Semrush Data'!$A$1:$Z$20000,MATCH(A2850,'Semrush Data'!$A$1:$A$20000,0),MATCH("Intent",'Semrush Data'!$A$1:$Z$1,0)),"")</f>
        <v/>
      </c>
    </row>
    <row r="2851" ht="15" customHeight="1" s="37">
      <c r="A2851" s="42" t="inlineStr">
        <is>
          <t>guerlain habit rouge parfum 100ml</t>
        </is>
      </c>
      <c r="B2851" s="42" t="inlineStr">
        <is>
          <t>Google suggest</t>
        </is>
      </c>
      <c r="C2851" s="42" t="n">
        <v>3</v>
      </c>
      <c r="D2851" s="42" t="n">
        <v>29</v>
      </c>
      <c r="E2851" s="42" t="n">
        <v>1</v>
      </c>
      <c r="F2851" s="42" t="inlineStr">
        <is>
          <t>FR-229</t>
        </is>
      </c>
      <c r="G2851" s="55">
        <f>IFERROR(INDEX('Semrush Data'!$A$1:$Z$20000,MATCH(A2851,'Semrush Data'!$A$1:$A$20000,0),MATCH("Volume",'Semrush Data'!$A$1:$Z$1,0)),"")</f>
        <v/>
      </c>
      <c r="H2851" s="42">
        <f>IFERROR(INDEX('Semrush Data'!$A$1:$Z$20000,MATCH(A2851,'Semrush Data'!$A$1:$A$20000,0),MATCH("Keyword Difficulty*",'Semrush Data'!$A$1:$Z$1,0)),"")</f>
        <v/>
      </c>
      <c r="I2851" s="56">
        <f>IFERROR(INDEX('Semrush Data'!$A$1:$Z$20000,MATCH(A2851,'Semrush Data'!$A$1:$A$20000,0),MATCH("CPC*",'Semrush Data'!$A$1:$Z$1,0)),"")</f>
        <v/>
      </c>
      <c r="J2851" s="42">
        <f>IFERROR(INDEX('Semrush Data'!$A$1:$Z$20000,MATCH(A2851,'Semrush Data'!$A$1:$A$20000,0),MATCH("Intent",'Semrush Data'!$A$1:$Z$1,0)),"")</f>
        <v/>
      </c>
    </row>
    <row r="2852" ht="15" customHeight="1" s="37">
      <c r="A2852" s="42" t="inlineStr">
        <is>
          <t>guerlain l'instant de guerlain edp</t>
        </is>
      </c>
      <c r="B2852" s="42" t="inlineStr">
        <is>
          <t>Google suggest</t>
        </is>
      </c>
      <c r="C2852" s="42" t="n">
        <v>3</v>
      </c>
      <c r="D2852" s="42" t="n">
        <v>29</v>
      </c>
      <c r="E2852" s="42" t="n">
        <v>1</v>
      </c>
      <c r="F2852" s="42" t="inlineStr">
        <is>
          <t>FR-230</t>
        </is>
      </c>
      <c r="G2852" s="55">
        <f>IFERROR(INDEX('Semrush Data'!$A$1:$Z$20000,MATCH(A2852,'Semrush Data'!$A$1:$A$20000,0),MATCH("Volume",'Semrush Data'!$A$1:$Z$1,0)),"")</f>
        <v/>
      </c>
      <c r="H2852" s="42">
        <f>IFERROR(INDEX('Semrush Data'!$A$1:$Z$20000,MATCH(A2852,'Semrush Data'!$A$1:$A$20000,0),MATCH("Keyword Difficulty*",'Semrush Data'!$A$1:$Z$1,0)),"")</f>
        <v/>
      </c>
      <c r="I2852" s="56">
        <f>IFERROR(INDEX('Semrush Data'!$A$1:$Z$20000,MATCH(A2852,'Semrush Data'!$A$1:$A$20000,0),MATCH("CPC*",'Semrush Data'!$A$1:$Z$1,0)),"")</f>
        <v/>
      </c>
      <c r="J2852" s="42">
        <f>IFERROR(INDEX('Semrush Data'!$A$1:$Z$20000,MATCH(A2852,'Semrush Data'!$A$1:$A$20000,0),MATCH("Intent",'Semrush Data'!$A$1:$Z$1,0)),"")</f>
        <v/>
      </c>
    </row>
    <row r="2853" ht="15" customHeight="1" s="37">
      <c r="A2853" s="42" t="inlineStr">
        <is>
          <t>guerlain l'instant de guerlain edt</t>
        </is>
      </c>
      <c r="B2853" s="42" t="inlineStr">
        <is>
          <t>Google suggest</t>
        </is>
      </c>
      <c r="C2853" s="42" t="n">
        <v>3</v>
      </c>
      <c r="D2853" s="42" t="n">
        <v>29</v>
      </c>
      <c r="E2853" s="42" t="n">
        <v>1</v>
      </c>
      <c r="F2853" s="42" t="inlineStr">
        <is>
          <t>FR-230</t>
        </is>
      </c>
      <c r="G2853" s="55">
        <f>IFERROR(INDEX('Semrush Data'!$A$1:$Z$20000,MATCH(A2853,'Semrush Data'!$A$1:$A$20000,0),MATCH("Volume",'Semrush Data'!$A$1:$Z$1,0)),"")</f>
        <v/>
      </c>
      <c r="H2853" s="42">
        <f>IFERROR(INDEX('Semrush Data'!$A$1:$Z$20000,MATCH(A2853,'Semrush Data'!$A$1:$A$20000,0),MATCH("Keyword Difficulty*",'Semrush Data'!$A$1:$Z$1,0)),"")</f>
        <v/>
      </c>
      <c r="I2853" s="56">
        <f>IFERROR(INDEX('Semrush Data'!$A$1:$Z$20000,MATCH(A2853,'Semrush Data'!$A$1:$A$20000,0),MATCH("CPC*",'Semrush Data'!$A$1:$Z$1,0)),"")</f>
        <v/>
      </c>
      <c r="J2853" s="42">
        <f>IFERROR(INDEX('Semrush Data'!$A$1:$Z$20000,MATCH(A2853,'Semrush Data'!$A$1:$A$20000,0),MATCH("Intent",'Semrush Data'!$A$1:$Z$1,0)),"")</f>
        <v/>
      </c>
    </row>
    <row r="2854" ht="15" customHeight="1" s="37">
      <c r="A2854" s="42" t="inlineStr">
        <is>
          <t>guerlain la petite robe noire ma robe cocktail edt</t>
        </is>
      </c>
      <c r="B2854" s="42" t="inlineStr">
        <is>
          <t>Google suggest</t>
        </is>
      </c>
      <c r="C2854" s="42" t="n">
        <v>3</v>
      </c>
      <c r="D2854" s="42" t="n">
        <v>29</v>
      </c>
      <c r="E2854" s="42" t="n">
        <v>1</v>
      </c>
      <c r="F2854" s="42" t="inlineStr">
        <is>
          <t>FR-235</t>
        </is>
      </c>
      <c r="G2854" s="55">
        <f>IFERROR(INDEX('Semrush Data'!$A$1:$Z$20000,MATCH(A2854,'Semrush Data'!$A$1:$A$20000,0),MATCH("Volume",'Semrush Data'!$A$1:$Z$1,0)),"")</f>
        <v/>
      </c>
      <c r="H2854" s="42">
        <f>IFERROR(INDEX('Semrush Data'!$A$1:$Z$20000,MATCH(A2854,'Semrush Data'!$A$1:$A$20000,0),MATCH("Keyword Difficulty*",'Semrush Data'!$A$1:$Z$1,0)),"")</f>
        <v/>
      </c>
      <c r="I2854" s="56">
        <f>IFERROR(INDEX('Semrush Data'!$A$1:$Z$20000,MATCH(A2854,'Semrush Data'!$A$1:$A$20000,0),MATCH("CPC*",'Semrush Data'!$A$1:$Z$1,0)),"")</f>
        <v/>
      </c>
      <c r="J2854" s="42">
        <f>IFERROR(INDEX('Semrush Data'!$A$1:$Z$20000,MATCH(A2854,'Semrush Data'!$A$1:$A$20000,0),MATCH("Intent",'Semrush Data'!$A$1:$Z$1,0)),"")</f>
        <v/>
      </c>
    </row>
    <row r="2855" ht="15" customHeight="1" s="37">
      <c r="A2855" s="42" t="inlineStr">
        <is>
          <t>guerlain la petite robe noire ma robe cocktail отзывы</t>
        </is>
      </c>
      <c r="B2855" s="42" t="inlineStr">
        <is>
          <t>Google suggest</t>
        </is>
      </c>
      <c r="C2855" s="42" t="n">
        <v>3</v>
      </c>
      <c r="D2855" s="42" t="n">
        <v>29</v>
      </c>
      <c r="E2855" s="42" t="n">
        <v>1</v>
      </c>
      <c r="F2855" s="42" t="inlineStr">
        <is>
          <t>FR-235</t>
        </is>
      </c>
      <c r="G2855" s="55">
        <f>IFERROR(INDEX('Semrush Data'!$A$1:$Z$20000,MATCH(A2855,'Semrush Data'!$A$1:$A$20000,0),MATCH("Volume",'Semrush Data'!$A$1:$Z$1,0)),"")</f>
        <v/>
      </c>
      <c r="H2855" s="42">
        <f>IFERROR(INDEX('Semrush Data'!$A$1:$Z$20000,MATCH(A2855,'Semrush Data'!$A$1:$A$20000,0),MATCH("Keyword Difficulty*",'Semrush Data'!$A$1:$Z$1,0)),"")</f>
        <v/>
      </c>
      <c r="I2855" s="56">
        <f>IFERROR(INDEX('Semrush Data'!$A$1:$Z$20000,MATCH(A2855,'Semrush Data'!$A$1:$A$20000,0),MATCH("CPC*",'Semrush Data'!$A$1:$Z$1,0)),"")</f>
        <v/>
      </c>
      <c r="J2855" s="42">
        <f>IFERROR(INDEX('Semrush Data'!$A$1:$Z$20000,MATCH(A2855,'Semrush Data'!$A$1:$A$20000,0),MATCH("Intent",'Semrush Data'!$A$1:$Z$1,0)),"")</f>
        <v/>
      </c>
    </row>
    <row r="2856" ht="15" customHeight="1" s="37">
      <c r="A2856" s="42" t="inlineStr">
        <is>
          <t>guerlain la petite robe noire review</t>
        </is>
      </c>
      <c r="B2856" s="42" t="inlineStr">
        <is>
          <t>Google suggest</t>
        </is>
      </c>
      <c r="C2856" s="42" t="n">
        <v>3</v>
      </c>
      <c r="D2856" s="42" t="n">
        <v>29</v>
      </c>
      <c r="E2856" s="42" t="n">
        <v>1</v>
      </c>
      <c r="F2856" s="42" t="inlineStr">
        <is>
          <t>FR-235</t>
        </is>
      </c>
      <c r="G2856" s="55">
        <f>IFERROR(INDEX('Semrush Data'!$A$1:$Z$20000,MATCH(A2856,'Semrush Data'!$A$1:$A$20000,0),MATCH("Volume",'Semrush Data'!$A$1:$Z$1,0)),"")</f>
        <v/>
      </c>
      <c r="H2856" s="42">
        <f>IFERROR(INDEX('Semrush Data'!$A$1:$Z$20000,MATCH(A2856,'Semrush Data'!$A$1:$A$20000,0),MATCH("Keyword Difficulty*",'Semrush Data'!$A$1:$Z$1,0)),"")</f>
        <v/>
      </c>
      <c r="I2856" s="56">
        <f>IFERROR(INDEX('Semrush Data'!$A$1:$Z$20000,MATCH(A2856,'Semrush Data'!$A$1:$A$20000,0),MATCH("CPC*",'Semrush Data'!$A$1:$Z$1,0)),"")</f>
        <v/>
      </c>
      <c r="J2856" s="42">
        <f>IFERROR(INDEX('Semrush Data'!$A$1:$Z$20000,MATCH(A2856,'Semrush Data'!$A$1:$A$20000,0),MATCH("Intent",'Semrush Data'!$A$1:$Z$1,0)),"")</f>
        <v/>
      </c>
    </row>
    <row r="2857" ht="15" customHeight="1" s="37">
      <c r="A2857" s="42" t="inlineStr">
        <is>
          <t>guerlain musc noble dupe</t>
        </is>
      </c>
      <c r="B2857" s="42" t="inlineStr">
        <is>
          <t>Google suggest</t>
        </is>
      </c>
      <c r="C2857" s="42" t="n">
        <v>3</v>
      </c>
      <c r="D2857" s="42" t="n">
        <v>29</v>
      </c>
      <c r="E2857" s="42" t="n">
        <v>1</v>
      </c>
      <c r="F2857" s="42" t="inlineStr">
        <is>
          <t>FR-231</t>
        </is>
      </c>
      <c r="G2857" s="55">
        <f>IFERROR(INDEX('Semrush Data'!$A$1:$Z$20000,MATCH(A2857,'Semrush Data'!$A$1:$A$20000,0),MATCH("Volume",'Semrush Data'!$A$1:$Z$1,0)),"")</f>
        <v/>
      </c>
      <c r="H2857" s="42">
        <f>IFERROR(INDEX('Semrush Data'!$A$1:$Z$20000,MATCH(A2857,'Semrush Data'!$A$1:$A$20000,0),MATCH("Keyword Difficulty*",'Semrush Data'!$A$1:$Z$1,0)),"")</f>
        <v/>
      </c>
      <c r="I2857" s="56">
        <f>IFERROR(INDEX('Semrush Data'!$A$1:$Z$20000,MATCH(A2857,'Semrush Data'!$A$1:$A$20000,0),MATCH("CPC*",'Semrush Data'!$A$1:$Z$1,0)),"")</f>
        <v/>
      </c>
      <c r="J2857" s="42">
        <f>IFERROR(INDEX('Semrush Data'!$A$1:$Z$20000,MATCH(A2857,'Semrush Data'!$A$1:$A$20000,0),MATCH("Intent",'Semrush Data'!$A$1:$Z$1,0)),"")</f>
        <v/>
      </c>
    </row>
    <row r="2858" ht="15" customHeight="1" s="37">
      <c r="A2858" s="42" t="inlineStr">
        <is>
          <t>guerlain musc noble edp</t>
        </is>
      </c>
      <c r="B2858" s="42" t="inlineStr">
        <is>
          <t>Google suggest</t>
        </is>
      </c>
      <c r="C2858" s="42" t="n">
        <v>3</v>
      </c>
      <c r="D2858" s="42" t="n">
        <v>29</v>
      </c>
      <c r="E2858" s="42" t="n">
        <v>1</v>
      </c>
      <c r="F2858" s="42" t="inlineStr">
        <is>
          <t>FR-231</t>
        </is>
      </c>
      <c r="G2858" s="55">
        <f>IFERROR(INDEX('Semrush Data'!$A$1:$Z$20000,MATCH(A2858,'Semrush Data'!$A$1:$A$20000,0),MATCH("Volume",'Semrush Data'!$A$1:$Z$1,0)),"")</f>
        <v/>
      </c>
      <c r="H2858" s="42">
        <f>IFERROR(INDEX('Semrush Data'!$A$1:$Z$20000,MATCH(A2858,'Semrush Data'!$A$1:$A$20000,0),MATCH("Keyword Difficulty*",'Semrush Data'!$A$1:$Z$1,0)),"")</f>
        <v/>
      </c>
      <c r="I2858" s="56">
        <f>IFERROR(INDEX('Semrush Data'!$A$1:$Z$20000,MATCH(A2858,'Semrush Data'!$A$1:$A$20000,0),MATCH("CPC*",'Semrush Data'!$A$1:$Z$1,0)),"")</f>
        <v/>
      </c>
      <c r="J2858" s="42">
        <f>IFERROR(INDEX('Semrush Data'!$A$1:$Z$20000,MATCH(A2858,'Semrush Data'!$A$1:$A$20000,0),MATCH("Intent",'Semrush Data'!$A$1:$Z$1,0)),"")</f>
        <v/>
      </c>
    </row>
    <row r="2859" ht="15" customHeight="1" s="37">
      <c r="A2859" s="42" t="inlineStr">
        <is>
          <t>guerlain musc noble ingredients</t>
        </is>
      </c>
      <c r="B2859" s="42" t="inlineStr">
        <is>
          <t>Google suggest</t>
        </is>
      </c>
      <c r="C2859" s="42" t="n">
        <v>3</v>
      </c>
      <c r="D2859" s="42" t="n">
        <v>29</v>
      </c>
      <c r="E2859" s="42" t="n">
        <v>1</v>
      </c>
      <c r="F2859" s="42" t="inlineStr">
        <is>
          <t>FR-231</t>
        </is>
      </c>
      <c r="G2859" s="55">
        <f>IFERROR(INDEX('Semrush Data'!$A$1:$Z$20000,MATCH(A2859,'Semrush Data'!$A$1:$A$20000,0),MATCH("Volume",'Semrush Data'!$A$1:$Z$1,0)),"")</f>
        <v/>
      </c>
      <c r="H2859" s="42">
        <f>IFERROR(INDEX('Semrush Data'!$A$1:$Z$20000,MATCH(A2859,'Semrush Data'!$A$1:$A$20000,0),MATCH("Keyword Difficulty*",'Semrush Data'!$A$1:$Z$1,0)),"")</f>
        <v/>
      </c>
      <c r="I2859" s="56">
        <f>IFERROR(INDEX('Semrush Data'!$A$1:$Z$20000,MATCH(A2859,'Semrush Data'!$A$1:$A$20000,0),MATCH("CPC*",'Semrush Data'!$A$1:$Z$1,0)),"")</f>
        <v/>
      </c>
      <c r="J2859" s="42">
        <f>IFERROR(INDEX('Semrush Data'!$A$1:$Z$20000,MATCH(A2859,'Semrush Data'!$A$1:$A$20000,0),MATCH("Intent",'Semrush Data'!$A$1:$Z$1,0)),"")</f>
        <v/>
      </c>
    </row>
    <row r="2860" ht="15" customHeight="1" s="37">
      <c r="A2860" s="42" t="inlineStr">
        <is>
          <t>guerlain musc noble notes</t>
        </is>
      </c>
      <c r="B2860" s="42" t="inlineStr">
        <is>
          <t>Google suggest</t>
        </is>
      </c>
      <c r="C2860" s="42" t="n">
        <v>3</v>
      </c>
      <c r="D2860" s="42" t="n">
        <v>29</v>
      </c>
      <c r="E2860" s="42" t="n">
        <v>1</v>
      </c>
      <c r="F2860" s="42" t="inlineStr">
        <is>
          <t>FR-231</t>
        </is>
      </c>
      <c r="G2860" s="55">
        <f>IFERROR(INDEX('Semrush Data'!$A$1:$Z$20000,MATCH(A2860,'Semrush Data'!$A$1:$A$20000,0),MATCH("Volume",'Semrush Data'!$A$1:$Z$1,0)),"")</f>
        <v/>
      </c>
      <c r="H2860" s="42">
        <f>IFERROR(INDEX('Semrush Data'!$A$1:$Z$20000,MATCH(A2860,'Semrush Data'!$A$1:$A$20000,0),MATCH("Keyword Difficulty*",'Semrush Data'!$A$1:$Z$1,0)),"")</f>
        <v/>
      </c>
      <c r="I2860" s="56">
        <f>IFERROR(INDEX('Semrush Data'!$A$1:$Z$20000,MATCH(A2860,'Semrush Data'!$A$1:$A$20000,0),MATCH("CPC*",'Semrush Data'!$A$1:$Z$1,0)),"")</f>
        <v/>
      </c>
      <c r="J2860" s="42">
        <f>IFERROR(INDEX('Semrush Data'!$A$1:$Z$20000,MATCH(A2860,'Semrush Data'!$A$1:$A$20000,0),MATCH("Intent",'Semrush Data'!$A$1:$Z$1,0)),"")</f>
        <v/>
      </c>
    </row>
    <row r="2861" ht="15" customHeight="1" s="37">
      <c r="A2861" s="42" t="inlineStr">
        <is>
          <t>guerlain musc noble review</t>
        </is>
      </c>
      <c r="B2861" s="42" t="inlineStr">
        <is>
          <t>Google suggest</t>
        </is>
      </c>
      <c r="C2861" s="42" t="n">
        <v>3</v>
      </c>
      <c r="D2861" s="42" t="n">
        <v>29</v>
      </c>
      <c r="E2861" s="42" t="n">
        <v>1</v>
      </c>
      <c r="F2861" s="42" t="inlineStr">
        <is>
          <t>FR-231</t>
        </is>
      </c>
      <c r="G2861" s="55">
        <f>IFERROR(INDEX('Semrush Data'!$A$1:$Z$20000,MATCH(A2861,'Semrush Data'!$A$1:$A$20000,0),MATCH("Volume",'Semrush Data'!$A$1:$Z$1,0)),"")</f>
        <v/>
      </c>
      <c r="H2861" s="42">
        <f>IFERROR(INDEX('Semrush Data'!$A$1:$Z$20000,MATCH(A2861,'Semrush Data'!$A$1:$A$20000,0),MATCH("Keyword Difficulty*",'Semrush Data'!$A$1:$Z$1,0)),"")</f>
        <v/>
      </c>
      <c r="I2861" s="56">
        <f>IFERROR(INDEX('Semrush Data'!$A$1:$Z$20000,MATCH(A2861,'Semrush Data'!$A$1:$A$20000,0),MATCH("CPC*",'Semrush Data'!$A$1:$Z$1,0)),"")</f>
        <v/>
      </c>
      <c r="J2861" s="42">
        <f>IFERROR(INDEX('Semrush Data'!$A$1:$Z$20000,MATCH(A2861,'Semrush Data'!$A$1:$A$20000,0),MATCH("Intent",'Semrush Data'!$A$1:$Z$1,0)),"")</f>
        <v/>
      </c>
    </row>
    <row r="2862" ht="15" customHeight="1" s="37">
      <c r="A2862" s="42" t="inlineStr">
        <is>
          <t>guerlain oud essentiel edp</t>
        </is>
      </c>
      <c r="B2862" s="42" t="inlineStr">
        <is>
          <t>Google suggest</t>
        </is>
      </c>
      <c r="C2862" s="42" t="n">
        <v>3</v>
      </c>
      <c r="D2862" s="42" t="n">
        <v>29</v>
      </c>
      <c r="E2862" s="42" t="n">
        <v>1</v>
      </c>
      <c r="F2862" s="42" t="inlineStr">
        <is>
          <t>FR-232</t>
        </is>
      </c>
      <c r="G2862" s="55">
        <f>IFERROR(INDEX('Semrush Data'!$A$1:$Z$20000,MATCH(A2862,'Semrush Data'!$A$1:$A$20000,0),MATCH("Volume",'Semrush Data'!$A$1:$Z$1,0)),"")</f>
        <v/>
      </c>
      <c r="H2862" s="42">
        <f>IFERROR(INDEX('Semrush Data'!$A$1:$Z$20000,MATCH(A2862,'Semrush Data'!$A$1:$A$20000,0),MATCH("Keyword Difficulty*",'Semrush Data'!$A$1:$Z$1,0)),"")</f>
        <v/>
      </c>
      <c r="I2862" s="56">
        <f>IFERROR(INDEX('Semrush Data'!$A$1:$Z$20000,MATCH(A2862,'Semrush Data'!$A$1:$A$20000,0),MATCH("CPC*",'Semrush Data'!$A$1:$Z$1,0)),"")</f>
        <v/>
      </c>
      <c r="J2862" s="42">
        <f>IFERROR(INDEX('Semrush Data'!$A$1:$Z$20000,MATCH(A2862,'Semrush Data'!$A$1:$A$20000,0),MATCH("Intent",'Semrush Data'!$A$1:$Z$1,0)),"")</f>
        <v/>
      </c>
    </row>
    <row r="2863" ht="15" customHeight="1" s="37">
      <c r="A2863" s="42" t="inlineStr">
        <is>
          <t>guerlain oud essentiel notes</t>
        </is>
      </c>
      <c r="B2863" s="42" t="inlineStr">
        <is>
          <t>Google suggest</t>
        </is>
      </c>
      <c r="C2863" s="42" t="n">
        <v>3</v>
      </c>
      <c r="D2863" s="42" t="inlineStr">
        <is>
          <t>T3-1</t>
        </is>
      </c>
      <c r="E2863" s="42" t="n">
        <v>1</v>
      </c>
      <c r="F2863" s="42" t="inlineStr">
        <is>
          <t>FR-232</t>
        </is>
      </c>
      <c r="G2863" s="55">
        <f>IFERROR(INDEX('Semrush Data'!$A$1:$Z$20000,MATCH(A2863,'Semrush Data'!$A$1:$A$20000,0),MATCH("Volume",'Semrush Data'!$A$1:$Z$1,0)),"")</f>
        <v/>
      </c>
      <c r="H2863" s="42">
        <f>IFERROR(INDEX('Semrush Data'!$A$1:$Z$20000,MATCH(A2863,'Semrush Data'!$A$1:$A$20000,0),MATCH("Keyword Difficulty*",'Semrush Data'!$A$1:$Z$1,0)),"")</f>
        <v/>
      </c>
      <c r="I2863" s="56">
        <f>IFERROR(INDEX('Semrush Data'!$A$1:$Z$20000,MATCH(A2863,'Semrush Data'!$A$1:$A$20000,0),MATCH("CPC*",'Semrush Data'!$A$1:$Z$1,0)),"")</f>
        <v/>
      </c>
      <c r="J2863" s="42">
        <f>IFERROR(INDEX('Semrush Data'!$A$1:$Z$20000,MATCH(A2863,'Semrush Data'!$A$1:$A$20000,0),MATCH("Intent",'Semrush Data'!$A$1:$Z$1,0)),"")</f>
        <v/>
      </c>
    </row>
    <row r="2864" ht="15" customHeight="1" s="37">
      <c r="A2864" s="42" t="inlineStr">
        <is>
          <t>guerlain oud essentiel perfume</t>
        </is>
      </c>
      <c r="B2864" s="42" t="inlineStr">
        <is>
          <t>Google suggest</t>
        </is>
      </c>
      <c r="C2864" s="42" t="n">
        <v>3</v>
      </c>
      <c r="D2864" s="42" t="n">
        <v>29</v>
      </c>
      <c r="E2864" s="42" t="n">
        <v>1</v>
      </c>
      <c r="F2864" s="42" t="inlineStr">
        <is>
          <t>FR-232</t>
        </is>
      </c>
      <c r="G2864" s="55">
        <f>IFERROR(INDEX('Semrush Data'!$A$1:$Z$20000,MATCH(A2864,'Semrush Data'!$A$1:$A$20000,0),MATCH("Volume",'Semrush Data'!$A$1:$Z$1,0)),"")</f>
        <v/>
      </c>
      <c r="H2864" s="42">
        <f>IFERROR(INDEX('Semrush Data'!$A$1:$Z$20000,MATCH(A2864,'Semrush Data'!$A$1:$A$20000,0),MATCH("Keyword Difficulty*",'Semrush Data'!$A$1:$Z$1,0)),"")</f>
        <v/>
      </c>
      <c r="I2864" s="56">
        <f>IFERROR(INDEX('Semrush Data'!$A$1:$Z$20000,MATCH(A2864,'Semrush Data'!$A$1:$A$20000,0),MATCH("CPC*",'Semrush Data'!$A$1:$Z$1,0)),"")</f>
        <v/>
      </c>
      <c r="J2864" s="42">
        <f>IFERROR(INDEX('Semrush Data'!$A$1:$Z$20000,MATCH(A2864,'Semrush Data'!$A$1:$A$20000,0),MATCH("Intent",'Semrush Data'!$A$1:$Z$1,0)),"")</f>
        <v/>
      </c>
    </row>
    <row r="2865" ht="15" customHeight="1" s="37">
      <c r="A2865" s="42" t="inlineStr">
        <is>
          <t>guerlain oud essentiel review</t>
        </is>
      </c>
      <c r="B2865" s="42" t="inlineStr">
        <is>
          <t>Google suggest</t>
        </is>
      </c>
      <c r="C2865" s="42" t="n">
        <v>3</v>
      </c>
      <c r="D2865" s="42" t="inlineStr">
        <is>
          <t>T3-1</t>
        </is>
      </c>
      <c r="E2865" s="42" t="n">
        <v>1</v>
      </c>
      <c r="F2865" s="42" t="inlineStr">
        <is>
          <t>FR-232</t>
        </is>
      </c>
      <c r="G2865" s="55">
        <f>IFERROR(INDEX('Semrush Data'!$A$1:$Z$20000,MATCH(A2865,'Semrush Data'!$A$1:$A$20000,0),MATCH("Volume",'Semrush Data'!$A$1:$Z$1,0)),"")</f>
        <v/>
      </c>
      <c r="H2865" s="42">
        <f>IFERROR(INDEX('Semrush Data'!$A$1:$Z$20000,MATCH(A2865,'Semrush Data'!$A$1:$A$20000,0),MATCH("Keyword Difficulty*",'Semrush Data'!$A$1:$Z$1,0)),"")</f>
        <v/>
      </c>
      <c r="I2865" s="56">
        <f>IFERROR(INDEX('Semrush Data'!$A$1:$Z$20000,MATCH(A2865,'Semrush Data'!$A$1:$A$20000,0),MATCH("CPC*",'Semrush Data'!$A$1:$Z$1,0)),"")</f>
        <v/>
      </c>
      <c r="J2865" s="42">
        <f>IFERROR(INDEX('Semrush Data'!$A$1:$Z$20000,MATCH(A2865,'Semrush Data'!$A$1:$A$20000,0),MATCH("Intent",'Semrush Data'!$A$1:$Z$1,0)),"")</f>
        <v/>
      </c>
    </row>
    <row r="2866" ht="15" customHeight="1" s="37">
      <c r="A2866" s="42" t="inlineStr">
        <is>
          <t>guerlain perfume la petite robe noire price</t>
        </is>
      </c>
      <c r="B2866" s="42" t="inlineStr">
        <is>
          <t>Google suggest</t>
        </is>
      </c>
      <c r="C2866" s="42" t="n">
        <v>3</v>
      </c>
      <c r="D2866" s="42" t="n">
        <v>29</v>
      </c>
      <c r="E2866" s="42" t="n">
        <v>1</v>
      </c>
      <c r="F2866" s="42" t="inlineStr">
        <is>
          <t>FR-235</t>
        </is>
      </c>
      <c r="G2866" s="55">
        <f>IFERROR(INDEX('Semrush Data'!$A$1:$Z$20000,MATCH(A2866,'Semrush Data'!$A$1:$A$20000,0),MATCH("Volume",'Semrush Data'!$A$1:$Z$1,0)),"")</f>
        <v/>
      </c>
      <c r="H2866" s="42">
        <f>IFERROR(INDEX('Semrush Data'!$A$1:$Z$20000,MATCH(A2866,'Semrush Data'!$A$1:$A$20000,0),MATCH("Keyword Difficulty*",'Semrush Data'!$A$1:$Z$1,0)),"")</f>
        <v/>
      </c>
      <c r="I2866" s="56">
        <f>IFERROR(INDEX('Semrush Data'!$A$1:$Z$20000,MATCH(A2866,'Semrush Data'!$A$1:$A$20000,0),MATCH("CPC*",'Semrush Data'!$A$1:$Z$1,0)),"")</f>
        <v/>
      </c>
      <c r="J2866" s="42">
        <f>IFERROR(INDEX('Semrush Data'!$A$1:$Z$20000,MATCH(A2866,'Semrush Data'!$A$1:$A$20000,0),MATCH("Intent",'Semrush Data'!$A$1:$Z$1,0)),"")</f>
        <v/>
      </c>
    </row>
    <row r="2867" ht="15" customHeight="1" s="37">
      <c r="A2867" s="42" t="inlineStr">
        <is>
          <t>guerlain samsara edp</t>
        </is>
      </c>
      <c r="B2867" s="42" t="inlineStr">
        <is>
          <t>Google suggest</t>
        </is>
      </c>
      <c r="C2867" s="42" t="n">
        <v>3</v>
      </c>
      <c r="D2867" s="42" t="n">
        <v>29</v>
      </c>
      <c r="E2867" s="42" t="n">
        <v>1</v>
      </c>
      <c r="F2867" s="42" t="inlineStr">
        <is>
          <t>FR-233</t>
        </is>
      </c>
      <c r="G2867" s="55">
        <f>IFERROR(INDEX('Semrush Data'!$A$1:$Z$20000,MATCH(A2867,'Semrush Data'!$A$1:$A$20000,0),MATCH("Volume",'Semrush Data'!$A$1:$Z$1,0)),"")</f>
        <v/>
      </c>
      <c r="H2867" s="42">
        <f>IFERROR(INDEX('Semrush Data'!$A$1:$Z$20000,MATCH(A2867,'Semrush Data'!$A$1:$A$20000,0),MATCH("Keyword Difficulty*",'Semrush Data'!$A$1:$Z$1,0)),"")</f>
        <v/>
      </c>
      <c r="I2867" s="56">
        <f>IFERROR(INDEX('Semrush Data'!$A$1:$Z$20000,MATCH(A2867,'Semrush Data'!$A$1:$A$20000,0),MATCH("CPC*",'Semrush Data'!$A$1:$Z$1,0)),"")</f>
        <v/>
      </c>
      <c r="J2867" s="42">
        <f>IFERROR(INDEX('Semrush Data'!$A$1:$Z$20000,MATCH(A2867,'Semrush Data'!$A$1:$A$20000,0),MATCH("Intent",'Semrush Data'!$A$1:$Z$1,0)),"")</f>
        <v/>
      </c>
    </row>
    <row r="2868" ht="15" customHeight="1" s="37">
      <c r="A2868" s="42" t="inlineStr">
        <is>
          <t>guerlain samsara edt</t>
        </is>
      </c>
      <c r="B2868" s="42" t="inlineStr">
        <is>
          <t>Google suggest</t>
        </is>
      </c>
      <c r="C2868" s="42" t="n">
        <v>3</v>
      </c>
      <c r="D2868" s="42" t="n">
        <v>29</v>
      </c>
      <c r="E2868" s="42" t="n">
        <v>1</v>
      </c>
      <c r="F2868" s="42" t="inlineStr">
        <is>
          <t>FR-233</t>
        </is>
      </c>
      <c r="G2868" s="55">
        <f>IFERROR(INDEX('Semrush Data'!$A$1:$Z$20000,MATCH(A2868,'Semrush Data'!$A$1:$A$20000,0),MATCH("Volume",'Semrush Data'!$A$1:$Z$1,0)),"")</f>
        <v/>
      </c>
      <c r="H2868" s="42">
        <f>IFERROR(INDEX('Semrush Data'!$A$1:$Z$20000,MATCH(A2868,'Semrush Data'!$A$1:$A$20000,0),MATCH("Keyword Difficulty*",'Semrush Data'!$A$1:$Z$1,0)),"")</f>
        <v/>
      </c>
      <c r="I2868" s="56">
        <f>IFERROR(INDEX('Semrush Data'!$A$1:$Z$20000,MATCH(A2868,'Semrush Data'!$A$1:$A$20000,0),MATCH("CPC*",'Semrush Data'!$A$1:$Z$1,0)),"")</f>
        <v/>
      </c>
      <c r="J2868" s="42">
        <f>IFERROR(INDEX('Semrush Data'!$A$1:$Z$20000,MATCH(A2868,'Semrush Data'!$A$1:$A$20000,0),MATCH("Intent",'Semrush Data'!$A$1:$Z$1,0)),"")</f>
        <v/>
      </c>
    </row>
    <row r="2869" ht="15" customHeight="1" s="37">
      <c r="A2869" s="42" t="inlineStr">
        <is>
          <t>guerlain samsara notes</t>
        </is>
      </c>
      <c r="B2869" s="42" t="inlineStr">
        <is>
          <t>Google suggest</t>
        </is>
      </c>
      <c r="C2869" s="42" t="n">
        <v>3</v>
      </c>
      <c r="D2869" s="42" t="inlineStr">
        <is>
          <t>T3-1</t>
        </is>
      </c>
      <c r="E2869" s="42" t="n">
        <v>1</v>
      </c>
      <c r="F2869" s="42" t="inlineStr">
        <is>
          <t>FR-233</t>
        </is>
      </c>
      <c r="G2869" s="55">
        <f>IFERROR(INDEX('Semrush Data'!$A$1:$Z$20000,MATCH(A2869,'Semrush Data'!$A$1:$A$20000,0),MATCH("Volume",'Semrush Data'!$A$1:$Z$1,0)),"")</f>
        <v/>
      </c>
      <c r="H2869" s="42">
        <f>IFERROR(INDEX('Semrush Data'!$A$1:$Z$20000,MATCH(A2869,'Semrush Data'!$A$1:$A$20000,0),MATCH("Keyword Difficulty*",'Semrush Data'!$A$1:$Z$1,0)),"")</f>
        <v/>
      </c>
      <c r="I2869" s="56">
        <f>IFERROR(INDEX('Semrush Data'!$A$1:$Z$20000,MATCH(A2869,'Semrush Data'!$A$1:$A$20000,0),MATCH("CPC*",'Semrush Data'!$A$1:$Z$1,0)),"")</f>
        <v/>
      </c>
      <c r="J2869" s="42">
        <f>IFERROR(INDEX('Semrush Data'!$A$1:$Z$20000,MATCH(A2869,'Semrush Data'!$A$1:$A$20000,0),MATCH("Intent",'Semrush Data'!$A$1:$Z$1,0)),"")</f>
        <v/>
      </c>
    </row>
    <row r="2870" ht="15" customHeight="1" s="37">
      <c r="A2870" s="42" t="inlineStr">
        <is>
          <t>guerlain samsara original</t>
        </is>
      </c>
      <c r="B2870" s="42" t="inlineStr">
        <is>
          <t>Google suggest</t>
        </is>
      </c>
      <c r="C2870" s="42" t="n">
        <v>3</v>
      </c>
      <c r="D2870" s="42" t="inlineStr">
        <is>
          <t>T3-2</t>
        </is>
      </c>
      <c r="E2870" s="42" t="n">
        <v>1</v>
      </c>
      <c r="F2870" s="42" t="inlineStr">
        <is>
          <t>FR-233</t>
        </is>
      </c>
      <c r="G2870" s="55">
        <f>IFERROR(INDEX('Semrush Data'!$A$1:$Z$20000,MATCH(A2870,'Semrush Data'!$A$1:$A$20000,0),MATCH("Volume",'Semrush Data'!$A$1:$Z$1,0)),"")</f>
        <v/>
      </c>
      <c r="H2870" s="42">
        <f>IFERROR(INDEX('Semrush Data'!$A$1:$Z$20000,MATCH(A2870,'Semrush Data'!$A$1:$A$20000,0),MATCH("Keyword Difficulty*",'Semrush Data'!$A$1:$Z$1,0)),"")</f>
        <v/>
      </c>
      <c r="I2870" s="56">
        <f>IFERROR(INDEX('Semrush Data'!$A$1:$Z$20000,MATCH(A2870,'Semrush Data'!$A$1:$A$20000,0),MATCH("CPC*",'Semrush Data'!$A$1:$Z$1,0)),"")</f>
        <v/>
      </c>
      <c r="J2870" s="42">
        <f>IFERROR(INDEX('Semrush Data'!$A$1:$Z$20000,MATCH(A2870,'Semrush Data'!$A$1:$A$20000,0),MATCH("Intent",'Semrush Data'!$A$1:$Z$1,0)),"")</f>
        <v/>
      </c>
    </row>
    <row r="2871" ht="15" customHeight="1" s="37">
      <c r="A2871" s="42" t="inlineStr">
        <is>
          <t>guerlain samsara perfume</t>
        </is>
      </c>
      <c r="B2871" s="42" t="inlineStr">
        <is>
          <t>Google suggest</t>
        </is>
      </c>
      <c r="C2871" s="42" t="n">
        <v>3</v>
      </c>
      <c r="D2871" s="42" t="n">
        <v>29</v>
      </c>
      <c r="E2871" s="42" t="n">
        <v>1</v>
      </c>
      <c r="F2871" s="42" t="inlineStr">
        <is>
          <t>FR-233</t>
        </is>
      </c>
      <c r="G2871" s="55">
        <f>IFERROR(INDEX('Semrush Data'!$A$1:$Z$20000,MATCH(A2871,'Semrush Data'!$A$1:$A$20000,0),MATCH("Volume",'Semrush Data'!$A$1:$Z$1,0)),"")</f>
        <v/>
      </c>
      <c r="H2871" s="42">
        <f>IFERROR(INDEX('Semrush Data'!$A$1:$Z$20000,MATCH(A2871,'Semrush Data'!$A$1:$A$20000,0),MATCH("Keyword Difficulty*",'Semrush Data'!$A$1:$Z$1,0)),"")</f>
        <v/>
      </c>
      <c r="I2871" s="56">
        <f>IFERROR(INDEX('Semrush Data'!$A$1:$Z$20000,MATCH(A2871,'Semrush Data'!$A$1:$A$20000,0),MATCH("CPC*",'Semrush Data'!$A$1:$Z$1,0)),"")</f>
        <v/>
      </c>
      <c r="J2871" s="42">
        <f>IFERROR(INDEX('Semrush Data'!$A$1:$Z$20000,MATCH(A2871,'Semrush Data'!$A$1:$A$20000,0),MATCH("Intent",'Semrush Data'!$A$1:$Z$1,0)),"")</f>
        <v/>
      </c>
    </row>
    <row r="2872" ht="15" customHeight="1" s="37">
      <c r="A2872" s="42" t="inlineStr">
        <is>
          <t>hemel dorado perfume</t>
        </is>
      </c>
      <c r="B2872" s="42" t="inlineStr">
        <is>
          <t>Google suggest</t>
        </is>
      </c>
      <c r="C2872" s="42" t="n">
        <v>3</v>
      </c>
      <c r="D2872" s="42" t="n">
        <v>29</v>
      </c>
      <c r="E2872" s="42" t="n">
        <v>1</v>
      </c>
      <c r="F2872" s="42" t="inlineStr">
        <is>
          <t>FR-239</t>
        </is>
      </c>
      <c r="G2872" s="55">
        <f>IFERROR(INDEX('Semrush Data'!$A$1:$Z$20000,MATCH(A2872,'Semrush Data'!$A$1:$A$20000,0),MATCH("Volume",'Semrush Data'!$A$1:$Z$1,0)),"")</f>
        <v/>
      </c>
      <c r="H2872" s="42">
        <f>IFERROR(INDEX('Semrush Data'!$A$1:$Z$20000,MATCH(A2872,'Semrush Data'!$A$1:$A$20000,0),MATCH("Keyword Difficulty*",'Semrush Data'!$A$1:$Z$1,0)),"")</f>
        <v/>
      </c>
      <c r="I2872" s="56">
        <f>IFERROR(INDEX('Semrush Data'!$A$1:$Z$20000,MATCH(A2872,'Semrush Data'!$A$1:$A$20000,0),MATCH("CPC*",'Semrush Data'!$A$1:$Z$1,0)),"")</f>
        <v/>
      </c>
      <c r="J2872" s="42">
        <f>IFERROR(INDEX('Semrush Data'!$A$1:$Z$20000,MATCH(A2872,'Semrush Data'!$A$1:$A$20000,0),MATCH("Intent",'Semrush Data'!$A$1:$Z$1,0)),"")</f>
        <v/>
      </c>
    </row>
    <row r="2873" ht="15" customHeight="1" s="37">
      <c r="A2873" s="42" t="inlineStr">
        <is>
          <t>hemel gris edp</t>
        </is>
      </c>
      <c r="B2873" s="42" t="inlineStr">
        <is>
          <t>Google suggest</t>
        </is>
      </c>
      <c r="C2873" s="42" t="n">
        <v>3</v>
      </c>
      <c r="D2873" s="42" t="n">
        <v>29</v>
      </c>
      <c r="E2873" s="42" t="n">
        <v>1</v>
      </c>
      <c r="F2873" s="42" t="inlineStr">
        <is>
          <t>FR-244</t>
        </is>
      </c>
      <c r="G2873" s="55">
        <f>IFERROR(INDEX('Semrush Data'!$A$1:$Z$20000,MATCH(A2873,'Semrush Data'!$A$1:$A$20000,0),MATCH("Volume",'Semrush Data'!$A$1:$Z$1,0)),"")</f>
        <v/>
      </c>
      <c r="H2873" s="42">
        <f>IFERROR(INDEX('Semrush Data'!$A$1:$Z$20000,MATCH(A2873,'Semrush Data'!$A$1:$A$20000,0),MATCH("Keyword Difficulty*",'Semrush Data'!$A$1:$Z$1,0)),"")</f>
        <v/>
      </c>
      <c r="I2873" s="56">
        <f>IFERROR(INDEX('Semrush Data'!$A$1:$Z$20000,MATCH(A2873,'Semrush Data'!$A$1:$A$20000,0),MATCH("CPC*",'Semrush Data'!$A$1:$Z$1,0)),"")</f>
        <v/>
      </c>
      <c r="J2873" s="42">
        <f>IFERROR(INDEX('Semrush Data'!$A$1:$Z$20000,MATCH(A2873,'Semrush Data'!$A$1:$A$20000,0),MATCH("Intent",'Semrush Data'!$A$1:$Z$1,0)),"")</f>
        <v/>
      </c>
    </row>
    <row r="2874" ht="15" customHeight="1" s="37">
      <c r="A2874" s="42" t="inlineStr">
        <is>
          <t>hemel gris perfume</t>
        </is>
      </c>
      <c r="B2874" s="42" t="inlineStr">
        <is>
          <t>Google suggest</t>
        </is>
      </c>
      <c r="C2874" s="42" t="n">
        <v>3</v>
      </c>
      <c r="D2874" s="42" t="n">
        <v>29</v>
      </c>
      <c r="E2874" s="42" t="n">
        <v>1</v>
      </c>
      <c r="F2874" s="42" t="inlineStr">
        <is>
          <t>FR-244</t>
        </is>
      </c>
      <c r="G2874" s="55">
        <f>IFERROR(INDEX('Semrush Data'!$A$1:$Z$20000,MATCH(A2874,'Semrush Data'!$A$1:$A$20000,0),MATCH("Volume",'Semrush Data'!$A$1:$Z$1,0)),"")</f>
        <v/>
      </c>
      <c r="H2874" s="42">
        <f>IFERROR(INDEX('Semrush Data'!$A$1:$Z$20000,MATCH(A2874,'Semrush Data'!$A$1:$A$20000,0),MATCH("Keyword Difficulty*",'Semrush Data'!$A$1:$Z$1,0)),"")</f>
        <v/>
      </c>
      <c r="I2874" s="56">
        <f>IFERROR(INDEX('Semrush Data'!$A$1:$Z$20000,MATCH(A2874,'Semrush Data'!$A$1:$A$20000,0),MATCH("CPC*",'Semrush Data'!$A$1:$Z$1,0)),"")</f>
        <v/>
      </c>
      <c r="J2874" s="42">
        <f>IFERROR(INDEX('Semrush Data'!$A$1:$Z$20000,MATCH(A2874,'Semrush Data'!$A$1:$A$20000,0),MATCH("Intent",'Semrush Data'!$A$1:$Z$1,0)),"")</f>
        <v/>
      </c>
    </row>
    <row r="2875" ht="15" customHeight="1" s="37">
      <c r="A2875" s="42" t="inlineStr">
        <is>
          <t>hemel patchouli for all review</t>
        </is>
      </c>
      <c r="B2875" s="42" t="inlineStr">
        <is>
          <t>Google suggest</t>
        </is>
      </c>
      <c r="C2875" s="42" t="n">
        <v>3</v>
      </c>
      <c r="D2875" s="42" t="n">
        <v>29</v>
      </c>
      <c r="E2875" s="42" t="n">
        <v>2</v>
      </c>
      <c r="F2875" s="42" t="inlineStr">
        <is>
          <t>FR-247, FR-248</t>
        </is>
      </c>
      <c r="G2875" s="55">
        <f>IFERROR(INDEX('Semrush Data'!$A$1:$Z$20000,MATCH(A2875,'Semrush Data'!$A$1:$A$20000,0),MATCH("Volume",'Semrush Data'!$A$1:$Z$1,0)),"")</f>
        <v/>
      </c>
      <c r="H2875" s="42">
        <f>IFERROR(INDEX('Semrush Data'!$A$1:$Z$20000,MATCH(A2875,'Semrush Data'!$A$1:$A$20000,0),MATCH("Keyword Difficulty*",'Semrush Data'!$A$1:$Z$1,0)),"")</f>
        <v/>
      </c>
      <c r="I2875" s="56">
        <f>IFERROR(INDEX('Semrush Data'!$A$1:$Z$20000,MATCH(A2875,'Semrush Data'!$A$1:$A$20000,0),MATCH("CPC*",'Semrush Data'!$A$1:$Z$1,0)),"")</f>
        <v/>
      </c>
      <c r="J2875" s="42">
        <f>IFERROR(INDEX('Semrush Data'!$A$1:$Z$20000,MATCH(A2875,'Semrush Data'!$A$1:$A$20000,0),MATCH("Intent",'Semrush Data'!$A$1:$Z$1,0)),"")</f>
        <v/>
      </c>
    </row>
    <row r="2876" ht="15" customHeight="1" s="37">
      <c r="A2876" s="42" t="inlineStr">
        <is>
          <t>hemel rosado perfume</t>
        </is>
      </c>
      <c r="B2876" s="42" t="inlineStr">
        <is>
          <t>Google suggest</t>
        </is>
      </c>
      <c r="C2876" s="42" t="n">
        <v>3</v>
      </c>
      <c r="D2876" s="42" t="n">
        <v>29</v>
      </c>
      <c r="E2876" s="42" t="n">
        <v>2</v>
      </c>
      <c r="F2876" s="42" t="inlineStr">
        <is>
          <t>FR-251, FR-252</t>
        </is>
      </c>
      <c r="G2876" s="55">
        <f>IFERROR(INDEX('Semrush Data'!$A$1:$Z$20000,MATCH(A2876,'Semrush Data'!$A$1:$A$20000,0),MATCH("Volume",'Semrush Data'!$A$1:$Z$1,0)),"")</f>
        <v/>
      </c>
      <c r="H2876" s="42">
        <f>IFERROR(INDEX('Semrush Data'!$A$1:$Z$20000,MATCH(A2876,'Semrush Data'!$A$1:$A$20000,0),MATCH("Keyword Difficulty*",'Semrush Data'!$A$1:$Z$1,0)),"")</f>
        <v/>
      </c>
      <c r="I2876" s="56">
        <f>IFERROR(INDEX('Semrush Data'!$A$1:$Z$20000,MATCH(A2876,'Semrush Data'!$A$1:$A$20000,0),MATCH("CPC*",'Semrush Data'!$A$1:$Z$1,0)),"")</f>
        <v/>
      </c>
      <c r="J2876" s="42">
        <f>IFERROR(INDEX('Semrush Data'!$A$1:$Z$20000,MATCH(A2876,'Semrush Data'!$A$1:$A$20000,0),MATCH("Intent",'Semrush Data'!$A$1:$Z$1,0)),"")</f>
        <v/>
      </c>
    </row>
    <row r="2877" ht="15" customHeight="1" s="37">
      <c r="A2877" s="42" t="inlineStr">
        <is>
          <t>hemel valley of diamond edp</t>
        </is>
      </c>
      <c r="B2877" s="42" t="inlineStr">
        <is>
          <t>Google suggest</t>
        </is>
      </c>
      <c r="C2877" s="42" t="n">
        <v>3</v>
      </c>
      <c r="D2877" s="42" t="n">
        <v>29</v>
      </c>
      <c r="E2877" s="42" t="n">
        <v>2</v>
      </c>
      <c r="F2877" s="42" t="inlineStr">
        <is>
          <t>FR-253, FR-254</t>
        </is>
      </c>
      <c r="G2877" s="55">
        <f>IFERROR(INDEX('Semrush Data'!$A$1:$Z$20000,MATCH(A2877,'Semrush Data'!$A$1:$A$20000,0),MATCH("Volume",'Semrush Data'!$A$1:$Z$1,0)),"")</f>
        <v/>
      </c>
      <c r="H2877" s="42">
        <f>IFERROR(INDEX('Semrush Data'!$A$1:$Z$20000,MATCH(A2877,'Semrush Data'!$A$1:$A$20000,0),MATCH("Keyword Difficulty*",'Semrush Data'!$A$1:$Z$1,0)),"")</f>
        <v/>
      </c>
      <c r="I2877" s="56">
        <f>IFERROR(INDEX('Semrush Data'!$A$1:$Z$20000,MATCH(A2877,'Semrush Data'!$A$1:$A$20000,0),MATCH("CPC*",'Semrush Data'!$A$1:$Z$1,0)),"")</f>
        <v/>
      </c>
      <c r="J2877" s="42">
        <f>IFERROR(INDEX('Semrush Data'!$A$1:$Z$20000,MATCH(A2877,'Semrush Data'!$A$1:$A$20000,0),MATCH("Intent",'Semrush Data'!$A$1:$Z$1,0)),"")</f>
        <v/>
      </c>
    </row>
    <row r="2878" ht="15" customHeight="1" s="37">
      <c r="A2878" s="42" t="inlineStr">
        <is>
          <t>hermes un jardin sur le toit mini</t>
        </is>
      </c>
      <c r="B2878" s="42" t="inlineStr">
        <is>
          <t>Google suggest</t>
        </is>
      </c>
      <c r="C2878" s="42" t="n">
        <v>3</v>
      </c>
      <c r="D2878" s="42" t="n">
        <v>29</v>
      </c>
      <c r="E2878" s="42" t="n">
        <v>1</v>
      </c>
      <c r="F2878" s="42" t="inlineStr">
        <is>
          <t>FR-337</t>
        </is>
      </c>
      <c r="G2878" s="55">
        <f>IFERROR(INDEX('Semrush Data'!$A$1:$Z$20000,MATCH(A2878,'Semrush Data'!$A$1:$A$20000,0),MATCH("Volume",'Semrush Data'!$A$1:$Z$1,0)),"")</f>
        <v/>
      </c>
      <c r="H2878" s="42">
        <f>IFERROR(INDEX('Semrush Data'!$A$1:$Z$20000,MATCH(A2878,'Semrush Data'!$A$1:$A$20000,0),MATCH("Keyword Difficulty*",'Semrush Data'!$A$1:$Z$1,0)),"")</f>
        <v/>
      </c>
      <c r="I2878" s="56">
        <f>IFERROR(INDEX('Semrush Data'!$A$1:$Z$20000,MATCH(A2878,'Semrush Data'!$A$1:$A$20000,0),MATCH("CPC*",'Semrush Data'!$A$1:$Z$1,0)),"")</f>
        <v/>
      </c>
      <c r="J2878" s="42">
        <f>IFERROR(INDEX('Semrush Data'!$A$1:$Z$20000,MATCH(A2878,'Semrush Data'!$A$1:$A$20000,0),MATCH("Intent",'Semrush Data'!$A$1:$Z$1,0)),"")</f>
        <v/>
      </c>
    </row>
    <row r="2879" ht="15" customHeight="1" s="37">
      <c r="A2879" s="42" t="inlineStr">
        <is>
          <t>hollister festival vibes notes</t>
        </is>
      </c>
      <c r="B2879" s="42" t="inlineStr">
        <is>
          <t>Google suggest</t>
        </is>
      </c>
      <c r="C2879" s="42" t="n">
        <v>3</v>
      </c>
      <c r="D2879" s="42" t="n">
        <v>29</v>
      </c>
      <c r="E2879" s="42" t="n">
        <v>1</v>
      </c>
      <c r="F2879" s="42" t="inlineStr">
        <is>
          <t>FR-256</t>
        </is>
      </c>
      <c r="G2879" s="55">
        <f>IFERROR(INDEX('Semrush Data'!$A$1:$Z$20000,MATCH(A2879,'Semrush Data'!$A$1:$A$20000,0),MATCH("Volume",'Semrush Data'!$A$1:$Z$1,0)),"")</f>
        <v/>
      </c>
      <c r="H2879" s="42">
        <f>IFERROR(INDEX('Semrush Data'!$A$1:$Z$20000,MATCH(A2879,'Semrush Data'!$A$1:$A$20000,0),MATCH("Keyword Difficulty*",'Semrush Data'!$A$1:$Z$1,0)),"")</f>
        <v/>
      </c>
      <c r="I2879" s="56">
        <f>IFERROR(INDEX('Semrush Data'!$A$1:$Z$20000,MATCH(A2879,'Semrush Data'!$A$1:$A$20000,0),MATCH("CPC*",'Semrush Data'!$A$1:$Z$1,0)),"")</f>
        <v/>
      </c>
      <c r="J2879" s="42">
        <f>IFERROR(INDEX('Semrush Data'!$A$1:$Z$20000,MATCH(A2879,'Semrush Data'!$A$1:$A$20000,0),MATCH("Intent",'Semrush Data'!$A$1:$Z$1,0)),"")</f>
        <v/>
      </c>
    </row>
    <row r="2880" ht="15" customHeight="1" s="37">
      <c r="A2880" s="42" t="inlineStr">
        <is>
          <t>hollister festival vibes perfume</t>
        </is>
      </c>
      <c r="B2880" s="42" t="inlineStr">
        <is>
          <t>Google suggest</t>
        </is>
      </c>
      <c r="C2880" s="42" t="n">
        <v>3</v>
      </c>
      <c r="D2880" s="42" t="n">
        <v>29</v>
      </c>
      <c r="E2880" s="42" t="n">
        <v>1</v>
      </c>
      <c r="F2880" s="42" t="inlineStr">
        <is>
          <t>FR-256</t>
        </is>
      </c>
      <c r="G2880" s="55">
        <f>IFERROR(INDEX('Semrush Data'!$A$1:$Z$20000,MATCH(A2880,'Semrush Data'!$A$1:$A$20000,0),MATCH("Volume",'Semrush Data'!$A$1:$Z$1,0)),"")</f>
        <v/>
      </c>
      <c r="H2880" s="42">
        <f>IFERROR(INDEX('Semrush Data'!$A$1:$Z$20000,MATCH(A2880,'Semrush Data'!$A$1:$A$20000,0),MATCH("Keyword Difficulty*",'Semrush Data'!$A$1:$Z$1,0)),"")</f>
        <v/>
      </c>
      <c r="I2880" s="56">
        <f>IFERROR(INDEX('Semrush Data'!$A$1:$Z$20000,MATCH(A2880,'Semrush Data'!$A$1:$A$20000,0),MATCH("CPC*",'Semrush Data'!$A$1:$Z$1,0)),"")</f>
        <v/>
      </c>
      <c r="J2880" s="42">
        <f>IFERROR(INDEX('Semrush Data'!$A$1:$Z$20000,MATCH(A2880,'Semrush Data'!$A$1:$A$20000,0),MATCH("Intent",'Semrush Data'!$A$1:$Z$1,0)),"")</f>
        <v/>
      </c>
    </row>
    <row r="2881" ht="15" customHeight="1" s="37">
      <c r="A2881" s="42" t="inlineStr">
        <is>
          <t>hollister festival vibes review</t>
        </is>
      </c>
      <c r="B2881" s="42" t="inlineStr">
        <is>
          <t>Google suggest</t>
        </is>
      </c>
      <c r="C2881" s="42" t="n">
        <v>3</v>
      </c>
      <c r="D2881" s="42" t="n">
        <v>29</v>
      </c>
      <c r="E2881" s="42" t="n">
        <v>1</v>
      </c>
      <c r="F2881" s="42" t="inlineStr">
        <is>
          <t>FR-256</t>
        </is>
      </c>
      <c r="G2881" s="55">
        <f>IFERROR(INDEX('Semrush Data'!$A$1:$Z$20000,MATCH(A2881,'Semrush Data'!$A$1:$A$20000,0),MATCH("Volume",'Semrush Data'!$A$1:$Z$1,0)),"")</f>
        <v/>
      </c>
      <c r="H2881" s="42">
        <f>IFERROR(INDEX('Semrush Data'!$A$1:$Z$20000,MATCH(A2881,'Semrush Data'!$A$1:$A$20000,0),MATCH("Keyword Difficulty*",'Semrush Data'!$A$1:$Z$1,0)),"")</f>
        <v/>
      </c>
      <c r="I2881" s="56">
        <f>IFERROR(INDEX('Semrush Data'!$A$1:$Z$20000,MATCH(A2881,'Semrush Data'!$A$1:$A$20000,0),MATCH("CPC*",'Semrush Data'!$A$1:$Z$1,0)),"")</f>
        <v/>
      </c>
      <c r="J2881" s="42">
        <f>IFERROR(INDEX('Semrush Data'!$A$1:$Z$20000,MATCH(A2881,'Semrush Data'!$A$1:$A$20000,0),MATCH("Intent",'Semrush Data'!$A$1:$Z$1,0)),"")</f>
        <v/>
      </c>
    </row>
    <row r="2882" ht="15" customHeight="1" s="37">
      <c r="A2882" s="42" t="inlineStr">
        <is>
          <t>how to use deyga aloe vera gel</t>
        </is>
      </c>
      <c r="B2882" s="42" t="inlineStr">
        <is>
          <t>Google suggest</t>
        </is>
      </c>
      <c r="C2882" s="42" t="n">
        <v>3</v>
      </c>
      <c r="D2882" s="42" t="n">
        <v>29</v>
      </c>
      <c r="E2882" s="42" t="n">
        <v>1</v>
      </c>
      <c r="F2882" s="42" t="inlineStr">
        <is>
          <t>VD-124</t>
        </is>
      </c>
      <c r="G2882" s="55">
        <f>IFERROR(INDEX('Semrush Data'!$A$1:$Z$20000,MATCH(A2882,'Semrush Data'!$A$1:$A$20000,0),MATCH("Volume",'Semrush Data'!$A$1:$Z$1,0)),"")</f>
        <v/>
      </c>
      <c r="H2882" s="42">
        <f>IFERROR(INDEX('Semrush Data'!$A$1:$Z$20000,MATCH(A2882,'Semrush Data'!$A$1:$A$20000,0),MATCH("Keyword Difficulty*",'Semrush Data'!$A$1:$Z$1,0)),"")</f>
        <v/>
      </c>
      <c r="I2882" s="56">
        <f>IFERROR(INDEX('Semrush Data'!$A$1:$Z$20000,MATCH(A2882,'Semrush Data'!$A$1:$A$20000,0),MATCH("CPC*",'Semrush Data'!$A$1:$Z$1,0)),"")</f>
        <v/>
      </c>
      <c r="J2882" s="42">
        <f>IFERROR(INDEX('Semrush Data'!$A$1:$Z$20000,MATCH(A2882,'Semrush Data'!$A$1:$A$20000,0),MATCH("Intent",'Semrush Data'!$A$1:$Z$1,0)),"")</f>
        <v/>
      </c>
    </row>
    <row r="2883" ht="15" customHeight="1" s="37">
      <c r="A2883" s="42" t="inlineStr">
        <is>
          <t>how to use deyga anti dandruff shampoo</t>
        </is>
      </c>
      <c r="B2883" s="42" t="inlineStr">
        <is>
          <t>Google suggest</t>
        </is>
      </c>
      <c r="C2883" s="42" t="n">
        <v>3</v>
      </c>
      <c r="D2883" s="42" t="n">
        <v>29</v>
      </c>
      <c r="E2883" s="42" t="n">
        <v>1</v>
      </c>
      <c r="F2883" s="42" t="inlineStr">
        <is>
          <t>VD-130</t>
        </is>
      </c>
      <c r="G2883" s="55">
        <f>IFERROR(INDEX('Semrush Data'!$A$1:$Z$20000,MATCH(A2883,'Semrush Data'!$A$1:$A$20000,0),MATCH("Volume",'Semrush Data'!$A$1:$Z$1,0)),"")</f>
        <v/>
      </c>
      <c r="H2883" s="42">
        <f>IFERROR(INDEX('Semrush Data'!$A$1:$Z$20000,MATCH(A2883,'Semrush Data'!$A$1:$A$20000,0),MATCH("Keyword Difficulty*",'Semrush Data'!$A$1:$Z$1,0)),"")</f>
        <v/>
      </c>
      <c r="I2883" s="56">
        <f>IFERROR(INDEX('Semrush Data'!$A$1:$Z$20000,MATCH(A2883,'Semrush Data'!$A$1:$A$20000,0),MATCH("CPC*",'Semrush Data'!$A$1:$Z$1,0)),"")</f>
        <v/>
      </c>
      <c r="J2883" s="42">
        <f>IFERROR(INDEX('Semrush Data'!$A$1:$Z$20000,MATCH(A2883,'Semrush Data'!$A$1:$A$20000,0),MATCH("Intent",'Semrush Data'!$A$1:$Z$1,0)),"")</f>
        <v/>
      </c>
    </row>
    <row r="2884" ht="15" customHeight="1" s="37">
      <c r="A2884" s="42" t="inlineStr">
        <is>
          <t>how to use deyga body scrub</t>
        </is>
      </c>
      <c r="B2884" s="42" t="inlineStr">
        <is>
          <t>Google suggest</t>
        </is>
      </c>
      <c r="C2884" s="42" t="n">
        <v>3</v>
      </c>
      <c r="D2884" s="42" t="n">
        <v>29</v>
      </c>
      <c r="E2884" s="42" t="n">
        <v>1</v>
      </c>
      <c r="F2884" s="42" t="inlineStr">
        <is>
          <t>VD-085</t>
        </is>
      </c>
      <c r="G2884" s="55">
        <f>IFERROR(INDEX('Semrush Data'!$A$1:$Z$20000,MATCH(A2884,'Semrush Data'!$A$1:$A$20000,0),MATCH("Volume",'Semrush Data'!$A$1:$Z$1,0)),"")</f>
        <v/>
      </c>
      <c r="H2884" s="42">
        <f>IFERROR(INDEX('Semrush Data'!$A$1:$Z$20000,MATCH(A2884,'Semrush Data'!$A$1:$A$20000,0),MATCH("Keyword Difficulty*",'Semrush Data'!$A$1:$Z$1,0)),"")</f>
        <v/>
      </c>
      <c r="I2884" s="56">
        <f>IFERROR(INDEX('Semrush Data'!$A$1:$Z$20000,MATCH(A2884,'Semrush Data'!$A$1:$A$20000,0),MATCH("CPC*",'Semrush Data'!$A$1:$Z$1,0)),"")</f>
        <v/>
      </c>
      <c r="J2884" s="42">
        <f>IFERROR(INDEX('Semrush Data'!$A$1:$Z$20000,MATCH(A2884,'Semrush Data'!$A$1:$A$20000,0),MATCH("Intent",'Semrush Data'!$A$1:$Z$1,0)),"")</f>
        <v/>
      </c>
    </row>
    <row r="2885" ht="15" customHeight="1" s="37">
      <c r="A2885" s="42" t="inlineStr">
        <is>
          <t>how to use deyga under eye mask</t>
        </is>
      </c>
      <c r="B2885" s="42" t="inlineStr">
        <is>
          <t>Google suggest</t>
        </is>
      </c>
      <c r="C2885" s="42" t="n">
        <v>3</v>
      </c>
      <c r="D2885" s="42" t="n">
        <v>29</v>
      </c>
      <c r="E2885" s="42" t="n">
        <v>1</v>
      </c>
      <c r="F2885" s="42" t="inlineStr">
        <is>
          <t>VD-098</t>
        </is>
      </c>
      <c r="G2885" s="55">
        <f>IFERROR(INDEX('Semrush Data'!$A$1:$Z$20000,MATCH(A2885,'Semrush Data'!$A$1:$A$20000,0),MATCH("Volume",'Semrush Data'!$A$1:$Z$1,0)),"")</f>
        <v/>
      </c>
      <c r="H2885" s="42">
        <f>IFERROR(INDEX('Semrush Data'!$A$1:$Z$20000,MATCH(A2885,'Semrush Data'!$A$1:$A$20000,0),MATCH("Keyword Difficulty*",'Semrush Data'!$A$1:$Z$1,0)),"")</f>
        <v/>
      </c>
      <c r="I2885" s="56">
        <f>IFERROR(INDEX('Semrush Data'!$A$1:$Z$20000,MATCH(A2885,'Semrush Data'!$A$1:$A$20000,0),MATCH("CPC*",'Semrush Data'!$A$1:$Z$1,0)),"")</f>
        <v/>
      </c>
      <c r="J2885" s="42">
        <f>IFERROR(INDEX('Semrush Data'!$A$1:$Z$20000,MATCH(A2885,'Semrush Data'!$A$1:$A$20000,0),MATCH("Intent",'Semrush Data'!$A$1:$Z$1,0)),"")</f>
        <v/>
      </c>
    </row>
    <row r="2886" ht="15" customHeight="1" s="37">
      <c r="A2886" s="42" t="inlineStr">
        <is>
          <t>how to use vilvah anti frizz hair serum</t>
        </is>
      </c>
      <c r="B2886" s="42" t="inlineStr">
        <is>
          <t>Google suggest</t>
        </is>
      </c>
      <c r="C2886" s="42" t="n">
        <v>3</v>
      </c>
      <c r="D2886" s="42" t="n">
        <v>29</v>
      </c>
      <c r="E2886" s="42" t="n">
        <v>1</v>
      </c>
      <c r="F2886" s="42" t="inlineStr">
        <is>
          <t>VD-022</t>
        </is>
      </c>
      <c r="G2886" s="55">
        <f>IFERROR(INDEX('Semrush Data'!$A$1:$Z$20000,MATCH(A2886,'Semrush Data'!$A$1:$A$20000,0),MATCH("Volume",'Semrush Data'!$A$1:$Z$1,0)),"")</f>
        <v/>
      </c>
      <c r="H2886" s="42">
        <f>IFERROR(INDEX('Semrush Data'!$A$1:$Z$20000,MATCH(A2886,'Semrush Data'!$A$1:$A$20000,0),MATCH("Keyword Difficulty*",'Semrush Data'!$A$1:$Z$1,0)),"")</f>
        <v/>
      </c>
      <c r="I2886" s="56">
        <f>IFERROR(INDEX('Semrush Data'!$A$1:$Z$20000,MATCH(A2886,'Semrush Data'!$A$1:$A$20000,0),MATCH("CPC*",'Semrush Data'!$A$1:$Z$1,0)),"")</f>
        <v/>
      </c>
      <c r="J2886" s="42">
        <f>IFERROR(INDEX('Semrush Data'!$A$1:$Z$20000,MATCH(A2886,'Semrush Data'!$A$1:$A$20000,0),MATCH("Intent",'Semrush Data'!$A$1:$Z$1,0)),"")</f>
        <v/>
      </c>
    </row>
    <row r="2887" ht="15" customHeight="1" s="37">
      <c r="A2887" s="42" t="inlineStr">
        <is>
          <t>how to use vilvah cream conditioner</t>
        </is>
      </c>
      <c r="B2887" s="42" t="inlineStr">
        <is>
          <t>Google suggest</t>
        </is>
      </c>
      <c r="C2887" s="42" t="n">
        <v>3</v>
      </c>
      <c r="D2887" s="42" t="n">
        <v>29</v>
      </c>
      <c r="E2887" s="42" t="n">
        <v>1</v>
      </c>
      <c r="F2887" s="42" t="inlineStr">
        <is>
          <t>VD-012</t>
        </is>
      </c>
      <c r="G2887" s="55">
        <f>IFERROR(INDEX('Semrush Data'!$A$1:$Z$20000,MATCH(A2887,'Semrush Data'!$A$1:$A$20000,0),MATCH("Volume",'Semrush Data'!$A$1:$Z$1,0)),"")</f>
        <v/>
      </c>
      <c r="H2887" s="42">
        <f>IFERROR(INDEX('Semrush Data'!$A$1:$Z$20000,MATCH(A2887,'Semrush Data'!$A$1:$A$20000,0),MATCH("Keyword Difficulty*",'Semrush Data'!$A$1:$Z$1,0)),"")</f>
        <v/>
      </c>
      <c r="I2887" s="56">
        <f>IFERROR(INDEX('Semrush Data'!$A$1:$Z$20000,MATCH(A2887,'Semrush Data'!$A$1:$A$20000,0),MATCH("CPC*",'Semrush Data'!$A$1:$Z$1,0)),"")</f>
        <v/>
      </c>
      <c r="J2887" s="42">
        <f>IFERROR(INDEX('Semrush Data'!$A$1:$Z$20000,MATCH(A2887,'Semrush Data'!$A$1:$A$20000,0),MATCH("Intent",'Semrush Data'!$A$1:$Z$1,0)),"")</f>
        <v/>
      </c>
    </row>
    <row r="2888" ht="15" customHeight="1" s="37">
      <c r="A2888" s="42" t="inlineStr">
        <is>
          <t>how to use vilvah goat milk hair mask</t>
        </is>
      </c>
      <c r="B2888" s="42" t="inlineStr">
        <is>
          <t>Google suggest</t>
        </is>
      </c>
      <c r="C2888" s="42" t="n">
        <v>3</v>
      </c>
      <c r="D2888" s="42" t="n">
        <v>29</v>
      </c>
      <c r="E2888" s="42" t="n">
        <v>1</v>
      </c>
      <c r="F2888" s="42" t="inlineStr">
        <is>
          <t>VD-031</t>
        </is>
      </c>
      <c r="G2888" s="55">
        <f>IFERROR(INDEX('Semrush Data'!$A$1:$Z$20000,MATCH(A2888,'Semrush Data'!$A$1:$A$20000,0),MATCH("Volume",'Semrush Data'!$A$1:$Z$1,0)),"")</f>
        <v/>
      </c>
      <c r="H2888" s="42">
        <f>IFERROR(INDEX('Semrush Data'!$A$1:$Z$20000,MATCH(A2888,'Semrush Data'!$A$1:$A$20000,0),MATCH("Keyword Difficulty*",'Semrush Data'!$A$1:$Z$1,0)),"")</f>
        <v/>
      </c>
      <c r="I2888" s="56">
        <f>IFERROR(INDEX('Semrush Data'!$A$1:$Z$20000,MATCH(A2888,'Semrush Data'!$A$1:$A$20000,0),MATCH("CPC*",'Semrush Data'!$A$1:$Z$1,0)),"")</f>
        <v/>
      </c>
      <c r="J2888" s="42">
        <f>IFERROR(INDEX('Semrush Data'!$A$1:$Z$20000,MATCH(A2888,'Semrush Data'!$A$1:$A$20000,0),MATCH("Intent",'Semrush Data'!$A$1:$Z$1,0)),"")</f>
        <v/>
      </c>
    </row>
    <row r="2889" ht="15" customHeight="1" s="37">
      <c r="A2889" s="42" t="inlineStr">
        <is>
          <t>how to use vilvah hair mask</t>
        </is>
      </c>
      <c r="B2889" s="42" t="inlineStr">
        <is>
          <t>Google suggest</t>
        </is>
      </c>
      <c r="C2889" s="42" t="n">
        <v>3</v>
      </c>
      <c r="D2889" s="42" t="n">
        <v>29</v>
      </c>
      <c r="E2889" s="42" t="n">
        <v>1</v>
      </c>
      <c r="F2889" s="42" t="inlineStr">
        <is>
          <t>VD-031</t>
        </is>
      </c>
      <c r="G2889" s="55">
        <f>IFERROR(INDEX('Semrush Data'!$A$1:$Z$20000,MATCH(A2889,'Semrush Data'!$A$1:$A$20000,0),MATCH("Volume",'Semrush Data'!$A$1:$Z$1,0)),"")</f>
        <v/>
      </c>
      <c r="H2889" s="42">
        <f>IFERROR(INDEX('Semrush Data'!$A$1:$Z$20000,MATCH(A2889,'Semrush Data'!$A$1:$A$20000,0),MATCH("Keyword Difficulty*",'Semrush Data'!$A$1:$Z$1,0)),"")</f>
        <v/>
      </c>
      <c r="I2889" s="56">
        <f>IFERROR(INDEX('Semrush Data'!$A$1:$Z$20000,MATCH(A2889,'Semrush Data'!$A$1:$A$20000,0),MATCH("CPC*",'Semrush Data'!$A$1:$Z$1,0)),"")</f>
        <v/>
      </c>
      <c r="J2889" s="42">
        <f>IFERROR(INDEX('Semrush Data'!$A$1:$Z$20000,MATCH(A2889,'Semrush Data'!$A$1:$A$20000,0),MATCH("Intent",'Semrush Data'!$A$1:$Z$1,0)),"")</f>
        <v/>
      </c>
    </row>
    <row r="2890" ht="15" customHeight="1" s="37">
      <c r="A2890" s="42" t="inlineStr">
        <is>
          <t>how to use vilvah under eye cream</t>
        </is>
      </c>
      <c r="B2890" s="42" t="inlineStr">
        <is>
          <t>Google suggest</t>
        </is>
      </c>
      <c r="C2890" s="42" t="n">
        <v>3</v>
      </c>
      <c r="D2890" s="42" t="inlineStr">
        <is>
          <t>T3-2</t>
        </is>
      </c>
      <c r="E2890" s="42" t="n">
        <v>1</v>
      </c>
      <c r="F2890" s="42" t="inlineStr">
        <is>
          <t>VD-043</t>
        </is>
      </c>
      <c r="G2890" s="55">
        <f>IFERROR(INDEX('Semrush Data'!$A$1:$Z$20000,MATCH(A2890,'Semrush Data'!$A$1:$A$20000,0),MATCH("Volume",'Semrush Data'!$A$1:$Z$1,0)),"")</f>
        <v/>
      </c>
      <c r="H2890" s="42">
        <f>IFERROR(INDEX('Semrush Data'!$A$1:$Z$20000,MATCH(A2890,'Semrush Data'!$A$1:$A$20000,0),MATCH("Keyword Difficulty*",'Semrush Data'!$A$1:$Z$1,0)),"")</f>
        <v/>
      </c>
      <c r="I2890" s="56">
        <f>IFERROR(INDEX('Semrush Data'!$A$1:$Z$20000,MATCH(A2890,'Semrush Data'!$A$1:$A$20000,0),MATCH("CPC*",'Semrush Data'!$A$1:$Z$1,0)),"")</f>
        <v/>
      </c>
      <c r="J2890" s="42">
        <f>IFERROR(INDEX('Semrush Data'!$A$1:$Z$20000,MATCH(A2890,'Semrush Data'!$A$1:$A$20000,0),MATCH("Intent",'Semrush Data'!$A$1:$Z$1,0)),"")</f>
        <v/>
      </c>
    </row>
    <row r="2891" ht="15" customHeight="1" s="37">
      <c r="A2891" s="42" t="inlineStr">
        <is>
          <t>invincible maison de milan</t>
        </is>
      </c>
      <c r="B2891" s="42" t="inlineStr">
        <is>
          <t>Google suggest</t>
        </is>
      </c>
      <c r="C2891" s="42" t="n">
        <v>3</v>
      </c>
      <c r="D2891" s="42" t="n">
        <v>29</v>
      </c>
      <c r="E2891" s="42" t="n">
        <v>1</v>
      </c>
      <c r="F2891" s="42" t="inlineStr">
        <is>
          <t>FR-202</t>
        </is>
      </c>
      <c r="G2891" s="55">
        <f>IFERROR(INDEX('Semrush Data'!$A$1:$Z$20000,MATCH(A2891,'Semrush Data'!$A$1:$A$20000,0),MATCH("Volume",'Semrush Data'!$A$1:$Z$1,0)),"")</f>
        <v/>
      </c>
      <c r="H2891" s="42">
        <f>IFERROR(INDEX('Semrush Data'!$A$1:$Z$20000,MATCH(A2891,'Semrush Data'!$A$1:$A$20000,0),MATCH("Keyword Difficulty*",'Semrush Data'!$A$1:$Z$1,0)),"")</f>
        <v/>
      </c>
      <c r="I2891" s="56">
        <f>IFERROR(INDEX('Semrush Data'!$A$1:$Z$20000,MATCH(A2891,'Semrush Data'!$A$1:$A$20000,0),MATCH("CPC*",'Semrush Data'!$A$1:$Z$1,0)),"")</f>
        <v/>
      </c>
      <c r="J2891" s="42">
        <f>IFERROR(INDEX('Semrush Data'!$A$1:$Z$20000,MATCH(A2891,'Semrush Data'!$A$1:$A$20000,0),MATCH("Intent",'Semrush Data'!$A$1:$Z$1,0)),"")</f>
        <v/>
      </c>
    </row>
    <row r="2892" ht="15" customHeight="1" s="37">
      <c r="A2892" s="42" t="inlineStr">
        <is>
          <t>invincible perfume maison de milan</t>
        </is>
      </c>
      <c r="B2892" s="42" t="inlineStr">
        <is>
          <t>Google suggest</t>
        </is>
      </c>
      <c r="C2892" s="42" t="n">
        <v>3</v>
      </c>
      <c r="D2892" s="42" t="n">
        <v>29</v>
      </c>
      <c r="E2892" s="42" t="n">
        <v>1</v>
      </c>
      <c r="F2892" s="42" t="inlineStr">
        <is>
          <t>FR-202</t>
        </is>
      </c>
      <c r="G2892" s="55">
        <f>IFERROR(INDEX('Semrush Data'!$A$1:$Z$20000,MATCH(A2892,'Semrush Data'!$A$1:$A$20000,0),MATCH("Volume",'Semrush Data'!$A$1:$Z$1,0)),"")</f>
        <v/>
      </c>
      <c r="H2892" s="42">
        <f>IFERROR(INDEX('Semrush Data'!$A$1:$Z$20000,MATCH(A2892,'Semrush Data'!$A$1:$A$20000,0),MATCH("Keyword Difficulty*",'Semrush Data'!$A$1:$Z$1,0)),"")</f>
        <v/>
      </c>
      <c r="I2892" s="56">
        <f>IFERROR(INDEX('Semrush Data'!$A$1:$Z$20000,MATCH(A2892,'Semrush Data'!$A$1:$A$20000,0),MATCH("CPC*",'Semrush Data'!$A$1:$Z$1,0)),"")</f>
        <v/>
      </c>
      <c r="J2892" s="42">
        <f>IFERROR(INDEX('Semrush Data'!$A$1:$Z$20000,MATCH(A2892,'Semrush Data'!$A$1:$A$20000,0),MATCH("Intent",'Semrush Data'!$A$1:$Z$1,0)),"")</f>
        <v/>
      </c>
    </row>
    <row r="2893" ht="15" customHeight="1" s="37">
      <c r="A2893" s="42" t="inlineStr">
        <is>
          <t>jean paul gaultier classique ingredients</t>
        </is>
      </c>
      <c r="B2893" s="42" t="inlineStr">
        <is>
          <t>Google suggest</t>
        </is>
      </c>
      <c r="C2893" s="42" t="n">
        <v>3</v>
      </c>
      <c r="D2893" s="42" t="n">
        <v>29</v>
      </c>
      <c r="E2893" s="42" t="n">
        <v>1</v>
      </c>
      <c r="F2893" s="42" t="inlineStr">
        <is>
          <t>FR-263</t>
        </is>
      </c>
      <c r="G2893" s="55">
        <f>IFERROR(INDEX('Semrush Data'!$A$1:$Z$20000,MATCH(A2893,'Semrush Data'!$A$1:$A$20000,0),MATCH("Volume",'Semrush Data'!$A$1:$Z$1,0)),"")</f>
        <v/>
      </c>
      <c r="H2893" s="42">
        <f>IFERROR(INDEX('Semrush Data'!$A$1:$Z$20000,MATCH(A2893,'Semrush Data'!$A$1:$A$20000,0),MATCH("Keyword Difficulty*",'Semrush Data'!$A$1:$Z$1,0)),"")</f>
        <v/>
      </c>
      <c r="I2893" s="56">
        <f>IFERROR(INDEX('Semrush Data'!$A$1:$Z$20000,MATCH(A2893,'Semrush Data'!$A$1:$A$20000,0),MATCH("CPC*",'Semrush Data'!$A$1:$Z$1,0)),"")</f>
        <v/>
      </c>
      <c r="J2893" s="42">
        <f>IFERROR(INDEX('Semrush Data'!$A$1:$Z$20000,MATCH(A2893,'Semrush Data'!$A$1:$A$20000,0),MATCH("Intent",'Semrush Data'!$A$1:$Z$1,0)),"")</f>
        <v/>
      </c>
    </row>
    <row r="2894" ht="15" customHeight="1" s="37">
      <c r="A2894" s="42" t="inlineStr">
        <is>
          <t>jean paul gaultier scandal gold eau de parfum 80ml</t>
        </is>
      </c>
      <c r="B2894" s="42" t="inlineStr">
        <is>
          <t>Google suggest</t>
        </is>
      </c>
      <c r="C2894" s="42" t="n">
        <v>3</v>
      </c>
      <c r="D2894" s="42" t="n">
        <v>29</v>
      </c>
      <c r="E2894" s="42" t="n">
        <v>1</v>
      </c>
      <c r="F2894" s="42" t="inlineStr">
        <is>
          <t>FR-262</t>
        </is>
      </c>
      <c r="G2894" s="55">
        <f>IFERROR(INDEX('Semrush Data'!$A$1:$Z$20000,MATCH(A2894,'Semrush Data'!$A$1:$A$20000,0),MATCH("Volume",'Semrush Data'!$A$1:$Z$1,0)),"")</f>
        <v/>
      </c>
      <c r="H2894" s="42">
        <f>IFERROR(INDEX('Semrush Data'!$A$1:$Z$20000,MATCH(A2894,'Semrush Data'!$A$1:$A$20000,0),MATCH("Keyword Difficulty*",'Semrush Data'!$A$1:$Z$1,0)),"")</f>
        <v/>
      </c>
      <c r="I2894" s="56">
        <f>IFERROR(INDEX('Semrush Data'!$A$1:$Z$20000,MATCH(A2894,'Semrush Data'!$A$1:$A$20000,0),MATCH("CPC*",'Semrush Data'!$A$1:$Z$1,0)),"")</f>
        <v/>
      </c>
      <c r="J2894" s="42">
        <f>IFERROR(INDEX('Semrush Data'!$A$1:$Z$20000,MATCH(A2894,'Semrush Data'!$A$1:$A$20000,0),MATCH("Intent",'Semrush Data'!$A$1:$Z$1,0)),"")</f>
        <v/>
      </c>
    </row>
    <row r="2895" ht="15" customHeight="1" s="37">
      <c r="A2895" s="42" t="inlineStr">
        <is>
          <t>jean paul gaultier scandal gold edp</t>
        </is>
      </c>
      <c r="B2895" s="42" t="inlineStr">
        <is>
          <t>Google suggest</t>
        </is>
      </c>
      <c r="C2895" s="42" t="n">
        <v>3</v>
      </c>
      <c r="D2895" s="42" t="n">
        <v>29</v>
      </c>
      <c r="E2895" s="42" t="n">
        <v>1</v>
      </c>
      <c r="F2895" s="42" t="inlineStr">
        <is>
          <t>FR-262</t>
        </is>
      </c>
      <c r="G2895" s="55">
        <f>IFERROR(INDEX('Semrush Data'!$A$1:$Z$20000,MATCH(A2895,'Semrush Data'!$A$1:$A$20000,0),MATCH("Volume",'Semrush Data'!$A$1:$Z$1,0)),"")</f>
        <v/>
      </c>
      <c r="H2895" s="42">
        <f>IFERROR(INDEX('Semrush Data'!$A$1:$Z$20000,MATCH(A2895,'Semrush Data'!$A$1:$A$20000,0),MATCH("Keyword Difficulty*",'Semrush Data'!$A$1:$Z$1,0)),"")</f>
        <v/>
      </c>
      <c r="I2895" s="56">
        <f>IFERROR(INDEX('Semrush Data'!$A$1:$Z$20000,MATCH(A2895,'Semrush Data'!$A$1:$A$20000,0),MATCH("CPC*",'Semrush Data'!$A$1:$Z$1,0)),"")</f>
        <v/>
      </c>
      <c r="J2895" s="42">
        <f>IFERROR(INDEX('Semrush Data'!$A$1:$Z$20000,MATCH(A2895,'Semrush Data'!$A$1:$A$20000,0),MATCH("Intent",'Semrush Data'!$A$1:$Z$1,0)),"")</f>
        <v/>
      </c>
    </row>
    <row r="2896" ht="15" customHeight="1" s="37">
      <c r="A2896" s="42" t="inlineStr">
        <is>
          <t>jean paul gaultier scandal gold edp 80ml</t>
        </is>
      </c>
      <c r="B2896" s="42" t="inlineStr">
        <is>
          <t>Google suggest</t>
        </is>
      </c>
      <c r="C2896" s="42" t="n">
        <v>3</v>
      </c>
      <c r="D2896" s="42" t="n">
        <v>29</v>
      </c>
      <c r="E2896" s="42" t="n">
        <v>1</v>
      </c>
      <c r="F2896" s="42" t="inlineStr">
        <is>
          <t>FR-262</t>
        </is>
      </c>
      <c r="G2896" s="55">
        <f>IFERROR(INDEX('Semrush Data'!$A$1:$Z$20000,MATCH(A2896,'Semrush Data'!$A$1:$A$20000,0),MATCH("Volume",'Semrush Data'!$A$1:$Z$1,0)),"")</f>
        <v/>
      </c>
      <c r="H2896" s="42">
        <f>IFERROR(INDEX('Semrush Data'!$A$1:$Z$20000,MATCH(A2896,'Semrush Data'!$A$1:$A$20000,0),MATCH("Keyword Difficulty*",'Semrush Data'!$A$1:$Z$1,0)),"")</f>
        <v/>
      </c>
      <c r="I2896" s="56">
        <f>IFERROR(INDEX('Semrush Data'!$A$1:$Z$20000,MATCH(A2896,'Semrush Data'!$A$1:$A$20000,0),MATCH("CPC*",'Semrush Data'!$A$1:$Z$1,0)),"")</f>
        <v/>
      </c>
      <c r="J2896" s="42">
        <f>IFERROR(INDEX('Semrush Data'!$A$1:$Z$20000,MATCH(A2896,'Semrush Data'!$A$1:$A$20000,0),MATCH("Intent",'Semrush Data'!$A$1:$Z$1,0)),"")</f>
        <v/>
      </c>
    </row>
    <row r="2897" ht="15" customHeight="1" s="37">
      <c r="A2897" s="42" t="inlineStr">
        <is>
          <t>jean paul gaultier scandal gold men</t>
        </is>
      </c>
      <c r="B2897" s="42" t="inlineStr">
        <is>
          <t>Google suggest</t>
        </is>
      </c>
      <c r="C2897" s="42" t="n">
        <v>3</v>
      </c>
      <c r="D2897" s="42" t="n">
        <v>29</v>
      </c>
      <c r="E2897" s="42" t="n">
        <v>1</v>
      </c>
      <c r="F2897" s="42" t="inlineStr">
        <is>
          <t>FR-262</t>
        </is>
      </c>
      <c r="G2897" s="55">
        <f>IFERROR(INDEX('Semrush Data'!$A$1:$Z$20000,MATCH(A2897,'Semrush Data'!$A$1:$A$20000,0),MATCH("Volume",'Semrush Data'!$A$1:$Z$1,0)),"")</f>
        <v/>
      </c>
      <c r="H2897" s="42">
        <f>IFERROR(INDEX('Semrush Data'!$A$1:$Z$20000,MATCH(A2897,'Semrush Data'!$A$1:$A$20000,0),MATCH("Keyword Difficulty*",'Semrush Data'!$A$1:$Z$1,0)),"")</f>
        <v/>
      </c>
      <c r="I2897" s="56">
        <f>IFERROR(INDEX('Semrush Data'!$A$1:$Z$20000,MATCH(A2897,'Semrush Data'!$A$1:$A$20000,0),MATCH("CPC*",'Semrush Data'!$A$1:$Z$1,0)),"")</f>
        <v/>
      </c>
      <c r="J2897" s="42">
        <f>IFERROR(INDEX('Semrush Data'!$A$1:$Z$20000,MATCH(A2897,'Semrush Data'!$A$1:$A$20000,0),MATCH("Intent",'Semrush Data'!$A$1:$Z$1,0)),"")</f>
        <v/>
      </c>
    </row>
    <row r="2898" ht="15" customHeight="1" s="37">
      <c r="A2898" s="42" t="inlineStr">
        <is>
          <t>jean paul gaultier scandal gold perfume</t>
        </is>
      </c>
      <c r="B2898" s="42" t="inlineStr">
        <is>
          <t>Google suggest</t>
        </is>
      </c>
      <c r="C2898" s="42" t="n">
        <v>3</v>
      </c>
      <c r="D2898" s="42" t="n">
        <v>29</v>
      </c>
      <c r="E2898" s="42" t="n">
        <v>1</v>
      </c>
      <c r="F2898" s="42" t="inlineStr">
        <is>
          <t>FR-262</t>
        </is>
      </c>
      <c r="G2898" s="55">
        <f>IFERROR(INDEX('Semrush Data'!$A$1:$Z$20000,MATCH(A2898,'Semrush Data'!$A$1:$A$20000,0),MATCH("Volume",'Semrush Data'!$A$1:$Z$1,0)),"")</f>
        <v/>
      </c>
      <c r="H2898" s="42">
        <f>IFERROR(INDEX('Semrush Data'!$A$1:$Z$20000,MATCH(A2898,'Semrush Data'!$A$1:$A$20000,0),MATCH("Keyword Difficulty*",'Semrush Data'!$A$1:$Z$1,0)),"")</f>
        <v/>
      </c>
      <c r="I2898" s="56">
        <f>IFERROR(INDEX('Semrush Data'!$A$1:$Z$20000,MATCH(A2898,'Semrush Data'!$A$1:$A$20000,0),MATCH("CPC*",'Semrush Data'!$A$1:$Z$1,0)),"")</f>
        <v/>
      </c>
      <c r="J2898" s="42">
        <f>IFERROR(INDEX('Semrush Data'!$A$1:$Z$20000,MATCH(A2898,'Semrush Data'!$A$1:$A$20000,0),MATCH("Intent",'Semrush Data'!$A$1:$Z$1,0)),"")</f>
        <v/>
      </c>
    </row>
    <row r="2899" ht="15" customHeight="1" s="37">
      <c r="A2899" s="42" t="inlineStr">
        <is>
          <t>jean.paul.gaultier perfume and shower gel</t>
        </is>
      </c>
      <c r="B2899" s="42" t="inlineStr">
        <is>
          <t>Google suggest</t>
        </is>
      </c>
      <c r="C2899" s="42" t="n">
        <v>3</v>
      </c>
      <c r="D2899" s="42" t="n">
        <v>29</v>
      </c>
      <c r="E2899" s="42" t="n">
        <v>1</v>
      </c>
      <c r="F2899" s="42" t="inlineStr">
        <is>
          <t>FR-263</t>
        </is>
      </c>
      <c r="G2899" s="55">
        <f>IFERROR(INDEX('Semrush Data'!$A$1:$Z$20000,MATCH(A2899,'Semrush Data'!$A$1:$A$20000,0),MATCH("Volume",'Semrush Data'!$A$1:$Z$1,0)),"")</f>
        <v/>
      </c>
      <c r="H2899" s="42">
        <f>IFERROR(INDEX('Semrush Data'!$A$1:$Z$20000,MATCH(A2899,'Semrush Data'!$A$1:$A$20000,0),MATCH("Keyword Difficulty*",'Semrush Data'!$A$1:$Z$1,0)),"")</f>
        <v/>
      </c>
      <c r="I2899" s="56">
        <f>IFERROR(INDEX('Semrush Data'!$A$1:$Z$20000,MATCH(A2899,'Semrush Data'!$A$1:$A$20000,0),MATCH("CPC*",'Semrush Data'!$A$1:$Z$1,0)),"")</f>
        <v/>
      </c>
      <c r="J2899" s="42">
        <f>IFERROR(INDEX('Semrush Data'!$A$1:$Z$20000,MATCH(A2899,'Semrush Data'!$A$1:$A$20000,0),MATCH("Intent",'Semrush Data'!$A$1:$Z$1,0)),"")</f>
        <v/>
      </c>
    </row>
    <row r="2900" ht="15" customHeight="1" s="37">
      <c r="A2900" s="42" t="inlineStr">
        <is>
          <t>joop homme</t>
        </is>
      </c>
      <c r="B2900" s="42" t="inlineStr">
        <is>
          <t>Google suggest</t>
        </is>
      </c>
      <c r="C2900" s="42" t="n">
        <v>3</v>
      </c>
      <c r="D2900" s="42" t="inlineStr">
        <is>
          <t>T3-1</t>
        </is>
      </c>
      <c r="E2900" s="42" t="n">
        <v>1</v>
      </c>
      <c r="F2900" s="42" t="inlineStr">
        <is>
          <t>FR-269</t>
        </is>
      </c>
      <c r="G2900" s="55">
        <f>IFERROR(INDEX('Semrush Data'!$A$1:$Z$20000,MATCH(A2900,'Semrush Data'!$A$1:$A$20000,0),MATCH("Volume",'Semrush Data'!$A$1:$Z$1,0)),"")</f>
        <v/>
      </c>
      <c r="H2900" s="42">
        <f>IFERROR(INDEX('Semrush Data'!$A$1:$Z$20000,MATCH(A2900,'Semrush Data'!$A$1:$A$20000,0),MATCH("Keyword Difficulty*",'Semrush Data'!$A$1:$Z$1,0)),"")</f>
        <v/>
      </c>
      <c r="I2900" s="56">
        <f>IFERROR(INDEX('Semrush Data'!$A$1:$Z$20000,MATCH(A2900,'Semrush Data'!$A$1:$A$20000,0),MATCH("CPC*",'Semrush Data'!$A$1:$Z$1,0)),"")</f>
        <v/>
      </c>
      <c r="J2900" s="42">
        <f>IFERROR(INDEX('Semrush Data'!$A$1:$Z$20000,MATCH(A2900,'Semrush Data'!$A$1:$A$20000,0),MATCH("Intent",'Semrush Data'!$A$1:$Z$1,0)),"")</f>
        <v/>
      </c>
    </row>
    <row r="2901" ht="15" customHeight="1" s="37">
      <c r="A2901" s="42" t="inlineStr">
        <is>
          <t>joop homme 200ml</t>
        </is>
      </c>
      <c r="B2901" s="42" t="inlineStr">
        <is>
          <t>Google suggest</t>
        </is>
      </c>
      <c r="C2901" s="42" t="n">
        <v>3</v>
      </c>
      <c r="D2901" s="42" t="n">
        <v>29</v>
      </c>
      <c r="E2901" s="42" t="n">
        <v>1</v>
      </c>
      <c r="F2901" s="42" t="inlineStr">
        <is>
          <t>FR-269</t>
        </is>
      </c>
      <c r="G2901" s="55">
        <f>IFERROR(INDEX('Semrush Data'!$A$1:$Z$20000,MATCH(A2901,'Semrush Data'!$A$1:$A$20000,0),MATCH("Volume",'Semrush Data'!$A$1:$Z$1,0)),"")</f>
        <v/>
      </c>
      <c r="H2901" s="42">
        <f>IFERROR(INDEX('Semrush Data'!$A$1:$Z$20000,MATCH(A2901,'Semrush Data'!$A$1:$A$20000,0),MATCH("Keyword Difficulty*",'Semrush Data'!$A$1:$Z$1,0)),"")</f>
        <v/>
      </c>
      <c r="I2901" s="56">
        <f>IFERROR(INDEX('Semrush Data'!$A$1:$Z$20000,MATCH(A2901,'Semrush Data'!$A$1:$A$20000,0),MATCH("CPC*",'Semrush Data'!$A$1:$Z$1,0)),"")</f>
        <v/>
      </c>
      <c r="J2901" s="42">
        <f>IFERROR(INDEX('Semrush Data'!$A$1:$Z$20000,MATCH(A2901,'Semrush Data'!$A$1:$A$20000,0),MATCH("Intent",'Semrush Data'!$A$1:$Z$1,0)),"")</f>
        <v/>
      </c>
    </row>
    <row r="2902" ht="15" customHeight="1" s="37">
      <c r="A2902" s="42" t="inlineStr">
        <is>
          <t>joop homme eau de parfum</t>
        </is>
      </c>
      <c r="B2902" s="42" t="inlineStr">
        <is>
          <t>Google suggest</t>
        </is>
      </c>
      <c r="C2902" s="42" t="n">
        <v>3</v>
      </c>
      <c r="D2902" s="42" t="n">
        <v>30</v>
      </c>
      <c r="E2902" s="42" t="n">
        <v>1</v>
      </c>
      <c r="F2902" s="42" t="inlineStr">
        <is>
          <t>FR-269</t>
        </is>
      </c>
      <c r="G2902" s="55">
        <f>IFERROR(INDEX('Semrush Data'!$A$1:$Z$20000,MATCH(A2902,'Semrush Data'!$A$1:$A$20000,0),MATCH("Volume",'Semrush Data'!$A$1:$Z$1,0)),"")</f>
        <v/>
      </c>
      <c r="H2902" s="42">
        <f>IFERROR(INDEX('Semrush Data'!$A$1:$Z$20000,MATCH(A2902,'Semrush Data'!$A$1:$A$20000,0),MATCH("Keyword Difficulty*",'Semrush Data'!$A$1:$Z$1,0)),"")</f>
        <v/>
      </c>
      <c r="I2902" s="56">
        <f>IFERROR(INDEX('Semrush Data'!$A$1:$Z$20000,MATCH(A2902,'Semrush Data'!$A$1:$A$20000,0),MATCH("CPC*",'Semrush Data'!$A$1:$Z$1,0)),"")</f>
        <v/>
      </c>
      <c r="J2902" s="42">
        <f>IFERROR(INDEX('Semrush Data'!$A$1:$Z$20000,MATCH(A2902,'Semrush Data'!$A$1:$A$20000,0),MATCH("Intent",'Semrush Data'!$A$1:$Z$1,0)),"")</f>
        <v/>
      </c>
    </row>
    <row r="2903" ht="15" customHeight="1" s="37">
      <c r="A2903" s="42" t="inlineStr">
        <is>
          <t>joop homme edp</t>
        </is>
      </c>
      <c r="B2903" s="42" t="inlineStr">
        <is>
          <t>Google suggest</t>
        </is>
      </c>
      <c r="C2903" s="42" t="n">
        <v>3</v>
      </c>
      <c r="D2903" s="42" t="n">
        <v>30</v>
      </c>
      <c r="E2903" s="42" t="n">
        <v>1</v>
      </c>
      <c r="F2903" s="42" t="inlineStr">
        <is>
          <t>FR-269</t>
        </is>
      </c>
      <c r="G2903" s="55">
        <f>IFERROR(INDEX('Semrush Data'!$A$1:$Z$20000,MATCH(A2903,'Semrush Data'!$A$1:$A$20000,0),MATCH("Volume",'Semrush Data'!$A$1:$Z$1,0)),"")</f>
        <v/>
      </c>
      <c r="H2903" s="42">
        <f>IFERROR(INDEX('Semrush Data'!$A$1:$Z$20000,MATCH(A2903,'Semrush Data'!$A$1:$A$20000,0),MATCH("Keyword Difficulty*",'Semrush Data'!$A$1:$Z$1,0)),"")</f>
        <v/>
      </c>
      <c r="I2903" s="56">
        <f>IFERROR(INDEX('Semrush Data'!$A$1:$Z$20000,MATCH(A2903,'Semrush Data'!$A$1:$A$20000,0),MATCH("CPC*",'Semrush Data'!$A$1:$Z$1,0)),"")</f>
        <v/>
      </c>
      <c r="J2903" s="42">
        <f>IFERROR(INDEX('Semrush Data'!$A$1:$Z$20000,MATCH(A2903,'Semrush Data'!$A$1:$A$20000,0),MATCH("Intent",'Semrush Data'!$A$1:$Z$1,0)),"")</f>
        <v/>
      </c>
    </row>
    <row r="2904" ht="15" customHeight="1" s="37">
      <c r="A2904" s="42" t="inlineStr">
        <is>
          <t>joop homme le parfum</t>
        </is>
      </c>
      <c r="B2904" s="42" t="inlineStr">
        <is>
          <t>Google suggest</t>
        </is>
      </c>
      <c r="C2904" s="42" t="n">
        <v>3</v>
      </c>
      <c r="D2904" s="42" t="n">
        <v>30</v>
      </c>
      <c r="E2904" s="42" t="n">
        <v>1</v>
      </c>
      <c r="F2904" s="42" t="inlineStr">
        <is>
          <t>FR-270</t>
        </is>
      </c>
      <c r="G2904" s="55">
        <f>IFERROR(INDEX('Semrush Data'!$A$1:$Z$20000,MATCH(A2904,'Semrush Data'!$A$1:$A$20000,0),MATCH("Volume",'Semrush Data'!$A$1:$Z$1,0)),"")</f>
        <v/>
      </c>
      <c r="H2904" s="42">
        <f>IFERROR(INDEX('Semrush Data'!$A$1:$Z$20000,MATCH(A2904,'Semrush Data'!$A$1:$A$20000,0),MATCH("Keyword Difficulty*",'Semrush Data'!$A$1:$Z$1,0)),"")</f>
        <v/>
      </c>
      <c r="I2904" s="56">
        <f>IFERROR(INDEX('Semrush Data'!$A$1:$Z$20000,MATCH(A2904,'Semrush Data'!$A$1:$A$20000,0),MATCH("CPC*",'Semrush Data'!$A$1:$Z$1,0)),"")</f>
        <v/>
      </c>
      <c r="J2904" s="42">
        <f>IFERROR(INDEX('Semrush Data'!$A$1:$Z$20000,MATCH(A2904,'Semrush Data'!$A$1:$A$20000,0),MATCH("Intent",'Semrush Data'!$A$1:$Z$1,0)),"")</f>
        <v/>
      </c>
    </row>
    <row r="2905" ht="15" customHeight="1" s="37">
      <c r="A2905" s="42" t="inlineStr">
        <is>
          <t>joop homme le parfum 125ml</t>
        </is>
      </c>
      <c r="B2905" s="42" t="inlineStr">
        <is>
          <t>Google suggest</t>
        </is>
      </c>
      <c r="C2905" s="42" t="n">
        <v>3</v>
      </c>
      <c r="D2905" s="42" t="n">
        <v>30</v>
      </c>
      <c r="E2905" s="42" t="n">
        <v>1</v>
      </c>
      <c r="F2905" s="42" t="inlineStr">
        <is>
          <t>FR-270</t>
        </is>
      </c>
      <c r="G2905" s="55">
        <f>IFERROR(INDEX('Semrush Data'!$A$1:$Z$20000,MATCH(A2905,'Semrush Data'!$A$1:$A$20000,0),MATCH("Volume",'Semrush Data'!$A$1:$Z$1,0)),"")</f>
        <v/>
      </c>
      <c r="H2905" s="42">
        <f>IFERROR(INDEX('Semrush Data'!$A$1:$Z$20000,MATCH(A2905,'Semrush Data'!$A$1:$A$20000,0),MATCH("Keyword Difficulty*",'Semrush Data'!$A$1:$Z$1,0)),"")</f>
        <v/>
      </c>
      <c r="I2905" s="56">
        <f>IFERROR(INDEX('Semrush Data'!$A$1:$Z$20000,MATCH(A2905,'Semrush Data'!$A$1:$A$20000,0),MATCH("CPC*",'Semrush Data'!$A$1:$Z$1,0)),"")</f>
        <v/>
      </c>
      <c r="J2905" s="42">
        <f>IFERROR(INDEX('Semrush Data'!$A$1:$Z$20000,MATCH(A2905,'Semrush Data'!$A$1:$A$20000,0),MATCH("Intent",'Semrush Data'!$A$1:$Z$1,0)),"")</f>
        <v/>
      </c>
    </row>
    <row r="2906" ht="15" customHeight="1" s="37">
      <c r="A2906" s="42" t="inlineStr">
        <is>
          <t>joop homme le parfum for men</t>
        </is>
      </c>
      <c r="B2906" s="42" t="inlineStr">
        <is>
          <t>Google suggest</t>
        </is>
      </c>
      <c r="C2906" s="42" t="n">
        <v>3</v>
      </c>
      <c r="D2906" s="42" t="n">
        <v>30</v>
      </c>
      <c r="E2906" s="42" t="n">
        <v>1</v>
      </c>
      <c r="F2906" s="42" t="inlineStr">
        <is>
          <t>FR-270</t>
        </is>
      </c>
      <c r="G2906" s="55">
        <f>IFERROR(INDEX('Semrush Data'!$A$1:$Z$20000,MATCH(A2906,'Semrush Data'!$A$1:$A$20000,0),MATCH("Volume",'Semrush Data'!$A$1:$Z$1,0)),"")</f>
        <v/>
      </c>
      <c r="H2906" s="42">
        <f>IFERROR(INDEX('Semrush Data'!$A$1:$Z$20000,MATCH(A2906,'Semrush Data'!$A$1:$A$20000,0),MATCH("Keyword Difficulty*",'Semrush Data'!$A$1:$Z$1,0)),"")</f>
        <v/>
      </c>
      <c r="I2906" s="56">
        <f>IFERROR(INDEX('Semrush Data'!$A$1:$Z$20000,MATCH(A2906,'Semrush Data'!$A$1:$A$20000,0),MATCH("CPC*",'Semrush Data'!$A$1:$Z$1,0)),"")</f>
        <v/>
      </c>
      <c r="J2906" s="42">
        <f>IFERROR(INDEX('Semrush Data'!$A$1:$Z$20000,MATCH(A2906,'Semrush Data'!$A$1:$A$20000,0),MATCH("Intent",'Semrush Data'!$A$1:$Z$1,0)),"")</f>
        <v/>
      </c>
    </row>
    <row r="2907" ht="15" customHeight="1" s="37">
      <c r="A2907" s="42" t="inlineStr">
        <is>
          <t>joop homme le parfum notes</t>
        </is>
      </c>
      <c r="B2907" s="42" t="inlineStr">
        <is>
          <t>Google suggest</t>
        </is>
      </c>
      <c r="C2907" s="42" t="n">
        <v>3</v>
      </c>
      <c r="D2907" s="42" t="n">
        <v>30</v>
      </c>
      <c r="E2907" s="42" t="n">
        <v>1</v>
      </c>
      <c r="F2907" s="42" t="inlineStr">
        <is>
          <t>FR-270</t>
        </is>
      </c>
      <c r="G2907" s="55">
        <f>IFERROR(INDEX('Semrush Data'!$A$1:$Z$20000,MATCH(A2907,'Semrush Data'!$A$1:$A$20000,0),MATCH("Volume",'Semrush Data'!$A$1:$Z$1,0)),"")</f>
        <v/>
      </c>
      <c r="H2907" s="42">
        <f>IFERROR(INDEX('Semrush Data'!$A$1:$Z$20000,MATCH(A2907,'Semrush Data'!$A$1:$A$20000,0),MATCH("Keyword Difficulty*",'Semrush Data'!$A$1:$Z$1,0)),"")</f>
        <v/>
      </c>
      <c r="I2907" s="56">
        <f>IFERROR(INDEX('Semrush Data'!$A$1:$Z$20000,MATCH(A2907,'Semrush Data'!$A$1:$A$20000,0),MATCH("CPC*",'Semrush Data'!$A$1:$Z$1,0)),"")</f>
        <v/>
      </c>
      <c r="J2907" s="42">
        <f>IFERROR(INDEX('Semrush Data'!$A$1:$Z$20000,MATCH(A2907,'Semrush Data'!$A$1:$A$20000,0),MATCH("Intent",'Semrush Data'!$A$1:$Z$1,0)),"")</f>
        <v/>
      </c>
    </row>
    <row r="2908" ht="15" customHeight="1" s="37">
      <c r="A2908" s="42" t="inlineStr">
        <is>
          <t>joop homme le parfum price</t>
        </is>
      </c>
      <c r="B2908" s="42" t="inlineStr">
        <is>
          <t>Google suggest</t>
        </is>
      </c>
      <c r="C2908" s="42" t="n">
        <v>3</v>
      </c>
      <c r="D2908" s="42" t="n">
        <v>30</v>
      </c>
      <c r="E2908" s="42" t="n">
        <v>1</v>
      </c>
      <c r="F2908" s="42" t="inlineStr">
        <is>
          <t>FR-270</t>
        </is>
      </c>
      <c r="G2908" s="55">
        <f>IFERROR(INDEX('Semrush Data'!$A$1:$Z$20000,MATCH(A2908,'Semrush Data'!$A$1:$A$20000,0),MATCH("Volume",'Semrush Data'!$A$1:$Z$1,0)),"")</f>
        <v/>
      </c>
      <c r="H2908" s="42">
        <f>IFERROR(INDEX('Semrush Data'!$A$1:$Z$20000,MATCH(A2908,'Semrush Data'!$A$1:$A$20000,0),MATCH("Keyword Difficulty*",'Semrush Data'!$A$1:$Z$1,0)),"")</f>
        <v/>
      </c>
      <c r="I2908" s="56">
        <f>IFERROR(INDEX('Semrush Data'!$A$1:$Z$20000,MATCH(A2908,'Semrush Data'!$A$1:$A$20000,0),MATCH("CPC*",'Semrush Data'!$A$1:$Z$1,0)),"")</f>
        <v/>
      </c>
      <c r="J2908" s="42">
        <f>IFERROR(INDEX('Semrush Data'!$A$1:$Z$20000,MATCH(A2908,'Semrush Data'!$A$1:$A$20000,0),MATCH("Intent",'Semrush Data'!$A$1:$Z$1,0)),"")</f>
        <v/>
      </c>
    </row>
    <row r="2909" ht="15" customHeight="1" s="37">
      <c r="A2909" s="42" t="inlineStr">
        <is>
          <t>joop homme le parfum review</t>
        </is>
      </c>
      <c r="B2909" s="42" t="inlineStr">
        <is>
          <t>Google suggest</t>
        </is>
      </c>
      <c r="C2909" s="42" t="n">
        <v>3</v>
      </c>
      <c r="D2909" s="42" t="n">
        <v>30</v>
      </c>
      <c r="E2909" s="42" t="n">
        <v>1</v>
      </c>
      <c r="F2909" s="42" t="inlineStr">
        <is>
          <t>FR-270</t>
        </is>
      </c>
      <c r="G2909" s="55">
        <f>IFERROR(INDEX('Semrush Data'!$A$1:$Z$20000,MATCH(A2909,'Semrush Data'!$A$1:$A$20000,0),MATCH("Volume",'Semrush Data'!$A$1:$Z$1,0)),"")</f>
        <v/>
      </c>
      <c r="H2909" s="42">
        <f>IFERROR(INDEX('Semrush Data'!$A$1:$Z$20000,MATCH(A2909,'Semrush Data'!$A$1:$A$20000,0),MATCH("Keyword Difficulty*",'Semrush Data'!$A$1:$Z$1,0)),"")</f>
        <v/>
      </c>
      <c r="I2909" s="56">
        <f>IFERROR(INDEX('Semrush Data'!$A$1:$Z$20000,MATCH(A2909,'Semrush Data'!$A$1:$A$20000,0),MATCH("CPC*",'Semrush Data'!$A$1:$Z$1,0)),"")</f>
        <v/>
      </c>
      <c r="J2909" s="42">
        <f>IFERROR(INDEX('Semrush Data'!$A$1:$Z$20000,MATCH(A2909,'Semrush Data'!$A$1:$A$20000,0),MATCH("Intent",'Semrush Data'!$A$1:$Z$1,0)),"")</f>
        <v/>
      </c>
    </row>
    <row r="2910" ht="15" customHeight="1" s="37">
      <c r="A2910" s="42" t="inlineStr">
        <is>
          <t>joop homme notes</t>
        </is>
      </c>
      <c r="B2910" s="42" t="inlineStr">
        <is>
          <t>Google suggest</t>
        </is>
      </c>
      <c r="C2910" s="42" t="n">
        <v>3</v>
      </c>
      <c r="D2910" s="42" t="inlineStr">
        <is>
          <t>T3-1</t>
        </is>
      </c>
      <c r="E2910" s="42" t="n">
        <v>1</v>
      </c>
      <c r="F2910" s="42" t="inlineStr">
        <is>
          <t>FR-269</t>
        </is>
      </c>
      <c r="G2910" s="55">
        <f>IFERROR(INDEX('Semrush Data'!$A$1:$Z$20000,MATCH(A2910,'Semrush Data'!$A$1:$A$20000,0),MATCH("Volume",'Semrush Data'!$A$1:$Z$1,0)),"")</f>
        <v/>
      </c>
      <c r="H2910" s="42">
        <f>IFERROR(INDEX('Semrush Data'!$A$1:$Z$20000,MATCH(A2910,'Semrush Data'!$A$1:$A$20000,0),MATCH("Keyword Difficulty*",'Semrush Data'!$A$1:$Z$1,0)),"")</f>
        <v/>
      </c>
      <c r="I2910" s="56">
        <f>IFERROR(INDEX('Semrush Data'!$A$1:$Z$20000,MATCH(A2910,'Semrush Data'!$A$1:$A$20000,0),MATCH("CPC*",'Semrush Data'!$A$1:$Z$1,0)),"")</f>
        <v/>
      </c>
      <c r="J2910" s="42">
        <f>IFERROR(INDEX('Semrush Data'!$A$1:$Z$20000,MATCH(A2910,'Semrush Data'!$A$1:$A$20000,0),MATCH("Intent",'Semrush Data'!$A$1:$Z$1,0)),"")</f>
        <v/>
      </c>
    </row>
    <row r="2911" ht="15" customHeight="1" s="37">
      <c r="A2911" s="42" t="inlineStr">
        <is>
          <t>juicy couture viva la juicy rose 100ml</t>
        </is>
      </c>
      <c r="B2911" s="42" t="inlineStr">
        <is>
          <t>Google suggest</t>
        </is>
      </c>
      <c r="C2911" s="42" t="n">
        <v>3</v>
      </c>
      <c r="D2911" s="42" t="n">
        <v>30</v>
      </c>
      <c r="E2911" s="42" t="n">
        <v>3</v>
      </c>
      <c r="F2911" s="42" t="inlineStr">
        <is>
          <t>FR-271, FR-272, FR-273</t>
        </is>
      </c>
      <c r="G2911" s="55">
        <f>IFERROR(INDEX('Semrush Data'!$A$1:$Z$20000,MATCH(A2911,'Semrush Data'!$A$1:$A$20000,0),MATCH("Volume",'Semrush Data'!$A$1:$Z$1,0)),"")</f>
        <v/>
      </c>
      <c r="H2911" s="42">
        <f>IFERROR(INDEX('Semrush Data'!$A$1:$Z$20000,MATCH(A2911,'Semrush Data'!$A$1:$A$20000,0),MATCH("Keyword Difficulty*",'Semrush Data'!$A$1:$Z$1,0)),"")</f>
        <v/>
      </c>
      <c r="I2911" s="56">
        <f>IFERROR(INDEX('Semrush Data'!$A$1:$Z$20000,MATCH(A2911,'Semrush Data'!$A$1:$A$20000,0),MATCH("CPC*",'Semrush Data'!$A$1:$Z$1,0)),"")</f>
        <v/>
      </c>
      <c r="J2911" s="42">
        <f>IFERROR(INDEX('Semrush Data'!$A$1:$Z$20000,MATCH(A2911,'Semrush Data'!$A$1:$A$20000,0),MATCH("Intent",'Semrush Data'!$A$1:$Z$1,0)),"")</f>
        <v/>
      </c>
    </row>
    <row r="2912" ht="15" customHeight="1" s="37">
      <c r="A2912" s="42" t="inlineStr">
        <is>
          <t>juicy couture viva la juicy rose eau de parfum 100ml</t>
        </is>
      </c>
      <c r="B2912" s="42" t="inlineStr">
        <is>
          <t>Google suggest</t>
        </is>
      </c>
      <c r="C2912" s="42" t="n">
        <v>3</v>
      </c>
      <c r="D2912" s="42" t="n">
        <v>30</v>
      </c>
      <c r="E2912" s="42" t="n">
        <v>3</v>
      </c>
      <c r="F2912" s="42" t="inlineStr">
        <is>
          <t>FR-271, FR-272, FR-273</t>
        </is>
      </c>
      <c r="G2912" s="55">
        <f>IFERROR(INDEX('Semrush Data'!$A$1:$Z$20000,MATCH(A2912,'Semrush Data'!$A$1:$A$20000,0),MATCH("Volume",'Semrush Data'!$A$1:$Z$1,0)),"")</f>
        <v/>
      </c>
      <c r="H2912" s="42">
        <f>IFERROR(INDEX('Semrush Data'!$A$1:$Z$20000,MATCH(A2912,'Semrush Data'!$A$1:$A$20000,0),MATCH("Keyword Difficulty*",'Semrush Data'!$A$1:$Z$1,0)),"")</f>
        <v/>
      </c>
      <c r="I2912" s="56">
        <f>IFERROR(INDEX('Semrush Data'!$A$1:$Z$20000,MATCH(A2912,'Semrush Data'!$A$1:$A$20000,0),MATCH("CPC*",'Semrush Data'!$A$1:$Z$1,0)),"")</f>
        <v/>
      </c>
      <c r="J2912" s="42">
        <f>IFERROR(INDEX('Semrush Data'!$A$1:$Z$20000,MATCH(A2912,'Semrush Data'!$A$1:$A$20000,0),MATCH("Intent",'Semrush Data'!$A$1:$Z$1,0)),"")</f>
        <v/>
      </c>
    </row>
    <row r="2913" ht="15" customHeight="1" s="37">
      <c r="A2913" s="42" t="inlineStr">
        <is>
          <t>juicy couture viva la juicy rose edp</t>
        </is>
      </c>
      <c r="B2913" s="42" t="inlineStr">
        <is>
          <t>Google suggest</t>
        </is>
      </c>
      <c r="C2913" s="42" t="n">
        <v>3</v>
      </c>
      <c r="D2913" s="42" t="n">
        <v>30</v>
      </c>
      <c r="E2913" s="42" t="n">
        <v>3</v>
      </c>
      <c r="F2913" s="42" t="inlineStr">
        <is>
          <t>FR-271, FR-272, FR-273</t>
        </is>
      </c>
      <c r="G2913" s="55">
        <f>IFERROR(INDEX('Semrush Data'!$A$1:$Z$20000,MATCH(A2913,'Semrush Data'!$A$1:$A$20000,0),MATCH("Volume",'Semrush Data'!$A$1:$Z$1,0)),"")</f>
        <v/>
      </c>
      <c r="H2913" s="42">
        <f>IFERROR(INDEX('Semrush Data'!$A$1:$Z$20000,MATCH(A2913,'Semrush Data'!$A$1:$A$20000,0),MATCH("Keyword Difficulty*",'Semrush Data'!$A$1:$Z$1,0)),"")</f>
        <v/>
      </c>
      <c r="I2913" s="56">
        <f>IFERROR(INDEX('Semrush Data'!$A$1:$Z$20000,MATCH(A2913,'Semrush Data'!$A$1:$A$20000,0),MATCH("CPC*",'Semrush Data'!$A$1:$Z$1,0)),"")</f>
        <v/>
      </c>
      <c r="J2913" s="42">
        <f>IFERROR(INDEX('Semrush Data'!$A$1:$Z$20000,MATCH(A2913,'Semrush Data'!$A$1:$A$20000,0),MATCH("Intent",'Semrush Data'!$A$1:$Z$1,0)),"")</f>
        <v/>
      </c>
    </row>
    <row r="2914" ht="15" customHeight="1" s="37">
      <c r="A2914" s="42" t="inlineStr">
        <is>
          <t>juicy couture viva la juicy rose edp 100ml</t>
        </is>
      </c>
      <c r="B2914" s="42" t="inlineStr">
        <is>
          <t>Google suggest</t>
        </is>
      </c>
      <c r="C2914" s="42" t="n">
        <v>3</v>
      </c>
      <c r="D2914" s="42" t="n">
        <v>30</v>
      </c>
      <c r="E2914" s="42" t="n">
        <v>3</v>
      </c>
      <c r="F2914" s="42" t="inlineStr">
        <is>
          <t>FR-271, FR-272, FR-273</t>
        </is>
      </c>
      <c r="G2914" s="55">
        <f>IFERROR(INDEX('Semrush Data'!$A$1:$Z$20000,MATCH(A2914,'Semrush Data'!$A$1:$A$20000,0),MATCH("Volume",'Semrush Data'!$A$1:$Z$1,0)),"")</f>
        <v/>
      </c>
      <c r="H2914" s="42">
        <f>IFERROR(INDEX('Semrush Data'!$A$1:$Z$20000,MATCH(A2914,'Semrush Data'!$A$1:$A$20000,0),MATCH("Keyword Difficulty*",'Semrush Data'!$A$1:$Z$1,0)),"")</f>
        <v/>
      </c>
      <c r="I2914" s="56">
        <f>IFERROR(INDEX('Semrush Data'!$A$1:$Z$20000,MATCH(A2914,'Semrush Data'!$A$1:$A$20000,0),MATCH("CPC*",'Semrush Data'!$A$1:$Z$1,0)),"")</f>
        <v/>
      </c>
      <c r="J2914" s="42">
        <f>IFERROR(INDEX('Semrush Data'!$A$1:$Z$20000,MATCH(A2914,'Semrush Data'!$A$1:$A$20000,0),MATCH("Intent",'Semrush Data'!$A$1:$Z$1,0)),"")</f>
        <v/>
      </c>
    </row>
    <row r="2915" ht="15" customHeight="1" s="37">
      <c r="A2915" s="42" t="inlineStr">
        <is>
          <t>juicy couture viva la juicy rose notes</t>
        </is>
      </c>
      <c r="B2915" s="42" t="inlineStr">
        <is>
          <t>Google suggest</t>
        </is>
      </c>
      <c r="C2915" s="42" t="n">
        <v>3</v>
      </c>
      <c r="D2915" s="42" t="n">
        <v>30</v>
      </c>
      <c r="E2915" s="42" t="n">
        <v>3</v>
      </c>
      <c r="F2915" s="42" t="inlineStr">
        <is>
          <t>FR-271, FR-272, FR-273</t>
        </is>
      </c>
      <c r="G2915" s="55">
        <f>IFERROR(INDEX('Semrush Data'!$A$1:$Z$20000,MATCH(A2915,'Semrush Data'!$A$1:$A$20000,0),MATCH("Volume",'Semrush Data'!$A$1:$Z$1,0)),"")</f>
        <v/>
      </c>
      <c r="H2915" s="42">
        <f>IFERROR(INDEX('Semrush Data'!$A$1:$Z$20000,MATCH(A2915,'Semrush Data'!$A$1:$A$20000,0),MATCH("Keyword Difficulty*",'Semrush Data'!$A$1:$Z$1,0)),"")</f>
        <v/>
      </c>
      <c r="I2915" s="56">
        <f>IFERROR(INDEX('Semrush Data'!$A$1:$Z$20000,MATCH(A2915,'Semrush Data'!$A$1:$A$20000,0),MATCH("CPC*",'Semrush Data'!$A$1:$Z$1,0)),"")</f>
        <v/>
      </c>
      <c r="J2915" s="42">
        <f>IFERROR(INDEX('Semrush Data'!$A$1:$Z$20000,MATCH(A2915,'Semrush Data'!$A$1:$A$20000,0),MATCH("Intent",'Semrush Data'!$A$1:$Z$1,0)),"")</f>
        <v/>
      </c>
    </row>
    <row r="2916" ht="15" customHeight="1" s="37">
      <c r="A2916" s="42" t="inlineStr">
        <is>
          <t>kenneth cole moonlight blue notes</t>
        </is>
      </c>
      <c r="B2916" s="42" t="inlineStr">
        <is>
          <t>Google suggest</t>
        </is>
      </c>
      <c r="C2916" s="42" t="n">
        <v>3</v>
      </c>
      <c r="D2916" s="42" t="n">
        <v>30</v>
      </c>
      <c r="E2916" s="42" t="n">
        <v>1</v>
      </c>
      <c r="F2916" s="42" t="inlineStr">
        <is>
          <t>FR-274</t>
        </is>
      </c>
      <c r="G2916" s="55">
        <f>IFERROR(INDEX('Semrush Data'!$A$1:$Z$20000,MATCH(A2916,'Semrush Data'!$A$1:$A$20000,0),MATCH("Volume",'Semrush Data'!$A$1:$Z$1,0)),"")</f>
        <v/>
      </c>
      <c r="H2916" s="42">
        <f>IFERROR(INDEX('Semrush Data'!$A$1:$Z$20000,MATCH(A2916,'Semrush Data'!$A$1:$A$20000,0),MATCH("Keyword Difficulty*",'Semrush Data'!$A$1:$Z$1,0)),"")</f>
        <v/>
      </c>
      <c r="I2916" s="56">
        <f>IFERROR(INDEX('Semrush Data'!$A$1:$Z$20000,MATCH(A2916,'Semrush Data'!$A$1:$A$20000,0),MATCH("CPC*",'Semrush Data'!$A$1:$Z$1,0)),"")</f>
        <v/>
      </c>
      <c r="J2916" s="42">
        <f>IFERROR(INDEX('Semrush Data'!$A$1:$Z$20000,MATCH(A2916,'Semrush Data'!$A$1:$A$20000,0),MATCH("Intent",'Semrush Data'!$A$1:$Z$1,0)),"")</f>
        <v/>
      </c>
    </row>
    <row r="2917" ht="15" customHeight="1" s="37">
      <c r="A2917" s="42" t="inlineStr">
        <is>
          <t>kenneth cole moonlight blue review</t>
        </is>
      </c>
      <c r="B2917" s="42" t="inlineStr">
        <is>
          <t>Google suggest</t>
        </is>
      </c>
      <c r="C2917" s="42" t="n">
        <v>3</v>
      </c>
      <c r="D2917" s="42" t="n">
        <v>30</v>
      </c>
      <c r="E2917" s="42" t="n">
        <v>1</v>
      </c>
      <c r="F2917" s="42" t="inlineStr">
        <is>
          <t>FR-274</t>
        </is>
      </c>
      <c r="G2917" s="55">
        <f>IFERROR(INDEX('Semrush Data'!$A$1:$Z$20000,MATCH(A2917,'Semrush Data'!$A$1:$A$20000,0),MATCH("Volume",'Semrush Data'!$A$1:$Z$1,0)),"")</f>
        <v/>
      </c>
      <c r="H2917" s="42">
        <f>IFERROR(INDEX('Semrush Data'!$A$1:$Z$20000,MATCH(A2917,'Semrush Data'!$A$1:$A$20000,0),MATCH("Keyword Difficulty*",'Semrush Data'!$A$1:$Z$1,0)),"")</f>
        <v/>
      </c>
      <c r="I2917" s="56">
        <f>IFERROR(INDEX('Semrush Data'!$A$1:$Z$20000,MATCH(A2917,'Semrush Data'!$A$1:$A$20000,0),MATCH("CPC*",'Semrush Data'!$A$1:$Z$1,0)),"")</f>
        <v/>
      </c>
      <c r="J2917" s="42">
        <f>IFERROR(INDEX('Semrush Data'!$A$1:$Z$20000,MATCH(A2917,'Semrush Data'!$A$1:$A$20000,0),MATCH("Intent",'Semrush Data'!$A$1:$Z$1,0)),"")</f>
        <v/>
      </c>
    </row>
    <row r="2918" ht="15" customHeight="1" s="37">
      <c r="A2918" s="42" t="inlineStr">
        <is>
          <t>korloff cuir mythique edp</t>
        </is>
      </c>
      <c r="B2918" s="42" t="inlineStr">
        <is>
          <t>Google suggest</t>
        </is>
      </c>
      <c r="C2918" s="42" t="n">
        <v>3</v>
      </c>
      <c r="D2918" s="42" t="n">
        <v>30</v>
      </c>
      <c r="E2918" s="42" t="n">
        <v>1</v>
      </c>
      <c r="F2918" s="42" t="inlineStr">
        <is>
          <t>FR-275</t>
        </is>
      </c>
      <c r="G2918" s="55">
        <f>IFERROR(INDEX('Semrush Data'!$A$1:$Z$20000,MATCH(A2918,'Semrush Data'!$A$1:$A$20000,0),MATCH("Volume",'Semrush Data'!$A$1:$Z$1,0)),"")</f>
        <v/>
      </c>
      <c r="H2918" s="42">
        <f>IFERROR(INDEX('Semrush Data'!$A$1:$Z$20000,MATCH(A2918,'Semrush Data'!$A$1:$A$20000,0),MATCH("Keyword Difficulty*",'Semrush Data'!$A$1:$Z$1,0)),"")</f>
        <v/>
      </c>
      <c r="I2918" s="56">
        <f>IFERROR(INDEX('Semrush Data'!$A$1:$Z$20000,MATCH(A2918,'Semrush Data'!$A$1:$A$20000,0),MATCH("CPC*",'Semrush Data'!$A$1:$Z$1,0)),"")</f>
        <v/>
      </c>
      <c r="J2918" s="42">
        <f>IFERROR(INDEX('Semrush Data'!$A$1:$Z$20000,MATCH(A2918,'Semrush Data'!$A$1:$A$20000,0),MATCH("Intent",'Semrush Data'!$A$1:$Z$1,0)),"")</f>
        <v/>
      </c>
    </row>
    <row r="2919" ht="15" customHeight="1" s="37">
      <c r="A2919" s="42" t="inlineStr">
        <is>
          <t>korloff cuir mythique review</t>
        </is>
      </c>
      <c r="B2919" s="42" t="inlineStr">
        <is>
          <t>Google suggest</t>
        </is>
      </c>
      <c r="C2919" s="42" t="n">
        <v>3</v>
      </c>
      <c r="D2919" s="42" t="n">
        <v>30</v>
      </c>
      <c r="E2919" s="42" t="n">
        <v>1</v>
      </c>
      <c r="F2919" s="42" t="inlineStr">
        <is>
          <t>FR-275</t>
        </is>
      </c>
      <c r="G2919" s="55">
        <f>IFERROR(INDEX('Semrush Data'!$A$1:$Z$20000,MATCH(A2919,'Semrush Data'!$A$1:$A$20000,0),MATCH("Volume",'Semrush Data'!$A$1:$Z$1,0)),"")</f>
        <v/>
      </c>
      <c r="H2919" s="42">
        <f>IFERROR(INDEX('Semrush Data'!$A$1:$Z$20000,MATCH(A2919,'Semrush Data'!$A$1:$A$20000,0),MATCH("Keyword Difficulty*",'Semrush Data'!$A$1:$Z$1,0)),"")</f>
        <v/>
      </c>
      <c r="I2919" s="56">
        <f>IFERROR(INDEX('Semrush Data'!$A$1:$Z$20000,MATCH(A2919,'Semrush Data'!$A$1:$A$20000,0),MATCH("CPC*",'Semrush Data'!$A$1:$Z$1,0)),"")</f>
        <v/>
      </c>
      <c r="J2919" s="42">
        <f>IFERROR(INDEX('Semrush Data'!$A$1:$Z$20000,MATCH(A2919,'Semrush Data'!$A$1:$A$20000,0),MATCH("Intent",'Semrush Data'!$A$1:$Z$1,0)),"")</f>
        <v/>
      </c>
    </row>
    <row r="2920" ht="15" customHeight="1" s="37">
      <c r="A2920" s="42" t="inlineStr">
        <is>
          <t>korloff cuir mythique отзывы</t>
        </is>
      </c>
      <c r="B2920" s="42" t="inlineStr">
        <is>
          <t>Google suggest</t>
        </is>
      </c>
      <c r="C2920" s="42" t="n">
        <v>3</v>
      </c>
      <c r="D2920" s="42" t="n">
        <v>30</v>
      </c>
      <c r="E2920" s="42" t="n">
        <v>1</v>
      </c>
      <c r="F2920" s="42" t="inlineStr">
        <is>
          <t>FR-275</t>
        </is>
      </c>
      <c r="G2920" s="55">
        <f>IFERROR(INDEX('Semrush Data'!$A$1:$Z$20000,MATCH(A2920,'Semrush Data'!$A$1:$A$20000,0),MATCH("Volume",'Semrush Data'!$A$1:$Z$1,0)),"")</f>
        <v/>
      </c>
      <c r="H2920" s="42">
        <f>IFERROR(INDEX('Semrush Data'!$A$1:$Z$20000,MATCH(A2920,'Semrush Data'!$A$1:$A$20000,0),MATCH("Keyword Difficulty*",'Semrush Data'!$A$1:$Z$1,0)),"")</f>
        <v/>
      </c>
      <c r="I2920" s="56">
        <f>IFERROR(INDEX('Semrush Data'!$A$1:$Z$20000,MATCH(A2920,'Semrush Data'!$A$1:$A$20000,0),MATCH("CPC*",'Semrush Data'!$A$1:$Z$1,0)),"")</f>
        <v/>
      </c>
      <c r="J2920" s="42">
        <f>IFERROR(INDEX('Semrush Data'!$A$1:$Z$20000,MATCH(A2920,'Semrush Data'!$A$1:$A$20000,0),MATCH("Intent",'Semrush Data'!$A$1:$Z$1,0)),"")</f>
        <v/>
      </c>
    </row>
    <row r="2921" ht="15" customHeight="1" s="37">
      <c r="A2921" s="42" t="inlineStr">
        <is>
          <t>korloff in love edp 100ml</t>
        </is>
      </c>
      <c r="B2921" s="42" t="inlineStr">
        <is>
          <t>Google suggest</t>
        </is>
      </c>
      <c r="C2921" s="42" t="n">
        <v>3</v>
      </c>
      <c r="D2921" s="42" t="n">
        <v>30</v>
      </c>
      <c r="E2921" s="42" t="n">
        <v>1</v>
      </c>
      <c r="F2921" s="42" t="inlineStr">
        <is>
          <t>FR-276</t>
        </is>
      </c>
      <c r="G2921" s="55">
        <f>IFERROR(INDEX('Semrush Data'!$A$1:$Z$20000,MATCH(A2921,'Semrush Data'!$A$1:$A$20000,0),MATCH("Volume",'Semrush Data'!$A$1:$Z$1,0)),"")</f>
        <v/>
      </c>
      <c r="H2921" s="42">
        <f>IFERROR(INDEX('Semrush Data'!$A$1:$Z$20000,MATCH(A2921,'Semrush Data'!$A$1:$A$20000,0),MATCH("Keyword Difficulty*",'Semrush Data'!$A$1:$Z$1,0)),"")</f>
        <v/>
      </c>
      <c r="I2921" s="56">
        <f>IFERROR(INDEX('Semrush Data'!$A$1:$Z$20000,MATCH(A2921,'Semrush Data'!$A$1:$A$20000,0),MATCH("CPC*",'Semrush Data'!$A$1:$Z$1,0)),"")</f>
        <v/>
      </c>
      <c r="J2921" s="42">
        <f>IFERROR(INDEX('Semrush Data'!$A$1:$Z$20000,MATCH(A2921,'Semrush Data'!$A$1:$A$20000,0),MATCH("Intent",'Semrush Data'!$A$1:$Z$1,0)),"")</f>
        <v/>
      </c>
    </row>
    <row r="2922" ht="15" customHeight="1" s="37">
      <c r="A2922" s="42" t="inlineStr">
        <is>
          <t>korloff in love perfume</t>
        </is>
      </c>
      <c r="B2922" s="42" t="inlineStr">
        <is>
          <t>Google suggest</t>
        </is>
      </c>
      <c r="C2922" s="42" t="n">
        <v>3</v>
      </c>
      <c r="D2922" s="42" t="n">
        <v>30</v>
      </c>
      <c r="E2922" s="42" t="n">
        <v>1</v>
      </c>
      <c r="F2922" s="42" t="inlineStr">
        <is>
          <t>FR-276</t>
        </is>
      </c>
      <c r="G2922" s="55">
        <f>IFERROR(INDEX('Semrush Data'!$A$1:$Z$20000,MATCH(A2922,'Semrush Data'!$A$1:$A$20000,0),MATCH("Volume",'Semrush Data'!$A$1:$Z$1,0)),"")</f>
        <v/>
      </c>
      <c r="H2922" s="42">
        <f>IFERROR(INDEX('Semrush Data'!$A$1:$Z$20000,MATCH(A2922,'Semrush Data'!$A$1:$A$20000,0),MATCH("Keyword Difficulty*",'Semrush Data'!$A$1:$Z$1,0)),"")</f>
        <v/>
      </c>
      <c r="I2922" s="56">
        <f>IFERROR(INDEX('Semrush Data'!$A$1:$Z$20000,MATCH(A2922,'Semrush Data'!$A$1:$A$20000,0),MATCH("CPC*",'Semrush Data'!$A$1:$Z$1,0)),"")</f>
        <v/>
      </c>
      <c r="J2922" s="42">
        <f>IFERROR(INDEX('Semrush Data'!$A$1:$Z$20000,MATCH(A2922,'Semrush Data'!$A$1:$A$20000,0),MATCH("Intent",'Semrush Data'!$A$1:$Z$1,0)),"")</f>
        <v/>
      </c>
    </row>
    <row r="2923" ht="15" customHeight="1" s="37">
      <c r="A2923" s="42" t="inlineStr">
        <is>
          <t>korloff in love perfume price</t>
        </is>
      </c>
      <c r="B2923" s="42" t="inlineStr">
        <is>
          <t>Google suggest</t>
        </is>
      </c>
      <c r="C2923" s="42" t="n">
        <v>3</v>
      </c>
      <c r="D2923" s="42" t="n">
        <v>30</v>
      </c>
      <c r="E2923" s="42" t="n">
        <v>1</v>
      </c>
      <c r="F2923" s="42" t="inlineStr">
        <is>
          <t>FR-276</t>
        </is>
      </c>
      <c r="G2923" s="55">
        <f>IFERROR(INDEX('Semrush Data'!$A$1:$Z$20000,MATCH(A2923,'Semrush Data'!$A$1:$A$20000,0),MATCH("Volume",'Semrush Data'!$A$1:$Z$1,0)),"")</f>
        <v/>
      </c>
      <c r="H2923" s="42">
        <f>IFERROR(INDEX('Semrush Data'!$A$1:$Z$20000,MATCH(A2923,'Semrush Data'!$A$1:$A$20000,0),MATCH("Keyword Difficulty*",'Semrush Data'!$A$1:$Z$1,0)),"")</f>
        <v/>
      </c>
      <c r="I2923" s="56">
        <f>IFERROR(INDEX('Semrush Data'!$A$1:$Z$20000,MATCH(A2923,'Semrush Data'!$A$1:$A$20000,0),MATCH("CPC*",'Semrush Data'!$A$1:$Z$1,0)),"")</f>
        <v/>
      </c>
      <c r="J2923" s="42">
        <f>IFERROR(INDEX('Semrush Data'!$A$1:$Z$20000,MATCH(A2923,'Semrush Data'!$A$1:$A$20000,0),MATCH("Intent",'Semrush Data'!$A$1:$Z$1,0)),"")</f>
        <v/>
      </c>
    </row>
    <row r="2924" ht="15" customHeight="1" s="37">
      <c r="A2924" s="42" t="inlineStr">
        <is>
          <t>korloff in white perfume</t>
        </is>
      </c>
      <c r="B2924" s="42" t="inlineStr">
        <is>
          <t>Google suggest</t>
        </is>
      </c>
      <c r="C2924" s="42" t="n">
        <v>3</v>
      </c>
      <c r="D2924" s="42" t="n">
        <v>30</v>
      </c>
      <c r="E2924" s="42" t="n">
        <v>1</v>
      </c>
      <c r="F2924" s="42" t="inlineStr">
        <is>
          <t>FR-339</t>
        </is>
      </c>
      <c r="G2924" s="55">
        <f>IFERROR(INDEX('Semrush Data'!$A$1:$Z$20000,MATCH(A2924,'Semrush Data'!$A$1:$A$20000,0),MATCH("Volume",'Semrush Data'!$A$1:$Z$1,0)),"")</f>
        <v/>
      </c>
      <c r="H2924" s="42">
        <f>IFERROR(INDEX('Semrush Data'!$A$1:$Z$20000,MATCH(A2924,'Semrush Data'!$A$1:$A$20000,0),MATCH("Keyword Difficulty*",'Semrush Data'!$A$1:$Z$1,0)),"")</f>
        <v/>
      </c>
      <c r="I2924" s="56">
        <f>IFERROR(INDEX('Semrush Data'!$A$1:$Z$20000,MATCH(A2924,'Semrush Data'!$A$1:$A$20000,0),MATCH("CPC*",'Semrush Data'!$A$1:$Z$1,0)),"")</f>
        <v/>
      </c>
      <c r="J2924" s="42">
        <f>IFERROR(INDEX('Semrush Data'!$A$1:$Z$20000,MATCH(A2924,'Semrush Data'!$A$1:$A$20000,0),MATCH("Intent",'Semrush Data'!$A$1:$Z$1,0)),"")</f>
        <v/>
      </c>
    </row>
    <row r="2925" ht="15" customHeight="1" s="37">
      <c r="A2925" s="42" t="inlineStr">
        <is>
          <t>korloff lady intense edp</t>
        </is>
      </c>
      <c r="B2925" s="42" t="inlineStr">
        <is>
          <t>Google suggest</t>
        </is>
      </c>
      <c r="C2925" s="42" t="n">
        <v>3</v>
      </c>
      <c r="D2925" s="42" t="n">
        <v>30</v>
      </c>
      <c r="E2925" s="42" t="n">
        <v>1</v>
      </c>
      <c r="F2925" s="42" t="inlineStr">
        <is>
          <t>FR-277</t>
        </is>
      </c>
      <c r="G2925" s="55">
        <f>IFERROR(INDEX('Semrush Data'!$A$1:$Z$20000,MATCH(A2925,'Semrush Data'!$A$1:$A$20000,0),MATCH("Volume",'Semrush Data'!$A$1:$Z$1,0)),"")</f>
        <v/>
      </c>
      <c r="H2925" s="42">
        <f>IFERROR(INDEX('Semrush Data'!$A$1:$Z$20000,MATCH(A2925,'Semrush Data'!$A$1:$A$20000,0),MATCH("Keyword Difficulty*",'Semrush Data'!$A$1:$Z$1,0)),"")</f>
        <v/>
      </c>
      <c r="I2925" s="56">
        <f>IFERROR(INDEX('Semrush Data'!$A$1:$Z$20000,MATCH(A2925,'Semrush Data'!$A$1:$A$20000,0),MATCH("CPC*",'Semrush Data'!$A$1:$Z$1,0)),"")</f>
        <v/>
      </c>
      <c r="J2925" s="42">
        <f>IFERROR(INDEX('Semrush Data'!$A$1:$Z$20000,MATCH(A2925,'Semrush Data'!$A$1:$A$20000,0),MATCH("Intent",'Semrush Data'!$A$1:$Z$1,0)),"")</f>
        <v/>
      </c>
    </row>
    <row r="2926" ht="15" customHeight="1" s="37">
      <c r="A2926" s="42" t="inlineStr">
        <is>
          <t>korloff lady intense review</t>
        </is>
      </c>
      <c r="B2926" s="42" t="inlineStr">
        <is>
          <t>Google suggest</t>
        </is>
      </c>
      <c r="C2926" s="42" t="n">
        <v>3</v>
      </c>
      <c r="D2926" s="42" t="n">
        <v>30</v>
      </c>
      <c r="E2926" s="42" t="n">
        <v>1</v>
      </c>
      <c r="F2926" s="42" t="inlineStr">
        <is>
          <t>FR-277</t>
        </is>
      </c>
      <c r="G2926" s="55">
        <f>IFERROR(INDEX('Semrush Data'!$A$1:$Z$20000,MATCH(A2926,'Semrush Data'!$A$1:$A$20000,0),MATCH("Volume",'Semrush Data'!$A$1:$Z$1,0)),"")</f>
        <v/>
      </c>
      <c r="H2926" s="42">
        <f>IFERROR(INDEX('Semrush Data'!$A$1:$Z$20000,MATCH(A2926,'Semrush Data'!$A$1:$A$20000,0),MATCH("Keyword Difficulty*",'Semrush Data'!$A$1:$Z$1,0)),"")</f>
        <v/>
      </c>
      <c r="I2926" s="56">
        <f>IFERROR(INDEX('Semrush Data'!$A$1:$Z$20000,MATCH(A2926,'Semrush Data'!$A$1:$A$20000,0),MATCH("CPC*",'Semrush Data'!$A$1:$Z$1,0)),"")</f>
        <v/>
      </c>
      <c r="J2926" s="42">
        <f>IFERROR(INDEX('Semrush Data'!$A$1:$Z$20000,MATCH(A2926,'Semrush Data'!$A$1:$A$20000,0),MATCH("Intent",'Semrush Data'!$A$1:$Z$1,0)),"")</f>
        <v/>
      </c>
    </row>
    <row r="2927" ht="15" customHeight="1" s="37">
      <c r="A2927" s="42" t="inlineStr">
        <is>
          <t>korloff love review</t>
        </is>
      </c>
      <c r="B2927" s="42" t="inlineStr">
        <is>
          <t>Google suggest</t>
        </is>
      </c>
      <c r="C2927" s="42" t="n">
        <v>3</v>
      </c>
      <c r="D2927" s="42" t="n">
        <v>30</v>
      </c>
      <c r="E2927" s="42" t="n">
        <v>1</v>
      </c>
      <c r="F2927" s="42" t="inlineStr">
        <is>
          <t>FR-276</t>
        </is>
      </c>
      <c r="G2927" s="55">
        <f>IFERROR(INDEX('Semrush Data'!$A$1:$Z$20000,MATCH(A2927,'Semrush Data'!$A$1:$A$20000,0),MATCH("Volume",'Semrush Data'!$A$1:$Z$1,0)),"")</f>
        <v/>
      </c>
      <c r="H2927" s="42">
        <f>IFERROR(INDEX('Semrush Data'!$A$1:$Z$20000,MATCH(A2927,'Semrush Data'!$A$1:$A$20000,0),MATCH("Keyword Difficulty*",'Semrush Data'!$A$1:$Z$1,0)),"")</f>
        <v/>
      </c>
      <c r="I2927" s="56">
        <f>IFERROR(INDEX('Semrush Data'!$A$1:$Z$20000,MATCH(A2927,'Semrush Data'!$A$1:$A$20000,0),MATCH("CPC*",'Semrush Data'!$A$1:$Z$1,0)),"")</f>
        <v/>
      </c>
      <c r="J2927" s="42">
        <f>IFERROR(INDEX('Semrush Data'!$A$1:$Z$20000,MATCH(A2927,'Semrush Data'!$A$1:$A$20000,0),MATCH("Intent",'Semrush Data'!$A$1:$Z$1,0)),"")</f>
        <v/>
      </c>
    </row>
    <row r="2928" ht="15" customHeight="1" s="37">
      <c r="A2928" s="42" t="inlineStr">
        <is>
          <t>korloff perfume cuir mythique</t>
        </is>
      </c>
      <c r="B2928" s="42" t="inlineStr">
        <is>
          <t>Google suggest</t>
        </is>
      </c>
      <c r="C2928" s="42" t="n">
        <v>3</v>
      </c>
      <c r="D2928" s="42" t="n">
        <v>30</v>
      </c>
      <c r="E2928" s="42" t="n">
        <v>1</v>
      </c>
      <c r="F2928" s="42" t="inlineStr">
        <is>
          <t>FR-275</t>
        </is>
      </c>
      <c r="G2928" s="55">
        <f>IFERROR(INDEX('Semrush Data'!$A$1:$Z$20000,MATCH(A2928,'Semrush Data'!$A$1:$A$20000,0),MATCH("Volume",'Semrush Data'!$A$1:$Z$1,0)),"")</f>
        <v/>
      </c>
      <c r="H2928" s="42">
        <f>IFERROR(INDEX('Semrush Data'!$A$1:$Z$20000,MATCH(A2928,'Semrush Data'!$A$1:$A$20000,0),MATCH("Keyword Difficulty*",'Semrush Data'!$A$1:$Z$1,0)),"")</f>
        <v/>
      </c>
      <c r="I2928" s="56">
        <f>IFERROR(INDEX('Semrush Data'!$A$1:$Z$20000,MATCH(A2928,'Semrush Data'!$A$1:$A$20000,0),MATCH("CPC*",'Semrush Data'!$A$1:$Z$1,0)),"")</f>
        <v/>
      </c>
      <c r="J2928" s="42">
        <f>IFERROR(INDEX('Semrush Data'!$A$1:$Z$20000,MATCH(A2928,'Semrush Data'!$A$1:$A$20000,0),MATCH("Intent",'Semrush Data'!$A$1:$Z$1,0)),"")</f>
        <v/>
      </c>
    </row>
    <row r="2929" ht="15" customHeight="1" s="37">
      <c r="A2929" s="42" t="inlineStr">
        <is>
          <t>korloff perfume royal rose</t>
        </is>
      </c>
      <c r="B2929" s="42" t="inlineStr">
        <is>
          <t>Google suggest</t>
        </is>
      </c>
      <c r="C2929" s="42" t="n">
        <v>3</v>
      </c>
      <c r="D2929" s="42" t="n">
        <v>30</v>
      </c>
      <c r="E2929" s="42" t="n">
        <v>1</v>
      </c>
      <c r="F2929" s="42" t="inlineStr">
        <is>
          <t>FR-278</t>
        </is>
      </c>
      <c r="G2929" s="55">
        <f>IFERROR(INDEX('Semrush Data'!$A$1:$Z$20000,MATCH(A2929,'Semrush Data'!$A$1:$A$20000,0),MATCH("Volume",'Semrush Data'!$A$1:$Z$1,0)),"")</f>
        <v/>
      </c>
      <c r="H2929" s="42">
        <f>IFERROR(INDEX('Semrush Data'!$A$1:$Z$20000,MATCH(A2929,'Semrush Data'!$A$1:$A$20000,0),MATCH("Keyword Difficulty*",'Semrush Data'!$A$1:$Z$1,0)),"")</f>
        <v/>
      </c>
      <c r="I2929" s="56">
        <f>IFERROR(INDEX('Semrush Data'!$A$1:$Z$20000,MATCH(A2929,'Semrush Data'!$A$1:$A$20000,0),MATCH("CPC*",'Semrush Data'!$A$1:$Z$1,0)),"")</f>
        <v/>
      </c>
      <c r="J2929" s="42">
        <f>IFERROR(INDEX('Semrush Data'!$A$1:$Z$20000,MATCH(A2929,'Semrush Data'!$A$1:$A$20000,0),MATCH("Intent",'Semrush Data'!$A$1:$Z$1,0)),"")</f>
        <v/>
      </c>
    </row>
    <row r="2930" ht="15" customHeight="1" s="37">
      <c r="A2930" s="42" t="inlineStr">
        <is>
          <t>korloff royal oud price</t>
        </is>
      </c>
      <c r="B2930" s="42" t="inlineStr">
        <is>
          <t>Google suggest</t>
        </is>
      </c>
      <c r="C2930" s="42" t="n">
        <v>3</v>
      </c>
      <c r="D2930" s="42" t="n">
        <v>30</v>
      </c>
      <c r="E2930" s="42" t="n">
        <v>1</v>
      </c>
      <c r="F2930" s="42" t="inlineStr">
        <is>
          <t>FR-281</t>
        </is>
      </c>
      <c r="G2930" s="55">
        <f>IFERROR(INDEX('Semrush Data'!$A$1:$Z$20000,MATCH(A2930,'Semrush Data'!$A$1:$A$20000,0),MATCH("Volume",'Semrush Data'!$A$1:$Z$1,0)),"")</f>
        <v/>
      </c>
      <c r="H2930" s="42">
        <f>IFERROR(INDEX('Semrush Data'!$A$1:$Z$20000,MATCH(A2930,'Semrush Data'!$A$1:$A$20000,0),MATCH("Keyword Difficulty*",'Semrush Data'!$A$1:$Z$1,0)),"")</f>
        <v/>
      </c>
      <c r="I2930" s="56">
        <f>IFERROR(INDEX('Semrush Data'!$A$1:$Z$20000,MATCH(A2930,'Semrush Data'!$A$1:$A$20000,0),MATCH("CPC*",'Semrush Data'!$A$1:$Z$1,0)),"")</f>
        <v/>
      </c>
      <c r="J2930" s="42">
        <f>IFERROR(INDEX('Semrush Data'!$A$1:$Z$20000,MATCH(A2930,'Semrush Data'!$A$1:$A$20000,0),MATCH("Intent",'Semrush Data'!$A$1:$Z$1,0)),"")</f>
        <v/>
      </c>
    </row>
    <row r="2931" ht="15" customHeight="1" s="37">
      <c r="A2931" s="42" t="inlineStr">
        <is>
          <t>korloff royal rose edp 88ml</t>
        </is>
      </c>
      <c r="B2931" s="42" t="inlineStr">
        <is>
          <t>Google suggest</t>
        </is>
      </c>
      <c r="C2931" s="42" t="n">
        <v>3</v>
      </c>
      <c r="D2931" s="42" t="n">
        <v>30</v>
      </c>
      <c r="E2931" s="42" t="n">
        <v>1</v>
      </c>
      <c r="F2931" s="42" t="inlineStr">
        <is>
          <t>FR-278</t>
        </is>
      </c>
      <c r="G2931" s="55">
        <f>IFERROR(INDEX('Semrush Data'!$A$1:$Z$20000,MATCH(A2931,'Semrush Data'!$A$1:$A$20000,0),MATCH("Volume",'Semrush Data'!$A$1:$Z$1,0)),"")</f>
        <v/>
      </c>
      <c r="H2931" s="42">
        <f>IFERROR(INDEX('Semrush Data'!$A$1:$Z$20000,MATCH(A2931,'Semrush Data'!$A$1:$A$20000,0),MATCH("Keyword Difficulty*",'Semrush Data'!$A$1:$Z$1,0)),"")</f>
        <v/>
      </c>
      <c r="I2931" s="56">
        <f>IFERROR(INDEX('Semrush Data'!$A$1:$Z$20000,MATCH(A2931,'Semrush Data'!$A$1:$A$20000,0),MATCH("CPC*",'Semrush Data'!$A$1:$Z$1,0)),"")</f>
        <v/>
      </c>
      <c r="J2931" s="42">
        <f>IFERROR(INDEX('Semrush Data'!$A$1:$Z$20000,MATCH(A2931,'Semrush Data'!$A$1:$A$20000,0),MATCH("Intent",'Semrush Data'!$A$1:$Z$1,0)),"")</f>
        <v/>
      </c>
    </row>
    <row r="2932" ht="15" customHeight="1" s="37">
      <c r="A2932" s="42" t="inlineStr">
        <is>
          <t>korloff royal rose review</t>
        </is>
      </c>
      <c r="B2932" s="42" t="inlineStr">
        <is>
          <t>Google suggest</t>
        </is>
      </c>
      <c r="C2932" s="42" t="n">
        <v>3</v>
      </c>
      <c r="D2932" s="42" t="n">
        <v>30</v>
      </c>
      <c r="E2932" s="42" t="n">
        <v>1</v>
      </c>
      <c r="F2932" s="42" t="inlineStr">
        <is>
          <t>FR-278</t>
        </is>
      </c>
      <c r="G2932" s="55">
        <f>IFERROR(INDEX('Semrush Data'!$A$1:$Z$20000,MATCH(A2932,'Semrush Data'!$A$1:$A$20000,0),MATCH("Volume",'Semrush Data'!$A$1:$Z$1,0)),"")</f>
        <v/>
      </c>
      <c r="H2932" s="42">
        <f>IFERROR(INDEX('Semrush Data'!$A$1:$Z$20000,MATCH(A2932,'Semrush Data'!$A$1:$A$20000,0),MATCH("Keyword Difficulty*",'Semrush Data'!$A$1:$Z$1,0)),"")</f>
        <v/>
      </c>
      <c r="I2932" s="56">
        <f>IFERROR(INDEX('Semrush Data'!$A$1:$Z$20000,MATCH(A2932,'Semrush Data'!$A$1:$A$20000,0),MATCH("CPC*",'Semrush Data'!$A$1:$Z$1,0)),"")</f>
        <v/>
      </c>
      <c r="J2932" s="42">
        <f>IFERROR(INDEX('Semrush Data'!$A$1:$Z$20000,MATCH(A2932,'Semrush Data'!$A$1:$A$20000,0),MATCH("Intent",'Semrush Data'!$A$1:$Z$1,0)),"")</f>
        <v/>
      </c>
    </row>
    <row r="2933" ht="15" customHeight="1" s="37">
      <c r="A2933" s="42" t="inlineStr">
        <is>
          <t>korloff royal rose отзывы</t>
        </is>
      </c>
      <c r="B2933" s="42" t="inlineStr">
        <is>
          <t>Google suggest</t>
        </is>
      </c>
      <c r="C2933" s="42" t="n">
        <v>3</v>
      </c>
      <c r="D2933" s="42" t="n">
        <v>30</v>
      </c>
      <c r="E2933" s="42" t="n">
        <v>1</v>
      </c>
      <c r="F2933" s="42" t="inlineStr">
        <is>
          <t>FR-278</t>
        </is>
      </c>
      <c r="G2933" s="55">
        <f>IFERROR(INDEX('Semrush Data'!$A$1:$Z$20000,MATCH(A2933,'Semrush Data'!$A$1:$A$20000,0),MATCH("Volume",'Semrush Data'!$A$1:$Z$1,0)),"")</f>
        <v/>
      </c>
      <c r="H2933" s="42">
        <f>IFERROR(INDEX('Semrush Data'!$A$1:$Z$20000,MATCH(A2933,'Semrush Data'!$A$1:$A$20000,0),MATCH("Keyword Difficulty*",'Semrush Data'!$A$1:$Z$1,0)),"")</f>
        <v/>
      </c>
      <c r="I2933" s="56">
        <f>IFERROR(INDEX('Semrush Data'!$A$1:$Z$20000,MATCH(A2933,'Semrush Data'!$A$1:$A$20000,0),MATCH("CPC*",'Semrush Data'!$A$1:$Z$1,0)),"")</f>
        <v/>
      </c>
      <c r="J2933" s="42">
        <f>IFERROR(INDEX('Semrush Data'!$A$1:$Z$20000,MATCH(A2933,'Semrush Data'!$A$1:$A$20000,0),MATCH("Intent",'Semrush Data'!$A$1:$Z$1,0)),"")</f>
        <v/>
      </c>
    </row>
    <row r="2934" ht="15" customHeight="1" s="37">
      <c r="A2934" s="42" t="inlineStr">
        <is>
          <t>korloff un soir a paris отзывы</t>
        </is>
      </c>
      <c r="B2934" s="42" t="inlineStr">
        <is>
          <t>Google suggest</t>
        </is>
      </c>
      <c r="C2934" s="42" t="n">
        <v>3</v>
      </c>
      <c r="D2934" s="42" t="n">
        <v>30</v>
      </c>
      <c r="E2934" s="42" t="n">
        <v>1</v>
      </c>
      <c r="F2934" s="42" t="inlineStr">
        <is>
          <t>FR-279</t>
        </is>
      </c>
      <c r="G2934" s="55">
        <f>IFERROR(INDEX('Semrush Data'!$A$1:$Z$20000,MATCH(A2934,'Semrush Data'!$A$1:$A$20000,0),MATCH("Volume",'Semrush Data'!$A$1:$Z$1,0)),"")</f>
        <v/>
      </c>
      <c r="H2934" s="42">
        <f>IFERROR(INDEX('Semrush Data'!$A$1:$Z$20000,MATCH(A2934,'Semrush Data'!$A$1:$A$20000,0),MATCH("Keyword Difficulty*",'Semrush Data'!$A$1:$Z$1,0)),"")</f>
        <v/>
      </c>
      <c r="I2934" s="56">
        <f>IFERROR(INDEX('Semrush Data'!$A$1:$Z$20000,MATCH(A2934,'Semrush Data'!$A$1:$A$20000,0),MATCH("CPC*",'Semrush Data'!$A$1:$Z$1,0)),"")</f>
        <v/>
      </c>
      <c r="J2934" s="42">
        <f>IFERROR(INDEX('Semrush Data'!$A$1:$Z$20000,MATCH(A2934,'Semrush Data'!$A$1:$A$20000,0),MATCH("Intent",'Semrush Data'!$A$1:$Z$1,0)),"")</f>
        <v/>
      </c>
    </row>
    <row r="2935" ht="15" customHeight="1" s="37">
      <c r="A2935" s="42" t="inlineStr">
        <is>
          <t>la maison de la vanille absolu de vanille edp 100 ml</t>
        </is>
      </c>
      <c r="B2935" s="42" t="inlineStr">
        <is>
          <t>Google suggest</t>
        </is>
      </c>
      <c r="C2935" s="42" t="n">
        <v>3</v>
      </c>
      <c r="D2935" s="42" t="n">
        <v>30</v>
      </c>
      <c r="E2935" s="42" t="n">
        <v>1</v>
      </c>
      <c r="F2935" s="42" t="inlineStr">
        <is>
          <t>FR-283</t>
        </is>
      </c>
      <c r="G2935" s="55">
        <f>IFERROR(INDEX('Semrush Data'!$A$1:$Z$20000,MATCH(A2935,'Semrush Data'!$A$1:$A$20000,0),MATCH("Volume",'Semrush Data'!$A$1:$Z$1,0)),"")</f>
        <v/>
      </c>
      <c r="H2935" s="42">
        <f>IFERROR(INDEX('Semrush Data'!$A$1:$Z$20000,MATCH(A2935,'Semrush Data'!$A$1:$A$20000,0),MATCH("Keyword Difficulty*",'Semrush Data'!$A$1:$Z$1,0)),"")</f>
        <v/>
      </c>
      <c r="I2935" s="56">
        <f>IFERROR(INDEX('Semrush Data'!$A$1:$Z$20000,MATCH(A2935,'Semrush Data'!$A$1:$A$20000,0),MATCH("CPC*",'Semrush Data'!$A$1:$Z$1,0)),"")</f>
        <v/>
      </c>
      <c r="J2935" s="42">
        <f>IFERROR(INDEX('Semrush Data'!$A$1:$Z$20000,MATCH(A2935,'Semrush Data'!$A$1:$A$20000,0),MATCH("Intent",'Semrush Data'!$A$1:$Z$1,0)),"")</f>
        <v/>
      </c>
    </row>
    <row r="2936" ht="15" customHeight="1" s="37">
      <c r="A2936" s="42" t="inlineStr">
        <is>
          <t>la maison de la vanille absolu de vanille отзывы</t>
        </is>
      </c>
      <c r="B2936" s="42" t="inlineStr">
        <is>
          <t>Google suggest</t>
        </is>
      </c>
      <c r="C2936" s="42" t="n">
        <v>3</v>
      </c>
      <c r="D2936" s="42" t="n">
        <v>30</v>
      </c>
      <c r="E2936" s="42" t="n">
        <v>1</v>
      </c>
      <c r="F2936" s="42" t="inlineStr">
        <is>
          <t>FR-283</t>
        </is>
      </c>
      <c r="G2936" s="55">
        <f>IFERROR(INDEX('Semrush Data'!$A$1:$Z$20000,MATCH(A2936,'Semrush Data'!$A$1:$A$20000,0),MATCH("Volume",'Semrush Data'!$A$1:$Z$1,0)),"")</f>
        <v/>
      </c>
      <c r="H2936" s="42">
        <f>IFERROR(INDEX('Semrush Data'!$A$1:$Z$20000,MATCH(A2936,'Semrush Data'!$A$1:$A$20000,0),MATCH("Keyword Difficulty*",'Semrush Data'!$A$1:$Z$1,0)),"")</f>
        <v/>
      </c>
      <c r="I2936" s="56">
        <f>IFERROR(INDEX('Semrush Data'!$A$1:$Z$20000,MATCH(A2936,'Semrush Data'!$A$1:$A$20000,0),MATCH("CPC*",'Semrush Data'!$A$1:$Z$1,0)),"")</f>
        <v/>
      </c>
      <c r="J2936" s="42">
        <f>IFERROR(INDEX('Semrush Data'!$A$1:$Z$20000,MATCH(A2936,'Semrush Data'!$A$1:$A$20000,0),MATCH("Intent",'Semrush Data'!$A$1:$Z$1,0)),"")</f>
        <v/>
      </c>
    </row>
    <row r="2937" ht="15" customHeight="1" s="37">
      <c r="A2937" s="42" t="inlineStr">
        <is>
          <t>la maison de la vanille ambre secret отзывы</t>
        </is>
      </c>
      <c r="B2937" s="42" t="inlineStr">
        <is>
          <t>Google suggest</t>
        </is>
      </c>
      <c r="C2937" s="42" t="n">
        <v>3</v>
      </c>
      <c r="D2937" s="42" t="n">
        <v>30</v>
      </c>
      <c r="E2937" s="42" t="n">
        <v>1</v>
      </c>
      <c r="F2937" s="42" t="inlineStr">
        <is>
          <t>FR-284</t>
        </is>
      </c>
      <c r="G2937" s="55">
        <f>IFERROR(INDEX('Semrush Data'!$A$1:$Z$20000,MATCH(A2937,'Semrush Data'!$A$1:$A$20000,0),MATCH("Volume",'Semrush Data'!$A$1:$Z$1,0)),"")</f>
        <v/>
      </c>
      <c r="H2937" s="42">
        <f>IFERROR(INDEX('Semrush Data'!$A$1:$Z$20000,MATCH(A2937,'Semrush Data'!$A$1:$A$20000,0),MATCH("Keyword Difficulty*",'Semrush Data'!$A$1:$Z$1,0)),"")</f>
        <v/>
      </c>
      <c r="I2937" s="56">
        <f>IFERROR(INDEX('Semrush Data'!$A$1:$Z$20000,MATCH(A2937,'Semrush Data'!$A$1:$A$20000,0),MATCH("CPC*",'Semrush Data'!$A$1:$Z$1,0)),"")</f>
        <v/>
      </c>
      <c r="J2937" s="42">
        <f>IFERROR(INDEX('Semrush Data'!$A$1:$Z$20000,MATCH(A2937,'Semrush Data'!$A$1:$A$20000,0),MATCH("Intent",'Semrush Data'!$A$1:$Z$1,0)),"")</f>
        <v/>
      </c>
    </row>
    <row r="2938" ht="15" customHeight="1" s="37">
      <c r="A2938" s="42" t="inlineStr">
        <is>
          <t>la maison de la vanille royal oud отзывы</t>
        </is>
      </c>
      <c r="B2938" s="42" t="inlineStr">
        <is>
          <t>Google suggest</t>
        </is>
      </c>
      <c r="C2938" s="42" t="n">
        <v>3</v>
      </c>
      <c r="D2938" s="42" t="n">
        <v>30</v>
      </c>
      <c r="E2938" s="42" t="n">
        <v>1</v>
      </c>
      <c r="F2938" s="42" t="inlineStr">
        <is>
          <t>FR-285</t>
        </is>
      </c>
      <c r="G2938" s="55">
        <f>IFERROR(INDEX('Semrush Data'!$A$1:$Z$20000,MATCH(A2938,'Semrush Data'!$A$1:$A$20000,0),MATCH("Volume",'Semrush Data'!$A$1:$Z$1,0)),"")</f>
        <v/>
      </c>
      <c r="H2938" s="42">
        <f>IFERROR(INDEX('Semrush Data'!$A$1:$Z$20000,MATCH(A2938,'Semrush Data'!$A$1:$A$20000,0),MATCH("Keyword Difficulty*",'Semrush Data'!$A$1:$Z$1,0)),"")</f>
        <v/>
      </c>
      <c r="I2938" s="56">
        <f>IFERROR(INDEX('Semrush Data'!$A$1:$Z$20000,MATCH(A2938,'Semrush Data'!$A$1:$A$20000,0),MATCH("CPC*",'Semrush Data'!$A$1:$Z$1,0)),"")</f>
        <v/>
      </c>
      <c r="J2938" s="42">
        <f>IFERROR(INDEX('Semrush Data'!$A$1:$Z$20000,MATCH(A2938,'Semrush Data'!$A$1:$A$20000,0),MATCH("Intent",'Semrush Data'!$A$1:$Z$1,0)),"")</f>
        <v/>
      </c>
    </row>
    <row r="2939" ht="15" customHeight="1" s="37">
      <c r="A2939" s="42" t="inlineStr">
        <is>
          <t>lady korloff intense notes</t>
        </is>
      </c>
      <c r="B2939" s="42" t="inlineStr">
        <is>
          <t>Google suggest</t>
        </is>
      </c>
      <c r="C2939" s="42" t="n">
        <v>3</v>
      </c>
      <c r="D2939" s="42" t="n">
        <v>30</v>
      </c>
      <c r="E2939" s="42" t="n">
        <v>1</v>
      </c>
      <c r="F2939" s="42" t="inlineStr">
        <is>
          <t>FR-277</t>
        </is>
      </c>
      <c r="G2939" s="55">
        <f>IFERROR(INDEX('Semrush Data'!$A$1:$Z$20000,MATCH(A2939,'Semrush Data'!$A$1:$A$20000,0),MATCH("Volume",'Semrush Data'!$A$1:$Z$1,0)),"")</f>
        <v/>
      </c>
      <c r="H2939" s="42">
        <f>IFERROR(INDEX('Semrush Data'!$A$1:$Z$20000,MATCH(A2939,'Semrush Data'!$A$1:$A$20000,0),MATCH("Keyword Difficulty*",'Semrush Data'!$A$1:$Z$1,0)),"")</f>
        <v/>
      </c>
      <c r="I2939" s="56">
        <f>IFERROR(INDEX('Semrush Data'!$A$1:$Z$20000,MATCH(A2939,'Semrush Data'!$A$1:$A$20000,0),MATCH("CPC*",'Semrush Data'!$A$1:$Z$1,0)),"")</f>
        <v/>
      </c>
      <c r="J2939" s="42">
        <f>IFERROR(INDEX('Semrush Data'!$A$1:$Z$20000,MATCH(A2939,'Semrush Data'!$A$1:$A$20000,0),MATCH("Intent",'Semrush Data'!$A$1:$Z$1,0)),"")</f>
        <v/>
      </c>
    </row>
    <row r="2940" ht="15" customHeight="1" s="37">
      <c r="A2940" s="42" t="inlineStr">
        <is>
          <t>lady korloff intense perfume</t>
        </is>
      </c>
      <c r="B2940" s="42" t="inlineStr">
        <is>
          <t>Google suggest</t>
        </is>
      </c>
      <c r="C2940" s="42" t="n">
        <v>3</v>
      </c>
      <c r="D2940" s="42" t="n">
        <v>30</v>
      </c>
      <c r="E2940" s="42" t="n">
        <v>1</v>
      </c>
      <c r="F2940" s="42" t="inlineStr">
        <is>
          <t>FR-277</t>
        </is>
      </c>
      <c r="G2940" s="55">
        <f>IFERROR(INDEX('Semrush Data'!$A$1:$Z$20000,MATCH(A2940,'Semrush Data'!$A$1:$A$20000,0),MATCH("Volume",'Semrush Data'!$A$1:$Z$1,0)),"")</f>
        <v/>
      </c>
      <c r="H2940" s="42">
        <f>IFERROR(INDEX('Semrush Data'!$A$1:$Z$20000,MATCH(A2940,'Semrush Data'!$A$1:$A$20000,0),MATCH("Keyword Difficulty*",'Semrush Data'!$A$1:$Z$1,0)),"")</f>
        <v/>
      </c>
      <c r="I2940" s="56">
        <f>IFERROR(INDEX('Semrush Data'!$A$1:$Z$20000,MATCH(A2940,'Semrush Data'!$A$1:$A$20000,0),MATCH("CPC*",'Semrush Data'!$A$1:$Z$1,0)),"")</f>
        <v/>
      </c>
      <c r="J2940" s="42">
        <f>IFERROR(INDEX('Semrush Data'!$A$1:$Z$20000,MATCH(A2940,'Semrush Data'!$A$1:$A$20000,0),MATCH("Intent",'Semrush Data'!$A$1:$Z$1,0)),"")</f>
        <v/>
      </c>
    </row>
    <row r="2941" ht="15" customHeight="1" s="37">
      <c r="A2941" s="42" t="inlineStr">
        <is>
          <t>lady korloff intense отзывы</t>
        </is>
      </c>
      <c r="B2941" s="42" t="inlineStr">
        <is>
          <t>Google suggest</t>
        </is>
      </c>
      <c r="C2941" s="42" t="n">
        <v>3</v>
      </c>
      <c r="D2941" s="42" t="n">
        <v>30</v>
      </c>
      <c r="E2941" s="42" t="n">
        <v>1</v>
      </c>
      <c r="F2941" s="42" t="inlineStr">
        <is>
          <t>FR-277</t>
        </is>
      </c>
      <c r="G2941" s="55">
        <f>IFERROR(INDEX('Semrush Data'!$A$1:$Z$20000,MATCH(A2941,'Semrush Data'!$A$1:$A$20000,0),MATCH("Volume",'Semrush Data'!$A$1:$Z$1,0)),"")</f>
        <v/>
      </c>
      <c r="H2941" s="42">
        <f>IFERROR(INDEX('Semrush Data'!$A$1:$Z$20000,MATCH(A2941,'Semrush Data'!$A$1:$A$20000,0),MATCH("Keyword Difficulty*",'Semrush Data'!$A$1:$Z$1,0)),"")</f>
        <v/>
      </c>
      <c r="I2941" s="56">
        <f>IFERROR(INDEX('Semrush Data'!$A$1:$Z$20000,MATCH(A2941,'Semrush Data'!$A$1:$A$20000,0),MATCH("CPC*",'Semrush Data'!$A$1:$Z$1,0)),"")</f>
        <v/>
      </c>
      <c r="J2941" s="42">
        <f>IFERROR(INDEX('Semrush Data'!$A$1:$Z$20000,MATCH(A2941,'Semrush Data'!$A$1:$A$20000,0),MATCH("Intent",'Semrush Data'!$A$1:$Z$1,0)),"")</f>
        <v/>
      </c>
    </row>
    <row r="2942" ht="15" customHeight="1" s="37">
      <c r="A2942" s="42" t="inlineStr">
        <is>
          <t>lancome idole nectar 50ml</t>
        </is>
      </c>
      <c r="B2942" s="42" t="inlineStr">
        <is>
          <t>Google suggest</t>
        </is>
      </c>
      <c r="C2942" s="42" t="n">
        <v>3</v>
      </c>
      <c r="D2942" s="42" t="n">
        <v>30</v>
      </c>
      <c r="E2942" s="42" t="n">
        <v>1</v>
      </c>
      <c r="F2942" s="42" t="inlineStr">
        <is>
          <t>FR-287</t>
        </is>
      </c>
      <c r="G2942" s="55">
        <f>IFERROR(INDEX('Semrush Data'!$A$1:$Z$20000,MATCH(A2942,'Semrush Data'!$A$1:$A$20000,0),MATCH("Volume",'Semrush Data'!$A$1:$Z$1,0)),"")</f>
        <v/>
      </c>
      <c r="H2942" s="42">
        <f>IFERROR(INDEX('Semrush Data'!$A$1:$Z$20000,MATCH(A2942,'Semrush Data'!$A$1:$A$20000,0),MATCH("Keyword Difficulty*",'Semrush Data'!$A$1:$Z$1,0)),"")</f>
        <v/>
      </c>
      <c r="I2942" s="56">
        <f>IFERROR(INDEX('Semrush Data'!$A$1:$Z$20000,MATCH(A2942,'Semrush Data'!$A$1:$A$20000,0),MATCH("CPC*",'Semrush Data'!$A$1:$Z$1,0)),"")</f>
        <v/>
      </c>
      <c r="J2942" s="42">
        <f>IFERROR(INDEX('Semrush Data'!$A$1:$Z$20000,MATCH(A2942,'Semrush Data'!$A$1:$A$20000,0),MATCH("Intent",'Semrush Data'!$A$1:$Z$1,0)),"")</f>
        <v/>
      </c>
    </row>
    <row r="2943" ht="15" customHeight="1" s="37">
      <c r="A2943" s="42" t="inlineStr">
        <is>
          <t>lancome idole nectar dupe</t>
        </is>
      </c>
      <c r="B2943" s="42" t="inlineStr">
        <is>
          <t>Google suggest</t>
        </is>
      </c>
      <c r="C2943" s="42" t="n">
        <v>3</v>
      </c>
      <c r="D2943" s="42" t="inlineStr">
        <is>
          <t>T3-2</t>
        </is>
      </c>
      <c r="E2943" s="42" t="n">
        <v>1</v>
      </c>
      <c r="F2943" s="42" t="inlineStr">
        <is>
          <t>FR-287</t>
        </is>
      </c>
      <c r="G2943" s="55">
        <f>IFERROR(INDEX('Semrush Data'!$A$1:$Z$20000,MATCH(A2943,'Semrush Data'!$A$1:$A$20000,0),MATCH("Volume",'Semrush Data'!$A$1:$Z$1,0)),"")</f>
        <v/>
      </c>
      <c r="H2943" s="42">
        <f>IFERROR(INDEX('Semrush Data'!$A$1:$Z$20000,MATCH(A2943,'Semrush Data'!$A$1:$A$20000,0),MATCH("Keyword Difficulty*",'Semrush Data'!$A$1:$Z$1,0)),"")</f>
        <v/>
      </c>
      <c r="I2943" s="56">
        <f>IFERROR(INDEX('Semrush Data'!$A$1:$Z$20000,MATCH(A2943,'Semrush Data'!$A$1:$A$20000,0),MATCH("CPC*",'Semrush Data'!$A$1:$Z$1,0)),"")</f>
        <v/>
      </c>
      <c r="J2943" s="42">
        <f>IFERROR(INDEX('Semrush Data'!$A$1:$Z$20000,MATCH(A2943,'Semrush Data'!$A$1:$A$20000,0),MATCH("Intent",'Semrush Data'!$A$1:$Z$1,0)),"")</f>
        <v/>
      </c>
    </row>
    <row r="2944" ht="15" customHeight="1" s="37">
      <c r="A2944" s="42" t="inlineStr">
        <is>
          <t>lancome idole nectar eau de parfum 100ml</t>
        </is>
      </c>
      <c r="B2944" s="42" t="inlineStr">
        <is>
          <t>Google suggest</t>
        </is>
      </c>
      <c r="C2944" s="42" t="n">
        <v>3</v>
      </c>
      <c r="D2944" s="42" t="n">
        <v>30</v>
      </c>
      <c r="E2944" s="42" t="n">
        <v>1</v>
      </c>
      <c r="F2944" s="42" t="inlineStr">
        <is>
          <t>FR-287</t>
        </is>
      </c>
      <c r="G2944" s="55">
        <f>IFERROR(INDEX('Semrush Data'!$A$1:$Z$20000,MATCH(A2944,'Semrush Data'!$A$1:$A$20000,0),MATCH("Volume",'Semrush Data'!$A$1:$Z$1,0)),"")</f>
        <v/>
      </c>
      <c r="H2944" s="42">
        <f>IFERROR(INDEX('Semrush Data'!$A$1:$Z$20000,MATCH(A2944,'Semrush Data'!$A$1:$A$20000,0),MATCH("Keyword Difficulty*",'Semrush Data'!$A$1:$Z$1,0)),"")</f>
        <v/>
      </c>
      <c r="I2944" s="56">
        <f>IFERROR(INDEX('Semrush Data'!$A$1:$Z$20000,MATCH(A2944,'Semrush Data'!$A$1:$A$20000,0),MATCH("CPC*",'Semrush Data'!$A$1:$Z$1,0)),"")</f>
        <v/>
      </c>
      <c r="J2944" s="42">
        <f>IFERROR(INDEX('Semrush Data'!$A$1:$Z$20000,MATCH(A2944,'Semrush Data'!$A$1:$A$20000,0),MATCH("Intent",'Semrush Data'!$A$1:$Z$1,0)),"")</f>
        <v/>
      </c>
    </row>
    <row r="2945" ht="15" customHeight="1" s="37">
      <c r="A2945" s="42" t="inlineStr">
        <is>
          <t>lancome idole nectar notes</t>
        </is>
      </c>
      <c r="B2945" s="42" t="inlineStr">
        <is>
          <t>Google suggest</t>
        </is>
      </c>
      <c r="C2945" s="42" t="n">
        <v>3</v>
      </c>
      <c r="D2945" s="42" t="inlineStr">
        <is>
          <t>T3-2</t>
        </is>
      </c>
      <c r="E2945" s="42" t="n">
        <v>1</v>
      </c>
      <c r="F2945" s="42" t="inlineStr">
        <is>
          <t>FR-287</t>
        </is>
      </c>
      <c r="G2945" s="55">
        <f>IFERROR(INDEX('Semrush Data'!$A$1:$Z$20000,MATCH(A2945,'Semrush Data'!$A$1:$A$20000,0),MATCH("Volume",'Semrush Data'!$A$1:$Z$1,0)),"")</f>
        <v/>
      </c>
      <c r="H2945" s="42">
        <f>IFERROR(INDEX('Semrush Data'!$A$1:$Z$20000,MATCH(A2945,'Semrush Data'!$A$1:$A$20000,0),MATCH("Keyword Difficulty*",'Semrush Data'!$A$1:$Z$1,0)),"")</f>
        <v/>
      </c>
      <c r="I2945" s="56">
        <f>IFERROR(INDEX('Semrush Data'!$A$1:$Z$20000,MATCH(A2945,'Semrush Data'!$A$1:$A$20000,0),MATCH("CPC*",'Semrush Data'!$A$1:$Z$1,0)),"")</f>
        <v/>
      </c>
      <c r="J2945" s="42">
        <f>IFERROR(INDEX('Semrush Data'!$A$1:$Z$20000,MATCH(A2945,'Semrush Data'!$A$1:$A$20000,0),MATCH("Intent",'Semrush Data'!$A$1:$Z$1,0)),"")</f>
        <v/>
      </c>
    </row>
    <row r="2946" ht="15" customHeight="1" s="37">
      <c r="A2946" s="42" t="inlineStr">
        <is>
          <t>lancome idole nectar perfume</t>
        </is>
      </c>
      <c r="B2946" s="42" t="inlineStr">
        <is>
          <t>Google suggest</t>
        </is>
      </c>
      <c r="C2946" s="42" t="n">
        <v>3</v>
      </c>
      <c r="D2946" s="42" t="n">
        <v>30</v>
      </c>
      <c r="E2946" s="42" t="n">
        <v>1</v>
      </c>
      <c r="F2946" s="42" t="inlineStr">
        <is>
          <t>FR-287</t>
        </is>
      </c>
      <c r="G2946" s="55">
        <f>IFERROR(INDEX('Semrush Data'!$A$1:$Z$20000,MATCH(A2946,'Semrush Data'!$A$1:$A$20000,0),MATCH("Volume",'Semrush Data'!$A$1:$Z$1,0)),"")</f>
        <v/>
      </c>
      <c r="H2946" s="42">
        <f>IFERROR(INDEX('Semrush Data'!$A$1:$Z$20000,MATCH(A2946,'Semrush Data'!$A$1:$A$20000,0),MATCH("Keyword Difficulty*",'Semrush Data'!$A$1:$Z$1,0)),"")</f>
        <v/>
      </c>
      <c r="I2946" s="56">
        <f>IFERROR(INDEX('Semrush Data'!$A$1:$Z$20000,MATCH(A2946,'Semrush Data'!$A$1:$A$20000,0),MATCH("CPC*",'Semrush Data'!$A$1:$Z$1,0)),"")</f>
        <v/>
      </c>
      <c r="J2946" s="42">
        <f>IFERROR(INDEX('Semrush Data'!$A$1:$Z$20000,MATCH(A2946,'Semrush Data'!$A$1:$A$20000,0),MATCH("Intent",'Semrush Data'!$A$1:$Z$1,0)),"")</f>
        <v/>
      </c>
    </row>
    <row r="2947" ht="15" customHeight="1" s="37">
      <c r="A2947" s="42" t="inlineStr">
        <is>
          <t>lancome idole now edp florale</t>
        </is>
      </c>
      <c r="B2947" s="42" t="inlineStr">
        <is>
          <t>Google suggest</t>
        </is>
      </c>
      <c r="C2947" s="42" t="n">
        <v>3</v>
      </c>
      <c r="D2947" s="42" t="n">
        <v>30</v>
      </c>
      <c r="E2947" s="42" t="n">
        <v>1</v>
      </c>
      <c r="F2947" s="42" t="inlineStr">
        <is>
          <t>FR-288</t>
        </is>
      </c>
      <c r="G2947" s="55">
        <f>IFERROR(INDEX('Semrush Data'!$A$1:$Z$20000,MATCH(A2947,'Semrush Data'!$A$1:$A$20000,0),MATCH("Volume",'Semrush Data'!$A$1:$Z$1,0)),"")</f>
        <v/>
      </c>
      <c r="H2947" s="42">
        <f>IFERROR(INDEX('Semrush Data'!$A$1:$Z$20000,MATCH(A2947,'Semrush Data'!$A$1:$A$20000,0),MATCH("Keyword Difficulty*",'Semrush Data'!$A$1:$Z$1,0)),"")</f>
        <v/>
      </c>
      <c r="I2947" s="56">
        <f>IFERROR(INDEX('Semrush Data'!$A$1:$Z$20000,MATCH(A2947,'Semrush Data'!$A$1:$A$20000,0),MATCH("CPC*",'Semrush Data'!$A$1:$Z$1,0)),"")</f>
        <v/>
      </c>
      <c r="J2947" s="42">
        <f>IFERROR(INDEX('Semrush Data'!$A$1:$Z$20000,MATCH(A2947,'Semrush Data'!$A$1:$A$20000,0),MATCH("Intent",'Semrush Data'!$A$1:$Z$1,0)),"")</f>
        <v/>
      </c>
    </row>
    <row r="2948" ht="15" customHeight="1" s="37">
      <c r="A2948" s="42" t="inlineStr">
        <is>
          <t>lancome idole now florale 100ml</t>
        </is>
      </c>
      <c r="B2948" s="42" t="inlineStr">
        <is>
          <t>Google suggest</t>
        </is>
      </c>
      <c r="C2948" s="42" t="n">
        <v>3</v>
      </c>
      <c r="D2948" s="42" t="n">
        <v>30</v>
      </c>
      <c r="E2948" s="42" t="n">
        <v>1</v>
      </c>
      <c r="F2948" s="42" t="inlineStr">
        <is>
          <t>FR-288</t>
        </is>
      </c>
      <c r="G2948" s="55">
        <f>IFERROR(INDEX('Semrush Data'!$A$1:$Z$20000,MATCH(A2948,'Semrush Data'!$A$1:$A$20000,0),MATCH("Volume",'Semrush Data'!$A$1:$Z$1,0)),"")</f>
        <v/>
      </c>
      <c r="H2948" s="42">
        <f>IFERROR(INDEX('Semrush Data'!$A$1:$Z$20000,MATCH(A2948,'Semrush Data'!$A$1:$A$20000,0),MATCH("Keyword Difficulty*",'Semrush Data'!$A$1:$Z$1,0)),"")</f>
        <v/>
      </c>
      <c r="I2948" s="56">
        <f>IFERROR(INDEX('Semrush Data'!$A$1:$Z$20000,MATCH(A2948,'Semrush Data'!$A$1:$A$20000,0),MATCH("CPC*",'Semrush Data'!$A$1:$Z$1,0)),"")</f>
        <v/>
      </c>
      <c r="J2948" s="42">
        <f>IFERROR(INDEX('Semrush Data'!$A$1:$Z$20000,MATCH(A2948,'Semrush Data'!$A$1:$A$20000,0),MATCH("Intent",'Semrush Data'!$A$1:$Z$1,0)),"")</f>
        <v/>
      </c>
    </row>
    <row r="2949" ht="15" customHeight="1" s="37">
      <c r="A2949" s="42" t="inlineStr">
        <is>
          <t>lancome idole now florale 50ml</t>
        </is>
      </c>
      <c r="B2949" s="42" t="inlineStr">
        <is>
          <t>Google suggest</t>
        </is>
      </c>
      <c r="C2949" s="42" t="n">
        <v>3</v>
      </c>
      <c r="D2949" s="42" t="n">
        <v>30</v>
      </c>
      <c r="E2949" s="42" t="n">
        <v>1</v>
      </c>
      <c r="F2949" s="42" t="inlineStr">
        <is>
          <t>FR-288</t>
        </is>
      </c>
      <c r="G2949" s="55">
        <f>IFERROR(INDEX('Semrush Data'!$A$1:$Z$20000,MATCH(A2949,'Semrush Data'!$A$1:$A$20000,0),MATCH("Volume",'Semrush Data'!$A$1:$Z$1,0)),"")</f>
        <v/>
      </c>
      <c r="H2949" s="42">
        <f>IFERROR(INDEX('Semrush Data'!$A$1:$Z$20000,MATCH(A2949,'Semrush Data'!$A$1:$A$20000,0),MATCH("Keyword Difficulty*",'Semrush Data'!$A$1:$Z$1,0)),"")</f>
        <v/>
      </c>
      <c r="I2949" s="56">
        <f>IFERROR(INDEX('Semrush Data'!$A$1:$Z$20000,MATCH(A2949,'Semrush Data'!$A$1:$A$20000,0),MATCH("CPC*",'Semrush Data'!$A$1:$Z$1,0)),"")</f>
        <v/>
      </c>
      <c r="J2949" s="42">
        <f>IFERROR(INDEX('Semrush Data'!$A$1:$Z$20000,MATCH(A2949,'Semrush Data'!$A$1:$A$20000,0),MATCH("Intent",'Semrush Data'!$A$1:$Z$1,0)),"")</f>
        <v/>
      </c>
    </row>
    <row r="2950" ht="15" customHeight="1" s="37">
      <c r="A2950" s="42" t="inlineStr">
        <is>
          <t>lancome idole now florale edp 100ml</t>
        </is>
      </c>
      <c r="B2950" s="42" t="inlineStr">
        <is>
          <t>Google suggest</t>
        </is>
      </c>
      <c r="C2950" s="42" t="n">
        <v>3</v>
      </c>
      <c r="D2950" s="42" t="n">
        <v>30</v>
      </c>
      <c r="E2950" s="42" t="n">
        <v>1</v>
      </c>
      <c r="F2950" s="42" t="inlineStr">
        <is>
          <t>FR-288</t>
        </is>
      </c>
      <c r="G2950" s="55">
        <f>IFERROR(INDEX('Semrush Data'!$A$1:$Z$20000,MATCH(A2950,'Semrush Data'!$A$1:$A$20000,0),MATCH("Volume",'Semrush Data'!$A$1:$Z$1,0)),"")</f>
        <v/>
      </c>
      <c r="H2950" s="42">
        <f>IFERROR(INDEX('Semrush Data'!$A$1:$Z$20000,MATCH(A2950,'Semrush Data'!$A$1:$A$20000,0),MATCH("Keyword Difficulty*",'Semrush Data'!$A$1:$Z$1,0)),"")</f>
        <v/>
      </c>
      <c r="I2950" s="56">
        <f>IFERROR(INDEX('Semrush Data'!$A$1:$Z$20000,MATCH(A2950,'Semrush Data'!$A$1:$A$20000,0),MATCH("CPC*",'Semrush Data'!$A$1:$Z$1,0)),"")</f>
        <v/>
      </c>
      <c r="J2950" s="42">
        <f>IFERROR(INDEX('Semrush Data'!$A$1:$Z$20000,MATCH(A2950,'Semrush Data'!$A$1:$A$20000,0),MATCH("Intent",'Semrush Data'!$A$1:$Z$1,0)),"")</f>
        <v/>
      </c>
    </row>
    <row r="2951" ht="15" customHeight="1" s="37">
      <c r="A2951" s="42" t="inlineStr">
        <is>
          <t>lancome idole now florale perfume</t>
        </is>
      </c>
      <c r="B2951" s="42" t="inlineStr">
        <is>
          <t>Google suggest</t>
        </is>
      </c>
      <c r="C2951" s="42" t="n">
        <v>3</v>
      </c>
      <c r="D2951" s="42" t="n">
        <v>30</v>
      </c>
      <c r="E2951" s="42" t="n">
        <v>1</v>
      </c>
      <c r="F2951" s="42" t="inlineStr">
        <is>
          <t>FR-288</t>
        </is>
      </c>
      <c r="G2951" s="55">
        <f>IFERROR(INDEX('Semrush Data'!$A$1:$Z$20000,MATCH(A2951,'Semrush Data'!$A$1:$A$20000,0),MATCH("Volume",'Semrush Data'!$A$1:$Z$1,0)),"")</f>
        <v/>
      </c>
      <c r="H2951" s="42">
        <f>IFERROR(INDEX('Semrush Data'!$A$1:$Z$20000,MATCH(A2951,'Semrush Data'!$A$1:$A$20000,0),MATCH("Keyword Difficulty*",'Semrush Data'!$A$1:$Z$1,0)),"")</f>
        <v/>
      </c>
      <c r="I2951" s="56">
        <f>IFERROR(INDEX('Semrush Data'!$A$1:$Z$20000,MATCH(A2951,'Semrush Data'!$A$1:$A$20000,0),MATCH("CPC*",'Semrush Data'!$A$1:$Z$1,0)),"")</f>
        <v/>
      </c>
      <c r="J2951" s="42">
        <f>IFERROR(INDEX('Semrush Data'!$A$1:$Z$20000,MATCH(A2951,'Semrush Data'!$A$1:$A$20000,0),MATCH("Intent",'Semrush Data'!$A$1:$Z$1,0)),"")</f>
        <v/>
      </c>
    </row>
    <row r="2952" ht="15" customHeight="1" s="37">
      <c r="A2952" s="42" t="inlineStr">
        <is>
          <t>maison de milan invincible 100ml</t>
        </is>
      </c>
      <c r="B2952" s="42" t="inlineStr">
        <is>
          <t>Google suggest</t>
        </is>
      </c>
      <c r="C2952" s="42" t="n">
        <v>3</v>
      </c>
      <c r="D2952" s="42" t="n">
        <v>30</v>
      </c>
      <c r="E2952" s="42" t="n">
        <v>1</v>
      </c>
      <c r="F2952" s="42" t="inlineStr">
        <is>
          <t>FR-202</t>
        </is>
      </c>
      <c r="G2952" s="55">
        <f>IFERROR(INDEX('Semrush Data'!$A$1:$Z$20000,MATCH(A2952,'Semrush Data'!$A$1:$A$20000,0),MATCH("Volume",'Semrush Data'!$A$1:$Z$1,0)),"")</f>
        <v/>
      </c>
      <c r="H2952" s="42">
        <f>IFERROR(INDEX('Semrush Data'!$A$1:$Z$20000,MATCH(A2952,'Semrush Data'!$A$1:$A$20000,0),MATCH("Keyword Difficulty*",'Semrush Data'!$A$1:$Z$1,0)),"")</f>
        <v/>
      </c>
      <c r="I2952" s="56">
        <f>IFERROR(INDEX('Semrush Data'!$A$1:$Z$20000,MATCH(A2952,'Semrush Data'!$A$1:$A$20000,0),MATCH("CPC*",'Semrush Data'!$A$1:$Z$1,0)),"")</f>
        <v/>
      </c>
      <c r="J2952" s="42">
        <f>IFERROR(INDEX('Semrush Data'!$A$1:$Z$20000,MATCH(A2952,'Semrush Data'!$A$1:$A$20000,0),MATCH("Intent",'Semrush Data'!$A$1:$Z$1,0)),"")</f>
        <v/>
      </c>
    </row>
    <row r="2953" ht="15" customHeight="1" s="37">
      <c r="A2953" s="42" t="inlineStr">
        <is>
          <t>mancera black noir edp</t>
        </is>
      </c>
      <c r="B2953" s="42" t="inlineStr">
        <is>
          <t>Google suggest</t>
        </is>
      </c>
      <c r="C2953" s="42" t="n">
        <v>3</v>
      </c>
      <c r="D2953" s="42" t="n">
        <v>30</v>
      </c>
      <c r="E2953" s="42" t="n">
        <v>1</v>
      </c>
      <c r="F2953" s="42" t="inlineStr">
        <is>
          <t>FR-289</t>
        </is>
      </c>
      <c r="G2953" s="55">
        <f>IFERROR(INDEX('Semrush Data'!$A$1:$Z$20000,MATCH(A2953,'Semrush Data'!$A$1:$A$20000,0),MATCH("Volume",'Semrush Data'!$A$1:$Z$1,0)),"")</f>
        <v/>
      </c>
      <c r="H2953" s="42">
        <f>IFERROR(INDEX('Semrush Data'!$A$1:$Z$20000,MATCH(A2953,'Semrush Data'!$A$1:$A$20000,0),MATCH("Keyword Difficulty*",'Semrush Data'!$A$1:$Z$1,0)),"")</f>
        <v/>
      </c>
      <c r="I2953" s="56">
        <f>IFERROR(INDEX('Semrush Data'!$A$1:$Z$20000,MATCH(A2953,'Semrush Data'!$A$1:$A$20000,0),MATCH("CPC*",'Semrush Data'!$A$1:$Z$1,0)),"")</f>
        <v/>
      </c>
      <c r="J2953" s="42">
        <f>IFERROR(INDEX('Semrush Data'!$A$1:$Z$20000,MATCH(A2953,'Semrush Data'!$A$1:$A$20000,0),MATCH("Intent",'Semrush Data'!$A$1:$Z$1,0)),"")</f>
        <v/>
      </c>
    </row>
    <row r="2954" ht="15" customHeight="1" s="37">
      <c r="A2954" s="42" t="inlineStr">
        <is>
          <t>mancera black noir edp 120ml</t>
        </is>
      </c>
      <c r="B2954" s="42" t="inlineStr">
        <is>
          <t>Google suggest</t>
        </is>
      </c>
      <c r="C2954" s="42" t="n">
        <v>3</v>
      </c>
      <c r="D2954" s="42" t="n">
        <v>30</v>
      </c>
      <c r="E2954" s="42" t="n">
        <v>1</v>
      </c>
      <c r="F2954" s="42" t="inlineStr">
        <is>
          <t>FR-289</t>
        </is>
      </c>
      <c r="G2954" s="55">
        <f>IFERROR(INDEX('Semrush Data'!$A$1:$Z$20000,MATCH(A2954,'Semrush Data'!$A$1:$A$20000,0),MATCH("Volume",'Semrush Data'!$A$1:$Z$1,0)),"")</f>
        <v/>
      </c>
      <c r="H2954" s="42">
        <f>IFERROR(INDEX('Semrush Data'!$A$1:$Z$20000,MATCH(A2954,'Semrush Data'!$A$1:$A$20000,0),MATCH("Keyword Difficulty*",'Semrush Data'!$A$1:$Z$1,0)),"")</f>
        <v/>
      </c>
      <c r="I2954" s="56">
        <f>IFERROR(INDEX('Semrush Data'!$A$1:$Z$20000,MATCH(A2954,'Semrush Data'!$A$1:$A$20000,0),MATCH("CPC*",'Semrush Data'!$A$1:$Z$1,0)),"")</f>
        <v/>
      </c>
      <c r="J2954" s="42">
        <f>IFERROR(INDEX('Semrush Data'!$A$1:$Z$20000,MATCH(A2954,'Semrush Data'!$A$1:$A$20000,0),MATCH("Intent",'Semrush Data'!$A$1:$Z$1,0)),"")</f>
        <v/>
      </c>
    </row>
    <row r="2955" ht="15" customHeight="1" s="37">
      <c r="A2955" s="42" t="inlineStr">
        <is>
          <t>mancera black noir notes</t>
        </is>
      </c>
      <c r="B2955" s="42" t="inlineStr">
        <is>
          <t>Google suggest</t>
        </is>
      </c>
      <c r="C2955" s="42" t="n">
        <v>3</v>
      </c>
      <c r="D2955" s="42" t="n">
        <v>30</v>
      </c>
      <c r="E2955" s="42" t="n">
        <v>1</v>
      </c>
      <c r="F2955" s="42" t="inlineStr">
        <is>
          <t>FR-289</t>
        </is>
      </c>
      <c r="G2955" s="55">
        <f>IFERROR(INDEX('Semrush Data'!$A$1:$Z$20000,MATCH(A2955,'Semrush Data'!$A$1:$A$20000,0),MATCH("Volume",'Semrush Data'!$A$1:$Z$1,0)),"")</f>
        <v/>
      </c>
      <c r="H2955" s="42">
        <f>IFERROR(INDEX('Semrush Data'!$A$1:$Z$20000,MATCH(A2955,'Semrush Data'!$A$1:$A$20000,0),MATCH("Keyword Difficulty*",'Semrush Data'!$A$1:$Z$1,0)),"")</f>
        <v/>
      </c>
      <c r="I2955" s="56">
        <f>IFERROR(INDEX('Semrush Data'!$A$1:$Z$20000,MATCH(A2955,'Semrush Data'!$A$1:$A$20000,0),MATCH("CPC*",'Semrush Data'!$A$1:$Z$1,0)),"")</f>
        <v/>
      </c>
      <c r="J2955" s="42">
        <f>IFERROR(INDEX('Semrush Data'!$A$1:$Z$20000,MATCH(A2955,'Semrush Data'!$A$1:$A$20000,0),MATCH("Intent",'Semrush Data'!$A$1:$Z$1,0)),"")</f>
        <v/>
      </c>
    </row>
    <row r="2956" ht="15" customHeight="1" s="37">
      <c r="A2956" s="42" t="inlineStr">
        <is>
          <t>mancera black noir review</t>
        </is>
      </c>
      <c r="B2956" s="42" t="inlineStr">
        <is>
          <t>Google suggest</t>
        </is>
      </c>
      <c r="C2956" s="42" t="n">
        <v>3</v>
      </c>
      <c r="D2956" s="42" t="n">
        <v>30</v>
      </c>
      <c r="E2956" s="42" t="n">
        <v>1</v>
      </c>
      <c r="F2956" s="42" t="inlineStr">
        <is>
          <t>FR-289</t>
        </is>
      </c>
      <c r="G2956" s="55">
        <f>IFERROR(INDEX('Semrush Data'!$A$1:$Z$20000,MATCH(A2956,'Semrush Data'!$A$1:$A$20000,0),MATCH("Volume",'Semrush Data'!$A$1:$Z$1,0)),"")</f>
        <v/>
      </c>
      <c r="H2956" s="42">
        <f>IFERROR(INDEX('Semrush Data'!$A$1:$Z$20000,MATCH(A2956,'Semrush Data'!$A$1:$A$20000,0),MATCH("Keyword Difficulty*",'Semrush Data'!$A$1:$Z$1,0)),"")</f>
        <v/>
      </c>
      <c r="I2956" s="56">
        <f>IFERROR(INDEX('Semrush Data'!$A$1:$Z$20000,MATCH(A2956,'Semrush Data'!$A$1:$A$20000,0),MATCH("CPC*",'Semrush Data'!$A$1:$Z$1,0)),"")</f>
        <v/>
      </c>
      <c r="J2956" s="42">
        <f>IFERROR(INDEX('Semrush Data'!$A$1:$Z$20000,MATCH(A2956,'Semrush Data'!$A$1:$A$20000,0),MATCH("Intent",'Semrush Data'!$A$1:$Z$1,0)),"")</f>
        <v/>
      </c>
    </row>
    <row r="2957" ht="15" customHeight="1" s="37">
      <c r="A2957" s="42" t="inlineStr">
        <is>
          <t>mancera intense red tobacco 120ml</t>
        </is>
      </c>
      <c r="B2957" s="42" t="inlineStr">
        <is>
          <t>Google suggest</t>
        </is>
      </c>
      <c r="C2957" s="42" t="n">
        <v>3</v>
      </c>
      <c r="D2957" s="42" t="n">
        <v>30</v>
      </c>
      <c r="E2957" s="42" t="n">
        <v>1</v>
      </c>
      <c r="F2957" s="42" t="inlineStr">
        <is>
          <t>FR-290</t>
        </is>
      </c>
      <c r="G2957" s="55">
        <f>IFERROR(INDEX('Semrush Data'!$A$1:$Z$20000,MATCH(A2957,'Semrush Data'!$A$1:$A$20000,0),MATCH("Volume",'Semrush Data'!$A$1:$Z$1,0)),"")</f>
        <v/>
      </c>
      <c r="H2957" s="42">
        <f>IFERROR(INDEX('Semrush Data'!$A$1:$Z$20000,MATCH(A2957,'Semrush Data'!$A$1:$A$20000,0),MATCH("Keyword Difficulty*",'Semrush Data'!$A$1:$Z$1,0)),"")</f>
        <v/>
      </c>
      <c r="I2957" s="56">
        <f>IFERROR(INDEX('Semrush Data'!$A$1:$Z$20000,MATCH(A2957,'Semrush Data'!$A$1:$A$20000,0),MATCH("CPC*",'Semrush Data'!$A$1:$Z$1,0)),"")</f>
        <v/>
      </c>
      <c r="J2957" s="42">
        <f>IFERROR(INDEX('Semrush Data'!$A$1:$Z$20000,MATCH(A2957,'Semrush Data'!$A$1:$A$20000,0),MATCH("Intent",'Semrush Data'!$A$1:$Z$1,0)),"")</f>
        <v/>
      </c>
    </row>
    <row r="2958" ht="15" customHeight="1" s="37">
      <c r="A2958" s="42" t="inlineStr">
        <is>
          <t>mancera intense red tobacco eau de parfum</t>
        </is>
      </c>
      <c r="B2958" s="42" t="inlineStr">
        <is>
          <t>Google suggest</t>
        </is>
      </c>
      <c r="C2958" s="42" t="n">
        <v>3</v>
      </c>
      <c r="D2958" s="42" t="n">
        <v>30</v>
      </c>
      <c r="E2958" s="42" t="n">
        <v>1</v>
      </c>
      <c r="F2958" s="42" t="inlineStr">
        <is>
          <t>FR-290</t>
        </is>
      </c>
      <c r="G2958" s="55">
        <f>IFERROR(INDEX('Semrush Data'!$A$1:$Z$20000,MATCH(A2958,'Semrush Data'!$A$1:$A$20000,0),MATCH("Volume",'Semrush Data'!$A$1:$Z$1,0)),"")</f>
        <v/>
      </c>
      <c r="H2958" s="42">
        <f>IFERROR(INDEX('Semrush Data'!$A$1:$Z$20000,MATCH(A2958,'Semrush Data'!$A$1:$A$20000,0),MATCH("Keyword Difficulty*",'Semrush Data'!$A$1:$Z$1,0)),"")</f>
        <v/>
      </c>
      <c r="I2958" s="56">
        <f>IFERROR(INDEX('Semrush Data'!$A$1:$Z$20000,MATCH(A2958,'Semrush Data'!$A$1:$A$20000,0),MATCH("CPC*",'Semrush Data'!$A$1:$Z$1,0)),"")</f>
        <v/>
      </c>
      <c r="J2958" s="42">
        <f>IFERROR(INDEX('Semrush Data'!$A$1:$Z$20000,MATCH(A2958,'Semrush Data'!$A$1:$A$20000,0),MATCH("Intent",'Semrush Data'!$A$1:$Z$1,0)),"")</f>
        <v/>
      </c>
    </row>
    <row r="2959" ht="15" customHeight="1" s="37">
      <c r="A2959" s="42" t="inlineStr">
        <is>
          <t>mancera intense red tobacco edp 120ml</t>
        </is>
      </c>
      <c r="B2959" s="42" t="inlineStr">
        <is>
          <t>Google suggest</t>
        </is>
      </c>
      <c r="C2959" s="42" t="n">
        <v>3</v>
      </c>
      <c r="D2959" s="42" t="n">
        <v>30</v>
      </c>
      <c r="E2959" s="42" t="n">
        <v>1</v>
      </c>
      <c r="F2959" s="42" t="inlineStr">
        <is>
          <t>FR-290</t>
        </is>
      </c>
      <c r="G2959" s="55">
        <f>IFERROR(INDEX('Semrush Data'!$A$1:$Z$20000,MATCH(A2959,'Semrush Data'!$A$1:$A$20000,0),MATCH("Volume",'Semrush Data'!$A$1:$Z$1,0)),"")</f>
        <v/>
      </c>
      <c r="H2959" s="42">
        <f>IFERROR(INDEX('Semrush Data'!$A$1:$Z$20000,MATCH(A2959,'Semrush Data'!$A$1:$A$20000,0),MATCH("Keyword Difficulty*",'Semrush Data'!$A$1:$Z$1,0)),"")</f>
        <v/>
      </c>
      <c r="I2959" s="56">
        <f>IFERROR(INDEX('Semrush Data'!$A$1:$Z$20000,MATCH(A2959,'Semrush Data'!$A$1:$A$20000,0),MATCH("CPC*",'Semrush Data'!$A$1:$Z$1,0)),"")</f>
        <v/>
      </c>
      <c r="J2959" s="42">
        <f>IFERROR(INDEX('Semrush Data'!$A$1:$Z$20000,MATCH(A2959,'Semrush Data'!$A$1:$A$20000,0),MATCH("Intent",'Semrush Data'!$A$1:$Z$1,0)),"")</f>
        <v/>
      </c>
    </row>
    <row r="2960" ht="15" customHeight="1" s="37">
      <c r="A2960" s="42" t="inlineStr">
        <is>
          <t>mancera intense red tobacco review</t>
        </is>
      </c>
      <c r="B2960" s="42" t="inlineStr">
        <is>
          <t>Google suggest</t>
        </is>
      </c>
      <c r="C2960" s="42" t="n">
        <v>3</v>
      </c>
      <c r="D2960" s="42" t="n">
        <v>30</v>
      </c>
      <c r="E2960" s="42" t="n">
        <v>1</v>
      </c>
      <c r="F2960" s="42" t="inlineStr">
        <is>
          <t>FR-290</t>
        </is>
      </c>
      <c r="G2960" s="55">
        <f>IFERROR(INDEX('Semrush Data'!$A$1:$Z$20000,MATCH(A2960,'Semrush Data'!$A$1:$A$20000,0),MATCH("Volume",'Semrush Data'!$A$1:$Z$1,0)),"")</f>
        <v/>
      </c>
      <c r="H2960" s="42">
        <f>IFERROR(INDEX('Semrush Data'!$A$1:$Z$20000,MATCH(A2960,'Semrush Data'!$A$1:$A$20000,0),MATCH("Keyword Difficulty*",'Semrush Data'!$A$1:$Z$1,0)),"")</f>
        <v/>
      </c>
      <c r="I2960" s="56">
        <f>IFERROR(INDEX('Semrush Data'!$A$1:$Z$20000,MATCH(A2960,'Semrush Data'!$A$1:$A$20000,0),MATCH("CPC*",'Semrush Data'!$A$1:$Z$1,0)),"")</f>
        <v/>
      </c>
      <c r="J2960" s="42">
        <f>IFERROR(INDEX('Semrush Data'!$A$1:$Z$20000,MATCH(A2960,'Semrush Data'!$A$1:$A$20000,0),MATCH("Intent",'Semrush Data'!$A$1:$Z$1,0)),"")</f>
        <v/>
      </c>
    </row>
    <row r="2961" ht="15" customHeight="1" s="37">
      <c r="A2961" s="42" t="inlineStr">
        <is>
          <t>marc jacobs daisy love glow limited edition edt 50 ml</t>
        </is>
      </c>
      <c r="B2961" s="42" t="inlineStr">
        <is>
          <t>Google suggest</t>
        </is>
      </c>
      <c r="C2961" s="42" t="n">
        <v>3</v>
      </c>
      <c r="D2961" s="42" t="n">
        <v>30</v>
      </c>
      <c r="E2961" s="42" t="n">
        <v>1</v>
      </c>
      <c r="F2961" s="42" t="inlineStr">
        <is>
          <t>FR-295</t>
        </is>
      </c>
      <c r="G2961" s="55">
        <f>IFERROR(INDEX('Semrush Data'!$A$1:$Z$20000,MATCH(A2961,'Semrush Data'!$A$1:$A$20000,0),MATCH("Volume",'Semrush Data'!$A$1:$Z$1,0)),"")</f>
        <v/>
      </c>
      <c r="H2961" s="42">
        <f>IFERROR(INDEX('Semrush Data'!$A$1:$Z$20000,MATCH(A2961,'Semrush Data'!$A$1:$A$20000,0),MATCH("Keyword Difficulty*",'Semrush Data'!$A$1:$Z$1,0)),"")</f>
        <v/>
      </c>
      <c r="I2961" s="56">
        <f>IFERROR(INDEX('Semrush Data'!$A$1:$Z$20000,MATCH(A2961,'Semrush Data'!$A$1:$A$20000,0),MATCH("CPC*",'Semrush Data'!$A$1:$Z$1,0)),"")</f>
        <v/>
      </c>
      <c r="J2961" s="42">
        <f>IFERROR(INDEX('Semrush Data'!$A$1:$Z$20000,MATCH(A2961,'Semrush Data'!$A$1:$A$20000,0),MATCH("Intent",'Semrush Data'!$A$1:$Z$1,0)),"")</f>
        <v/>
      </c>
    </row>
    <row r="2962" ht="15" customHeight="1" s="37">
      <c r="A2962" s="42" t="inlineStr">
        <is>
          <t>marc jacobs honey 100ml</t>
        </is>
      </c>
      <c r="B2962" s="42" t="inlineStr">
        <is>
          <t>Google suggest</t>
        </is>
      </c>
      <c r="C2962" s="42" t="n">
        <v>3</v>
      </c>
      <c r="D2962" s="42" t="n">
        <v>30</v>
      </c>
      <c r="E2962" s="42" t="n">
        <v>1</v>
      </c>
      <c r="F2962" s="42" t="inlineStr">
        <is>
          <t>FR-291</t>
        </is>
      </c>
      <c r="G2962" s="55">
        <f>IFERROR(INDEX('Semrush Data'!$A$1:$Z$20000,MATCH(A2962,'Semrush Data'!$A$1:$A$20000,0),MATCH("Volume",'Semrush Data'!$A$1:$Z$1,0)),"")</f>
        <v/>
      </c>
      <c r="H2962" s="42">
        <f>IFERROR(INDEX('Semrush Data'!$A$1:$Z$20000,MATCH(A2962,'Semrush Data'!$A$1:$A$20000,0),MATCH("Keyword Difficulty*",'Semrush Data'!$A$1:$Z$1,0)),"")</f>
        <v/>
      </c>
      <c r="I2962" s="56">
        <f>IFERROR(INDEX('Semrush Data'!$A$1:$Z$20000,MATCH(A2962,'Semrush Data'!$A$1:$A$20000,0),MATCH("CPC*",'Semrush Data'!$A$1:$Z$1,0)),"")</f>
        <v/>
      </c>
      <c r="J2962" s="42">
        <f>IFERROR(INDEX('Semrush Data'!$A$1:$Z$20000,MATCH(A2962,'Semrush Data'!$A$1:$A$20000,0),MATCH("Intent",'Semrush Data'!$A$1:$Z$1,0)),"")</f>
        <v/>
      </c>
    </row>
    <row r="2963" ht="15" customHeight="1" s="37">
      <c r="A2963" s="42" t="inlineStr">
        <is>
          <t>marc jacobs honey edp 100ml</t>
        </is>
      </c>
      <c r="B2963" s="42" t="inlineStr">
        <is>
          <t>Google suggest</t>
        </is>
      </c>
      <c r="C2963" s="42" t="n">
        <v>3</v>
      </c>
      <c r="D2963" s="42" t="n">
        <v>30</v>
      </c>
      <c r="E2963" s="42" t="n">
        <v>1</v>
      </c>
      <c r="F2963" s="42" t="inlineStr">
        <is>
          <t>FR-291</t>
        </is>
      </c>
      <c r="G2963" s="55">
        <f>IFERROR(INDEX('Semrush Data'!$A$1:$Z$20000,MATCH(A2963,'Semrush Data'!$A$1:$A$20000,0),MATCH("Volume",'Semrush Data'!$A$1:$Z$1,0)),"")</f>
        <v/>
      </c>
      <c r="H2963" s="42">
        <f>IFERROR(INDEX('Semrush Data'!$A$1:$Z$20000,MATCH(A2963,'Semrush Data'!$A$1:$A$20000,0),MATCH("Keyword Difficulty*",'Semrush Data'!$A$1:$Z$1,0)),"")</f>
        <v/>
      </c>
      <c r="I2963" s="56">
        <f>IFERROR(INDEX('Semrush Data'!$A$1:$Z$20000,MATCH(A2963,'Semrush Data'!$A$1:$A$20000,0),MATCH("CPC*",'Semrush Data'!$A$1:$Z$1,0)),"")</f>
        <v/>
      </c>
      <c r="J2963" s="42">
        <f>IFERROR(INDEX('Semrush Data'!$A$1:$Z$20000,MATCH(A2963,'Semrush Data'!$A$1:$A$20000,0),MATCH("Intent",'Semrush Data'!$A$1:$Z$1,0)),"")</f>
        <v/>
      </c>
    </row>
    <row r="2964" ht="15" customHeight="1" s="37">
      <c r="A2964" s="42" t="inlineStr">
        <is>
          <t>marc jacobs honey notes</t>
        </is>
      </c>
      <c r="B2964" s="42" t="inlineStr">
        <is>
          <t>Google suggest</t>
        </is>
      </c>
      <c r="C2964" s="42" t="n">
        <v>3</v>
      </c>
      <c r="D2964" s="42" t="inlineStr">
        <is>
          <t>T3-1</t>
        </is>
      </c>
      <c r="E2964" s="42" t="n">
        <v>1</v>
      </c>
      <c r="F2964" s="42" t="inlineStr">
        <is>
          <t>FR-291</t>
        </is>
      </c>
      <c r="G2964" s="55">
        <f>IFERROR(INDEX('Semrush Data'!$A$1:$Z$20000,MATCH(A2964,'Semrush Data'!$A$1:$A$20000,0),MATCH("Volume",'Semrush Data'!$A$1:$Z$1,0)),"")</f>
        <v/>
      </c>
      <c r="H2964" s="42">
        <f>IFERROR(INDEX('Semrush Data'!$A$1:$Z$20000,MATCH(A2964,'Semrush Data'!$A$1:$A$20000,0),MATCH("Keyword Difficulty*",'Semrush Data'!$A$1:$Z$1,0)),"")</f>
        <v/>
      </c>
      <c r="I2964" s="56">
        <f>IFERROR(INDEX('Semrush Data'!$A$1:$Z$20000,MATCH(A2964,'Semrush Data'!$A$1:$A$20000,0),MATCH("CPC*",'Semrush Data'!$A$1:$Z$1,0)),"")</f>
        <v/>
      </c>
      <c r="J2964" s="42">
        <f>IFERROR(INDEX('Semrush Data'!$A$1:$Z$20000,MATCH(A2964,'Semrush Data'!$A$1:$A$20000,0),MATCH("Intent",'Semrush Data'!$A$1:$Z$1,0)),"")</f>
        <v/>
      </c>
    </row>
    <row r="2965" ht="15" customHeight="1" s="37">
      <c r="A2965" s="42" t="inlineStr">
        <is>
          <t>marc jacobs honey perfume</t>
        </is>
      </c>
      <c r="B2965" s="42" t="inlineStr">
        <is>
          <t>Google suggest</t>
        </is>
      </c>
      <c r="C2965" s="42" t="n">
        <v>3</v>
      </c>
      <c r="D2965" s="42" t="n">
        <v>30</v>
      </c>
      <c r="E2965" s="42" t="n">
        <v>1</v>
      </c>
      <c r="F2965" s="42" t="inlineStr">
        <is>
          <t>FR-291</t>
        </is>
      </c>
      <c r="G2965" s="55">
        <f>IFERROR(INDEX('Semrush Data'!$A$1:$Z$20000,MATCH(A2965,'Semrush Data'!$A$1:$A$20000,0),MATCH("Volume",'Semrush Data'!$A$1:$Z$1,0)),"")</f>
        <v/>
      </c>
      <c r="H2965" s="42">
        <f>IFERROR(INDEX('Semrush Data'!$A$1:$Z$20000,MATCH(A2965,'Semrush Data'!$A$1:$A$20000,0),MATCH("Keyword Difficulty*",'Semrush Data'!$A$1:$Z$1,0)),"")</f>
        <v/>
      </c>
      <c r="I2965" s="56">
        <f>IFERROR(INDEX('Semrush Data'!$A$1:$Z$20000,MATCH(A2965,'Semrush Data'!$A$1:$A$20000,0),MATCH("CPC*",'Semrush Data'!$A$1:$Z$1,0)),"")</f>
        <v/>
      </c>
      <c r="J2965" s="42">
        <f>IFERROR(INDEX('Semrush Data'!$A$1:$Z$20000,MATCH(A2965,'Semrush Data'!$A$1:$A$20000,0),MATCH("Intent",'Semrush Data'!$A$1:$Z$1,0)),"")</f>
        <v/>
      </c>
    </row>
    <row r="2966" ht="15" customHeight="1" s="37">
      <c r="A2966" s="42" t="inlineStr">
        <is>
          <t>marc jacobs honey review</t>
        </is>
      </c>
      <c r="B2966" s="42" t="inlineStr">
        <is>
          <t>Google suggest</t>
        </is>
      </c>
      <c r="C2966" s="42" t="n">
        <v>3</v>
      </c>
      <c r="D2966" s="42" t="inlineStr">
        <is>
          <t>T3-1</t>
        </is>
      </c>
      <c r="E2966" s="42" t="n">
        <v>1</v>
      </c>
      <c r="F2966" s="42" t="inlineStr">
        <is>
          <t>FR-291</t>
        </is>
      </c>
      <c r="G2966" s="55">
        <f>IFERROR(INDEX('Semrush Data'!$A$1:$Z$20000,MATCH(A2966,'Semrush Data'!$A$1:$A$20000,0),MATCH("Volume",'Semrush Data'!$A$1:$Z$1,0)),"")</f>
        <v/>
      </c>
      <c r="H2966" s="42">
        <f>IFERROR(INDEX('Semrush Data'!$A$1:$Z$20000,MATCH(A2966,'Semrush Data'!$A$1:$A$20000,0),MATCH("Keyword Difficulty*",'Semrush Data'!$A$1:$Z$1,0)),"")</f>
        <v/>
      </c>
      <c r="I2966" s="56">
        <f>IFERROR(INDEX('Semrush Data'!$A$1:$Z$20000,MATCH(A2966,'Semrush Data'!$A$1:$A$20000,0),MATCH("CPC*",'Semrush Data'!$A$1:$Z$1,0)),"")</f>
        <v/>
      </c>
      <c r="J2966" s="42">
        <f>IFERROR(INDEX('Semrush Data'!$A$1:$Z$20000,MATCH(A2966,'Semrush Data'!$A$1:$A$20000,0),MATCH("Intent",'Semrush Data'!$A$1:$Z$1,0)),"")</f>
        <v/>
      </c>
    </row>
    <row r="2967" ht="15" customHeight="1" s="37">
      <c r="A2967" s="42" t="inlineStr">
        <is>
          <t>marc jacobs perfect 100ml</t>
        </is>
      </c>
      <c r="B2967" s="42" t="inlineStr">
        <is>
          <t>Google suggest</t>
        </is>
      </c>
      <c r="C2967" s="42" t="n">
        <v>3</v>
      </c>
      <c r="D2967" s="42" t="n">
        <v>30</v>
      </c>
      <c r="E2967" s="42" t="n">
        <v>1</v>
      </c>
      <c r="F2967" s="42" t="inlineStr">
        <is>
          <t>FR-292</t>
        </is>
      </c>
      <c r="G2967" s="55">
        <f>IFERROR(INDEX('Semrush Data'!$A$1:$Z$20000,MATCH(A2967,'Semrush Data'!$A$1:$A$20000,0),MATCH("Volume",'Semrush Data'!$A$1:$Z$1,0)),"")</f>
        <v/>
      </c>
      <c r="H2967" s="42">
        <f>IFERROR(INDEX('Semrush Data'!$A$1:$Z$20000,MATCH(A2967,'Semrush Data'!$A$1:$A$20000,0),MATCH("Keyword Difficulty*",'Semrush Data'!$A$1:$Z$1,0)),"")</f>
        <v/>
      </c>
      <c r="I2967" s="56">
        <f>IFERROR(INDEX('Semrush Data'!$A$1:$Z$20000,MATCH(A2967,'Semrush Data'!$A$1:$A$20000,0),MATCH("CPC*",'Semrush Data'!$A$1:$Z$1,0)),"")</f>
        <v/>
      </c>
      <c r="J2967" s="42">
        <f>IFERROR(INDEX('Semrush Data'!$A$1:$Z$20000,MATCH(A2967,'Semrush Data'!$A$1:$A$20000,0),MATCH("Intent",'Semrush Data'!$A$1:$Z$1,0)),"")</f>
        <v/>
      </c>
    </row>
    <row r="2968" ht="15" customHeight="1" s="37">
      <c r="A2968" s="42" t="inlineStr">
        <is>
          <t>marc jacobs perfect edp</t>
        </is>
      </c>
      <c r="B2968" s="42" t="inlineStr">
        <is>
          <t>Google suggest</t>
        </is>
      </c>
      <c r="C2968" s="42" t="n">
        <v>3</v>
      </c>
      <c r="D2968" s="42" t="n">
        <v>30</v>
      </c>
      <c r="E2968" s="42" t="n">
        <v>1</v>
      </c>
      <c r="F2968" s="42" t="inlineStr">
        <is>
          <t>FR-292</t>
        </is>
      </c>
      <c r="G2968" s="55">
        <f>IFERROR(INDEX('Semrush Data'!$A$1:$Z$20000,MATCH(A2968,'Semrush Data'!$A$1:$A$20000,0),MATCH("Volume",'Semrush Data'!$A$1:$Z$1,0)),"")</f>
        <v/>
      </c>
      <c r="H2968" s="42">
        <f>IFERROR(INDEX('Semrush Data'!$A$1:$Z$20000,MATCH(A2968,'Semrush Data'!$A$1:$A$20000,0),MATCH("Keyword Difficulty*",'Semrush Data'!$A$1:$Z$1,0)),"")</f>
        <v/>
      </c>
      <c r="I2968" s="56">
        <f>IFERROR(INDEX('Semrush Data'!$A$1:$Z$20000,MATCH(A2968,'Semrush Data'!$A$1:$A$20000,0),MATCH("CPC*",'Semrush Data'!$A$1:$Z$1,0)),"")</f>
        <v/>
      </c>
      <c r="J2968" s="42">
        <f>IFERROR(INDEX('Semrush Data'!$A$1:$Z$20000,MATCH(A2968,'Semrush Data'!$A$1:$A$20000,0),MATCH("Intent",'Semrush Data'!$A$1:$Z$1,0)),"")</f>
        <v/>
      </c>
    </row>
    <row r="2969" ht="15" customHeight="1" s="37">
      <c r="A2969" s="42" t="inlineStr">
        <is>
          <t>marc jacobs perfect notes</t>
        </is>
      </c>
      <c r="B2969" s="42" t="inlineStr">
        <is>
          <t>Google suggest</t>
        </is>
      </c>
      <c r="C2969" s="42" t="n">
        <v>3</v>
      </c>
      <c r="D2969" s="42" t="inlineStr">
        <is>
          <t>T3-1</t>
        </is>
      </c>
      <c r="E2969" s="42" t="n">
        <v>1</v>
      </c>
      <c r="F2969" s="42" t="inlineStr">
        <is>
          <t>FR-292</t>
        </is>
      </c>
      <c r="G2969" s="55">
        <f>IFERROR(INDEX('Semrush Data'!$A$1:$Z$20000,MATCH(A2969,'Semrush Data'!$A$1:$A$20000,0),MATCH("Volume",'Semrush Data'!$A$1:$Z$1,0)),"")</f>
        <v/>
      </c>
      <c r="H2969" s="42">
        <f>IFERROR(INDEX('Semrush Data'!$A$1:$Z$20000,MATCH(A2969,'Semrush Data'!$A$1:$A$20000,0),MATCH("Keyword Difficulty*",'Semrush Data'!$A$1:$Z$1,0)),"")</f>
        <v/>
      </c>
      <c r="I2969" s="56">
        <f>IFERROR(INDEX('Semrush Data'!$A$1:$Z$20000,MATCH(A2969,'Semrush Data'!$A$1:$A$20000,0),MATCH("CPC*",'Semrush Data'!$A$1:$Z$1,0)),"")</f>
        <v/>
      </c>
      <c r="J2969" s="42">
        <f>IFERROR(INDEX('Semrush Data'!$A$1:$Z$20000,MATCH(A2969,'Semrush Data'!$A$1:$A$20000,0),MATCH("Intent",'Semrush Data'!$A$1:$Z$1,0)),"")</f>
        <v/>
      </c>
    </row>
    <row r="2970" ht="15" customHeight="1" s="37">
      <c r="A2970" s="42" t="inlineStr">
        <is>
          <t>marc jacobs perfect perfume</t>
        </is>
      </c>
      <c r="B2970" s="42" t="inlineStr">
        <is>
          <t>Google suggest</t>
        </is>
      </c>
      <c r="C2970" s="42" t="n">
        <v>3</v>
      </c>
      <c r="D2970" s="42" t="inlineStr">
        <is>
          <t>T3-1</t>
        </is>
      </c>
      <c r="E2970" s="42" t="n">
        <v>1</v>
      </c>
      <c r="F2970" s="42" t="inlineStr">
        <is>
          <t>FR-292</t>
        </is>
      </c>
      <c r="G2970" s="55">
        <f>IFERROR(INDEX('Semrush Data'!$A$1:$Z$20000,MATCH(A2970,'Semrush Data'!$A$1:$A$20000,0),MATCH("Volume",'Semrush Data'!$A$1:$Z$1,0)),"")</f>
        <v/>
      </c>
      <c r="H2970" s="42">
        <f>IFERROR(INDEX('Semrush Data'!$A$1:$Z$20000,MATCH(A2970,'Semrush Data'!$A$1:$A$20000,0),MATCH("Keyword Difficulty*",'Semrush Data'!$A$1:$Z$1,0)),"")</f>
        <v/>
      </c>
      <c r="I2970" s="56">
        <f>IFERROR(INDEX('Semrush Data'!$A$1:$Z$20000,MATCH(A2970,'Semrush Data'!$A$1:$A$20000,0),MATCH("CPC*",'Semrush Data'!$A$1:$Z$1,0)),"")</f>
        <v/>
      </c>
      <c r="J2970" s="42">
        <f>IFERROR(INDEX('Semrush Data'!$A$1:$Z$20000,MATCH(A2970,'Semrush Data'!$A$1:$A$20000,0),MATCH("Intent",'Semrush Data'!$A$1:$Z$1,0)),"")</f>
        <v/>
      </c>
    </row>
    <row r="2971" ht="15" customHeight="1" s="37">
      <c r="A2971" s="42" t="inlineStr">
        <is>
          <t>miniature parfum gucci bloom</t>
        </is>
      </c>
      <c r="B2971" s="42" t="inlineStr">
        <is>
          <t>Google suggest</t>
        </is>
      </c>
      <c r="C2971" s="42" t="n">
        <v>3</v>
      </c>
      <c r="D2971" s="42" t="n">
        <v>30</v>
      </c>
      <c r="E2971" s="42" t="n">
        <v>1</v>
      </c>
      <c r="F2971" s="42" t="inlineStr">
        <is>
          <t>FR-228</t>
        </is>
      </c>
      <c r="G2971" s="55">
        <f>IFERROR(INDEX('Semrush Data'!$A$1:$Z$20000,MATCH(A2971,'Semrush Data'!$A$1:$A$20000,0),MATCH("Volume",'Semrush Data'!$A$1:$Z$1,0)),"")</f>
        <v/>
      </c>
      <c r="H2971" s="42">
        <f>IFERROR(INDEX('Semrush Data'!$A$1:$Z$20000,MATCH(A2971,'Semrush Data'!$A$1:$A$20000,0),MATCH("Keyword Difficulty*",'Semrush Data'!$A$1:$Z$1,0)),"")</f>
        <v/>
      </c>
      <c r="I2971" s="56">
        <f>IFERROR(INDEX('Semrush Data'!$A$1:$Z$20000,MATCH(A2971,'Semrush Data'!$A$1:$A$20000,0),MATCH("CPC*",'Semrush Data'!$A$1:$Z$1,0)),"")</f>
        <v/>
      </c>
      <c r="J2971" s="42">
        <f>IFERROR(INDEX('Semrush Data'!$A$1:$Z$20000,MATCH(A2971,'Semrush Data'!$A$1:$A$20000,0),MATCH("Intent",'Semrush Data'!$A$1:$Z$1,0)),"")</f>
        <v/>
      </c>
    </row>
    <row r="2972" ht="15" customHeight="1" s="37">
      <c r="A2972" s="42" t="inlineStr">
        <is>
          <t>montale aoud damascus edp</t>
        </is>
      </c>
      <c r="B2972" s="42" t="inlineStr">
        <is>
          <t>Google suggest</t>
        </is>
      </c>
      <c r="C2972" s="42" t="n">
        <v>3</v>
      </c>
      <c r="D2972" s="42" t="n">
        <v>30</v>
      </c>
      <c r="E2972" s="42" t="n">
        <v>1</v>
      </c>
      <c r="F2972" s="42" t="inlineStr">
        <is>
          <t>FR-298</t>
        </is>
      </c>
      <c r="G2972" s="55">
        <f>IFERROR(INDEX('Semrush Data'!$A$1:$Z$20000,MATCH(A2972,'Semrush Data'!$A$1:$A$20000,0),MATCH("Volume",'Semrush Data'!$A$1:$Z$1,0)),"")</f>
        <v/>
      </c>
      <c r="H2972" s="42">
        <f>IFERROR(INDEX('Semrush Data'!$A$1:$Z$20000,MATCH(A2972,'Semrush Data'!$A$1:$A$20000,0),MATCH("Keyword Difficulty*",'Semrush Data'!$A$1:$Z$1,0)),"")</f>
        <v/>
      </c>
      <c r="I2972" s="56">
        <f>IFERROR(INDEX('Semrush Data'!$A$1:$Z$20000,MATCH(A2972,'Semrush Data'!$A$1:$A$20000,0),MATCH("CPC*",'Semrush Data'!$A$1:$Z$1,0)),"")</f>
        <v/>
      </c>
      <c r="J2972" s="42">
        <f>IFERROR(INDEX('Semrush Data'!$A$1:$Z$20000,MATCH(A2972,'Semrush Data'!$A$1:$A$20000,0),MATCH("Intent",'Semrush Data'!$A$1:$Z$1,0)),"")</f>
        <v/>
      </c>
    </row>
    <row r="2973" ht="15" customHeight="1" s="37">
      <c r="A2973" s="42" t="inlineStr">
        <is>
          <t>montale aoud damascus edp 100ml</t>
        </is>
      </c>
      <c r="B2973" s="42" t="inlineStr">
        <is>
          <t>Google suggest</t>
        </is>
      </c>
      <c r="C2973" s="42" t="n">
        <v>3</v>
      </c>
      <c r="D2973" s="42" t="n">
        <v>30</v>
      </c>
      <c r="E2973" s="42" t="n">
        <v>1</v>
      </c>
      <c r="F2973" s="42" t="inlineStr">
        <is>
          <t>FR-298</t>
        </is>
      </c>
      <c r="G2973" s="55">
        <f>IFERROR(INDEX('Semrush Data'!$A$1:$Z$20000,MATCH(A2973,'Semrush Data'!$A$1:$A$20000,0),MATCH("Volume",'Semrush Data'!$A$1:$Z$1,0)),"")</f>
        <v/>
      </c>
      <c r="H2973" s="42">
        <f>IFERROR(INDEX('Semrush Data'!$A$1:$Z$20000,MATCH(A2973,'Semrush Data'!$A$1:$A$20000,0),MATCH("Keyword Difficulty*",'Semrush Data'!$A$1:$Z$1,0)),"")</f>
        <v/>
      </c>
      <c r="I2973" s="56">
        <f>IFERROR(INDEX('Semrush Data'!$A$1:$Z$20000,MATCH(A2973,'Semrush Data'!$A$1:$A$20000,0),MATCH("CPC*",'Semrush Data'!$A$1:$Z$1,0)),"")</f>
        <v/>
      </c>
      <c r="J2973" s="42">
        <f>IFERROR(INDEX('Semrush Data'!$A$1:$Z$20000,MATCH(A2973,'Semrush Data'!$A$1:$A$20000,0),MATCH("Intent",'Semrush Data'!$A$1:$Z$1,0)),"")</f>
        <v/>
      </c>
    </row>
    <row r="2974" ht="15" customHeight="1" s="37">
      <c r="A2974" s="42" t="inlineStr">
        <is>
          <t>montale aoud damascus perfume</t>
        </is>
      </c>
      <c r="B2974" s="42" t="inlineStr">
        <is>
          <t>Google suggest</t>
        </is>
      </c>
      <c r="C2974" s="42" t="n">
        <v>3</v>
      </c>
      <c r="D2974" s="42" t="n">
        <v>30</v>
      </c>
      <c r="E2974" s="42" t="n">
        <v>1</v>
      </c>
      <c r="F2974" s="42" t="inlineStr">
        <is>
          <t>FR-298</t>
        </is>
      </c>
      <c r="G2974" s="55">
        <f>IFERROR(INDEX('Semrush Data'!$A$1:$Z$20000,MATCH(A2974,'Semrush Data'!$A$1:$A$20000,0),MATCH("Volume",'Semrush Data'!$A$1:$Z$1,0)),"")</f>
        <v/>
      </c>
      <c r="H2974" s="42">
        <f>IFERROR(INDEX('Semrush Data'!$A$1:$Z$20000,MATCH(A2974,'Semrush Data'!$A$1:$A$20000,0),MATCH("Keyword Difficulty*",'Semrush Data'!$A$1:$Z$1,0)),"")</f>
        <v/>
      </c>
      <c r="I2974" s="56">
        <f>IFERROR(INDEX('Semrush Data'!$A$1:$Z$20000,MATCH(A2974,'Semrush Data'!$A$1:$A$20000,0),MATCH("CPC*",'Semrush Data'!$A$1:$Z$1,0)),"")</f>
        <v/>
      </c>
      <c r="J2974" s="42">
        <f>IFERROR(INDEX('Semrush Data'!$A$1:$Z$20000,MATCH(A2974,'Semrush Data'!$A$1:$A$20000,0),MATCH("Intent",'Semrush Data'!$A$1:$Z$1,0)),"")</f>
        <v/>
      </c>
    </row>
    <row r="2975" ht="15" customHeight="1" s="37">
      <c r="A2975" s="42" t="inlineStr">
        <is>
          <t>montale aoud damascus review</t>
        </is>
      </c>
      <c r="B2975" s="42" t="inlineStr">
        <is>
          <t>Google suggest</t>
        </is>
      </c>
      <c r="C2975" s="42" t="n">
        <v>3</v>
      </c>
      <c r="D2975" s="42" t="n">
        <v>30</v>
      </c>
      <c r="E2975" s="42" t="n">
        <v>1</v>
      </c>
      <c r="F2975" s="42" t="inlineStr">
        <is>
          <t>FR-298</t>
        </is>
      </c>
      <c r="G2975" s="55">
        <f>IFERROR(INDEX('Semrush Data'!$A$1:$Z$20000,MATCH(A2975,'Semrush Data'!$A$1:$A$20000,0),MATCH("Volume",'Semrush Data'!$A$1:$Z$1,0)),"")</f>
        <v/>
      </c>
      <c r="H2975" s="42">
        <f>IFERROR(INDEX('Semrush Data'!$A$1:$Z$20000,MATCH(A2975,'Semrush Data'!$A$1:$A$20000,0),MATCH("Keyword Difficulty*",'Semrush Data'!$A$1:$Z$1,0)),"")</f>
        <v/>
      </c>
      <c r="I2975" s="56">
        <f>IFERROR(INDEX('Semrush Data'!$A$1:$Z$20000,MATCH(A2975,'Semrush Data'!$A$1:$A$20000,0),MATCH("CPC*",'Semrush Data'!$A$1:$Z$1,0)),"")</f>
        <v/>
      </c>
      <c r="J2975" s="42">
        <f>IFERROR(INDEX('Semrush Data'!$A$1:$Z$20000,MATCH(A2975,'Semrush Data'!$A$1:$A$20000,0),MATCH("Intent",'Semrush Data'!$A$1:$Z$1,0)),"")</f>
        <v/>
      </c>
    </row>
    <row r="2976" ht="15" customHeight="1" s="37">
      <c r="A2976" s="42" t="inlineStr">
        <is>
          <t>montale aoud damascus отзывы</t>
        </is>
      </c>
      <c r="B2976" s="42" t="inlineStr">
        <is>
          <t>Google suggest</t>
        </is>
      </c>
      <c r="C2976" s="42" t="n">
        <v>3</v>
      </c>
      <c r="D2976" s="42" t="n">
        <v>30</v>
      </c>
      <c r="E2976" s="42" t="n">
        <v>1</v>
      </c>
      <c r="F2976" s="42" t="inlineStr">
        <is>
          <t>FR-298</t>
        </is>
      </c>
      <c r="G2976" s="55">
        <f>IFERROR(INDEX('Semrush Data'!$A$1:$Z$20000,MATCH(A2976,'Semrush Data'!$A$1:$A$20000,0),MATCH("Volume",'Semrush Data'!$A$1:$Z$1,0)),"")</f>
        <v/>
      </c>
      <c r="H2976" s="42">
        <f>IFERROR(INDEX('Semrush Data'!$A$1:$Z$20000,MATCH(A2976,'Semrush Data'!$A$1:$A$20000,0),MATCH("Keyword Difficulty*",'Semrush Data'!$A$1:$Z$1,0)),"")</f>
        <v/>
      </c>
      <c r="I2976" s="56">
        <f>IFERROR(INDEX('Semrush Data'!$A$1:$Z$20000,MATCH(A2976,'Semrush Data'!$A$1:$A$20000,0),MATCH("CPC*",'Semrush Data'!$A$1:$Z$1,0)),"")</f>
        <v/>
      </c>
      <c r="J2976" s="42">
        <f>IFERROR(INDEX('Semrush Data'!$A$1:$Z$20000,MATCH(A2976,'Semrush Data'!$A$1:$A$20000,0),MATCH("Intent",'Semrush Data'!$A$1:$Z$1,0)),"")</f>
        <v/>
      </c>
    </row>
    <row r="2977" ht="15" customHeight="1" s="37">
      <c r="A2977" s="42" t="inlineStr">
        <is>
          <t>montale aoud safran edp</t>
        </is>
      </c>
      <c r="B2977" s="42" t="inlineStr">
        <is>
          <t>Google suggest</t>
        </is>
      </c>
      <c r="C2977" s="42" t="n">
        <v>3</v>
      </c>
      <c r="D2977" s="42" t="n">
        <v>30</v>
      </c>
      <c r="E2977" s="42" t="n">
        <v>1</v>
      </c>
      <c r="F2977" s="42" t="inlineStr">
        <is>
          <t>FR-299</t>
        </is>
      </c>
      <c r="G2977" s="55">
        <f>IFERROR(INDEX('Semrush Data'!$A$1:$Z$20000,MATCH(A2977,'Semrush Data'!$A$1:$A$20000,0),MATCH("Volume",'Semrush Data'!$A$1:$Z$1,0)),"")</f>
        <v/>
      </c>
      <c r="H2977" s="42">
        <f>IFERROR(INDEX('Semrush Data'!$A$1:$Z$20000,MATCH(A2977,'Semrush Data'!$A$1:$A$20000,0),MATCH("Keyword Difficulty*",'Semrush Data'!$A$1:$Z$1,0)),"")</f>
        <v/>
      </c>
      <c r="I2977" s="56">
        <f>IFERROR(INDEX('Semrush Data'!$A$1:$Z$20000,MATCH(A2977,'Semrush Data'!$A$1:$A$20000,0),MATCH("CPC*",'Semrush Data'!$A$1:$Z$1,0)),"")</f>
        <v/>
      </c>
      <c r="J2977" s="42">
        <f>IFERROR(INDEX('Semrush Data'!$A$1:$Z$20000,MATCH(A2977,'Semrush Data'!$A$1:$A$20000,0),MATCH("Intent",'Semrush Data'!$A$1:$Z$1,0)),"")</f>
        <v/>
      </c>
    </row>
    <row r="2978" ht="15" customHeight="1" s="37">
      <c r="A2978" s="42" t="inlineStr">
        <is>
          <t>montale aoud safran edp 100ml</t>
        </is>
      </c>
      <c r="B2978" s="42" t="inlineStr">
        <is>
          <t>Google suggest</t>
        </is>
      </c>
      <c r="C2978" s="42" t="n">
        <v>3</v>
      </c>
      <c r="D2978" s="42" t="n">
        <v>30</v>
      </c>
      <c r="E2978" s="42" t="n">
        <v>1</v>
      </c>
      <c r="F2978" s="42" t="inlineStr">
        <is>
          <t>FR-299</t>
        </is>
      </c>
      <c r="G2978" s="55">
        <f>IFERROR(INDEX('Semrush Data'!$A$1:$Z$20000,MATCH(A2978,'Semrush Data'!$A$1:$A$20000,0),MATCH("Volume",'Semrush Data'!$A$1:$Z$1,0)),"")</f>
        <v/>
      </c>
      <c r="H2978" s="42">
        <f>IFERROR(INDEX('Semrush Data'!$A$1:$Z$20000,MATCH(A2978,'Semrush Data'!$A$1:$A$20000,0),MATCH("Keyword Difficulty*",'Semrush Data'!$A$1:$Z$1,0)),"")</f>
        <v/>
      </c>
      <c r="I2978" s="56">
        <f>IFERROR(INDEX('Semrush Data'!$A$1:$Z$20000,MATCH(A2978,'Semrush Data'!$A$1:$A$20000,0),MATCH("CPC*",'Semrush Data'!$A$1:$Z$1,0)),"")</f>
        <v/>
      </c>
      <c r="J2978" s="42">
        <f>IFERROR(INDEX('Semrush Data'!$A$1:$Z$20000,MATCH(A2978,'Semrush Data'!$A$1:$A$20000,0),MATCH("Intent",'Semrush Data'!$A$1:$Z$1,0)),"")</f>
        <v/>
      </c>
    </row>
    <row r="2979" ht="15" customHeight="1" s="37">
      <c r="A2979" s="42" t="inlineStr">
        <is>
          <t>montale aoud safran notes</t>
        </is>
      </c>
      <c r="B2979" s="42" t="inlineStr">
        <is>
          <t>Google suggest</t>
        </is>
      </c>
      <c r="C2979" s="42" t="n">
        <v>3</v>
      </c>
      <c r="D2979" s="42" t="n">
        <v>30</v>
      </c>
      <c r="E2979" s="42" t="n">
        <v>1</v>
      </c>
      <c r="F2979" s="42" t="inlineStr">
        <is>
          <t>FR-299</t>
        </is>
      </c>
      <c r="G2979" s="55">
        <f>IFERROR(INDEX('Semrush Data'!$A$1:$Z$20000,MATCH(A2979,'Semrush Data'!$A$1:$A$20000,0),MATCH("Volume",'Semrush Data'!$A$1:$Z$1,0)),"")</f>
        <v/>
      </c>
      <c r="H2979" s="42">
        <f>IFERROR(INDEX('Semrush Data'!$A$1:$Z$20000,MATCH(A2979,'Semrush Data'!$A$1:$A$20000,0),MATCH("Keyword Difficulty*",'Semrush Data'!$A$1:$Z$1,0)),"")</f>
        <v/>
      </c>
      <c r="I2979" s="56">
        <f>IFERROR(INDEX('Semrush Data'!$A$1:$Z$20000,MATCH(A2979,'Semrush Data'!$A$1:$A$20000,0),MATCH("CPC*",'Semrush Data'!$A$1:$Z$1,0)),"")</f>
        <v/>
      </c>
      <c r="J2979" s="42">
        <f>IFERROR(INDEX('Semrush Data'!$A$1:$Z$20000,MATCH(A2979,'Semrush Data'!$A$1:$A$20000,0),MATCH("Intent",'Semrush Data'!$A$1:$Z$1,0)),"")</f>
        <v/>
      </c>
    </row>
    <row r="2980" ht="15" customHeight="1" s="37">
      <c r="A2980" s="42" t="inlineStr">
        <is>
          <t>montale aoud safran review</t>
        </is>
      </c>
      <c r="B2980" s="42" t="inlineStr">
        <is>
          <t>Google suggest</t>
        </is>
      </c>
      <c r="C2980" s="42" t="n">
        <v>3</v>
      </c>
      <c r="D2980" s="42" t="n">
        <v>30</v>
      </c>
      <c r="E2980" s="42" t="n">
        <v>1</v>
      </c>
      <c r="F2980" s="42" t="inlineStr">
        <is>
          <t>FR-299</t>
        </is>
      </c>
      <c r="G2980" s="55">
        <f>IFERROR(INDEX('Semrush Data'!$A$1:$Z$20000,MATCH(A2980,'Semrush Data'!$A$1:$A$20000,0),MATCH("Volume",'Semrush Data'!$A$1:$Z$1,0)),"")</f>
        <v/>
      </c>
      <c r="H2980" s="42">
        <f>IFERROR(INDEX('Semrush Data'!$A$1:$Z$20000,MATCH(A2980,'Semrush Data'!$A$1:$A$20000,0),MATCH("Keyword Difficulty*",'Semrush Data'!$A$1:$Z$1,0)),"")</f>
        <v/>
      </c>
      <c r="I2980" s="56">
        <f>IFERROR(INDEX('Semrush Data'!$A$1:$Z$20000,MATCH(A2980,'Semrush Data'!$A$1:$A$20000,0),MATCH("CPC*",'Semrush Data'!$A$1:$Z$1,0)),"")</f>
        <v/>
      </c>
      <c r="J2980" s="42">
        <f>IFERROR(INDEX('Semrush Data'!$A$1:$Z$20000,MATCH(A2980,'Semrush Data'!$A$1:$A$20000,0),MATCH("Intent",'Semrush Data'!$A$1:$Z$1,0)),"")</f>
        <v/>
      </c>
    </row>
    <row r="2981" ht="15" customHeight="1" s="37">
      <c r="A2981" s="42" t="inlineStr">
        <is>
          <t>montale aoud safran отзывы</t>
        </is>
      </c>
      <c r="B2981" s="42" t="inlineStr">
        <is>
          <t>Google suggest</t>
        </is>
      </c>
      <c r="C2981" s="42" t="n">
        <v>3</v>
      </c>
      <c r="D2981" s="42" t="n">
        <v>30</v>
      </c>
      <c r="E2981" s="42" t="n">
        <v>1</v>
      </c>
      <c r="F2981" s="42" t="inlineStr">
        <is>
          <t>FR-299</t>
        </is>
      </c>
      <c r="G2981" s="55">
        <f>IFERROR(INDEX('Semrush Data'!$A$1:$Z$20000,MATCH(A2981,'Semrush Data'!$A$1:$A$20000,0),MATCH("Volume",'Semrush Data'!$A$1:$Z$1,0)),"")</f>
        <v/>
      </c>
      <c r="H2981" s="42">
        <f>IFERROR(INDEX('Semrush Data'!$A$1:$Z$20000,MATCH(A2981,'Semrush Data'!$A$1:$A$20000,0),MATCH("Keyword Difficulty*",'Semrush Data'!$A$1:$Z$1,0)),"")</f>
        <v/>
      </c>
      <c r="I2981" s="56">
        <f>IFERROR(INDEX('Semrush Data'!$A$1:$Z$20000,MATCH(A2981,'Semrush Data'!$A$1:$A$20000,0),MATCH("CPC*",'Semrush Data'!$A$1:$Z$1,0)),"")</f>
        <v/>
      </c>
      <c r="J2981" s="42">
        <f>IFERROR(INDEX('Semrush Data'!$A$1:$Z$20000,MATCH(A2981,'Semrush Data'!$A$1:$A$20000,0),MATCH("Intent",'Semrush Data'!$A$1:$Z$1,0)),"")</f>
        <v/>
      </c>
    </row>
    <row r="2982" ht="15" customHeight="1" s="37">
      <c r="A2982" s="42" t="inlineStr">
        <is>
          <t>nina ricci l'air du temps 100ml</t>
        </is>
      </c>
      <c r="B2982" s="42" t="inlineStr">
        <is>
          <t>Google suggest</t>
        </is>
      </c>
      <c r="C2982" s="42" t="n">
        <v>3</v>
      </c>
      <c r="D2982" s="42" t="n">
        <v>30</v>
      </c>
      <c r="E2982" s="42" t="n">
        <v>2</v>
      </c>
      <c r="F2982" s="42" t="inlineStr">
        <is>
          <t>FR-302, FR-303</t>
        </is>
      </c>
      <c r="G2982" s="55">
        <f>IFERROR(INDEX('Semrush Data'!$A$1:$Z$20000,MATCH(A2982,'Semrush Data'!$A$1:$A$20000,0),MATCH("Volume",'Semrush Data'!$A$1:$Z$1,0)),"")</f>
        <v/>
      </c>
      <c r="H2982" s="42">
        <f>IFERROR(INDEX('Semrush Data'!$A$1:$Z$20000,MATCH(A2982,'Semrush Data'!$A$1:$A$20000,0),MATCH("Keyword Difficulty*",'Semrush Data'!$A$1:$Z$1,0)),"")</f>
        <v/>
      </c>
      <c r="I2982" s="56">
        <f>IFERROR(INDEX('Semrush Data'!$A$1:$Z$20000,MATCH(A2982,'Semrush Data'!$A$1:$A$20000,0),MATCH("CPC*",'Semrush Data'!$A$1:$Z$1,0)),"")</f>
        <v/>
      </c>
      <c r="J2982" s="42">
        <f>IFERROR(INDEX('Semrush Data'!$A$1:$Z$20000,MATCH(A2982,'Semrush Data'!$A$1:$A$20000,0),MATCH("Intent",'Semrush Data'!$A$1:$Z$1,0)),"")</f>
        <v/>
      </c>
    </row>
    <row r="2983" ht="15" customHeight="1" s="37">
      <c r="A2983" s="42" t="inlineStr">
        <is>
          <t>nina ricci l'air du temps eau de parfum</t>
        </is>
      </c>
      <c r="B2983" s="42" t="inlineStr">
        <is>
          <t>Google suggest</t>
        </is>
      </c>
      <c r="C2983" s="42" t="n">
        <v>3</v>
      </c>
      <c r="D2983" s="42" t="n">
        <v>30</v>
      </c>
      <c r="E2983" s="42" t="n">
        <v>2</v>
      </c>
      <c r="F2983" s="42" t="inlineStr">
        <is>
          <t>FR-302, FR-303</t>
        </is>
      </c>
      <c r="G2983" s="55">
        <f>IFERROR(INDEX('Semrush Data'!$A$1:$Z$20000,MATCH(A2983,'Semrush Data'!$A$1:$A$20000,0),MATCH("Volume",'Semrush Data'!$A$1:$Z$1,0)),"")</f>
        <v/>
      </c>
      <c r="H2983" s="42">
        <f>IFERROR(INDEX('Semrush Data'!$A$1:$Z$20000,MATCH(A2983,'Semrush Data'!$A$1:$A$20000,0),MATCH("Keyword Difficulty*",'Semrush Data'!$A$1:$Z$1,0)),"")</f>
        <v/>
      </c>
      <c r="I2983" s="56">
        <f>IFERROR(INDEX('Semrush Data'!$A$1:$Z$20000,MATCH(A2983,'Semrush Data'!$A$1:$A$20000,0),MATCH("CPC*",'Semrush Data'!$A$1:$Z$1,0)),"")</f>
        <v/>
      </c>
      <c r="J2983" s="42">
        <f>IFERROR(INDEX('Semrush Data'!$A$1:$Z$20000,MATCH(A2983,'Semrush Data'!$A$1:$A$20000,0),MATCH("Intent",'Semrush Data'!$A$1:$Z$1,0)),"")</f>
        <v/>
      </c>
    </row>
    <row r="2984" ht="15" customHeight="1" s="37">
      <c r="A2984" s="42" t="inlineStr">
        <is>
          <t>nina ricci l'air du temps notes</t>
        </is>
      </c>
      <c r="B2984" s="42" t="inlineStr">
        <is>
          <t>Google suggest</t>
        </is>
      </c>
      <c r="C2984" s="42" t="n">
        <v>3</v>
      </c>
      <c r="D2984" s="42" t="inlineStr">
        <is>
          <t>T3-1</t>
        </is>
      </c>
      <c r="E2984" s="42" t="n">
        <v>2</v>
      </c>
      <c r="F2984" s="42" t="inlineStr">
        <is>
          <t>FR-302, FR-303</t>
        </is>
      </c>
      <c r="G2984" s="55">
        <f>IFERROR(INDEX('Semrush Data'!$A$1:$Z$20000,MATCH(A2984,'Semrush Data'!$A$1:$A$20000,0),MATCH("Volume",'Semrush Data'!$A$1:$Z$1,0)),"")</f>
        <v/>
      </c>
      <c r="H2984" s="42">
        <f>IFERROR(INDEX('Semrush Data'!$A$1:$Z$20000,MATCH(A2984,'Semrush Data'!$A$1:$A$20000,0),MATCH("Keyword Difficulty*",'Semrush Data'!$A$1:$Z$1,0)),"")</f>
        <v/>
      </c>
      <c r="I2984" s="56">
        <f>IFERROR(INDEX('Semrush Data'!$A$1:$Z$20000,MATCH(A2984,'Semrush Data'!$A$1:$A$20000,0),MATCH("CPC*",'Semrush Data'!$A$1:$Z$1,0)),"")</f>
        <v/>
      </c>
      <c r="J2984" s="42">
        <f>IFERROR(INDEX('Semrush Data'!$A$1:$Z$20000,MATCH(A2984,'Semrush Data'!$A$1:$A$20000,0),MATCH("Intent",'Semrush Data'!$A$1:$Z$1,0)),"")</f>
        <v/>
      </c>
    </row>
    <row r="2985" ht="15" customHeight="1" s="37">
      <c r="A2985" s="42" t="inlineStr">
        <is>
          <t>nina ricci l'air du temps perfume</t>
        </is>
      </c>
      <c r="B2985" s="42" t="inlineStr">
        <is>
          <t>Google suggest</t>
        </is>
      </c>
      <c r="C2985" s="42" t="n">
        <v>3</v>
      </c>
      <c r="D2985" s="42" t="inlineStr">
        <is>
          <t>T3-1</t>
        </is>
      </c>
      <c r="E2985" s="42" t="n">
        <v>2</v>
      </c>
      <c r="F2985" s="42" t="inlineStr">
        <is>
          <t>FR-302, FR-303</t>
        </is>
      </c>
      <c r="G2985" s="55">
        <f>IFERROR(INDEX('Semrush Data'!$A$1:$Z$20000,MATCH(A2985,'Semrush Data'!$A$1:$A$20000,0),MATCH("Volume",'Semrush Data'!$A$1:$Z$1,0)),"")</f>
        <v/>
      </c>
      <c r="H2985" s="42">
        <f>IFERROR(INDEX('Semrush Data'!$A$1:$Z$20000,MATCH(A2985,'Semrush Data'!$A$1:$A$20000,0),MATCH("Keyword Difficulty*",'Semrush Data'!$A$1:$Z$1,0)),"")</f>
        <v/>
      </c>
      <c r="I2985" s="56">
        <f>IFERROR(INDEX('Semrush Data'!$A$1:$Z$20000,MATCH(A2985,'Semrush Data'!$A$1:$A$20000,0),MATCH("CPC*",'Semrush Data'!$A$1:$Z$1,0)),"")</f>
        <v/>
      </c>
      <c r="J2985" s="42">
        <f>IFERROR(INDEX('Semrush Data'!$A$1:$Z$20000,MATCH(A2985,'Semrush Data'!$A$1:$A$20000,0),MATCH("Intent",'Semrush Data'!$A$1:$Z$1,0)),"")</f>
        <v/>
      </c>
    </row>
    <row r="2986" ht="15" customHeight="1" s="37">
      <c r="A2986" s="42" t="inlineStr">
        <is>
          <t>nina ricci nina illusion eau de parfum 30 ml</t>
        </is>
      </c>
      <c r="B2986" s="42" t="inlineStr">
        <is>
          <t>Google suggest</t>
        </is>
      </c>
      <c r="C2986" s="42" t="n">
        <v>3</v>
      </c>
      <c r="D2986" s="42" t="n">
        <v>30</v>
      </c>
      <c r="E2986" s="42" t="n">
        <v>1</v>
      </c>
      <c r="F2986" s="42" t="inlineStr">
        <is>
          <t>FR-300</t>
        </is>
      </c>
      <c r="G2986" s="55">
        <f>IFERROR(INDEX('Semrush Data'!$A$1:$Z$20000,MATCH(A2986,'Semrush Data'!$A$1:$A$20000,0),MATCH("Volume",'Semrush Data'!$A$1:$Z$1,0)),"")</f>
        <v/>
      </c>
      <c r="H2986" s="42">
        <f>IFERROR(INDEX('Semrush Data'!$A$1:$Z$20000,MATCH(A2986,'Semrush Data'!$A$1:$A$20000,0),MATCH("Keyword Difficulty*",'Semrush Data'!$A$1:$Z$1,0)),"")</f>
        <v/>
      </c>
      <c r="I2986" s="56">
        <f>IFERROR(INDEX('Semrush Data'!$A$1:$Z$20000,MATCH(A2986,'Semrush Data'!$A$1:$A$20000,0),MATCH("CPC*",'Semrush Data'!$A$1:$Z$1,0)),"")</f>
        <v/>
      </c>
      <c r="J2986" s="42">
        <f>IFERROR(INDEX('Semrush Data'!$A$1:$Z$20000,MATCH(A2986,'Semrush Data'!$A$1:$A$20000,0),MATCH("Intent",'Semrush Data'!$A$1:$Z$1,0)),"")</f>
        <v/>
      </c>
    </row>
    <row r="2987" ht="15" customHeight="1" s="37">
      <c r="A2987" s="42" t="inlineStr">
        <is>
          <t>nina ricci nina illusion edp</t>
        </is>
      </c>
      <c r="B2987" s="42" t="inlineStr">
        <is>
          <t>Google suggest</t>
        </is>
      </c>
      <c r="C2987" s="42" t="n">
        <v>3</v>
      </c>
      <c r="D2987" s="42" t="n">
        <v>30</v>
      </c>
      <c r="E2987" s="42" t="n">
        <v>1</v>
      </c>
      <c r="F2987" s="42" t="inlineStr">
        <is>
          <t>FR-300</t>
        </is>
      </c>
      <c r="G2987" s="55">
        <f>IFERROR(INDEX('Semrush Data'!$A$1:$Z$20000,MATCH(A2987,'Semrush Data'!$A$1:$A$20000,0),MATCH("Volume",'Semrush Data'!$A$1:$Z$1,0)),"")</f>
        <v/>
      </c>
      <c r="H2987" s="42">
        <f>IFERROR(INDEX('Semrush Data'!$A$1:$Z$20000,MATCH(A2987,'Semrush Data'!$A$1:$A$20000,0),MATCH("Keyword Difficulty*",'Semrush Data'!$A$1:$Z$1,0)),"")</f>
        <v/>
      </c>
      <c r="I2987" s="56">
        <f>IFERROR(INDEX('Semrush Data'!$A$1:$Z$20000,MATCH(A2987,'Semrush Data'!$A$1:$A$20000,0),MATCH("CPC*",'Semrush Data'!$A$1:$Z$1,0)),"")</f>
        <v/>
      </c>
      <c r="J2987" s="42">
        <f>IFERROR(INDEX('Semrush Data'!$A$1:$Z$20000,MATCH(A2987,'Semrush Data'!$A$1:$A$20000,0),MATCH("Intent",'Semrush Data'!$A$1:$Z$1,0)),"")</f>
        <v/>
      </c>
    </row>
    <row r="2988" ht="15" customHeight="1" s="37">
      <c r="A2988" s="42" t="inlineStr">
        <is>
          <t>nina ricci nina illusion review</t>
        </is>
      </c>
      <c r="B2988" s="42" t="inlineStr">
        <is>
          <t>Google suggest</t>
        </is>
      </c>
      <c r="C2988" s="42" t="n">
        <v>3</v>
      </c>
      <c r="D2988" s="42" t="n">
        <v>30</v>
      </c>
      <c r="E2988" s="42" t="n">
        <v>1</v>
      </c>
      <c r="F2988" s="42" t="inlineStr">
        <is>
          <t>FR-300</t>
        </is>
      </c>
      <c r="G2988" s="55">
        <f>IFERROR(INDEX('Semrush Data'!$A$1:$Z$20000,MATCH(A2988,'Semrush Data'!$A$1:$A$20000,0),MATCH("Volume",'Semrush Data'!$A$1:$Z$1,0)),"")</f>
        <v/>
      </c>
      <c r="H2988" s="42">
        <f>IFERROR(INDEX('Semrush Data'!$A$1:$Z$20000,MATCH(A2988,'Semrush Data'!$A$1:$A$20000,0),MATCH("Keyword Difficulty*",'Semrush Data'!$A$1:$Z$1,0)),"")</f>
        <v/>
      </c>
      <c r="I2988" s="56">
        <f>IFERROR(INDEX('Semrush Data'!$A$1:$Z$20000,MATCH(A2988,'Semrush Data'!$A$1:$A$20000,0),MATCH("CPC*",'Semrush Data'!$A$1:$Z$1,0)),"")</f>
        <v/>
      </c>
      <c r="J2988" s="42">
        <f>IFERROR(INDEX('Semrush Data'!$A$1:$Z$20000,MATCH(A2988,'Semrush Data'!$A$1:$A$20000,0),MATCH("Intent",'Semrush Data'!$A$1:$Z$1,0)),"")</f>
        <v/>
      </c>
    </row>
    <row r="2989" ht="15" customHeight="1" s="37">
      <c r="A2989" s="42" t="inlineStr">
        <is>
          <t>nina ricci nina illusion купить</t>
        </is>
      </c>
      <c r="B2989" s="42" t="inlineStr">
        <is>
          <t>Google suggest</t>
        </is>
      </c>
      <c r="C2989" s="42" t="n">
        <v>3</v>
      </c>
      <c r="D2989" s="42" t="n">
        <v>30</v>
      </c>
      <c r="E2989" s="42" t="n">
        <v>1</v>
      </c>
      <c r="F2989" s="42" t="inlineStr">
        <is>
          <t>FR-300</t>
        </is>
      </c>
      <c r="G2989" s="55">
        <f>IFERROR(INDEX('Semrush Data'!$A$1:$Z$20000,MATCH(A2989,'Semrush Data'!$A$1:$A$20000,0),MATCH("Volume",'Semrush Data'!$A$1:$Z$1,0)),"")</f>
        <v/>
      </c>
      <c r="H2989" s="42">
        <f>IFERROR(INDEX('Semrush Data'!$A$1:$Z$20000,MATCH(A2989,'Semrush Data'!$A$1:$A$20000,0),MATCH("Keyword Difficulty*",'Semrush Data'!$A$1:$Z$1,0)),"")</f>
        <v/>
      </c>
      <c r="I2989" s="56">
        <f>IFERROR(INDEX('Semrush Data'!$A$1:$Z$20000,MATCH(A2989,'Semrush Data'!$A$1:$A$20000,0),MATCH("CPC*",'Semrush Data'!$A$1:$Z$1,0)),"")</f>
        <v/>
      </c>
      <c r="J2989" s="42">
        <f>IFERROR(INDEX('Semrush Data'!$A$1:$Z$20000,MATCH(A2989,'Semrush Data'!$A$1:$A$20000,0),MATCH("Intent",'Semrush Data'!$A$1:$Z$1,0)),"")</f>
        <v/>
      </c>
    </row>
    <row r="2990" ht="15" customHeight="1" s="37">
      <c r="A2990" s="42" t="inlineStr">
        <is>
          <t>nina ricci nina illusion отзывы</t>
        </is>
      </c>
      <c r="B2990" s="42" t="inlineStr">
        <is>
          <t>Google suggest</t>
        </is>
      </c>
      <c r="C2990" s="42" t="n">
        <v>3</v>
      </c>
      <c r="D2990" s="42" t="n">
        <v>30</v>
      </c>
      <c r="E2990" s="42" t="n">
        <v>1</v>
      </c>
      <c r="F2990" s="42" t="inlineStr">
        <is>
          <t>FR-300</t>
        </is>
      </c>
      <c r="G2990" s="55">
        <f>IFERROR(INDEX('Semrush Data'!$A$1:$Z$20000,MATCH(A2990,'Semrush Data'!$A$1:$A$20000,0),MATCH("Volume",'Semrush Data'!$A$1:$Z$1,0)),"")</f>
        <v/>
      </c>
      <c r="H2990" s="42">
        <f>IFERROR(INDEX('Semrush Data'!$A$1:$Z$20000,MATCH(A2990,'Semrush Data'!$A$1:$A$20000,0),MATCH("Keyword Difficulty*",'Semrush Data'!$A$1:$Z$1,0)),"")</f>
        <v/>
      </c>
      <c r="I2990" s="56">
        <f>IFERROR(INDEX('Semrush Data'!$A$1:$Z$20000,MATCH(A2990,'Semrush Data'!$A$1:$A$20000,0),MATCH("CPC*",'Semrush Data'!$A$1:$Z$1,0)),"")</f>
        <v/>
      </c>
      <c r="J2990" s="42">
        <f>IFERROR(INDEX('Semrush Data'!$A$1:$Z$20000,MATCH(A2990,'Semrush Data'!$A$1:$A$20000,0),MATCH("Intent",'Semrush Data'!$A$1:$Z$1,0)),"")</f>
        <v/>
      </c>
    </row>
    <row r="2991" ht="15" customHeight="1" s="37">
      <c r="A2991" s="42" t="inlineStr">
        <is>
          <t>nina ricci nina precious gold edp</t>
        </is>
      </c>
      <c r="B2991" s="42" t="inlineStr">
        <is>
          <t>Google suggest</t>
        </is>
      </c>
      <c r="C2991" s="42" t="n">
        <v>3</v>
      </c>
      <c r="D2991" s="42" t="n">
        <v>30</v>
      </c>
      <c r="E2991" s="42" t="n">
        <v>1</v>
      </c>
      <c r="F2991" s="42" t="inlineStr">
        <is>
          <t>FR-301</t>
        </is>
      </c>
      <c r="G2991" s="55">
        <f>IFERROR(INDEX('Semrush Data'!$A$1:$Z$20000,MATCH(A2991,'Semrush Data'!$A$1:$A$20000,0),MATCH("Volume",'Semrush Data'!$A$1:$Z$1,0)),"")</f>
        <v/>
      </c>
      <c r="H2991" s="42">
        <f>IFERROR(INDEX('Semrush Data'!$A$1:$Z$20000,MATCH(A2991,'Semrush Data'!$A$1:$A$20000,0),MATCH("Keyword Difficulty*",'Semrush Data'!$A$1:$Z$1,0)),"")</f>
        <v/>
      </c>
      <c r="I2991" s="56">
        <f>IFERROR(INDEX('Semrush Data'!$A$1:$Z$20000,MATCH(A2991,'Semrush Data'!$A$1:$A$20000,0),MATCH("CPC*",'Semrush Data'!$A$1:$Z$1,0)),"")</f>
        <v/>
      </c>
      <c r="J2991" s="42">
        <f>IFERROR(INDEX('Semrush Data'!$A$1:$Z$20000,MATCH(A2991,'Semrush Data'!$A$1:$A$20000,0),MATCH("Intent",'Semrush Data'!$A$1:$Z$1,0)),"")</f>
        <v/>
      </c>
    </row>
    <row r="2992" ht="15" customHeight="1" s="37">
      <c r="A2992" s="42" t="inlineStr">
        <is>
          <t>nina ricci perfume precious gold</t>
        </is>
      </c>
      <c r="B2992" s="42" t="inlineStr">
        <is>
          <t>Google suggest</t>
        </is>
      </c>
      <c r="C2992" s="42" t="n">
        <v>3</v>
      </c>
      <c r="D2992" s="42" t="n">
        <v>30</v>
      </c>
      <c r="E2992" s="42" t="n">
        <v>1</v>
      </c>
      <c r="F2992" s="42" t="inlineStr">
        <is>
          <t>FR-301</t>
        </is>
      </c>
      <c r="G2992" s="55">
        <f>IFERROR(INDEX('Semrush Data'!$A$1:$Z$20000,MATCH(A2992,'Semrush Data'!$A$1:$A$20000,0),MATCH("Volume",'Semrush Data'!$A$1:$Z$1,0)),"")</f>
        <v/>
      </c>
      <c r="H2992" s="42">
        <f>IFERROR(INDEX('Semrush Data'!$A$1:$Z$20000,MATCH(A2992,'Semrush Data'!$A$1:$A$20000,0),MATCH("Keyword Difficulty*",'Semrush Data'!$A$1:$Z$1,0)),"")</f>
        <v/>
      </c>
      <c r="I2992" s="56">
        <f>IFERROR(INDEX('Semrush Data'!$A$1:$Z$20000,MATCH(A2992,'Semrush Data'!$A$1:$A$20000,0),MATCH("CPC*",'Semrush Data'!$A$1:$Z$1,0)),"")</f>
        <v/>
      </c>
      <c r="J2992" s="42">
        <f>IFERROR(INDEX('Semrush Data'!$A$1:$Z$20000,MATCH(A2992,'Semrush Data'!$A$1:$A$20000,0),MATCH("Intent",'Semrush Data'!$A$1:$Z$1,0)),"")</f>
        <v/>
      </c>
    </row>
    <row r="2993" ht="15" customHeight="1" s="37">
      <c r="A2993" s="42" t="inlineStr">
        <is>
          <t>nina ricci precious gold 50ml</t>
        </is>
      </c>
      <c r="B2993" s="42" t="inlineStr">
        <is>
          <t>Google suggest</t>
        </is>
      </c>
      <c r="C2993" s="42" t="n">
        <v>3</v>
      </c>
      <c r="D2993" s="42" t="n">
        <v>30</v>
      </c>
      <c r="E2993" s="42" t="n">
        <v>1</v>
      </c>
      <c r="F2993" s="42" t="inlineStr">
        <is>
          <t>FR-301</t>
        </is>
      </c>
      <c r="G2993" s="55">
        <f>IFERROR(INDEX('Semrush Data'!$A$1:$Z$20000,MATCH(A2993,'Semrush Data'!$A$1:$A$20000,0),MATCH("Volume",'Semrush Data'!$A$1:$Z$1,0)),"")</f>
        <v/>
      </c>
      <c r="H2993" s="42">
        <f>IFERROR(INDEX('Semrush Data'!$A$1:$Z$20000,MATCH(A2993,'Semrush Data'!$A$1:$A$20000,0),MATCH("Keyword Difficulty*",'Semrush Data'!$A$1:$Z$1,0)),"")</f>
        <v/>
      </c>
      <c r="I2993" s="56">
        <f>IFERROR(INDEX('Semrush Data'!$A$1:$Z$20000,MATCH(A2993,'Semrush Data'!$A$1:$A$20000,0),MATCH("CPC*",'Semrush Data'!$A$1:$Z$1,0)),"")</f>
        <v/>
      </c>
      <c r="J2993" s="42">
        <f>IFERROR(INDEX('Semrush Data'!$A$1:$Z$20000,MATCH(A2993,'Semrush Data'!$A$1:$A$20000,0),MATCH("Intent",'Semrush Data'!$A$1:$Z$1,0)),"")</f>
        <v/>
      </c>
    </row>
    <row r="2994" ht="15" customHeight="1" s="37">
      <c r="A2994" s="42" t="inlineStr">
        <is>
          <t>nina ricci precious gold notes</t>
        </is>
      </c>
      <c r="B2994" s="42" t="inlineStr">
        <is>
          <t>Google suggest</t>
        </is>
      </c>
      <c r="C2994" s="42" t="n">
        <v>3</v>
      </c>
      <c r="D2994" s="42" t="n">
        <v>30</v>
      </c>
      <c r="E2994" s="42" t="n">
        <v>1</v>
      </c>
      <c r="F2994" s="42" t="inlineStr">
        <is>
          <t>FR-301</t>
        </is>
      </c>
      <c r="G2994" s="55">
        <f>IFERROR(INDEX('Semrush Data'!$A$1:$Z$20000,MATCH(A2994,'Semrush Data'!$A$1:$A$20000,0),MATCH("Volume",'Semrush Data'!$A$1:$Z$1,0)),"")</f>
        <v/>
      </c>
      <c r="H2994" s="42">
        <f>IFERROR(INDEX('Semrush Data'!$A$1:$Z$20000,MATCH(A2994,'Semrush Data'!$A$1:$A$20000,0),MATCH("Keyword Difficulty*",'Semrush Data'!$A$1:$Z$1,0)),"")</f>
        <v/>
      </c>
      <c r="I2994" s="56">
        <f>IFERROR(INDEX('Semrush Data'!$A$1:$Z$20000,MATCH(A2994,'Semrush Data'!$A$1:$A$20000,0),MATCH("CPC*",'Semrush Data'!$A$1:$Z$1,0)),"")</f>
        <v/>
      </c>
      <c r="J2994" s="42">
        <f>IFERROR(INDEX('Semrush Data'!$A$1:$Z$20000,MATCH(A2994,'Semrush Data'!$A$1:$A$20000,0),MATCH("Intent",'Semrush Data'!$A$1:$Z$1,0)),"")</f>
        <v/>
      </c>
    </row>
    <row r="2995" ht="15" customHeight="1" s="37">
      <c r="A2995" s="42" t="inlineStr">
        <is>
          <t>nina ricci precious gold отзывы</t>
        </is>
      </c>
      <c r="B2995" s="42" t="inlineStr">
        <is>
          <t>Google suggest</t>
        </is>
      </c>
      <c r="C2995" s="42" t="n">
        <v>3</v>
      </c>
      <c r="D2995" s="42" t="n">
        <v>30</v>
      </c>
      <c r="E2995" s="42" t="n">
        <v>1</v>
      </c>
      <c r="F2995" s="42" t="inlineStr">
        <is>
          <t>FR-301</t>
        </is>
      </c>
      <c r="G2995" s="55">
        <f>IFERROR(INDEX('Semrush Data'!$A$1:$Z$20000,MATCH(A2995,'Semrush Data'!$A$1:$A$20000,0),MATCH("Volume",'Semrush Data'!$A$1:$Z$1,0)),"")</f>
        <v/>
      </c>
      <c r="H2995" s="42">
        <f>IFERROR(INDEX('Semrush Data'!$A$1:$Z$20000,MATCH(A2995,'Semrush Data'!$A$1:$A$20000,0),MATCH("Keyword Difficulty*",'Semrush Data'!$A$1:$Z$1,0)),"")</f>
        <v/>
      </c>
      <c r="I2995" s="56">
        <f>IFERROR(INDEX('Semrush Data'!$A$1:$Z$20000,MATCH(A2995,'Semrush Data'!$A$1:$A$20000,0),MATCH("CPC*",'Semrush Data'!$A$1:$Z$1,0)),"")</f>
        <v/>
      </c>
      <c r="J2995" s="42">
        <f>IFERROR(INDEX('Semrush Data'!$A$1:$Z$20000,MATCH(A2995,'Semrush Data'!$A$1:$A$20000,0),MATCH("Intent",'Semrush Data'!$A$1:$Z$1,0)),"")</f>
        <v/>
      </c>
    </row>
    <row r="2996" ht="15" customHeight="1" s="37">
      <c r="A2996" s="42" t="inlineStr">
        <is>
          <t>paloma picasso eau de parfum</t>
        </is>
      </c>
      <c r="B2996" s="42" t="inlineStr">
        <is>
          <t>Google suggest</t>
        </is>
      </c>
      <c r="C2996" s="42" t="n">
        <v>3</v>
      </c>
      <c r="D2996" s="42" t="n">
        <v>30</v>
      </c>
      <c r="E2996" s="42" t="n">
        <v>1</v>
      </c>
      <c r="F2996" s="42" t="inlineStr">
        <is>
          <t>FR-304</t>
        </is>
      </c>
      <c r="G2996" s="55">
        <f>IFERROR(INDEX('Semrush Data'!$A$1:$Z$20000,MATCH(A2996,'Semrush Data'!$A$1:$A$20000,0),MATCH("Volume",'Semrush Data'!$A$1:$Z$1,0)),"")</f>
        <v/>
      </c>
      <c r="H2996" s="42">
        <f>IFERROR(INDEX('Semrush Data'!$A$1:$Z$20000,MATCH(A2996,'Semrush Data'!$A$1:$A$20000,0),MATCH("Keyword Difficulty*",'Semrush Data'!$A$1:$Z$1,0)),"")</f>
        <v/>
      </c>
      <c r="I2996" s="56">
        <f>IFERROR(INDEX('Semrush Data'!$A$1:$Z$20000,MATCH(A2996,'Semrush Data'!$A$1:$A$20000,0),MATCH("CPC*",'Semrush Data'!$A$1:$Z$1,0)),"")</f>
        <v/>
      </c>
      <c r="J2996" s="42">
        <f>IFERROR(INDEX('Semrush Data'!$A$1:$Z$20000,MATCH(A2996,'Semrush Data'!$A$1:$A$20000,0),MATCH("Intent",'Semrush Data'!$A$1:$Z$1,0)),"")</f>
        <v/>
      </c>
    </row>
    <row r="2997" ht="15" customHeight="1" s="37">
      <c r="A2997" s="42" t="inlineStr">
        <is>
          <t>paloma picasso perfume</t>
        </is>
      </c>
      <c r="B2997" s="42" t="inlineStr">
        <is>
          <t>Google suggest</t>
        </is>
      </c>
      <c r="C2997" s="42" t="n">
        <v>3</v>
      </c>
      <c r="D2997" s="42" t="inlineStr">
        <is>
          <t>T3-1</t>
        </is>
      </c>
      <c r="E2997" s="42" t="n">
        <v>1</v>
      </c>
      <c r="F2997" s="42" t="inlineStr">
        <is>
          <t>FR-304</t>
        </is>
      </c>
      <c r="G2997" s="55">
        <f>IFERROR(INDEX('Semrush Data'!$A$1:$Z$20000,MATCH(A2997,'Semrush Data'!$A$1:$A$20000,0),MATCH("Volume",'Semrush Data'!$A$1:$Z$1,0)),"")</f>
        <v/>
      </c>
      <c r="H2997" s="42">
        <f>IFERROR(INDEX('Semrush Data'!$A$1:$Z$20000,MATCH(A2997,'Semrush Data'!$A$1:$A$20000,0),MATCH("Keyword Difficulty*",'Semrush Data'!$A$1:$Z$1,0)),"")</f>
        <v/>
      </c>
      <c r="I2997" s="56">
        <f>IFERROR(INDEX('Semrush Data'!$A$1:$Z$20000,MATCH(A2997,'Semrush Data'!$A$1:$A$20000,0),MATCH("CPC*",'Semrush Data'!$A$1:$Z$1,0)),"")</f>
        <v/>
      </c>
      <c r="J2997" s="42">
        <f>IFERROR(INDEX('Semrush Data'!$A$1:$Z$20000,MATCH(A2997,'Semrush Data'!$A$1:$A$20000,0),MATCH("Intent",'Semrush Data'!$A$1:$Z$1,0)),"")</f>
        <v/>
      </c>
    </row>
    <row r="2998" ht="15" customHeight="1" s="37">
      <c r="A2998" s="42" t="inlineStr">
        <is>
          <t>paloma picasso perfume 100ml</t>
        </is>
      </c>
      <c r="B2998" s="42" t="inlineStr">
        <is>
          <t>Google suggest</t>
        </is>
      </c>
      <c r="C2998" s="42" t="n">
        <v>3</v>
      </c>
      <c r="D2998" s="42" t="inlineStr">
        <is>
          <t>T3-1</t>
        </is>
      </c>
      <c r="E2998" s="42" t="n">
        <v>1</v>
      </c>
      <c r="F2998" s="42" t="inlineStr">
        <is>
          <t>FR-304</t>
        </is>
      </c>
      <c r="G2998" s="55">
        <f>IFERROR(INDEX('Semrush Data'!$A$1:$Z$20000,MATCH(A2998,'Semrush Data'!$A$1:$A$20000,0),MATCH("Volume",'Semrush Data'!$A$1:$Z$1,0)),"")</f>
        <v/>
      </c>
      <c r="H2998" s="42">
        <f>IFERROR(INDEX('Semrush Data'!$A$1:$Z$20000,MATCH(A2998,'Semrush Data'!$A$1:$A$20000,0),MATCH("Keyword Difficulty*",'Semrush Data'!$A$1:$Z$1,0)),"")</f>
        <v/>
      </c>
      <c r="I2998" s="56">
        <f>IFERROR(INDEX('Semrush Data'!$A$1:$Z$20000,MATCH(A2998,'Semrush Data'!$A$1:$A$20000,0),MATCH("CPC*",'Semrush Data'!$A$1:$Z$1,0)),"")</f>
        <v/>
      </c>
      <c r="J2998" s="42">
        <f>IFERROR(INDEX('Semrush Data'!$A$1:$Z$20000,MATCH(A2998,'Semrush Data'!$A$1:$A$20000,0),MATCH("Intent",'Semrush Data'!$A$1:$Z$1,0)),"")</f>
        <v/>
      </c>
    </row>
    <row r="2999" ht="15" customHeight="1" s="37">
      <c r="A2999" s="42" t="inlineStr">
        <is>
          <t>parfum korloff un soir a paris</t>
        </is>
      </c>
      <c r="B2999" s="42" t="inlineStr">
        <is>
          <t>Google suggest</t>
        </is>
      </c>
      <c r="C2999" s="42" t="n">
        <v>3</v>
      </c>
      <c r="D2999" s="42" t="n">
        <v>30</v>
      </c>
      <c r="E2999" s="42" t="n">
        <v>1</v>
      </c>
      <c r="F2999" s="42" t="inlineStr">
        <is>
          <t>FR-279</t>
        </is>
      </c>
      <c r="G2999" s="55">
        <f>IFERROR(INDEX('Semrush Data'!$A$1:$Z$20000,MATCH(A2999,'Semrush Data'!$A$1:$A$20000,0),MATCH("Volume",'Semrush Data'!$A$1:$Z$1,0)),"")</f>
        <v/>
      </c>
      <c r="H2999" s="42">
        <f>IFERROR(INDEX('Semrush Data'!$A$1:$Z$20000,MATCH(A2999,'Semrush Data'!$A$1:$A$20000,0),MATCH("Keyword Difficulty*",'Semrush Data'!$A$1:$Z$1,0)),"")</f>
        <v/>
      </c>
      <c r="I2999" s="56">
        <f>IFERROR(INDEX('Semrush Data'!$A$1:$Z$20000,MATCH(A2999,'Semrush Data'!$A$1:$A$20000,0),MATCH("CPC*",'Semrush Data'!$A$1:$Z$1,0)),"")</f>
        <v/>
      </c>
      <c r="J2999" s="42">
        <f>IFERROR(INDEX('Semrush Data'!$A$1:$Z$20000,MATCH(A2999,'Semrush Data'!$A$1:$A$20000,0),MATCH("Intent",'Semrush Data'!$A$1:$Z$1,0)),"")</f>
        <v/>
      </c>
    </row>
    <row r="3000" ht="15" customHeight="1" s="37">
      <c r="A3000" s="42" t="inlineStr">
        <is>
          <t>perfume al haramain amber oud extreme gold edition</t>
        </is>
      </c>
      <c r="B3000" s="42" t="inlineStr">
        <is>
          <t>Google suggest</t>
        </is>
      </c>
      <c r="C3000" s="42" t="n">
        <v>3</v>
      </c>
      <c r="D3000" s="42" t="n">
        <v>30</v>
      </c>
      <c r="E3000" s="42" t="n">
        <v>1</v>
      </c>
      <c r="F3000" s="42" t="inlineStr">
        <is>
          <t>FR-026</t>
        </is>
      </c>
      <c r="G3000" s="55">
        <f>IFERROR(INDEX('Semrush Data'!$A$1:$Z$20000,MATCH(A3000,'Semrush Data'!$A$1:$A$20000,0),MATCH("Volume",'Semrush Data'!$A$1:$Z$1,0)),"")</f>
        <v/>
      </c>
      <c r="H3000" s="42">
        <f>IFERROR(INDEX('Semrush Data'!$A$1:$Z$20000,MATCH(A3000,'Semrush Data'!$A$1:$A$20000,0),MATCH("Keyword Difficulty*",'Semrush Data'!$A$1:$Z$1,0)),"")</f>
        <v/>
      </c>
      <c r="I3000" s="56">
        <f>IFERROR(INDEX('Semrush Data'!$A$1:$Z$20000,MATCH(A3000,'Semrush Data'!$A$1:$A$20000,0),MATCH("CPC*",'Semrush Data'!$A$1:$Z$1,0)),"")</f>
        <v/>
      </c>
      <c r="J3000" s="42">
        <f>IFERROR(INDEX('Semrush Data'!$A$1:$Z$20000,MATCH(A3000,'Semrush Data'!$A$1:$A$20000,0),MATCH("Intent",'Semrush Data'!$A$1:$Z$1,0)),"")</f>
        <v/>
      </c>
    </row>
    <row r="3001" ht="15" customHeight="1" s="37">
      <c r="A3001" s="42" t="inlineStr">
        <is>
          <t>roll it 1 dupe of</t>
        </is>
      </c>
      <c r="B3001" s="42" t="inlineStr">
        <is>
          <t>Google suggest</t>
        </is>
      </c>
      <c r="C3001" s="42" t="n">
        <v>3</v>
      </c>
      <c r="D3001" s="42" t="n">
        <v>30</v>
      </c>
      <c r="E3001" s="42" t="n">
        <v>1</v>
      </c>
      <c r="F3001" s="42" t="inlineStr">
        <is>
          <t>FR-210</t>
        </is>
      </c>
      <c r="G3001" s="55">
        <f>IFERROR(INDEX('Semrush Data'!$A$1:$Z$20000,MATCH(A3001,'Semrush Data'!$A$1:$A$20000,0),MATCH("Volume",'Semrush Data'!$A$1:$Z$1,0)),"")</f>
        <v/>
      </c>
      <c r="H3001" s="42">
        <f>IFERROR(INDEX('Semrush Data'!$A$1:$Z$20000,MATCH(A3001,'Semrush Data'!$A$1:$A$20000,0),MATCH("Keyword Difficulty*",'Semrush Data'!$A$1:$Z$1,0)),"")</f>
        <v/>
      </c>
      <c r="I3001" s="56">
        <f>IFERROR(INDEX('Semrush Data'!$A$1:$Z$20000,MATCH(A3001,'Semrush Data'!$A$1:$A$20000,0),MATCH("CPC*",'Semrush Data'!$A$1:$Z$1,0)),"")</f>
        <v/>
      </c>
      <c r="J3001" s="42">
        <f>IFERROR(INDEX('Semrush Data'!$A$1:$Z$20000,MATCH(A3001,'Semrush Data'!$A$1:$A$20000,0),MATCH("Intent",'Semrush Data'!$A$1:$Z$1,0)),"")</f>
        <v/>
      </c>
    </row>
    <row r="3002" ht="15" customHeight="1" s="37">
      <c r="A3002" s="42" t="inlineStr">
        <is>
          <t>roll it 18</t>
        </is>
      </c>
      <c r="B3002" s="42" t="inlineStr">
        <is>
          <t>Google suggest</t>
        </is>
      </c>
      <c r="C3002" s="42" t="n">
        <v>3</v>
      </c>
      <c r="D3002" s="42" t="n">
        <v>31</v>
      </c>
      <c r="E3002" s="42" t="n">
        <v>1</v>
      </c>
      <c r="F3002" s="42" t="inlineStr">
        <is>
          <t>FR-210</t>
        </is>
      </c>
      <c r="G3002" s="55">
        <f>IFERROR(INDEX('Semrush Data'!$A$1:$Z$20000,MATCH(A3002,'Semrush Data'!$A$1:$A$20000,0),MATCH("Volume",'Semrush Data'!$A$1:$Z$1,0)),"")</f>
        <v/>
      </c>
      <c r="H3002" s="42">
        <f>IFERROR(INDEX('Semrush Data'!$A$1:$Z$20000,MATCH(A3002,'Semrush Data'!$A$1:$A$20000,0),MATCH("Keyword Difficulty*",'Semrush Data'!$A$1:$Z$1,0)),"")</f>
        <v/>
      </c>
      <c r="I3002" s="56">
        <f>IFERROR(INDEX('Semrush Data'!$A$1:$Z$20000,MATCH(A3002,'Semrush Data'!$A$1:$A$20000,0),MATCH("CPC*",'Semrush Data'!$A$1:$Z$1,0)),"")</f>
        <v/>
      </c>
      <c r="J3002" s="42">
        <f>IFERROR(INDEX('Semrush Data'!$A$1:$Z$20000,MATCH(A3002,'Semrush Data'!$A$1:$A$20000,0),MATCH("Intent",'Semrush Data'!$A$1:$Z$1,0)),"")</f>
        <v/>
      </c>
    </row>
    <row r="3003" ht="15" customHeight="1" s="37">
      <c r="A3003" s="42" t="inlineStr">
        <is>
          <t>roll it 18 dupe of</t>
        </is>
      </c>
      <c r="B3003" s="42" t="inlineStr">
        <is>
          <t>Google suggest</t>
        </is>
      </c>
      <c r="C3003" s="42" t="n">
        <v>3</v>
      </c>
      <c r="D3003" s="42" t="n">
        <v>31</v>
      </c>
      <c r="E3003" s="42" t="n">
        <v>1</v>
      </c>
      <c r="F3003" s="42" t="inlineStr">
        <is>
          <t>FR-210</t>
        </is>
      </c>
      <c r="G3003" s="55">
        <f>IFERROR(INDEX('Semrush Data'!$A$1:$Z$20000,MATCH(A3003,'Semrush Data'!$A$1:$A$20000,0),MATCH("Volume",'Semrush Data'!$A$1:$Z$1,0)),"")</f>
        <v/>
      </c>
      <c r="H3003" s="42">
        <f>IFERROR(INDEX('Semrush Data'!$A$1:$Z$20000,MATCH(A3003,'Semrush Data'!$A$1:$A$20000,0),MATCH("Keyword Difficulty*",'Semrush Data'!$A$1:$Z$1,0)),"")</f>
        <v/>
      </c>
      <c r="I3003" s="56">
        <f>IFERROR(INDEX('Semrush Data'!$A$1:$Z$20000,MATCH(A3003,'Semrush Data'!$A$1:$A$20000,0),MATCH("CPC*",'Semrush Data'!$A$1:$Z$1,0)),"")</f>
        <v/>
      </c>
      <c r="J3003" s="42">
        <f>IFERROR(INDEX('Semrush Data'!$A$1:$Z$20000,MATCH(A3003,'Semrush Data'!$A$1:$A$20000,0),MATCH("Intent",'Semrush Data'!$A$1:$Z$1,0)),"")</f>
        <v/>
      </c>
    </row>
    <row r="3004" ht="15" customHeight="1" s="37">
      <c r="A3004" s="42" t="inlineStr">
        <is>
          <t>royal oud korloff paris</t>
        </is>
      </c>
      <c r="B3004" s="42" t="inlineStr">
        <is>
          <t>Google suggest</t>
        </is>
      </c>
      <c r="C3004" s="42" t="n">
        <v>3</v>
      </c>
      <c r="D3004" s="42" t="n">
        <v>31</v>
      </c>
      <c r="E3004" s="42" t="n">
        <v>1</v>
      </c>
      <c r="F3004" s="42" t="inlineStr">
        <is>
          <t>FR-281</t>
        </is>
      </c>
      <c r="G3004" s="55">
        <f>IFERROR(INDEX('Semrush Data'!$A$1:$Z$20000,MATCH(A3004,'Semrush Data'!$A$1:$A$20000,0),MATCH("Volume",'Semrush Data'!$A$1:$Z$1,0)),"")</f>
        <v/>
      </c>
      <c r="H3004" s="42">
        <f>IFERROR(INDEX('Semrush Data'!$A$1:$Z$20000,MATCH(A3004,'Semrush Data'!$A$1:$A$20000,0),MATCH("Keyword Difficulty*",'Semrush Data'!$A$1:$Z$1,0)),"")</f>
        <v/>
      </c>
      <c r="I3004" s="56">
        <f>IFERROR(INDEX('Semrush Data'!$A$1:$Z$20000,MATCH(A3004,'Semrush Data'!$A$1:$A$20000,0),MATCH("CPC*",'Semrush Data'!$A$1:$Z$1,0)),"")</f>
        <v/>
      </c>
      <c r="J3004" s="42">
        <f>IFERROR(INDEX('Semrush Data'!$A$1:$Z$20000,MATCH(A3004,'Semrush Data'!$A$1:$A$20000,0),MATCH("Intent",'Semrush Data'!$A$1:$Z$1,0)),"")</f>
        <v/>
      </c>
    </row>
    <row r="3005" ht="15" customHeight="1" s="37">
      <c r="A3005" s="42" t="inlineStr">
        <is>
          <t>royal oud perfume la maison de la vanille</t>
        </is>
      </c>
      <c r="B3005" s="42" t="inlineStr">
        <is>
          <t>Google suggest</t>
        </is>
      </c>
      <c r="C3005" s="42" t="n">
        <v>3</v>
      </c>
      <c r="D3005" s="42" t="n">
        <v>31</v>
      </c>
      <c r="E3005" s="42" t="n">
        <v>1</v>
      </c>
      <c r="F3005" s="42" t="inlineStr">
        <is>
          <t>FR-285</t>
        </is>
      </c>
      <c r="G3005" s="55">
        <f>IFERROR(INDEX('Semrush Data'!$A$1:$Z$20000,MATCH(A3005,'Semrush Data'!$A$1:$A$20000,0),MATCH("Volume",'Semrush Data'!$A$1:$Z$1,0)),"")</f>
        <v/>
      </c>
      <c r="H3005" s="42">
        <f>IFERROR(INDEX('Semrush Data'!$A$1:$Z$20000,MATCH(A3005,'Semrush Data'!$A$1:$A$20000,0),MATCH("Keyword Difficulty*",'Semrush Data'!$A$1:$Z$1,0)),"")</f>
        <v/>
      </c>
      <c r="I3005" s="56">
        <f>IFERROR(INDEX('Semrush Data'!$A$1:$Z$20000,MATCH(A3005,'Semrush Data'!$A$1:$A$20000,0),MATCH("CPC*",'Semrush Data'!$A$1:$Z$1,0)),"")</f>
        <v/>
      </c>
      <c r="J3005" s="42">
        <f>IFERROR(INDEX('Semrush Data'!$A$1:$Z$20000,MATCH(A3005,'Semrush Data'!$A$1:$A$20000,0),MATCH("Intent",'Semrush Data'!$A$1:$Z$1,0)),"")</f>
        <v/>
      </c>
    </row>
    <row r="3006" ht="15" customHeight="1" s="37">
      <c r="A3006" s="42" t="inlineStr">
        <is>
          <t>sap le roi extrait</t>
        </is>
      </c>
      <c r="B3006" s="42" t="inlineStr">
        <is>
          <t>Google suggest</t>
        </is>
      </c>
      <c r="C3006" s="42" t="n">
        <v>3</v>
      </c>
      <c r="D3006" s="42" t="n">
        <v>31</v>
      </c>
      <c r="E3006" s="42" t="n">
        <v>1</v>
      </c>
      <c r="F3006" s="42" t="inlineStr">
        <is>
          <t>FR-312</t>
        </is>
      </c>
      <c r="G3006" s="55">
        <f>IFERROR(INDEX('Semrush Data'!$A$1:$Z$20000,MATCH(A3006,'Semrush Data'!$A$1:$A$20000,0),MATCH("Volume",'Semrush Data'!$A$1:$Z$1,0)),"")</f>
        <v/>
      </c>
      <c r="H3006" s="42">
        <f>IFERROR(INDEX('Semrush Data'!$A$1:$Z$20000,MATCH(A3006,'Semrush Data'!$A$1:$A$20000,0),MATCH("Keyword Difficulty*",'Semrush Data'!$A$1:$Z$1,0)),"")</f>
        <v/>
      </c>
      <c r="I3006" s="56">
        <f>IFERROR(INDEX('Semrush Data'!$A$1:$Z$20000,MATCH(A3006,'Semrush Data'!$A$1:$A$20000,0),MATCH("CPC*",'Semrush Data'!$A$1:$Z$1,0)),"")</f>
        <v/>
      </c>
      <c r="J3006" s="42">
        <f>IFERROR(INDEX('Semrush Data'!$A$1:$Z$20000,MATCH(A3006,'Semrush Data'!$A$1:$A$20000,0),MATCH("Intent",'Semrush Data'!$A$1:$Z$1,0)),"")</f>
        <v/>
      </c>
    </row>
    <row r="3007" ht="15" customHeight="1" s="37">
      <c r="A3007" s="42" t="inlineStr">
        <is>
          <t>sap le roi extrait de parfum 100ml</t>
        </is>
      </c>
      <c r="B3007" s="42" t="inlineStr">
        <is>
          <t>Google suggest</t>
        </is>
      </c>
      <c r="C3007" s="42" t="n">
        <v>3</v>
      </c>
      <c r="D3007" s="42" t="n">
        <v>31</v>
      </c>
      <c r="E3007" s="42" t="n">
        <v>1</v>
      </c>
      <c r="F3007" s="42" t="inlineStr">
        <is>
          <t>FR-312</t>
        </is>
      </c>
      <c r="G3007" s="55">
        <f>IFERROR(INDEX('Semrush Data'!$A$1:$Z$20000,MATCH(A3007,'Semrush Data'!$A$1:$A$20000,0),MATCH("Volume",'Semrush Data'!$A$1:$Z$1,0)),"")</f>
        <v/>
      </c>
      <c r="H3007" s="42">
        <f>IFERROR(INDEX('Semrush Data'!$A$1:$Z$20000,MATCH(A3007,'Semrush Data'!$A$1:$A$20000,0),MATCH("Keyword Difficulty*",'Semrush Data'!$A$1:$Z$1,0)),"")</f>
        <v/>
      </c>
      <c r="I3007" s="56">
        <f>IFERROR(INDEX('Semrush Data'!$A$1:$Z$20000,MATCH(A3007,'Semrush Data'!$A$1:$A$20000,0),MATCH("CPC*",'Semrush Data'!$A$1:$Z$1,0)),"")</f>
        <v/>
      </c>
      <c r="J3007" s="42">
        <f>IFERROR(INDEX('Semrush Data'!$A$1:$Z$20000,MATCH(A3007,'Semrush Data'!$A$1:$A$20000,0),MATCH("Intent",'Semrush Data'!$A$1:$Z$1,0)),"")</f>
        <v/>
      </c>
    </row>
    <row r="3008" ht="15" customHeight="1" s="37">
      <c r="A3008" s="42" t="inlineStr">
        <is>
          <t>sap le roi parfum</t>
        </is>
      </c>
      <c r="B3008" s="42" t="inlineStr">
        <is>
          <t>Google suggest</t>
        </is>
      </c>
      <c r="C3008" s="42" t="n">
        <v>3</v>
      </c>
      <c r="D3008" s="42" t="n">
        <v>31</v>
      </c>
      <c r="E3008" s="42" t="n">
        <v>1</v>
      </c>
      <c r="F3008" s="42" t="inlineStr">
        <is>
          <t>FR-312</t>
        </is>
      </c>
      <c r="G3008" s="55">
        <f>IFERROR(INDEX('Semrush Data'!$A$1:$Z$20000,MATCH(A3008,'Semrush Data'!$A$1:$A$20000,0),MATCH("Volume",'Semrush Data'!$A$1:$Z$1,0)),"")</f>
        <v/>
      </c>
      <c r="H3008" s="42">
        <f>IFERROR(INDEX('Semrush Data'!$A$1:$Z$20000,MATCH(A3008,'Semrush Data'!$A$1:$A$20000,0),MATCH("Keyword Difficulty*",'Semrush Data'!$A$1:$Z$1,0)),"")</f>
        <v/>
      </c>
      <c r="I3008" s="56">
        <f>IFERROR(INDEX('Semrush Data'!$A$1:$Z$20000,MATCH(A3008,'Semrush Data'!$A$1:$A$20000,0),MATCH("CPC*",'Semrush Data'!$A$1:$Z$1,0)),"")</f>
        <v/>
      </c>
      <c r="J3008" s="42">
        <f>IFERROR(INDEX('Semrush Data'!$A$1:$Z$20000,MATCH(A3008,'Semrush Data'!$A$1:$A$20000,0),MATCH("Intent",'Semrush Data'!$A$1:$Z$1,0)),"")</f>
        <v/>
      </c>
    </row>
    <row r="3009" ht="15" customHeight="1" s="37">
      <c r="A3009" s="42" t="inlineStr">
        <is>
          <t>sap le roi perfume</t>
        </is>
      </c>
      <c r="B3009" s="42" t="inlineStr">
        <is>
          <t>Google suggest</t>
        </is>
      </c>
      <c r="C3009" s="42" t="n">
        <v>3</v>
      </c>
      <c r="D3009" s="42" t="n">
        <v>31</v>
      </c>
      <c r="E3009" s="42" t="n">
        <v>1</v>
      </c>
      <c r="F3009" s="42" t="inlineStr">
        <is>
          <t>FR-312</t>
        </is>
      </c>
      <c r="G3009" s="55">
        <f>IFERROR(INDEX('Semrush Data'!$A$1:$Z$20000,MATCH(A3009,'Semrush Data'!$A$1:$A$20000,0),MATCH("Volume",'Semrush Data'!$A$1:$Z$1,0)),"")</f>
        <v/>
      </c>
      <c r="H3009" s="42">
        <f>IFERROR(INDEX('Semrush Data'!$A$1:$Z$20000,MATCH(A3009,'Semrush Data'!$A$1:$A$20000,0),MATCH("Keyword Difficulty*",'Semrush Data'!$A$1:$Z$1,0)),"")</f>
        <v/>
      </c>
      <c r="I3009" s="56">
        <f>IFERROR(INDEX('Semrush Data'!$A$1:$Z$20000,MATCH(A3009,'Semrush Data'!$A$1:$A$20000,0),MATCH("CPC*",'Semrush Data'!$A$1:$Z$1,0)),"")</f>
        <v/>
      </c>
      <c r="J3009" s="42">
        <f>IFERROR(INDEX('Semrush Data'!$A$1:$Z$20000,MATCH(A3009,'Semrush Data'!$A$1:$A$20000,0),MATCH("Intent",'Semrush Data'!$A$1:$Z$1,0)),"")</f>
        <v/>
      </c>
    </row>
    <row r="3010" ht="15" customHeight="1" s="37">
      <c r="A3010" s="42" t="inlineStr">
        <is>
          <t>sap patchouli intense extrait de parfum 100ml</t>
        </is>
      </c>
      <c r="B3010" s="42" t="inlineStr">
        <is>
          <t>Google suggest</t>
        </is>
      </c>
      <c r="C3010" s="42" t="n">
        <v>3</v>
      </c>
      <c r="D3010" s="42" t="n">
        <v>31</v>
      </c>
      <c r="E3010" s="42" t="n">
        <v>1</v>
      </c>
      <c r="F3010" s="42" t="inlineStr">
        <is>
          <t>FR-314</t>
        </is>
      </c>
      <c r="G3010" s="55">
        <f>IFERROR(INDEX('Semrush Data'!$A$1:$Z$20000,MATCH(A3010,'Semrush Data'!$A$1:$A$20000,0),MATCH("Volume",'Semrush Data'!$A$1:$Z$1,0)),"")</f>
        <v/>
      </c>
      <c r="H3010" s="42">
        <f>IFERROR(INDEX('Semrush Data'!$A$1:$Z$20000,MATCH(A3010,'Semrush Data'!$A$1:$A$20000,0),MATCH("Keyword Difficulty*",'Semrush Data'!$A$1:$Z$1,0)),"")</f>
        <v/>
      </c>
      <c r="I3010" s="56">
        <f>IFERROR(INDEX('Semrush Data'!$A$1:$Z$20000,MATCH(A3010,'Semrush Data'!$A$1:$A$20000,0),MATCH("CPC*",'Semrush Data'!$A$1:$Z$1,0)),"")</f>
        <v/>
      </c>
      <c r="J3010" s="42">
        <f>IFERROR(INDEX('Semrush Data'!$A$1:$Z$20000,MATCH(A3010,'Semrush Data'!$A$1:$A$20000,0),MATCH("Intent",'Semrush Data'!$A$1:$Z$1,0)),"")</f>
        <v/>
      </c>
    </row>
    <row r="3011" ht="15" customHeight="1" s="37">
      <c r="A3011" s="42" t="inlineStr">
        <is>
          <t>sap perfume patchouli intense</t>
        </is>
      </c>
      <c r="B3011" s="42" t="inlineStr">
        <is>
          <t>Google suggest</t>
        </is>
      </c>
      <c r="C3011" s="42" t="n">
        <v>3</v>
      </c>
      <c r="D3011" s="42" t="n">
        <v>31</v>
      </c>
      <c r="E3011" s="42" t="n">
        <v>1</v>
      </c>
      <c r="F3011" s="42" t="inlineStr">
        <is>
          <t>FR-314</t>
        </is>
      </c>
      <c r="G3011" s="55">
        <f>IFERROR(INDEX('Semrush Data'!$A$1:$Z$20000,MATCH(A3011,'Semrush Data'!$A$1:$A$20000,0),MATCH("Volume",'Semrush Data'!$A$1:$Z$1,0)),"")</f>
        <v/>
      </c>
      <c r="H3011" s="42">
        <f>IFERROR(INDEX('Semrush Data'!$A$1:$Z$20000,MATCH(A3011,'Semrush Data'!$A$1:$A$20000,0),MATCH("Keyword Difficulty*",'Semrush Data'!$A$1:$Z$1,0)),"")</f>
        <v/>
      </c>
      <c r="I3011" s="56">
        <f>IFERROR(INDEX('Semrush Data'!$A$1:$Z$20000,MATCH(A3011,'Semrush Data'!$A$1:$A$20000,0),MATCH("CPC*",'Semrush Data'!$A$1:$Z$1,0)),"")</f>
        <v/>
      </c>
      <c r="J3011" s="42">
        <f>IFERROR(INDEX('Semrush Data'!$A$1:$Z$20000,MATCH(A3011,'Semrush Data'!$A$1:$A$20000,0),MATCH("Intent",'Semrush Data'!$A$1:$Z$1,0)),"")</f>
        <v/>
      </c>
    </row>
    <row r="3012" ht="15" customHeight="1" s="37">
      <c r="A3012" s="42" t="inlineStr">
        <is>
          <t>sap perfume saffron oud</t>
        </is>
      </c>
      <c r="B3012" s="42" t="inlineStr">
        <is>
          <t>Google suggest</t>
        </is>
      </c>
      <c r="C3012" s="42" t="n">
        <v>3</v>
      </c>
      <c r="D3012" s="42" t="n">
        <v>31</v>
      </c>
      <c r="E3012" s="42" t="n">
        <v>1</v>
      </c>
      <c r="F3012" s="42" t="inlineStr">
        <is>
          <t>FR-315</t>
        </is>
      </c>
      <c r="G3012" s="55">
        <f>IFERROR(INDEX('Semrush Data'!$A$1:$Z$20000,MATCH(A3012,'Semrush Data'!$A$1:$A$20000,0),MATCH("Volume",'Semrush Data'!$A$1:$Z$1,0)),"")</f>
        <v/>
      </c>
      <c r="H3012" s="42">
        <f>IFERROR(INDEX('Semrush Data'!$A$1:$Z$20000,MATCH(A3012,'Semrush Data'!$A$1:$A$20000,0),MATCH("Keyword Difficulty*",'Semrush Data'!$A$1:$Z$1,0)),"")</f>
        <v/>
      </c>
      <c r="I3012" s="56">
        <f>IFERROR(INDEX('Semrush Data'!$A$1:$Z$20000,MATCH(A3012,'Semrush Data'!$A$1:$A$20000,0),MATCH("CPC*",'Semrush Data'!$A$1:$Z$1,0)),"")</f>
        <v/>
      </c>
      <c r="J3012" s="42">
        <f>IFERROR(INDEX('Semrush Data'!$A$1:$Z$20000,MATCH(A3012,'Semrush Data'!$A$1:$A$20000,0),MATCH("Intent",'Semrush Data'!$A$1:$Z$1,0)),"")</f>
        <v/>
      </c>
    </row>
    <row r="3013" ht="15" customHeight="1" s="37">
      <c r="A3013" s="42" t="inlineStr">
        <is>
          <t>sap perfume vert club</t>
        </is>
      </c>
      <c r="B3013" s="42" t="inlineStr">
        <is>
          <t>Google suggest</t>
        </is>
      </c>
      <c r="C3013" s="42" t="n">
        <v>3</v>
      </c>
      <c r="D3013" s="42" t="n">
        <v>31</v>
      </c>
      <c r="E3013" s="42" t="n">
        <v>1</v>
      </c>
      <c r="F3013" s="42" t="inlineStr">
        <is>
          <t>FR-316</t>
        </is>
      </c>
      <c r="G3013" s="55">
        <f>IFERROR(INDEX('Semrush Data'!$A$1:$Z$20000,MATCH(A3013,'Semrush Data'!$A$1:$A$20000,0),MATCH("Volume",'Semrush Data'!$A$1:$Z$1,0)),"")</f>
        <v/>
      </c>
      <c r="H3013" s="42">
        <f>IFERROR(INDEX('Semrush Data'!$A$1:$Z$20000,MATCH(A3013,'Semrush Data'!$A$1:$A$20000,0),MATCH("Keyword Difficulty*",'Semrush Data'!$A$1:$Z$1,0)),"")</f>
        <v/>
      </c>
      <c r="I3013" s="56">
        <f>IFERROR(INDEX('Semrush Data'!$A$1:$Z$20000,MATCH(A3013,'Semrush Data'!$A$1:$A$20000,0),MATCH("CPC*",'Semrush Data'!$A$1:$Z$1,0)),"")</f>
        <v/>
      </c>
      <c r="J3013" s="42">
        <f>IFERROR(INDEX('Semrush Data'!$A$1:$Z$20000,MATCH(A3013,'Semrush Data'!$A$1:$A$20000,0),MATCH("Intent",'Semrush Data'!$A$1:$Z$1,0)),"")</f>
        <v/>
      </c>
    </row>
    <row r="3014" ht="15" customHeight="1" s="37">
      <c r="A3014" s="42" t="inlineStr">
        <is>
          <t>sapphire signature sale</t>
        </is>
      </c>
      <c r="B3014" s="42" t="inlineStr">
        <is>
          <t>Google suggest</t>
        </is>
      </c>
      <c r="C3014" s="42" t="n">
        <v>3</v>
      </c>
      <c r="D3014" s="42" t="n">
        <v>31</v>
      </c>
      <c r="E3014" s="42" t="n">
        <v>1</v>
      </c>
      <c r="F3014" s="42" t="inlineStr">
        <is>
          <t>FR-329</t>
        </is>
      </c>
      <c r="G3014" s="55">
        <f>IFERROR(INDEX('Semrush Data'!$A$1:$Z$20000,MATCH(A3014,'Semrush Data'!$A$1:$A$20000,0),MATCH("Volume",'Semrush Data'!$A$1:$Z$1,0)),"")</f>
        <v/>
      </c>
      <c r="H3014" s="42">
        <f>IFERROR(INDEX('Semrush Data'!$A$1:$Z$20000,MATCH(A3014,'Semrush Data'!$A$1:$A$20000,0),MATCH("Keyword Difficulty*",'Semrush Data'!$A$1:$Z$1,0)),"")</f>
        <v/>
      </c>
      <c r="I3014" s="56">
        <f>IFERROR(INDEX('Semrush Data'!$A$1:$Z$20000,MATCH(A3014,'Semrush Data'!$A$1:$A$20000,0),MATCH("CPC*",'Semrush Data'!$A$1:$Z$1,0)),"")</f>
        <v/>
      </c>
      <c r="J3014" s="42">
        <f>IFERROR(INDEX('Semrush Data'!$A$1:$Z$20000,MATCH(A3014,'Semrush Data'!$A$1:$A$20000,0),MATCH("Intent",'Semrush Data'!$A$1:$Z$1,0)),"")</f>
        <v/>
      </c>
    </row>
    <row r="3015" ht="15" customHeight="1" s="37">
      <c r="A3015" s="42" t="inlineStr">
        <is>
          <t>secret source the woods collection фрагрантика</t>
        </is>
      </c>
      <c r="B3015" s="42" t="inlineStr">
        <is>
          <t>Google suggest</t>
        </is>
      </c>
      <c r="C3015" s="42" t="n">
        <v>3</v>
      </c>
      <c r="D3015" s="42" t="n">
        <v>31</v>
      </c>
      <c r="E3015" s="42" t="n">
        <v>1</v>
      </c>
      <c r="F3015" s="42" t="inlineStr">
        <is>
          <t>FR-348</t>
        </is>
      </c>
      <c r="G3015" s="55">
        <f>IFERROR(INDEX('Semrush Data'!$A$1:$Z$20000,MATCH(A3015,'Semrush Data'!$A$1:$A$20000,0),MATCH("Volume",'Semrush Data'!$A$1:$Z$1,0)),"")</f>
        <v/>
      </c>
      <c r="H3015" s="42">
        <f>IFERROR(INDEX('Semrush Data'!$A$1:$Z$20000,MATCH(A3015,'Semrush Data'!$A$1:$A$20000,0),MATCH("Keyword Difficulty*",'Semrush Data'!$A$1:$Z$1,0)),"")</f>
        <v/>
      </c>
      <c r="I3015" s="56">
        <f>IFERROR(INDEX('Semrush Data'!$A$1:$Z$20000,MATCH(A3015,'Semrush Data'!$A$1:$A$20000,0),MATCH("CPC*",'Semrush Data'!$A$1:$Z$1,0)),"")</f>
        <v/>
      </c>
      <c r="J3015" s="42">
        <f>IFERROR(INDEX('Semrush Data'!$A$1:$Z$20000,MATCH(A3015,'Semrush Data'!$A$1:$A$20000,0),MATCH("Intent",'Semrush Data'!$A$1:$Z$1,0)),"")</f>
        <v/>
      </c>
    </row>
    <row r="3016" ht="15" customHeight="1" s="37">
      <c r="A3016" s="42" t="inlineStr">
        <is>
          <t>serge lutens la fille de berlin 100ml</t>
        </is>
      </c>
      <c r="B3016" s="42" t="inlineStr">
        <is>
          <t>Google suggest</t>
        </is>
      </c>
      <c r="C3016" s="42" t="n">
        <v>3</v>
      </c>
      <c r="D3016" s="42" t="n">
        <v>31</v>
      </c>
      <c r="E3016" s="42" t="n">
        <v>1</v>
      </c>
      <c r="F3016" s="42" t="inlineStr">
        <is>
          <t>FR-317</t>
        </is>
      </c>
      <c r="G3016" s="55">
        <f>IFERROR(INDEX('Semrush Data'!$A$1:$Z$20000,MATCH(A3016,'Semrush Data'!$A$1:$A$20000,0),MATCH("Volume",'Semrush Data'!$A$1:$Z$1,0)),"")</f>
        <v/>
      </c>
      <c r="H3016" s="42">
        <f>IFERROR(INDEX('Semrush Data'!$A$1:$Z$20000,MATCH(A3016,'Semrush Data'!$A$1:$A$20000,0),MATCH("Keyword Difficulty*",'Semrush Data'!$A$1:$Z$1,0)),"")</f>
        <v/>
      </c>
      <c r="I3016" s="56">
        <f>IFERROR(INDEX('Semrush Data'!$A$1:$Z$20000,MATCH(A3016,'Semrush Data'!$A$1:$A$20000,0),MATCH("CPC*",'Semrush Data'!$A$1:$Z$1,0)),"")</f>
        <v/>
      </c>
      <c r="J3016" s="42">
        <f>IFERROR(INDEX('Semrush Data'!$A$1:$Z$20000,MATCH(A3016,'Semrush Data'!$A$1:$A$20000,0),MATCH("Intent",'Semrush Data'!$A$1:$Z$1,0)),"")</f>
        <v/>
      </c>
    </row>
    <row r="3017" ht="15" customHeight="1" s="37">
      <c r="A3017" s="42" t="inlineStr">
        <is>
          <t>serge lutens la fille de berlin dupe</t>
        </is>
      </c>
      <c r="B3017" s="42" t="inlineStr">
        <is>
          <t>Google suggest</t>
        </is>
      </c>
      <c r="C3017" s="42" t="n">
        <v>3</v>
      </c>
      <c r="D3017" s="42" t="n">
        <v>31</v>
      </c>
      <c r="E3017" s="42" t="n">
        <v>1</v>
      </c>
      <c r="F3017" s="42" t="inlineStr">
        <is>
          <t>FR-317</t>
        </is>
      </c>
      <c r="G3017" s="55">
        <f>IFERROR(INDEX('Semrush Data'!$A$1:$Z$20000,MATCH(A3017,'Semrush Data'!$A$1:$A$20000,0),MATCH("Volume",'Semrush Data'!$A$1:$Z$1,0)),"")</f>
        <v/>
      </c>
      <c r="H3017" s="42">
        <f>IFERROR(INDEX('Semrush Data'!$A$1:$Z$20000,MATCH(A3017,'Semrush Data'!$A$1:$A$20000,0),MATCH("Keyword Difficulty*",'Semrush Data'!$A$1:$Z$1,0)),"")</f>
        <v/>
      </c>
      <c r="I3017" s="56">
        <f>IFERROR(INDEX('Semrush Data'!$A$1:$Z$20000,MATCH(A3017,'Semrush Data'!$A$1:$A$20000,0),MATCH("CPC*",'Semrush Data'!$A$1:$Z$1,0)),"")</f>
        <v/>
      </c>
      <c r="J3017" s="42">
        <f>IFERROR(INDEX('Semrush Data'!$A$1:$Z$20000,MATCH(A3017,'Semrush Data'!$A$1:$A$20000,0),MATCH("Intent",'Semrush Data'!$A$1:$Z$1,0)),"")</f>
        <v/>
      </c>
    </row>
    <row r="3018" ht="15" customHeight="1" s="37">
      <c r="A3018" s="42" t="inlineStr">
        <is>
          <t>serge lutens la fille de berlin edp</t>
        </is>
      </c>
      <c r="B3018" s="42" t="inlineStr">
        <is>
          <t>Google suggest</t>
        </is>
      </c>
      <c r="C3018" s="42" t="n">
        <v>3</v>
      </c>
      <c r="D3018" s="42" t="n">
        <v>31</v>
      </c>
      <c r="E3018" s="42" t="n">
        <v>1</v>
      </c>
      <c r="F3018" s="42" t="inlineStr">
        <is>
          <t>FR-317</t>
        </is>
      </c>
      <c r="G3018" s="55">
        <f>IFERROR(INDEX('Semrush Data'!$A$1:$Z$20000,MATCH(A3018,'Semrush Data'!$A$1:$A$20000,0),MATCH("Volume",'Semrush Data'!$A$1:$Z$1,0)),"")</f>
        <v/>
      </c>
      <c r="H3018" s="42">
        <f>IFERROR(INDEX('Semrush Data'!$A$1:$Z$20000,MATCH(A3018,'Semrush Data'!$A$1:$A$20000,0),MATCH("Keyword Difficulty*",'Semrush Data'!$A$1:$Z$1,0)),"")</f>
        <v/>
      </c>
      <c r="I3018" s="56">
        <f>IFERROR(INDEX('Semrush Data'!$A$1:$Z$20000,MATCH(A3018,'Semrush Data'!$A$1:$A$20000,0),MATCH("CPC*",'Semrush Data'!$A$1:$Z$1,0)),"")</f>
        <v/>
      </c>
      <c r="J3018" s="42">
        <f>IFERROR(INDEX('Semrush Data'!$A$1:$Z$20000,MATCH(A3018,'Semrush Data'!$A$1:$A$20000,0),MATCH("Intent",'Semrush Data'!$A$1:$Z$1,0)),"")</f>
        <v/>
      </c>
    </row>
    <row r="3019" ht="15" customHeight="1" s="37">
      <c r="A3019" s="42" t="inlineStr">
        <is>
          <t>serge lutens la fille de berlin notes</t>
        </is>
      </c>
      <c r="B3019" s="42" t="inlineStr">
        <is>
          <t>Google suggest</t>
        </is>
      </c>
      <c r="C3019" s="42" t="n">
        <v>3</v>
      </c>
      <c r="D3019" s="42" t="n">
        <v>31</v>
      </c>
      <c r="E3019" s="42" t="n">
        <v>1</v>
      </c>
      <c r="F3019" s="42" t="inlineStr">
        <is>
          <t>FR-317</t>
        </is>
      </c>
      <c r="G3019" s="55">
        <f>IFERROR(INDEX('Semrush Data'!$A$1:$Z$20000,MATCH(A3019,'Semrush Data'!$A$1:$A$20000,0),MATCH("Volume",'Semrush Data'!$A$1:$Z$1,0)),"")</f>
        <v/>
      </c>
      <c r="H3019" s="42">
        <f>IFERROR(INDEX('Semrush Data'!$A$1:$Z$20000,MATCH(A3019,'Semrush Data'!$A$1:$A$20000,0),MATCH("Keyword Difficulty*",'Semrush Data'!$A$1:$Z$1,0)),"")</f>
        <v/>
      </c>
      <c r="I3019" s="56">
        <f>IFERROR(INDEX('Semrush Data'!$A$1:$Z$20000,MATCH(A3019,'Semrush Data'!$A$1:$A$20000,0),MATCH("CPC*",'Semrush Data'!$A$1:$Z$1,0)),"")</f>
        <v/>
      </c>
      <c r="J3019" s="42">
        <f>IFERROR(INDEX('Semrush Data'!$A$1:$Z$20000,MATCH(A3019,'Semrush Data'!$A$1:$A$20000,0),MATCH("Intent",'Semrush Data'!$A$1:$Z$1,0)),"")</f>
        <v/>
      </c>
    </row>
    <row r="3020" ht="15" customHeight="1" s="37">
      <c r="A3020" s="42" t="inlineStr">
        <is>
          <t>serge lutens la fille de berlin review</t>
        </is>
      </c>
      <c r="B3020" s="42" t="inlineStr">
        <is>
          <t>Google suggest</t>
        </is>
      </c>
      <c r="C3020" s="42" t="n">
        <v>3</v>
      </c>
      <c r="D3020" s="42" t="n">
        <v>31</v>
      </c>
      <c r="E3020" s="42" t="n">
        <v>1</v>
      </c>
      <c r="F3020" s="42" t="inlineStr">
        <is>
          <t>FR-317</t>
        </is>
      </c>
      <c r="G3020" s="55">
        <f>IFERROR(INDEX('Semrush Data'!$A$1:$Z$20000,MATCH(A3020,'Semrush Data'!$A$1:$A$20000,0),MATCH("Volume",'Semrush Data'!$A$1:$Z$1,0)),"")</f>
        <v/>
      </c>
      <c r="H3020" s="42">
        <f>IFERROR(INDEX('Semrush Data'!$A$1:$Z$20000,MATCH(A3020,'Semrush Data'!$A$1:$A$20000,0),MATCH("Keyword Difficulty*",'Semrush Data'!$A$1:$Z$1,0)),"")</f>
        <v/>
      </c>
      <c r="I3020" s="56">
        <f>IFERROR(INDEX('Semrush Data'!$A$1:$Z$20000,MATCH(A3020,'Semrush Data'!$A$1:$A$20000,0),MATCH("CPC*",'Semrush Data'!$A$1:$Z$1,0)),"")</f>
        <v/>
      </c>
      <c r="J3020" s="42">
        <f>IFERROR(INDEX('Semrush Data'!$A$1:$Z$20000,MATCH(A3020,'Semrush Data'!$A$1:$A$20000,0),MATCH("Intent",'Semrush Data'!$A$1:$Z$1,0)),"")</f>
        <v/>
      </c>
    </row>
    <row r="3021" ht="15" customHeight="1" s="37">
      <c r="A3021" s="42" t="inlineStr">
        <is>
          <t>shiseido zen for men</t>
        </is>
      </c>
      <c r="B3021" s="42" t="inlineStr">
        <is>
          <t>Google suggest</t>
        </is>
      </c>
      <c r="C3021" s="42" t="n">
        <v>3</v>
      </c>
      <c r="D3021" s="42" t="n">
        <v>31</v>
      </c>
      <c r="E3021" s="42" t="n">
        <v>1</v>
      </c>
      <c r="F3021" s="42" t="inlineStr">
        <is>
          <t>FR-318</t>
        </is>
      </c>
      <c r="G3021" s="55">
        <f>IFERROR(INDEX('Semrush Data'!$A$1:$Z$20000,MATCH(A3021,'Semrush Data'!$A$1:$A$20000,0),MATCH("Volume",'Semrush Data'!$A$1:$Z$1,0)),"")</f>
        <v/>
      </c>
      <c r="H3021" s="42">
        <f>IFERROR(INDEX('Semrush Data'!$A$1:$Z$20000,MATCH(A3021,'Semrush Data'!$A$1:$A$20000,0),MATCH("Keyword Difficulty*",'Semrush Data'!$A$1:$Z$1,0)),"")</f>
        <v/>
      </c>
      <c r="I3021" s="56">
        <f>IFERROR(INDEX('Semrush Data'!$A$1:$Z$20000,MATCH(A3021,'Semrush Data'!$A$1:$A$20000,0),MATCH("CPC*",'Semrush Data'!$A$1:$Z$1,0)),"")</f>
        <v/>
      </c>
      <c r="J3021" s="42">
        <f>IFERROR(INDEX('Semrush Data'!$A$1:$Z$20000,MATCH(A3021,'Semrush Data'!$A$1:$A$20000,0),MATCH("Intent",'Semrush Data'!$A$1:$Z$1,0)),"")</f>
        <v/>
      </c>
    </row>
    <row r="3022" ht="15" customHeight="1" s="37">
      <c r="A3022" s="42" t="inlineStr">
        <is>
          <t>shiseido zen parfum</t>
        </is>
      </c>
      <c r="B3022" s="42" t="inlineStr">
        <is>
          <t>Google suggest</t>
        </is>
      </c>
      <c r="C3022" s="42" t="n">
        <v>3</v>
      </c>
      <c r="D3022" s="42" t="n">
        <v>31</v>
      </c>
      <c r="E3022" s="42" t="n">
        <v>1</v>
      </c>
      <c r="F3022" s="42" t="inlineStr">
        <is>
          <t>FR-318</t>
        </is>
      </c>
      <c r="G3022" s="55">
        <f>IFERROR(INDEX('Semrush Data'!$A$1:$Z$20000,MATCH(A3022,'Semrush Data'!$A$1:$A$20000,0),MATCH("Volume",'Semrush Data'!$A$1:$Z$1,0)),"")</f>
        <v/>
      </c>
      <c r="H3022" s="42">
        <f>IFERROR(INDEX('Semrush Data'!$A$1:$Z$20000,MATCH(A3022,'Semrush Data'!$A$1:$A$20000,0),MATCH("Keyword Difficulty*",'Semrush Data'!$A$1:$Z$1,0)),"")</f>
        <v/>
      </c>
      <c r="I3022" s="56">
        <f>IFERROR(INDEX('Semrush Data'!$A$1:$Z$20000,MATCH(A3022,'Semrush Data'!$A$1:$A$20000,0),MATCH("CPC*",'Semrush Data'!$A$1:$Z$1,0)),"")</f>
        <v/>
      </c>
      <c r="J3022" s="42">
        <f>IFERROR(INDEX('Semrush Data'!$A$1:$Z$20000,MATCH(A3022,'Semrush Data'!$A$1:$A$20000,0),MATCH("Intent",'Semrush Data'!$A$1:$Z$1,0)),"")</f>
        <v/>
      </c>
    </row>
    <row r="3023" ht="15" customHeight="1" s="37">
      <c r="A3023" s="42" t="inlineStr">
        <is>
          <t>shiseido zen perfume</t>
        </is>
      </c>
      <c r="B3023" s="42" t="inlineStr">
        <is>
          <t>Google suggest</t>
        </is>
      </c>
      <c r="C3023" s="42" t="n">
        <v>3</v>
      </c>
      <c r="D3023" s="42" t="n">
        <v>31</v>
      </c>
      <c r="E3023" s="42" t="n">
        <v>1</v>
      </c>
      <c r="F3023" s="42" t="inlineStr">
        <is>
          <t>FR-318</t>
        </is>
      </c>
      <c r="G3023" s="55">
        <f>IFERROR(INDEX('Semrush Data'!$A$1:$Z$20000,MATCH(A3023,'Semrush Data'!$A$1:$A$20000,0),MATCH("Volume",'Semrush Data'!$A$1:$Z$1,0)),"")</f>
        <v/>
      </c>
      <c r="H3023" s="42">
        <f>IFERROR(INDEX('Semrush Data'!$A$1:$Z$20000,MATCH(A3023,'Semrush Data'!$A$1:$A$20000,0),MATCH("Keyword Difficulty*",'Semrush Data'!$A$1:$Z$1,0)),"")</f>
        <v/>
      </c>
      <c r="I3023" s="56">
        <f>IFERROR(INDEX('Semrush Data'!$A$1:$Z$20000,MATCH(A3023,'Semrush Data'!$A$1:$A$20000,0),MATCH("CPC*",'Semrush Data'!$A$1:$Z$1,0)),"")</f>
        <v/>
      </c>
      <c r="J3023" s="42">
        <f>IFERROR(INDEX('Semrush Data'!$A$1:$Z$20000,MATCH(A3023,'Semrush Data'!$A$1:$A$20000,0),MATCH("Intent",'Semrush Data'!$A$1:$Z$1,0)),"")</f>
        <v/>
      </c>
    </row>
    <row r="3024" ht="15" customHeight="1" s="37">
      <c r="A3024" s="42" t="inlineStr">
        <is>
          <t>shiseido zen perfume price</t>
        </is>
      </c>
      <c r="B3024" s="42" t="inlineStr">
        <is>
          <t>Google suggest</t>
        </is>
      </c>
      <c r="C3024" s="42" t="n">
        <v>3</v>
      </c>
      <c r="D3024" s="42" t="n">
        <v>31</v>
      </c>
      <c r="E3024" s="42" t="n">
        <v>1</v>
      </c>
      <c r="F3024" s="42" t="inlineStr">
        <is>
          <t>FR-318</t>
        </is>
      </c>
      <c r="G3024" s="55">
        <f>IFERROR(INDEX('Semrush Data'!$A$1:$Z$20000,MATCH(A3024,'Semrush Data'!$A$1:$A$20000,0),MATCH("Volume",'Semrush Data'!$A$1:$Z$1,0)),"")</f>
        <v/>
      </c>
      <c r="H3024" s="42">
        <f>IFERROR(INDEX('Semrush Data'!$A$1:$Z$20000,MATCH(A3024,'Semrush Data'!$A$1:$A$20000,0),MATCH("Keyword Difficulty*",'Semrush Data'!$A$1:$Z$1,0)),"")</f>
        <v/>
      </c>
      <c r="I3024" s="56">
        <f>IFERROR(INDEX('Semrush Data'!$A$1:$Z$20000,MATCH(A3024,'Semrush Data'!$A$1:$A$20000,0),MATCH("CPC*",'Semrush Data'!$A$1:$Z$1,0)),"")</f>
        <v/>
      </c>
      <c r="J3024" s="42">
        <f>IFERROR(INDEX('Semrush Data'!$A$1:$Z$20000,MATCH(A3024,'Semrush Data'!$A$1:$A$20000,0),MATCH("Intent",'Semrush Data'!$A$1:$Z$1,0)),"")</f>
        <v/>
      </c>
    </row>
    <row r="3025" ht="15" customHeight="1" s="37">
      <c r="A3025" s="42" t="inlineStr">
        <is>
          <t>signature ambre parfum</t>
        </is>
      </c>
      <c r="B3025" s="42" t="inlineStr">
        <is>
          <t>Google suggest</t>
        </is>
      </c>
      <c r="C3025" s="42" t="n">
        <v>3</v>
      </c>
      <c r="D3025" s="42" t="n">
        <v>31</v>
      </c>
      <c r="E3025" s="42" t="n">
        <v>1</v>
      </c>
      <c r="F3025" s="42" t="inlineStr">
        <is>
          <t>FR-319</t>
        </is>
      </c>
      <c r="G3025" s="55">
        <f>IFERROR(INDEX('Semrush Data'!$A$1:$Z$20000,MATCH(A3025,'Semrush Data'!$A$1:$A$20000,0),MATCH("Volume",'Semrush Data'!$A$1:$Z$1,0)),"")</f>
        <v/>
      </c>
      <c r="H3025" s="42">
        <f>IFERROR(INDEX('Semrush Data'!$A$1:$Z$20000,MATCH(A3025,'Semrush Data'!$A$1:$A$20000,0),MATCH("Keyword Difficulty*",'Semrush Data'!$A$1:$Z$1,0)),"")</f>
        <v/>
      </c>
      <c r="I3025" s="56">
        <f>IFERROR(INDEX('Semrush Data'!$A$1:$Z$20000,MATCH(A3025,'Semrush Data'!$A$1:$A$20000,0),MATCH("CPC*",'Semrush Data'!$A$1:$Z$1,0)),"")</f>
        <v/>
      </c>
      <c r="J3025" s="42">
        <f>IFERROR(INDEX('Semrush Data'!$A$1:$Z$20000,MATCH(A3025,'Semrush Data'!$A$1:$A$20000,0),MATCH("Intent",'Semrush Data'!$A$1:$Z$1,0)),"")</f>
        <v/>
      </c>
    </row>
    <row r="3026" ht="15" customHeight="1" s="37">
      <c r="A3026" s="42" t="inlineStr">
        <is>
          <t>signature ambre perfume</t>
        </is>
      </c>
      <c r="B3026" s="42" t="inlineStr">
        <is>
          <t>Google suggest</t>
        </is>
      </c>
      <c r="C3026" s="42" t="n">
        <v>3</v>
      </c>
      <c r="D3026" s="42" t="n">
        <v>31</v>
      </c>
      <c r="E3026" s="42" t="n">
        <v>1</v>
      </c>
      <c r="F3026" s="42" t="inlineStr">
        <is>
          <t>FR-319</t>
        </is>
      </c>
      <c r="G3026" s="55">
        <f>IFERROR(INDEX('Semrush Data'!$A$1:$Z$20000,MATCH(A3026,'Semrush Data'!$A$1:$A$20000,0),MATCH("Volume",'Semrush Data'!$A$1:$Z$1,0)),"")</f>
        <v/>
      </c>
      <c r="H3026" s="42">
        <f>IFERROR(INDEX('Semrush Data'!$A$1:$Z$20000,MATCH(A3026,'Semrush Data'!$A$1:$A$20000,0),MATCH("Keyword Difficulty*",'Semrush Data'!$A$1:$Z$1,0)),"")</f>
        <v/>
      </c>
      <c r="I3026" s="56">
        <f>IFERROR(INDEX('Semrush Data'!$A$1:$Z$20000,MATCH(A3026,'Semrush Data'!$A$1:$A$20000,0),MATCH("CPC*",'Semrush Data'!$A$1:$Z$1,0)),"")</f>
        <v/>
      </c>
      <c r="J3026" s="42">
        <f>IFERROR(INDEX('Semrush Data'!$A$1:$Z$20000,MATCH(A3026,'Semrush Data'!$A$1:$A$20000,0),MATCH("Intent",'Semrush Data'!$A$1:$Z$1,0)),"")</f>
        <v/>
      </c>
    </row>
    <row r="3027" ht="15" customHeight="1" s="37">
      <c r="A3027" s="42" t="inlineStr">
        <is>
          <t>signature ambre perfume for men</t>
        </is>
      </c>
      <c r="B3027" s="42" t="inlineStr">
        <is>
          <t>Google suggest</t>
        </is>
      </c>
      <c r="C3027" s="42" t="n">
        <v>3</v>
      </c>
      <c r="D3027" s="42" t="n">
        <v>31</v>
      </c>
      <c r="E3027" s="42" t="n">
        <v>1</v>
      </c>
      <c r="F3027" s="42" t="inlineStr">
        <is>
          <t>FR-319</t>
        </is>
      </c>
      <c r="G3027" s="55">
        <f>IFERROR(INDEX('Semrush Data'!$A$1:$Z$20000,MATCH(A3027,'Semrush Data'!$A$1:$A$20000,0),MATCH("Volume",'Semrush Data'!$A$1:$Z$1,0)),"")</f>
        <v/>
      </c>
      <c r="H3027" s="42">
        <f>IFERROR(INDEX('Semrush Data'!$A$1:$Z$20000,MATCH(A3027,'Semrush Data'!$A$1:$A$20000,0),MATCH("Keyword Difficulty*",'Semrush Data'!$A$1:$Z$1,0)),"")</f>
        <v/>
      </c>
      <c r="I3027" s="56">
        <f>IFERROR(INDEX('Semrush Data'!$A$1:$Z$20000,MATCH(A3027,'Semrush Data'!$A$1:$A$20000,0),MATCH("CPC*",'Semrush Data'!$A$1:$Z$1,0)),"")</f>
        <v/>
      </c>
      <c r="J3027" s="42">
        <f>IFERROR(INDEX('Semrush Data'!$A$1:$Z$20000,MATCH(A3027,'Semrush Data'!$A$1:$A$20000,0),MATCH("Intent",'Semrush Data'!$A$1:$Z$1,0)),"")</f>
        <v/>
      </c>
    </row>
    <row r="3028" ht="15" customHeight="1" s="37">
      <c r="A3028" s="42" t="inlineStr">
        <is>
          <t>signature ambre отзывы</t>
        </is>
      </c>
      <c r="B3028" s="42" t="inlineStr">
        <is>
          <t>Google suggest</t>
        </is>
      </c>
      <c r="C3028" s="42" t="n">
        <v>3</v>
      </c>
      <c r="D3028" s="42" t="n">
        <v>31</v>
      </c>
      <c r="E3028" s="42" t="n">
        <v>1</v>
      </c>
      <c r="F3028" s="42" t="inlineStr">
        <is>
          <t>FR-319</t>
        </is>
      </c>
      <c r="G3028" s="55">
        <f>IFERROR(INDEX('Semrush Data'!$A$1:$Z$20000,MATCH(A3028,'Semrush Data'!$A$1:$A$20000,0),MATCH("Volume",'Semrush Data'!$A$1:$Z$1,0)),"")</f>
        <v/>
      </c>
      <c r="H3028" s="42">
        <f>IFERROR(INDEX('Semrush Data'!$A$1:$Z$20000,MATCH(A3028,'Semrush Data'!$A$1:$A$20000,0),MATCH("Keyword Difficulty*",'Semrush Data'!$A$1:$Z$1,0)),"")</f>
        <v/>
      </c>
      <c r="I3028" s="56">
        <f>IFERROR(INDEX('Semrush Data'!$A$1:$Z$20000,MATCH(A3028,'Semrush Data'!$A$1:$A$20000,0),MATCH("CPC*",'Semrush Data'!$A$1:$Z$1,0)),"")</f>
        <v/>
      </c>
      <c r="J3028" s="42">
        <f>IFERROR(INDEX('Semrush Data'!$A$1:$Z$20000,MATCH(A3028,'Semrush Data'!$A$1:$A$20000,0),MATCH("Intent",'Semrush Data'!$A$1:$Z$1,0)),"")</f>
        <v/>
      </c>
    </row>
    <row r="3029" ht="15" customHeight="1" s="37">
      <c r="A3029" s="42" t="inlineStr">
        <is>
          <t>signature aura perfume</t>
        </is>
      </c>
      <c r="B3029" s="42" t="inlineStr">
        <is>
          <t>Google suggest</t>
        </is>
      </c>
      <c r="C3029" s="42" t="n">
        <v>3</v>
      </c>
      <c r="D3029" s="42" t="n">
        <v>31</v>
      </c>
      <c r="E3029" s="42" t="n">
        <v>1</v>
      </c>
      <c r="F3029" s="42" t="inlineStr">
        <is>
          <t>FR-320</t>
        </is>
      </c>
      <c r="G3029" s="55">
        <f>IFERROR(INDEX('Semrush Data'!$A$1:$Z$20000,MATCH(A3029,'Semrush Data'!$A$1:$A$20000,0),MATCH("Volume",'Semrush Data'!$A$1:$Z$1,0)),"")</f>
        <v/>
      </c>
      <c r="H3029" s="42">
        <f>IFERROR(INDEX('Semrush Data'!$A$1:$Z$20000,MATCH(A3029,'Semrush Data'!$A$1:$A$20000,0),MATCH("Keyword Difficulty*",'Semrush Data'!$A$1:$Z$1,0)),"")</f>
        <v/>
      </c>
      <c r="I3029" s="56">
        <f>IFERROR(INDEX('Semrush Data'!$A$1:$Z$20000,MATCH(A3029,'Semrush Data'!$A$1:$A$20000,0),MATCH("CPC*",'Semrush Data'!$A$1:$Z$1,0)),"")</f>
        <v/>
      </c>
      <c r="J3029" s="42">
        <f>IFERROR(INDEX('Semrush Data'!$A$1:$Z$20000,MATCH(A3029,'Semrush Data'!$A$1:$A$20000,0),MATCH("Intent",'Semrush Data'!$A$1:$Z$1,0)),"")</f>
        <v/>
      </c>
    </row>
    <row r="3030" ht="15" customHeight="1" s="37">
      <c r="A3030" s="42" t="inlineStr">
        <is>
          <t>signature black perfume pour homme</t>
        </is>
      </c>
      <c r="B3030" s="42" t="inlineStr">
        <is>
          <t>Google suggest</t>
        </is>
      </c>
      <c r="C3030" s="42" t="n">
        <v>3</v>
      </c>
      <c r="D3030" s="42" t="n">
        <v>31</v>
      </c>
      <c r="E3030" s="42" t="n">
        <v>1</v>
      </c>
      <c r="F3030" s="42" t="inlineStr">
        <is>
          <t>FR-321</t>
        </is>
      </c>
      <c r="G3030" s="55">
        <f>IFERROR(INDEX('Semrush Data'!$A$1:$Z$20000,MATCH(A3030,'Semrush Data'!$A$1:$A$20000,0),MATCH("Volume",'Semrush Data'!$A$1:$Z$1,0)),"")</f>
        <v/>
      </c>
      <c r="H3030" s="42">
        <f>IFERROR(INDEX('Semrush Data'!$A$1:$Z$20000,MATCH(A3030,'Semrush Data'!$A$1:$A$20000,0),MATCH("Keyword Difficulty*",'Semrush Data'!$A$1:$Z$1,0)),"")</f>
        <v/>
      </c>
      <c r="I3030" s="56">
        <f>IFERROR(INDEX('Semrush Data'!$A$1:$Z$20000,MATCH(A3030,'Semrush Data'!$A$1:$A$20000,0),MATCH("CPC*",'Semrush Data'!$A$1:$Z$1,0)),"")</f>
        <v/>
      </c>
      <c r="J3030" s="42">
        <f>IFERROR(INDEX('Semrush Data'!$A$1:$Z$20000,MATCH(A3030,'Semrush Data'!$A$1:$A$20000,0),MATCH("Intent",'Semrush Data'!$A$1:$Z$1,0)),"")</f>
        <v/>
      </c>
    </row>
    <row r="3031" ht="15" customHeight="1" s="37">
      <c r="A3031" s="42" t="inlineStr">
        <is>
          <t>signature blue perfume</t>
        </is>
      </c>
      <c r="B3031" s="42" t="inlineStr">
        <is>
          <t>Google suggest</t>
        </is>
      </c>
      <c r="C3031" s="42" t="n">
        <v>3</v>
      </c>
      <c r="D3031" s="42" t="n">
        <v>31</v>
      </c>
      <c r="E3031" s="42" t="n">
        <v>1</v>
      </c>
      <c r="F3031" s="42" t="inlineStr">
        <is>
          <t>FR-332</t>
        </is>
      </c>
      <c r="G3031" s="55">
        <f>IFERROR(INDEX('Semrush Data'!$A$1:$Z$20000,MATCH(A3031,'Semrush Data'!$A$1:$A$20000,0),MATCH("Volume",'Semrush Data'!$A$1:$Z$1,0)),"")</f>
        <v/>
      </c>
      <c r="H3031" s="42">
        <f>IFERROR(INDEX('Semrush Data'!$A$1:$Z$20000,MATCH(A3031,'Semrush Data'!$A$1:$A$20000,0),MATCH("Keyword Difficulty*",'Semrush Data'!$A$1:$Z$1,0)),"")</f>
        <v/>
      </c>
      <c r="I3031" s="56">
        <f>IFERROR(INDEX('Semrush Data'!$A$1:$Z$20000,MATCH(A3031,'Semrush Data'!$A$1:$A$20000,0),MATCH("CPC*",'Semrush Data'!$A$1:$Z$1,0)),"")</f>
        <v/>
      </c>
      <c r="J3031" s="42">
        <f>IFERROR(INDEX('Semrush Data'!$A$1:$Z$20000,MATCH(A3031,'Semrush Data'!$A$1:$A$20000,0),MATCH("Intent",'Semrush Data'!$A$1:$Z$1,0)),"")</f>
        <v/>
      </c>
    </row>
    <row r="3032" ht="15" customHeight="1" s="37">
      <c r="A3032" s="42" t="inlineStr">
        <is>
          <t>signature charm perfume</t>
        </is>
      </c>
      <c r="B3032" s="42" t="inlineStr">
        <is>
          <t>Google suggest</t>
        </is>
      </c>
      <c r="C3032" s="42" t="n">
        <v>3</v>
      </c>
      <c r="D3032" s="42" t="n">
        <v>31</v>
      </c>
      <c r="E3032" s="42" t="n">
        <v>1</v>
      </c>
      <c r="F3032" s="42" t="inlineStr">
        <is>
          <t>FR-322</t>
        </is>
      </c>
      <c r="G3032" s="55">
        <f>IFERROR(INDEX('Semrush Data'!$A$1:$Z$20000,MATCH(A3032,'Semrush Data'!$A$1:$A$20000,0),MATCH("Volume",'Semrush Data'!$A$1:$Z$1,0)),"")</f>
        <v/>
      </c>
      <c r="H3032" s="42">
        <f>IFERROR(INDEX('Semrush Data'!$A$1:$Z$20000,MATCH(A3032,'Semrush Data'!$A$1:$A$20000,0),MATCH("Keyword Difficulty*",'Semrush Data'!$A$1:$Z$1,0)),"")</f>
        <v/>
      </c>
      <c r="I3032" s="56">
        <f>IFERROR(INDEX('Semrush Data'!$A$1:$Z$20000,MATCH(A3032,'Semrush Data'!$A$1:$A$20000,0),MATCH("CPC*",'Semrush Data'!$A$1:$Z$1,0)),"")</f>
        <v/>
      </c>
      <c r="J3032" s="42">
        <f>IFERROR(INDEX('Semrush Data'!$A$1:$Z$20000,MATCH(A3032,'Semrush Data'!$A$1:$A$20000,0),MATCH("Intent",'Semrush Data'!$A$1:$Z$1,0)),"")</f>
        <v/>
      </c>
    </row>
    <row r="3033" ht="15" customHeight="1" s="37">
      <c r="A3033" s="42" t="inlineStr">
        <is>
          <t>signature d'orient ambre</t>
        </is>
      </c>
      <c r="B3033" s="42" t="inlineStr">
        <is>
          <t>Google suggest</t>
        </is>
      </c>
      <c r="C3033" s="42" t="n">
        <v>3</v>
      </c>
      <c r="D3033" s="42" t="n">
        <v>31</v>
      </c>
      <c r="E3033" s="42" t="n">
        <v>1</v>
      </c>
      <c r="F3033" s="42" t="inlineStr">
        <is>
          <t>FR-319</t>
        </is>
      </c>
      <c r="G3033" s="55">
        <f>IFERROR(INDEX('Semrush Data'!$A$1:$Z$20000,MATCH(A3033,'Semrush Data'!$A$1:$A$20000,0),MATCH("Volume",'Semrush Data'!$A$1:$Z$1,0)),"")</f>
        <v/>
      </c>
      <c r="H3033" s="42">
        <f>IFERROR(INDEX('Semrush Data'!$A$1:$Z$20000,MATCH(A3033,'Semrush Data'!$A$1:$A$20000,0),MATCH("Keyword Difficulty*",'Semrush Data'!$A$1:$Z$1,0)),"")</f>
        <v/>
      </c>
      <c r="I3033" s="56">
        <f>IFERROR(INDEX('Semrush Data'!$A$1:$Z$20000,MATCH(A3033,'Semrush Data'!$A$1:$A$20000,0),MATCH("CPC*",'Semrush Data'!$A$1:$Z$1,0)),"")</f>
        <v/>
      </c>
      <c r="J3033" s="42">
        <f>IFERROR(INDEX('Semrush Data'!$A$1:$Z$20000,MATCH(A3033,'Semrush Data'!$A$1:$A$20000,0),MATCH("Intent",'Semrush Data'!$A$1:$Z$1,0)),"")</f>
        <v/>
      </c>
    </row>
    <row r="3034" ht="15" customHeight="1" s="37">
      <c r="A3034" s="42" t="inlineStr">
        <is>
          <t>signature diamond perfume</t>
        </is>
      </c>
      <c r="B3034" s="42" t="inlineStr">
        <is>
          <t>Google suggest</t>
        </is>
      </c>
      <c r="C3034" s="42" t="n">
        <v>3</v>
      </c>
      <c r="D3034" s="42" t="n">
        <v>31</v>
      </c>
      <c r="E3034" s="42" t="n">
        <v>1</v>
      </c>
      <c r="F3034" s="42" t="inlineStr">
        <is>
          <t>FR-330</t>
        </is>
      </c>
      <c r="G3034" s="55">
        <f>IFERROR(INDEX('Semrush Data'!$A$1:$Z$20000,MATCH(A3034,'Semrush Data'!$A$1:$A$20000,0),MATCH("Volume",'Semrush Data'!$A$1:$Z$1,0)),"")</f>
        <v/>
      </c>
      <c r="H3034" s="42">
        <f>IFERROR(INDEX('Semrush Data'!$A$1:$Z$20000,MATCH(A3034,'Semrush Data'!$A$1:$A$20000,0),MATCH("Keyword Difficulty*",'Semrush Data'!$A$1:$Z$1,0)),"")</f>
        <v/>
      </c>
      <c r="I3034" s="56">
        <f>IFERROR(INDEX('Semrush Data'!$A$1:$Z$20000,MATCH(A3034,'Semrush Data'!$A$1:$A$20000,0),MATCH("CPC*",'Semrush Data'!$A$1:$Z$1,0)),"")</f>
        <v/>
      </c>
      <c r="J3034" s="42">
        <f>IFERROR(INDEX('Semrush Data'!$A$1:$Z$20000,MATCH(A3034,'Semrush Data'!$A$1:$A$20000,0),MATCH("Intent",'Semrush Data'!$A$1:$Z$1,0)),"")</f>
        <v/>
      </c>
    </row>
    <row r="3035" ht="15" customHeight="1" s="37">
      <c r="A3035" s="42" t="inlineStr">
        <is>
          <t>signature jade eau de parfum</t>
        </is>
      </c>
      <c r="B3035" s="42" t="inlineStr">
        <is>
          <t>Google suggest</t>
        </is>
      </c>
      <c r="C3035" s="42" t="n">
        <v>3</v>
      </c>
      <c r="D3035" s="42" t="n">
        <v>31</v>
      </c>
      <c r="E3035" s="42" t="n">
        <v>1</v>
      </c>
      <c r="F3035" s="42" t="inlineStr">
        <is>
          <t>FR-333</t>
        </is>
      </c>
      <c r="G3035" s="55">
        <f>IFERROR(INDEX('Semrush Data'!$A$1:$Z$20000,MATCH(A3035,'Semrush Data'!$A$1:$A$20000,0),MATCH("Volume",'Semrush Data'!$A$1:$Z$1,0)),"")</f>
        <v/>
      </c>
      <c r="H3035" s="42">
        <f>IFERROR(INDEX('Semrush Data'!$A$1:$Z$20000,MATCH(A3035,'Semrush Data'!$A$1:$A$20000,0),MATCH("Keyword Difficulty*",'Semrush Data'!$A$1:$Z$1,0)),"")</f>
        <v/>
      </c>
      <c r="I3035" s="56">
        <f>IFERROR(INDEX('Semrush Data'!$A$1:$Z$20000,MATCH(A3035,'Semrush Data'!$A$1:$A$20000,0),MATCH("CPC*",'Semrush Data'!$A$1:$Z$1,0)),"")</f>
        <v/>
      </c>
      <c r="J3035" s="42">
        <f>IFERROR(INDEX('Semrush Data'!$A$1:$Z$20000,MATCH(A3035,'Semrush Data'!$A$1:$A$20000,0),MATCH("Intent",'Semrush Data'!$A$1:$Z$1,0)),"")</f>
        <v/>
      </c>
    </row>
    <row r="3036" ht="15" customHeight="1" s="37">
      <c r="A3036" s="42" t="inlineStr">
        <is>
          <t>signature jade edp 100ml</t>
        </is>
      </c>
      <c r="B3036" s="42" t="inlineStr">
        <is>
          <t>Google suggest</t>
        </is>
      </c>
      <c r="C3036" s="42" t="n">
        <v>3</v>
      </c>
      <c r="D3036" s="42" t="n">
        <v>31</v>
      </c>
      <c r="E3036" s="42" t="n">
        <v>1</v>
      </c>
      <c r="F3036" s="42" t="inlineStr">
        <is>
          <t>FR-333</t>
        </is>
      </c>
      <c r="G3036" s="55">
        <f>IFERROR(INDEX('Semrush Data'!$A$1:$Z$20000,MATCH(A3036,'Semrush Data'!$A$1:$A$20000,0),MATCH("Volume",'Semrush Data'!$A$1:$Z$1,0)),"")</f>
        <v/>
      </c>
      <c r="H3036" s="42">
        <f>IFERROR(INDEX('Semrush Data'!$A$1:$Z$20000,MATCH(A3036,'Semrush Data'!$A$1:$A$20000,0),MATCH("Keyword Difficulty*",'Semrush Data'!$A$1:$Z$1,0)),"")</f>
        <v/>
      </c>
      <c r="I3036" s="56">
        <f>IFERROR(INDEX('Semrush Data'!$A$1:$Z$20000,MATCH(A3036,'Semrush Data'!$A$1:$A$20000,0),MATCH("CPC*",'Semrush Data'!$A$1:$Z$1,0)),"")</f>
        <v/>
      </c>
      <c r="J3036" s="42">
        <f>IFERROR(INDEX('Semrush Data'!$A$1:$Z$20000,MATCH(A3036,'Semrush Data'!$A$1:$A$20000,0),MATCH("Intent",'Semrush Data'!$A$1:$Z$1,0)),"")</f>
        <v/>
      </c>
    </row>
    <row r="3037" ht="15" customHeight="1" s="37">
      <c r="A3037" s="42" t="inlineStr">
        <is>
          <t>signature jade perfume</t>
        </is>
      </c>
      <c r="B3037" s="42" t="inlineStr">
        <is>
          <t>Google suggest</t>
        </is>
      </c>
      <c r="C3037" s="42" t="n">
        <v>3</v>
      </c>
      <c r="D3037" s="42" t="n">
        <v>31</v>
      </c>
      <c r="E3037" s="42" t="n">
        <v>1</v>
      </c>
      <c r="F3037" s="42" t="inlineStr">
        <is>
          <t>FR-333</t>
        </is>
      </c>
      <c r="G3037" s="55">
        <f>IFERROR(INDEX('Semrush Data'!$A$1:$Z$20000,MATCH(A3037,'Semrush Data'!$A$1:$A$20000,0),MATCH("Volume",'Semrush Data'!$A$1:$Z$1,0)),"")</f>
        <v/>
      </c>
      <c r="H3037" s="42">
        <f>IFERROR(INDEX('Semrush Data'!$A$1:$Z$20000,MATCH(A3037,'Semrush Data'!$A$1:$A$20000,0),MATCH("Keyword Difficulty*",'Semrush Data'!$A$1:$Z$1,0)),"")</f>
        <v/>
      </c>
      <c r="I3037" s="56">
        <f>IFERROR(INDEX('Semrush Data'!$A$1:$Z$20000,MATCH(A3037,'Semrush Data'!$A$1:$A$20000,0),MATCH("CPC*",'Semrush Data'!$A$1:$Z$1,0)),"")</f>
        <v/>
      </c>
      <c r="J3037" s="42">
        <f>IFERROR(INDEX('Semrush Data'!$A$1:$Z$20000,MATCH(A3037,'Semrush Data'!$A$1:$A$20000,0),MATCH("Intent",'Semrush Data'!$A$1:$Z$1,0)),"")</f>
        <v/>
      </c>
    </row>
    <row r="3038" ht="15" customHeight="1" s="37">
      <c r="A3038" s="42" t="inlineStr">
        <is>
          <t>signature jade perfume price</t>
        </is>
      </c>
      <c r="B3038" s="42" t="inlineStr">
        <is>
          <t>Google suggest</t>
        </is>
      </c>
      <c r="C3038" s="42" t="n">
        <v>3</v>
      </c>
      <c r="D3038" s="42" t="n">
        <v>31</v>
      </c>
      <c r="E3038" s="42" t="n">
        <v>1</v>
      </c>
      <c r="F3038" s="42" t="inlineStr">
        <is>
          <t>FR-333</t>
        </is>
      </c>
      <c r="G3038" s="55">
        <f>IFERROR(INDEX('Semrush Data'!$A$1:$Z$20000,MATCH(A3038,'Semrush Data'!$A$1:$A$20000,0),MATCH("Volume",'Semrush Data'!$A$1:$Z$1,0)),"")</f>
        <v/>
      </c>
      <c r="H3038" s="42">
        <f>IFERROR(INDEX('Semrush Data'!$A$1:$Z$20000,MATCH(A3038,'Semrush Data'!$A$1:$A$20000,0),MATCH("Keyword Difficulty*",'Semrush Data'!$A$1:$Z$1,0)),"")</f>
        <v/>
      </c>
      <c r="I3038" s="56">
        <f>IFERROR(INDEX('Semrush Data'!$A$1:$Z$20000,MATCH(A3038,'Semrush Data'!$A$1:$A$20000,0),MATCH("CPC*",'Semrush Data'!$A$1:$Z$1,0)),"")</f>
        <v/>
      </c>
      <c r="J3038" s="42">
        <f>IFERROR(INDEX('Semrush Data'!$A$1:$Z$20000,MATCH(A3038,'Semrush Data'!$A$1:$A$20000,0),MATCH("Intent",'Semrush Data'!$A$1:$Z$1,0)),"")</f>
        <v/>
      </c>
    </row>
    <row r="3039" ht="15" customHeight="1" s="37">
      <c r="A3039" s="42" t="inlineStr">
        <is>
          <t>signature mini discovery set</t>
        </is>
      </c>
      <c r="B3039" s="42" t="inlineStr">
        <is>
          <t>Google suggest</t>
        </is>
      </c>
      <c r="C3039" s="42" t="n">
        <v>3</v>
      </c>
      <c r="D3039" s="42" t="n">
        <v>31</v>
      </c>
      <c r="E3039" s="42" t="n">
        <v>1</v>
      </c>
      <c r="F3039" s="42" t="inlineStr">
        <is>
          <t>FR-331</t>
        </is>
      </c>
      <c r="G3039" s="55">
        <f>IFERROR(INDEX('Semrush Data'!$A$1:$Z$20000,MATCH(A3039,'Semrush Data'!$A$1:$A$20000,0),MATCH("Volume",'Semrush Data'!$A$1:$Z$1,0)),"")</f>
        <v/>
      </c>
      <c r="H3039" s="42">
        <f>IFERROR(INDEX('Semrush Data'!$A$1:$Z$20000,MATCH(A3039,'Semrush Data'!$A$1:$A$20000,0),MATCH("Keyword Difficulty*",'Semrush Data'!$A$1:$Z$1,0)),"")</f>
        <v/>
      </c>
      <c r="I3039" s="56">
        <f>IFERROR(INDEX('Semrush Data'!$A$1:$Z$20000,MATCH(A3039,'Semrush Data'!$A$1:$A$20000,0),MATCH("CPC*",'Semrush Data'!$A$1:$Z$1,0)),"")</f>
        <v/>
      </c>
      <c r="J3039" s="42">
        <f>IFERROR(INDEX('Semrush Data'!$A$1:$Z$20000,MATCH(A3039,'Semrush Data'!$A$1:$A$20000,0),MATCH("Intent",'Semrush Data'!$A$1:$Z$1,0)),"")</f>
        <v/>
      </c>
    </row>
    <row r="3040" ht="15" customHeight="1" s="37">
      <c r="A3040" s="42" t="inlineStr">
        <is>
          <t>signature musk perfume</t>
        </is>
      </c>
      <c r="B3040" s="42" t="inlineStr">
        <is>
          <t>Google suggest</t>
        </is>
      </c>
      <c r="C3040" s="42" t="n">
        <v>3</v>
      </c>
      <c r="D3040" s="42" t="n">
        <v>31</v>
      </c>
      <c r="E3040" s="42" t="n">
        <v>1</v>
      </c>
      <c r="F3040" s="42" t="inlineStr">
        <is>
          <t>FR-324</t>
        </is>
      </c>
      <c r="G3040" s="55">
        <f>IFERROR(INDEX('Semrush Data'!$A$1:$Z$20000,MATCH(A3040,'Semrush Data'!$A$1:$A$20000,0),MATCH("Volume",'Semrush Data'!$A$1:$Z$1,0)),"")</f>
        <v/>
      </c>
      <c r="H3040" s="42">
        <f>IFERROR(INDEX('Semrush Data'!$A$1:$Z$20000,MATCH(A3040,'Semrush Data'!$A$1:$A$20000,0),MATCH("Keyword Difficulty*",'Semrush Data'!$A$1:$Z$1,0)),"")</f>
        <v/>
      </c>
      <c r="I3040" s="56">
        <f>IFERROR(INDEX('Semrush Data'!$A$1:$Z$20000,MATCH(A3040,'Semrush Data'!$A$1:$A$20000,0),MATCH("CPC*",'Semrush Data'!$A$1:$Z$1,0)),"")</f>
        <v/>
      </c>
      <c r="J3040" s="42">
        <f>IFERROR(INDEX('Semrush Data'!$A$1:$Z$20000,MATCH(A3040,'Semrush Data'!$A$1:$A$20000,0),MATCH("Intent",'Semrush Data'!$A$1:$Z$1,0)),"")</f>
        <v/>
      </c>
    </row>
    <row r="3041" ht="15" customHeight="1" s="37">
      <c r="A3041" s="42" t="inlineStr">
        <is>
          <t>signature onyx 100ml</t>
        </is>
      </c>
      <c r="B3041" s="42" t="inlineStr">
        <is>
          <t>Google suggest</t>
        </is>
      </c>
      <c r="C3041" s="42" t="n">
        <v>3</v>
      </c>
      <c r="D3041" s="42" t="n">
        <v>31</v>
      </c>
      <c r="E3041" s="42" t="n">
        <v>1</v>
      </c>
      <c r="F3041" s="42" t="inlineStr">
        <is>
          <t>FR-325</t>
        </is>
      </c>
      <c r="G3041" s="55">
        <f>IFERROR(INDEX('Semrush Data'!$A$1:$Z$20000,MATCH(A3041,'Semrush Data'!$A$1:$A$20000,0),MATCH("Volume",'Semrush Data'!$A$1:$Z$1,0)),"")</f>
        <v/>
      </c>
      <c r="H3041" s="42">
        <f>IFERROR(INDEX('Semrush Data'!$A$1:$Z$20000,MATCH(A3041,'Semrush Data'!$A$1:$A$20000,0),MATCH("Keyword Difficulty*",'Semrush Data'!$A$1:$Z$1,0)),"")</f>
        <v/>
      </c>
      <c r="I3041" s="56">
        <f>IFERROR(INDEX('Semrush Data'!$A$1:$Z$20000,MATCH(A3041,'Semrush Data'!$A$1:$A$20000,0),MATCH("CPC*",'Semrush Data'!$A$1:$Z$1,0)),"")</f>
        <v/>
      </c>
      <c r="J3041" s="42">
        <f>IFERROR(INDEX('Semrush Data'!$A$1:$Z$20000,MATCH(A3041,'Semrush Data'!$A$1:$A$20000,0),MATCH("Intent",'Semrush Data'!$A$1:$Z$1,0)),"")</f>
        <v/>
      </c>
    </row>
    <row r="3042" ht="15" customHeight="1" s="37">
      <c r="A3042" s="42" t="inlineStr">
        <is>
          <t>signature onyx edp</t>
        </is>
      </c>
      <c r="B3042" s="42" t="inlineStr">
        <is>
          <t>Google suggest</t>
        </is>
      </c>
      <c r="C3042" s="42" t="n">
        <v>3</v>
      </c>
      <c r="D3042" s="42" t="n">
        <v>31</v>
      </c>
      <c r="E3042" s="42" t="n">
        <v>1</v>
      </c>
      <c r="F3042" s="42" t="inlineStr">
        <is>
          <t>FR-325</t>
        </is>
      </c>
      <c r="G3042" s="55">
        <f>IFERROR(INDEX('Semrush Data'!$A$1:$Z$20000,MATCH(A3042,'Semrush Data'!$A$1:$A$20000,0),MATCH("Volume",'Semrush Data'!$A$1:$Z$1,0)),"")</f>
        <v/>
      </c>
      <c r="H3042" s="42">
        <f>IFERROR(INDEX('Semrush Data'!$A$1:$Z$20000,MATCH(A3042,'Semrush Data'!$A$1:$A$20000,0),MATCH("Keyword Difficulty*",'Semrush Data'!$A$1:$Z$1,0)),"")</f>
        <v/>
      </c>
      <c r="I3042" s="56">
        <f>IFERROR(INDEX('Semrush Data'!$A$1:$Z$20000,MATCH(A3042,'Semrush Data'!$A$1:$A$20000,0),MATCH("CPC*",'Semrush Data'!$A$1:$Z$1,0)),"")</f>
        <v/>
      </c>
      <c r="J3042" s="42">
        <f>IFERROR(INDEX('Semrush Data'!$A$1:$Z$20000,MATCH(A3042,'Semrush Data'!$A$1:$A$20000,0),MATCH("Intent",'Semrush Data'!$A$1:$Z$1,0)),"")</f>
        <v/>
      </c>
    </row>
    <row r="3043" ht="15" customHeight="1" s="37">
      <c r="A3043" s="42" t="inlineStr">
        <is>
          <t>signature onyx perfume</t>
        </is>
      </c>
      <c r="B3043" s="42" t="inlineStr">
        <is>
          <t>Google suggest</t>
        </is>
      </c>
      <c r="C3043" s="42" t="n">
        <v>3</v>
      </c>
      <c r="D3043" s="42" t="n">
        <v>31</v>
      </c>
      <c r="E3043" s="42" t="n">
        <v>1</v>
      </c>
      <c r="F3043" s="42" t="inlineStr">
        <is>
          <t>FR-325</t>
        </is>
      </c>
      <c r="G3043" s="55">
        <f>IFERROR(INDEX('Semrush Data'!$A$1:$Z$20000,MATCH(A3043,'Semrush Data'!$A$1:$A$20000,0),MATCH("Volume",'Semrush Data'!$A$1:$Z$1,0)),"")</f>
        <v/>
      </c>
      <c r="H3043" s="42">
        <f>IFERROR(INDEX('Semrush Data'!$A$1:$Z$20000,MATCH(A3043,'Semrush Data'!$A$1:$A$20000,0),MATCH("Keyword Difficulty*",'Semrush Data'!$A$1:$Z$1,0)),"")</f>
        <v/>
      </c>
      <c r="I3043" s="56">
        <f>IFERROR(INDEX('Semrush Data'!$A$1:$Z$20000,MATCH(A3043,'Semrush Data'!$A$1:$A$20000,0),MATCH("CPC*",'Semrush Data'!$A$1:$Z$1,0)),"")</f>
        <v/>
      </c>
      <c r="J3043" s="42">
        <f>IFERROR(INDEX('Semrush Data'!$A$1:$Z$20000,MATCH(A3043,'Semrush Data'!$A$1:$A$20000,0),MATCH("Intent",'Semrush Data'!$A$1:$Z$1,0)),"")</f>
        <v/>
      </c>
    </row>
    <row r="3044" ht="15" customHeight="1" s="37">
      <c r="A3044" s="42" t="inlineStr">
        <is>
          <t>signature onyx perfume price</t>
        </is>
      </c>
      <c r="B3044" s="42" t="inlineStr">
        <is>
          <t>Google suggest</t>
        </is>
      </c>
      <c r="C3044" s="42" t="n">
        <v>3</v>
      </c>
      <c r="D3044" s="42" t="n">
        <v>31</v>
      </c>
      <c r="E3044" s="42" t="n">
        <v>1</v>
      </c>
      <c r="F3044" s="42" t="inlineStr">
        <is>
          <t>FR-325</t>
        </is>
      </c>
      <c r="G3044" s="55">
        <f>IFERROR(INDEX('Semrush Data'!$A$1:$Z$20000,MATCH(A3044,'Semrush Data'!$A$1:$A$20000,0),MATCH("Volume",'Semrush Data'!$A$1:$Z$1,0)),"")</f>
        <v/>
      </c>
      <c r="H3044" s="42">
        <f>IFERROR(INDEX('Semrush Data'!$A$1:$Z$20000,MATCH(A3044,'Semrush Data'!$A$1:$A$20000,0),MATCH("Keyword Difficulty*",'Semrush Data'!$A$1:$Z$1,0)),"")</f>
        <v/>
      </c>
      <c r="I3044" s="56">
        <f>IFERROR(INDEX('Semrush Data'!$A$1:$Z$20000,MATCH(A3044,'Semrush Data'!$A$1:$A$20000,0),MATCH("CPC*",'Semrush Data'!$A$1:$Z$1,0)),"")</f>
        <v/>
      </c>
      <c r="J3044" s="42">
        <f>IFERROR(INDEX('Semrush Data'!$A$1:$Z$20000,MATCH(A3044,'Semrush Data'!$A$1:$A$20000,0),MATCH("Intent",'Semrush Data'!$A$1:$Z$1,0)),"")</f>
        <v/>
      </c>
    </row>
    <row r="3045" ht="15" customHeight="1" s="37">
      <c r="A3045" s="42" t="inlineStr">
        <is>
          <t>signature opal edp</t>
        </is>
      </c>
      <c r="B3045" s="42" t="inlineStr">
        <is>
          <t>Google suggest</t>
        </is>
      </c>
      <c r="C3045" s="42" t="n">
        <v>3</v>
      </c>
      <c r="D3045" s="42" t="n">
        <v>31</v>
      </c>
      <c r="E3045" s="42" t="n">
        <v>1</v>
      </c>
      <c r="F3045" s="42" t="inlineStr">
        <is>
          <t>FR-326</t>
        </is>
      </c>
      <c r="G3045" s="55">
        <f>IFERROR(INDEX('Semrush Data'!$A$1:$Z$20000,MATCH(A3045,'Semrush Data'!$A$1:$A$20000,0),MATCH("Volume",'Semrush Data'!$A$1:$Z$1,0)),"")</f>
        <v/>
      </c>
      <c r="H3045" s="42">
        <f>IFERROR(INDEX('Semrush Data'!$A$1:$Z$20000,MATCH(A3045,'Semrush Data'!$A$1:$A$20000,0),MATCH("Keyword Difficulty*",'Semrush Data'!$A$1:$Z$1,0)),"")</f>
        <v/>
      </c>
      <c r="I3045" s="56">
        <f>IFERROR(INDEX('Semrush Data'!$A$1:$Z$20000,MATCH(A3045,'Semrush Data'!$A$1:$A$20000,0),MATCH("CPC*",'Semrush Data'!$A$1:$Z$1,0)),"")</f>
        <v/>
      </c>
      <c r="J3045" s="42">
        <f>IFERROR(INDEX('Semrush Data'!$A$1:$Z$20000,MATCH(A3045,'Semrush Data'!$A$1:$A$20000,0),MATCH("Intent",'Semrush Data'!$A$1:$Z$1,0)),"")</f>
        <v/>
      </c>
    </row>
    <row r="3046" ht="15" customHeight="1" s="37">
      <c r="A3046" s="42" t="inlineStr">
        <is>
          <t>signature opal parfum</t>
        </is>
      </c>
      <c r="B3046" s="42" t="inlineStr">
        <is>
          <t>Google suggest</t>
        </is>
      </c>
      <c r="C3046" s="42" t="n">
        <v>3</v>
      </c>
      <c r="D3046" s="42" t="n">
        <v>31</v>
      </c>
      <c r="E3046" s="42" t="n">
        <v>1</v>
      </c>
      <c r="F3046" s="42" t="inlineStr">
        <is>
          <t>FR-326</t>
        </is>
      </c>
      <c r="G3046" s="55">
        <f>IFERROR(INDEX('Semrush Data'!$A$1:$Z$20000,MATCH(A3046,'Semrush Data'!$A$1:$A$20000,0),MATCH("Volume",'Semrush Data'!$A$1:$Z$1,0)),"")</f>
        <v/>
      </c>
      <c r="H3046" s="42">
        <f>IFERROR(INDEX('Semrush Data'!$A$1:$Z$20000,MATCH(A3046,'Semrush Data'!$A$1:$A$20000,0),MATCH("Keyword Difficulty*",'Semrush Data'!$A$1:$Z$1,0)),"")</f>
        <v/>
      </c>
      <c r="I3046" s="56">
        <f>IFERROR(INDEX('Semrush Data'!$A$1:$Z$20000,MATCH(A3046,'Semrush Data'!$A$1:$A$20000,0),MATCH("CPC*",'Semrush Data'!$A$1:$Z$1,0)),"")</f>
        <v/>
      </c>
      <c r="J3046" s="42">
        <f>IFERROR(INDEX('Semrush Data'!$A$1:$Z$20000,MATCH(A3046,'Semrush Data'!$A$1:$A$20000,0),MATCH("Intent",'Semrush Data'!$A$1:$Z$1,0)),"")</f>
        <v/>
      </c>
    </row>
    <row r="3047" ht="15" customHeight="1" s="37">
      <c r="A3047" s="42" t="inlineStr">
        <is>
          <t>signature opal perfume</t>
        </is>
      </c>
      <c r="B3047" s="42" t="inlineStr">
        <is>
          <t>Google suggest</t>
        </is>
      </c>
      <c r="C3047" s="42" t="n">
        <v>3</v>
      </c>
      <c r="D3047" s="42" t="n">
        <v>31</v>
      </c>
      <c r="E3047" s="42" t="n">
        <v>1</v>
      </c>
      <c r="F3047" s="42" t="inlineStr">
        <is>
          <t>FR-326</t>
        </is>
      </c>
      <c r="G3047" s="55">
        <f>IFERROR(INDEX('Semrush Data'!$A$1:$Z$20000,MATCH(A3047,'Semrush Data'!$A$1:$A$20000,0),MATCH("Volume",'Semrush Data'!$A$1:$Z$1,0)),"")</f>
        <v/>
      </c>
      <c r="H3047" s="42">
        <f>IFERROR(INDEX('Semrush Data'!$A$1:$Z$20000,MATCH(A3047,'Semrush Data'!$A$1:$A$20000,0),MATCH("Keyword Difficulty*",'Semrush Data'!$A$1:$Z$1,0)),"")</f>
        <v/>
      </c>
      <c r="I3047" s="56">
        <f>IFERROR(INDEX('Semrush Data'!$A$1:$Z$20000,MATCH(A3047,'Semrush Data'!$A$1:$A$20000,0),MATCH("CPC*",'Semrush Data'!$A$1:$Z$1,0)),"")</f>
        <v/>
      </c>
      <c r="J3047" s="42">
        <f>IFERROR(INDEX('Semrush Data'!$A$1:$Z$20000,MATCH(A3047,'Semrush Data'!$A$1:$A$20000,0),MATCH("Intent",'Semrush Data'!$A$1:$Z$1,0)),"")</f>
        <v/>
      </c>
    </row>
    <row r="3048" ht="15" customHeight="1" s="37">
      <c r="A3048" s="42" t="inlineStr">
        <is>
          <t>signature opal отзывы</t>
        </is>
      </c>
      <c r="B3048" s="42" t="inlineStr">
        <is>
          <t>Google suggest</t>
        </is>
      </c>
      <c r="C3048" s="42" t="n">
        <v>3</v>
      </c>
      <c r="D3048" s="42" t="n">
        <v>31</v>
      </c>
      <c r="E3048" s="42" t="n">
        <v>1</v>
      </c>
      <c r="F3048" s="42" t="inlineStr">
        <is>
          <t>FR-326</t>
        </is>
      </c>
      <c r="G3048" s="55">
        <f>IFERROR(INDEX('Semrush Data'!$A$1:$Z$20000,MATCH(A3048,'Semrush Data'!$A$1:$A$20000,0),MATCH("Volume",'Semrush Data'!$A$1:$Z$1,0)),"")</f>
        <v/>
      </c>
      <c r="H3048" s="42">
        <f>IFERROR(INDEX('Semrush Data'!$A$1:$Z$20000,MATCH(A3048,'Semrush Data'!$A$1:$A$20000,0),MATCH("Keyword Difficulty*",'Semrush Data'!$A$1:$Z$1,0)),"")</f>
        <v/>
      </c>
      <c r="I3048" s="56">
        <f>IFERROR(INDEX('Semrush Data'!$A$1:$Z$20000,MATCH(A3048,'Semrush Data'!$A$1:$A$20000,0),MATCH("CPC*",'Semrush Data'!$A$1:$Z$1,0)),"")</f>
        <v/>
      </c>
      <c r="J3048" s="42">
        <f>IFERROR(INDEX('Semrush Data'!$A$1:$Z$20000,MATCH(A3048,'Semrush Data'!$A$1:$A$20000,0),MATCH("Intent",'Semrush Data'!$A$1:$Z$1,0)),"")</f>
        <v/>
      </c>
    </row>
    <row r="3049" ht="15" customHeight="1" s="37">
      <c r="A3049" s="42" t="inlineStr">
        <is>
          <t>signature paradiso eau de parfum</t>
        </is>
      </c>
      <c r="B3049" s="42" t="inlineStr">
        <is>
          <t>Google suggest</t>
        </is>
      </c>
      <c r="C3049" s="42" t="n">
        <v>3</v>
      </c>
      <c r="D3049" s="42" t="n">
        <v>31</v>
      </c>
      <c r="E3049" s="42" t="n">
        <v>1</v>
      </c>
      <c r="F3049" s="42" t="inlineStr">
        <is>
          <t>FR-327</t>
        </is>
      </c>
      <c r="G3049" s="55">
        <f>IFERROR(INDEX('Semrush Data'!$A$1:$Z$20000,MATCH(A3049,'Semrush Data'!$A$1:$A$20000,0),MATCH("Volume",'Semrush Data'!$A$1:$Z$1,0)),"")</f>
        <v/>
      </c>
      <c r="H3049" s="42">
        <f>IFERROR(INDEX('Semrush Data'!$A$1:$Z$20000,MATCH(A3049,'Semrush Data'!$A$1:$A$20000,0),MATCH("Keyword Difficulty*",'Semrush Data'!$A$1:$Z$1,0)),"")</f>
        <v/>
      </c>
      <c r="I3049" s="56">
        <f>IFERROR(INDEX('Semrush Data'!$A$1:$Z$20000,MATCH(A3049,'Semrush Data'!$A$1:$A$20000,0),MATCH("CPC*",'Semrush Data'!$A$1:$Z$1,0)),"")</f>
        <v/>
      </c>
      <c r="J3049" s="42">
        <f>IFERROR(INDEX('Semrush Data'!$A$1:$Z$20000,MATCH(A3049,'Semrush Data'!$A$1:$A$20000,0),MATCH("Intent",'Semrush Data'!$A$1:$Z$1,0)),"")</f>
        <v/>
      </c>
    </row>
    <row r="3050" ht="15" customHeight="1" s="37">
      <c r="A3050" s="42" t="inlineStr">
        <is>
          <t>signature paradiso edt</t>
        </is>
      </c>
      <c r="B3050" s="42" t="inlineStr">
        <is>
          <t>Google suggest</t>
        </is>
      </c>
      <c r="C3050" s="42" t="n">
        <v>3</v>
      </c>
      <c r="D3050" s="42" t="n">
        <v>31</v>
      </c>
      <c r="E3050" s="42" t="n">
        <v>1</v>
      </c>
      <c r="F3050" s="42" t="inlineStr">
        <is>
          <t>FR-327</t>
        </is>
      </c>
      <c r="G3050" s="55">
        <f>IFERROR(INDEX('Semrush Data'!$A$1:$Z$20000,MATCH(A3050,'Semrush Data'!$A$1:$A$20000,0),MATCH("Volume",'Semrush Data'!$A$1:$Z$1,0)),"")</f>
        <v/>
      </c>
      <c r="H3050" s="42">
        <f>IFERROR(INDEX('Semrush Data'!$A$1:$Z$20000,MATCH(A3050,'Semrush Data'!$A$1:$A$20000,0),MATCH("Keyword Difficulty*",'Semrush Data'!$A$1:$Z$1,0)),"")</f>
        <v/>
      </c>
      <c r="I3050" s="56">
        <f>IFERROR(INDEX('Semrush Data'!$A$1:$Z$20000,MATCH(A3050,'Semrush Data'!$A$1:$A$20000,0),MATCH("CPC*",'Semrush Data'!$A$1:$Z$1,0)),"")</f>
        <v/>
      </c>
      <c r="J3050" s="42">
        <f>IFERROR(INDEX('Semrush Data'!$A$1:$Z$20000,MATCH(A3050,'Semrush Data'!$A$1:$A$20000,0),MATCH("Intent",'Semrush Data'!$A$1:$Z$1,0)),"")</f>
        <v/>
      </c>
    </row>
    <row r="3051" ht="15" customHeight="1" s="37">
      <c r="A3051" s="42" t="inlineStr">
        <is>
          <t>signature paradiso parfum</t>
        </is>
      </c>
      <c r="B3051" s="42" t="inlineStr">
        <is>
          <t>Google suggest</t>
        </is>
      </c>
      <c r="C3051" s="42" t="n">
        <v>3</v>
      </c>
      <c r="D3051" s="42" t="n">
        <v>31</v>
      </c>
      <c r="E3051" s="42" t="n">
        <v>1</v>
      </c>
      <c r="F3051" s="42" t="inlineStr">
        <is>
          <t>FR-327</t>
        </is>
      </c>
      <c r="G3051" s="55">
        <f>IFERROR(INDEX('Semrush Data'!$A$1:$Z$20000,MATCH(A3051,'Semrush Data'!$A$1:$A$20000,0),MATCH("Volume",'Semrush Data'!$A$1:$Z$1,0)),"")</f>
        <v/>
      </c>
      <c r="H3051" s="42">
        <f>IFERROR(INDEX('Semrush Data'!$A$1:$Z$20000,MATCH(A3051,'Semrush Data'!$A$1:$A$20000,0),MATCH("Keyword Difficulty*",'Semrush Data'!$A$1:$Z$1,0)),"")</f>
        <v/>
      </c>
      <c r="I3051" s="56">
        <f>IFERROR(INDEX('Semrush Data'!$A$1:$Z$20000,MATCH(A3051,'Semrush Data'!$A$1:$A$20000,0),MATCH("CPC*",'Semrush Data'!$A$1:$Z$1,0)),"")</f>
        <v/>
      </c>
      <c r="J3051" s="42">
        <f>IFERROR(INDEX('Semrush Data'!$A$1:$Z$20000,MATCH(A3051,'Semrush Data'!$A$1:$A$20000,0),MATCH("Intent",'Semrush Data'!$A$1:$Z$1,0)),"")</f>
        <v/>
      </c>
    </row>
    <row r="3052" ht="15" customHeight="1" s="37">
      <c r="A3052" s="42" t="inlineStr">
        <is>
          <t>signature paradiso perfume</t>
        </is>
      </c>
      <c r="B3052" s="42" t="inlineStr">
        <is>
          <t>Google suggest</t>
        </is>
      </c>
      <c r="C3052" s="42" t="n">
        <v>3</v>
      </c>
      <c r="D3052" s="42" t="n">
        <v>31</v>
      </c>
      <c r="E3052" s="42" t="n">
        <v>1</v>
      </c>
      <c r="F3052" s="42" t="inlineStr">
        <is>
          <t>FR-327</t>
        </is>
      </c>
      <c r="G3052" s="55">
        <f>IFERROR(INDEX('Semrush Data'!$A$1:$Z$20000,MATCH(A3052,'Semrush Data'!$A$1:$A$20000,0),MATCH("Volume",'Semrush Data'!$A$1:$Z$1,0)),"")</f>
        <v/>
      </c>
      <c r="H3052" s="42">
        <f>IFERROR(INDEX('Semrush Data'!$A$1:$Z$20000,MATCH(A3052,'Semrush Data'!$A$1:$A$20000,0),MATCH("Keyword Difficulty*",'Semrush Data'!$A$1:$Z$1,0)),"")</f>
        <v/>
      </c>
      <c r="I3052" s="56">
        <f>IFERROR(INDEX('Semrush Data'!$A$1:$Z$20000,MATCH(A3052,'Semrush Data'!$A$1:$A$20000,0),MATCH("CPC*",'Semrush Data'!$A$1:$Z$1,0)),"")</f>
        <v/>
      </c>
      <c r="J3052" s="42">
        <f>IFERROR(INDEX('Semrush Data'!$A$1:$Z$20000,MATCH(A3052,'Semrush Data'!$A$1:$A$20000,0),MATCH("Intent",'Semrush Data'!$A$1:$Z$1,0)),"")</f>
        <v/>
      </c>
    </row>
    <row r="3053" ht="15" customHeight="1" s="37">
      <c r="A3053" s="42" t="inlineStr">
        <is>
          <t>signature paradiso отзывы</t>
        </is>
      </c>
      <c r="B3053" s="42" t="inlineStr">
        <is>
          <t>Google suggest</t>
        </is>
      </c>
      <c r="C3053" s="42" t="n">
        <v>3</v>
      </c>
      <c r="D3053" s="42" t="n">
        <v>31</v>
      </c>
      <c r="E3053" s="42" t="n">
        <v>1</v>
      </c>
      <c r="F3053" s="42" t="inlineStr">
        <is>
          <t>FR-327</t>
        </is>
      </c>
      <c r="G3053" s="55">
        <f>IFERROR(INDEX('Semrush Data'!$A$1:$Z$20000,MATCH(A3053,'Semrush Data'!$A$1:$A$20000,0),MATCH("Volume",'Semrush Data'!$A$1:$Z$1,0)),"")</f>
        <v/>
      </c>
      <c r="H3053" s="42">
        <f>IFERROR(INDEX('Semrush Data'!$A$1:$Z$20000,MATCH(A3053,'Semrush Data'!$A$1:$A$20000,0),MATCH("Keyword Difficulty*",'Semrush Data'!$A$1:$Z$1,0)),"")</f>
        <v/>
      </c>
      <c r="I3053" s="56">
        <f>IFERROR(INDEX('Semrush Data'!$A$1:$Z$20000,MATCH(A3053,'Semrush Data'!$A$1:$A$20000,0),MATCH("CPC*",'Semrush Data'!$A$1:$Z$1,0)),"")</f>
        <v/>
      </c>
      <c r="J3053" s="42">
        <f>IFERROR(INDEX('Semrush Data'!$A$1:$Z$20000,MATCH(A3053,'Semrush Data'!$A$1:$A$20000,0),MATCH("Intent",'Semrush Data'!$A$1:$Z$1,0)),"")</f>
        <v/>
      </c>
    </row>
    <row r="3054" ht="15" customHeight="1" s="37">
      <c r="A3054" s="42" t="inlineStr">
        <is>
          <t>signature parfum discovery set</t>
        </is>
      </c>
      <c r="B3054" s="42" t="inlineStr">
        <is>
          <t>Google suggest</t>
        </is>
      </c>
      <c r="C3054" s="42" t="n">
        <v>3</v>
      </c>
      <c r="D3054" s="42" t="n">
        <v>31</v>
      </c>
      <c r="E3054" s="42" t="n">
        <v>1</v>
      </c>
      <c r="F3054" s="42" t="inlineStr">
        <is>
          <t>FR-331</t>
        </is>
      </c>
      <c r="G3054" s="55">
        <f>IFERROR(INDEX('Semrush Data'!$A$1:$Z$20000,MATCH(A3054,'Semrush Data'!$A$1:$A$20000,0),MATCH("Volume",'Semrush Data'!$A$1:$Z$1,0)),"")</f>
        <v/>
      </c>
      <c r="H3054" s="42">
        <f>IFERROR(INDEX('Semrush Data'!$A$1:$Z$20000,MATCH(A3054,'Semrush Data'!$A$1:$A$20000,0),MATCH("Keyword Difficulty*",'Semrush Data'!$A$1:$Z$1,0)),"")</f>
        <v/>
      </c>
      <c r="I3054" s="56">
        <f>IFERROR(INDEX('Semrush Data'!$A$1:$Z$20000,MATCH(A3054,'Semrush Data'!$A$1:$A$20000,0),MATCH("CPC*",'Semrush Data'!$A$1:$Z$1,0)),"")</f>
        <v/>
      </c>
      <c r="J3054" s="42">
        <f>IFERROR(INDEX('Semrush Data'!$A$1:$Z$20000,MATCH(A3054,'Semrush Data'!$A$1:$A$20000,0),MATCH("Intent",'Semrush Data'!$A$1:$Z$1,0)),"")</f>
        <v/>
      </c>
    </row>
    <row r="3055" ht="15" customHeight="1" s="37">
      <c r="A3055" s="42" t="inlineStr">
        <is>
          <t>signature pour homme black</t>
        </is>
      </c>
      <c r="B3055" s="42" t="inlineStr">
        <is>
          <t>Google suggest</t>
        </is>
      </c>
      <c r="C3055" s="42" t="n">
        <v>3</v>
      </c>
      <c r="D3055" s="42" t="n">
        <v>31</v>
      </c>
      <c r="E3055" s="42" t="n">
        <v>1</v>
      </c>
      <c r="F3055" s="42" t="inlineStr">
        <is>
          <t>FR-321</t>
        </is>
      </c>
      <c r="G3055" s="55">
        <f>IFERROR(INDEX('Semrush Data'!$A$1:$Z$20000,MATCH(A3055,'Semrush Data'!$A$1:$A$20000,0),MATCH("Volume",'Semrush Data'!$A$1:$Z$1,0)),"")</f>
        <v/>
      </c>
      <c r="H3055" s="42">
        <f>IFERROR(INDEX('Semrush Data'!$A$1:$Z$20000,MATCH(A3055,'Semrush Data'!$A$1:$A$20000,0),MATCH("Keyword Difficulty*",'Semrush Data'!$A$1:$Z$1,0)),"")</f>
        <v/>
      </c>
      <c r="I3055" s="56">
        <f>IFERROR(INDEX('Semrush Data'!$A$1:$Z$20000,MATCH(A3055,'Semrush Data'!$A$1:$A$20000,0),MATCH("CPC*",'Semrush Data'!$A$1:$Z$1,0)),"")</f>
        <v/>
      </c>
      <c r="J3055" s="42">
        <f>IFERROR(INDEX('Semrush Data'!$A$1:$Z$20000,MATCH(A3055,'Semrush Data'!$A$1:$A$20000,0),MATCH("Intent",'Semrush Data'!$A$1:$Z$1,0)),"")</f>
        <v/>
      </c>
    </row>
    <row r="3056" ht="15" customHeight="1" s="37">
      <c r="A3056" s="42" t="inlineStr">
        <is>
          <t>signature rose perfume</t>
        </is>
      </c>
      <c r="B3056" s="42" t="inlineStr">
        <is>
          <t>Google suggest</t>
        </is>
      </c>
      <c r="C3056" s="42" t="n">
        <v>3</v>
      </c>
      <c r="D3056" s="42" t="n">
        <v>31</v>
      </c>
      <c r="E3056" s="42" t="n">
        <v>1</v>
      </c>
      <c r="F3056" s="42" t="inlineStr">
        <is>
          <t>FR-334</t>
        </is>
      </c>
      <c r="G3056" s="55">
        <f>IFERROR(INDEX('Semrush Data'!$A$1:$Z$20000,MATCH(A3056,'Semrush Data'!$A$1:$A$20000,0),MATCH("Volume",'Semrush Data'!$A$1:$Z$1,0)),"")</f>
        <v/>
      </c>
      <c r="H3056" s="42">
        <f>IFERROR(INDEX('Semrush Data'!$A$1:$Z$20000,MATCH(A3056,'Semrush Data'!$A$1:$A$20000,0),MATCH("Keyword Difficulty*",'Semrush Data'!$A$1:$Z$1,0)),"")</f>
        <v/>
      </c>
      <c r="I3056" s="56">
        <f>IFERROR(INDEX('Semrush Data'!$A$1:$Z$20000,MATCH(A3056,'Semrush Data'!$A$1:$A$20000,0),MATCH("CPC*",'Semrush Data'!$A$1:$Z$1,0)),"")</f>
        <v/>
      </c>
      <c r="J3056" s="42">
        <f>IFERROR(INDEX('Semrush Data'!$A$1:$Z$20000,MATCH(A3056,'Semrush Data'!$A$1:$A$20000,0),MATCH("Intent",'Semrush Data'!$A$1:$Z$1,0)),"")</f>
        <v/>
      </c>
    </row>
    <row r="3057" ht="15" customHeight="1" s="37">
      <c r="A3057" s="42" t="inlineStr">
        <is>
          <t>signature santal edp</t>
        </is>
      </c>
      <c r="B3057" s="42" t="inlineStr">
        <is>
          <t>Google suggest</t>
        </is>
      </c>
      <c r="C3057" s="42" t="n">
        <v>3</v>
      </c>
      <c r="D3057" s="42" t="n">
        <v>31</v>
      </c>
      <c r="E3057" s="42" t="n">
        <v>1</v>
      </c>
      <c r="F3057" s="42" t="inlineStr">
        <is>
          <t>FR-328</t>
        </is>
      </c>
      <c r="G3057" s="55">
        <f>IFERROR(INDEX('Semrush Data'!$A$1:$Z$20000,MATCH(A3057,'Semrush Data'!$A$1:$A$20000,0),MATCH("Volume",'Semrush Data'!$A$1:$Z$1,0)),"")</f>
        <v/>
      </c>
      <c r="H3057" s="42">
        <f>IFERROR(INDEX('Semrush Data'!$A$1:$Z$20000,MATCH(A3057,'Semrush Data'!$A$1:$A$20000,0),MATCH("Keyword Difficulty*",'Semrush Data'!$A$1:$Z$1,0)),"")</f>
        <v/>
      </c>
      <c r="I3057" s="56">
        <f>IFERROR(INDEX('Semrush Data'!$A$1:$Z$20000,MATCH(A3057,'Semrush Data'!$A$1:$A$20000,0),MATCH("CPC*",'Semrush Data'!$A$1:$Z$1,0)),"")</f>
        <v/>
      </c>
      <c r="J3057" s="42">
        <f>IFERROR(INDEX('Semrush Data'!$A$1:$Z$20000,MATCH(A3057,'Semrush Data'!$A$1:$A$20000,0),MATCH("Intent",'Semrush Data'!$A$1:$Z$1,0)),"")</f>
        <v/>
      </c>
    </row>
    <row r="3058" ht="15" customHeight="1" s="37">
      <c r="A3058" s="42" t="inlineStr">
        <is>
          <t>signature santal notes</t>
        </is>
      </c>
      <c r="B3058" s="42" t="inlineStr">
        <is>
          <t>Google suggest</t>
        </is>
      </c>
      <c r="C3058" s="42" t="n">
        <v>3</v>
      </c>
      <c r="D3058" s="42" t="n">
        <v>31</v>
      </c>
      <c r="E3058" s="42" t="n">
        <v>1</v>
      </c>
      <c r="F3058" s="42" t="inlineStr">
        <is>
          <t>FR-328</t>
        </is>
      </c>
      <c r="G3058" s="55">
        <f>IFERROR(INDEX('Semrush Data'!$A$1:$Z$20000,MATCH(A3058,'Semrush Data'!$A$1:$A$20000,0),MATCH("Volume",'Semrush Data'!$A$1:$Z$1,0)),"")</f>
        <v/>
      </c>
      <c r="H3058" s="42">
        <f>IFERROR(INDEX('Semrush Data'!$A$1:$Z$20000,MATCH(A3058,'Semrush Data'!$A$1:$A$20000,0),MATCH("Keyword Difficulty*",'Semrush Data'!$A$1:$Z$1,0)),"")</f>
        <v/>
      </c>
      <c r="I3058" s="56">
        <f>IFERROR(INDEX('Semrush Data'!$A$1:$Z$20000,MATCH(A3058,'Semrush Data'!$A$1:$A$20000,0),MATCH("CPC*",'Semrush Data'!$A$1:$Z$1,0)),"")</f>
        <v/>
      </c>
      <c r="J3058" s="42">
        <f>IFERROR(INDEX('Semrush Data'!$A$1:$Z$20000,MATCH(A3058,'Semrush Data'!$A$1:$A$20000,0),MATCH("Intent",'Semrush Data'!$A$1:$Z$1,0)),"")</f>
        <v/>
      </c>
    </row>
    <row r="3059" ht="15" customHeight="1" s="37">
      <c r="A3059" s="42" t="inlineStr">
        <is>
          <t>signature santal oil</t>
        </is>
      </c>
      <c r="B3059" s="42" t="inlineStr">
        <is>
          <t>Google suggest</t>
        </is>
      </c>
      <c r="C3059" s="42" t="n">
        <v>3</v>
      </c>
      <c r="D3059" s="42" t="n">
        <v>31</v>
      </c>
      <c r="E3059" s="42" t="n">
        <v>1</v>
      </c>
      <c r="F3059" s="42" t="inlineStr">
        <is>
          <t>FR-328</t>
        </is>
      </c>
      <c r="G3059" s="55">
        <f>IFERROR(INDEX('Semrush Data'!$A$1:$Z$20000,MATCH(A3059,'Semrush Data'!$A$1:$A$20000,0),MATCH("Volume",'Semrush Data'!$A$1:$Z$1,0)),"")</f>
        <v/>
      </c>
      <c r="H3059" s="42">
        <f>IFERROR(INDEX('Semrush Data'!$A$1:$Z$20000,MATCH(A3059,'Semrush Data'!$A$1:$A$20000,0),MATCH("Keyword Difficulty*",'Semrush Data'!$A$1:$Z$1,0)),"")</f>
        <v/>
      </c>
      <c r="I3059" s="56">
        <f>IFERROR(INDEX('Semrush Data'!$A$1:$Z$20000,MATCH(A3059,'Semrush Data'!$A$1:$A$20000,0),MATCH("CPC*",'Semrush Data'!$A$1:$Z$1,0)),"")</f>
        <v/>
      </c>
      <c r="J3059" s="42">
        <f>IFERROR(INDEX('Semrush Data'!$A$1:$Z$20000,MATCH(A3059,'Semrush Data'!$A$1:$A$20000,0),MATCH("Intent",'Semrush Data'!$A$1:$Z$1,0)),"")</f>
        <v/>
      </c>
    </row>
    <row r="3060" ht="15" customHeight="1" s="37">
      <c r="A3060" s="42" t="inlineStr">
        <is>
          <t>signature santal perfume</t>
        </is>
      </c>
      <c r="B3060" s="42" t="inlineStr">
        <is>
          <t>Google suggest</t>
        </is>
      </c>
      <c r="C3060" s="42" t="n">
        <v>3</v>
      </c>
      <c r="D3060" s="42" t="n">
        <v>31</v>
      </c>
      <c r="E3060" s="42" t="n">
        <v>1</v>
      </c>
      <c r="F3060" s="42" t="inlineStr">
        <is>
          <t>FR-328</t>
        </is>
      </c>
      <c r="G3060" s="55">
        <f>IFERROR(INDEX('Semrush Data'!$A$1:$Z$20000,MATCH(A3060,'Semrush Data'!$A$1:$A$20000,0),MATCH("Volume",'Semrush Data'!$A$1:$Z$1,0)),"")</f>
        <v/>
      </c>
      <c r="H3060" s="42">
        <f>IFERROR(INDEX('Semrush Data'!$A$1:$Z$20000,MATCH(A3060,'Semrush Data'!$A$1:$A$20000,0),MATCH("Keyword Difficulty*",'Semrush Data'!$A$1:$Z$1,0)),"")</f>
        <v/>
      </c>
      <c r="I3060" s="56">
        <f>IFERROR(INDEX('Semrush Data'!$A$1:$Z$20000,MATCH(A3060,'Semrush Data'!$A$1:$A$20000,0),MATCH("CPC*",'Semrush Data'!$A$1:$Z$1,0)),"")</f>
        <v/>
      </c>
      <c r="J3060" s="42">
        <f>IFERROR(INDEX('Semrush Data'!$A$1:$Z$20000,MATCH(A3060,'Semrush Data'!$A$1:$A$20000,0),MATCH("Intent",'Semrush Data'!$A$1:$Z$1,0)),"")</f>
        <v/>
      </c>
    </row>
    <row r="3061" ht="15" customHeight="1" s="37">
      <c r="A3061" s="42" t="inlineStr">
        <is>
          <t>signature santal отзывы</t>
        </is>
      </c>
      <c r="B3061" s="42" t="inlineStr">
        <is>
          <t>Google suggest</t>
        </is>
      </c>
      <c r="C3061" s="42" t="n">
        <v>3</v>
      </c>
      <c r="D3061" s="42" t="n">
        <v>31</v>
      </c>
      <c r="E3061" s="42" t="n">
        <v>1</v>
      </c>
      <c r="F3061" s="42" t="inlineStr">
        <is>
          <t>FR-328</t>
        </is>
      </c>
      <c r="G3061" s="55">
        <f>IFERROR(INDEX('Semrush Data'!$A$1:$Z$20000,MATCH(A3061,'Semrush Data'!$A$1:$A$20000,0),MATCH("Volume",'Semrush Data'!$A$1:$Z$1,0)),"")</f>
        <v/>
      </c>
      <c r="H3061" s="42">
        <f>IFERROR(INDEX('Semrush Data'!$A$1:$Z$20000,MATCH(A3061,'Semrush Data'!$A$1:$A$20000,0),MATCH("Keyword Difficulty*",'Semrush Data'!$A$1:$Z$1,0)),"")</f>
        <v/>
      </c>
      <c r="I3061" s="56">
        <f>IFERROR(INDEX('Semrush Data'!$A$1:$Z$20000,MATCH(A3061,'Semrush Data'!$A$1:$A$20000,0),MATCH("CPC*",'Semrush Data'!$A$1:$Z$1,0)),"")</f>
        <v/>
      </c>
      <c r="J3061" s="42">
        <f>IFERROR(INDEX('Semrush Data'!$A$1:$Z$20000,MATCH(A3061,'Semrush Data'!$A$1:$A$20000,0),MATCH("Intent",'Semrush Data'!$A$1:$Z$1,0)),"")</f>
        <v/>
      </c>
    </row>
    <row r="3062" ht="15" customHeight="1" s="37">
      <c r="A3062" s="42" t="inlineStr">
        <is>
          <t>signature sapphire edp</t>
        </is>
      </c>
      <c r="B3062" s="42" t="inlineStr">
        <is>
          <t>Google suggest</t>
        </is>
      </c>
      <c r="C3062" s="42" t="n">
        <v>3</v>
      </c>
      <c r="D3062" s="42" t="n">
        <v>31</v>
      </c>
      <c r="E3062" s="42" t="n">
        <v>1</v>
      </c>
      <c r="F3062" s="42" t="inlineStr">
        <is>
          <t>FR-329</t>
        </is>
      </c>
      <c r="G3062" s="55">
        <f>IFERROR(INDEX('Semrush Data'!$A$1:$Z$20000,MATCH(A3062,'Semrush Data'!$A$1:$A$20000,0),MATCH("Volume",'Semrush Data'!$A$1:$Z$1,0)),"")</f>
        <v/>
      </c>
      <c r="H3062" s="42">
        <f>IFERROR(INDEX('Semrush Data'!$A$1:$Z$20000,MATCH(A3062,'Semrush Data'!$A$1:$A$20000,0),MATCH("Keyword Difficulty*",'Semrush Data'!$A$1:$Z$1,0)),"")</f>
        <v/>
      </c>
      <c r="I3062" s="56">
        <f>IFERROR(INDEX('Semrush Data'!$A$1:$Z$20000,MATCH(A3062,'Semrush Data'!$A$1:$A$20000,0),MATCH("CPC*",'Semrush Data'!$A$1:$Z$1,0)),"")</f>
        <v/>
      </c>
      <c r="J3062" s="42">
        <f>IFERROR(INDEX('Semrush Data'!$A$1:$Z$20000,MATCH(A3062,'Semrush Data'!$A$1:$A$20000,0),MATCH("Intent",'Semrush Data'!$A$1:$Z$1,0)),"")</f>
        <v/>
      </c>
    </row>
    <row r="3063" ht="15" customHeight="1" s="37">
      <c r="A3063" s="42" t="inlineStr">
        <is>
          <t>signature sapphire perfume</t>
        </is>
      </c>
      <c r="B3063" s="42" t="inlineStr">
        <is>
          <t>Google suggest</t>
        </is>
      </c>
      <c r="C3063" s="42" t="n">
        <v>3</v>
      </c>
      <c r="D3063" s="42" t="n">
        <v>31</v>
      </c>
      <c r="E3063" s="42" t="n">
        <v>1</v>
      </c>
      <c r="F3063" s="42" t="inlineStr">
        <is>
          <t>FR-329</t>
        </is>
      </c>
      <c r="G3063" s="55">
        <f>IFERROR(INDEX('Semrush Data'!$A$1:$Z$20000,MATCH(A3063,'Semrush Data'!$A$1:$A$20000,0),MATCH("Volume",'Semrush Data'!$A$1:$Z$1,0)),"")</f>
        <v/>
      </c>
      <c r="H3063" s="42">
        <f>IFERROR(INDEX('Semrush Data'!$A$1:$Z$20000,MATCH(A3063,'Semrush Data'!$A$1:$A$20000,0),MATCH("Keyword Difficulty*",'Semrush Data'!$A$1:$Z$1,0)),"")</f>
        <v/>
      </c>
      <c r="I3063" s="56">
        <f>IFERROR(INDEX('Semrush Data'!$A$1:$Z$20000,MATCH(A3063,'Semrush Data'!$A$1:$A$20000,0),MATCH("CPC*",'Semrush Data'!$A$1:$Z$1,0)),"")</f>
        <v/>
      </c>
      <c r="J3063" s="42">
        <f>IFERROR(INDEX('Semrush Data'!$A$1:$Z$20000,MATCH(A3063,'Semrush Data'!$A$1:$A$20000,0),MATCH("Intent",'Semrush Data'!$A$1:$Z$1,0)),"")</f>
        <v/>
      </c>
    </row>
    <row r="3064" ht="15" customHeight="1" s="37">
      <c r="A3064" s="42" t="inlineStr">
        <is>
          <t>the woods collection azure review</t>
        </is>
      </c>
      <c r="B3064" s="42" t="inlineStr">
        <is>
          <t>Google suggest</t>
        </is>
      </c>
      <c r="C3064" s="42" t="n">
        <v>3</v>
      </c>
      <c r="D3064" s="42" t="n">
        <v>31</v>
      </c>
      <c r="E3064" s="42" t="n">
        <v>1</v>
      </c>
      <c r="F3064" s="42" t="inlineStr">
        <is>
          <t>FR-342</t>
        </is>
      </c>
      <c r="G3064" s="55">
        <f>IFERROR(INDEX('Semrush Data'!$A$1:$Z$20000,MATCH(A3064,'Semrush Data'!$A$1:$A$20000,0),MATCH("Volume",'Semrush Data'!$A$1:$Z$1,0)),"")</f>
        <v/>
      </c>
      <c r="H3064" s="42">
        <f>IFERROR(INDEX('Semrush Data'!$A$1:$Z$20000,MATCH(A3064,'Semrush Data'!$A$1:$A$20000,0),MATCH("Keyword Difficulty*",'Semrush Data'!$A$1:$Z$1,0)),"")</f>
        <v/>
      </c>
      <c r="I3064" s="56">
        <f>IFERROR(INDEX('Semrush Data'!$A$1:$Z$20000,MATCH(A3064,'Semrush Data'!$A$1:$A$20000,0),MATCH("CPC*",'Semrush Data'!$A$1:$Z$1,0)),"")</f>
        <v/>
      </c>
      <c r="J3064" s="42">
        <f>IFERROR(INDEX('Semrush Data'!$A$1:$Z$20000,MATCH(A3064,'Semrush Data'!$A$1:$A$20000,0),MATCH("Intent",'Semrush Data'!$A$1:$Z$1,0)),"")</f>
        <v/>
      </c>
    </row>
    <row r="3065" ht="15" customHeight="1" s="37">
      <c r="A3065" s="42" t="inlineStr">
        <is>
          <t>the woods collection azure отзывы</t>
        </is>
      </c>
      <c r="B3065" s="42" t="inlineStr">
        <is>
          <t>Google suggest</t>
        </is>
      </c>
      <c r="C3065" s="42" t="n">
        <v>3</v>
      </c>
      <c r="D3065" s="42" t="n">
        <v>31</v>
      </c>
      <c r="E3065" s="42" t="n">
        <v>1</v>
      </c>
      <c r="F3065" s="42" t="inlineStr">
        <is>
          <t>FR-342</t>
        </is>
      </c>
      <c r="G3065" s="55">
        <f>IFERROR(INDEX('Semrush Data'!$A$1:$Z$20000,MATCH(A3065,'Semrush Data'!$A$1:$A$20000,0),MATCH("Volume",'Semrush Data'!$A$1:$Z$1,0)),"")</f>
        <v/>
      </c>
      <c r="H3065" s="42">
        <f>IFERROR(INDEX('Semrush Data'!$A$1:$Z$20000,MATCH(A3065,'Semrush Data'!$A$1:$A$20000,0),MATCH("Keyword Difficulty*",'Semrush Data'!$A$1:$Z$1,0)),"")</f>
        <v/>
      </c>
      <c r="I3065" s="56">
        <f>IFERROR(INDEX('Semrush Data'!$A$1:$Z$20000,MATCH(A3065,'Semrush Data'!$A$1:$A$20000,0),MATCH("CPC*",'Semrush Data'!$A$1:$Z$1,0)),"")</f>
        <v/>
      </c>
      <c r="J3065" s="42">
        <f>IFERROR(INDEX('Semrush Data'!$A$1:$Z$20000,MATCH(A3065,'Semrush Data'!$A$1:$A$20000,0),MATCH("Intent",'Semrush Data'!$A$1:$Z$1,0)),"")</f>
        <v/>
      </c>
    </row>
    <row r="3066" ht="15" customHeight="1" s="37">
      <c r="A3066" s="42" t="inlineStr">
        <is>
          <t>the woods collection azure фрагрантика</t>
        </is>
      </c>
      <c r="B3066" s="42" t="inlineStr">
        <is>
          <t>Google suggest</t>
        </is>
      </c>
      <c r="C3066" s="42" t="n">
        <v>3</v>
      </c>
      <c r="D3066" s="42" t="n">
        <v>31</v>
      </c>
      <c r="E3066" s="42" t="n">
        <v>1</v>
      </c>
      <c r="F3066" s="42" t="inlineStr">
        <is>
          <t>FR-342</t>
        </is>
      </c>
      <c r="G3066" s="55">
        <f>IFERROR(INDEX('Semrush Data'!$A$1:$Z$20000,MATCH(A3066,'Semrush Data'!$A$1:$A$20000,0),MATCH("Volume",'Semrush Data'!$A$1:$Z$1,0)),"")</f>
        <v/>
      </c>
      <c r="H3066" s="42">
        <f>IFERROR(INDEX('Semrush Data'!$A$1:$Z$20000,MATCH(A3066,'Semrush Data'!$A$1:$A$20000,0),MATCH("Keyword Difficulty*",'Semrush Data'!$A$1:$Z$1,0)),"")</f>
        <v/>
      </c>
      <c r="I3066" s="56">
        <f>IFERROR(INDEX('Semrush Data'!$A$1:$Z$20000,MATCH(A3066,'Semrush Data'!$A$1:$A$20000,0),MATCH("CPC*",'Semrush Data'!$A$1:$Z$1,0)),"")</f>
        <v/>
      </c>
      <c r="J3066" s="42">
        <f>IFERROR(INDEX('Semrush Data'!$A$1:$Z$20000,MATCH(A3066,'Semrush Data'!$A$1:$A$20000,0),MATCH("Intent",'Semrush Data'!$A$1:$Z$1,0)),"")</f>
        <v/>
      </c>
    </row>
    <row r="3067" ht="15" customHeight="1" s="37">
      <c r="A3067" s="42" t="inlineStr">
        <is>
          <t>the woods collection eden edp 100ml</t>
        </is>
      </c>
      <c r="B3067" s="42" t="inlineStr">
        <is>
          <t>Google suggest</t>
        </is>
      </c>
      <c r="C3067" s="42" t="n">
        <v>3</v>
      </c>
      <c r="D3067" s="42" t="n">
        <v>31</v>
      </c>
      <c r="E3067" s="42" t="n">
        <v>1</v>
      </c>
      <c r="F3067" s="42" t="inlineStr">
        <is>
          <t>FR-343</t>
        </is>
      </c>
      <c r="G3067" s="55">
        <f>IFERROR(INDEX('Semrush Data'!$A$1:$Z$20000,MATCH(A3067,'Semrush Data'!$A$1:$A$20000,0),MATCH("Volume",'Semrush Data'!$A$1:$Z$1,0)),"")</f>
        <v/>
      </c>
      <c r="H3067" s="42">
        <f>IFERROR(INDEX('Semrush Data'!$A$1:$Z$20000,MATCH(A3067,'Semrush Data'!$A$1:$A$20000,0),MATCH("Keyword Difficulty*",'Semrush Data'!$A$1:$Z$1,0)),"")</f>
        <v/>
      </c>
      <c r="I3067" s="56">
        <f>IFERROR(INDEX('Semrush Data'!$A$1:$Z$20000,MATCH(A3067,'Semrush Data'!$A$1:$A$20000,0),MATCH("CPC*",'Semrush Data'!$A$1:$Z$1,0)),"")</f>
        <v/>
      </c>
      <c r="J3067" s="42">
        <f>IFERROR(INDEX('Semrush Data'!$A$1:$Z$20000,MATCH(A3067,'Semrush Data'!$A$1:$A$20000,0),MATCH("Intent",'Semrush Data'!$A$1:$Z$1,0)),"")</f>
        <v/>
      </c>
    </row>
    <row r="3068" ht="15" customHeight="1" s="37">
      <c r="A3068" s="42" t="inlineStr">
        <is>
          <t>the woods collection eden review</t>
        </is>
      </c>
      <c r="B3068" s="42" t="inlineStr">
        <is>
          <t>Google suggest</t>
        </is>
      </c>
      <c r="C3068" s="42" t="n">
        <v>3</v>
      </c>
      <c r="D3068" s="42" t="n">
        <v>31</v>
      </c>
      <c r="E3068" s="42" t="n">
        <v>1</v>
      </c>
      <c r="F3068" s="42" t="inlineStr">
        <is>
          <t>FR-343</t>
        </is>
      </c>
      <c r="G3068" s="55">
        <f>IFERROR(INDEX('Semrush Data'!$A$1:$Z$20000,MATCH(A3068,'Semrush Data'!$A$1:$A$20000,0),MATCH("Volume",'Semrush Data'!$A$1:$Z$1,0)),"")</f>
        <v/>
      </c>
      <c r="H3068" s="42">
        <f>IFERROR(INDEX('Semrush Data'!$A$1:$Z$20000,MATCH(A3068,'Semrush Data'!$A$1:$A$20000,0),MATCH("Keyword Difficulty*",'Semrush Data'!$A$1:$Z$1,0)),"")</f>
        <v/>
      </c>
      <c r="I3068" s="56">
        <f>IFERROR(INDEX('Semrush Data'!$A$1:$Z$20000,MATCH(A3068,'Semrush Data'!$A$1:$A$20000,0),MATCH("CPC*",'Semrush Data'!$A$1:$Z$1,0)),"")</f>
        <v/>
      </c>
      <c r="J3068" s="42">
        <f>IFERROR(INDEX('Semrush Data'!$A$1:$Z$20000,MATCH(A3068,'Semrush Data'!$A$1:$A$20000,0),MATCH("Intent",'Semrush Data'!$A$1:$Z$1,0)),"")</f>
        <v/>
      </c>
    </row>
    <row r="3069" ht="15" customHeight="1" s="37">
      <c r="A3069" s="42" t="inlineStr">
        <is>
          <t>the woods collection eden отзывы</t>
        </is>
      </c>
      <c r="B3069" s="42" t="inlineStr">
        <is>
          <t>Google suggest</t>
        </is>
      </c>
      <c r="C3069" s="42" t="n">
        <v>3</v>
      </c>
      <c r="D3069" s="42" t="n">
        <v>31</v>
      </c>
      <c r="E3069" s="42" t="n">
        <v>1</v>
      </c>
      <c r="F3069" s="42" t="inlineStr">
        <is>
          <t>FR-343</t>
        </is>
      </c>
      <c r="G3069" s="55">
        <f>IFERROR(INDEX('Semrush Data'!$A$1:$Z$20000,MATCH(A3069,'Semrush Data'!$A$1:$A$20000,0),MATCH("Volume",'Semrush Data'!$A$1:$Z$1,0)),"")</f>
        <v/>
      </c>
      <c r="H3069" s="42">
        <f>IFERROR(INDEX('Semrush Data'!$A$1:$Z$20000,MATCH(A3069,'Semrush Data'!$A$1:$A$20000,0),MATCH("Keyword Difficulty*",'Semrush Data'!$A$1:$Z$1,0)),"")</f>
        <v/>
      </c>
      <c r="I3069" s="56">
        <f>IFERROR(INDEX('Semrush Data'!$A$1:$Z$20000,MATCH(A3069,'Semrush Data'!$A$1:$A$20000,0),MATCH("CPC*",'Semrush Data'!$A$1:$Z$1,0)),"")</f>
        <v/>
      </c>
      <c r="J3069" s="42">
        <f>IFERROR(INDEX('Semrush Data'!$A$1:$Z$20000,MATCH(A3069,'Semrush Data'!$A$1:$A$20000,0),MATCH("Intent",'Semrush Data'!$A$1:$Z$1,0)),"")</f>
        <v/>
      </c>
    </row>
    <row r="3070" ht="15" customHeight="1" s="37">
      <c r="A3070" s="42" t="inlineStr">
        <is>
          <t>the woods collection eden фрагрантика</t>
        </is>
      </c>
      <c r="B3070" s="42" t="inlineStr">
        <is>
          <t>Google suggest</t>
        </is>
      </c>
      <c r="C3070" s="42" t="n">
        <v>3</v>
      </c>
      <c r="D3070" s="42" t="n">
        <v>31</v>
      </c>
      <c r="E3070" s="42" t="n">
        <v>1</v>
      </c>
      <c r="F3070" s="42" t="inlineStr">
        <is>
          <t>FR-343</t>
        </is>
      </c>
      <c r="G3070" s="55">
        <f>IFERROR(INDEX('Semrush Data'!$A$1:$Z$20000,MATCH(A3070,'Semrush Data'!$A$1:$A$20000,0),MATCH("Volume",'Semrush Data'!$A$1:$Z$1,0)),"")</f>
        <v/>
      </c>
      <c r="H3070" s="42">
        <f>IFERROR(INDEX('Semrush Data'!$A$1:$Z$20000,MATCH(A3070,'Semrush Data'!$A$1:$A$20000,0),MATCH("Keyword Difficulty*",'Semrush Data'!$A$1:$Z$1,0)),"")</f>
        <v/>
      </c>
      <c r="I3070" s="56">
        <f>IFERROR(INDEX('Semrush Data'!$A$1:$Z$20000,MATCH(A3070,'Semrush Data'!$A$1:$A$20000,0),MATCH("CPC*",'Semrush Data'!$A$1:$Z$1,0)),"")</f>
        <v/>
      </c>
      <c r="J3070" s="42">
        <f>IFERROR(INDEX('Semrush Data'!$A$1:$Z$20000,MATCH(A3070,'Semrush Data'!$A$1:$A$20000,0),MATCH("Intent",'Semrush Data'!$A$1:$Z$1,0)),"")</f>
        <v/>
      </c>
    </row>
    <row r="3071" ht="15" customHeight="1" s="37">
      <c r="A3071" s="42" t="inlineStr">
        <is>
          <t>the woods collection green walk review</t>
        </is>
      </c>
      <c r="B3071" s="42" t="inlineStr">
        <is>
          <t>Google suggest</t>
        </is>
      </c>
      <c r="C3071" s="42" t="n">
        <v>3</v>
      </c>
      <c r="D3071" s="42" t="n">
        <v>31</v>
      </c>
      <c r="E3071" s="42" t="n">
        <v>1</v>
      </c>
      <c r="F3071" s="42" t="inlineStr">
        <is>
          <t>FR-345</t>
        </is>
      </c>
      <c r="G3071" s="55">
        <f>IFERROR(INDEX('Semrush Data'!$A$1:$Z$20000,MATCH(A3071,'Semrush Data'!$A$1:$A$20000,0),MATCH("Volume",'Semrush Data'!$A$1:$Z$1,0)),"")</f>
        <v/>
      </c>
      <c r="H3071" s="42">
        <f>IFERROR(INDEX('Semrush Data'!$A$1:$Z$20000,MATCH(A3071,'Semrush Data'!$A$1:$A$20000,0),MATCH("Keyword Difficulty*",'Semrush Data'!$A$1:$Z$1,0)),"")</f>
        <v/>
      </c>
      <c r="I3071" s="56">
        <f>IFERROR(INDEX('Semrush Data'!$A$1:$Z$20000,MATCH(A3071,'Semrush Data'!$A$1:$A$20000,0),MATCH("CPC*",'Semrush Data'!$A$1:$Z$1,0)),"")</f>
        <v/>
      </c>
      <c r="J3071" s="42">
        <f>IFERROR(INDEX('Semrush Data'!$A$1:$Z$20000,MATCH(A3071,'Semrush Data'!$A$1:$A$20000,0),MATCH("Intent",'Semrush Data'!$A$1:$Z$1,0)),"")</f>
        <v/>
      </c>
    </row>
    <row r="3072" ht="15" customHeight="1" s="37">
      <c r="A3072" s="42" t="inlineStr">
        <is>
          <t>the woods collection green walk отзывы</t>
        </is>
      </c>
      <c r="B3072" s="42" t="inlineStr">
        <is>
          <t>Google suggest</t>
        </is>
      </c>
      <c r="C3072" s="42" t="n">
        <v>3</v>
      </c>
      <c r="D3072" s="42" t="n">
        <v>31</v>
      </c>
      <c r="E3072" s="42" t="n">
        <v>1</v>
      </c>
      <c r="F3072" s="42" t="inlineStr">
        <is>
          <t>FR-345</t>
        </is>
      </c>
      <c r="G3072" s="55">
        <f>IFERROR(INDEX('Semrush Data'!$A$1:$Z$20000,MATCH(A3072,'Semrush Data'!$A$1:$A$20000,0),MATCH("Volume",'Semrush Data'!$A$1:$Z$1,0)),"")</f>
        <v/>
      </c>
      <c r="H3072" s="42">
        <f>IFERROR(INDEX('Semrush Data'!$A$1:$Z$20000,MATCH(A3072,'Semrush Data'!$A$1:$A$20000,0),MATCH("Keyword Difficulty*",'Semrush Data'!$A$1:$Z$1,0)),"")</f>
        <v/>
      </c>
      <c r="I3072" s="56">
        <f>IFERROR(INDEX('Semrush Data'!$A$1:$Z$20000,MATCH(A3072,'Semrush Data'!$A$1:$A$20000,0),MATCH("CPC*",'Semrush Data'!$A$1:$Z$1,0)),"")</f>
        <v/>
      </c>
      <c r="J3072" s="42">
        <f>IFERROR(INDEX('Semrush Data'!$A$1:$Z$20000,MATCH(A3072,'Semrush Data'!$A$1:$A$20000,0),MATCH("Intent",'Semrush Data'!$A$1:$Z$1,0)),"")</f>
        <v/>
      </c>
    </row>
    <row r="3073" ht="15" customHeight="1" s="37">
      <c r="A3073" s="42" t="inlineStr">
        <is>
          <t>the woods collection mirage edp</t>
        </is>
      </c>
      <c r="B3073" s="42" t="inlineStr">
        <is>
          <t>Google suggest</t>
        </is>
      </c>
      <c r="C3073" s="42" t="n">
        <v>3</v>
      </c>
      <c r="D3073" s="42" t="n">
        <v>31</v>
      </c>
      <c r="E3073" s="42" t="n">
        <v>1</v>
      </c>
      <c r="F3073" s="42" t="inlineStr">
        <is>
          <t>FR-346</t>
        </is>
      </c>
      <c r="G3073" s="55">
        <f>IFERROR(INDEX('Semrush Data'!$A$1:$Z$20000,MATCH(A3073,'Semrush Data'!$A$1:$A$20000,0),MATCH("Volume",'Semrush Data'!$A$1:$Z$1,0)),"")</f>
        <v/>
      </c>
      <c r="H3073" s="42">
        <f>IFERROR(INDEX('Semrush Data'!$A$1:$Z$20000,MATCH(A3073,'Semrush Data'!$A$1:$A$20000,0),MATCH("Keyword Difficulty*",'Semrush Data'!$A$1:$Z$1,0)),"")</f>
        <v/>
      </c>
      <c r="I3073" s="56">
        <f>IFERROR(INDEX('Semrush Data'!$A$1:$Z$20000,MATCH(A3073,'Semrush Data'!$A$1:$A$20000,0),MATCH("CPC*",'Semrush Data'!$A$1:$Z$1,0)),"")</f>
        <v/>
      </c>
      <c r="J3073" s="42">
        <f>IFERROR(INDEX('Semrush Data'!$A$1:$Z$20000,MATCH(A3073,'Semrush Data'!$A$1:$A$20000,0),MATCH("Intent",'Semrush Data'!$A$1:$Z$1,0)),"")</f>
        <v/>
      </c>
    </row>
    <row r="3074" ht="15" customHeight="1" s="37">
      <c r="A3074" s="42" t="inlineStr">
        <is>
          <t>the woods collection mirage notes</t>
        </is>
      </c>
      <c r="B3074" s="42" t="inlineStr">
        <is>
          <t>Google suggest</t>
        </is>
      </c>
      <c r="C3074" s="42" t="n">
        <v>3</v>
      </c>
      <c r="D3074" s="42" t="n">
        <v>31</v>
      </c>
      <c r="E3074" s="42" t="n">
        <v>1</v>
      </c>
      <c r="F3074" s="42" t="inlineStr">
        <is>
          <t>FR-346</t>
        </is>
      </c>
      <c r="G3074" s="55">
        <f>IFERROR(INDEX('Semrush Data'!$A$1:$Z$20000,MATCH(A3074,'Semrush Data'!$A$1:$A$20000,0),MATCH("Volume",'Semrush Data'!$A$1:$Z$1,0)),"")</f>
        <v/>
      </c>
      <c r="H3074" s="42">
        <f>IFERROR(INDEX('Semrush Data'!$A$1:$Z$20000,MATCH(A3074,'Semrush Data'!$A$1:$A$20000,0),MATCH("Keyword Difficulty*",'Semrush Data'!$A$1:$Z$1,0)),"")</f>
        <v/>
      </c>
      <c r="I3074" s="56">
        <f>IFERROR(INDEX('Semrush Data'!$A$1:$Z$20000,MATCH(A3074,'Semrush Data'!$A$1:$A$20000,0),MATCH("CPC*",'Semrush Data'!$A$1:$Z$1,0)),"")</f>
        <v/>
      </c>
      <c r="J3074" s="42">
        <f>IFERROR(INDEX('Semrush Data'!$A$1:$Z$20000,MATCH(A3074,'Semrush Data'!$A$1:$A$20000,0),MATCH("Intent",'Semrush Data'!$A$1:$Z$1,0)),"")</f>
        <v/>
      </c>
    </row>
    <row r="3075" ht="15" customHeight="1" s="37">
      <c r="A3075" s="42" t="inlineStr">
        <is>
          <t>the woods collection mirage review</t>
        </is>
      </c>
      <c r="B3075" s="42" t="inlineStr">
        <is>
          <t>Google suggest</t>
        </is>
      </c>
      <c r="C3075" s="42" t="n">
        <v>3</v>
      </c>
      <c r="D3075" s="42" t="n">
        <v>31</v>
      </c>
      <c r="E3075" s="42" t="n">
        <v>1</v>
      </c>
      <c r="F3075" s="42" t="inlineStr">
        <is>
          <t>FR-346</t>
        </is>
      </c>
      <c r="G3075" s="55">
        <f>IFERROR(INDEX('Semrush Data'!$A$1:$Z$20000,MATCH(A3075,'Semrush Data'!$A$1:$A$20000,0),MATCH("Volume",'Semrush Data'!$A$1:$Z$1,0)),"")</f>
        <v/>
      </c>
      <c r="H3075" s="42">
        <f>IFERROR(INDEX('Semrush Data'!$A$1:$Z$20000,MATCH(A3075,'Semrush Data'!$A$1:$A$20000,0),MATCH("Keyword Difficulty*",'Semrush Data'!$A$1:$Z$1,0)),"")</f>
        <v/>
      </c>
      <c r="I3075" s="56">
        <f>IFERROR(INDEX('Semrush Data'!$A$1:$Z$20000,MATCH(A3075,'Semrush Data'!$A$1:$A$20000,0),MATCH("CPC*",'Semrush Data'!$A$1:$Z$1,0)),"")</f>
        <v/>
      </c>
      <c r="J3075" s="42">
        <f>IFERROR(INDEX('Semrush Data'!$A$1:$Z$20000,MATCH(A3075,'Semrush Data'!$A$1:$A$20000,0),MATCH("Intent",'Semrush Data'!$A$1:$Z$1,0)),"")</f>
        <v/>
      </c>
    </row>
    <row r="3076" ht="15" customHeight="1" s="37">
      <c r="A3076" s="42" t="inlineStr">
        <is>
          <t>the woods collection mirage отзывы</t>
        </is>
      </c>
      <c r="B3076" s="42" t="inlineStr">
        <is>
          <t>Google suggest</t>
        </is>
      </c>
      <c r="C3076" s="42" t="n">
        <v>3</v>
      </c>
      <c r="D3076" s="42" t="n">
        <v>31</v>
      </c>
      <c r="E3076" s="42" t="n">
        <v>1</v>
      </c>
      <c r="F3076" s="42" t="inlineStr">
        <is>
          <t>FR-346</t>
        </is>
      </c>
      <c r="G3076" s="55">
        <f>IFERROR(INDEX('Semrush Data'!$A$1:$Z$20000,MATCH(A3076,'Semrush Data'!$A$1:$A$20000,0),MATCH("Volume",'Semrush Data'!$A$1:$Z$1,0)),"")</f>
        <v/>
      </c>
      <c r="H3076" s="42">
        <f>IFERROR(INDEX('Semrush Data'!$A$1:$Z$20000,MATCH(A3076,'Semrush Data'!$A$1:$A$20000,0),MATCH("Keyword Difficulty*",'Semrush Data'!$A$1:$Z$1,0)),"")</f>
        <v/>
      </c>
      <c r="I3076" s="56">
        <f>IFERROR(INDEX('Semrush Data'!$A$1:$Z$20000,MATCH(A3076,'Semrush Data'!$A$1:$A$20000,0),MATCH("CPC*",'Semrush Data'!$A$1:$Z$1,0)),"")</f>
        <v/>
      </c>
      <c r="J3076" s="42">
        <f>IFERROR(INDEX('Semrush Data'!$A$1:$Z$20000,MATCH(A3076,'Semrush Data'!$A$1:$A$20000,0),MATCH("Intent",'Semrush Data'!$A$1:$Z$1,0)),"")</f>
        <v/>
      </c>
    </row>
    <row r="3077" ht="15" customHeight="1" s="37">
      <c r="A3077" s="42" t="inlineStr">
        <is>
          <t>the woods collection pure shine edp</t>
        </is>
      </c>
      <c r="B3077" s="42" t="inlineStr">
        <is>
          <t>Google suggest</t>
        </is>
      </c>
      <c r="C3077" s="42" t="n">
        <v>3</v>
      </c>
      <c r="D3077" s="42" t="n">
        <v>31</v>
      </c>
      <c r="E3077" s="42" t="n">
        <v>1</v>
      </c>
      <c r="F3077" s="42" t="inlineStr">
        <is>
          <t>FR-347</t>
        </is>
      </c>
      <c r="G3077" s="55">
        <f>IFERROR(INDEX('Semrush Data'!$A$1:$Z$20000,MATCH(A3077,'Semrush Data'!$A$1:$A$20000,0),MATCH("Volume",'Semrush Data'!$A$1:$Z$1,0)),"")</f>
        <v/>
      </c>
      <c r="H3077" s="42">
        <f>IFERROR(INDEX('Semrush Data'!$A$1:$Z$20000,MATCH(A3077,'Semrush Data'!$A$1:$A$20000,0),MATCH("Keyword Difficulty*",'Semrush Data'!$A$1:$Z$1,0)),"")</f>
        <v/>
      </c>
      <c r="I3077" s="56">
        <f>IFERROR(INDEX('Semrush Data'!$A$1:$Z$20000,MATCH(A3077,'Semrush Data'!$A$1:$A$20000,0),MATCH("CPC*",'Semrush Data'!$A$1:$Z$1,0)),"")</f>
        <v/>
      </c>
      <c r="J3077" s="42">
        <f>IFERROR(INDEX('Semrush Data'!$A$1:$Z$20000,MATCH(A3077,'Semrush Data'!$A$1:$A$20000,0),MATCH("Intent",'Semrush Data'!$A$1:$Z$1,0)),"")</f>
        <v/>
      </c>
    </row>
    <row r="3078" ht="15" customHeight="1" s="37">
      <c r="A3078" s="42" t="inlineStr">
        <is>
          <t>the woods collection pure shine edp 100ml</t>
        </is>
      </c>
      <c r="B3078" s="42" t="inlineStr">
        <is>
          <t>Google suggest</t>
        </is>
      </c>
      <c r="C3078" s="42" t="n">
        <v>3</v>
      </c>
      <c r="D3078" s="42" t="n">
        <v>31</v>
      </c>
      <c r="E3078" s="42" t="n">
        <v>1</v>
      </c>
      <c r="F3078" s="42" t="inlineStr">
        <is>
          <t>FR-347</t>
        </is>
      </c>
      <c r="G3078" s="55">
        <f>IFERROR(INDEX('Semrush Data'!$A$1:$Z$20000,MATCH(A3078,'Semrush Data'!$A$1:$A$20000,0),MATCH("Volume",'Semrush Data'!$A$1:$Z$1,0)),"")</f>
        <v/>
      </c>
      <c r="H3078" s="42">
        <f>IFERROR(INDEX('Semrush Data'!$A$1:$Z$20000,MATCH(A3078,'Semrush Data'!$A$1:$A$20000,0),MATCH("Keyword Difficulty*",'Semrush Data'!$A$1:$Z$1,0)),"")</f>
        <v/>
      </c>
      <c r="I3078" s="56">
        <f>IFERROR(INDEX('Semrush Data'!$A$1:$Z$20000,MATCH(A3078,'Semrush Data'!$A$1:$A$20000,0),MATCH("CPC*",'Semrush Data'!$A$1:$Z$1,0)),"")</f>
        <v/>
      </c>
      <c r="J3078" s="42">
        <f>IFERROR(INDEX('Semrush Data'!$A$1:$Z$20000,MATCH(A3078,'Semrush Data'!$A$1:$A$20000,0),MATCH("Intent",'Semrush Data'!$A$1:$Z$1,0)),"")</f>
        <v/>
      </c>
    </row>
    <row r="3079" ht="15" customHeight="1" s="37">
      <c r="A3079" s="42" t="inlineStr">
        <is>
          <t>the woods collection pure shine review</t>
        </is>
      </c>
      <c r="B3079" s="42" t="inlineStr">
        <is>
          <t>Google suggest</t>
        </is>
      </c>
      <c r="C3079" s="42" t="n">
        <v>3</v>
      </c>
      <c r="D3079" s="42" t="n">
        <v>31</v>
      </c>
      <c r="E3079" s="42" t="n">
        <v>1</v>
      </c>
      <c r="F3079" s="42" t="inlineStr">
        <is>
          <t>FR-347</t>
        </is>
      </c>
      <c r="G3079" s="55">
        <f>IFERROR(INDEX('Semrush Data'!$A$1:$Z$20000,MATCH(A3079,'Semrush Data'!$A$1:$A$20000,0),MATCH("Volume",'Semrush Data'!$A$1:$Z$1,0)),"")</f>
        <v/>
      </c>
      <c r="H3079" s="42">
        <f>IFERROR(INDEX('Semrush Data'!$A$1:$Z$20000,MATCH(A3079,'Semrush Data'!$A$1:$A$20000,0),MATCH("Keyword Difficulty*",'Semrush Data'!$A$1:$Z$1,0)),"")</f>
        <v/>
      </c>
      <c r="I3079" s="56">
        <f>IFERROR(INDEX('Semrush Data'!$A$1:$Z$20000,MATCH(A3079,'Semrush Data'!$A$1:$A$20000,0),MATCH("CPC*",'Semrush Data'!$A$1:$Z$1,0)),"")</f>
        <v/>
      </c>
      <c r="J3079" s="42">
        <f>IFERROR(INDEX('Semrush Data'!$A$1:$Z$20000,MATCH(A3079,'Semrush Data'!$A$1:$A$20000,0),MATCH("Intent",'Semrush Data'!$A$1:$Z$1,0)),"")</f>
        <v/>
      </c>
    </row>
    <row r="3080" ht="15" customHeight="1" s="37">
      <c r="A3080" s="42" t="inlineStr">
        <is>
          <t>the woods collection pure shine отзывы</t>
        </is>
      </c>
      <c r="B3080" s="42" t="inlineStr">
        <is>
          <t>Google suggest</t>
        </is>
      </c>
      <c r="C3080" s="42" t="n">
        <v>3</v>
      </c>
      <c r="D3080" s="42" t="n">
        <v>31</v>
      </c>
      <c r="E3080" s="42" t="n">
        <v>1</v>
      </c>
      <c r="F3080" s="42" t="inlineStr">
        <is>
          <t>FR-347</t>
        </is>
      </c>
      <c r="G3080" s="55">
        <f>IFERROR(INDEX('Semrush Data'!$A$1:$Z$20000,MATCH(A3080,'Semrush Data'!$A$1:$A$20000,0),MATCH("Volume",'Semrush Data'!$A$1:$Z$1,0)),"")</f>
        <v/>
      </c>
      <c r="H3080" s="42">
        <f>IFERROR(INDEX('Semrush Data'!$A$1:$Z$20000,MATCH(A3080,'Semrush Data'!$A$1:$A$20000,0),MATCH("Keyword Difficulty*",'Semrush Data'!$A$1:$Z$1,0)),"")</f>
        <v/>
      </c>
      <c r="I3080" s="56">
        <f>IFERROR(INDEX('Semrush Data'!$A$1:$Z$20000,MATCH(A3080,'Semrush Data'!$A$1:$A$20000,0),MATCH("CPC*",'Semrush Data'!$A$1:$Z$1,0)),"")</f>
        <v/>
      </c>
      <c r="J3080" s="42">
        <f>IFERROR(INDEX('Semrush Data'!$A$1:$Z$20000,MATCH(A3080,'Semrush Data'!$A$1:$A$20000,0),MATCH("Intent",'Semrush Data'!$A$1:$Z$1,0)),"")</f>
        <v/>
      </c>
    </row>
    <row r="3081" ht="15" customHeight="1" s="37">
      <c r="A3081" s="42" t="inlineStr">
        <is>
          <t>the woods collection secret source edp</t>
        </is>
      </c>
      <c r="B3081" s="42" t="inlineStr">
        <is>
          <t>Google suggest</t>
        </is>
      </c>
      <c r="C3081" s="42" t="n">
        <v>3</v>
      </c>
      <c r="D3081" s="42" t="n">
        <v>31</v>
      </c>
      <c r="E3081" s="42" t="n">
        <v>1</v>
      </c>
      <c r="F3081" s="42" t="inlineStr">
        <is>
          <t>FR-348</t>
        </is>
      </c>
      <c r="G3081" s="55">
        <f>IFERROR(INDEX('Semrush Data'!$A$1:$Z$20000,MATCH(A3081,'Semrush Data'!$A$1:$A$20000,0),MATCH("Volume",'Semrush Data'!$A$1:$Z$1,0)),"")</f>
        <v/>
      </c>
      <c r="H3081" s="42">
        <f>IFERROR(INDEX('Semrush Data'!$A$1:$Z$20000,MATCH(A3081,'Semrush Data'!$A$1:$A$20000,0),MATCH("Keyword Difficulty*",'Semrush Data'!$A$1:$Z$1,0)),"")</f>
        <v/>
      </c>
      <c r="I3081" s="56">
        <f>IFERROR(INDEX('Semrush Data'!$A$1:$Z$20000,MATCH(A3081,'Semrush Data'!$A$1:$A$20000,0),MATCH("CPC*",'Semrush Data'!$A$1:$Z$1,0)),"")</f>
        <v/>
      </c>
      <c r="J3081" s="42">
        <f>IFERROR(INDEX('Semrush Data'!$A$1:$Z$20000,MATCH(A3081,'Semrush Data'!$A$1:$A$20000,0),MATCH("Intent",'Semrush Data'!$A$1:$Z$1,0)),"")</f>
        <v/>
      </c>
    </row>
    <row r="3082" ht="15" customHeight="1" s="37">
      <c r="A3082" s="42" t="inlineStr">
        <is>
          <t>the woods collection secret source perfume</t>
        </is>
      </c>
      <c r="B3082" s="42" t="inlineStr">
        <is>
          <t>Google suggest</t>
        </is>
      </c>
      <c r="C3082" s="42" t="n">
        <v>3</v>
      </c>
      <c r="D3082" s="42" t="n">
        <v>31</v>
      </c>
      <c r="E3082" s="42" t="n">
        <v>1</v>
      </c>
      <c r="F3082" s="42" t="inlineStr">
        <is>
          <t>FR-348</t>
        </is>
      </c>
      <c r="G3082" s="55">
        <f>IFERROR(INDEX('Semrush Data'!$A$1:$Z$20000,MATCH(A3082,'Semrush Data'!$A$1:$A$20000,0),MATCH("Volume",'Semrush Data'!$A$1:$Z$1,0)),"")</f>
        <v/>
      </c>
      <c r="H3082" s="42">
        <f>IFERROR(INDEX('Semrush Data'!$A$1:$Z$20000,MATCH(A3082,'Semrush Data'!$A$1:$A$20000,0),MATCH("Keyword Difficulty*",'Semrush Data'!$A$1:$Z$1,0)),"")</f>
        <v/>
      </c>
      <c r="I3082" s="56">
        <f>IFERROR(INDEX('Semrush Data'!$A$1:$Z$20000,MATCH(A3082,'Semrush Data'!$A$1:$A$20000,0),MATCH("CPC*",'Semrush Data'!$A$1:$Z$1,0)),"")</f>
        <v/>
      </c>
      <c r="J3082" s="42">
        <f>IFERROR(INDEX('Semrush Data'!$A$1:$Z$20000,MATCH(A3082,'Semrush Data'!$A$1:$A$20000,0),MATCH("Intent",'Semrush Data'!$A$1:$Z$1,0)),"")</f>
        <v/>
      </c>
    </row>
    <row r="3083" ht="15" customHeight="1" s="37">
      <c r="A3083" s="42" t="inlineStr">
        <is>
          <t>the woods collection secret source отзывы</t>
        </is>
      </c>
      <c r="B3083" s="42" t="inlineStr">
        <is>
          <t>Google suggest</t>
        </is>
      </c>
      <c r="C3083" s="42" t="n">
        <v>3</v>
      </c>
      <c r="D3083" s="42" t="n">
        <v>31</v>
      </c>
      <c r="E3083" s="42" t="n">
        <v>1</v>
      </c>
      <c r="F3083" s="42" t="inlineStr">
        <is>
          <t>FR-348</t>
        </is>
      </c>
      <c r="G3083" s="55">
        <f>IFERROR(INDEX('Semrush Data'!$A$1:$Z$20000,MATCH(A3083,'Semrush Data'!$A$1:$A$20000,0),MATCH("Volume",'Semrush Data'!$A$1:$Z$1,0)),"")</f>
        <v/>
      </c>
      <c r="H3083" s="42">
        <f>IFERROR(INDEX('Semrush Data'!$A$1:$Z$20000,MATCH(A3083,'Semrush Data'!$A$1:$A$20000,0),MATCH("Keyword Difficulty*",'Semrush Data'!$A$1:$Z$1,0)),"")</f>
        <v/>
      </c>
      <c r="I3083" s="56">
        <f>IFERROR(INDEX('Semrush Data'!$A$1:$Z$20000,MATCH(A3083,'Semrush Data'!$A$1:$A$20000,0),MATCH("CPC*",'Semrush Data'!$A$1:$Z$1,0)),"")</f>
        <v/>
      </c>
      <c r="J3083" s="42">
        <f>IFERROR(INDEX('Semrush Data'!$A$1:$Z$20000,MATCH(A3083,'Semrush Data'!$A$1:$A$20000,0),MATCH("Intent",'Semrush Data'!$A$1:$Z$1,0)),"")</f>
        <v/>
      </c>
    </row>
    <row r="3084" ht="15" customHeight="1" s="37">
      <c r="A3084" s="42" t="inlineStr">
        <is>
          <t>the woods collection sunrise edp</t>
        </is>
      </c>
      <c r="B3084" s="42" t="inlineStr">
        <is>
          <t>Google suggest</t>
        </is>
      </c>
      <c r="C3084" s="42" t="n">
        <v>3</v>
      </c>
      <c r="D3084" s="42" t="n">
        <v>31</v>
      </c>
      <c r="E3084" s="42" t="n">
        <v>1</v>
      </c>
      <c r="F3084" s="42" t="inlineStr">
        <is>
          <t>FR-349</t>
        </is>
      </c>
      <c r="G3084" s="55">
        <f>IFERROR(INDEX('Semrush Data'!$A$1:$Z$20000,MATCH(A3084,'Semrush Data'!$A$1:$A$20000,0),MATCH("Volume",'Semrush Data'!$A$1:$Z$1,0)),"")</f>
        <v/>
      </c>
      <c r="H3084" s="42">
        <f>IFERROR(INDEX('Semrush Data'!$A$1:$Z$20000,MATCH(A3084,'Semrush Data'!$A$1:$A$20000,0),MATCH("Keyword Difficulty*",'Semrush Data'!$A$1:$Z$1,0)),"")</f>
        <v/>
      </c>
      <c r="I3084" s="56">
        <f>IFERROR(INDEX('Semrush Data'!$A$1:$Z$20000,MATCH(A3084,'Semrush Data'!$A$1:$A$20000,0),MATCH("CPC*",'Semrush Data'!$A$1:$Z$1,0)),"")</f>
        <v/>
      </c>
      <c r="J3084" s="42">
        <f>IFERROR(INDEX('Semrush Data'!$A$1:$Z$20000,MATCH(A3084,'Semrush Data'!$A$1:$A$20000,0),MATCH("Intent",'Semrush Data'!$A$1:$Z$1,0)),"")</f>
        <v/>
      </c>
    </row>
    <row r="3085" ht="15" customHeight="1" s="37">
      <c r="A3085" s="42" t="inlineStr">
        <is>
          <t>the woods collection sunrise review</t>
        </is>
      </c>
      <c r="B3085" s="42" t="inlineStr">
        <is>
          <t>Google suggest</t>
        </is>
      </c>
      <c r="C3085" s="42" t="n">
        <v>3</v>
      </c>
      <c r="D3085" s="42" t="n">
        <v>31</v>
      </c>
      <c r="E3085" s="42" t="n">
        <v>1</v>
      </c>
      <c r="F3085" s="42" t="inlineStr">
        <is>
          <t>FR-349</t>
        </is>
      </c>
      <c r="G3085" s="55">
        <f>IFERROR(INDEX('Semrush Data'!$A$1:$Z$20000,MATCH(A3085,'Semrush Data'!$A$1:$A$20000,0),MATCH("Volume",'Semrush Data'!$A$1:$Z$1,0)),"")</f>
        <v/>
      </c>
      <c r="H3085" s="42">
        <f>IFERROR(INDEX('Semrush Data'!$A$1:$Z$20000,MATCH(A3085,'Semrush Data'!$A$1:$A$20000,0),MATCH("Keyword Difficulty*",'Semrush Data'!$A$1:$Z$1,0)),"")</f>
        <v/>
      </c>
      <c r="I3085" s="56">
        <f>IFERROR(INDEX('Semrush Data'!$A$1:$Z$20000,MATCH(A3085,'Semrush Data'!$A$1:$A$20000,0),MATCH("CPC*",'Semrush Data'!$A$1:$Z$1,0)),"")</f>
        <v/>
      </c>
      <c r="J3085" s="42">
        <f>IFERROR(INDEX('Semrush Data'!$A$1:$Z$20000,MATCH(A3085,'Semrush Data'!$A$1:$A$20000,0),MATCH("Intent",'Semrush Data'!$A$1:$Z$1,0)),"")</f>
        <v/>
      </c>
    </row>
    <row r="3086" ht="15" customHeight="1" s="37">
      <c r="A3086" s="42" t="inlineStr">
        <is>
          <t>the woods collection sunrise отзывы</t>
        </is>
      </c>
      <c r="B3086" s="42" t="inlineStr">
        <is>
          <t>Google suggest</t>
        </is>
      </c>
      <c r="C3086" s="42" t="n">
        <v>3</v>
      </c>
      <c r="D3086" s="42" t="n">
        <v>31</v>
      </c>
      <c r="E3086" s="42" t="n">
        <v>1</v>
      </c>
      <c r="F3086" s="42" t="inlineStr">
        <is>
          <t>FR-349</t>
        </is>
      </c>
      <c r="G3086" s="55">
        <f>IFERROR(INDEX('Semrush Data'!$A$1:$Z$20000,MATCH(A3086,'Semrush Data'!$A$1:$A$20000,0),MATCH("Volume",'Semrush Data'!$A$1:$Z$1,0)),"")</f>
        <v/>
      </c>
      <c r="H3086" s="42">
        <f>IFERROR(INDEX('Semrush Data'!$A$1:$Z$20000,MATCH(A3086,'Semrush Data'!$A$1:$A$20000,0),MATCH("Keyword Difficulty*",'Semrush Data'!$A$1:$Z$1,0)),"")</f>
        <v/>
      </c>
      <c r="I3086" s="56">
        <f>IFERROR(INDEX('Semrush Data'!$A$1:$Z$20000,MATCH(A3086,'Semrush Data'!$A$1:$A$20000,0),MATCH("CPC*",'Semrush Data'!$A$1:$Z$1,0)),"")</f>
        <v/>
      </c>
      <c r="J3086" s="42">
        <f>IFERROR(INDEX('Semrush Data'!$A$1:$Z$20000,MATCH(A3086,'Semrush Data'!$A$1:$A$20000,0),MATCH("Intent",'Semrush Data'!$A$1:$Z$1,0)),"")</f>
        <v/>
      </c>
    </row>
    <row r="3087" ht="15" customHeight="1" s="37">
      <c r="A3087" s="42" t="inlineStr">
        <is>
          <t>the woods collection sunrise фрагрантика</t>
        </is>
      </c>
      <c r="B3087" s="42" t="inlineStr">
        <is>
          <t>Google suggest</t>
        </is>
      </c>
      <c r="C3087" s="42" t="n">
        <v>3</v>
      </c>
      <c r="D3087" s="42" t="n">
        <v>31</v>
      </c>
      <c r="E3087" s="42" t="n">
        <v>1</v>
      </c>
      <c r="F3087" s="42" t="inlineStr">
        <is>
          <t>FR-349</t>
        </is>
      </c>
      <c r="G3087" s="55">
        <f>IFERROR(INDEX('Semrush Data'!$A$1:$Z$20000,MATCH(A3087,'Semrush Data'!$A$1:$A$20000,0),MATCH("Volume",'Semrush Data'!$A$1:$Z$1,0)),"")</f>
        <v/>
      </c>
      <c r="H3087" s="42">
        <f>IFERROR(INDEX('Semrush Data'!$A$1:$Z$20000,MATCH(A3087,'Semrush Data'!$A$1:$A$20000,0),MATCH("Keyword Difficulty*",'Semrush Data'!$A$1:$Z$1,0)),"")</f>
        <v/>
      </c>
      <c r="I3087" s="56">
        <f>IFERROR(INDEX('Semrush Data'!$A$1:$Z$20000,MATCH(A3087,'Semrush Data'!$A$1:$A$20000,0),MATCH("CPC*",'Semrush Data'!$A$1:$Z$1,0)),"")</f>
        <v/>
      </c>
      <c r="J3087" s="42">
        <f>IFERROR(INDEX('Semrush Data'!$A$1:$Z$20000,MATCH(A3087,'Semrush Data'!$A$1:$A$20000,0),MATCH("Intent",'Semrush Data'!$A$1:$Z$1,0)),"")</f>
        <v/>
      </c>
    </row>
    <row r="3088" ht="15" customHeight="1" s="37">
      <c r="A3088" s="42" t="inlineStr">
        <is>
          <t>the woods collection timeless sands edp</t>
        </is>
      </c>
      <c r="B3088" s="42" t="inlineStr">
        <is>
          <t>Google suggest</t>
        </is>
      </c>
      <c r="C3088" s="42" t="n">
        <v>3</v>
      </c>
      <c r="D3088" s="42" t="n">
        <v>31</v>
      </c>
      <c r="E3088" s="42" t="n">
        <v>1</v>
      </c>
      <c r="F3088" s="42" t="inlineStr">
        <is>
          <t>FR-350</t>
        </is>
      </c>
      <c r="G3088" s="55">
        <f>IFERROR(INDEX('Semrush Data'!$A$1:$Z$20000,MATCH(A3088,'Semrush Data'!$A$1:$A$20000,0),MATCH("Volume",'Semrush Data'!$A$1:$Z$1,0)),"")</f>
        <v/>
      </c>
      <c r="H3088" s="42">
        <f>IFERROR(INDEX('Semrush Data'!$A$1:$Z$20000,MATCH(A3088,'Semrush Data'!$A$1:$A$20000,0),MATCH("Keyword Difficulty*",'Semrush Data'!$A$1:$Z$1,0)),"")</f>
        <v/>
      </c>
      <c r="I3088" s="56">
        <f>IFERROR(INDEX('Semrush Data'!$A$1:$Z$20000,MATCH(A3088,'Semrush Data'!$A$1:$A$20000,0),MATCH("CPC*",'Semrush Data'!$A$1:$Z$1,0)),"")</f>
        <v/>
      </c>
      <c r="J3088" s="42">
        <f>IFERROR(INDEX('Semrush Data'!$A$1:$Z$20000,MATCH(A3088,'Semrush Data'!$A$1:$A$20000,0),MATCH("Intent",'Semrush Data'!$A$1:$Z$1,0)),"")</f>
        <v/>
      </c>
    </row>
    <row r="3089" ht="15" customHeight="1" s="37">
      <c r="A3089" s="42" t="inlineStr">
        <is>
          <t>the woods collection timeless sands review</t>
        </is>
      </c>
      <c r="B3089" s="42" t="inlineStr">
        <is>
          <t>Google suggest</t>
        </is>
      </c>
      <c r="C3089" s="42" t="n">
        <v>3</v>
      </c>
      <c r="D3089" s="42" t="n">
        <v>31</v>
      </c>
      <c r="E3089" s="42" t="n">
        <v>1</v>
      </c>
      <c r="F3089" s="42" t="inlineStr">
        <is>
          <t>FR-350</t>
        </is>
      </c>
      <c r="G3089" s="55">
        <f>IFERROR(INDEX('Semrush Data'!$A$1:$Z$20000,MATCH(A3089,'Semrush Data'!$A$1:$A$20000,0),MATCH("Volume",'Semrush Data'!$A$1:$Z$1,0)),"")</f>
        <v/>
      </c>
      <c r="H3089" s="42">
        <f>IFERROR(INDEX('Semrush Data'!$A$1:$Z$20000,MATCH(A3089,'Semrush Data'!$A$1:$A$20000,0),MATCH("Keyword Difficulty*",'Semrush Data'!$A$1:$Z$1,0)),"")</f>
        <v/>
      </c>
      <c r="I3089" s="56">
        <f>IFERROR(INDEX('Semrush Data'!$A$1:$Z$20000,MATCH(A3089,'Semrush Data'!$A$1:$A$20000,0),MATCH("CPC*",'Semrush Data'!$A$1:$Z$1,0)),"")</f>
        <v/>
      </c>
      <c r="J3089" s="42">
        <f>IFERROR(INDEX('Semrush Data'!$A$1:$Z$20000,MATCH(A3089,'Semrush Data'!$A$1:$A$20000,0),MATCH("Intent",'Semrush Data'!$A$1:$Z$1,0)),"")</f>
        <v/>
      </c>
    </row>
    <row r="3090" ht="15" customHeight="1" s="37">
      <c r="A3090" s="42" t="inlineStr">
        <is>
          <t>the woods collection timeless sands отзывы</t>
        </is>
      </c>
      <c r="B3090" s="42" t="inlineStr">
        <is>
          <t>Google suggest</t>
        </is>
      </c>
      <c r="C3090" s="42" t="n">
        <v>3</v>
      </c>
      <c r="D3090" s="42" t="n">
        <v>31</v>
      </c>
      <c r="E3090" s="42" t="n">
        <v>1</v>
      </c>
      <c r="F3090" s="42" t="inlineStr">
        <is>
          <t>FR-350</t>
        </is>
      </c>
      <c r="G3090" s="55">
        <f>IFERROR(INDEX('Semrush Data'!$A$1:$Z$20000,MATCH(A3090,'Semrush Data'!$A$1:$A$20000,0),MATCH("Volume",'Semrush Data'!$A$1:$Z$1,0)),"")</f>
        <v/>
      </c>
      <c r="H3090" s="42">
        <f>IFERROR(INDEX('Semrush Data'!$A$1:$Z$20000,MATCH(A3090,'Semrush Data'!$A$1:$A$20000,0),MATCH("Keyword Difficulty*",'Semrush Data'!$A$1:$Z$1,0)),"")</f>
        <v/>
      </c>
      <c r="I3090" s="56">
        <f>IFERROR(INDEX('Semrush Data'!$A$1:$Z$20000,MATCH(A3090,'Semrush Data'!$A$1:$A$20000,0),MATCH("CPC*",'Semrush Data'!$A$1:$Z$1,0)),"")</f>
        <v/>
      </c>
      <c r="J3090" s="42">
        <f>IFERROR(INDEX('Semrush Data'!$A$1:$Z$20000,MATCH(A3090,'Semrush Data'!$A$1:$A$20000,0),MATCH("Intent",'Semrush Data'!$A$1:$Z$1,0)),"")</f>
        <v/>
      </c>
    </row>
    <row r="3091" ht="15" customHeight="1" s="37">
      <c r="A3091" s="42" t="inlineStr">
        <is>
          <t>the woods collection timeless sands фрагрантика</t>
        </is>
      </c>
      <c r="B3091" s="42" t="inlineStr">
        <is>
          <t>Google suggest</t>
        </is>
      </c>
      <c r="C3091" s="42" t="n">
        <v>3</v>
      </c>
      <c r="D3091" s="42" t="n">
        <v>31</v>
      </c>
      <c r="E3091" s="42" t="n">
        <v>1</v>
      </c>
      <c r="F3091" s="42" t="inlineStr">
        <is>
          <t>FR-350</t>
        </is>
      </c>
      <c r="G3091" s="55">
        <f>IFERROR(INDEX('Semrush Data'!$A$1:$Z$20000,MATCH(A3091,'Semrush Data'!$A$1:$A$20000,0),MATCH("Volume",'Semrush Data'!$A$1:$Z$1,0)),"")</f>
        <v/>
      </c>
      <c r="H3091" s="42">
        <f>IFERROR(INDEX('Semrush Data'!$A$1:$Z$20000,MATCH(A3091,'Semrush Data'!$A$1:$A$20000,0),MATCH("Keyword Difficulty*",'Semrush Data'!$A$1:$Z$1,0)),"")</f>
        <v/>
      </c>
      <c r="I3091" s="56">
        <f>IFERROR(INDEX('Semrush Data'!$A$1:$Z$20000,MATCH(A3091,'Semrush Data'!$A$1:$A$20000,0),MATCH("CPC*",'Semrush Data'!$A$1:$Z$1,0)),"")</f>
        <v/>
      </c>
      <c r="J3091" s="42">
        <f>IFERROR(INDEX('Semrush Data'!$A$1:$Z$20000,MATCH(A3091,'Semrush Data'!$A$1:$A$20000,0),MATCH("Intent",'Semrush Data'!$A$1:$Z$1,0)),"")</f>
        <v/>
      </c>
    </row>
    <row r="3092" ht="15" customHeight="1" s="37">
      <c r="A3092" s="42" t="inlineStr">
        <is>
          <t>the woods collection twilight dupe of</t>
        </is>
      </c>
      <c r="B3092" s="42" t="inlineStr">
        <is>
          <t>Google suggest</t>
        </is>
      </c>
      <c r="C3092" s="42" t="n">
        <v>3</v>
      </c>
      <c r="D3092" s="42" t="n">
        <v>31</v>
      </c>
      <c r="E3092" s="42" t="n">
        <v>1</v>
      </c>
      <c r="F3092" s="42" t="inlineStr">
        <is>
          <t>FR-351</t>
        </is>
      </c>
      <c r="G3092" s="55">
        <f>IFERROR(INDEX('Semrush Data'!$A$1:$Z$20000,MATCH(A3092,'Semrush Data'!$A$1:$A$20000,0),MATCH("Volume",'Semrush Data'!$A$1:$Z$1,0)),"")</f>
        <v/>
      </c>
      <c r="H3092" s="42">
        <f>IFERROR(INDEX('Semrush Data'!$A$1:$Z$20000,MATCH(A3092,'Semrush Data'!$A$1:$A$20000,0),MATCH("Keyword Difficulty*",'Semrush Data'!$A$1:$Z$1,0)),"")</f>
        <v/>
      </c>
      <c r="I3092" s="56">
        <f>IFERROR(INDEX('Semrush Data'!$A$1:$Z$20000,MATCH(A3092,'Semrush Data'!$A$1:$A$20000,0),MATCH("CPC*",'Semrush Data'!$A$1:$Z$1,0)),"")</f>
        <v/>
      </c>
      <c r="J3092" s="42">
        <f>IFERROR(INDEX('Semrush Data'!$A$1:$Z$20000,MATCH(A3092,'Semrush Data'!$A$1:$A$20000,0),MATCH("Intent",'Semrush Data'!$A$1:$Z$1,0)),"")</f>
        <v/>
      </c>
    </row>
    <row r="3093" ht="15" customHeight="1" s="37">
      <c r="A3093" s="42" t="inlineStr">
        <is>
          <t>the woods collection twilight edp</t>
        </is>
      </c>
      <c r="B3093" s="42" t="inlineStr">
        <is>
          <t>Google suggest</t>
        </is>
      </c>
      <c r="C3093" s="42" t="n">
        <v>3</v>
      </c>
      <c r="D3093" s="42" t="n">
        <v>31</v>
      </c>
      <c r="E3093" s="42" t="n">
        <v>1</v>
      </c>
      <c r="F3093" s="42" t="inlineStr">
        <is>
          <t>FR-351</t>
        </is>
      </c>
      <c r="G3093" s="55">
        <f>IFERROR(INDEX('Semrush Data'!$A$1:$Z$20000,MATCH(A3093,'Semrush Data'!$A$1:$A$20000,0),MATCH("Volume",'Semrush Data'!$A$1:$Z$1,0)),"")</f>
        <v/>
      </c>
      <c r="H3093" s="42">
        <f>IFERROR(INDEX('Semrush Data'!$A$1:$Z$20000,MATCH(A3093,'Semrush Data'!$A$1:$A$20000,0),MATCH("Keyword Difficulty*",'Semrush Data'!$A$1:$Z$1,0)),"")</f>
        <v/>
      </c>
      <c r="I3093" s="56">
        <f>IFERROR(INDEX('Semrush Data'!$A$1:$Z$20000,MATCH(A3093,'Semrush Data'!$A$1:$A$20000,0),MATCH("CPC*",'Semrush Data'!$A$1:$Z$1,0)),"")</f>
        <v/>
      </c>
      <c r="J3093" s="42">
        <f>IFERROR(INDEX('Semrush Data'!$A$1:$Z$20000,MATCH(A3093,'Semrush Data'!$A$1:$A$20000,0),MATCH("Intent",'Semrush Data'!$A$1:$Z$1,0)),"")</f>
        <v/>
      </c>
    </row>
    <row r="3094" ht="15" customHeight="1" s="37">
      <c r="A3094" s="42" t="inlineStr">
        <is>
          <t>the woods collection twilight perfume</t>
        </is>
      </c>
      <c r="B3094" s="42" t="inlineStr">
        <is>
          <t>Google suggest</t>
        </is>
      </c>
      <c r="C3094" s="42" t="n">
        <v>3</v>
      </c>
      <c r="D3094" s="42" t="n">
        <v>31</v>
      </c>
      <c r="E3094" s="42" t="n">
        <v>1</v>
      </c>
      <c r="F3094" s="42" t="inlineStr">
        <is>
          <t>FR-351</t>
        </is>
      </c>
      <c r="G3094" s="55">
        <f>IFERROR(INDEX('Semrush Data'!$A$1:$Z$20000,MATCH(A3094,'Semrush Data'!$A$1:$A$20000,0),MATCH("Volume",'Semrush Data'!$A$1:$Z$1,0)),"")</f>
        <v/>
      </c>
      <c r="H3094" s="42">
        <f>IFERROR(INDEX('Semrush Data'!$A$1:$Z$20000,MATCH(A3094,'Semrush Data'!$A$1:$A$20000,0),MATCH("Keyword Difficulty*",'Semrush Data'!$A$1:$Z$1,0)),"")</f>
        <v/>
      </c>
      <c r="I3094" s="56">
        <f>IFERROR(INDEX('Semrush Data'!$A$1:$Z$20000,MATCH(A3094,'Semrush Data'!$A$1:$A$20000,0),MATCH("CPC*",'Semrush Data'!$A$1:$Z$1,0)),"")</f>
        <v/>
      </c>
      <c r="J3094" s="42">
        <f>IFERROR(INDEX('Semrush Data'!$A$1:$Z$20000,MATCH(A3094,'Semrush Data'!$A$1:$A$20000,0),MATCH("Intent",'Semrush Data'!$A$1:$Z$1,0)),"")</f>
        <v/>
      </c>
    </row>
    <row r="3095" ht="15" customHeight="1" s="37">
      <c r="A3095" s="42" t="inlineStr">
        <is>
          <t>the woods collection twilight review</t>
        </is>
      </c>
      <c r="B3095" s="42" t="inlineStr">
        <is>
          <t>Google suggest</t>
        </is>
      </c>
      <c r="C3095" s="42" t="n">
        <v>3</v>
      </c>
      <c r="D3095" s="42" t="n">
        <v>31</v>
      </c>
      <c r="E3095" s="42" t="n">
        <v>1</v>
      </c>
      <c r="F3095" s="42" t="inlineStr">
        <is>
          <t>FR-351</t>
        </is>
      </c>
      <c r="G3095" s="55">
        <f>IFERROR(INDEX('Semrush Data'!$A$1:$Z$20000,MATCH(A3095,'Semrush Data'!$A$1:$A$20000,0),MATCH("Volume",'Semrush Data'!$A$1:$Z$1,0)),"")</f>
        <v/>
      </c>
      <c r="H3095" s="42">
        <f>IFERROR(INDEX('Semrush Data'!$A$1:$Z$20000,MATCH(A3095,'Semrush Data'!$A$1:$A$20000,0),MATCH("Keyword Difficulty*",'Semrush Data'!$A$1:$Z$1,0)),"")</f>
        <v/>
      </c>
      <c r="I3095" s="56">
        <f>IFERROR(INDEX('Semrush Data'!$A$1:$Z$20000,MATCH(A3095,'Semrush Data'!$A$1:$A$20000,0),MATCH("CPC*",'Semrush Data'!$A$1:$Z$1,0)),"")</f>
        <v/>
      </c>
      <c r="J3095" s="42">
        <f>IFERROR(INDEX('Semrush Data'!$A$1:$Z$20000,MATCH(A3095,'Semrush Data'!$A$1:$A$20000,0),MATCH("Intent",'Semrush Data'!$A$1:$Z$1,0)),"")</f>
        <v/>
      </c>
    </row>
    <row r="3096" ht="15" customHeight="1" s="37">
      <c r="A3096" s="42" t="inlineStr">
        <is>
          <t>the woods collection wild roses edp</t>
        </is>
      </c>
      <c r="B3096" s="42" t="inlineStr">
        <is>
          <t>Google suggest</t>
        </is>
      </c>
      <c r="C3096" s="42" t="n">
        <v>3</v>
      </c>
      <c r="D3096" s="42" t="n">
        <v>31</v>
      </c>
      <c r="E3096" s="42" t="n">
        <v>1</v>
      </c>
      <c r="F3096" s="42" t="inlineStr">
        <is>
          <t>FR-352</t>
        </is>
      </c>
      <c r="G3096" s="55">
        <f>IFERROR(INDEX('Semrush Data'!$A$1:$Z$20000,MATCH(A3096,'Semrush Data'!$A$1:$A$20000,0),MATCH("Volume",'Semrush Data'!$A$1:$Z$1,0)),"")</f>
        <v/>
      </c>
      <c r="H3096" s="42">
        <f>IFERROR(INDEX('Semrush Data'!$A$1:$Z$20000,MATCH(A3096,'Semrush Data'!$A$1:$A$20000,0),MATCH("Keyword Difficulty*",'Semrush Data'!$A$1:$Z$1,0)),"")</f>
        <v/>
      </c>
      <c r="I3096" s="56">
        <f>IFERROR(INDEX('Semrush Data'!$A$1:$Z$20000,MATCH(A3096,'Semrush Data'!$A$1:$A$20000,0),MATCH("CPC*",'Semrush Data'!$A$1:$Z$1,0)),"")</f>
        <v/>
      </c>
      <c r="J3096" s="42">
        <f>IFERROR(INDEX('Semrush Data'!$A$1:$Z$20000,MATCH(A3096,'Semrush Data'!$A$1:$A$20000,0),MATCH("Intent",'Semrush Data'!$A$1:$Z$1,0)),"")</f>
        <v/>
      </c>
    </row>
    <row r="3097" ht="15" customHeight="1" s="37">
      <c r="A3097" s="42" t="inlineStr">
        <is>
          <t>the woods collection wild roses отзывы</t>
        </is>
      </c>
      <c r="B3097" s="42" t="inlineStr">
        <is>
          <t>Google suggest</t>
        </is>
      </c>
      <c r="C3097" s="42" t="n">
        <v>3</v>
      </c>
      <c r="D3097" s="42" t="n">
        <v>31</v>
      </c>
      <c r="E3097" s="42" t="n">
        <v>1</v>
      </c>
      <c r="F3097" s="42" t="inlineStr">
        <is>
          <t>FR-352</t>
        </is>
      </c>
      <c r="G3097" s="55">
        <f>IFERROR(INDEX('Semrush Data'!$A$1:$Z$20000,MATCH(A3097,'Semrush Data'!$A$1:$A$20000,0),MATCH("Volume",'Semrush Data'!$A$1:$Z$1,0)),"")</f>
        <v/>
      </c>
      <c r="H3097" s="42">
        <f>IFERROR(INDEX('Semrush Data'!$A$1:$Z$20000,MATCH(A3097,'Semrush Data'!$A$1:$A$20000,0),MATCH("Keyword Difficulty*",'Semrush Data'!$A$1:$Z$1,0)),"")</f>
        <v/>
      </c>
      <c r="I3097" s="56">
        <f>IFERROR(INDEX('Semrush Data'!$A$1:$Z$20000,MATCH(A3097,'Semrush Data'!$A$1:$A$20000,0),MATCH("CPC*",'Semrush Data'!$A$1:$Z$1,0)),"")</f>
        <v/>
      </c>
      <c r="J3097" s="42">
        <f>IFERROR(INDEX('Semrush Data'!$A$1:$Z$20000,MATCH(A3097,'Semrush Data'!$A$1:$A$20000,0),MATCH("Intent",'Semrush Data'!$A$1:$Z$1,0)),"")</f>
        <v/>
      </c>
    </row>
    <row r="3098" ht="15" customHeight="1" s="37">
      <c r="A3098" s="42" t="inlineStr">
        <is>
          <t>the woods collection wild roses 🥰</t>
        </is>
      </c>
      <c r="B3098" s="42" t="inlineStr">
        <is>
          <t>Google suggest</t>
        </is>
      </c>
      <c r="C3098" s="42" t="n">
        <v>3</v>
      </c>
      <c r="D3098" s="42" t="n">
        <v>31</v>
      </c>
      <c r="E3098" s="42" t="n">
        <v>1</v>
      </c>
      <c r="F3098" s="42" t="inlineStr">
        <is>
          <t>FR-352</t>
        </is>
      </c>
      <c r="G3098" s="55">
        <f>IFERROR(INDEX('Semrush Data'!$A$1:$Z$20000,MATCH(A3098,'Semrush Data'!$A$1:$A$20000,0),MATCH("Volume",'Semrush Data'!$A$1:$Z$1,0)),"")</f>
        <v/>
      </c>
      <c r="H3098" s="42">
        <f>IFERROR(INDEX('Semrush Data'!$A$1:$Z$20000,MATCH(A3098,'Semrush Data'!$A$1:$A$20000,0),MATCH("Keyword Difficulty*",'Semrush Data'!$A$1:$Z$1,0)),"")</f>
        <v/>
      </c>
      <c r="I3098" s="56">
        <f>IFERROR(INDEX('Semrush Data'!$A$1:$Z$20000,MATCH(A3098,'Semrush Data'!$A$1:$A$20000,0),MATCH("CPC*",'Semrush Data'!$A$1:$Z$1,0)),"")</f>
        <v/>
      </c>
      <c r="J3098" s="42">
        <f>IFERROR(INDEX('Semrush Data'!$A$1:$Z$20000,MATCH(A3098,'Semrush Data'!$A$1:$A$20000,0),MATCH("Intent",'Semrush Data'!$A$1:$Z$1,0)),"")</f>
        <v/>
      </c>
    </row>
    <row r="3099" ht="15" customHeight="1" s="37">
      <c r="A3099" s="42" t="inlineStr">
        <is>
          <t>the woods green walk</t>
        </is>
      </c>
      <c r="B3099" s="42" t="inlineStr">
        <is>
          <t>Google suggest</t>
        </is>
      </c>
      <c r="C3099" s="42" t="n">
        <v>3</v>
      </c>
      <c r="D3099" s="42" t="n">
        <v>31</v>
      </c>
      <c r="E3099" s="42" t="n">
        <v>1</v>
      </c>
      <c r="F3099" s="42" t="inlineStr">
        <is>
          <t>FR-345</t>
        </is>
      </c>
      <c r="G3099" s="55">
        <f>IFERROR(INDEX('Semrush Data'!$A$1:$Z$20000,MATCH(A3099,'Semrush Data'!$A$1:$A$20000,0),MATCH("Volume",'Semrush Data'!$A$1:$Z$1,0)),"")</f>
        <v/>
      </c>
      <c r="H3099" s="42">
        <f>IFERROR(INDEX('Semrush Data'!$A$1:$Z$20000,MATCH(A3099,'Semrush Data'!$A$1:$A$20000,0),MATCH("Keyword Difficulty*",'Semrush Data'!$A$1:$Z$1,0)),"")</f>
        <v/>
      </c>
      <c r="I3099" s="56">
        <f>IFERROR(INDEX('Semrush Data'!$A$1:$Z$20000,MATCH(A3099,'Semrush Data'!$A$1:$A$20000,0),MATCH("CPC*",'Semrush Data'!$A$1:$Z$1,0)),"")</f>
        <v/>
      </c>
      <c r="J3099" s="42">
        <f>IFERROR(INDEX('Semrush Data'!$A$1:$Z$20000,MATCH(A3099,'Semrush Data'!$A$1:$A$20000,0),MATCH("Intent",'Semrush Data'!$A$1:$Z$1,0)),"")</f>
        <v/>
      </c>
    </row>
    <row r="3100" ht="15" customHeight="1" s="37">
      <c r="A3100" s="42" t="inlineStr">
        <is>
          <t>the woods pure shine</t>
        </is>
      </c>
      <c r="B3100" s="42" t="inlineStr">
        <is>
          <t>Google suggest</t>
        </is>
      </c>
      <c r="C3100" s="42" t="n">
        <v>3</v>
      </c>
      <c r="D3100" s="42" t="n">
        <v>31</v>
      </c>
      <c r="E3100" s="42" t="n">
        <v>1</v>
      </c>
      <c r="F3100" s="42" t="inlineStr">
        <is>
          <t>FR-347</t>
        </is>
      </c>
      <c r="G3100" s="55">
        <f>IFERROR(INDEX('Semrush Data'!$A$1:$Z$20000,MATCH(A3100,'Semrush Data'!$A$1:$A$20000,0),MATCH("Volume",'Semrush Data'!$A$1:$Z$1,0)),"")</f>
        <v/>
      </c>
      <c r="H3100" s="42">
        <f>IFERROR(INDEX('Semrush Data'!$A$1:$Z$20000,MATCH(A3100,'Semrush Data'!$A$1:$A$20000,0),MATCH("Keyword Difficulty*",'Semrush Data'!$A$1:$Z$1,0)),"")</f>
        <v/>
      </c>
      <c r="I3100" s="56">
        <f>IFERROR(INDEX('Semrush Data'!$A$1:$Z$20000,MATCH(A3100,'Semrush Data'!$A$1:$A$20000,0),MATCH("CPC*",'Semrush Data'!$A$1:$Z$1,0)),"")</f>
        <v/>
      </c>
      <c r="J3100" s="42">
        <f>IFERROR(INDEX('Semrush Data'!$A$1:$Z$20000,MATCH(A3100,'Semrush Data'!$A$1:$A$20000,0),MATCH("Intent",'Semrush Data'!$A$1:$Z$1,0)),"")</f>
        <v/>
      </c>
    </row>
    <row r="3101" ht="15" customHeight="1" s="37">
      <c r="A3101" s="42" t="inlineStr">
        <is>
          <t>the woods secret source</t>
        </is>
      </c>
      <c r="B3101" s="42" t="inlineStr">
        <is>
          <t>Google suggest</t>
        </is>
      </c>
      <c r="C3101" s="42" t="n">
        <v>3</v>
      </c>
      <c r="D3101" s="42" t="n">
        <v>31</v>
      </c>
      <c r="E3101" s="42" t="n">
        <v>1</v>
      </c>
      <c r="F3101" s="42" t="inlineStr">
        <is>
          <t>FR-348</t>
        </is>
      </c>
      <c r="G3101" s="55">
        <f>IFERROR(INDEX('Semrush Data'!$A$1:$Z$20000,MATCH(A3101,'Semrush Data'!$A$1:$A$20000,0),MATCH("Volume",'Semrush Data'!$A$1:$Z$1,0)),"")</f>
        <v/>
      </c>
      <c r="H3101" s="42">
        <f>IFERROR(INDEX('Semrush Data'!$A$1:$Z$20000,MATCH(A3101,'Semrush Data'!$A$1:$A$20000,0),MATCH("Keyword Difficulty*",'Semrush Data'!$A$1:$Z$1,0)),"")</f>
        <v/>
      </c>
      <c r="I3101" s="56">
        <f>IFERROR(INDEX('Semrush Data'!$A$1:$Z$20000,MATCH(A3101,'Semrush Data'!$A$1:$A$20000,0),MATCH("CPC*",'Semrush Data'!$A$1:$Z$1,0)),"")</f>
        <v/>
      </c>
      <c r="J3101" s="42">
        <f>IFERROR(INDEX('Semrush Data'!$A$1:$Z$20000,MATCH(A3101,'Semrush Data'!$A$1:$A$20000,0),MATCH("Intent",'Semrush Data'!$A$1:$Z$1,0)),"")</f>
        <v/>
      </c>
    </row>
    <row r="3102" ht="15" customHeight="1" s="37">
      <c r="A3102" s="42" t="inlineStr">
        <is>
          <t>the woods timeless sands</t>
        </is>
      </c>
      <c r="B3102" s="42" t="inlineStr">
        <is>
          <t>Google suggest</t>
        </is>
      </c>
      <c r="C3102" s="42" t="n">
        <v>3</v>
      </c>
      <c r="D3102" s="42" t="n">
        <v>32</v>
      </c>
      <c r="E3102" s="42" t="n">
        <v>1</v>
      </c>
      <c r="F3102" s="42" t="inlineStr">
        <is>
          <t>FR-350</t>
        </is>
      </c>
      <c r="G3102" s="55">
        <f>IFERROR(INDEX('Semrush Data'!$A$1:$Z$20000,MATCH(A3102,'Semrush Data'!$A$1:$A$20000,0),MATCH("Volume",'Semrush Data'!$A$1:$Z$1,0)),"")</f>
        <v/>
      </c>
      <c r="H3102" s="42">
        <f>IFERROR(INDEX('Semrush Data'!$A$1:$Z$20000,MATCH(A3102,'Semrush Data'!$A$1:$A$20000,0),MATCH("Keyword Difficulty*",'Semrush Data'!$A$1:$Z$1,0)),"")</f>
        <v/>
      </c>
      <c r="I3102" s="56">
        <f>IFERROR(INDEX('Semrush Data'!$A$1:$Z$20000,MATCH(A3102,'Semrush Data'!$A$1:$A$20000,0),MATCH("CPC*",'Semrush Data'!$A$1:$Z$1,0)),"")</f>
        <v/>
      </c>
      <c r="J3102" s="42">
        <f>IFERROR(INDEX('Semrush Data'!$A$1:$Z$20000,MATCH(A3102,'Semrush Data'!$A$1:$A$20000,0),MATCH("Intent",'Semrush Data'!$A$1:$Z$1,0)),"")</f>
        <v/>
      </c>
    </row>
    <row r="3103" ht="15" customHeight="1" s="37">
      <c r="A3103" s="42" t="inlineStr">
        <is>
          <t>the woods wild roses</t>
        </is>
      </c>
      <c r="B3103" s="42" t="inlineStr">
        <is>
          <t>Google suggest</t>
        </is>
      </c>
      <c r="C3103" s="42" t="n">
        <v>3</v>
      </c>
      <c r="D3103" s="42" t="n">
        <v>32</v>
      </c>
      <c r="E3103" s="42" t="n">
        <v>1</v>
      </c>
      <c r="F3103" s="42" t="inlineStr">
        <is>
          <t>FR-352</t>
        </is>
      </c>
      <c r="G3103" s="55">
        <f>IFERROR(INDEX('Semrush Data'!$A$1:$Z$20000,MATCH(A3103,'Semrush Data'!$A$1:$A$20000,0),MATCH("Volume",'Semrush Data'!$A$1:$Z$1,0)),"")</f>
        <v/>
      </c>
      <c r="H3103" s="42">
        <f>IFERROR(INDEX('Semrush Data'!$A$1:$Z$20000,MATCH(A3103,'Semrush Data'!$A$1:$A$20000,0),MATCH("Keyword Difficulty*",'Semrush Data'!$A$1:$Z$1,0)),"")</f>
        <v/>
      </c>
      <c r="I3103" s="56">
        <f>IFERROR(INDEX('Semrush Data'!$A$1:$Z$20000,MATCH(A3103,'Semrush Data'!$A$1:$A$20000,0),MATCH("CPC*",'Semrush Data'!$A$1:$Z$1,0)),"")</f>
        <v/>
      </c>
      <c r="J3103" s="42">
        <f>IFERROR(INDEX('Semrush Data'!$A$1:$Z$20000,MATCH(A3103,'Semrush Data'!$A$1:$A$20000,0),MATCH("Intent",'Semrush Data'!$A$1:$Z$1,0)),"")</f>
        <v/>
      </c>
    </row>
    <row r="3104" ht="15" customHeight="1" s="37">
      <c r="A3104" s="42" t="inlineStr">
        <is>
          <t>tiziana terenzi akragas edp 100ml</t>
        </is>
      </c>
      <c r="B3104" s="42" t="inlineStr">
        <is>
          <t>Google suggest</t>
        </is>
      </c>
      <c r="C3104" s="42" t="n">
        <v>3</v>
      </c>
      <c r="D3104" s="42" t="n">
        <v>32</v>
      </c>
      <c r="E3104" s="42" t="n">
        <v>1</v>
      </c>
      <c r="F3104" s="42" t="inlineStr">
        <is>
          <t>FR-353</t>
        </is>
      </c>
      <c r="G3104" s="55">
        <f>IFERROR(INDEX('Semrush Data'!$A$1:$Z$20000,MATCH(A3104,'Semrush Data'!$A$1:$A$20000,0),MATCH("Volume",'Semrush Data'!$A$1:$Z$1,0)),"")</f>
        <v/>
      </c>
      <c r="H3104" s="42">
        <f>IFERROR(INDEX('Semrush Data'!$A$1:$Z$20000,MATCH(A3104,'Semrush Data'!$A$1:$A$20000,0),MATCH("Keyword Difficulty*",'Semrush Data'!$A$1:$Z$1,0)),"")</f>
        <v/>
      </c>
      <c r="I3104" s="56">
        <f>IFERROR(INDEX('Semrush Data'!$A$1:$Z$20000,MATCH(A3104,'Semrush Data'!$A$1:$A$20000,0),MATCH("CPC*",'Semrush Data'!$A$1:$Z$1,0)),"")</f>
        <v/>
      </c>
      <c r="J3104" s="42">
        <f>IFERROR(INDEX('Semrush Data'!$A$1:$Z$20000,MATCH(A3104,'Semrush Data'!$A$1:$A$20000,0),MATCH("Intent",'Semrush Data'!$A$1:$Z$1,0)),"")</f>
        <v/>
      </c>
    </row>
    <row r="3105" ht="15" customHeight="1" s="37">
      <c r="A3105" s="42" t="inlineStr">
        <is>
          <t>tiziana terenzi akragas extrait</t>
        </is>
      </c>
      <c r="B3105" s="42" t="inlineStr">
        <is>
          <t>Google suggest</t>
        </is>
      </c>
      <c r="C3105" s="42" t="n">
        <v>3</v>
      </c>
      <c r="D3105" s="42" t="n">
        <v>32</v>
      </c>
      <c r="E3105" s="42" t="n">
        <v>1</v>
      </c>
      <c r="F3105" s="42" t="inlineStr">
        <is>
          <t>FR-353</t>
        </is>
      </c>
      <c r="G3105" s="55">
        <f>IFERROR(INDEX('Semrush Data'!$A$1:$Z$20000,MATCH(A3105,'Semrush Data'!$A$1:$A$20000,0),MATCH("Volume",'Semrush Data'!$A$1:$Z$1,0)),"")</f>
        <v/>
      </c>
      <c r="H3105" s="42">
        <f>IFERROR(INDEX('Semrush Data'!$A$1:$Z$20000,MATCH(A3105,'Semrush Data'!$A$1:$A$20000,0),MATCH("Keyword Difficulty*",'Semrush Data'!$A$1:$Z$1,0)),"")</f>
        <v/>
      </c>
      <c r="I3105" s="56">
        <f>IFERROR(INDEX('Semrush Data'!$A$1:$Z$20000,MATCH(A3105,'Semrush Data'!$A$1:$A$20000,0),MATCH("CPC*",'Semrush Data'!$A$1:$Z$1,0)),"")</f>
        <v/>
      </c>
      <c r="J3105" s="42">
        <f>IFERROR(INDEX('Semrush Data'!$A$1:$Z$20000,MATCH(A3105,'Semrush Data'!$A$1:$A$20000,0),MATCH("Intent",'Semrush Data'!$A$1:$Z$1,0)),"")</f>
        <v/>
      </c>
    </row>
    <row r="3106" ht="15" customHeight="1" s="37">
      <c r="A3106" s="42" t="inlineStr">
        <is>
          <t>tiziana terenzi akragas extrait de parfum 100ml</t>
        </is>
      </c>
      <c r="B3106" s="42" t="inlineStr">
        <is>
          <t>Google suggest</t>
        </is>
      </c>
      <c r="C3106" s="42" t="n">
        <v>3</v>
      </c>
      <c r="D3106" s="42" t="n">
        <v>32</v>
      </c>
      <c r="E3106" s="42" t="n">
        <v>1</v>
      </c>
      <c r="F3106" s="42" t="inlineStr">
        <is>
          <t>FR-353</t>
        </is>
      </c>
      <c r="G3106" s="55">
        <f>IFERROR(INDEX('Semrush Data'!$A$1:$Z$20000,MATCH(A3106,'Semrush Data'!$A$1:$A$20000,0),MATCH("Volume",'Semrush Data'!$A$1:$Z$1,0)),"")</f>
        <v/>
      </c>
      <c r="H3106" s="42">
        <f>IFERROR(INDEX('Semrush Data'!$A$1:$Z$20000,MATCH(A3106,'Semrush Data'!$A$1:$A$20000,0),MATCH("Keyword Difficulty*",'Semrush Data'!$A$1:$Z$1,0)),"")</f>
        <v/>
      </c>
      <c r="I3106" s="56">
        <f>IFERROR(INDEX('Semrush Data'!$A$1:$Z$20000,MATCH(A3106,'Semrush Data'!$A$1:$A$20000,0),MATCH("CPC*",'Semrush Data'!$A$1:$Z$1,0)),"")</f>
        <v/>
      </c>
      <c r="J3106" s="42">
        <f>IFERROR(INDEX('Semrush Data'!$A$1:$Z$20000,MATCH(A3106,'Semrush Data'!$A$1:$A$20000,0),MATCH("Intent",'Semrush Data'!$A$1:$Z$1,0)),"")</f>
        <v/>
      </c>
    </row>
    <row r="3107" ht="15" customHeight="1" s="37">
      <c r="A3107" s="42" t="inlineStr">
        <is>
          <t>tiziana terenzi akragas review</t>
        </is>
      </c>
      <c r="B3107" s="42" t="inlineStr">
        <is>
          <t>Google suggest</t>
        </is>
      </c>
      <c r="C3107" s="42" t="n">
        <v>3</v>
      </c>
      <c r="D3107" s="42" t="n">
        <v>32</v>
      </c>
      <c r="E3107" s="42" t="n">
        <v>1</v>
      </c>
      <c r="F3107" s="42" t="inlineStr">
        <is>
          <t>FR-353</t>
        </is>
      </c>
      <c r="G3107" s="55">
        <f>IFERROR(INDEX('Semrush Data'!$A$1:$Z$20000,MATCH(A3107,'Semrush Data'!$A$1:$A$20000,0),MATCH("Volume",'Semrush Data'!$A$1:$Z$1,0)),"")</f>
        <v/>
      </c>
      <c r="H3107" s="42">
        <f>IFERROR(INDEX('Semrush Data'!$A$1:$Z$20000,MATCH(A3107,'Semrush Data'!$A$1:$A$20000,0),MATCH("Keyword Difficulty*",'Semrush Data'!$A$1:$Z$1,0)),"")</f>
        <v/>
      </c>
      <c r="I3107" s="56">
        <f>IFERROR(INDEX('Semrush Data'!$A$1:$Z$20000,MATCH(A3107,'Semrush Data'!$A$1:$A$20000,0),MATCH("CPC*",'Semrush Data'!$A$1:$Z$1,0)),"")</f>
        <v/>
      </c>
      <c r="J3107" s="42">
        <f>IFERROR(INDEX('Semrush Data'!$A$1:$Z$20000,MATCH(A3107,'Semrush Data'!$A$1:$A$20000,0),MATCH("Intent",'Semrush Data'!$A$1:$Z$1,0)),"")</f>
        <v/>
      </c>
    </row>
    <row r="3108" ht="15" customHeight="1" s="37">
      <c r="A3108" s="42" t="inlineStr">
        <is>
          <t>tiziana terenzi akragas отзывы</t>
        </is>
      </c>
      <c r="B3108" s="42" t="inlineStr">
        <is>
          <t>Google suggest</t>
        </is>
      </c>
      <c r="C3108" s="42" t="n">
        <v>3</v>
      </c>
      <c r="D3108" s="42" t="n">
        <v>32</v>
      </c>
      <c r="E3108" s="42" t="n">
        <v>1</v>
      </c>
      <c r="F3108" s="42" t="inlineStr">
        <is>
          <t>FR-353</t>
        </is>
      </c>
      <c r="G3108" s="55">
        <f>IFERROR(INDEX('Semrush Data'!$A$1:$Z$20000,MATCH(A3108,'Semrush Data'!$A$1:$A$20000,0),MATCH("Volume",'Semrush Data'!$A$1:$Z$1,0)),"")</f>
        <v/>
      </c>
      <c r="H3108" s="42">
        <f>IFERROR(INDEX('Semrush Data'!$A$1:$Z$20000,MATCH(A3108,'Semrush Data'!$A$1:$A$20000,0),MATCH("Keyword Difficulty*",'Semrush Data'!$A$1:$Z$1,0)),"")</f>
        <v/>
      </c>
      <c r="I3108" s="56">
        <f>IFERROR(INDEX('Semrush Data'!$A$1:$Z$20000,MATCH(A3108,'Semrush Data'!$A$1:$A$20000,0),MATCH("CPC*",'Semrush Data'!$A$1:$Z$1,0)),"")</f>
        <v/>
      </c>
      <c r="J3108" s="42">
        <f>IFERROR(INDEX('Semrush Data'!$A$1:$Z$20000,MATCH(A3108,'Semrush Data'!$A$1:$A$20000,0),MATCH("Intent",'Semrush Data'!$A$1:$Z$1,0)),"")</f>
        <v/>
      </c>
    </row>
    <row r="3109" ht="15" customHeight="1" s="37">
      <c r="A3109" s="42" t="inlineStr">
        <is>
          <t>tiziana terenzi andromeda dupe</t>
        </is>
      </c>
      <c r="B3109" s="42" t="inlineStr">
        <is>
          <t>Google suggest</t>
        </is>
      </c>
      <c r="C3109" s="42" t="n">
        <v>3</v>
      </c>
      <c r="D3109" s="42" t="n">
        <v>32</v>
      </c>
      <c r="E3109" s="42" t="n">
        <v>1</v>
      </c>
      <c r="F3109" s="42" t="inlineStr">
        <is>
          <t>FR-354</t>
        </is>
      </c>
      <c r="G3109" s="55">
        <f>IFERROR(INDEX('Semrush Data'!$A$1:$Z$20000,MATCH(A3109,'Semrush Data'!$A$1:$A$20000,0),MATCH("Volume",'Semrush Data'!$A$1:$Z$1,0)),"")</f>
        <v/>
      </c>
      <c r="H3109" s="42">
        <f>IFERROR(INDEX('Semrush Data'!$A$1:$Z$20000,MATCH(A3109,'Semrush Data'!$A$1:$A$20000,0),MATCH("Keyword Difficulty*",'Semrush Data'!$A$1:$Z$1,0)),"")</f>
        <v/>
      </c>
      <c r="I3109" s="56">
        <f>IFERROR(INDEX('Semrush Data'!$A$1:$Z$20000,MATCH(A3109,'Semrush Data'!$A$1:$A$20000,0),MATCH("CPC*",'Semrush Data'!$A$1:$Z$1,0)),"")</f>
        <v/>
      </c>
      <c r="J3109" s="42">
        <f>IFERROR(INDEX('Semrush Data'!$A$1:$Z$20000,MATCH(A3109,'Semrush Data'!$A$1:$A$20000,0),MATCH("Intent",'Semrush Data'!$A$1:$Z$1,0)),"")</f>
        <v/>
      </c>
    </row>
    <row r="3110" ht="15" customHeight="1" s="37">
      <c r="A3110" s="42" t="inlineStr">
        <is>
          <t>tiziana terenzi andromeda edp 100ml</t>
        </is>
      </c>
      <c r="B3110" s="42" t="inlineStr">
        <is>
          <t>Google suggest</t>
        </is>
      </c>
      <c r="C3110" s="42" t="n">
        <v>3</v>
      </c>
      <c r="D3110" s="42" t="n">
        <v>32</v>
      </c>
      <c r="E3110" s="42" t="n">
        <v>1</v>
      </c>
      <c r="F3110" s="42" t="inlineStr">
        <is>
          <t>FR-354</t>
        </is>
      </c>
      <c r="G3110" s="55">
        <f>IFERROR(INDEX('Semrush Data'!$A$1:$Z$20000,MATCH(A3110,'Semrush Data'!$A$1:$A$20000,0),MATCH("Volume",'Semrush Data'!$A$1:$Z$1,0)),"")</f>
        <v/>
      </c>
      <c r="H3110" s="42">
        <f>IFERROR(INDEX('Semrush Data'!$A$1:$Z$20000,MATCH(A3110,'Semrush Data'!$A$1:$A$20000,0),MATCH("Keyword Difficulty*",'Semrush Data'!$A$1:$Z$1,0)),"")</f>
        <v/>
      </c>
      <c r="I3110" s="56">
        <f>IFERROR(INDEX('Semrush Data'!$A$1:$Z$20000,MATCH(A3110,'Semrush Data'!$A$1:$A$20000,0),MATCH("CPC*",'Semrush Data'!$A$1:$Z$1,0)),"")</f>
        <v/>
      </c>
      <c r="J3110" s="42">
        <f>IFERROR(INDEX('Semrush Data'!$A$1:$Z$20000,MATCH(A3110,'Semrush Data'!$A$1:$A$20000,0),MATCH("Intent",'Semrush Data'!$A$1:$Z$1,0)),"")</f>
        <v/>
      </c>
    </row>
    <row r="3111" ht="15" customHeight="1" s="37">
      <c r="A3111" s="42" t="inlineStr">
        <is>
          <t>tiziana terenzi andromeda notes</t>
        </is>
      </c>
      <c r="B3111" s="42" t="inlineStr">
        <is>
          <t>Google suggest</t>
        </is>
      </c>
      <c r="C3111" s="42" t="n">
        <v>3</v>
      </c>
      <c r="D3111" s="42" t="n">
        <v>32</v>
      </c>
      <c r="E3111" s="42" t="n">
        <v>1</v>
      </c>
      <c r="F3111" s="42" t="inlineStr">
        <is>
          <t>FR-354</t>
        </is>
      </c>
      <c r="G3111" s="55">
        <f>IFERROR(INDEX('Semrush Data'!$A$1:$Z$20000,MATCH(A3111,'Semrush Data'!$A$1:$A$20000,0),MATCH("Volume",'Semrush Data'!$A$1:$Z$1,0)),"")</f>
        <v/>
      </c>
      <c r="H3111" s="42">
        <f>IFERROR(INDEX('Semrush Data'!$A$1:$Z$20000,MATCH(A3111,'Semrush Data'!$A$1:$A$20000,0),MATCH("Keyword Difficulty*",'Semrush Data'!$A$1:$Z$1,0)),"")</f>
        <v/>
      </c>
      <c r="I3111" s="56">
        <f>IFERROR(INDEX('Semrush Data'!$A$1:$Z$20000,MATCH(A3111,'Semrush Data'!$A$1:$A$20000,0),MATCH("CPC*",'Semrush Data'!$A$1:$Z$1,0)),"")</f>
        <v/>
      </c>
      <c r="J3111" s="42">
        <f>IFERROR(INDEX('Semrush Data'!$A$1:$Z$20000,MATCH(A3111,'Semrush Data'!$A$1:$A$20000,0),MATCH("Intent",'Semrush Data'!$A$1:$Z$1,0)),"")</f>
        <v/>
      </c>
    </row>
    <row r="3112" ht="15" customHeight="1" s="37">
      <c r="A3112" s="42" t="inlineStr">
        <is>
          <t>tiziana terenzi andromeda review</t>
        </is>
      </c>
      <c r="B3112" s="42" t="inlineStr">
        <is>
          <t>Google suggest</t>
        </is>
      </c>
      <c r="C3112" s="42" t="n">
        <v>3</v>
      </c>
      <c r="D3112" s="42" t="n">
        <v>32</v>
      </c>
      <c r="E3112" s="42" t="n">
        <v>1</v>
      </c>
      <c r="F3112" s="42" t="inlineStr">
        <is>
          <t>FR-354</t>
        </is>
      </c>
      <c r="G3112" s="55">
        <f>IFERROR(INDEX('Semrush Data'!$A$1:$Z$20000,MATCH(A3112,'Semrush Data'!$A$1:$A$20000,0),MATCH("Volume",'Semrush Data'!$A$1:$Z$1,0)),"")</f>
        <v/>
      </c>
      <c r="H3112" s="42">
        <f>IFERROR(INDEX('Semrush Data'!$A$1:$Z$20000,MATCH(A3112,'Semrush Data'!$A$1:$A$20000,0),MATCH("Keyword Difficulty*",'Semrush Data'!$A$1:$Z$1,0)),"")</f>
        <v/>
      </c>
      <c r="I3112" s="56">
        <f>IFERROR(INDEX('Semrush Data'!$A$1:$Z$20000,MATCH(A3112,'Semrush Data'!$A$1:$A$20000,0),MATCH("CPC*",'Semrush Data'!$A$1:$Z$1,0)),"")</f>
        <v/>
      </c>
      <c r="J3112" s="42">
        <f>IFERROR(INDEX('Semrush Data'!$A$1:$Z$20000,MATCH(A3112,'Semrush Data'!$A$1:$A$20000,0),MATCH("Intent",'Semrush Data'!$A$1:$Z$1,0)),"")</f>
        <v/>
      </c>
    </row>
    <row r="3113" ht="15" customHeight="1" s="37">
      <c r="A3113" s="42" t="inlineStr">
        <is>
          <t>tiziana terenzi caput mundi edp 100ml</t>
        </is>
      </c>
      <c r="B3113" s="42" t="inlineStr">
        <is>
          <t>Google suggest</t>
        </is>
      </c>
      <c r="C3113" s="42" t="n">
        <v>3</v>
      </c>
      <c r="D3113" s="42" t="n">
        <v>32</v>
      </c>
      <c r="E3113" s="42" t="n">
        <v>2</v>
      </c>
      <c r="F3113" s="42" t="inlineStr">
        <is>
          <t>FR-356, FR-357</t>
        </is>
      </c>
      <c r="G3113" s="55">
        <f>IFERROR(INDEX('Semrush Data'!$A$1:$Z$20000,MATCH(A3113,'Semrush Data'!$A$1:$A$20000,0),MATCH("Volume",'Semrush Data'!$A$1:$Z$1,0)),"")</f>
        <v/>
      </c>
      <c r="H3113" s="42">
        <f>IFERROR(INDEX('Semrush Data'!$A$1:$Z$20000,MATCH(A3113,'Semrush Data'!$A$1:$A$20000,0),MATCH("Keyword Difficulty*",'Semrush Data'!$A$1:$Z$1,0)),"")</f>
        <v/>
      </c>
      <c r="I3113" s="56">
        <f>IFERROR(INDEX('Semrush Data'!$A$1:$Z$20000,MATCH(A3113,'Semrush Data'!$A$1:$A$20000,0),MATCH("CPC*",'Semrush Data'!$A$1:$Z$1,0)),"")</f>
        <v/>
      </c>
      <c r="J3113" s="42">
        <f>IFERROR(INDEX('Semrush Data'!$A$1:$Z$20000,MATCH(A3113,'Semrush Data'!$A$1:$A$20000,0),MATCH("Intent",'Semrush Data'!$A$1:$Z$1,0)),"")</f>
        <v/>
      </c>
    </row>
    <row r="3114" ht="15" customHeight="1" s="37">
      <c r="A3114" s="42" t="inlineStr">
        <is>
          <t>tiziana terenzi caput mundi extrait</t>
        </is>
      </c>
      <c r="B3114" s="42" t="inlineStr">
        <is>
          <t>Google suggest</t>
        </is>
      </c>
      <c r="C3114" s="42" t="n">
        <v>3</v>
      </c>
      <c r="D3114" s="42" t="n">
        <v>32</v>
      </c>
      <c r="E3114" s="42" t="n">
        <v>2</v>
      </c>
      <c r="F3114" s="42" t="inlineStr">
        <is>
          <t>FR-356, FR-357</t>
        </is>
      </c>
      <c r="G3114" s="55">
        <f>IFERROR(INDEX('Semrush Data'!$A$1:$Z$20000,MATCH(A3114,'Semrush Data'!$A$1:$A$20000,0),MATCH("Volume",'Semrush Data'!$A$1:$Z$1,0)),"")</f>
        <v/>
      </c>
      <c r="H3114" s="42">
        <f>IFERROR(INDEX('Semrush Data'!$A$1:$Z$20000,MATCH(A3114,'Semrush Data'!$A$1:$A$20000,0),MATCH("Keyword Difficulty*",'Semrush Data'!$A$1:$Z$1,0)),"")</f>
        <v/>
      </c>
      <c r="I3114" s="56">
        <f>IFERROR(INDEX('Semrush Data'!$A$1:$Z$20000,MATCH(A3114,'Semrush Data'!$A$1:$A$20000,0),MATCH("CPC*",'Semrush Data'!$A$1:$Z$1,0)),"")</f>
        <v/>
      </c>
      <c r="J3114" s="42">
        <f>IFERROR(INDEX('Semrush Data'!$A$1:$Z$20000,MATCH(A3114,'Semrush Data'!$A$1:$A$20000,0),MATCH("Intent",'Semrush Data'!$A$1:$Z$1,0)),"")</f>
        <v/>
      </c>
    </row>
    <row r="3115" ht="15" customHeight="1" s="37">
      <c r="A3115" s="42" t="inlineStr">
        <is>
          <t>tiziana terenzi caput mundi notes</t>
        </is>
      </c>
      <c r="B3115" s="42" t="inlineStr">
        <is>
          <t>Google suggest</t>
        </is>
      </c>
      <c r="C3115" s="42" t="n">
        <v>3</v>
      </c>
      <c r="D3115" s="42" t="n">
        <v>32</v>
      </c>
      <c r="E3115" s="42" t="n">
        <v>2</v>
      </c>
      <c r="F3115" s="42" t="inlineStr">
        <is>
          <t>FR-356, FR-357</t>
        </is>
      </c>
      <c r="G3115" s="55">
        <f>IFERROR(INDEX('Semrush Data'!$A$1:$Z$20000,MATCH(A3115,'Semrush Data'!$A$1:$A$20000,0),MATCH("Volume",'Semrush Data'!$A$1:$Z$1,0)),"")</f>
        <v/>
      </c>
      <c r="H3115" s="42">
        <f>IFERROR(INDEX('Semrush Data'!$A$1:$Z$20000,MATCH(A3115,'Semrush Data'!$A$1:$A$20000,0),MATCH("Keyword Difficulty*",'Semrush Data'!$A$1:$Z$1,0)),"")</f>
        <v/>
      </c>
      <c r="I3115" s="56">
        <f>IFERROR(INDEX('Semrush Data'!$A$1:$Z$20000,MATCH(A3115,'Semrush Data'!$A$1:$A$20000,0),MATCH("CPC*",'Semrush Data'!$A$1:$Z$1,0)),"")</f>
        <v/>
      </c>
      <c r="J3115" s="42">
        <f>IFERROR(INDEX('Semrush Data'!$A$1:$Z$20000,MATCH(A3115,'Semrush Data'!$A$1:$A$20000,0),MATCH("Intent",'Semrush Data'!$A$1:$Z$1,0)),"")</f>
        <v/>
      </c>
    </row>
    <row r="3116" ht="15" customHeight="1" s="37">
      <c r="A3116" s="42" t="inlineStr">
        <is>
          <t>tiziana terenzi caput mundi review</t>
        </is>
      </c>
      <c r="B3116" s="42" t="inlineStr">
        <is>
          <t>Google suggest</t>
        </is>
      </c>
      <c r="C3116" s="42" t="n">
        <v>3</v>
      </c>
      <c r="D3116" s="42" t="n">
        <v>32</v>
      </c>
      <c r="E3116" s="42" t="n">
        <v>2</v>
      </c>
      <c r="F3116" s="42" t="inlineStr">
        <is>
          <t>FR-356, FR-357</t>
        </is>
      </c>
      <c r="G3116" s="55">
        <f>IFERROR(INDEX('Semrush Data'!$A$1:$Z$20000,MATCH(A3116,'Semrush Data'!$A$1:$A$20000,0),MATCH("Volume",'Semrush Data'!$A$1:$Z$1,0)),"")</f>
        <v/>
      </c>
      <c r="H3116" s="42">
        <f>IFERROR(INDEX('Semrush Data'!$A$1:$Z$20000,MATCH(A3116,'Semrush Data'!$A$1:$A$20000,0),MATCH("Keyword Difficulty*",'Semrush Data'!$A$1:$Z$1,0)),"")</f>
        <v/>
      </c>
      <c r="I3116" s="56">
        <f>IFERROR(INDEX('Semrush Data'!$A$1:$Z$20000,MATCH(A3116,'Semrush Data'!$A$1:$A$20000,0),MATCH("CPC*",'Semrush Data'!$A$1:$Z$1,0)),"")</f>
        <v/>
      </c>
      <c r="J3116" s="42">
        <f>IFERROR(INDEX('Semrush Data'!$A$1:$Z$20000,MATCH(A3116,'Semrush Data'!$A$1:$A$20000,0),MATCH("Intent",'Semrush Data'!$A$1:$Z$1,0)),"")</f>
        <v/>
      </c>
    </row>
    <row r="3117" ht="15" customHeight="1" s="37">
      <c r="A3117" s="42" t="inlineStr">
        <is>
          <t>tiziana terenzi caput mundi отзывы</t>
        </is>
      </c>
      <c r="B3117" s="42" t="inlineStr">
        <is>
          <t>Google suggest</t>
        </is>
      </c>
      <c r="C3117" s="42" t="n">
        <v>3</v>
      </c>
      <c r="D3117" s="42" t="n">
        <v>32</v>
      </c>
      <c r="E3117" s="42" t="n">
        <v>2</v>
      </c>
      <c r="F3117" s="42" t="inlineStr">
        <is>
          <t>FR-356, FR-357</t>
        </is>
      </c>
      <c r="G3117" s="55">
        <f>IFERROR(INDEX('Semrush Data'!$A$1:$Z$20000,MATCH(A3117,'Semrush Data'!$A$1:$A$20000,0),MATCH("Volume",'Semrush Data'!$A$1:$Z$1,0)),"")</f>
        <v/>
      </c>
      <c r="H3117" s="42">
        <f>IFERROR(INDEX('Semrush Data'!$A$1:$Z$20000,MATCH(A3117,'Semrush Data'!$A$1:$A$20000,0),MATCH("Keyword Difficulty*",'Semrush Data'!$A$1:$Z$1,0)),"")</f>
        <v/>
      </c>
      <c r="I3117" s="56">
        <f>IFERROR(INDEX('Semrush Data'!$A$1:$Z$20000,MATCH(A3117,'Semrush Data'!$A$1:$A$20000,0),MATCH("CPC*",'Semrush Data'!$A$1:$Z$1,0)),"")</f>
        <v/>
      </c>
      <c r="J3117" s="42">
        <f>IFERROR(INDEX('Semrush Data'!$A$1:$Z$20000,MATCH(A3117,'Semrush Data'!$A$1:$A$20000,0),MATCH("Intent",'Semrush Data'!$A$1:$Z$1,0)),"")</f>
        <v/>
      </c>
    </row>
    <row r="3118" ht="15" customHeight="1" s="37">
      <c r="A3118" s="42" t="inlineStr">
        <is>
          <t>tiziana terenzi draconis 100ml</t>
        </is>
      </c>
      <c r="B3118" s="42" t="inlineStr">
        <is>
          <t>Google suggest</t>
        </is>
      </c>
      <c r="C3118" s="42" t="n">
        <v>3</v>
      </c>
      <c r="D3118" s="42" t="n">
        <v>32</v>
      </c>
      <c r="E3118" s="42" t="n">
        <v>1</v>
      </c>
      <c r="F3118" s="42" t="inlineStr">
        <is>
          <t>FR-359</t>
        </is>
      </c>
      <c r="G3118" s="55">
        <f>IFERROR(INDEX('Semrush Data'!$A$1:$Z$20000,MATCH(A3118,'Semrush Data'!$A$1:$A$20000,0),MATCH("Volume",'Semrush Data'!$A$1:$Z$1,0)),"")</f>
        <v/>
      </c>
      <c r="H3118" s="42">
        <f>IFERROR(INDEX('Semrush Data'!$A$1:$Z$20000,MATCH(A3118,'Semrush Data'!$A$1:$A$20000,0),MATCH("Keyword Difficulty*",'Semrush Data'!$A$1:$Z$1,0)),"")</f>
        <v/>
      </c>
      <c r="I3118" s="56">
        <f>IFERROR(INDEX('Semrush Data'!$A$1:$Z$20000,MATCH(A3118,'Semrush Data'!$A$1:$A$20000,0),MATCH("CPC*",'Semrush Data'!$A$1:$Z$1,0)),"")</f>
        <v/>
      </c>
      <c r="J3118" s="42">
        <f>IFERROR(INDEX('Semrush Data'!$A$1:$Z$20000,MATCH(A3118,'Semrush Data'!$A$1:$A$20000,0),MATCH("Intent",'Semrush Data'!$A$1:$Z$1,0)),"")</f>
        <v/>
      </c>
    </row>
    <row r="3119" ht="15" customHeight="1" s="37">
      <c r="A3119" s="42" t="inlineStr">
        <is>
          <t>tiziana terenzi draconis edp 100ml</t>
        </is>
      </c>
      <c r="B3119" s="42" t="inlineStr">
        <is>
          <t>Google suggest</t>
        </is>
      </c>
      <c r="C3119" s="42" t="n">
        <v>3</v>
      </c>
      <c r="D3119" s="42" t="n">
        <v>32</v>
      </c>
      <c r="E3119" s="42" t="n">
        <v>1</v>
      </c>
      <c r="F3119" s="42" t="inlineStr">
        <is>
          <t>FR-359</t>
        </is>
      </c>
      <c r="G3119" s="55">
        <f>IFERROR(INDEX('Semrush Data'!$A$1:$Z$20000,MATCH(A3119,'Semrush Data'!$A$1:$A$20000,0),MATCH("Volume",'Semrush Data'!$A$1:$Z$1,0)),"")</f>
        <v/>
      </c>
      <c r="H3119" s="42">
        <f>IFERROR(INDEX('Semrush Data'!$A$1:$Z$20000,MATCH(A3119,'Semrush Data'!$A$1:$A$20000,0),MATCH("Keyword Difficulty*",'Semrush Data'!$A$1:$Z$1,0)),"")</f>
        <v/>
      </c>
      <c r="I3119" s="56">
        <f>IFERROR(INDEX('Semrush Data'!$A$1:$Z$20000,MATCH(A3119,'Semrush Data'!$A$1:$A$20000,0),MATCH("CPC*",'Semrush Data'!$A$1:$Z$1,0)),"")</f>
        <v/>
      </c>
      <c r="J3119" s="42">
        <f>IFERROR(INDEX('Semrush Data'!$A$1:$Z$20000,MATCH(A3119,'Semrush Data'!$A$1:$A$20000,0),MATCH("Intent",'Semrush Data'!$A$1:$Z$1,0)),"")</f>
        <v/>
      </c>
    </row>
    <row r="3120" ht="15" customHeight="1" s="37">
      <c r="A3120" s="42" t="inlineStr">
        <is>
          <t>tiziana terenzi draconis extrait de parfum 100ml</t>
        </is>
      </c>
      <c r="B3120" s="42" t="inlineStr">
        <is>
          <t>Google suggest</t>
        </is>
      </c>
      <c r="C3120" s="42" t="n">
        <v>3</v>
      </c>
      <c r="D3120" s="42" t="n">
        <v>32</v>
      </c>
      <c r="E3120" s="42" t="n">
        <v>1</v>
      </c>
      <c r="F3120" s="42" t="inlineStr">
        <is>
          <t>FR-359</t>
        </is>
      </c>
      <c r="G3120" s="55">
        <f>IFERROR(INDEX('Semrush Data'!$A$1:$Z$20000,MATCH(A3120,'Semrush Data'!$A$1:$A$20000,0),MATCH("Volume",'Semrush Data'!$A$1:$Z$1,0)),"")</f>
        <v/>
      </c>
      <c r="H3120" s="42">
        <f>IFERROR(INDEX('Semrush Data'!$A$1:$Z$20000,MATCH(A3120,'Semrush Data'!$A$1:$A$20000,0),MATCH("Keyword Difficulty*",'Semrush Data'!$A$1:$Z$1,0)),"")</f>
        <v/>
      </c>
      <c r="I3120" s="56">
        <f>IFERROR(INDEX('Semrush Data'!$A$1:$Z$20000,MATCH(A3120,'Semrush Data'!$A$1:$A$20000,0),MATCH("CPC*",'Semrush Data'!$A$1:$Z$1,0)),"")</f>
        <v/>
      </c>
      <c r="J3120" s="42">
        <f>IFERROR(INDEX('Semrush Data'!$A$1:$Z$20000,MATCH(A3120,'Semrush Data'!$A$1:$A$20000,0),MATCH("Intent",'Semrush Data'!$A$1:$Z$1,0)),"")</f>
        <v/>
      </c>
    </row>
    <row r="3121" ht="15" customHeight="1" s="37">
      <c r="A3121" s="42" t="inlineStr">
        <is>
          <t>tiziana terenzi draconis review</t>
        </is>
      </c>
      <c r="B3121" s="42" t="inlineStr">
        <is>
          <t>Google suggest</t>
        </is>
      </c>
      <c r="C3121" s="42" t="n">
        <v>3</v>
      </c>
      <c r="D3121" s="42" t="n">
        <v>32</v>
      </c>
      <c r="E3121" s="42" t="n">
        <v>1</v>
      </c>
      <c r="F3121" s="42" t="inlineStr">
        <is>
          <t>FR-359</t>
        </is>
      </c>
      <c r="G3121" s="55">
        <f>IFERROR(INDEX('Semrush Data'!$A$1:$Z$20000,MATCH(A3121,'Semrush Data'!$A$1:$A$20000,0),MATCH("Volume",'Semrush Data'!$A$1:$Z$1,0)),"")</f>
        <v/>
      </c>
      <c r="H3121" s="42">
        <f>IFERROR(INDEX('Semrush Data'!$A$1:$Z$20000,MATCH(A3121,'Semrush Data'!$A$1:$A$20000,0),MATCH("Keyword Difficulty*",'Semrush Data'!$A$1:$Z$1,0)),"")</f>
        <v/>
      </c>
      <c r="I3121" s="56">
        <f>IFERROR(INDEX('Semrush Data'!$A$1:$Z$20000,MATCH(A3121,'Semrush Data'!$A$1:$A$20000,0),MATCH("CPC*",'Semrush Data'!$A$1:$Z$1,0)),"")</f>
        <v/>
      </c>
      <c r="J3121" s="42">
        <f>IFERROR(INDEX('Semrush Data'!$A$1:$Z$20000,MATCH(A3121,'Semrush Data'!$A$1:$A$20000,0),MATCH("Intent",'Semrush Data'!$A$1:$Z$1,0)),"")</f>
        <v/>
      </c>
    </row>
    <row r="3122" ht="15" customHeight="1" s="37">
      <c r="A3122" s="42" t="inlineStr">
        <is>
          <t>tiziana terenzi ecstasy extrait</t>
        </is>
      </c>
      <c r="B3122" s="42" t="inlineStr">
        <is>
          <t>Google suggest</t>
        </is>
      </c>
      <c r="C3122" s="42" t="n">
        <v>3</v>
      </c>
      <c r="D3122" s="42" t="n">
        <v>32</v>
      </c>
      <c r="E3122" s="42" t="n">
        <v>1</v>
      </c>
      <c r="F3122" s="42" t="inlineStr">
        <is>
          <t>FR-361</t>
        </is>
      </c>
      <c r="G3122" s="55">
        <f>IFERROR(INDEX('Semrush Data'!$A$1:$Z$20000,MATCH(A3122,'Semrush Data'!$A$1:$A$20000,0),MATCH("Volume",'Semrush Data'!$A$1:$Z$1,0)),"")</f>
        <v/>
      </c>
      <c r="H3122" s="42">
        <f>IFERROR(INDEX('Semrush Data'!$A$1:$Z$20000,MATCH(A3122,'Semrush Data'!$A$1:$A$20000,0),MATCH("Keyword Difficulty*",'Semrush Data'!$A$1:$Z$1,0)),"")</f>
        <v/>
      </c>
      <c r="I3122" s="56">
        <f>IFERROR(INDEX('Semrush Data'!$A$1:$Z$20000,MATCH(A3122,'Semrush Data'!$A$1:$A$20000,0),MATCH("CPC*",'Semrush Data'!$A$1:$Z$1,0)),"")</f>
        <v/>
      </c>
      <c r="J3122" s="42">
        <f>IFERROR(INDEX('Semrush Data'!$A$1:$Z$20000,MATCH(A3122,'Semrush Data'!$A$1:$A$20000,0),MATCH("Intent",'Semrush Data'!$A$1:$Z$1,0)),"")</f>
        <v/>
      </c>
    </row>
    <row r="3123" ht="15" customHeight="1" s="37">
      <c r="A3123" s="42" t="inlineStr">
        <is>
          <t>tiziana terenzi ecstasy extrait de parfum 100ml</t>
        </is>
      </c>
      <c r="B3123" s="42" t="inlineStr">
        <is>
          <t>Google suggest</t>
        </is>
      </c>
      <c r="C3123" s="42" t="n">
        <v>3</v>
      </c>
      <c r="D3123" s="42" t="n">
        <v>32</v>
      </c>
      <c r="E3123" s="42" t="n">
        <v>1</v>
      </c>
      <c r="F3123" s="42" t="inlineStr">
        <is>
          <t>FR-361</t>
        </is>
      </c>
      <c r="G3123" s="55">
        <f>IFERROR(INDEX('Semrush Data'!$A$1:$Z$20000,MATCH(A3123,'Semrush Data'!$A$1:$A$20000,0),MATCH("Volume",'Semrush Data'!$A$1:$Z$1,0)),"")</f>
        <v/>
      </c>
      <c r="H3123" s="42">
        <f>IFERROR(INDEX('Semrush Data'!$A$1:$Z$20000,MATCH(A3123,'Semrush Data'!$A$1:$A$20000,0),MATCH("Keyword Difficulty*",'Semrush Data'!$A$1:$Z$1,0)),"")</f>
        <v/>
      </c>
      <c r="I3123" s="56">
        <f>IFERROR(INDEX('Semrush Data'!$A$1:$Z$20000,MATCH(A3123,'Semrush Data'!$A$1:$A$20000,0),MATCH("CPC*",'Semrush Data'!$A$1:$Z$1,0)),"")</f>
        <v/>
      </c>
      <c r="J3123" s="42">
        <f>IFERROR(INDEX('Semrush Data'!$A$1:$Z$20000,MATCH(A3123,'Semrush Data'!$A$1:$A$20000,0),MATCH("Intent",'Semrush Data'!$A$1:$Z$1,0)),"")</f>
        <v/>
      </c>
    </row>
    <row r="3124" ht="15" customHeight="1" s="37">
      <c r="A3124" s="42" t="inlineStr">
        <is>
          <t>tiziana terenzi ecstasy notes</t>
        </is>
      </c>
      <c r="B3124" s="42" t="inlineStr">
        <is>
          <t>Google suggest</t>
        </is>
      </c>
      <c r="C3124" s="42" t="n">
        <v>3</v>
      </c>
      <c r="D3124" s="42" t="n">
        <v>32</v>
      </c>
      <c r="E3124" s="42" t="n">
        <v>1</v>
      </c>
      <c r="F3124" s="42" t="inlineStr">
        <is>
          <t>FR-361</t>
        </is>
      </c>
      <c r="G3124" s="55">
        <f>IFERROR(INDEX('Semrush Data'!$A$1:$Z$20000,MATCH(A3124,'Semrush Data'!$A$1:$A$20000,0),MATCH("Volume",'Semrush Data'!$A$1:$Z$1,0)),"")</f>
        <v/>
      </c>
      <c r="H3124" s="42">
        <f>IFERROR(INDEX('Semrush Data'!$A$1:$Z$20000,MATCH(A3124,'Semrush Data'!$A$1:$A$20000,0),MATCH("Keyword Difficulty*",'Semrush Data'!$A$1:$Z$1,0)),"")</f>
        <v/>
      </c>
      <c r="I3124" s="56">
        <f>IFERROR(INDEX('Semrush Data'!$A$1:$Z$20000,MATCH(A3124,'Semrush Data'!$A$1:$A$20000,0),MATCH("CPC*",'Semrush Data'!$A$1:$Z$1,0)),"")</f>
        <v/>
      </c>
      <c r="J3124" s="42">
        <f>IFERROR(INDEX('Semrush Data'!$A$1:$Z$20000,MATCH(A3124,'Semrush Data'!$A$1:$A$20000,0),MATCH("Intent",'Semrush Data'!$A$1:$Z$1,0)),"")</f>
        <v/>
      </c>
    </row>
    <row r="3125" ht="15" customHeight="1" s="37">
      <c r="A3125" s="42" t="inlineStr">
        <is>
          <t>tiziana terenzi ecstasy perfume</t>
        </is>
      </c>
      <c r="B3125" s="42" t="inlineStr">
        <is>
          <t>Google suggest</t>
        </is>
      </c>
      <c r="C3125" s="42" t="n">
        <v>3</v>
      </c>
      <c r="D3125" s="42" t="n">
        <v>32</v>
      </c>
      <c r="E3125" s="42" t="n">
        <v>1</v>
      </c>
      <c r="F3125" s="42" t="inlineStr">
        <is>
          <t>FR-361</t>
        </is>
      </c>
      <c r="G3125" s="55">
        <f>IFERROR(INDEX('Semrush Data'!$A$1:$Z$20000,MATCH(A3125,'Semrush Data'!$A$1:$A$20000,0),MATCH("Volume",'Semrush Data'!$A$1:$Z$1,0)),"")</f>
        <v/>
      </c>
      <c r="H3125" s="42">
        <f>IFERROR(INDEX('Semrush Data'!$A$1:$Z$20000,MATCH(A3125,'Semrush Data'!$A$1:$A$20000,0),MATCH("Keyword Difficulty*",'Semrush Data'!$A$1:$Z$1,0)),"")</f>
        <v/>
      </c>
      <c r="I3125" s="56">
        <f>IFERROR(INDEX('Semrush Data'!$A$1:$Z$20000,MATCH(A3125,'Semrush Data'!$A$1:$A$20000,0),MATCH("CPC*",'Semrush Data'!$A$1:$Z$1,0)),"")</f>
        <v/>
      </c>
      <c r="J3125" s="42">
        <f>IFERROR(INDEX('Semrush Data'!$A$1:$Z$20000,MATCH(A3125,'Semrush Data'!$A$1:$A$20000,0),MATCH("Intent",'Semrush Data'!$A$1:$Z$1,0)),"")</f>
        <v/>
      </c>
    </row>
    <row r="3126" ht="15" customHeight="1" s="37">
      <c r="A3126" s="42" t="inlineStr">
        <is>
          <t>tiziana terenzi ecstasy review</t>
        </is>
      </c>
      <c r="B3126" s="42" t="inlineStr">
        <is>
          <t>Google suggest</t>
        </is>
      </c>
      <c r="C3126" s="42" t="n">
        <v>3</v>
      </c>
      <c r="D3126" s="42" t="n">
        <v>32</v>
      </c>
      <c r="E3126" s="42" t="n">
        <v>1</v>
      </c>
      <c r="F3126" s="42" t="inlineStr">
        <is>
          <t>FR-361</t>
        </is>
      </c>
      <c r="G3126" s="55">
        <f>IFERROR(INDEX('Semrush Data'!$A$1:$Z$20000,MATCH(A3126,'Semrush Data'!$A$1:$A$20000,0),MATCH("Volume",'Semrush Data'!$A$1:$Z$1,0)),"")</f>
        <v/>
      </c>
      <c r="H3126" s="42">
        <f>IFERROR(INDEX('Semrush Data'!$A$1:$Z$20000,MATCH(A3126,'Semrush Data'!$A$1:$A$20000,0),MATCH("Keyword Difficulty*",'Semrush Data'!$A$1:$Z$1,0)),"")</f>
        <v/>
      </c>
      <c r="I3126" s="56">
        <f>IFERROR(INDEX('Semrush Data'!$A$1:$Z$20000,MATCH(A3126,'Semrush Data'!$A$1:$A$20000,0),MATCH("CPC*",'Semrush Data'!$A$1:$Z$1,0)),"")</f>
        <v/>
      </c>
      <c r="J3126" s="42">
        <f>IFERROR(INDEX('Semrush Data'!$A$1:$Z$20000,MATCH(A3126,'Semrush Data'!$A$1:$A$20000,0),MATCH("Intent",'Semrush Data'!$A$1:$Z$1,0)),"")</f>
        <v/>
      </c>
    </row>
    <row r="3127" ht="15" customHeight="1" s="37">
      <c r="A3127" s="42" t="inlineStr">
        <is>
          <t>tiziana terenzi gold rose oudh 50ml</t>
        </is>
      </c>
      <c r="B3127" s="42" t="inlineStr">
        <is>
          <t>Google suggest</t>
        </is>
      </c>
      <c r="C3127" s="42" t="n">
        <v>3</v>
      </c>
      <c r="D3127" s="42" t="n">
        <v>32</v>
      </c>
      <c r="E3127" s="42" t="n">
        <v>1</v>
      </c>
      <c r="F3127" s="42" t="inlineStr">
        <is>
          <t>FR-362</t>
        </is>
      </c>
      <c r="G3127" s="55">
        <f>IFERROR(INDEX('Semrush Data'!$A$1:$Z$20000,MATCH(A3127,'Semrush Data'!$A$1:$A$20000,0),MATCH("Volume",'Semrush Data'!$A$1:$Z$1,0)),"")</f>
        <v/>
      </c>
      <c r="H3127" s="42">
        <f>IFERROR(INDEX('Semrush Data'!$A$1:$Z$20000,MATCH(A3127,'Semrush Data'!$A$1:$A$20000,0),MATCH("Keyword Difficulty*",'Semrush Data'!$A$1:$Z$1,0)),"")</f>
        <v/>
      </c>
      <c r="I3127" s="56">
        <f>IFERROR(INDEX('Semrush Data'!$A$1:$Z$20000,MATCH(A3127,'Semrush Data'!$A$1:$A$20000,0),MATCH("CPC*",'Semrush Data'!$A$1:$Z$1,0)),"")</f>
        <v/>
      </c>
      <c r="J3127" s="42">
        <f>IFERROR(INDEX('Semrush Data'!$A$1:$Z$20000,MATCH(A3127,'Semrush Data'!$A$1:$A$20000,0),MATCH("Intent",'Semrush Data'!$A$1:$Z$1,0)),"")</f>
        <v/>
      </c>
    </row>
    <row r="3128" ht="15" customHeight="1" s="37">
      <c r="A3128" s="42" t="inlineStr">
        <is>
          <t>tiziana terenzi gold rose oudh extrait de parfum 100ml</t>
        </is>
      </c>
      <c r="B3128" s="42" t="inlineStr">
        <is>
          <t>Google suggest</t>
        </is>
      </c>
      <c r="C3128" s="42" t="n">
        <v>3</v>
      </c>
      <c r="D3128" s="42" t="n">
        <v>32</v>
      </c>
      <c r="E3128" s="42" t="n">
        <v>1</v>
      </c>
      <c r="F3128" s="42" t="inlineStr">
        <is>
          <t>FR-362</t>
        </is>
      </c>
      <c r="G3128" s="55">
        <f>IFERROR(INDEX('Semrush Data'!$A$1:$Z$20000,MATCH(A3128,'Semrush Data'!$A$1:$A$20000,0),MATCH("Volume",'Semrush Data'!$A$1:$Z$1,0)),"")</f>
        <v/>
      </c>
      <c r="H3128" s="42">
        <f>IFERROR(INDEX('Semrush Data'!$A$1:$Z$20000,MATCH(A3128,'Semrush Data'!$A$1:$A$20000,0),MATCH("Keyword Difficulty*",'Semrush Data'!$A$1:$Z$1,0)),"")</f>
        <v/>
      </c>
      <c r="I3128" s="56">
        <f>IFERROR(INDEX('Semrush Data'!$A$1:$Z$20000,MATCH(A3128,'Semrush Data'!$A$1:$A$20000,0),MATCH("CPC*",'Semrush Data'!$A$1:$Z$1,0)),"")</f>
        <v/>
      </c>
      <c r="J3128" s="42">
        <f>IFERROR(INDEX('Semrush Data'!$A$1:$Z$20000,MATCH(A3128,'Semrush Data'!$A$1:$A$20000,0),MATCH("Intent",'Semrush Data'!$A$1:$Z$1,0)),"")</f>
        <v/>
      </c>
    </row>
    <row r="3129" ht="15" customHeight="1" s="37">
      <c r="A3129" s="42" t="inlineStr">
        <is>
          <t>tiziana terenzi gold rose oudh perfume</t>
        </is>
      </c>
      <c r="B3129" s="42" t="inlineStr">
        <is>
          <t>Google suggest</t>
        </is>
      </c>
      <c r="C3129" s="42" t="n">
        <v>3</v>
      </c>
      <c r="D3129" s="42" t="n">
        <v>32</v>
      </c>
      <c r="E3129" s="42" t="n">
        <v>1</v>
      </c>
      <c r="F3129" s="42" t="inlineStr">
        <is>
          <t>FR-362</t>
        </is>
      </c>
      <c r="G3129" s="55">
        <f>IFERROR(INDEX('Semrush Data'!$A$1:$Z$20000,MATCH(A3129,'Semrush Data'!$A$1:$A$20000,0),MATCH("Volume",'Semrush Data'!$A$1:$Z$1,0)),"")</f>
        <v/>
      </c>
      <c r="H3129" s="42">
        <f>IFERROR(INDEX('Semrush Data'!$A$1:$Z$20000,MATCH(A3129,'Semrush Data'!$A$1:$A$20000,0),MATCH("Keyword Difficulty*",'Semrush Data'!$A$1:$Z$1,0)),"")</f>
        <v/>
      </c>
      <c r="I3129" s="56">
        <f>IFERROR(INDEX('Semrush Data'!$A$1:$Z$20000,MATCH(A3129,'Semrush Data'!$A$1:$A$20000,0),MATCH("CPC*",'Semrush Data'!$A$1:$Z$1,0)),"")</f>
        <v/>
      </c>
      <c r="J3129" s="42">
        <f>IFERROR(INDEX('Semrush Data'!$A$1:$Z$20000,MATCH(A3129,'Semrush Data'!$A$1:$A$20000,0),MATCH("Intent",'Semrush Data'!$A$1:$Z$1,0)),"")</f>
        <v/>
      </c>
    </row>
    <row r="3130" ht="15" customHeight="1" s="37">
      <c r="A3130" s="42" t="inlineStr">
        <is>
          <t>tiziana terenzi gold rose oudh review</t>
        </is>
      </c>
      <c r="B3130" s="42" t="inlineStr">
        <is>
          <t>Google suggest</t>
        </is>
      </c>
      <c r="C3130" s="42" t="n">
        <v>3</v>
      </c>
      <c r="D3130" s="42" t="n">
        <v>32</v>
      </c>
      <c r="E3130" s="42" t="n">
        <v>1</v>
      </c>
      <c r="F3130" s="42" t="inlineStr">
        <is>
          <t>FR-362</t>
        </is>
      </c>
      <c r="G3130" s="55">
        <f>IFERROR(INDEX('Semrush Data'!$A$1:$Z$20000,MATCH(A3130,'Semrush Data'!$A$1:$A$20000,0),MATCH("Volume",'Semrush Data'!$A$1:$Z$1,0)),"")</f>
        <v/>
      </c>
      <c r="H3130" s="42">
        <f>IFERROR(INDEX('Semrush Data'!$A$1:$Z$20000,MATCH(A3130,'Semrush Data'!$A$1:$A$20000,0),MATCH("Keyword Difficulty*",'Semrush Data'!$A$1:$Z$1,0)),"")</f>
        <v/>
      </c>
      <c r="I3130" s="56">
        <f>IFERROR(INDEX('Semrush Data'!$A$1:$Z$20000,MATCH(A3130,'Semrush Data'!$A$1:$A$20000,0),MATCH("CPC*",'Semrush Data'!$A$1:$Z$1,0)),"")</f>
        <v/>
      </c>
      <c r="J3130" s="42">
        <f>IFERROR(INDEX('Semrush Data'!$A$1:$Z$20000,MATCH(A3130,'Semrush Data'!$A$1:$A$20000,0),MATCH("Intent",'Semrush Data'!$A$1:$Z$1,0)),"")</f>
        <v/>
      </c>
    </row>
    <row r="3131" ht="15" customHeight="1" s="37">
      <c r="A3131" s="42" t="inlineStr">
        <is>
          <t>tiziana terenzi gumin notes</t>
        </is>
      </c>
      <c r="B3131" s="42" t="inlineStr">
        <is>
          <t>Google suggest</t>
        </is>
      </c>
      <c r="C3131" s="42" t="n">
        <v>3</v>
      </c>
      <c r="D3131" s="42" t="n">
        <v>32</v>
      </c>
      <c r="E3131" s="42" t="n">
        <v>1</v>
      </c>
      <c r="F3131" s="42" t="inlineStr">
        <is>
          <t>FR-363</t>
        </is>
      </c>
      <c r="G3131" s="55">
        <f>IFERROR(INDEX('Semrush Data'!$A$1:$Z$20000,MATCH(A3131,'Semrush Data'!$A$1:$A$20000,0),MATCH("Volume",'Semrush Data'!$A$1:$Z$1,0)),"")</f>
        <v/>
      </c>
      <c r="H3131" s="42">
        <f>IFERROR(INDEX('Semrush Data'!$A$1:$Z$20000,MATCH(A3131,'Semrush Data'!$A$1:$A$20000,0),MATCH("Keyword Difficulty*",'Semrush Data'!$A$1:$Z$1,0)),"")</f>
        <v/>
      </c>
      <c r="I3131" s="56">
        <f>IFERROR(INDEX('Semrush Data'!$A$1:$Z$20000,MATCH(A3131,'Semrush Data'!$A$1:$A$20000,0),MATCH("CPC*",'Semrush Data'!$A$1:$Z$1,0)),"")</f>
        <v/>
      </c>
      <c r="J3131" s="42">
        <f>IFERROR(INDEX('Semrush Data'!$A$1:$Z$20000,MATCH(A3131,'Semrush Data'!$A$1:$A$20000,0),MATCH("Intent",'Semrush Data'!$A$1:$Z$1,0)),"")</f>
        <v/>
      </c>
    </row>
    <row r="3132" ht="15" customHeight="1" s="37">
      <c r="A3132" s="42" t="inlineStr">
        <is>
          <t>tiziana terenzi gumin perfume</t>
        </is>
      </c>
      <c r="B3132" s="42" t="inlineStr">
        <is>
          <t>Google suggest</t>
        </is>
      </c>
      <c r="C3132" s="42" t="n">
        <v>3</v>
      </c>
      <c r="D3132" s="42" t="n">
        <v>32</v>
      </c>
      <c r="E3132" s="42" t="n">
        <v>1</v>
      </c>
      <c r="F3132" s="42" t="inlineStr">
        <is>
          <t>FR-363</t>
        </is>
      </c>
      <c r="G3132" s="55">
        <f>IFERROR(INDEX('Semrush Data'!$A$1:$Z$20000,MATCH(A3132,'Semrush Data'!$A$1:$A$20000,0),MATCH("Volume",'Semrush Data'!$A$1:$Z$1,0)),"")</f>
        <v/>
      </c>
      <c r="H3132" s="42">
        <f>IFERROR(INDEX('Semrush Data'!$A$1:$Z$20000,MATCH(A3132,'Semrush Data'!$A$1:$A$20000,0),MATCH("Keyword Difficulty*",'Semrush Data'!$A$1:$Z$1,0)),"")</f>
        <v/>
      </c>
      <c r="I3132" s="56">
        <f>IFERROR(INDEX('Semrush Data'!$A$1:$Z$20000,MATCH(A3132,'Semrush Data'!$A$1:$A$20000,0),MATCH("CPC*",'Semrush Data'!$A$1:$Z$1,0)),"")</f>
        <v/>
      </c>
      <c r="J3132" s="42">
        <f>IFERROR(INDEX('Semrush Data'!$A$1:$Z$20000,MATCH(A3132,'Semrush Data'!$A$1:$A$20000,0),MATCH("Intent",'Semrush Data'!$A$1:$Z$1,0)),"")</f>
        <v/>
      </c>
    </row>
    <row r="3133" ht="15" customHeight="1" s="37">
      <c r="A3133" s="42" t="inlineStr">
        <is>
          <t>tiziana terenzi gumin perfume price</t>
        </is>
      </c>
      <c r="B3133" s="42" t="inlineStr">
        <is>
          <t>Google suggest</t>
        </is>
      </c>
      <c r="C3133" s="42" t="n">
        <v>3</v>
      </c>
      <c r="D3133" s="42" t="n">
        <v>32</v>
      </c>
      <c r="E3133" s="42" t="n">
        <v>1</v>
      </c>
      <c r="F3133" s="42" t="inlineStr">
        <is>
          <t>FR-363</t>
        </is>
      </c>
      <c r="G3133" s="55">
        <f>IFERROR(INDEX('Semrush Data'!$A$1:$Z$20000,MATCH(A3133,'Semrush Data'!$A$1:$A$20000,0),MATCH("Volume",'Semrush Data'!$A$1:$Z$1,0)),"")</f>
        <v/>
      </c>
      <c r="H3133" s="42">
        <f>IFERROR(INDEX('Semrush Data'!$A$1:$Z$20000,MATCH(A3133,'Semrush Data'!$A$1:$A$20000,0),MATCH("Keyword Difficulty*",'Semrush Data'!$A$1:$Z$1,0)),"")</f>
        <v/>
      </c>
      <c r="I3133" s="56">
        <f>IFERROR(INDEX('Semrush Data'!$A$1:$Z$20000,MATCH(A3133,'Semrush Data'!$A$1:$A$20000,0),MATCH("CPC*",'Semrush Data'!$A$1:$Z$1,0)),"")</f>
        <v/>
      </c>
      <c r="J3133" s="42">
        <f>IFERROR(INDEX('Semrush Data'!$A$1:$Z$20000,MATCH(A3133,'Semrush Data'!$A$1:$A$20000,0),MATCH("Intent",'Semrush Data'!$A$1:$Z$1,0)),"")</f>
        <v/>
      </c>
    </row>
    <row r="3134" ht="15" customHeight="1" s="37">
      <c r="A3134" s="42" t="inlineStr">
        <is>
          <t>tiziana terenzi gumin review</t>
        </is>
      </c>
      <c r="B3134" s="42" t="inlineStr">
        <is>
          <t>Google suggest</t>
        </is>
      </c>
      <c r="C3134" s="42" t="n">
        <v>3</v>
      </c>
      <c r="D3134" s="42" t="n">
        <v>32</v>
      </c>
      <c r="E3134" s="42" t="n">
        <v>1</v>
      </c>
      <c r="F3134" s="42" t="inlineStr">
        <is>
          <t>FR-363</t>
        </is>
      </c>
      <c r="G3134" s="55">
        <f>IFERROR(INDEX('Semrush Data'!$A$1:$Z$20000,MATCH(A3134,'Semrush Data'!$A$1:$A$20000,0),MATCH("Volume",'Semrush Data'!$A$1:$Z$1,0)),"")</f>
        <v/>
      </c>
      <c r="H3134" s="42">
        <f>IFERROR(INDEX('Semrush Data'!$A$1:$Z$20000,MATCH(A3134,'Semrush Data'!$A$1:$A$20000,0),MATCH("Keyword Difficulty*",'Semrush Data'!$A$1:$Z$1,0)),"")</f>
        <v/>
      </c>
      <c r="I3134" s="56">
        <f>IFERROR(INDEX('Semrush Data'!$A$1:$Z$20000,MATCH(A3134,'Semrush Data'!$A$1:$A$20000,0),MATCH("CPC*",'Semrush Data'!$A$1:$Z$1,0)),"")</f>
        <v/>
      </c>
      <c r="J3134" s="42">
        <f>IFERROR(INDEX('Semrush Data'!$A$1:$Z$20000,MATCH(A3134,'Semrush Data'!$A$1:$A$20000,0),MATCH("Intent",'Semrush Data'!$A$1:$Z$1,0)),"")</f>
        <v/>
      </c>
    </row>
    <row r="3135" ht="15" customHeight="1" s="37">
      <c r="A3135" s="42" t="inlineStr">
        <is>
          <t>tiziana terenzi kaff extrait de parfum 100ml</t>
        </is>
      </c>
      <c r="B3135" s="42" t="inlineStr">
        <is>
          <t>Google suggest</t>
        </is>
      </c>
      <c r="C3135" s="42" t="n">
        <v>3</v>
      </c>
      <c r="D3135" s="42" t="n">
        <v>32</v>
      </c>
      <c r="E3135" s="42" t="n">
        <v>1</v>
      </c>
      <c r="F3135" s="42" t="inlineStr">
        <is>
          <t>FR-364</t>
        </is>
      </c>
      <c r="G3135" s="55">
        <f>IFERROR(INDEX('Semrush Data'!$A$1:$Z$20000,MATCH(A3135,'Semrush Data'!$A$1:$A$20000,0),MATCH("Volume",'Semrush Data'!$A$1:$Z$1,0)),"")</f>
        <v/>
      </c>
      <c r="H3135" s="42">
        <f>IFERROR(INDEX('Semrush Data'!$A$1:$Z$20000,MATCH(A3135,'Semrush Data'!$A$1:$A$20000,0),MATCH("Keyword Difficulty*",'Semrush Data'!$A$1:$Z$1,0)),"")</f>
        <v/>
      </c>
      <c r="I3135" s="56">
        <f>IFERROR(INDEX('Semrush Data'!$A$1:$Z$20000,MATCH(A3135,'Semrush Data'!$A$1:$A$20000,0),MATCH("CPC*",'Semrush Data'!$A$1:$Z$1,0)),"")</f>
        <v/>
      </c>
      <c r="J3135" s="42">
        <f>IFERROR(INDEX('Semrush Data'!$A$1:$Z$20000,MATCH(A3135,'Semrush Data'!$A$1:$A$20000,0),MATCH("Intent",'Semrush Data'!$A$1:$Z$1,0)),"")</f>
        <v/>
      </c>
    </row>
    <row r="3136" ht="15" customHeight="1" s="37">
      <c r="A3136" s="42" t="inlineStr">
        <is>
          <t>tiziana terenzi kaff parfum</t>
        </is>
      </c>
      <c r="B3136" s="42" t="inlineStr">
        <is>
          <t>Google suggest</t>
        </is>
      </c>
      <c r="C3136" s="42" t="n">
        <v>3</v>
      </c>
      <c r="D3136" s="42" t="n">
        <v>32</v>
      </c>
      <c r="E3136" s="42" t="n">
        <v>1</v>
      </c>
      <c r="F3136" s="42" t="inlineStr">
        <is>
          <t>FR-364</t>
        </is>
      </c>
      <c r="G3136" s="55">
        <f>IFERROR(INDEX('Semrush Data'!$A$1:$Z$20000,MATCH(A3136,'Semrush Data'!$A$1:$A$20000,0),MATCH("Volume",'Semrush Data'!$A$1:$Z$1,0)),"")</f>
        <v/>
      </c>
      <c r="H3136" s="42">
        <f>IFERROR(INDEX('Semrush Data'!$A$1:$Z$20000,MATCH(A3136,'Semrush Data'!$A$1:$A$20000,0),MATCH("Keyword Difficulty*",'Semrush Data'!$A$1:$Z$1,0)),"")</f>
        <v/>
      </c>
      <c r="I3136" s="56">
        <f>IFERROR(INDEX('Semrush Data'!$A$1:$Z$20000,MATCH(A3136,'Semrush Data'!$A$1:$A$20000,0),MATCH("CPC*",'Semrush Data'!$A$1:$Z$1,0)),"")</f>
        <v/>
      </c>
      <c r="J3136" s="42">
        <f>IFERROR(INDEX('Semrush Data'!$A$1:$Z$20000,MATCH(A3136,'Semrush Data'!$A$1:$A$20000,0),MATCH("Intent",'Semrush Data'!$A$1:$Z$1,0)),"")</f>
        <v/>
      </c>
    </row>
    <row r="3137" ht="15" customHeight="1" s="37">
      <c r="A3137" s="42" t="inlineStr">
        <is>
          <t>tiziana terenzi kaff perfume</t>
        </is>
      </c>
      <c r="B3137" s="42" t="inlineStr">
        <is>
          <t>Google suggest</t>
        </is>
      </c>
      <c r="C3137" s="42" t="n">
        <v>3</v>
      </c>
      <c r="D3137" s="42" t="n">
        <v>32</v>
      </c>
      <c r="E3137" s="42" t="n">
        <v>1</v>
      </c>
      <c r="F3137" s="42" t="inlineStr">
        <is>
          <t>FR-364</t>
        </is>
      </c>
      <c r="G3137" s="55">
        <f>IFERROR(INDEX('Semrush Data'!$A$1:$Z$20000,MATCH(A3137,'Semrush Data'!$A$1:$A$20000,0),MATCH("Volume",'Semrush Data'!$A$1:$Z$1,0)),"")</f>
        <v/>
      </c>
      <c r="H3137" s="42">
        <f>IFERROR(INDEX('Semrush Data'!$A$1:$Z$20000,MATCH(A3137,'Semrush Data'!$A$1:$A$20000,0),MATCH("Keyword Difficulty*",'Semrush Data'!$A$1:$Z$1,0)),"")</f>
        <v/>
      </c>
      <c r="I3137" s="56">
        <f>IFERROR(INDEX('Semrush Data'!$A$1:$Z$20000,MATCH(A3137,'Semrush Data'!$A$1:$A$20000,0),MATCH("CPC*",'Semrush Data'!$A$1:$Z$1,0)),"")</f>
        <v/>
      </c>
      <c r="J3137" s="42">
        <f>IFERROR(INDEX('Semrush Data'!$A$1:$Z$20000,MATCH(A3137,'Semrush Data'!$A$1:$A$20000,0),MATCH("Intent",'Semrush Data'!$A$1:$Z$1,0)),"")</f>
        <v/>
      </c>
    </row>
    <row r="3138" ht="15" customHeight="1" s="37">
      <c r="A3138" s="42" t="inlineStr">
        <is>
          <t>tiziana terenzi kaff review</t>
        </is>
      </c>
      <c r="B3138" s="42" t="inlineStr">
        <is>
          <t>Google suggest</t>
        </is>
      </c>
      <c r="C3138" s="42" t="n">
        <v>3</v>
      </c>
      <c r="D3138" s="42" t="n">
        <v>32</v>
      </c>
      <c r="E3138" s="42" t="n">
        <v>1</v>
      </c>
      <c r="F3138" s="42" t="inlineStr">
        <is>
          <t>FR-364</t>
        </is>
      </c>
      <c r="G3138" s="55">
        <f>IFERROR(INDEX('Semrush Data'!$A$1:$Z$20000,MATCH(A3138,'Semrush Data'!$A$1:$A$20000,0),MATCH("Volume",'Semrush Data'!$A$1:$Z$1,0)),"")</f>
        <v/>
      </c>
      <c r="H3138" s="42">
        <f>IFERROR(INDEX('Semrush Data'!$A$1:$Z$20000,MATCH(A3138,'Semrush Data'!$A$1:$A$20000,0),MATCH("Keyword Difficulty*",'Semrush Data'!$A$1:$Z$1,0)),"")</f>
        <v/>
      </c>
      <c r="I3138" s="56">
        <f>IFERROR(INDEX('Semrush Data'!$A$1:$Z$20000,MATCH(A3138,'Semrush Data'!$A$1:$A$20000,0),MATCH("CPC*",'Semrush Data'!$A$1:$Z$1,0)),"")</f>
        <v/>
      </c>
      <c r="J3138" s="42">
        <f>IFERROR(INDEX('Semrush Data'!$A$1:$Z$20000,MATCH(A3138,'Semrush Data'!$A$1:$A$20000,0),MATCH("Intent",'Semrush Data'!$A$1:$Z$1,0)),"")</f>
        <v/>
      </c>
    </row>
    <row r="3139" ht="15" customHeight="1" s="37">
      <c r="A3139" s="42" t="inlineStr">
        <is>
          <t>tiziana terenzi kirke dupe</t>
        </is>
      </c>
      <c r="B3139" s="42" t="inlineStr">
        <is>
          <t>Google suggest</t>
        </is>
      </c>
      <c r="C3139" s="42" t="n">
        <v>3</v>
      </c>
      <c r="D3139" s="42" t="inlineStr">
        <is>
          <t>T3-1</t>
        </is>
      </c>
      <c r="E3139" s="42" t="n">
        <v>1</v>
      </c>
      <c r="F3139" s="42" t="inlineStr">
        <is>
          <t>FR-365</t>
        </is>
      </c>
      <c r="G3139" s="55">
        <f>IFERROR(INDEX('Semrush Data'!$A$1:$Z$20000,MATCH(A3139,'Semrush Data'!$A$1:$A$20000,0),MATCH("Volume",'Semrush Data'!$A$1:$Z$1,0)),"")</f>
        <v/>
      </c>
      <c r="H3139" s="42">
        <f>IFERROR(INDEX('Semrush Data'!$A$1:$Z$20000,MATCH(A3139,'Semrush Data'!$A$1:$A$20000,0),MATCH("Keyword Difficulty*",'Semrush Data'!$A$1:$Z$1,0)),"")</f>
        <v/>
      </c>
      <c r="I3139" s="56">
        <f>IFERROR(INDEX('Semrush Data'!$A$1:$Z$20000,MATCH(A3139,'Semrush Data'!$A$1:$A$20000,0),MATCH("CPC*",'Semrush Data'!$A$1:$Z$1,0)),"")</f>
        <v/>
      </c>
      <c r="J3139" s="42">
        <f>IFERROR(INDEX('Semrush Data'!$A$1:$Z$20000,MATCH(A3139,'Semrush Data'!$A$1:$A$20000,0),MATCH("Intent",'Semrush Data'!$A$1:$Z$1,0)),"")</f>
        <v/>
      </c>
    </row>
    <row r="3140" ht="15" customHeight="1" s="37">
      <c r="A3140" s="42" t="inlineStr">
        <is>
          <t>tiziana terenzi kirke notes</t>
        </is>
      </c>
      <c r="B3140" s="42" t="inlineStr">
        <is>
          <t>Google suggest</t>
        </is>
      </c>
      <c r="C3140" s="42" t="n">
        <v>3</v>
      </c>
      <c r="D3140" s="42" t="n">
        <v>32</v>
      </c>
      <c r="E3140" s="42" t="n">
        <v>1</v>
      </c>
      <c r="F3140" s="42" t="inlineStr">
        <is>
          <t>FR-365</t>
        </is>
      </c>
      <c r="G3140" s="55">
        <f>IFERROR(INDEX('Semrush Data'!$A$1:$Z$20000,MATCH(A3140,'Semrush Data'!$A$1:$A$20000,0),MATCH("Volume",'Semrush Data'!$A$1:$Z$1,0)),"")</f>
        <v/>
      </c>
      <c r="H3140" s="42">
        <f>IFERROR(INDEX('Semrush Data'!$A$1:$Z$20000,MATCH(A3140,'Semrush Data'!$A$1:$A$20000,0),MATCH("Keyword Difficulty*",'Semrush Data'!$A$1:$Z$1,0)),"")</f>
        <v/>
      </c>
      <c r="I3140" s="56">
        <f>IFERROR(INDEX('Semrush Data'!$A$1:$Z$20000,MATCH(A3140,'Semrush Data'!$A$1:$A$20000,0),MATCH("CPC*",'Semrush Data'!$A$1:$Z$1,0)),"")</f>
        <v/>
      </c>
      <c r="J3140" s="42">
        <f>IFERROR(INDEX('Semrush Data'!$A$1:$Z$20000,MATCH(A3140,'Semrush Data'!$A$1:$A$20000,0),MATCH("Intent",'Semrush Data'!$A$1:$Z$1,0)),"")</f>
        <v/>
      </c>
    </row>
    <row r="3141" ht="15" customHeight="1" s="37">
      <c r="A3141" s="42" t="inlineStr">
        <is>
          <t>tiziana terenzi kirke perfume</t>
        </is>
      </c>
      <c r="B3141" s="42" t="inlineStr">
        <is>
          <t>Google suggest</t>
        </is>
      </c>
      <c r="C3141" s="42" t="n">
        <v>3</v>
      </c>
      <c r="D3141" s="42" t="n">
        <v>32</v>
      </c>
      <c r="E3141" s="42" t="n">
        <v>1</v>
      </c>
      <c r="F3141" s="42" t="inlineStr">
        <is>
          <t>FR-365</t>
        </is>
      </c>
      <c r="G3141" s="55">
        <f>IFERROR(INDEX('Semrush Data'!$A$1:$Z$20000,MATCH(A3141,'Semrush Data'!$A$1:$A$20000,0),MATCH("Volume",'Semrush Data'!$A$1:$Z$1,0)),"")</f>
        <v/>
      </c>
      <c r="H3141" s="42">
        <f>IFERROR(INDEX('Semrush Data'!$A$1:$Z$20000,MATCH(A3141,'Semrush Data'!$A$1:$A$20000,0),MATCH("Keyword Difficulty*",'Semrush Data'!$A$1:$Z$1,0)),"")</f>
        <v/>
      </c>
      <c r="I3141" s="56">
        <f>IFERROR(INDEX('Semrush Data'!$A$1:$Z$20000,MATCH(A3141,'Semrush Data'!$A$1:$A$20000,0),MATCH("CPC*",'Semrush Data'!$A$1:$Z$1,0)),"")</f>
        <v/>
      </c>
      <c r="J3141" s="42">
        <f>IFERROR(INDEX('Semrush Data'!$A$1:$Z$20000,MATCH(A3141,'Semrush Data'!$A$1:$A$20000,0),MATCH("Intent",'Semrush Data'!$A$1:$Z$1,0)),"")</f>
        <v/>
      </c>
    </row>
    <row r="3142" ht="15" customHeight="1" s="37">
      <c r="A3142" s="42" t="inlineStr">
        <is>
          <t>tiziana terenzi kirke review</t>
        </is>
      </c>
      <c r="B3142" s="42" t="inlineStr">
        <is>
          <t>Google suggest</t>
        </is>
      </c>
      <c r="C3142" s="42" t="n">
        <v>3</v>
      </c>
      <c r="D3142" s="42" t="inlineStr">
        <is>
          <t>T3-1</t>
        </is>
      </c>
      <c r="E3142" s="42" t="n">
        <v>1</v>
      </c>
      <c r="F3142" s="42" t="inlineStr">
        <is>
          <t>FR-365</t>
        </is>
      </c>
      <c r="G3142" s="55">
        <f>IFERROR(INDEX('Semrush Data'!$A$1:$Z$20000,MATCH(A3142,'Semrush Data'!$A$1:$A$20000,0),MATCH("Volume",'Semrush Data'!$A$1:$Z$1,0)),"")</f>
        <v/>
      </c>
      <c r="H3142" s="42">
        <f>IFERROR(INDEX('Semrush Data'!$A$1:$Z$20000,MATCH(A3142,'Semrush Data'!$A$1:$A$20000,0),MATCH("Keyword Difficulty*",'Semrush Data'!$A$1:$Z$1,0)),"")</f>
        <v/>
      </c>
      <c r="I3142" s="56">
        <f>IFERROR(INDEX('Semrush Data'!$A$1:$Z$20000,MATCH(A3142,'Semrush Data'!$A$1:$A$20000,0),MATCH("CPC*",'Semrush Data'!$A$1:$Z$1,0)),"")</f>
        <v/>
      </c>
      <c r="J3142" s="42">
        <f>IFERROR(INDEX('Semrush Data'!$A$1:$Z$20000,MATCH(A3142,'Semrush Data'!$A$1:$A$20000,0),MATCH("Intent",'Semrush Data'!$A$1:$Z$1,0)),"")</f>
        <v/>
      </c>
    </row>
    <row r="3143" ht="15" customHeight="1" s="37">
      <c r="A3143" s="42" t="inlineStr">
        <is>
          <t>tiziana terenzi leo extrait de parfum 100ml</t>
        </is>
      </c>
      <c r="B3143" s="42" t="inlineStr">
        <is>
          <t>Google suggest</t>
        </is>
      </c>
      <c r="C3143" s="42" t="n">
        <v>3</v>
      </c>
      <c r="D3143" s="42" t="n">
        <v>32</v>
      </c>
      <c r="E3143" s="42" t="n">
        <v>1</v>
      </c>
      <c r="F3143" s="42" t="inlineStr">
        <is>
          <t>FR-366</t>
        </is>
      </c>
      <c r="G3143" s="55">
        <f>IFERROR(INDEX('Semrush Data'!$A$1:$Z$20000,MATCH(A3143,'Semrush Data'!$A$1:$A$20000,0),MATCH("Volume",'Semrush Data'!$A$1:$Z$1,0)),"")</f>
        <v/>
      </c>
      <c r="H3143" s="42">
        <f>IFERROR(INDEX('Semrush Data'!$A$1:$Z$20000,MATCH(A3143,'Semrush Data'!$A$1:$A$20000,0),MATCH("Keyword Difficulty*",'Semrush Data'!$A$1:$Z$1,0)),"")</f>
        <v/>
      </c>
      <c r="I3143" s="56">
        <f>IFERROR(INDEX('Semrush Data'!$A$1:$Z$20000,MATCH(A3143,'Semrush Data'!$A$1:$A$20000,0),MATCH("CPC*",'Semrush Data'!$A$1:$Z$1,0)),"")</f>
        <v/>
      </c>
      <c r="J3143" s="42">
        <f>IFERROR(INDEX('Semrush Data'!$A$1:$Z$20000,MATCH(A3143,'Semrush Data'!$A$1:$A$20000,0),MATCH("Intent",'Semrush Data'!$A$1:$Z$1,0)),"")</f>
        <v/>
      </c>
    </row>
    <row r="3144" ht="15" customHeight="1" s="37">
      <c r="A3144" s="42" t="inlineStr">
        <is>
          <t>tiziana terenzi leo notes</t>
        </is>
      </c>
      <c r="B3144" s="42" t="inlineStr">
        <is>
          <t>Google suggest</t>
        </is>
      </c>
      <c r="C3144" s="42" t="n">
        <v>3</v>
      </c>
      <c r="D3144" s="42" t="n">
        <v>32</v>
      </c>
      <c r="E3144" s="42" t="n">
        <v>1</v>
      </c>
      <c r="F3144" s="42" t="inlineStr">
        <is>
          <t>FR-366</t>
        </is>
      </c>
      <c r="G3144" s="55">
        <f>IFERROR(INDEX('Semrush Data'!$A$1:$Z$20000,MATCH(A3144,'Semrush Data'!$A$1:$A$20000,0),MATCH("Volume",'Semrush Data'!$A$1:$Z$1,0)),"")</f>
        <v/>
      </c>
      <c r="H3144" s="42">
        <f>IFERROR(INDEX('Semrush Data'!$A$1:$Z$20000,MATCH(A3144,'Semrush Data'!$A$1:$A$20000,0),MATCH("Keyword Difficulty*",'Semrush Data'!$A$1:$Z$1,0)),"")</f>
        <v/>
      </c>
      <c r="I3144" s="56">
        <f>IFERROR(INDEX('Semrush Data'!$A$1:$Z$20000,MATCH(A3144,'Semrush Data'!$A$1:$A$20000,0),MATCH("CPC*",'Semrush Data'!$A$1:$Z$1,0)),"")</f>
        <v/>
      </c>
      <c r="J3144" s="42">
        <f>IFERROR(INDEX('Semrush Data'!$A$1:$Z$20000,MATCH(A3144,'Semrush Data'!$A$1:$A$20000,0),MATCH("Intent",'Semrush Data'!$A$1:$Z$1,0)),"")</f>
        <v/>
      </c>
    </row>
    <row r="3145" ht="15" customHeight="1" s="37">
      <c r="A3145" s="42" t="inlineStr">
        <is>
          <t>tiziana terenzi leo perfume</t>
        </is>
      </c>
      <c r="B3145" s="42" t="inlineStr">
        <is>
          <t>Google suggest</t>
        </is>
      </c>
      <c r="C3145" s="42" t="n">
        <v>3</v>
      </c>
      <c r="D3145" s="42" t="n">
        <v>32</v>
      </c>
      <c r="E3145" s="42" t="n">
        <v>1</v>
      </c>
      <c r="F3145" s="42" t="inlineStr">
        <is>
          <t>FR-366</t>
        </is>
      </c>
      <c r="G3145" s="55">
        <f>IFERROR(INDEX('Semrush Data'!$A$1:$Z$20000,MATCH(A3145,'Semrush Data'!$A$1:$A$20000,0),MATCH("Volume",'Semrush Data'!$A$1:$Z$1,0)),"")</f>
        <v/>
      </c>
      <c r="H3145" s="42">
        <f>IFERROR(INDEX('Semrush Data'!$A$1:$Z$20000,MATCH(A3145,'Semrush Data'!$A$1:$A$20000,0),MATCH("Keyword Difficulty*",'Semrush Data'!$A$1:$Z$1,0)),"")</f>
        <v/>
      </c>
      <c r="I3145" s="56">
        <f>IFERROR(INDEX('Semrush Data'!$A$1:$Z$20000,MATCH(A3145,'Semrush Data'!$A$1:$A$20000,0),MATCH("CPC*",'Semrush Data'!$A$1:$Z$1,0)),"")</f>
        <v/>
      </c>
      <c r="J3145" s="42">
        <f>IFERROR(INDEX('Semrush Data'!$A$1:$Z$20000,MATCH(A3145,'Semrush Data'!$A$1:$A$20000,0),MATCH("Intent",'Semrush Data'!$A$1:$Z$1,0)),"")</f>
        <v/>
      </c>
    </row>
    <row r="3146" ht="15" customHeight="1" s="37">
      <c r="A3146" s="42" t="inlineStr">
        <is>
          <t>tiziana terenzi leo review</t>
        </is>
      </c>
      <c r="B3146" s="42" t="inlineStr">
        <is>
          <t>Google suggest</t>
        </is>
      </c>
      <c r="C3146" s="42" t="n">
        <v>3</v>
      </c>
      <c r="D3146" s="42" t="n">
        <v>32</v>
      </c>
      <c r="E3146" s="42" t="n">
        <v>1</v>
      </c>
      <c r="F3146" s="42" t="inlineStr">
        <is>
          <t>FR-366</t>
        </is>
      </c>
      <c r="G3146" s="55">
        <f>IFERROR(INDEX('Semrush Data'!$A$1:$Z$20000,MATCH(A3146,'Semrush Data'!$A$1:$A$20000,0),MATCH("Volume",'Semrush Data'!$A$1:$Z$1,0)),"")</f>
        <v/>
      </c>
      <c r="H3146" s="42">
        <f>IFERROR(INDEX('Semrush Data'!$A$1:$Z$20000,MATCH(A3146,'Semrush Data'!$A$1:$A$20000,0),MATCH("Keyword Difficulty*",'Semrush Data'!$A$1:$Z$1,0)),"")</f>
        <v/>
      </c>
      <c r="I3146" s="56">
        <f>IFERROR(INDEX('Semrush Data'!$A$1:$Z$20000,MATCH(A3146,'Semrush Data'!$A$1:$A$20000,0),MATCH("CPC*",'Semrush Data'!$A$1:$Z$1,0)),"")</f>
        <v/>
      </c>
      <c r="J3146" s="42">
        <f>IFERROR(INDEX('Semrush Data'!$A$1:$Z$20000,MATCH(A3146,'Semrush Data'!$A$1:$A$20000,0),MATCH("Intent",'Semrush Data'!$A$1:$Z$1,0)),"")</f>
        <v/>
      </c>
    </row>
    <row r="3147" ht="15" customHeight="1" s="37">
      <c r="A3147" s="42" t="inlineStr">
        <is>
          <t>tiziana terenzi moro di venezia 100ml</t>
        </is>
      </c>
      <c r="B3147" s="42" t="inlineStr">
        <is>
          <t>Google suggest</t>
        </is>
      </c>
      <c r="C3147" s="42" t="n">
        <v>3</v>
      </c>
      <c r="D3147" s="42" t="n">
        <v>32</v>
      </c>
      <c r="E3147" s="42" t="n">
        <v>1</v>
      </c>
      <c r="F3147" s="42" t="inlineStr">
        <is>
          <t>FR-367</t>
        </is>
      </c>
      <c r="G3147" s="55">
        <f>IFERROR(INDEX('Semrush Data'!$A$1:$Z$20000,MATCH(A3147,'Semrush Data'!$A$1:$A$20000,0),MATCH("Volume",'Semrush Data'!$A$1:$Z$1,0)),"")</f>
        <v/>
      </c>
      <c r="H3147" s="42">
        <f>IFERROR(INDEX('Semrush Data'!$A$1:$Z$20000,MATCH(A3147,'Semrush Data'!$A$1:$A$20000,0),MATCH("Keyword Difficulty*",'Semrush Data'!$A$1:$Z$1,0)),"")</f>
        <v/>
      </c>
      <c r="I3147" s="56">
        <f>IFERROR(INDEX('Semrush Data'!$A$1:$Z$20000,MATCH(A3147,'Semrush Data'!$A$1:$A$20000,0),MATCH("CPC*",'Semrush Data'!$A$1:$Z$1,0)),"")</f>
        <v/>
      </c>
      <c r="J3147" s="42">
        <f>IFERROR(INDEX('Semrush Data'!$A$1:$Z$20000,MATCH(A3147,'Semrush Data'!$A$1:$A$20000,0),MATCH("Intent",'Semrush Data'!$A$1:$Z$1,0)),"")</f>
        <v/>
      </c>
    </row>
    <row r="3148" ht="15" customHeight="1" s="37">
      <c r="A3148" s="42" t="inlineStr">
        <is>
          <t>tiziana terenzi moro di venezia extrait</t>
        </is>
      </c>
      <c r="B3148" s="42" t="inlineStr">
        <is>
          <t>Google suggest</t>
        </is>
      </c>
      <c r="C3148" s="42" t="n">
        <v>3</v>
      </c>
      <c r="D3148" s="42" t="n">
        <v>32</v>
      </c>
      <c r="E3148" s="42" t="n">
        <v>1</v>
      </c>
      <c r="F3148" s="42" t="inlineStr">
        <is>
          <t>FR-367</t>
        </is>
      </c>
      <c r="G3148" s="55">
        <f>IFERROR(INDEX('Semrush Data'!$A$1:$Z$20000,MATCH(A3148,'Semrush Data'!$A$1:$A$20000,0),MATCH("Volume",'Semrush Data'!$A$1:$Z$1,0)),"")</f>
        <v/>
      </c>
      <c r="H3148" s="42">
        <f>IFERROR(INDEX('Semrush Data'!$A$1:$Z$20000,MATCH(A3148,'Semrush Data'!$A$1:$A$20000,0),MATCH("Keyword Difficulty*",'Semrush Data'!$A$1:$Z$1,0)),"")</f>
        <v/>
      </c>
      <c r="I3148" s="56">
        <f>IFERROR(INDEX('Semrush Data'!$A$1:$Z$20000,MATCH(A3148,'Semrush Data'!$A$1:$A$20000,0),MATCH("CPC*",'Semrush Data'!$A$1:$Z$1,0)),"")</f>
        <v/>
      </c>
      <c r="J3148" s="42">
        <f>IFERROR(INDEX('Semrush Data'!$A$1:$Z$20000,MATCH(A3148,'Semrush Data'!$A$1:$A$20000,0),MATCH("Intent",'Semrush Data'!$A$1:$Z$1,0)),"")</f>
        <v/>
      </c>
    </row>
    <row r="3149" ht="15" customHeight="1" s="37">
      <c r="A3149" s="42" t="inlineStr">
        <is>
          <t>tiziana terenzi moro di venezia extrait de parfum 100ml</t>
        </is>
      </c>
      <c r="B3149" s="42" t="inlineStr">
        <is>
          <t>Google suggest</t>
        </is>
      </c>
      <c r="C3149" s="42" t="n">
        <v>3</v>
      </c>
      <c r="D3149" s="42" t="n">
        <v>32</v>
      </c>
      <c r="E3149" s="42" t="n">
        <v>1</v>
      </c>
      <c r="F3149" s="42" t="inlineStr">
        <is>
          <t>FR-367</t>
        </is>
      </c>
      <c r="G3149" s="55">
        <f>IFERROR(INDEX('Semrush Data'!$A$1:$Z$20000,MATCH(A3149,'Semrush Data'!$A$1:$A$20000,0),MATCH("Volume",'Semrush Data'!$A$1:$Z$1,0)),"")</f>
        <v/>
      </c>
      <c r="H3149" s="42">
        <f>IFERROR(INDEX('Semrush Data'!$A$1:$Z$20000,MATCH(A3149,'Semrush Data'!$A$1:$A$20000,0),MATCH("Keyword Difficulty*",'Semrush Data'!$A$1:$Z$1,0)),"")</f>
        <v/>
      </c>
      <c r="I3149" s="56">
        <f>IFERROR(INDEX('Semrush Data'!$A$1:$Z$20000,MATCH(A3149,'Semrush Data'!$A$1:$A$20000,0),MATCH("CPC*",'Semrush Data'!$A$1:$Z$1,0)),"")</f>
        <v/>
      </c>
      <c r="J3149" s="42">
        <f>IFERROR(INDEX('Semrush Data'!$A$1:$Z$20000,MATCH(A3149,'Semrush Data'!$A$1:$A$20000,0),MATCH("Intent",'Semrush Data'!$A$1:$Z$1,0)),"")</f>
        <v/>
      </c>
    </row>
    <row r="3150" ht="15" customHeight="1" s="37">
      <c r="A3150" s="42" t="inlineStr">
        <is>
          <t>tiziana terenzi moro di venezia notes</t>
        </is>
      </c>
      <c r="B3150" s="42" t="inlineStr">
        <is>
          <t>Google suggest</t>
        </is>
      </c>
      <c r="C3150" s="42" t="n">
        <v>3</v>
      </c>
      <c r="D3150" s="42" t="n">
        <v>32</v>
      </c>
      <c r="E3150" s="42" t="n">
        <v>1</v>
      </c>
      <c r="F3150" s="42" t="inlineStr">
        <is>
          <t>FR-367</t>
        </is>
      </c>
      <c r="G3150" s="55">
        <f>IFERROR(INDEX('Semrush Data'!$A$1:$Z$20000,MATCH(A3150,'Semrush Data'!$A$1:$A$20000,0),MATCH("Volume",'Semrush Data'!$A$1:$Z$1,0)),"")</f>
        <v/>
      </c>
      <c r="H3150" s="42">
        <f>IFERROR(INDEX('Semrush Data'!$A$1:$Z$20000,MATCH(A3150,'Semrush Data'!$A$1:$A$20000,0),MATCH("Keyword Difficulty*",'Semrush Data'!$A$1:$Z$1,0)),"")</f>
        <v/>
      </c>
      <c r="I3150" s="56">
        <f>IFERROR(INDEX('Semrush Data'!$A$1:$Z$20000,MATCH(A3150,'Semrush Data'!$A$1:$A$20000,0),MATCH("CPC*",'Semrush Data'!$A$1:$Z$1,0)),"")</f>
        <v/>
      </c>
      <c r="J3150" s="42">
        <f>IFERROR(INDEX('Semrush Data'!$A$1:$Z$20000,MATCH(A3150,'Semrush Data'!$A$1:$A$20000,0),MATCH("Intent",'Semrush Data'!$A$1:$Z$1,0)),"")</f>
        <v/>
      </c>
    </row>
    <row r="3151" ht="15" customHeight="1" s="37">
      <c r="A3151" s="42" t="inlineStr">
        <is>
          <t>tiziana terenzi moro di venezia perfume</t>
        </is>
      </c>
      <c r="B3151" s="42" t="inlineStr">
        <is>
          <t>Google suggest</t>
        </is>
      </c>
      <c r="C3151" s="42" t="n">
        <v>3</v>
      </c>
      <c r="D3151" s="42" t="n">
        <v>32</v>
      </c>
      <c r="E3151" s="42" t="n">
        <v>1</v>
      </c>
      <c r="F3151" s="42" t="inlineStr">
        <is>
          <t>FR-367</t>
        </is>
      </c>
      <c r="G3151" s="55">
        <f>IFERROR(INDEX('Semrush Data'!$A$1:$Z$20000,MATCH(A3151,'Semrush Data'!$A$1:$A$20000,0),MATCH("Volume",'Semrush Data'!$A$1:$Z$1,0)),"")</f>
        <v/>
      </c>
      <c r="H3151" s="42">
        <f>IFERROR(INDEX('Semrush Data'!$A$1:$Z$20000,MATCH(A3151,'Semrush Data'!$A$1:$A$20000,0),MATCH("Keyword Difficulty*",'Semrush Data'!$A$1:$Z$1,0)),"")</f>
        <v/>
      </c>
      <c r="I3151" s="56">
        <f>IFERROR(INDEX('Semrush Data'!$A$1:$Z$20000,MATCH(A3151,'Semrush Data'!$A$1:$A$20000,0),MATCH("CPC*",'Semrush Data'!$A$1:$Z$1,0)),"")</f>
        <v/>
      </c>
      <c r="J3151" s="42">
        <f>IFERROR(INDEX('Semrush Data'!$A$1:$Z$20000,MATCH(A3151,'Semrush Data'!$A$1:$A$20000,0),MATCH("Intent",'Semrush Data'!$A$1:$Z$1,0)),"")</f>
        <v/>
      </c>
    </row>
    <row r="3152" ht="15" customHeight="1" s="37">
      <c r="A3152" s="42" t="inlineStr">
        <is>
          <t>tiziana terenzi orion notes</t>
        </is>
      </c>
      <c r="B3152" s="42" t="inlineStr">
        <is>
          <t>Google suggest</t>
        </is>
      </c>
      <c r="C3152" s="42" t="n">
        <v>3</v>
      </c>
      <c r="D3152" s="42" t="n">
        <v>32</v>
      </c>
      <c r="E3152" s="42" t="n">
        <v>1</v>
      </c>
      <c r="F3152" s="42" t="inlineStr">
        <is>
          <t>FR-368</t>
        </is>
      </c>
      <c r="G3152" s="55">
        <f>IFERROR(INDEX('Semrush Data'!$A$1:$Z$20000,MATCH(A3152,'Semrush Data'!$A$1:$A$20000,0),MATCH("Volume",'Semrush Data'!$A$1:$Z$1,0)),"")</f>
        <v/>
      </c>
      <c r="H3152" s="42">
        <f>IFERROR(INDEX('Semrush Data'!$A$1:$Z$20000,MATCH(A3152,'Semrush Data'!$A$1:$A$20000,0),MATCH("Keyword Difficulty*",'Semrush Data'!$A$1:$Z$1,0)),"")</f>
        <v/>
      </c>
      <c r="I3152" s="56">
        <f>IFERROR(INDEX('Semrush Data'!$A$1:$Z$20000,MATCH(A3152,'Semrush Data'!$A$1:$A$20000,0),MATCH("CPC*",'Semrush Data'!$A$1:$Z$1,0)),"")</f>
        <v/>
      </c>
      <c r="J3152" s="42">
        <f>IFERROR(INDEX('Semrush Data'!$A$1:$Z$20000,MATCH(A3152,'Semrush Data'!$A$1:$A$20000,0),MATCH("Intent",'Semrush Data'!$A$1:$Z$1,0)),"")</f>
        <v/>
      </c>
    </row>
    <row r="3153" ht="15" customHeight="1" s="37">
      <c r="A3153" s="42" t="inlineStr">
        <is>
          <t>tiziana terenzi orion review</t>
        </is>
      </c>
      <c r="B3153" s="42" t="inlineStr">
        <is>
          <t>Google suggest</t>
        </is>
      </c>
      <c r="C3153" s="42" t="n">
        <v>3</v>
      </c>
      <c r="D3153" s="42" t="n">
        <v>32</v>
      </c>
      <c r="E3153" s="42" t="n">
        <v>1</v>
      </c>
      <c r="F3153" s="42" t="inlineStr">
        <is>
          <t>FR-368</t>
        </is>
      </c>
      <c r="G3153" s="55">
        <f>IFERROR(INDEX('Semrush Data'!$A$1:$Z$20000,MATCH(A3153,'Semrush Data'!$A$1:$A$20000,0),MATCH("Volume",'Semrush Data'!$A$1:$Z$1,0)),"")</f>
        <v/>
      </c>
      <c r="H3153" s="42">
        <f>IFERROR(INDEX('Semrush Data'!$A$1:$Z$20000,MATCH(A3153,'Semrush Data'!$A$1:$A$20000,0),MATCH("Keyword Difficulty*",'Semrush Data'!$A$1:$Z$1,0)),"")</f>
        <v/>
      </c>
      <c r="I3153" s="56">
        <f>IFERROR(INDEX('Semrush Data'!$A$1:$Z$20000,MATCH(A3153,'Semrush Data'!$A$1:$A$20000,0),MATCH("CPC*",'Semrush Data'!$A$1:$Z$1,0)),"")</f>
        <v/>
      </c>
      <c r="J3153" s="42">
        <f>IFERROR(INDEX('Semrush Data'!$A$1:$Z$20000,MATCH(A3153,'Semrush Data'!$A$1:$A$20000,0),MATCH("Intent",'Semrush Data'!$A$1:$Z$1,0)),"")</f>
        <v/>
      </c>
    </row>
    <row r="3154" ht="15" customHeight="1" s="37">
      <c r="A3154" s="42" t="inlineStr">
        <is>
          <t>tiziana terenzi porpora extrait</t>
        </is>
      </c>
      <c r="B3154" s="42" t="inlineStr">
        <is>
          <t>Google suggest</t>
        </is>
      </c>
      <c r="C3154" s="42" t="n">
        <v>3</v>
      </c>
      <c r="D3154" s="42" t="n">
        <v>32</v>
      </c>
      <c r="E3154" s="42" t="n">
        <v>1</v>
      </c>
      <c r="F3154" s="42" t="inlineStr">
        <is>
          <t>FR-370</t>
        </is>
      </c>
      <c r="G3154" s="55">
        <f>IFERROR(INDEX('Semrush Data'!$A$1:$Z$20000,MATCH(A3154,'Semrush Data'!$A$1:$A$20000,0),MATCH("Volume",'Semrush Data'!$A$1:$Z$1,0)),"")</f>
        <v/>
      </c>
      <c r="H3154" s="42">
        <f>IFERROR(INDEX('Semrush Data'!$A$1:$Z$20000,MATCH(A3154,'Semrush Data'!$A$1:$A$20000,0),MATCH("Keyword Difficulty*",'Semrush Data'!$A$1:$Z$1,0)),"")</f>
        <v/>
      </c>
      <c r="I3154" s="56">
        <f>IFERROR(INDEX('Semrush Data'!$A$1:$Z$20000,MATCH(A3154,'Semrush Data'!$A$1:$A$20000,0),MATCH("CPC*",'Semrush Data'!$A$1:$Z$1,0)),"")</f>
        <v/>
      </c>
      <c r="J3154" s="42">
        <f>IFERROR(INDEX('Semrush Data'!$A$1:$Z$20000,MATCH(A3154,'Semrush Data'!$A$1:$A$20000,0),MATCH("Intent",'Semrush Data'!$A$1:$Z$1,0)),"")</f>
        <v/>
      </c>
    </row>
    <row r="3155" ht="15" customHeight="1" s="37">
      <c r="A3155" s="42" t="inlineStr">
        <is>
          <t>tiziana terenzi porpora extrait de parfum 100ml</t>
        </is>
      </c>
      <c r="B3155" s="42" t="inlineStr">
        <is>
          <t>Google suggest</t>
        </is>
      </c>
      <c r="C3155" s="42" t="n">
        <v>3</v>
      </c>
      <c r="D3155" s="42" t="n">
        <v>32</v>
      </c>
      <c r="E3155" s="42" t="n">
        <v>1</v>
      </c>
      <c r="F3155" s="42" t="inlineStr">
        <is>
          <t>FR-370</t>
        </is>
      </c>
      <c r="G3155" s="55">
        <f>IFERROR(INDEX('Semrush Data'!$A$1:$Z$20000,MATCH(A3155,'Semrush Data'!$A$1:$A$20000,0),MATCH("Volume",'Semrush Data'!$A$1:$Z$1,0)),"")</f>
        <v/>
      </c>
      <c r="H3155" s="42">
        <f>IFERROR(INDEX('Semrush Data'!$A$1:$Z$20000,MATCH(A3155,'Semrush Data'!$A$1:$A$20000,0),MATCH("Keyword Difficulty*",'Semrush Data'!$A$1:$Z$1,0)),"")</f>
        <v/>
      </c>
      <c r="I3155" s="56">
        <f>IFERROR(INDEX('Semrush Data'!$A$1:$Z$20000,MATCH(A3155,'Semrush Data'!$A$1:$A$20000,0),MATCH("CPC*",'Semrush Data'!$A$1:$Z$1,0)),"")</f>
        <v/>
      </c>
      <c r="J3155" s="42">
        <f>IFERROR(INDEX('Semrush Data'!$A$1:$Z$20000,MATCH(A3155,'Semrush Data'!$A$1:$A$20000,0),MATCH("Intent",'Semrush Data'!$A$1:$Z$1,0)),"")</f>
        <v/>
      </c>
    </row>
    <row r="3156" ht="15" customHeight="1" s="37">
      <c r="A3156" s="42" t="inlineStr">
        <is>
          <t>tiziana terenzi porpora notes</t>
        </is>
      </c>
      <c r="B3156" s="42" t="inlineStr">
        <is>
          <t>Google suggest</t>
        </is>
      </c>
      <c r="C3156" s="42" t="n">
        <v>3</v>
      </c>
      <c r="D3156" s="42" t="n">
        <v>32</v>
      </c>
      <c r="E3156" s="42" t="n">
        <v>1</v>
      </c>
      <c r="F3156" s="42" t="inlineStr">
        <is>
          <t>FR-370</t>
        </is>
      </c>
      <c r="G3156" s="55">
        <f>IFERROR(INDEX('Semrush Data'!$A$1:$Z$20000,MATCH(A3156,'Semrush Data'!$A$1:$A$20000,0),MATCH("Volume",'Semrush Data'!$A$1:$Z$1,0)),"")</f>
        <v/>
      </c>
      <c r="H3156" s="42">
        <f>IFERROR(INDEX('Semrush Data'!$A$1:$Z$20000,MATCH(A3156,'Semrush Data'!$A$1:$A$20000,0),MATCH("Keyword Difficulty*",'Semrush Data'!$A$1:$Z$1,0)),"")</f>
        <v/>
      </c>
      <c r="I3156" s="56">
        <f>IFERROR(INDEX('Semrush Data'!$A$1:$Z$20000,MATCH(A3156,'Semrush Data'!$A$1:$A$20000,0),MATCH("CPC*",'Semrush Data'!$A$1:$Z$1,0)),"")</f>
        <v/>
      </c>
      <c r="J3156" s="42">
        <f>IFERROR(INDEX('Semrush Data'!$A$1:$Z$20000,MATCH(A3156,'Semrush Data'!$A$1:$A$20000,0),MATCH("Intent",'Semrush Data'!$A$1:$Z$1,0)),"")</f>
        <v/>
      </c>
    </row>
    <row r="3157" ht="15" customHeight="1" s="37">
      <c r="A3157" s="42" t="inlineStr">
        <is>
          <t>tiziana terenzi porpora perfume</t>
        </is>
      </c>
      <c r="B3157" s="42" t="inlineStr">
        <is>
          <t>Google suggest</t>
        </is>
      </c>
      <c r="C3157" s="42" t="n">
        <v>3</v>
      </c>
      <c r="D3157" s="42" t="n">
        <v>32</v>
      </c>
      <c r="E3157" s="42" t="n">
        <v>1</v>
      </c>
      <c r="F3157" s="42" t="inlineStr">
        <is>
          <t>FR-370</t>
        </is>
      </c>
      <c r="G3157" s="55">
        <f>IFERROR(INDEX('Semrush Data'!$A$1:$Z$20000,MATCH(A3157,'Semrush Data'!$A$1:$A$20000,0),MATCH("Volume",'Semrush Data'!$A$1:$Z$1,0)),"")</f>
        <v/>
      </c>
      <c r="H3157" s="42">
        <f>IFERROR(INDEX('Semrush Data'!$A$1:$Z$20000,MATCH(A3157,'Semrush Data'!$A$1:$A$20000,0),MATCH("Keyword Difficulty*",'Semrush Data'!$A$1:$Z$1,0)),"")</f>
        <v/>
      </c>
      <c r="I3157" s="56">
        <f>IFERROR(INDEX('Semrush Data'!$A$1:$Z$20000,MATCH(A3157,'Semrush Data'!$A$1:$A$20000,0),MATCH("CPC*",'Semrush Data'!$A$1:$Z$1,0)),"")</f>
        <v/>
      </c>
      <c r="J3157" s="42">
        <f>IFERROR(INDEX('Semrush Data'!$A$1:$Z$20000,MATCH(A3157,'Semrush Data'!$A$1:$A$20000,0),MATCH("Intent",'Semrush Data'!$A$1:$Z$1,0)),"")</f>
        <v/>
      </c>
    </row>
    <row r="3158" ht="15" customHeight="1" s="37">
      <c r="A3158" s="42" t="inlineStr">
        <is>
          <t>tiziana terenzi porpora review</t>
        </is>
      </c>
      <c r="B3158" s="42" t="inlineStr">
        <is>
          <t>Google suggest</t>
        </is>
      </c>
      <c r="C3158" s="42" t="n">
        <v>3</v>
      </c>
      <c r="D3158" s="42" t="n">
        <v>32</v>
      </c>
      <c r="E3158" s="42" t="n">
        <v>1</v>
      </c>
      <c r="F3158" s="42" t="inlineStr">
        <is>
          <t>FR-370</t>
        </is>
      </c>
      <c r="G3158" s="55">
        <f>IFERROR(INDEX('Semrush Data'!$A$1:$Z$20000,MATCH(A3158,'Semrush Data'!$A$1:$A$20000,0),MATCH("Volume",'Semrush Data'!$A$1:$Z$1,0)),"")</f>
        <v/>
      </c>
      <c r="H3158" s="42">
        <f>IFERROR(INDEX('Semrush Data'!$A$1:$Z$20000,MATCH(A3158,'Semrush Data'!$A$1:$A$20000,0),MATCH("Keyword Difficulty*",'Semrush Data'!$A$1:$Z$1,0)),"")</f>
        <v/>
      </c>
      <c r="I3158" s="56">
        <f>IFERROR(INDEX('Semrush Data'!$A$1:$Z$20000,MATCH(A3158,'Semrush Data'!$A$1:$A$20000,0),MATCH("CPC*",'Semrush Data'!$A$1:$Z$1,0)),"")</f>
        <v/>
      </c>
      <c r="J3158" s="42">
        <f>IFERROR(INDEX('Semrush Data'!$A$1:$Z$20000,MATCH(A3158,'Semrush Data'!$A$1:$A$20000,0),MATCH("Intent",'Semrush Data'!$A$1:$Z$1,0)),"")</f>
        <v/>
      </c>
    </row>
    <row r="3159" ht="15" customHeight="1" s="37">
      <c r="A3159" s="42" t="inlineStr">
        <is>
          <t>tiziana terenzi saiph extrait</t>
        </is>
      </c>
      <c r="B3159" s="42" t="inlineStr">
        <is>
          <t>Google suggest</t>
        </is>
      </c>
      <c r="C3159" s="42" t="n">
        <v>3</v>
      </c>
      <c r="D3159" s="42" t="n">
        <v>32</v>
      </c>
      <c r="E3159" s="42" t="n">
        <v>1</v>
      </c>
      <c r="F3159" s="42" t="inlineStr">
        <is>
          <t>FR-371</t>
        </is>
      </c>
      <c r="G3159" s="55">
        <f>IFERROR(INDEX('Semrush Data'!$A$1:$Z$20000,MATCH(A3159,'Semrush Data'!$A$1:$A$20000,0),MATCH("Volume",'Semrush Data'!$A$1:$Z$1,0)),"")</f>
        <v/>
      </c>
      <c r="H3159" s="42">
        <f>IFERROR(INDEX('Semrush Data'!$A$1:$Z$20000,MATCH(A3159,'Semrush Data'!$A$1:$A$20000,0),MATCH("Keyword Difficulty*",'Semrush Data'!$A$1:$Z$1,0)),"")</f>
        <v/>
      </c>
      <c r="I3159" s="56">
        <f>IFERROR(INDEX('Semrush Data'!$A$1:$Z$20000,MATCH(A3159,'Semrush Data'!$A$1:$A$20000,0),MATCH("CPC*",'Semrush Data'!$A$1:$Z$1,0)),"")</f>
        <v/>
      </c>
      <c r="J3159" s="42">
        <f>IFERROR(INDEX('Semrush Data'!$A$1:$Z$20000,MATCH(A3159,'Semrush Data'!$A$1:$A$20000,0),MATCH("Intent",'Semrush Data'!$A$1:$Z$1,0)),"")</f>
        <v/>
      </c>
    </row>
    <row r="3160" ht="15" customHeight="1" s="37">
      <c r="A3160" s="42" t="inlineStr">
        <is>
          <t>tiziana terenzi saiph extrait de parfum 100ml</t>
        </is>
      </c>
      <c r="B3160" s="42" t="inlineStr">
        <is>
          <t>Google suggest</t>
        </is>
      </c>
      <c r="C3160" s="42" t="n">
        <v>3</v>
      </c>
      <c r="D3160" s="42" t="n">
        <v>32</v>
      </c>
      <c r="E3160" s="42" t="n">
        <v>1</v>
      </c>
      <c r="F3160" s="42" t="inlineStr">
        <is>
          <t>FR-371</t>
        </is>
      </c>
      <c r="G3160" s="55">
        <f>IFERROR(INDEX('Semrush Data'!$A$1:$Z$20000,MATCH(A3160,'Semrush Data'!$A$1:$A$20000,0),MATCH("Volume",'Semrush Data'!$A$1:$Z$1,0)),"")</f>
        <v/>
      </c>
      <c r="H3160" s="42">
        <f>IFERROR(INDEX('Semrush Data'!$A$1:$Z$20000,MATCH(A3160,'Semrush Data'!$A$1:$A$20000,0),MATCH("Keyword Difficulty*",'Semrush Data'!$A$1:$Z$1,0)),"")</f>
        <v/>
      </c>
      <c r="I3160" s="56">
        <f>IFERROR(INDEX('Semrush Data'!$A$1:$Z$20000,MATCH(A3160,'Semrush Data'!$A$1:$A$20000,0),MATCH("CPC*",'Semrush Data'!$A$1:$Z$1,0)),"")</f>
        <v/>
      </c>
      <c r="J3160" s="42">
        <f>IFERROR(INDEX('Semrush Data'!$A$1:$Z$20000,MATCH(A3160,'Semrush Data'!$A$1:$A$20000,0),MATCH("Intent",'Semrush Data'!$A$1:$Z$1,0)),"")</f>
        <v/>
      </c>
    </row>
    <row r="3161" ht="15" customHeight="1" s="37">
      <c r="A3161" s="42" t="inlineStr">
        <is>
          <t>tiziana terenzi saiph perfume</t>
        </is>
      </c>
      <c r="B3161" s="42" t="inlineStr">
        <is>
          <t>Google suggest</t>
        </is>
      </c>
      <c r="C3161" s="42" t="n">
        <v>3</v>
      </c>
      <c r="D3161" s="42" t="n">
        <v>32</v>
      </c>
      <c r="E3161" s="42" t="n">
        <v>1</v>
      </c>
      <c r="F3161" s="42" t="inlineStr">
        <is>
          <t>FR-371</t>
        </is>
      </c>
      <c r="G3161" s="55">
        <f>IFERROR(INDEX('Semrush Data'!$A$1:$Z$20000,MATCH(A3161,'Semrush Data'!$A$1:$A$20000,0),MATCH("Volume",'Semrush Data'!$A$1:$Z$1,0)),"")</f>
        <v/>
      </c>
      <c r="H3161" s="42">
        <f>IFERROR(INDEX('Semrush Data'!$A$1:$Z$20000,MATCH(A3161,'Semrush Data'!$A$1:$A$20000,0),MATCH("Keyword Difficulty*",'Semrush Data'!$A$1:$Z$1,0)),"")</f>
        <v/>
      </c>
      <c r="I3161" s="56">
        <f>IFERROR(INDEX('Semrush Data'!$A$1:$Z$20000,MATCH(A3161,'Semrush Data'!$A$1:$A$20000,0),MATCH("CPC*",'Semrush Data'!$A$1:$Z$1,0)),"")</f>
        <v/>
      </c>
      <c r="J3161" s="42">
        <f>IFERROR(INDEX('Semrush Data'!$A$1:$Z$20000,MATCH(A3161,'Semrush Data'!$A$1:$A$20000,0),MATCH("Intent",'Semrush Data'!$A$1:$Z$1,0)),"")</f>
        <v/>
      </c>
    </row>
    <row r="3162" ht="15" customHeight="1" s="37">
      <c r="A3162" s="42" t="inlineStr">
        <is>
          <t>tiziana terenzi saiph review</t>
        </is>
      </c>
      <c r="B3162" s="42" t="inlineStr">
        <is>
          <t>Google suggest</t>
        </is>
      </c>
      <c r="C3162" s="42" t="n">
        <v>3</v>
      </c>
      <c r="D3162" s="42" t="n">
        <v>32</v>
      </c>
      <c r="E3162" s="42" t="n">
        <v>1</v>
      </c>
      <c r="F3162" s="42" t="inlineStr">
        <is>
          <t>FR-371</t>
        </is>
      </c>
      <c r="G3162" s="55">
        <f>IFERROR(INDEX('Semrush Data'!$A$1:$Z$20000,MATCH(A3162,'Semrush Data'!$A$1:$A$20000,0),MATCH("Volume",'Semrush Data'!$A$1:$Z$1,0)),"")</f>
        <v/>
      </c>
      <c r="H3162" s="42">
        <f>IFERROR(INDEX('Semrush Data'!$A$1:$Z$20000,MATCH(A3162,'Semrush Data'!$A$1:$A$20000,0),MATCH("Keyword Difficulty*",'Semrush Data'!$A$1:$Z$1,0)),"")</f>
        <v/>
      </c>
      <c r="I3162" s="56">
        <f>IFERROR(INDEX('Semrush Data'!$A$1:$Z$20000,MATCH(A3162,'Semrush Data'!$A$1:$A$20000,0),MATCH("CPC*",'Semrush Data'!$A$1:$Z$1,0)),"")</f>
        <v/>
      </c>
      <c r="J3162" s="42">
        <f>IFERROR(INDEX('Semrush Data'!$A$1:$Z$20000,MATCH(A3162,'Semrush Data'!$A$1:$A$20000,0),MATCH("Intent",'Semrush Data'!$A$1:$Z$1,0)),"")</f>
        <v/>
      </c>
    </row>
    <row r="3163" ht="15" customHeight="1" s="37">
      <c r="A3163" s="42" t="inlineStr">
        <is>
          <t>tiziana terenzi white fire edp 100ml</t>
        </is>
      </c>
      <c r="B3163" s="42" t="inlineStr">
        <is>
          <t>Google suggest</t>
        </is>
      </c>
      <c r="C3163" s="42" t="n">
        <v>3</v>
      </c>
      <c r="D3163" s="42" t="n">
        <v>32</v>
      </c>
      <c r="E3163" s="42" t="n">
        <v>1</v>
      </c>
      <c r="F3163" s="42" t="inlineStr">
        <is>
          <t>FR-373</t>
        </is>
      </c>
      <c r="G3163" s="55">
        <f>IFERROR(INDEX('Semrush Data'!$A$1:$Z$20000,MATCH(A3163,'Semrush Data'!$A$1:$A$20000,0),MATCH("Volume",'Semrush Data'!$A$1:$Z$1,0)),"")</f>
        <v/>
      </c>
      <c r="H3163" s="42">
        <f>IFERROR(INDEX('Semrush Data'!$A$1:$Z$20000,MATCH(A3163,'Semrush Data'!$A$1:$A$20000,0),MATCH("Keyword Difficulty*",'Semrush Data'!$A$1:$Z$1,0)),"")</f>
        <v/>
      </c>
      <c r="I3163" s="56">
        <f>IFERROR(INDEX('Semrush Data'!$A$1:$Z$20000,MATCH(A3163,'Semrush Data'!$A$1:$A$20000,0),MATCH("CPC*",'Semrush Data'!$A$1:$Z$1,0)),"")</f>
        <v/>
      </c>
      <c r="J3163" s="42">
        <f>IFERROR(INDEX('Semrush Data'!$A$1:$Z$20000,MATCH(A3163,'Semrush Data'!$A$1:$A$20000,0),MATCH("Intent",'Semrush Data'!$A$1:$Z$1,0)),"")</f>
        <v/>
      </c>
    </row>
    <row r="3164" ht="15" customHeight="1" s="37">
      <c r="A3164" s="42" t="inlineStr">
        <is>
          <t>tiziana terenzi white fire extrait</t>
        </is>
      </c>
      <c r="B3164" s="42" t="inlineStr">
        <is>
          <t>Google suggest</t>
        </is>
      </c>
      <c r="C3164" s="42" t="n">
        <v>3</v>
      </c>
      <c r="D3164" s="42" t="n">
        <v>32</v>
      </c>
      <c r="E3164" s="42" t="n">
        <v>1</v>
      </c>
      <c r="F3164" s="42" t="inlineStr">
        <is>
          <t>FR-373</t>
        </is>
      </c>
      <c r="G3164" s="55">
        <f>IFERROR(INDEX('Semrush Data'!$A$1:$Z$20000,MATCH(A3164,'Semrush Data'!$A$1:$A$20000,0),MATCH("Volume",'Semrush Data'!$A$1:$Z$1,0)),"")</f>
        <v/>
      </c>
      <c r="H3164" s="42">
        <f>IFERROR(INDEX('Semrush Data'!$A$1:$Z$20000,MATCH(A3164,'Semrush Data'!$A$1:$A$20000,0),MATCH("Keyword Difficulty*",'Semrush Data'!$A$1:$Z$1,0)),"")</f>
        <v/>
      </c>
      <c r="I3164" s="56">
        <f>IFERROR(INDEX('Semrush Data'!$A$1:$Z$20000,MATCH(A3164,'Semrush Data'!$A$1:$A$20000,0),MATCH("CPC*",'Semrush Data'!$A$1:$Z$1,0)),"")</f>
        <v/>
      </c>
      <c r="J3164" s="42">
        <f>IFERROR(INDEX('Semrush Data'!$A$1:$Z$20000,MATCH(A3164,'Semrush Data'!$A$1:$A$20000,0),MATCH("Intent",'Semrush Data'!$A$1:$Z$1,0)),"")</f>
        <v/>
      </c>
    </row>
    <row r="3165" ht="15" customHeight="1" s="37">
      <c r="A3165" s="42" t="inlineStr">
        <is>
          <t>tiziana terenzi white fire notes</t>
        </is>
      </c>
      <c r="B3165" s="42" t="inlineStr">
        <is>
          <t>Google suggest</t>
        </is>
      </c>
      <c r="C3165" s="42" t="n">
        <v>3</v>
      </c>
      <c r="D3165" s="42" t="n">
        <v>32</v>
      </c>
      <c r="E3165" s="42" t="n">
        <v>1</v>
      </c>
      <c r="F3165" s="42" t="inlineStr">
        <is>
          <t>FR-373</t>
        </is>
      </c>
      <c r="G3165" s="55">
        <f>IFERROR(INDEX('Semrush Data'!$A$1:$Z$20000,MATCH(A3165,'Semrush Data'!$A$1:$A$20000,0),MATCH("Volume",'Semrush Data'!$A$1:$Z$1,0)),"")</f>
        <v/>
      </c>
      <c r="H3165" s="42">
        <f>IFERROR(INDEX('Semrush Data'!$A$1:$Z$20000,MATCH(A3165,'Semrush Data'!$A$1:$A$20000,0),MATCH("Keyword Difficulty*",'Semrush Data'!$A$1:$Z$1,0)),"")</f>
        <v/>
      </c>
      <c r="I3165" s="56">
        <f>IFERROR(INDEX('Semrush Data'!$A$1:$Z$20000,MATCH(A3165,'Semrush Data'!$A$1:$A$20000,0),MATCH("CPC*",'Semrush Data'!$A$1:$Z$1,0)),"")</f>
        <v/>
      </c>
      <c r="J3165" s="42">
        <f>IFERROR(INDEX('Semrush Data'!$A$1:$Z$20000,MATCH(A3165,'Semrush Data'!$A$1:$A$20000,0),MATCH("Intent",'Semrush Data'!$A$1:$Z$1,0)),"")</f>
        <v/>
      </c>
    </row>
    <row r="3166" ht="15" customHeight="1" s="37">
      <c r="A3166" s="42" t="inlineStr">
        <is>
          <t>tiziana terenzi white fire review</t>
        </is>
      </c>
      <c r="B3166" s="42" t="inlineStr">
        <is>
          <t>Google suggest</t>
        </is>
      </c>
      <c r="C3166" s="42" t="n">
        <v>3</v>
      </c>
      <c r="D3166" s="42" t="n">
        <v>32</v>
      </c>
      <c r="E3166" s="42" t="n">
        <v>1</v>
      </c>
      <c r="F3166" s="42" t="inlineStr">
        <is>
          <t>FR-373</t>
        </is>
      </c>
      <c r="G3166" s="55">
        <f>IFERROR(INDEX('Semrush Data'!$A$1:$Z$20000,MATCH(A3166,'Semrush Data'!$A$1:$A$20000,0),MATCH("Volume",'Semrush Data'!$A$1:$Z$1,0)),"")</f>
        <v/>
      </c>
      <c r="H3166" s="42">
        <f>IFERROR(INDEX('Semrush Data'!$A$1:$Z$20000,MATCH(A3166,'Semrush Data'!$A$1:$A$20000,0),MATCH("Keyword Difficulty*",'Semrush Data'!$A$1:$Z$1,0)),"")</f>
        <v/>
      </c>
      <c r="I3166" s="56">
        <f>IFERROR(INDEX('Semrush Data'!$A$1:$Z$20000,MATCH(A3166,'Semrush Data'!$A$1:$A$20000,0),MATCH("CPC*",'Semrush Data'!$A$1:$Z$1,0)),"")</f>
        <v/>
      </c>
      <c r="J3166" s="42">
        <f>IFERROR(INDEX('Semrush Data'!$A$1:$Z$20000,MATCH(A3166,'Semrush Data'!$A$1:$A$20000,0),MATCH("Intent",'Semrush Data'!$A$1:$Z$1,0)),"")</f>
        <v/>
      </c>
    </row>
    <row r="3167" ht="15" customHeight="1" s="37">
      <c r="A3167" s="42" t="inlineStr">
        <is>
          <t>trussardi delicate rose 100ml</t>
        </is>
      </c>
      <c r="B3167" s="42" t="inlineStr">
        <is>
          <t>Google suggest</t>
        </is>
      </c>
      <c r="C3167" s="42" t="n">
        <v>3</v>
      </c>
      <c r="D3167" s="42" t="n">
        <v>32</v>
      </c>
      <c r="E3167" s="42" t="n">
        <v>1</v>
      </c>
      <c r="F3167" s="42" t="inlineStr">
        <is>
          <t>FR-383</t>
        </is>
      </c>
      <c r="G3167" s="55">
        <f>IFERROR(INDEX('Semrush Data'!$A$1:$Z$20000,MATCH(A3167,'Semrush Data'!$A$1:$A$20000,0),MATCH("Volume",'Semrush Data'!$A$1:$Z$1,0)),"")</f>
        <v/>
      </c>
      <c r="H3167" s="42">
        <f>IFERROR(INDEX('Semrush Data'!$A$1:$Z$20000,MATCH(A3167,'Semrush Data'!$A$1:$A$20000,0),MATCH("Keyword Difficulty*",'Semrush Data'!$A$1:$Z$1,0)),"")</f>
        <v/>
      </c>
      <c r="I3167" s="56">
        <f>IFERROR(INDEX('Semrush Data'!$A$1:$Z$20000,MATCH(A3167,'Semrush Data'!$A$1:$A$20000,0),MATCH("CPC*",'Semrush Data'!$A$1:$Z$1,0)),"")</f>
        <v/>
      </c>
      <c r="J3167" s="42">
        <f>IFERROR(INDEX('Semrush Data'!$A$1:$Z$20000,MATCH(A3167,'Semrush Data'!$A$1:$A$20000,0),MATCH("Intent",'Semrush Data'!$A$1:$Z$1,0)),"")</f>
        <v/>
      </c>
    </row>
    <row r="3168" ht="15" customHeight="1" s="37">
      <c r="A3168" s="42" t="inlineStr">
        <is>
          <t>trussardi delicate rose edt</t>
        </is>
      </c>
      <c r="B3168" s="42" t="inlineStr">
        <is>
          <t>Google suggest</t>
        </is>
      </c>
      <c r="C3168" s="42" t="n">
        <v>3</v>
      </c>
      <c r="D3168" s="42" t="n">
        <v>32</v>
      </c>
      <c r="E3168" s="42" t="n">
        <v>1</v>
      </c>
      <c r="F3168" s="42" t="inlineStr">
        <is>
          <t>FR-383</t>
        </is>
      </c>
      <c r="G3168" s="55">
        <f>IFERROR(INDEX('Semrush Data'!$A$1:$Z$20000,MATCH(A3168,'Semrush Data'!$A$1:$A$20000,0),MATCH("Volume",'Semrush Data'!$A$1:$Z$1,0)),"")</f>
        <v/>
      </c>
      <c r="H3168" s="42">
        <f>IFERROR(INDEX('Semrush Data'!$A$1:$Z$20000,MATCH(A3168,'Semrush Data'!$A$1:$A$20000,0),MATCH("Keyword Difficulty*",'Semrush Data'!$A$1:$Z$1,0)),"")</f>
        <v/>
      </c>
      <c r="I3168" s="56">
        <f>IFERROR(INDEX('Semrush Data'!$A$1:$Z$20000,MATCH(A3168,'Semrush Data'!$A$1:$A$20000,0),MATCH("CPC*",'Semrush Data'!$A$1:$Z$1,0)),"")</f>
        <v/>
      </c>
      <c r="J3168" s="42">
        <f>IFERROR(INDEX('Semrush Data'!$A$1:$Z$20000,MATCH(A3168,'Semrush Data'!$A$1:$A$20000,0),MATCH("Intent",'Semrush Data'!$A$1:$Z$1,0)),"")</f>
        <v/>
      </c>
    </row>
    <row r="3169" ht="15" customHeight="1" s="37">
      <c r="A3169" s="42" t="inlineStr">
        <is>
          <t>trussardi delicate rose notes</t>
        </is>
      </c>
      <c r="B3169" s="42" t="inlineStr">
        <is>
          <t>Google suggest</t>
        </is>
      </c>
      <c r="C3169" s="42" t="n">
        <v>3</v>
      </c>
      <c r="D3169" s="42" t="n">
        <v>32</v>
      </c>
      <c r="E3169" s="42" t="n">
        <v>1</v>
      </c>
      <c r="F3169" s="42" t="inlineStr">
        <is>
          <t>FR-383</t>
        </is>
      </c>
      <c r="G3169" s="55">
        <f>IFERROR(INDEX('Semrush Data'!$A$1:$Z$20000,MATCH(A3169,'Semrush Data'!$A$1:$A$20000,0),MATCH("Volume",'Semrush Data'!$A$1:$Z$1,0)),"")</f>
        <v/>
      </c>
      <c r="H3169" s="42">
        <f>IFERROR(INDEX('Semrush Data'!$A$1:$Z$20000,MATCH(A3169,'Semrush Data'!$A$1:$A$20000,0),MATCH("Keyword Difficulty*",'Semrush Data'!$A$1:$Z$1,0)),"")</f>
        <v/>
      </c>
      <c r="I3169" s="56">
        <f>IFERROR(INDEX('Semrush Data'!$A$1:$Z$20000,MATCH(A3169,'Semrush Data'!$A$1:$A$20000,0),MATCH("CPC*",'Semrush Data'!$A$1:$Z$1,0)),"")</f>
        <v/>
      </c>
      <c r="J3169" s="42">
        <f>IFERROR(INDEX('Semrush Data'!$A$1:$Z$20000,MATCH(A3169,'Semrush Data'!$A$1:$A$20000,0),MATCH("Intent",'Semrush Data'!$A$1:$Z$1,0)),"")</f>
        <v/>
      </c>
    </row>
    <row r="3170" ht="15" customHeight="1" s="37">
      <c r="A3170" s="42" t="inlineStr">
        <is>
          <t>trussardi delicate rose perfume</t>
        </is>
      </c>
      <c r="B3170" s="42" t="inlineStr">
        <is>
          <t>Google suggest</t>
        </is>
      </c>
      <c r="C3170" s="42" t="n">
        <v>3</v>
      </c>
      <c r="D3170" s="42" t="n">
        <v>32</v>
      </c>
      <c r="E3170" s="42" t="n">
        <v>1</v>
      </c>
      <c r="F3170" s="42" t="inlineStr">
        <is>
          <t>FR-383</t>
        </is>
      </c>
      <c r="G3170" s="55">
        <f>IFERROR(INDEX('Semrush Data'!$A$1:$Z$20000,MATCH(A3170,'Semrush Data'!$A$1:$A$20000,0),MATCH("Volume",'Semrush Data'!$A$1:$Z$1,0)),"")</f>
        <v/>
      </c>
      <c r="H3170" s="42">
        <f>IFERROR(INDEX('Semrush Data'!$A$1:$Z$20000,MATCH(A3170,'Semrush Data'!$A$1:$A$20000,0),MATCH("Keyword Difficulty*",'Semrush Data'!$A$1:$Z$1,0)),"")</f>
        <v/>
      </c>
      <c r="I3170" s="56">
        <f>IFERROR(INDEX('Semrush Data'!$A$1:$Z$20000,MATCH(A3170,'Semrush Data'!$A$1:$A$20000,0),MATCH("CPC*",'Semrush Data'!$A$1:$Z$1,0)),"")</f>
        <v/>
      </c>
      <c r="J3170" s="42">
        <f>IFERROR(INDEX('Semrush Data'!$A$1:$Z$20000,MATCH(A3170,'Semrush Data'!$A$1:$A$20000,0),MATCH("Intent",'Semrush Data'!$A$1:$Z$1,0)),"")</f>
        <v/>
      </c>
    </row>
    <row r="3171" ht="15" customHeight="1" s="37">
      <c r="A3171" s="42" t="inlineStr">
        <is>
          <t>trussardi delicate rose review</t>
        </is>
      </c>
      <c r="B3171" s="42" t="inlineStr">
        <is>
          <t>Google suggest</t>
        </is>
      </c>
      <c r="C3171" s="42" t="n">
        <v>3</v>
      </c>
      <c r="D3171" s="42" t="n">
        <v>32</v>
      </c>
      <c r="E3171" s="42" t="n">
        <v>1</v>
      </c>
      <c r="F3171" s="42" t="inlineStr">
        <is>
          <t>FR-383</t>
        </is>
      </c>
      <c r="G3171" s="55">
        <f>IFERROR(INDEX('Semrush Data'!$A$1:$Z$20000,MATCH(A3171,'Semrush Data'!$A$1:$A$20000,0),MATCH("Volume",'Semrush Data'!$A$1:$Z$1,0)),"")</f>
        <v/>
      </c>
      <c r="H3171" s="42">
        <f>IFERROR(INDEX('Semrush Data'!$A$1:$Z$20000,MATCH(A3171,'Semrush Data'!$A$1:$A$20000,0),MATCH("Keyword Difficulty*",'Semrush Data'!$A$1:$Z$1,0)),"")</f>
        <v/>
      </c>
      <c r="I3171" s="56">
        <f>IFERROR(INDEX('Semrush Data'!$A$1:$Z$20000,MATCH(A3171,'Semrush Data'!$A$1:$A$20000,0),MATCH("CPC*",'Semrush Data'!$A$1:$Z$1,0)),"")</f>
        <v/>
      </c>
      <c r="J3171" s="42">
        <f>IFERROR(INDEX('Semrush Data'!$A$1:$Z$20000,MATCH(A3171,'Semrush Data'!$A$1:$A$20000,0),MATCH("Intent",'Semrush Data'!$A$1:$Z$1,0)),"")</f>
        <v/>
      </c>
    </row>
    <row r="3172" ht="15" customHeight="1" s="37">
      <c r="A3172" s="42" t="inlineStr">
        <is>
          <t>trussardi pure jasmine edp</t>
        </is>
      </c>
      <c r="B3172" s="42" t="inlineStr">
        <is>
          <t>Google suggest</t>
        </is>
      </c>
      <c r="C3172" s="42" t="n">
        <v>3</v>
      </c>
      <c r="D3172" s="42" t="n">
        <v>32</v>
      </c>
      <c r="E3172" s="42" t="n">
        <v>1</v>
      </c>
      <c r="F3172" s="42" t="inlineStr">
        <is>
          <t>FR-381</t>
        </is>
      </c>
      <c r="G3172" s="55">
        <f>IFERROR(INDEX('Semrush Data'!$A$1:$Z$20000,MATCH(A3172,'Semrush Data'!$A$1:$A$20000,0),MATCH("Volume",'Semrush Data'!$A$1:$Z$1,0)),"")</f>
        <v/>
      </c>
      <c r="H3172" s="42">
        <f>IFERROR(INDEX('Semrush Data'!$A$1:$Z$20000,MATCH(A3172,'Semrush Data'!$A$1:$A$20000,0),MATCH("Keyword Difficulty*",'Semrush Data'!$A$1:$Z$1,0)),"")</f>
        <v/>
      </c>
      <c r="I3172" s="56">
        <f>IFERROR(INDEX('Semrush Data'!$A$1:$Z$20000,MATCH(A3172,'Semrush Data'!$A$1:$A$20000,0),MATCH("CPC*",'Semrush Data'!$A$1:$Z$1,0)),"")</f>
        <v/>
      </c>
      <c r="J3172" s="42">
        <f>IFERROR(INDEX('Semrush Data'!$A$1:$Z$20000,MATCH(A3172,'Semrush Data'!$A$1:$A$20000,0),MATCH("Intent",'Semrush Data'!$A$1:$Z$1,0)),"")</f>
        <v/>
      </c>
    </row>
    <row r="3173" ht="15" customHeight="1" s="37">
      <c r="A3173" s="42" t="inlineStr">
        <is>
          <t>trussardi pure jasmine perfume</t>
        </is>
      </c>
      <c r="B3173" s="42" t="inlineStr">
        <is>
          <t>Google suggest</t>
        </is>
      </c>
      <c r="C3173" s="42" t="n">
        <v>3</v>
      </c>
      <c r="D3173" s="42" t="n">
        <v>32</v>
      </c>
      <c r="E3173" s="42" t="n">
        <v>1</v>
      </c>
      <c r="F3173" s="42" t="inlineStr">
        <is>
          <t>FR-381</t>
        </is>
      </c>
      <c r="G3173" s="55">
        <f>IFERROR(INDEX('Semrush Data'!$A$1:$Z$20000,MATCH(A3173,'Semrush Data'!$A$1:$A$20000,0),MATCH("Volume",'Semrush Data'!$A$1:$Z$1,0)),"")</f>
        <v/>
      </c>
      <c r="H3173" s="42">
        <f>IFERROR(INDEX('Semrush Data'!$A$1:$Z$20000,MATCH(A3173,'Semrush Data'!$A$1:$A$20000,0),MATCH("Keyword Difficulty*",'Semrush Data'!$A$1:$Z$1,0)),"")</f>
        <v/>
      </c>
      <c r="I3173" s="56">
        <f>IFERROR(INDEX('Semrush Data'!$A$1:$Z$20000,MATCH(A3173,'Semrush Data'!$A$1:$A$20000,0),MATCH("CPC*",'Semrush Data'!$A$1:$Z$1,0)),"")</f>
        <v/>
      </c>
      <c r="J3173" s="42">
        <f>IFERROR(INDEX('Semrush Data'!$A$1:$Z$20000,MATCH(A3173,'Semrush Data'!$A$1:$A$20000,0),MATCH("Intent",'Semrush Data'!$A$1:$Z$1,0)),"")</f>
        <v/>
      </c>
    </row>
    <row r="3174" ht="15" customHeight="1" s="37">
      <c r="A3174" s="42" t="inlineStr">
        <is>
          <t>trussardi pure jasmine review</t>
        </is>
      </c>
      <c r="B3174" s="42" t="inlineStr">
        <is>
          <t>Google suggest</t>
        </is>
      </c>
      <c r="C3174" s="42" t="n">
        <v>3</v>
      </c>
      <c r="D3174" s="42" t="n">
        <v>32</v>
      </c>
      <c r="E3174" s="42" t="n">
        <v>1</v>
      </c>
      <c r="F3174" s="42" t="inlineStr">
        <is>
          <t>FR-381</t>
        </is>
      </c>
      <c r="G3174" s="55">
        <f>IFERROR(INDEX('Semrush Data'!$A$1:$Z$20000,MATCH(A3174,'Semrush Data'!$A$1:$A$20000,0),MATCH("Volume",'Semrush Data'!$A$1:$Z$1,0)),"")</f>
        <v/>
      </c>
      <c r="H3174" s="42">
        <f>IFERROR(INDEX('Semrush Data'!$A$1:$Z$20000,MATCH(A3174,'Semrush Data'!$A$1:$A$20000,0),MATCH("Keyword Difficulty*",'Semrush Data'!$A$1:$Z$1,0)),"")</f>
        <v/>
      </c>
      <c r="I3174" s="56">
        <f>IFERROR(INDEX('Semrush Data'!$A$1:$Z$20000,MATCH(A3174,'Semrush Data'!$A$1:$A$20000,0),MATCH("CPC*",'Semrush Data'!$A$1:$Z$1,0)),"")</f>
        <v/>
      </c>
      <c r="J3174" s="42">
        <f>IFERROR(INDEX('Semrush Data'!$A$1:$Z$20000,MATCH(A3174,'Semrush Data'!$A$1:$A$20000,0),MATCH("Intent",'Semrush Data'!$A$1:$Z$1,0)),"")</f>
        <v/>
      </c>
    </row>
    <row r="3175" ht="15" customHeight="1" s="37">
      <c r="A3175" s="42" t="inlineStr">
        <is>
          <t>trussardi pure jasmine отзывы</t>
        </is>
      </c>
      <c r="B3175" s="42" t="inlineStr">
        <is>
          <t>Google suggest</t>
        </is>
      </c>
      <c r="C3175" s="42" t="n">
        <v>3</v>
      </c>
      <c r="D3175" s="42" t="n">
        <v>32</v>
      </c>
      <c r="E3175" s="42" t="n">
        <v>1</v>
      </c>
      <c r="F3175" s="42" t="inlineStr">
        <is>
          <t>FR-381</t>
        </is>
      </c>
      <c r="G3175" s="55">
        <f>IFERROR(INDEX('Semrush Data'!$A$1:$Z$20000,MATCH(A3175,'Semrush Data'!$A$1:$A$20000,0),MATCH("Volume",'Semrush Data'!$A$1:$Z$1,0)),"")</f>
        <v/>
      </c>
      <c r="H3175" s="42">
        <f>IFERROR(INDEX('Semrush Data'!$A$1:$Z$20000,MATCH(A3175,'Semrush Data'!$A$1:$A$20000,0),MATCH("Keyword Difficulty*",'Semrush Data'!$A$1:$Z$1,0)),"")</f>
        <v/>
      </c>
      <c r="I3175" s="56">
        <f>IFERROR(INDEX('Semrush Data'!$A$1:$Z$20000,MATCH(A3175,'Semrush Data'!$A$1:$A$20000,0),MATCH("CPC*",'Semrush Data'!$A$1:$Z$1,0)),"")</f>
        <v/>
      </c>
      <c r="J3175" s="42">
        <f>IFERROR(INDEX('Semrush Data'!$A$1:$Z$20000,MATCH(A3175,'Semrush Data'!$A$1:$A$20000,0),MATCH("Intent",'Semrush Data'!$A$1:$Z$1,0)),"")</f>
        <v/>
      </c>
    </row>
    <row r="3176" ht="15" customHeight="1" s="37">
      <c r="A3176" s="42" t="inlineStr">
        <is>
          <t>trussardi ruby red set</t>
        </is>
      </c>
      <c r="B3176" s="42" t="inlineStr">
        <is>
          <t>Google suggest</t>
        </is>
      </c>
      <c r="C3176" s="42" t="n">
        <v>3</v>
      </c>
      <c r="D3176" s="42" t="n">
        <v>32</v>
      </c>
      <c r="E3176" s="42" t="n">
        <v>1</v>
      </c>
      <c r="F3176" s="42" t="inlineStr">
        <is>
          <t>FR-385</t>
        </is>
      </c>
      <c r="G3176" s="55">
        <f>IFERROR(INDEX('Semrush Data'!$A$1:$Z$20000,MATCH(A3176,'Semrush Data'!$A$1:$A$20000,0),MATCH("Volume",'Semrush Data'!$A$1:$Z$1,0)),"")</f>
        <v/>
      </c>
      <c r="H3176" s="42">
        <f>IFERROR(INDEX('Semrush Data'!$A$1:$Z$20000,MATCH(A3176,'Semrush Data'!$A$1:$A$20000,0),MATCH("Keyword Difficulty*",'Semrush Data'!$A$1:$Z$1,0)),"")</f>
        <v/>
      </c>
      <c r="I3176" s="56">
        <f>IFERROR(INDEX('Semrush Data'!$A$1:$Z$20000,MATCH(A3176,'Semrush Data'!$A$1:$A$20000,0),MATCH("CPC*",'Semrush Data'!$A$1:$Z$1,0)),"")</f>
        <v/>
      </c>
      <c r="J3176" s="42">
        <f>IFERROR(INDEX('Semrush Data'!$A$1:$Z$20000,MATCH(A3176,'Semrush Data'!$A$1:$A$20000,0),MATCH("Intent",'Semrush Data'!$A$1:$Z$1,0)),"")</f>
        <v/>
      </c>
    </row>
    <row r="3177" ht="15" customHeight="1" s="37">
      <c r="A3177" s="42" t="inlineStr">
        <is>
          <t>vilvah aloe vera gel benefits</t>
        </is>
      </c>
      <c r="B3177" s="42" t="inlineStr">
        <is>
          <t>Google suggest</t>
        </is>
      </c>
      <c r="C3177" s="42" t="n">
        <v>3</v>
      </c>
      <c r="D3177" s="42" t="n">
        <v>32</v>
      </c>
      <c r="E3177" s="42" t="n">
        <v>1</v>
      </c>
      <c r="F3177" s="42" t="inlineStr">
        <is>
          <t>VD-020</t>
        </is>
      </c>
      <c r="G3177" s="55">
        <f>IFERROR(INDEX('Semrush Data'!$A$1:$Z$20000,MATCH(A3177,'Semrush Data'!$A$1:$A$20000,0),MATCH("Volume",'Semrush Data'!$A$1:$Z$1,0)),"")</f>
        <v/>
      </c>
      <c r="H3177" s="42">
        <f>IFERROR(INDEX('Semrush Data'!$A$1:$Z$20000,MATCH(A3177,'Semrush Data'!$A$1:$A$20000,0),MATCH("Keyword Difficulty*",'Semrush Data'!$A$1:$Z$1,0)),"")</f>
        <v/>
      </c>
      <c r="I3177" s="56">
        <f>IFERROR(INDEX('Semrush Data'!$A$1:$Z$20000,MATCH(A3177,'Semrush Data'!$A$1:$A$20000,0),MATCH("CPC*",'Semrush Data'!$A$1:$Z$1,0)),"")</f>
        <v/>
      </c>
      <c r="J3177" s="42">
        <f>IFERROR(INDEX('Semrush Data'!$A$1:$Z$20000,MATCH(A3177,'Semrush Data'!$A$1:$A$20000,0),MATCH("Intent",'Semrush Data'!$A$1:$Z$1,0)),"")</f>
        <v/>
      </c>
    </row>
    <row r="3178" ht="15" customHeight="1" s="37">
      <c r="A3178" s="42" t="inlineStr">
        <is>
          <t>vilvah aloe vera gel how to use</t>
        </is>
      </c>
      <c r="B3178" s="42" t="inlineStr">
        <is>
          <t>Google suggest</t>
        </is>
      </c>
      <c r="C3178" s="42" t="n">
        <v>3</v>
      </c>
      <c r="D3178" s="42" t="n">
        <v>32</v>
      </c>
      <c r="E3178" s="42" t="n">
        <v>1</v>
      </c>
      <c r="F3178" s="42" t="inlineStr">
        <is>
          <t>VD-020</t>
        </is>
      </c>
      <c r="G3178" s="55">
        <f>IFERROR(INDEX('Semrush Data'!$A$1:$Z$20000,MATCH(A3178,'Semrush Data'!$A$1:$A$20000,0),MATCH("Volume",'Semrush Data'!$A$1:$Z$1,0)),"")</f>
        <v/>
      </c>
      <c r="H3178" s="42">
        <f>IFERROR(INDEX('Semrush Data'!$A$1:$Z$20000,MATCH(A3178,'Semrush Data'!$A$1:$A$20000,0),MATCH("Keyword Difficulty*",'Semrush Data'!$A$1:$Z$1,0)),"")</f>
        <v/>
      </c>
      <c r="I3178" s="56">
        <f>IFERROR(INDEX('Semrush Data'!$A$1:$Z$20000,MATCH(A3178,'Semrush Data'!$A$1:$A$20000,0),MATCH("CPC*",'Semrush Data'!$A$1:$Z$1,0)),"")</f>
        <v/>
      </c>
      <c r="J3178" s="42">
        <f>IFERROR(INDEX('Semrush Data'!$A$1:$Z$20000,MATCH(A3178,'Semrush Data'!$A$1:$A$20000,0),MATCH("Intent",'Semrush Data'!$A$1:$Z$1,0)),"")</f>
        <v/>
      </c>
    </row>
    <row r="3179" ht="15" customHeight="1" s="37">
      <c r="A3179" s="42" t="inlineStr">
        <is>
          <t>vilvah aloe vera gel india</t>
        </is>
      </c>
      <c r="B3179" s="42" t="inlineStr">
        <is>
          <t>Google suggest</t>
        </is>
      </c>
      <c r="C3179" s="42" t="n">
        <v>3</v>
      </c>
      <c r="D3179" s="42" t="n">
        <v>32</v>
      </c>
      <c r="E3179" s="42" t="n">
        <v>1</v>
      </c>
      <c r="F3179" s="42" t="inlineStr">
        <is>
          <t>VD-020</t>
        </is>
      </c>
      <c r="G3179" s="55">
        <f>IFERROR(INDEX('Semrush Data'!$A$1:$Z$20000,MATCH(A3179,'Semrush Data'!$A$1:$A$20000,0),MATCH("Volume",'Semrush Data'!$A$1:$Z$1,0)),"")</f>
        <v/>
      </c>
      <c r="H3179" s="42">
        <f>IFERROR(INDEX('Semrush Data'!$A$1:$Z$20000,MATCH(A3179,'Semrush Data'!$A$1:$A$20000,0),MATCH("Keyword Difficulty*",'Semrush Data'!$A$1:$Z$1,0)),"")</f>
        <v/>
      </c>
      <c r="I3179" s="56">
        <f>IFERROR(INDEX('Semrush Data'!$A$1:$Z$20000,MATCH(A3179,'Semrush Data'!$A$1:$A$20000,0),MATCH("CPC*",'Semrush Data'!$A$1:$Z$1,0)),"")</f>
        <v/>
      </c>
      <c r="J3179" s="42">
        <f>IFERROR(INDEX('Semrush Data'!$A$1:$Z$20000,MATCH(A3179,'Semrush Data'!$A$1:$A$20000,0),MATCH("Intent",'Semrush Data'!$A$1:$Z$1,0)),"")</f>
        <v/>
      </c>
    </row>
    <row r="3180" ht="15" customHeight="1" s="37">
      <c r="A3180" s="42" t="inlineStr">
        <is>
          <t>vilvah aloe vera gel ingredients</t>
        </is>
      </c>
      <c r="B3180" s="42" t="inlineStr">
        <is>
          <t>Google suggest</t>
        </is>
      </c>
      <c r="C3180" s="42" t="n">
        <v>3</v>
      </c>
      <c r="D3180" s="42" t="n">
        <v>32</v>
      </c>
      <c r="E3180" s="42" t="n">
        <v>1</v>
      </c>
      <c r="F3180" s="42" t="inlineStr">
        <is>
          <t>VD-020</t>
        </is>
      </c>
      <c r="G3180" s="55">
        <f>IFERROR(INDEX('Semrush Data'!$A$1:$Z$20000,MATCH(A3180,'Semrush Data'!$A$1:$A$20000,0),MATCH("Volume",'Semrush Data'!$A$1:$Z$1,0)),"")</f>
        <v/>
      </c>
      <c r="H3180" s="42">
        <f>IFERROR(INDEX('Semrush Data'!$A$1:$Z$20000,MATCH(A3180,'Semrush Data'!$A$1:$A$20000,0),MATCH("Keyword Difficulty*",'Semrush Data'!$A$1:$Z$1,0)),"")</f>
        <v/>
      </c>
      <c r="I3180" s="56">
        <f>IFERROR(INDEX('Semrush Data'!$A$1:$Z$20000,MATCH(A3180,'Semrush Data'!$A$1:$A$20000,0),MATCH("CPC*",'Semrush Data'!$A$1:$Z$1,0)),"")</f>
        <v/>
      </c>
      <c r="J3180" s="42">
        <f>IFERROR(INDEX('Semrush Data'!$A$1:$Z$20000,MATCH(A3180,'Semrush Data'!$A$1:$A$20000,0),MATCH("Intent",'Semrush Data'!$A$1:$Z$1,0)),"")</f>
        <v/>
      </c>
    </row>
    <row r="3181" ht="15" customHeight="1" s="37">
      <c r="A3181" s="42" t="inlineStr">
        <is>
          <t>vilvah aloe vera gel review</t>
        </is>
      </c>
      <c r="B3181" s="42" t="inlineStr">
        <is>
          <t>Google suggest</t>
        </is>
      </c>
      <c r="C3181" s="42" t="n">
        <v>3</v>
      </c>
      <c r="D3181" s="42" t="inlineStr">
        <is>
          <t>T3-2</t>
        </is>
      </c>
      <c r="E3181" s="42" t="n">
        <v>1</v>
      </c>
      <c r="F3181" s="42" t="inlineStr">
        <is>
          <t>VD-020</t>
        </is>
      </c>
      <c r="G3181" s="55">
        <f>IFERROR(INDEX('Semrush Data'!$A$1:$Z$20000,MATCH(A3181,'Semrush Data'!$A$1:$A$20000,0),MATCH("Volume",'Semrush Data'!$A$1:$Z$1,0)),"")</f>
        <v/>
      </c>
      <c r="H3181" s="42">
        <f>IFERROR(INDEX('Semrush Data'!$A$1:$Z$20000,MATCH(A3181,'Semrush Data'!$A$1:$A$20000,0),MATCH("Keyword Difficulty*",'Semrush Data'!$A$1:$Z$1,0)),"")</f>
        <v/>
      </c>
      <c r="I3181" s="56">
        <f>IFERROR(INDEX('Semrush Data'!$A$1:$Z$20000,MATCH(A3181,'Semrush Data'!$A$1:$A$20000,0),MATCH("CPC*",'Semrush Data'!$A$1:$Z$1,0)),"")</f>
        <v/>
      </c>
      <c r="J3181" s="42">
        <f>IFERROR(INDEX('Semrush Data'!$A$1:$Z$20000,MATCH(A3181,'Semrush Data'!$A$1:$A$20000,0),MATCH("Intent",'Semrush Data'!$A$1:$Z$1,0)),"")</f>
        <v/>
      </c>
    </row>
    <row r="3182" ht="15" customHeight="1" s="37">
      <c r="A3182" s="42" t="inlineStr">
        <is>
          <t>vilvah anti dandruff hair oil review</t>
        </is>
      </c>
      <c r="B3182" s="42" t="inlineStr">
        <is>
          <t>Google suggest</t>
        </is>
      </c>
      <c r="C3182" s="42" t="n">
        <v>3</v>
      </c>
      <c r="D3182" s="42" t="inlineStr">
        <is>
          <t>T3-2</t>
        </is>
      </c>
      <c r="E3182" s="42" t="n">
        <v>1</v>
      </c>
      <c r="F3182" s="42" t="inlineStr">
        <is>
          <t>VD-021</t>
        </is>
      </c>
      <c r="G3182" s="55">
        <f>IFERROR(INDEX('Semrush Data'!$A$1:$Z$20000,MATCH(A3182,'Semrush Data'!$A$1:$A$20000,0),MATCH("Volume",'Semrush Data'!$A$1:$Z$1,0)),"")</f>
        <v/>
      </c>
      <c r="H3182" s="42">
        <f>IFERROR(INDEX('Semrush Data'!$A$1:$Z$20000,MATCH(A3182,'Semrush Data'!$A$1:$A$20000,0),MATCH("Keyword Difficulty*",'Semrush Data'!$A$1:$Z$1,0)),"")</f>
        <v/>
      </c>
      <c r="I3182" s="56">
        <f>IFERROR(INDEX('Semrush Data'!$A$1:$Z$20000,MATCH(A3182,'Semrush Data'!$A$1:$A$20000,0),MATCH("CPC*",'Semrush Data'!$A$1:$Z$1,0)),"")</f>
        <v/>
      </c>
      <c r="J3182" s="42">
        <f>IFERROR(INDEX('Semrush Data'!$A$1:$Z$20000,MATCH(A3182,'Semrush Data'!$A$1:$A$20000,0),MATCH("Intent",'Semrush Data'!$A$1:$Z$1,0)),"")</f>
        <v/>
      </c>
    </row>
    <row r="3183" ht="15" customHeight="1" s="37">
      <c r="A3183" s="42" t="inlineStr">
        <is>
          <t>vilvah anti dandruff oil review</t>
        </is>
      </c>
      <c r="B3183" s="42" t="inlineStr">
        <is>
          <t>Google suggest</t>
        </is>
      </c>
      <c r="C3183" s="42" t="n">
        <v>3</v>
      </c>
      <c r="D3183" s="42" t="n">
        <v>32</v>
      </c>
      <c r="E3183" s="42" t="n">
        <v>1</v>
      </c>
      <c r="F3183" s="42" t="inlineStr">
        <is>
          <t>VD-021</t>
        </is>
      </c>
      <c r="G3183" s="55">
        <f>IFERROR(INDEX('Semrush Data'!$A$1:$Z$20000,MATCH(A3183,'Semrush Data'!$A$1:$A$20000,0),MATCH("Volume",'Semrush Data'!$A$1:$Z$1,0)),"")</f>
        <v/>
      </c>
      <c r="H3183" s="42">
        <f>IFERROR(INDEX('Semrush Data'!$A$1:$Z$20000,MATCH(A3183,'Semrush Data'!$A$1:$A$20000,0),MATCH("Keyword Difficulty*",'Semrush Data'!$A$1:$Z$1,0)),"")</f>
        <v/>
      </c>
      <c r="I3183" s="56">
        <f>IFERROR(INDEX('Semrush Data'!$A$1:$Z$20000,MATCH(A3183,'Semrush Data'!$A$1:$A$20000,0),MATCH("CPC*",'Semrush Data'!$A$1:$Z$1,0)),"")</f>
        <v/>
      </c>
      <c r="J3183" s="42">
        <f>IFERROR(INDEX('Semrush Data'!$A$1:$Z$20000,MATCH(A3183,'Semrush Data'!$A$1:$A$20000,0),MATCH("Intent",'Semrush Data'!$A$1:$Z$1,0)),"")</f>
        <v/>
      </c>
    </row>
    <row r="3184" ht="15" customHeight="1" s="37">
      <c r="A3184" s="42" t="inlineStr">
        <is>
          <t>vilvah anti frizz hair serum price</t>
        </is>
      </c>
      <c r="B3184" s="42" t="inlineStr">
        <is>
          <t>Google suggest</t>
        </is>
      </c>
      <c r="C3184" s="42" t="n">
        <v>3</v>
      </c>
      <c r="D3184" s="42" t="n">
        <v>32</v>
      </c>
      <c r="E3184" s="42" t="n">
        <v>1</v>
      </c>
      <c r="F3184" s="42" t="inlineStr">
        <is>
          <t>VD-022</t>
        </is>
      </c>
      <c r="G3184" s="55">
        <f>IFERROR(INDEX('Semrush Data'!$A$1:$Z$20000,MATCH(A3184,'Semrush Data'!$A$1:$A$20000,0),MATCH("Volume",'Semrush Data'!$A$1:$Z$1,0)),"")</f>
        <v/>
      </c>
      <c r="H3184" s="42">
        <f>IFERROR(INDEX('Semrush Data'!$A$1:$Z$20000,MATCH(A3184,'Semrush Data'!$A$1:$A$20000,0),MATCH("Keyword Difficulty*",'Semrush Data'!$A$1:$Z$1,0)),"")</f>
        <v/>
      </c>
      <c r="I3184" s="56">
        <f>IFERROR(INDEX('Semrush Data'!$A$1:$Z$20000,MATCH(A3184,'Semrush Data'!$A$1:$A$20000,0),MATCH("CPC*",'Semrush Data'!$A$1:$Z$1,0)),"")</f>
        <v/>
      </c>
      <c r="J3184" s="42">
        <f>IFERROR(INDEX('Semrush Data'!$A$1:$Z$20000,MATCH(A3184,'Semrush Data'!$A$1:$A$20000,0),MATCH("Intent",'Semrush Data'!$A$1:$Z$1,0)),"")</f>
        <v/>
      </c>
    </row>
    <row r="3185" ht="15" customHeight="1" s="37">
      <c r="A3185" s="42" t="inlineStr">
        <is>
          <t>vilvah anti frizz hair serum review</t>
        </is>
      </c>
      <c r="B3185" s="42" t="inlineStr">
        <is>
          <t>Google suggest</t>
        </is>
      </c>
      <c r="C3185" s="42" t="n">
        <v>3</v>
      </c>
      <c r="D3185" s="42" t="inlineStr">
        <is>
          <t>T3-2</t>
        </is>
      </c>
      <c r="E3185" s="42" t="n">
        <v>1</v>
      </c>
      <c r="F3185" s="42" t="inlineStr">
        <is>
          <t>VD-022</t>
        </is>
      </c>
      <c r="G3185" s="55">
        <f>IFERROR(INDEX('Semrush Data'!$A$1:$Z$20000,MATCH(A3185,'Semrush Data'!$A$1:$A$20000,0),MATCH("Volume",'Semrush Data'!$A$1:$Z$1,0)),"")</f>
        <v/>
      </c>
      <c r="H3185" s="42">
        <f>IFERROR(INDEX('Semrush Data'!$A$1:$Z$20000,MATCH(A3185,'Semrush Data'!$A$1:$A$20000,0),MATCH("Keyword Difficulty*",'Semrush Data'!$A$1:$Z$1,0)),"")</f>
        <v/>
      </c>
      <c r="I3185" s="56">
        <f>IFERROR(INDEX('Semrush Data'!$A$1:$Z$20000,MATCH(A3185,'Semrush Data'!$A$1:$A$20000,0),MATCH("CPC*",'Semrush Data'!$A$1:$Z$1,0)),"")</f>
        <v/>
      </c>
      <c r="J3185" s="42">
        <f>IFERROR(INDEX('Semrush Data'!$A$1:$Z$20000,MATCH(A3185,'Semrush Data'!$A$1:$A$20000,0),MATCH("Intent",'Semrush Data'!$A$1:$Z$1,0)),"")</f>
        <v/>
      </c>
    </row>
    <row r="3186" ht="15" customHeight="1" s="37">
      <c r="A3186" s="42" t="inlineStr">
        <is>
          <t>vilvah better ageing serum review</t>
        </is>
      </c>
      <c r="B3186" s="42" t="inlineStr">
        <is>
          <t>Google suggest</t>
        </is>
      </c>
      <c r="C3186" s="42" t="n">
        <v>3</v>
      </c>
      <c r="D3186" s="42" t="inlineStr">
        <is>
          <t>T3-2</t>
        </is>
      </c>
      <c r="E3186" s="42" t="n">
        <v>1</v>
      </c>
      <c r="F3186" s="42" t="inlineStr">
        <is>
          <t>VD-023</t>
        </is>
      </c>
      <c r="G3186" s="55">
        <f>IFERROR(INDEX('Semrush Data'!$A$1:$Z$20000,MATCH(A3186,'Semrush Data'!$A$1:$A$20000,0),MATCH("Volume",'Semrush Data'!$A$1:$Z$1,0)),"")</f>
        <v/>
      </c>
      <c r="H3186" s="42">
        <f>IFERROR(INDEX('Semrush Data'!$A$1:$Z$20000,MATCH(A3186,'Semrush Data'!$A$1:$A$20000,0),MATCH("Keyword Difficulty*",'Semrush Data'!$A$1:$Z$1,0)),"")</f>
        <v/>
      </c>
      <c r="I3186" s="56">
        <f>IFERROR(INDEX('Semrush Data'!$A$1:$Z$20000,MATCH(A3186,'Semrush Data'!$A$1:$A$20000,0),MATCH("CPC*",'Semrush Data'!$A$1:$Z$1,0)),"")</f>
        <v/>
      </c>
      <c r="J3186" s="42">
        <f>IFERROR(INDEX('Semrush Data'!$A$1:$Z$20000,MATCH(A3186,'Semrush Data'!$A$1:$A$20000,0),MATCH("Intent",'Semrush Data'!$A$1:$Z$1,0)),"")</f>
        <v/>
      </c>
    </row>
    <row r="3187" ht="15" customHeight="1" s="37">
      <c r="A3187" s="42" t="inlineStr">
        <is>
          <t>vilvah conditioner review</t>
        </is>
      </c>
      <c r="B3187" s="42" t="inlineStr">
        <is>
          <t>Google suggest</t>
        </is>
      </c>
      <c r="C3187" s="42" t="n">
        <v>3</v>
      </c>
      <c r="D3187" s="42" t="n">
        <v>32</v>
      </c>
      <c r="E3187" s="42" t="n">
        <v>1</v>
      </c>
      <c r="F3187" s="42" t="inlineStr">
        <is>
          <t>VD-012</t>
        </is>
      </c>
      <c r="G3187" s="55">
        <f>IFERROR(INDEX('Semrush Data'!$A$1:$Z$20000,MATCH(A3187,'Semrush Data'!$A$1:$A$20000,0),MATCH("Volume",'Semrush Data'!$A$1:$Z$1,0)),"")</f>
        <v/>
      </c>
      <c r="H3187" s="42">
        <f>IFERROR(INDEX('Semrush Data'!$A$1:$Z$20000,MATCH(A3187,'Semrush Data'!$A$1:$A$20000,0),MATCH("Keyword Difficulty*",'Semrush Data'!$A$1:$Z$1,0)),"")</f>
        <v/>
      </c>
      <c r="I3187" s="56">
        <f>IFERROR(INDEX('Semrush Data'!$A$1:$Z$20000,MATCH(A3187,'Semrush Data'!$A$1:$A$20000,0),MATCH("CPC*",'Semrush Data'!$A$1:$Z$1,0)),"")</f>
        <v/>
      </c>
      <c r="J3187" s="42">
        <f>IFERROR(INDEX('Semrush Data'!$A$1:$Z$20000,MATCH(A3187,'Semrush Data'!$A$1:$A$20000,0),MATCH("Intent",'Semrush Data'!$A$1:$Z$1,0)),"")</f>
        <v/>
      </c>
    </row>
    <row r="3188" ht="15" customHeight="1" s="37">
      <c r="A3188" s="42" t="inlineStr">
        <is>
          <t>vilvah cream bun lip balm review</t>
        </is>
      </c>
      <c r="B3188" s="42" t="inlineStr">
        <is>
          <t>Google suggest</t>
        </is>
      </c>
      <c r="C3188" s="42" t="n">
        <v>3</v>
      </c>
      <c r="D3188" s="42" t="inlineStr">
        <is>
          <t>T3-2</t>
        </is>
      </c>
      <c r="E3188" s="42" t="n">
        <v>1</v>
      </c>
      <c r="F3188" s="42" t="inlineStr">
        <is>
          <t>VD-046</t>
        </is>
      </c>
      <c r="G3188" s="55">
        <f>IFERROR(INDEX('Semrush Data'!$A$1:$Z$20000,MATCH(A3188,'Semrush Data'!$A$1:$A$20000,0),MATCH("Volume",'Semrush Data'!$A$1:$Z$1,0)),"")</f>
        <v/>
      </c>
      <c r="H3188" s="42">
        <f>IFERROR(INDEX('Semrush Data'!$A$1:$Z$20000,MATCH(A3188,'Semrush Data'!$A$1:$A$20000,0),MATCH("Keyword Difficulty*",'Semrush Data'!$A$1:$Z$1,0)),"")</f>
        <v/>
      </c>
      <c r="I3188" s="56">
        <f>IFERROR(INDEX('Semrush Data'!$A$1:$Z$20000,MATCH(A3188,'Semrush Data'!$A$1:$A$20000,0),MATCH("CPC*",'Semrush Data'!$A$1:$Z$1,0)),"")</f>
        <v/>
      </c>
      <c r="J3188" s="42">
        <f>IFERROR(INDEX('Semrush Data'!$A$1:$Z$20000,MATCH(A3188,'Semrush Data'!$A$1:$A$20000,0),MATCH("Intent",'Semrush Data'!$A$1:$Z$1,0)),"")</f>
        <v/>
      </c>
    </row>
    <row r="3189" ht="15" customHeight="1" s="37">
      <c r="A3189" s="42" t="inlineStr">
        <is>
          <t>vilvah cream conditioner ingredients</t>
        </is>
      </c>
      <c r="B3189" s="42" t="inlineStr">
        <is>
          <t>Google suggest</t>
        </is>
      </c>
      <c r="C3189" s="42" t="n">
        <v>3</v>
      </c>
      <c r="D3189" s="42" t="n">
        <v>32</v>
      </c>
      <c r="E3189" s="42" t="n">
        <v>1</v>
      </c>
      <c r="F3189" s="42" t="inlineStr">
        <is>
          <t>VD-012</t>
        </is>
      </c>
      <c r="G3189" s="55">
        <f>IFERROR(INDEX('Semrush Data'!$A$1:$Z$20000,MATCH(A3189,'Semrush Data'!$A$1:$A$20000,0),MATCH("Volume",'Semrush Data'!$A$1:$Z$1,0)),"")</f>
        <v/>
      </c>
      <c r="H3189" s="42">
        <f>IFERROR(INDEX('Semrush Data'!$A$1:$Z$20000,MATCH(A3189,'Semrush Data'!$A$1:$A$20000,0),MATCH("Keyword Difficulty*",'Semrush Data'!$A$1:$Z$1,0)),"")</f>
        <v/>
      </c>
      <c r="I3189" s="56">
        <f>IFERROR(INDEX('Semrush Data'!$A$1:$Z$20000,MATCH(A3189,'Semrush Data'!$A$1:$A$20000,0),MATCH("CPC*",'Semrush Data'!$A$1:$Z$1,0)),"")</f>
        <v/>
      </c>
      <c r="J3189" s="42">
        <f>IFERROR(INDEX('Semrush Data'!$A$1:$Z$20000,MATCH(A3189,'Semrush Data'!$A$1:$A$20000,0),MATCH("Intent",'Semrush Data'!$A$1:$Z$1,0)),"")</f>
        <v/>
      </c>
    </row>
    <row r="3190" ht="15" customHeight="1" s="37">
      <c r="A3190" s="42" t="inlineStr">
        <is>
          <t>vilvah cream conditioner review</t>
        </is>
      </c>
      <c r="B3190" s="42" t="inlineStr">
        <is>
          <t>Google suggest</t>
        </is>
      </c>
      <c r="C3190" s="42" t="n">
        <v>3</v>
      </c>
      <c r="D3190" s="42" t="inlineStr">
        <is>
          <t>T3-2</t>
        </is>
      </c>
      <c r="E3190" s="42" t="n">
        <v>1</v>
      </c>
      <c r="F3190" s="42" t="inlineStr">
        <is>
          <t>VD-012</t>
        </is>
      </c>
      <c r="G3190" s="55">
        <f>IFERROR(INDEX('Semrush Data'!$A$1:$Z$20000,MATCH(A3190,'Semrush Data'!$A$1:$A$20000,0),MATCH("Volume",'Semrush Data'!$A$1:$Z$1,0)),"")</f>
        <v/>
      </c>
      <c r="H3190" s="42">
        <f>IFERROR(INDEX('Semrush Data'!$A$1:$Z$20000,MATCH(A3190,'Semrush Data'!$A$1:$A$20000,0),MATCH("Keyword Difficulty*",'Semrush Data'!$A$1:$Z$1,0)),"")</f>
        <v/>
      </c>
      <c r="I3190" s="56">
        <f>IFERROR(INDEX('Semrush Data'!$A$1:$Z$20000,MATCH(A3190,'Semrush Data'!$A$1:$A$20000,0),MATCH("CPC*",'Semrush Data'!$A$1:$Z$1,0)),"")</f>
        <v/>
      </c>
      <c r="J3190" s="42">
        <f>IFERROR(INDEX('Semrush Data'!$A$1:$Z$20000,MATCH(A3190,'Semrush Data'!$A$1:$A$20000,0),MATCH("Intent",'Semrush Data'!$A$1:$Z$1,0)),"")</f>
        <v/>
      </c>
    </row>
    <row r="3191" ht="15" customHeight="1" s="37">
      <c r="A3191" s="42" t="inlineStr">
        <is>
          <t>vilvah foot cream ingredients</t>
        </is>
      </c>
      <c r="B3191" s="42" t="inlineStr">
        <is>
          <t>Google suggest</t>
        </is>
      </c>
      <c r="C3191" s="42" t="n">
        <v>3</v>
      </c>
      <c r="D3191" s="42" t="n">
        <v>32</v>
      </c>
      <c r="E3191" s="42" t="n">
        <v>1</v>
      </c>
      <c r="F3191" s="42" t="inlineStr">
        <is>
          <t>VD-030</t>
        </is>
      </c>
      <c r="G3191" s="55">
        <f>IFERROR(INDEX('Semrush Data'!$A$1:$Z$20000,MATCH(A3191,'Semrush Data'!$A$1:$A$20000,0),MATCH("Volume",'Semrush Data'!$A$1:$Z$1,0)),"")</f>
        <v/>
      </c>
      <c r="H3191" s="42">
        <f>IFERROR(INDEX('Semrush Data'!$A$1:$Z$20000,MATCH(A3191,'Semrush Data'!$A$1:$A$20000,0),MATCH("Keyword Difficulty*",'Semrush Data'!$A$1:$Z$1,0)),"")</f>
        <v/>
      </c>
      <c r="I3191" s="56">
        <f>IFERROR(INDEX('Semrush Data'!$A$1:$Z$20000,MATCH(A3191,'Semrush Data'!$A$1:$A$20000,0),MATCH("CPC*",'Semrush Data'!$A$1:$Z$1,0)),"")</f>
        <v/>
      </c>
      <c r="J3191" s="42">
        <f>IFERROR(INDEX('Semrush Data'!$A$1:$Z$20000,MATCH(A3191,'Semrush Data'!$A$1:$A$20000,0),MATCH("Intent",'Semrush Data'!$A$1:$Z$1,0)),"")</f>
        <v/>
      </c>
    </row>
    <row r="3192" ht="15" customHeight="1" s="37">
      <c r="A3192" s="42" t="inlineStr">
        <is>
          <t>vilvah foot cream review</t>
        </is>
      </c>
      <c r="B3192" s="42" t="inlineStr">
        <is>
          <t>Google suggest</t>
        </is>
      </c>
      <c r="C3192" s="42" t="n">
        <v>3</v>
      </c>
      <c r="D3192" s="42" t="inlineStr">
        <is>
          <t>T3-2</t>
        </is>
      </c>
      <c r="E3192" s="42" t="n">
        <v>1</v>
      </c>
      <c r="F3192" s="42" t="inlineStr">
        <is>
          <t>VD-030</t>
        </is>
      </c>
      <c r="G3192" s="55">
        <f>IFERROR(INDEX('Semrush Data'!$A$1:$Z$20000,MATCH(A3192,'Semrush Data'!$A$1:$A$20000,0),MATCH("Volume",'Semrush Data'!$A$1:$Z$1,0)),"")</f>
        <v/>
      </c>
      <c r="H3192" s="42">
        <f>IFERROR(INDEX('Semrush Data'!$A$1:$Z$20000,MATCH(A3192,'Semrush Data'!$A$1:$A$20000,0),MATCH("Keyword Difficulty*",'Semrush Data'!$A$1:$Z$1,0)),"")</f>
        <v/>
      </c>
      <c r="I3192" s="56">
        <f>IFERROR(INDEX('Semrush Data'!$A$1:$Z$20000,MATCH(A3192,'Semrush Data'!$A$1:$A$20000,0),MATCH("CPC*",'Semrush Data'!$A$1:$Z$1,0)),"")</f>
        <v/>
      </c>
      <c r="J3192" s="42">
        <f>IFERROR(INDEX('Semrush Data'!$A$1:$Z$20000,MATCH(A3192,'Semrush Data'!$A$1:$A$20000,0),MATCH("Intent",'Semrush Data'!$A$1:$Z$1,0)),"")</f>
        <v/>
      </c>
    </row>
    <row r="3193" ht="15" customHeight="1" s="37">
      <c r="A3193" s="42" t="inlineStr">
        <is>
          <t>vilvah goat milk body soap</t>
        </is>
      </c>
      <c r="B3193" s="42" t="inlineStr">
        <is>
          <t>Google suggest</t>
        </is>
      </c>
      <c r="C3193" s="42" t="n">
        <v>3</v>
      </c>
      <c r="D3193" s="42" t="n">
        <v>32</v>
      </c>
      <c r="E3193" s="42" t="n">
        <v>1</v>
      </c>
      <c r="F3193" s="42" t="inlineStr">
        <is>
          <t>VD-009</t>
        </is>
      </c>
      <c r="G3193" s="55">
        <f>IFERROR(INDEX('Semrush Data'!$A$1:$Z$20000,MATCH(A3193,'Semrush Data'!$A$1:$A$20000,0),MATCH("Volume",'Semrush Data'!$A$1:$Z$1,0)),"")</f>
        <v/>
      </c>
      <c r="H3193" s="42">
        <f>IFERROR(INDEX('Semrush Data'!$A$1:$Z$20000,MATCH(A3193,'Semrush Data'!$A$1:$A$20000,0),MATCH("Keyword Difficulty*",'Semrush Data'!$A$1:$Z$1,0)),"")</f>
        <v/>
      </c>
      <c r="I3193" s="56">
        <f>IFERROR(INDEX('Semrush Data'!$A$1:$Z$20000,MATCH(A3193,'Semrush Data'!$A$1:$A$20000,0),MATCH("CPC*",'Semrush Data'!$A$1:$Z$1,0)),"")</f>
        <v/>
      </c>
      <c r="J3193" s="42">
        <f>IFERROR(INDEX('Semrush Data'!$A$1:$Z$20000,MATCH(A3193,'Semrush Data'!$A$1:$A$20000,0),MATCH("Intent",'Semrush Data'!$A$1:$Z$1,0)),"")</f>
        <v/>
      </c>
    </row>
    <row r="3194" ht="15" customHeight="1" s="37">
      <c r="A3194" s="42" t="inlineStr">
        <is>
          <t>vilvah goat milk body wash benefits</t>
        </is>
      </c>
      <c r="B3194" s="42" t="inlineStr">
        <is>
          <t>Google suggest</t>
        </is>
      </c>
      <c r="C3194" s="42" t="n">
        <v>3</v>
      </c>
      <c r="D3194" s="42" t="n">
        <v>32</v>
      </c>
      <c r="E3194" s="42" t="n">
        <v>1</v>
      </c>
      <c r="F3194" s="42" t="inlineStr">
        <is>
          <t>VD-009</t>
        </is>
      </c>
      <c r="G3194" s="55">
        <f>IFERROR(INDEX('Semrush Data'!$A$1:$Z$20000,MATCH(A3194,'Semrush Data'!$A$1:$A$20000,0),MATCH("Volume",'Semrush Data'!$A$1:$Z$1,0)),"")</f>
        <v/>
      </c>
      <c r="H3194" s="42">
        <f>IFERROR(INDEX('Semrush Data'!$A$1:$Z$20000,MATCH(A3194,'Semrush Data'!$A$1:$A$20000,0),MATCH("Keyword Difficulty*",'Semrush Data'!$A$1:$Z$1,0)),"")</f>
        <v/>
      </c>
      <c r="I3194" s="56">
        <f>IFERROR(INDEX('Semrush Data'!$A$1:$Z$20000,MATCH(A3194,'Semrush Data'!$A$1:$A$20000,0),MATCH("CPC*",'Semrush Data'!$A$1:$Z$1,0)),"")</f>
        <v/>
      </c>
      <c r="J3194" s="42">
        <f>IFERROR(INDEX('Semrush Data'!$A$1:$Z$20000,MATCH(A3194,'Semrush Data'!$A$1:$A$20000,0),MATCH("Intent",'Semrush Data'!$A$1:$Z$1,0)),"")</f>
        <v/>
      </c>
    </row>
    <row r="3195" ht="15" customHeight="1" s="37">
      <c r="A3195" s="42" t="inlineStr">
        <is>
          <t>vilvah goat milk body wash ingredients</t>
        </is>
      </c>
      <c r="B3195" s="42" t="inlineStr">
        <is>
          <t>Google suggest</t>
        </is>
      </c>
      <c r="C3195" s="42" t="n">
        <v>3</v>
      </c>
      <c r="D3195" s="42" t="n">
        <v>32</v>
      </c>
      <c r="E3195" s="42" t="n">
        <v>1</v>
      </c>
      <c r="F3195" s="42" t="inlineStr">
        <is>
          <t>VD-009</t>
        </is>
      </c>
      <c r="G3195" s="55">
        <f>IFERROR(INDEX('Semrush Data'!$A$1:$Z$20000,MATCH(A3195,'Semrush Data'!$A$1:$A$20000,0),MATCH("Volume",'Semrush Data'!$A$1:$Z$1,0)),"")</f>
        <v/>
      </c>
      <c r="H3195" s="42">
        <f>IFERROR(INDEX('Semrush Data'!$A$1:$Z$20000,MATCH(A3195,'Semrush Data'!$A$1:$A$20000,0),MATCH("Keyword Difficulty*",'Semrush Data'!$A$1:$Z$1,0)),"")</f>
        <v/>
      </c>
      <c r="I3195" s="56">
        <f>IFERROR(INDEX('Semrush Data'!$A$1:$Z$20000,MATCH(A3195,'Semrush Data'!$A$1:$A$20000,0),MATCH("CPC*",'Semrush Data'!$A$1:$Z$1,0)),"")</f>
        <v/>
      </c>
      <c r="J3195" s="42">
        <f>IFERROR(INDEX('Semrush Data'!$A$1:$Z$20000,MATCH(A3195,'Semrush Data'!$A$1:$A$20000,0),MATCH("Intent",'Semrush Data'!$A$1:$Z$1,0)),"")</f>
        <v/>
      </c>
    </row>
    <row r="3196" ht="15" customHeight="1" s="37">
      <c r="A3196" s="42" t="inlineStr">
        <is>
          <t>vilvah goat milk body wash review</t>
        </is>
      </c>
      <c r="B3196" s="42" t="inlineStr">
        <is>
          <t>Google suggest</t>
        </is>
      </c>
      <c r="C3196" s="42" t="n">
        <v>3</v>
      </c>
      <c r="D3196" s="42" t="inlineStr">
        <is>
          <t>T3-2</t>
        </is>
      </c>
      <c r="E3196" s="42" t="n">
        <v>1</v>
      </c>
      <c r="F3196" s="42" t="inlineStr">
        <is>
          <t>VD-009</t>
        </is>
      </c>
      <c r="G3196" s="55">
        <f>IFERROR(INDEX('Semrush Data'!$A$1:$Z$20000,MATCH(A3196,'Semrush Data'!$A$1:$A$20000,0),MATCH("Volume",'Semrush Data'!$A$1:$Z$1,0)),"")</f>
        <v/>
      </c>
      <c r="H3196" s="42">
        <f>IFERROR(INDEX('Semrush Data'!$A$1:$Z$20000,MATCH(A3196,'Semrush Data'!$A$1:$A$20000,0),MATCH("Keyword Difficulty*",'Semrush Data'!$A$1:$Z$1,0)),"")</f>
        <v/>
      </c>
      <c r="I3196" s="56">
        <f>IFERROR(INDEX('Semrush Data'!$A$1:$Z$20000,MATCH(A3196,'Semrush Data'!$A$1:$A$20000,0),MATCH("CPC*",'Semrush Data'!$A$1:$Z$1,0)),"")</f>
        <v/>
      </c>
      <c r="J3196" s="42">
        <f>IFERROR(INDEX('Semrush Data'!$A$1:$Z$20000,MATCH(A3196,'Semrush Data'!$A$1:$A$20000,0),MATCH("Intent",'Semrush Data'!$A$1:$Z$1,0)),"")</f>
        <v/>
      </c>
    </row>
    <row r="3197" ht="15" customHeight="1" s="37">
      <c r="A3197" s="42" t="inlineStr">
        <is>
          <t>vilvah goat milk hair mask ingredients</t>
        </is>
      </c>
      <c r="B3197" s="42" t="inlineStr">
        <is>
          <t>Google suggest</t>
        </is>
      </c>
      <c r="C3197" s="42" t="n">
        <v>3</v>
      </c>
      <c r="D3197" s="42" t="n">
        <v>32</v>
      </c>
      <c r="E3197" s="42" t="n">
        <v>1</v>
      </c>
      <c r="F3197" s="42" t="inlineStr">
        <is>
          <t>VD-031</t>
        </is>
      </c>
      <c r="G3197" s="55">
        <f>IFERROR(INDEX('Semrush Data'!$A$1:$Z$20000,MATCH(A3197,'Semrush Data'!$A$1:$A$20000,0),MATCH("Volume",'Semrush Data'!$A$1:$Z$1,0)),"")</f>
        <v/>
      </c>
      <c r="H3197" s="42">
        <f>IFERROR(INDEX('Semrush Data'!$A$1:$Z$20000,MATCH(A3197,'Semrush Data'!$A$1:$A$20000,0),MATCH("Keyword Difficulty*",'Semrush Data'!$A$1:$Z$1,0)),"")</f>
        <v/>
      </c>
      <c r="I3197" s="56">
        <f>IFERROR(INDEX('Semrush Data'!$A$1:$Z$20000,MATCH(A3197,'Semrush Data'!$A$1:$A$20000,0),MATCH("CPC*",'Semrush Data'!$A$1:$Z$1,0)),"")</f>
        <v/>
      </c>
      <c r="J3197" s="42">
        <f>IFERROR(INDEX('Semrush Data'!$A$1:$Z$20000,MATCH(A3197,'Semrush Data'!$A$1:$A$20000,0),MATCH("Intent",'Semrush Data'!$A$1:$Z$1,0)),"")</f>
        <v/>
      </c>
    </row>
    <row r="3198" ht="15" customHeight="1" s="37">
      <c r="A3198" s="42" t="inlineStr">
        <is>
          <t>vilvah goat milk hair mask review</t>
        </is>
      </c>
      <c r="B3198" s="42" t="inlineStr">
        <is>
          <t>Google suggest</t>
        </is>
      </c>
      <c r="C3198" s="42" t="n">
        <v>3</v>
      </c>
      <c r="D3198" s="42" t="inlineStr">
        <is>
          <t>T3-2</t>
        </is>
      </c>
      <c r="E3198" s="42" t="n">
        <v>1</v>
      </c>
      <c r="F3198" s="42" t="inlineStr">
        <is>
          <t>VD-031</t>
        </is>
      </c>
      <c r="G3198" s="55">
        <f>IFERROR(INDEX('Semrush Data'!$A$1:$Z$20000,MATCH(A3198,'Semrush Data'!$A$1:$A$20000,0),MATCH("Volume",'Semrush Data'!$A$1:$Z$1,0)),"")</f>
        <v/>
      </c>
      <c r="H3198" s="42">
        <f>IFERROR(INDEX('Semrush Data'!$A$1:$Z$20000,MATCH(A3198,'Semrush Data'!$A$1:$A$20000,0),MATCH("Keyword Difficulty*",'Semrush Data'!$A$1:$Z$1,0)),"")</f>
        <v/>
      </c>
      <c r="I3198" s="56">
        <f>IFERROR(INDEX('Semrush Data'!$A$1:$Z$20000,MATCH(A3198,'Semrush Data'!$A$1:$A$20000,0),MATCH("CPC*",'Semrush Data'!$A$1:$Z$1,0)),"")</f>
        <v/>
      </c>
      <c r="J3198" s="42">
        <f>IFERROR(INDEX('Semrush Data'!$A$1:$Z$20000,MATCH(A3198,'Semrush Data'!$A$1:$A$20000,0),MATCH("Intent",'Semrush Data'!$A$1:$Z$1,0)),"")</f>
        <v/>
      </c>
    </row>
    <row r="3199" ht="15" customHeight="1" s="37">
      <c r="A3199" s="42" t="inlineStr">
        <is>
          <t>vilvah goat milk shampoo benefits</t>
        </is>
      </c>
      <c r="B3199" s="42" t="inlineStr">
        <is>
          <t>Google suggest</t>
        </is>
      </c>
      <c r="C3199" s="42" t="n">
        <v>3</v>
      </c>
      <c r="D3199" s="42" t="n">
        <v>32</v>
      </c>
      <c r="E3199" s="42" t="n">
        <v>1</v>
      </c>
      <c r="F3199" s="42" t="inlineStr">
        <is>
          <t>VD-013</t>
        </is>
      </c>
      <c r="G3199" s="55">
        <f>IFERROR(INDEX('Semrush Data'!$A$1:$Z$20000,MATCH(A3199,'Semrush Data'!$A$1:$A$20000,0),MATCH("Volume",'Semrush Data'!$A$1:$Z$1,0)),"")</f>
        <v/>
      </c>
      <c r="H3199" s="42">
        <f>IFERROR(INDEX('Semrush Data'!$A$1:$Z$20000,MATCH(A3199,'Semrush Data'!$A$1:$A$20000,0),MATCH("Keyword Difficulty*",'Semrush Data'!$A$1:$Z$1,0)),"")</f>
        <v/>
      </c>
      <c r="I3199" s="56">
        <f>IFERROR(INDEX('Semrush Data'!$A$1:$Z$20000,MATCH(A3199,'Semrush Data'!$A$1:$A$20000,0),MATCH("CPC*",'Semrush Data'!$A$1:$Z$1,0)),"")</f>
        <v/>
      </c>
      <c r="J3199" s="42">
        <f>IFERROR(INDEX('Semrush Data'!$A$1:$Z$20000,MATCH(A3199,'Semrush Data'!$A$1:$A$20000,0),MATCH("Intent",'Semrush Data'!$A$1:$Z$1,0)),"")</f>
        <v/>
      </c>
    </row>
    <row r="3200" ht="15" customHeight="1" s="37">
      <c r="A3200" s="42" t="inlineStr">
        <is>
          <t>vilvah goat milk shampoo ingredients</t>
        </is>
      </c>
      <c r="B3200" s="42" t="inlineStr">
        <is>
          <t>Google suggest</t>
        </is>
      </c>
      <c r="C3200" s="42" t="n">
        <v>3</v>
      </c>
      <c r="D3200" s="42" t="n">
        <v>32</v>
      </c>
      <c r="E3200" s="42" t="n">
        <v>1</v>
      </c>
      <c r="F3200" s="42" t="inlineStr">
        <is>
          <t>VD-013</t>
        </is>
      </c>
      <c r="G3200" s="55">
        <f>IFERROR(INDEX('Semrush Data'!$A$1:$Z$20000,MATCH(A3200,'Semrush Data'!$A$1:$A$20000,0),MATCH("Volume",'Semrush Data'!$A$1:$Z$1,0)),"")</f>
        <v/>
      </c>
      <c r="H3200" s="42">
        <f>IFERROR(INDEX('Semrush Data'!$A$1:$Z$20000,MATCH(A3200,'Semrush Data'!$A$1:$A$20000,0),MATCH("Keyword Difficulty*",'Semrush Data'!$A$1:$Z$1,0)),"")</f>
        <v/>
      </c>
      <c r="I3200" s="56">
        <f>IFERROR(INDEX('Semrush Data'!$A$1:$Z$20000,MATCH(A3200,'Semrush Data'!$A$1:$A$20000,0),MATCH("CPC*",'Semrush Data'!$A$1:$Z$1,0)),"")</f>
        <v/>
      </c>
      <c r="J3200" s="42">
        <f>IFERROR(INDEX('Semrush Data'!$A$1:$Z$20000,MATCH(A3200,'Semrush Data'!$A$1:$A$20000,0),MATCH("Intent",'Semrush Data'!$A$1:$Z$1,0)),"")</f>
        <v/>
      </c>
    </row>
    <row r="3201" ht="15" customHeight="1" s="37">
      <c r="A3201" s="42" t="inlineStr">
        <is>
          <t>vilvah goat milk shampoo review</t>
        </is>
      </c>
      <c r="B3201" s="42" t="inlineStr">
        <is>
          <t>Google suggest</t>
        </is>
      </c>
      <c r="C3201" s="42" t="n">
        <v>3</v>
      </c>
      <c r="D3201" s="42" t="inlineStr">
        <is>
          <t>T3-2</t>
        </is>
      </c>
      <c r="E3201" s="42" t="n">
        <v>1</v>
      </c>
      <c r="F3201" s="42" t="inlineStr">
        <is>
          <t>VD-013</t>
        </is>
      </c>
      <c r="G3201" s="55">
        <f>IFERROR(INDEX('Semrush Data'!$A$1:$Z$20000,MATCH(A3201,'Semrush Data'!$A$1:$A$20000,0),MATCH("Volume",'Semrush Data'!$A$1:$Z$1,0)),"")</f>
        <v/>
      </c>
      <c r="H3201" s="42">
        <f>IFERROR(INDEX('Semrush Data'!$A$1:$Z$20000,MATCH(A3201,'Semrush Data'!$A$1:$A$20000,0),MATCH("Keyword Difficulty*",'Semrush Data'!$A$1:$Z$1,0)),"")</f>
        <v/>
      </c>
      <c r="I3201" s="56">
        <f>IFERROR(INDEX('Semrush Data'!$A$1:$Z$20000,MATCH(A3201,'Semrush Data'!$A$1:$A$20000,0),MATCH("CPC*",'Semrush Data'!$A$1:$Z$1,0)),"")</f>
        <v/>
      </c>
      <c r="J3201" s="42">
        <f>IFERROR(INDEX('Semrush Data'!$A$1:$Z$20000,MATCH(A3201,'Semrush Data'!$A$1:$A$20000,0),MATCH("Intent",'Semrush Data'!$A$1:$Z$1,0)),"")</f>
        <v/>
      </c>
    </row>
    <row r="3202" ht="15" customHeight="1" s="37">
      <c r="A3202" s="42" t="inlineStr">
        <is>
          <t>vilvah goat milk soap review</t>
        </is>
      </c>
      <c r="B3202" s="42" t="inlineStr">
        <is>
          <t>Google suggest</t>
        </is>
      </c>
      <c r="C3202" s="42" t="n">
        <v>3</v>
      </c>
      <c r="D3202" s="42" t="n">
        <v>33</v>
      </c>
      <c r="E3202" s="42" t="n">
        <v>1</v>
      </c>
      <c r="F3202" s="42" t="inlineStr">
        <is>
          <t>VD-009</t>
        </is>
      </c>
      <c r="G3202" s="55">
        <f>IFERROR(INDEX('Semrush Data'!$A$1:$Z$20000,MATCH(A3202,'Semrush Data'!$A$1:$A$20000,0),MATCH("Volume",'Semrush Data'!$A$1:$Z$1,0)),"")</f>
        <v/>
      </c>
      <c r="H3202" s="42">
        <f>IFERROR(INDEX('Semrush Data'!$A$1:$Z$20000,MATCH(A3202,'Semrush Data'!$A$1:$A$20000,0),MATCH("Keyword Difficulty*",'Semrush Data'!$A$1:$Z$1,0)),"")</f>
        <v/>
      </c>
      <c r="I3202" s="56">
        <f>IFERROR(INDEX('Semrush Data'!$A$1:$Z$20000,MATCH(A3202,'Semrush Data'!$A$1:$A$20000,0),MATCH("CPC*",'Semrush Data'!$A$1:$Z$1,0)),"")</f>
        <v/>
      </c>
      <c r="J3202" s="42">
        <f>IFERROR(INDEX('Semrush Data'!$A$1:$Z$20000,MATCH(A3202,'Semrush Data'!$A$1:$A$20000,0),MATCH("Intent",'Semrush Data'!$A$1:$Z$1,0)),"")</f>
        <v/>
      </c>
    </row>
    <row r="3203" ht="15" customHeight="1" s="37">
      <c r="A3203" s="42" t="inlineStr">
        <is>
          <t>vilvah grapefruit lip balm 10g</t>
        </is>
      </c>
      <c r="B3203" s="42" t="inlineStr">
        <is>
          <t>Google suggest</t>
        </is>
      </c>
      <c r="C3203" s="42" t="n">
        <v>3</v>
      </c>
      <c r="D3203" s="42" t="n">
        <v>33</v>
      </c>
      <c r="E3203" s="42" t="n">
        <v>1</v>
      </c>
      <c r="F3203" s="42" t="inlineStr">
        <is>
          <t>VD-035</t>
        </is>
      </c>
      <c r="G3203" s="55">
        <f>IFERROR(INDEX('Semrush Data'!$A$1:$Z$20000,MATCH(A3203,'Semrush Data'!$A$1:$A$20000,0),MATCH("Volume",'Semrush Data'!$A$1:$Z$1,0)),"")</f>
        <v/>
      </c>
      <c r="H3203" s="42">
        <f>IFERROR(INDEX('Semrush Data'!$A$1:$Z$20000,MATCH(A3203,'Semrush Data'!$A$1:$A$20000,0),MATCH("Keyword Difficulty*",'Semrush Data'!$A$1:$Z$1,0)),"")</f>
        <v/>
      </c>
      <c r="I3203" s="56">
        <f>IFERROR(INDEX('Semrush Data'!$A$1:$Z$20000,MATCH(A3203,'Semrush Data'!$A$1:$A$20000,0),MATCH("CPC*",'Semrush Data'!$A$1:$Z$1,0)),"")</f>
        <v/>
      </c>
      <c r="J3203" s="42">
        <f>IFERROR(INDEX('Semrush Data'!$A$1:$Z$20000,MATCH(A3203,'Semrush Data'!$A$1:$A$20000,0),MATCH("Intent",'Semrush Data'!$A$1:$Z$1,0)),"")</f>
        <v/>
      </c>
    </row>
    <row r="3204" ht="15" customHeight="1" s="37">
      <c r="A3204" s="42" t="inlineStr">
        <is>
          <t>vilvah grapefruit lip balm amazon</t>
        </is>
      </c>
      <c r="B3204" s="42" t="inlineStr">
        <is>
          <t>Google suggest</t>
        </is>
      </c>
      <c r="C3204" s="42" t="n">
        <v>3</v>
      </c>
      <c r="D3204" s="42" t="n">
        <v>33</v>
      </c>
      <c r="E3204" s="42" t="n">
        <v>1</v>
      </c>
      <c r="F3204" s="42" t="inlineStr">
        <is>
          <t>VD-035</t>
        </is>
      </c>
      <c r="G3204" s="55">
        <f>IFERROR(INDEX('Semrush Data'!$A$1:$Z$20000,MATCH(A3204,'Semrush Data'!$A$1:$A$20000,0),MATCH("Volume",'Semrush Data'!$A$1:$Z$1,0)),"")</f>
        <v/>
      </c>
      <c r="H3204" s="42">
        <f>IFERROR(INDEX('Semrush Data'!$A$1:$Z$20000,MATCH(A3204,'Semrush Data'!$A$1:$A$20000,0),MATCH("Keyword Difficulty*",'Semrush Data'!$A$1:$Z$1,0)),"")</f>
        <v/>
      </c>
      <c r="I3204" s="56">
        <f>IFERROR(INDEX('Semrush Data'!$A$1:$Z$20000,MATCH(A3204,'Semrush Data'!$A$1:$A$20000,0),MATCH("CPC*",'Semrush Data'!$A$1:$Z$1,0)),"")</f>
        <v/>
      </c>
      <c r="J3204" s="42">
        <f>IFERROR(INDEX('Semrush Data'!$A$1:$Z$20000,MATCH(A3204,'Semrush Data'!$A$1:$A$20000,0),MATCH("Intent",'Semrush Data'!$A$1:$Z$1,0)),"")</f>
        <v/>
      </c>
    </row>
    <row r="3205" ht="15" customHeight="1" s="37">
      <c r="A3205" s="42" t="inlineStr">
        <is>
          <t>vilvah grapefruit lip balm benefits</t>
        </is>
      </c>
      <c r="B3205" s="42" t="inlineStr">
        <is>
          <t>Google suggest</t>
        </is>
      </c>
      <c r="C3205" s="42" t="n">
        <v>3</v>
      </c>
      <c r="D3205" s="42" t="n">
        <v>33</v>
      </c>
      <c r="E3205" s="42" t="n">
        <v>1</v>
      </c>
      <c r="F3205" s="42" t="inlineStr">
        <is>
          <t>VD-035</t>
        </is>
      </c>
      <c r="G3205" s="55">
        <f>IFERROR(INDEX('Semrush Data'!$A$1:$Z$20000,MATCH(A3205,'Semrush Data'!$A$1:$A$20000,0),MATCH("Volume",'Semrush Data'!$A$1:$Z$1,0)),"")</f>
        <v/>
      </c>
      <c r="H3205" s="42">
        <f>IFERROR(INDEX('Semrush Data'!$A$1:$Z$20000,MATCH(A3205,'Semrush Data'!$A$1:$A$20000,0),MATCH("Keyword Difficulty*",'Semrush Data'!$A$1:$Z$1,0)),"")</f>
        <v/>
      </c>
      <c r="I3205" s="56">
        <f>IFERROR(INDEX('Semrush Data'!$A$1:$Z$20000,MATCH(A3205,'Semrush Data'!$A$1:$A$20000,0),MATCH("CPC*",'Semrush Data'!$A$1:$Z$1,0)),"")</f>
        <v/>
      </c>
      <c r="J3205" s="42">
        <f>IFERROR(INDEX('Semrush Data'!$A$1:$Z$20000,MATCH(A3205,'Semrush Data'!$A$1:$A$20000,0),MATCH("Intent",'Semrush Data'!$A$1:$Z$1,0)),"")</f>
        <v/>
      </c>
    </row>
    <row r="3206" ht="15" customHeight="1" s="37">
      <c r="A3206" s="42" t="inlineStr">
        <is>
          <t>vilvah grapefruit lip balm review</t>
        </is>
      </c>
      <c r="B3206" s="42" t="inlineStr">
        <is>
          <t>Google suggest</t>
        </is>
      </c>
      <c r="C3206" s="42" t="n">
        <v>3</v>
      </c>
      <c r="D3206" s="42" t="inlineStr">
        <is>
          <t>T3-2</t>
        </is>
      </c>
      <c r="E3206" s="42" t="n">
        <v>1</v>
      </c>
      <c r="F3206" s="42" t="inlineStr">
        <is>
          <t>VD-035</t>
        </is>
      </c>
      <c r="G3206" s="55">
        <f>IFERROR(INDEX('Semrush Data'!$A$1:$Z$20000,MATCH(A3206,'Semrush Data'!$A$1:$A$20000,0),MATCH("Volume",'Semrush Data'!$A$1:$Z$1,0)),"")</f>
        <v/>
      </c>
      <c r="H3206" s="42">
        <f>IFERROR(INDEX('Semrush Data'!$A$1:$Z$20000,MATCH(A3206,'Semrush Data'!$A$1:$A$20000,0),MATCH("Keyword Difficulty*",'Semrush Data'!$A$1:$Z$1,0)),"")</f>
        <v/>
      </c>
      <c r="I3206" s="56">
        <f>IFERROR(INDEX('Semrush Data'!$A$1:$Z$20000,MATCH(A3206,'Semrush Data'!$A$1:$A$20000,0),MATCH("CPC*",'Semrush Data'!$A$1:$Z$1,0)),"")</f>
        <v/>
      </c>
      <c r="J3206" s="42">
        <f>IFERROR(INDEX('Semrush Data'!$A$1:$Z$20000,MATCH(A3206,'Semrush Data'!$A$1:$A$20000,0),MATCH("Intent",'Semrush Data'!$A$1:$Z$1,0)),"")</f>
        <v/>
      </c>
    </row>
    <row r="3207" ht="15" customHeight="1" s="37">
      <c r="A3207" s="42" t="inlineStr">
        <is>
          <t>vilvah hair growth oil amazon</t>
        </is>
      </c>
      <c r="B3207" s="42" t="inlineStr">
        <is>
          <t>Google suggest</t>
        </is>
      </c>
      <c r="C3207" s="42" t="n">
        <v>3</v>
      </c>
      <c r="D3207" s="42" t="n">
        <v>33</v>
      </c>
      <c r="E3207" s="42" t="n">
        <v>3</v>
      </c>
      <c r="F3207" s="42" t="inlineStr">
        <is>
          <t>VD-002, VD-032, VD-033</t>
        </is>
      </c>
      <c r="G3207" s="55">
        <f>IFERROR(INDEX('Semrush Data'!$A$1:$Z$20000,MATCH(A3207,'Semrush Data'!$A$1:$A$20000,0),MATCH("Volume",'Semrush Data'!$A$1:$Z$1,0)),"")</f>
        <v/>
      </c>
      <c r="H3207" s="42">
        <f>IFERROR(INDEX('Semrush Data'!$A$1:$Z$20000,MATCH(A3207,'Semrush Data'!$A$1:$A$20000,0),MATCH("Keyword Difficulty*",'Semrush Data'!$A$1:$Z$1,0)),"")</f>
        <v/>
      </c>
      <c r="I3207" s="56">
        <f>IFERROR(INDEX('Semrush Data'!$A$1:$Z$20000,MATCH(A3207,'Semrush Data'!$A$1:$A$20000,0),MATCH("CPC*",'Semrush Data'!$A$1:$Z$1,0)),"")</f>
        <v/>
      </c>
      <c r="J3207" s="42">
        <f>IFERROR(INDEX('Semrush Data'!$A$1:$Z$20000,MATCH(A3207,'Semrush Data'!$A$1:$A$20000,0),MATCH("Intent",'Semrush Data'!$A$1:$Z$1,0)),"")</f>
        <v/>
      </c>
    </row>
    <row r="3208" ht="15" customHeight="1" s="37">
      <c r="A3208" s="42" t="inlineStr">
        <is>
          <t>vilvah hair growth oil benefits</t>
        </is>
      </c>
      <c r="B3208" s="42" t="inlineStr">
        <is>
          <t>Google suggest</t>
        </is>
      </c>
      <c r="C3208" s="42" t="n">
        <v>3</v>
      </c>
      <c r="D3208" s="42" t="n">
        <v>33</v>
      </c>
      <c r="E3208" s="42" t="n">
        <v>3</v>
      </c>
      <c r="F3208" s="42" t="inlineStr">
        <is>
          <t>VD-002, VD-032, VD-033</t>
        </is>
      </c>
      <c r="G3208" s="55">
        <f>IFERROR(INDEX('Semrush Data'!$A$1:$Z$20000,MATCH(A3208,'Semrush Data'!$A$1:$A$20000,0),MATCH("Volume",'Semrush Data'!$A$1:$Z$1,0)),"")</f>
        <v/>
      </c>
      <c r="H3208" s="42">
        <f>IFERROR(INDEX('Semrush Data'!$A$1:$Z$20000,MATCH(A3208,'Semrush Data'!$A$1:$A$20000,0),MATCH("Keyword Difficulty*",'Semrush Data'!$A$1:$Z$1,0)),"")</f>
        <v/>
      </c>
      <c r="I3208" s="56">
        <f>IFERROR(INDEX('Semrush Data'!$A$1:$Z$20000,MATCH(A3208,'Semrush Data'!$A$1:$A$20000,0),MATCH("CPC*",'Semrush Data'!$A$1:$Z$1,0)),"")</f>
        <v/>
      </c>
      <c r="J3208" s="42">
        <f>IFERROR(INDEX('Semrush Data'!$A$1:$Z$20000,MATCH(A3208,'Semrush Data'!$A$1:$A$20000,0),MATCH("Intent",'Semrush Data'!$A$1:$Z$1,0)),"")</f>
        <v/>
      </c>
    </row>
    <row r="3209" ht="15" customHeight="1" s="37">
      <c r="A3209" s="42" t="inlineStr">
        <is>
          <t>vilvah hair growth oil how to use</t>
        </is>
      </c>
      <c r="B3209" s="42" t="inlineStr">
        <is>
          <t>Google suggest</t>
        </is>
      </c>
      <c r="C3209" s="42" t="n">
        <v>3</v>
      </c>
      <c r="D3209" s="42" t="n">
        <v>33</v>
      </c>
      <c r="E3209" s="42" t="n">
        <v>3</v>
      </c>
      <c r="F3209" s="42" t="inlineStr">
        <is>
          <t>VD-002, VD-032, VD-033</t>
        </is>
      </c>
      <c r="G3209" s="55">
        <f>IFERROR(INDEX('Semrush Data'!$A$1:$Z$20000,MATCH(A3209,'Semrush Data'!$A$1:$A$20000,0),MATCH("Volume",'Semrush Data'!$A$1:$Z$1,0)),"")</f>
        <v/>
      </c>
      <c r="H3209" s="42">
        <f>IFERROR(INDEX('Semrush Data'!$A$1:$Z$20000,MATCH(A3209,'Semrush Data'!$A$1:$A$20000,0),MATCH("Keyword Difficulty*",'Semrush Data'!$A$1:$Z$1,0)),"")</f>
        <v/>
      </c>
      <c r="I3209" s="56">
        <f>IFERROR(INDEX('Semrush Data'!$A$1:$Z$20000,MATCH(A3209,'Semrush Data'!$A$1:$A$20000,0),MATCH("CPC*",'Semrush Data'!$A$1:$Z$1,0)),"")</f>
        <v/>
      </c>
      <c r="J3209" s="42">
        <f>IFERROR(INDEX('Semrush Data'!$A$1:$Z$20000,MATCH(A3209,'Semrush Data'!$A$1:$A$20000,0),MATCH("Intent",'Semrush Data'!$A$1:$Z$1,0)),"")</f>
        <v/>
      </c>
    </row>
    <row r="3210" ht="15" customHeight="1" s="37">
      <c r="A3210" s="42" t="inlineStr">
        <is>
          <t>vilvah hair growth oil india</t>
        </is>
      </c>
      <c r="B3210" s="42" t="inlineStr">
        <is>
          <t>Google suggest</t>
        </is>
      </c>
      <c r="C3210" s="42" t="n">
        <v>3</v>
      </c>
      <c r="D3210" s="42" t="n">
        <v>33</v>
      </c>
      <c r="E3210" s="42" t="n">
        <v>3</v>
      </c>
      <c r="F3210" s="42" t="inlineStr">
        <is>
          <t>VD-002, VD-032, VD-033</t>
        </is>
      </c>
      <c r="G3210" s="55">
        <f>IFERROR(INDEX('Semrush Data'!$A$1:$Z$20000,MATCH(A3210,'Semrush Data'!$A$1:$A$20000,0),MATCH("Volume",'Semrush Data'!$A$1:$Z$1,0)),"")</f>
        <v/>
      </c>
      <c r="H3210" s="42">
        <f>IFERROR(INDEX('Semrush Data'!$A$1:$Z$20000,MATCH(A3210,'Semrush Data'!$A$1:$A$20000,0),MATCH("Keyword Difficulty*",'Semrush Data'!$A$1:$Z$1,0)),"")</f>
        <v/>
      </c>
      <c r="I3210" s="56">
        <f>IFERROR(INDEX('Semrush Data'!$A$1:$Z$20000,MATCH(A3210,'Semrush Data'!$A$1:$A$20000,0),MATCH("CPC*",'Semrush Data'!$A$1:$Z$1,0)),"")</f>
        <v/>
      </c>
      <c r="J3210" s="42">
        <f>IFERROR(INDEX('Semrush Data'!$A$1:$Z$20000,MATCH(A3210,'Semrush Data'!$A$1:$A$20000,0),MATCH("Intent",'Semrush Data'!$A$1:$Z$1,0)),"")</f>
        <v/>
      </c>
    </row>
    <row r="3211" ht="15" customHeight="1" s="37">
      <c r="A3211" s="42" t="inlineStr">
        <is>
          <t>vilvah hair growth oil review</t>
        </is>
      </c>
      <c r="B3211" s="42" t="inlineStr">
        <is>
          <t>Google suggest</t>
        </is>
      </c>
      <c r="C3211" s="42" t="n">
        <v>3</v>
      </c>
      <c r="D3211" s="42" t="inlineStr">
        <is>
          <t>T3-2</t>
        </is>
      </c>
      <c r="E3211" s="42" t="n">
        <v>3</v>
      </c>
      <c r="F3211" s="42" t="inlineStr">
        <is>
          <t>VD-002, VD-032, VD-033</t>
        </is>
      </c>
      <c r="G3211" s="55">
        <f>IFERROR(INDEX('Semrush Data'!$A$1:$Z$20000,MATCH(A3211,'Semrush Data'!$A$1:$A$20000,0),MATCH("Volume",'Semrush Data'!$A$1:$Z$1,0)),"")</f>
        <v/>
      </c>
      <c r="H3211" s="42">
        <f>IFERROR(INDEX('Semrush Data'!$A$1:$Z$20000,MATCH(A3211,'Semrush Data'!$A$1:$A$20000,0),MATCH("Keyword Difficulty*",'Semrush Data'!$A$1:$Z$1,0)),"")</f>
        <v/>
      </c>
      <c r="I3211" s="56">
        <f>IFERROR(INDEX('Semrush Data'!$A$1:$Z$20000,MATCH(A3211,'Semrush Data'!$A$1:$A$20000,0),MATCH("CPC*",'Semrush Data'!$A$1:$Z$1,0)),"")</f>
        <v/>
      </c>
      <c r="J3211" s="42">
        <f>IFERROR(INDEX('Semrush Data'!$A$1:$Z$20000,MATCH(A3211,'Semrush Data'!$A$1:$A$20000,0),MATCH("Intent",'Semrush Data'!$A$1:$Z$1,0)),"")</f>
        <v/>
      </c>
    </row>
    <row r="3212" ht="15" customHeight="1" s="37">
      <c r="A3212" s="42" t="inlineStr">
        <is>
          <t>vilvah hair growth oil review before and after</t>
        </is>
      </c>
      <c r="B3212" s="42" t="inlineStr">
        <is>
          <t>Google suggest</t>
        </is>
      </c>
      <c r="C3212" s="42" t="n">
        <v>3</v>
      </c>
      <c r="D3212" s="42" t="n">
        <v>33</v>
      </c>
      <c r="E3212" s="42" t="n">
        <v>3</v>
      </c>
      <c r="F3212" s="42" t="inlineStr">
        <is>
          <t>VD-002, VD-032, VD-033</t>
        </is>
      </c>
      <c r="G3212" s="55">
        <f>IFERROR(INDEX('Semrush Data'!$A$1:$Z$20000,MATCH(A3212,'Semrush Data'!$A$1:$A$20000,0),MATCH("Volume",'Semrush Data'!$A$1:$Z$1,0)),"")</f>
        <v/>
      </c>
      <c r="H3212" s="42">
        <f>IFERROR(INDEX('Semrush Data'!$A$1:$Z$20000,MATCH(A3212,'Semrush Data'!$A$1:$A$20000,0),MATCH("Keyword Difficulty*",'Semrush Data'!$A$1:$Z$1,0)),"")</f>
        <v/>
      </c>
      <c r="I3212" s="56">
        <f>IFERROR(INDEX('Semrush Data'!$A$1:$Z$20000,MATCH(A3212,'Semrush Data'!$A$1:$A$20000,0),MATCH("CPC*",'Semrush Data'!$A$1:$Z$1,0)),"")</f>
        <v/>
      </c>
      <c r="J3212" s="42">
        <f>IFERROR(INDEX('Semrush Data'!$A$1:$Z$20000,MATCH(A3212,'Semrush Data'!$A$1:$A$20000,0),MATCH("Intent",'Semrush Data'!$A$1:$Z$1,0)),"")</f>
        <v/>
      </c>
    </row>
    <row r="3213" ht="15" customHeight="1" s="37">
      <c r="A3213" s="42" t="inlineStr">
        <is>
          <t>vilvah herbal shampoo dandruff control</t>
        </is>
      </c>
      <c r="B3213" s="42" t="inlineStr">
        <is>
          <t>Google suggest</t>
        </is>
      </c>
      <c r="C3213" s="42" t="n">
        <v>3</v>
      </c>
      <c r="D3213" s="42" t="inlineStr">
        <is>
          <t>T3-2</t>
        </is>
      </c>
      <c r="E3213" s="42" t="n">
        <v>1</v>
      </c>
      <c r="F3213" s="42" t="inlineStr">
        <is>
          <t>VD-034</t>
        </is>
      </c>
      <c r="G3213" s="55">
        <f>IFERROR(INDEX('Semrush Data'!$A$1:$Z$20000,MATCH(A3213,'Semrush Data'!$A$1:$A$20000,0),MATCH("Volume",'Semrush Data'!$A$1:$Z$1,0)),"")</f>
        <v/>
      </c>
      <c r="H3213" s="42">
        <f>IFERROR(INDEX('Semrush Data'!$A$1:$Z$20000,MATCH(A3213,'Semrush Data'!$A$1:$A$20000,0),MATCH("Keyword Difficulty*",'Semrush Data'!$A$1:$Z$1,0)),"")</f>
        <v/>
      </c>
      <c r="I3213" s="56">
        <f>IFERROR(INDEX('Semrush Data'!$A$1:$Z$20000,MATCH(A3213,'Semrush Data'!$A$1:$A$20000,0),MATCH("CPC*",'Semrush Data'!$A$1:$Z$1,0)),"")</f>
        <v/>
      </c>
      <c r="J3213" s="42">
        <f>IFERROR(INDEX('Semrush Data'!$A$1:$Z$20000,MATCH(A3213,'Semrush Data'!$A$1:$A$20000,0),MATCH("Intent",'Semrush Data'!$A$1:$Z$1,0)),"")</f>
        <v/>
      </c>
    </row>
    <row r="3214" ht="15" customHeight="1" s="37">
      <c r="A3214" s="42" t="inlineStr">
        <is>
          <t>vilvah honey fix face wash review</t>
        </is>
      </c>
      <c r="B3214" s="42" t="inlineStr">
        <is>
          <t>Google suggest</t>
        </is>
      </c>
      <c r="C3214" s="42" t="n">
        <v>3</v>
      </c>
      <c r="D3214" s="42" t="inlineStr">
        <is>
          <t>T3-2</t>
        </is>
      </c>
      <c r="E3214" s="42" t="n">
        <v>1</v>
      </c>
      <c r="F3214" s="42" t="inlineStr">
        <is>
          <t>VD-014</t>
        </is>
      </c>
      <c r="G3214" s="55">
        <f>IFERROR(INDEX('Semrush Data'!$A$1:$Z$20000,MATCH(A3214,'Semrush Data'!$A$1:$A$20000,0),MATCH("Volume",'Semrush Data'!$A$1:$Z$1,0)),"")</f>
        <v/>
      </c>
      <c r="H3214" s="42">
        <f>IFERROR(INDEX('Semrush Data'!$A$1:$Z$20000,MATCH(A3214,'Semrush Data'!$A$1:$A$20000,0),MATCH("Keyword Difficulty*",'Semrush Data'!$A$1:$Z$1,0)),"")</f>
        <v/>
      </c>
      <c r="I3214" s="56">
        <f>IFERROR(INDEX('Semrush Data'!$A$1:$Z$20000,MATCH(A3214,'Semrush Data'!$A$1:$A$20000,0),MATCH("CPC*",'Semrush Data'!$A$1:$Z$1,0)),"")</f>
        <v/>
      </c>
      <c r="J3214" s="42">
        <f>IFERROR(INDEX('Semrush Data'!$A$1:$Z$20000,MATCH(A3214,'Semrush Data'!$A$1:$A$20000,0),MATCH("Intent",'Semrush Data'!$A$1:$Z$1,0)),"")</f>
        <v/>
      </c>
    </row>
    <row r="3215" ht="15" customHeight="1" s="37">
      <c r="A3215" s="42" t="inlineStr">
        <is>
          <t>vilvah lemon lip balm review</t>
        </is>
      </c>
      <c r="B3215" s="42" t="inlineStr">
        <is>
          <t>Google suggest</t>
        </is>
      </c>
      <c r="C3215" s="42" t="n">
        <v>3</v>
      </c>
      <c r="D3215" s="42" t="inlineStr">
        <is>
          <t>T3-2</t>
        </is>
      </c>
      <c r="E3215" s="42" t="n">
        <v>1</v>
      </c>
      <c r="F3215" s="42" t="inlineStr">
        <is>
          <t>VD-015</t>
        </is>
      </c>
      <c r="G3215" s="55">
        <f>IFERROR(INDEX('Semrush Data'!$A$1:$Z$20000,MATCH(A3215,'Semrush Data'!$A$1:$A$20000,0),MATCH("Volume",'Semrush Data'!$A$1:$Z$1,0)),"")</f>
        <v/>
      </c>
      <c r="H3215" s="42">
        <f>IFERROR(INDEX('Semrush Data'!$A$1:$Z$20000,MATCH(A3215,'Semrush Data'!$A$1:$A$20000,0),MATCH("Keyword Difficulty*",'Semrush Data'!$A$1:$Z$1,0)),"")</f>
        <v/>
      </c>
      <c r="I3215" s="56">
        <f>IFERROR(INDEX('Semrush Data'!$A$1:$Z$20000,MATCH(A3215,'Semrush Data'!$A$1:$A$20000,0),MATCH("CPC*",'Semrush Data'!$A$1:$Z$1,0)),"")</f>
        <v/>
      </c>
      <c r="J3215" s="42">
        <f>IFERROR(INDEX('Semrush Data'!$A$1:$Z$20000,MATCH(A3215,'Semrush Data'!$A$1:$A$20000,0),MATCH("Intent",'Semrush Data'!$A$1:$Z$1,0)),"")</f>
        <v/>
      </c>
    </row>
    <row r="3216" ht="15" customHeight="1" s="37">
      <c r="A3216" s="42" t="inlineStr">
        <is>
          <t>vilvah lip balm grapefruit</t>
        </is>
      </c>
      <c r="B3216" s="42" t="inlineStr">
        <is>
          <t>Google suggest</t>
        </is>
      </c>
      <c r="C3216" s="42" t="n">
        <v>3</v>
      </c>
      <c r="D3216" s="42" t="n">
        <v>33</v>
      </c>
      <c r="E3216" s="42" t="n">
        <v>1</v>
      </c>
      <c r="F3216" s="42" t="inlineStr">
        <is>
          <t>VD-035</t>
        </is>
      </c>
      <c r="G3216" s="55">
        <f>IFERROR(INDEX('Semrush Data'!$A$1:$Z$20000,MATCH(A3216,'Semrush Data'!$A$1:$A$20000,0),MATCH("Volume",'Semrush Data'!$A$1:$Z$1,0)),"")</f>
        <v/>
      </c>
      <c r="H3216" s="42">
        <f>IFERROR(INDEX('Semrush Data'!$A$1:$Z$20000,MATCH(A3216,'Semrush Data'!$A$1:$A$20000,0),MATCH("Keyword Difficulty*",'Semrush Data'!$A$1:$Z$1,0)),"")</f>
        <v/>
      </c>
      <c r="I3216" s="56">
        <f>IFERROR(INDEX('Semrush Data'!$A$1:$Z$20000,MATCH(A3216,'Semrush Data'!$A$1:$A$20000,0),MATCH("CPC*",'Semrush Data'!$A$1:$Z$1,0)),"")</f>
        <v/>
      </c>
      <c r="J3216" s="42">
        <f>IFERROR(INDEX('Semrush Data'!$A$1:$Z$20000,MATCH(A3216,'Semrush Data'!$A$1:$A$20000,0),MATCH("Intent",'Semrush Data'!$A$1:$Z$1,0)),"")</f>
        <v/>
      </c>
    </row>
    <row r="3217" ht="15" customHeight="1" s="37">
      <c r="A3217" s="42" t="inlineStr">
        <is>
          <t>vilvah lip balm lemon</t>
        </is>
      </c>
      <c r="B3217" s="42" t="inlineStr">
        <is>
          <t>Google suggest</t>
        </is>
      </c>
      <c r="C3217" s="42" t="n">
        <v>3</v>
      </c>
      <c r="D3217" s="42" t="n">
        <v>33</v>
      </c>
      <c r="E3217" s="42" t="n">
        <v>1</v>
      </c>
      <c r="F3217" s="42" t="inlineStr">
        <is>
          <t>VD-015</t>
        </is>
      </c>
      <c r="G3217" s="55">
        <f>IFERROR(INDEX('Semrush Data'!$A$1:$Z$20000,MATCH(A3217,'Semrush Data'!$A$1:$A$20000,0),MATCH("Volume",'Semrush Data'!$A$1:$Z$1,0)),"")</f>
        <v/>
      </c>
      <c r="H3217" s="42">
        <f>IFERROR(INDEX('Semrush Data'!$A$1:$Z$20000,MATCH(A3217,'Semrush Data'!$A$1:$A$20000,0),MATCH("Keyword Difficulty*",'Semrush Data'!$A$1:$Z$1,0)),"")</f>
        <v/>
      </c>
      <c r="I3217" s="56">
        <f>IFERROR(INDEX('Semrush Data'!$A$1:$Z$20000,MATCH(A3217,'Semrush Data'!$A$1:$A$20000,0),MATCH("CPC*",'Semrush Data'!$A$1:$Z$1,0)),"")</f>
        <v/>
      </c>
      <c r="J3217" s="42">
        <f>IFERROR(INDEX('Semrush Data'!$A$1:$Z$20000,MATCH(A3217,'Semrush Data'!$A$1:$A$20000,0),MATCH("Intent",'Semrush Data'!$A$1:$Z$1,0)),"")</f>
        <v/>
      </c>
    </row>
    <row r="3218" ht="15" customHeight="1" s="37">
      <c r="A3218" s="42" t="inlineStr">
        <is>
          <t>vilvah lip balm price</t>
        </is>
      </c>
      <c r="B3218" s="42" t="inlineStr">
        <is>
          <t>Google suggest</t>
        </is>
      </c>
      <c r="C3218" s="42" t="n">
        <v>3</v>
      </c>
      <c r="D3218" s="42" t="n">
        <v>33</v>
      </c>
      <c r="E3218" s="42" t="n">
        <v>6</v>
      </c>
      <c r="F3218" s="42" t="inlineStr">
        <is>
          <t>VD-010, VD-015, VD-036, VD-044, VD-045, VD-046</t>
        </is>
      </c>
      <c r="G3218" s="55">
        <f>IFERROR(INDEX('Semrush Data'!$A$1:$Z$20000,MATCH(A3218,'Semrush Data'!$A$1:$A$20000,0),MATCH("Volume",'Semrush Data'!$A$1:$Z$1,0)),"")</f>
        <v/>
      </c>
      <c r="H3218" s="42">
        <f>IFERROR(INDEX('Semrush Data'!$A$1:$Z$20000,MATCH(A3218,'Semrush Data'!$A$1:$A$20000,0),MATCH("Keyword Difficulty*",'Semrush Data'!$A$1:$Z$1,0)),"")</f>
        <v/>
      </c>
      <c r="I3218" s="56">
        <f>IFERROR(INDEX('Semrush Data'!$A$1:$Z$20000,MATCH(A3218,'Semrush Data'!$A$1:$A$20000,0),MATCH("CPC*",'Semrush Data'!$A$1:$Z$1,0)),"")</f>
        <v/>
      </c>
      <c r="J3218" s="42">
        <f>IFERROR(INDEX('Semrush Data'!$A$1:$Z$20000,MATCH(A3218,'Semrush Data'!$A$1:$A$20000,0),MATCH("Intent",'Semrush Data'!$A$1:$Z$1,0)),"")</f>
        <v/>
      </c>
    </row>
    <row r="3219" ht="15" customHeight="1" s="37">
      <c r="A3219" s="42" t="inlineStr">
        <is>
          <t>vilvah lip balm review</t>
        </is>
      </c>
      <c r="B3219" s="42" t="inlineStr">
        <is>
          <t>Google suggest</t>
        </is>
      </c>
      <c r="C3219" s="42" t="n">
        <v>3</v>
      </c>
      <c r="D3219" s="42" t="inlineStr">
        <is>
          <t>T3-2</t>
        </is>
      </c>
      <c r="E3219" s="42" t="n">
        <v>7</v>
      </c>
      <c r="F3219" s="42" t="inlineStr">
        <is>
          <t>VD-010, VD-015, VD-035, VD-036, VD-044, VD-045, VD-046</t>
        </is>
      </c>
      <c r="G3219" s="55">
        <f>IFERROR(INDEX('Semrush Data'!$A$1:$Z$20000,MATCH(A3219,'Semrush Data'!$A$1:$A$20000,0),MATCH("Volume",'Semrush Data'!$A$1:$Z$1,0)),"")</f>
        <v/>
      </c>
      <c r="H3219" s="42">
        <f>IFERROR(INDEX('Semrush Data'!$A$1:$Z$20000,MATCH(A3219,'Semrush Data'!$A$1:$A$20000,0),MATCH("Keyword Difficulty*",'Semrush Data'!$A$1:$Z$1,0)),"")</f>
        <v/>
      </c>
      <c r="I3219" s="56">
        <f>IFERROR(INDEX('Semrush Data'!$A$1:$Z$20000,MATCH(A3219,'Semrush Data'!$A$1:$A$20000,0),MATCH("CPC*",'Semrush Data'!$A$1:$Z$1,0)),"")</f>
        <v/>
      </c>
      <c r="J3219" s="42">
        <f>IFERROR(INDEX('Semrush Data'!$A$1:$Z$20000,MATCH(A3219,'Semrush Data'!$A$1:$A$20000,0),MATCH("Intent",'Semrush Data'!$A$1:$Z$1,0)),"")</f>
        <v/>
      </c>
    </row>
    <row r="3220" ht="15" customHeight="1" s="37">
      <c r="A3220" s="42" t="inlineStr">
        <is>
          <t>vilvah lip scrub and lip balm</t>
        </is>
      </c>
      <c r="B3220" s="42" t="inlineStr">
        <is>
          <t>Google suggest</t>
        </is>
      </c>
      <c r="C3220" s="42" t="n">
        <v>3</v>
      </c>
      <c r="D3220" s="42" t="n">
        <v>33</v>
      </c>
      <c r="E3220" s="42" t="n">
        <v>1</v>
      </c>
      <c r="F3220" s="42" t="inlineStr">
        <is>
          <t>VD-036</t>
        </is>
      </c>
      <c r="G3220" s="55">
        <f>IFERROR(INDEX('Semrush Data'!$A$1:$Z$20000,MATCH(A3220,'Semrush Data'!$A$1:$A$20000,0),MATCH("Volume",'Semrush Data'!$A$1:$Z$1,0)),"")</f>
        <v/>
      </c>
      <c r="H3220" s="42">
        <f>IFERROR(INDEX('Semrush Data'!$A$1:$Z$20000,MATCH(A3220,'Semrush Data'!$A$1:$A$20000,0),MATCH("Keyword Difficulty*",'Semrush Data'!$A$1:$Z$1,0)),"")</f>
        <v/>
      </c>
      <c r="I3220" s="56">
        <f>IFERROR(INDEX('Semrush Data'!$A$1:$Z$20000,MATCH(A3220,'Semrush Data'!$A$1:$A$20000,0),MATCH("CPC*",'Semrush Data'!$A$1:$Z$1,0)),"")</f>
        <v/>
      </c>
      <c r="J3220" s="42">
        <f>IFERROR(INDEX('Semrush Data'!$A$1:$Z$20000,MATCH(A3220,'Semrush Data'!$A$1:$A$20000,0),MATCH("Intent",'Semrush Data'!$A$1:$Z$1,0)),"")</f>
        <v/>
      </c>
    </row>
    <row r="3221" ht="15" customHeight="1" s="37">
      <c r="A3221" s="42" t="inlineStr">
        <is>
          <t>vilvah lip scrub how to use</t>
        </is>
      </c>
      <c r="B3221" s="42" t="inlineStr">
        <is>
          <t>Google suggest</t>
        </is>
      </c>
      <c r="C3221" s="42" t="n">
        <v>3</v>
      </c>
      <c r="D3221" s="42" t="n">
        <v>33</v>
      </c>
      <c r="E3221" s="42" t="n">
        <v>1</v>
      </c>
      <c r="F3221" s="42" t="inlineStr">
        <is>
          <t>VD-036</t>
        </is>
      </c>
      <c r="G3221" s="55">
        <f>IFERROR(INDEX('Semrush Data'!$A$1:$Z$20000,MATCH(A3221,'Semrush Data'!$A$1:$A$20000,0),MATCH("Volume",'Semrush Data'!$A$1:$Z$1,0)),"")</f>
        <v/>
      </c>
      <c r="H3221" s="42">
        <f>IFERROR(INDEX('Semrush Data'!$A$1:$Z$20000,MATCH(A3221,'Semrush Data'!$A$1:$A$20000,0),MATCH("Keyword Difficulty*",'Semrush Data'!$A$1:$Z$1,0)),"")</f>
        <v/>
      </c>
      <c r="I3221" s="56">
        <f>IFERROR(INDEX('Semrush Data'!$A$1:$Z$20000,MATCH(A3221,'Semrush Data'!$A$1:$A$20000,0),MATCH("CPC*",'Semrush Data'!$A$1:$Z$1,0)),"")</f>
        <v/>
      </c>
      <c r="J3221" s="42">
        <f>IFERROR(INDEX('Semrush Data'!$A$1:$Z$20000,MATCH(A3221,'Semrush Data'!$A$1:$A$20000,0),MATCH("Intent",'Semrush Data'!$A$1:$Z$1,0)),"")</f>
        <v/>
      </c>
    </row>
    <row r="3222" ht="15" customHeight="1" s="37">
      <c r="A3222" s="42" t="inlineStr">
        <is>
          <t>vilvah lip scrub ingredients</t>
        </is>
      </c>
      <c r="B3222" s="42" t="inlineStr">
        <is>
          <t>Google suggest</t>
        </is>
      </c>
      <c r="C3222" s="42" t="n">
        <v>3</v>
      </c>
      <c r="D3222" s="42" t="n">
        <v>33</v>
      </c>
      <c r="E3222" s="42" t="n">
        <v>1</v>
      </c>
      <c r="F3222" s="42" t="inlineStr">
        <is>
          <t>VD-036</t>
        </is>
      </c>
      <c r="G3222" s="55">
        <f>IFERROR(INDEX('Semrush Data'!$A$1:$Z$20000,MATCH(A3222,'Semrush Data'!$A$1:$A$20000,0),MATCH("Volume",'Semrush Data'!$A$1:$Z$1,0)),"")</f>
        <v/>
      </c>
      <c r="H3222" s="42">
        <f>IFERROR(INDEX('Semrush Data'!$A$1:$Z$20000,MATCH(A3222,'Semrush Data'!$A$1:$A$20000,0),MATCH("Keyword Difficulty*",'Semrush Data'!$A$1:$Z$1,0)),"")</f>
        <v/>
      </c>
      <c r="I3222" s="56">
        <f>IFERROR(INDEX('Semrush Data'!$A$1:$Z$20000,MATCH(A3222,'Semrush Data'!$A$1:$A$20000,0),MATCH("CPC*",'Semrush Data'!$A$1:$Z$1,0)),"")</f>
        <v/>
      </c>
      <c r="J3222" s="42">
        <f>IFERROR(INDEX('Semrush Data'!$A$1:$Z$20000,MATCH(A3222,'Semrush Data'!$A$1:$A$20000,0),MATCH("Intent",'Semrush Data'!$A$1:$Z$1,0)),"")</f>
        <v/>
      </c>
    </row>
    <row r="3223" ht="15" customHeight="1" s="37">
      <c r="A3223" s="42" t="inlineStr">
        <is>
          <t>vilvah lip scrub review</t>
        </is>
      </c>
      <c r="B3223" s="42" t="inlineStr">
        <is>
          <t>Google suggest</t>
        </is>
      </c>
      <c r="C3223" s="42" t="n">
        <v>3</v>
      </c>
      <c r="D3223" s="42" t="inlineStr">
        <is>
          <t>T3-2</t>
        </is>
      </c>
      <c r="E3223" s="42" t="n">
        <v>1</v>
      </c>
      <c r="F3223" s="42" t="inlineStr">
        <is>
          <t>VD-036</t>
        </is>
      </c>
      <c r="G3223" s="55">
        <f>IFERROR(INDEX('Semrush Data'!$A$1:$Z$20000,MATCH(A3223,'Semrush Data'!$A$1:$A$20000,0),MATCH("Volume",'Semrush Data'!$A$1:$Z$1,0)),"")</f>
        <v/>
      </c>
      <c r="H3223" s="42">
        <f>IFERROR(INDEX('Semrush Data'!$A$1:$Z$20000,MATCH(A3223,'Semrush Data'!$A$1:$A$20000,0),MATCH("Keyword Difficulty*",'Semrush Data'!$A$1:$Z$1,0)),"")</f>
        <v/>
      </c>
      <c r="I3223" s="56">
        <f>IFERROR(INDEX('Semrush Data'!$A$1:$Z$20000,MATCH(A3223,'Semrush Data'!$A$1:$A$20000,0),MATCH("CPC*",'Semrush Data'!$A$1:$Z$1,0)),"")</f>
        <v/>
      </c>
      <c r="J3223" s="42">
        <f>IFERROR(INDEX('Semrush Data'!$A$1:$Z$20000,MATCH(A3223,'Semrush Data'!$A$1:$A$20000,0),MATCH("Intent",'Semrush Data'!$A$1:$Z$1,0)),"")</f>
        <v/>
      </c>
    </row>
    <row r="3224" ht="15" customHeight="1" s="37">
      <c r="A3224" s="42" t="inlineStr">
        <is>
          <t>vilvah milk body lotion review</t>
        </is>
      </c>
      <c r="B3224" s="42" t="inlineStr">
        <is>
          <t>Google suggest</t>
        </is>
      </c>
      <c r="C3224" s="42" t="n">
        <v>3</v>
      </c>
      <c r="D3224" s="42" t="inlineStr">
        <is>
          <t>T3-2</t>
        </is>
      </c>
      <c r="E3224" s="42" t="n">
        <v>1</v>
      </c>
      <c r="F3224" s="42" t="inlineStr">
        <is>
          <t>VD-016</t>
        </is>
      </c>
      <c r="G3224" s="55">
        <f>IFERROR(INDEX('Semrush Data'!$A$1:$Z$20000,MATCH(A3224,'Semrush Data'!$A$1:$A$20000,0),MATCH("Volume",'Semrush Data'!$A$1:$Z$1,0)),"")</f>
        <v/>
      </c>
      <c r="H3224" s="42">
        <f>IFERROR(INDEX('Semrush Data'!$A$1:$Z$20000,MATCH(A3224,'Semrush Data'!$A$1:$A$20000,0),MATCH("Keyword Difficulty*",'Semrush Data'!$A$1:$Z$1,0)),"")</f>
        <v/>
      </c>
      <c r="I3224" s="56">
        <f>IFERROR(INDEX('Semrush Data'!$A$1:$Z$20000,MATCH(A3224,'Semrush Data'!$A$1:$A$20000,0),MATCH("CPC*",'Semrush Data'!$A$1:$Z$1,0)),"")</f>
        <v/>
      </c>
      <c r="J3224" s="42">
        <f>IFERROR(INDEX('Semrush Data'!$A$1:$Z$20000,MATCH(A3224,'Semrush Data'!$A$1:$A$20000,0),MATCH("Intent",'Semrush Data'!$A$1:$Z$1,0)),"")</f>
        <v/>
      </c>
    </row>
    <row r="3225" ht="15" customHeight="1" s="37">
      <c r="A3225" s="42" t="inlineStr">
        <is>
          <t>vilvah milk drops brightening serum benefits</t>
        </is>
      </c>
      <c r="B3225" s="42" t="inlineStr">
        <is>
          <t>Google suggest</t>
        </is>
      </c>
      <c r="C3225" s="42" t="n">
        <v>3</v>
      </c>
      <c r="D3225" s="42" t="n">
        <v>33</v>
      </c>
      <c r="E3225" s="42" t="n">
        <v>2</v>
      </c>
      <c r="F3225" s="42" t="inlineStr">
        <is>
          <t>VD-038, VD-039</t>
        </is>
      </c>
      <c r="G3225" s="55">
        <f>IFERROR(INDEX('Semrush Data'!$A$1:$Z$20000,MATCH(A3225,'Semrush Data'!$A$1:$A$20000,0),MATCH("Volume",'Semrush Data'!$A$1:$Z$1,0)),"")</f>
        <v/>
      </c>
      <c r="H3225" s="42">
        <f>IFERROR(INDEX('Semrush Data'!$A$1:$Z$20000,MATCH(A3225,'Semrush Data'!$A$1:$A$20000,0),MATCH("Keyword Difficulty*",'Semrush Data'!$A$1:$Z$1,0)),"")</f>
        <v/>
      </c>
      <c r="I3225" s="56">
        <f>IFERROR(INDEX('Semrush Data'!$A$1:$Z$20000,MATCH(A3225,'Semrush Data'!$A$1:$A$20000,0),MATCH("CPC*",'Semrush Data'!$A$1:$Z$1,0)),"")</f>
        <v/>
      </c>
      <c r="J3225" s="42">
        <f>IFERROR(INDEX('Semrush Data'!$A$1:$Z$20000,MATCH(A3225,'Semrush Data'!$A$1:$A$20000,0),MATCH("Intent",'Semrush Data'!$A$1:$Z$1,0)),"")</f>
        <v/>
      </c>
    </row>
    <row r="3226" ht="15" customHeight="1" s="37">
      <c r="A3226" s="42" t="inlineStr">
        <is>
          <t>vilvah milk drops brightening serum how to use</t>
        </is>
      </c>
      <c r="B3226" s="42" t="inlineStr">
        <is>
          <t>Google suggest</t>
        </is>
      </c>
      <c r="C3226" s="42" t="n">
        <v>3</v>
      </c>
      <c r="D3226" s="42" t="n">
        <v>33</v>
      </c>
      <c r="E3226" s="42" t="n">
        <v>2</v>
      </c>
      <c r="F3226" s="42" t="inlineStr">
        <is>
          <t>VD-038, VD-039</t>
        </is>
      </c>
      <c r="G3226" s="55">
        <f>IFERROR(INDEX('Semrush Data'!$A$1:$Z$20000,MATCH(A3226,'Semrush Data'!$A$1:$A$20000,0),MATCH("Volume",'Semrush Data'!$A$1:$Z$1,0)),"")</f>
        <v/>
      </c>
      <c r="H3226" s="42">
        <f>IFERROR(INDEX('Semrush Data'!$A$1:$Z$20000,MATCH(A3226,'Semrush Data'!$A$1:$A$20000,0),MATCH("Keyword Difficulty*",'Semrush Data'!$A$1:$Z$1,0)),"")</f>
        <v/>
      </c>
      <c r="I3226" s="56">
        <f>IFERROR(INDEX('Semrush Data'!$A$1:$Z$20000,MATCH(A3226,'Semrush Data'!$A$1:$A$20000,0),MATCH("CPC*",'Semrush Data'!$A$1:$Z$1,0)),"")</f>
        <v/>
      </c>
      <c r="J3226" s="42">
        <f>IFERROR(INDEX('Semrush Data'!$A$1:$Z$20000,MATCH(A3226,'Semrush Data'!$A$1:$A$20000,0),MATCH("Intent",'Semrush Data'!$A$1:$Z$1,0)),"")</f>
        <v/>
      </c>
    </row>
    <row r="3227" ht="15" customHeight="1" s="37">
      <c r="A3227" s="42" t="inlineStr">
        <is>
          <t>vilvah milk drops brightening serum ingredients</t>
        </is>
      </c>
      <c r="B3227" s="42" t="inlineStr">
        <is>
          <t>Google suggest</t>
        </is>
      </c>
      <c r="C3227" s="42" t="n">
        <v>3</v>
      </c>
      <c r="D3227" s="42" t="n">
        <v>33</v>
      </c>
      <c r="E3227" s="42" t="n">
        <v>2</v>
      </c>
      <c r="F3227" s="42" t="inlineStr">
        <is>
          <t>VD-038, VD-039</t>
        </is>
      </c>
      <c r="G3227" s="55">
        <f>IFERROR(INDEX('Semrush Data'!$A$1:$Z$20000,MATCH(A3227,'Semrush Data'!$A$1:$A$20000,0),MATCH("Volume",'Semrush Data'!$A$1:$Z$1,0)),"")</f>
        <v/>
      </c>
      <c r="H3227" s="42">
        <f>IFERROR(INDEX('Semrush Data'!$A$1:$Z$20000,MATCH(A3227,'Semrush Data'!$A$1:$A$20000,0),MATCH("Keyword Difficulty*",'Semrush Data'!$A$1:$Z$1,0)),"")</f>
        <v/>
      </c>
      <c r="I3227" s="56">
        <f>IFERROR(INDEX('Semrush Data'!$A$1:$Z$20000,MATCH(A3227,'Semrush Data'!$A$1:$A$20000,0),MATCH("CPC*",'Semrush Data'!$A$1:$Z$1,0)),"")</f>
        <v/>
      </c>
      <c r="J3227" s="42">
        <f>IFERROR(INDEX('Semrush Data'!$A$1:$Z$20000,MATCH(A3227,'Semrush Data'!$A$1:$A$20000,0),MATCH("Intent",'Semrush Data'!$A$1:$Z$1,0)),"")</f>
        <v/>
      </c>
    </row>
    <row r="3228" ht="15" customHeight="1" s="37">
      <c r="A3228" s="42" t="inlineStr">
        <is>
          <t>vilvah milk drops brightening serum review</t>
        </is>
      </c>
      <c r="B3228" s="42" t="inlineStr">
        <is>
          <t>Google suggest</t>
        </is>
      </c>
      <c r="C3228" s="42" t="n">
        <v>3</v>
      </c>
      <c r="D3228" s="42" t="inlineStr">
        <is>
          <t>T3-2</t>
        </is>
      </c>
      <c r="E3228" s="42" t="n">
        <v>2</v>
      </c>
      <c r="F3228" s="42" t="inlineStr">
        <is>
          <t>VD-038, VD-039</t>
        </is>
      </c>
      <c r="G3228" s="55">
        <f>IFERROR(INDEX('Semrush Data'!$A$1:$Z$20000,MATCH(A3228,'Semrush Data'!$A$1:$A$20000,0),MATCH("Volume",'Semrush Data'!$A$1:$Z$1,0)),"")</f>
        <v/>
      </c>
      <c r="H3228" s="42">
        <f>IFERROR(INDEX('Semrush Data'!$A$1:$Z$20000,MATCH(A3228,'Semrush Data'!$A$1:$A$20000,0),MATCH("Keyword Difficulty*",'Semrush Data'!$A$1:$Z$1,0)),"")</f>
        <v/>
      </c>
      <c r="I3228" s="56">
        <f>IFERROR(INDEX('Semrush Data'!$A$1:$Z$20000,MATCH(A3228,'Semrush Data'!$A$1:$A$20000,0),MATCH("CPC*",'Semrush Data'!$A$1:$Z$1,0)),"")</f>
        <v/>
      </c>
      <c r="J3228" s="42">
        <f>IFERROR(INDEX('Semrush Data'!$A$1:$Z$20000,MATCH(A3228,'Semrush Data'!$A$1:$A$20000,0),MATCH("Intent",'Semrush Data'!$A$1:$Z$1,0)),"")</f>
        <v/>
      </c>
    </row>
    <row r="3229" ht="15" customHeight="1" s="37">
      <c r="A3229" s="42" t="inlineStr">
        <is>
          <t>vilvah milk face toner review</t>
        </is>
      </c>
      <c r="B3229" s="42" t="inlineStr">
        <is>
          <t>Google suggest</t>
        </is>
      </c>
      <c r="C3229" s="42" t="n">
        <v>3</v>
      </c>
      <c r="D3229" s="42" t="inlineStr">
        <is>
          <t>T3-2</t>
        </is>
      </c>
      <c r="E3229" s="42" t="n">
        <v>1</v>
      </c>
      <c r="F3229" s="42" t="inlineStr">
        <is>
          <t>VD-017</t>
        </is>
      </c>
      <c r="G3229" s="55">
        <f>IFERROR(INDEX('Semrush Data'!$A$1:$Z$20000,MATCH(A3229,'Semrush Data'!$A$1:$A$20000,0),MATCH("Volume",'Semrush Data'!$A$1:$Z$1,0)),"")</f>
        <v/>
      </c>
      <c r="H3229" s="42">
        <f>IFERROR(INDEX('Semrush Data'!$A$1:$Z$20000,MATCH(A3229,'Semrush Data'!$A$1:$A$20000,0),MATCH("Keyword Difficulty*",'Semrush Data'!$A$1:$Z$1,0)),"")</f>
        <v/>
      </c>
      <c r="I3229" s="56">
        <f>IFERROR(INDEX('Semrush Data'!$A$1:$Z$20000,MATCH(A3229,'Semrush Data'!$A$1:$A$20000,0),MATCH("CPC*",'Semrush Data'!$A$1:$Z$1,0)),"")</f>
        <v/>
      </c>
      <c r="J3229" s="42">
        <f>IFERROR(INDEX('Semrush Data'!$A$1:$Z$20000,MATCH(A3229,'Semrush Data'!$A$1:$A$20000,0),MATCH("Intent",'Semrush Data'!$A$1:$Z$1,0)),"")</f>
        <v/>
      </c>
    </row>
    <row r="3230" ht="15" customHeight="1" s="37">
      <c r="A3230" s="42" t="inlineStr">
        <is>
          <t>vilvah milk mud mask amazon</t>
        </is>
      </c>
      <c r="B3230" s="42" t="inlineStr">
        <is>
          <t>Google suggest</t>
        </is>
      </c>
      <c r="C3230" s="42" t="n">
        <v>3</v>
      </c>
      <c r="D3230" s="42" t="n">
        <v>33</v>
      </c>
      <c r="E3230" s="42" t="n">
        <v>1</v>
      </c>
      <c r="F3230" s="42" t="inlineStr">
        <is>
          <t>VD-018</t>
        </is>
      </c>
      <c r="G3230" s="55">
        <f>IFERROR(INDEX('Semrush Data'!$A$1:$Z$20000,MATCH(A3230,'Semrush Data'!$A$1:$A$20000,0),MATCH("Volume",'Semrush Data'!$A$1:$Z$1,0)),"")</f>
        <v/>
      </c>
      <c r="H3230" s="42">
        <f>IFERROR(INDEX('Semrush Data'!$A$1:$Z$20000,MATCH(A3230,'Semrush Data'!$A$1:$A$20000,0),MATCH("Keyword Difficulty*",'Semrush Data'!$A$1:$Z$1,0)),"")</f>
        <v/>
      </c>
      <c r="I3230" s="56">
        <f>IFERROR(INDEX('Semrush Data'!$A$1:$Z$20000,MATCH(A3230,'Semrush Data'!$A$1:$A$20000,0),MATCH("CPC*",'Semrush Data'!$A$1:$Z$1,0)),"")</f>
        <v/>
      </c>
      <c r="J3230" s="42">
        <f>IFERROR(INDEX('Semrush Data'!$A$1:$Z$20000,MATCH(A3230,'Semrush Data'!$A$1:$A$20000,0),MATCH("Intent",'Semrush Data'!$A$1:$Z$1,0)),"")</f>
        <v/>
      </c>
    </row>
    <row r="3231" ht="15" customHeight="1" s="37">
      <c r="A3231" s="42" t="inlineStr">
        <is>
          <t>vilvah milk mud mask benefits</t>
        </is>
      </c>
      <c r="B3231" s="42" t="inlineStr">
        <is>
          <t>Google suggest</t>
        </is>
      </c>
      <c r="C3231" s="42" t="n">
        <v>3</v>
      </c>
      <c r="D3231" s="42" t="n">
        <v>33</v>
      </c>
      <c r="E3231" s="42" t="n">
        <v>1</v>
      </c>
      <c r="F3231" s="42" t="inlineStr">
        <is>
          <t>VD-018</t>
        </is>
      </c>
      <c r="G3231" s="55">
        <f>IFERROR(INDEX('Semrush Data'!$A$1:$Z$20000,MATCH(A3231,'Semrush Data'!$A$1:$A$20000,0),MATCH("Volume",'Semrush Data'!$A$1:$Z$1,0)),"")</f>
        <v/>
      </c>
      <c r="H3231" s="42">
        <f>IFERROR(INDEX('Semrush Data'!$A$1:$Z$20000,MATCH(A3231,'Semrush Data'!$A$1:$A$20000,0),MATCH("Keyword Difficulty*",'Semrush Data'!$A$1:$Z$1,0)),"")</f>
        <v/>
      </c>
      <c r="I3231" s="56">
        <f>IFERROR(INDEX('Semrush Data'!$A$1:$Z$20000,MATCH(A3231,'Semrush Data'!$A$1:$A$20000,0),MATCH("CPC*",'Semrush Data'!$A$1:$Z$1,0)),"")</f>
        <v/>
      </c>
      <c r="J3231" s="42">
        <f>IFERROR(INDEX('Semrush Data'!$A$1:$Z$20000,MATCH(A3231,'Semrush Data'!$A$1:$A$20000,0),MATCH("Intent",'Semrush Data'!$A$1:$Z$1,0)),"")</f>
        <v/>
      </c>
    </row>
    <row r="3232" ht="15" customHeight="1" s="37">
      <c r="A3232" s="42" t="inlineStr">
        <is>
          <t>vilvah milk mud mask how to use</t>
        </is>
      </c>
      <c r="B3232" s="42" t="inlineStr">
        <is>
          <t>Google suggest</t>
        </is>
      </c>
      <c r="C3232" s="42" t="n">
        <v>3</v>
      </c>
      <c r="D3232" s="42" t="n">
        <v>33</v>
      </c>
      <c r="E3232" s="42" t="n">
        <v>1</v>
      </c>
      <c r="F3232" s="42" t="inlineStr">
        <is>
          <t>VD-018</t>
        </is>
      </c>
      <c r="G3232" s="55">
        <f>IFERROR(INDEX('Semrush Data'!$A$1:$Z$20000,MATCH(A3232,'Semrush Data'!$A$1:$A$20000,0),MATCH("Volume",'Semrush Data'!$A$1:$Z$1,0)),"")</f>
        <v/>
      </c>
      <c r="H3232" s="42">
        <f>IFERROR(INDEX('Semrush Data'!$A$1:$Z$20000,MATCH(A3232,'Semrush Data'!$A$1:$A$20000,0),MATCH("Keyword Difficulty*",'Semrush Data'!$A$1:$Z$1,0)),"")</f>
        <v/>
      </c>
      <c r="I3232" s="56">
        <f>IFERROR(INDEX('Semrush Data'!$A$1:$Z$20000,MATCH(A3232,'Semrush Data'!$A$1:$A$20000,0),MATCH("CPC*",'Semrush Data'!$A$1:$Z$1,0)),"")</f>
        <v/>
      </c>
      <c r="J3232" s="42">
        <f>IFERROR(INDEX('Semrush Data'!$A$1:$Z$20000,MATCH(A3232,'Semrush Data'!$A$1:$A$20000,0),MATCH("Intent",'Semrush Data'!$A$1:$Z$1,0)),"")</f>
        <v/>
      </c>
    </row>
    <row r="3233" ht="15" customHeight="1" s="37">
      <c r="A3233" s="42" t="inlineStr">
        <is>
          <t>vilvah milk mud mask ingredients</t>
        </is>
      </c>
      <c r="B3233" s="42" t="inlineStr">
        <is>
          <t>Google suggest</t>
        </is>
      </c>
      <c r="C3233" s="42" t="n">
        <v>3</v>
      </c>
      <c r="D3233" s="42" t="n">
        <v>33</v>
      </c>
      <c r="E3233" s="42" t="n">
        <v>1</v>
      </c>
      <c r="F3233" s="42" t="inlineStr">
        <is>
          <t>VD-018</t>
        </is>
      </c>
      <c r="G3233" s="55">
        <f>IFERROR(INDEX('Semrush Data'!$A$1:$Z$20000,MATCH(A3233,'Semrush Data'!$A$1:$A$20000,0),MATCH("Volume",'Semrush Data'!$A$1:$Z$1,0)),"")</f>
        <v/>
      </c>
      <c r="H3233" s="42">
        <f>IFERROR(INDEX('Semrush Data'!$A$1:$Z$20000,MATCH(A3233,'Semrush Data'!$A$1:$A$20000,0),MATCH("Keyword Difficulty*",'Semrush Data'!$A$1:$Z$1,0)),"")</f>
        <v/>
      </c>
      <c r="I3233" s="56">
        <f>IFERROR(INDEX('Semrush Data'!$A$1:$Z$20000,MATCH(A3233,'Semrush Data'!$A$1:$A$20000,0),MATCH("CPC*",'Semrush Data'!$A$1:$Z$1,0)),"")</f>
        <v/>
      </c>
      <c r="J3233" s="42">
        <f>IFERROR(INDEX('Semrush Data'!$A$1:$Z$20000,MATCH(A3233,'Semrush Data'!$A$1:$A$20000,0),MATCH("Intent",'Semrush Data'!$A$1:$Z$1,0)),"")</f>
        <v/>
      </c>
    </row>
    <row r="3234" ht="15" customHeight="1" s="37">
      <c r="A3234" s="42" t="inlineStr">
        <is>
          <t>vilvah milk mud mask review</t>
        </is>
      </c>
      <c r="B3234" s="42" t="inlineStr">
        <is>
          <t>Google suggest</t>
        </is>
      </c>
      <c r="C3234" s="42" t="n">
        <v>3</v>
      </c>
      <c r="D3234" s="42" t="inlineStr">
        <is>
          <t>T3-2</t>
        </is>
      </c>
      <c r="E3234" s="42" t="n">
        <v>1</v>
      </c>
      <c r="F3234" s="42" t="inlineStr">
        <is>
          <t>VD-018</t>
        </is>
      </c>
      <c r="G3234" s="55">
        <f>IFERROR(INDEX('Semrush Data'!$A$1:$Z$20000,MATCH(A3234,'Semrush Data'!$A$1:$A$20000,0),MATCH("Volume",'Semrush Data'!$A$1:$Z$1,0)),"")</f>
        <v/>
      </c>
      <c r="H3234" s="42">
        <f>IFERROR(INDEX('Semrush Data'!$A$1:$Z$20000,MATCH(A3234,'Semrush Data'!$A$1:$A$20000,0),MATCH("Keyword Difficulty*",'Semrush Data'!$A$1:$Z$1,0)),"")</f>
        <v/>
      </c>
      <c r="I3234" s="56">
        <f>IFERROR(INDEX('Semrush Data'!$A$1:$Z$20000,MATCH(A3234,'Semrush Data'!$A$1:$A$20000,0),MATCH("CPC*",'Semrush Data'!$A$1:$Z$1,0)),"")</f>
        <v/>
      </c>
      <c r="J3234" s="42">
        <f>IFERROR(INDEX('Semrush Data'!$A$1:$Z$20000,MATCH(A3234,'Semrush Data'!$A$1:$A$20000,0),MATCH("Intent",'Semrush Data'!$A$1:$Z$1,0)),"")</f>
        <v/>
      </c>
    </row>
    <row r="3235" ht="15" customHeight="1" s="37">
      <c r="A3235" s="42" t="inlineStr">
        <is>
          <t>vilvah milk powder face wash amazon</t>
        </is>
      </c>
      <c r="B3235" s="42" t="inlineStr">
        <is>
          <t>Google suggest</t>
        </is>
      </c>
      <c r="C3235" s="42" t="n">
        <v>3</v>
      </c>
      <c r="D3235" s="42" t="n">
        <v>33</v>
      </c>
      <c r="E3235" s="42" t="n">
        <v>1</v>
      </c>
      <c r="F3235" s="42" t="inlineStr">
        <is>
          <t>VD-006</t>
        </is>
      </c>
      <c r="G3235" s="55">
        <f>IFERROR(INDEX('Semrush Data'!$A$1:$Z$20000,MATCH(A3235,'Semrush Data'!$A$1:$A$20000,0),MATCH("Volume",'Semrush Data'!$A$1:$Z$1,0)),"")</f>
        <v/>
      </c>
      <c r="H3235" s="42">
        <f>IFERROR(INDEX('Semrush Data'!$A$1:$Z$20000,MATCH(A3235,'Semrush Data'!$A$1:$A$20000,0),MATCH("Keyword Difficulty*",'Semrush Data'!$A$1:$Z$1,0)),"")</f>
        <v/>
      </c>
      <c r="I3235" s="56">
        <f>IFERROR(INDEX('Semrush Data'!$A$1:$Z$20000,MATCH(A3235,'Semrush Data'!$A$1:$A$20000,0),MATCH("CPC*",'Semrush Data'!$A$1:$Z$1,0)),"")</f>
        <v/>
      </c>
      <c r="J3235" s="42">
        <f>IFERROR(INDEX('Semrush Data'!$A$1:$Z$20000,MATCH(A3235,'Semrush Data'!$A$1:$A$20000,0),MATCH("Intent",'Semrush Data'!$A$1:$Z$1,0)),"")</f>
        <v/>
      </c>
    </row>
    <row r="3236" ht="15" customHeight="1" s="37">
      <c r="A3236" s="42" t="inlineStr">
        <is>
          <t>vilvah milk powder face wash and serum</t>
        </is>
      </c>
      <c r="B3236" s="42" t="inlineStr">
        <is>
          <t>Google suggest</t>
        </is>
      </c>
      <c r="C3236" s="42" t="n">
        <v>3</v>
      </c>
      <c r="D3236" s="42" t="n">
        <v>33</v>
      </c>
      <c r="E3236" s="42" t="n">
        <v>1</v>
      </c>
      <c r="F3236" s="42" t="inlineStr">
        <is>
          <t>VD-006</t>
        </is>
      </c>
      <c r="G3236" s="55">
        <f>IFERROR(INDEX('Semrush Data'!$A$1:$Z$20000,MATCH(A3236,'Semrush Data'!$A$1:$A$20000,0),MATCH("Volume",'Semrush Data'!$A$1:$Z$1,0)),"")</f>
        <v/>
      </c>
      <c r="H3236" s="42">
        <f>IFERROR(INDEX('Semrush Data'!$A$1:$Z$20000,MATCH(A3236,'Semrush Data'!$A$1:$A$20000,0),MATCH("Keyword Difficulty*",'Semrush Data'!$A$1:$Z$1,0)),"")</f>
        <v/>
      </c>
      <c r="I3236" s="56">
        <f>IFERROR(INDEX('Semrush Data'!$A$1:$Z$20000,MATCH(A3236,'Semrush Data'!$A$1:$A$20000,0),MATCH("CPC*",'Semrush Data'!$A$1:$Z$1,0)),"")</f>
        <v/>
      </c>
      <c r="J3236" s="42">
        <f>IFERROR(INDEX('Semrush Data'!$A$1:$Z$20000,MATCH(A3236,'Semrush Data'!$A$1:$A$20000,0),MATCH("Intent",'Semrush Data'!$A$1:$Z$1,0)),"")</f>
        <v/>
      </c>
    </row>
    <row r="3237" ht="15" customHeight="1" s="37">
      <c r="A3237" s="42" t="inlineStr">
        <is>
          <t>vilvah milk powder face wash benefits</t>
        </is>
      </c>
      <c r="B3237" s="42" t="inlineStr">
        <is>
          <t>Google suggest</t>
        </is>
      </c>
      <c r="C3237" s="42" t="n">
        <v>3</v>
      </c>
      <c r="D3237" s="42" t="n">
        <v>33</v>
      </c>
      <c r="E3237" s="42" t="n">
        <v>1</v>
      </c>
      <c r="F3237" s="42" t="inlineStr">
        <is>
          <t>VD-006</t>
        </is>
      </c>
      <c r="G3237" s="55">
        <f>IFERROR(INDEX('Semrush Data'!$A$1:$Z$20000,MATCH(A3237,'Semrush Data'!$A$1:$A$20000,0),MATCH("Volume",'Semrush Data'!$A$1:$Z$1,0)),"")</f>
        <v/>
      </c>
      <c r="H3237" s="42">
        <f>IFERROR(INDEX('Semrush Data'!$A$1:$Z$20000,MATCH(A3237,'Semrush Data'!$A$1:$A$20000,0),MATCH("Keyword Difficulty*",'Semrush Data'!$A$1:$Z$1,0)),"")</f>
        <v/>
      </c>
      <c r="I3237" s="56">
        <f>IFERROR(INDEX('Semrush Data'!$A$1:$Z$20000,MATCH(A3237,'Semrush Data'!$A$1:$A$20000,0),MATCH("CPC*",'Semrush Data'!$A$1:$Z$1,0)),"")</f>
        <v/>
      </c>
      <c r="J3237" s="42">
        <f>IFERROR(INDEX('Semrush Data'!$A$1:$Z$20000,MATCH(A3237,'Semrush Data'!$A$1:$A$20000,0),MATCH("Intent",'Semrush Data'!$A$1:$Z$1,0)),"")</f>
        <v/>
      </c>
    </row>
    <row r="3238" ht="15" customHeight="1" s="37">
      <c r="A3238" s="42" t="inlineStr">
        <is>
          <t>vilvah milk powder face wash how to use</t>
        </is>
      </c>
      <c r="B3238" s="42" t="inlineStr">
        <is>
          <t>Google suggest</t>
        </is>
      </c>
      <c r="C3238" s="42" t="n">
        <v>3</v>
      </c>
      <c r="D3238" s="42" t="n">
        <v>33</v>
      </c>
      <c r="E3238" s="42" t="n">
        <v>1</v>
      </c>
      <c r="F3238" s="42" t="inlineStr">
        <is>
          <t>VD-006</t>
        </is>
      </c>
      <c r="G3238" s="55">
        <f>IFERROR(INDEX('Semrush Data'!$A$1:$Z$20000,MATCH(A3238,'Semrush Data'!$A$1:$A$20000,0),MATCH("Volume",'Semrush Data'!$A$1:$Z$1,0)),"")</f>
        <v/>
      </c>
      <c r="H3238" s="42">
        <f>IFERROR(INDEX('Semrush Data'!$A$1:$Z$20000,MATCH(A3238,'Semrush Data'!$A$1:$A$20000,0),MATCH("Keyword Difficulty*",'Semrush Data'!$A$1:$Z$1,0)),"")</f>
        <v/>
      </c>
      <c r="I3238" s="56">
        <f>IFERROR(INDEX('Semrush Data'!$A$1:$Z$20000,MATCH(A3238,'Semrush Data'!$A$1:$A$20000,0),MATCH("CPC*",'Semrush Data'!$A$1:$Z$1,0)),"")</f>
        <v/>
      </c>
      <c r="J3238" s="42">
        <f>IFERROR(INDEX('Semrush Data'!$A$1:$Z$20000,MATCH(A3238,'Semrush Data'!$A$1:$A$20000,0),MATCH("Intent",'Semrush Data'!$A$1:$Z$1,0)),"")</f>
        <v/>
      </c>
    </row>
    <row r="3239" ht="15" customHeight="1" s="37">
      <c r="A3239" s="42" t="inlineStr">
        <is>
          <t>vilvah milk powder face wash review</t>
        </is>
      </c>
      <c r="B3239" s="42" t="inlineStr">
        <is>
          <t>Google suggest</t>
        </is>
      </c>
      <c r="C3239" s="42" t="n">
        <v>3</v>
      </c>
      <c r="D3239" s="42" t="inlineStr">
        <is>
          <t>T3-2</t>
        </is>
      </c>
      <c r="E3239" s="42" t="n">
        <v>1</v>
      </c>
      <c r="F3239" s="42" t="inlineStr">
        <is>
          <t>VD-006</t>
        </is>
      </c>
      <c r="G3239" s="55">
        <f>IFERROR(INDEX('Semrush Data'!$A$1:$Z$20000,MATCH(A3239,'Semrush Data'!$A$1:$A$20000,0),MATCH("Volume",'Semrush Data'!$A$1:$Z$1,0)),"")</f>
        <v/>
      </c>
      <c r="H3239" s="42">
        <f>IFERROR(INDEX('Semrush Data'!$A$1:$Z$20000,MATCH(A3239,'Semrush Data'!$A$1:$A$20000,0),MATCH("Keyword Difficulty*",'Semrush Data'!$A$1:$Z$1,0)),"")</f>
        <v/>
      </c>
      <c r="I3239" s="56">
        <f>IFERROR(INDEX('Semrush Data'!$A$1:$Z$20000,MATCH(A3239,'Semrush Data'!$A$1:$A$20000,0),MATCH("CPC*",'Semrush Data'!$A$1:$Z$1,0)),"")</f>
        <v/>
      </c>
      <c r="J3239" s="42">
        <f>IFERROR(INDEX('Semrush Data'!$A$1:$Z$20000,MATCH(A3239,'Semrush Data'!$A$1:$A$20000,0),MATCH("Intent",'Semrush Data'!$A$1:$Z$1,0)),"")</f>
        <v/>
      </c>
    </row>
    <row r="3240" ht="15" customHeight="1" s="37">
      <c r="A3240" s="42" t="inlineStr">
        <is>
          <t>vilvah rose milk lip balm ingredients</t>
        </is>
      </c>
      <c r="B3240" s="42" t="inlineStr">
        <is>
          <t>Google suggest</t>
        </is>
      </c>
      <c r="C3240" s="42" t="n">
        <v>3</v>
      </c>
      <c r="D3240" s="42" t="n">
        <v>33</v>
      </c>
      <c r="E3240" s="42" t="n">
        <v>1</v>
      </c>
      <c r="F3240" s="42" t="inlineStr">
        <is>
          <t>VD-010</t>
        </is>
      </c>
      <c r="G3240" s="55">
        <f>IFERROR(INDEX('Semrush Data'!$A$1:$Z$20000,MATCH(A3240,'Semrush Data'!$A$1:$A$20000,0),MATCH("Volume",'Semrush Data'!$A$1:$Z$1,0)),"")</f>
        <v/>
      </c>
      <c r="H3240" s="42">
        <f>IFERROR(INDEX('Semrush Data'!$A$1:$Z$20000,MATCH(A3240,'Semrush Data'!$A$1:$A$20000,0),MATCH("Keyword Difficulty*",'Semrush Data'!$A$1:$Z$1,0)),"")</f>
        <v/>
      </c>
      <c r="I3240" s="56">
        <f>IFERROR(INDEX('Semrush Data'!$A$1:$Z$20000,MATCH(A3240,'Semrush Data'!$A$1:$A$20000,0),MATCH("CPC*",'Semrush Data'!$A$1:$Z$1,0)),"")</f>
        <v/>
      </c>
      <c r="J3240" s="42">
        <f>IFERROR(INDEX('Semrush Data'!$A$1:$Z$20000,MATCH(A3240,'Semrush Data'!$A$1:$A$20000,0),MATCH("Intent",'Semrush Data'!$A$1:$Z$1,0)),"")</f>
        <v/>
      </c>
    </row>
    <row r="3241" ht="15" customHeight="1" s="37">
      <c r="A3241" s="42" t="inlineStr">
        <is>
          <t>vilvah rose milk lip balm review</t>
        </is>
      </c>
      <c r="B3241" s="42" t="inlineStr">
        <is>
          <t>Google suggest</t>
        </is>
      </c>
      <c r="C3241" s="42" t="n">
        <v>3</v>
      </c>
      <c r="D3241" s="42" t="inlineStr">
        <is>
          <t>T3-2</t>
        </is>
      </c>
      <c r="E3241" s="42" t="n">
        <v>1</v>
      </c>
      <c r="F3241" s="42" t="inlineStr">
        <is>
          <t>VD-010</t>
        </is>
      </c>
      <c r="G3241" s="55">
        <f>IFERROR(INDEX('Semrush Data'!$A$1:$Z$20000,MATCH(A3241,'Semrush Data'!$A$1:$A$20000,0),MATCH("Volume",'Semrush Data'!$A$1:$Z$1,0)),"")</f>
        <v/>
      </c>
      <c r="H3241" s="42">
        <f>IFERROR(INDEX('Semrush Data'!$A$1:$Z$20000,MATCH(A3241,'Semrush Data'!$A$1:$A$20000,0),MATCH("Keyword Difficulty*",'Semrush Data'!$A$1:$Z$1,0)),"")</f>
        <v/>
      </c>
      <c r="I3241" s="56">
        <f>IFERROR(INDEX('Semrush Data'!$A$1:$Z$20000,MATCH(A3241,'Semrush Data'!$A$1:$A$20000,0),MATCH("CPC*",'Semrush Data'!$A$1:$Z$1,0)),"")</f>
        <v/>
      </c>
      <c r="J3241" s="42">
        <f>IFERROR(INDEX('Semrush Data'!$A$1:$Z$20000,MATCH(A3241,'Semrush Data'!$A$1:$A$20000,0),MATCH("Intent",'Semrush Data'!$A$1:$Z$1,0)),"")</f>
        <v/>
      </c>
    </row>
    <row r="3242" ht="15" customHeight="1" s="37">
      <c r="A3242" s="42" t="inlineStr">
        <is>
          <t>vilvah toner review</t>
        </is>
      </c>
      <c r="B3242" s="42" t="inlineStr">
        <is>
          <t>Google suggest</t>
        </is>
      </c>
      <c r="C3242" s="42" t="n">
        <v>3</v>
      </c>
      <c r="D3242" s="42" t="n">
        <v>33</v>
      </c>
      <c r="E3242" s="42" t="n">
        <v>1</v>
      </c>
      <c r="F3242" s="42" t="inlineStr">
        <is>
          <t>VD-017</t>
        </is>
      </c>
      <c r="G3242" s="55">
        <f>IFERROR(INDEX('Semrush Data'!$A$1:$Z$20000,MATCH(A3242,'Semrush Data'!$A$1:$A$20000,0),MATCH("Volume",'Semrush Data'!$A$1:$Z$1,0)),"")</f>
        <v/>
      </c>
      <c r="H3242" s="42">
        <f>IFERROR(INDEX('Semrush Data'!$A$1:$Z$20000,MATCH(A3242,'Semrush Data'!$A$1:$A$20000,0),MATCH("Keyword Difficulty*",'Semrush Data'!$A$1:$Z$1,0)),"")</f>
        <v/>
      </c>
      <c r="I3242" s="56">
        <f>IFERROR(INDEX('Semrush Data'!$A$1:$Z$20000,MATCH(A3242,'Semrush Data'!$A$1:$A$20000,0),MATCH("CPC*",'Semrush Data'!$A$1:$Z$1,0)),"")</f>
        <v/>
      </c>
      <c r="J3242" s="42">
        <f>IFERROR(INDEX('Semrush Data'!$A$1:$Z$20000,MATCH(A3242,'Semrush Data'!$A$1:$A$20000,0),MATCH("Intent",'Semrush Data'!$A$1:$Z$1,0)),"")</f>
        <v/>
      </c>
    </row>
    <row r="3243" ht="15" customHeight="1" s="37">
      <c r="A3243" s="42" t="inlineStr">
        <is>
          <t>vilvah under eye cream dark circles control</t>
        </is>
      </c>
      <c r="B3243" s="42" t="inlineStr">
        <is>
          <t>Google suggest</t>
        </is>
      </c>
      <c r="C3243" s="42" t="n">
        <v>3</v>
      </c>
      <c r="D3243" s="42" t="n">
        <v>33</v>
      </c>
      <c r="E3243" s="42" t="n">
        <v>1</v>
      </c>
      <c r="F3243" s="42" t="inlineStr">
        <is>
          <t>VD-043</t>
        </is>
      </c>
      <c r="G3243" s="55">
        <f>IFERROR(INDEX('Semrush Data'!$A$1:$Z$20000,MATCH(A3243,'Semrush Data'!$A$1:$A$20000,0),MATCH("Volume",'Semrush Data'!$A$1:$Z$1,0)),"")</f>
        <v/>
      </c>
      <c r="H3243" s="42">
        <f>IFERROR(INDEX('Semrush Data'!$A$1:$Z$20000,MATCH(A3243,'Semrush Data'!$A$1:$A$20000,0),MATCH("Keyword Difficulty*",'Semrush Data'!$A$1:$Z$1,0)),"")</f>
        <v/>
      </c>
      <c r="I3243" s="56">
        <f>IFERROR(INDEX('Semrush Data'!$A$1:$Z$20000,MATCH(A3243,'Semrush Data'!$A$1:$A$20000,0),MATCH("CPC*",'Semrush Data'!$A$1:$Z$1,0)),"")</f>
        <v/>
      </c>
      <c r="J3243" s="42">
        <f>IFERROR(INDEX('Semrush Data'!$A$1:$Z$20000,MATCH(A3243,'Semrush Data'!$A$1:$A$20000,0),MATCH("Intent",'Semrush Data'!$A$1:$Z$1,0)),"")</f>
        <v/>
      </c>
    </row>
    <row r="3244" ht="15" customHeight="1" s="37">
      <c r="A3244" s="42" t="inlineStr">
        <is>
          <t>عطر the woods collection eden</t>
        </is>
      </c>
      <c r="B3244" s="42" t="inlineStr">
        <is>
          <t>Google suggest</t>
        </is>
      </c>
      <c r="C3244" s="42" t="n">
        <v>3</v>
      </c>
      <c r="D3244" s="42" t="n">
        <v>33</v>
      </c>
      <c r="E3244" s="42" t="n">
        <v>1</v>
      </c>
      <c r="F3244" s="42" t="inlineStr">
        <is>
          <t>FR-343</t>
        </is>
      </c>
      <c r="G3244" s="55">
        <f>IFERROR(INDEX('Semrush Data'!$A$1:$Z$20000,MATCH(A3244,'Semrush Data'!$A$1:$A$20000,0),MATCH("Volume",'Semrush Data'!$A$1:$Z$1,0)),"")</f>
        <v/>
      </c>
      <c r="H3244" s="42">
        <f>IFERROR(INDEX('Semrush Data'!$A$1:$Z$20000,MATCH(A3244,'Semrush Data'!$A$1:$A$20000,0),MATCH("Keyword Difficulty*",'Semrush Data'!$A$1:$Z$1,0)),"")</f>
        <v/>
      </c>
      <c r="I3244" s="56">
        <f>IFERROR(INDEX('Semrush Data'!$A$1:$Z$20000,MATCH(A3244,'Semrush Data'!$A$1:$A$20000,0),MATCH("CPC*",'Semrush Data'!$A$1:$Z$1,0)),"")</f>
        <v/>
      </c>
      <c r="J3244" s="42">
        <f>IFERROR(INDEX('Semrush Data'!$A$1:$Z$20000,MATCH(A3244,'Semrush Data'!$A$1:$A$20000,0),MATCH("Intent",'Semrush Data'!$A$1:$Z$1,0)),"")</f>
        <v/>
      </c>
    </row>
    <row r="3245" ht="15" customHeight="1" s="37">
      <c r="A3245" s="42" t="inlineStr">
        <is>
          <t>abercrombie &amp; fitch first instinct together price</t>
        </is>
      </c>
      <c r="B3245" s="42" t="inlineStr">
        <is>
          <t>Price</t>
        </is>
      </c>
      <c r="C3245" s="42" t="n">
        <v>3</v>
      </c>
      <c r="D3245" s="42" t="n">
        <v>33</v>
      </c>
      <c r="E3245" s="42" t="n">
        <v>1</v>
      </c>
      <c r="F3245" s="42" t="inlineStr">
        <is>
          <t>FR-001</t>
        </is>
      </c>
      <c r="G3245" s="55">
        <f>IFERROR(INDEX('Semrush Data'!$A$1:$Z$20000,MATCH(A3245,'Semrush Data'!$A$1:$A$20000,0),MATCH("Volume",'Semrush Data'!$A$1:$Z$1,0)),"")</f>
        <v/>
      </c>
      <c r="H3245" s="42">
        <f>IFERROR(INDEX('Semrush Data'!$A$1:$Z$20000,MATCH(A3245,'Semrush Data'!$A$1:$A$20000,0),MATCH("Keyword Difficulty*",'Semrush Data'!$A$1:$Z$1,0)),"")</f>
        <v/>
      </c>
      <c r="I3245" s="56">
        <f>IFERROR(INDEX('Semrush Data'!$A$1:$Z$20000,MATCH(A3245,'Semrush Data'!$A$1:$A$20000,0),MATCH("CPC*",'Semrush Data'!$A$1:$Z$1,0)),"")</f>
        <v/>
      </c>
      <c r="J3245" s="42">
        <f>IFERROR(INDEX('Semrush Data'!$A$1:$Z$20000,MATCH(A3245,'Semrush Data'!$A$1:$A$20000,0),MATCH("Intent",'Semrush Data'!$A$1:$Z$1,0)),"")</f>
        <v/>
      </c>
    </row>
    <row r="3246" ht="15" customHeight="1" s="37">
      <c r="A3246" s="42" t="inlineStr">
        <is>
          <t>abercrombie &amp; fitch naturally fierce price</t>
        </is>
      </c>
      <c r="B3246" s="42" t="inlineStr">
        <is>
          <t>Price</t>
        </is>
      </c>
      <c r="C3246" s="42" t="n">
        <v>3</v>
      </c>
      <c r="D3246" s="42" t="n">
        <v>33</v>
      </c>
      <c r="E3246" s="42" t="n">
        <v>1</v>
      </c>
      <c r="F3246" s="42" t="inlineStr">
        <is>
          <t>FR-002</t>
        </is>
      </c>
      <c r="G3246" s="55">
        <f>IFERROR(INDEX('Semrush Data'!$A$1:$Z$20000,MATCH(A3246,'Semrush Data'!$A$1:$A$20000,0),MATCH("Volume",'Semrush Data'!$A$1:$Z$1,0)),"")</f>
        <v/>
      </c>
      <c r="H3246" s="42">
        <f>IFERROR(INDEX('Semrush Data'!$A$1:$Z$20000,MATCH(A3246,'Semrush Data'!$A$1:$A$20000,0),MATCH("Keyword Difficulty*",'Semrush Data'!$A$1:$Z$1,0)),"")</f>
        <v/>
      </c>
      <c r="I3246" s="56">
        <f>IFERROR(INDEX('Semrush Data'!$A$1:$Z$20000,MATCH(A3246,'Semrush Data'!$A$1:$A$20000,0),MATCH("CPC*",'Semrush Data'!$A$1:$Z$1,0)),"")</f>
        <v/>
      </c>
      <c r="J3246" s="42">
        <f>IFERROR(INDEX('Semrush Data'!$A$1:$Z$20000,MATCH(A3246,'Semrush Data'!$A$1:$A$20000,0),MATCH("Intent",'Semrush Data'!$A$1:$Z$1,0)),"")</f>
        <v/>
      </c>
    </row>
    <row r="3247" ht="15" customHeight="1" s="37">
      <c r="A3247" s="42" t="inlineStr">
        <is>
          <t>acqua di parma blu mediterraneo discovery set price</t>
        </is>
      </c>
      <c r="B3247" s="42" t="inlineStr">
        <is>
          <t>Price</t>
        </is>
      </c>
      <c r="C3247" s="42" t="n">
        <v>3</v>
      </c>
      <c r="D3247" s="42" t="n">
        <v>33</v>
      </c>
      <c r="E3247" s="42" t="n">
        <v>1</v>
      </c>
      <c r="F3247" s="42" t="inlineStr">
        <is>
          <t>FR-009</t>
        </is>
      </c>
      <c r="G3247" s="55">
        <f>IFERROR(INDEX('Semrush Data'!$A$1:$Z$20000,MATCH(A3247,'Semrush Data'!$A$1:$A$20000,0),MATCH("Volume",'Semrush Data'!$A$1:$Z$1,0)),"")</f>
        <v/>
      </c>
      <c r="H3247" s="42">
        <f>IFERROR(INDEX('Semrush Data'!$A$1:$Z$20000,MATCH(A3247,'Semrush Data'!$A$1:$A$20000,0),MATCH("Keyword Difficulty*",'Semrush Data'!$A$1:$Z$1,0)),"")</f>
        <v/>
      </c>
      <c r="I3247" s="56">
        <f>IFERROR(INDEX('Semrush Data'!$A$1:$Z$20000,MATCH(A3247,'Semrush Data'!$A$1:$A$20000,0),MATCH("CPC*",'Semrush Data'!$A$1:$Z$1,0)),"")</f>
        <v/>
      </c>
      <c r="J3247" s="42">
        <f>IFERROR(INDEX('Semrush Data'!$A$1:$Z$20000,MATCH(A3247,'Semrush Data'!$A$1:$A$20000,0),MATCH("Intent",'Semrush Data'!$A$1:$Z$1,0)),"")</f>
        <v/>
      </c>
    </row>
    <row r="3248" ht="15" customHeight="1" s="37">
      <c r="A3248" s="42" t="inlineStr">
        <is>
          <t>acqua di parma colonia essenza deodorant stick price</t>
        </is>
      </c>
      <c r="B3248" s="42" t="inlineStr">
        <is>
          <t>Price</t>
        </is>
      </c>
      <c r="C3248" s="42" t="n">
        <v>3</v>
      </c>
      <c r="D3248" s="42" t="n">
        <v>33</v>
      </c>
      <c r="E3248" s="42" t="n">
        <v>1</v>
      </c>
      <c r="F3248" s="42" t="inlineStr">
        <is>
          <t>FR-004</t>
        </is>
      </c>
      <c r="G3248" s="55">
        <f>IFERROR(INDEX('Semrush Data'!$A$1:$Z$20000,MATCH(A3248,'Semrush Data'!$A$1:$A$20000,0),MATCH("Volume",'Semrush Data'!$A$1:$Z$1,0)),"")</f>
        <v/>
      </c>
      <c r="H3248" s="42">
        <f>IFERROR(INDEX('Semrush Data'!$A$1:$Z$20000,MATCH(A3248,'Semrush Data'!$A$1:$A$20000,0),MATCH("Keyword Difficulty*",'Semrush Data'!$A$1:$Z$1,0)),"")</f>
        <v/>
      </c>
      <c r="I3248" s="56">
        <f>IFERROR(INDEX('Semrush Data'!$A$1:$Z$20000,MATCH(A3248,'Semrush Data'!$A$1:$A$20000,0),MATCH("CPC*",'Semrush Data'!$A$1:$Z$1,0)),"")</f>
        <v/>
      </c>
      <c r="J3248" s="42">
        <f>IFERROR(INDEX('Semrush Data'!$A$1:$Z$20000,MATCH(A3248,'Semrush Data'!$A$1:$A$20000,0),MATCH("Intent",'Semrush Data'!$A$1:$Z$1,0)),"")</f>
        <v/>
      </c>
    </row>
    <row r="3249" ht="15" customHeight="1" s="37">
      <c r="A3249" s="42" t="inlineStr">
        <is>
          <t>acqua di parma colonia pura price</t>
        </is>
      </c>
      <c r="B3249" s="42" t="inlineStr">
        <is>
          <t>Price</t>
        </is>
      </c>
      <c r="C3249" s="42" t="n">
        <v>3</v>
      </c>
      <c r="D3249" s="42" t="n">
        <v>33</v>
      </c>
      <c r="E3249" s="42" t="n">
        <v>1</v>
      </c>
      <c r="F3249" s="42" t="inlineStr">
        <is>
          <t>FR-003</t>
        </is>
      </c>
      <c r="G3249" s="55">
        <f>IFERROR(INDEX('Semrush Data'!$A$1:$Z$20000,MATCH(A3249,'Semrush Data'!$A$1:$A$20000,0),MATCH("Volume",'Semrush Data'!$A$1:$Z$1,0)),"")</f>
        <v/>
      </c>
      <c r="H3249" s="42">
        <f>IFERROR(INDEX('Semrush Data'!$A$1:$Z$20000,MATCH(A3249,'Semrush Data'!$A$1:$A$20000,0),MATCH("Keyword Difficulty*",'Semrush Data'!$A$1:$Z$1,0)),"")</f>
        <v/>
      </c>
      <c r="I3249" s="56">
        <f>IFERROR(INDEX('Semrush Data'!$A$1:$Z$20000,MATCH(A3249,'Semrush Data'!$A$1:$A$20000,0),MATCH("CPC*",'Semrush Data'!$A$1:$Z$1,0)),"")</f>
        <v/>
      </c>
      <c r="J3249" s="42">
        <f>IFERROR(INDEX('Semrush Data'!$A$1:$Z$20000,MATCH(A3249,'Semrush Data'!$A$1:$A$20000,0),MATCH("Intent",'Semrush Data'!$A$1:$Z$1,0)),"")</f>
        <v/>
      </c>
    </row>
    <row r="3250" ht="15" customHeight="1" s="37">
      <c r="A3250" s="42" t="inlineStr">
        <is>
          <t>acqua di parma holiday discovery set price</t>
        </is>
      </c>
      <c r="B3250" s="42" t="inlineStr">
        <is>
          <t>Price</t>
        </is>
      </c>
      <c r="C3250" s="42" t="n">
        <v>3</v>
      </c>
      <c r="D3250" s="42" t="n">
        <v>33</v>
      </c>
      <c r="E3250" s="42" t="n">
        <v>1</v>
      </c>
      <c r="F3250" s="42" t="inlineStr">
        <is>
          <t>FR-010</t>
        </is>
      </c>
      <c r="G3250" s="55">
        <f>IFERROR(INDEX('Semrush Data'!$A$1:$Z$20000,MATCH(A3250,'Semrush Data'!$A$1:$A$20000,0),MATCH("Volume",'Semrush Data'!$A$1:$Z$1,0)),"")</f>
        <v/>
      </c>
      <c r="H3250" s="42">
        <f>IFERROR(INDEX('Semrush Data'!$A$1:$Z$20000,MATCH(A3250,'Semrush Data'!$A$1:$A$20000,0),MATCH("Keyword Difficulty*",'Semrush Data'!$A$1:$Z$1,0)),"")</f>
        <v/>
      </c>
      <c r="I3250" s="56">
        <f>IFERROR(INDEX('Semrush Data'!$A$1:$Z$20000,MATCH(A3250,'Semrush Data'!$A$1:$A$20000,0),MATCH("CPC*",'Semrush Data'!$A$1:$Z$1,0)),"")</f>
        <v/>
      </c>
      <c r="J3250" s="42">
        <f>IFERROR(INDEX('Semrush Data'!$A$1:$Z$20000,MATCH(A3250,'Semrush Data'!$A$1:$A$20000,0),MATCH("Intent",'Semrush Data'!$A$1:$Z$1,0)),"")</f>
        <v/>
      </c>
    </row>
    <row r="3251" ht="15" customHeight="1" s="37">
      <c r="A3251" s="42" t="inlineStr">
        <is>
          <t>acqua di parma oud &amp; spice price</t>
        </is>
      </c>
      <c r="B3251" s="42" t="inlineStr">
        <is>
          <t>Price</t>
        </is>
      </c>
      <c r="C3251" s="42" t="n">
        <v>3</v>
      </c>
      <c r="D3251" s="42" t="n">
        <v>33</v>
      </c>
      <c r="E3251" s="42" t="n">
        <v>1</v>
      </c>
      <c r="F3251" s="42" t="inlineStr">
        <is>
          <t>FR-005</t>
        </is>
      </c>
      <c r="G3251" s="55">
        <f>IFERROR(INDEX('Semrush Data'!$A$1:$Z$20000,MATCH(A3251,'Semrush Data'!$A$1:$A$20000,0),MATCH("Volume",'Semrush Data'!$A$1:$Z$1,0)),"")</f>
        <v/>
      </c>
      <c r="H3251" s="42">
        <f>IFERROR(INDEX('Semrush Data'!$A$1:$Z$20000,MATCH(A3251,'Semrush Data'!$A$1:$A$20000,0),MATCH("Keyword Difficulty*",'Semrush Data'!$A$1:$Z$1,0)),"")</f>
        <v/>
      </c>
      <c r="I3251" s="56">
        <f>IFERROR(INDEX('Semrush Data'!$A$1:$Z$20000,MATCH(A3251,'Semrush Data'!$A$1:$A$20000,0),MATCH("CPC*",'Semrush Data'!$A$1:$Z$1,0)),"")</f>
        <v/>
      </c>
      <c r="J3251" s="42">
        <f>IFERROR(INDEX('Semrush Data'!$A$1:$Z$20000,MATCH(A3251,'Semrush Data'!$A$1:$A$20000,0),MATCH("Intent",'Semrush Data'!$A$1:$Z$1,0)),"")</f>
        <v/>
      </c>
    </row>
    <row r="3252" ht="15" customHeight="1" s="37">
      <c r="A3252" s="42" t="inlineStr">
        <is>
          <t>acqua di parma rosa nobile price</t>
        </is>
      </c>
      <c r="B3252" s="42" t="inlineStr">
        <is>
          <t>Price</t>
        </is>
      </c>
      <c r="C3252" s="42" t="n">
        <v>3</v>
      </c>
      <c r="D3252" s="42" t="n">
        <v>33</v>
      </c>
      <c r="E3252" s="42" t="n">
        <v>1</v>
      </c>
      <c r="F3252" s="42" t="inlineStr">
        <is>
          <t>FR-006</t>
        </is>
      </c>
      <c r="G3252" s="55">
        <f>IFERROR(INDEX('Semrush Data'!$A$1:$Z$20000,MATCH(A3252,'Semrush Data'!$A$1:$A$20000,0),MATCH("Volume",'Semrush Data'!$A$1:$Z$1,0)),"")</f>
        <v/>
      </c>
      <c r="H3252" s="42">
        <f>IFERROR(INDEX('Semrush Data'!$A$1:$Z$20000,MATCH(A3252,'Semrush Data'!$A$1:$A$20000,0),MATCH("Keyword Difficulty*",'Semrush Data'!$A$1:$Z$1,0)),"")</f>
        <v/>
      </c>
      <c r="I3252" s="56">
        <f>IFERROR(INDEX('Semrush Data'!$A$1:$Z$20000,MATCH(A3252,'Semrush Data'!$A$1:$A$20000,0),MATCH("CPC*",'Semrush Data'!$A$1:$Z$1,0)),"")</f>
        <v/>
      </c>
      <c r="J3252" s="42">
        <f>IFERROR(INDEX('Semrush Data'!$A$1:$Z$20000,MATCH(A3252,'Semrush Data'!$A$1:$A$20000,0),MATCH("Intent",'Semrush Data'!$A$1:$Z$1,0)),"")</f>
        <v/>
      </c>
    </row>
    <row r="3253" ht="15" customHeight="1" s="37">
      <c r="A3253" s="42" t="inlineStr">
        <is>
          <t>acqua di parma sakura price</t>
        </is>
      </c>
      <c r="B3253" s="42" t="inlineStr">
        <is>
          <t>Price</t>
        </is>
      </c>
      <c r="C3253" s="42" t="n">
        <v>3</v>
      </c>
      <c r="D3253" s="42" t="n">
        <v>33</v>
      </c>
      <c r="E3253" s="42" t="n">
        <v>1</v>
      </c>
      <c r="F3253" s="42" t="inlineStr">
        <is>
          <t>FR-007</t>
        </is>
      </c>
      <c r="G3253" s="55">
        <f>IFERROR(INDEX('Semrush Data'!$A$1:$Z$20000,MATCH(A3253,'Semrush Data'!$A$1:$A$20000,0),MATCH("Volume",'Semrush Data'!$A$1:$Z$1,0)),"")</f>
        <v/>
      </c>
      <c r="H3253" s="42">
        <f>IFERROR(INDEX('Semrush Data'!$A$1:$Z$20000,MATCH(A3253,'Semrush Data'!$A$1:$A$20000,0),MATCH("Keyword Difficulty*",'Semrush Data'!$A$1:$Z$1,0)),"")</f>
        <v/>
      </c>
      <c r="I3253" s="56">
        <f>IFERROR(INDEX('Semrush Data'!$A$1:$Z$20000,MATCH(A3253,'Semrush Data'!$A$1:$A$20000,0),MATCH("CPC*",'Semrush Data'!$A$1:$Z$1,0)),"")</f>
        <v/>
      </c>
      <c r="J3253" s="42">
        <f>IFERROR(INDEX('Semrush Data'!$A$1:$Z$20000,MATCH(A3253,'Semrush Data'!$A$1:$A$20000,0),MATCH("Intent",'Semrush Data'!$A$1:$Z$1,0)),"")</f>
        <v/>
      </c>
    </row>
    <row r="3254" ht="15" customHeight="1" s="37">
      <c r="A3254" s="42" t="inlineStr">
        <is>
          <t>acqua di parma sandalo price</t>
        </is>
      </c>
      <c r="B3254" s="42" t="inlineStr">
        <is>
          <t>Price</t>
        </is>
      </c>
      <c r="C3254" s="42" t="n">
        <v>3</v>
      </c>
      <c r="D3254" s="42" t="n">
        <v>33</v>
      </c>
      <c r="E3254" s="42" t="n">
        <v>1</v>
      </c>
      <c r="F3254" s="42" t="inlineStr">
        <is>
          <t>FR-008</t>
        </is>
      </c>
      <c r="G3254" s="55">
        <f>IFERROR(INDEX('Semrush Data'!$A$1:$Z$20000,MATCH(A3254,'Semrush Data'!$A$1:$A$20000,0),MATCH("Volume",'Semrush Data'!$A$1:$Z$1,0)),"")</f>
        <v/>
      </c>
      <c r="H3254" s="42">
        <f>IFERROR(INDEX('Semrush Data'!$A$1:$Z$20000,MATCH(A3254,'Semrush Data'!$A$1:$A$20000,0),MATCH("Keyword Difficulty*",'Semrush Data'!$A$1:$Z$1,0)),"")</f>
        <v/>
      </c>
      <c r="I3254" s="56">
        <f>IFERROR(INDEX('Semrush Data'!$A$1:$Z$20000,MATCH(A3254,'Semrush Data'!$A$1:$A$20000,0),MATCH("CPC*",'Semrush Data'!$A$1:$Z$1,0)),"")</f>
        <v/>
      </c>
      <c r="J3254" s="42">
        <f>IFERROR(INDEX('Semrush Data'!$A$1:$Z$20000,MATCH(A3254,'Semrush Data'!$A$1:$A$20000,0),MATCH("Intent",'Semrush Data'!$A$1:$Z$1,0)),"")</f>
        <v/>
      </c>
    </row>
    <row r="3255" ht="15" customHeight="1" s="37">
      <c r="A3255" s="42" t="inlineStr">
        <is>
          <t>acqua di parma zafferano price</t>
        </is>
      </c>
      <c r="B3255" s="42" t="inlineStr">
        <is>
          <t>Price</t>
        </is>
      </c>
      <c r="C3255" s="42" t="n">
        <v>3</v>
      </c>
      <c r="D3255" s="42" t="n">
        <v>33</v>
      </c>
      <c r="E3255" s="42" t="n">
        <v>1</v>
      </c>
      <c r="F3255" s="42" t="inlineStr">
        <is>
          <t>FR-335</t>
        </is>
      </c>
      <c r="G3255" s="55">
        <f>IFERROR(INDEX('Semrush Data'!$A$1:$Z$20000,MATCH(A3255,'Semrush Data'!$A$1:$A$20000,0),MATCH("Volume",'Semrush Data'!$A$1:$Z$1,0)),"")</f>
        <v/>
      </c>
      <c r="H3255" s="42">
        <f>IFERROR(INDEX('Semrush Data'!$A$1:$Z$20000,MATCH(A3255,'Semrush Data'!$A$1:$A$20000,0),MATCH("Keyword Difficulty*",'Semrush Data'!$A$1:$Z$1,0)),"")</f>
        <v/>
      </c>
      <c r="I3255" s="56">
        <f>IFERROR(INDEX('Semrush Data'!$A$1:$Z$20000,MATCH(A3255,'Semrush Data'!$A$1:$A$20000,0),MATCH("CPC*",'Semrush Data'!$A$1:$Z$1,0)),"")</f>
        <v/>
      </c>
      <c r="J3255" s="42">
        <f>IFERROR(INDEX('Semrush Data'!$A$1:$Z$20000,MATCH(A3255,'Semrush Data'!$A$1:$A$20000,0),MATCH("Intent",'Semrush Data'!$A$1:$Z$1,0)),"")</f>
        <v/>
      </c>
    </row>
    <row r="3256" ht="15" customHeight="1" s="37">
      <c r="A3256" s="42" t="inlineStr">
        <is>
          <t>al haramain amber musk price</t>
        </is>
      </c>
      <c r="B3256" s="42" t="inlineStr">
        <is>
          <t>Price</t>
        </is>
      </c>
      <c r="C3256" s="42" t="n">
        <v>3</v>
      </c>
      <c r="D3256" s="42" t="n">
        <v>33</v>
      </c>
      <c r="E3256" s="42" t="n">
        <v>1</v>
      </c>
      <c r="F3256" s="42" t="inlineStr">
        <is>
          <t>FR-011</t>
        </is>
      </c>
      <c r="G3256" s="55">
        <f>IFERROR(INDEX('Semrush Data'!$A$1:$Z$20000,MATCH(A3256,'Semrush Data'!$A$1:$A$20000,0),MATCH("Volume",'Semrush Data'!$A$1:$Z$1,0)),"")</f>
        <v/>
      </c>
      <c r="H3256" s="42">
        <f>IFERROR(INDEX('Semrush Data'!$A$1:$Z$20000,MATCH(A3256,'Semrush Data'!$A$1:$A$20000,0),MATCH("Keyword Difficulty*",'Semrush Data'!$A$1:$Z$1,0)),"")</f>
        <v/>
      </c>
      <c r="I3256" s="56">
        <f>IFERROR(INDEX('Semrush Data'!$A$1:$Z$20000,MATCH(A3256,'Semrush Data'!$A$1:$A$20000,0),MATCH("CPC*",'Semrush Data'!$A$1:$Z$1,0)),"")</f>
        <v/>
      </c>
      <c r="J3256" s="42">
        <f>IFERROR(INDEX('Semrush Data'!$A$1:$Z$20000,MATCH(A3256,'Semrush Data'!$A$1:$A$20000,0),MATCH("Intent",'Semrush Data'!$A$1:$Z$1,0)),"")</f>
        <v/>
      </c>
    </row>
    <row r="3257" ht="15" customHeight="1" s="37">
      <c r="A3257" s="42" t="inlineStr">
        <is>
          <t>al haramain amber oud black edition price</t>
        </is>
      </c>
      <c r="B3257" s="42" t="inlineStr">
        <is>
          <t>Price</t>
        </is>
      </c>
      <c r="C3257" s="42" t="n">
        <v>3</v>
      </c>
      <c r="D3257" s="42" t="n">
        <v>33</v>
      </c>
      <c r="E3257" s="42" t="n">
        <v>1</v>
      </c>
      <c r="F3257" s="42" t="inlineStr">
        <is>
          <t>FR-012</t>
        </is>
      </c>
      <c r="G3257" s="55">
        <f>IFERROR(INDEX('Semrush Data'!$A$1:$Z$20000,MATCH(A3257,'Semrush Data'!$A$1:$A$20000,0),MATCH("Volume",'Semrush Data'!$A$1:$Z$1,0)),"")</f>
        <v/>
      </c>
      <c r="H3257" s="42">
        <f>IFERROR(INDEX('Semrush Data'!$A$1:$Z$20000,MATCH(A3257,'Semrush Data'!$A$1:$A$20000,0),MATCH("Keyword Difficulty*",'Semrush Data'!$A$1:$Z$1,0)),"")</f>
        <v/>
      </c>
      <c r="I3257" s="56">
        <f>IFERROR(INDEX('Semrush Data'!$A$1:$Z$20000,MATCH(A3257,'Semrush Data'!$A$1:$A$20000,0),MATCH("CPC*",'Semrush Data'!$A$1:$Z$1,0)),"")</f>
        <v/>
      </c>
      <c r="J3257" s="42">
        <f>IFERROR(INDEX('Semrush Data'!$A$1:$Z$20000,MATCH(A3257,'Semrush Data'!$A$1:$A$20000,0),MATCH("Intent",'Semrush Data'!$A$1:$Z$1,0)),"")</f>
        <v/>
      </c>
    </row>
    <row r="3258" ht="15" customHeight="1" s="37">
      <c r="A3258" s="42" t="inlineStr">
        <is>
          <t>al haramain amber oud bleu edition price</t>
        </is>
      </c>
      <c r="B3258" s="42" t="inlineStr">
        <is>
          <t>Price</t>
        </is>
      </c>
      <c r="C3258" s="42" t="n">
        <v>3</v>
      </c>
      <c r="D3258" s="42" t="n">
        <v>33</v>
      </c>
      <c r="E3258" s="42" t="n">
        <v>1</v>
      </c>
      <c r="F3258" s="42" t="inlineStr">
        <is>
          <t>FR-013</t>
        </is>
      </c>
      <c r="G3258" s="55">
        <f>IFERROR(INDEX('Semrush Data'!$A$1:$Z$20000,MATCH(A3258,'Semrush Data'!$A$1:$A$20000,0),MATCH("Volume",'Semrush Data'!$A$1:$Z$1,0)),"")</f>
        <v/>
      </c>
      <c r="H3258" s="42">
        <f>IFERROR(INDEX('Semrush Data'!$A$1:$Z$20000,MATCH(A3258,'Semrush Data'!$A$1:$A$20000,0),MATCH("Keyword Difficulty*",'Semrush Data'!$A$1:$Z$1,0)),"")</f>
        <v/>
      </c>
      <c r="I3258" s="56">
        <f>IFERROR(INDEX('Semrush Data'!$A$1:$Z$20000,MATCH(A3258,'Semrush Data'!$A$1:$A$20000,0),MATCH("CPC*",'Semrush Data'!$A$1:$Z$1,0)),"")</f>
        <v/>
      </c>
      <c r="J3258" s="42">
        <f>IFERROR(INDEX('Semrush Data'!$A$1:$Z$20000,MATCH(A3258,'Semrush Data'!$A$1:$A$20000,0),MATCH("Intent",'Semrush Data'!$A$1:$Z$1,0)),"")</f>
        <v/>
      </c>
    </row>
    <row r="3259" ht="15" customHeight="1" s="37">
      <c r="A3259" s="42" t="inlineStr">
        <is>
          <t>al haramain amber oud carbon edition price</t>
        </is>
      </c>
      <c r="B3259" s="42" t="inlineStr">
        <is>
          <t>Price</t>
        </is>
      </c>
      <c r="C3259" s="42" t="n">
        <v>3</v>
      </c>
      <c r="D3259" s="42" t="n">
        <v>33</v>
      </c>
      <c r="E3259" s="42" t="n">
        <v>1</v>
      </c>
      <c r="F3259" s="42" t="inlineStr">
        <is>
          <t>FR-014</t>
        </is>
      </c>
      <c r="G3259" s="55">
        <f>IFERROR(INDEX('Semrush Data'!$A$1:$Z$20000,MATCH(A3259,'Semrush Data'!$A$1:$A$20000,0),MATCH("Volume",'Semrush Data'!$A$1:$Z$1,0)),"")</f>
        <v/>
      </c>
      <c r="H3259" s="42">
        <f>IFERROR(INDEX('Semrush Data'!$A$1:$Z$20000,MATCH(A3259,'Semrush Data'!$A$1:$A$20000,0),MATCH("Keyword Difficulty*",'Semrush Data'!$A$1:$Z$1,0)),"")</f>
        <v/>
      </c>
      <c r="I3259" s="56">
        <f>IFERROR(INDEX('Semrush Data'!$A$1:$Z$20000,MATCH(A3259,'Semrush Data'!$A$1:$A$20000,0),MATCH("CPC*",'Semrush Data'!$A$1:$Z$1,0)),"")</f>
        <v/>
      </c>
      <c r="J3259" s="42">
        <f>IFERROR(INDEX('Semrush Data'!$A$1:$Z$20000,MATCH(A3259,'Semrush Data'!$A$1:$A$20000,0),MATCH("Intent",'Semrush Data'!$A$1:$Z$1,0)),"")</f>
        <v/>
      </c>
    </row>
    <row r="3260" ht="15" customHeight="1" s="37">
      <c r="A3260" s="42" t="inlineStr">
        <is>
          <t>al haramain amber oud extreme gold edition price</t>
        </is>
      </c>
      <c r="B3260" s="42" t="inlineStr">
        <is>
          <t>Price</t>
        </is>
      </c>
      <c r="C3260" s="42" t="n">
        <v>3</v>
      </c>
      <c r="D3260" s="42" t="n">
        <v>33</v>
      </c>
      <c r="E3260" s="42" t="n">
        <v>1</v>
      </c>
      <c r="F3260" s="42" t="inlineStr">
        <is>
          <t>FR-026</t>
        </is>
      </c>
      <c r="G3260" s="55">
        <f>IFERROR(INDEX('Semrush Data'!$A$1:$Z$20000,MATCH(A3260,'Semrush Data'!$A$1:$A$20000,0),MATCH("Volume",'Semrush Data'!$A$1:$Z$1,0)),"")</f>
        <v/>
      </c>
      <c r="H3260" s="42">
        <f>IFERROR(INDEX('Semrush Data'!$A$1:$Z$20000,MATCH(A3260,'Semrush Data'!$A$1:$A$20000,0),MATCH("Keyword Difficulty*",'Semrush Data'!$A$1:$Z$1,0)),"")</f>
        <v/>
      </c>
      <c r="I3260" s="56">
        <f>IFERROR(INDEX('Semrush Data'!$A$1:$Z$20000,MATCH(A3260,'Semrush Data'!$A$1:$A$20000,0),MATCH("CPC*",'Semrush Data'!$A$1:$Z$1,0)),"")</f>
        <v/>
      </c>
      <c r="J3260" s="42">
        <f>IFERROR(INDEX('Semrush Data'!$A$1:$Z$20000,MATCH(A3260,'Semrush Data'!$A$1:$A$20000,0),MATCH("Intent",'Semrush Data'!$A$1:$Z$1,0)),"")</f>
        <v/>
      </c>
    </row>
    <row r="3261" ht="15" customHeight="1" s="37">
      <c r="A3261" s="42" t="inlineStr">
        <is>
          <t>al haramain amber oud gold edition price</t>
        </is>
      </c>
      <c r="B3261" s="42" t="inlineStr">
        <is>
          <t>Price</t>
        </is>
      </c>
      <c r="C3261" s="42" t="n">
        <v>3</v>
      </c>
      <c r="D3261" s="42" t="n">
        <v>33</v>
      </c>
      <c r="E3261" s="42" t="n">
        <v>1</v>
      </c>
      <c r="F3261" s="42" t="inlineStr">
        <is>
          <t>FR-016</t>
        </is>
      </c>
      <c r="G3261" s="55">
        <f>IFERROR(INDEX('Semrush Data'!$A$1:$Z$20000,MATCH(A3261,'Semrush Data'!$A$1:$A$20000,0),MATCH("Volume",'Semrush Data'!$A$1:$Z$1,0)),"")</f>
        <v/>
      </c>
      <c r="H3261" s="42">
        <f>IFERROR(INDEX('Semrush Data'!$A$1:$Z$20000,MATCH(A3261,'Semrush Data'!$A$1:$A$20000,0),MATCH("Keyword Difficulty*",'Semrush Data'!$A$1:$Z$1,0)),"")</f>
        <v/>
      </c>
      <c r="I3261" s="56">
        <f>IFERROR(INDEX('Semrush Data'!$A$1:$Z$20000,MATCH(A3261,'Semrush Data'!$A$1:$A$20000,0),MATCH("CPC*",'Semrush Data'!$A$1:$Z$1,0)),"")</f>
        <v/>
      </c>
      <c r="J3261" s="42">
        <f>IFERROR(INDEX('Semrush Data'!$A$1:$Z$20000,MATCH(A3261,'Semrush Data'!$A$1:$A$20000,0),MATCH("Intent",'Semrush Data'!$A$1:$Z$1,0)),"")</f>
        <v/>
      </c>
    </row>
    <row r="3262" ht="15" customHeight="1" s="37">
      <c r="A3262" s="42" t="inlineStr">
        <is>
          <t>al haramain amber oud price</t>
        </is>
      </c>
      <c r="B3262" s="42" t="inlineStr">
        <is>
          <t>Price</t>
        </is>
      </c>
      <c r="C3262" s="42" t="n">
        <v>3</v>
      </c>
      <c r="D3262" s="42" t="inlineStr">
        <is>
          <t>T3-1</t>
        </is>
      </c>
      <c r="E3262" s="42" t="n">
        <v>1</v>
      </c>
      <c r="F3262" s="42" t="inlineStr">
        <is>
          <t>FR-015</t>
        </is>
      </c>
      <c r="G3262" s="55">
        <f>IFERROR(INDEX('Semrush Data'!$A$1:$Z$20000,MATCH(A3262,'Semrush Data'!$A$1:$A$20000,0),MATCH("Volume",'Semrush Data'!$A$1:$Z$1,0)),"")</f>
        <v/>
      </c>
      <c r="H3262" s="42">
        <f>IFERROR(INDEX('Semrush Data'!$A$1:$Z$20000,MATCH(A3262,'Semrush Data'!$A$1:$A$20000,0),MATCH("Keyword Difficulty*",'Semrush Data'!$A$1:$Z$1,0)),"")</f>
        <v/>
      </c>
      <c r="I3262" s="56">
        <f>IFERROR(INDEX('Semrush Data'!$A$1:$Z$20000,MATCH(A3262,'Semrush Data'!$A$1:$A$20000,0),MATCH("CPC*",'Semrush Data'!$A$1:$Z$1,0)),"")</f>
        <v/>
      </c>
      <c r="J3262" s="42">
        <f>IFERROR(INDEX('Semrush Data'!$A$1:$Z$20000,MATCH(A3262,'Semrush Data'!$A$1:$A$20000,0),MATCH("Intent",'Semrush Data'!$A$1:$Z$1,0)),"")</f>
        <v/>
      </c>
    </row>
    <row r="3263" ht="15" customHeight="1" s="37">
      <c r="A3263" s="42" t="inlineStr">
        <is>
          <t>al haramain amber oud ruby edition price</t>
        </is>
      </c>
      <c r="B3263" s="42" t="inlineStr">
        <is>
          <t>Price</t>
        </is>
      </c>
      <c r="C3263" s="42" t="n">
        <v>3</v>
      </c>
      <c r="D3263" s="42" t="n">
        <v>33</v>
      </c>
      <c r="E3263" s="42" t="n">
        <v>1</v>
      </c>
      <c r="F3263" s="42" t="inlineStr">
        <is>
          <t>FR-017</t>
        </is>
      </c>
      <c r="G3263" s="55">
        <f>IFERROR(INDEX('Semrush Data'!$A$1:$Z$20000,MATCH(A3263,'Semrush Data'!$A$1:$A$20000,0),MATCH("Volume",'Semrush Data'!$A$1:$Z$1,0)),"")</f>
        <v/>
      </c>
      <c r="H3263" s="42">
        <f>IFERROR(INDEX('Semrush Data'!$A$1:$Z$20000,MATCH(A3263,'Semrush Data'!$A$1:$A$20000,0),MATCH("Keyword Difficulty*",'Semrush Data'!$A$1:$Z$1,0)),"")</f>
        <v/>
      </c>
      <c r="I3263" s="56">
        <f>IFERROR(INDEX('Semrush Data'!$A$1:$Z$20000,MATCH(A3263,'Semrush Data'!$A$1:$A$20000,0),MATCH("CPC*",'Semrush Data'!$A$1:$Z$1,0)),"")</f>
        <v/>
      </c>
      <c r="J3263" s="42">
        <f>IFERROR(INDEX('Semrush Data'!$A$1:$Z$20000,MATCH(A3263,'Semrush Data'!$A$1:$A$20000,0),MATCH("Intent",'Semrush Data'!$A$1:$Z$1,0)),"")</f>
        <v/>
      </c>
    </row>
    <row r="3264" ht="15" customHeight="1" s="37">
      <c r="A3264" s="42" t="inlineStr">
        <is>
          <t>al haramain amber oud tobacco edition price</t>
        </is>
      </c>
      <c r="B3264" s="42" t="inlineStr">
        <is>
          <t>Price</t>
        </is>
      </c>
      <c r="C3264" s="42" t="n">
        <v>3</v>
      </c>
      <c r="D3264" s="42" t="n">
        <v>33</v>
      </c>
      <c r="E3264" s="42" t="n">
        <v>1</v>
      </c>
      <c r="F3264" s="42" t="inlineStr">
        <is>
          <t>FR-018</t>
        </is>
      </c>
      <c r="G3264" s="55">
        <f>IFERROR(INDEX('Semrush Data'!$A$1:$Z$20000,MATCH(A3264,'Semrush Data'!$A$1:$A$20000,0),MATCH("Volume",'Semrush Data'!$A$1:$Z$1,0)),"")</f>
        <v/>
      </c>
      <c r="H3264" s="42">
        <f>IFERROR(INDEX('Semrush Data'!$A$1:$Z$20000,MATCH(A3264,'Semrush Data'!$A$1:$A$20000,0),MATCH("Keyword Difficulty*",'Semrush Data'!$A$1:$Z$1,0)),"")</f>
        <v/>
      </c>
      <c r="I3264" s="56">
        <f>IFERROR(INDEX('Semrush Data'!$A$1:$Z$20000,MATCH(A3264,'Semrush Data'!$A$1:$A$20000,0),MATCH("CPC*",'Semrush Data'!$A$1:$Z$1,0)),"")</f>
        <v/>
      </c>
      <c r="J3264" s="42">
        <f>IFERROR(INDEX('Semrush Data'!$A$1:$Z$20000,MATCH(A3264,'Semrush Data'!$A$1:$A$20000,0),MATCH("Intent",'Semrush Data'!$A$1:$Z$1,0)),"")</f>
        <v/>
      </c>
    </row>
    <row r="3265" ht="15" customHeight="1" s="37">
      <c r="A3265" s="42" t="inlineStr">
        <is>
          <t>al haramain amber oud white edition price</t>
        </is>
      </c>
      <c r="B3265" s="42" t="inlineStr">
        <is>
          <t>Price</t>
        </is>
      </c>
      <c r="C3265" s="42" t="n">
        <v>3</v>
      </c>
      <c r="D3265" s="42" t="n">
        <v>33</v>
      </c>
      <c r="E3265" s="42" t="n">
        <v>1</v>
      </c>
      <c r="F3265" s="42" t="inlineStr">
        <is>
          <t>FR-019</t>
        </is>
      </c>
      <c r="G3265" s="55">
        <f>IFERROR(INDEX('Semrush Data'!$A$1:$Z$20000,MATCH(A3265,'Semrush Data'!$A$1:$A$20000,0),MATCH("Volume",'Semrush Data'!$A$1:$Z$1,0)),"")</f>
        <v/>
      </c>
      <c r="H3265" s="42">
        <f>IFERROR(INDEX('Semrush Data'!$A$1:$Z$20000,MATCH(A3265,'Semrush Data'!$A$1:$A$20000,0),MATCH("Keyword Difficulty*",'Semrush Data'!$A$1:$Z$1,0)),"")</f>
        <v/>
      </c>
      <c r="I3265" s="56">
        <f>IFERROR(INDEX('Semrush Data'!$A$1:$Z$20000,MATCH(A3265,'Semrush Data'!$A$1:$A$20000,0),MATCH("CPC*",'Semrush Data'!$A$1:$Z$1,0)),"")</f>
        <v/>
      </c>
      <c r="J3265" s="42">
        <f>IFERROR(INDEX('Semrush Data'!$A$1:$Z$20000,MATCH(A3265,'Semrush Data'!$A$1:$A$20000,0),MATCH("Intent",'Semrush Data'!$A$1:$Z$1,0)),"")</f>
        <v/>
      </c>
    </row>
    <row r="3266" ht="15" customHeight="1" s="37">
      <c r="A3266" s="42" t="inlineStr">
        <is>
          <t>al haramain detour noir price</t>
        </is>
      </c>
      <c r="B3266" s="42" t="inlineStr">
        <is>
          <t>Price</t>
        </is>
      </c>
      <c r="C3266" s="42" t="n">
        <v>3</v>
      </c>
      <c r="D3266" s="42" t="n">
        <v>33</v>
      </c>
      <c r="E3266" s="42" t="n">
        <v>1</v>
      </c>
      <c r="F3266" s="42" t="inlineStr">
        <is>
          <t>FR-020</t>
        </is>
      </c>
      <c r="G3266" s="55">
        <f>IFERROR(INDEX('Semrush Data'!$A$1:$Z$20000,MATCH(A3266,'Semrush Data'!$A$1:$A$20000,0),MATCH("Volume",'Semrush Data'!$A$1:$Z$1,0)),"")</f>
        <v/>
      </c>
      <c r="H3266" s="42">
        <f>IFERROR(INDEX('Semrush Data'!$A$1:$Z$20000,MATCH(A3266,'Semrush Data'!$A$1:$A$20000,0),MATCH("Keyword Difficulty*",'Semrush Data'!$A$1:$Z$1,0)),"")</f>
        <v/>
      </c>
      <c r="I3266" s="56">
        <f>IFERROR(INDEX('Semrush Data'!$A$1:$Z$20000,MATCH(A3266,'Semrush Data'!$A$1:$A$20000,0),MATCH("CPC*",'Semrush Data'!$A$1:$Z$1,0)),"")</f>
        <v/>
      </c>
      <c r="J3266" s="42">
        <f>IFERROR(INDEX('Semrush Data'!$A$1:$Z$20000,MATCH(A3266,'Semrush Data'!$A$1:$A$20000,0),MATCH("Intent",'Semrush Data'!$A$1:$Z$1,0)),"")</f>
        <v/>
      </c>
    </row>
    <row r="3267" ht="15" customHeight="1" s="37">
      <c r="A3267" s="42" t="inlineStr">
        <is>
          <t>al haramain l'aventure blanche price</t>
        </is>
      </c>
      <c r="B3267" s="42" t="inlineStr">
        <is>
          <t>Price</t>
        </is>
      </c>
      <c r="C3267" s="42" t="n">
        <v>3</v>
      </c>
      <c r="D3267" s="42" t="n">
        <v>33</v>
      </c>
      <c r="E3267" s="42" t="n">
        <v>1</v>
      </c>
      <c r="F3267" s="42" t="inlineStr">
        <is>
          <t>FR-021</t>
        </is>
      </c>
      <c r="G3267" s="55">
        <f>IFERROR(INDEX('Semrush Data'!$A$1:$Z$20000,MATCH(A3267,'Semrush Data'!$A$1:$A$20000,0),MATCH("Volume",'Semrush Data'!$A$1:$Z$1,0)),"")</f>
        <v/>
      </c>
      <c r="H3267" s="42">
        <f>IFERROR(INDEX('Semrush Data'!$A$1:$Z$20000,MATCH(A3267,'Semrush Data'!$A$1:$A$20000,0),MATCH("Keyword Difficulty*",'Semrush Data'!$A$1:$Z$1,0)),"")</f>
        <v/>
      </c>
      <c r="I3267" s="56">
        <f>IFERROR(INDEX('Semrush Data'!$A$1:$Z$20000,MATCH(A3267,'Semrush Data'!$A$1:$A$20000,0),MATCH("CPC*",'Semrush Data'!$A$1:$Z$1,0)),"")</f>
        <v/>
      </c>
      <c r="J3267" s="42">
        <f>IFERROR(INDEX('Semrush Data'!$A$1:$Z$20000,MATCH(A3267,'Semrush Data'!$A$1:$A$20000,0),MATCH("Intent",'Semrush Data'!$A$1:$Z$1,0)),"")</f>
        <v/>
      </c>
    </row>
    <row r="3268" ht="15" customHeight="1" s="37">
      <c r="A3268" s="42" t="inlineStr">
        <is>
          <t>al haramain l'aventure femme price</t>
        </is>
      </c>
      <c r="B3268" s="42" t="inlineStr">
        <is>
          <t>Price</t>
        </is>
      </c>
      <c r="C3268" s="42" t="n">
        <v>3</v>
      </c>
      <c r="D3268" s="42" t="n">
        <v>33</v>
      </c>
      <c r="E3268" s="42" t="n">
        <v>1</v>
      </c>
      <c r="F3268" s="42" t="inlineStr">
        <is>
          <t>FR-023</t>
        </is>
      </c>
      <c r="G3268" s="55">
        <f>IFERROR(INDEX('Semrush Data'!$A$1:$Z$20000,MATCH(A3268,'Semrush Data'!$A$1:$A$20000,0),MATCH("Volume",'Semrush Data'!$A$1:$Z$1,0)),"")</f>
        <v/>
      </c>
      <c r="H3268" s="42">
        <f>IFERROR(INDEX('Semrush Data'!$A$1:$Z$20000,MATCH(A3268,'Semrush Data'!$A$1:$A$20000,0),MATCH("Keyword Difficulty*",'Semrush Data'!$A$1:$Z$1,0)),"")</f>
        <v/>
      </c>
      <c r="I3268" s="56">
        <f>IFERROR(INDEX('Semrush Data'!$A$1:$Z$20000,MATCH(A3268,'Semrush Data'!$A$1:$A$20000,0),MATCH("CPC*",'Semrush Data'!$A$1:$Z$1,0)),"")</f>
        <v/>
      </c>
      <c r="J3268" s="42">
        <f>IFERROR(INDEX('Semrush Data'!$A$1:$Z$20000,MATCH(A3268,'Semrush Data'!$A$1:$A$20000,0),MATCH("Intent",'Semrush Data'!$A$1:$Z$1,0)),"")</f>
        <v/>
      </c>
    </row>
    <row r="3269" ht="15" customHeight="1" s="37">
      <c r="A3269" s="42" t="inlineStr">
        <is>
          <t>al haramain l'aventure gold price</t>
        </is>
      </c>
      <c r="B3269" s="42" t="inlineStr">
        <is>
          <t>Price</t>
        </is>
      </c>
      <c r="C3269" s="42" t="n">
        <v>3</v>
      </c>
      <c r="D3269" s="42" t="n">
        <v>33</v>
      </c>
      <c r="E3269" s="42" t="n">
        <v>1</v>
      </c>
      <c r="F3269" s="42" t="inlineStr">
        <is>
          <t>FR-024</t>
        </is>
      </c>
      <c r="G3269" s="55">
        <f>IFERROR(INDEX('Semrush Data'!$A$1:$Z$20000,MATCH(A3269,'Semrush Data'!$A$1:$A$20000,0),MATCH("Volume",'Semrush Data'!$A$1:$Z$1,0)),"")</f>
        <v/>
      </c>
      <c r="H3269" s="42">
        <f>IFERROR(INDEX('Semrush Data'!$A$1:$Z$20000,MATCH(A3269,'Semrush Data'!$A$1:$A$20000,0),MATCH("Keyword Difficulty*",'Semrush Data'!$A$1:$Z$1,0)),"")</f>
        <v/>
      </c>
      <c r="I3269" s="56">
        <f>IFERROR(INDEX('Semrush Data'!$A$1:$Z$20000,MATCH(A3269,'Semrush Data'!$A$1:$A$20000,0),MATCH("CPC*",'Semrush Data'!$A$1:$Z$1,0)),"")</f>
        <v/>
      </c>
      <c r="J3269" s="42">
        <f>IFERROR(INDEX('Semrush Data'!$A$1:$Z$20000,MATCH(A3269,'Semrush Data'!$A$1:$A$20000,0),MATCH("Intent",'Semrush Data'!$A$1:$Z$1,0)),"")</f>
        <v/>
      </c>
    </row>
    <row r="3270" ht="15" customHeight="1" s="37">
      <c r="A3270" s="42" t="inlineStr">
        <is>
          <t>al haramain l'aventure intense price</t>
        </is>
      </c>
      <c r="B3270" s="42" t="inlineStr">
        <is>
          <t>Price</t>
        </is>
      </c>
      <c r="C3270" s="42" t="n">
        <v>3</v>
      </c>
      <c r="D3270" s="42" t="n">
        <v>33</v>
      </c>
      <c r="E3270" s="42" t="n">
        <v>1</v>
      </c>
      <c r="F3270" s="42" t="inlineStr">
        <is>
          <t>FR-025</t>
        </is>
      </c>
      <c r="G3270" s="55">
        <f>IFERROR(INDEX('Semrush Data'!$A$1:$Z$20000,MATCH(A3270,'Semrush Data'!$A$1:$A$20000,0),MATCH("Volume",'Semrush Data'!$A$1:$Z$1,0)),"")</f>
        <v/>
      </c>
      <c r="H3270" s="42">
        <f>IFERROR(INDEX('Semrush Data'!$A$1:$Z$20000,MATCH(A3270,'Semrush Data'!$A$1:$A$20000,0),MATCH("Keyword Difficulty*",'Semrush Data'!$A$1:$Z$1,0)),"")</f>
        <v/>
      </c>
      <c r="I3270" s="56">
        <f>IFERROR(INDEX('Semrush Data'!$A$1:$Z$20000,MATCH(A3270,'Semrush Data'!$A$1:$A$20000,0),MATCH("CPC*",'Semrush Data'!$A$1:$Z$1,0)),"")</f>
        <v/>
      </c>
      <c r="J3270" s="42">
        <f>IFERROR(INDEX('Semrush Data'!$A$1:$Z$20000,MATCH(A3270,'Semrush Data'!$A$1:$A$20000,0),MATCH("Intent",'Semrush Data'!$A$1:$Z$1,0)),"")</f>
        <v/>
      </c>
    </row>
    <row r="3271" ht="15" customHeight="1" s="37">
      <c r="A3271" s="42" t="inlineStr">
        <is>
          <t>al haramain l'aventure price</t>
        </is>
      </c>
      <c r="B3271" s="42" t="inlineStr">
        <is>
          <t>Price</t>
        </is>
      </c>
      <c r="C3271" s="42" t="n">
        <v>3</v>
      </c>
      <c r="D3271" s="42" t="n">
        <v>33</v>
      </c>
      <c r="E3271" s="42" t="n">
        <v>1</v>
      </c>
      <c r="F3271" s="42" t="inlineStr">
        <is>
          <t>FR-022</t>
        </is>
      </c>
      <c r="G3271" s="55">
        <f>IFERROR(INDEX('Semrush Data'!$A$1:$Z$20000,MATCH(A3271,'Semrush Data'!$A$1:$A$20000,0),MATCH("Volume",'Semrush Data'!$A$1:$Z$1,0)),"")</f>
        <v/>
      </c>
      <c r="H3271" s="42">
        <f>IFERROR(INDEX('Semrush Data'!$A$1:$Z$20000,MATCH(A3271,'Semrush Data'!$A$1:$A$20000,0),MATCH("Keyword Difficulty*",'Semrush Data'!$A$1:$Z$1,0)),"")</f>
        <v/>
      </c>
      <c r="I3271" s="56">
        <f>IFERROR(INDEX('Semrush Data'!$A$1:$Z$20000,MATCH(A3271,'Semrush Data'!$A$1:$A$20000,0),MATCH("CPC*",'Semrush Data'!$A$1:$Z$1,0)),"")</f>
        <v/>
      </c>
      <c r="J3271" s="42">
        <f>IFERROR(INDEX('Semrush Data'!$A$1:$Z$20000,MATCH(A3271,'Semrush Data'!$A$1:$A$20000,0),MATCH("Intent",'Semrush Data'!$A$1:$Z$1,0)),"")</f>
        <v/>
      </c>
    </row>
    <row r="3272" ht="15" customHeight="1" s="37">
      <c r="A3272" s="42" t="inlineStr">
        <is>
          <t>anatome balance price</t>
        </is>
      </c>
      <c r="B3272" s="42" t="inlineStr">
        <is>
          <t>Price</t>
        </is>
      </c>
      <c r="C3272" s="42" t="n">
        <v>3</v>
      </c>
      <c r="D3272" s="42" t="n">
        <v>33</v>
      </c>
      <c r="E3272" s="42" t="n">
        <v>3</v>
      </c>
      <c r="F3272" s="42" t="inlineStr">
        <is>
          <t>FR-027, FR-028, FR-029</t>
        </is>
      </c>
      <c r="G3272" s="55">
        <f>IFERROR(INDEX('Semrush Data'!$A$1:$Z$20000,MATCH(A3272,'Semrush Data'!$A$1:$A$20000,0),MATCH("Volume",'Semrush Data'!$A$1:$Z$1,0)),"")</f>
        <v/>
      </c>
      <c r="H3272" s="42">
        <f>IFERROR(INDEX('Semrush Data'!$A$1:$Z$20000,MATCH(A3272,'Semrush Data'!$A$1:$A$20000,0),MATCH("Keyword Difficulty*",'Semrush Data'!$A$1:$Z$1,0)),"")</f>
        <v/>
      </c>
      <c r="I3272" s="56">
        <f>IFERROR(INDEX('Semrush Data'!$A$1:$Z$20000,MATCH(A3272,'Semrush Data'!$A$1:$A$20000,0),MATCH("CPC*",'Semrush Data'!$A$1:$Z$1,0)),"")</f>
        <v/>
      </c>
      <c r="J3272" s="42">
        <f>IFERROR(INDEX('Semrush Data'!$A$1:$Z$20000,MATCH(A3272,'Semrush Data'!$A$1:$A$20000,0),MATCH("Intent",'Semrush Data'!$A$1:$Z$1,0)),"")</f>
        <v/>
      </c>
    </row>
    <row r="3273" ht="15" customHeight="1" s="37">
      <c r="A3273" s="42" t="inlineStr">
        <is>
          <t>anatome energy price</t>
        </is>
      </c>
      <c r="B3273" s="42" t="inlineStr">
        <is>
          <t>Price</t>
        </is>
      </c>
      <c r="C3273" s="42" t="n">
        <v>3</v>
      </c>
      <c r="D3273" s="42" t="n">
        <v>33</v>
      </c>
      <c r="E3273" s="42" t="n">
        <v>3</v>
      </c>
      <c r="F3273" s="42" t="inlineStr">
        <is>
          <t>FR-030, FR-031, FR-032</t>
        </is>
      </c>
      <c r="G3273" s="55">
        <f>IFERROR(INDEX('Semrush Data'!$A$1:$Z$20000,MATCH(A3273,'Semrush Data'!$A$1:$A$20000,0),MATCH("Volume",'Semrush Data'!$A$1:$Z$1,0)),"")</f>
        <v/>
      </c>
      <c r="H3273" s="42">
        <f>IFERROR(INDEX('Semrush Data'!$A$1:$Z$20000,MATCH(A3273,'Semrush Data'!$A$1:$A$20000,0),MATCH("Keyword Difficulty*",'Semrush Data'!$A$1:$Z$1,0)),"")</f>
        <v/>
      </c>
      <c r="I3273" s="56">
        <f>IFERROR(INDEX('Semrush Data'!$A$1:$Z$20000,MATCH(A3273,'Semrush Data'!$A$1:$A$20000,0),MATCH("CPC*",'Semrush Data'!$A$1:$Z$1,0)),"")</f>
        <v/>
      </c>
      <c r="J3273" s="42">
        <f>IFERROR(INDEX('Semrush Data'!$A$1:$Z$20000,MATCH(A3273,'Semrush Data'!$A$1:$A$20000,0),MATCH("Intent",'Semrush Data'!$A$1:$Z$1,0)),"")</f>
        <v/>
      </c>
    </row>
    <row r="3274" ht="15" customHeight="1" s="37">
      <c r="A3274" s="42" t="inlineStr">
        <is>
          <t>anatome expression price</t>
        </is>
      </c>
      <c r="B3274" s="42" t="inlineStr">
        <is>
          <t>Price</t>
        </is>
      </c>
      <c r="C3274" s="42" t="n">
        <v>3</v>
      </c>
      <c r="D3274" s="42" t="n">
        <v>33</v>
      </c>
      <c r="E3274" s="42" t="n">
        <v>3</v>
      </c>
      <c r="F3274" s="42" t="inlineStr">
        <is>
          <t>FR-033, FR-034, FR-035</t>
        </is>
      </c>
      <c r="G3274" s="55">
        <f>IFERROR(INDEX('Semrush Data'!$A$1:$Z$20000,MATCH(A3274,'Semrush Data'!$A$1:$A$20000,0),MATCH("Volume",'Semrush Data'!$A$1:$Z$1,0)),"")</f>
        <v/>
      </c>
      <c r="H3274" s="42">
        <f>IFERROR(INDEX('Semrush Data'!$A$1:$Z$20000,MATCH(A3274,'Semrush Data'!$A$1:$A$20000,0),MATCH("Keyword Difficulty*",'Semrush Data'!$A$1:$Z$1,0)),"")</f>
        <v/>
      </c>
      <c r="I3274" s="56">
        <f>IFERROR(INDEX('Semrush Data'!$A$1:$Z$20000,MATCH(A3274,'Semrush Data'!$A$1:$A$20000,0),MATCH("CPC*",'Semrush Data'!$A$1:$Z$1,0)),"")</f>
        <v/>
      </c>
      <c r="J3274" s="42">
        <f>IFERROR(INDEX('Semrush Data'!$A$1:$Z$20000,MATCH(A3274,'Semrush Data'!$A$1:$A$20000,0),MATCH("Intent",'Semrush Data'!$A$1:$Z$1,0)),"")</f>
        <v/>
      </c>
    </row>
    <row r="3275" ht="15" customHeight="1" s="37">
      <c r="A3275" s="42" t="inlineStr">
        <is>
          <t>anatome focus price</t>
        </is>
      </c>
      <c r="B3275" s="42" t="inlineStr">
        <is>
          <t>Price</t>
        </is>
      </c>
      <c r="C3275" s="42" t="n">
        <v>3</v>
      </c>
      <c r="D3275" s="42" t="n">
        <v>33</v>
      </c>
      <c r="E3275" s="42" t="n">
        <v>3</v>
      </c>
      <c r="F3275" s="42" t="inlineStr">
        <is>
          <t>FR-036, FR-037, FR-038</t>
        </is>
      </c>
      <c r="G3275" s="55">
        <f>IFERROR(INDEX('Semrush Data'!$A$1:$Z$20000,MATCH(A3275,'Semrush Data'!$A$1:$A$20000,0),MATCH("Volume",'Semrush Data'!$A$1:$Z$1,0)),"")</f>
        <v/>
      </c>
      <c r="H3275" s="42">
        <f>IFERROR(INDEX('Semrush Data'!$A$1:$Z$20000,MATCH(A3275,'Semrush Data'!$A$1:$A$20000,0),MATCH("Keyword Difficulty*",'Semrush Data'!$A$1:$Z$1,0)),"")</f>
        <v/>
      </c>
      <c r="I3275" s="56">
        <f>IFERROR(INDEX('Semrush Data'!$A$1:$Z$20000,MATCH(A3275,'Semrush Data'!$A$1:$A$20000,0),MATCH("CPC*",'Semrush Data'!$A$1:$Z$1,0)),"")</f>
        <v/>
      </c>
      <c r="J3275" s="42">
        <f>IFERROR(INDEX('Semrush Data'!$A$1:$Z$20000,MATCH(A3275,'Semrush Data'!$A$1:$A$20000,0),MATCH("Intent",'Semrush Data'!$A$1:$Z$1,0)),"")</f>
        <v/>
      </c>
    </row>
    <row r="3276" ht="15" customHeight="1" s="37">
      <c r="A3276" s="42" t="inlineStr">
        <is>
          <t>anatome support price</t>
        </is>
      </c>
      <c r="B3276" s="42" t="inlineStr">
        <is>
          <t>Price</t>
        </is>
      </c>
      <c r="C3276" s="42" t="n">
        <v>3</v>
      </c>
      <c r="D3276" s="42" t="n">
        <v>33</v>
      </c>
      <c r="E3276" s="42" t="n">
        <v>4</v>
      </c>
      <c r="F3276" s="42" t="inlineStr">
        <is>
          <t>FR-039, FR-040, FR-041, FR-042</t>
        </is>
      </c>
      <c r="G3276" s="55">
        <f>IFERROR(INDEX('Semrush Data'!$A$1:$Z$20000,MATCH(A3276,'Semrush Data'!$A$1:$A$20000,0),MATCH("Volume",'Semrush Data'!$A$1:$Z$1,0)),"")</f>
        <v/>
      </c>
      <c r="H3276" s="42">
        <f>IFERROR(INDEX('Semrush Data'!$A$1:$Z$20000,MATCH(A3276,'Semrush Data'!$A$1:$A$20000,0),MATCH("Keyword Difficulty*",'Semrush Data'!$A$1:$Z$1,0)),"")</f>
        <v/>
      </c>
      <c r="I3276" s="56">
        <f>IFERROR(INDEX('Semrush Data'!$A$1:$Z$20000,MATCH(A3276,'Semrush Data'!$A$1:$A$20000,0),MATCH("CPC*",'Semrush Data'!$A$1:$Z$1,0)),"")</f>
        <v/>
      </c>
      <c r="J3276" s="42">
        <f>IFERROR(INDEX('Semrush Data'!$A$1:$Z$20000,MATCH(A3276,'Semrush Data'!$A$1:$A$20000,0),MATCH("Intent",'Semrush Data'!$A$1:$Z$1,0)),"")</f>
        <v/>
      </c>
    </row>
    <row r="3277" ht="15" customHeight="1" s="37">
      <c r="A3277" s="42" t="inlineStr">
        <is>
          <t>anna sui sky price</t>
        </is>
      </c>
      <c r="B3277" s="42" t="inlineStr">
        <is>
          <t>Price</t>
        </is>
      </c>
      <c r="C3277" s="42" t="n">
        <v>3</v>
      </c>
      <c r="D3277" s="42" t="n">
        <v>33</v>
      </c>
      <c r="E3277" s="42" t="n">
        <v>1</v>
      </c>
      <c r="F3277" s="42" t="inlineStr">
        <is>
          <t>FR-043</t>
        </is>
      </c>
      <c r="G3277" s="55">
        <f>IFERROR(INDEX('Semrush Data'!$A$1:$Z$20000,MATCH(A3277,'Semrush Data'!$A$1:$A$20000,0),MATCH("Volume",'Semrush Data'!$A$1:$Z$1,0)),"")</f>
        <v/>
      </c>
      <c r="H3277" s="42">
        <f>IFERROR(INDEX('Semrush Data'!$A$1:$Z$20000,MATCH(A3277,'Semrush Data'!$A$1:$A$20000,0),MATCH("Keyword Difficulty*",'Semrush Data'!$A$1:$Z$1,0)),"")</f>
        <v/>
      </c>
      <c r="I3277" s="56">
        <f>IFERROR(INDEX('Semrush Data'!$A$1:$Z$20000,MATCH(A3277,'Semrush Data'!$A$1:$A$20000,0),MATCH("CPC*",'Semrush Data'!$A$1:$Z$1,0)),"")</f>
        <v/>
      </c>
      <c r="J3277" s="42">
        <f>IFERROR(INDEX('Semrush Data'!$A$1:$Z$20000,MATCH(A3277,'Semrush Data'!$A$1:$A$20000,0),MATCH("Intent",'Semrush Data'!$A$1:$Z$1,0)),"")</f>
        <v/>
      </c>
    </row>
    <row r="3278" ht="15" customHeight="1" s="37">
      <c r="A3278" s="42" t="inlineStr">
        <is>
          <t>antonio banderas boucheron patchouli d'angkor price</t>
        </is>
      </c>
      <c r="B3278" s="42" t="inlineStr">
        <is>
          <t>Price</t>
        </is>
      </c>
      <c r="C3278" s="42" t="n">
        <v>3</v>
      </c>
      <c r="D3278" s="42" t="n">
        <v>33</v>
      </c>
      <c r="E3278" s="42" t="n">
        <v>1</v>
      </c>
      <c r="F3278" s="42" t="inlineStr">
        <is>
          <t>FR-044</t>
        </is>
      </c>
      <c r="G3278" s="55">
        <f>IFERROR(INDEX('Semrush Data'!$A$1:$Z$20000,MATCH(A3278,'Semrush Data'!$A$1:$A$20000,0),MATCH("Volume",'Semrush Data'!$A$1:$Z$1,0)),"")</f>
        <v/>
      </c>
      <c r="H3278" s="42">
        <f>IFERROR(INDEX('Semrush Data'!$A$1:$Z$20000,MATCH(A3278,'Semrush Data'!$A$1:$A$20000,0),MATCH("Keyword Difficulty*",'Semrush Data'!$A$1:$Z$1,0)),"")</f>
        <v/>
      </c>
      <c r="I3278" s="56">
        <f>IFERROR(INDEX('Semrush Data'!$A$1:$Z$20000,MATCH(A3278,'Semrush Data'!$A$1:$A$20000,0),MATCH("CPC*",'Semrush Data'!$A$1:$Z$1,0)),"")</f>
        <v/>
      </c>
      <c r="J3278" s="42">
        <f>IFERROR(INDEX('Semrush Data'!$A$1:$Z$20000,MATCH(A3278,'Semrush Data'!$A$1:$A$20000,0),MATCH("Intent",'Semrush Data'!$A$1:$Z$1,0)),"")</f>
        <v/>
      </c>
    </row>
    <row r="3279" ht="15" customHeight="1" s="37">
      <c r="A3279" s="42" t="inlineStr">
        <is>
          <t>antonio banderas boucheron rose d'isparta price</t>
        </is>
      </c>
      <c r="B3279" s="42" t="inlineStr">
        <is>
          <t>Price</t>
        </is>
      </c>
      <c r="C3279" s="42" t="n">
        <v>3</v>
      </c>
      <c r="D3279" s="42" t="n">
        <v>33</v>
      </c>
      <c r="E3279" s="42" t="n">
        <v>1</v>
      </c>
      <c r="F3279" s="42" t="inlineStr">
        <is>
          <t>FR-045</t>
        </is>
      </c>
      <c r="G3279" s="55">
        <f>IFERROR(INDEX('Semrush Data'!$A$1:$Z$20000,MATCH(A3279,'Semrush Data'!$A$1:$A$20000,0),MATCH("Volume",'Semrush Data'!$A$1:$Z$1,0)),"")</f>
        <v/>
      </c>
      <c r="H3279" s="42">
        <f>IFERROR(INDEX('Semrush Data'!$A$1:$Z$20000,MATCH(A3279,'Semrush Data'!$A$1:$A$20000,0),MATCH("Keyword Difficulty*",'Semrush Data'!$A$1:$Z$1,0)),"")</f>
        <v/>
      </c>
      <c r="I3279" s="56">
        <f>IFERROR(INDEX('Semrush Data'!$A$1:$Z$20000,MATCH(A3279,'Semrush Data'!$A$1:$A$20000,0),MATCH("CPC*",'Semrush Data'!$A$1:$Z$1,0)),"")</f>
        <v/>
      </c>
      <c r="J3279" s="42">
        <f>IFERROR(INDEX('Semrush Data'!$A$1:$Z$20000,MATCH(A3279,'Semrush Data'!$A$1:$A$20000,0),MATCH("Intent",'Semrush Data'!$A$1:$Z$1,0)),"")</f>
        <v/>
      </c>
    </row>
    <row r="3280" ht="15" customHeight="1" s="37">
      <c r="A3280" s="42" t="inlineStr">
        <is>
          <t>antonio banderas diavolo price</t>
        </is>
      </c>
      <c r="B3280" s="42" t="inlineStr">
        <is>
          <t>Price</t>
        </is>
      </c>
      <c r="C3280" s="42" t="n">
        <v>3</v>
      </c>
      <c r="D3280" s="42" t="n">
        <v>33</v>
      </c>
      <c r="E3280" s="42" t="n">
        <v>1</v>
      </c>
      <c r="F3280" s="42" t="inlineStr">
        <is>
          <t>FR-046</t>
        </is>
      </c>
      <c r="G3280" s="55">
        <f>IFERROR(INDEX('Semrush Data'!$A$1:$Z$20000,MATCH(A3280,'Semrush Data'!$A$1:$A$20000,0),MATCH("Volume",'Semrush Data'!$A$1:$Z$1,0)),"")</f>
        <v/>
      </c>
      <c r="H3280" s="42">
        <f>IFERROR(INDEX('Semrush Data'!$A$1:$Z$20000,MATCH(A3280,'Semrush Data'!$A$1:$A$20000,0),MATCH("Keyword Difficulty*",'Semrush Data'!$A$1:$Z$1,0)),"")</f>
        <v/>
      </c>
      <c r="I3280" s="56">
        <f>IFERROR(INDEX('Semrush Data'!$A$1:$Z$20000,MATCH(A3280,'Semrush Data'!$A$1:$A$20000,0),MATCH("CPC*",'Semrush Data'!$A$1:$Z$1,0)),"")</f>
        <v/>
      </c>
      <c r="J3280" s="42">
        <f>IFERROR(INDEX('Semrush Data'!$A$1:$Z$20000,MATCH(A3280,'Semrush Data'!$A$1:$A$20000,0),MATCH("Intent",'Semrush Data'!$A$1:$Z$1,0)),"")</f>
        <v/>
      </c>
    </row>
    <row r="3281" ht="15" customHeight="1" s="37">
      <c r="A3281" s="42" t="inlineStr">
        <is>
          <t>antonio banderas her secret desire price</t>
        </is>
      </c>
      <c r="B3281" s="42" t="inlineStr">
        <is>
          <t>Price</t>
        </is>
      </c>
      <c r="C3281" s="42" t="n">
        <v>3</v>
      </c>
      <c r="D3281" s="42" t="n">
        <v>33</v>
      </c>
      <c r="E3281" s="42" t="n">
        <v>1</v>
      </c>
      <c r="F3281" s="42" t="inlineStr">
        <is>
          <t>FR-047</t>
        </is>
      </c>
      <c r="G3281" s="55">
        <f>IFERROR(INDEX('Semrush Data'!$A$1:$Z$20000,MATCH(A3281,'Semrush Data'!$A$1:$A$20000,0),MATCH("Volume",'Semrush Data'!$A$1:$Z$1,0)),"")</f>
        <v/>
      </c>
      <c r="H3281" s="42">
        <f>IFERROR(INDEX('Semrush Data'!$A$1:$Z$20000,MATCH(A3281,'Semrush Data'!$A$1:$A$20000,0),MATCH("Keyword Difficulty*",'Semrush Data'!$A$1:$Z$1,0)),"")</f>
        <v/>
      </c>
      <c r="I3281" s="56">
        <f>IFERROR(INDEX('Semrush Data'!$A$1:$Z$20000,MATCH(A3281,'Semrush Data'!$A$1:$A$20000,0),MATCH("CPC*",'Semrush Data'!$A$1:$Z$1,0)),"")</f>
        <v/>
      </c>
      <c r="J3281" s="42">
        <f>IFERROR(INDEX('Semrush Data'!$A$1:$Z$20000,MATCH(A3281,'Semrush Data'!$A$1:$A$20000,0),MATCH("Intent",'Semrush Data'!$A$1:$Z$1,0)),"")</f>
        <v/>
      </c>
    </row>
    <row r="3282" ht="15" customHeight="1" s="37">
      <c r="A3282" s="42" t="inlineStr">
        <is>
          <t>antonio banderas her secret temptation price</t>
        </is>
      </c>
      <c r="B3282" s="42" t="inlineStr">
        <is>
          <t>Price</t>
        </is>
      </c>
      <c r="C3282" s="42" t="n">
        <v>3</v>
      </c>
      <c r="D3282" s="42" t="n">
        <v>33</v>
      </c>
      <c r="E3282" s="42" t="n">
        <v>1</v>
      </c>
      <c r="F3282" s="42" t="inlineStr">
        <is>
          <t>FR-048</t>
        </is>
      </c>
      <c r="G3282" s="55">
        <f>IFERROR(INDEX('Semrush Data'!$A$1:$Z$20000,MATCH(A3282,'Semrush Data'!$A$1:$A$20000,0),MATCH("Volume",'Semrush Data'!$A$1:$Z$1,0)),"")</f>
        <v/>
      </c>
      <c r="H3282" s="42">
        <f>IFERROR(INDEX('Semrush Data'!$A$1:$Z$20000,MATCH(A3282,'Semrush Data'!$A$1:$A$20000,0),MATCH("Keyword Difficulty*",'Semrush Data'!$A$1:$Z$1,0)),"")</f>
        <v/>
      </c>
      <c r="I3282" s="56">
        <f>IFERROR(INDEX('Semrush Data'!$A$1:$Z$20000,MATCH(A3282,'Semrush Data'!$A$1:$A$20000,0),MATCH("CPC*",'Semrush Data'!$A$1:$Z$1,0)),"")</f>
        <v/>
      </c>
      <c r="J3282" s="42">
        <f>IFERROR(INDEX('Semrush Data'!$A$1:$Z$20000,MATCH(A3282,'Semrush Data'!$A$1:$A$20000,0),MATCH("Intent",'Semrush Data'!$A$1:$Z$1,0)),"")</f>
        <v/>
      </c>
    </row>
    <row r="3283" ht="15" customHeight="1" s="37">
      <c r="A3283" s="42" t="inlineStr">
        <is>
          <t>antonio banderas power of seduction price</t>
        </is>
      </c>
      <c r="B3283" s="42" t="inlineStr">
        <is>
          <t>Price</t>
        </is>
      </c>
      <c r="C3283" s="42" t="n">
        <v>3</v>
      </c>
      <c r="D3283" s="42" t="n">
        <v>33</v>
      </c>
      <c r="E3283" s="42" t="n">
        <v>1</v>
      </c>
      <c r="F3283" s="42" t="inlineStr">
        <is>
          <t>FR-049</t>
        </is>
      </c>
      <c r="G3283" s="55">
        <f>IFERROR(INDEX('Semrush Data'!$A$1:$Z$20000,MATCH(A3283,'Semrush Data'!$A$1:$A$20000,0),MATCH("Volume",'Semrush Data'!$A$1:$Z$1,0)),"")</f>
        <v/>
      </c>
      <c r="H3283" s="42">
        <f>IFERROR(INDEX('Semrush Data'!$A$1:$Z$20000,MATCH(A3283,'Semrush Data'!$A$1:$A$20000,0),MATCH("Keyword Difficulty*",'Semrush Data'!$A$1:$Z$1,0)),"")</f>
        <v/>
      </c>
      <c r="I3283" s="56">
        <f>IFERROR(INDEX('Semrush Data'!$A$1:$Z$20000,MATCH(A3283,'Semrush Data'!$A$1:$A$20000,0),MATCH("CPC*",'Semrush Data'!$A$1:$Z$1,0)),"")</f>
        <v/>
      </c>
      <c r="J3283" s="42">
        <f>IFERROR(INDEX('Semrush Data'!$A$1:$Z$20000,MATCH(A3283,'Semrush Data'!$A$1:$A$20000,0),MATCH("Intent",'Semrush Data'!$A$1:$Z$1,0)),"")</f>
        <v/>
      </c>
    </row>
    <row r="3284" ht="15" customHeight="1" s="37">
      <c r="A3284" s="42" t="inlineStr">
        <is>
          <t>ariana grande thank u, next price</t>
        </is>
      </c>
      <c r="B3284" s="42" t="inlineStr">
        <is>
          <t>Price</t>
        </is>
      </c>
      <c r="C3284" s="42" t="n">
        <v>3</v>
      </c>
      <c r="D3284" s="42" t="n">
        <v>33</v>
      </c>
      <c r="E3284" s="42" t="n">
        <v>1</v>
      </c>
      <c r="F3284" s="42" t="inlineStr">
        <is>
          <t>FR-050</t>
        </is>
      </c>
      <c r="G3284" s="55">
        <f>IFERROR(INDEX('Semrush Data'!$A$1:$Z$20000,MATCH(A3284,'Semrush Data'!$A$1:$A$20000,0),MATCH("Volume",'Semrush Data'!$A$1:$Z$1,0)),"")</f>
        <v/>
      </c>
      <c r="H3284" s="42">
        <f>IFERROR(INDEX('Semrush Data'!$A$1:$Z$20000,MATCH(A3284,'Semrush Data'!$A$1:$A$20000,0),MATCH("Keyword Difficulty*",'Semrush Data'!$A$1:$Z$1,0)),"")</f>
        <v/>
      </c>
      <c r="I3284" s="56">
        <f>IFERROR(INDEX('Semrush Data'!$A$1:$Z$20000,MATCH(A3284,'Semrush Data'!$A$1:$A$20000,0),MATCH("CPC*",'Semrush Data'!$A$1:$Z$1,0)),"")</f>
        <v/>
      </c>
      <c r="J3284" s="42">
        <f>IFERROR(INDEX('Semrush Data'!$A$1:$Z$20000,MATCH(A3284,'Semrush Data'!$A$1:$A$20000,0),MATCH("Intent",'Semrush Data'!$A$1:$Z$1,0)),"")</f>
        <v/>
      </c>
    </row>
    <row r="3285" ht="15" customHeight="1" s="37">
      <c r="A3285" s="42" t="inlineStr">
        <is>
          <t>armaf hunter price</t>
        </is>
      </c>
      <c r="B3285" s="42" t="inlineStr">
        <is>
          <t>Price</t>
        </is>
      </c>
      <c r="C3285" s="42" t="n">
        <v>3</v>
      </c>
      <c r="D3285" s="42" t="n">
        <v>33</v>
      </c>
      <c r="E3285" s="42" t="n">
        <v>1</v>
      </c>
      <c r="F3285" s="42" t="inlineStr">
        <is>
          <t>FR-051</t>
        </is>
      </c>
      <c r="G3285" s="55">
        <f>IFERROR(INDEX('Semrush Data'!$A$1:$Z$20000,MATCH(A3285,'Semrush Data'!$A$1:$A$20000,0),MATCH("Volume",'Semrush Data'!$A$1:$Z$1,0)),"")</f>
        <v/>
      </c>
      <c r="H3285" s="42">
        <f>IFERROR(INDEX('Semrush Data'!$A$1:$Z$20000,MATCH(A3285,'Semrush Data'!$A$1:$A$20000,0),MATCH("Keyword Difficulty*",'Semrush Data'!$A$1:$Z$1,0)),"")</f>
        <v/>
      </c>
      <c r="I3285" s="56">
        <f>IFERROR(INDEX('Semrush Data'!$A$1:$Z$20000,MATCH(A3285,'Semrush Data'!$A$1:$A$20000,0),MATCH("CPC*",'Semrush Data'!$A$1:$Z$1,0)),"")</f>
        <v/>
      </c>
      <c r="J3285" s="42">
        <f>IFERROR(INDEX('Semrush Data'!$A$1:$Z$20000,MATCH(A3285,'Semrush Data'!$A$1:$A$20000,0),MATCH("Intent",'Semrush Data'!$A$1:$Z$1,0)),"")</f>
        <v/>
      </c>
    </row>
    <row r="3286" ht="15" customHeight="1" s="37">
      <c r="A3286" s="42" t="inlineStr">
        <is>
          <t>bentley absolute price</t>
        </is>
      </c>
      <c r="B3286" s="42" t="inlineStr">
        <is>
          <t>Price</t>
        </is>
      </c>
      <c r="C3286" s="42" t="n">
        <v>3</v>
      </c>
      <c r="D3286" s="42" t="n">
        <v>33</v>
      </c>
      <c r="E3286" s="42" t="n">
        <v>1</v>
      </c>
      <c r="F3286" s="42" t="inlineStr">
        <is>
          <t>FR-054</t>
        </is>
      </c>
      <c r="G3286" s="55">
        <f>IFERROR(INDEX('Semrush Data'!$A$1:$Z$20000,MATCH(A3286,'Semrush Data'!$A$1:$A$20000,0),MATCH("Volume",'Semrush Data'!$A$1:$Z$1,0)),"")</f>
        <v/>
      </c>
      <c r="H3286" s="42">
        <f>IFERROR(INDEX('Semrush Data'!$A$1:$Z$20000,MATCH(A3286,'Semrush Data'!$A$1:$A$20000,0),MATCH("Keyword Difficulty*",'Semrush Data'!$A$1:$Z$1,0)),"")</f>
        <v/>
      </c>
      <c r="I3286" s="56">
        <f>IFERROR(INDEX('Semrush Data'!$A$1:$Z$20000,MATCH(A3286,'Semrush Data'!$A$1:$A$20000,0),MATCH("CPC*",'Semrush Data'!$A$1:$Z$1,0)),"")</f>
        <v/>
      </c>
      <c r="J3286" s="42">
        <f>IFERROR(INDEX('Semrush Data'!$A$1:$Z$20000,MATCH(A3286,'Semrush Data'!$A$1:$A$20000,0),MATCH("Intent",'Semrush Data'!$A$1:$Z$1,0)),"")</f>
        <v/>
      </c>
    </row>
    <row r="3287" ht="15" customHeight="1" s="37">
      <c r="A3287" s="42" t="inlineStr">
        <is>
          <t>bentley azure price</t>
        </is>
      </c>
      <c r="B3287" s="42" t="inlineStr">
        <is>
          <t>Price</t>
        </is>
      </c>
      <c r="C3287" s="42" t="n">
        <v>3</v>
      </c>
      <c r="D3287" s="42" t="inlineStr">
        <is>
          <t>T3-1</t>
        </is>
      </c>
      <c r="E3287" s="42" t="n">
        <v>1</v>
      </c>
      <c r="F3287" s="42" t="inlineStr">
        <is>
          <t>FR-058</t>
        </is>
      </c>
      <c r="G3287" s="55">
        <f>IFERROR(INDEX('Semrush Data'!$A$1:$Z$20000,MATCH(A3287,'Semrush Data'!$A$1:$A$20000,0),MATCH("Volume",'Semrush Data'!$A$1:$Z$1,0)),"")</f>
        <v/>
      </c>
      <c r="H3287" s="42">
        <f>IFERROR(INDEX('Semrush Data'!$A$1:$Z$20000,MATCH(A3287,'Semrush Data'!$A$1:$A$20000,0),MATCH("Keyword Difficulty*",'Semrush Data'!$A$1:$Z$1,0)),"")</f>
        <v/>
      </c>
      <c r="I3287" s="56">
        <f>IFERROR(INDEX('Semrush Data'!$A$1:$Z$20000,MATCH(A3287,'Semrush Data'!$A$1:$A$20000,0),MATCH("CPC*",'Semrush Data'!$A$1:$Z$1,0)),"")</f>
        <v/>
      </c>
      <c r="J3287" s="42">
        <f>IFERROR(INDEX('Semrush Data'!$A$1:$Z$20000,MATCH(A3287,'Semrush Data'!$A$1:$A$20000,0),MATCH("Intent",'Semrush Data'!$A$1:$Z$1,0)),"")</f>
        <v/>
      </c>
    </row>
    <row r="3288" ht="15" customHeight="1" s="37">
      <c r="A3288" s="42" t="inlineStr">
        <is>
          <t>bentley azzaro chrome legend price</t>
        </is>
      </c>
      <c r="B3288" s="42" t="inlineStr">
        <is>
          <t>Price</t>
        </is>
      </c>
      <c r="C3288" s="42" t="n">
        <v>3</v>
      </c>
      <c r="D3288" s="42" t="n">
        <v>33</v>
      </c>
      <c r="E3288" s="42" t="n">
        <v>2</v>
      </c>
      <c r="F3288" s="42" t="inlineStr">
        <is>
          <t>FR-056, FR-057</t>
        </is>
      </c>
      <c r="G3288" s="55">
        <f>IFERROR(INDEX('Semrush Data'!$A$1:$Z$20000,MATCH(A3288,'Semrush Data'!$A$1:$A$20000,0),MATCH("Volume",'Semrush Data'!$A$1:$Z$1,0)),"")</f>
        <v/>
      </c>
      <c r="H3288" s="42">
        <f>IFERROR(INDEX('Semrush Data'!$A$1:$Z$20000,MATCH(A3288,'Semrush Data'!$A$1:$A$20000,0),MATCH("Keyword Difficulty*",'Semrush Data'!$A$1:$Z$1,0)),"")</f>
        <v/>
      </c>
      <c r="I3288" s="56">
        <f>IFERROR(INDEX('Semrush Data'!$A$1:$Z$20000,MATCH(A3288,'Semrush Data'!$A$1:$A$20000,0),MATCH("CPC*",'Semrush Data'!$A$1:$Z$1,0)),"")</f>
        <v/>
      </c>
      <c r="J3288" s="42">
        <f>IFERROR(INDEX('Semrush Data'!$A$1:$Z$20000,MATCH(A3288,'Semrush Data'!$A$1:$A$20000,0),MATCH("Intent",'Semrush Data'!$A$1:$Z$1,0)),"")</f>
        <v/>
      </c>
    </row>
    <row r="3289" ht="15" customHeight="1" s="37">
      <c r="A3289" s="42" t="inlineStr">
        <is>
          <t>bentley azzaro pour homme deodorant price</t>
        </is>
      </c>
      <c r="B3289" s="42" t="inlineStr">
        <is>
          <t>Price</t>
        </is>
      </c>
      <c r="C3289" s="42" t="n">
        <v>3</v>
      </c>
      <c r="D3289" s="42" t="n">
        <v>33</v>
      </c>
      <c r="E3289" s="42" t="n">
        <v>1</v>
      </c>
      <c r="F3289" s="42" t="inlineStr">
        <is>
          <t>FR-052</t>
        </is>
      </c>
      <c r="G3289" s="55">
        <f>IFERROR(INDEX('Semrush Data'!$A$1:$Z$20000,MATCH(A3289,'Semrush Data'!$A$1:$A$20000,0),MATCH("Volume",'Semrush Data'!$A$1:$Z$1,0)),"")</f>
        <v/>
      </c>
      <c r="H3289" s="42">
        <f>IFERROR(INDEX('Semrush Data'!$A$1:$Z$20000,MATCH(A3289,'Semrush Data'!$A$1:$A$20000,0),MATCH("Keyword Difficulty*",'Semrush Data'!$A$1:$Z$1,0)),"")</f>
        <v/>
      </c>
      <c r="I3289" s="56">
        <f>IFERROR(INDEX('Semrush Data'!$A$1:$Z$20000,MATCH(A3289,'Semrush Data'!$A$1:$A$20000,0),MATCH("CPC*",'Semrush Data'!$A$1:$Z$1,0)),"")</f>
        <v/>
      </c>
      <c r="J3289" s="42">
        <f>IFERROR(INDEX('Semrush Data'!$A$1:$Z$20000,MATCH(A3289,'Semrush Data'!$A$1:$A$20000,0),MATCH("Intent",'Semrush Data'!$A$1:$Z$1,0)),"")</f>
        <v/>
      </c>
    </row>
    <row r="3290" ht="15" customHeight="1" s="37">
      <c r="A3290" s="42" t="inlineStr">
        <is>
          <t>bentley azzaro the most wanted intense gift set price</t>
        </is>
      </c>
      <c r="B3290" s="42" t="inlineStr">
        <is>
          <t>Price</t>
        </is>
      </c>
      <c r="C3290" s="42" t="n">
        <v>3</v>
      </c>
      <c r="D3290" s="42" t="n">
        <v>33</v>
      </c>
      <c r="E3290" s="42" t="n">
        <v>1</v>
      </c>
      <c r="F3290" s="42" t="inlineStr">
        <is>
          <t>FR-061</t>
        </is>
      </c>
      <c r="G3290" s="55">
        <f>IFERROR(INDEX('Semrush Data'!$A$1:$Z$20000,MATCH(A3290,'Semrush Data'!$A$1:$A$20000,0),MATCH("Volume",'Semrush Data'!$A$1:$Z$1,0)),"")</f>
        <v/>
      </c>
      <c r="H3290" s="42">
        <f>IFERROR(INDEX('Semrush Data'!$A$1:$Z$20000,MATCH(A3290,'Semrush Data'!$A$1:$A$20000,0),MATCH("Keyword Difficulty*",'Semrush Data'!$A$1:$Z$1,0)),"")</f>
        <v/>
      </c>
      <c r="I3290" s="56">
        <f>IFERROR(INDEX('Semrush Data'!$A$1:$Z$20000,MATCH(A3290,'Semrush Data'!$A$1:$A$20000,0),MATCH("CPC*",'Semrush Data'!$A$1:$Z$1,0)),"")</f>
        <v/>
      </c>
      <c r="J3290" s="42">
        <f>IFERROR(INDEX('Semrush Data'!$A$1:$Z$20000,MATCH(A3290,'Semrush Data'!$A$1:$A$20000,0),MATCH("Intent",'Semrush Data'!$A$1:$Z$1,0)),"")</f>
        <v/>
      </c>
    </row>
    <row r="3291" ht="15" customHeight="1" s="37">
      <c r="A3291" s="42" t="inlineStr">
        <is>
          <t>bentley azzaro the most wanted price</t>
        </is>
      </c>
      <c r="B3291" s="42" t="inlineStr">
        <is>
          <t>Price</t>
        </is>
      </c>
      <c r="C3291" s="42" t="n">
        <v>3</v>
      </c>
      <c r="D3291" s="42" t="n">
        <v>33</v>
      </c>
      <c r="E3291" s="42" t="n">
        <v>1</v>
      </c>
      <c r="F3291" s="42" t="inlineStr">
        <is>
          <t>FR-062</t>
        </is>
      </c>
      <c r="G3291" s="55">
        <f>IFERROR(INDEX('Semrush Data'!$A$1:$Z$20000,MATCH(A3291,'Semrush Data'!$A$1:$A$20000,0),MATCH("Volume",'Semrush Data'!$A$1:$Z$1,0)),"")</f>
        <v/>
      </c>
      <c r="H3291" s="42">
        <f>IFERROR(INDEX('Semrush Data'!$A$1:$Z$20000,MATCH(A3291,'Semrush Data'!$A$1:$A$20000,0),MATCH("Keyword Difficulty*",'Semrush Data'!$A$1:$Z$1,0)),"")</f>
        <v/>
      </c>
      <c r="I3291" s="56">
        <f>IFERROR(INDEX('Semrush Data'!$A$1:$Z$20000,MATCH(A3291,'Semrush Data'!$A$1:$A$20000,0),MATCH("CPC*",'Semrush Data'!$A$1:$Z$1,0)),"")</f>
        <v/>
      </c>
      <c r="J3291" s="42">
        <f>IFERROR(INDEX('Semrush Data'!$A$1:$Z$20000,MATCH(A3291,'Semrush Data'!$A$1:$A$20000,0),MATCH("Intent",'Semrush Data'!$A$1:$Z$1,0)),"")</f>
        <v/>
      </c>
    </row>
    <row r="3292" ht="15" customHeight="1" s="37">
      <c r="A3292" s="42" t="inlineStr">
        <is>
          <t>bentley become price</t>
        </is>
      </c>
      <c r="B3292" s="42" t="inlineStr">
        <is>
          <t>Price</t>
        </is>
      </c>
      <c r="C3292" s="42" t="n">
        <v>3</v>
      </c>
      <c r="D3292" s="42" t="n">
        <v>33</v>
      </c>
      <c r="E3292" s="42" t="n">
        <v>1</v>
      </c>
      <c r="F3292" s="42" t="inlineStr">
        <is>
          <t>FR-053</t>
        </is>
      </c>
      <c r="G3292" s="55">
        <f>IFERROR(INDEX('Semrush Data'!$A$1:$Z$20000,MATCH(A3292,'Semrush Data'!$A$1:$A$20000,0),MATCH("Volume",'Semrush Data'!$A$1:$Z$1,0)),"")</f>
        <v/>
      </c>
      <c r="H3292" s="42">
        <f>IFERROR(INDEX('Semrush Data'!$A$1:$Z$20000,MATCH(A3292,'Semrush Data'!$A$1:$A$20000,0),MATCH("Keyword Difficulty*",'Semrush Data'!$A$1:$Z$1,0)),"")</f>
        <v/>
      </c>
      <c r="I3292" s="56">
        <f>IFERROR(INDEX('Semrush Data'!$A$1:$Z$20000,MATCH(A3292,'Semrush Data'!$A$1:$A$20000,0),MATCH("CPC*",'Semrush Data'!$A$1:$Z$1,0)),"")</f>
        <v/>
      </c>
      <c r="J3292" s="42">
        <f>IFERROR(INDEX('Semrush Data'!$A$1:$Z$20000,MATCH(A3292,'Semrush Data'!$A$1:$A$20000,0),MATCH("Intent",'Semrush Data'!$A$1:$Z$1,0)),"")</f>
        <v/>
      </c>
    </row>
    <row r="3293" ht="15" customHeight="1" s="37">
      <c r="A3293" s="42" t="inlineStr">
        <is>
          <t>bentley infinite price</t>
        </is>
      </c>
      <c r="B3293" s="42" t="inlineStr">
        <is>
          <t>Price</t>
        </is>
      </c>
      <c r="C3293" s="42" t="n">
        <v>3</v>
      </c>
      <c r="D3293" s="42" t="n">
        <v>33</v>
      </c>
      <c r="E3293" s="42" t="n">
        <v>1</v>
      </c>
      <c r="F3293" s="42" t="inlineStr">
        <is>
          <t>FR-059</t>
        </is>
      </c>
      <c r="G3293" s="55">
        <f>IFERROR(INDEX('Semrush Data'!$A$1:$Z$20000,MATCH(A3293,'Semrush Data'!$A$1:$A$20000,0),MATCH("Volume",'Semrush Data'!$A$1:$Z$1,0)),"")</f>
        <v/>
      </c>
      <c r="H3293" s="42">
        <f>IFERROR(INDEX('Semrush Data'!$A$1:$Z$20000,MATCH(A3293,'Semrush Data'!$A$1:$A$20000,0),MATCH("Keyword Difficulty*",'Semrush Data'!$A$1:$Z$1,0)),"")</f>
        <v/>
      </c>
      <c r="I3293" s="56">
        <f>IFERROR(INDEX('Semrush Data'!$A$1:$Z$20000,MATCH(A3293,'Semrush Data'!$A$1:$A$20000,0),MATCH("CPC*",'Semrush Data'!$A$1:$Z$1,0)),"")</f>
        <v/>
      </c>
      <c r="J3293" s="42">
        <f>IFERROR(INDEX('Semrush Data'!$A$1:$Z$20000,MATCH(A3293,'Semrush Data'!$A$1:$A$20000,0),MATCH("Intent",'Semrush Data'!$A$1:$Z$1,0)),"")</f>
        <v/>
      </c>
    </row>
    <row r="3294" ht="15" customHeight="1" s="37">
      <c r="A3294" s="42" t="inlineStr">
        <is>
          <t>bentley momentum unlimited price</t>
        </is>
      </c>
      <c r="B3294" s="42" t="inlineStr">
        <is>
          <t>Price</t>
        </is>
      </c>
      <c r="C3294" s="42" t="n">
        <v>3</v>
      </c>
      <c r="D3294" s="42" t="n">
        <v>33</v>
      </c>
      <c r="E3294" s="42" t="n">
        <v>1</v>
      </c>
      <c r="F3294" s="42" t="inlineStr">
        <is>
          <t>FR-060</t>
        </is>
      </c>
      <c r="G3294" s="55">
        <f>IFERROR(INDEX('Semrush Data'!$A$1:$Z$20000,MATCH(A3294,'Semrush Data'!$A$1:$A$20000,0),MATCH("Volume",'Semrush Data'!$A$1:$Z$1,0)),"")</f>
        <v/>
      </c>
      <c r="H3294" s="42">
        <f>IFERROR(INDEX('Semrush Data'!$A$1:$Z$20000,MATCH(A3294,'Semrush Data'!$A$1:$A$20000,0),MATCH("Keyword Difficulty*",'Semrush Data'!$A$1:$Z$1,0)),"")</f>
        <v/>
      </c>
      <c r="I3294" s="56">
        <f>IFERROR(INDEX('Semrush Data'!$A$1:$Z$20000,MATCH(A3294,'Semrush Data'!$A$1:$A$20000,0),MATCH("CPC*",'Semrush Data'!$A$1:$Z$1,0)),"")</f>
        <v/>
      </c>
      <c r="J3294" s="42">
        <f>IFERROR(INDEX('Semrush Data'!$A$1:$Z$20000,MATCH(A3294,'Semrush Data'!$A$1:$A$20000,0),MATCH("Intent",'Semrush Data'!$A$1:$Z$1,0)),"")</f>
        <v/>
      </c>
    </row>
    <row r="3295" ht="15" customHeight="1" s="37">
      <c r="A3295" s="42" t="inlineStr">
        <is>
          <t>bentley silverlake price</t>
        </is>
      </c>
      <c r="B3295" s="42" t="inlineStr">
        <is>
          <t>Price</t>
        </is>
      </c>
      <c r="C3295" s="42" t="n">
        <v>3</v>
      </c>
      <c r="D3295" s="42" t="n">
        <v>33</v>
      </c>
      <c r="E3295" s="42" t="n">
        <v>1</v>
      </c>
      <c r="F3295" s="42" t="inlineStr">
        <is>
          <t>FR-055</t>
        </is>
      </c>
      <c r="G3295" s="55">
        <f>IFERROR(INDEX('Semrush Data'!$A$1:$Z$20000,MATCH(A3295,'Semrush Data'!$A$1:$A$20000,0),MATCH("Volume",'Semrush Data'!$A$1:$Z$1,0)),"")</f>
        <v/>
      </c>
      <c r="H3295" s="42">
        <f>IFERROR(INDEX('Semrush Data'!$A$1:$Z$20000,MATCH(A3295,'Semrush Data'!$A$1:$A$20000,0),MATCH("Keyword Difficulty*",'Semrush Data'!$A$1:$Z$1,0)),"")</f>
        <v/>
      </c>
      <c r="I3295" s="56">
        <f>IFERROR(INDEX('Semrush Data'!$A$1:$Z$20000,MATCH(A3295,'Semrush Data'!$A$1:$A$20000,0),MATCH("CPC*",'Semrush Data'!$A$1:$Z$1,0)),"")</f>
        <v/>
      </c>
      <c r="J3295" s="42">
        <f>IFERROR(INDEX('Semrush Data'!$A$1:$Z$20000,MATCH(A3295,'Semrush Data'!$A$1:$A$20000,0),MATCH("Intent",'Semrush Data'!$A$1:$Z$1,0)),"")</f>
        <v/>
      </c>
    </row>
    <row r="3296" ht="15" customHeight="1" s="37">
      <c r="A3296" s="42" t="inlineStr">
        <is>
          <t>burberry miniature set price</t>
        </is>
      </c>
      <c r="B3296" s="42" t="inlineStr">
        <is>
          <t>Price</t>
        </is>
      </c>
      <c r="C3296" s="42" t="n">
        <v>3</v>
      </c>
      <c r="D3296" s="42" t="n">
        <v>33</v>
      </c>
      <c r="E3296" s="42" t="n">
        <v>1</v>
      </c>
      <c r="F3296" s="42" t="inlineStr">
        <is>
          <t>FR-065</t>
        </is>
      </c>
      <c r="G3296" s="55">
        <f>IFERROR(INDEX('Semrush Data'!$A$1:$Z$20000,MATCH(A3296,'Semrush Data'!$A$1:$A$20000,0),MATCH("Volume",'Semrush Data'!$A$1:$Z$1,0)),"")</f>
        <v/>
      </c>
      <c r="H3296" s="42">
        <f>IFERROR(INDEX('Semrush Data'!$A$1:$Z$20000,MATCH(A3296,'Semrush Data'!$A$1:$A$20000,0),MATCH("Keyword Difficulty*",'Semrush Data'!$A$1:$Z$1,0)),"")</f>
        <v/>
      </c>
      <c r="I3296" s="56">
        <f>IFERROR(INDEX('Semrush Data'!$A$1:$Z$20000,MATCH(A3296,'Semrush Data'!$A$1:$A$20000,0),MATCH("CPC*",'Semrush Data'!$A$1:$Z$1,0)),"")</f>
        <v/>
      </c>
      <c r="J3296" s="42">
        <f>IFERROR(INDEX('Semrush Data'!$A$1:$Z$20000,MATCH(A3296,'Semrush Data'!$A$1:$A$20000,0),MATCH("Intent",'Semrush Data'!$A$1:$Z$1,0)),"")</f>
        <v/>
      </c>
    </row>
    <row r="3297" ht="15" customHeight="1" s="37">
      <c r="A3297" s="42" t="inlineStr">
        <is>
          <t>burberry my burberry black price</t>
        </is>
      </c>
      <c r="B3297" s="42" t="inlineStr">
        <is>
          <t>Price</t>
        </is>
      </c>
      <c r="C3297" s="42" t="n">
        <v>3</v>
      </c>
      <c r="D3297" s="42" t="n">
        <v>33</v>
      </c>
      <c r="E3297" s="42" t="n">
        <v>2</v>
      </c>
      <c r="F3297" s="42" t="inlineStr">
        <is>
          <t>FR-066, FR-067</t>
        </is>
      </c>
      <c r="G3297" s="55">
        <f>IFERROR(INDEX('Semrush Data'!$A$1:$Z$20000,MATCH(A3297,'Semrush Data'!$A$1:$A$20000,0),MATCH("Volume",'Semrush Data'!$A$1:$Z$1,0)),"")</f>
        <v/>
      </c>
      <c r="H3297" s="42">
        <f>IFERROR(INDEX('Semrush Data'!$A$1:$Z$20000,MATCH(A3297,'Semrush Data'!$A$1:$A$20000,0),MATCH("Keyword Difficulty*",'Semrush Data'!$A$1:$Z$1,0)),"")</f>
        <v/>
      </c>
      <c r="I3297" s="56">
        <f>IFERROR(INDEX('Semrush Data'!$A$1:$Z$20000,MATCH(A3297,'Semrush Data'!$A$1:$A$20000,0),MATCH("CPC*",'Semrush Data'!$A$1:$Z$1,0)),"")</f>
        <v/>
      </c>
      <c r="J3297" s="42">
        <f>IFERROR(INDEX('Semrush Data'!$A$1:$Z$20000,MATCH(A3297,'Semrush Data'!$A$1:$A$20000,0),MATCH("Intent",'Semrush Data'!$A$1:$Z$1,0)),"")</f>
        <v/>
      </c>
    </row>
    <row r="3298" ht="15" customHeight="1" s="37">
      <c r="A3298" s="42" t="inlineStr">
        <is>
          <t>burberry my burberry price</t>
        </is>
      </c>
      <c r="B3298" s="42" t="inlineStr">
        <is>
          <t>Price</t>
        </is>
      </c>
      <c r="C3298" s="42" t="n">
        <v>3</v>
      </c>
      <c r="D3298" s="42" t="n">
        <v>33</v>
      </c>
      <c r="E3298" s="42" t="n">
        <v>2</v>
      </c>
      <c r="F3298" s="42" t="inlineStr">
        <is>
          <t>FR-063, FR-064</t>
        </is>
      </c>
      <c r="G3298" s="55">
        <f>IFERROR(INDEX('Semrush Data'!$A$1:$Z$20000,MATCH(A3298,'Semrush Data'!$A$1:$A$20000,0),MATCH("Volume",'Semrush Data'!$A$1:$Z$1,0)),"")</f>
        <v/>
      </c>
      <c r="H3298" s="42">
        <f>IFERROR(INDEX('Semrush Data'!$A$1:$Z$20000,MATCH(A3298,'Semrush Data'!$A$1:$A$20000,0),MATCH("Keyword Difficulty*",'Semrush Data'!$A$1:$Z$1,0)),"")</f>
        <v/>
      </c>
      <c r="I3298" s="56">
        <f>IFERROR(INDEX('Semrush Data'!$A$1:$Z$20000,MATCH(A3298,'Semrush Data'!$A$1:$A$20000,0),MATCH("CPC*",'Semrush Data'!$A$1:$Z$1,0)),"")</f>
        <v/>
      </c>
      <c r="J3298" s="42">
        <f>IFERROR(INDEX('Semrush Data'!$A$1:$Z$20000,MATCH(A3298,'Semrush Data'!$A$1:$A$20000,0),MATCH("Intent",'Semrush Data'!$A$1:$Z$1,0)),"")</f>
        <v/>
      </c>
    </row>
    <row r="3299" ht="15" customHeight="1" s="37">
      <c r="A3299" s="42" t="inlineStr">
        <is>
          <t>bvlgari man glacial essence gift set price</t>
        </is>
      </c>
      <c r="B3299" s="42" t="inlineStr">
        <is>
          <t>Price</t>
        </is>
      </c>
      <c r="C3299" s="42" t="n">
        <v>3</v>
      </c>
      <c r="D3299" s="42" t="n">
        <v>33</v>
      </c>
      <c r="E3299" s="42" t="n">
        <v>1</v>
      </c>
      <c r="F3299" s="42" t="inlineStr">
        <is>
          <t>FR-071</t>
        </is>
      </c>
      <c r="G3299" s="55">
        <f>IFERROR(INDEX('Semrush Data'!$A$1:$Z$20000,MATCH(A3299,'Semrush Data'!$A$1:$A$20000,0),MATCH("Volume",'Semrush Data'!$A$1:$Z$1,0)),"")</f>
        <v/>
      </c>
      <c r="H3299" s="42">
        <f>IFERROR(INDEX('Semrush Data'!$A$1:$Z$20000,MATCH(A3299,'Semrush Data'!$A$1:$A$20000,0),MATCH("Keyword Difficulty*",'Semrush Data'!$A$1:$Z$1,0)),"")</f>
        <v/>
      </c>
      <c r="I3299" s="56">
        <f>IFERROR(INDEX('Semrush Data'!$A$1:$Z$20000,MATCH(A3299,'Semrush Data'!$A$1:$A$20000,0),MATCH("CPC*",'Semrush Data'!$A$1:$Z$1,0)),"")</f>
        <v/>
      </c>
      <c r="J3299" s="42">
        <f>IFERROR(INDEX('Semrush Data'!$A$1:$Z$20000,MATCH(A3299,'Semrush Data'!$A$1:$A$20000,0),MATCH("Intent",'Semrush Data'!$A$1:$Z$1,0)),"")</f>
        <v/>
      </c>
    </row>
    <row r="3300" ht="15" customHeight="1" s="37">
      <c r="A3300" s="42" t="inlineStr">
        <is>
          <t>bvlgari man in black price</t>
        </is>
      </c>
      <c r="B3300" s="42" t="inlineStr">
        <is>
          <t>Price</t>
        </is>
      </c>
      <c r="C3300" s="42" t="n">
        <v>3</v>
      </c>
      <c r="D3300" s="42" t="inlineStr">
        <is>
          <t>T3-1</t>
        </is>
      </c>
      <c r="E3300" s="42" t="n">
        <v>1</v>
      </c>
      <c r="F3300" s="42" t="inlineStr">
        <is>
          <t>FR-068</t>
        </is>
      </c>
      <c r="G3300" s="55">
        <f>IFERROR(INDEX('Semrush Data'!$A$1:$Z$20000,MATCH(A3300,'Semrush Data'!$A$1:$A$20000,0),MATCH("Volume",'Semrush Data'!$A$1:$Z$1,0)),"")</f>
        <v/>
      </c>
      <c r="H3300" s="42">
        <f>IFERROR(INDEX('Semrush Data'!$A$1:$Z$20000,MATCH(A3300,'Semrush Data'!$A$1:$A$20000,0),MATCH("Keyword Difficulty*",'Semrush Data'!$A$1:$Z$1,0)),"")</f>
        <v/>
      </c>
      <c r="I3300" s="56">
        <f>IFERROR(INDEX('Semrush Data'!$A$1:$Z$20000,MATCH(A3300,'Semrush Data'!$A$1:$A$20000,0),MATCH("CPC*",'Semrush Data'!$A$1:$Z$1,0)),"")</f>
        <v/>
      </c>
      <c r="J3300" s="42">
        <f>IFERROR(INDEX('Semrush Data'!$A$1:$Z$20000,MATCH(A3300,'Semrush Data'!$A$1:$A$20000,0),MATCH("Intent",'Semrush Data'!$A$1:$Z$1,0)),"")</f>
        <v/>
      </c>
    </row>
    <row r="3301" ht="15" customHeight="1" s="37">
      <c r="A3301" s="42" t="inlineStr">
        <is>
          <t>bvlgari man rain essence gift set price</t>
        </is>
      </c>
      <c r="B3301" s="42" t="inlineStr">
        <is>
          <t>Price</t>
        </is>
      </c>
      <c r="C3301" s="42" t="n">
        <v>3</v>
      </c>
      <c r="D3301" s="42" t="n">
        <v>33</v>
      </c>
      <c r="E3301" s="42" t="n">
        <v>1</v>
      </c>
      <c r="F3301" s="42" t="inlineStr">
        <is>
          <t>FR-072</t>
        </is>
      </c>
      <c r="G3301" s="55">
        <f>IFERROR(INDEX('Semrush Data'!$A$1:$Z$20000,MATCH(A3301,'Semrush Data'!$A$1:$A$20000,0),MATCH("Volume",'Semrush Data'!$A$1:$Z$1,0)),"")</f>
        <v/>
      </c>
      <c r="H3301" s="42">
        <f>IFERROR(INDEX('Semrush Data'!$A$1:$Z$20000,MATCH(A3301,'Semrush Data'!$A$1:$A$20000,0),MATCH("Keyword Difficulty*",'Semrush Data'!$A$1:$Z$1,0)),"")</f>
        <v/>
      </c>
      <c r="I3301" s="56">
        <f>IFERROR(INDEX('Semrush Data'!$A$1:$Z$20000,MATCH(A3301,'Semrush Data'!$A$1:$A$20000,0),MATCH("CPC*",'Semrush Data'!$A$1:$Z$1,0)),"")</f>
        <v/>
      </c>
      <c r="J3301" s="42">
        <f>IFERROR(INDEX('Semrush Data'!$A$1:$Z$20000,MATCH(A3301,'Semrush Data'!$A$1:$A$20000,0),MATCH("Intent",'Semrush Data'!$A$1:$Z$1,0)),"")</f>
        <v/>
      </c>
    </row>
    <row r="3302" ht="15" customHeight="1" s="37">
      <c r="A3302" s="42" t="inlineStr">
        <is>
          <t>bvlgari man terrae essence gift set price</t>
        </is>
      </c>
      <c r="B3302" s="42" t="inlineStr">
        <is>
          <t>Price</t>
        </is>
      </c>
      <c r="C3302" s="42" t="n">
        <v>3</v>
      </c>
      <c r="D3302" s="42" t="n">
        <v>34</v>
      </c>
      <c r="E3302" s="42" t="n">
        <v>1</v>
      </c>
      <c r="F3302" s="42" t="inlineStr">
        <is>
          <t>FR-073</t>
        </is>
      </c>
      <c r="G3302" s="55">
        <f>IFERROR(INDEX('Semrush Data'!$A$1:$Z$20000,MATCH(A3302,'Semrush Data'!$A$1:$A$20000,0),MATCH("Volume",'Semrush Data'!$A$1:$Z$1,0)),"")</f>
        <v/>
      </c>
      <c r="H3302" s="42">
        <f>IFERROR(INDEX('Semrush Data'!$A$1:$Z$20000,MATCH(A3302,'Semrush Data'!$A$1:$A$20000,0),MATCH("Keyword Difficulty*",'Semrush Data'!$A$1:$Z$1,0)),"")</f>
        <v/>
      </c>
      <c r="I3302" s="56">
        <f>IFERROR(INDEX('Semrush Data'!$A$1:$Z$20000,MATCH(A3302,'Semrush Data'!$A$1:$A$20000,0),MATCH("CPC*",'Semrush Data'!$A$1:$Z$1,0)),"")</f>
        <v/>
      </c>
      <c r="J3302" s="42">
        <f>IFERROR(INDEX('Semrush Data'!$A$1:$Z$20000,MATCH(A3302,'Semrush Data'!$A$1:$A$20000,0),MATCH("Intent",'Semrush Data'!$A$1:$Z$1,0)),"")</f>
        <v/>
      </c>
    </row>
    <row r="3303" ht="15" customHeight="1" s="37">
      <c r="A3303" s="42" t="inlineStr">
        <is>
          <t>bvlgari man wood essence gift set price</t>
        </is>
      </c>
      <c r="B3303" s="42" t="inlineStr">
        <is>
          <t>Price</t>
        </is>
      </c>
      <c r="C3303" s="42" t="n">
        <v>3</v>
      </c>
      <c r="D3303" s="42" t="n">
        <v>34</v>
      </c>
      <c r="E3303" s="42" t="n">
        <v>1</v>
      </c>
      <c r="F3303" s="42" t="inlineStr">
        <is>
          <t>FR-074</t>
        </is>
      </c>
      <c r="G3303" s="55">
        <f>IFERROR(INDEX('Semrush Data'!$A$1:$Z$20000,MATCH(A3303,'Semrush Data'!$A$1:$A$20000,0),MATCH("Volume",'Semrush Data'!$A$1:$Z$1,0)),"")</f>
        <v/>
      </c>
      <c r="H3303" s="42">
        <f>IFERROR(INDEX('Semrush Data'!$A$1:$Z$20000,MATCH(A3303,'Semrush Data'!$A$1:$A$20000,0),MATCH("Keyword Difficulty*",'Semrush Data'!$A$1:$Z$1,0)),"")</f>
        <v/>
      </c>
      <c r="I3303" s="56">
        <f>IFERROR(INDEX('Semrush Data'!$A$1:$Z$20000,MATCH(A3303,'Semrush Data'!$A$1:$A$20000,0),MATCH("CPC*",'Semrush Data'!$A$1:$Z$1,0)),"")</f>
        <v/>
      </c>
      <c r="J3303" s="42">
        <f>IFERROR(INDEX('Semrush Data'!$A$1:$Z$20000,MATCH(A3303,'Semrush Data'!$A$1:$A$20000,0),MATCH("Intent",'Semrush Data'!$A$1:$Z$1,0)),"")</f>
        <v/>
      </c>
    </row>
    <row r="3304" ht="15" customHeight="1" s="37">
      <c r="A3304" s="42" t="inlineStr">
        <is>
          <t>bvlgari omnia amethyste price</t>
        </is>
      </c>
      <c r="B3304" s="42" t="inlineStr">
        <is>
          <t>Price</t>
        </is>
      </c>
      <c r="C3304" s="42" t="n">
        <v>3</v>
      </c>
      <c r="D3304" s="42" t="n">
        <v>34</v>
      </c>
      <c r="E3304" s="42" t="n">
        <v>1</v>
      </c>
      <c r="F3304" s="42" t="inlineStr">
        <is>
          <t>FR-070</t>
        </is>
      </c>
      <c r="G3304" s="55">
        <f>IFERROR(INDEX('Semrush Data'!$A$1:$Z$20000,MATCH(A3304,'Semrush Data'!$A$1:$A$20000,0),MATCH("Volume",'Semrush Data'!$A$1:$Z$1,0)),"")</f>
        <v/>
      </c>
      <c r="H3304" s="42">
        <f>IFERROR(INDEX('Semrush Data'!$A$1:$Z$20000,MATCH(A3304,'Semrush Data'!$A$1:$A$20000,0),MATCH("Keyword Difficulty*",'Semrush Data'!$A$1:$Z$1,0)),"")</f>
        <v/>
      </c>
      <c r="I3304" s="56">
        <f>IFERROR(INDEX('Semrush Data'!$A$1:$Z$20000,MATCH(A3304,'Semrush Data'!$A$1:$A$20000,0),MATCH("CPC*",'Semrush Data'!$A$1:$Z$1,0)),"")</f>
        <v/>
      </c>
      <c r="J3304" s="42">
        <f>IFERROR(INDEX('Semrush Data'!$A$1:$Z$20000,MATCH(A3304,'Semrush Data'!$A$1:$A$20000,0),MATCH("Intent",'Semrush Data'!$A$1:$Z$1,0)),"")</f>
        <v/>
      </c>
    </row>
    <row r="3305" ht="15" customHeight="1" s="37">
      <c r="A3305" s="42" t="inlineStr">
        <is>
          <t>bvlgari rose goldea blossom delight gift set price</t>
        </is>
      </c>
      <c r="B3305" s="42" t="inlineStr">
        <is>
          <t>Price</t>
        </is>
      </c>
      <c r="C3305" s="42" t="n">
        <v>3</v>
      </c>
      <c r="D3305" s="42" t="n">
        <v>34</v>
      </c>
      <c r="E3305" s="42" t="n">
        <v>1</v>
      </c>
      <c r="F3305" s="42" t="inlineStr">
        <is>
          <t>FR-075</t>
        </is>
      </c>
      <c r="G3305" s="55">
        <f>IFERROR(INDEX('Semrush Data'!$A$1:$Z$20000,MATCH(A3305,'Semrush Data'!$A$1:$A$20000,0),MATCH("Volume",'Semrush Data'!$A$1:$Z$1,0)),"")</f>
        <v/>
      </c>
      <c r="H3305" s="42">
        <f>IFERROR(INDEX('Semrush Data'!$A$1:$Z$20000,MATCH(A3305,'Semrush Data'!$A$1:$A$20000,0),MATCH("Keyword Difficulty*",'Semrush Data'!$A$1:$Z$1,0)),"")</f>
        <v/>
      </c>
      <c r="I3305" s="56">
        <f>IFERROR(INDEX('Semrush Data'!$A$1:$Z$20000,MATCH(A3305,'Semrush Data'!$A$1:$A$20000,0),MATCH("CPC*",'Semrush Data'!$A$1:$Z$1,0)),"")</f>
        <v/>
      </c>
      <c r="J3305" s="42">
        <f>IFERROR(INDEX('Semrush Data'!$A$1:$Z$20000,MATCH(A3305,'Semrush Data'!$A$1:$A$20000,0),MATCH("Intent",'Semrush Data'!$A$1:$Z$1,0)),"")</f>
        <v/>
      </c>
    </row>
    <row r="3306" ht="15" customHeight="1" s="37">
      <c r="A3306" s="42" t="inlineStr">
        <is>
          <t>bvlgari splendida tubereuse mystique price</t>
        </is>
      </c>
      <c r="B3306" s="42" t="inlineStr">
        <is>
          <t>Price</t>
        </is>
      </c>
      <c r="C3306" s="42" t="n">
        <v>3</v>
      </c>
      <c r="D3306" s="42" t="n">
        <v>34</v>
      </c>
      <c r="E3306" s="42" t="n">
        <v>1</v>
      </c>
      <c r="F3306" s="42" t="inlineStr">
        <is>
          <t>FR-069</t>
        </is>
      </c>
      <c r="G3306" s="55">
        <f>IFERROR(INDEX('Semrush Data'!$A$1:$Z$20000,MATCH(A3306,'Semrush Data'!$A$1:$A$20000,0),MATCH("Volume",'Semrush Data'!$A$1:$Z$1,0)),"")</f>
        <v/>
      </c>
      <c r="H3306" s="42">
        <f>IFERROR(INDEX('Semrush Data'!$A$1:$Z$20000,MATCH(A3306,'Semrush Data'!$A$1:$A$20000,0),MATCH("Keyword Difficulty*",'Semrush Data'!$A$1:$Z$1,0)),"")</f>
        <v/>
      </c>
      <c r="I3306" s="56">
        <f>IFERROR(INDEX('Semrush Data'!$A$1:$Z$20000,MATCH(A3306,'Semrush Data'!$A$1:$A$20000,0),MATCH("CPC*",'Semrush Data'!$A$1:$Z$1,0)),"")</f>
        <v/>
      </c>
      <c r="J3306" s="42">
        <f>IFERROR(INDEX('Semrush Data'!$A$1:$Z$20000,MATCH(A3306,'Semrush Data'!$A$1:$A$20000,0),MATCH("Intent",'Semrush Data'!$A$1:$Z$1,0)),"")</f>
        <v/>
      </c>
    </row>
    <row r="3307" ht="15" customHeight="1" s="37">
      <c r="A3307" s="42" t="inlineStr">
        <is>
          <t>calvin klein defy miniature price</t>
        </is>
      </c>
      <c r="B3307" s="42" t="inlineStr">
        <is>
          <t>Price</t>
        </is>
      </c>
      <c r="C3307" s="42" t="n">
        <v>3</v>
      </c>
      <c r="D3307" s="42" t="n">
        <v>34</v>
      </c>
      <c r="E3307" s="42" t="n">
        <v>1</v>
      </c>
      <c r="F3307" s="42" t="inlineStr">
        <is>
          <t>FR-076</t>
        </is>
      </c>
      <c r="G3307" s="55">
        <f>IFERROR(INDEX('Semrush Data'!$A$1:$Z$20000,MATCH(A3307,'Semrush Data'!$A$1:$A$20000,0),MATCH("Volume",'Semrush Data'!$A$1:$Z$1,0)),"")</f>
        <v/>
      </c>
      <c r="H3307" s="42">
        <f>IFERROR(INDEX('Semrush Data'!$A$1:$Z$20000,MATCH(A3307,'Semrush Data'!$A$1:$A$20000,0),MATCH("Keyword Difficulty*",'Semrush Data'!$A$1:$Z$1,0)),"")</f>
        <v/>
      </c>
      <c r="I3307" s="56">
        <f>IFERROR(INDEX('Semrush Data'!$A$1:$Z$20000,MATCH(A3307,'Semrush Data'!$A$1:$A$20000,0),MATCH("CPC*",'Semrush Data'!$A$1:$Z$1,0)),"")</f>
        <v/>
      </c>
      <c r="J3307" s="42">
        <f>IFERROR(INDEX('Semrush Data'!$A$1:$Z$20000,MATCH(A3307,'Semrush Data'!$A$1:$A$20000,0),MATCH("Intent",'Semrush Data'!$A$1:$Z$1,0)),"")</f>
        <v/>
      </c>
    </row>
    <row r="3308" ht="15" customHeight="1" s="37">
      <c r="A3308" s="42" t="inlineStr">
        <is>
          <t>calvin klein defy parfum miniature price</t>
        </is>
      </c>
      <c r="B3308" s="42" t="inlineStr">
        <is>
          <t>Price</t>
        </is>
      </c>
      <c r="C3308" s="42" t="n">
        <v>3</v>
      </c>
      <c r="D3308" s="42" t="n">
        <v>34</v>
      </c>
      <c r="E3308" s="42" t="n">
        <v>1</v>
      </c>
      <c r="F3308" s="42" t="inlineStr">
        <is>
          <t>FR-081</t>
        </is>
      </c>
      <c r="G3308" s="55">
        <f>IFERROR(INDEX('Semrush Data'!$A$1:$Z$20000,MATCH(A3308,'Semrush Data'!$A$1:$A$20000,0),MATCH("Volume",'Semrush Data'!$A$1:$Z$1,0)),"")</f>
        <v/>
      </c>
      <c r="H3308" s="42">
        <f>IFERROR(INDEX('Semrush Data'!$A$1:$Z$20000,MATCH(A3308,'Semrush Data'!$A$1:$A$20000,0),MATCH("Keyword Difficulty*",'Semrush Data'!$A$1:$Z$1,0)),"")</f>
        <v/>
      </c>
      <c r="I3308" s="56">
        <f>IFERROR(INDEX('Semrush Data'!$A$1:$Z$20000,MATCH(A3308,'Semrush Data'!$A$1:$A$20000,0),MATCH("CPC*",'Semrush Data'!$A$1:$Z$1,0)),"")</f>
        <v/>
      </c>
      <c r="J3308" s="42">
        <f>IFERROR(INDEX('Semrush Data'!$A$1:$Z$20000,MATCH(A3308,'Semrush Data'!$A$1:$A$20000,0),MATCH("Intent",'Semrush Data'!$A$1:$Z$1,0)),"")</f>
        <v/>
      </c>
    </row>
    <row r="3309" ht="15" customHeight="1" s="37">
      <c r="A3309" s="42" t="inlineStr">
        <is>
          <t>calvin klein defy price</t>
        </is>
      </c>
      <c r="B3309" s="42" t="inlineStr">
        <is>
          <t>Price</t>
        </is>
      </c>
      <c r="C3309" s="42" t="n">
        <v>3</v>
      </c>
      <c r="D3309" s="42" t="n">
        <v>34</v>
      </c>
      <c r="E3309" s="42" t="n">
        <v>2</v>
      </c>
      <c r="F3309" s="42" t="inlineStr">
        <is>
          <t>FR-082, FR-083</t>
        </is>
      </c>
      <c r="G3309" s="55">
        <f>IFERROR(INDEX('Semrush Data'!$A$1:$Z$20000,MATCH(A3309,'Semrush Data'!$A$1:$A$20000,0),MATCH("Volume",'Semrush Data'!$A$1:$Z$1,0)),"")</f>
        <v/>
      </c>
      <c r="H3309" s="42">
        <f>IFERROR(INDEX('Semrush Data'!$A$1:$Z$20000,MATCH(A3309,'Semrush Data'!$A$1:$A$20000,0),MATCH("Keyword Difficulty*",'Semrush Data'!$A$1:$Z$1,0)),"")</f>
        <v/>
      </c>
      <c r="I3309" s="56">
        <f>IFERROR(INDEX('Semrush Data'!$A$1:$Z$20000,MATCH(A3309,'Semrush Data'!$A$1:$A$20000,0),MATCH("CPC*",'Semrush Data'!$A$1:$Z$1,0)),"")</f>
        <v/>
      </c>
      <c r="J3309" s="42">
        <f>IFERROR(INDEX('Semrush Data'!$A$1:$Z$20000,MATCH(A3309,'Semrush Data'!$A$1:$A$20000,0),MATCH("Intent",'Semrush Data'!$A$1:$Z$1,0)),"")</f>
        <v/>
      </c>
    </row>
    <row r="3310" ht="15" customHeight="1" s="37">
      <c r="A3310" s="42" t="inlineStr">
        <is>
          <t>calvin klein eternity aromatic essence parfum intense miniature price</t>
        </is>
      </c>
      <c r="B3310" s="42" t="inlineStr">
        <is>
          <t>Price</t>
        </is>
      </c>
      <c r="C3310" s="42" t="n">
        <v>3</v>
      </c>
      <c r="D3310" s="42" t="n">
        <v>34</v>
      </c>
      <c r="E3310" s="42" t="n">
        <v>2</v>
      </c>
      <c r="F3310" s="42" t="inlineStr">
        <is>
          <t>FR-084, FR-085</t>
        </is>
      </c>
      <c r="G3310" s="55">
        <f>IFERROR(INDEX('Semrush Data'!$A$1:$Z$20000,MATCH(A3310,'Semrush Data'!$A$1:$A$20000,0),MATCH("Volume",'Semrush Data'!$A$1:$Z$1,0)),"")</f>
        <v/>
      </c>
      <c r="H3310" s="42">
        <f>IFERROR(INDEX('Semrush Data'!$A$1:$Z$20000,MATCH(A3310,'Semrush Data'!$A$1:$A$20000,0),MATCH("Keyword Difficulty*",'Semrush Data'!$A$1:$Z$1,0)),"")</f>
        <v/>
      </c>
      <c r="I3310" s="56">
        <f>IFERROR(INDEX('Semrush Data'!$A$1:$Z$20000,MATCH(A3310,'Semrush Data'!$A$1:$A$20000,0),MATCH("CPC*",'Semrush Data'!$A$1:$Z$1,0)),"")</f>
        <v/>
      </c>
      <c r="J3310" s="42">
        <f>IFERROR(INDEX('Semrush Data'!$A$1:$Z$20000,MATCH(A3310,'Semrush Data'!$A$1:$A$20000,0),MATCH("Intent",'Semrush Data'!$A$1:$Z$1,0)),"")</f>
        <v/>
      </c>
    </row>
    <row r="3311" ht="15" customHeight="1" s="37">
      <c r="A3311" s="42" t="inlineStr">
        <is>
          <t>calvin klein eternity parfum miniature price</t>
        </is>
      </c>
      <c r="B3311" s="42" t="inlineStr">
        <is>
          <t>Price</t>
        </is>
      </c>
      <c r="C3311" s="42" t="n">
        <v>3</v>
      </c>
      <c r="D3311" s="42" t="n">
        <v>34</v>
      </c>
      <c r="E3311" s="42" t="n">
        <v>1</v>
      </c>
      <c r="F3311" s="42" t="inlineStr">
        <is>
          <t>FR-086</t>
        </is>
      </c>
      <c r="G3311" s="55">
        <f>IFERROR(INDEX('Semrush Data'!$A$1:$Z$20000,MATCH(A3311,'Semrush Data'!$A$1:$A$20000,0),MATCH("Volume",'Semrush Data'!$A$1:$Z$1,0)),"")</f>
        <v/>
      </c>
      <c r="H3311" s="42">
        <f>IFERROR(INDEX('Semrush Data'!$A$1:$Z$20000,MATCH(A3311,'Semrush Data'!$A$1:$A$20000,0),MATCH("Keyword Difficulty*",'Semrush Data'!$A$1:$Z$1,0)),"")</f>
        <v/>
      </c>
      <c r="I3311" s="56">
        <f>IFERROR(INDEX('Semrush Data'!$A$1:$Z$20000,MATCH(A3311,'Semrush Data'!$A$1:$A$20000,0),MATCH("CPC*",'Semrush Data'!$A$1:$Z$1,0)),"")</f>
        <v/>
      </c>
      <c r="J3311" s="42">
        <f>IFERROR(INDEX('Semrush Data'!$A$1:$Z$20000,MATCH(A3311,'Semrush Data'!$A$1:$A$20000,0),MATCH("Intent",'Semrush Data'!$A$1:$Z$1,0)),"")</f>
        <v/>
      </c>
    </row>
    <row r="3312" ht="15" customHeight="1" s="37">
      <c r="A3312" s="42" t="inlineStr">
        <is>
          <t>calvin klein eternity price</t>
        </is>
      </c>
      <c r="B3312" s="42" t="inlineStr">
        <is>
          <t>Price</t>
        </is>
      </c>
      <c r="C3312" s="42" t="n">
        <v>3</v>
      </c>
      <c r="D3312" s="42" t="inlineStr">
        <is>
          <t>T3-1</t>
        </is>
      </c>
      <c r="E3312" s="42" t="n">
        <v>2</v>
      </c>
      <c r="F3312" s="42" t="inlineStr">
        <is>
          <t>FR-077, FR-079</t>
        </is>
      </c>
      <c r="G3312" s="55">
        <f>IFERROR(INDEX('Semrush Data'!$A$1:$Z$20000,MATCH(A3312,'Semrush Data'!$A$1:$A$20000,0),MATCH("Volume",'Semrush Data'!$A$1:$Z$1,0)),"")</f>
        <v/>
      </c>
      <c r="H3312" s="42">
        <f>IFERROR(INDEX('Semrush Data'!$A$1:$Z$20000,MATCH(A3312,'Semrush Data'!$A$1:$A$20000,0),MATCH("Keyword Difficulty*",'Semrush Data'!$A$1:$Z$1,0)),"")</f>
        <v/>
      </c>
      <c r="I3312" s="56">
        <f>IFERROR(INDEX('Semrush Data'!$A$1:$Z$20000,MATCH(A3312,'Semrush Data'!$A$1:$A$20000,0),MATCH("CPC*",'Semrush Data'!$A$1:$Z$1,0)),"")</f>
        <v/>
      </c>
      <c r="J3312" s="42">
        <f>IFERROR(INDEX('Semrush Data'!$A$1:$Z$20000,MATCH(A3312,'Semrush Data'!$A$1:$A$20000,0),MATCH("Intent",'Semrush Data'!$A$1:$Z$1,0)),"")</f>
        <v/>
      </c>
    </row>
    <row r="3313" ht="15" customHeight="1" s="37">
      <c r="A3313" s="42" t="inlineStr">
        <is>
          <t>calvin klein miniature set price</t>
        </is>
      </c>
      <c r="B3313" s="42" t="inlineStr">
        <is>
          <t>Price</t>
        </is>
      </c>
      <c r="C3313" s="42" t="n">
        <v>3</v>
      </c>
      <c r="D3313" s="42" t="n">
        <v>34</v>
      </c>
      <c r="E3313" s="42" t="n">
        <v>1</v>
      </c>
      <c r="F3313" s="42" t="inlineStr">
        <is>
          <t>FR-080</t>
        </is>
      </c>
      <c r="G3313" s="55">
        <f>IFERROR(INDEX('Semrush Data'!$A$1:$Z$20000,MATCH(A3313,'Semrush Data'!$A$1:$A$20000,0),MATCH("Volume",'Semrush Data'!$A$1:$Z$1,0)),"")</f>
        <v/>
      </c>
      <c r="H3313" s="42">
        <f>IFERROR(INDEX('Semrush Data'!$A$1:$Z$20000,MATCH(A3313,'Semrush Data'!$A$1:$A$20000,0),MATCH("Keyword Difficulty*",'Semrush Data'!$A$1:$Z$1,0)),"")</f>
        <v/>
      </c>
      <c r="I3313" s="56">
        <f>IFERROR(INDEX('Semrush Data'!$A$1:$Z$20000,MATCH(A3313,'Semrush Data'!$A$1:$A$20000,0),MATCH("CPC*",'Semrush Data'!$A$1:$Z$1,0)),"")</f>
        <v/>
      </c>
      <c r="J3313" s="42">
        <f>IFERROR(INDEX('Semrush Data'!$A$1:$Z$20000,MATCH(A3313,'Semrush Data'!$A$1:$A$20000,0),MATCH("Intent",'Semrush Data'!$A$1:$Z$1,0)),"")</f>
        <v/>
      </c>
    </row>
    <row r="3314" ht="15" customHeight="1" s="37">
      <c r="A3314" s="42" t="inlineStr">
        <is>
          <t>calvin klein my euphoria miniature price</t>
        </is>
      </c>
      <c r="B3314" s="42" t="inlineStr">
        <is>
          <t>Price</t>
        </is>
      </c>
      <c r="C3314" s="42" t="n">
        <v>3</v>
      </c>
      <c r="D3314" s="42" t="n">
        <v>34</v>
      </c>
      <c r="E3314" s="42" t="n">
        <v>1</v>
      </c>
      <c r="F3314" s="42" t="inlineStr">
        <is>
          <t>FR-078</t>
        </is>
      </c>
      <c r="G3314" s="55">
        <f>IFERROR(INDEX('Semrush Data'!$A$1:$Z$20000,MATCH(A3314,'Semrush Data'!$A$1:$A$20000,0),MATCH("Volume",'Semrush Data'!$A$1:$Z$1,0)),"")</f>
        <v/>
      </c>
      <c r="H3314" s="42">
        <f>IFERROR(INDEX('Semrush Data'!$A$1:$Z$20000,MATCH(A3314,'Semrush Data'!$A$1:$A$20000,0),MATCH("Keyword Difficulty*",'Semrush Data'!$A$1:$Z$1,0)),"")</f>
        <v/>
      </c>
      <c r="I3314" s="56">
        <f>IFERROR(INDEX('Semrush Data'!$A$1:$Z$20000,MATCH(A3314,'Semrush Data'!$A$1:$A$20000,0),MATCH("CPC*",'Semrush Data'!$A$1:$Z$1,0)),"")</f>
        <v/>
      </c>
      <c r="J3314" s="42">
        <f>IFERROR(INDEX('Semrush Data'!$A$1:$Z$20000,MATCH(A3314,'Semrush Data'!$A$1:$A$20000,0),MATCH("Intent",'Semrush Data'!$A$1:$Z$1,0)),"")</f>
        <v/>
      </c>
    </row>
    <row r="3315" ht="15" customHeight="1" s="37">
      <c r="A3315" s="42" t="inlineStr">
        <is>
          <t>carolina herrera 212 sexy men price</t>
        </is>
      </c>
      <c r="B3315" s="42" t="inlineStr">
        <is>
          <t>Price</t>
        </is>
      </c>
      <c r="C3315" s="42" t="n">
        <v>3</v>
      </c>
      <c r="D3315" s="42" t="n">
        <v>34</v>
      </c>
      <c r="E3315" s="42" t="n">
        <v>1</v>
      </c>
      <c r="F3315" s="42" t="inlineStr">
        <is>
          <t>FR-092</t>
        </is>
      </c>
      <c r="G3315" s="55">
        <f>IFERROR(INDEX('Semrush Data'!$A$1:$Z$20000,MATCH(A3315,'Semrush Data'!$A$1:$A$20000,0),MATCH("Volume",'Semrush Data'!$A$1:$Z$1,0)),"")</f>
        <v/>
      </c>
      <c r="H3315" s="42">
        <f>IFERROR(INDEX('Semrush Data'!$A$1:$Z$20000,MATCH(A3315,'Semrush Data'!$A$1:$A$20000,0),MATCH("Keyword Difficulty*",'Semrush Data'!$A$1:$Z$1,0)),"")</f>
        <v/>
      </c>
      <c r="I3315" s="56">
        <f>IFERROR(INDEX('Semrush Data'!$A$1:$Z$20000,MATCH(A3315,'Semrush Data'!$A$1:$A$20000,0),MATCH("CPC*",'Semrush Data'!$A$1:$Z$1,0)),"")</f>
        <v/>
      </c>
      <c r="J3315" s="42">
        <f>IFERROR(INDEX('Semrush Data'!$A$1:$Z$20000,MATCH(A3315,'Semrush Data'!$A$1:$A$20000,0),MATCH("Intent",'Semrush Data'!$A$1:$Z$1,0)),"")</f>
        <v/>
      </c>
    </row>
    <row r="3316" ht="15" customHeight="1" s="37">
      <c r="A3316" s="42" t="inlineStr">
        <is>
          <t>carolina herrera 212 vip men price</t>
        </is>
      </c>
      <c r="B3316" s="42" t="inlineStr">
        <is>
          <t>Price</t>
        </is>
      </c>
      <c r="C3316" s="42" t="n">
        <v>3</v>
      </c>
      <c r="D3316" s="42" t="n">
        <v>34</v>
      </c>
      <c r="E3316" s="42" t="n">
        <v>1</v>
      </c>
      <c r="F3316" s="42" t="inlineStr">
        <is>
          <t>FR-093</t>
        </is>
      </c>
      <c r="G3316" s="55">
        <f>IFERROR(INDEX('Semrush Data'!$A$1:$Z$20000,MATCH(A3316,'Semrush Data'!$A$1:$A$20000,0),MATCH("Volume",'Semrush Data'!$A$1:$Z$1,0)),"")</f>
        <v/>
      </c>
      <c r="H3316" s="42">
        <f>IFERROR(INDEX('Semrush Data'!$A$1:$Z$20000,MATCH(A3316,'Semrush Data'!$A$1:$A$20000,0),MATCH("Keyword Difficulty*",'Semrush Data'!$A$1:$Z$1,0)),"")</f>
        <v/>
      </c>
      <c r="I3316" s="56">
        <f>IFERROR(INDEX('Semrush Data'!$A$1:$Z$20000,MATCH(A3316,'Semrush Data'!$A$1:$A$20000,0),MATCH("CPC*",'Semrush Data'!$A$1:$Z$1,0)),"")</f>
        <v/>
      </c>
      <c r="J3316" s="42">
        <f>IFERROR(INDEX('Semrush Data'!$A$1:$Z$20000,MATCH(A3316,'Semrush Data'!$A$1:$A$20000,0),MATCH("Intent",'Semrush Data'!$A$1:$Z$1,0)),"")</f>
        <v/>
      </c>
    </row>
    <row r="3317" ht="15" customHeight="1" s="37">
      <c r="A3317" s="42" t="inlineStr">
        <is>
          <t>carolina herrera 212 vip rose price</t>
        </is>
      </c>
      <c r="B3317" s="42" t="inlineStr">
        <is>
          <t>Price</t>
        </is>
      </c>
      <c r="C3317" s="42" t="n">
        <v>3</v>
      </c>
      <c r="D3317" s="42" t="n">
        <v>34</v>
      </c>
      <c r="E3317" s="42" t="n">
        <v>1</v>
      </c>
      <c r="F3317" s="42" t="inlineStr">
        <is>
          <t>FR-087</t>
        </is>
      </c>
      <c r="G3317" s="55">
        <f>IFERROR(INDEX('Semrush Data'!$A$1:$Z$20000,MATCH(A3317,'Semrush Data'!$A$1:$A$20000,0),MATCH("Volume",'Semrush Data'!$A$1:$Z$1,0)),"")</f>
        <v/>
      </c>
      <c r="H3317" s="42">
        <f>IFERROR(INDEX('Semrush Data'!$A$1:$Z$20000,MATCH(A3317,'Semrush Data'!$A$1:$A$20000,0),MATCH("Keyword Difficulty*",'Semrush Data'!$A$1:$Z$1,0)),"")</f>
        <v/>
      </c>
      <c r="I3317" s="56">
        <f>IFERROR(INDEX('Semrush Data'!$A$1:$Z$20000,MATCH(A3317,'Semrush Data'!$A$1:$A$20000,0),MATCH("CPC*",'Semrush Data'!$A$1:$Z$1,0)),"")</f>
        <v/>
      </c>
      <c r="J3317" s="42">
        <f>IFERROR(INDEX('Semrush Data'!$A$1:$Z$20000,MATCH(A3317,'Semrush Data'!$A$1:$A$20000,0),MATCH("Intent",'Semrush Data'!$A$1:$Z$1,0)),"")</f>
        <v/>
      </c>
    </row>
    <row r="3318" ht="15" customHeight="1" s="37">
      <c r="A3318" s="42" t="inlineStr">
        <is>
          <t>carolina herrera bad boy extreme price</t>
        </is>
      </c>
      <c r="B3318" s="42" t="inlineStr">
        <is>
          <t>Price</t>
        </is>
      </c>
      <c r="C3318" s="42" t="n">
        <v>3</v>
      </c>
      <c r="D3318" s="42" t="n">
        <v>34</v>
      </c>
      <c r="E3318" s="42" t="n">
        <v>2</v>
      </c>
      <c r="F3318" s="42" t="inlineStr">
        <is>
          <t>FR-088, FR-089</t>
        </is>
      </c>
      <c r="G3318" s="55">
        <f>IFERROR(INDEX('Semrush Data'!$A$1:$Z$20000,MATCH(A3318,'Semrush Data'!$A$1:$A$20000,0),MATCH("Volume",'Semrush Data'!$A$1:$Z$1,0)),"")</f>
        <v/>
      </c>
      <c r="H3318" s="42">
        <f>IFERROR(INDEX('Semrush Data'!$A$1:$Z$20000,MATCH(A3318,'Semrush Data'!$A$1:$A$20000,0),MATCH("Keyword Difficulty*",'Semrush Data'!$A$1:$Z$1,0)),"")</f>
        <v/>
      </c>
      <c r="I3318" s="56">
        <f>IFERROR(INDEX('Semrush Data'!$A$1:$Z$20000,MATCH(A3318,'Semrush Data'!$A$1:$A$20000,0),MATCH("CPC*",'Semrush Data'!$A$1:$Z$1,0)),"")</f>
        <v/>
      </c>
      <c r="J3318" s="42">
        <f>IFERROR(INDEX('Semrush Data'!$A$1:$Z$20000,MATCH(A3318,'Semrush Data'!$A$1:$A$20000,0),MATCH("Intent",'Semrush Data'!$A$1:$Z$1,0)),"")</f>
        <v/>
      </c>
    </row>
    <row r="3319" ht="15" customHeight="1" s="37">
      <c r="A3319" s="42" t="inlineStr">
        <is>
          <t>carolina herrera bad boy le price</t>
        </is>
      </c>
      <c r="B3319" s="42" t="inlineStr">
        <is>
          <t>Price</t>
        </is>
      </c>
      <c r="C3319" s="42" t="n">
        <v>3</v>
      </c>
      <c r="D3319" s="42" t="n">
        <v>34</v>
      </c>
      <c r="E3319" s="42" t="n">
        <v>2</v>
      </c>
      <c r="F3319" s="42" t="inlineStr">
        <is>
          <t>FR-090, FR-091</t>
        </is>
      </c>
      <c r="G3319" s="55">
        <f>IFERROR(INDEX('Semrush Data'!$A$1:$Z$20000,MATCH(A3319,'Semrush Data'!$A$1:$A$20000,0),MATCH("Volume",'Semrush Data'!$A$1:$Z$1,0)),"")</f>
        <v/>
      </c>
      <c r="H3319" s="42">
        <f>IFERROR(INDEX('Semrush Data'!$A$1:$Z$20000,MATCH(A3319,'Semrush Data'!$A$1:$A$20000,0),MATCH("Keyword Difficulty*",'Semrush Data'!$A$1:$Z$1,0)),"")</f>
        <v/>
      </c>
      <c r="I3319" s="56">
        <f>IFERROR(INDEX('Semrush Data'!$A$1:$Z$20000,MATCH(A3319,'Semrush Data'!$A$1:$A$20000,0),MATCH("CPC*",'Semrush Data'!$A$1:$Z$1,0)),"")</f>
        <v/>
      </c>
      <c r="J3319" s="42">
        <f>IFERROR(INDEX('Semrush Data'!$A$1:$Z$20000,MATCH(A3319,'Semrush Data'!$A$1:$A$20000,0),MATCH("Intent",'Semrush Data'!$A$1:$Z$1,0)),"")</f>
        <v/>
      </c>
    </row>
    <row r="3320" ht="15" customHeight="1" s="37">
      <c r="A3320" s="42" t="inlineStr">
        <is>
          <t>carolina herrera very good girl glam price</t>
        </is>
      </c>
      <c r="B3320" s="42" t="inlineStr">
        <is>
          <t>Price</t>
        </is>
      </c>
      <c r="C3320" s="42" t="n">
        <v>3</v>
      </c>
      <c r="D3320" s="42" t="n">
        <v>34</v>
      </c>
      <c r="E3320" s="42" t="n">
        <v>1</v>
      </c>
      <c r="F3320" s="42" t="inlineStr">
        <is>
          <t>FR-094</t>
        </is>
      </c>
      <c r="G3320" s="55">
        <f>IFERROR(INDEX('Semrush Data'!$A$1:$Z$20000,MATCH(A3320,'Semrush Data'!$A$1:$A$20000,0),MATCH("Volume",'Semrush Data'!$A$1:$Z$1,0)),"")</f>
        <v/>
      </c>
      <c r="H3320" s="42">
        <f>IFERROR(INDEX('Semrush Data'!$A$1:$Z$20000,MATCH(A3320,'Semrush Data'!$A$1:$A$20000,0),MATCH("Keyword Difficulty*",'Semrush Data'!$A$1:$Z$1,0)),"")</f>
        <v/>
      </c>
      <c r="I3320" s="56">
        <f>IFERROR(INDEX('Semrush Data'!$A$1:$Z$20000,MATCH(A3320,'Semrush Data'!$A$1:$A$20000,0),MATCH("CPC*",'Semrush Data'!$A$1:$Z$1,0)),"")</f>
        <v/>
      </c>
      <c r="J3320" s="42">
        <f>IFERROR(INDEX('Semrush Data'!$A$1:$Z$20000,MATCH(A3320,'Semrush Data'!$A$1:$A$20000,0),MATCH("Intent",'Semrush Data'!$A$1:$Z$1,0)),"")</f>
        <v/>
      </c>
    </row>
    <row r="3321" ht="15" customHeight="1" s="37">
      <c r="A3321" s="42" t="inlineStr">
        <is>
          <t>casanova anniversary price</t>
        </is>
      </c>
      <c r="B3321" s="42" t="inlineStr">
        <is>
          <t>Price</t>
        </is>
      </c>
      <c r="C3321" s="42" t="n">
        <v>3</v>
      </c>
      <c r="D3321" s="42" t="n">
        <v>34</v>
      </c>
      <c r="E3321" s="42" t="n">
        <v>1</v>
      </c>
      <c r="F3321" s="42" t="inlineStr">
        <is>
          <t>FR-341</t>
        </is>
      </c>
      <c r="G3321" s="55">
        <f>IFERROR(INDEX('Semrush Data'!$A$1:$Z$20000,MATCH(A3321,'Semrush Data'!$A$1:$A$20000,0),MATCH("Volume",'Semrush Data'!$A$1:$Z$1,0)),"")</f>
        <v/>
      </c>
      <c r="H3321" s="42">
        <f>IFERROR(INDEX('Semrush Data'!$A$1:$Z$20000,MATCH(A3321,'Semrush Data'!$A$1:$A$20000,0),MATCH("Keyword Difficulty*",'Semrush Data'!$A$1:$Z$1,0)),"")</f>
        <v/>
      </c>
      <c r="I3321" s="56">
        <f>IFERROR(INDEX('Semrush Data'!$A$1:$Z$20000,MATCH(A3321,'Semrush Data'!$A$1:$A$20000,0),MATCH("CPC*",'Semrush Data'!$A$1:$Z$1,0)),"")</f>
        <v/>
      </c>
      <c r="J3321" s="42">
        <f>IFERROR(INDEX('Semrush Data'!$A$1:$Z$20000,MATCH(A3321,'Semrush Data'!$A$1:$A$20000,0),MATCH("Intent",'Semrush Data'!$A$1:$Z$1,0)),"")</f>
        <v/>
      </c>
    </row>
    <row r="3322" ht="15" customHeight="1" s="37">
      <c r="A3322" s="42" t="inlineStr">
        <is>
          <t>chloe miniature gift set price</t>
        </is>
      </c>
      <c r="B3322" s="42" t="inlineStr">
        <is>
          <t>Price</t>
        </is>
      </c>
      <c r="C3322" s="42" t="n">
        <v>3</v>
      </c>
      <c r="D3322" s="42" t="n">
        <v>34</v>
      </c>
      <c r="E3322" s="42" t="n">
        <v>1</v>
      </c>
      <c r="F3322" s="42" t="inlineStr">
        <is>
          <t>FR-100</t>
        </is>
      </c>
      <c r="G3322" s="55">
        <f>IFERROR(INDEX('Semrush Data'!$A$1:$Z$20000,MATCH(A3322,'Semrush Data'!$A$1:$A$20000,0),MATCH("Volume",'Semrush Data'!$A$1:$Z$1,0)),"")</f>
        <v/>
      </c>
      <c r="H3322" s="42">
        <f>IFERROR(INDEX('Semrush Data'!$A$1:$Z$20000,MATCH(A3322,'Semrush Data'!$A$1:$A$20000,0),MATCH("Keyword Difficulty*",'Semrush Data'!$A$1:$Z$1,0)),"")</f>
        <v/>
      </c>
      <c r="I3322" s="56">
        <f>IFERROR(INDEX('Semrush Data'!$A$1:$Z$20000,MATCH(A3322,'Semrush Data'!$A$1:$A$20000,0),MATCH("CPC*",'Semrush Data'!$A$1:$Z$1,0)),"")</f>
        <v/>
      </c>
      <c r="J3322" s="42">
        <f>IFERROR(INDEX('Semrush Data'!$A$1:$Z$20000,MATCH(A3322,'Semrush Data'!$A$1:$A$20000,0),MATCH("Intent",'Semrush Data'!$A$1:$Z$1,0)),"")</f>
        <v/>
      </c>
    </row>
    <row r="3323" ht="15" customHeight="1" s="37">
      <c r="A3323" s="42" t="inlineStr">
        <is>
          <t>chloe miniature set price</t>
        </is>
      </c>
      <c r="B3323" s="42" t="inlineStr">
        <is>
          <t>Price</t>
        </is>
      </c>
      <c r="C3323" s="42" t="n">
        <v>3</v>
      </c>
      <c r="D3323" s="42" t="n">
        <v>34</v>
      </c>
      <c r="E3323" s="42" t="n">
        <v>1</v>
      </c>
      <c r="F3323" s="42" t="inlineStr">
        <is>
          <t>FR-101</t>
        </is>
      </c>
      <c r="G3323" s="55">
        <f>IFERROR(INDEX('Semrush Data'!$A$1:$Z$20000,MATCH(A3323,'Semrush Data'!$A$1:$A$20000,0),MATCH("Volume",'Semrush Data'!$A$1:$Z$1,0)),"")</f>
        <v/>
      </c>
      <c r="H3323" s="42">
        <f>IFERROR(INDEX('Semrush Data'!$A$1:$Z$20000,MATCH(A3323,'Semrush Data'!$A$1:$A$20000,0),MATCH("Keyword Difficulty*",'Semrush Data'!$A$1:$Z$1,0)),"")</f>
        <v/>
      </c>
      <c r="I3323" s="56">
        <f>IFERROR(INDEX('Semrush Data'!$A$1:$Z$20000,MATCH(A3323,'Semrush Data'!$A$1:$A$20000,0),MATCH("CPC*",'Semrush Data'!$A$1:$Z$1,0)),"")</f>
        <v/>
      </c>
      <c r="J3323" s="42">
        <f>IFERROR(INDEX('Semrush Data'!$A$1:$Z$20000,MATCH(A3323,'Semrush Data'!$A$1:$A$20000,0),MATCH("Intent",'Semrush Data'!$A$1:$Z$1,0)),"")</f>
        <v/>
      </c>
    </row>
    <row r="3324" ht="15" customHeight="1" s="37">
      <c r="A3324" s="42" t="inlineStr">
        <is>
          <t>chloe nomade gift set price</t>
        </is>
      </c>
      <c r="B3324" s="42" t="inlineStr">
        <is>
          <t>Price</t>
        </is>
      </c>
      <c r="C3324" s="42" t="n">
        <v>3</v>
      </c>
      <c r="D3324" s="42" t="n">
        <v>34</v>
      </c>
      <c r="E3324" s="42" t="n">
        <v>1</v>
      </c>
      <c r="F3324" s="42" t="inlineStr">
        <is>
          <t>FR-099</t>
        </is>
      </c>
      <c r="G3324" s="55">
        <f>IFERROR(INDEX('Semrush Data'!$A$1:$Z$20000,MATCH(A3324,'Semrush Data'!$A$1:$A$20000,0),MATCH("Volume",'Semrush Data'!$A$1:$Z$1,0)),"")</f>
        <v/>
      </c>
      <c r="H3324" s="42">
        <f>IFERROR(INDEX('Semrush Data'!$A$1:$Z$20000,MATCH(A3324,'Semrush Data'!$A$1:$A$20000,0),MATCH("Keyword Difficulty*",'Semrush Data'!$A$1:$Z$1,0)),"")</f>
        <v/>
      </c>
      <c r="I3324" s="56">
        <f>IFERROR(INDEX('Semrush Data'!$A$1:$Z$20000,MATCH(A3324,'Semrush Data'!$A$1:$A$20000,0),MATCH("CPC*",'Semrush Data'!$A$1:$Z$1,0)),"")</f>
        <v/>
      </c>
      <c r="J3324" s="42">
        <f>IFERROR(INDEX('Semrush Data'!$A$1:$Z$20000,MATCH(A3324,'Semrush Data'!$A$1:$A$20000,0),MATCH("Intent",'Semrush Data'!$A$1:$Z$1,0)),"")</f>
        <v/>
      </c>
    </row>
    <row r="3325" ht="15" customHeight="1" s="37">
      <c r="A3325" s="42" t="inlineStr">
        <is>
          <t>chloe nomade jasmin naturel intense price</t>
        </is>
      </c>
      <c r="B3325" s="42" t="inlineStr">
        <is>
          <t>Price</t>
        </is>
      </c>
      <c r="C3325" s="42" t="n">
        <v>3</v>
      </c>
      <c r="D3325" s="42" t="n">
        <v>34</v>
      </c>
      <c r="E3325" s="42" t="n">
        <v>1</v>
      </c>
      <c r="F3325" s="42" t="inlineStr">
        <is>
          <t>FR-096</t>
        </is>
      </c>
      <c r="G3325" s="55">
        <f>IFERROR(INDEX('Semrush Data'!$A$1:$Z$20000,MATCH(A3325,'Semrush Data'!$A$1:$A$20000,0),MATCH("Volume",'Semrush Data'!$A$1:$Z$1,0)),"")</f>
        <v/>
      </c>
      <c r="H3325" s="42">
        <f>IFERROR(INDEX('Semrush Data'!$A$1:$Z$20000,MATCH(A3325,'Semrush Data'!$A$1:$A$20000,0),MATCH("Keyword Difficulty*",'Semrush Data'!$A$1:$Z$1,0)),"")</f>
        <v/>
      </c>
      <c r="I3325" s="56">
        <f>IFERROR(INDEX('Semrush Data'!$A$1:$Z$20000,MATCH(A3325,'Semrush Data'!$A$1:$A$20000,0),MATCH("CPC*",'Semrush Data'!$A$1:$Z$1,0)),"")</f>
        <v/>
      </c>
      <c r="J3325" s="42">
        <f>IFERROR(INDEX('Semrush Data'!$A$1:$Z$20000,MATCH(A3325,'Semrush Data'!$A$1:$A$20000,0),MATCH("Intent",'Semrush Data'!$A$1:$Z$1,0)),"")</f>
        <v/>
      </c>
    </row>
    <row r="3326" ht="15" customHeight="1" s="37">
      <c r="A3326" s="42" t="inlineStr">
        <is>
          <t>chloe nomade nuit d'egypte price</t>
        </is>
      </c>
      <c r="B3326" s="42" t="inlineStr">
        <is>
          <t>Price</t>
        </is>
      </c>
      <c r="C3326" s="42" t="n">
        <v>3</v>
      </c>
      <c r="D3326" s="42" t="n">
        <v>34</v>
      </c>
      <c r="E3326" s="42" t="n">
        <v>1</v>
      </c>
      <c r="F3326" s="42" t="inlineStr">
        <is>
          <t>FR-097</t>
        </is>
      </c>
      <c r="G3326" s="55">
        <f>IFERROR(INDEX('Semrush Data'!$A$1:$Z$20000,MATCH(A3326,'Semrush Data'!$A$1:$A$20000,0),MATCH("Volume",'Semrush Data'!$A$1:$Z$1,0)),"")</f>
        <v/>
      </c>
      <c r="H3326" s="42">
        <f>IFERROR(INDEX('Semrush Data'!$A$1:$Z$20000,MATCH(A3326,'Semrush Data'!$A$1:$A$20000,0),MATCH("Keyword Difficulty*",'Semrush Data'!$A$1:$Z$1,0)),"")</f>
        <v/>
      </c>
      <c r="I3326" s="56">
        <f>IFERROR(INDEX('Semrush Data'!$A$1:$Z$20000,MATCH(A3326,'Semrush Data'!$A$1:$A$20000,0),MATCH("CPC*",'Semrush Data'!$A$1:$Z$1,0)),"")</f>
        <v/>
      </c>
      <c r="J3326" s="42">
        <f>IFERROR(INDEX('Semrush Data'!$A$1:$Z$20000,MATCH(A3326,'Semrush Data'!$A$1:$A$20000,0),MATCH("Intent",'Semrush Data'!$A$1:$Z$1,0)),"")</f>
        <v/>
      </c>
    </row>
    <row r="3327" ht="15" customHeight="1" s="37">
      <c r="A3327" s="42" t="inlineStr">
        <is>
          <t>chloe nomade price</t>
        </is>
      </c>
      <c r="B3327" s="42" t="inlineStr">
        <is>
          <t>Price</t>
        </is>
      </c>
      <c r="C3327" s="42" t="n">
        <v>3</v>
      </c>
      <c r="D3327" s="42" t="inlineStr">
        <is>
          <t>T3-1</t>
        </is>
      </c>
      <c r="E3327" s="42" t="n">
        <v>2</v>
      </c>
      <c r="F3327" s="42" t="inlineStr">
        <is>
          <t>FR-095, FR-099</t>
        </is>
      </c>
      <c r="G3327" s="55">
        <f>IFERROR(INDEX('Semrush Data'!$A$1:$Z$20000,MATCH(A3327,'Semrush Data'!$A$1:$A$20000,0),MATCH("Volume",'Semrush Data'!$A$1:$Z$1,0)),"")</f>
        <v/>
      </c>
      <c r="H3327" s="42">
        <f>IFERROR(INDEX('Semrush Data'!$A$1:$Z$20000,MATCH(A3327,'Semrush Data'!$A$1:$A$20000,0),MATCH("Keyword Difficulty*",'Semrush Data'!$A$1:$Z$1,0)),"")</f>
        <v/>
      </c>
      <c r="I3327" s="56">
        <f>IFERROR(INDEX('Semrush Data'!$A$1:$Z$20000,MATCH(A3327,'Semrush Data'!$A$1:$A$20000,0),MATCH("CPC*",'Semrush Data'!$A$1:$Z$1,0)),"")</f>
        <v/>
      </c>
      <c r="J3327" s="42">
        <f>IFERROR(INDEX('Semrush Data'!$A$1:$Z$20000,MATCH(A3327,'Semrush Data'!$A$1:$A$20000,0),MATCH("Intent",'Semrush Data'!$A$1:$Z$1,0)),"")</f>
        <v/>
      </c>
    </row>
    <row r="3328" ht="15" customHeight="1" s="37">
      <c r="A3328" s="42" t="inlineStr">
        <is>
          <t>chloe rose naturelle intense price</t>
        </is>
      </c>
      <c r="B3328" s="42" t="inlineStr">
        <is>
          <t>Price</t>
        </is>
      </c>
      <c r="C3328" s="42" t="n">
        <v>3</v>
      </c>
      <c r="D3328" s="42" t="n">
        <v>34</v>
      </c>
      <c r="E3328" s="42" t="n">
        <v>1</v>
      </c>
      <c r="F3328" s="42" t="inlineStr">
        <is>
          <t>FR-098</t>
        </is>
      </c>
      <c r="G3328" s="55">
        <f>IFERROR(INDEX('Semrush Data'!$A$1:$Z$20000,MATCH(A3328,'Semrush Data'!$A$1:$A$20000,0),MATCH("Volume",'Semrush Data'!$A$1:$Z$1,0)),"")</f>
        <v/>
      </c>
      <c r="H3328" s="42">
        <f>IFERROR(INDEX('Semrush Data'!$A$1:$Z$20000,MATCH(A3328,'Semrush Data'!$A$1:$A$20000,0),MATCH("Keyword Difficulty*",'Semrush Data'!$A$1:$Z$1,0)),"")</f>
        <v/>
      </c>
      <c r="I3328" s="56">
        <f>IFERROR(INDEX('Semrush Data'!$A$1:$Z$20000,MATCH(A3328,'Semrush Data'!$A$1:$A$20000,0),MATCH("CPC*",'Semrush Data'!$A$1:$Z$1,0)),"")</f>
        <v/>
      </c>
      <c r="J3328" s="42">
        <f>IFERROR(INDEX('Semrush Data'!$A$1:$Z$20000,MATCH(A3328,'Semrush Data'!$A$1:$A$20000,0),MATCH("Intent",'Semrush Data'!$A$1:$Z$1,0)),"")</f>
        <v/>
      </c>
    </row>
    <row r="3329" ht="15" customHeight="1" s="37">
      <c r="A3329" s="42" t="inlineStr">
        <is>
          <t>chopard amber malaki price</t>
        </is>
      </c>
      <c r="B3329" s="42" t="inlineStr">
        <is>
          <t>Price</t>
        </is>
      </c>
      <c r="C3329" s="42" t="n">
        <v>3</v>
      </c>
      <c r="D3329" s="42" t="n">
        <v>34</v>
      </c>
      <c r="E3329" s="42" t="n">
        <v>1</v>
      </c>
      <c r="F3329" s="42" t="inlineStr">
        <is>
          <t>FR-102</t>
        </is>
      </c>
      <c r="G3329" s="55">
        <f>IFERROR(INDEX('Semrush Data'!$A$1:$Z$20000,MATCH(A3329,'Semrush Data'!$A$1:$A$20000,0),MATCH("Volume",'Semrush Data'!$A$1:$Z$1,0)),"")</f>
        <v/>
      </c>
      <c r="H3329" s="42">
        <f>IFERROR(INDEX('Semrush Data'!$A$1:$Z$20000,MATCH(A3329,'Semrush Data'!$A$1:$A$20000,0),MATCH("Keyword Difficulty*",'Semrush Data'!$A$1:$Z$1,0)),"")</f>
        <v/>
      </c>
      <c r="I3329" s="56">
        <f>IFERROR(INDEX('Semrush Data'!$A$1:$Z$20000,MATCH(A3329,'Semrush Data'!$A$1:$A$20000,0),MATCH("CPC*",'Semrush Data'!$A$1:$Z$1,0)),"")</f>
        <v/>
      </c>
      <c r="J3329" s="42">
        <f>IFERROR(INDEX('Semrush Data'!$A$1:$Z$20000,MATCH(A3329,'Semrush Data'!$A$1:$A$20000,0),MATCH("Intent",'Semrush Data'!$A$1:$Z$1,0)),"")</f>
        <v/>
      </c>
    </row>
    <row r="3330" ht="15" customHeight="1" s="37">
      <c r="A3330" s="42" t="inlineStr">
        <is>
          <t>chopard black incense malaki price</t>
        </is>
      </c>
      <c r="B3330" s="42" t="inlineStr">
        <is>
          <t>Price</t>
        </is>
      </c>
      <c r="C3330" s="42" t="n">
        <v>3</v>
      </c>
      <c r="D3330" s="42" t="n">
        <v>34</v>
      </c>
      <c r="E3330" s="42" t="n">
        <v>1</v>
      </c>
      <c r="F3330" s="42" t="inlineStr">
        <is>
          <t>FR-103</t>
        </is>
      </c>
      <c r="G3330" s="55">
        <f>IFERROR(INDEX('Semrush Data'!$A$1:$Z$20000,MATCH(A3330,'Semrush Data'!$A$1:$A$20000,0),MATCH("Volume",'Semrush Data'!$A$1:$Z$1,0)),"")</f>
        <v/>
      </c>
      <c r="H3330" s="42">
        <f>IFERROR(INDEX('Semrush Data'!$A$1:$Z$20000,MATCH(A3330,'Semrush Data'!$A$1:$A$20000,0),MATCH("Keyword Difficulty*",'Semrush Data'!$A$1:$Z$1,0)),"")</f>
        <v/>
      </c>
      <c r="I3330" s="56">
        <f>IFERROR(INDEX('Semrush Data'!$A$1:$Z$20000,MATCH(A3330,'Semrush Data'!$A$1:$A$20000,0),MATCH("CPC*",'Semrush Data'!$A$1:$Z$1,0)),"")</f>
        <v/>
      </c>
      <c r="J3330" s="42">
        <f>IFERROR(INDEX('Semrush Data'!$A$1:$Z$20000,MATCH(A3330,'Semrush Data'!$A$1:$A$20000,0),MATCH("Intent",'Semrush Data'!$A$1:$Z$1,0)),"")</f>
        <v/>
      </c>
    </row>
    <row r="3331" ht="15" customHeight="1" s="37">
      <c r="A3331" s="42" t="inlineStr">
        <is>
          <t>chopard gardens of paradise discovery set price</t>
        </is>
      </c>
      <c r="B3331" s="42" t="inlineStr">
        <is>
          <t>Price</t>
        </is>
      </c>
      <c r="C3331" s="42" t="n">
        <v>3</v>
      </c>
      <c r="D3331" s="42" t="n">
        <v>34</v>
      </c>
      <c r="E3331" s="42" t="n">
        <v>1</v>
      </c>
      <c r="F3331" s="42" t="inlineStr">
        <is>
          <t>FR-106</t>
        </is>
      </c>
      <c r="G3331" s="55">
        <f>IFERROR(INDEX('Semrush Data'!$A$1:$Z$20000,MATCH(A3331,'Semrush Data'!$A$1:$A$20000,0),MATCH("Volume",'Semrush Data'!$A$1:$Z$1,0)),"")</f>
        <v/>
      </c>
      <c r="H3331" s="42">
        <f>IFERROR(INDEX('Semrush Data'!$A$1:$Z$20000,MATCH(A3331,'Semrush Data'!$A$1:$A$20000,0),MATCH("Keyword Difficulty*",'Semrush Data'!$A$1:$Z$1,0)),"")</f>
        <v/>
      </c>
      <c r="I3331" s="56">
        <f>IFERROR(INDEX('Semrush Data'!$A$1:$Z$20000,MATCH(A3331,'Semrush Data'!$A$1:$A$20000,0),MATCH("CPC*",'Semrush Data'!$A$1:$Z$1,0)),"")</f>
        <v/>
      </c>
      <c r="J3331" s="42">
        <f>IFERROR(INDEX('Semrush Data'!$A$1:$Z$20000,MATCH(A3331,'Semrush Data'!$A$1:$A$20000,0),MATCH("Intent",'Semrush Data'!$A$1:$Z$1,0)),"")</f>
        <v/>
      </c>
    </row>
    <row r="3332" ht="15" customHeight="1" s="37">
      <c r="A3332" s="42" t="inlineStr">
        <is>
          <t>chopard imperiale iris malika price</t>
        </is>
      </c>
      <c r="B3332" s="42" t="inlineStr">
        <is>
          <t>Price</t>
        </is>
      </c>
      <c r="C3332" s="42" t="n">
        <v>3</v>
      </c>
      <c r="D3332" s="42" t="n">
        <v>34</v>
      </c>
      <c r="E3332" s="42" t="n">
        <v>1</v>
      </c>
      <c r="F3332" s="42" t="inlineStr">
        <is>
          <t>FR-104</t>
        </is>
      </c>
      <c r="G3332" s="55">
        <f>IFERROR(INDEX('Semrush Data'!$A$1:$Z$20000,MATCH(A3332,'Semrush Data'!$A$1:$A$20000,0),MATCH("Volume",'Semrush Data'!$A$1:$Z$1,0)),"")</f>
        <v/>
      </c>
      <c r="H3332" s="42">
        <f>IFERROR(INDEX('Semrush Data'!$A$1:$Z$20000,MATCH(A3332,'Semrush Data'!$A$1:$A$20000,0),MATCH("Keyword Difficulty*",'Semrush Data'!$A$1:$Z$1,0)),"")</f>
        <v/>
      </c>
      <c r="I3332" s="56">
        <f>IFERROR(INDEX('Semrush Data'!$A$1:$Z$20000,MATCH(A3332,'Semrush Data'!$A$1:$A$20000,0),MATCH("CPC*",'Semrush Data'!$A$1:$Z$1,0)),"")</f>
        <v/>
      </c>
      <c r="J3332" s="42">
        <f>IFERROR(INDEX('Semrush Data'!$A$1:$Z$20000,MATCH(A3332,'Semrush Data'!$A$1:$A$20000,0),MATCH("Intent",'Semrush Data'!$A$1:$Z$1,0)),"")</f>
        <v/>
      </c>
    </row>
    <row r="3333" ht="15" customHeight="1" s="37">
      <c r="A3333" s="42" t="inlineStr">
        <is>
          <t>chopard oud malaki price</t>
        </is>
      </c>
      <c r="B3333" s="42" t="inlineStr">
        <is>
          <t>Price</t>
        </is>
      </c>
      <c r="C3333" s="42" t="n">
        <v>3</v>
      </c>
      <c r="D3333" s="42" t="n">
        <v>34</v>
      </c>
      <c r="E3333" s="42" t="n">
        <v>1</v>
      </c>
      <c r="F3333" s="42" t="inlineStr">
        <is>
          <t>FR-105</t>
        </is>
      </c>
      <c r="G3333" s="55">
        <f>IFERROR(INDEX('Semrush Data'!$A$1:$Z$20000,MATCH(A3333,'Semrush Data'!$A$1:$A$20000,0),MATCH("Volume",'Semrush Data'!$A$1:$Z$1,0)),"")</f>
        <v/>
      </c>
      <c r="H3333" s="42">
        <f>IFERROR(INDEX('Semrush Data'!$A$1:$Z$20000,MATCH(A3333,'Semrush Data'!$A$1:$A$20000,0),MATCH("Keyword Difficulty*",'Semrush Data'!$A$1:$Z$1,0)),"")</f>
        <v/>
      </c>
      <c r="I3333" s="56">
        <f>IFERROR(INDEX('Semrush Data'!$A$1:$Z$20000,MATCH(A3333,'Semrush Data'!$A$1:$A$20000,0),MATCH("CPC*",'Semrush Data'!$A$1:$Z$1,0)),"")</f>
        <v/>
      </c>
      <c r="J3333" s="42">
        <f>IFERROR(INDEX('Semrush Data'!$A$1:$Z$20000,MATCH(A3333,'Semrush Data'!$A$1:$A$20000,0),MATCH("Intent",'Semrush Data'!$A$1:$Z$1,0)),"")</f>
        <v/>
      </c>
    </row>
    <row r="3334" ht="15" customHeight="1" s="37">
      <c r="A3334" s="42" t="inlineStr">
        <is>
          <t>chris adams black shadow pour homme price</t>
        </is>
      </c>
      <c r="B3334" s="42" t="inlineStr">
        <is>
          <t>Price</t>
        </is>
      </c>
      <c r="C3334" s="42" t="n">
        <v>3</v>
      </c>
      <c r="D3334" s="42" t="n">
        <v>34</v>
      </c>
      <c r="E3334" s="42" t="n">
        <v>1</v>
      </c>
      <c r="F3334" s="42" t="inlineStr">
        <is>
          <t>FR-108</t>
        </is>
      </c>
      <c r="G3334" s="55">
        <f>IFERROR(INDEX('Semrush Data'!$A$1:$Z$20000,MATCH(A3334,'Semrush Data'!$A$1:$A$20000,0),MATCH("Volume",'Semrush Data'!$A$1:$Z$1,0)),"")</f>
        <v/>
      </c>
      <c r="H3334" s="42">
        <f>IFERROR(INDEX('Semrush Data'!$A$1:$Z$20000,MATCH(A3334,'Semrush Data'!$A$1:$A$20000,0),MATCH("Keyword Difficulty*",'Semrush Data'!$A$1:$Z$1,0)),"")</f>
        <v/>
      </c>
      <c r="I3334" s="56">
        <f>IFERROR(INDEX('Semrush Data'!$A$1:$Z$20000,MATCH(A3334,'Semrush Data'!$A$1:$A$20000,0),MATCH("CPC*",'Semrush Data'!$A$1:$Z$1,0)),"")</f>
        <v/>
      </c>
      <c r="J3334" s="42">
        <f>IFERROR(INDEX('Semrush Data'!$A$1:$Z$20000,MATCH(A3334,'Semrush Data'!$A$1:$A$20000,0),MATCH("Intent",'Semrush Data'!$A$1:$Z$1,0)),"")</f>
        <v/>
      </c>
    </row>
    <row r="3335" ht="15" customHeight="1" s="37">
      <c r="A3335" s="42" t="inlineStr">
        <is>
          <t>chris adams ca dx 77 pour homme price</t>
        </is>
      </c>
      <c r="B3335" s="42" t="inlineStr">
        <is>
          <t>Price</t>
        </is>
      </c>
      <c r="C3335" s="42" t="n">
        <v>3</v>
      </c>
      <c r="D3335" s="42" t="n">
        <v>34</v>
      </c>
      <c r="E3335" s="42" t="n">
        <v>1</v>
      </c>
      <c r="F3335" s="42" t="inlineStr">
        <is>
          <t>FR-107</t>
        </is>
      </c>
      <c r="G3335" s="55">
        <f>IFERROR(INDEX('Semrush Data'!$A$1:$Z$20000,MATCH(A3335,'Semrush Data'!$A$1:$A$20000,0),MATCH("Volume",'Semrush Data'!$A$1:$Z$1,0)),"")</f>
        <v/>
      </c>
      <c r="H3335" s="42">
        <f>IFERROR(INDEX('Semrush Data'!$A$1:$Z$20000,MATCH(A3335,'Semrush Data'!$A$1:$A$20000,0),MATCH("Keyword Difficulty*",'Semrush Data'!$A$1:$Z$1,0)),"")</f>
        <v/>
      </c>
      <c r="I3335" s="56">
        <f>IFERROR(INDEX('Semrush Data'!$A$1:$Z$20000,MATCH(A3335,'Semrush Data'!$A$1:$A$20000,0),MATCH("CPC*",'Semrush Data'!$A$1:$Z$1,0)),"")</f>
        <v/>
      </c>
      <c r="J3335" s="42">
        <f>IFERROR(INDEX('Semrush Data'!$A$1:$Z$20000,MATCH(A3335,'Semrush Data'!$A$1:$A$20000,0),MATCH("Intent",'Semrush Data'!$A$1:$Z$1,0)),"")</f>
        <v/>
      </c>
    </row>
    <row r="3336" ht="15" customHeight="1" s="37">
      <c r="A3336" s="42" t="inlineStr">
        <is>
          <t>davidoff champion price</t>
        </is>
      </c>
      <c r="B3336" s="42" t="inlineStr">
        <is>
          <t>Price</t>
        </is>
      </c>
      <c r="C3336" s="42" t="n">
        <v>3</v>
      </c>
      <c r="D3336" s="42" t="n">
        <v>34</v>
      </c>
      <c r="E3336" s="42" t="n">
        <v>1</v>
      </c>
      <c r="F3336" s="42" t="inlineStr">
        <is>
          <t>FR-110</t>
        </is>
      </c>
      <c r="G3336" s="55">
        <f>IFERROR(INDEX('Semrush Data'!$A$1:$Z$20000,MATCH(A3336,'Semrush Data'!$A$1:$A$20000,0),MATCH("Volume",'Semrush Data'!$A$1:$Z$1,0)),"")</f>
        <v/>
      </c>
      <c r="H3336" s="42">
        <f>IFERROR(INDEX('Semrush Data'!$A$1:$Z$20000,MATCH(A3336,'Semrush Data'!$A$1:$A$20000,0),MATCH("Keyword Difficulty*",'Semrush Data'!$A$1:$Z$1,0)),"")</f>
        <v/>
      </c>
      <c r="I3336" s="56">
        <f>IFERROR(INDEX('Semrush Data'!$A$1:$Z$20000,MATCH(A3336,'Semrush Data'!$A$1:$A$20000,0),MATCH("CPC*",'Semrush Data'!$A$1:$Z$1,0)),"")</f>
        <v/>
      </c>
      <c r="J3336" s="42">
        <f>IFERROR(INDEX('Semrush Data'!$A$1:$Z$20000,MATCH(A3336,'Semrush Data'!$A$1:$A$20000,0),MATCH("Intent",'Semrush Data'!$A$1:$Z$1,0)),"")</f>
        <v/>
      </c>
    </row>
    <row r="3337" ht="15" customHeight="1" s="37">
      <c r="A3337" s="42" t="inlineStr">
        <is>
          <t>davidoff cool water reborn intense price</t>
        </is>
      </c>
      <c r="B3337" s="42" t="inlineStr">
        <is>
          <t>Price</t>
        </is>
      </c>
      <c r="C3337" s="42" t="n">
        <v>3</v>
      </c>
      <c r="D3337" s="42" t="n">
        <v>34</v>
      </c>
      <c r="E3337" s="42" t="n">
        <v>1</v>
      </c>
      <c r="F3337" s="42" t="inlineStr">
        <is>
          <t>FR-109</t>
        </is>
      </c>
      <c r="G3337" s="55">
        <f>IFERROR(INDEX('Semrush Data'!$A$1:$Z$20000,MATCH(A3337,'Semrush Data'!$A$1:$A$20000,0),MATCH("Volume",'Semrush Data'!$A$1:$Z$1,0)),"")</f>
        <v/>
      </c>
      <c r="H3337" s="42">
        <f>IFERROR(INDEX('Semrush Data'!$A$1:$Z$20000,MATCH(A3337,'Semrush Data'!$A$1:$A$20000,0),MATCH("Keyword Difficulty*",'Semrush Data'!$A$1:$Z$1,0)),"")</f>
        <v/>
      </c>
      <c r="I3337" s="56">
        <f>IFERROR(INDEX('Semrush Data'!$A$1:$Z$20000,MATCH(A3337,'Semrush Data'!$A$1:$A$20000,0),MATCH("CPC*",'Semrush Data'!$A$1:$Z$1,0)),"")</f>
        <v/>
      </c>
      <c r="J3337" s="42">
        <f>IFERROR(INDEX('Semrush Data'!$A$1:$Z$20000,MATCH(A3337,'Semrush Data'!$A$1:$A$20000,0),MATCH("Intent",'Semrush Data'!$A$1:$Z$1,0)),"")</f>
        <v/>
      </c>
    </row>
    <row r="3338" ht="15" customHeight="1" s="37">
      <c r="A3338" s="42" t="inlineStr">
        <is>
          <t>davidoff indigo price</t>
        </is>
      </c>
      <c r="B3338" s="42" t="inlineStr">
        <is>
          <t>Price</t>
        </is>
      </c>
      <c r="C3338" s="42" t="n">
        <v>3</v>
      </c>
      <c r="D3338" s="42" t="n">
        <v>34</v>
      </c>
      <c r="E3338" s="42" t="n">
        <v>1</v>
      </c>
      <c r="F3338" s="42" t="inlineStr">
        <is>
          <t>FR-111</t>
        </is>
      </c>
      <c r="G3338" s="55">
        <f>IFERROR(INDEX('Semrush Data'!$A$1:$Z$20000,MATCH(A3338,'Semrush Data'!$A$1:$A$20000,0),MATCH("Volume",'Semrush Data'!$A$1:$Z$1,0)),"")</f>
        <v/>
      </c>
      <c r="H3338" s="42">
        <f>IFERROR(INDEX('Semrush Data'!$A$1:$Z$20000,MATCH(A3338,'Semrush Data'!$A$1:$A$20000,0),MATCH("Keyword Difficulty*",'Semrush Data'!$A$1:$Z$1,0)),"")</f>
        <v/>
      </c>
      <c r="I3338" s="56">
        <f>IFERROR(INDEX('Semrush Data'!$A$1:$Z$20000,MATCH(A3338,'Semrush Data'!$A$1:$A$20000,0),MATCH("CPC*",'Semrush Data'!$A$1:$Z$1,0)),"")</f>
        <v/>
      </c>
      <c r="J3338" s="42">
        <f>IFERROR(INDEX('Semrush Data'!$A$1:$Z$20000,MATCH(A3338,'Semrush Data'!$A$1:$A$20000,0),MATCH("Intent",'Semrush Data'!$A$1:$Z$1,0)),"")</f>
        <v/>
      </c>
    </row>
    <row r="3339" ht="15" customHeight="1" s="37">
      <c r="A3339" s="42" t="inlineStr">
        <is>
          <t>davidoff the game price</t>
        </is>
      </c>
      <c r="B3339" s="42" t="inlineStr">
        <is>
          <t>Price</t>
        </is>
      </c>
      <c r="C3339" s="42" t="n">
        <v>3</v>
      </c>
      <c r="D3339" s="42" t="n">
        <v>34</v>
      </c>
      <c r="E3339" s="42" t="n">
        <v>1</v>
      </c>
      <c r="F3339" s="42" t="inlineStr">
        <is>
          <t>FR-112</t>
        </is>
      </c>
      <c r="G3339" s="55">
        <f>IFERROR(INDEX('Semrush Data'!$A$1:$Z$20000,MATCH(A3339,'Semrush Data'!$A$1:$A$20000,0),MATCH("Volume",'Semrush Data'!$A$1:$Z$1,0)),"")</f>
        <v/>
      </c>
      <c r="H3339" s="42">
        <f>IFERROR(INDEX('Semrush Data'!$A$1:$Z$20000,MATCH(A3339,'Semrush Data'!$A$1:$A$20000,0),MATCH("Keyword Difficulty*",'Semrush Data'!$A$1:$Z$1,0)),"")</f>
        <v/>
      </c>
      <c r="I3339" s="56">
        <f>IFERROR(INDEX('Semrush Data'!$A$1:$Z$20000,MATCH(A3339,'Semrush Data'!$A$1:$A$20000,0),MATCH("CPC*",'Semrush Data'!$A$1:$Z$1,0)),"")</f>
        <v/>
      </c>
      <c r="J3339" s="42">
        <f>IFERROR(INDEX('Semrush Data'!$A$1:$Z$20000,MATCH(A3339,'Semrush Data'!$A$1:$A$20000,0),MATCH("Intent",'Semrush Data'!$A$1:$Z$1,0)),"")</f>
        <v/>
      </c>
    </row>
    <row r="3340" ht="15" customHeight="1" s="37">
      <c r="A3340" s="42" t="inlineStr">
        <is>
          <t>deyga 10% vitamin c face serum price</t>
        </is>
      </c>
      <c r="B3340" s="42" t="inlineStr">
        <is>
          <t>Price</t>
        </is>
      </c>
      <c r="C3340" s="42" t="n">
        <v>3</v>
      </c>
      <c r="D3340" s="42" t="n">
        <v>34</v>
      </c>
      <c r="E3340" s="42" t="n">
        <v>1</v>
      </c>
      <c r="F3340" s="42" t="inlineStr">
        <is>
          <t>VD-134</t>
        </is>
      </c>
      <c r="G3340" s="55">
        <f>IFERROR(INDEX('Semrush Data'!$A$1:$Z$20000,MATCH(A3340,'Semrush Data'!$A$1:$A$20000,0),MATCH("Volume",'Semrush Data'!$A$1:$Z$1,0)),"")</f>
        <v/>
      </c>
      <c r="H3340" s="42">
        <f>IFERROR(INDEX('Semrush Data'!$A$1:$Z$20000,MATCH(A3340,'Semrush Data'!$A$1:$A$20000,0),MATCH("Keyword Difficulty*",'Semrush Data'!$A$1:$Z$1,0)),"")</f>
        <v/>
      </c>
      <c r="I3340" s="56">
        <f>IFERROR(INDEX('Semrush Data'!$A$1:$Z$20000,MATCH(A3340,'Semrush Data'!$A$1:$A$20000,0),MATCH("CPC*",'Semrush Data'!$A$1:$Z$1,0)),"")</f>
        <v/>
      </c>
      <c r="J3340" s="42">
        <f>IFERROR(INDEX('Semrush Data'!$A$1:$Z$20000,MATCH(A3340,'Semrush Data'!$A$1:$A$20000,0),MATCH("Intent",'Semrush Data'!$A$1:$Z$1,0)),"")</f>
        <v/>
      </c>
    </row>
    <row r="3341" ht="15" customHeight="1" s="37">
      <c r="A3341" s="42" t="inlineStr">
        <is>
          <t>deyga 2% hyaluronic acid serum price</t>
        </is>
      </c>
      <c r="B3341" s="42" t="inlineStr">
        <is>
          <t>Price</t>
        </is>
      </c>
      <c r="C3341" s="42" t="n">
        <v>3</v>
      </c>
      <c r="D3341" s="42" t="n">
        <v>34</v>
      </c>
      <c r="E3341" s="42" t="n">
        <v>1</v>
      </c>
      <c r="F3341" s="42" t="inlineStr">
        <is>
          <t>VD-087</t>
        </is>
      </c>
      <c r="G3341" s="55">
        <f>IFERROR(INDEX('Semrush Data'!$A$1:$Z$20000,MATCH(A3341,'Semrush Data'!$A$1:$A$20000,0),MATCH("Volume",'Semrush Data'!$A$1:$Z$1,0)),"")</f>
        <v/>
      </c>
      <c r="H3341" s="42">
        <f>IFERROR(INDEX('Semrush Data'!$A$1:$Z$20000,MATCH(A3341,'Semrush Data'!$A$1:$A$20000,0),MATCH("Keyword Difficulty*",'Semrush Data'!$A$1:$Z$1,0)),"")</f>
        <v/>
      </c>
      <c r="I3341" s="56">
        <f>IFERROR(INDEX('Semrush Data'!$A$1:$Z$20000,MATCH(A3341,'Semrush Data'!$A$1:$A$20000,0),MATCH("CPC*",'Semrush Data'!$A$1:$Z$1,0)),"")</f>
        <v/>
      </c>
      <c r="J3341" s="42">
        <f>IFERROR(INDEX('Semrush Data'!$A$1:$Z$20000,MATCH(A3341,'Semrush Data'!$A$1:$A$20000,0),MATCH("Intent",'Semrush Data'!$A$1:$Z$1,0)),"")</f>
        <v/>
      </c>
    </row>
    <row r="3342" ht="15" customHeight="1" s="37">
      <c r="A3342" s="42" t="inlineStr">
        <is>
          <t>deyga abc kit price</t>
        </is>
      </c>
      <c r="B3342" s="42" t="inlineStr">
        <is>
          <t>Price</t>
        </is>
      </c>
      <c r="C3342" s="42" t="n">
        <v>3</v>
      </c>
      <c r="D3342" s="42" t="n">
        <v>34</v>
      </c>
      <c r="E3342" s="42" t="n">
        <v>1</v>
      </c>
      <c r="F3342" s="42" t="inlineStr">
        <is>
          <t>VD-149</t>
        </is>
      </c>
      <c r="G3342" s="55">
        <f>IFERROR(INDEX('Semrush Data'!$A$1:$Z$20000,MATCH(A3342,'Semrush Data'!$A$1:$A$20000,0),MATCH("Volume",'Semrush Data'!$A$1:$Z$1,0)),"")</f>
        <v/>
      </c>
      <c r="H3342" s="42">
        <f>IFERROR(INDEX('Semrush Data'!$A$1:$Z$20000,MATCH(A3342,'Semrush Data'!$A$1:$A$20000,0),MATCH("Keyword Difficulty*",'Semrush Data'!$A$1:$Z$1,0)),"")</f>
        <v/>
      </c>
      <c r="I3342" s="56">
        <f>IFERROR(INDEX('Semrush Data'!$A$1:$Z$20000,MATCH(A3342,'Semrush Data'!$A$1:$A$20000,0),MATCH("CPC*",'Semrush Data'!$A$1:$Z$1,0)),"")</f>
        <v/>
      </c>
      <c r="J3342" s="42">
        <f>IFERROR(INDEX('Semrush Data'!$A$1:$Z$20000,MATCH(A3342,'Semrush Data'!$A$1:$A$20000,0),MATCH("Intent",'Semrush Data'!$A$1:$Z$1,0)),"")</f>
        <v/>
      </c>
    </row>
    <row r="3343" ht="15" customHeight="1" s="37">
      <c r="A3343" s="42" t="inlineStr">
        <is>
          <t>deyga acne relief combo price</t>
        </is>
      </c>
      <c r="B3343" s="42" t="inlineStr">
        <is>
          <t>Price</t>
        </is>
      </c>
      <c r="C3343" s="42" t="n">
        <v>3</v>
      </c>
      <c r="D3343" s="42" t="n">
        <v>34</v>
      </c>
      <c r="E3343" s="42" t="n">
        <v>1</v>
      </c>
      <c r="F3343" s="42" t="inlineStr">
        <is>
          <t>VD-138</t>
        </is>
      </c>
      <c r="G3343" s="55">
        <f>IFERROR(INDEX('Semrush Data'!$A$1:$Z$20000,MATCH(A3343,'Semrush Data'!$A$1:$A$20000,0),MATCH("Volume",'Semrush Data'!$A$1:$Z$1,0)),"")</f>
        <v/>
      </c>
      <c r="H3343" s="42">
        <f>IFERROR(INDEX('Semrush Data'!$A$1:$Z$20000,MATCH(A3343,'Semrush Data'!$A$1:$A$20000,0),MATCH("Keyword Difficulty*",'Semrush Data'!$A$1:$Z$1,0)),"")</f>
        <v/>
      </c>
      <c r="I3343" s="56">
        <f>IFERROR(INDEX('Semrush Data'!$A$1:$Z$20000,MATCH(A3343,'Semrush Data'!$A$1:$A$20000,0),MATCH("CPC*",'Semrush Data'!$A$1:$Z$1,0)),"")</f>
        <v/>
      </c>
      <c r="J3343" s="42">
        <f>IFERROR(INDEX('Semrush Data'!$A$1:$Z$20000,MATCH(A3343,'Semrush Data'!$A$1:$A$20000,0),MATCH("Intent",'Semrush Data'!$A$1:$Z$1,0)),"")</f>
        <v/>
      </c>
    </row>
    <row r="3344" ht="15" customHeight="1" s="37">
      <c r="A3344" s="42" t="inlineStr">
        <is>
          <t>deyga acne vanishing combo price</t>
        </is>
      </c>
      <c r="B3344" s="42" t="inlineStr">
        <is>
          <t>Price</t>
        </is>
      </c>
      <c r="C3344" s="42" t="n">
        <v>3</v>
      </c>
      <c r="D3344" s="42" t="n">
        <v>34</v>
      </c>
      <c r="E3344" s="42" t="n">
        <v>1</v>
      </c>
      <c r="F3344" s="42" t="inlineStr">
        <is>
          <t>VD-139</t>
        </is>
      </c>
      <c r="G3344" s="55">
        <f>IFERROR(INDEX('Semrush Data'!$A$1:$Z$20000,MATCH(A3344,'Semrush Data'!$A$1:$A$20000,0),MATCH("Volume",'Semrush Data'!$A$1:$Z$1,0)),"")</f>
        <v/>
      </c>
      <c r="H3344" s="42">
        <f>IFERROR(INDEX('Semrush Data'!$A$1:$Z$20000,MATCH(A3344,'Semrush Data'!$A$1:$A$20000,0),MATCH("Keyword Difficulty*",'Semrush Data'!$A$1:$Z$1,0)),"")</f>
        <v/>
      </c>
      <c r="I3344" s="56">
        <f>IFERROR(INDEX('Semrush Data'!$A$1:$Z$20000,MATCH(A3344,'Semrush Data'!$A$1:$A$20000,0),MATCH("CPC*",'Semrush Data'!$A$1:$Z$1,0)),"")</f>
        <v/>
      </c>
      <c r="J3344" s="42">
        <f>IFERROR(INDEX('Semrush Data'!$A$1:$Z$20000,MATCH(A3344,'Semrush Data'!$A$1:$A$20000,0),MATCH("Intent",'Semrush Data'!$A$1:$Z$1,0)),"")</f>
        <v/>
      </c>
    </row>
    <row r="3345" ht="15" customHeight="1" s="37">
      <c r="A3345" s="42" t="inlineStr">
        <is>
          <t>deyga activated charcoal body wash price</t>
        </is>
      </c>
      <c r="B3345" s="42" t="inlineStr">
        <is>
          <t>Price</t>
        </is>
      </c>
      <c r="C3345" s="42" t="n">
        <v>3</v>
      </c>
      <c r="D3345" s="42" t="n">
        <v>34</v>
      </c>
      <c r="E3345" s="42" t="n">
        <v>1</v>
      </c>
      <c r="F3345" s="42" t="inlineStr">
        <is>
          <t>VD-084</t>
        </is>
      </c>
      <c r="G3345" s="55">
        <f>IFERROR(INDEX('Semrush Data'!$A$1:$Z$20000,MATCH(A3345,'Semrush Data'!$A$1:$A$20000,0),MATCH("Volume",'Semrush Data'!$A$1:$Z$1,0)),"")</f>
        <v/>
      </c>
      <c r="H3345" s="42">
        <f>IFERROR(INDEX('Semrush Data'!$A$1:$Z$20000,MATCH(A3345,'Semrush Data'!$A$1:$A$20000,0),MATCH("Keyword Difficulty*",'Semrush Data'!$A$1:$Z$1,0)),"")</f>
        <v/>
      </c>
      <c r="I3345" s="56">
        <f>IFERROR(INDEX('Semrush Data'!$A$1:$Z$20000,MATCH(A3345,'Semrush Data'!$A$1:$A$20000,0),MATCH("CPC*",'Semrush Data'!$A$1:$Z$1,0)),"")</f>
        <v/>
      </c>
      <c r="J3345" s="42">
        <f>IFERROR(INDEX('Semrush Data'!$A$1:$Z$20000,MATCH(A3345,'Semrush Data'!$A$1:$A$20000,0),MATCH("Intent",'Semrush Data'!$A$1:$Z$1,0)),"")</f>
        <v/>
      </c>
    </row>
    <row r="3346" ht="15" customHeight="1" s="37">
      <c r="A3346" s="42" t="inlineStr">
        <is>
          <t>deyga almond milk body lotion price</t>
        </is>
      </c>
      <c r="B3346" s="42" t="inlineStr">
        <is>
          <t>Price</t>
        </is>
      </c>
      <c r="C3346" s="42" t="n">
        <v>3</v>
      </c>
      <c r="D3346" s="42" t="n">
        <v>34</v>
      </c>
      <c r="E3346" s="42" t="n">
        <v>1</v>
      </c>
      <c r="F3346" s="42" t="inlineStr">
        <is>
          <t>VD-114</t>
        </is>
      </c>
      <c r="G3346" s="55">
        <f>IFERROR(INDEX('Semrush Data'!$A$1:$Z$20000,MATCH(A3346,'Semrush Data'!$A$1:$A$20000,0),MATCH("Volume",'Semrush Data'!$A$1:$Z$1,0)),"")</f>
        <v/>
      </c>
      <c r="H3346" s="42">
        <f>IFERROR(INDEX('Semrush Data'!$A$1:$Z$20000,MATCH(A3346,'Semrush Data'!$A$1:$A$20000,0),MATCH("Keyword Difficulty*",'Semrush Data'!$A$1:$Z$1,0)),"")</f>
        <v/>
      </c>
      <c r="I3346" s="56">
        <f>IFERROR(INDEX('Semrush Data'!$A$1:$Z$20000,MATCH(A3346,'Semrush Data'!$A$1:$A$20000,0),MATCH("CPC*",'Semrush Data'!$A$1:$Z$1,0)),"")</f>
        <v/>
      </c>
      <c r="J3346" s="42">
        <f>IFERROR(INDEX('Semrush Data'!$A$1:$Z$20000,MATCH(A3346,'Semrush Data'!$A$1:$A$20000,0),MATCH("Intent",'Semrush Data'!$A$1:$Z$1,0)),"")</f>
        <v/>
      </c>
    </row>
    <row r="3347" ht="15" customHeight="1" s="37">
      <c r="A3347" s="42" t="inlineStr">
        <is>
          <t>deyga anti dandruff shampoo price</t>
        </is>
      </c>
      <c r="B3347" s="42" t="inlineStr">
        <is>
          <t>Price</t>
        </is>
      </c>
      <c r="C3347" s="42" t="n">
        <v>3</v>
      </c>
      <c r="D3347" s="42" t="n">
        <v>34</v>
      </c>
      <c r="E3347" s="42" t="n">
        <v>1</v>
      </c>
      <c r="F3347" s="42" t="inlineStr">
        <is>
          <t>VD-130</t>
        </is>
      </c>
      <c r="G3347" s="55">
        <f>IFERROR(INDEX('Semrush Data'!$A$1:$Z$20000,MATCH(A3347,'Semrush Data'!$A$1:$A$20000,0),MATCH("Volume",'Semrush Data'!$A$1:$Z$1,0)),"")</f>
        <v/>
      </c>
      <c r="H3347" s="42">
        <f>IFERROR(INDEX('Semrush Data'!$A$1:$Z$20000,MATCH(A3347,'Semrush Data'!$A$1:$A$20000,0),MATCH("Keyword Difficulty*",'Semrush Data'!$A$1:$Z$1,0)),"")</f>
        <v/>
      </c>
      <c r="I3347" s="56">
        <f>IFERROR(INDEX('Semrush Data'!$A$1:$Z$20000,MATCH(A3347,'Semrush Data'!$A$1:$A$20000,0),MATCH("CPC*",'Semrush Data'!$A$1:$Z$1,0)),"")</f>
        <v/>
      </c>
      <c r="J3347" s="42">
        <f>IFERROR(INDEX('Semrush Data'!$A$1:$Z$20000,MATCH(A3347,'Semrush Data'!$A$1:$A$20000,0),MATCH("Intent",'Semrush Data'!$A$1:$Z$1,0)),"")</f>
        <v/>
      </c>
    </row>
    <row r="3348" ht="15" customHeight="1" s="37">
      <c r="A3348" s="42" t="inlineStr">
        <is>
          <t>deyga anti-dandruff oil price</t>
        </is>
      </c>
      <c r="B3348" s="42" t="inlineStr">
        <is>
          <t>Price</t>
        </is>
      </c>
      <c r="C3348" s="42" t="n">
        <v>3</v>
      </c>
      <c r="D3348" s="42" t="n">
        <v>34</v>
      </c>
      <c r="E3348" s="42" t="n">
        <v>1</v>
      </c>
      <c r="F3348" s="42" t="inlineStr">
        <is>
          <t>VD-090</t>
        </is>
      </c>
      <c r="G3348" s="55">
        <f>IFERROR(INDEX('Semrush Data'!$A$1:$Z$20000,MATCH(A3348,'Semrush Data'!$A$1:$A$20000,0),MATCH("Volume",'Semrush Data'!$A$1:$Z$1,0)),"")</f>
        <v/>
      </c>
      <c r="H3348" s="42">
        <f>IFERROR(INDEX('Semrush Data'!$A$1:$Z$20000,MATCH(A3348,'Semrush Data'!$A$1:$A$20000,0),MATCH("Keyword Difficulty*",'Semrush Data'!$A$1:$Z$1,0)),"")</f>
        <v/>
      </c>
      <c r="I3348" s="56">
        <f>IFERROR(INDEX('Semrush Data'!$A$1:$Z$20000,MATCH(A3348,'Semrush Data'!$A$1:$A$20000,0),MATCH("CPC*",'Semrush Data'!$A$1:$Z$1,0)),"")</f>
        <v/>
      </c>
      <c r="J3348" s="42">
        <f>IFERROR(INDEX('Semrush Data'!$A$1:$Z$20000,MATCH(A3348,'Semrush Data'!$A$1:$A$20000,0),MATCH("Intent",'Semrush Data'!$A$1:$Z$1,0)),"")</f>
        <v/>
      </c>
    </row>
    <row r="3349" ht="15" customHeight="1" s="37">
      <c r="A3349" s="42" t="inlineStr">
        <is>
          <t>deyga baby bath bar price</t>
        </is>
      </c>
      <c r="B3349" s="42" t="inlineStr">
        <is>
          <t>Price</t>
        </is>
      </c>
      <c r="C3349" s="42" t="n">
        <v>3</v>
      </c>
      <c r="D3349" s="42" t="n">
        <v>34</v>
      </c>
      <c r="E3349" s="42" t="n">
        <v>1</v>
      </c>
      <c r="F3349" s="42" t="inlineStr">
        <is>
          <t>VD-129</t>
        </is>
      </c>
      <c r="G3349" s="55">
        <f>IFERROR(INDEX('Semrush Data'!$A$1:$Z$20000,MATCH(A3349,'Semrush Data'!$A$1:$A$20000,0),MATCH("Volume",'Semrush Data'!$A$1:$Z$1,0)),"")</f>
        <v/>
      </c>
      <c r="H3349" s="42">
        <f>IFERROR(INDEX('Semrush Data'!$A$1:$Z$20000,MATCH(A3349,'Semrush Data'!$A$1:$A$20000,0),MATCH("Keyword Difficulty*",'Semrush Data'!$A$1:$Z$1,0)),"")</f>
        <v/>
      </c>
      <c r="I3349" s="56">
        <f>IFERROR(INDEX('Semrush Data'!$A$1:$Z$20000,MATCH(A3349,'Semrush Data'!$A$1:$A$20000,0),MATCH("CPC*",'Semrush Data'!$A$1:$Z$1,0)),"")</f>
        <v/>
      </c>
      <c r="J3349" s="42">
        <f>IFERROR(INDEX('Semrush Data'!$A$1:$Z$20000,MATCH(A3349,'Semrush Data'!$A$1:$A$20000,0),MATCH("Intent",'Semrush Data'!$A$1:$Z$1,0)),"")</f>
        <v/>
      </c>
    </row>
    <row r="3350" ht="15" customHeight="1" s="37">
      <c r="A3350" s="42" t="inlineStr">
        <is>
          <t>deyga beautifying serum price</t>
        </is>
      </c>
      <c r="B3350" s="42" t="inlineStr">
        <is>
          <t>Price</t>
        </is>
      </c>
      <c r="C3350" s="42" t="n">
        <v>3</v>
      </c>
      <c r="D3350" s="42" t="n">
        <v>34</v>
      </c>
      <c r="E3350" s="42" t="n">
        <v>1</v>
      </c>
      <c r="F3350" s="42" t="inlineStr">
        <is>
          <t>VD-120</t>
        </is>
      </c>
      <c r="G3350" s="55">
        <f>IFERROR(INDEX('Semrush Data'!$A$1:$Z$20000,MATCH(A3350,'Semrush Data'!$A$1:$A$20000,0),MATCH("Volume",'Semrush Data'!$A$1:$Z$1,0)),"")</f>
        <v/>
      </c>
      <c r="H3350" s="42">
        <f>IFERROR(INDEX('Semrush Data'!$A$1:$Z$20000,MATCH(A3350,'Semrush Data'!$A$1:$A$20000,0),MATCH("Keyword Difficulty*",'Semrush Data'!$A$1:$Z$1,0)),"")</f>
        <v/>
      </c>
      <c r="I3350" s="56">
        <f>IFERROR(INDEX('Semrush Data'!$A$1:$Z$20000,MATCH(A3350,'Semrush Data'!$A$1:$A$20000,0),MATCH("CPC*",'Semrush Data'!$A$1:$Z$1,0)),"")</f>
        <v/>
      </c>
      <c r="J3350" s="42">
        <f>IFERROR(INDEX('Semrush Data'!$A$1:$Z$20000,MATCH(A3350,'Semrush Data'!$A$1:$A$20000,0),MATCH("Intent",'Semrush Data'!$A$1:$Z$1,0)),"")</f>
        <v/>
      </c>
    </row>
    <row r="3351" ht="15" customHeight="1" s="37">
      <c r="A3351" s="42" t="inlineStr">
        <is>
          <t>deyga beetroot lip balm classic price</t>
        </is>
      </c>
      <c r="B3351" s="42" t="inlineStr">
        <is>
          <t>Price</t>
        </is>
      </c>
      <c r="C3351" s="42" t="n">
        <v>3</v>
      </c>
      <c r="D3351" s="42" t="n">
        <v>34</v>
      </c>
      <c r="E3351" s="42" t="n">
        <v>1</v>
      </c>
      <c r="F3351" s="42" t="inlineStr">
        <is>
          <t>VD-132</t>
        </is>
      </c>
      <c r="G3351" s="55">
        <f>IFERROR(INDEX('Semrush Data'!$A$1:$Z$20000,MATCH(A3351,'Semrush Data'!$A$1:$A$20000,0),MATCH("Volume",'Semrush Data'!$A$1:$Z$1,0)),"")</f>
        <v/>
      </c>
      <c r="H3351" s="42">
        <f>IFERROR(INDEX('Semrush Data'!$A$1:$Z$20000,MATCH(A3351,'Semrush Data'!$A$1:$A$20000,0),MATCH("Keyword Difficulty*",'Semrush Data'!$A$1:$Z$1,0)),"")</f>
        <v/>
      </c>
      <c r="I3351" s="56">
        <f>IFERROR(INDEX('Semrush Data'!$A$1:$Z$20000,MATCH(A3351,'Semrush Data'!$A$1:$A$20000,0),MATCH("CPC*",'Semrush Data'!$A$1:$Z$1,0)),"")</f>
        <v/>
      </c>
      <c r="J3351" s="42">
        <f>IFERROR(INDEX('Semrush Data'!$A$1:$Z$20000,MATCH(A3351,'Semrush Data'!$A$1:$A$20000,0),MATCH("Intent",'Semrush Data'!$A$1:$Z$1,0)),"")</f>
        <v/>
      </c>
    </row>
    <row r="3352" ht="15" customHeight="1" s="37">
      <c r="A3352" s="42" t="inlineStr">
        <is>
          <t>deyga beetroot lip balm stick price</t>
        </is>
      </c>
      <c r="B3352" s="42" t="inlineStr">
        <is>
          <t>Price</t>
        </is>
      </c>
      <c r="C3352" s="42" t="n">
        <v>3</v>
      </c>
      <c r="D3352" s="42" t="n">
        <v>34</v>
      </c>
      <c r="E3352" s="42" t="n">
        <v>1</v>
      </c>
      <c r="F3352" s="42" t="inlineStr">
        <is>
          <t>VD-117</t>
        </is>
      </c>
      <c r="G3352" s="55">
        <f>IFERROR(INDEX('Semrush Data'!$A$1:$Z$20000,MATCH(A3352,'Semrush Data'!$A$1:$A$20000,0),MATCH("Volume",'Semrush Data'!$A$1:$Z$1,0)),"")</f>
        <v/>
      </c>
      <c r="H3352" s="42">
        <f>IFERROR(INDEX('Semrush Data'!$A$1:$Z$20000,MATCH(A3352,'Semrush Data'!$A$1:$A$20000,0),MATCH("Keyword Difficulty*",'Semrush Data'!$A$1:$Z$1,0)),"")</f>
        <v/>
      </c>
      <c r="I3352" s="56">
        <f>IFERROR(INDEX('Semrush Data'!$A$1:$Z$20000,MATCH(A3352,'Semrush Data'!$A$1:$A$20000,0),MATCH("CPC*",'Semrush Data'!$A$1:$Z$1,0)),"")</f>
        <v/>
      </c>
      <c r="J3352" s="42">
        <f>IFERROR(INDEX('Semrush Data'!$A$1:$Z$20000,MATCH(A3352,'Semrush Data'!$A$1:$A$20000,0),MATCH("Intent",'Semrush Data'!$A$1:$Z$1,0)),"")</f>
        <v/>
      </c>
    </row>
    <row r="3353" ht="15" customHeight="1" s="37">
      <c r="A3353" s="42" t="inlineStr">
        <is>
          <t>deyga best selling face care kit price</t>
        </is>
      </c>
      <c r="B3353" s="42" t="inlineStr">
        <is>
          <t>Price</t>
        </is>
      </c>
      <c r="C3353" s="42" t="n">
        <v>3</v>
      </c>
      <c r="D3353" s="42" t="n">
        <v>34</v>
      </c>
      <c r="E3353" s="42" t="n">
        <v>1</v>
      </c>
      <c r="F3353" s="42" t="inlineStr">
        <is>
          <t>VD-143</t>
        </is>
      </c>
      <c r="G3353" s="55">
        <f>IFERROR(INDEX('Semrush Data'!$A$1:$Z$20000,MATCH(A3353,'Semrush Data'!$A$1:$A$20000,0),MATCH("Volume",'Semrush Data'!$A$1:$Z$1,0)),"")</f>
        <v/>
      </c>
      <c r="H3353" s="42">
        <f>IFERROR(INDEX('Semrush Data'!$A$1:$Z$20000,MATCH(A3353,'Semrush Data'!$A$1:$A$20000,0),MATCH("Keyword Difficulty*",'Semrush Data'!$A$1:$Z$1,0)),"")</f>
        <v/>
      </c>
      <c r="I3353" s="56">
        <f>IFERROR(INDEX('Semrush Data'!$A$1:$Z$20000,MATCH(A3353,'Semrush Data'!$A$1:$A$20000,0),MATCH("CPC*",'Semrush Data'!$A$1:$Z$1,0)),"")</f>
        <v/>
      </c>
      <c r="J3353" s="42">
        <f>IFERROR(INDEX('Semrush Data'!$A$1:$Z$20000,MATCH(A3353,'Semrush Data'!$A$1:$A$20000,0),MATCH("Intent",'Semrush Data'!$A$1:$Z$1,0)),"")</f>
        <v/>
      </c>
    </row>
    <row r="3354" ht="15" customHeight="1" s="37">
      <c r="A3354" s="42" t="inlineStr">
        <is>
          <t>deyga body scrub price</t>
        </is>
      </c>
      <c r="B3354" s="42" t="inlineStr">
        <is>
          <t>Price</t>
        </is>
      </c>
      <c r="C3354" s="42" t="n">
        <v>3</v>
      </c>
      <c r="D3354" s="42" t="n">
        <v>34</v>
      </c>
      <c r="E3354" s="42" t="n">
        <v>1</v>
      </c>
      <c r="F3354" s="42" t="inlineStr">
        <is>
          <t>VD-085</t>
        </is>
      </c>
      <c r="G3354" s="55">
        <f>IFERROR(INDEX('Semrush Data'!$A$1:$Z$20000,MATCH(A3354,'Semrush Data'!$A$1:$A$20000,0),MATCH("Volume",'Semrush Data'!$A$1:$Z$1,0)),"")</f>
        <v/>
      </c>
      <c r="H3354" s="42">
        <f>IFERROR(INDEX('Semrush Data'!$A$1:$Z$20000,MATCH(A3354,'Semrush Data'!$A$1:$A$20000,0),MATCH("Keyword Difficulty*",'Semrush Data'!$A$1:$Z$1,0)),"")</f>
        <v/>
      </c>
      <c r="I3354" s="56">
        <f>IFERROR(INDEX('Semrush Data'!$A$1:$Z$20000,MATCH(A3354,'Semrush Data'!$A$1:$A$20000,0),MATCH("CPC*",'Semrush Data'!$A$1:$Z$1,0)),"")</f>
        <v/>
      </c>
      <c r="J3354" s="42">
        <f>IFERROR(INDEX('Semrush Data'!$A$1:$Z$20000,MATCH(A3354,'Semrush Data'!$A$1:$A$20000,0),MATCH("Intent",'Semrush Data'!$A$1:$Z$1,0)),"")</f>
        <v/>
      </c>
    </row>
    <row r="3355" ht="15" customHeight="1" s="37">
      <c r="A3355" s="42" t="inlineStr">
        <is>
          <t>deyga charcoal bath bar price</t>
        </is>
      </c>
      <c r="B3355" s="42" t="inlineStr">
        <is>
          <t>Price</t>
        </is>
      </c>
      <c r="C3355" s="42" t="n">
        <v>3</v>
      </c>
      <c r="D3355" s="42" t="n">
        <v>34</v>
      </c>
      <c r="E3355" s="42" t="n">
        <v>1</v>
      </c>
      <c r="F3355" s="42" t="inlineStr">
        <is>
          <t>VD-121</t>
        </is>
      </c>
      <c r="G3355" s="55">
        <f>IFERROR(INDEX('Semrush Data'!$A$1:$Z$20000,MATCH(A3355,'Semrush Data'!$A$1:$A$20000,0),MATCH("Volume",'Semrush Data'!$A$1:$Z$1,0)),"")</f>
        <v/>
      </c>
      <c r="H3355" s="42">
        <f>IFERROR(INDEX('Semrush Data'!$A$1:$Z$20000,MATCH(A3355,'Semrush Data'!$A$1:$A$20000,0),MATCH("Keyword Difficulty*",'Semrush Data'!$A$1:$Z$1,0)),"")</f>
        <v/>
      </c>
      <c r="I3355" s="56">
        <f>IFERROR(INDEX('Semrush Data'!$A$1:$Z$20000,MATCH(A3355,'Semrush Data'!$A$1:$A$20000,0),MATCH("CPC*",'Semrush Data'!$A$1:$Z$1,0)),"")</f>
        <v/>
      </c>
      <c r="J3355" s="42">
        <f>IFERROR(INDEX('Semrush Data'!$A$1:$Z$20000,MATCH(A3355,'Semrush Data'!$A$1:$A$20000,0),MATCH("Intent",'Semrush Data'!$A$1:$Z$1,0)),"")</f>
        <v/>
      </c>
    </row>
    <row r="3356" ht="15" customHeight="1" s="37">
      <c r="A3356" s="42" t="inlineStr">
        <is>
          <t>deyga charcoal detox face mask price</t>
        </is>
      </c>
      <c r="B3356" s="42" t="inlineStr">
        <is>
          <t>Price</t>
        </is>
      </c>
      <c r="C3356" s="42" t="n">
        <v>3</v>
      </c>
      <c r="D3356" s="42" t="n">
        <v>34</v>
      </c>
      <c r="E3356" s="42" t="n">
        <v>1</v>
      </c>
      <c r="F3356" s="42" t="inlineStr">
        <is>
          <t>VD-083</t>
        </is>
      </c>
      <c r="G3356" s="55">
        <f>IFERROR(INDEX('Semrush Data'!$A$1:$Z$20000,MATCH(A3356,'Semrush Data'!$A$1:$A$20000,0),MATCH("Volume",'Semrush Data'!$A$1:$Z$1,0)),"")</f>
        <v/>
      </c>
      <c r="H3356" s="42">
        <f>IFERROR(INDEX('Semrush Data'!$A$1:$Z$20000,MATCH(A3356,'Semrush Data'!$A$1:$A$20000,0),MATCH("Keyword Difficulty*",'Semrush Data'!$A$1:$Z$1,0)),"")</f>
        <v/>
      </c>
      <c r="I3356" s="56">
        <f>IFERROR(INDEX('Semrush Data'!$A$1:$Z$20000,MATCH(A3356,'Semrush Data'!$A$1:$A$20000,0),MATCH("CPC*",'Semrush Data'!$A$1:$Z$1,0)),"")</f>
        <v/>
      </c>
      <c r="J3356" s="42">
        <f>IFERROR(INDEX('Semrush Data'!$A$1:$Z$20000,MATCH(A3356,'Semrush Data'!$A$1:$A$20000,0),MATCH("Intent",'Semrush Data'!$A$1:$Z$1,0)),"")</f>
        <v/>
      </c>
    </row>
    <row r="3357" ht="15" customHeight="1" s="37">
      <c r="A3357" s="42" t="inlineStr">
        <is>
          <t>deyga charcoal face wash price</t>
        </is>
      </c>
      <c r="B3357" s="42" t="inlineStr">
        <is>
          <t>Price</t>
        </is>
      </c>
      <c r="C3357" s="42" t="n">
        <v>3</v>
      </c>
      <c r="D3357" s="42" t="n">
        <v>34</v>
      </c>
      <c r="E3357" s="42" t="n">
        <v>1</v>
      </c>
      <c r="F3357" s="42" t="inlineStr">
        <is>
          <t>VD-123</t>
        </is>
      </c>
      <c r="G3357" s="55">
        <f>IFERROR(INDEX('Semrush Data'!$A$1:$Z$20000,MATCH(A3357,'Semrush Data'!$A$1:$A$20000,0),MATCH("Volume",'Semrush Data'!$A$1:$Z$1,0)),"")</f>
        <v/>
      </c>
      <c r="H3357" s="42">
        <f>IFERROR(INDEX('Semrush Data'!$A$1:$Z$20000,MATCH(A3357,'Semrush Data'!$A$1:$A$20000,0),MATCH("Keyword Difficulty*",'Semrush Data'!$A$1:$Z$1,0)),"")</f>
        <v/>
      </c>
      <c r="I3357" s="56">
        <f>IFERROR(INDEX('Semrush Data'!$A$1:$Z$20000,MATCH(A3357,'Semrush Data'!$A$1:$A$20000,0),MATCH("CPC*",'Semrush Data'!$A$1:$Z$1,0)),"")</f>
        <v/>
      </c>
      <c r="J3357" s="42">
        <f>IFERROR(INDEX('Semrush Data'!$A$1:$Z$20000,MATCH(A3357,'Semrush Data'!$A$1:$A$20000,0),MATCH("Intent",'Semrush Data'!$A$1:$Z$1,0)),"")</f>
        <v/>
      </c>
    </row>
    <row r="3358" ht="15" customHeight="1" s="37">
      <c r="A3358" s="42" t="inlineStr">
        <is>
          <t>deyga chocolate body butter price</t>
        </is>
      </c>
      <c r="B3358" s="42" t="inlineStr">
        <is>
          <t>Price</t>
        </is>
      </c>
      <c r="C3358" s="42" t="n">
        <v>3</v>
      </c>
      <c r="D3358" s="42" t="n">
        <v>34</v>
      </c>
      <c r="E3358" s="42" t="n">
        <v>1</v>
      </c>
      <c r="F3358" s="42" t="inlineStr">
        <is>
          <t>VD-082</t>
        </is>
      </c>
      <c r="G3358" s="55">
        <f>IFERROR(INDEX('Semrush Data'!$A$1:$Z$20000,MATCH(A3358,'Semrush Data'!$A$1:$A$20000,0),MATCH("Volume",'Semrush Data'!$A$1:$Z$1,0)),"")</f>
        <v/>
      </c>
      <c r="H3358" s="42">
        <f>IFERROR(INDEX('Semrush Data'!$A$1:$Z$20000,MATCH(A3358,'Semrush Data'!$A$1:$A$20000,0),MATCH("Keyword Difficulty*",'Semrush Data'!$A$1:$Z$1,0)),"")</f>
        <v/>
      </c>
      <c r="I3358" s="56">
        <f>IFERROR(INDEX('Semrush Data'!$A$1:$Z$20000,MATCH(A3358,'Semrush Data'!$A$1:$A$20000,0),MATCH("CPC*",'Semrush Data'!$A$1:$Z$1,0)),"")</f>
        <v/>
      </c>
      <c r="J3358" s="42">
        <f>IFERROR(INDEX('Semrush Data'!$A$1:$Z$20000,MATCH(A3358,'Semrush Data'!$A$1:$A$20000,0),MATCH("Intent",'Semrush Data'!$A$1:$Z$1,0)),"")</f>
        <v/>
      </c>
    </row>
    <row r="3359" ht="15" customHeight="1" s="37">
      <c r="A3359" s="42" t="inlineStr">
        <is>
          <t>deyga clear skin kit price</t>
        </is>
      </c>
      <c r="B3359" s="42" t="inlineStr">
        <is>
          <t>Price</t>
        </is>
      </c>
      <c r="C3359" s="42" t="n">
        <v>3</v>
      </c>
      <c r="D3359" s="42" t="n">
        <v>34</v>
      </c>
      <c r="E3359" s="42" t="n">
        <v>1</v>
      </c>
      <c r="F3359" s="42" t="inlineStr">
        <is>
          <t>VD-142</t>
        </is>
      </c>
      <c r="G3359" s="55">
        <f>IFERROR(INDEX('Semrush Data'!$A$1:$Z$20000,MATCH(A3359,'Semrush Data'!$A$1:$A$20000,0),MATCH("Volume",'Semrush Data'!$A$1:$Z$1,0)),"")</f>
        <v/>
      </c>
      <c r="H3359" s="42">
        <f>IFERROR(INDEX('Semrush Data'!$A$1:$Z$20000,MATCH(A3359,'Semrush Data'!$A$1:$A$20000,0),MATCH("Keyword Difficulty*",'Semrush Data'!$A$1:$Z$1,0)),"")</f>
        <v/>
      </c>
      <c r="I3359" s="56">
        <f>IFERROR(INDEX('Semrush Data'!$A$1:$Z$20000,MATCH(A3359,'Semrush Data'!$A$1:$A$20000,0),MATCH("CPC*",'Semrush Data'!$A$1:$Z$1,0)),"")</f>
        <v/>
      </c>
      <c r="J3359" s="42">
        <f>IFERROR(INDEX('Semrush Data'!$A$1:$Z$20000,MATCH(A3359,'Semrush Data'!$A$1:$A$20000,0),MATCH("Intent",'Semrush Data'!$A$1:$Z$1,0)),"")</f>
        <v/>
      </c>
    </row>
    <row r="3360" ht="15" customHeight="1" s="37">
      <c r="A3360" s="42" t="inlineStr">
        <is>
          <t>deyga daily essential kit price</t>
        </is>
      </c>
      <c r="B3360" s="42" t="inlineStr">
        <is>
          <t>Price</t>
        </is>
      </c>
      <c r="C3360" s="42" t="n">
        <v>3</v>
      </c>
      <c r="D3360" s="42" t="n">
        <v>34</v>
      </c>
      <c r="E3360" s="42" t="n">
        <v>1</v>
      </c>
      <c r="F3360" s="42" t="inlineStr">
        <is>
          <t>VD-141</t>
        </is>
      </c>
      <c r="G3360" s="55">
        <f>IFERROR(INDEX('Semrush Data'!$A$1:$Z$20000,MATCH(A3360,'Semrush Data'!$A$1:$A$20000,0),MATCH("Volume",'Semrush Data'!$A$1:$Z$1,0)),"")</f>
        <v/>
      </c>
      <c r="H3360" s="42">
        <f>IFERROR(INDEX('Semrush Data'!$A$1:$Z$20000,MATCH(A3360,'Semrush Data'!$A$1:$A$20000,0),MATCH("Keyword Difficulty*",'Semrush Data'!$A$1:$Z$1,0)),"")</f>
        <v/>
      </c>
      <c r="I3360" s="56">
        <f>IFERROR(INDEX('Semrush Data'!$A$1:$Z$20000,MATCH(A3360,'Semrush Data'!$A$1:$A$20000,0),MATCH("CPC*",'Semrush Data'!$A$1:$Z$1,0)),"")</f>
        <v/>
      </c>
      <c r="J3360" s="42">
        <f>IFERROR(INDEX('Semrush Data'!$A$1:$Z$20000,MATCH(A3360,'Semrush Data'!$A$1:$A$20000,0),MATCH("Intent",'Semrush Data'!$A$1:$Z$1,0)),"")</f>
        <v/>
      </c>
    </row>
    <row r="3361" ht="15" customHeight="1" s="37">
      <c r="A3361" s="42" t="inlineStr">
        <is>
          <t>deyga daily use healthy hair kit price</t>
        </is>
      </c>
      <c r="B3361" s="42" t="inlineStr">
        <is>
          <t>Price</t>
        </is>
      </c>
      <c r="C3361" s="42" t="n">
        <v>3</v>
      </c>
      <c r="D3361" s="42" t="n">
        <v>34</v>
      </c>
      <c r="E3361" s="42" t="n">
        <v>1</v>
      </c>
      <c r="F3361" s="42" t="inlineStr">
        <is>
          <t>VD-159</t>
        </is>
      </c>
      <c r="G3361" s="55">
        <f>IFERROR(INDEX('Semrush Data'!$A$1:$Z$20000,MATCH(A3361,'Semrush Data'!$A$1:$A$20000,0),MATCH("Volume",'Semrush Data'!$A$1:$Z$1,0)),"")</f>
        <v/>
      </c>
      <c r="H3361" s="42">
        <f>IFERROR(INDEX('Semrush Data'!$A$1:$Z$20000,MATCH(A3361,'Semrush Data'!$A$1:$A$20000,0),MATCH("Keyword Difficulty*",'Semrush Data'!$A$1:$Z$1,0)),"")</f>
        <v/>
      </c>
      <c r="I3361" s="56">
        <f>IFERROR(INDEX('Semrush Data'!$A$1:$Z$20000,MATCH(A3361,'Semrush Data'!$A$1:$A$20000,0),MATCH("CPC*",'Semrush Data'!$A$1:$Z$1,0)),"")</f>
        <v/>
      </c>
      <c r="J3361" s="42">
        <f>IFERROR(INDEX('Semrush Data'!$A$1:$Z$20000,MATCH(A3361,'Semrush Data'!$A$1:$A$20000,0),MATCH("Intent",'Semrush Data'!$A$1:$Z$1,0)),"")</f>
        <v/>
      </c>
    </row>
    <row r="3362" ht="15" customHeight="1" s="37">
      <c r="A3362" s="42" t="inlineStr">
        <is>
          <t>deyga de- tan &amp; pigmentation kit price</t>
        </is>
      </c>
      <c r="B3362" s="42" t="inlineStr">
        <is>
          <t>Price</t>
        </is>
      </c>
      <c r="C3362" s="42" t="n">
        <v>3</v>
      </c>
      <c r="D3362" s="42" t="n">
        <v>34</v>
      </c>
      <c r="E3362" s="42" t="n">
        <v>1</v>
      </c>
      <c r="F3362" s="42" t="inlineStr">
        <is>
          <t>VD-157</t>
        </is>
      </c>
      <c r="G3362" s="55">
        <f>IFERROR(INDEX('Semrush Data'!$A$1:$Z$20000,MATCH(A3362,'Semrush Data'!$A$1:$A$20000,0),MATCH("Volume",'Semrush Data'!$A$1:$Z$1,0)),"")</f>
        <v/>
      </c>
      <c r="H3362" s="42">
        <f>IFERROR(INDEX('Semrush Data'!$A$1:$Z$20000,MATCH(A3362,'Semrush Data'!$A$1:$A$20000,0),MATCH("Keyword Difficulty*",'Semrush Data'!$A$1:$Z$1,0)),"")</f>
        <v/>
      </c>
      <c r="I3362" s="56">
        <f>IFERROR(INDEX('Semrush Data'!$A$1:$Z$20000,MATCH(A3362,'Semrush Data'!$A$1:$A$20000,0),MATCH("CPC*",'Semrush Data'!$A$1:$Z$1,0)),"")</f>
        <v/>
      </c>
      <c r="J3362" s="42">
        <f>IFERROR(INDEX('Semrush Data'!$A$1:$Z$20000,MATCH(A3362,'Semrush Data'!$A$1:$A$20000,0),MATCH("Intent",'Semrush Data'!$A$1:$Z$1,0)),"")</f>
        <v/>
      </c>
    </row>
    <row r="3363" ht="15" customHeight="1" s="37">
      <c r="A3363" s="42" t="inlineStr">
        <is>
          <t>deyga deep moisturising face cream price</t>
        </is>
      </c>
      <c r="B3363" s="42" t="inlineStr">
        <is>
          <t>Price</t>
        </is>
      </c>
      <c r="C3363" s="42" t="n">
        <v>3</v>
      </c>
      <c r="D3363" s="42" t="n">
        <v>34</v>
      </c>
      <c r="E3363" s="42" t="n">
        <v>1</v>
      </c>
      <c r="F3363" s="42" t="inlineStr">
        <is>
          <t>VD-086</t>
        </is>
      </c>
      <c r="G3363" s="55">
        <f>IFERROR(INDEX('Semrush Data'!$A$1:$Z$20000,MATCH(A3363,'Semrush Data'!$A$1:$A$20000,0),MATCH("Volume",'Semrush Data'!$A$1:$Z$1,0)),"")</f>
        <v/>
      </c>
      <c r="H3363" s="42">
        <f>IFERROR(INDEX('Semrush Data'!$A$1:$Z$20000,MATCH(A3363,'Semrush Data'!$A$1:$A$20000,0),MATCH("Keyword Difficulty*",'Semrush Data'!$A$1:$Z$1,0)),"")</f>
        <v/>
      </c>
      <c r="I3363" s="56">
        <f>IFERROR(INDEX('Semrush Data'!$A$1:$Z$20000,MATCH(A3363,'Semrush Data'!$A$1:$A$20000,0),MATCH("CPC*",'Semrush Data'!$A$1:$Z$1,0)),"")</f>
        <v/>
      </c>
      <c r="J3363" s="42">
        <f>IFERROR(INDEX('Semrush Data'!$A$1:$Z$20000,MATCH(A3363,'Semrush Data'!$A$1:$A$20000,0),MATCH("Intent",'Semrush Data'!$A$1:$Z$1,0)),"")</f>
        <v/>
      </c>
    </row>
    <row r="3364" ht="15" customHeight="1" s="37">
      <c r="A3364" s="42" t="inlineStr">
        <is>
          <t>deyga double hydration kit price</t>
        </is>
      </c>
      <c r="B3364" s="42" t="inlineStr">
        <is>
          <t>Price</t>
        </is>
      </c>
      <c r="C3364" s="42" t="n">
        <v>3</v>
      </c>
      <c r="D3364" s="42" t="n">
        <v>34</v>
      </c>
      <c r="E3364" s="42" t="n">
        <v>1</v>
      </c>
      <c r="F3364" s="42" t="inlineStr">
        <is>
          <t>VD-155</t>
        </is>
      </c>
      <c r="G3364" s="55">
        <f>IFERROR(INDEX('Semrush Data'!$A$1:$Z$20000,MATCH(A3364,'Semrush Data'!$A$1:$A$20000,0),MATCH("Volume",'Semrush Data'!$A$1:$Z$1,0)),"")</f>
        <v/>
      </c>
      <c r="H3364" s="42">
        <f>IFERROR(INDEX('Semrush Data'!$A$1:$Z$20000,MATCH(A3364,'Semrush Data'!$A$1:$A$20000,0),MATCH("Keyword Difficulty*",'Semrush Data'!$A$1:$Z$1,0)),"")</f>
        <v/>
      </c>
      <c r="I3364" s="56">
        <f>IFERROR(INDEX('Semrush Data'!$A$1:$Z$20000,MATCH(A3364,'Semrush Data'!$A$1:$A$20000,0),MATCH("CPC*",'Semrush Data'!$A$1:$Z$1,0)),"")</f>
        <v/>
      </c>
      <c r="J3364" s="42">
        <f>IFERROR(INDEX('Semrush Data'!$A$1:$Z$20000,MATCH(A3364,'Semrush Data'!$A$1:$A$20000,0),MATCH("Intent",'Semrush Data'!$A$1:$Z$1,0)),"")</f>
        <v/>
      </c>
    </row>
    <row r="3365" ht="15" customHeight="1" s="37">
      <c r="A3365" s="42" t="inlineStr">
        <is>
          <t>deyga eyebrow growth oil price</t>
        </is>
      </c>
      <c r="B3365" s="42" t="inlineStr">
        <is>
          <t>Price</t>
        </is>
      </c>
      <c r="C3365" s="42" t="n">
        <v>3</v>
      </c>
      <c r="D3365" s="42" t="n">
        <v>34</v>
      </c>
      <c r="E3365" s="42" t="n">
        <v>1</v>
      </c>
      <c r="F3365" s="42" t="inlineStr">
        <is>
          <t>VD-104</t>
        </is>
      </c>
      <c r="G3365" s="55">
        <f>IFERROR(INDEX('Semrush Data'!$A$1:$Z$20000,MATCH(A3365,'Semrush Data'!$A$1:$A$20000,0),MATCH("Volume",'Semrush Data'!$A$1:$Z$1,0)),"")</f>
        <v/>
      </c>
      <c r="H3365" s="42">
        <f>IFERROR(INDEX('Semrush Data'!$A$1:$Z$20000,MATCH(A3365,'Semrush Data'!$A$1:$A$20000,0),MATCH("Keyword Difficulty*",'Semrush Data'!$A$1:$Z$1,0)),"")</f>
        <v/>
      </c>
      <c r="I3365" s="56">
        <f>IFERROR(INDEX('Semrush Data'!$A$1:$Z$20000,MATCH(A3365,'Semrush Data'!$A$1:$A$20000,0),MATCH("CPC*",'Semrush Data'!$A$1:$Z$1,0)),"")</f>
        <v/>
      </c>
      <c r="J3365" s="42">
        <f>IFERROR(INDEX('Semrush Data'!$A$1:$Z$20000,MATCH(A3365,'Semrush Data'!$A$1:$A$20000,0),MATCH("Intent",'Semrush Data'!$A$1:$Z$1,0)),"")</f>
        <v/>
      </c>
    </row>
    <row r="3366" ht="15" customHeight="1" s="37">
      <c r="A3366" s="42" t="inlineStr">
        <is>
          <t>deyga face &amp; body exfoliator powder price</t>
        </is>
      </c>
      <c r="B3366" s="42" t="inlineStr">
        <is>
          <t>Price</t>
        </is>
      </c>
      <c r="C3366" s="42" t="n">
        <v>3</v>
      </c>
      <c r="D3366" s="42" t="n">
        <v>34</v>
      </c>
      <c r="E3366" s="42" t="n">
        <v>1</v>
      </c>
      <c r="F3366" s="42" t="inlineStr">
        <is>
          <t>VD-118</t>
        </is>
      </c>
      <c r="G3366" s="55">
        <f>IFERROR(INDEX('Semrush Data'!$A$1:$Z$20000,MATCH(A3366,'Semrush Data'!$A$1:$A$20000,0),MATCH("Volume",'Semrush Data'!$A$1:$Z$1,0)),"")</f>
        <v/>
      </c>
      <c r="H3366" s="42">
        <f>IFERROR(INDEX('Semrush Data'!$A$1:$Z$20000,MATCH(A3366,'Semrush Data'!$A$1:$A$20000,0),MATCH("Keyword Difficulty*",'Semrush Data'!$A$1:$Z$1,0)),"")</f>
        <v/>
      </c>
      <c r="I3366" s="56">
        <f>IFERROR(INDEX('Semrush Data'!$A$1:$Z$20000,MATCH(A3366,'Semrush Data'!$A$1:$A$20000,0),MATCH("CPC*",'Semrush Data'!$A$1:$Z$1,0)),"")</f>
        <v/>
      </c>
      <c r="J3366" s="42">
        <f>IFERROR(INDEX('Semrush Data'!$A$1:$Z$20000,MATCH(A3366,'Semrush Data'!$A$1:$A$20000,0),MATCH("Intent",'Semrush Data'!$A$1:$Z$1,0)),"")</f>
        <v/>
      </c>
    </row>
    <row r="3367" ht="15" customHeight="1" s="37">
      <c r="A3367" s="42" t="inlineStr">
        <is>
          <t>deyga foot butter price</t>
        </is>
      </c>
      <c r="B3367" s="42" t="inlineStr">
        <is>
          <t>Price</t>
        </is>
      </c>
      <c r="C3367" s="42" t="n">
        <v>3</v>
      </c>
      <c r="D3367" s="42" t="n">
        <v>34</v>
      </c>
      <c r="E3367" s="42" t="n">
        <v>1</v>
      </c>
      <c r="F3367" s="42" t="inlineStr">
        <is>
          <t>VD-128</t>
        </is>
      </c>
      <c r="G3367" s="55">
        <f>IFERROR(INDEX('Semrush Data'!$A$1:$Z$20000,MATCH(A3367,'Semrush Data'!$A$1:$A$20000,0),MATCH("Volume",'Semrush Data'!$A$1:$Z$1,0)),"")</f>
        <v/>
      </c>
      <c r="H3367" s="42">
        <f>IFERROR(INDEX('Semrush Data'!$A$1:$Z$20000,MATCH(A3367,'Semrush Data'!$A$1:$A$20000,0),MATCH("Keyword Difficulty*",'Semrush Data'!$A$1:$Z$1,0)),"")</f>
        <v/>
      </c>
      <c r="I3367" s="56">
        <f>IFERROR(INDEX('Semrush Data'!$A$1:$Z$20000,MATCH(A3367,'Semrush Data'!$A$1:$A$20000,0),MATCH("CPC*",'Semrush Data'!$A$1:$Z$1,0)),"")</f>
        <v/>
      </c>
      <c r="J3367" s="42">
        <f>IFERROR(INDEX('Semrush Data'!$A$1:$Z$20000,MATCH(A3367,'Semrush Data'!$A$1:$A$20000,0),MATCH("Intent",'Semrush Data'!$A$1:$Z$1,0)),"")</f>
        <v/>
      </c>
    </row>
    <row r="3368" ht="15" customHeight="1" s="37">
      <c r="A3368" s="42" t="inlineStr">
        <is>
          <t>deyga foot scrub price</t>
        </is>
      </c>
      <c r="B3368" s="42" t="inlineStr">
        <is>
          <t>Price</t>
        </is>
      </c>
      <c r="C3368" s="42" t="n">
        <v>3</v>
      </c>
      <c r="D3368" s="42" t="n">
        <v>34</v>
      </c>
      <c r="E3368" s="42" t="n">
        <v>1</v>
      </c>
      <c r="F3368" s="42" t="inlineStr">
        <is>
          <t>VD-103</t>
        </is>
      </c>
      <c r="G3368" s="55">
        <f>IFERROR(INDEX('Semrush Data'!$A$1:$Z$20000,MATCH(A3368,'Semrush Data'!$A$1:$A$20000,0),MATCH("Volume",'Semrush Data'!$A$1:$Z$1,0)),"")</f>
        <v/>
      </c>
      <c r="H3368" s="42">
        <f>IFERROR(INDEX('Semrush Data'!$A$1:$Z$20000,MATCH(A3368,'Semrush Data'!$A$1:$A$20000,0),MATCH("Keyword Difficulty*",'Semrush Data'!$A$1:$Z$1,0)),"")</f>
        <v/>
      </c>
      <c r="I3368" s="56">
        <f>IFERROR(INDEX('Semrush Data'!$A$1:$Z$20000,MATCH(A3368,'Semrush Data'!$A$1:$A$20000,0),MATCH("CPC*",'Semrush Data'!$A$1:$Z$1,0)),"")</f>
        <v/>
      </c>
      <c r="J3368" s="42">
        <f>IFERROR(INDEX('Semrush Data'!$A$1:$Z$20000,MATCH(A3368,'Semrush Data'!$A$1:$A$20000,0),MATCH("Intent",'Semrush Data'!$A$1:$Z$1,0)),"")</f>
        <v/>
      </c>
    </row>
    <row r="3369" ht="15" customHeight="1" s="37">
      <c r="A3369" s="42" t="inlineStr">
        <is>
          <t>deyga foot soak powder price</t>
        </is>
      </c>
      <c r="B3369" s="42" t="inlineStr">
        <is>
          <t>Price</t>
        </is>
      </c>
      <c r="C3369" s="42" t="n">
        <v>3</v>
      </c>
      <c r="D3369" s="42" t="n">
        <v>34</v>
      </c>
      <c r="E3369" s="42" t="n">
        <v>1</v>
      </c>
      <c r="F3369" s="42" t="inlineStr">
        <is>
          <t>VD-094</t>
        </is>
      </c>
      <c r="G3369" s="55">
        <f>IFERROR(INDEX('Semrush Data'!$A$1:$Z$20000,MATCH(A3369,'Semrush Data'!$A$1:$A$20000,0),MATCH("Volume",'Semrush Data'!$A$1:$Z$1,0)),"")</f>
        <v/>
      </c>
      <c r="H3369" s="42">
        <f>IFERROR(INDEX('Semrush Data'!$A$1:$Z$20000,MATCH(A3369,'Semrush Data'!$A$1:$A$20000,0),MATCH("Keyword Difficulty*",'Semrush Data'!$A$1:$Z$1,0)),"")</f>
        <v/>
      </c>
      <c r="I3369" s="56">
        <f>IFERROR(INDEX('Semrush Data'!$A$1:$Z$20000,MATCH(A3369,'Semrush Data'!$A$1:$A$20000,0),MATCH("CPC*",'Semrush Data'!$A$1:$Z$1,0)),"")</f>
        <v/>
      </c>
      <c r="J3369" s="42">
        <f>IFERROR(INDEX('Semrush Data'!$A$1:$Z$20000,MATCH(A3369,'Semrush Data'!$A$1:$A$20000,0),MATCH("Intent",'Semrush Data'!$A$1:$Z$1,0)),"")</f>
        <v/>
      </c>
    </row>
    <row r="3370" ht="15" customHeight="1" s="37">
      <c r="A3370" s="42" t="inlineStr">
        <is>
          <t>deyga game changer face care kit price</t>
        </is>
      </c>
      <c r="B3370" s="42" t="inlineStr">
        <is>
          <t>Price</t>
        </is>
      </c>
      <c r="C3370" s="42" t="n">
        <v>3</v>
      </c>
      <c r="D3370" s="42" t="n">
        <v>34</v>
      </c>
      <c r="E3370" s="42" t="n">
        <v>1</v>
      </c>
      <c r="F3370" s="42" t="inlineStr">
        <is>
          <t>VD-158</t>
        </is>
      </c>
      <c r="G3370" s="55">
        <f>IFERROR(INDEX('Semrush Data'!$A$1:$Z$20000,MATCH(A3370,'Semrush Data'!$A$1:$A$20000,0),MATCH("Volume",'Semrush Data'!$A$1:$Z$1,0)),"")</f>
        <v/>
      </c>
      <c r="H3370" s="42">
        <f>IFERROR(INDEX('Semrush Data'!$A$1:$Z$20000,MATCH(A3370,'Semrush Data'!$A$1:$A$20000,0),MATCH("Keyword Difficulty*",'Semrush Data'!$A$1:$Z$1,0)),"")</f>
        <v/>
      </c>
      <c r="I3370" s="56">
        <f>IFERROR(INDEX('Semrush Data'!$A$1:$Z$20000,MATCH(A3370,'Semrush Data'!$A$1:$A$20000,0),MATCH("CPC*",'Semrush Data'!$A$1:$Z$1,0)),"")</f>
        <v/>
      </c>
      <c r="J3370" s="42">
        <f>IFERROR(INDEX('Semrush Data'!$A$1:$Z$20000,MATCH(A3370,'Semrush Data'!$A$1:$A$20000,0),MATCH("Intent",'Semrush Data'!$A$1:$Z$1,0)),"")</f>
        <v/>
      </c>
    </row>
    <row r="3371" ht="15" customHeight="1" s="37">
      <c r="A3371" s="42" t="inlineStr">
        <is>
          <t>deyga hair care kit price</t>
        </is>
      </c>
      <c r="B3371" s="42" t="inlineStr">
        <is>
          <t>Price</t>
        </is>
      </c>
      <c r="C3371" s="42" t="n">
        <v>3</v>
      </c>
      <c r="D3371" s="42" t="n">
        <v>34</v>
      </c>
      <c r="E3371" s="42" t="n">
        <v>1</v>
      </c>
      <c r="F3371" s="42" t="inlineStr">
        <is>
          <t>VD-151</t>
        </is>
      </c>
      <c r="G3371" s="55">
        <f>IFERROR(INDEX('Semrush Data'!$A$1:$Z$20000,MATCH(A3371,'Semrush Data'!$A$1:$A$20000,0),MATCH("Volume",'Semrush Data'!$A$1:$Z$1,0)),"")</f>
        <v/>
      </c>
      <c r="H3371" s="42">
        <f>IFERROR(INDEX('Semrush Data'!$A$1:$Z$20000,MATCH(A3371,'Semrush Data'!$A$1:$A$20000,0),MATCH("Keyword Difficulty*",'Semrush Data'!$A$1:$Z$1,0)),"")</f>
        <v/>
      </c>
      <c r="I3371" s="56">
        <f>IFERROR(INDEX('Semrush Data'!$A$1:$Z$20000,MATCH(A3371,'Semrush Data'!$A$1:$A$20000,0),MATCH("CPC*",'Semrush Data'!$A$1:$Z$1,0)),"")</f>
        <v/>
      </c>
      <c r="J3371" s="42">
        <f>IFERROR(INDEX('Semrush Data'!$A$1:$Z$20000,MATCH(A3371,'Semrush Data'!$A$1:$A$20000,0),MATCH("Intent",'Semrush Data'!$A$1:$Z$1,0)),"")</f>
        <v/>
      </c>
    </row>
    <row r="3372" ht="15" customHeight="1" s="37">
      <c r="A3372" s="42" t="inlineStr">
        <is>
          <t>deyga hair growth oil price</t>
        </is>
      </c>
      <c r="B3372" s="42" t="inlineStr">
        <is>
          <t>Price</t>
        </is>
      </c>
      <c r="C3372" s="42" t="n">
        <v>3</v>
      </c>
      <c r="D3372" s="42" t="n">
        <v>34</v>
      </c>
      <c r="E3372" s="42" t="n">
        <v>1</v>
      </c>
      <c r="F3372" s="42" t="inlineStr">
        <is>
          <t>VD-122</t>
        </is>
      </c>
      <c r="G3372" s="55">
        <f>IFERROR(INDEX('Semrush Data'!$A$1:$Z$20000,MATCH(A3372,'Semrush Data'!$A$1:$A$20000,0),MATCH("Volume",'Semrush Data'!$A$1:$Z$1,0)),"")</f>
        <v/>
      </c>
      <c r="H3372" s="42">
        <f>IFERROR(INDEX('Semrush Data'!$A$1:$Z$20000,MATCH(A3372,'Semrush Data'!$A$1:$A$20000,0),MATCH("Keyword Difficulty*",'Semrush Data'!$A$1:$Z$1,0)),"")</f>
        <v/>
      </c>
      <c r="I3372" s="56">
        <f>IFERROR(INDEX('Semrush Data'!$A$1:$Z$20000,MATCH(A3372,'Semrush Data'!$A$1:$A$20000,0),MATCH("CPC*",'Semrush Data'!$A$1:$Z$1,0)),"")</f>
        <v/>
      </c>
      <c r="J3372" s="42">
        <f>IFERROR(INDEX('Semrush Data'!$A$1:$Z$20000,MATCH(A3372,'Semrush Data'!$A$1:$A$20000,0),MATCH("Intent",'Semrush Data'!$A$1:$Z$1,0)),"")</f>
        <v/>
      </c>
    </row>
    <row r="3373" ht="15" customHeight="1" s="37">
      <c r="A3373" s="42" t="inlineStr">
        <is>
          <t>deyga hair nourishment kit price</t>
        </is>
      </c>
      <c r="B3373" s="42" t="inlineStr">
        <is>
          <t>Price</t>
        </is>
      </c>
      <c r="C3373" s="42" t="n">
        <v>3</v>
      </c>
      <c r="D3373" s="42" t="n">
        <v>34</v>
      </c>
      <c r="E3373" s="42" t="n">
        <v>1</v>
      </c>
      <c r="F3373" s="42" t="inlineStr">
        <is>
          <t>VD-147</t>
        </is>
      </c>
      <c r="G3373" s="55">
        <f>IFERROR(INDEX('Semrush Data'!$A$1:$Z$20000,MATCH(A3373,'Semrush Data'!$A$1:$A$20000,0),MATCH("Volume",'Semrush Data'!$A$1:$Z$1,0)),"")</f>
        <v/>
      </c>
      <c r="H3373" s="42">
        <f>IFERROR(INDEX('Semrush Data'!$A$1:$Z$20000,MATCH(A3373,'Semrush Data'!$A$1:$A$20000,0),MATCH("Keyword Difficulty*",'Semrush Data'!$A$1:$Z$1,0)),"")</f>
        <v/>
      </c>
      <c r="I3373" s="56">
        <f>IFERROR(INDEX('Semrush Data'!$A$1:$Z$20000,MATCH(A3373,'Semrush Data'!$A$1:$A$20000,0),MATCH("CPC*",'Semrush Data'!$A$1:$Z$1,0)),"")</f>
        <v/>
      </c>
      <c r="J3373" s="42">
        <f>IFERROR(INDEX('Semrush Data'!$A$1:$Z$20000,MATCH(A3373,'Semrush Data'!$A$1:$A$20000,0),MATCH("Intent",'Semrush Data'!$A$1:$Z$1,0)),"")</f>
        <v/>
      </c>
    </row>
    <row r="3374" ht="15" customHeight="1" s="37">
      <c r="A3374" s="42" t="inlineStr">
        <is>
          <t>deyga hair removal powder price</t>
        </is>
      </c>
      <c r="B3374" s="42" t="inlineStr">
        <is>
          <t>Price</t>
        </is>
      </c>
      <c r="C3374" s="42" t="n">
        <v>3</v>
      </c>
      <c r="D3374" s="42" t="n">
        <v>34</v>
      </c>
      <c r="E3374" s="42" t="n">
        <v>1</v>
      </c>
      <c r="F3374" s="42" t="inlineStr">
        <is>
          <t>VD-112</t>
        </is>
      </c>
      <c r="G3374" s="55">
        <f>IFERROR(INDEX('Semrush Data'!$A$1:$Z$20000,MATCH(A3374,'Semrush Data'!$A$1:$A$20000,0),MATCH("Volume",'Semrush Data'!$A$1:$Z$1,0)),"")</f>
        <v/>
      </c>
      <c r="H3374" s="42">
        <f>IFERROR(INDEX('Semrush Data'!$A$1:$Z$20000,MATCH(A3374,'Semrush Data'!$A$1:$A$20000,0),MATCH("Keyword Difficulty*",'Semrush Data'!$A$1:$Z$1,0)),"")</f>
        <v/>
      </c>
      <c r="I3374" s="56">
        <f>IFERROR(INDEX('Semrush Data'!$A$1:$Z$20000,MATCH(A3374,'Semrush Data'!$A$1:$A$20000,0),MATCH("CPC*",'Semrush Data'!$A$1:$Z$1,0)),"")</f>
        <v/>
      </c>
      <c r="J3374" s="42">
        <f>IFERROR(INDEX('Semrush Data'!$A$1:$Z$20000,MATCH(A3374,'Semrush Data'!$A$1:$A$20000,0),MATCH("Intent",'Semrush Data'!$A$1:$Z$1,0)),"")</f>
        <v/>
      </c>
    </row>
    <row r="3375" ht="15" customHeight="1" s="37">
      <c r="A3375" s="42" t="inlineStr">
        <is>
          <t>deyga hair strengthening kit price</t>
        </is>
      </c>
      <c r="B3375" s="42" t="inlineStr">
        <is>
          <t>Price</t>
        </is>
      </c>
      <c r="C3375" s="42" t="n">
        <v>3</v>
      </c>
      <c r="D3375" s="42" t="n">
        <v>34</v>
      </c>
      <c r="E3375" s="42" t="n">
        <v>1</v>
      </c>
      <c r="F3375" s="42" t="inlineStr">
        <is>
          <t>VD-152</t>
        </is>
      </c>
      <c r="G3375" s="55">
        <f>IFERROR(INDEX('Semrush Data'!$A$1:$Z$20000,MATCH(A3375,'Semrush Data'!$A$1:$A$20000,0),MATCH("Volume",'Semrush Data'!$A$1:$Z$1,0)),"")</f>
        <v/>
      </c>
      <c r="H3375" s="42">
        <f>IFERROR(INDEX('Semrush Data'!$A$1:$Z$20000,MATCH(A3375,'Semrush Data'!$A$1:$A$20000,0),MATCH("Keyword Difficulty*",'Semrush Data'!$A$1:$Z$1,0)),"")</f>
        <v/>
      </c>
      <c r="I3375" s="56">
        <f>IFERROR(INDEX('Semrush Data'!$A$1:$Z$20000,MATCH(A3375,'Semrush Data'!$A$1:$A$20000,0),MATCH("CPC*",'Semrush Data'!$A$1:$Z$1,0)),"")</f>
        <v/>
      </c>
      <c r="J3375" s="42">
        <f>IFERROR(INDEX('Semrush Data'!$A$1:$Z$20000,MATCH(A3375,'Semrush Data'!$A$1:$A$20000,0),MATCH("Intent",'Semrush Data'!$A$1:$Z$1,0)),"")</f>
        <v/>
      </c>
    </row>
    <row r="3376" ht="15" customHeight="1" s="37">
      <c r="A3376" s="42" t="inlineStr">
        <is>
          <t>deyga healthy glow kit price</t>
        </is>
      </c>
      <c r="B3376" s="42" t="inlineStr">
        <is>
          <t>Price</t>
        </is>
      </c>
      <c r="C3376" s="42" t="n">
        <v>3</v>
      </c>
      <c r="D3376" s="42" t="n">
        <v>34</v>
      </c>
      <c r="E3376" s="42" t="n">
        <v>1</v>
      </c>
      <c r="F3376" s="42" t="inlineStr">
        <is>
          <t>VD-146</t>
        </is>
      </c>
      <c r="G3376" s="55">
        <f>IFERROR(INDEX('Semrush Data'!$A$1:$Z$20000,MATCH(A3376,'Semrush Data'!$A$1:$A$20000,0),MATCH("Volume",'Semrush Data'!$A$1:$Z$1,0)),"")</f>
        <v/>
      </c>
      <c r="H3376" s="42">
        <f>IFERROR(INDEX('Semrush Data'!$A$1:$Z$20000,MATCH(A3376,'Semrush Data'!$A$1:$A$20000,0),MATCH("Keyword Difficulty*",'Semrush Data'!$A$1:$Z$1,0)),"")</f>
        <v/>
      </c>
      <c r="I3376" s="56">
        <f>IFERROR(INDEX('Semrush Data'!$A$1:$Z$20000,MATCH(A3376,'Semrush Data'!$A$1:$A$20000,0),MATCH("CPC*",'Semrush Data'!$A$1:$Z$1,0)),"")</f>
        <v/>
      </c>
      <c r="J3376" s="42">
        <f>IFERROR(INDEX('Semrush Data'!$A$1:$Z$20000,MATCH(A3376,'Semrush Data'!$A$1:$A$20000,0),MATCH("Intent",'Semrush Data'!$A$1:$Z$1,0)),"")</f>
        <v/>
      </c>
    </row>
    <row r="3377" ht="15" customHeight="1" s="37">
      <c r="A3377" s="42" t="inlineStr">
        <is>
          <t>deyga hydro boosting skin care kit price</t>
        </is>
      </c>
      <c r="B3377" s="42" t="inlineStr">
        <is>
          <t>Price</t>
        </is>
      </c>
      <c r="C3377" s="42" t="n">
        <v>3</v>
      </c>
      <c r="D3377" s="42" t="n">
        <v>34</v>
      </c>
      <c r="E3377" s="42" t="n">
        <v>1</v>
      </c>
      <c r="F3377" s="42" t="inlineStr">
        <is>
          <t>VD-150</t>
        </is>
      </c>
      <c r="G3377" s="55">
        <f>IFERROR(INDEX('Semrush Data'!$A$1:$Z$20000,MATCH(A3377,'Semrush Data'!$A$1:$A$20000,0),MATCH("Volume",'Semrush Data'!$A$1:$Z$1,0)),"")</f>
        <v/>
      </c>
      <c r="H3377" s="42">
        <f>IFERROR(INDEX('Semrush Data'!$A$1:$Z$20000,MATCH(A3377,'Semrush Data'!$A$1:$A$20000,0),MATCH("Keyword Difficulty*",'Semrush Data'!$A$1:$Z$1,0)),"")</f>
        <v/>
      </c>
      <c r="I3377" s="56">
        <f>IFERROR(INDEX('Semrush Data'!$A$1:$Z$20000,MATCH(A3377,'Semrush Data'!$A$1:$A$20000,0),MATCH("CPC*",'Semrush Data'!$A$1:$Z$1,0)),"")</f>
        <v/>
      </c>
      <c r="J3377" s="42">
        <f>IFERROR(INDEX('Semrush Data'!$A$1:$Z$20000,MATCH(A3377,'Semrush Data'!$A$1:$A$20000,0),MATCH("Intent",'Semrush Data'!$A$1:$Z$1,0)),"")</f>
        <v/>
      </c>
    </row>
    <row r="3378" ht="15" customHeight="1" s="37">
      <c r="A3378" s="42" t="inlineStr">
        <is>
          <t>deyga instant hair removal kit price</t>
        </is>
      </c>
      <c r="B3378" s="42" t="inlineStr">
        <is>
          <t>Price</t>
        </is>
      </c>
      <c r="C3378" s="42" t="n">
        <v>3</v>
      </c>
      <c r="D3378" s="42" t="n">
        <v>34</v>
      </c>
      <c r="E3378" s="42" t="n">
        <v>1</v>
      </c>
      <c r="F3378" s="42" t="inlineStr">
        <is>
          <t>VD-144</t>
        </is>
      </c>
      <c r="G3378" s="55">
        <f>IFERROR(INDEX('Semrush Data'!$A$1:$Z$20000,MATCH(A3378,'Semrush Data'!$A$1:$A$20000,0),MATCH("Volume",'Semrush Data'!$A$1:$Z$1,0)),"")</f>
        <v/>
      </c>
      <c r="H3378" s="42">
        <f>IFERROR(INDEX('Semrush Data'!$A$1:$Z$20000,MATCH(A3378,'Semrush Data'!$A$1:$A$20000,0),MATCH("Keyword Difficulty*",'Semrush Data'!$A$1:$Z$1,0)),"")</f>
        <v/>
      </c>
      <c r="I3378" s="56">
        <f>IFERROR(INDEX('Semrush Data'!$A$1:$Z$20000,MATCH(A3378,'Semrush Data'!$A$1:$A$20000,0),MATCH("CPC*",'Semrush Data'!$A$1:$Z$1,0)),"")</f>
        <v/>
      </c>
      <c r="J3378" s="42">
        <f>IFERROR(INDEX('Semrush Data'!$A$1:$Z$20000,MATCH(A3378,'Semrush Data'!$A$1:$A$20000,0),MATCH("Intent",'Semrush Data'!$A$1:$Z$1,0)),"")</f>
        <v/>
      </c>
    </row>
    <row r="3379" ht="15" customHeight="1" s="37">
      <c r="A3379" s="42" t="inlineStr">
        <is>
          <t>deyga instant hair removal kit with toner price</t>
        </is>
      </c>
      <c r="B3379" s="42" t="inlineStr">
        <is>
          <t>Price</t>
        </is>
      </c>
      <c r="C3379" s="42" t="n">
        <v>3</v>
      </c>
      <c r="D3379" s="42" t="n">
        <v>34</v>
      </c>
      <c r="E3379" s="42" t="n">
        <v>1</v>
      </c>
      <c r="F3379" s="42" t="inlineStr">
        <is>
          <t>VD-145</t>
        </is>
      </c>
      <c r="G3379" s="55">
        <f>IFERROR(INDEX('Semrush Data'!$A$1:$Z$20000,MATCH(A3379,'Semrush Data'!$A$1:$A$20000,0),MATCH("Volume",'Semrush Data'!$A$1:$Z$1,0)),"")</f>
        <v/>
      </c>
      <c r="H3379" s="42">
        <f>IFERROR(INDEX('Semrush Data'!$A$1:$Z$20000,MATCH(A3379,'Semrush Data'!$A$1:$A$20000,0),MATCH("Keyword Difficulty*",'Semrush Data'!$A$1:$Z$1,0)),"")</f>
        <v/>
      </c>
      <c r="I3379" s="56">
        <f>IFERROR(INDEX('Semrush Data'!$A$1:$Z$20000,MATCH(A3379,'Semrush Data'!$A$1:$A$20000,0),MATCH("CPC*",'Semrush Data'!$A$1:$Z$1,0)),"")</f>
        <v/>
      </c>
      <c r="J3379" s="42">
        <f>IFERROR(INDEX('Semrush Data'!$A$1:$Z$20000,MATCH(A3379,'Semrush Data'!$A$1:$A$20000,0),MATCH("Intent",'Semrush Data'!$A$1:$Z$1,0)),"")</f>
        <v/>
      </c>
    </row>
    <row r="3380" ht="15" customHeight="1" s="37">
      <c r="A3380" s="42" t="inlineStr">
        <is>
          <t>deyga light moisturising face cream price</t>
        </is>
      </c>
      <c r="B3380" s="42" t="inlineStr">
        <is>
          <t>Price</t>
        </is>
      </c>
      <c r="C3380" s="42" t="n">
        <v>3</v>
      </c>
      <c r="D3380" s="42" t="n">
        <v>34</v>
      </c>
      <c r="E3380" s="42" t="n">
        <v>1</v>
      </c>
      <c r="F3380" s="42" t="inlineStr">
        <is>
          <t>VD-093</t>
        </is>
      </c>
      <c r="G3380" s="55">
        <f>IFERROR(INDEX('Semrush Data'!$A$1:$Z$20000,MATCH(A3380,'Semrush Data'!$A$1:$A$20000,0),MATCH("Volume",'Semrush Data'!$A$1:$Z$1,0)),"")</f>
        <v/>
      </c>
      <c r="H3380" s="42">
        <f>IFERROR(INDEX('Semrush Data'!$A$1:$Z$20000,MATCH(A3380,'Semrush Data'!$A$1:$A$20000,0),MATCH("Keyword Difficulty*",'Semrush Data'!$A$1:$Z$1,0)),"")</f>
        <v/>
      </c>
      <c r="I3380" s="56">
        <f>IFERROR(INDEX('Semrush Data'!$A$1:$Z$20000,MATCH(A3380,'Semrush Data'!$A$1:$A$20000,0),MATCH("CPC*",'Semrush Data'!$A$1:$Z$1,0)),"")</f>
        <v/>
      </c>
      <c r="J3380" s="42">
        <f>IFERROR(INDEX('Semrush Data'!$A$1:$Z$20000,MATCH(A3380,'Semrush Data'!$A$1:$A$20000,0),MATCH("Intent",'Semrush Data'!$A$1:$Z$1,0)),"")</f>
        <v/>
      </c>
    </row>
    <row r="3381" ht="15" customHeight="1" s="37">
      <c r="A3381" s="42" t="inlineStr">
        <is>
          <t>deyga mini foot spa combo price</t>
        </is>
      </c>
      <c r="B3381" s="42" t="inlineStr">
        <is>
          <t>Price</t>
        </is>
      </c>
      <c r="C3381" s="42" t="n">
        <v>3</v>
      </c>
      <c r="D3381" s="42" t="n">
        <v>34</v>
      </c>
      <c r="E3381" s="42" t="n">
        <v>1</v>
      </c>
      <c r="F3381" s="42" t="inlineStr">
        <is>
          <t>VD-140</t>
        </is>
      </c>
      <c r="G3381" s="55">
        <f>IFERROR(INDEX('Semrush Data'!$A$1:$Z$20000,MATCH(A3381,'Semrush Data'!$A$1:$A$20000,0),MATCH("Volume",'Semrush Data'!$A$1:$Z$1,0)),"")</f>
        <v/>
      </c>
      <c r="H3381" s="42">
        <f>IFERROR(INDEX('Semrush Data'!$A$1:$Z$20000,MATCH(A3381,'Semrush Data'!$A$1:$A$20000,0),MATCH("Keyword Difficulty*",'Semrush Data'!$A$1:$Z$1,0)),"")</f>
        <v/>
      </c>
      <c r="I3381" s="56">
        <f>IFERROR(INDEX('Semrush Data'!$A$1:$Z$20000,MATCH(A3381,'Semrush Data'!$A$1:$A$20000,0),MATCH("CPC*",'Semrush Data'!$A$1:$Z$1,0)),"")</f>
        <v/>
      </c>
      <c r="J3381" s="42">
        <f>IFERROR(INDEX('Semrush Data'!$A$1:$Z$20000,MATCH(A3381,'Semrush Data'!$A$1:$A$20000,0),MATCH("Intent",'Semrush Data'!$A$1:$Z$1,0)),"")</f>
        <v/>
      </c>
    </row>
    <row r="3382" ht="15" customHeight="1" s="37">
      <c r="A3382" s="42" t="inlineStr">
        <is>
          <t>deyga mint lip scrub price</t>
        </is>
      </c>
      <c r="B3382" s="42" t="inlineStr">
        <is>
          <t>Price</t>
        </is>
      </c>
      <c r="C3382" s="42" t="n">
        <v>3</v>
      </c>
      <c r="D3382" s="42" t="n">
        <v>34</v>
      </c>
      <c r="E3382" s="42" t="n">
        <v>1</v>
      </c>
      <c r="F3382" s="42" t="inlineStr">
        <is>
          <t>VD-111</t>
        </is>
      </c>
      <c r="G3382" s="55">
        <f>IFERROR(INDEX('Semrush Data'!$A$1:$Z$20000,MATCH(A3382,'Semrush Data'!$A$1:$A$20000,0),MATCH("Volume",'Semrush Data'!$A$1:$Z$1,0)),"")</f>
        <v/>
      </c>
      <c r="H3382" s="42">
        <f>IFERROR(INDEX('Semrush Data'!$A$1:$Z$20000,MATCH(A3382,'Semrush Data'!$A$1:$A$20000,0),MATCH("Keyword Difficulty*",'Semrush Data'!$A$1:$Z$1,0)),"")</f>
        <v/>
      </c>
      <c r="I3382" s="56">
        <f>IFERROR(INDEX('Semrush Data'!$A$1:$Z$20000,MATCH(A3382,'Semrush Data'!$A$1:$A$20000,0),MATCH("CPC*",'Semrush Data'!$A$1:$Z$1,0)),"")</f>
        <v/>
      </c>
      <c r="J3382" s="42">
        <f>IFERROR(INDEX('Semrush Data'!$A$1:$Z$20000,MATCH(A3382,'Semrush Data'!$A$1:$A$20000,0),MATCH("Intent",'Semrush Data'!$A$1:$Z$1,0)),"")</f>
        <v/>
      </c>
    </row>
    <row r="3383" ht="15" customHeight="1" s="37">
      <c r="A3383" s="42" t="inlineStr">
        <is>
          <t>deyga natural hair care kit price</t>
        </is>
      </c>
      <c r="B3383" s="42" t="inlineStr">
        <is>
          <t>Price</t>
        </is>
      </c>
      <c r="C3383" s="42" t="n">
        <v>3</v>
      </c>
      <c r="D3383" s="42" t="n">
        <v>34</v>
      </c>
      <c r="E3383" s="42" t="n">
        <v>1</v>
      </c>
      <c r="F3383" s="42" t="inlineStr">
        <is>
          <t>VD-154</t>
        </is>
      </c>
      <c r="G3383" s="55">
        <f>IFERROR(INDEX('Semrush Data'!$A$1:$Z$20000,MATCH(A3383,'Semrush Data'!$A$1:$A$20000,0),MATCH("Volume",'Semrush Data'!$A$1:$Z$1,0)),"")</f>
        <v/>
      </c>
      <c r="H3383" s="42">
        <f>IFERROR(INDEX('Semrush Data'!$A$1:$Z$20000,MATCH(A3383,'Semrush Data'!$A$1:$A$20000,0),MATCH("Keyword Difficulty*",'Semrush Data'!$A$1:$Z$1,0)),"")</f>
        <v/>
      </c>
      <c r="I3383" s="56">
        <f>IFERROR(INDEX('Semrush Data'!$A$1:$Z$20000,MATCH(A3383,'Semrush Data'!$A$1:$A$20000,0),MATCH("CPC*",'Semrush Data'!$A$1:$Z$1,0)),"")</f>
        <v/>
      </c>
      <c r="J3383" s="42">
        <f>IFERROR(INDEX('Semrush Data'!$A$1:$Z$20000,MATCH(A3383,'Semrush Data'!$A$1:$A$20000,0),MATCH("Intent",'Semrush Data'!$A$1:$Z$1,0)),"")</f>
        <v/>
      </c>
    </row>
    <row r="3384" ht="15" customHeight="1" s="37">
      <c r="A3384" s="42" t="inlineStr">
        <is>
          <t>deyga natural lip balm price</t>
        </is>
      </c>
      <c r="B3384" s="42" t="inlineStr">
        <is>
          <t>Price</t>
        </is>
      </c>
      <c r="C3384" s="42" t="n">
        <v>3</v>
      </c>
      <c r="D3384" s="42" t="n">
        <v>34</v>
      </c>
      <c r="E3384" s="42" t="n">
        <v>1</v>
      </c>
      <c r="F3384" s="42" t="inlineStr">
        <is>
          <t>VD-106</t>
        </is>
      </c>
      <c r="G3384" s="55">
        <f>IFERROR(INDEX('Semrush Data'!$A$1:$Z$20000,MATCH(A3384,'Semrush Data'!$A$1:$A$20000,0),MATCH("Volume",'Semrush Data'!$A$1:$Z$1,0)),"")</f>
        <v/>
      </c>
      <c r="H3384" s="42">
        <f>IFERROR(INDEX('Semrush Data'!$A$1:$Z$20000,MATCH(A3384,'Semrush Data'!$A$1:$A$20000,0),MATCH("Keyword Difficulty*",'Semrush Data'!$A$1:$Z$1,0)),"")</f>
        <v/>
      </c>
      <c r="I3384" s="56">
        <f>IFERROR(INDEX('Semrush Data'!$A$1:$Z$20000,MATCH(A3384,'Semrush Data'!$A$1:$A$20000,0),MATCH("CPC*",'Semrush Data'!$A$1:$Z$1,0)),"")</f>
        <v/>
      </c>
      <c r="J3384" s="42">
        <f>IFERROR(INDEX('Semrush Data'!$A$1:$Z$20000,MATCH(A3384,'Semrush Data'!$A$1:$A$20000,0),MATCH("Intent",'Semrush Data'!$A$1:$Z$1,0)),"")</f>
        <v/>
      </c>
    </row>
    <row r="3385" ht="15" customHeight="1" s="37">
      <c r="A3385" s="42" t="inlineStr">
        <is>
          <t>deyga natural loose setting powder price</t>
        </is>
      </c>
      <c r="B3385" s="42" t="inlineStr">
        <is>
          <t>Price</t>
        </is>
      </c>
      <c r="C3385" s="42" t="n">
        <v>3</v>
      </c>
      <c r="D3385" s="42" t="n">
        <v>34</v>
      </c>
      <c r="E3385" s="42" t="n">
        <v>1</v>
      </c>
      <c r="F3385" s="42" t="inlineStr">
        <is>
          <t>VD-135</t>
        </is>
      </c>
      <c r="G3385" s="55">
        <f>IFERROR(INDEX('Semrush Data'!$A$1:$Z$20000,MATCH(A3385,'Semrush Data'!$A$1:$A$20000,0),MATCH("Volume",'Semrush Data'!$A$1:$Z$1,0)),"")</f>
        <v/>
      </c>
      <c r="H3385" s="42">
        <f>IFERROR(INDEX('Semrush Data'!$A$1:$Z$20000,MATCH(A3385,'Semrush Data'!$A$1:$A$20000,0),MATCH("Keyword Difficulty*",'Semrush Data'!$A$1:$Z$1,0)),"")</f>
        <v/>
      </c>
      <c r="I3385" s="56">
        <f>IFERROR(INDEX('Semrush Data'!$A$1:$Z$20000,MATCH(A3385,'Semrush Data'!$A$1:$A$20000,0),MATCH("CPC*",'Semrush Data'!$A$1:$Z$1,0)),"")</f>
        <v/>
      </c>
      <c r="J3385" s="42">
        <f>IFERROR(INDEX('Semrush Data'!$A$1:$Z$20000,MATCH(A3385,'Semrush Data'!$A$1:$A$20000,0),MATCH("Intent",'Semrush Data'!$A$1:$Z$1,0)),"")</f>
        <v/>
      </c>
    </row>
    <row r="3386" ht="15" customHeight="1" s="37">
      <c r="A3386" s="42" t="inlineStr">
        <is>
          <t>deyga neem &amp; turmeric bath bar price</t>
        </is>
      </c>
      <c r="B3386" s="42" t="inlineStr">
        <is>
          <t>Price</t>
        </is>
      </c>
      <c r="C3386" s="42" t="n">
        <v>3</v>
      </c>
      <c r="D3386" s="42" t="n">
        <v>34</v>
      </c>
      <c r="E3386" s="42" t="n">
        <v>1</v>
      </c>
      <c r="F3386" s="42" t="inlineStr">
        <is>
          <t>VD-110</t>
        </is>
      </c>
      <c r="G3386" s="55">
        <f>IFERROR(INDEX('Semrush Data'!$A$1:$Z$20000,MATCH(A3386,'Semrush Data'!$A$1:$A$20000,0),MATCH("Volume",'Semrush Data'!$A$1:$Z$1,0)),"")</f>
        <v/>
      </c>
      <c r="H3386" s="42">
        <f>IFERROR(INDEX('Semrush Data'!$A$1:$Z$20000,MATCH(A3386,'Semrush Data'!$A$1:$A$20000,0),MATCH("Keyword Difficulty*",'Semrush Data'!$A$1:$Z$1,0)),"")</f>
        <v/>
      </c>
      <c r="I3386" s="56">
        <f>IFERROR(INDEX('Semrush Data'!$A$1:$Z$20000,MATCH(A3386,'Semrush Data'!$A$1:$A$20000,0),MATCH("CPC*",'Semrush Data'!$A$1:$Z$1,0)),"")</f>
        <v/>
      </c>
      <c r="J3386" s="42">
        <f>IFERROR(INDEX('Semrush Data'!$A$1:$Z$20000,MATCH(A3386,'Semrush Data'!$A$1:$A$20000,0),MATCH("Intent",'Semrush Data'!$A$1:$Z$1,0)),"")</f>
        <v/>
      </c>
    </row>
    <row r="3387" ht="15" customHeight="1" s="37">
      <c r="A3387" s="42" t="inlineStr">
        <is>
          <t>deyga neem seed oil price</t>
        </is>
      </c>
      <c r="B3387" s="42" t="inlineStr">
        <is>
          <t>Price</t>
        </is>
      </c>
      <c r="C3387" s="42" t="n">
        <v>3</v>
      </c>
      <c r="D3387" s="42" t="n">
        <v>34</v>
      </c>
      <c r="E3387" s="42" t="n">
        <v>1</v>
      </c>
      <c r="F3387" s="42" t="inlineStr">
        <is>
          <t>VD-097</t>
        </is>
      </c>
      <c r="G3387" s="55">
        <f>IFERROR(INDEX('Semrush Data'!$A$1:$Z$20000,MATCH(A3387,'Semrush Data'!$A$1:$A$20000,0),MATCH("Volume",'Semrush Data'!$A$1:$Z$1,0)),"")</f>
        <v/>
      </c>
      <c r="H3387" s="42">
        <f>IFERROR(INDEX('Semrush Data'!$A$1:$Z$20000,MATCH(A3387,'Semrush Data'!$A$1:$A$20000,0),MATCH("Keyword Difficulty*",'Semrush Data'!$A$1:$Z$1,0)),"")</f>
        <v/>
      </c>
      <c r="I3387" s="56">
        <f>IFERROR(INDEX('Semrush Data'!$A$1:$Z$20000,MATCH(A3387,'Semrush Data'!$A$1:$A$20000,0),MATCH("CPC*",'Semrush Data'!$A$1:$Z$1,0)),"")</f>
        <v/>
      </c>
      <c r="J3387" s="42">
        <f>IFERROR(INDEX('Semrush Data'!$A$1:$Z$20000,MATCH(A3387,'Semrush Data'!$A$1:$A$20000,0),MATCH("Intent",'Semrush Data'!$A$1:$Z$1,0)),"")</f>
        <v/>
      </c>
    </row>
    <row r="3388" ht="15" customHeight="1" s="37">
      <c r="A3388" s="42" t="inlineStr">
        <is>
          <t>deyga nourished lip care kit price</t>
        </is>
      </c>
      <c r="B3388" s="42" t="inlineStr">
        <is>
          <t>Price</t>
        </is>
      </c>
      <c r="C3388" s="42" t="n">
        <v>3</v>
      </c>
      <c r="D3388" s="42" t="n">
        <v>34</v>
      </c>
      <c r="E3388" s="42" t="n">
        <v>1</v>
      </c>
      <c r="F3388" s="42" t="inlineStr">
        <is>
          <t>VD-153</t>
        </is>
      </c>
      <c r="G3388" s="55">
        <f>IFERROR(INDEX('Semrush Data'!$A$1:$Z$20000,MATCH(A3388,'Semrush Data'!$A$1:$A$20000,0),MATCH("Volume",'Semrush Data'!$A$1:$Z$1,0)),"")</f>
        <v/>
      </c>
      <c r="H3388" s="42">
        <f>IFERROR(INDEX('Semrush Data'!$A$1:$Z$20000,MATCH(A3388,'Semrush Data'!$A$1:$A$20000,0),MATCH("Keyword Difficulty*",'Semrush Data'!$A$1:$Z$1,0)),"")</f>
        <v/>
      </c>
      <c r="I3388" s="56">
        <f>IFERROR(INDEX('Semrush Data'!$A$1:$Z$20000,MATCH(A3388,'Semrush Data'!$A$1:$A$20000,0),MATCH("CPC*",'Semrush Data'!$A$1:$Z$1,0)),"")</f>
        <v/>
      </c>
      <c r="J3388" s="42">
        <f>IFERROR(INDEX('Semrush Data'!$A$1:$Z$20000,MATCH(A3388,'Semrush Data'!$A$1:$A$20000,0),MATCH("Intent",'Semrush Data'!$A$1:$Z$1,0)),"")</f>
        <v/>
      </c>
    </row>
    <row r="3389" ht="15" customHeight="1" s="37">
      <c r="A3389" s="42" t="inlineStr">
        <is>
          <t>deyga nourished lips stick kit price</t>
        </is>
      </c>
      <c r="B3389" s="42" t="inlineStr">
        <is>
          <t>Price</t>
        </is>
      </c>
      <c r="C3389" s="42" t="n">
        <v>3</v>
      </c>
      <c r="D3389" s="42" t="n">
        <v>34</v>
      </c>
      <c r="E3389" s="42" t="n">
        <v>1</v>
      </c>
      <c r="F3389" s="42" t="inlineStr">
        <is>
          <t>VD-156</t>
        </is>
      </c>
      <c r="G3389" s="55">
        <f>IFERROR(INDEX('Semrush Data'!$A$1:$Z$20000,MATCH(A3389,'Semrush Data'!$A$1:$A$20000,0),MATCH("Volume",'Semrush Data'!$A$1:$Z$1,0)),"")</f>
        <v/>
      </c>
      <c r="H3389" s="42">
        <f>IFERROR(INDEX('Semrush Data'!$A$1:$Z$20000,MATCH(A3389,'Semrush Data'!$A$1:$A$20000,0),MATCH("Keyword Difficulty*",'Semrush Data'!$A$1:$Z$1,0)),"")</f>
        <v/>
      </c>
      <c r="I3389" s="56">
        <f>IFERROR(INDEX('Semrush Data'!$A$1:$Z$20000,MATCH(A3389,'Semrush Data'!$A$1:$A$20000,0),MATCH("CPC*",'Semrush Data'!$A$1:$Z$1,0)),"")</f>
        <v/>
      </c>
      <c r="J3389" s="42">
        <f>IFERROR(INDEX('Semrush Data'!$A$1:$Z$20000,MATCH(A3389,'Semrush Data'!$A$1:$A$20000,0),MATCH("Intent",'Semrush Data'!$A$1:$Z$1,0)),"")</f>
        <v/>
      </c>
    </row>
    <row r="3390" ht="15" customHeight="1" s="37">
      <c r="A3390" s="42" t="inlineStr">
        <is>
          <t>deyga oat milk face wash price</t>
        </is>
      </c>
      <c r="B3390" s="42" t="inlineStr">
        <is>
          <t>Price</t>
        </is>
      </c>
      <c r="C3390" s="42" t="n">
        <v>3</v>
      </c>
      <c r="D3390" s="42" t="n">
        <v>34</v>
      </c>
      <c r="E3390" s="42" t="n">
        <v>1</v>
      </c>
      <c r="F3390" s="42" t="inlineStr">
        <is>
          <t>VD-113</t>
        </is>
      </c>
      <c r="G3390" s="55">
        <f>IFERROR(INDEX('Semrush Data'!$A$1:$Z$20000,MATCH(A3390,'Semrush Data'!$A$1:$A$20000,0),MATCH("Volume",'Semrush Data'!$A$1:$Z$1,0)),"")</f>
        <v/>
      </c>
      <c r="H3390" s="42">
        <f>IFERROR(INDEX('Semrush Data'!$A$1:$Z$20000,MATCH(A3390,'Semrush Data'!$A$1:$A$20000,0),MATCH("Keyword Difficulty*",'Semrush Data'!$A$1:$Z$1,0)),"")</f>
        <v/>
      </c>
      <c r="I3390" s="56">
        <f>IFERROR(INDEX('Semrush Data'!$A$1:$Z$20000,MATCH(A3390,'Semrush Data'!$A$1:$A$20000,0),MATCH("CPC*",'Semrush Data'!$A$1:$Z$1,0)),"")</f>
        <v/>
      </c>
      <c r="J3390" s="42">
        <f>IFERROR(INDEX('Semrush Data'!$A$1:$Z$20000,MATCH(A3390,'Semrush Data'!$A$1:$A$20000,0),MATCH("Intent",'Semrush Data'!$A$1:$Z$1,0)),"")</f>
        <v/>
      </c>
    </row>
    <row r="3391" ht="15" customHeight="1" s="37">
      <c r="A3391" s="42" t="inlineStr">
        <is>
          <t>deyga orange &amp; almond face pack powder price</t>
        </is>
      </c>
      <c r="B3391" s="42" t="inlineStr">
        <is>
          <t>Price</t>
        </is>
      </c>
      <c r="C3391" s="42" t="n">
        <v>3</v>
      </c>
      <c r="D3391" s="42" t="n">
        <v>34</v>
      </c>
      <c r="E3391" s="42" t="n">
        <v>1</v>
      </c>
      <c r="F3391" s="42" t="inlineStr">
        <is>
          <t>VD-088</t>
        </is>
      </c>
      <c r="G3391" s="55">
        <f>IFERROR(INDEX('Semrush Data'!$A$1:$Z$20000,MATCH(A3391,'Semrush Data'!$A$1:$A$20000,0),MATCH("Volume",'Semrush Data'!$A$1:$Z$1,0)),"")</f>
        <v/>
      </c>
      <c r="H3391" s="42">
        <f>IFERROR(INDEX('Semrush Data'!$A$1:$Z$20000,MATCH(A3391,'Semrush Data'!$A$1:$A$20000,0),MATCH("Keyword Difficulty*",'Semrush Data'!$A$1:$Z$1,0)),"")</f>
        <v/>
      </c>
      <c r="I3391" s="56">
        <f>IFERROR(INDEX('Semrush Data'!$A$1:$Z$20000,MATCH(A3391,'Semrush Data'!$A$1:$A$20000,0),MATCH("CPC*",'Semrush Data'!$A$1:$Z$1,0)),"")</f>
        <v/>
      </c>
      <c r="J3391" s="42">
        <f>IFERROR(INDEX('Semrush Data'!$A$1:$Z$20000,MATCH(A3391,'Semrush Data'!$A$1:$A$20000,0),MATCH("Intent",'Semrush Data'!$A$1:$Z$1,0)),"")</f>
        <v/>
      </c>
    </row>
    <row r="3392" ht="15" customHeight="1" s="37">
      <c r="A3392" s="42" t="inlineStr">
        <is>
          <t>deyga organic loofah for body exfoliation price</t>
        </is>
      </c>
      <c r="B3392" s="42" t="inlineStr">
        <is>
          <t>Price</t>
        </is>
      </c>
      <c r="C3392" s="42" t="n">
        <v>3</v>
      </c>
      <c r="D3392" s="42" t="n">
        <v>34</v>
      </c>
      <c r="E3392" s="42" t="n">
        <v>1</v>
      </c>
      <c r="F3392" s="42" t="inlineStr">
        <is>
          <t>VD-102</t>
        </is>
      </c>
      <c r="G3392" s="55">
        <f>IFERROR(INDEX('Semrush Data'!$A$1:$Z$20000,MATCH(A3392,'Semrush Data'!$A$1:$A$20000,0),MATCH("Volume",'Semrush Data'!$A$1:$Z$1,0)),"")</f>
        <v/>
      </c>
      <c r="H3392" s="42">
        <f>IFERROR(INDEX('Semrush Data'!$A$1:$Z$20000,MATCH(A3392,'Semrush Data'!$A$1:$A$20000,0),MATCH("Keyword Difficulty*",'Semrush Data'!$A$1:$Z$1,0)),"")</f>
        <v/>
      </c>
      <c r="I3392" s="56">
        <f>IFERROR(INDEX('Semrush Data'!$A$1:$Z$20000,MATCH(A3392,'Semrush Data'!$A$1:$A$20000,0),MATCH("CPC*",'Semrush Data'!$A$1:$Z$1,0)),"")</f>
        <v/>
      </c>
      <c r="J3392" s="42">
        <f>IFERROR(INDEX('Semrush Data'!$A$1:$Z$20000,MATCH(A3392,'Semrush Data'!$A$1:$A$20000,0),MATCH("Intent",'Semrush Data'!$A$1:$Z$1,0)),"")</f>
        <v/>
      </c>
    </row>
    <row r="3393" ht="15" customHeight="1" s="37">
      <c r="A3393" s="42" t="inlineStr">
        <is>
          <t>deyga plant based hair color – black price</t>
        </is>
      </c>
      <c r="B3393" s="42" t="inlineStr">
        <is>
          <t>Price</t>
        </is>
      </c>
      <c r="C3393" s="42" t="n">
        <v>3</v>
      </c>
      <c r="D3393" s="42" t="n">
        <v>34</v>
      </c>
      <c r="E3393" s="42" t="n">
        <v>1</v>
      </c>
      <c r="F3393" s="42" t="inlineStr">
        <is>
          <t>VD-125</t>
        </is>
      </c>
      <c r="G3393" s="55">
        <f>IFERROR(INDEX('Semrush Data'!$A$1:$Z$20000,MATCH(A3393,'Semrush Data'!$A$1:$A$20000,0),MATCH("Volume",'Semrush Data'!$A$1:$Z$1,0)),"")</f>
        <v/>
      </c>
      <c r="H3393" s="42">
        <f>IFERROR(INDEX('Semrush Data'!$A$1:$Z$20000,MATCH(A3393,'Semrush Data'!$A$1:$A$20000,0),MATCH("Keyword Difficulty*",'Semrush Data'!$A$1:$Z$1,0)),"")</f>
        <v/>
      </c>
      <c r="I3393" s="56">
        <f>IFERROR(INDEX('Semrush Data'!$A$1:$Z$20000,MATCH(A3393,'Semrush Data'!$A$1:$A$20000,0),MATCH("CPC*",'Semrush Data'!$A$1:$Z$1,0)),"")</f>
        <v/>
      </c>
      <c r="J3393" s="42">
        <f>IFERROR(INDEX('Semrush Data'!$A$1:$Z$20000,MATCH(A3393,'Semrush Data'!$A$1:$A$20000,0),MATCH("Intent",'Semrush Data'!$A$1:$Z$1,0)),"")</f>
        <v/>
      </c>
    </row>
    <row r="3394" ht="15" customHeight="1" s="37">
      <c r="A3394" s="42" t="inlineStr">
        <is>
          <t>deyga premature greying hair oil price</t>
        </is>
      </c>
      <c r="B3394" s="42" t="inlineStr">
        <is>
          <t>Price</t>
        </is>
      </c>
      <c r="C3394" s="42" t="n">
        <v>3</v>
      </c>
      <c r="D3394" s="42" t="n">
        <v>34</v>
      </c>
      <c r="E3394" s="42" t="n">
        <v>1</v>
      </c>
      <c r="F3394" s="42" t="inlineStr">
        <is>
          <t>VD-089</t>
        </is>
      </c>
      <c r="G3394" s="55">
        <f>IFERROR(INDEX('Semrush Data'!$A$1:$Z$20000,MATCH(A3394,'Semrush Data'!$A$1:$A$20000,0),MATCH("Volume",'Semrush Data'!$A$1:$Z$1,0)),"")</f>
        <v/>
      </c>
      <c r="H3394" s="42">
        <f>IFERROR(INDEX('Semrush Data'!$A$1:$Z$20000,MATCH(A3394,'Semrush Data'!$A$1:$A$20000,0),MATCH("Keyword Difficulty*",'Semrush Data'!$A$1:$Z$1,0)),"")</f>
        <v/>
      </c>
      <c r="I3394" s="56">
        <f>IFERROR(INDEX('Semrush Data'!$A$1:$Z$20000,MATCH(A3394,'Semrush Data'!$A$1:$A$20000,0),MATCH("CPC*",'Semrush Data'!$A$1:$Z$1,0)),"")</f>
        <v/>
      </c>
      <c r="J3394" s="42">
        <f>IFERROR(INDEX('Semrush Data'!$A$1:$Z$20000,MATCH(A3394,'Semrush Data'!$A$1:$A$20000,0),MATCH("Intent",'Semrush Data'!$A$1:$Z$1,0)),"")</f>
        <v/>
      </c>
    </row>
    <row r="3395" ht="15" customHeight="1" s="37">
      <c r="A3395" s="42" t="inlineStr">
        <is>
          <t>deyga pure aloe vera gel price</t>
        </is>
      </c>
      <c r="B3395" s="42" t="inlineStr">
        <is>
          <t>Price</t>
        </is>
      </c>
      <c r="C3395" s="42" t="n">
        <v>3</v>
      </c>
      <c r="D3395" s="42" t="n">
        <v>34</v>
      </c>
      <c r="E3395" s="42" t="n">
        <v>1</v>
      </c>
      <c r="F3395" s="42" t="inlineStr">
        <is>
          <t>VD-124</t>
        </is>
      </c>
      <c r="G3395" s="55">
        <f>IFERROR(INDEX('Semrush Data'!$A$1:$Z$20000,MATCH(A3395,'Semrush Data'!$A$1:$A$20000,0),MATCH("Volume",'Semrush Data'!$A$1:$Z$1,0)),"")</f>
        <v/>
      </c>
      <c r="H3395" s="42">
        <f>IFERROR(INDEX('Semrush Data'!$A$1:$Z$20000,MATCH(A3395,'Semrush Data'!$A$1:$A$20000,0),MATCH("Keyword Difficulty*",'Semrush Data'!$A$1:$Z$1,0)),"")</f>
        <v/>
      </c>
      <c r="I3395" s="56">
        <f>IFERROR(INDEX('Semrush Data'!$A$1:$Z$20000,MATCH(A3395,'Semrush Data'!$A$1:$A$20000,0),MATCH("CPC*",'Semrush Data'!$A$1:$Z$1,0)),"")</f>
        <v/>
      </c>
      <c r="J3395" s="42">
        <f>IFERROR(INDEX('Semrush Data'!$A$1:$Z$20000,MATCH(A3395,'Semrush Data'!$A$1:$A$20000,0),MATCH("Intent",'Semrush Data'!$A$1:$Z$1,0)),"")</f>
        <v/>
      </c>
    </row>
    <row r="3396" ht="15" customHeight="1" s="37">
      <c r="A3396" s="42" t="inlineStr">
        <is>
          <t>deyga pure rose water toner price</t>
        </is>
      </c>
      <c r="B3396" s="42" t="inlineStr">
        <is>
          <t>Price</t>
        </is>
      </c>
      <c r="C3396" s="42" t="n">
        <v>3</v>
      </c>
      <c r="D3396" s="42" t="n">
        <v>34</v>
      </c>
      <c r="E3396" s="42" t="n">
        <v>1</v>
      </c>
      <c r="F3396" s="42" t="inlineStr">
        <is>
          <t>VD-115</t>
        </is>
      </c>
      <c r="G3396" s="55">
        <f>IFERROR(INDEX('Semrush Data'!$A$1:$Z$20000,MATCH(A3396,'Semrush Data'!$A$1:$A$20000,0),MATCH("Volume",'Semrush Data'!$A$1:$Z$1,0)),"")</f>
        <v/>
      </c>
      <c r="H3396" s="42">
        <f>IFERROR(INDEX('Semrush Data'!$A$1:$Z$20000,MATCH(A3396,'Semrush Data'!$A$1:$A$20000,0),MATCH("Keyword Difficulty*",'Semrush Data'!$A$1:$Z$1,0)),"")</f>
        <v/>
      </c>
      <c r="I3396" s="56">
        <f>IFERROR(INDEX('Semrush Data'!$A$1:$Z$20000,MATCH(A3396,'Semrush Data'!$A$1:$A$20000,0),MATCH("CPC*",'Semrush Data'!$A$1:$Z$1,0)),"")</f>
        <v/>
      </c>
      <c r="J3396" s="42">
        <f>IFERROR(INDEX('Semrush Data'!$A$1:$Z$20000,MATCH(A3396,'Semrush Data'!$A$1:$A$20000,0),MATCH("Intent",'Semrush Data'!$A$1:$Z$1,0)),"")</f>
        <v/>
      </c>
    </row>
    <row r="3397" ht="15" customHeight="1" s="37">
      <c r="A3397" s="42" t="inlineStr">
        <is>
          <t>deyga rice water shampoo price</t>
        </is>
      </c>
      <c r="B3397" s="42" t="inlineStr">
        <is>
          <t>Price</t>
        </is>
      </c>
      <c r="C3397" s="42" t="n">
        <v>3</v>
      </c>
      <c r="D3397" s="42" t="n">
        <v>34</v>
      </c>
      <c r="E3397" s="42" t="n">
        <v>1</v>
      </c>
      <c r="F3397" s="42" t="inlineStr">
        <is>
          <t>VD-126</t>
        </is>
      </c>
      <c r="G3397" s="55">
        <f>IFERROR(INDEX('Semrush Data'!$A$1:$Z$20000,MATCH(A3397,'Semrush Data'!$A$1:$A$20000,0),MATCH("Volume",'Semrush Data'!$A$1:$Z$1,0)),"")</f>
        <v/>
      </c>
      <c r="H3397" s="42">
        <f>IFERROR(INDEX('Semrush Data'!$A$1:$Z$20000,MATCH(A3397,'Semrush Data'!$A$1:$A$20000,0),MATCH("Keyword Difficulty*",'Semrush Data'!$A$1:$Z$1,0)),"")</f>
        <v/>
      </c>
      <c r="I3397" s="56">
        <f>IFERROR(INDEX('Semrush Data'!$A$1:$Z$20000,MATCH(A3397,'Semrush Data'!$A$1:$A$20000,0),MATCH("CPC*",'Semrush Data'!$A$1:$Z$1,0)),"")</f>
        <v/>
      </c>
      <c r="J3397" s="42">
        <f>IFERROR(INDEX('Semrush Data'!$A$1:$Z$20000,MATCH(A3397,'Semrush Data'!$A$1:$A$20000,0),MATCH("Intent",'Semrush Data'!$A$1:$Z$1,0)),"")</f>
        <v/>
      </c>
    </row>
    <row r="3398" ht="15" customHeight="1" s="37">
      <c r="A3398" s="42" t="inlineStr">
        <is>
          <t>deyga rose &amp; geranium body butter price</t>
        </is>
      </c>
      <c r="B3398" s="42" t="inlineStr">
        <is>
          <t>Price</t>
        </is>
      </c>
      <c r="C3398" s="42" t="n">
        <v>3</v>
      </c>
      <c r="D3398" s="42" t="n">
        <v>34</v>
      </c>
      <c r="E3398" s="42" t="n">
        <v>1</v>
      </c>
      <c r="F3398" s="42" t="inlineStr">
        <is>
          <t>VD-091</t>
        </is>
      </c>
      <c r="G3398" s="55">
        <f>IFERROR(INDEX('Semrush Data'!$A$1:$Z$20000,MATCH(A3398,'Semrush Data'!$A$1:$A$20000,0),MATCH("Volume",'Semrush Data'!$A$1:$Z$1,0)),"")</f>
        <v/>
      </c>
      <c r="H3398" s="42">
        <f>IFERROR(INDEX('Semrush Data'!$A$1:$Z$20000,MATCH(A3398,'Semrush Data'!$A$1:$A$20000,0),MATCH("Keyword Difficulty*",'Semrush Data'!$A$1:$Z$1,0)),"")</f>
        <v/>
      </c>
      <c r="I3398" s="56">
        <f>IFERROR(INDEX('Semrush Data'!$A$1:$Z$20000,MATCH(A3398,'Semrush Data'!$A$1:$A$20000,0),MATCH("CPC*",'Semrush Data'!$A$1:$Z$1,0)),"")</f>
        <v/>
      </c>
      <c r="J3398" s="42">
        <f>IFERROR(INDEX('Semrush Data'!$A$1:$Z$20000,MATCH(A3398,'Semrush Data'!$A$1:$A$20000,0),MATCH("Intent",'Semrush Data'!$A$1:$Z$1,0)),"")</f>
        <v/>
      </c>
    </row>
    <row r="3399" ht="15" customHeight="1" s="37">
      <c r="A3399" s="42" t="inlineStr">
        <is>
          <t>deyga rose &amp; mulethi skin brightening pack price</t>
        </is>
      </c>
      <c r="B3399" s="42" t="inlineStr">
        <is>
          <t>Price</t>
        </is>
      </c>
      <c r="C3399" s="42" t="n">
        <v>3</v>
      </c>
      <c r="D3399" s="42" t="n">
        <v>34</v>
      </c>
      <c r="E3399" s="42" t="n">
        <v>2</v>
      </c>
      <c r="F3399" s="42" t="inlineStr">
        <is>
          <t>VD-116, VD-119</t>
        </is>
      </c>
      <c r="G3399" s="55">
        <f>IFERROR(INDEX('Semrush Data'!$A$1:$Z$20000,MATCH(A3399,'Semrush Data'!$A$1:$A$20000,0),MATCH("Volume",'Semrush Data'!$A$1:$Z$1,0)),"")</f>
        <v/>
      </c>
      <c r="H3399" s="42">
        <f>IFERROR(INDEX('Semrush Data'!$A$1:$Z$20000,MATCH(A3399,'Semrush Data'!$A$1:$A$20000,0),MATCH("Keyword Difficulty*",'Semrush Data'!$A$1:$Z$1,0)),"")</f>
        <v/>
      </c>
      <c r="I3399" s="56">
        <f>IFERROR(INDEX('Semrush Data'!$A$1:$Z$20000,MATCH(A3399,'Semrush Data'!$A$1:$A$20000,0),MATCH("CPC*",'Semrush Data'!$A$1:$Z$1,0)),"")</f>
        <v/>
      </c>
      <c r="J3399" s="42">
        <f>IFERROR(INDEX('Semrush Data'!$A$1:$Z$20000,MATCH(A3399,'Semrush Data'!$A$1:$A$20000,0),MATCH("Intent",'Semrush Data'!$A$1:$Z$1,0)),"")</f>
        <v/>
      </c>
    </row>
    <row r="3400" ht="15" customHeight="1" s="37">
      <c r="A3400" s="42" t="inlineStr">
        <is>
          <t>deyga rose glow serum price</t>
        </is>
      </c>
      <c r="B3400" s="42" t="inlineStr">
        <is>
          <t>Price</t>
        </is>
      </c>
      <c r="C3400" s="42" t="n">
        <v>3</v>
      </c>
      <c r="D3400" s="42" t="n">
        <v>34</v>
      </c>
      <c r="E3400" s="42" t="n">
        <v>1</v>
      </c>
      <c r="F3400" s="42" t="inlineStr">
        <is>
          <t>VD-092</t>
        </is>
      </c>
      <c r="G3400" s="55">
        <f>IFERROR(INDEX('Semrush Data'!$A$1:$Z$20000,MATCH(A3400,'Semrush Data'!$A$1:$A$20000,0),MATCH("Volume",'Semrush Data'!$A$1:$Z$1,0)),"")</f>
        <v/>
      </c>
      <c r="H3400" s="42">
        <f>IFERROR(INDEX('Semrush Data'!$A$1:$Z$20000,MATCH(A3400,'Semrush Data'!$A$1:$A$20000,0),MATCH("Keyword Difficulty*",'Semrush Data'!$A$1:$Z$1,0)),"")</f>
        <v/>
      </c>
      <c r="I3400" s="56">
        <f>IFERROR(INDEX('Semrush Data'!$A$1:$Z$20000,MATCH(A3400,'Semrush Data'!$A$1:$A$20000,0),MATCH("CPC*",'Semrush Data'!$A$1:$Z$1,0)),"")</f>
        <v/>
      </c>
      <c r="J3400" s="42">
        <f>IFERROR(INDEX('Semrush Data'!$A$1:$Z$20000,MATCH(A3400,'Semrush Data'!$A$1:$A$20000,0),MATCH("Intent",'Semrush Data'!$A$1:$Z$1,0)),"")</f>
        <v/>
      </c>
    </row>
    <row r="3401" ht="15" customHeight="1" s="37">
      <c r="A3401" s="42" t="inlineStr">
        <is>
          <t>deyga rose pink clay bath bar price</t>
        </is>
      </c>
      <c r="B3401" s="42" t="inlineStr">
        <is>
          <t>Price</t>
        </is>
      </c>
      <c r="C3401" s="42" t="n">
        <v>3</v>
      </c>
      <c r="D3401" s="42" t="n">
        <v>34</v>
      </c>
      <c r="E3401" s="42" t="n">
        <v>1</v>
      </c>
      <c r="F3401" s="42" t="inlineStr">
        <is>
          <t>VD-109</t>
        </is>
      </c>
      <c r="G3401" s="55">
        <f>IFERROR(INDEX('Semrush Data'!$A$1:$Z$20000,MATCH(A3401,'Semrush Data'!$A$1:$A$20000,0),MATCH("Volume",'Semrush Data'!$A$1:$Z$1,0)),"")</f>
        <v/>
      </c>
      <c r="H3401" s="42">
        <f>IFERROR(INDEX('Semrush Data'!$A$1:$Z$20000,MATCH(A3401,'Semrush Data'!$A$1:$A$20000,0),MATCH("Keyword Difficulty*",'Semrush Data'!$A$1:$Z$1,0)),"")</f>
        <v/>
      </c>
      <c r="I3401" s="56">
        <f>IFERROR(INDEX('Semrush Data'!$A$1:$Z$20000,MATCH(A3401,'Semrush Data'!$A$1:$A$20000,0),MATCH("CPC*",'Semrush Data'!$A$1:$Z$1,0)),"")</f>
        <v/>
      </c>
      <c r="J3401" s="42">
        <f>IFERROR(INDEX('Semrush Data'!$A$1:$Z$20000,MATCH(A3401,'Semrush Data'!$A$1:$A$20000,0),MATCH("Intent",'Semrush Data'!$A$1:$Z$1,0)),"")</f>
        <v/>
      </c>
    </row>
    <row r="3402" ht="15" customHeight="1" s="37">
      <c r="A3402" s="42" t="inlineStr">
        <is>
          <t>deyga sensitive skin kit price</t>
        </is>
      </c>
      <c r="B3402" s="42" t="inlineStr">
        <is>
          <t>Price</t>
        </is>
      </c>
      <c r="C3402" s="42" t="n">
        <v>3</v>
      </c>
      <c r="D3402" s="42" t="n">
        <v>35</v>
      </c>
      <c r="E3402" s="42" t="n">
        <v>1</v>
      </c>
      <c r="F3402" s="42" t="inlineStr">
        <is>
          <t>VD-148</t>
        </is>
      </c>
      <c r="G3402" s="55">
        <f>IFERROR(INDEX('Semrush Data'!$A$1:$Z$20000,MATCH(A3402,'Semrush Data'!$A$1:$A$20000,0),MATCH("Volume",'Semrush Data'!$A$1:$Z$1,0)),"")</f>
        <v/>
      </c>
      <c r="H3402" s="42">
        <f>IFERROR(INDEX('Semrush Data'!$A$1:$Z$20000,MATCH(A3402,'Semrush Data'!$A$1:$A$20000,0),MATCH("Keyword Difficulty*",'Semrush Data'!$A$1:$Z$1,0)),"")</f>
        <v/>
      </c>
      <c r="I3402" s="56">
        <f>IFERROR(INDEX('Semrush Data'!$A$1:$Z$20000,MATCH(A3402,'Semrush Data'!$A$1:$A$20000,0),MATCH("CPC*",'Semrush Data'!$A$1:$Z$1,0)),"")</f>
        <v/>
      </c>
      <c r="J3402" s="42">
        <f>IFERROR(INDEX('Semrush Data'!$A$1:$Z$20000,MATCH(A3402,'Semrush Data'!$A$1:$A$20000,0),MATCH("Intent",'Semrush Data'!$A$1:$Z$1,0)),"")</f>
        <v/>
      </c>
    </row>
    <row r="3403" ht="15" customHeight="1" s="37">
      <c r="A3403" s="42" t="inlineStr">
        <is>
          <t>deyga shea saffron bath bar price</t>
        </is>
      </c>
      <c r="B3403" s="42" t="inlineStr">
        <is>
          <t>Price</t>
        </is>
      </c>
      <c r="C3403" s="42" t="n">
        <v>3</v>
      </c>
      <c r="D3403" s="42" t="n">
        <v>35</v>
      </c>
      <c r="E3403" s="42" t="n">
        <v>1</v>
      </c>
      <c r="F3403" s="42" t="inlineStr">
        <is>
          <t>VD-108</t>
        </is>
      </c>
      <c r="G3403" s="55">
        <f>IFERROR(INDEX('Semrush Data'!$A$1:$Z$20000,MATCH(A3403,'Semrush Data'!$A$1:$A$20000,0),MATCH("Volume",'Semrush Data'!$A$1:$Z$1,0)),"")</f>
        <v/>
      </c>
      <c r="H3403" s="42">
        <f>IFERROR(INDEX('Semrush Data'!$A$1:$Z$20000,MATCH(A3403,'Semrush Data'!$A$1:$A$20000,0),MATCH("Keyword Difficulty*",'Semrush Data'!$A$1:$Z$1,0)),"")</f>
        <v/>
      </c>
      <c r="I3403" s="56">
        <f>IFERROR(INDEX('Semrush Data'!$A$1:$Z$20000,MATCH(A3403,'Semrush Data'!$A$1:$A$20000,0),MATCH("CPC*",'Semrush Data'!$A$1:$Z$1,0)),"")</f>
        <v/>
      </c>
      <c r="J3403" s="42">
        <f>IFERROR(INDEX('Semrush Data'!$A$1:$Z$20000,MATCH(A3403,'Semrush Data'!$A$1:$A$20000,0),MATCH("Intent",'Semrush Data'!$A$1:$Z$1,0)),"")</f>
        <v/>
      </c>
    </row>
    <row r="3404" ht="15" customHeight="1" s="37">
      <c r="A3404" s="42" t="inlineStr">
        <is>
          <t>deyga soft lip combo price</t>
        </is>
      </c>
      <c r="B3404" s="42" t="inlineStr">
        <is>
          <t>Price</t>
        </is>
      </c>
      <c r="C3404" s="42" t="n">
        <v>3</v>
      </c>
      <c r="D3404" s="42" t="n">
        <v>35</v>
      </c>
      <c r="E3404" s="42" t="n">
        <v>1</v>
      </c>
      <c r="F3404" s="42" t="inlineStr">
        <is>
          <t>VD-136</t>
        </is>
      </c>
      <c r="G3404" s="55">
        <f>IFERROR(INDEX('Semrush Data'!$A$1:$Z$20000,MATCH(A3404,'Semrush Data'!$A$1:$A$20000,0),MATCH("Volume",'Semrush Data'!$A$1:$Z$1,0)),"")</f>
        <v/>
      </c>
      <c r="H3404" s="42">
        <f>IFERROR(INDEX('Semrush Data'!$A$1:$Z$20000,MATCH(A3404,'Semrush Data'!$A$1:$A$20000,0),MATCH("Keyword Difficulty*",'Semrush Data'!$A$1:$Z$1,0)),"")</f>
        <v/>
      </c>
      <c r="I3404" s="56">
        <f>IFERROR(INDEX('Semrush Data'!$A$1:$Z$20000,MATCH(A3404,'Semrush Data'!$A$1:$A$20000,0),MATCH("CPC*",'Semrush Data'!$A$1:$Z$1,0)),"")</f>
        <v/>
      </c>
      <c r="J3404" s="42">
        <f>IFERROR(INDEX('Semrush Data'!$A$1:$Z$20000,MATCH(A3404,'Semrush Data'!$A$1:$A$20000,0),MATCH("Intent",'Semrush Data'!$A$1:$Z$1,0)),"")</f>
        <v/>
      </c>
    </row>
    <row r="3405" ht="15" customHeight="1" s="37">
      <c r="A3405" s="42" t="inlineStr">
        <is>
          <t>deyga soy milk conditioner price</t>
        </is>
      </c>
      <c r="B3405" s="42" t="inlineStr">
        <is>
          <t>Price</t>
        </is>
      </c>
      <c r="C3405" s="42" t="n">
        <v>3</v>
      </c>
      <c r="D3405" s="42" t="n">
        <v>35</v>
      </c>
      <c r="E3405" s="42" t="n">
        <v>1</v>
      </c>
      <c r="F3405" s="42" t="inlineStr">
        <is>
          <t>VD-127</t>
        </is>
      </c>
      <c r="G3405" s="55">
        <f>IFERROR(INDEX('Semrush Data'!$A$1:$Z$20000,MATCH(A3405,'Semrush Data'!$A$1:$A$20000,0),MATCH("Volume",'Semrush Data'!$A$1:$Z$1,0)),"")</f>
        <v/>
      </c>
      <c r="H3405" s="42">
        <f>IFERROR(INDEX('Semrush Data'!$A$1:$Z$20000,MATCH(A3405,'Semrush Data'!$A$1:$A$20000,0),MATCH("Keyword Difficulty*",'Semrush Data'!$A$1:$Z$1,0)),"")</f>
        <v/>
      </c>
      <c r="I3405" s="56">
        <f>IFERROR(INDEX('Semrush Data'!$A$1:$Z$20000,MATCH(A3405,'Semrush Data'!$A$1:$A$20000,0),MATCH("CPC*",'Semrush Data'!$A$1:$Z$1,0)),"")</f>
        <v/>
      </c>
      <c r="J3405" s="42">
        <f>IFERROR(INDEX('Semrush Data'!$A$1:$Z$20000,MATCH(A3405,'Semrush Data'!$A$1:$A$20000,0),MATCH("Intent",'Semrush Data'!$A$1:$Z$1,0)),"")</f>
        <v/>
      </c>
    </row>
    <row r="3406" ht="15" customHeight="1" s="37">
      <c r="A3406" s="42" t="inlineStr">
        <is>
          <t>deyga spinach &amp; cucumber bath bar price</t>
        </is>
      </c>
      <c r="B3406" s="42" t="inlineStr">
        <is>
          <t>Price</t>
        </is>
      </c>
      <c r="C3406" s="42" t="n">
        <v>3</v>
      </c>
      <c r="D3406" s="42" t="n">
        <v>35</v>
      </c>
      <c r="E3406" s="42" t="n">
        <v>1</v>
      </c>
      <c r="F3406" s="42" t="inlineStr">
        <is>
          <t>VD-107</t>
        </is>
      </c>
      <c r="G3406" s="55">
        <f>IFERROR(INDEX('Semrush Data'!$A$1:$Z$20000,MATCH(A3406,'Semrush Data'!$A$1:$A$20000,0),MATCH("Volume",'Semrush Data'!$A$1:$Z$1,0)),"")</f>
        <v/>
      </c>
      <c r="H3406" s="42">
        <f>IFERROR(INDEX('Semrush Data'!$A$1:$Z$20000,MATCH(A3406,'Semrush Data'!$A$1:$A$20000,0),MATCH("Keyword Difficulty*",'Semrush Data'!$A$1:$Z$1,0)),"")</f>
        <v/>
      </c>
      <c r="I3406" s="56">
        <f>IFERROR(INDEX('Semrush Data'!$A$1:$Z$20000,MATCH(A3406,'Semrush Data'!$A$1:$A$20000,0),MATCH("CPC*",'Semrush Data'!$A$1:$Z$1,0)),"")</f>
        <v/>
      </c>
      <c r="J3406" s="42">
        <f>IFERROR(INDEX('Semrush Data'!$A$1:$Z$20000,MATCH(A3406,'Semrush Data'!$A$1:$A$20000,0),MATCH("Intent",'Semrush Data'!$A$1:$Z$1,0)),"")</f>
        <v/>
      </c>
    </row>
    <row r="3407" ht="15" customHeight="1" s="37">
      <c r="A3407" s="42" t="inlineStr">
        <is>
          <t>deyga spirulina matcha face pack price</t>
        </is>
      </c>
      <c r="B3407" s="42" t="inlineStr">
        <is>
          <t>Price</t>
        </is>
      </c>
      <c r="C3407" s="42" t="n">
        <v>3</v>
      </c>
      <c r="D3407" s="42" t="n">
        <v>35</v>
      </c>
      <c r="E3407" s="42" t="n">
        <v>1</v>
      </c>
      <c r="F3407" s="42" t="inlineStr">
        <is>
          <t>VD-099</t>
        </is>
      </c>
      <c r="G3407" s="55">
        <f>IFERROR(INDEX('Semrush Data'!$A$1:$Z$20000,MATCH(A3407,'Semrush Data'!$A$1:$A$20000,0),MATCH("Volume",'Semrush Data'!$A$1:$Z$1,0)),"")</f>
        <v/>
      </c>
      <c r="H3407" s="42">
        <f>IFERROR(INDEX('Semrush Data'!$A$1:$Z$20000,MATCH(A3407,'Semrush Data'!$A$1:$A$20000,0),MATCH("Keyword Difficulty*",'Semrush Data'!$A$1:$Z$1,0)),"")</f>
        <v/>
      </c>
      <c r="I3407" s="56">
        <f>IFERROR(INDEX('Semrush Data'!$A$1:$Z$20000,MATCH(A3407,'Semrush Data'!$A$1:$A$20000,0),MATCH("CPC*",'Semrush Data'!$A$1:$Z$1,0)),"")</f>
        <v/>
      </c>
      <c r="J3407" s="42">
        <f>IFERROR(INDEX('Semrush Data'!$A$1:$Z$20000,MATCH(A3407,'Semrush Data'!$A$1:$A$20000,0),MATCH("Intent",'Semrush Data'!$A$1:$Z$1,0)),"")</f>
        <v/>
      </c>
    </row>
    <row r="3408" ht="15" customHeight="1" s="37">
      <c r="A3408" s="42" t="inlineStr">
        <is>
          <t>deyga strawberry lip scrub price</t>
        </is>
      </c>
      <c r="B3408" s="42" t="inlineStr">
        <is>
          <t>Price</t>
        </is>
      </c>
      <c r="C3408" s="42" t="n">
        <v>3</v>
      </c>
      <c r="D3408" s="42" t="n">
        <v>35</v>
      </c>
      <c r="E3408" s="42" t="n">
        <v>1</v>
      </c>
      <c r="F3408" s="42" t="inlineStr">
        <is>
          <t>VD-131</t>
        </is>
      </c>
      <c r="G3408" s="55">
        <f>IFERROR(INDEX('Semrush Data'!$A$1:$Z$20000,MATCH(A3408,'Semrush Data'!$A$1:$A$20000,0),MATCH("Volume",'Semrush Data'!$A$1:$Z$1,0)),"")</f>
        <v/>
      </c>
      <c r="H3408" s="42">
        <f>IFERROR(INDEX('Semrush Data'!$A$1:$Z$20000,MATCH(A3408,'Semrush Data'!$A$1:$A$20000,0),MATCH("Keyword Difficulty*",'Semrush Data'!$A$1:$Z$1,0)),"")</f>
        <v/>
      </c>
      <c r="I3408" s="56">
        <f>IFERROR(INDEX('Semrush Data'!$A$1:$Z$20000,MATCH(A3408,'Semrush Data'!$A$1:$A$20000,0),MATCH("CPC*",'Semrush Data'!$A$1:$Z$1,0)),"")</f>
        <v/>
      </c>
      <c r="J3408" s="42">
        <f>IFERROR(INDEX('Semrush Data'!$A$1:$Z$20000,MATCH(A3408,'Semrush Data'!$A$1:$A$20000,0),MATCH("Intent",'Semrush Data'!$A$1:$Z$1,0)),"")</f>
        <v/>
      </c>
    </row>
    <row r="3409" ht="15" customHeight="1" s="37">
      <c r="A3409" s="42" t="inlineStr">
        <is>
          <t>deyga sunscreen price</t>
        </is>
      </c>
      <c r="B3409" s="42" t="inlineStr">
        <is>
          <t>Price</t>
        </is>
      </c>
      <c r="C3409" s="42" t="n">
        <v>3</v>
      </c>
      <c r="D3409" s="42" t="n">
        <v>35</v>
      </c>
      <c r="E3409" s="42" t="n">
        <v>1</v>
      </c>
      <c r="F3409" s="42" t="inlineStr">
        <is>
          <t>VD-105</t>
        </is>
      </c>
      <c r="G3409" s="55">
        <f>IFERROR(INDEX('Semrush Data'!$A$1:$Z$20000,MATCH(A3409,'Semrush Data'!$A$1:$A$20000,0),MATCH("Volume",'Semrush Data'!$A$1:$Z$1,0)),"")</f>
        <v/>
      </c>
      <c r="H3409" s="42">
        <f>IFERROR(INDEX('Semrush Data'!$A$1:$Z$20000,MATCH(A3409,'Semrush Data'!$A$1:$A$20000,0),MATCH("Keyword Difficulty*",'Semrush Data'!$A$1:$Z$1,0)),"")</f>
        <v/>
      </c>
      <c r="I3409" s="56">
        <f>IFERROR(INDEX('Semrush Data'!$A$1:$Z$20000,MATCH(A3409,'Semrush Data'!$A$1:$A$20000,0),MATCH("CPC*",'Semrush Data'!$A$1:$Z$1,0)),"")</f>
        <v/>
      </c>
      <c r="J3409" s="42">
        <f>IFERROR(INDEX('Semrush Data'!$A$1:$Z$20000,MATCH(A3409,'Semrush Data'!$A$1:$A$20000,0),MATCH("Intent",'Semrush Data'!$A$1:$Z$1,0)),"")</f>
        <v/>
      </c>
    </row>
    <row r="3410" ht="15" customHeight="1" s="37">
      <c r="A3410" s="42" t="inlineStr">
        <is>
          <t>deyga tangerine cleansing balm for makeup removal price</t>
        </is>
      </c>
      <c r="B3410" s="42" t="inlineStr">
        <is>
          <t>Price</t>
        </is>
      </c>
      <c r="C3410" s="42" t="n">
        <v>3</v>
      </c>
      <c r="D3410" s="42" t="n">
        <v>35</v>
      </c>
      <c r="E3410" s="42" t="n">
        <v>1</v>
      </c>
      <c r="F3410" s="42" t="inlineStr">
        <is>
          <t>VD-101</t>
        </is>
      </c>
      <c r="G3410" s="55">
        <f>IFERROR(INDEX('Semrush Data'!$A$1:$Z$20000,MATCH(A3410,'Semrush Data'!$A$1:$A$20000,0),MATCH("Volume",'Semrush Data'!$A$1:$Z$1,0)),"")</f>
        <v/>
      </c>
      <c r="H3410" s="42">
        <f>IFERROR(INDEX('Semrush Data'!$A$1:$Z$20000,MATCH(A3410,'Semrush Data'!$A$1:$A$20000,0),MATCH("Keyword Difficulty*",'Semrush Data'!$A$1:$Z$1,0)),"")</f>
        <v/>
      </c>
      <c r="I3410" s="56">
        <f>IFERROR(INDEX('Semrush Data'!$A$1:$Z$20000,MATCH(A3410,'Semrush Data'!$A$1:$A$20000,0),MATCH("CPC*",'Semrush Data'!$A$1:$Z$1,0)),"")</f>
        <v/>
      </c>
      <c r="J3410" s="42">
        <f>IFERROR(INDEX('Semrush Data'!$A$1:$Z$20000,MATCH(A3410,'Semrush Data'!$A$1:$A$20000,0),MATCH("Intent",'Semrush Data'!$A$1:$Z$1,0)),"")</f>
        <v/>
      </c>
    </row>
    <row r="3411" ht="15" customHeight="1" s="37">
      <c r="A3411" s="42" t="inlineStr">
        <is>
          <t>deyga tea tree facial toner price</t>
        </is>
      </c>
      <c r="B3411" s="42" t="inlineStr">
        <is>
          <t>Price</t>
        </is>
      </c>
      <c r="C3411" s="42" t="n">
        <v>3</v>
      </c>
      <c r="D3411" s="42" t="n">
        <v>35</v>
      </c>
      <c r="E3411" s="42" t="n">
        <v>1</v>
      </c>
      <c r="F3411" s="42" t="inlineStr">
        <is>
          <t>VD-100</t>
        </is>
      </c>
      <c r="G3411" s="55">
        <f>IFERROR(INDEX('Semrush Data'!$A$1:$Z$20000,MATCH(A3411,'Semrush Data'!$A$1:$A$20000,0),MATCH("Volume",'Semrush Data'!$A$1:$Z$1,0)),"")</f>
        <v/>
      </c>
      <c r="H3411" s="42">
        <f>IFERROR(INDEX('Semrush Data'!$A$1:$Z$20000,MATCH(A3411,'Semrush Data'!$A$1:$A$20000,0),MATCH("Keyword Difficulty*",'Semrush Data'!$A$1:$Z$1,0)),"")</f>
        <v/>
      </c>
      <c r="I3411" s="56">
        <f>IFERROR(INDEX('Semrush Data'!$A$1:$Z$20000,MATCH(A3411,'Semrush Data'!$A$1:$A$20000,0),MATCH("CPC*",'Semrush Data'!$A$1:$Z$1,0)),"")</f>
        <v/>
      </c>
      <c r="J3411" s="42">
        <f>IFERROR(INDEX('Semrush Data'!$A$1:$Z$20000,MATCH(A3411,'Semrush Data'!$A$1:$A$20000,0),MATCH("Intent",'Semrush Data'!$A$1:$Z$1,0)),"")</f>
        <v/>
      </c>
    </row>
    <row r="3412" ht="15" customHeight="1" s="37">
      <c r="A3412" s="42" t="inlineStr">
        <is>
          <t>deyga under eye cream price</t>
        </is>
      </c>
      <c r="B3412" s="42" t="inlineStr">
        <is>
          <t>Price</t>
        </is>
      </c>
      <c r="C3412" s="42" t="n">
        <v>3</v>
      </c>
      <c r="D3412" s="42" t="n">
        <v>35</v>
      </c>
      <c r="E3412" s="42" t="n">
        <v>1</v>
      </c>
      <c r="F3412" s="42" t="inlineStr">
        <is>
          <t>VD-133</t>
        </is>
      </c>
      <c r="G3412" s="55">
        <f>IFERROR(INDEX('Semrush Data'!$A$1:$Z$20000,MATCH(A3412,'Semrush Data'!$A$1:$A$20000,0),MATCH("Volume",'Semrush Data'!$A$1:$Z$1,0)),"")</f>
        <v/>
      </c>
      <c r="H3412" s="42">
        <f>IFERROR(INDEX('Semrush Data'!$A$1:$Z$20000,MATCH(A3412,'Semrush Data'!$A$1:$A$20000,0),MATCH("Keyword Difficulty*",'Semrush Data'!$A$1:$Z$1,0)),"")</f>
        <v/>
      </c>
      <c r="I3412" s="56">
        <f>IFERROR(INDEX('Semrush Data'!$A$1:$Z$20000,MATCH(A3412,'Semrush Data'!$A$1:$A$20000,0),MATCH("CPC*",'Semrush Data'!$A$1:$Z$1,0)),"")</f>
        <v/>
      </c>
      <c r="J3412" s="42">
        <f>IFERROR(INDEX('Semrush Data'!$A$1:$Z$20000,MATCH(A3412,'Semrush Data'!$A$1:$A$20000,0),MATCH("Intent",'Semrush Data'!$A$1:$Z$1,0)),"")</f>
        <v/>
      </c>
    </row>
    <row r="3413" ht="15" customHeight="1" s="37">
      <c r="A3413" s="42" t="inlineStr">
        <is>
          <t>deyga under eye mask price</t>
        </is>
      </c>
      <c r="B3413" s="42" t="inlineStr">
        <is>
          <t>Price</t>
        </is>
      </c>
      <c r="C3413" s="42" t="n">
        <v>3</v>
      </c>
      <c r="D3413" s="42" t="n">
        <v>35</v>
      </c>
      <c r="E3413" s="42" t="n">
        <v>1</v>
      </c>
      <c r="F3413" s="42" t="inlineStr">
        <is>
          <t>VD-098</t>
        </is>
      </c>
      <c r="G3413" s="55">
        <f>IFERROR(INDEX('Semrush Data'!$A$1:$Z$20000,MATCH(A3413,'Semrush Data'!$A$1:$A$20000,0),MATCH("Volume",'Semrush Data'!$A$1:$Z$1,0)),"")</f>
        <v/>
      </c>
      <c r="H3413" s="42">
        <f>IFERROR(INDEX('Semrush Data'!$A$1:$Z$20000,MATCH(A3413,'Semrush Data'!$A$1:$A$20000,0),MATCH("Keyword Difficulty*",'Semrush Data'!$A$1:$Z$1,0)),"")</f>
        <v/>
      </c>
      <c r="I3413" s="56">
        <f>IFERROR(INDEX('Semrush Data'!$A$1:$Z$20000,MATCH(A3413,'Semrush Data'!$A$1:$A$20000,0),MATCH("CPC*",'Semrush Data'!$A$1:$Z$1,0)),"")</f>
        <v/>
      </c>
      <c r="J3413" s="42">
        <f>IFERROR(INDEX('Semrush Data'!$A$1:$Z$20000,MATCH(A3413,'Semrush Data'!$A$1:$A$20000,0),MATCH("Intent",'Semrush Data'!$A$1:$Z$1,0)),"")</f>
        <v/>
      </c>
    </row>
    <row r="3414" ht="15" customHeight="1" s="37">
      <c r="A3414" s="42" t="inlineStr">
        <is>
          <t>deyga vitamin c daily glow combo price</t>
        </is>
      </c>
      <c r="B3414" s="42" t="inlineStr">
        <is>
          <t>Price</t>
        </is>
      </c>
      <c r="C3414" s="42" t="n">
        <v>3</v>
      </c>
      <c r="D3414" s="42" t="n">
        <v>35</v>
      </c>
      <c r="E3414" s="42" t="n">
        <v>1</v>
      </c>
      <c r="F3414" s="42" t="inlineStr">
        <is>
          <t>VD-137</t>
        </is>
      </c>
      <c r="G3414" s="55">
        <f>IFERROR(INDEX('Semrush Data'!$A$1:$Z$20000,MATCH(A3414,'Semrush Data'!$A$1:$A$20000,0),MATCH("Volume",'Semrush Data'!$A$1:$Z$1,0)),"")</f>
        <v/>
      </c>
      <c r="H3414" s="42">
        <f>IFERROR(INDEX('Semrush Data'!$A$1:$Z$20000,MATCH(A3414,'Semrush Data'!$A$1:$A$20000,0),MATCH("Keyword Difficulty*",'Semrush Data'!$A$1:$Z$1,0)),"")</f>
        <v/>
      </c>
      <c r="I3414" s="56">
        <f>IFERROR(INDEX('Semrush Data'!$A$1:$Z$20000,MATCH(A3414,'Semrush Data'!$A$1:$A$20000,0),MATCH("CPC*",'Semrush Data'!$A$1:$Z$1,0)),"")</f>
        <v/>
      </c>
      <c r="J3414" s="42">
        <f>IFERROR(INDEX('Semrush Data'!$A$1:$Z$20000,MATCH(A3414,'Semrush Data'!$A$1:$A$20000,0),MATCH("Intent",'Semrush Data'!$A$1:$Z$1,0)),"")</f>
        <v/>
      </c>
    </row>
    <row r="3415" ht="15" customHeight="1" s="37">
      <c r="A3415" s="42" t="inlineStr">
        <is>
          <t>deyga vitamin c foaming face wash price</t>
        </is>
      </c>
      <c r="B3415" s="42" t="inlineStr">
        <is>
          <t>Price</t>
        </is>
      </c>
      <c r="C3415" s="42" t="n">
        <v>3</v>
      </c>
      <c r="D3415" s="42" t="n">
        <v>35</v>
      </c>
      <c r="E3415" s="42" t="n">
        <v>1</v>
      </c>
      <c r="F3415" s="42" t="inlineStr">
        <is>
          <t>VD-095</t>
        </is>
      </c>
      <c r="G3415" s="55">
        <f>IFERROR(INDEX('Semrush Data'!$A$1:$Z$20000,MATCH(A3415,'Semrush Data'!$A$1:$A$20000,0),MATCH("Volume",'Semrush Data'!$A$1:$Z$1,0)),"")</f>
        <v/>
      </c>
      <c r="H3415" s="42">
        <f>IFERROR(INDEX('Semrush Data'!$A$1:$Z$20000,MATCH(A3415,'Semrush Data'!$A$1:$A$20000,0),MATCH("Keyword Difficulty*",'Semrush Data'!$A$1:$Z$1,0)),"")</f>
        <v/>
      </c>
      <c r="I3415" s="56">
        <f>IFERROR(INDEX('Semrush Data'!$A$1:$Z$20000,MATCH(A3415,'Semrush Data'!$A$1:$A$20000,0),MATCH("CPC*",'Semrush Data'!$A$1:$Z$1,0)),"")</f>
        <v/>
      </c>
      <c r="J3415" s="42">
        <f>IFERROR(INDEX('Semrush Data'!$A$1:$Z$20000,MATCH(A3415,'Semrush Data'!$A$1:$A$20000,0),MATCH("Intent",'Semrush Data'!$A$1:$Z$1,0)),"")</f>
        <v/>
      </c>
    </row>
    <row r="3416" ht="15" customHeight="1" s="37">
      <c r="A3416" s="42" t="inlineStr">
        <is>
          <t>deyga wild berry body wash price</t>
        </is>
      </c>
      <c r="B3416" s="42" t="inlineStr">
        <is>
          <t>Price</t>
        </is>
      </c>
      <c r="C3416" s="42" t="n">
        <v>3</v>
      </c>
      <c r="D3416" s="42" t="n">
        <v>35</v>
      </c>
      <c r="E3416" s="42" t="n">
        <v>1</v>
      </c>
      <c r="F3416" s="42" t="inlineStr">
        <is>
          <t>VD-096</t>
        </is>
      </c>
      <c r="G3416" s="55">
        <f>IFERROR(INDEX('Semrush Data'!$A$1:$Z$20000,MATCH(A3416,'Semrush Data'!$A$1:$A$20000,0),MATCH("Volume",'Semrush Data'!$A$1:$Z$1,0)),"")</f>
        <v/>
      </c>
      <c r="H3416" s="42">
        <f>IFERROR(INDEX('Semrush Data'!$A$1:$Z$20000,MATCH(A3416,'Semrush Data'!$A$1:$A$20000,0),MATCH("Keyword Difficulty*",'Semrush Data'!$A$1:$Z$1,0)),"")</f>
        <v/>
      </c>
      <c r="I3416" s="56">
        <f>IFERROR(INDEX('Semrush Data'!$A$1:$Z$20000,MATCH(A3416,'Semrush Data'!$A$1:$A$20000,0),MATCH("CPC*",'Semrush Data'!$A$1:$Z$1,0)),"")</f>
        <v/>
      </c>
      <c r="J3416" s="42">
        <f>IFERROR(INDEX('Semrush Data'!$A$1:$Z$20000,MATCH(A3416,'Semrush Data'!$A$1:$A$20000,0),MATCH("Intent",'Semrush Data'!$A$1:$Z$1,0)),"")</f>
        <v/>
      </c>
    </row>
    <row r="3417" ht="15" customHeight="1" s="37">
      <c r="A3417" s="42" t="inlineStr">
        <is>
          <t>dior iconics mini discovery set price</t>
        </is>
      </c>
      <c r="B3417" s="42" t="inlineStr">
        <is>
          <t>Price</t>
        </is>
      </c>
      <c r="C3417" s="42" t="n">
        <v>3</v>
      </c>
      <c r="D3417" s="42" t="n">
        <v>35</v>
      </c>
      <c r="E3417" s="42" t="n">
        <v>1</v>
      </c>
      <c r="F3417" s="42" t="inlineStr">
        <is>
          <t>FR-114</t>
        </is>
      </c>
      <c r="G3417" s="55">
        <f>IFERROR(INDEX('Semrush Data'!$A$1:$Z$20000,MATCH(A3417,'Semrush Data'!$A$1:$A$20000,0),MATCH("Volume",'Semrush Data'!$A$1:$Z$1,0)),"")</f>
        <v/>
      </c>
      <c r="H3417" s="42">
        <f>IFERROR(INDEX('Semrush Data'!$A$1:$Z$20000,MATCH(A3417,'Semrush Data'!$A$1:$A$20000,0),MATCH("Keyword Difficulty*",'Semrush Data'!$A$1:$Z$1,0)),"")</f>
        <v/>
      </c>
      <c r="I3417" s="56">
        <f>IFERROR(INDEX('Semrush Data'!$A$1:$Z$20000,MATCH(A3417,'Semrush Data'!$A$1:$A$20000,0),MATCH("CPC*",'Semrush Data'!$A$1:$Z$1,0)),"")</f>
        <v/>
      </c>
      <c r="J3417" s="42">
        <f>IFERROR(INDEX('Semrush Data'!$A$1:$Z$20000,MATCH(A3417,'Semrush Data'!$A$1:$A$20000,0),MATCH("Intent",'Semrush Data'!$A$1:$Z$1,0)),"")</f>
        <v/>
      </c>
    </row>
    <row r="3418" ht="15" customHeight="1" s="37">
      <c r="A3418" s="42" t="inlineStr">
        <is>
          <t>dior miss dior roller-pearl price</t>
        </is>
      </c>
      <c r="B3418" s="42" t="inlineStr">
        <is>
          <t>Price</t>
        </is>
      </c>
      <c r="C3418" s="42" t="n">
        <v>3</v>
      </c>
      <c r="D3418" s="42" t="n">
        <v>35</v>
      </c>
      <c r="E3418" s="42" t="n">
        <v>1</v>
      </c>
      <c r="F3418" s="42" t="inlineStr">
        <is>
          <t>FR-113</t>
        </is>
      </c>
      <c r="G3418" s="55">
        <f>IFERROR(INDEX('Semrush Data'!$A$1:$Z$20000,MATCH(A3418,'Semrush Data'!$A$1:$A$20000,0),MATCH("Volume",'Semrush Data'!$A$1:$Z$1,0)),"")</f>
        <v/>
      </c>
      <c r="H3418" s="42">
        <f>IFERROR(INDEX('Semrush Data'!$A$1:$Z$20000,MATCH(A3418,'Semrush Data'!$A$1:$A$20000,0),MATCH("Keyword Difficulty*",'Semrush Data'!$A$1:$Z$1,0)),"")</f>
        <v/>
      </c>
      <c r="I3418" s="56">
        <f>IFERROR(INDEX('Semrush Data'!$A$1:$Z$20000,MATCH(A3418,'Semrush Data'!$A$1:$A$20000,0),MATCH("CPC*",'Semrush Data'!$A$1:$Z$1,0)),"")</f>
        <v/>
      </c>
      <c r="J3418" s="42">
        <f>IFERROR(INDEX('Semrush Data'!$A$1:$Z$20000,MATCH(A3418,'Semrush Data'!$A$1:$A$20000,0),MATCH("Intent",'Semrush Data'!$A$1:$Z$1,0)),"")</f>
        <v/>
      </c>
    </row>
    <row r="3419" ht="15" customHeight="1" s="37">
      <c r="A3419" s="42" t="inlineStr">
        <is>
          <t>dior sauvage price</t>
        </is>
      </c>
      <c r="B3419" s="42" t="inlineStr">
        <is>
          <t>Price</t>
        </is>
      </c>
      <c r="C3419" s="42" t="n">
        <v>3</v>
      </c>
      <c r="D3419" s="42" t="inlineStr">
        <is>
          <t>T3-1</t>
        </is>
      </c>
      <c r="E3419" s="42" t="n">
        <v>1</v>
      </c>
      <c r="F3419" s="42" t="inlineStr">
        <is>
          <t>FR-115</t>
        </is>
      </c>
      <c r="G3419" s="55">
        <f>IFERROR(INDEX('Semrush Data'!$A$1:$Z$20000,MATCH(A3419,'Semrush Data'!$A$1:$A$20000,0),MATCH("Volume",'Semrush Data'!$A$1:$Z$1,0)),"")</f>
        <v/>
      </c>
      <c r="H3419" s="42">
        <f>IFERROR(INDEX('Semrush Data'!$A$1:$Z$20000,MATCH(A3419,'Semrush Data'!$A$1:$A$20000,0),MATCH("Keyword Difficulty*",'Semrush Data'!$A$1:$Z$1,0)),"")</f>
        <v/>
      </c>
      <c r="I3419" s="56">
        <f>IFERROR(INDEX('Semrush Data'!$A$1:$Z$20000,MATCH(A3419,'Semrush Data'!$A$1:$A$20000,0),MATCH("CPC*",'Semrush Data'!$A$1:$Z$1,0)),"")</f>
        <v/>
      </c>
      <c r="J3419" s="42">
        <f>IFERROR(INDEX('Semrush Data'!$A$1:$Z$20000,MATCH(A3419,'Semrush Data'!$A$1:$A$20000,0),MATCH("Intent",'Semrush Data'!$A$1:$Z$1,0)),"")</f>
        <v/>
      </c>
    </row>
    <row r="3420" ht="15" customHeight="1" s="37">
      <c r="A3420" s="42" t="inlineStr">
        <is>
          <t>dkny be delicious &amp; be delicious fresh blossom gift set price</t>
        </is>
      </c>
      <c r="B3420" s="42" t="inlineStr">
        <is>
          <t>Price</t>
        </is>
      </c>
      <c r="C3420" s="42" t="n">
        <v>3</v>
      </c>
      <c r="D3420" s="42" t="n">
        <v>35</v>
      </c>
      <c r="E3420" s="42" t="n">
        <v>1</v>
      </c>
      <c r="F3420" s="42" t="inlineStr">
        <is>
          <t>FR-118</t>
        </is>
      </c>
      <c r="G3420" s="55">
        <f>IFERROR(INDEX('Semrush Data'!$A$1:$Z$20000,MATCH(A3420,'Semrush Data'!$A$1:$A$20000,0),MATCH("Volume",'Semrush Data'!$A$1:$Z$1,0)),"")</f>
        <v/>
      </c>
      <c r="H3420" s="42">
        <f>IFERROR(INDEX('Semrush Data'!$A$1:$Z$20000,MATCH(A3420,'Semrush Data'!$A$1:$A$20000,0),MATCH("Keyword Difficulty*",'Semrush Data'!$A$1:$Z$1,0)),"")</f>
        <v/>
      </c>
      <c r="I3420" s="56">
        <f>IFERROR(INDEX('Semrush Data'!$A$1:$Z$20000,MATCH(A3420,'Semrush Data'!$A$1:$A$20000,0),MATCH("CPC*",'Semrush Data'!$A$1:$Z$1,0)),"")</f>
        <v/>
      </c>
      <c r="J3420" s="42">
        <f>IFERROR(INDEX('Semrush Data'!$A$1:$Z$20000,MATCH(A3420,'Semrush Data'!$A$1:$A$20000,0),MATCH("Intent",'Semrush Data'!$A$1:$Z$1,0)),"")</f>
        <v/>
      </c>
    </row>
    <row r="3421" ht="15" customHeight="1" s="37">
      <c r="A3421" s="42" t="inlineStr">
        <is>
          <t>dkny be delicious orchard street price</t>
        </is>
      </c>
      <c r="B3421" s="42" t="inlineStr">
        <is>
          <t>Price</t>
        </is>
      </c>
      <c r="C3421" s="42" t="n">
        <v>3</v>
      </c>
      <c r="D3421" s="42" t="n">
        <v>35</v>
      </c>
      <c r="E3421" s="42" t="n">
        <v>1</v>
      </c>
      <c r="F3421" s="42" t="inlineStr">
        <is>
          <t>FR-116</t>
        </is>
      </c>
      <c r="G3421" s="55">
        <f>IFERROR(INDEX('Semrush Data'!$A$1:$Z$20000,MATCH(A3421,'Semrush Data'!$A$1:$A$20000,0),MATCH("Volume",'Semrush Data'!$A$1:$Z$1,0)),"")</f>
        <v/>
      </c>
      <c r="H3421" s="42">
        <f>IFERROR(INDEX('Semrush Data'!$A$1:$Z$20000,MATCH(A3421,'Semrush Data'!$A$1:$A$20000,0),MATCH("Keyword Difficulty*",'Semrush Data'!$A$1:$Z$1,0)),"")</f>
        <v/>
      </c>
      <c r="I3421" s="56">
        <f>IFERROR(INDEX('Semrush Data'!$A$1:$Z$20000,MATCH(A3421,'Semrush Data'!$A$1:$A$20000,0),MATCH("CPC*",'Semrush Data'!$A$1:$Z$1,0)),"")</f>
        <v/>
      </c>
      <c r="J3421" s="42">
        <f>IFERROR(INDEX('Semrush Data'!$A$1:$Z$20000,MATCH(A3421,'Semrush Data'!$A$1:$A$20000,0),MATCH("Intent",'Semrush Data'!$A$1:$Z$1,0)),"")</f>
        <v/>
      </c>
    </row>
    <row r="3422" ht="15" customHeight="1" s="37">
      <c r="A3422" s="42" t="inlineStr">
        <is>
          <t>dkny be tempted price</t>
        </is>
      </c>
      <c r="B3422" s="42" t="inlineStr">
        <is>
          <t>Price</t>
        </is>
      </c>
      <c r="C3422" s="42" t="n">
        <v>3</v>
      </c>
      <c r="D3422" s="42" t="n">
        <v>35</v>
      </c>
      <c r="E3422" s="42" t="n">
        <v>1</v>
      </c>
      <c r="F3422" s="42" t="inlineStr">
        <is>
          <t>FR-117</t>
        </is>
      </c>
      <c r="G3422" s="55">
        <f>IFERROR(INDEX('Semrush Data'!$A$1:$Z$20000,MATCH(A3422,'Semrush Data'!$A$1:$A$20000,0),MATCH("Volume",'Semrush Data'!$A$1:$Z$1,0)),"")</f>
        <v/>
      </c>
      <c r="H3422" s="42">
        <f>IFERROR(INDEX('Semrush Data'!$A$1:$Z$20000,MATCH(A3422,'Semrush Data'!$A$1:$A$20000,0),MATCH("Keyword Difficulty*",'Semrush Data'!$A$1:$Z$1,0)),"")</f>
        <v/>
      </c>
      <c r="I3422" s="56">
        <f>IFERROR(INDEX('Semrush Data'!$A$1:$Z$20000,MATCH(A3422,'Semrush Data'!$A$1:$A$20000,0),MATCH("CPC*",'Semrush Data'!$A$1:$Z$1,0)),"")</f>
        <v/>
      </c>
      <c r="J3422" s="42">
        <f>IFERROR(INDEX('Semrush Data'!$A$1:$Z$20000,MATCH(A3422,'Semrush Data'!$A$1:$A$20000,0),MATCH("Intent",'Semrush Data'!$A$1:$Z$1,0)),"")</f>
        <v/>
      </c>
    </row>
    <row r="3423" ht="15" customHeight="1" s="37">
      <c r="A3423" s="42" t="inlineStr">
        <is>
          <t>dkny miniature set price</t>
        </is>
      </c>
      <c r="B3423" s="42" t="inlineStr">
        <is>
          <t>Price</t>
        </is>
      </c>
      <c r="C3423" s="42" t="n">
        <v>3</v>
      </c>
      <c r="D3423" s="42" t="n">
        <v>35</v>
      </c>
      <c r="E3423" s="42" t="n">
        <v>1</v>
      </c>
      <c r="F3423" s="42" t="inlineStr">
        <is>
          <t>FR-119</t>
        </is>
      </c>
      <c r="G3423" s="55">
        <f>IFERROR(INDEX('Semrush Data'!$A$1:$Z$20000,MATCH(A3423,'Semrush Data'!$A$1:$A$20000,0),MATCH("Volume",'Semrush Data'!$A$1:$Z$1,0)),"")</f>
        <v/>
      </c>
      <c r="H3423" s="42">
        <f>IFERROR(INDEX('Semrush Data'!$A$1:$Z$20000,MATCH(A3423,'Semrush Data'!$A$1:$A$20000,0),MATCH("Keyword Difficulty*",'Semrush Data'!$A$1:$Z$1,0)),"")</f>
        <v/>
      </c>
      <c r="I3423" s="56">
        <f>IFERROR(INDEX('Semrush Data'!$A$1:$Z$20000,MATCH(A3423,'Semrush Data'!$A$1:$A$20000,0),MATCH("CPC*",'Semrush Data'!$A$1:$Z$1,0)),"")</f>
        <v/>
      </c>
      <c r="J3423" s="42">
        <f>IFERROR(INDEX('Semrush Data'!$A$1:$Z$20000,MATCH(A3423,'Semrush Data'!$A$1:$A$20000,0),MATCH("Intent",'Semrush Data'!$A$1:$Z$1,0)),"")</f>
        <v/>
      </c>
    </row>
    <row r="3424" ht="15" customHeight="1" s="37">
      <c r="A3424" s="42" t="inlineStr">
        <is>
          <t>dolce &amp; gabbana devotion gift set price</t>
        </is>
      </c>
      <c r="B3424" s="42" t="inlineStr">
        <is>
          <t>Price</t>
        </is>
      </c>
      <c r="C3424" s="42" t="n">
        <v>3</v>
      </c>
      <c r="D3424" s="42" t="n">
        <v>35</v>
      </c>
      <c r="E3424" s="42" t="n">
        <v>1</v>
      </c>
      <c r="F3424" s="42" t="inlineStr">
        <is>
          <t>FR-127</t>
        </is>
      </c>
      <c r="G3424" s="55">
        <f>IFERROR(INDEX('Semrush Data'!$A$1:$Z$20000,MATCH(A3424,'Semrush Data'!$A$1:$A$20000,0),MATCH("Volume",'Semrush Data'!$A$1:$Z$1,0)),"")</f>
        <v/>
      </c>
      <c r="H3424" s="42">
        <f>IFERROR(INDEX('Semrush Data'!$A$1:$Z$20000,MATCH(A3424,'Semrush Data'!$A$1:$A$20000,0),MATCH("Keyword Difficulty*",'Semrush Data'!$A$1:$Z$1,0)),"")</f>
        <v/>
      </c>
      <c r="I3424" s="56">
        <f>IFERROR(INDEX('Semrush Data'!$A$1:$Z$20000,MATCH(A3424,'Semrush Data'!$A$1:$A$20000,0),MATCH("CPC*",'Semrush Data'!$A$1:$Z$1,0)),"")</f>
        <v/>
      </c>
      <c r="J3424" s="42">
        <f>IFERROR(INDEX('Semrush Data'!$A$1:$Z$20000,MATCH(A3424,'Semrush Data'!$A$1:$A$20000,0),MATCH("Intent",'Semrush Data'!$A$1:$Z$1,0)),"")</f>
        <v/>
      </c>
    </row>
    <row r="3425" ht="15" customHeight="1" s="37">
      <c r="A3425" s="42" t="inlineStr">
        <is>
          <t>dolce &amp; gabbana devotion price</t>
        </is>
      </c>
      <c r="B3425" s="42" t="inlineStr">
        <is>
          <t>Price</t>
        </is>
      </c>
      <c r="C3425" s="42" t="n">
        <v>3</v>
      </c>
      <c r="D3425" s="42" t="n">
        <v>35</v>
      </c>
      <c r="E3425" s="42" t="n">
        <v>1</v>
      </c>
      <c r="F3425" s="42" t="inlineStr">
        <is>
          <t>FR-120</t>
        </is>
      </c>
      <c r="G3425" s="55">
        <f>IFERROR(INDEX('Semrush Data'!$A$1:$Z$20000,MATCH(A3425,'Semrush Data'!$A$1:$A$20000,0),MATCH("Volume",'Semrush Data'!$A$1:$Z$1,0)),"")</f>
        <v/>
      </c>
      <c r="H3425" s="42">
        <f>IFERROR(INDEX('Semrush Data'!$A$1:$Z$20000,MATCH(A3425,'Semrush Data'!$A$1:$A$20000,0),MATCH("Keyword Difficulty*",'Semrush Data'!$A$1:$Z$1,0)),"")</f>
        <v/>
      </c>
      <c r="I3425" s="56">
        <f>IFERROR(INDEX('Semrush Data'!$A$1:$Z$20000,MATCH(A3425,'Semrush Data'!$A$1:$A$20000,0),MATCH("CPC*",'Semrush Data'!$A$1:$Z$1,0)),"")</f>
        <v/>
      </c>
      <c r="J3425" s="42">
        <f>IFERROR(INDEX('Semrush Data'!$A$1:$Z$20000,MATCH(A3425,'Semrush Data'!$A$1:$A$20000,0),MATCH("Intent",'Semrush Data'!$A$1:$Z$1,0)),"")</f>
        <v/>
      </c>
    </row>
    <row r="3426" ht="15" customHeight="1" s="37">
      <c r="A3426" s="42" t="inlineStr">
        <is>
          <t>dolce &amp; gabbana k gift set price</t>
        </is>
      </c>
      <c r="B3426" s="42" t="inlineStr">
        <is>
          <t>Price</t>
        </is>
      </c>
      <c r="C3426" s="42" t="n">
        <v>3</v>
      </c>
      <c r="D3426" s="42" t="n">
        <v>35</v>
      </c>
      <c r="E3426" s="42" t="n">
        <v>1</v>
      </c>
      <c r="F3426" s="42" t="inlineStr">
        <is>
          <t>FR-128</t>
        </is>
      </c>
      <c r="G3426" s="55">
        <f>IFERROR(INDEX('Semrush Data'!$A$1:$Z$20000,MATCH(A3426,'Semrush Data'!$A$1:$A$20000,0),MATCH("Volume",'Semrush Data'!$A$1:$Z$1,0)),"")</f>
        <v/>
      </c>
      <c r="H3426" s="42">
        <f>IFERROR(INDEX('Semrush Data'!$A$1:$Z$20000,MATCH(A3426,'Semrush Data'!$A$1:$A$20000,0),MATCH("Keyword Difficulty*",'Semrush Data'!$A$1:$Z$1,0)),"")</f>
        <v/>
      </c>
      <c r="I3426" s="56">
        <f>IFERROR(INDEX('Semrush Data'!$A$1:$Z$20000,MATCH(A3426,'Semrush Data'!$A$1:$A$20000,0),MATCH("CPC*",'Semrush Data'!$A$1:$Z$1,0)),"")</f>
        <v/>
      </c>
      <c r="J3426" s="42">
        <f>IFERROR(INDEX('Semrush Data'!$A$1:$Z$20000,MATCH(A3426,'Semrush Data'!$A$1:$A$20000,0),MATCH("Intent",'Semrush Data'!$A$1:$Z$1,0)),"")</f>
        <v/>
      </c>
    </row>
    <row r="3427" ht="15" customHeight="1" s="37">
      <c r="A3427" s="42" t="inlineStr">
        <is>
          <t>dolce &amp; gabbana l'imperatrice price</t>
        </is>
      </c>
      <c r="B3427" s="42" t="inlineStr">
        <is>
          <t>Price</t>
        </is>
      </c>
      <c r="C3427" s="42" t="n">
        <v>3</v>
      </c>
      <c r="D3427" s="42" t="n">
        <v>35</v>
      </c>
      <c r="E3427" s="42" t="n">
        <v>1</v>
      </c>
      <c r="F3427" s="42" t="inlineStr">
        <is>
          <t>FR-126</t>
        </is>
      </c>
      <c r="G3427" s="55">
        <f>IFERROR(INDEX('Semrush Data'!$A$1:$Z$20000,MATCH(A3427,'Semrush Data'!$A$1:$A$20000,0),MATCH("Volume",'Semrush Data'!$A$1:$Z$1,0)),"")</f>
        <v/>
      </c>
      <c r="H3427" s="42">
        <f>IFERROR(INDEX('Semrush Data'!$A$1:$Z$20000,MATCH(A3427,'Semrush Data'!$A$1:$A$20000,0),MATCH("Keyword Difficulty*",'Semrush Data'!$A$1:$Z$1,0)),"")</f>
        <v/>
      </c>
      <c r="I3427" s="56">
        <f>IFERROR(INDEX('Semrush Data'!$A$1:$Z$20000,MATCH(A3427,'Semrush Data'!$A$1:$A$20000,0),MATCH("CPC*",'Semrush Data'!$A$1:$Z$1,0)),"")</f>
        <v/>
      </c>
      <c r="J3427" s="42">
        <f>IFERROR(INDEX('Semrush Data'!$A$1:$Z$20000,MATCH(A3427,'Semrush Data'!$A$1:$A$20000,0),MATCH("Intent",'Semrush Data'!$A$1:$Z$1,0)),"")</f>
        <v/>
      </c>
    </row>
    <row r="3428" ht="15" customHeight="1" s="37">
      <c r="A3428" s="42" t="inlineStr">
        <is>
          <t>dolce &amp; gabbana miniature set price</t>
        </is>
      </c>
      <c r="B3428" s="42" t="inlineStr">
        <is>
          <t>Price</t>
        </is>
      </c>
      <c r="C3428" s="42" t="n">
        <v>3</v>
      </c>
      <c r="D3428" s="42" t="n">
        <v>35</v>
      </c>
      <c r="E3428" s="42" t="n">
        <v>2</v>
      </c>
      <c r="F3428" s="42" t="inlineStr">
        <is>
          <t>FR-129, FR-131</t>
        </is>
      </c>
      <c r="G3428" s="55">
        <f>IFERROR(INDEX('Semrush Data'!$A$1:$Z$20000,MATCH(A3428,'Semrush Data'!$A$1:$A$20000,0),MATCH("Volume",'Semrush Data'!$A$1:$Z$1,0)),"")</f>
        <v/>
      </c>
      <c r="H3428" s="42">
        <f>IFERROR(INDEX('Semrush Data'!$A$1:$Z$20000,MATCH(A3428,'Semrush Data'!$A$1:$A$20000,0),MATCH("Keyword Difficulty*",'Semrush Data'!$A$1:$Z$1,0)),"")</f>
        <v/>
      </c>
      <c r="I3428" s="56">
        <f>IFERROR(INDEX('Semrush Data'!$A$1:$Z$20000,MATCH(A3428,'Semrush Data'!$A$1:$A$20000,0),MATCH("CPC*",'Semrush Data'!$A$1:$Z$1,0)),"")</f>
        <v/>
      </c>
      <c r="J3428" s="42">
        <f>IFERROR(INDEX('Semrush Data'!$A$1:$Z$20000,MATCH(A3428,'Semrush Data'!$A$1:$A$20000,0),MATCH("Intent",'Semrush Data'!$A$1:$Z$1,0)),"")</f>
        <v/>
      </c>
    </row>
    <row r="3429" ht="15" customHeight="1" s="37">
      <c r="A3429" s="42" t="inlineStr">
        <is>
          <t>dolce &amp; gabbana q price</t>
        </is>
      </c>
      <c r="B3429" s="42" t="inlineStr">
        <is>
          <t>Price</t>
        </is>
      </c>
      <c r="C3429" s="42" t="n">
        <v>3</v>
      </c>
      <c r="D3429" s="42" t="n">
        <v>35</v>
      </c>
      <c r="E3429" s="42" t="n">
        <v>1</v>
      </c>
      <c r="F3429" s="42" t="inlineStr">
        <is>
          <t>FR-121</t>
        </is>
      </c>
      <c r="G3429" s="55">
        <f>IFERROR(INDEX('Semrush Data'!$A$1:$Z$20000,MATCH(A3429,'Semrush Data'!$A$1:$A$20000,0),MATCH("Volume",'Semrush Data'!$A$1:$Z$1,0)),"")</f>
        <v/>
      </c>
      <c r="H3429" s="42">
        <f>IFERROR(INDEX('Semrush Data'!$A$1:$Z$20000,MATCH(A3429,'Semrush Data'!$A$1:$A$20000,0),MATCH("Keyword Difficulty*",'Semrush Data'!$A$1:$Z$1,0)),"")</f>
        <v/>
      </c>
      <c r="I3429" s="56">
        <f>IFERROR(INDEX('Semrush Data'!$A$1:$Z$20000,MATCH(A3429,'Semrush Data'!$A$1:$A$20000,0),MATCH("CPC*",'Semrush Data'!$A$1:$Z$1,0)),"")</f>
        <v/>
      </c>
      <c r="J3429" s="42">
        <f>IFERROR(INDEX('Semrush Data'!$A$1:$Z$20000,MATCH(A3429,'Semrush Data'!$A$1:$A$20000,0),MATCH("Intent",'Semrush Data'!$A$1:$Z$1,0)),"")</f>
        <v/>
      </c>
    </row>
    <row r="3430" ht="15" customHeight="1" s="37">
      <c r="A3430" s="42" t="inlineStr">
        <is>
          <t>dolce &amp; gabbana the one gift set price</t>
        </is>
      </c>
      <c r="B3430" s="42" t="inlineStr">
        <is>
          <t>Price</t>
        </is>
      </c>
      <c r="C3430" s="42" t="n">
        <v>3</v>
      </c>
      <c r="D3430" s="42" t="n">
        <v>35</v>
      </c>
      <c r="E3430" s="42" t="n">
        <v>1</v>
      </c>
      <c r="F3430" s="42" t="inlineStr">
        <is>
          <t>FR-130</t>
        </is>
      </c>
      <c r="G3430" s="55">
        <f>IFERROR(INDEX('Semrush Data'!$A$1:$Z$20000,MATCH(A3430,'Semrush Data'!$A$1:$A$20000,0),MATCH("Volume",'Semrush Data'!$A$1:$Z$1,0)),"")</f>
        <v/>
      </c>
      <c r="H3430" s="42">
        <f>IFERROR(INDEX('Semrush Data'!$A$1:$Z$20000,MATCH(A3430,'Semrush Data'!$A$1:$A$20000,0),MATCH("Keyword Difficulty*",'Semrush Data'!$A$1:$Z$1,0)),"")</f>
        <v/>
      </c>
      <c r="I3430" s="56">
        <f>IFERROR(INDEX('Semrush Data'!$A$1:$Z$20000,MATCH(A3430,'Semrush Data'!$A$1:$A$20000,0),MATCH("CPC*",'Semrush Data'!$A$1:$Z$1,0)),"")</f>
        <v/>
      </c>
      <c r="J3430" s="42">
        <f>IFERROR(INDEX('Semrush Data'!$A$1:$Z$20000,MATCH(A3430,'Semrush Data'!$A$1:$A$20000,0),MATCH("Intent",'Semrush Data'!$A$1:$Z$1,0)),"")</f>
        <v/>
      </c>
    </row>
    <row r="3431" ht="15" customHeight="1" s="37">
      <c r="A3431" s="42" t="inlineStr">
        <is>
          <t>dolce &amp; gabbana the one gold intense price</t>
        </is>
      </c>
      <c r="B3431" s="42" t="inlineStr">
        <is>
          <t>Price</t>
        </is>
      </c>
      <c r="C3431" s="42" t="n">
        <v>3</v>
      </c>
      <c r="D3431" s="42" t="n">
        <v>35</v>
      </c>
      <c r="E3431" s="42" t="n">
        <v>1</v>
      </c>
      <c r="F3431" s="42" t="inlineStr">
        <is>
          <t>FR-125</t>
        </is>
      </c>
      <c r="G3431" s="55">
        <f>IFERROR(INDEX('Semrush Data'!$A$1:$Z$20000,MATCH(A3431,'Semrush Data'!$A$1:$A$20000,0),MATCH("Volume",'Semrush Data'!$A$1:$Z$1,0)),"")</f>
        <v/>
      </c>
      <c r="H3431" s="42">
        <f>IFERROR(INDEX('Semrush Data'!$A$1:$Z$20000,MATCH(A3431,'Semrush Data'!$A$1:$A$20000,0),MATCH("Keyword Difficulty*",'Semrush Data'!$A$1:$Z$1,0)),"")</f>
        <v/>
      </c>
      <c r="I3431" s="56">
        <f>IFERROR(INDEX('Semrush Data'!$A$1:$Z$20000,MATCH(A3431,'Semrush Data'!$A$1:$A$20000,0),MATCH("CPC*",'Semrush Data'!$A$1:$Z$1,0)),"")</f>
        <v/>
      </c>
      <c r="J3431" s="42">
        <f>IFERROR(INDEX('Semrush Data'!$A$1:$Z$20000,MATCH(A3431,'Semrush Data'!$A$1:$A$20000,0),MATCH("Intent",'Semrush Data'!$A$1:$Z$1,0)),"")</f>
        <v/>
      </c>
    </row>
    <row r="3432" ht="15" customHeight="1" s="37">
      <c r="A3432" s="42" t="inlineStr">
        <is>
          <t>dolce &amp; gabbana the one intense price</t>
        </is>
      </c>
      <c r="B3432" s="42" t="inlineStr">
        <is>
          <t>Price</t>
        </is>
      </c>
      <c r="C3432" s="42" t="n">
        <v>3</v>
      </c>
      <c r="D3432" s="42" t="n">
        <v>35</v>
      </c>
      <c r="E3432" s="42" t="n">
        <v>1</v>
      </c>
      <c r="F3432" s="42" t="inlineStr">
        <is>
          <t>FR-124</t>
        </is>
      </c>
      <c r="G3432" s="55">
        <f>IFERROR(INDEX('Semrush Data'!$A$1:$Z$20000,MATCH(A3432,'Semrush Data'!$A$1:$A$20000,0),MATCH("Volume",'Semrush Data'!$A$1:$Z$1,0)),"")</f>
        <v/>
      </c>
      <c r="H3432" s="42">
        <f>IFERROR(INDEX('Semrush Data'!$A$1:$Z$20000,MATCH(A3432,'Semrush Data'!$A$1:$A$20000,0),MATCH("Keyword Difficulty*",'Semrush Data'!$A$1:$Z$1,0)),"")</f>
        <v/>
      </c>
      <c r="I3432" s="56">
        <f>IFERROR(INDEX('Semrush Data'!$A$1:$Z$20000,MATCH(A3432,'Semrush Data'!$A$1:$A$20000,0),MATCH("CPC*",'Semrush Data'!$A$1:$Z$1,0)),"")</f>
        <v/>
      </c>
      <c r="J3432" s="42">
        <f>IFERROR(INDEX('Semrush Data'!$A$1:$Z$20000,MATCH(A3432,'Semrush Data'!$A$1:$A$20000,0),MATCH("Intent",'Semrush Data'!$A$1:$Z$1,0)),"")</f>
        <v/>
      </c>
    </row>
    <row r="3433" ht="15" customHeight="1" s="37">
      <c r="A3433" s="42" t="inlineStr">
        <is>
          <t>dolce &amp; gabbana the one price</t>
        </is>
      </c>
      <c r="B3433" s="42" t="inlineStr">
        <is>
          <t>Price</t>
        </is>
      </c>
      <c r="C3433" s="42" t="n">
        <v>3</v>
      </c>
      <c r="D3433" s="42" t="n">
        <v>35</v>
      </c>
      <c r="E3433" s="42" t="n">
        <v>2</v>
      </c>
      <c r="F3433" s="42" t="inlineStr">
        <is>
          <t>FR-122, FR-123</t>
        </is>
      </c>
      <c r="G3433" s="55">
        <f>IFERROR(INDEX('Semrush Data'!$A$1:$Z$20000,MATCH(A3433,'Semrush Data'!$A$1:$A$20000,0),MATCH("Volume",'Semrush Data'!$A$1:$Z$1,0)),"")</f>
        <v/>
      </c>
      <c r="H3433" s="42">
        <f>IFERROR(INDEX('Semrush Data'!$A$1:$Z$20000,MATCH(A3433,'Semrush Data'!$A$1:$A$20000,0),MATCH("Keyword Difficulty*",'Semrush Data'!$A$1:$Z$1,0)),"")</f>
        <v/>
      </c>
      <c r="I3433" s="56">
        <f>IFERROR(INDEX('Semrush Data'!$A$1:$Z$20000,MATCH(A3433,'Semrush Data'!$A$1:$A$20000,0),MATCH("CPC*",'Semrush Data'!$A$1:$Z$1,0)),"")</f>
        <v/>
      </c>
      <c r="J3433" s="42">
        <f>IFERROR(INDEX('Semrush Data'!$A$1:$Z$20000,MATCH(A3433,'Semrush Data'!$A$1:$A$20000,0),MATCH("Intent",'Semrush Data'!$A$1:$Z$1,0)),"")</f>
        <v/>
      </c>
    </row>
    <row r="3434" ht="15" customHeight="1" s="37">
      <c r="A3434" s="42" t="inlineStr">
        <is>
          <t>dunhill desire black price</t>
        </is>
      </c>
      <c r="B3434" s="42" t="inlineStr">
        <is>
          <t>Price</t>
        </is>
      </c>
      <c r="C3434" s="42" t="n">
        <v>3</v>
      </c>
      <c r="D3434" s="42" t="n">
        <v>35</v>
      </c>
      <c r="E3434" s="42" t="n">
        <v>1</v>
      </c>
      <c r="F3434" s="42" t="inlineStr">
        <is>
          <t>FR-142</t>
        </is>
      </c>
      <c r="G3434" s="55">
        <f>IFERROR(INDEX('Semrush Data'!$A$1:$Z$20000,MATCH(A3434,'Semrush Data'!$A$1:$A$20000,0),MATCH("Volume",'Semrush Data'!$A$1:$Z$1,0)),"")</f>
        <v/>
      </c>
      <c r="H3434" s="42">
        <f>IFERROR(INDEX('Semrush Data'!$A$1:$Z$20000,MATCH(A3434,'Semrush Data'!$A$1:$A$20000,0),MATCH("Keyword Difficulty*",'Semrush Data'!$A$1:$Z$1,0)),"")</f>
        <v/>
      </c>
      <c r="I3434" s="56">
        <f>IFERROR(INDEX('Semrush Data'!$A$1:$Z$20000,MATCH(A3434,'Semrush Data'!$A$1:$A$20000,0),MATCH("CPC*",'Semrush Data'!$A$1:$Z$1,0)),"")</f>
        <v/>
      </c>
      <c r="J3434" s="42">
        <f>IFERROR(INDEX('Semrush Data'!$A$1:$Z$20000,MATCH(A3434,'Semrush Data'!$A$1:$A$20000,0),MATCH("Intent",'Semrush Data'!$A$1:$Z$1,0)),"")</f>
        <v/>
      </c>
    </row>
    <row r="3435" ht="15" customHeight="1" s="37">
      <c r="A3435" s="42" t="inlineStr">
        <is>
          <t>dunhill desire blue price</t>
        </is>
      </c>
      <c r="B3435" s="42" t="inlineStr">
        <is>
          <t>Price</t>
        </is>
      </c>
      <c r="C3435" s="42" t="n">
        <v>3</v>
      </c>
      <c r="D3435" s="42" t="n">
        <v>35</v>
      </c>
      <c r="E3435" s="42" t="n">
        <v>1</v>
      </c>
      <c r="F3435" s="42" t="inlineStr">
        <is>
          <t>FR-143</t>
        </is>
      </c>
      <c r="G3435" s="55">
        <f>IFERROR(INDEX('Semrush Data'!$A$1:$Z$20000,MATCH(A3435,'Semrush Data'!$A$1:$A$20000,0),MATCH("Volume",'Semrush Data'!$A$1:$Z$1,0)),"")</f>
        <v/>
      </c>
      <c r="H3435" s="42">
        <f>IFERROR(INDEX('Semrush Data'!$A$1:$Z$20000,MATCH(A3435,'Semrush Data'!$A$1:$A$20000,0),MATCH("Keyword Difficulty*",'Semrush Data'!$A$1:$Z$1,0)),"")</f>
        <v/>
      </c>
      <c r="I3435" s="56">
        <f>IFERROR(INDEX('Semrush Data'!$A$1:$Z$20000,MATCH(A3435,'Semrush Data'!$A$1:$A$20000,0),MATCH("CPC*",'Semrush Data'!$A$1:$Z$1,0)),"")</f>
        <v/>
      </c>
      <c r="J3435" s="42">
        <f>IFERROR(INDEX('Semrush Data'!$A$1:$Z$20000,MATCH(A3435,'Semrush Data'!$A$1:$A$20000,0),MATCH("Intent",'Semrush Data'!$A$1:$Z$1,0)),"")</f>
        <v/>
      </c>
    </row>
    <row r="3436" ht="15" customHeight="1" s="37">
      <c r="A3436" s="42" t="inlineStr">
        <is>
          <t>dunhill desire gold price</t>
        </is>
      </c>
      <c r="B3436" s="42" t="inlineStr">
        <is>
          <t>Price</t>
        </is>
      </c>
      <c r="C3436" s="42" t="n">
        <v>3</v>
      </c>
      <c r="D3436" s="42" t="n">
        <v>35</v>
      </c>
      <c r="E3436" s="42" t="n">
        <v>1</v>
      </c>
      <c r="F3436" s="42" t="inlineStr">
        <is>
          <t>FR-144</t>
        </is>
      </c>
      <c r="G3436" s="55">
        <f>IFERROR(INDEX('Semrush Data'!$A$1:$Z$20000,MATCH(A3436,'Semrush Data'!$A$1:$A$20000,0),MATCH("Volume",'Semrush Data'!$A$1:$Z$1,0)),"")</f>
        <v/>
      </c>
      <c r="H3436" s="42">
        <f>IFERROR(INDEX('Semrush Data'!$A$1:$Z$20000,MATCH(A3436,'Semrush Data'!$A$1:$A$20000,0),MATCH("Keyword Difficulty*",'Semrush Data'!$A$1:$Z$1,0)),"")</f>
        <v/>
      </c>
      <c r="I3436" s="56">
        <f>IFERROR(INDEX('Semrush Data'!$A$1:$Z$20000,MATCH(A3436,'Semrush Data'!$A$1:$A$20000,0),MATCH("CPC*",'Semrush Data'!$A$1:$Z$1,0)),"")</f>
        <v/>
      </c>
      <c r="J3436" s="42">
        <f>IFERROR(INDEX('Semrush Data'!$A$1:$Z$20000,MATCH(A3436,'Semrush Data'!$A$1:$A$20000,0),MATCH("Intent",'Semrush Data'!$A$1:$Z$1,0)),"")</f>
        <v/>
      </c>
    </row>
    <row r="3437" ht="15" customHeight="1" s="37">
      <c r="A3437" s="42" t="inlineStr">
        <is>
          <t>dunhill desire silver price</t>
        </is>
      </c>
      <c r="B3437" s="42" t="inlineStr">
        <is>
          <t>Price</t>
        </is>
      </c>
      <c r="C3437" s="42" t="n">
        <v>3</v>
      </c>
      <c r="D3437" s="42" t="n">
        <v>35</v>
      </c>
      <c r="E3437" s="42" t="n">
        <v>1</v>
      </c>
      <c r="F3437" s="42" t="inlineStr">
        <is>
          <t>FR-145</t>
        </is>
      </c>
      <c r="G3437" s="55">
        <f>IFERROR(INDEX('Semrush Data'!$A$1:$Z$20000,MATCH(A3437,'Semrush Data'!$A$1:$A$20000,0),MATCH("Volume",'Semrush Data'!$A$1:$Z$1,0)),"")</f>
        <v/>
      </c>
      <c r="H3437" s="42">
        <f>IFERROR(INDEX('Semrush Data'!$A$1:$Z$20000,MATCH(A3437,'Semrush Data'!$A$1:$A$20000,0),MATCH("Keyword Difficulty*",'Semrush Data'!$A$1:$Z$1,0)),"")</f>
        <v/>
      </c>
      <c r="I3437" s="56">
        <f>IFERROR(INDEX('Semrush Data'!$A$1:$Z$20000,MATCH(A3437,'Semrush Data'!$A$1:$A$20000,0),MATCH("CPC*",'Semrush Data'!$A$1:$Z$1,0)),"")</f>
        <v/>
      </c>
      <c r="J3437" s="42">
        <f>IFERROR(INDEX('Semrush Data'!$A$1:$Z$20000,MATCH(A3437,'Semrush Data'!$A$1:$A$20000,0),MATCH("Intent",'Semrush Data'!$A$1:$Z$1,0)),"")</f>
        <v/>
      </c>
    </row>
    <row r="3438" ht="15" customHeight="1" s="37">
      <c r="A3438" s="42" t="inlineStr">
        <is>
          <t>dunhill signature collection agar wood price</t>
        </is>
      </c>
      <c r="B3438" s="42" t="inlineStr">
        <is>
          <t>Price</t>
        </is>
      </c>
      <c r="C3438" s="42" t="n">
        <v>3</v>
      </c>
      <c r="D3438" s="42" t="n">
        <v>35</v>
      </c>
      <c r="E3438" s="42" t="n">
        <v>1</v>
      </c>
      <c r="F3438" s="42" t="inlineStr">
        <is>
          <t>FR-132</t>
        </is>
      </c>
      <c r="G3438" s="55">
        <f>IFERROR(INDEX('Semrush Data'!$A$1:$Z$20000,MATCH(A3438,'Semrush Data'!$A$1:$A$20000,0),MATCH("Volume",'Semrush Data'!$A$1:$Z$1,0)),"")</f>
        <v/>
      </c>
      <c r="H3438" s="42">
        <f>IFERROR(INDEX('Semrush Data'!$A$1:$Z$20000,MATCH(A3438,'Semrush Data'!$A$1:$A$20000,0),MATCH("Keyword Difficulty*",'Semrush Data'!$A$1:$Z$1,0)),"")</f>
        <v/>
      </c>
      <c r="I3438" s="56">
        <f>IFERROR(INDEX('Semrush Data'!$A$1:$Z$20000,MATCH(A3438,'Semrush Data'!$A$1:$A$20000,0),MATCH("CPC*",'Semrush Data'!$A$1:$Z$1,0)),"")</f>
        <v/>
      </c>
      <c r="J3438" s="42">
        <f>IFERROR(INDEX('Semrush Data'!$A$1:$Z$20000,MATCH(A3438,'Semrush Data'!$A$1:$A$20000,0),MATCH("Intent",'Semrush Data'!$A$1:$Z$1,0)),"")</f>
        <v/>
      </c>
    </row>
    <row r="3439" ht="15" customHeight="1" s="37">
      <c r="A3439" s="42" t="inlineStr">
        <is>
          <t>dunhill signature collection amalfi citrus price</t>
        </is>
      </c>
      <c r="B3439" s="42" t="inlineStr">
        <is>
          <t>Price</t>
        </is>
      </c>
      <c r="C3439" s="42" t="n">
        <v>3</v>
      </c>
      <c r="D3439" s="42" t="n">
        <v>35</v>
      </c>
      <c r="E3439" s="42" t="n">
        <v>1</v>
      </c>
      <c r="F3439" s="42" t="inlineStr">
        <is>
          <t>FR-133</t>
        </is>
      </c>
      <c r="G3439" s="55">
        <f>IFERROR(INDEX('Semrush Data'!$A$1:$Z$20000,MATCH(A3439,'Semrush Data'!$A$1:$A$20000,0),MATCH("Volume",'Semrush Data'!$A$1:$Z$1,0)),"")</f>
        <v/>
      </c>
      <c r="H3439" s="42">
        <f>IFERROR(INDEX('Semrush Data'!$A$1:$Z$20000,MATCH(A3439,'Semrush Data'!$A$1:$A$20000,0),MATCH("Keyword Difficulty*",'Semrush Data'!$A$1:$Z$1,0)),"")</f>
        <v/>
      </c>
      <c r="I3439" s="56">
        <f>IFERROR(INDEX('Semrush Data'!$A$1:$Z$20000,MATCH(A3439,'Semrush Data'!$A$1:$A$20000,0),MATCH("CPC*",'Semrush Data'!$A$1:$Z$1,0)),"")</f>
        <v/>
      </c>
      <c r="J3439" s="42">
        <f>IFERROR(INDEX('Semrush Data'!$A$1:$Z$20000,MATCH(A3439,'Semrush Data'!$A$1:$A$20000,0),MATCH("Intent",'Semrush Data'!$A$1:$Z$1,0)),"")</f>
        <v/>
      </c>
    </row>
    <row r="3440" ht="15" customHeight="1" s="37">
      <c r="A3440" s="42" t="inlineStr">
        <is>
          <t>dunhill signature collection arabian desert price</t>
        </is>
      </c>
      <c r="B3440" s="42" t="inlineStr">
        <is>
          <t>Price</t>
        </is>
      </c>
      <c r="C3440" s="42" t="n">
        <v>3</v>
      </c>
      <c r="D3440" s="42" t="n">
        <v>35</v>
      </c>
      <c r="E3440" s="42" t="n">
        <v>1</v>
      </c>
      <c r="F3440" s="42" t="inlineStr">
        <is>
          <t>FR-134</t>
        </is>
      </c>
      <c r="G3440" s="55">
        <f>IFERROR(INDEX('Semrush Data'!$A$1:$Z$20000,MATCH(A3440,'Semrush Data'!$A$1:$A$20000,0),MATCH("Volume",'Semrush Data'!$A$1:$Z$1,0)),"")</f>
        <v/>
      </c>
      <c r="H3440" s="42">
        <f>IFERROR(INDEX('Semrush Data'!$A$1:$Z$20000,MATCH(A3440,'Semrush Data'!$A$1:$A$20000,0),MATCH("Keyword Difficulty*",'Semrush Data'!$A$1:$Z$1,0)),"")</f>
        <v/>
      </c>
      <c r="I3440" s="56">
        <f>IFERROR(INDEX('Semrush Data'!$A$1:$Z$20000,MATCH(A3440,'Semrush Data'!$A$1:$A$20000,0),MATCH("CPC*",'Semrush Data'!$A$1:$Z$1,0)),"")</f>
        <v/>
      </c>
      <c r="J3440" s="42">
        <f>IFERROR(INDEX('Semrush Data'!$A$1:$Z$20000,MATCH(A3440,'Semrush Data'!$A$1:$A$20000,0),MATCH("Intent",'Semrush Data'!$A$1:$Z$1,0)),"")</f>
        <v/>
      </c>
    </row>
    <row r="3441" ht="15" customHeight="1" s="37">
      <c r="A3441" s="42" t="inlineStr">
        <is>
          <t>dunhill signature collection british leather price</t>
        </is>
      </c>
      <c r="B3441" s="42" t="inlineStr">
        <is>
          <t>Price</t>
        </is>
      </c>
      <c r="C3441" s="42" t="n">
        <v>3</v>
      </c>
      <c r="D3441" s="42" t="n">
        <v>35</v>
      </c>
      <c r="E3441" s="42" t="n">
        <v>1</v>
      </c>
      <c r="F3441" s="42" t="inlineStr">
        <is>
          <t>FR-135</t>
        </is>
      </c>
      <c r="G3441" s="55">
        <f>IFERROR(INDEX('Semrush Data'!$A$1:$Z$20000,MATCH(A3441,'Semrush Data'!$A$1:$A$20000,0),MATCH("Volume",'Semrush Data'!$A$1:$Z$1,0)),"")</f>
        <v/>
      </c>
      <c r="H3441" s="42">
        <f>IFERROR(INDEX('Semrush Data'!$A$1:$Z$20000,MATCH(A3441,'Semrush Data'!$A$1:$A$20000,0),MATCH("Keyword Difficulty*",'Semrush Data'!$A$1:$Z$1,0)),"")</f>
        <v/>
      </c>
      <c r="I3441" s="56">
        <f>IFERROR(INDEX('Semrush Data'!$A$1:$Z$20000,MATCH(A3441,'Semrush Data'!$A$1:$A$20000,0),MATCH("CPC*",'Semrush Data'!$A$1:$Z$1,0)),"")</f>
        <v/>
      </c>
      <c r="J3441" s="42">
        <f>IFERROR(INDEX('Semrush Data'!$A$1:$Z$20000,MATCH(A3441,'Semrush Data'!$A$1:$A$20000,0),MATCH("Intent",'Semrush Data'!$A$1:$Z$1,0)),"")</f>
        <v/>
      </c>
    </row>
    <row r="3442" ht="15" customHeight="1" s="37">
      <c r="A3442" s="42" t="inlineStr">
        <is>
          <t>dunhill signature collection egyptian smoke price</t>
        </is>
      </c>
      <c r="B3442" s="42" t="inlineStr">
        <is>
          <t>Price</t>
        </is>
      </c>
      <c r="C3442" s="42" t="n">
        <v>3</v>
      </c>
      <c r="D3442" s="42" t="n">
        <v>35</v>
      </c>
      <c r="E3442" s="42" t="n">
        <v>1</v>
      </c>
      <c r="F3442" s="42" t="inlineStr">
        <is>
          <t>FR-136</t>
        </is>
      </c>
      <c r="G3442" s="55">
        <f>IFERROR(INDEX('Semrush Data'!$A$1:$Z$20000,MATCH(A3442,'Semrush Data'!$A$1:$A$20000,0),MATCH("Volume",'Semrush Data'!$A$1:$Z$1,0)),"")</f>
        <v/>
      </c>
      <c r="H3442" s="42">
        <f>IFERROR(INDEX('Semrush Data'!$A$1:$Z$20000,MATCH(A3442,'Semrush Data'!$A$1:$A$20000,0),MATCH("Keyword Difficulty*",'Semrush Data'!$A$1:$Z$1,0)),"")</f>
        <v/>
      </c>
      <c r="I3442" s="56">
        <f>IFERROR(INDEX('Semrush Data'!$A$1:$Z$20000,MATCH(A3442,'Semrush Data'!$A$1:$A$20000,0),MATCH("CPC*",'Semrush Data'!$A$1:$Z$1,0)),"")</f>
        <v/>
      </c>
      <c r="J3442" s="42">
        <f>IFERROR(INDEX('Semrush Data'!$A$1:$Z$20000,MATCH(A3442,'Semrush Data'!$A$1:$A$20000,0),MATCH("Intent",'Semrush Data'!$A$1:$Z$1,0)),"")</f>
        <v/>
      </c>
    </row>
    <row r="3443" ht="15" customHeight="1" s="37">
      <c r="A3443" s="42" t="inlineStr">
        <is>
          <t>dunhill signature collection indian sandalwood price</t>
        </is>
      </c>
      <c r="B3443" s="42" t="inlineStr">
        <is>
          <t>Price</t>
        </is>
      </c>
      <c r="C3443" s="42" t="n">
        <v>3</v>
      </c>
      <c r="D3443" s="42" t="n">
        <v>35</v>
      </c>
      <c r="E3443" s="42" t="n">
        <v>1</v>
      </c>
      <c r="F3443" s="42" t="inlineStr">
        <is>
          <t>FR-137</t>
        </is>
      </c>
      <c r="G3443" s="55">
        <f>IFERROR(INDEX('Semrush Data'!$A$1:$Z$20000,MATCH(A3443,'Semrush Data'!$A$1:$A$20000,0),MATCH("Volume",'Semrush Data'!$A$1:$Z$1,0)),"")</f>
        <v/>
      </c>
      <c r="H3443" s="42">
        <f>IFERROR(INDEX('Semrush Data'!$A$1:$Z$20000,MATCH(A3443,'Semrush Data'!$A$1:$A$20000,0),MATCH("Keyword Difficulty*",'Semrush Data'!$A$1:$Z$1,0)),"")</f>
        <v/>
      </c>
      <c r="I3443" s="56">
        <f>IFERROR(INDEX('Semrush Data'!$A$1:$Z$20000,MATCH(A3443,'Semrush Data'!$A$1:$A$20000,0),MATCH("CPC*",'Semrush Data'!$A$1:$Z$1,0)),"")</f>
        <v/>
      </c>
      <c r="J3443" s="42">
        <f>IFERROR(INDEX('Semrush Data'!$A$1:$Z$20000,MATCH(A3443,'Semrush Data'!$A$1:$A$20000,0),MATCH("Intent",'Semrush Data'!$A$1:$Z$1,0)),"")</f>
        <v/>
      </c>
    </row>
    <row r="3444" ht="15" customHeight="1" s="37">
      <c r="A3444" s="42" t="inlineStr">
        <is>
          <t>dunhill signature collection mongolian cashmere price</t>
        </is>
      </c>
      <c r="B3444" s="42" t="inlineStr">
        <is>
          <t>Price</t>
        </is>
      </c>
      <c r="C3444" s="42" t="n">
        <v>3</v>
      </c>
      <c r="D3444" s="42" t="n">
        <v>35</v>
      </c>
      <c r="E3444" s="42" t="n">
        <v>1</v>
      </c>
      <c r="F3444" s="42" t="inlineStr">
        <is>
          <t>FR-138</t>
        </is>
      </c>
      <c r="G3444" s="55">
        <f>IFERROR(INDEX('Semrush Data'!$A$1:$Z$20000,MATCH(A3444,'Semrush Data'!$A$1:$A$20000,0),MATCH("Volume",'Semrush Data'!$A$1:$Z$1,0)),"")</f>
        <v/>
      </c>
      <c r="H3444" s="42">
        <f>IFERROR(INDEX('Semrush Data'!$A$1:$Z$20000,MATCH(A3444,'Semrush Data'!$A$1:$A$20000,0),MATCH("Keyword Difficulty*",'Semrush Data'!$A$1:$Z$1,0)),"")</f>
        <v/>
      </c>
      <c r="I3444" s="56">
        <f>IFERROR(INDEX('Semrush Data'!$A$1:$Z$20000,MATCH(A3444,'Semrush Data'!$A$1:$A$20000,0),MATCH("CPC*",'Semrush Data'!$A$1:$Z$1,0)),"")</f>
        <v/>
      </c>
      <c r="J3444" s="42">
        <f>IFERROR(INDEX('Semrush Data'!$A$1:$Z$20000,MATCH(A3444,'Semrush Data'!$A$1:$A$20000,0),MATCH("Intent",'Semrush Data'!$A$1:$Z$1,0)),"")</f>
        <v/>
      </c>
    </row>
    <row r="3445" ht="15" customHeight="1" s="37">
      <c r="A3445" s="42" t="inlineStr">
        <is>
          <t>dunhill signature collection moroccan amber price</t>
        </is>
      </c>
      <c r="B3445" s="42" t="inlineStr">
        <is>
          <t>Price</t>
        </is>
      </c>
      <c r="C3445" s="42" t="n">
        <v>3</v>
      </c>
      <c r="D3445" s="42" t="n">
        <v>35</v>
      </c>
      <c r="E3445" s="42" t="n">
        <v>1</v>
      </c>
      <c r="F3445" s="42" t="inlineStr">
        <is>
          <t>FR-139</t>
        </is>
      </c>
      <c r="G3445" s="55">
        <f>IFERROR(INDEX('Semrush Data'!$A$1:$Z$20000,MATCH(A3445,'Semrush Data'!$A$1:$A$20000,0),MATCH("Volume",'Semrush Data'!$A$1:$Z$1,0)),"")</f>
        <v/>
      </c>
      <c r="H3445" s="42">
        <f>IFERROR(INDEX('Semrush Data'!$A$1:$Z$20000,MATCH(A3445,'Semrush Data'!$A$1:$A$20000,0),MATCH("Keyword Difficulty*",'Semrush Data'!$A$1:$Z$1,0)),"")</f>
        <v/>
      </c>
      <c r="I3445" s="56">
        <f>IFERROR(INDEX('Semrush Data'!$A$1:$Z$20000,MATCH(A3445,'Semrush Data'!$A$1:$A$20000,0),MATCH("CPC*",'Semrush Data'!$A$1:$Z$1,0)),"")</f>
        <v/>
      </c>
      <c r="J3445" s="42">
        <f>IFERROR(INDEX('Semrush Data'!$A$1:$Z$20000,MATCH(A3445,'Semrush Data'!$A$1:$A$20000,0),MATCH("Intent",'Semrush Data'!$A$1:$Z$1,0)),"")</f>
        <v/>
      </c>
    </row>
    <row r="3446" ht="15" customHeight="1" s="37">
      <c r="A3446" s="42" t="inlineStr">
        <is>
          <t>dunhill signature collection nordic fougere price</t>
        </is>
      </c>
      <c r="B3446" s="42" t="inlineStr">
        <is>
          <t>Price</t>
        </is>
      </c>
      <c r="C3446" s="42" t="n">
        <v>3</v>
      </c>
      <c r="D3446" s="42" t="n">
        <v>35</v>
      </c>
      <c r="E3446" s="42" t="n">
        <v>1</v>
      </c>
      <c r="F3446" s="42" t="inlineStr">
        <is>
          <t>FR-140</t>
        </is>
      </c>
      <c r="G3446" s="55">
        <f>IFERROR(INDEX('Semrush Data'!$A$1:$Z$20000,MATCH(A3446,'Semrush Data'!$A$1:$A$20000,0),MATCH("Volume",'Semrush Data'!$A$1:$Z$1,0)),"")</f>
        <v/>
      </c>
      <c r="H3446" s="42">
        <f>IFERROR(INDEX('Semrush Data'!$A$1:$Z$20000,MATCH(A3446,'Semrush Data'!$A$1:$A$20000,0),MATCH("Keyword Difficulty*",'Semrush Data'!$A$1:$Z$1,0)),"")</f>
        <v/>
      </c>
      <c r="I3446" s="56">
        <f>IFERROR(INDEX('Semrush Data'!$A$1:$Z$20000,MATCH(A3446,'Semrush Data'!$A$1:$A$20000,0),MATCH("CPC*",'Semrush Data'!$A$1:$Z$1,0)),"")</f>
        <v/>
      </c>
      <c r="J3446" s="42">
        <f>IFERROR(INDEX('Semrush Data'!$A$1:$Z$20000,MATCH(A3446,'Semrush Data'!$A$1:$A$20000,0),MATCH("Intent",'Semrush Data'!$A$1:$Z$1,0)),"")</f>
        <v/>
      </c>
    </row>
    <row r="3447" ht="15" customHeight="1" s="37">
      <c r="A3447" s="42" t="inlineStr">
        <is>
          <t>dunhill signature collection valensole lavender price</t>
        </is>
      </c>
      <c r="B3447" s="42" t="inlineStr">
        <is>
          <t>Price</t>
        </is>
      </c>
      <c r="C3447" s="42" t="n">
        <v>3</v>
      </c>
      <c r="D3447" s="42" t="n">
        <v>35</v>
      </c>
      <c r="E3447" s="42" t="n">
        <v>1</v>
      </c>
      <c r="F3447" s="42" t="inlineStr">
        <is>
          <t>FR-141</t>
        </is>
      </c>
      <c r="G3447" s="55">
        <f>IFERROR(INDEX('Semrush Data'!$A$1:$Z$20000,MATCH(A3447,'Semrush Data'!$A$1:$A$20000,0),MATCH("Volume",'Semrush Data'!$A$1:$Z$1,0)),"")</f>
        <v/>
      </c>
      <c r="H3447" s="42">
        <f>IFERROR(INDEX('Semrush Data'!$A$1:$Z$20000,MATCH(A3447,'Semrush Data'!$A$1:$A$20000,0),MATCH("Keyword Difficulty*",'Semrush Data'!$A$1:$Z$1,0)),"")</f>
        <v/>
      </c>
      <c r="I3447" s="56">
        <f>IFERROR(INDEX('Semrush Data'!$A$1:$Z$20000,MATCH(A3447,'Semrush Data'!$A$1:$A$20000,0),MATCH("CPC*",'Semrush Data'!$A$1:$Z$1,0)),"")</f>
        <v/>
      </c>
      <c r="J3447" s="42">
        <f>IFERROR(INDEX('Semrush Data'!$A$1:$Z$20000,MATCH(A3447,'Semrush Data'!$A$1:$A$20000,0),MATCH("Intent",'Semrush Data'!$A$1:$Z$1,0)),"")</f>
        <v/>
      </c>
    </row>
    <row r="3448" ht="15" customHeight="1" s="37">
      <c r="A3448" s="42" t="inlineStr">
        <is>
          <t>elie saab elixir price</t>
        </is>
      </c>
      <c r="B3448" s="42" t="inlineStr">
        <is>
          <t>Price</t>
        </is>
      </c>
      <c r="C3448" s="42" t="n">
        <v>3</v>
      </c>
      <c r="D3448" s="42" t="n">
        <v>35</v>
      </c>
      <c r="E3448" s="42" t="n">
        <v>1</v>
      </c>
      <c r="F3448" s="42" t="inlineStr">
        <is>
          <t>FR-146</t>
        </is>
      </c>
      <c r="G3448" s="55">
        <f>IFERROR(INDEX('Semrush Data'!$A$1:$Z$20000,MATCH(A3448,'Semrush Data'!$A$1:$A$20000,0),MATCH("Volume",'Semrush Data'!$A$1:$Z$1,0)),"")</f>
        <v/>
      </c>
      <c r="H3448" s="42">
        <f>IFERROR(INDEX('Semrush Data'!$A$1:$Z$20000,MATCH(A3448,'Semrush Data'!$A$1:$A$20000,0),MATCH("Keyword Difficulty*",'Semrush Data'!$A$1:$Z$1,0)),"")</f>
        <v/>
      </c>
      <c r="I3448" s="56">
        <f>IFERROR(INDEX('Semrush Data'!$A$1:$Z$20000,MATCH(A3448,'Semrush Data'!$A$1:$A$20000,0),MATCH("CPC*",'Semrush Data'!$A$1:$Z$1,0)),"")</f>
        <v/>
      </c>
      <c r="J3448" s="42">
        <f>IFERROR(INDEX('Semrush Data'!$A$1:$Z$20000,MATCH(A3448,'Semrush Data'!$A$1:$A$20000,0),MATCH("Intent",'Semrush Data'!$A$1:$Z$1,0)),"")</f>
        <v/>
      </c>
    </row>
    <row r="3449" ht="15" customHeight="1" s="37">
      <c r="A3449" s="42" t="inlineStr">
        <is>
          <t>elie saab girl of now lovely gift set price</t>
        </is>
      </c>
      <c r="B3449" s="42" t="inlineStr">
        <is>
          <t>Price</t>
        </is>
      </c>
      <c r="C3449" s="42" t="n">
        <v>3</v>
      </c>
      <c r="D3449" s="42" t="n">
        <v>35</v>
      </c>
      <c r="E3449" s="42" t="n">
        <v>1</v>
      </c>
      <c r="F3449" s="42" t="inlineStr">
        <is>
          <t>FR-153</t>
        </is>
      </c>
      <c r="G3449" s="55">
        <f>IFERROR(INDEX('Semrush Data'!$A$1:$Z$20000,MATCH(A3449,'Semrush Data'!$A$1:$A$20000,0),MATCH("Volume",'Semrush Data'!$A$1:$Z$1,0)),"")</f>
        <v/>
      </c>
      <c r="H3449" s="42">
        <f>IFERROR(INDEX('Semrush Data'!$A$1:$Z$20000,MATCH(A3449,'Semrush Data'!$A$1:$A$20000,0),MATCH("Keyword Difficulty*",'Semrush Data'!$A$1:$Z$1,0)),"")</f>
        <v/>
      </c>
      <c r="I3449" s="56">
        <f>IFERROR(INDEX('Semrush Data'!$A$1:$Z$20000,MATCH(A3449,'Semrush Data'!$A$1:$A$20000,0),MATCH("CPC*",'Semrush Data'!$A$1:$Z$1,0)),"")</f>
        <v/>
      </c>
      <c r="J3449" s="42">
        <f>IFERROR(INDEX('Semrush Data'!$A$1:$Z$20000,MATCH(A3449,'Semrush Data'!$A$1:$A$20000,0),MATCH("Intent",'Semrush Data'!$A$1:$Z$1,0)),"")</f>
        <v/>
      </c>
    </row>
    <row r="3450" ht="15" customHeight="1" s="37">
      <c r="A3450" s="42" t="inlineStr">
        <is>
          <t>elie saab la collection des essences no. 1 rose price</t>
        </is>
      </c>
      <c r="B3450" s="42" t="inlineStr">
        <is>
          <t>Price</t>
        </is>
      </c>
      <c r="C3450" s="42" t="n">
        <v>3</v>
      </c>
      <c r="D3450" s="42" t="n">
        <v>35</v>
      </c>
      <c r="E3450" s="42" t="n">
        <v>1</v>
      </c>
      <c r="F3450" s="42" t="inlineStr">
        <is>
          <t>FR-147</t>
        </is>
      </c>
      <c r="G3450" s="55">
        <f>IFERROR(INDEX('Semrush Data'!$A$1:$Z$20000,MATCH(A3450,'Semrush Data'!$A$1:$A$20000,0),MATCH("Volume",'Semrush Data'!$A$1:$Z$1,0)),"")</f>
        <v/>
      </c>
      <c r="H3450" s="42">
        <f>IFERROR(INDEX('Semrush Data'!$A$1:$Z$20000,MATCH(A3450,'Semrush Data'!$A$1:$A$20000,0),MATCH("Keyword Difficulty*",'Semrush Data'!$A$1:$Z$1,0)),"")</f>
        <v/>
      </c>
      <c r="I3450" s="56">
        <f>IFERROR(INDEX('Semrush Data'!$A$1:$Z$20000,MATCH(A3450,'Semrush Data'!$A$1:$A$20000,0),MATCH("CPC*",'Semrush Data'!$A$1:$Z$1,0)),"")</f>
        <v/>
      </c>
      <c r="J3450" s="42">
        <f>IFERROR(INDEX('Semrush Data'!$A$1:$Z$20000,MATCH(A3450,'Semrush Data'!$A$1:$A$20000,0),MATCH("Intent",'Semrush Data'!$A$1:$Z$1,0)),"")</f>
        <v/>
      </c>
    </row>
    <row r="3451" ht="15" customHeight="1" s="37">
      <c r="A3451" s="42" t="inlineStr">
        <is>
          <t>elie saab la collection des essences no. 4 oud price</t>
        </is>
      </c>
      <c r="B3451" s="42" t="inlineStr">
        <is>
          <t>Price</t>
        </is>
      </c>
      <c r="C3451" s="42" t="n">
        <v>3</v>
      </c>
      <c r="D3451" s="42" t="n">
        <v>35</v>
      </c>
      <c r="E3451" s="42" t="n">
        <v>1</v>
      </c>
      <c r="F3451" s="42" t="inlineStr">
        <is>
          <t>FR-148</t>
        </is>
      </c>
      <c r="G3451" s="55">
        <f>IFERROR(INDEX('Semrush Data'!$A$1:$Z$20000,MATCH(A3451,'Semrush Data'!$A$1:$A$20000,0),MATCH("Volume",'Semrush Data'!$A$1:$Z$1,0)),"")</f>
        <v/>
      </c>
      <c r="H3451" s="42">
        <f>IFERROR(INDEX('Semrush Data'!$A$1:$Z$20000,MATCH(A3451,'Semrush Data'!$A$1:$A$20000,0),MATCH("Keyword Difficulty*",'Semrush Data'!$A$1:$Z$1,0)),"")</f>
        <v/>
      </c>
      <c r="I3451" s="56">
        <f>IFERROR(INDEX('Semrush Data'!$A$1:$Z$20000,MATCH(A3451,'Semrush Data'!$A$1:$A$20000,0),MATCH("CPC*",'Semrush Data'!$A$1:$Z$1,0)),"")</f>
        <v/>
      </c>
      <c r="J3451" s="42">
        <f>IFERROR(INDEX('Semrush Data'!$A$1:$Z$20000,MATCH(A3451,'Semrush Data'!$A$1:$A$20000,0),MATCH("Intent",'Semrush Data'!$A$1:$Z$1,0)),"")</f>
        <v/>
      </c>
    </row>
    <row r="3452" ht="15" customHeight="1" s="37">
      <c r="A3452" s="42" t="inlineStr">
        <is>
          <t>elie saab le parfum bridal price</t>
        </is>
      </c>
      <c r="B3452" s="42" t="inlineStr">
        <is>
          <t>Price</t>
        </is>
      </c>
      <c r="C3452" s="42" t="n">
        <v>3</v>
      </c>
      <c r="D3452" s="42" t="n">
        <v>35</v>
      </c>
      <c r="E3452" s="42" t="n">
        <v>1</v>
      </c>
      <c r="F3452" s="42" t="inlineStr">
        <is>
          <t>FR-149</t>
        </is>
      </c>
      <c r="G3452" s="55">
        <f>IFERROR(INDEX('Semrush Data'!$A$1:$Z$20000,MATCH(A3452,'Semrush Data'!$A$1:$A$20000,0),MATCH("Volume",'Semrush Data'!$A$1:$Z$1,0)),"")</f>
        <v/>
      </c>
      <c r="H3452" s="42">
        <f>IFERROR(INDEX('Semrush Data'!$A$1:$Z$20000,MATCH(A3452,'Semrush Data'!$A$1:$A$20000,0),MATCH("Keyword Difficulty*",'Semrush Data'!$A$1:$Z$1,0)),"")</f>
        <v/>
      </c>
      <c r="I3452" s="56">
        <f>IFERROR(INDEX('Semrush Data'!$A$1:$Z$20000,MATCH(A3452,'Semrush Data'!$A$1:$A$20000,0),MATCH("CPC*",'Semrush Data'!$A$1:$Z$1,0)),"")</f>
        <v/>
      </c>
      <c r="J3452" s="42">
        <f>IFERROR(INDEX('Semrush Data'!$A$1:$Z$20000,MATCH(A3452,'Semrush Data'!$A$1:$A$20000,0),MATCH("Intent",'Semrush Data'!$A$1:$Z$1,0)),"")</f>
        <v/>
      </c>
    </row>
    <row r="3453" ht="15" customHeight="1" s="37">
      <c r="A3453" s="42" t="inlineStr">
        <is>
          <t>elie saab le parfum gift set price</t>
        </is>
      </c>
      <c r="B3453" s="42" t="inlineStr">
        <is>
          <t>Price</t>
        </is>
      </c>
      <c r="C3453" s="42" t="n">
        <v>3</v>
      </c>
      <c r="D3453" s="42" t="n">
        <v>35</v>
      </c>
      <c r="E3453" s="42" t="n">
        <v>1</v>
      </c>
      <c r="F3453" s="42" t="inlineStr">
        <is>
          <t>FR-154</t>
        </is>
      </c>
      <c r="G3453" s="55">
        <f>IFERROR(INDEX('Semrush Data'!$A$1:$Z$20000,MATCH(A3453,'Semrush Data'!$A$1:$A$20000,0),MATCH("Volume",'Semrush Data'!$A$1:$Z$1,0)),"")</f>
        <v/>
      </c>
      <c r="H3453" s="42">
        <f>IFERROR(INDEX('Semrush Data'!$A$1:$Z$20000,MATCH(A3453,'Semrush Data'!$A$1:$A$20000,0),MATCH("Keyword Difficulty*",'Semrush Data'!$A$1:$Z$1,0)),"")</f>
        <v/>
      </c>
      <c r="I3453" s="56">
        <f>IFERROR(INDEX('Semrush Data'!$A$1:$Z$20000,MATCH(A3453,'Semrush Data'!$A$1:$A$20000,0),MATCH("CPC*",'Semrush Data'!$A$1:$Z$1,0)),"")</f>
        <v/>
      </c>
      <c r="J3453" s="42">
        <f>IFERROR(INDEX('Semrush Data'!$A$1:$Z$20000,MATCH(A3453,'Semrush Data'!$A$1:$A$20000,0),MATCH("Intent",'Semrush Data'!$A$1:$Z$1,0)),"")</f>
        <v/>
      </c>
    </row>
    <row r="3454" ht="15" customHeight="1" s="37">
      <c r="A3454" s="42" t="inlineStr">
        <is>
          <t>elie saab le parfum intense price</t>
        </is>
      </c>
      <c r="B3454" s="42" t="inlineStr">
        <is>
          <t>Price</t>
        </is>
      </c>
      <c r="C3454" s="42" t="n">
        <v>3</v>
      </c>
      <c r="D3454" s="42" t="n">
        <v>35</v>
      </c>
      <c r="E3454" s="42" t="n">
        <v>1</v>
      </c>
      <c r="F3454" s="42" t="inlineStr">
        <is>
          <t>FR-151</t>
        </is>
      </c>
      <c r="G3454" s="55">
        <f>IFERROR(INDEX('Semrush Data'!$A$1:$Z$20000,MATCH(A3454,'Semrush Data'!$A$1:$A$20000,0),MATCH("Volume",'Semrush Data'!$A$1:$Z$1,0)),"")</f>
        <v/>
      </c>
      <c r="H3454" s="42">
        <f>IFERROR(INDEX('Semrush Data'!$A$1:$Z$20000,MATCH(A3454,'Semrush Data'!$A$1:$A$20000,0),MATCH("Keyword Difficulty*",'Semrush Data'!$A$1:$Z$1,0)),"")</f>
        <v/>
      </c>
      <c r="I3454" s="56">
        <f>IFERROR(INDEX('Semrush Data'!$A$1:$Z$20000,MATCH(A3454,'Semrush Data'!$A$1:$A$20000,0),MATCH("CPC*",'Semrush Data'!$A$1:$Z$1,0)),"")</f>
        <v/>
      </c>
      <c r="J3454" s="42">
        <f>IFERROR(INDEX('Semrush Data'!$A$1:$Z$20000,MATCH(A3454,'Semrush Data'!$A$1:$A$20000,0),MATCH("Intent",'Semrush Data'!$A$1:$Z$1,0)),"")</f>
        <v/>
      </c>
    </row>
    <row r="3455" ht="15" customHeight="1" s="37">
      <c r="A3455" s="42" t="inlineStr">
        <is>
          <t>elie saab le parfum lumiere gift set price</t>
        </is>
      </c>
      <c r="B3455" s="42" t="inlineStr">
        <is>
          <t>Price</t>
        </is>
      </c>
      <c r="C3455" s="42" t="n">
        <v>3</v>
      </c>
      <c r="D3455" s="42" t="n">
        <v>35</v>
      </c>
      <c r="E3455" s="42" t="n">
        <v>1</v>
      </c>
      <c r="F3455" s="42" t="inlineStr">
        <is>
          <t>FR-155</t>
        </is>
      </c>
      <c r="G3455" s="55">
        <f>IFERROR(INDEX('Semrush Data'!$A$1:$Z$20000,MATCH(A3455,'Semrush Data'!$A$1:$A$20000,0),MATCH("Volume",'Semrush Data'!$A$1:$Z$1,0)),"")</f>
        <v/>
      </c>
      <c r="H3455" s="42">
        <f>IFERROR(INDEX('Semrush Data'!$A$1:$Z$20000,MATCH(A3455,'Semrush Data'!$A$1:$A$20000,0),MATCH("Keyword Difficulty*",'Semrush Data'!$A$1:$Z$1,0)),"")</f>
        <v/>
      </c>
      <c r="I3455" s="56">
        <f>IFERROR(INDEX('Semrush Data'!$A$1:$Z$20000,MATCH(A3455,'Semrush Data'!$A$1:$A$20000,0),MATCH("CPC*",'Semrush Data'!$A$1:$Z$1,0)),"")</f>
        <v/>
      </c>
      <c r="J3455" s="42">
        <f>IFERROR(INDEX('Semrush Data'!$A$1:$Z$20000,MATCH(A3455,'Semrush Data'!$A$1:$A$20000,0),MATCH("Intent",'Semrush Data'!$A$1:$Z$1,0)),"")</f>
        <v/>
      </c>
    </row>
    <row r="3456" ht="15" customHeight="1" s="37">
      <c r="A3456" s="42" t="inlineStr">
        <is>
          <t>elie saab le price</t>
        </is>
      </c>
      <c r="B3456" s="42" t="inlineStr">
        <is>
          <t>Price</t>
        </is>
      </c>
      <c r="C3456" s="42" t="n">
        <v>3</v>
      </c>
      <c r="D3456" s="42" t="n">
        <v>35</v>
      </c>
      <c r="E3456" s="42" t="n">
        <v>1</v>
      </c>
      <c r="F3456" s="42" t="inlineStr">
        <is>
          <t>FR-150</t>
        </is>
      </c>
      <c r="G3456" s="55">
        <f>IFERROR(INDEX('Semrush Data'!$A$1:$Z$20000,MATCH(A3456,'Semrush Data'!$A$1:$A$20000,0),MATCH("Volume",'Semrush Data'!$A$1:$Z$1,0)),"")</f>
        <v/>
      </c>
      <c r="H3456" s="42">
        <f>IFERROR(INDEX('Semrush Data'!$A$1:$Z$20000,MATCH(A3456,'Semrush Data'!$A$1:$A$20000,0),MATCH("Keyword Difficulty*",'Semrush Data'!$A$1:$Z$1,0)),"")</f>
        <v/>
      </c>
      <c r="I3456" s="56">
        <f>IFERROR(INDEX('Semrush Data'!$A$1:$Z$20000,MATCH(A3456,'Semrush Data'!$A$1:$A$20000,0),MATCH("CPC*",'Semrush Data'!$A$1:$Z$1,0)),"")</f>
        <v/>
      </c>
      <c r="J3456" s="42">
        <f>IFERROR(INDEX('Semrush Data'!$A$1:$Z$20000,MATCH(A3456,'Semrush Data'!$A$1:$A$20000,0),MATCH("Intent",'Semrush Data'!$A$1:$Z$1,0)),"")</f>
        <v/>
      </c>
    </row>
    <row r="3457" ht="15" customHeight="1" s="37">
      <c r="A3457" s="42" t="inlineStr">
        <is>
          <t>elie saab nuit noor price</t>
        </is>
      </c>
      <c r="B3457" s="42" t="inlineStr">
        <is>
          <t>Price</t>
        </is>
      </c>
      <c r="C3457" s="42" t="n">
        <v>3</v>
      </c>
      <c r="D3457" s="42" t="n">
        <v>35</v>
      </c>
      <c r="E3457" s="42" t="n">
        <v>1</v>
      </c>
      <c r="F3457" s="42" t="inlineStr">
        <is>
          <t>FR-152</t>
        </is>
      </c>
      <c r="G3457" s="55">
        <f>IFERROR(INDEX('Semrush Data'!$A$1:$Z$20000,MATCH(A3457,'Semrush Data'!$A$1:$A$20000,0),MATCH("Volume",'Semrush Data'!$A$1:$Z$1,0)),"")</f>
        <v/>
      </c>
      <c r="H3457" s="42">
        <f>IFERROR(INDEX('Semrush Data'!$A$1:$Z$20000,MATCH(A3457,'Semrush Data'!$A$1:$A$20000,0),MATCH("Keyword Difficulty*",'Semrush Data'!$A$1:$Z$1,0)),"")</f>
        <v/>
      </c>
      <c r="I3457" s="56">
        <f>IFERROR(INDEX('Semrush Data'!$A$1:$Z$20000,MATCH(A3457,'Semrush Data'!$A$1:$A$20000,0),MATCH("CPC*",'Semrush Data'!$A$1:$Z$1,0)),"")</f>
        <v/>
      </c>
      <c r="J3457" s="42">
        <f>IFERROR(INDEX('Semrush Data'!$A$1:$Z$20000,MATCH(A3457,'Semrush Data'!$A$1:$A$20000,0),MATCH("Intent",'Semrush Data'!$A$1:$Z$1,0)),"")</f>
        <v/>
      </c>
    </row>
    <row r="3458" ht="15" customHeight="1" s="37">
      <c r="A3458" s="42" t="inlineStr">
        <is>
          <t>elizabeth arden beauty price</t>
        </is>
      </c>
      <c r="B3458" s="42" t="inlineStr">
        <is>
          <t>Price</t>
        </is>
      </c>
      <c r="C3458" s="42" t="n">
        <v>3</v>
      </c>
      <c r="D3458" s="42" t="n">
        <v>35</v>
      </c>
      <c r="E3458" s="42" t="n">
        <v>1</v>
      </c>
      <c r="F3458" s="42" t="inlineStr">
        <is>
          <t>FR-156</t>
        </is>
      </c>
      <c r="G3458" s="55">
        <f>IFERROR(INDEX('Semrush Data'!$A$1:$Z$20000,MATCH(A3458,'Semrush Data'!$A$1:$A$20000,0),MATCH("Volume",'Semrush Data'!$A$1:$Z$1,0)),"")</f>
        <v/>
      </c>
      <c r="H3458" s="42">
        <f>IFERROR(INDEX('Semrush Data'!$A$1:$Z$20000,MATCH(A3458,'Semrush Data'!$A$1:$A$20000,0),MATCH("Keyword Difficulty*",'Semrush Data'!$A$1:$Z$1,0)),"")</f>
        <v/>
      </c>
      <c r="I3458" s="56">
        <f>IFERROR(INDEX('Semrush Data'!$A$1:$Z$20000,MATCH(A3458,'Semrush Data'!$A$1:$A$20000,0),MATCH("CPC*",'Semrush Data'!$A$1:$Z$1,0)),"")</f>
        <v/>
      </c>
      <c r="J3458" s="42">
        <f>IFERROR(INDEX('Semrush Data'!$A$1:$Z$20000,MATCH(A3458,'Semrush Data'!$A$1:$A$20000,0),MATCH("Intent",'Semrush Data'!$A$1:$Z$1,0)),"")</f>
        <v/>
      </c>
    </row>
    <row r="3459" ht="15" customHeight="1" s="37">
      <c r="A3459" s="42" t="inlineStr">
        <is>
          <t>escada magnetic dream price</t>
        </is>
      </c>
      <c r="B3459" s="42" t="inlineStr">
        <is>
          <t>Price</t>
        </is>
      </c>
      <c r="C3459" s="42" t="n">
        <v>3</v>
      </c>
      <c r="D3459" s="42" t="n">
        <v>35</v>
      </c>
      <c r="E3459" s="42" t="n">
        <v>1</v>
      </c>
      <c r="F3459" s="42" t="inlineStr">
        <is>
          <t>FR-157</t>
        </is>
      </c>
      <c r="G3459" s="55">
        <f>IFERROR(INDEX('Semrush Data'!$A$1:$Z$20000,MATCH(A3459,'Semrush Data'!$A$1:$A$20000,0),MATCH("Volume",'Semrush Data'!$A$1:$Z$1,0)),"")</f>
        <v/>
      </c>
      <c r="H3459" s="42">
        <f>IFERROR(INDEX('Semrush Data'!$A$1:$Z$20000,MATCH(A3459,'Semrush Data'!$A$1:$A$20000,0),MATCH("Keyword Difficulty*",'Semrush Data'!$A$1:$Z$1,0)),"")</f>
        <v/>
      </c>
      <c r="I3459" s="56">
        <f>IFERROR(INDEX('Semrush Data'!$A$1:$Z$20000,MATCH(A3459,'Semrush Data'!$A$1:$A$20000,0),MATCH("CPC*",'Semrush Data'!$A$1:$Z$1,0)),"")</f>
        <v/>
      </c>
      <c r="J3459" s="42">
        <f>IFERROR(INDEX('Semrush Data'!$A$1:$Z$20000,MATCH(A3459,'Semrush Data'!$A$1:$A$20000,0),MATCH("Intent",'Semrush Data'!$A$1:$Z$1,0)),"")</f>
        <v/>
      </c>
    </row>
    <row r="3460" ht="15" customHeight="1" s="37">
      <c r="A3460" s="42" t="inlineStr">
        <is>
          <t>escada magnetism price</t>
        </is>
      </c>
      <c r="B3460" s="42" t="inlineStr">
        <is>
          <t>Price</t>
        </is>
      </c>
      <c r="C3460" s="42" t="n">
        <v>3</v>
      </c>
      <c r="D3460" s="42" t="n">
        <v>35</v>
      </c>
      <c r="E3460" s="42" t="n">
        <v>1</v>
      </c>
      <c r="F3460" s="42" t="inlineStr">
        <is>
          <t>FR-158</t>
        </is>
      </c>
      <c r="G3460" s="55">
        <f>IFERROR(INDEX('Semrush Data'!$A$1:$Z$20000,MATCH(A3460,'Semrush Data'!$A$1:$A$20000,0),MATCH("Volume",'Semrush Data'!$A$1:$Z$1,0)),"")</f>
        <v/>
      </c>
      <c r="H3460" s="42">
        <f>IFERROR(INDEX('Semrush Data'!$A$1:$Z$20000,MATCH(A3460,'Semrush Data'!$A$1:$A$20000,0),MATCH("Keyword Difficulty*",'Semrush Data'!$A$1:$Z$1,0)),"")</f>
        <v/>
      </c>
      <c r="I3460" s="56">
        <f>IFERROR(INDEX('Semrush Data'!$A$1:$Z$20000,MATCH(A3460,'Semrush Data'!$A$1:$A$20000,0),MATCH("CPC*",'Semrush Data'!$A$1:$Z$1,0)),"")</f>
        <v/>
      </c>
      <c r="J3460" s="42">
        <f>IFERROR(INDEX('Semrush Data'!$A$1:$Z$20000,MATCH(A3460,'Semrush Data'!$A$1:$A$20000,0),MATCH("Intent",'Semrush Data'!$A$1:$Z$1,0)),"")</f>
        <v/>
      </c>
    </row>
    <row r="3461" ht="15" customHeight="1" s="37">
      <c r="A3461" s="42" t="inlineStr">
        <is>
          <t>escada party love price</t>
        </is>
      </c>
      <c r="B3461" s="42" t="inlineStr">
        <is>
          <t>Price</t>
        </is>
      </c>
      <c r="C3461" s="42" t="n">
        <v>3</v>
      </c>
      <c r="D3461" s="42" t="n">
        <v>35</v>
      </c>
      <c r="E3461" s="42" t="n">
        <v>1</v>
      </c>
      <c r="F3461" s="42" t="inlineStr">
        <is>
          <t>FR-159</t>
        </is>
      </c>
      <c r="G3461" s="55">
        <f>IFERROR(INDEX('Semrush Data'!$A$1:$Z$20000,MATCH(A3461,'Semrush Data'!$A$1:$A$20000,0),MATCH("Volume",'Semrush Data'!$A$1:$Z$1,0)),"")</f>
        <v/>
      </c>
      <c r="H3461" s="42">
        <f>IFERROR(INDEX('Semrush Data'!$A$1:$Z$20000,MATCH(A3461,'Semrush Data'!$A$1:$A$20000,0),MATCH("Keyword Difficulty*",'Semrush Data'!$A$1:$Z$1,0)),"")</f>
        <v/>
      </c>
      <c r="I3461" s="56">
        <f>IFERROR(INDEX('Semrush Data'!$A$1:$Z$20000,MATCH(A3461,'Semrush Data'!$A$1:$A$20000,0),MATCH("CPC*",'Semrush Data'!$A$1:$Z$1,0)),"")</f>
        <v/>
      </c>
      <c r="J3461" s="42">
        <f>IFERROR(INDEX('Semrush Data'!$A$1:$Z$20000,MATCH(A3461,'Semrush Data'!$A$1:$A$20000,0),MATCH("Intent",'Semrush Data'!$A$1:$Z$1,0)),"")</f>
        <v/>
      </c>
    </row>
    <row r="3462" ht="15" customHeight="1" s="37">
      <c r="A3462" s="42" t="inlineStr">
        <is>
          <t>estee lauder spellbound price</t>
        </is>
      </c>
      <c r="B3462" s="42" t="inlineStr">
        <is>
          <t>Price</t>
        </is>
      </c>
      <c r="C3462" s="42" t="n">
        <v>3</v>
      </c>
      <c r="D3462" s="42" t="n">
        <v>35</v>
      </c>
      <c r="E3462" s="42" t="n">
        <v>1</v>
      </c>
      <c r="F3462" s="42" t="inlineStr">
        <is>
          <t>FR-160</t>
        </is>
      </c>
      <c r="G3462" s="55">
        <f>IFERROR(INDEX('Semrush Data'!$A$1:$Z$20000,MATCH(A3462,'Semrush Data'!$A$1:$A$20000,0),MATCH("Volume",'Semrush Data'!$A$1:$Z$1,0)),"")</f>
        <v/>
      </c>
      <c r="H3462" s="42">
        <f>IFERROR(INDEX('Semrush Data'!$A$1:$Z$20000,MATCH(A3462,'Semrush Data'!$A$1:$A$20000,0),MATCH("Keyword Difficulty*",'Semrush Data'!$A$1:$Z$1,0)),"")</f>
        <v/>
      </c>
      <c r="I3462" s="56">
        <f>IFERROR(INDEX('Semrush Data'!$A$1:$Z$20000,MATCH(A3462,'Semrush Data'!$A$1:$A$20000,0),MATCH("CPC*",'Semrush Data'!$A$1:$Z$1,0)),"")</f>
        <v/>
      </c>
      <c r="J3462" s="42">
        <f>IFERROR(INDEX('Semrush Data'!$A$1:$Z$20000,MATCH(A3462,'Semrush Data'!$A$1:$A$20000,0),MATCH("Intent",'Semrush Data'!$A$1:$Z$1,0)),"")</f>
        <v/>
      </c>
    </row>
    <row r="3463" ht="15" customHeight="1" s="37">
      <c r="A3463" s="42" t="inlineStr">
        <is>
          <t>etienne aigner first class explorer price</t>
        </is>
      </c>
      <c r="B3463" s="42" t="inlineStr">
        <is>
          <t>Price</t>
        </is>
      </c>
      <c r="C3463" s="42" t="n">
        <v>3</v>
      </c>
      <c r="D3463" s="42" t="n">
        <v>35</v>
      </c>
      <c r="E3463" s="42" t="n">
        <v>1</v>
      </c>
      <c r="F3463" s="42" t="inlineStr">
        <is>
          <t>FR-161</t>
        </is>
      </c>
      <c r="G3463" s="55">
        <f>IFERROR(INDEX('Semrush Data'!$A$1:$Z$20000,MATCH(A3463,'Semrush Data'!$A$1:$A$20000,0),MATCH("Volume",'Semrush Data'!$A$1:$Z$1,0)),"")</f>
        <v/>
      </c>
      <c r="H3463" s="42">
        <f>IFERROR(INDEX('Semrush Data'!$A$1:$Z$20000,MATCH(A3463,'Semrush Data'!$A$1:$A$20000,0),MATCH("Keyword Difficulty*",'Semrush Data'!$A$1:$Z$1,0)),"")</f>
        <v/>
      </c>
      <c r="I3463" s="56">
        <f>IFERROR(INDEX('Semrush Data'!$A$1:$Z$20000,MATCH(A3463,'Semrush Data'!$A$1:$A$20000,0),MATCH("CPC*",'Semrush Data'!$A$1:$Z$1,0)),"")</f>
        <v/>
      </c>
      <c r="J3463" s="42">
        <f>IFERROR(INDEX('Semrush Data'!$A$1:$Z$20000,MATCH(A3463,'Semrush Data'!$A$1:$A$20000,0),MATCH("Intent",'Semrush Data'!$A$1:$Z$1,0)),"")</f>
        <v/>
      </c>
    </row>
    <row r="3464" ht="15" customHeight="1" s="37">
      <c r="A3464" s="42" t="inlineStr">
        <is>
          <t>etienne aigner no. 1 intense price</t>
        </is>
      </c>
      <c r="B3464" s="42" t="inlineStr">
        <is>
          <t>Price</t>
        </is>
      </c>
      <c r="C3464" s="42" t="n">
        <v>3</v>
      </c>
      <c r="D3464" s="42" t="n">
        <v>35</v>
      </c>
      <c r="E3464" s="42" t="n">
        <v>1</v>
      </c>
      <c r="F3464" s="42" t="inlineStr">
        <is>
          <t>FR-162</t>
        </is>
      </c>
      <c r="G3464" s="55">
        <f>IFERROR(INDEX('Semrush Data'!$A$1:$Z$20000,MATCH(A3464,'Semrush Data'!$A$1:$A$20000,0),MATCH("Volume",'Semrush Data'!$A$1:$Z$1,0)),"")</f>
        <v/>
      </c>
      <c r="H3464" s="42">
        <f>IFERROR(INDEX('Semrush Data'!$A$1:$Z$20000,MATCH(A3464,'Semrush Data'!$A$1:$A$20000,0),MATCH("Keyword Difficulty*",'Semrush Data'!$A$1:$Z$1,0)),"")</f>
        <v/>
      </c>
      <c r="I3464" s="56">
        <f>IFERROR(INDEX('Semrush Data'!$A$1:$Z$20000,MATCH(A3464,'Semrush Data'!$A$1:$A$20000,0),MATCH("CPC*",'Semrush Data'!$A$1:$Z$1,0)),"")</f>
        <v/>
      </c>
      <c r="J3464" s="42">
        <f>IFERROR(INDEX('Semrush Data'!$A$1:$Z$20000,MATCH(A3464,'Semrush Data'!$A$1:$A$20000,0),MATCH("Intent",'Semrush Data'!$A$1:$Z$1,0)),"")</f>
        <v/>
      </c>
    </row>
    <row r="3465" ht="15" customHeight="1" s="37">
      <c r="A3465" s="42" t="inlineStr">
        <is>
          <t>fumeri 540 price</t>
        </is>
      </c>
      <c r="B3465" s="42" t="inlineStr">
        <is>
          <t>Price</t>
        </is>
      </c>
      <c r="C3465" s="42" t="n">
        <v>3</v>
      </c>
      <c r="D3465" s="42" t="n">
        <v>35</v>
      </c>
      <c r="E3465" s="42" t="n">
        <v>1</v>
      </c>
      <c r="F3465" s="42" t="inlineStr">
        <is>
          <t>FR-163</t>
        </is>
      </c>
      <c r="G3465" s="55">
        <f>IFERROR(INDEX('Semrush Data'!$A$1:$Z$20000,MATCH(A3465,'Semrush Data'!$A$1:$A$20000,0),MATCH("Volume",'Semrush Data'!$A$1:$Z$1,0)),"")</f>
        <v/>
      </c>
      <c r="H3465" s="42">
        <f>IFERROR(INDEX('Semrush Data'!$A$1:$Z$20000,MATCH(A3465,'Semrush Data'!$A$1:$A$20000,0),MATCH("Keyword Difficulty*",'Semrush Data'!$A$1:$Z$1,0)),"")</f>
        <v/>
      </c>
      <c r="I3465" s="56">
        <f>IFERROR(INDEX('Semrush Data'!$A$1:$Z$20000,MATCH(A3465,'Semrush Data'!$A$1:$A$20000,0),MATCH("CPC*",'Semrush Data'!$A$1:$Z$1,0)),"")</f>
        <v/>
      </c>
      <c r="J3465" s="42">
        <f>IFERROR(INDEX('Semrush Data'!$A$1:$Z$20000,MATCH(A3465,'Semrush Data'!$A$1:$A$20000,0),MATCH("Intent",'Semrush Data'!$A$1:$Z$1,0)),"")</f>
        <v/>
      </c>
    </row>
    <row r="3466" ht="15" customHeight="1" s="37">
      <c r="A3466" s="42" t="inlineStr">
        <is>
          <t>fumeri adore price</t>
        </is>
      </c>
      <c r="B3466" s="42" t="inlineStr">
        <is>
          <t>Price</t>
        </is>
      </c>
      <c r="C3466" s="42" t="n">
        <v>3</v>
      </c>
      <c r="D3466" s="42" t="n">
        <v>35</v>
      </c>
      <c r="E3466" s="42" t="n">
        <v>1</v>
      </c>
      <c r="F3466" s="42" t="inlineStr">
        <is>
          <t>FR-164</t>
        </is>
      </c>
      <c r="G3466" s="55">
        <f>IFERROR(INDEX('Semrush Data'!$A$1:$Z$20000,MATCH(A3466,'Semrush Data'!$A$1:$A$20000,0),MATCH("Volume",'Semrush Data'!$A$1:$Z$1,0)),"")</f>
        <v/>
      </c>
      <c r="H3466" s="42">
        <f>IFERROR(INDEX('Semrush Data'!$A$1:$Z$20000,MATCH(A3466,'Semrush Data'!$A$1:$A$20000,0),MATCH("Keyword Difficulty*",'Semrush Data'!$A$1:$Z$1,0)),"")</f>
        <v/>
      </c>
      <c r="I3466" s="56">
        <f>IFERROR(INDEX('Semrush Data'!$A$1:$Z$20000,MATCH(A3466,'Semrush Data'!$A$1:$A$20000,0),MATCH("CPC*",'Semrush Data'!$A$1:$Z$1,0)),"")</f>
        <v/>
      </c>
      <c r="J3466" s="42">
        <f>IFERROR(INDEX('Semrush Data'!$A$1:$Z$20000,MATCH(A3466,'Semrush Data'!$A$1:$A$20000,0),MATCH("Intent",'Semrush Data'!$A$1:$Z$1,0)),"")</f>
        <v/>
      </c>
    </row>
    <row r="3467" ht="15" customHeight="1" s="37">
      <c r="A3467" s="42" t="inlineStr">
        <is>
          <t>fumeri ambre night price</t>
        </is>
      </c>
      <c r="B3467" s="42" t="inlineStr">
        <is>
          <t>Price</t>
        </is>
      </c>
      <c r="C3467" s="42" t="n">
        <v>3</v>
      </c>
      <c r="D3467" s="42" t="n">
        <v>35</v>
      </c>
      <c r="E3467" s="42" t="n">
        <v>1</v>
      </c>
      <c r="F3467" s="42" t="inlineStr">
        <is>
          <t>FR-165</t>
        </is>
      </c>
      <c r="G3467" s="55">
        <f>IFERROR(INDEX('Semrush Data'!$A$1:$Z$20000,MATCH(A3467,'Semrush Data'!$A$1:$A$20000,0),MATCH("Volume",'Semrush Data'!$A$1:$Z$1,0)),"")</f>
        <v/>
      </c>
      <c r="H3467" s="42">
        <f>IFERROR(INDEX('Semrush Data'!$A$1:$Z$20000,MATCH(A3467,'Semrush Data'!$A$1:$A$20000,0),MATCH("Keyword Difficulty*",'Semrush Data'!$A$1:$Z$1,0)),"")</f>
        <v/>
      </c>
      <c r="I3467" s="56">
        <f>IFERROR(INDEX('Semrush Data'!$A$1:$Z$20000,MATCH(A3467,'Semrush Data'!$A$1:$A$20000,0),MATCH("CPC*",'Semrush Data'!$A$1:$Z$1,0)),"")</f>
        <v/>
      </c>
      <c r="J3467" s="42">
        <f>IFERROR(INDEX('Semrush Data'!$A$1:$Z$20000,MATCH(A3467,'Semrush Data'!$A$1:$A$20000,0),MATCH("Intent",'Semrush Data'!$A$1:$Z$1,0)),"")</f>
        <v/>
      </c>
    </row>
    <row r="3468" ht="15" customHeight="1" s="37">
      <c r="A3468" s="42" t="inlineStr">
        <is>
          <t>fumeri angel price</t>
        </is>
      </c>
      <c r="B3468" s="42" t="inlineStr">
        <is>
          <t>Price</t>
        </is>
      </c>
      <c r="C3468" s="42" t="n">
        <v>3</v>
      </c>
      <c r="D3468" s="42" t="n">
        <v>35</v>
      </c>
      <c r="E3468" s="42" t="n">
        <v>1</v>
      </c>
      <c r="F3468" s="42" t="inlineStr">
        <is>
          <t>FR-166</t>
        </is>
      </c>
      <c r="G3468" s="55">
        <f>IFERROR(INDEX('Semrush Data'!$A$1:$Z$20000,MATCH(A3468,'Semrush Data'!$A$1:$A$20000,0),MATCH("Volume",'Semrush Data'!$A$1:$Z$1,0)),"")</f>
        <v/>
      </c>
      <c r="H3468" s="42">
        <f>IFERROR(INDEX('Semrush Data'!$A$1:$Z$20000,MATCH(A3468,'Semrush Data'!$A$1:$A$20000,0),MATCH("Keyword Difficulty*",'Semrush Data'!$A$1:$Z$1,0)),"")</f>
        <v/>
      </c>
      <c r="I3468" s="56">
        <f>IFERROR(INDEX('Semrush Data'!$A$1:$Z$20000,MATCH(A3468,'Semrush Data'!$A$1:$A$20000,0),MATCH("CPC*",'Semrush Data'!$A$1:$Z$1,0)),"")</f>
        <v/>
      </c>
      <c r="J3468" s="42">
        <f>IFERROR(INDEX('Semrush Data'!$A$1:$Z$20000,MATCH(A3468,'Semrush Data'!$A$1:$A$20000,0),MATCH("Intent",'Semrush Data'!$A$1:$Z$1,0)),"")</f>
        <v/>
      </c>
    </row>
    <row r="3469" ht="15" customHeight="1" s="37">
      <c r="A3469" s="42" t="inlineStr">
        <is>
          <t>fumeri blue price</t>
        </is>
      </c>
      <c r="B3469" s="42" t="inlineStr">
        <is>
          <t>Price</t>
        </is>
      </c>
      <c r="C3469" s="42" t="n">
        <v>3</v>
      </c>
      <c r="D3469" s="42" t="n">
        <v>35</v>
      </c>
      <c r="E3469" s="42" t="n">
        <v>1</v>
      </c>
      <c r="F3469" s="42" t="inlineStr">
        <is>
          <t>FR-167</t>
        </is>
      </c>
      <c r="G3469" s="55">
        <f>IFERROR(INDEX('Semrush Data'!$A$1:$Z$20000,MATCH(A3469,'Semrush Data'!$A$1:$A$20000,0),MATCH("Volume",'Semrush Data'!$A$1:$Z$1,0)),"")</f>
        <v/>
      </c>
      <c r="H3469" s="42">
        <f>IFERROR(INDEX('Semrush Data'!$A$1:$Z$20000,MATCH(A3469,'Semrush Data'!$A$1:$A$20000,0),MATCH("Keyword Difficulty*",'Semrush Data'!$A$1:$Z$1,0)),"")</f>
        <v/>
      </c>
      <c r="I3469" s="56">
        <f>IFERROR(INDEX('Semrush Data'!$A$1:$Z$20000,MATCH(A3469,'Semrush Data'!$A$1:$A$20000,0),MATCH("CPC*",'Semrush Data'!$A$1:$Z$1,0)),"")</f>
        <v/>
      </c>
      <c r="J3469" s="42">
        <f>IFERROR(INDEX('Semrush Data'!$A$1:$Z$20000,MATCH(A3469,'Semrush Data'!$A$1:$A$20000,0),MATCH("Intent",'Semrush Data'!$A$1:$Z$1,0)),"")</f>
        <v/>
      </c>
    </row>
    <row r="3470" ht="15" customHeight="1" s="37">
      <c r="A3470" s="42" t="inlineStr">
        <is>
          <t>fumeri elixir price</t>
        </is>
      </c>
      <c r="B3470" s="42" t="inlineStr">
        <is>
          <t>Price</t>
        </is>
      </c>
      <c r="C3470" s="42" t="n">
        <v>3</v>
      </c>
      <c r="D3470" s="42" t="n">
        <v>35</v>
      </c>
      <c r="E3470" s="42" t="n">
        <v>1</v>
      </c>
      <c r="F3470" s="42" t="inlineStr">
        <is>
          <t>FR-168</t>
        </is>
      </c>
      <c r="G3470" s="55">
        <f>IFERROR(INDEX('Semrush Data'!$A$1:$Z$20000,MATCH(A3470,'Semrush Data'!$A$1:$A$20000,0),MATCH("Volume",'Semrush Data'!$A$1:$Z$1,0)),"")</f>
        <v/>
      </c>
      <c r="H3470" s="42">
        <f>IFERROR(INDEX('Semrush Data'!$A$1:$Z$20000,MATCH(A3470,'Semrush Data'!$A$1:$A$20000,0),MATCH("Keyword Difficulty*",'Semrush Data'!$A$1:$Z$1,0)),"")</f>
        <v/>
      </c>
      <c r="I3470" s="56">
        <f>IFERROR(INDEX('Semrush Data'!$A$1:$Z$20000,MATCH(A3470,'Semrush Data'!$A$1:$A$20000,0),MATCH("CPC*",'Semrush Data'!$A$1:$Z$1,0)),"")</f>
        <v/>
      </c>
      <c r="J3470" s="42">
        <f>IFERROR(INDEX('Semrush Data'!$A$1:$Z$20000,MATCH(A3470,'Semrush Data'!$A$1:$A$20000,0),MATCH("Intent",'Semrush Data'!$A$1:$Z$1,0)),"")</f>
        <v/>
      </c>
    </row>
    <row r="3471" ht="15" customHeight="1" s="37">
      <c r="A3471" s="42" t="inlineStr">
        <is>
          <t>fumeri flirt price</t>
        </is>
      </c>
      <c r="B3471" s="42" t="inlineStr">
        <is>
          <t>Price</t>
        </is>
      </c>
      <c r="C3471" s="42" t="n">
        <v>3</v>
      </c>
      <c r="D3471" s="42" t="n">
        <v>35</v>
      </c>
      <c r="E3471" s="42" t="n">
        <v>1</v>
      </c>
      <c r="F3471" s="42" t="inlineStr">
        <is>
          <t>FR-169</t>
        </is>
      </c>
      <c r="G3471" s="55">
        <f>IFERROR(INDEX('Semrush Data'!$A$1:$Z$20000,MATCH(A3471,'Semrush Data'!$A$1:$A$20000,0),MATCH("Volume",'Semrush Data'!$A$1:$Z$1,0)),"")</f>
        <v/>
      </c>
      <c r="H3471" s="42">
        <f>IFERROR(INDEX('Semrush Data'!$A$1:$Z$20000,MATCH(A3471,'Semrush Data'!$A$1:$A$20000,0),MATCH("Keyword Difficulty*",'Semrush Data'!$A$1:$Z$1,0)),"")</f>
        <v/>
      </c>
      <c r="I3471" s="56">
        <f>IFERROR(INDEX('Semrush Data'!$A$1:$Z$20000,MATCH(A3471,'Semrush Data'!$A$1:$A$20000,0),MATCH("CPC*",'Semrush Data'!$A$1:$Z$1,0)),"")</f>
        <v/>
      </c>
      <c r="J3471" s="42">
        <f>IFERROR(INDEX('Semrush Data'!$A$1:$Z$20000,MATCH(A3471,'Semrush Data'!$A$1:$A$20000,0),MATCH("Intent",'Semrush Data'!$A$1:$Z$1,0)),"")</f>
        <v/>
      </c>
    </row>
    <row r="3472" ht="15" customHeight="1" s="37">
      <c r="A3472" s="42" t="inlineStr">
        <is>
          <t>fumeri gabriella price</t>
        </is>
      </c>
      <c r="B3472" s="42" t="inlineStr">
        <is>
          <t>Price</t>
        </is>
      </c>
      <c r="C3472" s="42" t="n">
        <v>3</v>
      </c>
      <c r="D3472" s="42" t="n">
        <v>35</v>
      </c>
      <c r="E3472" s="42" t="n">
        <v>1</v>
      </c>
      <c r="F3472" s="42" t="inlineStr">
        <is>
          <t>FR-170</t>
        </is>
      </c>
      <c r="G3472" s="55">
        <f>IFERROR(INDEX('Semrush Data'!$A$1:$Z$20000,MATCH(A3472,'Semrush Data'!$A$1:$A$20000,0),MATCH("Volume",'Semrush Data'!$A$1:$Z$1,0)),"")</f>
        <v/>
      </c>
      <c r="H3472" s="42">
        <f>IFERROR(INDEX('Semrush Data'!$A$1:$Z$20000,MATCH(A3472,'Semrush Data'!$A$1:$A$20000,0),MATCH("Keyword Difficulty*",'Semrush Data'!$A$1:$Z$1,0)),"")</f>
        <v/>
      </c>
      <c r="I3472" s="56">
        <f>IFERROR(INDEX('Semrush Data'!$A$1:$Z$20000,MATCH(A3472,'Semrush Data'!$A$1:$A$20000,0),MATCH("CPC*",'Semrush Data'!$A$1:$Z$1,0)),"")</f>
        <v/>
      </c>
      <c r="J3472" s="42">
        <f>IFERROR(INDEX('Semrush Data'!$A$1:$Z$20000,MATCH(A3472,'Semrush Data'!$A$1:$A$20000,0),MATCH("Intent",'Semrush Data'!$A$1:$Z$1,0)),"")</f>
        <v/>
      </c>
    </row>
    <row r="3473" ht="15" customHeight="1" s="37">
      <c r="A3473" s="42" t="inlineStr">
        <is>
          <t>fumeri gris price</t>
        </is>
      </c>
      <c r="B3473" s="42" t="inlineStr">
        <is>
          <t>Price</t>
        </is>
      </c>
      <c r="C3473" s="42" t="n">
        <v>3</v>
      </c>
      <c r="D3473" s="42" t="n">
        <v>35</v>
      </c>
      <c r="E3473" s="42" t="n">
        <v>1</v>
      </c>
      <c r="F3473" s="42" t="inlineStr">
        <is>
          <t>FR-171</t>
        </is>
      </c>
      <c r="G3473" s="55">
        <f>IFERROR(INDEX('Semrush Data'!$A$1:$Z$20000,MATCH(A3473,'Semrush Data'!$A$1:$A$20000,0),MATCH("Volume",'Semrush Data'!$A$1:$Z$1,0)),"")</f>
        <v/>
      </c>
      <c r="H3473" s="42">
        <f>IFERROR(INDEX('Semrush Data'!$A$1:$Z$20000,MATCH(A3473,'Semrush Data'!$A$1:$A$20000,0),MATCH("Keyword Difficulty*",'Semrush Data'!$A$1:$Z$1,0)),"")</f>
        <v/>
      </c>
      <c r="I3473" s="56">
        <f>IFERROR(INDEX('Semrush Data'!$A$1:$Z$20000,MATCH(A3473,'Semrush Data'!$A$1:$A$20000,0),MATCH("CPC*",'Semrush Data'!$A$1:$Z$1,0)),"")</f>
        <v/>
      </c>
      <c r="J3473" s="42">
        <f>IFERROR(INDEX('Semrush Data'!$A$1:$Z$20000,MATCH(A3473,'Semrush Data'!$A$1:$A$20000,0),MATCH("Intent",'Semrush Data'!$A$1:$Z$1,0)),"")</f>
        <v/>
      </c>
    </row>
    <row r="3474" ht="15" customHeight="1" s="37">
      <c r="A3474" s="42" t="inlineStr">
        <is>
          <t>fumeri orchid noir price</t>
        </is>
      </c>
      <c r="B3474" s="42" t="inlineStr">
        <is>
          <t>Price</t>
        </is>
      </c>
      <c r="C3474" s="42" t="n">
        <v>3</v>
      </c>
      <c r="D3474" s="42" t="n">
        <v>35</v>
      </c>
      <c r="E3474" s="42" t="n">
        <v>1</v>
      </c>
      <c r="F3474" s="42" t="inlineStr">
        <is>
          <t>FR-172</t>
        </is>
      </c>
      <c r="G3474" s="55">
        <f>IFERROR(INDEX('Semrush Data'!$A$1:$Z$20000,MATCH(A3474,'Semrush Data'!$A$1:$A$20000,0),MATCH("Volume",'Semrush Data'!$A$1:$Z$1,0)),"")</f>
        <v/>
      </c>
      <c r="H3474" s="42">
        <f>IFERROR(INDEX('Semrush Data'!$A$1:$Z$20000,MATCH(A3474,'Semrush Data'!$A$1:$A$20000,0),MATCH("Keyword Difficulty*",'Semrush Data'!$A$1:$Z$1,0)),"")</f>
        <v/>
      </c>
      <c r="I3474" s="56">
        <f>IFERROR(INDEX('Semrush Data'!$A$1:$Z$20000,MATCH(A3474,'Semrush Data'!$A$1:$A$20000,0),MATCH("CPC*",'Semrush Data'!$A$1:$Z$1,0)),"")</f>
        <v/>
      </c>
      <c r="J3474" s="42">
        <f>IFERROR(INDEX('Semrush Data'!$A$1:$Z$20000,MATCH(A3474,'Semrush Data'!$A$1:$A$20000,0),MATCH("Intent",'Semrush Data'!$A$1:$Z$1,0)),"")</f>
        <v/>
      </c>
    </row>
    <row r="3475" ht="15" customHeight="1" s="37">
      <c r="A3475" s="42" t="inlineStr">
        <is>
          <t>fumeri orpheon price</t>
        </is>
      </c>
      <c r="B3475" s="42" t="inlineStr">
        <is>
          <t>Price</t>
        </is>
      </c>
      <c r="C3475" s="42" t="n">
        <v>3</v>
      </c>
      <c r="D3475" s="42" t="n">
        <v>35</v>
      </c>
      <c r="E3475" s="42" t="n">
        <v>1</v>
      </c>
      <c r="F3475" s="42" t="inlineStr">
        <is>
          <t>FR-173</t>
        </is>
      </c>
      <c r="G3475" s="55">
        <f>IFERROR(INDEX('Semrush Data'!$A$1:$Z$20000,MATCH(A3475,'Semrush Data'!$A$1:$A$20000,0),MATCH("Volume",'Semrush Data'!$A$1:$Z$1,0)),"")</f>
        <v/>
      </c>
      <c r="H3475" s="42">
        <f>IFERROR(INDEX('Semrush Data'!$A$1:$Z$20000,MATCH(A3475,'Semrush Data'!$A$1:$A$20000,0),MATCH("Keyword Difficulty*",'Semrush Data'!$A$1:$Z$1,0)),"")</f>
        <v/>
      </c>
      <c r="I3475" s="56">
        <f>IFERROR(INDEX('Semrush Data'!$A$1:$Z$20000,MATCH(A3475,'Semrush Data'!$A$1:$A$20000,0),MATCH("CPC*",'Semrush Data'!$A$1:$Z$1,0)),"")</f>
        <v/>
      </c>
      <c r="J3475" s="42">
        <f>IFERROR(INDEX('Semrush Data'!$A$1:$Z$20000,MATCH(A3475,'Semrush Data'!$A$1:$A$20000,0),MATCH("Intent",'Semrush Data'!$A$1:$Z$1,0)),"")</f>
        <v/>
      </c>
    </row>
    <row r="3476" ht="15" customHeight="1" s="37">
      <c r="A3476" s="42" t="inlineStr">
        <is>
          <t>fumeri oud saffron price</t>
        </is>
      </c>
      <c r="B3476" s="42" t="inlineStr">
        <is>
          <t>Price</t>
        </is>
      </c>
      <c r="C3476" s="42" t="n">
        <v>3</v>
      </c>
      <c r="D3476" s="42" t="n">
        <v>35</v>
      </c>
      <c r="E3476" s="42" t="n">
        <v>1</v>
      </c>
      <c r="F3476" s="42" t="inlineStr">
        <is>
          <t>FR-174</t>
        </is>
      </c>
      <c r="G3476" s="55">
        <f>IFERROR(INDEX('Semrush Data'!$A$1:$Z$20000,MATCH(A3476,'Semrush Data'!$A$1:$A$20000,0),MATCH("Volume",'Semrush Data'!$A$1:$Z$1,0)),"")</f>
        <v/>
      </c>
      <c r="H3476" s="42">
        <f>IFERROR(INDEX('Semrush Data'!$A$1:$Z$20000,MATCH(A3476,'Semrush Data'!$A$1:$A$20000,0),MATCH("Keyword Difficulty*",'Semrush Data'!$A$1:$Z$1,0)),"")</f>
        <v/>
      </c>
      <c r="I3476" s="56">
        <f>IFERROR(INDEX('Semrush Data'!$A$1:$Z$20000,MATCH(A3476,'Semrush Data'!$A$1:$A$20000,0),MATCH("CPC*",'Semrush Data'!$A$1:$Z$1,0)),"")</f>
        <v/>
      </c>
      <c r="J3476" s="42">
        <f>IFERROR(INDEX('Semrush Data'!$A$1:$Z$20000,MATCH(A3476,'Semrush Data'!$A$1:$A$20000,0),MATCH("Intent",'Semrush Data'!$A$1:$Z$1,0)),"")</f>
        <v/>
      </c>
    </row>
    <row r="3477" ht="15" customHeight="1" s="37">
      <c r="A3477" s="42" t="inlineStr">
        <is>
          <t>fumeri peach price</t>
        </is>
      </c>
      <c r="B3477" s="42" t="inlineStr">
        <is>
          <t>Price</t>
        </is>
      </c>
      <c r="C3477" s="42" t="n">
        <v>3</v>
      </c>
      <c r="D3477" s="42" t="n">
        <v>35</v>
      </c>
      <c r="E3477" s="42" t="n">
        <v>1</v>
      </c>
      <c r="F3477" s="42" t="inlineStr">
        <is>
          <t>FR-175</t>
        </is>
      </c>
      <c r="G3477" s="55">
        <f>IFERROR(INDEX('Semrush Data'!$A$1:$Z$20000,MATCH(A3477,'Semrush Data'!$A$1:$A$20000,0),MATCH("Volume",'Semrush Data'!$A$1:$Z$1,0)),"")</f>
        <v/>
      </c>
      <c r="H3477" s="42">
        <f>IFERROR(INDEX('Semrush Data'!$A$1:$Z$20000,MATCH(A3477,'Semrush Data'!$A$1:$A$20000,0),MATCH("Keyword Difficulty*",'Semrush Data'!$A$1:$Z$1,0)),"")</f>
        <v/>
      </c>
      <c r="I3477" s="56">
        <f>IFERROR(INDEX('Semrush Data'!$A$1:$Z$20000,MATCH(A3477,'Semrush Data'!$A$1:$A$20000,0),MATCH("CPC*",'Semrush Data'!$A$1:$Z$1,0)),"")</f>
        <v/>
      </c>
      <c r="J3477" s="42">
        <f>IFERROR(INDEX('Semrush Data'!$A$1:$Z$20000,MATCH(A3477,'Semrush Data'!$A$1:$A$20000,0),MATCH("Intent",'Semrush Data'!$A$1:$Z$1,0)),"")</f>
        <v/>
      </c>
    </row>
    <row r="3478" ht="15" customHeight="1" s="37">
      <c r="A3478" s="42" t="inlineStr">
        <is>
          <t>fumeri smokey leather price</t>
        </is>
      </c>
      <c r="B3478" s="42" t="inlineStr">
        <is>
          <t>Price</t>
        </is>
      </c>
      <c r="C3478" s="42" t="n">
        <v>3</v>
      </c>
      <c r="D3478" s="42" t="n">
        <v>35</v>
      </c>
      <c r="E3478" s="42" t="n">
        <v>1</v>
      </c>
      <c r="F3478" s="42" t="inlineStr">
        <is>
          <t>FR-176</t>
        </is>
      </c>
      <c r="G3478" s="55">
        <f>IFERROR(INDEX('Semrush Data'!$A$1:$Z$20000,MATCH(A3478,'Semrush Data'!$A$1:$A$20000,0),MATCH("Volume",'Semrush Data'!$A$1:$Z$1,0)),"")</f>
        <v/>
      </c>
      <c r="H3478" s="42">
        <f>IFERROR(INDEX('Semrush Data'!$A$1:$Z$20000,MATCH(A3478,'Semrush Data'!$A$1:$A$20000,0),MATCH("Keyword Difficulty*",'Semrush Data'!$A$1:$Z$1,0)),"")</f>
        <v/>
      </c>
      <c r="I3478" s="56">
        <f>IFERROR(INDEX('Semrush Data'!$A$1:$Z$20000,MATCH(A3478,'Semrush Data'!$A$1:$A$20000,0),MATCH("CPC*",'Semrush Data'!$A$1:$Z$1,0)),"")</f>
        <v/>
      </c>
      <c r="J3478" s="42">
        <f>IFERROR(INDEX('Semrush Data'!$A$1:$Z$20000,MATCH(A3478,'Semrush Data'!$A$1:$A$20000,0),MATCH("Intent",'Semrush Data'!$A$1:$Z$1,0)),"")</f>
        <v/>
      </c>
    </row>
    <row r="3479" ht="15" customHeight="1" s="37">
      <c r="A3479" s="42" t="inlineStr">
        <is>
          <t>fumeri style 33 price</t>
        </is>
      </c>
      <c r="B3479" s="42" t="inlineStr">
        <is>
          <t>Price</t>
        </is>
      </c>
      <c r="C3479" s="42" t="n">
        <v>3</v>
      </c>
      <c r="D3479" s="42" t="n">
        <v>35</v>
      </c>
      <c r="E3479" s="42" t="n">
        <v>1</v>
      </c>
      <c r="F3479" s="42" t="inlineStr">
        <is>
          <t>FR-177</t>
        </is>
      </c>
      <c r="G3479" s="55">
        <f>IFERROR(INDEX('Semrush Data'!$A$1:$Z$20000,MATCH(A3479,'Semrush Data'!$A$1:$A$20000,0),MATCH("Volume",'Semrush Data'!$A$1:$Z$1,0)),"")</f>
        <v/>
      </c>
      <c r="H3479" s="42">
        <f>IFERROR(INDEX('Semrush Data'!$A$1:$Z$20000,MATCH(A3479,'Semrush Data'!$A$1:$A$20000,0),MATCH("Keyword Difficulty*",'Semrush Data'!$A$1:$Z$1,0)),"")</f>
        <v/>
      </c>
      <c r="I3479" s="56">
        <f>IFERROR(INDEX('Semrush Data'!$A$1:$Z$20000,MATCH(A3479,'Semrush Data'!$A$1:$A$20000,0),MATCH("CPC*",'Semrush Data'!$A$1:$Z$1,0)),"")</f>
        <v/>
      </c>
      <c r="J3479" s="42">
        <f>IFERROR(INDEX('Semrush Data'!$A$1:$Z$20000,MATCH(A3479,'Semrush Data'!$A$1:$A$20000,0),MATCH("Intent",'Semrush Data'!$A$1:$Z$1,0)),"")</f>
        <v/>
      </c>
    </row>
    <row r="3480" ht="15" customHeight="1" s="37">
      <c r="A3480" s="42" t="inlineStr">
        <is>
          <t>fumeri victorious price</t>
        </is>
      </c>
      <c r="B3480" s="42" t="inlineStr">
        <is>
          <t>Price</t>
        </is>
      </c>
      <c r="C3480" s="42" t="n">
        <v>3</v>
      </c>
      <c r="D3480" s="42" t="n">
        <v>35</v>
      </c>
      <c r="E3480" s="42" t="n">
        <v>1</v>
      </c>
      <c r="F3480" s="42" t="inlineStr">
        <is>
          <t>FR-178</t>
        </is>
      </c>
      <c r="G3480" s="55">
        <f>IFERROR(INDEX('Semrush Data'!$A$1:$Z$20000,MATCH(A3480,'Semrush Data'!$A$1:$A$20000,0),MATCH("Volume",'Semrush Data'!$A$1:$Z$1,0)),"")</f>
        <v/>
      </c>
      <c r="H3480" s="42">
        <f>IFERROR(INDEX('Semrush Data'!$A$1:$Z$20000,MATCH(A3480,'Semrush Data'!$A$1:$A$20000,0),MATCH("Keyword Difficulty*",'Semrush Data'!$A$1:$Z$1,0)),"")</f>
        <v/>
      </c>
      <c r="I3480" s="56">
        <f>IFERROR(INDEX('Semrush Data'!$A$1:$Z$20000,MATCH(A3480,'Semrush Data'!$A$1:$A$20000,0),MATCH("CPC*",'Semrush Data'!$A$1:$Z$1,0)),"")</f>
        <v/>
      </c>
      <c r="J3480" s="42">
        <f>IFERROR(INDEX('Semrush Data'!$A$1:$Z$20000,MATCH(A3480,'Semrush Data'!$A$1:$A$20000,0),MATCH("Intent",'Semrush Data'!$A$1:$Z$1,0)),"")</f>
        <v/>
      </c>
    </row>
    <row r="3481" ht="15" customHeight="1" s="37">
      <c r="A3481" s="42" t="inlineStr">
        <is>
          <t>fumeri wild price</t>
        </is>
      </c>
      <c r="B3481" s="42" t="inlineStr">
        <is>
          <t>Price</t>
        </is>
      </c>
      <c r="C3481" s="42" t="n">
        <v>3</v>
      </c>
      <c r="D3481" s="42" t="n">
        <v>35</v>
      </c>
      <c r="E3481" s="42" t="n">
        <v>1</v>
      </c>
      <c r="F3481" s="42" t="inlineStr">
        <is>
          <t>FR-179</t>
        </is>
      </c>
      <c r="G3481" s="55">
        <f>IFERROR(INDEX('Semrush Data'!$A$1:$Z$20000,MATCH(A3481,'Semrush Data'!$A$1:$A$20000,0),MATCH("Volume",'Semrush Data'!$A$1:$Z$1,0)),"")</f>
        <v/>
      </c>
      <c r="H3481" s="42">
        <f>IFERROR(INDEX('Semrush Data'!$A$1:$Z$20000,MATCH(A3481,'Semrush Data'!$A$1:$A$20000,0),MATCH("Keyword Difficulty*",'Semrush Data'!$A$1:$Z$1,0)),"")</f>
        <v/>
      </c>
      <c r="I3481" s="56">
        <f>IFERROR(INDEX('Semrush Data'!$A$1:$Z$20000,MATCH(A3481,'Semrush Data'!$A$1:$A$20000,0),MATCH("CPC*",'Semrush Data'!$A$1:$Z$1,0)),"")</f>
        <v/>
      </c>
      <c r="J3481" s="42">
        <f>IFERROR(INDEX('Semrush Data'!$A$1:$Z$20000,MATCH(A3481,'Semrush Data'!$A$1:$A$20000,0),MATCH("Intent",'Semrush Data'!$A$1:$Z$1,0)),"")</f>
        <v/>
      </c>
    </row>
    <row r="3482" ht="15" customHeight="1" s="37">
      <c r="A3482" s="42" t="inlineStr">
        <is>
          <t>game of spades bid price</t>
        </is>
      </c>
      <c r="B3482" s="42" t="inlineStr">
        <is>
          <t>Price</t>
        </is>
      </c>
      <c r="C3482" s="42" t="n">
        <v>3</v>
      </c>
      <c r="D3482" s="42" t="n">
        <v>35</v>
      </c>
      <c r="E3482" s="42" t="n">
        <v>1</v>
      </c>
      <c r="F3482" s="42" t="inlineStr">
        <is>
          <t>FR-180</t>
        </is>
      </c>
      <c r="G3482" s="55">
        <f>IFERROR(INDEX('Semrush Data'!$A$1:$Z$20000,MATCH(A3482,'Semrush Data'!$A$1:$A$20000,0),MATCH("Volume",'Semrush Data'!$A$1:$Z$1,0)),"")</f>
        <v/>
      </c>
      <c r="H3482" s="42">
        <f>IFERROR(INDEX('Semrush Data'!$A$1:$Z$20000,MATCH(A3482,'Semrush Data'!$A$1:$A$20000,0),MATCH("Keyword Difficulty*",'Semrush Data'!$A$1:$Z$1,0)),"")</f>
        <v/>
      </c>
      <c r="I3482" s="56">
        <f>IFERROR(INDEX('Semrush Data'!$A$1:$Z$20000,MATCH(A3482,'Semrush Data'!$A$1:$A$20000,0),MATCH("CPC*",'Semrush Data'!$A$1:$Z$1,0)),"")</f>
        <v/>
      </c>
      <c r="J3482" s="42">
        <f>IFERROR(INDEX('Semrush Data'!$A$1:$Z$20000,MATCH(A3482,'Semrush Data'!$A$1:$A$20000,0),MATCH("Intent",'Semrush Data'!$A$1:$Z$1,0)),"")</f>
        <v/>
      </c>
    </row>
    <row r="3483" ht="15" customHeight="1" s="37">
      <c r="A3483" s="42" t="inlineStr">
        <is>
          <t>game of spades blind-bid price</t>
        </is>
      </c>
      <c r="B3483" s="42" t="inlineStr">
        <is>
          <t>Price</t>
        </is>
      </c>
      <c r="C3483" s="42" t="n">
        <v>3</v>
      </c>
      <c r="D3483" s="42" t="n">
        <v>35</v>
      </c>
      <c r="E3483" s="42" t="n">
        <v>1</v>
      </c>
      <c r="F3483" s="42" t="inlineStr">
        <is>
          <t>FR-181</t>
        </is>
      </c>
      <c r="G3483" s="55">
        <f>IFERROR(INDEX('Semrush Data'!$A$1:$Z$20000,MATCH(A3483,'Semrush Data'!$A$1:$A$20000,0),MATCH("Volume",'Semrush Data'!$A$1:$Z$1,0)),"")</f>
        <v/>
      </c>
      <c r="H3483" s="42">
        <f>IFERROR(INDEX('Semrush Data'!$A$1:$Z$20000,MATCH(A3483,'Semrush Data'!$A$1:$A$20000,0),MATCH("Keyword Difficulty*",'Semrush Data'!$A$1:$Z$1,0)),"")</f>
        <v/>
      </c>
      <c r="I3483" s="56">
        <f>IFERROR(INDEX('Semrush Data'!$A$1:$Z$20000,MATCH(A3483,'Semrush Data'!$A$1:$A$20000,0),MATCH("CPC*",'Semrush Data'!$A$1:$Z$1,0)),"")</f>
        <v/>
      </c>
      <c r="J3483" s="42">
        <f>IFERROR(INDEX('Semrush Data'!$A$1:$Z$20000,MATCH(A3483,'Semrush Data'!$A$1:$A$20000,0),MATCH("Intent",'Semrush Data'!$A$1:$Z$1,0)),"")</f>
        <v/>
      </c>
    </row>
    <row r="3484" ht="15" customHeight="1" s="37">
      <c r="A3484" s="42" t="inlineStr">
        <is>
          <t>game of spades boston price</t>
        </is>
      </c>
      <c r="B3484" s="42" t="inlineStr">
        <is>
          <t>Price</t>
        </is>
      </c>
      <c r="C3484" s="42" t="n">
        <v>3</v>
      </c>
      <c r="D3484" s="42" t="n">
        <v>35</v>
      </c>
      <c r="E3484" s="42" t="n">
        <v>1</v>
      </c>
      <c r="F3484" s="42" t="inlineStr">
        <is>
          <t>FR-182</t>
        </is>
      </c>
      <c r="G3484" s="55">
        <f>IFERROR(INDEX('Semrush Data'!$A$1:$Z$20000,MATCH(A3484,'Semrush Data'!$A$1:$A$20000,0),MATCH("Volume",'Semrush Data'!$A$1:$Z$1,0)),"")</f>
        <v/>
      </c>
      <c r="H3484" s="42">
        <f>IFERROR(INDEX('Semrush Data'!$A$1:$Z$20000,MATCH(A3484,'Semrush Data'!$A$1:$A$20000,0),MATCH("Keyword Difficulty*",'Semrush Data'!$A$1:$Z$1,0)),"")</f>
        <v/>
      </c>
      <c r="I3484" s="56">
        <f>IFERROR(INDEX('Semrush Data'!$A$1:$Z$20000,MATCH(A3484,'Semrush Data'!$A$1:$A$20000,0),MATCH("CPC*",'Semrush Data'!$A$1:$Z$1,0)),"")</f>
        <v/>
      </c>
      <c r="J3484" s="42">
        <f>IFERROR(INDEX('Semrush Data'!$A$1:$Z$20000,MATCH(A3484,'Semrush Data'!$A$1:$A$20000,0),MATCH("Intent",'Semrush Data'!$A$1:$Z$1,0)),"")</f>
        <v/>
      </c>
    </row>
    <row r="3485" ht="15" customHeight="1" s="37">
      <c r="A3485" s="42" t="inlineStr">
        <is>
          <t>game of spades diamond price</t>
        </is>
      </c>
      <c r="B3485" s="42" t="inlineStr">
        <is>
          <t>Price</t>
        </is>
      </c>
      <c r="C3485" s="42" t="n">
        <v>3</v>
      </c>
      <c r="D3485" s="42" t="n">
        <v>35</v>
      </c>
      <c r="E3485" s="42" t="n">
        <v>1</v>
      </c>
      <c r="F3485" s="42" t="inlineStr">
        <is>
          <t>FR-183</t>
        </is>
      </c>
      <c r="G3485" s="55">
        <f>IFERROR(INDEX('Semrush Data'!$A$1:$Z$20000,MATCH(A3485,'Semrush Data'!$A$1:$A$20000,0),MATCH("Volume",'Semrush Data'!$A$1:$Z$1,0)),"")</f>
        <v/>
      </c>
      <c r="H3485" s="42">
        <f>IFERROR(INDEX('Semrush Data'!$A$1:$Z$20000,MATCH(A3485,'Semrush Data'!$A$1:$A$20000,0),MATCH("Keyword Difficulty*",'Semrush Data'!$A$1:$Z$1,0)),"")</f>
        <v/>
      </c>
      <c r="I3485" s="56">
        <f>IFERROR(INDEX('Semrush Data'!$A$1:$Z$20000,MATCH(A3485,'Semrush Data'!$A$1:$A$20000,0),MATCH("CPC*",'Semrush Data'!$A$1:$Z$1,0)),"")</f>
        <v/>
      </c>
      <c r="J3485" s="42">
        <f>IFERROR(INDEX('Semrush Data'!$A$1:$Z$20000,MATCH(A3485,'Semrush Data'!$A$1:$A$20000,0),MATCH("Intent",'Semrush Data'!$A$1:$Z$1,0)),"")</f>
        <v/>
      </c>
    </row>
    <row r="3486" ht="15" customHeight="1" s="37">
      <c r="A3486" s="42" t="inlineStr">
        <is>
          <t>game of spades full house price</t>
        </is>
      </c>
      <c r="B3486" s="42" t="inlineStr">
        <is>
          <t>Price</t>
        </is>
      </c>
      <c r="C3486" s="42" t="n">
        <v>3</v>
      </c>
      <c r="D3486" s="42" t="inlineStr">
        <is>
          <t>T3-1</t>
        </is>
      </c>
      <c r="E3486" s="42" t="n">
        <v>1</v>
      </c>
      <c r="F3486" s="42" t="inlineStr">
        <is>
          <t>FR-184</t>
        </is>
      </c>
      <c r="G3486" s="55">
        <f>IFERROR(INDEX('Semrush Data'!$A$1:$Z$20000,MATCH(A3486,'Semrush Data'!$A$1:$A$20000,0),MATCH("Volume",'Semrush Data'!$A$1:$Z$1,0)),"")</f>
        <v/>
      </c>
      <c r="H3486" s="42">
        <f>IFERROR(INDEX('Semrush Data'!$A$1:$Z$20000,MATCH(A3486,'Semrush Data'!$A$1:$A$20000,0),MATCH("Keyword Difficulty*",'Semrush Data'!$A$1:$Z$1,0)),"")</f>
        <v/>
      </c>
      <c r="I3486" s="56">
        <f>IFERROR(INDEX('Semrush Data'!$A$1:$Z$20000,MATCH(A3486,'Semrush Data'!$A$1:$A$20000,0),MATCH("CPC*",'Semrush Data'!$A$1:$Z$1,0)),"")</f>
        <v/>
      </c>
      <c r="J3486" s="42">
        <f>IFERROR(INDEX('Semrush Data'!$A$1:$Z$20000,MATCH(A3486,'Semrush Data'!$A$1:$A$20000,0),MATCH("Intent",'Semrush Data'!$A$1:$Z$1,0)),"")</f>
        <v/>
      </c>
    </row>
    <row r="3487" ht="15" customHeight="1" s="37">
      <c r="A3487" s="42" t="inlineStr">
        <is>
          <t>game of spades high roller price</t>
        </is>
      </c>
      <c r="B3487" s="42" t="inlineStr">
        <is>
          <t>Price</t>
        </is>
      </c>
      <c r="C3487" s="42" t="n">
        <v>3</v>
      </c>
      <c r="D3487" s="42" t="n">
        <v>35</v>
      </c>
      <c r="E3487" s="42" t="n">
        <v>1</v>
      </c>
      <c r="F3487" s="42" t="inlineStr">
        <is>
          <t>FR-185</t>
        </is>
      </c>
      <c r="G3487" s="55">
        <f>IFERROR(INDEX('Semrush Data'!$A$1:$Z$20000,MATCH(A3487,'Semrush Data'!$A$1:$A$20000,0),MATCH("Volume",'Semrush Data'!$A$1:$Z$1,0)),"")</f>
        <v/>
      </c>
      <c r="H3487" s="42">
        <f>IFERROR(INDEX('Semrush Data'!$A$1:$Z$20000,MATCH(A3487,'Semrush Data'!$A$1:$A$20000,0),MATCH("Keyword Difficulty*",'Semrush Data'!$A$1:$Z$1,0)),"")</f>
        <v/>
      </c>
      <c r="I3487" s="56">
        <f>IFERROR(INDEX('Semrush Data'!$A$1:$Z$20000,MATCH(A3487,'Semrush Data'!$A$1:$A$20000,0),MATCH("CPC*",'Semrush Data'!$A$1:$Z$1,0)),"")</f>
        <v/>
      </c>
      <c r="J3487" s="42">
        <f>IFERROR(INDEX('Semrush Data'!$A$1:$Z$20000,MATCH(A3487,'Semrush Data'!$A$1:$A$20000,0),MATCH("Intent",'Semrush Data'!$A$1:$Z$1,0)),"")</f>
        <v/>
      </c>
    </row>
    <row r="3488" ht="15" customHeight="1" s="37">
      <c r="A3488" s="42" t="inlineStr">
        <is>
          <t>game of spades jackpot price</t>
        </is>
      </c>
      <c r="B3488" s="42" t="inlineStr">
        <is>
          <t>Price</t>
        </is>
      </c>
      <c r="C3488" s="42" t="n">
        <v>3</v>
      </c>
      <c r="D3488" s="42" t="n">
        <v>35</v>
      </c>
      <c r="E3488" s="42" t="n">
        <v>1</v>
      </c>
      <c r="F3488" s="42" t="inlineStr">
        <is>
          <t>FR-186</t>
        </is>
      </c>
      <c r="G3488" s="55">
        <f>IFERROR(INDEX('Semrush Data'!$A$1:$Z$20000,MATCH(A3488,'Semrush Data'!$A$1:$A$20000,0),MATCH("Volume",'Semrush Data'!$A$1:$Z$1,0)),"")</f>
        <v/>
      </c>
      <c r="H3488" s="42">
        <f>IFERROR(INDEX('Semrush Data'!$A$1:$Z$20000,MATCH(A3488,'Semrush Data'!$A$1:$A$20000,0),MATCH("Keyword Difficulty*",'Semrush Data'!$A$1:$Z$1,0)),"")</f>
        <v/>
      </c>
      <c r="I3488" s="56">
        <f>IFERROR(INDEX('Semrush Data'!$A$1:$Z$20000,MATCH(A3488,'Semrush Data'!$A$1:$A$20000,0),MATCH("CPC*",'Semrush Data'!$A$1:$Z$1,0)),"")</f>
        <v/>
      </c>
      <c r="J3488" s="42">
        <f>IFERROR(INDEX('Semrush Data'!$A$1:$Z$20000,MATCH(A3488,'Semrush Data'!$A$1:$A$20000,0),MATCH("Intent",'Semrush Data'!$A$1:$Z$1,0)),"")</f>
        <v/>
      </c>
    </row>
    <row r="3489" ht="15" customHeight="1" s="37">
      <c r="A3489" s="42" t="inlineStr">
        <is>
          <t>game of spades king price</t>
        </is>
      </c>
      <c r="B3489" s="42" t="inlineStr">
        <is>
          <t>Price</t>
        </is>
      </c>
      <c r="C3489" s="42" t="n">
        <v>3</v>
      </c>
      <c r="D3489" s="42" t="n">
        <v>35</v>
      </c>
      <c r="E3489" s="42" t="n">
        <v>1</v>
      </c>
      <c r="F3489" s="42" t="inlineStr">
        <is>
          <t>FR-187</t>
        </is>
      </c>
      <c r="G3489" s="55">
        <f>IFERROR(INDEX('Semrush Data'!$A$1:$Z$20000,MATCH(A3489,'Semrush Data'!$A$1:$A$20000,0),MATCH("Volume",'Semrush Data'!$A$1:$Z$1,0)),"")</f>
        <v/>
      </c>
      <c r="H3489" s="42">
        <f>IFERROR(INDEX('Semrush Data'!$A$1:$Z$20000,MATCH(A3489,'Semrush Data'!$A$1:$A$20000,0),MATCH("Keyword Difficulty*",'Semrush Data'!$A$1:$Z$1,0)),"")</f>
        <v/>
      </c>
      <c r="I3489" s="56">
        <f>IFERROR(INDEX('Semrush Data'!$A$1:$Z$20000,MATCH(A3489,'Semrush Data'!$A$1:$A$20000,0),MATCH("CPC*",'Semrush Data'!$A$1:$Z$1,0)),"")</f>
        <v/>
      </c>
      <c r="J3489" s="42">
        <f>IFERROR(INDEX('Semrush Data'!$A$1:$Z$20000,MATCH(A3489,'Semrush Data'!$A$1:$A$20000,0),MATCH("Intent",'Semrush Data'!$A$1:$Z$1,0)),"")</f>
        <v/>
      </c>
    </row>
    <row r="3490" ht="15" customHeight="1" s="37">
      <c r="A3490" s="42" t="inlineStr">
        <is>
          <t>game of spades moon price</t>
        </is>
      </c>
      <c r="B3490" s="42" t="inlineStr">
        <is>
          <t>Price</t>
        </is>
      </c>
      <c r="C3490" s="42" t="n">
        <v>3</v>
      </c>
      <c r="D3490" s="42" t="n">
        <v>35</v>
      </c>
      <c r="E3490" s="42" t="n">
        <v>1</v>
      </c>
      <c r="F3490" s="42" t="inlineStr">
        <is>
          <t>FR-188</t>
        </is>
      </c>
      <c r="G3490" s="55">
        <f>IFERROR(INDEX('Semrush Data'!$A$1:$Z$20000,MATCH(A3490,'Semrush Data'!$A$1:$A$20000,0),MATCH("Volume",'Semrush Data'!$A$1:$Z$1,0)),"")</f>
        <v/>
      </c>
      <c r="H3490" s="42">
        <f>IFERROR(INDEX('Semrush Data'!$A$1:$Z$20000,MATCH(A3490,'Semrush Data'!$A$1:$A$20000,0),MATCH("Keyword Difficulty*",'Semrush Data'!$A$1:$Z$1,0)),"")</f>
        <v/>
      </c>
      <c r="I3490" s="56">
        <f>IFERROR(INDEX('Semrush Data'!$A$1:$Z$20000,MATCH(A3490,'Semrush Data'!$A$1:$A$20000,0),MATCH("CPC*",'Semrush Data'!$A$1:$Z$1,0)),"")</f>
        <v/>
      </c>
      <c r="J3490" s="42">
        <f>IFERROR(INDEX('Semrush Data'!$A$1:$Z$20000,MATCH(A3490,'Semrush Data'!$A$1:$A$20000,0),MATCH("Intent",'Semrush Data'!$A$1:$Z$1,0)),"")</f>
        <v/>
      </c>
    </row>
    <row r="3491" ht="15" customHeight="1" s="37">
      <c r="A3491" s="42" t="inlineStr">
        <is>
          <t>game of spades opal price</t>
        </is>
      </c>
      <c r="B3491" s="42" t="inlineStr">
        <is>
          <t>Price</t>
        </is>
      </c>
      <c r="C3491" s="42" t="n">
        <v>3</v>
      </c>
      <c r="D3491" s="42" t="n">
        <v>35</v>
      </c>
      <c r="E3491" s="42" t="n">
        <v>1</v>
      </c>
      <c r="F3491" s="42" t="inlineStr">
        <is>
          <t>FR-189</t>
        </is>
      </c>
      <c r="G3491" s="55">
        <f>IFERROR(INDEX('Semrush Data'!$A$1:$Z$20000,MATCH(A3491,'Semrush Data'!$A$1:$A$20000,0),MATCH("Volume",'Semrush Data'!$A$1:$Z$1,0)),"")</f>
        <v/>
      </c>
      <c r="H3491" s="42">
        <f>IFERROR(INDEX('Semrush Data'!$A$1:$Z$20000,MATCH(A3491,'Semrush Data'!$A$1:$A$20000,0),MATCH("Keyword Difficulty*",'Semrush Data'!$A$1:$Z$1,0)),"")</f>
        <v/>
      </c>
      <c r="I3491" s="56">
        <f>IFERROR(INDEX('Semrush Data'!$A$1:$Z$20000,MATCH(A3491,'Semrush Data'!$A$1:$A$20000,0),MATCH("CPC*",'Semrush Data'!$A$1:$Z$1,0)),"")</f>
        <v/>
      </c>
      <c r="J3491" s="42">
        <f>IFERROR(INDEX('Semrush Data'!$A$1:$Z$20000,MATCH(A3491,'Semrush Data'!$A$1:$A$20000,0),MATCH("Intent",'Semrush Data'!$A$1:$Z$1,0)),"")</f>
        <v/>
      </c>
    </row>
    <row r="3492" ht="15" customHeight="1" s="37">
      <c r="A3492" s="42" t="inlineStr">
        <is>
          <t>game of spades rouge extrait price</t>
        </is>
      </c>
      <c r="B3492" s="42" t="inlineStr">
        <is>
          <t>Price</t>
        </is>
      </c>
      <c r="C3492" s="42" t="n">
        <v>3</v>
      </c>
      <c r="D3492" s="42" t="n">
        <v>35</v>
      </c>
      <c r="E3492" s="42" t="n">
        <v>1</v>
      </c>
      <c r="F3492" s="42" t="inlineStr">
        <is>
          <t>FR-211</t>
        </is>
      </c>
      <c r="G3492" s="55">
        <f>IFERROR(INDEX('Semrush Data'!$A$1:$Z$20000,MATCH(A3492,'Semrush Data'!$A$1:$A$20000,0),MATCH("Volume",'Semrush Data'!$A$1:$Z$1,0)),"")</f>
        <v/>
      </c>
      <c r="H3492" s="42">
        <f>IFERROR(INDEX('Semrush Data'!$A$1:$Z$20000,MATCH(A3492,'Semrush Data'!$A$1:$A$20000,0),MATCH("Keyword Difficulty*",'Semrush Data'!$A$1:$Z$1,0)),"")</f>
        <v/>
      </c>
      <c r="I3492" s="56">
        <f>IFERROR(INDEX('Semrush Data'!$A$1:$Z$20000,MATCH(A3492,'Semrush Data'!$A$1:$A$20000,0),MATCH("CPC*",'Semrush Data'!$A$1:$Z$1,0)),"")</f>
        <v/>
      </c>
      <c r="J3492" s="42">
        <f>IFERROR(INDEX('Semrush Data'!$A$1:$Z$20000,MATCH(A3492,'Semrush Data'!$A$1:$A$20000,0),MATCH("Intent",'Semrush Data'!$A$1:$Z$1,0)),"")</f>
        <v/>
      </c>
    </row>
    <row r="3493" ht="15" customHeight="1" s="37">
      <c r="A3493" s="42" t="inlineStr">
        <is>
          <t>game of spades rouge price</t>
        </is>
      </c>
      <c r="B3493" s="42" t="inlineStr">
        <is>
          <t>Price</t>
        </is>
      </c>
      <c r="C3493" s="42" t="n">
        <v>3</v>
      </c>
      <c r="D3493" s="42" t="n">
        <v>35</v>
      </c>
      <c r="E3493" s="42" t="n">
        <v>1</v>
      </c>
      <c r="F3493" s="42" t="inlineStr">
        <is>
          <t>FR-190</t>
        </is>
      </c>
      <c r="G3493" s="55">
        <f>IFERROR(INDEX('Semrush Data'!$A$1:$Z$20000,MATCH(A3493,'Semrush Data'!$A$1:$A$20000,0),MATCH("Volume",'Semrush Data'!$A$1:$Z$1,0)),"")</f>
        <v/>
      </c>
      <c r="H3493" s="42">
        <f>IFERROR(INDEX('Semrush Data'!$A$1:$Z$20000,MATCH(A3493,'Semrush Data'!$A$1:$A$20000,0),MATCH("Keyword Difficulty*",'Semrush Data'!$A$1:$Z$1,0)),"")</f>
        <v/>
      </c>
      <c r="I3493" s="56">
        <f>IFERROR(INDEX('Semrush Data'!$A$1:$Z$20000,MATCH(A3493,'Semrush Data'!$A$1:$A$20000,0),MATCH("CPC*",'Semrush Data'!$A$1:$Z$1,0)),"")</f>
        <v/>
      </c>
      <c r="J3493" s="42">
        <f>IFERROR(INDEX('Semrush Data'!$A$1:$Z$20000,MATCH(A3493,'Semrush Data'!$A$1:$A$20000,0),MATCH("Intent",'Semrush Data'!$A$1:$Z$1,0)),"")</f>
        <v/>
      </c>
    </row>
    <row r="3494" ht="15" customHeight="1" s="37">
      <c r="A3494" s="42" t="inlineStr">
        <is>
          <t>game of spades royale price</t>
        </is>
      </c>
      <c r="B3494" s="42" t="inlineStr">
        <is>
          <t>Price</t>
        </is>
      </c>
      <c r="C3494" s="42" t="n">
        <v>3</v>
      </c>
      <c r="D3494" s="42" t="n">
        <v>35</v>
      </c>
      <c r="E3494" s="42" t="n">
        <v>1</v>
      </c>
      <c r="F3494" s="42" t="inlineStr">
        <is>
          <t>FR-191</t>
        </is>
      </c>
      <c r="G3494" s="55">
        <f>IFERROR(INDEX('Semrush Data'!$A$1:$Z$20000,MATCH(A3494,'Semrush Data'!$A$1:$A$20000,0),MATCH("Volume",'Semrush Data'!$A$1:$Z$1,0)),"")</f>
        <v/>
      </c>
      <c r="H3494" s="42">
        <f>IFERROR(INDEX('Semrush Data'!$A$1:$Z$20000,MATCH(A3494,'Semrush Data'!$A$1:$A$20000,0),MATCH("Keyword Difficulty*",'Semrush Data'!$A$1:$Z$1,0)),"")</f>
        <v/>
      </c>
      <c r="I3494" s="56">
        <f>IFERROR(INDEX('Semrush Data'!$A$1:$Z$20000,MATCH(A3494,'Semrush Data'!$A$1:$A$20000,0),MATCH("CPC*",'Semrush Data'!$A$1:$Z$1,0)),"")</f>
        <v/>
      </c>
      <c r="J3494" s="42">
        <f>IFERROR(INDEX('Semrush Data'!$A$1:$Z$20000,MATCH(A3494,'Semrush Data'!$A$1:$A$20000,0),MATCH("Intent",'Semrush Data'!$A$1:$Z$1,0)),"")</f>
        <v/>
      </c>
    </row>
    <row r="3495" ht="15" customHeight="1" s="37">
      <c r="A3495" s="42" t="inlineStr">
        <is>
          <t>game of spades ruby price</t>
        </is>
      </c>
      <c r="B3495" s="42" t="inlineStr">
        <is>
          <t>Price</t>
        </is>
      </c>
      <c r="C3495" s="42" t="n">
        <v>3</v>
      </c>
      <c r="D3495" s="42" t="n">
        <v>35</v>
      </c>
      <c r="E3495" s="42" t="n">
        <v>1</v>
      </c>
      <c r="F3495" s="42" t="inlineStr">
        <is>
          <t>FR-192</t>
        </is>
      </c>
      <c r="G3495" s="55">
        <f>IFERROR(INDEX('Semrush Data'!$A$1:$Z$20000,MATCH(A3495,'Semrush Data'!$A$1:$A$20000,0),MATCH("Volume",'Semrush Data'!$A$1:$Z$1,0)),"")</f>
        <v/>
      </c>
      <c r="H3495" s="42">
        <f>IFERROR(INDEX('Semrush Data'!$A$1:$Z$20000,MATCH(A3495,'Semrush Data'!$A$1:$A$20000,0),MATCH("Keyword Difficulty*",'Semrush Data'!$A$1:$Z$1,0)),"")</f>
        <v/>
      </c>
      <c r="I3495" s="56">
        <f>IFERROR(INDEX('Semrush Data'!$A$1:$Z$20000,MATCH(A3495,'Semrush Data'!$A$1:$A$20000,0),MATCH("CPC*",'Semrush Data'!$A$1:$Z$1,0)),"")</f>
        <v/>
      </c>
      <c r="J3495" s="42">
        <f>IFERROR(INDEX('Semrush Data'!$A$1:$Z$20000,MATCH(A3495,'Semrush Data'!$A$1:$A$20000,0),MATCH("Intent",'Semrush Data'!$A$1:$Z$1,0)),"")</f>
        <v/>
      </c>
    </row>
    <row r="3496" ht="15" customHeight="1" s="37">
      <c r="A3496" s="42" t="inlineStr">
        <is>
          <t>game of spades wildcard price</t>
        </is>
      </c>
      <c r="B3496" s="42" t="inlineStr">
        <is>
          <t>Price</t>
        </is>
      </c>
      <c r="C3496" s="42" t="n">
        <v>3</v>
      </c>
      <c r="D3496" s="42" t="n">
        <v>35</v>
      </c>
      <c r="E3496" s="42" t="n">
        <v>1</v>
      </c>
      <c r="F3496" s="42" t="inlineStr">
        <is>
          <t>FR-193</t>
        </is>
      </c>
      <c r="G3496" s="55">
        <f>IFERROR(INDEX('Semrush Data'!$A$1:$Z$20000,MATCH(A3496,'Semrush Data'!$A$1:$A$20000,0),MATCH("Volume",'Semrush Data'!$A$1:$Z$1,0)),"")</f>
        <v/>
      </c>
      <c r="H3496" s="42">
        <f>IFERROR(INDEX('Semrush Data'!$A$1:$Z$20000,MATCH(A3496,'Semrush Data'!$A$1:$A$20000,0),MATCH("Keyword Difficulty*",'Semrush Data'!$A$1:$Z$1,0)),"")</f>
        <v/>
      </c>
      <c r="I3496" s="56">
        <f>IFERROR(INDEX('Semrush Data'!$A$1:$Z$20000,MATCH(A3496,'Semrush Data'!$A$1:$A$20000,0),MATCH("CPC*",'Semrush Data'!$A$1:$Z$1,0)),"")</f>
        <v/>
      </c>
      <c r="J3496" s="42">
        <f>IFERROR(INDEX('Semrush Data'!$A$1:$Z$20000,MATCH(A3496,'Semrush Data'!$A$1:$A$20000,0),MATCH("Intent",'Semrush Data'!$A$1:$Z$1,0)),"")</f>
        <v/>
      </c>
    </row>
    <row r="3497" ht="15" customHeight="1" s="37">
      <c r="A3497" s="42" t="inlineStr">
        <is>
          <t>game of spades win price</t>
        </is>
      </c>
      <c r="B3497" s="42" t="inlineStr">
        <is>
          <t>Price</t>
        </is>
      </c>
      <c r="C3497" s="42" t="n">
        <v>3</v>
      </c>
      <c r="D3497" s="42" t="n">
        <v>35</v>
      </c>
      <c r="E3497" s="42" t="n">
        <v>1</v>
      </c>
      <c r="F3497" s="42" t="inlineStr">
        <is>
          <t>FR-194</t>
        </is>
      </c>
      <c r="G3497" s="55">
        <f>IFERROR(INDEX('Semrush Data'!$A$1:$Z$20000,MATCH(A3497,'Semrush Data'!$A$1:$A$20000,0),MATCH("Volume",'Semrush Data'!$A$1:$Z$1,0)),"")</f>
        <v/>
      </c>
      <c r="H3497" s="42">
        <f>IFERROR(INDEX('Semrush Data'!$A$1:$Z$20000,MATCH(A3497,'Semrush Data'!$A$1:$A$20000,0),MATCH("Keyword Difficulty*",'Semrush Data'!$A$1:$Z$1,0)),"")</f>
        <v/>
      </c>
      <c r="I3497" s="56">
        <f>IFERROR(INDEX('Semrush Data'!$A$1:$Z$20000,MATCH(A3497,'Semrush Data'!$A$1:$A$20000,0),MATCH("CPC*",'Semrush Data'!$A$1:$Z$1,0)),"")</f>
        <v/>
      </c>
      <c r="J3497" s="42">
        <f>IFERROR(INDEX('Semrush Data'!$A$1:$Z$20000,MATCH(A3497,'Semrush Data'!$A$1:$A$20000,0),MATCH("Intent",'Semrush Data'!$A$1:$Z$1,0)),"")</f>
        <v/>
      </c>
    </row>
    <row r="3498" ht="15" customHeight="1" s="37">
      <c r="A3498" s="42" t="inlineStr">
        <is>
          <t>game of spades yellow sapphire price</t>
        </is>
      </c>
      <c r="B3498" s="42" t="inlineStr">
        <is>
          <t>Price</t>
        </is>
      </c>
      <c r="C3498" s="42" t="n">
        <v>3</v>
      </c>
      <c r="D3498" s="42" t="n">
        <v>35</v>
      </c>
      <c r="E3498" s="42" t="n">
        <v>1</v>
      </c>
      <c r="F3498" s="42" t="inlineStr">
        <is>
          <t>FR-195</t>
        </is>
      </c>
      <c r="G3498" s="55">
        <f>IFERROR(INDEX('Semrush Data'!$A$1:$Z$20000,MATCH(A3498,'Semrush Data'!$A$1:$A$20000,0),MATCH("Volume",'Semrush Data'!$A$1:$Z$1,0)),"")</f>
        <v/>
      </c>
      <c r="H3498" s="42">
        <f>IFERROR(INDEX('Semrush Data'!$A$1:$Z$20000,MATCH(A3498,'Semrush Data'!$A$1:$A$20000,0),MATCH("Keyword Difficulty*",'Semrush Data'!$A$1:$Z$1,0)),"")</f>
        <v/>
      </c>
      <c r="I3498" s="56">
        <f>IFERROR(INDEX('Semrush Data'!$A$1:$Z$20000,MATCH(A3498,'Semrush Data'!$A$1:$A$20000,0),MATCH("CPC*",'Semrush Data'!$A$1:$Z$1,0)),"")</f>
        <v/>
      </c>
      <c r="J3498" s="42">
        <f>IFERROR(INDEX('Semrush Data'!$A$1:$Z$20000,MATCH(A3498,'Semrush Data'!$A$1:$A$20000,0),MATCH("Intent",'Semrush Data'!$A$1:$Z$1,0)),"")</f>
        <v/>
      </c>
    </row>
    <row r="3499" ht="15" customHeight="1" s="37">
      <c r="A3499" s="42" t="inlineStr">
        <is>
          <t>giorgia armani giorgio armani code refillable price</t>
        </is>
      </c>
      <c r="B3499" s="42" t="inlineStr">
        <is>
          <t>Price</t>
        </is>
      </c>
      <c r="C3499" s="42" t="n">
        <v>3</v>
      </c>
      <c r="D3499" s="42" t="n">
        <v>35</v>
      </c>
      <c r="E3499" s="42" t="n">
        <v>1</v>
      </c>
      <c r="F3499" s="42" t="inlineStr">
        <is>
          <t>FR-212</t>
        </is>
      </c>
      <c r="G3499" s="55">
        <f>IFERROR(INDEX('Semrush Data'!$A$1:$Z$20000,MATCH(A3499,'Semrush Data'!$A$1:$A$20000,0),MATCH("Volume",'Semrush Data'!$A$1:$Z$1,0)),"")</f>
        <v/>
      </c>
      <c r="H3499" s="42">
        <f>IFERROR(INDEX('Semrush Data'!$A$1:$Z$20000,MATCH(A3499,'Semrush Data'!$A$1:$A$20000,0),MATCH("Keyword Difficulty*",'Semrush Data'!$A$1:$Z$1,0)),"")</f>
        <v/>
      </c>
      <c r="I3499" s="56">
        <f>IFERROR(INDEX('Semrush Data'!$A$1:$Z$20000,MATCH(A3499,'Semrush Data'!$A$1:$A$20000,0),MATCH("CPC*",'Semrush Data'!$A$1:$Z$1,0)),"")</f>
        <v/>
      </c>
      <c r="J3499" s="42">
        <f>IFERROR(INDEX('Semrush Data'!$A$1:$Z$20000,MATCH(A3499,'Semrush Data'!$A$1:$A$20000,0),MATCH("Intent",'Semrush Data'!$A$1:$Z$1,0)),"")</f>
        <v/>
      </c>
    </row>
    <row r="3500" ht="15" customHeight="1" s="37">
      <c r="A3500" s="42" t="inlineStr">
        <is>
          <t>giorgio armani code refillable price</t>
        </is>
      </c>
      <c r="B3500" s="42" t="inlineStr">
        <is>
          <t>Price</t>
        </is>
      </c>
      <c r="C3500" s="42" t="n">
        <v>3</v>
      </c>
      <c r="D3500" s="42" t="n">
        <v>35</v>
      </c>
      <c r="E3500" s="42" t="n">
        <v>1</v>
      </c>
      <c r="F3500" s="42" t="inlineStr">
        <is>
          <t>FR-213</t>
        </is>
      </c>
      <c r="G3500" s="55">
        <f>IFERROR(INDEX('Semrush Data'!$A$1:$Z$20000,MATCH(A3500,'Semrush Data'!$A$1:$A$20000,0),MATCH("Volume",'Semrush Data'!$A$1:$Z$1,0)),"")</f>
        <v/>
      </c>
      <c r="H3500" s="42">
        <f>IFERROR(INDEX('Semrush Data'!$A$1:$Z$20000,MATCH(A3500,'Semrush Data'!$A$1:$A$20000,0),MATCH("Keyword Difficulty*",'Semrush Data'!$A$1:$Z$1,0)),"")</f>
        <v/>
      </c>
      <c r="I3500" s="56">
        <f>IFERROR(INDEX('Semrush Data'!$A$1:$Z$20000,MATCH(A3500,'Semrush Data'!$A$1:$A$20000,0),MATCH("CPC*",'Semrush Data'!$A$1:$Z$1,0)),"")</f>
        <v/>
      </c>
      <c r="J3500" s="42">
        <f>IFERROR(INDEX('Semrush Data'!$A$1:$Z$20000,MATCH(A3500,'Semrush Data'!$A$1:$A$20000,0),MATCH("Intent",'Semrush Data'!$A$1:$Z$1,0)),"")</f>
        <v/>
      </c>
    </row>
    <row r="3501" ht="15" customHeight="1" s="37">
      <c r="A3501" s="42" t="inlineStr">
        <is>
          <t>givenchy amarige price</t>
        </is>
      </c>
      <c r="B3501" s="42" t="inlineStr">
        <is>
          <t>Price</t>
        </is>
      </c>
      <c r="C3501" s="42" t="n">
        <v>3</v>
      </c>
      <c r="D3501" s="42" t="n">
        <v>35</v>
      </c>
      <c r="E3501" s="42" t="n">
        <v>1</v>
      </c>
      <c r="F3501" s="42" t="inlineStr">
        <is>
          <t>FR-214</t>
        </is>
      </c>
      <c r="G3501" s="55">
        <f>IFERROR(INDEX('Semrush Data'!$A$1:$Z$20000,MATCH(A3501,'Semrush Data'!$A$1:$A$20000,0),MATCH("Volume",'Semrush Data'!$A$1:$Z$1,0)),"")</f>
        <v/>
      </c>
      <c r="H3501" s="42">
        <f>IFERROR(INDEX('Semrush Data'!$A$1:$Z$20000,MATCH(A3501,'Semrush Data'!$A$1:$A$20000,0),MATCH("Keyword Difficulty*",'Semrush Data'!$A$1:$Z$1,0)),"")</f>
        <v/>
      </c>
      <c r="I3501" s="56">
        <f>IFERROR(INDEX('Semrush Data'!$A$1:$Z$20000,MATCH(A3501,'Semrush Data'!$A$1:$A$20000,0),MATCH("CPC*",'Semrush Data'!$A$1:$Z$1,0)),"")</f>
        <v/>
      </c>
      <c r="J3501" s="42">
        <f>IFERROR(INDEX('Semrush Data'!$A$1:$Z$20000,MATCH(A3501,'Semrush Data'!$A$1:$A$20000,0),MATCH("Intent",'Semrush Data'!$A$1:$Z$1,0)),"")</f>
        <v/>
      </c>
    </row>
    <row r="3502" ht="15" customHeight="1" s="37">
      <c r="A3502" s="42" t="inlineStr">
        <is>
          <t>givenchy gentleman originale price</t>
        </is>
      </c>
      <c r="B3502" s="42" t="inlineStr">
        <is>
          <t>Price</t>
        </is>
      </c>
      <c r="C3502" s="42" t="n">
        <v>3</v>
      </c>
      <c r="D3502" s="42" t="n">
        <v>36</v>
      </c>
      <c r="E3502" s="42" t="n">
        <v>1</v>
      </c>
      <c r="F3502" s="42" t="inlineStr">
        <is>
          <t>FR-215</t>
        </is>
      </c>
      <c r="G3502" s="55">
        <f>IFERROR(INDEX('Semrush Data'!$A$1:$Z$20000,MATCH(A3502,'Semrush Data'!$A$1:$A$20000,0),MATCH("Volume",'Semrush Data'!$A$1:$Z$1,0)),"")</f>
        <v/>
      </c>
      <c r="H3502" s="42">
        <f>IFERROR(INDEX('Semrush Data'!$A$1:$Z$20000,MATCH(A3502,'Semrush Data'!$A$1:$A$20000,0),MATCH("Keyword Difficulty*",'Semrush Data'!$A$1:$Z$1,0)),"")</f>
        <v/>
      </c>
      <c r="I3502" s="56">
        <f>IFERROR(INDEX('Semrush Data'!$A$1:$Z$20000,MATCH(A3502,'Semrush Data'!$A$1:$A$20000,0),MATCH("CPC*",'Semrush Data'!$A$1:$Z$1,0)),"")</f>
        <v/>
      </c>
      <c r="J3502" s="42">
        <f>IFERROR(INDEX('Semrush Data'!$A$1:$Z$20000,MATCH(A3502,'Semrush Data'!$A$1:$A$20000,0),MATCH("Intent",'Semrush Data'!$A$1:$Z$1,0)),"")</f>
        <v/>
      </c>
    </row>
    <row r="3503" ht="15" customHeight="1" s="37">
      <c r="A3503" s="42" t="inlineStr">
        <is>
          <t>gucci bloom gift set price</t>
        </is>
      </c>
      <c r="B3503" s="42" t="inlineStr">
        <is>
          <t>Price</t>
        </is>
      </c>
      <c r="C3503" s="42" t="n">
        <v>3</v>
      </c>
      <c r="D3503" s="42" t="n">
        <v>36</v>
      </c>
      <c r="E3503" s="42" t="n">
        <v>1</v>
      </c>
      <c r="F3503" s="42" t="inlineStr">
        <is>
          <t>FR-223</t>
        </is>
      </c>
      <c r="G3503" s="55">
        <f>IFERROR(INDEX('Semrush Data'!$A$1:$Z$20000,MATCH(A3503,'Semrush Data'!$A$1:$A$20000,0),MATCH("Volume",'Semrush Data'!$A$1:$Z$1,0)),"")</f>
        <v/>
      </c>
      <c r="H3503" s="42">
        <f>IFERROR(INDEX('Semrush Data'!$A$1:$Z$20000,MATCH(A3503,'Semrush Data'!$A$1:$A$20000,0),MATCH("Keyword Difficulty*",'Semrush Data'!$A$1:$Z$1,0)),"")</f>
        <v/>
      </c>
      <c r="I3503" s="56">
        <f>IFERROR(INDEX('Semrush Data'!$A$1:$Z$20000,MATCH(A3503,'Semrush Data'!$A$1:$A$20000,0),MATCH("CPC*",'Semrush Data'!$A$1:$Z$1,0)),"")</f>
        <v/>
      </c>
      <c r="J3503" s="42">
        <f>IFERROR(INDEX('Semrush Data'!$A$1:$Z$20000,MATCH(A3503,'Semrush Data'!$A$1:$A$20000,0),MATCH("Intent",'Semrush Data'!$A$1:$Z$1,0)),"")</f>
        <v/>
      </c>
    </row>
    <row r="3504" ht="15" customHeight="1" s="37">
      <c r="A3504" s="42" t="inlineStr">
        <is>
          <t>gucci bloom miniature price</t>
        </is>
      </c>
      <c r="B3504" s="42" t="inlineStr">
        <is>
          <t>Price</t>
        </is>
      </c>
      <c r="C3504" s="42" t="n">
        <v>3</v>
      </c>
      <c r="D3504" s="42" t="n">
        <v>36</v>
      </c>
      <c r="E3504" s="42" t="n">
        <v>1</v>
      </c>
      <c r="F3504" s="42" t="inlineStr">
        <is>
          <t>FR-221</t>
        </is>
      </c>
      <c r="G3504" s="55">
        <f>IFERROR(INDEX('Semrush Data'!$A$1:$Z$20000,MATCH(A3504,'Semrush Data'!$A$1:$A$20000,0),MATCH("Volume",'Semrush Data'!$A$1:$Z$1,0)),"")</f>
        <v/>
      </c>
      <c r="H3504" s="42">
        <f>IFERROR(INDEX('Semrush Data'!$A$1:$Z$20000,MATCH(A3504,'Semrush Data'!$A$1:$A$20000,0),MATCH("Keyword Difficulty*",'Semrush Data'!$A$1:$Z$1,0)),"")</f>
        <v/>
      </c>
      <c r="I3504" s="56">
        <f>IFERROR(INDEX('Semrush Data'!$A$1:$Z$20000,MATCH(A3504,'Semrush Data'!$A$1:$A$20000,0),MATCH("CPC*",'Semrush Data'!$A$1:$Z$1,0)),"")</f>
        <v/>
      </c>
      <c r="J3504" s="42">
        <f>IFERROR(INDEX('Semrush Data'!$A$1:$Z$20000,MATCH(A3504,'Semrush Data'!$A$1:$A$20000,0),MATCH("Intent",'Semrush Data'!$A$1:$Z$1,0)),"")</f>
        <v/>
      </c>
    </row>
    <row r="3505" ht="15" customHeight="1" s="37">
      <c r="A3505" s="42" t="inlineStr">
        <is>
          <t>gucci bloom parfum miniature price</t>
        </is>
      </c>
      <c r="B3505" s="42" t="inlineStr">
        <is>
          <t>Price</t>
        </is>
      </c>
      <c r="C3505" s="42" t="n">
        <v>3</v>
      </c>
      <c r="D3505" s="42" t="n">
        <v>36</v>
      </c>
      <c r="E3505" s="42" t="n">
        <v>1</v>
      </c>
      <c r="F3505" s="42" t="inlineStr">
        <is>
          <t>FR-228</t>
        </is>
      </c>
      <c r="G3505" s="55">
        <f>IFERROR(INDEX('Semrush Data'!$A$1:$Z$20000,MATCH(A3505,'Semrush Data'!$A$1:$A$20000,0),MATCH("Volume",'Semrush Data'!$A$1:$Z$1,0)),"")</f>
        <v/>
      </c>
      <c r="H3505" s="42">
        <f>IFERROR(INDEX('Semrush Data'!$A$1:$Z$20000,MATCH(A3505,'Semrush Data'!$A$1:$A$20000,0),MATCH("Keyword Difficulty*",'Semrush Data'!$A$1:$Z$1,0)),"")</f>
        <v/>
      </c>
      <c r="I3505" s="56">
        <f>IFERROR(INDEX('Semrush Data'!$A$1:$Z$20000,MATCH(A3505,'Semrush Data'!$A$1:$A$20000,0),MATCH("CPC*",'Semrush Data'!$A$1:$Z$1,0)),"")</f>
        <v/>
      </c>
      <c r="J3505" s="42">
        <f>IFERROR(INDEX('Semrush Data'!$A$1:$Z$20000,MATCH(A3505,'Semrush Data'!$A$1:$A$20000,0),MATCH("Intent",'Semrush Data'!$A$1:$Z$1,0)),"")</f>
        <v/>
      </c>
    </row>
    <row r="3506" ht="15" customHeight="1" s="37">
      <c r="A3506" s="42" t="inlineStr">
        <is>
          <t>gucci bloom profumo di fiori pen price</t>
        </is>
      </c>
      <c r="B3506" s="42" t="inlineStr">
        <is>
          <t>Price</t>
        </is>
      </c>
      <c r="C3506" s="42" t="n">
        <v>3</v>
      </c>
      <c r="D3506" s="42" t="n">
        <v>36</v>
      </c>
      <c r="E3506" s="42" t="n">
        <v>1</v>
      </c>
      <c r="F3506" s="42" t="inlineStr">
        <is>
          <t>FR-216</t>
        </is>
      </c>
      <c r="G3506" s="55">
        <f>IFERROR(INDEX('Semrush Data'!$A$1:$Z$20000,MATCH(A3506,'Semrush Data'!$A$1:$A$20000,0),MATCH("Volume",'Semrush Data'!$A$1:$Z$1,0)),"")</f>
        <v/>
      </c>
      <c r="H3506" s="42">
        <f>IFERROR(INDEX('Semrush Data'!$A$1:$Z$20000,MATCH(A3506,'Semrush Data'!$A$1:$A$20000,0),MATCH("Keyword Difficulty*",'Semrush Data'!$A$1:$Z$1,0)),"")</f>
        <v/>
      </c>
      <c r="I3506" s="56">
        <f>IFERROR(INDEX('Semrush Data'!$A$1:$Z$20000,MATCH(A3506,'Semrush Data'!$A$1:$A$20000,0),MATCH("CPC*",'Semrush Data'!$A$1:$Z$1,0)),"")</f>
        <v/>
      </c>
      <c r="J3506" s="42">
        <f>IFERROR(INDEX('Semrush Data'!$A$1:$Z$20000,MATCH(A3506,'Semrush Data'!$A$1:$A$20000,0),MATCH("Intent",'Semrush Data'!$A$1:$Z$1,0)),"")</f>
        <v/>
      </c>
    </row>
    <row r="3507" ht="15" customHeight="1" s="37">
      <c r="A3507" s="42" t="inlineStr">
        <is>
          <t>gucci flora gorgeous gardenia price</t>
        </is>
      </c>
      <c r="B3507" s="42" t="inlineStr">
        <is>
          <t>Price</t>
        </is>
      </c>
      <c r="C3507" s="42" t="n">
        <v>3</v>
      </c>
      <c r="D3507" s="42" t="inlineStr">
        <is>
          <t>T3-1</t>
        </is>
      </c>
      <c r="E3507" s="42" t="n">
        <v>1</v>
      </c>
      <c r="F3507" s="42" t="inlineStr">
        <is>
          <t>FR-217</t>
        </is>
      </c>
      <c r="G3507" s="55">
        <f>IFERROR(INDEX('Semrush Data'!$A$1:$Z$20000,MATCH(A3507,'Semrush Data'!$A$1:$A$20000,0),MATCH("Volume",'Semrush Data'!$A$1:$Z$1,0)),"")</f>
        <v/>
      </c>
      <c r="H3507" s="42">
        <f>IFERROR(INDEX('Semrush Data'!$A$1:$Z$20000,MATCH(A3507,'Semrush Data'!$A$1:$A$20000,0),MATCH("Keyword Difficulty*",'Semrush Data'!$A$1:$Z$1,0)),"")</f>
        <v/>
      </c>
      <c r="I3507" s="56">
        <f>IFERROR(INDEX('Semrush Data'!$A$1:$Z$20000,MATCH(A3507,'Semrush Data'!$A$1:$A$20000,0),MATCH("CPC*",'Semrush Data'!$A$1:$Z$1,0)),"")</f>
        <v/>
      </c>
      <c r="J3507" s="42">
        <f>IFERROR(INDEX('Semrush Data'!$A$1:$Z$20000,MATCH(A3507,'Semrush Data'!$A$1:$A$20000,0),MATCH("Intent",'Semrush Data'!$A$1:$Z$1,0)),"")</f>
        <v/>
      </c>
    </row>
    <row r="3508" ht="15" customHeight="1" s="37">
      <c r="A3508" s="42" t="inlineStr">
        <is>
          <t>gucci flora gorgeous miniature set price</t>
        </is>
      </c>
      <c r="B3508" s="42" t="inlineStr">
        <is>
          <t>Price</t>
        </is>
      </c>
      <c r="C3508" s="42" t="n">
        <v>3</v>
      </c>
      <c r="D3508" s="42" t="n">
        <v>36</v>
      </c>
      <c r="E3508" s="42" t="n">
        <v>1</v>
      </c>
      <c r="F3508" s="42" t="inlineStr">
        <is>
          <t>FR-224</t>
        </is>
      </c>
      <c r="G3508" s="55">
        <f>IFERROR(INDEX('Semrush Data'!$A$1:$Z$20000,MATCH(A3508,'Semrush Data'!$A$1:$A$20000,0),MATCH("Volume",'Semrush Data'!$A$1:$Z$1,0)),"")</f>
        <v/>
      </c>
      <c r="H3508" s="42">
        <f>IFERROR(INDEX('Semrush Data'!$A$1:$Z$20000,MATCH(A3508,'Semrush Data'!$A$1:$A$20000,0),MATCH("Keyword Difficulty*",'Semrush Data'!$A$1:$Z$1,0)),"")</f>
        <v/>
      </c>
      <c r="I3508" s="56">
        <f>IFERROR(INDEX('Semrush Data'!$A$1:$Z$20000,MATCH(A3508,'Semrush Data'!$A$1:$A$20000,0),MATCH("CPC*",'Semrush Data'!$A$1:$Z$1,0)),"")</f>
        <v/>
      </c>
      <c r="J3508" s="42">
        <f>IFERROR(INDEX('Semrush Data'!$A$1:$Z$20000,MATCH(A3508,'Semrush Data'!$A$1:$A$20000,0),MATCH("Intent",'Semrush Data'!$A$1:$Z$1,0)),"")</f>
        <v/>
      </c>
    </row>
    <row r="3509" ht="15" customHeight="1" s="37">
      <c r="A3509" s="42" t="inlineStr">
        <is>
          <t>gucci flora gorgeous orchid miniature price</t>
        </is>
      </c>
      <c r="B3509" s="42" t="inlineStr">
        <is>
          <t>Price</t>
        </is>
      </c>
      <c r="C3509" s="42" t="n">
        <v>3</v>
      </c>
      <c r="D3509" s="42" t="n">
        <v>36</v>
      </c>
      <c r="E3509" s="42" t="n">
        <v>1</v>
      </c>
      <c r="F3509" s="42" t="inlineStr">
        <is>
          <t>FR-218</t>
        </is>
      </c>
      <c r="G3509" s="55">
        <f>IFERROR(INDEX('Semrush Data'!$A$1:$Z$20000,MATCH(A3509,'Semrush Data'!$A$1:$A$20000,0),MATCH("Volume",'Semrush Data'!$A$1:$Z$1,0)),"")</f>
        <v/>
      </c>
      <c r="H3509" s="42">
        <f>IFERROR(INDEX('Semrush Data'!$A$1:$Z$20000,MATCH(A3509,'Semrush Data'!$A$1:$A$20000,0),MATCH("Keyword Difficulty*",'Semrush Data'!$A$1:$Z$1,0)),"")</f>
        <v/>
      </c>
      <c r="I3509" s="56">
        <f>IFERROR(INDEX('Semrush Data'!$A$1:$Z$20000,MATCH(A3509,'Semrush Data'!$A$1:$A$20000,0),MATCH("CPC*",'Semrush Data'!$A$1:$Z$1,0)),"")</f>
        <v/>
      </c>
      <c r="J3509" s="42">
        <f>IFERROR(INDEX('Semrush Data'!$A$1:$Z$20000,MATCH(A3509,'Semrush Data'!$A$1:$A$20000,0),MATCH("Intent",'Semrush Data'!$A$1:$Z$1,0)),"")</f>
        <v/>
      </c>
    </row>
    <row r="3510" ht="15" customHeight="1" s="37">
      <c r="A3510" s="42" t="inlineStr">
        <is>
          <t>gucci guilty pour femme gift set price</t>
        </is>
      </c>
      <c r="B3510" s="42" t="inlineStr">
        <is>
          <t>Price</t>
        </is>
      </c>
      <c r="C3510" s="42" t="n">
        <v>3</v>
      </c>
      <c r="D3510" s="42" t="n">
        <v>36</v>
      </c>
      <c r="E3510" s="42" t="n">
        <v>1</v>
      </c>
      <c r="F3510" s="42" t="inlineStr">
        <is>
          <t>FR-225</t>
        </is>
      </c>
      <c r="G3510" s="55">
        <f>IFERROR(INDEX('Semrush Data'!$A$1:$Z$20000,MATCH(A3510,'Semrush Data'!$A$1:$A$20000,0),MATCH("Volume",'Semrush Data'!$A$1:$Z$1,0)),"")</f>
        <v/>
      </c>
      <c r="H3510" s="42">
        <f>IFERROR(INDEX('Semrush Data'!$A$1:$Z$20000,MATCH(A3510,'Semrush Data'!$A$1:$A$20000,0),MATCH("Keyword Difficulty*",'Semrush Data'!$A$1:$Z$1,0)),"")</f>
        <v/>
      </c>
      <c r="I3510" s="56">
        <f>IFERROR(INDEX('Semrush Data'!$A$1:$Z$20000,MATCH(A3510,'Semrush Data'!$A$1:$A$20000,0),MATCH("CPC*",'Semrush Data'!$A$1:$Z$1,0)),"")</f>
        <v/>
      </c>
      <c r="J3510" s="42">
        <f>IFERROR(INDEX('Semrush Data'!$A$1:$Z$20000,MATCH(A3510,'Semrush Data'!$A$1:$A$20000,0),MATCH("Intent",'Semrush Data'!$A$1:$Z$1,0)),"")</f>
        <v/>
      </c>
    </row>
    <row r="3511" ht="15" customHeight="1" s="37">
      <c r="A3511" s="42" t="inlineStr">
        <is>
          <t>gucci guilty pour femme miniature price</t>
        </is>
      </c>
      <c r="B3511" s="42" t="inlineStr">
        <is>
          <t>Price</t>
        </is>
      </c>
      <c r="C3511" s="42" t="n">
        <v>3</v>
      </c>
      <c r="D3511" s="42" t="n">
        <v>36</v>
      </c>
      <c r="E3511" s="42" t="n">
        <v>1</v>
      </c>
      <c r="F3511" s="42" t="inlineStr">
        <is>
          <t>FR-219</t>
        </is>
      </c>
      <c r="G3511" s="55">
        <f>IFERROR(INDEX('Semrush Data'!$A$1:$Z$20000,MATCH(A3511,'Semrush Data'!$A$1:$A$20000,0),MATCH("Volume",'Semrush Data'!$A$1:$Z$1,0)),"")</f>
        <v/>
      </c>
      <c r="H3511" s="42">
        <f>IFERROR(INDEX('Semrush Data'!$A$1:$Z$20000,MATCH(A3511,'Semrush Data'!$A$1:$A$20000,0),MATCH("Keyword Difficulty*",'Semrush Data'!$A$1:$Z$1,0)),"")</f>
        <v/>
      </c>
      <c r="I3511" s="56">
        <f>IFERROR(INDEX('Semrush Data'!$A$1:$Z$20000,MATCH(A3511,'Semrush Data'!$A$1:$A$20000,0),MATCH("CPC*",'Semrush Data'!$A$1:$Z$1,0)),"")</f>
        <v/>
      </c>
      <c r="J3511" s="42">
        <f>IFERROR(INDEX('Semrush Data'!$A$1:$Z$20000,MATCH(A3511,'Semrush Data'!$A$1:$A$20000,0),MATCH("Intent",'Semrush Data'!$A$1:$Z$1,0)),"")</f>
        <v/>
      </c>
    </row>
    <row r="3512" ht="15" customHeight="1" s="37">
      <c r="A3512" s="42" t="inlineStr">
        <is>
          <t>gucci guilty pour homme price</t>
        </is>
      </c>
      <c r="B3512" s="42" t="inlineStr">
        <is>
          <t>Price</t>
        </is>
      </c>
      <c r="C3512" s="42" t="n">
        <v>3</v>
      </c>
      <c r="D3512" s="42" t="inlineStr">
        <is>
          <t>T3-1</t>
        </is>
      </c>
      <c r="E3512" s="42" t="n">
        <v>1</v>
      </c>
      <c r="F3512" s="42" t="inlineStr">
        <is>
          <t>FR-222</t>
        </is>
      </c>
      <c r="G3512" s="55">
        <f>IFERROR(INDEX('Semrush Data'!$A$1:$Z$20000,MATCH(A3512,'Semrush Data'!$A$1:$A$20000,0),MATCH("Volume",'Semrush Data'!$A$1:$Z$1,0)),"")</f>
        <v/>
      </c>
      <c r="H3512" s="42">
        <f>IFERROR(INDEX('Semrush Data'!$A$1:$Z$20000,MATCH(A3512,'Semrush Data'!$A$1:$A$20000,0),MATCH("Keyword Difficulty*",'Semrush Data'!$A$1:$Z$1,0)),"")</f>
        <v/>
      </c>
      <c r="I3512" s="56">
        <f>IFERROR(INDEX('Semrush Data'!$A$1:$Z$20000,MATCH(A3512,'Semrush Data'!$A$1:$A$20000,0),MATCH("CPC*",'Semrush Data'!$A$1:$Z$1,0)),"")</f>
        <v/>
      </c>
      <c r="J3512" s="42">
        <f>IFERROR(INDEX('Semrush Data'!$A$1:$Z$20000,MATCH(A3512,'Semrush Data'!$A$1:$A$20000,0),MATCH("Intent",'Semrush Data'!$A$1:$Z$1,0)),"")</f>
        <v/>
      </c>
    </row>
    <row r="3513" ht="15" customHeight="1" s="37">
      <c r="A3513" s="42" t="inlineStr">
        <is>
          <t>gucci intense oud price</t>
        </is>
      </c>
      <c r="B3513" s="42" t="inlineStr">
        <is>
          <t>Price</t>
        </is>
      </c>
      <c r="C3513" s="42" t="n">
        <v>3</v>
      </c>
      <c r="D3513" s="42" t="inlineStr">
        <is>
          <t>T3-1</t>
        </is>
      </c>
      <c r="E3513" s="42" t="n">
        <v>1</v>
      </c>
      <c r="F3513" s="42" t="inlineStr">
        <is>
          <t>FR-220</t>
        </is>
      </c>
      <c r="G3513" s="55">
        <f>IFERROR(INDEX('Semrush Data'!$A$1:$Z$20000,MATCH(A3513,'Semrush Data'!$A$1:$A$20000,0),MATCH("Volume",'Semrush Data'!$A$1:$Z$1,0)),"")</f>
        <v/>
      </c>
      <c r="H3513" s="42">
        <f>IFERROR(INDEX('Semrush Data'!$A$1:$Z$20000,MATCH(A3513,'Semrush Data'!$A$1:$A$20000,0),MATCH("Keyword Difficulty*",'Semrush Data'!$A$1:$Z$1,0)),"")</f>
        <v/>
      </c>
      <c r="I3513" s="56">
        <f>IFERROR(INDEX('Semrush Data'!$A$1:$Z$20000,MATCH(A3513,'Semrush Data'!$A$1:$A$20000,0),MATCH("CPC*",'Semrush Data'!$A$1:$Z$1,0)),"")</f>
        <v/>
      </c>
      <c r="J3513" s="42">
        <f>IFERROR(INDEX('Semrush Data'!$A$1:$Z$20000,MATCH(A3513,'Semrush Data'!$A$1:$A$20000,0),MATCH("Intent",'Semrush Data'!$A$1:$Z$1,0)),"")</f>
        <v/>
      </c>
    </row>
    <row r="3514" ht="15" customHeight="1" s="37">
      <c r="A3514" s="42" t="inlineStr">
        <is>
          <t>gucci miniature set price</t>
        </is>
      </c>
      <c r="B3514" s="42" t="inlineStr">
        <is>
          <t>Price</t>
        </is>
      </c>
      <c r="C3514" s="42" t="n">
        <v>3</v>
      </c>
      <c r="D3514" s="42" t="n">
        <v>36</v>
      </c>
      <c r="E3514" s="42" t="n">
        <v>1</v>
      </c>
      <c r="F3514" s="42" t="inlineStr">
        <is>
          <t>FR-226</t>
        </is>
      </c>
      <c r="G3514" s="55">
        <f>IFERROR(INDEX('Semrush Data'!$A$1:$Z$20000,MATCH(A3514,'Semrush Data'!$A$1:$A$20000,0),MATCH("Volume",'Semrush Data'!$A$1:$Z$1,0)),"")</f>
        <v/>
      </c>
      <c r="H3514" s="42">
        <f>IFERROR(INDEX('Semrush Data'!$A$1:$Z$20000,MATCH(A3514,'Semrush Data'!$A$1:$A$20000,0),MATCH("Keyword Difficulty*",'Semrush Data'!$A$1:$Z$1,0)),"")</f>
        <v/>
      </c>
      <c r="I3514" s="56">
        <f>IFERROR(INDEX('Semrush Data'!$A$1:$Z$20000,MATCH(A3514,'Semrush Data'!$A$1:$A$20000,0),MATCH("CPC*",'Semrush Data'!$A$1:$Z$1,0)),"")</f>
        <v/>
      </c>
      <c r="J3514" s="42">
        <f>IFERROR(INDEX('Semrush Data'!$A$1:$Z$20000,MATCH(A3514,'Semrush Data'!$A$1:$A$20000,0),MATCH("Intent",'Semrush Data'!$A$1:$Z$1,0)),"")</f>
        <v/>
      </c>
    </row>
    <row r="3515" ht="15" customHeight="1" s="37">
      <c r="A3515" s="42" t="inlineStr">
        <is>
          <t>gucci set price</t>
        </is>
      </c>
      <c r="B3515" s="42" t="inlineStr">
        <is>
          <t>Price</t>
        </is>
      </c>
      <c r="C3515" s="42" t="n">
        <v>3</v>
      </c>
      <c r="D3515" s="42" t="n">
        <v>36</v>
      </c>
      <c r="E3515" s="42" t="n">
        <v>1</v>
      </c>
      <c r="F3515" s="42" t="inlineStr">
        <is>
          <t>FR-227</t>
        </is>
      </c>
      <c r="G3515" s="55">
        <f>IFERROR(INDEX('Semrush Data'!$A$1:$Z$20000,MATCH(A3515,'Semrush Data'!$A$1:$A$20000,0),MATCH("Volume",'Semrush Data'!$A$1:$Z$1,0)),"")</f>
        <v/>
      </c>
      <c r="H3515" s="42">
        <f>IFERROR(INDEX('Semrush Data'!$A$1:$Z$20000,MATCH(A3515,'Semrush Data'!$A$1:$A$20000,0),MATCH("Keyword Difficulty*",'Semrush Data'!$A$1:$Z$1,0)),"")</f>
        <v/>
      </c>
      <c r="I3515" s="56">
        <f>IFERROR(INDEX('Semrush Data'!$A$1:$Z$20000,MATCH(A3515,'Semrush Data'!$A$1:$A$20000,0),MATCH("CPC*",'Semrush Data'!$A$1:$Z$1,0)),"")</f>
        <v/>
      </c>
      <c r="J3515" s="42">
        <f>IFERROR(INDEX('Semrush Data'!$A$1:$Z$20000,MATCH(A3515,'Semrush Data'!$A$1:$A$20000,0),MATCH("Intent",'Semrush Data'!$A$1:$Z$1,0)),"")</f>
        <v/>
      </c>
    </row>
    <row r="3516" ht="15" customHeight="1" s="37">
      <c r="A3516" s="42" t="inlineStr">
        <is>
          <t>guerlain epices exquises price</t>
        </is>
      </c>
      <c r="B3516" s="42" t="inlineStr">
        <is>
          <t>Price</t>
        </is>
      </c>
      <c r="C3516" s="42" t="n">
        <v>3</v>
      </c>
      <c r="D3516" s="42" t="n">
        <v>36</v>
      </c>
      <c r="E3516" s="42" t="n">
        <v>1</v>
      </c>
      <c r="F3516" s="42" t="inlineStr">
        <is>
          <t>FR-234</t>
        </is>
      </c>
      <c r="G3516" s="55">
        <f>IFERROR(INDEX('Semrush Data'!$A$1:$Z$20000,MATCH(A3516,'Semrush Data'!$A$1:$A$20000,0),MATCH("Volume",'Semrush Data'!$A$1:$Z$1,0)),"")</f>
        <v/>
      </c>
      <c r="H3516" s="42">
        <f>IFERROR(INDEX('Semrush Data'!$A$1:$Z$20000,MATCH(A3516,'Semrush Data'!$A$1:$A$20000,0),MATCH("Keyword Difficulty*",'Semrush Data'!$A$1:$Z$1,0)),"")</f>
        <v/>
      </c>
      <c r="I3516" s="56">
        <f>IFERROR(INDEX('Semrush Data'!$A$1:$Z$20000,MATCH(A3516,'Semrush Data'!$A$1:$A$20000,0),MATCH("CPC*",'Semrush Data'!$A$1:$Z$1,0)),"")</f>
        <v/>
      </c>
      <c r="J3516" s="42">
        <f>IFERROR(INDEX('Semrush Data'!$A$1:$Z$20000,MATCH(A3516,'Semrush Data'!$A$1:$A$20000,0),MATCH("Intent",'Semrush Data'!$A$1:$Z$1,0)),"")</f>
        <v/>
      </c>
    </row>
    <row r="3517" ht="15" customHeight="1" s="37">
      <c r="A3517" s="42" t="inlineStr">
        <is>
          <t>guerlain habit rouge price</t>
        </is>
      </c>
      <c r="B3517" s="42" t="inlineStr">
        <is>
          <t>Price</t>
        </is>
      </c>
      <c r="C3517" s="42" t="n">
        <v>3</v>
      </c>
      <c r="D3517" s="42" t="n">
        <v>36</v>
      </c>
      <c r="E3517" s="42" t="n">
        <v>1</v>
      </c>
      <c r="F3517" s="42" t="inlineStr">
        <is>
          <t>FR-229</t>
        </is>
      </c>
      <c r="G3517" s="55">
        <f>IFERROR(INDEX('Semrush Data'!$A$1:$Z$20000,MATCH(A3517,'Semrush Data'!$A$1:$A$20000,0),MATCH("Volume",'Semrush Data'!$A$1:$Z$1,0)),"")</f>
        <v/>
      </c>
      <c r="H3517" s="42">
        <f>IFERROR(INDEX('Semrush Data'!$A$1:$Z$20000,MATCH(A3517,'Semrush Data'!$A$1:$A$20000,0),MATCH("Keyword Difficulty*",'Semrush Data'!$A$1:$Z$1,0)),"")</f>
        <v/>
      </c>
      <c r="I3517" s="56">
        <f>IFERROR(INDEX('Semrush Data'!$A$1:$Z$20000,MATCH(A3517,'Semrush Data'!$A$1:$A$20000,0),MATCH("CPC*",'Semrush Data'!$A$1:$Z$1,0)),"")</f>
        <v/>
      </c>
      <c r="J3517" s="42">
        <f>IFERROR(INDEX('Semrush Data'!$A$1:$Z$20000,MATCH(A3517,'Semrush Data'!$A$1:$A$20000,0),MATCH("Intent",'Semrush Data'!$A$1:$Z$1,0)),"")</f>
        <v/>
      </c>
    </row>
    <row r="3518" ht="15" customHeight="1" s="37">
      <c r="A3518" s="42" t="inlineStr">
        <is>
          <t>guerlain l'instant de guerlain price</t>
        </is>
      </c>
      <c r="B3518" s="42" t="inlineStr">
        <is>
          <t>Price</t>
        </is>
      </c>
      <c r="C3518" s="42" t="n">
        <v>3</v>
      </c>
      <c r="D3518" s="42" t="n">
        <v>36</v>
      </c>
      <c r="E3518" s="42" t="n">
        <v>1</v>
      </c>
      <c r="F3518" s="42" t="inlineStr">
        <is>
          <t>FR-230</t>
        </is>
      </c>
      <c r="G3518" s="55">
        <f>IFERROR(INDEX('Semrush Data'!$A$1:$Z$20000,MATCH(A3518,'Semrush Data'!$A$1:$A$20000,0),MATCH("Volume",'Semrush Data'!$A$1:$Z$1,0)),"")</f>
        <v/>
      </c>
      <c r="H3518" s="42">
        <f>IFERROR(INDEX('Semrush Data'!$A$1:$Z$20000,MATCH(A3518,'Semrush Data'!$A$1:$A$20000,0),MATCH("Keyword Difficulty*",'Semrush Data'!$A$1:$Z$1,0)),"")</f>
        <v/>
      </c>
      <c r="I3518" s="56">
        <f>IFERROR(INDEX('Semrush Data'!$A$1:$Z$20000,MATCH(A3518,'Semrush Data'!$A$1:$A$20000,0),MATCH("CPC*",'Semrush Data'!$A$1:$Z$1,0)),"")</f>
        <v/>
      </c>
      <c r="J3518" s="42">
        <f>IFERROR(INDEX('Semrush Data'!$A$1:$Z$20000,MATCH(A3518,'Semrush Data'!$A$1:$A$20000,0),MATCH("Intent",'Semrush Data'!$A$1:$Z$1,0)),"")</f>
        <v/>
      </c>
    </row>
    <row r="3519" ht="15" customHeight="1" s="37">
      <c r="A3519" s="42" t="inlineStr">
        <is>
          <t>guerlain la petite robe noire ma robe cocktail price</t>
        </is>
      </c>
      <c r="B3519" s="42" t="inlineStr">
        <is>
          <t>Price</t>
        </is>
      </c>
      <c r="C3519" s="42" t="n">
        <v>3</v>
      </c>
      <c r="D3519" s="42" t="n">
        <v>36</v>
      </c>
      <c r="E3519" s="42" t="n">
        <v>1</v>
      </c>
      <c r="F3519" s="42" t="inlineStr">
        <is>
          <t>FR-235</t>
        </is>
      </c>
      <c r="G3519" s="55">
        <f>IFERROR(INDEX('Semrush Data'!$A$1:$Z$20000,MATCH(A3519,'Semrush Data'!$A$1:$A$20000,0),MATCH("Volume",'Semrush Data'!$A$1:$Z$1,0)),"")</f>
        <v/>
      </c>
      <c r="H3519" s="42">
        <f>IFERROR(INDEX('Semrush Data'!$A$1:$Z$20000,MATCH(A3519,'Semrush Data'!$A$1:$A$20000,0),MATCH("Keyword Difficulty*",'Semrush Data'!$A$1:$Z$1,0)),"")</f>
        <v/>
      </c>
      <c r="I3519" s="56">
        <f>IFERROR(INDEX('Semrush Data'!$A$1:$Z$20000,MATCH(A3519,'Semrush Data'!$A$1:$A$20000,0),MATCH("CPC*",'Semrush Data'!$A$1:$Z$1,0)),"")</f>
        <v/>
      </c>
      <c r="J3519" s="42">
        <f>IFERROR(INDEX('Semrush Data'!$A$1:$Z$20000,MATCH(A3519,'Semrush Data'!$A$1:$A$20000,0),MATCH("Intent",'Semrush Data'!$A$1:$Z$1,0)),"")</f>
        <v/>
      </c>
    </row>
    <row r="3520" ht="15" customHeight="1" s="37">
      <c r="A3520" s="42" t="inlineStr">
        <is>
          <t>guerlain mon guerlain miniature gift set price</t>
        </is>
      </c>
      <c r="B3520" s="42" t="inlineStr">
        <is>
          <t>Price</t>
        </is>
      </c>
      <c r="C3520" s="42" t="n">
        <v>3</v>
      </c>
      <c r="D3520" s="42" t="n">
        <v>36</v>
      </c>
      <c r="E3520" s="42" t="n">
        <v>1</v>
      </c>
      <c r="F3520" s="42" t="inlineStr">
        <is>
          <t>FR-236</t>
        </is>
      </c>
      <c r="G3520" s="55">
        <f>IFERROR(INDEX('Semrush Data'!$A$1:$Z$20000,MATCH(A3520,'Semrush Data'!$A$1:$A$20000,0),MATCH("Volume",'Semrush Data'!$A$1:$Z$1,0)),"")</f>
        <v/>
      </c>
      <c r="H3520" s="42">
        <f>IFERROR(INDEX('Semrush Data'!$A$1:$Z$20000,MATCH(A3520,'Semrush Data'!$A$1:$A$20000,0),MATCH("Keyword Difficulty*",'Semrush Data'!$A$1:$Z$1,0)),"")</f>
        <v/>
      </c>
      <c r="I3520" s="56">
        <f>IFERROR(INDEX('Semrush Data'!$A$1:$Z$20000,MATCH(A3520,'Semrush Data'!$A$1:$A$20000,0),MATCH("CPC*",'Semrush Data'!$A$1:$Z$1,0)),"")</f>
        <v/>
      </c>
      <c r="J3520" s="42">
        <f>IFERROR(INDEX('Semrush Data'!$A$1:$Z$20000,MATCH(A3520,'Semrush Data'!$A$1:$A$20000,0),MATCH("Intent",'Semrush Data'!$A$1:$Z$1,0)),"")</f>
        <v/>
      </c>
    </row>
    <row r="3521" ht="15" customHeight="1" s="37">
      <c r="A3521" s="42" t="inlineStr">
        <is>
          <t>guerlain musc noble price</t>
        </is>
      </c>
      <c r="B3521" s="42" t="inlineStr">
        <is>
          <t>Price</t>
        </is>
      </c>
      <c r="C3521" s="42" t="n">
        <v>3</v>
      </c>
      <c r="D3521" s="42" t="n">
        <v>36</v>
      </c>
      <c r="E3521" s="42" t="n">
        <v>1</v>
      </c>
      <c r="F3521" s="42" t="inlineStr">
        <is>
          <t>FR-231</t>
        </is>
      </c>
      <c r="G3521" s="55">
        <f>IFERROR(INDEX('Semrush Data'!$A$1:$Z$20000,MATCH(A3521,'Semrush Data'!$A$1:$A$20000,0),MATCH("Volume",'Semrush Data'!$A$1:$Z$1,0)),"")</f>
        <v/>
      </c>
      <c r="H3521" s="42">
        <f>IFERROR(INDEX('Semrush Data'!$A$1:$Z$20000,MATCH(A3521,'Semrush Data'!$A$1:$A$20000,0),MATCH("Keyword Difficulty*",'Semrush Data'!$A$1:$Z$1,0)),"")</f>
        <v/>
      </c>
      <c r="I3521" s="56">
        <f>IFERROR(INDEX('Semrush Data'!$A$1:$Z$20000,MATCH(A3521,'Semrush Data'!$A$1:$A$20000,0),MATCH("CPC*",'Semrush Data'!$A$1:$Z$1,0)),"")</f>
        <v/>
      </c>
      <c r="J3521" s="42">
        <f>IFERROR(INDEX('Semrush Data'!$A$1:$Z$20000,MATCH(A3521,'Semrush Data'!$A$1:$A$20000,0),MATCH("Intent",'Semrush Data'!$A$1:$Z$1,0)),"")</f>
        <v/>
      </c>
    </row>
    <row r="3522" ht="15" customHeight="1" s="37">
      <c r="A3522" s="42" t="inlineStr">
        <is>
          <t>guerlain oud essentiel price</t>
        </is>
      </c>
      <c r="B3522" s="42" t="inlineStr">
        <is>
          <t>Price</t>
        </is>
      </c>
      <c r="C3522" s="42" t="n">
        <v>3</v>
      </c>
      <c r="D3522" s="42" t="n">
        <v>36</v>
      </c>
      <c r="E3522" s="42" t="n">
        <v>1</v>
      </c>
      <c r="F3522" s="42" t="inlineStr">
        <is>
          <t>FR-232</t>
        </is>
      </c>
      <c r="G3522" s="55">
        <f>IFERROR(INDEX('Semrush Data'!$A$1:$Z$20000,MATCH(A3522,'Semrush Data'!$A$1:$A$20000,0),MATCH("Volume",'Semrush Data'!$A$1:$Z$1,0)),"")</f>
        <v/>
      </c>
      <c r="H3522" s="42">
        <f>IFERROR(INDEX('Semrush Data'!$A$1:$Z$20000,MATCH(A3522,'Semrush Data'!$A$1:$A$20000,0),MATCH("Keyword Difficulty*",'Semrush Data'!$A$1:$Z$1,0)),"")</f>
        <v/>
      </c>
      <c r="I3522" s="56">
        <f>IFERROR(INDEX('Semrush Data'!$A$1:$Z$20000,MATCH(A3522,'Semrush Data'!$A$1:$A$20000,0),MATCH("CPC*",'Semrush Data'!$A$1:$Z$1,0)),"")</f>
        <v/>
      </c>
      <c r="J3522" s="42">
        <f>IFERROR(INDEX('Semrush Data'!$A$1:$Z$20000,MATCH(A3522,'Semrush Data'!$A$1:$A$20000,0),MATCH("Intent",'Semrush Data'!$A$1:$Z$1,0)),"")</f>
        <v/>
      </c>
    </row>
    <row r="3523" ht="15" customHeight="1" s="37">
      <c r="A3523" s="42" t="inlineStr">
        <is>
          <t>guerlain samsara price</t>
        </is>
      </c>
      <c r="B3523" s="42" t="inlineStr">
        <is>
          <t>Price</t>
        </is>
      </c>
      <c r="C3523" s="42" t="n">
        <v>3</v>
      </c>
      <c r="D3523" s="42" t="n">
        <v>36</v>
      </c>
      <c r="E3523" s="42" t="n">
        <v>1</v>
      </c>
      <c r="F3523" s="42" t="inlineStr">
        <is>
          <t>FR-233</t>
        </is>
      </c>
      <c r="G3523" s="55">
        <f>IFERROR(INDEX('Semrush Data'!$A$1:$Z$20000,MATCH(A3523,'Semrush Data'!$A$1:$A$20000,0),MATCH("Volume",'Semrush Data'!$A$1:$Z$1,0)),"")</f>
        <v/>
      </c>
      <c r="H3523" s="42">
        <f>IFERROR(INDEX('Semrush Data'!$A$1:$Z$20000,MATCH(A3523,'Semrush Data'!$A$1:$A$20000,0),MATCH("Keyword Difficulty*",'Semrush Data'!$A$1:$Z$1,0)),"")</f>
        <v/>
      </c>
      <c r="I3523" s="56">
        <f>IFERROR(INDEX('Semrush Data'!$A$1:$Z$20000,MATCH(A3523,'Semrush Data'!$A$1:$A$20000,0),MATCH("CPC*",'Semrush Data'!$A$1:$Z$1,0)),"")</f>
        <v/>
      </c>
      <c r="J3523" s="42">
        <f>IFERROR(INDEX('Semrush Data'!$A$1:$Z$20000,MATCH(A3523,'Semrush Data'!$A$1:$A$20000,0),MATCH("Intent",'Semrush Data'!$A$1:$Z$1,0)),"")</f>
        <v/>
      </c>
    </row>
    <row r="3524" ht="15" customHeight="1" s="37">
      <c r="A3524" s="42" t="inlineStr">
        <is>
          <t>hemel affair price</t>
        </is>
      </c>
      <c r="B3524" s="42" t="inlineStr">
        <is>
          <t>Price</t>
        </is>
      </c>
      <c r="C3524" s="42" t="n">
        <v>3</v>
      </c>
      <c r="D3524" s="42" t="n">
        <v>36</v>
      </c>
      <c r="E3524" s="42" t="n">
        <v>2</v>
      </c>
      <c r="F3524" s="42" t="inlineStr">
        <is>
          <t>FR-242, FR-243</t>
        </is>
      </c>
      <c r="G3524" s="55">
        <f>IFERROR(INDEX('Semrush Data'!$A$1:$Z$20000,MATCH(A3524,'Semrush Data'!$A$1:$A$20000,0),MATCH("Volume",'Semrush Data'!$A$1:$Z$1,0)),"")</f>
        <v/>
      </c>
      <c r="H3524" s="42">
        <f>IFERROR(INDEX('Semrush Data'!$A$1:$Z$20000,MATCH(A3524,'Semrush Data'!$A$1:$A$20000,0),MATCH("Keyword Difficulty*",'Semrush Data'!$A$1:$Z$1,0)),"")</f>
        <v/>
      </c>
      <c r="I3524" s="56">
        <f>IFERROR(INDEX('Semrush Data'!$A$1:$Z$20000,MATCH(A3524,'Semrush Data'!$A$1:$A$20000,0),MATCH("CPC*",'Semrush Data'!$A$1:$Z$1,0)),"")</f>
        <v/>
      </c>
      <c r="J3524" s="42">
        <f>IFERROR(INDEX('Semrush Data'!$A$1:$Z$20000,MATCH(A3524,'Semrush Data'!$A$1:$A$20000,0),MATCH("Intent",'Semrush Data'!$A$1:$Z$1,0)),"")</f>
        <v/>
      </c>
    </row>
    <row r="3525" ht="15" customHeight="1" s="37">
      <c r="A3525" s="42" t="inlineStr">
        <is>
          <t>hemel amethyst dream price</t>
        </is>
      </c>
      <c r="B3525" s="42" t="inlineStr">
        <is>
          <t>Price</t>
        </is>
      </c>
      <c r="C3525" s="42" t="n">
        <v>3</v>
      </c>
      <c r="D3525" s="42" t="n">
        <v>36</v>
      </c>
      <c r="E3525" s="42" t="n">
        <v>2</v>
      </c>
      <c r="F3525" s="42" t="inlineStr">
        <is>
          <t>FR-237, FR-238</t>
        </is>
      </c>
      <c r="G3525" s="55">
        <f>IFERROR(INDEX('Semrush Data'!$A$1:$Z$20000,MATCH(A3525,'Semrush Data'!$A$1:$A$20000,0),MATCH("Volume",'Semrush Data'!$A$1:$Z$1,0)),"")</f>
        <v/>
      </c>
      <c r="H3525" s="42">
        <f>IFERROR(INDEX('Semrush Data'!$A$1:$Z$20000,MATCH(A3525,'Semrush Data'!$A$1:$A$20000,0),MATCH("Keyword Difficulty*",'Semrush Data'!$A$1:$Z$1,0)),"")</f>
        <v/>
      </c>
      <c r="I3525" s="56">
        <f>IFERROR(INDEX('Semrush Data'!$A$1:$Z$20000,MATCH(A3525,'Semrush Data'!$A$1:$A$20000,0),MATCH("CPC*",'Semrush Data'!$A$1:$Z$1,0)),"")</f>
        <v/>
      </c>
      <c r="J3525" s="42">
        <f>IFERROR(INDEX('Semrush Data'!$A$1:$Z$20000,MATCH(A3525,'Semrush Data'!$A$1:$A$20000,0),MATCH("Intent",'Semrush Data'!$A$1:$Z$1,0)),"")</f>
        <v/>
      </c>
    </row>
    <row r="3526" ht="15" customHeight="1" s="37">
      <c r="A3526" s="42" t="inlineStr">
        <is>
          <t>hemel dorado price</t>
        </is>
      </c>
      <c r="B3526" s="42" t="inlineStr">
        <is>
          <t>Price</t>
        </is>
      </c>
      <c r="C3526" s="42" t="n">
        <v>3</v>
      </c>
      <c r="D3526" s="42" t="n">
        <v>36</v>
      </c>
      <c r="E3526" s="42" t="n">
        <v>1</v>
      </c>
      <c r="F3526" s="42" t="inlineStr">
        <is>
          <t>FR-239</t>
        </is>
      </c>
      <c r="G3526" s="55">
        <f>IFERROR(INDEX('Semrush Data'!$A$1:$Z$20000,MATCH(A3526,'Semrush Data'!$A$1:$A$20000,0),MATCH("Volume",'Semrush Data'!$A$1:$Z$1,0)),"")</f>
        <v/>
      </c>
      <c r="H3526" s="42">
        <f>IFERROR(INDEX('Semrush Data'!$A$1:$Z$20000,MATCH(A3526,'Semrush Data'!$A$1:$A$20000,0),MATCH("Keyword Difficulty*",'Semrush Data'!$A$1:$Z$1,0)),"")</f>
        <v/>
      </c>
      <c r="I3526" s="56">
        <f>IFERROR(INDEX('Semrush Data'!$A$1:$Z$20000,MATCH(A3526,'Semrush Data'!$A$1:$A$20000,0),MATCH("CPC*",'Semrush Data'!$A$1:$Z$1,0)),"")</f>
        <v/>
      </c>
      <c r="J3526" s="42">
        <f>IFERROR(INDEX('Semrush Data'!$A$1:$Z$20000,MATCH(A3526,'Semrush Data'!$A$1:$A$20000,0),MATCH("Intent",'Semrush Data'!$A$1:$Z$1,0)),"")</f>
        <v/>
      </c>
    </row>
    <row r="3527" ht="15" customHeight="1" s="37">
      <c r="A3527" s="42" t="inlineStr">
        <is>
          <t>hemel favourite black price</t>
        </is>
      </c>
      <c r="B3527" s="42" t="inlineStr">
        <is>
          <t>Price</t>
        </is>
      </c>
      <c r="C3527" s="42" t="n">
        <v>3</v>
      </c>
      <c r="D3527" s="42" t="n">
        <v>36</v>
      </c>
      <c r="E3527" s="42" t="n">
        <v>2</v>
      </c>
      <c r="F3527" s="42" t="inlineStr">
        <is>
          <t>FR-240, FR-241</t>
        </is>
      </c>
      <c r="G3527" s="55">
        <f>IFERROR(INDEX('Semrush Data'!$A$1:$Z$20000,MATCH(A3527,'Semrush Data'!$A$1:$A$20000,0),MATCH("Volume",'Semrush Data'!$A$1:$Z$1,0)),"")</f>
        <v/>
      </c>
      <c r="H3527" s="42">
        <f>IFERROR(INDEX('Semrush Data'!$A$1:$Z$20000,MATCH(A3527,'Semrush Data'!$A$1:$A$20000,0),MATCH("Keyword Difficulty*",'Semrush Data'!$A$1:$Z$1,0)),"")</f>
        <v/>
      </c>
      <c r="I3527" s="56">
        <f>IFERROR(INDEX('Semrush Data'!$A$1:$Z$20000,MATCH(A3527,'Semrush Data'!$A$1:$A$20000,0),MATCH("CPC*",'Semrush Data'!$A$1:$Z$1,0)),"")</f>
        <v/>
      </c>
      <c r="J3527" s="42">
        <f>IFERROR(INDEX('Semrush Data'!$A$1:$Z$20000,MATCH(A3527,'Semrush Data'!$A$1:$A$20000,0),MATCH("Intent",'Semrush Data'!$A$1:$Z$1,0)),"")</f>
        <v/>
      </c>
    </row>
    <row r="3528" ht="15" customHeight="1" s="37">
      <c r="A3528" s="42" t="inlineStr">
        <is>
          <t>hemel gris price</t>
        </is>
      </c>
      <c r="B3528" s="42" t="inlineStr">
        <is>
          <t>Price</t>
        </is>
      </c>
      <c r="C3528" s="42" t="n">
        <v>3</v>
      </c>
      <c r="D3528" s="42" t="n">
        <v>36</v>
      </c>
      <c r="E3528" s="42" t="n">
        <v>1</v>
      </c>
      <c r="F3528" s="42" t="inlineStr">
        <is>
          <t>FR-244</t>
        </is>
      </c>
      <c r="G3528" s="55">
        <f>IFERROR(INDEX('Semrush Data'!$A$1:$Z$20000,MATCH(A3528,'Semrush Data'!$A$1:$A$20000,0),MATCH("Volume",'Semrush Data'!$A$1:$Z$1,0)),"")</f>
        <v/>
      </c>
      <c r="H3528" s="42">
        <f>IFERROR(INDEX('Semrush Data'!$A$1:$Z$20000,MATCH(A3528,'Semrush Data'!$A$1:$A$20000,0),MATCH("Keyword Difficulty*",'Semrush Data'!$A$1:$Z$1,0)),"")</f>
        <v/>
      </c>
      <c r="I3528" s="56">
        <f>IFERROR(INDEX('Semrush Data'!$A$1:$Z$20000,MATCH(A3528,'Semrush Data'!$A$1:$A$20000,0),MATCH("CPC*",'Semrush Data'!$A$1:$Z$1,0)),"")</f>
        <v/>
      </c>
      <c r="J3528" s="42">
        <f>IFERROR(INDEX('Semrush Data'!$A$1:$Z$20000,MATCH(A3528,'Semrush Data'!$A$1:$A$20000,0),MATCH("Intent",'Semrush Data'!$A$1:$Z$1,0)),"")</f>
        <v/>
      </c>
    </row>
    <row r="3529" ht="15" customHeight="1" s="37">
      <c r="A3529" s="42" t="inlineStr">
        <is>
          <t>hemel paris dorado price</t>
        </is>
      </c>
      <c r="B3529" s="42" t="inlineStr">
        <is>
          <t>Price</t>
        </is>
      </c>
      <c r="C3529" s="42" t="n">
        <v>3</v>
      </c>
      <c r="D3529" s="42" t="n">
        <v>36</v>
      </c>
      <c r="E3529" s="42" t="n">
        <v>1</v>
      </c>
      <c r="F3529" s="42" t="inlineStr">
        <is>
          <t>FR-245</t>
        </is>
      </c>
      <c r="G3529" s="55">
        <f>IFERROR(INDEX('Semrush Data'!$A$1:$Z$20000,MATCH(A3529,'Semrush Data'!$A$1:$A$20000,0),MATCH("Volume",'Semrush Data'!$A$1:$Z$1,0)),"")</f>
        <v/>
      </c>
      <c r="H3529" s="42">
        <f>IFERROR(INDEX('Semrush Data'!$A$1:$Z$20000,MATCH(A3529,'Semrush Data'!$A$1:$A$20000,0),MATCH("Keyword Difficulty*",'Semrush Data'!$A$1:$Z$1,0)),"")</f>
        <v/>
      </c>
      <c r="I3529" s="56">
        <f>IFERROR(INDEX('Semrush Data'!$A$1:$Z$20000,MATCH(A3529,'Semrush Data'!$A$1:$A$20000,0),MATCH("CPC*",'Semrush Data'!$A$1:$Z$1,0)),"")</f>
        <v/>
      </c>
      <c r="J3529" s="42">
        <f>IFERROR(INDEX('Semrush Data'!$A$1:$Z$20000,MATCH(A3529,'Semrush Data'!$A$1:$A$20000,0),MATCH("Intent",'Semrush Data'!$A$1:$Z$1,0)),"")</f>
        <v/>
      </c>
    </row>
    <row r="3530" ht="15" customHeight="1" s="37">
      <c r="A3530" s="42" t="inlineStr">
        <is>
          <t>hemel paris gris for all price</t>
        </is>
      </c>
      <c r="B3530" s="42" t="inlineStr">
        <is>
          <t>Price</t>
        </is>
      </c>
      <c r="C3530" s="42" t="n">
        <v>3</v>
      </c>
      <c r="D3530" s="42" t="n">
        <v>36</v>
      </c>
      <c r="E3530" s="42" t="n">
        <v>1</v>
      </c>
      <c r="F3530" s="42" t="inlineStr">
        <is>
          <t>FR-246</t>
        </is>
      </c>
      <c r="G3530" s="55">
        <f>IFERROR(INDEX('Semrush Data'!$A$1:$Z$20000,MATCH(A3530,'Semrush Data'!$A$1:$A$20000,0),MATCH("Volume",'Semrush Data'!$A$1:$Z$1,0)),"")</f>
        <v/>
      </c>
      <c r="H3530" s="42">
        <f>IFERROR(INDEX('Semrush Data'!$A$1:$Z$20000,MATCH(A3530,'Semrush Data'!$A$1:$A$20000,0),MATCH("Keyword Difficulty*",'Semrush Data'!$A$1:$Z$1,0)),"")</f>
        <v/>
      </c>
      <c r="I3530" s="56">
        <f>IFERROR(INDEX('Semrush Data'!$A$1:$Z$20000,MATCH(A3530,'Semrush Data'!$A$1:$A$20000,0),MATCH("CPC*",'Semrush Data'!$A$1:$Z$1,0)),"")</f>
        <v/>
      </c>
      <c r="J3530" s="42">
        <f>IFERROR(INDEX('Semrush Data'!$A$1:$Z$20000,MATCH(A3530,'Semrush Data'!$A$1:$A$20000,0),MATCH("Intent",'Semrush Data'!$A$1:$Z$1,0)),"")</f>
        <v/>
      </c>
    </row>
    <row r="3531" ht="15" customHeight="1" s="37">
      <c r="A3531" s="42" t="inlineStr">
        <is>
          <t>hemel patchouli for all price</t>
        </is>
      </c>
      <c r="B3531" s="42" t="inlineStr">
        <is>
          <t>Price</t>
        </is>
      </c>
      <c r="C3531" s="42" t="n">
        <v>3</v>
      </c>
      <c r="D3531" s="42" t="n">
        <v>36</v>
      </c>
      <c r="E3531" s="42" t="n">
        <v>2</v>
      </c>
      <c r="F3531" s="42" t="inlineStr">
        <is>
          <t>FR-247, FR-248</t>
        </is>
      </c>
      <c r="G3531" s="55">
        <f>IFERROR(INDEX('Semrush Data'!$A$1:$Z$20000,MATCH(A3531,'Semrush Data'!$A$1:$A$20000,0),MATCH("Volume",'Semrush Data'!$A$1:$Z$1,0)),"")</f>
        <v/>
      </c>
      <c r="H3531" s="42">
        <f>IFERROR(INDEX('Semrush Data'!$A$1:$Z$20000,MATCH(A3531,'Semrush Data'!$A$1:$A$20000,0),MATCH("Keyword Difficulty*",'Semrush Data'!$A$1:$Z$1,0)),"")</f>
        <v/>
      </c>
      <c r="I3531" s="56">
        <f>IFERROR(INDEX('Semrush Data'!$A$1:$Z$20000,MATCH(A3531,'Semrush Data'!$A$1:$A$20000,0),MATCH("CPC*",'Semrush Data'!$A$1:$Z$1,0)),"")</f>
        <v/>
      </c>
      <c r="J3531" s="42">
        <f>IFERROR(INDEX('Semrush Data'!$A$1:$Z$20000,MATCH(A3531,'Semrush Data'!$A$1:$A$20000,0),MATCH("Intent",'Semrush Data'!$A$1:$Z$1,0)),"")</f>
        <v/>
      </c>
    </row>
    <row r="3532" ht="15" customHeight="1" s="37">
      <c r="A3532" s="42" t="inlineStr">
        <is>
          <t>hemel plateado price</t>
        </is>
      </c>
      <c r="B3532" s="42" t="inlineStr">
        <is>
          <t>Price</t>
        </is>
      </c>
      <c r="C3532" s="42" t="n">
        <v>3</v>
      </c>
      <c r="D3532" s="42" t="n">
        <v>36</v>
      </c>
      <c r="E3532" s="42" t="n">
        <v>2</v>
      </c>
      <c r="F3532" s="42" t="inlineStr">
        <is>
          <t>FR-249, FR-250</t>
        </is>
      </c>
      <c r="G3532" s="55">
        <f>IFERROR(INDEX('Semrush Data'!$A$1:$Z$20000,MATCH(A3532,'Semrush Data'!$A$1:$A$20000,0),MATCH("Volume",'Semrush Data'!$A$1:$Z$1,0)),"")</f>
        <v/>
      </c>
      <c r="H3532" s="42">
        <f>IFERROR(INDEX('Semrush Data'!$A$1:$Z$20000,MATCH(A3532,'Semrush Data'!$A$1:$A$20000,0),MATCH("Keyword Difficulty*",'Semrush Data'!$A$1:$Z$1,0)),"")</f>
        <v/>
      </c>
      <c r="I3532" s="56">
        <f>IFERROR(INDEX('Semrush Data'!$A$1:$Z$20000,MATCH(A3532,'Semrush Data'!$A$1:$A$20000,0),MATCH("CPC*",'Semrush Data'!$A$1:$Z$1,0)),"")</f>
        <v/>
      </c>
      <c r="J3532" s="42">
        <f>IFERROR(INDEX('Semrush Data'!$A$1:$Z$20000,MATCH(A3532,'Semrush Data'!$A$1:$A$20000,0),MATCH("Intent",'Semrush Data'!$A$1:$Z$1,0)),"")</f>
        <v/>
      </c>
    </row>
    <row r="3533" ht="15" customHeight="1" s="37">
      <c r="A3533" s="42" t="inlineStr">
        <is>
          <t>hemel rosado price</t>
        </is>
      </c>
      <c r="B3533" s="42" t="inlineStr">
        <is>
          <t>Price</t>
        </is>
      </c>
      <c r="C3533" s="42" t="n">
        <v>3</v>
      </c>
      <c r="D3533" s="42" t="n">
        <v>36</v>
      </c>
      <c r="E3533" s="42" t="n">
        <v>2</v>
      </c>
      <c r="F3533" s="42" t="inlineStr">
        <is>
          <t>FR-251, FR-252</t>
        </is>
      </c>
      <c r="G3533" s="55">
        <f>IFERROR(INDEX('Semrush Data'!$A$1:$Z$20000,MATCH(A3533,'Semrush Data'!$A$1:$A$20000,0),MATCH("Volume",'Semrush Data'!$A$1:$Z$1,0)),"")</f>
        <v/>
      </c>
      <c r="H3533" s="42">
        <f>IFERROR(INDEX('Semrush Data'!$A$1:$Z$20000,MATCH(A3533,'Semrush Data'!$A$1:$A$20000,0),MATCH("Keyword Difficulty*",'Semrush Data'!$A$1:$Z$1,0)),"")</f>
        <v/>
      </c>
      <c r="I3533" s="56">
        <f>IFERROR(INDEX('Semrush Data'!$A$1:$Z$20000,MATCH(A3533,'Semrush Data'!$A$1:$A$20000,0),MATCH("CPC*",'Semrush Data'!$A$1:$Z$1,0)),"")</f>
        <v/>
      </c>
      <c r="J3533" s="42">
        <f>IFERROR(INDEX('Semrush Data'!$A$1:$Z$20000,MATCH(A3533,'Semrush Data'!$A$1:$A$20000,0),MATCH("Intent",'Semrush Data'!$A$1:$Z$1,0)),"")</f>
        <v/>
      </c>
    </row>
    <row r="3534" ht="15" customHeight="1" s="37">
      <c r="A3534" s="42" t="inlineStr">
        <is>
          <t>hemel valley of diamond price</t>
        </is>
      </c>
      <c r="B3534" s="42" t="inlineStr">
        <is>
          <t>Price</t>
        </is>
      </c>
      <c r="C3534" s="42" t="n">
        <v>3</v>
      </c>
      <c r="D3534" s="42" t="n">
        <v>36</v>
      </c>
      <c r="E3534" s="42" t="n">
        <v>2</v>
      </c>
      <c r="F3534" s="42" t="inlineStr">
        <is>
          <t>FR-253, FR-254</t>
        </is>
      </c>
      <c r="G3534" s="55">
        <f>IFERROR(INDEX('Semrush Data'!$A$1:$Z$20000,MATCH(A3534,'Semrush Data'!$A$1:$A$20000,0),MATCH("Volume",'Semrush Data'!$A$1:$Z$1,0)),"")</f>
        <v/>
      </c>
      <c r="H3534" s="42">
        <f>IFERROR(INDEX('Semrush Data'!$A$1:$Z$20000,MATCH(A3534,'Semrush Data'!$A$1:$A$20000,0),MATCH("Keyword Difficulty*",'Semrush Data'!$A$1:$Z$1,0)),"")</f>
        <v/>
      </c>
      <c r="I3534" s="56">
        <f>IFERROR(INDEX('Semrush Data'!$A$1:$Z$20000,MATCH(A3534,'Semrush Data'!$A$1:$A$20000,0),MATCH("CPC*",'Semrush Data'!$A$1:$Z$1,0)),"")</f>
        <v/>
      </c>
      <c r="J3534" s="42">
        <f>IFERROR(INDEX('Semrush Data'!$A$1:$Z$20000,MATCH(A3534,'Semrush Data'!$A$1:$A$20000,0),MATCH("Intent",'Semrush Data'!$A$1:$Z$1,0)),"")</f>
        <v/>
      </c>
    </row>
    <row r="3535" ht="15" customHeight="1" s="37">
      <c r="A3535" s="42" t="inlineStr">
        <is>
          <t>hermes hermes un jardin a cythere miniature price</t>
        </is>
      </c>
      <c r="B3535" s="42" t="inlineStr">
        <is>
          <t>Price</t>
        </is>
      </c>
      <c r="C3535" s="42" t="n">
        <v>3</v>
      </c>
      <c r="D3535" s="42" t="n">
        <v>36</v>
      </c>
      <c r="E3535" s="42" t="n">
        <v>1</v>
      </c>
      <c r="F3535" s="42" t="inlineStr">
        <is>
          <t>FR-255</t>
        </is>
      </c>
      <c r="G3535" s="55">
        <f>IFERROR(INDEX('Semrush Data'!$A$1:$Z$20000,MATCH(A3535,'Semrush Data'!$A$1:$A$20000,0),MATCH("Volume",'Semrush Data'!$A$1:$Z$1,0)),"")</f>
        <v/>
      </c>
      <c r="H3535" s="42">
        <f>IFERROR(INDEX('Semrush Data'!$A$1:$Z$20000,MATCH(A3535,'Semrush Data'!$A$1:$A$20000,0),MATCH("Keyword Difficulty*",'Semrush Data'!$A$1:$Z$1,0)),"")</f>
        <v/>
      </c>
      <c r="I3535" s="56">
        <f>IFERROR(INDEX('Semrush Data'!$A$1:$Z$20000,MATCH(A3535,'Semrush Data'!$A$1:$A$20000,0),MATCH("CPC*",'Semrush Data'!$A$1:$Z$1,0)),"")</f>
        <v/>
      </c>
      <c r="J3535" s="42">
        <f>IFERROR(INDEX('Semrush Data'!$A$1:$Z$20000,MATCH(A3535,'Semrush Data'!$A$1:$A$20000,0),MATCH("Intent",'Semrush Data'!$A$1:$Z$1,0)),"")</f>
        <v/>
      </c>
    </row>
    <row r="3536" ht="15" customHeight="1" s="37">
      <c r="A3536" s="42" t="inlineStr">
        <is>
          <t>hermes miniature gift set 4 x fragrances price</t>
        </is>
      </c>
      <c r="B3536" s="42" t="inlineStr">
        <is>
          <t>Price</t>
        </is>
      </c>
      <c r="C3536" s="42" t="n">
        <v>3</v>
      </c>
      <c r="D3536" s="42" t="n">
        <v>36</v>
      </c>
      <c r="E3536" s="42" t="n">
        <v>1</v>
      </c>
      <c r="F3536" s="42" t="inlineStr">
        <is>
          <t>FR-340</t>
        </is>
      </c>
      <c r="G3536" s="55">
        <f>IFERROR(INDEX('Semrush Data'!$A$1:$Z$20000,MATCH(A3536,'Semrush Data'!$A$1:$A$20000,0),MATCH("Volume",'Semrush Data'!$A$1:$Z$1,0)),"")</f>
        <v/>
      </c>
      <c r="H3536" s="42">
        <f>IFERROR(INDEX('Semrush Data'!$A$1:$Z$20000,MATCH(A3536,'Semrush Data'!$A$1:$A$20000,0),MATCH("Keyword Difficulty*",'Semrush Data'!$A$1:$Z$1,0)),"")</f>
        <v/>
      </c>
      <c r="I3536" s="56">
        <f>IFERROR(INDEX('Semrush Data'!$A$1:$Z$20000,MATCH(A3536,'Semrush Data'!$A$1:$A$20000,0),MATCH("CPC*",'Semrush Data'!$A$1:$Z$1,0)),"")</f>
        <v/>
      </c>
      <c r="J3536" s="42">
        <f>IFERROR(INDEX('Semrush Data'!$A$1:$Z$20000,MATCH(A3536,'Semrush Data'!$A$1:$A$20000,0),MATCH("Intent",'Semrush Data'!$A$1:$Z$1,0)),"")</f>
        <v/>
      </c>
    </row>
    <row r="3537" ht="15" customHeight="1" s="37">
      <c r="A3537" s="42" t="inlineStr">
        <is>
          <t>hermes un jardin a cythere miniature price</t>
        </is>
      </c>
      <c r="B3537" s="42" t="inlineStr">
        <is>
          <t>Price</t>
        </is>
      </c>
      <c r="C3537" s="42" t="n">
        <v>3</v>
      </c>
      <c r="D3537" s="42" t="n">
        <v>36</v>
      </c>
      <c r="E3537" s="42" t="n">
        <v>1</v>
      </c>
      <c r="F3537" s="42" t="inlineStr">
        <is>
          <t>FR-338</t>
        </is>
      </c>
      <c r="G3537" s="55">
        <f>IFERROR(INDEX('Semrush Data'!$A$1:$Z$20000,MATCH(A3537,'Semrush Data'!$A$1:$A$20000,0),MATCH("Volume",'Semrush Data'!$A$1:$Z$1,0)),"")</f>
        <v/>
      </c>
      <c r="H3537" s="42">
        <f>IFERROR(INDEX('Semrush Data'!$A$1:$Z$20000,MATCH(A3537,'Semrush Data'!$A$1:$A$20000,0),MATCH("Keyword Difficulty*",'Semrush Data'!$A$1:$Z$1,0)),"")</f>
        <v/>
      </c>
      <c r="I3537" s="56">
        <f>IFERROR(INDEX('Semrush Data'!$A$1:$Z$20000,MATCH(A3537,'Semrush Data'!$A$1:$A$20000,0),MATCH("CPC*",'Semrush Data'!$A$1:$Z$1,0)),"")</f>
        <v/>
      </c>
      <c r="J3537" s="42">
        <f>IFERROR(INDEX('Semrush Data'!$A$1:$Z$20000,MATCH(A3537,'Semrush Data'!$A$1:$A$20000,0),MATCH("Intent",'Semrush Data'!$A$1:$Z$1,0)),"")</f>
        <v/>
      </c>
    </row>
    <row r="3538" ht="15" customHeight="1" s="37">
      <c r="A3538" s="42" t="inlineStr">
        <is>
          <t>hermes un jardin en mediterranee miniature price</t>
        </is>
      </c>
      <c r="B3538" s="42" t="inlineStr">
        <is>
          <t>Price</t>
        </is>
      </c>
      <c r="C3538" s="42" t="n">
        <v>3</v>
      </c>
      <c r="D3538" s="42" t="n">
        <v>36</v>
      </c>
      <c r="E3538" s="42" t="n">
        <v>1</v>
      </c>
      <c r="F3538" s="42" t="inlineStr">
        <is>
          <t>FR-336</t>
        </is>
      </c>
      <c r="G3538" s="55">
        <f>IFERROR(INDEX('Semrush Data'!$A$1:$Z$20000,MATCH(A3538,'Semrush Data'!$A$1:$A$20000,0),MATCH("Volume",'Semrush Data'!$A$1:$Z$1,0)),"")</f>
        <v/>
      </c>
      <c r="H3538" s="42">
        <f>IFERROR(INDEX('Semrush Data'!$A$1:$Z$20000,MATCH(A3538,'Semrush Data'!$A$1:$A$20000,0),MATCH("Keyword Difficulty*",'Semrush Data'!$A$1:$Z$1,0)),"")</f>
        <v/>
      </c>
      <c r="I3538" s="56">
        <f>IFERROR(INDEX('Semrush Data'!$A$1:$Z$20000,MATCH(A3538,'Semrush Data'!$A$1:$A$20000,0),MATCH("CPC*",'Semrush Data'!$A$1:$Z$1,0)),"")</f>
        <v/>
      </c>
      <c r="J3538" s="42">
        <f>IFERROR(INDEX('Semrush Data'!$A$1:$Z$20000,MATCH(A3538,'Semrush Data'!$A$1:$A$20000,0),MATCH("Intent",'Semrush Data'!$A$1:$Z$1,0)),"")</f>
        <v/>
      </c>
    </row>
    <row r="3539" ht="15" customHeight="1" s="37">
      <c r="A3539" s="42" t="inlineStr">
        <is>
          <t>hermes un jardin sur le toit miniature price</t>
        </is>
      </c>
      <c r="B3539" s="42" t="inlineStr">
        <is>
          <t>Price</t>
        </is>
      </c>
      <c r="C3539" s="42" t="n">
        <v>3</v>
      </c>
      <c r="D3539" s="42" t="n">
        <v>36</v>
      </c>
      <c r="E3539" s="42" t="n">
        <v>1</v>
      </c>
      <c r="F3539" s="42" t="inlineStr">
        <is>
          <t>FR-337</t>
        </is>
      </c>
      <c r="G3539" s="55">
        <f>IFERROR(INDEX('Semrush Data'!$A$1:$Z$20000,MATCH(A3539,'Semrush Data'!$A$1:$A$20000,0),MATCH("Volume",'Semrush Data'!$A$1:$Z$1,0)),"")</f>
        <v/>
      </c>
      <c r="H3539" s="42">
        <f>IFERROR(INDEX('Semrush Data'!$A$1:$Z$20000,MATCH(A3539,'Semrush Data'!$A$1:$A$20000,0),MATCH("Keyword Difficulty*",'Semrush Data'!$A$1:$Z$1,0)),"")</f>
        <v/>
      </c>
      <c r="I3539" s="56">
        <f>IFERROR(INDEX('Semrush Data'!$A$1:$Z$20000,MATCH(A3539,'Semrush Data'!$A$1:$A$20000,0),MATCH("CPC*",'Semrush Data'!$A$1:$Z$1,0)),"")</f>
        <v/>
      </c>
      <c r="J3539" s="42">
        <f>IFERROR(INDEX('Semrush Data'!$A$1:$Z$20000,MATCH(A3539,'Semrush Data'!$A$1:$A$20000,0),MATCH("Intent",'Semrush Data'!$A$1:$Z$1,0)),"")</f>
        <v/>
      </c>
    </row>
    <row r="3540" ht="15" customHeight="1" s="37">
      <c r="A3540" s="42" t="inlineStr">
        <is>
          <t>hollister festival vibes price</t>
        </is>
      </c>
      <c r="B3540" s="42" t="inlineStr">
        <is>
          <t>Price</t>
        </is>
      </c>
      <c r="C3540" s="42" t="n">
        <v>3</v>
      </c>
      <c r="D3540" s="42" t="n">
        <v>36</v>
      </c>
      <c r="E3540" s="42" t="n">
        <v>1</v>
      </c>
      <c r="F3540" s="42" t="inlineStr">
        <is>
          <t>FR-256</t>
        </is>
      </c>
      <c r="G3540" s="55">
        <f>IFERROR(INDEX('Semrush Data'!$A$1:$Z$20000,MATCH(A3540,'Semrush Data'!$A$1:$A$20000,0),MATCH("Volume",'Semrush Data'!$A$1:$Z$1,0)),"")</f>
        <v/>
      </c>
      <c r="H3540" s="42">
        <f>IFERROR(INDEX('Semrush Data'!$A$1:$Z$20000,MATCH(A3540,'Semrush Data'!$A$1:$A$20000,0),MATCH("Keyword Difficulty*",'Semrush Data'!$A$1:$Z$1,0)),"")</f>
        <v/>
      </c>
      <c r="I3540" s="56">
        <f>IFERROR(INDEX('Semrush Data'!$A$1:$Z$20000,MATCH(A3540,'Semrush Data'!$A$1:$A$20000,0),MATCH("CPC*",'Semrush Data'!$A$1:$Z$1,0)),"")</f>
        <v/>
      </c>
      <c r="J3540" s="42">
        <f>IFERROR(INDEX('Semrush Data'!$A$1:$Z$20000,MATCH(A3540,'Semrush Data'!$A$1:$A$20000,0),MATCH("Intent",'Semrush Data'!$A$1:$Z$1,0)),"")</f>
        <v/>
      </c>
    </row>
    <row r="3541" ht="15" customHeight="1" s="37">
      <c r="A3541" s="42" t="inlineStr">
        <is>
          <t>hugo boss alive price</t>
        </is>
      </c>
      <c r="B3541" s="42" t="inlineStr">
        <is>
          <t>Price</t>
        </is>
      </c>
      <c r="C3541" s="42" t="n">
        <v>3</v>
      </c>
      <c r="D3541" s="42" t="n">
        <v>36</v>
      </c>
      <c r="E3541" s="42" t="n">
        <v>1</v>
      </c>
      <c r="F3541" s="42" t="inlineStr">
        <is>
          <t>FR-261</t>
        </is>
      </c>
      <c r="G3541" s="55">
        <f>IFERROR(INDEX('Semrush Data'!$A$1:$Z$20000,MATCH(A3541,'Semrush Data'!$A$1:$A$20000,0),MATCH("Volume",'Semrush Data'!$A$1:$Z$1,0)),"")</f>
        <v/>
      </c>
      <c r="H3541" s="42">
        <f>IFERROR(INDEX('Semrush Data'!$A$1:$Z$20000,MATCH(A3541,'Semrush Data'!$A$1:$A$20000,0),MATCH("Keyword Difficulty*",'Semrush Data'!$A$1:$Z$1,0)),"")</f>
        <v/>
      </c>
      <c r="I3541" s="56">
        <f>IFERROR(INDEX('Semrush Data'!$A$1:$Z$20000,MATCH(A3541,'Semrush Data'!$A$1:$A$20000,0),MATCH("CPC*",'Semrush Data'!$A$1:$Z$1,0)),"")</f>
        <v/>
      </c>
      <c r="J3541" s="42">
        <f>IFERROR(INDEX('Semrush Data'!$A$1:$Z$20000,MATCH(A3541,'Semrush Data'!$A$1:$A$20000,0),MATCH("Intent",'Semrush Data'!$A$1:$Z$1,0)),"")</f>
        <v/>
      </c>
    </row>
    <row r="3542" ht="15" customHeight="1" s="37">
      <c r="A3542" s="42" t="inlineStr">
        <is>
          <t>hugo boss boss the scent tester price</t>
        </is>
      </c>
      <c r="B3542" s="42" t="inlineStr">
        <is>
          <t>Price</t>
        </is>
      </c>
      <c r="C3542" s="42" t="n">
        <v>3</v>
      </c>
      <c r="D3542" s="42" t="n">
        <v>36</v>
      </c>
      <c r="E3542" s="42" t="n">
        <v>1</v>
      </c>
      <c r="F3542" s="42" t="inlineStr">
        <is>
          <t>FR-259</t>
        </is>
      </c>
      <c r="G3542" s="55">
        <f>IFERROR(INDEX('Semrush Data'!$A$1:$Z$20000,MATCH(A3542,'Semrush Data'!$A$1:$A$20000,0),MATCH("Volume",'Semrush Data'!$A$1:$Z$1,0)),"")</f>
        <v/>
      </c>
      <c r="H3542" s="42">
        <f>IFERROR(INDEX('Semrush Data'!$A$1:$Z$20000,MATCH(A3542,'Semrush Data'!$A$1:$A$20000,0),MATCH("Keyword Difficulty*",'Semrush Data'!$A$1:$Z$1,0)),"")</f>
        <v/>
      </c>
      <c r="I3542" s="56">
        <f>IFERROR(INDEX('Semrush Data'!$A$1:$Z$20000,MATCH(A3542,'Semrush Data'!$A$1:$A$20000,0),MATCH("CPC*",'Semrush Data'!$A$1:$Z$1,0)),"")</f>
        <v/>
      </c>
      <c r="J3542" s="42">
        <f>IFERROR(INDEX('Semrush Data'!$A$1:$Z$20000,MATCH(A3542,'Semrush Data'!$A$1:$A$20000,0),MATCH("Intent",'Semrush Data'!$A$1:$Z$1,0)),"")</f>
        <v/>
      </c>
    </row>
    <row r="3543" ht="15" customHeight="1" s="37">
      <c r="A3543" s="42" t="inlineStr">
        <is>
          <t>hugo boss bottled price</t>
        </is>
      </c>
      <c r="B3543" s="42" t="inlineStr">
        <is>
          <t>Price</t>
        </is>
      </c>
      <c r="C3543" s="42" t="n">
        <v>3</v>
      </c>
      <c r="D3543" s="42" t="inlineStr">
        <is>
          <t>T3-1</t>
        </is>
      </c>
      <c r="E3543" s="42" t="n">
        <v>1</v>
      </c>
      <c r="F3543" s="42" t="inlineStr">
        <is>
          <t>FR-257</t>
        </is>
      </c>
      <c r="G3543" s="55">
        <f>IFERROR(INDEX('Semrush Data'!$A$1:$Z$20000,MATCH(A3543,'Semrush Data'!$A$1:$A$20000,0),MATCH("Volume",'Semrush Data'!$A$1:$Z$1,0)),"")</f>
        <v/>
      </c>
      <c r="H3543" s="42">
        <f>IFERROR(INDEX('Semrush Data'!$A$1:$Z$20000,MATCH(A3543,'Semrush Data'!$A$1:$A$20000,0),MATCH("Keyword Difficulty*",'Semrush Data'!$A$1:$Z$1,0)),"")</f>
        <v/>
      </c>
      <c r="I3543" s="56">
        <f>IFERROR(INDEX('Semrush Data'!$A$1:$Z$20000,MATCH(A3543,'Semrush Data'!$A$1:$A$20000,0),MATCH("CPC*",'Semrush Data'!$A$1:$Z$1,0)),"")</f>
        <v/>
      </c>
      <c r="J3543" s="42">
        <f>IFERROR(INDEX('Semrush Data'!$A$1:$Z$20000,MATCH(A3543,'Semrush Data'!$A$1:$A$20000,0),MATCH("Intent",'Semrush Data'!$A$1:$Z$1,0)),"")</f>
        <v/>
      </c>
    </row>
    <row r="3544" ht="15" customHeight="1" s="37">
      <c r="A3544" s="42" t="inlineStr">
        <is>
          <t>hugo boss hugo man price</t>
        </is>
      </c>
      <c r="B3544" s="42" t="inlineStr">
        <is>
          <t>Price</t>
        </is>
      </c>
      <c r="C3544" s="42" t="n">
        <v>3</v>
      </c>
      <c r="D3544" s="42" t="n">
        <v>36</v>
      </c>
      <c r="E3544" s="42" t="n">
        <v>1</v>
      </c>
      <c r="F3544" s="42" t="inlineStr">
        <is>
          <t>FR-260</t>
        </is>
      </c>
      <c r="G3544" s="55">
        <f>IFERROR(INDEX('Semrush Data'!$A$1:$Z$20000,MATCH(A3544,'Semrush Data'!$A$1:$A$20000,0),MATCH("Volume",'Semrush Data'!$A$1:$Z$1,0)),"")</f>
        <v/>
      </c>
      <c r="H3544" s="42">
        <f>IFERROR(INDEX('Semrush Data'!$A$1:$Z$20000,MATCH(A3544,'Semrush Data'!$A$1:$A$20000,0),MATCH("Keyword Difficulty*",'Semrush Data'!$A$1:$Z$1,0)),"")</f>
        <v/>
      </c>
      <c r="I3544" s="56">
        <f>IFERROR(INDEX('Semrush Data'!$A$1:$Z$20000,MATCH(A3544,'Semrush Data'!$A$1:$A$20000,0),MATCH("CPC*",'Semrush Data'!$A$1:$Z$1,0)),"")</f>
        <v/>
      </c>
      <c r="J3544" s="42">
        <f>IFERROR(INDEX('Semrush Data'!$A$1:$Z$20000,MATCH(A3544,'Semrush Data'!$A$1:$A$20000,0),MATCH("Intent",'Semrush Data'!$A$1:$Z$1,0)),"")</f>
        <v/>
      </c>
    </row>
    <row r="3545" ht="15" customHeight="1" s="37">
      <c r="A3545" s="42" t="inlineStr">
        <is>
          <t>hugo boss the collection confident oud intense price</t>
        </is>
      </c>
      <c r="B3545" s="42" t="inlineStr">
        <is>
          <t>Price</t>
        </is>
      </c>
      <c r="C3545" s="42" t="n">
        <v>3</v>
      </c>
      <c r="D3545" s="42" t="n">
        <v>36</v>
      </c>
      <c r="E3545" s="42" t="n">
        <v>1</v>
      </c>
      <c r="F3545" s="42" t="inlineStr">
        <is>
          <t>FR-258</t>
        </is>
      </c>
      <c r="G3545" s="55">
        <f>IFERROR(INDEX('Semrush Data'!$A$1:$Z$20000,MATCH(A3545,'Semrush Data'!$A$1:$A$20000,0),MATCH("Volume",'Semrush Data'!$A$1:$Z$1,0)),"")</f>
        <v/>
      </c>
      <c r="H3545" s="42">
        <f>IFERROR(INDEX('Semrush Data'!$A$1:$Z$20000,MATCH(A3545,'Semrush Data'!$A$1:$A$20000,0),MATCH("Keyword Difficulty*",'Semrush Data'!$A$1:$Z$1,0)),"")</f>
        <v/>
      </c>
      <c r="I3545" s="56">
        <f>IFERROR(INDEX('Semrush Data'!$A$1:$Z$20000,MATCH(A3545,'Semrush Data'!$A$1:$A$20000,0),MATCH("CPC*",'Semrush Data'!$A$1:$Z$1,0)),"")</f>
        <v/>
      </c>
      <c r="J3545" s="42">
        <f>IFERROR(INDEX('Semrush Data'!$A$1:$Z$20000,MATCH(A3545,'Semrush Data'!$A$1:$A$20000,0),MATCH("Intent",'Semrush Data'!$A$1:$Z$1,0)),"")</f>
        <v/>
      </c>
    </row>
    <row r="3546" ht="15" customHeight="1" s="37">
      <c r="A3546" s="42" t="inlineStr">
        <is>
          <t>jean paul gaultier classique perfumed shower gel price</t>
        </is>
      </c>
      <c r="B3546" s="42" t="inlineStr">
        <is>
          <t>Price</t>
        </is>
      </c>
      <c r="C3546" s="42" t="n">
        <v>3</v>
      </c>
      <c r="D3546" s="42" t="n">
        <v>36</v>
      </c>
      <c r="E3546" s="42" t="n">
        <v>1</v>
      </c>
      <c r="F3546" s="42" t="inlineStr">
        <is>
          <t>FR-263</t>
        </is>
      </c>
      <c r="G3546" s="55">
        <f>IFERROR(INDEX('Semrush Data'!$A$1:$Z$20000,MATCH(A3546,'Semrush Data'!$A$1:$A$20000,0),MATCH("Volume",'Semrush Data'!$A$1:$Z$1,0)),"")</f>
        <v/>
      </c>
      <c r="H3546" s="42">
        <f>IFERROR(INDEX('Semrush Data'!$A$1:$Z$20000,MATCH(A3546,'Semrush Data'!$A$1:$A$20000,0),MATCH("Keyword Difficulty*",'Semrush Data'!$A$1:$Z$1,0)),"")</f>
        <v/>
      </c>
      <c r="I3546" s="56">
        <f>IFERROR(INDEX('Semrush Data'!$A$1:$Z$20000,MATCH(A3546,'Semrush Data'!$A$1:$A$20000,0),MATCH("CPC*",'Semrush Data'!$A$1:$Z$1,0)),"")</f>
        <v/>
      </c>
      <c r="J3546" s="42">
        <f>IFERROR(INDEX('Semrush Data'!$A$1:$Z$20000,MATCH(A3546,'Semrush Data'!$A$1:$A$20000,0),MATCH("Intent",'Semrush Data'!$A$1:$Z$1,0)),"")</f>
        <v/>
      </c>
    </row>
    <row r="3547" ht="15" customHeight="1" s="37">
      <c r="A3547" s="42" t="inlineStr">
        <is>
          <t>jean paul gaultier scandal gold price</t>
        </is>
      </c>
      <c r="B3547" s="42" t="inlineStr">
        <is>
          <t>Price</t>
        </is>
      </c>
      <c r="C3547" s="42" t="n">
        <v>3</v>
      </c>
      <c r="D3547" s="42" t="n">
        <v>36</v>
      </c>
      <c r="E3547" s="42" t="n">
        <v>1</v>
      </c>
      <c r="F3547" s="42" t="inlineStr">
        <is>
          <t>FR-262</t>
        </is>
      </c>
      <c r="G3547" s="55">
        <f>IFERROR(INDEX('Semrush Data'!$A$1:$Z$20000,MATCH(A3547,'Semrush Data'!$A$1:$A$20000,0),MATCH("Volume",'Semrush Data'!$A$1:$Z$1,0)),"")</f>
        <v/>
      </c>
      <c r="H3547" s="42">
        <f>IFERROR(INDEX('Semrush Data'!$A$1:$Z$20000,MATCH(A3547,'Semrush Data'!$A$1:$A$20000,0),MATCH("Keyword Difficulty*",'Semrush Data'!$A$1:$Z$1,0)),"")</f>
        <v/>
      </c>
      <c r="I3547" s="56">
        <f>IFERROR(INDEX('Semrush Data'!$A$1:$Z$20000,MATCH(A3547,'Semrush Data'!$A$1:$A$20000,0),MATCH("CPC*",'Semrush Data'!$A$1:$Z$1,0)),"")</f>
        <v/>
      </c>
      <c r="J3547" s="42">
        <f>IFERROR(INDEX('Semrush Data'!$A$1:$Z$20000,MATCH(A3547,'Semrush Data'!$A$1:$A$20000,0),MATCH("Intent",'Semrush Data'!$A$1:$Z$1,0)),"")</f>
        <v/>
      </c>
    </row>
    <row r="3548" ht="15" customHeight="1" s="37">
      <c r="A3548" s="42" t="inlineStr">
        <is>
          <t>jimmy choo i want choo forever miniature price</t>
        </is>
      </c>
      <c r="B3548" s="42" t="inlineStr">
        <is>
          <t>Price</t>
        </is>
      </c>
      <c r="C3548" s="42" t="n">
        <v>3</v>
      </c>
      <c r="D3548" s="42" t="n">
        <v>36</v>
      </c>
      <c r="E3548" s="42" t="n">
        <v>1</v>
      </c>
      <c r="F3548" s="42" t="inlineStr">
        <is>
          <t>FR-264</t>
        </is>
      </c>
      <c r="G3548" s="55">
        <f>IFERROR(INDEX('Semrush Data'!$A$1:$Z$20000,MATCH(A3548,'Semrush Data'!$A$1:$A$20000,0),MATCH("Volume",'Semrush Data'!$A$1:$Z$1,0)),"")</f>
        <v/>
      </c>
      <c r="H3548" s="42">
        <f>IFERROR(INDEX('Semrush Data'!$A$1:$Z$20000,MATCH(A3548,'Semrush Data'!$A$1:$A$20000,0),MATCH("Keyword Difficulty*",'Semrush Data'!$A$1:$Z$1,0)),"")</f>
        <v/>
      </c>
      <c r="I3548" s="56">
        <f>IFERROR(INDEX('Semrush Data'!$A$1:$Z$20000,MATCH(A3548,'Semrush Data'!$A$1:$A$20000,0),MATCH("CPC*",'Semrush Data'!$A$1:$Z$1,0)),"")</f>
        <v/>
      </c>
      <c r="J3548" s="42">
        <f>IFERROR(INDEX('Semrush Data'!$A$1:$Z$20000,MATCH(A3548,'Semrush Data'!$A$1:$A$20000,0),MATCH("Intent",'Semrush Data'!$A$1:$Z$1,0)),"")</f>
        <v/>
      </c>
    </row>
    <row r="3549" ht="15" customHeight="1" s="37">
      <c r="A3549" s="42" t="inlineStr">
        <is>
          <t>jimmy choo miniature gift set 5x4. price</t>
        </is>
      </c>
      <c r="B3549" s="42" t="inlineStr">
        <is>
          <t>Price</t>
        </is>
      </c>
      <c r="C3549" s="42" t="n">
        <v>3</v>
      </c>
      <c r="D3549" s="42" t="n">
        <v>36</v>
      </c>
      <c r="E3549" s="42" t="n">
        <v>1</v>
      </c>
      <c r="F3549" s="42" t="inlineStr">
        <is>
          <t>FR-265</t>
        </is>
      </c>
      <c r="G3549" s="55">
        <f>IFERROR(INDEX('Semrush Data'!$A$1:$Z$20000,MATCH(A3549,'Semrush Data'!$A$1:$A$20000,0),MATCH("Volume",'Semrush Data'!$A$1:$Z$1,0)),"")</f>
        <v/>
      </c>
      <c r="H3549" s="42">
        <f>IFERROR(INDEX('Semrush Data'!$A$1:$Z$20000,MATCH(A3549,'Semrush Data'!$A$1:$A$20000,0),MATCH("Keyword Difficulty*",'Semrush Data'!$A$1:$Z$1,0)),"")</f>
        <v/>
      </c>
      <c r="I3549" s="56">
        <f>IFERROR(INDEX('Semrush Data'!$A$1:$Z$20000,MATCH(A3549,'Semrush Data'!$A$1:$A$20000,0),MATCH("CPC*",'Semrush Data'!$A$1:$Z$1,0)),"")</f>
        <v/>
      </c>
      <c r="J3549" s="42">
        <f>IFERROR(INDEX('Semrush Data'!$A$1:$Z$20000,MATCH(A3549,'Semrush Data'!$A$1:$A$20000,0),MATCH("Intent",'Semrush Data'!$A$1:$Z$1,0)),"")</f>
        <v/>
      </c>
    </row>
    <row r="3550" ht="15" customHeight="1" s="37">
      <c r="A3550" s="42" t="inlineStr">
        <is>
          <t>jo milano game of spades queen for price</t>
        </is>
      </c>
      <c r="B3550" s="42" t="inlineStr">
        <is>
          <t>Price</t>
        </is>
      </c>
      <c r="C3550" s="42" t="n">
        <v>3</v>
      </c>
      <c r="D3550" s="42" t="n">
        <v>36</v>
      </c>
      <c r="E3550" s="42" t="n">
        <v>1</v>
      </c>
      <c r="F3550" s="42" t="inlineStr">
        <is>
          <t>FR-266</t>
        </is>
      </c>
      <c r="G3550" s="55">
        <f>IFERROR(INDEX('Semrush Data'!$A$1:$Z$20000,MATCH(A3550,'Semrush Data'!$A$1:$A$20000,0),MATCH("Volume",'Semrush Data'!$A$1:$Z$1,0)),"")</f>
        <v/>
      </c>
      <c r="H3550" s="42">
        <f>IFERROR(INDEX('Semrush Data'!$A$1:$Z$20000,MATCH(A3550,'Semrush Data'!$A$1:$A$20000,0),MATCH("Keyword Difficulty*",'Semrush Data'!$A$1:$Z$1,0)),"")</f>
        <v/>
      </c>
      <c r="I3550" s="56">
        <f>IFERROR(INDEX('Semrush Data'!$A$1:$Z$20000,MATCH(A3550,'Semrush Data'!$A$1:$A$20000,0),MATCH("CPC*",'Semrush Data'!$A$1:$Z$1,0)),"")</f>
        <v/>
      </c>
      <c r="J3550" s="42">
        <f>IFERROR(INDEX('Semrush Data'!$A$1:$Z$20000,MATCH(A3550,'Semrush Data'!$A$1:$A$20000,0),MATCH("Intent",'Semrush Data'!$A$1:$Z$1,0)),"")</f>
        <v/>
      </c>
    </row>
    <row r="3551" ht="15" customHeight="1" s="37">
      <c r="A3551" s="42" t="inlineStr">
        <is>
          <t>jo milano game of spades wildcard for parfum , 3.4 ounce price</t>
        </is>
      </c>
      <c r="B3551" s="42" t="inlineStr">
        <is>
          <t>Price</t>
        </is>
      </c>
      <c r="C3551" s="42" t="n">
        <v>3</v>
      </c>
      <c r="D3551" s="42" t="n">
        <v>36</v>
      </c>
      <c r="E3551" s="42" t="n">
        <v>1</v>
      </c>
      <c r="F3551" s="42" t="inlineStr">
        <is>
          <t>FR-267</t>
        </is>
      </c>
      <c r="G3551" s="55">
        <f>IFERROR(INDEX('Semrush Data'!$A$1:$Z$20000,MATCH(A3551,'Semrush Data'!$A$1:$A$20000,0),MATCH("Volume",'Semrush Data'!$A$1:$Z$1,0)),"")</f>
        <v/>
      </c>
      <c r="H3551" s="42">
        <f>IFERROR(INDEX('Semrush Data'!$A$1:$Z$20000,MATCH(A3551,'Semrush Data'!$A$1:$A$20000,0),MATCH("Keyword Difficulty*",'Semrush Data'!$A$1:$Z$1,0)),"")</f>
        <v/>
      </c>
      <c r="I3551" s="56">
        <f>IFERROR(INDEX('Semrush Data'!$A$1:$Z$20000,MATCH(A3551,'Semrush Data'!$A$1:$A$20000,0),MATCH("CPC*",'Semrush Data'!$A$1:$Z$1,0)),"")</f>
        <v/>
      </c>
      <c r="J3551" s="42">
        <f>IFERROR(INDEX('Semrush Data'!$A$1:$Z$20000,MATCH(A3551,'Semrush Data'!$A$1:$A$20000,0),MATCH("Intent",'Semrush Data'!$A$1:$Z$1,0)),"")</f>
        <v/>
      </c>
    </row>
    <row r="3552" ht="15" customHeight="1" s="37">
      <c r="A3552" s="42" t="inlineStr">
        <is>
          <t>john varvatos artisan price</t>
        </is>
      </c>
      <c r="B3552" s="42" t="inlineStr">
        <is>
          <t>Price</t>
        </is>
      </c>
      <c r="C3552" s="42" t="n">
        <v>3</v>
      </c>
      <c r="D3552" s="42" t="n">
        <v>36</v>
      </c>
      <c r="E3552" s="42" t="n">
        <v>1</v>
      </c>
      <c r="F3552" s="42" t="inlineStr">
        <is>
          <t>FR-268</t>
        </is>
      </c>
      <c r="G3552" s="55">
        <f>IFERROR(INDEX('Semrush Data'!$A$1:$Z$20000,MATCH(A3552,'Semrush Data'!$A$1:$A$20000,0),MATCH("Volume",'Semrush Data'!$A$1:$Z$1,0)),"")</f>
        <v/>
      </c>
      <c r="H3552" s="42">
        <f>IFERROR(INDEX('Semrush Data'!$A$1:$Z$20000,MATCH(A3552,'Semrush Data'!$A$1:$A$20000,0),MATCH("Keyword Difficulty*",'Semrush Data'!$A$1:$Z$1,0)),"")</f>
        <v/>
      </c>
      <c r="I3552" s="56">
        <f>IFERROR(INDEX('Semrush Data'!$A$1:$Z$20000,MATCH(A3552,'Semrush Data'!$A$1:$A$20000,0),MATCH("CPC*",'Semrush Data'!$A$1:$Z$1,0)),"")</f>
        <v/>
      </c>
      <c r="J3552" s="42">
        <f>IFERROR(INDEX('Semrush Data'!$A$1:$Z$20000,MATCH(A3552,'Semrush Data'!$A$1:$A$20000,0),MATCH("Intent",'Semrush Data'!$A$1:$Z$1,0)),"")</f>
        <v/>
      </c>
    </row>
    <row r="3553" ht="15" customHeight="1" s="37">
      <c r="A3553" s="42" t="inlineStr">
        <is>
          <t>joop! homme le price</t>
        </is>
      </c>
      <c r="B3553" s="42" t="inlineStr">
        <is>
          <t>Price</t>
        </is>
      </c>
      <c r="C3553" s="42" t="n">
        <v>3</v>
      </c>
      <c r="D3553" s="42" t="n">
        <v>36</v>
      </c>
      <c r="E3553" s="42" t="n">
        <v>1</v>
      </c>
      <c r="F3553" s="42" t="inlineStr">
        <is>
          <t>FR-270</t>
        </is>
      </c>
      <c r="G3553" s="55">
        <f>IFERROR(INDEX('Semrush Data'!$A$1:$Z$20000,MATCH(A3553,'Semrush Data'!$A$1:$A$20000,0),MATCH("Volume",'Semrush Data'!$A$1:$Z$1,0)),"")</f>
        <v/>
      </c>
      <c r="H3553" s="42">
        <f>IFERROR(INDEX('Semrush Data'!$A$1:$Z$20000,MATCH(A3553,'Semrush Data'!$A$1:$A$20000,0),MATCH("Keyword Difficulty*",'Semrush Data'!$A$1:$Z$1,0)),"")</f>
        <v/>
      </c>
      <c r="I3553" s="56">
        <f>IFERROR(INDEX('Semrush Data'!$A$1:$Z$20000,MATCH(A3553,'Semrush Data'!$A$1:$A$20000,0),MATCH("CPC*",'Semrush Data'!$A$1:$Z$1,0)),"")</f>
        <v/>
      </c>
      <c r="J3553" s="42">
        <f>IFERROR(INDEX('Semrush Data'!$A$1:$Z$20000,MATCH(A3553,'Semrush Data'!$A$1:$A$20000,0),MATCH("Intent",'Semrush Data'!$A$1:$Z$1,0)),"")</f>
        <v/>
      </c>
    </row>
    <row r="3554" ht="15" customHeight="1" s="37">
      <c r="A3554" s="42" t="inlineStr">
        <is>
          <t>joop! homme price</t>
        </is>
      </c>
      <c r="B3554" s="42" t="inlineStr">
        <is>
          <t>Price</t>
        </is>
      </c>
      <c r="C3554" s="42" t="n">
        <v>3</v>
      </c>
      <c r="D3554" s="42" t="inlineStr">
        <is>
          <t>T3-1</t>
        </is>
      </c>
      <c r="E3554" s="42" t="n">
        <v>1</v>
      </c>
      <c r="F3554" s="42" t="inlineStr">
        <is>
          <t>FR-269</t>
        </is>
      </c>
      <c r="G3554" s="55">
        <f>IFERROR(INDEX('Semrush Data'!$A$1:$Z$20000,MATCH(A3554,'Semrush Data'!$A$1:$A$20000,0),MATCH("Volume",'Semrush Data'!$A$1:$Z$1,0)),"")</f>
        <v/>
      </c>
      <c r="H3554" s="42">
        <f>IFERROR(INDEX('Semrush Data'!$A$1:$Z$20000,MATCH(A3554,'Semrush Data'!$A$1:$A$20000,0),MATCH("Keyword Difficulty*",'Semrush Data'!$A$1:$Z$1,0)),"")</f>
        <v/>
      </c>
      <c r="I3554" s="56">
        <f>IFERROR(INDEX('Semrush Data'!$A$1:$Z$20000,MATCH(A3554,'Semrush Data'!$A$1:$A$20000,0),MATCH("CPC*",'Semrush Data'!$A$1:$Z$1,0)),"")</f>
        <v/>
      </c>
      <c r="J3554" s="42">
        <f>IFERROR(INDEX('Semrush Data'!$A$1:$Z$20000,MATCH(A3554,'Semrush Data'!$A$1:$A$20000,0),MATCH("Intent",'Semrush Data'!$A$1:$Z$1,0)),"")</f>
        <v/>
      </c>
    </row>
    <row r="3555" ht="15" customHeight="1" s="37">
      <c r="A3555" s="42" t="inlineStr">
        <is>
          <t>juicy couture viva la juicy rose price</t>
        </is>
      </c>
      <c r="B3555" s="42" t="inlineStr">
        <is>
          <t>Price</t>
        </is>
      </c>
      <c r="C3555" s="42" t="n">
        <v>3</v>
      </c>
      <c r="D3555" s="42" t="n">
        <v>36</v>
      </c>
      <c r="E3555" s="42" t="n">
        <v>3</v>
      </c>
      <c r="F3555" s="42" t="inlineStr">
        <is>
          <t>FR-271, FR-272, FR-273</t>
        </is>
      </c>
      <c r="G3555" s="55">
        <f>IFERROR(INDEX('Semrush Data'!$A$1:$Z$20000,MATCH(A3555,'Semrush Data'!$A$1:$A$20000,0),MATCH("Volume",'Semrush Data'!$A$1:$Z$1,0)),"")</f>
        <v/>
      </c>
      <c r="H3555" s="42">
        <f>IFERROR(INDEX('Semrush Data'!$A$1:$Z$20000,MATCH(A3555,'Semrush Data'!$A$1:$A$20000,0),MATCH("Keyword Difficulty*",'Semrush Data'!$A$1:$Z$1,0)),"")</f>
        <v/>
      </c>
      <c r="I3555" s="56">
        <f>IFERROR(INDEX('Semrush Data'!$A$1:$Z$20000,MATCH(A3555,'Semrush Data'!$A$1:$A$20000,0),MATCH("CPC*",'Semrush Data'!$A$1:$Z$1,0)),"")</f>
        <v/>
      </c>
      <c r="J3555" s="42">
        <f>IFERROR(INDEX('Semrush Data'!$A$1:$Z$20000,MATCH(A3555,'Semrush Data'!$A$1:$A$20000,0),MATCH("Intent",'Semrush Data'!$A$1:$Z$1,0)),"")</f>
        <v/>
      </c>
    </row>
    <row r="3556" ht="15" customHeight="1" s="37">
      <c r="A3556" s="42" t="inlineStr">
        <is>
          <t>kenneth cole moonlight blue price</t>
        </is>
      </c>
      <c r="B3556" s="42" t="inlineStr">
        <is>
          <t>Price</t>
        </is>
      </c>
      <c r="C3556" s="42" t="n">
        <v>3</v>
      </c>
      <c r="D3556" s="42" t="n">
        <v>36</v>
      </c>
      <c r="E3556" s="42" t="n">
        <v>1</v>
      </c>
      <c r="F3556" s="42" t="inlineStr">
        <is>
          <t>FR-274</t>
        </is>
      </c>
      <c r="G3556" s="55">
        <f>IFERROR(INDEX('Semrush Data'!$A$1:$Z$20000,MATCH(A3556,'Semrush Data'!$A$1:$A$20000,0),MATCH("Volume",'Semrush Data'!$A$1:$Z$1,0)),"")</f>
        <v/>
      </c>
      <c r="H3556" s="42">
        <f>IFERROR(INDEX('Semrush Data'!$A$1:$Z$20000,MATCH(A3556,'Semrush Data'!$A$1:$A$20000,0),MATCH("Keyword Difficulty*",'Semrush Data'!$A$1:$Z$1,0)),"")</f>
        <v/>
      </c>
      <c r="I3556" s="56">
        <f>IFERROR(INDEX('Semrush Data'!$A$1:$Z$20000,MATCH(A3556,'Semrush Data'!$A$1:$A$20000,0),MATCH("CPC*",'Semrush Data'!$A$1:$Z$1,0)),"")</f>
        <v/>
      </c>
      <c r="J3556" s="42">
        <f>IFERROR(INDEX('Semrush Data'!$A$1:$Z$20000,MATCH(A3556,'Semrush Data'!$A$1:$A$20000,0),MATCH("Intent",'Semrush Data'!$A$1:$Z$1,0)),"")</f>
        <v/>
      </c>
    </row>
    <row r="3557" ht="15" customHeight="1" s="37">
      <c r="A3557" s="42" t="inlineStr">
        <is>
          <t>korloff cuir mythique price</t>
        </is>
      </c>
      <c r="B3557" s="42" t="inlineStr">
        <is>
          <t>Price</t>
        </is>
      </c>
      <c r="C3557" s="42" t="n">
        <v>3</v>
      </c>
      <c r="D3557" s="42" t="n">
        <v>36</v>
      </c>
      <c r="E3557" s="42" t="n">
        <v>1</v>
      </c>
      <c r="F3557" s="42" t="inlineStr">
        <is>
          <t>FR-275</t>
        </is>
      </c>
      <c r="G3557" s="55">
        <f>IFERROR(INDEX('Semrush Data'!$A$1:$Z$20000,MATCH(A3557,'Semrush Data'!$A$1:$A$20000,0),MATCH("Volume",'Semrush Data'!$A$1:$Z$1,0)),"")</f>
        <v/>
      </c>
      <c r="H3557" s="42">
        <f>IFERROR(INDEX('Semrush Data'!$A$1:$Z$20000,MATCH(A3557,'Semrush Data'!$A$1:$A$20000,0),MATCH("Keyword Difficulty*",'Semrush Data'!$A$1:$Z$1,0)),"")</f>
        <v/>
      </c>
      <c r="I3557" s="56">
        <f>IFERROR(INDEX('Semrush Data'!$A$1:$Z$20000,MATCH(A3557,'Semrush Data'!$A$1:$A$20000,0),MATCH("CPC*",'Semrush Data'!$A$1:$Z$1,0)),"")</f>
        <v/>
      </c>
      <c r="J3557" s="42">
        <f>IFERROR(INDEX('Semrush Data'!$A$1:$Z$20000,MATCH(A3557,'Semrush Data'!$A$1:$A$20000,0),MATCH("Intent",'Semrush Data'!$A$1:$Z$1,0)),"")</f>
        <v/>
      </c>
    </row>
    <row r="3558" ht="15" customHeight="1" s="37">
      <c r="A3558" s="42" t="inlineStr">
        <is>
          <t>korloff in love price</t>
        </is>
      </c>
      <c r="B3558" s="42" t="inlineStr">
        <is>
          <t>Price</t>
        </is>
      </c>
      <c r="C3558" s="42" t="n">
        <v>3</v>
      </c>
      <c r="D3558" s="42" t="n">
        <v>36</v>
      </c>
      <c r="E3558" s="42" t="n">
        <v>1</v>
      </c>
      <c r="F3558" s="42" t="inlineStr">
        <is>
          <t>FR-276</t>
        </is>
      </c>
      <c r="G3558" s="55">
        <f>IFERROR(INDEX('Semrush Data'!$A$1:$Z$20000,MATCH(A3558,'Semrush Data'!$A$1:$A$20000,0),MATCH("Volume",'Semrush Data'!$A$1:$Z$1,0)),"")</f>
        <v/>
      </c>
      <c r="H3558" s="42">
        <f>IFERROR(INDEX('Semrush Data'!$A$1:$Z$20000,MATCH(A3558,'Semrush Data'!$A$1:$A$20000,0),MATCH("Keyword Difficulty*",'Semrush Data'!$A$1:$Z$1,0)),"")</f>
        <v/>
      </c>
      <c r="I3558" s="56">
        <f>IFERROR(INDEX('Semrush Data'!$A$1:$Z$20000,MATCH(A3558,'Semrush Data'!$A$1:$A$20000,0),MATCH("CPC*",'Semrush Data'!$A$1:$Z$1,0)),"")</f>
        <v/>
      </c>
      <c r="J3558" s="42">
        <f>IFERROR(INDEX('Semrush Data'!$A$1:$Z$20000,MATCH(A3558,'Semrush Data'!$A$1:$A$20000,0),MATCH("Intent",'Semrush Data'!$A$1:$Z$1,0)),"")</f>
        <v/>
      </c>
    </row>
    <row r="3559" ht="15" customHeight="1" s="37">
      <c r="A3559" s="42" t="inlineStr">
        <is>
          <t>korloff in white price</t>
        </is>
      </c>
      <c r="B3559" s="42" t="inlineStr">
        <is>
          <t>Price</t>
        </is>
      </c>
      <c r="C3559" s="42" t="n">
        <v>3</v>
      </c>
      <c r="D3559" s="42" t="n">
        <v>36</v>
      </c>
      <c r="E3559" s="42" t="n">
        <v>1</v>
      </c>
      <c r="F3559" s="42" t="inlineStr">
        <is>
          <t>FR-339</t>
        </is>
      </c>
      <c r="G3559" s="55">
        <f>IFERROR(INDEX('Semrush Data'!$A$1:$Z$20000,MATCH(A3559,'Semrush Data'!$A$1:$A$20000,0),MATCH("Volume",'Semrush Data'!$A$1:$Z$1,0)),"")</f>
        <v/>
      </c>
      <c r="H3559" s="42">
        <f>IFERROR(INDEX('Semrush Data'!$A$1:$Z$20000,MATCH(A3559,'Semrush Data'!$A$1:$A$20000,0),MATCH("Keyword Difficulty*",'Semrush Data'!$A$1:$Z$1,0)),"")</f>
        <v/>
      </c>
      <c r="I3559" s="56">
        <f>IFERROR(INDEX('Semrush Data'!$A$1:$Z$20000,MATCH(A3559,'Semrush Data'!$A$1:$A$20000,0),MATCH("CPC*",'Semrush Data'!$A$1:$Z$1,0)),"")</f>
        <v/>
      </c>
      <c r="J3559" s="42">
        <f>IFERROR(INDEX('Semrush Data'!$A$1:$Z$20000,MATCH(A3559,'Semrush Data'!$A$1:$A$20000,0),MATCH("Intent",'Semrush Data'!$A$1:$Z$1,0)),"")</f>
        <v/>
      </c>
    </row>
    <row r="3560" ht="15" customHeight="1" s="37">
      <c r="A3560" s="42" t="inlineStr">
        <is>
          <t>korloff lady intense price</t>
        </is>
      </c>
      <c r="B3560" s="42" t="inlineStr">
        <is>
          <t>Price</t>
        </is>
      </c>
      <c r="C3560" s="42" t="n">
        <v>3</v>
      </c>
      <c r="D3560" s="42" t="n">
        <v>36</v>
      </c>
      <c r="E3560" s="42" t="n">
        <v>1</v>
      </c>
      <c r="F3560" s="42" t="inlineStr">
        <is>
          <t>FR-277</t>
        </is>
      </c>
      <c r="G3560" s="55">
        <f>IFERROR(INDEX('Semrush Data'!$A$1:$Z$20000,MATCH(A3560,'Semrush Data'!$A$1:$A$20000,0),MATCH("Volume",'Semrush Data'!$A$1:$Z$1,0)),"")</f>
        <v/>
      </c>
      <c r="H3560" s="42">
        <f>IFERROR(INDEX('Semrush Data'!$A$1:$Z$20000,MATCH(A3560,'Semrush Data'!$A$1:$A$20000,0),MATCH("Keyword Difficulty*",'Semrush Data'!$A$1:$Z$1,0)),"")</f>
        <v/>
      </c>
      <c r="I3560" s="56">
        <f>IFERROR(INDEX('Semrush Data'!$A$1:$Z$20000,MATCH(A3560,'Semrush Data'!$A$1:$A$20000,0),MATCH("CPC*",'Semrush Data'!$A$1:$Z$1,0)),"")</f>
        <v/>
      </c>
      <c r="J3560" s="42">
        <f>IFERROR(INDEX('Semrush Data'!$A$1:$Z$20000,MATCH(A3560,'Semrush Data'!$A$1:$A$20000,0),MATCH("Intent",'Semrush Data'!$A$1:$Z$1,0)),"")</f>
        <v/>
      </c>
    </row>
    <row r="3561" ht="15" customHeight="1" s="37">
      <c r="A3561" s="42" t="inlineStr">
        <is>
          <t>korloff miss korloff price</t>
        </is>
      </c>
      <c r="B3561" s="42" t="inlineStr">
        <is>
          <t>Price</t>
        </is>
      </c>
      <c r="C3561" s="42" t="n">
        <v>3</v>
      </c>
      <c r="D3561" s="42" t="n">
        <v>36</v>
      </c>
      <c r="E3561" s="42" t="n">
        <v>1</v>
      </c>
      <c r="F3561" s="42" t="inlineStr">
        <is>
          <t>FR-280</t>
        </is>
      </c>
      <c r="G3561" s="55">
        <f>IFERROR(INDEX('Semrush Data'!$A$1:$Z$20000,MATCH(A3561,'Semrush Data'!$A$1:$A$20000,0),MATCH("Volume",'Semrush Data'!$A$1:$Z$1,0)),"")</f>
        <v/>
      </c>
      <c r="H3561" s="42">
        <f>IFERROR(INDEX('Semrush Data'!$A$1:$Z$20000,MATCH(A3561,'Semrush Data'!$A$1:$A$20000,0),MATCH("Keyword Difficulty*",'Semrush Data'!$A$1:$Z$1,0)),"")</f>
        <v/>
      </c>
      <c r="I3561" s="56">
        <f>IFERROR(INDEX('Semrush Data'!$A$1:$Z$20000,MATCH(A3561,'Semrush Data'!$A$1:$A$20000,0),MATCH("CPC*",'Semrush Data'!$A$1:$Z$1,0)),"")</f>
        <v/>
      </c>
      <c r="J3561" s="42">
        <f>IFERROR(INDEX('Semrush Data'!$A$1:$Z$20000,MATCH(A3561,'Semrush Data'!$A$1:$A$20000,0),MATCH("Intent",'Semrush Data'!$A$1:$Z$1,0)),"")</f>
        <v/>
      </c>
    </row>
    <row r="3562" ht="15" customHeight="1" s="37">
      <c r="A3562" s="42" t="inlineStr">
        <is>
          <t>korloff paris discovery set price</t>
        </is>
      </c>
      <c r="B3562" s="42" t="inlineStr">
        <is>
          <t>Price</t>
        </is>
      </c>
      <c r="C3562" s="42" t="n">
        <v>3</v>
      </c>
      <c r="D3562" s="42" t="n">
        <v>36</v>
      </c>
      <c r="E3562" s="42" t="n">
        <v>1</v>
      </c>
      <c r="F3562" s="42" t="inlineStr">
        <is>
          <t>FR-282</t>
        </is>
      </c>
      <c r="G3562" s="55">
        <f>IFERROR(INDEX('Semrush Data'!$A$1:$Z$20000,MATCH(A3562,'Semrush Data'!$A$1:$A$20000,0),MATCH("Volume",'Semrush Data'!$A$1:$Z$1,0)),"")</f>
        <v/>
      </c>
      <c r="H3562" s="42">
        <f>IFERROR(INDEX('Semrush Data'!$A$1:$Z$20000,MATCH(A3562,'Semrush Data'!$A$1:$A$20000,0),MATCH("Keyword Difficulty*",'Semrush Data'!$A$1:$Z$1,0)),"")</f>
        <v/>
      </c>
      <c r="I3562" s="56">
        <f>IFERROR(INDEX('Semrush Data'!$A$1:$Z$20000,MATCH(A3562,'Semrush Data'!$A$1:$A$20000,0),MATCH("CPC*",'Semrush Data'!$A$1:$Z$1,0)),"")</f>
        <v/>
      </c>
      <c r="J3562" s="42">
        <f>IFERROR(INDEX('Semrush Data'!$A$1:$Z$20000,MATCH(A3562,'Semrush Data'!$A$1:$A$20000,0),MATCH("Intent",'Semrush Data'!$A$1:$Z$1,0)),"")</f>
        <v/>
      </c>
    </row>
    <row r="3563" ht="15" customHeight="1" s="37">
      <c r="A3563" s="42" t="inlineStr">
        <is>
          <t>korloff royal oud korloff paris price</t>
        </is>
      </c>
      <c r="B3563" s="42" t="inlineStr">
        <is>
          <t>Price</t>
        </is>
      </c>
      <c r="C3563" s="42" t="n">
        <v>3</v>
      </c>
      <c r="D3563" s="42" t="n">
        <v>36</v>
      </c>
      <c r="E3563" s="42" t="n">
        <v>1</v>
      </c>
      <c r="F3563" s="42" t="inlineStr">
        <is>
          <t>FR-281</t>
        </is>
      </c>
      <c r="G3563" s="55">
        <f>IFERROR(INDEX('Semrush Data'!$A$1:$Z$20000,MATCH(A3563,'Semrush Data'!$A$1:$A$20000,0),MATCH("Volume",'Semrush Data'!$A$1:$Z$1,0)),"")</f>
        <v/>
      </c>
      <c r="H3563" s="42">
        <f>IFERROR(INDEX('Semrush Data'!$A$1:$Z$20000,MATCH(A3563,'Semrush Data'!$A$1:$A$20000,0),MATCH("Keyword Difficulty*",'Semrush Data'!$A$1:$Z$1,0)),"")</f>
        <v/>
      </c>
      <c r="I3563" s="56">
        <f>IFERROR(INDEX('Semrush Data'!$A$1:$Z$20000,MATCH(A3563,'Semrush Data'!$A$1:$A$20000,0),MATCH("CPC*",'Semrush Data'!$A$1:$Z$1,0)),"")</f>
        <v/>
      </c>
      <c r="J3563" s="42">
        <f>IFERROR(INDEX('Semrush Data'!$A$1:$Z$20000,MATCH(A3563,'Semrush Data'!$A$1:$A$20000,0),MATCH("Intent",'Semrush Data'!$A$1:$Z$1,0)),"")</f>
        <v/>
      </c>
    </row>
    <row r="3564" ht="15" customHeight="1" s="37">
      <c r="A3564" s="42" t="inlineStr">
        <is>
          <t>korloff royal rose price</t>
        </is>
      </c>
      <c r="B3564" s="42" t="inlineStr">
        <is>
          <t>Price</t>
        </is>
      </c>
      <c r="C3564" s="42" t="n">
        <v>3</v>
      </c>
      <c r="D3564" s="42" t="n">
        <v>36</v>
      </c>
      <c r="E3564" s="42" t="n">
        <v>1</v>
      </c>
      <c r="F3564" s="42" t="inlineStr">
        <is>
          <t>FR-278</t>
        </is>
      </c>
      <c r="G3564" s="55">
        <f>IFERROR(INDEX('Semrush Data'!$A$1:$Z$20000,MATCH(A3564,'Semrush Data'!$A$1:$A$20000,0),MATCH("Volume",'Semrush Data'!$A$1:$Z$1,0)),"")</f>
        <v/>
      </c>
      <c r="H3564" s="42">
        <f>IFERROR(INDEX('Semrush Data'!$A$1:$Z$20000,MATCH(A3564,'Semrush Data'!$A$1:$A$20000,0),MATCH("Keyword Difficulty*",'Semrush Data'!$A$1:$Z$1,0)),"")</f>
        <v/>
      </c>
      <c r="I3564" s="56">
        <f>IFERROR(INDEX('Semrush Data'!$A$1:$Z$20000,MATCH(A3564,'Semrush Data'!$A$1:$A$20000,0),MATCH("CPC*",'Semrush Data'!$A$1:$Z$1,0)),"")</f>
        <v/>
      </c>
      <c r="J3564" s="42">
        <f>IFERROR(INDEX('Semrush Data'!$A$1:$Z$20000,MATCH(A3564,'Semrush Data'!$A$1:$A$20000,0),MATCH("Intent",'Semrush Data'!$A$1:$Z$1,0)),"")</f>
        <v/>
      </c>
    </row>
    <row r="3565" ht="15" customHeight="1" s="37">
      <c r="A3565" s="42" t="inlineStr">
        <is>
          <t>korloff un soir a paris price</t>
        </is>
      </c>
      <c r="B3565" s="42" t="inlineStr">
        <is>
          <t>Price</t>
        </is>
      </c>
      <c r="C3565" s="42" t="n">
        <v>3</v>
      </c>
      <c r="D3565" s="42" t="n">
        <v>36</v>
      </c>
      <c r="E3565" s="42" t="n">
        <v>1</v>
      </c>
      <c r="F3565" s="42" t="inlineStr">
        <is>
          <t>FR-279</t>
        </is>
      </c>
      <c r="G3565" s="55">
        <f>IFERROR(INDEX('Semrush Data'!$A$1:$Z$20000,MATCH(A3565,'Semrush Data'!$A$1:$A$20000,0),MATCH("Volume",'Semrush Data'!$A$1:$Z$1,0)),"")</f>
        <v/>
      </c>
      <c r="H3565" s="42">
        <f>IFERROR(INDEX('Semrush Data'!$A$1:$Z$20000,MATCH(A3565,'Semrush Data'!$A$1:$A$20000,0),MATCH("Keyword Difficulty*",'Semrush Data'!$A$1:$Z$1,0)),"")</f>
        <v/>
      </c>
      <c r="I3565" s="56">
        <f>IFERROR(INDEX('Semrush Data'!$A$1:$Z$20000,MATCH(A3565,'Semrush Data'!$A$1:$A$20000,0),MATCH("CPC*",'Semrush Data'!$A$1:$Z$1,0)),"")</f>
        <v/>
      </c>
      <c r="J3565" s="42">
        <f>IFERROR(INDEX('Semrush Data'!$A$1:$Z$20000,MATCH(A3565,'Semrush Data'!$A$1:$A$20000,0),MATCH("Intent",'Semrush Data'!$A$1:$Z$1,0)),"")</f>
        <v/>
      </c>
    </row>
    <row r="3566" ht="15" customHeight="1" s="37">
      <c r="A3566" s="42" t="inlineStr">
        <is>
          <t>la maison de la vanille absolu de vanille price</t>
        </is>
      </c>
      <c r="B3566" s="42" t="inlineStr">
        <is>
          <t>Price</t>
        </is>
      </c>
      <c r="C3566" s="42" t="n">
        <v>3</v>
      </c>
      <c r="D3566" s="42" t="n">
        <v>36</v>
      </c>
      <c r="E3566" s="42" t="n">
        <v>1</v>
      </c>
      <c r="F3566" s="42" t="inlineStr">
        <is>
          <t>FR-283</t>
        </is>
      </c>
      <c r="G3566" s="55">
        <f>IFERROR(INDEX('Semrush Data'!$A$1:$Z$20000,MATCH(A3566,'Semrush Data'!$A$1:$A$20000,0),MATCH("Volume",'Semrush Data'!$A$1:$Z$1,0)),"")</f>
        <v/>
      </c>
      <c r="H3566" s="42">
        <f>IFERROR(INDEX('Semrush Data'!$A$1:$Z$20000,MATCH(A3566,'Semrush Data'!$A$1:$A$20000,0),MATCH("Keyword Difficulty*",'Semrush Data'!$A$1:$Z$1,0)),"")</f>
        <v/>
      </c>
      <c r="I3566" s="56">
        <f>IFERROR(INDEX('Semrush Data'!$A$1:$Z$20000,MATCH(A3566,'Semrush Data'!$A$1:$A$20000,0),MATCH("CPC*",'Semrush Data'!$A$1:$Z$1,0)),"")</f>
        <v/>
      </c>
      <c r="J3566" s="42">
        <f>IFERROR(INDEX('Semrush Data'!$A$1:$Z$20000,MATCH(A3566,'Semrush Data'!$A$1:$A$20000,0),MATCH("Intent",'Semrush Data'!$A$1:$Z$1,0)),"")</f>
        <v/>
      </c>
    </row>
    <row r="3567" ht="15" customHeight="1" s="37">
      <c r="A3567" s="42" t="inlineStr">
        <is>
          <t>la maison de la vanille ambre secret price</t>
        </is>
      </c>
      <c r="B3567" s="42" t="inlineStr">
        <is>
          <t>Price</t>
        </is>
      </c>
      <c r="C3567" s="42" t="n">
        <v>3</v>
      </c>
      <c r="D3567" s="42" t="n">
        <v>36</v>
      </c>
      <c r="E3567" s="42" t="n">
        <v>1</v>
      </c>
      <c r="F3567" s="42" t="inlineStr">
        <is>
          <t>FR-284</t>
        </is>
      </c>
      <c r="G3567" s="55">
        <f>IFERROR(INDEX('Semrush Data'!$A$1:$Z$20000,MATCH(A3567,'Semrush Data'!$A$1:$A$20000,0),MATCH("Volume",'Semrush Data'!$A$1:$Z$1,0)),"")</f>
        <v/>
      </c>
      <c r="H3567" s="42">
        <f>IFERROR(INDEX('Semrush Data'!$A$1:$Z$20000,MATCH(A3567,'Semrush Data'!$A$1:$A$20000,0),MATCH("Keyword Difficulty*",'Semrush Data'!$A$1:$Z$1,0)),"")</f>
        <v/>
      </c>
      <c r="I3567" s="56">
        <f>IFERROR(INDEX('Semrush Data'!$A$1:$Z$20000,MATCH(A3567,'Semrush Data'!$A$1:$A$20000,0),MATCH("CPC*",'Semrush Data'!$A$1:$Z$1,0)),"")</f>
        <v/>
      </c>
      <c r="J3567" s="42">
        <f>IFERROR(INDEX('Semrush Data'!$A$1:$Z$20000,MATCH(A3567,'Semrush Data'!$A$1:$A$20000,0),MATCH("Intent",'Semrush Data'!$A$1:$Z$1,0)),"")</f>
        <v/>
      </c>
    </row>
    <row r="3568" ht="15" customHeight="1" s="37">
      <c r="A3568" s="42" t="inlineStr">
        <is>
          <t>la maison de la vanille royal oud price</t>
        </is>
      </c>
      <c r="B3568" s="42" t="inlineStr">
        <is>
          <t>Price</t>
        </is>
      </c>
      <c r="C3568" s="42" t="n">
        <v>3</v>
      </c>
      <c r="D3568" s="42" t="n">
        <v>36</v>
      </c>
      <c r="E3568" s="42" t="n">
        <v>1</v>
      </c>
      <c r="F3568" s="42" t="inlineStr">
        <is>
          <t>FR-285</t>
        </is>
      </c>
      <c r="G3568" s="55">
        <f>IFERROR(INDEX('Semrush Data'!$A$1:$Z$20000,MATCH(A3568,'Semrush Data'!$A$1:$A$20000,0),MATCH("Volume",'Semrush Data'!$A$1:$Z$1,0)),"")</f>
        <v/>
      </c>
      <c r="H3568" s="42">
        <f>IFERROR(INDEX('Semrush Data'!$A$1:$Z$20000,MATCH(A3568,'Semrush Data'!$A$1:$A$20000,0),MATCH("Keyword Difficulty*",'Semrush Data'!$A$1:$Z$1,0)),"")</f>
        <v/>
      </c>
      <c r="I3568" s="56">
        <f>IFERROR(INDEX('Semrush Data'!$A$1:$Z$20000,MATCH(A3568,'Semrush Data'!$A$1:$A$20000,0),MATCH("CPC*",'Semrush Data'!$A$1:$Z$1,0)),"")</f>
        <v/>
      </c>
      <c r="J3568" s="42">
        <f>IFERROR(INDEX('Semrush Data'!$A$1:$Z$20000,MATCH(A3568,'Semrush Data'!$A$1:$A$20000,0),MATCH("Intent",'Semrush Data'!$A$1:$Z$1,0)),"")</f>
        <v/>
      </c>
    </row>
    <row r="3569" ht="15" customHeight="1" s="37">
      <c r="A3569" s="42" t="inlineStr">
        <is>
          <t>la maison de la wooden coffret price</t>
        </is>
      </c>
      <c r="B3569" s="42" t="inlineStr">
        <is>
          <t>Price</t>
        </is>
      </c>
      <c r="C3569" s="42" t="n">
        <v>3</v>
      </c>
      <c r="D3569" s="42" t="n">
        <v>36</v>
      </c>
      <c r="E3569" s="42" t="n">
        <v>1</v>
      </c>
      <c r="F3569" s="42" t="inlineStr">
        <is>
          <t>FR-286</t>
        </is>
      </c>
      <c r="G3569" s="55">
        <f>IFERROR(INDEX('Semrush Data'!$A$1:$Z$20000,MATCH(A3569,'Semrush Data'!$A$1:$A$20000,0),MATCH("Volume",'Semrush Data'!$A$1:$Z$1,0)),"")</f>
        <v/>
      </c>
      <c r="H3569" s="42">
        <f>IFERROR(INDEX('Semrush Data'!$A$1:$Z$20000,MATCH(A3569,'Semrush Data'!$A$1:$A$20000,0),MATCH("Keyword Difficulty*",'Semrush Data'!$A$1:$Z$1,0)),"")</f>
        <v/>
      </c>
      <c r="I3569" s="56">
        <f>IFERROR(INDEX('Semrush Data'!$A$1:$Z$20000,MATCH(A3569,'Semrush Data'!$A$1:$A$20000,0),MATCH("CPC*",'Semrush Data'!$A$1:$Z$1,0)),"")</f>
        <v/>
      </c>
      <c r="J3569" s="42">
        <f>IFERROR(INDEX('Semrush Data'!$A$1:$Z$20000,MATCH(A3569,'Semrush Data'!$A$1:$A$20000,0),MATCH("Intent",'Semrush Data'!$A$1:$Z$1,0)),"")</f>
        <v/>
      </c>
    </row>
    <row r="3570" ht="15" customHeight="1" s="37">
      <c r="A3570" s="42" t="inlineStr">
        <is>
          <t>lancome idole nectar price</t>
        </is>
      </c>
      <c r="B3570" s="42" t="inlineStr">
        <is>
          <t>Price</t>
        </is>
      </c>
      <c r="C3570" s="42" t="n">
        <v>3</v>
      </c>
      <c r="D3570" s="42" t="n">
        <v>36</v>
      </c>
      <c r="E3570" s="42" t="n">
        <v>1</v>
      </c>
      <c r="F3570" s="42" t="inlineStr">
        <is>
          <t>FR-287</t>
        </is>
      </c>
      <c r="G3570" s="55">
        <f>IFERROR(INDEX('Semrush Data'!$A$1:$Z$20000,MATCH(A3570,'Semrush Data'!$A$1:$A$20000,0),MATCH("Volume",'Semrush Data'!$A$1:$Z$1,0)),"")</f>
        <v/>
      </c>
      <c r="H3570" s="42">
        <f>IFERROR(INDEX('Semrush Data'!$A$1:$Z$20000,MATCH(A3570,'Semrush Data'!$A$1:$A$20000,0),MATCH("Keyword Difficulty*",'Semrush Data'!$A$1:$Z$1,0)),"")</f>
        <v/>
      </c>
      <c r="I3570" s="56">
        <f>IFERROR(INDEX('Semrush Data'!$A$1:$Z$20000,MATCH(A3570,'Semrush Data'!$A$1:$A$20000,0),MATCH("CPC*",'Semrush Data'!$A$1:$Z$1,0)),"")</f>
        <v/>
      </c>
      <c r="J3570" s="42">
        <f>IFERROR(INDEX('Semrush Data'!$A$1:$Z$20000,MATCH(A3570,'Semrush Data'!$A$1:$A$20000,0),MATCH("Intent",'Semrush Data'!$A$1:$Z$1,0)),"")</f>
        <v/>
      </c>
    </row>
    <row r="3571" ht="15" customHeight="1" s="37">
      <c r="A3571" s="42" t="inlineStr">
        <is>
          <t>lancome idole now florale price</t>
        </is>
      </c>
      <c r="B3571" s="42" t="inlineStr">
        <is>
          <t>Price</t>
        </is>
      </c>
      <c r="C3571" s="42" t="n">
        <v>3</v>
      </c>
      <c r="D3571" s="42" t="n">
        <v>36</v>
      </c>
      <c r="E3571" s="42" t="n">
        <v>1</v>
      </c>
      <c r="F3571" s="42" t="inlineStr">
        <is>
          <t>FR-288</t>
        </is>
      </c>
      <c r="G3571" s="55">
        <f>IFERROR(INDEX('Semrush Data'!$A$1:$Z$20000,MATCH(A3571,'Semrush Data'!$A$1:$A$20000,0),MATCH("Volume",'Semrush Data'!$A$1:$Z$1,0)),"")</f>
        <v/>
      </c>
      <c r="H3571" s="42">
        <f>IFERROR(INDEX('Semrush Data'!$A$1:$Z$20000,MATCH(A3571,'Semrush Data'!$A$1:$A$20000,0),MATCH("Keyword Difficulty*",'Semrush Data'!$A$1:$Z$1,0)),"")</f>
        <v/>
      </c>
      <c r="I3571" s="56">
        <f>IFERROR(INDEX('Semrush Data'!$A$1:$Z$20000,MATCH(A3571,'Semrush Data'!$A$1:$A$20000,0),MATCH("CPC*",'Semrush Data'!$A$1:$Z$1,0)),"")</f>
        <v/>
      </c>
      <c r="J3571" s="42">
        <f>IFERROR(INDEX('Semrush Data'!$A$1:$Z$20000,MATCH(A3571,'Semrush Data'!$A$1:$A$20000,0),MATCH("Intent",'Semrush Data'!$A$1:$Z$1,0)),"")</f>
        <v/>
      </c>
    </row>
    <row r="3572" ht="15" customHeight="1" s="37">
      <c r="A3572" s="42" t="inlineStr">
        <is>
          <t>maison de milan amalfi bleu price</t>
        </is>
      </c>
      <c r="B3572" s="42" t="inlineStr">
        <is>
          <t>Price</t>
        </is>
      </c>
      <c r="C3572" s="42" t="n">
        <v>3</v>
      </c>
      <c r="D3572" s="42" t="n">
        <v>36</v>
      </c>
      <c r="E3572" s="42" t="n">
        <v>1</v>
      </c>
      <c r="F3572" s="42" t="inlineStr">
        <is>
          <t>FR-196</t>
        </is>
      </c>
      <c r="G3572" s="55">
        <f>IFERROR(INDEX('Semrush Data'!$A$1:$Z$20000,MATCH(A3572,'Semrush Data'!$A$1:$A$20000,0),MATCH("Volume",'Semrush Data'!$A$1:$Z$1,0)),"")</f>
        <v/>
      </c>
      <c r="H3572" s="42">
        <f>IFERROR(INDEX('Semrush Data'!$A$1:$Z$20000,MATCH(A3572,'Semrush Data'!$A$1:$A$20000,0),MATCH("Keyword Difficulty*",'Semrush Data'!$A$1:$Z$1,0)),"")</f>
        <v/>
      </c>
      <c r="I3572" s="56">
        <f>IFERROR(INDEX('Semrush Data'!$A$1:$Z$20000,MATCH(A3572,'Semrush Data'!$A$1:$A$20000,0),MATCH("CPC*",'Semrush Data'!$A$1:$Z$1,0)),"")</f>
        <v/>
      </c>
      <c r="J3572" s="42">
        <f>IFERROR(INDEX('Semrush Data'!$A$1:$Z$20000,MATCH(A3572,'Semrush Data'!$A$1:$A$20000,0),MATCH("Intent",'Semrush Data'!$A$1:$Z$1,0)),"")</f>
        <v/>
      </c>
    </row>
    <row r="3573" ht="15" customHeight="1" s="37">
      <c r="A3573" s="42" t="inlineStr">
        <is>
          <t>maison de milan bliss rouge price</t>
        </is>
      </c>
      <c r="B3573" s="42" t="inlineStr">
        <is>
          <t>Price</t>
        </is>
      </c>
      <c r="C3573" s="42" t="n">
        <v>3</v>
      </c>
      <c r="D3573" s="42" t="n">
        <v>36</v>
      </c>
      <c r="E3573" s="42" t="n">
        <v>1</v>
      </c>
      <c r="F3573" s="42" t="inlineStr">
        <is>
          <t>FR-197</t>
        </is>
      </c>
      <c r="G3573" s="55">
        <f>IFERROR(INDEX('Semrush Data'!$A$1:$Z$20000,MATCH(A3573,'Semrush Data'!$A$1:$A$20000,0),MATCH("Volume",'Semrush Data'!$A$1:$Z$1,0)),"")</f>
        <v/>
      </c>
      <c r="H3573" s="42">
        <f>IFERROR(INDEX('Semrush Data'!$A$1:$Z$20000,MATCH(A3573,'Semrush Data'!$A$1:$A$20000,0),MATCH("Keyword Difficulty*",'Semrush Data'!$A$1:$Z$1,0)),"")</f>
        <v/>
      </c>
      <c r="I3573" s="56">
        <f>IFERROR(INDEX('Semrush Data'!$A$1:$Z$20000,MATCH(A3573,'Semrush Data'!$A$1:$A$20000,0),MATCH("CPC*",'Semrush Data'!$A$1:$Z$1,0)),"")</f>
        <v/>
      </c>
      <c r="J3573" s="42">
        <f>IFERROR(INDEX('Semrush Data'!$A$1:$Z$20000,MATCH(A3573,'Semrush Data'!$A$1:$A$20000,0),MATCH("Intent",'Semrush Data'!$A$1:$Z$1,0)),"")</f>
        <v/>
      </c>
    </row>
    <row r="3574" ht="15" customHeight="1" s="37">
      <c r="A3574" s="42" t="inlineStr">
        <is>
          <t>maison de milan brave lad price</t>
        </is>
      </c>
      <c r="B3574" s="42" t="inlineStr">
        <is>
          <t>Price</t>
        </is>
      </c>
      <c r="C3574" s="42" t="n">
        <v>3</v>
      </c>
      <c r="D3574" s="42" t="n">
        <v>36</v>
      </c>
      <c r="E3574" s="42" t="n">
        <v>1</v>
      </c>
      <c r="F3574" s="42" t="inlineStr">
        <is>
          <t>FR-198</t>
        </is>
      </c>
      <c r="G3574" s="55">
        <f>IFERROR(INDEX('Semrush Data'!$A$1:$Z$20000,MATCH(A3574,'Semrush Data'!$A$1:$A$20000,0),MATCH("Volume",'Semrush Data'!$A$1:$Z$1,0)),"")</f>
        <v/>
      </c>
      <c r="H3574" s="42">
        <f>IFERROR(INDEX('Semrush Data'!$A$1:$Z$20000,MATCH(A3574,'Semrush Data'!$A$1:$A$20000,0),MATCH("Keyword Difficulty*",'Semrush Data'!$A$1:$Z$1,0)),"")</f>
        <v/>
      </c>
      <c r="I3574" s="56">
        <f>IFERROR(INDEX('Semrush Data'!$A$1:$Z$20000,MATCH(A3574,'Semrush Data'!$A$1:$A$20000,0),MATCH("CPC*",'Semrush Data'!$A$1:$Z$1,0)),"")</f>
        <v/>
      </c>
      <c r="J3574" s="42">
        <f>IFERROR(INDEX('Semrush Data'!$A$1:$Z$20000,MATCH(A3574,'Semrush Data'!$A$1:$A$20000,0),MATCH("Intent",'Semrush Data'!$A$1:$Z$1,0)),"")</f>
        <v/>
      </c>
    </row>
    <row r="3575" ht="15" customHeight="1" s="37">
      <c r="A3575" s="42" t="inlineStr">
        <is>
          <t>maison de milan delight pour femme price</t>
        </is>
      </c>
      <c r="B3575" s="42" t="inlineStr">
        <is>
          <t>Price</t>
        </is>
      </c>
      <c r="C3575" s="42" t="n">
        <v>3</v>
      </c>
      <c r="D3575" s="42" t="n">
        <v>36</v>
      </c>
      <c r="E3575" s="42" t="n">
        <v>1</v>
      </c>
      <c r="F3575" s="42" t="inlineStr">
        <is>
          <t>FR-199</t>
        </is>
      </c>
      <c r="G3575" s="55">
        <f>IFERROR(INDEX('Semrush Data'!$A$1:$Z$20000,MATCH(A3575,'Semrush Data'!$A$1:$A$20000,0),MATCH("Volume",'Semrush Data'!$A$1:$Z$1,0)),"")</f>
        <v/>
      </c>
      <c r="H3575" s="42">
        <f>IFERROR(INDEX('Semrush Data'!$A$1:$Z$20000,MATCH(A3575,'Semrush Data'!$A$1:$A$20000,0),MATCH("Keyword Difficulty*",'Semrush Data'!$A$1:$Z$1,0)),"")</f>
        <v/>
      </c>
      <c r="I3575" s="56">
        <f>IFERROR(INDEX('Semrush Data'!$A$1:$Z$20000,MATCH(A3575,'Semrush Data'!$A$1:$A$20000,0),MATCH("CPC*",'Semrush Data'!$A$1:$Z$1,0)),"")</f>
        <v/>
      </c>
      <c r="J3575" s="42">
        <f>IFERROR(INDEX('Semrush Data'!$A$1:$Z$20000,MATCH(A3575,'Semrush Data'!$A$1:$A$20000,0),MATCH("Intent",'Semrush Data'!$A$1:$Z$1,0)),"")</f>
        <v/>
      </c>
    </row>
    <row r="3576" ht="15" customHeight="1" s="37">
      <c r="A3576" s="42" t="inlineStr">
        <is>
          <t>maison de milan elegance pour femme price</t>
        </is>
      </c>
      <c r="B3576" s="42" t="inlineStr">
        <is>
          <t>Price</t>
        </is>
      </c>
      <c r="C3576" s="42" t="n">
        <v>3</v>
      </c>
      <c r="D3576" s="42" t="n">
        <v>36</v>
      </c>
      <c r="E3576" s="42" t="n">
        <v>1</v>
      </c>
      <c r="F3576" s="42" t="inlineStr">
        <is>
          <t>FR-200</t>
        </is>
      </c>
      <c r="G3576" s="55">
        <f>IFERROR(INDEX('Semrush Data'!$A$1:$Z$20000,MATCH(A3576,'Semrush Data'!$A$1:$A$20000,0),MATCH("Volume",'Semrush Data'!$A$1:$Z$1,0)),"")</f>
        <v/>
      </c>
      <c r="H3576" s="42">
        <f>IFERROR(INDEX('Semrush Data'!$A$1:$Z$20000,MATCH(A3576,'Semrush Data'!$A$1:$A$20000,0),MATCH("Keyword Difficulty*",'Semrush Data'!$A$1:$Z$1,0)),"")</f>
        <v/>
      </c>
      <c r="I3576" s="56">
        <f>IFERROR(INDEX('Semrush Data'!$A$1:$Z$20000,MATCH(A3576,'Semrush Data'!$A$1:$A$20000,0),MATCH("CPC*",'Semrush Data'!$A$1:$Z$1,0)),"")</f>
        <v/>
      </c>
      <c r="J3576" s="42">
        <f>IFERROR(INDEX('Semrush Data'!$A$1:$Z$20000,MATCH(A3576,'Semrush Data'!$A$1:$A$20000,0),MATCH("Intent",'Semrush Data'!$A$1:$Z$1,0)),"")</f>
        <v/>
      </c>
    </row>
    <row r="3577" ht="15" customHeight="1" s="37">
      <c r="A3577" s="42" t="inlineStr">
        <is>
          <t>maison de milan gossip pour femme price</t>
        </is>
      </c>
      <c r="B3577" s="42" t="inlineStr">
        <is>
          <t>Price</t>
        </is>
      </c>
      <c r="C3577" s="42" t="n">
        <v>3</v>
      </c>
      <c r="D3577" s="42" t="n">
        <v>36</v>
      </c>
      <c r="E3577" s="42" t="n">
        <v>1</v>
      </c>
      <c r="F3577" s="42" t="inlineStr">
        <is>
          <t>FR-201</t>
        </is>
      </c>
      <c r="G3577" s="55">
        <f>IFERROR(INDEX('Semrush Data'!$A$1:$Z$20000,MATCH(A3577,'Semrush Data'!$A$1:$A$20000,0),MATCH("Volume",'Semrush Data'!$A$1:$Z$1,0)),"")</f>
        <v/>
      </c>
      <c r="H3577" s="42">
        <f>IFERROR(INDEX('Semrush Data'!$A$1:$Z$20000,MATCH(A3577,'Semrush Data'!$A$1:$A$20000,0),MATCH("Keyword Difficulty*",'Semrush Data'!$A$1:$Z$1,0)),"")</f>
        <v/>
      </c>
      <c r="I3577" s="56">
        <f>IFERROR(INDEX('Semrush Data'!$A$1:$Z$20000,MATCH(A3577,'Semrush Data'!$A$1:$A$20000,0),MATCH("CPC*",'Semrush Data'!$A$1:$Z$1,0)),"")</f>
        <v/>
      </c>
      <c r="J3577" s="42">
        <f>IFERROR(INDEX('Semrush Data'!$A$1:$Z$20000,MATCH(A3577,'Semrush Data'!$A$1:$A$20000,0),MATCH("Intent",'Semrush Data'!$A$1:$Z$1,0)),"")</f>
        <v/>
      </c>
    </row>
    <row r="3578" ht="15" customHeight="1" s="37">
      <c r="A3578" s="42" t="inlineStr">
        <is>
          <t>maison de milan invincible price</t>
        </is>
      </c>
      <c r="B3578" s="42" t="inlineStr">
        <is>
          <t>Price</t>
        </is>
      </c>
      <c r="C3578" s="42" t="n">
        <v>3</v>
      </c>
      <c r="D3578" s="42" t="n">
        <v>36</v>
      </c>
      <c r="E3578" s="42" t="n">
        <v>1</v>
      </c>
      <c r="F3578" s="42" t="inlineStr">
        <is>
          <t>FR-202</t>
        </is>
      </c>
      <c r="G3578" s="55">
        <f>IFERROR(INDEX('Semrush Data'!$A$1:$Z$20000,MATCH(A3578,'Semrush Data'!$A$1:$A$20000,0),MATCH("Volume",'Semrush Data'!$A$1:$Z$1,0)),"")</f>
        <v/>
      </c>
      <c r="H3578" s="42">
        <f>IFERROR(INDEX('Semrush Data'!$A$1:$Z$20000,MATCH(A3578,'Semrush Data'!$A$1:$A$20000,0),MATCH("Keyword Difficulty*",'Semrush Data'!$A$1:$Z$1,0)),"")</f>
        <v/>
      </c>
      <c r="I3578" s="56">
        <f>IFERROR(INDEX('Semrush Data'!$A$1:$Z$20000,MATCH(A3578,'Semrush Data'!$A$1:$A$20000,0),MATCH("CPC*",'Semrush Data'!$A$1:$Z$1,0)),"")</f>
        <v/>
      </c>
      <c r="J3578" s="42">
        <f>IFERROR(INDEX('Semrush Data'!$A$1:$Z$20000,MATCH(A3578,'Semrush Data'!$A$1:$A$20000,0),MATCH("Intent",'Semrush Data'!$A$1:$Z$1,0)),"")</f>
        <v/>
      </c>
    </row>
    <row r="3579" ht="15" customHeight="1" s="37">
      <c r="A3579" s="42" t="inlineStr">
        <is>
          <t>maison de milan l'homme suave price</t>
        </is>
      </c>
      <c r="B3579" s="42" t="inlineStr">
        <is>
          <t>Price</t>
        </is>
      </c>
      <c r="C3579" s="42" t="n">
        <v>3</v>
      </c>
      <c r="D3579" s="42" t="n">
        <v>36</v>
      </c>
      <c r="E3579" s="42" t="n">
        <v>1</v>
      </c>
      <c r="F3579" s="42" t="inlineStr">
        <is>
          <t>FR-203</t>
        </is>
      </c>
      <c r="G3579" s="55">
        <f>IFERROR(INDEX('Semrush Data'!$A$1:$Z$20000,MATCH(A3579,'Semrush Data'!$A$1:$A$20000,0),MATCH("Volume",'Semrush Data'!$A$1:$Z$1,0)),"")</f>
        <v/>
      </c>
      <c r="H3579" s="42">
        <f>IFERROR(INDEX('Semrush Data'!$A$1:$Z$20000,MATCH(A3579,'Semrush Data'!$A$1:$A$20000,0),MATCH("Keyword Difficulty*",'Semrush Data'!$A$1:$Z$1,0)),"")</f>
        <v/>
      </c>
      <c r="I3579" s="56">
        <f>IFERROR(INDEX('Semrush Data'!$A$1:$Z$20000,MATCH(A3579,'Semrush Data'!$A$1:$A$20000,0),MATCH("CPC*",'Semrush Data'!$A$1:$Z$1,0)),"")</f>
        <v/>
      </c>
      <c r="J3579" s="42">
        <f>IFERROR(INDEX('Semrush Data'!$A$1:$Z$20000,MATCH(A3579,'Semrush Data'!$A$1:$A$20000,0),MATCH("Intent",'Semrush Data'!$A$1:$Z$1,0)),"")</f>
        <v/>
      </c>
    </row>
    <row r="3580" ht="15" customHeight="1" s="37">
      <c r="A3580" s="42" t="inlineStr">
        <is>
          <t>maison de milan m price</t>
        </is>
      </c>
      <c r="B3580" s="42" t="inlineStr">
        <is>
          <t>Price</t>
        </is>
      </c>
      <c r="C3580" s="42" t="n">
        <v>3</v>
      </c>
      <c r="D3580" s="42" t="n">
        <v>36</v>
      </c>
      <c r="E3580" s="42" t="n">
        <v>1</v>
      </c>
      <c r="F3580" s="42" t="inlineStr">
        <is>
          <t>FR-204</t>
        </is>
      </c>
      <c r="G3580" s="55">
        <f>IFERROR(INDEX('Semrush Data'!$A$1:$Z$20000,MATCH(A3580,'Semrush Data'!$A$1:$A$20000,0),MATCH("Volume",'Semrush Data'!$A$1:$Z$1,0)),"")</f>
        <v/>
      </c>
      <c r="H3580" s="42">
        <f>IFERROR(INDEX('Semrush Data'!$A$1:$Z$20000,MATCH(A3580,'Semrush Data'!$A$1:$A$20000,0),MATCH("Keyword Difficulty*",'Semrush Data'!$A$1:$Z$1,0)),"")</f>
        <v/>
      </c>
      <c r="I3580" s="56">
        <f>IFERROR(INDEX('Semrush Data'!$A$1:$Z$20000,MATCH(A3580,'Semrush Data'!$A$1:$A$20000,0),MATCH("CPC*",'Semrush Data'!$A$1:$Z$1,0)),"")</f>
        <v/>
      </c>
      <c r="J3580" s="42">
        <f>IFERROR(INDEX('Semrush Data'!$A$1:$Z$20000,MATCH(A3580,'Semrush Data'!$A$1:$A$20000,0),MATCH("Intent",'Semrush Data'!$A$1:$Z$1,0)),"")</f>
        <v/>
      </c>
    </row>
    <row r="3581" ht="15" customHeight="1" s="37">
      <c r="A3581" s="42" t="inlineStr">
        <is>
          <t>maison de milan milano girl black price</t>
        </is>
      </c>
      <c r="B3581" s="42" t="inlineStr">
        <is>
          <t>Price</t>
        </is>
      </c>
      <c r="C3581" s="42" t="n">
        <v>3</v>
      </c>
      <c r="D3581" s="42" t="n">
        <v>36</v>
      </c>
      <c r="E3581" s="42" t="n">
        <v>1</v>
      </c>
      <c r="F3581" s="42" t="inlineStr">
        <is>
          <t>FR-205</t>
        </is>
      </c>
      <c r="G3581" s="55">
        <f>IFERROR(INDEX('Semrush Data'!$A$1:$Z$20000,MATCH(A3581,'Semrush Data'!$A$1:$A$20000,0),MATCH("Volume",'Semrush Data'!$A$1:$Z$1,0)),"")</f>
        <v/>
      </c>
      <c r="H3581" s="42">
        <f>IFERROR(INDEX('Semrush Data'!$A$1:$Z$20000,MATCH(A3581,'Semrush Data'!$A$1:$A$20000,0),MATCH("Keyword Difficulty*",'Semrush Data'!$A$1:$Z$1,0)),"")</f>
        <v/>
      </c>
      <c r="I3581" s="56">
        <f>IFERROR(INDEX('Semrush Data'!$A$1:$Z$20000,MATCH(A3581,'Semrush Data'!$A$1:$A$20000,0),MATCH("CPC*",'Semrush Data'!$A$1:$Z$1,0)),"")</f>
        <v/>
      </c>
      <c r="J3581" s="42">
        <f>IFERROR(INDEX('Semrush Data'!$A$1:$Z$20000,MATCH(A3581,'Semrush Data'!$A$1:$A$20000,0),MATCH("Intent",'Semrush Data'!$A$1:$Z$1,0)),"")</f>
        <v/>
      </c>
    </row>
    <row r="3582" ht="15" customHeight="1" s="37">
      <c r="A3582" s="42" t="inlineStr">
        <is>
          <t>maison de milan milano girl red price</t>
        </is>
      </c>
      <c r="B3582" s="42" t="inlineStr">
        <is>
          <t>Price</t>
        </is>
      </c>
      <c r="C3582" s="42" t="n">
        <v>3</v>
      </c>
      <c r="D3582" s="42" t="n">
        <v>36</v>
      </c>
      <c r="E3582" s="42" t="n">
        <v>1</v>
      </c>
      <c r="F3582" s="42" t="inlineStr">
        <is>
          <t>FR-206</t>
        </is>
      </c>
      <c r="G3582" s="55">
        <f>IFERROR(INDEX('Semrush Data'!$A$1:$Z$20000,MATCH(A3582,'Semrush Data'!$A$1:$A$20000,0),MATCH("Volume",'Semrush Data'!$A$1:$Z$1,0)),"")</f>
        <v/>
      </c>
      <c r="H3582" s="42">
        <f>IFERROR(INDEX('Semrush Data'!$A$1:$Z$20000,MATCH(A3582,'Semrush Data'!$A$1:$A$20000,0),MATCH("Keyword Difficulty*",'Semrush Data'!$A$1:$Z$1,0)),"")</f>
        <v/>
      </c>
      <c r="I3582" s="56">
        <f>IFERROR(INDEX('Semrush Data'!$A$1:$Z$20000,MATCH(A3582,'Semrush Data'!$A$1:$A$20000,0),MATCH("CPC*",'Semrush Data'!$A$1:$Z$1,0)),"")</f>
        <v/>
      </c>
      <c r="J3582" s="42">
        <f>IFERROR(INDEX('Semrush Data'!$A$1:$Z$20000,MATCH(A3582,'Semrush Data'!$A$1:$A$20000,0),MATCH("Intent",'Semrush Data'!$A$1:$Z$1,0)),"")</f>
        <v/>
      </c>
    </row>
    <row r="3583" ht="15" customHeight="1" s="37">
      <c r="A3583" s="42" t="inlineStr">
        <is>
          <t>maison de milan milano girl white price</t>
        </is>
      </c>
      <c r="B3583" s="42" t="inlineStr">
        <is>
          <t>Price</t>
        </is>
      </c>
      <c r="C3583" s="42" t="n">
        <v>3</v>
      </c>
      <c r="D3583" s="42" t="n">
        <v>36</v>
      </c>
      <c r="E3583" s="42" t="n">
        <v>1</v>
      </c>
      <c r="F3583" s="42" t="inlineStr">
        <is>
          <t>FR-207</t>
        </is>
      </c>
      <c r="G3583" s="55">
        <f>IFERROR(INDEX('Semrush Data'!$A$1:$Z$20000,MATCH(A3583,'Semrush Data'!$A$1:$A$20000,0),MATCH("Volume",'Semrush Data'!$A$1:$Z$1,0)),"")</f>
        <v/>
      </c>
      <c r="H3583" s="42">
        <f>IFERROR(INDEX('Semrush Data'!$A$1:$Z$20000,MATCH(A3583,'Semrush Data'!$A$1:$A$20000,0),MATCH("Keyword Difficulty*",'Semrush Data'!$A$1:$Z$1,0)),"")</f>
        <v/>
      </c>
      <c r="I3583" s="56">
        <f>IFERROR(INDEX('Semrush Data'!$A$1:$Z$20000,MATCH(A3583,'Semrush Data'!$A$1:$A$20000,0),MATCH("CPC*",'Semrush Data'!$A$1:$Z$1,0)),"")</f>
        <v/>
      </c>
      <c r="J3583" s="42">
        <f>IFERROR(INDEX('Semrush Data'!$A$1:$Z$20000,MATCH(A3583,'Semrush Data'!$A$1:$A$20000,0),MATCH("Intent",'Semrush Data'!$A$1:$Z$1,0)),"")</f>
        <v/>
      </c>
    </row>
    <row r="3584" ht="15" customHeight="1" s="37">
      <c r="A3584" s="42" t="inlineStr">
        <is>
          <t>maison de milan opulent gold price</t>
        </is>
      </c>
      <c r="B3584" s="42" t="inlineStr">
        <is>
          <t>Price</t>
        </is>
      </c>
      <c r="C3584" s="42" t="n">
        <v>3</v>
      </c>
      <c r="D3584" s="42" t="n">
        <v>36</v>
      </c>
      <c r="E3584" s="42" t="n">
        <v>1</v>
      </c>
      <c r="F3584" s="42" t="inlineStr">
        <is>
          <t>FR-208</t>
        </is>
      </c>
      <c r="G3584" s="55">
        <f>IFERROR(INDEX('Semrush Data'!$A$1:$Z$20000,MATCH(A3584,'Semrush Data'!$A$1:$A$20000,0),MATCH("Volume",'Semrush Data'!$A$1:$Z$1,0)),"")</f>
        <v/>
      </c>
      <c r="H3584" s="42">
        <f>IFERROR(INDEX('Semrush Data'!$A$1:$Z$20000,MATCH(A3584,'Semrush Data'!$A$1:$A$20000,0),MATCH("Keyword Difficulty*",'Semrush Data'!$A$1:$Z$1,0)),"")</f>
        <v/>
      </c>
      <c r="I3584" s="56">
        <f>IFERROR(INDEX('Semrush Data'!$A$1:$Z$20000,MATCH(A3584,'Semrush Data'!$A$1:$A$20000,0),MATCH("CPC*",'Semrush Data'!$A$1:$Z$1,0)),"")</f>
        <v/>
      </c>
      <c r="J3584" s="42">
        <f>IFERROR(INDEX('Semrush Data'!$A$1:$Z$20000,MATCH(A3584,'Semrush Data'!$A$1:$A$20000,0),MATCH("Intent",'Semrush Data'!$A$1:$Z$1,0)),"")</f>
        <v/>
      </c>
    </row>
    <row r="3585" ht="15" customHeight="1" s="37">
      <c r="A3585" s="42" t="inlineStr">
        <is>
          <t>maison de milan valiant pour homme price</t>
        </is>
      </c>
      <c r="B3585" s="42" t="inlineStr">
        <is>
          <t>Price</t>
        </is>
      </c>
      <c r="C3585" s="42" t="n">
        <v>3</v>
      </c>
      <c r="D3585" s="42" t="n">
        <v>36</v>
      </c>
      <c r="E3585" s="42" t="n">
        <v>1</v>
      </c>
      <c r="F3585" s="42" t="inlineStr">
        <is>
          <t>FR-209</t>
        </is>
      </c>
      <c r="G3585" s="55">
        <f>IFERROR(INDEX('Semrush Data'!$A$1:$Z$20000,MATCH(A3585,'Semrush Data'!$A$1:$A$20000,0),MATCH("Volume",'Semrush Data'!$A$1:$Z$1,0)),"")</f>
        <v/>
      </c>
      <c r="H3585" s="42">
        <f>IFERROR(INDEX('Semrush Data'!$A$1:$Z$20000,MATCH(A3585,'Semrush Data'!$A$1:$A$20000,0),MATCH("Keyword Difficulty*",'Semrush Data'!$A$1:$Z$1,0)),"")</f>
        <v/>
      </c>
      <c r="I3585" s="56">
        <f>IFERROR(INDEX('Semrush Data'!$A$1:$Z$20000,MATCH(A3585,'Semrush Data'!$A$1:$A$20000,0),MATCH("CPC*",'Semrush Data'!$A$1:$Z$1,0)),"")</f>
        <v/>
      </c>
      <c r="J3585" s="42">
        <f>IFERROR(INDEX('Semrush Data'!$A$1:$Z$20000,MATCH(A3585,'Semrush Data'!$A$1:$A$20000,0),MATCH("Intent",'Semrush Data'!$A$1:$Z$1,0)),"")</f>
        <v/>
      </c>
    </row>
    <row r="3586" ht="15" customHeight="1" s="37">
      <c r="A3586" s="42" t="inlineStr">
        <is>
          <t>mancera black noir price</t>
        </is>
      </c>
      <c r="B3586" s="42" t="inlineStr">
        <is>
          <t>Price</t>
        </is>
      </c>
      <c r="C3586" s="42" t="n">
        <v>3</v>
      </c>
      <c r="D3586" s="42" t="n">
        <v>36</v>
      </c>
      <c r="E3586" s="42" t="n">
        <v>1</v>
      </c>
      <c r="F3586" s="42" t="inlineStr">
        <is>
          <t>FR-289</t>
        </is>
      </c>
      <c r="G3586" s="55">
        <f>IFERROR(INDEX('Semrush Data'!$A$1:$Z$20000,MATCH(A3586,'Semrush Data'!$A$1:$A$20000,0),MATCH("Volume",'Semrush Data'!$A$1:$Z$1,0)),"")</f>
        <v/>
      </c>
      <c r="H3586" s="42">
        <f>IFERROR(INDEX('Semrush Data'!$A$1:$Z$20000,MATCH(A3586,'Semrush Data'!$A$1:$A$20000,0),MATCH("Keyword Difficulty*",'Semrush Data'!$A$1:$Z$1,0)),"")</f>
        <v/>
      </c>
      <c r="I3586" s="56">
        <f>IFERROR(INDEX('Semrush Data'!$A$1:$Z$20000,MATCH(A3586,'Semrush Data'!$A$1:$A$20000,0),MATCH("CPC*",'Semrush Data'!$A$1:$Z$1,0)),"")</f>
        <v/>
      </c>
      <c r="J3586" s="42">
        <f>IFERROR(INDEX('Semrush Data'!$A$1:$Z$20000,MATCH(A3586,'Semrush Data'!$A$1:$A$20000,0),MATCH("Intent",'Semrush Data'!$A$1:$Z$1,0)),"")</f>
        <v/>
      </c>
    </row>
    <row r="3587" ht="15" customHeight="1" s="37">
      <c r="A3587" s="42" t="inlineStr">
        <is>
          <t>mancera intense red tobacco price</t>
        </is>
      </c>
      <c r="B3587" s="42" t="inlineStr">
        <is>
          <t>Price</t>
        </is>
      </c>
      <c r="C3587" s="42" t="n">
        <v>3</v>
      </c>
      <c r="D3587" s="42" t="n">
        <v>36</v>
      </c>
      <c r="E3587" s="42" t="n">
        <v>1</v>
      </c>
      <c r="F3587" s="42" t="inlineStr">
        <is>
          <t>FR-290</t>
        </is>
      </c>
      <c r="G3587" s="55">
        <f>IFERROR(INDEX('Semrush Data'!$A$1:$Z$20000,MATCH(A3587,'Semrush Data'!$A$1:$A$20000,0),MATCH("Volume",'Semrush Data'!$A$1:$Z$1,0)),"")</f>
        <v/>
      </c>
      <c r="H3587" s="42">
        <f>IFERROR(INDEX('Semrush Data'!$A$1:$Z$20000,MATCH(A3587,'Semrush Data'!$A$1:$A$20000,0),MATCH("Keyword Difficulty*",'Semrush Data'!$A$1:$Z$1,0)),"")</f>
        <v/>
      </c>
      <c r="I3587" s="56">
        <f>IFERROR(INDEX('Semrush Data'!$A$1:$Z$20000,MATCH(A3587,'Semrush Data'!$A$1:$A$20000,0),MATCH("CPC*",'Semrush Data'!$A$1:$Z$1,0)),"")</f>
        <v/>
      </c>
      <c r="J3587" s="42">
        <f>IFERROR(INDEX('Semrush Data'!$A$1:$Z$20000,MATCH(A3587,'Semrush Data'!$A$1:$A$20000,0),MATCH("Intent",'Semrush Data'!$A$1:$Z$1,0)),"")</f>
        <v/>
      </c>
    </row>
    <row r="3588" ht="15" customHeight="1" s="37">
      <c r="A3588" s="42" t="inlineStr">
        <is>
          <t>marc jacobs daisy love glow limited edition price</t>
        </is>
      </c>
      <c r="B3588" s="42" t="inlineStr">
        <is>
          <t>Price</t>
        </is>
      </c>
      <c r="C3588" s="42" t="n">
        <v>3</v>
      </c>
      <c r="D3588" s="42" t="n">
        <v>36</v>
      </c>
      <c r="E3588" s="42" t="n">
        <v>1</v>
      </c>
      <c r="F3588" s="42" t="inlineStr">
        <is>
          <t>FR-295</t>
        </is>
      </c>
      <c r="G3588" s="55">
        <f>IFERROR(INDEX('Semrush Data'!$A$1:$Z$20000,MATCH(A3588,'Semrush Data'!$A$1:$A$20000,0),MATCH("Volume",'Semrush Data'!$A$1:$Z$1,0)),"")</f>
        <v/>
      </c>
      <c r="H3588" s="42">
        <f>IFERROR(INDEX('Semrush Data'!$A$1:$Z$20000,MATCH(A3588,'Semrush Data'!$A$1:$A$20000,0),MATCH("Keyword Difficulty*",'Semrush Data'!$A$1:$Z$1,0)),"")</f>
        <v/>
      </c>
      <c r="I3588" s="56">
        <f>IFERROR(INDEX('Semrush Data'!$A$1:$Z$20000,MATCH(A3588,'Semrush Data'!$A$1:$A$20000,0),MATCH("CPC*",'Semrush Data'!$A$1:$Z$1,0)),"")</f>
        <v/>
      </c>
      <c r="J3588" s="42">
        <f>IFERROR(INDEX('Semrush Data'!$A$1:$Z$20000,MATCH(A3588,'Semrush Data'!$A$1:$A$20000,0),MATCH("Intent",'Semrush Data'!$A$1:$Z$1,0)),"")</f>
        <v/>
      </c>
    </row>
    <row r="3589" ht="15" customHeight="1" s="37">
      <c r="A3589" s="42" t="inlineStr">
        <is>
          <t>marc jacobs daisy love miniature price</t>
        </is>
      </c>
      <c r="B3589" s="42" t="inlineStr">
        <is>
          <t>Price</t>
        </is>
      </c>
      <c r="C3589" s="42" t="n">
        <v>3</v>
      </c>
      <c r="D3589" s="42" t="n">
        <v>36</v>
      </c>
      <c r="E3589" s="42" t="n">
        <v>1</v>
      </c>
      <c r="F3589" s="42" t="inlineStr">
        <is>
          <t>FR-294</t>
        </is>
      </c>
      <c r="G3589" s="55">
        <f>IFERROR(INDEX('Semrush Data'!$A$1:$Z$20000,MATCH(A3589,'Semrush Data'!$A$1:$A$20000,0),MATCH("Volume",'Semrush Data'!$A$1:$Z$1,0)),"")</f>
        <v/>
      </c>
      <c r="H3589" s="42">
        <f>IFERROR(INDEX('Semrush Data'!$A$1:$Z$20000,MATCH(A3589,'Semrush Data'!$A$1:$A$20000,0),MATCH("Keyword Difficulty*",'Semrush Data'!$A$1:$Z$1,0)),"")</f>
        <v/>
      </c>
      <c r="I3589" s="56">
        <f>IFERROR(INDEX('Semrush Data'!$A$1:$Z$20000,MATCH(A3589,'Semrush Data'!$A$1:$A$20000,0),MATCH("CPC*",'Semrush Data'!$A$1:$Z$1,0)),"")</f>
        <v/>
      </c>
      <c r="J3589" s="42">
        <f>IFERROR(INDEX('Semrush Data'!$A$1:$Z$20000,MATCH(A3589,'Semrush Data'!$A$1:$A$20000,0),MATCH("Intent",'Semrush Data'!$A$1:$Z$1,0)),"")</f>
        <v/>
      </c>
    </row>
    <row r="3590" ht="15" customHeight="1" s="37">
      <c r="A3590" s="42" t="inlineStr">
        <is>
          <t>marc jacobs honey price</t>
        </is>
      </c>
      <c r="B3590" s="42" t="inlineStr">
        <is>
          <t>Price</t>
        </is>
      </c>
      <c r="C3590" s="42" t="n">
        <v>3</v>
      </c>
      <c r="D3590" s="42" t="inlineStr">
        <is>
          <t>T3-1</t>
        </is>
      </c>
      <c r="E3590" s="42" t="n">
        <v>1</v>
      </c>
      <c r="F3590" s="42" t="inlineStr">
        <is>
          <t>FR-291</t>
        </is>
      </c>
      <c r="G3590" s="55">
        <f>IFERROR(INDEX('Semrush Data'!$A$1:$Z$20000,MATCH(A3590,'Semrush Data'!$A$1:$A$20000,0),MATCH("Volume",'Semrush Data'!$A$1:$Z$1,0)),"")</f>
        <v/>
      </c>
      <c r="H3590" s="42">
        <f>IFERROR(INDEX('Semrush Data'!$A$1:$Z$20000,MATCH(A3590,'Semrush Data'!$A$1:$A$20000,0),MATCH("Keyword Difficulty*",'Semrush Data'!$A$1:$Z$1,0)),"")</f>
        <v/>
      </c>
      <c r="I3590" s="56">
        <f>IFERROR(INDEX('Semrush Data'!$A$1:$Z$20000,MATCH(A3590,'Semrush Data'!$A$1:$A$20000,0),MATCH("CPC*",'Semrush Data'!$A$1:$Z$1,0)),"")</f>
        <v/>
      </c>
      <c r="J3590" s="42">
        <f>IFERROR(INDEX('Semrush Data'!$A$1:$Z$20000,MATCH(A3590,'Semrush Data'!$A$1:$A$20000,0),MATCH("Intent",'Semrush Data'!$A$1:$Z$1,0)),"")</f>
        <v/>
      </c>
    </row>
    <row r="3591" ht="15" customHeight="1" s="37">
      <c r="A3591" s="42" t="inlineStr">
        <is>
          <t>marc jacobs miniature gift set 2025 price</t>
        </is>
      </c>
      <c r="B3591" s="42" t="inlineStr">
        <is>
          <t>Price</t>
        </is>
      </c>
      <c r="C3591" s="42" t="n">
        <v>3</v>
      </c>
      <c r="D3591" s="42" t="n">
        <v>36</v>
      </c>
      <c r="E3591" s="42" t="n">
        <v>1</v>
      </c>
      <c r="F3591" s="42" t="inlineStr">
        <is>
          <t>FR-297</t>
        </is>
      </c>
      <c r="G3591" s="55">
        <f>IFERROR(INDEX('Semrush Data'!$A$1:$Z$20000,MATCH(A3591,'Semrush Data'!$A$1:$A$20000,0),MATCH("Volume",'Semrush Data'!$A$1:$Z$1,0)),"")</f>
        <v/>
      </c>
      <c r="H3591" s="42">
        <f>IFERROR(INDEX('Semrush Data'!$A$1:$Z$20000,MATCH(A3591,'Semrush Data'!$A$1:$A$20000,0),MATCH("Keyword Difficulty*",'Semrush Data'!$A$1:$Z$1,0)),"")</f>
        <v/>
      </c>
      <c r="I3591" s="56">
        <f>IFERROR(INDEX('Semrush Data'!$A$1:$Z$20000,MATCH(A3591,'Semrush Data'!$A$1:$A$20000,0),MATCH("CPC*",'Semrush Data'!$A$1:$Z$1,0)),"")</f>
        <v/>
      </c>
      <c r="J3591" s="42">
        <f>IFERROR(INDEX('Semrush Data'!$A$1:$Z$20000,MATCH(A3591,'Semrush Data'!$A$1:$A$20000,0),MATCH("Intent",'Semrush Data'!$A$1:$Z$1,0)),"")</f>
        <v/>
      </c>
    </row>
    <row r="3592" ht="15" customHeight="1" s="37">
      <c r="A3592" s="42" t="inlineStr">
        <is>
          <t>marc jacobs perfect elixir miniature price</t>
        </is>
      </c>
      <c r="B3592" s="42" t="inlineStr">
        <is>
          <t>Price</t>
        </is>
      </c>
      <c r="C3592" s="42" t="n">
        <v>3</v>
      </c>
      <c r="D3592" s="42" t="n">
        <v>36</v>
      </c>
      <c r="E3592" s="42" t="n">
        <v>1</v>
      </c>
      <c r="F3592" s="42" t="inlineStr">
        <is>
          <t>FR-293</t>
        </is>
      </c>
      <c r="G3592" s="55">
        <f>IFERROR(INDEX('Semrush Data'!$A$1:$Z$20000,MATCH(A3592,'Semrush Data'!$A$1:$A$20000,0),MATCH("Volume",'Semrush Data'!$A$1:$Z$1,0)),"")</f>
        <v/>
      </c>
      <c r="H3592" s="42">
        <f>IFERROR(INDEX('Semrush Data'!$A$1:$Z$20000,MATCH(A3592,'Semrush Data'!$A$1:$A$20000,0),MATCH("Keyword Difficulty*",'Semrush Data'!$A$1:$Z$1,0)),"")</f>
        <v/>
      </c>
      <c r="I3592" s="56">
        <f>IFERROR(INDEX('Semrush Data'!$A$1:$Z$20000,MATCH(A3592,'Semrush Data'!$A$1:$A$20000,0),MATCH("CPC*",'Semrush Data'!$A$1:$Z$1,0)),"")</f>
        <v/>
      </c>
      <c r="J3592" s="42">
        <f>IFERROR(INDEX('Semrush Data'!$A$1:$Z$20000,MATCH(A3592,'Semrush Data'!$A$1:$A$20000,0),MATCH("Intent",'Semrush Data'!$A$1:$Z$1,0)),"")</f>
        <v/>
      </c>
    </row>
    <row r="3593" ht="15" customHeight="1" s="37">
      <c r="A3593" s="42" t="inlineStr">
        <is>
          <t>marc jacobs perfect miniature price</t>
        </is>
      </c>
      <c r="B3593" s="42" t="inlineStr">
        <is>
          <t>Price</t>
        </is>
      </c>
      <c r="C3593" s="42" t="n">
        <v>3</v>
      </c>
      <c r="D3593" s="42" t="n">
        <v>36</v>
      </c>
      <c r="E3593" s="42" t="n">
        <v>1</v>
      </c>
      <c r="F3593" s="42" t="inlineStr">
        <is>
          <t>FR-296</t>
        </is>
      </c>
      <c r="G3593" s="55">
        <f>IFERROR(INDEX('Semrush Data'!$A$1:$Z$20000,MATCH(A3593,'Semrush Data'!$A$1:$A$20000,0),MATCH("Volume",'Semrush Data'!$A$1:$Z$1,0)),"")</f>
        <v/>
      </c>
      <c r="H3593" s="42">
        <f>IFERROR(INDEX('Semrush Data'!$A$1:$Z$20000,MATCH(A3593,'Semrush Data'!$A$1:$A$20000,0),MATCH("Keyword Difficulty*",'Semrush Data'!$A$1:$Z$1,0)),"")</f>
        <v/>
      </c>
      <c r="I3593" s="56">
        <f>IFERROR(INDEX('Semrush Data'!$A$1:$Z$20000,MATCH(A3593,'Semrush Data'!$A$1:$A$20000,0),MATCH("CPC*",'Semrush Data'!$A$1:$Z$1,0)),"")</f>
        <v/>
      </c>
      <c r="J3593" s="42">
        <f>IFERROR(INDEX('Semrush Data'!$A$1:$Z$20000,MATCH(A3593,'Semrush Data'!$A$1:$A$20000,0),MATCH("Intent",'Semrush Data'!$A$1:$Z$1,0)),"")</f>
        <v/>
      </c>
    </row>
    <row r="3594" ht="15" customHeight="1" s="37">
      <c r="A3594" s="42" t="inlineStr">
        <is>
          <t>marc jacobs perfect price</t>
        </is>
      </c>
      <c r="B3594" s="42" t="inlineStr">
        <is>
          <t>Price</t>
        </is>
      </c>
      <c r="C3594" s="42" t="n">
        <v>3</v>
      </c>
      <c r="D3594" s="42" t="inlineStr">
        <is>
          <t>T3-1</t>
        </is>
      </c>
      <c r="E3594" s="42" t="n">
        <v>1</v>
      </c>
      <c r="F3594" s="42" t="inlineStr">
        <is>
          <t>FR-292</t>
        </is>
      </c>
      <c r="G3594" s="55">
        <f>IFERROR(INDEX('Semrush Data'!$A$1:$Z$20000,MATCH(A3594,'Semrush Data'!$A$1:$A$20000,0),MATCH("Volume",'Semrush Data'!$A$1:$Z$1,0)),"")</f>
        <v/>
      </c>
      <c r="H3594" s="42">
        <f>IFERROR(INDEX('Semrush Data'!$A$1:$Z$20000,MATCH(A3594,'Semrush Data'!$A$1:$A$20000,0),MATCH("Keyword Difficulty*",'Semrush Data'!$A$1:$Z$1,0)),"")</f>
        <v/>
      </c>
      <c r="I3594" s="56">
        <f>IFERROR(INDEX('Semrush Data'!$A$1:$Z$20000,MATCH(A3594,'Semrush Data'!$A$1:$A$20000,0),MATCH("CPC*",'Semrush Data'!$A$1:$Z$1,0)),"")</f>
        <v/>
      </c>
      <c r="J3594" s="42">
        <f>IFERROR(INDEX('Semrush Data'!$A$1:$Z$20000,MATCH(A3594,'Semrush Data'!$A$1:$A$20000,0),MATCH("Intent",'Semrush Data'!$A$1:$Z$1,0)),"")</f>
        <v/>
      </c>
    </row>
    <row r="3595" ht="15" customHeight="1" s="37">
      <c r="A3595" s="42" t="inlineStr">
        <is>
          <t>montale aoud damascus price</t>
        </is>
      </c>
      <c r="B3595" s="42" t="inlineStr">
        <is>
          <t>Price</t>
        </is>
      </c>
      <c r="C3595" s="42" t="n">
        <v>3</v>
      </c>
      <c r="D3595" s="42" t="n">
        <v>36</v>
      </c>
      <c r="E3595" s="42" t="n">
        <v>1</v>
      </c>
      <c r="F3595" s="42" t="inlineStr">
        <is>
          <t>FR-298</t>
        </is>
      </c>
      <c r="G3595" s="55">
        <f>IFERROR(INDEX('Semrush Data'!$A$1:$Z$20000,MATCH(A3595,'Semrush Data'!$A$1:$A$20000,0),MATCH("Volume",'Semrush Data'!$A$1:$Z$1,0)),"")</f>
        <v/>
      </c>
      <c r="H3595" s="42">
        <f>IFERROR(INDEX('Semrush Data'!$A$1:$Z$20000,MATCH(A3595,'Semrush Data'!$A$1:$A$20000,0),MATCH("Keyword Difficulty*",'Semrush Data'!$A$1:$Z$1,0)),"")</f>
        <v/>
      </c>
      <c r="I3595" s="56">
        <f>IFERROR(INDEX('Semrush Data'!$A$1:$Z$20000,MATCH(A3595,'Semrush Data'!$A$1:$A$20000,0),MATCH("CPC*",'Semrush Data'!$A$1:$Z$1,0)),"")</f>
        <v/>
      </c>
      <c r="J3595" s="42">
        <f>IFERROR(INDEX('Semrush Data'!$A$1:$Z$20000,MATCH(A3595,'Semrush Data'!$A$1:$A$20000,0),MATCH("Intent",'Semrush Data'!$A$1:$Z$1,0)),"")</f>
        <v/>
      </c>
    </row>
    <row r="3596" ht="15" customHeight="1" s="37">
      <c r="A3596" s="42" t="inlineStr">
        <is>
          <t>montale aoud safran price</t>
        </is>
      </c>
      <c r="B3596" s="42" t="inlineStr">
        <is>
          <t>Price</t>
        </is>
      </c>
      <c r="C3596" s="42" t="n">
        <v>3</v>
      </c>
      <c r="D3596" s="42" t="n">
        <v>36</v>
      </c>
      <c r="E3596" s="42" t="n">
        <v>1</v>
      </c>
      <c r="F3596" s="42" t="inlineStr">
        <is>
          <t>FR-299</t>
        </is>
      </c>
      <c r="G3596" s="55">
        <f>IFERROR(INDEX('Semrush Data'!$A$1:$Z$20000,MATCH(A3596,'Semrush Data'!$A$1:$A$20000,0),MATCH("Volume",'Semrush Data'!$A$1:$Z$1,0)),"")</f>
        <v/>
      </c>
      <c r="H3596" s="42">
        <f>IFERROR(INDEX('Semrush Data'!$A$1:$Z$20000,MATCH(A3596,'Semrush Data'!$A$1:$A$20000,0),MATCH("Keyword Difficulty*",'Semrush Data'!$A$1:$Z$1,0)),"")</f>
        <v/>
      </c>
      <c r="I3596" s="56">
        <f>IFERROR(INDEX('Semrush Data'!$A$1:$Z$20000,MATCH(A3596,'Semrush Data'!$A$1:$A$20000,0),MATCH("CPC*",'Semrush Data'!$A$1:$Z$1,0)),"")</f>
        <v/>
      </c>
      <c r="J3596" s="42">
        <f>IFERROR(INDEX('Semrush Data'!$A$1:$Z$20000,MATCH(A3596,'Semrush Data'!$A$1:$A$20000,0),MATCH("Intent",'Semrush Data'!$A$1:$Z$1,0)),"")</f>
        <v/>
      </c>
    </row>
    <row r="3597" ht="15" customHeight="1" s="37">
      <c r="A3597" s="42" t="inlineStr">
        <is>
          <t>nina ricci l'air du temps price</t>
        </is>
      </c>
      <c r="B3597" s="42" t="inlineStr">
        <is>
          <t>Price</t>
        </is>
      </c>
      <c r="C3597" s="42" t="n">
        <v>3</v>
      </c>
      <c r="D3597" s="42" t="inlineStr">
        <is>
          <t>T3-1</t>
        </is>
      </c>
      <c r="E3597" s="42" t="n">
        <v>2</v>
      </c>
      <c r="F3597" s="42" t="inlineStr">
        <is>
          <t>FR-302, FR-303</t>
        </is>
      </c>
      <c r="G3597" s="55">
        <f>IFERROR(INDEX('Semrush Data'!$A$1:$Z$20000,MATCH(A3597,'Semrush Data'!$A$1:$A$20000,0),MATCH("Volume",'Semrush Data'!$A$1:$Z$1,0)),"")</f>
        <v/>
      </c>
      <c r="H3597" s="42">
        <f>IFERROR(INDEX('Semrush Data'!$A$1:$Z$20000,MATCH(A3597,'Semrush Data'!$A$1:$A$20000,0),MATCH("Keyword Difficulty*",'Semrush Data'!$A$1:$Z$1,0)),"")</f>
        <v/>
      </c>
      <c r="I3597" s="56">
        <f>IFERROR(INDEX('Semrush Data'!$A$1:$Z$20000,MATCH(A3597,'Semrush Data'!$A$1:$A$20000,0),MATCH("CPC*",'Semrush Data'!$A$1:$Z$1,0)),"")</f>
        <v/>
      </c>
      <c r="J3597" s="42">
        <f>IFERROR(INDEX('Semrush Data'!$A$1:$Z$20000,MATCH(A3597,'Semrush Data'!$A$1:$A$20000,0),MATCH("Intent",'Semrush Data'!$A$1:$Z$1,0)),"")</f>
        <v/>
      </c>
    </row>
    <row r="3598" ht="15" customHeight="1" s="37">
      <c r="A3598" s="42" t="inlineStr">
        <is>
          <t>nina ricci nina illusion price</t>
        </is>
      </c>
      <c r="B3598" s="42" t="inlineStr">
        <is>
          <t>Price</t>
        </is>
      </c>
      <c r="C3598" s="42" t="n">
        <v>3</v>
      </c>
      <c r="D3598" s="42" t="n">
        <v>36</v>
      </c>
      <c r="E3598" s="42" t="n">
        <v>1</v>
      </c>
      <c r="F3598" s="42" t="inlineStr">
        <is>
          <t>FR-300</t>
        </is>
      </c>
      <c r="G3598" s="55">
        <f>IFERROR(INDEX('Semrush Data'!$A$1:$Z$20000,MATCH(A3598,'Semrush Data'!$A$1:$A$20000,0),MATCH("Volume",'Semrush Data'!$A$1:$Z$1,0)),"")</f>
        <v/>
      </c>
      <c r="H3598" s="42">
        <f>IFERROR(INDEX('Semrush Data'!$A$1:$Z$20000,MATCH(A3598,'Semrush Data'!$A$1:$A$20000,0),MATCH("Keyword Difficulty*",'Semrush Data'!$A$1:$Z$1,0)),"")</f>
        <v/>
      </c>
      <c r="I3598" s="56">
        <f>IFERROR(INDEX('Semrush Data'!$A$1:$Z$20000,MATCH(A3598,'Semrush Data'!$A$1:$A$20000,0),MATCH("CPC*",'Semrush Data'!$A$1:$Z$1,0)),"")</f>
        <v/>
      </c>
      <c r="J3598" s="42">
        <f>IFERROR(INDEX('Semrush Data'!$A$1:$Z$20000,MATCH(A3598,'Semrush Data'!$A$1:$A$20000,0),MATCH("Intent",'Semrush Data'!$A$1:$Z$1,0)),"")</f>
        <v/>
      </c>
    </row>
    <row r="3599" ht="15" customHeight="1" s="37">
      <c r="A3599" s="42" t="inlineStr">
        <is>
          <t>nina ricci nina precious gold price</t>
        </is>
      </c>
      <c r="B3599" s="42" t="inlineStr">
        <is>
          <t>Price</t>
        </is>
      </c>
      <c r="C3599" s="42" t="n">
        <v>3</v>
      </c>
      <c r="D3599" s="42" t="n">
        <v>36</v>
      </c>
      <c r="E3599" s="42" t="n">
        <v>1</v>
      </c>
      <c r="F3599" s="42" t="inlineStr">
        <is>
          <t>FR-301</t>
        </is>
      </c>
      <c r="G3599" s="55">
        <f>IFERROR(INDEX('Semrush Data'!$A$1:$Z$20000,MATCH(A3599,'Semrush Data'!$A$1:$A$20000,0),MATCH("Volume",'Semrush Data'!$A$1:$Z$1,0)),"")</f>
        <v/>
      </c>
      <c r="H3599" s="42">
        <f>IFERROR(INDEX('Semrush Data'!$A$1:$Z$20000,MATCH(A3599,'Semrush Data'!$A$1:$A$20000,0),MATCH("Keyword Difficulty*",'Semrush Data'!$A$1:$Z$1,0)),"")</f>
        <v/>
      </c>
      <c r="I3599" s="56">
        <f>IFERROR(INDEX('Semrush Data'!$A$1:$Z$20000,MATCH(A3599,'Semrush Data'!$A$1:$A$20000,0),MATCH("CPC*",'Semrush Data'!$A$1:$Z$1,0)),"")</f>
        <v/>
      </c>
      <c r="J3599" s="42">
        <f>IFERROR(INDEX('Semrush Data'!$A$1:$Z$20000,MATCH(A3599,'Semrush Data'!$A$1:$A$20000,0),MATCH("Intent",'Semrush Data'!$A$1:$Z$1,0)),"")</f>
        <v/>
      </c>
    </row>
    <row r="3600" ht="15" customHeight="1" s="37">
      <c r="A3600" s="42" t="inlineStr">
        <is>
          <t>paloma picasso price</t>
        </is>
      </c>
      <c r="B3600" s="42" t="inlineStr">
        <is>
          <t>Price</t>
        </is>
      </c>
      <c r="C3600" s="42" t="n">
        <v>3</v>
      </c>
      <c r="D3600" s="42" t="inlineStr">
        <is>
          <t>T3-1</t>
        </is>
      </c>
      <c r="E3600" s="42" t="n">
        <v>1</v>
      </c>
      <c r="F3600" s="42" t="inlineStr">
        <is>
          <t>FR-304</t>
        </is>
      </c>
      <c r="G3600" s="55">
        <f>IFERROR(INDEX('Semrush Data'!$A$1:$Z$20000,MATCH(A3600,'Semrush Data'!$A$1:$A$20000,0),MATCH("Volume",'Semrush Data'!$A$1:$Z$1,0)),"")</f>
        <v/>
      </c>
      <c r="H3600" s="42">
        <f>IFERROR(INDEX('Semrush Data'!$A$1:$Z$20000,MATCH(A3600,'Semrush Data'!$A$1:$A$20000,0),MATCH("Keyword Difficulty*",'Semrush Data'!$A$1:$Z$1,0)),"")</f>
        <v/>
      </c>
      <c r="I3600" s="56">
        <f>IFERROR(INDEX('Semrush Data'!$A$1:$Z$20000,MATCH(A3600,'Semrush Data'!$A$1:$A$20000,0),MATCH("CPC*",'Semrush Data'!$A$1:$Z$1,0)),"")</f>
        <v/>
      </c>
      <c r="J3600" s="42">
        <f>IFERROR(INDEX('Semrush Data'!$A$1:$Z$20000,MATCH(A3600,'Semrush Data'!$A$1:$A$20000,0),MATCH("Intent",'Semrush Data'!$A$1:$Z$1,0)),"")</f>
        <v/>
      </c>
    </row>
    <row r="3601" ht="15" customHeight="1" s="37">
      <c r="A3601" s="42" t="inlineStr">
        <is>
          <t>philipp plein no limits after shave balm price</t>
        </is>
      </c>
      <c r="B3601" s="42" t="inlineStr">
        <is>
          <t>Price</t>
        </is>
      </c>
      <c r="C3601" s="42" t="n">
        <v>3</v>
      </c>
      <c r="D3601" s="42" t="n">
        <v>36</v>
      </c>
      <c r="E3601" s="42" t="n">
        <v>1</v>
      </c>
      <c r="F3601" s="42" t="inlineStr">
        <is>
          <t>FR-307</t>
        </is>
      </c>
      <c r="G3601" s="55">
        <f>IFERROR(INDEX('Semrush Data'!$A$1:$Z$20000,MATCH(A3601,'Semrush Data'!$A$1:$A$20000,0),MATCH("Volume",'Semrush Data'!$A$1:$Z$1,0)),"")</f>
        <v/>
      </c>
      <c r="H3601" s="42">
        <f>IFERROR(INDEX('Semrush Data'!$A$1:$Z$20000,MATCH(A3601,'Semrush Data'!$A$1:$A$20000,0),MATCH("Keyword Difficulty*",'Semrush Data'!$A$1:$Z$1,0)),"")</f>
        <v/>
      </c>
      <c r="I3601" s="56">
        <f>IFERROR(INDEX('Semrush Data'!$A$1:$Z$20000,MATCH(A3601,'Semrush Data'!$A$1:$A$20000,0),MATCH("CPC*",'Semrush Data'!$A$1:$Z$1,0)),"")</f>
        <v/>
      </c>
      <c r="J3601" s="42">
        <f>IFERROR(INDEX('Semrush Data'!$A$1:$Z$20000,MATCH(A3601,'Semrush Data'!$A$1:$A$20000,0),MATCH("Intent",'Semrush Data'!$A$1:$Z$1,0)),"")</f>
        <v/>
      </c>
    </row>
    <row r="3602" ht="15" customHeight="1" s="37">
      <c r="A3602" s="42" t="inlineStr">
        <is>
          <t>philipp plein no limits deodorant stick price</t>
        </is>
      </c>
      <c r="B3602" s="42" t="inlineStr">
        <is>
          <t>Price</t>
        </is>
      </c>
      <c r="C3602" s="42" t="n">
        <v>3</v>
      </c>
      <c r="D3602" s="42" t="n">
        <v>37</v>
      </c>
      <c r="E3602" s="42" t="n">
        <v>1</v>
      </c>
      <c r="F3602" s="42" t="inlineStr">
        <is>
          <t>FR-305</t>
        </is>
      </c>
      <c r="G3602" s="55">
        <f>IFERROR(INDEX('Semrush Data'!$A$1:$Z$20000,MATCH(A3602,'Semrush Data'!$A$1:$A$20000,0),MATCH("Volume",'Semrush Data'!$A$1:$Z$1,0)),"")</f>
        <v/>
      </c>
      <c r="H3602" s="42">
        <f>IFERROR(INDEX('Semrush Data'!$A$1:$Z$20000,MATCH(A3602,'Semrush Data'!$A$1:$A$20000,0),MATCH("Keyword Difficulty*",'Semrush Data'!$A$1:$Z$1,0)),"")</f>
        <v/>
      </c>
      <c r="I3602" s="56">
        <f>IFERROR(INDEX('Semrush Data'!$A$1:$Z$20000,MATCH(A3602,'Semrush Data'!$A$1:$A$20000,0),MATCH("CPC*",'Semrush Data'!$A$1:$Z$1,0)),"")</f>
        <v/>
      </c>
      <c r="J3602" s="42">
        <f>IFERROR(INDEX('Semrush Data'!$A$1:$Z$20000,MATCH(A3602,'Semrush Data'!$A$1:$A$20000,0),MATCH("Intent",'Semrush Data'!$A$1:$Z$1,0)),"")</f>
        <v/>
      </c>
    </row>
    <row r="3603" ht="15" customHeight="1" s="37">
      <c r="A3603" s="42" t="inlineStr">
        <is>
          <t>philipp plein no limits super fresh price</t>
        </is>
      </c>
      <c r="B3603" s="42" t="inlineStr">
        <is>
          <t>Price</t>
        </is>
      </c>
      <c r="C3603" s="42" t="n">
        <v>3</v>
      </c>
      <c r="D3603" s="42" t="n">
        <v>37</v>
      </c>
      <c r="E3603" s="42" t="n">
        <v>1</v>
      </c>
      <c r="F3603" s="42" t="inlineStr">
        <is>
          <t>FR-306</t>
        </is>
      </c>
      <c r="G3603" s="55">
        <f>IFERROR(INDEX('Semrush Data'!$A$1:$Z$20000,MATCH(A3603,'Semrush Data'!$A$1:$A$20000,0),MATCH("Volume",'Semrush Data'!$A$1:$Z$1,0)),"")</f>
        <v/>
      </c>
      <c r="H3603" s="42">
        <f>IFERROR(INDEX('Semrush Data'!$A$1:$Z$20000,MATCH(A3603,'Semrush Data'!$A$1:$A$20000,0),MATCH("Keyword Difficulty*",'Semrush Data'!$A$1:$Z$1,0)),"")</f>
        <v/>
      </c>
      <c r="I3603" s="56">
        <f>IFERROR(INDEX('Semrush Data'!$A$1:$Z$20000,MATCH(A3603,'Semrush Data'!$A$1:$A$20000,0),MATCH("CPC*",'Semrush Data'!$A$1:$Z$1,0)),"")</f>
        <v/>
      </c>
      <c r="J3603" s="42">
        <f>IFERROR(INDEX('Semrush Data'!$A$1:$Z$20000,MATCH(A3603,'Semrush Data'!$A$1:$A$20000,0),MATCH("Intent",'Semrush Data'!$A$1:$Z$1,0)),"")</f>
        <v/>
      </c>
    </row>
    <row r="3604" ht="15" customHeight="1" s="37">
      <c r="A3604" s="42" t="inlineStr">
        <is>
          <t>rihanah ajwaa oud price</t>
        </is>
      </c>
      <c r="B3604" s="42" t="inlineStr">
        <is>
          <t>Price</t>
        </is>
      </c>
      <c r="C3604" s="42" t="n">
        <v>3</v>
      </c>
      <c r="D3604" s="42" t="n">
        <v>37</v>
      </c>
      <c r="E3604" s="42" t="n">
        <v>1</v>
      </c>
      <c r="F3604" s="42" t="inlineStr">
        <is>
          <t>FR-308</t>
        </is>
      </c>
      <c r="G3604" s="55">
        <f>IFERROR(INDEX('Semrush Data'!$A$1:$Z$20000,MATCH(A3604,'Semrush Data'!$A$1:$A$20000,0),MATCH("Volume",'Semrush Data'!$A$1:$Z$1,0)),"")</f>
        <v/>
      </c>
      <c r="H3604" s="42">
        <f>IFERROR(INDEX('Semrush Data'!$A$1:$Z$20000,MATCH(A3604,'Semrush Data'!$A$1:$A$20000,0),MATCH("Keyword Difficulty*",'Semrush Data'!$A$1:$Z$1,0)),"")</f>
        <v/>
      </c>
      <c r="I3604" s="56">
        <f>IFERROR(INDEX('Semrush Data'!$A$1:$Z$20000,MATCH(A3604,'Semrush Data'!$A$1:$A$20000,0),MATCH("CPC*",'Semrush Data'!$A$1:$Z$1,0)),"")</f>
        <v/>
      </c>
      <c r="J3604" s="42">
        <f>IFERROR(INDEX('Semrush Data'!$A$1:$Z$20000,MATCH(A3604,'Semrush Data'!$A$1:$A$20000,0),MATCH("Intent",'Semrush Data'!$A$1:$Z$1,0)),"")</f>
        <v/>
      </c>
    </row>
    <row r="3605" ht="15" customHeight="1" s="37">
      <c r="A3605" s="42" t="inlineStr">
        <is>
          <t>roll it 1 price</t>
        </is>
      </c>
      <c r="B3605" s="42" t="inlineStr">
        <is>
          <t>Price</t>
        </is>
      </c>
      <c r="C3605" s="42" t="n">
        <v>3</v>
      </c>
      <c r="D3605" s="42" t="n">
        <v>37</v>
      </c>
      <c r="E3605" s="42" t="n">
        <v>1</v>
      </c>
      <c r="F3605" s="42" t="inlineStr">
        <is>
          <t>FR-210</t>
        </is>
      </c>
      <c r="G3605" s="55">
        <f>IFERROR(INDEX('Semrush Data'!$A$1:$Z$20000,MATCH(A3605,'Semrush Data'!$A$1:$A$20000,0),MATCH("Volume",'Semrush Data'!$A$1:$Z$1,0)),"")</f>
        <v/>
      </c>
      <c r="H3605" s="42">
        <f>IFERROR(INDEX('Semrush Data'!$A$1:$Z$20000,MATCH(A3605,'Semrush Data'!$A$1:$A$20000,0),MATCH("Keyword Difficulty*",'Semrush Data'!$A$1:$Z$1,0)),"")</f>
        <v/>
      </c>
      <c r="I3605" s="56">
        <f>IFERROR(INDEX('Semrush Data'!$A$1:$Z$20000,MATCH(A3605,'Semrush Data'!$A$1:$A$20000,0),MATCH("CPC*",'Semrush Data'!$A$1:$Z$1,0)),"")</f>
        <v/>
      </c>
      <c r="J3605" s="42">
        <f>IFERROR(INDEX('Semrush Data'!$A$1:$Z$20000,MATCH(A3605,'Semrush Data'!$A$1:$A$20000,0),MATCH("Intent",'Semrush Data'!$A$1:$Z$1,0)),"")</f>
        <v/>
      </c>
    </row>
    <row r="3606" ht="15" customHeight="1" s="37">
      <c r="A3606" s="42" t="inlineStr">
        <is>
          <t>s.t. dupont perfect tobacco price</t>
        </is>
      </c>
      <c r="B3606" s="42" t="inlineStr">
        <is>
          <t>Price</t>
        </is>
      </c>
      <c r="C3606" s="42" t="n">
        <v>3</v>
      </c>
      <c r="D3606" s="42" t="n">
        <v>37</v>
      </c>
      <c r="E3606" s="42" t="n">
        <v>1</v>
      </c>
      <c r="F3606" s="42" t="inlineStr">
        <is>
          <t>FR-309</t>
        </is>
      </c>
      <c r="G3606" s="55">
        <f>IFERROR(INDEX('Semrush Data'!$A$1:$Z$20000,MATCH(A3606,'Semrush Data'!$A$1:$A$20000,0),MATCH("Volume",'Semrush Data'!$A$1:$Z$1,0)),"")</f>
        <v/>
      </c>
      <c r="H3606" s="42">
        <f>IFERROR(INDEX('Semrush Data'!$A$1:$Z$20000,MATCH(A3606,'Semrush Data'!$A$1:$A$20000,0),MATCH("Keyword Difficulty*",'Semrush Data'!$A$1:$Z$1,0)),"")</f>
        <v/>
      </c>
      <c r="I3606" s="56">
        <f>IFERROR(INDEX('Semrush Data'!$A$1:$Z$20000,MATCH(A3606,'Semrush Data'!$A$1:$A$20000,0),MATCH("CPC*",'Semrush Data'!$A$1:$Z$1,0)),"")</f>
        <v/>
      </c>
      <c r="J3606" s="42">
        <f>IFERROR(INDEX('Semrush Data'!$A$1:$Z$20000,MATCH(A3606,'Semrush Data'!$A$1:$A$20000,0),MATCH("Intent",'Semrush Data'!$A$1:$Z$1,0)),"")</f>
        <v/>
      </c>
    </row>
    <row r="3607" ht="15" customHeight="1" s="37">
      <c r="A3607" s="42" t="inlineStr">
        <is>
          <t>s.t. dupont pure bloom price</t>
        </is>
      </c>
      <c r="B3607" s="42" t="inlineStr">
        <is>
          <t>Price</t>
        </is>
      </c>
      <c r="C3607" s="42" t="n">
        <v>3</v>
      </c>
      <c r="D3607" s="42" t="n">
        <v>37</v>
      </c>
      <c r="E3607" s="42" t="n">
        <v>1</v>
      </c>
      <c r="F3607" s="42" t="inlineStr">
        <is>
          <t>FR-310</t>
        </is>
      </c>
      <c r="G3607" s="55">
        <f>IFERROR(INDEX('Semrush Data'!$A$1:$Z$20000,MATCH(A3607,'Semrush Data'!$A$1:$A$20000,0),MATCH("Volume",'Semrush Data'!$A$1:$Z$1,0)),"")</f>
        <v/>
      </c>
      <c r="H3607" s="42">
        <f>IFERROR(INDEX('Semrush Data'!$A$1:$Z$20000,MATCH(A3607,'Semrush Data'!$A$1:$A$20000,0),MATCH("Keyword Difficulty*",'Semrush Data'!$A$1:$Z$1,0)),"")</f>
        <v/>
      </c>
      <c r="I3607" s="56">
        <f>IFERROR(INDEX('Semrush Data'!$A$1:$Z$20000,MATCH(A3607,'Semrush Data'!$A$1:$A$20000,0),MATCH("CPC*",'Semrush Data'!$A$1:$Z$1,0)),"")</f>
        <v/>
      </c>
      <c r="J3607" s="42">
        <f>IFERROR(INDEX('Semrush Data'!$A$1:$Z$20000,MATCH(A3607,'Semrush Data'!$A$1:$A$20000,0),MATCH("Intent",'Semrush Data'!$A$1:$Z$1,0)),"")</f>
        <v/>
      </c>
    </row>
    <row r="3608" ht="15" customHeight="1" s="37">
      <c r="A3608" s="42" t="inlineStr">
        <is>
          <t>s.t. dupont royal amber price</t>
        </is>
      </c>
      <c r="B3608" s="42" t="inlineStr">
        <is>
          <t>Price</t>
        </is>
      </c>
      <c r="C3608" s="42" t="n">
        <v>3</v>
      </c>
      <c r="D3608" s="42" t="n">
        <v>37</v>
      </c>
      <c r="E3608" s="42" t="n">
        <v>1</v>
      </c>
      <c r="F3608" s="42" t="inlineStr">
        <is>
          <t>FR-311</t>
        </is>
      </c>
      <c r="G3608" s="55">
        <f>IFERROR(INDEX('Semrush Data'!$A$1:$Z$20000,MATCH(A3608,'Semrush Data'!$A$1:$A$20000,0),MATCH("Volume",'Semrush Data'!$A$1:$Z$1,0)),"")</f>
        <v/>
      </c>
      <c r="H3608" s="42">
        <f>IFERROR(INDEX('Semrush Data'!$A$1:$Z$20000,MATCH(A3608,'Semrush Data'!$A$1:$A$20000,0),MATCH("Keyword Difficulty*",'Semrush Data'!$A$1:$Z$1,0)),"")</f>
        <v/>
      </c>
      <c r="I3608" s="56">
        <f>IFERROR(INDEX('Semrush Data'!$A$1:$Z$20000,MATCH(A3608,'Semrush Data'!$A$1:$A$20000,0),MATCH("CPC*",'Semrush Data'!$A$1:$Z$1,0)),"")</f>
        <v/>
      </c>
      <c r="J3608" s="42">
        <f>IFERROR(INDEX('Semrush Data'!$A$1:$Z$20000,MATCH(A3608,'Semrush Data'!$A$1:$A$20000,0),MATCH("Intent",'Semrush Data'!$A$1:$Z$1,0)),"")</f>
        <v/>
      </c>
    </row>
    <row r="3609" ht="15" customHeight="1" s="37">
      <c r="A3609" s="42" t="inlineStr">
        <is>
          <t>sap le roi price</t>
        </is>
      </c>
      <c r="B3609" s="42" t="inlineStr">
        <is>
          <t>Price</t>
        </is>
      </c>
      <c r="C3609" s="42" t="n">
        <v>3</v>
      </c>
      <c r="D3609" s="42" t="n">
        <v>37</v>
      </c>
      <c r="E3609" s="42" t="n">
        <v>1</v>
      </c>
      <c r="F3609" s="42" t="inlineStr">
        <is>
          <t>FR-312</t>
        </is>
      </c>
      <c r="G3609" s="55">
        <f>IFERROR(INDEX('Semrush Data'!$A$1:$Z$20000,MATCH(A3609,'Semrush Data'!$A$1:$A$20000,0),MATCH("Volume",'Semrush Data'!$A$1:$Z$1,0)),"")</f>
        <v/>
      </c>
      <c r="H3609" s="42">
        <f>IFERROR(INDEX('Semrush Data'!$A$1:$Z$20000,MATCH(A3609,'Semrush Data'!$A$1:$A$20000,0),MATCH("Keyword Difficulty*",'Semrush Data'!$A$1:$Z$1,0)),"")</f>
        <v/>
      </c>
      <c r="I3609" s="56">
        <f>IFERROR(INDEX('Semrush Data'!$A$1:$Z$20000,MATCH(A3609,'Semrush Data'!$A$1:$A$20000,0),MATCH("CPC*",'Semrush Data'!$A$1:$Z$1,0)),"")</f>
        <v/>
      </c>
      <c r="J3609" s="42">
        <f>IFERROR(INDEX('Semrush Data'!$A$1:$Z$20000,MATCH(A3609,'Semrush Data'!$A$1:$A$20000,0),MATCH("Intent",'Semrush Data'!$A$1:$Z$1,0)),"")</f>
        <v/>
      </c>
    </row>
    <row r="3610" ht="15" customHeight="1" s="37">
      <c r="A3610" s="42" t="inlineStr">
        <is>
          <t>sap oud leopard fr price</t>
        </is>
      </c>
      <c r="B3610" s="42" t="inlineStr">
        <is>
          <t>Price</t>
        </is>
      </c>
      <c r="C3610" s="42" t="n">
        <v>3</v>
      </c>
      <c r="D3610" s="42" t="n">
        <v>37</v>
      </c>
      <c r="E3610" s="42" t="n">
        <v>1</v>
      </c>
      <c r="F3610" s="42" t="inlineStr">
        <is>
          <t>FR-313</t>
        </is>
      </c>
      <c r="G3610" s="55">
        <f>IFERROR(INDEX('Semrush Data'!$A$1:$Z$20000,MATCH(A3610,'Semrush Data'!$A$1:$A$20000,0),MATCH("Volume",'Semrush Data'!$A$1:$Z$1,0)),"")</f>
        <v/>
      </c>
      <c r="H3610" s="42">
        <f>IFERROR(INDEX('Semrush Data'!$A$1:$Z$20000,MATCH(A3610,'Semrush Data'!$A$1:$A$20000,0),MATCH("Keyword Difficulty*",'Semrush Data'!$A$1:$Z$1,0)),"")</f>
        <v/>
      </c>
      <c r="I3610" s="56">
        <f>IFERROR(INDEX('Semrush Data'!$A$1:$Z$20000,MATCH(A3610,'Semrush Data'!$A$1:$A$20000,0),MATCH("CPC*",'Semrush Data'!$A$1:$Z$1,0)),"")</f>
        <v/>
      </c>
      <c r="J3610" s="42">
        <f>IFERROR(INDEX('Semrush Data'!$A$1:$Z$20000,MATCH(A3610,'Semrush Data'!$A$1:$A$20000,0),MATCH("Intent",'Semrush Data'!$A$1:$Z$1,0)),"")</f>
        <v/>
      </c>
    </row>
    <row r="3611" ht="15" customHeight="1" s="37">
      <c r="A3611" s="42" t="inlineStr">
        <is>
          <t>sap patchouli intense price</t>
        </is>
      </c>
      <c r="B3611" s="42" t="inlineStr">
        <is>
          <t>Price</t>
        </is>
      </c>
      <c r="C3611" s="42" t="n">
        <v>3</v>
      </c>
      <c r="D3611" s="42" t="n">
        <v>37</v>
      </c>
      <c r="E3611" s="42" t="n">
        <v>1</v>
      </c>
      <c r="F3611" s="42" t="inlineStr">
        <is>
          <t>FR-314</t>
        </is>
      </c>
      <c r="G3611" s="55">
        <f>IFERROR(INDEX('Semrush Data'!$A$1:$Z$20000,MATCH(A3611,'Semrush Data'!$A$1:$A$20000,0),MATCH("Volume",'Semrush Data'!$A$1:$Z$1,0)),"")</f>
        <v/>
      </c>
      <c r="H3611" s="42">
        <f>IFERROR(INDEX('Semrush Data'!$A$1:$Z$20000,MATCH(A3611,'Semrush Data'!$A$1:$A$20000,0),MATCH("Keyword Difficulty*",'Semrush Data'!$A$1:$Z$1,0)),"")</f>
        <v/>
      </c>
      <c r="I3611" s="56">
        <f>IFERROR(INDEX('Semrush Data'!$A$1:$Z$20000,MATCH(A3611,'Semrush Data'!$A$1:$A$20000,0),MATCH("CPC*",'Semrush Data'!$A$1:$Z$1,0)),"")</f>
        <v/>
      </c>
      <c r="J3611" s="42">
        <f>IFERROR(INDEX('Semrush Data'!$A$1:$Z$20000,MATCH(A3611,'Semrush Data'!$A$1:$A$20000,0),MATCH("Intent",'Semrush Data'!$A$1:$Z$1,0)),"")</f>
        <v/>
      </c>
    </row>
    <row r="3612" ht="15" customHeight="1" s="37">
      <c r="A3612" s="42" t="inlineStr">
        <is>
          <t>sap saffron oud price</t>
        </is>
      </c>
      <c r="B3612" s="42" t="inlineStr">
        <is>
          <t>Price</t>
        </is>
      </c>
      <c r="C3612" s="42" t="n">
        <v>3</v>
      </c>
      <c r="D3612" s="42" t="n">
        <v>37</v>
      </c>
      <c r="E3612" s="42" t="n">
        <v>1</v>
      </c>
      <c r="F3612" s="42" t="inlineStr">
        <is>
          <t>FR-315</t>
        </is>
      </c>
      <c r="G3612" s="55">
        <f>IFERROR(INDEX('Semrush Data'!$A$1:$Z$20000,MATCH(A3612,'Semrush Data'!$A$1:$A$20000,0),MATCH("Volume",'Semrush Data'!$A$1:$Z$1,0)),"")</f>
        <v/>
      </c>
      <c r="H3612" s="42">
        <f>IFERROR(INDEX('Semrush Data'!$A$1:$Z$20000,MATCH(A3612,'Semrush Data'!$A$1:$A$20000,0),MATCH("Keyword Difficulty*",'Semrush Data'!$A$1:$Z$1,0)),"")</f>
        <v/>
      </c>
      <c r="I3612" s="56">
        <f>IFERROR(INDEX('Semrush Data'!$A$1:$Z$20000,MATCH(A3612,'Semrush Data'!$A$1:$A$20000,0),MATCH("CPC*",'Semrush Data'!$A$1:$Z$1,0)),"")</f>
        <v/>
      </c>
      <c r="J3612" s="42">
        <f>IFERROR(INDEX('Semrush Data'!$A$1:$Z$20000,MATCH(A3612,'Semrush Data'!$A$1:$A$20000,0),MATCH("Intent",'Semrush Data'!$A$1:$Z$1,0)),"")</f>
        <v/>
      </c>
    </row>
    <row r="3613" ht="15" customHeight="1" s="37">
      <c r="A3613" s="42" t="inlineStr">
        <is>
          <t>sap vert club price</t>
        </is>
      </c>
      <c r="B3613" s="42" t="inlineStr">
        <is>
          <t>Price</t>
        </is>
      </c>
      <c r="C3613" s="42" t="n">
        <v>3</v>
      </c>
      <c r="D3613" s="42" t="n">
        <v>37</v>
      </c>
      <c r="E3613" s="42" t="n">
        <v>1</v>
      </c>
      <c r="F3613" s="42" t="inlineStr">
        <is>
          <t>FR-316</t>
        </is>
      </c>
      <c r="G3613" s="55">
        <f>IFERROR(INDEX('Semrush Data'!$A$1:$Z$20000,MATCH(A3613,'Semrush Data'!$A$1:$A$20000,0),MATCH("Volume",'Semrush Data'!$A$1:$Z$1,0)),"")</f>
        <v/>
      </c>
      <c r="H3613" s="42">
        <f>IFERROR(INDEX('Semrush Data'!$A$1:$Z$20000,MATCH(A3613,'Semrush Data'!$A$1:$A$20000,0),MATCH("Keyword Difficulty*",'Semrush Data'!$A$1:$Z$1,0)),"")</f>
        <v/>
      </c>
      <c r="I3613" s="56">
        <f>IFERROR(INDEX('Semrush Data'!$A$1:$Z$20000,MATCH(A3613,'Semrush Data'!$A$1:$A$20000,0),MATCH("CPC*",'Semrush Data'!$A$1:$Z$1,0)),"")</f>
        <v/>
      </c>
      <c r="J3613" s="42">
        <f>IFERROR(INDEX('Semrush Data'!$A$1:$Z$20000,MATCH(A3613,'Semrush Data'!$A$1:$A$20000,0),MATCH("Intent",'Semrush Data'!$A$1:$Z$1,0)),"")</f>
        <v/>
      </c>
    </row>
    <row r="3614" ht="15" customHeight="1" s="37">
      <c r="A3614" s="42" t="inlineStr">
        <is>
          <t>serge lutens la fille de berlin price</t>
        </is>
      </c>
      <c r="B3614" s="42" t="inlineStr">
        <is>
          <t>Price</t>
        </is>
      </c>
      <c r="C3614" s="42" t="n">
        <v>3</v>
      </c>
      <c r="D3614" s="42" t="n">
        <v>37</v>
      </c>
      <c r="E3614" s="42" t="n">
        <v>1</v>
      </c>
      <c r="F3614" s="42" t="inlineStr">
        <is>
          <t>FR-317</t>
        </is>
      </c>
      <c r="G3614" s="55">
        <f>IFERROR(INDEX('Semrush Data'!$A$1:$Z$20000,MATCH(A3614,'Semrush Data'!$A$1:$A$20000,0),MATCH("Volume",'Semrush Data'!$A$1:$Z$1,0)),"")</f>
        <v/>
      </c>
      <c r="H3614" s="42">
        <f>IFERROR(INDEX('Semrush Data'!$A$1:$Z$20000,MATCH(A3614,'Semrush Data'!$A$1:$A$20000,0),MATCH("Keyword Difficulty*",'Semrush Data'!$A$1:$Z$1,0)),"")</f>
        <v/>
      </c>
      <c r="I3614" s="56">
        <f>IFERROR(INDEX('Semrush Data'!$A$1:$Z$20000,MATCH(A3614,'Semrush Data'!$A$1:$A$20000,0),MATCH("CPC*",'Semrush Data'!$A$1:$Z$1,0)),"")</f>
        <v/>
      </c>
      <c r="J3614" s="42">
        <f>IFERROR(INDEX('Semrush Data'!$A$1:$Z$20000,MATCH(A3614,'Semrush Data'!$A$1:$A$20000,0),MATCH("Intent",'Semrush Data'!$A$1:$Z$1,0)),"")</f>
        <v/>
      </c>
    </row>
    <row r="3615" ht="15" customHeight="1" s="37">
      <c r="A3615" s="42" t="inlineStr">
        <is>
          <t>shiseido zen price</t>
        </is>
      </c>
      <c r="B3615" s="42" t="inlineStr">
        <is>
          <t>Price</t>
        </is>
      </c>
      <c r="C3615" s="42" t="n">
        <v>3</v>
      </c>
      <c r="D3615" s="42" t="n">
        <v>37</v>
      </c>
      <c r="E3615" s="42" t="n">
        <v>1</v>
      </c>
      <c r="F3615" s="42" t="inlineStr">
        <is>
          <t>FR-318</t>
        </is>
      </c>
      <c r="G3615" s="55">
        <f>IFERROR(INDEX('Semrush Data'!$A$1:$Z$20000,MATCH(A3615,'Semrush Data'!$A$1:$A$20000,0),MATCH("Volume",'Semrush Data'!$A$1:$Z$1,0)),"")</f>
        <v/>
      </c>
      <c r="H3615" s="42">
        <f>IFERROR(INDEX('Semrush Data'!$A$1:$Z$20000,MATCH(A3615,'Semrush Data'!$A$1:$A$20000,0),MATCH("Keyword Difficulty*",'Semrush Data'!$A$1:$Z$1,0)),"")</f>
        <v/>
      </c>
      <c r="I3615" s="56">
        <f>IFERROR(INDEX('Semrush Data'!$A$1:$Z$20000,MATCH(A3615,'Semrush Data'!$A$1:$A$20000,0),MATCH("CPC*",'Semrush Data'!$A$1:$Z$1,0)),"")</f>
        <v/>
      </c>
      <c r="J3615" s="42">
        <f>IFERROR(INDEX('Semrush Data'!$A$1:$Z$20000,MATCH(A3615,'Semrush Data'!$A$1:$A$20000,0),MATCH("Intent",'Semrush Data'!$A$1:$Z$1,0)),"")</f>
        <v/>
      </c>
    </row>
    <row r="3616" ht="15" customHeight="1" s="37">
      <c r="A3616" s="42" t="inlineStr">
        <is>
          <t>signature ambre price</t>
        </is>
      </c>
      <c r="B3616" s="42" t="inlineStr">
        <is>
          <t>Price</t>
        </is>
      </c>
      <c r="C3616" s="42" t="n">
        <v>3</v>
      </c>
      <c r="D3616" s="42" t="n">
        <v>37</v>
      </c>
      <c r="E3616" s="42" t="n">
        <v>1</v>
      </c>
      <c r="F3616" s="42" t="inlineStr">
        <is>
          <t>FR-319</t>
        </is>
      </c>
      <c r="G3616" s="55">
        <f>IFERROR(INDEX('Semrush Data'!$A$1:$Z$20000,MATCH(A3616,'Semrush Data'!$A$1:$A$20000,0),MATCH("Volume",'Semrush Data'!$A$1:$Z$1,0)),"")</f>
        <v/>
      </c>
      <c r="H3616" s="42">
        <f>IFERROR(INDEX('Semrush Data'!$A$1:$Z$20000,MATCH(A3616,'Semrush Data'!$A$1:$A$20000,0),MATCH("Keyword Difficulty*",'Semrush Data'!$A$1:$Z$1,0)),"")</f>
        <v/>
      </c>
      <c r="I3616" s="56">
        <f>IFERROR(INDEX('Semrush Data'!$A$1:$Z$20000,MATCH(A3616,'Semrush Data'!$A$1:$A$20000,0),MATCH("CPC*",'Semrush Data'!$A$1:$Z$1,0)),"")</f>
        <v/>
      </c>
      <c r="J3616" s="42">
        <f>IFERROR(INDEX('Semrush Data'!$A$1:$Z$20000,MATCH(A3616,'Semrush Data'!$A$1:$A$20000,0),MATCH("Intent",'Semrush Data'!$A$1:$Z$1,0)),"")</f>
        <v/>
      </c>
    </row>
    <row r="3617" ht="15" customHeight="1" s="37">
      <c r="A3617" s="42" t="inlineStr">
        <is>
          <t>signature aura price</t>
        </is>
      </c>
      <c r="B3617" s="42" t="inlineStr">
        <is>
          <t>Price</t>
        </is>
      </c>
      <c r="C3617" s="42" t="n">
        <v>3</v>
      </c>
      <c r="D3617" s="42" t="n">
        <v>37</v>
      </c>
      <c r="E3617" s="42" t="n">
        <v>1</v>
      </c>
      <c r="F3617" s="42" t="inlineStr">
        <is>
          <t>FR-320</t>
        </is>
      </c>
      <c r="G3617" s="55">
        <f>IFERROR(INDEX('Semrush Data'!$A$1:$Z$20000,MATCH(A3617,'Semrush Data'!$A$1:$A$20000,0),MATCH("Volume",'Semrush Data'!$A$1:$Z$1,0)),"")</f>
        <v/>
      </c>
      <c r="H3617" s="42">
        <f>IFERROR(INDEX('Semrush Data'!$A$1:$Z$20000,MATCH(A3617,'Semrush Data'!$A$1:$A$20000,0),MATCH("Keyword Difficulty*",'Semrush Data'!$A$1:$Z$1,0)),"")</f>
        <v/>
      </c>
      <c r="I3617" s="56">
        <f>IFERROR(INDEX('Semrush Data'!$A$1:$Z$20000,MATCH(A3617,'Semrush Data'!$A$1:$A$20000,0),MATCH("CPC*",'Semrush Data'!$A$1:$Z$1,0)),"")</f>
        <v/>
      </c>
      <c r="J3617" s="42">
        <f>IFERROR(INDEX('Semrush Data'!$A$1:$Z$20000,MATCH(A3617,'Semrush Data'!$A$1:$A$20000,0),MATCH("Intent",'Semrush Data'!$A$1:$Z$1,0)),"")</f>
        <v/>
      </c>
    </row>
    <row r="3618" ht="15" customHeight="1" s="37">
      <c r="A3618" s="42" t="inlineStr">
        <is>
          <t>signature black pour homme price</t>
        </is>
      </c>
      <c r="B3618" s="42" t="inlineStr">
        <is>
          <t>Price</t>
        </is>
      </c>
      <c r="C3618" s="42" t="n">
        <v>3</v>
      </c>
      <c r="D3618" s="42" t="n">
        <v>37</v>
      </c>
      <c r="E3618" s="42" t="n">
        <v>1</v>
      </c>
      <c r="F3618" s="42" t="inlineStr">
        <is>
          <t>FR-321</t>
        </is>
      </c>
      <c r="G3618" s="55">
        <f>IFERROR(INDEX('Semrush Data'!$A$1:$Z$20000,MATCH(A3618,'Semrush Data'!$A$1:$A$20000,0),MATCH("Volume",'Semrush Data'!$A$1:$Z$1,0)),"")</f>
        <v/>
      </c>
      <c r="H3618" s="42">
        <f>IFERROR(INDEX('Semrush Data'!$A$1:$Z$20000,MATCH(A3618,'Semrush Data'!$A$1:$A$20000,0),MATCH("Keyword Difficulty*",'Semrush Data'!$A$1:$Z$1,0)),"")</f>
        <v/>
      </c>
      <c r="I3618" s="56">
        <f>IFERROR(INDEX('Semrush Data'!$A$1:$Z$20000,MATCH(A3618,'Semrush Data'!$A$1:$A$20000,0),MATCH("CPC*",'Semrush Data'!$A$1:$Z$1,0)),"")</f>
        <v/>
      </c>
      <c r="J3618" s="42">
        <f>IFERROR(INDEX('Semrush Data'!$A$1:$Z$20000,MATCH(A3618,'Semrush Data'!$A$1:$A$20000,0),MATCH("Intent",'Semrush Data'!$A$1:$Z$1,0)),"")</f>
        <v/>
      </c>
    </row>
    <row r="3619" ht="15" customHeight="1" s="37">
      <c r="A3619" s="42" t="inlineStr">
        <is>
          <t>signature blue price</t>
        </is>
      </c>
      <c r="B3619" s="42" t="inlineStr">
        <is>
          <t>Price</t>
        </is>
      </c>
      <c r="C3619" s="42" t="n">
        <v>3</v>
      </c>
      <c r="D3619" s="42" t="n">
        <v>37</v>
      </c>
      <c r="E3619" s="42" t="n">
        <v>1</v>
      </c>
      <c r="F3619" s="42" t="inlineStr">
        <is>
          <t>FR-332</t>
        </is>
      </c>
      <c r="G3619" s="55">
        <f>IFERROR(INDEX('Semrush Data'!$A$1:$Z$20000,MATCH(A3619,'Semrush Data'!$A$1:$A$20000,0),MATCH("Volume",'Semrush Data'!$A$1:$Z$1,0)),"")</f>
        <v/>
      </c>
      <c r="H3619" s="42">
        <f>IFERROR(INDEX('Semrush Data'!$A$1:$Z$20000,MATCH(A3619,'Semrush Data'!$A$1:$A$20000,0),MATCH("Keyword Difficulty*",'Semrush Data'!$A$1:$Z$1,0)),"")</f>
        <v/>
      </c>
      <c r="I3619" s="56">
        <f>IFERROR(INDEX('Semrush Data'!$A$1:$Z$20000,MATCH(A3619,'Semrush Data'!$A$1:$A$20000,0),MATCH("CPC*",'Semrush Data'!$A$1:$Z$1,0)),"")</f>
        <v/>
      </c>
      <c r="J3619" s="42">
        <f>IFERROR(INDEX('Semrush Data'!$A$1:$Z$20000,MATCH(A3619,'Semrush Data'!$A$1:$A$20000,0),MATCH("Intent",'Semrush Data'!$A$1:$Z$1,0)),"")</f>
        <v/>
      </c>
    </row>
    <row r="3620" ht="15" customHeight="1" s="37">
      <c r="A3620" s="42" t="inlineStr">
        <is>
          <t>signature charm price</t>
        </is>
      </c>
      <c r="B3620" s="42" t="inlineStr">
        <is>
          <t>Price</t>
        </is>
      </c>
      <c r="C3620" s="42" t="n">
        <v>3</v>
      </c>
      <c r="D3620" s="42" t="n">
        <v>37</v>
      </c>
      <c r="E3620" s="42" t="n">
        <v>1</v>
      </c>
      <c r="F3620" s="42" t="inlineStr">
        <is>
          <t>FR-322</t>
        </is>
      </c>
      <c r="G3620" s="55">
        <f>IFERROR(INDEX('Semrush Data'!$A$1:$Z$20000,MATCH(A3620,'Semrush Data'!$A$1:$A$20000,0),MATCH("Volume",'Semrush Data'!$A$1:$Z$1,0)),"")</f>
        <v/>
      </c>
      <c r="H3620" s="42">
        <f>IFERROR(INDEX('Semrush Data'!$A$1:$Z$20000,MATCH(A3620,'Semrush Data'!$A$1:$A$20000,0),MATCH("Keyword Difficulty*",'Semrush Data'!$A$1:$Z$1,0)),"")</f>
        <v/>
      </c>
      <c r="I3620" s="56">
        <f>IFERROR(INDEX('Semrush Data'!$A$1:$Z$20000,MATCH(A3620,'Semrush Data'!$A$1:$A$20000,0),MATCH("CPC*",'Semrush Data'!$A$1:$Z$1,0)),"")</f>
        <v/>
      </c>
      <c r="J3620" s="42">
        <f>IFERROR(INDEX('Semrush Data'!$A$1:$Z$20000,MATCH(A3620,'Semrush Data'!$A$1:$A$20000,0),MATCH("Intent",'Semrush Data'!$A$1:$Z$1,0)),"")</f>
        <v/>
      </c>
    </row>
    <row r="3621" ht="15" customHeight="1" s="37">
      <c r="A3621" s="42" t="inlineStr">
        <is>
          <t>signature diamond price</t>
        </is>
      </c>
      <c r="B3621" s="42" t="inlineStr">
        <is>
          <t>Price</t>
        </is>
      </c>
      <c r="C3621" s="42" t="n">
        <v>3</v>
      </c>
      <c r="D3621" s="42" t="n">
        <v>37</v>
      </c>
      <c r="E3621" s="42" t="n">
        <v>1</v>
      </c>
      <c r="F3621" s="42" t="inlineStr">
        <is>
          <t>FR-330</t>
        </is>
      </c>
      <c r="G3621" s="55">
        <f>IFERROR(INDEX('Semrush Data'!$A$1:$Z$20000,MATCH(A3621,'Semrush Data'!$A$1:$A$20000,0),MATCH("Volume",'Semrush Data'!$A$1:$Z$1,0)),"")</f>
        <v/>
      </c>
      <c r="H3621" s="42">
        <f>IFERROR(INDEX('Semrush Data'!$A$1:$Z$20000,MATCH(A3621,'Semrush Data'!$A$1:$A$20000,0),MATCH("Keyword Difficulty*",'Semrush Data'!$A$1:$Z$1,0)),"")</f>
        <v/>
      </c>
      <c r="I3621" s="56">
        <f>IFERROR(INDEX('Semrush Data'!$A$1:$Z$20000,MATCH(A3621,'Semrush Data'!$A$1:$A$20000,0),MATCH("CPC*",'Semrush Data'!$A$1:$Z$1,0)),"")</f>
        <v/>
      </c>
      <c r="J3621" s="42">
        <f>IFERROR(INDEX('Semrush Data'!$A$1:$Z$20000,MATCH(A3621,'Semrush Data'!$A$1:$A$20000,0),MATCH("Intent",'Semrush Data'!$A$1:$Z$1,0)),"")</f>
        <v/>
      </c>
    </row>
    <row r="3622" ht="15" customHeight="1" s="37">
      <c r="A3622" s="42" t="inlineStr">
        <is>
          <t>signature discovery set price</t>
        </is>
      </c>
      <c r="B3622" s="42" t="inlineStr">
        <is>
          <t>Price</t>
        </is>
      </c>
      <c r="C3622" s="42" t="n">
        <v>3</v>
      </c>
      <c r="D3622" s="42" t="n">
        <v>37</v>
      </c>
      <c r="E3622" s="42" t="n">
        <v>1</v>
      </c>
      <c r="F3622" s="42" t="inlineStr">
        <is>
          <t>FR-331</t>
        </is>
      </c>
      <c r="G3622" s="55">
        <f>IFERROR(INDEX('Semrush Data'!$A$1:$Z$20000,MATCH(A3622,'Semrush Data'!$A$1:$A$20000,0),MATCH("Volume",'Semrush Data'!$A$1:$Z$1,0)),"")</f>
        <v/>
      </c>
      <c r="H3622" s="42">
        <f>IFERROR(INDEX('Semrush Data'!$A$1:$Z$20000,MATCH(A3622,'Semrush Data'!$A$1:$A$20000,0),MATCH("Keyword Difficulty*",'Semrush Data'!$A$1:$Z$1,0)),"")</f>
        <v/>
      </c>
      <c r="I3622" s="56">
        <f>IFERROR(INDEX('Semrush Data'!$A$1:$Z$20000,MATCH(A3622,'Semrush Data'!$A$1:$A$20000,0),MATCH("CPC*",'Semrush Data'!$A$1:$Z$1,0)),"")</f>
        <v/>
      </c>
      <c r="J3622" s="42">
        <f>IFERROR(INDEX('Semrush Data'!$A$1:$Z$20000,MATCH(A3622,'Semrush Data'!$A$1:$A$20000,0),MATCH("Intent",'Semrush Data'!$A$1:$Z$1,0)),"")</f>
        <v/>
      </c>
    </row>
    <row r="3623" ht="15" customHeight="1" s="37">
      <c r="A3623" s="42" t="inlineStr">
        <is>
          <t>signature jade price</t>
        </is>
      </c>
      <c r="B3623" s="42" t="inlineStr">
        <is>
          <t>Price</t>
        </is>
      </c>
      <c r="C3623" s="42" t="n">
        <v>3</v>
      </c>
      <c r="D3623" s="42" t="n">
        <v>37</v>
      </c>
      <c r="E3623" s="42" t="n">
        <v>1</v>
      </c>
      <c r="F3623" s="42" t="inlineStr">
        <is>
          <t>FR-333</t>
        </is>
      </c>
      <c r="G3623" s="55">
        <f>IFERROR(INDEX('Semrush Data'!$A$1:$Z$20000,MATCH(A3623,'Semrush Data'!$A$1:$A$20000,0),MATCH("Volume",'Semrush Data'!$A$1:$Z$1,0)),"")</f>
        <v/>
      </c>
      <c r="H3623" s="42">
        <f>IFERROR(INDEX('Semrush Data'!$A$1:$Z$20000,MATCH(A3623,'Semrush Data'!$A$1:$A$20000,0),MATCH("Keyword Difficulty*",'Semrush Data'!$A$1:$Z$1,0)),"")</f>
        <v/>
      </c>
      <c r="I3623" s="56">
        <f>IFERROR(INDEX('Semrush Data'!$A$1:$Z$20000,MATCH(A3623,'Semrush Data'!$A$1:$A$20000,0),MATCH("CPC*",'Semrush Data'!$A$1:$Z$1,0)),"")</f>
        <v/>
      </c>
      <c r="J3623" s="42">
        <f>IFERROR(INDEX('Semrush Data'!$A$1:$Z$20000,MATCH(A3623,'Semrush Data'!$A$1:$A$20000,0),MATCH("Intent",'Semrush Data'!$A$1:$Z$1,0)),"")</f>
        <v/>
      </c>
    </row>
    <row r="3624" ht="15" customHeight="1" s="37">
      <c r="A3624" s="42" t="inlineStr">
        <is>
          <t>signature le femme gold price</t>
        </is>
      </c>
      <c r="B3624" s="42" t="inlineStr">
        <is>
          <t>Price</t>
        </is>
      </c>
      <c r="C3624" s="42" t="n">
        <v>3</v>
      </c>
      <c r="D3624" s="42" t="n">
        <v>37</v>
      </c>
      <c r="E3624" s="42" t="n">
        <v>1</v>
      </c>
      <c r="F3624" s="42" t="inlineStr">
        <is>
          <t>FR-323</t>
        </is>
      </c>
      <c r="G3624" s="55">
        <f>IFERROR(INDEX('Semrush Data'!$A$1:$Z$20000,MATCH(A3624,'Semrush Data'!$A$1:$A$20000,0),MATCH("Volume",'Semrush Data'!$A$1:$Z$1,0)),"")</f>
        <v/>
      </c>
      <c r="H3624" s="42">
        <f>IFERROR(INDEX('Semrush Data'!$A$1:$Z$20000,MATCH(A3624,'Semrush Data'!$A$1:$A$20000,0),MATCH("Keyword Difficulty*",'Semrush Data'!$A$1:$Z$1,0)),"")</f>
        <v/>
      </c>
      <c r="I3624" s="56">
        <f>IFERROR(INDEX('Semrush Data'!$A$1:$Z$20000,MATCH(A3624,'Semrush Data'!$A$1:$A$20000,0),MATCH("CPC*",'Semrush Data'!$A$1:$Z$1,0)),"")</f>
        <v/>
      </c>
      <c r="J3624" s="42">
        <f>IFERROR(INDEX('Semrush Data'!$A$1:$Z$20000,MATCH(A3624,'Semrush Data'!$A$1:$A$20000,0),MATCH("Intent",'Semrush Data'!$A$1:$Z$1,0)),"")</f>
        <v/>
      </c>
    </row>
    <row r="3625" ht="15" customHeight="1" s="37">
      <c r="A3625" s="42" t="inlineStr">
        <is>
          <t>signature musk price</t>
        </is>
      </c>
      <c r="B3625" s="42" t="inlineStr">
        <is>
          <t>Price</t>
        </is>
      </c>
      <c r="C3625" s="42" t="n">
        <v>3</v>
      </c>
      <c r="D3625" s="42" t="n">
        <v>37</v>
      </c>
      <c r="E3625" s="42" t="n">
        <v>1</v>
      </c>
      <c r="F3625" s="42" t="inlineStr">
        <is>
          <t>FR-324</t>
        </is>
      </c>
      <c r="G3625" s="55">
        <f>IFERROR(INDEX('Semrush Data'!$A$1:$Z$20000,MATCH(A3625,'Semrush Data'!$A$1:$A$20000,0),MATCH("Volume",'Semrush Data'!$A$1:$Z$1,0)),"")</f>
        <v/>
      </c>
      <c r="H3625" s="42">
        <f>IFERROR(INDEX('Semrush Data'!$A$1:$Z$20000,MATCH(A3625,'Semrush Data'!$A$1:$A$20000,0),MATCH("Keyword Difficulty*",'Semrush Data'!$A$1:$Z$1,0)),"")</f>
        <v/>
      </c>
      <c r="I3625" s="56">
        <f>IFERROR(INDEX('Semrush Data'!$A$1:$Z$20000,MATCH(A3625,'Semrush Data'!$A$1:$A$20000,0),MATCH("CPC*",'Semrush Data'!$A$1:$Z$1,0)),"")</f>
        <v/>
      </c>
      <c r="J3625" s="42">
        <f>IFERROR(INDEX('Semrush Data'!$A$1:$Z$20000,MATCH(A3625,'Semrush Data'!$A$1:$A$20000,0),MATCH("Intent",'Semrush Data'!$A$1:$Z$1,0)),"")</f>
        <v/>
      </c>
    </row>
    <row r="3626" ht="15" customHeight="1" s="37">
      <c r="A3626" s="42" t="inlineStr">
        <is>
          <t>signature onyx price</t>
        </is>
      </c>
      <c r="B3626" s="42" t="inlineStr">
        <is>
          <t>Price</t>
        </is>
      </c>
      <c r="C3626" s="42" t="n">
        <v>3</v>
      </c>
      <c r="D3626" s="42" t="n">
        <v>37</v>
      </c>
      <c r="E3626" s="42" t="n">
        <v>1</v>
      </c>
      <c r="F3626" s="42" t="inlineStr">
        <is>
          <t>FR-325</t>
        </is>
      </c>
      <c r="G3626" s="55">
        <f>IFERROR(INDEX('Semrush Data'!$A$1:$Z$20000,MATCH(A3626,'Semrush Data'!$A$1:$A$20000,0),MATCH("Volume",'Semrush Data'!$A$1:$Z$1,0)),"")</f>
        <v/>
      </c>
      <c r="H3626" s="42">
        <f>IFERROR(INDEX('Semrush Data'!$A$1:$Z$20000,MATCH(A3626,'Semrush Data'!$A$1:$A$20000,0),MATCH("Keyword Difficulty*",'Semrush Data'!$A$1:$Z$1,0)),"")</f>
        <v/>
      </c>
      <c r="I3626" s="56">
        <f>IFERROR(INDEX('Semrush Data'!$A$1:$Z$20000,MATCH(A3626,'Semrush Data'!$A$1:$A$20000,0),MATCH("CPC*",'Semrush Data'!$A$1:$Z$1,0)),"")</f>
        <v/>
      </c>
      <c r="J3626" s="42">
        <f>IFERROR(INDEX('Semrush Data'!$A$1:$Z$20000,MATCH(A3626,'Semrush Data'!$A$1:$A$20000,0),MATCH("Intent",'Semrush Data'!$A$1:$Z$1,0)),"")</f>
        <v/>
      </c>
    </row>
    <row r="3627" ht="15" customHeight="1" s="37">
      <c r="A3627" s="42" t="inlineStr">
        <is>
          <t>signature opal price</t>
        </is>
      </c>
      <c r="B3627" s="42" t="inlineStr">
        <is>
          <t>Price</t>
        </is>
      </c>
      <c r="C3627" s="42" t="n">
        <v>3</v>
      </c>
      <c r="D3627" s="42" t="n">
        <v>37</v>
      </c>
      <c r="E3627" s="42" t="n">
        <v>1</v>
      </c>
      <c r="F3627" s="42" t="inlineStr">
        <is>
          <t>FR-326</t>
        </is>
      </c>
      <c r="G3627" s="55">
        <f>IFERROR(INDEX('Semrush Data'!$A$1:$Z$20000,MATCH(A3627,'Semrush Data'!$A$1:$A$20000,0),MATCH("Volume",'Semrush Data'!$A$1:$Z$1,0)),"")</f>
        <v/>
      </c>
      <c r="H3627" s="42">
        <f>IFERROR(INDEX('Semrush Data'!$A$1:$Z$20000,MATCH(A3627,'Semrush Data'!$A$1:$A$20000,0),MATCH("Keyword Difficulty*",'Semrush Data'!$A$1:$Z$1,0)),"")</f>
        <v/>
      </c>
      <c r="I3627" s="56">
        <f>IFERROR(INDEX('Semrush Data'!$A$1:$Z$20000,MATCH(A3627,'Semrush Data'!$A$1:$A$20000,0),MATCH("CPC*",'Semrush Data'!$A$1:$Z$1,0)),"")</f>
        <v/>
      </c>
      <c r="J3627" s="42">
        <f>IFERROR(INDEX('Semrush Data'!$A$1:$Z$20000,MATCH(A3627,'Semrush Data'!$A$1:$A$20000,0),MATCH("Intent",'Semrush Data'!$A$1:$Z$1,0)),"")</f>
        <v/>
      </c>
    </row>
    <row r="3628" ht="15" customHeight="1" s="37">
      <c r="A3628" s="42" t="inlineStr">
        <is>
          <t>signature paradiso price</t>
        </is>
      </c>
      <c r="B3628" s="42" t="inlineStr">
        <is>
          <t>Price</t>
        </is>
      </c>
      <c r="C3628" s="42" t="n">
        <v>3</v>
      </c>
      <c r="D3628" s="42" t="n">
        <v>37</v>
      </c>
      <c r="E3628" s="42" t="n">
        <v>1</v>
      </c>
      <c r="F3628" s="42" t="inlineStr">
        <is>
          <t>FR-327</t>
        </is>
      </c>
      <c r="G3628" s="55">
        <f>IFERROR(INDEX('Semrush Data'!$A$1:$Z$20000,MATCH(A3628,'Semrush Data'!$A$1:$A$20000,0),MATCH("Volume",'Semrush Data'!$A$1:$Z$1,0)),"")</f>
        <v/>
      </c>
      <c r="H3628" s="42">
        <f>IFERROR(INDEX('Semrush Data'!$A$1:$Z$20000,MATCH(A3628,'Semrush Data'!$A$1:$A$20000,0),MATCH("Keyword Difficulty*",'Semrush Data'!$A$1:$Z$1,0)),"")</f>
        <v/>
      </c>
      <c r="I3628" s="56">
        <f>IFERROR(INDEX('Semrush Data'!$A$1:$Z$20000,MATCH(A3628,'Semrush Data'!$A$1:$A$20000,0),MATCH("CPC*",'Semrush Data'!$A$1:$Z$1,0)),"")</f>
        <v/>
      </c>
      <c r="J3628" s="42">
        <f>IFERROR(INDEX('Semrush Data'!$A$1:$Z$20000,MATCH(A3628,'Semrush Data'!$A$1:$A$20000,0),MATCH("Intent",'Semrush Data'!$A$1:$Z$1,0)),"")</f>
        <v/>
      </c>
    </row>
    <row r="3629" ht="15" customHeight="1" s="37">
      <c r="A3629" s="42" t="inlineStr">
        <is>
          <t>signature rose price</t>
        </is>
      </c>
      <c r="B3629" s="42" t="inlineStr">
        <is>
          <t>Price</t>
        </is>
      </c>
      <c r="C3629" s="42" t="n">
        <v>3</v>
      </c>
      <c r="D3629" s="42" t="n">
        <v>37</v>
      </c>
      <c r="E3629" s="42" t="n">
        <v>1</v>
      </c>
      <c r="F3629" s="42" t="inlineStr">
        <is>
          <t>FR-334</t>
        </is>
      </c>
      <c r="G3629" s="55">
        <f>IFERROR(INDEX('Semrush Data'!$A$1:$Z$20000,MATCH(A3629,'Semrush Data'!$A$1:$A$20000,0),MATCH("Volume",'Semrush Data'!$A$1:$Z$1,0)),"")</f>
        <v/>
      </c>
      <c r="H3629" s="42">
        <f>IFERROR(INDEX('Semrush Data'!$A$1:$Z$20000,MATCH(A3629,'Semrush Data'!$A$1:$A$20000,0),MATCH("Keyword Difficulty*",'Semrush Data'!$A$1:$Z$1,0)),"")</f>
        <v/>
      </c>
      <c r="I3629" s="56">
        <f>IFERROR(INDEX('Semrush Data'!$A$1:$Z$20000,MATCH(A3629,'Semrush Data'!$A$1:$A$20000,0),MATCH("CPC*",'Semrush Data'!$A$1:$Z$1,0)),"")</f>
        <v/>
      </c>
      <c r="J3629" s="42">
        <f>IFERROR(INDEX('Semrush Data'!$A$1:$Z$20000,MATCH(A3629,'Semrush Data'!$A$1:$A$20000,0),MATCH("Intent",'Semrush Data'!$A$1:$Z$1,0)),"")</f>
        <v/>
      </c>
    </row>
    <row r="3630" ht="15" customHeight="1" s="37">
      <c r="A3630" s="42" t="inlineStr">
        <is>
          <t>signature santal price</t>
        </is>
      </c>
      <c r="B3630" s="42" t="inlineStr">
        <is>
          <t>Price</t>
        </is>
      </c>
      <c r="C3630" s="42" t="n">
        <v>3</v>
      </c>
      <c r="D3630" s="42" t="n">
        <v>37</v>
      </c>
      <c r="E3630" s="42" t="n">
        <v>1</v>
      </c>
      <c r="F3630" s="42" t="inlineStr">
        <is>
          <t>FR-328</t>
        </is>
      </c>
      <c r="G3630" s="55">
        <f>IFERROR(INDEX('Semrush Data'!$A$1:$Z$20000,MATCH(A3630,'Semrush Data'!$A$1:$A$20000,0),MATCH("Volume",'Semrush Data'!$A$1:$Z$1,0)),"")</f>
        <v/>
      </c>
      <c r="H3630" s="42">
        <f>IFERROR(INDEX('Semrush Data'!$A$1:$Z$20000,MATCH(A3630,'Semrush Data'!$A$1:$A$20000,0),MATCH("Keyword Difficulty*",'Semrush Data'!$A$1:$Z$1,0)),"")</f>
        <v/>
      </c>
      <c r="I3630" s="56">
        <f>IFERROR(INDEX('Semrush Data'!$A$1:$Z$20000,MATCH(A3630,'Semrush Data'!$A$1:$A$20000,0),MATCH("CPC*",'Semrush Data'!$A$1:$Z$1,0)),"")</f>
        <v/>
      </c>
      <c r="J3630" s="42">
        <f>IFERROR(INDEX('Semrush Data'!$A$1:$Z$20000,MATCH(A3630,'Semrush Data'!$A$1:$A$20000,0),MATCH("Intent",'Semrush Data'!$A$1:$Z$1,0)),"")</f>
        <v/>
      </c>
    </row>
    <row r="3631" ht="15" customHeight="1" s="37">
      <c r="A3631" s="42" t="inlineStr">
        <is>
          <t>signature sapphire price</t>
        </is>
      </c>
      <c r="B3631" s="42" t="inlineStr">
        <is>
          <t>Price</t>
        </is>
      </c>
      <c r="C3631" s="42" t="n">
        <v>3</v>
      </c>
      <c r="D3631" s="42" t="n">
        <v>37</v>
      </c>
      <c r="E3631" s="42" t="n">
        <v>1</v>
      </c>
      <c r="F3631" s="42" t="inlineStr">
        <is>
          <t>FR-329</t>
        </is>
      </c>
      <c r="G3631" s="55">
        <f>IFERROR(INDEX('Semrush Data'!$A$1:$Z$20000,MATCH(A3631,'Semrush Data'!$A$1:$A$20000,0),MATCH("Volume",'Semrush Data'!$A$1:$Z$1,0)),"")</f>
        <v/>
      </c>
      <c r="H3631" s="42">
        <f>IFERROR(INDEX('Semrush Data'!$A$1:$Z$20000,MATCH(A3631,'Semrush Data'!$A$1:$A$20000,0),MATCH("Keyword Difficulty*",'Semrush Data'!$A$1:$Z$1,0)),"")</f>
        <v/>
      </c>
      <c r="I3631" s="56">
        <f>IFERROR(INDEX('Semrush Data'!$A$1:$Z$20000,MATCH(A3631,'Semrush Data'!$A$1:$A$20000,0),MATCH("CPC*",'Semrush Data'!$A$1:$Z$1,0)),"")</f>
        <v/>
      </c>
      <c r="J3631" s="42">
        <f>IFERROR(INDEX('Semrush Data'!$A$1:$Z$20000,MATCH(A3631,'Semrush Data'!$A$1:$A$20000,0),MATCH("Intent",'Semrush Data'!$A$1:$Z$1,0)),"")</f>
        <v/>
      </c>
    </row>
    <row r="3632" ht="15" customHeight="1" s="37">
      <c r="A3632" s="42" t="inlineStr">
        <is>
          <t>the woods collection azure price</t>
        </is>
      </c>
      <c r="B3632" s="42" t="inlineStr">
        <is>
          <t>Price</t>
        </is>
      </c>
      <c r="C3632" s="42" t="n">
        <v>3</v>
      </c>
      <c r="D3632" s="42" t="n">
        <v>37</v>
      </c>
      <c r="E3632" s="42" t="n">
        <v>1</v>
      </c>
      <c r="F3632" s="42" t="inlineStr">
        <is>
          <t>FR-342</t>
        </is>
      </c>
      <c r="G3632" s="55">
        <f>IFERROR(INDEX('Semrush Data'!$A$1:$Z$20000,MATCH(A3632,'Semrush Data'!$A$1:$A$20000,0),MATCH("Volume",'Semrush Data'!$A$1:$Z$1,0)),"")</f>
        <v/>
      </c>
      <c r="H3632" s="42">
        <f>IFERROR(INDEX('Semrush Data'!$A$1:$Z$20000,MATCH(A3632,'Semrush Data'!$A$1:$A$20000,0),MATCH("Keyword Difficulty*",'Semrush Data'!$A$1:$Z$1,0)),"")</f>
        <v/>
      </c>
      <c r="I3632" s="56">
        <f>IFERROR(INDEX('Semrush Data'!$A$1:$Z$20000,MATCH(A3632,'Semrush Data'!$A$1:$A$20000,0),MATCH("CPC*",'Semrush Data'!$A$1:$Z$1,0)),"")</f>
        <v/>
      </c>
      <c r="J3632" s="42">
        <f>IFERROR(INDEX('Semrush Data'!$A$1:$Z$20000,MATCH(A3632,'Semrush Data'!$A$1:$A$20000,0),MATCH("Intent",'Semrush Data'!$A$1:$Z$1,0)),"")</f>
        <v/>
      </c>
    </row>
    <row r="3633" ht="15" customHeight="1" s="37">
      <c r="A3633" s="42" t="inlineStr">
        <is>
          <t>the woods collection eden price</t>
        </is>
      </c>
      <c r="B3633" s="42" t="inlineStr">
        <is>
          <t>Price</t>
        </is>
      </c>
      <c r="C3633" s="42" t="n">
        <v>3</v>
      </c>
      <c r="D3633" s="42" t="n">
        <v>37</v>
      </c>
      <c r="E3633" s="42" t="n">
        <v>1</v>
      </c>
      <c r="F3633" s="42" t="inlineStr">
        <is>
          <t>FR-343</t>
        </is>
      </c>
      <c r="G3633" s="55">
        <f>IFERROR(INDEX('Semrush Data'!$A$1:$Z$20000,MATCH(A3633,'Semrush Data'!$A$1:$A$20000,0),MATCH("Volume",'Semrush Data'!$A$1:$Z$1,0)),"")</f>
        <v/>
      </c>
      <c r="H3633" s="42">
        <f>IFERROR(INDEX('Semrush Data'!$A$1:$Z$20000,MATCH(A3633,'Semrush Data'!$A$1:$A$20000,0),MATCH("Keyword Difficulty*",'Semrush Data'!$A$1:$Z$1,0)),"")</f>
        <v/>
      </c>
      <c r="I3633" s="56">
        <f>IFERROR(INDEX('Semrush Data'!$A$1:$Z$20000,MATCH(A3633,'Semrush Data'!$A$1:$A$20000,0),MATCH("CPC*",'Semrush Data'!$A$1:$Z$1,0)),"")</f>
        <v/>
      </c>
      <c r="J3633" s="42">
        <f>IFERROR(INDEX('Semrush Data'!$A$1:$Z$20000,MATCH(A3633,'Semrush Data'!$A$1:$A$20000,0),MATCH("Intent",'Semrush Data'!$A$1:$Z$1,0)),"")</f>
        <v/>
      </c>
    </row>
    <row r="3634" ht="15" customHeight="1" s="37">
      <c r="A3634" s="42" t="inlineStr">
        <is>
          <t>the woods collection elysian price</t>
        </is>
      </c>
      <c r="B3634" s="42" t="inlineStr">
        <is>
          <t>Price</t>
        </is>
      </c>
      <c r="C3634" s="42" t="n">
        <v>3</v>
      </c>
      <c r="D3634" s="42" t="n">
        <v>37</v>
      </c>
      <c r="E3634" s="42" t="n">
        <v>1</v>
      </c>
      <c r="F3634" s="42" t="inlineStr">
        <is>
          <t>FR-344</t>
        </is>
      </c>
      <c r="G3634" s="55">
        <f>IFERROR(INDEX('Semrush Data'!$A$1:$Z$20000,MATCH(A3634,'Semrush Data'!$A$1:$A$20000,0),MATCH("Volume",'Semrush Data'!$A$1:$Z$1,0)),"")</f>
        <v/>
      </c>
      <c r="H3634" s="42">
        <f>IFERROR(INDEX('Semrush Data'!$A$1:$Z$20000,MATCH(A3634,'Semrush Data'!$A$1:$A$20000,0),MATCH("Keyword Difficulty*",'Semrush Data'!$A$1:$Z$1,0)),"")</f>
        <v/>
      </c>
      <c r="I3634" s="56">
        <f>IFERROR(INDEX('Semrush Data'!$A$1:$Z$20000,MATCH(A3634,'Semrush Data'!$A$1:$A$20000,0),MATCH("CPC*",'Semrush Data'!$A$1:$Z$1,0)),"")</f>
        <v/>
      </c>
      <c r="J3634" s="42">
        <f>IFERROR(INDEX('Semrush Data'!$A$1:$Z$20000,MATCH(A3634,'Semrush Data'!$A$1:$A$20000,0),MATCH("Intent",'Semrush Data'!$A$1:$Z$1,0)),"")</f>
        <v/>
      </c>
    </row>
    <row r="3635" ht="15" customHeight="1" s="37">
      <c r="A3635" s="42" t="inlineStr">
        <is>
          <t>the woods collection green walk price</t>
        </is>
      </c>
      <c r="B3635" s="42" t="inlineStr">
        <is>
          <t>Price</t>
        </is>
      </c>
      <c r="C3635" s="42" t="n">
        <v>3</v>
      </c>
      <c r="D3635" s="42" t="n">
        <v>37</v>
      </c>
      <c r="E3635" s="42" t="n">
        <v>1</v>
      </c>
      <c r="F3635" s="42" t="inlineStr">
        <is>
          <t>FR-345</t>
        </is>
      </c>
      <c r="G3635" s="55">
        <f>IFERROR(INDEX('Semrush Data'!$A$1:$Z$20000,MATCH(A3635,'Semrush Data'!$A$1:$A$20000,0),MATCH("Volume",'Semrush Data'!$A$1:$Z$1,0)),"")</f>
        <v/>
      </c>
      <c r="H3635" s="42">
        <f>IFERROR(INDEX('Semrush Data'!$A$1:$Z$20000,MATCH(A3635,'Semrush Data'!$A$1:$A$20000,0),MATCH("Keyword Difficulty*",'Semrush Data'!$A$1:$Z$1,0)),"")</f>
        <v/>
      </c>
      <c r="I3635" s="56">
        <f>IFERROR(INDEX('Semrush Data'!$A$1:$Z$20000,MATCH(A3635,'Semrush Data'!$A$1:$A$20000,0),MATCH("CPC*",'Semrush Data'!$A$1:$Z$1,0)),"")</f>
        <v/>
      </c>
      <c r="J3635" s="42">
        <f>IFERROR(INDEX('Semrush Data'!$A$1:$Z$20000,MATCH(A3635,'Semrush Data'!$A$1:$A$20000,0),MATCH("Intent",'Semrush Data'!$A$1:$Z$1,0)),"")</f>
        <v/>
      </c>
    </row>
    <row r="3636" ht="15" customHeight="1" s="37">
      <c r="A3636" s="42" t="inlineStr">
        <is>
          <t>the woods collection mirage price</t>
        </is>
      </c>
      <c r="B3636" s="42" t="inlineStr">
        <is>
          <t>Price</t>
        </is>
      </c>
      <c r="C3636" s="42" t="n">
        <v>3</v>
      </c>
      <c r="D3636" s="42" t="n">
        <v>37</v>
      </c>
      <c r="E3636" s="42" t="n">
        <v>1</v>
      </c>
      <c r="F3636" s="42" t="inlineStr">
        <is>
          <t>FR-346</t>
        </is>
      </c>
      <c r="G3636" s="55">
        <f>IFERROR(INDEX('Semrush Data'!$A$1:$Z$20000,MATCH(A3636,'Semrush Data'!$A$1:$A$20000,0),MATCH("Volume",'Semrush Data'!$A$1:$Z$1,0)),"")</f>
        <v/>
      </c>
      <c r="H3636" s="42">
        <f>IFERROR(INDEX('Semrush Data'!$A$1:$Z$20000,MATCH(A3636,'Semrush Data'!$A$1:$A$20000,0),MATCH("Keyword Difficulty*",'Semrush Data'!$A$1:$Z$1,0)),"")</f>
        <v/>
      </c>
      <c r="I3636" s="56">
        <f>IFERROR(INDEX('Semrush Data'!$A$1:$Z$20000,MATCH(A3636,'Semrush Data'!$A$1:$A$20000,0),MATCH("CPC*",'Semrush Data'!$A$1:$Z$1,0)),"")</f>
        <v/>
      </c>
      <c r="J3636" s="42">
        <f>IFERROR(INDEX('Semrush Data'!$A$1:$Z$20000,MATCH(A3636,'Semrush Data'!$A$1:$A$20000,0),MATCH("Intent",'Semrush Data'!$A$1:$Z$1,0)),"")</f>
        <v/>
      </c>
    </row>
    <row r="3637" ht="15" customHeight="1" s="37">
      <c r="A3637" s="42" t="inlineStr">
        <is>
          <t>the woods collection pure shine price</t>
        </is>
      </c>
      <c r="B3637" s="42" t="inlineStr">
        <is>
          <t>Price</t>
        </is>
      </c>
      <c r="C3637" s="42" t="n">
        <v>3</v>
      </c>
      <c r="D3637" s="42" t="n">
        <v>37</v>
      </c>
      <c r="E3637" s="42" t="n">
        <v>1</v>
      </c>
      <c r="F3637" s="42" t="inlineStr">
        <is>
          <t>FR-347</t>
        </is>
      </c>
      <c r="G3637" s="55">
        <f>IFERROR(INDEX('Semrush Data'!$A$1:$Z$20000,MATCH(A3637,'Semrush Data'!$A$1:$A$20000,0),MATCH("Volume",'Semrush Data'!$A$1:$Z$1,0)),"")</f>
        <v/>
      </c>
      <c r="H3637" s="42">
        <f>IFERROR(INDEX('Semrush Data'!$A$1:$Z$20000,MATCH(A3637,'Semrush Data'!$A$1:$A$20000,0),MATCH("Keyword Difficulty*",'Semrush Data'!$A$1:$Z$1,0)),"")</f>
        <v/>
      </c>
      <c r="I3637" s="56">
        <f>IFERROR(INDEX('Semrush Data'!$A$1:$Z$20000,MATCH(A3637,'Semrush Data'!$A$1:$A$20000,0),MATCH("CPC*",'Semrush Data'!$A$1:$Z$1,0)),"")</f>
        <v/>
      </c>
      <c r="J3637" s="42">
        <f>IFERROR(INDEX('Semrush Data'!$A$1:$Z$20000,MATCH(A3637,'Semrush Data'!$A$1:$A$20000,0),MATCH("Intent",'Semrush Data'!$A$1:$Z$1,0)),"")</f>
        <v/>
      </c>
    </row>
    <row r="3638" ht="15" customHeight="1" s="37">
      <c r="A3638" s="42" t="inlineStr">
        <is>
          <t>the woods collection secret source price</t>
        </is>
      </c>
      <c r="B3638" s="42" t="inlineStr">
        <is>
          <t>Price</t>
        </is>
      </c>
      <c r="C3638" s="42" t="n">
        <v>3</v>
      </c>
      <c r="D3638" s="42" t="n">
        <v>37</v>
      </c>
      <c r="E3638" s="42" t="n">
        <v>1</v>
      </c>
      <c r="F3638" s="42" t="inlineStr">
        <is>
          <t>FR-348</t>
        </is>
      </c>
      <c r="G3638" s="55">
        <f>IFERROR(INDEX('Semrush Data'!$A$1:$Z$20000,MATCH(A3638,'Semrush Data'!$A$1:$A$20000,0),MATCH("Volume",'Semrush Data'!$A$1:$Z$1,0)),"")</f>
        <v/>
      </c>
      <c r="H3638" s="42">
        <f>IFERROR(INDEX('Semrush Data'!$A$1:$Z$20000,MATCH(A3638,'Semrush Data'!$A$1:$A$20000,0),MATCH("Keyword Difficulty*",'Semrush Data'!$A$1:$Z$1,0)),"")</f>
        <v/>
      </c>
      <c r="I3638" s="56">
        <f>IFERROR(INDEX('Semrush Data'!$A$1:$Z$20000,MATCH(A3638,'Semrush Data'!$A$1:$A$20000,0),MATCH("CPC*",'Semrush Data'!$A$1:$Z$1,0)),"")</f>
        <v/>
      </c>
      <c r="J3638" s="42">
        <f>IFERROR(INDEX('Semrush Data'!$A$1:$Z$20000,MATCH(A3638,'Semrush Data'!$A$1:$A$20000,0),MATCH("Intent",'Semrush Data'!$A$1:$Z$1,0)),"")</f>
        <v/>
      </c>
    </row>
    <row r="3639" ht="15" customHeight="1" s="37">
      <c r="A3639" s="42" t="inlineStr">
        <is>
          <t>the woods collection sunrise price</t>
        </is>
      </c>
      <c r="B3639" s="42" t="inlineStr">
        <is>
          <t>Price</t>
        </is>
      </c>
      <c r="C3639" s="42" t="n">
        <v>3</v>
      </c>
      <c r="D3639" s="42" t="n">
        <v>37</v>
      </c>
      <c r="E3639" s="42" t="n">
        <v>1</v>
      </c>
      <c r="F3639" s="42" t="inlineStr">
        <is>
          <t>FR-349</t>
        </is>
      </c>
      <c r="G3639" s="55">
        <f>IFERROR(INDEX('Semrush Data'!$A$1:$Z$20000,MATCH(A3639,'Semrush Data'!$A$1:$A$20000,0),MATCH("Volume",'Semrush Data'!$A$1:$Z$1,0)),"")</f>
        <v/>
      </c>
      <c r="H3639" s="42">
        <f>IFERROR(INDEX('Semrush Data'!$A$1:$Z$20000,MATCH(A3639,'Semrush Data'!$A$1:$A$20000,0),MATCH("Keyword Difficulty*",'Semrush Data'!$A$1:$Z$1,0)),"")</f>
        <v/>
      </c>
      <c r="I3639" s="56">
        <f>IFERROR(INDEX('Semrush Data'!$A$1:$Z$20000,MATCH(A3639,'Semrush Data'!$A$1:$A$20000,0),MATCH("CPC*",'Semrush Data'!$A$1:$Z$1,0)),"")</f>
        <v/>
      </c>
      <c r="J3639" s="42">
        <f>IFERROR(INDEX('Semrush Data'!$A$1:$Z$20000,MATCH(A3639,'Semrush Data'!$A$1:$A$20000,0),MATCH("Intent",'Semrush Data'!$A$1:$Z$1,0)),"")</f>
        <v/>
      </c>
    </row>
    <row r="3640" ht="15" customHeight="1" s="37">
      <c r="A3640" s="42" t="inlineStr">
        <is>
          <t>the woods collection timeless sands price</t>
        </is>
      </c>
      <c r="B3640" s="42" t="inlineStr">
        <is>
          <t>Price</t>
        </is>
      </c>
      <c r="C3640" s="42" t="n">
        <v>3</v>
      </c>
      <c r="D3640" s="42" t="n">
        <v>37</v>
      </c>
      <c r="E3640" s="42" t="n">
        <v>1</v>
      </c>
      <c r="F3640" s="42" t="inlineStr">
        <is>
          <t>FR-350</t>
        </is>
      </c>
      <c r="G3640" s="55">
        <f>IFERROR(INDEX('Semrush Data'!$A$1:$Z$20000,MATCH(A3640,'Semrush Data'!$A$1:$A$20000,0),MATCH("Volume",'Semrush Data'!$A$1:$Z$1,0)),"")</f>
        <v/>
      </c>
      <c r="H3640" s="42">
        <f>IFERROR(INDEX('Semrush Data'!$A$1:$Z$20000,MATCH(A3640,'Semrush Data'!$A$1:$A$20000,0),MATCH("Keyword Difficulty*",'Semrush Data'!$A$1:$Z$1,0)),"")</f>
        <v/>
      </c>
      <c r="I3640" s="56">
        <f>IFERROR(INDEX('Semrush Data'!$A$1:$Z$20000,MATCH(A3640,'Semrush Data'!$A$1:$A$20000,0),MATCH("CPC*",'Semrush Data'!$A$1:$Z$1,0)),"")</f>
        <v/>
      </c>
      <c r="J3640" s="42">
        <f>IFERROR(INDEX('Semrush Data'!$A$1:$Z$20000,MATCH(A3640,'Semrush Data'!$A$1:$A$20000,0),MATCH("Intent",'Semrush Data'!$A$1:$Z$1,0)),"")</f>
        <v/>
      </c>
    </row>
    <row r="3641" ht="15" customHeight="1" s="37">
      <c r="A3641" s="42" t="inlineStr">
        <is>
          <t>the woods collection twilight price</t>
        </is>
      </c>
      <c r="B3641" s="42" t="inlineStr">
        <is>
          <t>Price</t>
        </is>
      </c>
      <c r="C3641" s="42" t="n">
        <v>3</v>
      </c>
      <c r="D3641" s="42" t="n">
        <v>37</v>
      </c>
      <c r="E3641" s="42" t="n">
        <v>1</v>
      </c>
      <c r="F3641" s="42" t="inlineStr">
        <is>
          <t>FR-351</t>
        </is>
      </c>
      <c r="G3641" s="55">
        <f>IFERROR(INDEX('Semrush Data'!$A$1:$Z$20000,MATCH(A3641,'Semrush Data'!$A$1:$A$20000,0),MATCH("Volume",'Semrush Data'!$A$1:$Z$1,0)),"")</f>
        <v/>
      </c>
      <c r="H3641" s="42">
        <f>IFERROR(INDEX('Semrush Data'!$A$1:$Z$20000,MATCH(A3641,'Semrush Data'!$A$1:$A$20000,0),MATCH("Keyword Difficulty*",'Semrush Data'!$A$1:$Z$1,0)),"")</f>
        <v/>
      </c>
      <c r="I3641" s="56">
        <f>IFERROR(INDEX('Semrush Data'!$A$1:$Z$20000,MATCH(A3641,'Semrush Data'!$A$1:$A$20000,0),MATCH("CPC*",'Semrush Data'!$A$1:$Z$1,0)),"")</f>
        <v/>
      </c>
      <c r="J3641" s="42">
        <f>IFERROR(INDEX('Semrush Data'!$A$1:$Z$20000,MATCH(A3641,'Semrush Data'!$A$1:$A$20000,0),MATCH("Intent",'Semrush Data'!$A$1:$Z$1,0)),"")</f>
        <v/>
      </c>
    </row>
    <row r="3642" ht="15" customHeight="1" s="37">
      <c r="A3642" s="42" t="inlineStr">
        <is>
          <t>the woods collection wild roses price</t>
        </is>
      </c>
      <c r="B3642" s="42" t="inlineStr">
        <is>
          <t>Price</t>
        </is>
      </c>
      <c r="C3642" s="42" t="n">
        <v>3</v>
      </c>
      <c r="D3642" s="42" t="n">
        <v>37</v>
      </c>
      <c r="E3642" s="42" t="n">
        <v>1</v>
      </c>
      <c r="F3642" s="42" t="inlineStr">
        <is>
          <t>FR-352</t>
        </is>
      </c>
      <c r="G3642" s="55">
        <f>IFERROR(INDEX('Semrush Data'!$A$1:$Z$20000,MATCH(A3642,'Semrush Data'!$A$1:$A$20000,0),MATCH("Volume",'Semrush Data'!$A$1:$Z$1,0)),"")</f>
        <v/>
      </c>
      <c r="H3642" s="42">
        <f>IFERROR(INDEX('Semrush Data'!$A$1:$Z$20000,MATCH(A3642,'Semrush Data'!$A$1:$A$20000,0),MATCH("Keyword Difficulty*",'Semrush Data'!$A$1:$Z$1,0)),"")</f>
        <v/>
      </c>
      <c r="I3642" s="56">
        <f>IFERROR(INDEX('Semrush Data'!$A$1:$Z$20000,MATCH(A3642,'Semrush Data'!$A$1:$A$20000,0),MATCH("CPC*",'Semrush Data'!$A$1:$Z$1,0)),"")</f>
        <v/>
      </c>
      <c r="J3642" s="42">
        <f>IFERROR(INDEX('Semrush Data'!$A$1:$Z$20000,MATCH(A3642,'Semrush Data'!$A$1:$A$20000,0),MATCH("Intent",'Semrush Data'!$A$1:$Z$1,0)),"")</f>
        <v/>
      </c>
    </row>
    <row r="3643" ht="15" customHeight="1" s="37">
      <c r="A3643" s="42" t="inlineStr">
        <is>
          <t>tiziana terenzi akragas price</t>
        </is>
      </c>
      <c r="B3643" s="42" t="inlineStr">
        <is>
          <t>Price</t>
        </is>
      </c>
      <c r="C3643" s="42" t="n">
        <v>3</v>
      </c>
      <c r="D3643" s="42" t="n">
        <v>37</v>
      </c>
      <c r="E3643" s="42" t="n">
        <v>1</v>
      </c>
      <c r="F3643" s="42" t="inlineStr">
        <is>
          <t>FR-353</t>
        </is>
      </c>
      <c r="G3643" s="55">
        <f>IFERROR(INDEX('Semrush Data'!$A$1:$Z$20000,MATCH(A3643,'Semrush Data'!$A$1:$A$20000,0),MATCH("Volume",'Semrush Data'!$A$1:$Z$1,0)),"")</f>
        <v/>
      </c>
      <c r="H3643" s="42">
        <f>IFERROR(INDEX('Semrush Data'!$A$1:$Z$20000,MATCH(A3643,'Semrush Data'!$A$1:$A$20000,0),MATCH("Keyword Difficulty*",'Semrush Data'!$A$1:$Z$1,0)),"")</f>
        <v/>
      </c>
      <c r="I3643" s="56">
        <f>IFERROR(INDEX('Semrush Data'!$A$1:$Z$20000,MATCH(A3643,'Semrush Data'!$A$1:$A$20000,0),MATCH("CPC*",'Semrush Data'!$A$1:$Z$1,0)),"")</f>
        <v/>
      </c>
      <c r="J3643" s="42">
        <f>IFERROR(INDEX('Semrush Data'!$A$1:$Z$20000,MATCH(A3643,'Semrush Data'!$A$1:$A$20000,0),MATCH("Intent",'Semrush Data'!$A$1:$Z$1,0)),"")</f>
        <v/>
      </c>
    </row>
    <row r="3644" ht="15" customHeight="1" s="37">
      <c r="A3644" s="42" t="inlineStr">
        <is>
          <t>tiziana terenzi andromeda price</t>
        </is>
      </c>
      <c r="B3644" s="42" t="inlineStr">
        <is>
          <t>Price</t>
        </is>
      </c>
      <c r="C3644" s="42" t="n">
        <v>3</v>
      </c>
      <c r="D3644" s="42" t="n">
        <v>37</v>
      </c>
      <c r="E3644" s="42" t="n">
        <v>1</v>
      </c>
      <c r="F3644" s="42" t="inlineStr">
        <is>
          <t>FR-354</t>
        </is>
      </c>
      <c r="G3644" s="55">
        <f>IFERROR(INDEX('Semrush Data'!$A$1:$Z$20000,MATCH(A3644,'Semrush Data'!$A$1:$A$20000,0),MATCH("Volume",'Semrush Data'!$A$1:$Z$1,0)),"")</f>
        <v/>
      </c>
      <c r="H3644" s="42">
        <f>IFERROR(INDEX('Semrush Data'!$A$1:$Z$20000,MATCH(A3644,'Semrush Data'!$A$1:$A$20000,0),MATCH("Keyword Difficulty*",'Semrush Data'!$A$1:$Z$1,0)),"")</f>
        <v/>
      </c>
      <c r="I3644" s="56">
        <f>IFERROR(INDEX('Semrush Data'!$A$1:$Z$20000,MATCH(A3644,'Semrush Data'!$A$1:$A$20000,0),MATCH("CPC*",'Semrush Data'!$A$1:$Z$1,0)),"")</f>
        <v/>
      </c>
      <c r="J3644" s="42">
        <f>IFERROR(INDEX('Semrush Data'!$A$1:$Z$20000,MATCH(A3644,'Semrush Data'!$A$1:$A$20000,0),MATCH("Intent",'Semrush Data'!$A$1:$Z$1,0)),"")</f>
        <v/>
      </c>
    </row>
    <row r="3645" ht="15" customHeight="1" s="37">
      <c r="A3645" s="42" t="inlineStr">
        <is>
          <t>tiziana terenzi borelli linea tt price</t>
        </is>
      </c>
      <c r="B3645" s="42" t="inlineStr">
        <is>
          <t>Price</t>
        </is>
      </c>
      <c r="C3645" s="42" t="n">
        <v>3</v>
      </c>
      <c r="D3645" s="42" t="n">
        <v>37</v>
      </c>
      <c r="E3645" s="42" t="n">
        <v>1</v>
      </c>
      <c r="F3645" s="42" t="inlineStr">
        <is>
          <t>FR-355</t>
        </is>
      </c>
      <c r="G3645" s="55">
        <f>IFERROR(INDEX('Semrush Data'!$A$1:$Z$20000,MATCH(A3645,'Semrush Data'!$A$1:$A$20000,0),MATCH("Volume",'Semrush Data'!$A$1:$Z$1,0)),"")</f>
        <v/>
      </c>
      <c r="H3645" s="42">
        <f>IFERROR(INDEX('Semrush Data'!$A$1:$Z$20000,MATCH(A3645,'Semrush Data'!$A$1:$A$20000,0),MATCH("Keyword Difficulty*",'Semrush Data'!$A$1:$Z$1,0)),"")</f>
        <v/>
      </c>
      <c r="I3645" s="56">
        <f>IFERROR(INDEX('Semrush Data'!$A$1:$Z$20000,MATCH(A3645,'Semrush Data'!$A$1:$A$20000,0),MATCH("CPC*",'Semrush Data'!$A$1:$Z$1,0)),"")</f>
        <v/>
      </c>
      <c r="J3645" s="42">
        <f>IFERROR(INDEX('Semrush Data'!$A$1:$Z$20000,MATCH(A3645,'Semrush Data'!$A$1:$A$20000,0),MATCH("Intent",'Semrush Data'!$A$1:$Z$1,0)),"")</f>
        <v/>
      </c>
    </row>
    <row r="3646" ht="15" customHeight="1" s="37">
      <c r="A3646" s="42" t="inlineStr">
        <is>
          <t>tiziana terenzi caput mundi price</t>
        </is>
      </c>
      <c r="B3646" s="42" t="inlineStr">
        <is>
          <t>Price</t>
        </is>
      </c>
      <c r="C3646" s="42" t="n">
        <v>3</v>
      </c>
      <c r="D3646" s="42" t="n">
        <v>37</v>
      </c>
      <c r="E3646" s="42" t="n">
        <v>2</v>
      </c>
      <c r="F3646" s="42" t="inlineStr">
        <is>
          <t>FR-356, FR-357</t>
        </is>
      </c>
      <c r="G3646" s="55">
        <f>IFERROR(INDEX('Semrush Data'!$A$1:$Z$20000,MATCH(A3646,'Semrush Data'!$A$1:$A$20000,0),MATCH("Volume",'Semrush Data'!$A$1:$Z$1,0)),"")</f>
        <v/>
      </c>
      <c r="H3646" s="42">
        <f>IFERROR(INDEX('Semrush Data'!$A$1:$Z$20000,MATCH(A3646,'Semrush Data'!$A$1:$A$20000,0),MATCH("Keyword Difficulty*",'Semrush Data'!$A$1:$Z$1,0)),"")</f>
        <v/>
      </c>
      <c r="I3646" s="56">
        <f>IFERROR(INDEX('Semrush Data'!$A$1:$Z$20000,MATCH(A3646,'Semrush Data'!$A$1:$A$20000,0),MATCH("CPC*",'Semrush Data'!$A$1:$Z$1,0)),"")</f>
        <v/>
      </c>
      <c r="J3646" s="42">
        <f>IFERROR(INDEX('Semrush Data'!$A$1:$Z$20000,MATCH(A3646,'Semrush Data'!$A$1:$A$20000,0),MATCH("Intent",'Semrush Data'!$A$1:$Z$1,0)),"")</f>
        <v/>
      </c>
    </row>
    <row r="3647" ht="15" customHeight="1" s="37">
      <c r="A3647" s="42" t="inlineStr">
        <is>
          <t>tiziana terenzi chimaera anniversary price</t>
        </is>
      </c>
      <c r="B3647" s="42" t="inlineStr">
        <is>
          <t>Price</t>
        </is>
      </c>
      <c r="C3647" s="42" t="n">
        <v>3</v>
      </c>
      <c r="D3647" s="42" t="n">
        <v>37</v>
      </c>
      <c r="E3647" s="42" t="n">
        <v>1</v>
      </c>
      <c r="F3647" s="42" t="inlineStr">
        <is>
          <t>FR-358</t>
        </is>
      </c>
      <c r="G3647" s="55">
        <f>IFERROR(INDEX('Semrush Data'!$A$1:$Z$20000,MATCH(A3647,'Semrush Data'!$A$1:$A$20000,0),MATCH("Volume",'Semrush Data'!$A$1:$Z$1,0)),"")</f>
        <v/>
      </c>
      <c r="H3647" s="42">
        <f>IFERROR(INDEX('Semrush Data'!$A$1:$Z$20000,MATCH(A3647,'Semrush Data'!$A$1:$A$20000,0),MATCH("Keyword Difficulty*",'Semrush Data'!$A$1:$Z$1,0)),"")</f>
        <v/>
      </c>
      <c r="I3647" s="56">
        <f>IFERROR(INDEX('Semrush Data'!$A$1:$Z$20000,MATCH(A3647,'Semrush Data'!$A$1:$A$20000,0),MATCH("CPC*",'Semrush Data'!$A$1:$Z$1,0)),"")</f>
        <v/>
      </c>
      <c r="J3647" s="42">
        <f>IFERROR(INDEX('Semrush Data'!$A$1:$Z$20000,MATCH(A3647,'Semrush Data'!$A$1:$A$20000,0),MATCH("Intent",'Semrush Data'!$A$1:$Z$1,0)),"")</f>
        <v/>
      </c>
    </row>
    <row r="3648" ht="15" customHeight="1" s="37">
      <c r="A3648" s="42" t="inlineStr">
        <is>
          <t>tiziana terenzi draconis price</t>
        </is>
      </c>
      <c r="B3648" s="42" t="inlineStr">
        <is>
          <t>Price</t>
        </is>
      </c>
      <c r="C3648" s="42" t="n">
        <v>3</v>
      </c>
      <c r="D3648" s="42" t="n">
        <v>37</v>
      </c>
      <c r="E3648" s="42" t="n">
        <v>1</v>
      </c>
      <c r="F3648" s="42" t="inlineStr">
        <is>
          <t>FR-359</t>
        </is>
      </c>
      <c r="G3648" s="55">
        <f>IFERROR(INDEX('Semrush Data'!$A$1:$Z$20000,MATCH(A3648,'Semrush Data'!$A$1:$A$20000,0),MATCH("Volume",'Semrush Data'!$A$1:$Z$1,0)),"")</f>
        <v/>
      </c>
      <c r="H3648" s="42">
        <f>IFERROR(INDEX('Semrush Data'!$A$1:$Z$20000,MATCH(A3648,'Semrush Data'!$A$1:$A$20000,0),MATCH("Keyword Difficulty*",'Semrush Data'!$A$1:$Z$1,0)),"")</f>
        <v/>
      </c>
      <c r="I3648" s="56">
        <f>IFERROR(INDEX('Semrush Data'!$A$1:$Z$20000,MATCH(A3648,'Semrush Data'!$A$1:$A$20000,0),MATCH("CPC*",'Semrush Data'!$A$1:$Z$1,0)),"")</f>
        <v/>
      </c>
      <c r="J3648" s="42">
        <f>IFERROR(INDEX('Semrush Data'!$A$1:$Z$20000,MATCH(A3648,'Semrush Data'!$A$1:$A$20000,0),MATCH("Intent",'Semrush Data'!$A$1:$Z$1,0)),"")</f>
        <v/>
      </c>
    </row>
    <row r="3649" ht="15" customHeight="1" s="37">
      <c r="A3649" s="42" t="inlineStr">
        <is>
          <t>tiziana terenzi dubhe assoluto price</t>
        </is>
      </c>
      <c r="B3649" s="42" t="inlineStr">
        <is>
          <t>Price</t>
        </is>
      </c>
      <c r="C3649" s="42" t="n">
        <v>3</v>
      </c>
      <c r="D3649" s="42" t="n">
        <v>37</v>
      </c>
      <c r="E3649" s="42" t="n">
        <v>1</v>
      </c>
      <c r="F3649" s="42" t="inlineStr">
        <is>
          <t>FR-360</t>
        </is>
      </c>
      <c r="G3649" s="55">
        <f>IFERROR(INDEX('Semrush Data'!$A$1:$Z$20000,MATCH(A3649,'Semrush Data'!$A$1:$A$20000,0),MATCH("Volume",'Semrush Data'!$A$1:$Z$1,0)),"")</f>
        <v/>
      </c>
      <c r="H3649" s="42">
        <f>IFERROR(INDEX('Semrush Data'!$A$1:$Z$20000,MATCH(A3649,'Semrush Data'!$A$1:$A$20000,0),MATCH("Keyword Difficulty*",'Semrush Data'!$A$1:$Z$1,0)),"")</f>
        <v/>
      </c>
      <c r="I3649" s="56">
        <f>IFERROR(INDEX('Semrush Data'!$A$1:$Z$20000,MATCH(A3649,'Semrush Data'!$A$1:$A$20000,0),MATCH("CPC*",'Semrush Data'!$A$1:$Z$1,0)),"")</f>
        <v/>
      </c>
      <c r="J3649" s="42">
        <f>IFERROR(INDEX('Semrush Data'!$A$1:$Z$20000,MATCH(A3649,'Semrush Data'!$A$1:$A$20000,0),MATCH("Intent",'Semrush Data'!$A$1:$Z$1,0)),"")</f>
        <v/>
      </c>
    </row>
    <row r="3650" ht="15" customHeight="1" s="37">
      <c r="A3650" s="42" t="inlineStr">
        <is>
          <t>tiziana terenzi ecstasy price</t>
        </is>
      </c>
      <c r="B3650" s="42" t="inlineStr">
        <is>
          <t>Price</t>
        </is>
      </c>
      <c r="C3650" s="42" t="n">
        <v>3</v>
      </c>
      <c r="D3650" s="42" t="n">
        <v>37</v>
      </c>
      <c r="E3650" s="42" t="n">
        <v>1</v>
      </c>
      <c r="F3650" s="42" t="inlineStr">
        <is>
          <t>FR-361</t>
        </is>
      </c>
      <c r="G3650" s="55">
        <f>IFERROR(INDEX('Semrush Data'!$A$1:$Z$20000,MATCH(A3650,'Semrush Data'!$A$1:$A$20000,0),MATCH("Volume",'Semrush Data'!$A$1:$Z$1,0)),"")</f>
        <v/>
      </c>
      <c r="H3650" s="42">
        <f>IFERROR(INDEX('Semrush Data'!$A$1:$Z$20000,MATCH(A3650,'Semrush Data'!$A$1:$A$20000,0),MATCH("Keyword Difficulty*",'Semrush Data'!$A$1:$Z$1,0)),"")</f>
        <v/>
      </c>
      <c r="I3650" s="56">
        <f>IFERROR(INDEX('Semrush Data'!$A$1:$Z$20000,MATCH(A3650,'Semrush Data'!$A$1:$A$20000,0),MATCH("CPC*",'Semrush Data'!$A$1:$Z$1,0)),"")</f>
        <v/>
      </c>
      <c r="J3650" s="42">
        <f>IFERROR(INDEX('Semrush Data'!$A$1:$Z$20000,MATCH(A3650,'Semrush Data'!$A$1:$A$20000,0),MATCH("Intent",'Semrush Data'!$A$1:$Z$1,0)),"")</f>
        <v/>
      </c>
    </row>
    <row r="3651" ht="15" customHeight="1" s="37">
      <c r="A3651" s="42" t="inlineStr">
        <is>
          <t>tiziana terenzi gold rose oudh price</t>
        </is>
      </c>
      <c r="B3651" s="42" t="inlineStr">
        <is>
          <t>Price</t>
        </is>
      </c>
      <c r="C3651" s="42" t="n">
        <v>3</v>
      </c>
      <c r="D3651" s="42" t="n">
        <v>37</v>
      </c>
      <c r="E3651" s="42" t="n">
        <v>1</v>
      </c>
      <c r="F3651" s="42" t="inlineStr">
        <is>
          <t>FR-362</t>
        </is>
      </c>
      <c r="G3651" s="55">
        <f>IFERROR(INDEX('Semrush Data'!$A$1:$Z$20000,MATCH(A3651,'Semrush Data'!$A$1:$A$20000,0),MATCH("Volume",'Semrush Data'!$A$1:$Z$1,0)),"")</f>
        <v/>
      </c>
      <c r="H3651" s="42">
        <f>IFERROR(INDEX('Semrush Data'!$A$1:$Z$20000,MATCH(A3651,'Semrush Data'!$A$1:$A$20000,0),MATCH("Keyword Difficulty*",'Semrush Data'!$A$1:$Z$1,0)),"")</f>
        <v/>
      </c>
      <c r="I3651" s="56">
        <f>IFERROR(INDEX('Semrush Data'!$A$1:$Z$20000,MATCH(A3651,'Semrush Data'!$A$1:$A$20000,0),MATCH("CPC*",'Semrush Data'!$A$1:$Z$1,0)),"")</f>
        <v/>
      </c>
      <c r="J3651" s="42">
        <f>IFERROR(INDEX('Semrush Data'!$A$1:$Z$20000,MATCH(A3651,'Semrush Data'!$A$1:$A$20000,0),MATCH("Intent",'Semrush Data'!$A$1:$Z$1,0)),"")</f>
        <v/>
      </c>
    </row>
    <row r="3652" ht="15" customHeight="1" s="37">
      <c r="A3652" s="42" t="inlineStr">
        <is>
          <t>tiziana terenzi gumin price</t>
        </is>
      </c>
      <c r="B3652" s="42" t="inlineStr">
        <is>
          <t>Price</t>
        </is>
      </c>
      <c r="C3652" s="42" t="n">
        <v>3</v>
      </c>
      <c r="D3652" s="42" t="n">
        <v>37</v>
      </c>
      <c r="E3652" s="42" t="n">
        <v>1</v>
      </c>
      <c r="F3652" s="42" t="inlineStr">
        <is>
          <t>FR-363</t>
        </is>
      </c>
      <c r="G3652" s="55">
        <f>IFERROR(INDEX('Semrush Data'!$A$1:$Z$20000,MATCH(A3652,'Semrush Data'!$A$1:$A$20000,0),MATCH("Volume",'Semrush Data'!$A$1:$Z$1,0)),"")</f>
        <v/>
      </c>
      <c r="H3652" s="42">
        <f>IFERROR(INDEX('Semrush Data'!$A$1:$Z$20000,MATCH(A3652,'Semrush Data'!$A$1:$A$20000,0),MATCH("Keyword Difficulty*",'Semrush Data'!$A$1:$Z$1,0)),"")</f>
        <v/>
      </c>
      <c r="I3652" s="56">
        <f>IFERROR(INDEX('Semrush Data'!$A$1:$Z$20000,MATCH(A3652,'Semrush Data'!$A$1:$A$20000,0),MATCH("CPC*",'Semrush Data'!$A$1:$Z$1,0)),"")</f>
        <v/>
      </c>
      <c r="J3652" s="42">
        <f>IFERROR(INDEX('Semrush Data'!$A$1:$Z$20000,MATCH(A3652,'Semrush Data'!$A$1:$A$20000,0),MATCH("Intent",'Semrush Data'!$A$1:$Z$1,0)),"")</f>
        <v/>
      </c>
    </row>
    <row r="3653" ht="15" customHeight="1" s="37">
      <c r="A3653" s="42" t="inlineStr">
        <is>
          <t>tiziana terenzi kaff price</t>
        </is>
      </c>
      <c r="B3653" s="42" t="inlineStr">
        <is>
          <t>Price</t>
        </is>
      </c>
      <c r="C3653" s="42" t="n">
        <v>3</v>
      </c>
      <c r="D3653" s="42" t="n">
        <v>37</v>
      </c>
      <c r="E3653" s="42" t="n">
        <v>1</v>
      </c>
      <c r="F3653" s="42" t="inlineStr">
        <is>
          <t>FR-364</t>
        </is>
      </c>
      <c r="G3653" s="55">
        <f>IFERROR(INDEX('Semrush Data'!$A$1:$Z$20000,MATCH(A3653,'Semrush Data'!$A$1:$A$20000,0),MATCH("Volume",'Semrush Data'!$A$1:$Z$1,0)),"")</f>
        <v/>
      </c>
      <c r="H3653" s="42">
        <f>IFERROR(INDEX('Semrush Data'!$A$1:$Z$20000,MATCH(A3653,'Semrush Data'!$A$1:$A$20000,0),MATCH("Keyword Difficulty*",'Semrush Data'!$A$1:$Z$1,0)),"")</f>
        <v/>
      </c>
      <c r="I3653" s="56">
        <f>IFERROR(INDEX('Semrush Data'!$A$1:$Z$20000,MATCH(A3653,'Semrush Data'!$A$1:$A$20000,0),MATCH("CPC*",'Semrush Data'!$A$1:$Z$1,0)),"")</f>
        <v/>
      </c>
      <c r="J3653" s="42">
        <f>IFERROR(INDEX('Semrush Data'!$A$1:$Z$20000,MATCH(A3653,'Semrush Data'!$A$1:$A$20000,0),MATCH("Intent",'Semrush Data'!$A$1:$Z$1,0)),"")</f>
        <v/>
      </c>
    </row>
    <row r="3654" ht="15" customHeight="1" s="37">
      <c r="A3654" s="42" t="inlineStr">
        <is>
          <t>tiziana terenzi kirke price</t>
        </is>
      </c>
      <c r="B3654" s="42" t="inlineStr">
        <is>
          <t>Price</t>
        </is>
      </c>
      <c r="C3654" s="42" t="n">
        <v>3</v>
      </c>
      <c r="D3654" s="42" t="n">
        <v>37</v>
      </c>
      <c r="E3654" s="42" t="n">
        <v>1</v>
      </c>
      <c r="F3654" s="42" t="inlineStr">
        <is>
          <t>FR-365</t>
        </is>
      </c>
      <c r="G3654" s="55">
        <f>IFERROR(INDEX('Semrush Data'!$A$1:$Z$20000,MATCH(A3654,'Semrush Data'!$A$1:$A$20000,0),MATCH("Volume",'Semrush Data'!$A$1:$Z$1,0)),"")</f>
        <v/>
      </c>
      <c r="H3654" s="42">
        <f>IFERROR(INDEX('Semrush Data'!$A$1:$Z$20000,MATCH(A3654,'Semrush Data'!$A$1:$A$20000,0),MATCH("Keyword Difficulty*",'Semrush Data'!$A$1:$Z$1,0)),"")</f>
        <v/>
      </c>
      <c r="I3654" s="56">
        <f>IFERROR(INDEX('Semrush Data'!$A$1:$Z$20000,MATCH(A3654,'Semrush Data'!$A$1:$A$20000,0),MATCH("CPC*",'Semrush Data'!$A$1:$Z$1,0)),"")</f>
        <v/>
      </c>
      <c r="J3654" s="42">
        <f>IFERROR(INDEX('Semrush Data'!$A$1:$Z$20000,MATCH(A3654,'Semrush Data'!$A$1:$A$20000,0),MATCH("Intent",'Semrush Data'!$A$1:$Z$1,0)),"")</f>
        <v/>
      </c>
    </row>
    <row r="3655" ht="15" customHeight="1" s="37">
      <c r="A3655" s="42" t="inlineStr">
        <is>
          <t>tiziana terenzi leo price</t>
        </is>
      </c>
      <c r="B3655" s="42" t="inlineStr">
        <is>
          <t>Price</t>
        </is>
      </c>
      <c r="C3655" s="42" t="n">
        <v>3</v>
      </c>
      <c r="D3655" s="42" t="n">
        <v>37</v>
      </c>
      <c r="E3655" s="42" t="n">
        <v>1</v>
      </c>
      <c r="F3655" s="42" t="inlineStr">
        <is>
          <t>FR-366</t>
        </is>
      </c>
      <c r="G3655" s="55">
        <f>IFERROR(INDEX('Semrush Data'!$A$1:$Z$20000,MATCH(A3655,'Semrush Data'!$A$1:$A$20000,0),MATCH("Volume",'Semrush Data'!$A$1:$Z$1,0)),"")</f>
        <v/>
      </c>
      <c r="H3655" s="42">
        <f>IFERROR(INDEX('Semrush Data'!$A$1:$Z$20000,MATCH(A3655,'Semrush Data'!$A$1:$A$20000,0),MATCH("Keyword Difficulty*",'Semrush Data'!$A$1:$Z$1,0)),"")</f>
        <v/>
      </c>
      <c r="I3655" s="56">
        <f>IFERROR(INDEX('Semrush Data'!$A$1:$Z$20000,MATCH(A3655,'Semrush Data'!$A$1:$A$20000,0),MATCH("CPC*",'Semrush Data'!$A$1:$Z$1,0)),"")</f>
        <v/>
      </c>
      <c r="J3655" s="42">
        <f>IFERROR(INDEX('Semrush Data'!$A$1:$Z$20000,MATCH(A3655,'Semrush Data'!$A$1:$A$20000,0),MATCH("Intent",'Semrush Data'!$A$1:$Z$1,0)),"")</f>
        <v/>
      </c>
    </row>
    <row r="3656" ht="15" customHeight="1" s="37">
      <c r="A3656" s="42" t="inlineStr">
        <is>
          <t>tiziana terenzi moro di venezia price</t>
        </is>
      </c>
      <c r="B3656" s="42" t="inlineStr">
        <is>
          <t>Price</t>
        </is>
      </c>
      <c r="C3656" s="42" t="n">
        <v>3</v>
      </c>
      <c r="D3656" s="42" t="n">
        <v>37</v>
      </c>
      <c r="E3656" s="42" t="n">
        <v>1</v>
      </c>
      <c r="F3656" s="42" t="inlineStr">
        <is>
          <t>FR-367</t>
        </is>
      </c>
      <c r="G3656" s="55">
        <f>IFERROR(INDEX('Semrush Data'!$A$1:$Z$20000,MATCH(A3656,'Semrush Data'!$A$1:$A$20000,0),MATCH("Volume",'Semrush Data'!$A$1:$Z$1,0)),"")</f>
        <v/>
      </c>
      <c r="H3656" s="42">
        <f>IFERROR(INDEX('Semrush Data'!$A$1:$Z$20000,MATCH(A3656,'Semrush Data'!$A$1:$A$20000,0),MATCH("Keyword Difficulty*",'Semrush Data'!$A$1:$Z$1,0)),"")</f>
        <v/>
      </c>
      <c r="I3656" s="56">
        <f>IFERROR(INDEX('Semrush Data'!$A$1:$Z$20000,MATCH(A3656,'Semrush Data'!$A$1:$A$20000,0),MATCH("CPC*",'Semrush Data'!$A$1:$Z$1,0)),"")</f>
        <v/>
      </c>
      <c r="J3656" s="42">
        <f>IFERROR(INDEX('Semrush Data'!$A$1:$Z$20000,MATCH(A3656,'Semrush Data'!$A$1:$A$20000,0),MATCH("Intent",'Semrush Data'!$A$1:$Z$1,0)),"")</f>
        <v/>
      </c>
    </row>
    <row r="3657" ht="15" customHeight="1" s="37">
      <c r="A3657" s="42" t="inlineStr">
        <is>
          <t>tiziana terenzi orion price</t>
        </is>
      </c>
      <c r="B3657" s="42" t="inlineStr">
        <is>
          <t>Price</t>
        </is>
      </c>
      <c r="C3657" s="42" t="n">
        <v>3</v>
      </c>
      <c r="D3657" s="42" t="n">
        <v>37</v>
      </c>
      <c r="E3657" s="42" t="n">
        <v>1</v>
      </c>
      <c r="F3657" s="42" t="inlineStr">
        <is>
          <t>FR-368</t>
        </is>
      </c>
      <c r="G3657" s="55">
        <f>IFERROR(INDEX('Semrush Data'!$A$1:$Z$20000,MATCH(A3657,'Semrush Data'!$A$1:$A$20000,0),MATCH("Volume",'Semrush Data'!$A$1:$Z$1,0)),"")</f>
        <v/>
      </c>
      <c r="H3657" s="42">
        <f>IFERROR(INDEX('Semrush Data'!$A$1:$Z$20000,MATCH(A3657,'Semrush Data'!$A$1:$A$20000,0),MATCH("Keyword Difficulty*",'Semrush Data'!$A$1:$Z$1,0)),"")</f>
        <v/>
      </c>
      <c r="I3657" s="56">
        <f>IFERROR(INDEX('Semrush Data'!$A$1:$Z$20000,MATCH(A3657,'Semrush Data'!$A$1:$A$20000,0),MATCH("CPC*",'Semrush Data'!$A$1:$Z$1,0)),"")</f>
        <v/>
      </c>
      <c r="J3657" s="42">
        <f>IFERROR(INDEX('Semrush Data'!$A$1:$Z$20000,MATCH(A3657,'Semrush Data'!$A$1:$A$20000,0),MATCH("Intent",'Semrush Data'!$A$1:$Z$1,0)),"")</f>
        <v/>
      </c>
    </row>
    <row r="3658" ht="15" customHeight="1" s="37">
      <c r="A3658" s="42" t="inlineStr">
        <is>
          <t>tiziana terenzi orza linea tt price</t>
        </is>
      </c>
      <c r="B3658" s="42" t="inlineStr">
        <is>
          <t>Price</t>
        </is>
      </c>
      <c r="C3658" s="42" t="n">
        <v>3</v>
      </c>
      <c r="D3658" s="42" t="n">
        <v>37</v>
      </c>
      <c r="E3658" s="42" t="n">
        <v>1</v>
      </c>
      <c r="F3658" s="42" t="inlineStr">
        <is>
          <t>FR-369</t>
        </is>
      </c>
      <c r="G3658" s="55">
        <f>IFERROR(INDEX('Semrush Data'!$A$1:$Z$20000,MATCH(A3658,'Semrush Data'!$A$1:$A$20000,0),MATCH("Volume",'Semrush Data'!$A$1:$Z$1,0)),"")</f>
        <v/>
      </c>
      <c r="H3658" s="42">
        <f>IFERROR(INDEX('Semrush Data'!$A$1:$Z$20000,MATCH(A3658,'Semrush Data'!$A$1:$A$20000,0),MATCH("Keyword Difficulty*",'Semrush Data'!$A$1:$Z$1,0)),"")</f>
        <v/>
      </c>
      <c r="I3658" s="56">
        <f>IFERROR(INDEX('Semrush Data'!$A$1:$Z$20000,MATCH(A3658,'Semrush Data'!$A$1:$A$20000,0),MATCH("CPC*",'Semrush Data'!$A$1:$Z$1,0)),"")</f>
        <v/>
      </c>
      <c r="J3658" s="42">
        <f>IFERROR(INDEX('Semrush Data'!$A$1:$Z$20000,MATCH(A3658,'Semrush Data'!$A$1:$A$20000,0),MATCH("Intent",'Semrush Data'!$A$1:$Z$1,0)),"")</f>
        <v/>
      </c>
    </row>
    <row r="3659" ht="15" customHeight="1" s="37">
      <c r="A3659" s="42" t="inlineStr">
        <is>
          <t>tiziana terenzi porpora price</t>
        </is>
      </c>
      <c r="B3659" s="42" t="inlineStr">
        <is>
          <t>Price</t>
        </is>
      </c>
      <c r="C3659" s="42" t="n">
        <v>3</v>
      </c>
      <c r="D3659" s="42" t="n">
        <v>37</v>
      </c>
      <c r="E3659" s="42" t="n">
        <v>1</v>
      </c>
      <c r="F3659" s="42" t="inlineStr">
        <is>
          <t>FR-370</t>
        </is>
      </c>
      <c r="G3659" s="55">
        <f>IFERROR(INDEX('Semrush Data'!$A$1:$Z$20000,MATCH(A3659,'Semrush Data'!$A$1:$A$20000,0),MATCH("Volume",'Semrush Data'!$A$1:$Z$1,0)),"")</f>
        <v/>
      </c>
      <c r="H3659" s="42">
        <f>IFERROR(INDEX('Semrush Data'!$A$1:$Z$20000,MATCH(A3659,'Semrush Data'!$A$1:$A$20000,0),MATCH("Keyword Difficulty*",'Semrush Data'!$A$1:$Z$1,0)),"")</f>
        <v/>
      </c>
      <c r="I3659" s="56">
        <f>IFERROR(INDEX('Semrush Data'!$A$1:$Z$20000,MATCH(A3659,'Semrush Data'!$A$1:$A$20000,0),MATCH("CPC*",'Semrush Data'!$A$1:$Z$1,0)),"")</f>
        <v/>
      </c>
      <c r="J3659" s="42">
        <f>IFERROR(INDEX('Semrush Data'!$A$1:$Z$20000,MATCH(A3659,'Semrush Data'!$A$1:$A$20000,0),MATCH("Intent",'Semrush Data'!$A$1:$Z$1,0)),"")</f>
        <v/>
      </c>
    </row>
    <row r="3660" ht="15" customHeight="1" s="37">
      <c r="A3660" s="42" t="inlineStr">
        <is>
          <t>tiziana terenzi saiph price</t>
        </is>
      </c>
      <c r="B3660" s="42" t="inlineStr">
        <is>
          <t>Price</t>
        </is>
      </c>
      <c r="C3660" s="42" t="n">
        <v>3</v>
      </c>
      <c r="D3660" s="42" t="n">
        <v>37</v>
      </c>
      <c r="E3660" s="42" t="n">
        <v>1</v>
      </c>
      <c r="F3660" s="42" t="inlineStr">
        <is>
          <t>FR-371</t>
        </is>
      </c>
      <c r="G3660" s="55">
        <f>IFERROR(INDEX('Semrush Data'!$A$1:$Z$20000,MATCH(A3660,'Semrush Data'!$A$1:$A$20000,0),MATCH("Volume",'Semrush Data'!$A$1:$Z$1,0)),"")</f>
        <v/>
      </c>
      <c r="H3660" s="42">
        <f>IFERROR(INDEX('Semrush Data'!$A$1:$Z$20000,MATCH(A3660,'Semrush Data'!$A$1:$A$20000,0),MATCH("Keyword Difficulty*",'Semrush Data'!$A$1:$Z$1,0)),"")</f>
        <v/>
      </c>
      <c r="I3660" s="56">
        <f>IFERROR(INDEX('Semrush Data'!$A$1:$Z$20000,MATCH(A3660,'Semrush Data'!$A$1:$A$20000,0),MATCH("CPC*",'Semrush Data'!$A$1:$Z$1,0)),"")</f>
        <v/>
      </c>
      <c r="J3660" s="42">
        <f>IFERROR(INDEX('Semrush Data'!$A$1:$Z$20000,MATCH(A3660,'Semrush Data'!$A$1:$A$20000,0),MATCH("Intent",'Semrush Data'!$A$1:$Z$1,0)),"")</f>
        <v/>
      </c>
    </row>
    <row r="3661" ht="15" customHeight="1" s="37">
      <c r="A3661" s="42" t="inlineStr">
        <is>
          <t>tiziana terenzi sea stars collection deriva price</t>
        </is>
      </c>
      <c r="B3661" s="42" t="inlineStr">
        <is>
          <t>Price</t>
        </is>
      </c>
      <c r="C3661" s="42" t="n">
        <v>3</v>
      </c>
      <c r="D3661" s="42" t="n">
        <v>37</v>
      </c>
      <c r="E3661" s="42" t="n">
        <v>1</v>
      </c>
      <c r="F3661" s="42" t="inlineStr">
        <is>
          <t>FR-372</t>
        </is>
      </c>
      <c r="G3661" s="55">
        <f>IFERROR(INDEX('Semrush Data'!$A$1:$Z$20000,MATCH(A3661,'Semrush Data'!$A$1:$A$20000,0),MATCH("Volume",'Semrush Data'!$A$1:$Z$1,0)),"")</f>
        <v/>
      </c>
      <c r="H3661" s="42">
        <f>IFERROR(INDEX('Semrush Data'!$A$1:$Z$20000,MATCH(A3661,'Semrush Data'!$A$1:$A$20000,0),MATCH("Keyword Difficulty*",'Semrush Data'!$A$1:$Z$1,0)),"")</f>
        <v/>
      </c>
      <c r="I3661" s="56">
        <f>IFERROR(INDEX('Semrush Data'!$A$1:$Z$20000,MATCH(A3661,'Semrush Data'!$A$1:$A$20000,0),MATCH("CPC*",'Semrush Data'!$A$1:$Z$1,0)),"")</f>
        <v/>
      </c>
      <c r="J3661" s="42">
        <f>IFERROR(INDEX('Semrush Data'!$A$1:$Z$20000,MATCH(A3661,'Semrush Data'!$A$1:$A$20000,0),MATCH("Intent",'Semrush Data'!$A$1:$Z$1,0)),"")</f>
        <v/>
      </c>
    </row>
    <row r="3662" ht="15" customHeight="1" s="37">
      <c r="A3662" s="42" t="inlineStr">
        <is>
          <t>tiziana terenzi white fire price</t>
        </is>
      </c>
      <c r="B3662" s="42" t="inlineStr">
        <is>
          <t>Price</t>
        </is>
      </c>
      <c r="C3662" s="42" t="n">
        <v>3</v>
      </c>
      <c r="D3662" s="42" t="n">
        <v>37</v>
      </c>
      <c r="E3662" s="42" t="n">
        <v>1</v>
      </c>
      <c r="F3662" s="42" t="inlineStr">
        <is>
          <t>FR-373</t>
        </is>
      </c>
      <c r="G3662" s="55">
        <f>IFERROR(INDEX('Semrush Data'!$A$1:$Z$20000,MATCH(A3662,'Semrush Data'!$A$1:$A$20000,0),MATCH("Volume",'Semrush Data'!$A$1:$Z$1,0)),"")</f>
        <v/>
      </c>
      <c r="H3662" s="42">
        <f>IFERROR(INDEX('Semrush Data'!$A$1:$Z$20000,MATCH(A3662,'Semrush Data'!$A$1:$A$20000,0),MATCH("Keyword Difficulty*",'Semrush Data'!$A$1:$Z$1,0)),"")</f>
        <v/>
      </c>
      <c r="I3662" s="56">
        <f>IFERROR(INDEX('Semrush Data'!$A$1:$Z$20000,MATCH(A3662,'Semrush Data'!$A$1:$A$20000,0),MATCH("CPC*",'Semrush Data'!$A$1:$Z$1,0)),"")</f>
        <v/>
      </c>
      <c r="J3662" s="42">
        <f>IFERROR(INDEX('Semrush Data'!$A$1:$Z$20000,MATCH(A3662,'Semrush Data'!$A$1:$A$20000,0),MATCH("Intent",'Semrush Data'!$A$1:$Z$1,0)),"")</f>
        <v/>
      </c>
    </row>
    <row r="3663" ht="15" customHeight="1" s="37">
      <c r="A3663" s="42" t="inlineStr">
        <is>
          <t>tom ford black orchid price</t>
        </is>
      </c>
      <c r="B3663" s="42" t="inlineStr">
        <is>
          <t>Price</t>
        </is>
      </c>
      <c r="C3663" s="42" t="n">
        <v>3</v>
      </c>
      <c r="D3663" s="42" t="inlineStr">
        <is>
          <t>T3-1</t>
        </is>
      </c>
      <c r="E3663" s="42" t="n">
        <v>1</v>
      </c>
      <c r="F3663" s="42" t="inlineStr">
        <is>
          <t>FR-378</t>
        </is>
      </c>
      <c r="G3663" s="55">
        <f>IFERROR(INDEX('Semrush Data'!$A$1:$Z$20000,MATCH(A3663,'Semrush Data'!$A$1:$A$20000,0),MATCH("Volume",'Semrush Data'!$A$1:$Z$1,0)),"")</f>
        <v/>
      </c>
      <c r="H3663" s="42">
        <f>IFERROR(INDEX('Semrush Data'!$A$1:$Z$20000,MATCH(A3663,'Semrush Data'!$A$1:$A$20000,0),MATCH("Keyword Difficulty*",'Semrush Data'!$A$1:$Z$1,0)),"")</f>
        <v/>
      </c>
      <c r="I3663" s="56">
        <f>IFERROR(INDEX('Semrush Data'!$A$1:$Z$20000,MATCH(A3663,'Semrush Data'!$A$1:$A$20000,0),MATCH("CPC*",'Semrush Data'!$A$1:$Z$1,0)),"")</f>
        <v/>
      </c>
      <c r="J3663" s="42">
        <f>IFERROR(INDEX('Semrush Data'!$A$1:$Z$20000,MATCH(A3663,'Semrush Data'!$A$1:$A$20000,0),MATCH("Intent",'Semrush Data'!$A$1:$Z$1,0)),"")</f>
        <v/>
      </c>
    </row>
    <row r="3664" ht="15" customHeight="1" s="37">
      <c r="A3664" s="42" t="inlineStr">
        <is>
          <t>tom ford ebene fume price</t>
        </is>
      </c>
      <c r="B3664" s="42" t="inlineStr">
        <is>
          <t>Price</t>
        </is>
      </c>
      <c r="C3664" s="42" t="n">
        <v>3</v>
      </c>
      <c r="D3664" s="42" t="n">
        <v>37</v>
      </c>
      <c r="E3664" s="42" t="n">
        <v>1</v>
      </c>
      <c r="F3664" s="42" t="inlineStr">
        <is>
          <t>FR-377</t>
        </is>
      </c>
      <c r="G3664" s="55">
        <f>IFERROR(INDEX('Semrush Data'!$A$1:$Z$20000,MATCH(A3664,'Semrush Data'!$A$1:$A$20000,0),MATCH("Volume",'Semrush Data'!$A$1:$Z$1,0)),"")</f>
        <v/>
      </c>
      <c r="H3664" s="42">
        <f>IFERROR(INDEX('Semrush Data'!$A$1:$Z$20000,MATCH(A3664,'Semrush Data'!$A$1:$A$20000,0),MATCH("Keyword Difficulty*",'Semrush Data'!$A$1:$Z$1,0)),"")</f>
        <v/>
      </c>
      <c r="I3664" s="56">
        <f>IFERROR(INDEX('Semrush Data'!$A$1:$Z$20000,MATCH(A3664,'Semrush Data'!$A$1:$A$20000,0),MATCH("CPC*",'Semrush Data'!$A$1:$Z$1,0)),"")</f>
        <v/>
      </c>
      <c r="J3664" s="42">
        <f>IFERROR(INDEX('Semrush Data'!$A$1:$Z$20000,MATCH(A3664,'Semrush Data'!$A$1:$A$20000,0),MATCH("Intent",'Semrush Data'!$A$1:$Z$1,0)),"")</f>
        <v/>
      </c>
    </row>
    <row r="3665" ht="15" customHeight="1" s="37">
      <c r="A3665" s="42" t="inlineStr">
        <is>
          <t>tom ford neroli portofino price</t>
        </is>
      </c>
      <c r="B3665" s="42" t="inlineStr">
        <is>
          <t>Price</t>
        </is>
      </c>
      <c r="C3665" s="42" t="n">
        <v>3</v>
      </c>
      <c r="D3665" s="42" t="inlineStr">
        <is>
          <t>T3-1</t>
        </is>
      </c>
      <c r="E3665" s="42" t="n">
        <v>1</v>
      </c>
      <c r="F3665" s="42" t="inlineStr">
        <is>
          <t>FR-374</t>
        </is>
      </c>
      <c r="G3665" s="55">
        <f>IFERROR(INDEX('Semrush Data'!$A$1:$Z$20000,MATCH(A3665,'Semrush Data'!$A$1:$A$20000,0),MATCH("Volume",'Semrush Data'!$A$1:$Z$1,0)),"")</f>
        <v/>
      </c>
      <c r="H3665" s="42">
        <f>IFERROR(INDEX('Semrush Data'!$A$1:$Z$20000,MATCH(A3665,'Semrush Data'!$A$1:$A$20000,0),MATCH("Keyword Difficulty*",'Semrush Data'!$A$1:$Z$1,0)),"")</f>
        <v/>
      </c>
      <c r="I3665" s="56">
        <f>IFERROR(INDEX('Semrush Data'!$A$1:$Z$20000,MATCH(A3665,'Semrush Data'!$A$1:$A$20000,0),MATCH("CPC*",'Semrush Data'!$A$1:$Z$1,0)),"")</f>
        <v/>
      </c>
      <c r="J3665" s="42">
        <f>IFERROR(INDEX('Semrush Data'!$A$1:$Z$20000,MATCH(A3665,'Semrush Data'!$A$1:$A$20000,0),MATCH("Intent",'Semrush Data'!$A$1:$Z$1,0)),"")</f>
        <v/>
      </c>
    </row>
    <row r="3666" ht="15" customHeight="1" s="37">
      <c r="A3666" s="42" t="inlineStr">
        <is>
          <t>tom ford noir extreme price</t>
        </is>
      </c>
      <c r="B3666" s="42" t="inlineStr">
        <is>
          <t>Price</t>
        </is>
      </c>
      <c r="C3666" s="42" t="n">
        <v>3</v>
      </c>
      <c r="D3666" s="42" t="inlineStr">
        <is>
          <t>T3-1</t>
        </is>
      </c>
      <c r="E3666" s="42" t="n">
        <v>1</v>
      </c>
      <c r="F3666" s="42" t="inlineStr">
        <is>
          <t>FR-379</t>
        </is>
      </c>
      <c r="G3666" s="55">
        <f>IFERROR(INDEX('Semrush Data'!$A$1:$Z$20000,MATCH(A3666,'Semrush Data'!$A$1:$A$20000,0),MATCH("Volume",'Semrush Data'!$A$1:$Z$1,0)),"")</f>
        <v/>
      </c>
      <c r="H3666" s="42">
        <f>IFERROR(INDEX('Semrush Data'!$A$1:$Z$20000,MATCH(A3666,'Semrush Data'!$A$1:$A$20000,0),MATCH("Keyword Difficulty*",'Semrush Data'!$A$1:$Z$1,0)),"")</f>
        <v/>
      </c>
      <c r="I3666" s="56">
        <f>IFERROR(INDEX('Semrush Data'!$A$1:$Z$20000,MATCH(A3666,'Semrush Data'!$A$1:$A$20000,0),MATCH("CPC*",'Semrush Data'!$A$1:$Z$1,0)),"")</f>
        <v/>
      </c>
      <c r="J3666" s="42">
        <f>IFERROR(INDEX('Semrush Data'!$A$1:$Z$20000,MATCH(A3666,'Semrush Data'!$A$1:$A$20000,0),MATCH("Intent",'Semrush Data'!$A$1:$Z$1,0)),"")</f>
        <v/>
      </c>
    </row>
    <row r="3667" ht="15" customHeight="1" s="37">
      <c r="A3667" s="42" t="inlineStr">
        <is>
          <t>tom ford oud wood price</t>
        </is>
      </c>
      <c r="B3667" s="42" t="inlineStr">
        <is>
          <t>Price</t>
        </is>
      </c>
      <c r="C3667" s="42" t="n">
        <v>3</v>
      </c>
      <c r="D3667" s="42" t="inlineStr">
        <is>
          <t>T3-1</t>
        </is>
      </c>
      <c r="E3667" s="42" t="n">
        <v>2</v>
      </c>
      <c r="F3667" s="42" t="inlineStr">
        <is>
          <t>FR-375, FR-376</t>
        </is>
      </c>
      <c r="G3667" s="55">
        <f>IFERROR(INDEX('Semrush Data'!$A$1:$Z$20000,MATCH(A3667,'Semrush Data'!$A$1:$A$20000,0),MATCH("Volume",'Semrush Data'!$A$1:$Z$1,0)),"")</f>
        <v/>
      </c>
      <c r="H3667" s="42">
        <f>IFERROR(INDEX('Semrush Data'!$A$1:$Z$20000,MATCH(A3667,'Semrush Data'!$A$1:$A$20000,0),MATCH("Keyword Difficulty*",'Semrush Data'!$A$1:$Z$1,0)),"")</f>
        <v/>
      </c>
      <c r="I3667" s="56">
        <f>IFERROR(INDEX('Semrush Data'!$A$1:$Z$20000,MATCH(A3667,'Semrush Data'!$A$1:$A$20000,0),MATCH("CPC*",'Semrush Data'!$A$1:$Z$1,0)),"")</f>
        <v/>
      </c>
      <c r="J3667" s="42">
        <f>IFERROR(INDEX('Semrush Data'!$A$1:$Z$20000,MATCH(A3667,'Semrush Data'!$A$1:$A$20000,0),MATCH("Intent",'Semrush Data'!$A$1:$Z$1,0)),"")</f>
        <v/>
      </c>
    </row>
    <row r="3668" ht="15" customHeight="1" s="37">
      <c r="A3668" s="42" t="inlineStr">
        <is>
          <t>trussardi black extreme miniature price</t>
        </is>
      </c>
      <c r="B3668" s="42" t="inlineStr">
        <is>
          <t>Price</t>
        </is>
      </c>
      <c r="C3668" s="42" t="n">
        <v>3</v>
      </c>
      <c r="D3668" s="42" t="n">
        <v>37</v>
      </c>
      <c r="E3668" s="42" t="n">
        <v>1</v>
      </c>
      <c r="F3668" s="42" t="inlineStr">
        <is>
          <t>FR-382</t>
        </is>
      </c>
      <c r="G3668" s="55">
        <f>IFERROR(INDEX('Semrush Data'!$A$1:$Z$20000,MATCH(A3668,'Semrush Data'!$A$1:$A$20000,0),MATCH("Volume",'Semrush Data'!$A$1:$Z$1,0)),"")</f>
        <v/>
      </c>
      <c r="H3668" s="42">
        <f>IFERROR(INDEX('Semrush Data'!$A$1:$Z$20000,MATCH(A3668,'Semrush Data'!$A$1:$A$20000,0),MATCH("Keyword Difficulty*",'Semrush Data'!$A$1:$Z$1,0)),"")</f>
        <v/>
      </c>
      <c r="I3668" s="56">
        <f>IFERROR(INDEX('Semrush Data'!$A$1:$Z$20000,MATCH(A3668,'Semrush Data'!$A$1:$A$20000,0),MATCH("CPC*",'Semrush Data'!$A$1:$Z$1,0)),"")</f>
        <v/>
      </c>
      <c r="J3668" s="42">
        <f>IFERROR(INDEX('Semrush Data'!$A$1:$Z$20000,MATCH(A3668,'Semrush Data'!$A$1:$A$20000,0),MATCH("Intent",'Semrush Data'!$A$1:$Z$1,0)),"")</f>
        <v/>
      </c>
    </row>
    <row r="3669" ht="15" customHeight="1" s="37">
      <c r="A3669" s="42" t="inlineStr">
        <is>
          <t>trussardi delicate rose price</t>
        </is>
      </c>
      <c r="B3669" s="42" t="inlineStr">
        <is>
          <t>Price</t>
        </is>
      </c>
      <c r="C3669" s="42" t="n">
        <v>3</v>
      </c>
      <c r="D3669" s="42" t="n">
        <v>37</v>
      </c>
      <c r="E3669" s="42" t="n">
        <v>1</v>
      </c>
      <c r="F3669" s="42" t="inlineStr">
        <is>
          <t>FR-383</t>
        </is>
      </c>
      <c r="G3669" s="55">
        <f>IFERROR(INDEX('Semrush Data'!$A$1:$Z$20000,MATCH(A3669,'Semrush Data'!$A$1:$A$20000,0),MATCH("Volume",'Semrush Data'!$A$1:$Z$1,0)),"")</f>
        <v/>
      </c>
      <c r="H3669" s="42">
        <f>IFERROR(INDEX('Semrush Data'!$A$1:$Z$20000,MATCH(A3669,'Semrush Data'!$A$1:$A$20000,0),MATCH("Keyword Difficulty*",'Semrush Data'!$A$1:$Z$1,0)),"")</f>
        <v/>
      </c>
      <c r="I3669" s="56">
        <f>IFERROR(INDEX('Semrush Data'!$A$1:$Z$20000,MATCH(A3669,'Semrush Data'!$A$1:$A$20000,0),MATCH("CPC*",'Semrush Data'!$A$1:$Z$1,0)),"")</f>
        <v/>
      </c>
      <c r="J3669" s="42">
        <f>IFERROR(INDEX('Semrush Data'!$A$1:$Z$20000,MATCH(A3669,'Semrush Data'!$A$1:$A$20000,0),MATCH("Intent",'Semrush Data'!$A$1:$Z$1,0)),"")</f>
        <v/>
      </c>
    </row>
    <row r="3670" ht="15" customHeight="1" s="37">
      <c r="A3670" s="42" t="inlineStr">
        <is>
          <t>trussardi pure jasmine lifestyle mini gift set price</t>
        </is>
      </c>
      <c r="B3670" s="42" t="inlineStr">
        <is>
          <t>Price</t>
        </is>
      </c>
      <c r="C3670" s="42" t="n">
        <v>3</v>
      </c>
      <c r="D3670" s="42" t="n">
        <v>37</v>
      </c>
      <c r="E3670" s="42" t="n">
        <v>1</v>
      </c>
      <c r="F3670" s="42" t="inlineStr">
        <is>
          <t>FR-384</t>
        </is>
      </c>
      <c r="G3670" s="55">
        <f>IFERROR(INDEX('Semrush Data'!$A$1:$Z$20000,MATCH(A3670,'Semrush Data'!$A$1:$A$20000,0),MATCH("Volume",'Semrush Data'!$A$1:$Z$1,0)),"")</f>
        <v/>
      </c>
      <c r="H3670" s="42">
        <f>IFERROR(INDEX('Semrush Data'!$A$1:$Z$20000,MATCH(A3670,'Semrush Data'!$A$1:$A$20000,0),MATCH("Keyword Difficulty*",'Semrush Data'!$A$1:$Z$1,0)),"")</f>
        <v/>
      </c>
      <c r="I3670" s="56">
        <f>IFERROR(INDEX('Semrush Data'!$A$1:$Z$20000,MATCH(A3670,'Semrush Data'!$A$1:$A$20000,0),MATCH("CPC*",'Semrush Data'!$A$1:$Z$1,0)),"")</f>
        <v/>
      </c>
      <c r="J3670" s="42">
        <f>IFERROR(INDEX('Semrush Data'!$A$1:$Z$20000,MATCH(A3670,'Semrush Data'!$A$1:$A$20000,0),MATCH("Intent",'Semrush Data'!$A$1:$Z$1,0)),"")</f>
        <v/>
      </c>
    </row>
    <row r="3671" ht="15" customHeight="1" s="37">
      <c r="A3671" s="42" t="inlineStr">
        <is>
          <t>trussardi pure jasmine miniature price</t>
        </is>
      </c>
      <c r="B3671" s="42" t="inlineStr">
        <is>
          <t>Price</t>
        </is>
      </c>
      <c r="C3671" s="42" t="n">
        <v>3</v>
      </c>
      <c r="D3671" s="42" t="n">
        <v>37</v>
      </c>
      <c r="E3671" s="42" t="n">
        <v>1</v>
      </c>
      <c r="F3671" s="42" t="inlineStr">
        <is>
          <t>FR-380</t>
        </is>
      </c>
      <c r="G3671" s="55">
        <f>IFERROR(INDEX('Semrush Data'!$A$1:$Z$20000,MATCH(A3671,'Semrush Data'!$A$1:$A$20000,0),MATCH("Volume",'Semrush Data'!$A$1:$Z$1,0)),"")</f>
        <v/>
      </c>
      <c r="H3671" s="42">
        <f>IFERROR(INDEX('Semrush Data'!$A$1:$Z$20000,MATCH(A3671,'Semrush Data'!$A$1:$A$20000,0),MATCH("Keyword Difficulty*",'Semrush Data'!$A$1:$Z$1,0)),"")</f>
        <v/>
      </c>
      <c r="I3671" s="56">
        <f>IFERROR(INDEX('Semrush Data'!$A$1:$Z$20000,MATCH(A3671,'Semrush Data'!$A$1:$A$20000,0),MATCH("CPC*",'Semrush Data'!$A$1:$Z$1,0)),"")</f>
        <v/>
      </c>
      <c r="J3671" s="42">
        <f>IFERROR(INDEX('Semrush Data'!$A$1:$Z$20000,MATCH(A3671,'Semrush Data'!$A$1:$A$20000,0),MATCH("Intent",'Semrush Data'!$A$1:$Z$1,0)),"")</f>
        <v/>
      </c>
    </row>
    <row r="3672" ht="15" customHeight="1" s="37">
      <c r="A3672" s="42" t="inlineStr">
        <is>
          <t>trussardi pure jasmine price</t>
        </is>
      </c>
      <c r="B3672" s="42" t="inlineStr">
        <is>
          <t>Price</t>
        </is>
      </c>
      <c r="C3672" s="42" t="n">
        <v>3</v>
      </c>
      <c r="D3672" s="42" t="n">
        <v>37</v>
      </c>
      <c r="E3672" s="42" t="n">
        <v>1</v>
      </c>
      <c r="F3672" s="42" t="inlineStr">
        <is>
          <t>FR-381</t>
        </is>
      </c>
      <c r="G3672" s="55">
        <f>IFERROR(INDEX('Semrush Data'!$A$1:$Z$20000,MATCH(A3672,'Semrush Data'!$A$1:$A$20000,0),MATCH("Volume",'Semrush Data'!$A$1:$Z$1,0)),"")</f>
        <v/>
      </c>
      <c r="H3672" s="42">
        <f>IFERROR(INDEX('Semrush Data'!$A$1:$Z$20000,MATCH(A3672,'Semrush Data'!$A$1:$A$20000,0),MATCH("Keyword Difficulty*",'Semrush Data'!$A$1:$Z$1,0)),"")</f>
        <v/>
      </c>
      <c r="I3672" s="56">
        <f>IFERROR(INDEX('Semrush Data'!$A$1:$Z$20000,MATCH(A3672,'Semrush Data'!$A$1:$A$20000,0),MATCH("CPC*",'Semrush Data'!$A$1:$Z$1,0)),"")</f>
        <v/>
      </c>
      <c r="J3672" s="42">
        <f>IFERROR(INDEX('Semrush Data'!$A$1:$Z$20000,MATCH(A3672,'Semrush Data'!$A$1:$A$20000,0),MATCH("Intent",'Semrush Data'!$A$1:$Z$1,0)),"")</f>
        <v/>
      </c>
    </row>
    <row r="3673" ht="15" customHeight="1" s="37">
      <c r="A3673" s="42" t="inlineStr">
        <is>
          <t>trussardi ruby red gift set price</t>
        </is>
      </c>
      <c r="B3673" s="42" t="inlineStr">
        <is>
          <t>Price</t>
        </is>
      </c>
      <c r="C3673" s="42" t="n">
        <v>3</v>
      </c>
      <c r="D3673" s="42" t="n">
        <v>37</v>
      </c>
      <c r="E3673" s="42" t="n">
        <v>1</v>
      </c>
      <c r="F3673" s="42" t="inlineStr">
        <is>
          <t>FR-385</t>
        </is>
      </c>
      <c r="G3673" s="55">
        <f>IFERROR(INDEX('Semrush Data'!$A$1:$Z$20000,MATCH(A3673,'Semrush Data'!$A$1:$A$20000,0),MATCH("Volume",'Semrush Data'!$A$1:$Z$1,0)),"")</f>
        <v/>
      </c>
      <c r="H3673" s="42">
        <f>IFERROR(INDEX('Semrush Data'!$A$1:$Z$20000,MATCH(A3673,'Semrush Data'!$A$1:$A$20000,0),MATCH("Keyword Difficulty*",'Semrush Data'!$A$1:$Z$1,0)),"")</f>
        <v/>
      </c>
      <c r="I3673" s="56">
        <f>IFERROR(INDEX('Semrush Data'!$A$1:$Z$20000,MATCH(A3673,'Semrush Data'!$A$1:$A$20000,0),MATCH("CPC*",'Semrush Data'!$A$1:$Z$1,0)),"")</f>
        <v/>
      </c>
      <c r="J3673" s="42">
        <f>IFERROR(INDEX('Semrush Data'!$A$1:$Z$20000,MATCH(A3673,'Semrush Data'!$A$1:$A$20000,0),MATCH("Intent",'Semrush Data'!$A$1:$Z$1,0)),"")</f>
        <v/>
      </c>
    </row>
    <row r="3674" ht="15" customHeight="1" s="37">
      <c r="A3674" s="42" t="inlineStr">
        <is>
          <t>viktor &amp; rolf good fortune miniature price</t>
        </is>
      </c>
      <c r="B3674" s="42" t="inlineStr">
        <is>
          <t>Price</t>
        </is>
      </c>
      <c r="C3674" s="42" t="n">
        <v>3</v>
      </c>
      <c r="D3674" s="42" t="n">
        <v>37</v>
      </c>
      <c r="E3674" s="42" t="n">
        <v>1</v>
      </c>
      <c r="F3674" s="42" t="inlineStr">
        <is>
          <t>FR-386</t>
        </is>
      </c>
      <c r="G3674" s="55">
        <f>IFERROR(INDEX('Semrush Data'!$A$1:$Z$20000,MATCH(A3674,'Semrush Data'!$A$1:$A$20000,0),MATCH("Volume",'Semrush Data'!$A$1:$Z$1,0)),"")</f>
        <v/>
      </c>
      <c r="H3674" s="42">
        <f>IFERROR(INDEX('Semrush Data'!$A$1:$Z$20000,MATCH(A3674,'Semrush Data'!$A$1:$A$20000,0),MATCH("Keyword Difficulty*",'Semrush Data'!$A$1:$Z$1,0)),"")</f>
        <v/>
      </c>
      <c r="I3674" s="56">
        <f>IFERROR(INDEX('Semrush Data'!$A$1:$Z$20000,MATCH(A3674,'Semrush Data'!$A$1:$A$20000,0),MATCH("CPC*",'Semrush Data'!$A$1:$Z$1,0)),"")</f>
        <v/>
      </c>
      <c r="J3674" s="42">
        <f>IFERROR(INDEX('Semrush Data'!$A$1:$Z$20000,MATCH(A3674,'Semrush Data'!$A$1:$A$20000,0),MATCH("Intent",'Semrush Data'!$A$1:$Z$1,0)),"")</f>
        <v/>
      </c>
    </row>
    <row r="3675" ht="15" customHeight="1" s="37">
      <c r="A3675" s="42" t="inlineStr">
        <is>
          <t>vilvah aloe vera gel price</t>
        </is>
      </c>
      <c r="B3675" s="42" t="inlineStr">
        <is>
          <t>Price</t>
        </is>
      </c>
      <c r="C3675" s="42" t="n">
        <v>3</v>
      </c>
      <c r="D3675" s="42" t="n">
        <v>37</v>
      </c>
      <c r="E3675" s="42" t="n">
        <v>1</v>
      </c>
      <c r="F3675" s="42" t="inlineStr">
        <is>
          <t>VD-020</t>
        </is>
      </c>
      <c r="G3675" s="55">
        <f>IFERROR(INDEX('Semrush Data'!$A$1:$Z$20000,MATCH(A3675,'Semrush Data'!$A$1:$A$20000,0),MATCH("Volume",'Semrush Data'!$A$1:$Z$1,0)),"")</f>
        <v/>
      </c>
      <c r="H3675" s="42">
        <f>IFERROR(INDEX('Semrush Data'!$A$1:$Z$20000,MATCH(A3675,'Semrush Data'!$A$1:$A$20000,0),MATCH("Keyword Difficulty*",'Semrush Data'!$A$1:$Z$1,0)),"")</f>
        <v/>
      </c>
      <c r="I3675" s="56">
        <f>IFERROR(INDEX('Semrush Data'!$A$1:$Z$20000,MATCH(A3675,'Semrush Data'!$A$1:$A$20000,0),MATCH("CPC*",'Semrush Data'!$A$1:$Z$1,0)),"")</f>
        <v/>
      </c>
      <c r="J3675" s="42">
        <f>IFERROR(INDEX('Semrush Data'!$A$1:$Z$20000,MATCH(A3675,'Semrush Data'!$A$1:$A$20000,0),MATCH("Intent",'Semrush Data'!$A$1:$Z$1,0)),"")</f>
        <v/>
      </c>
    </row>
    <row r="3676" ht="15" customHeight="1" s="37">
      <c r="A3676" s="42" t="inlineStr">
        <is>
          <t>vilvah am brightening kit price</t>
        </is>
      </c>
      <c r="B3676" s="42" t="inlineStr">
        <is>
          <t>Price</t>
        </is>
      </c>
      <c r="C3676" s="42" t="n">
        <v>3</v>
      </c>
      <c r="D3676" s="42" t="n">
        <v>37</v>
      </c>
      <c r="E3676" s="42" t="n">
        <v>1</v>
      </c>
      <c r="F3676" s="42" t="inlineStr">
        <is>
          <t>VD-059</t>
        </is>
      </c>
      <c r="G3676" s="55">
        <f>IFERROR(INDEX('Semrush Data'!$A$1:$Z$20000,MATCH(A3676,'Semrush Data'!$A$1:$A$20000,0),MATCH("Volume",'Semrush Data'!$A$1:$Z$1,0)),"")</f>
        <v/>
      </c>
      <c r="H3676" s="42">
        <f>IFERROR(INDEX('Semrush Data'!$A$1:$Z$20000,MATCH(A3676,'Semrush Data'!$A$1:$A$20000,0),MATCH("Keyword Difficulty*",'Semrush Data'!$A$1:$Z$1,0)),"")</f>
        <v/>
      </c>
      <c r="I3676" s="56">
        <f>IFERROR(INDEX('Semrush Data'!$A$1:$Z$20000,MATCH(A3676,'Semrush Data'!$A$1:$A$20000,0),MATCH("CPC*",'Semrush Data'!$A$1:$Z$1,0)),"")</f>
        <v/>
      </c>
      <c r="J3676" s="42">
        <f>IFERROR(INDEX('Semrush Data'!$A$1:$Z$20000,MATCH(A3676,'Semrush Data'!$A$1:$A$20000,0),MATCH("Intent",'Semrush Data'!$A$1:$Z$1,0)),"")</f>
        <v/>
      </c>
    </row>
    <row r="3677" ht="15" customHeight="1" s="37">
      <c r="A3677" s="42" t="inlineStr">
        <is>
          <t>vilvah am pm serum kit price</t>
        </is>
      </c>
      <c r="B3677" s="42" t="inlineStr">
        <is>
          <t>Price</t>
        </is>
      </c>
      <c r="C3677" s="42" t="n">
        <v>3</v>
      </c>
      <c r="D3677" s="42" t="n">
        <v>37</v>
      </c>
      <c r="E3677" s="42" t="n">
        <v>1</v>
      </c>
      <c r="F3677" s="42" t="inlineStr">
        <is>
          <t>VD-057</t>
        </is>
      </c>
      <c r="G3677" s="55">
        <f>IFERROR(INDEX('Semrush Data'!$A$1:$Z$20000,MATCH(A3677,'Semrush Data'!$A$1:$A$20000,0),MATCH("Volume",'Semrush Data'!$A$1:$Z$1,0)),"")</f>
        <v/>
      </c>
      <c r="H3677" s="42">
        <f>IFERROR(INDEX('Semrush Data'!$A$1:$Z$20000,MATCH(A3677,'Semrush Data'!$A$1:$A$20000,0),MATCH("Keyword Difficulty*",'Semrush Data'!$A$1:$Z$1,0)),"")</f>
        <v/>
      </c>
      <c r="I3677" s="56">
        <f>IFERROR(INDEX('Semrush Data'!$A$1:$Z$20000,MATCH(A3677,'Semrush Data'!$A$1:$A$20000,0),MATCH("CPC*",'Semrush Data'!$A$1:$Z$1,0)),"")</f>
        <v/>
      </c>
      <c r="J3677" s="42">
        <f>IFERROR(INDEX('Semrush Data'!$A$1:$Z$20000,MATCH(A3677,'Semrush Data'!$A$1:$A$20000,0),MATCH("Intent",'Semrush Data'!$A$1:$Z$1,0)),"")</f>
        <v/>
      </c>
    </row>
    <row r="3678" ht="15" customHeight="1" s="37">
      <c r="A3678" s="42" t="inlineStr">
        <is>
          <t>vilvah anti frizz hair kit price</t>
        </is>
      </c>
      <c r="B3678" s="42" t="inlineStr">
        <is>
          <t>Price</t>
        </is>
      </c>
      <c r="C3678" s="42" t="n">
        <v>3</v>
      </c>
      <c r="D3678" s="42" t="n">
        <v>37</v>
      </c>
      <c r="E3678" s="42" t="n">
        <v>1</v>
      </c>
      <c r="F3678" s="42" t="inlineStr">
        <is>
          <t>VD-075</t>
        </is>
      </c>
      <c r="G3678" s="55">
        <f>IFERROR(INDEX('Semrush Data'!$A$1:$Z$20000,MATCH(A3678,'Semrush Data'!$A$1:$A$20000,0),MATCH("Volume",'Semrush Data'!$A$1:$Z$1,0)),"")</f>
        <v/>
      </c>
      <c r="H3678" s="42">
        <f>IFERROR(INDEX('Semrush Data'!$A$1:$Z$20000,MATCH(A3678,'Semrush Data'!$A$1:$A$20000,0),MATCH("Keyword Difficulty*",'Semrush Data'!$A$1:$Z$1,0)),"")</f>
        <v/>
      </c>
      <c r="I3678" s="56">
        <f>IFERROR(INDEX('Semrush Data'!$A$1:$Z$20000,MATCH(A3678,'Semrush Data'!$A$1:$A$20000,0),MATCH("CPC*",'Semrush Data'!$A$1:$Z$1,0)),"")</f>
        <v/>
      </c>
      <c r="J3678" s="42">
        <f>IFERROR(INDEX('Semrush Data'!$A$1:$Z$20000,MATCH(A3678,'Semrush Data'!$A$1:$A$20000,0),MATCH("Intent",'Semrush Data'!$A$1:$Z$1,0)),"")</f>
        <v/>
      </c>
    </row>
    <row r="3679" ht="15" customHeight="1" s="37">
      <c r="A3679" s="42" t="inlineStr">
        <is>
          <t>vilvah anti-dandruff hair oil price</t>
        </is>
      </c>
      <c r="B3679" s="42" t="inlineStr">
        <is>
          <t>Price</t>
        </is>
      </c>
      <c r="C3679" s="42" t="n">
        <v>3</v>
      </c>
      <c r="D3679" s="42" t="n">
        <v>37</v>
      </c>
      <c r="E3679" s="42" t="n">
        <v>1</v>
      </c>
      <c r="F3679" s="42" t="inlineStr">
        <is>
          <t>VD-021</t>
        </is>
      </c>
      <c r="G3679" s="55">
        <f>IFERROR(INDEX('Semrush Data'!$A$1:$Z$20000,MATCH(A3679,'Semrush Data'!$A$1:$A$20000,0),MATCH("Volume",'Semrush Data'!$A$1:$Z$1,0)),"")</f>
        <v/>
      </c>
      <c r="H3679" s="42">
        <f>IFERROR(INDEX('Semrush Data'!$A$1:$Z$20000,MATCH(A3679,'Semrush Data'!$A$1:$A$20000,0),MATCH("Keyword Difficulty*",'Semrush Data'!$A$1:$Z$1,0)),"")</f>
        <v/>
      </c>
      <c r="I3679" s="56">
        <f>IFERROR(INDEX('Semrush Data'!$A$1:$Z$20000,MATCH(A3679,'Semrush Data'!$A$1:$A$20000,0),MATCH("CPC*",'Semrush Data'!$A$1:$Z$1,0)),"")</f>
        <v/>
      </c>
      <c r="J3679" s="42">
        <f>IFERROR(INDEX('Semrush Data'!$A$1:$Z$20000,MATCH(A3679,'Semrush Data'!$A$1:$A$20000,0),MATCH("Intent",'Semrush Data'!$A$1:$Z$1,0)),"")</f>
        <v/>
      </c>
    </row>
    <row r="3680" ht="15" customHeight="1" s="37">
      <c r="A3680" s="42" t="inlineStr">
        <is>
          <t>vilvah anti-frizz hair serum price</t>
        </is>
      </c>
      <c r="B3680" s="42" t="inlineStr">
        <is>
          <t>Price</t>
        </is>
      </c>
      <c r="C3680" s="42" t="n">
        <v>3</v>
      </c>
      <c r="D3680" s="42" t="n">
        <v>37</v>
      </c>
      <c r="E3680" s="42" t="n">
        <v>1</v>
      </c>
      <c r="F3680" s="42" t="inlineStr">
        <is>
          <t>VD-022</t>
        </is>
      </c>
      <c r="G3680" s="55">
        <f>IFERROR(INDEX('Semrush Data'!$A$1:$Z$20000,MATCH(A3680,'Semrush Data'!$A$1:$A$20000,0),MATCH("Volume",'Semrush Data'!$A$1:$Z$1,0)),"")</f>
        <v/>
      </c>
      <c r="H3680" s="42">
        <f>IFERROR(INDEX('Semrush Data'!$A$1:$Z$20000,MATCH(A3680,'Semrush Data'!$A$1:$A$20000,0),MATCH("Keyword Difficulty*",'Semrush Data'!$A$1:$Z$1,0)),"")</f>
        <v/>
      </c>
      <c r="I3680" s="56">
        <f>IFERROR(INDEX('Semrush Data'!$A$1:$Z$20000,MATCH(A3680,'Semrush Data'!$A$1:$A$20000,0),MATCH("CPC*",'Semrush Data'!$A$1:$Z$1,0)),"")</f>
        <v/>
      </c>
      <c r="J3680" s="42">
        <f>IFERROR(INDEX('Semrush Data'!$A$1:$Z$20000,MATCH(A3680,'Semrush Data'!$A$1:$A$20000,0),MATCH("Intent",'Semrush Data'!$A$1:$Z$1,0)),"")</f>
        <v/>
      </c>
    </row>
    <row r="3681" ht="15" customHeight="1" s="37">
      <c r="A3681" s="42" t="inlineStr">
        <is>
          <t>vilvah anti‑acne kit price</t>
        </is>
      </c>
      <c r="B3681" s="42" t="inlineStr">
        <is>
          <t>Price</t>
        </is>
      </c>
      <c r="C3681" s="42" t="n">
        <v>3</v>
      </c>
      <c r="D3681" s="42" t="n">
        <v>37</v>
      </c>
      <c r="E3681" s="42" t="n">
        <v>1</v>
      </c>
      <c r="F3681" s="42" t="inlineStr">
        <is>
          <t>VD-052</t>
        </is>
      </c>
      <c r="G3681" s="55">
        <f>IFERROR(INDEX('Semrush Data'!$A$1:$Z$20000,MATCH(A3681,'Semrush Data'!$A$1:$A$20000,0),MATCH("Volume",'Semrush Data'!$A$1:$Z$1,0)),"")</f>
        <v/>
      </c>
      <c r="H3681" s="42">
        <f>IFERROR(INDEX('Semrush Data'!$A$1:$Z$20000,MATCH(A3681,'Semrush Data'!$A$1:$A$20000,0),MATCH("Keyword Difficulty*",'Semrush Data'!$A$1:$Z$1,0)),"")</f>
        <v/>
      </c>
      <c r="I3681" s="56">
        <f>IFERROR(INDEX('Semrush Data'!$A$1:$Z$20000,MATCH(A3681,'Semrush Data'!$A$1:$A$20000,0),MATCH("CPC*",'Semrush Data'!$A$1:$Z$1,0)),"")</f>
        <v/>
      </c>
      <c r="J3681" s="42">
        <f>IFERROR(INDEX('Semrush Data'!$A$1:$Z$20000,MATCH(A3681,'Semrush Data'!$A$1:$A$20000,0),MATCH("Intent",'Semrush Data'!$A$1:$Z$1,0)),"")</f>
        <v/>
      </c>
    </row>
    <row r="3682" ht="15" customHeight="1" s="37">
      <c r="A3682" s="42" t="inlineStr">
        <is>
          <t>vilvah anti‑dandruff haircare kit price</t>
        </is>
      </c>
      <c r="B3682" s="42" t="inlineStr">
        <is>
          <t>Price</t>
        </is>
      </c>
      <c r="C3682" s="42" t="n">
        <v>3</v>
      </c>
      <c r="D3682" s="42" t="n">
        <v>37</v>
      </c>
      <c r="E3682" s="42" t="n">
        <v>2</v>
      </c>
      <c r="F3682" s="42" t="inlineStr">
        <is>
          <t>VD-053, VD-078</t>
        </is>
      </c>
      <c r="G3682" s="55">
        <f>IFERROR(INDEX('Semrush Data'!$A$1:$Z$20000,MATCH(A3682,'Semrush Data'!$A$1:$A$20000,0),MATCH("Volume",'Semrush Data'!$A$1:$Z$1,0)),"")</f>
        <v/>
      </c>
      <c r="H3682" s="42">
        <f>IFERROR(INDEX('Semrush Data'!$A$1:$Z$20000,MATCH(A3682,'Semrush Data'!$A$1:$A$20000,0),MATCH("Keyword Difficulty*",'Semrush Data'!$A$1:$Z$1,0)),"")</f>
        <v/>
      </c>
      <c r="I3682" s="56">
        <f>IFERROR(INDEX('Semrush Data'!$A$1:$Z$20000,MATCH(A3682,'Semrush Data'!$A$1:$A$20000,0),MATCH("CPC*",'Semrush Data'!$A$1:$Z$1,0)),"")</f>
        <v/>
      </c>
      <c r="J3682" s="42">
        <f>IFERROR(INDEX('Semrush Data'!$A$1:$Z$20000,MATCH(A3682,'Semrush Data'!$A$1:$A$20000,0),MATCH("Intent",'Semrush Data'!$A$1:$Z$1,0)),"")</f>
        <v/>
      </c>
    </row>
    <row r="3683" ht="15" customHeight="1" s="37">
      <c r="A3683" s="42" t="inlineStr">
        <is>
          <t>vilvah bestseller hair kit price</t>
        </is>
      </c>
      <c r="B3683" s="42" t="inlineStr">
        <is>
          <t>Price</t>
        </is>
      </c>
      <c r="C3683" s="42" t="n">
        <v>3</v>
      </c>
      <c r="D3683" s="42" t="n">
        <v>37</v>
      </c>
      <c r="E3683" s="42" t="n">
        <v>1</v>
      </c>
      <c r="F3683" s="42" t="inlineStr">
        <is>
          <t>VD-070</t>
        </is>
      </c>
      <c r="G3683" s="55">
        <f>IFERROR(INDEX('Semrush Data'!$A$1:$Z$20000,MATCH(A3683,'Semrush Data'!$A$1:$A$20000,0),MATCH("Volume",'Semrush Data'!$A$1:$Z$1,0)),"")</f>
        <v/>
      </c>
      <c r="H3683" s="42">
        <f>IFERROR(INDEX('Semrush Data'!$A$1:$Z$20000,MATCH(A3683,'Semrush Data'!$A$1:$A$20000,0),MATCH("Keyword Difficulty*",'Semrush Data'!$A$1:$Z$1,0)),"")</f>
        <v/>
      </c>
      <c r="I3683" s="56">
        <f>IFERROR(INDEX('Semrush Data'!$A$1:$Z$20000,MATCH(A3683,'Semrush Data'!$A$1:$A$20000,0),MATCH("CPC*",'Semrush Data'!$A$1:$Z$1,0)),"")</f>
        <v/>
      </c>
      <c r="J3683" s="42">
        <f>IFERROR(INDEX('Semrush Data'!$A$1:$Z$20000,MATCH(A3683,'Semrush Data'!$A$1:$A$20000,0),MATCH("Intent",'Semrush Data'!$A$1:$Z$1,0)),"")</f>
        <v/>
      </c>
    </row>
    <row r="3684" ht="15" customHeight="1" s="37">
      <c r="A3684" s="42" t="inlineStr">
        <is>
          <t>vilvah better ageing kit price</t>
        </is>
      </c>
      <c r="B3684" s="42" t="inlineStr">
        <is>
          <t>Price</t>
        </is>
      </c>
      <c r="C3684" s="42" t="n">
        <v>3</v>
      </c>
      <c r="D3684" s="42" t="n">
        <v>37</v>
      </c>
      <c r="E3684" s="42" t="n">
        <v>1</v>
      </c>
      <c r="F3684" s="42" t="inlineStr">
        <is>
          <t>VD-058</t>
        </is>
      </c>
      <c r="G3684" s="55">
        <f>IFERROR(INDEX('Semrush Data'!$A$1:$Z$20000,MATCH(A3684,'Semrush Data'!$A$1:$A$20000,0),MATCH("Volume",'Semrush Data'!$A$1:$Z$1,0)),"")</f>
        <v/>
      </c>
      <c r="H3684" s="42">
        <f>IFERROR(INDEX('Semrush Data'!$A$1:$Z$20000,MATCH(A3684,'Semrush Data'!$A$1:$A$20000,0),MATCH("Keyword Difficulty*",'Semrush Data'!$A$1:$Z$1,0)),"")</f>
        <v/>
      </c>
      <c r="I3684" s="56">
        <f>IFERROR(INDEX('Semrush Data'!$A$1:$Z$20000,MATCH(A3684,'Semrush Data'!$A$1:$A$20000,0),MATCH("CPC*",'Semrush Data'!$A$1:$Z$1,0)),"")</f>
        <v/>
      </c>
      <c r="J3684" s="42">
        <f>IFERROR(INDEX('Semrush Data'!$A$1:$Z$20000,MATCH(A3684,'Semrush Data'!$A$1:$A$20000,0),MATCH("Intent",'Semrush Data'!$A$1:$Z$1,0)),"")</f>
        <v/>
      </c>
    </row>
    <row r="3685" ht="15" customHeight="1" s="37">
      <c r="A3685" s="42" t="inlineStr">
        <is>
          <t>vilvah better ageing serum price</t>
        </is>
      </c>
      <c r="B3685" s="42" t="inlineStr">
        <is>
          <t>Price</t>
        </is>
      </c>
      <c r="C3685" s="42" t="n">
        <v>3</v>
      </c>
      <c r="D3685" s="42" t="n">
        <v>37</v>
      </c>
      <c r="E3685" s="42" t="n">
        <v>1</v>
      </c>
      <c r="F3685" s="42" t="inlineStr">
        <is>
          <t>VD-023</t>
        </is>
      </c>
      <c r="G3685" s="55">
        <f>IFERROR(INDEX('Semrush Data'!$A$1:$Z$20000,MATCH(A3685,'Semrush Data'!$A$1:$A$20000,0),MATCH("Volume",'Semrush Data'!$A$1:$Z$1,0)),"")</f>
        <v/>
      </c>
      <c r="H3685" s="42">
        <f>IFERROR(INDEX('Semrush Data'!$A$1:$Z$20000,MATCH(A3685,'Semrush Data'!$A$1:$A$20000,0),MATCH("Keyword Difficulty*",'Semrush Data'!$A$1:$Z$1,0)),"")</f>
        <v/>
      </c>
      <c r="I3685" s="56">
        <f>IFERROR(INDEX('Semrush Data'!$A$1:$Z$20000,MATCH(A3685,'Semrush Data'!$A$1:$A$20000,0),MATCH("CPC*",'Semrush Data'!$A$1:$Z$1,0)),"")</f>
        <v/>
      </c>
      <c r="J3685" s="42">
        <f>IFERROR(INDEX('Semrush Data'!$A$1:$Z$20000,MATCH(A3685,'Semrush Data'!$A$1:$A$20000,0),MATCH("Intent",'Semrush Data'!$A$1:$Z$1,0)),"")</f>
        <v/>
      </c>
    </row>
    <row r="3686" ht="15" customHeight="1" s="37">
      <c r="A3686" s="42" t="inlineStr">
        <is>
          <t>vilvah body polishing kit price</t>
        </is>
      </c>
      <c r="B3686" s="42" t="inlineStr">
        <is>
          <t>Price</t>
        </is>
      </c>
      <c r="C3686" s="42" t="n">
        <v>3</v>
      </c>
      <c r="D3686" s="42" t="n">
        <v>37</v>
      </c>
      <c r="E3686" s="42" t="n">
        <v>1</v>
      </c>
      <c r="F3686" s="42" t="inlineStr">
        <is>
          <t>VD-076</t>
        </is>
      </c>
      <c r="G3686" s="55">
        <f>IFERROR(INDEX('Semrush Data'!$A$1:$Z$20000,MATCH(A3686,'Semrush Data'!$A$1:$A$20000,0),MATCH("Volume",'Semrush Data'!$A$1:$Z$1,0)),"")</f>
        <v/>
      </c>
      <c r="H3686" s="42">
        <f>IFERROR(INDEX('Semrush Data'!$A$1:$Z$20000,MATCH(A3686,'Semrush Data'!$A$1:$A$20000,0),MATCH("Keyword Difficulty*",'Semrush Data'!$A$1:$Z$1,0)),"")</f>
        <v/>
      </c>
      <c r="I3686" s="56">
        <f>IFERROR(INDEX('Semrush Data'!$A$1:$Z$20000,MATCH(A3686,'Semrush Data'!$A$1:$A$20000,0),MATCH("CPC*",'Semrush Data'!$A$1:$Z$1,0)),"")</f>
        <v/>
      </c>
      <c r="J3686" s="42">
        <f>IFERROR(INDEX('Semrush Data'!$A$1:$Z$20000,MATCH(A3686,'Semrush Data'!$A$1:$A$20000,0),MATCH("Intent",'Semrush Data'!$A$1:$Z$1,0)),"")</f>
        <v/>
      </c>
    </row>
    <row r="3687" ht="15" customHeight="1" s="37">
      <c r="A3687" s="42" t="inlineStr">
        <is>
          <t>vilvah budget skincare combo price</t>
        </is>
      </c>
      <c r="B3687" s="42" t="inlineStr">
        <is>
          <t>Price</t>
        </is>
      </c>
      <c r="C3687" s="42" t="n">
        <v>3</v>
      </c>
      <c r="D3687" s="42" t="n">
        <v>37</v>
      </c>
      <c r="E3687" s="42" t="n">
        <v>1</v>
      </c>
      <c r="F3687" s="42" t="inlineStr">
        <is>
          <t>VD-065</t>
        </is>
      </c>
      <c r="G3687" s="55">
        <f>IFERROR(INDEX('Semrush Data'!$A$1:$Z$20000,MATCH(A3687,'Semrush Data'!$A$1:$A$20000,0),MATCH("Volume",'Semrush Data'!$A$1:$Z$1,0)),"")</f>
        <v/>
      </c>
      <c r="H3687" s="42">
        <f>IFERROR(INDEX('Semrush Data'!$A$1:$Z$20000,MATCH(A3687,'Semrush Data'!$A$1:$A$20000,0),MATCH("Keyword Difficulty*",'Semrush Data'!$A$1:$Z$1,0)),"")</f>
        <v/>
      </c>
      <c r="I3687" s="56">
        <f>IFERROR(INDEX('Semrush Data'!$A$1:$Z$20000,MATCH(A3687,'Semrush Data'!$A$1:$A$20000,0),MATCH("CPC*",'Semrush Data'!$A$1:$Z$1,0)),"")</f>
        <v/>
      </c>
      <c r="J3687" s="42">
        <f>IFERROR(INDEX('Semrush Data'!$A$1:$Z$20000,MATCH(A3687,'Semrush Data'!$A$1:$A$20000,0),MATCH("Intent",'Semrush Data'!$A$1:$Z$1,0)),"")</f>
        <v/>
      </c>
    </row>
    <row r="3688" ht="15" customHeight="1" s="37">
      <c r="A3688" s="42" t="inlineStr">
        <is>
          <t>vilvah charcoal facemask price</t>
        </is>
      </c>
      <c r="B3688" s="42" t="inlineStr">
        <is>
          <t>Price</t>
        </is>
      </c>
      <c r="C3688" s="42" t="n">
        <v>3</v>
      </c>
      <c r="D3688" s="42" t="n">
        <v>37</v>
      </c>
      <c r="E3688" s="42" t="n">
        <v>1</v>
      </c>
      <c r="F3688" s="42" t="inlineStr">
        <is>
          <t>VD-024</t>
        </is>
      </c>
      <c r="G3688" s="55">
        <f>IFERROR(INDEX('Semrush Data'!$A$1:$Z$20000,MATCH(A3688,'Semrush Data'!$A$1:$A$20000,0),MATCH("Volume",'Semrush Data'!$A$1:$Z$1,0)),"")</f>
        <v/>
      </c>
      <c r="H3688" s="42">
        <f>IFERROR(INDEX('Semrush Data'!$A$1:$Z$20000,MATCH(A3688,'Semrush Data'!$A$1:$A$20000,0),MATCH("Keyword Difficulty*",'Semrush Data'!$A$1:$Z$1,0)),"")</f>
        <v/>
      </c>
      <c r="I3688" s="56">
        <f>IFERROR(INDEX('Semrush Data'!$A$1:$Z$20000,MATCH(A3688,'Semrush Data'!$A$1:$A$20000,0),MATCH("CPC*",'Semrush Data'!$A$1:$Z$1,0)),"")</f>
        <v/>
      </c>
      <c r="J3688" s="42">
        <f>IFERROR(INDEX('Semrush Data'!$A$1:$Z$20000,MATCH(A3688,'Semrush Data'!$A$1:$A$20000,0),MATCH("Intent",'Semrush Data'!$A$1:$Z$1,0)),"")</f>
        <v/>
      </c>
    </row>
    <row r="3689" ht="15" customHeight="1" s="37">
      <c r="A3689" s="42" t="inlineStr">
        <is>
          <t>vilvah charcoal goatmilk soap price</t>
        </is>
      </c>
      <c r="B3689" s="42" t="inlineStr">
        <is>
          <t>Price</t>
        </is>
      </c>
      <c r="C3689" s="42" t="n">
        <v>3</v>
      </c>
      <c r="D3689" s="42" t="n">
        <v>37</v>
      </c>
      <c r="E3689" s="42" t="n">
        <v>1</v>
      </c>
      <c r="F3689" s="42" t="inlineStr">
        <is>
          <t>VD-011</t>
        </is>
      </c>
      <c r="G3689" s="55">
        <f>IFERROR(INDEX('Semrush Data'!$A$1:$Z$20000,MATCH(A3689,'Semrush Data'!$A$1:$A$20000,0),MATCH("Volume",'Semrush Data'!$A$1:$Z$1,0)),"")</f>
        <v/>
      </c>
      <c r="H3689" s="42">
        <f>IFERROR(INDEX('Semrush Data'!$A$1:$Z$20000,MATCH(A3689,'Semrush Data'!$A$1:$A$20000,0),MATCH("Keyword Difficulty*",'Semrush Data'!$A$1:$Z$1,0)),"")</f>
        <v/>
      </c>
      <c r="I3689" s="56">
        <f>IFERROR(INDEX('Semrush Data'!$A$1:$Z$20000,MATCH(A3689,'Semrush Data'!$A$1:$A$20000,0),MATCH("CPC*",'Semrush Data'!$A$1:$Z$1,0)),"")</f>
        <v/>
      </c>
      <c r="J3689" s="42">
        <f>IFERROR(INDEX('Semrush Data'!$A$1:$Z$20000,MATCH(A3689,'Semrush Data'!$A$1:$A$20000,0),MATCH("Intent",'Semrush Data'!$A$1:$Z$1,0)),"")</f>
        <v/>
      </c>
    </row>
    <row r="3690" ht="15" customHeight="1" s="37">
      <c r="A3690" s="42" t="inlineStr">
        <is>
          <t>vilvah classic goatmilk soap price</t>
        </is>
      </c>
      <c r="B3690" s="42" t="inlineStr">
        <is>
          <t>Price</t>
        </is>
      </c>
      <c r="C3690" s="42" t="n">
        <v>3</v>
      </c>
      <c r="D3690" s="42" t="n">
        <v>37</v>
      </c>
      <c r="E3690" s="42" t="n">
        <v>1</v>
      </c>
      <c r="F3690" s="42" t="inlineStr">
        <is>
          <t>VD-003</t>
        </is>
      </c>
      <c r="G3690" s="55">
        <f>IFERROR(INDEX('Semrush Data'!$A$1:$Z$20000,MATCH(A3690,'Semrush Data'!$A$1:$A$20000,0),MATCH("Volume",'Semrush Data'!$A$1:$Z$1,0)),"")</f>
        <v/>
      </c>
      <c r="H3690" s="42">
        <f>IFERROR(INDEX('Semrush Data'!$A$1:$Z$20000,MATCH(A3690,'Semrush Data'!$A$1:$A$20000,0),MATCH("Keyword Difficulty*",'Semrush Data'!$A$1:$Z$1,0)),"")</f>
        <v/>
      </c>
      <c r="I3690" s="56">
        <f>IFERROR(INDEX('Semrush Data'!$A$1:$Z$20000,MATCH(A3690,'Semrush Data'!$A$1:$A$20000,0),MATCH("CPC*",'Semrush Data'!$A$1:$Z$1,0)),"")</f>
        <v/>
      </c>
      <c r="J3690" s="42">
        <f>IFERROR(INDEX('Semrush Data'!$A$1:$Z$20000,MATCH(A3690,'Semrush Data'!$A$1:$A$20000,0),MATCH("Intent",'Semrush Data'!$A$1:$Z$1,0)),"")</f>
        <v/>
      </c>
    </row>
    <row r="3691" ht="15" customHeight="1" s="37">
      <c r="A3691" s="42" t="inlineStr">
        <is>
          <t>vilvah classic rose goatmilk soap price</t>
        </is>
      </c>
      <c r="B3691" s="42" t="inlineStr">
        <is>
          <t>Price</t>
        </is>
      </c>
      <c r="C3691" s="42" t="n">
        <v>3</v>
      </c>
      <c r="D3691" s="42" t="n">
        <v>37</v>
      </c>
      <c r="E3691" s="42" t="n">
        <v>1</v>
      </c>
      <c r="F3691" s="42" t="inlineStr">
        <is>
          <t>VD-008</t>
        </is>
      </c>
      <c r="G3691" s="55">
        <f>IFERROR(INDEX('Semrush Data'!$A$1:$Z$20000,MATCH(A3691,'Semrush Data'!$A$1:$A$20000,0),MATCH("Volume",'Semrush Data'!$A$1:$Z$1,0)),"")</f>
        <v/>
      </c>
      <c r="H3691" s="42">
        <f>IFERROR(INDEX('Semrush Data'!$A$1:$Z$20000,MATCH(A3691,'Semrush Data'!$A$1:$A$20000,0),MATCH("Keyword Difficulty*",'Semrush Data'!$A$1:$Z$1,0)),"")</f>
        <v/>
      </c>
      <c r="I3691" s="56">
        <f>IFERROR(INDEX('Semrush Data'!$A$1:$Z$20000,MATCH(A3691,'Semrush Data'!$A$1:$A$20000,0),MATCH("CPC*",'Semrush Data'!$A$1:$Z$1,0)),"")</f>
        <v/>
      </c>
      <c r="J3691" s="42">
        <f>IFERROR(INDEX('Semrush Data'!$A$1:$Z$20000,MATCH(A3691,'Semrush Data'!$A$1:$A$20000,0),MATCH("Intent",'Semrush Data'!$A$1:$Z$1,0)),"")</f>
        <v/>
      </c>
    </row>
    <row r="3692" ht="15" customHeight="1" s="37">
      <c r="A3692" s="42" t="inlineStr">
        <is>
          <t>vilvah cookie n cream body mask price</t>
        </is>
      </c>
      <c r="B3692" s="42" t="inlineStr">
        <is>
          <t>Price</t>
        </is>
      </c>
      <c r="C3692" s="42" t="n">
        <v>3</v>
      </c>
      <c r="D3692" s="42" t="n">
        <v>37</v>
      </c>
      <c r="E3692" s="42" t="n">
        <v>1</v>
      </c>
      <c r="F3692" s="42" t="inlineStr">
        <is>
          <t>VD-025</t>
        </is>
      </c>
      <c r="G3692" s="55">
        <f>IFERROR(INDEX('Semrush Data'!$A$1:$Z$20000,MATCH(A3692,'Semrush Data'!$A$1:$A$20000,0),MATCH("Volume",'Semrush Data'!$A$1:$Z$1,0)),"")</f>
        <v/>
      </c>
      <c r="H3692" s="42">
        <f>IFERROR(INDEX('Semrush Data'!$A$1:$Z$20000,MATCH(A3692,'Semrush Data'!$A$1:$A$20000,0),MATCH("Keyword Difficulty*",'Semrush Data'!$A$1:$Z$1,0)),"")</f>
        <v/>
      </c>
      <c r="I3692" s="56">
        <f>IFERROR(INDEX('Semrush Data'!$A$1:$Z$20000,MATCH(A3692,'Semrush Data'!$A$1:$A$20000,0),MATCH("CPC*",'Semrush Data'!$A$1:$Z$1,0)),"")</f>
        <v/>
      </c>
      <c r="J3692" s="42">
        <f>IFERROR(INDEX('Semrush Data'!$A$1:$Z$20000,MATCH(A3692,'Semrush Data'!$A$1:$A$20000,0),MATCH("Intent",'Semrush Data'!$A$1:$Z$1,0)),"")</f>
        <v/>
      </c>
    </row>
    <row r="3693" ht="15" customHeight="1" s="37">
      <c r="A3693" s="42" t="inlineStr">
        <is>
          <t>vilvah cookie n cream body polish price</t>
        </is>
      </c>
      <c r="B3693" s="42" t="inlineStr">
        <is>
          <t>Price</t>
        </is>
      </c>
      <c r="C3693" s="42" t="n">
        <v>3</v>
      </c>
      <c r="D3693" s="42" t="n">
        <v>37</v>
      </c>
      <c r="E3693" s="42" t="n">
        <v>1</v>
      </c>
      <c r="F3693" s="42" t="inlineStr">
        <is>
          <t>VD-026</t>
        </is>
      </c>
      <c r="G3693" s="55">
        <f>IFERROR(INDEX('Semrush Data'!$A$1:$Z$20000,MATCH(A3693,'Semrush Data'!$A$1:$A$20000,0),MATCH("Volume",'Semrush Data'!$A$1:$Z$1,0)),"")</f>
        <v/>
      </c>
      <c r="H3693" s="42">
        <f>IFERROR(INDEX('Semrush Data'!$A$1:$Z$20000,MATCH(A3693,'Semrush Data'!$A$1:$A$20000,0),MATCH("Keyword Difficulty*",'Semrush Data'!$A$1:$Z$1,0)),"")</f>
        <v/>
      </c>
      <c r="I3693" s="56">
        <f>IFERROR(INDEX('Semrush Data'!$A$1:$Z$20000,MATCH(A3693,'Semrush Data'!$A$1:$A$20000,0),MATCH("CPC*",'Semrush Data'!$A$1:$Z$1,0)),"")</f>
        <v/>
      </c>
      <c r="J3693" s="42">
        <f>IFERROR(INDEX('Semrush Data'!$A$1:$Z$20000,MATCH(A3693,'Semrush Data'!$A$1:$A$20000,0),MATCH("Intent",'Semrush Data'!$A$1:$Z$1,0)),"")</f>
        <v/>
      </c>
    </row>
    <row r="3694" ht="15" customHeight="1" s="37">
      <c r="A3694" s="42" t="inlineStr">
        <is>
          <t>vilvah cream bun lip balm price</t>
        </is>
      </c>
      <c r="B3694" s="42" t="inlineStr">
        <is>
          <t>Price</t>
        </is>
      </c>
      <c r="C3694" s="42" t="n">
        <v>3</v>
      </c>
      <c r="D3694" s="42" t="n">
        <v>37</v>
      </c>
      <c r="E3694" s="42" t="n">
        <v>1</v>
      </c>
      <c r="F3694" s="42" t="inlineStr">
        <is>
          <t>VD-046</t>
        </is>
      </c>
      <c r="G3694" s="55">
        <f>IFERROR(INDEX('Semrush Data'!$A$1:$Z$20000,MATCH(A3694,'Semrush Data'!$A$1:$A$20000,0),MATCH("Volume",'Semrush Data'!$A$1:$Z$1,0)),"")</f>
        <v/>
      </c>
      <c r="H3694" s="42">
        <f>IFERROR(INDEX('Semrush Data'!$A$1:$Z$20000,MATCH(A3694,'Semrush Data'!$A$1:$A$20000,0),MATCH("Keyword Difficulty*",'Semrush Data'!$A$1:$Z$1,0)),"")</f>
        <v/>
      </c>
      <c r="I3694" s="56">
        <f>IFERROR(INDEX('Semrush Data'!$A$1:$Z$20000,MATCH(A3694,'Semrush Data'!$A$1:$A$20000,0),MATCH("CPC*",'Semrush Data'!$A$1:$Z$1,0)),"")</f>
        <v/>
      </c>
      <c r="J3694" s="42">
        <f>IFERROR(INDEX('Semrush Data'!$A$1:$Z$20000,MATCH(A3694,'Semrush Data'!$A$1:$A$20000,0),MATCH("Intent",'Semrush Data'!$A$1:$Z$1,0)),"")</f>
        <v/>
      </c>
    </row>
    <row r="3695" ht="15" customHeight="1" s="37">
      <c r="A3695" s="42" t="inlineStr">
        <is>
          <t>vilvah cream conditioner price</t>
        </is>
      </c>
      <c r="B3695" s="42" t="inlineStr">
        <is>
          <t>Price</t>
        </is>
      </c>
      <c r="C3695" s="42" t="n">
        <v>3</v>
      </c>
      <c r="D3695" s="42" t="n">
        <v>37</v>
      </c>
      <c r="E3695" s="42" t="n">
        <v>1</v>
      </c>
      <c r="F3695" s="42" t="inlineStr">
        <is>
          <t>VD-012</t>
        </is>
      </c>
      <c r="G3695" s="55">
        <f>IFERROR(INDEX('Semrush Data'!$A$1:$Z$20000,MATCH(A3695,'Semrush Data'!$A$1:$A$20000,0),MATCH("Volume",'Semrush Data'!$A$1:$Z$1,0)),"")</f>
        <v/>
      </c>
      <c r="H3695" s="42">
        <f>IFERROR(INDEX('Semrush Data'!$A$1:$Z$20000,MATCH(A3695,'Semrush Data'!$A$1:$A$20000,0),MATCH("Keyword Difficulty*",'Semrush Data'!$A$1:$Z$1,0)),"")</f>
        <v/>
      </c>
      <c r="I3695" s="56">
        <f>IFERROR(INDEX('Semrush Data'!$A$1:$Z$20000,MATCH(A3695,'Semrush Data'!$A$1:$A$20000,0),MATCH("CPC*",'Semrush Data'!$A$1:$Z$1,0)),"")</f>
        <v/>
      </c>
      <c r="J3695" s="42">
        <f>IFERROR(INDEX('Semrush Data'!$A$1:$Z$20000,MATCH(A3695,'Semrush Data'!$A$1:$A$20000,0),MATCH("Intent",'Semrush Data'!$A$1:$Z$1,0)),"")</f>
        <v/>
      </c>
    </row>
    <row r="3696" ht="15" customHeight="1" s="37">
      <c r="A3696" s="42" t="inlineStr">
        <is>
          <t>vilvah cream face wash (fragrance free) price</t>
        </is>
      </c>
      <c r="B3696" s="42" t="inlineStr">
        <is>
          <t>Price</t>
        </is>
      </c>
      <c r="C3696" s="42" t="n">
        <v>3</v>
      </c>
      <c r="D3696" s="42" t="n">
        <v>37</v>
      </c>
      <c r="E3696" s="42" t="n">
        <v>1</v>
      </c>
      <c r="F3696" s="42" t="inlineStr">
        <is>
          <t>VD-027</t>
        </is>
      </c>
      <c r="G3696" s="55">
        <f>IFERROR(INDEX('Semrush Data'!$A$1:$Z$20000,MATCH(A3696,'Semrush Data'!$A$1:$A$20000,0),MATCH("Volume",'Semrush Data'!$A$1:$Z$1,0)),"")</f>
        <v/>
      </c>
      <c r="H3696" s="42">
        <f>IFERROR(INDEX('Semrush Data'!$A$1:$Z$20000,MATCH(A3696,'Semrush Data'!$A$1:$A$20000,0),MATCH("Keyword Difficulty*",'Semrush Data'!$A$1:$Z$1,0)),"")</f>
        <v/>
      </c>
      <c r="I3696" s="56">
        <f>IFERROR(INDEX('Semrush Data'!$A$1:$Z$20000,MATCH(A3696,'Semrush Data'!$A$1:$A$20000,0),MATCH("CPC*",'Semrush Data'!$A$1:$Z$1,0)),"")</f>
        <v/>
      </c>
      <c r="J3696" s="42">
        <f>IFERROR(INDEX('Semrush Data'!$A$1:$Z$20000,MATCH(A3696,'Semrush Data'!$A$1:$A$20000,0),MATCH("Intent",'Semrush Data'!$A$1:$Z$1,0)),"")</f>
        <v/>
      </c>
    </row>
    <row r="3697" ht="15" customHeight="1" s="37">
      <c r="A3697" s="42" t="inlineStr">
        <is>
          <t>vilvah cucumber, curd &amp; mint soap price</t>
        </is>
      </c>
      <c r="B3697" s="42" t="inlineStr">
        <is>
          <t>Price</t>
        </is>
      </c>
      <c r="C3697" s="42" t="n">
        <v>3</v>
      </c>
      <c r="D3697" s="42" t="n">
        <v>37</v>
      </c>
      <c r="E3697" s="42" t="n">
        <v>1</v>
      </c>
      <c r="F3697" s="42" t="inlineStr">
        <is>
          <t>VD-028</t>
        </is>
      </c>
      <c r="G3697" s="55">
        <f>IFERROR(INDEX('Semrush Data'!$A$1:$Z$20000,MATCH(A3697,'Semrush Data'!$A$1:$A$20000,0),MATCH("Volume",'Semrush Data'!$A$1:$Z$1,0)),"")</f>
        <v/>
      </c>
      <c r="H3697" s="42">
        <f>IFERROR(INDEX('Semrush Data'!$A$1:$Z$20000,MATCH(A3697,'Semrush Data'!$A$1:$A$20000,0),MATCH("Keyword Difficulty*",'Semrush Data'!$A$1:$Z$1,0)),"")</f>
        <v/>
      </c>
      <c r="I3697" s="56">
        <f>IFERROR(INDEX('Semrush Data'!$A$1:$Z$20000,MATCH(A3697,'Semrush Data'!$A$1:$A$20000,0),MATCH("CPC*",'Semrush Data'!$A$1:$Z$1,0)),"")</f>
        <v/>
      </c>
      <c r="J3697" s="42">
        <f>IFERROR(INDEX('Semrush Data'!$A$1:$Z$20000,MATCH(A3697,'Semrush Data'!$A$1:$A$20000,0),MATCH("Intent",'Semrush Data'!$A$1:$Z$1,0)),"")</f>
        <v/>
      </c>
    </row>
    <row r="3698" ht="15" customHeight="1" s="37">
      <c r="A3698" s="42" t="inlineStr">
        <is>
          <t>vilvah deo shot - lavender and sage price</t>
        </is>
      </c>
      <c r="B3698" s="42" t="inlineStr">
        <is>
          <t>Price</t>
        </is>
      </c>
      <c r="C3698" s="42" t="n">
        <v>3</v>
      </c>
      <c r="D3698" s="42" t="n">
        <v>37</v>
      </c>
      <c r="E3698" s="42" t="n">
        <v>1</v>
      </c>
      <c r="F3698" s="42" t="inlineStr">
        <is>
          <t>VD-029</t>
        </is>
      </c>
      <c r="G3698" s="55">
        <f>IFERROR(INDEX('Semrush Data'!$A$1:$Z$20000,MATCH(A3698,'Semrush Data'!$A$1:$A$20000,0),MATCH("Volume",'Semrush Data'!$A$1:$Z$1,0)),"")</f>
        <v/>
      </c>
      <c r="H3698" s="42">
        <f>IFERROR(INDEX('Semrush Data'!$A$1:$Z$20000,MATCH(A3698,'Semrush Data'!$A$1:$A$20000,0),MATCH("Keyword Difficulty*",'Semrush Data'!$A$1:$Z$1,0)),"")</f>
        <v/>
      </c>
      <c r="I3698" s="56">
        <f>IFERROR(INDEX('Semrush Data'!$A$1:$Z$20000,MATCH(A3698,'Semrush Data'!$A$1:$A$20000,0),MATCH("CPC*",'Semrush Data'!$A$1:$Z$1,0)),"")</f>
        <v/>
      </c>
      <c r="J3698" s="42">
        <f>IFERROR(INDEX('Semrush Data'!$A$1:$Z$20000,MATCH(A3698,'Semrush Data'!$A$1:$A$20000,0),MATCH("Intent",'Semrush Data'!$A$1:$Z$1,0)),"")</f>
        <v/>
      </c>
    </row>
    <row r="3699" ht="15" customHeight="1" s="37">
      <c r="A3699" s="42" t="inlineStr">
        <is>
          <t>vilvah deo shot - rose and vanilla price</t>
        </is>
      </c>
      <c r="B3699" s="42" t="inlineStr">
        <is>
          <t>Price</t>
        </is>
      </c>
      <c r="C3699" s="42" t="n">
        <v>3</v>
      </c>
      <c r="D3699" s="42" t="n">
        <v>37</v>
      </c>
      <c r="E3699" s="42" t="n">
        <v>1</v>
      </c>
      <c r="F3699" s="42" t="inlineStr">
        <is>
          <t>VD-004</t>
        </is>
      </c>
      <c r="G3699" s="55">
        <f>IFERROR(INDEX('Semrush Data'!$A$1:$Z$20000,MATCH(A3699,'Semrush Data'!$A$1:$A$20000,0),MATCH("Volume",'Semrush Data'!$A$1:$Z$1,0)),"")</f>
        <v/>
      </c>
      <c r="H3699" s="42">
        <f>IFERROR(INDEX('Semrush Data'!$A$1:$Z$20000,MATCH(A3699,'Semrush Data'!$A$1:$A$20000,0),MATCH("Keyword Difficulty*",'Semrush Data'!$A$1:$Z$1,0)),"")</f>
        <v/>
      </c>
      <c r="I3699" s="56">
        <f>IFERROR(INDEX('Semrush Data'!$A$1:$Z$20000,MATCH(A3699,'Semrush Data'!$A$1:$A$20000,0),MATCH("CPC*",'Semrush Data'!$A$1:$Z$1,0)),"")</f>
        <v/>
      </c>
      <c r="J3699" s="42">
        <f>IFERROR(INDEX('Semrush Data'!$A$1:$Z$20000,MATCH(A3699,'Semrush Data'!$A$1:$A$20000,0),MATCH("Intent",'Semrush Data'!$A$1:$Z$1,0)),"")</f>
        <v/>
      </c>
    </row>
    <row r="3700" ht="15" customHeight="1" s="37">
      <c r="A3700" s="42" t="inlineStr">
        <is>
          <t>vilvah everyday care milk kit price</t>
        </is>
      </c>
      <c r="B3700" s="42" t="inlineStr">
        <is>
          <t>Price</t>
        </is>
      </c>
      <c r="C3700" s="42" t="n">
        <v>3</v>
      </c>
      <c r="D3700" s="42" t="n">
        <v>37</v>
      </c>
      <c r="E3700" s="42" t="n">
        <v>1</v>
      </c>
      <c r="F3700" s="42" t="inlineStr">
        <is>
          <t>VD-080</t>
        </is>
      </c>
      <c r="G3700" s="55">
        <f>IFERROR(INDEX('Semrush Data'!$A$1:$Z$20000,MATCH(A3700,'Semrush Data'!$A$1:$A$20000,0),MATCH("Volume",'Semrush Data'!$A$1:$Z$1,0)),"")</f>
        <v/>
      </c>
      <c r="H3700" s="42">
        <f>IFERROR(INDEX('Semrush Data'!$A$1:$Z$20000,MATCH(A3700,'Semrush Data'!$A$1:$A$20000,0),MATCH("Keyword Difficulty*",'Semrush Data'!$A$1:$Z$1,0)),"")</f>
        <v/>
      </c>
      <c r="I3700" s="56">
        <f>IFERROR(INDEX('Semrush Data'!$A$1:$Z$20000,MATCH(A3700,'Semrush Data'!$A$1:$A$20000,0),MATCH("CPC*",'Semrush Data'!$A$1:$Z$1,0)),"")</f>
        <v/>
      </c>
      <c r="J3700" s="42">
        <f>IFERROR(INDEX('Semrush Data'!$A$1:$Z$20000,MATCH(A3700,'Semrush Data'!$A$1:$A$20000,0),MATCH("Intent",'Semrush Data'!$A$1:$Z$1,0)),"")</f>
        <v/>
      </c>
    </row>
    <row r="3701" ht="15" customHeight="1" s="37">
      <c r="A3701" s="42" t="inlineStr">
        <is>
          <t>vilvah face brightening kit large price</t>
        </is>
      </c>
      <c r="B3701" s="42" t="inlineStr">
        <is>
          <t>Price</t>
        </is>
      </c>
      <c r="C3701" s="42" t="n">
        <v>3</v>
      </c>
      <c r="D3701" s="42" t="n">
        <v>37</v>
      </c>
      <c r="E3701" s="42" t="n">
        <v>1</v>
      </c>
      <c r="F3701" s="42" t="inlineStr">
        <is>
          <t>VD-063</t>
        </is>
      </c>
      <c r="G3701" s="55">
        <f>IFERROR(INDEX('Semrush Data'!$A$1:$Z$20000,MATCH(A3701,'Semrush Data'!$A$1:$A$20000,0),MATCH("Volume",'Semrush Data'!$A$1:$Z$1,0)),"")</f>
        <v/>
      </c>
      <c r="H3701" s="42">
        <f>IFERROR(INDEX('Semrush Data'!$A$1:$Z$20000,MATCH(A3701,'Semrush Data'!$A$1:$A$20000,0),MATCH("Keyword Difficulty*",'Semrush Data'!$A$1:$Z$1,0)),"")</f>
        <v/>
      </c>
      <c r="I3701" s="56">
        <f>IFERROR(INDEX('Semrush Data'!$A$1:$Z$20000,MATCH(A3701,'Semrush Data'!$A$1:$A$20000,0),MATCH("CPC*",'Semrush Data'!$A$1:$Z$1,0)),"")</f>
        <v/>
      </c>
      <c r="J3701" s="42">
        <f>IFERROR(INDEX('Semrush Data'!$A$1:$Z$20000,MATCH(A3701,'Semrush Data'!$A$1:$A$20000,0),MATCH("Intent",'Semrush Data'!$A$1:$Z$1,0)),"")</f>
        <v/>
      </c>
    </row>
    <row r="3702" ht="15" customHeight="1" s="37">
      <c r="A3702" s="42" t="inlineStr">
        <is>
          <t>vilvah face brightening kit price</t>
        </is>
      </c>
      <c r="B3702" s="42" t="inlineStr">
        <is>
          <t>Price</t>
        </is>
      </c>
      <c r="C3702" s="42" t="n">
        <v>3</v>
      </c>
      <c r="D3702" s="42" t="n">
        <v>38</v>
      </c>
      <c r="E3702" s="42" t="n">
        <v>1</v>
      </c>
      <c r="F3702" s="42" t="inlineStr">
        <is>
          <t>VD-064</t>
        </is>
      </c>
      <c r="G3702" s="55">
        <f>IFERROR(INDEX('Semrush Data'!$A$1:$Z$20000,MATCH(A3702,'Semrush Data'!$A$1:$A$20000,0),MATCH("Volume",'Semrush Data'!$A$1:$Z$1,0)),"")</f>
        <v/>
      </c>
      <c r="H3702" s="42">
        <f>IFERROR(INDEX('Semrush Data'!$A$1:$Z$20000,MATCH(A3702,'Semrush Data'!$A$1:$A$20000,0),MATCH("Keyword Difficulty*",'Semrush Data'!$A$1:$Z$1,0)),"")</f>
        <v/>
      </c>
      <c r="I3702" s="56">
        <f>IFERROR(INDEX('Semrush Data'!$A$1:$Z$20000,MATCH(A3702,'Semrush Data'!$A$1:$A$20000,0),MATCH("CPC*",'Semrush Data'!$A$1:$Z$1,0)),"")</f>
        <v/>
      </c>
      <c r="J3702" s="42">
        <f>IFERROR(INDEX('Semrush Data'!$A$1:$Z$20000,MATCH(A3702,'Semrush Data'!$A$1:$A$20000,0),MATCH("Intent",'Semrush Data'!$A$1:$Z$1,0)),"")</f>
        <v/>
      </c>
    </row>
    <row r="3703" ht="15" customHeight="1" s="37">
      <c r="A3703" s="42" t="inlineStr">
        <is>
          <t>vilvah face lift kit price</t>
        </is>
      </c>
      <c r="B3703" s="42" t="inlineStr">
        <is>
          <t>Price</t>
        </is>
      </c>
      <c r="C3703" s="42" t="n">
        <v>3</v>
      </c>
      <c r="D3703" s="42" t="n">
        <v>38</v>
      </c>
      <c r="E3703" s="42" t="n">
        <v>1</v>
      </c>
      <c r="F3703" s="42" t="inlineStr">
        <is>
          <t>VD-066</t>
        </is>
      </c>
      <c r="G3703" s="55">
        <f>IFERROR(INDEX('Semrush Data'!$A$1:$Z$20000,MATCH(A3703,'Semrush Data'!$A$1:$A$20000,0),MATCH("Volume",'Semrush Data'!$A$1:$Z$1,0)),"")</f>
        <v/>
      </c>
      <c r="H3703" s="42">
        <f>IFERROR(INDEX('Semrush Data'!$A$1:$Z$20000,MATCH(A3703,'Semrush Data'!$A$1:$A$20000,0),MATCH("Keyword Difficulty*",'Semrush Data'!$A$1:$Z$1,0)),"")</f>
        <v/>
      </c>
      <c r="I3703" s="56">
        <f>IFERROR(INDEX('Semrush Data'!$A$1:$Z$20000,MATCH(A3703,'Semrush Data'!$A$1:$A$20000,0),MATCH("CPC*",'Semrush Data'!$A$1:$Z$1,0)),"")</f>
        <v/>
      </c>
      <c r="J3703" s="42">
        <f>IFERROR(INDEX('Semrush Data'!$A$1:$Z$20000,MATCH(A3703,'Semrush Data'!$A$1:$A$20000,0),MATCH("Intent",'Semrush Data'!$A$1:$Z$1,0)),"")</f>
        <v/>
      </c>
    </row>
    <row r="3704" ht="15" customHeight="1" s="37">
      <c r="A3704" s="42" t="inlineStr">
        <is>
          <t>vilvah filter kaapi lip balm price</t>
        </is>
      </c>
      <c r="B3704" s="42" t="inlineStr">
        <is>
          <t>Price</t>
        </is>
      </c>
      <c r="C3704" s="42" t="n">
        <v>3</v>
      </c>
      <c r="D3704" s="42" t="n">
        <v>38</v>
      </c>
      <c r="E3704" s="42" t="n">
        <v>1</v>
      </c>
      <c r="F3704" s="42" t="inlineStr">
        <is>
          <t>VD-044</t>
        </is>
      </c>
      <c r="G3704" s="55">
        <f>IFERROR(INDEX('Semrush Data'!$A$1:$Z$20000,MATCH(A3704,'Semrush Data'!$A$1:$A$20000,0),MATCH("Volume",'Semrush Data'!$A$1:$Z$1,0)),"")</f>
        <v/>
      </c>
      <c r="H3704" s="42">
        <f>IFERROR(INDEX('Semrush Data'!$A$1:$Z$20000,MATCH(A3704,'Semrush Data'!$A$1:$A$20000,0),MATCH("Keyword Difficulty*",'Semrush Data'!$A$1:$Z$1,0)),"")</f>
        <v/>
      </c>
      <c r="I3704" s="56">
        <f>IFERROR(INDEX('Semrush Data'!$A$1:$Z$20000,MATCH(A3704,'Semrush Data'!$A$1:$A$20000,0),MATCH("CPC*",'Semrush Data'!$A$1:$Z$1,0)),"")</f>
        <v/>
      </c>
      <c r="J3704" s="42">
        <f>IFERROR(INDEX('Semrush Data'!$A$1:$Z$20000,MATCH(A3704,'Semrush Data'!$A$1:$A$20000,0),MATCH("Intent",'Semrush Data'!$A$1:$Z$1,0)),"")</f>
        <v/>
      </c>
    </row>
    <row r="3705" ht="15" customHeight="1" s="37">
      <c r="A3705" s="42" t="inlineStr">
        <is>
          <t>vilvah foot cream and body lotion kit price</t>
        </is>
      </c>
      <c r="B3705" s="42" t="inlineStr">
        <is>
          <t>Price</t>
        </is>
      </c>
      <c r="C3705" s="42" t="n">
        <v>3</v>
      </c>
      <c r="D3705" s="42" t="n">
        <v>38</v>
      </c>
      <c r="E3705" s="42" t="n">
        <v>1</v>
      </c>
      <c r="F3705" s="42" t="inlineStr">
        <is>
          <t>VD-048</t>
        </is>
      </c>
      <c r="G3705" s="55">
        <f>IFERROR(INDEX('Semrush Data'!$A$1:$Z$20000,MATCH(A3705,'Semrush Data'!$A$1:$A$20000,0),MATCH("Volume",'Semrush Data'!$A$1:$Z$1,0)),"")</f>
        <v/>
      </c>
      <c r="H3705" s="42">
        <f>IFERROR(INDEX('Semrush Data'!$A$1:$Z$20000,MATCH(A3705,'Semrush Data'!$A$1:$A$20000,0),MATCH("Keyword Difficulty*",'Semrush Data'!$A$1:$Z$1,0)),"")</f>
        <v/>
      </c>
      <c r="I3705" s="56">
        <f>IFERROR(INDEX('Semrush Data'!$A$1:$Z$20000,MATCH(A3705,'Semrush Data'!$A$1:$A$20000,0),MATCH("CPC*",'Semrush Data'!$A$1:$Z$1,0)),"")</f>
        <v/>
      </c>
      <c r="J3705" s="42">
        <f>IFERROR(INDEX('Semrush Data'!$A$1:$Z$20000,MATCH(A3705,'Semrush Data'!$A$1:$A$20000,0),MATCH("Intent",'Semrush Data'!$A$1:$Z$1,0)),"")</f>
        <v/>
      </c>
    </row>
    <row r="3706" ht="15" customHeight="1" s="37">
      <c r="A3706" s="42" t="inlineStr">
        <is>
          <t>vilvah foot cream price</t>
        </is>
      </c>
      <c r="B3706" s="42" t="inlineStr">
        <is>
          <t>Price</t>
        </is>
      </c>
      <c r="C3706" s="42" t="n">
        <v>3</v>
      </c>
      <c r="D3706" s="42" t="n">
        <v>38</v>
      </c>
      <c r="E3706" s="42" t="n">
        <v>1</v>
      </c>
      <c r="F3706" s="42" t="inlineStr">
        <is>
          <t>VD-030</t>
        </is>
      </c>
      <c r="G3706" s="55">
        <f>IFERROR(INDEX('Semrush Data'!$A$1:$Z$20000,MATCH(A3706,'Semrush Data'!$A$1:$A$20000,0),MATCH("Volume",'Semrush Data'!$A$1:$Z$1,0)),"")</f>
        <v/>
      </c>
      <c r="H3706" s="42">
        <f>IFERROR(INDEX('Semrush Data'!$A$1:$Z$20000,MATCH(A3706,'Semrush Data'!$A$1:$A$20000,0),MATCH("Keyword Difficulty*",'Semrush Data'!$A$1:$Z$1,0)),"")</f>
        <v/>
      </c>
      <c r="I3706" s="56">
        <f>IFERROR(INDEX('Semrush Data'!$A$1:$Z$20000,MATCH(A3706,'Semrush Data'!$A$1:$A$20000,0),MATCH("CPC*",'Semrush Data'!$A$1:$Z$1,0)),"")</f>
        <v/>
      </c>
      <c r="J3706" s="42">
        <f>IFERROR(INDEX('Semrush Data'!$A$1:$Z$20000,MATCH(A3706,'Semrush Data'!$A$1:$A$20000,0),MATCH("Intent",'Semrush Data'!$A$1:$Z$1,0)),"")</f>
        <v/>
      </c>
    </row>
    <row r="3707" ht="15" customHeight="1" s="37">
      <c r="A3707" s="42" t="inlineStr">
        <is>
          <t>vilvah goat milk body wash price</t>
        </is>
      </c>
      <c r="B3707" s="42" t="inlineStr">
        <is>
          <t>Price</t>
        </is>
      </c>
      <c r="C3707" s="42" t="n">
        <v>3</v>
      </c>
      <c r="D3707" s="42" t="n">
        <v>38</v>
      </c>
      <c r="E3707" s="42" t="n">
        <v>1</v>
      </c>
      <c r="F3707" s="42" t="inlineStr">
        <is>
          <t>VD-009</t>
        </is>
      </c>
      <c r="G3707" s="55">
        <f>IFERROR(INDEX('Semrush Data'!$A$1:$Z$20000,MATCH(A3707,'Semrush Data'!$A$1:$A$20000,0),MATCH("Volume",'Semrush Data'!$A$1:$Z$1,0)),"")</f>
        <v/>
      </c>
      <c r="H3707" s="42">
        <f>IFERROR(INDEX('Semrush Data'!$A$1:$Z$20000,MATCH(A3707,'Semrush Data'!$A$1:$A$20000,0),MATCH("Keyword Difficulty*",'Semrush Data'!$A$1:$Z$1,0)),"")</f>
        <v/>
      </c>
      <c r="I3707" s="56">
        <f>IFERROR(INDEX('Semrush Data'!$A$1:$Z$20000,MATCH(A3707,'Semrush Data'!$A$1:$A$20000,0),MATCH("CPC*",'Semrush Data'!$A$1:$Z$1,0)),"")</f>
        <v/>
      </c>
      <c r="J3707" s="42">
        <f>IFERROR(INDEX('Semrush Data'!$A$1:$Z$20000,MATCH(A3707,'Semrush Data'!$A$1:$A$20000,0),MATCH("Intent",'Semrush Data'!$A$1:$Z$1,0)),"")</f>
        <v/>
      </c>
    </row>
    <row r="3708" ht="15" customHeight="1" s="37">
      <c r="A3708" s="42" t="inlineStr">
        <is>
          <t>vilvah goat milk hair kit price</t>
        </is>
      </c>
      <c r="B3708" s="42" t="inlineStr">
        <is>
          <t>Price</t>
        </is>
      </c>
      <c r="C3708" s="42" t="n">
        <v>3</v>
      </c>
      <c r="D3708" s="42" t="n">
        <v>38</v>
      </c>
      <c r="E3708" s="42" t="n">
        <v>1</v>
      </c>
      <c r="F3708" s="42" t="inlineStr">
        <is>
          <t>VD-079</t>
        </is>
      </c>
      <c r="G3708" s="55">
        <f>IFERROR(INDEX('Semrush Data'!$A$1:$Z$20000,MATCH(A3708,'Semrush Data'!$A$1:$A$20000,0),MATCH("Volume",'Semrush Data'!$A$1:$Z$1,0)),"")</f>
        <v/>
      </c>
      <c r="H3708" s="42">
        <f>IFERROR(INDEX('Semrush Data'!$A$1:$Z$20000,MATCH(A3708,'Semrush Data'!$A$1:$A$20000,0),MATCH("Keyword Difficulty*",'Semrush Data'!$A$1:$Z$1,0)),"")</f>
        <v/>
      </c>
      <c r="I3708" s="56">
        <f>IFERROR(INDEX('Semrush Data'!$A$1:$Z$20000,MATCH(A3708,'Semrush Data'!$A$1:$A$20000,0),MATCH("CPC*",'Semrush Data'!$A$1:$Z$1,0)),"")</f>
        <v/>
      </c>
      <c r="J3708" s="42">
        <f>IFERROR(INDEX('Semrush Data'!$A$1:$Z$20000,MATCH(A3708,'Semrush Data'!$A$1:$A$20000,0),MATCH("Intent",'Semrush Data'!$A$1:$Z$1,0)),"")</f>
        <v/>
      </c>
    </row>
    <row r="3709" ht="15" customHeight="1" s="37">
      <c r="A3709" s="42" t="inlineStr">
        <is>
          <t>vilvah goat milk hair mask price</t>
        </is>
      </c>
      <c r="B3709" s="42" t="inlineStr">
        <is>
          <t>Price</t>
        </is>
      </c>
      <c r="C3709" s="42" t="n">
        <v>3</v>
      </c>
      <c r="D3709" s="42" t="n">
        <v>38</v>
      </c>
      <c r="E3709" s="42" t="n">
        <v>1</v>
      </c>
      <c r="F3709" s="42" t="inlineStr">
        <is>
          <t>VD-031</t>
        </is>
      </c>
      <c r="G3709" s="55">
        <f>IFERROR(INDEX('Semrush Data'!$A$1:$Z$20000,MATCH(A3709,'Semrush Data'!$A$1:$A$20000,0),MATCH("Volume",'Semrush Data'!$A$1:$Z$1,0)),"")</f>
        <v/>
      </c>
      <c r="H3709" s="42">
        <f>IFERROR(INDEX('Semrush Data'!$A$1:$Z$20000,MATCH(A3709,'Semrush Data'!$A$1:$A$20000,0),MATCH("Keyword Difficulty*",'Semrush Data'!$A$1:$Z$1,0)),"")</f>
        <v/>
      </c>
      <c r="I3709" s="56">
        <f>IFERROR(INDEX('Semrush Data'!$A$1:$Z$20000,MATCH(A3709,'Semrush Data'!$A$1:$A$20000,0),MATCH("CPC*",'Semrush Data'!$A$1:$Z$1,0)),"")</f>
        <v/>
      </c>
      <c r="J3709" s="42">
        <f>IFERROR(INDEX('Semrush Data'!$A$1:$Z$20000,MATCH(A3709,'Semrush Data'!$A$1:$A$20000,0),MATCH("Intent",'Semrush Data'!$A$1:$Z$1,0)),"")</f>
        <v/>
      </c>
    </row>
    <row r="3710" ht="15" customHeight="1" s="37">
      <c r="A3710" s="42" t="inlineStr">
        <is>
          <t>vilvah goat milk shampoo price</t>
        </is>
      </c>
      <c r="B3710" s="42" t="inlineStr">
        <is>
          <t>Price</t>
        </is>
      </c>
      <c r="C3710" s="42" t="n">
        <v>3</v>
      </c>
      <c r="D3710" s="42" t="n">
        <v>38</v>
      </c>
      <c r="E3710" s="42" t="n">
        <v>1</v>
      </c>
      <c r="F3710" s="42" t="inlineStr">
        <is>
          <t>VD-013</t>
        </is>
      </c>
      <c r="G3710" s="55">
        <f>IFERROR(INDEX('Semrush Data'!$A$1:$Z$20000,MATCH(A3710,'Semrush Data'!$A$1:$A$20000,0),MATCH("Volume",'Semrush Data'!$A$1:$Z$1,0)),"")</f>
        <v/>
      </c>
      <c r="H3710" s="42">
        <f>IFERROR(INDEX('Semrush Data'!$A$1:$Z$20000,MATCH(A3710,'Semrush Data'!$A$1:$A$20000,0),MATCH("Keyword Difficulty*",'Semrush Data'!$A$1:$Z$1,0)),"")</f>
        <v/>
      </c>
      <c r="I3710" s="56">
        <f>IFERROR(INDEX('Semrush Data'!$A$1:$Z$20000,MATCH(A3710,'Semrush Data'!$A$1:$A$20000,0),MATCH("CPC*",'Semrush Data'!$A$1:$Z$1,0)),"")</f>
        <v/>
      </c>
      <c r="J3710" s="42">
        <f>IFERROR(INDEX('Semrush Data'!$A$1:$Z$20000,MATCH(A3710,'Semrush Data'!$A$1:$A$20000,0),MATCH("Intent",'Semrush Data'!$A$1:$Z$1,0)),"")</f>
        <v/>
      </c>
    </row>
    <row r="3711" ht="15" customHeight="1" s="37">
      <c r="A3711" s="42" t="inlineStr">
        <is>
          <t>vilvah hair growth oil price</t>
        </is>
      </c>
      <c r="B3711" s="42" t="inlineStr">
        <is>
          <t>Price</t>
        </is>
      </c>
      <c r="C3711" s="42" t="n">
        <v>3</v>
      </c>
      <c r="D3711" s="42" t="n">
        <v>38</v>
      </c>
      <c r="E3711" s="42" t="n">
        <v>3</v>
      </c>
      <c r="F3711" s="42" t="inlineStr">
        <is>
          <t>VD-002, VD-032, VD-033</t>
        </is>
      </c>
      <c r="G3711" s="55">
        <f>IFERROR(INDEX('Semrush Data'!$A$1:$Z$20000,MATCH(A3711,'Semrush Data'!$A$1:$A$20000,0),MATCH("Volume",'Semrush Data'!$A$1:$Z$1,0)),"")</f>
        <v/>
      </c>
      <c r="H3711" s="42">
        <f>IFERROR(INDEX('Semrush Data'!$A$1:$Z$20000,MATCH(A3711,'Semrush Data'!$A$1:$A$20000,0),MATCH("Keyword Difficulty*",'Semrush Data'!$A$1:$Z$1,0)),"")</f>
        <v/>
      </c>
      <c r="I3711" s="56">
        <f>IFERROR(INDEX('Semrush Data'!$A$1:$Z$20000,MATCH(A3711,'Semrush Data'!$A$1:$A$20000,0),MATCH("CPC*",'Semrush Data'!$A$1:$Z$1,0)),"")</f>
        <v/>
      </c>
      <c r="J3711" s="42">
        <f>IFERROR(INDEX('Semrush Data'!$A$1:$Z$20000,MATCH(A3711,'Semrush Data'!$A$1:$A$20000,0),MATCH("Intent",'Semrush Data'!$A$1:$Z$1,0)),"")</f>
        <v/>
      </c>
    </row>
    <row r="3712" ht="15" customHeight="1" s="37">
      <c r="A3712" s="42" t="inlineStr">
        <is>
          <t>vilvah hair strengthening kit price</t>
        </is>
      </c>
      <c r="B3712" s="42" t="inlineStr">
        <is>
          <t>Price</t>
        </is>
      </c>
      <c r="C3712" s="42" t="n">
        <v>3</v>
      </c>
      <c r="D3712" s="42" t="n">
        <v>38</v>
      </c>
      <c r="E3712" s="42" t="n">
        <v>1</v>
      </c>
      <c r="F3712" s="42" t="inlineStr">
        <is>
          <t>VD-072</t>
        </is>
      </c>
      <c r="G3712" s="55">
        <f>IFERROR(INDEX('Semrush Data'!$A$1:$Z$20000,MATCH(A3712,'Semrush Data'!$A$1:$A$20000,0),MATCH("Volume",'Semrush Data'!$A$1:$Z$1,0)),"")</f>
        <v/>
      </c>
      <c r="H3712" s="42">
        <f>IFERROR(INDEX('Semrush Data'!$A$1:$Z$20000,MATCH(A3712,'Semrush Data'!$A$1:$A$20000,0),MATCH("Keyword Difficulty*",'Semrush Data'!$A$1:$Z$1,0)),"")</f>
        <v/>
      </c>
      <c r="I3712" s="56">
        <f>IFERROR(INDEX('Semrush Data'!$A$1:$Z$20000,MATCH(A3712,'Semrush Data'!$A$1:$A$20000,0),MATCH("CPC*",'Semrush Data'!$A$1:$Z$1,0)),"")</f>
        <v/>
      </c>
      <c r="J3712" s="42">
        <f>IFERROR(INDEX('Semrush Data'!$A$1:$Z$20000,MATCH(A3712,'Semrush Data'!$A$1:$A$20000,0),MATCH("Intent",'Semrush Data'!$A$1:$Z$1,0)),"")</f>
        <v/>
      </c>
    </row>
    <row r="3713" ht="15" customHeight="1" s="37">
      <c r="A3713" s="42" t="inlineStr">
        <is>
          <t>vilvah hairfall control kit price</t>
        </is>
      </c>
      <c r="B3713" s="42" t="inlineStr">
        <is>
          <t>Price</t>
        </is>
      </c>
      <c r="C3713" s="42" t="n">
        <v>3</v>
      </c>
      <c r="D3713" s="42" t="n">
        <v>38</v>
      </c>
      <c r="E3713" s="42" t="n">
        <v>1</v>
      </c>
      <c r="F3713" s="42" t="inlineStr">
        <is>
          <t>VD-077</t>
        </is>
      </c>
      <c r="G3713" s="55">
        <f>IFERROR(INDEX('Semrush Data'!$A$1:$Z$20000,MATCH(A3713,'Semrush Data'!$A$1:$A$20000,0),MATCH("Volume",'Semrush Data'!$A$1:$Z$1,0)),"")</f>
        <v/>
      </c>
      <c r="H3713" s="42">
        <f>IFERROR(INDEX('Semrush Data'!$A$1:$Z$20000,MATCH(A3713,'Semrush Data'!$A$1:$A$20000,0),MATCH("Keyword Difficulty*",'Semrush Data'!$A$1:$Z$1,0)),"")</f>
        <v/>
      </c>
      <c r="I3713" s="56">
        <f>IFERROR(INDEX('Semrush Data'!$A$1:$Z$20000,MATCH(A3713,'Semrush Data'!$A$1:$A$20000,0),MATCH("CPC*",'Semrush Data'!$A$1:$Z$1,0)),"")</f>
        <v/>
      </c>
      <c r="J3713" s="42">
        <f>IFERROR(INDEX('Semrush Data'!$A$1:$Z$20000,MATCH(A3713,'Semrush Data'!$A$1:$A$20000,0),MATCH("Intent",'Semrush Data'!$A$1:$Z$1,0)),"")</f>
        <v/>
      </c>
    </row>
    <row r="3714" ht="15" customHeight="1" s="37">
      <c r="A3714" s="42" t="inlineStr">
        <is>
          <t>vilvah herbal shampoo (dandruff control) price</t>
        </is>
      </c>
      <c r="B3714" s="42" t="inlineStr">
        <is>
          <t>Price</t>
        </is>
      </c>
      <c r="C3714" s="42" t="n">
        <v>3</v>
      </c>
      <c r="D3714" s="42" t="n">
        <v>38</v>
      </c>
      <c r="E3714" s="42" t="n">
        <v>1</v>
      </c>
      <c r="F3714" s="42" t="inlineStr">
        <is>
          <t>VD-034</t>
        </is>
      </c>
      <c r="G3714" s="55">
        <f>IFERROR(INDEX('Semrush Data'!$A$1:$Z$20000,MATCH(A3714,'Semrush Data'!$A$1:$A$20000,0),MATCH("Volume",'Semrush Data'!$A$1:$Z$1,0)),"")</f>
        <v/>
      </c>
      <c r="H3714" s="42">
        <f>IFERROR(INDEX('Semrush Data'!$A$1:$Z$20000,MATCH(A3714,'Semrush Data'!$A$1:$A$20000,0),MATCH("Keyword Difficulty*",'Semrush Data'!$A$1:$Z$1,0)),"")</f>
        <v/>
      </c>
      <c r="I3714" s="56">
        <f>IFERROR(INDEX('Semrush Data'!$A$1:$Z$20000,MATCH(A3714,'Semrush Data'!$A$1:$A$20000,0),MATCH("CPC*",'Semrush Data'!$A$1:$Z$1,0)),"")</f>
        <v/>
      </c>
      <c r="J3714" s="42">
        <f>IFERROR(INDEX('Semrush Data'!$A$1:$Z$20000,MATCH(A3714,'Semrush Data'!$A$1:$A$20000,0),MATCH("Intent",'Semrush Data'!$A$1:$Z$1,0)),"")</f>
        <v/>
      </c>
    </row>
    <row r="3715" ht="15" customHeight="1" s="37">
      <c r="A3715" s="42" t="inlineStr">
        <is>
          <t>vilvah honey fix face wash price</t>
        </is>
      </c>
      <c r="B3715" s="42" t="inlineStr">
        <is>
          <t>Price</t>
        </is>
      </c>
      <c r="C3715" s="42" t="n">
        <v>3</v>
      </c>
      <c r="D3715" s="42" t="n">
        <v>38</v>
      </c>
      <c r="E3715" s="42" t="n">
        <v>1</v>
      </c>
      <c r="F3715" s="42" t="inlineStr">
        <is>
          <t>VD-014</t>
        </is>
      </c>
      <c r="G3715" s="55">
        <f>IFERROR(INDEX('Semrush Data'!$A$1:$Z$20000,MATCH(A3715,'Semrush Data'!$A$1:$A$20000,0),MATCH("Volume",'Semrush Data'!$A$1:$Z$1,0)),"")</f>
        <v/>
      </c>
      <c r="H3715" s="42">
        <f>IFERROR(INDEX('Semrush Data'!$A$1:$Z$20000,MATCH(A3715,'Semrush Data'!$A$1:$A$20000,0),MATCH("Keyword Difficulty*",'Semrush Data'!$A$1:$Z$1,0)),"")</f>
        <v/>
      </c>
      <c r="I3715" s="56">
        <f>IFERROR(INDEX('Semrush Data'!$A$1:$Z$20000,MATCH(A3715,'Semrush Data'!$A$1:$A$20000,0),MATCH("CPC*",'Semrush Data'!$A$1:$Z$1,0)),"")</f>
        <v/>
      </c>
      <c r="J3715" s="42">
        <f>IFERROR(INDEX('Semrush Data'!$A$1:$Z$20000,MATCH(A3715,'Semrush Data'!$A$1:$A$20000,0),MATCH("Intent",'Semrush Data'!$A$1:$Z$1,0)),"")</f>
        <v/>
      </c>
    </row>
    <row r="3716" ht="15" customHeight="1" s="37">
      <c r="A3716" s="42" t="inlineStr">
        <is>
          <t>vilvah lip balm - grapefruit price</t>
        </is>
      </c>
      <c r="B3716" s="42" t="inlineStr">
        <is>
          <t>Price</t>
        </is>
      </c>
      <c r="C3716" s="42" t="n">
        <v>3</v>
      </c>
      <c r="D3716" s="42" t="n">
        <v>38</v>
      </c>
      <c r="E3716" s="42" t="n">
        <v>1</v>
      </c>
      <c r="F3716" s="42" t="inlineStr">
        <is>
          <t>VD-035</t>
        </is>
      </c>
      <c r="G3716" s="55">
        <f>IFERROR(INDEX('Semrush Data'!$A$1:$Z$20000,MATCH(A3716,'Semrush Data'!$A$1:$A$20000,0),MATCH("Volume",'Semrush Data'!$A$1:$Z$1,0)),"")</f>
        <v/>
      </c>
      <c r="H3716" s="42">
        <f>IFERROR(INDEX('Semrush Data'!$A$1:$Z$20000,MATCH(A3716,'Semrush Data'!$A$1:$A$20000,0),MATCH("Keyword Difficulty*",'Semrush Data'!$A$1:$Z$1,0)),"")</f>
        <v/>
      </c>
      <c r="I3716" s="56">
        <f>IFERROR(INDEX('Semrush Data'!$A$1:$Z$20000,MATCH(A3716,'Semrush Data'!$A$1:$A$20000,0),MATCH("CPC*",'Semrush Data'!$A$1:$Z$1,0)),"")</f>
        <v/>
      </c>
      <c r="J3716" s="42">
        <f>IFERROR(INDEX('Semrush Data'!$A$1:$Z$20000,MATCH(A3716,'Semrush Data'!$A$1:$A$20000,0),MATCH("Intent",'Semrush Data'!$A$1:$Z$1,0)),"")</f>
        <v/>
      </c>
    </row>
    <row r="3717" ht="15" customHeight="1" s="37">
      <c r="A3717" s="42" t="inlineStr">
        <is>
          <t>vilvah lip balm - lemon price</t>
        </is>
      </c>
      <c r="B3717" s="42" t="inlineStr">
        <is>
          <t>Price</t>
        </is>
      </c>
      <c r="C3717" s="42" t="n">
        <v>3</v>
      </c>
      <c r="D3717" s="42" t="n">
        <v>38</v>
      </c>
      <c r="E3717" s="42" t="n">
        <v>1</v>
      </c>
      <c r="F3717" s="42" t="inlineStr">
        <is>
          <t>VD-015</t>
        </is>
      </c>
      <c r="G3717" s="55">
        <f>IFERROR(INDEX('Semrush Data'!$A$1:$Z$20000,MATCH(A3717,'Semrush Data'!$A$1:$A$20000,0),MATCH("Volume",'Semrush Data'!$A$1:$Z$1,0)),"")</f>
        <v/>
      </c>
      <c r="H3717" s="42">
        <f>IFERROR(INDEX('Semrush Data'!$A$1:$Z$20000,MATCH(A3717,'Semrush Data'!$A$1:$A$20000,0),MATCH("Keyword Difficulty*",'Semrush Data'!$A$1:$Z$1,0)),"")</f>
        <v/>
      </c>
      <c r="I3717" s="56">
        <f>IFERROR(INDEX('Semrush Data'!$A$1:$Z$20000,MATCH(A3717,'Semrush Data'!$A$1:$A$20000,0),MATCH("CPC*",'Semrush Data'!$A$1:$Z$1,0)),"")</f>
        <v/>
      </c>
      <c r="J3717" s="42">
        <f>IFERROR(INDEX('Semrush Data'!$A$1:$Z$20000,MATCH(A3717,'Semrush Data'!$A$1:$A$20000,0),MATCH("Intent",'Semrush Data'!$A$1:$Z$1,0)),"")</f>
        <v/>
      </c>
    </row>
    <row r="3718" ht="15" customHeight="1" s="37">
      <c r="A3718" s="42" t="inlineStr">
        <is>
          <t>vilvah lip lightening kit price</t>
        </is>
      </c>
      <c r="B3718" s="42" t="inlineStr">
        <is>
          <t>Price</t>
        </is>
      </c>
      <c r="C3718" s="42" t="n">
        <v>3</v>
      </c>
      <c r="D3718" s="42" t="n">
        <v>38</v>
      </c>
      <c r="E3718" s="42" t="n">
        <v>1</v>
      </c>
      <c r="F3718" s="42" t="inlineStr">
        <is>
          <t>VD-073</t>
        </is>
      </c>
      <c r="G3718" s="55">
        <f>IFERROR(INDEX('Semrush Data'!$A$1:$Z$20000,MATCH(A3718,'Semrush Data'!$A$1:$A$20000,0),MATCH("Volume",'Semrush Data'!$A$1:$Z$1,0)),"")</f>
        <v/>
      </c>
      <c r="H3718" s="42">
        <f>IFERROR(INDEX('Semrush Data'!$A$1:$Z$20000,MATCH(A3718,'Semrush Data'!$A$1:$A$20000,0),MATCH("Keyword Difficulty*",'Semrush Data'!$A$1:$Z$1,0)),"")</f>
        <v/>
      </c>
      <c r="I3718" s="56">
        <f>IFERROR(INDEX('Semrush Data'!$A$1:$Z$20000,MATCH(A3718,'Semrush Data'!$A$1:$A$20000,0),MATCH("CPC*",'Semrush Data'!$A$1:$Z$1,0)),"")</f>
        <v/>
      </c>
      <c r="J3718" s="42">
        <f>IFERROR(INDEX('Semrush Data'!$A$1:$Z$20000,MATCH(A3718,'Semrush Data'!$A$1:$A$20000,0),MATCH("Intent",'Semrush Data'!$A$1:$Z$1,0)),"")</f>
        <v/>
      </c>
    </row>
    <row r="3719" ht="15" customHeight="1" s="37">
      <c r="A3719" s="42" t="inlineStr">
        <is>
          <t>vilvah lip nourishing kit price</t>
        </is>
      </c>
      <c r="B3719" s="42" t="inlineStr">
        <is>
          <t>Price</t>
        </is>
      </c>
      <c r="C3719" s="42" t="n">
        <v>3</v>
      </c>
      <c r="D3719" s="42" t="n">
        <v>38</v>
      </c>
      <c r="E3719" s="42" t="n">
        <v>1</v>
      </c>
      <c r="F3719" s="42" t="inlineStr">
        <is>
          <t>VD-081</t>
        </is>
      </c>
      <c r="G3719" s="55">
        <f>IFERROR(INDEX('Semrush Data'!$A$1:$Z$20000,MATCH(A3719,'Semrush Data'!$A$1:$A$20000,0),MATCH("Volume",'Semrush Data'!$A$1:$Z$1,0)),"")</f>
        <v/>
      </c>
      <c r="H3719" s="42">
        <f>IFERROR(INDEX('Semrush Data'!$A$1:$Z$20000,MATCH(A3719,'Semrush Data'!$A$1:$A$20000,0),MATCH("Keyword Difficulty*",'Semrush Data'!$A$1:$Z$1,0)),"")</f>
        <v/>
      </c>
      <c r="I3719" s="56">
        <f>IFERROR(INDEX('Semrush Data'!$A$1:$Z$20000,MATCH(A3719,'Semrush Data'!$A$1:$A$20000,0),MATCH("CPC*",'Semrush Data'!$A$1:$Z$1,0)),"")</f>
        <v/>
      </c>
      <c r="J3719" s="42">
        <f>IFERROR(INDEX('Semrush Data'!$A$1:$Z$20000,MATCH(A3719,'Semrush Data'!$A$1:$A$20000,0),MATCH("Intent",'Semrush Data'!$A$1:$Z$1,0)),"")</f>
        <v/>
      </c>
    </row>
    <row r="3720" ht="15" customHeight="1" s="37">
      <c r="A3720" s="42" t="inlineStr">
        <is>
          <t>vilvah lip scrub price</t>
        </is>
      </c>
      <c r="B3720" s="42" t="inlineStr">
        <is>
          <t>Price</t>
        </is>
      </c>
      <c r="C3720" s="42" t="n">
        <v>3</v>
      </c>
      <c r="D3720" s="42" t="n">
        <v>38</v>
      </c>
      <c r="E3720" s="42" t="n">
        <v>1</v>
      </c>
      <c r="F3720" s="42" t="inlineStr">
        <is>
          <t>VD-036</t>
        </is>
      </c>
      <c r="G3720" s="55">
        <f>IFERROR(INDEX('Semrush Data'!$A$1:$Z$20000,MATCH(A3720,'Semrush Data'!$A$1:$A$20000,0),MATCH("Volume",'Semrush Data'!$A$1:$Z$1,0)),"")</f>
        <v/>
      </c>
      <c r="H3720" s="42">
        <f>IFERROR(INDEX('Semrush Data'!$A$1:$Z$20000,MATCH(A3720,'Semrush Data'!$A$1:$A$20000,0),MATCH("Keyword Difficulty*",'Semrush Data'!$A$1:$Z$1,0)),"")</f>
        <v/>
      </c>
      <c r="I3720" s="56">
        <f>IFERROR(INDEX('Semrush Data'!$A$1:$Z$20000,MATCH(A3720,'Semrush Data'!$A$1:$A$20000,0),MATCH("CPC*",'Semrush Data'!$A$1:$Z$1,0)),"")</f>
        <v/>
      </c>
      <c r="J3720" s="42">
        <f>IFERROR(INDEX('Semrush Data'!$A$1:$Z$20000,MATCH(A3720,'Semrush Data'!$A$1:$A$20000,0),MATCH("Intent",'Semrush Data'!$A$1:$Z$1,0)),"")</f>
        <v/>
      </c>
    </row>
    <row r="3721" ht="15" customHeight="1" s="37">
      <c r="A3721" s="42" t="inlineStr">
        <is>
          <t>vilvah mango shake lip balm price</t>
        </is>
      </c>
      <c r="B3721" s="42" t="inlineStr">
        <is>
          <t>Price</t>
        </is>
      </c>
      <c r="C3721" s="42" t="n">
        <v>3</v>
      </c>
      <c r="D3721" s="42" t="n">
        <v>38</v>
      </c>
      <c r="E3721" s="42" t="n">
        <v>1</v>
      </c>
      <c r="F3721" s="42" t="inlineStr">
        <is>
          <t>VD-045</t>
        </is>
      </c>
      <c r="G3721" s="55">
        <f>IFERROR(INDEX('Semrush Data'!$A$1:$Z$20000,MATCH(A3721,'Semrush Data'!$A$1:$A$20000,0),MATCH("Volume",'Semrush Data'!$A$1:$Z$1,0)),"")</f>
        <v/>
      </c>
      <c r="H3721" s="42">
        <f>IFERROR(INDEX('Semrush Data'!$A$1:$Z$20000,MATCH(A3721,'Semrush Data'!$A$1:$A$20000,0),MATCH("Keyword Difficulty*",'Semrush Data'!$A$1:$Z$1,0)),"")</f>
        <v/>
      </c>
      <c r="I3721" s="56">
        <f>IFERROR(INDEX('Semrush Data'!$A$1:$Z$20000,MATCH(A3721,'Semrush Data'!$A$1:$A$20000,0),MATCH("CPC*",'Semrush Data'!$A$1:$Z$1,0)),"")</f>
        <v/>
      </c>
      <c r="J3721" s="42">
        <f>IFERROR(INDEX('Semrush Data'!$A$1:$Z$20000,MATCH(A3721,'Semrush Data'!$A$1:$A$20000,0),MATCH("Intent",'Semrush Data'!$A$1:$Z$1,0)),"")</f>
        <v/>
      </c>
    </row>
    <row r="3722" ht="15" customHeight="1" s="37">
      <c r="A3722" s="42" t="inlineStr">
        <is>
          <t>vilvah men's comb / detangling comb price</t>
        </is>
      </c>
      <c r="B3722" s="42" t="inlineStr">
        <is>
          <t>Price</t>
        </is>
      </c>
      <c r="C3722" s="42" t="n">
        <v>3</v>
      </c>
      <c r="D3722" s="42" t="n">
        <v>38</v>
      </c>
      <c r="E3722" s="42" t="n">
        <v>1</v>
      </c>
      <c r="F3722" s="42" t="inlineStr">
        <is>
          <t>VD-037</t>
        </is>
      </c>
      <c r="G3722" s="55">
        <f>IFERROR(INDEX('Semrush Data'!$A$1:$Z$20000,MATCH(A3722,'Semrush Data'!$A$1:$A$20000,0),MATCH("Volume",'Semrush Data'!$A$1:$Z$1,0)),"")</f>
        <v/>
      </c>
      <c r="H3722" s="42">
        <f>IFERROR(INDEX('Semrush Data'!$A$1:$Z$20000,MATCH(A3722,'Semrush Data'!$A$1:$A$20000,0),MATCH("Keyword Difficulty*",'Semrush Data'!$A$1:$Z$1,0)),"")</f>
        <v/>
      </c>
      <c r="I3722" s="56">
        <f>IFERROR(INDEX('Semrush Data'!$A$1:$Z$20000,MATCH(A3722,'Semrush Data'!$A$1:$A$20000,0),MATCH("CPC*",'Semrush Data'!$A$1:$Z$1,0)),"")</f>
        <v/>
      </c>
      <c r="J3722" s="42">
        <f>IFERROR(INDEX('Semrush Data'!$A$1:$Z$20000,MATCH(A3722,'Semrush Data'!$A$1:$A$20000,0),MATCH("Intent",'Semrush Data'!$A$1:$Z$1,0)),"")</f>
        <v/>
      </c>
    </row>
    <row r="3723" ht="15" customHeight="1" s="37">
      <c r="A3723" s="42" t="inlineStr">
        <is>
          <t>vilvah milk body kit price</t>
        </is>
      </c>
      <c r="B3723" s="42" t="inlineStr">
        <is>
          <t>Price</t>
        </is>
      </c>
      <c r="C3723" s="42" t="n">
        <v>3</v>
      </c>
      <c r="D3723" s="42" t="n">
        <v>38</v>
      </c>
      <c r="E3723" s="42" t="n">
        <v>1</v>
      </c>
      <c r="F3723" s="42" t="inlineStr">
        <is>
          <t>VD-047</t>
        </is>
      </c>
      <c r="G3723" s="55">
        <f>IFERROR(INDEX('Semrush Data'!$A$1:$Z$20000,MATCH(A3723,'Semrush Data'!$A$1:$A$20000,0),MATCH("Volume",'Semrush Data'!$A$1:$Z$1,0)),"")</f>
        <v/>
      </c>
      <c r="H3723" s="42">
        <f>IFERROR(INDEX('Semrush Data'!$A$1:$Z$20000,MATCH(A3723,'Semrush Data'!$A$1:$A$20000,0),MATCH("Keyword Difficulty*",'Semrush Data'!$A$1:$Z$1,0)),"")</f>
        <v/>
      </c>
      <c r="I3723" s="56">
        <f>IFERROR(INDEX('Semrush Data'!$A$1:$Z$20000,MATCH(A3723,'Semrush Data'!$A$1:$A$20000,0),MATCH("CPC*",'Semrush Data'!$A$1:$Z$1,0)),"")</f>
        <v/>
      </c>
      <c r="J3723" s="42">
        <f>IFERROR(INDEX('Semrush Data'!$A$1:$Z$20000,MATCH(A3723,'Semrush Data'!$A$1:$A$20000,0),MATCH("Intent",'Semrush Data'!$A$1:$Z$1,0)),"")</f>
        <v/>
      </c>
    </row>
    <row r="3724" ht="15" customHeight="1" s="37">
      <c r="A3724" s="42" t="inlineStr">
        <is>
          <t>vilvah milk body lotion price</t>
        </is>
      </c>
      <c r="B3724" s="42" t="inlineStr">
        <is>
          <t>Price</t>
        </is>
      </c>
      <c r="C3724" s="42" t="n">
        <v>3</v>
      </c>
      <c r="D3724" s="42" t="n">
        <v>38</v>
      </c>
      <c r="E3724" s="42" t="n">
        <v>1</v>
      </c>
      <c r="F3724" s="42" t="inlineStr">
        <is>
          <t>VD-016</t>
        </is>
      </c>
      <c r="G3724" s="55">
        <f>IFERROR(INDEX('Semrush Data'!$A$1:$Z$20000,MATCH(A3724,'Semrush Data'!$A$1:$A$20000,0),MATCH("Volume",'Semrush Data'!$A$1:$Z$1,0)),"")</f>
        <v/>
      </c>
      <c r="H3724" s="42">
        <f>IFERROR(INDEX('Semrush Data'!$A$1:$Z$20000,MATCH(A3724,'Semrush Data'!$A$1:$A$20000,0),MATCH("Keyword Difficulty*",'Semrush Data'!$A$1:$Z$1,0)),"")</f>
        <v/>
      </c>
      <c r="I3724" s="56">
        <f>IFERROR(INDEX('Semrush Data'!$A$1:$Z$20000,MATCH(A3724,'Semrush Data'!$A$1:$A$20000,0),MATCH("CPC*",'Semrush Data'!$A$1:$Z$1,0)),"")</f>
        <v/>
      </c>
      <c r="J3724" s="42">
        <f>IFERROR(INDEX('Semrush Data'!$A$1:$Z$20000,MATCH(A3724,'Semrush Data'!$A$1:$A$20000,0),MATCH("Intent",'Semrush Data'!$A$1:$Z$1,0)),"")</f>
        <v/>
      </c>
    </row>
    <row r="3725" ht="15" customHeight="1" s="37">
      <c r="A3725" s="42" t="inlineStr">
        <is>
          <t>vilvah milk drops brightening serum price</t>
        </is>
      </c>
      <c r="B3725" s="42" t="inlineStr">
        <is>
          <t>Price</t>
        </is>
      </c>
      <c r="C3725" s="42" t="n">
        <v>3</v>
      </c>
      <c r="D3725" s="42" t="n">
        <v>38</v>
      </c>
      <c r="E3725" s="42" t="n">
        <v>2</v>
      </c>
      <c r="F3725" s="42" t="inlineStr">
        <is>
          <t>VD-038, VD-039</t>
        </is>
      </c>
      <c r="G3725" s="55">
        <f>IFERROR(INDEX('Semrush Data'!$A$1:$Z$20000,MATCH(A3725,'Semrush Data'!$A$1:$A$20000,0),MATCH("Volume",'Semrush Data'!$A$1:$Z$1,0)),"")</f>
        <v/>
      </c>
      <c r="H3725" s="42">
        <f>IFERROR(INDEX('Semrush Data'!$A$1:$Z$20000,MATCH(A3725,'Semrush Data'!$A$1:$A$20000,0),MATCH("Keyword Difficulty*",'Semrush Data'!$A$1:$Z$1,0)),"")</f>
        <v/>
      </c>
      <c r="I3725" s="56">
        <f>IFERROR(INDEX('Semrush Data'!$A$1:$Z$20000,MATCH(A3725,'Semrush Data'!$A$1:$A$20000,0),MATCH("CPC*",'Semrush Data'!$A$1:$Z$1,0)),"")</f>
        <v/>
      </c>
      <c r="J3725" s="42">
        <f>IFERROR(INDEX('Semrush Data'!$A$1:$Z$20000,MATCH(A3725,'Semrush Data'!$A$1:$A$20000,0),MATCH("Intent",'Semrush Data'!$A$1:$Z$1,0)),"")</f>
        <v/>
      </c>
    </row>
    <row r="3726" ht="15" customHeight="1" s="37">
      <c r="A3726" s="42" t="inlineStr">
        <is>
          <t>vilvah milk face kit price</t>
        </is>
      </c>
      <c r="B3726" s="42" t="inlineStr">
        <is>
          <t>Price</t>
        </is>
      </c>
      <c r="C3726" s="42" t="n">
        <v>3</v>
      </c>
      <c r="D3726" s="42" t="n">
        <v>38</v>
      </c>
      <c r="E3726" s="42" t="n">
        <v>1</v>
      </c>
      <c r="F3726" s="42" t="inlineStr">
        <is>
          <t>VD-049</t>
        </is>
      </c>
      <c r="G3726" s="55">
        <f>IFERROR(INDEX('Semrush Data'!$A$1:$Z$20000,MATCH(A3726,'Semrush Data'!$A$1:$A$20000,0),MATCH("Volume",'Semrush Data'!$A$1:$Z$1,0)),"")</f>
        <v/>
      </c>
      <c r="H3726" s="42">
        <f>IFERROR(INDEX('Semrush Data'!$A$1:$Z$20000,MATCH(A3726,'Semrush Data'!$A$1:$A$20000,0),MATCH("Keyword Difficulty*",'Semrush Data'!$A$1:$Z$1,0)),"")</f>
        <v/>
      </c>
      <c r="I3726" s="56">
        <f>IFERROR(INDEX('Semrush Data'!$A$1:$Z$20000,MATCH(A3726,'Semrush Data'!$A$1:$A$20000,0),MATCH("CPC*",'Semrush Data'!$A$1:$Z$1,0)),"")</f>
        <v/>
      </c>
      <c r="J3726" s="42">
        <f>IFERROR(INDEX('Semrush Data'!$A$1:$Z$20000,MATCH(A3726,'Semrush Data'!$A$1:$A$20000,0),MATCH("Intent",'Semrush Data'!$A$1:$Z$1,0)),"")</f>
        <v/>
      </c>
    </row>
    <row r="3727" ht="15" customHeight="1" s="37">
      <c r="A3727" s="42" t="inlineStr">
        <is>
          <t>vilvah milk face toner price</t>
        </is>
      </c>
      <c r="B3727" s="42" t="inlineStr">
        <is>
          <t>Price</t>
        </is>
      </c>
      <c r="C3727" s="42" t="n">
        <v>3</v>
      </c>
      <c r="D3727" s="42" t="n">
        <v>38</v>
      </c>
      <c r="E3727" s="42" t="n">
        <v>1</v>
      </c>
      <c r="F3727" s="42" t="inlineStr">
        <is>
          <t>VD-017</t>
        </is>
      </c>
      <c r="G3727" s="55">
        <f>IFERROR(INDEX('Semrush Data'!$A$1:$Z$20000,MATCH(A3727,'Semrush Data'!$A$1:$A$20000,0),MATCH("Volume",'Semrush Data'!$A$1:$Z$1,0)),"")</f>
        <v/>
      </c>
      <c r="H3727" s="42">
        <f>IFERROR(INDEX('Semrush Data'!$A$1:$Z$20000,MATCH(A3727,'Semrush Data'!$A$1:$A$20000,0),MATCH("Keyword Difficulty*",'Semrush Data'!$A$1:$Z$1,0)),"")</f>
        <v/>
      </c>
      <c r="I3727" s="56">
        <f>IFERROR(INDEX('Semrush Data'!$A$1:$Z$20000,MATCH(A3727,'Semrush Data'!$A$1:$A$20000,0),MATCH("CPC*",'Semrush Data'!$A$1:$Z$1,0)),"")</f>
        <v/>
      </c>
      <c r="J3727" s="42">
        <f>IFERROR(INDEX('Semrush Data'!$A$1:$Z$20000,MATCH(A3727,'Semrush Data'!$A$1:$A$20000,0),MATCH("Intent",'Semrush Data'!$A$1:$Z$1,0)),"")</f>
        <v/>
      </c>
    </row>
    <row r="3728" ht="15" customHeight="1" s="37">
      <c r="A3728" s="42" t="inlineStr">
        <is>
          <t>vilvah milk lip balm spf 30 pa+++ price</t>
        </is>
      </c>
      <c r="B3728" s="42" t="inlineStr">
        <is>
          <t>Price</t>
        </is>
      </c>
      <c r="C3728" s="42" t="n">
        <v>3</v>
      </c>
      <c r="D3728" s="42" t="n">
        <v>38</v>
      </c>
      <c r="E3728" s="42" t="n">
        <v>1</v>
      </c>
      <c r="F3728" s="42" t="inlineStr">
        <is>
          <t>VD-040</t>
        </is>
      </c>
      <c r="G3728" s="55">
        <f>IFERROR(INDEX('Semrush Data'!$A$1:$Z$20000,MATCH(A3728,'Semrush Data'!$A$1:$A$20000,0),MATCH("Volume",'Semrush Data'!$A$1:$Z$1,0)),"")</f>
        <v/>
      </c>
      <c r="H3728" s="42">
        <f>IFERROR(INDEX('Semrush Data'!$A$1:$Z$20000,MATCH(A3728,'Semrush Data'!$A$1:$A$20000,0),MATCH("Keyword Difficulty*",'Semrush Data'!$A$1:$Z$1,0)),"")</f>
        <v/>
      </c>
      <c r="I3728" s="56">
        <f>IFERROR(INDEX('Semrush Data'!$A$1:$Z$20000,MATCH(A3728,'Semrush Data'!$A$1:$A$20000,0),MATCH("CPC*",'Semrush Data'!$A$1:$Z$1,0)),"")</f>
        <v/>
      </c>
      <c r="J3728" s="42">
        <f>IFERROR(INDEX('Semrush Data'!$A$1:$Z$20000,MATCH(A3728,'Semrush Data'!$A$1:$A$20000,0),MATCH("Intent",'Semrush Data'!$A$1:$Z$1,0)),"")</f>
        <v/>
      </c>
    </row>
    <row r="3729" ht="15" customHeight="1" s="37">
      <c r="A3729" s="42" t="inlineStr">
        <is>
          <t>vilvah milk mud mask price</t>
        </is>
      </c>
      <c r="B3729" s="42" t="inlineStr">
        <is>
          <t>Price</t>
        </is>
      </c>
      <c r="C3729" s="42" t="n">
        <v>3</v>
      </c>
      <c r="D3729" s="42" t="n">
        <v>38</v>
      </c>
      <c r="E3729" s="42" t="n">
        <v>1</v>
      </c>
      <c r="F3729" s="42" t="inlineStr">
        <is>
          <t>VD-018</t>
        </is>
      </c>
      <c r="G3729" s="55">
        <f>IFERROR(INDEX('Semrush Data'!$A$1:$Z$20000,MATCH(A3729,'Semrush Data'!$A$1:$A$20000,0),MATCH("Volume",'Semrush Data'!$A$1:$Z$1,0)),"")</f>
        <v/>
      </c>
      <c r="H3729" s="42">
        <f>IFERROR(INDEX('Semrush Data'!$A$1:$Z$20000,MATCH(A3729,'Semrush Data'!$A$1:$A$20000,0),MATCH("Keyword Difficulty*",'Semrush Data'!$A$1:$Z$1,0)),"")</f>
        <v/>
      </c>
      <c r="I3729" s="56">
        <f>IFERROR(INDEX('Semrush Data'!$A$1:$Z$20000,MATCH(A3729,'Semrush Data'!$A$1:$A$20000,0),MATCH("CPC*",'Semrush Data'!$A$1:$Z$1,0)),"")</f>
        <v/>
      </c>
      <c r="J3729" s="42">
        <f>IFERROR(INDEX('Semrush Data'!$A$1:$Z$20000,MATCH(A3729,'Semrush Data'!$A$1:$A$20000,0),MATCH("Intent",'Semrush Data'!$A$1:$Z$1,0)),"")</f>
        <v/>
      </c>
    </row>
    <row r="3730" ht="15" customHeight="1" s="37">
      <c r="A3730" s="42" t="inlineStr">
        <is>
          <t>vilvah milk powder face wash price</t>
        </is>
      </c>
      <c r="B3730" s="42" t="inlineStr">
        <is>
          <t>Price</t>
        </is>
      </c>
      <c r="C3730" s="42" t="n">
        <v>3</v>
      </c>
      <c r="D3730" s="42" t="n">
        <v>38</v>
      </c>
      <c r="E3730" s="42" t="n">
        <v>1</v>
      </c>
      <c r="F3730" s="42" t="inlineStr">
        <is>
          <t>VD-006</t>
        </is>
      </c>
      <c r="G3730" s="55">
        <f>IFERROR(INDEX('Semrush Data'!$A$1:$Z$20000,MATCH(A3730,'Semrush Data'!$A$1:$A$20000,0),MATCH("Volume",'Semrush Data'!$A$1:$Z$1,0)),"")</f>
        <v/>
      </c>
      <c r="H3730" s="42">
        <f>IFERROR(INDEX('Semrush Data'!$A$1:$Z$20000,MATCH(A3730,'Semrush Data'!$A$1:$A$20000,0),MATCH("Keyword Difficulty*",'Semrush Data'!$A$1:$Z$1,0)),"")</f>
        <v/>
      </c>
      <c r="I3730" s="56">
        <f>IFERROR(INDEX('Semrush Data'!$A$1:$Z$20000,MATCH(A3730,'Semrush Data'!$A$1:$A$20000,0),MATCH("CPC*",'Semrush Data'!$A$1:$Z$1,0)),"")</f>
        <v/>
      </c>
      <c r="J3730" s="42">
        <f>IFERROR(INDEX('Semrush Data'!$A$1:$Z$20000,MATCH(A3730,'Semrush Data'!$A$1:$A$20000,0),MATCH("Intent",'Semrush Data'!$A$1:$Z$1,0)),"")</f>
        <v/>
      </c>
    </row>
    <row r="3731" ht="15" customHeight="1" s="37">
      <c r="A3731" s="42" t="inlineStr">
        <is>
          <t>vilvah neem wood comb (with handle) price</t>
        </is>
      </c>
      <c r="B3731" s="42" t="inlineStr">
        <is>
          <t>Price</t>
        </is>
      </c>
      <c r="C3731" s="42" t="n">
        <v>3</v>
      </c>
      <c r="D3731" s="42" t="n">
        <v>38</v>
      </c>
      <c r="E3731" s="42" t="n">
        <v>1</v>
      </c>
      <c r="F3731" s="42" t="inlineStr">
        <is>
          <t>VD-041</t>
        </is>
      </c>
      <c r="G3731" s="55">
        <f>IFERROR(INDEX('Semrush Data'!$A$1:$Z$20000,MATCH(A3731,'Semrush Data'!$A$1:$A$20000,0),MATCH("Volume",'Semrush Data'!$A$1:$Z$1,0)),"")</f>
        <v/>
      </c>
      <c r="H3731" s="42">
        <f>IFERROR(INDEX('Semrush Data'!$A$1:$Z$20000,MATCH(A3731,'Semrush Data'!$A$1:$A$20000,0),MATCH("Keyword Difficulty*",'Semrush Data'!$A$1:$Z$1,0)),"")</f>
        <v/>
      </c>
      <c r="I3731" s="56">
        <f>IFERROR(INDEX('Semrush Data'!$A$1:$Z$20000,MATCH(A3731,'Semrush Data'!$A$1:$A$20000,0),MATCH("CPC*",'Semrush Data'!$A$1:$Z$1,0)),"")</f>
        <v/>
      </c>
      <c r="J3731" s="42">
        <f>IFERROR(INDEX('Semrush Data'!$A$1:$Z$20000,MATCH(A3731,'Semrush Data'!$A$1:$A$20000,0),MATCH("Intent",'Semrush Data'!$A$1:$Z$1,0)),"")</f>
        <v/>
      </c>
    </row>
    <row r="3732" ht="15" customHeight="1" s="37">
      <c r="A3732" s="42" t="inlineStr">
        <is>
          <t>vilvah neem wood comb(fine and wide tooth) price</t>
        </is>
      </c>
      <c r="B3732" s="42" t="inlineStr">
        <is>
          <t>Price</t>
        </is>
      </c>
      <c r="C3732" s="42" t="n">
        <v>3</v>
      </c>
      <c r="D3732" s="42" t="n">
        <v>38</v>
      </c>
      <c r="E3732" s="42" t="n">
        <v>1</v>
      </c>
      <c r="F3732" s="42" t="inlineStr">
        <is>
          <t>VD-042</t>
        </is>
      </c>
      <c r="G3732" s="55">
        <f>IFERROR(INDEX('Semrush Data'!$A$1:$Z$20000,MATCH(A3732,'Semrush Data'!$A$1:$A$20000,0),MATCH("Volume",'Semrush Data'!$A$1:$Z$1,0)),"")</f>
        <v/>
      </c>
      <c r="H3732" s="42">
        <f>IFERROR(INDEX('Semrush Data'!$A$1:$Z$20000,MATCH(A3732,'Semrush Data'!$A$1:$A$20000,0),MATCH("Keyword Difficulty*",'Semrush Data'!$A$1:$Z$1,0)),"")</f>
        <v/>
      </c>
      <c r="I3732" s="56">
        <f>IFERROR(INDEX('Semrush Data'!$A$1:$Z$20000,MATCH(A3732,'Semrush Data'!$A$1:$A$20000,0),MATCH("CPC*",'Semrush Data'!$A$1:$Z$1,0)),"")</f>
        <v/>
      </c>
      <c r="J3732" s="42">
        <f>IFERROR(INDEX('Semrush Data'!$A$1:$Z$20000,MATCH(A3732,'Semrush Data'!$A$1:$A$20000,0),MATCH("Intent",'Semrush Data'!$A$1:$Z$1,0)),"")</f>
        <v/>
      </c>
    </row>
    <row r="3733" ht="15" customHeight="1" s="37">
      <c r="A3733" s="42" t="inlineStr">
        <is>
          <t>vilvah night repair kit price</t>
        </is>
      </c>
      <c r="B3733" s="42" t="inlineStr">
        <is>
          <t>Price</t>
        </is>
      </c>
      <c r="C3733" s="42" t="n">
        <v>3</v>
      </c>
      <c r="D3733" s="42" t="n">
        <v>38</v>
      </c>
      <c r="E3733" s="42" t="n">
        <v>1</v>
      </c>
      <c r="F3733" s="42" t="inlineStr">
        <is>
          <t>VD-056</t>
        </is>
      </c>
      <c r="G3733" s="55">
        <f>IFERROR(INDEX('Semrush Data'!$A$1:$Z$20000,MATCH(A3733,'Semrush Data'!$A$1:$A$20000,0),MATCH("Volume",'Semrush Data'!$A$1:$Z$1,0)),"")</f>
        <v/>
      </c>
      <c r="H3733" s="42">
        <f>IFERROR(INDEX('Semrush Data'!$A$1:$Z$20000,MATCH(A3733,'Semrush Data'!$A$1:$A$20000,0),MATCH("Keyword Difficulty*",'Semrush Data'!$A$1:$Z$1,0)),"")</f>
        <v/>
      </c>
      <c r="I3733" s="56">
        <f>IFERROR(INDEX('Semrush Data'!$A$1:$Z$20000,MATCH(A3733,'Semrush Data'!$A$1:$A$20000,0),MATCH("CPC*",'Semrush Data'!$A$1:$Z$1,0)),"")</f>
        <v/>
      </c>
      <c r="J3733" s="42">
        <f>IFERROR(INDEX('Semrush Data'!$A$1:$Z$20000,MATCH(A3733,'Semrush Data'!$A$1:$A$20000,0),MATCH("Intent",'Semrush Data'!$A$1:$Z$1,0)),"")</f>
        <v/>
      </c>
    </row>
    <row r="3734" ht="15" customHeight="1" s="37">
      <c r="A3734" s="42" t="inlineStr">
        <is>
          <t>vilvah oil control kit price</t>
        </is>
      </c>
      <c r="B3734" s="42" t="inlineStr">
        <is>
          <t>Price</t>
        </is>
      </c>
      <c r="C3734" s="42" t="n">
        <v>3</v>
      </c>
      <c r="D3734" s="42" t="n">
        <v>38</v>
      </c>
      <c r="E3734" s="42" t="n">
        <v>1</v>
      </c>
      <c r="F3734" s="42" t="inlineStr">
        <is>
          <t>VD-050</t>
        </is>
      </c>
      <c r="G3734" s="55">
        <f>IFERROR(INDEX('Semrush Data'!$A$1:$Z$20000,MATCH(A3734,'Semrush Data'!$A$1:$A$20000,0),MATCH("Volume",'Semrush Data'!$A$1:$Z$1,0)),"")</f>
        <v/>
      </c>
      <c r="H3734" s="42">
        <f>IFERROR(INDEX('Semrush Data'!$A$1:$Z$20000,MATCH(A3734,'Semrush Data'!$A$1:$A$20000,0),MATCH("Keyword Difficulty*",'Semrush Data'!$A$1:$Z$1,0)),"")</f>
        <v/>
      </c>
      <c r="I3734" s="56">
        <f>IFERROR(INDEX('Semrush Data'!$A$1:$Z$20000,MATCH(A3734,'Semrush Data'!$A$1:$A$20000,0),MATCH("CPC*",'Semrush Data'!$A$1:$Z$1,0)),"")</f>
        <v/>
      </c>
      <c r="J3734" s="42">
        <f>IFERROR(INDEX('Semrush Data'!$A$1:$Z$20000,MATCH(A3734,'Semrush Data'!$A$1:$A$20000,0),MATCH("Intent",'Semrush Data'!$A$1:$Z$1,0)),"")</f>
        <v/>
      </c>
    </row>
    <row r="3735" ht="15" customHeight="1" s="37">
      <c r="A3735" s="42" t="inlineStr">
        <is>
          <t>vilvah pore minimising kit price</t>
        </is>
      </c>
      <c r="B3735" s="42" t="inlineStr">
        <is>
          <t>Price</t>
        </is>
      </c>
      <c r="C3735" s="42" t="n">
        <v>3</v>
      </c>
      <c r="D3735" s="42" t="n">
        <v>38</v>
      </c>
      <c r="E3735" s="42" t="n">
        <v>1</v>
      </c>
      <c r="F3735" s="42" t="inlineStr">
        <is>
          <t>VD-062</t>
        </is>
      </c>
      <c r="G3735" s="55">
        <f>IFERROR(INDEX('Semrush Data'!$A$1:$Z$20000,MATCH(A3735,'Semrush Data'!$A$1:$A$20000,0),MATCH("Volume",'Semrush Data'!$A$1:$Z$1,0)),"")</f>
        <v/>
      </c>
      <c r="H3735" s="42">
        <f>IFERROR(INDEX('Semrush Data'!$A$1:$Z$20000,MATCH(A3735,'Semrush Data'!$A$1:$A$20000,0),MATCH("Keyword Difficulty*",'Semrush Data'!$A$1:$Z$1,0)),"")</f>
        <v/>
      </c>
      <c r="I3735" s="56">
        <f>IFERROR(INDEX('Semrush Data'!$A$1:$Z$20000,MATCH(A3735,'Semrush Data'!$A$1:$A$20000,0),MATCH("CPC*",'Semrush Data'!$A$1:$Z$1,0)),"")</f>
        <v/>
      </c>
      <c r="J3735" s="42">
        <f>IFERROR(INDEX('Semrush Data'!$A$1:$Z$20000,MATCH(A3735,'Semrush Data'!$A$1:$A$20000,0),MATCH("Intent",'Semrush Data'!$A$1:$Z$1,0)),"")</f>
        <v/>
      </c>
    </row>
    <row r="3736" ht="15" customHeight="1" s="37">
      <c r="A3736" s="42" t="inlineStr">
        <is>
          <t>vilvah rose milk lip balm price</t>
        </is>
      </c>
      <c r="B3736" s="42" t="inlineStr">
        <is>
          <t>Price</t>
        </is>
      </c>
      <c r="C3736" s="42" t="n">
        <v>3</v>
      </c>
      <c r="D3736" s="42" t="n">
        <v>38</v>
      </c>
      <c r="E3736" s="42" t="n">
        <v>1</v>
      </c>
      <c r="F3736" s="42" t="inlineStr">
        <is>
          <t>VD-010</t>
        </is>
      </c>
      <c r="G3736" s="55">
        <f>IFERROR(INDEX('Semrush Data'!$A$1:$Z$20000,MATCH(A3736,'Semrush Data'!$A$1:$A$20000,0),MATCH("Volume",'Semrush Data'!$A$1:$Z$1,0)),"")</f>
        <v/>
      </c>
      <c r="H3736" s="42">
        <f>IFERROR(INDEX('Semrush Data'!$A$1:$Z$20000,MATCH(A3736,'Semrush Data'!$A$1:$A$20000,0),MATCH("Keyword Difficulty*",'Semrush Data'!$A$1:$Z$1,0)),"")</f>
        <v/>
      </c>
      <c r="I3736" s="56">
        <f>IFERROR(INDEX('Semrush Data'!$A$1:$Z$20000,MATCH(A3736,'Semrush Data'!$A$1:$A$20000,0),MATCH("CPC*",'Semrush Data'!$A$1:$Z$1,0)),"")</f>
        <v/>
      </c>
      <c r="J3736" s="42">
        <f>IFERROR(INDEX('Semrush Data'!$A$1:$Z$20000,MATCH(A3736,'Semrush Data'!$A$1:$A$20000,0),MATCH("Intent",'Semrush Data'!$A$1:$Z$1,0)),"")</f>
        <v/>
      </c>
    </row>
    <row r="3737" ht="15" customHeight="1" s="37">
      <c r="A3737" s="42" t="inlineStr">
        <is>
          <t>vilvah rosewater facial toner price</t>
        </is>
      </c>
      <c r="B3737" s="42" t="inlineStr">
        <is>
          <t>Price</t>
        </is>
      </c>
      <c r="C3737" s="42" t="n">
        <v>3</v>
      </c>
      <c r="D3737" s="42" t="n">
        <v>38</v>
      </c>
      <c r="E3737" s="42" t="n">
        <v>1</v>
      </c>
      <c r="F3737" s="42" t="inlineStr">
        <is>
          <t>VD-001</t>
        </is>
      </c>
      <c r="G3737" s="55">
        <f>IFERROR(INDEX('Semrush Data'!$A$1:$Z$20000,MATCH(A3737,'Semrush Data'!$A$1:$A$20000,0),MATCH("Volume",'Semrush Data'!$A$1:$Z$1,0)),"")</f>
        <v/>
      </c>
      <c r="H3737" s="42">
        <f>IFERROR(INDEX('Semrush Data'!$A$1:$Z$20000,MATCH(A3737,'Semrush Data'!$A$1:$A$20000,0),MATCH("Keyword Difficulty*",'Semrush Data'!$A$1:$Z$1,0)),"")</f>
        <v/>
      </c>
      <c r="I3737" s="56">
        <f>IFERROR(INDEX('Semrush Data'!$A$1:$Z$20000,MATCH(A3737,'Semrush Data'!$A$1:$A$20000,0),MATCH("CPC*",'Semrush Data'!$A$1:$Z$1,0)),"")</f>
        <v/>
      </c>
      <c r="J3737" s="42">
        <f>IFERROR(INDEX('Semrush Data'!$A$1:$Z$20000,MATCH(A3737,'Semrush Data'!$A$1:$A$20000,0),MATCH("Intent",'Semrush Data'!$A$1:$Z$1,0)),"")</f>
        <v/>
      </c>
    </row>
    <row r="3738" ht="15" customHeight="1" s="37">
      <c r="A3738" s="42" t="inlineStr">
        <is>
          <t>vilvah sensitive skin kit price</t>
        </is>
      </c>
      <c r="B3738" s="42" t="inlineStr">
        <is>
          <t>Price</t>
        </is>
      </c>
      <c r="C3738" s="42" t="n">
        <v>3</v>
      </c>
      <c r="D3738" s="42" t="n">
        <v>38</v>
      </c>
      <c r="E3738" s="42" t="n">
        <v>1</v>
      </c>
      <c r="F3738" s="42" t="inlineStr">
        <is>
          <t>VD-051</t>
        </is>
      </c>
      <c r="G3738" s="55">
        <f>IFERROR(INDEX('Semrush Data'!$A$1:$Z$20000,MATCH(A3738,'Semrush Data'!$A$1:$A$20000,0),MATCH("Volume",'Semrush Data'!$A$1:$Z$1,0)),"")</f>
        <v/>
      </c>
      <c r="H3738" s="42">
        <f>IFERROR(INDEX('Semrush Data'!$A$1:$Z$20000,MATCH(A3738,'Semrush Data'!$A$1:$A$20000,0),MATCH("Keyword Difficulty*",'Semrush Data'!$A$1:$Z$1,0)),"")</f>
        <v/>
      </c>
      <c r="I3738" s="56">
        <f>IFERROR(INDEX('Semrush Data'!$A$1:$Z$20000,MATCH(A3738,'Semrush Data'!$A$1:$A$20000,0),MATCH("CPC*",'Semrush Data'!$A$1:$Z$1,0)),"")</f>
        <v/>
      </c>
      <c r="J3738" s="42">
        <f>IFERROR(INDEX('Semrush Data'!$A$1:$Z$20000,MATCH(A3738,'Semrush Data'!$A$1:$A$20000,0),MATCH("Intent",'Semrush Data'!$A$1:$Z$1,0)),"")</f>
        <v/>
      </c>
    </row>
    <row r="3739" ht="15" customHeight="1" s="37">
      <c r="A3739" s="42" t="inlineStr">
        <is>
          <t>vilvah shampoo and hair serum kit price</t>
        </is>
      </c>
      <c r="B3739" s="42" t="inlineStr">
        <is>
          <t>Price</t>
        </is>
      </c>
      <c r="C3739" s="42" t="n">
        <v>3</v>
      </c>
      <c r="D3739" s="42" t="n">
        <v>38</v>
      </c>
      <c r="E3739" s="42" t="n">
        <v>1</v>
      </c>
      <c r="F3739" s="42" t="inlineStr">
        <is>
          <t>VD-071</t>
        </is>
      </c>
      <c r="G3739" s="55">
        <f>IFERROR(INDEX('Semrush Data'!$A$1:$Z$20000,MATCH(A3739,'Semrush Data'!$A$1:$A$20000,0),MATCH("Volume",'Semrush Data'!$A$1:$Z$1,0)),"")</f>
        <v/>
      </c>
      <c r="H3739" s="42">
        <f>IFERROR(INDEX('Semrush Data'!$A$1:$Z$20000,MATCH(A3739,'Semrush Data'!$A$1:$A$20000,0),MATCH("Keyword Difficulty*",'Semrush Data'!$A$1:$Z$1,0)),"")</f>
        <v/>
      </c>
      <c r="I3739" s="56">
        <f>IFERROR(INDEX('Semrush Data'!$A$1:$Z$20000,MATCH(A3739,'Semrush Data'!$A$1:$A$20000,0),MATCH("CPC*",'Semrush Data'!$A$1:$Z$1,0)),"")</f>
        <v/>
      </c>
      <c r="J3739" s="42">
        <f>IFERROR(INDEX('Semrush Data'!$A$1:$Z$20000,MATCH(A3739,'Semrush Data'!$A$1:$A$20000,0),MATCH("Intent",'Semrush Data'!$A$1:$Z$1,0)),"")</f>
        <v/>
      </c>
    </row>
    <row r="3740" ht="15" customHeight="1" s="37">
      <c r="A3740" s="42" t="inlineStr">
        <is>
          <t>vilvah skin brightening kit price</t>
        </is>
      </c>
      <c r="B3740" s="42" t="inlineStr">
        <is>
          <t>Price</t>
        </is>
      </c>
      <c r="C3740" s="42" t="n">
        <v>3</v>
      </c>
      <c r="D3740" s="42" t="n">
        <v>38</v>
      </c>
      <c r="E3740" s="42" t="n">
        <v>1</v>
      </c>
      <c r="F3740" s="42" t="inlineStr">
        <is>
          <t>VD-055</t>
        </is>
      </c>
      <c r="G3740" s="55">
        <f>IFERROR(INDEX('Semrush Data'!$A$1:$Z$20000,MATCH(A3740,'Semrush Data'!$A$1:$A$20000,0),MATCH("Volume",'Semrush Data'!$A$1:$Z$1,0)),"")</f>
        <v/>
      </c>
      <c r="H3740" s="42">
        <f>IFERROR(INDEX('Semrush Data'!$A$1:$Z$20000,MATCH(A3740,'Semrush Data'!$A$1:$A$20000,0),MATCH("Keyword Difficulty*",'Semrush Data'!$A$1:$Z$1,0)),"")</f>
        <v/>
      </c>
      <c r="I3740" s="56">
        <f>IFERROR(INDEX('Semrush Data'!$A$1:$Z$20000,MATCH(A3740,'Semrush Data'!$A$1:$A$20000,0),MATCH("CPC*",'Semrush Data'!$A$1:$Z$1,0)),"")</f>
        <v/>
      </c>
      <c r="J3740" s="42">
        <f>IFERROR(INDEX('Semrush Data'!$A$1:$Z$20000,MATCH(A3740,'Semrush Data'!$A$1:$A$20000,0),MATCH("Intent",'Semrush Data'!$A$1:$Z$1,0)),"")</f>
        <v/>
      </c>
    </row>
    <row r="3741" ht="15" customHeight="1" s="37">
      <c r="A3741" s="42" t="inlineStr">
        <is>
          <t>vilvah skin finish sunscreen spf 50 price</t>
        </is>
      </c>
      <c r="B3741" s="42" t="inlineStr">
        <is>
          <t>Price</t>
        </is>
      </c>
      <c r="C3741" s="42" t="n">
        <v>3</v>
      </c>
      <c r="D3741" s="42" t="n">
        <v>38</v>
      </c>
      <c r="E3741" s="42" t="n">
        <v>1</v>
      </c>
      <c r="F3741" s="42" t="inlineStr">
        <is>
          <t>VD-005</t>
        </is>
      </c>
      <c r="G3741" s="55">
        <f>IFERROR(INDEX('Semrush Data'!$A$1:$Z$20000,MATCH(A3741,'Semrush Data'!$A$1:$A$20000,0),MATCH("Volume",'Semrush Data'!$A$1:$Z$1,0)),"")</f>
        <v/>
      </c>
      <c r="H3741" s="42">
        <f>IFERROR(INDEX('Semrush Data'!$A$1:$Z$20000,MATCH(A3741,'Semrush Data'!$A$1:$A$20000,0),MATCH("Keyword Difficulty*",'Semrush Data'!$A$1:$Z$1,0)),"")</f>
        <v/>
      </c>
      <c r="I3741" s="56">
        <f>IFERROR(INDEX('Semrush Data'!$A$1:$Z$20000,MATCH(A3741,'Semrush Data'!$A$1:$A$20000,0),MATCH("CPC*",'Semrush Data'!$A$1:$Z$1,0)),"")</f>
        <v/>
      </c>
      <c r="J3741" s="42">
        <f>IFERROR(INDEX('Semrush Data'!$A$1:$Z$20000,MATCH(A3741,'Semrush Data'!$A$1:$A$20000,0),MATCH("Intent",'Semrush Data'!$A$1:$Z$1,0)),"")</f>
        <v/>
      </c>
    </row>
    <row r="3742" ht="15" customHeight="1" s="37">
      <c r="A3742" s="42" t="inlineStr">
        <is>
          <t>vilvah skin hydration kit price</t>
        </is>
      </c>
      <c r="B3742" s="42" t="inlineStr">
        <is>
          <t>Price</t>
        </is>
      </c>
      <c r="C3742" s="42" t="n">
        <v>3</v>
      </c>
      <c r="D3742" s="42" t="n">
        <v>38</v>
      </c>
      <c r="E3742" s="42" t="n">
        <v>1</v>
      </c>
      <c r="F3742" s="42" t="inlineStr">
        <is>
          <t>VD-074</t>
        </is>
      </c>
      <c r="G3742" s="55">
        <f>IFERROR(INDEX('Semrush Data'!$A$1:$Z$20000,MATCH(A3742,'Semrush Data'!$A$1:$A$20000,0),MATCH("Volume",'Semrush Data'!$A$1:$Z$1,0)),"")</f>
        <v/>
      </c>
      <c r="H3742" s="42">
        <f>IFERROR(INDEX('Semrush Data'!$A$1:$Z$20000,MATCH(A3742,'Semrush Data'!$A$1:$A$20000,0),MATCH("Keyword Difficulty*",'Semrush Data'!$A$1:$Z$1,0)),"")</f>
        <v/>
      </c>
      <c r="I3742" s="56">
        <f>IFERROR(INDEX('Semrush Data'!$A$1:$Z$20000,MATCH(A3742,'Semrush Data'!$A$1:$A$20000,0),MATCH("CPC*",'Semrush Data'!$A$1:$Z$1,0)),"")</f>
        <v/>
      </c>
      <c r="J3742" s="42">
        <f>IFERROR(INDEX('Semrush Data'!$A$1:$Z$20000,MATCH(A3742,'Semrush Data'!$A$1:$A$20000,0),MATCH("Intent",'Semrush Data'!$A$1:$Z$1,0)),"")</f>
        <v/>
      </c>
    </row>
    <row r="3743" ht="15" customHeight="1" s="37">
      <c r="A3743" s="42" t="inlineStr">
        <is>
          <t>vilvah skin radiance kit price</t>
        </is>
      </c>
      <c r="B3743" s="42" t="inlineStr">
        <is>
          <t>Price</t>
        </is>
      </c>
      <c r="C3743" s="42" t="n">
        <v>3</v>
      </c>
      <c r="D3743" s="42" t="n">
        <v>38</v>
      </c>
      <c r="E3743" s="42" t="n">
        <v>1</v>
      </c>
      <c r="F3743" s="42" t="inlineStr">
        <is>
          <t>VD-061</t>
        </is>
      </c>
      <c r="G3743" s="55">
        <f>IFERROR(INDEX('Semrush Data'!$A$1:$Z$20000,MATCH(A3743,'Semrush Data'!$A$1:$A$20000,0),MATCH("Volume",'Semrush Data'!$A$1:$Z$1,0)),"")</f>
        <v/>
      </c>
      <c r="H3743" s="42">
        <f>IFERROR(INDEX('Semrush Data'!$A$1:$Z$20000,MATCH(A3743,'Semrush Data'!$A$1:$A$20000,0),MATCH("Keyword Difficulty*",'Semrush Data'!$A$1:$Z$1,0)),"")</f>
        <v/>
      </c>
      <c r="I3743" s="56">
        <f>IFERROR(INDEX('Semrush Data'!$A$1:$Z$20000,MATCH(A3743,'Semrush Data'!$A$1:$A$20000,0),MATCH("CPC*",'Semrush Data'!$A$1:$Z$1,0)),"")</f>
        <v/>
      </c>
      <c r="J3743" s="42">
        <f>IFERROR(INDEX('Semrush Data'!$A$1:$Z$20000,MATCH(A3743,'Semrush Data'!$A$1:$A$20000,0),MATCH("Intent",'Semrush Data'!$A$1:$Z$1,0)),"")</f>
        <v/>
      </c>
    </row>
    <row r="3744" ht="15" customHeight="1" s="37">
      <c r="A3744" s="42" t="inlineStr">
        <is>
          <t>vilvah store frizz free hair combo price</t>
        </is>
      </c>
      <c r="B3744" s="42" t="inlineStr">
        <is>
          <t>Price</t>
        </is>
      </c>
      <c r="C3744" s="42" t="n">
        <v>3</v>
      </c>
      <c r="D3744" s="42" t="n">
        <v>38</v>
      </c>
      <c r="E3744" s="42" t="n">
        <v>1</v>
      </c>
      <c r="F3744" s="42" t="inlineStr">
        <is>
          <t>VD-069</t>
        </is>
      </c>
      <c r="G3744" s="55">
        <f>IFERROR(INDEX('Semrush Data'!$A$1:$Z$20000,MATCH(A3744,'Semrush Data'!$A$1:$A$20000,0),MATCH("Volume",'Semrush Data'!$A$1:$Z$1,0)),"")</f>
        <v/>
      </c>
      <c r="H3744" s="42">
        <f>IFERROR(INDEX('Semrush Data'!$A$1:$Z$20000,MATCH(A3744,'Semrush Data'!$A$1:$A$20000,0),MATCH("Keyword Difficulty*",'Semrush Data'!$A$1:$Z$1,0)),"")</f>
        <v/>
      </c>
      <c r="I3744" s="56">
        <f>IFERROR(INDEX('Semrush Data'!$A$1:$Z$20000,MATCH(A3744,'Semrush Data'!$A$1:$A$20000,0),MATCH("CPC*",'Semrush Data'!$A$1:$Z$1,0)),"")</f>
        <v/>
      </c>
      <c r="J3744" s="42">
        <f>IFERROR(INDEX('Semrush Data'!$A$1:$Z$20000,MATCH(A3744,'Semrush Data'!$A$1:$A$20000,0),MATCH("Intent",'Semrush Data'!$A$1:$Z$1,0)),"")</f>
        <v/>
      </c>
    </row>
    <row r="3745" ht="15" customHeight="1" s="37">
      <c r="A3745" s="42" t="inlineStr">
        <is>
          <t>vilvah sun protection kit price</t>
        </is>
      </c>
      <c r="B3745" s="42" t="inlineStr">
        <is>
          <t>Price</t>
        </is>
      </c>
      <c r="C3745" s="42" t="n">
        <v>3</v>
      </c>
      <c r="D3745" s="42" t="n">
        <v>38</v>
      </c>
      <c r="E3745" s="42" t="n">
        <v>1</v>
      </c>
      <c r="F3745" s="42" t="inlineStr">
        <is>
          <t>VD-054</t>
        </is>
      </c>
      <c r="G3745" s="55">
        <f>IFERROR(INDEX('Semrush Data'!$A$1:$Z$20000,MATCH(A3745,'Semrush Data'!$A$1:$A$20000,0),MATCH("Volume",'Semrush Data'!$A$1:$Z$1,0)),"")</f>
        <v/>
      </c>
      <c r="H3745" s="42">
        <f>IFERROR(INDEX('Semrush Data'!$A$1:$Z$20000,MATCH(A3745,'Semrush Data'!$A$1:$A$20000,0),MATCH("Keyword Difficulty*",'Semrush Data'!$A$1:$Z$1,0)),"")</f>
        <v/>
      </c>
      <c r="I3745" s="56">
        <f>IFERROR(INDEX('Semrush Data'!$A$1:$Z$20000,MATCH(A3745,'Semrush Data'!$A$1:$A$20000,0),MATCH("CPC*",'Semrush Data'!$A$1:$Z$1,0)),"")</f>
        <v/>
      </c>
      <c r="J3745" s="42">
        <f>IFERROR(INDEX('Semrush Data'!$A$1:$Z$20000,MATCH(A3745,'Semrush Data'!$A$1:$A$20000,0),MATCH("Intent",'Semrush Data'!$A$1:$Z$1,0)),"")</f>
        <v/>
      </c>
    </row>
    <row r="3746" ht="15" customHeight="1" s="37">
      <c r="A3746" s="42" t="inlineStr">
        <is>
          <t>vilvah tan protection kit price</t>
        </is>
      </c>
      <c r="B3746" s="42" t="inlineStr">
        <is>
          <t>Price</t>
        </is>
      </c>
      <c r="C3746" s="42" t="n">
        <v>3</v>
      </c>
      <c r="D3746" s="42" t="n">
        <v>38</v>
      </c>
      <c r="E3746" s="42" t="n">
        <v>1</v>
      </c>
      <c r="F3746" s="42" t="inlineStr">
        <is>
          <t>VD-060</t>
        </is>
      </c>
      <c r="G3746" s="55">
        <f>IFERROR(INDEX('Semrush Data'!$A$1:$Z$20000,MATCH(A3746,'Semrush Data'!$A$1:$A$20000,0),MATCH("Volume",'Semrush Data'!$A$1:$Z$1,0)),"")</f>
        <v/>
      </c>
      <c r="H3746" s="42">
        <f>IFERROR(INDEX('Semrush Data'!$A$1:$Z$20000,MATCH(A3746,'Semrush Data'!$A$1:$A$20000,0),MATCH("Keyword Difficulty*",'Semrush Data'!$A$1:$Z$1,0)),"")</f>
        <v/>
      </c>
      <c r="I3746" s="56">
        <f>IFERROR(INDEX('Semrush Data'!$A$1:$Z$20000,MATCH(A3746,'Semrush Data'!$A$1:$A$20000,0),MATCH("CPC*",'Semrush Data'!$A$1:$Z$1,0)),"")</f>
        <v/>
      </c>
      <c r="J3746" s="42">
        <f>IFERROR(INDEX('Semrush Data'!$A$1:$Z$20000,MATCH(A3746,'Semrush Data'!$A$1:$A$20000,0),MATCH("Intent",'Semrush Data'!$A$1:$Z$1,0)),"")</f>
        <v/>
      </c>
    </row>
    <row r="3747" ht="15" customHeight="1" s="37">
      <c r="A3747" s="42" t="inlineStr">
        <is>
          <t>vilvah tinted lip balm kit price</t>
        </is>
      </c>
      <c r="B3747" s="42" t="inlineStr">
        <is>
          <t>Price</t>
        </is>
      </c>
      <c r="C3747" s="42" t="n">
        <v>3</v>
      </c>
      <c r="D3747" s="42" t="n">
        <v>38</v>
      </c>
      <c r="E3747" s="42" t="n">
        <v>1</v>
      </c>
      <c r="F3747" s="42" t="inlineStr">
        <is>
          <t>VD-068</t>
        </is>
      </c>
      <c r="G3747" s="55">
        <f>IFERROR(INDEX('Semrush Data'!$A$1:$Z$20000,MATCH(A3747,'Semrush Data'!$A$1:$A$20000,0),MATCH("Volume",'Semrush Data'!$A$1:$Z$1,0)),"")</f>
        <v/>
      </c>
      <c r="H3747" s="42">
        <f>IFERROR(INDEX('Semrush Data'!$A$1:$Z$20000,MATCH(A3747,'Semrush Data'!$A$1:$A$20000,0),MATCH("Keyword Difficulty*",'Semrush Data'!$A$1:$Z$1,0)),"")</f>
        <v/>
      </c>
      <c r="I3747" s="56">
        <f>IFERROR(INDEX('Semrush Data'!$A$1:$Z$20000,MATCH(A3747,'Semrush Data'!$A$1:$A$20000,0),MATCH("CPC*",'Semrush Data'!$A$1:$Z$1,0)),"")</f>
        <v/>
      </c>
      <c r="J3747" s="42">
        <f>IFERROR(INDEX('Semrush Data'!$A$1:$Z$20000,MATCH(A3747,'Semrush Data'!$A$1:$A$20000,0),MATCH("Intent",'Semrush Data'!$A$1:$Z$1,0)),"")</f>
        <v/>
      </c>
    </row>
    <row r="3748" ht="15" customHeight="1" s="37">
      <c r="A3748" s="42" t="inlineStr">
        <is>
          <t>vilvah ultra moisturising cream price</t>
        </is>
      </c>
      <c r="B3748" s="42" t="inlineStr">
        <is>
          <t>Price</t>
        </is>
      </c>
      <c r="C3748" s="42" t="n">
        <v>3</v>
      </c>
      <c r="D3748" s="42" t="n">
        <v>38</v>
      </c>
      <c r="E3748" s="42" t="n">
        <v>1</v>
      </c>
      <c r="F3748" s="42" t="inlineStr">
        <is>
          <t>VD-007</t>
        </is>
      </c>
      <c r="G3748" s="55">
        <f>IFERROR(INDEX('Semrush Data'!$A$1:$Z$20000,MATCH(A3748,'Semrush Data'!$A$1:$A$20000,0),MATCH("Volume",'Semrush Data'!$A$1:$Z$1,0)),"")</f>
        <v/>
      </c>
      <c r="H3748" s="42">
        <f>IFERROR(INDEX('Semrush Data'!$A$1:$Z$20000,MATCH(A3748,'Semrush Data'!$A$1:$A$20000,0),MATCH("Keyword Difficulty*",'Semrush Data'!$A$1:$Z$1,0)),"")</f>
        <v/>
      </c>
      <c r="I3748" s="56">
        <f>IFERROR(INDEX('Semrush Data'!$A$1:$Z$20000,MATCH(A3748,'Semrush Data'!$A$1:$A$20000,0),MATCH("CPC*",'Semrush Data'!$A$1:$Z$1,0)),"")</f>
        <v/>
      </c>
      <c r="J3748" s="42">
        <f>IFERROR(INDEX('Semrush Data'!$A$1:$Z$20000,MATCH(A3748,'Semrush Data'!$A$1:$A$20000,0),MATCH("Intent",'Semrush Data'!$A$1:$Z$1,0)),"")</f>
        <v/>
      </c>
    </row>
    <row r="3749" ht="15" customHeight="1" s="37">
      <c r="A3749" s="42" t="inlineStr">
        <is>
          <t>vilvah under eye cream (dark circles control) price</t>
        </is>
      </c>
      <c r="B3749" s="42" t="inlineStr">
        <is>
          <t>Price</t>
        </is>
      </c>
      <c r="C3749" s="42" t="n">
        <v>3</v>
      </c>
      <c r="D3749" s="42" t="n">
        <v>38</v>
      </c>
      <c r="E3749" s="42" t="n">
        <v>1</v>
      </c>
      <c r="F3749" s="42" t="inlineStr">
        <is>
          <t>VD-043</t>
        </is>
      </c>
      <c r="G3749" s="55">
        <f>IFERROR(INDEX('Semrush Data'!$A$1:$Z$20000,MATCH(A3749,'Semrush Data'!$A$1:$A$20000,0),MATCH("Volume",'Semrush Data'!$A$1:$Z$1,0)),"")</f>
        <v/>
      </c>
      <c r="H3749" s="42">
        <f>IFERROR(INDEX('Semrush Data'!$A$1:$Z$20000,MATCH(A3749,'Semrush Data'!$A$1:$A$20000,0),MATCH("Keyword Difficulty*",'Semrush Data'!$A$1:$Z$1,0)),"")</f>
        <v/>
      </c>
      <c r="I3749" s="56">
        <f>IFERROR(INDEX('Semrush Data'!$A$1:$Z$20000,MATCH(A3749,'Semrush Data'!$A$1:$A$20000,0),MATCH("CPC*",'Semrush Data'!$A$1:$Z$1,0)),"")</f>
        <v/>
      </c>
      <c r="J3749" s="42">
        <f>IFERROR(INDEX('Semrush Data'!$A$1:$Z$20000,MATCH(A3749,'Semrush Data'!$A$1:$A$20000,0),MATCH("Intent",'Semrush Data'!$A$1:$Z$1,0)),"")</f>
        <v/>
      </c>
    </row>
    <row r="3750" ht="15" customHeight="1" s="37">
      <c r="A3750" s="42" t="inlineStr">
        <is>
          <t>vilvah wild rose facemask price</t>
        </is>
      </c>
      <c r="B3750" s="42" t="inlineStr">
        <is>
          <t>Price</t>
        </is>
      </c>
      <c r="C3750" s="42" t="n">
        <v>3</v>
      </c>
      <c r="D3750" s="42" t="n">
        <v>38</v>
      </c>
      <c r="E3750" s="42" t="n">
        <v>1</v>
      </c>
      <c r="F3750" s="42" t="inlineStr">
        <is>
          <t>VD-019</t>
        </is>
      </c>
      <c r="G3750" s="55">
        <f>IFERROR(INDEX('Semrush Data'!$A$1:$Z$20000,MATCH(A3750,'Semrush Data'!$A$1:$A$20000,0),MATCH("Volume",'Semrush Data'!$A$1:$Z$1,0)),"")</f>
        <v/>
      </c>
      <c r="H3750" s="42">
        <f>IFERROR(INDEX('Semrush Data'!$A$1:$Z$20000,MATCH(A3750,'Semrush Data'!$A$1:$A$20000,0),MATCH("Keyword Difficulty*",'Semrush Data'!$A$1:$Z$1,0)),"")</f>
        <v/>
      </c>
      <c r="I3750" s="56">
        <f>IFERROR(INDEX('Semrush Data'!$A$1:$Z$20000,MATCH(A3750,'Semrush Data'!$A$1:$A$20000,0),MATCH("CPC*",'Semrush Data'!$A$1:$Z$1,0)),"")</f>
        <v/>
      </c>
      <c r="J3750" s="42">
        <f>IFERROR(INDEX('Semrush Data'!$A$1:$Z$20000,MATCH(A3750,'Semrush Data'!$A$1:$A$20000,0),MATCH("Intent",'Semrush Data'!$A$1:$Z$1,0)),"")</f>
        <v/>
      </c>
    </row>
    <row r="3751" ht="15" customHeight="1" s="37">
      <c r="A3751" s="42" t="inlineStr">
        <is>
          <t>vilvah x annapoorna gift box price</t>
        </is>
      </c>
      <c r="B3751" s="42" t="inlineStr">
        <is>
          <t>Price</t>
        </is>
      </c>
      <c r="C3751" s="42" t="n">
        <v>3</v>
      </c>
      <c r="D3751" s="42" t="n">
        <v>38</v>
      </c>
      <c r="E3751" s="42" t="n">
        <v>1</v>
      </c>
      <c r="F3751" s="42" t="inlineStr">
        <is>
          <t>VD-067</t>
        </is>
      </c>
      <c r="G3751" s="55">
        <f>IFERROR(INDEX('Semrush Data'!$A$1:$Z$20000,MATCH(A3751,'Semrush Data'!$A$1:$A$20000,0),MATCH("Volume",'Semrush Data'!$A$1:$Z$1,0)),"")</f>
        <v/>
      </c>
      <c r="H3751" s="42">
        <f>IFERROR(INDEX('Semrush Data'!$A$1:$Z$20000,MATCH(A3751,'Semrush Data'!$A$1:$A$20000,0),MATCH("Keyword Difficulty*",'Semrush Data'!$A$1:$Z$1,0)),"")</f>
        <v/>
      </c>
      <c r="I3751" s="56">
        <f>IFERROR(INDEX('Semrush Data'!$A$1:$Z$20000,MATCH(A3751,'Semrush Data'!$A$1:$A$20000,0),MATCH("CPC*",'Semrush Data'!$A$1:$Z$1,0)),"")</f>
        <v/>
      </c>
      <c r="J3751" s="42">
        <f>IFERROR(INDEX('Semrush Data'!$A$1:$Z$20000,MATCH(A3751,'Semrush Data'!$A$1:$A$20000,0),MATCH("Intent",'Semrush Data'!$A$1:$Z$1,0)),"")</f>
        <v/>
      </c>
    </row>
    <row r="3752" ht="15" customHeight="1" s="37">
      <c r="A3752" s="42" t="inlineStr">
        <is>
          <t>ysl yves saint laurent yvresse w price</t>
        </is>
      </c>
      <c r="B3752" s="42" t="inlineStr">
        <is>
          <t>Price</t>
        </is>
      </c>
      <c r="C3752" s="42" t="n">
        <v>3</v>
      </c>
      <c r="D3752" s="42" t="n">
        <v>38</v>
      </c>
      <c r="E3752" s="42" t="n">
        <v>1</v>
      </c>
      <c r="F3752" s="42" t="inlineStr">
        <is>
          <t>FR-387</t>
        </is>
      </c>
      <c r="G3752" s="55">
        <f>IFERROR(INDEX('Semrush Data'!$A$1:$Z$20000,MATCH(A3752,'Semrush Data'!$A$1:$A$20000,0),MATCH("Volume",'Semrush Data'!$A$1:$Z$1,0)),"")</f>
        <v/>
      </c>
      <c r="H3752" s="42">
        <f>IFERROR(INDEX('Semrush Data'!$A$1:$Z$20000,MATCH(A3752,'Semrush Data'!$A$1:$A$20000,0),MATCH("Keyword Difficulty*",'Semrush Data'!$A$1:$Z$1,0)),"")</f>
        <v/>
      </c>
      <c r="I3752" s="56">
        <f>IFERROR(INDEX('Semrush Data'!$A$1:$Z$20000,MATCH(A3752,'Semrush Data'!$A$1:$A$20000,0),MATCH("CPC*",'Semrush Data'!$A$1:$Z$1,0)),"")</f>
        <v/>
      </c>
      <c r="J3752" s="42">
        <f>IFERROR(INDEX('Semrush Data'!$A$1:$Z$20000,MATCH(A3752,'Semrush Data'!$A$1:$A$20000,0),MATCH("Intent",'Semrush Data'!$A$1:$Z$1,0)),"")</f>
        <v/>
      </c>
    </row>
    <row r="3753" ht="15" customHeight="1" s="37">
      <c r="A3753" s="42" t="inlineStr">
        <is>
          <t>natural body wash</t>
        </is>
      </c>
      <c r="B3753" s="42" t="inlineStr">
        <is>
          <t>VD target keyword</t>
        </is>
      </c>
      <c r="C3753" s="42" t="n">
        <v>2</v>
      </c>
      <c r="D3753" s="42" t="inlineStr">
        <is>
          <t>T2-2</t>
        </is>
      </c>
      <c r="E3753" s="42" t="n">
        <v>1</v>
      </c>
      <c r="F3753" s="42" t="inlineStr">
        <is>
          <t>VD-003</t>
        </is>
      </c>
      <c r="G3753" s="55">
        <f>IFERROR(INDEX('Semrush Data'!$A$1:$Z$20000,MATCH(A3753,'Semrush Data'!$A$1:$A$20000,0),MATCH("Volume",'Semrush Data'!$A$1:$Z$1,0)),"")</f>
        <v/>
      </c>
      <c r="H3753" s="42">
        <f>IFERROR(INDEX('Semrush Data'!$A$1:$Z$20000,MATCH(A3753,'Semrush Data'!$A$1:$A$20000,0),MATCH("Keyword Difficulty*",'Semrush Data'!$A$1:$Z$1,0)),"")</f>
        <v/>
      </c>
      <c r="I3753" s="56">
        <f>IFERROR(INDEX('Semrush Data'!$A$1:$Z$20000,MATCH(A3753,'Semrush Data'!$A$1:$A$20000,0),MATCH("CPC*",'Semrush Data'!$A$1:$Z$1,0)),"")</f>
        <v/>
      </c>
      <c r="J3753" s="42">
        <f>IFERROR(INDEX('Semrush Data'!$A$1:$Z$20000,MATCH(A3753,'Semrush Data'!$A$1:$A$20000,0),MATCH("Intent",'Semrush Data'!$A$1:$Z$1,0)),"")</f>
        <v/>
      </c>
    </row>
    <row r="3754" ht="15" customHeight="1" s="37">
      <c r="A3754" s="42" t="inlineStr">
        <is>
          <t>natural deodorant</t>
        </is>
      </c>
      <c r="B3754" s="42" t="inlineStr">
        <is>
          <t>VD target keyword</t>
        </is>
      </c>
      <c r="C3754" s="42" t="n">
        <v>2</v>
      </c>
      <c r="D3754" s="42" t="inlineStr">
        <is>
          <t>T2-2</t>
        </is>
      </c>
      <c r="E3754" s="42" t="n">
        <v>1</v>
      </c>
      <c r="F3754" s="42" t="inlineStr">
        <is>
          <t>VD-004</t>
        </is>
      </c>
      <c r="G3754" s="55">
        <f>IFERROR(INDEX('Semrush Data'!$A$1:$Z$20000,MATCH(A3754,'Semrush Data'!$A$1:$A$20000,0),MATCH("Volume",'Semrush Data'!$A$1:$Z$1,0)),"")</f>
        <v/>
      </c>
      <c r="H3754" s="42">
        <f>IFERROR(INDEX('Semrush Data'!$A$1:$Z$20000,MATCH(A3754,'Semrush Data'!$A$1:$A$20000,0),MATCH("Keyword Difficulty*",'Semrush Data'!$A$1:$Z$1,0)),"")</f>
        <v/>
      </c>
      <c r="I3754" s="56">
        <f>IFERROR(INDEX('Semrush Data'!$A$1:$Z$20000,MATCH(A3754,'Semrush Data'!$A$1:$A$20000,0),MATCH("CPC*",'Semrush Data'!$A$1:$Z$1,0)),"")</f>
        <v/>
      </c>
      <c r="J3754" s="42">
        <f>IFERROR(INDEX('Semrush Data'!$A$1:$Z$20000,MATCH(A3754,'Semrush Data'!$A$1:$A$20000,0),MATCH("Intent",'Semrush Data'!$A$1:$Z$1,0)),"")</f>
        <v/>
      </c>
    </row>
    <row r="3755" ht="15" customHeight="1" s="37">
      <c r="A3755" s="42" t="inlineStr">
        <is>
          <t>natural sunscreen</t>
        </is>
      </c>
      <c r="B3755" s="42" t="inlineStr">
        <is>
          <t>VD target keyword</t>
        </is>
      </c>
      <c r="C3755" s="42" t="n">
        <v>2</v>
      </c>
      <c r="D3755" s="42" t="inlineStr">
        <is>
          <t>T2-2</t>
        </is>
      </c>
      <c r="E3755" s="42" t="n">
        <v>1</v>
      </c>
      <c r="F3755" s="42" t="inlineStr">
        <is>
          <t>VD-005</t>
        </is>
      </c>
      <c r="G3755" s="55">
        <f>IFERROR(INDEX('Semrush Data'!$A$1:$Z$20000,MATCH(A3755,'Semrush Data'!$A$1:$A$20000,0),MATCH("Volume",'Semrush Data'!$A$1:$Z$1,0)),"")</f>
        <v/>
      </c>
      <c r="H3755" s="42">
        <f>IFERROR(INDEX('Semrush Data'!$A$1:$Z$20000,MATCH(A3755,'Semrush Data'!$A$1:$A$20000,0),MATCH("Keyword Difficulty*",'Semrush Data'!$A$1:$Z$1,0)),"")</f>
        <v/>
      </c>
      <c r="I3755" s="56">
        <f>IFERROR(INDEX('Semrush Data'!$A$1:$Z$20000,MATCH(A3755,'Semrush Data'!$A$1:$A$20000,0),MATCH("CPC*",'Semrush Data'!$A$1:$Z$1,0)),"")</f>
        <v/>
      </c>
      <c r="J3755" s="42">
        <f>IFERROR(INDEX('Semrush Data'!$A$1:$Z$20000,MATCH(A3755,'Semrush Data'!$A$1:$A$20000,0),MATCH("Intent",'Semrush Data'!$A$1:$Z$1,0)),"")</f>
        <v/>
      </c>
    </row>
    <row r="3756" ht="15" customHeight="1" s="37">
      <c r="A3756" s="42" t="inlineStr">
        <is>
          <t>natural shampoo</t>
        </is>
      </c>
      <c r="B3756" s="42" t="inlineStr">
        <is>
          <t>VD target keyword</t>
        </is>
      </c>
      <c r="C3756" s="42" t="n">
        <v>2</v>
      </c>
      <c r="D3756" s="42" t="inlineStr">
        <is>
          <t>T2-2</t>
        </is>
      </c>
      <c r="E3756" s="42" t="n">
        <v>1</v>
      </c>
      <c r="F3756" s="42" t="inlineStr">
        <is>
          <t>VD-013</t>
        </is>
      </c>
      <c r="G3756" s="55">
        <f>IFERROR(INDEX('Semrush Data'!$A$1:$Z$20000,MATCH(A3756,'Semrush Data'!$A$1:$A$20000,0),MATCH("Volume",'Semrush Data'!$A$1:$Z$1,0)),"")</f>
        <v/>
      </c>
      <c r="H3756" s="42">
        <f>IFERROR(INDEX('Semrush Data'!$A$1:$Z$20000,MATCH(A3756,'Semrush Data'!$A$1:$A$20000,0),MATCH("Keyword Difficulty*",'Semrush Data'!$A$1:$Z$1,0)),"")</f>
        <v/>
      </c>
      <c r="I3756" s="56">
        <f>IFERROR(INDEX('Semrush Data'!$A$1:$Z$20000,MATCH(A3756,'Semrush Data'!$A$1:$A$20000,0),MATCH("CPC*",'Semrush Data'!$A$1:$Z$1,0)),"")</f>
        <v/>
      </c>
      <c r="J3756" s="42">
        <f>IFERROR(INDEX('Semrush Data'!$A$1:$Z$20000,MATCH(A3756,'Semrush Data'!$A$1:$A$20000,0),MATCH("Intent",'Semrush Data'!$A$1:$Z$1,0)),"")</f>
        <v/>
      </c>
    </row>
    <row r="3757" ht="15" customHeight="1" s="37">
      <c r="A3757" s="42" t="inlineStr">
        <is>
          <t>face mask</t>
        </is>
      </c>
      <c r="B3757" s="42" t="inlineStr">
        <is>
          <t>VD target keyword</t>
        </is>
      </c>
      <c r="C3757" s="42" t="n">
        <v>2</v>
      </c>
      <c r="D3757" s="42" t="inlineStr">
        <is>
          <t>T2-2</t>
        </is>
      </c>
      <c r="E3757" s="42" t="n">
        <v>1</v>
      </c>
      <c r="F3757" s="42" t="inlineStr">
        <is>
          <t>VD-018</t>
        </is>
      </c>
      <c r="G3757" s="55">
        <f>IFERROR(INDEX('Semrush Data'!$A$1:$Z$20000,MATCH(A3757,'Semrush Data'!$A$1:$A$20000,0),MATCH("Volume",'Semrush Data'!$A$1:$Z$1,0)),"")</f>
        <v/>
      </c>
      <c r="H3757" s="42">
        <f>IFERROR(INDEX('Semrush Data'!$A$1:$Z$20000,MATCH(A3757,'Semrush Data'!$A$1:$A$20000,0),MATCH("Keyword Difficulty*",'Semrush Data'!$A$1:$Z$1,0)),"")</f>
        <v/>
      </c>
      <c r="I3757" s="56">
        <f>IFERROR(INDEX('Semrush Data'!$A$1:$Z$20000,MATCH(A3757,'Semrush Data'!$A$1:$A$20000,0),MATCH("CPC*",'Semrush Data'!$A$1:$Z$1,0)),"")</f>
        <v/>
      </c>
      <c r="J3757" s="42">
        <f>IFERROR(INDEX('Semrush Data'!$A$1:$Z$20000,MATCH(A3757,'Semrush Data'!$A$1:$A$20000,0),MATCH("Intent",'Semrush Data'!$A$1:$Z$1,0)),"")</f>
        <v/>
      </c>
    </row>
    <row r="3758" ht="15" customHeight="1" s="37">
      <c r="A3758" s="42" t="inlineStr">
        <is>
          <t>moisturiser for oily skin</t>
        </is>
      </c>
      <c r="B3758" s="42" t="inlineStr">
        <is>
          <t>VD target keyword</t>
        </is>
      </c>
      <c r="C3758" s="42" t="n">
        <v>2</v>
      </c>
      <c r="D3758" s="42" t="inlineStr">
        <is>
          <t>T2-2</t>
        </is>
      </c>
      <c r="E3758" s="42" t="n">
        <v>1</v>
      </c>
      <c r="F3758" s="42" t="inlineStr">
        <is>
          <t>VD-020</t>
        </is>
      </c>
      <c r="G3758" s="55">
        <f>IFERROR(INDEX('Semrush Data'!$A$1:$Z$20000,MATCH(A3758,'Semrush Data'!$A$1:$A$20000,0),MATCH("Volume",'Semrush Data'!$A$1:$Z$1,0)),"")</f>
        <v/>
      </c>
      <c r="H3758" s="42">
        <f>IFERROR(INDEX('Semrush Data'!$A$1:$Z$20000,MATCH(A3758,'Semrush Data'!$A$1:$A$20000,0),MATCH("Keyword Difficulty*",'Semrush Data'!$A$1:$Z$1,0)),"")</f>
        <v/>
      </c>
      <c r="I3758" s="56">
        <f>IFERROR(INDEX('Semrush Data'!$A$1:$Z$20000,MATCH(A3758,'Semrush Data'!$A$1:$A$20000,0),MATCH("CPC*",'Semrush Data'!$A$1:$Z$1,0)),"")</f>
        <v/>
      </c>
      <c r="J3758" s="42">
        <f>IFERROR(INDEX('Semrush Data'!$A$1:$Z$20000,MATCH(A3758,'Semrush Data'!$A$1:$A$20000,0),MATCH("Intent",'Semrush Data'!$A$1:$Z$1,0)),"")</f>
        <v/>
      </c>
    </row>
    <row r="3759" ht="15" customHeight="1" s="37">
      <c r="A3759" s="42" t="inlineStr">
        <is>
          <t>face serum</t>
        </is>
      </c>
      <c r="B3759" s="42" t="inlineStr">
        <is>
          <t>VD target keyword</t>
        </is>
      </c>
      <c r="C3759" s="42" t="n">
        <v>2</v>
      </c>
      <c r="D3759" s="42" t="inlineStr">
        <is>
          <t>T2-2</t>
        </is>
      </c>
      <c r="E3759" s="42" t="n">
        <v>1</v>
      </c>
      <c r="F3759" s="42" t="inlineStr">
        <is>
          <t>VD-023</t>
        </is>
      </c>
      <c r="G3759" s="55">
        <f>IFERROR(INDEX('Semrush Data'!$A$1:$Z$20000,MATCH(A3759,'Semrush Data'!$A$1:$A$20000,0),MATCH("Volume",'Semrush Data'!$A$1:$Z$1,0)),"")</f>
        <v/>
      </c>
      <c r="H3759" s="42">
        <f>IFERROR(INDEX('Semrush Data'!$A$1:$Z$20000,MATCH(A3759,'Semrush Data'!$A$1:$A$20000,0),MATCH("Keyword Difficulty*",'Semrush Data'!$A$1:$Z$1,0)),"")</f>
        <v/>
      </c>
      <c r="I3759" s="56">
        <f>IFERROR(INDEX('Semrush Data'!$A$1:$Z$20000,MATCH(A3759,'Semrush Data'!$A$1:$A$20000,0),MATCH("CPC*",'Semrush Data'!$A$1:$Z$1,0)),"")</f>
        <v/>
      </c>
      <c r="J3759" s="42">
        <f>IFERROR(INDEX('Semrush Data'!$A$1:$Z$20000,MATCH(A3759,'Semrush Data'!$A$1:$A$20000,0),MATCH("Intent",'Semrush Data'!$A$1:$Z$1,0)),"")</f>
        <v/>
      </c>
    </row>
    <row r="3760" ht="15" customHeight="1" s="37">
      <c r="A3760" s="42" t="inlineStr">
        <is>
          <t>body scrub</t>
        </is>
      </c>
      <c r="B3760" s="42" t="inlineStr">
        <is>
          <t>VD target keyword</t>
        </is>
      </c>
      <c r="C3760" s="42" t="n">
        <v>2</v>
      </c>
      <c r="D3760" s="42" t="inlineStr">
        <is>
          <t>T2-2</t>
        </is>
      </c>
      <c r="E3760" s="42" t="n">
        <v>1</v>
      </c>
      <c r="F3760" s="42" t="inlineStr">
        <is>
          <t>VD-026</t>
        </is>
      </c>
      <c r="G3760" s="55">
        <f>IFERROR(INDEX('Semrush Data'!$A$1:$Z$20000,MATCH(A3760,'Semrush Data'!$A$1:$A$20000,0),MATCH("Volume",'Semrush Data'!$A$1:$Z$1,0)),"")</f>
        <v/>
      </c>
      <c r="H3760" s="42">
        <f>IFERROR(INDEX('Semrush Data'!$A$1:$Z$20000,MATCH(A3760,'Semrush Data'!$A$1:$A$20000,0),MATCH("Keyword Difficulty*",'Semrush Data'!$A$1:$Z$1,0)),"")</f>
        <v/>
      </c>
      <c r="I3760" s="56">
        <f>IFERROR(INDEX('Semrush Data'!$A$1:$Z$20000,MATCH(A3760,'Semrush Data'!$A$1:$A$20000,0),MATCH("CPC*",'Semrush Data'!$A$1:$Z$1,0)),"")</f>
        <v/>
      </c>
      <c r="J3760" s="42">
        <f>IFERROR(INDEX('Semrush Data'!$A$1:$Z$20000,MATCH(A3760,'Semrush Data'!$A$1:$A$20000,0),MATCH("Intent",'Semrush Data'!$A$1:$Z$1,0)),"")</f>
        <v/>
      </c>
    </row>
    <row r="3761" ht="15" customHeight="1" s="37">
      <c r="A3761" s="42" t="inlineStr">
        <is>
          <t>natural skincare</t>
        </is>
      </c>
      <c r="B3761" s="42" t="inlineStr">
        <is>
          <t>VD target keyword</t>
        </is>
      </c>
      <c r="C3761" s="42" t="n">
        <v>2</v>
      </c>
      <c r="D3761" s="42" t="inlineStr">
        <is>
          <t>T2-2</t>
        </is>
      </c>
      <c r="E3761" s="42" t="n">
        <v>1</v>
      </c>
      <c r="F3761" s="42" t="inlineStr">
        <is>
          <t>VD-037</t>
        </is>
      </c>
      <c r="G3761" s="55">
        <f>IFERROR(INDEX('Semrush Data'!$A$1:$Z$20000,MATCH(A3761,'Semrush Data'!$A$1:$A$20000,0),MATCH("Volume",'Semrush Data'!$A$1:$Z$1,0)),"")</f>
        <v/>
      </c>
      <c r="H3761" s="42">
        <f>IFERROR(INDEX('Semrush Data'!$A$1:$Z$20000,MATCH(A3761,'Semrush Data'!$A$1:$A$20000,0),MATCH("Keyword Difficulty*",'Semrush Data'!$A$1:$Z$1,0)),"")</f>
        <v/>
      </c>
      <c r="I3761" s="56">
        <f>IFERROR(INDEX('Semrush Data'!$A$1:$Z$20000,MATCH(A3761,'Semrush Data'!$A$1:$A$20000,0),MATCH("CPC*",'Semrush Data'!$A$1:$Z$1,0)),"")</f>
        <v/>
      </c>
      <c r="J3761" s="42">
        <f>IFERROR(INDEX('Semrush Data'!$A$1:$Z$20000,MATCH(A3761,'Semrush Data'!$A$1:$A$20000,0),MATCH("Intent",'Semrush Data'!$A$1:$Z$1,0)),"")</f>
        <v/>
      </c>
    </row>
    <row r="3762" ht="15" customHeight="1" s="37">
      <c r="A3762" s="42" t="inlineStr">
        <is>
          <t>skincare for dry skin</t>
        </is>
      </c>
      <c r="B3762" s="42" t="inlineStr">
        <is>
          <t>VD target keyword</t>
        </is>
      </c>
      <c r="C3762" s="42" t="n">
        <v>2</v>
      </c>
      <c r="D3762" s="42" t="inlineStr">
        <is>
          <t>T2-2</t>
        </is>
      </c>
      <c r="E3762" s="42" t="n">
        <v>1</v>
      </c>
      <c r="F3762" s="42" t="inlineStr">
        <is>
          <t>VD-047</t>
        </is>
      </c>
      <c r="G3762" s="55">
        <f>IFERROR(INDEX('Semrush Data'!$A$1:$Z$20000,MATCH(A3762,'Semrush Data'!$A$1:$A$20000,0),MATCH("Volume",'Semrush Data'!$A$1:$Z$1,0)),"")</f>
        <v/>
      </c>
      <c r="H3762" s="42">
        <f>IFERROR(INDEX('Semrush Data'!$A$1:$Z$20000,MATCH(A3762,'Semrush Data'!$A$1:$A$20000,0),MATCH("Keyword Difficulty*",'Semrush Data'!$A$1:$Z$1,0)),"")</f>
        <v/>
      </c>
      <c r="I3762" s="56">
        <f>IFERROR(INDEX('Semrush Data'!$A$1:$Z$20000,MATCH(A3762,'Semrush Data'!$A$1:$A$20000,0),MATCH("CPC*",'Semrush Data'!$A$1:$Z$1,0)),"")</f>
        <v/>
      </c>
      <c r="J3762" s="42">
        <f>IFERROR(INDEX('Semrush Data'!$A$1:$Z$20000,MATCH(A3762,'Semrush Data'!$A$1:$A$20000,0),MATCH("Intent",'Semrush Data'!$A$1:$Z$1,0)),"")</f>
        <v/>
      </c>
    </row>
    <row r="3763" ht="15" customHeight="1" s="37">
      <c r="A3763" s="42" t="inlineStr">
        <is>
          <t>natural skincare gift set</t>
        </is>
      </c>
      <c r="B3763" s="42" t="inlineStr">
        <is>
          <t>VD target keyword</t>
        </is>
      </c>
      <c r="C3763" s="42" t="n">
        <v>2</v>
      </c>
      <c r="D3763" s="42" t="inlineStr">
        <is>
          <t>T2-2</t>
        </is>
      </c>
      <c r="E3763" s="42" t="n">
        <v>1</v>
      </c>
      <c r="F3763" s="42" t="inlineStr">
        <is>
          <t>VD-051</t>
        </is>
      </c>
      <c r="G3763" s="55">
        <f>IFERROR(INDEX('Semrush Data'!$A$1:$Z$20000,MATCH(A3763,'Semrush Data'!$A$1:$A$20000,0),MATCH("Volume",'Semrush Data'!$A$1:$Z$1,0)),"")</f>
        <v/>
      </c>
      <c r="H3763" s="42">
        <f>IFERROR(INDEX('Semrush Data'!$A$1:$Z$20000,MATCH(A3763,'Semrush Data'!$A$1:$A$20000,0),MATCH("Keyword Difficulty*",'Semrush Data'!$A$1:$Z$1,0)),"")</f>
        <v/>
      </c>
      <c r="I3763" s="56">
        <f>IFERROR(INDEX('Semrush Data'!$A$1:$Z$20000,MATCH(A3763,'Semrush Data'!$A$1:$A$20000,0),MATCH("CPC*",'Semrush Data'!$A$1:$Z$1,0)),"")</f>
        <v/>
      </c>
      <c r="J3763" s="42">
        <f>IFERROR(INDEX('Semrush Data'!$A$1:$Z$20000,MATCH(A3763,'Semrush Data'!$A$1:$A$20000,0),MATCH("Intent",'Semrush Data'!$A$1:$Z$1,0)),"")</f>
        <v/>
      </c>
    </row>
    <row r="3764" ht="15" customHeight="1" s="37">
      <c r="A3764" s="42" t="inlineStr">
        <is>
          <t>goat milk soap</t>
        </is>
      </c>
      <c r="B3764" s="42" t="inlineStr">
        <is>
          <t>Generic product term</t>
        </is>
      </c>
      <c r="C3764" s="42" t="n">
        <v>2</v>
      </c>
      <c r="D3764" s="42" t="inlineStr">
        <is>
          <t>T2-2</t>
        </is>
      </c>
      <c r="E3764" s="42" t="n">
        <v>0</v>
      </c>
      <c r="F3764" s="42" t="n"/>
      <c r="G3764" s="55">
        <f>IFERROR(INDEX('Semrush Data'!$A$1:$Z$20000,MATCH(A3764,'Semrush Data'!$A$1:$A$20000,0),MATCH("Volume",'Semrush Data'!$A$1:$Z$1,0)),"")</f>
        <v/>
      </c>
      <c r="H3764" s="42">
        <f>IFERROR(INDEX('Semrush Data'!$A$1:$Z$20000,MATCH(A3764,'Semrush Data'!$A$1:$A$20000,0),MATCH("Keyword Difficulty*",'Semrush Data'!$A$1:$Z$1,0)),"")</f>
        <v/>
      </c>
      <c r="I3764" s="56">
        <f>IFERROR(INDEX('Semrush Data'!$A$1:$Z$20000,MATCH(A3764,'Semrush Data'!$A$1:$A$20000,0),MATCH("CPC*",'Semrush Data'!$A$1:$Z$1,0)),"")</f>
        <v/>
      </c>
      <c r="J3764" s="42">
        <f>IFERROR(INDEX('Semrush Data'!$A$1:$Z$20000,MATCH(A3764,'Semrush Data'!$A$1:$A$20000,0),MATCH("Intent",'Semrush Data'!$A$1:$Z$1,0)),"")</f>
        <v/>
      </c>
    </row>
    <row r="3765" ht="15" customHeight="1" s="37">
      <c r="A3765" s="42" t="inlineStr">
        <is>
          <t>goat milk shampoo</t>
        </is>
      </c>
      <c r="B3765" s="42" t="inlineStr">
        <is>
          <t>Generic product term</t>
        </is>
      </c>
      <c r="C3765" s="42" t="n">
        <v>2</v>
      </c>
      <c r="D3765" s="42" t="inlineStr">
        <is>
          <t>T2-2</t>
        </is>
      </c>
      <c r="E3765" s="42" t="n">
        <v>0</v>
      </c>
      <c r="F3765" s="42" t="n"/>
      <c r="G3765" s="55">
        <f>IFERROR(INDEX('Semrush Data'!$A$1:$Z$20000,MATCH(A3765,'Semrush Data'!$A$1:$A$20000,0),MATCH("Volume",'Semrush Data'!$A$1:$Z$1,0)),"")</f>
        <v/>
      </c>
      <c r="H3765" s="42">
        <f>IFERROR(INDEX('Semrush Data'!$A$1:$Z$20000,MATCH(A3765,'Semrush Data'!$A$1:$A$20000,0),MATCH("Keyword Difficulty*",'Semrush Data'!$A$1:$Z$1,0)),"")</f>
        <v/>
      </c>
      <c r="I3765" s="56">
        <f>IFERROR(INDEX('Semrush Data'!$A$1:$Z$20000,MATCH(A3765,'Semrush Data'!$A$1:$A$20000,0),MATCH("CPC*",'Semrush Data'!$A$1:$Z$1,0)),"")</f>
        <v/>
      </c>
      <c r="J3765" s="42">
        <f>IFERROR(INDEX('Semrush Data'!$A$1:$Z$20000,MATCH(A3765,'Semrush Data'!$A$1:$A$20000,0),MATCH("Intent",'Semrush Data'!$A$1:$Z$1,0)),"")</f>
        <v/>
      </c>
    </row>
    <row r="3766" ht="15" customHeight="1" s="37">
      <c r="A3766" s="42" t="inlineStr">
        <is>
          <t>goat milk body lotion</t>
        </is>
      </c>
      <c r="B3766" s="42" t="inlineStr">
        <is>
          <t>Generic product term</t>
        </is>
      </c>
      <c r="C3766" s="42" t="n">
        <v>2</v>
      </c>
      <c r="D3766" s="42" t="inlineStr">
        <is>
          <t>T2-2</t>
        </is>
      </c>
      <c r="E3766" s="42" t="n">
        <v>0</v>
      </c>
      <c r="F3766" s="42" t="n"/>
      <c r="G3766" s="55">
        <f>IFERROR(INDEX('Semrush Data'!$A$1:$Z$20000,MATCH(A3766,'Semrush Data'!$A$1:$A$20000,0),MATCH("Volume",'Semrush Data'!$A$1:$Z$1,0)),"")</f>
        <v/>
      </c>
      <c r="H3766" s="42">
        <f>IFERROR(INDEX('Semrush Data'!$A$1:$Z$20000,MATCH(A3766,'Semrush Data'!$A$1:$A$20000,0),MATCH("Keyword Difficulty*",'Semrush Data'!$A$1:$Z$1,0)),"")</f>
        <v/>
      </c>
      <c r="I3766" s="56">
        <f>IFERROR(INDEX('Semrush Data'!$A$1:$Z$20000,MATCH(A3766,'Semrush Data'!$A$1:$A$20000,0),MATCH("CPC*",'Semrush Data'!$A$1:$Z$1,0)),"")</f>
        <v/>
      </c>
      <c r="J3766" s="42">
        <f>IFERROR(INDEX('Semrush Data'!$A$1:$Z$20000,MATCH(A3766,'Semrush Data'!$A$1:$A$20000,0),MATCH("Intent",'Semrush Data'!$A$1:$Z$1,0)),"")</f>
        <v/>
      </c>
    </row>
    <row r="3767" ht="15" customHeight="1" s="37">
      <c r="A3767" s="42" t="inlineStr">
        <is>
          <t>goat milk face wash</t>
        </is>
      </c>
      <c r="B3767" s="42" t="inlineStr">
        <is>
          <t>Generic product term</t>
        </is>
      </c>
      <c r="C3767" s="42" t="n">
        <v>2</v>
      </c>
      <c r="D3767" s="42" t="inlineStr">
        <is>
          <t>T2-2</t>
        </is>
      </c>
      <c r="E3767" s="42" t="n">
        <v>0</v>
      </c>
      <c r="F3767" s="42" t="n"/>
      <c r="G3767" s="55">
        <f>IFERROR(INDEX('Semrush Data'!$A$1:$Z$20000,MATCH(A3767,'Semrush Data'!$A$1:$A$20000,0),MATCH("Volume",'Semrush Data'!$A$1:$Z$1,0)),"")</f>
        <v/>
      </c>
      <c r="H3767" s="42">
        <f>IFERROR(INDEX('Semrush Data'!$A$1:$Z$20000,MATCH(A3767,'Semrush Data'!$A$1:$A$20000,0),MATCH("Keyword Difficulty*",'Semrush Data'!$A$1:$Z$1,0)),"")</f>
        <v/>
      </c>
      <c r="I3767" s="56">
        <f>IFERROR(INDEX('Semrush Data'!$A$1:$Z$20000,MATCH(A3767,'Semrush Data'!$A$1:$A$20000,0),MATCH("CPC*",'Semrush Data'!$A$1:$Z$1,0)),"")</f>
        <v/>
      </c>
      <c r="J3767" s="42">
        <f>IFERROR(INDEX('Semrush Data'!$A$1:$Z$20000,MATCH(A3767,'Semrush Data'!$A$1:$A$20000,0),MATCH("Intent",'Semrush Data'!$A$1:$Z$1,0)),"")</f>
        <v/>
      </c>
    </row>
    <row r="3768" ht="15" customHeight="1" s="37">
      <c r="A3768" s="42" t="inlineStr">
        <is>
          <t>rice water shampoo</t>
        </is>
      </c>
      <c r="B3768" s="42" t="inlineStr">
        <is>
          <t>Generic product term</t>
        </is>
      </c>
      <c r="C3768" s="42" t="n">
        <v>2</v>
      </c>
      <c r="D3768" s="42" t="inlineStr">
        <is>
          <t>T2-2</t>
        </is>
      </c>
      <c r="E3768" s="42" t="n">
        <v>0</v>
      </c>
      <c r="F3768" s="42" t="n"/>
      <c r="G3768" s="55">
        <f>IFERROR(INDEX('Semrush Data'!$A$1:$Z$20000,MATCH(A3768,'Semrush Data'!$A$1:$A$20000,0),MATCH("Volume",'Semrush Data'!$A$1:$Z$1,0)),"")</f>
        <v/>
      </c>
      <c r="H3768" s="42">
        <f>IFERROR(INDEX('Semrush Data'!$A$1:$Z$20000,MATCH(A3768,'Semrush Data'!$A$1:$A$20000,0),MATCH("Keyword Difficulty*",'Semrush Data'!$A$1:$Z$1,0)),"")</f>
        <v/>
      </c>
      <c r="I3768" s="56">
        <f>IFERROR(INDEX('Semrush Data'!$A$1:$Z$20000,MATCH(A3768,'Semrush Data'!$A$1:$A$20000,0),MATCH("CPC*",'Semrush Data'!$A$1:$Z$1,0)),"")</f>
        <v/>
      </c>
      <c r="J3768" s="42">
        <f>IFERROR(INDEX('Semrush Data'!$A$1:$Z$20000,MATCH(A3768,'Semrush Data'!$A$1:$A$20000,0),MATCH("Intent",'Semrush Data'!$A$1:$Z$1,0)),"")</f>
        <v/>
      </c>
    </row>
    <row r="3769" ht="15" customHeight="1" s="37">
      <c r="A3769" s="42" t="inlineStr">
        <is>
          <t>rice water hair mask</t>
        </is>
      </c>
      <c r="B3769" s="42" t="inlineStr">
        <is>
          <t>Generic product term</t>
        </is>
      </c>
      <c r="C3769" s="42" t="n">
        <v>2</v>
      </c>
      <c r="D3769" s="42" t="inlineStr">
        <is>
          <t>T2-2</t>
        </is>
      </c>
      <c r="E3769" s="42" t="n">
        <v>0</v>
      </c>
      <c r="F3769" s="42" t="n"/>
      <c r="G3769" s="55">
        <f>IFERROR(INDEX('Semrush Data'!$A$1:$Z$20000,MATCH(A3769,'Semrush Data'!$A$1:$A$20000,0),MATCH("Volume",'Semrush Data'!$A$1:$Z$1,0)),"")</f>
        <v/>
      </c>
      <c r="H3769" s="42">
        <f>IFERROR(INDEX('Semrush Data'!$A$1:$Z$20000,MATCH(A3769,'Semrush Data'!$A$1:$A$20000,0),MATCH("Keyword Difficulty*",'Semrush Data'!$A$1:$Z$1,0)),"")</f>
        <v/>
      </c>
      <c r="I3769" s="56">
        <f>IFERROR(INDEX('Semrush Data'!$A$1:$Z$20000,MATCH(A3769,'Semrush Data'!$A$1:$A$20000,0),MATCH("CPC*",'Semrush Data'!$A$1:$Z$1,0)),"")</f>
        <v/>
      </c>
      <c r="J3769" s="42">
        <f>IFERROR(INDEX('Semrush Data'!$A$1:$Z$20000,MATCH(A3769,'Semrush Data'!$A$1:$A$20000,0),MATCH("Intent",'Semrush Data'!$A$1:$Z$1,0)),"")</f>
        <v/>
      </c>
    </row>
    <row r="3770" ht="15" customHeight="1" s="37">
      <c r="A3770" s="42" t="inlineStr">
        <is>
          <t>beetroot lip balm</t>
        </is>
      </c>
      <c r="B3770" s="42" t="inlineStr">
        <is>
          <t>Generic product term</t>
        </is>
      </c>
      <c r="C3770" s="42" t="n">
        <v>2</v>
      </c>
      <c r="D3770" s="42" t="inlineStr">
        <is>
          <t>T2-2</t>
        </is>
      </c>
      <c r="E3770" s="42" t="n">
        <v>0</v>
      </c>
      <c r="F3770" s="42" t="n"/>
      <c r="G3770" s="55">
        <f>IFERROR(INDEX('Semrush Data'!$A$1:$Z$20000,MATCH(A3770,'Semrush Data'!$A$1:$A$20000,0),MATCH("Volume",'Semrush Data'!$A$1:$Z$1,0)),"")</f>
        <v/>
      </c>
      <c r="H3770" s="42">
        <f>IFERROR(INDEX('Semrush Data'!$A$1:$Z$20000,MATCH(A3770,'Semrush Data'!$A$1:$A$20000,0),MATCH("Keyword Difficulty*",'Semrush Data'!$A$1:$Z$1,0)),"")</f>
        <v/>
      </c>
      <c r="I3770" s="56">
        <f>IFERROR(INDEX('Semrush Data'!$A$1:$Z$20000,MATCH(A3770,'Semrush Data'!$A$1:$A$20000,0),MATCH("CPC*",'Semrush Data'!$A$1:$Z$1,0)),"")</f>
        <v/>
      </c>
      <c r="J3770" s="42">
        <f>IFERROR(INDEX('Semrush Data'!$A$1:$Z$20000,MATCH(A3770,'Semrush Data'!$A$1:$A$20000,0),MATCH("Intent",'Semrush Data'!$A$1:$Z$1,0)),"")</f>
        <v/>
      </c>
    </row>
    <row r="3771" ht="15" customHeight="1" s="37">
      <c r="A3771" s="42" t="inlineStr">
        <is>
          <t>tinted lip balm</t>
        </is>
      </c>
      <c r="B3771" s="42" t="inlineStr">
        <is>
          <t>Generic product term</t>
        </is>
      </c>
      <c r="C3771" s="42" t="n">
        <v>2</v>
      </c>
      <c r="D3771" s="42" t="inlineStr">
        <is>
          <t>T2-2</t>
        </is>
      </c>
      <c r="E3771" s="42" t="n">
        <v>0</v>
      </c>
      <c r="F3771" s="42" t="n"/>
      <c r="G3771" s="55">
        <f>IFERROR(INDEX('Semrush Data'!$A$1:$Z$20000,MATCH(A3771,'Semrush Data'!$A$1:$A$20000,0),MATCH("Volume",'Semrush Data'!$A$1:$Z$1,0)),"")</f>
        <v/>
      </c>
      <c r="H3771" s="42">
        <f>IFERROR(INDEX('Semrush Data'!$A$1:$Z$20000,MATCH(A3771,'Semrush Data'!$A$1:$A$20000,0),MATCH("Keyword Difficulty*",'Semrush Data'!$A$1:$Z$1,0)),"")</f>
        <v/>
      </c>
      <c r="I3771" s="56">
        <f>IFERROR(INDEX('Semrush Data'!$A$1:$Z$20000,MATCH(A3771,'Semrush Data'!$A$1:$A$20000,0),MATCH("CPC*",'Semrush Data'!$A$1:$Z$1,0)),"")</f>
        <v/>
      </c>
      <c r="J3771" s="42">
        <f>IFERROR(INDEX('Semrush Data'!$A$1:$Z$20000,MATCH(A3771,'Semrush Data'!$A$1:$A$20000,0),MATCH("Intent",'Semrush Data'!$A$1:$Z$1,0)),"")</f>
        <v/>
      </c>
    </row>
    <row r="3772" ht="15" customHeight="1" s="37">
      <c r="A3772" s="42" t="inlineStr">
        <is>
          <t>lip scrub</t>
        </is>
      </c>
      <c r="B3772" s="42" t="inlineStr">
        <is>
          <t>Generic product term</t>
        </is>
      </c>
      <c r="C3772" s="42" t="n">
        <v>2</v>
      </c>
      <c r="D3772" s="42" t="inlineStr">
        <is>
          <t>T2-2</t>
        </is>
      </c>
      <c r="E3772" s="42" t="n">
        <v>0</v>
      </c>
      <c r="F3772" s="42" t="n"/>
      <c r="G3772" s="55">
        <f>IFERROR(INDEX('Semrush Data'!$A$1:$Z$20000,MATCH(A3772,'Semrush Data'!$A$1:$A$20000,0),MATCH("Volume",'Semrush Data'!$A$1:$Z$1,0)),"")</f>
        <v/>
      </c>
      <c r="H3772" s="42">
        <f>IFERROR(INDEX('Semrush Data'!$A$1:$Z$20000,MATCH(A3772,'Semrush Data'!$A$1:$A$20000,0),MATCH("Keyword Difficulty*",'Semrush Data'!$A$1:$Z$1,0)),"")</f>
        <v/>
      </c>
      <c r="I3772" s="56">
        <f>IFERROR(INDEX('Semrush Data'!$A$1:$Z$20000,MATCH(A3772,'Semrush Data'!$A$1:$A$20000,0),MATCH("CPC*",'Semrush Data'!$A$1:$Z$1,0)),"")</f>
        <v/>
      </c>
      <c r="J3772" s="42">
        <f>IFERROR(INDEX('Semrush Data'!$A$1:$Z$20000,MATCH(A3772,'Semrush Data'!$A$1:$A$20000,0),MATCH("Intent",'Semrush Data'!$A$1:$Z$1,0)),"")</f>
        <v/>
      </c>
    </row>
    <row r="3773" ht="15" customHeight="1" s="37">
      <c r="A3773" s="42" t="inlineStr">
        <is>
          <t>natural lip balm</t>
        </is>
      </c>
      <c r="B3773" s="42" t="inlineStr">
        <is>
          <t>Generic product term</t>
        </is>
      </c>
      <c r="C3773" s="42" t="n">
        <v>2</v>
      </c>
      <c r="D3773" s="42" t="inlineStr">
        <is>
          <t>T2-2</t>
        </is>
      </c>
      <c r="E3773" s="42" t="n">
        <v>0</v>
      </c>
      <c r="F3773" s="42" t="n"/>
      <c r="G3773" s="55">
        <f>IFERROR(INDEX('Semrush Data'!$A$1:$Z$20000,MATCH(A3773,'Semrush Data'!$A$1:$A$20000,0),MATCH("Volume",'Semrush Data'!$A$1:$Z$1,0)),"")</f>
        <v/>
      </c>
      <c r="H3773" s="42">
        <f>IFERROR(INDEX('Semrush Data'!$A$1:$Z$20000,MATCH(A3773,'Semrush Data'!$A$1:$A$20000,0),MATCH("Keyword Difficulty*",'Semrush Data'!$A$1:$Z$1,0)),"")</f>
        <v/>
      </c>
      <c r="I3773" s="56">
        <f>IFERROR(INDEX('Semrush Data'!$A$1:$Z$20000,MATCH(A3773,'Semrush Data'!$A$1:$A$20000,0),MATCH("CPC*",'Semrush Data'!$A$1:$Z$1,0)),"")</f>
        <v/>
      </c>
      <c r="J3773" s="42">
        <f>IFERROR(INDEX('Semrush Data'!$A$1:$Z$20000,MATCH(A3773,'Semrush Data'!$A$1:$A$20000,0),MATCH("Intent",'Semrush Data'!$A$1:$Z$1,0)),"")</f>
        <v/>
      </c>
    </row>
    <row r="3774" ht="15" customHeight="1" s="37">
      <c r="A3774" s="42" t="inlineStr">
        <is>
          <t>spf lip balm</t>
        </is>
      </c>
      <c r="B3774" s="42" t="inlineStr">
        <is>
          <t>Generic product term</t>
        </is>
      </c>
      <c r="C3774" s="42" t="n">
        <v>2</v>
      </c>
      <c r="D3774" s="42" t="inlineStr">
        <is>
          <t>T2-2</t>
        </is>
      </c>
      <c r="E3774" s="42" t="n">
        <v>0</v>
      </c>
      <c r="F3774" s="42" t="n"/>
      <c r="G3774" s="55">
        <f>IFERROR(INDEX('Semrush Data'!$A$1:$Z$20000,MATCH(A3774,'Semrush Data'!$A$1:$A$20000,0),MATCH("Volume",'Semrush Data'!$A$1:$Z$1,0)),"")</f>
        <v/>
      </c>
      <c r="H3774" s="42">
        <f>IFERROR(INDEX('Semrush Data'!$A$1:$Z$20000,MATCH(A3774,'Semrush Data'!$A$1:$A$20000,0),MATCH("Keyword Difficulty*",'Semrush Data'!$A$1:$Z$1,0)),"")</f>
        <v/>
      </c>
      <c r="I3774" s="56">
        <f>IFERROR(INDEX('Semrush Data'!$A$1:$Z$20000,MATCH(A3774,'Semrush Data'!$A$1:$A$20000,0),MATCH("CPC*",'Semrush Data'!$A$1:$Z$1,0)),"")</f>
        <v/>
      </c>
      <c r="J3774" s="42">
        <f>IFERROR(INDEX('Semrush Data'!$A$1:$Z$20000,MATCH(A3774,'Semrush Data'!$A$1:$A$20000,0),MATCH("Intent",'Semrush Data'!$A$1:$Z$1,0)),"")</f>
        <v/>
      </c>
    </row>
    <row r="3775" ht="15" customHeight="1" s="37">
      <c r="A3775" s="42" t="inlineStr">
        <is>
          <t>lip balm for pigmented lips</t>
        </is>
      </c>
      <c r="B3775" s="42" t="inlineStr">
        <is>
          <t>Generic product term</t>
        </is>
      </c>
      <c r="C3775" s="42" t="n">
        <v>2</v>
      </c>
      <c r="D3775" s="42" t="inlineStr">
        <is>
          <t>T2-2</t>
        </is>
      </c>
      <c r="E3775" s="42" t="n">
        <v>0</v>
      </c>
      <c r="F3775" s="42" t="n"/>
      <c r="G3775" s="55">
        <f>IFERROR(INDEX('Semrush Data'!$A$1:$Z$20000,MATCH(A3775,'Semrush Data'!$A$1:$A$20000,0),MATCH("Volume",'Semrush Data'!$A$1:$Z$1,0)),"")</f>
        <v/>
      </c>
      <c r="H3775" s="42">
        <f>IFERROR(INDEX('Semrush Data'!$A$1:$Z$20000,MATCH(A3775,'Semrush Data'!$A$1:$A$20000,0),MATCH("Keyword Difficulty*",'Semrush Data'!$A$1:$Z$1,0)),"")</f>
        <v/>
      </c>
      <c r="I3775" s="56">
        <f>IFERROR(INDEX('Semrush Data'!$A$1:$Z$20000,MATCH(A3775,'Semrush Data'!$A$1:$A$20000,0),MATCH("CPC*",'Semrush Data'!$A$1:$Z$1,0)),"")</f>
        <v/>
      </c>
      <c r="J3775" s="42">
        <f>IFERROR(INDEX('Semrush Data'!$A$1:$Z$20000,MATCH(A3775,'Semrush Data'!$A$1:$A$20000,0),MATCH("Intent",'Semrush Data'!$A$1:$Z$1,0)),"")</f>
        <v/>
      </c>
    </row>
    <row r="3776" ht="15" customHeight="1" s="37">
      <c r="A3776" s="42" t="inlineStr">
        <is>
          <t>kumkumadi oil</t>
        </is>
      </c>
      <c r="B3776" s="42" t="inlineStr">
        <is>
          <t>Generic product term</t>
        </is>
      </c>
      <c r="C3776" s="42" t="n">
        <v>2</v>
      </c>
      <c r="D3776" s="42" t="inlineStr">
        <is>
          <t>T2-2</t>
        </is>
      </c>
      <c r="E3776" s="42" t="n">
        <v>0</v>
      </c>
      <c r="F3776" s="42" t="n"/>
      <c r="G3776" s="55">
        <f>IFERROR(INDEX('Semrush Data'!$A$1:$Z$20000,MATCH(A3776,'Semrush Data'!$A$1:$A$20000,0),MATCH("Volume",'Semrush Data'!$A$1:$Z$1,0)),"")</f>
        <v/>
      </c>
      <c r="H3776" s="42">
        <f>IFERROR(INDEX('Semrush Data'!$A$1:$Z$20000,MATCH(A3776,'Semrush Data'!$A$1:$A$20000,0),MATCH("Keyword Difficulty*",'Semrush Data'!$A$1:$Z$1,0)),"")</f>
        <v/>
      </c>
      <c r="I3776" s="56">
        <f>IFERROR(INDEX('Semrush Data'!$A$1:$Z$20000,MATCH(A3776,'Semrush Data'!$A$1:$A$20000,0),MATCH("CPC*",'Semrush Data'!$A$1:$Z$1,0)),"")</f>
        <v/>
      </c>
      <c r="J3776" s="42">
        <f>IFERROR(INDEX('Semrush Data'!$A$1:$Z$20000,MATCH(A3776,'Semrush Data'!$A$1:$A$20000,0),MATCH("Intent",'Semrush Data'!$A$1:$Z$1,0)),"")</f>
        <v/>
      </c>
    </row>
    <row r="3777" ht="15" customHeight="1" s="37">
      <c r="A3777" s="42" t="inlineStr">
        <is>
          <t>kumkumadi serum</t>
        </is>
      </c>
      <c r="B3777" s="42" t="inlineStr">
        <is>
          <t>Generic product term</t>
        </is>
      </c>
      <c r="C3777" s="42" t="n">
        <v>2</v>
      </c>
      <c r="D3777" s="42" t="inlineStr">
        <is>
          <t>T2-2</t>
        </is>
      </c>
      <c r="E3777" s="42" t="n">
        <v>0</v>
      </c>
      <c r="F3777" s="42" t="n"/>
      <c r="G3777" s="55">
        <f>IFERROR(INDEX('Semrush Data'!$A$1:$Z$20000,MATCH(A3777,'Semrush Data'!$A$1:$A$20000,0),MATCH("Volume",'Semrush Data'!$A$1:$Z$1,0)),"")</f>
        <v/>
      </c>
      <c r="H3777" s="42">
        <f>IFERROR(INDEX('Semrush Data'!$A$1:$Z$20000,MATCH(A3777,'Semrush Data'!$A$1:$A$20000,0),MATCH("Keyword Difficulty*",'Semrush Data'!$A$1:$Z$1,0)),"")</f>
        <v/>
      </c>
      <c r="I3777" s="56">
        <f>IFERROR(INDEX('Semrush Data'!$A$1:$Z$20000,MATCH(A3777,'Semrush Data'!$A$1:$A$20000,0),MATCH("CPC*",'Semrush Data'!$A$1:$Z$1,0)),"")</f>
        <v/>
      </c>
      <c r="J3777" s="42">
        <f>IFERROR(INDEX('Semrush Data'!$A$1:$Z$20000,MATCH(A3777,'Semrush Data'!$A$1:$A$20000,0),MATCH("Intent",'Semrush Data'!$A$1:$Z$1,0)),"")</f>
        <v/>
      </c>
    </row>
    <row r="3778" ht="15" customHeight="1" s="37">
      <c r="A3778" s="42" t="inlineStr">
        <is>
          <t>aloe vera gel</t>
        </is>
      </c>
      <c r="B3778" s="42" t="inlineStr">
        <is>
          <t>Generic product term</t>
        </is>
      </c>
      <c r="C3778" s="42" t="n">
        <v>2</v>
      </c>
      <c r="D3778" s="42" t="inlineStr">
        <is>
          <t>T2-2</t>
        </is>
      </c>
      <c r="E3778" s="42" t="n">
        <v>0</v>
      </c>
      <c r="F3778" s="42" t="n"/>
      <c r="G3778" s="55">
        <f>IFERROR(INDEX('Semrush Data'!$A$1:$Z$20000,MATCH(A3778,'Semrush Data'!$A$1:$A$20000,0),MATCH("Volume",'Semrush Data'!$A$1:$Z$1,0)),"")</f>
        <v/>
      </c>
      <c r="H3778" s="42">
        <f>IFERROR(INDEX('Semrush Data'!$A$1:$Z$20000,MATCH(A3778,'Semrush Data'!$A$1:$A$20000,0),MATCH("Keyword Difficulty*",'Semrush Data'!$A$1:$Z$1,0)),"")</f>
        <v/>
      </c>
      <c r="I3778" s="56">
        <f>IFERROR(INDEX('Semrush Data'!$A$1:$Z$20000,MATCH(A3778,'Semrush Data'!$A$1:$A$20000,0),MATCH("CPC*",'Semrush Data'!$A$1:$Z$1,0)),"")</f>
        <v/>
      </c>
      <c r="J3778" s="42">
        <f>IFERROR(INDEX('Semrush Data'!$A$1:$Z$20000,MATCH(A3778,'Semrush Data'!$A$1:$A$20000,0),MATCH("Intent",'Semrush Data'!$A$1:$Z$1,0)),"")</f>
        <v/>
      </c>
    </row>
    <row r="3779" ht="15" customHeight="1" s="37">
      <c r="A3779" s="42" t="inlineStr">
        <is>
          <t>vitamin c serum</t>
        </is>
      </c>
      <c r="B3779" s="42" t="inlineStr">
        <is>
          <t>Generic product term</t>
        </is>
      </c>
      <c r="C3779" s="42" t="n">
        <v>2</v>
      </c>
      <c r="D3779" s="42" t="inlineStr">
        <is>
          <t>T2-2</t>
        </is>
      </c>
      <c r="E3779" s="42" t="n">
        <v>0</v>
      </c>
      <c r="F3779" s="42" t="n"/>
      <c r="G3779" s="55">
        <f>IFERROR(INDEX('Semrush Data'!$A$1:$Z$20000,MATCH(A3779,'Semrush Data'!$A$1:$A$20000,0),MATCH("Volume",'Semrush Data'!$A$1:$Z$1,0)),"")</f>
        <v/>
      </c>
      <c r="H3779" s="42">
        <f>IFERROR(INDEX('Semrush Data'!$A$1:$Z$20000,MATCH(A3779,'Semrush Data'!$A$1:$A$20000,0),MATCH("Keyword Difficulty*",'Semrush Data'!$A$1:$Z$1,0)),"")</f>
        <v/>
      </c>
      <c r="I3779" s="56">
        <f>IFERROR(INDEX('Semrush Data'!$A$1:$Z$20000,MATCH(A3779,'Semrush Data'!$A$1:$A$20000,0),MATCH("CPC*",'Semrush Data'!$A$1:$Z$1,0)),"")</f>
        <v/>
      </c>
      <c r="J3779" s="42">
        <f>IFERROR(INDEX('Semrush Data'!$A$1:$Z$20000,MATCH(A3779,'Semrush Data'!$A$1:$A$20000,0),MATCH("Intent",'Semrush Data'!$A$1:$Z$1,0)),"")</f>
        <v/>
      </c>
    </row>
    <row r="3780" ht="15" customHeight="1" s="37">
      <c r="A3780" s="42" t="inlineStr">
        <is>
          <t>vitamin c face wash</t>
        </is>
      </c>
      <c r="B3780" s="42" t="inlineStr">
        <is>
          <t>Generic product term</t>
        </is>
      </c>
      <c r="C3780" s="42" t="n">
        <v>2</v>
      </c>
      <c r="D3780" s="42" t="inlineStr">
        <is>
          <t>T2-2</t>
        </is>
      </c>
      <c r="E3780" s="42" t="n">
        <v>0</v>
      </c>
      <c r="F3780" s="42" t="n"/>
      <c r="G3780" s="55">
        <f>IFERROR(INDEX('Semrush Data'!$A$1:$Z$20000,MATCH(A3780,'Semrush Data'!$A$1:$A$20000,0),MATCH("Volume",'Semrush Data'!$A$1:$Z$1,0)),"")</f>
        <v/>
      </c>
      <c r="H3780" s="42">
        <f>IFERROR(INDEX('Semrush Data'!$A$1:$Z$20000,MATCH(A3780,'Semrush Data'!$A$1:$A$20000,0),MATCH("Keyword Difficulty*",'Semrush Data'!$A$1:$Z$1,0)),"")</f>
        <v/>
      </c>
      <c r="I3780" s="56">
        <f>IFERROR(INDEX('Semrush Data'!$A$1:$Z$20000,MATCH(A3780,'Semrush Data'!$A$1:$A$20000,0),MATCH("CPC*",'Semrush Data'!$A$1:$Z$1,0)),"")</f>
        <v/>
      </c>
      <c r="J3780" s="42">
        <f>IFERROR(INDEX('Semrush Data'!$A$1:$Z$20000,MATCH(A3780,'Semrush Data'!$A$1:$A$20000,0),MATCH("Intent",'Semrush Data'!$A$1:$Z$1,0)),"")</f>
        <v/>
      </c>
    </row>
    <row r="3781" ht="15" customHeight="1" s="37">
      <c r="A3781" s="42" t="inlineStr">
        <is>
          <t>niacinamide serum</t>
        </is>
      </c>
      <c r="B3781" s="42" t="inlineStr">
        <is>
          <t>Generic product term</t>
        </is>
      </c>
      <c r="C3781" s="42" t="n">
        <v>2</v>
      </c>
      <c r="D3781" s="42" t="inlineStr">
        <is>
          <t>T2-2</t>
        </is>
      </c>
      <c r="E3781" s="42" t="n">
        <v>0</v>
      </c>
      <c r="F3781" s="42" t="n"/>
      <c r="G3781" s="55">
        <f>IFERROR(INDEX('Semrush Data'!$A$1:$Z$20000,MATCH(A3781,'Semrush Data'!$A$1:$A$20000,0),MATCH("Volume",'Semrush Data'!$A$1:$Z$1,0)),"")</f>
        <v/>
      </c>
      <c r="H3781" s="42">
        <f>IFERROR(INDEX('Semrush Data'!$A$1:$Z$20000,MATCH(A3781,'Semrush Data'!$A$1:$A$20000,0),MATCH("Keyword Difficulty*",'Semrush Data'!$A$1:$Z$1,0)),"")</f>
        <v/>
      </c>
      <c r="I3781" s="56">
        <f>IFERROR(INDEX('Semrush Data'!$A$1:$Z$20000,MATCH(A3781,'Semrush Data'!$A$1:$A$20000,0),MATCH("CPC*",'Semrush Data'!$A$1:$Z$1,0)),"")</f>
        <v/>
      </c>
      <c r="J3781" s="42">
        <f>IFERROR(INDEX('Semrush Data'!$A$1:$Z$20000,MATCH(A3781,'Semrush Data'!$A$1:$A$20000,0),MATCH("Intent",'Semrush Data'!$A$1:$Z$1,0)),"")</f>
        <v/>
      </c>
    </row>
    <row r="3782" ht="15" customHeight="1" s="37">
      <c r="A3782" s="42" t="inlineStr">
        <is>
          <t>under eye cream</t>
        </is>
      </c>
      <c r="B3782" s="42" t="inlineStr">
        <is>
          <t>Generic product term</t>
        </is>
      </c>
      <c r="C3782" s="42" t="n">
        <v>2</v>
      </c>
      <c r="D3782" s="42" t="inlineStr">
        <is>
          <t>T2-2</t>
        </is>
      </c>
      <c r="E3782" s="42" t="n">
        <v>0</v>
      </c>
      <c r="F3782" s="42" t="n"/>
      <c r="G3782" s="55">
        <f>IFERROR(INDEX('Semrush Data'!$A$1:$Z$20000,MATCH(A3782,'Semrush Data'!$A$1:$A$20000,0),MATCH("Volume",'Semrush Data'!$A$1:$Z$1,0)),"")</f>
        <v/>
      </c>
      <c r="H3782" s="42">
        <f>IFERROR(INDEX('Semrush Data'!$A$1:$Z$20000,MATCH(A3782,'Semrush Data'!$A$1:$A$20000,0),MATCH("Keyword Difficulty*",'Semrush Data'!$A$1:$Z$1,0)),"")</f>
        <v/>
      </c>
      <c r="I3782" s="56">
        <f>IFERROR(INDEX('Semrush Data'!$A$1:$Z$20000,MATCH(A3782,'Semrush Data'!$A$1:$A$20000,0),MATCH("CPC*",'Semrush Data'!$A$1:$Z$1,0)),"")</f>
        <v/>
      </c>
      <c r="J3782" s="42">
        <f>IFERROR(INDEX('Semrush Data'!$A$1:$Z$20000,MATCH(A3782,'Semrush Data'!$A$1:$A$20000,0),MATCH("Intent",'Semrush Data'!$A$1:$Z$1,0)),"")</f>
        <v/>
      </c>
    </row>
    <row r="3783" ht="15" customHeight="1" s="37">
      <c r="A3783" s="42" t="inlineStr">
        <is>
          <t>under eye cream for dark circles</t>
        </is>
      </c>
      <c r="B3783" s="42" t="inlineStr">
        <is>
          <t>Generic product term</t>
        </is>
      </c>
      <c r="C3783" s="42" t="n">
        <v>2</v>
      </c>
      <c r="D3783" s="42" t="inlineStr">
        <is>
          <t>T2-2</t>
        </is>
      </c>
      <c r="E3783" s="42" t="n">
        <v>0</v>
      </c>
      <c r="F3783" s="42" t="n"/>
      <c r="G3783" s="55">
        <f>IFERROR(INDEX('Semrush Data'!$A$1:$Z$20000,MATCH(A3783,'Semrush Data'!$A$1:$A$20000,0),MATCH("Volume",'Semrush Data'!$A$1:$Z$1,0)),"")</f>
        <v/>
      </c>
      <c r="H3783" s="42">
        <f>IFERROR(INDEX('Semrush Data'!$A$1:$Z$20000,MATCH(A3783,'Semrush Data'!$A$1:$A$20000,0),MATCH("Keyword Difficulty*",'Semrush Data'!$A$1:$Z$1,0)),"")</f>
        <v/>
      </c>
      <c r="I3783" s="56">
        <f>IFERROR(INDEX('Semrush Data'!$A$1:$Z$20000,MATCH(A3783,'Semrush Data'!$A$1:$A$20000,0),MATCH("CPC*",'Semrush Data'!$A$1:$Z$1,0)),"")</f>
        <v/>
      </c>
      <c r="J3783" s="42">
        <f>IFERROR(INDEX('Semrush Data'!$A$1:$Z$20000,MATCH(A3783,'Semrush Data'!$A$1:$A$20000,0),MATCH("Intent",'Semrush Data'!$A$1:$Z$1,0)),"")</f>
        <v/>
      </c>
    </row>
    <row r="3784" ht="15" customHeight="1" s="37">
      <c r="A3784" s="42" t="inlineStr">
        <is>
          <t>charcoal face wash</t>
        </is>
      </c>
      <c r="B3784" s="42" t="inlineStr">
        <is>
          <t>Generic product term</t>
        </is>
      </c>
      <c r="C3784" s="42" t="n">
        <v>2</v>
      </c>
      <c r="D3784" s="42" t="inlineStr">
        <is>
          <t>T2-2</t>
        </is>
      </c>
      <c r="E3784" s="42" t="n">
        <v>0</v>
      </c>
      <c r="F3784" s="42" t="n"/>
      <c r="G3784" s="55">
        <f>IFERROR(INDEX('Semrush Data'!$A$1:$Z$20000,MATCH(A3784,'Semrush Data'!$A$1:$A$20000,0),MATCH("Volume",'Semrush Data'!$A$1:$Z$1,0)),"")</f>
        <v/>
      </c>
      <c r="H3784" s="42">
        <f>IFERROR(INDEX('Semrush Data'!$A$1:$Z$20000,MATCH(A3784,'Semrush Data'!$A$1:$A$20000,0),MATCH("Keyword Difficulty*",'Semrush Data'!$A$1:$Z$1,0)),"")</f>
        <v/>
      </c>
      <c r="I3784" s="56">
        <f>IFERROR(INDEX('Semrush Data'!$A$1:$Z$20000,MATCH(A3784,'Semrush Data'!$A$1:$A$20000,0),MATCH("CPC*",'Semrush Data'!$A$1:$Z$1,0)),"")</f>
        <v/>
      </c>
      <c r="J3784" s="42">
        <f>IFERROR(INDEX('Semrush Data'!$A$1:$Z$20000,MATCH(A3784,'Semrush Data'!$A$1:$A$20000,0),MATCH("Intent",'Semrush Data'!$A$1:$Z$1,0)),"")</f>
        <v/>
      </c>
    </row>
    <row r="3785" ht="15" customHeight="1" s="37">
      <c r="A3785" s="42" t="inlineStr">
        <is>
          <t>charcoal soap</t>
        </is>
      </c>
      <c r="B3785" s="42" t="inlineStr">
        <is>
          <t>Generic product term</t>
        </is>
      </c>
      <c r="C3785" s="42" t="n">
        <v>2</v>
      </c>
      <c r="D3785" s="42" t="inlineStr">
        <is>
          <t>T2-2</t>
        </is>
      </c>
      <c r="E3785" s="42" t="n">
        <v>0</v>
      </c>
      <c r="F3785" s="42" t="n"/>
      <c r="G3785" s="55">
        <f>IFERROR(INDEX('Semrush Data'!$A$1:$Z$20000,MATCH(A3785,'Semrush Data'!$A$1:$A$20000,0),MATCH("Volume",'Semrush Data'!$A$1:$Z$1,0)),"")</f>
        <v/>
      </c>
      <c r="H3785" s="42">
        <f>IFERROR(INDEX('Semrush Data'!$A$1:$Z$20000,MATCH(A3785,'Semrush Data'!$A$1:$A$20000,0),MATCH("Keyword Difficulty*",'Semrush Data'!$A$1:$Z$1,0)),"")</f>
        <v/>
      </c>
      <c r="I3785" s="56">
        <f>IFERROR(INDEX('Semrush Data'!$A$1:$Z$20000,MATCH(A3785,'Semrush Data'!$A$1:$A$20000,0),MATCH("CPC*",'Semrush Data'!$A$1:$Z$1,0)),"")</f>
        <v/>
      </c>
      <c r="J3785" s="42">
        <f>IFERROR(INDEX('Semrush Data'!$A$1:$Z$20000,MATCH(A3785,'Semrush Data'!$A$1:$A$20000,0),MATCH("Intent",'Semrush Data'!$A$1:$Z$1,0)),"")</f>
        <v/>
      </c>
    </row>
    <row r="3786" ht="15" customHeight="1" s="37">
      <c r="A3786" s="42" t="inlineStr">
        <is>
          <t>neem face wash</t>
        </is>
      </c>
      <c r="B3786" s="42" t="inlineStr">
        <is>
          <t>Generic product term</t>
        </is>
      </c>
      <c r="C3786" s="42" t="n">
        <v>2</v>
      </c>
      <c r="D3786" s="42" t="inlineStr">
        <is>
          <t>T2-2</t>
        </is>
      </c>
      <c r="E3786" s="42" t="n">
        <v>0</v>
      </c>
      <c r="F3786" s="42" t="n"/>
      <c r="G3786" s="55">
        <f>IFERROR(INDEX('Semrush Data'!$A$1:$Z$20000,MATCH(A3786,'Semrush Data'!$A$1:$A$20000,0),MATCH("Volume",'Semrush Data'!$A$1:$Z$1,0)),"")</f>
        <v/>
      </c>
      <c r="H3786" s="42">
        <f>IFERROR(INDEX('Semrush Data'!$A$1:$Z$20000,MATCH(A3786,'Semrush Data'!$A$1:$A$20000,0),MATCH("Keyword Difficulty*",'Semrush Data'!$A$1:$Z$1,0)),"")</f>
        <v/>
      </c>
      <c r="I3786" s="56">
        <f>IFERROR(INDEX('Semrush Data'!$A$1:$Z$20000,MATCH(A3786,'Semrush Data'!$A$1:$A$20000,0),MATCH("CPC*",'Semrush Data'!$A$1:$Z$1,0)),"")</f>
        <v/>
      </c>
      <c r="J3786" s="42">
        <f>IFERROR(INDEX('Semrush Data'!$A$1:$Z$20000,MATCH(A3786,'Semrush Data'!$A$1:$A$20000,0),MATCH("Intent",'Semrush Data'!$A$1:$Z$1,0)),"")</f>
        <v/>
      </c>
    </row>
    <row r="3787" ht="15" customHeight="1" s="37">
      <c r="A3787" s="42" t="inlineStr">
        <is>
          <t>tea tree face wash</t>
        </is>
      </c>
      <c r="B3787" s="42" t="inlineStr">
        <is>
          <t>Generic product term</t>
        </is>
      </c>
      <c r="C3787" s="42" t="n">
        <v>2</v>
      </c>
      <c r="D3787" s="42" t="inlineStr">
        <is>
          <t>T2-2</t>
        </is>
      </c>
      <c r="E3787" s="42" t="n">
        <v>0</v>
      </c>
      <c r="F3787" s="42" t="n"/>
      <c r="G3787" s="55">
        <f>IFERROR(INDEX('Semrush Data'!$A$1:$Z$20000,MATCH(A3787,'Semrush Data'!$A$1:$A$20000,0),MATCH("Volume",'Semrush Data'!$A$1:$Z$1,0)),"")</f>
        <v/>
      </c>
      <c r="H3787" s="42">
        <f>IFERROR(INDEX('Semrush Data'!$A$1:$Z$20000,MATCH(A3787,'Semrush Data'!$A$1:$A$20000,0),MATCH("Keyword Difficulty*",'Semrush Data'!$A$1:$Z$1,0)),"")</f>
        <v/>
      </c>
      <c r="I3787" s="56">
        <f>IFERROR(INDEX('Semrush Data'!$A$1:$Z$20000,MATCH(A3787,'Semrush Data'!$A$1:$A$20000,0),MATCH("CPC*",'Semrush Data'!$A$1:$Z$1,0)),"")</f>
        <v/>
      </c>
      <c r="J3787" s="42">
        <f>IFERROR(INDEX('Semrush Data'!$A$1:$Z$20000,MATCH(A3787,'Semrush Data'!$A$1:$A$20000,0),MATCH("Intent",'Semrush Data'!$A$1:$Z$1,0)),"")</f>
        <v/>
      </c>
    </row>
    <row r="3788" ht="15" customHeight="1" s="37">
      <c r="A3788" s="42" t="inlineStr">
        <is>
          <t>onion hair oil</t>
        </is>
      </c>
      <c r="B3788" s="42" t="inlineStr">
        <is>
          <t>Generic product term</t>
        </is>
      </c>
      <c r="C3788" s="42" t="n">
        <v>2</v>
      </c>
      <c r="D3788" s="42" t="inlineStr">
        <is>
          <t>T2-2</t>
        </is>
      </c>
      <c r="E3788" s="42" t="n">
        <v>0</v>
      </c>
      <c r="F3788" s="42" t="n"/>
      <c r="G3788" s="55">
        <f>IFERROR(INDEX('Semrush Data'!$A$1:$Z$20000,MATCH(A3788,'Semrush Data'!$A$1:$A$20000,0),MATCH("Volume",'Semrush Data'!$A$1:$Z$1,0)),"")</f>
        <v/>
      </c>
      <c r="H3788" s="42">
        <f>IFERROR(INDEX('Semrush Data'!$A$1:$Z$20000,MATCH(A3788,'Semrush Data'!$A$1:$A$20000,0),MATCH("Keyword Difficulty*",'Semrush Data'!$A$1:$Z$1,0)),"")</f>
        <v/>
      </c>
      <c r="I3788" s="56">
        <f>IFERROR(INDEX('Semrush Data'!$A$1:$Z$20000,MATCH(A3788,'Semrush Data'!$A$1:$A$20000,0),MATCH("CPC*",'Semrush Data'!$A$1:$Z$1,0)),"")</f>
        <v/>
      </c>
      <c r="J3788" s="42">
        <f>IFERROR(INDEX('Semrush Data'!$A$1:$Z$20000,MATCH(A3788,'Semrush Data'!$A$1:$A$20000,0),MATCH("Intent",'Semrush Data'!$A$1:$Z$1,0)),"")</f>
        <v/>
      </c>
    </row>
    <row r="3789" ht="15" customHeight="1" s="37">
      <c r="A3789" s="42" t="inlineStr">
        <is>
          <t>hair growth oil</t>
        </is>
      </c>
      <c r="B3789" s="42" t="inlineStr">
        <is>
          <t>Generic product term</t>
        </is>
      </c>
      <c r="C3789" s="42" t="n">
        <v>2</v>
      </c>
      <c r="D3789" s="42" t="inlineStr">
        <is>
          <t>T2-2</t>
        </is>
      </c>
      <c r="E3789" s="42" t="n">
        <v>0</v>
      </c>
      <c r="F3789" s="42" t="n"/>
      <c r="G3789" s="55">
        <f>IFERROR(INDEX('Semrush Data'!$A$1:$Z$20000,MATCH(A3789,'Semrush Data'!$A$1:$A$20000,0),MATCH("Volume",'Semrush Data'!$A$1:$Z$1,0)),"")</f>
        <v/>
      </c>
      <c r="H3789" s="42">
        <f>IFERROR(INDEX('Semrush Data'!$A$1:$Z$20000,MATCH(A3789,'Semrush Data'!$A$1:$A$20000,0),MATCH("Keyword Difficulty*",'Semrush Data'!$A$1:$Z$1,0)),"")</f>
        <v/>
      </c>
      <c r="I3789" s="56">
        <f>IFERROR(INDEX('Semrush Data'!$A$1:$Z$20000,MATCH(A3789,'Semrush Data'!$A$1:$A$20000,0),MATCH("CPC*",'Semrush Data'!$A$1:$Z$1,0)),"")</f>
        <v/>
      </c>
      <c r="J3789" s="42">
        <f>IFERROR(INDEX('Semrush Data'!$A$1:$Z$20000,MATCH(A3789,'Semrush Data'!$A$1:$A$20000,0),MATCH("Intent",'Semrush Data'!$A$1:$Z$1,0)),"")</f>
        <v/>
      </c>
    </row>
    <row r="3790" ht="15" customHeight="1" s="37">
      <c r="A3790" s="42" t="inlineStr">
        <is>
          <t>amla hair oil</t>
        </is>
      </c>
      <c r="B3790" s="42" t="inlineStr">
        <is>
          <t>Generic product term</t>
        </is>
      </c>
      <c r="C3790" s="42" t="n">
        <v>2</v>
      </c>
      <c r="D3790" s="42" t="inlineStr">
        <is>
          <t>T2-2</t>
        </is>
      </c>
      <c r="E3790" s="42" t="n">
        <v>0</v>
      </c>
      <c r="F3790" s="42" t="n"/>
      <c r="G3790" s="55">
        <f>IFERROR(INDEX('Semrush Data'!$A$1:$Z$20000,MATCH(A3790,'Semrush Data'!$A$1:$A$20000,0),MATCH("Volume",'Semrush Data'!$A$1:$Z$1,0)),"")</f>
        <v/>
      </c>
      <c r="H3790" s="42">
        <f>IFERROR(INDEX('Semrush Data'!$A$1:$Z$20000,MATCH(A3790,'Semrush Data'!$A$1:$A$20000,0),MATCH("Keyword Difficulty*",'Semrush Data'!$A$1:$Z$1,0)),"")</f>
        <v/>
      </c>
      <c r="I3790" s="56">
        <f>IFERROR(INDEX('Semrush Data'!$A$1:$Z$20000,MATCH(A3790,'Semrush Data'!$A$1:$A$20000,0),MATCH("CPC*",'Semrush Data'!$A$1:$Z$1,0)),"")</f>
        <v/>
      </c>
      <c r="J3790" s="42">
        <f>IFERROR(INDEX('Semrush Data'!$A$1:$Z$20000,MATCH(A3790,'Semrush Data'!$A$1:$A$20000,0),MATCH("Intent",'Semrush Data'!$A$1:$Z$1,0)),"")</f>
        <v/>
      </c>
    </row>
    <row r="3791" ht="15" customHeight="1" s="37">
      <c r="A3791" s="42" t="inlineStr">
        <is>
          <t>castor oil for hair</t>
        </is>
      </c>
      <c r="B3791" s="42" t="inlineStr">
        <is>
          <t>Generic product term</t>
        </is>
      </c>
      <c r="C3791" s="42" t="n">
        <v>2</v>
      </c>
      <c r="D3791" s="42" t="inlineStr">
        <is>
          <t>T2-2</t>
        </is>
      </c>
      <c r="E3791" s="42" t="n">
        <v>0</v>
      </c>
      <c r="F3791" s="42" t="n"/>
      <c r="G3791" s="55">
        <f>IFERROR(INDEX('Semrush Data'!$A$1:$Z$20000,MATCH(A3791,'Semrush Data'!$A$1:$A$20000,0),MATCH("Volume",'Semrush Data'!$A$1:$Z$1,0)),"")</f>
        <v/>
      </c>
      <c r="H3791" s="42">
        <f>IFERROR(INDEX('Semrush Data'!$A$1:$Z$20000,MATCH(A3791,'Semrush Data'!$A$1:$A$20000,0),MATCH("Keyword Difficulty*",'Semrush Data'!$A$1:$Z$1,0)),"")</f>
        <v/>
      </c>
      <c r="I3791" s="56">
        <f>IFERROR(INDEX('Semrush Data'!$A$1:$Z$20000,MATCH(A3791,'Semrush Data'!$A$1:$A$20000,0),MATCH("CPC*",'Semrush Data'!$A$1:$Z$1,0)),"")</f>
        <v/>
      </c>
      <c r="J3791" s="42">
        <f>IFERROR(INDEX('Semrush Data'!$A$1:$Z$20000,MATCH(A3791,'Semrush Data'!$A$1:$A$20000,0),MATCH("Intent",'Semrush Data'!$A$1:$Z$1,0)),"")</f>
        <v/>
      </c>
    </row>
    <row r="3792" ht="15" customHeight="1" s="37">
      <c r="A3792" s="42" t="inlineStr">
        <is>
          <t>hibiscus hair oil</t>
        </is>
      </c>
      <c r="B3792" s="42" t="inlineStr">
        <is>
          <t>Generic product term</t>
        </is>
      </c>
      <c r="C3792" s="42" t="n">
        <v>2</v>
      </c>
      <c r="D3792" s="42" t="inlineStr">
        <is>
          <t>T2-2</t>
        </is>
      </c>
      <c r="E3792" s="42" t="n">
        <v>0</v>
      </c>
      <c r="F3792" s="42" t="n"/>
      <c r="G3792" s="55">
        <f>IFERROR(INDEX('Semrush Data'!$A$1:$Z$20000,MATCH(A3792,'Semrush Data'!$A$1:$A$20000,0),MATCH("Volume",'Semrush Data'!$A$1:$Z$1,0)),"")</f>
        <v/>
      </c>
      <c r="H3792" s="42">
        <f>IFERROR(INDEX('Semrush Data'!$A$1:$Z$20000,MATCH(A3792,'Semrush Data'!$A$1:$A$20000,0),MATCH("Keyword Difficulty*",'Semrush Data'!$A$1:$Z$1,0)),"")</f>
        <v/>
      </c>
      <c r="I3792" s="56">
        <f>IFERROR(INDEX('Semrush Data'!$A$1:$Z$20000,MATCH(A3792,'Semrush Data'!$A$1:$A$20000,0),MATCH("CPC*",'Semrush Data'!$A$1:$Z$1,0)),"")</f>
        <v/>
      </c>
      <c r="J3792" s="42">
        <f>IFERROR(INDEX('Semrush Data'!$A$1:$Z$20000,MATCH(A3792,'Semrush Data'!$A$1:$A$20000,0),MATCH("Intent",'Semrush Data'!$A$1:$Z$1,0)),"")</f>
        <v/>
      </c>
    </row>
    <row r="3793" ht="15" customHeight="1" s="37">
      <c r="A3793" s="42" t="inlineStr">
        <is>
          <t>bhringraj oil</t>
        </is>
      </c>
      <c r="B3793" s="42" t="inlineStr">
        <is>
          <t>Generic product term</t>
        </is>
      </c>
      <c r="C3793" s="42" t="n">
        <v>2</v>
      </c>
      <c r="D3793" s="42" t="inlineStr">
        <is>
          <t>T2-2</t>
        </is>
      </c>
      <c r="E3793" s="42" t="n">
        <v>0</v>
      </c>
      <c r="F3793" s="42" t="n"/>
      <c r="G3793" s="55">
        <f>IFERROR(INDEX('Semrush Data'!$A$1:$Z$20000,MATCH(A3793,'Semrush Data'!$A$1:$A$20000,0),MATCH("Volume",'Semrush Data'!$A$1:$Z$1,0)),"")</f>
        <v/>
      </c>
      <c r="H3793" s="42">
        <f>IFERROR(INDEX('Semrush Data'!$A$1:$Z$20000,MATCH(A3793,'Semrush Data'!$A$1:$A$20000,0),MATCH("Keyword Difficulty*",'Semrush Data'!$A$1:$Z$1,0)),"")</f>
        <v/>
      </c>
      <c r="I3793" s="56">
        <f>IFERROR(INDEX('Semrush Data'!$A$1:$Z$20000,MATCH(A3793,'Semrush Data'!$A$1:$A$20000,0),MATCH("CPC*",'Semrush Data'!$A$1:$Z$1,0)),"")</f>
        <v/>
      </c>
      <c r="J3793" s="42">
        <f>IFERROR(INDEX('Semrush Data'!$A$1:$Z$20000,MATCH(A3793,'Semrush Data'!$A$1:$A$20000,0),MATCH("Intent",'Semrush Data'!$A$1:$Z$1,0)),"")</f>
        <v/>
      </c>
    </row>
    <row r="3794" ht="15" customHeight="1" s="37">
      <c r="A3794" s="42" t="inlineStr">
        <is>
          <t>ayurvedic hair oil</t>
        </is>
      </c>
      <c r="B3794" s="42" t="inlineStr">
        <is>
          <t>Generic product term</t>
        </is>
      </c>
      <c r="C3794" s="42" t="n">
        <v>2</v>
      </c>
      <c r="D3794" s="42" t="inlineStr">
        <is>
          <t>T2-2</t>
        </is>
      </c>
      <c r="E3794" s="42" t="n">
        <v>0</v>
      </c>
      <c r="F3794" s="42" t="n"/>
      <c r="G3794" s="55">
        <f>IFERROR(INDEX('Semrush Data'!$A$1:$Z$20000,MATCH(A3794,'Semrush Data'!$A$1:$A$20000,0),MATCH("Volume",'Semrush Data'!$A$1:$Z$1,0)),"")</f>
        <v/>
      </c>
      <c r="H3794" s="42">
        <f>IFERROR(INDEX('Semrush Data'!$A$1:$Z$20000,MATCH(A3794,'Semrush Data'!$A$1:$A$20000,0),MATCH("Keyword Difficulty*",'Semrush Data'!$A$1:$Z$1,0)),"")</f>
        <v/>
      </c>
      <c r="I3794" s="56">
        <f>IFERROR(INDEX('Semrush Data'!$A$1:$Z$20000,MATCH(A3794,'Semrush Data'!$A$1:$A$20000,0),MATCH("CPC*",'Semrush Data'!$A$1:$Z$1,0)),"")</f>
        <v/>
      </c>
      <c r="J3794" s="42">
        <f>IFERROR(INDEX('Semrush Data'!$A$1:$Z$20000,MATCH(A3794,'Semrush Data'!$A$1:$A$20000,0),MATCH("Intent",'Semrush Data'!$A$1:$Z$1,0)),"")</f>
        <v/>
      </c>
    </row>
    <row r="3795" ht="15" customHeight="1" s="37">
      <c r="A3795" s="42" t="inlineStr">
        <is>
          <t>red sandalwood face pack</t>
        </is>
      </c>
      <c r="B3795" s="42" t="inlineStr">
        <is>
          <t>Generic product term</t>
        </is>
      </c>
      <c r="C3795" s="42" t="n">
        <v>2</v>
      </c>
      <c r="D3795" s="42" t="inlineStr">
        <is>
          <t>T2-2</t>
        </is>
      </c>
      <c r="E3795" s="42" t="n">
        <v>0</v>
      </c>
      <c r="F3795" s="42" t="n"/>
      <c r="G3795" s="55">
        <f>IFERROR(INDEX('Semrush Data'!$A$1:$Z$20000,MATCH(A3795,'Semrush Data'!$A$1:$A$20000,0),MATCH("Volume",'Semrush Data'!$A$1:$Z$1,0)),"")</f>
        <v/>
      </c>
      <c r="H3795" s="42">
        <f>IFERROR(INDEX('Semrush Data'!$A$1:$Z$20000,MATCH(A3795,'Semrush Data'!$A$1:$A$20000,0),MATCH("Keyword Difficulty*",'Semrush Data'!$A$1:$Z$1,0)),"")</f>
        <v/>
      </c>
      <c r="I3795" s="56">
        <f>IFERROR(INDEX('Semrush Data'!$A$1:$Z$20000,MATCH(A3795,'Semrush Data'!$A$1:$A$20000,0),MATCH("CPC*",'Semrush Data'!$A$1:$Z$1,0)),"")</f>
        <v/>
      </c>
      <c r="J3795" s="42">
        <f>IFERROR(INDEX('Semrush Data'!$A$1:$Z$20000,MATCH(A3795,'Semrush Data'!$A$1:$A$20000,0),MATCH("Intent",'Semrush Data'!$A$1:$Z$1,0)),"")</f>
        <v/>
      </c>
    </row>
    <row r="3796" ht="15" customHeight="1" s="37">
      <c r="A3796" s="42" t="inlineStr">
        <is>
          <t>saffron face cream</t>
        </is>
      </c>
      <c r="B3796" s="42" t="inlineStr">
        <is>
          <t>Generic product term</t>
        </is>
      </c>
      <c r="C3796" s="42" t="n">
        <v>2</v>
      </c>
      <c r="D3796" s="42" t="inlineStr">
        <is>
          <t>T2-2</t>
        </is>
      </c>
      <c r="E3796" s="42" t="n">
        <v>0</v>
      </c>
      <c r="F3796" s="42" t="n"/>
      <c r="G3796" s="55">
        <f>IFERROR(INDEX('Semrush Data'!$A$1:$Z$20000,MATCH(A3796,'Semrush Data'!$A$1:$A$20000,0),MATCH("Volume",'Semrush Data'!$A$1:$Z$1,0)),"")</f>
        <v/>
      </c>
      <c r="H3796" s="42">
        <f>IFERROR(INDEX('Semrush Data'!$A$1:$Z$20000,MATCH(A3796,'Semrush Data'!$A$1:$A$20000,0),MATCH("Keyword Difficulty*",'Semrush Data'!$A$1:$Z$1,0)),"")</f>
        <v/>
      </c>
      <c r="I3796" s="56">
        <f>IFERROR(INDEX('Semrush Data'!$A$1:$Z$20000,MATCH(A3796,'Semrush Data'!$A$1:$A$20000,0),MATCH("CPC*",'Semrush Data'!$A$1:$Z$1,0)),"")</f>
        <v/>
      </c>
      <c r="J3796" s="42">
        <f>IFERROR(INDEX('Semrush Data'!$A$1:$Z$20000,MATCH(A3796,'Semrush Data'!$A$1:$A$20000,0),MATCH("Intent",'Semrush Data'!$A$1:$Z$1,0)),"")</f>
        <v/>
      </c>
    </row>
    <row r="3797" ht="15" customHeight="1" s="37">
      <c r="A3797" s="42" t="inlineStr">
        <is>
          <t>multani mitti face pack</t>
        </is>
      </c>
      <c r="B3797" s="42" t="inlineStr">
        <is>
          <t>Generic product term</t>
        </is>
      </c>
      <c r="C3797" s="42" t="n">
        <v>2</v>
      </c>
      <c r="D3797" s="42" t="inlineStr">
        <is>
          <t>T2-2</t>
        </is>
      </c>
      <c r="E3797" s="42" t="n">
        <v>0</v>
      </c>
      <c r="F3797" s="42" t="n"/>
      <c r="G3797" s="55">
        <f>IFERROR(INDEX('Semrush Data'!$A$1:$Z$20000,MATCH(A3797,'Semrush Data'!$A$1:$A$20000,0),MATCH("Volume",'Semrush Data'!$A$1:$Z$1,0)),"")</f>
        <v/>
      </c>
      <c r="H3797" s="42">
        <f>IFERROR(INDEX('Semrush Data'!$A$1:$Z$20000,MATCH(A3797,'Semrush Data'!$A$1:$A$20000,0),MATCH("Keyword Difficulty*",'Semrush Data'!$A$1:$Z$1,0)),"")</f>
        <v/>
      </c>
      <c r="I3797" s="56">
        <f>IFERROR(INDEX('Semrush Data'!$A$1:$Z$20000,MATCH(A3797,'Semrush Data'!$A$1:$A$20000,0),MATCH("CPC*",'Semrush Data'!$A$1:$Z$1,0)),"")</f>
        <v/>
      </c>
      <c r="J3797" s="42">
        <f>IFERROR(INDEX('Semrush Data'!$A$1:$Z$20000,MATCH(A3797,'Semrush Data'!$A$1:$A$20000,0),MATCH("Intent",'Semrush Data'!$A$1:$Z$1,0)),"")</f>
        <v/>
      </c>
    </row>
    <row r="3798" ht="15" customHeight="1" s="37">
      <c r="A3798" s="42" t="inlineStr">
        <is>
          <t>ubtan</t>
        </is>
      </c>
      <c r="B3798" s="42" t="inlineStr">
        <is>
          <t>Generic product term</t>
        </is>
      </c>
      <c r="C3798" s="42" t="n">
        <v>2</v>
      </c>
      <c r="D3798" s="42" t="inlineStr">
        <is>
          <t>T2-2</t>
        </is>
      </c>
      <c r="E3798" s="42" t="n">
        <v>0</v>
      </c>
      <c r="F3798" s="42" t="n"/>
      <c r="G3798" s="55">
        <f>IFERROR(INDEX('Semrush Data'!$A$1:$Z$20000,MATCH(A3798,'Semrush Data'!$A$1:$A$20000,0),MATCH("Volume",'Semrush Data'!$A$1:$Z$1,0)),"")</f>
        <v/>
      </c>
      <c r="H3798" s="42">
        <f>IFERROR(INDEX('Semrush Data'!$A$1:$Z$20000,MATCH(A3798,'Semrush Data'!$A$1:$A$20000,0),MATCH("Keyword Difficulty*",'Semrush Data'!$A$1:$Z$1,0)),"")</f>
        <v/>
      </c>
      <c r="I3798" s="56">
        <f>IFERROR(INDEX('Semrush Data'!$A$1:$Z$20000,MATCH(A3798,'Semrush Data'!$A$1:$A$20000,0),MATCH("CPC*",'Semrush Data'!$A$1:$Z$1,0)),"")</f>
        <v/>
      </c>
      <c r="J3798" s="42">
        <f>IFERROR(INDEX('Semrush Data'!$A$1:$Z$20000,MATCH(A3798,'Semrush Data'!$A$1:$A$20000,0),MATCH("Intent",'Semrush Data'!$A$1:$Z$1,0)),"")</f>
        <v/>
      </c>
    </row>
    <row r="3799" ht="15" customHeight="1" s="37">
      <c r="A3799" s="42" t="inlineStr">
        <is>
          <t>clay face mask</t>
        </is>
      </c>
      <c r="B3799" s="42" t="inlineStr">
        <is>
          <t>Generic product term</t>
        </is>
      </c>
      <c r="C3799" s="42" t="n">
        <v>2</v>
      </c>
      <c r="D3799" s="42" t="inlineStr">
        <is>
          <t>T2-2</t>
        </is>
      </c>
      <c r="E3799" s="42" t="n">
        <v>0</v>
      </c>
      <c r="F3799" s="42" t="n"/>
      <c r="G3799" s="55">
        <f>IFERROR(INDEX('Semrush Data'!$A$1:$Z$20000,MATCH(A3799,'Semrush Data'!$A$1:$A$20000,0),MATCH("Volume",'Semrush Data'!$A$1:$Z$1,0)),"")</f>
        <v/>
      </c>
      <c r="H3799" s="42">
        <f>IFERROR(INDEX('Semrush Data'!$A$1:$Z$20000,MATCH(A3799,'Semrush Data'!$A$1:$A$20000,0),MATCH("Keyword Difficulty*",'Semrush Data'!$A$1:$Z$1,0)),"")</f>
        <v/>
      </c>
      <c r="I3799" s="56">
        <f>IFERROR(INDEX('Semrush Data'!$A$1:$Z$20000,MATCH(A3799,'Semrush Data'!$A$1:$A$20000,0),MATCH("CPC*",'Semrush Data'!$A$1:$Z$1,0)),"")</f>
        <v/>
      </c>
      <c r="J3799" s="42">
        <f>IFERROR(INDEX('Semrush Data'!$A$1:$Z$20000,MATCH(A3799,'Semrush Data'!$A$1:$A$20000,0),MATCH("Intent",'Semrush Data'!$A$1:$Z$1,0)),"")</f>
        <v/>
      </c>
    </row>
    <row r="3800" ht="15" customHeight="1" s="37">
      <c r="A3800" s="42" t="inlineStr">
        <is>
          <t>rose water toner</t>
        </is>
      </c>
      <c r="B3800" s="42" t="inlineStr">
        <is>
          <t>Generic product term</t>
        </is>
      </c>
      <c r="C3800" s="42" t="n">
        <v>2</v>
      </c>
      <c r="D3800" s="42" t="inlineStr">
        <is>
          <t>T2-2</t>
        </is>
      </c>
      <c r="E3800" s="42" t="n">
        <v>0</v>
      </c>
      <c r="F3800" s="42" t="n"/>
      <c r="G3800" s="55">
        <f>IFERROR(INDEX('Semrush Data'!$A$1:$Z$20000,MATCH(A3800,'Semrush Data'!$A$1:$A$20000,0),MATCH("Volume",'Semrush Data'!$A$1:$Z$1,0)),"")</f>
        <v/>
      </c>
      <c r="H3800" s="42">
        <f>IFERROR(INDEX('Semrush Data'!$A$1:$Z$20000,MATCH(A3800,'Semrush Data'!$A$1:$A$20000,0),MATCH("Keyword Difficulty*",'Semrush Data'!$A$1:$Z$1,0)),"")</f>
        <v/>
      </c>
      <c r="I3800" s="56">
        <f>IFERROR(INDEX('Semrush Data'!$A$1:$Z$20000,MATCH(A3800,'Semrush Data'!$A$1:$A$20000,0),MATCH("CPC*",'Semrush Data'!$A$1:$Z$1,0)),"")</f>
        <v/>
      </c>
      <c r="J3800" s="42">
        <f>IFERROR(INDEX('Semrush Data'!$A$1:$Z$20000,MATCH(A3800,'Semrush Data'!$A$1:$A$20000,0),MATCH("Intent",'Semrush Data'!$A$1:$Z$1,0)),"")</f>
        <v/>
      </c>
    </row>
    <row r="3801" ht="15" customHeight="1" s="37">
      <c r="A3801" s="42" t="inlineStr">
        <is>
          <t>natural soap bar</t>
        </is>
      </c>
      <c r="B3801" s="42" t="inlineStr">
        <is>
          <t>Generic product term</t>
        </is>
      </c>
      <c r="C3801" s="42" t="n">
        <v>2</v>
      </c>
      <c r="D3801" s="42" t="inlineStr">
        <is>
          <t>T2-3</t>
        </is>
      </c>
      <c r="E3801" s="42" t="n">
        <v>0</v>
      </c>
      <c r="F3801" s="42" t="n"/>
      <c r="G3801" s="55">
        <f>IFERROR(INDEX('Semrush Data'!$A$1:$Z$20000,MATCH(A3801,'Semrush Data'!$A$1:$A$20000,0),MATCH("Volume",'Semrush Data'!$A$1:$Z$1,0)),"")</f>
        <v/>
      </c>
      <c r="H3801" s="42">
        <f>IFERROR(INDEX('Semrush Data'!$A$1:$Z$20000,MATCH(A3801,'Semrush Data'!$A$1:$A$20000,0),MATCH("Keyword Difficulty*",'Semrush Data'!$A$1:$Z$1,0)),"")</f>
        <v/>
      </c>
      <c r="I3801" s="56">
        <f>IFERROR(INDEX('Semrush Data'!$A$1:$Z$20000,MATCH(A3801,'Semrush Data'!$A$1:$A$20000,0),MATCH("CPC*",'Semrush Data'!$A$1:$Z$1,0)),"")</f>
        <v/>
      </c>
      <c r="J3801" s="42">
        <f>IFERROR(INDEX('Semrush Data'!$A$1:$Z$20000,MATCH(A3801,'Semrush Data'!$A$1:$A$20000,0),MATCH("Intent",'Semrush Data'!$A$1:$Z$1,0)),"")</f>
        <v/>
      </c>
    </row>
    <row r="3802" ht="15" customHeight="1" s="37">
      <c r="A3802" s="42" t="inlineStr">
        <is>
          <t>handmade soap uk</t>
        </is>
      </c>
      <c r="B3802" s="42" t="inlineStr">
        <is>
          <t>Generic product term</t>
        </is>
      </c>
      <c r="C3802" s="42" t="n">
        <v>2</v>
      </c>
      <c r="D3802" s="42" t="inlineStr">
        <is>
          <t>T2-3</t>
        </is>
      </c>
      <c r="E3802" s="42" t="n">
        <v>0</v>
      </c>
      <c r="F3802" s="42" t="n"/>
      <c r="G3802" s="55">
        <f>IFERROR(INDEX('Semrush Data'!$A$1:$Z$20000,MATCH(A3802,'Semrush Data'!$A$1:$A$20000,0),MATCH("Volume",'Semrush Data'!$A$1:$Z$1,0)),"")</f>
        <v/>
      </c>
      <c r="H3802" s="42">
        <f>IFERROR(INDEX('Semrush Data'!$A$1:$Z$20000,MATCH(A3802,'Semrush Data'!$A$1:$A$20000,0),MATCH("Keyword Difficulty*",'Semrush Data'!$A$1:$Z$1,0)),"")</f>
        <v/>
      </c>
      <c r="I3802" s="56">
        <f>IFERROR(INDEX('Semrush Data'!$A$1:$Z$20000,MATCH(A3802,'Semrush Data'!$A$1:$A$20000,0),MATCH("CPC*",'Semrush Data'!$A$1:$Z$1,0)),"")</f>
        <v/>
      </c>
      <c r="J3802" s="42">
        <f>IFERROR(INDEX('Semrush Data'!$A$1:$Z$20000,MATCH(A3802,'Semrush Data'!$A$1:$A$20000,0),MATCH("Intent",'Semrush Data'!$A$1:$Z$1,0)),"")</f>
        <v/>
      </c>
    </row>
    <row r="3803" ht="15" customHeight="1" s="37">
      <c r="A3803" s="42" t="inlineStr">
        <is>
          <t>bath bar</t>
        </is>
      </c>
      <c r="B3803" s="42" t="inlineStr">
        <is>
          <t>Generic product term</t>
        </is>
      </c>
      <c r="C3803" s="42" t="n">
        <v>2</v>
      </c>
      <c r="D3803" s="42" t="inlineStr">
        <is>
          <t>T2-3</t>
        </is>
      </c>
      <c r="E3803" s="42" t="n">
        <v>0</v>
      </c>
      <c r="F3803" s="42" t="n"/>
      <c r="G3803" s="55">
        <f>IFERROR(INDEX('Semrush Data'!$A$1:$Z$20000,MATCH(A3803,'Semrush Data'!$A$1:$A$20000,0),MATCH("Volume",'Semrush Data'!$A$1:$Z$1,0)),"")</f>
        <v/>
      </c>
      <c r="H3803" s="42">
        <f>IFERROR(INDEX('Semrush Data'!$A$1:$Z$20000,MATCH(A3803,'Semrush Data'!$A$1:$A$20000,0),MATCH("Keyword Difficulty*",'Semrush Data'!$A$1:$Z$1,0)),"")</f>
        <v/>
      </c>
      <c r="I3803" s="56">
        <f>IFERROR(INDEX('Semrush Data'!$A$1:$Z$20000,MATCH(A3803,'Semrush Data'!$A$1:$A$20000,0),MATCH("CPC*",'Semrush Data'!$A$1:$Z$1,0)),"")</f>
        <v/>
      </c>
      <c r="J3803" s="42">
        <f>IFERROR(INDEX('Semrush Data'!$A$1:$Z$20000,MATCH(A3803,'Semrush Data'!$A$1:$A$20000,0),MATCH("Intent",'Semrush Data'!$A$1:$Z$1,0)),"")</f>
        <v/>
      </c>
    </row>
    <row r="3804" ht="15" customHeight="1" s="37">
      <c r="A3804" s="42" t="inlineStr">
        <is>
          <t>body butter</t>
        </is>
      </c>
      <c r="B3804" s="42" t="inlineStr">
        <is>
          <t>Generic product term</t>
        </is>
      </c>
      <c r="C3804" s="42" t="n">
        <v>2</v>
      </c>
      <c r="D3804" s="42" t="inlineStr">
        <is>
          <t>T2-3</t>
        </is>
      </c>
      <c r="E3804" s="42" t="n">
        <v>0</v>
      </c>
      <c r="F3804" s="42" t="n"/>
      <c r="G3804" s="55">
        <f>IFERROR(INDEX('Semrush Data'!$A$1:$Z$20000,MATCH(A3804,'Semrush Data'!$A$1:$A$20000,0),MATCH("Volume",'Semrush Data'!$A$1:$Z$1,0)),"")</f>
        <v/>
      </c>
      <c r="H3804" s="42">
        <f>IFERROR(INDEX('Semrush Data'!$A$1:$Z$20000,MATCH(A3804,'Semrush Data'!$A$1:$A$20000,0),MATCH("Keyword Difficulty*",'Semrush Data'!$A$1:$Z$1,0)),"")</f>
        <v/>
      </c>
      <c r="I3804" s="56">
        <f>IFERROR(INDEX('Semrush Data'!$A$1:$Z$20000,MATCH(A3804,'Semrush Data'!$A$1:$A$20000,0),MATCH("CPC*",'Semrush Data'!$A$1:$Z$1,0)),"")</f>
        <v/>
      </c>
      <c r="J3804" s="42">
        <f>IFERROR(INDEX('Semrush Data'!$A$1:$Z$20000,MATCH(A3804,'Semrush Data'!$A$1:$A$20000,0),MATCH("Intent",'Semrush Data'!$A$1:$Z$1,0)),"")</f>
        <v/>
      </c>
    </row>
    <row r="3805" ht="15" customHeight="1" s="37">
      <c r="A3805" s="42" t="inlineStr">
        <is>
          <t>chocolate body butter</t>
        </is>
      </c>
      <c r="B3805" s="42" t="inlineStr">
        <is>
          <t>Generic product term</t>
        </is>
      </c>
      <c r="C3805" s="42" t="n">
        <v>2</v>
      </c>
      <c r="D3805" s="42" t="inlineStr">
        <is>
          <t>T2-3</t>
        </is>
      </c>
      <c r="E3805" s="42" t="n">
        <v>0</v>
      </c>
      <c r="F3805" s="42" t="n"/>
      <c r="G3805" s="55">
        <f>IFERROR(INDEX('Semrush Data'!$A$1:$Z$20000,MATCH(A3805,'Semrush Data'!$A$1:$A$20000,0),MATCH("Volume",'Semrush Data'!$A$1:$Z$1,0)),"")</f>
        <v/>
      </c>
      <c r="H3805" s="42">
        <f>IFERROR(INDEX('Semrush Data'!$A$1:$Z$20000,MATCH(A3805,'Semrush Data'!$A$1:$A$20000,0),MATCH("Keyword Difficulty*",'Semrush Data'!$A$1:$Z$1,0)),"")</f>
        <v/>
      </c>
      <c r="I3805" s="56">
        <f>IFERROR(INDEX('Semrush Data'!$A$1:$Z$20000,MATCH(A3805,'Semrush Data'!$A$1:$A$20000,0),MATCH("CPC*",'Semrush Data'!$A$1:$Z$1,0)),"")</f>
        <v/>
      </c>
      <c r="J3805" s="42">
        <f>IFERROR(INDEX('Semrush Data'!$A$1:$Z$20000,MATCH(A3805,'Semrush Data'!$A$1:$A$20000,0),MATCH("Intent",'Semrush Data'!$A$1:$Z$1,0)),"")</f>
        <v/>
      </c>
    </row>
    <row r="3806" ht="15" customHeight="1" s="37">
      <c r="A3806" s="42" t="inlineStr">
        <is>
          <t>cocoa butter body lotion</t>
        </is>
      </c>
      <c r="B3806" s="42" t="inlineStr">
        <is>
          <t>Generic product term</t>
        </is>
      </c>
      <c r="C3806" s="42" t="n">
        <v>2</v>
      </c>
      <c r="D3806" s="42" t="inlineStr">
        <is>
          <t>T2-3</t>
        </is>
      </c>
      <c r="E3806" s="42" t="n">
        <v>0</v>
      </c>
      <c r="F3806" s="42" t="n"/>
      <c r="G3806" s="55">
        <f>IFERROR(INDEX('Semrush Data'!$A$1:$Z$20000,MATCH(A3806,'Semrush Data'!$A$1:$A$20000,0),MATCH("Volume",'Semrush Data'!$A$1:$Z$1,0)),"")</f>
        <v/>
      </c>
      <c r="H3806" s="42">
        <f>IFERROR(INDEX('Semrush Data'!$A$1:$Z$20000,MATCH(A3806,'Semrush Data'!$A$1:$A$20000,0),MATCH("Keyword Difficulty*",'Semrush Data'!$A$1:$Z$1,0)),"")</f>
        <v/>
      </c>
      <c r="I3806" s="56">
        <f>IFERROR(INDEX('Semrush Data'!$A$1:$Z$20000,MATCH(A3806,'Semrush Data'!$A$1:$A$20000,0),MATCH("CPC*",'Semrush Data'!$A$1:$Z$1,0)),"")</f>
        <v/>
      </c>
      <c r="J3806" s="42">
        <f>IFERROR(INDEX('Semrush Data'!$A$1:$Z$20000,MATCH(A3806,'Semrush Data'!$A$1:$A$20000,0),MATCH("Intent",'Semrush Data'!$A$1:$Z$1,0)),"")</f>
        <v/>
      </c>
    </row>
    <row r="3807" ht="15" customHeight="1" s="37">
      <c r="A3807" s="42" t="inlineStr">
        <is>
          <t>foot cream</t>
        </is>
      </c>
      <c r="B3807" s="42" t="inlineStr">
        <is>
          <t>Generic product term</t>
        </is>
      </c>
      <c r="C3807" s="42" t="n">
        <v>2</v>
      </c>
      <c r="D3807" s="42" t="inlineStr">
        <is>
          <t>T2-3</t>
        </is>
      </c>
      <c r="E3807" s="42" t="n">
        <v>0</v>
      </c>
      <c r="F3807" s="42" t="n"/>
      <c r="G3807" s="55">
        <f>IFERROR(INDEX('Semrush Data'!$A$1:$Z$20000,MATCH(A3807,'Semrush Data'!$A$1:$A$20000,0),MATCH("Volume",'Semrush Data'!$A$1:$Z$1,0)),"")</f>
        <v/>
      </c>
      <c r="H3807" s="42">
        <f>IFERROR(INDEX('Semrush Data'!$A$1:$Z$20000,MATCH(A3807,'Semrush Data'!$A$1:$A$20000,0),MATCH("Keyword Difficulty*",'Semrush Data'!$A$1:$Z$1,0)),"")</f>
        <v/>
      </c>
      <c r="I3807" s="56">
        <f>IFERROR(INDEX('Semrush Data'!$A$1:$Z$20000,MATCH(A3807,'Semrush Data'!$A$1:$A$20000,0),MATCH("CPC*",'Semrush Data'!$A$1:$Z$1,0)),"")</f>
        <v/>
      </c>
      <c r="J3807" s="42">
        <f>IFERROR(INDEX('Semrush Data'!$A$1:$Z$20000,MATCH(A3807,'Semrush Data'!$A$1:$A$20000,0),MATCH("Intent",'Semrush Data'!$A$1:$Z$1,0)),"")</f>
        <v/>
      </c>
    </row>
    <row r="3808" ht="15" customHeight="1" s="37">
      <c r="A3808" s="42" t="inlineStr">
        <is>
          <t>natural deodorant for women</t>
        </is>
      </c>
      <c r="B3808" s="42" t="inlineStr">
        <is>
          <t>Generic product term</t>
        </is>
      </c>
      <c r="C3808" s="42" t="n">
        <v>2</v>
      </c>
      <c r="D3808" s="42" t="inlineStr">
        <is>
          <t>T2-3</t>
        </is>
      </c>
      <c r="E3808" s="42" t="n">
        <v>0</v>
      </c>
      <c r="F3808" s="42" t="n"/>
      <c r="G3808" s="55">
        <f>IFERROR(INDEX('Semrush Data'!$A$1:$Z$20000,MATCH(A3808,'Semrush Data'!$A$1:$A$20000,0),MATCH("Volume",'Semrush Data'!$A$1:$Z$1,0)),"")</f>
        <v/>
      </c>
      <c r="H3808" s="42">
        <f>IFERROR(INDEX('Semrush Data'!$A$1:$Z$20000,MATCH(A3808,'Semrush Data'!$A$1:$A$20000,0),MATCH("Keyword Difficulty*",'Semrush Data'!$A$1:$Z$1,0)),"")</f>
        <v/>
      </c>
      <c r="I3808" s="56">
        <f>IFERROR(INDEX('Semrush Data'!$A$1:$Z$20000,MATCH(A3808,'Semrush Data'!$A$1:$A$20000,0),MATCH("CPC*",'Semrush Data'!$A$1:$Z$1,0)),"")</f>
        <v/>
      </c>
      <c r="J3808" s="42">
        <f>IFERROR(INDEX('Semrush Data'!$A$1:$Z$20000,MATCH(A3808,'Semrush Data'!$A$1:$A$20000,0),MATCH("Intent",'Semrush Data'!$A$1:$Z$1,0)),"")</f>
        <v/>
      </c>
    </row>
    <row r="3809" ht="15" customHeight="1" s="37">
      <c r="A3809" s="42" t="inlineStr">
        <is>
          <t>aluminium free deodorant</t>
        </is>
      </c>
      <c r="B3809" s="42" t="inlineStr">
        <is>
          <t>Generic product term</t>
        </is>
      </c>
      <c r="C3809" s="42" t="n">
        <v>2</v>
      </c>
      <c r="D3809" s="42" t="inlineStr">
        <is>
          <t>T2-3</t>
        </is>
      </c>
      <c r="E3809" s="42" t="n">
        <v>0</v>
      </c>
      <c r="F3809" s="42" t="n"/>
      <c r="G3809" s="55">
        <f>IFERROR(INDEX('Semrush Data'!$A$1:$Z$20000,MATCH(A3809,'Semrush Data'!$A$1:$A$20000,0),MATCH("Volume",'Semrush Data'!$A$1:$Z$1,0)),"")</f>
        <v/>
      </c>
      <c r="H3809" s="42">
        <f>IFERROR(INDEX('Semrush Data'!$A$1:$Z$20000,MATCH(A3809,'Semrush Data'!$A$1:$A$20000,0),MATCH("Keyword Difficulty*",'Semrush Data'!$A$1:$Z$1,0)),"")</f>
        <v/>
      </c>
      <c r="I3809" s="56">
        <f>IFERROR(INDEX('Semrush Data'!$A$1:$Z$20000,MATCH(A3809,'Semrush Data'!$A$1:$A$20000,0),MATCH("CPC*",'Semrush Data'!$A$1:$Z$1,0)),"")</f>
        <v/>
      </c>
      <c r="J3809" s="42">
        <f>IFERROR(INDEX('Semrush Data'!$A$1:$Z$20000,MATCH(A3809,'Semrush Data'!$A$1:$A$20000,0),MATCH("Intent",'Semrush Data'!$A$1:$Z$1,0)),"")</f>
        <v/>
      </c>
    </row>
    <row r="3810" ht="15" customHeight="1" s="37">
      <c r="A3810" s="42" t="inlineStr">
        <is>
          <t>hair removal powder</t>
        </is>
      </c>
      <c r="B3810" s="42" t="inlineStr">
        <is>
          <t>Generic product term</t>
        </is>
      </c>
      <c r="C3810" s="42" t="n">
        <v>2</v>
      </c>
      <c r="D3810" s="42" t="inlineStr">
        <is>
          <t>T2-3</t>
        </is>
      </c>
      <c r="E3810" s="42" t="n">
        <v>0</v>
      </c>
      <c r="F3810" s="42" t="n"/>
      <c r="G3810" s="55">
        <f>IFERROR(INDEX('Semrush Data'!$A$1:$Z$20000,MATCH(A3810,'Semrush Data'!$A$1:$A$20000,0),MATCH("Volume",'Semrush Data'!$A$1:$Z$1,0)),"")</f>
        <v/>
      </c>
      <c r="H3810" s="42">
        <f>IFERROR(INDEX('Semrush Data'!$A$1:$Z$20000,MATCH(A3810,'Semrush Data'!$A$1:$A$20000,0),MATCH("Keyword Difficulty*",'Semrush Data'!$A$1:$Z$1,0)),"")</f>
        <v/>
      </c>
      <c r="I3810" s="56">
        <f>IFERROR(INDEX('Semrush Data'!$A$1:$Z$20000,MATCH(A3810,'Semrush Data'!$A$1:$A$20000,0),MATCH("CPC*",'Semrush Data'!$A$1:$Z$1,0)),"")</f>
        <v/>
      </c>
      <c r="J3810" s="42">
        <f>IFERROR(INDEX('Semrush Data'!$A$1:$Z$20000,MATCH(A3810,'Semrush Data'!$A$1:$A$20000,0),MATCH("Intent",'Semrush Data'!$A$1:$Z$1,0)),"")</f>
        <v/>
      </c>
    </row>
    <row r="3811" ht="15" customHeight="1" s="37">
      <c r="A3811" s="42" t="inlineStr">
        <is>
          <t>natural hair dye</t>
        </is>
      </c>
      <c r="B3811" s="42" t="inlineStr">
        <is>
          <t>Generic product term</t>
        </is>
      </c>
      <c r="C3811" s="42" t="n">
        <v>2</v>
      </c>
      <c r="D3811" s="42" t="inlineStr">
        <is>
          <t>T2-3</t>
        </is>
      </c>
      <c r="E3811" s="42" t="n">
        <v>0</v>
      </c>
      <c r="F3811" s="42" t="n"/>
      <c r="G3811" s="55">
        <f>IFERROR(INDEX('Semrush Data'!$A$1:$Z$20000,MATCH(A3811,'Semrush Data'!$A$1:$A$20000,0),MATCH("Volume",'Semrush Data'!$A$1:$Z$1,0)),"")</f>
        <v/>
      </c>
      <c r="H3811" s="42">
        <f>IFERROR(INDEX('Semrush Data'!$A$1:$Z$20000,MATCH(A3811,'Semrush Data'!$A$1:$A$20000,0),MATCH("Keyword Difficulty*",'Semrush Data'!$A$1:$Z$1,0)),"")</f>
        <v/>
      </c>
      <c r="I3811" s="56">
        <f>IFERROR(INDEX('Semrush Data'!$A$1:$Z$20000,MATCH(A3811,'Semrush Data'!$A$1:$A$20000,0),MATCH("CPC*",'Semrush Data'!$A$1:$Z$1,0)),"")</f>
        <v/>
      </c>
      <c r="J3811" s="42">
        <f>IFERROR(INDEX('Semrush Data'!$A$1:$Z$20000,MATCH(A3811,'Semrush Data'!$A$1:$A$20000,0),MATCH("Intent",'Semrush Data'!$A$1:$Z$1,0)),"")</f>
        <v/>
      </c>
    </row>
    <row r="3812" ht="15" customHeight="1" s="37">
      <c r="A3812" s="42" t="inlineStr">
        <is>
          <t>henna hair dye</t>
        </is>
      </c>
      <c r="B3812" s="42" t="inlineStr">
        <is>
          <t>Generic product term</t>
        </is>
      </c>
      <c r="C3812" s="42" t="n">
        <v>2</v>
      </c>
      <c r="D3812" s="42" t="inlineStr">
        <is>
          <t>T2-3</t>
        </is>
      </c>
      <c r="E3812" s="42" t="n">
        <v>0</v>
      </c>
      <c r="F3812" s="42" t="n"/>
      <c r="G3812" s="55">
        <f>IFERROR(INDEX('Semrush Data'!$A$1:$Z$20000,MATCH(A3812,'Semrush Data'!$A$1:$A$20000,0),MATCH("Volume",'Semrush Data'!$A$1:$Z$1,0)),"")</f>
        <v/>
      </c>
      <c r="H3812" s="42">
        <f>IFERROR(INDEX('Semrush Data'!$A$1:$Z$20000,MATCH(A3812,'Semrush Data'!$A$1:$A$20000,0),MATCH("Keyword Difficulty*",'Semrush Data'!$A$1:$Z$1,0)),"")</f>
        <v/>
      </c>
      <c r="I3812" s="56">
        <f>IFERROR(INDEX('Semrush Data'!$A$1:$Z$20000,MATCH(A3812,'Semrush Data'!$A$1:$A$20000,0),MATCH("CPC*",'Semrush Data'!$A$1:$Z$1,0)),"")</f>
        <v/>
      </c>
      <c r="J3812" s="42">
        <f>IFERROR(INDEX('Semrush Data'!$A$1:$Z$20000,MATCH(A3812,'Semrush Data'!$A$1:$A$20000,0),MATCH("Intent",'Semrush Data'!$A$1:$Z$1,0)),"")</f>
        <v/>
      </c>
    </row>
    <row r="3813" ht="15" customHeight="1" s="37">
      <c r="A3813" s="42" t="inlineStr">
        <is>
          <t>indigo powder for hair</t>
        </is>
      </c>
      <c r="B3813" s="42" t="inlineStr">
        <is>
          <t>Generic product term</t>
        </is>
      </c>
      <c r="C3813" s="42" t="n">
        <v>2</v>
      </c>
      <c r="D3813" s="42" t="inlineStr">
        <is>
          <t>T2-3</t>
        </is>
      </c>
      <c r="E3813" s="42" t="n">
        <v>0</v>
      </c>
      <c r="F3813" s="42" t="n"/>
      <c r="G3813" s="55">
        <f>IFERROR(INDEX('Semrush Data'!$A$1:$Z$20000,MATCH(A3813,'Semrush Data'!$A$1:$A$20000,0),MATCH("Volume",'Semrush Data'!$A$1:$Z$1,0)),"")</f>
        <v/>
      </c>
      <c r="H3813" s="42">
        <f>IFERROR(INDEX('Semrush Data'!$A$1:$Z$20000,MATCH(A3813,'Semrush Data'!$A$1:$A$20000,0),MATCH("Keyword Difficulty*",'Semrush Data'!$A$1:$Z$1,0)),"")</f>
        <v/>
      </c>
      <c r="I3813" s="56">
        <f>IFERROR(INDEX('Semrush Data'!$A$1:$Z$20000,MATCH(A3813,'Semrush Data'!$A$1:$A$20000,0),MATCH("CPC*",'Semrush Data'!$A$1:$Z$1,0)),"")</f>
        <v/>
      </c>
      <c r="J3813" s="42">
        <f>IFERROR(INDEX('Semrush Data'!$A$1:$Z$20000,MATCH(A3813,'Semrush Data'!$A$1:$A$20000,0),MATCH("Intent",'Semrush Data'!$A$1:$Z$1,0)),"")</f>
        <v/>
      </c>
    </row>
    <row r="3814" ht="15" customHeight="1" s="37">
      <c r="A3814" s="42" t="inlineStr">
        <is>
          <t>ayurvedic skincare uk</t>
        </is>
      </c>
      <c r="B3814" s="42" t="inlineStr">
        <is>
          <t>Generic product term</t>
        </is>
      </c>
      <c r="C3814" s="42" t="n">
        <v>2</v>
      </c>
      <c r="D3814" s="42" t="inlineStr">
        <is>
          <t>T2-3</t>
        </is>
      </c>
      <c r="E3814" s="42" t="n">
        <v>0</v>
      </c>
      <c r="F3814" s="42" t="n"/>
      <c r="G3814" s="55">
        <f>IFERROR(INDEX('Semrush Data'!$A$1:$Z$20000,MATCH(A3814,'Semrush Data'!$A$1:$A$20000,0),MATCH("Volume",'Semrush Data'!$A$1:$Z$1,0)),"")</f>
        <v/>
      </c>
      <c r="H3814" s="42">
        <f>IFERROR(INDEX('Semrush Data'!$A$1:$Z$20000,MATCH(A3814,'Semrush Data'!$A$1:$A$20000,0),MATCH("Keyword Difficulty*",'Semrush Data'!$A$1:$Z$1,0)),"")</f>
        <v/>
      </c>
      <c r="I3814" s="56">
        <f>IFERROR(INDEX('Semrush Data'!$A$1:$Z$20000,MATCH(A3814,'Semrush Data'!$A$1:$A$20000,0),MATCH("CPC*",'Semrush Data'!$A$1:$Z$1,0)),"")</f>
        <v/>
      </c>
      <c r="J3814" s="42">
        <f>IFERROR(INDEX('Semrush Data'!$A$1:$Z$20000,MATCH(A3814,'Semrush Data'!$A$1:$A$20000,0),MATCH("Intent",'Semrush Data'!$A$1:$Z$1,0)),"")</f>
        <v/>
      </c>
    </row>
    <row r="3815" ht="15" customHeight="1" s="37">
      <c r="A3815" s="42" t="inlineStr">
        <is>
          <t>indian skincare brands uk</t>
        </is>
      </c>
      <c r="B3815" s="42" t="inlineStr">
        <is>
          <t>Generic product term</t>
        </is>
      </c>
      <c r="C3815" s="42" t="n">
        <v>2</v>
      </c>
      <c r="D3815" s="42" t="inlineStr">
        <is>
          <t>T2-3</t>
        </is>
      </c>
      <c r="E3815" s="42" t="n">
        <v>0</v>
      </c>
      <c r="F3815" s="42" t="n"/>
      <c r="G3815" s="55">
        <f>IFERROR(INDEX('Semrush Data'!$A$1:$Z$20000,MATCH(A3815,'Semrush Data'!$A$1:$A$20000,0),MATCH("Volume",'Semrush Data'!$A$1:$Z$1,0)),"")</f>
        <v/>
      </c>
      <c r="H3815" s="42">
        <f>IFERROR(INDEX('Semrush Data'!$A$1:$Z$20000,MATCH(A3815,'Semrush Data'!$A$1:$A$20000,0),MATCH("Keyword Difficulty*",'Semrush Data'!$A$1:$Z$1,0)),"")</f>
        <v/>
      </c>
      <c r="I3815" s="56">
        <f>IFERROR(INDEX('Semrush Data'!$A$1:$Z$20000,MATCH(A3815,'Semrush Data'!$A$1:$A$20000,0),MATCH("CPC*",'Semrush Data'!$A$1:$Z$1,0)),"")</f>
        <v/>
      </c>
      <c r="J3815" s="42">
        <f>IFERROR(INDEX('Semrush Data'!$A$1:$Z$20000,MATCH(A3815,'Semrush Data'!$A$1:$A$20000,0),MATCH("Intent",'Semrush Data'!$A$1:$Z$1,0)),"")</f>
        <v/>
      </c>
    </row>
    <row r="3816" ht="15" customHeight="1" s="37">
      <c r="A3816" s="42" t="inlineStr">
        <is>
          <t>indian skincare uk</t>
        </is>
      </c>
      <c r="B3816" s="42" t="inlineStr">
        <is>
          <t>Generic product term</t>
        </is>
      </c>
      <c r="C3816" s="42" t="n">
        <v>2</v>
      </c>
      <c r="D3816" s="42" t="inlineStr">
        <is>
          <t>T2-3</t>
        </is>
      </c>
      <c r="E3816" s="42" t="n">
        <v>0</v>
      </c>
      <c r="F3816" s="42" t="n"/>
      <c r="G3816" s="55">
        <f>IFERROR(INDEX('Semrush Data'!$A$1:$Z$20000,MATCH(A3816,'Semrush Data'!$A$1:$A$20000,0),MATCH("Volume",'Semrush Data'!$A$1:$Z$1,0)),"")</f>
        <v/>
      </c>
      <c r="H3816" s="42">
        <f>IFERROR(INDEX('Semrush Data'!$A$1:$Z$20000,MATCH(A3816,'Semrush Data'!$A$1:$A$20000,0),MATCH("Keyword Difficulty*",'Semrush Data'!$A$1:$Z$1,0)),"")</f>
        <v/>
      </c>
      <c r="I3816" s="56">
        <f>IFERROR(INDEX('Semrush Data'!$A$1:$Z$20000,MATCH(A3816,'Semrush Data'!$A$1:$A$20000,0),MATCH("CPC*",'Semrush Data'!$A$1:$Z$1,0)),"")</f>
        <v/>
      </c>
      <c r="J3816" s="42">
        <f>IFERROR(INDEX('Semrush Data'!$A$1:$Z$20000,MATCH(A3816,'Semrush Data'!$A$1:$A$20000,0),MATCH("Intent",'Semrush Data'!$A$1:$Z$1,0)),"")</f>
        <v/>
      </c>
    </row>
    <row r="3817" ht="15" customHeight="1" s="37">
      <c r="A3817" s="42" t="inlineStr">
        <is>
          <t>milk face wash</t>
        </is>
      </c>
      <c r="B3817" s="42" t="inlineStr">
        <is>
          <t>Generic product term</t>
        </is>
      </c>
      <c r="C3817" s="42" t="n">
        <v>2</v>
      </c>
      <c r="D3817" s="42" t="inlineStr">
        <is>
          <t>T2-3</t>
        </is>
      </c>
      <c r="E3817" s="42" t="n">
        <v>0</v>
      </c>
      <c r="F3817" s="42" t="n"/>
      <c r="G3817" s="55">
        <f>IFERROR(INDEX('Semrush Data'!$A$1:$Z$20000,MATCH(A3817,'Semrush Data'!$A$1:$A$20000,0),MATCH("Volume",'Semrush Data'!$A$1:$Z$1,0)),"")</f>
        <v/>
      </c>
      <c r="H3817" s="42">
        <f>IFERROR(INDEX('Semrush Data'!$A$1:$Z$20000,MATCH(A3817,'Semrush Data'!$A$1:$A$20000,0),MATCH("Keyword Difficulty*",'Semrush Data'!$A$1:$Z$1,0)),"")</f>
        <v/>
      </c>
      <c r="I3817" s="56">
        <f>IFERROR(INDEX('Semrush Data'!$A$1:$Z$20000,MATCH(A3817,'Semrush Data'!$A$1:$A$20000,0),MATCH("CPC*",'Semrush Data'!$A$1:$Z$1,0)),"")</f>
        <v/>
      </c>
      <c r="J3817" s="42">
        <f>IFERROR(INDEX('Semrush Data'!$A$1:$Z$20000,MATCH(A3817,'Semrush Data'!$A$1:$A$20000,0),MATCH("Intent",'Semrush Data'!$A$1:$Z$1,0)),"")</f>
        <v/>
      </c>
    </row>
    <row r="3818" ht="15" customHeight="1" s="37">
      <c r="A3818" s="42" t="inlineStr">
        <is>
          <t>oat milk face wash</t>
        </is>
      </c>
      <c r="B3818" s="42" t="inlineStr">
        <is>
          <t>Generic product term</t>
        </is>
      </c>
      <c r="C3818" s="42" t="n">
        <v>2</v>
      </c>
      <c r="D3818" s="42" t="inlineStr">
        <is>
          <t>T2-3</t>
        </is>
      </c>
      <c r="E3818" s="42" t="n">
        <v>0</v>
      </c>
      <c r="F3818" s="42" t="n"/>
      <c r="G3818" s="55">
        <f>IFERROR(INDEX('Semrush Data'!$A$1:$Z$20000,MATCH(A3818,'Semrush Data'!$A$1:$A$20000,0),MATCH("Volume",'Semrush Data'!$A$1:$Z$1,0)),"")</f>
        <v/>
      </c>
      <c r="H3818" s="42">
        <f>IFERROR(INDEX('Semrush Data'!$A$1:$Z$20000,MATCH(A3818,'Semrush Data'!$A$1:$A$20000,0),MATCH("Keyword Difficulty*",'Semrush Data'!$A$1:$Z$1,0)),"")</f>
        <v/>
      </c>
      <c r="I3818" s="56">
        <f>IFERROR(INDEX('Semrush Data'!$A$1:$Z$20000,MATCH(A3818,'Semrush Data'!$A$1:$A$20000,0),MATCH("CPC*",'Semrush Data'!$A$1:$Z$1,0)),"")</f>
        <v/>
      </c>
      <c r="J3818" s="42">
        <f>IFERROR(INDEX('Semrush Data'!$A$1:$Z$20000,MATCH(A3818,'Semrush Data'!$A$1:$A$20000,0),MATCH("Intent",'Semrush Data'!$A$1:$Z$1,0)),"")</f>
        <v/>
      </c>
    </row>
    <row r="3819" ht="15" customHeight="1" s="37">
      <c r="A3819" s="42" t="inlineStr">
        <is>
          <t>coffee body scrub</t>
        </is>
      </c>
      <c r="B3819" s="42" t="inlineStr">
        <is>
          <t>Generic product term</t>
        </is>
      </c>
      <c r="C3819" s="42" t="n">
        <v>2</v>
      </c>
      <c r="D3819" s="42" t="inlineStr">
        <is>
          <t>T2-3</t>
        </is>
      </c>
      <c r="E3819" s="42" t="n">
        <v>0</v>
      </c>
      <c r="F3819" s="42" t="n"/>
      <c r="G3819" s="55">
        <f>IFERROR(INDEX('Semrush Data'!$A$1:$Z$20000,MATCH(A3819,'Semrush Data'!$A$1:$A$20000,0),MATCH("Volume",'Semrush Data'!$A$1:$Z$1,0)),"")</f>
        <v/>
      </c>
      <c r="H3819" s="42">
        <f>IFERROR(INDEX('Semrush Data'!$A$1:$Z$20000,MATCH(A3819,'Semrush Data'!$A$1:$A$20000,0),MATCH("Keyword Difficulty*",'Semrush Data'!$A$1:$Z$1,0)),"")</f>
        <v/>
      </c>
      <c r="I3819" s="56">
        <f>IFERROR(INDEX('Semrush Data'!$A$1:$Z$20000,MATCH(A3819,'Semrush Data'!$A$1:$A$20000,0),MATCH("CPC*",'Semrush Data'!$A$1:$Z$1,0)),"")</f>
        <v/>
      </c>
      <c r="J3819" s="42">
        <f>IFERROR(INDEX('Semrush Data'!$A$1:$Z$20000,MATCH(A3819,'Semrush Data'!$A$1:$A$20000,0),MATCH("Intent",'Semrush Data'!$A$1:$Z$1,0)),"")</f>
        <v/>
      </c>
    </row>
    <row r="3820" ht="15" customHeight="1" s="37">
      <c r="A3820" s="42" t="inlineStr">
        <is>
          <t>sunscreen spf 50</t>
        </is>
      </c>
      <c r="B3820" s="42" t="inlineStr">
        <is>
          <t>Generic product term</t>
        </is>
      </c>
      <c r="C3820" s="42" t="n">
        <v>2</v>
      </c>
      <c r="D3820" s="42" t="inlineStr">
        <is>
          <t>T2-3</t>
        </is>
      </c>
      <c r="E3820" s="42" t="n">
        <v>0</v>
      </c>
      <c r="F3820" s="42" t="n"/>
      <c r="G3820" s="55">
        <f>IFERROR(INDEX('Semrush Data'!$A$1:$Z$20000,MATCH(A3820,'Semrush Data'!$A$1:$A$20000,0),MATCH("Volume",'Semrush Data'!$A$1:$Z$1,0)),"")</f>
        <v/>
      </c>
      <c r="H3820" s="42">
        <f>IFERROR(INDEX('Semrush Data'!$A$1:$Z$20000,MATCH(A3820,'Semrush Data'!$A$1:$A$20000,0),MATCH("Keyword Difficulty*",'Semrush Data'!$A$1:$Z$1,0)),"")</f>
        <v/>
      </c>
      <c r="I3820" s="56">
        <f>IFERROR(INDEX('Semrush Data'!$A$1:$Z$20000,MATCH(A3820,'Semrush Data'!$A$1:$A$20000,0),MATCH("CPC*",'Semrush Data'!$A$1:$Z$1,0)),"")</f>
        <v/>
      </c>
      <c r="J3820" s="42">
        <f>IFERROR(INDEX('Semrush Data'!$A$1:$Z$20000,MATCH(A3820,'Semrush Data'!$A$1:$A$20000,0),MATCH("Intent",'Semrush Data'!$A$1:$Z$1,0)),"")</f>
        <v/>
      </c>
    </row>
    <row r="3821" ht="15" customHeight="1" s="37">
      <c r="A3821" s="42" t="inlineStr">
        <is>
          <t>tinted sunscreen</t>
        </is>
      </c>
      <c r="B3821" s="42" t="inlineStr">
        <is>
          <t>Generic product term</t>
        </is>
      </c>
      <c r="C3821" s="42" t="n">
        <v>2</v>
      </c>
      <c r="D3821" s="42" t="inlineStr">
        <is>
          <t>T2-3</t>
        </is>
      </c>
      <c r="E3821" s="42" t="n">
        <v>0</v>
      </c>
      <c r="F3821" s="42" t="n"/>
      <c r="G3821" s="55">
        <f>IFERROR(INDEX('Semrush Data'!$A$1:$Z$20000,MATCH(A3821,'Semrush Data'!$A$1:$A$20000,0),MATCH("Volume",'Semrush Data'!$A$1:$Z$1,0)),"")</f>
        <v/>
      </c>
      <c r="H3821" s="42">
        <f>IFERROR(INDEX('Semrush Data'!$A$1:$Z$20000,MATCH(A3821,'Semrush Data'!$A$1:$A$20000,0),MATCH("Keyword Difficulty*",'Semrush Data'!$A$1:$Z$1,0)),"")</f>
        <v/>
      </c>
      <c r="I3821" s="56">
        <f>IFERROR(INDEX('Semrush Data'!$A$1:$Z$20000,MATCH(A3821,'Semrush Data'!$A$1:$A$20000,0),MATCH("CPC*",'Semrush Data'!$A$1:$Z$1,0)),"")</f>
        <v/>
      </c>
      <c r="J3821" s="42">
        <f>IFERROR(INDEX('Semrush Data'!$A$1:$Z$20000,MATCH(A3821,'Semrush Data'!$A$1:$A$20000,0),MATCH("Intent",'Semrush Data'!$A$1:$Z$1,0)),"")</f>
        <v/>
      </c>
    </row>
    <row r="3822" ht="15" customHeight="1" s="37">
      <c r="A3822" s="42" t="inlineStr">
        <is>
          <t>night cream</t>
        </is>
      </c>
      <c r="B3822" s="42" t="inlineStr">
        <is>
          <t>Generic product term</t>
        </is>
      </c>
      <c r="C3822" s="42" t="n">
        <v>2</v>
      </c>
      <c r="D3822" s="42" t="inlineStr">
        <is>
          <t>T2-3</t>
        </is>
      </c>
      <c r="E3822" s="42" t="n">
        <v>0</v>
      </c>
      <c r="F3822" s="42" t="n"/>
      <c r="G3822" s="55">
        <f>IFERROR(INDEX('Semrush Data'!$A$1:$Z$20000,MATCH(A3822,'Semrush Data'!$A$1:$A$20000,0),MATCH("Volume",'Semrush Data'!$A$1:$Z$1,0)),"")</f>
        <v/>
      </c>
      <c r="H3822" s="42">
        <f>IFERROR(INDEX('Semrush Data'!$A$1:$Z$20000,MATCH(A3822,'Semrush Data'!$A$1:$A$20000,0),MATCH("Keyword Difficulty*",'Semrush Data'!$A$1:$Z$1,0)),"")</f>
        <v/>
      </c>
      <c r="I3822" s="56">
        <f>IFERROR(INDEX('Semrush Data'!$A$1:$Z$20000,MATCH(A3822,'Semrush Data'!$A$1:$A$20000,0),MATCH("CPC*",'Semrush Data'!$A$1:$Z$1,0)),"")</f>
        <v/>
      </c>
      <c r="J3822" s="42">
        <f>IFERROR(INDEX('Semrush Data'!$A$1:$Z$20000,MATCH(A3822,'Semrush Data'!$A$1:$A$20000,0),MATCH("Intent",'Semrush Data'!$A$1:$Z$1,0)),"")</f>
        <v/>
      </c>
    </row>
    <row r="3823" ht="15" customHeight="1" s="37">
      <c r="A3823" s="42" t="inlineStr">
        <is>
          <t>face serum for glowing skin</t>
        </is>
      </c>
      <c r="B3823" s="42" t="inlineStr">
        <is>
          <t>Generic product term</t>
        </is>
      </c>
      <c r="C3823" s="42" t="n">
        <v>2</v>
      </c>
      <c r="D3823" s="42" t="inlineStr">
        <is>
          <t>T2-3</t>
        </is>
      </c>
      <c r="E3823" s="42" t="n">
        <v>0</v>
      </c>
      <c r="F3823" s="42" t="n"/>
      <c r="G3823" s="55">
        <f>IFERROR(INDEX('Semrush Data'!$A$1:$Z$20000,MATCH(A3823,'Semrush Data'!$A$1:$A$20000,0),MATCH("Volume",'Semrush Data'!$A$1:$Z$1,0)),"")</f>
        <v/>
      </c>
      <c r="H3823" s="42">
        <f>IFERROR(INDEX('Semrush Data'!$A$1:$Z$20000,MATCH(A3823,'Semrush Data'!$A$1:$A$20000,0),MATCH("Keyword Difficulty*",'Semrush Data'!$A$1:$Z$1,0)),"")</f>
        <v/>
      </c>
      <c r="I3823" s="56">
        <f>IFERROR(INDEX('Semrush Data'!$A$1:$Z$20000,MATCH(A3823,'Semrush Data'!$A$1:$A$20000,0),MATCH("CPC*",'Semrush Data'!$A$1:$Z$1,0)),"")</f>
        <v/>
      </c>
      <c r="J3823" s="42">
        <f>IFERROR(INDEX('Semrush Data'!$A$1:$Z$20000,MATCH(A3823,'Semrush Data'!$A$1:$A$20000,0),MATCH("Intent",'Semrush Data'!$A$1:$Z$1,0)),"")</f>
        <v/>
      </c>
    </row>
    <row r="3824" ht="15" customHeight="1" s="37">
      <c r="A3824" s="42" t="inlineStr">
        <is>
          <t>hair mask for hair growth</t>
        </is>
      </c>
      <c r="B3824" s="42" t="inlineStr">
        <is>
          <t>Generic product term</t>
        </is>
      </c>
      <c r="C3824" s="42" t="n">
        <v>2</v>
      </c>
      <c r="D3824" s="42" t="inlineStr">
        <is>
          <t>T2-3</t>
        </is>
      </c>
      <c r="E3824" s="42" t="n">
        <v>0</v>
      </c>
      <c r="F3824" s="42" t="n"/>
      <c r="G3824" s="55">
        <f>IFERROR(INDEX('Semrush Data'!$A$1:$Z$20000,MATCH(A3824,'Semrush Data'!$A$1:$A$20000,0),MATCH("Volume",'Semrush Data'!$A$1:$Z$1,0)),"")</f>
        <v/>
      </c>
      <c r="H3824" s="42">
        <f>IFERROR(INDEX('Semrush Data'!$A$1:$Z$20000,MATCH(A3824,'Semrush Data'!$A$1:$A$20000,0),MATCH("Keyword Difficulty*",'Semrush Data'!$A$1:$Z$1,0)),"")</f>
        <v/>
      </c>
      <c r="I3824" s="56">
        <f>IFERROR(INDEX('Semrush Data'!$A$1:$Z$20000,MATCH(A3824,'Semrush Data'!$A$1:$A$20000,0),MATCH("CPC*",'Semrush Data'!$A$1:$Z$1,0)),"")</f>
        <v/>
      </c>
      <c r="J3824" s="42">
        <f>IFERROR(INDEX('Semrush Data'!$A$1:$Z$20000,MATCH(A3824,'Semrush Data'!$A$1:$A$20000,0),MATCH("Intent",'Semrush Data'!$A$1:$Z$1,0)),"")</f>
        <v/>
      </c>
    </row>
    <row r="3825" ht="15" customHeight="1" s="37">
      <c r="A3825" s="42" t="inlineStr">
        <is>
          <t>conditioner for dry hair</t>
        </is>
      </c>
      <c r="B3825" s="42" t="inlineStr">
        <is>
          <t>Generic product term</t>
        </is>
      </c>
      <c r="C3825" s="42" t="n">
        <v>2</v>
      </c>
      <c r="D3825" s="42" t="inlineStr">
        <is>
          <t>T2-3</t>
        </is>
      </c>
      <c r="E3825" s="42" t="n">
        <v>0</v>
      </c>
      <c r="F3825" s="42" t="n"/>
      <c r="G3825" s="55">
        <f>IFERROR(INDEX('Semrush Data'!$A$1:$Z$20000,MATCH(A3825,'Semrush Data'!$A$1:$A$20000,0),MATCH("Volume",'Semrush Data'!$A$1:$Z$1,0)),"")</f>
        <v/>
      </c>
      <c r="H3825" s="42">
        <f>IFERROR(INDEX('Semrush Data'!$A$1:$Z$20000,MATCH(A3825,'Semrush Data'!$A$1:$A$20000,0),MATCH("Keyword Difficulty*",'Semrush Data'!$A$1:$Z$1,0)),"")</f>
        <v/>
      </c>
      <c r="I3825" s="56">
        <f>IFERROR(INDEX('Semrush Data'!$A$1:$Z$20000,MATCH(A3825,'Semrush Data'!$A$1:$A$20000,0),MATCH("CPC*",'Semrush Data'!$A$1:$Z$1,0)),"")</f>
        <v/>
      </c>
      <c r="J3825" s="42">
        <f>IFERROR(INDEX('Semrush Data'!$A$1:$Z$20000,MATCH(A3825,'Semrush Data'!$A$1:$A$20000,0),MATCH("Intent",'Semrush Data'!$A$1:$Z$1,0)),"")</f>
        <v/>
      </c>
    </row>
    <row r="3826" ht="15" customHeight="1" s="37">
      <c r="A3826" s="42" t="inlineStr">
        <is>
          <t>shampoo for dry hair</t>
        </is>
      </c>
      <c r="B3826" s="42" t="inlineStr">
        <is>
          <t>Generic product term</t>
        </is>
      </c>
      <c r="C3826" s="42" t="n">
        <v>2</v>
      </c>
      <c r="D3826" s="42" t="inlineStr">
        <is>
          <t>T2-3</t>
        </is>
      </c>
      <c r="E3826" s="42" t="n">
        <v>0</v>
      </c>
      <c r="F3826" s="42" t="n"/>
      <c r="G3826" s="55">
        <f>IFERROR(INDEX('Semrush Data'!$A$1:$Z$20000,MATCH(A3826,'Semrush Data'!$A$1:$A$20000,0),MATCH("Volume",'Semrush Data'!$A$1:$Z$1,0)),"")</f>
        <v/>
      </c>
      <c r="H3826" s="42">
        <f>IFERROR(INDEX('Semrush Data'!$A$1:$Z$20000,MATCH(A3826,'Semrush Data'!$A$1:$A$20000,0),MATCH("Keyword Difficulty*",'Semrush Data'!$A$1:$Z$1,0)),"")</f>
        <v/>
      </c>
      <c r="I3826" s="56">
        <f>IFERROR(INDEX('Semrush Data'!$A$1:$Z$20000,MATCH(A3826,'Semrush Data'!$A$1:$A$20000,0),MATCH("CPC*",'Semrush Data'!$A$1:$Z$1,0)),"")</f>
        <v/>
      </c>
      <c r="J3826" s="42">
        <f>IFERROR(INDEX('Semrush Data'!$A$1:$Z$20000,MATCH(A3826,'Semrush Data'!$A$1:$A$20000,0),MATCH("Intent",'Semrush Data'!$A$1:$Z$1,0)),"")</f>
        <v/>
      </c>
    </row>
    <row r="3827" ht="15" customHeight="1" s="37">
      <c r="A3827" s="42" t="inlineStr">
        <is>
          <t>shampoo for hair loss</t>
        </is>
      </c>
      <c r="B3827" s="42" t="inlineStr">
        <is>
          <t>Generic product term</t>
        </is>
      </c>
      <c r="C3827" s="42" t="n">
        <v>2</v>
      </c>
      <c r="D3827" s="42" t="inlineStr">
        <is>
          <t>T2-3</t>
        </is>
      </c>
      <c r="E3827" s="42" t="n">
        <v>0</v>
      </c>
      <c r="F3827" s="42" t="n"/>
      <c r="G3827" s="55">
        <f>IFERROR(INDEX('Semrush Data'!$A$1:$Z$20000,MATCH(A3827,'Semrush Data'!$A$1:$A$20000,0),MATCH("Volume",'Semrush Data'!$A$1:$Z$1,0)),"")</f>
        <v/>
      </c>
      <c r="H3827" s="42">
        <f>IFERROR(INDEX('Semrush Data'!$A$1:$Z$20000,MATCH(A3827,'Semrush Data'!$A$1:$A$20000,0),MATCH("Keyword Difficulty*",'Semrush Data'!$A$1:$Z$1,0)),"")</f>
        <v/>
      </c>
      <c r="I3827" s="56">
        <f>IFERROR(INDEX('Semrush Data'!$A$1:$Z$20000,MATCH(A3827,'Semrush Data'!$A$1:$A$20000,0),MATCH("CPC*",'Semrush Data'!$A$1:$Z$1,0)),"")</f>
        <v/>
      </c>
      <c r="J3827" s="42">
        <f>IFERROR(INDEX('Semrush Data'!$A$1:$Z$20000,MATCH(A3827,'Semrush Data'!$A$1:$A$20000,0),MATCH("Intent",'Semrush Data'!$A$1:$Z$1,0)),"")</f>
        <v/>
      </c>
    </row>
    <row r="3828" ht="15" customHeight="1" s="37">
      <c r="A3828" s="42" t="inlineStr">
        <is>
          <t>face wash for sensitive skin</t>
        </is>
      </c>
      <c r="B3828" s="42" t="inlineStr">
        <is>
          <t>Generic product term</t>
        </is>
      </c>
      <c r="C3828" s="42" t="n">
        <v>2</v>
      </c>
      <c r="D3828" s="42" t="inlineStr">
        <is>
          <t>T2-3</t>
        </is>
      </c>
      <c r="E3828" s="42" t="n">
        <v>0</v>
      </c>
      <c r="F3828" s="42" t="n"/>
      <c r="G3828" s="55">
        <f>IFERROR(INDEX('Semrush Data'!$A$1:$Z$20000,MATCH(A3828,'Semrush Data'!$A$1:$A$20000,0),MATCH("Volume",'Semrush Data'!$A$1:$Z$1,0)),"")</f>
        <v/>
      </c>
      <c r="H3828" s="42">
        <f>IFERROR(INDEX('Semrush Data'!$A$1:$Z$20000,MATCH(A3828,'Semrush Data'!$A$1:$A$20000,0),MATCH("Keyword Difficulty*",'Semrush Data'!$A$1:$Z$1,0)),"")</f>
        <v/>
      </c>
      <c r="I3828" s="56">
        <f>IFERROR(INDEX('Semrush Data'!$A$1:$Z$20000,MATCH(A3828,'Semrush Data'!$A$1:$A$20000,0),MATCH("CPC*",'Semrush Data'!$A$1:$Z$1,0)),"")</f>
        <v/>
      </c>
      <c r="J3828" s="42">
        <f>IFERROR(INDEX('Semrush Data'!$A$1:$Z$20000,MATCH(A3828,'Semrush Data'!$A$1:$A$20000,0),MATCH("Intent",'Semrush Data'!$A$1:$Z$1,0)),"")</f>
        <v/>
      </c>
    </row>
    <row r="3829" ht="15" customHeight="1" s="37">
      <c r="A3829" s="42" t="inlineStr">
        <is>
          <t>moisturiser for sensitive skin</t>
        </is>
      </c>
      <c r="B3829" s="42" t="inlineStr">
        <is>
          <t>Generic product term</t>
        </is>
      </c>
      <c r="C3829" s="42" t="n">
        <v>2</v>
      </c>
      <c r="D3829" s="42" t="inlineStr">
        <is>
          <t>T2-3</t>
        </is>
      </c>
      <c r="E3829" s="42" t="n">
        <v>0</v>
      </c>
      <c r="F3829" s="42" t="n"/>
      <c r="G3829" s="55">
        <f>IFERROR(INDEX('Semrush Data'!$A$1:$Z$20000,MATCH(A3829,'Semrush Data'!$A$1:$A$20000,0),MATCH("Volume",'Semrush Data'!$A$1:$Z$1,0)),"")</f>
        <v/>
      </c>
      <c r="H3829" s="42">
        <f>IFERROR(INDEX('Semrush Data'!$A$1:$Z$20000,MATCH(A3829,'Semrush Data'!$A$1:$A$20000,0),MATCH("Keyword Difficulty*",'Semrush Data'!$A$1:$Z$1,0)),"")</f>
        <v/>
      </c>
      <c r="I3829" s="56">
        <f>IFERROR(INDEX('Semrush Data'!$A$1:$Z$20000,MATCH(A3829,'Semrush Data'!$A$1:$A$20000,0),MATCH("CPC*",'Semrush Data'!$A$1:$Z$1,0)),"")</f>
        <v/>
      </c>
      <c r="J3829" s="42">
        <f>IFERROR(INDEX('Semrush Data'!$A$1:$Z$20000,MATCH(A3829,'Semrush Data'!$A$1:$A$20000,0),MATCH("Intent",'Semrush Data'!$A$1:$Z$1,0)),"")</f>
        <v/>
      </c>
    </row>
    <row r="3830" ht="15" customHeight="1" s="37">
      <c r="A3830" s="42" t="inlineStr">
        <is>
          <t>moisturiser for combination skin</t>
        </is>
      </c>
      <c r="B3830" s="42" t="inlineStr">
        <is>
          <t>Generic product term</t>
        </is>
      </c>
      <c r="C3830" s="42" t="n">
        <v>2</v>
      </c>
      <c r="D3830" s="42" t="inlineStr">
        <is>
          <t>T2-3</t>
        </is>
      </c>
      <c r="E3830" s="42" t="n">
        <v>0</v>
      </c>
      <c r="F3830" s="42" t="n"/>
      <c r="G3830" s="55">
        <f>IFERROR(INDEX('Semrush Data'!$A$1:$Z$20000,MATCH(A3830,'Semrush Data'!$A$1:$A$20000,0),MATCH("Volume",'Semrush Data'!$A$1:$Z$1,0)),"")</f>
        <v/>
      </c>
      <c r="H3830" s="42">
        <f>IFERROR(INDEX('Semrush Data'!$A$1:$Z$20000,MATCH(A3830,'Semrush Data'!$A$1:$A$20000,0),MATCH("Keyword Difficulty*",'Semrush Data'!$A$1:$Z$1,0)),"")</f>
        <v/>
      </c>
      <c r="I3830" s="56">
        <f>IFERROR(INDEX('Semrush Data'!$A$1:$Z$20000,MATCH(A3830,'Semrush Data'!$A$1:$A$20000,0),MATCH("CPC*",'Semrush Data'!$A$1:$Z$1,0)),"")</f>
        <v/>
      </c>
      <c r="J3830" s="42">
        <f>IFERROR(INDEX('Semrush Data'!$A$1:$Z$20000,MATCH(A3830,'Semrush Data'!$A$1:$A$20000,0),MATCH("Intent",'Semrush Data'!$A$1:$Z$1,0)),"")</f>
        <v/>
      </c>
    </row>
    <row r="3831" ht="15" customHeight="1" s="37">
      <c r="A3831" s="42" t="inlineStr">
        <is>
          <t>toner for oily skin</t>
        </is>
      </c>
      <c r="B3831" s="42" t="inlineStr">
        <is>
          <t>Generic product term</t>
        </is>
      </c>
      <c r="C3831" s="42" t="n">
        <v>2</v>
      </c>
      <c r="D3831" s="42" t="inlineStr">
        <is>
          <t>T2-3</t>
        </is>
      </c>
      <c r="E3831" s="42" t="n">
        <v>0</v>
      </c>
      <c r="F3831" s="42" t="n"/>
      <c r="G3831" s="55">
        <f>IFERROR(INDEX('Semrush Data'!$A$1:$Z$20000,MATCH(A3831,'Semrush Data'!$A$1:$A$20000,0),MATCH("Volume",'Semrush Data'!$A$1:$Z$1,0)),"")</f>
        <v/>
      </c>
      <c r="H3831" s="42">
        <f>IFERROR(INDEX('Semrush Data'!$A$1:$Z$20000,MATCH(A3831,'Semrush Data'!$A$1:$A$20000,0),MATCH("Keyword Difficulty*",'Semrush Data'!$A$1:$Z$1,0)),"")</f>
        <v/>
      </c>
      <c r="I3831" s="56">
        <f>IFERROR(INDEX('Semrush Data'!$A$1:$Z$20000,MATCH(A3831,'Semrush Data'!$A$1:$A$20000,0),MATCH("CPC*",'Semrush Data'!$A$1:$Z$1,0)),"")</f>
        <v/>
      </c>
      <c r="J3831" s="42">
        <f>IFERROR(INDEX('Semrush Data'!$A$1:$Z$20000,MATCH(A3831,'Semrush Data'!$A$1:$A$20000,0),MATCH("Intent",'Semrush Data'!$A$1:$Z$1,0)),"")</f>
        <v/>
      </c>
    </row>
    <row r="3832" ht="15" customHeight="1" s="37">
      <c r="A3832" s="42" t="inlineStr">
        <is>
          <t>serum for dark spots</t>
        </is>
      </c>
      <c r="B3832" s="42" t="inlineStr">
        <is>
          <t>Generic product term</t>
        </is>
      </c>
      <c r="C3832" s="42" t="n">
        <v>2</v>
      </c>
      <c r="D3832" s="42" t="inlineStr">
        <is>
          <t>T2-3</t>
        </is>
      </c>
      <c r="E3832" s="42" t="n">
        <v>0</v>
      </c>
      <c r="F3832" s="42" t="n"/>
      <c r="G3832" s="55">
        <f>IFERROR(INDEX('Semrush Data'!$A$1:$Z$20000,MATCH(A3832,'Semrush Data'!$A$1:$A$20000,0),MATCH("Volume",'Semrush Data'!$A$1:$Z$1,0)),"")</f>
        <v/>
      </c>
      <c r="H3832" s="42">
        <f>IFERROR(INDEX('Semrush Data'!$A$1:$Z$20000,MATCH(A3832,'Semrush Data'!$A$1:$A$20000,0),MATCH("Keyword Difficulty*",'Semrush Data'!$A$1:$Z$1,0)),"")</f>
        <v/>
      </c>
      <c r="I3832" s="56">
        <f>IFERROR(INDEX('Semrush Data'!$A$1:$Z$20000,MATCH(A3832,'Semrush Data'!$A$1:$A$20000,0),MATCH("CPC*",'Semrush Data'!$A$1:$Z$1,0)),"")</f>
        <v/>
      </c>
      <c r="J3832" s="42">
        <f>IFERROR(INDEX('Semrush Data'!$A$1:$Z$20000,MATCH(A3832,'Semrush Data'!$A$1:$A$20000,0),MATCH("Intent",'Semrush Data'!$A$1:$Z$1,0)),"")</f>
        <v/>
      </c>
    </row>
    <row r="3833" ht="15" customHeight="1" s="37">
      <c r="A3833" s="42" t="inlineStr">
        <is>
          <t>skincare gift set</t>
        </is>
      </c>
      <c r="B3833" s="42" t="inlineStr">
        <is>
          <t>Generic product term</t>
        </is>
      </c>
      <c r="C3833" s="42" t="n">
        <v>2</v>
      </c>
      <c r="D3833" s="42" t="inlineStr">
        <is>
          <t>T2-3</t>
        </is>
      </c>
      <c r="E3833" s="42" t="n">
        <v>0</v>
      </c>
      <c r="F3833" s="42" t="n"/>
      <c r="G3833" s="55">
        <f>IFERROR(INDEX('Semrush Data'!$A$1:$Z$20000,MATCH(A3833,'Semrush Data'!$A$1:$A$20000,0),MATCH("Volume",'Semrush Data'!$A$1:$Z$1,0)),"")</f>
        <v/>
      </c>
      <c r="H3833" s="42">
        <f>IFERROR(INDEX('Semrush Data'!$A$1:$Z$20000,MATCH(A3833,'Semrush Data'!$A$1:$A$20000,0),MATCH("Keyword Difficulty*",'Semrush Data'!$A$1:$Z$1,0)),"")</f>
        <v/>
      </c>
      <c r="I3833" s="56">
        <f>IFERROR(INDEX('Semrush Data'!$A$1:$Z$20000,MATCH(A3833,'Semrush Data'!$A$1:$A$20000,0),MATCH("CPC*",'Semrush Data'!$A$1:$Z$1,0)),"")</f>
        <v/>
      </c>
      <c r="J3833" s="42">
        <f>IFERROR(INDEX('Semrush Data'!$A$1:$Z$20000,MATCH(A3833,'Semrush Data'!$A$1:$A$20000,0),MATCH("Intent",'Semrush Data'!$A$1:$Z$1,0)),"")</f>
        <v/>
      </c>
    </row>
    <row r="3834" ht="15" customHeight="1" s="37">
      <c r="A3834" s="42" t="inlineStr">
        <is>
          <t>hair care gift set</t>
        </is>
      </c>
      <c r="B3834" s="42" t="inlineStr">
        <is>
          <t>Generic product term</t>
        </is>
      </c>
      <c r="C3834" s="42" t="n">
        <v>2</v>
      </c>
      <c r="D3834" s="42" t="inlineStr">
        <is>
          <t>T2-3</t>
        </is>
      </c>
      <c r="E3834" s="42" t="n">
        <v>0</v>
      </c>
      <c r="F3834" s="42" t="n"/>
      <c r="G3834" s="55">
        <f>IFERROR(INDEX('Semrush Data'!$A$1:$Z$20000,MATCH(A3834,'Semrush Data'!$A$1:$A$20000,0),MATCH("Volume",'Semrush Data'!$A$1:$Z$1,0)),"")</f>
        <v/>
      </c>
      <c r="H3834" s="42">
        <f>IFERROR(INDEX('Semrush Data'!$A$1:$Z$20000,MATCH(A3834,'Semrush Data'!$A$1:$A$20000,0),MATCH("Keyword Difficulty*",'Semrush Data'!$A$1:$Z$1,0)),"")</f>
        <v/>
      </c>
      <c r="I3834" s="56">
        <f>IFERROR(INDEX('Semrush Data'!$A$1:$Z$20000,MATCH(A3834,'Semrush Data'!$A$1:$A$20000,0),MATCH("CPC*",'Semrush Data'!$A$1:$Z$1,0)),"")</f>
        <v/>
      </c>
      <c r="J3834" s="42">
        <f>IFERROR(INDEX('Semrush Data'!$A$1:$Z$20000,MATCH(A3834,'Semrush Data'!$A$1:$A$20000,0),MATCH("Intent",'Semrush Data'!$A$1:$Z$1,0)),"")</f>
        <v/>
      </c>
    </row>
    <row r="3835" ht="15" customHeight="1" s="37">
      <c r="A3835" s="42" t="inlineStr">
        <is>
          <t>vegan skincare uk</t>
        </is>
      </c>
      <c r="B3835" s="42" t="inlineStr">
        <is>
          <t>Generic product term</t>
        </is>
      </c>
      <c r="C3835" s="42" t="n">
        <v>2</v>
      </c>
      <c r="D3835" s="42" t="inlineStr">
        <is>
          <t>T2-3</t>
        </is>
      </c>
      <c r="E3835" s="42" t="n">
        <v>0</v>
      </c>
      <c r="F3835" s="42" t="n"/>
      <c r="G3835" s="55">
        <f>IFERROR(INDEX('Semrush Data'!$A$1:$Z$20000,MATCH(A3835,'Semrush Data'!$A$1:$A$20000,0),MATCH("Volume",'Semrush Data'!$A$1:$Z$1,0)),"")</f>
        <v/>
      </c>
      <c r="H3835" s="42">
        <f>IFERROR(INDEX('Semrush Data'!$A$1:$Z$20000,MATCH(A3835,'Semrush Data'!$A$1:$A$20000,0),MATCH("Keyword Difficulty*",'Semrush Data'!$A$1:$Z$1,0)),"")</f>
        <v/>
      </c>
      <c r="I3835" s="56">
        <f>IFERROR(INDEX('Semrush Data'!$A$1:$Z$20000,MATCH(A3835,'Semrush Data'!$A$1:$A$20000,0),MATCH("CPC*",'Semrush Data'!$A$1:$Z$1,0)),"")</f>
        <v/>
      </c>
      <c r="J3835" s="42">
        <f>IFERROR(INDEX('Semrush Data'!$A$1:$Z$20000,MATCH(A3835,'Semrush Data'!$A$1:$A$20000,0),MATCH("Intent",'Semrush Data'!$A$1:$Z$1,0)),"")</f>
        <v/>
      </c>
    </row>
    <row r="3836" ht="15" customHeight="1" s="37">
      <c r="A3836" s="42" t="inlineStr">
        <is>
          <t>cruelty free skincare uk</t>
        </is>
      </c>
      <c r="B3836" s="42" t="inlineStr">
        <is>
          <t>Generic product term</t>
        </is>
      </c>
      <c r="C3836" s="42" t="n">
        <v>2</v>
      </c>
      <c r="D3836" s="42" t="inlineStr">
        <is>
          <t>T2-3</t>
        </is>
      </c>
      <c r="E3836" s="42" t="n">
        <v>0</v>
      </c>
      <c r="F3836" s="42" t="n"/>
      <c r="G3836" s="55">
        <f>IFERROR(INDEX('Semrush Data'!$A$1:$Z$20000,MATCH(A3836,'Semrush Data'!$A$1:$A$20000,0),MATCH("Volume",'Semrush Data'!$A$1:$Z$1,0)),"")</f>
        <v/>
      </c>
      <c r="H3836" s="42">
        <f>IFERROR(INDEX('Semrush Data'!$A$1:$Z$20000,MATCH(A3836,'Semrush Data'!$A$1:$A$20000,0),MATCH("Keyword Difficulty*",'Semrush Data'!$A$1:$Z$1,0)),"")</f>
        <v/>
      </c>
      <c r="I3836" s="56">
        <f>IFERROR(INDEX('Semrush Data'!$A$1:$Z$20000,MATCH(A3836,'Semrush Data'!$A$1:$A$20000,0),MATCH("CPC*",'Semrush Data'!$A$1:$Z$1,0)),"")</f>
        <v/>
      </c>
      <c r="J3836" s="42">
        <f>IFERROR(INDEX('Semrush Data'!$A$1:$Z$20000,MATCH(A3836,'Semrush Data'!$A$1:$A$20000,0),MATCH("Intent",'Semrush Data'!$A$1:$Z$1,0)),"")</f>
        <v/>
      </c>
    </row>
    <row r="3837" ht="15" customHeight="1" s="37">
      <c r="A3837" s="42" t="inlineStr">
        <is>
          <t>paraben free shampoo</t>
        </is>
      </c>
      <c r="B3837" s="42" t="inlineStr">
        <is>
          <t>Generic product term</t>
        </is>
      </c>
      <c r="C3837" s="42" t="n">
        <v>2</v>
      </c>
      <c r="D3837" s="42" t="inlineStr">
        <is>
          <t>T2-3</t>
        </is>
      </c>
      <c r="E3837" s="42" t="n">
        <v>0</v>
      </c>
      <c r="F3837" s="42" t="n"/>
      <c r="G3837" s="55">
        <f>IFERROR(INDEX('Semrush Data'!$A$1:$Z$20000,MATCH(A3837,'Semrush Data'!$A$1:$A$20000,0),MATCH("Volume",'Semrush Data'!$A$1:$Z$1,0)),"")</f>
        <v/>
      </c>
      <c r="H3837" s="42">
        <f>IFERROR(INDEX('Semrush Data'!$A$1:$Z$20000,MATCH(A3837,'Semrush Data'!$A$1:$A$20000,0),MATCH("Keyword Difficulty*",'Semrush Data'!$A$1:$Z$1,0)),"")</f>
        <v/>
      </c>
      <c r="I3837" s="56">
        <f>IFERROR(INDEX('Semrush Data'!$A$1:$Z$20000,MATCH(A3837,'Semrush Data'!$A$1:$A$20000,0),MATCH("CPC*",'Semrush Data'!$A$1:$Z$1,0)),"")</f>
        <v/>
      </c>
      <c r="J3837" s="42">
        <f>IFERROR(INDEX('Semrush Data'!$A$1:$Z$20000,MATCH(A3837,'Semrush Data'!$A$1:$A$20000,0),MATCH("Intent",'Semrush Data'!$A$1:$Z$1,0)),"")</f>
        <v/>
      </c>
    </row>
    <row r="3838" ht="15" customHeight="1" s="37">
      <c r="A3838" s="42" t="inlineStr">
        <is>
          <t>sulphate free shampoo uk</t>
        </is>
      </c>
      <c r="B3838" s="42" t="inlineStr">
        <is>
          <t>Generic product term</t>
        </is>
      </c>
      <c r="C3838" s="42" t="n">
        <v>2</v>
      </c>
      <c r="D3838" s="42" t="inlineStr">
        <is>
          <t>T2-3</t>
        </is>
      </c>
      <c r="E3838" s="42" t="n">
        <v>0</v>
      </c>
      <c r="F3838" s="42" t="n"/>
      <c r="G3838" s="55">
        <f>IFERROR(INDEX('Semrush Data'!$A$1:$Z$20000,MATCH(A3838,'Semrush Data'!$A$1:$A$20000,0),MATCH("Volume",'Semrush Data'!$A$1:$Z$1,0)),"")</f>
        <v/>
      </c>
      <c r="H3838" s="42">
        <f>IFERROR(INDEX('Semrush Data'!$A$1:$Z$20000,MATCH(A3838,'Semrush Data'!$A$1:$A$20000,0),MATCH("Keyword Difficulty*",'Semrush Data'!$A$1:$Z$1,0)),"")</f>
        <v/>
      </c>
      <c r="I3838" s="56">
        <f>IFERROR(INDEX('Semrush Data'!$A$1:$Z$20000,MATCH(A3838,'Semrush Data'!$A$1:$A$20000,0),MATCH("CPC*",'Semrush Data'!$A$1:$Z$1,0)),"")</f>
        <v/>
      </c>
      <c r="J3838" s="42">
        <f>IFERROR(INDEX('Semrush Data'!$A$1:$Z$20000,MATCH(A3838,'Semrush Data'!$A$1:$A$20000,0),MATCH("Intent",'Semrush Data'!$A$1:$Z$1,0)),"")</f>
        <v/>
      </c>
    </row>
    <row r="3839" ht="15" customHeight="1" s="37">
      <c r="A3839" s="42" t="inlineStr">
        <is>
          <t>natural face wash</t>
        </is>
      </c>
      <c r="B3839" s="42" t="inlineStr">
        <is>
          <t>Generic product term</t>
        </is>
      </c>
      <c r="C3839" s="42" t="n">
        <v>2</v>
      </c>
      <c r="D3839" s="42" t="inlineStr">
        <is>
          <t>T2-3</t>
        </is>
      </c>
      <c r="E3839" s="42" t="n">
        <v>0</v>
      </c>
      <c r="F3839" s="42" t="n"/>
      <c r="G3839" s="55">
        <f>IFERROR(INDEX('Semrush Data'!$A$1:$Z$20000,MATCH(A3839,'Semrush Data'!$A$1:$A$20000,0),MATCH("Volume",'Semrush Data'!$A$1:$Z$1,0)),"")</f>
        <v/>
      </c>
      <c r="H3839" s="42">
        <f>IFERROR(INDEX('Semrush Data'!$A$1:$Z$20000,MATCH(A3839,'Semrush Data'!$A$1:$A$20000,0),MATCH("Keyword Difficulty*",'Semrush Data'!$A$1:$Z$1,0)),"")</f>
        <v/>
      </c>
      <c r="I3839" s="56">
        <f>IFERROR(INDEX('Semrush Data'!$A$1:$Z$20000,MATCH(A3839,'Semrush Data'!$A$1:$A$20000,0),MATCH("CPC*",'Semrush Data'!$A$1:$Z$1,0)),"")</f>
        <v/>
      </c>
      <c r="J3839" s="42">
        <f>IFERROR(INDEX('Semrush Data'!$A$1:$Z$20000,MATCH(A3839,'Semrush Data'!$A$1:$A$20000,0),MATCH("Intent",'Semrush Data'!$A$1:$Z$1,0)),"")</f>
        <v/>
      </c>
    </row>
    <row r="3840" ht="15" customHeight="1" s="37">
      <c r="A3840" s="42" t="inlineStr">
        <is>
          <t>natural moisturiser</t>
        </is>
      </c>
      <c r="B3840" s="42" t="inlineStr">
        <is>
          <t>Generic product term</t>
        </is>
      </c>
      <c r="C3840" s="42" t="n">
        <v>2</v>
      </c>
      <c r="D3840" s="42" t="inlineStr">
        <is>
          <t>T2-3</t>
        </is>
      </c>
      <c r="E3840" s="42" t="n">
        <v>0</v>
      </c>
      <c r="F3840" s="42" t="n"/>
      <c r="G3840" s="55">
        <f>IFERROR(INDEX('Semrush Data'!$A$1:$Z$20000,MATCH(A3840,'Semrush Data'!$A$1:$A$20000,0),MATCH("Volume",'Semrush Data'!$A$1:$Z$1,0)),"")</f>
        <v/>
      </c>
      <c r="H3840" s="42">
        <f>IFERROR(INDEX('Semrush Data'!$A$1:$Z$20000,MATCH(A3840,'Semrush Data'!$A$1:$A$20000,0),MATCH("Keyword Difficulty*",'Semrush Data'!$A$1:$Z$1,0)),"")</f>
        <v/>
      </c>
      <c r="I3840" s="56">
        <f>IFERROR(INDEX('Semrush Data'!$A$1:$Z$20000,MATCH(A3840,'Semrush Data'!$A$1:$A$20000,0),MATCH("CPC*",'Semrush Data'!$A$1:$Z$1,0)),"")</f>
        <v/>
      </c>
      <c r="J3840" s="42">
        <f>IFERROR(INDEX('Semrush Data'!$A$1:$Z$20000,MATCH(A3840,'Semrush Data'!$A$1:$A$20000,0),MATCH("Intent",'Semrush Data'!$A$1:$Z$1,0)),"")</f>
        <v/>
      </c>
    </row>
    <row r="3841" ht="15" customHeight="1" s="37">
      <c r="A3841" s="42" t="inlineStr">
        <is>
          <t>natural hair oil</t>
        </is>
      </c>
      <c r="B3841" s="42" t="inlineStr">
        <is>
          <t>Generic product term</t>
        </is>
      </c>
      <c r="C3841" s="42" t="n">
        <v>2</v>
      </c>
      <c r="D3841" s="42" t="inlineStr">
        <is>
          <t>T2-3</t>
        </is>
      </c>
      <c r="E3841" s="42" t="n">
        <v>0</v>
      </c>
      <c r="F3841" s="42" t="n"/>
      <c r="G3841" s="55">
        <f>IFERROR(INDEX('Semrush Data'!$A$1:$Z$20000,MATCH(A3841,'Semrush Data'!$A$1:$A$20000,0),MATCH("Volume",'Semrush Data'!$A$1:$Z$1,0)),"")</f>
        <v/>
      </c>
      <c r="H3841" s="42">
        <f>IFERROR(INDEX('Semrush Data'!$A$1:$Z$20000,MATCH(A3841,'Semrush Data'!$A$1:$A$20000,0),MATCH("Keyword Difficulty*",'Semrush Data'!$A$1:$Z$1,0)),"")</f>
        <v/>
      </c>
      <c r="I3841" s="56">
        <f>IFERROR(INDEX('Semrush Data'!$A$1:$Z$20000,MATCH(A3841,'Semrush Data'!$A$1:$A$20000,0),MATCH("CPC*",'Semrush Data'!$A$1:$Z$1,0)),"")</f>
        <v/>
      </c>
      <c r="J3841" s="42">
        <f>IFERROR(INDEX('Semrush Data'!$A$1:$Z$20000,MATCH(A3841,'Semrush Data'!$A$1:$A$20000,0),MATCH("Intent",'Semrush Data'!$A$1:$Z$1,0)),"")</f>
        <v/>
      </c>
    </row>
    <row r="3842" ht="15" customHeight="1" s="37">
      <c r="A3842" s="42" t="inlineStr">
        <is>
          <t>organic skincare uk</t>
        </is>
      </c>
      <c r="B3842" s="42" t="inlineStr">
        <is>
          <t>Generic product term</t>
        </is>
      </c>
      <c r="C3842" s="42" t="n">
        <v>2</v>
      </c>
      <c r="D3842" s="42" t="inlineStr">
        <is>
          <t>T2-3</t>
        </is>
      </c>
      <c r="E3842" s="42" t="n">
        <v>0</v>
      </c>
      <c r="F3842" s="42" t="n"/>
      <c r="G3842" s="55">
        <f>IFERROR(INDEX('Semrush Data'!$A$1:$Z$20000,MATCH(A3842,'Semrush Data'!$A$1:$A$20000,0),MATCH("Volume",'Semrush Data'!$A$1:$Z$1,0)),"")</f>
        <v/>
      </c>
      <c r="H3842" s="42">
        <f>IFERROR(INDEX('Semrush Data'!$A$1:$Z$20000,MATCH(A3842,'Semrush Data'!$A$1:$A$20000,0),MATCH("Keyword Difficulty*",'Semrush Data'!$A$1:$Z$1,0)),"")</f>
        <v/>
      </c>
      <c r="I3842" s="56">
        <f>IFERROR(INDEX('Semrush Data'!$A$1:$Z$20000,MATCH(A3842,'Semrush Data'!$A$1:$A$20000,0),MATCH("CPC*",'Semrush Data'!$A$1:$Z$1,0)),"")</f>
        <v/>
      </c>
      <c r="J3842" s="42">
        <f>IFERROR(INDEX('Semrush Data'!$A$1:$Z$20000,MATCH(A3842,'Semrush Data'!$A$1:$A$20000,0),MATCH("Intent",'Semrush Data'!$A$1:$Z$1,0)),"")</f>
        <v/>
      </c>
    </row>
  </sheetData>
  <autoFilter ref="A1:J384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Q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36" min="1" max="43"/>
  </cols>
  <sheetData>
    <row r="1" ht="24" customHeight="1" s="37">
      <c r="A1" s="62" t="inlineStr">
        <is>
          <t>Batch 1 · Tier 1</t>
        </is>
      </c>
      <c r="B1" s="62" t="inlineStr">
        <is>
          <t>Batch 2 · Tier 1</t>
        </is>
      </c>
      <c r="C1" s="62" t="inlineStr">
        <is>
          <t>Batch 3 · Tier 1</t>
        </is>
      </c>
      <c r="D1" s="62" t="inlineStr">
        <is>
          <t>Batch 4 · Tier 1</t>
        </is>
      </c>
      <c r="E1" s="62" t="inlineStr">
        <is>
          <t>Batch 5 · Tier 1</t>
        </is>
      </c>
      <c r="F1" s="62" t="inlineStr">
        <is>
          <t>Batch 6 · Tier 1</t>
        </is>
      </c>
      <c r="G1" s="62" t="inlineStr">
        <is>
          <t>Batch 7 · Tier 1</t>
        </is>
      </c>
      <c r="H1" s="62" t="inlineStr">
        <is>
          <t>Batch 8 · Tier 1</t>
        </is>
      </c>
      <c r="I1" s="62" t="inlineStr">
        <is>
          <t>Batch 9 · Tier 1/2</t>
        </is>
      </c>
      <c r="J1" s="63" t="inlineStr">
        <is>
          <t>Batch 10 · SKIPPED (replaced by T2/T3)</t>
        </is>
      </c>
      <c r="K1" s="63" t="inlineStr">
        <is>
          <t>Batch 11 · SKIPPED (replaced by T2/T3)</t>
        </is>
      </c>
      <c r="L1" s="63" t="inlineStr">
        <is>
          <t>Batch 12 · SKIPPED (replaced by T2/T3)</t>
        </is>
      </c>
      <c r="M1" s="63" t="inlineStr">
        <is>
          <t>Batch 13 · SKIPPED (replaced by T2/T3)</t>
        </is>
      </c>
      <c r="N1" s="63" t="inlineStr">
        <is>
          <t>Batch 14 · SKIPPED (replaced by T2/T3)</t>
        </is>
      </c>
      <c r="O1" s="63" t="inlineStr">
        <is>
          <t>Batch 15 · SKIPPED (replaced by T2/T3)</t>
        </is>
      </c>
      <c r="P1" s="63" t="inlineStr">
        <is>
          <t>Batch 16 · SKIPPED (replaced by T2/T3)</t>
        </is>
      </c>
      <c r="Q1" s="63" t="inlineStr">
        <is>
          <t>Batch 17 · SKIPPED (replaced by T2/T3)</t>
        </is>
      </c>
      <c r="R1" s="63" t="inlineStr">
        <is>
          <t>Batch 18 · SKIPPED (replaced by T2/T3)</t>
        </is>
      </c>
      <c r="S1" s="63" t="inlineStr">
        <is>
          <t>Batch 19 · SKIPPED (replaced by T2/T3)</t>
        </is>
      </c>
      <c r="T1" s="63" t="inlineStr">
        <is>
          <t>Batch 20 · SKIPPED (replaced by T2/T3)</t>
        </is>
      </c>
      <c r="U1" s="63" t="inlineStr">
        <is>
          <t>Batch 21 · SKIPPED (replaced by T2/T3)</t>
        </is>
      </c>
      <c r="V1" s="63" t="inlineStr">
        <is>
          <t>Batch 22 · SKIPPED (replaced by T2/T3)</t>
        </is>
      </c>
      <c r="W1" s="63" t="inlineStr">
        <is>
          <t>Batch 23 · SKIPPED (replaced by T2/T3)</t>
        </is>
      </c>
      <c r="X1" s="63" t="inlineStr">
        <is>
          <t>Batch 24 · SKIPPED (replaced by T2/T3)</t>
        </is>
      </c>
      <c r="Y1" s="63" t="inlineStr">
        <is>
          <t>Batch 25 · SKIPPED (replaced by T2/T3)</t>
        </is>
      </c>
      <c r="Z1" s="63" t="inlineStr">
        <is>
          <t>Batch 26 · SKIPPED (replaced by T2/T3)</t>
        </is>
      </c>
      <c r="AA1" s="63" t="inlineStr">
        <is>
          <t>Batch 27 · SKIPPED (replaced by T2/T3)</t>
        </is>
      </c>
      <c r="AB1" s="63" t="inlineStr">
        <is>
          <t>Batch 28 · SKIPPED (replaced by T2/T3)</t>
        </is>
      </c>
      <c r="AC1" s="63" t="inlineStr">
        <is>
          <t>Batch 29 · SKIPPED (replaced by T2/T3)</t>
        </is>
      </c>
      <c r="AD1" s="63" t="inlineStr">
        <is>
          <t>Batch 30 · SKIPPED (replaced by T2/T3)</t>
        </is>
      </c>
      <c r="AE1" s="63" t="inlineStr">
        <is>
          <t>Batch 31 · SKIPPED (replaced by T2/T3)</t>
        </is>
      </c>
      <c r="AF1" s="63" t="inlineStr">
        <is>
          <t>Batch 32 · SKIPPED (replaced by T2/T3)</t>
        </is>
      </c>
      <c r="AG1" s="63" t="inlineStr">
        <is>
          <t>Batch 33 · SKIPPED (replaced by T2/T3)</t>
        </is>
      </c>
      <c r="AH1" s="63" t="inlineStr">
        <is>
          <t>Batch 34 · SKIPPED (replaced by T2/T3)</t>
        </is>
      </c>
      <c r="AI1" s="63" t="inlineStr">
        <is>
          <t>Batch 35 · SKIPPED (replaced by T2/T3)</t>
        </is>
      </c>
      <c r="AJ1" s="63" t="inlineStr">
        <is>
          <t>Batch 36 · SKIPPED (replaced by T2/T3)</t>
        </is>
      </c>
      <c r="AK1" s="63" t="inlineStr">
        <is>
          <t>Batch 37 · SKIPPED (replaced by T2/T3)</t>
        </is>
      </c>
      <c r="AL1" s="63" t="inlineStr">
        <is>
          <t>Batch 38 · SKIPPED (replaced by T2/T3)</t>
        </is>
      </c>
      <c r="AM1" s="64" t="inlineStr">
        <is>
          <t>T2 Batch 1</t>
        </is>
      </c>
      <c r="AN1" s="64" t="inlineStr">
        <is>
          <t>T2 Batch 2</t>
        </is>
      </c>
      <c r="AO1" s="64" t="inlineStr">
        <is>
          <t>T2 Batch 3</t>
        </is>
      </c>
      <c r="AP1" s="65" t="inlineStr">
        <is>
          <t>T3 Batch 1</t>
        </is>
      </c>
      <c r="AQ1" s="65" t="inlineStr">
        <is>
          <t>T3 Batch 2</t>
        </is>
      </c>
    </row>
    <row r="2" ht="15" customHeight="1" s="37">
      <c r="A2" s="42" t="inlineStr">
        <is>
          <t>buy deyga products online</t>
        </is>
      </c>
      <c r="B2" s="42" t="inlineStr">
        <is>
          <t>gucci perfume</t>
        </is>
      </c>
      <c r="C2" s="42" t="inlineStr">
        <is>
          <t>face serum for dull skin</t>
        </is>
      </c>
      <c r="D2" s="42" t="inlineStr">
        <is>
          <t>acqua di parma holiday discovery set</t>
        </is>
      </c>
      <c r="E2" s="42" t="inlineStr">
        <is>
          <t>deyga beautifying serum</t>
        </is>
      </c>
      <c r="F2" s="42" t="inlineStr">
        <is>
          <t>elie saab la collection des essences no. 1 rose</t>
        </is>
      </c>
      <c r="G2" s="42" t="inlineStr">
        <is>
          <t>jo milano game of spades queen for</t>
        </is>
      </c>
      <c r="H2" s="42" t="inlineStr">
        <is>
          <t>tiziana terenzi ecstasy</t>
        </is>
      </c>
      <c r="I2" s="42" t="inlineStr">
        <is>
          <t>vilvah wild rose facemask</t>
        </is>
      </c>
      <c r="J2" s="66" t="inlineStr">
        <is>
          <t>deyga abc kit uk</t>
        </is>
      </c>
      <c r="K2" s="66" t="inlineStr">
        <is>
          <t>dunhill signature collection egyptian smoke uk</t>
        </is>
      </c>
      <c r="L2" s="66" t="inlineStr">
        <is>
          <t>hugo boss boss the scent tester uk</t>
        </is>
      </c>
      <c r="M2" s="66" t="inlineStr">
        <is>
          <t>the woods collection wild roses uk</t>
        </is>
      </c>
      <c r="N2" s="66" t="inlineStr">
        <is>
          <t>vilvah skin hydration kit uk</t>
        </is>
      </c>
      <c r="O2" s="66" t="inlineStr">
        <is>
          <t>dolce &amp; gabbana the one intense eau de parfum</t>
        </is>
      </c>
      <c r="P2" s="66" t="inlineStr">
        <is>
          <t>hugo boss bottled eau de parfum</t>
        </is>
      </c>
      <c r="Q2" s="66" t="inlineStr">
        <is>
          <t>tiziana terenzi gold rose oudh extrait de parfum</t>
        </is>
      </c>
      <c r="R2" s="66" t="inlineStr">
        <is>
          <t>buy chloe miniature gift set online</t>
        </is>
      </c>
      <c r="S2" s="66" t="inlineStr">
        <is>
          <t>buy dkny be tempted online</t>
        </is>
      </c>
      <c r="T2" s="66" t="inlineStr">
        <is>
          <t>buy guerlain oud essentiel online</t>
        </is>
      </c>
      <c r="U2" s="66" t="inlineStr">
        <is>
          <t>buy signature discovery set online</t>
        </is>
      </c>
      <c r="V2" s="66" t="inlineStr">
        <is>
          <t>buy vilvah men's comb / detangling comb online</t>
        </is>
      </c>
      <c r="W2" s="66" t="inlineStr">
        <is>
          <t>al haramain amber oud ruby edition 200ml</t>
        </is>
      </c>
      <c r="X2" s="66" t="inlineStr">
        <is>
          <t>bvlgari - rose goldea blossom delight kit</t>
        </is>
      </c>
      <c r="Y2" s="66" t="inlineStr">
        <is>
          <t>chloe nomade nuit d'egypte reviews</t>
        </is>
      </c>
      <c r="Z2" s="66" t="inlineStr">
        <is>
          <t>deyga sunscreen ingredients</t>
        </is>
      </c>
      <c r="AA2" s="66" t="inlineStr">
        <is>
          <t>dunhill desire silver notes</t>
        </is>
      </c>
      <c r="AB2" s="66" t="inlineStr">
        <is>
          <t>fumeri angel perfume</t>
        </is>
      </c>
      <c r="AC2" s="66" t="inlineStr">
        <is>
          <t>givenchy gentleman originale edt</t>
        </is>
      </c>
      <c r="AD2" s="66" t="inlineStr">
        <is>
          <t>joop homme eau de parfum</t>
        </is>
      </c>
      <c r="AE2" s="66" t="inlineStr">
        <is>
          <t>roll it 18</t>
        </is>
      </c>
      <c r="AF2" s="66" t="inlineStr">
        <is>
          <t>the woods timeless sands</t>
        </is>
      </c>
      <c r="AG2" s="66" t="inlineStr">
        <is>
          <t>vilvah goat milk soap review</t>
        </is>
      </c>
      <c r="AH2" s="66" t="inlineStr">
        <is>
          <t>bvlgari man terrae essence gift set price</t>
        </is>
      </c>
      <c r="AI2" s="66" t="inlineStr">
        <is>
          <t>deyga sensitive skin kit price</t>
        </is>
      </c>
      <c r="AJ2" s="66" t="inlineStr">
        <is>
          <t>givenchy gentleman originale price</t>
        </is>
      </c>
      <c r="AK2" s="66" t="inlineStr">
        <is>
          <t>philipp plein no limits deodorant stick price</t>
        </is>
      </c>
      <c r="AL2" s="66" t="inlineStr">
        <is>
          <t>vilvah face brightening kit price</t>
        </is>
      </c>
      <c r="AM2" s="42" t="inlineStr">
        <is>
          <t>dior sauvage eau de parfum</t>
        </is>
      </c>
      <c r="AN2" s="42" t="inlineStr">
        <is>
          <t>elizabeth arden beauty uk</t>
        </is>
      </c>
      <c r="AO2" s="42" t="inlineStr">
        <is>
          <t>natural soap bar</t>
        </is>
      </c>
      <c r="AP2" s="42" t="inlineStr">
        <is>
          <t>buy dior sauvage online</t>
        </is>
      </c>
      <c r="AQ2" s="42" t="inlineStr">
        <is>
          <t>guerlain samsara original</t>
        </is>
      </c>
    </row>
    <row r="3" ht="15" customHeight="1" s="37">
      <c r="A3" s="42" t="inlineStr">
        <is>
          <t>buy vilvah products online</t>
        </is>
      </c>
      <c r="B3" s="42" t="inlineStr">
        <is>
          <t>gucci perfume for men</t>
        </is>
      </c>
      <c r="C3" s="42" t="inlineStr">
        <is>
          <t>face wash for dry skin</t>
        </is>
      </c>
      <c r="D3" s="42" t="inlineStr">
        <is>
          <t>acqua di parma oud &amp; spice</t>
        </is>
      </c>
      <c r="E3" s="42" t="inlineStr">
        <is>
          <t>deyga beetroot lip balm classic</t>
        </is>
      </c>
      <c r="F3" s="42" t="inlineStr">
        <is>
          <t>elie saab la collection des essences no. 4 oud</t>
        </is>
      </c>
      <c r="G3" s="42" t="inlineStr">
        <is>
          <t>jo milano game of spades wildcard for parfum , 3.4 ounce</t>
        </is>
      </c>
      <c r="H3" s="42" t="inlineStr">
        <is>
          <t>tiziana terenzi gold rose oudh</t>
        </is>
      </c>
      <c r="I3" s="42" t="inlineStr">
        <is>
          <t>vilvah x annapoorna gift box</t>
        </is>
      </c>
      <c r="J3" s="66" t="inlineStr">
        <is>
          <t>deyga acne relief combo uk</t>
        </is>
      </c>
      <c r="K3" s="66" t="inlineStr">
        <is>
          <t>dunhill signature collection indian sandalwood uk</t>
        </is>
      </c>
      <c r="L3" s="66" t="inlineStr">
        <is>
          <t>hugo boss bottled uk</t>
        </is>
      </c>
      <c r="M3" s="66" t="inlineStr">
        <is>
          <t>tiziana terenzi akragas uk</t>
        </is>
      </c>
      <c r="N3" s="66" t="inlineStr">
        <is>
          <t>vilvah skin radiance kit uk</t>
        </is>
      </c>
      <c r="O3" s="66" t="inlineStr">
        <is>
          <t>dunhill desire black eau de toilette</t>
        </is>
      </c>
      <c r="P3" s="66" t="inlineStr">
        <is>
          <t>hugo boss hugo man eau de toilette</t>
        </is>
      </c>
      <c r="Q3" s="66" t="inlineStr">
        <is>
          <t>tiziana terenzi gumin extrait de parfum</t>
        </is>
      </c>
      <c r="R3" s="66" t="inlineStr">
        <is>
          <t>buy chloe miniature set online</t>
        </is>
      </c>
      <c r="S3" s="66" t="inlineStr">
        <is>
          <t>buy dkny miniature set online</t>
        </is>
      </c>
      <c r="T3" s="66" t="inlineStr">
        <is>
          <t>buy guerlain samsara online</t>
        </is>
      </c>
      <c r="U3" s="66" t="inlineStr">
        <is>
          <t>buy signature jade online</t>
        </is>
      </c>
      <c r="V3" s="66" t="inlineStr">
        <is>
          <t>buy vilvah milk body kit online</t>
        </is>
      </c>
      <c r="W3" s="66" t="inlineStr">
        <is>
          <t>al haramain amber oud ruby edition dupe of</t>
        </is>
      </c>
      <c r="X3" s="66" t="inlineStr">
        <is>
          <t>bvlgari glacial essence price</t>
        </is>
      </c>
      <c r="Y3" s="66" t="inlineStr">
        <is>
          <t>chloe nomade parfum</t>
        </is>
      </c>
      <c r="Z3" s="66" t="inlineStr">
        <is>
          <t>deyga sunscreen review</t>
        </is>
      </c>
      <c r="AA3" s="66" t="inlineStr">
        <is>
          <t>dunhill desire silver perfume</t>
        </is>
      </c>
      <c r="AB3" s="66" t="inlineStr">
        <is>
          <t>fumeri blue perfume</t>
        </is>
      </c>
      <c r="AC3" s="66" t="inlineStr">
        <is>
          <t>givenchy gentleman originale for men edt</t>
        </is>
      </c>
      <c r="AD3" s="66" t="inlineStr">
        <is>
          <t>joop homme edp</t>
        </is>
      </c>
      <c r="AE3" s="66" t="inlineStr">
        <is>
          <t>roll it 18 dupe of</t>
        </is>
      </c>
      <c r="AF3" s="66" t="inlineStr">
        <is>
          <t>the woods wild roses</t>
        </is>
      </c>
      <c r="AG3" s="66" t="inlineStr">
        <is>
          <t>vilvah grapefruit lip balm 10g</t>
        </is>
      </c>
      <c r="AH3" s="66" t="inlineStr">
        <is>
          <t>bvlgari man wood essence gift set price</t>
        </is>
      </c>
      <c r="AI3" s="66" t="inlineStr">
        <is>
          <t>deyga shea saffron bath bar price</t>
        </is>
      </c>
      <c r="AJ3" s="66" t="inlineStr">
        <is>
          <t>gucci bloom gift set price</t>
        </is>
      </c>
      <c r="AK3" s="66" t="inlineStr">
        <is>
          <t>philipp plein no limits super fresh price</t>
        </is>
      </c>
      <c r="AL3" s="66" t="inlineStr">
        <is>
          <t>vilvah face lift kit price</t>
        </is>
      </c>
      <c r="AM3" s="42" t="inlineStr">
        <is>
          <t>dior sauvage uk</t>
        </is>
      </c>
      <c r="AN3" s="42" t="inlineStr">
        <is>
          <t>game of spades bid eau de parfum</t>
        </is>
      </c>
      <c r="AO3" s="42" t="inlineStr">
        <is>
          <t>handmade soap uk</t>
        </is>
      </c>
      <c r="AP3" s="42" t="inlineStr">
        <is>
          <t>dior sauvage price</t>
        </is>
      </c>
      <c r="AQ3" s="42" t="inlineStr">
        <is>
          <t>escada magnetism review</t>
        </is>
      </c>
    </row>
    <row r="4" ht="15" customHeight="1" s="37">
      <c r="A4" s="42" t="inlineStr">
        <is>
          <t>deyga</t>
        </is>
      </c>
      <c r="B4" s="42" t="inlineStr">
        <is>
          <t>gucci perfume for women</t>
        </is>
      </c>
      <c r="C4" s="42" t="inlineStr">
        <is>
          <t>face wash for oily skin</t>
        </is>
      </c>
      <c r="D4" s="42" t="inlineStr">
        <is>
          <t>acqua di parma rosa nobile</t>
        </is>
      </c>
      <c r="E4" s="42" t="inlineStr">
        <is>
          <t>deyga beetroot lip balm stick</t>
        </is>
      </c>
      <c r="F4" s="42" t="inlineStr">
        <is>
          <t>elie saab le</t>
        </is>
      </c>
      <c r="G4" s="42" t="inlineStr">
        <is>
          <t>john varvatos artisan</t>
        </is>
      </c>
      <c r="H4" s="42" t="inlineStr">
        <is>
          <t>tiziana terenzi gumin</t>
        </is>
      </c>
      <c r="I4" s="42" t="inlineStr">
        <is>
          <t>ysl yves saint laurent yvresse w</t>
        </is>
      </c>
      <c r="J4" s="66" t="inlineStr">
        <is>
          <t>deyga acne vanishing combo uk</t>
        </is>
      </c>
      <c r="K4" s="66" t="inlineStr">
        <is>
          <t>dunhill signature collection mongolian cashmere uk</t>
        </is>
      </c>
      <c r="L4" s="66" t="inlineStr">
        <is>
          <t>hugo boss hugo man uk</t>
        </is>
      </c>
      <c r="M4" s="66" t="inlineStr">
        <is>
          <t>tiziana terenzi andromeda uk</t>
        </is>
      </c>
      <c r="N4" s="66" t="inlineStr">
        <is>
          <t>vilvah store frizz free hair combo uk</t>
        </is>
      </c>
      <c r="O4" s="66" t="inlineStr">
        <is>
          <t>dunhill desire blue eau de toilette</t>
        </is>
      </c>
      <c r="P4" s="66" t="inlineStr">
        <is>
          <t>hugo boss the collection confident oud intense eau de parfum</t>
        </is>
      </c>
      <c r="Q4" s="66" t="inlineStr">
        <is>
          <t>tiziana terenzi kaff extrait de parfum</t>
        </is>
      </c>
      <c r="R4" s="66" t="inlineStr">
        <is>
          <t>buy chloe nomade gift set online</t>
        </is>
      </c>
      <c r="S4" s="66" t="inlineStr">
        <is>
          <t>buy dolce &amp; gabbana devotion gift set online</t>
        </is>
      </c>
      <c r="T4" s="66" t="inlineStr">
        <is>
          <t>buy hemel affair online</t>
        </is>
      </c>
      <c r="U4" s="66" t="inlineStr">
        <is>
          <t>buy signature le femme gold online</t>
        </is>
      </c>
      <c r="V4" s="66" t="inlineStr">
        <is>
          <t>buy vilvah milk body lotion online</t>
        </is>
      </c>
      <c r="W4" s="66" t="inlineStr">
        <is>
          <t>al haramain amber oud ruby edition edp</t>
        </is>
      </c>
      <c r="X4" s="66" t="inlineStr">
        <is>
          <t>bvlgari man glacial essence eau de parfum gift set 100ml</t>
        </is>
      </c>
      <c r="Y4" s="66" t="inlineStr">
        <is>
          <t>chloe nomade perfume</t>
        </is>
      </c>
      <c r="Z4" s="66" t="inlineStr">
        <is>
          <t>deyga under eye cream amazon</t>
        </is>
      </c>
      <c r="AA4" s="66" t="inlineStr">
        <is>
          <t>dunhill desire silver review</t>
        </is>
      </c>
      <c r="AB4" s="66" t="inlineStr">
        <is>
          <t>fumeri blue perfume price</t>
        </is>
      </c>
      <c r="AC4" s="66" t="inlineStr">
        <is>
          <t>gucci bloom eau de parfum miniature</t>
        </is>
      </c>
      <c r="AD4" s="66" t="inlineStr">
        <is>
          <t>joop homme le parfum</t>
        </is>
      </c>
      <c r="AE4" s="66" t="inlineStr">
        <is>
          <t>royal oud korloff paris</t>
        </is>
      </c>
      <c r="AF4" s="66" t="inlineStr">
        <is>
          <t>tiziana terenzi akragas edp 100ml</t>
        </is>
      </c>
      <c r="AG4" s="66" t="inlineStr">
        <is>
          <t>vilvah grapefruit lip balm amazon</t>
        </is>
      </c>
      <c r="AH4" s="66" t="inlineStr">
        <is>
          <t>bvlgari omnia amethyste price</t>
        </is>
      </c>
      <c r="AI4" s="66" t="inlineStr">
        <is>
          <t>deyga soft lip combo price</t>
        </is>
      </c>
      <c r="AJ4" s="66" t="inlineStr">
        <is>
          <t>gucci bloom miniature price</t>
        </is>
      </c>
      <c r="AK4" s="66" t="inlineStr">
        <is>
          <t>rihanah ajwaa oud price</t>
        </is>
      </c>
      <c r="AL4" s="66" t="inlineStr">
        <is>
          <t>vilvah filter kaapi lip balm price</t>
        </is>
      </c>
      <c r="AM4" s="42" t="inlineStr">
        <is>
          <t>tom ford black orchid parfum</t>
        </is>
      </c>
      <c r="AN4" s="42" t="inlineStr">
        <is>
          <t>game of spades bid uk</t>
        </is>
      </c>
      <c r="AO4" s="42" t="inlineStr">
        <is>
          <t>bath bar</t>
        </is>
      </c>
      <c r="AP4" s="42" t="inlineStr">
        <is>
          <t>buy tom ford black orchid online</t>
        </is>
      </c>
      <c r="AQ4" s="42" t="inlineStr">
        <is>
          <t>escada magnetism notes</t>
        </is>
      </c>
    </row>
    <row r="5" ht="15" customHeight="1" s="37">
      <c r="A5" s="42" t="inlineStr">
        <is>
          <t>deyga official website</t>
        </is>
      </c>
      <c r="B5" s="42" t="inlineStr">
        <is>
          <t>guerlain perfume</t>
        </is>
      </c>
      <c r="C5" s="42" t="inlineStr">
        <is>
          <t>face wash for skin nourishment</t>
        </is>
      </c>
      <c r="D5" s="42" t="inlineStr">
        <is>
          <t>acqua di parma sakura</t>
        </is>
      </c>
      <c r="E5" s="42" t="inlineStr">
        <is>
          <t>deyga best selling face care kit</t>
        </is>
      </c>
      <c r="F5" s="42" t="inlineStr">
        <is>
          <t>elie saab le parfum bridal</t>
        </is>
      </c>
      <c r="G5" s="42" t="inlineStr">
        <is>
          <t>joop! homme</t>
        </is>
      </c>
      <c r="H5" s="42" t="inlineStr">
        <is>
          <t>tiziana terenzi kaff</t>
        </is>
      </c>
      <c r="I5" s="42" t="inlineStr">
        <is>
          <t>abercrombie &amp; fitch first instinct together uk</t>
        </is>
      </c>
      <c r="J5" s="66" t="inlineStr">
        <is>
          <t>deyga activated charcoal body wash uk</t>
        </is>
      </c>
      <c r="K5" s="66" t="inlineStr">
        <is>
          <t>dunhill signature collection moroccan amber uk</t>
        </is>
      </c>
      <c r="L5" s="66" t="inlineStr">
        <is>
          <t>hugo boss the collection confident oud intense uk</t>
        </is>
      </c>
      <c r="M5" s="66" t="inlineStr">
        <is>
          <t>tiziana terenzi borelli linea tt uk</t>
        </is>
      </c>
      <c r="N5" s="66" t="inlineStr">
        <is>
          <t>vilvah sun protection kit uk</t>
        </is>
      </c>
      <c r="O5" s="66" t="inlineStr">
        <is>
          <t>dunhill desire gold eau de toilette</t>
        </is>
      </c>
      <c r="P5" s="66" t="inlineStr">
        <is>
          <t>jean paul gaultier scandal gold eau de parfum</t>
        </is>
      </c>
      <c r="Q5" s="66" t="inlineStr">
        <is>
          <t>tiziana terenzi kirke extrait de parfum</t>
        </is>
      </c>
      <c r="R5" s="66" t="inlineStr">
        <is>
          <t>buy chloe nomade jasmin naturel intense online</t>
        </is>
      </c>
      <c r="S5" s="66" t="inlineStr">
        <is>
          <t>buy dolce &amp; gabbana devotion online</t>
        </is>
      </c>
      <c r="T5" s="66" t="inlineStr">
        <is>
          <t>buy hemel amethyst dream online</t>
        </is>
      </c>
      <c r="U5" s="66" t="inlineStr">
        <is>
          <t>buy signature musk online</t>
        </is>
      </c>
      <c r="V5" s="66" t="inlineStr">
        <is>
          <t>buy vilvah milk drops brightening serum online</t>
        </is>
      </c>
      <c r="W5" s="66" t="inlineStr">
        <is>
          <t>al haramain amber oud ruby edition review</t>
        </is>
      </c>
      <c r="X5" s="66" t="inlineStr">
        <is>
          <t>bvlgari man glacial essence eau de parfum review</t>
        </is>
      </c>
      <c r="Y5" s="66" t="inlineStr">
        <is>
          <t>chloe nomade sizes</t>
        </is>
      </c>
      <c r="Z5" s="66" t="inlineStr">
        <is>
          <t>deyga under eye cream benefits</t>
        </is>
      </c>
      <c r="AA5" s="66" t="inlineStr">
        <is>
          <t>dunhill signature amalfi citrus</t>
        </is>
      </c>
      <c r="AB5" s="66" t="inlineStr">
        <is>
          <t>fumeri elixir perfume</t>
        </is>
      </c>
      <c r="AC5" s="66" t="inlineStr">
        <is>
          <t>gucci bloom gift set 100ml</t>
        </is>
      </c>
      <c r="AD5" s="66" t="inlineStr">
        <is>
          <t>joop homme le parfum 125ml</t>
        </is>
      </c>
      <c r="AE5" s="66" t="inlineStr">
        <is>
          <t>royal oud perfume la maison de la vanille</t>
        </is>
      </c>
      <c r="AF5" s="66" t="inlineStr">
        <is>
          <t>tiziana terenzi akragas extrait</t>
        </is>
      </c>
      <c r="AG5" s="66" t="inlineStr">
        <is>
          <t>vilvah grapefruit lip balm benefits</t>
        </is>
      </c>
      <c r="AH5" s="66" t="inlineStr">
        <is>
          <t>bvlgari rose goldea blossom delight gift set price</t>
        </is>
      </c>
      <c r="AI5" s="66" t="inlineStr">
        <is>
          <t>deyga soy milk conditioner price</t>
        </is>
      </c>
      <c r="AJ5" s="66" t="inlineStr">
        <is>
          <t>gucci bloom parfum miniature price</t>
        </is>
      </c>
      <c r="AK5" s="66" t="inlineStr">
        <is>
          <t>roll it 1 price</t>
        </is>
      </c>
      <c r="AL5" s="66" t="inlineStr">
        <is>
          <t>vilvah foot cream and body lotion kit price</t>
        </is>
      </c>
      <c r="AM5" s="42" t="inlineStr">
        <is>
          <t>tom ford black orchid uk</t>
        </is>
      </c>
      <c r="AN5" s="42" t="inlineStr">
        <is>
          <t>gucci set uk</t>
        </is>
      </c>
      <c r="AO5" s="42" t="inlineStr">
        <is>
          <t>body butter</t>
        </is>
      </c>
      <c r="AP5" s="42" t="inlineStr">
        <is>
          <t>tom ford black orchid price</t>
        </is>
      </c>
      <c r="AQ5" s="42" t="inlineStr">
        <is>
          <t>carolina herrera 212 vip men review</t>
        </is>
      </c>
    </row>
    <row r="6" ht="15" customHeight="1" s="37">
      <c r="A6" s="42" t="inlineStr">
        <is>
          <t>deyga products</t>
        </is>
      </c>
      <c r="B6" s="42" t="inlineStr">
        <is>
          <t>guerlain perfume for men</t>
        </is>
      </c>
      <c r="C6" s="42" t="inlineStr">
        <is>
          <t>hair accessories for hair nourishment</t>
        </is>
      </c>
      <c r="D6" s="42" t="inlineStr">
        <is>
          <t>acqua di parma sandalo</t>
        </is>
      </c>
      <c r="E6" s="42" t="inlineStr">
        <is>
          <t>deyga body scrub</t>
        </is>
      </c>
      <c r="F6" s="42" t="inlineStr">
        <is>
          <t>elie saab le parfum gift set</t>
        </is>
      </c>
      <c r="G6" s="42" t="inlineStr">
        <is>
          <t>joop! homme le</t>
        </is>
      </c>
      <c r="H6" s="42" t="inlineStr">
        <is>
          <t>tiziana terenzi kirke</t>
        </is>
      </c>
      <c r="I6" s="42" t="inlineStr">
        <is>
          <t>abercrombie &amp; fitch naturally fierce uk</t>
        </is>
      </c>
      <c r="J6" s="66" t="inlineStr">
        <is>
          <t>deyga almond milk body lotion uk</t>
        </is>
      </c>
      <c r="K6" s="66" t="inlineStr">
        <is>
          <t>dunhill signature collection nordic fougere uk</t>
        </is>
      </c>
      <c r="L6" s="66" t="inlineStr">
        <is>
          <t>jean paul gaultier classique perfumed shower gel uk</t>
        </is>
      </c>
      <c r="M6" s="66" t="inlineStr">
        <is>
          <t>tiziana terenzi caput mundi uk</t>
        </is>
      </c>
      <c r="N6" s="66" t="inlineStr">
        <is>
          <t>vilvah tan protection kit uk</t>
        </is>
      </c>
      <c r="O6" s="66" t="inlineStr">
        <is>
          <t>dunhill desire silver eau de toilette</t>
        </is>
      </c>
      <c r="P6" s="66" t="inlineStr">
        <is>
          <t>jimmy choo i want choo forever miniature eau de parfum</t>
        </is>
      </c>
      <c r="Q6" s="66" t="inlineStr">
        <is>
          <t>tiziana terenzi leo extrait de parfum</t>
        </is>
      </c>
      <c r="R6" s="66" t="inlineStr">
        <is>
          <t>buy chloe nomade nuit d'egypte online</t>
        </is>
      </c>
      <c r="S6" s="66" t="inlineStr">
        <is>
          <t>buy dolce &amp; gabbana k gift set online</t>
        </is>
      </c>
      <c r="T6" s="66" t="inlineStr">
        <is>
          <t>buy hemel dorado online</t>
        </is>
      </c>
      <c r="U6" s="66" t="inlineStr">
        <is>
          <t>buy signature onyx online</t>
        </is>
      </c>
      <c r="V6" s="66" t="inlineStr">
        <is>
          <t>buy vilvah milk face kit online</t>
        </is>
      </c>
      <c r="W6" s="66" t="inlineStr">
        <is>
          <t>al haramain amber oud tobacco edition 100ml</t>
        </is>
      </c>
      <c r="X6" s="66" t="inlineStr">
        <is>
          <t>bvlgari man glacial essence kit</t>
        </is>
      </c>
      <c r="Y6" s="66" t="inlineStr">
        <is>
          <t>chloe perfume miniature gift set</t>
        </is>
      </c>
      <c r="Z6" s="66" t="inlineStr">
        <is>
          <t>deyga under eye cream how to use</t>
        </is>
      </c>
      <c r="AA6" s="66" t="inlineStr">
        <is>
          <t>dunhill signature arabian desert</t>
        </is>
      </c>
      <c r="AB6" s="66" t="inlineStr">
        <is>
          <t>fumeri elixir perfume price</t>
        </is>
      </c>
      <c r="AC6" s="66" t="inlineStr">
        <is>
          <t>gucci bloom gift set 50ml</t>
        </is>
      </c>
      <c r="AD6" s="66" t="inlineStr">
        <is>
          <t>joop homme le parfum for men</t>
        </is>
      </c>
      <c r="AE6" s="66" t="inlineStr">
        <is>
          <t>sap le roi extrait</t>
        </is>
      </c>
      <c r="AF6" s="66" t="inlineStr">
        <is>
          <t>tiziana terenzi akragas extrait de parfum 100ml</t>
        </is>
      </c>
      <c r="AG6" s="66" t="inlineStr">
        <is>
          <t>vilvah grapefruit lip balm review</t>
        </is>
      </c>
      <c r="AH6" s="66" t="inlineStr">
        <is>
          <t>bvlgari splendida tubereuse mystique price</t>
        </is>
      </c>
      <c r="AI6" s="66" t="inlineStr">
        <is>
          <t>deyga spinach &amp; cucumber bath bar price</t>
        </is>
      </c>
      <c r="AJ6" s="66" t="inlineStr">
        <is>
          <t>gucci bloom profumo di fiori pen price</t>
        </is>
      </c>
      <c r="AK6" s="66" t="inlineStr">
        <is>
          <t>s.t. dupont perfect tobacco price</t>
        </is>
      </c>
      <c r="AL6" s="66" t="inlineStr">
        <is>
          <t>vilvah foot cream price</t>
        </is>
      </c>
      <c r="AM6" s="42" t="inlineStr">
        <is>
          <t>tom ford oud wood eau de parfum</t>
        </is>
      </c>
      <c r="AN6" s="42" t="inlineStr">
        <is>
          <t>shiseido zen eau de parfum</t>
        </is>
      </c>
      <c r="AO6" s="42" t="inlineStr">
        <is>
          <t>chocolate body butter</t>
        </is>
      </c>
      <c r="AP6" s="42" t="inlineStr">
        <is>
          <t>buy tom ford oud wood online</t>
        </is>
      </c>
      <c r="AQ6" s="42" t="inlineStr">
        <is>
          <t>carolina herrera 212 vip men notes</t>
        </is>
      </c>
    </row>
    <row r="7" ht="15" customHeight="1" s="37">
      <c r="A7" s="42" t="inlineStr">
        <is>
          <t>deyga products uk</t>
        </is>
      </c>
      <c r="B7" s="42" t="inlineStr">
        <is>
          <t>guerlain perfume for women</t>
        </is>
      </c>
      <c r="C7" s="42" t="inlineStr">
        <is>
          <t>hair mask for dry hair</t>
        </is>
      </c>
      <c r="D7" s="42" t="inlineStr">
        <is>
          <t>acqua di parma zafferano</t>
        </is>
      </c>
      <c r="E7" s="42" t="inlineStr">
        <is>
          <t>deyga charcoal bath bar</t>
        </is>
      </c>
      <c r="F7" s="42" t="inlineStr">
        <is>
          <t>elie saab le parfum intense</t>
        </is>
      </c>
      <c r="G7" s="42" t="inlineStr">
        <is>
          <t>juicy couture viva la juicy rose</t>
        </is>
      </c>
      <c r="H7" s="42" t="inlineStr">
        <is>
          <t>tiziana terenzi leo</t>
        </is>
      </c>
      <c r="I7" s="42" t="inlineStr">
        <is>
          <t>acqua di parma blu mediterraneo discovery set uk</t>
        </is>
      </c>
      <c r="J7" s="66" t="inlineStr">
        <is>
          <t>deyga anti dandruff shampoo uk</t>
        </is>
      </c>
      <c r="K7" s="66" t="inlineStr">
        <is>
          <t>dunhill signature collection valensole lavender uk</t>
        </is>
      </c>
      <c r="L7" s="66" t="inlineStr">
        <is>
          <t>jean paul gaultier scandal gold uk</t>
        </is>
      </c>
      <c r="M7" s="66" t="inlineStr">
        <is>
          <t>tiziana terenzi chimaera anniversary uk</t>
        </is>
      </c>
      <c r="N7" s="66" t="inlineStr">
        <is>
          <t>vilvah tinted lip balm kit uk</t>
        </is>
      </c>
      <c r="O7" s="66" t="inlineStr">
        <is>
          <t>dunhill signature collection agar wood eau de parfum</t>
        </is>
      </c>
      <c r="P7" s="66" t="inlineStr">
        <is>
          <t>jo milano game of spades wildcard for parfum , 3.4 ounce parfum</t>
        </is>
      </c>
      <c r="Q7" s="66" t="inlineStr">
        <is>
          <t>tiziana terenzi moro di venezia extrait de parfum</t>
        </is>
      </c>
      <c r="R7" s="66" t="inlineStr">
        <is>
          <t>buy chloe nomade online</t>
        </is>
      </c>
      <c r="S7" s="66" t="inlineStr">
        <is>
          <t>buy dolce &amp; gabbana l'imperatrice online</t>
        </is>
      </c>
      <c r="T7" s="66" t="inlineStr">
        <is>
          <t>buy hemel favourite black online</t>
        </is>
      </c>
      <c r="U7" s="66" t="inlineStr">
        <is>
          <t>buy signature opal online</t>
        </is>
      </c>
      <c r="V7" s="66" t="inlineStr">
        <is>
          <t>buy vilvah milk face toner online</t>
        </is>
      </c>
      <c r="W7" s="66" t="inlineStr">
        <is>
          <t>al haramain amber oud tobacco edition 200ml</t>
        </is>
      </c>
      <c r="X7" s="66" t="inlineStr">
        <is>
          <t>bvlgari man glacial essence review</t>
        </is>
      </c>
      <c r="Y7" s="66" t="inlineStr">
        <is>
          <t>chloe rose naturelle intense 100ml</t>
        </is>
      </c>
      <c r="Z7" s="66" t="inlineStr">
        <is>
          <t>deyga under eye cream ingredients</t>
        </is>
      </c>
      <c r="AA7" s="66" t="inlineStr">
        <is>
          <t>dunhill signature arabian desert edp</t>
        </is>
      </c>
      <c r="AB7" s="66" t="inlineStr">
        <is>
          <t>fumeri gris perfume</t>
        </is>
      </c>
      <c r="AC7" s="66" t="inlineStr">
        <is>
          <t>gucci bloom gift set boots</t>
        </is>
      </c>
      <c r="AD7" s="66" t="inlineStr">
        <is>
          <t>joop homme le parfum notes</t>
        </is>
      </c>
      <c r="AE7" s="66" t="inlineStr">
        <is>
          <t>sap le roi extrait de parfum 100ml</t>
        </is>
      </c>
      <c r="AF7" s="66" t="inlineStr">
        <is>
          <t>tiziana terenzi akragas review</t>
        </is>
      </c>
      <c r="AG7" s="66" t="inlineStr">
        <is>
          <t>vilvah hair growth oil amazon</t>
        </is>
      </c>
      <c r="AH7" s="66" t="inlineStr">
        <is>
          <t>calvin klein defy miniature price</t>
        </is>
      </c>
      <c r="AI7" s="66" t="inlineStr">
        <is>
          <t>deyga spirulina matcha face pack price</t>
        </is>
      </c>
      <c r="AJ7" s="66" t="inlineStr">
        <is>
          <t>gucci flora gorgeous gardenia price</t>
        </is>
      </c>
      <c r="AK7" s="66" t="inlineStr">
        <is>
          <t>s.t. dupont pure bloom price</t>
        </is>
      </c>
      <c r="AL7" s="66" t="inlineStr">
        <is>
          <t>vilvah goat milk body wash price</t>
        </is>
      </c>
      <c r="AM7" s="42" t="inlineStr">
        <is>
          <t>tom ford oud wood uk</t>
        </is>
      </c>
      <c r="AN7" s="42" t="inlineStr">
        <is>
          <t>shiseido zen uk</t>
        </is>
      </c>
      <c r="AO7" s="42" t="inlineStr">
        <is>
          <t>cocoa butter body lotion</t>
        </is>
      </c>
      <c r="AP7" s="42" t="inlineStr">
        <is>
          <t>tom ford oud wood price</t>
        </is>
      </c>
      <c r="AQ7" s="42" t="inlineStr">
        <is>
          <t>dkny be tempted review</t>
        </is>
      </c>
    </row>
    <row r="8" ht="15" customHeight="1" s="37">
      <c r="A8" s="42" t="inlineStr">
        <is>
          <t>deyga uk</t>
        </is>
      </c>
      <c r="B8" s="42" t="inlineStr">
        <is>
          <t>hemel perfume</t>
        </is>
      </c>
      <c r="C8" s="42" t="inlineStr">
        <is>
          <t>hair oil for dandruff</t>
        </is>
      </c>
      <c r="D8" s="42" t="inlineStr">
        <is>
          <t>al haramain amber musk</t>
        </is>
      </c>
      <c r="E8" s="42" t="inlineStr">
        <is>
          <t>deyga charcoal detox face mask</t>
        </is>
      </c>
      <c r="F8" s="42" t="inlineStr">
        <is>
          <t>elie saab le parfum lumiere gift set</t>
        </is>
      </c>
      <c r="G8" s="42" t="inlineStr">
        <is>
          <t>kenneth cole moonlight blue</t>
        </is>
      </c>
      <c r="H8" s="42" t="inlineStr">
        <is>
          <t>tiziana terenzi moro di venezia</t>
        </is>
      </c>
      <c r="I8" s="42" t="inlineStr">
        <is>
          <t>acqua di parma colonia essenza deodorant stick uk</t>
        </is>
      </c>
      <c r="J8" s="66" t="inlineStr">
        <is>
          <t>deyga anti-dandruff oil uk</t>
        </is>
      </c>
      <c r="K8" s="66" t="inlineStr">
        <is>
          <t>elie saab elixir uk</t>
        </is>
      </c>
      <c r="L8" s="66" t="inlineStr">
        <is>
          <t>jimmy choo i want choo forever miniature uk</t>
        </is>
      </c>
      <c r="M8" s="66" t="inlineStr">
        <is>
          <t>tiziana terenzi draconis uk</t>
        </is>
      </c>
      <c r="N8" s="66" t="inlineStr">
        <is>
          <t>vilvah ultra moisturising cream uk</t>
        </is>
      </c>
      <c r="O8" s="66" t="inlineStr">
        <is>
          <t>dunhill signature collection amalfi citrus eau de parfum</t>
        </is>
      </c>
      <c r="P8" s="66" t="inlineStr">
        <is>
          <t>john varvatos artisan eau de toilette</t>
        </is>
      </c>
      <c r="Q8" s="66" t="inlineStr">
        <is>
          <t>tiziana terenzi orion extrait de parfum</t>
        </is>
      </c>
      <c r="R8" s="66" t="inlineStr">
        <is>
          <t>buy chloe rose naturelle intense online</t>
        </is>
      </c>
      <c r="S8" s="66" t="inlineStr">
        <is>
          <t>buy dolce &amp; gabbana miniature set online</t>
        </is>
      </c>
      <c r="T8" s="66" t="inlineStr">
        <is>
          <t>buy hemel gris online</t>
        </is>
      </c>
      <c r="U8" s="66" t="inlineStr">
        <is>
          <t>buy signature paradiso online</t>
        </is>
      </c>
      <c r="V8" s="66" t="inlineStr">
        <is>
          <t>buy vilvah milk lip balm spf 30 pa+++ online</t>
        </is>
      </c>
      <c r="W8" s="66" t="inlineStr">
        <is>
          <t>al haramain amber oud tobacco edition dupe of</t>
        </is>
      </c>
      <c r="X8" s="66" t="inlineStr">
        <is>
          <t>bvlgari man glacial essence set</t>
        </is>
      </c>
      <c r="Y8" s="66" t="inlineStr">
        <is>
          <t>chloe rose naturelle intense dupe</t>
        </is>
      </c>
      <c r="Z8" s="66" t="inlineStr">
        <is>
          <t>deyga under eye cream review</t>
        </is>
      </c>
      <c r="AA8" s="66" t="inlineStr">
        <is>
          <t>dunhill signature british leather</t>
        </is>
      </c>
      <c r="AB8" s="66" t="inlineStr">
        <is>
          <t>fumeri orchid noir perfume</t>
        </is>
      </c>
      <c r="AC8" s="66" t="inlineStr">
        <is>
          <t>gucci bloom gift set sale</t>
        </is>
      </c>
      <c r="AD8" s="66" t="inlineStr">
        <is>
          <t>joop homme le parfum price</t>
        </is>
      </c>
      <c r="AE8" s="66" t="inlineStr">
        <is>
          <t>sap le roi parfum</t>
        </is>
      </c>
      <c r="AF8" s="66" t="inlineStr">
        <is>
          <t>tiziana terenzi akragas отзывы</t>
        </is>
      </c>
      <c r="AG8" s="66" t="inlineStr">
        <is>
          <t>vilvah hair growth oil benefits</t>
        </is>
      </c>
      <c r="AH8" s="66" t="inlineStr">
        <is>
          <t>calvin klein defy parfum miniature price</t>
        </is>
      </c>
      <c r="AI8" s="66" t="inlineStr">
        <is>
          <t>deyga strawberry lip scrub price</t>
        </is>
      </c>
      <c r="AJ8" s="66" t="inlineStr">
        <is>
          <t>gucci flora gorgeous miniature set price</t>
        </is>
      </c>
      <c r="AK8" s="66" t="inlineStr">
        <is>
          <t>s.t. dupont royal amber price</t>
        </is>
      </c>
      <c r="AL8" s="66" t="inlineStr">
        <is>
          <t>vilvah goat milk hair kit price</t>
        </is>
      </c>
      <c r="AM8" s="42" t="inlineStr">
        <is>
          <t>joop! homme eau de toilette</t>
        </is>
      </c>
      <c r="AN8" s="42" t="inlineStr">
        <is>
          <t>al haramain amber oud ruby edition eau de parfum</t>
        </is>
      </c>
      <c r="AO8" s="42" t="inlineStr">
        <is>
          <t>foot cream</t>
        </is>
      </c>
      <c r="AP8" s="42" t="inlineStr">
        <is>
          <t>buy joop! homme online</t>
        </is>
      </c>
      <c r="AQ8" s="42" t="inlineStr">
        <is>
          <t>dkny be tempted notes</t>
        </is>
      </c>
    </row>
    <row r="9" ht="15" customHeight="1" s="37">
      <c r="A9" s="42" t="inlineStr">
        <is>
          <t>vilvah</t>
        </is>
      </c>
      <c r="B9" s="42" t="inlineStr">
        <is>
          <t>hermes perfume</t>
        </is>
      </c>
      <c r="C9" s="42" t="inlineStr">
        <is>
          <t>hair oil for dry hair</t>
        </is>
      </c>
      <c r="D9" s="42" t="inlineStr">
        <is>
          <t>al haramain amber oud</t>
        </is>
      </c>
      <c r="E9" s="42" t="inlineStr">
        <is>
          <t>deyga charcoal face wash</t>
        </is>
      </c>
      <c r="F9" s="42" t="inlineStr">
        <is>
          <t>elie saab nuit noor</t>
        </is>
      </c>
      <c r="G9" s="42" t="inlineStr">
        <is>
          <t>korloff cuir mythique</t>
        </is>
      </c>
      <c r="H9" s="42" t="inlineStr">
        <is>
          <t>tiziana terenzi orion</t>
        </is>
      </c>
      <c r="I9" s="42" t="inlineStr">
        <is>
          <t>acqua di parma colonia pura uk</t>
        </is>
      </c>
      <c r="J9" s="66" t="inlineStr">
        <is>
          <t>deyga baby bath bar uk</t>
        </is>
      </c>
      <c r="K9" s="66" t="inlineStr">
        <is>
          <t>elie saab girl of now lovely gift set uk</t>
        </is>
      </c>
      <c r="L9" s="66" t="inlineStr">
        <is>
          <t>jimmy choo miniature gift set 5x4. uk</t>
        </is>
      </c>
      <c r="M9" s="66" t="inlineStr">
        <is>
          <t>tiziana terenzi dubhe assoluto uk</t>
        </is>
      </c>
      <c r="N9" s="66" t="inlineStr">
        <is>
          <t>vilvah under eye cream (dark circles control) uk</t>
        </is>
      </c>
      <c r="O9" s="66" t="inlineStr">
        <is>
          <t>dunhill signature collection arabian desert eau de parfum</t>
        </is>
      </c>
      <c r="P9" s="66" t="inlineStr">
        <is>
          <t>joop! homme eau de toilette</t>
        </is>
      </c>
      <c r="Q9" s="66" t="inlineStr">
        <is>
          <t>tiziana terenzi orza linea tt extrait de parfum</t>
        </is>
      </c>
      <c r="R9" s="66" t="inlineStr">
        <is>
          <t>buy chopard amber malaki online</t>
        </is>
      </c>
      <c r="S9" s="66" t="inlineStr">
        <is>
          <t>buy dolce &amp; gabbana q online</t>
        </is>
      </c>
      <c r="T9" s="66" t="inlineStr">
        <is>
          <t>buy hemel paris dorado online</t>
        </is>
      </c>
      <c r="U9" s="66" t="inlineStr">
        <is>
          <t>buy signature rose online</t>
        </is>
      </c>
      <c r="V9" s="66" t="inlineStr">
        <is>
          <t>buy vilvah milk mud mask online</t>
        </is>
      </c>
      <c r="W9" s="66" t="inlineStr">
        <is>
          <t>al haramain amber oud tobacco edition notes</t>
        </is>
      </c>
      <c r="X9" s="66" t="inlineStr">
        <is>
          <t>bvlgari man in black edp</t>
        </is>
      </c>
      <c r="Y9" s="66" t="inlineStr">
        <is>
          <t>chloe rose naturelle intense eau de parfum reviews</t>
        </is>
      </c>
      <c r="Z9" s="66" t="inlineStr">
        <is>
          <t>deyga under eye mask review</t>
        </is>
      </c>
      <c r="AA9" s="66" t="inlineStr">
        <is>
          <t>dunhill signature collection agar wood eau de parfum 100ml</t>
        </is>
      </c>
      <c r="AB9" s="66" t="inlineStr">
        <is>
          <t>fumeri peach perfume</t>
        </is>
      </c>
      <c r="AC9" s="66" t="inlineStr">
        <is>
          <t>gucci bloom mini</t>
        </is>
      </c>
      <c r="AD9" s="66" t="inlineStr">
        <is>
          <t>joop homme le parfum review</t>
        </is>
      </c>
      <c r="AE9" s="66" t="inlineStr">
        <is>
          <t>sap le roi perfume</t>
        </is>
      </c>
      <c r="AF9" s="66" t="inlineStr">
        <is>
          <t>tiziana terenzi andromeda dupe</t>
        </is>
      </c>
      <c r="AG9" s="66" t="inlineStr">
        <is>
          <t>vilvah hair growth oil how to use</t>
        </is>
      </c>
      <c r="AH9" s="66" t="inlineStr">
        <is>
          <t>calvin klein defy price</t>
        </is>
      </c>
      <c r="AI9" s="66" t="inlineStr">
        <is>
          <t>deyga sunscreen price</t>
        </is>
      </c>
      <c r="AJ9" s="66" t="inlineStr">
        <is>
          <t>gucci flora gorgeous orchid miniature price</t>
        </is>
      </c>
      <c r="AK9" s="66" t="inlineStr">
        <is>
          <t>sap le roi price</t>
        </is>
      </c>
      <c r="AL9" s="66" t="inlineStr">
        <is>
          <t>vilvah goat milk hair mask price</t>
        </is>
      </c>
      <c r="AM9" s="42" t="inlineStr">
        <is>
          <t>joop! homme uk</t>
        </is>
      </c>
      <c r="AN9" s="42" t="inlineStr">
        <is>
          <t>bentley absolute eau de parfum</t>
        </is>
      </c>
      <c r="AO9" s="42" t="inlineStr">
        <is>
          <t>natural deodorant for women</t>
        </is>
      </c>
      <c r="AP9" s="42" t="inlineStr">
        <is>
          <t>joop! homme price</t>
        </is>
      </c>
      <c r="AQ9" s="42" t="inlineStr">
        <is>
          <t>acqua di parma sakura review</t>
        </is>
      </c>
    </row>
    <row r="10" ht="15" customHeight="1" s="37">
      <c r="A10" s="42" t="inlineStr">
        <is>
          <t>vilvah official website</t>
        </is>
      </c>
      <c r="B10" s="42" t="inlineStr">
        <is>
          <t>hollister perfume</t>
        </is>
      </c>
      <c r="C10" s="42" t="inlineStr">
        <is>
          <t>hair oil for hair loss</t>
        </is>
      </c>
      <c r="D10" s="42" t="inlineStr">
        <is>
          <t>al haramain amber oud black edition</t>
        </is>
      </c>
      <c r="E10" s="42" t="inlineStr">
        <is>
          <t>deyga chocolate body butter</t>
        </is>
      </c>
      <c r="F10" s="42" t="inlineStr">
        <is>
          <t>elizabeth arden beauty</t>
        </is>
      </c>
      <c r="G10" s="42" t="inlineStr">
        <is>
          <t>korloff in love</t>
        </is>
      </c>
      <c r="H10" s="42" t="inlineStr">
        <is>
          <t>tiziana terenzi orza linea tt</t>
        </is>
      </c>
      <c r="I10" s="42" t="inlineStr">
        <is>
          <t>acqua di parma holiday discovery set uk</t>
        </is>
      </c>
      <c r="J10" s="66" t="inlineStr">
        <is>
          <t>deyga beautifying serum uk</t>
        </is>
      </c>
      <c r="K10" s="66" t="inlineStr">
        <is>
          <t>elie saab la collection des essences no. 1 rose uk</t>
        </is>
      </c>
      <c r="L10" s="66" t="inlineStr">
        <is>
          <t>jo milano game of spades queen for uk</t>
        </is>
      </c>
      <c r="M10" s="66" t="inlineStr">
        <is>
          <t>tiziana terenzi ecstasy uk</t>
        </is>
      </c>
      <c r="N10" s="66" t="inlineStr">
        <is>
          <t>vilvah wild rose facemask uk</t>
        </is>
      </c>
      <c r="O10" s="66" t="inlineStr">
        <is>
          <t>dunhill signature collection british leather eau de parfum</t>
        </is>
      </c>
      <c r="P10" s="66" t="inlineStr">
        <is>
          <t>joop! homme le parfum</t>
        </is>
      </c>
      <c r="Q10" s="66" t="inlineStr">
        <is>
          <t>tiziana terenzi porpora extrait de parfum</t>
        </is>
      </c>
      <c r="R10" s="66" t="inlineStr">
        <is>
          <t>buy chopard black incense malaki online</t>
        </is>
      </c>
      <c r="S10" s="66" t="inlineStr">
        <is>
          <t>buy dolce &amp; gabbana the one gift set online</t>
        </is>
      </c>
      <c r="T10" s="66" t="inlineStr">
        <is>
          <t>buy hemel paris gris for all online</t>
        </is>
      </c>
      <c r="U10" s="66" t="inlineStr">
        <is>
          <t>buy signature santal online</t>
        </is>
      </c>
      <c r="V10" s="66" t="inlineStr">
        <is>
          <t>buy vilvah milk powder face wash online</t>
        </is>
      </c>
      <c r="W10" s="66" t="inlineStr">
        <is>
          <t>al haramain amber oud tobacco edition review</t>
        </is>
      </c>
      <c r="X10" s="66" t="inlineStr">
        <is>
          <t>bvlgari man in black notes</t>
        </is>
      </c>
      <c r="Y10" s="66" t="inlineStr">
        <is>
          <t>chloe rose naturelle intense edp</t>
        </is>
      </c>
      <c r="Z10" s="66" t="inlineStr">
        <is>
          <t>deyga vitamin c foaming face wash review</t>
        </is>
      </c>
      <c r="AA10" s="66" t="inlineStr">
        <is>
          <t>dunhill signature collection agar wood eau de parfum for men</t>
        </is>
      </c>
      <c r="AB10" s="66" t="inlineStr">
        <is>
          <t>fumeri perfume oud saffron</t>
        </is>
      </c>
      <c r="AC10" s="66" t="inlineStr">
        <is>
          <t>gucci bloom mini perfume price</t>
        </is>
      </c>
      <c r="AD10" s="66" t="inlineStr">
        <is>
          <t>joop homme notes</t>
        </is>
      </c>
      <c r="AE10" s="66" t="inlineStr">
        <is>
          <t>sap patchouli intense extrait de parfum 100ml</t>
        </is>
      </c>
      <c r="AF10" s="66" t="inlineStr">
        <is>
          <t>tiziana terenzi andromeda edp 100ml</t>
        </is>
      </c>
      <c r="AG10" s="66" t="inlineStr">
        <is>
          <t>vilvah hair growth oil india</t>
        </is>
      </c>
      <c r="AH10" s="66" t="inlineStr">
        <is>
          <t>calvin klein eternity aromatic essence parfum intense miniature price</t>
        </is>
      </c>
      <c r="AI10" s="66" t="inlineStr">
        <is>
          <t>deyga tangerine cleansing balm for makeup removal price</t>
        </is>
      </c>
      <c r="AJ10" s="66" t="inlineStr">
        <is>
          <t>gucci guilty pour femme gift set price</t>
        </is>
      </c>
      <c r="AK10" s="66" t="inlineStr">
        <is>
          <t>sap oud leopard fr price</t>
        </is>
      </c>
      <c r="AL10" s="66" t="inlineStr">
        <is>
          <t>vilvah goat milk shampoo price</t>
        </is>
      </c>
      <c r="AM10" s="42" t="inlineStr">
        <is>
          <t>tom ford noir extreme parfum</t>
        </is>
      </c>
      <c r="AN10" s="42" t="inlineStr">
        <is>
          <t>dunhill desire blue eau de toilette</t>
        </is>
      </c>
      <c r="AO10" s="42" t="inlineStr">
        <is>
          <t>aluminium free deodorant</t>
        </is>
      </c>
      <c r="AP10" s="42" t="inlineStr">
        <is>
          <t>buy tom ford noir extreme online</t>
        </is>
      </c>
      <c r="AQ10" s="42" t="inlineStr">
        <is>
          <t>acqua di parma sakura notes</t>
        </is>
      </c>
    </row>
    <row r="11" ht="15" customHeight="1" s="37">
      <c r="A11" s="42" t="inlineStr">
        <is>
          <t>vilvah products</t>
        </is>
      </c>
      <c r="B11" s="42" t="inlineStr">
        <is>
          <t>hollister perfume for men</t>
        </is>
      </c>
      <c r="C11" s="42" t="inlineStr">
        <is>
          <t>hair serum for frizzy hair</t>
        </is>
      </c>
      <c r="D11" s="42" t="inlineStr">
        <is>
          <t>al haramain amber oud bleu edition</t>
        </is>
      </c>
      <c r="E11" s="42" t="inlineStr">
        <is>
          <t>deyga clear skin kit</t>
        </is>
      </c>
      <c r="F11" s="42" t="inlineStr">
        <is>
          <t>escada magnetic dream</t>
        </is>
      </c>
      <c r="G11" s="42" t="inlineStr">
        <is>
          <t>korloff in white</t>
        </is>
      </c>
      <c r="H11" s="42" t="inlineStr">
        <is>
          <t>tiziana terenzi porpora</t>
        </is>
      </c>
      <c r="I11" s="42" t="inlineStr">
        <is>
          <t>acqua di parma oud &amp; spice uk</t>
        </is>
      </c>
      <c r="J11" s="66" t="inlineStr">
        <is>
          <t>deyga beetroot lip balm classic uk</t>
        </is>
      </c>
      <c r="K11" s="66" t="inlineStr">
        <is>
          <t>elie saab la collection des essences no. 4 oud uk</t>
        </is>
      </c>
      <c r="L11" s="66" t="inlineStr">
        <is>
          <t>jo milano game of spades wildcard for parfum , 3.4 ounce uk</t>
        </is>
      </c>
      <c r="M11" s="66" t="inlineStr">
        <is>
          <t>tiziana terenzi gold rose oudh uk</t>
        </is>
      </c>
      <c r="N11" s="66" t="inlineStr">
        <is>
          <t>vilvah x annapoorna gift box uk</t>
        </is>
      </c>
      <c r="O11" s="66" t="inlineStr">
        <is>
          <t>dunhill signature collection egyptian smoke eau de parfum</t>
        </is>
      </c>
      <c r="P11" s="66" t="inlineStr">
        <is>
          <t>juicy couture viva la juicy rose eau de parfum</t>
        </is>
      </c>
      <c r="Q11" s="66" t="inlineStr">
        <is>
          <t>tiziana terenzi saiph extrait de parfum</t>
        </is>
      </c>
      <c r="R11" s="66" t="inlineStr">
        <is>
          <t>buy chopard gardens of paradise discovery set online</t>
        </is>
      </c>
      <c r="S11" s="66" t="inlineStr">
        <is>
          <t>buy dolce &amp; gabbana the one gold intense online</t>
        </is>
      </c>
      <c r="T11" s="66" t="inlineStr">
        <is>
          <t>buy hemel patchouli for all online</t>
        </is>
      </c>
      <c r="U11" s="66" t="inlineStr">
        <is>
          <t>buy signature sapphire online</t>
        </is>
      </c>
      <c r="V11" s="66" t="inlineStr">
        <is>
          <t>buy vilvah neem wood comb (with handle) online</t>
        </is>
      </c>
      <c r="W11" s="66" t="inlineStr">
        <is>
          <t>al haramain amber oud white edition 200ml</t>
        </is>
      </c>
      <c r="X11" s="66" t="inlineStr">
        <is>
          <t>bvlgari man in black parfum</t>
        </is>
      </c>
      <c r="Y11" s="66" t="inlineStr">
        <is>
          <t>chloe rose naturelle intense notes</t>
        </is>
      </c>
      <c r="Z11" s="66" t="inlineStr">
        <is>
          <t>deyga wild berry body wash review</t>
        </is>
      </c>
      <c r="AA11" s="66" t="inlineStr">
        <is>
          <t>dunhill signature collection agar wood edp</t>
        </is>
      </c>
      <c r="AB11" s="66" t="inlineStr">
        <is>
          <t>fumeri style 33 perfume</t>
        </is>
      </c>
      <c r="AC11" s="66" t="inlineStr">
        <is>
          <t>gucci bloom miniature perfume</t>
        </is>
      </c>
      <c r="AD11" s="66" t="inlineStr">
        <is>
          <t>juicy couture viva la juicy rose 100ml</t>
        </is>
      </c>
      <c r="AE11" s="66" t="inlineStr">
        <is>
          <t>sap perfume patchouli intense</t>
        </is>
      </c>
      <c r="AF11" s="66" t="inlineStr">
        <is>
          <t>tiziana terenzi andromeda notes</t>
        </is>
      </c>
      <c r="AG11" s="66" t="inlineStr">
        <is>
          <t>vilvah hair growth oil review</t>
        </is>
      </c>
      <c r="AH11" s="66" t="inlineStr">
        <is>
          <t>calvin klein eternity parfum miniature price</t>
        </is>
      </c>
      <c r="AI11" s="66" t="inlineStr">
        <is>
          <t>deyga tea tree facial toner price</t>
        </is>
      </c>
      <c r="AJ11" s="66" t="inlineStr">
        <is>
          <t>gucci guilty pour femme miniature price</t>
        </is>
      </c>
      <c r="AK11" s="66" t="inlineStr">
        <is>
          <t>sap patchouli intense price</t>
        </is>
      </c>
      <c r="AL11" s="66" t="inlineStr">
        <is>
          <t>vilvah hair growth oil price</t>
        </is>
      </c>
      <c r="AM11" s="42" t="inlineStr">
        <is>
          <t>tom ford noir extreme uk</t>
        </is>
      </c>
      <c r="AN11" s="42" t="inlineStr">
        <is>
          <t>dunhill desire blue uk</t>
        </is>
      </c>
      <c r="AO11" s="42" t="inlineStr">
        <is>
          <t>hair removal powder</t>
        </is>
      </c>
      <c r="AP11" s="42" t="inlineStr">
        <is>
          <t>tom ford noir extreme price</t>
        </is>
      </c>
      <c r="AQ11" s="42" t="inlineStr">
        <is>
          <t>carolina herrera bad boy extreme review</t>
        </is>
      </c>
    </row>
    <row r="12" ht="15" customHeight="1" s="37">
      <c r="A12" s="42" t="inlineStr">
        <is>
          <t>vilvah products uk</t>
        </is>
      </c>
      <c r="B12" s="42" t="inlineStr">
        <is>
          <t>hugo boss perfume</t>
        </is>
      </c>
      <c r="C12" s="42" t="inlineStr">
        <is>
          <t>hair treatment for dry hair</t>
        </is>
      </c>
      <c r="D12" s="42" t="inlineStr">
        <is>
          <t>al haramain amber oud carbon edition</t>
        </is>
      </c>
      <c r="E12" s="42" t="inlineStr">
        <is>
          <t>deyga daily essential kit</t>
        </is>
      </c>
      <c r="F12" s="42" t="inlineStr">
        <is>
          <t>escada magnetism</t>
        </is>
      </c>
      <c r="G12" s="42" t="inlineStr">
        <is>
          <t>korloff lady intense</t>
        </is>
      </c>
      <c r="H12" s="42" t="inlineStr">
        <is>
          <t>tiziana terenzi saiph</t>
        </is>
      </c>
      <c r="I12" s="42" t="inlineStr">
        <is>
          <t>acqua di parma rosa nobile uk</t>
        </is>
      </c>
      <c r="J12" s="66" t="inlineStr">
        <is>
          <t>deyga beetroot lip balm stick uk</t>
        </is>
      </c>
      <c r="K12" s="66" t="inlineStr">
        <is>
          <t>elie saab le parfum bridal uk</t>
        </is>
      </c>
      <c r="L12" s="66" t="inlineStr">
        <is>
          <t>john varvatos artisan uk</t>
        </is>
      </c>
      <c r="M12" s="66" t="inlineStr">
        <is>
          <t>tiziana terenzi gumin uk</t>
        </is>
      </c>
      <c r="N12" s="66" t="inlineStr">
        <is>
          <t>ysl yves saint laurent yvresse w uk</t>
        </is>
      </c>
      <c r="O12" s="66" t="inlineStr">
        <is>
          <t>dunhill signature collection indian sandalwood eau de parfum</t>
        </is>
      </c>
      <c r="P12" s="66" t="inlineStr">
        <is>
          <t>kenneth cole moonlight blue eau de toilette</t>
        </is>
      </c>
      <c r="Q12" s="66" t="inlineStr">
        <is>
          <t>tiziana terenzi sea stars collection deriva extrait de parfum</t>
        </is>
      </c>
      <c r="R12" s="66" t="inlineStr">
        <is>
          <t>buy chopard imperiale iris malika online</t>
        </is>
      </c>
      <c r="S12" s="66" t="inlineStr">
        <is>
          <t>buy dolce &amp; gabbana the one intense online</t>
        </is>
      </c>
      <c r="T12" s="66" t="inlineStr">
        <is>
          <t>buy hemel plateado online</t>
        </is>
      </c>
      <c r="U12" s="66" t="inlineStr">
        <is>
          <t>buy the woods collection azure online</t>
        </is>
      </c>
      <c r="V12" s="66" t="inlineStr">
        <is>
          <t>buy vilvah neem wood comb(fine and wide tooth) online</t>
        </is>
      </c>
      <c r="W12" s="66" t="inlineStr">
        <is>
          <t>al haramain amber oud white edition dupe of</t>
        </is>
      </c>
      <c r="X12" s="66" t="inlineStr">
        <is>
          <t>bvlgari man in black perfume</t>
        </is>
      </c>
      <c r="Y12" s="66" t="inlineStr">
        <is>
          <t>chloe women miniature set</t>
        </is>
      </c>
      <c r="Z12" s="66" t="inlineStr">
        <is>
          <t>dior miss dior roller pearl 20ml</t>
        </is>
      </c>
      <c r="AA12" s="66" t="inlineStr">
        <is>
          <t>dunhill signature collection agar wood edp 100ml</t>
        </is>
      </c>
      <c r="AB12" s="66" t="inlineStr">
        <is>
          <t>fumeri style 33 review</t>
        </is>
      </c>
      <c r="AC12" s="66" t="inlineStr">
        <is>
          <t>gucci bloom miniature set</t>
        </is>
      </c>
      <c r="AD12" s="66" t="inlineStr">
        <is>
          <t>juicy couture viva la juicy rose eau de parfum 100ml</t>
        </is>
      </c>
      <c r="AE12" s="66" t="inlineStr">
        <is>
          <t>sap perfume saffron oud</t>
        </is>
      </c>
      <c r="AF12" s="66" t="inlineStr">
        <is>
          <t>tiziana terenzi andromeda review</t>
        </is>
      </c>
      <c r="AG12" s="66" t="inlineStr">
        <is>
          <t>vilvah hair growth oil review before and after</t>
        </is>
      </c>
      <c r="AH12" s="66" t="inlineStr">
        <is>
          <t>calvin klein eternity price</t>
        </is>
      </c>
      <c r="AI12" s="66" t="inlineStr">
        <is>
          <t>deyga under eye cream price</t>
        </is>
      </c>
      <c r="AJ12" s="66" t="inlineStr">
        <is>
          <t>gucci guilty pour homme price</t>
        </is>
      </c>
      <c r="AK12" s="66" t="inlineStr">
        <is>
          <t>sap saffron oud price</t>
        </is>
      </c>
      <c r="AL12" s="66" t="inlineStr">
        <is>
          <t>vilvah hair strengthening kit price</t>
        </is>
      </c>
      <c r="AM12" s="42" t="inlineStr">
        <is>
          <t>gucci intense oud eau de parfum</t>
        </is>
      </c>
      <c r="AN12" s="42" t="inlineStr">
        <is>
          <t>signature blue edp</t>
        </is>
      </c>
      <c r="AO12" s="42" t="inlineStr">
        <is>
          <t>natural hair dye</t>
        </is>
      </c>
      <c r="AP12" s="42" t="inlineStr">
        <is>
          <t>buy gucci intense oud online</t>
        </is>
      </c>
      <c r="AQ12" s="42" t="inlineStr">
        <is>
          <t>carolina herrera bad boy extreme notes</t>
        </is>
      </c>
    </row>
    <row r="13" ht="15" customHeight="1" s="37">
      <c r="A13" s="42" t="inlineStr">
        <is>
          <t>vilvah skincare</t>
        </is>
      </c>
      <c r="B13" s="42" t="inlineStr">
        <is>
          <t>hugo boss perfume for men</t>
        </is>
      </c>
      <c r="C13" s="42" t="inlineStr">
        <is>
          <t>lip balm for dry lips</t>
        </is>
      </c>
      <c r="D13" s="42" t="inlineStr">
        <is>
          <t>al haramain amber oud extreme gold edition</t>
        </is>
      </c>
      <c r="E13" s="42" t="inlineStr">
        <is>
          <t>deyga daily use healthy hair kit</t>
        </is>
      </c>
      <c r="F13" s="42" t="inlineStr">
        <is>
          <t>escada party love</t>
        </is>
      </c>
      <c r="G13" s="42" t="inlineStr">
        <is>
          <t>korloff miss korloff</t>
        </is>
      </c>
      <c r="H13" s="42" t="inlineStr">
        <is>
          <t>tiziana terenzi sea stars collection deriva</t>
        </is>
      </c>
      <c r="I13" s="42" t="inlineStr">
        <is>
          <t>acqua di parma sakura uk</t>
        </is>
      </c>
      <c r="J13" s="66" t="inlineStr">
        <is>
          <t>deyga best selling face care kit uk</t>
        </is>
      </c>
      <c r="K13" s="66" t="inlineStr">
        <is>
          <t>elie saab le parfum gift set uk</t>
        </is>
      </c>
      <c r="L13" s="66" t="inlineStr">
        <is>
          <t>joop! homme le uk</t>
        </is>
      </c>
      <c r="M13" s="66" t="inlineStr">
        <is>
          <t>tiziana terenzi kaff uk</t>
        </is>
      </c>
      <c r="N13" s="66" t="inlineStr">
        <is>
          <t>abercrombie &amp; fitch first instinct together eau de parfum</t>
        </is>
      </c>
      <c r="O13" s="66" t="inlineStr">
        <is>
          <t>dunhill signature collection mongolian cashmere eau de parfum</t>
        </is>
      </c>
      <c r="P13" s="66" t="inlineStr">
        <is>
          <t>korloff cuir mythique eau de parfum</t>
        </is>
      </c>
      <c r="Q13" s="66" t="inlineStr">
        <is>
          <t>tiziana terenzi white fire extrait de parfum</t>
        </is>
      </c>
      <c r="R13" s="66" t="inlineStr">
        <is>
          <t>buy chopard oud malaki online</t>
        </is>
      </c>
      <c r="S13" s="66" t="inlineStr">
        <is>
          <t>buy dolce &amp; gabbana the one online</t>
        </is>
      </c>
      <c r="T13" s="66" t="inlineStr">
        <is>
          <t>buy hemel rosado online</t>
        </is>
      </c>
      <c r="U13" s="66" t="inlineStr">
        <is>
          <t>buy the woods collection eden online</t>
        </is>
      </c>
      <c r="V13" s="66" t="inlineStr">
        <is>
          <t>buy vilvah night repair kit online</t>
        </is>
      </c>
      <c r="W13" s="66" t="inlineStr">
        <is>
          <t>al haramain amber oud white edition edp</t>
        </is>
      </c>
      <c r="X13" s="66" t="inlineStr">
        <is>
          <t>bvlgari man rain essence eau de parfum gift set</t>
        </is>
      </c>
      <c r="Y13" s="66" t="inlineStr">
        <is>
          <t>chopard amber malaki edp</t>
        </is>
      </c>
      <c r="Z13" s="66" t="inlineStr">
        <is>
          <t>dior miss dior roller pearl eau de parfum</t>
        </is>
      </c>
      <c r="AA13" s="66" t="inlineStr">
        <is>
          <t>dunhill signature collection agar wood review</t>
        </is>
      </c>
      <c r="AB13" s="66" t="inlineStr">
        <is>
          <t>fumeri victorious perfume</t>
        </is>
      </c>
      <c r="AC13" s="66" t="inlineStr">
        <is>
          <t>gucci bloom perfume mini</t>
        </is>
      </c>
      <c r="AD13" s="66" t="inlineStr">
        <is>
          <t>juicy couture viva la juicy rose edp</t>
        </is>
      </c>
      <c r="AE13" s="66" t="inlineStr">
        <is>
          <t>sap perfume vert club</t>
        </is>
      </c>
      <c r="AF13" s="66" t="inlineStr">
        <is>
          <t>tiziana terenzi caput mundi edp 100ml</t>
        </is>
      </c>
      <c r="AG13" s="66" t="inlineStr">
        <is>
          <t>vilvah herbal shampoo dandruff control</t>
        </is>
      </c>
      <c r="AH13" s="66" t="inlineStr">
        <is>
          <t>calvin klein miniature set price</t>
        </is>
      </c>
      <c r="AI13" s="66" t="inlineStr">
        <is>
          <t>deyga under eye mask price</t>
        </is>
      </c>
      <c r="AJ13" s="66" t="inlineStr">
        <is>
          <t>gucci intense oud price</t>
        </is>
      </c>
      <c r="AK13" s="66" t="inlineStr">
        <is>
          <t>sap vert club price</t>
        </is>
      </c>
      <c r="AL13" s="66" t="inlineStr">
        <is>
          <t>vilvah hairfall control kit price</t>
        </is>
      </c>
      <c r="AM13" s="42" t="inlineStr">
        <is>
          <t>gucci intense oud uk</t>
        </is>
      </c>
      <c r="AN13" s="42" t="inlineStr">
        <is>
          <t>signature blue uk</t>
        </is>
      </c>
      <c r="AO13" s="42" t="inlineStr">
        <is>
          <t>henna hair dye</t>
        </is>
      </c>
      <c r="AP13" s="42" t="inlineStr">
        <is>
          <t>gucci intense oud price</t>
        </is>
      </c>
      <c r="AQ13" s="42" t="inlineStr">
        <is>
          <t>anna sui sky perfume review</t>
        </is>
      </c>
    </row>
    <row r="14" ht="15" customHeight="1" s="37">
      <c r="A14" s="42" t="inlineStr">
        <is>
          <t>vilvah uk</t>
        </is>
      </c>
      <c r="B14" s="42" t="inlineStr">
        <is>
          <t>hugo boss perfume for women</t>
        </is>
      </c>
      <c r="C14" s="42" t="inlineStr">
        <is>
          <t>moisturiser for dark circles</t>
        </is>
      </c>
      <c r="D14" s="42" t="inlineStr">
        <is>
          <t>al haramain amber oud gold edition</t>
        </is>
      </c>
      <c r="E14" s="42" t="inlineStr">
        <is>
          <t>deyga de- tan &amp; pigmentation kit</t>
        </is>
      </c>
      <c r="F14" s="42" t="inlineStr">
        <is>
          <t>estee lauder spellbound</t>
        </is>
      </c>
      <c r="G14" s="42" t="inlineStr">
        <is>
          <t>korloff paris discovery set</t>
        </is>
      </c>
      <c r="H14" s="42" t="inlineStr">
        <is>
          <t>tiziana terenzi white fire</t>
        </is>
      </c>
      <c r="I14" s="42" t="inlineStr">
        <is>
          <t>acqua di parma sandalo uk</t>
        </is>
      </c>
      <c r="J14" s="66" t="inlineStr">
        <is>
          <t>deyga body scrub uk</t>
        </is>
      </c>
      <c r="K14" s="66" t="inlineStr">
        <is>
          <t>elie saab le parfum intense uk</t>
        </is>
      </c>
      <c r="L14" s="66" t="inlineStr">
        <is>
          <t>joop! homme uk</t>
        </is>
      </c>
      <c r="M14" s="66" t="inlineStr">
        <is>
          <t>tiziana terenzi kirke uk</t>
        </is>
      </c>
      <c r="N14" s="66" t="inlineStr">
        <is>
          <t>abercrombie &amp; fitch naturally fierce eau de parfum</t>
        </is>
      </c>
      <c r="O14" s="66" t="inlineStr">
        <is>
          <t>dunhill signature collection moroccan amber eau de parfum</t>
        </is>
      </c>
      <c r="P14" s="66" t="inlineStr">
        <is>
          <t>korloff in love eau de parfum</t>
        </is>
      </c>
      <c r="Q14" s="66" t="inlineStr">
        <is>
          <t>tom ford black orchid parfum</t>
        </is>
      </c>
      <c r="R14" s="66" t="inlineStr">
        <is>
          <t>buy chris adams black shadow pour homme online</t>
        </is>
      </c>
      <c r="S14" s="66" t="inlineStr">
        <is>
          <t>buy dunhill desire black online</t>
        </is>
      </c>
      <c r="T14" s="66" t="inlineStr">
        <is>
          <t>buy hemel valley of diamond online</t>
        </is>
      </c>
      <c r="U14" s="66" t="inlineStr">
        <is>
          <t>buy the woods collection elysian online</t>
        </is>
      </c>
      <c r="V14" s="66" t="inlineStr">
        <is>
          <t>buy vilvah oil control kit online</t>
        </is>
      </c>
      <c r="W14" s="66" t="inlineStr">
        <is>
          <t>al haramain amber oud white edition edp 100ml</t>
        </is>
      </c>
      <c r="X14" s="66" t="inlineStr">
        <is>
          <t>bvlgari man rain essence eau de parfum gift set 100ml</t>
        </is>
      </c>
      <c r="Y14" s="66" t="inlineStr">
        <is>
          <t>chopard amber malaki notes</t>
        </is>
      </c>
      <c r="Z14" s="66" t="inlineStr">
        <is>
          <t>dior miss dior roller pearl edp 20ml</t>
        </is>
      </c>
      <c r="AA14" s="66" t="inlineStr">
        <is>
          <t>dunhill signature collection amalfi citrus eau de parfum for men</t>
        </is>
      </c>
      <c r="AB14" s="66" t="inlineStr">
        <is>
          <t>fumeri victorious perfume price</t>
        </is>
      </c>
      <c r="AC14" s="66" t="inlineStr">
        <is>
          <t>gucci bloom perfume mini set</t>
        </is>
      </c>
      <c r="AD14" s="66" t="inlineStr">
        <is>
          <t>juicy couture viva la juicy rose edp 100ml</t>
        </is>
      </c>
      <c r="AE14" s="66" t="inlineStr">
        <is>
          <t>sapphire signature sale</t>
        </is>
      </c>
      <c r="AF14" s="66" t="inlineStr">
        <is>
          <t>tiziana terenzi caput mundi extrait</t>
        </is>
      </c>
      <c r="AG14" s="66" t="inlineStr">
        <is>
          <t>vilvah honey fix face wash review</t>
        </is>
      </c>
      <c r="AH14" s="66" t="inlineStr">
        <is>
          <t>calvin klein my euphoria miniature price</t>
        </is>
      </c>
      <c r="AI14" s="66" t="inlineStr">
        <is>
          <t>deyga vitamin c daily glow combo price</t>
        </is>
      </c>
      <c r="AJ14" s="66" t="inlineStr">
        <is>
          <t>gucci miniature set price</t>
        </is>
      </c>
      <c r="AK14" s="66" t="inlineStr">
        <is>
          <t>serge lutens la fille de berlin price</t>
        </is>
      </c>
      <c r="AL14" s="66" t="inlineStr">
        <is>
          <t>vilvah herbal shampoo (dandruff control) price</t>
        </is>
      </c>
      <c r="AM14" s="42" t="inlineStr">
        <is>
          <t>marc jacobs perfect eau de parfum</t>
        </is>
      </c>
      <c r="AN14" s="42" t="inlineStr">
        <is>
          <t>al haramain amber oud bleu edition eau de parfum</t>
        </is>
      </c>
      <c r="AO14" s="42" t="inlineStr">
        <is>
          <t>indigo powder for hair</t>
        </is>
      </c>
      <c r="AP14" s="42" t="inlineStr">
        <is>
          <t>buy marc jacobs perfect online</t>
        </is>
      </c>
      <c r="AQ14" s="42" t="inlineStr">
        <is>
          <t>anna sui sky review</t>
        </is>
      </c>
    </row>
    <row r="15" ht="15" customHeight="1" s="37">
      <c r="A15" s="42" t="inlineStr">
        <is>
          <t>abercrombie &amp; fitch perfume</t>
        </is>
      </c>
      <c r="B15" s="42" t="inlineStr">
        <is>
          <t>jean paul perfume</t>
        </is>
      </c>
      <c r="C15" s="42" t="inlineStr">
        <is>
          <t>moisturiser for dry skin</t>
        </is>
      </c>
      <c r="D15" s="42" t="inlineStr">
        <is>
          <t>al haramain amber oud ruby edition</t>
        </is>
      </c>
      <c r="E15" s="42" t="inlineStr">
        <is>
          <t>deyga deep moisturising face cream</t>
        </is>
      </c>
      <c r="F15" s="42" t="inlineStr">
        <is>
          <t>etienne aigner first class explorer</t>
        </is>
      </c>
      <c r="G15" s="42" t="inlineStr">
        <is>
          <t>korloff royal oud korloff paris</t>
        </is>
      </c>
      <c r="H15" s="42" t="inlineStr">
        <is>
          <t>tom ford black orchid</t>
        </is>
      </c>
      <c r="I15" s="42" t="inlineStr">
        <is>
          <t>acqua di parma zafferano uk</t>
        </is>
      </c>
      <c r="J15" s="66" t="inlineStr">
        <is>
          <t>deyga charcoal bath bar uk</t>
        </is>
      </c>
      <c r="K15" s="66" t="inlineStr">
        <is>
          <t>elie saab le parfum lumiere gift set uk</t>
        </is>
      </c>
      <c r="L15" s="66" t="inlineStr">
        <is>
          <t>juicy couture viva la juicy rose uk</t>
        </is>
      </c>
      <c r="M15" s="66" t="inlineStr">
        <is>
          <t>tiziana terenzi leo uk</t>
        </is>
      </c>
      <c r="N15" s="66" t="inlineStr">
        <is>
          <t>acqua di parma colonia pura eau de cologne</t>
        </is>
      </c>
      <c r="O15" s="66" t="inlineStr">
        <is>
          <t>dunhill signature collection nordic fougere eau de parfum</t>
        </is>
      </c>
      <c r="P15" s="66" t="inlineStr">
        <is>
          <t>korloff in white eau de toilette</t>
        </is>
      </c>
      <c r="Q15" s="66" t="inlineStr">
        <is>
          <t>tom ford ebene fume eau de parfum</t>
        </is>
      </c>
      <c r="R15" s="66" t="inlineStr">
        <is>
          <t>buy chris adams ca dx 77 pour homme online</t>
        </is>
      </c>
      <c r="S15" s="66" t="inlineStr">
        <is>
          <t>buy dunhill desire blue online</t>
        </is>
      </c>
      <c r="T15" s="66" t="inlineStr">
        <is>
          <t>buy hermes hermes un jardin a cythere miniature online</t>
        </is>
      </c>
      <c r="U15" s="66" t="inlineStr">
        <is>
          <t>buy the woods collection green walk online</t>
        </is>
      </c>
      <c r="V15" s="66" t="inlineStr">
        <is>
          <t>buy vilvah pore minimising kit online</t>
        </is>
      </c>
      <c r="W15" s="66" t="inlineStr">
        <is>
          <t>al haramain amber oud white edition review</t>
        </is>
      </c>
      <c r="X15" s="66" t="inlineStr">
        <is>
          <t>bvlgari man rain essence gift set 100ml edp 15ml edp</t>
        </is>
      </c>
      <c r="Y15" s="66" t="inlineStr">
        <is>
          <t>chopard amber malaki perfume</t>
        </is>
      </c>
      <c r="Z15" s="66" t="inlineStr">
        <is>
          <t>dior miss dior roller pearl parfum</t>
        </is>
      </c>
      <c r="AA15" s="66" t="inlineStr">
        <is>
          <t>dunhill signature collection amalfi citrus edp</t>
        </is>
      </c>
      <c r="AB15" s="66" t="inlineStr">
        <is>
          <t>fumeri wild perfume</t>
        </is>
      </c>
      <c r="AC15" s="66" t="inlineStr">
        <is>
          <t>gucci bloom perfume miniature</t>
        </is>
      </c>
      <c r="AD15" s="66" t="inlineStr">
        <is>
          <t>juicy couture viva la juicy rose notes</t>
        </is>
      </c>
      <c r="AE15" s="66" t="inlineStr">
        <is>
          <t>secret source the woods collection фрагрантика</t>
        </is>
      </c>
      <c r="AF15" s="66" t="inlineStr">
        <is>
          <t>tiziana terenzi caput mundi notes</t>
        </is>
      </c>
      <c r="AG15" s="66" t="inlineStr">
        <is>
          <t>vilvah lemon lip balm review</t>
        </is>
      </c>
      <c r="AH15" s="66" t="inlineStr">
        <is>
          <t>carolina herrera 212 sexy men price</t>
        </is>
      </c>
      <c r="AI15" s="66" t="inlineStr">
        <is>
          <t>deyga vitamin c foaming face wash price</t>
        </is>
      </c>
      <c r="AJ15" s="66" t="inlineStr">
        <is>
          <t>gucci set price</t>
        </is>
      </c>
      <c r="AK15" s="66" t="inlineStr">
        <is>
          <t>shiseido zen price</t>
        </is>
      </c>
      <c r="AL15" s="66" t="inlineStr">
        <is>
          <t>vilvah honey fix face wash price</t>
        </is>
      </c>
      <c r="AM15" s="42" t="inlineStr">
        <is>
          <t>marc jacobs perfect uk</t>
        </is>
      </c>
      <c r="AN15" s="42" t="inlineStr">
        <is>
          <t>al haramain amber oud carbon edition eau de parfum</t>
        </is>
      </c>
      <c r="AO15" s="42" t="inlineStr">
        <is>
          <t>ayurvedic skincare uk</t>
        </is>
      </c>
      <c r="AP15" s="42" t="inlineStr">
        <is>
          <t>marc jacobs perfect price</t>
        </is>
      </c>
      <c r="AQ15" s="42" t="inlineStr">
        <is>
          <t>acqua di parma rosa nobile review</t>
        </is>
      </c>
    </row>
    <row r="16" ht="15" customHeight="1" s="37">
      <c r="A16" s="42" t="inlineStr">
        <is>
          <t>abercrombie &amp; fitch perfume for women</t>
        </is>
      </c>
      <c r="B16" s="42" t="inlineStr">
        <is>
          <t>jean paul perfume for women</t>
        </is>
      </c>
      <c r="C16" s="42" t="inlineStr">
        <is>
          <t>moisturiser for skin nourishment</t>
        </is>
      </c>
      <c r="D16" s="42" t="inlineStr">
        <is>
          <t>al haramain amber oud tobacco edition</t>
        </is>
      </c>
      <c r="E16" s="42" t="inlineStr">
        <is>
          <t>deyga double hydration kit</t>
        </is>
      </c>
      <c r="F16" s="42" t="inlineStr">
        <is>
          <t>etienne aigner no. 1 intense</t>
        </is>
      </c>
      <c r="G16" s="42" t="inlineStr">
        <is>
          <t>korloff royal rose</t>
        </is>
      </c>
      <c r="H16" s="42" t="inlineStr">
        <is>
          <t>tom ford ebene fume</t>
        </is>
      </c>
      <c r="I16" s="42" t="inlineStr">
        <is>
          <t>al haramain amber musk uk</t>
        </is>
      </c>
      <c r="J16" s="66" t="inlineStr">
        <is>
          <t>deyga charcoal detox face mask uk</t>
        </is>
      </c>
      <c r="K16" s="66" t="inlineStr">
        <is>
          <t>elie saab le uk</t>
        </is>
      </c>
      <c r="L16" s="66" t="inlineStr">
        <is>
          <t>kenneth cole moonlight blue uk</t>
        </is>
      </c>
      <c r="M16" s="66" t="inlineStr">
        <is>
          <t>tiziana terenzi moro di venezia uk</t>
        </is>
      </c>
      <c r="N16" s="66" t="inlineStr">
        <is>
          <t>acqua di parma oud &amp; spice edp</t>
        </is>
      </c>
      <c r="O16" s="66" t="inlineStr">
        <is>
          <t>dunhill signature collection valensole lavender eau de parfum</t>
        </is>
      </c>
      <c r="P16" s="66" t="inlineStr">
        <is>
          <t>korloff lady intense eau de parfum</t>
        </is>
      </c>
      <c r="Q16" s="66" t="inlineStr">
        <is>
          <t>tom ford neroli portofino eau de parfum</t>
        </is>
      </c>
      <c r="R16" s="66" t="inlineStr">
        <is>
          <t>buy davidoff champion online</t>
        </is>
      </c>
      <c r="S16" s="66" t="inlineStr">
        <is>
          <t>buy dunhill desire gold online</t>
        </is>
      </c>
      <c r="T16" s="66" t="inlineStr">
        <is>
          <t>buy hermes miniature gift set 4 x fragrances online</t>
        </is>
      </c>
      <c r="U16" s="66" t="inlineStr">
        <is>
          <t>buy the woods collection mirage online</t>
        </is>
      </c>
      <c r="V16" s="66" t="inlineStr">
        <is>
          <t>buy vilvah rose milk lip balm online</t>
        </is>
      </c>
      <c r="W16" s="66" t="inlineStr">
        <is>
          <t>al haramain detour noir dupe of</t>
        </is>
      </c>
      <c r="X16" s="66" t="inlineStr">
        <is>
          <t>bvlgari man rain essence kit</t>
        </is>
      </c>
      <c r="Y16" s="66" t="inlineStr">
        <is>
          <t>chopard amber malaki review</t>
        </is>
      </c>
      <c r="Z16" s="66" t="inlineStr">
        <is>
          <t>dior sauvage edp</t>
        </is>
      </c>
      <c r="AA16" s="66" t="inlineStr">
        <is>
          <t>dunhill signature collection amalfi citrus review</t>
        </is>
      </c>
      <c r="AB16" s="66" t="inlineStr">
        <is>
          <t>fumeri wild perfume price</t>
        </is>
      </c>
      <c r="AC16" s="66" t="inlineStr">
        <is>
          <t>gucci flora gorgeous gardenia 100ml</t>
        </is>
      </c>
      <c r="AD16" s="66" t="inlineStr">
        <is>
          <t>kenneth cole moonlight blue notes</t>
        </is>
      </c>
      <c r="AE16" s="66" t="inlineStr">
        <is>
          <t>serge lutens la fille de berlin 100ml</t>
        </is>
      </c>
      <c r="AF16" s="66" t="inlineStr">
        <is>
          <t>tiziana terenzi caput mundi review</t>
        </is>
      </c>
      <c r="AG16" s="66" t="inlineStr">
        <is>
          <t>vilvah lip balm grapefruit</t>
        </is>
      </c>
      <c r="AH16" s="66" t="inlineStr">
        <is>
          <t>carolina herrera 212 vip men price</t>
        </is>
      </c>
      <c r="AI16" s="66" t="inlineStr">
        <is>
          <t>deyga wild berry body wash price</t>
        </is>
      </c>
      <c r="AJ16" s="66" t="inlineStr">
        <is>
          <t>guerlain epices exquises price</t>
        </is>
      </c>
      <c r="AK16" s="66" t="inlineStr">
        <is>
          <t>signature ambre price</t>
        </is>
      </c>
      <c r="AL16" s="66" t="inlineStr">
        <is>
          <t>vilvah lip balm - grapefruit price</t>
        </is>
      </c>
      <c r="AM16" s="42" t="inlineStr">
        <is>
          <t>calvin klein eternity eau de parfum</t>
        </is>
      </c>
      <c r="AN16" s="42" t="inlineStr">
        <is>
          <t>al haramain l'aventure intense eau de parfum</t>
        </is>
      </c>
      <c r="AO16" s="42" t="inlineStr">
        <is>
          <t>indian skincare brands uk</t>
        </is>
      </c>
      <c r="AP16" s="42" t="inlineStr">
        <is>
          <t>buy calvin klein eternity online</t>
        </is>
      </c>
      <c r="AQ16" s="42" t="inlineStr">
        <is>
          <t>acqua di parma rosa nobile dupe</t>
        </is>
      </c>
    </row>
    <row r="17" ht="15" customHeight="1" s="37">
      <c r="A17" s="42" t="inlineStr">
        <is>
          <t>acqua di parma perfume</t>
        </is>
      </c>
      <c r="B17" s="42" t="inlineStr">
        <is>
          <t>jimmy choo perfume</t>
        </is>
      </c>
      <c r="C17" s="42" t="inlineStr">
        <is>
          <t>natural body butter uk</t>
        </is>
      </c>
      <c r="D17" s="42" t="inlineStr">
        <is>
          <t>al haramain amber oud white edition</t>
        </is>
      </c>
      <c r="E17" s="42" t="inlineStr">
        <is>
          <t>deyga eyebrow growth oil</t>
        </is>
      </c>
      <c r="F17" s="42" t="inlineStr">
        <is>
          <t>fumeri 540</t>
        </is>
      </c>
      <c r="G17" s="42" t="inlineStr">
        <is>
          <t>korloff un soir a paris</t>
        </is>
      </c>
      <c r="H17" s="42" t="inlineStr">
        <is>
          <t>tom ford neroli portofino</t>
        </is>
      </c>
      <c r="I17" s="42" t="inlineStr">
        <is>
          <t>al haramain amber oud black edition uk</t>
        </is>
      </c>
      <c r="J17" s="66" t="inlineStr">
        <is>
          <t>deyga charcoal face wash uk</t>
        </is>
      </c>
      <c r="K17" s="66" t="inlineStr">
        <is>
          <t>elie saab nuit noor uk</t>
        </is>
      </c>
      <c r="L17" s="66" t="inlineStr">
        <is>
          <t>korloff cuir mythique uk</t>
        </is>
      </c>
      <c r="M17" s="66" t="inlineStr">
        <is>
          <t>tiziana terenzi orion uk</t>
        </is>
      </c>
      <c r="N17" s="66" t="inlineStr">
        <is>
          <t>acqua di parma rosa nobile edp</t>
        </is>
      </c>
      <c r="O17" s="66" t="inlineStr">
        <is>
          <t>elie saab elixir eau de parfum</t>
        </is>
      </c>
      <c r="P17" s="66" t="inlineStr">
        <is>
          <t>korloff miss korloff eau de parfum</t>
        </is>
      </c>
      <c r="Q17" s="66" t="inlineStr">
        <is>
          <t>tom ford noir extreme parfum</t>
        </is>
      </c>
      <c r="R17" s="66" t="inlineStr">
        <is>
          <t>buy davidoff cool water reborn intense online</t>
        </is>
      </c>
      <c r="S17" s="66" t="inlineStr">
        <is>
          <t>buy dunhill desire silver online</t>
        </is>
      </c>
      <c r="T17" s="66" t="inlineStr">
        <is>
          <t>buy hermes un jardin a cythere miniature online</t>
        </is>
      </c>
      <c r="U17" s="66" t="inlineStr">
        <is>
          <t>buy the woods collection pure shine online</t>
        </is>
      </c>
      <c r="V17" s="66" t="inlineStr">
        <is>
          <t>buy vilvah rosewater facial toner online</t>
        </is>
      </c>
      <c r="W17" s="66" t="inlineStr">
        <is>
          <t>al haramain l'aventure blanche dupe of</t>
        </is>
      </c>
      <c r="X17" s="66" t="inlineStr">
        <is>
          <t>bvlgari man rain essence set</t>
        </is>
      </c>
      <c r="Y17" s="66" t="inlineStr">
        <is>
          <t>chopard black incense malaki edp</t>
        </is>
      </c>
      <c r="Z17" s="66" t="inlineStr">
        <is>
          <t>dior sauvage edt</t>
        </is>
      </c>
      <c r="AA17" s="66" t="inlineStr">
        <is>
          <t>dunhill signature collection arabian desert review</t>
        </is>
      </c>
      <c r="AB17" s="66" t="inlineStr">
        <is>
          <t>game of spades bid dupe of</t>
        </is>
      </c>
      <c r="AC17" s="66" t="inlineStr">
        <is>
          <t>gucci flora gorgeous gardenia 50ml</t>
        </is>
      </c>
      <c r="AD17" s="66" t="inlineStr">
        <is>
          <t>kenneth cole moonlight blue review</t>
        </is>
      </c>
      <c r="AE17" s="66" t="inlineStr">
        <is>
          <t>serge lutens la fille de berlin dupe</t>
        </is>
      </c>
      <c r="AF17" s="66" t="inlineStr">
        <is>
          <t>tiziana terenzi caput mundi отзывы</t>
        </is>
      </c>
      <c r="AG17" s="66" t="inlineStr">
        <is>
          <t>vilvah lip balm lemon</t>
        </is>
      </c>
      <c r="AH17" s="66" t="inlineStr">
        <is>
          <t>carolina herrera 212 vip rose price</t>
        </is>
      </c>
      <c r="AI17" s="66" t="inlineStr">
        <is>
          <t>dior iconics mini discovery set price</t>
        </is>
      </c>
      <c r="AJ17" s="66" t="inlineStr">
        <is>
          <t>guerlain habit rouge price</t>
        </is>
      </c>
      <c r="AK17" s="66" t="inlineStr">
        <is>
          <t>signature aura price</t>
        </is>
      </c>
      <c r="AL17" s="66" t="inlineStr">
        <is>
          <t>vilvah lip balm - lemon price</t>
        </is>
      </c>
      <c r="AM17" s="42" t="inlineStr">
        <is>
          <t>gucci flora gorgeous gardenia eau de parfum</t>
        </is>
      </c>
      <c r="AN17" s="42" t="inlineStr">
        <is>
          <t>chopard black incense malaki eau de parfum</t>
        </is>
      </c>
      <c r="AO17" s="42" t="inlineStr">
        <is>
          <t>indian skincare uk</t>
        </is>
      </c>
      <c r="AP17" s="42" t="inlineStr">
        <is>
          <t>calvin klein eternity price</t>
        </is>
      </c>
      <c r="AQ17" s="42" t="inlineStr">
        <is>
          <t>lancome idole nectar dupe</t>
        </is>
      </c>
    </row>
    <row r="18" ht="15" customHeight="1" s="37">
      <c r="A18" s="42" t="inlineStr">
        <is>
          <t>acqua di parma perfume for men</t>
        </is>
      </c>
      <c r="B18" s="42" t="inlineStr">
        <is>
          <t>jimmy choo perfume for women</t>
        </is>
      </c>
      <c r="C18" s="42" t="inlineStr">
        <is>
          <t>natural body care uk</t>
        </is>
      </c>
      <c r="D18" s="42" t="inlineStr">
        <is>
          <t>al haramain detour noir</t>
        </is>
      </c>
      <c r="E18" s="42" t="inlineStr">
        <is>
          <t>deyga face &amp; body exfoliator powder</t>
        </is>
      </c>
      <c r="F18" s="42" t="inlineStr">
        <is>
          <t>fumeri adore</t>
        </is>
      </c>
      <c r="G18" s="42" t="inlineStr">
        <is>
          <t>la maison de la vanille absolu de vanille</t>
        </is>
      </c>
      <c r="H18" s="42" t="inlineStr">
        <is>
          <t>tom ford noir extreme</t>
        </is>
      </c>
      <c r="I18" s="42" t="inlineStr">
        <is>
          <t>al haramain amber oud bleu edition uk</t>
        </is>
      </c>
      <c r="J18" s="66" t="inlineStr">
        <is>
          <t>deyga chocolate body butter uk</t>
        </is>
      </c>
      <c r="K18" s="66" t="inlineStr">
        <is>
          <t>elizabeth arden beauty uk</t>
        </is>
      </c>
      <c r="L18" s="66" t="inlineStr">
        <is>
          <t>korloff in love uk</t>
        </is>
      </c>
      <c r="M18" s="66" t="inlineStr">
        <is>
          <t>tiziana terenzi orza linea tt uk</t>
        </is>
      </c>
      <c r="N18" s="66" t="inlineStr">
        <is>
          <t>acqua di parma sakura edp</t>
        </is>
      </c>
      <c r="O18" s="66" t="inlineStr">
        <is>
          <t>elie saab la collection des essences no. 1 rose eau de parfum</t>
        </is>
      </c>
      <c r="P18" s="66" t="inlineStr">
        <is>
          <t>korloff royal oud korloff paris eau de parfum</t>
        </is>
      </c>
      <c r="Q18" s="66" t="inlineStr">
        <is>
          <t>tom ford oud wood eau de parfum</t>
        </is>
      </c>
      <c r="R18" s="66" t="inlineStr">
        <is>
          <t>buy davidoff indigo online</t>
        </is>
      </c>
      <c r="S18" s="66" t="inlineStr">
        <is>
          <t>buy dunhill signature collection agar wood online</t>
        </is>
      </c>
      <c r="T18" s="66" t="inlineStr">
        <is>
          <t>buy hermes un jardin en mediterranee miniature online</t>
        </is>
      </c>
      <c r="U18" s="66" t="inlineStr">
        <is>
          <t>buy the woods collection secret source online</t>
        </is>
      </c>
      <c r="V18" s="66" t="inlineStr">
        <is>
          <t>buy vilvah sensitive skin kit online</t>
        </is>
      </c>
      <c r="W18" s="66" t="inlineStr">
        <is>
          <t>al haramain l'aventure blanche edp</t>
        </is>
      </c>
      <c r="X18" s="66" t="inlineStr">
        <is>
          <t>bvlgari man terrae essence eau de parfum gift set</t>
        </is>
      </c>
      <c r="Y18" s="66" t="inlineStr">
        <is>
          <t>chopard black incense malaki notes</t>
        </is>
      </c>
      <c r="Z18" s="66" t="inlineStr">
        <is>
          <t>dior sauvage extrait</t>
        </is>
      </c>
      <c r="AA18" s="66" t="inlineStr">
        <is>
          <t>dunhill signature collection british leather edp</t>
        </is>
      </c>
      <c r="AB18" s="66" t="inlineStr">
        <is>
          <t>game of spades bid notes</t>
        </is>
      </c>
      <c r="AC18" s="66" t="inlineStr">
        <is>
          <t>gucci flora gorgeous gardenia dupe</t>
        </is>
      </c>
      <c r="AD18" s="66" t="inlineStr">
        <is>
          <t>korloff cuir mythique edp</t>
        </is>
      </c>
      <c r="AE18" s="66" t="inlineStr">
        <is>
          <t>serge lutens la fille de berlin edp</t>
        </is>
      </c>
      <c r="AF18" s="66" t="inlineStr">
        <is>
          <t>tiziana terenzi draconis 100ml</t>
        </is>
      </c>
      <c r="AG18" s="66" t="inlineStr">
        <is>
          <t>vilvah lip balm price</t>
        </is>
      </c>
      <c r="AH18" s="66" t="inlineStr">
        <is>
          <t>carolina herrera bad boy extreme price</t>
        </is>
      </c>
      <c r="AI18" s="66" t="inlineStr">
        <is>
          <t>dior miss dior roller-pearl price</t>
        </is>
      </c>
      <c r="AJ18" s="66" t="inlineStr">
        <is>
          <t>guerlain l'instant de guerlain price</t>
        </is>
      </c>
      <c r="AK18" s="66" t="inlineStr">
        <is>
          <t>signature black pour homme price</t>
        </is>
      </c>
      <c r="AL18" s="66" t="inlineStr">
        <is>
          <t>vilvah lip lightening kit price</t>
        </is>
      </c>
      <c r="AM18" s="42" t="inlineStr">
        <is>
          <t>gucci flora gorgeous gardenia uk</t>
        </is>
      </c>
      <c r="AN18" s="42" t="inlineStr">
        <is>
          <t>game of spades win eau de parfum</t>
        </is>
      </c>
      <c r="AO18" s="42" t="inlineStr">
        <is>
          <t>milk face wash</t>
        </is>
      </c>
      <c r="AP18" s="42" t="inlineStr">
        <is>
          <t>buy hugo boss bottled online</t>
        </is>
      </c>
      <c r="AQ18" s="42" t="inlineStr">
        <is>
          <t>lancome idole nectar notes</t>
        </is>
      </c>
    </row>
    <row r="19" ht="15" customHeight="1" s="37">
      <c r="A19" s="42" t="inlineStr">
        <is>
          <t>acqua di parma perfume for women</t>
        </is>
      </c>
      <c r="B19" s="42" t="inlineStr">
        <is>
          <t>jo milano perfume</t>
        </is>
      </c>
      <c r="C19" s="42" t="inlineStr">
        <is>
          <t>natural body lotion uk</t>
        </is>
      </c>
      <c r="D19" s="42" t="inlineStr">
        <is>
          <t>al haramain l'aventure</t>
        </is>
      </c>
      <c r="E19" s="42" t="inlineStr">
        <is>
          <t>deyga foot butter</t>
        </is>
      </c>
      <c r="F19" s="42" t="inlineStr">
        <is>
          <t>fumeri ambre night</t>
        </is>
      </c>
      <c r="G19" s="42" t="inlineStr">
        <is>
          <t>la maison de la vanille ambre secret</t>
        </is>
      </c>
      <c r="H19" s="42" t="inlineStr">
        <is>
          <t>tom ford oud wood</t>
        </is>
      </c>
      <c r="I19" s="42" t="inlineStr">
        <is>
          <t>al haramain amber oud carbon edition uk</t>
        </is>
      </c>
      <c r="J19" s="66" t="inlineStr">
        <is>
          <t>deyga clear skin kit uk</t>
        </is>
      </c>
      <c r="K19" s="66" t="inlineStr">
        <is>
          <t>escada magnetic dream uk</t>
        </is>
      </c>
      <c r="L19" s="66" t="inlineStr">
        <is>
          <t>korloff in white uk</t>
        </is>
      </c>
      <c r="M19" s="66" t="inlineStr">
        <is>
          <t>tiziana terenzi porpora uk</t>
        </is>
      </c>
      <c r="N19" s="66" t="inlineStr">
        <is>
          <t>acqua di parma sandalo edp</t>
        </is>
      </c>
      <c r="O19" s="66" t="inlineStr">
        <is>
          <t>elie saab la collection des essences no. 4 oud eau de parfum</t>
        </is>
      </c>
      <c r="P19" s="66" t="inlineStr">
        <is>
          <t>korloff royal rose eau de parfum</t>
        </is>
      </c>
      <c r="Q19" s="66" t="inlineStr">
        <is>
          <t>trussardi black extreme miniature eau de toilette</t>
        </is>
      </c>
      <c r="R19" s="66" t="inlineStr">
        <is>
          <t>buy davidoff the game online</t>
        </is>
      </c>
      <c r="S19" s="66" t="inlineStr">
        <is>
          <t>buy dunhill signature collection amalfi citrus online</t>
        </is>
      </c>
      <c r="T19" s="66" t="inlineStr">
        <is>
          <t>buy hermes un jardin sur le toit miniature online</t>
        </is>
      </c>
      <c r="U19" s="66" t="inlineStr">
        <is>
          <t>buy the woods collection sunrise online</t>
        </is>
      </c>
      <c r="V19" s="66" t="inlineStr">
        <is>
          <t>buy vilvah shampoo and hair serum kit online</t>
        </is>
      </c>
      <c r="W19" s="66" t="inlineStr">
        <is>
          <t>al haramain l'aventure blanche review</t>
        </is>
      </c>
      <c r="X19" s="66" t="inlineStr">
        <is>
          <t>bvlgari man terrae essence edp set 115 ml</t>
        </is>
      </c>
      <c r="Y19" s="66" t="inlineStr">
        <is>
          <t>chopard black incense malaki perfume</t>
        </is>
      </c>
      <c r="Z19" s="66" t="inlineStr">
        <is>
          <t>dior sauvage parfum</t>
        </is>
      </c>
      <c r="AA19" s="66" t="inlineStr">
        <is>
          <t>dunhill signature collection british leather edp 100ml</t>
        </is>
      </c>
      <c r="AB19" s="66" t="inlineStr">
        <is>
          <t>game of spades bid parfum</t>
        </is>
      </c>
      <c r="AC19" s="66" t="inlineStr">
        <is>
          <t>gucci flora gorgeous gardenia notes</t>
        </is>
      </c>
      <c r="AD19" s="66" t="inlineStr">
        <is>
          <t>korloff cuir mythique review</t>
        </is>
      </c>
      <c r="AE19" s="66" t="inlineStr">
        <is>
          <t>serge lutens la fille de berlin notes</t>
        </is>
      </c>
      <c r="AF19" s="66" t="inlineStr">
        <is>
          <t>tiziana terenzi draconis edp 100ml</t>
        </is>
      </c>
      <c r="AG19" s="66" t="inlineStr">
        <is>
          <t>vilvah lip balm review</t>
        </is>
      </c>
      <c r="AH19" s="66" t="inlineStr">
        <is>
          <t>carolina herrera bad boy le price</t>
        </is>
      </c>
      <c r="AI19" s="66" t="inlineStr">
        <is>
          <t>dior sauvage price</t>
        </is>
      </c>
      <c r="AJ19" s="66" t="inlineStr">
        <is>
          <t>guerlain la petite robe noire ma robe cocktail price</t>
        </is>
      </c>
      <c r="AK19" s="66" t="inlineStr">
        <is>
          <t>signature blue price</t>
        </is>
      </c>
      <c r="AL19" s="66" t="inlineStr">
        <is>
          <t>vilvah lip nourishing kit price</t>
        </is>
      </c>
      <c r="AM19" s="42" t="inlineStr">
        <is>
          <t>hugo boss bottled eau de parfum</t>
        </is>
      </c>
      <c r="AN19" s="42" t="inlineStr">
        <is>
          <t>game of spades win uk</t>
        </is>
      </c>
      <c r="AO19" s="42" t="inlineStr">
        <is>
          <t>oat milk face wash</t>
        </is>
      </c>
      <c r="AP19" s="42" t="inlineStr">
        <is>
          <t>hugo boss bottled price</t>
        </is>
      </c>
      <c r="AQ19" s="42" t="inlineStr">
        <is>
          <t>bvlgari omnia amethyste review</t>
        </is>
      </c>
    </row>
    <row r="20" ht="15" customHeight="1" s="37">
      <c r="A20" s="42" t="inlineStr">
        <is>
          <t>al haramain perfume</t>
        </is>
      </c>
      <c r="B20" s="42" t="inlineStr">
        <is>
          <t>john varvatos perfume</t>
        </is>
      </c>
      <c r="C20" s="42" t="inlineStr">
        <is>
          <t>natural body oil uk</t>
        </is>
      </c>
      <c r="D20" s="42" t="inlineStr">
        <is>
          <t>al haramain l'aventure blanche</t>
        </is>
      </c>
      <c r="E20" s="42" t="inlineStr">
        <is>
          <t>deyga foot scrub</t>
        </is>
      </c>
      <c r="F20" s="42" t="inlineStr">
        <is>
          <t>fumeri angel</t>
        </is>
      </c>
      <c r="G20" s="42" t="inlineStr">
        <is>
          <t>la maison de la vanille royal oud</t>
        </is>
      </c>
      <c r="H20" s="42" t="inlineStr">
        <is>
          <t>trussardi black extreme miniature</t>
        </is>
      </c>
      <c r="I20" s="42" t="inlineStr">
        <is>
          <t>al haramain amber oud extreme gold edition uk</t>
        </is>
      </c>
      <c r="J20" s="66" t="inlineStr">
        <is>
          <t>deyga daily essential kit uk</t>
        </is>
      </c>
      <c r="K20" s="66" t="inlineStr">
        <is>
          <t>escada magnetism uk</t>
        </is>
      </c>
      <c r="L20" s="66" t="inlineStr">
        <is>
          <t>korloff lady intense uk</t>
        </is>
      </c>
      <c r="M20" s="66" t="inlineStr">
        <is>
          <t>tiziana terenzi saiph uk</t>
        </is>
      </c>
      <c r="N20" s="66" t="inlineStr">
        <is>
          <t>acqua di parma zafferano edp</t>
        </is>
      </c>
      <c r="O20" s="66" t="inlineStr">
        <is>
          <t>elie saab le eau de parfum</t>
        </is>
      </c>
      <c r="P20" s="66" t="inlineStr">
        <is>
          <t>korloff un soir a paris eau de parfum</t>
        </is>
      </c>
      <c r="Q20" s="66" t="inlineStr">
        <is>
          <t>trussardi delicate rose eau de toilette</t>
        </is>
      </c>
      <c r="R20" s="66" t="inlineStr">
        <is>
          <t>buy deyga 10% vitamin c face serum online</t>
        </is>
      </c>
      <c r="S20" s="66" t="inlineStr">
        <is>
          <t>buy dunhill signature collection arabian desert online</t>
        </is>
      </c>
      <c r="T20" s="66" t="inlineStr">
        <is>
          <t>buy hollister festival vibes online</t>
        </is>
      </c>
      <c r="U20" s="66" t="inlineStr">
        <is>
          <t>buy the woods collection timeless sands online</t>
        </is>
      </c>
      <c r="V20" s="66" t="inlineStr">
        <is>
          <t>buy vilvah skin brightening kit online</t>
        </is>
      </c>
      <c r="W20" s="66" t="inlineStr">
        <is>
          <t>al haramain l'aventure dupe of</t>
        </is>
      </c>
      <c r="X20" s="66" t="inlineStr">
        <is>
          <t>bvlgari man terrae essence set</t>
        </is>
      </c>
      <c r="Y20" s="66" t="inlineStr">
        <is>
          <t>chopard black incense malaki review</t>
        </is>
      </c>
      <c r="Z20" s="66" t="inlineStr">
        <is>
          <t>dkny be delicious fresh blossom gift set</t>
        </is>
      </c>
      <c r="AA20" s="66" t="inlineStr">
        <is>
          <t>dunhill signature collection british leather review</t>
        </is>
      </c>
      <c r="AB20" s="66" t="inlineStr">
        <is>
          <t>game of spades bid perfume</t>
        </is>
      </c>
      <c r="AC20" s="66" t="inlineStr">
        <is>
          <t>gucci flora gorgeous gardenia perfume</t>
        </is>
      </c>
      <c r="AD20" s="66" t="inlineStr">
        <is>
          <t>korloff cuir mythique отзывы</t>
        </is>
      </c>
      <c r="AE20" s="66" t="inlineStr">
        <is>
          <t>serge lutens la fille de berlin review</t>
        </is>
      </c>
      <c r="AF20" s="66" t="inlineStr">
        <is>
          <t>tiziana terenzi draconis extrait de parfum 100ml</t>
        </is>
      </c>
      <c r="AG20" s="66" t="inlineStr">
        <is>
          <t>vilvah lip scrub and lip balm</t>
        </is>
      </c>
      <c r="AH20" s="66" t="inlineStr">
        <is>
          <t>carolina herrera very good girl glam price</t>
        </is>
      </c>
      <c r="AI20" s="66" t="inlineStr">
        <is>
          <t>dkny be delicious &amp; be delicious fresh blossom gift set price</t>
        </is>
      </c>
      <c r="AJ20" s="66" t="inlineStr">
        <is>
          <t>guerlain mon guerlain miniature gift set price</t>
        </is>
      </c>
      <c r="AK20" s="66" t="inlineStr">
        <is>
          <t>signature charm price</t>
        </is>
      </c>
      <c r="AL20" s="66" t="inlineStr">
        <is>
          <t>vilvah lip scrub price</t>
        </is>
      </c>
      <c r="AM20" s="42" t="inlineStr">
        <is>
          <t>hugo boss bottled uk</t>
        </is>
      </c>
      <c r="AN20" s="42" t="inlineStr">
        <is>
          <t>armaf hunter eau de parfum</t>
        </is>
      </c>
      <c r="AO20" s="42" t="inlineStr">
        <is>
          <t>coffee body scrub</t>
        </is>
      </c>
      <c r="AP20" s="42" t="inlineStr">
        <is>
          <t>buy gucci flora gorgeous gardenia online</t>
        </is>
      </c>
      <c r="AQ20" s="42" t="inlineStr">
        <is>
          <t>bvlgari omnia amethyste dupe</t>
        </is>
      </c>
    </row>
    <row r="21" ht="15" customHeight="1" s="37">
      <c r="A21" s="42" t="inlineStr">
        <is>
          <t>al haramain perfume for men</t>
        </is>
      </c>
      <c r="B21" s="42" t="inlineStr">
        <is>
          <t>john varvatos perfume for men</t>
        </is>
      </c>
      <c r="C21" s="42" t="inlineStr">
        <is>
          <t>natural body scrub uk</t>
        </is>
      </c>
      <c r="D21" s="42" t="inlineStr">
        <is>
          <t>al haramain l'aventure femme</t>
        </is>
      </c>
      <c r="E21" s="42" t="inlineStr">
        <is>
          <t>deyga foot soak powder</t>
        </is>
      </c>
      <c r="F21" s="42" t="inlineStr">
        <is>
          <t>fumeri blue</t>
        </is>
      </c>
      <c r="G21" s="42" t="inlineStr">
        <is>
          <t>la maison de la wooden coffret</t>
        </is>
      </c>
      <c r="H21" s="42" t="inlineStr">
        <is>
          <t>trussardi delicate rose</t>
        </is>
      </c>
      <c r="I21" s="42" t="inlineStr">
        <is>
          <t>al haramain amber oud gold edition uk</t>
        </is>
      </c>
      <c r="J21" s="66" t="inlineStr">
        <is>
          <t>deyga daily use healthy hair kit uk</t>
        </is>
      </c>
      <c r="K21" s="66" t="inlineStr">
        <is>
          <t>escada party love uk</t>
        </is>
      </c>
      <c r="L21" s="66" t="inlineStr">
        <is>
          <t>korloff miss korloff uk</t>
        </is>
      </c>
      <c r="M21" s="66" t="inlineStr">
        <is>
          <t>tiziana terenzi sea stars collection deriva uk</t>
        </is>
      </c>
      <c r="N21" s="66" t="inlineStr">
        <is>
          <t>al haramain amber musk eau de parfum</t>
        </is>
      </c>
      <c r="O21" s="66" t="inlineStr">
        <is>
          <t>elie saab le parfum bridal eau de parfum</t>
        </is>
      </c>
      <c r="P21" s="66" t="inlineStr">
        <is>
          <t>la maison de la vanille absolu de vanille eau de parfum</t>
        </is>
      </c>
      <c r="Q21" s="66" t="inlineStr">
        <is>
          <t>trussardi pure jasmine eau de parfum</t>
        </is>
      </c>
      <c r="R21" s="66" t="inlineStr">
        <is>
          <t>buy deyga 2% hyaluronic acid serum online</t>
        </is>
      </c>
      <c r="S21" s="66" t="inlineStr">
        <is>
          <t>buy dunhill signature collection british leather online</t>
        </is>
      </c>
      <c r="T21" s="66" t="inlineStr">
        <is>
          <t>buy hugo boss alive online</t>
        </is>
      </c>
      <c r="U21" s="66" t="inlineStr">
        <is>
          <t>buy the woods collection twilight online</t>
        </is>
      </c>
      <c r="V21" s="66" t="inlineStr">
        <is>
          <t>buy vilvah skin finish sunscreen spf 50 online</t>
        </is>
      </c>
      <c r="W21" s="66" t="inlineStr">
        <is>
          <t>al haramain l'aventure femme dupe</t>
        </is>
      </c>
      <c r="X21" s="66" t="inlineStr">
        <is>
          <t>bvlgari man wood essence eau de parfum gift set</t>
        </is>
      </c>
      <c r="Y21" s="66" t="inlineStr">
        <is>
          <t>chopard imperiale iris malika 100ml</t>
        </is>
      </c>
      <c r="Z21" s="66" t="inlineStr">
        <is>
          <t>dkny be delicious fresh blossom gift set 30ml edp 7ml edp</t>
        </is>
      </c>
      <c r="AA21" s="66" t="inlineStr">
        <is>
          <t>dunhill signature collection egyptian smoke edp 100ml</t>
        </is>
      </c>
      <c r="AB21" s="66" t="inlineStr">
        <is>
          <t>game of spades bid review</t>
        </is>
      </c>
      <c r="AC21" s="66" t="inlineStr">
        <is>
          <t>gucci flora gorgeous mini set</t>
        </is>
      </c>
      <c r="AD21" s="66" t="inlineStr">
        <is>
          <t>korloff in love edp 100ml</t>
        </is>
      </c>
      <c r="AE21" s="66" t="inlineStr">
        <is>
          <t>shiseido zen for men</t>
        </is>
      </c>
      <c r="AF21" s="66" t="inlineStr">
        <is>
          <t>tiziana terenzi draconis review</t>
        </is>
      </c>
      <c r="AG21" s="66" t="inlineStr">
        <is>
          <t>vilvah lip scrub how to use</t>
        </is>
      </c>
      <c r="AH21" s="66" t="inlineStr">
        <is>
          <t>casanova anniversary price</t>
        </is>
      </c>
      <c r="AI21" s="66" t="inlineStr">
        <is>
          <t>dkny be delicious orchard street price</t>
        </is>
      </c>
      <c r="AJ21" s="66" t="inlineStr">
        <is>
          <t>guerlain musc noble price</t>
        </is>
      </c>
      <c r="AK21" s="66" t="inlineStr">
        <is>
          <t>signature diamond price</t>
        </is>
      </c>
      <c r="AL21" s="66" t="inlineStr">
        <is>
          <t>vilvah mango shake lip balm price</t>
        </is>
      </c>
      <c r="AM21" s="42" t="inlineStr">
        <is>
          <t>tom ford neroli portofino eau de parfum</t>
        </is>
      </c>
      <c r="AN21" s="42" t="inlineStr">
        <is>
          <t>guerlain epices exquises eau de parfum</t>
        </is>
      </c>
      <c r="AO21" s="42" t="inlineStr">
        <is>
          <t>sunscreen spf 50</t>
        </is>
      </c>
      <c r="AP21" s="42" t="inlineStr">
        <is>
          <t>gucci flora gorgeous gardenia price</t>
        </is>
      </c>
      <c r="AQ21" s="42" t="inlineStr">
        <is>
          <t>carolina herrera very good girl glam dupe</t>
        </is>
      </c>
    </row>
    <row r="22" ht="15" customHeight="1" s="37">
      <c r="A22" s="42" t="inlineStr">
        <is>
          <t>al haramain perfume for women</t>
        </is>
      </c>
      <c r="B22" s="42" t="inlineStr">
        <is>
          <t>joop homme perfume</t>
        </is>
      </c>
      <c r="C22" s="42" t="inlineStr">
        <is>
          <t>natural body wash uk</t>
        </is>
      </c>
      <c r="D22" s="42" t="inlineStr">
        <is>
          <t>al haramain l'aventure gold</t>
        </is>
      </c>
      <c r="E22" s="42" t="inlineStr">
        <is>
          <t>deyga game changer face care kit</t>
        </is>
      </c>
      <c r="F22" s="42" t="inlineStr">
        <is>
          <t>fumeri elixir</t>
        </is>
      </c>
      <c r="G22" s="42" t="inlineStr">
        <is>
          <t>lancome idole nectar</t>
        </is>
      </c>
      <c r="H22" s="42" t="inlineStr">
        <is>
          <t>trussardi pure jasmine</t>
        </is>
      </c>
      <c r="I22" s="42" t="inlineStr">
        <is>
          <t>al haramain amber oud ruby edition uk</t>
        </is>
      </c>
      <c r="J22" s="66" t="inlineStr">
        <is>
          <t>deyga de- tan &amp; pigmentation kit uk</t>
        </is>
      </c>
      <c r="K22" s="66" t="inlineStr">
        <is>
          <t>estee lauder spellbound uk</t>
        </is>
      </c>
      <c r="L22" s="66" t="inlineStr">
        <is>
          <t>korloff paris discovery set uk</t>
        </is>
      </c>
      <c r="M22" s="66" t="inlineStr">
        <is>
          <t>tiziana terenzi white fire uk</t>
        </is>
      </c>
      <c r="N22" s="66" t="inlineStr">
        <is>
          <t>al haramain amber oud black edition eau de parfum</t>
        </is>
      </c>
      <c r="O22" s="66" t="inlineStr">
        <is>
          <t>elie saab le parfum intense eau de parfum</t>
        </is>
      </c>
      <c r="P22" s="66" t="inlineStr">
        <is>
          <t>la maison de la vanille ambre secret eau de parfum</t>
        </is>
      </c>
      <c r="Q22" s="66" t="inlineStr">
        <is>
          <t>trussardi pure jasmine miniature eau de parfum</t>
        </is>
      </c>
      <c r="R22" s="66" t="inlineStr">
        <is>
          <t>buy deyga abc kit online</t>
        </is>
      </c>
      <c r="S22" s="66" t="inlineStr">
        <is>
          <t>buy dunhill signature collection egyptian smoke online</t>
        </is>
      </c>
      <c r="T22" s="66" t="inlineStr">
        <is>
          <t>buy hugo boss boss the scent tester online</t>
        </is>
      </c>
      <c r="U22" s="66" t="inlineStr">
        <is>
          <t>buy the woods collection wild roses online</t>
        </is>
      </c>
      <c r="V22" s="66" t="inlineStr">
        <is>
          <t>buy vilvah skin hydration kit online</t>
        </is>
      </c>
      <c r="W22" s="66" t="inlineStr">
        <is>
          <t>al haramain l'aventure femme notes</t>
        </is>
      </c>
      <c r="X22" s="66" t="inlineStr">
        <is>
          <t>bvlgari man wood essence eau de parfum gift set 100ml</t>
        </is>
      </c>
      <c r="Y22" s="66" t="inlineStr">
        <is>
          <t>chopard imperiale iris malika edp 100ml</t>
        </is>
      </c>
      <c r="Z22" s="66" t="inlineStr">
        <is>
          <t>dkny be delicious fresh blossom review</t>
        </is>
      </c>
      <c r="AA22" s="66" t="inlineStr">
        <is>
          <t>dunhill signature collection egyptian smoke review</t>
        </is>
      </c>
      <c r="AB22" s="66" t="inlineStr">
        <is>
          <t>game of spades blind bid dupe</t>
        </is>
      </c>
      <c r="AC22" s="66" t="inlineStr">
        <is>
          <t>gucci flora gorgeous miniature gift set</t>
        </is>
      </c>
      <c r="AD22" s="66" t="inlineStr">
        <is>
          <t>korloff in love perfume</t>
        </is>
      </c>
      <c r="AE22" s="66" t="inlineStr">
        <is>
          <t>shiseido zen parfum</t>
        </is>
      </c>
      <c r="AF22" s="66" t="inlineStr">
        <is>
          <t>tiziana terenzi ecstasy extrait</t>
        </is>
      </c>
      <c r="AG22" s="66" t="inlineStr">
        <is>
          <t>vilvah lip scrub ingredients</t>
        </is>
      </c>
      <c r="AH22" s="66" t="inlineStr">
        <is>
          <t>chloe miniature gift set price</t>
        </is>
      </c>
      <c r="AI22" s="66" t="inlineStr">
        <is>
          <t>dkny be tempted price</t>
        </is>
      </c>
      <c r="AJ22" s="66" t="inlineStr">
        <is>
          <t>guerlain oud essentiel price</t>
        </is>
      </c>
      <c r="AK22" s="66" t="inlineStr">
        <is>
          <t>signature discovery set price</t>
        </is>
      </c>
      <c r="AL22" s="66" t="inlineStr">
        <is>
          <t>vilvah men's comb / detangling comb price</t>
        </is>
      </c>
      <c r="AM22" s="42" t="inlineStr">
        <is>
          <t>tom ford neroli portofino uk</t>
        </is>
      </c>
      <c r="AN22" s="42" t="inlineStr">
        <is>
          <t>guerlain epices exquises uk</t>
        </is>
      </c>
      <c r="AO22" s="42" t="inlineStr">
        <is>
          <t>tinted sunscreen</t>
        </is>
      </c>
      <c r="AP22" s="42" t="inlineStr">
        <is>
          <t>buy tom ford neroli portofino online</t>
        </is>
      </c>
      <c r="AQ22" s="42" t="inlineStr">
        <is>
          <t>carolina herrera very good girl glam notes</t>
        </is>
      </c>
    </row>
    <row r="23" ht="15" customHeight="1" s="37">
      <c r="A23" s="42" t="inlineStr">
        <is>
          <t>amber perfume for men uk</t>
        </is>
      </c>
      <c r="B23" s="42" t="inlineStr">
        <is>
          <t>joop homme perfume for men</t>
        </is>
      </c>
      <c r="C23" s="42" t="inlineStr">
        <is>
          <t>natural conditioner uk</t>
        </is>
      </c>
      <c r="D23" s="42" t="inlineStr">
        <is>
          <t>al haramain l'aventure intense</t>
        </is>
      </c>
      <c r="E23" s="42" t="inlineStr">
        <is>
          <t>deyga hair care kit</t>
        </is>
      </c>
      <c r="F23" s="42" t="inlineStr">
        <is>
          <t>fumeri flirt</t>
        </is>
      </c>
      <c r="G23" s="42" t="inlineStr">
        <is>
          <t>lancome idole now florale</t>
        </is>
      </c>
      <c r="H23" s="42" t="inlineStr">
        <is>
          <t>trussardi pure jasmine lifestyle mini gift set</t>
        </is>
      </c>
      <c r="I23" s="42" t="inlineStr">
        <is>
          <t>al haramain amber oud tobacco edition uk</t>
        </is>
      </c>
      <c r="J23" s="66" t="inlineStr">
        <is>
          <t>deyga deep moisturising face cream uk</t>
        </is>
      </c>
      <c r="K23" s="66" t="inlineStr">
        <is>
          <t>etienne aigner first class explorer uk</t>
        </is>
      </c>
      <c r="L23" s="66" t="inlineStr">
        <is>
          <t>korloff royal oud korloff paris uk</t>
        </is>
      </c>
      <c r="M23" s="66" t="inlineStr">
        <is>
          <t>tom ford black orchid uk</t>
        </is>
      </c>
      <c r="N23" s="66" t="inlineStr">
        <is>
          <t>al haramain amber oud bleu edition eau de parfum</t>
        </is>
      </c>
      <c r="O23" s="66" t="inlineStr">
        <is>
          <t>elie saab nuit noor eau de parfum</t>
        </is>
      </c>
      <c r="P23" s="66" t="inlineStr">
        <is>
          <t>la maison de la vanille royal oud eau de parfum</t>
        </is>
      </c>
      <c r="Q23" s="66" t="inlineStr">
        <is>
          <t>viktor &amp; rolf good fortune miniature eau de parfum</t>
        </is>
      </c>
      <c r="R23" s="66" t="inlineStr">
        <is>
          <t>buy deyga acne relief combo online</t>
        </is>
      </c>
      <c r="S23" s="66" t="inlineStr">
        <is>
          <t>buy dunhill signature collection indian sandalwood online</t>
        </is>
      </c>
      <c r="T23" s="66" t="inlineStr">
        <is>
          <t>buy hugo boss bottled online</t>
        </is>
      </c>
      <c r="U23" s="66" t="inlineStr">
        <is>
          <t>buy tiziana terenzi akragas online</t>
        </is>
      </c>
      <c r="V23" s="66" t="inlineStr">
        <is>
          <t>buy vilvah skin radiance kit online</t>
        </is>
      </c>
      <c r="W23" s="66" t="inlineStr">
        <is>
          <t>al haramain l'aventure gold dupe</t>
        </is>
      </c>
      <c r="X23" s="66" t="inlineStr">
        <is>
          <t>bvlgari man wood essence edp set</t>
        </is>
      </c>
      <c r="Y23" s="66" t="inlineStr">
        <is>
          <t>chopard imperiale iris malika perfume</t>
        </is>
      </c>
      <c r="Z23" s="66" t="inlineStr">
        <is>
          <t>dkny be delicious gift set 30ml be delicious edp 30ml fresh blossom edp</t>
        </is>
      </c>
      <c r="AA23" s="66" t="inlineStr">
        <is>
          <t>dunhill signature collection indian sandalwood eau de parfum 100ml</t>
        </is>
      </c>
      <c r="AB23" s="66" t="inlineStr">
        <is>
          <t>game of spades blind bid notes</t>
        </is>
      </c>
      <c r="AC23" s="66" t="inlineStr">
        <is>
          <t>gucci guilty pour femme eau de parfum gift set</t>
        </is>
      </c>
      <c r="AD23" s="66" t="inlineStr">
        <is>
          <t>korloff in love perfume price</t>
        </is>
      </c>
      <c r="AE23" s="66" t="inlineStr">
        <is>
          <t>shiseido zen perfume</t>
        </is>
      </c>
      <c r="AF23" s="66" t="inlineStr">
        <is>
          <t>tiziana terenzi ecstasy extrait de parfum 100ml</t>
        </is>
      </c>
      <c r="AG23" s="66" t="inlineStr">
        <is>
          <t>vilvah lip scrub review</t>
        </is>
      </c>
      <c r="AH23" s="66" t="inlineStr">
        <is>
          <t>chloe miniature set price</t>
        </is>
      </c>
      <c r="AI23" s="66" t="inlineStr">
        <is>
          <t>dkny miniature set price</t>
        </is>
      </c>
      <c r="AJ23" s="66" t="inlineStr">
        <is>
          <t>guerlain samsara price</t>
        </is>
      </c>
      <c r="AK23" s="66" t="inlineStr">
        <is>
          <t>signature jade price</t>
        </is>
      </c>
      <c r="AL23" s="66" t="inlineStr">
        <is>
          <t>vilvah milk body kit price</t>
        </is>
      </c>
      <c r="AM23" s="42" t="inlineStr">
        <is>
          <t>chloe nomade eau de parfum</t>
        </is>
      </c>
      <c r="AN23" s="42" t="inlineStr">
        <is>
          <t>mancera intense red tobacco extrait de parfum</t>
        </is>
      </c>
      <c r="AO23" s="42" t="inlineStr">
        <is>
          <t>night cream</t>
        </is>
      </c>
      <c r="AP23" s="42" t="inlineStr">
        <is>
          <t>tom ford neroli portofino price</t>
        </is>
      </c>
      <c r="AQ23" s="42" t="inlineStr">
        <is>
          <t>vilvah hair growth oil review</t>
        </is>
      </c>
    </row>
    <row r="24" ht="15" customHeight="1" s="37">
      <c r="A24" s="42" t="inlineStr">
        <is>
          <t>amber perfume uk</t>
        </is>
      </c>
      <c r="B24" s="42" t="inlineStr">
        <is>
          <t>juicy couture perfume</t>
        </is>
      </c>
      <c r="C24" s="42" t="inlineStr">
        <is>
          <t>natural deodorant for body hydration</t>
        </is>
      </c>
      <c r="D24" s="42" t="inlineStr">
        <is>
          <t>anatome balance</t>
        </is>
      </c>
      <c r="E24" s="42" t="inlineStr">
        <is>
          <t>deyga hair growth oil</t>
        </is>
      </c>
      <c r="F24" s="42" t="inlineStr">
        <is>
          <t>fumeri gabriella</t>
        </is>
      </c>
      <c r="G24" s="42" t="inlineStr">
        <is>
          <t>maison de milan amalfi bleu</t>
        </is>
      </c>
      <c r="H24" s="42" t="inlineStr">
        <is>
          <t>trussardi pure jasmine miniature</t>
        </is>
      </c>
      <c r="I24" s="42" t="inlineStr">
        <is>
          <t>al haramain amber oud uk</t>
        </is>
      </c>
      <c r="J24" s="66" t="inlineStr">
        <is>
          <t>deyga double hydration kit uk</t>
        </is>
      </c>
      <c r="K24" s="66" t="inlineStr">
        <is>
          <t>etienne aigner no. 1 intense uk</t>
        </is>
      </c>
      <c r="L24" s="66" t="inlineStr">
        <is>
          <t>korloff royal rose uk</t>
        </is>
      </c>
      <c r="M24" s="66" t="inlineStr">
        <is>
          <t>tom ford ebene fume uk</t>
        </is>
      </c>
      <c r="N24" s="66" t="inlineStr">
        <is>
          <t>al haramain amber oud carbon edition eau de parfum</t>
        </is>
      </c>
      <c r="O24" s="66" t="inlineStr">
        <is>
          <t>elizabeth arden beauty eau de parfum</t>
        </is>
      </c>
      <c r="P24" s="66" t="inlineStr">
        <is>
          <t>la maison de la wooden coffret edt</t>
        </is>
      </c>
      <c r="Q24" s="66" t="inlineStr">
        <is>
          <t>ysl yves saint laurent yvresse w eau de toilette</t>
        </is>
      </c>
      <c r="R24" s="66" t="inlineStr">
        <is>
          <t>buy deyga acne vanishing combo online</t>
        </is>
      </c>
      <c r="S24" s="66" t="inlineStr">
        <is>
          <t>buy dunhill signature collection mongolian cashmere online</t>
        </is>
      </c>
      <c r="T24" s="66" t="inlineStr">
        <is>
          <t>buy hugo boss hugo man online</t>
        </is>
      </c>
      <c r="U24" s="66" t="inlineStr">
        <is>
          <t>buy tiziana terenzi andromeda online</t>
        </is>
      </c>
      <c r="V24" s="66" t="inlineStr">
        <is>
          <t>buy vilvah store frizz free hair combo online</t>
        </is>
      </c>
      <c r="W24" s="66" t="inlineStr">
        <is>
          <t>al haramain l'aventure gold perfume</t>
        </is>
      </c>
      <c r="X24" s="66" t="inlineStr">
        <is>
          <t>bvlgari man wood essence gift set 100ml edp 15ml edp</t>
        </is>
      </c>
      <c r="Y24" s="66" t="inlineStr">
        <is>
          <t>chopard imperiale iris malika review</t>
        </is>
      </c>
      <c r="Z24" s="66" t="inlineStr">
        <is>
          <t>dkny be delicious orchard street eau de parfum 100ml</t>
        </is>
      </c>
      <c r="AA24" s="66" t="inlineStr">
        <is>
          <t>dunhill signature collection indian sandalwood edp</t>
        </is>
      </c>
      <c r="AB24" s="66" t="inlineStr">
        <is>
          <t>game of spades blind bid perfume review</t>
        </is>
      </c>
      <c r="AC24" s="66" t="inlineStr">
        <is>
          <t>gucci guilty pour femme price</t>
        </is>
      </c>
      <c r="AD24" s="66" t="inlineStr">
        <is>
          <t>korloff in white perfume</t>
        </is>
      </c>
      <c r="AE24" s="66" t="inlineStr">
        <is>
          <t>shiseido zen perfume price</t>
        </is>
      </c>
      <c r="AF24" s="66" t="inlineStr">
        <is>
          <t>tiziana terenzi ecstasy notes</t>
        </is>
      </c>
      <c r="AG24" s="66" t="inlineStr">
        <is>
          <t>vilvah milk body lotion review</t>
        </is>
      </c>
      <c r="AH24" s="66" t="inlineStr">
        <is>
          <t>chloe nomade gift set price</t>
        </is>
      </c>
      <c r="AI24" s="66" t="inlineStr">
        <is>
          <t>dolce &amp; gabbana devotion gift set price</t>
        </is>
      </c>
      <c r="AJ24" s="66" t="inlineStr">
        <is>
          <t>hemel affair price</t>
        </is>
      </c>
      <c r="AK24" s="66" t="inlineStr">
        <is>
          <t>signature le femme gold price</t>
        </is>
      </c>
      <c r="AL24" s="66" t="inlineStr">
        <is>
          <t>vilvah milk body lotion price</t>
        </is>
      </c>
      <c r="AM24" s="42" t="inlineStr">
        <is>
          <t>paloma picasso eau de toilette</t>
        </is>
      </c>
      <c r="AN24" s="42" t="inlineStr">
        <is>
          <t>mancera intense red tobacco uk</t>
        </is>
      </c>
      <c r="AO24" s="42" t="inlineStr">
        <is>
          <t>face serum for glowing skin</t>
        </is>
      </c>
      <c r="AP24" s="42" t="inlineStr">
        <is>
          <t>buy chloe nomade online</t>
        </is>
      </c>
      <c r="AQ24" s="42" t="inlineStr">
        <is>
          <t>vilvah milk powder face wash review</t>
        </is>
      </c>
    </row>
    <row r="25" ht="15" customHeight="1" s="37">
      <c r="A25" s="42" t="inlineStr">
        <is>
          <t>anatome perfume</t>
        </is>
      </c>
      <c r="B25" s="42" t="inlineStr">
        <is>
          <t>juicy couture perfume for women</t>
        </is>
      </c>
      <c r="C25" s="42" t="inlineStr">
        <is>
          <t>natural face mask uk</t>
        </is>
      </c>
      <c r="D25" s="42" t="inlineStr">
        <is>
          <t>anatome energy</t>
        </is>
      </c>
      <c r="E25" s="42" t="inlineStr">
        <is>
          <t>deyga hair nourishment kit</t>
        </is>
      </c>
      <c r="F25" s="42" t="inlineStr">
        <is>
          <t>fumeri gris</t>
        </is>
      </c>
      <c r="G25" s="42" t="inlineStr">
        <is>
          <t>maison de milan bliss rouge</t>
        </is>
      </c>
      <c r="H25" s="42" t="inlineStr">
        <is>
          <t>trussardi ruby red gift set</t>
        </is>
      </c>
      <c r="I25" s="42" t="inlineStr">
        <is>
          <t>al haramain amber oud white edition uk</t>
        </is>
      </c>
      <c r="J25" s="66" t="inlineStr">
        <is>
          <t>deyga eyebrow growth oil uk</t>
        </is>
      </c>
      <c r="K25" s="66" t="inlineStr">
        <is>
          <t>fumeri 540 uk</t>
        </is>
      </c>
      <c r="L25" s="66" t="inlineStr">
        <is>
          <t>korloff un soir a paris uk</t>
        </is>
      </c>
      <c r="M25" s="66" t="inlineStr">
        <is>
          <t>tom ford neroli portofino uk</t>
        </is>
      </c>
      <c r="N25" s="66" t="inlineStr">
        <is>
          <t>al haramain amber oud eau de parfum</t>
        </is>
      </c>
      <c r="O25" s="66" t="inlineStr">
        <is>
          <t>escada magnetic dream eau de parfum</t>
        </is>
      </c>
      <c r="P25" s="66" t="inlineStr">
        <is>
          <t>lancome idole nectar eau de parfum</t>
        </is>
      </c>
      <c r="Q25" s="66" t="inlineStr">
        <is>
          <t>buy abercrombie &amp; fitch first instinct together online</t>
        </is>
      </c>
      <c r="R25" s="66" t="inlineStr">
        <is>
          <t>buy deyga activated charcoal body wash online</t>
        </is>
      </c>
      <c r="S25" s="66" t="inlineStr">
        <is>
          <t>buy dunhill signature collection moroccan amber online</t>
        </is>
      </c>
      <c r="T25" s="66" t="inlineStr">
        <is>
          <t>buy hugo boss the collection confident oud intense online</t>
        </is>
      </c>
      <c r="U25" s="66" t="inlineStr">
        <is>
          <t>buy tiziana terenzi borelli linea tt online</t>
        </is>
      </c>
      <c r="V25" s="66" t="inlineStr">
        <is>
          <t>buy vilvah sun protection kit online</t>
        </is>
      </c>
      <c r="W25" s="66" t="inlineStr">
        <is>
          <t>al haramain l'aventure intense dupe of</t>
        </is>
      </c>
      <c r="X25" s="66" t="inlineStr">
        <is>
          <t>bvlgari man wood essence kit</t>
        </is>
      </c>
      <c r="Y25" s="66" t="inlineStr">
        <is>
          <t>chopard oud malaki dupe</t>
        </is>
      </c>
      <c r="Z25" s="66" t="inlineStr">
        <is>
          <t>dkny be delicious orchard street edp</t>
        </is>
      </c>
      <c r="AA25" s="66" t="inlineStr">
        <is>
          <t>dunhill signature collection indian sandalwood edp 100ml</t>
        </is>
      </c>
      <c r="AB25" s="66" t="inlineStr">
        <is>
          <t>game of spades blind bid review</t>
        </is>
      </c>
      <c r="AC25" s="66" t="inlineStr">
        <is>
          <t>gucci guilty pour femme set</t>
        </is>
      </c>
      <c r="AD25" s="66" t="inlineStr">
        <is>
          <t>korloff lady intense edp</t>
        </is>
      </c>
      <c r="AE25" s="66" t="inlineStr">
        <is>
          <t>signature ambre parfum</t>
        </is>
      </c>
      <c r="AF25" s="66" t="inlineStr">
        <is>
          <t>tiziana terenzi ecstasy perfume</t>
        </is>
      </c>
      <c r="AG25" s="66" t="inlineStr">
        <is>
          <t>vilvah milk drops brightening serum benefits</t>
        </is>
      </c>
      <c r="AH25" s="66" t="inlineStr">
        <is>
          <t>chloe nomade jasmin naturel intense price</t>
        </is>
      </c>
      <c r="AI25" s="66" t="inlineStr">
        <is>
          <t>dolce &amp; gabbana devotion price</t>
        </is>
      </c>
      <c r="AJ25" s="66" t="inlineStr">
        <is>
          <t>hemel amethyst dream price</t>
        </is>
      </c>
      <c r="AK25" s="66" t="inlineStr">
        <is>
          <t>signature musk price</t>
        </is>
      </c>
      <c r="AL25" s="66" t="inlineStr">
        <is>
          <t>vilvah milk drops brightening serum price</t>
        </is>
      </c>
      <c r="AM25" s="42" t="inlineStr">
        <is>
          <t>paloma picasso uk</t>
        </is>
      </c>
      <c r="AN25" s="42" t="inlineStr">
        <is>
          <t>tiziana terenzi andromeda extrait de parfum</t>
        </is>
      </c>
      <c r="AO25" s="42" t="inlineStr">
        <is>
          <t>hair mask for hair growth</t>
        </is>
      </c>
      <c r="AP25" s="42" t="inlineStr">
        <is>
          <t>chloe nomade price</t>
        </is>
      </c>
      <c r="AQ25" s="42" t="inlineStr">
        <is>
          <t>vilvah goat milk body wash review</t>
        </is>
      </c>
    </row>
    <row r="26" ht="15" customHeight="1" s="37">
      <c r="A26" s="42" t="inlineStr">
        <is>
          <t>anna sui perfume</t>
        </is>
      </c>
      <c r="B26" s="42" t="inlineStr">
        <is>
          <t>kenneth cole perfume</t>
        </is>
      </c>
      <c r="C26" s="42" t="inlineStr">
        <is>
          <t>natural face serum uk</t>
        </is>
      </c>
      <c r="D26" s="42" t="inlineStr">
        <is>
          <t>anatome expression</t>
        </is>
      </c>
      <c r="E26" s="42" t="inlineStr">
        <is>
          <t>deyga hair removal powder</t>
        </is>
      </c>
      <c r="F26" s="42" t="inlineStr">
        <is>
          <t>fumeri orchid noir</t>
        </is>
      </c>
      <c r="G26" s="42" t="inlineStr">
        <is>
          <t>maison de milan brave lad</t>
        </is>
      </c>
      <c r="H26" s="42" t="inlineStr">
        <is>
          <t>viktor &amp; rolf good fortune miniature</t>
        </is>
      </c>
      <c r="I26" s="42" t="inlineStr">
        <is>
          <t>al haramain detour noir uk</t>
        </is>
      </c>
      <c r="J26" s="66" t="inlineStr">
        <is>
          <t>deyga face &amp; body exfoliator powder uk</t>
        </is>
      </c>
      <c r="K26" s="66" t="inlineStr">
        <is>
          <t>fumeri adore uk</t>
        </is>
      </c>
      <c r="L26" s="66" t="inlineStr">
        <is>
          <t>la maison de la vanille absolu de vanille uk</t>
        </is>
      </c>
      <c r="M26" s="66" t="inlineStr">
        <is>
          <t>tom ford noir extreme uk</t>
        </is>
      </c>
      <c r="N26" s="66" t="inlineStr">
        <is>
          <t>al haramain amber oud extreme gold edition extrait de parfum</t>
        </is>
      </c>
      <c r="O26" s="66" t="inlineStr">
        <is>
          <t>escada magnetism eau de parfum</t>
        </is>
      </c>
      <c r="P26" s="66" t="inlineStr">
        <is>
          <t>lancome idole now florale eau de parfum</t>
        </is>
      </c>
      <c r="Q26" s="66" t="inlineStr">
        <is>
          <t>buy abercrombie &amp; fitch naturally fierce online</t>
        </is>
      </c>
      <c r="R26" s="66" t="inlineStr">
        <is>
          <t>buy deyga almond milk body lotion online</t>
        </is>
      </c>
      <c r="S26" s="66" t="inlineStr">
        <is>
          <t>buy dunhill signature collection nordic fougere online</t>
        </is>
      </c>
      <c r="T26" s="66" t="inlineStr">
        <is>
          <t>buy jean paul gaultier classique perfumed shower gel online</t>
        </is>
      </c>
      <c r="U26" s="66" t="inlineStr">
        <is>
          <t>buy tiziana terenzi caput mundi online</t>
        </is>
      </c>
      <c r="V26" s="66" t="inlineStr">
        <is>
          <t>buy vilvah tan protection kit online</t>
        </is>
      </c>
      <c r="W26" s="66" t="inlineStr">
        <is>
          <t>al haramain l'aventure intense eau de parfum 100ml</t>
        </is>
      </c>
      <c r="X26" s="66" t="inlineStr">
        <is>
          <t>bvlgari man wood essence set</t>
        </is>
      </c>
      <c r="Y26" s="66" t="inlineStr">
        <is>
          <t>chopard oud malaki notes</t>
        </is>
      </c>
      <c r="Z26" s="66" t="inlineStr">
        <is>
          <t>dkny be delicious orchard street edp 100ml</t>
        </is>
      </c>
      <c r="AA26" s="66" t="inlineStr">
        <is>
          <t>dunhill signature collection indian sandalwood for men</t>
        </is>
      </c>
      <c r="AB26" s="66" t="inlineStr">
        <is>
          <t>game of spades blind bid smells like</t>
        </is>
      </c>
      <c r="AC26" s="66" t="inlineStr">
        <is>
          <t>gucci guilty pour homme eau de parfum</t>
        </is>
      </c>
      <c r="AD26" s="66" t="inlineStr">
        <is>
          <t>korloff lady intense review</t>
        </is>
      </c>
      <c r="AE26" s="66" t="inlineStr">
        <is>
          <t>signature ambre perfume</t>
        </is>
      </c>
      <c r="AF26" s="66" t="inlineStr">
        <is>
          <t>tiziana terenzi ecstasy review</t>
        </is>
      </c>
      <c r="AG26" s="66" t="inlineStr">
        <is>
          <t>vilvah milk drops brightening serum how to use</t>
        </is>
      </c>
      <c r="AH26" s="66" t="inlineStr">
        <is>
          <t>chloe nomade nuit d'egypte price</t>
        </is>
      </c>
      <c r="AI26" s="66" t="inlineStr">
        <is>
          <t>dolce &amp; gabbana k gift set price</t>
        </is>
      </c>
      <c r="AJ26" s="66" t="inlineStr">
        <is>
          <t>hemel dorado price</t>
        </is>
      </c>
      <c r="AK26" s="66" t="inlineStr">
        <is>
          <t>signature onyx price</t>
        </is>
      </c>
      <c r="AL26" s="66" t="inlineStr">
        <is>
          <t>vilvah milk face kit price</t>
        </is>
      </c>
      <c r="AM26" s="42" t="inlineStr">
        <is>
          <t>al haramain amber oud eau de parfum</t>
        </is>
      </c>
      <c r="AN26" s="42" t="inlineStr">
        <is>
          <t>tiziana terenzi andromeda uk</t>
        </is>
      </c>
      <c r="AO26" s="42" t="inlineStr">
        <is>
          <t>conditioner for dry hair</t>
        </is>
      </c>
      <c r="AP26" s="42" t="inlineStr">
        <is>
          <t>buy paloma picasso online</t>
        </is>
      </c>
      <c r="AQ26" s="42" t="inlineStr">
        <is>
          <t>vilvah rose milk lip balm review</t>
        </is>
      </c>
    </row>
    <row r="27" ht="15" customHeight="1" s="37">
      <c r="A27" s="42" t="inlineStr">
        <is>
          <t>anna sui perfume for women</t>
        </is>
      </c>
      <c r="B27" s="42" t="inlineStr">
        <is>
          <t>kenneth cole perfume for men</t>
        </is>
      </c>
      <c r="C27" s="42" t="inlineStr">
        <is>
          <t>natural face wash uk</t>
        </is>
      </c>
      <c r="D27" s="42" t="inlineStr">
        <is>
          <t>anatome focus</t>
        </is>
      </c>
      <c r="E27" s="42" t="inlineStr">
        <is>
          <t>deyga hair strengthening kit</t>
        </is>
      </c>
      <c r="F27" s="42" t="inlineStr">
        <is>
          <t>fumeri orpheon</t>
        </is>
      </c>
      <c r="G27" s="42" t="inlineStr">
        <is>
          <t>maison de milan delight pour femme</t>
        </is>
      </c>
      <c r="H27" s="42" t="inlineStr">
        <is>
          <t>vilvah aloe vera gel</t>
        </is>
      </c>
      <c r="I27" s="42" t="inlineStr">
        <is>
          <t>al haramain l'aventure blanche uk</t>
        </is>
      </c>
      <c r="J27" s="66" t="inlineStr">
        <is>
          <t>deyga foot butter uk</t>
        </is>
      </c>
      <c r="K27" s="66" t="inlineStr">
        <is>
          <t>fumeri ambre night uk</t>
        </is>
      </c>
      <c r="L27" s="66" t="inlineStr">
        <is>
          <t>la maison de la vanille ambre secret uk</t>
        </is>
      </c>
      <c r="M27" s="66" t="inlineStr">
        <is>
          <t>tom ford oud wood uk</t>
        </is>
      </c>
      <c r="N27" s="66" t="inlineStr">
        <is>
          <t>al haramain amber oud gold edition eau de parfum</t>
        </is>
      </c>
      <c r="O27" s="66" t="inlineStr">
        <is>
          <t>escada party love eau de parfum</t>
        </is>
      </c>
      <c r="P27" s="66" t="inlineStr">
        <is>
          <t>maison de milan amalfi bleu eau de parfum</t>
        </is>
      </c>
      <c r="Q27" s="66" t="inlineStr">
        <is>
          <t>buy acqua di parma blu mediterraneo discovery set online</t>
        </is>
      </c>
      <c r="R27" s="66" t="inlineStr">
        <is>
          <t>buy deyga anti dandruff shampoo online</t>
        </is>
      </c>
      <c r="S27" s="66" t="inlineStr">
        <is>
          <t>buy dunhill signature collection valensole lavender online</t>
        </is>
      </c>
      <c r="T27" s="66" t="inlineStr">
        <is>
          <t>buy jean paul gaultier scandal gold online</t>
        </is>
      </c>
      <c r="U27" s="66" t="inlineStr">
        <is>
          <t>buy tiziana terenzi chimaera anniversary online</t>
        </is>
      </c>
      <c r="V27" s="66" t="inlineStr">
        <is>
          <t>buy vilvah tinted lip balm kit online</t>
        </is>
      </c>
      <c r="W27" s="66" t="inlineStr">
        <is>
          <t>al haramain l'aventure intense edp</t>
        </is>
      </c>
      <c r="X27" s="66" t="inlineStr">
        <is>
          <t>bvlgari omnia amethyste 100ml</t>
        </is>
      </c>
      <c r="Y27" s="66" t="inlineStr">
        <is>
          <t>chopard oud malaki perfume</t>
        </is>
      </c>
      <c r="Z27" s="66" t="inlineStr">
        <is>
          <t>dkny be delicious orchard street edp 30ml</t>
        </is>
      </c>
      <c r="AA27" s="66" t="inlineStr">
        <is>
          <t>dunhill signature collection indian sandalwood review</t>
        </is>
      </c>
      <c r="AB27" s="66" t="inlineStr">
        <is>
          <t>game of spades boston dupe of</t>
        </is>
      </c>
      <c r="AC27" s="66" t="inlineStr">
        <is>
          <t>gucci guilty pour homme edp</t>
        </is>
      </c>
      <c r="AD27" s="66" t="inlineStr">
        <is>
          <t>korloff love review</t>
        </is>
      </c>
      <c r="AE27" s="66" t="inlineStr">
        <is>
          <t>signature ambre perfume for men</t>
        </is>
      </c>
      <c r="AF27" s="66" t="inlineStr">
        <is>
          <t>tiziana terenzi gold rose oudh 50ml</t>
        </is>
      </c>
      <c r="AG27" s="66" t="inlineStr">
        <is>
          <t>vilvah milk drops brightening serum ingredients</t>
        </is>
      </c>
      <c r="AH27" s="66" t="inlineStr">
        <is>
          <t>chloe nomade price</t>
        </is>
      </c>
      <c r="AI27" s="66" t="inlineStr">
        <is>
          <t>dolce &amp; gabbana l'imperatrice price</t>
        </is>
      </c>
      <c r="AJ27" s="66" t="inlineStr">
        <is>
          <t>hemel favourite black price</t>
        </is>
      </c>
      <c r="AK27" s="66" t="inlineStr">
        <is>
          <t>signature opal price</t>
        </is>
      </c>
      <c r="AL27" s="66" t="inlineStr">
        <is>
          <t>vilvah milk face toner price</t>
        </is>
      </c>
      <c r="AM27" s="42" t="inlineStr">
        <is>
          <t>marc jacobs honey eau de parfum</t>
        </is>
      </c>
      <c r="AN27" s="42" t="inlineStr">
        <is>
          <t>tiziana terenzi gold rose oudh extrait de parfum</t>
        </is>
      </c>
      <c r="AO27" s="42" t="inlineStr">
        <is>
          <t>shampoo for dry hair</t>
        </is>
      </c>
      <c r="AP27" s="42" t="inlineStr">
        <is>
          <t>paloma picasso price</t>
        </is>
      </c>
      <c r="AQ27" s="42" t="inlineStr">
        <is>
          <t>vilvah cream conditioner review</t>
        </is>
      </c>
    </row>
    <row r="28" ht="15" customHeight="1" s="37">
      <c r="A28" s="42" t="inlineStr">
        <is>
          <t>antonio banderas perfume</t>
        </is>
      </c>
      <c r="B28" s="42" t="inlineStr">
        <is>
          <t>korloff perfume</t>
        </is>
      </c>
      <c r="C28" s="42" t="inlineStr">
        <is>
          <t>natural hair accessories uk</t>
        </is>
      </c>
      <c r="D28" s="42" t="inlineStr">
        <is>
          <t>anatome support</t>
        </is>
      </c>
      <c r="E28" s="42" t="inlineStr">
        <is>
          <t>deyga healthy glow kit</t>
        </is>
      </c>
      <c r="F28" s="42" t="inlineStr">
        <is>
          <t>fumeri oud saffron</t>
        </is>
      </c>
      <c r="G28" s="42" t="inlineStr">
        <is>
          <t>maison de milan elegance pour femme</t>
        </is>
      </c>
      <c r="H28" s="42" t="inlineStr">
        <is>
          <t>vilvah am brightening kit</t>
        </is>
      </c>
      <c r="I28" s="42" t="inlineStr">
        <is>
          <t>al haramain l'aventure femme uk</t>
        </is>
      </c>
      <c r="J28" s="66" t="inlineStr">
        <is>
          <t>deyga foot scrub uk</t>
        </is>
      </c>
      <c r="K28" s="66" t="inlineStr">
        <is>
          <t>fumeri angel uk</t>
        </is>
      </c>
      <c r="L28" s="66" t="inlineStr">
        <is>
          <t>la maison de la vanille royal oud uk</t>
        </is>
      </c>
      <c r="M28" s="66" t="inlineStr">
        <is>
          <t>trussardi black extreme miniature uk</t>
        </is>
      </c>
      <c r="N28" s="66" t="inlineStr">
        <is>
          <t>al haramain amber oud ruby edition eau de parfum</t>
        </is>
      </c>
      <c r="O28" s="66" t="inlineStr">
        <is>
          <t>estee lauder spellbound eau de parfum</t>
        </is>
      </c>
      <c r="P28" s="66" t="inlineStr">
        <is>
          <t>maison de milan bliss rouge eau de parfum</t>
        </is>
      </c>
      <c r="Q28" s="66" t="inlineStr">
        <is>
          <t>buy acqua di parma colonia essenza deodorant stick online</t>
        </is>
      </c>
      <c r="R28" s="66" t="inlineStr">
        <is>
          <t>buy deyga anti-dandruff oil online</t>
        </is>
      </c>
      <c r="S28" s="66" t="inlineStr">
        <is>
          <t>buy elie saab elixir online</t>
        </is>
      </c>
      <c r="T28" s="66" t="inlineStr">
        <is>
          <t>buy jimmy choo i want choo forever miniature online</t>
        </is>
      </c>
      <c r="U28" s="66" t="inlineStr">
        <is>
          <t>buy tiziana terenzi draconis online</t>
        </is>
      </c>
      <c r="V28" s="66" t="inlineStr">
        <is>
          <t>buy vilvah ultra moisturising cream online</t>
        </is>
      </c>
      <c r="W28" s="66" t="inlineStr">
        <is>
          <t>al haramain l'aventure intense review</t>
        </is>
      </c>
      <c r="X28" s="66" t="inlineStr">
        <is>
          <t>bvlgari omnia amethyste dupe</t>
        </is>
      </c>
      <c r="Y28" s="66" t="inlineStr">
        <is>
          <t>chopard oud malaki review</t>
        </is>
      </c>
      <c r="Z28" s="66" t="inlineStr">
        <is>
          <t>dkny be delicious orchard street perfume</t>
        </is>
      </c>
      <c r="AA28" s="66" t="inlineStr">
        <is>
          <t>dunhill signature collection mongolian cashmere eau de parfum 100ml</t>
        </is>
      </c>
      <c r="AB28" s="66" t="inlineStr">
        <is>
          <t>game of spades boston notes</t>
        </is>
      </c>
      <c r="AC28" s="66" t="inlineStr">
        <is>
          <t>gucci guilty pour homme edt</t>
        </is>
      </c>
      <c r="AD28" s="66" t="inlineStr">
        <is>
          <t>korloff perfume cuir mythique</t>
        </is>
      </c>
      <c r="AE28" s="66" t="inlineStr">
        <is>
          <t>signature ambre отзывы</t>
        </is>
      </c>
      <c r="AF28" s="66" t="inlineStr">
        <is>
          <t>tiziana terenzi gold rose oudh extrait de parfum 100ml</t>
        </is>
      </c>
      <c r="AG28" s="66" t="inlineStr">
        <is>
          <t>vilvah milk drops brightening serum review</t>
        </is>
      </c>
      <c r="AH28" s="66" t="inlineStr">
        <is>
          <t>chloe rose naturelle intense price</t>
        </is>
      </c>
      <c r="AI28" s="66" t="inlineStr">
        <is>
          <t>dolce &amp; gabbana miniature set price</t>
        </is>
      </c>
      <c r="AJ28" s="66" t="inlineStr">
        <is>
          <t>hemel gris price</t>
        </is>
      </c>
      <c r="AK28" s="66" t="inlineStr">
        <is>
          <t>signature paradiso price</t>
        </is>
      </c>
      <c r="AL28" s="66" t="inlineStr">
        <is>
          <t>vilvah milk lip balm spf 30 pa+++ price</t>
        </is>
      </c>
      <c r="AM28" s="42" t="inlineStr">
        <is>
          <t>marc jacobs honey uk</t>
        </is>
      </c>
      <c r="AN28" s="42" t="inlineStr">
        <is>
          <t>tiziana terenzi gold rose oudh uk</t>
        </is>
      </c>
      <c r="AO28" s="42" t="inlineStr">
        <is>
          <t>shampoo for hair loss</t>
        </is>
      </c>
      <c r="AP28" s="42" t="inlineStr">
        <is>
          <t>buy al haramain amber oud online</t>
        </is>
      </c>
      <c r="AQ28" s="42" t="inlineStr">
        <is>
          <t>vilvah goat milk shampoo review</t>
        </is>
      </c>
    </row>
    <row r="29" ht="15" customHeight="1" s="37">
      <c r="A29" s="42" t="inlineStr">
        <is>
          <t>antonio banderas perfume for men</t>
        </is>
      </c>
      <c r="B29" s="42" t="inlineStr">
        <is>
          <t>la maison perfume</t>
        </is>
      </c>
      <c r="C29" s="42" t="inlineStr">
        <is>
          <t>natural hair mask uk</t>
        </is>
      </c>
      <c r="D29" s="42" t="inlineStr">
        <is>
          <t>anna sui sky</t>
        </is>
      </c>
      <c r="E29" s="42" t="inlineStr">
        <is>
          <t>deyga hydro boosting skin care kit</t>
        </is>
      </c>
      <c r="F29" s="42" t="inlineStr">
        <is>
          <t>fumeri peach</t>
        </is>
      </c>
      <c r="G29" s="42" t="inlineStr">
        <is>
          <t>maison de milan gossip pour femme</t>
        </is>
      </c>
      <c r="H29" s="42" t="inlineStr">
        <is>
          <t>vilvah am pm serum kit</t>
        </is>
      </c>
      <c r="I29" s="42" t="inlineStr">
        <is>
          <t>al haramain l'aventure gold uk</t>
        </is>
      </c>
      <c r="J29" s="66" t="inlineStr">
        <is>
          <t>deyga foot soak powder uk</t>
        </is>
      </c>
      <c r="K29" s="66" t="inlineStr">
        <is>
          <t>fumeri blue uk</t>
        </is>
      </c>
      <c r="L29" s="66" t="inlineStr">
        <is>
          <t>la maison de la wooden coffret uk</t>
        </is>
      </c>
      <c r="M29" s="66" t="inlineStr">
        <is>
          <t>trussardi delicate rose uk</t>
        </is>
      </c>
      <c r="N29" s="66" t="inlineStr">
        <is>
          <t>al haramain amber oud tobacco edition eau de parfum</t>
        </is>
      </c>
      <c r="O29" s="66" t="inlineStr">
        <is>
          <t>etienne aigner first class explorer eau de toilette</t>
        </is>
      </c>
      <c r="P29" s="66" t="inlineStr">
        <is>
          <t>maison de milan brave lad eau de parfum</t>
        </is>
      </c>
      <c r="Q29" s="66" t="inlineStr">
        <is>
          <t>buy acqua di parma colonia pura online</t>
        </is>
      </c>
      <c r="R29" s="66" t="inlineStr">
        <is>
          <t>buy deyga baby bath bar online</t>
        </is>
      </c>
      <c r="S29" s="66" t="inlineStr">
        <is>
          <t>buy elie saab girl of now lovely gift set online</t>
        </is>
      </c>
      <c r="T29" s="66" t="inlineStr">
        <is>
          <t>buy jimmy choo miniature gift set 5x4. online</t>
        </is>
      </c>
      <c r="U29" s="66" t="inlineStr">
        <is>
          <t>buy tiziana terenzi dubhe assoluto online</t>
        </is>
      </c>
      <c r="V29" s="66" t="inlineStr">
        <is>
          <t>buy vilvah under eye cream (dark circles control) online</t>
        </is>
      </c>
      <c r="W29" s="66" t="inlineStr">
        <is>
          <t>anatome balance perfume</t>
        </is>
      </c>
      <c r="X29" s="66" t="inlineStr">
        <is>
          <t>bvlgari omnia amethyste edp</t>
        </is>
      </c>
      <c r="Y29" s="66" t="inlineStr">
        <is>
          <t>daisy love marc jacobs price</t>
        </is>
      </c>
      <c r="Z29" s="66" t="inlineStr">
        <is>
          <t>dkny be tempted 100ml</t>
        </is>
      </c>
      <c r="AA29" s="66" t="inlineStr">
        <is>
          <t>dunhill signature collection moroccan amber edp 100ml</t>
        </is>
      </c>
      <c r="AB29" s="66" t="inlineStr">
        <is>
          <t>game of spades boston perfume</t>
        </is>
      </c>
      <c r="AC29" s="66" t="inlineStr">
        <is>
          <t>gucci guilty pour homme notes</t>
        </is>
      </c>
      <c r="AD29" s="66" t="inlineStr">
        <is>
          <t>korloff perfume royal rose</t>
        </is>
      </c>
      <c r="AE29" s="66" t="inlineStr">
        <is>
          <t>signature aura perfume</t>
        </is>
      </c>
      <c r="AF29" s="66" t="inlineStr">
        <is>
          <t>tiziana terenzi gold rose oudh perfume</t>
        </is>
      </c>
      <c r="AG29" s="66" t="inlineStr">
        <is>
          <t>vilvah milk face toner review</t>
        </is>
      </c>
      <c r="AH29" s="66" t="inlineStr">
        <is>
          <t>chopard amber malaki price</t>
        </is>
      </c>
      <c r="AI29" s="66" t="inlineStr">
        <is>
          <t>dolce &amp; gabbana q price</t>
        </is>
      </c>
      <c r="AJ29" s="66" t="inlineStr">
        <is>
          <t>hemel paris dorado price</t>
        </is>
      </c>
      <c r="AK29" s="66" t="inlineStr">
        <is>
          <t>signature rose price</t>
        </is>
      </c>
      <c r="AL29" s="66" t="inlineStr">
        <is>
          <t>vilvah milk mud mask price</t>
        </is>
      </c>
      <c r="AM29" s="42" t="inlineStr">
        <is>
          <t>bvlgari man in black eau de parfum</t>
        </is>
      </c>
      <c r="AN29" s="42" t="inlineStr">
        <is>
          <t>acqua di parma oud &amp; spice edp</t>
        </is>
      </c>
      <c r="AO29" s="42" t="inlineStr">
        <is>
          <t>face wash for sensitive skin</t>
        </is>
      </c>
      <c r="AP29" s="42" t="inlineStr">
        <is>
          <t>al haramain amber oud price</t>
        </is>
      </c>
      <c r="AQ29" s="42" t="inlineStr">
        <is>
          <t>vilvah honey fix face wash review</t>
        </is>
      </c>
    </row>
    <row r="30" ht="15" customHeight="1" s="37">
      <c r="A30" s="42" t="inlineStr">
        <is>
          <t>antonio banderas perfume for women</t>
        </is>
      </c>
      <c r="B30" s="42" t="inlineStr">
        <is>
          <t>lancome perfume</t>
        </is>
      </c>
      <c r="C30" s="42" t="inlineStr">
        <is>
          <t>natural hair oil uk</t>
        </is>
      </c>
      <c r="D30" s="42" t="inlineStr">
        <is>
          <t>antonio banderas boucheron patchouli d'angkor</t>
        </is>
      </c>
      <c r="E30" s="42" t="inlineStr">
        <is>
          <t>deyga instant hair removal kit</t>
        </is>
      </c>
      <c r="F30" s="42" t="inlineStr">
        <is>
          <t>fumeri smokey leather</t>
        </is>
      </c>
      <c r="G30" s="42" t="inlineStr">
        <is>
          <t>maison de milan invincible</t>
        </is>
      </c>
      <c r="H30" s="42" t="inlineStr">
        <is>
          <t>vilvah anti frizz hair kit</t>
        </is>
      </c>
      <c r="I30" s="42" t="inlineStr">
        <is>
          <t>al haramain l'aventure intense uk</t>
        </is>
      </c>
      <c r="J30" s="66" t="inlineStr">
        <is>
          <t>deyga game changer face care kit uk</t>
        </is>
      </c>
      <c r="K30" s="66" t="inlineStr">
        <is>
          <t>fumeri elixir uk</t>
        </is>
      </c>
      <c r="L30" s="66" t="inlineStr">
        <is>
          <t>lancome idole nectar uk</t>
        </is>
      </c>
      <c r="M30" s="66" t="inlineStr">
        <is>
          <t>trussardi pure jasmine lifestyle mini gift set uk</t>
        </is>
      </c>
      <c r="N30" s="66" t="inlineStr">
        <is>
          <t>al haramain amber oud white edition eau de parfum</t>
        </is>
      </c>
      <c r="O30" s="66" t="inlineStr">
        <is>
          <t>etienne aigner no. 1 intense eau de toilette</t>
        </is>
      </c>
      <c r="P30" s="66" t="inlineStr">
        <is>
          <t>maison de milan delight pour femme eau de parfum</t>
        </is>
      </c>
      <c r="Q30" s="66" t="inlineStr">
        <is>
          <t>buy acqua di parma holiday discovery set online</t>
        </is>
      </c>
      <c r="R30" s="66" t="inlineStr">
        <is>
          <t>buy deyga beautifying serum online</t>
        </is>
      </c>
      <c r="S30" s="66" t="inlineStr">
        <is>
          <t>buy elie saab la collection des essences no. 1 rose online</t>
        </is>
      </c>
      <c r="T30" s="66" t="inlineStr">
        <is>
          <t>buy jo milano game of spades queen for online</t>
        </is>
      </c>
      <c r="U30" s="66" t="inlineStr">
        <is>
          <t>buy tiziana terenzi ecstasy online</t>
        </is>
      </c>
      <c r="V30" s="66" t="inlineStr">
        <is>
          <t>buy vilvah wild rose facemask online</t>
        </is>
      </c>
      <c r="W30" s="66" t="inlineStr">
        <is>
          <t>anatome energy perfume</t>
        </is>
      </c>
      <c r="X30" s="66" t="inlineStr">
        <is>
          <t>bvlgari omnia amethyste notes</t>
        </is>
      </c>
      <c r="Y30" s="66" t="inlineStr">
        <is>
          <t>davidoff champion 90ml</t>
        </is>
      </c>
      <c r="Z30" s="66" t="inlineStr">
        <is>
          <t>dkny be tempted 50ml</t>
        </is>
      </c>
      <c r="AA30" s="66" t="inlineStr">
        <is>
          <t>dunhill signature collection moroccan amber for men</t>
        </is>
      </c>
      <c r="AB30" s="66" t="inlineStr">
        <is>
          <t>game of spades boston review</t>
        </is>
      </c>
      <c r="AC30" s="66" t="inlineStr">
        <is>
          <t>gucci guilty pour homme parfum</t>
        </is>
      </c>
      <c r="AD30" s="66" t="inlineStr">
        <is>
          <t>korloff royal oud price</t>
        </is>
      </c>
      <c r="AE30" s="66" t="inlineStr">
        <is>
          <t>signature black perfume pour homme</t>
        </is>
      </c>
      <c r="AF30" s="66" t="inlineStr">
        <is>
          <t>tiziana terenzi gold rose oudh review</t>
        </is>
      </c>
      <c r="AG30" s="66" t="inlineStr">
        <is>
          <t>vilvah milk mud mask amazon</t>
        </is>
      </c>
      <c r="AH30" s="66" t="inlineStr">
        <is>
          <t>chopard black incense malaki price</t>
        </is>
      </c>
      <c r="AI30" s="66" t="inlineStr">
        <is>
          <t>dolce &amp; gabbana the one gift set price</t>
        </is>
      </c>
      <c r="AJ30" s="66" t="inlineStr">
        <is>
          <t>hemel paris gris for all price</t>
        </is>
      </c>
      <c r="AK30" s="66" t="inlineStr">
        <is>
          <t>signature santal price</t>
        </is>
      </c>
      <c r="AL30" s="66" t="inlineStr">
        <is>
          <t>vilvah milk powder face wash price</t>
        </is>
      </c>
      <c r="AM30" s="42" t="inlineStr">
        <is>
          <t>game of spades full house eau de parfum</t>
        </is>
      </c>
      <c r="AN30" s="42" t="inlineStr">
        <is>
          <t>al haramain l'aventure femme eau de parfum</t>
        </is>
      </c>
      <c r="AO30" s="42" t="inlineStr">
        <is>
          <t>moisturiser for sensitive skin</t>
        </is>
      </c>
      <c r="AP30" s="42" t="inlineStr">
        <is>
          <t>buy marc jacobs honey online</t>
        </is>
      </c>
      <c r="AQ30" s="42" t="inlineStr">
        <is>
          <t>vilvah lemon lip balm review</t>
        </is>
      </c>
    </row>
    <row r="31" ht="15" customHeight="1" s="37">
      <c r="A31" s="42" t="inlineStr">
        <is>
          <t>aquatic perfume uk</t>
        </is>
      </c>
      <c r="B31" s="42" t="inlineStr">
        <is>
          <t>lancome perfume for women</t>
        </is>
      </c>
      <c r="C31" s="42" t="inlineStr">
        <is>
          <t>natural hair serum uk</t>
        </is>
      </c>
      <c r="D31" s="42" t="inlineStr">
        <is>
          <t>antonio banderas boucheron rose d'isparta</t>
        </is>
      </c>
      <c r="E31" s="42" t="inlineStr">
        <is>
          <t>deyga instant hair removal kit with toner</t>
        </is>
      </c>
      <c r="F31" s="42" t="inlineStr">
        <is>
          <t>fumeri style 33</t>
        </is>
      </c>
      <c r="G31" s="42" t="inlineStr">
        <is>
          <t>maison de milan l'homme suave</t>
        </is>
      </c>
      <c r="H31" s="42" t="inlineStr">
        <is>
          <t>vilvah anti-dandruff hair oil</t>
        </is>
      </c>
      <c r="I31" s="42" t="inlineStr">
        <is>
          <t>al haramain l'aventure uk</t>
        </is>
      </c>
      <c r="J31" s="66" t="inlineStr">
        <is>
          <t>deyga hair care kit uk</t>
        </is>
      </c>
      <c r="K31" s="66" t="inlineStr">
        <is>
          <t>fumeri flirt uk</t>
        </is>
      </c>
      <c r="L31" s="66" t="inlineStr">
        <is>
          <t>lancome idole now florale uk</t>
        </is>
      </c>
      <c r="M31" s="66" t="inlineStr">
        <is>
          <t>trussardi pure jasmine miniature uk</t>
        </is>
      </c>
      <c r="N31" s="66" t="inlineStr">
        <is>
          <t>al haramain detour noir eau de parfum</t>
        </is>
      </c>
      <c r="O31" s="66" t="inlineStr">
        <is>
          <t>fumeri 540 eau de parfum</t>
        </is>
      </c>
      <c r="P31" s="66" t="inlineStr">
        <is>
          <t>maison de milan elegance pour femme eau de parfum</t>
        </is>
      </c>
      <c r="Q31" s="66" t="inlineStr">
        <is>
          <t>buy acqua di parma oud &amp; spice online</t>
        </is>
      </c>
      <c r="R31" s="66" t="inlineStr">
        <is>
          <t>buy deyga beetroot lip balm classic online</t>
        </is>
      </c>
      <c r="S31" s="66" t="inlineStr">
        <is>
          <t>buy elie saab la collection des essences no. 4 oud online</t>
        </is>
      </c>
      <c r="T31" s="66" t="inlineStr">
        <is>
          <t>buy jo milano game of spades wildcard for parfum , 3.4 ounce online</t>
        </is>
      </c>
      <c r="U31" s="66" t="inlineStr">
        <is>
          <t>buy tiziana terenzi gold rose oudh online</t>
        </is>
      </c>
      <c r="V31" s="66" t="inlineStr">
        <is>
          <t>buy vilvah x annapoorna gift box online</t>
        </is>
      </c>
      <c r="W31" s="66" t="inlineStr">
        <is>
          <t>anatome focus parfum</t>
        </is>
      </c>
      <c r="X31" s="66" t="inlineStr">
        <is>
          <t>bvlgari omnia amethyste review</t>
        </is>
      </c>
      <c r="Y31" s="66" t="inlineStr">
        <is>
          <t>davidoff champion notes</t>
        </is>
      </c>
      <c r="Z31" s="66" t="inlineStr">
        <is>
          <t>dkny be tempted notes</t>
        </is>
      </c>
      <c r="AA31" s="66" t="inlineStr">
        <is>
          <t>dunhill signature collection moroccan amber review</t>
        </is>
      </c>
      <c r="AB31" s="66" t="inlineStr">
        <is>
          <t>game of spades diamond 30ml</t>
        </is>
      </c>
      <c r="AC31" s="66" t="inlineStr">
        <is>
          <t>gucci guilty pour homme review</t>
        </is>
      </c>
      <c r="AD31" s="66" t="inlineStr">
        <is>
          <t>korloff royal rose edp 88ml</t>
        </is>
      </c>
      <c r="AE31" s="66" t="inlineStr">
        <is>
          <t>signature blue perfume</t>
        </is>
      </c>
      <c r="AF31" s="66" t="inlineStr">
        <is>
          <t>tiziana terenzi gumin notes</t>
        </is>
      </c>
      <c r="AG31" s="66" t="inlineStr">
        <is>
          <t>vilvah milk mud mask benefits</t>
        </is>
      </c>
      <c r="AH31" s="66" t="inlineStr">
        <is>
          <t>chopard gardens of paradise discovery set price</t>
        </is>
      </c>
      <c r="AI31" s="66" t="inlineStr">
        <is>
          <t>dolce &amp; gabbana the one gold intense price</t>
        </is>
      </c>
      <c r="AJ31" s="66" t="inlineStr">
        <is>
          <t>hemel patchouli for all price</t>
        </is>
      </c>
      <c r="AK31" s="66" t="inlineStr">
        <is>
          <t>signature sapphire price</t>
        </is>
      </c>
      <c r="AL31" s="66" t="inlineStr">
        <is>
          <t>vilvah neem wood comb (with handle) price</t>
        </is>
      </c>
      <c r="AM31" s="42" t="inlineStr">
        <is>
          <t>game of spades full house uk</t>
        </is>
      </c>
      <c r="AN31" s="42" t="inlineStr">
        <is>
          <t>chloe rose naturelle intense eau de parfum</t>
        </is>
      </c>
      <c r="AO31" s="42" t="inlineStr">
        <is>
          <t>moisturiser for combination skin</t>
        </is>
      </c>
      <c r="AP31" s="42" t="inlineStr">
        <is>
          <t>marc jacobs honey price</t>
        </is>
      </c>
      <c r="AQ31" s="42" t="inlineStr">
        <is>
          <t>vilvah milk body lotion review</t>
        </is>
      </c>
    </row>
    <row r="32" ht="15" customHeight="1" s="37">
      <c r="A32" s="42" t="inlineStr">
        <is>
          <t>ariana grande perfume</t>
        </is>
      </c>
      <c r="B32" s="42" t="inlineStr">
        <is>
          <t>leather perfume uk</t>
        </is>
      </c>
      <c r="C32" s="42" t="inlineStr">
        <is>
          <t>natural hair treatment uk</t>
        </is>
      </c>
      <c r="D32" s="42" t="inlineStr">
        <is>
          <t>antonio banderas diavolo</t>
        </is>
      </c>
      <c r="E32" s="42" t="inlineStr">
        <is>
          <t>deyga light moisturising face cream</t>
        </is>
      </c>
      <c r="F32" s="42" t="inlineStr">
        <is>
          <t>fumeri victorious</t>
        </is>
      </c>
      <c r="G32" s="42" t="inlineStr">
        <is>
          <t>maison de milan m</t>
        </is>
      </c>
      <c r="H32" s="42" t="inlineStr">
        <is>
          <t>vilvah anti-frizz hair serum</t>
        </is>
      </c>
      <c r="I32" s="42" t="inlineStr">
        <is>
          <t>anatome balance uk</t>
        </is>
      </c>
      <c r="J32" s="66" t="inlineStr">
        <is>
          <t>deyga hair growth oil uk</t>
        </is>
      </c>
      <c r="K32" s="66" t="inlineStr">
        <is>
          <t>fumeri gabriella uk</t>
        </is>
      </c>
      <c r="L32" s="66" t="inlineStr">
        <is>
          <t>maison de milan amalfi bleu uk</t>
        </is>
      </c>
      <c r="M32" s="66" t="inlineStr">
        <is>
          <t>trussardi pure jasmine uk</t>
        </is>
      </c>
      <c r="N32" s="66" t="inlineStr">
        <is>
          <t>al haramain l'aventure blanche eau de parfum</t>
        </is>
      </c>
      <c r="O32" s="66" t="inlineStr">
        <is>
          <t>fumeri adore edp</t>
        </is>
      </c>
      <c r="P32" s="66" t="inlineStr">
        <is>
          <t>maison de milan gossip pour femme eau de parfum</t>
        </is>
      </c>
      <c r="Q32" s="66" t="inlineStr">
        <is>
          <t>buy acqua di parma rosa nobile online</t>
        </is>
      </c>
      <c r="R32" s="66" t="inlineStr">
        <is>
          <t>buy deyga beetroot lip balm stick online</t>
        </is>
      </c>
      <c r="S32" s="66" t="inlineStr">
        <is>
          <t>buy elie saab le online</t>
        </is>
      </c>
      <c r="T32" s="66" t="inlineStr">
        <is>
          <t>buy john varvatos artisan online</t>
        </is>
      </c>
      <c r="U32" s="66" t="inlineStr">
        <is>
          <t>buy tiziana terenzi gumin online</t>
        </is>
      </c>
      <c r="V32" s="66" t="inlineStr">
        <is>
          <t>buy ysl yves saint laurent yvresse w online</t>
        </is>
      </c>
      <c r="W32" s="66" t="inlineStr">
        <is>
          <t>anna sui sky 75ml</t>
        </is>
      </c>
      <c r="X32" s="66" t="inlineStr">
        <is>
          <t>bvlgari rose goldea blossom delight 75ml price</t>
        </is>
      </c>
      <c r="Y32" s="66" t="inlineStr">
        <is>
          <t>davidoff champion perfume</t>
        </is>
      </c>
      <c r="Z32" s="66" t="inlineStr">
        <is>
          <t>dkny be tempted perfume</t>
        </is>
      </c>
      <c r="AA32" s="66" t="inlineStr">
        <is>
          <t>dunhill signature collection nordic fougere edp</t>
        </is>
      </c>
      <c r="AB32" s="66" t="inlineStr">
        <is>
          <t>game of spades diamond dupe of</t>
        </is>
      </c>
      <c r="AC32" s="66" t="inlineStr">
        <is>
          <t>gucci intense oud 90ml</t>
        </is>
      </c>
      <c r="AD32" s="66" t="inlineStr">
        <is>
          <t>korloff royal rose review</t>
        </is>
      </c>
      <c r="AE32" s="66" t="inlineStr">
        <is>
          <t>signature charm perfume</t>
        </is>
      </c>
      <c r="AF32" s="66" t="inlineStr">
        <is>
          <t>tiziana terenzi gumin perfume</t>
        </is>
      </c>
      <c r="AG32" s="66" t="inlineStr">
        <is>
          <t>vilvah milk mud mask how to use</t>
        </is>
      </c>
      <c r="AH32" s="66" t="inlineStr">
        <is>
          <t>chopard imperiale iris malika price</t>
        </is>
      </c>
      <c r="AI32" s="66" t="inlineStr">
        <is>
          <t>dolce &amp; gabbana the one intense price</t>
        </is>
      </c>
      <c r="AJ32" s="66" t="inlineStr">
        <is>
          <t>hemel plateado price</t>
        </is>
      </c>
      <c r="AK32" s="66" t="inlineStr">
        <is>
          <t>the woods collection azure price</t>
        </is>
      </c>
      <c r="AL32" s="66" t="inlineStr">
        <is>
          <t>vilvah neem wood comb(fine and wide tooth) price</t>
        </is>
      </c>
      <c r="AM32" s="42" t="inlineStr">
        <is>
          <t>gucci guilty pour homme eau de toilette</t>
        </is>
      </c>
      <c r="AN32" s="42" t="inlineStr">
        <is>
          <t>dolce &amp; gabbana the one intense eau de parfum</t>
        </is>
      </c>
      <c r="AO32" s="42" t="inlineStr">
        <is>
          <t>toner for oily skin</t>
        </is>
      </c>
      <c r="AP32" s="42" t="inlineStr">
        <is>
          <t>buy bvlgari man in black online</t>
        </is>
      </c>
      <c r="AQ32" s="42" t="inlineStr">
        <is>
          <t>vilvah milk face toner review</t>
        </is>
      </c>
    </row>
    <row r="33" ht="15" customHeight="1" s="37">
      <c r="A33" s="42" t="inlineStr">
        <is>
          <t>ariana grande perfume for women</t>
        </is>
      </c>
      <c r="B33" s="42" t="inlineStr">
        <is>
          <t>mancera perfume</t>
        </is>
      </c>
      <c r="C33" s="42" t="inlineStr">
        <is>
          <t>natural lip balm uk</t>
        </is>
      </c>
      <c r="D33" s="42" t="inlineStr">
        <is>
          <t>antonio banderas her secret desire</t>
        </is>
      </c>
      <c r="E33" s="42" t="inlineStr">
        <is>
          <t>deyga mini foot spa combo</t>
        </is>
      </c>
      <c r="F33" s="42" t="inlineStr">
        <is>
          <t>fumeri wild</t>
        </is>
      </c>
      <c r="G33" s="42" t="inlineStr">
        <is>
          <t>maison de milan milano girl black</t>
        </is>
      </c>
      <c r="H33" s="42" t="inlineStr">
        <is>
          <t>vilvah anti‑acne kit</t>
        </is>
      </c>
      <c r="I33" s="42" t="inlineStr">
        <is>
          <t>anatome energy uk</t>
        </is>
      </c>
      <c r="J33" s="66" t="inlineStr">
        <is>
          <t>deyga hair nourishment kit uk</t>
        </is>
      </c>
      <c r="K33" s="66" t="inlineStr">
        <is>
          <t>fumeri gris uk</t>
        </is>
      </c>
      <c r="L33" s="66" t="inlineStr">
        <is>
          <t>maison de milan bliss rouge uk</t>
        </is>
      </c>
      <c r="M33" s="66" t="inlineStr">
        <is>
          <t>trussardi ruby red gift set uk</t>
        </is>
      </c>
      <c r="N33" s="66" t="inlineStr">
        <is>
          <t>al haramain l'aventure eau de parfum</t>
        </is>
      </c>
      <c r="O33" s="66" t="inlineStr">
        <is>
          <t>fumeri ambre night edp</t>
        </is>
      </c>
      <c r="P33" s="66" t="inlineStr">
        <is>
          <t>maison de milan invincible eau de parfum</t>
        </is>
      </c>
      <c r="Q33" s="66" t="inlineStr">
        <is>
          <t>buy acqua di parma sakura online</t>
        </is>
      </c>
      <c r="R33" s="66" t="inlineStr">
        <is>
          <t>buy deyga best selling face care kit online</t>
        </is>
      </c>
      <c r="S33" s="66" t="inlineStr">
        <is>
          <t>buy elie saab le parfum bridal online</t>
        </is>
      </c>
      <c r="T33" s="66" t="inlineStr">
        <is>
          <t>buy joop! homme le online</t>
        </is>
      </c>
      <c r="U33" s="66" t="inlineStr">
        <is>
          <t>buy tiziana terenzi kaff online</t>
        </is>
      </c>
      <c r="V33" s="66" t="inlineStr">
        <is>
          <t>abercrombie &amp; fitch first instinct together men</t>
        </is>
      </c>
      <c r="W33" s="66" t="inlineStr">
        <is>
          <t>anna sui sky notes</t>
        </is>
      </c>
      <c r="X33" s="66" t="inlineStr">
        <is>
          <t>bvlgari rose goldea blossom delight eau de parfum gift set</t>
        </is>
      </c>
      <c r="Y33" s="66" t="inlineStr">
        <is>
          <t>davidoff champion perfume price</t>
        </is>
      </c>
      <c r="Z33" s="66" t="inlineStr">
        <is>
          <t>dkny be tempted review</t>
        </is>
      </c>
      <c r="AA33" s="66" t="inlineStr">
        <is>
          <t>dunhill signature collection nordic fougere edp 100ml</t>
        </is>
      </c>
      <c r="AB33" s="66" t="inlineStr">
        <is>
          <t>game of spades diamond notes</t>
        </is>
      </c>
      <c r="AC33" s="66" t="inlineStr">
        <is>
          <t>gucci intense oud dupe</t>
        </is>
      </c>
      <c r="AD33" s="66" t="inlineStr">
        <is>
          <t>korloff royal rose отзывы</t>
        </is>
      </c>
      <c r="AE33" s="66" t="inlineStr">
        <is>
          <t>signature d'orient ambre</t>
        </is>
      </c>
      <c r="AF33" s="66" t="inlineStr">
        <is>
          <t>tiziana terenzi gumin perfume price</t>
        </is>
      </c>
      <c r="AG33" s="66" t="inlineStr">
        <is>
          <t>vilvah milk mud mask ingredients</t>
        </is>
      </c>
      <c r="AH33" s="66" t="inlineStr">
        <is>
          <t>chopard oud malaki price</t>
        </is>
      </c>
      <c r="AI33" s="66" t="inlineStr">
        <is>
          <t>dolce &amp; gabbana the one price</t>
        </is>
      </c>
      <c r="AJ33" s="66" t="inlineStr">
        <is>
          <t>hemel rosado price</t>
        </is>
      </c>
      <c r="AK33" s="66" t="inlineStr">
        <is>
          <t>the woods collection eden price</t>
        </is>
      </c>
      <c r="AL33" s="66" t="inlineStr">
        <is>
          <t>vilvah night repair kit price</t>
        </is>
      </c>
      <c r="AM33" s="42" t="inlineStr">
        <is>
          <t>gucci guilty pour homme uk</t>
        </is>
      </c>
      <c r="AN33" s="42" t="inlineStr">
        <is>
          <t>dolce &amp; gabbana the one intense uk</t>
        </is>
      </c>
      <c r="AO33" s="42" t="inlineStr">
        <is>
          <t>serum for dark spots</t>
        </is>
      </c>
      <c r="AP33" s="42" t="inlineStr">
        <is>
          <t>bvlgari man in black price</t>
        </is>
      </c>
      <c r="AQ33" s="42" t="inlineStr">
        <is>
          <t>vilvah milk mud mask review</t>
        </is>
      </c>
    </row>
    <row r="34" ht="15" customHeight="1" s="37">
      <c r="A34" s="42" t="inlineStr">
        <is>
          <t>armaf perfume</t>
        </is>
      </c>
      <c r="B34" s="42" t="inlineStr">
        <is>
          <t>marc jacobs perfume</t>
        </is>
      </c>
      <c r="C34" s="42" t="inlineStr">
        <is>
          <t>natural moisturiser uk</t>
        </is>
      </c>
      <c r="D34" s="42" t="inlineStr">
        <is>
          <t>antonio banderas her secret temptation</t>
        </is>
      </c>
      <c r="E34" s="42" t="inlineStr">
        <is>
          <t>deyga mint lip scrub</t>
        </is>
      </c>
      <c r="F34" s="42" t="inlineStr">
        <is>
          <t>game of spades bid</t>
        </is>
      </c>
      <c r="G34" s="42" t="inlineStr">
        <is>
          <t>maison de milan milano girl red</t>
        </is>
      </c>
      <c r="H34" s="42" t="inlineStr">
        <is>
          <t>vilvah anti‑dandruff haircare kit</t>
        </is>
      </c>
      <c r="I34" s="42" t="inlineStr">
        <is>
          <t>anatome expression uk</t>
        </is>
      </c>
      <c r="J34" s="66" t="inlineStr">
        <is>
          <t>deyga hair removal powder uk</t>
        </is>
      </c>
      <c r="K34" s="66" t="inlineStr">
        <is>
          <t>fumeri orchid noir uk</t>
        </is>
      </c>
      <c r="L34" s="66" t="inlineStr">
        <is>
          <t>maison de milan brave lad uk</t>
        </is>
      </c>
      <c r="M34" s="66" t="inlineStr">
        <is>
          <t>viktor &amp; rolf good fortune miniature uk</t>
        </is>
      </c>
      <c r="N34" s="66" t="inlineStr">
        <is>
          <t>al haramain l'aventure femme eau de parfum</t>
        </is>
      </c>
      <c r="O34" s="66" t="inlineStr">
        <is>
          <t>fumeri angel edp</t>
        </is>
      </c>
      <c r="P34" s="66" t="inlineStr">
        <is>
          <t>maison de milan l'homme suave eau de parfum</t>
        </is>
      </c>
      <c r="Q34" s="66" t="inlineStr">
        <is>
          <t>buy acqua di parma sandalo online</t>
        </is>
      </c>
      <c r="R34" s="66" t="inlineStr">
        <is>
          <t>buy deyga body scrub online</t>
        </is>
      </c>
      <c r="S34" s="66" t="inlineStr">
        <is>
          <t>buy elie saab le parfum gift set online</t>
        </is>
      </c>
      <c r="T34" s="66" t="inlineStr">
        <is>
          <t>buy joop! homme online</t>
        </is>
      </c>
      <c r="U34" s="66" t="inlineStr">
        <is>
          <t>buy tiziana terenzi kirke online</t>
        </is>
      </c>
      <c r="V34" s="66" t="inlineStr">
        <is>
          <t>abercrombie &amp; fitch first instinct together women</t>
        </is>
      </c>
      <c r="W34" s="66" t="inlineStr">
        <is>
          <t>anna sui sky perfume</t>
        </is>
      </c>
      <c r="X34" s="66" t="inlineStr">
        <is>
          <t>bvlgari rose goldea blossom delight edp set</t>
        </is>
      </c>
      <c r="Y34" s="66" t="inlineStr">
        <is>
          <t>davidoff champion review</t>
        </is>
      </c>
      <c r="Z34" s="66" t="inlineStr">
        <is>
          <t>dkny mini set</t>
        </is>
      </c>
      <c r="AA34" s="66" t="inlineStr">
        <is>
          <t>dunhill signature collection review</t>
        </is>
      </c>
      <c r="AB34" s="66" t="inlineStr">
        <is>
          <t>game of spades diamond perfume</t>
        </is>
      </c>
      <c r="AC34" s="66" t="inlineStr">
        <is>
          <t>gucci intense oud notes</t>
        </is>
      </c>
      <c r="AD34" s="66" t="inlineStr">
        <is>
          <t>korloff un soir a paris отзывы</t>
        </is>
      </c>
      <c r="AE34" s="66" t="inlineStr">
        <is>
          <t>signature diamond perfume</t>
        </is>
      </c>
      <c r="AF34" s="66" t="inlineStr">
        <is>
          <t>tiziana terenzi gumin review</t>
        </is>
      </c>
      <c r="AG34" s="66" t="inlineStr">
        <is>
          <t>vilvah milk mud mask review</t>
        </is>
      </c>
      <c r="AH34" s="66" t="inlineStr">
        <is>
          <t>chris adams black shadow pour homme price</t>
        </is>
      </c>
      <c r="AI34" s="66" t="inlineStr">
        <is>
          <t>dunhill desire black price</t>
        </is>
      </c>
      <c r="AJ34" s="66" t="inlineStr">
        <is>
          <t>hemel valley of diamond price</t>
        </is>
      </c>
      <c r="AK34" s="66" t="inlineStr">
        <is>
          <t>the woods collection elysian price</t>
        </is>
      </c>
      <c r="AL34" s="66" t="inlineStr">
        <is>
          <t>vilvah oil control kit price</t>
        </is>
      </c>
      <c r="AM34" s="42" t="inlineStr">
        <is>
          <t>bentley azure eau de toilette</t>
        </is>
      </c>
      <c r="AN34" s="42" t="inlineStr">
        <is>
          <t>escada party love eau de parfum</t>
        </is>
      </c>
      <c r="AO34" s="42" t="inlineStr">
        <is>
          <t>skincare gift set</t>
        </is>
      </c>
      <c r="AP34" s="42" t="inlineStr">
        <is>
          <t>buy gucci guilty pour homme online</t>
        </is>
      </c>
      <c r="AQ34" s="42" t="inlineStr">
        <is>
          <t>vilvah aloe vera gel review</t>
        </is>
      </c>
    </row>
    <row r="35" ht="15" customHeight="1" s="37">
      <c r="A35" s="42" t="inlineStr">
        <is>
          <t>armaf perfume for men</t>
        </is>
      </c>
      <c r="B35" s="42" t="inlineStr">
        <is>
          <t>marc jacobs perfume for women</t>
        </is>
      </c>
      <c r="C35" s="42" t="inlineStr">
        <is>
          <t>natural natural deodorant uk</t>
        </is>
      </c>
      <c r="D35" s="42" t="inlineStr">
        <is>
          <t>antonio banderas power of seduction</t>
        </is>
      </c>
      <c r="E35" s="42" t="inlineStr">
        <is>
          <t>deyga natural hair care kit</t>
        </is>
      </c>
      <c r="F35" s="42" t="inlineStr">
        <is>
          <t>game of spades blind-bid</t>
        </is>
      </c>
      <c r="G35" s="42" t="inlineStr">
        <is>
          <t>maison de milan milano girl white</t>
        </is>
      </c>
      <c r="H35" s="42" t="inlineStr">
        <is>
          <t>vilvah bestseller hair kit</t>
        </is>
      </c>
      <c r="I35" s="42" t="inlineStr">
        <is>
          <t>anatome focus uk</t>
        </is>
      </c>
      <c r="J35" s="66" t="inlineStr">
        <is>
          <t>deyga hair strengthening kit uk</t>
        </is>
      </c>
      <c r="K35" s="66" t="inlineStr">
        <is>
          <t>fumeri orpheon uk</t>
        </is>
      </c>
      <c r="L35" s="66" t="inlineStr">
        <is>
          <t>maison de milan delight pour femme uk</t>
        </is>
      </c>
      <c r="M35" s="66" t="inlineStr">
        <is>
          <t>vilvah aloe vera gel uk</t>
        </is>
      </c>
      <c r="N35" s="66" t="inlineStr">
        <is>
          <t>al haramain l'aventure gold eau de parfum</t>
        </is>
      </c>
      <c r="O35" s="66" t="inlineStr">
        <is>
          <t>fumeri blue edp</t>
        </is>
      </c>
      <c r="P35" s="66" t="inlineStr">
        <is>
          <t>maison de milan m eau de parfum</t>
        </is>
      </c>
      <c r="Q35" s="66" t="inlineStr">
        <is>
          <t>buy acqua di parma zafferano online</t>
        </is>
      </c>
      <c r="R35" s="66" t="inlineStr">
        <is>
          <t>buy deyga charcoal bath bar online</t>
        </is>
      </c>
      <c r="S35" s="66" t="inlineStr">
        <is>
          <t>buy elie saab le parfum intense online</t>
        </is>
      </c>
      <c r="T35" s="66" t="inlineStr">
        <is>
          <t>buy juicy couture viva la juicy rose online</t>
        </is>
      </c>
      <c r="U35" s="66" t="inlineStr">
        <is>
          <t>buy tiziana terenzi leo online</t>
        </is>
      </c>
      <c r="V35" s="66" t="inlineStr">
        <is>
          <t>abercrombie &amp; fitch naturally fierce eau de parfum 100ml</t>
        </is>
      </c>
      <c r="W35" s="66" t="inlineStr">
        <is>
          <t>anna sui sky perfume price</t>
        </is>
      </c>
      <c r="X35" s="66" t="inlineStr">
        <is>
          <t>bvlgari rose goldea blossom delight price</t>
        </is>
      </c>
      <c r="Y35" s="66" t="inlineStr">
        <is>
          <t>davidoff cool water reborn intense 100 ml</t>
        </is>
      </c>
      <c r="Z35" s="66" t="inlineStr">
        <is>
          <t>dkny mini set perfume</t>
        </is>
      </c>
      <c r="AA35" s="66" t="inlineStr">
        <is>
          <t>dunhill signature collection valensole lavender eau de parfum 100ml</t>
        </is>
      </c>
      <c r="AB35" s="66" t="inlineStr">
        <is>
          <t>game of spades diamond review</t>
        </is>
      </c>
      <c r="AC35" s="66" t="inlineStr">
        <is>
          <t>gucci intense oud review</t>
        </is>
      </c>
      <c r="AD35" s="66" t="inlineStr">
        <is>
          <t>la maison de la vanille absolu de vanille edp 100 ml</t>
        </is>
      </c>
      <c r="AE35" s="66" t="inlineStr">
        <is>
          <t>signature jade eau de parfum</t>
        </is>
      </c>
      <c r="AF35" s="66" t="inlineStr">
        <is>
          <t>tiziana terenzi kaff extrait de parfum 100ml</t>
        </is>
      </c>
      <c r="AG35" s="66" t="inlineStr">
        <is>
          <t>vilvah milk powder face wash amazon</t>
        </is>
      </c>
      <c r="AH35" s="66" t="inlineStr">
        <is>
          <t>chris adams ca dx 77 pour homme price</t>
        </is>
      </c>
      <c r="AI35" s="66" t="inlineStr">
        <is>
          <t>dunhill desire blue price</t>
        </is>
      </c>
      <c r="AJ35" s="66" t="inlineStr">
        <is>
          <t>hermes hermes un jardin a cythere miniature price</t>
        </is>
      </c>
      <c r="AK35" s="66" t="inlineStr">
        <is>
          <t>the woods collection green walk price</t>
        </is>
      </c>
      <c r="AL35" s="66" t="inlineStr">
        <is>
          <t>vilvah pore minimising kit price</t>
        </is>
      </c>
      <c r="AM35" s="42" t="inlineStr">
        <is>
          <t>hugo boss hugo man eau de toilette</t>
        </is>
      </c>
      <c r="AN35" s="42" t="inlineStr">
        <is>
          <t>escada party love uk</t>
        </is>
      </c>
      <c r="AO35" s="42" t="inlineStr">
        <is>
          <t>hair care gift set</t>
        </is>
      </c>
      <c r="AP35" s="42" t="inlineStr">
        <is>
          <t>gucci guilty pour homme price</t>
        </is>
      </c>
      <c r="AQ35" s="42" t="inlineStr">
        <is>
          <t>vilvah anti dandruff hair oil review</t>
        </is>
      </c>
    </row>
    <row r="36" ht="15" customHeight="1" s="37">
      <c r="A36" s="42" t="inlineStr">
        <is>
          <t>aromatic perfume for men uk</t>
        </is>
      </c>
      <c r="B36" s="42" t="inlineStr">
        <is>
          <t>montale perfume</t>
        </is>
      </c>
      <c r="C36" s="42" t="inlineStr">
        <is>
          <t>natural shampoo uk</t>
        </is>
      </c>
      <c r="D36" s="42" t="inlineStr">
        <is>
          <t>ariana grande thank u, next</t>
        </is>
      </c>
      <c r="E36" s="42" t="inlineStr">
        <is>
          <t>deyga natural lip balm</t>
        </is>
      </c>
      <c r="F36" s="42" t="inlineStr">
        <is>
          <t>game of spades boston</t>
        </is>
      </c>
      <c r="G36" s="42" t="inlineStr">
        <is>
          <t>maison de milan opulent gold</t>
        </is>
      </c>
      <c r="H36" s="42" t="inlineStr">
        <is>
          <t>vilvah better ageing kit</t>
        </is>
      </c>
      <c r="I36" s="42" t="inlineStr">
        <is>
          <t>anatome support uk</t>
        </is>
      </c>
      <c r="J36" s="66" t="inlineStr">
        <is>
          <t>deyga healthy glow kit uk</t>
        </is>
      </c>
      <c r="K36" s="66" t="inlineStr">
        <is>
          <t>fumeri oud saffron uk</t>
        </is>
      </c>
      <c r="L36" s="66" t="inlineStr">
        <is>
          <t>maison de milan elegance pour femme uk</t>
        </is>
      </c>
      <c r="M36" s="66" t="inlineStr">
        <is>
          <t>vilvah am brightening kit uk</t>
        </is>
      </c>
      <c r="N36" s="66" t="inlineStr">
        <is>
          <t>al haramain l'aventure intense eau de parfum</t>
        </is>
      </c>
      <c r="O36" s="66" t="inlineStr">
        <is>
          <t>fumeri elixir edp</t>
        </is>
      </c>
      <c r="P36" s="66" t="inlineStr">
        <is>
          <t>maison de milan milano girl black eau de parfum</t>
        </is>
      </c>
      <c r="Q36" s="66" t="inlineStr">
        <is>
          <t>buy al haramain amber musk online</t>
        </is>
      </c>
      <c r="R36" s="66" t="inlineStr">
        <is>
          <t>buy deyga charcoal detox face mask online</t>
        </is>
      </c>
      <c r="S36" s="66" t="inlineStr">
        <is>
          <t>buy elie saab le parfum lumiere gift set online</t>
        </is>
      </c>
      <c r="T36" s="66" t="inlineStr">
        <is>
          <t>buy kenneth cole moonlight blue online</t>
        </is>
      </c>
      <c r="U36" s="66" t="inlineStr">
        <is>
          <t>buy tiziana terenzi moro di venezia online</t>
        </is>
      </c>
      <c r="V36" s="66" t="inlineStr">
        <is>
          <t>abercrombie &amp; fitch naturally fierce eau de parfum 30ml</t>
        </is>
      </c>
      <c r="W36" s="66" t="inlineStr">
        <is>
          <t>anna sui sky perfume review</t>
        </is>
      </c>
      <c r="X36" s="66" t="inlineStr">
        <is>
          <t>bvlgari rose goldea blossom delight set</t>
        </is>
      </c>
      <c r="Y36" s="66" t="inlineStr">
        <is>
          <t>davidoff cool water reborn intense edp</t>
        </is>
      </c>
      <c r="Z36" s="66" t="inlineStr">
        <is>
          <t>dkny miniature gift set</t>
        </is>
      </c>
      <c r="AA36" s="66" t="inlineStr">
        <is>
          <t>dunhill signature collection valensole lavender edp</t>
        </is>
      </c>
      <c r="AB36" s="66" t="inlineStr">
        <is>
          <t>game of spades full house dupe</t>
        </is>
      </c>
      <c r="AC36" s="66" t="inlineStr">
        <is>
          <t>gucci mini set</t>
        </is>
      </c>
      <c r="AD36" s="66" t="inlineStr">
        <is>
          <t>la maison de la vanille absolu de vanille отзывы</t>
        </is>
      </c>
      <c r="AE36" s="66" t="inlineStr">
        <is>
          <t>signature jade edp 100ml</t>
        </is>
      </c>
      <c r="AF36" s="66" t="inlineStr">
        <is>
          <t>tiziana terenzi kaff parfum</t>
        </is>
      </c>
      <c r="AG36" s="66" t="inlineStr">
        <is>
          <t>vilvah milk powder face wash and serum</t>
        </is>
      </c>
      <c r="AH36" s="66" t="inlineStr">
        <is>
          <t>davidoff champion price</t>
        </is>
      </c>
      <c r="AI36" s="66" t="inlineStr">
        <is>
          <t>dunhill desire gold price</t>
        </is>
      </c>
      <c r="AJ36" s="66" t="inlineStr">
        <is>
          <t>hermes miniature gift set 4 x fragrances price</t>
        </is>
      </c>
      <c r="AK36" s="66" t="inlineStr">
        <is>
          <t>the woods collection mirage price</t>
        </is>
      </c>
      <c r="AL36" s="66" t="inlineStr">
        <is>
          <t>vilvah rose milk lip balm price</t>
        </is>
      </c>
      <c r="AM36" s="42" t="inlineStr">
        <is>
          <t>hugo boss hugo man uk</t>
        </is>
      </c>
      <c r="AN36" s="42" t="inlineStr">
        <is>
          <t>game of spades royale eau de parfum</t>
        </is>
      </c>
      <c r="AO36" s="42" t="inlineStr">
        <is>
          <t>vegan skincare uk</t>
        </is>
      </c>
      <c r="AP36" s="42" t="inlineStr">
        <is>
          <t>buy game of spades full house online</t>
        </is>
      </c>
      <c r="AQ36" s="42" t="inlineStr">
        <is>
          <t>vilvah anti frizz hair serum review</t>
        </is>
      </c>
    </row>
    <row r="37" ht="15" customHeight="1" s="37">
      <c r="A37" s="42" t="inlineStr">
        <is>
          <t>bentley perfume</t>
        </is>
      </c>
      <c r="B37" s="42" t="inlineStr">
        <is>
          <t>montale perfume for women</t>
        </is>
      </c>
      <c r="C37" s="42" t="inlineStr">
        <is>
          <t>natural skincare uk</t>
        </is>
      </c>
      <c r="D37" s="42" t="inlineStr">
        <is>
          <t>armaf hunter</t>
        </is>
      </c>
      <c r="E37" s="42" t="inlineStr">
        <is>
          <t>deyga natural loose setting powder</t>
        </is>
      </c>
      <c r="F37" s="42" t="inlineStr">
        <is>
          <t>game of spades diamond</t>
        </is>
      </c>
      <c r="G37" s="42" t="inlineStr">
        <is>
          <t>maison de milan valiant pour homme</t>
        </is>
      </c>
      <c r="H37" s="42" t="inlineStr">
        <is>
          <t>vilvah better ageing serum</t>
        </is>
      </c>
      <c r="I37" s="42" t="inlineStr">
        <is>
          <t>anna sui sky uk</t>
        </is>
      </c>
      <c r="J37" s="66" t="inlineStr">
        <is>
          <t>deyga hydro boosting skin care kit uk</t>
        </is>
      </c>
      <c r="K37" s="66" t="inlineStr">
        <is>
          <t>fumeri peach uk</t>
        </is>
      </c>
      <c r="L37" s="66" t="inlineStr">
        <is>
          <t>maison de milan gossip pour femme uk</t>
        </is>
      </c>
      <c r="M37" s="66" t="inlineStr">
        <is>
          <t>vilvah am pm serum kit uk</t>
        </is>
      </c>
      <c r="N37" s="66" t="inlineStr">
        <is>
          <t>anatome balance eau de parfum</t>
        </is>
      </c>
      <c r="O37" s="66" t="inlineStr">
        <is>
          <t>fumeri flirt eau de parfum</t>
        </is>
      </c>
      <c r="P37" s="66" t="inlineStr">
        <is>
          <t>maison de milan milano girl red eau de parfum</t>
        </is>
      </c>
      <c r="Q37" s="66" t="inlineStr">
        <is>
          <t>buy al haramain amber oud black edition online</t>
        </is>
      </c>
      <c r="R37" s="66" t="inlineStr">
        <is>
          <t>buy deyga charcoal face wash online</t>
        </is>
      </c>
      <c r="S37" s="66" t="inlineStr">
        <is>
          <t>buy elie saab nuit noor online</t>
        </is>
      </c>
      <c r="T37" s="66" t="inlineStr">
        <is>
          <t>buy korloff cuir mythique online</t>
        </is>
      </c>
      <c r="U37" s="66" t="inlineStr">
        <is>
          <t>buy tiziana terenzi orion online</t>
        </is>
      </c>
      <c r="V37" s="66" t="inlineStr">
        <is>
          <t>abercrombie &amp; fitch naturally fierce edp</t>
        </is>
      </c>
      <c r="W37" s="66" t="inlineStr">
        <is>
          <t>anna sui sky review</t>
        </is>
      </c>
      <c r="X37" s="66" t="inlineStr">
        <is>
          <t>bvlgari splendida tubereuse mystique 100ml</t>
        </is>
      </c>
      <c r="Y37" s="66" t="inlineStr">
        <is>
          <t>davidoff cool water reborn intense notes</t>
        </is>
      </c>
      <c r="Z37" s="66" t="inlineStr">
        <is>
          <t>dkny miniature perfume set</t>
        </is>
      </c>
      <c r="AA37" s="66" t="inlineStr">
        <is>
          <t>dunhill signature egyptian smoke</t>
        </is>
      </c>
      <c r="AB37" s="66" t="inlineStr">
        <is>
          <t>game of spades full house notes</t>
        </is>
      </c>
      <c r="AC37" s="66" t="inlineStr">
        <is>
          <t>gucci mini set men</t>
        </is>
      </c>
      <c r="AD37" s="66" t="inlineStr">
        <is>
          <t>la maison de la vanille ambre secret отзывы</t>
        </is>
      </c>
      <c r="AE37" s="66" t="inlineStr">
        <is>
          <t>signature jade perfume</t>
        </is>
      </c>
      <c r="AF37" s="66" t="inlineStr">
        <is>
          <t>tiziana terenzi kaff perfume</t>
        </is>
      </c>
      <c r="AG37" s="66" t="inlineStr">
        <is>
          <t>vilvah milk powder face wash benefits</t>
        </is>
      </c>
      <c r="AH37" s="66" t="inlineStr">
        <is>
          <t>davidoff cool water reborn intense price</t>
        </is>
      </c>
      <c r="AI37" s="66" t="inlineStr">
        <is>
          <t>dunhill desire silver price</t>
        </is>
      </c>
      <c r="AJ37" s="66" t="inlineStr">
        <is>
          <t>hermes un jardin a cythere miniature price</t>
        </is>
      </c>
      <c r="AK37" s="66" t="inlineStr">
        <is>
          <t>the woods collection pure shine price</t>
        </is>
      </c>
      <c r="AL37" s="66" t="inlineStr">
        <is>
          <t>vilvah rosewater facial toner price</t>
        </is>
      </c>
      <c r="AM37" s="42" t="inlineStr">
        <is>
          <t>nina ricci l'air du temps eau de toilette</t>
        </is>
      </c>
      <c r="AN37" s="42" t="inlineStr">
        <is>
          <t>game of spades royale uk</t>
        </is>
      </c>
      <c r="AO37" s="42" t="inlineStr">
        <is>
          <t>cruelty free skincare uk</t>
        </is>
      </c>
      <c r="AP37" s="42" t="inlineStr">
        <is>
          <t>game of spades full house price</t>
        </is>
      </c>
      <c r="AQ37" s="42" t="inlineStr">
        <is>
          <t>vilvah better ageing serum review</t>
        </is>
      </c>
    </row>
    <row r="38" ht="15" customHeight="1" s="37">
      <c r="A38" s="42" t="inlineStr">
        <is>
          <t>bentley perfume for men</t>
        </is>
      </c>
      <c r="B38" s="42" t="inlineStr">
        <is>
          <t>musk perfume uk</t>
        </is>
      </c>
      <c r="C38" s="42" t="inlineStr">
        <is>
          <t>natural sunscreen uk</t>
        </is>
      </c>
      <c r="D38" s="42" t="inlineStr">
        <is>
          <t>bentley absolute</t>
        </is>
      </c>
      <c r="E38" s="42" t="inlineStr">
        <is>
          <t>deyga neem &amp; turmeric bath bar</t>
        </is>
      </c>
      <c r="F38" s="42" t="inlineStr">
        <is>
          <t>game of spades full house</t>
        </is>
      </c>
      <c r="G38" s="42" t="inlineStr">
        <is>
          <t>mancera black noir</t>
        </is>
      </c>
      <c r="H38" s="42" t="inlineStr">
        <is>
          <t>vilvah body polishing kit</t>
        </is>
      </c>
      <c r="I38" s="42" t="inlineStr">
        <is>
          <t>antonio banderas boucheron patchouli d'angkor uk</t>
        </is>
      </c>
      <c r="J38" s="66" t="inlineStr">
        <is>
          <t>deyga instant hair removal kit uk</t>
        </is>
      </c>
      <c r="K38" s="66" t="inlineStr">
        <is>
          <t>fumeri smokey leather uk</t>
        </is>
      </c>
      <c r="L38" s="66" t="inlineStr">
        <is>
          <t>maison de milan invincible uk</t>
        </is>
      </c>
      <c r="M38" s="66" t="inlineStr">
        <is>
          <t>vilvah anti frizz hair kit uk</t>
        </is>
      </c>
      <c r="N38" s="66" t="inlineStr">
        <is>
          <t>anatome energy eau de parfum</t>
        </is>
      </c>
      <c r="O38" s="66" t="inlineStr">
        <is>
          <t>fumeri gabriella eau de parfum</t>
        </is>
      </c>
      <c r="P38" s="66" t="inlineStr">
        <is>
          <t>maison de milan milano girl white eau de parfum</t>
        </is>
      </c>
      <c r="Q38" s="66" t="inlineStr">
        <is>
          <t>buy al haramain amber oud bleu edition online</t>
        </is>
      </c>
      <c r="R38" s="66" t="inlineStr">
        <is>
          <t>buy deyga chocolate body butter online</t>
        </is>
      </c>
      <c r="S38" s="66" t="inlineStr">
        <is>
          <t>buy elizabeth arden beauty online</t>
        </is>
      </c>
      <c r="T38" s="66" t="inlineStr">
        <is>
          <t>buy korloff in love online</t>
        </is>
      </c>
      <c r="U38" s="66" t="inlineStr">
        <is>
          <t>buy tiziana terenzi orza linea tt online</t>
        </is>
      </c>
      <c r="V38" s="66" t="inlineStr">
        <is>
          <t>abercrombie &amp; fitch naturally fierce edp 100ml</t>
        </is>
      </c>
      <c r="W38" s="66" t="inlineStr">
        <is>
          <t>anniversary casanova</t>
        </is>
      </c>
      <c r="X38" s="66" t="inlineStr">
        <is>
          <t>bvlgari splendida tubereuse mystique eau de parfum 50ml</t>
        </is>
      </c>
      <c r="Y38" s="66" t="inlineStr">
        <is>
          <t>davidoff cool water reborn intense review</t>
        </is>
      </c>
      <c r="Z38" s="66" t="inlineStr">
        <is>
          <t>dolce &amp; gabbana devotion for men</t>
        </is>
      </c>
      <c r="AA38" s="66" t="inlineStr">
        <is>
          <t>dunhill signature mongolian cashmere</t>
        </is>
      </c>
      <c r="AB38" s="66" t="inlineStr">
        <is>
          <t>game of spades full house perfume</t>
        </is>
      </c>
      <c r="AC38" s="66" t="inlineStr">
        <is>
          <t>gucci mini set of 4</t>
        </is>
      </c>
      <c r="AD38" s="66" t="inlineStr">
        <is>
          <t>la maison de la vanille royal oud отзывы</t>
        </is>
      </c>
      <c r="AE38" s="66" t="inlineStr">
        <is>
          <t>signature jade perfume price</t>
        </is>
      </c>
      <c r="AF38" s="66" t="inlineStr">
        <is>
          <t>tiziana terenzi kaff review</t>
        </is>
      </c>
      <c r="AG38" s="66" t="inlineStr">
        <is>
          <t>vilvah milk powder face wash how to use</t>
        </is>
      </c>
      <c r="AH38" s="66" t="inlineStr">
        <is>
          <t>davidoff indigo price</t>
        </is>
      </c>
      <c r="AI38" s="66" t="inlineStr">
        <is>
          <t>dunhill signature collection agar wood price</t>
        </is>
      </c>
      <c r="AJ38" s="66" t="inlineStr">
        <is>
          <t>hermes un jardin en mediterranee miniature price</t>
        </is>
      </c>
      <c r="AK38" s="66" t="inlineStr">
        <is>
          <t>the woods collection secret source price</t>
        </is>
      </c>
      <c r="AL38" s="66" t="inlineStr">
        <is>
          <t>vilvah sensitive skin kit price</t>
        </is>
      </c>
      <c r="AM38" s="42" t="inlineStr">
        <is>
          <t>nina ricci l'air du temps uk</t>
        </is>
      </c>
      <c r="AN38" s="42" t="inlineStr">
        <is>
          <t>hollister festival vibes eau de toilette</t>
        </is>
      </c>
      <c r="AO38" s="42" t="inlineStr">
        <is>
          <t>paraben free shampoo</t>
        </is>
      </c>
      <c r="AP38" s="42" t="inlineStr">
        <is>
          <t>buy nina ricci l'air du temps online</t>
        </is>
      </c>
      <c r="AQ38" s="42" t="inlineStr">
        <is>
          <t>vilvah foot cream review</t>
        </is>
      </c>
    </row>
    <row r="39" ht="15" customHeight="1" s="37">
      <c r="A39" s="42" t="inlineStr">
        <is>
          <t>burberry perfume</t>
        </is>
      </c>
      <c r="B39" s="42" t="inlineStr">
        <is>
          <t>nina ricci perfume</t>
        </is>
      </c>
      <c r="C39" s="42" t="inlineStr">
        <is>
          <t>natural toner uk</t>
        </is>
      </c>
      <c r="D39" s="42" t="inlineStr">
        <is>
          <t>bentley azure</t>
        </is>
      </c>
      <c r="E39" s="42" t="inlineStr">
        <is>
          <t>deyga neem seed oil</t>
        </is>
      </c>
      <c r="F39" s="42" t="inlineStr">
        <is>
          <t>game of spades high roller</t>
        </is>
      </c>
      <c r="G39" s="42" t="inlineStr">
        <is>
          <t>mancera intense red tobacco</t>
        </is>
      </c>
      <c r="H39" s="42" t="inlineStr">
        <is>
          <t>vilvah budget skincare combo</t>
        </is>
      </c>
      <c r="I39" s="42" t="inlineStr">
        <is>
          <t>antonio banderas boucheron rose d'isparta uk</t>
        </is>
      </c>
      <c r="J39" s="66" t="inlineStr">
        <is>
          <t>deyga instant hair removal kit with toner uk</t>
        </is>
      </c>
      <c r="K39" s="66" t="inlineStr">
        <is>
          <t>fumeri style 33 uk</t>
        </is>
      </c>
      <c r="L39" s="66" t="inlineStr">
        <is>
          <t>maison de milan l'homme suave uk</t>
        </is>
      </c>
      <c r="M39" s="66" t="inlineStr">
        <is>
          <t>vilvah anti-dandruff hair oil uk</t>
        </is>
      </c>
      <c r="N39" s="66" t="inlineStr">
        <is>
          <t>anatome expression eau de parfum</t>
        </is>
      </c>
      <c r="O39" s="66" t="inlineStr">
        <is>
          <t>fumeri gris eau de parfum</t>
        </is>
      </c>
      <c r="P39" s="66" t="inlineStr">
        <is>
          <t>maison de milan opulent gold eau de parfum</t>
        </is>
      </c>
      <c r="Q39" s="66" t="inlineStr">
        <is>
          <t>buy al haramain amber oud carbon edition online</t>
        </is>
      </c>
      <c r="R39" s="66" t="inlineStr">
        <is>
          <t>buy deyga clear skin kit online</t>
        </is>
      </c>
      <c r="S39" s="66" t="inlineStr">
        <is>
          <t>buy escada magnetic dream online</t>
        </is>
      </c>
      <c r="T39" s="66" t="inlineStr">
        <is>
          <t>buy korloff in white online</t>
        </is>
      </c>
      <c r="U39" s="66" t="inlineStr">
        <is>
          <t>buy tiziana terenzi porpora online</t>
        </is>
      </c>
      <c r="V39" s="66" t="inlineStr">
        <is>
          <t>abercrombie &amp; fitch naturally fierce edp 50ml</t>
        </is>
      </c>
      <c r="W39" s="66" t="inlineStr">
        <is>
          <t>antonio banderas diavolo for men</t>
        </is>
      </c>
      <c r="X39" s="66" t="inlineStr">
        <is>
          <t>bvlgari splendida tubereuse mystique edp</t>
        </is>
      </c>
      <c r="Y39" s="66" t="inlineStr">
        <is>
          <t>davidoff cool water reborn intense women</t>
        </is>
      </c>
      <c r="Z39" s="66" t="inlineStr">
        <is>
          <t>dolce &amp; gabbana devotion for women</t>
        </is>
      </c>
      <c r="AA39" s="66" t="inlineStr">
        <is>
          <t>dunhill signature mongolian cashmere edp</t>
        </is>
      </c>
      <c r="AB39" s="66" t="inlineStr">
        <is>
          <t>game of spades full house review</t>
        </is>
      </c>
      <c r="AC39" s="66" t="inlineStr">
        <is>
          <t>gucci mini set perfume</t>
        </is>
      </c>
      <c r="AD39" s="66" t="inlineStr">
        <is>
          <t>lady korloff intense notes</t>
        </is>
      </c>
      <c r="AE39" s="66" t="inlineStr">
        <is>
          <t>signature mini discovery set</t>
        </is>
      </c>
      <c r="AF39" s="66" t="inlineStr">
        <is>
          <t>tiziana terenzi kirke dupe</t>
        </is>
      </c>
      <c r="AG39" s="66" t="inlineStr">
        <is>
          <t>vilvah milk powder face wash review</t>
        </is>
      </c>
      <c r="AH39" s="66" t="inlineStr">
        <is>
          <t>davidoff the game price</t>
        </is>
      </c>
      <c r="AI39" s="66" t="inlineStr">
        <is>
          <t>dunhill signature collection amalfi citrus price</t>
        </is>
      </c>
      <c r="AJ39" s="66" t="inlineStr">
        <is>
          <t>hermes un jardin sur le toit miniature price</t>
        </is>
      </c>
      <c r="AK39" s="66" t="inlineStr">
        <is>
          <t>the woods collection sunrise price</t>
        </is>
      </c>
      <c r="AL39" s="66" t="inlineStr">
        <is>
          <t>vilvah shampoo and hair serum kit price</t>
        </is>
      </c>
      <c r="AM39" s="42" t="inlineStr">
        <is>
          <t>calvin klein defy parfum</t>
        </is>
      </c>
      <c r="AN39" s="42" t="inlineStr">
        <is>
          <t>hollister festival vibes uk</t>
        </is>
      </c>
      <c r="AO39" s="42" t="inlineStr">
        <is>
          <t>sulphate free shampoo uk</t>
        </is>
      </c>
      <c r="AP39" s="42" t="inlineStr">
        <is>
          <t>nina ricci l'air du temps price</t>
        </is>
      </c>
      <c r="AQ39" s="42" t="inlineStr">
        <is>
          <t>vilvah goat milk hair mask review</t>
        </is>
      </c>
    </row>
    <row r="40" ht="15" customHeight="1" s="37">
      <c r="A40" s="42" t="inlineStr">
        <is>
          <t>burberry perfume for women</t>
        </is>
      </c>
      <c r="B40" s="42" t="inlineStr">
        <is>
          <t>nina ricci perfume for women</t>
        </is>
      </c>
      <c r="C40" s="42" t="inlineStr">
        <is>
          <t>shampoo for dandruff</t>
        </is>
      </c>
      <c r="D40" s="42" t="inlineStr">
        <is>
          <t>bentley azzaro chrome legend</t>
        </is>
      </c>
      <c r="E40" s="42" t="inlineStr">
        <is>
          <t>deyga nourished lip care kit</t>
        </is>
      </c>
      <c r="F40" s="42" t="inlineStr">
        <is>
          <t>game of spades jackpot</t>
        </is>
      </c>
      <c r="G40" s="42" t="inlineStr">
        <is>
          <t>marc jacobs daisy love glow limited edition</t>
        </is>
      </c>
      <c r="H40" s="42" t="inlineStr">
        <is>
          <t>vilvah charcoal facemask</t>
        </is>
      </c>
      <c r="I40" s="42" t="inlineStr">
        <is>
          <t>antonio banderas diavolo uk</t>
        </is>
      </c>
      <c r="J40" s="66" t="inlineStr">
        <is>
          <t>deyga light moisturising face cream uk</t>
        </is>
      </c>
      <c r="K40" s="66" t="inlineStr">
        <is>
          <t>fumeri victorious uk</t>
        </is>
      </c>
      <c r="L40" s="66" t="inlineStr">
        <is>
          <t>maison de milan m uk</t>
        </is>
      </c>
      <c r="M40" s="66" t="inlineStr">
        <is>
          <t>vilvah anti-frizz hair serum uk</t>
        </is>
      </c>
      <c r="N40" s="66" t="inlineStr">
        <is>
          <t>anatome focus eau de parfum</t>
        </is>
      </c>
      <c r="O40" s="66" t="inlineStr">
        <is>
          <t>fumeri orchid noir eau de parfum</t>
        </is>
      </c>
      <c r="P40" s="66" t="inlineStr">
        <is>
          <t>maison de milan valiant pour homme eau de parfum</t>
        </is>
      </c>
      <c r="Q40" s="66" t="inlineStr">
        <is>
          <t>buy al haramain amber oud extreme gold edition online</t>
        </is>
      </c>
      <c r="R40" s="66" t="inlineStr">
        <is>
          <t>buy deyga daily essential kit online</t>
        </is>
      </c>
      <c r="S40" s="66" t="inlineStr">
        <is>
          <t>buy escada magnetism online</t>
        </is>
      </c>
      <c r="T40" s="66" t="inlineStr">
        <is>
          <t>buy korloff lady intense online</t>
        </is>
      </c>
      <c r="U40" s="66" t="inlineStr">
        <is>
          <t>buy tiziana terenzi saiph online</t>
        </is>
      </c>
      <c r="V40" s="66" t="inlineStr">
        <is>
          <t>acqua di parma blu mediterraneo price</t>
        </is>
      </c>
      <c r="W40" s="66" t="inlineStr">
        <is>
          <t>antonio banderas diavolo for women</t>
        </is>
      </c>
      <c r="X40" s="66" t="inlineStr">
        <is>
          <t>bvlgari splendida tubereuse mystique notes</t>
        </is>
      </c>
      <c r="Y40" s="66" t="inlineStr">
        <is>
          <t>davidoff indigo 60ml</t>
        </is>
      </c>
      <c r="Z40" s="66" t="inlineStr">
        <is>
          <t>dolce &amp; gabbana devotion parfum</t>
        </is>
      </c>
      <c r="AA40" s="66" t="inlineStr">
        <is>
          <t>dunhill signature moroccan amber</t>
        </is>
      </c>
      <c r="AB40" s="66" t="inlineStr">
        <is>
          <t>game of spades high roller dupe of</t>
        </is>
      </c>
      <c r="AC40" s="66" t="inlineStr">
        <is>
          <t>gucci set perfume</t>
        </is>
      </c>
      <c r="AD40" s="66" t="inlineStr">
        <is>
          <t>lady korloff intense perfume</t>
        </is>
      </c>
      <c r="AE40" s="66" t="inlineStr">
        <is>
          <t>signature musk perfume</t>
        </is>
      </c>
      <c r="AF40" s="66" t="inlineStr">
        <is>
          <t>tiziana terenzi kirke notes</t>
        </is>
      </c>
      <c r="AG40" s="66" t="inlineStr">
        <is>
          <t>vilvah rose milk lip balm ingredients</t>
        </is>
      </c>
      <c r="AH40" s="66" t="inlineStr">
        <is>
          <t>deyga 10% vitamin c face serum price</t>
        </is>
      </c>
      <c r="AI40" s="66" t="inlineStr">
        <is>
          <t>dunhill signature collection arabian desert price</t>
        </is>
      </c>
      <c r="AJ40" s="66" t="inlineStr">
        <is>
          <t>hollister festival vibes price</t>
        </is>
      </c>
      <c r="AK40" s="66" t="inlineStr">
        <is>
          <t>the woods collection timeless sands price</t>
        </is>
      </c>
      <c r="AL40" s="66" t="inlineStr">
        <is>
          <t>vilvah skin brightening kit price</t>
        </is>
      </c>
      <c r="AM40" s="42" t="inlineStr">
        <is>
          <t>al haramain l'aventure eau de parfum</t>
        </is>
      </c>
      <c r="AN40" s="42" t="inlineStr">
        <is>
          <t>serge lutens la fille de berlin eau de parfum</t>
        </is>
      </c>
      <c r="AO40" s="42" t="inlineStr">
        <is>
          <t>natural face wash</t>
        </is>
      </c>
      <c r="AP40" s="42" t="inlineStr">
        <is>
          <t>buy bentley azure online</t>
        </is>
      </c>
      <c r="AQ40" s="42" t="inlineStr">
        <is>
          <t>vilvah herbal shampoo dandruff control</t>
        </is>
      </c>
    </row>
    <row r="41" ht="15" customHeight="1" s="37">
      <c r="A41" s="42" t="inlineStr">
        <is>
          <t>bvlgari perfume</t>
        </is>
      </c>
      <c r="B41" s="42" t="inlineStr">
        <is>
          <t>oud perfume for men uk</t>
        </is>
      </c>
      <c r="C41" s="42" t="inlineStr">
        <is>
          <t>shampoo for dry skin</t>
        </is>
      </c>
      <c r="D41" s="42" t="inlineStr">
        <is>
          <t>bentley azzaro pour homme deodorant</t>
        </is>
      </c>
      <c r="E41" s="42" t="inlineStr">
        <is>
          <t>deyga nourished lips stick kit</t>
        </is>
      </c>
      <c r="F41" s="42" t="inlineStr">
        <is>
          <t>game of spades king</t>
        </is>
      </c>
      <c r="G41" s="42" t="inlineStr">
        <is>
          <t>marc jacobs daisy love miniature</t>
        </is>
      </c>
      <c r="H41" s="42" t="inlineStr">
        <is>
          <t>vilvah charcoal goatmilk soap</t>
        </is>
      </c>
      <c r="I41" s="42" t="inlineStr">
        <is>
          <t>antonio banderas her secret desire uk</t>
        </is>
      </c>
      <c r="J41" s="66" t="inlineStr">
        <is>
          <t>deyga mini foot spa combo uk</t>
        </is>
      </c>
      <c r="K41" s="66" t="inlineStr">
        <is>
          <t>fumeri wild uk</t>
        </is>
      </c>
      <c r="L41" s="66" t="inlineStr">
        <is>
          <t>maison de milan milano girl black uk</t>
        </is>
      </c>
      <c r="M41" s="66" t="inlineStr">
        <is>
          <t>vilvah anti‑acne kit uk</t>
        </is>
      </c>
      <c r="N41" s="66" t="inlineStr">
        <is>
          <t>anatome support eau de parfum</t>
        </is>
      </c>
      <c r="O41" s="66" t="inlineStr">
        <is>
          <t>fumeri orpheon eau de parfum</t>
        </is>
      </c>
      <c r="P41" s="66" t="inlineStr">
        <is>
          <t>mancera black noir eau de parfum</t>
        </is>
      </c>
      <c r="Q41" s="66" t="inlineStr">
        <is>
          <t>buy al haramain amber oud gold edition online</t>
        </is>
      </c>
      <c r="R41" s="66" t="inlineStr">
        <is>
          <t>buy deyga daily use healthy hair kit online</t>
        </is>
      </c>
      <c r="S41" s="66" t="inlineStr">
        <is>
          <t>buy escada party love online</t>
        </is>
      </c>
      <c r="T41" s="66" t="inlineStr">
        <is>
          <t>buy korloff miss korloff online</t>
        </is>
      </c>
      <c r="U41" s="66" t="inlineStr">
        <is>
          <t>buy tiziana terenzi sea stars collection deriva online</t>
        </is>
      </c>
      <c r="V41" s="66" t="inlineStr">
        <is>
          <t>acqua di parma blu mediterraneo review</t>
        </is>
      </c>
      <c r="W41" s="66" t="inlineStr">
        <is>
          <t>antonio banderas diavolo review</t>
        </is>
      </c>
      <c r="X41" s="66" t="inlineStr">
        <is>
          <t>bvlgari splendida tubereuse mystique review</t>
        </is>
      </c>
      <c r="Y41" s="66" t="inlineStr">
        <is>
          <t>davidoff indigo 60ml price</t>
        </is>
      </c>
      <c r="Z41" s="66" t="inlineStr">
        <is>
          <t>dolce &amp; gabbana devotion perfume</t>
        </is>
      </c>
      <c r="AA41" s="66" t="inlineStr">
        <is>
          <t>dunhill signature nordic fougere edp</t>
        </is>
      </c>
      <c r="AB41" s="66" t="inlineStr">
        <is>
          <t>game of spades high roller notes</t>
        </is>
      </c>
      <c r="AC41" s="66" t="inlineStr">
        <is>
          <t>gucci set perfume for women</t>
        </is>
      </c>
      <c r="AD41" s="66" t="inlineStr">
        <is>
          <t>lady korloff intense отзывы</t>
        </is>
      </c>
      <c r="AE41" s="66" t="inlineStr">
        <is>
          <t>signature onyx 100ml</t>
        </is>
      </c>
      <c r="AF41" s="66" t="inlineStr">
        <is>
          <t>tiziana terenzi kirke perfume</t>
        </is>
      </c>
      <c r="AG41" s="66" t="inlineStr">
        <is>
          <t>vilvah rose milk lip balm review</t>
        </is>
      </c>
      <c r="AH41" s="66" t="inlineStr">
        <is>
          <t>deyga 2% hyaluronic acid serum price</t>
        </is>
      </c>
      <c r="AI41" s="66" t="inlineStr">
        <is>
          <t>dunhill signature collection british leather price</t>
        </is>
      </c>
      <c r="AJ41" s="66" t="inlineStr">
        <is>
          <t>hugo boss alive price</t>
        </is>
      </c>
      <c r="AK41" s="66" t="inlineStr">
        <is>
          <t>the woods collection twilight price</t>
        </is>
      </c>
      <c r="AL41" s="66" t="inlineStr">
        <is>
          <t>vilvah skin finish sunscreen spf 50 price</t>
        </is>
      </c>
      <c r="AM41" s="42" t="inlineStr">
        <is>
          <t>davidoff the game eau de toilette</t>
        </is>
      </c>
      <c r="AN41" s="42" t="inlineStr">
        <is>
          <t>serge lutens la fille de berlin uk</t>
        </is>
      </c>
      <c r="AO41" s="42" t="inlineStr">
        <is>
          <t>natural moisturiser</t>
        </is>
      </c>
      <c r="AP41" s="42" t="inlineStr">
        <is>
          <t>bentley azure price</t>
        </is>
      </c>
      <c r="AQ41" s="42" t="inlineStr">
        <is>
          <t>vilvah grapefruit lip balm review</t>
        </is>
      </c>
    </row>
    <row r="42" ht="15" customHeight="1" s="37">
      <c r="A42" s="42" t="inlineStr">
        <is>
          <t>bvlgari perfume for men</t>
        </is>
      </c>
      <c r="B42" s="42" t="inlineStr">
        <is>
          <t>oud perfume for women uk</t>
        </is>
      </c>
      <c r="C42" s="42" t="inlineStr">
        <is>
          <t>shampoo for hair nourishment</t>
        </is>
      </c>
      <c r="D42" s="42" t="inlineStr">
        <is>
          <t>bentley azzaro the most wanted</t>
        </is>
      </c>
      <c r="E42" s="42" t="inlineStr">
        <is>
          <t>deyga oat milk face wash</t>
        </is>
      </c>
      <c r="F42" s="42" t="inlineStr">
        <is>
          <t>game of spades moon</t>
        </is>
      </c>
      <c r="G42" s="42" t="inlineStr">
        <is>
          <t>marc jacobs honey</t>
        </is>
      </c>
      <c r="H42" s="42" t="inlineStr">
        <is>
          <t>vilvah classic goatmilk soap</t>
        </is>
      </c>
      <c r="I42" s="42" t="inlineStr">
        <is>
          <t>antonio banderas her secret temptation uk</t>
        </is>
      </c>
      <c r="J42" s="66" t="inlineStr">
        <is>
          <t>deyga mint lip scrub uk</t>
        </is>
      </c>
      <c r="K42" s="66" t="inlineStr">
        <is>
          <t>game of spades bid uk</t>
        </is>
      </c>
      <c r="L42" s="66" t="inlineStr">
        <is>
          <t>maison de milan milano girl red uk</t>
        </is>
      </c>
      <c r="M42" s="66" t="inlineStr">
        <is>
          <t>vilvah anti‑dandruff haircare kit uk</t>
        </is>
      </c>
      <c r="N42" s="66" t="inlineStr">
        <is>
          <t>anna sui sky eau de toilette</t>
        </is>
      </c>
      <c r="O42" s="66" t="inlineStr">
        <is>
          <t>fumeri oud saffron eau de parfum</t>
        </is>
      </c>
      <c r="P42" s="66" t="inlineStr">
        <is>
          <t>mancera intense red tobacco extrait de parfum</t>
        </is>
      </c>
      <c r="Q42" s="66" t="inlineStr">
        <is>
          <t>buy al haramain amber oud online</t>
        </is>
      </c>
      <c r="R42" s="66" t="inlineStr">
        <is>
          <t>buy deyga de- tan &amp; pigmentation kit online</t>
        </is>
      </c>
      <c r="S42" s="66" t="inlineStr">
        <is>
          <t>buy estee lauder spellbound online</t>
        </is>
      </c>
      <c r="T42" s="66" t="inlineStr">
        <is>
          <t>buy korloff paris discovery set online</t>
        </is>
      </c>
      <c r="U42" s="66" t="inlineStr">
        <is>
          <t>buy tiziana terenzi white fire online</t>
        </is>
      </c>
      <c r="V42" s="66" t="inlineStr">
        <is>
          <t>acqua di parma colonia essenza deodorant stick 75ml</t>
        </is>
      </c>
      <c r="W42" s="66" t="inlineStr">
        <is>
          <t>antonio banderas her secret desire 80 ml</t>
        </is>
      </c>
      <c r="X42" s="66" t="inlineStr">
        <is>
          <t>calvin klein defy eau de parfum</t>
        </is>
      </c>
      <c r="Y42" s="66" t="inlineStr">
        <is>
          <t>davidoff indigo perfume</t>
        </is>
      </c>
      <c r="Z42" s="66" t="inlineStr">
        <is>
          <t>dolce &amp; gabbana k eau de parfum gift set 100ml</t>
        </is>
      </c>
      <c r="AA42" s="66" t="inlineStr">
        <is>
          <t>dunhill signature valensole lavender</t>
        </is>
      </c>
      <c r="AB42" s="66" t="inlineStr">
        <is>
          <t>game of spades high roller review</t>
        </is>
      </c>
      <c r="AC42" s="66" t="inlineStr">
        <is>
          <t>gucci set women</t>
        </is>
      </c>
      <c r="AD42" s="66" t="inlineStr">
        <is>
          <t>lancome idole nectar 50ml</t>
        </is>
      </c>
      <c r="AE42" s="66" t="inlineStr">
        <is>
          <t>signature onyx edp</t>
        </is>
      </c>
      <c r="AF42" s="66" t="inlineStr">
        <is>
          <t>tiziana terenzi kirke review</t>
        </is>
      </c>
      <c r="AG42" s="66" t="inlineStr">
        <is>
          <t>vilvah toner review</t>
        </is>
      </c>
      <c r="AH42" s="66" t="inlineStr">
        <is>
          <t>deyga abc kit price</t>
        </is>
      </c>
      <c r="AI42" s="66" t="inlineStr">
        <is>
          <t>dunhill signature collection egyptian smoke price</t>
        </is>
      </c>
      <c r="AJ42" s="66" t="inlineStr">
        <is>
          <t>hugo boss boss the scent tester price</t>
        </is>
      </c>
      <c r="AK42" s="66" t="inlineStr">
        <is>
          <t>the woods collection wild roses price</t>
        </is>
      </c>
      <c r="AL42" s="66" t="inlineStr">
        <is>
          <t>vilvah skin hydration kit price</t>
        </is>
      </c>
      <c r="AM42" s="42" t="inlineStr">
        <is>
          <t>game of spades wildcard eau de parfum</t>
        </is>
      </c>
      <c r="AN42" s="42" t="inlineStr">
        <is>
          <t>bentley become eau de parfum</t>
        </is>
      </c>
      <c r="AO42" s="42" t="inlineStr">
        <is>
          <t>natural hair oil</t>
        </is>
      </c>
      <c r="AP42" s="42" t="inlineStr">
        <is>
          <t>dior sauvage extrait</t>
        </is>
      </c>
      <c r="AQ42" s="42" t="inlineStr">
        <is>
          <t>vilvah lip scrub review</t>
        </is>
      </c>
    </row>
    <row r="43" ht="15" customHeight="1" s="37">
      <c r="A43" s="42" t="inlineStr">
        <is>
          <t>bvlgari perfume for women</t>
        </is>
      </c>
      <c r="B43" s="42" t="inlineStr">
        <is>
          <t>oud perfume uk</t>
        </is>
      </c>
      <c r="C43" s="42" t="inlineStr">
        <is>
          <t>skincare for dull skin</t>
        </is>
      </c>
      <c r="D43" s="42" t="inlineStr">
        <is>
          <t>bentley azzaro the most wanted intense gift set</t>
        </is>
      </c>
      <c r="E43" s="42" t="inlineStr">
        <is>
          <t>deyga orange &amp; almond face pack powder</t>
        </is>
      </c>
      <c r="F43" s="42" t="inlineStr">
        <is>
          <t>game of spades opal</t>
        </is>
      </c>
      <c r="G43" s="42" t="inlineStr">
        <is>
          <t>marc jacobs miniature gift set 2025</t>
        </is>
      </c>
      <c r="H43" s="42" t="inlineStr">
        <is>
          <t>vilvah classic rose goatmilk soap</t>
        </is>
      </c>
      <c r="I43" s="42" t="inlineStr">
        <is>
          <t>antonio banderas power of seduction uk</t>
        </is>
      </c>
      <c r="J43" s="66" t="inlineStr">
        <is>
          <t>deyga natural hair care kit uk</t>
        </is>
      </c>
      <c r="K43" s="66" t="inlineStr">
        <is>
          <t>game of spades blind-bid uk</t>
        </is>
      </c>
      <c r="L43" s="66" t="inlineStr">
        <is>
          <t>maison de milan milano girl white uk</t>
        </is>
      </c>
      <c r="M43" s="66" t="inlineStr">
        <is>
          <t>vilvah bestseller hair kit uk</t>
        </is>
      </c>
      <c r="N43" s="66" t="inlineStr">
        <is>
          <t>antonio banderas boucheron patchouli d'angkor eau de parfum</t>
        </is>
      </c>
      <c r="O43" s="66" t="inlineStr">
        <is>
          <t>fumeri peach eau de parfum</t>
        </is>
      </c>
      <c r="P43" s="66" t="inlineStr">
        <is>
          <t>marc jacobs daisy love glow limited edition eau de toilette</t>
        </is>
      </c>
      <c r="Q43" s="66" t="inlineStr">
        <is>
          <t>buy al haramain amber oud ruby edition online</t>
        </is>
      </c>
      <c r="R43" s="66" t="inlineStr">
        <is>
          <t>buy deyga deep moisturising face cream online</t>
        </is>
      </c>
      <c r="S43" s="66" t="inlineStr">
        <is>
          <t>buy etienne aigner first class explorer online</t>
        </is>
      </c>
      <c r="T43" s="66" t="inlineStr">
        <is>
          <t>buy korloff royal oud korloff paris online</t>
        </is>
      </c>
      <c r="U43" s="66" t="inlineStr">
        <is>
          <t>buy tom ford black orchid online</t>
        </is>
      </c>
      <c r="V43" s="66" t="inlineStr">
        <is>
          <t>acqua di parma colonia essenza deodorant stick review</t>
        </is>
      </c>
      <c r="W43" s="66" t="inlineStr">
        <is>
          <t>antonio banderas her secret desire edt 80 ml</t>
        </is>
      </c>
      <c r="X43" s="66" t="inlineStr">
        <is>
          <t>calvin klein defy edp</t>
        </is>
      </c>
      <c r="Y43" s="66" t="inlineStr">
        <is>
          <t>davidoff indigo perfume price</t>
        </is>
      </c>
      <c r="Z43" s="66" t="inlineStr">
        <is>
          <t>dolce &amp; gabbana k edt gift set</t>
        </is>
      </c>
      <c r="AA43" s="66" t="inlineStr">
        <is>
          <t>elie saab eau de parfum gift set</t>
        </is>
      </c>
      <c r="AB43" s="66" t="inlineStr">
        <is>
          <t>game of spades jackpot dupe of</t>
        </is>
      </c>
      <c r="AC43" s="66" t="inlineStr">
        <is>
          <t>guerlain epices exquises eau de parfum 125ml</t>
        </is>
      </c>
      <c r="AD43" s="66" t="inlineStr">
        <is>
          <t>lancome idole nectar dupe</t>
        </is>
      </c>
      <c r="AE43" s="66" t="inlineStr">
        <is>
          <t>signature onyx perfume</t>
        </is>
      </c>
      <c r="AF43" s="66" t="inlineStr">
        <is>
          <t>tiziana terenzi leo extrait de parfum 100ml</t>
        </is>
      </c>
      <c r="AG43" s="66" t="inlineStr">
        <is>
          <t>vilvah under eye cream dark circles control</t>
        </is>
      </c>
      <c r="AH43" s="66" t="inlineStr">
        <is>
          <t>deyga acne relief combo price</t>
        </is>
      </c>
      <c r="AI43" s="66" t="inlineStr">
        <is>
          <t>dunhill signature collection indian sandalwood price</t>
        </is>
      </c>
      <c r="AJ43" s="66" t="inlineStr">
        <is>
          <t>hugo boss bottled price</t>
        </is>
      </c>
      <c r="AK43" s="66" t="inlineStr">
        <is>
          <t>tiziana terenzi akragas price</t>
        </is>
      </c>
      <c r="AL43" s="66" t="inlineStr">
        <is>
          <t>vilvah skin radiance kit price</t>
        </is>
      </c>
      <c r="AM43" s="42" t="inlineStr">
        <is>
          <t>game of spades wildcard uk</t>
        </is>
      </c>
      <c r="AN43" s="42" t="inlineStr">
        <is>
          <t>chloe nomade jasmin naturel intense eau de parfum</t>
        </is>
      </c>
      <c r="AO43" s="42" t="inlineStr">
        <is>
          <t>organic skincare uk</t>
        </is>
      </c>
      <c r="AP43" s="42" t="inlineStr">
        <is>
          <t>dior sauvage parfum</t>
        </is>
      </c>
      <c r="AQ43" s="42" t="inlineStr">
        <is>
          <t>vilvah milk drops brightening serum review</t>
        </is>
      </c>
    </row>
    <row r="44" ht="15" customHeight="1" s="37">
      <c r="A44" s="42" t="inlineStr">
        <is>
          <t>calvin klein perfume</t>
        </is>
      </c>
      <c r="B44" s="42" t="inlineStr">
        <is>
          <t>paloma perfume</t>
        </is>
      </c>
      <c r="C44" s="42" t="inlineStr">
        <is>
          <t>skincare for skin nourishment</t>
        </is>
      </c>
      <c r="D44" s="42" t="inlineStr">
        <is>
          <t>bentley become</t>
        </is>
      </c>
      <c r="E44" s="42" t="inlineStr">
        <is>
          <t>deyga organic loofah for body exfoliation</t>
        </is>
      </c>
      <c r="F44" s="42" t="inlineStr">
        <is>
          <t>game of spades rouge</t>
        </is>
      </c>
      <c r="G44" s="42" t="inlineStr">
        <is>
          <t>marc jacobs perfect</t>
        </is>
      </c>
      <c r="H44" s="42" t="inlineStr">
        <is>
          <t>vilvah cookie n cream body mask</t>
        </is>
      </c>
      <c r="I44" s="42" t="inlineStr">
        <is>
          <t>ariana grande thank u, next uk</t>
        </is>
      </c>
      <c r="J44" s="66" t="inlineStr">
        <is>
          <t>deyga natural lip balm uk</t>
        </is>
      </c>
      <c r="K44" s="66" t="inlineStr">
        <is>
          <t>game of spades boston uk</t>
        </is>
      </c>
      <c r="L44" s="66" t="inlineStr">
        <is>
          <t>maison de milan opulent gold uk</t>
        </is>
      </c>
      <c r="M44" s="66" t="inlineStr">
        <is>
          <t>vilvah better ageing kit uk</t>
        </is>
      </c>
      <c r="N44" s="66" t="inlineStr">
        <is>
          <t>antonio banderas boucheron rose d'isparta eau de parfum</t>
        </is>
      </c>
      <c r="O44" s="66" t="inlineStr">
        <is>
          <t>fumeri smokey leather eau de parfum</t>
        </is>
      </c>
      <c r="P44" s="66" t="inlineStr">
        <is>
          <t>marc jacobs daisy love miniature eau de toilette</t>
        </is>
      </c>
      <c r="Q44" s="66" t="inlineStr">
        <is>
          <t>buy al haramain amber oud tobacco edition online</t>
        </is>
      </c>
      <c r="R44" s="66" t="inlineStr">
        <is>
          <t>buy deyga double hydration kit online</t>
        </is>
      </c>
      <c r="S44" s="66" t="inlineStr">
        <is>
          <t>buy etienne aigner no. 1 intense online</t>
        </is>
      </c>
      <c r="T44" s="66" t="inlineStr">
        <is>
          <t>buy korloff royal rose online</t>
        </is>
      </c>
      <c r="U44" s="66" t="inlineStr">
        <is>
          <t>buy tom ford ebene fume online</t>
        </is>
      </c>
      <c r="V44" s="66" t="inlineStr">
        <is>
          <t>acqua di parma colonia essenza review</t>
        </is>
      </c>
      <c r="W44" s="66" t="inlineStr">
        <is>
          <t>antonio banderas her secret desire perfume</t>
        </is>
      </c>
      <c r="X44" s="66" t="inlineStr">
        <is>
          <t>calvin klein defy perfume</t>
        </is>
      </c>
      <c r="Y44" s="66" t="inlineStr">
        <is>
          <t>davidoff indigo review</t>
        </is>
      </c>
      <c r="Z44" s="66" t="inlineStr">
        <is>
          <t>dolce &amp; gabbana k gift set for men</t>
        </is>
      </c>
      <c r="AA44" s="66" t="inlineStr">
        <is>
          <t>elie saab elixir 100ml</t>
        </is>
      </c>
      <c r="AB44" s="66" t="inlineStr">
        <is>
          <t>game of spades jackpot notes</t>
        </is>
      </c>
      <c r="AC44" s="66" t="inlineStr">
        <is>
          <t>guerlain epices exquises edp</t>
        </is>
      </c>
      <c r="AD44" s="66" t="inlineStr">
        <is>
          <t>lancome idole nectar eau de parfum 100ml</t>
        </is>
      </c>
      <c r="AE44" s="66" t="inlineStr">
        <is>
          <t>signature onyx perfume price</t>
        </is>
      </c>
      <c r="AF44" s="66" t="inlineStr">
        <is>
          <t>tiziana terenzi leo notes</t>
        </is>
      </c>
      <c r="AG44" s="66" t="inlineStr">
        <is>
          <t>عطر the woods collection eden</t>
        </is>
      </c>
      <c r="AH44" s="66" t="inlineStr">
        <is>
          <t>deyga acne vanishing combo price</t>
        </is>
      </c>
      <c r="AI44" s="66" t="inlineStr">
        <is>
          <t>dunhill signature collection mongolian cashmere price</t>
        </is>
      </c>
      <c r="AJ44" s="66" t="inlineStr">
        <is>
          <t>hugo boss hugo man price</t>
        </is>
      </c>
      <c r="AK44" s="66" t="inlineStr">
        <is>
          <t>tiziana terenzi andromeda price</t>
        </is>
      </c>
      <c r="AL44" s="66" t="inlineStr">
        <is>
          <t>vilvah store frizz free hair combo price</t>
        </is>
      </c>
      <c r="AM44" s="42" t="inlineStr">
        <is>
          <t>tom ford ebene fume eau de parfum</t>
        </is>
      </c>
      <c r="AN44" s="42" t="inlineStr">
        <is>
          <t>chopard amber malaki eau de parfum</t>
        </is>
      </c>
      <c r="AP44" s="42" t="inlineStr">
        <is>
          <t>joop homme notes</t>
        </is>
      </c>
      <c r="AQ44" s="42" t="inlineStr">
        <is>
          <t>how to use vilvah under eye cream</t>
        </is>
      </c>
    </row>
    <row r="45" ht="15" customHeight="1" s="37">
      <c r="A45" s="42" t="inlineStr">
        <is>
          <t>calvin klein perfume for men</t>
        </is>
      </c>
      <c r="B45" s="42" t="inlineStr">
        <is>
          <t>paloma perfume for women</t>
        </is>
      </c>
      <c r="C45" s="42" t="inlineStr">
        <is>
          <t>toner for dry skin</t>
        </is>
      </c>
      <c r="D45" s="42" t="inlineStr">
        <is>
          <t>bentley infinite</t>
        </is>
      </c>
      <c r="E45" s="42" t="inlineStr">
        <is>
          <t>deyga plant based hair color – black</t>
        </is>
      </c>
      <c r="F45" s="42" t="inlineStr">
        <is>
          <t>game of spades rouge extrait</t>
        </is>
      </c>
      <c r="G45" s="42" t="inlineStr">
        <is>
          <t>marc jacobs perfect elixir miniature</t>
        </is>
      </c>
      <c r="H45" s="42" t="inlineStr">
        <is>
          <t>vilvah cookie n cream body polish</t>
        </is>
      </c>
      <c r="I45" s="42" t="inlineStr">
        <is>
          <t>armaf hunter uk</t>
        </is>
      </c>
      <c r="J45" s="66" t="inlineStr">
        <is>
          <t>deyga natural loose setting powder uk</t>
        </is>
      </c>
      <c r="K45" s="66" t="inlineStr">
        <is>
          <t>game of spades diamond uk</t>
        </is>
      </c>
      <c r="L45" s="66" t="inlineStr">
        <is>
          <t>maison de milan valiant pour homme uk</t>
        </is>
      </c>
      <c r="M45" s="66" t="inlineStr">
        <is>
          <t>vilvah better ageing serum uk</t>
        </is>
      </c>
      <c r="N45" s="66" t="inlineStr">
        <is>
          <t>antonio banderas diavolo eau de toilette</t>
        </is>
      </c>
      <c r="O45" s="66" t="inlineStr">
        <is>
          <t>fumeri style 33 eau de parfum</t>
        </is>
      </c>
      <c r="P45" s="66" t="inlineStr">
        <is>
          <t>marc jacobs honey eau de parfum</t>
        </is>
      </c>
      <c r="Q45" s="66" t="inlineStr">
        <is>
          <t>buy al haramain amber oud white edition online</t>
        </is>
      </c>
      <c r="R45" s="66" t="inlineStr">
        <is>
          <t>buy deyga eyebrow growth oil online</t>
        </is>
      </c>
      <c r="S45" s="66" t="inlineStr">
        <is>
          <t>buy fumeri 540 online</t>
        </is>
      </c>
      <c r="T45" s="66" t="inlineStr">
        <is>
          <t>buy korloff un soir a paris online</t>
        </is>
      </c>
      <c r="U45" s="66" t="inlineStr">
        <is>
          <t>buy tom ford neroli portofino online</t>
        </is>
      </c>
      <c r="V45" s="66" t="inlineStr">
        <is>
          <t>acqua di parma colonia pura 100ml</t>
        </is>
      </c>
      <c r="W45" s="66" t="inlineStr">
        <is>
          <t>antonio banderas her secret desire perfume review</t>
        </is>
      </c>
      <c r="X45" s="66" t="inlineStr">
        <is>
          <t>calvin klein defy perfume price</t>
        </is>
      </c>
      <c r="Y45" s="66" t="inlineStr">
        <is>
          <t>davidoff the game 100ml</t>
        </is>
      </c>
      <c r="Z45" s="66" t="inlineStr">
        <is>
          <t>dolce &amp; gabbana l'imperatrice 100ml</t>
        </is>
      </c>
      <c r="AA45" s="66" t="inlineStr">
        <is>
          <t>elie saab elixir 30ml</t>
        </is>
      </c>
      <c r="AB45" s="66" t="inlineStr">
        <is>
          <t>game of spades jackpot review</t>
        </is>
      </c>
      <c r="AC45" s="66" t="inlineStr">
        <is>
          <t>guerlain epices exquises edp 125ml</t>
        </is>
      </c>
      <c r="AD45" s="66" t="inlineStr">
        <is>
          <t>lancome idole nectar notes</t>
        </is>
      </c>
      <c r="AE45" s="66" t="inlineStr">
        <is>
          <t>signature opal edp</t>
        </is>
      </c>
      <c r="AF45" s="66" t="inlineStr">
        <is>
          <t>tiziana terenzi leo perfume</t>
        </is>
      </c>
      <c r="AG45" s="66" t="inlineStr">
        <is>
          <t>abercrombie &amp; fitch first instinct together price</t>
        </is>
      </c>
      <c r="AH45" s="66" t="inlineStr">
        <is>
          <t>deyga activated charcoal body wash price</t>
        </is>
      </c>
      <c r="AI45" s="66" t="inlineStr">
        <is>
          <t>dunhill signature collection moroccan amber price</t>
        </is>
      </c>
      <c r="AJ45" s="66" t="inlineStr">
        <is>
          <t>hugo boss the collection confident oud intense price</t>
        </is>
      </c>
      <c r="AK45" s="66" t="inlineStr">
        <is>
          <t>tiziana terenzi borelli linea tt price</t>
        </is>
      </c>
      <c r="AL45" s="66" t="inlineStr">
        <is>
          <t>vilvah sun protection kit price</t>
        </is>
      </c>
      <c r="AM45" s="42" t="inlineStr">
        <is>
          <t>tom ford ebene fume uk</t>
        </is>
      </c>
      <c r="AN45" s="42" t="inlineStr">
        <is>
          <t>dkny be delicious orchard street eau de parfum</t>
        </is>
      </c>
      <c r="AP45" s="42" t="inlineStr">
        <is>
          <t>joop homme</t>
        </is>
      </c>
      <c r="AQ45" s="42" t="inlineStr">
        <is>
          <t>vilvah lip balm review</t>
        </is>
      </c>
    </row>
    <row r="46" ht="15" customHeight="1" s="37">
      <c r="A46" s="42" t="inlineStr">
        <is>
          <t>calvin klein perfume for women</t>
        </is>
      </c>
      <c r="B46" s="42" t="inlineStr">
        <is>
          <t>philipp plein perfume</t>
        </is>
      </c>
      <c r="C46" s="42" t="inlineStr">
        <is>
          <t>toner for skin nourishment</t>
        </is>
      </c>
      <c r="D46" s="42" t="inlineStr">
        <is>
          <t>bentley momentum unlimited</t>
        </is>
      </c>
      <c r="E46" s="42" t="inlineStr">
        <is>
          <t>deyga premature greying hair oil</t>
        </is>
      </c>
      <c r="F46" s="42" t="inlineStr">
        <is>
          <t>game of spades royale</t>
        </is>
      </c>
      <c r="G46" s="42" t="inlineStr">
        <is>
          <t>marc jacobs perfect miniature</t>
        </is>
      </c>
      <c r="H46" s="42" t="inlineStr">
        <is>
          <t>vilvah cream bun lip balm</t>
        </is>
      </c>
      <c r="I46" s="42" t="inlineStr">
        <is>
          <t>bentley absolute uk</t>
        </is>
      </c>
      <c r="J46" s="66" t="inlineStr">
        <is>
          <t>deyga neem &amp; turmeric bath bar uk</t>
        </is>
      </c>
      <c r="K46" s="66" t="inlineStr">
        <is>
          <t>game of spades full house uk</t>
        </is>
      </c>
      <c r="L46" s="66" t="inlineStr">
        <is>
          <t>mancera black noir uk</t>
        </is>
      </c>
      <c r="M46" s="66" t="inlineStr">
        <is>
          <t>vilvah body polishing kit uk</t>
        </is>
      </c>
      <c r="N46" s="66" t="inlineStr">
        <is>
          <t>antonio banderas her secret desire eau de toilette</t>
        </is>
      </c>
      <c r="O46" s="66" t="inlineStr">
        <is>
          <t>fumeri victorious eau de parfum</t>
        </is>
      </c>
      <c r="P46" s="66" t="inlineStr">
        <is>
          <t>marc jacobs perfect eau de parfum</t>
        </is>
      </c>
      <c r="Q46" s="66" t="inlineStr">
        <is>
          <t>buy al haramain detour noir online</t>
        </is>
      </c>
      <c r="R46" s="66" t="inlineStr">
        <is>
          <t>buy deyga face &amp; body exfoliator powder online</t>
        </is>
      </c>
      <c r="S46" s="66" t="inlineStr">
        <is>
          <t>buy fumeri adore online</t>
        </is>
      </c>
      <c r="T46" s="66" t="inlineStr">
        <is>
          <t>buy la maison de la vanille absolu de vanille online</t>
        </is>
      </c>
      <c r="U46" s="66" t="inlineStr">
        <is>
          <t>buy tom ford noir extreme online</t>
        </is>
      </c>
      <c r="V46" s="66" t="inlineStr">
        <is>
          <t>acqua di parma colonia pura 50ml</t>
        </is>
      </c>
      <c r="W46" s="66" t="inlineStr">
        <is>
          <t>antonio banderas her secret desire review</t>
        </is>
      </c>
      <c r="X46" s="66" t="inlineStr">
        <is>
          <t>calvin klein defy review</t>
        </is>
      </c>
      <c r="Y46" s="66" t="inlineStr">
        <is>
          <t>davidoff the game edt</t>
        </is>
      </c>
      <c r="Z46" s="66" t="inlineStr">
        <is>
          <t>dolce &amp; gabbana l'imperatrice 100ml price</t>
        </is>
      </c>
      <c r="AA46" s="66" t="inlineStr">
        <is>
          <t>elie saab elixir notes</t>
        </is>
      </c>
      <c r="AB46" s="66" t="inlineStr">
        <is>
          <t>game of spades king 30ml</t>
        </is>
      </c>
      <c r="AC46" s="66" t="inlineStr">
        <is>
          <t>guerlain epices exquises notes</t>
        </is>
      </c>
      <c r="AD46" s="66" t="inlineStr">
        <is>
          <t>lancome idole nectar perfume</t>
        </is>
      </c>
      <c r="AE46" s="66" t="inlineStr">
        <is>
          <t>signature opal parfum</t>
        </is>
      </c>
      <c r="AF46" s="66" t="inlineStr">
        <is>
          <t>tiziana terenzi leo review</t>
        </is>
      </c>
      <c r="AG46" s="66" t="inlineStr">
        <is>
          <t>abercrombie &amp; fitch naturally fierce price</t>
        </is>
      </c>
      <c r="AH46" s="66" t="inlineStr">
        <is>
          <t>deyga almond milk body lotion price</t>
        </is>
      </c>
      <c r="AI46" s="66" t="inlineStr">
        <is>
          <t>dunhill signature collection nordic fougere price</t>
        </is>
      </c>
      <c r="AJ46" s="66" t="inlineStr">
        <is>
          <t>jean paul gaultier classique perfumed shower gel price</t>
        </is>
      </c>
      <c r="AK46" s="66" t="inlineStr">
        <is>
          <t>tiziana terenzi caput mundi price</t>
        </is>
      </c>
      <c r="AL46" s="66" t="inlineStr">
        <is>
          <t>vilvah tan protection kit price</t>
        </is>
      </c>
      <c r="AM46" s="42" t="inlineStr">
        <is>
          <t>dolce &amp; gabbana the one eau de parfum</t>
        </is>
      </c>
      <c r="AN46" s="42" t="inlineStr">
        <is>
          <t>dkny be delicious orchard street uk</t>
        </is>
      </c>
      <c r="AP46" s="42" t="inlineStr">
        <is>
          <t>gucci intense oud review</t>
        </is>
      </c>
      <c r="AQ46" s="42" t="inlineStr">
        <is>
          <t>vilvah cream bun lip balm review</t>
        </is>
      </c>
    </row>
    <row r="47" ht="15" customHeight="1" s="37">
      <c r="A47" s="42" t="inlineStr">
        <is>
          <t>carolina herrera perfume</t>
        </is>
      </c>
      <c r="B47" s="42" t="inlineStr">
        <is>
          <t>philipp plein perfume for men</t>
        </is>
      </c>
      <c r="C47" s="42" t="inlineStr">
        <is>
          <t>vilvah body lotion</t>
        </is>
      </c>
      <c r="D47" s="42" t="inlineStr">
        <is>
          <t>bentley silverlake</t>
        </is>
      </c>
      <c r="E47" s="42" t="inlineStr">
        <is>
          <t>deyga pure aloe vera gel</t>
        </is>
      </c>
      <c r="F47" s="42" t="inlineStr">
        <is>
          <t>game of spades ruby</t>
        </is>
      </c>
      <c r="G47" s="42" t="inlineStr">
        <is>
          <t>montale aoud damascus</t>
        </is>
      </c>
      <c r="H47" s="42" t="inlineStr">
        <is>
          <t>vilvah cream conditioner</t>
        </is>
      </c>
      <c r="I47" s="42" t="inlineStr">
        <is>
          <t>bentley azure uk</t>
        </is>
      </c>
      <c r="J47" s="66" t="inlineStr">
        <is>
          <t>deyga neem seed oil uk</t>
        </is>
      </c>
      <c r="K47" s="66" t="inlineStr">
        <is>
          <t>game of spades high roller uk</t>
        </is>
      </c>
      <c r="L47" s="66" t="inlineStr">
        <is>
          <t>mancera intense red tobacco uk</t>
        </is>
      </c>
      <c r="M47" s="66" t="inlineStr">
        <is>
          <t>vilvah budget skincare combo uk</t>
        </is>
      </c>
      <c r="N47" s="66" t="inlineStr">
        <is>
          <t>antonio banderas her secret temptation eau de toilette</t>
        </is>
      </c>
      <c r="O47" s="66" t="inlineStr">
        <is>
          <t>fumeri wild eau de parfum</t>
        </is>
      </c>
      <c r="P47" s="66" t="inlineStr">
        <is>
          <t>marc jacobs perfect elixir miniature eau de parfum</t>
        </is>
      </c>
      <c r="Q47" s="66" t="inlineStr">
        <is>
          <t>buy al haramain l'aventure blanche online</t>
        </is>
      </c>
      <c r="R47" s="66" t="inlineStr">
        <is>
          <t>buy deyga foot butter online</t>
        </is>
      </c>
      <c r="S47" s="66" t="inlineStr">
        <is>
          <t>buy fumeri ambre night online</t>
        </is>
      </c>
      <c r="T47" s="66" t="inlineStr">
        <is>
          <t>buy la maison de la vanille ambre secret online</t>
        </is>
      </c>
      <c r="U47" s="66" t="inlineStr">
        <is>
          <t>buy tom ford oud wood online</t>
        </is>
      </c>
      <c r="V47" s="66" t="inlineStr">
        <is>
          <t>acqua di parma colonia pura notes</t>
        </is>
      </c>
      <c r="W47" s="66" t="inlineStr">
        <is>
          <t>antonio banderas her secret temptation notes</t>
        </is>
      </c>
      <c r="X47" s="66" t="inlineStr">
        <is>
          <t>calvin klein eternity for men</t>
        </is>
      </c>
      <c r="Y47" s="66" t="inlineStr">
        <is>
          <t>davidoff the game perfume</t>
        </is>
      </c>
      <c r="Z47" s="66" t="inlineStr">
        <is>
          <t>dolce &amp; gabbana l'imperatrice 3</t>
        </is>
      </c>
      <c r="AA47" s="66" t="inlineStr">
        <is>
          <t>elie saab elixir perfume</t>
        </is>
      </c>
      <c r="AB47" s="66" t="inlineStr">
        <is>
          <t>game of spades king dupe of</t>
        </is>
      </c>
      <c r="AC47" s="66" t="inlineStr">
        <is>
          <t>guerlain epices exquises review</t>
        </is>
      </c>
      <c r="AD47" s="66" t="inlineStr">
        <is>
          <t>lancome idole now edp florale</t>
        </is>
      </c>
      <c r="AE47" s="66" t="inlineStr">
        <is>
          <t>signature opal perfume</t>
        </is>
      </c>
      <c r="AF47" s="66" t="inlineStr">
        <is>
          <t>tiziana terenzi moro di venezia 100ml</t>
        </is>
      </c>
      <c r="AG47" s="66" t="inlineStr">
        <is>
          <t>acqua di parma blu mediterraneo discovery set price</t>
        </is>
      </c>
      <c r="AH47" s="66" t="inlineStr">
        <is>
          <t>deyga anti dandruff shampoo price</t>
        </is>
      </c>
      <c r="AI47" s="66" t="inlineStr">
        <is>
          <t>dunhill signature collection valensole lavender price</t>
        </is>
      </c>
      <c r="AJ47" s="66" t="inlineStr">
        <is>
          <t>jean paul gaultier scandal gold price</t>
        </is>
      </c>
      <c r="AK47" s="66" t="inlineStr">
        <is>
          <t>tiziana terenzi chimaera anniversary price</t>
        </is>
      </c>
      <c r="AL47" s="66" t="inlineStr">
        <is>
          <t>vilvah tinted lip balm kit price</t>
        </is>
      </c>
      <c r="AM47" s="42" t="inlineStr">
        <is>
          <t>dolce &amp; gabbana the one uk</t>
        </is>
      </c>
      <c r="AN47" s="42" t="inlineStr">
        <is>
          <t>dolce &amp; gabbana the one gift set uk</t>
        </is>
      </c>
      <c r="AP47" s="42" t="inlineStr">
        <is>
          <t>gucci intense oud dupe</t>
        </is>
      </c>
      <c r="AQ47" s="42" t="inlineStr">
        <is>
          <t>deyga body wash review</t>
        </is>
      </c>
    </row>
    <row r="48" ht="15" customHeight="1" s="37">
      <c r="A48" s="42" t="inlineStr">
        <is>
          <t>carolina herrera perfume for men</t>
        </is>
      </c>
      <c r="B48" s="42" t="inlineStr">
        <is>
          <t>rihanah perfume</t>
        </is>
      </c>
      <c r="C48" s="42" t="inlineStr">
        <is>
          <t>vilvah body scrub</t>
        </is>
      </c>
      <c r="D48" s="42" t="inlineStr">
        <is>
          <t>burberry miniature set</t>
        </is>
      </c>
      <c r="E48" s="42" t="inlineStr">
        <is>
          <t>deyga pure rose water toner</t>
        </is>
      </c>
      <c r="F48" s="42" t="inlineStr">
        <is>
          <t>game of spades wildcard</t>
        </is>
      </c>
      <c r="G48" s="42" t="inlineStr">
        <is>
          <t>montale aoud safran</t>
        </is>
      </c>
      <c r="H48" s="42" t="inlineStr">
        <is>
          <t>vilvah cream face wash (fragrance free)</t>
        </is>
      </c>
      <c r="I48" s="42" t="inlineStr">
        <is>
          <t>bentley azzaro chrome legend uk</t>
        </is>
      </c>
      <c r="J48" s="66" t="inlineStr">
        <is>
          <t>deyga nourished lip care kit uk</t>
        </is>
      </c>
      <c r="K48" s="66" t="inlineStr">
        <is>
          <t>game of spades jackpot uk</t>
        </is>
      </c>
      <c r="L48" s="66" t="inlineStr">
        <is>
          <t>marc jacobs daisy love glow limited edition uk</t>
        </is>
      </c>
      <c r="M48" s="66" t="inlineStr">
        <is>
          <t>vilvah charcoal facemask uk</t>
        </is>
      </c>
      <c r="N48" s="66" t="inlineStr">
        <is>
          <t>antonio banderas power of seduction eau de toilette</t>
        </is>
      </c>
      <c r="O48" s="66" t="inlineStr">
        <is>
          <t>game of spades bid eau de parfum</t>
        </is>
      </c>
      <c r="P48" s="66" t="inlineStr">
        <is>
          <t>marc jacobs perfect miniature eau de toilette</t>
        </is>
      </c>
      <c r="Q48" s="66" t="inlineStr">
        <is>
          <t>buy al haramain l'aventure femme online</t>
        </is>
      </c>
      <c r="R48" s="66" t="inlineStr">
        <is>
          <t>buy deyga foot scrub online</t>
        </is>
      </c>
      <c r="S48" s="66" t="inlineStr">
        <is>
          <t>buy fumeri angel online</t>
        </is>
      </c>
      <c r="T48" s="66" t="inlineStr">
        <is>
          <t>buy la maison de la vanille royal oud online</t>
        </is>
      </c>
      <c r="U48" s="66" t="inlineStr">
        <is>
          <t>buy trussardi black extreme miniature online</t>
        </is>
      </c>
      <c r="V48" s="66" t="inlineStr">
        <is>
          <t>acqua di parma colonia pura review</t>
        </is>
      </c>
      <c r="W48" s="66" t="inlineStr">
        <is>
          <t>antonio banderas her secret temptation perfume price</t>
        </is>
      </c>
      <c r="X48" s="66" t="inlineStr">
        <is>
          <t>calvin klein eternity for women</t>
        </is>
      </c>
      <c r="Y48" s="66" t="inlineStr">
        <is>
          <t>davidoff the game perfume price</t>
        </is>
      </c>
      <c r="Z48" s="66" t="inlineStr">
        <is>
          <t>dolce &amp; gabbana l'imperatrice edt</t>
        </is>
      </c>
      <c r="AA48" s="66" t="inlineStr">
        <is>
          <t>elie saab elixir reviews</t>
        </is>
      </c>
      <c r="AB48" s="66" t="inlineStr">
        <is>
          <t>game of spades king notes</t>
        </is>
      </c>
      <c r="AC48" s="66" t="inlineStr">
        <is>
          <t>guerlain habit rouge edp</t>
        </is>
      </c>
      <c r="AD48" s="66" t="inlineStr">
        <is>
          <t>lancome idole now florale 100ml</t>
        </is>
      </c>
      <c r="AE48" s="66" t="inlineStr">
        <is>
          <t>signature opal отзывы</t>
        </is>
      </c>
      <c r="AF48" s="66" t="inlineStr">
        <is>
          <t>tiziana terenzi moro di venezia extrait</t>
        </is>
      </c>
      <c r="AG48" s="66" t="inlineStr">
        <is>
          <t>acqua di parma colonia essenza deodorant stick price</t>
        </is>
      </c>
      <c r="AH48" s="66" t="inlineStr">
        <is>
          <t>deyga anti-dandruff oil price</t>
        </is>
      </c>
      <c r="AI48" s="66" t="inlineStr">
        <is>
          <t>elie saab elixir price</t>
        </is>
      </c>
      <c r="AJ48" s="66" t="inlineStr">
        <is>
          <t>jimmy choo i want choo forever miniature price</t>
        </is>
      </c>
      <c r="AK48" s="66" t="inlineStr">
        <is>
          <t>tiziana terenzi draconis price</t>
        </is>
      </c>
      <c r="AL48" s="66" t="inlineStr">
        <is>
          <t>vilvah ultra moisturising cream price</t>
        </is>
      </c>
      <c r="AM48" s="42" t="inlineStr">
        <is>
          <t>hugo boss alive eau de parfum</t>
        </is>
      </c>
      <c r="AN48" s="42" t="inlineStr">
        <is>
          <t>elie saab nuit noor eau de parfum</t>
        </is>
      </c>
      <c r="AP48" s="42" t="inlineStr">
        <is>
          <t>marc jacobs perfect notes</t>
        </is>
      </c>
      <c r="AQ48" s="42" t="inlineStr">
        <is>
          <t>deyga anti dandruff oil review</t>
        </is>
      </c>
    </row>
    <row r="49" ht="15" customHeight="1" s="37">
      <c r="A49" s="42" t="inlineStr">
        <is>
          <t>carolina herrera perfume for women</t>
        </is>
      </c>
      <c r="B49" s="42" t="inlineStr">
        <is>
          <t>s.t. dupont perfume</t>
        </is>
      </c>
      <c r="C49" s="42" t="inlineStr">
        <is>
          <t>vilvah body wash</t>
        </is>
      </c>
      <c r="D49" s="42" t="inlineStr">
        <is>
          <t>burberry my burberry</t>
        </is>
      </c>
      <c r="E49" s="42" t="inlineStr">
        <is>
          <t>deyga rice water shampoo</t>
        </is>
      </c>
      <c r="F49" s="42" t="inlineStr">
        <is>
          <t>game of spades win</t>
        </is>
      </c>
      <c r="G49" s="42" t="inlineStr">
        <is>
          <t>nina ricci l'air du temps</t>
        </is>
      </c>
      <c r="H49" s="42" t="inlineStr">
        <is>
          <t>vilvah cucumber, curd &amp; mint soap</t>
        </is>
      </c>
      <c r="I49" s="42" t="inlineStr">
        <is>
          <t>bentley azzaro pour homme deodorant uk</t>
        </is>
      </c>
      <c r="J49" s="66" t="inlineStr">
        <is>
          <t>deyga nourished lips stick kit uk</t>
        </is>
      </c>
      <c r="K49" s="66" t="inlineStr">
        <is>
          <t>game of spades king uk</t>
        </is>
      </c>
      <c r="L49" s="66" t="inlineStr">
        <is>
          <t>marc jacobs daisy love miniature uk</t>
        </is>
      </c>
      <c r="M49" s="66" t="inlineStr">
        <is>
          <t>vilvah charcoal goatmilk soap uk</t>
        </is>
      </c>
      <c r="N49" s="66" t="inlineStr">
        <is>
          <t>ariana grande thank u, next eau de parfum</t>
        </is>
      </c>
      <c r="O49" s="66" t="inlineStr">
        <is>
          <t>game of spades blind-bid eau de parfum</t>
        </is>
      </c>
      <c r="P49" s="66" t="inlineStr">
        <is>
          <t>montale aoud damascus eau de parfum</t>
        </is>
      </c>
      <c r="Q49" s="66" t="inlineStr">
        <is>
          <t>buy al haramain l'aventure gold online</t>
        </is>
      </c>
      <c r="R49" s="66" t="inlineStr">
        <is>
          <t>buy deyga foot soak powder online</t>
        </is>
      </c>
      <c r="S49" s="66" t="inlineStr">
        <is>
          <t>buy fumeri blue online</t>
        </is>
      </c>
      <c r="T49" s="66" t="inlineStr">
        <is>
          <t>buy la maison de la wooden coffret online</t>
        </is>
      </c>
      <c r="U49" s="66" t="inlineStr">
        <is>
          <t>buy trussardi delicate rose online</t>
        </is>
      </c>
      <c r="V49" s="66" t="inlineStr">
        <is>
          <t>acqua di parma oud &amp; spice 100ml</t>
        </is>
      </c>
      <c r="W49" s="66" t="inlineStr">
        <is>
          <t>antonio banderas her secret temptation perfume review</t>
        </is>
      </c>
      <c r="X49" s="66" t="inlineStr">
        <is>
          <t>calvin klein eternity perfume</t>
        </is>
      </c>
      <c r="Y49" s="66" t="inlineStr">
        <is>
          <t>davidoff the game review</t>
        </is>
      </c>
      <c r="Z49" s="66" t="inlineStr">
        <is>
          <t>dolce &amp; gabbana l'imperatrice perfume</t>
        </is>
      </c>
      <c r="AA49" s="66" t="inlineStr">
        <is>
          <t>elie saab girl of now lovely set</t>
        </is>
      </c>
      <c r="AB49" s="66" t="inlineStr">
        <is>
          <t>game of spades king perfume</t>
        </is>
      </c>
      <c r="AC49" s="66" t="inlineStr">
        <is>
          <t>guerlain habit rouge edt</t>
        </is>
      </c>
      <c r="AD49" s="66" t="inlineStr">
        <is>
          <t>lancome idole now florale 50ml</t>
        </is>
      </c>
      <c r="AE49" s="66" t="inlineStr">
        <is>
          <t>signature paradiso eau de parfum</t>
        </is>
      </c>
      <c r="AF49" s="66" t="inlineStr">
        <is>
          <t>tiziana terenzi moro di venezia extrait de parfum 100ml</t>
        </is>
      </c>
      <c r="AG49" s="66" t="inlineStr">
        <is>
          <t>acqua di parma colonia pura price</t>
        </is>
      </c>
      <c r="AH49" s="66" t="inlineStr">
        <is>
          <t>deyga baby bath bar price</t>
        </is>
      </c>
      <c r="AI49" s="66" t="inlineStr">
        <is>
          <t>elie saab girl of now lovely gift set price</t>
        </is>
      </c>
      <c r="AJ49" s="66" t="inlineStr">
        <is>
          <t>jimmy choo miniature gift set 5x4. price</t>
        </is>
      </c>
      <c r="AK49" s="66" t="inlineStr">
        <is>
          <t>tiziana terenzi dubhe assoluto price</t>
        </is>
      </c>
      <c r="AL49" s="66" t="inlineStr">
        <is>
          <t>vilvah under eye cream (dark circles control) price</t>
        </is>
      </c>
      <c r="AM49" s="42" t="inlineStr">
        <is>
          <t>hugo boss alive uk</t>
        </is>
      </c>
      <c r="AN49" s="42" t="inlineStr">
        <is>
          <t>elie saab nuit noor uk</t>
        </is>
      </c>
      <c r="AP49" s="42" t="inlineStr">
        <is>
          <t>marc jacobs perfect perfume</t>
        </is>
      </c>
      <c r="AQ49" s="42" t="inlineStr">
        <is>
          <t>deyga rose glow serum review</t>
        </is>
      </c>
    </row>
    <row r="50" ht="15" customHeight="1" s="37">
      <c r="A50" s="42" t="inlineStr">
        <is>
          <t>chloe perfume</t>
        </is>
      </c>
      <c r="B50" s="42" t="inlineStr">
        <is>
          <t>s.t. dupont perfume for women</t>
        </is>
      </c>
      <c r="C50" s="42" t="inlineStr">
        <is>
          <t>vilvah conditioner</t>
        </is>
      </c>
      <c r="D50" s="42" t="inlineStr">
        <is>
          <t>burberry my burberry black</t>
        </is>
      </c>
      <c r="E50" s="42" t="inlineStr">
        <is>
          <t>deyga rose &amp; geranium body butter</t>
        </is>
      </c>
      <c r="F50" s="42" t="inlineStr">
        <is>
          <t>game of spades yellow sapphire</t>
        </is>
      </c>
      <c r="G50" s="42" t="inlineStr">
        <is>
          <t>nina ricci nina illusion</t>
        </is>
      </c>
      <c r="H50" s="42" t="inlineStr">
        <is>
          <t>vilvah deo shot - lavender and sage</t>
        </is>
      </c>
      <c r="I50" s="42" t="inlineStr">
        <is>
          <t>bentley azzaro the most wanted intense gift set uk</t>
        </is>
      </c>
      <c r="J50" s="66" t="inlineStr">
        <is>
          <t>deyga oat milk face wash uk</t>
        </is>
      </c>
      <c r="K50" s="66" t="inlineStr">
        <is>
          <t>game of spades moon uk</t>
        </is>
      </c>
      <c r="L50" s="66" t="inlineStr">
        <is>
          <t>marc jacobs honey uk</t>
        </is>
      </c>
      <c r="M50" s="66" t="inlineStr">
        <is>
          <t>vilvah classic goatmilk soap uk</t>
        </is>
      </c>
      <c r="N50" s="66" t="inlineStr">
        <is>
          <t>armaf hunter eau de parfum</t>
        </is>
      </c>
      <c r="O50" s="66" t="inlineStr">
        <is>
          <t>game of spades boston eau de parfum</t>
        </is>
      </c>
      <c r="P50" s="66" t="inlineStr">
        <is>
          <t>montale aoud safran eau de parfum</t>
        </is>
      </c>
      <c r="Q50" s="66" t="inlineStr">
        <is>
          <t>buy al haramain l'aventure intense online</t>
        </is>
      </c>
      <c r="R50" s="66" t="inlineStr">
        <is>
          <t>buy deyga game changer face care kit online</t>
        </is>
      </c>
      <c r="S50" s="66" t="inlineStr">
        <is>
          <t>buy fumeri elixir online</t>
        </is>
      </c>
      <c r="T50" s="66" t="inlineStr">
        <is>
          <t>buy lancome idole nectar online</t>
        </is>
      </c>
      <c r="U50" s="66" t="inlineStr">
        <is>
          <t>buy trussardi pure jasmine lifestyle mini gift set online</t>
        </is>
      </c>
      <c r="V50" s="66" t="inlineStr">
        <is>
          <t>acqua di parma oud &amp; spice eau de parfum</t>
        </is>
      </c>
      <c r="W50" s="66" t="inlineStr">
        <is>
          <t>antonio banderas her secret temptation review</t>
        </is>
      </c>
      <c r="X50" s="66" t="inlineStr">
        <is>
          <t>calvin klein mini set</t>
        </is>
      </c>
      <c r="Y50" s="66" t="inlineStr">
        <is>
          <t>deyga 10 vitamin c face serum</t>
        </is>
      </c>
      <c r="Z50" s="66" t="inlineStr">
        <is>
          <t>dolce &amp; gabbana q parfum</t>
        </is>
      </c>
      <c r="AA50" s="66" t="inlineStr">
        <is>
          <t>elie saab le parfum</t>
        </is>
      </c>
      <c r="AB50" s="66" t="inlineStr">
        <is>
          <t>game of spades king review</t>
        </is>
      </c>
      <c r="AC50" s="66" t="inlineStr">
        <is>
          <t>guerlain habit rouge parfum</t>
        </is>
      </c>
      <c r="AD50" s="66" t="inlineStr">
        <is>
          <t>lancome idole now florale edp 100ml</t>
        </is>
      </c>
      <c r="AE50" s="66" t="inlineStr">
        <is>
          <t>signature paradiso edt</t>
        </is>
      </c>
      <c r="AF50" s="66" t="inlineStr">
        <is>
          <t>tiziana terenzi moro di venezia notes</t>
        </is>
      </c>
      <c r="AG50" s="66" t="inlineStr">
        <is>
          <t>acqua di parma holiday discovery set price</t>
        </is>
      </c>
      <c r="AH50" s="66" t="inlineStr">
        <is>
          <t>deyga beautifying serum price</t>
        </is>
      </c>
      <c r="AI50" s="66" t="inlineStr">
        <is>
          <t>elie saab la collection des essences no. 1 rose price</t>
        </is>
      </c>
      <c r="AJ50" s="66" t="inlineStr">
        <is>
          <t>jo milano game of spades queen for price</t>
        </is>
      </c>
      <c r="AK50" s="66" t="inlineStr">
        <is>
          <t>tiziana terenzi ecstasy price</t>
        </is>
      </c>
      <c r="AL50" s="66" t="inlineStr">
        <is>
          <t>vilvah wild rose facemask price</t>
        </is>
      </c>
      <c r="AM50" s="42" t="inlineStr">
        <is>
          <t>acqua di parma zafferano edp</t>
        </is>
      </c>
      <c r="AN50" s="42" t="inlineStr">
        <is>
          <t>game of spades opal eau de parfum</t>
        </is>
      </c>
      <c r="AP50" s="42" t="inlineStr">
        <is>
          <t>calvin klein eternity for men</t>
        </is>
      </c>
      <c r="AQ50" s="42" t="inlineStr">
        <is>
          <t>deyga vitamin c foaming face wash review</t>
        </is>
      </c>
    </row>
    <row r="51" ht="15" customHeight="1" s="37">
      <c r="A51" s="42" t="inlineStr">
        <is>
          <t>chloe perfume for women</t>
        </is>
      </c>
      <c r="B51" s="42" t="inlineStr">
        <is>
          <t>sap perfume</t>
        </is>
      </c>
      <c r="C51" s="42" t="inlineStr">
        <is>
          <t>vilvah face mask</t>
        </is>
      </c>
      <c r="D51" s="42" t="inlineStr">
        <is>
          <t>bvlgari man glacial essence gift set</t>
        </is>
      </c>
      <c r="E51" s="42" t="inlineStr">
        <is>
          <t>deyga rose &amp; mulethi skin brightening pack</t>
        </is>
      </c>
      <c r="F51" s="42" t="inlineStr">
        <is>
          <t>giorgia armani giorgio armani code refillable</t>
        </is>
      </c>
      <c r="G51" s="42" t="inlineStr">
        <is>
          <t>nina ricci nina precious gold</t>
        </is>
      </c>
      <c r="H51" s="42" t="inlineStr">
        <is>
          <t>vilvah deo shot - rose and vanilla</t>
        </is>
      </c>
      <c r="I51" s="42" t="inlineStr">
        <is>
          <t>bentley azzaro the most wanted uk</t>
        </is>
      </c>
      <c r="J51" s="66" t="inlineStr">
        <is>
          <t>deyga orange &amp; almond face pack powder uk</t>
        </is>
      </c>
      <c r="K51" s="66" t="inlineStr">
        <is>
          <t>game of spades opal uk</t>
        </is>
      </c>
      <c r="L51" s="66" t="inlineStr">
        <is>
          <t>marc jacobs miniature gift set 2025 uk</t>
        </is>
      </c>
      <c r="M51" s="66" t="inlineStr">
        <is>
          <t>vilvah classic rose goatmilk soap uk</t>
        </is>
      </c>
      <c r="N51" s="66" t="inlineStr">
        <is>
          <t>bentley absolute eau de parfum</t>
        </is>
      </c>
      <c r="O51" s="66" t="inlineStr">
        <is>
          <t>game of spades diamond eau de parfum</t>
        </is>
      </c>
      <c r="P51" s="66" t="inlineStr">
        <is>
          <t>nina ricci l'air du temps eau de toilette</t>
        </is>
      </c>
      <c r="Q51" s="66" t="inlineStr">
        <is>
          <t>buy al haramain l'aventure online</t>
        </is>
      </c>
      <c r="R51" s="66" t="inlineStr">
        <is>
          <t>buy deyga hair care kit online</t>
        </is>
      </c>
      <c r="S51" s="66" t="inlineStr">
        <is>
          <t>buy fumeri flirt online</t>
        </is>
      </c>
      <c r="T51" s="66" t="inlineStr">
        <is>
          <t>buy lancome idole now florale online</t>
        </is>
      </c>
      <c r="U51" s="66" t="inlineStr">
        <is>
          <t>buy trussardi pure jasmine miniature online</t>
        </is>
      </c>
      <c r="V51" s="66" t="inlineStr">
        <is>
          <t>acqua di parma oud &amp; spice review</t>
        </is>
      </c>
      <c r="W51" s="66" t="inlineStr">
        <is>
          <t>antonio banderas her secret temptation women</t>
        </is>
      </c>
      <c r="X51" s="66" t="inlineStr">
        <is>
          <t>calvin klein mini set perfume</t>
        </is>
      </c>
      <c r="Y51" s="66" t="inlineStr">
        <is>
          <t>deyga 100 plant based hair color black</t>
        </is>
      </c>
      <c r="Z51" s="66" t="inlineStr">
        <is>
          <t>dolce &amp; gabbana q perfume</t>
        </is>
      </c>
      <c r="AA51" s="66" t="inlineStr">
        <is>
          <t>elie saab le parfum bridal 30ml</t>
        </is>
      </c>
      <c r="AB51" s="66" t="inlineStr">
        <is>
          <t>game of spades moon dupe of</t>
        </is>
      </c>
      <c r="AC51" s="66" t="inlineStr">
        <is>
          <t>guerlain habit rouge parfum 100ml</t>
        </is>
      </c>
      <c r="AD51" s="66" t="inlineStr">
        <is>
          <t>lancome idole now florale perfume</t>
        </is>
      </c>
      <c r="AE51" s="66" t="inlineStr">
        <is>
          <t>signature paradiso parfum</t>
        </is>
      </c>
      <c r="AF51" s="66" t="inlineStr">
        <is>
          <t>tiziana terenzi moro di venezia perfume</t>
        </is>
      </c>
      <c r="AG51" s="66" t="inlineStr">
        <is>
          <t>acqua di parma oud &amp; spice price</t>
        </is>
      </c>
      <c r="AH51" s="66" t="inlineStr">
        <is>
          <t>deyga beetroot lip balm classic price</t>
        </is>
      </c>
      <c r="AI51" s="66" t="inlineStr">
        <is>
          <t>elie saab la collection des essences no. 4 oud price</t>
        </is>
      </c>
      <c r="AJ51" s="66" t="inlineStr">
        <is>
          <t>jo milano game of spades wildcard for parfum , 3.4 ounce price</t>
        </is>
      </c>
      <c r="AK51" s="66" t="inlineStr">
        <is>
          <t>tiziana terenzi gold rose oudh price</t>
        </is>
      </c>
      <c r="AL51" s="66" t="inlineStr">
        <is>
          <t>vilvah x annapoorna gift box price</t>
        </is>
      </c>
      <c r="AM51" s="42" t="inlineStr">
        <is>
          <t>tiziana terenzi kirke extrait de parfum</t>
        </is>
      </c>
      <c r="AN51" s="42" t="inlineStr">
        <is>
          <t>game of spades opal uk</t>
        </is>
      </c>
      <c r="AP51" s="42" t="inlineStr">
        <is>
          <t>calvin klein eternity for women</t>
        </is>
      </c>
      <c r="AQ51" s="42" t="inlineStr">
        <is>
          <t>deyga wild berry body wash review</t>
        </is>
      </c>
    </row>
    <row r="52" ht="15" customHeight="1" s="37">
      <c r="A52" s="42" t="inlineStr">
        <is>
          <t>chopard perfume</t>
        </is>
      </c>
      <c r="B52" s="42" t="inlineStr">
        <is>
          <t>serge lutens perfume</t>
        </is>
      </c>
      <c r="C52" s="42" t="inlineStr">
        <is>
          <t>vilvah face serum</t>
        </is>
      </c>
      <c r="D52" s="42" t="inlineStr">
        <is>
          <t>bvlgari man in black</t>
        </is>
      </c>
      <c r="E52" s="42" t="inlineStr">
        <is>
          <t>deyga rose glow serum</t>
        </is>
      </c>
      <c r="F52" s="42" t="inlineStr">
        <is>
          <t>giorgio armani code refillable</t>
        </is>
      </c>
      <c r="G52" s="42" t="inlineStr">
        <is>
          <t>paloma picasso</t>
        </is>
      </c>
      <c r="H52" s="42" t="inlineStr">
        <is>
          <t>vilvah everyday care milk kit</t>
        </is>
      </c>
      <c r="I52" s="42" t="inlineStr">
        <is>
          <t>bentley become uk</t>
        </is>
      </c>
      <c r="J52" s="66" t="inlineStr">
        <is>
          <t>deyga organic loofah for body exfoliation uk</t>
        </is>
      </c>
      <c r="K52" s="66" t="inlineStr">
        <is>
          <t>game of spades rouge extrait uk</t>
        </is>
      </c>
      <c r="L52" s="66" t="inlineStr">
        <is>
          <t>marc jacobs perfect elixir miniature uk</t>
        </is>
      </c>
      <c r="M52" s="66" t="inlineStr">
        <is>
          <t>vilvah cookie n cream body mask uk</t>
        </is>
      </c>
      <c r="N52" s="66" t="inlineStr">
        <is>
          <t>bentley azure eau de toilette</t>
        </is>
      </c>
      <c r="O52" s="66" t="inlineStr">
        <is>
          <t>game of spades full house eau de parfum</t>
        </is>
      </c>
      <c r="P52" s="66" t="inlineStr">
        <is>
          <t>nina ricci nina illusion eau de parfum</t>
        </is>
      </c>
      <c r="Q52" s="66" t="inlineStr">
        <is>
          <t>buy anatome balance online</t>
        </is>
      </c>
      <c r="R52" s="66" t="inlineStr">
        <is>
          <t>buy deyga hair growth oil online</t>
        </is>
      </c>
      <c r="S52" s="66" t="inlineStr">
        <is>
          <t>buy fumeri gabriella online</t>
        </is>
      </c>
      <c r="T52" s="66" t="inlineStr">
        <is>
          <t>buy maison de milan amalfi bleu online</t>
        </is>
      </c>
      <c r="U52" s="66" t="inlineStr">
        <is>
          <t>buy trussardi pure jasmine online</t>
        </is>
      </c>
      <c r="V52" s="66" t="inlineStr">
        <is>
          <t>acqua di parma oud spice 180ml</t>
        </is>
      </c>
      <c r="W52" s="66" t="inlineStr">
        <is>
          <t>antonio banderas power of seduction 200ml</t>
        </is>
      </c>
      <c r="X52" s="66" t="inlineStr">
        <is>
          <t>calvin klein mini set women</t>
        </is>
      </c>
      <c r="Y52" s="66" t="inlineStr">
        <is>
          <t>deyga 100 pure aloe vera gel</t>
        </is>
      </c>
      <c r="Z52" s="66" t="inlineStr">
        <is>
          <t>dolce &amp; gabbana the one edp</t>
        </is>
      </c>
      <c r="AA52" s="66" t="inlineStr">
        <is>
          <t>elie saab le parfum bridal 90ml</t>
        </is>
      </c>
      <c r="AB52" s="66" t="inlineStr">
        <is>
          <t>game of spades moon notes</t>
        </is>
      </c>
      <c r="AC52" s="66" t="inlineStr">
        <is>
          <t>guerlain l'instant de guerlain edp</t>
        </is>
      </c>
      <c r="AD52" s="66" t="inlineStr">
        <is>
          <t>maison de milan invincible 100ml</t>
        </is>
      </c>
      <c r="AE52" s="66" t="inlineStr">
        <is>
          <t>signature paradiso perfume</t>
        </is>
      </c>
      <c r="AF52" s="66" t="inlineStr">
        <is>
          <t>tiziana terenzi orion notes</t>
        </is>
      </c>
      <c r="AG52" s="66" t="inlineStr">
        <is>
          <t>acqua di parma rosa nobile price</t>
        </is>
      </c>
      <c r="AH52" s="66" t="inlineStr">
        <is>
          <t>deyga beetroot lip balm stick price</t>
        </is>
      </c>
      <c r="AI52" s="66" t="inlineStr">
        <is>
          <t>elie saab le parfum bridal price</t>
        </is>
      </c>
      <c r="AJ52" s="66" t="inlineStr">
        <is>
          <t>john varvatos artisan price</t>
        </is>
      </c>
      <c r="AK52" s="66" t="inlineStr">
        <is>
          <t>tiziana terenzi gumin price</t>
        </is>
      </c>
      <c r="AL52" s="66" t="inlineStr">
        <is>
          <t>ysl yves saint laurent yvresse w price</t>
        </is>
      </c>
      <c r="AM52" s="42" t="inlineStr">
        <is>
          <t>tiziana terenzi kirke uk</t>
        </is>
      </c>
      <c r="AN52" s="42" t="inlineStr">
        <is>
          <t>game of spades rouge eau de parfum</t>
        </is>
      </c>
      <c r="AP52" s="42" t="inlineStr">
        <is>
          <t>gucci flora gorgeous gardenia dupe</t>
        </is>
      </c>
      <c r="AQ52" s="42" t="inlineStr">
        <is>
          <t>deyga neem seed oil review</t>
        </is>
      </c>
    </row>
    <row r="53" ht="15" customHeight="1" s="37">
      <c r="A53" s="42" t="inlineStr">
        <is>
          <t>chopard perfume for men</t>
        </is>
      </c>
      <c r="B53" s="42" t="inlineStr">
        <is>
          <t>shiseido perfume</t>
        </is>
      </c>
      <c r="C53" s="42" t="inlineStr">
        <is>
          <t>vilvah face wash</t>
        </is>
      </c>
      <c r="D53" s="42" t="inlineStr">
        <is>
          <t>bvlgari man rain essence gift set</t>
        </is>
      </c>
      <c r="E53" s="42" t="inlineStr">
        <is>
          <t>deyga rose pink clay bath bar</t>
        </is>
      </c>
      <c r="F53" s="42" t="inlineStr">
        <is>
          <t>givenchy amarige</t>
        </is>
      </c>
      <c r="G53" s="42" t="inlineStr">
        <is>
          <t>philipp plein no limits after shave balm</t>
        </is>
      </c>
      <c r="H53" s="42" t="inlineStr">
        <is>
          <t>vilvah face brightening kit</t>
        </is>
      </c>
      <c r="I53" s="42" t="inlineStr">
        <is>
          <t>bentley infinite uk</t>
        </is>
      </c>
      <c r="J53" s="66" t="inlineStr">
        <is>
          <t>deyga plant based hair color – black uk</t>
        </is>
      </c>
      <c r="K53" s="66" t="inlineStr">
        <is>
          <t>game of spades rouge uk</t>
        </is>
      </c>
      <c r="L53" s="66" t="inlineStr">
        <is>
          <t>marc jacobs perfect miniature uk</t>
        </is>
      </c>
      <c r="M53" s="66" t="inlineStr">
        <is>
          <t>vilvah cookie n cream body polish uk</t>
        </is>
      </c>
      <c r="N53" s="66" t="inlineStr">
        <is>
          <t>bentley azzaro chrome legend eau de toilette</t>
        </is>
      </c>
      <c r="O53" s="66" t="inlineStr">
        <is>
          <t>game of spades high roller eau de parfum</t>
        </is>
      </c>
      <c r="P53" s="66" t="inlineStr">
        <is>
          <t>nina ricci nina precious gold eau de parfum</t>
        </is>
      </c>
      <c r="Q53" s="66" t="inlineStr">
        <is>
          <t>buy anatome energy online</t>
        </is>
      </c>
      <c r="R53" s="66" t="inlineStr">
        <is>
          <t>buy deyga hair nourishment kit online</t>
        </is>
      </c>
      <c r="S53" s="66" t="inlineStr">
        <is>
          <t>buy fumeri gris online</t>
        </is>
      </c>
      <c r="T53" s="66" t="inlineStr">
        <is>
          <t>buy maison de milan bliss rouge online</t>
        </is>
      </c>
      <c r="U53" s="66" t="inlineStr">
        <is>
          <t>buy trussardi ruby red gift set online</t>
        </is>
      </c>
      <c r="V53" s="66" t="inlineStr">
        <is>
          <t>acqua di parma oud spice 50ml</t>
        </is>
      </c>
      <c r="W53" s="66" t="inlineStr">
        <is>
          <t>antonio banderas power of seduction edt</t>
        </is>
      </c>
      <c r="X53" s="66" t="inlineStr">
        <is>
          <t>calvin klein miniature perfume set</t>
        </is>
      </c>
      <c r="Y53" s="66" t="inlineStr">
        <is>
          <t>deyga aloe vera gel review</t>
        </is>
      </c>
      <c r="Z53" s="66" t="inlineStr">
        <is>
          <t>dolce &amp; gabbana the one for men</t>
        </is>
      </c>
      <c r="AA53" s="66" t="inlineStr">
        <is>
          <t>elie saab le parfum bridal edp</t>
        </is>
      </c>
      <c r="AB53" s="66" t="inlineStr">
        <is>
          <t>game of spades moon perfume</t>
        </is>
      </c>
      <c r="AC53" s="66" t="inlineStr">
        <is>
          <t>guerlain l'instant de guerlain edt</t>
        </is>
      </c>
      <c r="AD53" s="66" t="inlineStr">
        <is>
          <t>mancera black noir edp</t>
        </is>
      </c>
      <c r="AE53" s="66" t="inlineStr">
        <is>
          <t>signature paradiso отзывы</t>
        </is>
      </c>
      <c r="AF53" s="66" t="inlineStr">
        <is>
          <t>tiziana terenzi orion review</t>
        </is>
      </c>
      <c r="AG53" s="66" t="inlineStr">
        <is>
          <t>acqua di parma sakura price</t>
        </is>
      </c>
      <c r="AH53" s="66" t="inlineStr">
        <is>
          <t>deyga best selling face care kit price</t>
        </is>
      </c>
      <c r="AI53" s="66" t="inlineStr">
        <is>
          <t>elie saab le parfum gift set price</t>
        </is>
      </c>
      <c r="AJ53" s="66" t="inlineStr">
        <is>
          <t>joop! homme le price</t>
        </is>
      </c>
      <c r="AK53" s="66" t="inlineStr">
        <is>
          <t>tiziana terenzi kaff price</t>
        </is>
      </c>
      <c r="AM53" s="42" t="inlineStr">
        <is>
          <t>al haramain amber oud gold edition eau de parfum</t>
        </is>
      </c>
      <c r="AN53" s="42" t="inlineStr">
        <is>
          <t>game of spades rouge uk</t>
        </is>
      </c>
      <c r="AP53" s="42" t="inlineStr">
        <is>
          <t>gucci flora gorgeous gardenia notes</t>
        </is>
      </c>
      <c r="AQ53" s="42" t="inlineStr">
        <is>
          <t>deyga under eye mask review</t>
        </is>
      </c>
    </row>
    <row r="54" ht="15" customHeight="1" s="37">
      <c r="A54" s="42" t="inlineStr">
        <is>
          <t>chopard perfume for women</t>
        </is>
      </c>
      <c r="B54" s="42" t="inlineStr">
        <is>
          <t>shiseido perfume for women</t>
        </is>
      </c>
      <c r="C54" s="42" t="inlineStr">
        <is>
          <t>vilvah hair accessories</t>
        </is>
      </c>
      <c r="D54" s="42" t="inlineStr">
        <is>
          <t>bvlgari man terrae essence gift set</t>
        </is>
      </c>
      <c r="E54" s="42" t="inlineStr">
        <is>
          <t>deyga sensitive skin kit</t>
        </is>
      </c>
      <c r="F54" s="42" t="inlineStr">
        <is>
          <t>givenchy gentleman originale</t>
        </is>
      </c>
      <c r="G54" s="42" t="inlineStr">
        <is>
          <t>philipp plein no limits deodorant stick</t>
        </is>
      </c>
      <c r="H54" s="42" t="inlineStr">
        <is>
          <t>vilvah face brightening kit large</t>
        </is>
      </c>
      <c r="I54" s="42" t="inlineStr">
        <is>
          <t>bentley momentum unlimited uk</t>
        </is>
      </c>
      <c r="J54" s="66" t="inlineStr">
        <is>
          <t>deyga premature greying hair oil uk</t>
        </is>
      </c>
      <c r="K54" s="66" t="inlineStr">
        <is>
          <t>game of spades royale uk</t>
        </is>
      </c>
      <c r="L54" s="66" t="inlineStr">
        <is>
          <t>marc jacobs perfect uk</t>
        </is>
      </c>
      <c r="M54" s="66" t="inlineStr">
        <is>
          <t>vilvah cream bun lip balm uk</t>
        </is>
      </c>
      <c r="N54" s="66" t="inlineStr">
        <is>
          <t>bentley azzaro the most wanted parfum</t>
        </is>
      </c>
      <c r="O54" s="66" t="inlineStr">
        <is>
          <t>game of spades jackpot eau de parfum</t>
        </is>
      </c>
      <c r="P54" s="66" t="inlineStr">
        <is>
          <t>paloma picasso eau de toilette</t>
        </is>
      </c>
      <c r="Q54" s="66" t="inlineStr">
        <is>
          <t>buy anatome expression online</t>
        </is>
      </c>
      <c r="R54" s="66" t="inlineStr">
        <is>
          <t>buy deyga hair removal powder online</t>
        </is>
      </c>
      <c r="S54" s="66" t="inlineStr">
        <is>
          <t>buy fumeri orchid noir online</t>
        </is>
      </c>
      <c r="T54" s="66" t="inlineStr">
        <is>
          <t>buy maison de milan brave lad online</t>
        </is>
      </c>
      <c r="U54" s="66" t="inlineStr">
        <is>
          <t>buy viktor &amp; rolf good fortune miniature online</t>
        </is>
      </c>
      <c r="V54" s="66" t="inlineStr">
        <is>
          <t>acqua di parma rosa nobile 100ml</t>
        </is>
      </c>
      <c r="W54" s="66" t="inlineStr">
        <is>
          <t>antonio banderas power of seduction notes</t>
        </is>
      </c>
      <c r="X54" s="66" t="inlineStr">
        <is>
          <t>calvin klein miniature set for men</t>
        </is>
      </c>
      <c r="Y54" s="66" t="inlineStr">
        <is>
          <t>deyga anti dandruff oil</t>
        </is>
      </c>
      <c r="Z54" s="66" t="inlineStr">
        <is>
          <t>dolce &amp; gabbana the one for men eau de parfum</t>
        </is>
      </c>
      <c r="AA54" s="66" t="inlineStr">
        <is>
          <t>elie saab le parfum bridal notes</t>
        </is>
      </c>
      <c r="AB54" s="66" t="inlineStr">
        <is>
          <t>game of spades moon review</t>
        </is>
      </c>
      <c r="AC54" s="66" t="inlineStr">
        <is>
          <t>guerlain la petite robe noire ma robe cocktail edt</t>
        </is>
      </c>
      <c r="AD54" s="66" t="inlineStr">
        <is>
          <t>mancera black noir edp 120ml</t>
        </is>
      </c>
      <c r="AE54" s="66" t="inlineStr">
        <is>
          <t>signature parfum discovery set</t>
        </is>
      </c>
      <c r="AF54" s="66" t="inlineStr">
        <is>
          <t>tiziana terenzi porpora extrait</t>
        </is>
      </c>
      <c r="AG54" s="66" t="inlineStr">
        <is>
          <t>acqua di parma sandalo price</t>
        </is>
      </c>
      <c r="AH54" s="66" t="inlineStr">
        <is>
          <t>deyga body scrub price</t>
        </is>
      </c>
      <c r="AI54" s="66" t="inlineStr">
        <is>
          <t>elie saab le parfum intense price</t>
        </is>
      </c>
      <c r="AJ54" s="66" t="inlineStr">
        <is>
          <t>joop! homme price</t>
        </is>
      </c>
      <c r="AK54" s="66" t="inlineStr">
        <is>
          <t>tiziana terenzi kirke price</t>
        </is>
      </c>
      <c r="AM54" s="42" t="inlineStr">
        <is>
          <t>chopard oud malaki eau de parfum</t>
        </is>
      </c>
      <c r="AN54" s="42" t="inlineStr">
        <is>
          <t>natural body wash</t>
        </is>
      </c>
      <c r="AP54" s="42" t="inlineStr">
        <is>
          <t>chloe nomade notes</t>
        </is>
      </c>
      <c r="AQ54" s="42" t="inlineStr">
        <is>
          <t>deyga foot scrub how to use</t>
        </is>
      </c>
    </row>
    <row r="55" ht="15" customHeight="1" s="37">
      <c r="A55" s="42" t="inlineStr">
        <is>
          <t>chris adams perfume</t>
        </is>
      </c>
      <c r="B55" s="42" t="inlineStr">
        <is>
          <t>signature d'orient perfume</t>
        </is>
      </c>
      <c r="C55" s="42" t="inlineStr">
        <is>
          <t>vilvah hair mask</t>
        </is>
      </c>
      <c r="D55" s="42" t="inlineStr">
        <is>
          <t>bvlgari man wood essence gift set</t>
        </is>
      </c>
      <c r="E55" s="42" t="inlineStr">
        <is>
          <t>deyga shea saffron bath bar</t>
        </is>
      </c>
      <c r="F55" s="42" t="inlineStr">
        <is>
          <t>gucci bloom gift set</t>
        </is>
      </c>
      <c r="G55" s="42" t="inlineStr">
        <is>
          <t>philipp plein no limits super fresh</t>
        </is>
      </c>
      <c r="H55" s="42" t="inlineStr">
        <is>
          <t>vilvah face lift kit</t>
        </is>
      </c>
      <c r="I55" s="42" t="inlineStr">
        <is>
          <t>bentley silverlake uk</t>
        </is>
      </c>
      <c r="J55" s="66" t="inlineStr">
        <is>
          <t>deyga pure aloe vera gel uk</t>
        </is>
      </c>
      <c r="K55" s="66" t="inlineStr">
        <is>
          <t>game of spades ruby uk</t>
        </is>
      </c>
      <c r="L55" s="66" t="inlineStr">
        <is>
          <t>montale aoud damascus uk</t>
        </is>
      </c>
      <c r="M55" s="66" t="inlineStr">
        <is>
          <t>vilvah cream conditioner uk</t>
        </is>
      </c>
      <c r="N55" s="66" t="inlineStr">
        <is>
          <t>bentley become eau de parfum</t>
        </is>
      </c>
      <c r="O55" s="66" t="inlineStr">
        <is>
          <t>game of spades king eau de parfum</t>
        </is>
      </c>
      <c r="P55" s="66" t="inlineStr">
        <is>
          <t>philipp plein no limits super fresh eau de toilette</t>
        </is>
      </c>
      <c r="Q55" s="66" t="inlineStr">
        <is>
          <t>buy anatome focus online</t>
        </is>
      </c>
      <c r="R55" s="66" t="inlineStr">
        <is>
          <t>buy deyga hair strengthening kit online</t>
        </is>
      </c>
      <c r="S55" s="66" t="inlineStr">
        <is>
          <t>buy fumeri orpheon online</t>
        </is>
      </c>
      <c r="T55" s="66" t="inlineStr">
        <is>
          <t>buy maison de milan delight pour femme online</t>
        </is>
      </c>
      <c r="U55" s="66" t="inlineStr">
        <is>
          <t>buy vilvah aloe vera gel online</t>
        </is>
      </c>
      <c r="V55" s="66" t="inlineStr">
        <is>
          <t>acqua di parma rosa nobile dupe</t>
        </is>
      </c>
      <c r="W55" s="66" t="inlineStr">
        <is>
          <t>antonio banderas power of seduction perfume</t>
        </is>
      </c>
      <c r="X55" s="66" t="inlineStr">
        <is>
          <t>calvin klein perfume eternity mini</t>
        </is>
      </c>
      <c r="Y55" s="66" t="inlineStr">
        <is>
          <t>deyga anti dandruff oil review</t>
        </is>
      </c>
      <c r="Z55" s="66" t="inlineStr">
        <is>
          <t>dolce &amp; gabbana the one for men edp</t>
        </is>
      </c>
      <c r="AA55" s="66" t="inlineStr">
        <is>
          <t>elie saab le parfum bridal review</t>
        </is>
      </c>
      <c r="AB55" s="66" t="inlineStr">
        <is>
          <t>game of spades opal dupe of</t>
        </is>
      </c>
      <c r="AC55" s="66" t="inlineStr">
        <is>
          <t>guerlain la petite robe noire ma robe cocktail отзывы</t>
        </is>
      </c>
      <c r="AD55" s="66" t="inlineStr">
        <is>
          <t>mancera black noir notes</t>
        </is>
      </c>
      <c r="AE55" s="66" t="inlineStr">
        <is>
          <t>signature pour homme black</t>
        </is>
      </c>
      <c r="AF55" s="66" t="inlineStr">
        <is>
          <t>tiziana terenzi porpora extrait de parfum 100ml</t>
        </is>
      </c>
      <c r="AG55" s="66" t="inlineStr">
        <is>
          <t>acqua di parma zafferano price</t>
        </is>
      </c>
      <c r="AH55" s="66" t="inlineStr">
        <is>
          <t>deyga charcoal bath bar price</t>
        </is>
      </c>
      <c r="AI55" s="66" t="inlineStr">
        <is>
          <t>elie saab le parfum lumiere gift set price</t>
        </is>
      </c>
      <c r="AJ55" s="66" t="inlineStr">
        <is>
          <t>juicy couture viva la juicy rose price</t>
        </is>
      </c>
      <c r="AK55" s="66" t="inlineStr">
        <is>
          <t>tiziana terenzi leo price</t>
        </is>
      </c>
      <c r="AM55" s="42" t="inlineStr">
        <is>
          <t>givenchy amarige eau de toilette</t>
        </is>
      </c>
      <c r="AN55" s="42" t="inlineStr">
        <is>
          <t>natural deodorant</t>
        </is>
      </c>
      <c r="AP55" s="42" t="inlineStr">
        <is>
          <t>chloe nomade perfume</t>
        </is>
      </c>
      <c r="AQ55" s="42" t="inlineStr">
        <is>
          <t>deyga eyebrow growth oil review</t>
        </is>
      </c>
    </row>
    <row r="56" ht="15" customHeight="1" s="37">
      <c r="A56" s="42" t="inlineStr">
        <is>
          <t>chris adams perfume for men</t>
        </is>
      </c>
      <c r="B56" s="42" t="inlineStr">
        <is>
          <t>signature d'orient perfume for men</t>
        </is>
      </c>
      <c r="C56" s="42" t="inlineStr">
        <is>
          <t>vilvah hair oil</t>
        </is>
      </c>
      <c r="D56" s="42" t="inlineStr">
        <is>
          <t>bvlgari omnia amethyste</t>
        </is>
      </c>
      <c r="E56" s="42" t="inlineStr">
        <is>
          <t>deyga soft lip combo</t>
        </is>
      </c>
      <c r="F56" s="42" t="inlineStr">
        <is>
          <t>gucci bloom miniature</t>
        </is>
      </c>
      <c r="G56" s="42" t="inlineStr">
        <is>
          <t>rihanah ajwaa oud</t>
        </is>
      </c>
      <c r="H56" s="42" t="inlineStr">
        <is>
          <t>vilvah filter kaapi lip balm</t>
        </is>
      </c>
      <c r="I56" s="42" t="inlineStr">
        <is>
          <t>burberry miniature set uk</t>
        </is>
      </c>
      <c r="J56" s="66" t="inlineStr">
        <is>
          <t>deyga pure rose water toner uk</t>
        </is>
      </c>
      <c r="K56" s="66" t="inlineStr">
        <is>
          <t>game of spades wildcard uk</t>
        </is>
      </c>
      <c r="L56" s="66" t="inlineStr">
        <is>
          <t>montale aoud safran uk</t>
        </is>
      </c>
      <c r="M56" s="66" t="inlineStr">
        <is>
          <t>vilvah cream face wash (fragrance free) uk</t>
        </is>
      </c>
      <c r="N56" s="66" t="inlineStr">
        <is>
          <t>bentley infinite eau de toilette</t>
        </is>
      </c>
      <c r="O56" s="66" t="inlineStr">
        <is>
          <t>game of spades moon eau de parfum</t>
        </is>
      </c>
      <c r="P56" s="66" t="inlineStr">
        <is>
          <t>rihanah ajwaa oud eau de parfum</t>
        </is>
      </c>
      <c r="Q56" s="66" t="inlineStr">
        <is>
          <t>buy anatome support online</t>
        </is>
      </c>
      <c r="R56" s="66" t="inlineStr">
        <is>
          <t>buy deyga healthy glow kit online</t>
        </is>
      </c>
      <c r="S56" s="66" t="inlineStr">
        <is>
          <t>buy fumeri oud saffron online</t>
        </is>
      </c>
      <c r="T56" s="66" t="inlineStr">
        <is>
          <t>buy maison de milan elegance pour femme online</t>
        </is>
      </c>
      <c r="U56" s="66" t="inlineStr">
        <is>
          <t>buy vilvah am brightening kit online</t>
        </is>
      </c>
      <c r="V56" s="66" t="inlineStr">
        <is>
          <t>acqua di parma rosa nobile eau de parfum</t>
        </is>
      </c>
      <c r="W56" s="66" t="inlineStr">
        <is>
          <t>antonio banderas power of seduction review</t>
        </is>
      </c>
      <c r="X56" s="66" t="inlineStr">
        <is>
          <t>carolina herrera 212 vip men edt</t>
        </is>
      </c>
      <c r="Y56" s="66" t="inlineStr">
        <is>
          <t>deyga anti dandruff shampoo review</t>
        </is>
      </c>
      <c r="Z56" s="66" t="inlineStr">
        <is>
          <t>dolce &amp; gabbana the one for women eau de parfum gift set 75ml</t>
        </is>
      </c>
      <c r="AA56" s="66" t="inlineStr">
        <is>
          <t>elie saab le parfum eau de parfum</t>
        </is>
      </c>
      <c r="AB56" s="66" t="inlineStr">
        <is>
          <t>game of spades opal notes</t>
        </is>
      </c>
      <c r="AC56" s="66" t="inlineStr">
        <is>
          <t>guerlain la petite robe noire review</t>
        </is>
      </c>
      <c r="AD56" s="66" t="inlineStr">
        <is>
          <t>mancera black noir review</t>
        </is>
      </c>
      <c r="AE56" s="66" t="inlineStr">
        <is>
          <t>signature rose perfume</t>
        </is>
      </c>
      <c r="AF56" s="66" t="inlineStr">
        <is>
          <t>tiziana terenzi porpora notes</t>
        </is>
      </c>
      <c r="AG56" s="66" t="inlineStr">
        <is>
          <t>al haramain amber musk price</t>
        </is>
      </c>
      <c r="AH56" s="66" t="inlineStr">
        <is>
          <t>deyga charcoal detox face mask price</t>
        </is>
      </c>
      <c r="AI56" s="66" t="inlineStr">
        <is>
          <t>elie saab le price</t>
        </is>
      </c>
      <c r="AJ56" s="66" t="inlineStr">
        <is>
          <t>kenneth cole moonlight blue price</t>
        </is>
      </c>
      <c r="AK56" s="66" t="inlineStr">
        <is>
          <t>tiziana terenzi moro di venezia price</t>
        </is>
      </c>
      <c r="AM56" s="42" t="inlineStr">
        <is>
          <t>givenchy amarige uk</t>
        </is>
      </c>
      <c r="AN56" s="42" t="inlineStr">
        <is>
          <t>natural sunscreen</t>
        </is>
      </c>
      <c r="AP56" s="42" t="inlineStr">
        <is>
          <t>paloma picasso perfume</t>
        </is>
      </c>
      <c r="AQ56" s="42" t="inlineStr">
        <is>
          <t>deyga sunscreen review</t>
        </is>
      </c>
    </row>
    <row r="57" ht="15" customHeight="1" s="37">
      <c r="A57" s="42" t="inlineStr">
        <is>
          <t>chypre perfume for women uk</t>
        </is>
      </c>
      <c r="B57" s="42" t="inlineStr">
        <is>
          <t>signature d'orient perfume for women</t>
        </is>
      </c>
      <c r="C57" s="42" t="inlineStr">
        <is>
          <t>vilvah hair serum</t>
        </is>
      </c>
      <c r="D57" s="42" t="inlineStr">
        <is>
          <t>bvlgari rose goldea blossom delight gift set</t>
        </is>
      </c>
      <c r="E57" s="42" t="inlineStr">
        <is>
          <t>deyga soy milk conditioner</t>
        </is>
      </c>
      <c r="F57" s="42" t="inlineStr">
        <is>
          <t>gucci bloom parfum miniature</t>
        </is>
      </c>
      <c r="G57" s="42" t="inlineStr">
        <is>
          <t>roll it 1</t>
        </is>
      </c>
      <c r="H57" s="42" t="inlineStr">
        <is>
          <t>vilvah foot cream</t>
        </is>
      </c>
      <c r="I57" s="42" t="inlineStr">
        <is>
          <t>burberry my burberry black uk</t>
        </is>
      </c>
      <c r="J57" s="66" t="inlineStr">
        <is>
          <t>deyga rice water shampoo uk</t>
        </is>
      </c>
      <c r="K57" s="66" t="inlineStr">
        <is>
          <t>game of spades win uk</t>
        </is>
      </c>
      <c r="L57" s="66" t="inlineStr">
        <is>
          <t>nina ricci l'air du temps uk</t>
        </is>
      </c>
      <c r="M57" s="66" t="inlineStr">
        <is>
          <t>vilvah cucumber, curd &amp; mint soap uk</t>
        </is>
      </c>
      <c r="N57" s="66" t="inlineStr">
        <is>
          <t>bentley momentum unlimited eau de toilette</t>
        </is>
      </c>
      <c r="O57" s="66" t="inlineStr">
        <is>
          <t>game of spades opal eau de parfum</t>
        </is>
      </c>
      <c r="P57" s="66" t="inlineStr">
        <is>
          <t>roll it 1 eau de parfum</t>
        </is>
      </c>
      <c r="Q57" s="66" t="inlineStr">
        <is>
          <t>buy anna sui sky online</t>
        </is>
      </c>
      <c r="R57" s="66" t="inlineStr">
        <is>
          <t>buy deyga hydro boosting skin care kit online</t>
        </is>
      </c>
      <c r="S57" s="66" t="inlineStr">
        <is>
          <t>buy fumeri peach online</t>
        </is>
      </c>
      <c r="T57" s="66" t="inlineStr">
        <is>
          <t>buy maison de milan gossip pour femme online</t>
        </is>
      </c>
      <c r="U57" s="66" t="inlineStr">
        <is>
          <t>buy vilvah am pm serum kit online</t>
        </is>
      </c>
      <c r="V57" s="66" t="inlineStr">
        <is>
          <t>acqua di parma rosa nobile notes</t>
        </is>
      </c>
      <c r="W57" s="66" t="inlineStr">
        <is>
          <t>ariana grande thank u next</t>
        </is>
      </c>
      <c r="X57" s="66" t="inlineStr">
        <is>
          <t>carolina herrera 212 vip men notes</t>
        </is>
      </c>
      <c r="Y57" s="66" t="inlineStr">
        <is>
          <t>deyga beautifying serum benefits</t>
        </is>
      </c>
      <c r="Z57" s="66" t="inlineStr">
        <is>
          <t>dolce &amp; gabbana the one gold intense edp</t>
        </is>
      </c>
      <c r="AA57" s="66" t="inlineStr">
        <is>
          <t>elie saab le parfum eau de parfum gift set 50ml</t>
        </is>
      </c>
      <c r="AB57" s="66" t="inlineStr">
        <is>
          <t>game of spades opal review</t>
        </is>
      </c>
      <c r="AC57" s="66" t="inlineStr">
        <is>
          <t>guerlain musc noble dupe</t>
        </is>
      </c>
      <c r="AD57" s="66" t="inlineStr">
        <is>
          <t>mancera intense red tobacco 120ml</t>
        </is>
      </c>
      <c r="AE57" s="66" t="inlineStr">
        <is>
          <t>signature santal edp</t>
        </is>
      </c>
      <c r="AF57" s="66" t="inlineStr">
        <is>
          <t>tiziana terenzi porpora perfume</t>
        </is>
      </c>
      <c r="AG57" s="66" t="inlineStr">
        <is>
          <t>al haramain amber oud black edition price</t>
        </is>
      </c>
      <c r="AH57" s="66" t="inlineStr">
        <is>
          <t>deyga charcoal face wash price</t>
        </is>
      </c>
      <c r="AI57" s="66" t="inlineStr">
        <is>
          <t>elie saab nuit noor price</t>
        </is>
      </c>
      <c r="AJ57" s="66" t="inlineStr">
        <is>
          <t>korloff cuir mythique price</t>
        </is>
      </c>
      <c r="AK57" s="66" t="inlineStr">
        <is>
          <t>tiziana terenzi orion price</t>
        </is>
      </c>
      <c r="AM57" s="42" t="inlineStr">
        <is>
          <t>guerlain oud essentiel eau de parfum</t>
        </is>
      </c>
      <c r="AN57" s="42" t="inlineStr">
        <is>
          <t>natural shampoo</t>
        </is>
      </c>
      <c r="AP57" s="42" t="inlineStr">
        <is>
          <t>paloma picasso perfume 100ml</t>
        </is>
      </c>
      <c r="AQ57" s="42" t="inlineStr">
        <is>
          <t>deyga lip balm review</t>
        </is>
      </c>
    </row>
    <row r="58" ht="15" customHeight="1" s="37">
      <c r="A58" s="42" t="inlineStr">
        <is>
          <t>citrus perfume for men uk</t>
        </is>
      </c>
      <c r="B58" s="42" t="inlineStr">
        <is>
          <t>spicy perfume for men uk</t>
        </is>
      </c>
      <c r="C58" s="42" t="inlineStr">
        <is>
          <t>vilvah lip balm</t>
        </is>
      </c>
      <c r="D58" s="42" t="inlineStr">
        <is>
          <t>bvlgari splendida tubereuse mystique</t>
        </is>
      </c>
      <c r="E58" s="42" t="inlineStr">
        <is>
          <t>deyga spinach &amp; cucumber bath bar</t>
        </is>
      </c>
      <c r="F58" s="42" t="inlineStr">
        <is>
          <t>gucci bloom profumo di fiori pen</t>
        </is>
      </c>
      <c r="G58" s="42" t="inlineStr">
        <is>
          <t>s.t. dupont perfect tobacco</t>
        </is>
      </c>
      <c r="H58" s="42" t="inlineStr">
        <is>
          <t>vilvah foot cream and body lotion kit</t>
        </is>
      </c>
      <c r="I58" s="42" t="inlineStr">
        <is>
          <t>burberry my burberry uk</t>
        </is>
      </c>
      <c r="J58" s="66" t="inlineStr">
        <is>
          <t>deyga rose &amp; geranium body butter uk</t>
        </is>
      </c>
      <c r="K58" s="66" t="inlineStr">
        <is>
          <t>game of spades yellow sapphire uk</t>
        </is>
      </c>
      <c r="L58" s="66" t="inlineStr">
        <is>
          <t>nina ricci nina illusion uk</t>
        </is>
      </c>
      <c r="M58" s="66" t="inlineStr">
        <is>
          <t>vilvah deo shot - lavender and sage uk</t>
        </is>
      </c>
      <c r="N58" s="66" t="inlineStr">
        <is>
          <t>bentley silverlake eau de parfum</t>
        </is>
      </c>
      <c r="O58" s="66" t="inlineStr">
        <is>
          <t>game of spades rouge eau de parfum</t>
        </is>
      </c>
      <c r="P58" s="66" t="inlineStr">
        <is>
          <t>s.t. dupont perfect tobacco eau de parfum</t>
        </is>
      </c>
      <c r="Q58" s="66" t="inlineStr">
        <is>
          <t>buy antonio banderas boucheron patchouli d'angkor online</t>
        </is>
      </c>
      <c r="R58" s="66" t="inlineStr">
        <is>
          <t>buy deyga instant hair removal kit online</t>
        </is>
      </c>
      <c r="S58" s="66" t="inlineStr">
        <is>
          <t>buy fumeri smokey leather online</t>
        </is>
      </c>
      <c r="T58" s="66" t="inlineStr">
        <is>
          <t>buy maison de milan invincible online</t>
        </is>
      </c>
      <c r="U58" s="66" t="inlineStr">
        <is>
          <t>buy vilvah anti frizz hair kit online</t>
        </is>
      </c>
      <c r="V58" s="66" t="inlineStr">
        <is>
          <t>acqua di parma rosa nobile review</t>
        </is>
      </c>
      <c r="W58" s="66" t="inlineStr">
        <is>
          <t>ariana grande thank u next 2.0</t>
        </is>
      </c>
      <c r="X58" s="66" t="inlineStr">
        <is>
          <t>carolina herrera 212 vip men review</t>
        </is>
      </c>
      <c r="Y58" s="66" t="inlineStr">
        <is>
          <t>deyga beautifying serum review</t>
        </is>
      </c>
      <c r="Z58" s="66" t="inlineStr">
        <is>
          <t>dolce &amp; gabbana the one gold intense edp 100ml</t>
        </is>
      </c>
      <c r="AA58" s="66" t="inlineStr">
        <is>
          <t>elie saab le parfum gift set 50ml</t>
        </is>
      </c>
      <c r="AB58" s="66" t="inlineStr">
        <is>
          <t>game of spades opal smells like</t>
        </is>
      </c>
      <c r="AC58" s="66" t="inlineStr">
        <is>
          <t>guerlain musc noble edp</t>
        </is>
      </c>
      <c r="AD58" s="66" t="inlineStr">
        <is>
          <t>mancera intense red tobacco eau de parfum</t>
        </is>
      </c>
      <c r="AE58" s="66" t="inlineStr">
        <is>
          <t>signature santal notes</t>
        </is>
      </c>
      <c r="AF58" s="66" t="inlineStr">
        <is>
          <t>tiziana terenzi porpora review</t>
        </is>
      </c>
      <c r="AG58" s="66" t="inlineStr">
        <is>
          <t>al haramain amber oud bleu edition price</t>
        </is>
      </c>
      <c r="AH58" s="66" t="inlineStr">
        <is>
          <t>deyga chocolate body butter price</t>
        </is>
      </c>
      <c r="AI58" s="66" t="inlineStr">
        <is>
          <t>elizabeth arden beauty price</t>
        </is>
      </c>
      <c r="AJ58" s="66" t="inlineStr">
        <is>
          <t>korloff in love price</t>
        </is>
      </c>
      <c r="AK58" s="66" t="inlineStr">
        <is>
          <t>tiziana terenzi orza linea tt price</t>
        </is>
      </c>
      <c r="AM58" s="42" t="inlineStr">
        <is>
          <t>guerlain oud essentiel uk</t>
        </is>
      </c>
      <c r="AN58" s="42" t="inlineStr">
        <is>
          <t>face mask</t>
        </is>
      </c>
      <c r="AP58" s="42" t="inlineStr">
        <is>
          <t>marc jacobs honey review</t>
        </is>
      </c>
      <c r="AQ58" s="42" t="inlineStr">
        <is>
          <t>deyga hair removal powder review</t>
        </is>
      </c>
    </row>
    <row r="59" ht="15" customHeight="1" s="37">
      <c r="A59" s="42" t="inlineStr">
        <is>
          <t>citrus perfume uk</t>
        </is>
      </c>
      <c r="B59" s="42" t="inlineStr">
        <is>
          <t>spicy perfume uk</t>
        </is>
      </c>
      <c r="C59" s="42" t="inlineStr">
        <is>
          <t>vilvah moisturiser</t>
        </is>
      </c>
      <c r="D59" s="42" t="inlineStr">
        <is>
          <t>calvin klein defy</t>
        </is>
      </c>
      <c r="E59" s="42" t="inlineStr">
        <is>
          <t>deyga spirulina matcha face pack</t>
        </is>
      </c>
      <c r="F59" s="42" t="inlineStr">
        <is>
          <t>gucci flora gorgeous gardenia</t>
        </is>
      </c>
      <c r="G59" s="42" t="inlineStr">
        <is>
          <t>s.t. dupont pure bloom</t>
        </is>
      </c>
      <c r="H59" s="42" t="inlineStr">
        <is>
          <t>vilvah goat milk body wash</t>
        </is>
      </c>
      <c r="I59" s="42" t="inlineStr">
        <is>
          <t>bvlgari man glacial essence gift set uk</t>
        </is>
      </c>
      <c r="J59" s="66" t="inlineStr">
        <is>
          <t>deyga rose &amp; mulethi skin brightening pack uk</t>
        </is>
      </c>
      <c r="K59" s="66" t="inlineStr">
        <is>
          <t>giorgia armani giorgio armani code refillable uk</t>
        </is>
      </c>
      <c r="L59" s="66" t="inlineStr">
        <is>
          <t>nina ricci nina precious gold uk</t>
        </is>
      </c>
      <c r="M59" s="66" t="inlineStr">
        <is>
          <t>vilvah deo shot - rose and vanilla uk</t>
        </is>
      </c>
      <c r="N59" s="66" t="inlineStr">
        <is>
          <t>burberry my burberry black parfum</t>
        </is>
      </c>
      <c r="O59" s="66" t="inlineStr">
        <is>
          <t>game of spades royale eau de parfum</t>
        </is>
      </c>
      <c r="P59" s="66" t="inlineStr">
        <is>
          <t>s.t. dupont pure bloom eau de parfum</t>
        </is>
      </c>
      <c r="Q59" s="66" t="inlineStr">
        <is>
          <t>buy antonio banderas boucheron rose d'isparta online</t>
        </is>
      </c>
      <c r="R59" s="66" t="inlineStr">
        <is>
          <t>buy deyga instant hair removal kit with toner online</t>
        </is>
      </c>
      <c r="S59" s="66" t="inlineStr">
        <is>
          <t>buy fumeri style 33 online</t>
        </is>
      </c>
      <c r="T59" s="66" t="inlineStr">
        <is>
          <t>buy maison de milan l'homme suave online</t>
        </is>
      </c>
      <c r="U59" s="66" t="inlineStr">
        <is>
          <t>buy vilvah anti-dandruff hair oil online</t>
        </is>
      </c>
      <c r="V59" s="66" t="inlineStr">
        <is>
          <t>acqua di parma sakura 100ml</t>
        </is>
      </c>
      <c r="W59" s="66" t="inlineStr">
        <is>
          <t>ariana grande thank u next 2.0 perfume</t>
        </is>
      </c>
      <c r="X59" s="66" t="inlineStr">
        <is>
          <t>carolina herrera 212 vip rose 100ml</t>
        </is>
      </c>
      <c r="Y59" s="66" t="inlineStr">
        <is>
          <t>deyga beetroot lip balm review</t>
        </is>
      </c>
      <c r="Z59" s="66" t="inlineStr">
        <is>
          <t>dolce &amp; gabbana the one intense eau de parfum 100ml</t>
        </is>
      </c>
      <c r="AA59" s="66" t="inlineStr">
        <is>
          <t>elie saab le parfum gift set 90ml</t>
        </is>
      </c>
      <c r="AB59" s="66" t="inlineStr">
        <is>
          <t>game of spades rouge dupe of</t>
        </is>
      </c>
      <c r="AC59" s="66" t="inlineStr">
        <is>
          <t>guerlain musc noble ingredients</t>
        </is>
      </c>
      <c r="AD59" s="66" t="inlineStr">
        <is>
          <t>mancera intense red tobacco edp 120ml</t>
        </is>
      </c>
      <c r="AE59" s="66" t="inlineStr">
        <is>
          <t>signature santal oil</t>
        </is>
      </c>
      <c r="AF59" s="66" t="inlineStr">
        <is>
          <t>tiziana terenzi saiph extrait</t>
        </is>
      </c>
      <c r="AG59" s="66" t="inlineStr">
        <is>
          <t>al haramain amber oud carbon edition price</t>
        </is>
      </c>
      <c r="AH59" s="66" t="inlineStr">
        <is>
          <t>deyga clear skin kit price</t>
        </is>
      </c>
      <c r="AI59" s="66" t="inlineStr">
        <is>
          <t>escada magnetic dream price</t>
        </is>
      </c>
      <c r="AJ59" s="66" t="inlineStr">
        <is>
          <t>korloff in white price</t>
        </is>
      </c>
      <c r="AK59" s="66" t="inlineStr">
        <is>
          <t>tiziana terenzi porpora price</t>
        </is>
      </c>
      <c r="AM59" s="42" t="inlineStr">
        <is>
          <t>acqua di parma sandalo edp</t>
        </is>
      </c>
      <c r="AN59" s="42" t="inlineStr">
        <is>
          <t>moisturiser for oily skin</t>
        </is>
      </c>
      <c r="AP59" s="42" t="inlineStr">
        <is>
          <t>marc jacobs honey notes</t>
        </is>
      </c>
      <c r="AQ59" s="42" t="inlineStr">
        <is>
          <t>deyga beetroot lip balm stick review</t>
        </is>
      </c>
    </row>
    <row r="60" ht="15" customHeight="1" s="37">
      <c r="A60" s="42" t="inlineStr">
        <is>
          <t>davidoff perfume</t>
        </is>
      </c>
      <c r="B60" s="42" t="inlineStr">
        <is>
          <t>the woods collection perfume</t>
        </is>
      </c>
      <c r="C60" s="42" t="inlineStr">
        <is>
          <t>vilvah natural deodorant</t>
        </is>
      </c>
      <c r="D60" s="42" t="inlineStr">
        <is>
          <t>calvin klein defy miniature</t>
        </is>
      </c>
      <c r="E60" s="42" t="inlineStr">
        <is>
          <t>deyga strawberry lip scrub</t>
        </is>
      </c>
      <c r="F60" s="42" t="inlineStr">
        <is>
          <t>gucci flora gorgeous miniature set</t>
        </is>
      </c>
      <c r="G60" s="42" t="inlineStr">
        <is>
          <t>s.t. dupont royal amber</t>
        </is>
      </c>
      <c r="H60" s="42" t="inlineStr">
        <is>
          <t>vilvah goat milk hair kit</t>
        </is>
      </c>
      <c r="I60" s="42" t="inlineStr">
        <is>
          <t>bvlgari man in black uk</t>
        </is>
      </c>
      <c r="J60" s="66" t="inlineStr">
        <is>
          <t>deyga rose glow serum uk</t>
        </is>
      </c>
      <c r="K60" s="66" t="inlineStr">
        <is>
          <t>giorgio armani code refillable uk</t>
        </is>
      </c>
      <c r="L60" s="66" t="inlineStr">
        <is>
          <t>paloma picasso uk</t>
        </is>
      </c>
      <c r="M60" s="66" t="inlineStr">
        <is>
          <t>vilvah everyday care milk kit uk</t>
        </is>
      </c>
      <c r="N60" s="66" t="inlineStr">
        <is>
          <t>burberry my burberry eau de parfum</t>
        </is>
      </c>
      <c r="O60" s="66" t="inlineStr">
        <is>
          <t>game of spades ruby eau de parfum</t>
        </is>
      </c>
      <c r="P60" s="66" t="inlineStr">
        <is>
          <t>s.t. dupont royal amber eau de parfum</t>
        </is>
      </c>
      <c r="Q60" s="66" t="inlineStr">
        <is>
          <t>buy antonio banderas diavolo online</t>
        </is>
      </c>
      <c r="R60" s="66" t="inlineStr">
        <is>
          <t>buy deyga light moisturising face cream online</t>
        </is>
      </c>
      <c r="S60" s="66" t="inlineStr">
        <is>
          <t>buy fumeri victorious online</t>
        </is>
      </c>
      <c r="T60" s="66" t="inlineStr">
        <is>
          <t>buy maison de milan m online</t>
        </is>
      </c>
      <c r="U60" s="66" t="inlineStr">
        <is>
          <t>buy vilvah anti-frizz hair serum online</t>
        </is>
      </c>
      <c r="V60" s="66" t="inlineStr">
        <is>
          <t>acqua di parma sakura eau de parfum</t>
        </is>
      </c>
      <c r="W60" s="66" t="inlineStr">
        <is>
          <t>ariana grande thank u next perfume</t>
        </is>
      </c>
      <c r="X60" s="66" t="inlineStr">
        <is>
          <t>carolina herrera 212 vip rose eau de parfum 50ml</t>
        </is>
      </c>
      <c r="Y60" s="66" t="inlineStr">
        <is>
          <t>deyga beetroot lip balm stick review</t>
        </is>
      </c>
      <c r="Z60" s="66" t="inlineStr">
        <is>
          <t>dolce &amp; gabbana the one intense edp</t>
        </is>
      </c>
      <c r="AA60" s="66" t="inlineStr">
        <is>
          <t>elie saab le parfum intense 90ml</t>
        </is>
      </c>
      <c r="AB60" s="66" t="inlineStr">
        <is>
          <t>game of spades rouge extrait de parfum</t>
        </is>
      </c>
      <c r="AC60" s="66" t="inlineStr">
        <is>
          <t>guerlain musc noble notes</t>
        </is>
      </c>
      <c r="AD60" s="66" t="inlineStr">
        <is>
          <t>mancera intense red tobacco review</t>
        </is>
      </c>
      <c r="AE60" s="66" t="inlineStr">
        <is>
          <t>signature santal perfume</t>
        </is>
      </c>
      <c r="AF60" s="66" t="inlineStr">
        <is>
          <t>tiziana terenzi saiph extrait de parfum 100ml</t>
        </is>
      </c>
      <c r="AG60" s="66" t="inlineStr">
        <is>
          <t>al haramain amber oud extreme gold edition price</t>
        </is>
      </c>
      <c r="AH60" s="66" t="inlineStr">
        <is>
          <t>deyga daily essential kit price</t>
        </is>
      </c>
      <c r="AI60" s="66" t="inlineStr">
        <is>
          <t>escada magnetism price</t>
        </is>
      </c>
      <c r="AJ60" s="66" t="inlineStr">
        <is>
          <t>korloff lady intense price</t>
        </is>
      </c>
      <c r="AK60" s="66" t="inlineStr">
        <is>
          <t>tiziana terenzi saiph price</t>
        </is>
      </c>
      <c r="AM60" s="42" t="inlineStr">
        <is>
          <t>al haramain amber oud tobacco edition eau de parfum</t>
        </is>
      </c>
      <c r="AN60" s="42" t="inlineStr">
        <is>
          <t>face serum</t>
        </is>
      </c>
      <c r="AP60" s="42" t="inlineStr">
        <is>
          <t>bvlgari man in black notes</t>
        </is>
      </c>
      <c r="AQ60" s="42" t="inlineStr">
        <is>
          <t>deyga beautifying serum review</t>
        </is>
      </c>
    </row>
    <row r="61" ht="15" customHeight="1" s="37">
      <c r="A61" s="42" t="inlineStr">
        <is>
          <t>davidoff perfume for men</t>
        </is>
      </c>
      <c r="B61" s="42" t="inlineStr">
        <is>
          <t>tiziana terenzi perfume</t>
        </is>
      </c>
      <c r="C61" s="42" t="inlineStr">
        <is>
          <t>vilvah shampoo</t>
        </is>
      </c>
      <c r="D61" s="42" t="inlineStr">
        <is>
          <t>calvin klein defy parfum miniature</t>
        </is>
      </c>
      <c r="E61" s="42" t="inlineStr">
        <is>
          <t>deyga sunscreen</t>
        </is>
      </c>
      <c r="F61" s="42" t="inlineStr">
        <is>
          <t>gucci flora gorgeous orchid miniature</t>
        </is>
      </c>
      <c r="G61" s="42" t="inlineStr">
        <is>
          <t>sap le roi</t>
        </is>
      </c>
      <c r="H61" s="42" t="inlineStr">
        <is>
          <t>vilvah goat milk hair mask</t>
        </is>
      </c>
      <c r="I61" s="42" t="inlineStr">
        <is>
          <t>bvlgari man rain essence gift set uk</t>
        </is>
      </c>
      <c r="J61" s="66" t="inlineStr">
        <is>
          <t>deyga rose pink clay bath bar uk</t>
        </is>
      </c>
      <c r="K61" s="66" t="inlineStr">
        <is>
          <t>givenchy amarige uk</t>
        </is>
      </c>
      <c r="L61" s="66" t="inlineStr">
        <is>
          <t>philipp plein no limits after shave balm uk</t>
        </is>
      </c>
      <c r="M61" s="66" t="inlineStr">
        <is>
          <t>vilvah face brightening kit large uk</t>
        </is>
      </c>
      <c r="N61" s="66" t="inlineStr">
        <is>
          <t>bvlgari man in black eau de parfum</t>
        </is>
      </c>
      <c r="O61" s="66" t="inlineStr">
        <is>
          <t>game of spades wildcard eau de parfum</t>
        </is>
      </c>
      <c r="P61" s="66" t="inlineStr">
        <is>
          <t>sap le roi extrait de parfum</t>
        </is>
      </c>
      <c r="Q61" s="66" t="inlineStr">
        <is>
          <t>buy antonio banderas her secret desire online</t>
        </is>
      </c>
      <c r="R61" s="66" t="inlineStr">
        <is>
          <t>buy deyga mini foot spa combo online</t>
        </is>
      </c>
      <c r="S61" s="66" t="inlineStr">
        <is>
          <t>buy fumeri wild online</t>
        </is>
      </c>
      <c r="T61" s="66" t="inlineStr">
        <is>
          <t>buy maison de milan milano girl black online</t>
        </is>
      </c>
      <c r="U61" s="66" t="inlineStr">
        <is>
          <t>buy vilvah anti‑acne kit online</t>
        </is>
      </c>
      <c r="V61" s="66" t="inlineStr">
        <is>
          <t>acqua di parma sakura notes</t>
        </is>
      </c>
      <c r="W61" s="66" t="inlineStr">
        <is>
          <t>armaf hunter dupe of</t>
        </is>
      </c>
      <c r="X61" s="66" t="inlineStr">
        <is>
          <t>carolina herrera 212 vip rose notes</t>
        </is>
      </c>
      <c r="Y61" s="66" t="inlineStr">
        <is>
          <t>deyga body wash ingredients</t>
        </is>
      </c>
      <c r="Z61" s="66" t="inlineStr">
        <is>
          <t>dolce &amp; gabbana the one intense for women</t>
        </is>
      </c>
      <c r="AA61" s="66" t="inlineStr">
        <is>
          <t>elie saab le parfum intense edp</t>
        </is>
      </c>
      <c r="AB61" s="66" t="inlineStr">
        <is>
          <t>game of spades rouge extrait de parfum notes</t>
        </is>
      </c>
      <c r="AC61" s="66" t="inlineStr">
        <is>
          <t>guerlain musc noble review</t>
        </is>
      </c>
      <c r="AD61" s="66" t="inlineStr">
        <is>
          <t>marc jacobs daisy love glow limited edition edt 50 ml</t>
        </is>
      </c>
      <c r="AE61" s="66" t="inlineStr">
        <is>
          <t>signature santal отзывы</t>
        </is>
      </c>
      <c r="AF61" s="66" t="inlineStr">
        <is>
          <t>tiziana terenzi saiph perfume</t>
        </is>
      </c>
      <c r="AG61" s="66" t="inlineStr">
        <is>
          <t>al haramain amber oud gold edition price</t>
        </is>
      </c>
      <c r="AH61" s="66" t="inlineStr">
        <is>
          <t>deyga daily use healthy hair kit price</t>
        </is>
      </c>
      <c r="AI61" s="66" t="inlineStr">
        <is>
          <t>escada party love price</t>
        </is>
      </c>
      <c r="AJ61" s="66" t="inlineStr">
        <is>
          <t>korloff miss korloff price</t>
        </is>
      </c>
      <c r="AK61" s="66" t="inlineStr">
        <is>
          <t>tiziana terenzi sea stars collection deriva price</t>
        </is>
      </c>
      <c r="AM61" s="42" t="inlineStr">
        <is>
          <t>davidoff champion eau de toilette</t>
        </is>
      </c>
      <c r="AN61" s="42" t="inlineStr">
        <is>
          <t>body scrub</t>
        </is>
      </c>
      <c r="AP61" s="42" t="inlineStr">
        <is>
          <t>bvlgari man in black parfum</t>
        </is>
      </c>
      <c r="AQ61" s="42" t="inlineStr">
        <is>
          <t>charcoal bath bar deyga review</t>
        </is>
      </c>
    </row>
    <row r="62" ht="15" customHeight="1" s="37">
      <c r="A62" s="42" t="inlineStr">
        <is>
          <t>davidoff perfume for women</t>
        </is>
      </c>
      <c r="B62" s="42" t="inlineStr">
        <is>
          <t>tom ford perfume</t>
        </is>
      </c>
      <c r="C62" s="42" t="inlineStr">
        <is>
          <t>vilvah skincare gift set</t>
        </is>
      </c>
      <c r="D62" s="42" t="inlineStr">
        <is>
          <t>calvin klein eternity</t>
        </is>
      </c>
      <c r="E62" s="42" t="inlineStr">
        <is>
          <t>deyga tangerine cleansing balm for makeup removal</t>
        </is>
      </c>
      <c r="F62" s="42" t="inlineStr">
        <is>
          <t>gucci guilty pour femme gift set</t>
        </is>
      </c>
      <c r="G62" s="42" t="inlineStr">
        <is>
          <t>sap oud leopard fr</t>
        </is>
      </c>
      <c r="H62" s="42" t="inlineStr">
        <is>
          <t>vilvah goat milk shampoo</t>
        </is>
      </c>
      <c r="I62" s="42" t="inlineStr">
        <is>
          <t>bvlgari man terrae essence gift set uk</t>
        </is>
      </c>
      <c r="J62" s="66" t="inlineStr">
        <is>
          <t>deyga sensitive skin kit uk</t>
        </is>
      </c>
      <c r="K62" s="66" t="inlineStr">
        <is>
          <t>givenchy gentleman originale uk</t>
        </is>
      </c>
      <c r="L62" s="66" t="inlineStr">
        <is>
          <t>philipp plein no limits deodorant stick uk</t>
        </is>
      </c>
      <c r="M62" s="66" t="inlineStr">
        <is>
          <t>vilvah face brightening kit uk</t>
        </is>
      </c>
      <c r="N62" s="66" t="inlineStr">
        <is>
          <t>bvlgari omnia amethyste eau de toilette</t>
        </is>
      </c>
      <c r="O62" s="66" t="inlineStr">
        <is>
          <t>game of spades win eau de parfum</t>
        </is>
      </c>
      <c r="P62" s="66" t="inlineStr">
        <is>
          <t>sap oud leopard fr extrait de parfum</t>
        </is>
      </c>
      <c r="Q62" s="66" t="inlineStr">
        <is>
          <t>buy antonio banderas her secret temptation online</t>
        </is>
      </c>
      <c r="R62" s="66" t="inlineStr">
        <is>
          <t>buy deyga mint lip scrub online</t>
        </is>
      </c>
      <c r="S62" s="66" t="inlineStr">
        <is>
          <t>buy game of spades bid online</t>
        </is>
      </c>
      <c r="T62" s="66" t="inlineStr">
        <is>
          <t>buy maison de milan milano girl red online</t>
        </is>
      </c>
      <c r="U62" s="66" t="inlineStr">
        <is>
          <t>buy vilvah anti‑dandruff haircare kit online</t>
        </is>
      </c>
      <c r="V62" s="66" t="inlineStr">
        <is>
          <t>acqua di parma sakura review</t>
        </is>
      </c>
      <c r="W62" s="66" t="inlineStr">
        <is>
          <t>armaf hunter men</t>
        </is>
      </c>
      <c r="X62" s="66" t="inlineStr">
        <is>
          <t>carolina herrera 212 vip rose review</t>
        </is>
      </c>
      <c r="Y62" s="66" t="inlineStr">
        <is>
          <t>deyga body wash review</t>
        </is>
      </c>
      <c r="Z62" s="66" t="inlineStr">
        <is>
          <t>dolce &amp; gabbana the one intense men</t>
        </is>
      </c>
      <c r="AA62" s="66" t="inlineStr">
        <is>
          <t>elie saab le parfum intense edp 90ml</t>
        </is>
      </c>
      <c r="AB62" s="66" t="inlineStr">
        <is>
          <t>game of spades rouge extrait dupe of</t>
        </is>
      </c>
      <c r="AC62" s="66" t="inlineStr">
        <is>
          <t>guerlain oud essentiel edp</t>
        </is>
      </c>
      <c r="AD62" s="66" t="inlineStr">
        <is>
          <t>marc jacobs honey 100ml</t>
        </is>
      </c>
      <c r="AE62" s="66" t="inlineStr">
        <is>
          <t>signature sapphire edp</t>
        </is>
      </c>
      <c r="AF62" s="66" t="inlineStr">
        <is>
          <t>tiziana terenzi saiph review</t>
        </is>
      </c>
      <c r="AG62" s="66" t="inlineStr">
        <is>
          <t>al haramain amber oud price</t>
        </is>
      </c>
      <c r="AH62" s="66" t="inlineStr">
        <is>
          <t>deyga de- tan &amp; pigmentation kit price</t>
        </is>
      </c>
      <c r="AI62" s="66" t="inlineStr">
        <is>
          <t>estee lauder spellbound price</t>
        </is>
      </c>
      <c r="AJ62" s="66" t="inlineStr">
        <is>
          <t>korloff paris discovery set price</t>
        </is>
      </c>
      <c r="AK62" s="66" t="inlineStr">
        <is>
          <t>tiziana terenzi white fire price</t>
        </is>
      </c>
      <c r="AM62" s="42" t="inlineStr">
        <is>
          <t>elie saab elixir eau de parfum</t>
        </is>
      </c>
      <c r="AN62" s="42" t="inlineStr">
        <is>
          <t>natural skincare</t>
        </is>
      </c>
      <c r="AP62" s="42" t="inlineStr">
        <is>
          <t>gucci guilty pour homme review</t>
        </is>
      </c>
      <c r="AQ62" s="42" t="inlineStr">
        <is>
          <t>deyga hair growth oil review</t>
        </is>
      </c>
    </row>
    <row r="63" ht="15" customHeight="1" s="37">
      <c r="A63" s="42" t="inlineStr">
        <is>
          <t>dior perfume</t>
        </is>
      </c>
      <c r="B63" s="42" t="inlineStr">
        <is>
          <t>tom ford perfume for men</t>
        </is>
      </c>
      <c r="C63" s="42" t="inlineStr">
        <is>
          <t>vilvah sunscreen</t>
        </is>
      </c>
      <c r="D63" s="42" t="inlineStr">
        <is>
          <t>calvin klein eternity aromatic essence parfum intense miniature</t>
        </is>
      </c>
      <c r="E63" s="42" t="inlineStr">
        <is>
          <t>deyga tea tree facial toner</t>
        </is>
      </c>
      <c r="F63" s="42" t="inlineStr">
        <is>
          <t>gucci guilty pour femme miniature</t>
        </is>
      </c>
      <c r="G63" s="42" t="inlineStr">
        <is>
          <t>sap patchouli intense</t>
        </is>
      </c>
      <c r="H63" s="42" t="inlineStr">
        <is>
          <t>vilvah hair growth oil</t>
        </is>
      </c>
      <c r="I63" s="42" t="inlineStr">
        <is>
          <t>bvlgari man wood essence gift set uk</t>
        </is>
      </c>
      <c r="J63" s="66" t="inlineStr">
        <is>
          <t>deyga shea saffron bath bar uk</t>
        </is>
      </c>
      <c r="K63" s="66" t="inlineStr">
        <is>
          <t>gucci bloom gift set uk</t>
        </is>
      </c>
      <c r="L63" s="66" t="inlineStr">
        <is>
          <t>philipp plein no limits super fresh uk</t>
        </is>
      </c>
      <c r="M63" s="66" t="inlineStr">
        <is>
          <t>vilvah face lift kit uk</t>
        </is>
      </c>
      <c r="N63" s="66" t="inlineStr">
        <is>
          <t>bvlgari splendida tubereuse mystique eau de parfum</t>
        </is>
      </c>
      <c r="O63" s="66" t="inlineStr">
        <is>
          <t>game of spades yellow sapphire eau de parfum</t>
        </is>
      </c>
      <c r="P63" s="66" t="inlineStr">
        <is>
          <t>sap patchouli intense extrait de parfum</t>
        </is>
      </c>
      <c r="Q63" s="66" t="inlineStr">
        <is>
          <t>buy antonio banderas power of seduction online</t>
        </is>
      </c>
      <c r="R63" s="66" t="inlineStr">
        <is>
          <t>buy deyga natural hair care kit online</t>
        </is>
      </c>
      <c r="S63" s="66" t="inlineStr">
        <is>
          <t>buy game of spades blind-bid online</t>
        </is>
      </c>
      <c r="T63" s="66" t="inlineStr">
        <is>
          <t>buy maison de milan milano girl white online</t>
        </is>
      </c>
      <c r="U63" s="66" t="inlineStr">
        <is>
          <t>buy vilvah bestseller hair kit online</t>
        </is>
      </c>
      <c r="V63" s="66" t="inlineStr">
        <is>
          <t>acqua di parma sandalo 100ml</t>
        </is>
      </c>
      <c r="W63" s="66" t="inlineStr">
        <is>
          <t>armaf hunter perfume</t>
        </is>
      </c>
      <c r="X63" s="66" t="inlineStr">
        <is>
          <t>carolina herrera 212 vip rose women</t>
        </is>
      </c>
      <c r="Y63" s="66" t="inlineStr">
        <is>
          <t>deyga charcoal face wash amazon</t>
        </is>
      </c>
      <c r="Z63" s="66" t="inlineStr">
        <is>
          <t>dolce &amp; gabbana the one intense notes</t>
        </is>
      </c>
      <c r="AA63" s="66" t="inlineStr">
        <is>
          <t>elie saab le parfum intense notes</t>
        </is>
      </c>
      <c r="AB63" s="66" t="inlineStr">
        <is>
          <t>game of spades rouge extrait notes</t>
        </is>
      </c>
      <c r="AC63" s="66" t="inlineStr">
        <is>
          <t>guerlain oud essentiel notes</t>
        </is>
      </c>
      <c r="AD63" s="66" t="inlineStr">
        <is>
          <t>marc jacobs honey edp 100ml</t>
        </is>
      </c>
      <c r="AE63" s="66" t="inlineStr">
        <is>
          <t>signature sapphire perfume</t>
        </is>
      </c>
      <c r="AF63" s="66" t="inlineStr">
        <is>
          <t>tiziana terenzi white fire edp 100ml</t>
        </is>
      </c>
      <c r="AG63" s="66" t="inlineStr">
        <is>
          <t>al haramain amber oud ruby edition price</t>
        </is>
      </c>
      <c r="AH63" s="66" t="inlineStr">
        <is>
          <t>deyga deep moisturising face cream price</t>
        </is>
      </c>
      <c r="AI63" s="66" t="inlineStr">
        <is>
          <t>etienne aigner first class explorer price</t>
        </is>
      </c>
      <c r="AJ63" s="66" t="inlineStr">
        <is>
          <t>korloff royal oud korloff paris price</t>
        </is>
      </c>
      <c r="AK63" s="66" t="inlineStr">
        <is>
          <t>tom ford black orchid price</t>
        </is>
      </c>
      <c r="AM63" s="42" t="inlineStr">
        <is>
          <t>elie saab elixir uk</t>
        </is>
      </c>
      <c r="AN63" s="42" t="inlineStr">
        <is>
          <t>skincare for dry skin</t>
        </is>
      </c>
      <c r="AP63" s="42" t="inlineStr">
        <is>
          <t>gucci guilty pour homme notes</t>
        </is>
      </c>
      <c r="AQ63" s="42" t="inlineStr">
        <is>
          <t>deyga charcoal face wash review</t>
        </is>
      </c>
    </row>
    <row r="64" ht="15" customHeight="1" s="37">
      <c r="A64" s="42" t="inlineStr">
        <is>
          <t>dior perfume for men</t>
        </is>
      </c>
      <c r="B64" s="42" t="inlineStr">
        <is>
          <t>trussardi perfume</t>
        </is>
      </c>
      <c r="C64" s="42" t="inlineStr">
        <is>
          <t>vilvah toner</t>
        </is>
      </c>
      <c r="D64" s="42" t="inlineStr">
        <is>
          <t>calvin klein eternity parfum miniature</t>
        </is>
      </c>
      <c r="E64" s="42" t="inlineStr">
        <is>
          <t>deyga under eye cream</t>
        </is>
      </c>
      <c r="F64" s="42" t="inlineStr">
        <is>
          <t>gucci guilty pour homme</t>
        </is>
      </c>
      <c r="G64" s="42" t="inlineStr">
        <is>
          <t>sap saffron oud</t>
        </is>
      </c>
      <c r="H64" s="42" t="inlineStr">
        <is>
          <t>vilvah hair strengthening kit</t>
        </is>
      </c>
      <c r="I64" s="42" t="inlineStr">
        <is>
          <t>bvlgari omnia amethyste uk</t>
        </is>
      </c>
      <c r="J64" s="66" t="inlineStr">
        <is>
          <t>deyga soft lip combo uk</t>
        </is>
      </c>
      <c r="K64" s="66" t="inlineStr">
        <is>
          <t>gucci bloom miniature uk</t>
        </is>
      </c>
      <c r="L64" s="66" t="inlineStr">
        <is>
          <t>rihanah ajwaa oud uk</t>
        </is>
      </c>
      <c r="M64" s="66" t="inlineStr">
        <is>
          <t>vilvah filter kaapi lip balm uk</t>
        </is>
      </c>
      <c r="N64" s="66" t="inlineStr">
        <is>
          <t>calvin klein defy miniature eau de parfum</t>
        </is>
      </c>
      <c r="O64" s="66" t="inlineStr">
        <is>
          <t>giorgia armani giorgio armani code refillable edt</t>
        </is>
      </c>
      <c r="P64" s="66" t="inlineStr">
        <is>
          <t>sap saffron oud extrait de parfum</t>
        </is>
      </c>
      <c r="Q64" s="66" t="inlineStr">
        <is>
          <t>buy ariana grande thank u, next online</t>
        </is>
      </c>
      <c r="R64" s="66" t="inlineStr">
        <is>
          <t>buy deyga natural lip balm online</t>
        </is>
      </c>
      <c r="S64" s="66" t="inlineStr">
        <is>
          <t>buy game of spades boston online</t>
        </is>
      </c>
      <c r="T64" s="66" t="inlineStr">
        <is>
          <t>buy maison de milan opulent gold online</t>
        </is>
      </c>
      <c r="U64" s="66" t="inlineStr">
        <is>
          <t>buy vilvah better ageing kit online</t>
        </is>
      </c>
      <c r="V64" s="66" t="inlineStr">
        <is>
          <t>acqua di parma sandalo 50ml</t>
        </is>
      </c>
      <c r="W64" s="66" t="inlineStr">
        <is>
          <t>bentley absolute edp</t>
        </is>
      </c>
      <c r="X64" s="66" t="inlineStr">
        <is>
          <t>carolina herrera bad boy extreme 100ml</t>
        </is>
      </c>
      <c r="Y64" s="66" t="inlineStr">
        <is>
          <t>deyga charcoal face wash benefits</t>
        </is>
      </c>
      <c r="Z64" s="66" t="inlineStr">
        <is>
          <t>dolce &amp; gabbana the one parfum</t>
        </is>
      </c>
      <c r="AA64" s="66" t="inlineStr">
        <is>
          <t>elie saab le parfum intense review</t>
        </is>
      </c>
      <c r="AB64" s="66" t="inlineStr">
        <is>
          <t>game of spades rouge extrait review</t>
        </is>
      </c>
      <c r="AC64" s="66" t="inlineStr">
        <is>
          <t>guerlain oud essentiel perfume</t>
        </is>
      </c>
      <c r="AD64" s="66" t="inlineStr">
        <is>
          <t>marc jacobs honey notes</t>
        </is>
      </c>
      <c r="AE64" s="66" t="inlineStr">
        <is>
          <t>the woods collection azure review</t>
        </is>
      </c>
      <c r="AF64" s="66" t="inlineStr">
        <is>
          <t>tiziana terenzi white fire extrait</t>
        </is>
      </c>
      <c r="AG64" s="66" t="inlineStr">
        <is>
          <t>al haramain amber oud tobacco edition price</t>
        </is>
      </c>
      <c r="AH64" s="66" t="inlineStr">
        <is>
          <t>deyga double hydration kit price</t>
        </is>
      </c>
      <c r="AI64" s="66" t="inlineStr">
        <is>
          <t>etienne aigner no. 1 intense price</t>
        </is>
      </c>
      <c r="AJ64" s="66" t="inlineStr">
        <is>
          <t>korloff royal rose price</t>
        </is>
      </c>
      <c r="AK64" s="66" t="inlineStr">
        <is>
          <t>tom ford ebene fume price</t>
        </is>
      </c>
      <c r="AM64" s="42" t="inlineStr">
        <is>
          <t>guerlain habit rouge eau de parfum</t>
        </is>
      </c>
      <c r="AN64" s="42" t="inlineStr">
        <is>
          <t>natural skincare gift set</t>
        </is>
      </c>
      <c r="AP64" s="42" t="inlineStr">
        <is>
          <t>game of spades full house review</t>
        </is>
      </c>
      <c r="AQ64" s="42" t="inlineStr">
        <is>
          <t>deyga aloe vera gel review</t>
        </is>
      </c>
    </row>
    <row r="65" ht="15" customHeight="1" s="37">
      <c r="A65" s="42" t="inlineStr">
        <is>
          <t>dior perfume for women</t>
        </is>
      </c>
      <c r="B65" s="42" t="inlineStr">
        <is>
          <t>trussardi perfume for men</t>
        </is>
      </c>
      <c r="C65" s="42" t="inlineStr">
        <is>
          <t>buy deyga beetroot lip balm</t>
        </is>
      </c>
      <c r="D65" s="42" t="inlineStr">
        <is>
          <t>calvin klein miniature set</t>
        </is>
      </c>
      <c r="E65" s="42" t="inlineStr">
        <is>
          <t>deyga under eye mask</t>
        </is>
      </c>
      <c r="F65" s="42" t="inlineStr">
        <is>
          <t>gucci intense oud</t>
        </is>
      </c>
      <c r="G65" s="42" t="inlineStr">
        <is>
          <t>sap vert club</t>
        </is>
      </c>
      <c r="H65" s="42" t="inlineStr">
        <is>
          <t>vilvah hairfall control kit</t>
        </is>
      </c>
      <c r="I65" s="42" t="inlineStr">
        <is>
          <t>bvlgari rose goldea blossom delight gift set uk</t>
        </is>
      </c>
      <c r="J65" s="66" t="inlineStr">
        <is>
          <t>deyga soy milk conditioner uk</t>
        </is>
      </c>
      <c r="K65" s="66" t="inlineStr">
        <is>
          <t>gucci bloom parfum miniature uk</t>
        </is>
      </c>
      <c r="L65" s="66" t="inlineStr">
        <is>
          <t>roll it 1 uk</t>
        </is>
      </c>
      <c r="M65" s="66" t="inlineStr">
        <is>
          <t>vilvah foot cream and body lotion kit uk</t>
        </is>
      </c>
      <c r="N65" s="66" t="inlineStr">
        <is>
          <t>calvin klein defy parfum</t>
        </is>
      </c>
      <c r="O65" s="66" t="inlineStr">
        <is>
          <t>giorgio armani code refillable eau de toilette</t>
        </is>
      </c>
      <c r="P65" s="66" t="inlineStr">
        <is>
          <t>sap vert club extrait de parfum</t>
        </is>
      </c>
      <c r="Q65" s="66" t="inlineStr">
        <is>
          <t>buy armaf hunter online</t>
        </is>
      </c>
      <c r="R65" s="66" t="inlineStr">
        <is>
          <t>buy deyga natural loose setting powder online</t>
        </is>
      </c>
      <c r="S65" s="66" t="inlineStr">
        <is>
          <t>buy game of spades diamond online</t>
        </is>
      </c>
      <c r="T65" s="66" t="inlineStr">
        <is>
          <t>buy maison de milan valiant pour homme online</t>
        </is>
      </c>
      <c r="U65" s="66" t="inlineStr">
        <is>
          <t>buy vilvah better ageing serum online</t>
        </is>
      </c>
      <c r="V65" s="66" t="inlineStr">
        <is>
          <t>acqua di parma sandalo dupe</t>
        </is>
      </c>
      <c r="W65" s="66" t="inlineStr">
        <is>
          <t>bentley absolute for men</t>
        </is>
      </c>
      <c r="X65" s="66" t="inlineStr">
        <is>
          <t>carolina herrera bad boy extreme 150ml</t>
        </is>
      </c>
      <c r="Y65" s="66" t="inlineStr">
        <is>
          <t>deyga charcoal face wash for men</t>
        </is>
      </c>
      <c r="Z65" s="66" t="inlineStr">
        <is>
          <t>dolce and gabbana k gift set 100ml</t>
        </is>
      </c>
      <c r="AA65" s="66" t="inlineStr">
        <is>
          <t>elie saab le parfum lumiere set</t>
        </is>
      </c>
      <c r="AB65" s="66" t="inlineStr">
        <is>
          <t>game of spades rouge notes</t>
        </is>
      </c>
      <c r="AC65" s="66" t="inlineStr">
        <is>
          <t>guerlain oud essentiel review</t>
        </is>
      </c>
      <c r="AD65" s="66" t="inlineStr">
        <is>
          <t>marc jacobs honey perfume</t>
        </is>
      </c>
      <c r="AE65" s="66" t="inlineStr">
        <is>
          <t>the woods collection azure отзывы</t>
        </is>
      </c>
      <c r="AF65" s="66" t="inlineStr">
        <is>
          <t>tiziana terenzi white fire notes</t>
        </is>
      </c>
      <c r="AG65" s="66" t="inlineStr">
        <is>
          <t>al haramain amber oud white edition price</t>
        </is>
      </c>
      <c r="AH65" s="66" t="inlineStr">
        <is>
          <t>deyga eyebrow growth oil price</t>
        </is>
      </c>
      <c r="AI65" s="66" t="inlineStr">
        <is>
          <t>fumeri 540 price</t>
        </is>
      </c>
      <c r="AJ65" s="66" t="inlineStr">
        <is>
          <t>korloff un soir a paris price</t>
        </is>
      </c>
      <c r="AK65" s="66" t="inlineStr">
        <is>
          <t>tom ford neroli portofino price</t>
        </is>
      </c>
      <c r="AM65" s="42" t="inlineStr">
        <is>
          <t>guerlain habit rouge uk</t>
        </is>
      </c>
      <c r="AN65" s="42" t="inlineStr">
        <is>
          <t>goat milk soap</t>
        </is>
      </c>
      <c r="AP65" s="42" t="inlineStr">
        <is>
          <t>game of spades full house dupe</t>
        </is>
      </c>
      <c r="AQ65" s="42" t="inlineStr">
        <is>
          <t>deyga 100 plant based hair color black</t>
        </is>
      </c>
    </row>
    <row r="66" ht="15" customHeight="1" s="37">
      <c r="A66" s="42" t="inlineStr">
        <is>
          <t>dkny perfume</t>
        </is>
      </c>
      <c r="B66" s="42" t="inlineStr">
        <is>
          <t>trussardi perfume for women</t>
        </is>
      </c>
      <c r="C66" s="42" t="inlineStr">
        <is>
          <t>buy deyga hair removal powder</t>
        </is>
      </c>
      <c r="D66" s="42" t="inlineStr">
        <is>
          <t>calvin klein my euphoria miniature</t>
        </is>
      </c>
      <c r="E66" s="42" t="inlineStr">
        <is>
          <t>deyga vitamin c daily glow combo</t>
        </is>
      </c>
      <c r="F66" s="42" t="inlineStr">
        <is>
          <t>gucci miniature set</t>
        </is>
      </c>
      <c r="G66" s="42" t="inlineStr">
        <is>
          <t>serge lutens la fille de berlin</t>
        </is>
      </c>
      <c r="H66" s="42" t="inlineStr">
        <is>
          <t>vilvah herbal shampoo (dandruff control)</t>
        </is>
      </c>
      <c r="I66" s="42" t="inlineStr">
        <is>
          <t>bvlgari splendida tubereuse mystique uk</t>
        </is>
      </c>
      <c r="J66" s="66" t="inlineStr">
        <is>
          <t>deyga spinach &amp; cucumber bath bar uk</t>
        </is>
      </c>
      <c r="K66" s="66" t="inlineStr">
        <is>
          <t>gucci bloom profumo di fiori pen uk</t>
        </is>
      </c>
      <c r="L66" s="66" t="inlineStr">
        <is>
          <t>s.t. dupont perfect tobacco uk</t>
        </is>
      </c>
      <c r="M66" s="66" t="inlineStr">
        <is>
          <t>vilvah foot cream uk</t>
        </is>
      </c>
      <c r="N66" s="66" t="inlineStr">
        <is>
          <t>calvin klein defy parfum miniature parfum</t>
        </is>
      </c>
      <c r="O66" s="66" t="inlineStr">
        <is>
          <t>givenchy amarige eau de toilette</t>
        </is>
      </c>
      <c r="P66" s="66" t="inlineStr">
        <is>
          <t>serge lutens la fille de berlin eau de parfum</t>
        </is>
      </c>
      <c r="Q66" s="66" t="inlineStr">
        <is>
          <t>buy bentley absolute online</t>
        </is>
      </c>
      <c r="R66" s="66" t="inlineStr">
        <is>
          <t>buy deyga neem &amp; turmeric bath bar online</t>
        </is>
      </c>
      <c r="S66" s="66" t="inlineStr">
        <is>
          <t>buy game of spades full house online</t>
        </is>
      </c>
      <c r="T66" s="66" t="inlineStr">
        <is>
          <t>buy mancera black noir online</t>
        </is>
      </c>
      <c r="U66" s="66" t="inlineStr">
        <is>
          <t>buy vilvah body polishing kit online</t>
        </is>
      </c>
      <c r="V66" s="66" t="inlineStr">
        <is>
          <t>acqua di parma sandalo eau de parfum</t>
        </is>
      </c>
      <c r="W66" s="66" t="inlineStr">
        <is>
          <t>bentley absolute for men review</t>
        </is>
      </c>
      <c r="X66" s="66" t="inlineStr">
        <is>
          <t>carolina herrera bad boy extreme edp</t>
        </is>
      </c>
      <c r="Y66" s="66" t="inlineStr">
        <is>
          <t>deyga charcoal face wash ingredients</t>
        </is>
      </c>
      <c r="Z66" s="66" t="inlineStr">
        <is>
          <t>dolce and gabbana miniature gift set</t>
        </is>
      </c>
      <c r="AA66" s="66" t="inlineStr">
        <is>
          <t>elie saab le parfum notes</t>
        </is>
      </c>
      <c r="AB66" s="66" t="inlineStr">
        <is>
          <t>game of spades rouge parfum</t>
        </is>
      </c>
      <c r="AC66" s="66" t="inlineStr">
        <is>
          <t>guerlain perfume la petite robe noire price</t>
        </is>
      </c>
      <c r="AD66" s="66" t="inlineStr">
        <is>
          <t>marc jacobs honey review</t>
        </is>
      </c>
      <c r="AE66" s="66" t="inlineStr">
        <is>
          <t>the woods collection azure фрагрантика</t>
        </is>
      </c>
      <c r="AF66" s="66" t="inlineStr">
        <is>
          <t>tiziana terenzi white fire review</t>
        </is>
      </c>
      <c r="AG66" s="66" t="inlineStr">
        <is>
          <t>al haramain detour noir price</t>
        </is>
      </c>
      <c r="AH66" s="66" t="inlineStr">
        <is>
          <t>deyga face &amp; body exfoliator powder price</t>
        </is>
      </c>
      <c r="AI66" s="66" t="inlineStr">
        <is>
          <t>fumeri adore price</t>
        </is>
      </c>
      <c r="AJ66" s="66" t="inlineStr">
        <is>
          <t>la maison de la vanille absolu de vanille price</t>
        </is>
      </c>
      <c r="AK66" s="66" t="inlineStr">
        <is>
          <t>tom ford noir extreme price</t>
        </is>
      </c>
      <c r="AM66" s="42" t="inlineStr">
        <is>
          <t>guerlain samsara eau de parfum</t>
        </is>
      </c>
      <c r="AN66" s="42" t="inlineStr">
        <is>
          <t>goat milk shampoo</t>
        </is>
      </c>
      <c r="AP66" s="42" t="inlineStr">
        <is>
          <t>nina ricci l'air du temps notes</t>
        </is>
      </c>
      <c r="AQ66" s="42" t="inlineStr">
        <is>
          <t>deyga rice water shampoo review</t>
        </is>
      </c>
    </row>
    <row r="67" ht="15" customHeight="1" s="37">
      <c r="A67" s="42" t="inlineStr">
        <is>
          <t>dkny perfume for women</t>
        </is>
      </c>
      <c r="B67" s="42" t="inlineStr">
        <is>
          <t>viktor &amp; rolf perfume</t>
        </is>
      </c>
      <c r="C67" s="42" t="inlineStr">
        <is>
          <t>buy deyga lip balm</t>
        </is>
      </c>
      <c r="D67" s="42" t="inlineStr">
        <is>
          <t>carolina herrera 212 sexy men</t>
        </is>
      </c>
      <c r="E67" s="42" t="inlineStr">
        <is>
          <t>deyga vitamin c foaming face wash</t>
        </is>
      </c>
      <c r="F67" s="42" t="inlineStr">
        <is>
          <t>gucci set</t>
        </is>
      </c>
      <c r="G67" s="42" t="inlineStr">
        <is>
          <t>shiseido zen</t>
        </is>
      </c>
      <c r="H67" s="42" t="inlineStr">
        <is>
          <t>vilvah honey fix face wash</t>
        </is>
      </c>
      <c r="I67" s="42" t="inlineStr">
        <is>
          <t>calvin klein defy miniature uk</t>
        </is>
      </c>
      <c r="J67" s="66" t="inlineStr">
        <is>
          <t>deyga spirulina matcha face pack uk</t>
        </is>
      </c>
      <c r="K67" s="66" t="inlineStr">
        <is>
          <t>gucci flora gorgeous gardenia uk</t>
        </is>
      </c>
      <c r="L67" s="66" t="inlineStr">
        <is>
          <t>s.t. dupont pure bloom uk</t>
        </is>
      </c>
      <c r="M67" s="66" t="inlineStr">
        <is>
          <t>vilvah goat milk body wash uk</t>
        </is>
      </c>
      <c r="N67" s="66" t="inlineStr">
        <is>
          <t>calvin klein eternity aromatic essence parfum intense miniature parfum</t>
        </is>
      </c>
      <c r="O67" s="66" t="inlineStr">
        <is>
          <t>givenchy gentleman originale eau de toilette</t>
        </is>
      </c>
      <c r="P67" s="66" t="inlineStr">
        <is>
          <t>shiseido zen eau de parfum</t>
        </is>
      </c>
      <c r="Q67" s="66" t="inlineStr">
        <is>
          <t>buy bentley azure online</t>
        </is>
      </c>
      <c r="R67" s="66" t="inlineStr">
        <is>
          <t>buy deyga neem seed oil online</t>
        </is>
      </c>
      <c r="S67" s="66" t="inlineStr">
        <is>
          <t>buy game of spades high roller online</t>
        </is>
      </c>
      <c r="T67" s="66" t="inlineStr">
        <is>
          <t>buy mancera intense red tobacco online</t>
        </is>
      </c>
      <c r="U67" s="66" t="inlineStr">
        <is>
          <t>buy vilvah budget skincare combo online</t>
        </is>
      </c>
      <c r="V67" s="66" t="inlineStr">
        <is>
          <t>acqua di parma sandalo review</t>
        </is>
      </c>
      <c r="W67" s="66" t="inlineStr">
        <is>
          <t>bentley absolute men edp</t>
        </is>
      </c>
      <c r="X67" s="66" t="inlineStr">
        <is>
          <t>carolina herrera bad boy extreme notes</t>
        </is>
      </c>
      <c r="Y67" s="66" t="inlineStr">
        <is>
          <t>deyga charcoal face wash review</t>
        </is>
      </c>
      <c r="Z67" s="66" t="inlineStr">
        <is>
          <t>dolce and gabbana miniature set</t>
        </is>
      </c>
      <c r="AA67" s="66" t="inlineStr">
        <is>
          <t>elie saab le parfum set</t>
        </is>
      </c>
      <c r="AB67" s="66" t="inlineStr">
        <is>
          <t>game of spades rouge review</t>
        </is>
      </c>
      <c r="AC67" s="66" t="inlineStr">
        <is>
          <t>guerlain samsara edp</t>
        </is>
      </c>
      <c r="AD67" s="66" t="inlineStr">
        <is>
          <t>marc jacobs perfect 100ml</t>
        </is>
      </c>
      <c r="AE67" s="66" t="inlineStr">
        <is>
          <t>the woods collection eden edp 100ml</t>
        </is>
      </c>
      <c r="AF67" s="66" t="inlineStr">
        <is>
          <t>trussardi delicate rose 100ml</t>
        </is>
      </c>
      <c r="AG67" s="66" t="inlineStr">
        <is>
          <t>al haramain l'aventure blanche price</t>
        </is>
      </c>
      <c r="AH67" s="66" t="inlineStr">
        <is>
          <t>deyga foot butter price</t>
        </is>
      </c>
      <c r="AI67" s="66" t="inlineStr">
        <is>
          <t>fumeri ambre night price</t>
        </is>
      </c>
      <c r="AJ67" s="66" t="inlineStr">
        <is>
          <t>la maison de la vanille ambre secret price</t>
        </is>
      </c>
      <c r="AK67" s="66" t="inlineStr">
        <is>
          <t>tom ford oud wood price</t>
        </is>
      </c>
      <c r="AM67" s="42" t="inlineStr">
        <is>
          <t>guerlain samsara uk</t>
        </is>
      </c>
      <c r="AN67" s="42" t="inlineStr">
        <is>
          <t>goat milk body lotion</t>
        </is>
      </c>
      <c r="AP67" s="42" t="inlineStr">
        <is>
          <t>nina ricci l'air du temps perfume</t>
        </is>
      </c>
      <c r="AQ67" s="42" t="inlineStr">
        <is>
          <t>deyga soy milk conditioner review</t>
        </is>
      </c>
    </row>
    <row r="68" ht="15" customHeight="1" s="37">
      <c r="A68" s="42" t="inlineStr">
        <is>
          <t>dolce &amp; gabbana perfume</t>
        </is>
      </c>
      <c r="B68" s="42" t="inlineStr">
        <is>
          <t>viktor &amp; rolf perfume for women</t>
        </is>
      </c>
      <c r="C68" s="42" t="inlineStr">
        <is>
          <t>buy vilvah</t>
        </is>
      </c>
      <c r="D68" s="42" t="inlineStr">
        <is>
          <t>carolina herrera 212 vip men</t>
        </is>
      </c>
      <c r="E68" s="42" t="inlineStr">
        <is>
          <t>deyga wild berry body wash</t>
        </is>
      </c>
      <c r="F68" s="42" t="inlineStr">
        <is>
          <t>guerlain epices exquises</t>
        </is>
      </c>
      <c r="G68" s="42" t="inlineStr">
        <is>
          <t>signature ambre</t>
        </is>
      </c>
      <c r="H68" s="42" t="inlineStr">
        <is>
          <t>vilvah lip balm - grapefruit</t>
        </is>
      </c>
      <c r="I68" s="42" t="inlineStr">
        <is>
          <t>calvin klein defy parfum miniature uk</t>
        </is>
      </c>
      <c r="J68" s="66" t="inlineStr">
        <is>
          <t>deyga strawberry lip scrub uk</t>
        </is>
      </c>
      <c r="K68" s="66" t="inlineStr">
        <is>
          <t>gucci flora gorgeous miniature set uk</t>
        </is>
      </c>
      <c r="L68" s="66" t="inlineStr">
        <is>
          <t>s.t. dupont royal amber uk</t>
        </is>
      </c>
      <c r="M68" s="66" t="inlineStr">
        <is>
          <t>vilvah goat milk hair kit uk</t>
        </is>
      </c>
      <c r="N68" s="66" t="inlineStr">
        <is>
          <t>calvin klein eternity eau de parfum</t>
        </is>
      </c>
      <c r="O68" s="66" t="inlineStr">
        <is>
          <t>gucci bloom miniature eau de toilette</t>
        </is>
      </c>
      <c r="P68" s="66" t="inlineStr">
        <is>
          <t>signature ambre eau de parfum</t>
        </is>
      </c>
      <c r="Q68" s="66" t="inlineStr">
        <is>
          <t>buy bentley azzaro chrome legend online</t>
        </is>
      </c>
      <c r="R68" s="66" t="inlineStr">
        <is>
          <t>buy deyga nourished lip care kit online</t>
        </is>
      </c>
      <c r="S68" s="66" t="inlineStr">
        <is>
          <t>buy game of spades jackpot online</t>
        </is>
      </c>
      <c r="T68" s="66" t="inlineStr">
        <is>
          <t>buy marc jacobs daisy love glow limited edition online</t>
        </is>
      </c>
      <c r="U68" s="66" t="inlineStr">
        <is>
          <t>buy vilvah charcoal facemask online</t>
        </is>
      </c>
      <c r="V68" s="66" t="inlineStr">
        <is>
          <t>acqua di parma zafferano 100ml</t>
        </is>
      </c>
      <c r="W68" s="66" t="inlineStr">
        <is>
          <t>bentley absolute review</t>
        </is>
      </c>
      <c r="X68" s="66" t="inlineStr">
        <is>
          <t>carolina herrera bad boy extreme review</t>
        </is>
      </c>
      <c r="Y68" s="66" t="inlineStr">
        <is>
          <t>deyga charcoal soap ingredients</t>
        </is>
      </c>
      <c r="Z68" s="66" t="inlineStr">
        <is>
          <t>dolce gabbana devotion men gift set</t>
        </is>
      </c>
      <c r="AA68" s="66" t="inlineStr">
        <is>
          <t>elie saab nuit noor edp</t>
        </is>
      </c>
      <c r="AB68" s="66" t="inlineStr">
        <is>
          <t>game of spades royale dupe of</t>
        </is>
      </c>
      <c r="AC68" s="66" t="inlineStr">
        <is>
          <t>guerlain samsara edt</t>
        </is>
      </c>
      <c r="AD68" s="66" t="inlineStr">
        <is>
          <t>marc jacobs perfect edp</t>
        </is>
      </c>
      <c r="AE68" s="66" t="inlineStr">
        <is>
          <t>the woods collection eden review</t>
        </is>
      </c>
      <c r="AF68" s="66" t="inlineStr">
        <is>
          <t>trussardi delicate rose edt</t>
        </is>
      </c>
      <c r="AG68" s="66" t="inlineStr">
        <is>
          <t>al haramain l'aventure femme price</t>
        </is>
      </c>
      <c r="AH68" s="66" t="inlineStr">
        <is>
          <t>deyga foot scrub price</t>
        </is>
      </c>
      <c r="AI68" s="66" t="inlineStr">
        <is>
          <t>fumeri angel price</t>
        </is>
      </c>
      <c r="AJ68" s="66" t="inlineStr">
        <is>
          <t>la maison de la vanille royal oud price</t>
        </is>
      </c>
      <c r="AK68" s="66" t="inlineStr">
        <is>
          <t>trussardi black extreme miniature price</t>
        </is>
      </c>
      <c r="AM68" s="42" t="inlineStr">
        <is>
          <t>acqua di parma sakura edp</t>
        </is>
      </c>
      <c r="AN68" s="42" t="inlineStr">
        <is>
          <t>goat milk face wash</t>
        </is>
      </c>
      <c r="AP68" s="42" t="inlineStr">
        <is>
          <t>bentley azure for sale</t>
        </is>
      </c>
      <c r="AQ68" s="42" t="inlineStr">
        <is>
          <t>deyga foot butter review</t>
        </is>
      </c>
    </row>
    <row r="69" ht="15" customHeight="1" s="37">
      <c r="A69" s="42" t="inlineStr">
        <is>
          <t>dolce &amp; gabbana perfume for men</t>
        </is>
      </c>
      <c r="B69" s="42" t="inlineStr">
        <is>
          <t>woody perfume for men uk</t>
        </is>
      </c>
      <c r="C69" s="42" t="inlineStr">
        <is>
          <t>buy vilvah aloe vera gel</t>
        </is>
      </c>
      <c r="D69" s="42" t="inlineStr">
        <is>
          <t>carolina herrera 212 vip rose</t>
        </is>
      </c>
      <c r="E69" s="42" t="inlineStr">
        <is>
          <t>dior iconics mini discovery set</t>
        </is>
      </c>
      <c r="F69" s="42" t="inlineStr">
        <is>
          <t>guerlain habit rouge</t>
        </is>
      </c>
      <c r="G69" s="42" t="inlineStr">
        <is>
          <t>signature aura</t>
        </is>
      </c>
      <c r="H69" s="42" t="inlineStr">
        <is>
          <t>vilvah lip balm - lemon</t>
        </is>
      </c>
      <c r="I69" s="42" t="inlineStr">
        <is>
          <t>calvin klein defy uk</t>
        </is>
      </c>
      <c r="J69" s="66" t="inlineStr">
        <is>
          <t>deyga sunscreen uk</t>
        </is>
      </c>
      <c r="K69" s="66" t="inlineStr">
        <is>
          <t>gucci flora gorgeous orchid miniature uk</t>
        </is>
      </c>
      <c r="L69" s="66" t="inlineStr">
        <is>
          <t>sap le roi uk</t>
        </is>
      </c>
      <c r="M69" s="66" t="inlineStr">
        <is>
          <t>vilvah goat milk hair mask uk</t>
        </is>
      </c>
      <c r="N69" s="66" t="inlineStr">
        <is>
          <t>calvin klein eternity eau de toilette</t>
        </is>
      </c>
      <c r="O69" s="66" t="inlineStr">
        <is>
          <t>gucci bloom parfum miniature parfum</t>
        </is>
      </c>
      <c r="P69" s="66" t="inlineStr">
        <is>
          <t>signature aura edp</t>
        </is>
      </c>
      <c r="Q69" s="66" t="inlineStr">
        <is>
          <t>buy bentley azzaro pour homme deodorant online</t>
        </is>
      </c>
      <c r="R69" s="66" t="inlineStr">
        <is>
          <t>buy deyga nourished lips stick kit online</t>
        </is>
      </c>
      <c r="S69" s="66" t="inlineStr">
        <is>
          <t>buy game of spades king online</t>
        </is>
      </c>
      <c r="T69" s="66" t="inlineStr">
        <is>
          <t>buy marc jacobs daisy love miniature online</t>
        </is>
      </c>
      <c r="U69" s="66" t="inlineStr">
        <is>
          <t>buy vilvah charcoal goatmilk soap online</t>
        </is>
      </c>
      <c r="V69" s="66" t="inlineStr">
        <is>
          <t>acqua di parma zafferano dupe</t>
        </is>
      </c>
      <c r="W69" s="66" t="inlineStr">
        <is>
          <t>bentley azure 2026</t>
        </is>
      </c>
      <c r="X69" s="66" t="inlineStr">
        <is>
          <t>carolina herrera bad boy le parfum</t>
        </is>
      </c>
      <c r="Y69" s="66" t="inlineStr">
        <is>
          <t>deyga charcoal soap price</t>
        </is>
      </c>
      <c r="Z69" s="66" t="inlineStr">
        <is>
          <t>dolce gabbana devotion perfume gift set</t>
        </is>
      </c>
      <c r="AA69" s="66" t="inlineStr">
        <is>
          <t>elie saab nuit noor edp 90ml</t>
        </is>
      </c>
      <c r="AB69" s="66" t="inlineStr">
        <is>
          <t>game of spades royale notes</t>
        </is>
      </c>
      <c r="AC69" s="66" t="inlineStr">
        <is>
          <t>guerlain samsara notes</t>
        </is>
      </c>
      <c r="AD69" s="66" t="inlineStr">
        <is>
          <t>marc jacobs perfect notes</t>
        </is>
      </c>
      <c r="AE69" s="66" t="inlineStr">
        <is>
          <t>the woods collection eden отзывы</t>
        </is>
      </c>
      <c r="AF69" s="66" t="inlineStr">
        <is>
          <t>trussardi delicate rose notes</t>
        </is>
      </c>
      <c r="AG69" s="66" t="inlineStr">
        <is>
          <t>al haramain l'aventure gold price</t>
        </is>
      </c>
      <c r="AH69" s="66" t="inlineStr">
        <is>
          <t>deyga foot soak powder price</t>
        </is>
      </c>
      <c r="AI69" s="66" t="inlineStr">
        <is>
          <t>fumeri blue price</t>
        </is>
      </c>
      <c r="AJ69" s="66" t="inlineStr">
        <is>
          <t>la maison de la wooden coffret price</t>
        </is>
      </c>
      <c r="AK69" s="66" t="inlineStr">
        <is>
          <t>trussardi delicate rose price</t>
        </is>
      </c>
      <c r="AM69" s="42" t="inlineStr">
        <is>
          <t>anna sui sky eau de toilette</t>
        </is>
      </c>
      <c r="AN69" s="42" t="inlineStr">
        <is>
          <t>rice water shampoo</t>
        </is>
      </c>
      <c r="AP69" s="42" t="inlineStr">
        <is>
          <t>bentley azure 2026</t>
        </is>
      </c>
      <c r="AQ69" s="42" t="inlineStr">
        <is>
          <t>deyga anti dandruff shampoo review</t>
        </is>
      </c>
    </row>
    <row r="70" ht="15" customHeight="1" s="37">
      <c r="A70" s="42" t="inlineStr">
        <is>
          <t>dolce &amp; gabbana perfume for women</t>
        </is>
      </c>
      <c r="B70" s="42" t="inlineStr">
        <is>
          <t>woody perfume for women uk</t>
        </is>
      </c>
      <c r="C70" s="42" t="inlineStr">
        <is>
          <t>buy vilvah face wash</t>
        </is>
      </c>
      <c r="D70" s="42" t="inlineStr">
        <is>
          <t>carolina herrera bad boy extreme</t>
        </is>
      </c>
      <c r="E70" s="42" t="inlineStr">
        <is>
          <t>dior miss dior roller-pearl</t>
        </is>
      </c>
      <c r="F70" s="42" t="inlineStr">
        <is>
          <t>guerlain l'instant de guerlain</t>
        </is>
      </c>
      <c r="G70" s="42" t="inlineStr">
        <is>
          <t>signature black pour homme</t>
        </is>
      </c>
      <c r="H70" s="42" t="inlineStr">
        <is>
          <t>vilvah lip lightening kit</t>
        </is>
      </c>
      <c r="I70" s="42" t="inlineStr">
        <is>
          <t>calvin klein eternity aromatic essence parfum intense miniature uk</t>
        </is>
      </c>
      <c r="J70" s="66" t="inlineStr">
        <is>
          <t>deyga tangerine cleansing balm for makeup removal uk</t>
        </is>
      </c>
      <c r="K70" s="66" t="inlineStr">
        <is>
          <t>gucci guilty pour femme gift set uk</t>
        </is>
      </c>
      <c r="L70" s="66" t="inlineStr">
        <is>
          <t>sap oud leopard fr uk</t>
        </is>
      </c>
      <c r="M70" s="66" t="inlineStr">
        <is>
          <t>vilvah goat milk shampoo uk</t>
        </is>
      </c>
      <c r="N70" s="66" t="inlineStr">
        <is>
          <t>calvin klein eternity parfum miniature parfum</t>
        </is>
      </c>
      <c r="O70" s="66" t="inlineStr">
        <is>
          <t>gucci bloom profumo di fiori pen eau de parfum</t>
        </is>
      </c>
      <c r="P70" s="66" t="inlineStr">
        <is>
          <t>signature black pour homme edp</t>
        </is>
      </c>
      <c r="Q70" s="66" t="inlineStr">
        <is>
          <t>buy bentley azzaro the most wanted intense gift set online</t>
        </is>
      </c>
      <c r="R70" s="66" t="inlineStr">
        <is>
          <t>buy deyga oat milk face wash online</t>
        </is>
      </c>
      <c r="S70" s="66" t="inlineStr">
        <is>
          <t>buy game of spades moon online</t>
        </is>
      </c>
      <c r="T70" s="66" t="inlineStr">
        <is>
          <t>buy marc jacobs honey online</t>
        </is>
      </c>
      <c r="U70" s="66" t="inlineStr">
        <is>
          <t>buy vilvah classic goatmilk soap online</t>
        </is>
      </c>
      <c r="V70" s="66" t="inlineStr">
        <is>
          <t>acqua di parma zafferano eau de parfum</t>
        </is>
      </c>
      <c r="W70" s="66" t="inlineStr">
        <is>
          <t>bentley azure 2026 price</t>
        </is>
      </c>
      <c r="X70" s="66" t="inlineStr">
        <is>
          <t>carolina herrera bad boy le parfum 100ml</t>
        </is>
      </c>
      <c r="Y70" s="66" t="inlineStr">
        <is>
          <t>deyga charcoal soap review</t>
        </is>
      </c>
      <c r="Z70" s="66" t="inlineStr">
        <is>
          <t>dolce gabbana devotion set</t>
        </is>
      </c>
      <c r="AA70" s="66" t="inlineStr">
        <is>
          <t>elie saab nuit noor notes</t>
        </is>
      </c>
      <c r="AB70" s="66" t="inlineStr">
        <is>
          <t>game of spades royale parfum</t>
        </is>
      </c>
      <c r="AC70" s="66" t="inlineStr">
        <is>
          <t>guerlain samsara original</t>
        </is>
      </c>
      <c r="AD70" s="66" t="inlineStr">
        <is>
          <t>marc jacobs perfect perfume</t>
        </is>
      </c>
      <c r="AE70" s="66" t="inlineStr">
        <is>
          <t>the woods collection eden фрагрантика</t>
        </is>
      </c>
      <c r="AF70" s="66" t="inlineStr">
        <is>
          <t>trussardi delicate rose perfume</t>
        </is>
      </c>
      <c r="AG70" s="66" t="inlineStr">
        <is>
          <t>al haramain l'aventure intense price</t>
        </is>
      </c>
      <c r="AH70" s="66" t="inlineStr">
        <is>
          <t>deyga game changer face care kit price</t>
        </is>
      </c>
      <c r="AI70" s="66" t="inlineStr">
        <is>
          <t>fumeri elixir price</t>
        </is>
      </c>
      <c r="AJ70" s="66" t="inlineStr">
        <is>
          <t>lancome idole nectar price</t>
        </is>
      </c>
      <c r="AK70" s="66" t="inlineStr">
        <is>
          <t>trussardi pure jasmine lifestyle mini gift set price</t>
        </is>
      </c>
      <c r="AM70" s="42" t="inlineStr">
        <is>
          <t>carolina herrera bad boy extreme eau de parfum</t>
        </is>
      </c>
      <c r="AN70" s="42" t="inlineStr">
        <is>
          <t>rice water hair mask</t>
        </is>
      </c>
      <c r="AP70" s="42" t="inlineStr">
        <is>
          <t>calvin klein defy review</t>
        </is>
      </c>
      <c r="AQ70" s="42" t="inlineStr">
        <is>
          <t>deyga beetroot lip balm review</t>
        </is>
      </c>
    </row>
    <row r="71" ht="15" customHeight="1" s="37">
      <c r="A71" s="42" t="inlineStr">
        <is>
          <t>dunhill perfume</t>
        </is>
      </c>
      <c r="B71" s="42" t="inlineStr">
        <is>
          <t>woody perfume uk</t>
        </is>
      </c>
      <c r="C71" s="42" t="inlineStr">
        <is>
          <t>buy vilvah foot cream</t>
        </is>
      </c>
      <c r="D71" s="42" t="inlineStr">
        <is>
          <t>carolina herrera bad boy le</t>
        </is>
      </c>
      <c r="E71" s="42" t="inlineStr">
        <is>
          <t>dior sauvage</t>
        </is>
      </c>
      <c r="F71" s="42" t="inlineStr">
        <is>
          <t>guerlain la petite robe noire ma robe cocktail</t>
        </is>
      </c>
      <c r="G71" s="42" t="inlineStr">
        <is>
          <t>signature blue</t>
        </is>
      </c>
      <c r="H71" s="42" t="inlineStr">
        <is>
          <t>vilvah lip nourishing kit</t>
        </is>
      </c>
      <c r="I71" s="42" t="inlineStr">
        <is>
          <t>calvin klein eternity parfum miniature uk</t>
        </is>
      </c>
      <c r="J71" s="66" t="inlineStr">
        <is>
          <t>deyga tea tree facial toner uk</t>
        </is>
      </c>
      <c r="K71" s="66" t="inlineStr">
        <is>
          <t>gucci guilty pour femme miniature uk</t>
        </is>
      </c>
      <c r="L71" s="66" t="inlineStr">
        <is>
          <t>sap patchouli intense uk</t>
        </is>
      </c>
      <c r="M71" s="66" t="inlineStr">
        <is>
          <t>vilvah hair growth oil uk</t>
        </is>
      </c>
      <c r="N71" s="66" t="inlineStr">
        <is>
          <t>calvin klein my euphoria miniature eau de parfum</t>
        </is>
      </c>
      <c r="O71" s="66" t="inlineStr">
        <is>
          <t>gucci flora gorgeous gardenia eau de parfum</t>
        </is>
      </c>
      <c r="P71" s="66" t="inlineStr">
        <is>
          <t>signature blue edp</t>
        </is>
      </c>
      <c r="Q71" s="66" t="inlineStr">
        <is>
          <t>buy bentley azzaro the most wanted online</t>
        </is>
      </c>
      <c r="R71" s="66" t="inlineStr">
        <is>
          <t>buy deyga orange &amp; almond face pack powder online</t>
        </is>
      </c>
      <c r="S71" s="66" t="inlineStr">
        <is>
          <t>buy game of spades opal online</t>
        </is>
      </c>
      <c r="T71" s="66" t="inlineStr">
        <is>
          <t>buy marc jacobs miniature gift set 2025 online</t>
        </is>
      </c>
      <c r="U71" s="66" t="inlineStr">
        <is>
          <t>buy vilvah classic rose goatmilk soap online</t>
        </is>
      </c>
      <c r="V71" s="66" t="inlineStr">
        <is>
          <t>acqua di parma zafferano review</t>
        </is>
      </c>
      <c r="W71" s="66" t="inlineStr">
        <is>
          <t>bentley azure for men</t>
        </is>
      </c>
      <c r="X71" s="66" t="inlineStr">
        <is>
          <t>carolina herrera bad boy le parfum 150ml</t>
        </is>
      </c>
      <c r="Y71" s="66" t="inlineStr">
        <is>
          <t>deyga eyebrow growth oil review</t>
        </is>
      </c>
      <c r="Z71" s="66" t="inlineStr">
        <is>
          <t>dolce gabbana devotion set mini</t>
        </is>
      </c>
      <c r="AA71" s="66" t="inlineStr">
        <is>
          <t>elie saab nuit noor perfume</t>
        </is>
      </c>
      <c r="AB71" s="66" t="inlineStr">
        <is>
          <t>game of spades royale perfume</t>
        </is>
      </c>
      <c r="AC71" s="66" t="inlineStr">
        <is>
          <t>guerlain samsara perfume</t>
        </is>
      </c>
      <c r="AD71" s="66" t="inlineStr">
        <is>
          <t>miniature parfum gucci bloom</t>
        </is>
      </c>
      <c r="AE71" s="66" t="inlineStr">
        <is>
          <t>the woods collection green walk review</t>
        </is>
      </c>
      <c r="AF71" s="66" t="inlineStr">
        <is>
          <t>trussardi delicate rose review</t>
        </is>
      </c>
      <c r="AG71" s="66" t="inlineStr">
        <is>
          <t>al haramain l'aventure price</t>
        </is>
      </c>
      <c r="AH71" s="66" t="inlineStr">
        <is>
          <t>deyga hair care kit price</t>
        </is>
      </c>
      <c r="AI71" s="66" t="inlineStr">
        <is>
          <t>fumeri flirt price</t>
        </is>
      </c>
      <c r="AJ71" s="66" t="inlineStr">
        <is>
          <t>lancome idole now florale price</t>
        </is>
      </c>
      <c r="AK71" s="66" t="inlineStr">
        <is>
          <t>trussardi pure jasmine miniature price</t>
        </is>
      </c>
      <c r="AM71" s="42" t="inlineStr">
        <is>
          <t>carolina herrera 212 vip men eau de toilette</t>
        </is>
      </c>
      <c r="AN71" s="42" t="inlineStr">
        <is>
          <t>beetroot lip balm</t>
        </is>
      </c>
      <c r="AP71" s="42" t="inlineStr">
        <is>
          <t>calvin klein defy perfume</t>
        </is>
      </c>
      <c r="AQ71" s="42" t="inlineStr">
        <is>
          <t>deyga under eye cream review</t>
        </is>
      </c>
    </row>
    <row r="72" ht="15" customHeight="1" s="37">
      <c r="A72" s="42" t="inlineStr">
        <is>
          <t>dunhill perfume for men</t>
        </is>
      </c>
      <c r="B72" s="42" t="inlineStr">
        <is>
          <t>ysl perfume</t>
        </is>
      </c>
      <c r="C72" s="42" t="inlineStr">
        <is>
          <t>buy vilvah lip balm</t>
        </is>
      </c>
      <c r="D72" s="42" t="inlineStr">
        <is>
          <t>carolina herrera very good girl glam</t>
        </is>
      </c>
      <c r="E72" s="42" t="inlineStr">
        <is>
          <t>dkny be delicious &amp; be delicious fresh blossom gift set</t>
        </is>
      </c>
      <c r="F72" s="42" t="inlineStr">
        <is>
          <t>guerlain mon guerlain miniature gift set</t>
        </is>
      </c>
      <c r="G72" s="42" t="inlineStr">
        <is>
          <t>signature charm</t>
        </is>
      </c>
      <c r="H72" s="42" t="inlineStr">
        <is>
          <t>vilvah lip scrub</t>
        </is>
      </c>
      <c r="I72" s="42" t="inlineStr">
        <is>
          <t>calvin klein eternity uk</t>
        </is>
      </c>
      <c r="J72" s="66" t="inlineStr">
        <is>
          <t>deyga under eye cream uk</t>
        </is>
      </c>
      <c r="K72" s="66" t="inlineStr">
        <is>
          <t>gucci guilty pour homme uk</t>
        </is>
      </c>
      <c r="L72" s="66" t="inlineStr">
        <is>
          <t>sap saffron oud uk</t>
        </is>
      </c>
      <c r="M72" s="66" t="inlineStr">
        <is>
          <t>vilvah hair strengthening kit uk</t>
        </is>
      </c>
      <c r="N72" s="66" t="inlineStr">
        <is>
          <t>carolina herrera 212 sexy men eau de toilette</t>
        </is>
      </c>
      <c r="O72" s="66" t="inlineStr">
        <is>
          <t>gucci flora gorgeous orchid miniature eau de parfum</t>
        </is>
      </c>
      <c r="P72" s="66" t="inlineStr">
        <is>
          <t>signature charm edp</t>
        </is>
      </c>
      <c r="Q72" s="66" t="inlineStr">
        <is>
          <t>buy bentley become online</t>
        </is>
      </c>
      <c r="R72" s="66" t="inlineStr">
        <is>
          <t>buy deyga organic loofah for body exfoliation online</t>
        </is>
      </c>
      <c r="S72" s="66" t="inlineStr">
        <is>
          <t>buy game of spades rouge extrait online</t>
        </is>
      </c>
      <c r="T72" s="66" t="inlineStr">
        <is>
          <t>buy marc jacobs perfect elixir miniature online</t>
        </is>
      </c>
      <c r="U72" s="66" t="inlineStr">
        <is>
          <t>buy vilvah cookie n cream body mask online</t>
        </is>
      </c>
      <c r="V72" s="66" t="inlineStr">
        <is>
          <t>al haramain - l'aventure femme edp</t>
        </is>
      </c>
      <c r="W72" s="66" t="inlineStr">
        <is>
          <t>bentley azure for sale</t>
        </is>
      </c>
      <c r="X72" s="66" t="inlineStr">
        <is>
          <t>carolina herrera bad boy le parfum eau de parfum</t>
        </is>
      </c>
      <c r="Y72" s="66" t="inlineStr">
        <is>
          <t>deyga foot butter cream</t>
        </is>
      </c>
      <c r="Z72" s="66" t="inlineStr">
        <is>
          <t>dolce gabbana k edp gift set</t>
        </is>
      </c>
      <c r="AA72" s="66" t="inlineStr">
        <is>
          <t>elie saab nuit noor review</t>
        </is>
      </c>
      <c r="AB72" s="66" t="inlineStr">
        <is>
          <t>game of spades royale review</t>
        </is>
      </c>
      <c r="AC72" s="66" t="inlineStr">
        <is>
          <t>hemel dorado perfume</t>
        </is>
      </c>
      <c r="AD72" s="66" t="inlineStr">
        <is>
          <t>montale aoud damascus edp</t>
        </is>
      </c>
      <c r="AE72" s="66" t="inlineStr">
        <is>
          <t>the woods collection green walk отзывы</t>
        </is>
      </c>
      <c r="AF72" s="66" t="inlineStr">
        <is>
          <t>trussardi pure jasmine edp</t>
        </is>
      </c>
      <c r="AG72" s="66" t="inlineStr">
        <is>
          <t>anatome balance price</t>
        </is>
      </c>
      <c r="AH72" s="66" t="inlineStr">
        <is>
          <t>deyga hair growth oil price</t>
        </is>
      </c>
      <c r="AI72" s="66" t="inlineStr">
        <is>
          <t>fumeri gabriella price</t>
        </is>
      </c>
      <c r="AJ72" s="66" t="inlineStr">
        <is>
          <t>maison de milan amalfi bleu price</t>
        </is>
      </c>
      <c r="AK72" s="66" t="inlineStr">
        <is>
          <t>trussardi pure jasmine price</t>
        </is>
      </c>
      <c r="AM72" s="42" t="inlineStr">
        <is>
          <t>dkny be tempted eau de parfum</t>
        </is>
      </c>
      <c r="AN72" s="42" t="inlineStr">
        <is>
          <t>tinted lip balm</t>
        </is>
      </c>
      <c r="AP72" s="42" t="inlineStr">
        <is>
          <t>davidoff the game review</t>
        </is>
      </c>
      <c r="AQ72" s="42" t="inlineStr">
        <is>
          <t>deyga 10 vitamin c face serum</t>
        </is>
      </c>
    </row>
    <row r="73" ht="15" customHeight="1" s="37">
      <c r="A73" s="42" t="inlineStr">
        <is>
          <t>elie saab perfume</t>
        </is>
      </c>
      <c r="B73" s="42" t="inlineStr">
        <is>
          <t>body butter for dry skin</t>
        </is>
      </c>
      <c r="C73" s="42" t="inlineStr">
        <is>
          <t>buy vilvah milk drops</t>
        </is>
      </c>
      <c r="D73" s="42" t="inlineStr">
        <is>
          <t>casanova anniversary</t>
        </is>
      </c>
      <c r="E73" s="42" t="inlineStr">
        <is>
          <t>dkny be delicious orchard street</t>
        </is>
      </c>
      <c r="F73" s="42" t="inlineStr">
        <is>
          <t>guerlain musc noble</t>
        </is>
      </c>
      <c r="G73" s="42" t="inlineStr">
        <is>
          <t>signature diamond</t>
        </is>
      </c>
      <c r="H73" s="42" t="inlineStr">
        <is>
          <t>vilvah mango shake lip balm</t>
        </is>
      </c>
      <c r="I73" s="42" t="inlineStr">
        <is>
          <t>calvin klein miniature set uk</t>
        </is>
      </c>
      <c r="J73" s="66" t="inlineStr">
        <is>
          <t>deyga under eye mask uk</t>
        </is>
      </c>
      <c r="K73" s="66" t="inlineStr">
        <is>
          <t>gucci intense oud uk</t>
        </is>
      </c>
      <c r="L73" s="66" t="inlineStr">
        <is>
          <t>sap vert club uk</t>
        </is>
      </c>
      <c r="M73" s="66" t="inlineStr">
        <is>
          <t>vilvah hairfall control kit uk</t>
        </is>
      </c>
      <c r="N73" s="66" t="inlineStr">
        <is>
          <t>carolina herrera 212 vip men eau de toilette</t>
        </is>
      </c>
      <c r="O73" s="66" t="inlineStr">
        <is>
          <t>gucci guilty pour femme miniature eau de parfum</t>
        </is>
      </c>
      <c r="P73" s="66" t="inlineStr">
        <is>
          <t>signature diamond eau de parfum</t>
        </is>
      </c>
      <c r="Q73" s="66" t="inlineStr">
        <is>
          <t>buy bentley infinite online</t>
        </is>
      </c>
      <c r="R73" s="66" t="inlineStr">
        <is>
          <t>buy deyga plant based hair color – black online</t>
        </is>
      </c>
      <c r="S73" s="66" t="inlineStr">
        <is>
          <t>buy game of spades rouge online</t>
        </is>
      </c>
      <c r="T73" s="66" t="inlineStr">
        <is>
          <t>buy marc jacobs perfect miniature online</t>
        </is>
      </c>
      <c r="U73" s="66" t="inlineStr">
        <is>
          <t>buy vilvah cookie n cream body polish online</t>
        </is>
      </c>
      <c r="V73" s="66" t="inlineStr">
        <is>
          <t>al haramain amber musk dupe of</t>
        </is>
      </c>
      <c r="W73" s="66" t="inlineStr">
        <is>
          <t>bentley azure perfume</t>
        </is>
      </c>
      <c r="X73" s="66" t="inlineStr">
        <is>
          <t>carolina herrera bad boy le parfum notes</t>
        </is>
      </c>
      <c r="Y73" s="66" t="inlineStr">
        <is>
          <t>deyga foot butter ingredients</t>
        </is>
      </c>
      <c r="Z73" s="66" t="inlineStr">
        <is>
          <t>dolce gabbana k gift set</t>
        </is>
      </c>
      <c r="AA73" s="66" t="inlineStr">
        <is>
          <t>elizabeth arden beauty eau de parfum 100ml</t>
        </is>
      </c>
      <c r="AB73" s="66" t="inlineStr">
        <is>
          <t>game of spades ruby dupe of</t>
        </is>
      </c>
      <c r="AC73" s="66" t="inlineStr">
        <is>
          <t>hemel gris edp</t>
        </is>
      </c>
      <c r="AD73" s="66" t="inlineStr">
        <is>
          <t>montale aoud damascus edp 100ml</t>
        </is>
      </c>
      <c r="AE73" s="66" t="inlineStr">
        <is>
          <t>the woods collection mirage edp</t>
        </is>
      </c>
      <c r="AF73" s="66" t="inlineStr">
        <is>
          <t>trussardi pure jasmine perfume</t>
        </is>
      </c>
      <c r="AG73" s="66" t="inlineStr">
        <is>
          <t>anatome energy price</t>
        </is>
      </c>
      <c r="AH73" s="66" t="inlineStr">
        <is>
          <t>deyga hair nourishment kit price</t>
        </is>
      </c>
      <c r="AI73" s="66" t="inlineStr">
        <is>
          <t>fumeri gris price</t>
        </is>
      </c>
      <c r="AJ73" s="66" t="inlineStr">
        <is>
          <t>maison de milan bliss rouge price</t>
        </is>
      </c>
      <c r="AK73" s="66" t="inlineStr">
        <is>
          <t>trussardi ruby red gift set price</t>
        </is>
      </c>
      <c r="AM73" s="42" t="inlineStr">
        <is>
          <t>dkny be tempted uk</t>
        </is>
      </c>
      <c r="AN73" s="42" t="inlineStr">
        <is>
          <t>lip scrub</t>
        </is>
      </c>
      <c r="AP73" s="42" t="inlineStr">
        <is>
          <t>davidoff the game perfume</t>
        </is>
      </c>
      <c r="AQ73" s="42" t="inlineStr">
        <is>
          <t>deyga hair care kit review</t>
        </is>
      </c>
    </row>
    <row r="74" ht="15" customHeight="1" s="37">
      <c r="A74" s="42" t="inlineStr">
        <is>
          <t>elie saab perfume for women</t>
        </is>
      </c>
      <c r="B74" s="42" t="inlineStr">
        <is>
          <t>body care for body hydration</t>
        </is>
      </c>
      <c r="C74" s="42" t="inlineStr">
        <is>
          <t>buy vilvah milk drops serum</t>
        </is>
      </c>
      <c r="D74" s="42" t="inlineStr">
        <is>
          <t>chloe miniature gift set</t>
        </is>
      </c>
      <c r="E74" s="42" t="inlineStr">
        <is>
          <t>dkny be tempted</t>
        </is>
      </c>
      <c r="F74" s="42" t="inlineStr">
        <is>
          <t>guerlain oud essentiel</t>
        </is>
      </c>
      <c r="G74" s="42" t="inlineStr">
        <is>
          <t>signature discovery set</t>
        </is>
      </c>
      <c r="H74" s="42" t="inlineStr">
        <is>
          <t>vilvah men's comb / detangling comb</t>
        </is>
      </c>
      <c r="I74" s="42" t="inlineStr">
        <is>
          <t>calvin klein my euphoria miniature uk</t>
        </is>
      </c>
      <c r="J74" s="66" t="inlineStr">
        <is>
          <t>deyga vitamin c daily glow combo uk</t>
        </is>
      </c>
      <c r="K74" s="66" t="inlineStr">
        <is>
          <t>gucci miniature set uk</t>
        </is>
      </c>
      <c r="L74" s="66" t="inlineStr">
        <is>
          <t>serge lutens la fille de berlin uk</t>
        </is>
      </c>
      <c r="M74" s="66" t="inlineStr">
        <is>
          <t>vilvah herbal shampoo (dandruff control) uk</t>
        </is>
      </c>
      <c r="N74" s="66" t="inlineStr">
        <is>
          <t>carolina herrera 212 vip rose eau de parfum</t>
        </is>
      </c>
      <c r="O74" s="66" t="inlineStr">
        <is>
          <t>gucci guilty pour homme eau de toilette</t>
        </is>
      </c>
      <c r="P74" s="66" t="inlineStr">
        <is>
          <t>signature jade edp</t>
        </is>
      </c>
      <c r="Q74" s="66" t="inlineStr">
        <is>
          <t>buy bentley momentum unlimited online</t>
        </is>
      </c>
      <c r="R74" s="66" t="inlineStr">
        <is>
          <t>buy deyga premature greying hair oil online</t>
        </is>
      </c>
      <c r="S74" s="66" t="inlineStr">
        <is>
          <t>buy game of spades royale online</t>
        </is>
      </c>
      <c r="T74" s="66" t="inlineStr">
        <is>
          <t>buy marc jacobs perfect online</t>
        </is>
      </c>
      <c r="U74" s="66" t="inlineStr">
        <is>
          <t>buy vilvah cream bun lip balm online</t>
        </is>
      </c>
      <c r="V74" s="66" t="inlineStr">
        <is>
          <t>al haramain amber musk edp</t>
        </is>
      </c>
      <c r="W74" s="66" t="inlineStr">
        <is>
          <t>bentley become edp</t>
        </is>
      </c>
      <c r="X74" s="66" t="inlineStr">
        <is>
          <t>carolina herrera bad boy le parfum review</t>
        </is>
      </c>
      <c r="Y74" s="66" t="inlineStr">
        <is>
          <t>deyga foot butter review</t>
        </is>
      </c>
      <c r="Z74" s="66" t="inlineStr">
        <is>
          <t>dolce gabbana mini set</t>
        </is>
      </c>
      <c r="AA74" s="66" t="inlineStr">
        <is>
          <t>elizabeth arden beauty edp</t>
        </is>
      </c>
      <c r="AB74" s="66" t="inlineStr">
        <is>
          <t>game of spades ruby notes</t>
        </is>
      </c>
      <c r="AC74" s="66" t="inlineStr">
        <is>
          <t>hemel gris perfume</t>
        </is>
      </c>
      <c r="AD74" s="66" t="inlineStr">
        <is>
          <t>montale aoud damascus perfume</t>
        </is>
      </c>
      <c r="AE74" s="66" t="inlineStr">
        <is>
          <t>the woods collection mirage notes</t>
        </is>
      </c>
      <c r="AF74" s="66" t="inlineStr">
        <is>
          <t>trussardi pure jasmine review</t>
        </is>
      </c>
      <c r="AG74" s="66" t="inlineStr">
        <is>
          <t>anatome expression price</t>
        </is>
      </c>
      <c r="AH74" s="66" t="inlineStr">
        <is>
          <t>deyga hair removal powder price</t>
        </is>
      </c>
      <c r="AI74" s="66" t="inlineStr">
        <is>
          <t>fumeri orchid noir price</t>
        </is>
      </c>
      <c r="AJ74" s="66" t="inlineStr">
        <is>
          <t>maison de milan brave lad price</t>
        </is>
      </c>
      <c r="AK74" s="66" t="inlineStr">
        <is>
          <t>viktor &amp; rolf good fortune miniature price</t>
        </is>
      </c>
      <c r="AM74" s="42" t="inlineStr">
        <is>
          <t>escada magnetism eau de parfum</t>
        </is>
      </c>
      <c r="AN74" s="42" t="inlineStr">
        <is>
          <t>natural lip balm</t>
        </is>
      </c>
      <c r="AP74" s="42" t="inlineStr">
        <is>
          <t>al haramain l'aventure dupe of</t>
        </is>
      </c>
    </row>
    <row r="75" ht="15" customHeight="1" s="37">
      <c r="A75" s="42" t="inlineStr">
        <is>
          <t>elizabeth arden perfume</t>
        </is>
      </c>
      <c r="B75" s="42" t="inlineStr">
        <is>
          <t>body care for dry skin</t>
        </is>
      </c>
      <c r="C75" s="42" t="inlineStr">
        <is>
          <t>buy vilvah products</t>
        </is>
      </c>
      <c r="D75" s="42" t="inlineStr">
        <is>
          <t>chloe miniature set</t>
        </is>
      </c>
      <c r="E75" s="42" t="inlineStr">
        <is>
          <t>dkny miniature set</t>
        </is>
      </c>
      <c r="F75" s="42" t="inlineStr">
        <is>
          <t>guerlain samsara</t>
        </is>
      </c>
      <c r="G75" s="42" t="inlineStr">
        <is>
          <t>signature jade</t>
        </is>
      </c>
      <c r="H75" s="42" t="inlineStr">
        <is>
          <t>vilvah milk body kit</t>
        </is>
      </c>
      <c r="I75" s="42" t="inlineStr">
        <is>
          <t>carolina herrera 212 sexy men uk</t>
        </is>
      </c>
      <c r="J75" s="66" t="inlineStr">
        <is>
          <t>deyga vitamin c foaming face wash uk</t>
        </is>
      </c>
      <c r="K75" s="66" t="inlineStr">
        <is>
          <t>gucci set uk</t>
        </is>
      </c>
      <c r="L75" s="66" t="inlineStr">
        <is>
          <t>shiseido zen uk</t>
        </is>
      </c>
      <c r="M75" s="66" t="inlineStr">
        <is>
          <t>vilvah honey fix face wash uk</t>
        </is>
      </c>
      <c r="N75" s="66" t="inlineStr">
        <is>
          <t>carolina herrera bad boy extreme eau de parfum</t>
        </is>
      </c>
      <c r="O75" s="66" t="inlineStr">
        <is>
          <t>gucci intense oud eau de parfum</t>
        </is>
      </c>
      <c r="P75" s="66" t="inlineStr">
        <is>
          <t>signature le femme gold edp</t>
        </is>
      </c>
      <c r="Q75" s="66" t="inlineStr">
        <is>
          <t>buy bentley silverlake online</t>
        </is>
      </c>
      <c r="R75" s="66" t="inlineStr">
        <is>
          <t>buy deyga pure aloe vera gel online</t>
        </is>
      </c>
      <c r="S75" s="66" t="inlineStr">
        <is>
          <t>buy game of spades ruby online</t>
        </is>
      </c>
      <c r="T75" s="66" t="inlineStr">
        <is>
          <t>buy montale aoud damascus online</t>
        </is>
      </c>
      <c r="U75" s="66" t="inlineStr">
        <is>
          <t>buy vilvah cream conditioner online</t>
        </is>
      </c>
      <c r="V75" s="66" t="inlineStr">
        <is>
          <t>al haramain amber musk notes</t>
        </is>
      </c>
      <c r="W75" s="66" t="inlineStr">
        <is>
          <t>bentley become perfume</t>
        </is>
      </c>
      <c r="X75" s="66" t="inlineStr">
        <is>
          <t>carolina herrera very good girl glam 100ml</t>
        </is>
      </c>
      <c r="Y75" s="66" t="inlineStr">
        <is>
          <t>deyga foot cream</t>
        </is>
      </c>
      <c r="Z75" s="66" t="inlineStr">
        <is>
          <t>dolce gabbana mini set men</t>
        </is>
      </c>
      <c r="AA75" s="66" t="inlineStr">
        <is>
          <t>elizabeth arden beauty perfume</t>
        </is>
      </c>
      <c r="AB75" s="66" t="inlineStr">
        <is>
          <t>game of spades ruby parfum</t>
        </is>
      </c>
      <c r="AC75" s="66" t="inlineStr">
        <is>
          <t>hemel patchouli for all review</t>
        </is>
      </c>
      <c r="AD75" s="66" t="inlineStr">
        <is>
          <t>montale aoud damascus review</t>
        </is>
      </c>
      <c r="AE75" s="66" t="inlineStr">
        <is>
          <t>the woods collection mirage review</t>
        </is>
      </c>
      <c r="AF75" s="66" t="inlineStr">
        <is>
          <t>trussardi pure jasmine отзывы</t>
        </is>
      </c>
      <c r="AG75" s="66" t="inlineStr">
        <is>
          <t>anatome focus price</t>
        </is>
      </c>
      <c r="AH75" s="66" t="inlineStr">
        <is>
          <t>deyga hair strengthening kit price</t>
        </is>
      </c>
      <c r="AI75" s="66" t="inlineStr">
        <is>
          <t>fumeri orpheon price</t>
        </is>
      </c>
      <c r="AJ75" s="66" t="inlineStr">
        <is>
          <t>maison de milan delight pour femme price</t>
        </is>
      </c>
      <c r="AK75" s="66" t="inlineStr">
        <is>
          <t>vilvah aloe vera gel price</t>
        </is>
      </c>
      <c r="AM75" s="42" t="inlineStr">
        <is>
          <t>escada magnetism uk</t>
        </is>
      </c>
      <c r="AN75" s="42" t="inlineStr">
        <is>
          <t>spf lip balm</t>
        </is>
      </c>
      <c r="AP75" s="42" t="inlineStr">
        <is>
          <t>game of spades wildcard review</t>
        </is>
      </c>
    </row>
    <row r="76" ht="15" customHeight="1" s="37">
      <c r="A76" s="42" t="inlineStr">
        <is>
          <t>elizabeth arden perfume for women</t>
        </is>
      </c>
      <c r="B76" s="42" t="inlineStr">
        <is>
          <t>body lotion for dry skin</t>
        </is>
      </c>
      <c r="C76" s="42" t="inlineStr">
        <is>
          <t>buy vilvah sunscreen</t>
        </is>
      </c>
      <c r="D76" s="42" t="inlineStr">
        <is>
          <t>chloe nomade</t>
        </is>
      </c>
      <c r="E76" s="42" t="inlineStr">
        <is>
          <t>dolce &amp; gabbana devotion</t>
        </is>
      </c>
      <c r="F76" s="42" t="inlineStr">
        <is>
          <t>hemel affair</t>
        </is>
      </c>
      <c r="G76" s="42" t="inlineStr">
        <is>
          <t>signature le femme gold</t>
        </is>
      </c>
      <c r="H76" s="42" t="inlineStr">
        <is>
          <t>vilvah milk body lotion</t>
        </is>
      </c>
      <c r="I76" s="42" t="inlineStr">
        <is>
          <t>carolina herrera 212 vip men uk</t>
        </is>
      </c>
      <c r="J76" s="66" t="inlineStr">
        <is>
          <t>deyga wild berry body wash uk</t>
        </is>
      </c>
      <c r="K76" s="66" t="inlineStr">
        <is>
          <t>guerlain epices exquises uk</t>
        </is>
      </c>
      <c r="L76" s="66" t="inlineStr">
        <is>
          <t>signature ambre uk</t>
        </is>
      </c>
      <c r="M76" s="66" t="inlineStr">
        <is>
          <t>vilvah lip balm - grapefruit uk</t>
        </is>
      </c>
      <c r="N76" s="66" t="inlineStr">
        <is>
          <t>carolina herrera bad boy le eau de parfum</t>
        </is>
      </c>
      <c r="O76" s="66" t="inlineStr">
        <is>
          <t>guerlain epices exquises eau de parfum</t>
        </is>
      </c>
      <c r="P76" s="66" t="inlineStr">
        <is>
          <t>signature musk eau de parfum</t>
        </is>
      </c>
      <c r="Q76" s="66" t="inlineStr">
        <is>
          <t>buy burberry miniature set online</t>
        </is>
      </c>
      <c r="R76" s="66" t="inlineStr">
        <is>
          <t>buy deyga pure rose water toner online</t>
        </is>
      </c>
      <c r="S76" s="66" t="inlineStr">
        <is>
          <t>buy game of spades wildcard online</t>
        </is>
      </c>
      <c r="T76" s="66" t="inlineStr">
        <is>
          <t>buy montale aoud safran online</t>
        </is>
      </c>
      <c r="U76" s="66" t="inlineStr">
        <is>
          <t>buy vilvah cream face wash (fragrance free) online</t>
        </is>
      </c>
      <c r="V76" s="66" t="inlineStr">
        <is>
          <t>al haramain amber musk perfume</t>
        </is>
      </c>
      <c r="W76" s="66" t="inlineStr">
        <is>
          <t>bentley become perfume price</t>
        </is>
      </c>
      <c r="X76" s="66" t="inlineStr">
        <is>
          <t>carolina herrera very good girl glam 80ml</t>
        </is>
      </c>
      <c r="Y76" s="66" t="inlineStr">
        <is>
          <t>deyga foot cream ingredients</t>
        </is>
      </c>
      <c r="Z76" s="66" t="inlineStr">
        <is>
          <t>dolce gabbana mini set perfume</t>
        </is>
      </c>
      <c r="AA76" s="66" t="inlineStr">
        <is>
          <t>elizabeth arden beauty perfume 100ml</t>
        </is>
      </c>
      <c r="AB76" s="66" t="inlineStr">
        <is>
          <t>game of spades ruby review</t>
        </is>
      </c>
      <c r="AC76" s="66" t="inlineStr">
        <is>
          <t>hemel rosado perfume</t>
        </is>
      </c>
      <c r="AD76" s="66" t="inlineStr">
        <is>
          <t>montale aoud damascus отзывы</t>
        </is>
      </c>
      <c r="AE76" s="66" t="inlineStr">
        <is>
          <t>the woods collection mirage отзывы</t>
        </is>
      </c>
      <c r="AF76" s="66" t="inlineStr">
        <is>
          <t>trussardi ruby red set</t>
        </is>
      </c>
      <c r="AG76" s="66" t="inlineStr">
        <is>
          <t>anatome support price</t>
        </is>
      </c>
      <c r="AH76" s="66" t="inlineStr">
        <is>
          <t>deyga healthy glow kit price</t>
        </is>
      </c>
      <c r="AI76" s="66" t="inlineStr">
        <is>
          <t>fumeri oud saffron price</t>
        </is>
      </c>
      <c r="AJ76" s="66" t="inlineStr">
        <is>
          <t>maison de milan elegance pour femme price</t>
        </is>
      </c>
      <c r="AK76" s="66" t="inlineStr">
        <is>
          <t>vilvah am brightening kit price</t>
        </is>
      </c>
      <c r="AM76" s="42" t="inlineStr">
        <is>
          <t>acqua di parma rosa nobile edp</t>
        </is>
      </c>
      <c r="AN76" s="42" t="inlineStr">
        <is>
          <t>lip balm for pigmented lips</t>
        </is>
      </c>
      <c r="AP76" s="42" t="inlineStr">
        <is>
          <t>game of spades wildcard dupe of</t>
        </is>
      </c>
    </row>
    <row r="77" ht="15" customHeight="1" s="37">
      <c r="A77" s="42" t="inlineStr">
        <is>
          <t>escada perfume</t>
        </is>
      </c>
      <c r="B77" s="42" t="inlineStr">
        <is>
          <t>body oil for body hydration</t>
        </is>
      </c>
      <c r="C77" s="42" t="inlineStr">
        <is>
          <t>buy vilvah under eye cream</t>
        </is>
      </c>
      <c r="D77" s="42" t="inlineStr">
        <is>
          <t>chloe nomade gift set</t>
        </is>
      </c>
      <c r="E77" s="42" t="inlineStr">
        <is>
          <t>dolce &amp; gabbana devotion gift set</t>
        </is>
      </c>
      <c r="F77" s="42" t="inlineStr">
        <is>
          <t>hemel amethyst dream</t>
        </is>
      </c>
      <c r="G77" s="42" t="inlineStr">
        <is>
          <t>signature musk</t>
        </is>
      </c>
      <c r="H77" s="42" t="inlineStr">
        <is>
          <t>vilvah milk drops brightening serum</t>
        </is>
      </c>
      <c r="I77" s="42" t="inlineStr">
        <is>
          <t>carolina herrera 212 vip rose uk</t>
        </is>
      </c>
      <c r="J77" s="66" t="inlineStr">
        <is>
          <t>dior iconics mini discovery set uk</t>
        </is>
      </c>
      <c r="K77" s="66" t="inlineStr">
        <is>
          <t>guerlain habit rouge uk</t>
        </is>
      </c>
      <c r="L77" s="66" t="inlineStr">
        <is>
          <t>signature aura uk</t>
        </is>
      </c>
      <c r="M77" s="66" t="inlineStr">
        <is>
          <t>vilvah lip balm - lemon uk</t>
        </is>
      </c>
      <c r="N77" s="66" t="inlineStr">
        <is>
          <t>carolina herrera very good girl glam parfum</t>
        </is>
      </c>
      <c r="O77" s="66" t="inlineStr">
        <is>
          <t>guerlain habit rouge eau de parfum</t>
        </is>
      </c>
      <c r="P77" s="66" t="inlineStr">
        <is>
          <t>signature onyx eau de parfum</t>
        </is>
      </c>
      <c r="Q77" s="66" t="inlineStr">
        <is>
          <t>buy burberry my burberry black online</t>
        </is>
      </c>
      <c r="R77" s="66" t="inlineStr">
        <is>
          <t>buy deyga rice water shampoo online</t>
        </is>
      </c>
      <c r="S77" s="66" t="inlineStr">
        <is>
          <t>buy game of spades win online</t>
        </is>
      </c>
      <c r="T77" s="66" t="inlineStr">
        <is>
          <t>buy nina ricci l'air du temps online</t>
        </is>
      </c>
      <c r="U77" s="66" t="inlineStr">
        <is>
          <t>buy vilvah cucumber, curd &amp; mint soap online</t>
        </is>
      </c>
      <c r="V77" s="66" t="inlineStr">
        <is>
          <t>al haramain amber musk review</t>
        </is>
      </c>
      <c r="W77" s="66" t="inlineStr">
        <is>
          <t>bentley become review</t>
        </is>
      </c>
      <c r="X77" s="66" t="inlineStr">
        <is>
          <t>carolina herrera very good girl glam dupe</t>
        </is>
      </c>
      <c r="Y77" s="66" t="inlineStr">
        <is>
          <t>deyga foot cream review</t>
        </is>
      </c>
      <c r="Z77" s="66" t="inlineStr">
        <is>
          <t>dolce gabbana miniature perfume set</t>
        </is>
      </c>
      <c r="AA77" s="66" t="inlineStr">
        <is>
          <t>elizabeth arden beauty perfume review</t>
        </is>
      </c>
      <c r="AB77" s="66" t="inlineStr">
        <is>
          <t>game of spades wildcard dupe of</t>
        </is>
      </c>
      <c r="AC77" s="66" t="inlineStr">
        <is>
          <t>hemel valley of diamond edp</t>
        </is>
      </c>
      <c r="AD77" s="66" t="inlineStr">
        <is>
          <t>montale aoud safran edp</t>
        </is>
      </c>
      <c r="AE77" s="66" t="inlineStr">
        <is>
          <t>the woods collection pure shine edp</t>
        </is>
      </c>
      <c r="AF77" s="66" t="inlineStr">
        <is>
          <t>vilvah aloe vera gel benefits</t>
        </is>
      </c>
      <c r="AG77" s="66" t="inlineStr">
        <is>
          <t>anna sui sky price</t>
        </is>
      </c>
      <c r="AH77" s="66" t="inlineStr">
        <is>
          <t>deyga hydro boosting skin care kit price</t>
        </is>
      </c>
      <c r="AI77" s="66" t="inlineStr">
        <is>
          <t>fumeri peach price</t>
        </is>
      </c>
      <c r="AJ77" s="66" t="inlineStr">
        <is>
          <t>maison de milan gossip pour femme price</t>
        </is>
      </c>
      <c r="AK77" s="66" t="inlineStr">
        <is>
          <t>vilvah am pm serum kit price</t>
        </is>
      </c>
      <c r="AM77" s="42" t="inlineStr">
        <is>
          <t>al haramain detour noir eau de parfum</t>
        </is>
      </c>
      <c r="AN77" s="42" t="inlineStr">
        <is>
          <t>kumkumadi oil</t>
        </is>
      </c>
      <c r="AP77" s="42" t="inlineStr">
        <is>
          <t>dolce &amp; gabbana the one for men</t>
        </is>
      </c>
    </row>
    <row r="78" ht="15" customHeight="1" s="37">
      <c r="A78" s="42" t="inlineStr">
        <is>
          <t>escada perfume for women</t>
        </is>
      </c>
      <c r="B78" s="42" t="inlineStr">
        <is>
          <t>body scrub for dry skin</t>
        </is>
      </c>
      <c r="C78" s="42" t="inlineStr">
        <is>
          <t>deyga beetroot lip balm</t>
        </is>
      </c>
      <c r="D78" s="42" t="inlineStr">
        <is>
          <t>chloe nomade jasmin naturel intense</t>
        </is>
      </c>
      <c r="E78" s="42" t="inlineStr">
        <is>
          <t>dolce &amp; gabbana k gift set</t>
        </is>
      </c>
      <c r="F78" s="42" t="inlineStr">
        <is>
          <t>hemel dorado</t>
        </is>
      </c>
      <c r="G78" s="42" t="inlineStr">
        <is>
          <t>signature onyx</t>
        </is>
      </c>
      <c r="H78" s="42" t="inlineStr">
        <is>
          <t>vilvah milk face kit</t>
        </is>
      </c>
      <c r="I78" s="42" t="inlineStr">
        <is>
          <t>carolina herrera bad boy extreme uk</t>
        </is>
      </c>
      <c r="J78" s="66" t="inlineStr">
        <is>
          <t>dior miss dior roller-pearl uk</t>
        </is>
      </c>
      <c r="K78" s="66" t="inlineStr">
        <is>
          <t>guerlain l'instant de guerlain uk</t>
        </is>
      </c>
      <c r="L78" s="66" t="inlineStr">
        <is>
          <t>signature black pour homme uk</t>
        </is>
      </c>
      <c r="M78" s="66" t="inlineStr">
        <is>
          <t>vilvah lip lightening kit uk</t>
        </is>
      </c>
      <c r="N78" s="66" t="inlineStr">
        <is>
          <t>casanova anniversary extrait de parfum</t>
        </is>
      </c>
      <c r="O78" s="66" t="inlineStr">
        <is>
          <t>guerlain l'instant de guerlain eau de parfum</t>
        </is>
      </c>
      <c r="P78" s="66" t="inlineStr">
        <is>
          <t>signature opal eau de parfum</t>
        </is>
      </c>
      <c r="Q78" s="66" t="inlineStr">
        <is>
          <t>buy burberry my burberry online</t>
        </is>
      </c>
      <c r="R78" s="66" t="inlineStr">
        <is>
          <t>buy deyga rose &amp; geranium body butter online</t>
        </is>
      </c>
      <c r="S78" s="66" t="inlineStr">
        <is>
          <t>buy game of spades yellow sapphire online</t>
        </is>
      </c>
      <c r="T78" s="66" t="inlineStr">
        <is>
          <t>buy nina ricci nina illusion online</t>
        </is>
      </c>
      <c r="U78" s="66" t="inlineStr">
        <is>
          <t>buy vilvah deo shot - lavender and sage online</t>
        </is>
      </c>
      <c r="V78" s="66" t="inlineStr">
        <is>
          <t>al haramain amber oud black edition 200ml</t>
        </is>
      </c>
      <c r="W78" s="66" t="inlineStr">
        <is>
          <t>bentley infinite edt</t>
        </is>
      </c>
      <c r="X78" s="66" t="inlineStr">
        <is>
          <t>carolina herrera very good girl glam eau de parfum</t>
        </is>
      </c>
      <c r="Y78" s="66" t="inlineStr">
        <is>
          <t>deyga foot scrub how to use</t>
        </is>
      </c>
      <c r="Z78" s="66" t="inlineStr">
        <is>
          <t>dolce gabbana the one gift set men</t>
        </is>
      </c>
      <c r="AA78" s="66" t="inlineStr">
        <is>
          <t>escada magnetic dream edp 75ml</t>
        </is>
      </c>
      <c r="AB78" s="66" t="inlineStr">
        <is>
          <t>game of spades wildcard notes</t>
        </is>
      </c>
      <c r="AC78" s="66" t="inlineStr">
        <is>
          <t>hermes un jardin sur le toit mini</t>
        </is>
      </c>
      <c r="AD78" s="66" t="inlineStr">
        <is>
          <t>montale aoud safran edp 100ml</t>
        </is>
      </c>
      <c r="AE78" s="66" t="inlineStr">
        <is>
          <t>the woods collection pure shine edp 100ml</t>
        </is>
      </c>
      <c r="AF78" s="66" t="inlineStr">
        <is>
          <t>vilvah aloe vera gel how to use</t>
        </is>
      </c>
      <c r="AG78" s="66" t="inlineStr">
        <is>
          <t>antonio banderas boucheron patchouli d'angkor price</t>
        </is>
      </c>
      <c r="AH78" s="66" t="inlineStr">
        <is>
          <t>deyga instant hair removal kit price</t>
        </is>
      </c>
      <c r="AI78" s="66" t="inlineStr">
        <is>
          <t>fumeri smokey leather price</t>
        </is>
      </c>
      <c r="AJ78" s="66" t="inlineStr">
        <is>
          <t>maison de milan invincible price</t>
        </is>
      </c>
      <c r="AK78" s="66" t="inlineStr">
        <is>
          <t>vilvah anti frizz hair kit price</t>
        </is>
      </c>
      <c r="AM78" s="42" t="inlineStr">
        <is>
          <t>bvlgari omnia amethyste eau de toilette</t>
        </is>
      </c>
      <c r="AN78" s="42" t="inlineStr">
        <is>
          <t>kumkumadi serum</t>
        </is>
      </c>
      <c r="AP78" s="42" t="inlineStr">
        <is>
          <t>dolce &amp; gabbana the one edp</t>
        </is>
      </c>
    </row>
    <row r="79" ht="15" customHeight="1" s="37">
      <c r="A79" s="42" t="inlineStr">
        <is>
          <t>estee lauder perfume</t>
        </is>
      </c>
      <c r="B79" s="42" t="inlineStr">
        <is>
          <t>body scrub for dull skin</t>
        </is>
      </c>
      <c r="C79" s="42" t="inlineStr">
        <is>
          <t>deyga buy 5 at 999</t>
        </is>
      </c>
      <c r="D79" s="42" t="inlineStr">
        <is>
          <t>chloe nomade nuit d'egypte</t>
        </is>
      </c>
      <c r="E79" s="42" t="inlineStr">
        <is>
          <t>dolce &amp; gabbana l'imperatrice</t>
        </is>
      </c>
      <c r="F79" s="42" t="inlineStr">
        <is>
          <t>hemel favourite black</t>
        </is>
      </c>
      <c r="G79" s="42" t="inlineStr">
        <is>
          <t>signature opal</t>
        </is>
      </c>
      <c r="H79" s="42" t="inlineStr">
        <is>
          <t>vilvah milk face toner</t>
        </is>
      </c>
      <c r="I79" s="42" t="inlineStr">
        <is>
          <t>carolina herrera bad boy le uk</t>
        </is>
      </c>
      <c r="J79" s="66" t="inlineStr">
        <is>
          <t>dior sauvage uk</t>
        </is>
      </c>
      <c r="K79" s="66" t="inlineStr">
        <is>
          <t>guerlain la petite robe noire ma robe cocktail uk</t>
        </is>
      </c>
      <c r="L79" s="66" t="inlineStr">
        <is>
          <t>signature blue uk</t>
        </is>
      </c>
      <c r="M79" s="66" t="inlineStr">
        <is>
          <t>vilvah lip nourishing kit uk</t>
        </is>
      </c>
      <c r="N79" s="66" t="inlineStr">
        <is>
          <t>chloe nomade eau de parfum</t>
        </is>
      </c>
      <c r="O79" s="66" t="inlineStr">
        <is>
          <t>guerlain la petite robe noire ma robe cocktail eau de toilette</t>
        </is>
      </c>
      <c r="P79" s="66" t="inlineStr">
        <is>
          <t>signature paradiso edp</t>
        </is>
      </c>
      <c r="Q79" s="66" t="inlineStr">
        <is>
          <t>buy bvlgari man glacial essence gift set online</t>
        </is>
      </c>
      <c r="R79" s="66" t="inlineStr">
        <is>
          <t>buy deyga rose &amp; mulethi skin brightening pack online</t>
        </is>
      </c>
      <c r="S79" s="66" t="inlineStr">
        <is>
          <t>buy giorgia armani giorgio armani code refillable online</t>
        </is>
      </c>
      <c r="T79" s="66" t="inlineStr">
        <is>
          <t>buy nina ricci nina precious gold online</t>
        </is>
      </c>
      <c r="U79" s="66" t="inlineStr">
        <is>
          <t>buy vilvah deo shot - rose and vanilla online</t>
        </is>
      </c>
      <c r="V79" s="66" t="inlineStr">
        <is>
          <t>al haramain amber oud black edition dupe of</t>
        </is>
      </c>
      <c r="W79" s="66" t="inlineStr">
        <is>
          <t>bentley infinite perfume</t>
        </is>
      </c>
      <c r="X79" s="66" t="inlineStr">
        <is>
          <t>carolina herrera very good girl glam notes</t>
        </is>
      </c>
      <c r="Y79" s="66" t="inlineStr">
        <is>
          <t>deyga hair care kit review</t>
        </is>
      </c>
      <c r="Z79" s="66" t="inlineStr">
        <is>
          <t>dolce gabbana the one gold intense 100ml</t>
        </is>
      </c>
      <c r="AA79" s="66" t="inlineStr">
        <is>
          <t>escada magnetic dream notes</t>
        </is>
      </c>
      <c r="AB79" s="66" t="inlineStr">
        <is>
          <t>game of spades wildcard parfum</t>
        </is>
      </c>
      <c r="AC79" s="66" t="inlineStr">
        <is>
          <t>hollister festival vibes notes</t>
        </is>
      </c>
      <c r="AD79" s="66" t="inlineStr">
        <is>
          <t>montale aoud safran notes</t>
        </is>
      </c>
      <c r="AE79" s="66" t="inlineStr">
        <is>
          <t>the woods collection pure shine review</t>
        </is>
      </c>
      <c r="AF79" s="66" t="inlineStr">
        <is>
          <t>vilvah aloe vera gel india</t>
        </is>
      </c>
      <c r="AG79" s="66" t="inlineStr">
        <is>
          <t>antonio banderas boucheron rose d'isparta price</t>
        </is>
      </c>
      <c r="AH79" s="66" t="inlineStr">
        <is>
          <t>deyga instant hair removal kit with toner price</t>
        </is>
      </c>
      <c r="AI79" s="66" t="inlineStr">
        <is>
          <t>fumeri style 33 price</t>
        </is>
      </c>
      <c r="AJ79" s="66" t="inlineStr">
        <is>
          <t>maison de milan l'homme suave price</t>
        </is>
      </c>
      <c r="AK79" s="66" t="inlineStr">
        <is>
          <t>vilvah anti-dandruff hair oil price</t>
        </is>
      </c>
      <c r="AM79" s="42" t="inlineStr">
        <is>
          <t>carolina herrera very good girl glam parfum</t>
        </is>
      </c>
      <c r="AN79" s="42" t="inlineStr">
        <is>
          <t>aloe vera gel</t>
        </is>
      </c>
      <c r="AP79" s="42" t="inlineStr">
        <is>
          <t>acqua di parma zafferano review</t>
        </is>
      </c>
    </row>
    <row r="80" ht="15" customHeight="1" s="37">
      <c r="A80" s="42" t="inlineStr">
        <is>
          <t>estee lauder perfume for women</t>
        </is>
      </c>
      <c r="B80" s="42" t="inlineStr">
        <is>
          <t>body wash for body cleansing</t>
        </is>
      </c>
      <c r="C80" s="42" t="inlineStr">
        <is>
          <t>deyga buy one get one</t>
        </is>
      </c>
      <c r="D80" s="42" t="inlineStr">
        <is>
          <t>chloe rose naturelle intense</t>
        </is>
      </c>
      <c r="E80" s="42" t="inlineStr">
        <is>
          <t>dolce &amp; gabbana miniature set</t>
        </is>
      </c>
      <c r="F80" s="42" t="inlineStr">
        <is>
          <t>hemel gris</t>
        </is>
      </c>
      <c r="G80" s="42" t="inlineStr">
        <is>
          <t>signature paradiso</t>
        </is>
      </c>
      <c r="H80" s="42" t="inlineStr">
        <is>
          <t>vilvah milk lip balm spf 30 pa+++</t>
        </is>
      </c>
      <c r="I80" s="42" t="inlineStr">
        <is>
          <t>carolina herrera very good girl glam uk</t>
        </is>
      </c>
      <c r="J80" s="66" t="inlineStr">
        <is>
          <t>dkny be delicious &amp; be delicious fresh blossom gift set uk</t>
        </is>
      </c>
      <c r="K80" s="66" t="inlineStr">
        <is>
          <t>guerlain mon guerlain miniature gift set uk</t>
        </is>
      </c>
      <c r="L80" s="66" t="inlineStr">
        <is>
          <t>signature charm uk</t>
        </is>
      </c>
      <c r="M80" s="66" t="inlineStr">
        <is>
          <t>vilvah lip scrub uk</t>
        </is>
      </c>
      <c r="N80" s="66" t="inlineStr">
        <is>
          <t>chloe nomade jasmin naturel intense eau de parfum</t>
        </is>
      </c>
      <c r="O80" s="66" t="inlineStr">
        <is>
          <t>guerlain musc noble eau de parfum</t>
        </is>
      </c>
      <c r="P80" s="66" t="inlineStr">
        <is>
          <t>signature rose edp</t>
        </is>
      </c>
      <c r="Q80" s="66" t="inlineStr">
        <is>
          <t>buy bvlgari man in black online</t>
        </is>
      </c>
      <c r="R80" s="66" t="inlineStr">
        <is>
          <t>buy deyga rose glow serum online</t>
        </is>
      </c>
      <c r="S80" s="66" t="inlineStr">
        <is>
          <t>buy giorgio armani code refillable online</t>
        </is>
      </c>
      <c r="T80" s="66" t="inlineStr">
        <is>
          <t>buy paloma picasso online</t>
        </is>
      </c>
      <c r="U80" s="66" t="inlineStr">
        <is>
          <t>buy vilvah everyday care milk kit online</t>
        </is>
      </c>
      <c r="V80" s="66" t="inlineStr">
        <is>
          <t>al haramain amber oud black edition notes</t>
        </is>
      </c>
      <c r="W80" s="66" t="inlineStr">
        <is>
          <t>bentley momentum unlimited edp</t>
        </is>
      </c>
      <c r="X80" s="66" t="inlineStr">
        <is>
          <t>charcoal bath bar deyga review</t>
        </is>
      </c>
      <c r="Y80" s="66" t="inlineStr">
        <is>
          <t>deyga hair growth oil benefits</t>
        </is>
      </c>
      <c r="Z80" s="66" t="inlineStr">
        <is>
          <t>dolce gabbana the one gold intense men</t>
        </is>
      </c>
      <c r="AA80" s="66" t="inlineStr">
        <is>
          <t>escada magnetic dream review</t>
        </is>
      </c>
      <c r="AB80" s="66" t="inlineStr">
        <is>
          <t>game of spades wildcard perfume</t>
        </is>
      </c>
      <c r="AC80" s="66" t="inlineStr">
        <is>
          <t>hollister festival vibes perfume</t>
        </is>
      </c>
      <c r="AD80" s="66" t="inlineStr">
        <is>
          <t>montale aoud safran review</t>
        </is>
      </c>
      <c r="AE80" s="66" t="inlineStr">
        <is>
          <t>the woods collection pure shine отзывы</t>
        </is>
      </c>
      <c r="AF80" s="66" t="inlineStr">
        <is>
          <t>vilvah aloe vera gel ingredients</t>
        </is>
      </c>
      <c r="AG80" s="66" t="inlineStr">
        <is>
          <t>antonio banderas diavolo price</t>
        </is>
      </c>
      <c r="AH80" s="66" t="inlineStr">
        <is>
          <t>deyga light moisturising face cream price</t>
        </is>
      </c>
      <c r="AI80" s="66" t="inlineStr">
        <is>
          <t>fumeri victorious price</t>
        </is>
      </c>
      <c r="AJ80" s="66" t="inlineStr">
        <is>
          <t>maison de milan m price</t>
        </is>
      </c>
      <c r="AK80" s="66" t="inlineStr">
        <is>
          <t>vilvah anti-frizz hair serum price</t>
        </is>
      </c>
      <c r="AM80" s="42" t="inlineStr">
        <is>
          <t>chloe nomade nuit d'egypte eau de parfum</t>
        </is>
      </c>
      <c r="AN80" s="42" t="inlineStr">
        <is>
          <t>vitamin c serum</t>
        </is>
      </c>
      <c r="AP80" s="42" t="inlineStr">
        <is>
          <t>acqua di parma zafferano dupe</t>
        </is>
      </c>
    </row>
    <row r="81" ht="15" customHeight="1" s="37">
      <c r="A81" s="42" t="inlineStr">
        <is>
          <t>etienne aigner perfume</t>
        </is>
      </c>
      <c r="B81" s="42" t="inlineStr">
        <is>
          <t>conditioner for hair nourishment</t>
        </is>
      </c>
      <c r="C81" s="42" t="inlineStr">
        <is>
          <t>deyga charcoal soap</t>
        </is>
      </c>
      <c r="D81" s="42" t="inlineStr">
        <is>
          <t>chopard amber malaki</t>
        </is>
      </c>
      <c r="E81" s="42" t="inlineStr">
        <is>
          <t>dolce &amp; gabbana q</t>
        </is>
      </c>
      <c r="F81" s="42" t="inlineStr">
        <is>
          <t>hemel paris dorado</t>
        </is>
      </c>
      <c r="G81" s="42" t="inlineStr">
        <is>
          <t>signature rose</t>
        </is>
      </c>
      <c r="H81" s="42" t="inlineStr">
        <is>
          <t>vilvah milk mud mask</t>
        </is>
      </c>
      <c r="I81" s="42" t="inlineStr">
        <is>
          <t>casanova anniversary uk</t>
        </is>
      </c>
      <c r="J81" s="66" t="inlineStr">
        <is>
          <t>dkny be delicious orchard street uk</t>
        </is>
      </c>
      <c r="K81" s="66" t="inlineStr">
        <is>
          <t>guerlain musc noble uk</t>
        </is>
      </c>
      <c r="L81" s="66" t="inlineStr">
        <is>
          <t>signature diamond uk</t>
        </is>
      </c>
      <c r="M81" s="66" t="inlineStr">
        <is>
          <t>vilvah mango shake lip balm uk</t>
        </is>
      </c>
      <c r="N81" s="66" t="inlineStr">
        <is>
          <t>chloe nomade nuit d'egypte eau de parfum</t>
        </is>
      </c>
      <c r="O81" s="66" t="inlineStr">
        <is>
          <t>guerlain oud essentiel eau de parfum</t>
        </is>
      </c>
      <c r="P81" s="66" t="inlineStr">
        <is>
          <t>signature santal eau de parfum</t>
        </is>
      </c>
      <c r="Q81" s="66" t="inlineStr">
        <is>
          <t>buy bvlgari man rain essence gift set online</t>
        </is>
      </c>
      <c r="R81" s="66" t="inlineStr">
        <is>
          <t>buy deyga rose pink clay bath bar online</t>
        </is>
      </c>
      <c r="S81" s="66" t="inlineStr">
        <is>
          <t>buy givenchy amarige online</t>
        </is>
      </c>
      <c r="T81" s="66" t="inlineStr">
        <is>
          <t>buy philipp plein no limits after shave balm online</t>
        </is>
      </c>
      <c r="U81" s="66" t="inlineStr">
        <is>
          <t>buy vilvah face brightening kit large online</t>
        </is>
      </c>
      <c r="V81" s="66" t="inlineStr">
        <is>
          <t>al haramain amber oud black edition review</t>
        </is>
      </c>
      <c r="W81" s="66" t="inlineStr">
        <is>
          <t>bentley momentum unlimited edt</t>
        </is>
      </c>
      <c r="X81" s="66" t="inlineStr">
        <is>
          <t>chloe mini gift set</t>
        </is>
      </c>
      <c r="Y81" s="66" t="inlineStr">
        <is>
          <t>deyga hair growth oil how to use</t>
        </is>
      </c>
      <c r="Z81" s="66" t="inlineStr">
        <is>
          <t>dolce gabbana the one gold intense women</t>
        </is>
      </c>
      <c r="AA81" s="66" t="inlineStr">
        <is>
          <t>escada magnetism men</t>
        </is>
      </c>
      <c r="AB81" s="66" t="inlineStr">
        <is>
          <t>game of spades wildcard review</t>
        </is>
      </c>
      <c r="AC81" s="66" t="inlineStr">
        <is>
          <t>hollister festival vibes review</t>
        </is>
      </c>
      <c r="AD81" s="66" t="inlineStr">
        <is>
          <t>montale aoud safran отзывы</t>
        </is>
      </c>
      <c r="AE81" s="66" t="inlineStr">
        <is>
          <t>the woods collection secret source edp</t>
        </is>
      </c>
      <c r="AF81" s="66" t="inlineStr">
        <is>
          <t>vilvah aloe vera gel review</t>
        </is>
      </c>
      <c r="AG81" s="66" t="inlineStr">
        <is>
          <t>antonio banderas her secret desire price</t>
        </is>
      </c>
      <c r="AH81" s="66" t="inlineStr">
        <is>
          <t>deyga mini foot spa combo price</t>
        </is>
      </c>
      <c r="AI81" s="66" t="inlineStr">
        <is>
          <t>fumeri wild price</t>
        </is>
      </c>
      <c r="AJ81" s="66" t="inlineStr">
        <is>
          <t>maison de milan milano girl black price</t>
        </is>
      </c>
      <c r="AK81" s="66" t="inlineStr">
        <is>
          <t>vilvah anti‑acne kit price</t>
        </is>
      </c>
      <c r="AM81" s="42" t="inlineStr">
        <is>
          <t>estee lauder spellbound eau de parfum</t>
        </is>
      </c>
      <c r="AN81" s="42" t="inlineStr">
        <is>
          <t>vitamin c face wash</t>
        </is>
      </c>
      <c r="AP81" s="42" t="inlineStr">
        <is>
          <t>tiziana terenzi kirke review</t>
        </is>
      </c>
    </row>
    <row r="82" ht="15" customHeight="1" s="37">
      <c r="A82" s="42" t="inlineStr">
        <is>
          <t>etienne aigner perfume for men</t>
        </is>
      </c>
      <c r="B82" s="42" t="inlineStr">
        <is>
          <t>deyga body butter</t>
        </is>
      </c>
      <c r="C82" s="42" t="inlineStr">
        <is>
          <t>deyga hair color</t>
        </is>
      </c>
      <c r="D82" s="42" t="inlineStr">
        <is>
          <t>chopard black incense malaki</t>
        </is>
      </c>
      <c r="E82" s="42" t="inlineStr">
        <is>
          <t>dolce &amp; gabbana the one</t>
        </is>
      </c>
      <c r="F82" s="42" t="inlineStr">
        <is>
          <t>hemel paris gris for all</t>
        </is>
      </c>
      <c r="G82" s="42" t="inlineStr">
        <is>
          <t>signature santal</t>
        </is>
      </c>
      <c r="H82" s="42" t="inlineStr">
        <is>
          <t>vilvah milk powder face wash</t>
        </is>
      </c>
      <c r="I82" s="42" t="inlineStr">
        <is>
          <t>chloe miniature gift set uk</t>
        </is>
      </c>
      <c r="J82" s="66" t="inlineStr">
        <is>
          <t>dkny be tempted uk</t>
        </is>
      </c>
      <c r="K82" s="66" t="inlineStr">
        <is>
          <t>guerlain oud essentiel uk</t>
        </is>
      </c>
      <c r="L82" s="66" t="inlineStr">
        <is>
          <t>signature discovery set uk</t>
        </is>
      </c>
      <c r="M82" s="66" t="inlineStr">
        <is>
          <t>vilvah men's comb / detangling comb uk</t>
        </is>
      </c>
      <c r="N82" s="66" t="inlineStr">
        <is>
          <t>chloe rose naturelle intense eau de parfum</t>
        </is>
      </c>
      <c r="O82" s="66" t="inlineStr">
        <is>
          <t>guerlain samsara eau de parfum</t>
        </is>
      </c>
      <c r="P82" s="66" t="inlineStr">
        <is>
          <t>signature sapphire eau de parfum</t>
        </is>
      </c>
      <c r="Q82" s="66" t="inlineStr">
        <is>
          <t>buy bvlgari man terrae essence gift set online</t>
        </is>
      </c>
      <c r="R82" s="66" t="inlineStr">
        <is>
          <t>buy deyga sensitive skin kit online</t>
        </is>
      </c>
      <c r="S82" s="66" t="inlineStr">
        <is>
          <t>buy givenchy gentleman originale online</t>
        </is>
      </c>
      <c r="T82" s="66" t="inlineStr">
        <is>
          <t>buy philipp plein no limits deodorant stick online</t>
        </is>
      </c>
      <c r="U82" s="66" t="inlineStr">
        <is>
          <t>buy vilvah face brightening kit online</t>
        </is>
      </c>
      <c r="V82" s="66" t="inlineStr">
        <is>
          <t>al haramain amber oud black edition smells like</t>
        </is>
      </c>
      <c r="W82" s="66" t="inlineStr">
        <is>
          <t>bentley momentum unlimited edt 100ml</t>
        </is>
      </c>
      <c r="X82" s="66" t="inlineStr">
        <is>
          <t>chloe mini gift set perfume</t>
        </is>
      </c>
      <c r="Y82" s="66" t="inlineStr">
        <is>
          <t>deyga hair growth oil ingredients</t>
        </is>
      </c>
      <c r="Z82" s="66" t="inlineStr">
        <is>
          <t>dolce gabbana the one set</t>
        </is>
      </c>
      <c r="AA82" s="66" t="inlineStr">
        <is>
          <t>escada magnetism notes</t>
        </is>
      </c>
      <c r="AB82" s="66" t="inlineStr">
        <is>
          <t>game of spades win 30ml</t>
        </is>
      </c>
      <c r="AC82" s="66" t="inlineStr">
        <is>
          <t>how to use deyga aloe vera gel</t>
        </is>
      </c>
      <c r="AD82" s="66" t="inlineStr">
        <is>
          <t>nina ricci l'air du temps 100ml</t>
        </is>
      </c>
      <c r="AE82" s="66" t="inlineStr">
        <is>
          <t>the woods collection secret source perfume</t>
        </is>
      </c>
      <c r="AF82" s="66" t="inlineStr">
        <is>
          <t>vilvah anti dandruff hair oil review</t>
        </is>
      </c>
      <c r="AG82" s="66" t="inlineStr">
        <is>
          <t>antonio banderas her secret temptation price</t>
        </is>
      </c>
      <c r="AH82" s="66" t="inlineStr">
        <is>
          <t>deyga mint lip scrub price</t>
        </is>
      </c>
      <c r="AI82" s="66" t="inlineStr">
        <is>
          <t>game of spades bid price</t>
        </is>
      </c>
      <c r="AJ82" s="66" t="inlineStr">
        <is>
          <t>maison de milan milano girl red price</t>
        </is>
      </c>
      <c r="AK82" s="66" t="inlineStr">
        <is>
          <t>vilvah anti‑dandruff haircare kit price</t>
        </is>
      </c>
      <c r="AM82" s="42" t="inlineStr">
        <is>
          <t>estee lauder spellbound uk</t>
        </is>
      </c>
      <c r="AN82" s="42" t="inlineStr">
        <is>
          <t>niacinamide serum</t>
        </is>
      </c>
      <c r="AP82" s="42" t="inlineStr">
        <is>
          <t>tiziana terenzi kirke dupe</t>
        </is>
      </c>
    </row>
    <row r="83" ht="15" customHeight="1" s="37">
      <c r="A83" s="42" t="inlineStr">
        <is>
          <t>floral perfume for women uk</t>
        </is>
      </c>
      <c r="B83" s="42" t="inlineStr">
        <is>
          <t>deyga body care</t>
        </is>
      </c>
      <c r="C83" s="42" t="inlineStr">
        <is>
          <t>deyga hair dye</t>
        </is>
      </c>
      <c r="D83" s="42" t="inlineStr">
        <is>
          <t>chopard gardens of paradise discovery set</t>
        </is>
      </c>
      <c r="E83" s="42" t="inlineStr">
        <is>
          <t>dolce &amp; gabbana the one gift set</t>
        </is>
      </c>
      <c r="F83" s="42" t="inlineStr">
        <is>
          <t>hemel patchouli for all</t>
        </is>
      </c>
      <c r="G83" s="42" t="inlineStr">
        <is>
          <t>signature sapphire</t>
        </is>
      </c>
      <c r="H83" s="42" t="inlineStr">
        <is>
          <t>vilvah neem wood comb (with handle)</t>
        </is>
      </c>
      <c r="I83" s="42" t="inlineStr">
        <is>
          <t>chloe miniature set uk</t>
        </is>
      </c>
      <c r="J83" s="66" t="inlineStr">
        <is>
          <t>dkny miniature set uk</t>
        </is>
      </c>
      <c r="K83" s="66" t="inlineStr">
        <is>
          <t>guerlain samsara uk</t>
        </is>
      </c>
      <c r="L83" s="66" t="inlineStr">
        <is>
          <t>signature jade uk</t>
        </is>
      </c>
      <c r="M83" s="66" t="inlineStr">
        <is>
          <t>vilvah milk body kit uk</t>
        </is>
      </c>
      <c r="N83" s="66" t="inlineStr">
        <is>
          <t>chopard amber malaki eau de parfum</t>
        </is>
      </c>
      <c r="O83" s="66" t="inlineStr">
        <is>
          <t>hemel affair eau de parfum</t>
        </is>
      </c>
      <c r="P83" s="66" t="inlineStr">
        <is>
          <t>the woods collection azure eau de parfum</t>
        </is>
      </c>
      <c r="Q83" s="66" t="inlineStr">
        <is>
          <t>buy bvlgari man wood essence gift set online</t>
        </is>
      </c>
      <c r="R83" s="66" t="inlineStr">
        <is>
          <t>buy deyga shea saffron bath bar online</t>
        </is>
      </c>
      <c r="S83" s="66" t="inlineStr">
        <is>
          <t>buy gucci bloom gift set online</t>
        </is>
      </c>
      <c r="T83" s="66" t="inlineStr">
        <is>
          <t>buy philipp plein no limits super fresh online</t>
        </is>
      </c>
      <c r="U83" s="66" t="inlineStr">
        <is>
          <t>buy vilvah face lift kit online</t>
        </is>
      </c>
      <c r="V83" s="66" t="inlineStr">
        <is>
          <t>al haramain amber oud bleu edition 100ml</t>
        </is>
      </c>
      <c r="W83" s="66" t="inlineStr">
        <is>
          <t>bentley momentum unlimited notes</t>
        </is>
      </c>
      <c r="X83" s="66" t="inlineStr">
        <is>
          <t>chloe mini set</t>
        </is>
      </c>
      <c r="Y83" s="66" t="inlineStr">
        <is>
          <t>deyga hair growth oil review</t>
        </is>
      </c>
      <c r="Z83" s="66" t="inlineStr">
        <is>
          <t>dolce gabbana the one set men</t>
        </is>
      </c>
      <c r="AA83" s="66" t="inlineStr">
        <is>
          <t>escada magnetism perfume</t>
        </is>
      </c>
      <c r="AB83" s="66" t="inlineStr">
        <is>
          <t>game of spades win notes</t>
        </is>
      </c>
      <c r="AC83" s="66" t="inlineStr">
        <is>
          <t>how to use deyga anti dandruff shampoo</t>
        </is>
      </c>
      <c r="AD83" s="66" t="inlineStr">
        <is>
          <t>nina ricci l'air du temps eau de parfum</t>
        </is>
      </c>
      <c r="AE83" s="66" t="inlineStr">
        <is>
          <t>the woods collection secret source отзывы</t>
        </is>
      </c>
      <c r="AF83" s="66" t="inlineStr">
        <is>
          <t>vilvah anti dandruff oil review</t>
        </is>
      </c>
      <c r="AG83" s="66" t="inlineStr">
        <is>
          <t>antonio banderas power of seduction price</t>
        </is>
      </c>
      <c r="AH83" s="66" t="inlineStr">
        <is>
          <t>deyga natural hair care kit price</t>
        </is>
      </c>
      <c r="AI83" s="66" t="inlineStr">
        <is>
          <t>game of spades blind-bid price</t>
        </is>
      </c>
      <c r="AJ83" s="66" t="inlineStr">
        <is>
          <t>maison de milan milano girl white price</t>
        </is>
      </c>
      <c r="AK83" s="66" t="inlineStr">
        <is>
          <t>vilvah bestseller hair kit price</t>
        </is>
      </c>
      <c r="AM83" s="42" t="inlineStr">
        <is>
          <t>lancome idole nectar eau de parfum</t>
        </is>
      </c>
      <c r="AN83" s="42" t="inlineStr">
        <is>
          <t>under eye cream</t>
        </is>
      </c>
      <c r="AP83" s="42" t="inlineStr">
        <is>
          <t>al haramain amber oud gold edition review</t>
        </is>
      </c>
    </row>
    <row r="84" ht="15" customHeight="1" s="37">
      <c r="A84" s="42" t="inlineStr">
        <is>
          <t>floral perfume uk</t>
        </is>
      </c>
      <c r="B84" s="42" t="inlineStr">
        <is>
          <t>deyga body lotion</t>
        </is>
      </c>
      <c r="C84" s="42" t="inlineStr">
        <is>
          <t>deyga organics</t>
        </is>
      </c>
      <c r="D84" s="42" t="inlineStr">
        <is>
          <t>chopard imperiale iris malika</t>
        </is>
      </c>
      <c r="E84" s="42" t="inlineStr">
        <is>
          <t>dolce &amp; gabbana the one gold intense</t>
        </is>
      </c>
      <c r="F84" s="42" t="inlineStr">
        <is>
          <t>hemel plateado</t>
        </is>
      </c>
      <c r="G84" s="42" t="inlineStr">
        <is>
          <t>the woods collection azure</t>
        </is>
      </c>
      <c r="H84" s="42" t="inlineStr">
        <is>
          <t>vilvah neem wood comb(fine and wide tooth)</t>
        </is>
      </c>
      <c r="I84" s="42" t="inlineStr">
        <is>
          <t>chloe nomade gift set uk</t>
        </is>
      </c>
      <c r="J84" s="66" t="inlineStr">
        <is>
          <t>dolce &amp; gabbana devotion gift set uk</t>
        </is>
      </c>
      <c r="K84" s="66" t="inlineStr">
        <is>
          <t>hemel affair uk</t>
        </is>
      </c>
      <c r="L84" s="66" t="inlineStr">
        <is>
          <t>signature le femme gold uk</t>
        </is>
      </c>
      <c r="M84" s="66" t="inlineStr">
        <is>
          <t>vilvah milk body lotion uk</t>
        </is>
      </c>
      <c r="N84" s="66" t="inlineStr">
        <is>
          <t>chopard black incense malaki eau de parfum</t>
        </is>
      </c>
      <c r="O84" s="66" t="inlineStr">
        <is>
          <t>hemel amethyst dream eau de parfum</t>
        </is>
      </c>
      <c r="P84" s="66" t="inlineStr">
        <is>
          <t>the woods collection eden eau de parfum</t>
        </is>
      </c>
      <c r="Q84" s="66" t="inlineStr">
        <is>
          <t>buy bvlgari omnia amethyste online</t>
        </is>
      </c>
      <c r="R84" s="66" t="inlineStr">
        <is>
          <t>buy deyga soft lip combo online</t>
        </is>
      </c>
      <c r="S84" s="66" t="inlineStr">
        <is>
          <t>buy gucci bloom miniature online</t>
        </is>
      </c>
      <c r="T84" s="66" t="inlineStr">
        <is>
          <t>buy rihanah ajwaa oud online</t>
        </is>
      </c>
      <c r="U84" s="66" t="inlineStr">
        <is>
          <t>buy vilvah filter kaapi lip balm online</t>
        </is>
      </c>
      <c r="V84" s="66" t="inlineStr">
        <is>
          <t>al haramain amber oud bleu edition 200ml</t>
        </is>
      </c>
      <c r="W84" s="66" t="inlineStr">
        <is>
          <t>bentley momentum unlimited review</t>
        </is>
      </c>
      <c r="X84" s="66" t="inlineStr">
        <is>
          <t>chloe mini set perfume</t>
        </is>
      </c>
      <c r="Y84" s="66" t="inlineStr">
        <is>
          <t>deyga hair removal powder amazon</t>
        </is>
      </c>
      <c r="Z84" s="66" t="inlineStr">
        <is>
          <t>dolce gabbana the one set women</t>
        </is>
      </c>
      <c r="AA84" s="66" t="inlineStr">
        <is>
          <t>escada magnetism review</t>
        </is>
      </c>
      <c r="AB84" s="66" t="inlineStr">
        <is>
          <t>game of spades win perfume</t>
        </is>
      </c>
      <c r="AC84" s="66" t="inlineStr">
        <is>
          <t>how to use deyga body scrub</t>
        </is>
      </c>
      <c r="AD84" s="66" t="inlineStr">
        <is>
          <t>nina ricci l'air du temps notes</t>
        </is>
      </c>
      <c r="AE84" s="66" t="inlineStr">
        <is>
          <t>the woods collection sunrise edp</t>
        </is>
      </c>
      <c r="AF84" s="66" t="inlineStr">
        <is>
          <t>vilvah anti frizz hair serum price</t>
        </is>
      </c>
      <c r="AG84" s="66" t="inlineStr">
        <is>
          <t>ariana grande thank u, next price</t>
        </is>
      </c>
      <c r="AH84" s="66" t="inlineStr">
        <is>
          <t>deyga natural lip balm price</t>
        </is>
      </c>
      <c r="AI84" s="66" t="inlineStr">
        <is>
          <t>game of spades boston price</t>
        </is>
      </c>
      <c r="AJ84" s="66" t="inlineStr">
        <is>
          <t>maison de milan opulent gold price</t>
        </is>
      </c>
      <c r="AK84" s="66" t="inlineStr">
        <is>
          <t>vilvah better ageing kit price</t>
        </is>
      </c>
      <c r="AM84" s="42" t="inlineStr">
        <is>
          <t>lancome idole nectar uk</t>
        </is>
      </c>
      <c r="AN84" s="42" t="inlineStr">
        <is>
          <t>under eye cream for dark circles</t>
        </is>
      </c>
      <c r="AP84" s="42" t="inlineStr">
        <is>
          <t>al haramain amber oud gold edition dupe of</t>
        </is>
      </c>
    </row>
    <row r="85" ht="15" customHeight="1" s="37">
      <c r="A85" s="42" t="inlineStr">
        <is>
          <t>fresh perfume for men uk</t>
        </is>
      </c>
      <c r="B85" s="42" t="inlineStr">
        <is>
          <t>deyga body oil</t>
        </is>
      </c>
      <c r="C85" s="42" t="inlineStr">
        <is>
          <t>deyga organics uk</t>
        </is>
      </c>
      <c r="D85" s="42" t="inlineStr">
        <is>
          <t>chopard oud malaki</t>
        </is>
      </c>
      <c r="E85" s="42" t="inlineStr">
        <is>
          <t>dolce &amp; gabbana the one intense</t>
        </is>
      </c>
      <c r="F85" s="42" t="inlineStr">
        <is>
          <t>hemel rosado</t>
        </is>
      </c>
      <c r="G85" s="42" t="inlineStr">
        <is>
          <t>the woods collection eden</t>
        </is>
      </c>
      <c r="H85" s="42" t="inlineStr">
        <is>
          <t>vilvah night repair kit</t>
        </is>
      </c>
      <c r="I85" s="42" t="inlineStr">
        <is>
          <t>chloe nomade jasmin naturel intense uk</t>
        </is>
      </c>
      <c r="J85" s="66" t="inlineStr">
        <is>
          <t>dolce &amp; gabbana devotion uk</t>
        </is>
      </c>
      <c r="K85" s="66" t="inlineStr">
        <is>
          <t>hemel amethyst dream uk</t>
        </is>
      </c>
      <c r="L85" s="66" t="inlineStr">
        <is>
          <t>signature musk uk</t>
        </is>
      </c>
      <c r="M85" s="66" t="inlineStr">
        <is>
          <t>vilvah milk drops brightening serum uk</t>
        </is>
      </c>
      <c r="N85" s="66" t="inlineStr">
        <is>
          <t>chopard imperiale iris malika eau de parfum</t>
        </is>
      </c>
      <c r="O85" s="66" t="inlineStr">
        <is>
          <t>hemel amethyst dream edp</t>
        </is>
      </c>
      <c r="P85" s="66" t="inlineStr">
        <is>
          <t>the woods collection elysian eau de parfum</t>
        </is>
      </c>
      <c r="Q85" s="66" t="inlineStr">
        <is>
          <t>buy bvlgari rose goldea blossom delight gift set online</t>
        </is>
      </c>
      <c r="R85" s="66" t="inlineStr">
        <is>
          <t>buy deyga soy milk conditioner online</t>
        </is>
      </c>
      <c r="S85" s="66" t="inlineStr">
        <is>
          <t>buy gucci bloom parfum miniature online</t>
        </is>
      </c>
      <c r="T85" s="66" t="inlineStr">
        <is>
          <t>buy roll it 1 online</t>
        </is>
      </c>
      <c r="U85" s="66" t="inlineStr">
        <is>
          <t>buy vilvah foot cream and body lotion kit online</t>
        </is>
      </c>
      <c r="V85" s="66" t="inlineStr">
        <is>
          <t>al haramain amber oud bleu edition dupe of</t>
        </is>
      </c>
      <c r="W85" s="66" t="inlineStr">
        <is>
          <t>bentley silverlake dupe of</t>
        </is>
      </c>
      <c r="X85" s="66" t="inlineStr">
        <is>
          <t>chloe miniature perfume set</t>
        </is>
      </c>
      <c r="Y85" s="66" t="inlineStr">
        <is>
          <t>deyga hair removal powder how to use</t>
        </is>
      </c>
      <c r="Z85" s="66" t="inlineStr">
        <is>
          <t>dunhill arabian desert review</t>
        </is>
      </c>
      <c r="AA85" s="66" t="inlineStr">
        <is>
          <t>escada magnetism women</t>
        </is>
      </c>
      <c r="AB85" s="66" t="inlineStr">
        <is>
          <t>game of spades win review</t>
        </is>
      </c>
      <c r="AC85" s="66" t="inlineStr">
        <is>
          <t>how to use deyga under eye mask</t>
        </is>
      </c>
      <c r="AD85" s="66" t="inlineStr">
        <is>
          <t>nina ricci l'air du temps perfume</t>
        </is>
      </c>
      <c r="AE85" s="66" t="inlineStr">
        <is>
          <t>the woods collection sunrise review</t>
        </is>
      </c>
      <c r="AF85" s="66" t="inlineStr">
        <is>
          <t>vilvah anti frizz hair serum review</t>
        </is>
      </c>
      <c r="AG85" s="66" t="inlineStr">
        <is>
          <t>armaf hunter price</t>
        </is>
      </c>
      <c r="AH85" s="66" t="inlineStr">
        <is>
          <t>deyga natural loose setting powder price</t>
        </is>
      </c>
      <c r="AI85" s="66" t="inlineStr">
        <is>
          <t>game of spades diamond price</t>
        </is>
      </c>
      <c r="AJ85" s="66" t="inlineStr">
        <is>
          <t>maison de milan valiant pour homme price</t>
        </is>
      </c>
      <c r="AK85" s="66" t="inlineStr">
        <is>
          <t>vilvah better ageing serum price</t>
        </is>
      </c>
      <c r="AM85" s="42" t="inlineStr">
        <is>
          <t>acqua di parma colonia pura eau de cologne</t>
        </is>
      </c>
      <c r="AN85" s="42" t="inlineStr">
        <is>
          <t>charcoal face wash</t>
        </is>
      </c>
      <c r="AP85" s="42" t="inlineStr">
        <is>
          <t>chopard oud malaki review</t>
        </is>
      </c>
    </row>
    <row r="86" ht="15" customHeight="1" s="37">
      <c r="A86" s="42" t="inlineStr">
        <is>
          <t>fresh perfume for women uk</t>
        </is>
      </c>
      <c r="B86" s="42" t="inlineStr">
        <is>
          <t>deyga body wash</t>
        </is>
      </c>
      <c r="C86" s="42" t="inlineStr">
        <is>
          <t>deyga products near me</t>
        </is>
      </c>
      <c r="D86" s="42" t="inlineStr">
        <is>
          <t>chris adams black shadow pour homme</t>
        </is>
      </c>
      <c r="E86" s="42" t="inlineStr">
        <is>
          <t>dunhill desire black</t>
        </is>
      </c>
      <c r="F86" s="42" t="inlineStr">
        <is>
          <t>hemel valley of diamond</t>
        </is>
      </c>
      <c r="G86" s="42" t="inlineStr">
        <is>
          <t>the woods collection elysian</t>
        </is>
      </c>
      <c r="H86" s="42" t="inlineStr">
        <is>
          <t>vilvah oil control kit</t>
        </is>
      </c>
      <c r="I86" s="42" t="inlineStr">
        <is>
          <t>chloe nomade nuit d'egypte uk</t>
        </is>
      </c>
      <c r="J86" s="66" t="inlineStr">
        <is>
          <t>dolce &amp; gabbana k gift set uk</t>
        </is>
      </c>
      <c r="K86" s="66" t="inlineStr">
        <is>
          <t>hemel dorado uk</t>
        </is>
      </c>
      <c r="L86" s="66" t="inlineStr">
        <is>
          <t>signature onyx uk</t>
        </is>
      </c>
      <c r="M86" s="66" t="inlineStr">
        <is>
          <t>vilvah milk face kit uk</t>
        </is>
      </c>
      <c r="N86" s="66" t="inlineStr">
        <is>
          <t>chopard oud malaki eau de parfum</t>
        </is>
      </c>
      <c r="O86" s="66" t="inlineStr">
        <is>
          <t>hemel dorado eau de parfum</t>
        </is>
      </c>
      <c r="P86" s="66" t="inlineStr">
        <is>
          <t>the woods collection green walk eau de parfum</t>
        </is>
      </c>
      <c r="Q86" s="66" t="inlineStr">
        <is>
          <t>buy bvlgari splendida tubereuse mystique online</t>
        </is>
      </c>
      <c r="R86" s="66" t="inlineStr">
        <is>
          <t>buy deyga spinach &amp; cucumber bath bar online</t>
        </is>
      </c>
      <c r="S86" s="66" t="inlineStr">
        <is>
          <t>buy gucci bloom profumo di fiori pen online</t>
        </is>
      </c>
      <c r="T86" s="66" t="inlineStr">
        <is>
          <t>buy s.t. dupont perfect tobacco online</t>
        </is>
      </c>
      <c r="U86" s="66" t="inlineStr">
        <is>
          <t>buy vilvah foot cream online</t>
        </is>
      </c>
      <c r="V86" s="66" t="inlineStr">
        <is>
          <t>al haramain amber oud bleu edition edp</t>
        </is>
      </c>
      <c r="W86" s="66" t="inlineStr">
        <is>
          <t>bentley silverlake edp</t>
        </is>
      </c>
      <c r="X86" s="66" t="inlineStr">
        <is>
          <t>chloe nomade eau de parfum gift set</t>
        </is>
      </c>
      <c r="Y86" s="66" t="inlineStr">
        <is>
          <t>deyga hair removal powder ingredients</t>
        </is>
      </c>
      <c r="Z86" s="66" t="inlineStr">
        <is>
          <t>dunhill british leather review</t>
        </is>
      </c>
      <c r="AA86" s="66" t="inlineStr">
        <is>
          <t>escada party love 100ml</t>
        </is>
      </c>
      <c r="AB86" s="66" t="inlineStr">
        <is>
          <t>game of spades yellow sapphire dupe of</t>
        </is>
      </c>
      <c r="AC86" s="66" t="inlineStr">
        <is>
          <t>how to use vilvah anti frizz hair serum</t>
        </is>
      </c>
      <c r="AD86" s="66" t="inlineStr">
        <is>
          <t>nina ricci nina illusion eau de parfum 30 ml</t>
        </is>
      </c>
      <c r="AE86" s="66" t="inlineStr">
        <is>
          <t>the woods collection sunrise отзывы</t>
        </is>
      </c>
      <c r="AF86" s="66" t="inlineStr">
        <is>
          <t>vilvah better ageing serum review</t>
        </is>
      </c>
      <c r="AG86" s="66" t="inlineStr">
        <is>
          <t>bentley absolute price</t>
        </is>
      </c>
      <c r="AH86" s="66" t="inlineStr">
        <is>
          <t>deyga neem &amp; turmeric bath bar price</t>
        </is>
      </c>
      <c r="AI86" s="66" t="inlineStr">
        <is>
          <t>game of spades full house price</t>
        </is>
      </c>
      <c r="AJ86" s="66" t="inlineStr">
        <is>
          <t>mancera black noir price</t>
        </is>
      </c>
      <c r="AK86" s="66" t="inlineStr">
        <is>
          <t>vilvah body polishing kit price</t>
        </is>
      </c>
      <c r="AM86" s="42" t="inlineStr">
        <is>
          <t>bentley silverlake eau de parfum</t>
        </is>
      </c>
      <c r="AN86" s="42" t="inlineStr">
        <is>
          <t>charcoal soap</t>
        </is>
      </c>
      <c r="AP86" s="42" t="inlineStr">
        <is>
          <t>chopard oud malaki dupe</t>
        </is>
      </c>
    </row>
    <row r="87" ht="15" customHeight="1" s="37">
      <c r="A87" s="42" t="inlineStr">
        <is>
          <t>fresh perfume uk</t>
        </is>
      </c>
      <c r="B87" s="42" t="inlineStr">
        <is>
          <t>deyga conditioner</t>
        </is>
      </c>
      <c r="C87" s="42" t="inlineStr">
        <is>
          <t>deyga shop near me</t>
        </is>
      </c>
      <c r="D87" s="42" t="inlineStr">
        <is>
          <t>chris adams ca dx 77 pour homme</t>
        </is>
      </c>
      <c r="E87" s="42" t="inlineStr">
        <is>
          <t>dunhill desire blue</t>
        </is>
      </c>
      <c r="F87" s="42" t="inlineStr">
        <is>
          <t>hermes hermes un jardin a cythere miniature</t>
        </is>
      </c>
      <c r="G87" s="42" t="inlineStr">
        <is>
          <t>the woods collection green walk</t>
        </is>
      </c>
      <c r="H87" s="42" t="inlineStr">
        <is>
          <t>vilvah pore minimising kit</t>
        </is>
      </c>
      <c r="I87" s="42" t="inlineStr">
        <is>
          <t>chloe nomade uk</t>
        </is>
      </c>
      <c r="J87" s="66" t="inlineStr">
        <is>
          <t>dolce &amp; gabbana l'imperatrice uk</t>
        </is>
      </c>
      <c r="K87" s="66" t="inlineStr">
        <is>
          <t>hemel favourite black uk</t>
        </is>
      </c>
      <c r="L87" s="66" t="inlineStr">
        <is>
          <t>signature opal uk</t>
        </is>
      </c>
      <c r="M87" s="66" t="inlineStr">
        <is>
          <t>vilvah milk face toner uk</t>
        </is>
      </c>
      <c r="N87" s="66" t="inlineStr">
        <is>
          <t>chris adams black shadow pour homme eau de toilette</t>
        </is>
      </c>
      <c r="O87" s="66" t="inlineStr">
        <is>
          <t>hemel favourite black eau de parfum</t>
        </is>
      </c>
      <c r="P87" s="66" t="inlineStr">
        <is>
          <t>the woods collection mirage eau de parfum</t>
        </is>
      </c>
      <c r="Q87" s="66" t="inlineStr">
        <is>
          <t>buy calvin klein defy miniature online</t>
        </is>
      </c>
      <c r="R87" s="66" t="inlineStr">
        <is>
          <t>buy deyga spirulina matcha face pack online</t>
        </is>
      </c>
      <c r="S87" s="66" t="inlineStr">
        <is>
          <t>buy gucci flora gorgeous gardenia online</t>
        </is>
      </c>
      <c r="T87" s="66" t="inlineStr">
        <is>
          <t>buy s.t. dupont pure bloom online</t>
        </is>
      </c>
      <c r="U87" s="66" t="inlineStr">
        <is>
          <t>buy vilvah goat milk body wash online</t>
        </is>
      </c>
      <c r="V87" s="66" t="inlineStr">
        <is>
          <t>al haramain amber oud bleu edition review</t>
        </is>
      </c>
      <c r="W87" s="66" t="inlineStr">
        <is>
          <t>bentley silverlake notes</t>
        </is>
      </c>
      <c r="X87" s="66" t="inlineStr">
        <is>
          <t>chloe nomade edp</t>
        </is>
      </c>
      <c r="Y87" s="66" t="inlineStr">
        <is>
          <t>deyga hair removal powder mini</t>
        </is>
      </c>
      <c r="Z87" s="66" t="inlineStr">
        <is>
          <t>dunhill desire black edt</t>
        </is>
      </c>
      <c r="AA87" s="66" t="inlineStr">
        <is>
          <t>escada party love notes</t>
        </is>
      </c>
      <c r="AB87" s="66" t="inlineStr">
        <is>
          <t>game of spades yellow sapphire notes</t>
        </is>
      </c>
      <c r="AC87" s="66" t="inlineStr">
        <is>
          <t>how to use vilvah cream conditioner</t>
        </is>
      </c>
      <c r="AD87" s="66" t="inlineStr">
        <is>
          <t>nina ricci nina illusion edp</t>
        </is>
      </c>
      <c r="AE87" s="66" t="inlineStr">
        <is>
          <t>the woods collection sunrise фрагрантика</t>
        </is>
      </c>
      <c r="AF87" s="66" t="inlineStr">
        <is>
          <t>vilvah conditioner review</t>
        </is>
      </c>
      <c r="AG87" s="66" t="inlineStr">
        <is>
          <t>bentley azure price</t>
        </is>
      </c>
      <c r="AH87" s="66" t="inlineStr">
        <is>
          <t>deyga neem seed oil price</t>
        </is>
      </c>
      <c r="AI87" s="66" t="inlineStr">
        <is>
          <t>game of spades high roller price</t>
        </is>
      </c>
      <c r="AJ87" s="66" t="inlineStr">
        <is>
          <t>mancera intense red tobacco price</t>
        </is>
      </c>
      <c r="AK87" s="66" t="inlineStr">
        <is>
          <t>vilvah budget skincare combo price</t>
        </is>
      </c>
      <c r="AM87" s="42" t="inlineStr">
        <is>
          <t>carolina herrera 212 vip rose eau de parfum</t>
        </is>
      </c>
      <c r="AN87" s="42" t="inlineStr">
        <is>
          <t>neem face wash</t>
        </is>
      </c>
      <c r="AP87" s="42" t="inlineStr">
        <is>
          <t>guerlain oud essentiel review</t>
        </is>
      </c>
    </row>
    <row r="88" ht="15" customHeight="1" s="37">
      <c r="A88" s="42" t="inlineStr">
        <is>
          <t>fruity perfume for women uk</t>
        </is>
      </c>
      <c r="B88" s="42" t="inlineStr">
        <is>
          <t>deyga face mask</t>
        </is>
      </c>
      <c r="C88" s="42" t="inlineStr">
        <is>
          <t>vilvah contact</t>
        </is>
      </c>
      <c r="D88" s="42" t="inlineStr">
        <is>
          <t>davidoff champion</t>
        </is>
      </c>
      <c r="E88" s="42" t="inlineStr">
        <is>
          <t>dunhill desire gold</t>
        </is>
      </c>
      <c r="F88" s="42" t="inlineStr">
        <is>
          <t>hermes miniature gift set 4 x fragrances</t>
        </is>
      </c>
      <c r="G88" s="42" t="inlineStr">
        <is>
          <t>the woods collection mirage</t>
        </is>
      </c>
      <c r="H88" s="42" t="inlineStr">
        <is>
          <t>vilvah rose milk lip balm</t>
        </is>
      </c>
      <c r="I88" s="42" t="inlineStr">
        <is>
          <t>chloe rose naturelle intense uk</t>
        </is>
      </c>
      <c r="J88" s="66" t="inlineStr">
        <is>
          <t>dolce &amp; gabbana miniature set uk</t>
        </is>
      </c>
      <c r="K88" s="66" t="inlineStr">
        <is>
          <t>hemel gris uk</t>
        </is>
      </c>
      <c r="L88" s="66" t="inlineStr">
        <is>
          <t>signature paradiso uk</t>
        </is>
      </c>
      <c r="M88" s="66" t="inlineStr">
        <is>
          <t>vilvah milk lip balm spf 30 pa+++ uk</t>
        </is>
      </c>
      <c r="N88" s="66" t="inlineStr">
        <is>
          <t>chris adams ca dx 77 pour homme edp</t>
        </is>
      </c>
      <c r="O88" s="66" t="inlineStr">
        <is>
          <t>hemel gris eau de parfum</t>
        </is>
      </c>
      <c r="P88" s="66" t="inlineStr">
        <is>
          <t>the woods collection pure shine eau de parfum</t>
        </is>
      </c>
      <c r="Q88" s="66" t="inlineStr">
        <is>
          <t>buy calvin klein defy online</t>
        </is>
      </c>
      <c r="R88" s="66" t="inlineStr">
        <is>
          <t>buy deyga strawberry lip scrub online</t>
        </is>
      </c>
      <c r="S88" s="66" t="inlineStr">
        <is>
          <t>buy gucci flora gorgeous miniature set online</t>
        </is>
      </c>
      <c r="T88" s="66" t="inlineStr">
        <is>
          <t>buy s.t. dupont royal amber online</t>
        </is>
      </c>
      <c r="U88" s="66" t="inlineStr">
        <is>
          <t>buy vilvah goat milk hair kit online</t>
        </is>
      </c>
      <c r="V88" s="66" t="inlineStr">
        <is>
          <t>al haramain amber oud carbon edition 200ml</t>
        </is>
      </c>
      <c r="W88" s="66" t="inlineStr">
        <is>
          <t>bentley silverlake perfume</t>
        </is>
      </c>
      <c r="X88" s="66" t="inlineStr">
        <is>
          <t>chloe nomade gift set 75ml</t>
        </is>
      </c>
      <c r="Y88" s="66" t="inlineStr">
        <is>
          <t>deyga hair removal powder review</t>
        </is>
      </c>
      <c r="Z88" s="66" t="inlineStr">
        <is>
          <t>dunhill desire black notes</t>
        </is>
      </c>
      <c r="AA88" s="66" t="inlineStr">
        <is>
          <t>escada party love perfume</t>
        </is>
      </c>
      <c r="AB88" s="66" t="inlineStr">
        <is>
          <t>game.of.spades.yellow sapphire smells like</t>
        </is>
      </c>
      <c r="AC88" s="66" t="inlineStr">
        <is>
          <t>how to use vilvah goat milk hair mask</t>
        </is>
      </c>
      <c r="AD88" s="66" t="inlineStr">
        <is>
          <t>nina ricci nina illusion review</t>
        </is>
      </c>
      <c r="AE88" s="66" t="inlineStr">
        <is>
          <t>the woods collection timeless sands edp</t>
        </is>
      </c>
      <c r="AF88" s="66" t="inlineStr">
        <is>
          <t>vilvah cream bun lip balm review</t>
        </is>
      </c>
      <c r="AG88" s="66" t="inlineStr">
        <is>
          <t>bentley azzaro chrome legend price</t>
        </is>
      </c>
      <c r="AH88" s="66" t="inlineStr">
        <is>
          <t>deyga nourished lip care kit price</t>
        </is>
      </c>
      <c r="AI88" s="66" t="inlineStr">
        <is>
          <t>game of spades jackpot price</t>
        </is>
      </c>
      <c r="AJ88" s="66" t="inlineStr">
        <is>
          <t>marc jacobs daisy love glow limited edition price</t>
        </is>
      </c>
      <c r="AK88" s="66" t="inlineStr">
        <is>
          <t>vilvah charcoal facemask price</t>
        </is>
      </c>
      <c r="AM88" s="42" t="inlineStr">
        <is>
          <t>davidoff indigo eau de toilette</t>
        </is>
      </c>
      <c r="AN88" s="42" t="inlineStr">
        <is>
          <t>tea tree face wash</t>
        </is>
      </c>
      <c r="AP88" s="42" t="inlineStr">
        <is>
          <t>guerlain oud essentiel notes</t>
        </is>
      </c>
    </row>
    <row r="89" ht="15" customHeight="1" s="37">
      <c r="A89" s="42" t="inlineStr">
        <is>
          <t>fruity perfume uk</t>
        </is>
      </c>
      <c r="B89" s="42" t="inlineStr">
        <is>
          <t>deyga face serum</t>
        </is>
      </c>
      <c r="C89" s="42" t="inlineStr">
        <is>
          <t>vilvah milk drops</t>
        </is>
      </c>
      <c r="D89" s="42" t="inlineStr">
        <is>
          <t>davidoff cool water reborn intense</t>
        </is>
      </c>
      <c r="E89" s="42" t="inlineStr">
        <is>
          <t>dunhill desire silver</t>
        </is>
      </c>
      <c r="F89" s="42" t="inlineStr">
        <is>
          <t>hermes un jardin a cythere miniature</t>
        </is>
      </c>
      <c r="G89" s="42" t="inlineStr">
        <is>
          <t>the woods collection pure shine</t>
        </is>
      </c>
      <c r="H89" s="42" t="inlineStr">
        <is>
          <t>vilvah rosewater facial toner</t>
        </is>
      </c>
      <c r="I89" s="42" t="inlineStr">
        <is>
          <t>chopard amber malaki uk</t>
        </is>
      </c>
      <c r="J89" s="66" t="inlineStr">
        <is>
          <t>dolce &amp; gabbana q uk</t>
        </is>
      </c>
      <c r="K89" s="66" t="inlineStr">
        <is>
          <t>hemel paris dorado uk</t>
        </is>
      </c>
      <c r="L89" s="66" t="inlineStr">
        <is>
          <t>signature rose uk</t>
        </is>
      </c>
      <c r="M89" s="66" t="inlineStr">
        <is>
          <t>vilvah milk mud mask uk</t>
        </is>
      </c>
      <c r="N89" s="66" t="inlineStr">
        <is>
          <t>davidoff champion eau de toilette</t>
        </is>
      </c>
      <c r="O89" s="66" t="inlineStr">
        <is>
          <t>hemel paris dorado edp</t>
        </is>
      </c>
      <c r="P89" s="66" t="inlineStr">
        <is>
          <t>the woods collection secret source eau de parfum</t>
        </is>
      </c>
      <c r="Q89" s="66" t="inlineStr">
        <is>
          <t>buy calvin klein defy parfum miniature online</t>
        </is>
      </c>
      <c r="R89" s="66" t="inlineStr">
        <is>
          <t>buy deyga sunscreen online</t>
        </is>
      </c>
      <c r="S89" s="66" t="inlineStr">
        <is>
          <t>buy gucci flora gorgeous orchid miniature online</t>
        </is>
      </c>
      <c r="T89" s="66" t="inlineStr">
        <is>
          <t>buy sap le roi online</t>
        </is>
      </c>
      <c r="U89" s="66" t="inlineStr">
        <is>
          <t>buy vilvah goat milk hair mask online</t>
        </is>
      </c>
      <c r="V89" s="66" t="inlineStr">
        <is>
          <t>al haramain amber oud carbon edition dupe of</t>
        </is>
      </c>
      <c r="W89" s="66" t="inlineStr">
        <is>
          <t>bentley silverlake review</t>
        </is>
      </c>
      <c r="X89" s="66" t="inlineStr">
        <is>
          <t>chloe nomade gift set perfume</t>
        </is>
      </c>
      <c r="Y89" s="66" t="inlineStr">
        <is>
          <t>deyga lip balm ingredients</t>
        </is>
      </c>
      <c r="Z89" s="66" t="inlineStr">
        <is>
          <t>dunhill desire black perfume</t>
        </is>
      </c>
      <c r="AA89" s="66" t="inlineStr">
        <is>
          <t>escada party love perfume notes</t>
        </is>
      </c>
      <c r="AB89" s="66" t="inlineStr">
        <is>
          <t>giorgio armani code refillable edt 75ml</t>
        </is>
      </c>
      <c r="AC89" s="66" t="inlineStr">
        <is>
          <t>how to use vilvah hair mask</t>
        </is>
      </c>
      <c r="AD89" s="66" t="inlineStr">
        <is>
          <t>nina ricci nina illusion купить</t>
        </is>
      </c>
      <c r="AE89" s="66" t="inlineStr">
        <is>
          <t>the woods collection timeless sands review</t>
        </is>
      </c>
      <c r="AF89" s="66" t="inlineStr">
        <is>
          <t>vilvah cream conditioner ingredients</t>
        </is>
      </c>
      <c r="AG89" s="66" t="inlineStr">
        <is>
          <t>bentley azzaro pour homme deodorant price</t>
        </is>
      </c>
      <c r="AH89" s="66" t="inlineStr">
        <is>
          <t>deyga nourished lips stick kit price</t>
        </is>
      </c>
      <c r="AI89" s="66" t="inlineStr">
        <is>
          <t>game of spades king price</t>
        </is>
      </c>
      <c r="AJ89" s="66" t="inlineStr">
        <is>
          <t>marc jacobs daisy love miniature price</t>
        </is>
      </c>
      <c r="AK89" s="66" t="inlineStr">
        <is>
          <t>vilvah charcoal goatmilk soap price</t>
        </is>
      </c>
      <c r="AM89" s="42" t="inlineStr">
        <is>
          <t>dolce &amp; gabbana devotion eau de parfum</t>
        </is>
      </c>
      <c r="AN89" s="42" t="inlineStr">
        <is>
          <t>onion hair oil</t>
        </is>
      </c>
      <c r="AP89" s="42" t="inlineStr">
        <is>
          <t>givenchy amarige notes</t>
        </is>
      </c>
    </row>
    <row r="90" ht="15" customHeight="1" s="37">
      <c r="A90" s="42" t="inlineStr">
        <is>
          <t>fumeri perfume</t>
        </is>
      </c>
      <c r="B90" s="42" t="inlineStr">
        <is>
          <t>deyga face wash</t>
        </is>
      </c>
      <c r="C90" s="42" t="inlineStr">
        <is>
          <t>vilvah milk drops uk</t>
        </is>
      </c>
      <c r="D90" s="42" t="inlineStr">
        <is>
          <t>davidoff indigo</t>
        </is>
      </c>
      <c r="E90" s="42" t="inlineStr">
        <is>
          <t>dunhill signature collection agar wood</t>
        </is>
      </c>
      <c r="F90" s="42" t="inlineStr">
        <is>
          <t>hermes un jardin en mediterranee miniature</t>
        </is>
      </c>
      <c r="G90" s="42" t="inlineStr">
        <is>
          <t>the woods collection secret source</t>
        </is>
      </c>
      <c r="H90" s="42" t="inlineStr">
        <is>
          <t>vilvah sensitive skin kit</t>
        </is>
      </c>
      <c r="I90" s="42" t="inlineStr">
        <is>
          <t>chopard black incense malaki uk</t>
        </is>
      </c>
      <c r="J90" s="66" t="inlineStr">
        <is>
          <t>dolce &amp; gabbana the one gift set uk</t>
        </is>
      </c>
      <c r="K90" s="66" t="inlineStr">
        <is>
          <t>hemel paris gris for all uk</t>
        </is>
      </c>
      <c r="L90" s="66" t="inlineStr">
        <is>
          <t>signature santal uk</t>
        </is>
      </c>
      <c r="M90" s="66" t="inlineStr">
        <is>
          <t>vilvah milk powder face wash uk</t>
        </is>
      </c>
      <c r="N90" s="66" t="inlineStr">
        <is>
          <t>davidoff cool water reborn intense eau de parfum</t>
        </is>
      </c>
      <c r="O90" s="66" t="inlineStr">
        <is>
          <t>hemel paris gris for all eau de parfum</t>
        </is>
      </c>
      <c r="P90" s="66" t="inlineStr">
        <is>
          <t>the woods collection sunrise eau de parfum</t>
        </is>
      </c>
      <c r="Q90" s="66" t="inlineStr">
        <is>
          <t>buy calvin klein eternity aromatic essence parfum intense miniature online</t>
        </is>
      </c>
      <c r="R90" s="66" t="inlineStr">
        <is>
          <t>buy deyga tangerine cleansing balm for makeup removal online</t>
        </is>
      </c>
      <c r="S90" s="66" t="inlineStr">
        <is>
          <t>buy gucci guilty pour femme gift set online</t>
        </is>
      </c>
      <c r="T90" s="66" t="inlineStr">
        <is>
          <t>buy sap oud leopard fr online</t>
        </is>
      </c>
      <c r="U90" s="66" t="inlineStr">
        <is>
          <t>buy vilvah goat milk shampoo online</t>
        </is>
      </c>
      <c r="V90" s="66" t="inlineStr">
        <is>
          <t>al haramain amber oud carbon edition edp</t>
        </is>
      </c>
      <c r="W90" s="66" t="inlineStr">
        <is>
          <t>burberry mini set</t>
        </is>
      </c>
      <c r="X90" s="66" t="inlineStr">
        <is>
          <t>chloe nomade ingredients</t>
        </is>
      </c>
      <c r="Y90" s="66" t="inlineStr">
        <is>
          <t>deyga lip balm review</t>
        </is>
      </c>
      <c r="Z90" s="66" t="inlineStr">
        <is>
          <t>dunhill desire black review</t>
        </is>
      </c>
      <c r="AA90" s="66" t="inlineStr">
        <is>
          <t>escada party love review</t>
        </is>
      </c>
      <c r="AB90" s="66" t="inlineStr">
        <is>
          <t>giorgio armani code refillable parfum</t>
        </is>
      </c>
      <c r="AC90" s="66" t="inlineStr">
        <is>
          <t>how to use vilvah under eye cream</t>
        </is>
      </c>
      <c r="AD90" s="66" t="inlineStr">
        <is>
          <t>nina ricci nina illusion отзывы</t>
        </is>
      </c>
      <c r="AE90" s="66" t="inlineStr">
        <is>
          <t>the woods collection timeless sands отзывы</t>
        </is>
      </c>
      <c r="AF90" s="66" t="inlineStr">
        <is>
          <t>vilvah cream conditioner review</t>
        </is>
      </c>
      <c r="AG90" s="66" t="inlineStr">
        <is>
          <t>bentley azzaro the most wanted intense gift set price</t>
        </is>
      </c>
      <c r="AH90" s="66" t="inlineStr">
        <is>
          <t>deyga oat milk face wash price</t>
        </is>
      </c>
      <c r="AI90" s="66" t="inlineStr">
        <is>
          <t>game of spades moon price</t>
        </is>
      </c>
      <c r="AJ90" s="66" t="inlineStr">
        <is>
          <t>marc jacobs honey price</t>
        </is>
      </c>
      <c r="AK90" s="66" t="inlineStr">
        <is>
          <t>vilvah classic goatmilk soap price</t>
        </is>
      </c>
      <c r="AM90" s="42" t="inlineStr">
        <is>
          <t>dolce &amp; gabbana devotion uk</t>
        </is>
      </c>
      <c r="AN90" s="42" t="inlineStr">
        <is>
          <t>hair growth oil</t>
        </is>
      </c>
      <c r="AP90" s="42" t="inlineStr">
        <is>
          <t>givenchy amarige perfume</t>
        </is>
      </c>
    </row>
    <row r="91" ht="15" customHeight="1" s="37">
      <c r="A91" s="42" t="inlineStr">
        <is>
          <t>fumeri perfume for men</t>
        </is>
      </c>
      <c r="B91" s="42" t="inlineStr">
        <is>
          <t>deyga hair oil</t>
        </is>
      </c>
      <c r="C91" s="42" t="inlineStr">
        <is>
          <t>vilvah milk serum</t>
        </is>
      </c>
      <c r="D91" s="42" t="inlineStr">
        <is>
          <t>davidoff the game</t>
        </is>
      </c>
      <c r="E91" s="42" t="inlineStr">
        <is>
          <t>dunhill signature collection amalfi citrus</t>
        </is>
      </c>
      <c r="F91" s="42" t="inlineStr">
        <is>
          <t>hermes un jardin sur le toit miniature</t>
        </is>
      </c>
      <c r="G91" s="42" t="inlineStr">
        <is>
          <t>the woods collection sunrise</t>
        </is>
      </c>
      <c r="H91" s="42" t="inlineStr">
        <is>
          <t>vilvah shampoo and hair serum kit</t>
        </is>
      </c>
      <c r="I91" s="42" t="inlineStr">
        <is>
          <t>chopard gardens of paradise discovery set uk</t>
        </is>
      </c>
      <c r="J91" s="66" t="inlineStr">
        <is>
          <t>dolce &amp; gabbana the one gold intense uk</t>
        </is>
      </c>
      <c r="K91" s="66" t="inlineStr">
        <is>
          <t>hemel patchouli for all uk</t>
        </is>
      </c>
      <c r="L91" s="66" t="inlineStr">
        <is>
          <t>signature sapphire uk</t>
        </is>
      </c>
      <c r="M91" s="66" t="inlineStr">
        <is>
          <t>vilvah neem wood comb (with handle) uk</t>
        </is>
      </c>
      <c r="N91" s="66" t="inlineStr">
        <is>
          <t>davidoff indigo eau de toilette</t>
        </is>
      </c>
      <c r="O91" s="66" t="inlineStr">
        <is>
          <t>hemel patchouli for all eau de parfum</t>
        </is>
      </c>
      <c r="P91" s="66" t="inlineStr">
        <is>
          <t>the woods collection timeless sands eau de parfum</t>
        </is>
      </c>
      <c r="Q91" s="66" t="inlineStr">
        <is>
          <t>buy calvin klein eternity online</t>
        </is>
      </c>
      <c r="R91" s="66" t="inlineStr">
        <is>
          <t>buy deyga tea tree facial toner online</t>
        </is>
      </c>
      <c r="S91" s="66" t="inlineStr">
        <is>
          <t>buy gucci guilty pour femme miniature online</t>
        </is>
      </c>
      <c r="T91" s="66" t="inlineStr">
        <is>
          <t>buy sap patchouli intense online</t>
        </is>
      </c>
      <c r="U91" s="66" t="inlineStr">
        <is>
          <t>buy vilvah hair growth oil online</t>
        </is>
      </c>
      <c r="V91" s="66" t="inlineStr">
        <is>
          <t>al haramain amber oud carbon edition notes</t>
        </is>
      </c>
      <c r="W91" s="66" t="inlineStr">
        <is>
          <t>burberry mini set 4</t>
        </is>
      </c>
      <c r="X91" s="66" t="inlineStr">
        <is>
          <t>chloe nomade jasmin naturel intense 75ml</t>
        </is>
      </c>
      <c r="Y91" s="66" t="inlineStr">
        <is>
          <t>deyga neem seed oil review</t>
        </is>
      </c>
      <c r="Z91" s="66" t="inlineStr">
        <is>
          <t>dunhill desire blue notes</t>
        </is>
      </c>
      <c r="AA91" s="66" t="inlineStr">
        <is>
          <t>estee lauder spellbound dupe</t>
        </is>
      </c>
      <c r="AB91" s="66" t="inlineStr">
        <is>
          <t>giorgio armani perfume refillable</t>
        </is>
      </c>
      <c r="AC91" s="66" t="inlineStr">
        <is>
          <t>invincible maison de milan</t>
        </is>
      </c>
      <c r="AD91" s="66" t="inlineStr">
        <is>
          <t>nina ricci nina precious gold edp</t>
        </is>
      </c>
      <c r="AE91" s="66" t="inlineStr">
        <is>
          <t>the woods collection timeless sands фрагрантика</t>
        </is>
      </c>
      <c r="AF91" s="66" t="inlineStr">
        <is>
          <t>vilvah foot cream ingredients</t>
        </is>
      </c>
      <c r="AG91" s="66" t="inlineStr">
        <is>
          <t>bentley azzaro the most wanted price</t>
        </is>
      </c>
      <c r="AH91" s="66" t="inlineStr">
        <is>
          <t>deyga orange &amp; almond face pack powder price</t>
        </is>
      </c>
      <c r="AI91" s="66" t="inlineStr">
        <is>
          <t>game of spades opal price</t>
        </is>
      </c>
      <c r="AJ91" s="66" t="inlineStr">
        <is>
          <t>marc jacobs miniature gift set 2025 price</t>
        </is>
      </c>
      <c r="AK91" s="66" t="inlineStr">
        <is>
          <t>vilvah classic rose goatmilk soap price</t>
        </is>
      </c>
      <c r="AM91" s="42" t="inlineStr">
        <is>
          <t>gucci bloom gift set uk</t>
        </is>
      </c>
      <c r="AN91" s="42" t="inlineStr">
        <is>
          <t>amla hair oil</t>
        </is>
      </c>
      <c r="AP91" s="42" t="inlineStr">
        <is>
          <t>acqua di parma sandalo review</t>
        </is>
      </c>
    </row>
    <row r="92" ht="15" customHeight="1" s="37">
      <c r="A92" s="42" t="inlineStr">
        <is>
          <t>fumeri perfume for women</t>
        </is>
      </c>
      <c r="B92" s="42" t="inlineStr">
        <is>
          <t>deyga hair treatment</t>
        </is>
      </c>
      <c r="C92" s="42" t="inlineStr">
        <is>
          <t>vilvah near me</t>
        </is>
      </c>
      <c r="D92" s="42" t="inlineStr">
        <is>
          <t>deyga 10% vitamin c face serum</t>
        </is>
      </c>
      <c r="E92" s="42" t="inlineStr">
        <is>
          <t>dunhill signature collection arabian desert</t>
        </is>
      </c>
      <c r="F92" s="42" t="inlineStr">
        <is>
          <t>hollister festival vibes</t>
        </is>
      </c>
      <c r="G92" s="42" t="inlineStr">
        <is>
          <t>the woods collection timeless sands</t>
        </is>
      </c>
      <c r="H92" s="42" t="inlineStr">
        <is>
          <t>vilvah skin brightening kit</t>
        </is>
      </c>
      <c r="I92" s="42" t="inlineStr">
        <is>
          <t>chopard imperiale iris malika uk</t>
        </is>
      </c>
      <c r="J92" s="66" t="inlineStr">
        <is>
          <t>dolce &amp; gabbana the one intense uk</t>
        </is>
      </c>
      <c r="K92" s="66" t="inlineStr">
        <is>
          <t>hemel plateado uk</t>
        </is>
      </c>
      <c r="L92" s="66" t="inlineStr">
        <is>
          <t>the woods collection azure uk</t>
        </is>
      </c>
      <c r="M92" s="66" t="inlineStr">
        <is>
          <t>vilvah neem wood comb(fine and wide tooth) uk</t>
        </is>
      </c>
      <c r="N92" s="66" t="inlineStr">
        <is>
          <t>davidoff the game eau de toilette</t>
        </is>
      </c>
      <c r="O92" s="66" t="inlineStr">
        <is>
          <t>hemel plateado eau de parfum</t>
        </is>
      </c>
      <c r="P92" s="66" t="inlineStr">
        <is>
          <t>the woods collection twilight eau de parfum</t>
        </is>
      </c>
      <c r="Q92" s="66" t="inlineStr">
        <is>
          <t>buy calvin klein eternity parfum miniature online</t>
        </is>
      </c>
      <c r="R92" s="66" t="inlineStr">
        <is>
          <t>buy deyga under eye cream online</t>
        </is>
      </c>
      <c r="S92" s="66" t="inlineStr">
        <is>
          <t>buy gucci guilty pour homme online</t>
        </is>
      </c>
      <c r="T92" s="66" t="inlineStr">
        <is>
          <t>buy sap saffron oud online</t>
        </is>
      </c>
      <c r="U92" s="66" t="inlineStr">
        <is>
          <t>buy vilvah hair strengthening kit online</t>
        </is>
      </c>
      <c r="V92" s="66" t="inlineStr">
        <is>
          <t>al haramain amber oud carbon edition review</t>
        </is>
      </c>
      <c r="W92" s="66" t="inlineStr">
        <is>
          <t>burberry mini set perfume</t>
        </is>
      </c>
      <c r="X92" s="66" t="inlineStr">
        <is>
          <t>chloe nomade jasmin naturel intense edp</t>
        </is>
      </c>
      <c r="Y92" s="66" t="inlineStr">
        <is>
          <t>deyga rice water shampoo amazon</t>
        </is>
      </c>
      <c r="Z92" s="66" t="inlineStr">
        <is>
          <t>dunhill desire blue original</t>
        </is>
      </c>
      <c r="AA92" s="66" t="inlineStr">
        <is>
          <t>estee lauder spellbound edp</t>
        </is>
      </c>
      <c r="AB92" s="66" t="inlineStr">
        <is>
          <t>givenchy amarige 100ml</t>
        </is>
      </c>
      <c r="AC92" s="66" t="inlineStr">
        <is>
          <t>invincible perfume maison de milan</t>
        </is>
      </c>
      <c r="AD92" s="66" t="inlineStr">
        <is>
          <t>nina ricci perfume precious gold</t>
        </is>
      </c>
      <c r="AE92" s="66" t="inlineStr">
        <is>
          <t>the woods collection twilight dupe of</t>
        </is>
      </c>
      <c r="AF92" s="66" t="inlineStr">
        <is>
          <t>vilvah foot cream review</t>
        </is>
      </c>
      <c r="AG92" s="66" t="inlineStr">
        <is>
          <t>bentley become price</t>
        </is>
      </c>
      <c r="AH92" s="66" t="inlineStr">
        <is>
          <t>deyga organic loofah for body exfoliation price</t>
        </is>
      </c>
      <c r="AI92" s="66" t="inlineStr">
        <is>
          <t>game of spades rouge extrait price</t>
        </is>
      </c>
      <c r="AJ92" s="66" t="inlineStr">
        <is>
          <t>marc jacobs perfect elixir miniature price</t>
        </is>
      </c>
      <c r="AK92" s="66" t="inlineStr">
        <is>
          <t>vilvah cookie n cream body mask price</t>
        </is>
      </c>
      <c r="AM92" s="42" t="inlineStr">
        <is>
          <t>burberry my burberry black parfum</t>
        </is>
      </c>
      <c r="AN92" s="42" t="inlineStr">
        <is>
          <t>castor oil for hair</t>
        </is>
      </c>
      <c r="AP92" s="42" t="inlineStr">
        <is>
          <t>acqua di parma sandalo dupe</t>
        </is>
      </c>
    </row>
    <row r="93" ht="15" customHeight="1" s="37">
      <c r="A93" s="42" t="inlineStr">
        <is>
          <t>giorgia armani perfume</t>
        </is>
      </c>
      <c r="B93" s="42" t="inlineStr">
        <is>
          <t>deyga lip balm</t>
        </is>
      </c>
      <c r="C93" s="42" t="inlineStr">
        <is>
          <t>vilvah review</t>
        </is>
      </c>
      <c r="D93" s="42" t="inlineStr">
        <is>
          <t>deyga 2% hyaluronic acid serum</t>
        </is>
      </c>
      <c r="E93" s="42" t="inlineStr">
        <is>
          <t>dunhill signature collection british leather</t>
        </is>
      </c>
      <c r="F93" s="42" t="inlineStr">
        <is>
          <t>hugo boss alive</t>
        </is>
      </c>
      <c r="G93" s="42" t="inlineStr">
        <is>
          <t>the woods collection twilight</t>
        </is>
      </c>
      <c r="H93" s="42" t="inlineStr">
        <is>
          <t>vilvah skin finish sunscreen spf 50</t>
        </is>
      </c>
      <c r="I93" s="42" t="inlineStr">
        <is>
          <t>chopard oud malaki uk</t>
        </is>
      </c>
      <c r="J93" s="66" t="inlineStr">
        <is>
          <t>dolce &amp; gabbana the one uk</t>
        </is>
      </c>
      <c r="K93" s="66" t="inlineStr">
        <is>
          <t>hemel rosado uk</t>
        </is>
      </c>
      <c r="L93" s="66" t="inlineStr">
        <is>
          <t>the woods collection eden uk</t>
        </is>
      </c>
      <c r="M93" s="66" t="inlineStr">
        <is>
          <t>vilvah night repair kit uk</t>
        </is>
      </c>
      <c r="N93" s="66" t="inlineStr">
        <is>
          <t>dior miss dior roller-pearl eau de parfum</t>
        </is>
      </c>
      <c r="O93" s="66" t="inlineStr">
        <is>
          <t>hemel rosado eau de parfum</t>
        </is>
      </c>
      <c r="P93" s="66" t="inlineStr">
        <is>
          <t>the woods collection wild roses eau de parfum</t>
        </is>
      </c>
      <c r="Q93" s="66" t="inlineStr">
        <is>
          <t>buy calvin klein miniature set online</t>
        </is>
      </c>
      <c r="R93" s="66" t="inlineStr">
        <is>
          <t>buy deyga under eye mask online</t>
        </is>
      </c>
      <c r="S93" s="66" t="inlineStr">
        <is>
          <t>buy gucci intense oud online</t>
        </is>
      </c>
      <c r="T93" s="66" t="inlineStr">
        <is>
          <t>buy sap vert club online</t>
        </is>
      </c>
      <c r="U93" s="66" t="inlineStr">
        <is>
          <t>buy vilvah hairfall control kit online</t>
        </is>
      </c>
      <c r="V93" s="66" t="inlineStr">
        <is>
          <t>al haramain amber oud extreme gold edition dupe of</t>
        </is>
      </c>
      <c r="W93" s="66" t="inlineStr">
        <is>
          <t>burberry miniature perfume set</t>
        </is>
      </c>
      <c r="X93" s="66" t="inlineStr">
        <is>
          <t>chloe nomade jasmin naturel intense notes</t>
        </is>
      </c>
      <c r="Y93" s="66" t="inlineStr">
        <is>
          <t>deyga rice water shampoo benefits</t>
        </is>
      </c>
      <c r="Z93" s="66" t="inlineStr">
        <is>
          <t>dunhill desire blue perfume</t>
        </is>
      </c>
      <c r="AA93" s="66" t="inlineStr">
        <is>
          <t>estee lauder spellbound notes</t>
        </is>
      </c>
      <c r="AB93" s="66" t="inlineStr">
        <is>
          <t>givenchy amarige eau de parfum</t>
        </is>
      </c>
      <c r="AC93" s="66" t="inlineStr">
        <is>
          <t>jean paul gaultier classique ingredients</t>
        </is>
      </c>
      <c r="AD93" s="66" t="inlineStr">
        <is>
          <t>nina ricci precious gold 50ml</t>
        </is>
      </c>
      <c r="AE93" s="66" t="inlineStr">
        <is>
          <t>the woods collection twilight edp</t>
        </is>
      </c>
      <c r="AF93" s="66" t="inlineStr">
        <is>
          <t>vilvah goat milk body soap</t>
        </is>
      </c>
      <c r="AG93" s="66" t="inlineStr">
        <is>
          <t>bentley infinite price</t>
        </is>
      </c>
      <c r="AH93" s="66" t="inlineStr">
        <is>
          <t>deyga plant based hair color – black price</t>
        </is>
      </c>
      <c r="AI93" s="66" t="inlineStr">
        <is>
          <t>game of spades rouge price</t>
        </is>
      </c>
      <c r="AJ93" s="66" t="inlineStr">
        <is>
          <t>marc jacobs perfect miniature price</t>
        </is>
      </c>
      <c r="AK93" s="66" t="inlineStr">
        <is>
          <t>vilvah cookie n cream body polish price</t>
        </is>
      </c>
      <c r="AM93" s="42" t="inlineStr">
        <is>
          <t>carolina herrera 212 sexy men eau de toilette</t>
        </is>
      </c>
      <c r="AN93" s="42" t="inlineStr">
        <is>
          <t>hibiscus hair oil</t>
        </is>
      </c>
      <c r="AP93" s="42" t="inlineStr">
        <is>
          <t>al haramain amber oud tobacco edition review</t>
        </is>
      </c>
    </row>
    <row r="94" ht="15" customHeight="1" s="37">
      <c r="A94" s="42" t="inlineStr">
        <is>
          <t>giorgia armani perfume for men</t>
        </is>
      </c>
      <c r="B94" s="42" t="inlineStr">
        <is>
          <t>deyga moisturiser</t>
        </is>
      </c>
      <c r="C94" s="42" t="inlineStr">
        <is>
          <t>vilvah store</t>
        </is>
      </c>
      <c r="D94" s="42" t="inlineStr">
        <is>
          <t>deyga abc kit</t>
        </is>
      </c>
      <c r="E94" s="42" t="inlineStr">
        <is>
          <t>dunhill signature collection egyptian smoke</t>
        </is>
      </c>
      <c r="F94" s="42" t="inlineStr">
        <is>
          <t>hugo boss boss the scent tester</t>
        </is>
      </c>
      <c r="G94" s="42" t="inlineStr">
        <is>
          <t>the woods collection wild roses</t>
        </is>
      </c>
      <c r="H94" s="42" t="inlineStr">
        <is>
          <t>vilvah skin hydration kit</t>
        </is>
      </c>
      <c r="I94" s="42" t="inlineStr">
        <is>
          <t>chris adams black shadow pour homme uk</t>
        </is>
      </c>
      <c r="J94" s="66" t="inlineStr">
        <is>
          <t>dunhill desire black uk</t>
        </is>
      </c>
      <c r="K94" s="66" t="inlineStr">
        <is>
          <t>hemel valley of diamond uk</t>
        </is>
      </c>
      <c r="L94" s="66" t="inlineStr">
        <is>
          <t>the woods collection elysian uk</t>
        </is>
      </c>
      <c r="M94" s="66" t="inlineStr">
        <is>
          <t>vilvah oil control kit uk</t>
        </is>
      </c>
      <c r="N94" s="66" t="inlineStr">
        <is>
          <t>dior sauvage eau de parfum</t>
        </is>
      </c>
      <c r="O94" s="66" t="inlineStr">
        <is>
          <t>hemel valley of diamond eau de parfum</t>
        </is>
      </c>
      <c r="P94" s="66" t="inlineStr">
        <is>
          <t>tiziana terenzi akragas extrait de parfum</t>
        </is>
      </c>
      <c r="Q94" s="66" t="inlineStr">
        <is>
          <t>buy calvin klein my euphoria miniature online</t>
        </is>
      </c>
      <c r="R94" s="66" t="inlineStr">
        <is>
          <t>buy deyga vitamin c daily glow combo online</t>
        </is>
      </c>
      <c r="S94" s="66" t="inlineStr">
        <is>
          <t>buy gucci miniature set online</t>
        </is>
      </c>
      <c r="T94" s="66" t="inlineStr">
        <is>
          <t>buy serge lutens la fille de berlin online</t>
        </is>
      </c>
      <c r="U94" s="66" t="inlineStr">
        <is>
          <t>buy vilvah herbal shampoo (dandruff control) online</t>
        </is>
      </c>
      <c r="V94" s="66" t="inlineStr">
        <is>
          <t>al haramain amber oud extreme gold edition extrait</t>
        </is>
      </c>
      <c r="W94" s="66" t="inlineStr">
        <is>
          <t>burberry my burberry black eau de parfum</t>
        </is>
      </c>
      <c r="X94" s="66" t="inlineStr">
        <is>
          <t>chloe nomade jasmin naturel intense perfume</t>
        </is>
      </c>
      <c r="Y94" s="66" t="inlineStr">
        <is>
          <t>deyga rice water shampoo ingredients</t>
        </is>
      </c>
      <c r="Z94" s="66" t="inlineStr">
        <is>
          <t>dunhill desire blue review</t>
        </is>
      </c>
      <c r="AA94" s="66" t="inlineStr">
        <is>
          <t>estee lauder spellbound original</t>
        </is>
      </c>
      <c r="AB94" s="66" t="inlineStr">
        <is>
          <t>givenchy amarige edp 100ml</t>
        </is>
      </c>
      <c r="AC94" s="66" t="inlineStr">
        <is>
          <t>jean paul gaultier scandal gold eau de parfum 80ml</t>
        </is>
      </c>
      <c r="AD94" s="66" t="inlineStr">
        <is>
          <t>nina ricci precious gold notes</t>
        </is>
      </c>
      <c r="AE94" s="66" t="inlineStr">
        <is>
          <t>the woods collection twilight perfume</t>
        </is>
      </c>
      <c r="AF94" s="66" t="inlineStr">
        <is>
          <t>vilvah goat milk body wash benefits</t>
        </is>
      </c>
      <c r="AG94" s="66" t="inlineStr">
        <is>
          <t>bentley momentum unlimited price</t>
        </is>
      </c>
      <c r="AH94" s="66" t="inlineStr">
        <is>
          <t>deyga premature greying hair oil price</t>
        </is>
      </c>
      <c r="AI94" s="66" t="inlineStr">
        <is>
          <t>game of spades royale price</t>
        </is>
      </c>
      <c r="AJ94" s="66" t="inlineStr">
        <is>
          <t>marc jacobs perfect price</t>
        </is>
      </c>
      <c r="AK94" s="66" t="inlineStr">
        <is>
          <t>vilvah cream bun lip balm price</t>
        </is>
      </c>
      <c r="AM94" s="42" t="inlineStr">
        <is>
          <t>game of spades moon eau de parfum</t>
        </is>
      </c>
      <c r="AN94" s="42" t="inlineStr">
        <is>
          <t>bhringraj oil</t>
        </is>
      </c>
      <c r="AP94" s="42" t="inlineStr">
        <is>
          <t>al haramain amber oud tobacco edition dupe of</t>
        </is>
      </c>
    </row>
    <row r="95" ht="15" customHeight="1" s="37">
      <c r="A95" s="42" t="inlineStr">
        <is>
          <t>giorgio armani perfume</t>
        </is>
      </c>
      <c r="B95" s="42" t="inlineStr">
        <is>
          <t>deyga shampoo</t>
        </is>
      </c>
      <c r="C95" s="42" t="inlineStr">
        <is>
          <t>vilvah store uk</t>
        </is>
      </c>
      <c r="D95" s="42" t="inlineStr">
        <is>
          <t>deyga acne relief combo</t>
        </is>
      </c>
      <c r="E95" s="42" t="inlineStr">
        <is>
          <t>dunhill signature collection indian sandalwood</t>
        </is>
      </c>
      <c r="F95" s="42" t="inlineStr">
        <is>
          <t>hugo boss bottled</t>
        </is>
      </c>
      <c r="G95" s="42" t="inlineStr">
        <is>
          <t>tiziana terenzi akragas</t>
        </is>
      </c>
      <c r="H95" s="42" t="inlineStr">
        <is>
          <t>vilvah skin radiance kit</t>
        </is>
      </c>
      <c r="I95" s="42" t="inlineStr">
        <is>
          <t>chris adams ca dx 77 pour homme uk</t>
        </is>
      </c>
      <c r="J95" s="66" t="inlineStr">
        <is>
          <t>dunhill desire blue uk</t>
        </is>
      </c>
      <c r="K95" s="66" t="inlineStr">
        <is>
          <t>hermes hermes un jardin a cythere miniature uk</t>
        </is>
      </c>
      <c r="L95" s="66" t="inlineStr">
        <is>
          <t>the woods collection green walk uk</t>
        </is>
      </c>
      <c r="M95" s="66" t="inlineStr">
        <is>
          <t>vilvah pore minimising kit uk</t>
        </is>
      </c>
      <c r="N95" s="66" t="inlineStr">
        <is>
          <t>dkny be delicious orchard street eau de parfum</t>
        </is>
      </c>
      <c r="O95" s="66" t="inlineStr">
        <is>
          <t>hermes hermes un jardin a cythere miniature edt</t>
        </is>
      </c>
      <c r="P95" s="66" t="inlineStr">
        <is>
          <t>tiziana terenzi andromeda extrait de parfum</t>
        </is>
      </c>
      <c r="Q95" s="66" t="inlineStr">
        <is>
          <t>buy carolina herrera 212 sexy men online</t>
        </is>
      </c>
      <c r="R95" s="66" t="inlineStr">
        <is>
          <t>buy deyga vitamin c foaming face wash online</t>
        </is>
      </c>
      <c r="S95" s="66" t="inlineStr">
        <is>
          <t>buy gucci set online</t>
        </is>
      </c>
      <c r="T95" s="66" t="inlineStr">
        <is>
          <t>buy shiseido zen online</t>
        </is>
      </c>
      <c r="U95" s="66" t="inlineStr">
        <is>
          <t>buy vilvah honey fix face wash online</t>
        </is>
      </c>
      <c r="V95" s="66" t="inlineStr">
        <is>
          <t>al haramain amber oud extreme gold edition notes</t>
        </is>
      </c>
      <c r="W95" s="66" t="inlineStr">
        <is>
          <t>burberry my burberry black eau de parfum 50ml</t>
        </is>
      </c>
      <c r="X95" s="66" t="inlineStr">
        <is>
          <t>chloe nomade jasmin naturel intense review</t>
        </is>
      </c>
      <c r="Y95" s="66" t="inlineStr">
        <is>
          <t>deyga rice water shampoo review</t>
        </is>
      </c>
      <c r="Z95" s="66" t="inlineStr">
        <is>
          <t>dunhill desire gold edt</t>
        </is>
      </c>
      <c r="AA95" s="66" t="inlineStr">
        <is>
          <t>estee lauder spellbound perfume</t>
        </is>
      </c>
      <c r="AB95" s="66" t="inlineStr">
        <is>
          <t>givenchy amarige edt 100ml</t>
        </is>
      </c>
      <c r="AC95" s="66" t="inlineStr">
        <is>
          <t>jean paul gaultier scandal gold edp</t>
        </is>
      </c>
      <c r="AD95" s="66" t="inlineStr">
        <is>
          <t>nina ricci precious gold отзывы</t>
        </is>
      </c>
      <c r="AE95" s="66" t="inlineStr">
        <is>
          <t>the woods collection twilight review</t>
        </is>
      </c>
      <c r="AF95" s="66" t="inlineStr">
        <is>
          <t>vilvah goat milk body wash ingredients</t>
        </is>
      </c>
      <c r="AG95" s="66" t="inlineStr">
        <is>
          <t>bentley silverlake price</t>
        </is>
      </c>
      <c r="AH95" s="66" t="inlineStr">
        <is>
          <t>deyga pure aloe vera gel price</t>
        </is>
      </c>
      <c r="AI95" s="66" t="inlineStr">
        <is>
          <t>game of spades ruby price</t>
        </is>
      </c>
      <c r="AJ95" s="66" t="inlineStr">
        <is>
          <t>montale aoud damascus price</t>
        </is>
      </c>
      <c r="AK95" s="66" t="inlineStr">
        <is>
          <t>vilvah cream conditioner price</t>
        </is>
      </c>
      <c r="AM95" s="42" t="inlineStr">
        <is>
          <t>game of spades moon uk</t>
        </is>
      </c>
      <c r="AN95" s="42" t="inlineStr">
        <is>
          <t>ayurvedic hair oil</t>
        </is>
      </c>
      <c r="AP95" s="42" t="inlineStr">
        <is>
          <t>davidoff champion review</t>
        </is>
      </c>
    </row>
    <row r="96" ht="15" customHeight="1" s="37">
      <c r="A96" s="42" t="inlineStr">
        <is>
          <t>giorgio armani perfume for men</t>
        </is>
      </c>
      <c r="B96" s="42" t="inlineStr">
        <is>
          <t>deyga skincare</t>
        </is>
      </c>
      <c r="C96" s="42" t="inlineStr">
        <is>
          <t>vilvah under eye cream</t>
        </is>
      </c>
      <c r="D96" s="42" t="inlineStr">
        <is>
          <t>deyga acne vanishing combo</t>
        </is>
      </c>
      <c r="E96" s="42" t="inlineStr">
        <is>
          <t>dunhill signature collection mongolian cashmere</t>
        </is>
      </c>
      <c r="F96" s="42" t="inlineStr">
        <is>
          <t>hugo boss hugo man</t>
        </is>
      </c>
      <c r="G96" s="42" t="inlineStr">
        <is>
          <t>tiziana terenzi andromeda</t>
        </is>
      </c>
      <c r="H96" s="42" t="inlineStr">
        <is>
          <t>vilvah store frizz free hair combo</t>
        </is>
      </c>
      <c r="I96" s="42" t="inlineStr">
        <is>
          <t>davidoff champion uk</t>
        </is>
      </c>
      <c r="J96" s="66" t="inlineStr">
        <is>
          <t>dunhill desire gold uk</t>
        </is>
      </c>
      <c r="K96" s="66" t="inlineStr">
        <is>
          <t>hermes miniature gift set 4 x fragrances uk</t>
        </is>
      </c>
      <c r="L96" s="66" t="inlineStr">
        <is>
          <t>the woods collection mirage uk</t>
        </is>
      </c>
      <c r="M96" s="66" t="inlineStr">
        <is>
          <t>vilvah rose milk lip balm uk</t>
        </is>
      </c>
      <c r="N96" s="66" t="inlineStr">
        <is>
          <t>dkny be tempted eau de parfum</t>
        </is>
      </c>
      <c r="O96" s="66" t="inlineStr">
        <is>
          <t>hermes un jardin a cythere miniature eau de toilette</t>
        </is>
      </c>
      <c r="P96" s="66" t="inlineStr">
        <is>
          <t>tiziana terenzi borelli linea tt extrait de parfum</t>
        </is>
      </c>
      <c r="Q96" s="66" t="inlineStr">
        <is>
          <t>buy carolina herrera 212 vip men online</t>
        </is>
      </c>
      <c r="R96" s="66" t="inlineStr">
        <is>
          <t>buy deyga wild berry body wash online</t>
        </is>
      </c>
      <c r="S96" s="66" t="inlineStr">
        <is>
          <t>buy guerlain epices exquises online</t>
        </is>
      </c>
      <c r="T96" s="66" t="inlineStr">
        <is>
          <t>buy signature ambre online</t>
        </is>
      </c>
      <c r="U96" s="66" t="inlineStr">
        <is>
          <t>buy vilvah lip balm - grapefruit online</t>
        </is>
      </c>
      <c r="V96" s="66" t="inlineStr">
        <is>
          <t>al haramain amber oud extreme gold edition review</t>
        </is>
      </c>
      <c r="W96" s="66" t="inlineStr">
        <is>
          <t>burberry my burberry black eau de parfum 90ml</t>
        </is>
      </c>
      <c r="X96" s="66" t="inlineStr">
        <is>
          <t>chloe nomade notes</t>
        </is>
      </c>
      <c r="Y96" s="66" t="inlineStr">
        <is>
          <t>deyga rose glow serum review</t>
        </is>
      </c>
      <c r="Z96" s="66" t="inlineStr">
        <is>
          <t>dunhill desire gold edt 100ml</t>
        </is>
      </c>
      <c r="AA96" s="66" t="inlineStr">
        <is>
          <t>estee lauder spellbound review</t>
        </is>
      </c>
      <c r="AB96" s="66" t="inlineStr">
        <is>
          <t>givenchy amarige notes</t>
        </is>
      </c>
      <c r="AC96" s="66" t="inlineStr">
        <is>
          <t>jean paul gaultier scandal gold edp 80ml</t>
        </is>
      </c>
      <c r="AD96" s="66" t="inlineStr">
        <is>
          <t>paloma picasso eau de parfum</t>
        </is>
      </c>
      <c r="AE96" s="66" t="inlineStr">
        <is>
          <t>the woods collection wild roses edp</t>
        </is>
      </c>
      <c r="AF96" s="66" t="inlineStr">
        <is>
          <t>vilvah goat milk body wash review</t>
        </is>
      </c>
      <c r="AG96" s="66" t="inlineStr">
        <is>
          <t>burberry miniature set price</t>
        </is>
      </c>
      <c r="AH96" s="66" t="inlineStr">
        <is>
          <t>deyga pure rose water toner price</t>
        </is>
      </c>
      <c r="AI96" s="66" t="inlineStr">
        <is>
          <t>game of spades wildcard price</t>
        </is>
      </c>
      <c r="AJ96" s="66" t="inlineStr">
        <is>
          <t>montale aoud safran price</t>
        </is>
      </c>
      <c r="AK96" s="66" t="inlineStr">
        <is>
          <t>vilvah cream face wash (fragrance free) price</t>
        </is>
      </c>
      <c r="AM96" s="42" t="inlineStr">
        <is>
          <t>john varvatos artisan eau de toilette</t>
        </is>
      </c>
      <c r="AN96" s="42" t="inlineStr">
        <is>
          <t>red sandalwood face pack</t>
        </is>
      </c>
      <c r="AP96" s="42" t="inlineStr">
        <is>
          <t>davidoff champion notes</t>
        </is>
      </c>
    </row>
    <row r="97" ht="15" customHeight="1" s="37">
      <c r="A97" s="42" t="inlineStr">
        <is>
          <t>givenchy perfume</t>
        </is>
      </c>
      <c r="B97" s="42" t="inlineStr">
        <is>
          <t>deyga skincare gift set</t>
        </is>
      </c>
      <c r="C97" s="42" t="inlineStr">
        <is>
          <t>abercrombie &amp; fitch first instinct together</t>
        </is>
      </c>
      <c r="D97" s="42" t="inlineStr">
        <is>
          <t>deyga activated charcoal body wash</t>
        </is>
      </c>
      <c r="E97" s="42" t="inlineStr">
        <is>
          <t>dunhill signature collection moroccan amber</t>
        </is>
      </c>
      <c r="F97" s="42" t="inlineStr">
        <is>
          <t>hugo boss the collection confident oud intense</t>
        </is>
      </c>
      <c r="G97" s="42" t="inlineStr">
        <is>
          <t>tiziana terenzi borelli linea tt</t>
        </is>
      </c>
      <c r="H97" s="42" t="inlineStr">
        <is>
          <t>vilvah sun protection kit</t>
        </is>
      </c>
      <c r="I97" s="42" t="inlineStr">
        <is>
          <t>davidoff cool water reborn intense uk</t>
        </is>
      </c>
      <c r="J97" s="66" t="inlineStr">
        <is>
          <t>dunhill desire silver uk</t>
        </is>
      </c>
      <c r="K97" s="66" t="inlineStr">
        <is>
          <t>hermes un jardin a cythere miniature uk</t>
        </is>
      </c>
      <c r="L97" s="66" t="inlineStr">
        <is>
          <t>the woods collection pure shine uk</t>
        </is>
      </c>
      <c r="M97" s="66" t="inlineStr">
        <is>
          <t>vilvah rosewater facial toner uk</t>
        </is>
      </c>
      <c r="N97" s="66" t="inlineStr">
        <is>
          <t>dolce &amp; gabbana devotion eau de parfum</t>
        </is>
      </c>
      <c r="O97" s="66" t="inlineStr">
        <is>
          <t>hermes un jardin en mediterranee miniature edt</t>
        </is>
      </c>
      <c r="P97" s="66" t="inlineStr">
        <is>
          <t>tiziana terenzi caput mundi extrait de parfum</t>
        </is>
      </c>
      <c r="Q97" s="66" t="inlineStr">
        <is>
          <t>buy carolina herrera 212 vip rose online</t>
        </is>
      </c>
      <c r="R97" s="66" t="inlineStr">
        <is>
          <t>buy dior iconics mini discovery set online</t>
        </is>
      </c>
      <c r="S97" s="66" t="inlineStr">
        <is>
          <t>buy guerlain habit rouge online</t>
        </is>
      </c>
      <c r="T97" s="66" t="inlineStr">
        <is>
          <t>buy signature aura online</t>
        </is>
      </c>
      <c r="U97" s="66" t="inlineStr">
        <is>
          <t>buy vilvah lip balm - lemon online</t>
        </is>
      </c>
      <c r="V97" s="66" t="inlineStr">
        <is>
          <t>al haramain amber oud gold edition 120ml</t>
        </is>
      </c>
      <c r="W97" s="66" t="inlineStr">
        <is>
          <t>burberry my burberry black edp</t>
        </is>
      </c>
      <c r="X97" s="66" t="inlineStr">
        <is>
          <t>chloe nomade nuit d'egypte 50ml</t>
        </is>
      </c>
      <c r="Y97" s="66" t="inlineStr">
        <is>
          <t>deyga soy milk conditioner 50ml</t>
        </is>
      </c>
      <c r="Z97" s="66" t="inlineStr">
        <is>
          <t>dunhill desire gold for men</t>
        </is>
      </c>
      <c r="AA97" s="66" t="inlineStr">
        <is>
          <t>etienne aigner no 1 intense</t>
        </is>
      </c>
      <c r="AB97" s="66" t="inlineStr">
        <is>
          <t>givenchy amarige perfume</t>
        </is>
      </c>
      <c r="AC97" s="66" t="inlineStr">
        <is>
          <t>jean paul gaultier scandal gold men</t>
        </is>
      </c>
      <c r="AD97" s="66" t="inlineStr">
        <is>
          <t>paloma picasso perfume</t>
        </is>
      </c>
      <c r="AE97" s="66" t="inlineStr">
        <is>
          <t>the woods collection wild roses отзывы</t>
        </is>
      </c>
      <c r="AF97" s="66" t="inlineStr">
        <is>
          <t>vilvah goat milk hair mask ingredients</t>
        </is>
      </c>
      <c r="AG97" s="66" t="inlineStr">
        <is>
          <t>burberry my burberry black price</t>
        </is>
      </c>
      <c r="AH97" s="66" t="inlineStr">
        <is>
          <t>deyga rice water shampoo price</t>
        </is>
      </c>
      <c r="AI97" s="66" t="inlineStr">
        <is>
          <t>game of spades win price</t>
        </is>
      </c>
      <c r="AJ97" s="66" t="inlineStr">
        <is>
          <t>nina ricci l'air du temps price</t>
        </is>
      </c>
      <c r="AK97" s="66" t="inlineStr">
        <is>
          <t>vilvah cucumber, curd &amp; mint soap price</t>
        </is>
      </c>
      <c r="AM97" s="42" t="inlineStr">
        <is>
          <t>john varvatos artisan uk</t>
        </is>
      </c>
      <c r="AN97" s="42" t="inlineStr">
        <is>
          <t>saffron face cream</t>
        </is>
      </c>
      <c r="AP97" s="42" t="inlineStr">
        <is>
          <t>elie saab elixir reviews</t>
        </is>
      </c>
    </row>
    <row r="98" ht="15" customHeight="1" s="37">
      <c r="A98" s="42" t="inlineStr">
        <is>
          <t>givenchy perfume for men</t>
        </is>
      </c>
      <c r="B98" s="42" t="inlineStr">
        <is>
          <t>deyga toner</t>
        </is>
      </c>
      <c r="C98" s="42" t="inlineStr">
        <is>
          <t>abercrombie &amp; fitch naturally fierce</t>
        </is>
      </c>
      <c r="D98" s="42" t="inlineStr">
        <is>
          <t>deyga almond milk body lotion</t>
        </is>
      </c>
      <c r="E98" s="42" t="inlineStr">
        <is>
          <t>dunhill signature collection nordic fougere</t>
        </is>
      </c>
      <c r="F98" s="42" t="inlineStr">
        <is>
          <t>jean paul gaultier classique perfumed shower gel</t>
        </is>
      </c>
      <c r="G98" s="42" t="inlineStr">
        <is>
          <t>tiziana terenzi caput mundi</t>
        </is>
      </c>
      <c r="H98" s="42" t="inlineStr">
        <is>
          <t>vilvah tan protection kit</t>
        </is>
      </c>
      <c r="I98" s="42" t="inlineStr">
        <is>
          <t>davidoff indigo uk</t>
        </is>
      </c>
      <c r="J98" s="66" t="inlineStr">
        <is>
          <t>dunhill signature collection agar wood uk</t>
        </is>
      </c>
      <c r="K98" s="66" t="inlineStr">
        <is>
          <t>hermes un jardin en mediterranee miniature uk</t>
        </is>
      </c>
      <c r="L98" s="66" t="inlineStr">
        <is>
          <t>the woods collection secret source uk</t>
        </is>
      </c>
      <c r="M98" s="66" t="inlineStr">
        <is>
          <t>vilvah sensitive skin kit uk</t>
        </is>
      </c>
      <c r="N98" s="66" t="inlineStr">
        <is>
          <t>dolce &amp; gabbana l'imperatrice eau de toilette</t>
        </is>
      </c>
      <c r="O98" s="66" t="inlineStr">
        <is>
          <t>hermes un jardin sur le toit miniature eau de toilette</t>
        </is>
      </c>
      <c r="P98" s="66" t="inlineStr">
        <is>
          <t>tiziana terenzi chimaera anniversary extrait de parfum</t>
        </is>
      </c>
      <c r="Q98" s="66" t="inlineStr">
        <is>
          <t>buy carolina herrera bad boy extreme online</t>
        </is>
      </c>
      <c r="R98" s="66" t="inlineStr">
        <is>
          <t>buy dior miss dior roller-pearl online</t>
        </is>
      </c>
      <c r="S98" s="66" t="inlineStr">
        <is>
          <t>buy guerlain l'instant de guerlain online</t>
        </is>
      </c>
      <c r="T98" s="66" t="inlineStr">
        <is>
          <t>buy signature black pour homme online</t>
        </is>
      </c>
      <c r="U98" s="66" t="inlineStr">
        <is>
          <t>buy vilvah lip lightening kit online</t>
        </is>
      </c>
      <c r="V98" s="66" t="inlineStr">
        <is>
          <t>al haramain amber oud gold edition dupe of</t>
        </is>
      </c>
      <c r="W98" s="66" t="inlineStr">
        <is>
          <t>burberry my burberry black parfum 90ml</t>
        </is>
      </c>
      <c r="X98" s="66" t="inlineStr">
        <is>
          <t>chloe nomade nuit d'egypte 75ml</t>
        </is>
      </c>
      <c r="Y98" s="66" t="inlineStr">
        <is>
          <t>deyga soy milk conditioner benefits</t>
        </is>
      </c>
      <c r="Z98" s="66" t="inlineStr">
        <is>
          <t>dunhill desire gold perfume</t>
        </is>
      </c>
      <c r="AA98" s="66" t="inlineStr">
        <is>
          <t>first class explorer etienne aigner for men</t>
        </is>
      </c>
      <c r="AB98" s="66" t="inlineStr">
        <is>
          <t>givenchy gentleman original 2024</t>
        </is>
      </c>
      <c r="AC98" s="66" t="inlineStr">
        <is>
          <t>jean paul gaultier scandal gold perfume</t>
        </is>
      </c>
      <c r="AD98" s="66" t="inlineStr">
        <is>
          <t>paloma picasso perfume 100ml</t>
        </is>
      </c>
      <c r="AE98" s="66" t="inlineStr">
        <is>
          <t>the woods collection wild roses 🥰</t>
        </is>
      </c>
      <c r="AF98" s="66" t="inlineStr">
        <is>
          <t>vilvah goat milk hair mask review</t>
        </is>
      </c>
      <c r="AG98" s="66" t="inlineStr">
        <is>
          <t>burberry my burberry price</t>
        </is>
      </c>
      <c r="AH98" s="66" t="inlineStr">
        <is>
          <t>deyga rose &amp; geranium body butter price</t>
        </is>
      </c>
      <c r="AI98" s="66" t="inlineStr">
        <is>
          <t>game of spades yellow sapphire price</t>
        </is>
      </c>
      <c r="AJ98" s="66" t="inlineStr">
        <is>
          <t>nina ricci nina illusion price</t>
        </is>
      </c>
      <c r="AK98" s="66" t="inlineStr">
        <is>
          <t>vilvah deo shot - lavender and sage price</t>
        </is>
      </c>
      <c r="AM98" s="42" t="inlineStr">
        <is>
          <t>burberry my burberry eau de parfum</t>
        </is>
      </c>
      <c r="AN98" s="42" t="inlineStr">
        <is>
          <t>multani mitti face pack</t>
        </is>
      </c>
      <c r="AP98" s="42" t="inlineStr">
        <is>
          <t>elie saab elixir notes</t>
        </is>
      </c>
    </row>
    <row r="99" ht="15" customHeight="1" s="37">
      <c r="A99" s="42" t="inlineStr">
        <is>
          <t>givenchy perfume for women</t>
        </is>
      </c>
      <c r="B99" s="42" t="inlineStr">
        <is>
          <t>face mask for oily skin</t>
        </is>
      </c>
      <c r="C99" s="42" t="inlineStr">
        <is>
          <t>acqua di parma blu mediterraneo discovery set</t>
        </is>
      </c>
      <c r="D99" s="42" t="inlineStr">
        <is>
          <t>deyga anti dandruff shampoo</t>
        </is>
      </c>
      <c r="E99" s="42" t="inlineStr">
        <is>
          <t>dunhill signature collection valensole lavender</t>
        </is>
      </c>
      <c r="F99" s="42" t="inlineStr">
        <is>
          <t>jean paul gaultier scandal gold</t>
        </is>
      </c>
      <c r="G99" s="42" t="inlineStr">
        <is>
          <t>tiziana terenzi chimaera anniversary</t>
        </is>
      </c>
      <c r="H99" s="42" t="inlineStr">
        <is>
          <t>vilvah tinted lip balm kit</t>
        </is>
      </c>
      <c r="I99" s="42" t="inlineStr">
        <is>
          <t>davidoff the game uk</t>
        </is>
      </c>
      <c r="J99" s="66" t="inlineStr">
        <is>
          <t>dunhill signature collection amalfi citrus uk</t>
        </is>
      </c>
      <c r="K99" s="66" t="inlineStr">
        <is>
          <t>hermes un jardin sur le toit miniature uk</t>
        </is>
      </c>
      <c r="L99" s="66" t="inlineStr">
        <is>
          <t>the woods collection sunrise uk</t>
        </is>
      </c>
      <c r="M99" s="66" t="inlineStr">
        <is>
          <t>vilvah shampoo and hair serum kit uk</t>
        </is>
      </c>
      <c r="N99" s="66" t="inlineStr">
        <is>
          <t>dolce &amp; gabbana q eau de parfum</t>
        </is>
      </c>
      <c r="O99" s="66" t="inlineStr">
        <is>
          <t>hollister festival vibes eau de toilette</t>
        </is>
      </c>
      <c r="P99" s="66" t="inlineStr">
        <is>
          <t>tiziana terenzi draconis extrait de parfum</t>
        </is>
      </c>
      <c r="Q99" s="66" t="inlineStr">
        <is>
          <t>buy carolina herrera bad boy le online</t>
        </is>
      </c>
      <c r="R99" s="66" t="inlineStr">
        <is>
          <t>buy dior sauvage online</t>
        </is>
      </c>
      <c r="S99" s="66" t="inlineStr">
        <is>
          <t>buy guerlain la petite robe noire ma robe cocktail online</t>
        </is>
      </c>
      <c r="T99" s="66" t="inlineStr">
        <is>
          <t>buy signature blue online</t>
        </is>
      </c>
      <c r="U99" s="66" t="inlineStr">
        <is>
          <t>buy vilvah lip nourishing kit online</t>
        </is>
      </c>
      <c r="V99" s="66" t="inlineStr">
        <is>
          <t>al haramain amber oud gold edition notes</t>
        </is>
      </c>
      <c r="W99" s="66" t="inlineStr">
        <is>
          <t>burberry my burberry eau de parfum 90ml</t>
        </is>
      </c>
      <c r="X99" s="66" t="inlineStr">
        <is>
          <t>chloe nomade nuit d'egypte dupe</t>
        </is>
      </c>
      <c r="Y99" s="66" t="inlineStr">
        <is>
          <t>deyga soy milk conditioner ingredients</t>
        </is>
      </c>
      <c r="Z99" s="66" t="inlineStr">
        <is>
          <t>dunhill desire gold review</t>
        </is>
      </c>
      <c r="AA99" s="66" t="inlineStr">
        <is>
          <t>fumeri 540 perfume</t>
        </is>
      </c>
      <c r="AB99" s="66" t="inlineStr">
        <is>
          <t>givenchy gentleman original review</t>
        </is>
      </c>
      <c r="AC99" s="66" t="inlineStr">
        <is>
          <t>jean.paul.gaultier perfume and shower gel</t>
        </is>
      </c>
      <c r="AD99" s="66" t="inlineStr">
        <is>
          <t>parfum korloff un soir a paris</t>
        </is>
      </c>
      <c r="AE99" s="66" t="inlineStr">
        <is>
          <t>the woods green walk</t>
        </is>
      </c>
      <c r="AF99" s="66" t="inlineStr">
        <is>
          <t>vilvah goat milk shampoo benefits</t>
        </is>
      </c>
      <c r="AG99" s="66" t="inlineStr">
        <is>
          <t>bvlgari man glacial essence gift set price</t>
        </is>
      </c>
      <c r="AH99" s="66" t="inlineStr">
        <is>
          <t>deyga rose &amp; mulethi skin brightening pack price</t>
        </is>
      </c>
      <c r="AI99" s="66" t="inlineStr">
        <is>
          <t>giorgia armani giorgio armani code refillable price</t>
        </is>
      </c>
      <c r="AJ99" s="66" t="inlineStr">
        <is>
          <t>nina ricci nina precious gold price</t>
        </is>
      </c>
      <c r="AK99" s="66" t="inlineStr">
        <is>
          <t>vilvah deo shot - rose and vanilla price</t>
        </is>
      </c>
      <c r="AM99" s="42" t="inlineStr">
        <is>
          <t>dolce &amp; gabbana l'imperatrice eau de toilette</t>
        </is>
      </c>
      <c r="AN99" s="42" t="inlineStr">
        <is>
          <t>ubtan</t>
        </is>
      </c>
      <c r="AP99" s="42" t="inlineStr">
        <is>
          <t>guerlain habit rouge parfum</t>
        </is>
      </c>
    </row>
    <row r="100" ht="15" customHeight="1" s="37">
      <c r="A100" s="42" t="inlineStr">
        <is>
          <t>gourmand perfume for women uk</t>
        </is>
      </c>
      <c r="B100" s="42" t="inlineStr">
        <is>
          <t>face mask for skin nourishment</t>
        </is>
      </c>
      <c r="C100" s="42" t="inlineStr">
        <is>
          <t>acqua di parma colonia essenza deodorant stick</t>
        </is>
      </c>
      <c r="D100" s="42" t="inlineStr">
        <is>
          <t>deyga anti-dandruff oil</t>
        </is>
      </c>
      <c r="E100" s="42" t="inlineStr">
        <is>
          <t>elie saab elixir</t>
        </is>
      </c>
      <c r="F100" s="42" t="inlineStr">
        <is>
          <t>jimmy choo i want choo forever miniature</t>
        </is>
      </c>
      <c r="G100" s="42" t="inlineStr">
        <is>
          <t>tiziana terenzi draconis</t>
        </is>
      </c>
      <c r="H100" s="42" t="inlineStr">
        <is>
          <t>vilvah ultra moisturising cream</t>
        </is>
      </c>
      <c r="I100" s="42" t="inlineStr">
        <is>
          <t>deyga 10% vitamin c face serum uk</t>
        </is>
      </c>
      <c r="J100" s="66" t="inlineStr">
        <is>
          <t>dunhill signature collection arabian desert uk</t>
        </is>
      </c>
      <c r="K100" s="66" t="inlineStr">
        <is>
          <t>hollister festival vibes uk</t>
        </is>
      </c>
      <c r="L100" s="66" t="inlineStr">
        <is>
          <t>the woods collection timeless sands uk</t>
        </is>
      </c>
      <c r="M100" s="66" t="inlineStr">
        <is>
          <t>vilvah skin brightening kit uk</t>
        </is>
      </c>
      <c r="N100" s="66" t="inlineStr">
        <is>
          <t>dolce &amp; gabbana the one eau de parfum</t>
        </is>
      </c>
      <c r="O100" s="66" t="inlineStr">
        <is>
          <t>hugo boss alive eau de parfum</t>
        </is>
      </c>
      <c r="P100" s="66" t="inlineStr">
        <is>
          <t>tiziana terenzi dubhe assoluto extrait de parfum</t>
        </is>
      </c>
      <c r="Q100" s="66" t="inlineStr">
        <is>
          <t>buy carolina herrera very good girl glam online</t>
        </is>
      </c>
      <c r="R100" s="66" t="inlineStr">
        <is>
          <t>buy dkny be delicious &amp; be delicious fresh blossom gift set online</t>
        </is>
      </c>
      <c r="S100" s="66" t="inlineStr">
        <is>
          <t>buy guerlain mon guerlain miniature gift set online</t>
        </is>
      </c>
      <c r="T100" s="66" t="inlineStr">
        <is>
          <t>buy signature charm online</t>
        </is>
      </c>
      <c r="U100" s="66" t="inlineStr">
        <is>
          <t>buy vilvah lip scrub online</t>
        </is>
      </c>
      <c r="V100" s="66" t="inlineStr">
        <is>
          <t>al haramain amber oud gold edition review</t>
        </is>
      </c>
      <c r="W100" s="66" t="inlineStr">
        <is>
          <t>burberry my burberry edp</t>
        </is>
      </c>
      <c r="X100" s="66" t="inlineStr">
        <is>
          <t>chloe nomade nuit d'egypte notes</t>
        </is>
      </c>
      <c r="Y100" s="66" t="inlineStr">
        <is>
          <t>deyga soy milk conditioner review</t>
        </is>
      </c>
      <c r="Z100" s="66" t="inlineStr">
        <is>
          <t>dunhill desire silver 100ml</t>
        </is>
      </c>
      <c r="AA100" s="66" t="inlineStr">
        <is>
          <t>fumeri adore perfume</t>
        </is>
      </c>
      <c r="AB100" s="66" t="inlineStr">
        <is>
          <t>givenchy gentleman originale 100ml</t>
        </is>
      </c>
      <c r="AC100" s="66" t="inlineStr">
        <is>
          <t>joop homme</t>
        </is>
      </c>
      <c r="AD100" s="66" t="inlineStr">
        <is>
          <t>perfume al haramain amber oud extreme gold edition</t>
        </is>
      </c>
      <c r="AE100" s="66" t="inlineStr">
        <is>
          <t>the woods pure shine</t>
        </is>
      </c>
      <c r="AF100" s="66" t="inlineStr">
        <is>
          <t>vilvah goat milk shampoo ingredients</t>
        </is>
      </c>
      <c r="AG100" s="66" t="inlineStr">
        <is>
          <t>bvlgari man in black price</t>
        </is>
      </c>
      <c r="AH100" s="66" t="inlineStr">
        <is>
          <t>deyga rose glow serum price</t>
        </is>
      </c>
      <c r="AI100" s="66" t="inlineStr">
        <is>
          <t>giorgio armani code refillable price</t>
        </is>
      </c>
      <c r="AJ100" s="66" t="inlineStr">
        <is>
          <t>paloma picasso price</t>
        </is>
      </c>
      <c r="AK100" s="66" t="inlineStr">
        <is>
          <t>vilvah everyday care milk kit price</t>
        </is>
      </c>
      <c r="AM100" s="42" t="inlineStr">
        <is>
          <t>dolce &amp; gabbana l'imperatrice uk</t>
        </is>
      </c>
      <c r="AN100" s="42" t="inlineStr">
        <is>
          <t>clay face mask</t>
        </is>
      </c>
      <c r="AP100" s="42" t="inlineStr">
        <is>
          <t>guerlain habit rouge edp</t>
        </is>
      </c>
    </row>
    <row r="101" ht="15" customHeight="1" s="37">
      <c r="A101" s="42" t="inlineStr">
        <is>
          <t>green perfume uk</t>
        </is>
      </c>
      <c r="B101" s="42" t="inlineStr">
        <is>
          <t>face serum for anti ageing</t>
        </is>
      </c>
      <c r="C101" s="42" t="inlineStr">
        <is>
          <t>acqua di parma colonia pura</t>
        </is>
      </c>
      <c r="D101" s="42" t="inlineStr">
        <is>
          <t>deyga baby bath bar</t>
        </is>
      </c>
      <c r="E101" s="42" t="inlineStr">
        <is>
          <t>elie saab girl of now lovely gift set</t>
        </is>
      </c>
      <c r="F101" s="42" t="inlineStr">
        <is>
          <t>jimmy choo miniature gift set 5x4.</t>
        </is>
      </c>
      <c r="G101" s="42" t="inlineStr">
        <is>
          <t>tiziana terenzi dubhe assoluto</t>
        </is>
      </c>
      <c r="H101" s="42" t="inlineStr">
        <is>
          <t>vilvah under eye cream (dark circles control)</t>
        </is>
      </c>
      <c r="I101" s="42" t="inlineStr">
        <is>
          <t>deyga 2% hyaluronic acid serum uk</t>
        </is>
      </c>
      <c r="J101" s="66" t="inlineStr">
        <is>
          <t>dunhill signature collection british leather uk</t>
        </is>
      </c>
      <c r="K101" s="66" t="inlineStr">
        <is>
          <t>hugo boss alive uk</t>
        </is>
      </c>
      <c r="L101" s="66" t="inlineStr">
        <is>
          <t>the woods collection twilight uk</t>
        </is>
      </c>
      <c r="M101" s="66" t="inlineStr">
        <is>
          <t>vilvah skin finish sunscreen spf 50 uk</t>
        </is>
      </c>
      <c r="N101" s="66" t="inlineStr">
        <is>
          <t>dolce &amp; gabbana the one gold intense eau de parfum</t>
        </is>
      </c>
      <c r="O101" s="66" t="inlineStr">
        <is>
          <t>hugo boss boss the scent tester eau de toilette</t>
        </is>
      </c>
      <c r="P101" s="66" t="inlineStr">
        <is>
          <t>tiziana terenzi ecstasy extrait de parfum</t>
        </is>
      </c>
      <c r="Q101" s="66" t="inlineStr">
        <is>
          <t>buy casanova anniversary online</t>
        </is>
      </c>
      <c r="R101" s="66" t="inlineStr">
        <is>
          <t>buy dkny be delicious orchard street online</t>
        </is>
      </c>
      <c r="S101" s="66" t="inlineStr">
        <is>
          <t>buy guerlain musc noble online</t>
        </is>
      </c>
      <c r="T101" s="66" t="inlineStr">
        <is>
          <t>buy signature diamond online</t>
        </is>
      </c>
      <c r="U101" s="66" t="inlineStr">
        <is>
          <t>buy vilvah mango shake lip balm online</t>
        </is>
      </c>
      <c r="V101" s="66" t="inlineStr">
        <is>
          <t>al haramain amber oud ruby edition 100 ml</t>
        </is>
      </c>
      <c r="W101" s="66" t="inlineStr">
        <is>
          <t>burberry my burberry perfume</t>
        </is>
      </c>
      <c r="X101" s="66" t="inlineStr">
        <is>
          <t>chloe nomade nuit d'egypte perfume</t>
        </is>
      </c>
      <c r="Y101" s="66" t="inlineStr">
        <is>
          <t>deyga sunscreen amazon</t>
        </is>
      </c>
      <c r="Z101" s="66" t="inlineStr">
        <is>
          <t>dunhill desire silver edt</t>
        </is>
      </c>
      <c r="AA101" s="66" t="inlineStr">
        <is>
          <t>fumeri ambre night perfume</t>
        </is>
      </c>
      <c r="AB101" s="66" t="inlineStr">
        <is>
          <t>givenchy gentleman originale edp</t>
        </is>
      </c>
      <c r="AC101" s="66" t="inlineStr">
        <is>
          <t>joop homme 200ml</t>
        </is>
      </c>
      <c r="AD101" s="66" t="inlineStr">
        <is>
          <t>roll it 1 dupe of</t>
        </is>
      </c>
      <c r="AE101" s="66" t="inlineStr">
        <is>
          <t>the woods secret source</t>
        </is>
      </c>
      <c r="AF101" s="66" t="inlineStr">
        <is>
          <t>vilvah goat milk shampoo review</t>
        </is>
      </c>
      <c r="AG101" s="66" t="inlineStr">
        <is>
          <t>bvlgari man rain essence gift set price</t>
        </is>
      </c>
      <c r="AH101" s="66" t="inlineStr">
        <is>
          <t>deyga rose pink clay bath bar price</t>
        </is>
      </c>
      <c r="AI101" s="66" t="inlineStr">
        <is>
          <t>givenchy amarige price</t>
        </is>
      </c>
      <c r="AJ101" s="66" t="inlineStr">
        <is>
          <t>philipp plein no limits after shave balm price</t>
        </is>
      </c>
      <c r="AK101" s="66" t="inlineStr">
        <is>
          <t>vilvah face brightening kit large price</t>
        </is>
      </c>
      <c r="AM101" s="42" t="inlineStr">
        <is>
          <t>elizabeth arden beauty eau de parfum</t>
        </is>
      </c>
      <c r="AN101" s="42" t="inlineStr">
        <is>
          <t>rose water toner</t>
        </is>
      </c>
      <c r="AP101" s="42" t="inlineStr">
        <is>
          <t>guerlain samsara notes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3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36" min="1" max="1"/>
    <col width="24" customWidth="1" style="36" min="2" max="2"/>
    <col width="10" customWidth="1" style="36" min="3" max="6"/>
    <col width="7" customWidth="1" style="36" min="7" max="7"/>
    <col width="70" customWidth="1" style="36" min="8" max="8"/>
    <col width="60" customWidth="1" style="36" min="10" max="10"/>
  </cols>
  <sheetData>
    <row r="1" ht="31.5" customHeight="1" s="37">
      <c r="A1" s="62" t="inlineStr">
        <is>
          <t>Keyword</t>
        </is>
      </c>
      <c r="B1" s="62" t="inlineStr">
        <is>
          <t>Intent</t>
        </is>
      </c>
      <c r="C1" s="62" t="inlineStr">
        <is>
          <t>Volume</t>
        </is>
      </c>
      <c r="D1" s="62" t="inlineStr">
        <is>
          <t>Keyword Difficulty</t>
        </is>
      </c>
      <c r="E1" s="62" t="inlineStr">
        <is>
          <t>CPC (USD)</t>
        </is>
      </c>
      <c r="F1" s="62" t="inlineStr">
        <is>
          <t>Competition</t>
        </is>
      </c>
      <c r="G1" s="62" t="inlineStr">
        <is>
          <t>Batch</t>
        </is>
      </c>
      <c r="H1" s="62" t="inlineStr">
        <is>
          <t>Note</t>
        </is>
      </c>
    </row>
    <row r="2" ht="15" customHeight="1" s="37">
      <c r="A2" s="42" t="inlineStr">
        <is>
          <t>dior sauvage</t>
        </is>
      </c>
      <c r="B2" s="42" t="inlineStr">
        <is>
          <t>Informational Transactional</t>
        </is>
      </c>
      <c r="C2" s="55" t="n">
        <v>60500</v>
      </c>
      <c r="D2" s="42" t="n">
        <v>38</v>
      </c>
      <c r="E2" s="56" t="n">
        <v>0.57</v>
      </c>
      <c r="F2" s="42" t="n">
        <v>1</v>
      </c>
      <c r="G2" s="42" t="n">
        <v>5</v>
      </c>
      <c r="H2" s="42" t="n"/>
    </row>
    <row r="3" ht="15" customHeight="1" s="37">
      <c r="A3" s="42" t="inlineStr">
        <is>
          <t>ariana grande perfume</t>
        </is>
      </c>
      <c r="B3" s="42" t="inlineStr">
        <is>
          <t>Informational Transactional</t>
        </is>
      </c>
      <c r="C3" s="55" t="n">
        <v>40500</v>
      </c>
      <c r="D3" s="42" t="n">
        <v>17</v>
      </c>
      <c r="E3" s="56" t="n">
        <v>0.34</v>
      </c>
      <c r="F3" s="42" t="n">
        <v>1</v>
      </c>
      <c r="G3" s="42" t="n">
        <v>1</v>
      </c>
      <c r="H3" s="42" t="n"/>
    </row>
    <row r="4" ht="15" customHeight="1" s="37">
      <c r="A4" s="42" t="inlineStr">
        <is>
          <t>jimmy choo perfume</t>
        </is>
      </c>
      <c r="B4" s="42" t="inlineStr">
        <is>
          <t>Informational</t>
        </is>
      </c>
      <c r="C4" s="55" t="n">
        <v>40500</v>
      </c>
      <c r="D4" s="42" t="n">
        <v>32</v>
      </c>
      <c r="E4" s="56" t="n">
        <v>0.33</v>
      </c>
      <c r="F4" s="42" t="n">
        <v>1</v>
      </c>
      <c r="G4" s="42" t="n">
        <v>2</v>
      </c>
      <c r="H4" s="42" t="n"/>
    </row>
    <row r="5" ht="15" customHeight="1" s="37">
      <c r="A5" s="42" t="inlineStr">
        <is>
          <t>ysl perfume</t>
        </is>
      </c>
      <c r="B5" s="42" t="inlineStr">
        <is>
          <t>Informational</t>
        </is>
      </c>
      <c r="C5" s="55" t="n">
        <v>40500</v>
      </c>
      <c r="D5" s="42" t="n">
        <v>33</v>
      </c>
      <c r="E5" s="56" t="n">
        <v>0.36</v>
      </c>
      <c r="F5" s="42" t="n">
        <v>1</v>
      </c>
      <c r="G5" s="42" t="n">
        <v>2</v>
      </c>
      <c r="H5" s="42" t="n"/>
    </row>
    <row r="6" ht="15" customHeight="1" s="37">
      <c r="A6" s="42" t="inlineStr">
        <is>
          <t>tom ford perfume</t>
        </is>
      </c>
      <c r="B6" s="42" t="inlineStr">
        <is>
          <t>Informational Transactional</t>
        </is>
      </c>
      <c r="C6" s="55" t="n">
        <v>33100</v>
      </c>
      <c r="D6" s="42" t="n">
        <v>55</v>
      </c>
      <c r="E6" s="56" t="n">
        <v>0.38</v>
      </c>
      <c r="F6" s="42" t="n">
        <v>1</v>
      </c>
      <c r="G6" s="42" t="n">
        <v>2</v>
      </c>
      <c r="H6" s="42" t="n"/>
    </row>
    <row r="7" ht="15" customHeight="1" s="37">
      <c r="A7" s="42" t="inlineStr">
        <is>
          <t>vitamin c serum</t>
        </is>
      </c>
      <c r="B7" s="42" t="inlineStr">
        <is>
          <t>Informational Transactional</t>
        </is>
      </c>
      <c r="C7" s="55" t="n">
        <v>33100</v>
      </c>
      <c r="D7" s="42" t="n">
        <v>44</v>
      </c>
      <c r="E7" s="56" t="n">
        <v>1.23</v>
      </c>
      <c r="F7" s="42" t="n">
        <v>1</v>
      </c>
      <c r="G7" s="42" t="inlineStr">
        <is>
          <t>T2-2</t>
        </is>
      </c>
      <c r="H7" s="42" t="n"/>
    </row>
    <row r="8" ht="15" customHeight="1" s="37">
      <c r="A8" s="42" t="inlineStr">
        <is>
          <t>dior perfume</t>
        </is>
      </c>
      <c r="B8" s="42" t="inlineStr">
        <is>
          <t>Informational Transactional</t>
        </is>
      </c>
      <c r="C8" s="55" t="n">
        <v>27100</v>
      </c>
      <c r="D8" s="42" t="n">
        <v>42</v>
      </c>
      <c r="E8" s="56" t="n">
        <v>0.5600000000000001</v>
      </c>
      <c r="F8" s="42" t="n">
        <v>1</v>
      </c>
      <c r="G8" s="42" t="n">
        <v>1</v>
      </c>
      <c r="H8" s="42" t="n"/>
    </row>
    <row r="9" ht="15" customHeight="1" s="37">
      <c r="A9" s="42" t="inlineStr">
        <is>
          <t>marc jacobs perfume</t>
        </is>
      </c>
      <c r="B9" s="42" t="inlineStr">
        <is>
          <t>Informational</t>
        </is>
      </c>
      <c r="C9" s="55" t="n">
        <v>27100</v>
      </c>
      <c r="D9" s="42" t="n">
        <v>22</v>
      </c>
      <c r="E9" s="56" t="n">
        <v>0.32</v>
      </c>
      <c r="F9" s="42" t="n">
        <v>1</v>
      </c>
      <c r="G9" s="42" t="n">
        <v>2</v>
      </c>
      <c r="H9" s="42" t="n"/>
    </row>
    <row r="10" ht="15" customHeight="1" s="37">
      <c r="A10" s="42" t="inlineStr">
        <is>
          <t>chloe perfume</t>
        </is>
      </c>
      <c r="B10" s="42" t="inlineStr">
        <is>
          <t>Informational Transactional</t>
        </is>
      </c>
      <c r="C10" s="55" t="n">
        <v>22200</v>
      </c>
      <c r="D10" s="42" t="n">
        <v>16</v>
      </c>
      <c r="E10" s="56" t="n">
        <v>0.29</v>
      </c>
      <c r="F10" s="42" t="n">
        <v>1</v>
      </c>
      <c r="G10" s="42" t="n">
        <v>1</v>
      </c>
      <c r="H10" s="42" t="n"/>
    </row>
    <row r="11" ht="15" customHeight="1" s="37">
      <c r="A11" s="42" t="inlineStr">
        <is>
          <t>face mask</t>
        </is>
      </c>
      <c r="B11" s="42" t="inlineStr">
        <is>
          <t>Informational Transactional</t>
        </is>
      </c>
      <c r="C11" s="55" t="n">
        <v>22200</v>
      </c>
      <c r="D11" s="42" t="n">
        <v>30</v>
      </c>
      <c r="E11" s="56" t="n">
        <v>0.87</v>
      </c>
      <c r="F11" s="42" t="n">
        <v>1</v>
      </c>
      <c r="G11" s="42" t="inlineStr">
        <is>
          <t>T2-2</t>
        </is>
      </c>
      <c r="H11" s="42" t="n"/>
    </row>
    <row r="12" ht="15" customHeight="1" s="37">
      <c r="A12" s="42" t="inlineStr">
        <is>
          <t>lancome perfume</t>
        </is>
      </c>
      <c r="B12" s="42" t="inlineStr">
        <is>
          <t>Informational</t>
        </is>
      </c>
      <c r="C12" s="55" t="n">
        <v>22200</v>
      </c>
      <c r="D12" s="42" t="n">
        <v>36</v>
      </c>
      <c r="E12" s="56" t="n">
        <v>0.44</v>
      </c>
      <c r="F12" s="42" t="n">
        <v>1</v>
      </c>
      <c r="G12" s="42" t="n">
        <v>2</v>
      </c>
      <c r="H12" s="42" t="n"/>
    </row>
    <row r="13" ht="15" customHeight="1" s="37">
      <c r="A13" s="42" t="inlineStr">
        <is>
          <t>tom ford black orchid</t>
        </is>
      </c>
      <c r="B13" s="42" t="inlineStr">
        <is>
          <t>Informational</t>
        </is>
      </c>
      <c r="C13" s="55" t="n">
        <v>22200</v>
      </c>
      <c r="D13" s="42" t="n">
        <v>22</v>
      </c>
      <c r="E13" s="56" t="n">
        <v>0.49</v>
      </c>
      <c r="F13" s="42" t="n">
        <v>1</v>
      </c>
      <c r="G13" s="42" t="n">
        <v>8</v>
      </c>
      <c r="H13" s="42" t="n"/>
    </row>
    <row r="14" ht="15" customHeight="1" s="37">
      <c r="A14" s="42" t="inlineStr">
        <is>
          <t>aloe vera gel</t>
        </is>
      </c>
      <c r="B14" s="42" t="inlineStr">
        <is>
          <t>Informational</t>
        </is>
      </c>
      <c r="C14" s="55" t="n">
        <v>18100</v>
      </c>
      <c r="D14" s="42" t="n">
        <v>16</v>
      </c>
      <c r="E14" s="56" t="n">
        <v>0.31</v>
      </c>
      <c r="F14" s="42" t="n">
        <v>1</v>
      </c>
      <c r="G14" s="42" t="inlineStr">
        <is>
          <t>T2-2</t>
        </is>
      </c>
      <c r="H14" s="42" t="n"/>
    </row>
    <row r="15" ht="15" customHeight="1" s="37">
      <c r="A15" s="42" t="inlineStr">
        <is>
          <t>gucci perfume</t>
        </is>
      </c>
      <c r="B15" s="42" t="inlineStr">
        <is>
          <t>Informational Transactional</t>
        </is>
      </c>
      <c r="C15" s="55" t="n">
        <v>18100</v>
      </c>
      <c r="D15" s="42" t="n">
        <v>41</v>
      </c>
      <c r="E15" s="56" t="n">
        <v>0.32</v>
      </c>
      <c r="F15" s="42" t="n">
        <v>1</v>
      </c>
      <c r="G15" s="42" t="n">
        <v>2</v>
      </c>
      <c r="H15" s="42" t="n"/>
    </row>
    <row r="16" ht="15" customHeight="1" s="37">
      <c r="A16" s="42" t="inlineStr">
        <is>
          <t>tom ford oud wood</t>
        </is>
      </c>
      <c r="B16" s="42" t="inlineStr">
        <is>
          <t>Informational</t>
        </is>
      </c>
      <c r="C16" s="55" t="n">
        <v>18100</v>
      </c>
      <c r="D16" s="42" t="n">
        <v>16</v>
      </c>
      <c r="E16" s="56" t="n">
        <v>0.54</v>
      </c>
      <c r="F16" s="42" t="n">
        <v>1</v>
      </c>
      <c r="G16" s="42" t="n">
        <v>8</v>
      </c>
      <c r="H16" s="42" t="n"/>
    </row>
    <row r="17" ht="15" customHeight="1" s="37">
      <c r="A17" s="42" t="inlineStr">
        <is>
          <t>burberry perfume</t>
        </is>
      </c>
      <c r="B17" s="42" t="inlineStr">
        <is>
          <t>Informational Transactional</t>
        </is>
      </c>
      <c r="C17" s="55" t="n">
        <v>14800</v>
      </c>
      <c r="D17" s="42" t="n">
        <v>50</v>
      </c>
      <c r="E17" s="56" t="n">
        <v>0.32</v>
      </c>
      <c r="F17" s="42" t="n">
        <v>1</v>
      </c>
      <c r="G17" s="42" t="n">
        <v>1</v>
      </c>
      <c r="H17" s="42" t="n"/>
    </row>
    <row r="18" ht="15" customHeight="1" s="37">
      <c r="A18" s="42" t="inlineStr">
        <is>
          <t>hugo boss perfume</t>
        </is>
      </c>
      <c r="B18" s="42" t="inlineStr">
        <is>
          <t>Informational</t>
        </is>
      </c>
      <c r="C18" s="55" t="n">
        <v>14800</v>
      </c>
      <c r="D18" s="42" t="n">
        <v>41</v>
      </c>
      <c r="E18" s="56" t="n">
        <v>0.32</v>
      </c>
      <c r="F18" s="42" t="n">
        <v>1</v>
      </c>
      <c r="G18" s="42" t="n">
        <v>2</v>
      </c>
      <c r="H18" s="42" t="n"/>
    </row>
    <row r="19" ht="15" customHeight="1" s="37">
      <c r="A19" s="42" t="inlineStr">
        <is>
          <t>niacinamide serum</t>
        </is>
      </c>
      <c r="B19" s="42" t="inlineStr">
        <is>
          <t>Informational</t>
        </is>
      </c>
      <c r="C19" s="55" t="n">
        <v>14800</v>
      </c>
      <c r="D19" s="42" t="n">
        <v>38</v>
      </c>
      <c r="E19" s="56" t="n">
        <v>0.77</v>
      </c>
      <c r="F19" s="42" t="n">
        <v>1</v>
      </c>
      <c r="G19" s="42" t="inlineStr">
        <is>
          <t>T2-2</t>
        </is>
      </c>
      <c r="H19" s="42" t="n"/>
    </row>
    <row r="20" ht="15" customHeight="1" s="37">
      <c r="A20" s="42" t="inlineStr">
        <is>
          <t>body scrub</t>
        </is>
      </c>
      <c r="B20" s="42" t="inlineStr">
        <is>
          <t>Informational</t>
        </is>
      </c>
      <c r="C20" s="55" t="n">
        <v>12100</v>
      </c>
      <c r="D20" s="42" t="n">
        <v>18</v>
      </c>
      <c r="E20" s="56" t="n">
        <v>0.44</v>
      </c>
      <c r="F20" s="42" t="n">
        <v>1</v>
      </c>
      <c r="G20" s="42" t="inlineStr">
        <is>
          <t>T2-2</t>
        </is>
      </c>
      <c r="H20" s="42" t="n"/>
    </row>
    <row r="21" ht="15" customHeight="1" s="37">
      <c r="A21" s="42" t="inlineStr">
        <is>
          <t>givenchy perfume</t>
        </is>
      </c>
      <c r="B21" s="42" t="inlineStr">
        <is>
          <t>Informational</t>
        </is>
      </c>
      <c r="C21" s="55" t="n">
        <v>12100</v>
      </c>
      <c r="D21" s="42" t="n">
        <v>34</v>
      </c>
      <c r="E21" s="56" t="n">
        <v>0.45</v>
      </c>
      <c r="F21" s="42" t="n">
        <v>1</v>
      </c>
      <c r="G21" s="42" t="n">
        <v>1</v>
      </c>
      <c r="H21" s="42" t="n"/>
    </row>
    <row r="22" ht="15" customHeight="1" s="37">
      <c r="A22" s="42" t="inlineStr">
        <is>
          <t>guerlain perfume</t>
        </is>
      </c>
      <c r="B22" s="42" t="inlineStr">
        <is>
          <t>Informational Transactional</t>
        </is>
      </c>
      <c r="C22" s="55" t="n">
        <v>12100</v>
      </c>
      <c r="D22" s="42" t="n">
        <v>28</v>
      </c>
      <c r="E22" s="56" t="n">
        <v>0.55</v>
      </c>
      <c r="F22" s="42" t="n">
        <v>1</v>
      </c>
      <c r="G22" s="42" t="n">
        <v>2</v>
      </c>
      <c r="H22" s="42" t="n"/>
    </row>
    <row r="23" ht="15" customHeight="1" s="37">
      <c r="A23" s="42" t="inlineStr">
        <is>
          <t>calvin klein perfume</t>
        </is>
      </c>
      <c r="B23" s="42" t="inlineStr">
        <is>
          <t>Informational Transactional</t>
        </is>
      </c>
      <c r="C23" s="55" t="n">
        <v>9900</v>
      </c>
      <c r="D23" s="42" t="n">
        <v>34</v>
      </c>
      <c r="E23" s="56" t="n">
        <v>0.27</v>
      </c>
      <c r="F23" s="42" t="n">
        <v>1</v>
      </c>
      <c r="G23" s="42" t="n">
        <v>1</v>
      </c>
      <c r="H23" s="42" t="n"/>
    </row>
    <row r="24" ht="15" customHeight="1" s="37">
      <c r="A24" s="42" t="inlineStr">
        <is>
          <t>carolina herrera perfume</t>
        </is>
      </c>
      <c r="B24" s="42" t="inlineStr">
        <is>
          <t>Informational</t>
        </is>
      </c>
      <c r="C24" s="55" t="n">
        <v>9900</v>
      </c>
      <c r="D24" s="42" t="n">
        <v>23</v>
      </c>
      <c r="E24" s="56" t="n">
        <v>0.39</v>
      </c>
      <c r="F24" s="42" t="n">
        <v>1</v>
      </c>
      <c r="G24" s="42" t="n">
        <v>1</v>
      </c>
      <c r="H24" s="42" t="n"/>
    </row>
    <row r="25" ht="15" customHeight="1" s="37">
      <c r="A25" s="42" t="inlineStr">
        <is>
          <t>face serum</t>
        </is>
      </c>
      <c r="B25" s="42" t="inlineStr">
        <is>
          <t>Informational</t>
        </is>
      </c>
      <c r="C25" s="55" t="n">
        <v>9900</v>
      </c>
      <c r="D25" s="42" t="n">
        <v>30</v>
      </c>
      <c r="E25" s="56" t="n">
        <v>1.02</v>
      </c>
      <c r="F25" s="42" t="n">
        <v>1</v>
      </c>
      <c r="G25" s="42" t="inlineStr">
        <is>
          <t>T2-2</t>
        </is>
      </c>
      <c r="H25" s="42" t="n"/>
    </row>
    <row r="26" ht="15" customHeight="1" s="37">
      <c r="A26" s="42" t="inlineStr">
        <is>
          <t>joop homme</t>
        </is>
      </c>
      <c r="B26" s="42" t="inlineStr">
        <is>
          <t>Informational Transactional</t>
        </is>
      </c>
      <c r="C26" s="55" t="n">
        <v>9900</v>
      </c>
      <c r="D26" s="42" t="n">
        <v>23</v>
      </c>
      <c r="E26" s="56" t="n">
        <v>0.36</v>
      </c>
      <c r="F26" s="42" t="n">
        <v>1</v>
      </c>
      <c r="G26" s="42" t="inlineStr">
        <is>
          <t>T3-1</t>
        </is>
      </c>
      <c r="H26" s="42" t="n"/>
    </row>
    <row r="27" ht="15" customHeight="1" s="37">
      <c r="A27" s="42" t="inlineStr">
        <is>
          <t>joop! homme</t>
        </is>
      </c>
      <c r="B27" s="42" t="inlineStr">
        <is>
          <t>Informational Transactional</t>
        </is>
      </c>
      <c r="C27" s="55" t="n">
        <v>9900</v>
      </c>
      <c r="D27" s="42" t="n">
        <v>23</v>
      </c>
      <c r="E27" s="56" t="n">
        <v>0.36</v>
      </c>
      <c r="F27" s="42" t="n">
        <v>1</v>
      </c>
      <c r="G27" s="42" t="n">
        <v>7</v>
      </c>
      <c r="H27" s="42" t="n"/>
    </row>
    <row r="28" ht="15" customHeight="1" s="37">
      <c r="A28" s="42" t="inlineStr">
        <is>
          <t>sunscreen spf 50</t>
        </is>
      </c>
      <c r="B28" s="42" t="inlineStr">
        <is>
          <t>Informational</t>
        </is>
      </c>
      <c r="C28" s="55" t="n">
        <v>9900</v>
      </c>
      <c r="D28" s="42" t="n">
        <v>22</v>
      </c>
      <c r="E28" s="56" t="n">
        <v>0.78</v>
      </c>
      <c r="F28" s="42" t="n">
        <v>1</v>
      </c>
      <c r="G28" s="42" t="inlineStr">
        <is>
          <t>T2-3</t>
        </is>
      </c>
      <c r="H28" s="42" t="n"/>
    </row>
    <row r="29" ht="15" customHeight="1" s="37">
      <c r="A29" s="42" t="inlineStr">
        <is>
          <t>bvlgari perfume</t>
        </is>
      </c>
      <c r="B29" s="42" t="inlineStr">
        <is>
          <t>Informational</t>
        </is>
      </c>
      <c r="C29" s="55" t="n">
        <v>8100</v>
      </c>
      <c r="D29" s="42" t="n">
        <v>34</v>
      </c>
      <c r="E29" s="56" t="n">
        <v>0.3</v>
      </c>
      <c r="F29" s="42" t="n">
        <v>1</v>
      </c>
      <c r="G29" s="42" t="n">
        <v>1</v>
      </c>
      <c r="H29" s="42" t="n"/>
    </row>
    <row r="30" ht="15" customHeight="1" s="37">
      <c r="A30" s="42" t="inlineStr">
        <is>
          <t>dkny perfume</t>
        </is>
      </c>
      <c r="B30" s="42" t="inlineStr">
        <is>
          <t>Informational</t>
        </is>
      </c>
      <c r="C30" s="55" t="n">
        <v>8100</v>
      </c>
      <c r="D30" s="42" t="n">
        <v>23</v>
      </c>
      <c r="E30" s="56" t="n">
        <v>0.33</v>
      </c>
      <c r="F30" s="42" t="n">
        <v>1</v>
      </c>
      <c r="G30" s="42" t="n">
        <v>1</v>
      </c>
      <c r="H30" s="42" t="n"/>
    </row>
    <row r="31" ht="15" customHeight="1" s="37">
      <c r="A31" s="42" t="inlineStr">
        <is>
          <t>giorgio armani perfume</t>
        </is>
      </c>
      <c r="B31" s="42" t="inlineStr">
        <is>
          <t>Informational</t>
        </is>
      </c>
      <c r="C31" s="55" t="n">
        <v>8100</v>
      </c>
      <c r="D31" s="42" t="n">
        <v>32</v>
      </c>
      <c r="E31" s="56" t="n">
        <v>0.38</v>
      </c>
      <c r="F31" s="42" t="n">
        <v>1</v>
      </c>
      <c r="G31" s="42" t="n">
        <v>1</v>
      </c>
      <c r="H31" s="42" t="n"/>
    </row>
    <row r="32" ht="15" customHeight="1" s="37">
      <c r="A32" s="42" t="inlineStr">
        <is>
          <t>tinted sunscreen</t>
        </is>
      </c>
      <c r="B32" s="42" t="inlineStr">
        <is>
          <t>Informational Commercial</t>
        </is>
      </c>
      <c r="C32" s="55" t="n">
        <v>8100</v>
      </c>
      <c r="D32" s="42" t="n">
        <v>31</v>
      </c>
      <c r="E32" s="56" t="n">
        <v>0.76</v>
      </c>
      <c r="F32" s="42" t="n">
        <v>1</v>
      </c>
      <c r="G32" s="42" t="inlineStr">
        <is>
          <t>T2-3</t>
        </is>
      </c>
      <c r="H32" s="42" t="n"/>
    </row>
    <row r="33" ht="15" customHeight="1" s="37">
      <c r="A33" s="42" t="inlineStr">
        <is>
          <t>tom ford noir extreme</t>
        </is>
      </c>
      <c r="B33" s="42" t="inlineStr">
        <is>
          <t>Informational</t>
        </is>
      </c>
      <c r="C33" s="55" t="n">
        <v>8100</v>
      </c>
      <c r="D33" s="42" t="n">
        <v>15</v>
      </c>
      <c r="E33" s="56" t="n">
        <v>0.59</v>
      </c>
      <c r="F33" s="42" t="n">
        <v>1</v>
      </c>
      <c r="G33" s="42" t="n">
        <v>8</v>
      </c>
      <c r="H33" s="42" t="n"/>
    </row>
    <row r="34" ht="15" customHeight="1" s="37">
      <c r="A34" s="42" t="inlineStr">
        <is>
          <t>body butter</t>
        </is>
      </c>
      <c r="B34" s="42" t="inlineStr">
        <is>
          <t>Informational Transactional</t>
        </is>
      </c>
      <c r="C34" s="55" t="n">
        <v>6600</v>
      </c>
      <c r="D34" s="42" t="n">
        <v>12</v>
      </c>
      <c r="E34" s="56" t="n">
        <v>0.76</v>
      </c>
      <c r="F34" s="42" t="n">
        <v>1</v>
      </c>
      <c r="G34" s="42" t="inlineStr">
        <is>
          <t>T2-3</t>
        </is>
      </c>
      <c r="H34" s="42" t="n"/>
    </row>
    <row r="35" ht="15" customHeight="1" s="37">
      <c r="A35" s="42" t="inlineStr">
        <is>
          <t>estee lauder perfume</t>
        </is>
      </c>
      <c r="B35" s="42" t="inlineStr">
        <is>
          <t>Informational Transactional</t>
        </is>
      </c>
      <c r="C35" s="55" t="n">
        <v>6600</v>
      </c>
      <c r="D35" s="42" t="n">
        <v>26</v>
      </c>
      <c r="E35" s="56" t="n">
        <v>0.37</v>
      </c>
      <c r="F35" s="42" t="n">
        <v>1</v>
      </c>
      <c r="G35" s="42" t="n">
        <v>1</v>
      </c>
      <c r="H35" s="42" t="n"/>
    </row>
    <row r="36" ht="15" customHeight="1" s="37">
      <c r="A36" s="42" t="inlineStr">
        <is>
          <t>gucci intense oud</t>
        </is>
      </c>
      <c r="B36" s="42" t="inlineStr">
        <is>
          <t>Navigational</t>
        </is>
      </c>
      <c r="C36" s="55" t="n">
        <v>6600</v>
      </c>
      <c r="D36" s="42" t="n">
        <v>21</v>
      </c>
      <c r="E36" s="56" t="n">
        <v>0.44</v>
      </c>
      <c r="F36" s="42" t="n">
        <v>1</v>
      </c>
      <c r="G36" s="42" t="n">
        <v>6</v>
      </c>
      <c r="H36" s="42" t="n"/>
    </row>
    <row r="37" ht="15" customHeight="1" s="37">
      <c r="A37" s="42" t="inlineStr">
        <is>
          <t>marc jacobs perfect</t>
        </is>
      </c>
      <c r="B37" s="42" t="inlineStr">
        <is>
          <t>Informational</t>
        </is>
      </c>
      <c r="C37" s="55" t="n">
        <v>6600</v>
      </c>
      <c r="D37" s="42" t="n">
        <v>26</v>
      </c>
      <c r="E37" s="56" t="n">
        <v>0.36</v>
      </c>
      <c r="F37" s="42" t="n">
        <v>1</v>
      </c>
      <c r="G37" s="42" t="n">
        <v>7</v>
      </c>
      <c r="H37" s="42" t="n"/>
    </row>
    <row r="38" ht="15" customHeight="1" s="37">
      <c r="A38" s="42" t="inlineStr">
        <is>
          <t>natural deodorant</t>
        </is>
      </c>
      <c r="B38" s="42" t="inlineStr">
        <is>
          <t>Informational</t>
        </is>
      </c>
      <c r="C38" s="55" t="n">
        <v>6600</v>
      </c>
      <c r="D38" s="42" t="n">
        <v>26</v>
      </c>
      <c r="E38" s="56" t="n">
        <v>2.37</v>
      </c>
      <c r="F38" s="42" t="n">
        <v>1</v>
      </c>
      <c r="G38" s="42" t="inlineStr">
        <is>
          <t>T2-2</t>
        </is>
      </c>
      <c r="H38" s="42" t="n"/>
    </row>
    <row r="39" ht="15" customHeight="1" s="37">
      <c r="A39" s="42" t="inlineStr">
        <is>
          <t>dior sauvage parfum</t>
        </is>
      </c>
      <c r="B39" s="42" t="inlineStr">
        <is>
          <t>Informational</t>
        </is>
      </c>
      <c r="C39" s="55" t="n">
        <v>5400</v>
      </c>
      <c r="D39" s="42" t="n">
        <v>35</v>
      </c>
      <c r="E39" s="56" t="n">
        <v>0.66</v>
      </c>
      <c r="F39" s="42" t="n">
        <v>1</v>
      </c>
      <c r="G39" s="42" t="inlineStr">
        <is>
          <t>T3-1</t>
        </is>
      </c>
      <c r="H39" s="42" t="n"/>
    </row>
    <row r="40" ht="15" customHeight="1" s="37">
      <c r="A40" s="42" t="inlineStr">
        <is>
          <t>elie saab perfume</t>
        </is>
      </c>
      <c r="B40" s="42" t="inlineStr">
        <is>
          <t>Informational</t>
        </is>
      </c>
      <c r="C40" s="55" t="n">
        <v>5400</v>
      </c>
      <c r="D40" s="42" t="n">
        <v>28</v>
      </c>
      <c r="E40" s="56" t="n">
        <v>0.41</v>
      </c>
      <c r="F40" s="42" t="n">
        <v>1</v>
      </c>
      <c r="G40" s="42" t="n">
        <v>1</v>
      </c>
      <c r="H40" s="42" t="n"/>
    </row>
    <row r="41" ht="15" customHeight="1" s="37">
      <c r="A41" s="42" t="inlineStr">
        <is>
          <t>elizabeth arden perfume</t>
        </is>
      </c>
      <c r="B41" s="42" t="inlineStr">
        <is>
          <t>Informational Transactional</t>
        </is>
      </c>
      <c r="C41" s="55" t="n">
        <v>5400</v>
      </c>
      <c r="D41" s="42" t="n">
        <v>23</v>
      </c>
      <c r="E41" s="56" t="n">
        <v>0.41</v>
      </c>
      <c r="F41" s="42" t="n">
        <v>1</v>
      </c>
      <c r="G41" s="42" t="n">
        <v>1</v>
      </c>
      <c r="H41" s="42" t="n"/>
    </row>
    <row r="42" ht="15" customHeight="1" s="37">
      <c r="A42" s="42" t="inlineStr">
        <is>
          <t>foot cream</t>
        </is>
      </c>
      <c r="B42" s="42" t="inlineStr">
        <is>
          <t>Informational Transactional</t>
        </is>
      </c>
      <c r="C42" s="55" t="n">
        <v>5400</v>
      </c>
      <c r="D42" s="42" t="n">
        <v>22</v>
      </c>
      <c r="E42" s="56" t="n">
        <v>0.8100000000000001</v>
      </c>
      <c r="F42" s="42" t="n">
        <v>1</v>
      </c>
      <c r="G42" s="42" t="inlineStr">
        <is>
          <t>T2-3</t>
        </is>
      </c>
      <c r="H42" s="42" t="n"/>
    </row>
    <row r="43" ht="15" customHeight="1" s="37">
      <c r="A43" s="42" t="inlineStr">
        <is>
          <t>hair growth oil</t>
        </is>
      </c>
      <c r="B43" s="42" t="inlineStr">
        <is>
          <t>Informational Commercial</t>
        </is>
      </c>
      <c r="C43" s="55" t="n">
        <v>5400</v>
      </c>
      <c r="D43" s="42" t="n">
        <v>21</v>
      </c>
      <c r="E43" s="56" t="n">
        <v>1.76</v>
      </c>
      <c r="F43" s="42" t="n">
        <v>1</v>
      </c>
      <c r="G43" s="42" t="inlineStr">
        <is>
          <t>T2-2</t>
        </is>
      </c>
      <c r="H43" s="42" t="n"/>
    </row>
    <row r="44" ht="15" customHeight="1" s="37">
      <c r="A44" s="42" t="inlineStr">
        <is>
          <t>hermes perfume</t>
        </is>
      </c>
      <c r="B44" s="42" t="inlineStr">
        <is>
          <t>Informational Transactional</t>
        </is>
      </c>
      <c r="C44" s="55" t="n">
        <v>5400</v>
      </c>
      <c r="D44" s="42" t="n">
        <v>30</v>
      </c>
      <c r="E44" s="56" t="n">
        <v>0.26</v>
      </c>
      <c r="F44" s="42" t="n">
        <v>1</v>
      </c>
      <c r="G44" s="42" t="n">
        <v>2</v>
      </c>
      <c r="H44" s="42" t="n"/>
    </row>
    <row r="45" ht="15" customHeight="1" s="37">
      <c r="A45" s="42" t="inlineStr">
        <is>
          <t>juicy couture perfume</t>
        </is>
      </c>
      <c r="B45" s="42" t="inlineStr">
        <is>
          <t>Informational Transactional</t>
        </is>
      </c>
      <c r="C45" s="55" t="n">
        <v>5400</v>
      </c>
      <c r="D45" s="42" t="n">
        <v>16</v>
      </c>
      <c r="E45" s="56" t="n">
        <v>0.29</v>
      </c>
      <c r="F45" s="42" t="n">
        <v>1</v>
      </c>
      <c r="G45" s="42" t="n">
        <v>2</v>
      </c>
      <c r="H45" s="42" t="n"/>
    </row>
    <row r="46" ht="15" customHeight="1" s="37">
      <c r="A46" s="42" t="inlineStr">
        <is>
          <t>lip scrub</t>
        </is>
      </c>
      <c r="B46" s="42" t="inlineStr">
        <is>
          <t>Informational</t>
        </is>
      </c>
      <c r="C46" s="55" t="n">
        <v>5400</v>
      </c>
      <c r="D46" s="42" t="n">
        <v>16</v>
      </c>
      <c r="E46" s="56" t="n">
        <v>0.46</v>
      </c>
      <c r="F46" s="42" t="n">
        <v>1</v>
      </c>
      <c r="G46" s="42" t="inlineStr">
        <is>
          <t>T2-2</t>
        </is>
      </c>
      <c r="H46" s="42" t="n"/>
    </row>
    <row r="47" ht="15" customHeight="1" s="37">
      <c r="A47" s="42" t="inlineStr">
        <is>
          <t>nina ricci perfume</t>
        </is>
      </c>
      <c r="B47" s="42" t="inlineStr">
        <is>
          <t>Informational Transactional</t>
        </is>
      </c>
      <c r="C47" s="55" t="n">
        <v>5400</v>
      </c>
      <c r="D47" s="42" t="n">
        <v>24</v>
      </c>
      <c r="E47" s="56" t="n">
        <v>0.37</v>
      </c>
      <c r="F47" s="42" t="n">
        <v>1</v>
      </c>
      <c r="G47" s="42" t="n">
        <v>2</v>
      </c>
      <c r="H47" s="42" t="n"/>
    </row>
    <row r="48" ht="15" customHeight="1" s="37">
      <c r="A48" s="42" t="inlineStr">
        <is>
          <t>shampoo for hair loss</t>
        </is>
      </c>
      <c r="B48" s="42" t="inlineStr">
        <is>
          <t>Informational</t>
        </is>
      </c>
      <c r="C48" s="55" t="n">
        <v>5400</v>
      </c>
      <c r="D48" s="42" t="n">
        <v>20</v>
      </c>
      <c r="E48" s="56" t="n">
        <v>1.24</v>
      </c>
      <c r="F48" s="42" t="n">
        <v>1</v>
      </c>
      <c r="G48" s="42" t="inlineStr">
        <is>
          <t>T2-3</t>
        </is>
      </c>
      <c r="H48" s="42" t="n"/>
    </row>
    <row r="49" ht="15" customHeight="1" s="37">
      <c r="A49" s="42" t="inlineStr">
        <is>
          <t>calvin klein eternity</t>
        </is>
      </c>
      <c r="B49" s="42" t="inlineStr">
        <is>
          <t>Informational</t>
        </is>
      </c>
      <c r="C49" s="55" t="n">
        <v>4400</v>
      </c>
      <c r="D49" s="42" t="n">
        <v>21</v>
      </c>
      <c r="E49" s="56" t="n">
        <v>0.37</v>
      </c>
      <c r="F49" s="42" t="n">
        <v>1</v>
      </c>
      <c r="G49" s="42" t="n">
        <v>4</v>
      </c>
      <c r="H49" s="42" t="n"/>
    </row>
    <row r="50" ht="15" customHeight="1" s="37">
      <c r="A50" s="42" t="inlineStr">
        <is>
          <t>dior sauvage eau de parfum</t>
        </is>
      </c>
      <c r="B50" s="42" t="inlineStr">
        <is>
          <t>Informational Transactional</t>
        </is>
      </c>
      <c r="C50" s="55" t="n">
        <v>4400</v>
      </c>
      <c r="D50" s="42" t="n">
        <v>28</v>
      </c>
      <c r="E50" s="56" t="n">
        <v>0.6899999999999999</v>
      </c>
      <c r="F50" s="42" t="n">
        <v>1</v>
      </c>
      <c r="G50" s="42" t="inlineStr">
        <is>
          <t>T2-1</t>
        </is>
      </c>
      <c r="H50" s="42" t="n"/>
    </row>
    <row r="51" ht="15" customHeight="1" s="37">
      <c r="A51" s="42" t="inlineStr">
        <is>
          <t>gucci flora gorgeous gardenia</t>
        </is>
      </c>
      <c r="B51" s="42" t="inlineStr">
        <is>
          <t>Informational</t>
        </is>
      </c>
      <c r="C51" s="55" t="n">
        <v>4400</v>
      </c>
      <c r="D51" s="42" t="n">
        <v>29</v>
      </c>
      <c r="E51" s="56" t="n">
        <v>0.43</v>
      </c>
      <c r="F51" s="42" t="n">
        <v>1</v>
      </c>
      <c r="G51" s="42" t="n">
        <v>6</v>
      </c>
      <c r="H51" s="42" t="n"/>
    </row>
    <row r="52" ht="15" customHeight="1" s="37">
      <c r="A52" s="42" t="inlineStr">
        <is>
          <t>hugo boss bottled</t>
        </is>
      </c>
      <c r="B52" s="42" t="inlineStr">
        <is>
          <t>Informational</t>
        </is>
      </c>
      <c r="C52" s="55" t="n">
        <v>4400</v>
      </c>
      <c r="D52" s="42" t="n">
        <v>28</v>
      </c>
      <c r="E52" s="56" t="n">
        <v>0.45</v>
      </c>
      <c r="F52" s="42" t="n">
        <v>1</v>
      </c>
      <c r="G52" s="42" t="n">
        <v>6</v>
      </c>
      <c r="H52" s="42" t="n"/>
    </row>
    <row r="53" ht="15" customHeight="1" s="37">
      <c r="A53" s="42" t="inlineStr">
        <is>
          <t>spf lip balm</t>
        </is>
      </c>
      <c r="B53" s="42" t="inlineStr">
        <is>
          <t>Informational</t>
        </is>
      </c>
      <c r="C53" s="55" t="n">
        <v>4400</v>
      </c>
      <c r="D53" s="42" t="n">
        <v>30</v>
      </c>
      <c r="E53" s="56" t="n">
        <v>0.49</v>
      </c>
      <c r="F53" s="42" t="n">
        <v>1</v>
      </c>
      <c r="G53" s="42" t="inlineStr">
        <is>
          <t>T2-2</t>
        </is>
      </c>
      <c r="H53" s="42" t="n"/>
    </row>
    <row r="54" ht="15" customHeight="1" s="37">
      <c r="A54" s="42" t="inlineStr">
        <is>
          <t>castor oil for hair</t>
        </is>
      </c>
      <c r="B54" s="42" t="inlineStr">
        <is>
          <t>Informational</t>
        </is>
      </c>
      <c r="C54" s="55" t="n">
        <v>3600</v>
      </c>
      <c r="D54" s="42" t="n">
        <v>34</v>
      </c>
      <c r="E54" s="56" t="n">
        <v>0.51</v>
      </c>
      <c r="F54" s="42" t="n">
        <v>1</v>
      </c>
      <c r="G54" s="42" t="inlineStr">
        <is>
          <t>T2-2</t>
        </is>
      </c>
      <c r="H54" s="42" t="n"/>
    </row>
    <row r="55" ht="15" customHeight="1" s="37">
      <c r="A55" s="42" t="inlineStr">
        <is>
          <t>escada perfume</t>
        </is>
      </c>
      <c r="B55" s="42" t="inlineStr">
        <is>
          <t>Informational</t>
        </is>
      </c>
      <c r="C55" s="55" t="n">
        <v>3600</v>
      </c>
      <c r="D55" s="42" t="n">
        <v>21</v>
      </c>
      <c r="E55" s="56" t="n">
        <v>0.35</v>
      </c>
      <c r="F55" s="42" t="n">
        <v>1</v>
      </c>
      <c r="G55" s="42" t="n">
        <v>1</v>
      </c>
      <c r="H55" s="42" t="n"/>
    </row>
    <row r="56" ht="15" customHeight="1" s="37">
      <c r="A56" s="42" t="inlineStr">
        <is>
          <t>henna hair dye</t>
        </is>
      </c>
      <c r="B56" s="42" t="inlineStr">
        <is>
          <t>Informational</t>
        </is>
      </c>
      <c r="C56" s="55" t="n">
        <v>3600</v>
      </c>
      <c r="D56" s="42" t="n">
        <v>37</v>
      </c>
      <c r="E56" s="56" t="n">
        <v>0.32</v>
      </c>
      <c r="F56" s="42" t="n">
        <v>1</v>
      </c>
      <c r="G56" s="42" t="inlineStr">
        <is>
          <t>T2-3</t>
        </is>
      </c>
      <c r="H56" s="42" t="n"/>
    </row>
    <row r="57" ht="15" customHeight="1" s="37">
      <c r="A57" s="42" t="inlineStr">
        <is>
          <t>montale perfume</t>
        </is>
      </c>
      <c r="B57" s="42" t="inlineStr">
        <is>
          <t>Informational</t>
        </is>
      </c>
      <c r="C57" s="55" t="n">
        <v>3600</v>
      </c>
      <c r="D57" s="42" t="n">
        <v>25</v>
      </c>
      <c r="E57" s="56" t="n">
        <v>0.3</v>
      </c>
      <c r="F57" s="42" t="n">
        <v>1</v>
      </c>
      <c r="G57" s="42" t="n">
        <v>2</v>
      </c>
      <c r="H57" s="42" t="n"/>
    </row>
    <row r="58" ht="15" customHeight="1" s="37">
      <c r="A58" s="42" t="inlineStr">
        <is>
          <t>natural shampoo</t>
        </is>
      </c>
      <c r="B58" s="42" t="inlineStr">
        <is>
          <t>Informational Commercial</t>
        </is>
      </c>
      <c r="C58" s="55" t="n">
        <v>3600</v>
      </c>
      <c r="D58" s="42" t="n">
        <v>21</v>
      </c>
      <c r="E58" s="56" t="n">
        <v>1.06</v>
      </c>
      <c r="F58" s="42" t="n">
        <v>1</v>
      </c>
      <c r="G58" s="42" t="inlineStr">
        <is>
          <t>T2-2</t>
        </is>
      </c>
      <c r="H58" s="42" t="n"/>
    </row>
    <row r="59" ht="15" customHeight="1" s="37">
      <c r="A59" s="42" t="inlineStr">
        <is>
          <t>natural sunscreen</t>
        </is>
      </c>
      <c r="B59" s="42" t="inlineStr">
        <is>
          <t>Informational</t>
        </is>
      </c>
      <c r="C59" s="55" t="n">
        <v>3600</v>
      </c>
      <c r="D59" s="42" t="n">
        <v>24</v>
      </c>
      <c r="E59" s="56" t="n">
        <v>0.66</v>
      </c>
      <c r="F59" s="42" t="n">
        <v>1</v>
      </c>
      <c r="G59" s="42" t="inlineStr">
        <is>
          <t>T2-2</t>
        </is>
      </c>
      <c r="H59" s="42" t="n"/>
    </row>
    <row r="60" ht="15" customHeight="1" s="37">
      <c r="A60" s="42" t="inlineStr">
        <is>
          <t>night cream</t>
        </is>
      </c>
      <c r="B60" s="42" t="inlineStr">
        <is>
          <t>Informational</t>
        </is>
      </c>
      <c r="C60" s="55" t="n">
        <v>3600</v>
      </c>
      <c r="D60" s="42" t="n">
        <v>18</v>
      </c>
      <c r="E60" s="56" t="n">
        <v>1.17</v>
      </c>
      <c r="F60" s="42" t="n">
        <v>1</v>
      </c>
      <c r="G60" s="42" t="inlineStr">
        <is>
          <t>T2-3</t>
        </is>
      </c>
      <c r="H60" s="42" t="n"/>
    </row>
    <row r="61" ht="15" customHeight="1" s="37">
      <c r="A61" s="42" t="inlineStr">
        <is>
          <t>skincare gift set</t>
        </is>
      </c>
      <c r="B61" s="42" t="inlineStr">
        <is>
          <t>Informational</t>
        </is>
      </c>
      <c r="C61" s="55" t="n">
        <v>3600</v>
      </c>
      <c r="D61" s="42" t="n">
        <v>22</v>
      </c>
      <c r="E61" s="56" t="n">
        <v>0.7</v>
      </c>
      <c r="F61" s="42" t="n">
        <v>1</v>
      </c>
      <c r="G61" s="42" t="inlineStr">
        <is>
          <t>T2-3</t>
        </is>
      </c>
      <c r="H61" s="42" t="n"/>
    </row>
    <row r="62" ht="15" customHeight="1" s="37">
      <c r="A62" s="42" t="inlineStr">
        <is>
          <t>tom ford neroli portofino</t>
        </is>
      </c>
      <c r="B62" s="42" t="inlineStr">
        <is>
          <t>Informational</t>
        </is>
      </c>
      <c r="C62" s="55" t="n">
        <v>3600</v>
      </c>
      <c r="D62" s="42" t="n">
        <v>14</v>
      </c>
      <c r="E62" s="56" t="n">
        <v>0.63</v>
      </c>
      <c r="F62" s="42" t="n">
        <v>1</v>
      </c>
      <c r="G62" s="42" t="n">
        <v>8</v>
      </c>
      <c r="H62" s="42" t="n"/>
    </row>
    <row r="63" ht="15" customHeight="1" s="37">
      <c r="A63" s="42" t="inlineStr">
        <is>
          <t>aluminium free deodorant</t>
        </is>
      </c>
      <c r="B63" s="42" t="inlineStr">
        <is>
          <t>Informational</t>
        </is>
      </c>
      <c r="C63" s="55" t="n">
        <v>2900</v>
      </c>
      <c r="D63" s="42" t="n">
        <v>20</v>
      </c>
      <c r="E63" s="56" t="n">
        <v>0.9399999999999999</v>
      </c>
      <c r="F63" s="42" t="n">
        <v>1</v>
      </c>
      <c r="G63" s="42" t="inlineStr">
        <is>
          <t>T2-3</t>
        </is>
      </c>
      <c r="H63" s="42" t="n"/>
    </row>
    <row r="64" ht="15" customHeight="1" s="37">
      <c r="A64" s="42" t="inlineStr">
        <is>
          <t>amla hair oil</t>
        </is>
      </c>
      <c r="B64" s="42" t="inlineStr">
        <is>
          <t>Informational</t>
        </is>
      </c>
      <c r="C64" s="55" t="n">
        <v>2900</v>
      </c>
      <c r="D64" s="42" t="n">
        <v>9</v>
      </c>
      <c r="E64" s="56" t="n">
        <v>0.33</v>
      </c>
      <c r="F64" s="42" t="n">
        <v>1</v>
      </c>
      <c r="G64" s="42" t="inlineStr">
        <is>
          <t>T2-2</t>
        </is>
      </c>
      <c r="H64" s="42" t="n"/>
    </row>
    <row r="65" ht="15" customHeight="1" s="37">
      <c r="A65" s="42" t="inlineStr">
        <is>
          <t>anna sui perfume</t>
        </is>
      </c>
      <c r="B65" s="42" t="inlineStr">
        <is>
          <t>Informational</t>
        </is>
      </c>
      <c r="C65" s="55" t="n">
        <v>2900</v>
      </c>
      <c r="D65" s="42" t="n">
        <v>23</v>
      </c>
      <c r="E65" s="56" t="n">
        <v>0.31</v>
      </c>
      <c r="F65" s="42" t="n">
        <v>1</v>
      </c>
      <c r="G65" s="42" t="n">
        <v>1</v>
      </c>
      <c r="H65" s="42" t="n"/>
    </row>
    <row r="66" ht="15" customHeight="1" s="37">
      <c r="A66" s="42" t="inlineStr">
        <is>
          <t>calvin klein eternity for women</t>
        </is>
      </c>
      <c r="B66" s="42" t="inlineStr">
        <is>
          <t>Informational</t>
        </is>
      </c>
      <c r="C66" s="55" t="n">
        <v>2900</v>
      </c>
      <c r="D66" s="42" t="n">
        <v>16</v>
      </c>
      <c r="E66" s="56" t="n">
        <v>0.36</v>
      </c>
      <c r="F66" s="42" t="n">
        <v>1</v>
      </c>
      <c r="G66" s="42" t="inlineStr">
        <is>
          <t>T3-1</t>
        </is>
      </c>
      <c r="H66" s="42" t="n"/>
    </row>
    <row r="67" ht="15" customHeight="1" s="37">
      <c r="A67" s="42" t="inlineStr">
        <is>
          <t>chloe nomade</t>
        </is>
      </c>
      <c r="B67" s="42" t="inlineStr">
        <is>
          <t>Informational</t>
        </is>
      </c>
      <c r="C67" s="55" t="n">
        <v>2900</v>
      </c>
      <c r="D67" s="42" t="n">
        <v>22</v>
      </c>
      <c r="E67" s="56" t="n">
        <v>0.47</v>
      </c>
      <c r="F67" s="42" t="n">
        <v>1</v>
      </c>
      <c r="G67" s="42" t="n">
        <v>4</v>
      </c>
      <c r="H67" s="42" t="n"/>
    </row>
    <row r="68" ht="15" customHeight="1" s="37">
      <c r="A68" s="42" t="inlineStr">
        <is>
          <t>chloe nomade perfume</t>
        </is>
      </c>
      <c r="B68" s="42" t="inlineStr">
        <is>
          <t>Informational</t>
        </is>
      </c>
      <c r="C68" s="55" t="n">
        <v>2900</v>
      </c>
      <c r="D68" s="42" t="n">
        <v>13</v>
      </c>
      <c r="E68" s="56" t="n">
        <v>0.4</v>
      </c>
      <c r="F68" s="42" t="n">
        <v>1</v>
      </c>
      <c r="G68" s="42" t="inlineStr">
        <is>
          <t>T3-1</t>
        </is>
      </c>
      <c r="H68" s="42" t="n"/>
    </row>
    <row r="69" ht="15" customHeight="1" s="37">
      <c r="A69" s="42" t="inlineStr">
        <is>
          <t>moisturiser for dry skin</t>
        </is>
      </c>
      <c r="B69" s="42" t="inlineStr">
        <is>
          <t>Commercial</t>
        </is>
      </c>
      <c r="C69" s="55" t="n">
        <v>2900</v>
      </c>
      <c r="D69" s="42" t="n">
        <v>29</v>
      </c>
      <c r="E69" s="56" t="n">
        <v>0.91</v>
      </c>
      <c r="F69" s="42" t="n">
        <v>1</v>
      </c>
      <c r="G69" s="42" t="n">
        <v>3</v>
      </c>
      <c r="H69" s="42" t="n"/>
    </row>
    <row r="70" ht="15" customHeight="1" s="37">
      <c r="A70" s="42" t="inlineStr">
        <is>
          <t>paloma picasso</t>
        </is>
      </c>
      <c r="B70" s="42" t="inlineStr">
        <is>
          <t>Informational Transactional</t>
        </is>
      </c>
      <c r="C70" s="55" t="n">
        <v>2900</v>
      </c>
      <c r="D70" s="42" t="n">
        <v>30</v>
      </c>
      <c r="E70" s="56" t="n">
        <v>0.35</v>
      </c>
      <c r="F70" s="42" t="n">
        <v>1</v>
      </c>
      <c r="G70" s="42" t="n">
        <v>7</v>
      </c>
      <c r="H70" s="42" t="n"/>
    </row>
    <row r="71" ht="15" customHeight="1" s="37">
      <c r="A71" s="42" t="inlineStr">
        <is>
          <t>tinted lip balm</t>
        </is>
      </c>
      <c r="B71" s="42" t="inlineStr">
        <is>
          <t>Informational</t>
        </is>
      </c>
      <c r="C71" s="55" t="n">
        <v>2900</v>
      </c>
      <c r="D71" s="42" t="n">
        <v>21</v>
      </c>
      <c r="E71" s="56" t="n">
        <v>0.43</v>
      </c>
      <c r="F71" s="42" t="n">
        <v>1</v>
      </c>
      <c r="G71" s="42" t="inlineStr">
        <is>
          <t>T2-2</t>
        </is>
      </c>
      <c r="H71" s="42" t="n"/>
    </row>
    <row r="72" ht="15" customHeight="1" s="37">
      <c r="A72" s="42" t="inlineStr">
        <is>
          <t>under eye cream</t>
        </is>
      </c>
      <c r="B72" s="42" t="inlineStr">
        <is>
          <t>Informational</t>
        </is>
      </c>
      <c r="C72" s="55" t="n">
        <v>2900</v>
      </c>
      <c r="D72" s="42" t="n">
        <v>19</v>
      </c>
      <c r="E72" s="56" t="n">
        <v>1.33</v>
      </c>
      <c r="F72" s="42" t="n">
        <v>1</v>
      </c>
      <c r="G72" s="42" t="inlineStr">
        <is>
          <t>T2-2</t>
        </is>
      </c>
      <c r="H72" s="42" t="n"/>
    </row>
    <row r="73" ht="15" customHeight="1" s="37">
      <c r="A73" s="42" t="inlineStr">
        <is>
          <t>al haramain amber oud</t>
        </is>
      </c>
      <c r="B73" s="42" t="inlineStr">
        <is>
          <t>Informational Transactional</t>
        </is>
      </c>
      <c r="C73" s="55" t="n">
        <v>2400</v>
      </c>
      <c r="D73" s="42" t="n">
        <v>16</v>
      </c>
      <c r="E73" s="56" t="n">
        <v>0.27</v>
      </c>
      <c r="F73" s="42" t="n">
        <v>1</v>
      </c>
      <c r="G73" s="42" t="n">
        <v>4</v>
      </c>
      <c r="H73" s="42" t="n"/>
    </row>
    <row r="74" ht="15" customHeight="1" s="37">
      <c r="A74" s="42" t="inlineStr">
        <is>
          <t>calvin klein eternity for men</t>
        </is>
      </c>
      <c r="B74" s="42" t="inlineStr">
        <is>
          <t>Informational</t>
        </is>
      </c>
      <c r="C74" s="55" t="n">
        <v>2400</v>
      </c>
      <c r="D74" s="42" t="n">
        <v>17</v>
      </c>
      <c r="E74" s="56" t="n">
        <v>0.36</v>
      </c>
      <c r="F74" s="42" t="n">
        <v>1</v>
      </c>
      <c r="G74" s="42" t="inlineStr">
        <is>
          <t>T3-1</t>
        </is>
      </c>
      <c r="H74" s="42" t="n"/>
    </row>
    <row r="75" ht="15" customHeight="1" s="37">
      <c r="A75" s="42" t="inlineStr">
        <is>
          <t>hair mask for dry hair</t>
        </is>
      </c>
      <c r="B75" s="42" t="inlineStr">
        <is>
          <t>Informational Commercial</t>
        </is>
      </c>
      <c r="C75" s="55" t="n">
        <v>2400</v>
      </c>
      <c r="D75" s="42" t="n">
        <v>13</v>
      </c>
      <c r="E75" s="56" t="n">
        <v>0.75</v>
      </c>
      <c r="F75" s="42" t="n">
        <v>1</v>
      </c>
      <c r="G75" s="42" t="n">
        <v>3</v>
      </c>
      <c r="H75" s="42" t="n"/>
    </row>
    <row r="76" ht="15" customHeight="1" s="37">
      <c r="A76" s="42" t="inlineStr">
        <is>
          <t>marc jacobs honey</t>
        </is>
      </c>
      <c r="B76" s="42" t="inlineStr">
        <is>
          <t>Informational</t>
        </is>
      </c>
      <c r="C76" s="55" t="n">
        <v>2400</v>
      </c>
      <c r="D76" s="42" t="n">
        <v>23</v>
      </c>
      <c r="E76" s="56" t="n">
        <v>0.38</v>
      </c>
      <c r="F76" s="42" t="n">
        <v>1</v>
      </c>
      <c r="G76" s="42" t="n">
        <v>7</v>
      </c>
      <c r="H76" s="42" t="n"/>
    </row>
    <row r="77" ht="15" customHeight="1" s="37">
      <c r="A77" s="42" t="inlineStr">
        <is>
          <t>natural hair dye</t>
        </is>
      </c>
      <c r="B77" s="42" t="inlineStr">
        <is>
          <t>Informational</t>
        </is>
      </c>
      <c r="C77" s="55" t="n">
        <v>2400</v>
      </c>
      <c r="D77" s="42" t="n">
        <v>23</v>
      </c>
      <c r="E77" s="56" t="n">
        <v>0.54</v>
      </c>
      <c r="F77" s="42" t="n">
        <v>1</v>
      </c>
      <c r="G77" s="42" t="inlineStr">
        <is>
          <t>T2-3</t>
        </is>
      </c>
      <c r="H77" s="42" t="n"/>
    </row>
    <row r="78" ht="15" customHeight="1" s="37">
      <c r="A78" s="42" t="inlineStr">
        <is>
          <t>bvlgari man in black</t>
        </is>
      </c>
      <c r="B78" s="42" t="inlineStr">
        <is>
          <t>Informational</t>
        </is>
      </c>
      <c r="C78" s="55" t="n">
        <v>1900</v>
      </c>
      <c r="D78" s="42" t="n">
        <v>16</v>
      </c>
      <c r="E78" s="56" t="n">
        <v>0.41</v>
      </c>
      <c r="F78" s="42" t="n">
        <v>1</v>
      </c>
      <c r="G78" s="42" t="n">
        <v>4</v>
      </c>
      <c r="H78" s="42" t="n"/>
    </row>
    <row r="79" ht="15" customHeight="1" s="37">
      <c r="A79" s="42" t="inlineStr">
        <is>
          <t>clay face mask</t>
        </is>
      </c>
      <c r="B79" s="42" t="inlineStr">
        <is>
          <t>Informational</t>
        </is>
      </c>
      <c r="C79" s="55" t="n">
        <v>1900</v>
      </c>
      <c r="D79" s="42" t="n">
        <v>22</v>
      </c>
      <c r="E79" s="56" t="n">
        <v>0.8</v>
      </c>
      <c r="F79" s="42" t="n">
        <v>1</v>
      </c>
      <c r="G79" s="42" t="inlineStr">
        <is>
          <t>T2-2</t>
        </is>
      </c>
      <c r="H79" s="42" t="n"/>
    </row>
    <row r="80" ht="15" customHeight="1" s="37">
      <c r="A80" s="42" t="inlineStr">
        <is>
          <t>dunhill perfume</t>
        </is>
      </c>
      <c r="B80" s="42" t="inlineStr">
        <is>
          <t>Informational</t>
        </is>
      </c>
      <c r="C80" s="55" t="n">
        <v>1900</v>
      </c>
      <c r="D80" s="42" t="n">
        <v>16</v>
      </c>
      <c r="E80" s="56" t="n">
        <v>0.4</v>
      </c>
      <c r="F80" s="42" t="n">
        <v>1</v>
      </c>
      <c r="G80" s="42" t="n">
        <v>1</v>
      </c>
      <c r="H80" s="42" t="n"/>
    </row>
    <row r="81" ht="15" customHeight="1" s="37">
      <c r="A81" s="42" t="inlineStr">
        <is>
          <t>hair oil for dry hair</t>
        </is>
      </c>
      <c r="B81" s="42" t="inlineStr">
        <is>
          <t>Informational Commercial</t>
        </is>
      </c>
      <c r="C81" s="55" t="n">
        <v>1900</v>
      </c>
      <c r="D81" s="42" t="n">
        <v>30</v>
      </c>
      <c r="E81" s="56" t="n">
        <v>0.82</v>
      </c>
      <c r="F81" s="42" t="n">
        <v>1</v>
      </c>
      <c r="G81" s="42" t="n">
        <v>3</v>
      </c>
      <c r="H81" s="42" t="n"/>
    </row>
    <row r="82" ht="15" customHeight="1" s="37">
      <c r="A82" s="42" t="inlineStr">
        <is>
          <t>jean paul perfume</t>
        </is>
      </c>
      <c r="B82" s="42" t="inlineStr">
        <is>
          <t>Informational Transactional</t>
        </is>
      </c>
      <c r="C82" s="55" t="n">
        <v>1900</v>
      </c>
      <c r="D82" s="42" t="n">
        <v>26</v>
      </c>
      <c r="E82" s="56" t="n">
        <v>0.41</v>
      </c>
      <c r="F82" s="42" t="n">
        <v>1</v>
      </c>
      <c r="G82" s="42" t="n">
        <v>2</v>
      </c>
      <c r="H82" s="42" t="n"/>
    </row>
    <row r="83" ht="15" customHeight="1" s="37">
      <c r="A83" s="42" t="inlineStr">
        <is>
          <t>marc jacobs perfect perfume</t>
        </is>
      </c>
      <c r="B83" s="42" t="inlineStr">
        <is>
          <t>Informational</t>
        </is>
      </c>
      <c r="C83" s="55" t="n">
        <v>1900</v>
      </c>
      <c r="D83" s="42" t="n">
        <v>24</v>
      </c>
      <c r="E83" s="56" t="n">
        <v>0.4</v>
      </c>
      <c r="F83" s="42" t="n">
        <v>1</v>
      </c>
      <c r="G83" s="42" t="inlineStr">
        <is>
          <t>T3-1</t>
        </is>
      </c>
      <c r="H83" s="42" t="n"/>
    </row>
    <row r="84" ht="15" customHeight="1" s="37">
      <c r="A84" s="42" t="inlineStr">
        <is>
          <t>moisturiser for oily skin</t>
        </is>
      </c>
      <c r="B84" s="42" t="inlineStr">
        <is>
          <t>Informational Commercial</t>
        </is>
      </c>
      <c r="C84" s="55" t="n">
        <v>1900</v>
      </c>
      <c r="D84" s="42" t="n">
        <v>22</v>
      </c>
      <c r="E84" s="56" t="n">
        <v>0.73</v>
      </c>
      <c r="F84" s="42" t="n">
        <v>1</v>
      </c>
      <c r="G84" s="42" t="inlineStr">
        <is>
          <t>T2-2</t>
        </is>
      </c>
      <c r="H84" s="42" t="n"/>
    </row>
    <row r="85" ht="15" customHeight="1" s="37">
      <c r="A85" s="42" t="inlineStr">
        <is>
          <t>paloma picasso perfume</t>
        </is>
      </c>
      <c r="B85" s="42" t="inlineStr">
        <is>
          <t>Informational</t>
        </is>
      </c>
      <c r="C85" s="55" t="n">
        <v>1900</v>
      </c>
      <c r="D85" s="42" t="n">
        <v>23</v>
      </c>
      <c r="E85" s="56" t="n">
        <v>0.41</v>
      </c>
      <c r="F85" s="42" t="n">
        <v>1</v>
      </c>
      <c r="G85" s="42" t="inlineStr">
        <is>
          <t>T3-1</t>
        </is>
      </c>
      <c r="H85" s="42" t="n"/>
    </row>
    <row r="86" ht="15" customHeight="1" s="37">
      <c r="A86" s="42" t="inlineStr">
        <is>
          <t>tea tree face wash</t>
        </is>
      </c>
      <c r="B86" s="42" t="inlineStr">
        <is>
          <t>Informational Transactional</t>
        </is>
      </c>
      <c r="C86" s="55" t="n">
        <v>1900</v>
      </c>
      <c r="D86" s="42" t="n">
        <v>28</v>
      </c>
      <c r="E86" s="56" t="n">
        <v>0.66</v>
      </c>
      <c r="F86" s="42" t="n">
        <v>1</v>
      </c>
      <c r="G86" s="42" t="inlineStr">
        <is>
          <t>T2-2</t>
        </is>
      </c>
      <c r="H86" s="42" t="n"/>
    </row>
    <row r="87" ht="15" customHeight="1" s="37">
      <c r="A87" s="42" t="inlineStr">
        <is>
          <t>armaf perfume</t>
        </is>
      </c>
      <c r="B87" s="42" t="inlineStr">
        <is>
          <t>Informational Transactional</t>
        </is>
      </c>
      <c r="C87" s="55" t="n">
        <v>1600</v>
      </c>
      <c r="D87" s="42" t="n">
        <v>25</v>
      </c>
      <c r="E87" s="56" t="n">
        <v>0.31</v>
      </c>
      <c r="F87" s="42" t="n">
        <v>1</v>
      </c>
      <c r="G87" s="42" t="n">
        <v>1</v>
      </c>
      <c r="H87" s="42" t="n"/>
    </row>
    <row r="88" ht="15" customHeight="1" s="37">
      <c r="A88" s="42" t="inlineStr">
        <is>
          <t>face wash for dry skin</t>
        </is>
      </c>
      <c r="B88" s="42" t="inlineStr">
        <is>
          <t>Informational Commercial</t>
        </is>
      </c>
      <c r="C88" s="55" t="n">
        <v>1600</v>
      </c>
      <c r="D88" s="42" t="n">
        <v>29</v>
      </c>
      <c r="E88" s="56" t="n">
        <v>0.85</v>
      </c>
      <c r="F88" s="42" t="n">
        <v>1</v>
      </c>
      <c r="G88" s="42" t="n">
        <v>3</v>
      </c>
      <c r="H88" s="42" t="n"/>
    </row>
    <row r="89" ht="15" customHeight="1" s="37">
      <c r="A89" s="42" t="inlineStr">
        <is>
          <t>face wash for oily skin</t>
        </is>
      </c>
      <c r="B89" s="42" t="inlineStr">
        <is>
          <t>Informational</t>
        </is>
      </c>
      <c r="C89" s="55" t="n">
        <v>1600</v>
      </c>
      <c r="D89" s="42" t="n">
        <v>33</v>
      </c>
      <c r="E89" s="56" t="n">
        <v>1.19</v>
      </c>
      <c r="F89" s="42" t="n">
        <v>1</v>
      </c>
      <c r="G89" s="42" t="n">
        <v>3</v>
      </c>
      <c r="H89" s="42" t="n"/>
    </row>
    <row r="90" ht="15" customHeight="1" s="37">
      <c r="A90" s="42" t="inlineStr">
        <is>
          <t>face wash for sensitive skin</t>
        </is>
      </c>
      <c r="B90" s="42" t="inlineStr">
        <is>
          <t>Informational</t>
        </is>
      </c>
      <c r="C90" s="55" t="n">
        <v>1600</v>
      </c>
      <c r="D90" s="42" t="n">
        <v>22</v>
      </c>
      <c r="E90" s="56" t="n">
        <v>1.13</v>
      </c>
      <c r="F90" s="42" t="n">
        <v>1</v>
      </c>
      <c r="G90" s="42" t="inlineStr">
        <is>
          <t>T2-3</t>
        </is>
      </c>
      <c r="H90" s="42" t="n"/>
    </row>
    <row r="91" ht="15" customHeight="1" s="37">
      <c r="A91" s="42" t="inlineStr">
        <is>
          <t>game of spades full house</t>
        </is>
      </c>
      <c r="B91" s="42" t="inlineStr">
        <is>
          <t>Informational</t>
        </is>
      </c>
      <c r="C91" s="55" t="n">
        <v>1600</v>
      </c>
      <c r="D91" s="42" t="n">
        <v>29</v>
      </c>
      <c r="E91" s="56" t="n">
        <v>0.55</v>
      </c>
      <c r="F91" s="42" t="n">
        <v>1</v>
      </c>
      <c r="G91" s="42" t="n">
        <v>6</v>
      </c>
      <c r="H91" s="42" t="n"/>
    </row>
    <row r="92" ht="15" customHeight="1" s="37">
      <c r="A92" s="42" t="inlineStr">
        <is>
          <t>gucci guilty pour homme</t>
        </is>
      </c>
      <c r="B92" s="42" t="inlineStr">
        <is>
          <t>Informational</t>
        </is>
      </c>
      <c r="C92" s="55" t="n">
        <v>1600</v>
      </c>
      <c r="D92" s="42" t="n">
        <v>23</v>
      </c>
      <c r="E92" s="56" t="n">
        <v>0.42</v>
      </c>
      <c r="F92" s="42" t="n">
        <v>1</v>
      </c>
      <c r="G92" s="42" t="n">
        <v>6</v>
      </c>
      <c r="H92" s="42" t="n"/>
    </row>
    <row r="93" ht="15" customHeight="1" s="37">
      <c r="A93" s="42" t="inlineStr">
        <is>
          <t>natural skincare</t>
        </is>
      </c>
      <c r="B93" s="42" t="inlineStr">
        <is>
          <t>Informational</t>
        </is>
      </c>
      <c r="C93" s="55" t="n">
        <v>1600</v>
      </c>
      <c r="D93" s="42" t="n">
        <v>55</v>
      </c>
      <c r="E93" s="56" t="n">
        <v>1.65</v>
      </c>
      <c r="F93" s="42" t="n">
        <v>1</v>
      </c>
      <c r="G93" s="42" t="inlineStr">
        <is>
          <t>T2-2</t>
        </is>
      </c>
      <c r="H93" s="42" t="n"/>
    </row>
    <row r="94" ht="15" customHeight="1" s="37">
      <c r="A94" s="42" t="inlineStr">
        <is>
          <t>shampoo for dandruff</t>
        </is>
      </c>
      <c r="B94" s="42" t="inlineStr">
        <is>
          <t>Informational</t>
        </is>
      </c>
      <c r="C94" s="55" t="n">
        <v>1600</v>
      </c>
      <c r="D94" s="42" t="n">
        <v>31</v>
      </c>
      <c r="E94" s="56" t="n">
        <v>1.05</v>
      </c>
      <c r="F94" s="42" t="n">
        <v>1</v>
      </c>
      <c r="G94" s="42" t="n">
        <v>3</v>
      </c>
      <c r="H94" s="42" t="n"/>
    </row>
    <row r="95" ht="15" customHeight="1" s="37">
      <c r="A95" s="42" t="inlineStr">
        <is>
          <t>shampoo for dry hair</t>
        </is>
      </c>
      <c r="B95" s="42" t="inlineStr">
        <is>
          <t>Informational</t>
        </is>
      </c>
      <c r="C95" s="55" t="n">
        <v>1600</v>
      </c>
      <c r="D95" s="42" t="n">
        <v>29</v>
      </c>
      <c r="E95" s="56" t="n">
        <v>0.87</v>
      </c>
      <c r="F95" s="42" t="n">
        <v>1</v>
      </c>
      <c r="G95" s="42" t="inlineStr">
        <is>
          <t>T2-3</t>
        </is>
      </c>
      <c r="H95" s="42" t="n"/>
    </row>
    <row r="96" ht="15" customHeight="1" s="37">
      <c r="A96" s="42" t="inlineStr">
        <is>
          <t>tom ford noir extreme parfum</t>
        </is>
      </c>
      <c r="B96" s="42" t="inlineStr">
        <is>
          <t>Informational</t>
        </is>
      </c>
      <c r="C96" s="55" t="n">
        <v>1600</v>
      </c>
      <c r="D96" s="42" t="n">
        <v>16</v>
      </c>
      <c r="E96" s="56" t="n">
        <v>0.5</v>
      </c>
      <c r="F96" s="42" t="n">
        <v>1</v>
      </c>
      <c r="G96" s="42" t="inlineStr">
        <is>
          <t>T2-1</t>
        </is>
      </c>
      <c r="H96" s="42" t="n"/>
    </row>
    <row r="97" ht="15" customHeight="1" s="37">
      <c r="A97" s="42" t="inlineStr">
        <is>
          <t>tom ford perfume for men</t>
        </is>
      </c>
      <c r="B97" s="42" t="inlineStr">
        <is>
          <t>Informational Transactional</t>
        </is>
      </c>
      <c r="C97" s="55" t="n">
        <v>1600</v>
      </c>
      <c r="D97" s="42" t="n">
        <v>39</v>
      </c>
      <c r="E97" s="56" t="n">
        <v>0.35</v>
      </c>
      <c r="F97" s="42" t="n">
        <v>1</v>
      </c>
      <c r="G97" s="42" t="n">
        <v>2</v>
      </c>
      <c r="H97" s="42" t="n"/>
    </row>
    <row r="98" ht="15" customHeight="1" s="37">
      <c r="A98" s="42" t="inlineStr">
        <is>
          <t>bentley azure</t>
        </is>
      </c>
      <c r="B98" s="42" t="inlineStr">
        <is>
          <t>Informational Transactional</t>
        </is>
      </c>
      <c r="C98" s="55" t="n">
        <v>1300</v>
      </c>
      <c r="D98" s="42" t="n">
        <v>19</v>
      </c>
      <c r="E98" s="56" t="n">
        <v>0.34</v>
      </c>
      <c r="F98" s="42" t="n">
        <v>1</v>
      </c>
      <c r="G98" s="42" t="n">
        <v>4</v>
      </c>
      <c r="H98" s="42" t="n"/>
    </row>
    <row r="99" ht="15" customHeight="1" s="37">
      <c r="A99" s="42" t="inlineStr">
        <is>
          <t>body lotion for dry skin</t>
        </is>
      </c>
      <c r="B99" s="42" t="inlineStr">
        <is>
          <t>Informational</t>
        </is>
      </c>
      <c r="C99" s="55" t="n">
        <v>1300</v>
      </c>
      <c r="D99" s="42" t="n">
        <v>11</v>
      </c>
      <c r="E99" s="56" t="n">
        <v>0.77</v>
      </c>
      <c r="F99" s="42" t="n">
        <v>1</v>
      </c>
      <c r="G99" s="42" t="n">
        <v>2</v>
      </c>
      <c r="H99" s="42" t="n"/>
    </row>
    <row r="100" ht="15" customHeight="1" s="37">
      <c r="A100" s="42" t="inlineStr">
        <is>
          <t>davidoff perfume</t>
        </is>
      </c>
      <c r="B100" s="42" t="inlineStr">
        <is>
          <t>Informational</t>
        </is>
      </c>
      <c r="C100" s="55" t="n">
        <v>1300</v>
      </c>
      <c r="D100" s="42" t="n">
        <v>18</v>
      </c>
      <c r="E100" s="56" t="n">
        <v>0.35</v>
      </c>
      <c r="F100" s="42" t="n">
        <v>1</v>
      </c>
      <c r="G100" s="42" t="n">
        <v>1</v>
      </c>
      <c r="H100" s="42" t="n"/>
    </row>
    <row r="101" ht="15" customHeight="1" s="37">
      <c r="A101" s="42" t="inlineStr">
        <is>
          <t>dolce &amp; gabbana perfume</t>
        </is>
      </c>
      <c r="B101" s="42" t="inlineStr">
        <is>
          <t>Informational Transactional</t>
        </is>
      </c>
      <c r="C101" s="55" t="n">
        <v>1300</v>
      </c>
      <c r="D101" s="42" t="n">
        <v>28</v>
      </c>
      <c r="E101" s="56" t="n">
        <v>0.3</v>
      </c>
      <c r="F101" s="42" t="n">
        <v>1</v>
      </c>
      <c r="G101" s="42" t="n">
        <v>1</v>
      </c>
      <c r="H101" s="42" t="n"/>
    </row>
    <row r="102" ht="15" customHeight="1" s="37">
      <c r="A102" s="42" t="inlineStr">
        <is>
          <t>hugo boss hugo man</t>
        </is>
      </c>
      <c r="B102" s="42" t="inlineStr">
        <is>
          <t>Informational</t>
        </is>
      </c>
      <c r="C102" s="55" t="n">
        <v>1300</v>
      </c>
      <c r="D102" s="42" t="n">
        <v>23</v>
      </c>
      <c r="E102" s="56" t="n">
        <v>0.58</v>
      </c>
      <c r="F102" s="42" t="n">
        <v>1</v>
      </c>
      <c r="G102" s="42" t="n">
        <v>6</v>
      </c>
      <c r="H102" s="42" t="n"/>
    </row>
    <row r="103" ht="15" customHeight="1" s="37">
      <c r="A103" s="42" t="inlineStr">
        <is>
          <t>mancera perfume</t>
        </is>
      </c>
      <c r="B103" s="42" t="inlineStr">
        <is>
          <t>Informational</t>
        </is>
      </c>
      <c r="C103" s="55" t="n">
        <v>1300</v>
      </c>
      <c r="D103" s="42" t="n">
        <v>22</v>
      </c>
      <c r="E103" s="56" t="n">
        <v>0.22</v>
      </c>
      <c r="F103" s="42" t="n">
        <v>1</v>
      </c>
      <c r="G103" s="42" t="n">
        <v>2</v>
      </c>
      <c r="H103" s="42" t="n"/>
    </row>
    <row r="104" ht="15" customHeight="1" s="37">
      <c r="A104" s="42" t="inlineStr">
        <is>
          <t>moisturiser for sensitive skin</t>
        </is>
      </c>
      <c r="B104" s="42" t="inlineStr">
        <is>
          <t>Informational</t>
        </is>
      </c>
      <c r="C104" s="55" t="n">
        <v>1300</v>
      </c>
      <c r="D104" s="42" t="n">
        <v>18</v>
      </c>
      <c r="E104" s="56" t="n">
        <v>1.13</v>
      </c>
      <c r="F104" s="42" t="n">
        <v>1</v>
      </c>
      <c r="G104" s="42" t="inlineStr">
        <is>
          <t>T2-3</t>
        </is>
      </c>
      <c r="H104" s="42" t="n"/>
    </row>
    <row r="105" ht="15" customHeight="1" s="37">
      <c r="A105" s="42" t="inlineStr">
        <is>
          <t>natural body wash</t>
        </is>
      </c>
      <c r="B105" s="42" t="inlineStr">
        <is>
          <t>Informational Commercial</t>
        </is>
      </c>
      <c r="C105" s="55" t="n">
        <v>1300</v>
      </c>
      <c r="D105" s="42" t="n">
        <v>19</v>
      </c>
      <c r="E105" s="56" t="n">
        <v>0.9399999999999999</v>
      </c>
      <c r="F105" s="42" t="n">
        <v>1</v>
      </c>
      <c r="G105" s="42" t="inlineStr">
        <is>
          <t>T2-2</t>
        </is>
      </c>
      <c r="H105" s="42" t="n"/>
    </row>
    <row r="106" ht="15" customHeight="1" s="37">
      <c r="A106" s="42" t="inlineStr">
        <is>
          <t>natural lip balm</t>
        </is>
      </c>
      <c r="B106" s="42" t="inlineStr">
        <is>
          <t>Informational</t>
        </is>
      </c>
      <c r="C106" s="55" t="n">
        <v>1300</v>
      </c>
      <c r="D106" s="42" t="n">
        <v>10</v>
      </c>
      <c r="E106" s="56" t="n">
        <v>0.66</v>
      </c>
      <c r="F106" s="42" t="n">
        <v>1</v>
      </c>
      <c r="G106" s="42" t="inlineStr">
        <is>
          <t>T2-2</t>
        </is>
      </c>
      <c r="H106" s="42" t="n"/>
    </row>
    <row r="107" ht="15" customHeight="1" s="37">
      <c r="A107" s="42" t="inlineStr">
        <is>
          <t>nina ricci l'air du temps</t>
        </is>
      </c>
      <c r="B107" s="42" t="inlineStr">
        <is>
          <t>Informational Transactional</t>
        </is>
      </c>
      <c r="C107" s="55" t="n">
        <v>1300</v>
      </c>
      <c r="D107" s="42" t="n">
        <v>13</v>
      </c>
      <c r="E107" s="56" t="n">
        <v>0.33</v>
      </c>
      <c r="F107" s="42" t="n">
        <v>1</v>
      </c>
      <c r="G107" s="42" t="n">
        <v>7</v>
      </c>
      <c r="H107" s="42" t="n"/>
    </row>
    <row r="108" ht="15" customHeight="1" s="37">
      <c r="A108" s="42" t="inlineStr">
        <is>
          <t>rice water shampoo</t>
        </is>
      </c>
      <c r="B108" s="42" t="inlineStr">
        <is>
          <t>Informational</t>
        </is>
      </c>
      <c r="C108" s="55" t="n">
        <v>1300</v>
      </c>
      <c r="D108" s="42" t="n">
        <v>13</v>
      </c>
      <c r="E108" s="56" t="n">
        <v>0.66</v>
      </c>
      <c r="F108" s="42" t="n">
        <v>1</v>
      </c>
      <c r="G108" s="42" t="inlineStr">
        <is>
          <t>T2-2</t>
        </is>
      </c>
      <c r="H108" s="42" t="n"/>
    </row>
    <row r="109" ht="15" customHeight="1" s="37">
      <c r="A109" s="42" t="inlineStr">
        <is>
          <t>skincare for dry skin</t>
        </is>
      </c>
      <c r="B109" s="42" t="inlineStr">
        <is>
          <t>Informational</t>
        </is>
      </c>
      <c r="C109" s="55" t="n">
        <v>1300</v>
      </c>
      <c r="D109" s="42" t="n">
        <v>16</v>
      </c>
      <c r="E109" s="56" t="n">
        <v>1.47</v>
      </c>
      <c r="F109" s="42" t="n">
        <v>1</v>
      </c>
      <c r="G109" s="42" t="inlineStr">
        <is>
          <t>T2-2</t>
        </is>
      </c>
      <c r="H109" s="42" t="n"/>
    </row>
    <row r="110" ht="15" customHeight="1" s="37">
      <c r="A110" s="42" t="inlineStr">
        <is>
          <t>acqua di parma perfume</t>
        </is>
      </c>
      <c r="B110" s="42" t="inlineStr">
        <is>
          <t>Informational</t>
        </is>
      </c>
      <c r="C110" s="55" t="n">
        <v>1000</v>
      </c>
      <c r="D110" s="42" t="n">
        <v>34</v>
      </c>
      <c r="E110" s="56" t="n">
        <v>0.34</v>
      </c>
      <c r="F110" s="42" t="n">
        <v>1</v>
      </c>
      <c r="G110" s="42" t="n">
        <v>1</v>
      </c>
      <c r="H110" s="42" t="n"/>
    </row>
    <row r="111" ht="15" customHeight="1" s="37">
      <c r="A111" s="42" t="inlineStr">
        <is>
          <t>calvin klein defy</t>
        </is>
      </c>
      <c r="B111" s="42" t="inlineStr">
        <is>
          <t>Informational</t>
        </is>
      </c>
      <c r="C111" s="55" t="n">
        <v>1000</v>
      </c>
      <c r="D111" s="42" t="n">
        <v>18</v>
      </c>
      <c r="E111" s="56" t="n">
        <v>0.42</v>
      </c>
      <c r="F111" s="42" t="n">
        <v>1</v>
      </c>
      <c r="G111" s="42" t="n">
        <v>4</v>
      </c>
      <c r="H111" s="42" t="n"/>
    </row>
    <row r="112" ht="15" customHeight="1" s="37">
      <c r="A112" s="42" t="inlineStr">
        <is>
          <t>conditioner for dry hair</t>
        </is>
      </c>
      <c r="B112" s="42" t="inlineStr">
        <is>
          <t>Informational</t>
        </is>
      </c>
      <c r="C112" s="55" t="n">
        <v>1000</v>
      </c>
      <c r="D112" s="42" t="n">
        <v>22</v>
      </c>
      <c r="E112" s="56" t="n">
        <v>0.74</v>
      </c>
      <c r="F112" s="42" t="n">
        <v>1</v>
      </c>
      <c r="G112" s="42" t="inlineStr">
        <is>
          <t>T2-3</t>
        </is>
      </c>
      <c r="H112" s="42" t="n"/>
    </row>
    <row r="113" ht="15" customHeight="1" s="37">
      <c r="A113" s="42" t="inlineStr">
        <is>
          <t>dior perfume for women</t>
        </is>
      </c>
      <c r="B113" s="42" t="inlineStr">
        <is>
          <t>Transactional</t>
        </is>
      </c>
      <c r="C113" s="55" t="n">
        <v>1000</v>
      </c>
      <c r="D113" s="42" t="n">
        <v>32</v>
      </c>
      <c r="E113" s="56" t="n">
        <v>0.53</v>
      </c>
      <c r="F113" s="42" t="n">
        <v>1</v>
      </c>
      <c r="G113" s="42" t="n">
        <v>1</v>
      </c>
      <c r="H113" s="42" t="n"/>
    </row>
    <row r="114" ht="15" customHeight="1" s="37">
      <c r="A114" s="42" t="inlineStr">
        <is>
          <t>gucci perfume for women</t>
        </is>
      </c>
      <c r="B114" s="42" t="inlineStr">
        <is>
          <t>Informational Transactional</t>
        </is>
      </c>
      <c r="C114" s="55" t="n">
        <v>1000</v>
      </c>
      <c r="D114" s="42" t="n">
        <v>33</v>
      </c>
      <c r="E114" s="56" t="n">
        <v>0.32</v>
      </c>
      <c r="F114" s="42" t="n">
        <v>1</v>
      </c>
      <c r="G114" s="42" t="n">
        <v>2</v>
      </c>
      <c r="H114" s="42" t="n"/>
    </row>
    <row r="115" ht="15" customHeight="1" s="37">
      <c r="A115" s="42" t="inlineStr">
        <is>
          <t>hair serum for frizzy hair</t>
        </is>
      </c>
      <c r="B115" s="42" t="inlineStr">
        <is>
          <t>Informational</t>
        </is>
      </c>
      <c r="C115" s="55" t="n">
        <v>1000</v>
      </c>
      <c r="D115" s="42" t="n">
        <v>27</v>
      </c>
      <c r="E115" s="56" t="n">
        <v>0.72</v>
      </c>
      <c r="F115" s="42" t="n">
        <v>1</v>
      </c>
      <c r="G115" s="42" t="n">
        <v>3</v>
      </c>
      <c r="H115" s="42" t="n"/>
    </row>
    <row r="116" ht="15" customHeight="1" s="37">
      <c r="A116" s="42" t="inlineStr">
        <is>
          <t>hollister perfume</t>
        </is>
      </c>
      <c r="B116" s="42" t="inlineStr">
        <is>
          <t>Informational Transactional</t>
        </is>
      </c>
      <c r="C116" s="55" t="n">
        <v>1000</v>
      </c>
      <c r="D116" s="42" t="n">
        <v>22</v>
      </c>
      <c r="E116" s="56" t="n">
        <v>0.29</v>
      </c>
      <c r="F116" s="42" t="n">
        <v>1</v>
      </c>
      <c r="G116" s="42" t="n">
        <v>2</v>
      </c>
      <c r="H116" s="42" t="n"/>
    </row>
    <row r="117" ht="15" customHeight="1" s="37">
      <c r="A117" s="42" t="inlineStr">
        <is>
          <t>lip balm for dry lips</t>
        </is>
      </c>
      <c r="B117" s="42" t="inlineStr">
        <is>
          <t>Informational Commercial</t>
        </is>
      </c>
      <c r="C117" s="55" t="n">
        <v>1000</v>
      </c>
      <c r="D117" s="42" t="n">
        <v>41</v>
      </c>
      <c r="E117" s="56" t="n">
        <v>0.76</v>
      </c>
      <c r="F117" s="42" t="n">
        <v>1</v>
      </c>
      <c r="G117" s="42" t="n">
        <v>3</v>
      </c>
      <c r="H117" s="42" t="n"/>
    </row>
    <row r="118" ht="15" customHeight="1" s="37">
      <c r="A118" s="42" t="inlineStr">
        <is>
          <t>moisturiser for combination skin</t>
        </is>
      </c>
      <c r="B118" s="42" t="inlineStr">
        <is>
          <t>Informational</t>
        </is>
      </c>
      <c r="C118" s="55" t="n">
        <v>1000</v>
      </c>
      <c r="D118" s="42" t="n">
        <v>26</v>
      </c>
      <c r="E118" s="56" t="n">
        <v>1.05</v>
      </c>
      <c r="F118" s="42" t="n">
        <v>1</v>
      </c>
      <c r="G118" s="42" t="inlineStr">
        <is>
          <t>T2-3</t>
        </is>
      </c>
      <c r="H118" s="42" t="n"/>
    </row>
    <row r="119" ht="15" customHeight="1" s="37">
      <c r="A119" s="42" t="inlineStr">
        <is>
          <t>natural deodorant for women</t>
        </is>
      </c>
      <c r="B119" s="42" t="inlineStr">
        <is>
          <t>Informational Commercial</t>
        </is>
      </c>
      <c r="C119" s="55" t="n">
        <v>1000</v>
      </c>
      <c r="D119" s="42" t="n">
        <v>28</v>
      </c>
      <c r="E119" s="56" t="n">
        <v>1.63</v>
      </c>
      <c r="F119" s="42" t="n">
        <v>1</v>
      </c>
      <c r="G119" s="42" t="inlineStr">
        <is>
          <t>T2-3</t>
        </is>
      </c>
      <c r="H119" s="42" t="n"/>
    </row>
    <row r="120" ht="15" customHeight="1" s="37">
      <c r="A120" s="42" t="inlineStr">
        <is>
          <t>natural moisturiser</t>
        </is>
      </c>
      <c r="B120" s="42" t="inlineStr">
        <is>
          <t>Informational</t>
        </is>
      </c>
      <c r="C120" s="55" t="n">
        <v>1000</v>
      </c>
      <c r="D120" s="42" t="n">
        <v>24</v>
      </c>
      <c r="E120" s="56" t="n">
        <v>0.92</v>
      </c>
      <c r="F120" s="42" t="n">
        <v>1</v>
      </c>
      <c r="G120" s="42" t="inlineStr">
        <is>
          <t>T2-3</t>
        </is>
      </c>
      <c r="H120" s="42" t="n"/>
    </row>
    <row r="121" ht="15" customHeight="1" s="37">
      <c r="A121" s="42" t="inlineStr">
        <is>
          <t>paraben free shampoo</t>
        </is>
      </c>
      <c r="B121" s="42" t="inlineStr">
        <is>
          <t>Informational</t>
        </is>
      </c>
      <c r="C121" s="55" t="n">
        <v>1000</v>
      </c>
      <c r="D121" s="42" t="n">
        <v>22</v>
      </c>
      <c r="E121" s="56" t="n">
        <v>0.83</v>
      </c>
      <c r="F121" s="42" t="n">
        <v>1</v>
      </c>
      <c r="G121" s="42" t="inlineStr">
        <is>
          <t>T2-3</t>
        </is>
      </c>
      <c r="H121" s="42" t="n"/>
    </row>
    <row r="122" ht="15" customHeight="1" s="37">
      <c r="A122" s="42" t="inlineStr">
        <is>
          <t>toner for oily skin</t>
        </is>
      </c>
      <c r="B122" s="42" t="inlineStr">
        <is>
          <t>Informational</t>
        </is>
      </c>
      <c r="C122" s="55" t="n">
        <v>1000</v>
      </c>
      <c r="D122" s="42" t="n">
        <v>19</v>
      </c>
      <c r="E122" s="56" t="n">
        <v>1.06</v>
      </c>
      <c r="F122" s="42" t="n">
        <v>1</v>
      </c>
      <c r="G122" s="42" t="inlineStr">
        <is>
          <t>T2-3</t>
        </is>
      </c>
      <c r="H122" s="42" t="n"/>
    </row>
    <row r="123" ht="15" customHeight="1" s="37">
      <c r="A123" s="42" t="inlineStr">
        <is>
          <t>under eye cream for dark circles</t>
        </is>
      </c>
      <c r="B123" s="42" t="inlineStr">
        <is>
          <t>Informational</t>
        </is>
      </c>
      <c r="C123" s="55" t="n">
        <v>1000</v>
      </c>
      <c r="D123" s="42" t="n">
        <v>20</v>
      </c>
      <c r="E123" s="56" t="n">
        <v>0.99</v>
      </c>
      <c r="F123" s="42" t="n">
        <v>1</v>
      </c>
      <c r="G123" s="42" t="inlineStr">
        <is>
          <t>T2-2</t>
        </is>
      </c>
      <c r="H123" s="42" t="n"/>
    </row>
    <row r="124" ht="15" customHeight="1" s="37">
      <c r="A124" s="42" t="inlineStr">
        <is>
          <t>vitamin c face wash</t>
        </is>
      </c>
      <c r="B124" s="42" t="inlineStr">
        <is>
          <t>Informational</t>
        </is>
      </c>
      <c r="C124" s="55" t="n">
        <v>1000</v>
      </c>
      <c r="D124" s="42" t="n">
        <v>21</v>
      </c>
      <c r="E124" s="56" t="n">
        <v>1.04</v>
      </c>
      <c r="F124" s="42" t="n">
        <v>1</v>
      </c>
      <c r="G124" s="42" t="inlineStr">
        <is>
          <t>T2-2</t>
        </is>
      </c>
      <c r="H124" s="42" t="n"/>
    </row>
    <row r="125" ht="15" customHeight="1" s="37">
      <c r="A125" s="42" t="inlineStr">
        <is>
          <t>al haramain l'aventure</t>
        </is>
      </c>
      <c r="B125" s="42" t="inlineStr">
        <is>
          <t>Informational Transactional</t>
        </is>
      </c>
      <c r="C125" s="55" t="n">
        <v>880</v>
      </c>
      <c r="D125" s="42" t="n">
        <v>21</v>
      </c>
      <c r="E125" s="56" t="n">
        <v>0.27</v>
      </c>
      <c r="F125" s="42" t="n">
        <v>1</v>
      </c>
      <c r="G125" s="42" t="n">
        <v>4</v>
      </c>
      <c r="H125" s="42" t="n"/>
    </row>
    <row r="126" ht="15" customHeight="1" s="37">
      <c r="A126" s="42" t="inlineStr">
        <is>
          <t>burberry perfume for women</t>
        </is>
      </c>
      <c r="B126" s="42" t="inlineStr">
        <is>
          <t>Informational Transactional</t>
        </is>
      </c>
      <c r="C126" s="55" t="n">
        <v>880</v>
      </c>
      <c r="D126" s="42" t="n">
        <v>31</v>
      </c>
      <c r="E126" s="56" t="n">
        <v>0.36</v>
      </c>
      <c r="F126" s="42" t="n">
        <v>1</v>
      </c>
      <c r="G126" s="42" t="n">
        <v>1</v>
      </c>
      <c r="H126" s="42" t="n"/>
    </row>
    <row r="127" ht="15" customHeight="1" s="37">
      <c r="A127" s="42" t="inlineStr">
        <is>
          <t>davidoff the game</t>
        </is>
      </c>
      <c r="B127" s="42" t="inlineStr">
        <is>
          <t>Informational</t>
        </is>
      </c>
      <c r="C127" s="55" t="n">
        <v>880</v>
      </c>
      <c r="D127" s="42" t="n">
        <v>16</v>
      </c>
      <c r="E127" s="56" t="n">
        <v>0.42</v>
      </c>
      <c r="F127" s="42" t="n">
        <v>1</v>
      </c>
      <c r="G127" s="42" t="n">
        <v>4</v>
      </c>
      <c r="H127" s="42" t="n"/>
    </row>
    <row r="128" ht="15" customHeight="1" s="37">
      <c r="A128" s="42" t="inlineStr">
        <is>
          <t>dior perfume for men</t>
        </is>
      </c>
      <c r="B128" s="42" t="inlineStr">
        <is>
          <t>Informational</t>
        </is>
      </c>
      <c r="C128" s="55" t="n">
        <v>880</v>
      </c>
      <c r="D128" s="42" t="n">
        <v>28</v>
      </c>
      <c r="E128" s="56" t="n">
        <v>0.53</v>
      </c>
      <c r="F128" s="42" t="n">
        <v>1</v>
      </c>
      <c r="G128" s="42" t="n">
        <v>1</v>
      </c>
      <c r="H128" s="42" t="n"/>
    </row>
    <row r="129" ht="15" customHeight="1" s="37">
      <c r="A129" s="42" t="inlineStr">
        <is>
          <t>game of spades wildcard</t>
        </is>
      </c>
      <c r="B129" s="42" t="inlineStr">
        <is>
          <t>Informational</t>
        </is>
      </c>
      <c r="C129" s="55" t="n">
        <v>880</v>
      </c>
      <c r="D129" s="42" t="n">
        <v>29</v>
      </c>
      <c r="E129" s="56" t="n">
        <v>0.5600000000000001</v>
      </c>
      <c r="F129" s="42" t="n">
        <v>1</v>
      </c>
      <c r="G129" s="42" t="n">
        <v>6</v>
      </c>
      <c r="H129" s="42" t="n"/>
    </row>
    <row r="130" ht="15" customHeight="1" s="37">
      <c r="A130" s="42" t="inlineStr">
        <is>
          <t>goat milk soap</t>
        </is>
      </c>
      <c r="B130" s="42" t="inlineStr">
        <is>
          <t>Informational</t>
        </is>
      </c>
      <c r="C130" s="55" t="n">
        <v>880</v>
      </c>
      <c r="D130" s="42" t="n">
        <v>15</v>
      </c>
      <c r="E130" s="56" t="n">
        <v>0.6899999999999999</v>
      </c>
      <c r="F130" s="42" t="n">
        <v>1</v>
      </c>
      <c r="G130" s="42" t="inlineStr">
        <is>
          <t>T2-2</t>
        </is>
      </c>
      <c r="H130" s="42" t="n"/>
    </row>
    <row r="131" ht="15" customHeight="1" s="37">
      <c r="A131" s="42" t="inlineStr">
        <is>
          <t>gucci perfume for men</t>
        </is>
      </c>
      <c r="B131" s="42" t="inlineStr">
        <is>
          <t>Informational Transactional</t>
        </is>
      </c>
      <c r="C131" s="55" t="n">
        <v>880</v>
      </c>
      <c r="D131" s="42" t="n">
        <v>15</v>
      </c>
      <c r="E131" s="56" t="n">
        <v>0.38</v>
      </c>
      <c r="F131" s="42" t="n">
        <v>1</v>
      </c>
      <c r="G131" s="42" t="n">
        <v>2</v>
      </c>
      <c r="H131" s="42" t="n"/>
    </row>
    <row r="132" ht="15" customHeight="1" s="37">
      <c r="A132" s="42" t="inlineStr">
        <is>
          <t>hair care gift set</t>
        </is>
      </c>
      <c r="B132" s="42" t="inlineStr">
        <is>
          <t>Informational</t>
        </is>
      </c>
      <c r="C132" s="55" t="n">
        <v>880</v>
      </c>
      <c r="D132" s="42" t="n">
        <v>12</v>
      </c>
      <c r="E132" s="56" t="n">
        <v>0.67</v>
      </c>
      <c r="F132" s="42" t="n">
        <v>1</v>
      </c>
      <c r="G132" s="42" t="inlineStr">
        <is>
          <t>T2-3</t>
        </is>
      </c>
      <c r="H132" s="42" t="n"/>
    </row>
    <row r="133" ht="15" customHeight="1" s="37">
      <c r="A133" s="42" t="inlineStr">
        <is>
          <t>kumkumadi oil</t>
        </is>
      </c>
      <c r="B133" s="42" t="inlineStr">
        <is>
          <t>Informational</t>
        </is>
      </c>
      <c r="C133" s="55" t="n">
        <v>880</v>
      </c>
      <c r="D133" s="42" t="n">
        <v>12</v>
      </c>
      <c r="E133" s="56" t="n">
        <v>0.39</v>
      </c>
      <c r="F133" s="42" t="n">
        <v>1</v>
      </c>
      <c r="G133" s="42" t="inlineStr">
        <is>
          <t>T2-2</t>
        </is>
      </c>
      <c r="H133" s="42" t="n"/>
    </row>
    <row r="134" ht="15" customHeight="1" s="37">
      <c r="A134" s="42" t="inlineStr">
        <is>
          <t>natural face wash</t>
        </is>
      </c>
      <c r="B134" s="42" t="inlineStr">
        <is>
          <t>Informational</t>
        </is>
      </c>
      <c r="C134" s="55" t="n">
        <v>880</v>
      </c>
      <c r="D134" s="42" t="n">
        <v>21</v>
      </c>
      <c r="E134" s="56" t="n">
        <v>1.03</v>
      </c>
      <c r="F134" s="42" t="n">
        <v>1</v>
      </c>
      <c r="G134" s="42" t="inlineStr">
        <is>
          <t>T2-3</t>
        </is>
      </c>
      <c r="H134" s="42" t="n"/>
    </row>
    <row r="135" ht="15" customHeight="1" s="37">
      <c r="A135" s="42" t="inlineStr">
        <is>
          <t>tom ford ebene fume</t>
        </is>
      </c>
      <c r="B135" s="42" t="inlineStr">
        <is>
          <t>Informational</t>
        </is>
      </c>
      <c r="C135" s="55" t="n">
        <v>880</v>
      </c>
      <c r="D135" s="42" t="n">
        <v>22</v>
      </c>
      <c r="E135" s="56" t="n">
        <v>0.59</v>
      </c>
      <c r="F135" s="42" t="n">
        <v>1</v>
      </c>
      <c r="G135" s="42" t="n">
        <v>8</v>
      </c>
      <c r="H135" s="42" t="n"/>
    </row>
    <row r="136" ht="15" customHeight="1" s="37">
      <c r="A136" s="42" t="inlineStr">
        <is>
          <t>acqua di parma zafferano</t>
        </is>
      </c>
      <c r="B136" s="42" t="inlineStr">
        <is>
          <t>Informational</t>
        </is>
      </c>
      <c r="C136" s="55" t="n">
        <v>720</v>
      </c>
      <c r="D136" s="42" t="n">
        <v>18</v>
      </c>
      <c r="E136" s="56" t="n">
        <v>0.47</v>
      </c>
      <c r="F136" s="42" t="n">
        <v>1</v>
      </c>
      <c r="G136" s="42" t="n">
        <v>4</v>
      </c>
      <c r="H136" s="42" t="n"/>
    </row>
    <row r="137" ht="15" customHeight="1" s="37">
      <c r="A137" s="42" t="inlineStr">
        <is>
          <t>bentley azure for sale</t>
        </is>
      </c>
      <c r="B137" s="42" t="inlineStr">
        <is>
          <t>Transactional</t>
        </is>
      </c>
      <c r="C137" s="55" t="n">
        <v>720</v>
      </c>
      <c r="D137" s="42" t="n">
        <v>16</v>
      </c>
      <c r="E137" s="56" t="n">
        <v>0.27</v>
      </c>
      <c r="F137" s="42" t="n">
        <v>1</v>
      </c>
      <c r="G137" s="42" t="inlineStr">
        <is>
          <t>T3-1</t>
        </is>
      </c>
      <c r="H137" s="42" t="n"/>
    </row>
    <row r="138" ht="15" customHeight="1" s="37">
      <c r="A138" s="42" t="inlineStr">
        <is>
          <t>bhringraj oil</t>
        </is>
      </c>
      <c r="B138" s="42" t="inlineStr">
        <is>
          <t>Informational</t>
        </is>
      </c>
      <c r="C138" s="55" t="n">
        <v>720</v>
      </c>
      <c r="D138" s="42" t="n">
        <v>20</v>
      </c>
      <c r="E138" s="56" t="n">
        <v>0.3</v>
      </c>
      <c r="F138" s="42" t="n">
        <v>1</v>
      </c>
      <c r="G138" s="42" t="inlineStr">
        <is>
          <t>T2-2</t>
        </is>
      </c>
      <c r="H138" s="42" t="n"/>
    </row>
    <row r="139" ht="15" customHeight="1" s="37">
      <c r="A139" s="42" t="inlineStr">
        <is>
          <t>chopard perfume</t>
        </is>
      </c>
      <c r="B139" s="42" t="inlineStr">
        <is>
          <t>Informational Transactional</t>
        </is>
      </c>
      <c r="C139" s="55" t="n">
        <v>720</v>
      </c>
      <c r="D139" s="42" t="n">
        <v>20</v>
      </c>
      <c r="E139" s="56" t="n">
        <v>0.39</v>
      </c>
      <c r="F139" s="42" t="n">
        <v>1</v>
      </c>
      <c r="G139" s="42" t="n">
        <v>1</v>
      </c>
      <c r="H139" s="42" t="n"/>
    </row>
    <row r="140" ht="15" customHeight="1" s="37">
      <c r="A140" s="42" t="inlineStr">
        <is>
          <t>dolce &amp; gabbana the one</t>
        </is>
      </c>
      <c r="B140" s="42" t="inlineStr">
        <is>
          <t>Informational Transactional</t>
        </is>
      </c>
      <c r="C140" s="55" t="n">
        <v>720</v>
      </c>
      <c r="D140" s="42" t="n">
        <v>17</v>
      </c>
      <c r="E140" s="56" t="n">
        <v>0.39</v>
      </c>
      <c r="F140" s="42" t="n">
        <v>1</v>
      </c>
      <c r="G140" s="42" t="n">
        <v>5</v>
      </c>
      <c r="H140" s="42" t="n"/>
    </row>
    <row r="141" ht="15" customHeight="1" s="37">
      <c r="A141" s="42" t="inlineStr">
        <is>
          <t>hair treatment for dry hair</t>
        </is>
      </c>
      <c r="B141" s="42" t="inlineStr">
        <is>
          <t>Informational</t>
        </is>
      </c>
      <c r="C141" s="55" t="n">
        <v>720</v>
      </c>
      <c r="D141" s="42" t="n">
        <v>25</v>
      </c>
      <c r="E141" s="56" t="n">
        <v>0.84</v>
      </c>
      <c r="F141" s="42" t="n">
        <v>1</v>
      </c>
      <c r="G141" s="42" t="n">
        <v>3</v>
      </c>
      <c r="H141" s="42" t="n"/>
    </row>
    <row r="142" ht="15" customHeight="1" s="37">
      <c r="A142" s="42" t="inlineStr">
        <is>
          <t>hugo boss alive</t>
        </is>
      </c>
      <c r="B142" s="42" t="inlineStr">
        <is>
          <t>Informational</t>
        </is>
      </c>
      <c r="C142" s="55" t="n">
        <v>720</v>
      </c>
      <c r="D142" s="42" t="n">
        <v>20</v>
      </c>
      <c r="E142" s="56" t="n">
        <v>0.44</v>
      </c>
      <c r="F142" s="42" t="n">
        <v>1</v>
      </c>
      <c r="G142" s="42" t="n">
        <v>6</v>
      </c>
      <c r="H142" s="42" t="n"/>
    </row>
    <row r="143" ht="15" customHeight="1" s="37">
      <c r="A143" s="42" t="inlineStr">
        <is>
          <t>hugo boss perfume for men</t>
        </is>
      </c>
      <c r="B143" s="42" t="inlineStr">
        <is>
          <t>Informational Transactional</t>
        </is>
      </c>
      <c r="C143" s="55" t="n">
        <v>720</v>
      </c>
      <c r="D143" s="42" t="n">
        <v>34</v>
      </c>
      <c r="E143" s="56" t="n">
        <v>0.36</v>
      </c>
      <c r="F143" s="42" t="n">
        <v>1</v>
      </c>
      <c r="G143" s="42" t="n">
        <v>2</v>
      </c>
      <c r="H143" s="42" t="n"/>
    </row>
    <row r="144" ht="15" customHeight="1" s="37">
      <c r="A144" s="42" t="inlineStr">
        <is>
          <t>hugo boss perfume for women</t>
        </is>
      </c>
      <c r="B144" s="42" t="inlineStr">
        <is>
          <t>Informational Transactional</t>
        </is>
      </c>
      <c r="C144" s="55" t="n">
        <v>720</v>
      </c>
      <c r="D144" s="42" t="n">
        <v>24</v>
      </c>
      <c r="E144" s="56" t="n">
        <v>0.35</v>
      </c>
      <c r="F144" s="42" t="n">
        <v>1</v>
      </c>
      <c r="G144" s="42" t="n">
        <v>2</v>
      </c>
      <c r="H144" s="42" t="n"/>
    </row>
    <row r="145" ht="15" customHeight="1" s="37">
      <c r="A145" s="42" t="inlineStr">
        <is>
          <t>lancome perfume for women</t>
        </is>
      </c>
      <c r="B145" s="42" t="inlineStr">
        <is>
          <t>Transactional</t>
        </is>
      </c>
      <c r="C145" s="55" t="n">
        <v>720</v>
      </c>
      <c r="D145" s="42" t="n">
        <v>28</v>
      </c>
      <c r="E145" s="56" t="n">
        <v>0.39</v>
      </c>
      <c r="F145" s="42" t="n">
        <v>1</v>
      </c>
      <c r="G145" s="42" t="n">
        <v>2</v>
      </c>
      <c r="H145" s="42" t="n"/>
    </row>
    <row r="146" ht="15" customHeight="1" s="37">
      <c r="A146" s="42" t="inlineStr">
        <is>
          <t>natural sunscreen uk</t>
        </is>
      </c>
      <c r="B146" s="42" t="inlineStr">
        <is>
          <t>Informational</t>
        </is>
      </c>
      <c r="C146" s="55" t="n">
        <v>720</v>
      </c>
      <c r="D146" s="42" t="n">
        <v>20</v>
      </c>
      <c r="E146" s="56" t="n">
        <v>0.57</v>
      </c>
      <c r="F146" s="42" t="n">
        <v>1</v>
      </c>
      <c r="G146" s="42" t="n">
        <v>3</v>
      </c>
      <c r="H146" s="42" t="n"/>
    </row>
    <row r="147" ht="15" customHeight="1" s="37">
      <c r="A147" s="42" t="inlineStr">
        <is>
          <t>serge lutens perfume</t>
        </is>
      </c>
      <c r="B147" s="42" t="inlineStr">
        <is>
          <t>Informational Transactional</t>
        </is>
      </c>
      <c r="C147" s="55" t="n">
        <v>720</v>
      </c>
      <c r="D147" s="42" t="n">
        <v>15</v>
      </c>
      <c r="E147" s="56" t="n">
        <v>0.31</v>
      </c>
      <c r="F147" s="42" t="n">
        <v>1</v>
      </c>
      <c r="G147" s="42" t="n">
        <v>2</v>
      </c>
      <c r="H147" s="42" t="n"/>
    </row>
    <row r="148" ht="15" customHeight="1" s="37">
      <c r="A148" s="42" t="inlineStr">
        <is>
          <t>sulphate free shampoo uk</t>
        </is>
      </c>
      <c r="B148" s="42" t="inlineStr">
        <is>
          <t>Informational</t>
        </is>
      </c>
      <c r="C148" s="55" t="n">
        <v>720</v>
      </c>
      <c r="D148" s="42" t="n">
        <v>26</v>
      </c>
      <c r="E148" s="56" t="n">
        <v>0.78</v>
      </c>
      <c r="F148" s="42" t="n">
        <v>1</v>
      </c>
      <c r="G148" s="42" t="inlineStr">
        <is>
          <t>T2-3</t>
        </is>
      </c>
      <c r="H148" s="42" t="n"/>
    </row>
    <row r="149" ht="15" customHeight="1" s="37">
      <c r="A149" s="42" t="inlineStr">
        <is>
          <t>tiziana terenzi kirke</t>
        </is>
      </c>
      <c r="B149" s="42" t="inlineStr">
        <is>
          <t>Informational Transactional</t>
        </is>
      </c>
      <c r="C149" s="55" t="n">
        <v>720</v>
      </c>
      <c r="D149" s="42" t="n">
        <v>19</v>
      </c>
      <c r="E149" s="56" t="n">
        <v>0.52</v>
      </c>
      <c r="F149" s="42" t="n">
        <v>1</v>
      </c>
      <c r="G149" s="42" t="n">
        <v>8</v>
      </c>
      <c r="H149" s="42" t="n"/>
    </row>
    <row r="150" ht="15" customHeight="1" s="37">
      <c r="A150" s="42" t="inlineStr">
        <is>
          <t>tom ford black orchid parfum</t>
        </is>
      </c>
      <c r="B150" s="42" t="inlineStr">
        <is>
          <t>Informational</t>
        </is>
      </c>
      <c r="C150" s="55" t="n">
        <v>720</v>
      </c>
      <c r="D150" s="42" t="n">
        <v>20</v>
      </c>
      <c r="E150" s="56" t="n">
        <v>0.42</v>
      </c>
      <c r="F150" s="42" t="n">
        <v>1</v>
      </c>
      <c r="G150" s="42" t="inlineStr">
        <is>
          <t>T2-1</t>
        </is>
      </c>
      <c r="H150" s="42" t="n"/>
    </row>
    <row r="151" ht="15" customHeight="1" s="37">
      <c r="A151" s="42" t="inlineStr">
        <is>
          <t>toner for dry skin</t>
        </is>
      </c>
      <c r="B151" s="42" t="inlineStr">
        <is>
          <t>Informational</t>
        </is>
      </c>
      <c r="C151" s="55" t="n">
        <v>720</v>
      </c>
      <c r="D151" s="42" t="n">
        <v>16</v>
      </c>
      <c r="E151" s="56" t="n">
        <v>0.77</v>
      </c>
      <c r="F151" s="42" t="n">
        <v>1</v>
      </c>
      <c r="G151" s="42" t="n">
        <v>3</v>
      </c>
      <c r="H151" s="42" t="n"/>
    </row>
    <row r="152" ht="15" customHeight="1" s="37">
      <c r="A152" s="42" t="inlineStr">
        <is>
          <t>trussardi perfume</t>
        </is>
      </c>
      <c r="B152" s="42" t="inlineStr">
        <is>
          <t>Informational</t>
        </is>
      </c>
      <c r="C152" s="55" t="n">
        <v>720</v>
      </c>
      <c r="D152" s="42" t="n">
        <v>15</v>
      </c>
      <c r="E152" s="56" t="n">
        <v>0</v>
      </c>
      <c r="F152" s="42" t="n">
        <v>1</v>
      </c>
      <c r="G152" s="42" t="n">
        <v>2</v>
      </c>
      <c r="H152" s="42" t="n"/>
    </row>
    <row r="153" ht="15" customHeight="1" s="37">
      <c r="A153" s="42" t="inlineStr">
        <is>
          <t>abercrombie &amp; fitch perfume</t>
        </is>
      </c>
      <c r="B153" s="42" t="inlineStr">
        <is>
          <t>Informational Transactional</t>
        </is>
      </c>
      <c r="C153" s="55" t="n">
        <v>590</v>
      </c>
      <c r="D153" s="42" t="n">
        <v>21</v>
      </c>
      <c r="E153" s="56" t="n">
        <v>0.3</v>
      </c>
      <c r="F153" s="42" t="n">
        <v>1</v>
      </c>
      <c r="G153" s="42" t="n">
        <v>1</v>
      </c>
      <c r="H153" s="42" t="n"/>
    </row>
    <row r="154" ht="15" customHeight="1" s="37">
      <c r="A154" s="42" t="inlineStr">
        <is>
          <t>al haramain amber oud gold edition</t>
        </is>
      </c>
      <c r="B154" s="42" t="inlineStr">
        <is>
          <t>Informational Transactional</t>
        </is>
      </c>
      <c r="C154" s="55" t="n">
        <v>590</v>
      </c>
      <c r="D154" s="42" t="n">
        <v>12</v>
      </c>
      <c r="E154" s="56" t="n">
        <v>0.32</v>
      </c>
      <c r="F154" s="42" t="n">
        <v>1</v>
      </c>
      <c r="G154" s="42" t="n">
        <v>4</v>
      </c>
      <c r="H154" s="42" t="n"/>
    </row>
    <row r="155" ht="15" customHeight="1" s="37">
      <c r="A155" s="42" t="inlineStr">
        <is>
          <t>antonio banderas perfume</t>
        </is>
      </c>
      <c r="B155" s="42" t="inlineStr">
        <is>
          <t>Informational</t>
        </is>
      </c>
      <c r="C155" s="55" t="n">
        <v>590</v>
      </c>
      <c r="D155" s="42" t="n">
        <v>18</v>
      </c>
      <c r="E155" s="56" t="n">
        <v>0.25</v>
      </c>
      <c r="F155" s="42" t="n">
        <v>1</v>
      </c>
      <c r="G155" s="42" t="n">
        <v>1</v>
      </c>
      <c r="H155" s="42" t="n"/>
    </row>
    <row r="156" ht="15" customHeight="1" s="37">
      <c r="A156" s="42" t="inlineStr">
        <is>
          <t>bath bar</t>
        </is>
      </c>
      <c r="B156" s="42" t="inlineStr">
        <is>
          <t>Commercial</t>
        </is>
      </c>
      <c r="C156" s="55" t="n">
        <v>590</v>
      </c>
      <c r="D156" s="42" t="n">
        <v>22</v>
      </c>
      <c r="E156" s="56" t="n">
        <v>0.4</v>
      </c>
      <c r="F156" s="42" t="n">
        <v>0.88</v>
      </c>
      <c r="G156" s="42" t="inlineStr">
        <is>
          <t>T2-3</t>
        </is>
      </c>
      <c r="H156" s="42" t="n"/>
    </row>
    <row r="157" ht="15" customHeight="1" s="37">
      <c r="A157" s="42" t="inlineStr">
        <is>
          <t>calvin klein perfume for men</t>
        </is>
      </c>
      <c r="B157" s="42" t="inlineStr">
        <is>
          <t>Informational</t>
        </is>
      </c>
      <c r="C157" s="55" t="n">
        <v>590</v>
      </c>
      <c r="D157" s="42" t="n">
        <v>14</v>
      </c>
      <c r="E157" s="56" t="n">
        <v>0.23</v>
      </c>
      <c r="F157" s="42" t="n">
        <v>1</v>
      </c>
      <c r="G157" s="42" t="n">
        <v>1</v>
      </c>
      <c r="H157" s="42" t="n"/>
    </row>
    <row r="158" ht="15" customHeight="1" s="37">
      <c r="A158" s="42" t="inlineStr">
        <is>
          <t>charcoal face wash</t>
        </is>
      </c>
      <c r="B158" s="42" t="inlineStr">
        <is>
          <t>Informational</t>
        </is>
      </c>
      <c r="C158" s="55" t="n">
        <v>590</v>
      </c>
      <c r="D158" s="42" t="n">
        <v>11</v>
      </c>
      <c r="E158" s="56" t="n">
        <v>0.7</v>
      </c>
      <c r="F158" s="42" t="n">
        <v>1</v>
      </c>
      <c r="G158" s="42" t="inlineStr">
        <is>
          <t>T2-2</t>
        </is>
      </c>
      <c r="H158" s="42" t="n"/>
    </row>
    <row r="159" ht="15" customHeight="1" s="37">
      <c r="A159" s="42" t="inlineStr">
        <is>
          <t>charcoal soap</t>
        </is>
      </c>
      <c r="B159" s="42" t="inlineStr">
        <is>
          <t>Informational</t>
        </is>
      </c>
      <c r="C159" s="55" t="n">
        <v>590</v>
      </c>
      <c r="D159" s="42" t="n">
        <v>9</v>
      </c>
      <c r="E159" s="56" t="n">
        <v>0.71</v>
      </c>
      <c r="F159" s="42" t="n">
        <v>1</v>
      </c>
      <c r="G159" s="42" t="inlineStr">
        <is>
          <t>T2-2</t>
        </is>
      </c>
      <c r="H159" s="42" t="n"/>
    </row>
    <row r="160" ht="15" customHeight="1" s="37">
      <c r="A160" s="42" t="inlineStr">
        <is>
          <t>chopard oud malaki</t>
        </is>
      </c>
      <c r="B160" s="42" t="inlineStr">
        <is>
          <t>Informational</t>
        </is>
      </c>
      <c r="C160" s="55" t="n">
        <v>590</v>
      </c>
      <c r="D160" s="42" t="n">
        <v>17</v>
      </c>
      <c r="E160" s="56" t="n">
        <v>0.6</v>
      </c>
      <c r="F160" s="42" t="n">
        <v>1</v>
      </c>
      <c r="G160" s="42" t="n">
        <v>4</v>
      </c>
      <c r="H160" s="42" t="n"/>
    </row>
    <row r="161" ht="15" customHeight="1" s="37">
      <c r="A161" s="42" t="inlineStr">
        <is>
          <t>dior sauvage price</t>
        </is>
      </c>
      <c r="B161" s="42" t="inlineStr">
        <is>
          <t>Transactional</t>
        </is>
      </c>
      <c r="C161" s="55" t="n">
        <v>590</v>
      </c>
      <c r="D161" s="42" t="n">
        <v>22</v>
      </c>
      <c r="E161" s="56" t="n">
        <v>0.32</v>
      </c>
      <c r="F161" s="42" t="n">
        <v>1</v>
      </c>
      <c r="G161" s="42" t="inlineStr">
        <is>
          <t>T3-1</t>
        </is>
      </c>
      <c r="H161" s="42" t="n"/>
    </row>
    <row r="162" ht="15" customHeight="1" s="37">
      <c r="A162" s="42" t="inlineStr">
        <is>
          <t>givenchy amarige</t>
        </is>
      </c>
      <c r="B162" s="42" t="inlineStr">
        <is>
          <t>Informational</t>
        </is>
      </c>
      <c r="C162" s="55" t="n">
        <v>590</v>
      </c>
      <c r="D162" s="42" t="n">
        <v>28</v>
      </c>
      <c r="E162" s="56" t="n">
        <v>0.51</v>
      </c>
      <c r="F162" s="42" t="n">
        <v>1</v>
      </c>
      <c r="G162" s="42" t="n">
        <v>6</v>
      </c>
      <c r="H162" s="42" t="n"/>
    </row>
    <row r="163" ht="15" customHeight="1" s="37">
      <c r="A163" s="42" t="inlineStr">
        <is>
          <t>givenchy perfume for women</t>
        </is>
      </c>
      <c r="B163" s="42" t="inlineStr">
        <is>
          <t>Informational</t>
        </is>
      </c>
      <c r="C163" s="55" t="n">
        <v>590</v>
      </c>
      <c r="D163" s="42" t="n">
        <v>26</v>
      </c>
      <c r="E163" s="56" t="n">
        <v>0.33</v>
      </c>
      <c r="F163" s="42" t="n">
        <v>1</v>
      </c>
      <c r="G163" s="42" t="n">
        <v>1</v>
      </c>
      <c r="H163" s="42" t="n"/>
    </row>
    <row r="164" ht="15" customHeight="1" s="37">
      <c r="A164" s="42" t="inlineStr">
        <is>
          <t>guerlain oud essentiel</t>
        </is>
      </c>
      <c r="B164" s="42" t="inlineStr">
        <is>
          <t>Informational Transactional</t>
        </is>
      </c>
      <c r="C164" s="55" t="n">
        <v>590</v>
      </c>
      <c r="D164" s="42" t="n">
        <v>19</v>
      </c>
      <c r="E164" s="56" t="n">
        <v>0.68</v>
      </c>
      <c r="F164" s="42" t="n">
        <v>1</v>
      </c>
      <c r="G164" s="42" t="n">
        <v>6</v>
      </c>
      <c r="H164" s="42" t="n"/>
    </row>
    <row r="165" ht="15" customHeight="1" s="37">
      <c r="A165" s="42" t="inlineStr">
        <is>
          <t>hair mask for hair growth</t>
        </is>
      </c>
      <c r="B165" s="42" t="inlineStr">
        <is>
          <t>Informational Commercial</t>
        </is>
      </c>
      <c r="C165" s="55" t="n">
        <v>590</v>
      </c>
      <c r="D165" s="42" t="n">
        <v>23</v>
      </c>
      <c r="E165" s="56" t="n">
        <v>1</v>
      </c>
      <c r="F165" s="42" t="n">
        <v>1</v>
      </c>
      <c r="G165" s="42" t="inlineStr">
        <is>
          <t>T2-3</t>
        </is>
      </c>
      <c r="H165" s="42" t="n"/>
    </row>
    <row r="166" ht="15" customHeight="1" s="37">
      <c r="A166" s="42" t="inlineStr">
        <is>
          <t>rose water toner</t>
        </is>
      </c>
      <c r="B166" s="42" t="inlineStr">
        <is>
          <t>Informational</t>
        </is>
      </c>
      <c r="C166" s="55" t="n">
        <v>590</v>
      </c>
      <c r="D166" s="42" t="n">
        <v>22</v>
      </c>
      <c r="E166" s="56" t="n">
        <v>0.8100000000000001</v>
      </c>
      <c r="F166" s="42" t="n">
        <v>1</v>
      </c>
      <c r="G166" s="42" t="inlineStr">
        <is>
          <t>T2-2</t>
        </is>
      </c>
      <c r="H166" s="42" t="n"/>
    </row>
    <row r="167" ht="15" customHeight="1" s="37">
      <c r="A167" s="42" t="inlineStr">
        <is>
          <t>acqua di parma sandalo</t>
        </is>
      </c>
      <c r="B167" s="42" t="inlineStr">
        <is>
          <t>Informational</t>
        </is>
      </c>
      <c r="C167" s="55" t="n">
        <v>480</v>
      </c>
      <c r="D167" s="42" t="n">
        <v>13</v>
      </c>
      <c r="E167" s="56" t="n">
        <v>0.55</v>
      </c>
      <c r="F167" s="42" t="n">
        <v>1</v>
      </c>
      <c r="G167" s="42" t="n">
        <v>4</v>
      </c>
      <c r="H167" s="42" t="n"/>
    </row>
    <row r="168" ht="15" customHeight="1" s="37">
      <c r="A168" s="42" t="inlineStr">
        <is>
          <t>al haramain amber oud tobacco edition</t>
        </is>
      </c>
      <c r="B168" s="42" t="inlineStr">
        <is>
          <t>Informational</t>
        </is>
      </c>
      <c r="C168" s="55" t="n">
        <v>480</v>
      </c>
      <c r="D168" s="42" t="n">
        <v>15</v>
      </c>
      <c r="E168" s="56" t="n">
        <v>0.33</v>
      </c>
      <c r="F168" s="42" t="n">
        <v>1</v>
      </c>
      <c r="G168" s="42" t="n">
        <v>4</v>
      </c>
      <c r="H168" s="42" t="n"/>
    </row>
    <row r="169" ht="15" customHeight="1" s="37">
      <c r="A169" s="42" t="inlineStr">
        <is>
          <t>calvin klein perfume for women</t>
        </is>
      </c>
      <c r="B169" s="42" t="inlineStr">
        <is>
          <t>Informational</t>
        </is>
      </c>
      <c r="C169" s="55" t="n">
        <v>480</v>
      </c>
      <c r="D169" s="42" t="n">
        <v>21</v>
      </c>
      <c r="E169" s="56" t="n">
        <v>0.32</v>
      </c>
      <c r="F169" s="42" t="n">
        <v>1</v>
      </c>
      <c r="G169" s="42" t="n">
        <v>1</v>
      </c>
      <c r="H169" s="42" t="n"/>
    </row>
    <row r="170" ht="15" customHeight="1" s="37">
      <c r="A170" s="42" t="inlineStr">
        <is>
          <t>cocoa butter body lotion</t>
        </is>
      </c>
      <c r="B170" s="42" t="inlineStr">
        <is>
          <t>Informational</t>
        </is>
      </c>
      <c r="C170" s="55" t="n">
        <v>480</v>
      </c>
      <c r="D170" s="42" t="n">
        <v>19</v>
      </c>
      <c r="E170" s="56" t="n">
        <v>0.46</v>
      </c>
      <c r="F170" s="42" t="n">
        <v>1</v>
      </c>
      <c r="G170" s="42" t="inlineStr">
        <is>
          <t>T2-3</t>
        </is>
      </c>
      <c r="H170" s="42" t="n"/>
    </row>
    <row r="171" ht="15" customHeight="1" s="37">
      <c r="A171" s="42" t="inlineStr">
        <is>
          <t>davidoff champion</t>
        </is>
      </c>
      <c r="B171" s="42" t="inlineStr">
        <is>
          <t>Informational</t>
        </is>
      </c>
      <c r="C171" s="55" t="n">
        <v>480</v>
      </c>
      <c r="D171" s="42" t="n">
        <v>20</v>
      </c>
      <c r="E171" s="56" t="n">
        <v>0.46</v>
      </c>
      <c r="F171" s="42" t="n">
        <v>1</v>
      </c>
      <c r="G171" s="42" t="n">
        <v>4</v>
      </c>
      <c r="H171" s="42" t="n"/>
    </row>
    <row r="172" ht="15" customHeight="1" s="37">
      <c r="A172" s="42" t="inlineStr">
        <is>
          <t>dolce &amp; gabbana the one for men</t>
        </is>
      </c>
      <c r="B172" s="42" t="inlineStr">
        <is>
          <t>Informational Transactional</t>
        </is>
      </c>
      <c r="C172" s="55" t="n">
        <v>480</v>
      </c>
      <c r="D172" s="42" t="n">
        <v>16</v>
      </c>
      <c r="E172" s="56" t="n">
        <v>0.44</v>
      </c>
      <c r="F172" s="42" t="n">
        <v>1</v>
      </c>
      <c r="G172" s="42" t="inlineStr">
        <is>
          <t>T3-1</t>
        </is>
      </c>
      <c r="H172" s="42" t="n"/>
    </row>
    <row r="173" ht="15" customHeight="1" s="37">
      <c r="A173" s="42" t="inlineStr">
        <is>
          <t>elie saab elixir</t>
        </is>
      </c>
      <c r="B173" s="42" t="inlineStr">
        <is>
          <t>Informational</t>
        </is>
      </c>
      <c r="C173" s="55" t="n">
        <v>480</v>
      </c>
      <c r="D173" s="42" t="n">
        <v>22</v>
      </c>
      <c r="E173" s="56" t="n">
        <v>0.51</v>
      </c>
      <c r="F173" s="42" t="n">
        <v>1</v>
      </c>
      <c r="G173" s="42" t="n">
        <v>5</v>
      </c>
      <c r="H173" s="42" t="n"/>
    </row>
    <row r="174" ht="15" customHeight="1" s="37">
      <c r="A174" s="42" t="inlineStr">
        <is>
          <t>face serum for glowing skin</t>
        </is>
      </c>
      <c r="B174" s="42" t="inlineStr">
        <is>
          <t>Informational</t>
        </is>
      </c>
      <c r="C174" s="55" t="n">
        <v>480</v>
      </c>
      <c r="D174" s="42" t="n">
        <v>29</v>
      </c>
      <c r="E174" s="56" t="n">
        <v>0.8100000000000001</v>
      </c>
      <c r="F174" s="42" t="n">
        <v>1</v>
      </c>
      <c r="G174" s="42" t="inlineStr">
        <is>
          <t>T2-3</t>
        </is>
      </c>
      <c r="H174" s="42" t="n"/>
    </row>
    <row r="175" ht="15" customHeight="1" s="37">
      <c r="A175" s="42" t="inlineStr">
        <is>
          <t>guerlain habit rouge</t>
        </is>
      </c>
      <c r="B175" s="42" t="inlineStr">
        <is>
          <t>Informational Transactional</t>
        </is>
      </c>
      <c r="C175" s="55" t="n">
        <v>480</v>
      </c>
      <c r="D175" s="42" t="n">
        <v>23</v>
      </c>
      <c r="E175" s="56" t="n">
        <v>0.9</v>
      </c>
      <c r="F175" s="42" t="n">
        <v>1</v>
      </c>
      <c r="G175" s="42" t="n">
        <v>6</v>
      </c>
      <c r="H175" s="42" t="n"/>
    </row>
    <row r="176" ht="15" customHeight="1" s="37">
      <c r="A176" s="42" t="inlineStr">
        <is>
          <t>guerlain samsara</t>
        </is>
      </c>
      <c r="B176" s="42" t="inlineStr">
        <is>
          <t>Informational Transactional</t>
        </is>
      </c>
      <c r="C176" s="55" t="n">
        <v>480</v>
      </c>
      <c r="D176" s="42" t="n">
        <v>28</v>
      </c>
      <c r="E176" s="56" t="n">
        <v>0.68</v>
      </c>
      <c r="F176" s="42" t="n">
        <v>1</v>
      </c>
      <c r="G176" s="42" t="n">
        <v>6</v>
      </c>
      <c r="H176" s="42" t="n"/>
    </row>
    <row r="177" ht="15" customHeight="1" s="37">
      <c r="A177" s="42" t="inlineStr">
        <is>
          <t>natural shampoo uk</t>
        </is>
      </c>
      <c r="B177" s="42" t="inlineStr">
        <is>
          <t>Informational Commercial</t>
        </is>
      </c>
      <c r="C177" s="55" t="n">
        <v>480</v>
      </c>
      <c r="D177" s="42" t="n">
        <v>21</v>
      </c>
      <c r="E177" s="56" t="n">
        <v>1.16</v>
      </c>
      <c r="F177" s="42" t="n">
        <v>1</v>
      </c>
      <c r="G177" s="42" t="n">
        <v>3</v>
      </c>
      <c r="H177" s="42" t="n"/>
    </row>
    <row r="178" ht="15" customHeight="1" s="37">
      <c r="A178" s="42" t="inlineStr">
        <is>
          <t>natural skincare uk</t>
        </is>
      </c>
      <c r="B178" s="42" t="inlineStr">
        <is>
          <t>Informational</t>
        </is>
      </c>
      <c r="C178" s="55" t="n">
        <v>480</v>
      </c>
      <c r="D178" s="42" t="n">
        <v>59</v>
      </c>
      <c r="E178" s="56" t="n">
        <v>1.4</v>
      </c>
      <c r="F178" s="42" t="n">
        <v>1</v>
      </c>
      <c r="G178" s="42" t="n">
        <v>3</v>
      </c>
      <c r="H178" s="42" t="n"/>
    </row>
    <row r="179" ht="15" customHeight="1" s="37">
      <c r="A179" s="42" t="inlineStr">
        <is>
          <t>organic skincare uk</t>
        </is>
      </c>
      <c r="B179" s="42" t="inlineStr">
        <is>
          <t>Informational</t>
        </is>
      </c>
      <c r="C179" s="55" t="n">
        <v>480</v>
      </c>
      <c r="D179" s="42" t="n">
        <v>45</v>
      </c>
      <c r="E179" s="56" t="n">
        <v>1.63</v>
      </c>
      <c r="F179" s="42" t="n">
        <v>1</v>
      </c>
      <c r="G179" s="42" t="inlineStr">
        <is>
          <t>T2-3</t>
        </is>
      </c>
      <c r="H179" s="42" t="n"/>
    </row>
    <row r="180" ht="15" customHeight="1" s="37">
      <c r="A180" s="42" t="inlineStr">
        <is>
          <t>vilvah</t>
        </is>
      </c>
      <c r="B180" s="42" t="inlineStr">
        <is>
          <t>Commercial</t>
        </is>
      </c>
      <c r="C180" s="55" t="n">
        <v>480</v>
      </c>
      <c r="D180" s="42" t="n">
        <v>12</v>
      </c>
      <c r="E180" s="56" t="n">
        <v>1.03</v>
      </c>
      <c r="F180" s="42" t="n">
        <v>1</v>
      </c>
      <c r="G180" s="42" t="n">
        <v>1</v>
      </c>
      <c r="H180" s="42" t="n"/>
    </row>
    <row r="181" ht="15" customHeight="1" s="37">
      <c r="A181" s="42" t="inlineStr">
        <is>
          <t>acqua di parma sakura</t>
        </is>
      </c>
      <c r="B181" s="42" t="inlineStr">
        <is>
          <t>Informational</t>
        </is>
      </c>
      <c r="C181" s="55" t="n">
        <v>390</v>
      </c>
      <c r="D181" s="42" t="n">
        <v>17</v>
      </c>
      <c r="E181" s="56" t="n">
        <v>0.36</v>
      </c>
      <c r="F181" s="42" t="n">
        <v>1</v>
      </c>
      <c r="G181" s="42" t="n">
        <v>4</v>
      </c>
      <c r="H181" s="42" t="n"/>
    </row>
    <row r="182" ht="15" customHeight="1" s="37">
      <c r="A182" s="42" t="inlineStr">
        <is>
          <t>al haramain perfume</t>
        </is>
      </c>
      <c r="B182" s="42" t="inlineStr">
        <is>
          <t>Informational</t>
        </is>
      </c>
      <c r="C182" s="55" t="n">
        <v>390</v>
      </c>
      <c r="D182" s="42" t="n">
        <v>36</v>
      </c>
      <c r="E182" s="56" t="n">
        <v>0.29</v>
      </c>
      <c r="F182" s="42" t="n">
        <v>1</v>
      </c>
      <c r="G182" s="42" t="n">
        <v>1</v>
      </c>
      <c r="H182" s="42" t="n"/>
    </row>
    <row r="183" ht="15" customHeight="1" s="37">
      <c r="A183" s="42" t="inlineStr">
        <is>
          <t>anna sui sky</t>
        </is>
      </c>
      <c r="B183" s="42" t="inlineStr">
        <is>
          <t>Informational</t>
        </is>
      </c>
      <c r="C183" s="55" t="n">
        <v>390</v>
      </c>
      <c r="D183" s="42" t="n">
        <v>19</v>
      </c>
      <c r="E183" s="56" t="n">
        <v>0.33</v>
      </c>
      <c r="F183" s="42" t="n">
        <v>1</v>
      </c>
      <c r="G183" s="42" t="n">
        <v>4</v>
      </c>
      <c r="H183" s="42" t="n"/>
    </row>
    <row r="184" ht="15" customHeight="1" s="37">
      <c r="A184" s="42" t="inlineStr">
        <is>
          <t>ayurvedic hair oil</t>
        </is>
      </c>
      <c r="B184" s="42" t="inlineStr">
        <is>
          <t>Informational</t>
        </is>
      </c>
      <c r="C184" s="55" t="n">
        <v>390</v>
      </c>
      <c r="D184" s="42" t="n">
        <v>12</v>
      </c>
      <c r="E184" s="56" t="n">
        <v>1</v>
      </c>
      <c r="F184" s="42" t="n">
        <v>1</v>
      </c>
      <c r="G184" s="42" t="inlineStr">
        <is>
          <t>T2-2</t>
        </is>
      </c>
      <c r="H184" s="42" t="n"/>
    </row>
    <row r="185" ht="15" customHeight="1" s="37">
      <c r="A185" s="42" t="inlineStr">
        <is>
          <t>bentley perfume</t>
        </is>
      </c>
      <c r="B185" s="42" t="inlineStr">
        <is>
          <t>Informational</t>
        </is>
      </c>
      <c r="C185" s="55" t="n">
        <v>390</v>
      </c>
      <c r="D185" s="42" t="n">
        <v>18</v>
      </c>
      <c r="E185" s="56" t="n">
        <v>0.53</v>
      </c>
      <c r="F185" s="42" t="n">
        <v>1</v>
      </c>
      <c r="G185" s="42" t="n">
        <v>1</v>
      </c>
      <c r="H185" s="42" t="n"/>
    </row>
    <row r="186" ht="15" customHeight="1" s="37">
      <c r="A186" s="42" t="inlineStr">
        <is>
          <t>carolina herrera 212 vip men</t>
        </is>
      </c>
      <c r="B186" s="42" t="inlineStr">
        <is>
          <t>Informational Transactional</t>
        </is>
      </c>
      <c r="C186" s="55" t="n">
        <v>390</v>
      </c>
      <c r="D186" s="42" t="n">
        <v>16</v>
      </c>
      <c r="E186" s="56" t="n">
        <v>0.44</v>
      </c>
      <c r="F186" s="42" t="n">
        <v>1</v>
      </c>
      <c r="G186" s="42" t="n">
        <v>4</v>
      </c>
      <c r="H186" s="42" t="n"/>
    </row>
    <row r="187" ht="15" customHeight="1" s="37">
      <c r="A187" s="42" t="inlineStr">
        <is>
          <t>carolina herrera bad boy extreme</t>
        </is>
      </c>
      <c r="B187" s="42" t="inlineStr">
        <is>
          <t>Informational Transactional</t>
        </is>
      </c>
      <c r="C187" s="55" t="n">
        <v>390</v>
      </c>
      <c r="D187" s="42" t="n">
        <v>17</v>
      </c>
      <c r="E187" s="56" t="n">
        <v>0.62</v>
      </c>
      <c r="F187" s="42" t="n">
        <v>1</v>
      </c>
      <c r="G187" s="42" t="n">
        <v>4</v>
      </c>
      <c r="H187" s="42" t="n"/>
    </row>
    <row r="188" ht="15" customHeight="1" s="37">
      <c r="A188" s="42" t="inlineStr">
        <is>
          <t>carolina herrera perfume for women</t>
        </is>
      </c>
      <c r="B188" s="42" t="inlineStr">
        <is>
          <t>Informational Transactional</t>
        </is>
      </c>
      <c r="C188" s="55" t="n">
        <v>390</v>
      </c>
      <c r="D188" s="42" t="n">
        <v>25</v>
      </c>
      <c r="E188" s="56" t="n">
        <v>0.43</v>
      </c>
      <c r="F188" s="42" t="n">
        <v>1</v>
      </c>
      <c r="G188" s="42" t="n">
        <v>1</v>
      </c>
      <c r="H188" s="42" t="n"/>
    </row>
    <row r="189" ht="15" customHeight="1" s="37">
      <c r="A189" s="42" t="inlineStr">
        <is>
          <t>coffee body scrub</t>
        </is>
      </c>
      <c r="B189" s="42" t="inlineStr">
        <is>
          <t>Informational</t>
        </is>
      </c>
      <c r="C189" s="55" t="n">
        <v>390</v>
      </c>
      <c r="D189" s="42" t="n">
        <v>10</v>
      </c>
      <c r="E189" s="56" t="n">
        <v>0.49</v>
      </c>
      <c r="F189" s="42" t="n">
        <v>1</v>
      </c>
      <c r="G189" s="42" t="inlineStr">
        <is>
          <t>T2-3</t>
        </is>
      </c>
      <c r="H189" s="42" t="n"/>
    </row>
    <row r="190" ht="15" customHeight="1" s="37">
      <c r="A190" s="42" t="inlineStr">
        <is>
          <t>dkny be tempted</t>
        </is>
      </c>
      <c r="B190" s="42" t="inlineStr">
        <is>
          <t>Informational</t>
        </is>
      </c>
      <c r="C190" s="55" t="n">
        <v>390</v>
      </c>
      <c r="D190" s="42" t="n">
        <v>16</v>
      </c>
      <c r="E190" s="56" t="n">
        <v>0.47</v>
      </c>
      <c r="F190" s="42" t="n">
        <v>1</v>
      </c>
      <c r="G190" s="42" t="n">
        <v>5</v>
      </c>
      <c r="H190" s="42" t="n"/>
    </row>
    <row r="191" ht="15" customHeight="1" s="37">
      <c r="A191" s="42" t="inlineStr">
        <is>
          <t>dkny perfume for women</t>
        </is>
      </c>
      <c r="B191" s="42" t="inlineStr">
        <is>
          <t>Informational</t>
        </is>
      </c>
      <c r="C191" s="55" t="n">
        <v>390</v>
      </c>
      <c r="D191" s="42" t="n">
        <v>22</v>
      </c>
      <c r="E191" s="56" t="n">
        <v>0.4</v>
      </c>
      <c r="F191" s="42" t="n">
        <v>1</v>
      </c>
      <c r="G191" s="42" t="n">
        <v>1</v>
      </c>
      <c r="H191" s="42" t="n"/>
    </row>
    <row r="192" ht="15" customHeight="1" s="37">
      <c r="A192" s="42" t="inlineStr">
        <is>
          <t>dolce &amp; gabbana the one edp</t>
        </is>
      </c>
      <c r="B192" s="42" t="inlineStr">
        <is>
          <t>Informational Transactional</t>
        </is>
      </c>
      <c r="C192" s="55" t="n">
        <v>390</v>
      </c>
      <c r="D192" s="42" t="n">
        <v>16</v>
      </c>
      <c r="E192" s="56" t="n">
        <v>0.48</v>
      </c>
      <c r="F192" s="42" t="n">
        <v>1</v>
      </c>
      <c r="G192" s="42" t="inlineStr">
        <is>
          <t>T3-1</t>
        </is>
      </c>
      <c r="H192" s="42" t="n"/>
    </row>
    <row r="193" ht="15" customHeight="1" s="37">
      <c r="A193" s="42" t="inlineStr">
        <is>
          <t>escada magnetism</t>
        </is>
      </c>
      <c r="B193" s="42" t="inlineStr">
        <is>
          <t>Informational</t>
        </is>
      </c>
      <c r="C193" s="55" t="n">
        <v>390</v>
      </c>
      <c r="D193" s="42" t="n">
        <v>15</v>
      </c>
      <c r="E193" s="56" t="n">
        <v>0.36</v>
      </c>
      <c r="F193" s="42" t="n">
        <v>1</v>
      </c>
      <c r="G193" s="42" t="n">
        <v>6</v>
      </c>
      <c r="H193" s="42" t="n"/>
    </row>
    <row r="194" ht="15" customHeight="1" s="37">
      <c r="A194" s="42" t="inlineStr">
        <is>
          <t>handmade soap uk</t>
        </is>
      </c>
      <c r="B194" s="42" t="inlineStr">
        <is>
          <t>Informational</t>
        </is>
      </c>
      <c r="C194" s="55" t="n">
        <v>390</v>
      </c>
      <c r="D194" s="42" t="n">
        <v>55</v>
      </c>
      <c r="E194" s="56" t="n">
        <v>0.64</v>
      </c>
      <c r="F194" s="42" t="n">
        <v>1</v>
      </c>
      <c r="G194" s="42" t="inlineStr">
        <is>
          <t>T2-3</t>
        </is>
      </c>
      <c r="H194" s="42" t="n"/>
    </row>
    <row r="195" ht="15" customHeight="1" s="37">
      <c r="A195" s="42" t="inlineStr">
        <is>
          <t>indigo powder for hair</t>
        </is>
      </c>
      <c r="B195" s="42" t="inlineStr">
        <is>
          <t>Informational</t>
        </is>
      </c>
      <c r="C195" s="55" t="n">
        <v>390</v>
      </c>
      <c r="D195" s="42" t="n">
        <v>13</v>
      </c>
      <c r="E195" s="56" t="n">
        <v>0.24</v>
      </c>
      <c r="F195" s="42" t="n">
        <v>1</v>
      </c>
      <c r="G195" s="42" t="inlineStr">
        <is>
          <t>T2-3</t>
        </is>
      </c>
      <c r="H195" s="42" t="n"/>
    </row>
    <row r="196" ht="15" customHeight="1" s="37">
      <c r="A196" s="42" t="inlineStr">
        <is>
          <t>natural hair oil</t>
        </is>
      </c>
      <c r="B196" s="42" t="inlineStr">
        <is>
          <t>Informational</t>
        </is>
      </c>
      <c r="C196" s="55" t="n">
        <v>390</v>
      </c>
      <c r="D196" s="42" t="n">
        <v>11</v>
      </c>
      <c r="E196" s="56" t="n">
        <v>0.87</v>
      </c>
      <c r="F196" s="42" t="n">
        <v>1</v>
      </c>
      <c r="G196" s="42" t="inlineStr">
        <is>
          <t>T2-3</t>
        </is>
      </c>
      <c r="H196" s="42" t="n"/>
    </row>
    <row r="197" ht="15" customHeight="1" s="37">
      <c r="A197" s="42" t="inlineStr">
        <is>
          <t>natural soap bar</t>
        </is>
      </c>
      <c r="B197" s="42" t="inlineStr">
        <is>
          <t>Informational</t>
        </is>
      </c>
      <c r="C197" s="55" t="n">
        <v>390</v>
      </c>
      <c r="D197" s="42" t="n">
        <v>22</v>
      </c>
      <c r="E197" s="56" t="n">
        <v>0.9399999999999999</v>
      </c>
      <c r="F197" s="42" t="n">
        <v>1</v>
      </c>
      <c r="G197" s="42" t="inlineStr">
        <is>
          <t>T2-3</t>
        </is>
      </c>
      <c r="H197" s="42" t="n"/>
    </row>
    <row r="198" ht="15" customHeight="1" s="37">
      <c r="A198" s="42" t="inlineStr">
        <is>
          <t>serum for dark spots</t>
        </is>
      </c>
      <c r="B198" s="42" t="inlineStr">
        <is>
          <t>Informational</t>
        </is>
      </c>
      <c r="C198" s="55" t="n">
        <v>390</v>
      </c>
      <c r="D198" s="42" t="n">
        <v>20</v>
      </c>
      <c r="E198" s="56" t="n">
        <v>1.01</v>
      </c>
      <c r="F198" s="42" t="n">
        <v>1</v>
      </c>
      <c r="G198" s="42" t="inlineStr">
        <is>
          <t>T2-3</t>
        </is>
      </c>
      <c r="H198" s="42" t="n"/>
    </row>
    <row r="199" ht="15" customHeight="1" s="37">
      <c r="A199" s="42" t="inlineStr">
        <is>
          <t>shiseido perfume</t>
        </is>
      </c>
      <c r="B199" s="42" t="inlineStr">
        <is>
          <t>Informational Transactional</t>
        </is>
      </c>
      <c r="C199" s="55" t="n">
        <v>390</v>
      </c>
      <c r="D199" s="42" t="n">
        <v>16</v>
      </c>
      <c r="E199" s="56" t="n">
        <v>0.39</v>
      </c>
      <c r="F199" s="42" t="n">
        <v>1</v>
      </c>
      <c r="G199" s="42" t="n">
        <v>2</v>
      </c>
      <c r="H199" s="42" t="n"/>
    </row>
    <row r="200" ht="15" customHeight="1" s="37">
      <c r="A200" s="42" t="inlineStr">
        <is>
          <t>vilvah milk drops</t>
        </is>
      </c>
      <c r="B200" s="42" t="inlineStr">
        <is>
          <t>Informational Transactional</t>
        </is>
      </c>
      <c r="C200" s="55" t="n">
        <v>390</v>
      </c>
      <c r="D200" s="42" t="n">
        <v>17</v>
      </c>
      <c r="E200" s="56" t="n">
        <v>0.7</v>
      </c>
      <c r="F200" s="42" t="n">
        <v>1</v>
      </c>
      <c r="G200" s="42" t="n">
        <v>3</v>
      </c>
      <c r="H200" s="42" t="n"/>
    </row>
    <row r="201" ht="15" customHeight="1" s="37">
      <c r="A201" s="42" t="inlineStr">
        <is>
          <t>acqua di parma rosa nobile</t>
        </is>
      </c>
      <c r="B201" s="42" t="inlineStr">
        <is>
          <t>Informational</t>
        </is>
      </c>
      <c r="C201" s="55" t="n">
        <v>320</v>
      </c>
      <c r="D201" s="42" t="n">
        <v>11</v>
      </c>
      <c r="E201" s="56" t="n">
        <v>0.45</v>
      </c>
      <c r="F201" s="42" t="n">
        <v>1</v>
      </c>
      <c r="G201" s="42" t="n">
        <v>4</v>
      </c>
      <c r="H201" s="42" t="n"/>
    </row>
    <row r="202" ht="15" customHeight="1" s="37">
      <c r="A202" s="42" t="inlineStr">
        <is>
          <t>al haramain detour noir</t>
        </is>
      </c>
      <c r="B202" s="42" t="inlineStr">
        <is>
          <t>Informational Transactional</t>
        </is>
      </c>
      <c r="C202" s="55" t="n">
        <v>320</v>
      </c>
      <c r="D202" s="42" t="n">
        <v>25</v>
      </c>
      <c r="E202" s="56" t="n">
        <v>0.28</v>
      </c>
      <c r="F202" s="42" t="n">
        <v>1</v>
      </c>
      <c r="G202" s="42" t="n">
        <v>4</v>
      </c>
      <c r="H202" s="42" t="n"/>
    </row>
    <row r="203" ht="15" customHeight="1" s="37">
      <c r="A203" s="42" t="inlineStr">
        <is>
          <t>bvlgari man in black parfum</t>
        </is>
      </c>
      <c r="B203" s="42" t="inlineStr">
        <is>
          <t>Informational Transactional</t>
        </is>
      </c>
      <c r="C203" s="55" t="n">
        <v>320</v>
      </c>
      <c r="D203" s="42" t="n">
        <v>19</v>
      </c>
      <c r="E203" s="56" t="n">
        <v>0.41</v>
      </c>
      <c r="F203" s="42" t="n">
        <v>1</v>
      </c>
      <c r="G203" s="42" t="inlineStr">
        <is>
          <t>T3-1</t>
        </is>
      </c>
      <c r="H203" s="42" t="n"/>
    </row>
    <row r="204" ht="15" customHeight="1" s="37">
      <c r="A204" s="42" t="inlineStr">
        <is>
          <t>bvlgari omnia amethyste</t>
        </is>
      </c>
      <c r="B204" s="42" t="inlineStr">
        <is>
          <t>Informational</t>
        </is>
      </c>
      <c r="C204" s="55" t="n">
        <v>320</v>
      </c>
      <c r="D204" s="42" t="n">
        <v>18</v>
      </c>
      <c r="E204" s="56" t="n">
        <v>0.41</v>
      </c>
      <c r="F204" s="42" t="n">
        <v>1</v>
      </c>
      <c r="G204" s="42" t="n">
        <v>4</v>
      </c>
      <c r="H204" s="42" t="n"/>
    </row>
    <row r="205" ht="15" customHeight="1" s="37">
      <c r="A205" s="42" t="inlineStr">
        <is>
          <t>carolina herrera very good girl glam</t>
        </is>
      </c>
      <c r="B205" s="42" t="inlineStr">
        <is>
          <t>Informational</t>
        </is>
      </c>
      <c r="C205" s="55" t="n">
        <v>320</v>
      </c>
      <c r="D205" s="42" t="n">
        <v>20</v>
      </c>
      <c r="E205" s="56" t="n">
        <v>0</v>
      </c>
      <c r="F205" s="42" t="n">
        <v>0</v>
      </c>
      <c r="G205" s="42" t="n">
        <v>4</v>
      </c>
      <c r="H205" s="42" t="n"/>
    </row>
    <row r="206" ht="15" customHeight="1" s="37">
      <c r="A206" s="42" t="inlineStr">
        <is>
          <t>chloe nomade nuit d'egypte</t>
        </is>
      </c>
      <c r="B206" s="42" t="inlineStr">
        <is>
          <t>Informational</t>
        </is>
      </c>
      <c r="C206" s="55" t="n">
        <v>320</v>
      </c>
      <c r="D206" s="42" t="n">
        <v>21</v>
      </c>
      <c r="E206" s="56" t="n">
        <v>0.55</v>
      </c>
      <c r="F206" s="42" t="n">
        <v>1</v>
      </c>
      <c r="G206" s="42" t="n">
        <v>4</v>
      </c>
      <c r="H206" s="42" t="n"/>
    </row>
    <row r="207" ht="15" customHeight="1" s="37">
      <c r="A207" s="42" t="inlineStr">
        <is>
          <t>chloe perfume for women</t>
        </is>
      </c>
      <c r="B207" s="42" t="inlineStr">
        <is>
          <t>Commercial</t>
        </is>
      </c>
      <c r="C207" s="55" t="n">
        <v>320</v>
      </c>
      <c r="D207" s="42" t="n">
        <v>16</v>
      </c>
      <c r="E207" s="56" t="n">
        <v>0.37</v>
      </c>
      <c r="F207" s="42" t="n">
        <v>1</v>
      </c>
      <c r="G207" s="42" t="n">
        <v>1</v>
      </c>
      <c r="H207" s="42" t="n"/>
    </row>
    <row r="208" ht="15" customHeight="1" s="37">
      <c r="A208" s="42" t="inlineStr">
        <is>
          <t>estee lauder spellbound</t>
        </is>
      </c>
      <c r="B208" s="42" t="inlineStr">
        <is>
          <t>Informational</t>
        </is>
      </c>
      <c r="C208" s="55" t="n">
        <v>320</v>
      </c>
      <c r="D208" s="42" t="n">
        <v>25</v>
      </c>
      <c r="E208" s="56" t="n">
        <v>0.63</v>
      </c>
      <c r="F208" s="42" t="n">
        <v>1</v>
      </c>
      <c r="G208" s="42" t="n">
        <v>6</v>
      </c>
      <c r="H208" s="42" t="n"/>
    </row>
    <row r="209" ht="15" customHeight="1" s="37">
      <c r="A209" s="42" t="inlineStr">
        <is>
          <t>givenchy perfume for men</t>
        </is>
      </c>
      <c r="B209" s="42" t="inlineStr">
        <is>
          <t>Informational</t>
        </is>
      </c>
      <c r="C209" s="55" t="n">
        <v>320</v>
      </c>
      <c r="D209" s="42" t="n">
        <v>15</v>
      </c>
      <c r="E209" s="56" t="n">
        <v>0.33</v>
      </c>
      <c r="F209" s="42" t="n">
        <v>1</v>
      </c>
      <c r="G209" s="42" t="n">
        <v>1</v>
      </c>
      <c r="H209" s="42" t="n"/>
    </row>
    <row r="210" ht="15" customHeight="1" s="37">
      <c r="A210" s="42" t="inlineStr">
        <is>
          <t>jean paul perfume for women</t>
        </is>
      </c>
      <c r="B210" s="42" t="inlineStr">
        <is>
          <t>Informational</t>
        </is>
      </c>
      <c r="C210" s="55" t="n">
        <v>320</v>
      </c>
      <c r="D210" s="42" t="n">
        <v>17</v>
      </c>
      <c r="E210" s="56" t="n">
        <v>0</v>
      </c>
      <c r="F210" s="42" t="n">
        <v>1</v>
      </c>
      <c r="G210" s="42" t="n">
        <v>2</v>
      </c>
      <c r="H210" s="42" t="n"/>
    </row>
    <row r="211" ht="15" customHeight="1" s="37">
      <c r="A211" s="42" t="inlineStr">
        <is>
          <t>lancome idole nectar</t>
        </is>
      </c>
      <c r="B211" s="42" t="inlineStr">
        <is>
          <t>Informational Transactional</t>
        </is>
      </c>
      <c r="C211" s="55" t="n">
        <v>320</v>
      </c>
      <c r="D211" s="42" t="n">
        <v>16</v>
      </c>
      <c r="E211" s="56" t="n">
        <v>0.63</v>
      </c>
      <c r="F211" s="42" t="n">
        <v>1</v>
      </c>
      <c r="G211" s="42" t="n">
        <v>7</v>
      </c>
      <c r="H211" s="42" t="n"/>
    </row>
    <row r="212" ht="15" customHeight="1" s="37">
      <c r="A212" s="42" t="inlineStr">
        <is>
          <t>skincare for dull skin</t>
        </is>
      </c>
      <c r="B212" s="42" t="inlineStr">
        <is>
          <t>Informational</t>
        </is>
      </c>
      <c r="C212" s="55" t="n">
        <v>320</v>
      </c>
      <c r="D212" s="42" t="n">
        <v>10</v>
      </c>
      <c r="E212" s="56" t="n">
        <v>1.92</v>
      </c>
      <c r="F212" s="42" t="n">
        <v>1</v>
      </c>
      <c r="G212" s="42" t="n">
        <v>3</v>
      </c>
      <c r="H212" s="42" t="n"/>
    </row>
    <row r="213" ht="15" customHeight="1" s="37">
      <c r="A213" s="42" t="inlineStr">
        <is>
          <t>tom ford oud wood eau de parfum</t>
        </is>
      </c>
      <c r="B213" s="42" t="inlineStr">
        <is>
          <t>Informational</t>
        </is>
      </c>
      <c r="C213" s="55" t="n">
        <v>320</v>
      </c>
      <c r="D213" s="42" t="n">
        <v>20</v>
      </c>
      <c r="E213" s="56" t="n">
        <v>0.62</v>
      </c>
      <c r="F213" s="42" t="n">
        <v>1</v>
      </c>
      <c r="G213" s="42" t="inlineStr">
        <is>
          <t>T2-1</t>
        </is>
      </c>
      <c r="H213" s="42" t="n"/>
    </row>
    <row r="214" ht="15" customHeight="1" s="37">
      <c r="A214" s="42" t="inlineStr">
        <is>
          <t>viktor &amp; rolf perfume</t>
        </is>
      </c>
      <c r="B214" s="42" t="inlineStr">
        <is>
          <t>Navigational</t>
        </is>
      </c>
      <c r="C214" s="55" t="n">
        <v>320</v>
      </c>
      <c r="D214" s="42" t="n">
        <v>30</v>
      </c>
      <c r="E214" s="56" t="n">
        <v>0.4</v>
      </c>
      <c r="F214" s="42" t="n">
        <v>1</v>
      </c>
      <c r="G214" s="42" t="n">
        <v>2</v>
      </c>
      <c r="H214" s="42" t="n"/>
    </row>
    <row r="215" ht="15" customHeight="1" s="37">
      <c r="A215" s="42" t="inlineStr">
        <is>
          <t>acqua di parma colonia pura</t>
        </is>
      </c>
      <c r="B215" s="42" t="inlineStr">
        <is>
          <t>Informational</t>
        </is>
      </c>
      <c r="C215" s="55" t="n">
        <v>260</v>
      </c>
      <c r="D215" s="42" t="n">
        <v>12</v>
      </c>
      <c r="E215" s="56" t="n">
        <v>0.48</v>
      </c>
      <c r="F215" s="42" t="n">
        <v>1</v>
      </c>
      <c r="G215" s="42" t="n">
        <v>3</v>
      </c>
      <c r="H215" s="42" t="n"/>
    </row>
    <row r="216" ht="15" customHeight="1" s="37">
      <c r="A216" s="42" t="inlineStr">
        <is>
          <t>bentley silverlake</t>
        </is>
      </c>
      <c r="B216" s="42" t="inlineStr">
        <is>
          <t>Informational Transactional</t>
        </is>
      </c>
      <c r="C216" s="55" t="n">
        <v>260</v>
      </c>
      <c r="D216" s="42" t="n">
        <v>16</v>
      </c>
      <c r="E216" s="56" t="n">
        <v>0.99</v>
      </c>
      <c r="F216" s="42" t="n">
        <v>1</v>
      </c>
      <c r="G216" s="42" t="n">
        <v>4</v>
      </c>
      <c r="H216" s="42" t="n"/>
    </row>
    <row r="217" ht="15" customHeight="1" s="37">
      <c r="A217" s="42" t="inlineStr">
        <is>
          <t>body butter for dry skin</t>
        </is>
      </c>
      <c r="B217" s="42" t="inlineStr">
        <is>
          <t>Informational</t>
        </is>
      </c>
      <c r="C217" s="55" t="n">
        <v>260</v>
      </c>
      <c r="D217" s="42" t="n">
        <v>19</v>
      </c>
      <c r="E217" s="56" t="n">
        <v>0.76</v>
      </c>
      <c r="F217" s="42" t="n">
        <v>1</v>
      </c>
      <c r="G217" s="42" t="n">
        <v>2</v>
      </c>
      <c r="H217" s="42" t="n"/>
    </row>
    <row r="218" ht="15" customHeight="1" s="37">
      <c r="A218" s="42" t="inlineStr">
        <is>
          <t>carolina herrera 212 vip rose</t>
        </is>
      </c>
      <c r="B218" s="42" t="inlineStr">
        <is>
          <t>Informational Transactional</t>
        </is>
      </c>
      <c r="C218" s="55" t="n">
        <v>260</v>
      </c>
      <c r="D218" s="42" t="n">
        <v>16</v>
      </c>
      <c r="E218" s="56" t="n">
        <v>0.39</v>
      </c>
      <c r="F218" s="42" t="n">
        <v>1</v>
      </c>
      <c r="G218" s="42" t="n">
        <v>4</v>
      </c>
      <c r="H218" s="42" t="n"/>
    </row>
    <row r="219" ht="15" customHeight="1" s="37">
      <c r="A219" s="42" t="inlineStr">
        <is>
          <t>carolina herrera perfume for men</t>
        </is>
      </c>
      <c r="B219" s="42" t="inlineStr">
        <is>
          <t>Informational Transactional</t>
        </is>
      </c>
      <c r="C219" s="55" t="n">
        <v>260</v>
      </c>
      <c r="D219" s="42" t="n">
        <v>15</v>
      </c>
      <c r="E219" s="56" t="n">
        <v>0.41</v>
      </c>
      <c r="F219" s="42" t="n">
        <v>1</v>
      </c>
      <c r="G219" s="42" t="n">
        <v>1</v>
      </c>
      <c r="H219" s="42" t="n"/>
    </row>
    <row r="220" ht="15" customHeight="1" s="37">
      <c r="A220" s="42" t="inlineStr">
        <is>
          <t>davidoff indigo</t>
        </is>
      </c>
      <c r="B220" s="42" t="inlineStr">
        <is>
          <t>Informational</t>
        </is>
      </c>
      <c r="C220" s="55" t="n">
        <v>260</v>
      </c>
      <c r="D220" s="42" t="n">
        <v>9</v>
      </c>
      <c r="E220" s="56" t="n">
        <v>0</v>
      </c>
      <c r="F220" s="42" t="n">
        <v>0.33</v>
      </c>
      <c r="G220" s="42" t="n">
        <v>4</v>
      </c>
      <c r="H220" s="42" t="n"/>
    </row>
    <row r="221" ht="15" customHeight="1" s="37">
      <c r="A221" s="42" t="inlineStr">
        <is>
          <t>dolce &amp; gabbana devotion</t>
        </is>
      </c>
      <c r="B221" s="42" t="inlineStr">
        <is>
          <t>Informational</t>
        </is>
      </c>
      <c r="C221" s="55" t="n">
        <v>260</v>
      </c>
      <c r="D221" s="42" t="n">
        <v>17</v>
      </c>
      <c r="E221" s="56" t="n">
        <v>0.39</v>
      </c>
      <c r="F221" s="42" t="n">
        <v>1</v>
      </c>
      <c r="G221" s="42" t="n">
        <v>5</v>
      </c>
      <c r="H221" s="42" t="n"/>
    </row>
    <row r="222" ht="15" customHeight="1" s="37">
      <c r="A222" s="42" t="inlineStr">
        <is>
          <t>givenchy amarige perfume</t>
        </is>
      </c>
      <c r="B222" s="42" t="inlineStr">
        <is>
          <t>Informational</t>
        </is>
      </c>
      <c r="C222" s="55" t="n">
        <v>260</v>
      </c>
      <c r="D222" s="42" t="n">
        <v>22</v>
      </c>
      <c r="E222" s="56" t="n">
        <v>0.45</v>
      </c>
      <c r="F222" s="42" t="n">
        <v>1</v>
      </c>
      <c r="G222" s="42" t="inlineStr">
        <is>
          <t>T3-1</t>
        </is>
      </c>
      <c r="H222" s="42" t="n"/>
    </row>
    <row r="223" ht="15" customHeight="1" s="37">
      <c r="A223" s="42" t="inlineStr">
        <is>
          <t>gucci bloom gift set</t>
        </is>
      </c>
      <c r="B223" s="42" t="inlineStr">
        <is>
          <t>Transactional</t>
        </is>
      </c>
      <c r="C223" s="55" t="n">
        <v>260</v>
      </c>
      <c r="D223" s="42" t="n">
        <v>18</v>
      </c>
      <c r="E223" s="56" t="n">
        <v>0.5</v>
      </c>
      <c r="F223" s="42" t="n">
        <v>1</v>
      </c>
      <c r="G223" s="42" t="n">
        <v>6</v>
      </c>
      <c r="H223" s="42" t="n"/>
    </row>
    <row r="224" ht="15" customHeight="1" s="37">
      <c r="A224" s="42" t="inlineStr">
        <is>
          <t>gucci flora gorgeous gardenia eau de parfum</t>
        </is>
      </c>
      <c r="B224" s="42" t="inlineStr">
        <is>
          <t>Informational Navigational</t>
        </is>
      </c>
      <c r="C224" s="55" t="n">
        <v>260</v>
      </c>
      <c r="D224" s="42" t="n">
        <v>24</v>
      </c>
      <c r="E224" s="56" t="n">
        <v>0.54</v>
      </c>
      <c r="F224" s="42" t="n">
        <v>0.99</v>
      </c>
      <c r="G224" s="42" t="inlineStr">
        <is>
          <t>T2-1</t>
        </is>
      </c>
      <c r="H224" s="42" t="n"/>
    </row>
    <row r="225" ht="15" customHeight="1" s="37">
      <c r="A225" s="42" t="inlineStr">
        <is>
          <t>hair oil for hair loss</t>
        </is>
      </c>
      <c r="B225" s="42" t="inlineStr">
        <is>
          <t>Informational Commercial</t>
        </is>
      </c>
      <c r="C225" s="55" t="n">
        <v>260</v>
      </c>
      <c r="D225" s="42" t="n">
        <v>22</v>
      </c>
      <c r="E225" s="56" t="n">
        <v>1.43</v>
      </c>
      <c r="F225" s="42" t="n">
        <v>1</v>
      </c>
      <c r="G225" s="42" t="n">
        <v>3</v>
      </c>
      <c r="H225" s="42" t="n"/>
    </row>
    <row r="226" ht="15" customHeight="1" s="37">
      <c r="A226" s="42" t="inlineStr">
        <is>
          <t>jimmy choo perfume for women</t>
        </is>
      </c>
      <c r="B226" s="42" t="inlineStr">
        <is>
          <t>Informational</t>
        </is>
      </c>
      <c r="C226" s="55" t="n">
        <v>260</v>
      </c>
      <c r="D226" s="42" t="n">
        <v>28</v>
      </c>
      <c r="E226" s="56" t="n">
        <v>0.34</v>
      </c>
      <c r="F226" s="42" t="n">
        <v>1</v>
      </c>
      <c r="G226" s="42" t="n">
        <v>2</v>
      </c>
      <c r="H226" s="42" t="n"/>
    </row>
    <row r="227" ht="15" customHeight="1" s="37">
      <c r="A227" s="42" t="inlineStr">
        <is>
          <t>john varvatos perfume</t>
        </is>
      </c>
      <c r="B227" s="42" t="inlineStr">
        <is>
          <t>Informational</t>
        </is>
      </c>
      <c r="C227" s="55" t="n">
        <v>260</v>
      </c>
      <c r="D227" s="42" t="n">
        <v>17</v>
      </c>
      <c r="E227" s="56" t="n">
        <v>0.35</v>
      </c>
      <c r="F227" s="42" t="n">
        <v>1</v>
      </c>
      <c r="G227" s="42" t="n">
        <v>2</v>
      </c>
      <c r="H227" s="42" t="n"/>
    </row>
    <row r="228" ht="15" customHeight="1" s="37">
      <c r="A228" s="42" t="inlineStr">
        <is>
          <t>onion hair oil</t>
        </is>
      </c>
      <c r="B228" s="42" t="inlineStr">
        <is>
          <t>Informational</t>
        </is>
      </c>
      <c r="C228" s="55" t="n">
        <v>260</v>
      </c>
      <c r="D228" s="42" t="n">
        <v>19</v>
      </c>
      <c r="E228" s="56" t="n">
        <v>0.4</v>
      </c>
      <c r="F228" s="42" t="n">
        <v>1</v>
      </c>
      <c r="G228" s="42" t="inlineStr">
        <is>
          <t>T2-2</t>
        </is>
      </c>
      <c r="H228" s="42" t="n"/>
    </row>
    <row r="229" ht="15" customHeight="1" s="37">
      <c r="A229" s="42" t="inlineStr">
        <is>
          <t>paloma picasso perfume 100ml</t>
        </is>
      </c>
      <c r="B229" s="42" t="inlineStr">
        <is>
          <t>Informational</t>
        </is>
      </c>
      <c r="C229" s="55" t="n">
        <v>260</v>
      </c>
      <c r="D229" s="42" t="n">
        <v>11</v>
      </c>
      <c r="E229" s="56" t="n">
        <v>0.54</v>
      </c>
      <c r="F229" s="42" t="n">
        <v>1</v>
      </c>
      <c r="G229" s="42" t="inlineStr">
        <is>
          <t>T3-1</t>
        </is>
      </c>
      <c r="H229" s="42" t="n"/>
    </row>
    <row r="230" ht="15" customHeight="1" s="37">
      <c r="A230" s="42" t="inlineStr">
        <is>
          <t>tiziana terenzi perfume</t>
        </is>
      </c>
      <c r="B230" s="42" t="inlineStr">
        <is>
          <t>Informational</t>
        </is>
      </c>
      <c r="C230" s="55" t="n">
        <v>260</v>
      </c>
      <c r="D230" s="42" t="n">
        <v>16</v>
      </c>
      <c r="E230" s="56" t="n">
        <v>0.4</v>
      </c>
      <c r="F230" s="42" t="n">
        <v>1</v>
      </c>
      <c r="G230" s="42" t="n">
        <v>2</v>
      </c>
      <c r="H230" s="42" t="n"/>
    </row>
    <row r="231" ht="15" customHeight="1" s="37">
      <c r="A231" s="42" t="inlineStr">
        <is>
          <t>burberry my burberry black</t>
        </is>
      </c>
      <c r="B231" s="42" t="inlineStr">
        <is>
          <t>Informational Transactional</t>
        </is>
      </c>
      <c r="C231" s="55" t="n">
        <v>210</v>
      </c>
      <c r="D231" s="42" t="n">
        <v>18</v>
      </c>
      <c r="E231" s="56" t="n">
        <v>1.28</v>
      </c>
      <c r="F231" s="42" t="n">
        <v>1</v>
      </c>
      <c r="G231" s="42" t="n">
        <v>4</v>
      </c>
      <c r="H231" s="42" t="n"/>
    </row>
    <row r="232" ht="15" customHeight="1" s="37">
      <c r="A232" s="42" t="inlineStr">
        <is>
          <t>calvin klein defy parfum</t>
        </is>
      </c>
      <c r="B232" s="42" t="inlineStr">
        <is>
          <t>Informational</t>
        </is>
      </c>
      <c r="C232" s="55" t="n">
        <v>210</v>
      </c>
      <c r="D232" s="42" t="n">
        <v>22</v>
      </c>
      <c r="E232" s="56" t="n">
        <v>0.4</v>
      </c>
      <c r="F232" s="42" t="n">
        <v>1</v>
      </c>
      <c r="G232" s="42" t="inlineStr">
        <is>
          <t>T2-1</t>
        </is>
      </c>
      <c r="H232" s="42" t="n"/>
    </row>
    <row r="233" ht="15" customHeight="1" s="37">
      <c r="A233" s="42" t="inlineStr">
        <is>
          <t>calvin klein eternity eau de parfum</t>
        </is>
      </c>
      <c r="B233" s="42" t="inlineStr">
        <is>
          <t>Informational Transactional</t>
        </is>
      </c>
      <c r="C233" s="55" t="n">
        <v>210</v>
      </c>
      <c r="D233" s="42" t="n">
        <v>13</v>
      </c>
      <c r="E233" s="56" t="n">
        <v>0.45</v>
      </c>
      <c r="F233" s="42" t="n">
        <v>1</v>
      </c>
      <c r="G233" s="42" t="inlineStr">
        <is>
          <t>T2-1</t>
        </is>
      </c>
      <c r="H233" s="42" t="n"/>
    </row>
    <row r="234" ht="15" customHeight="1" s="37">
      <c r="A234" s="42" t="inlineStr">
        <is>
          <t>carolina herrera 212 sexy men</t>
        </is>
      </c>
      <c r="B234" s="42" t="inlineStr">
        <is>
          <t>Informational Transactional</t>
        </is>
      </c>
      <c r="C234" s="55" t="n">
        <v>210</v>
      </c>
      <c r="D234" s="42" t="n">
        <v>14</v>
      </c>
      <c r="E234" s="56" t="n">
        <v>0.45</v>
      </c>
      <c r="F234" s="42" t="n">
        <v>1</v>
      </c>
      <c r="G234" s="42" t="n">
        <v>4</v>
      </c>
      <c r="H234" s="42" t="n"/>
    </row>
    <row r="235" ht="15" customHeight="1" s="37">
      <c r="A235" s="42" t="inlineStr">
        <is>
          <t>chocolate body butter</t>
        </is>
      </c>
      <c r="B235" s="42" t="inlineStr">
        <is>
          <t>Informational</t>
        </is>
      </c>
      <c r="C235" s="55" t="n">
        <v>210</v>
      </c>
      <c r="D235" s="42" t="n">
        <v>11</v>
      </c>
      <c r="E235" s="56" t="n">
        <v>0.67</v>
      </c>
      <c r="F235" s="42" t="n">
        <v>1</v>
      </c>
      <c r="G235" s="42" t="inlineStr">
        <is>
          <t>T2-3</t>
        </is>
      </c>
      <c r="H235" s="42" t="n"/>
    </row>
    <row r="236" ht="15" customHeight="1" s="37">
      <c r="A236" s="42" t="inlineStr">
        <is>
          <t>dior sauvage extrait</t>
        </is>
      </c>
      <c r="B236" s="42" t="inlineStr">
        <is>
          <t>Transactional Navigational</t>
        </is>
      </c>
      <c r="C236" s="55" t="n">
        <v>210</v>
      </c>
      <c r="D236" s="42" t="n">
        <v>29</v>
      </c>
      <c r="E236" s="56" t="n">
        <v>0.8</v>
      </c>
      <c r="F236" s="42" t="n">
        <v>1</v>
      </c>
      <c r="G236" s="42" t="inlineStr">
        <is>
          <t>T3-1</t>
        </is>
      </c>
      <c r="H236" s="42" t="n"/>
    </row>
    <row r="237" ht="15" customHeight="1" s="37">
      <c r="A237" s="42" t="inlineStr">
        <is>
          <t>face mask for oily skin</t>
        </is>
      </c>
      <c r="B237" s="42" t="inlineStr">
        <is>
          <t>Informational</t>
        </is>
      </c>
      <c r="C237" s="55" t="n">
        <v>210</v>
      </c>
      <c r="D237" s="42" t="n">
        <v>20</v>
      </c>
      <c r="E237" s="56" t="n">
        <v>0.67</v>
      </c>
      <c r="F237" s="42" t="n">
        <v>0.99</v>
      </c>
      <c r="G237" s="42" t="n">
        <v>2</v>
      </c>
      <c r="H237" s="42" t="n"/>
    </row>
    <row r="238" ht="15" customHeight="1" s="37">
      <c r="A238" s="42" t="inlineStr">
        <is>
          <t>game of spades moon</t>
        </is>
      </c>
      <c r="B238" s="42" t="inlineStr">
        <is>
          <t>Informational Transactional</t>
        </is>
      </c>
      <c r="C238" s="55" t="n">
        <v>210</v>
      </c>
      <c r="D238" s="42" t="n">
        <v>28</v>
      </c>
      <c r="E238" s="56" t="n">
        <v>0</v>
      </c>
      <c r="F238" s="42" t="n">
        <v>1</v>
      </c>
      <c r="G238" s="42" t="n">
        <v>6</v>
      </c>
      <c r="H238" s="42" t="n"/>
    </row>
    <row r="239" ht="15" customHeight="1" s="37">
      <c r="A239" s="42" t="inlineStr">
        <is>
          <t>john varvatos artisan</t>
        </is>
      </c>
      <c r="B239" s="42" t="inlineStr">
        <is>
          <t>Informational</t>
        </is>
      </c>
      <c r="C239" s="55" t="n">
        <v>210</v>
      </c>
      <c r="D239" s="42" t="n">
        <v>12</v>
      </c>
      <c r="E239" s="56" t="n">
        <v>0.35</v>
      </c>
      <c r="F239" s="42" t="n">
        <v>1</v>
      </c>
      <c r="G239" s="42" t="n">
        <v>7</v>
      </c>
      <c r="H239" s="42" t="n"/>
    </row>
    <row r="240" ht="15" customHeight="1" s="37">
      <c r="A240" s="42" t="inlineStr">
        <is>
          <t>joop homme perfume</t>
        </is>
      </c>
      <c r="B240" s="42" t="inlineStr">
        <is>
          <t>Informational</t>
        </is>
      </c>
      <c r="C240" s="55" t="n">
        <v>210</v>
      </c>
      <c r="D240" s="42" t="n">
        <v>20</v>
      </c>
      <c r="E240" s="56" t="n">
        <v>0.39</v>
      </c>
      <c r="F240" s="42" t="n">
        <v>1</v>
      </c>
      <c r="G240" s="42" t="n">
        <v>2</v>
      </c>
      <c r="H240" s="42" t="n"/>
    </row>
    <row r="241" ht="15" customHeight="1" s="37">
      <c r="A241" s="42" t="inlineStr">
        <is>
          <t>joop! homme eau de toilette</t>
        </is>
      </c>
      <c r="B241" s="42" t="inlineStr">
        <is>
          <t>Informational</t>
        </is>
      </c>
      <c r="C241" s="55" t="n">
        <v>210</v>
      </c>
      <c r="D241" s="42" t="n">
        <v>20</v>
      </c>
      <c r="E241" s="56" t="n">
        <v>0.44</v>
      </c>
      <c r="F241" s="42" t="n">
        <v>1</v>
      </c>
      <c r="G241" s="42" t="inlineStr">
        <is>
          <t>T2-1</t>
        </is>
      </c>
      <c r="H241" s="42" t="n"/>
    </row>
    <row r="242" ht="15" customHeight="1" s="37">
      <c r="A242" s="42" t="inlineStr">
        <is>
          <t>marc jacobs perfect eau de parfum</t>
        </is>
      </c>
      <c r="B242" s="42" t="inlineStr">
        <is>
          <t>Informational Transactional</t>
        </is>
      </c>
      <c r="C242" s="55" t="n">
        <v>210</v>
      </c>
      <c r="D242" s="42" t="n">
        <v>15</v>
      </c>
      <c r="E242" s="56" t="n">
        <v>0.51</v>
      </c>
      <c r="F242" s="42" t="n">
        <v>1</v>
      </c>
      <c r="G242" s="42" t="inlineStr">
        <is>
          <t>T2-1</t>
        </is>
      </c>
      <c r="H242" s="42" t="n"/>
    </row>
    <row r="243" ht="15" customHeight="1" s="37">
      <c r="A243" s="42" t="inlineStr">
        <is>
          <t>natural body wash uk</t>
        </is>
      </c>
      <c r="B243" s="42" t="inlineStr">
        <is>
          <t>Informational</t>
        </is>
      </c>
      <c r="C243" s="55" t="n">
        <v>210</v>
      </c>
      <c r="D243" s="42" t="n">
        <v>16</v>
      </c>
      <c r="E243" s="56" t="n">
        <v>1.02</v>
      </c>
      <c r="F243" s="42" t="n">
        <v>1</v>
      </c>
      <c r="G243" s="42" t="n">
        <v>3</v>
      </c>
      <c r="H243" s="42" t="n"/>
    </row>
    <row r="244" ht="15" customHeight="1" s="37">
      <c r="A244" s="42" t="inlineStr">
        <is>
          <t>natural lip balm uk</t>
        </is>
      </c>
      <c r="B244" s="42" t="inlineStr">
        <is>
          <t>Informational</t>
        </is>
      </c>
      <c r="C244" s="55" t="n">
        <v>210</v>
      </c>
      <c r="D244" s="42" t="n">
        <v>8</v>
      </c>
      <c r="E244" s="56" t="n">
        <v>0.6899999999999999</v>
      </c>
      <c r="F244" s="42" t="n">
        <v>0.99</v>
      </c>
      <c r="G244" s="42" t="n">
        <v>3</v>
      </c>
      <c r="H244" s="42" t="n"/>
    </row>
    <row r="245" ht="15" customHeight="1" s="37">
      <c r="A245" s="42" t="inlineStr">
        <is>
          <t>vegan skincare uk</t>
        </is>
      </c>
      <c r="B245" s="42" t="inlineStr">
        <is>
          <t>Informational</t>
        </is>
      </c>
      <c r="C245" s="55" t="n">
        <v>210</v>
      </c>
      <c r="D245" s="42" t="n">
        <v>31</v>
      </c>
      <c r="E245" s="56" t="n">
        <v>1.71</v>
      </c>
      <c r="F245" s="42" t="n">
        <v>0.99</v>
      </c>
      <c r="G245" s="42" t="inlineStr">
        <is>
          <t>T2-3</t>
        </is>
      </c>
      <c r="H245" s="42" t="n"/>
    </row>
    <row r="246" ht="15" customHeight="1" s="37">
      <c r="A246" s="42" t="inlineStr">
        <is>
          <t>bentley perfume for men</t>
        </is>
      </c>
      <c r="B246" s="42" t="inlineStr">
        <is>
          <t>Informational</t>
        </is>
      </c>
      <c r="C246" s="55" t="n">
        <v>170</v>
      </c>
      <c r="D246" s="42" t="n">
        <v>25</v>
      </c>
      <c r="E246" s="56" t="n">
        <v>0.3</v>
      </c>
      <c r="F246" s="42" t="n">
        <v>1</v>
      </c>
      <c r="G246" s="42" t="n">
        <v>1</v>
      </c>
      <c r="H246" s="42" t="n"/>
    </row>
    <row r="247" ht="15" customHeight="1" s="37">
      <c r="A247" s="42" t="inlineStr">
        <is>
          <t>burberry my burberry</t>
        </is>
      </c>
      <c r="B247" s="42" t="inlineStr">
        <is>
          <t>Informational Transactional</t>
        </is>
      </c>
      <c r="C247" s="55" t="n">
        <v>170</v>
      </c>
      <c r="D247" s="42" t="n">
        <v>24</v>
      </c>
      <c r="E247" s="56" t="n">
        <v>0.62</v>
      </c>
      <c r="F247" s="42" t="n">
        <v>1</v>
      </c>
      <c r="G247" s="42" t="n">
        <v>4</v>
      </c>
      <c r="H247" s="42" t="n"/>
    </row>
    <row r="248" ht="15" customHeight="1" s="37">
      <c r="A248" s="42" t="inlineStr">
        <is>
          <t>chloe nomade eau de parfum</t>
        </is>
      </c>
      <c r="B248" s="42" t="inlineStr">
        <is>
          <t>Informational Transactional</t>
        </is>
      </c>
      <c r="C248" s="55" t="n">
        <v>170</v>
      </c>
      <c r="D248" s="42" t="n">
        <v>15</v>
      </c>
      <c r="E248" s="56" t="n">
        <v>0.61</v>
      </c>
      <c r="F248" s="42" t="n">
        <v>1</v>
      </c>
      <c r="G248" s="42" t="inlineStr">
        <is>
          <t>T2-1</t>
        </is>
      </c>
      <c r="H248" s="42" t="n"/>
    </row>
    <row r="249" ht="15" customHeight="1" s="37">
      <c r="A249" s="42" t="inlineStr">
        <is>
          <t>dior sauvage uk</t>
        </is>
      </c>
      <c r="B249" s="42" t="inlineStr">
        <is>
          <t>Informational</t>
        </is>
      </c>
      <c r="C249" s="55" t="n">
        <v>170</v>
      </c>
      <c r="D249" s="42" t="n">
        <v>39</v>
      </c>
      <c r="E249" s="56" t="n">
        <v>0.62</v>
      </c>
      <c r="F249" s="42" t="n">
        <v>1</v>
      </c>
      <c r="G249" s="42" t="inlineStr">
        <is>
          <t>T2-1</t>
        </is>
      </c>
      <c r="H249" s="42" t="n"/>
    </row>
    <row r="250" ht="15" customHeight="1" s="37">
      <c r="A250" s="42" t="inlineStr">
        <is>
          <t>dolce &amp; gabbana l'imperatrice</t>
        </is>
      </c>
      <c r="B250" s="42" t="inlineStr">
        <is>
          <t>Informational</t>
        </is>
      </c>
      <c r="C250" s="55" t="n">
        <v>170</v>
      </c>
      <c r="D250" s="42" t="n">
        <v>22</v>
      </c>
      <c r="E250" s="56" t="n">
        <v>0.5</v>
      </c>
      <c r="F250" s="42" t="n">
        <v>1</v>
      </c>
      <c r="G250" s="42" t="n">
        <v>5</v>
      </c>
      <c r="H250" s="42" t="n"/>
    </row>
    <row r="251" ht="15" customHeight="1" s="37">
      <c r="A251" s="42" t="inlineStr">
        <is>
          <t>elizabeth arden beauty</t>
        </is>
      </c>
      <c r="B251" s="42" t="inlineStr">
        <is>
          <t>Informational Commercial</t>
        </is>
      </c>
      <c r="C251" s="55" t="n">
        <v>170</v>
      </c>
      <c r="D251" s="42" t="n">
        <v>21</v>
      </c>
      <c r="E251" s="56" t="n">
        <v>0.55</v>
      </c>
      <c r="F251" s="42" t="n">
        <v>1</v>
      </c>
      <c r="G251" s="42" t="n">
        <v>6</v>
      </c>
      <c r="H251" s="42" t="n"/>
    </row>
    <row r="252" ht="15" customHeight="1" s="37">
      <c r="A252" s="42" t="inlineStr">
        <is>
          <t>game of spades bid</t>
        </is>
      </c>
      <c r="B252" s="42" t="inlineStr">
        <is>
          <t>Informational</t>
        </is>
      </c>
      <c r="C252" s="55" t="n">
        <v>170</v>
      </c>
      <c r="D252" s="42" t="n">
        <v>17</v>
      </c>
      <c r="E252" s="56" t="n">
        <v>0</v>
      </c>
      <c r="F252" s="42" t="n">
        <v>1</v>
      </c>
      <c r="G252" s="42" t="n">
        <v>6</v>
      </c>
      <c r="H252" s="42" t="n"/>
    </row>
    <row r="253" ht="15" customHeight="1" s="37">
      <c r="A253" s="42" t="inlineStr">
        <is>
          <t>giorgia armani perfume</t>
        </is>
      </c>
      <c r="B253" s="42" t="inlineStr">
        <is>
          <t>Informational</t>
        </is>
      </c>
      <c r="C253" s="55" t="n">
        <v>170</v>
      </c>
      <c r="D253" s="42" t="n">
        <v>30</v>
      </c>
      <c r="E253" s="56" t="n">
        <v>0.38</v>
      </c>
      <c r="F253" s="42" t="n">
        <v>1</v>
      </c>
      <c r="G253" s="42" t="n">
        <v>1</v>
      </c>
      <c r="H253" s="42" t="n"/>
    </row>
    <row r="254" ht="15" customHeight="1" s="37">
      <c r="A254" s="42" t="inlineStr">
        <is>
          <t>gucci set</t>
        </is>
      </c>
      <c r="B254" s="42" t="inlineStr">
        <is>
          <t>Informational Transactional</t>
        </is>
      </c>
      <c r="C254" s="55" t="n">
        <v>170</v>
      </c>
      <c r="D254" s="42" t="n">
        <v>24</v>
      </c>
      <c r="E254" s="56" t="n">
        <v>0.53</v>
      </c>
      <c r="F254" s="42" t="n">
        <v>1</v>
      </c>
      <c r="G254" s="42" t="n">
        <v>6</v>
      </c>
      <c r="H254" s="42" t="n"/>
    </row>
    <row r="255" ht="15" customHeight="1" s="37">
      <c r="A255" s="42" t="inlineStr">
        <is>
          <t>hugo boss bottled eau de parfum</t>
        </is>
      </c>
      <c r="B255" s="42" t="inlineStr">
        <is>
          <t>Informational</t>
        </is>
      </c>
      <c r="C255" s="55" t="n">
        <v>170</v>
      </c>
      <c r="D255" s="42" t="n">
        <v>26</v>
      </c>
      <c r="E255" s="56" t="n">
        <v>0.44</v>
      </c>
      <c r="F255" s="42" t="n">
        <v>1</v>
      </c>
      <c r="G255" s="42" t="inlineStr">
        <is>
          <t>T2-1</t>
        </is>
      </c>
      <c r="H255" s="42" t="n"/>
    </row>
    <row r="256" ht="15" customHeight="1" s="37">
      <c r="A256" s="42" t="inlineStr">
        <is>
          <t>neem face wash</t>
        </is>
      </c>
      <c r="B256" s="42" t="inlineStr">
        <is>
          <t>Informational</t>
        </is>
      </c>
      <c r="C256" s="55" t="n">
        <v>170</v>
      </c>
      <c r="D256" s="42" t="n">
        <v>6</v>
      </c>
      <c r="E256" s="56" t="n">
        <v>0.46</v>
      </c>
      <c r="F256" s="42" t="n">
        <v>1</v>
      </c>
      <c r="G256" s="42" t="inlineStr">
        <is>
          <t>T2-2</t>
        </is>
      </c>
      <c r="H256" s="42" t="n"/>
    </row>
    <row r="257" ht="15" customHeight="1" s="37">
      <c r="A257" s="42" t="inlineStr">
        <is>
          <t>oud perfume uk</t>
        </is>
      </c>
      <c r="B257" s="42" t="inlineStr">
        <is>
          <t>Informational</t>
        </is>
      </c>
      <c r="C257" s="55" t="n">
        <v>170</v>
      </c>
      <c r="D257" s="42" t="n">
        <v>63</v>
      </c>
      <c r="E257" s="56" t="n">
        <v>0.58</v>
      </c>
      <c r="F257" s="42" t="n">
        <v>1</v>
      </c>
      <c r="G257" s="42" t="n">
        <v>2</v>
      </c>
      <c r="H257" s="42" t="n"/>
    </row>
    <row r="258" ht="15" customHeight="1" s="37">
      <c r="A258" s="42" t="inlineStr">
        <is>
          <t>shiseido zen</t>
        </is>
      </c>
      <c r="B258" s="42" t="inlineStr">
        <is>
          <t>Informational</t>
        </is>
      </c>
      <c r="C258" s="55" t="n">
        <v>170</v>
      </c>
      <c r="D258" s="42" t="n">
        <v>22</v>
      </c>
      <c r="E258" s="56" t="n">
        <v>0.52</v>
      </c>
      <c r="F258" s="42" t="n">
        <v>1</v>
      </c>
      <c r="G258" s="42" t="n">
        <v>7</v>
      </c>
      <c r="H258" s="42" t="n"/>
    </row>
    <row r="259" ht="15" customHeight="1" s="37">
      <c r="A259" s="42" t="inlineStr">
        <is>
          <t>al haramain amber oud ruby edition</t>
        </is>
      </c>
      <c r="B259" s="42" t="inlineStr">
        <is>
          <t>Informational Transactional</t>
        </is>
      </c>
      <c r="C259" s="55" t="n">
        <v>140</v>
      </c>
      <c r="D259" s="42" t="n">
        <v>10</v>
      </c>
      <c r="E259" s="56" t="n">
        <v>0.61</v>
      </c>
      <c r="F259" s="42" t="n">
        <v>1</v>
      </c>
      <c r="G259" s="42" t="n">
        <v>4</v>
      </c>
      <c r="H259" s="42" t="n"/>
    </row>
    <row r="260" ht="15" customHeight="1" s="37">
      <c r="A260" s="42" t="inlineStr">
        <is>
          <t>bentley absolute</t>
        </is>
      </c>
      <c r="B260" s="42" t="inlineStr">
        <is>
          <t>Informational</t>
        </is>
      </c>
      <c r="C260" s="55" t="n">
        <v>140</v>
      </c>
      <c r="D260" s="42" t="n">
        <v>29</v>
      </c>
      <c r="E260" s="56" t="n">
        <v>0</v>
      </c>
      <c r="F260" s="42" t="n">
        <v>1</v>
      </c>
      <c r="G260" s="42" t="n">
        <v>4</v>
      </c>
      <c r="H260" s="42" t="n"/>
    </row>
    <row r="261" ht="15" customHeight="1" s="37">
      <c r="A261" s="42" t="inlineStr">
        <is>
          <t>burberry my burberry black parfum</t>
        </is>
      </c>
      <c r="B261" s="42" t="inlineStr">
        <is>
          <t>Informational Transactional</t>
        </is>
      </c>
      <c r="C261" s="55" t="n">
        <v>140</v>
      </c>
      <c r="D261" s="42" t="n">
        <v>15</v>
      </c>
      <c r="E261" s="56" t="n">
        <v>0.46</v>
      </c>
      <c r="F261" s="42" t="n">
        <v>1</v>
      </c>
      <c r="G261" s="42" t="inlineStr">
        <is>
          <t>T2-1</t>
        </is>
      </c>
      <c r="H261" s="42" t="n"/>
    </row>
    <row r="262" ht="15" customHeight="1" s="37">
      <c r="A262" s="42" t="inlineStr">
        <is>
          <t>deyga</t>
        </is>
      </c>
      <c r="B262" s="42" t="inlineStr">
        <is>
          <t>Navigational</t>
        </is>
      </c>
      <c r="C262" s="55" t="n">
        <v>140</v>
      </c>
      <c r="D262" s="42" t="n">
        <v>28</v>
      </c>
      <c r="E262" s="56" t="n">
        <v>0.3</v>
      </c>
      <c r="F262" s="42" t="n">
        <v>0.77</v>
      </c>
      <c r="G262" s="42" t="n">
        <v>1</v>
      </c>
      <c r="H262" s="42" t="n"/>
    </row>
    <row r="263" ht="15" customHeight="1" s="37">
      <c r="A263" s="42" t="inlineStr">
        <is>
          <t>dolce &amp; gabbana the one eau de parfum</t>
        </is>
      </c>
      <c r="B263" s="42" t="inlineStr">
        <is>
          <t>Informational Transactional</t>
        </is>
      </c>
      <c r="C263" s="55" t="n">
        <v>140</v>
      </c>
      <c r="D263" s="42" t="n">
        <v>15</v>
      </c>
      <c r="E263" s="56" t="n">
        <v>0.55</v>
      </c>
      <c r="F263" s="42" t="n">
        <v>1</v>
      </c>
      <c r="G263" s="42" t="inlineStr">
        <is>
          <t>T2-1</t>
        </is>
      </c>
      <c r="H263" s="42" t="n"/>
    </row>
    <row r="264" ht="15" customHeight="1" s="37">
      <c r="A264" s="42" t="inlineStr">
        <is>
          <t>dunhill desire blue</t>
        </is>
      </c>
      <c r="B264" s="42" t="inlineStr">
        <is>
          <t>Informational</t>
        </is>
      </c>
      <c r="C264" s="55" t="n">
        <v>140</v>
      </c>
      <c r="D264" s="42" t="n">
        <v>19</v>
      </c>
      <c r="E264" s="56" t="n">
        <v>0.34</v>
      </c>
      <c r="F264" s="42" t="n">
        <v>1</v>
      </c>
      <c r="G264" s="42" t="n">
        <v>5</v>
      </c>
      <c r="H264" s="42" t="n"/>
    </row>
    <row r="265" ht="15" customHeight="1" s="37">
      <c r="A265" s="42" t="inlineStr">
        <is>
          <t>dunhill perfume for men</t>
        </is>
      </c>
      <c r="B265" s="42" t="inlineStr">
        <is>
          <t>Informational</t>
        </is>
      </c>
      <c r="C265" s="55" t="n">
        <v>140</v>
      </c>
      <c r="D265" s="42" t="n">
        <v>13</v>
      </c>
      <c r="E265" s="56" t="n">
        <v>0.39</v>
      </c>
      <c r="F265" s="42" t="n">
        <v>1</v>
      </c>
      <c r="G265" s="42" t="n">
        <v>1</v>
      </c>
      <c r="H265" s="42" t="n"/>
    </row>
    <row r="266" ht="15" customHeight="1" s="37">
      <c r="A266" s="42" t="inlineStr">
        <is>
          <t>gucci guilty pour homme eau de toilette</t>
        </is>
      </c>
      <c r="B266" s="42" t="inlineStr">
        <is>
          <t>Informational Transactional</t>
        </is>
      </c>
      <c r="C266" s="55" t="n">
        <v>140</v>
      </c>
      <c r="D266" s="42" t="n">
        <v>25</v>
      </c>
      <c r="E266" s="56" t="n">
        <v>0.45</v>
      </c>
      <c r="F266" s="42" t="n">
        <v>1</v>
      </c>
      <c r="G266" s="42" t="inlineStr">
        <is>
          <t>T2-1</t>
        </is>
      </c>
      <c r="H266" s="42" t="n"/>
    </row>
    <row r="267" ht="15" customHeight="1" s="37">
      <c r="A267" s="42" t="inlineStr">
        <is>
          <t>gucci intense oud review</t>
        </is>
      </c>
      <c r="B267" s="42" t="inlineStr">
        <is>
          <t>Commercial</t>
        </is>
      </c>
      <c r="C267" s="55" t="n">
        <v>140</v>
      </c>
      <c r="D267" s="42" t="n">
        <v>11</v>
      </c>
      <c r="E267" s="56" t="n">
        <v>0</v>
      </c>
      <c r="F267" s="42" t="n">
        <v>1</v>
      </c>
      <c r="G267" s="42" t="inlineStr">
        <is>
          <t>T3-1</t>
        </is>
      </c>
      <c r="H267" s="42" t="n"/>
    </row>
    <row r="268" ht="15" customHeight="1" s="37">
      <c r="A268" s="42" t="inlineStr">
        <is>
          <t>guerlain habit rouge parfum</t>
        </is>
      </c>
      <c r="B268" s="42" t="inlineStr">
        <is>
          <t>Commercial</t>
        </is>
      </c>
      <c r="C268" s="55" t="n">
        <v>140</v>
      </c>
      <c r="D268" s="42" t="n">
        <v>22</v>
      </c>
      <c r="E268" s="56" t="n">
        <v>1.11</v>
      </c>
      <c r="F268" s="42" t="n">
        <v>1</v>
      </c>
      <c r="G268" s="42" t="inlineStr">
        <is>
          <t>T3-1</t>
        </is>
      </c>
      <c r="H268" s="42" t="n"/>
    </row>
    <row r="269" ht="15" customHeight="1" s="37">
      <c r="A269" s="42" t="inlineStr">
        <is>
          <t>guerlain perfume for men</t>
        </is>
      </c>
      <c r="B269" s="42" t="inlineStr">
        <is>
          <t>Commercial</t>
        </is>
      </c>
      <c r="C269" s="55" t="n">
        <v>140</v>
      </c>
      <c r="D269" s="42" t="n">
        <v>15</v>
      </c>
      <c r="E269" s="56" t="n">
        <v>0.91</v>
      </c>
      <c r="F269" s="42" t="n">
        <v>1</v>
      </c>
      <c r="G269" s="42" t="n">
        <v>2</v>
      </c>
      <c r="H269" s="42" t="n"/>
    </row>
    <row r="270" ht="15" customHeight="1" s="37">
      <c r="A270" s="42" t="inlineStr">
        <is>
          <t>hair oil for dandruff</t>
        </is>
      </c>
      <c r="B270" s="42" t="inlineStr">
        <is>
          <t>Informational</t>
        </is>
      </c>
      <c r="C270" s="55" t="n">
        <v>140</v>
      </c>
      <c r="D270" s="42" t="n">
        <v>22</v>
      </c>
      <c r="E270" s="56" t="n">
        <v>0.9399999999999999</v>
      </c>
      <c r="F270" s="42" t="n">
        <v>1</v>
      </c>
      <c r="G270" s="42" t="n">
        <v>3</v>
      </c>
      <c r="H270" s="42" t="n"/>
    </row>
    <row r="271" ht="15" customHeight="1" s="37">
      <c r="A271" s="42" t="inlineStr">
        <is>
          <t>hibiscus hair oil</t>
        </is>
      </c>
      <c r="B271" s="42" t="inlineStr">
        <is>
          <t>Informational</t>
        </is>
      </c>
      <c r="C271" s="55" t="n">
        <v>140</v>
      </c>
      <c r="D271" s="42" t="n">
        <v>7</v>
      </c>
      <c r="E271" s="56" t="n">
        <v>0.34</v>
      </c>
      <c r="F271" s="42" t="n">
        <v>0.99</v>
      </c>
      <c r="G271" s="42" t="inlineStr">
        <is>
          <t>T2-2</t>
        </is>
      </c>
      <c r="H271" s="42" t="n"/>
    </row>
    <row r="272" ht="15" customHeight="1" s="37">
      <c r="A272" s="42" t="inlineStr">
        <is>
          <t>marc jacobs honey review</t>
        </is>
      </c>
      <c r="B272" s="42" t="inlineStr">
        <is>
          <t>Commercial</t>
        </is>
      </c>
      <c r="C272" s="55" t="n">
        <v>140</v>
      </c>
      <c r="D272" s="42" t="n">
        <v>17</v>
      </c>
      <c r="E272" s="56" t="n">
        <v>0</v>
      </c>
      <c r="F272" s="42" t="n">
        <v>1</v>
      </c>
      <c r="G272" s="42" t="inlineStr">
        <is>
          <t>T3-1</t>
        </is>
      </c>
      <c r="H272" s="42" t="n"/>
    </row>
    <row r="273" ht="15" customHeight="1" s="37">
      <c r="A273" s="42" t="inlineStr">
        <is>
          <t>milk face wash</t>
        </is>
      </c>
      <c r="B273" s="42" t="inlineStr">
        <is>
          <t>Informational</t>
        </is>
      </c>
      <c r="C273" s="55" t="n">
        <v>140</v>
      </c>
      <c r="D273" s="42" t="n">
        <v>15</v>
      </c>
      <c r="E273" s="56" t="n">
        <v>0.89</v>
      </c>
      <c r="F273" s="42" t="n">
        <v>1</v>
      </c>
      <c r="G273" s="42" t="inlineStr">
        <is>
          <t>T2-3</t>
        </is>
      </c>
      <c r="H273" s="42" t="n"/>
    </row>
    <row r="274" ht="15" customHeight="1" s="37">
      <c r="A274" s="42" t="inlineStr">
        <is>
          <t>multani mitti face pack</t>
        </is>
      </c>
      <c r="B274" s="42" t="inlineStr">
        <is>
          <t>Informational</t>
        </is>
      </c>
      <c r="C274" s="55" t="n">
        <v>140</v>
      </c>
      <c r="D274" s="42" t="n">
        <v>25</v>
      </c>
      <c r="E274" s="56" t="n">
        <v>0</v>
      </c>
      <c r="F274" s="42" t="n">
        <v>1</v>
      </c>
      <c r="G274" s="42" t="inlineStr">
        <is>
          <t>T2-2</t>
        </is>
      </c>
      <c r="H274" s="42" t="n"/>
    </row>
    <row r="275" ht="15" customHeight="1" s="37">
      <c r="A275" s="42" t="inlineStr">
        <is>
          <t>natural moisturiser uk</t>
        </is>
      </c>
      <c r="B275" s="42" t="inlineStr">
        <is>
          <t>Informational</t>
        </is>
      </c>
      <c r="C275" s="55" t="n">
        <v>140</v>
      </c>
      <c r="D275" s="42" t="n">
        <v>16</v>
      </c>
      <c r="E275" s="56" t="n">
        <v>0.9399999999999999</v>
      </c>
      <c r="F275" s="42" t="n">
        <v>0.99</v>
      </c>
      <c r="G275" s="42" t="n">
        <v>3</v>
      </c>
      <c r="H275" s="42" t="n"/>
    </row>
    <row r="276" ht="15" customHeight="1" s="37">
      <c r="A276" s="42" t="inlineStr">
        <is>
          <t>signature blue</t>
        </is>
      </c>
      <c r="B276" s="42" t="inlineStr">
        <is>
          <t>Informational</t>
        </is>
      </c>
      <c r="C276" s="55" t="n">
        <v>140</v>
      </c>
      <c r="D276" s="42" t="n">
        <v>10</v>
      </c>
      <c r="E276" s="56" t="n">
        <v>0</v>
      </c>
      <c r="F276" s="42" t="n">
        <v>0.01</v>
      </c>
      <c r="G276" s="42" t="n">
        <v>7</v>
      </c>
      <c r="H276" s="42" t="n"/>
    </row>
    <row r="277" ht="15" customHeight="1" s="37">
      <c r="A277" s="42" t="inlineStr">
        <is>
          <t>tom ford neroli portofino eau de parfum</t>
        </is>
      </c>
      <c r="B277" s="42" t="inlineStr">
        <is>
          <t>Informational</t>
        </is>
      </c>
      <c r="C277" s="55" t="n">
        <v>140</v>
      </c>
      <c r="D277" s="42" t="n">
        <v>18</v>
      </c>
      <c r="E277" s="56" t="n">
        <v>0.7</v>
      </c>
      <c r="F277" s="42" t="n">
        <v>1</v>
      </c>
      <c r="G277" s="42" t="inlineStr">
        <is>
          <t>T2-1</t>
        </is>
      </c>
      <c r="H277" s="42" t="n"/>
    </row>
    <row r="278" ht="15" customHeight="1" s="37">
      <c r="A278" s="42" t="inlineStr">
        <is>
          <t>ubtan</t>
        </is>
      </c>
      <c r="B278" s="42" t="inlineStr">
        <is>
          <t>Informational</t>
        </is>
      </c>
      <c r="C278" s="55" t="n">
        <v>140</v>
      </c>
      <c r="D278" s="42" t="n">
        <v>9</v>
      </c>
      <c r="E278" s="56" t="n">
        <v>0</v>
      </c>
      <c r="F278" s="42" t="n">
        <v>0.95</v>
      </c>
      <c r="G278" s="42" t="inlineStr">
        <is>
          <t>T2-2</t>
        </is>
      </c>
      <c r="H278" s="42" t="n"/>
    </row>
    <row r="279" ht="15" customHeight="1" s="37">
      <c r="A279" s="42" t="inlineStr">
        <is>
          <t>al haramain amber oud bleu edition</t>
        </is>
      </c>
      <c r="B279" s="42" t="inlineStr">
        <is>
          <t>Informational</t>
        </is>
      </c>
      <c r="C279" s="55" t="n">
        <v>110</v>
      </c>
      <c r="D279" s="42" t="n">
        <v>19</v>
      </c>
      <c r="E279" s="56" t="n">
        <v>0</v>
      </c>
      <c r="F279" s="42" t="n">
        <v>1</v>
      </c>
      <c r="G279" s="42" t="n">
        <v>4</v>
      </c>
      <c r="H279" s="42" t="n"/>
    </row>
    <row r="280" ht="15" customHeight="1" s="37">
      <c r="A280" s="42" t="inlineStr">
        <is>
          <t>al haramain amber oud carbon edition</t>
        </is>
      </c>
      <c r="B280" s="42" t="inlineStr">
        <is>
          <t>Informational</t>
        </is>
      </c>
      <c r="C280" s="55" t="n">
        <v>110</v>
      </c>
      <c r="D280" s="42" t="n">
        <v>9</v>
      </c>
      <c r="E280" s="56" t="n">
        <v>0</v>
      </c>
      <c r="F280" s="42" t="n">
        <v>1</v>
      </c>
      <c r="G280" s="42" t="n">
        <v>4</v>
      </c>
      <c r="H280" s="42" t="n"/>
    </row>
    <row r="281" ht="15" customHeight="1" s="37">
      <c r="A281" s="42" t="inlineStr">
        <is>
          <t>al haramain l'aventure intense</t>
        </is>
      </c>
      <c r="B281" s="42" t="inlineStr">
        <is>
          <t>Informational</t>
        </is>
      </c>
      <c r="C281" s="55" t="n">
        <v>110</v>
      </c>
      <c r="D281" s="42" t="n">
        <v>22</v>
      </c>
      <c r="E281" s="56" t="n">
        <v>0.41</v>
      </c>
      <c r="F281" s="42" t="n">
        <v>1</v>
      </c>
      <c r="G281" s="42" t="n">
        <v>4</v>
      </c>
      <c r="H281" s="42" t="n"/>
    </row>
    <row r="282" ht="15" customHeight="1" s="37">
      <c r="A282" s="42" t="inlineStr">
        <is>
          <t>bvlgari man in black eau de parfum</t>
        </is>
      </c>
      <c r="B282" s="42" t="inlineStr">
        <is>
          <t>Informational</t>
        </is>
      </c>
      <c r="C282" s="55" t="n">
        <v>110</v>
      </c>
      <c r="D282" s="42" t="n">
        <v>17</v>
      </c>
      <c r="E282" s="56" t="n">
        <v>0.4</v>
      </c>
      <c r="F282" s="42" t="n">
        <v>1</v>
      </c>
      <c r="G282" s="42" t="inlineStr">
        <is>
          <t>T2-1</t>
        </is>
      </c>
      <c r="H282" s="42" t="n"/>
    </row>
    <row r="283" ht="15" customHeight="1" s="37">
      <c r="A283" s="42" t="inlineStr">
        <is>
          <t>chloe nomade gift set</t>
        </is>
      </c>
      <c r="B283" s="42" t="inlineStr">
        <is>
          <t>Informational</t>
        </is>
      </c>
      <c r="C283" s="55" t="n">
        <v>110</v>
      </c>
      <c r="D283" s="42" t="n">
        <v>13</v>
      </c>
      <c r="E283" s="56" t="n">
        <v>0.5</v>
      </c>
      <c r="F283" s="42" t="n">
        <v>1</v>
      </c>
      <c r="G283" s="42" t="n">
        <v>4</v>
      </c>
      <c r="H283" s="42" t="n"/>
    </row>
    <row r="284" ht="15" customHeight="1" s="37">
      <c r="A284" s="42" t="inlineStr">
        <is>
          <t>chopard black incense malaki</t>
        </is>
      </c>
      <c r="B284" s="42" t="inlineStr">
        <is>
          <t>Informational Transactional</t>
        </is>
      </c>
      <c r="C284" s="55" t="n">
        <v>110</v>
      </c>
      <c r="D284" s="42" t="n">
        <v>20</v>
      </c>
      <c r="E284" s="56" t="n">
        <v>0.6</v>
      </c>
      <c r="F284" s="42" t="n">
        <v>1</v>
      </c>
      <c r="G284" s="42" t="n">
        <v>4</v>
      </c>
      <c r="H284" s="42" t="n"/>
    </row>
    <row r="285" ht="15" customHeight="1" s="37">
      <c r="A285" s="42" t="inlineStr">
        <is>
          <t>davidoff perfume for men</t>
        </is>
      </c>
      <c r="B285" s="42" t="inlineStr">
        <is>
          <t>Informational</t>
        </is>
      </c>
      <c r="C285" s="55" t="n">
        <v>110</v>
      </c>
      <c r="D285" s="42" t="n">
        <v>16</v>
      </c>
      <c r="E285" s="56" t="n">
        <v>0.36</v>
      </c>
      <c r="F285" s="42" t="n">
        <v>1</v>
      </c>
      <c r="G285" s="42" t="n">
        <v>1</v>
      </c>
      <c r="H285" s="42" t="n"/>
    </row>
    <row r="286" ht="15" customHeight="1" s="37">
      <c r="A286" s="42" t="inlineStr">
        <is>
          <t>dolce &amp; gabbana devotion eau de parfum</t>
        </is>
      </c>
      <c r="B286" s="42" t="inlineStr">
        <is>
          <t>Informational Transactional</t>
        </is>
      </c>
      <c r="C286" s="55" t="n">
        <v>110</v>
      </c>
      <c r="D286" s="42" t="n">
        <v>22</v>
      </c>
      <c r="E286" s="56" t="n">
        <v>0.53</v>
      </c>
      <c r="F286" s="42" t="n">
        <v>1</v>
      </c>
      <c r="G286" s="42" t="inlineStr">
        <is>
          <t>T2-1</t>
        </is>
      </c>
      <c r="H286" s="42" t="n"/>
    </row>
    <row r="287" ht="15" customHeight="1" s="37">
      <c r="A287" s="42" t="inlineStr">
        <is>
          <t>game of spades full house uk</t>
        </is>
      </c>
      <c r="B287" s="42" t="inlineStr">
        <is>
          <t>Informational</t>
        </is>
      </c>
      <c r="C287" s="55" t="n">
        <v>110</v>
      </c>
      <c r="D287" s="42" t="n">
        <v>19</v>
      </c>
      <c r="E287" s="56" t="n">
        <v>0.64</v>
      </c>
      <c r="F287" s="42" t="n">
        <v>0.93</v>
      </c>
      <c r="G287" s="42" t="inlineStr">
        <is>
          <t>T2-1</t>
        </is>
      </c>
      <c r="H287" s="42" t="n"/>
    </row>
    <row r="288" ht="15" customHeight="1" s="37">
      <c r="A288" s="42" t="inlineStr">
        <is>
          <t>game of spades win</t>
        </is>
      </c>
      <c r="B288" s="42" t="inlineStr">
        <is>
          <t>Informational</t>
        </is>
      </c>
      <c r="C288" s="55" t="n">
        <v>110</v>
      </c>
      <c r="D288" s="42" t="n">
        <v>25</v>
      </c>
      <c r="E288" s="56" t="n">
        <v>0</v>
      </c>
      <c r="F288" s="42" t="n">
        <v>1</v>
      </c>
      <c r="G288" s="42" t="n">
        <v>6</v>
      </c>
      <c r="H288" s="42" t="n"/>
    </row>
    <row r="289" ht="15" customHeight="1" s="37">
      <c r="A289" s="42" t="inlineStr">
        <is>
          <t>goat milk body lotion</t>
        </is>
      </c>
      <c r="B289" s="42" t="inlineStr">
        <is>
          <t>Informational</t>
        </is>
      </c>
      <c r="C289" s="55" t="n">
        <v>110</v>
      </c>
      <c r="D289" s="42" t="n">
        <v>5</v>
      </c>
      <c r="E289" s="56" t="n">
        <v>0.49</v>
      </c>
      <c r="F289" s="42" t="n">
        <v>1</v>
      </c>
      <c r="G289" s="42" t="inlineStr">
        <is>
          <t>T2-2</t>
        </is>
      </c>
      <c r="H289" s="42" t="n"/>
    </row>
    <row r="290" ht="15" customHeight="1" s="37">
      <c r="A290" s="42" t="inlineStr">
        <is>
          <t>goat milk shampoo</t>
        </is>
      </c>
      <c r="B290" s="42" t="inlineStr">
        <is>
          <t>Informational</t>
        </is>
      </c>
      <c r="C290" s="55" t="n">
        <v>110</v>
      </c>
      <c r="D290" s="42" t="n">
        <v>4</v>
      </c>
      <c r="E290" s="56" t="n">
        <v>0.76</v>
      </c>
      <c r="F290" s="42" t="n">
        <v>1</v>
      </c>
      <c r="G290" s="42" t="inlineStr">
        <is>
          <t>T2-2</t>
        </is>
      </c>
      <c r="H290" s="42" t="n"/>
    </row>
    <row r="291" ht="15" customHeight="1" s="37">
      <c r="A291" s="42" t="inlineStr">
        <is>
          <t>gucci intense oud eau de parfum</t>
        </is>
      </c>
      <c r="B291" s="42" t="inlineStr">
        <is>
          <t>Informational</t>
        </is>
      </c>
      <c r="C291" s="55" t="n">
        <v>110</v>
      </c>
      <c r="D291" s="42" t="n">
        <v>19</v>
      </c>
      <c r="E291" s="56" t="n">
        <v>0.58</v>
      </c>
      <c r="F291" s="42" t="n">
        <v>1</v>
      </c>
      <c r="G291" s="42" t="inlineStr">
        <is>
          <t>T2-1</t>
        </is>
      </c>
      <c r="H291" s="42" t="n"/>
    </row>
    <row r="292" ht="15" customHeight="1" s="37">
      <c r="A292" s="42" t="inlineStr">
        <is>
          <t>gucci intense oud price</t>
        </is>
      </c>
      <c r="B292" s="42" t="inlineStr">
        <is>
          <t>Transactional</t>
        </is>
      </c>
      <c r="C292" s="55" t="n">
        <v>110</v>
      </c>
      <c r="D292" s="42" t="n">
        <v>19</v>
      </c>
      <c r="E292" s="56" t="n">
        <v>0.29</v>
      </c>
      <c r="F292" s="42" t="n">
        <v>1</v>
      </c>
      <c r="G292" s="42" t="inlineStr">
        <is>
          <t>T3-1</t>
        </is>
      </c>
      <c r="H292" s="42" t="n"/>
    </row>
    <row r="293" ht="15" customHeight="1" s="37">
      <c r="A293" s="42" t="inlineStr">
        <is>
          <t>hair removal powder</t>
        </is>
      </c>
      <c r="B293" s="42" t="inlineStr">
        <is>
          <t>Informational</t>
        </is>
      </c>
      <c r="C293" s="55" t="n">
        <v>110</v>
      </c>
      <c r="D293" s="42" t="n">
        <v>21</v>
      </c>
      <c r="E293" s="56" t="n">
        <v>0.23</v>
      </c>
      <c r="F293" s="42" t="n">
        <v>1</v>
      </c>
      <c r="G293" s="42" t="inlineStr">
        <is>
          <t>T2-3</t>
        </is>
      </c>
      <c r="H293" s="42" t="n"/>
    </row>
    <row r="294" ht="15" customHeight="1" s="37">
      <c r="A294" s="42" t="inlineStr">
        <is>
          <t>philipp plein perfume</t>
        </is>
      </c>
      <c r="B294" s="42" t="inlineStr">
        <is>
          <t>Informational Transactional</t>
        </is>
      </c>
      <c r="C294" s="55" t="n">
        <v>110</v>
      </c>
      <c r="D294" s="42" t="n">
        <v>20</v>
      </c>
      <c r="E294" s="56" t="n">
        <v>0.58</v>
      </c>
      <c r="F294" s="42" t="n">
        <v>1</v>
      </c>
      <c r="G294" s="42" t="n">
        <v>2</v>
      </c>
      <c r="H294" s="42" t="n"/>
    </row>
    <row r="295" ht="15" customHeight="1" s="37">
      <c r="A295" s="42" t="inlineStr">
        <is>
          <t>armaf hunter</t>
        </is>
      </c>
      <c r="B295" s="42" t="inlineStr">
        <is>
          <t>Informational</t>
        </is>
      </c>
      <c r="C295" s="55" t="n">
        <v>90</v>
      </c>
      <c r="D295" s="42" t="n">
        <v>10</v>
      </c>
      <c r="E295" s="56" t="n">
        <v>0</v>
      </c>
      <c r="F295" s="42" t="n">
        <v>1</v>
      </c>
      <c r="G295" s="42" t="n">
        <v>4</v>
      </c>
      <c r="H295" s="42" t="n"/>
    </row>
    <row r="296" ht="15" customHeight="1" s="37">
      <c r="A296" s="42" t="inlineStr">
        <is>
          <t>beetroot lip balm</t>
        </is>
      </c>
      <c r="B296" s="42" t="inlineStr">
        <is>
          <t>Informational</t>
        </is>
      </c>
      <c r="C296" s="55" t="n">
        <v>90</v>
      </c>
      <c r="D296" s="42" t="n">
        <v>9</v>
      </c>
      <c r="E296" s="56" t="n">
        <v>0.42</v>
      </c>
      <c r="F296" s="42" t="n">
        <v>1</v>
      </c>
      <c r="G296" s="42" t="inlineStr">
        <is>
          <t>T2-2</t>
        </is>
      </c>
      <c r="H296" s="42" t="n"/>
    </row>
    <row r="297" ht="15" customHeight="1" s="37">
      <c r="A297" s="42" t="inlineStr">
        <is>
          <t>bvlgari perfume for men</t>
        </is>
      </c>
      <c r="B297" s="42" t="inlineStr">
        <is>
          <t>Informational</t>
        </is>
      </c>
      <c r="C297" s="55" t="n">
        <v>90</v>
      </c>
      <c r="D297" s="42" t="n">
        <v>24</v>
      </c>
      <c r="E297" s="56" t="n">
        <v>0.35</v>
      </c>
      <c r="F297" s="42" t="n">
        <v>1</v>
      </c>
      <c r="G297" s="42" t="n">
        <v>1</v>
      </c>
      <c r="H297" s="42" t="n"/>
    </row>
    <row r="298" ht="15" customHeight="1" s="37">
      <c r="A298" s="42" t="inlineStr">
        <is>
          <t>cruelty free skincare uk</t>
        </is>
      </c>
      <c r="B298" s="42" t="inlineStr">
        <is>
          <t>Informational</t>
        </is>
      </c>
      <c r="C298" s="55" t="n">
        <v>90</v>
      </c>
      <c r="D298" s="42" t="n">
        <v>49</v>
      </c>
      <c r="E298" s="56" t="n">
        <v>1.39</v>
      </c>
      <c r="F298" s="42" t="n">
        <v>1</v>
      </c>
      <c r="G298" s="42" t="inlineStr">
        <is>
          <t>T2-3</t>
        </is>
      </c>
      <c r="H298" s="42" t="n"/>
    </row>
    <row r="299" ht="15" customHeight="1" s="37">
      <c r="A299" s="42" t="inlineStr">
        <is>
          <t>davidoff perfume for women</t>
        </is>
      </c>
      <c r="B299" s="42" t="inlineStr">
        <is>
          <t>Informational</t>
        </is>
      </c>
      <c r="C299" s="55" t="n">
        <v>90</v>
      </c>
      <c r="D299" s="42" t="n">
        <v>19</v>
      </c>
      <c r="E299" s="56" t="n">
        <v>0.25</v>
      </c>
      <c r="F299" s="42" t="n">
        <v>1</v>
      </c>
      <c r="G299" s="42" t="n">
        <v>1</v>
      </c>
      <c r="H299" s="42" t="n"/>
    </row>
    <row r="300" ht="15" customHeight="1" s="37">
      <c r="A300" s="42" t="inlineStr">
        <is>
          <t>estee lauder perfume for women</t>
        </is>
      </c>
      <c r="B300" s="42" t="inlineStr">
        <is>
          <t>Informational Transactional</t>
        </is>
      </c>
      <c r="C300" s="55" t="n">
        <v>90</v>
      </c>
      <c r="D300" s="42" t="n">
        <v>22</v>
      </c>
      <c r="E300" s="56" t="n">
        <v>0.28</v>
      </c>
      <c r="F300" s="42" t="n">
        <v>1</v>
      </c>
      <c r="G300" s="42" t="n">
        <v>1</v>
      </c>
      <c r="H300" s="42" t="n"/>
    </row>
    <row r="301" ht="15" customHeight="1" s="37">
      <c r="A301" s="42" t="inlineStr">
        <is>
          <t>guerlain epices exquises</t>
        </is>
      </c>
      <c r="B301" s="42" t="inlineStr">
        <is>
          <t>Informational Transactional</t>
        </is>
      </c>
      <c r="C301" s="55" t="n">
        <v>90</v>
      </c>
      <c r="D301" s="42" t="n">
        <v>20</v>
      </c>
      <c r="E301" s="56" t="n">
        <v>0.78</v>
      </c>
      <c r="F301" s="42" t="n">
        <v>1</v>
      </c>
      <c r="G301" s="42" t="n">
        <v>6</v>
      </c>
      <c r="H301" s="42" t="n"/>
    </row>
    <row r="302" ht="15" customHeight="1" s="37">
      <c r="A302" s="42" t="inlineStr">
        <is>
          <t>hugo boss hugo man eau de toilette</t>
        </is>
      </c>
      <c r="B302" s="42" t="inlineStr">
        <is>
          <t>Informational</t>
        </is>
      </c>
      <c r="C302" s="55" t="n">
        <v>90</v>
      </c>
      <c r="D302" s="42" t="n">
        <v>22</v>
      </c>
      <c r="E302" s="56" t="n">
        <v>0.34</v>
      </c>
      <c r="F302" s="42" t="n">
        <v>1</v>
      </c>
      <c r="G302" s="42" t="inlineStr">
        <is>
          <t>T2-1</t>
        </is>
      </c>
      <c r="H302" s="42" t="n"/>
    </row>
    <row r="303" ht="15" customHeight="1" s="37">
      <c r="A303" s="42" t="inlineStr">
        <is>
          <t>jo milano perfume</t>
        </is>
      </c>
      <c r="B303" s="42" t="inlineStr">
        <is>
          <t>Informational</t>
        </is>
      </c>
      <c r="C303" s="55" t="n">
        <v>90</v>
      </c>
      <c r="D303" s="42" t="n">
        <v>20</v>
      </c>
      <c r="E303" s="56" t="n">
        <v>0.41</v>
      </c>
      <c r="F303" s="42" t="n">
        <v>1</v>
      </c>
      <c r="G303" s="42" t="n">
        <v>2</v>
      </c>
      <c r="H303" s="42" t="n"/>
    </row>
    <row r="304" ht="15" customHeight="1" s="37">
      <c r="A304" s="42" t="inlineStr">
        <is>
          <t>mancera intense red tobacco</t>
        </is>
      </c>
      <c r="B304" s="42" t="inlineStr">
        <is>
          <t>Informational</t>
        </is>
      </c>
      <c r="C304" s="55" t="n">
        <v>90</v>
      </c>
      <c r="D304" s="42" t="n">
        <v>14</v>
      </c>
      <c r="E304" s="56" t="n">
        <v>0.49</v>
      </c>
      <c r="F304" s="42" t="n">
        <v>1</v>
      </c>
      <c r="G304" s="42" t="n">
        <v>7</v>
      </c>
      <c r="H304" s="42" t="n"/>
    </row>
    <row r="305" ht="15" customHeight="1" s="37">
      <c r="A305" s="42" t="inlineStr">
        <is>
          <t>natural body lotion uk</t>
        </is>
      </c>
      <c r="B305" s="42" t="inlineStr">
        <is>
          <t>Informational</t>
        </is>
      </c>
      <c r="C305" s="55" t="n">
        <v>90</v>
      </c>
      <c r="D305" s="42" t="n">
        <v>16</v>
      </c>
      <c r="E305" s="56" t="n">
        <v>0.68</v>
      </c>
      <c r="F305" s="42" t="n">
        <v>1</v>
      </c>
      <c r="G305" s="42" t="n">
        <v>3</v>
      </c>
      <c r="H305" s="42" t="n"/>
    </row>
    <row r="306" ht="15" customHeight="1" s="37">
      <c r="A306" s="42" t="inlineStr">
        <is>
          <t>paloma perfume</t>
        </is>
      </c>
      <c r="B306" s="42" t="inlineStr">
        <is>
          <t>Informational</t>
        </is>
      </c>
      <c r="C306" s="55" t="n">
        <v>90</v>
      </c>
      <c r="D306" s="42" t="n">
        <v>13</v>
      </c>
      <c r="E306" s="56" t="n">
        <v>0.48</v>
      </c>
      <c r="F306" s="42" t="n">
        <v>0.99</v>
      </c>
      <c r="G306" s="42" t="n">
        <v>2</v>
      </c>
      <c r="H306" s="42" t="n"/>
    </row>
    <row r="307" ht="15" customHeight="1" s="37">
      <c r="A307" s="42" t="inlineStr">
        <is>
          <t>shampoo for dry skin</t>
        </is>
      </c>
      <c r="B307" s="42" t="inlineStr">
        <is>
          <t>Informational Commercial</t>
        </is>
      </c>
      <c r="C307" s="55" t="n">
        <v>90</v>
      </c>
      <c r="D307" s="42" t="n">
        <v>22</v>
      </c>
      <c r="E307" s="56" t="n">
        <v>0.95</v>
      </c>
      <c r="F307" s="42" t="n">
        <v>0.99</v>
      </c>
      <c r="G307" s="42" t="n">
        <v>3</v>
      </c>
      <c r="H307" s="42" t="n"/>
    </row>
    <row r="308" ht="15" customHeight="1" s="37">
      <c r="A308" s="42" t="inlineStr">
        <is>
          <t>tiziana terenzi andromeda</t>
        </is>
      </c>
      <c r="B308" s="42" t="inlineStr">
        <is>
          <t>Informational</t>
        </is>
      </c>
      <c r="C308" s="55" t="n">
        <v>90</v>
      </c>
      <c r="D308" s="42" t="n">
        <v>19</v>
      </c>
      <c r="E308" s="56" t="n">
        <v>0.55</v>
      </c>
      <c r="F308" s="42" t="n">
        <v>1</v>
      </c>
      <c r="G308" s="42" t="n">
        <v>7</v>
      </c>
      <c r="H308" s="42" t="n"/>
    </row>
    <row r="309" ht="15" customHeight="1" s="37">
      <c r="A309" s="42" t="inlineStr">
        <is>
          <t>tiziana terenzi gold rose oudh</t>
        </is>
      </c>
      <c r="B309" s="42" t="inlineStr">
        <is>
          <t>Informational</t>
        </is>
      </c>
      <c r="C309" s="55" t="n">
        <v>90</v>
      </c>
      <c r="D309" s="42" t="n">
        <v>15</v>
      </c>
      <c r="E309" s="56" t="n">
        <v>0.61</v>
      </c>
      <c r="F309" s="42" t="n">
        <v>1</v>
      </c>
      <c r="G309" s="42" t="n">
        <v>8</v>
      </c>
      <c r="H309" s="42" t="n"/>
    </row>
    <row r="310" ht="15" customHeight="1" s="37">
      <c r="A310" s="42" t="inlineStr">
        <is>
          <t>vilvah store</t>
        </is>
      </c>
      <c r="B310" s="42" t="inlineStr">
        <is>
          <t>Navigational</t>
        </is>
      </c>
      <c r="C310" s="55" t="n">
        <v>90</v>
      </c>
      <c r="D310" s="42" t="n">
        <v>36</v>
      </c>
      <c r="E310" s="56" t="n">
        <v>1.14</v>
      </c>
      <c r="F310" s="42" t="n">
        <v>1</v>
      </c>
      <c r="G310" s="42" t="n">
        <v>3</v>
      </c>
      <c r="H310" s="42" t="n"/>
    </row>
    <row r="311" ht="15" customHeight="1" s="37">
      <c r="A311" s="42" t="inlineStr">
        <is>
          <t>acqua di parma oud &amp; spice</t>
        </is>
      </c>
      <c r="B311" s="42" t="inlineStr">
        <is>
          <t>Informational</t>
        </is>
      </c>
      <c r="C311" s="55" t="n">
        <v>70</v>
      </c>
      <c r="D311" s="42" t="n">
        <v>13</v>
      </c>
      <c r="E311" s="56" t="n">
        <v>0.5</v>
      </c>
      <c r="F311" s="42" t="n">
        <v>1</v>
      </c>
      <c r="G311" s="42" t="n">
        <v>4</v>
      </c>
      <c r="H311" s="42" t="n"/>
    </row>
    <row r="312" ht="15" customHeight="1" s="37">
      <c r="A312" s="42" t="inlineStr">
        <is>
          <t>al haramain l'aventure femme</t>
        </is>
      </c>
      <c r="B312" s="42" t="inlineStr">
        <is>
          <t>Informational</t>
        </is>
      </c>
      <c r="C312" s="55" t="n">
        <v>70</v>
      </c>
      <c r="D312" s="42" t="n">
        <v>19</v>
      </c>
      <c r="E312" s="56" t="n">
        <v>0</v>
      </c>
      <c r="F312" s="42" t="n">
        <v>1</v>
      </c>
      <c r="G312" s="42" t="n">
        <v>4</v>
      </c>
      <c r="H312" s="42" t="n"/>
    </row>
    <row r="313" ht="15" customHeight="1" s="37">
      <c r="A313" s="42" t="inlineStr">
        <is>
          <t>armaf perfume for men</t>
        </is>
      </c>
      <c r="B313" s="42" t="inlineStr">
        <is>
          <t>Informational Transactional</t>
        </is>
      </c>
      <c r="C313" s="55" t="n">
        <v>70</v>
      </c>
      <c r="D313" s="42" t="n">
        <v>13</v>
      </c>
      <c r="E313" s="56" t="n">
        <v>0.2</v>
      </c>
      <c r="F313" s="42" t="n">
        <v>1</v>
      </c>
      <c r="G313" s="42" t="n">
        <v>1</v>
      </c>
      <c r="H313" s="42" t="n"/>
    </row>
    <row r="314" ht="15" customHeight="1" s="37">
      <c r="A314" s="42" t="inlineStr">
        <is>
          <t>body scrub for dry skin</t>
        </is>
      </c>
      <c r="B314" s="42" t="inlineStr">
        <is>
          <t>Informational</t>
        </is>
      </c>
      <c r="C314" s="55" t="n">
        <v>70</v>
      </c>
      <c r="D314" s="42" t="n">
        <v>36</v>
      </c>
      <c r="E314" s="56" t="n">
        <v>0.49</v>
      </c>
      <c r="F314" s="42" t="n">
        <v>1</v>
      </c>
      <c r="G314" s="42" t="n">
        <v>2</v>
      </c>
      <c r="H314" s="42" t="n"/>
    </row>
    <row r="315" ht="15" customHeight="1" s="37">
      <c r="A315" s="42" t="inlineStr">
        <is>
          <t>bvlgari perfume for women</t>
        </is>
      </c>
      <c r="B315" s="42" t="inlineStr">
        <is>
          <t>Informational</t>
        </is>
      </c>
      <c r="C315" s="55" t="n">
        <v>70</v>
      </c>
      <c r="D315" s="42" t="n">
        <v>28</v>
      </c>
      <c r="E315" s="56" t="n">
        <v>0.25</v>
      </c>
      <c r="F315" s="42" t="n">
        <v>1</v>
      </c>
      <c r="G315" s="42" t="n">
        <v>1</v>
      </c>
      <c r="H315" s="42" t="n"/>
    </row>
    <row r="316" ht="15" customHeight="1" s="37">
      <c r="A316" s="42" t="inlineStr">
        <is>
          <t>chloe rose naturelle intense</t>
        </is>
      </c>
      <c r="B316" s="42" t="inlineStr">
        <is>
          <t>Navigational</t>
        </is>
      </c>
      <c r="C316" s="55" t="n">
        <v>70</v>
      </c>
      <c r="D316" s="42" t="n">
        <v>19</v>
      </c>
      <c r="E316" s="56" t="n">
        <v>0.34</v>
      </c>
      <c r="F316" s="42" t="n">
        <v>1</v>
      </c>
      <c r="G316" s="42" t="n">
        <v>4</v>
      </c>
      <c r="H316" s="42" t="n"/>
    </row>
    <row r="317" ht="15" customHeight="1" s="37">
      <c r="A317" s="42" t="inlineStr">
        <is>
          <t>citrus perfume uk</t>
        </is>
      </c>
      <c r="B317" s="42" t="inlineStr">
        <is>
          <t>Informational Transactional</t>
        </is>
      </c>
      <c r="C317" s="55" t="n">
        <v>70</v>
      </c>
      <c r="D317" s="42" t="n">
        <v>20</v>
      </c>
      <c r="E317" s="56" t="n">
        <v>0</v>
      </c>
      <c r="F317" s="42" t="n">
        <v>0.33</v>
      </c>
      <c r="G317" s="42" t="n">
        <v>1</v>
      </c>
      <c r="H317" s="42" t="n"/>
    </row>
    <row r="318" ht="15" customHeight="1" s="37">
      <c r="A318" s="42" t="inlineStr">
        <is>
          <t>davidoff the game perfume</t>
        </is>
      </c>
      <c r="B318" s="42" t="inlineStr">
        <is>
          <t>Informational</t>
        </is>
      </c>
      <c r="C318" s="55" t="n">
        <v>70</v>
      </c>
      <c r="D318" s="42" t="n">
        <v>18</v>
      </c>
      <c r="E318" s="56" t="n">
        <v>0.27</v>
      </c>
      <c r="F318" s="42" t="n">
        <v>1</v>
      </c>
      <c r="G318" s="42" t="inlineStr">
        <is>
          <t>T3-1</t>
        </is>
      </c>
      <c r="H318" s="42" t="n"/>
    </row>
    <row r="319" ht="15" customHeight="1" s="37">
      <c r="A319" s="42" t="inlineStr">
        <is>
          <t>deyga lip balm</t>
        </is>
      </c>
      <c r="B319" s="42" t="inlineStr">
        <is>
          <t>Transactional</t>
        </is>
      </c>
      <c r="C319" s="55" t="n">
        <v>70</v>
      </c>
      <c r="D319" s="42" t="n">
        <v>16</v>
      </c>
      <c r="E319" s="56" t="n">
        <v>0.35</v>
      </c>
      <c r="F319" s="42" t="n">
        <v>0.98</v>
      </c>
      <c r="G319" s="42" t="n">
        <v>2</v>
      </c>
      <c r="H319" s="42" t="n"/>
    </row>
    <row r="320" ht="15" customHeight="1" s="37">
      <c r="A320" s="42" t="inlineStr">
        <is>
          <t>deyga organics</t>
        </is>
      </c>
      <c r="B320" s="42" t="inlineStr">
        <is>
          <t>Navigational</t>
        </is>
      </c>
      <c r="C320" s="55" t="n">
        <v>70</v>
      </c>
      <c r="D320" s="42" t="n">
        <v>29</v>
      </c>
      <c r="E320" s="56" t="n">
        <v>0.62</v>
      </c>
      <c r="F320" s="42" t="n">
        <v>1</v>
      </c>
      <c r="G320" s="42" t="n">
        <v>3</v>
      </c>
      <c r="H320" s="42" t="n"/>
    </row>
    <row r="321" ht="15" customHeight="1" s="37">
      <c r="A321" s="42" t="inlineStr">
        <is>
          <t>dolce &amp; gabbana the one intense</t>
        </is>
      </c>
      <c r="B321" s="42" t="inlineStr">
        <is>
          <t>Informational</t>
        </is>
      </c>
      <c r="C321" s="55" t="n">
        <v>70</v>
      </c>
      <c r="D321" s="42" t="n">
        <v>21</v>
      </c>
      <c r="E321" s="56" t="n">
        <v>0</v>
      </c>
      <c r="F321" s="42" t="n">
        <v>1</v>
      </c>
      <c r="G321" s="42" t="n">
        <v>5</v>
      </c>
      <c r="H321" s="42" t="n"/>
    </row>
    <row r="322" ht="15" customHeight="1" s="37">
      <c r="A322" s="42" t="inlineStr">
        <is>
          <t>escada party love</t>
        </is>
      </c>
      <c r="B322" s="42" t="inlineStr">
        <is>
          <t>Informational Commercial</t>
        </is>
      </c>
      <c r="C322" s="55" t="n">
        <v>70</v>
      </c>
      <c r="D322" s="42" t="n">
        <v>20</v>
      </c>
      <c r="E322" s="56" t="n">
        <v>0.44</v>
      </c>
      <c r="F322" s="42" t="n">
        <v>1</v>
      </c>
      <c r="G322" s="42" t="n">
        <v>6</v>
      </c>
      <c r="H322" s="42" t="n"/>
    </row>
    <row r="323" ht="15" customHeight="1" s="37">
      <c r="A323" s="42" t="inlineStr">
        <is>
          <t>game of spades royale</t>
        </is>
      </c>
      <c r="B323" s="42" t="inlineStr">
        <is>
          <t>Transactional</t>
        </is>
      </c>
      <c r="C323" s="55" t="n">
        <v>70</v>
      </c>
      <c r="D323" s="42" t="n">
        <v>27</v>
      </c>
      <c r="E323" s="56" t="n">
        <v>0</v>
      </c>
      <c r="F323" s="42" t="n">
        <v>1</v>
      </c>
      <c r="G323" s="42" t="n">
        <v>6</v>
      </c>
      <c r="H323" s="42" t="n"/>
    </row>
    <row r="324" ht="15" customHeight="1" s="37">
      <c r="A324" s="42" t="inlineStr">
        <is>
          <t>gucci flora gorgeous gardenia dupe</t>
        </is>
      </c>
      <c r="B324" s="42" t="inlineStr">
        <is>
          <t>Informational</t>
        </is>
      </c>
      <c r="C324" s="55" t="n">
        <v>70</v>
      </c>
      <c r="D324" s="42" t="n">
        <v>20</v>
      </c>
      <c r="E324" s="56" t="n">
        <v>0.48</v>
      </c>
      <c r="F324" s="42" t="n">
        <v>1</v>
      </c>
      <c r="G324" s="42" t="inlineStr">
        <is>
          <t>T3-1</t>
        </is>
      </c>
      <c r="H324" s="42" t="n"/>
    </row>
    <row r="325" ht="15" customHeight="1" s="37">
      <c r="A325" s="42" t="inlineStr">
        <is>
          <t>guerlain samsara eau de parfum</t>
        </is>
      </c>
      <c r="B325" s="42" t="inlineStr">
        <is>
          <t>Informational Transactional</t>
        </is>
      </c>
      <c r="C325" s="55" t="n">
        <v>70</v>
      </c>
      <c r="D325" s="42" t="n">
        <v>20</v>
      </c>
      <c r="E325" s="56" t="n">
        <v>0.89</v>
      </c>
      <c r="F325" s="42" t="n">
        <v>1</v>
      </c>
      <c r="G325" s="42" t="inlineStr">
        <is>
          <t>T2-1</t>
        </is>
      </c>
      <c r="H325" s="42" t="n"/>
    </row>
    <row r="326" ht="15" customHeight="1" s="37">
      <c r="A326" s="42" t="inlineStr">
        <is>
          <t>hollister festival vibes</t>
        </is>
      </c>
      <c r="B326" s="42" t="inlineStr">
        <is>
          <t>Informational</t>
        </is>
      </c>
      <c r="C326" s="55" t="n">
        <v>70</v>
      </c>
      <c r="D326" s="42" t="n">
        <v>17</v>
      </c>
      <c r="E326" s="56" t="n">
        <v>0.18</v>
      </c>
      <c r="F326" s="42" t="n">
        <v>0.99</v>
      </c>
      <c r="G326" s="42" t="n">
        <v>6</v>
      </c>
      <c r="H326" s="42" t="n"/>
    </row>
    <row r="327" ht="15" customHeight="1" s="37">
      <c r="A327" s="42" t="inlineStr">
        <is>
          <t>marc jacobs perfume for women</t>
        </is>
      </c>
      <c r="B327" s="42" t="inlineStr">
        <is>
          <t>Informational</t>
        </is>
      </c>
      <c r="C327" s="55" t="n">
        <v>70</v>
      </c>
      <c r="D327" s="42" t="n">
        <v>26</v>
      </c>
      <c r="E327" s="56" t="n">
        <v>0.31</v>
      </c>
      <c r="F327" s="42" t="n">
        <v>1</v>
      </c>
      <c r="G327" s="42" t="n">
        <v>2</v>
      </c>
      <c r="H327" s="42" t="n"/>
    </row>
    <row r="328" ht="15" customHeight="1" s="37">
      <c r="A328" s="42" t="inlineStr">
        <is>
          <t>rice water hair mask</t>
        </is>
      </c>
      <c r="B328" s="42" t="inlineStr">
        <is>
          <t>Informational Transactional</t>
        </is>
      </c>
      <c r="C328" s="55" t="n">
        <v>70</v>
      </c>
      <c r="D328" s="42" t="n">
        <v>19</v>
      </c>
      <c r="E328" s="56" t="n">
        <v>0.74</v>
      </c>
      <c r="F328" s="42" t="n">
        <v>1</v>
      </c>
      <c r="G328" s="42" t="inlineStr">
        <is>
          <t>T2-2</t>
        </is>
      </c>
      <c r="H328" s="42" t="n"/>
    </row>
    <row r="329" ht="15" customHeight="1" s="37">
      <c r="A329" s="42" t="inlineStr">
        <is>
          <t>serge lutens la fille de berlin</t>
        </is>
      </c>
      <c r="B329" s="42" t="inlineStr">
        <is>
          <t>Informational Transactional</t>
        </is>
      </c>
      <c r="C329" s="55" t="n">
        <v>70</v>
      </c>
      <c r="D329" s="42" t="n">
        <v>7</v>
      </c>
      <c r="E329" s="56" t="n">
        <v>0</v>
      </c>
      <c r="F329" s="42" t="n">
        <v>0</v>
      </c>
      <c r="G329" s="42" t="n">
        <v>7</v>
      </c>
      <c r="H329" s="42" t="n"/>
    </row>
    <row r="330" ht="15" customHeight="1" s="37">
      <c r="A330" s="42" t="inlineStr">
        <is>
          <t>bentley become</t>
        </is>
      </c>
      <c r="B330" s="42" t="inlineStr">
        <is>
          <t>Informational</t>
        </is>
      </c>
      <c r="C330" s="55" t="n">
        <v>50</v>
      </c>
      <c r="D330" s="42" t="n">
        <v>15</v>
      </c>
      <c r="E330" s="56" t="n">
        <v>0</v>
      </c>
      <c r="F330" s="42" t="n">
        <v>1</v>
      </c>
      <c r="G330" s="42" t="n">
        <v>4</v>
      </c>
      <c r="H330" s="42" t="n"/>
    </row>
    <row r="331" ht="15" customHeight="1" s="37">
      <c r="A331" s="42" t="inlineStr">
        <is>
          <t>chloe nomade jasmin naturel intense</t>
        </is>
      </c>
      <c r="B331" s="42" t="inlineStr">
        <is>
          <t>Informational Transactional</t>
        </is>
      </c>
      <c r="C331" s="55" t="n">
        <v>50</v>
      </c>
      <c r="D331" s="42" t="n">
        <v>14</v>
      </c>
      <c r="E331" s="56" t="n">
        <v>0.4</v>
      </c>
      <c r="F331" s="42" t="n">
        <v>1</v>
      </c>
      <c r="G331" s="42" t="n">
        <v>4</v>
      </c>
      <c r="H331" s="42" t="n"/>
    </row>
    <row r="332" ht="15" customHeight="1" s="37">
      <c r="A332" s="42" t="inlineStr">
        <is>
          <t>chopard amber malaki</t>
        </is>
      </c>
      <c r="B332" s="42" t="inlineStr">
        <is>
          <t>Informational Transactional</t>
        </is>
      </c>
      <c r="C332" s="55" t="n">
        <v>50</v>
      </c>
      <c r="D332" s="42" t="n">
        <v>15</v>
      </c>
      <c r="E332" s="56" t="n">
        <v>0</v>
      </c>
      <c r="F332" s="42" t="n">
        <v>1</v>
      </c>
      <c r="G332" s="42" t="n">
        <v>4</v>
      </c>
      <c r="H332" s="42" t="n"/>
    </row>
    <row r="333" ht="15" customHeight="1" s="37">
      <c r="A333" s="42" t="inlineStr">
        <is>
          <t>chris adams perfume</t>
        </is>
      </c>
      <c r="B333" s="42" t="inlineStr">
        <is>
          <t>Informational</t>
        </is>
      </c>
      <c r="C333" s="55" t="n">
        <v>50</v>
      </c>
      <c r="D333" s="42" t="n">
        <v>24</v>
      </c>
      <c r="E333" s="56" t="n">
        <v>0.21</v>
      </c>
      <c r="F333" s="42" t="n">
        <v>0.97</v>
      </c>
      <c r="G333" s="42" t="n">
        <v>1</v>
      </c>
      <c r="H333" s="42" t="n"/>
    </row>
    <row r="334" ht="15" customHeight="1" s="37">
      <c r="A334" s="42" t="inlineStr">
        <is>
          <t>dkny be delicious orchard street</t>
        </is>
      </c>
      <c r="B334" s="42" t="inlineStr">
        <is>
          <t>Commercial</t>
        </is>
      </c>
      <c r="C334" s="55" t="n">
        <v>50</v>
      </c>
      <c r="D334" s="42" t="n">
        <v>15</v>
      </c>
      <c r="E334" s="56" t="n">
        <v>0.33</v>
      </c>
      <c r="F334" s="42" t="n">
        <v>1</v>
      </c>
      <c r="G334" s="42" t="n">
        <v>5</v>
      </c>
      <c r="H334" s="42" t="n"/>
    </row>
    <row r="335" ht="15" customHeight="1" s="37">
      <c r="A335" s="42" t="inlineStr">
        <is>
          <t>dolce &amp; gabbana the one gift set</t>
        </is>
      </c>
      <c r="B335" s="42" t="inlineStr">
        <is>
          <t>Informational</t>
        </is>
      </c>
      <c r="C335" s="55" t="n">
        <v>50</v>
      </c>
      <c r="D335" s="42" t="n">
        <v>14</v>
      </c>
      <c r="E335" s="56" t="n">
        <v>0.44</v>
      </c>
      <c r="F335" s="42" t="n">
        <v>1</v>
      </c>
      <c r="G335" s="42" t="n">
        <v>5</v>
      </c>
      <c r="H335" s="42" t="n"/>
    </row>
    <row r="336" ht="15" customHeight="1" s="37">
      <c r="A336" s="42" t="inlineStr">
        <is>
          <t>elie saab nuit noor</t>
        </is>
      </c>
      <c r="B336" s="42" t="inlineStr">
        <is>
          <t>Informational</t>
        </is>
      </c>
      <c r="C336" s="55" t="n">
        <v>50</v>
      </c>
      <c r="D336" s="42" t="n">
        <v>9</v>
      </c>
      <c r="E336" s="56" t="n">
        <v>0.48</v>
      </c>
      <c r="F336" s="42" t="n">
        <v>1</v>
      </c>
      <c r="G336" s="42" t="n">
        <v>6</v>
      </c>
      <c r="H336" s="42" t="n"/>
    </row>
    <row r="337" ht="15" customHeight="1" s="37">
      <c r="A337" s="42" t="inlineStr">
        <is>
          <t>game of spades opal</t>
        </is>
      </c>
      <c r="B337" s="42" t="inlineStr">
        <is>
          <t>Informational</t>
        </is>
      </c>
      <c r="C337" s="55" t="n">
        <v>50</v>
      </c>
      <c r="D337" s="42" t="n">
        <v>17</v>
      </c>
      <c r="E337" s="56" t="n">
        <v>0</v>
      </c>
      <c r="F337" s="42" t="n">
        <v>0.9</v>
      </c>
      <c r="G337" s="42" t="n">
        <v>6</v>
      </c>
      <c r="H337" s="42" t="n"/>
    </row>
    <row r="338" ht="15" customHeight="1" s="37">
      <c r="A338" s="42" t="inlineStr">
        <is>
          <t>game of spades rouge</t>
        </is>
      </c>
      <c r="B338" s="42" t="inlineStr">
        <is>
          <t>Transactional Navigational</t>
        </is>
      </c>
      <c r="C338" s="55" t="n">
        <v>50</v>
      </c>
      <c r="D338" s="42" t="n">
        <v>23</v>
      </c>
      <c r="E338" s="56" t="n">
        <v>0</v>
      </c>
      <c r="F338" s="42" t="n">
        <v>1</v>
      </c>
      <c r="G338" s="42" t="n">
        <v>6</v>
      </c>
      <c r="H338" s="42" t="n"/>
    </row>
    <row r="339" ht="15" customHeight="1" s="37">
      <c r="A339" s="42" t="inlineStr">
        <is>
          <t>joop homme notes</t>
        </is>
      </c>
      <c r="B339" s="42" t="inlineStr">
        <is>
          <t>Informational</t>
        </is>
      </c>
      <c r="C339" s="55" t="n">
        <v>50</v>
      </c>
      <c r="D339" s="42" t="n">
        <v>24</v>
      </c>
      <c r="E339" s="56" t="n">
        <v>0</v>
      </c>
      <c r="F339" s="42" t="n">
        <v>0.1</v>
      </c>
      <c r="G339" s="42" t="inlineStr">
        <is>
          <t>T3-1</t>
        </is>
      </c>
      <c r="H339" s="42" t="n"/>
    </row>
    <row r="340" ht="15" customHeight="1" s="37">
      <c r="A340" s="42" t="inlineStr">
        <is>
          <t>juicy couture viva la juicy rose</t>
        </is>
      </c>
      <c r="B340" s="42" t="inlineStr">
        <is>
          <t>Informational</t>
        </is>
      </c>
      <c r="C340" s="55" t="n">
        <v>50</v>
      </c>
      <c r="D340" s="42" t="n">
        <v>16</v>
      </c>
      <c r="E340" s="56" t="n">
        <v>0</v>
      </c>
      <c r="F340" s="42" t="n">
        <v>1</v>
      </c>
      <c r="G340" s="42" t="n">
        <v>7</v>
      </c>
      <c r="H340" s="42" t="n"/>
    </row>
    <row r="341" ht="15" customHeight="1" s="37">
      <c r="A341" s="42" t="inlineStr">
        <is>
          <t>lancome idole nectar eau de parfum</t>
        </is>
      </c>
      <c r="B341" s="42" t="inlineStr">
        <is>
          <t>Navigational</t>
        </is>
      </c>
      <c r="C341" s="55" t="n">
        <v>50</v>
      </c>
      <c r="D341" s="42" t="n">
        <v>13</v>
      </c>
      <c r="E341" s="56" t="n">
        <v>0</v>
      </c>
      <c r="F341" s="42" t="n">
        <v>1</v>
      </c>
      <c r="G341" s="42" t="inlineStr">
        <is>
          <t>T2-1</t>
        </is>
      </c>
      <c r="H341" s="42" t="n"/>
    </row>
    <row r="342" ht="15" customHeight="1" s="37">
      <c r="A342" s="42" t="inlineStr">
        <is>
          <t>mancera black noir</t>
        </is>
      </c>
      <c r="B342" s="42" t="inlineStr">
        <is>
          <t>Informational</t>
        </is>
      </c>
      <c r="C342" s="55" t="n">
        <v>50</v>
      </c>
      <c r="D342" s="42" t="n">
        <v>20</v>
      </c>
      <c r="E342" s="56" t="n">
        <v>0</v>
      </c>
      <c r="F342" s="42" t="n">
        <v>1</v>
      </c>
      <c r="G342" s="42" t="n">
        <v>7</v>
      </c>
      <c r="H342" s="42" t="n"/>
    </row>
    <row r="343" ht="15" customHeight="1" s="37">
      <c r="A343" s="42" t="inlineStr">
        <is>
          <t>marc jacobs honey eau de parfum</t>
        </is>
      </c>
      <c r="B343" s="42" t="inlineStr">
        <is>
          <t>Informational</t>
        </is>
      </c>
      <c r="C343" s="55" t="n">
        <v>50</v>
      </c>
      <c r="D343" s="42" t="n">
        <v>19</v>
      </c>
      <c r="E343" s="56" t="n">
        <v>0</v>
      </c>
      <c r="F343" s="42" t="n">
        <v>1</v>
      </c>
      <c r="G343" s="42" t="inlineStr">
        <is>
          <t>T2-1</t>
        </is>
      </c>
      <c r="H343" s="42" t="n"/>
    </row>
    <row r="344" ht="15" customHeight="1" s="37">
      <c r="A344" s="42" t="inlineStr">
        <is>
          <t>natural skincare gift set</t>
        </is>
      </c>
      <c r="B344" s="42" t="inlineStr">
        <is>
          <t>Informational</t>
        </is>
      </c>
      <c r="C344" s="55" t="n">
        <v>50</v>
      </c>
      <c r="D344" s="42" t="n">
        <v>1</v>
      </c>
      <c r="E344" s="56" t="n">
        <v>1.76</v>
      </c>
      <c r="F344" s="42" t="n">
        <v>1</v>
      </c>
      <c r="G344" s="42" t="inlineStr">
        <is>
          <t>T2-2</t>
        </is>
      </c>
      <c r="H344" s="42" t="n"/>
    </row>
    <row r="345" ht="15" customHeight="1" s="37">
      <c r="A345" s="42" t="inlineStr">
        <is>
          <t>oud perfume for women uk</t>
        </is>
      </c>
      <c r="B345" s="42" t="inlineStr">
        <is>
          <t>Informational Commercial</t>
        </is>
      </c>
      <c r="C345" s="55" t="n">
        <v>50</v>
      </c>
      <c r="D345" s="42" t="n">
        <v>19</v>
      </c>
      <c r="E345" s="56" t="n">
        <v>0.35</v>
      </c>
      <c r="F345" s="42" t="n">
        <v>0.92</v>
      </c>
      <c r="G345" s="42" t="n">
        <v>2</v>
      </c>
      <c r="H345" s="42" t="n"/>
    </row>
    <row r="346" ht="15" customHeight="1" s="37">
      <c r="A346" s="42" t="inlineStr">
        <is>
          <t>tom ford black orchid price</t>
        </is>
      </c>
      <c r="B346" s="42" t="inlineStr">
        <is>
          <t>Transactional</t>
        </is>
      </c>
      <c r="C346" s="55" t="n">
        <v>50</v>
      </c>
      <c r="D346" s="42" t="n">
        <v>14</v>
      </c>
      <c r="E346" s="56" t="n">
        <v>0.14</v>
      </c>
      <c r="F346" s="42" t="n">
        <v>1</v>
      </c>
      <c r="G346" s="42" t="inlineStr">
        <is>
          <t>T3-1</t>
        </is>
      </c>
      <c r="H346" s="42" t="n"/>
    </row>
    <row r="347" ht="15" customHeight="1" s="37">
      <c r="A347" s="42" t="inlineStr">
        <is>
          <t>tom ford oud wood price</t>
        </is>
      </c>
      <c r="B347" s="42" t="inlineStr">
        <is>
          <t>Transactional</t>
        </is>
      </c>
      <c r="C347" s="55" t="n">
        <v>50</v>
      </c>
      <c r="D347" s="42" t="n">
        <v>14</v>
      </c>
      <c r="E347" s="56" t="n">
        <v>0.34</v>
      </c>
      <c r="F347" s="42" t="n">
        <v>1</v>
      </c>
      <c r="G347" s="42" t="inlineStr">
        <is>
          <t>T3-1</t>
        </is>
      </c>
      <c r="H347" s="42" t="n"/>
    </row>
    <row r="348" ht="15" customHeight="1" s="37">
      <c r="A348" s="42" t="inlineStr">
        <is>
          <t>acqua di parma perfume for women</t>
        </is>
      </c>
      <c r="B348" s="42" t="inlineStr">
        <is>
          <t>Informational Transactional</t>
        </is>
      </c>
      <c r="C348" s="55" t="n">
        <v>40</v>
      </c>
      <c r="D348" s="42" t="n">
        <v>17</v>
      </c>
      <c r="E348" s="56" t="n">
        <v>0.3</v>
      </c>
      <c r="F348" s="42" t="n">
        <v>1</v>
      </c>
      <c r="G348" s="42" t="n">
        <v>1</v>
      </c>
      <c r="H348" s="42" t="n"/>
    </row>
    <row r="349" ht="15" customHeight="1" s="37">
      <c r="A349" s="42" t="inlineStr">
        <is>
          <t>acqua di parma sakura review</t>
        </is>
      </c>
      <c r="B349" s="42" t="inlineStr">
        <is>
          <t>Commercial</t>
        </is>
      </c>
      <c r="C349" s="55" t="n">
        <v>40</v>
      </c>
      <c r="D349" s="42" t="n">
        <v>10</v>
      </c>
      <c r="E349" s="56" t="n">
        <v>0</v>
      </c>
      <c r="F349" s="42" t="n">
        <v>1</v>
      </c>
      <c r="G349" s="42" t="inlineStr">
        <is>
          <t>T3-2</t>
        </is>
      </c>
      <c r="H349" s="42" t="n"/>
    </row>
    <row r="350" ht="15" customHeight="1" s="37">
      <c r="A350" s="42" t="inlineStr">
        <is>
          <t>amber perfume uk</t>
        </is>
      </c>
      <c r="B350" s="42" t="inlineStr">
        <is>
          <t>Informational</t>
        </is>
      </c>
      <c r="C350" s="55" t="n">
        <v>40</v>
      </c>
      <c r="D350" s="42" t="n">
        <v>9</v>
      </c>
      <c r="E350" s="56" t="n">
        <v>0</v>
      </c>
      <c r="F350" s="42" t="n">
        <v>1</v>
      </c>
      <c r="G350" s="42" t="n">
        <v>1</v>
      </c>
      <c r="H350" s="42" t="n"/>
    </row>
    <row r="351" ht="15" customHeight="1" s="37">
      <c r="A351" s="42" t="inlineStr">
        <is>
          <t>bentley azure price</t>
        </is>
      </c>
      <c r="B351" s="42" t="inlineStr">
        <is>
          <t>Transactional</t>
        </is>
      </c>
      <c r="C351" s="55" t="n">
        <v>40</v>
      </c>
      <c r="D351" s="42" t="n">
        <v>12</v>
      </c>
      <c r="E351" s="56" t="n">
        <v>0.46</v>
      </c>
      <c r="F351" s="42" t="n">
        <v>0.97</v>
      </c>
      <c r="G351" s="42" t="inlineStr">
        <is>
          <t>T3-1</t>
        </is>
      </c>
      <c r="H351" s="42" t="n"/>
    </row>
    <row r="352" ht="15" customHeight="1" s="37">
      <c r="A352" s="42" t="inlineStr">
        <is>
          <t>dolce &amp; gabbana l'imperatrice eau de toilette</t>
        </is>
      </c>
      <c r="B352" s="42" t="inlineStr">
        <is>
          <t>Informational</t>
        </is>
      </c>
      <c r="C352" s="55" t="n">
        <v>40</v>
      </c>
      <c r="D352" s="42" t="n">
        <v>22</v>
      </c>
      <c r="E352" s="56" t="n">
        <v>0.39</v>
      </c>
      <c r="F352" s="42" t="n">
        <v>1</v>
      </c>
      <c r="G352" s="42" t="inlineStr">
        <is>
          <t>T2-1</t>
        </is>
      </c>
      <c r="H352" s="42" t="n"/>
    </row>
    <row r="353" ht="15" customHeight="1" s="37">
      <c r="A353" s="42" t="inlineStr">
        <is>
          <t>dunhill desire black</t>
        </is>
      </c>
      <c r="B353" s="42" t="inlineStr">
        <is>
          <t>Informational Transactional</t>
        </is>
      </c>
      <c r="C353" s="55" t="n">
        <v>40</v>
      </c>
      <c r="D353" s="42" t="n">
        <v>9</v>
      </c>
      <c r="E353" s="56" t="n">
        <v>0</v>
      </c>
      <c r="F353" s="42" t="n">
        <v>1</v>
      </c>
      <c r="G353" s="42" t="n">
        <v>5</v>
      </c>
      <c r="H353" s="42" t="n"/>
    </row>
    <row r="354" ht="15" customHeight="1" s="37">
      <c r="A354" s="42" t="inlineStr">
        <is>
          <t>elie saab le parfum bridal</t>
        </is>
      </c>
      <c r="B354" s="42" t="inlineStr">
        <is>
          <t>Commercial</t>
        </is>
      </c>
      <c r="C354" s="55" t="n">
        <v>40</v>
      </c>
      <c r="D354" s="42" t="n">
        <v>19</v>
      </c>
      <c r="E354" s="56" t="n">
        <v>0.52</v>
      </c>
      <c r="F354" s="42" t="n">
        <v>1</v>
      </c>
      <c r="G354" s="42" t="n">
        <v>6</v>
      </c>
      <c r="H354" s="42" t="n"/>
    </row>
    <row r="355" ht="15" customHeight="1" s="37">
      <c r="A355" s="42" t="inlineStr">
        <is>
          <t>escada perfume for women</t>
        </is>
      </c>
      <c r="B355" s="42" t="inlineStr">
        <is>
          <t>Informational</t>
        </is>
      </c>
      <c r="C355" s="55" t="n">
        <v>40</v>
      </c>
      <c r="D355" s="42" t="n">
        <v>16</v>
      </c>
      <c r="E355" s="56" t="n">
        <v>0.26</v>
      </c>
      <c r="F355" s="42" t="n">
        <v>1</v>
      </c>
      <c r="G355" s="42" t="n">
        <v>1</v>
      </c>
      <c r="H355" s="42" t="n"/>
    </row>
    <row r="356" ht="15" customHeight="1" s="37">
      <c r="A356" s="42" t="inlineStr">
        <is>
          <t>game of spades boston</t>
        </is>
      </c>
      <c r="B356" s="42" t="inlineStr">
        <is>
          <t>Commercial</t>
        </is>
      </c>
      <c r="C356" s="55" t="n">
        <v>40</v>
      </c>
      <c r="D356" s="42" t="n">
        <v>22</v>
      </c>
      <c r="E356" s="56" t="n">
        <v>0</v>
      </c>
      <c r="F356" s="42" t="n">
        <v>0.91</v>
      </c>
      <c r="G356" s="42" t="n">
        <v>6</v>
      </c>
      <c r="H356" s="42" t="n"/>
    </row>
    <row r="357" ht="15" customHeight="1" s="37">
      <c r="A357" s="42" t="inlineStr">
        <is>
          <t>giorgio armani perfume for men</t>
        </is>
      </c>
      <c r="B357" s="42" t="inlineStr">
        <is>
          <t>Informational Transactional</t>
        </is>
      </c>
      <c r="C357" s="55" t="n">
        <v>40</v>
      </c>
      <c r="D357" s="42" t="n">
        <v>20</v>
      </c>
      <c r="E357" s="56" t="n">
        <v>0.38</v>
      </c>
      <c r="F357" s="42" t="n">
        <v>1</v>
      </c>
      <c r="G357" s="42" t="n">
        <v>1</v>
      </c>
      <c r="H357" s="42" t="n"/>
    </row>
    <row r="358" ht="15" customHeight="1" s="37">
      <c r="A358" s="42" t="inlineStr">
        <is>
          <t>givenchy amarige eau de toilette</t>
        </is>
      </c>
      <c r="B358" s="42" t="inlineStr">
        <is>
          <t>Informational</t>
        </is>
      </c>
      <c r="C358" s="55" t="n">
        <v>40</v>
      </c>
      <c r="D358" s="42" t="n">
        <v>24</v>
      </c>
      <c r="E358" s="56" t="n">
        <v>0.63</v>
      </c>
      <c r="F358" s="42" t="n">
        <v>1</v>
      </c>
      <c r="G358" s="42" t="inlineStr">
        <is>
          <t>T2-1</t>
        </is>
      </c>
      <c r="H358" s="42" t="n"/>
    </row>
    <row r="359" ht="15" customHeight="1" s="37">
      <c r="A359" s="42" t="inlineStr">
        <is>
          <t>goat milk face wash</t>
        </is>
      </c>
      <c r="B359" s="42" t="inlineStr">
        <is>
          <t>Informational Transactional</t>
        </is>
      </c>
      <c r="C359" s="55" t="n">
        <v>40</v>
      </c>
      <c r="D359" s="42" t="n">
        <v>7</v>
      </c>
      <c r="E359" s="56" t="n">
        <v>0.96</v>
      </c>
      <c r="F359" s="42" t="n">
        <v>1</v>
      </c>
      <c r="G359" s="42" t="inlineStr">
        <is>
          <t>T2-2</t>
        </is>
      </c>
      <c r="H359" s="42" t="n"/>
    </row>
    <row r="360" ht="15" customHeight="1" s="37">
      <c r="A360" s="42" t="inlineStr">
        <is>
          <t>guerlain habit rouge eau de parfum</t>
        </is>
      </c>
      <c r="B360" s="42" t="inlineStr">
        <is>
          <t>Informational Transactional</t>
        </is>
      </c>
      <c r="C360" s="55" t="n">
        <v>40</v>
      </c>
      <c r="D360" s="42" t="n">
        <v>20</v>
      </c>
      <c r="E360" s="56" t="n">
        <v>0.78</v>
      </c>
      <c r="F360" s="42" t="n">
        <v>1</v>
      </c>
      <c r="G360" s="42" t="inlineStr">
        <is>
          <t>T2-1</t>
        </is>
      </c>
      <c r="H360" s="42" t="n"/>
    </row>
    <row r="361" ht="15" customHeight="1" s="37">
      <c r="A361" s="42" t="inlineStr">
        <is>
          <t>kenneth cole perfume</t>
        </is>
      </c>
      <c r="B361" s="42" t="inlineStr">
        <is>
          <t>Informational</t>
        </is>
      </c>
      <c r="C361" s="55" t="n">
        <v>40</v>
      </c>
      <c r="D361" s="42" t="n">
        <v>12</v>
      </c>
      <c r="E361" s="56" t="n">
        <v>0.15</v>
      </c>
      <c r="F361" s="42" t="n">
        <v>1</v>
      </c>
      <c r="G361" s="42" t="n">
        <v>2</v>
      </c>
      <c r="H361" s="42" t="n"/>
    </row>
    <row r="362" ht="15" customHeight="1" s="37">
      <c r="A362" s="42" t="inlineStr">
        <is>
          <t>la maison perfume</t>
        </is>
      </c>
      <c r="B362" s="42" t="inlineStr">
        <is>
          <t>Informational Commercial</t>
        </is>
      </c>
      <c r="C362" s="55" t="n">
        <v>40</v>
      </c>
      <c r="D362" s="42" t="n">
        <v>25</v>
      </c>
      <c r="E362" s="56" t="n">
        <v>0.6899999999999999</v>
      </c>
      <c r="F362" s="42" t="n">
        <v>1</v>
      </c>
      <c r="G362" s="42" t="n">
        <v>2</v>
      </c>
      <c r="H362" s="42" t="n"/>
    </row>
    <row r="363" ht="15" customHeight="1" s="37">
      <c r="A363" s="42" t="inlineStr">
        <is>
          <t>marc jacobs perfect notes</t>
        </is>
      </c>
      <c r="B363" s="42" t="inlineStr">
        <is>
          <t>Informational</t>
        </is>
      </c>
      <c r="C363" s="55" t="n">
        <v>40</v>
      </c>
      <c r="D363" s="42" t="n">
        <v>14</v>
      </c>
      <c r="E363" s="56" t="n">
        <v>0</v>
      </c>
      <c r="F363" s="42" t="n">
        <v>0.96</v>
      </c>
      <c r="G363" s="42" t="inlineStr">
        <is>
          <t>T3-1</t>
        </is>
      </c>
      <c r="H363" s="42" t="n"/>
    </row>
    <row r="364" ht="15" customHeight="1" s="37">
      <c r="A364" s="42" t="inlineStr">
        <is>
          <t>natural face wash uk</t>
        </is>
      </c>
      <c r="B364" s="42" t="inlineStr">
        <is>
          <t>Informational</t>
        </is>
      </c>
      <c r="C364" s="55" t="n">
        <v>40</v>
      </c>
      <c r="D364" s="42" t="n">
        <v>7</v>
      </c>
      <c r="E364" s="56" t="n">
        <v>1.16</v>
      </c>
      <c r="F364" s="42" t="n">
        <v>0.99</v>
      </c>
      <c r="G364" s="42" t="n">
        <v>3</v>
      </c>
      <c r="H364" s="42" t="n"/>
    </row>
    <row r="365" ht="15" customHeight="1" s="37">
      <c r="A365" s="42" t="inlineStr">
        <is>
          <t>tiziana terenzi orion</t>
        </is>
      </c>
      <c r="B365" s="42" t="inlineStr">
        <is>
          <t>Informational</t>
        </is>
      </c>
      <c r="C365" s="55" t="n">
        <v>40</v>
      </c>
      <c r="D365" s="42" t="n">
        <v>16</v>
      </c>
      <c r="E365" s="56" t="n">
        <v>0</v>
      </c>
      <c r="F365" s="42" t="n">
        <v>1</v>
      </c>
      <c r="G365" s="42" t="n">
        <v>8</v>
      </c>
      <c r="H365" s="42" t="n"/>
    </row>
    <row r="366" ht="15" customHeight="1" s="37">
      <c r="A366" s="42" t="inlineStr">
        <is>
          <t>tom ford black orchid uk</t>
        </is>
      </c>
      <c r="B366" s="42" t="inlineStr">
        <is>
          <t>Informational</t>
        </is>
      </c>
      <c r="C366" s="55" t="n">
        <v>40</v>
      </c>
      <c r="D366" s="42" t="n">
        <v>16</v>
      </c>
      <c r="E366" s="56" t="n">
        <v>0.45</v>
      </c>
      <c r="F366" s="42" t="n">
        <v>0.97</v>
      </c>
      <c r="G366" s="42" t="inlineStr">
        <is>
          <t>T2-1</t>
        </is>
      </c>
      <c r="H366" s="42" t="n"/>
    </row>
    <row r="367" ht="15" customHeight="1" s="37">
      <c r="A367" s="42" t="inlineStr">
        <is>
          <t>acqua di parma colonia pura eau de cologne</t>
        </is>
      </c>
      <c r="B367" s="42" t="inlineStr">
        <is>
          <t>Informational Transactional</t>
        </is>
      </c>
      <c r="C367" s="55" t="n">
        <v>30</v>
      </c>
      <c r="D367" s="42" t="n">
        <v>15</v>
      </c>
      <c r="E367" s="56" t="n">
        <v>0.36</v>
      </c>
      <c r="F367" s="42" t="n">
        <v>1</v>
      </c>
      <c r="G367" s="42" t="inlineStr">
        <is>
          <t>T2-1</t>
        </is>
      </c>
      <c r="H367" s="42" t="n"/>
    </row>
    <row r="368" ht="15" customHeight="1" s="37">
      <c r="A368" s="42" t="inlineStr">
        <is>
          <t>al haramain detour noir eau de parfum</t>
        </is>
      </c>
      <c r="B368" s="42" t="inlineStr">
        <is>
          <t>Informational Transactional</t>
        </is>
      </c>
      <c r="C368" s="55" t="n">
        <v>30</v>
      </c>
      <c r="D368" s="42" t="n">
        <v>9</v>
      </c>
      <c r="E368" s="56" t="n">
        <v>0</v>
      </c>
      <c r="F368" s="42" t="n">
        <v>0.67</v>
      </c>
      <c r="G368" s="42" t="inlineStr">
        <is>
          <t>T2-1</t>
        </is>
      </c>
      <c r="H368" s="42" t="n"/>
    </row>
    <row r="369" ht="15" customHeight="1" s="37">
      <c r="A369" s="42" t="inlineStr">
        <is>
          <t>anna sui sky review</t>
        </is>
      </c>
      <c r="B369" s="42" t="inlineStr">
        <is>
          <t>Commercial</t>
        </is>
      </c>
      <c r="C369" s="55" t="n">
        <v>30</v>
      </c>
      <c r="D369" s="42" t="n">
        <v>16</v>
      </c>
      <c r="E369" s="56" t="n">
        <v>0</v>
      </c>
      <c r="F369" s="42" t="n">
        <v>0.92</v>
      </c>
      <c r="G369" s="42" t="inlineStr">
        <is>
          <t>T3-2</t>
        </is>
      </c>
      <c r="H369" s="42" t="n"/>
    </row>
    <row r="370" ht="15" customHeight="1" s="37">
      <c r="A370" s="42" t="inlineStr">
        <is>
          <t>ariana grande thank u, next</t>
        </is>
      </c>
      <c r="B370" s="42" t="inlineStr">
        <is>
          <t>Informational</t>
        </is>
      </c>
      <c r="C370" s="55" t="n">
        <v>30</v>
      </c>
      <c r="D370" s="42" t="n">
        <v>47</v>
      </c>
      <c r="E370" s="56" t="n">
        <v>0</v>
      </c>
      <c r="F370" s="42" t="n">
        <v>1</v>
      </c>
      <c r="G370" s="42" t="n">
        <v>4</v>
      </c>
      <c r="H370" s="42" t="inlineStr">
        <is>
          <t>Semrush ran "ariana grande thank u" (it splits at commas); figures are for that shorter phrase</t>
        </is>
      </c>
    </row>
    <row r="371" ht="15" customHeight="1" s="37">
      <c r="A371" s="42" t="inlineStr">
        <is>
          <t>ariana grande thank u, next uk</t>
        </is>
      </c>
      <c r="B371" s="42" t="inlineStr">
        <is>
          <t>Informational</t>
        </is>
      </c>
      <c r="C371" s="55" t="n">
        <v>30</v>
      </c>
      <c r="D371" s="42" t="n">
        <v>48</v>
      </c>
      <c r="E371" s="56" t="n">
        <v>0</v>
      </c>
      <c r="F371" s="42" t="n">
        <v>1</v>
      </c>
      <c r="G371" s="42" t="n">
        <v>9</v>
      </c>
      <c r="H371" s="42" t="inlineStr">
        <is>
          <t>Semrush ran "ariana grande thank u" (it splits at commas); figures are for that shorter phrase</t>
        </is>
      </c>
    </row>
    <row r="372" ht="15" customHeight="1" s="37">
      <c r="A372" s="42" t="inlineStr">
        <is>
          <t>bentley infinite</t>
        </is>
      </c>
      <c r="B372" s="42" t="inlineStr">
        <is>
          <t>Informational</t>
        </is>
      </c>
      <c r="C372" s="55" t="n">
        <v>30</v>
      </c>
      <c r="D372" s="42" t="n">
        <v>9</v>
      </c>
      <c r="E372" s="56" t="n">
        <v>0.59</v>
      </c>
      <c r="F372" s="42" t="n">
        <v>1</v>
      </c>
      <c r="G372" s="42" t="n">
        <v>4</v>
      </c>
      <c r="H372" s="42" t="n"/>
    </row>
    <row r="373" ht="15" customHeight="1" s="37">
      <c r="A373" s="42" t="inlineStr">
        <is>
          <t>bentley momentum unlimited</t>
        </is>
      </c>
      <c r="B373" s="42" t="inlineStr">
        <is>
          <t>Commercial</t>
        </is>
      </c>
      <c r="C373" s="55" t="n">
        <v>30</v>
      </c>
      <c r="D373" s="42" t="n">
        <v>19</v>
      </c>
      <c r="E373" s="56" t="n">
        <v>0</v>
      </c>
      <c r="F373" s="42" t="n">
        <v>1</v>
      </c>
      <c r="G373" s="42" t="n">
        <v>4</v>
      </c>
      <c r="H373" s="42" t="n"/>
    </row>
    <row r="374" ht="15" customHeight="1" s="37">
      <c r="A374" s="42" t="inlineStr">
        <is>
          <t>burberry my burberry eau de parfum</t>
        </is>
      </c>
      <c r="B374" s="42" t="inlineStr">
        <is>
          <t>Informational Transactional</t>
        </is>
      </c>
      <c r="C374" s="55" t="n">
        <v>30</v>
      </c>
      <c r="D374" s="42" t="n">
        <v>14</v>
      </c>
      <c r="E374" s="56" t="n">
        <v>0</v>
      </c>
      <c r="F374" s="42" t="n">
        <v>0.22</v>
      </c>
      <c r="G374" s="42" t="inlineStr">
        <is>
          <t>T2-1</t>
        </is>
      </c>
      <c r="H374" s="42" t="n"/>
    </row>
    <row r="375" ht="15" customHeight="1" s="37">
      <c r="A375" s="42" t="inlineStr">
        <is>
          <t>bvlgari splendida tubereuse mystique</t>
        </is>
      </c>
      <c r="B375" s="42" t="inlineStr">
        <is>
          <t>Informational</t>
        </is>
      </c>
      <c r="C375" s="55" t="n">
        <v>30</v>
      </c>
      <c r="D375" s="42" t="n">
        <v>20</v>
      </c>
      <c r="E375" s="56" t="n">
        <v>0</v>
      </c>
      <c r="F375" s="42" t="n">
        <v>1</v>
      </c>
      <c r="G375" s="42" t="n">
        <v>4</v>
      </c>
      <c r="H375" s="42" t="n"/>
    </row>
    <row r="376" ht="15" customHeight="1" s="37">
      <c r="A376" s="42" t="inlineStr">
        <is>
          <t>chloe miniature set</t>
        </is>
      </c>
      <c r="B376" s="42" t="inlineStr">
        <is>
          <t>Informational</t>
        </is>
      </c>
      <c r="C376" s="55" t="n">
        <v>30</v>
      </c>
      <c r="D376" s="42" t="n">
        <v>12</v>
      </c>
      <c r="E376" s="56" t="n">
        <v>0</v>
      </c>
      <c r="F376" s="42" t="n">
        <v>0.64</v>
      </c>
      <c r="G376" s="42" t="n">
        <v>4</v>
      </c>
      <c r="H376" s="42" t="n"/>
    </row>
    <row r="377" ht="15" customHeight="1" s="37">
      <c r="A377" s="42" t="inlineStr">
        <is>
          <t>deyga hair color</t>
        </is>
      </c>
      <c r="B377" s="42" t="inlineStr">
        <is>
          <t>Informational Transactional</t>
        </is>
      </c>
      <c r="C377" s="55" t="n">
        <v>30</v>
      </c>
      <c r="D377" s="42" t="n">
        <v>24</v>
      </c>
      <c r="E377" s="56" t="n">
        <v>0</v>
      </c>
      <c r="F377" s="42" t="n">
        <v>1</v>
      </c>
      <c r="G377" s="42" t="n">
        <v>3</v>
      </c>
      <c r="H377" s="42" t="n"/>
    </row>
    <row r="378" ht="15" customHeight="1" s="37">
      <c r="A378" s="42" t="inlineStr">
        <is>
          <t>deyga rice water shampoo</t>
        </is>
      </c>
      <c r="B378" s="42" t="inlineStr">
        <is>
          <t>Informational Transactional</t>
        </is>
      </c>
      <c r="C378" s="55" t="n">
        <v>30</v>
      </c>
      <c r="D378" s="42" t="n">
        <v>18</v>
      </c>
      <c r="E378" s="56" t="n">
        <v>0</v>
      </c>
      <c r="F378" s="42" t="n">
        <v>1</v>
      </c>
      <c r="G378" s="42" t="n">
        <v>5</v>
      </c>
      <c r="H378" s="42" t="n"/>
    </row>
    <row r="379" ht="15" customHeight="1" s="37">
      <c r="A379" s="42" t="inlineStr">
        <is>
          <t>deyga shampoo</t>
        </is>
      </c>
      <c r="B379" s="42" t="inlineStr">
        <is>
          <t>Transactional Navigational</t>
        </is>
      </c>
      <c r="C379" s="55" t="n">
        <v>30</v>
      </c>
      <c r="D379" s="42" t="n">
        <v>21</v>
      </c>
      <c r="E379" s="56" t="n">
        <v>0</v>
      </c>
      <c r="F379" s="42" t="n">
        <v>0</v>
      </c>
      <c r="G379" s="42" t="n">
        <v>2</v>
      </c>
      <c r="H379" s="42" t="n"/>
    </row>
    <row r="380" ht="15" customHeight="1" s="37">
      <c r="A380" s="42" t="inlineStr">
        <is>
          <t>deyga skincare</t>
        </is>
      </c>
      <c r="B380" s="42" t="inlineStr">
        <is>
          <t>Navigational</t>
        </is>
      </c>
      <c r="C380" s="55" t="n">
        <v>30</v>
      </c>
      <c r="D380" s="42" t="n">
        <v>25</v>
      </c>
      <c r="E380" s="56" t="n">
        <v>0</v>
      </c>
      <c r="F380" s="42" t="n">
        <v>0.33</v>
      </c>
      <c r="G380" s="42" t="n">
        <v>2</v>
      </c>
      <c r="H380" s="42" t="n"/>
    </row>
    <row r="381" ht="15" customHeight="1" s="37">
      <c r="A381" s="42" t="inlineStr">
        <is>
          <t>dkny be delicious orchard street eau de parfum</t>
        </is>
      </c>
      <c r="B381" s="42" t="inlineStr">
        <is>
          <t>Informational Navigational</t>
        </is>
      </c>
      <c r="C381" s="55" t="n">
        <v>30</v>
      </c>
      <c r="D381" s="42" t="n">
        <v>20</v>
      </c>
      <c r="E381" s="56" t="n">
        <v>0</v>
      </c>
      <c r="F381" s="42" t="n">
        <v>1</v>
      </c>
      <c r="G381" s="42" t="inlineStr">
        <is>
          <t>T2-2</t>
        </is>
      </c>
      <c r="H381" s="42" t="n"/>
    </row>
    <row r="382" ht="15" customHeight="1" s="37">
      <c r="A382" s="42" t="inlineStr">
        <is>
          <t>dkny miniature set</t>
        </is>
      </c>
      <c r="B382" s="42" t="inlineStr">
        <is>
          <t>Transactional</t>
        </is>
      </c>
      <c r="C382" s="55" t="n">
        <v>30</v>
      </c>
      <c r="D382" s="42" t="n">
        <v>10</v>
      </c>
      <c r="E382" s="56" t="n">
        <v>0</v>
      </c>
      <c r="F382" s="42" t="n">
        <v>1</v>
      </c>
      <c r="G382" s="42" t="n">
        <v>5</v>
      </c>
      <c r="H382" s="42" t="n"/>
    </row>
    <row r="383" ht="15" customHeight="1" s="37">
      <c r="A383" s="42" t="inlineStr">
        <is>
          <t>dolce &amp; gabbana k gift set</t>
        </is>
      </c>
      <c r="B383" s="42" t="inlineStr">
        <is>
          <t>Informational Transactional</t>
        </is>
      </c>
      <c r="C383" s="55" t="n">
        <v>30</v>
      </c>
      <c r="D383" s="42" t="n">
        <v>12</v>
      </c>
      <c r="E383" s="56" t="n">
        <v>0</v>
      </c>
      <c r="F383" s="42" t="n">
        <v>1</v>
      </c>
      <c r="G383" s="42" t="n">
        <v>5</v>
      </c>
      <c r="H383" s="42" t="n"/>
    </row>
    <row r="384" ht="15" customHeight="1" s="37">
      <c r="A384" s="42" t="inlineStr">
        <is>
          <t>elie saab le parfum gift set</t>
        </is>
      </c>
      <c r="B384" s="42" t="inlineStr">
        <is>
          <t>Informational</t>
        </is>
      </c>
      <c r="C384" s="55" t="n">
        <v>30</v>
      </c>
      <c r="D384" s="42" t="n">
        <v>11</v>
      </c>
      <c r="E384" s="56" t="n">
        <v>0.34</v>
      </c>
      <c r="F384" s="42" t="n">
        <v>1</v>
      </c>
      <c r="G384" s="42" t="n">
        <v>6</v>
      </c>
      <c r="H384" s="42" t="n"/>
    </row>
    <row r="385" ht="15" customHeight="1" s="37">
      <c r="A385" s="42" t="inlineStr">
        <is>
          <t>elie saab le parfum intense</t>
        </is>
      </c>
      <c r="B385" s="42" t="inlineStr">
        <is>
          <t>Informational</t>
        </is>
      </c>
      <c r="C385" s="55" t="n">
        <v>30</v>
      </c>
      <c r="D385" s="42" t="n">
        <v>7</v>
      </c>
      <c r="E385" s="56" t="n">
        <v>0</v>
      </c>
      <c r="F385" s="42" t="n">
        <v>1</v>
      </c>
      <c r="G385" s="42" t="n">
        <v>6</v>
      </c>
      <c r="H385" s="42" t="n"/>
    </row>
    <row r="386" ht="15" customHeight="1" s="37">
      <c r="A386" s="42" t="inlineStr">
        <is>
          <t>floral perfume uk</t>
        </is>
      </c>
      <c r="B386" s="42" t="inlineStr">
        <is>
          <t>Informational</t>
        </is>
      </c>
      <c r="C386" s="55" t="n">
        <v>30</v>
      </c>
      <c r="D386" s="42" t="n">
        <v>16</v>
      </c>
      <c r="E386" s="56" t="n">
        <v>0.54</v>
      </c>
      <c r="F386" s="42" t="n">
        <v>0.46</v>
      </c>
      <c r="G386" s="42" t="n">
        <v>1</v>
      </c>
      <c r="H386" s="42" t="n"/>
    </row>
    <row r="387" ht="15" customHeight="1" s="37">
      <c r="A387" s="42" t="inlineStr">
        <is>
          <t>game of spades diamond</t>
        </is>
      </c>
      <c r="B387" s="42" t="inlineStr">
        <is>
          <t>Navigational</t>
        </is>
      </c>
      <c r="C387" s="55" t="n">
        <v>30</v>
      </c>
      <c r="D387" s="42" t="n">
        <v>12</v>
      </c>
      <c r="E387" s="56" t="n">
        <v>0</v>
      </c>
      <c r="F387" s="42" t="n">
        <v>0.79</v>
      </c>
      <c r="G387" s="42" t="n">
        <v>6</v>
      </c>
      <c r="H387" s="42" t="n"/>
    </row>
    <row r="388" ht="15" customHeight="1" s="37">
      <c r="A388" s="42" t="inlineStr">
        <is>
          <t>game of spades full house review</t>
        </is>
      </c>
      <c r="B388" s="42" t="inlineStr">
        <is>
          <t>Commercial</t>
        </is>
      </c>
      <c r="C388" s="55" t="n">
        <v>30</v>
      </c>
      <c r="D388" s="42" t="n">
        <v>25</v>
      </c>
      <c r="E388" s="56" t="n">
        <v>0</v>
      </c>
      <c r="F388" s="42" t="n">
        <v>0.61</v>
      </c>
      <c r="G388" s="42" t="inlineStr">
        <is>
          <t>T3-1</t>
        </is>
      </c>
      <c r="H388" s="42" t="n"/>
    </row>
    <row r="389" ht="15" customHeight="1" s="37">
      <c r="A389" s="42" t="inlineStr">
        <is>
          <t>game of spades wildcard review</t>
        </is>
      </c>
      <c r="B389" s="42" t="inlineStr">
        <is>
          <t>Commercial</t>
        </is>
      </c>
      <c r="C389" s="55" t="n">
        <v>30</v>
      </c>
      <c r="D389" s="42" t="n">
        <v>20</v>
      </c>
      <c r="E389" s="56" t="n">
        <v>0</v>
      </c>
      <c r="F389" s="42" t="n">
        <v>0.5</v>
      </c>
      <c r="G389" s="42" t="inlineStr">
        <is>
          <t>T3-1</t>
        </is>
      </c>
      <c r="H389" s="42" t="n"/>
    </row>
    <row r="390" ht="15" customHeight="1" s="37">
      <c r="A390" s="42" t="inlineStr">
        <is>
          <t>gucci guilty pour femme gift set</t>
        </is>
      </c>
      <c r="B390" s="42" t="inlineStr">
        <is>
          <t>Informational</t>
        </is>
      </c>
      <c r="C390" s="55" t="n">
        <v>30</v>
      </c>
      <c r="D390" s="42" t="n">
        <v>12</v>
      </c>
      <c r="E390" s="56" t="n">
        <v>0.78</v>
      </c>
      <c r="F390" s="42" t="n">
        <v>0.51</v>
      </c>
      <c r="G390" s="42" t="n">
        <v>6</v>
      </c>
      <c r="H390" s="42" t="n"/>
    </row>
    <row r="391" ht="15" customHeight="1" s="37">
      <c r="A391" s="42" t="inlineStr">
        <is>
          <t>gucci miniature set</t>
        </is>
      </c>
      <c r="B391" s="42" t="inlineStr">
        <is>
          <t>Navigational</t>
        </is>
      </c>
      <c r="C391" s="55" t="n">
        <v>30</v>
      </c>
      <c r="D391" s="42" t="n">
        <v>17</v>
      </c>
      <c r="E391" s="56" t="n">
        <v>0</v>
      </c>
      <c r="F391" s="42" t="n">
        <v>1</v>
      </c>
      <c r="G391" s="42" t="n">
        <v>6</v>
      </c>
      <c r="H391" s="42" t="n"/>
    </row>
    <row r="392" ht="15" customHeight="1" s="37">
      <c r="A392" s="42" t="inlineStr">
        <is>
          <t>guerlain musc noble</t>
        </is>
      </c>
      <c r="B392" s="42" t="inlineStr">
        <is>
          <t>Informational Transactional</t>
        </is>
      </c>
      <c r="C392" s="55" t="n">
        <v>30</v>
      </c>
      <c r="D392" s="42" t="n">
        <v>16</v>
      </c>
      <c r="E392" s="56" t="n">
        <v>0.58</v>
      </c>
      <c r="F392" s="42" t="n">
        <v>1</v>
      </c>
      <c r="G392" s="42" t="n">
        <v>6</v>
      </c>
      <c r="H392" s="42" t="n"/>
    </row>
    <row r="393" ht="15" customHeight="1" s="37">
      <c r="A393" s="42" t="inlineStr">
        <is>
          <t>joop! homme price</t>
        </is>
      </c>
      <c r="B393" s="42" t="inlineStr">
        <is>
          <t>Transactional</t>
        </is>
      </c>
      <c r="C393" s="55" t="n">
        <v>30</v>
      </c>
      <c r="D393" s="42" t="n">
        <v>14</v>
      </c>
      <c r="E393" s="56" t="n">
        <v>0</v>
      </c>
      <c r="F393" s="42" t="n">
        <v>0.9</v>
      </c>
      <c r="G393" s="42" t="inlineStr">
        <is>
          <t>T3-1</t>
        </is>
      </c>
      <c r="H393" s="42" t="n"/>
    </row>
    <row r="394" ht="15" customHeight="1" s="37">
      <c r="A394" s="42" t="inlineStr">
        <is>
          <t>mancera intense red tobacco extrait de parfum</t>
        </is>
      </c>
      <c r="B394" s="42" t="inlineStr">
        <is>
          <t>Informational Transactional</t>
        </is>
      </c>
      <c r="C394" s="55" t="n">
        <v>30</v>
      </c>
      <c r="D394" s="42" t="n">
        <v>10</v>
      </c>
      <c r="E394" s="56" t="n">
        <v>0</v>
      </c>
      <c r="F394" s="42" t="n">
        <v>1</v>
      </c>
      <c r="G394" s="42" t="inlineStr">
        <is>
          <t>T2-2</t>
        </is>
      </c>
      <c r="H394" s="42" t="n"/>
    </row>
    <row r="395" ht="15" customHeight="1" s="37">
      <c r="A395" s="42" t="inlineStr">
        <is>
          <t>marc jacobs honey notes</t>
        </is>
      </c>
      <c r="B395" s="42" t="inlineStr">
        <is>
          <t>Informational</t>
        </is>
      </c>
      <c r="C395" s="55" t="n">
        <v>30</v>
      </c>
      <c r="D395" s="42" t="n">
        <v>10</v>
      </c>
      <c r="E395" s="56" t="n">
        <v>0</v>
      </c>
      <c r="F395" s="42" t="n">
        <v>0.75</v>
      </c>
      <c r="G395" s="42" t="inlineStr">
        <is>
          <t>T3-1</t>
        </is>
      </c>
      <c r="H395" s="42" t="n"/>
    </row>
    <row r="396" ht="15" customHeight="1" s="37">
      <c r="A396" s="42" t="inlineStr">
        <is>
          <t>natural body scrub uk</t>
        </is>
      </c>
      <c r="B396" s="42" t="inlineStr">
        <is>
          <t>Informational Commercial</t>
        </is>
      </c>
      <c r="C396" s="55" t="n">
        <v>30</v>
      </c>
      <c r="D396" s="42" t="n">
        <v>12</v>
      </c>
      <c r="E396" s="56" t="n">
        <v>0</v>
      </c>
      <c r="F396" s="42" t="n">
        <v>0.99</v>
      </c>
      <c r="G396" s="42" t="n">
        <v>3</v>
      </c>
      <c r="H396" s="42" t="n"/>
    </row>
    <row r="397" ht="15" customHeight="1" s="37">
      <c r="A397" s="42" t="inlineStr">
        <is>
          <t>nina ricci l'air du temps perfume</t>
        </is>
      </c>
      <c r="B397" s="42" t="inlineStr">
        <is>
          <t>Informational Transactional</t>
        </is>
      </c>
      <c r="C397" s="55" t="n">
        <v>30</v>
      </c>
      <c r="D397" s="42" t="n">
        <v>16</v>
      </c>
      <c r="E397" s="56" t="n">
        <v>0.33</v>
      </c>
      <c r="F397" s="42" t="n">
        <v>1</v>
      </c>
      <c r="G397" s="42" t="inlineStr">
        <is>
          <t>T3-1</t>
        </is>
      </c>
      <c r="H397" s="42" t="n"/>
    </row>
    <row r="398" ht="15" customHeight="1" s="37">
      <c r="A398" s="42" t="inlineStr">
        <is>
          <t>oud perfume for men uk</t>
        </is>
      </c>
      <c r="B398" s="42" t="inlineStr">
        <is>
          <t>Informational</t>
        </is>
      </c>
      <c r="C398" s="55" t="n">
        <v>30</v>
      </c>
      <c r="D398" s="42" t="n">
        <v>5</v>
      </c>
      <c r="E398" s="56" t="n">
        <v>0.54</v>
      </c>
      <c r="F398" s="42" t="n">
        <v>1</v>
      </c>
      <c r="G398" s="42" t="n">
        <v>2</v>
      </c>
      <c r="H398" s="42" t="n"/>
    </row>
    <row r="399" ht="15" customHeight="1" s="37">
      <c r="A399" s="42" t="inlineStr">
        <is>
          <t>saffron face cream</t>
        </is>
      </c>
      <c r="B399" s="42" t="inlineStr">
        <is>
          <t>Informational</t>
        </is>
      </c>
      <c r="C399" s="55" t="n">
        <v>30</v>
      </c>
      <c r="D399" s="42" t="n">
        <v>15</v>
      </c>
      <c r="E399" s="56" t="n">
        <v>0</v>
      </c>
      <c r="F399" s="42" t="n">
        <v>1</v>
      </c>
      <c r="G399" s="42" t="inlineStr">
        <is>
          <t>T2-2</t>
        </is>
      </c>
      <c r="H399" s="42" t="n"/>
    </row>
    <row r="400" ht="15" customHeight="1" s="37">
      <c r="A400" s="42" t="inlineStr">
        <is>
          <t>tom ford oud wood uk</t>
        </is>
      </c>
      <c r="B400" s="42" t="inlineStr">
        <is>
          <t>Informational</t>
        </is>
      </c>
      <c r="C400" s="55" t="n">
        <v>30</v>
      </c>
      <c r="D400" s="42" t="n">
        <v>13</v>
      </c>
      <c r="E400" s="56" t="n">
        <v>0</v>
      </c>
      <c r="F400" s="42" t="n">
        <v>0.67</v>
      </c>
      <c r="G400" s="42" t="inlineStr">
        <is>
          <t>T2-1</t>
        </is>
      </c>
      <c r="H400" s="42" t="n"/>
    </row>
    <row r="401" ht="15" customHeight="1" s="37">
      <c r="A401" s="42" t="inlineStr">
        <is>
          <t>vilvah face wash</t>
        </is>
      </c>
      <c r="B401" s="42" t="inlineStr">
        <is>
          <t>Informational Transactional</t>
        </is>
      </c>
      <c r="C401" s="55" t="n">
        <v>30</v>
      </c>
      <c r="D401" s="42" t="n">
        <v>10</v>
      </c>
      <c r="E401" s="56" t="n">
        <v>0.57</v>
      </c>
      <c r="F401" s="42" t="n">
        <v>1</v>
      </c>
      <c r="G401" s="42" t="n">
        <v>3</v>
      </c>
      <c r="H401" s="42" t="n"/>
    </row>
    <row r="402" ht="15" customHeight="1" s="37">
      <c r="A402" s="42" t="inlineStr">
        <is>
          <t>vilvah uk</t>
        </is>
      </c>
      <c r="B402" s="42" t="inlineStr">
        <is>
          <t>Navigational</t>
        </is>
      </c>
      <c r="C402" s="55" t="n">
        <v>30</v>
      </c>
      <c r="D402" s="42" t="n">
        <v>9</v>
      </c>
      <c r="E402" s="56" t="n">
        <v>0.78</v>
      </c>
      <c r="F402" s="42" t="n">
        <v>1</v>
      </c>
      <c r="G402" s="42" t="n">
        <v>1</v>
      </c>
      <c r="H402" s="42" t="n"/>
    </row>
    <row r="403" ht="15" customHeight="1" s="37">
      <c r="A403" s="42" t="inlineStr">
        <is>
          <t>abercrombie &amp; fitch first instinct together</t>
        </is>
      </c>
      <c r="B403" s="42" t="inlineStr">
        <is>
          <t>Informational</t>
        </is>
      </c>
      <c r="C403" s="55" t="n">
        <v>20</v>
      </c>
      <c r="D403" s="42" t="n">
        <v>19</v>
      </c>
      <c r="E403" s="56" t="n">
        <v>0</v>
      </c>
      <c r="F403" s="42" t="n">
        <v>1</v>
      </c>
      <c r="G403" s="42" t="n">
        <v>3</v>
      </c>
      <c r="H403" s="42" t="n"/>
    </row>
    <row r="404" ht="15" customHeight="1" s="37">
      <c r="A404" s="42" t="inlineStr">
        <is>
          <t>abercrombie &amp; fitch naturally fierce</t>
        </is>
      </c>
      <c r="B404" s="42" t="inlineStr">
        <is>
          <t>Informational</t>
        </is>
      </c>
      <c r="C404" s="55" t="n">
        <v>20</v>
      </c>
      <c r="D404" s="42" t="n">
        <v>16</v>
      </c>
      <c r="E404" s="56" t="n">
        <v>0</v>
      </c>
      <c r="F404" s="42" t="n">
        <v>1</v>
      </c>
      <c r="G404" s="42" t="n">
        <v>3</v>
      </c>
      <c r="H404" s="42" t="n"/>
    </row>
    <row r="405" ht="15" customHeight="1" s="37">
      <c r="A405" s="42" t="inlineStr">
        <is>
          <t>acqua di parma blu mediterraneo discovery set</t>
        </is>
      </c>
      <c r="B405" s="42" t="inlineStr">
        <is>
          <t>Informational Transactional</t>
        </is>
      </c>
      <c r="C405" s="55" t="n">
        <v>20</v>
      </c>
      <c r="D405" s="42" t="n">
        <v>12</v>
      </c>
      <c r="E405" s="56" t="n">
        <v>0</v>
      </c>
      <c r="F405" s="42" t="n">
        <v>1</v>
      </c>
      <c r="G405" s="42" t="n">
        <v>3</v>
      </c>
      <c r="H405" s="42" t="n"/>
    </row>
    <row r="406" ht="15" customHeight="1" s="37">
      <c r="A406" s="42" t="inlineStr">
        <is>
          <t>acqua di parma colonia essenza deodorant stick</t>
        </is>
      </c>
      <c r="B406" s="42" t="inlineStr">
        <is>
          <t>Navigational</t>
        </is>
      </c>
      <c r="C406" s="55" t="n">
        <v>20</v>
      </c>
      <c r="D406" s="42" t="n">
        <v>15</v>
      </c>
      <c r="E406" s="56" t="n">
        <v>0</v>
      </c>
      <c r="F406" s="42" t="n">
        <v>1</v>
      </c>
      <c r="G406" s="42" t="n">
        <v>3</v>
      </c>
      <c r="H406" s="42" t="n"/>
    </row>
    <row r="407" ht="15" customHeight="1" s="37">
      <c r="A407" s="42" t="inlineStr">
        <is>
          <t>acqua di parma perfume for men</t>
        </is>
      </c>
      <c r="B407" s="42" t="inlineStr">
        <is>
          <t>Informational</t>
        </is>
      </c>
      <c r="C407" s="55" t="n">
        <v>20</v>
      </c>
      <c r="D407" s="42" t="n">
        <v>17</v>
      </c>
      <c r="E407" s="56" t="n">
        <v>0.31</v>
      </c>
      <c r="F407" s="42" t="n">
        <v>1</v>
      </c>
      <c r="G407" s="42" t="n">
        <v>1</v>
      </c>
      <c r="H407" s="42" t="n"/>
    </row>
    <row r="408" ht="15" customHeight="1" s="37">
      <c r="A408" s="42" t="inlineStr">
        <is>
          <t>acqua di parma rosa nobile dupe</t>
        </is>
      </c>
      <c r="B408" s="42" t="inlineStr">
        <is>
          <t>Informational Commercial</t>
        </is>
      </c>
      <c r="C408" s="55" t="n">
        <v>20</v>
      </c>
      <c r="D408" s="42" t="n">
        <v>7</v>
      </c>
      <c r="E408" s="56" t="n">
        <v>0</v>
      </c>
      <c r="F408" s="42" t="n">
        <v>1</v>
      </c>
      <c r="G408" s="42" t="inlineStr">
        <is>
          <t>T3-2</t>
        </is>
      </c>
      <c r="H408" s="42" t="n"/>
    </row>
    <row r="409" ht="15" customHeight="1" s="37">
      <c r="A409" s="42" t="inlineStr">
        <is>
          <t>acqua di parma rosa nobile edp</t>
        </is>
      </c>
      <c r="B409" s="42" t="inlineStr">
        <is>
          <t>Informational Transactional</t>
        </is>
      </c>
      <c r="C409" s="55" t="n">
        <v>20</v>
      </c>
      <c r="D409" s="42" t="n">
        <v>13</v>
      </c>
      <c r="E409" s="56" t="n">
        <v>0</v>
      </c>
      <c r="F409" s="42" t="n">
        <v>1</v>
      </c>
      <c r="G409" s="42" t="inlineStr">
        <is>
          <t>T2-1</t>
        </is>
      </c>
      <c r="H409" s="42" t="n"/>
    </row>
    <row r="410" ht="15" customHeight="1" s="37">
      <c r="A410" s="42" t="inlineStr">
        <is>
          <t>acqua di parma rosa nobile review</t>
        </is>
      </c>
      <c r="B410" s="42" t="inlineStr">
        <is>
          <t>Commercial</t>
        </is>
      </c>
      <c r="C410" s="55" t="n">
        <v>20</v>
      </c>
      <c r="D410" s="42" t="n">
        <v>10</v>
      </c>
      <c r="E410" s="56" t="n">
        <v>0</v>
      </c>
      <c r="F410" s="42" t="n">
        <v>1</v>
      </c>
      <c r="G410" s="42" t="inlineStr">
        <is>
          <t>T3-2</t>
        </is>
      </c>
      <c r="H410" s="42" t="n"/>
    </row>
    <row r="411" ht="15" customHeight="1" s="37">
      <c r="A411" s="42" t="inlineStr">
        <is>
          <t>acqua di parma rosa nobile uk</t>
        </is>
      </c>
      <c r="B411" s="42" t="inlineStr">
        <is>
          <t>Informational</t>
        </is>
      </c>
      <c r="C411" s="55" t="n">
        <v>20</v>
      </c>
      <c r="D411" s="42" t="n">
        <v>12</v>
      </c>
      <c r="E411" s="56" t="n">
        <v>0</v>
      </c>
      <c r="F411" s="42" t="n">
        <v>1</v>
      </c>
      <c r="G411" s="42" t="n">
        <v>9</v>
      </c>
      <c r="H411" s="42" t="n"/>
    </row>
    <row r="412" ht="15" customHeight="1" s="37">
      <c r="A412" s="42" t="inlineStr">
        <is>
          <t>acqua di parma sakura edp</t>
        </is>
      </c>
      <c r="B412" s="42" t="inlineStr">
        <is>
          <t>Informational</t>
        </is>
      </c>
      <c r="C412" s="55" t="n">
        <v>20</v>
      </c>
      <c r="D412" s="42" t="n">
        <v>13</v>
      </c>
      <c r="E412" s="56" t="n">
        <v>0</v>
      </c>
      <c r="F412" s="42" t="n">
        <v>1</v>
      </c>
      <c r="G412" s="42" t="inlineStr">
        <is>
          <t>T2-1</t>
        </is>
      </c>
      <c r="H412" s="42" t="n"/>
    </row>
    <row r="413" ht="15" customHeight="1" s="37">
      <c r="A413" s="42" t="inlineStr">
        <is>
          <t>acqua di parma sandalo dupe</t>
        </is>
      </c>
      <c r="B413" s="42" t="inlineStr">
        <is>
          <t>Informational Commercial</t>
        </is>
      </c>
      <c r="C413" s="55" t="n">
        <v>20</v>
      </c>
      <c r="D413" s="42" t="n">
        <v>21</v>
      </c>
      <c r="E413" s="56" t="n">
        <v>0</v>
      </c>
      <c r="F413" s="42" t="n">
        <v>1</v>
      </c>
      <c r="G413" s="42" t="inlineStr">
        <is>
          <t>T3-1</t>
        </is>
      </c>
      <c r="H413" s="42" t="n"/>
    </row>
    <row r="414" ht="15" customHeight="1" s="37">
      <c r="A414" s="42" t="inlineStr">
        <is>
          <t>acqua di parma sandalo edp</t>
        </is>
      </c>
      <c r="B414" s="42" t="inlineStr">
        <is>
          <t>Informational</t>
        </is>
      </c>
      <c r="C414" s="55" t="n">
        <v>20</v>
      </c>
      <c r="D414" s="42" t="n">
        <v>9</v>
      </c>
      <c r="E414" s="56" t="n">
        <v>0</v>
      </c>
      <c r="F414" s="42" t="n">
        <v>0.75</v>
      </c>
      <c r="G414" s="42" t="inlineStr">
        <is>
          <t>T2-1</t>
        </is>
      </c>
      <c r="H414" s="42" t="n"/>
    </row>
    <row r="415" ht="15" customHeight="1" s="37">
      <c r="A415" s="42" t="inlineStr">
        <is>
          <t>acqua di parma sandalo review</t>
        </is>
      </c>
      <c r="B415" s="42" t="inlineStr">
        <is>
          <t>Commercial</t>
        </is>
      </c>
      <c r="C415" s="55" t="n">
        <v>20</v>
      </c>
      <c r="D415" s="42" t="n">
        <v>12</v>
      </c>
      <c r="E415" s="56" t="n">
        <v>0</v>
      </c>
      <c r="F415" s="42" t="n">
        <v>1</v>
      </c>
      <c r="G415" s="42" t="inlineStr">
        <is>
          <t>T3-1</t>
        </is>
      </c>
      <c r="H415" s="42" t="n"/>
    </row>
    <row r="416" ht="15" customHeight="1" s="37">
      <c r="A416" s="42" t="inlineStr">
        <is>
          <t>acqua di parma sandalo uk</t>
        </is>
      </c>
      <c r="B416" s="42" t="inlineStr">
        <is>
          <t>Informational</t>
        </is>
      </c>
      <c r="C416" s="55" t="n">
        <v>20</v>
      </c>
      <c r="D416" s="42" t="n">
        <v>9</v>
      </c>
      <c r="E416" s="56" t="n">
        <v>0</v>
      </c>
      <c r="F416" s="42" t="n">
        <v>1</v>
      </c>
      <c r="G416" s="42" t="n">
        <v>9</v>
      </c>
      <c r="H416" s="42" t="n"/>
    </row>
    <row r="417" ht="15" customHeight="1" s="37">
      <c r="A417" s="42" t="inlineStr">
        <is>
          <t>acqua di parma zafferano dupe</t>
        </is>
      </c>
      <c r="B417" s="42" t="inlineStr">
        <is>
          <t>Navigational</t>
        </is>
      </c>
      <c r="C417" s="55" t="n">
        <v>20</v>
      </c>
      <c r="D417" s="42" t="n">
        <v>5</v>
      </c>
      <c r="E417" s="56" t="n">
        <v>0.48</v>
      </c>
      <c r="F417" s="42" t="n">
        <v>1</v>
      </c>
      <c r="G417" s="42" t="inlineStr">
        <is>
          <t>T3-1</t>
        </is>
      </c>
      <c r="H417" s="42" t="n"/>
    </row>
    <row r="418" ht="15" customHeight="1" s="37">
      <c r="A418" s="42" t="inlineStr">
        <is>
          <t>acqua di parma zafferano edp</t>
        </is>
      </c>
      <c r="B418" s="42" t="inlineStr">
        <is>
          <t>Informational</t>
        </is>
      </c>
      <c r="C418" s="55" t="n">
        <v>20</v>
      </c>
      <c r="D418" s="42" t="n">
        <v>18</v>
      </c>
      <c r="E418" s="56" t="n">
        <v>0</v>
      </c>
      <c r="F418" s="42" t="n">
        <v>0.99</v>
      </c>
      <c r="G418" s="42" t="inlineStr">
        <is>
          <t>T2-1</t>
        </is>
      </c>
      <c r="H418" s="42" t="n"/>
    </row>
    <row r="419" ht="15" customHeight="1" s="37">
      <c r="A419" s="42" t="inlineStr">
        <is>
          <t>acqua di parma zafferano review</t>
        </is>
      </c>
      <c r="B419" s="42" t="inlineStr">
        <is>
          <t>Commercial</t>
        </is>
      </c>
      <c r="C419" s="55" t="n">
        <v>20</v>
      </c>
      <c r="D419" s="42" t="n">
        <v>12</v>
      </c>
      <c r="E419" s="56" t="n">
        <v>0</v>
      </c>
      <c r="F419" s="42" t="n">
        <v>1</v>
      </c>
      <c r="G419" s="42" t="inlineStr">
        <is>
          <t>T3-1</t>
        </is>
      </c>
      <c r="H419" s="42" t="n"/>
    </row>
    <row r="420" ht="15" customHeight="1" s="37">
      <c r="A420" s="42" t="inlineStr">
        <is>
          <t>acqua di parma zafferano uk</t>
        </is>
      </c>
      <c r="B420" s="42" t="inlineStr">
        <is>
          <t>Informational</t>
        </is>
      </c>
      <c r="C420" s="55" t="n">
        <v>20</v>
      </c>
      <c r="D420" s="42" t="n">
        <v>12</v>
      </c>
      <c r="E420" s="56" t="n">
        <v>0</v>
      </c>
      <c r="F420" s="42" t="n">
        <v>1</v>
      </c>
      <c r="G420" s="42" t="n">
        <v>9</v>
      </c>
      <c r="H420" s="42" t="n"/>
    </row>
    <row r="421" ht="15" customHeight="1" s="37">
      <c r="A421" s="42" t="inlineStr">
        <is>
          <t>al haramain amber musk</t>
        </is>
      </c>
      <c r="B421" s="42" t="inlineStr">
        <is>
          <t>Informational</t>
        </is>
      </c>
      <c r="C421" s="55" t="n">
        <v>20</v>
      </c>
      <c r="D421" s="42" t="n">
        <v>5</v>
      </c>
      <c r="E421" s="56" t="n">
        <v>0</v>
      </c>
      <c r="F421" s="42" t="n">
        <v>0.99</v>
      </c>
      <c r="G421" s="42" t="n">
        <v>4</v>
      </c>
      <c r="H421" s="42" t="n"/>
    </row>
    <row r="422" ht="15" customHeight="1" s="37">
      <c r="A422" s="42" t="inlineStr">
        <is>
          <t>al haramain amber oud black edition</t>
        </is>
      </c>
      <c r="B422" s="42" t="inlineStr">
        <is>
          <t>Informational</t>
        </is>
      </c>
      <c r="C422" s="55" t="n">
        <v>20</v>
      </c>
      <c r="D422" s="42" t="n">
        <v>12</v>
      </c>
      <c r="E422" s="56" t="n">
        <v>0</v>
      </c>
      <c r="F422" s="42" t="n">
        <v>1</v>
      </c>
      <c r="G422" s="42" t="n">
        <v>4</v>
      </c>
      <c r="H422" s="42" t="n"/>
    </row>
    <row r="423" ht="15" customHeight="1" s="37">
      <c r="A423" s="42" t="inlineStr">
        <is>
          <t>al haramain amber oud bleu edition eau de parfum</t>
        </is>
      </c>
      <c r="B423" s="42" t="inlineStr">
        <is>
          <t>Informational</t>
        </is>
      </c>
      <c r="C423" s="55" t="n">
        <v>20</v>
      </c>
      <c r="D423" s="42" t="n">
        <v>13</v>
      </c>
      <c r="E423" s="56" t="n">
        <v>0</v>
      </c>
      <c r="F423" s="42" t="n">
        <v>1</v>
      </c>
      <c r="G423" s="42" t="inlineStr">
        <is>
          <t>T2-2</t>
        </is>
      </c>
      <c r="H423" s="42" t="n"/>
    </row>
    <row r="424" ht="15" customHeight="1" s="37">
      <c r="A424" s="42" t="inlineStr">
        <is>
          <t>al haramain amber oud carbon edition eau de parfum</t>
        </is>
      </c>
      <c r="B424" s="42" t="inlineStr">
        <is>
          <t>Informational</t>
        </is>
      </c>
      <c r="C424" s="55" t="n">
        <v>20</v>
      </c>
      <c r="D424" s="42" t="n">
        <v>6</v>
      </c>
      <c r="E424" s="56" t="n">
        <v>0</v>
      </c>
      <c r="F424" s="42" t="n">
        <v>0</v>
      </c>
      <c r="G424" s="42" t="inlineStr">
        <is>
          <t>T2-2</t>
        </is>
      </c>
      <c r="H424" s="42" t="n"/>
    </row>
    <row r="425" ht="15" customHeight="1" s="37">
      <c r="A425" s="42" t="inlineStr">
        <is>
          <t>al haramain amber oud eau de parfum</t>
        </is>
      </c>
      <c r="B425" s="42" t="inlineStr">
        <is>
          <t>Transactional Navigational</t>
        </is>
      </c>
      <c r="C425" s="55" t="n">
        <v>20</v>
      </c>
      <c r="D425" s="42" t="n">
        <v>12</v>
      </c>
      <c r="E425" s="56" t="n">
        <v>0</v>
      </c>
      <c r="F425" s="42" t="n">
        <v>0</v>
      </c>
      <c r="G425" s="42" t="inlineStr">
        <is>
          <t>T2-1</t>
        </is>
      </c>
      <c r="H425" s="42" t="n"/>
    </row>
    <row r="426" ht="15" customHeight="1" s="37">
      <c r="A426" s="42" t="inlineStr">
        <is>
          <t>al haramain amber oud extreme gold edition</t>
        </is>
      </c>
      <c r="B426" s="42" t="inlineStr">
        <is>
          <t>Informational Transactional</t>
        </is>
      </c>
      <c r="C426" s="55" t="n">
        <v>20</v>
      </c>
      <c r="D426" s="42" t="n">
        <v>13</v>
      </c>
      <c r="E426" s="56" t="n">
        <v>0</v>
      </c>
      <c r="F426" s="42" t="n">
        <v>1</v>
      </c>
      <c r="G426" s="42" t="n">
        <v>4</v>
      </c>
      <c r="H426" s="42" t="n"/>
    </row>
    <row r="427" ht="15" customHeight="1" s="37">
      <c r="A427" s="42" t="inlineStr">
        <is>
          <t>al haramain amber oud gold edition dupe of</t>
        </is>
      </c>
      <c r="B427" s="42" t="inlineStr">
        <is>
          <t>Informational Transactional</t>
        </is>
      </c>
      <c r="C427" s="55" t="n">
        <v>20</v>
      </c>
      <c r="D427" s="42" t="n">
        <v>1</v>
      </c>
      <c r="E427" s="56" t="n">
        <v>0</v>
      </c>
      <c r="F427" s="42" t="n">
        <v>0.99</v>
      </c>
      <c r="G427" s="42" t="inlineStr">
        <is>
          <t>T3-1</t>
        </is>
      </c>
      <c r="H427" s="42" t="n"/>
    </row>
    <row r="428" ht="15" customHeight="1" s="37">
      <c r="A428" s="42" t="inlineStr">
        <is>
          <t>al haramain amber oud gold edition eau de parfum</t>
        </is>
      </c>
      <c r="B428" s="42" t="inlineStr">
        <is>
          <t>Informational Transactional</t>
        </is>
      </c>
      <c r="C428" s="55" t="n">
        <v>20</v>
      </c>
      <c r="D428" s="42" t="n">
        <v>14</v>
      </c>
      <c r="E428" s="56" t="n">
        <v>0</v>
      </c>
      <c r="F428" s="42" t="n">
        <v>1</v>
      </c>
      <c r="G428" s="42" t="inlineStr">
        <is>
          <t>T2-1</t>
        </is>
      </c>
      <c r="H428" s="42" t="n"/>
    </row>
    <row r="429" ht="15" customHeight="1" s="37">
      <c r="A429" s="42" t="inlineStr">
        <is>
          <t>al haramain amber oud gold edition review</t>
        </is>
      </c>
      <c r="B429" s="42" t="inlineStr">
        <is>
          <t>Commercial</t>
        </is>
      </c>
      <c r="C429" s="55" t="n">
        <v>20</v>
      </c>
      <c r="D429" s="42" t="n">
        <v>13</v>
      </c>
      <c r="E429" s="56" t="n">
        <v>0</v>
      </c>
      <c r="F429" s="42" t="n">
        <v>0.92</v>
      </c>
      <c r="G429" s="42" t="inlineStr">
        <is>
          <t>T3-1</t>
        </is>
      </c>
      <c r="H429" s="42" t="n"/>
    </row>
    <row r="430" ht="15" customHeight="1" s="37">
      <c r="A430" s="42" t="inlineStr">
        <is>
          <t>al haramain amber oud gold edition uk</t>
        </is>
      </c>
      <c r="B430" s="42" t="inlineStr">
        <is>
          <t>Informational Transactional</t>
        </is>
      </c>
      <c r="C430" s="55" t="n">
        <v>20</v>
      </c>
      <c r="D430" s="42" t="n">
        <v>9</v>
      </c>
      <c r="E430" s="56" t="n">
        <v>0</v>
      </c>
      <c r="F430" s="42" t="n">
        <v>1</v>
      </c>
      <c r="G430" s="42" t="n">
        <v>9</v>
      </c>
      <c r="H430" s="42" t="n"/>
    </row>
    <row r="431" ht="15" customHeight="1" s="37">
      <c r="A431" s="42" t="inlineStr">
        <is>
          <t>al haramain amber oud price</t>
        </is>
      </c>
      <c r="B431" s="42" t="inlineStr">
        <is>
          <t>Transactional</t>
        </is>
      </c>
      <c r="C431" s="55" t="n">
        <v>20</v>
      </c>
      <c r="D431" s="42" t="n">
        <v>11</v>
      </c>
      <c r="E431" s="56" t="n">
        <v>0</v>
      </c>
      <c r="F431" s="42" t="n">
        <v>0</v>
      </c>
      <c r="G431" s="42" t="inlineStr">
        <is>
          <t>T3-1</t>
        </is>
      </c>
      <c r="H431" s="42" t="n"/>
    </row>
    <row r="432" ht="15" customHeight="1" s="37">
      <c r="A432" s="42" t="inlineStr">
        <is>
          <t>al haramain amber oud ruby edition eau de parfum</t>
        </is>
      </c>
      <c r="B432" s="42" t="inlineStr">
        <is>
          <t>Informational Transactional</t>
        </is>
      </c>
      <c r="C432" s="55" t="n">
        <v>20</v>
      </c>
      <c r="D432" s="42" t="n">
        <v>12</v>
      </c>
      <c r="E432" s="56" t="n">
        <v>0</v>
      </c>
      <c r="F432" s="42" t="n">
        <v>1</v>
      </c>
      <c r="G432" s="42" t="inlineStr">
        <is>
          <t>T2-2</t>
        </is>
      </c>
      <c r="H432" s="42" t="n"/>
    </row>
    <row r="433" ht="15" customHeight="1" s="37">
      <c r="A433" s="42" t="inlineStr">
        <is>
          <t>al haramain amber oud tobacco edition dupe of</t>
        </is>
      </c>
      <c r="B433" s="42" t="inlineStr">
        <is>
          <t>Informational Transactional</t>
        </is>
      </c>
      <c r="C433" s="55" t="n">
        <v>20</v>
      </c>
      <c r="D433" s="42" t="n">
        <v>6</v>
      </c>
      <c r="E433" s="56" t="n">
        <v>0</v>
      </c>
      <c r="F433" s="42" t="n">
        <v>1</v>
      </c>
      <c r="G433" s="42" t="inlineStr">
        <is>
          <t>T3-1</t>
        </is>
      </c>
      <c r="H433" s="42" t="n"/>
    </row>
    <row r="434" ht="15" customHeight="1" s="37">
      <c r="A434" s="42" t="inlineStr">
        <is>
          <t>al haramain amber oud tobacco edition eau de parfum</t>
        </is>
      </c>
      <c r="B434" s="42" t="inlineStr">
        <is>
          <t>Informational Transactional</t>
        </is>
      </c>
      <c r="C434" s="55" t="n">
        <v>20</v>
      </c>
      <c r="D434" s="42" t="n">
        <v>11</v>
      </c>
      <c r="E434" s="56" t="n">
        <v>0</v>
      </c>
      <c r="F434" s="42" t="n">
        <v>1</v>
      </c>
      <c r="G434" s="42" t="inlineStr">
        <is>
          <t>T2-1</t>
        </is>
      </c>
      <c r="H434" s="42" t="n"/>
    </row>
    <row r="435" ht="15" customHeight="1" s="37">
      <c r="A435" s="42" t="inlineStr">
        <is>
          <t>al haramain amber oud tobacco edition review</t>
        </is>
      </c>
      <c r="B435" s="42" t="inlineStr">
        <is>
          <t>Commercial</t>
        </is>
      </c>
      <c r="C435" s="55" t="n">
        <v>20</v>
      </c>
      <c r="D435" s="42" t="n">
        <v>25</v>
      </c>
      <c r="E435" s="56" t="n">
        <v>0</v>
      </c>
      <c r="F435" s="42" t="n">
        <v>1</v>
      </c>
      <c r="G435" s="42" t="inlineStr">
        <is>
          <t>T3-1</t>
        </is>
      </c>
      <c r="H435" s="42" t="n"/>
    </row>
    <row r="436" ht="15" customHeight="1" s="37">
      <c r="A436" s="42" t="inlineStr">
        <is>
          <t>al haramain amber oud tobacco edition uk</t>
        </is>
      </c>
      <c r="B436" s="42" t="inlineStr">
        <is>
          <t>Informational Transactional</t>
        </is>
      </c>
      <c r="C436" s="55" t="n">
        <v>20</v>
      </c>
      <c r="D436" s="42" t="n">
        <v>12</v>
      </c>
      <c r="E436" s="56" t="n">
        <v>0</v>
      </c>
      <c r="F436" s="42" t="n">
        <v>1</v>
      </c>
      <c r="G436" s="42" t="n">
        <v>9</v>
      </c>
      <c r="H436" s="42" t="n"/>
    </row>
    <row r="437" ht="15" customHeight="1" s="37">
      <c r="A437" s="42" t="inlineStr">
        <is>
          <t>al haramain amber oud uk</t>
        </is>
      </c>
      <c r="B437" s="42" t="inlineStr">
        <is>
          <t>Navigational</t>
        </is>
      </c>
      <c r="C437" s="55" t="n">
        <v>20</v>
      </c>
      <c r="D437" s="42" t="n">
        <v>11</v>
      </c>
      <c r="E437" s="56" t="n">
        <v>0</v>
      </c>
      <c r="F437" s="42" t="n">
        <v>1</v>
      </c>
      <c r="G437" s="42" t="n">
        <v>9</v>
      </c>
      <c r="H437" s="42" t="n"/>
    </row>
    <row r="438" ht="15" customHeight="1" s="37">
      <c r="A438" s="42" t="inlineStr">
        <is>
          <t>al haramain amber oud white edition</t>
        </is>
      </c>
      <c r="B438" s="42" t="inlineStr">
        <is>
          <t>Informational</t>
        </is>
      </c>
      <c r="C438" s="55" t="n">
        <v>20</v>
      </c>
      <c r="D438" s="42" t="n">
        <v>17</v>
      </c>
      <c r="E438" s="56" t="n">
        <v>0</v>
      </c>
      <c r="F438" s="42" t="n">
        <v>0.95</v>
      </c>
      <c r="G438" s="42" t="n">
        <v>4</v>
      </c>
      <c r="H438" s="42" t="n"/>
    </row>
    <row r="439" ht="15" customHeight="1" s="37">
      <c r="A439" s="42" t="inlineStr">
        <is>
          <t>al haramain detour noir uk</t>
        </is>
      </c>
      <c r="B439" s="42" t="inlineStr">
        <is>
          <t>Informational Navigational</t>
        </is>
      </c>
      <c r="C439" s="55" t="n">
        <v>20</v>
      </c>
      <c r="D439" s="42" t="n">
        <v>7</v>
      </c>
      <c r="E439" s="56" t="n">
        <v>0</v>
      </c>
      <c r="F439" s="42" t="n">
        <v>0</v>
      </c>
      <c r="G439" s="42" t="n">
        <v>9</v>
      </c>
      <c r="H439" s="42" t="n"/>
    </row>
    <row r="440" ht="15" customHeight="1" s="37">
      <c r="A440" s="42" t="inlineStr">
        <is>
          <t>al haramain l'aventure gold</t>
        </is>
      </c>
      <c r="B440" s="42" t="inlineStr">
        <is>
          <t>Navigational</t>
        </is>
      </c>
      <c r="C440" s="55" t="n">
        <v>20</v>
      </c>
      <c r="D440" s="42" t="n">
        <v>6</v>
      </c>
      <c r="E440" s="56" t="n">
        <v>0</v>
      </c>
      <c r="F440" s="42" t="n">
        <v>1</v>
      </c>
      <c r="G440" s="42" t="n">
        <v>4</v>
      </c>
      <c r="H440" s="42" t="n"/>
    </row>
    <row r="441" ht="15" customHeight="1" s="37">
      <c r="A441" s="42" t="inlineStr">
        <is>
          <t>al haramain perfume for women</t>
        </is>
      </c>
      <c r="B441" s="42" t="inlineStr">
        <is>
          <t>Informational Transactional</t>
        </is>
      </c>
      <c r="C441" s="55" t="n">
        <v>20</v>
      </c>
      <c r="D441" s="42" t="n">
        <v>4</v>
      </c>
      <c r="E441" s="56" t="n">
        <v>0</v>
      </c>
      <c r="F441" s="42" t="n">
        <v>1</v>
      </c>
      <c r="G441" s="42" t="n">
        <v>1</v>
      </c>
      <c r="H441" s="42" t="n"/>
    </row>
    <row r="442" ht="15" customHeight="1" s="37">
      <c r="A442" s="42" t="inlineStr">
        <is>
          <t>anatome perfume</t>
        </is>
      </c>
      <c r="B442" s="42" t="inlineStr">
        <is>
          <t>Transactional Navigational</t>
        </is>
      </c>
      <c r="C442" s="55" t="n">
        <v>20</v>
      </c>
      <c r="D442" s="42" t="n">
        <v>4</v>
      </c>
      <c r="E442" s="56" t="n">
        <v>0</v>
      </c>
      <c r="F442" s="42" t="n">
        <v>1</v>
      </c>
      <c r="G442" s="42" t="n">
        <v>1</v>
      </c>
      <c r="H442" s="42" t="n"/>
    </row>
    <row r="443" ht="15" customHeight="1" s="37">
      <c r="A443" s="42" t="inlineStr">
        <is>
          <t>anna sui perfume for women</t>
        </is>
      </c>
      <c r="B443" s="42" t="inlineStr">
        <is>
          <t>Informational</t>
        </is>
      </c>
      <c r="C443" s="55" t="n">
        <v>20</v>
      </c>
      <c r="D443" s="42" t="n">
        <v>16</v>
      </c>
      <c r="E443" s="56" t="n">
        <v>0</v>
      </c>
      <c r="F443" s="42" t="n">
        <v>1</v>
      </c>
      <c r="G443" s="42" t="n">
        <v>1</v>
      </c>
      <c r="H443" s="42" t="n"/>
    </row>
    <row r="444" ht="15" customHeight="1" s="37">
      <c r="A444" s="42" t="inlineStr">
        <is>
          <t>anna sui sky eau de toilette</t>
        </is>
      </c>
      <c r="B444" s="42" t="inlineStr">
        <is>
          <t>Informational</t>
        </is>
      </c>
      <c r="C444" s="55" t="n">
        <v>20</v>
      </c>
      <c r="D444" s="42" t="n">
        <v>20</v>
      </c>
      <c r="E444" s="56" t="n">
        <v>0</v>
      </c>
      <c r="F444" s="42" t="n">
        <v>1</v>
      </c>
      <c r="G444" s="42" t="inlineStr">
        <is>
          <t>T2-1</t>
        </is>
      </c>
      <c r="H444" s="42" t="n"/>
    </row>
    <row r="445" ht="15" customHeight="1" s="37">
      <c r="A445" s="42" t="inlineStr">
        <is>
          <t>anna sui sky perfume review</t>
        </is>
      </c>
      <c r="B445" s="42" t="inlineStr">
        <is>
          <t>Commercial</t>
        </is>
      </c>
      <c r="C445" s="55" t="n">
        <v>20</v>
      </c>
      <c r="D445" s="42" t="n">
        <v>13</v>
      </c>
      <c r="E445" s="56" t="n">
        <v>0</v>
      </c>
      <c r="F445" s="42" t="n">
        <v>0.91</v>
      </c>
      <c r="G445" s="42" t="inlineStr">
        <is>
          <t>T3-2</t>
        </is>
      </c>
      <c r="H445" s="42" t="n"/>
    </row>
    <row r="446" ht="15" customHeight="1" s="37">
      <c r="A446" s="42" t="inlineStr">
        <is>
          <t>antonio banderas diavolo</t>
        </is>
      </c>
      <c r="B446" s="42" t="inlineStr">
        <is>
          <t>Informational Transactional</t>
        </is>
      </c>
      <c r="C446" s="55" t="n">
        <v>20</v>
      </c>
      <c r="D446" s="42" t="n">
        <v>7</v>
      </c>
      <c r="E446" s="56" t="n">
        <v>0</v>
      </c>
      <c r="F446" s="42" t="n">
        <v>1</v>
      </c>
      <c r="G446" s="42" t="n">
        <v>4</v>
      </c>
      <c r="H446" s="42" t="n"/>
    </row>
    <row r="447" ht="15" customHeight="1" s="37">
      <c r="A447" s="42" t="inlineStr">
        <is>
          <t>antonio banderas her secret desire</t>
        </is>
      </c>
      <c r="B447" s="42" t="inlineStr">
        <is>
          <t>Informational Transactional</t>
        </is>
      </c>
      <c r="C447" s="55" t="n">
        <v>20</v>
      </c>
      <c r="D447" s="42" t="n">
        <v>16</v>
      </c>
      <c r="E447" s="56" t="n">
        <v>0</v>
      </c>
      <c r="F447" s="42" t="n">
        <v>1</v>
      </c>
      <c r="G447" s="42" t="n">
        <v>4</v>
      </c>
      <c r="H447" s="42" t="n"/>
    </row>
    <row r="448" ht="15" customHeight="1" s="37">
      <c r="A448" s="42" t="inlineStr">
        <is>
          <t>antonio banderas her secret temptation</t>
        </is>
      </c>
      <c r="B448" s="42" t="inlineStr">
        <is>
          <t>Informational Transactional</t>
        </is>
      </c>
      <c r="C448" s="55" t="n">
        <v>20</v>
      </c>
      <c r="D448" s="42" t="n">
        <v>9</v>
      </c>
      <c r="E448" s="56" t="n">
        <v>0</v>
      </c>
      <c r="F448" s="42" t="n">
        <v>1</v>
      </c>
      <c r="G448" s="42" t="n">
        <v>4</v>
      </c>
      <c r="H448" s="42" t="n"/>
    </row>
    <row r="449" ht="15" customHeight="1" s="37">
      <c r="A449" s="42" t="inlineStr">
        <is>
          <t>antonio banderas perfume for men</t>
        </is>
      </c>
      <c r="B449" s="42" t="inlineStr">
        <is>
          <t>Informational</t>
        </is>
      </c>
      <c r="C449" s="55" t="n">
        <v>20</v>
      </c>
      <c r="D449" s="42" t="n">
        <v>16</v>
      </c>
      <c r="E449" s="56" t="n">
        <v>0</v>
      </c>
      <c r="F449" s="42" t="n">
        <v>1</v>
      </c>
      <c r="G449" s="42" t="n">
        <v>1</v>
      </c>
      <c r="H449" s="42" t="n"/>
    </row>
    <row r="450" ht="15" customHeight="1" s="37">
      <c r="A450" s="42" t="inlineStr">
        <is>
          <t>antonio banderas power of seduction</t>
        </is>
      </c>
      <c r="B450" s="42" t="inlineStr">
        <is>
          <t>Informational</t>
        </is>
      </c>
      <c r="C450" s="55" t="n">
        <v>20</v>
      </c>
      <c r="D450" s="42" t="n">
        <v>9</v>
      </c>
      <c r="E450" s="56" t="n">
        <v>0</v>
      </c>
      <c r="F450" s="42" t="n">
        <v>1</v>
      </c>
      <c r="G450" s="42" t="n">
        <v>4</v>
      </c>
      <c r="H450" s="42" t="n"/>
    </row>
    <row r="451" ht="15" customHeight="1" s="37">
      <c r="A451" s="42" t="inlineStr">
        <is>
          <t>armaf hunter eau de parfum</t>
        </is>
      </c>
      <c r="B451" s="42" t="inlineStr">
        <is>
          <t>Informational</t>
        </is>
      </c>
      <c r="C451" s="55" t="n">
        <v>20</v>
      </c>
      <c r="D451" s="42" t="n">
        <v>13</v>
      </c>
      <c r="E451" s="56" t="n">
        <v>0</v>
      </c>
      <c r="F451" s="42" t="n">
        <v>0</v>
      </c>
      <c r="G451" s="42" t="inlineStr">
        <is>
          <t>T2-2</t>
        </is>
      </c>
      <c r="H451" s="42" t="n"/>
    </row>
    <row r="452" ht="15" customHeight="1" s="37">
      <c r="A452" s="42" t="inlineStr">
        <is>
          <t>ayurvedic skincare uk</t>
        </is>
      </c>
      <c r="B452" s="42" t="inlineStr">
        <is>
          <t>Informational</t>
        </is>
      </c>
      <c r="C452" s="55" t="n">
        <v>20</v>
      </c>
      <c r="D452" s="42" t="n">
        <v>18</v>
      </c>
      <c r="E452" s="56" t="n">
        <v>1.61</v>
      </c>
      <c r="F452" s="42" t="n">
        <v>1</v>
      </c>
      <c r="G452" s="42" t="inlineStr">
        <is>
          <t>T2-3</t>
        </is>
      </c>
      <c r="H452" s="42" t="n"/>
    </row>
    <row r="453" ht="15" customHeight="1" s="37">
      <c r="A453" s="42" t="inlineStr">
        <is>
          <t>bentley absolute eau de parfum</t>
        </is>
      </c>
      <c r="B453" s="42" t="inlineStr">
        <is>
          <t>Informational Transactional</t>
        </is>
      </c>
      <c r="C453" s="55" t="n">
        <v>20</v>
      </c>
      <c r="D453" s="42" t="n">
        <v>18</v>
      </c>
      <c r="E453" s="56" t="n">
        <v>0</v>
      </c>
      <c r="F453" s="42" t="n">
        <v>1</v>
      </c>
      <c r="G453" s="42" t="inlineStr">
        <is>
          <t>T2-2</t>
        </is>
      </c>
      <c r="H453" s="42" t="n"/>
    </row>
    <row r="454" ht="15" customHeight="1" s="37">
      <c r="A454" s="42" t="inlineStr">
        <is>
          <t>bentley azure 2026</t>
        </is>
      </c>
      <c r="B454" s="42" t="inlineStr">
        <is>
          <t>Informational Transactional</t>
        </is>
      </c>
      <c r="C454" s="55" t="n">
        <v>20</v>
      </c>
      <c r="D454" s="42" t="n">
        <v>9</v>
      </c>
      <c r="E454" s="56" t="n">
        <v>1.11</v>
      </c>
      <c r="F454" s="42" t="n">
        <v>0.88</v>
      </c>
      <c r="G454" s="42" t="inlineStr">
        <is>
          <t>T3-1</t>
        </is>
      </c>
      <c r="H454" s="42" t="n"/>
    </row>
    <row r="455" ht="15" customHeight="1" s="37">
      <c r="A455" s="42" t="inlineStr">
        <is>
          <t>bentley azure eau de toilette</t>
        </is>
      </c>
      <c r="B455" s="42" t="inlineStr">
        <is>
          <t>Informational</t>
        </is>
      </c>
      <c r="C455" s="55" t="n">
        <v>20</v>
      </c>
      <c r="D455" s="42" t="n">
        <v>16</v>
      </c>
      <c r="E455" s="56" t="n">
        <v>0</v>
      </c>
      <c r="F455" s="42" t="n">
        <v>0.99</v>
      </c>
      <c r="G455" s="42" t="inlineStr">
        <is>
          <t>T2-1</t>
        </is>
      </c>
      <c r="H455" s="42" t="n"/>
    </row>
    <row r="456" ht="15" customHeight="1" s="37">
      <c r="A456" s="42" t="inlineStr">
        <is>
          <t>bentley become eau de parfum</t>
        </is>
      </c>
      <c r="B456" s="42" t="inlineStr">
        <is>
          <t>Informational Transactional</t>
        </is>
      </c>
      <c r="C456" s="55" t="n">
        <v>20</v>
      </c>
      <c r="D456" s="42" t="n">
        <v>20</v>
      </c>
      <c r="E456" s="56" t="n">
        <v>0</v>
      </c>
      <c r="F456" s="42" t="n">
        <v>1</v>
      </c>
      <c r="G456" s="42" t="inlineStr">
        <is>
          <t>T2-2</t>
        </is>
      </c>
      <c r="H456" s="42" t="n"/>
    </row>
    <row r="457" ht="15" customHeight="1" s="37">
      <c r="A457" s="42" t="inlineStr">
        <is>
          <t>bentley silverlake eau de parfum</t>
        </is>
      </c>
      <c r="B457" s="42" t="inlineStr">
        <is>
          <t>Transactional</t>
        </is>
      </c>
      <c r="C457" s="55" t="n">
        <v>20</v>
      </c>
      <c r="D457" s="42" t="n">
        <v>16</v>
      </c>
      <c r="E457" s="56" t="n">
        <v>0</v>
      </c>
      <c r="F457" s="42" t="n">
        <v>1</v>
      </c>
      <c r="G457" s="42" t="inlineStr">
        <is>
          <t>T2-1</t>
        </is>
      </c>
      <c r="H457" s="42" t="n"/>
    </row>
    <row r="458" ht="15" customHeight="1" s="37">
      <c r="A458" s="42" t="inlineStr">
        <is>
          <t>bentley silverlake uk</t>
        </is>
      </c>
      <c r="B458" s="42" t="inlineStr">
        <is>
          <t>Informational</t>
        </is>
      </c>
      <c r="C458" s="55" t="n">
        <v>20</v>
      </c>
      <c r="D458" s="42" t="n">
        <v>15</v>
      </c>
      <c r="E458" s="56" t="n">
        <v>0</v>
      </c>
      <c r="F458" s="42" t="n">
        <v>1</v>
      </c>
      <c r="G458" s="42" t="n">
        <v>9</v>
      </c>
      <c r="H458" s="42" t="n"/>
    </row>
    <row r="459" ht="15" customHeight="1" s="37">
      <c r="A459" s="42" t="inlineStr">
        <is>
          <t>body care for dry skin</t>
        </is>
      </c>
      <c r="B459" s="42" t="inlineStr">
        <is>
          <t>Informational</t>
        </is>
      </c>
      <c r="C459" s="55" t="n">
        <v>20</v>
      </c>
      <c r="D459" s="42" t="n">
        <v>13</v>
      </c>
      <c r="E459" s="56" t="n">
        <v>0</v>
      </c>
      <c r="F459" s="42" t="n">
        <v>1</v>
      </c>
      <c r="G459" s="42" t="n">
        <v>2</v>
      </c>
      <c r="H459" s="42" t="n"/>
    </row>
    <row r="460" ht="15" customHeight="1" s="37">
      <c r="A460" s="42" t="inlineStr">
        <is>
          <t>burberry miniature set</t>
        </is>
      </c>
      <c r="B460" s="42" t="inlineStr">
        <is>
          <t>Informational</t>
        </is>
      </c>
      <c r="C460" s="55" t="n">
        <v>20</v>
      </c>
      <c r="D460" s="42" t="n">
        <v>20</v>
      </c>
      <c r="E460" s="56" t="n">
        <v>0</v>
      </c>
      <c r="F460" s="42" t="n">
        <v>1</v>
      </c>
      <c r="G460" s="42" t="n">
        <v>4</v>
      </c>
      <c r="H460" s="42" t="n"/>
    </row>
    <row r="461" ht="15" customHeight="1" s="37">
      <c r="A461" s="42" t="inlineStr">
        <is>
          <t>bvlgari man glacial essence gift set</t>
        </is>
      </c>
      <c r="B461" s="42" t="inlineStr">
        <is>
          <t>Informational</t>
        </is>
      </c>
      <c r="C461" s="55" t="n">
        <v>20</v>
      </c>
      <c r="D461" s="42" t="n">
        <v>12</v>
      </c>
      <c r="E461" s="56" t="n">
        <v>0</v>
      </c>
      <c r="F461" s="42" t="n">
        <v>1</v>
      </c>
      <c r="G461" s="42" t="n">
        <v>4</v>
      </c>
      <c r="H461" s="42" t="n"/>
    </row>
    <row r="462" ht="15" customHeight="1" s="37">
      <c r="A462" s="42" t="inlineStr">
        <is>
          <t>bvlgari man in black notes</t>
        </is>
      </c>
      <c r="B462" s="42" t="inlineStr">
        <is>
          <t>Informational</t>
        </is>
      </c>
      <c r="C462" s="55" t="n">
        <v>20</v>
      </c>
      <c r="D462" s="42" t="n">
        <v>19</v>
      </c>
      <c r="E462" s="56" t="n">
        <v>0</v>
      </c>
      <c r="F462" s="42" t="n">
        <v>0.6899999999999999</v>
      </c>
      <c r="G462" s="42" t="inlineStr">
        <is>
          <t>T3-1</t>
        </is>
      </c>
      <c r="H462" s="42" t="n"/>
    </row>
    <row r="463" ht="15" customHeight="1" s="37">
      <c r="A463" s="42" t="inlineStr">
        <is>
          <t>bvlgari man in black price</t>
        </is>
      </c>
      <c r="B463" s="42" t="inlineStr">
        <is>
          <t>Transactional</t>
        </is>
      </c>
      <c r="C463" s="55" t="n">
        <v>20</v>
      </c>
      <c r="D463" s="42" t="n">
        <v>13</v>
      </c>
      <c r="E463" s="56" t="n">
        <v>0</v>
      </c>
      <c r="F463" s="42" t="n">
        <v>1</v>
      </c>
      <c r="G463" s="42" t="inlineStr">
        <is>
          <t>T3-1</t>
        </is>
      </c>
      <c r="H463" s="42" t="n"/>
    </row>
    <row r="464" ht="15" customHeight="1" s="37">
      <c r="A464" s="42" t="inlineStr">
        <is>
          <t>bvlgari man in black uk</t>
        </is>
      </c>
      <c r="B464" s="42" t="inlineStr">
        <is>
          <t>Informational Transactional</t>
        </is>
      </c>
      <c r="C464" s="55" t="n">
        <v>20</v>
      </c>
      <c r="D464" s="42" t="n">
        <v>14</v>
      </c>
      <c r="E464" s="56" t="n">
        <v>0.49</v>
      </c>
      <c r="F464" s="42" t="n">
        <v>1</v>
      </c>
      <c r="G464" s="42" t="n">
        <v>9</v>
      </c>
      <c r="H464" s="42" t="n"/>
    </row>
    <row r="465" ht="15" customHeight="1" s="37">
      <c r="A465" s="42" t="inlineStr">
        <is>
          <t>bvlgari man rain essence gift set</t>
        </is>
      </c>
      <c r="B465" s="42" t="inlineStr">
        <is>
          <t>Informational Transactional</t>
        </is>
      </c>
      <c r="C465" s="55" t="n">
        <v>20</v>
      </c>
      <c r="D465" s="42" t="n">
        <v>16</v>
      </c>
      <c r="E465" s="56" t="n">
        <v>0</v>
      </c>
      <c r="F465" s="42" t="n">
        <v>1</v>
      </c>
      <c r="G465" s="42" t="n">
        <v>4</v>
      </c>
      <c r="H465" s="42" t="n"/>
    </row>
    <row r="466" ht="15" customHeight="1" s="37">
      <c r="A466" s="42" t="inlineStr">
        <is>
          <t>bvlgari man terrae essence gift set</t>
        </is>
      </c>
      <c r="B466" s="42" t="inlineStr">
        <is>
          <t>Informational Transactional</t>
        </is>
      </c>
      <c r="C466" s="55" t="n">
        <v>20</v>
      </c>
      <c r="D466" s="42" t="n">
        <v>11</v>
      </c>
      <c r="E466" s="56" t="n">
        <v>0</v>
      </c>
      <c r="F466" s="42" t="n">
        <v>1</v>
      </c>
      <c r="G466" s="42" t="n">
        <v>4</v>
      </c>
      <c r="H466" s="42" t="n"/>
    </row>
    <row r="467" ht="15" customHeight="1" s="37">
      <c r="A467" s="42" t="inlineStr">
        <is>
          <t>bvlgari man wood essence gift set</t>
        </is>
      </c>
      <c r="B467" s="42" t="inlineStr">
        <is>
          <t>Informational Transactional</t>
        </is>
      </c>
      <c r="C467" s="55" t="n">
        <v>20</v>
      </c>
      <c r="D467" s="42" t="n">
        <v>14</v>
      </c>
      <c r="E467" s="56" t="n">
        <v>0.48</v>
      </c>
      <c r="F467" s="42" t="n">
        <v>1</v>
      </c>
      <c r="G467" s="42" t="n">
        <v>4</v>
      </c>
      <c r="H467" s="42" t="n"/>
    </row>
    <row r="468" ht="15" customHeight="1" s="37">
      <c r="A468" s="42" t="inlineStr">
        <is>
          <t>bvlgari omnia amethyste dupe</t>
        </is>
      </c>
      <c r="B468" s="42" t="inlineStr">
        <is>
          <t>Informational</t>
        </is>
      </c>
      <c r="C468" s="55" t="n">
        <v>20</v>
      </c>
      <c r="D468" s="42" t="n">
        <v>12</v>
      </c>
      <c r="E468" s="56" t="n">
        <v>0</v>
      </c>
      <c r="F468" s="42" t="n">
        <v>1</v>
      </c>
      <c r="G468" s="42" t="inlineStr">
        <is>
          <t>T3-2</t>
        </is>
      </c>
      <c r="H468" s="42" t="n"/>
    </row>
    <row r="469" ht="15" customHeight="1" s="37">
      <c r="A469" s="42" t="inlineStr">
        <is>
          <t>bvlgari omnia amethyste review</t>
        </is>
      </c>
      <c r="B469" s="42" t="inlineStr">
        <is>
          <t>Commercial</t>
        </is>
      </c>
      <c r="C469" s="55" t="n">
        <v>20</v>
      </c>
      <c r="D469" s="42" t="n">
        <v>9</v>
      </c>
      <c r="E469" s="56" t="n">
        <v>0</v>
      </c>
      <c r="F469" s="42" t="n">
        <v>1</v>
      </c>
      <c r="G469" s="42" t="inlineStr">
        <is>
          <t>T3-2</t>
        </is>
      </c>
      <c r="H469" s="42" t="n"/>
    </row>
    <row r="470" ht="15" customHeight="1" s="37">
      <c r="A470" s="42" t="inlineStr">
        <is>
          <t>bvlgari omnia amethyste uk</t>
        </is>
      </c>
      <c r="B470" s="42" t="inlineStr">
        <is>
          <t>Navigational</t>
        </is>
      </c>
      <c r="C470" s="55" t="n">
        <v>20</v>
      </c>
      <c r="D470" s="42" t="n">
        <v>13</v>
      </c>
      <c r="E470" s="56" t="n">
        <v>0</v>
      </c>
      <c r="F470" s="42" t="n">
        <v>1</v>
      </c>
      <c r="G470" s="42" t="n">
        <v>9</v>
      </c>
      <c r="H470" s="42" t="n"/>
    </row>
    <row r="471" ht="15" customHeight="1" s="37">
      <c r="A471" s="42" t="inlineStr">
        <is>
          <t>bvlgari rose goldea blossom delight gift set</t>
        </is>
      </c>
      <c r="B471" s="42" t="inlineStr">
        <is>
          <t>Informational Transactional</t>
        </is>
      </c>
      <c r="C471" s="55" t="n">
        <v>20</v>
      </c>
      <c r="D471" s="42" t="n">
        <v>12</v>
      </c>
      <c r="E471" s="56" t="n">
        <v>0</v>
      </c>
      <c r="F471" s="42" t="n">
        <v>1</v>
      </c>
      <c r="G471" s="42" t="n">
        <v>4</v>
      </c>
      <c r="H471" s="42" t="n"/>
    </row>
    <row r="472" ht="15" customHeight="1" s="37">
      <c r="A472" s="42" t="inlineStr">
        <is>
          <t>calvin klein defy perfume</t>
        </is>
      </c>
      <c r="B472" s="42" t="inlineStr">
        <is>
          <t>Informational</t>
        </is>
      </c>
      <c r="C472" s="55" t="n">
        <v>20</v>
      </c>
      <c r="D472" s="42" t="n">
        <v>13</v>
      </c>
      <c r="E472" s="56" t="n">
        <v>0.24</v>
      </c>
      <c r="F472" s="42" t="n">
        <v>1</v>
      </c>
      <c r="G472" s="42" t="inlineStr">
        <is>
          <t>T3-1</t>
        </is>
      </c>
      <c r="H472" s="42" t="n"/>
    </row>
    <row r="473" ht="15" customHeight="1" s="37">
      <c r="A473" s="42" t="inlineStr">
        <is>
          <t>calvin klein defy uk</t>
        </is>
      </c>
      <c r="B473" s="42" t="inlineStr">
        <is>
          <t>Informational Commercial</t>
        </is>
      </c>
      <c r="C473" s="55" t="n">
        <v>20</v>
      </c>
      <c r="D473" s="42" t="n">
        <v>11</v>
      </c>
      <c r="E473" s="56" t="n">
        <v>0</v>
      </c>
      <c r="F473" s="42" t="n">
        <v>1</v>
      </c>
      <c r="G473" s="42" t="n">
        <v>9</v>
      </c>
      <c r="H473" s="42" t="n"/>
    </row>
    <row r="474" ht="15" customHeight="1" s="37">
      <c r="A474" s="42" t="inlineStr">
        <is>
          <t>calvin klein eternity price</t>
        </is>
      </c>
      <c r="B474" s="42" t="inlineStr">
        <is>
          <t>Transactional</t>
        </is>
      </c>
      <c r="C474" s="55" t="n">
        <v>20</v>
      </c>
      <c r="D474" s="42" t="n">
        <v>12</v>
      </c>
      <c r="E474" s="56" t="n">
        <v>0.13</v>
      </c>
      <c r="F474" s="42" t="n">
        <v>1</v>
      </c>
      <c r="G474" s="42" t="inlineStr">
        <is>
          <t>T3-1</t>
        </is>
      </c>
      <c r="H474" s="42" t="n"/>
    </row>
    <row r="475" ht="15" customHeight="1" s="37">
      <c r="A475" s="42" t="inlineStr">
        <is>
          <t>calvin klein eternity uk</t>
        </is>
      </c>
      <c r="B475" s="42" t="inlineStr">
        <is>
          <t>Navigational</t>
        </is>
      </c>
      <c r="C475" s="55" t="n">
        <v>20</v>
      </c>
      <c r="D475" s="42" t="n">
        <v>11</v>
      </c>
      <c r="E475" s="56" t="n">
        <v>0</v>
      </c>
      <c r="F475" s="42" t="n">
        <v>1</v>
      </c>
      <c r="G475" s="42" t="n">
        <v>9</v>
      </c>
      <c r="H475" s="42" t="n"/>
    </row>
    <row r="476" ht="15" customHeight="1" s="37">
      <c r="A476" s="42" t="inlineStr">
        <is>
          <t>calvin klein miniature set</t>
        </is>
      </c>
      <c r="B476" s="42" t="inlineStr">
        <is>
          <t>Informational</t>
        </is>
      </c>
      <c r="C476" s="55" t="n">
        <v>20</v>
      </c>
      <c r="D476" s="42" t="n">
        <v>13</v>
      </c>
      <c r="E476" s="56" t="n">
        <v>0</v>
      </c>
      <c r="F476" s="42" t="n">
        <v>1</v>
      </c>
      <c r="G476" s="42" t="n">
        <v>4</v>
      </c>
      <c r="H476" s="42" t="n"/>
    </row>
    <row r="477" ht="15" customHeight="1" s="37">
      <c r="A477" s="42" t="inlineStr">
        <is>
          <t>carolina herrera 212 sexy men eau de toilette</t>
        </is>
      </c>
      <c r="B477" s="42" t="inlineStr">
        <is>
          <t>Informational Transactional</t>
        </is>
      </c>
      <c r="C477" s="55" t="n">
        <v>20</v>
      </c>
      <c r="D477" s="42" t="n">
        <v>11</v>
      </c>
      <c r="E477" s="56" t="n">
        <v>0</v>
      </c>
      <c r="F477" s="42" t="n">
        <v>1</v>
      </c>
      <c r="G477" s="42" t="inlineStr">
        <is>
          <t>T2-1</t>
        </is>
      </c>
      <c r="H477" s="42" t="n"/>
    </row>
    <row r="478" ht="15" customHeight="1" s="37">
      <c r="A478" s="42" t="inlineStr">
        <is>
          <t>carolina herrera 212 vip men eau de toilette</t>
        </is>
      </c>
      <c r="B478" s="42" t="inlineStr">
        <is>
          <t>Informational</t>
        </is>
      </c>
      <c r="C478" s="55" t="n">
        <v>20</v>
      </c>
      <c r="D478" s="42" t="n">
        <v>12</v>
      </c>
      <c r="E478" s="56" t="n">
        <v>0.79</v>
      </c>
      <c r="F478" s="42" t="n">
        <v>0.89</v>
      </c>
      <c r="G478" s="42" t="inlineStr">
        <is>
          <t>T2-1</t>
        </is>
      </c>
      <c r="H478" s="42" t="n"/>
    </row>
    <row r="479" ht="15" customHeight="1" s="37">
      <c r="A479" s="42" t="inlineStr">
        <is>
          <t>carolina herrera 212 vip men notes</t>
        </is>
      </c>
      <c r="B479" s="42" t="inlineStr">
        <is>
          <t>Informational</t>
        </is>
      </c>
      <c r="C479" s="55" t="n">
        <v>20</v>
      </c>
      <c r="D479" s="42" t="n">
        <v>12</v>
      </c>
      <c r="E479" s="56" t="n">
        <v>0</v>
      </c>
      <c r="F479" s="42" t="n">
        <v>0.71</v>
      </c>
      <c r="G479" s="42" t="inlineStr">
        <is>
          <t>T3-2</t>
        </is>
      </c>
      <c r="H479" s="42" t="n"/>
    </row>
    <row r="480" ht="15" customHeight="1" s="37">
      <c r="A480" s="42" t="inlineStr">
        <is>
          <t>carolina herrera 212 vip men review</t>
        </is>
      </c>
      <c r="B480" s="42" t="inlineStr">
        <is>
          <t>Commercial</t>
        </is>
      </c>
      <c r="C480" s="55" t="n">
        <v>20</v>
      </c>
      <c r="D480" s="42" t="n">
        <v>10</v>
      </c>
      <c r="E480" s="56" t="n">
        <v>0</v>
      </c>
      <c r="F480" s="42" t="n">
        <v>1</v>
      </c>
      <c r="G480" s="42" t="inlineStr">
        <is>
          <t>T3-2</t>
        </is>
      </c>
      <c r="H480" s="42" t="n"/>
    </row>
    <row r="481" ht="15" customHeight="1" s="37">
      <c r="A481" s="42" t="inlineStr">
        <is>
          <t>carolina herrera 212 vip rose eau de parfum</t>
        </is>
      </c>
      <c r="B481" s="42" t="inlineStr">
        <is>
          <t>Informational</t>
        </is>
      </c>
      <c r="C481" s="55" t="n">
        <v>20</v>
      </c>
      <c r="D481" s="42" t="n">
        <v>12</v>
      </c>
      <c r="E481" s="56" t="n">
        <v>0</v>
      </c>
      <c r="F481" s="42" t="n">
        <v>1</v>
      </c>
      <c r="G481" s="42" t="inlineStr">
        <is>
          <t>T2-1</t>
        </is>
      </c>
      <c r="H481" s="42" t="n"/>
    </row>
    <row r="482" ht="15" customHeight="1" s="37">
      <c r="A482" s="42" t="inlineStr">
        <is>
          <t>carolina herrera bad boy extreme eau de parfum</t>
        </is>
      </c>
      <c r="B482" s="42" t="inlineStr">
        <is>
          <t>Informational Transactional</t>
        </is>
      </c>
      <c r="C482" s="55" t="n">
        <v>20</v>
      </c>
      <c r="D482" s="42" t="n">
        <v>14</v>
      </c>
      <c r="E482" s="56" t="n">
        <v>0</v>
      </c>
      <c r="F482" s="42" t="n">
        <v>0</v>
      </c>
      <c r="G482" s="42" t="inlineStr">
        <is>
          <t>T2-1</t>
        </is>
      </c>
      <c r="H482" s="42" t="n"/>
    </row>
    <row r="483" ht="15" customHeight="1" s="37">
      <c r="A483" s="42" t="inlineStr">
        <is>
          <t>chloe nomade notes</t>
        </is>
      </c>
      <c r="B483" s="42" t="inlineStr">
        <is>
          <t>Informational</t>
        </is>
      </c>
      <c r="C483" s="55" t="n">
        <v>20</v>
      </c>
      <c r="D483" s="42" t="n">
        <v>16</v>
      </c>
      <c r="E483" s="56" t="n">
        <v>0</v>
      </c>
      <c r="F483" s="42" t="n">
        <v>0.83</v>
      </c>
      <c r="G483" s="42" t="inlineStr">
        <is>
          <t>T3-1</t>
        </is>
      </c>
      <c r="H483" s="42" t="n"/>
    </row>
    <row r="484" ht="15" customHeight="1" s="37">
      <c r="A484" s="42" t="inlineStr">
        <is>
          <t>chloe nomade price</t>
        </is>
      </c>
      <c r="B484" s="42" t="inlineStr">
        <is>
          <t>Transactional</t>
        </is>
      </c>
      <c r="C484" s="55" t="n">
        <v>20</v>
      </c>
      <c r="D484" s="42" t="n">
        <v>22</v>
      </c>
      <c r="E484" s="56" t="n">
        <v>0</v>
      </c>
      <c r="F484" s="42" t="n">
        <v>1</v>
      </c>
      <c r="G484" s="42" t="inlineStr">
        <is>
          <t>T3-1</t>
        </is>
      </c>
      <c r="H484" s="42" t="n"/>
    </row>
    <row r="485" ht="15" customHeight="1" s="37">
      <c r="A485" s="42" t="inlineStr">
        <is>
          <t>chloe nomade uk</t>
        </is>
      </c>
      <c r="B485" s="42" t="inlineStr">
        <is>
          <t>Informational</t>
        </is>
      </c>
      <c r="C485" s="55" t="n">
        <v>20</v>
      </c>
      <c r="D485" s="42" t="n">
        <v>18</v>
      </c>
      <c r="E485" s="56" t="n">
        <v>0.45</v>
      </c>
      <c r="F485" s="42" t="n">
        <v>1</v>
      </c>
      <c r="G485" s="42" t="n">
        <v>9</v>
      </c>
      <c r="H485" s="42" t="n"/>
    </row>
    <row r="486" ht="15" customHeight="1" s="37">
      <c r="A486" s="42" t="inlineStr">
        <is>
          <t>chopard amber malaki eau de parfum</t>
        </is>
      </c>
      <c r="B486" s="42" t="inlineStr">
        <is>
          <t>Informational</t>
        </is>
      </c>
      <c r="C486" s="55" t="n">
        <v>20</v>
      </c>
      <c r="D486" s="42" t="n">
        <v>19</v>
      </c>
      <c r="E486" s="56" t="n">
        <v>0</v>
      </c>
      <c r="F486" s="42" t="n">
        <v>1</v>
      </c>
      <c r="G486" s="42" t="inlineStr">
        <is>
          <t>T2-2</t>
        </is>
      </c>
      <c r="H486" s="42" t="n"/>
    </row>
    <row r="487" ht="15" customHeight="1" s="37">
      <c r="A487" s="42" t="inlineStr">
        <is>
          <t>chopard black incense malaki eau de parfum</t>
        </is>
      </c>
      <c r="B487" s="42" t="inlineStr">
        <is>
          <t>Informational</t>
        </is>
      </c>
      <c r="C487" s="55" t="n">
        <v>20</v>
      </c>
      <c r="D487" s="42" t="n">
        <v>16</v>
      </c>
      <c r="E487" s="56" t="n">
        <v>0</v>
      </c>
      <c r="F487" s="42" t="n">
        <v>1</v>
      </c>
      <c r="G487" s="42" t="inlineStr">
        <is>
          <t>T2-2</t>
        </is>
      </c>
      <c r="H487" s="42" t="n"/>
    </row>
    <row r="488" ht="15" customHeight="1" s="37">
      <c r="A488" s="42" t="inlineStr">
        <is>
          <t>chopard imperiale iris malika</t>
        </is>
      </c>
      <c r="B488" s="42" t="inlineStr">
        <is>
          <t>Informational</t>
        </is>
      </c>
      <c r="C488" s="55" t="n">
        <v>20</v>
      </c>
      <c r="D488" s="42" t="n">
        <v>16</v>
      </c>
      <c r="E488" s="56" t="n">
        <v>0</v>
      </c>
      <c r="F488" s="42" t="n">
        <v>0.9</v>
      </c>
      <c r="G488" s="42" t="n">
        <v>4</v>
      </c>
      <c r="H488" s="42" t="n"/>
    </row>
    <row r="489" ht="15" customHeight="1" s="37">
      <c r="A489" s="42" t="inlineStr">
        <is>
          <t>chopard oud malaki eau de parfum</t>
        </is>
      </c>
      <c r="B489" s="42" t="inlineStr">
        <is>
          <t>Informational Transactional</t>
        </is>
      </c>
      <c r="C489" s="55" t="n">
        <v>20</v>
      </c>
      <c r="D489" s="42" t="n">
        <v>7</v>
      </c>
      <c r="E489" s="56" t="n">
        <v>0</v>
      </c>
      <c r="F489" s="42" t="n">
        <v>1</v>
      </c>
      <c r="G489" s="42" t="inlineStr">
        <is>
          <t>T2-1</t>
        </is>
      </c>
      <c r="H489" s="42" t="n"/>
    </row>
    <row r="490" ht="15" customHeight="1" s="37">
      <c r="A490" s="42" t="inlineStr">
        <is>
          <t>chopard oud malaki review</t>
        </is>
      </c>
      <c r="B490" s="42" t="inlineStr">
        <is>
          <t>Commercial</t>
        </is>
      </c>
      <c r="C490" s="55" t="n">
        <v>20</v>
      </c>
      <c r="D490" s="42" t="n">
        <v>13</v>
      </c>
      <c r="E490" s="56" t="n">
        <v>0</v>
      </c>
      <c r="F490" s="42" t="n">
        <v>1</v>
      </c>
      <c r="G490" s="42" t="inlineStr">
        <is>
          <t>T3-1</t>
        </is>
      </c>
      <c r="H490" s="42" t="n"/>
    </row>
    <row r="491" ht="15" customHeight="1" s="37">
      <c r="A491" s="42" t="inlineStr">
        <is>
          <t>chopard oud malaki uk</t>
        </is>
      </c>
      <c r="B491" s="42" t="inlineStr">
        <is>
          <t>Navigational</t>
        </is>
      </c>
      <c r="C491" s="55" t="n">
        <v>20</v>
      </c>
      <c r="D491" s="42" t="n">
        <v>13</v>
      </c>
      <c r="E491" s="56" t="n">
        <v>0</v>
      </c>
      <c r="F491" s="42" t="n">
        <v>1</v>
      </c>
      <c r="G491" s="42" t="n">
        <v>9</v>
      </c>
      <c r="H491" s="42" t="n"/>
    </row>
    <row r="492" ht="15" customHeight="1" s="37">
      <c r="A492" s="42" t="inlineStr">
        <is>
          <t>chris adams perfume for men</t>
        </is>
      </c>
      <c r="B492" s="42" t="inlineStr">
        <is>
          <t>Informational</t>
        </is>
      </c>
      <c r="C492" s="55" t="n">
        <v>20</v>
      </c>
      <c r="D492" s="42" t="n">
        <v>21</v>
      </c>
      <c r="E492" s="56" t="n">
        <v>0</v>
      </c>
      <c r="F492" s="42" t="n">
        <v>1</v>
      </c>
      <c r="G492" s="42" t="n">
        <v>1</v>
      </c>
      <c r="H492" s="42" t="n"/>
    </row>
    <row r="493" ht="15" customHeight="1" s="37">
      <c r="A493" s="42" t="inlineStr">
        <is>
          <t>davidoff champion eau de toilette</t>
        </is>
      </c>
      <c r="B493" s="42" t="inlineStr">
        <is>
          <t>Informational</t>
        </is>
      </c>
      <c r="C493" s="55" t="n">
        <v>20</v>
      </c>
      <c r="D493" s="42" t="n">
        <v>18</v>
      </c>
      <c r="E493" s="56" t="n">
        <v>0</v>
      </c>
      <c r="F493" s="42" t="n">
        <v>1</v>
      </c>
      <c r="G493" s="42" t="inlineStr">
        <is>
          <t>T2-1</t>
        </is>
      </c>
      <c r="H493" s="42" t="n"/>
    </row>
    <row r="494" ht="15" customHeight="1" s="37">
      <c r="A494" s="42" t="inlineStr">
        <is>
          <t>davidoff champion notes</t>
        </is>
      </c>
      <c r="B494" s="42" t="inlineStr">
        <is>
          <t>Informational</t>
        </is>
      </c>
      <c r="C494" s="55" t="n">
        <v>20</v>
      </c>
      <c r="D494" s="42" t="n">
        <v>19</v>
      </c>
      <c r="E494" s="56" t="n">
        <v>0</v>
      </c>
      <c r="F494" s="42" t="n">
        <v>0.43</v>
      </c>
      <c r="G494" s="42" t="inlineStr">
        <is>
          <t>T3-1</t>
        </is>
      </c>
      <c r="H494" s="42" t="n"/>
    </row>
    <row r="495" ht="15" customHeight="1" s="37">
      <c r="A495" s="42" t="inlineStr">
        <is>
          <t>davidoff champion review</t>
        </is>
      </c>
      <c r="B495" s="42" t="inlineStr">
        <is>
          <t>Commercial</t>
        </is>
      </c>
      <c r="C495" s="55" t="n">
        <v>20</v>
      </c>
      <c r="D495" s="42" t="n">
        <v>10</v>
      </c>
      <c r="E495" s="56" t="n">
        <v>0</v>
      </c>
      <c r="F495" s="42" t="n">
        <v>0.65</v>
      </c>
      <c r="G495" s="42" t="inlineStr">
        <is>
          <t>T3-1</t>
        </is>
      </c>
      <c r="H495" s="42" t="n"/>
    </row>
    <row r="496" ht="15" customHeight="1" s="37">
      <c r="A496" s="42" t="inlineStr">
        <is>
          <t>davidoff cool water reborn intense</t>
        </is>
      </c>
      <c r="B496" s="42" t="inlineStr">
        <is>
          <t>Informational Transactional</t>
        </is>
      </c>
      <c r="C496" s="55" t="n">
        <v>20</v>
      </c>
      <c r="D496" s="42" t="n">
        <v>9</v>
      </c>
      <c r="E496" s="56" t="n">
        <v>0.38</v>
      </c>
      <c r="F496" s="42" t="n">
        <v>1</v>
      </c>
      <c r="G496" s="42" t="n">
        <v>4</v>
      </c>
      <c r="H496" s="42" t="n"/>
    </row>
    <row r="497" ht="15" customHeight="1" s="37">
      <c r="A497" s="42" t="inlineStr">
        <is>
          <t>davidoff indigo uk</t>
        </is>
      </c>
      <c r="B497" s="42" t="inlineStr">
        <is>
          <t>Informational</t>
        </is>
      </c>
      <c r="C497" s="55" t="n">
        <v>20</v>
      </c>
      <c r="D497" s="42" t="n">
        <v>12</v>
      </c>
      <c r="E497" s="56" t="n">
        <v>0</v>
      </c>
      <c r="F497" s="42" t="n">
        <v>0.33</v>
      </c>
      <c r="G497" s="42" t="n">
        <v>9</v>
      </c>
      <c r="H497" s="42" t="n"/>
    </row>
    <row r="498" ht="15" customHeight="1" s="37">
      <c r="A498" s="42" t="inlineStr">
        <is>
          <t>davidoff the game eau de toilette</t>
        </is>
      </c>
      <c r="B498" s="42" t="inlineStr">
        <is>
          <t>Informational Transactional</t>
        </is>
      </c>
      <c r="C498" s="55" t="n">
        <v>20</v>
      </c>
      <c r="D498" s="42" t="n">
        <v>10</v>
      </c>
      <c r="E498" s="56" t="n">
        <v>0</v>
      </c>
      <c r="F498" s="42" t="n">
        <v>0.6</v>
      </c>
      <c r="G498" s="42" t="inlineStr">
        <is>
          <t>T2-1</t>
        </is>
      </c>
      <c r="H498" s="42" t="n"/>
    </row>
    <row r="499" ht="15" customHeight="1" s="37">
      <c r="A499" s="42" t="inlineStr">
        <is>
          <t>davidoff the game review</t>
        </is>
      </c>
      <c r="B499" s="42" t="inlineStr">
        <is>
          <t>Commercial</t>
        </is>
      </c>
      <c r="C499" s="55" t="n">
        <v>20</v>
      </c>
      <c r="D499" s="42" t="n">
        <v>16</v>
      </c>
      <c r="E499" s="56" t="n">
        <v>0</v>
      </c>
      <c r="F499" s="42" t="n">
        <v>0.95</v>
      </c>
      <c r="G499" s="42" t="inlineStr">
        <is>
          <t>T3-1</t>
        </is>
      </c>
      <c r="H499" s="42" t="n"/>
    </row>
    <row r="500" ht="15" customHeight="1" s="37">
      <c r="A500" s="42" t="inlineStr">
        <is>
          <t>deyga anti dandruff shampoo</t>
        </is>
      </c>
      <c r="B500" s="42" t="inlineStr">
        <is>
          <t>Transactional Navigational</t>
        </is>
      </c>
      <c r="C500" s="55" t="n">
        <v>20</v>
      </c>
      <c r="D500" s="42" t="n">
        <v>9</v>
      </c>
      <c r="E500" s="56" t="n">
        <v>0</v>
      </c>
      <c r="F500" s="42" t="n">
        <v>0</v>
      </c>
      <c r="G500" s="42" t="n">
        <v>4</v>
      </c>
      <c r="H500" s="42" t="n"/>
    </row>
    <row r="501" ht="15" customHeight="1" s="37">
      <c r="A501" s="42" t="inlineStr">
        <is>
          <t>deyga beetroot lip balm</t>
        </is>
      </c>
      <c r="B501" s="42" t="inlineStr">
        <is>
          <t>Informational Transactional</t>
        </is>
      </c>
      <c r="C501" s="55" t="n">
        <v>20</v>
      </c>
      <c r="D501" s="42" t="n">
        <v>14</v>
      </c>
      <c r="E501" s="56" t="n">
        <v>0</v>
      </c>
      <c r="F501" s="42" t="n">
        <v>1</v>
      </c>
      <c r="G501" s="42" t="n">
        <v>3</v>
      </c>
      <c r="H501" s="42" t="n"/>
    </row>
    <row r="502" ht="15" customHeight="1" s="37">
      <c r="A502" s="42" t="inlineStr">
        <is>
          <t>deyga face serum</t>
        </is>
      </c>
      <c r="B502" s="42" t="inlineStr">
        <is>
          <t>Transactional Navigational</t>
        </is>
      </c>
      <c r="C502" s="55" t="n">
        <v>20</v>
      </c>
      <c r="D502" s="42" t="n">
        <v>14</v>
      </c>
      <c r="E502" s="56" t="n">
        <v>0</v>
      </c>
      <c r="F502" s="42" t="n">
        <v>0</v>
      </c>
      <c r="G502" s="42" t="n">
        <v>2</v>
      </c>
      <c r="H502" s="42" t="n"/>
    </row>
    <row r="503" ht="15" customHeight="1" s="37">
      <c r="A503" s="42" t="inlineStr">
        <is>
          <t>deyga hair dye</t>
        </is>
      </c>
      <c r="B503" s="42" t="inlineStr">
        <is>
          <t>Informational Transactional</t>
        </is>
      </c>
      <c r="C503" s="55" t="n">
        <v>20</v>
      </c>
      <c r="D503" s="42" t="n">
        <v>9</v>
      </c>
      <c r="E503" s="56" t="n">
        <v>0</v>
      </c>
      <c r="F503" s="42" t="n">
        <v>1</v>
      </c>
      <c r="G503" s="42" t="n">
        <v>3</v>
      </c>
      <c r="H503" s="42" t="n"/>
    </row>
    <row r="504" ht="15" customHeight="1" s="37">
      <c r="A504" s="42" t="inlineStr">
        <is>
          <t>deyga hair growth oil</t>
        </is>
      </c>
      <c r="B504" s="42" t="inlineStr">
        <is>
          <t>Informational Transactional</t>
        </is>
      </c>
      <c r="C504" s="55" t="n">
        <v>20</v>
      </c>
      <c r="D504" s="42" t="n">
        <v>9</v>
      </c>
      <c r="E504" s="56" t="n">
        <v>0</v>
      </c>
      <c r="F504" s="42" t="n">
        <v>0.79</v>
      </c>
      <c r="G504" s="42" t="n">
        <v>5</v>
      </c>
      <c r="H504" s="42" t="n"/>
    </row>
    <row r="505" ht="15" customHeight="1" s="37">
      <c r="A505" s="42" t="inlineStr">
        <is>
          <t>deyga hair oil</t>
        </is>
      </c>
      <c r="B505" s="42" t="inlineStr">
        <is>
          <t>Informational Transactional</t>
        </is>
      </c>
      <c r="C505" s="55" t="n">
        <v>20</v>
      </c>
      <c r="D505" s="42" t="n">
        <v>20</v>
      </c>
      <c r="E505" s="56" t="n">
        <v>0</v>
      </c>
      <c r="F505" s="42" t="n">
        <v>1</v>
      </c>
      <c r="G505" s="42" t="n">
        <v>2</v>
      </c>
      <c r="H505" s="42" t="n"/>
    </row>
    <row r="506" ht="15" customHeight="1" s="37">
      <c r="A506" s="42" t="inlineStr">
        <is>
          <t>deyga hair removal powder</t>
        </is>
      </c>
      <c r="B506" s="42" t="inlineStr">
        <is>
          <t>Informational Transactional</t>
        </is>
      </c>
      <c r="C506" s="55" t="n">
        <v>20</v>
      </c>
      <c r="D506" s="42" t="n">
        <v>16</v>
      </c>
      <c r="E506" s="56" t="n">
        <v>0</v>
      </c>
      <c r="F506" s="42" t="n">
        <v>0.86</v>
      </c>
      <c r="G506" s="42" t="n">
        <v>5</v>
      </c>
      <c r="H506" s="42" t="n"/>
    </row>
    <row r="507" ht="15" customHeight="1" s="37">
      <c r="A507" s="42" t="inlineStr">
        <is>
          <t>deyga products</t>
        </is>
      </c>
      <c r="B507" s="42" t="inlineStr">
        <is>
          <t>Navigational</t>
        </is>
      </c>
      <c r="C507" s="55" t="n">
        <v>20</v>
      </c>
      <c r="D507" s="42" t="n">
        <v>12</v>
      </c>
      <c r="E507" s="56" t="n">
        <v>0</v>
      </c>
      <c r="F507" s="42" t="n">
        <v>1</v>
      </c>
      <c r="G507" s="42" t="n">
        <v>1</v>
      </c>
      <c r="H507" s="42" t="n"/>
    </row>
    <row r="508" ht="15" customHeight="1" s="37">
      <c r="A508" s="42" t="inlineStr">
        <is>
          <t>deyga under eye cream</t>
        </is>
      </c>
      <c r="B508" s="42" t="inlineStr">
        <is>
          <t>Informational Transactional</t>
        </is>
      </c>
      <c r="C508" s="55" t="n">
        <v>20</v>
      </c>
      <c r="D508" s="42" t="n">
        <v>14</v>
      </c>
      <c r="E508" s="56" t="n">
        <v>0</v>
      </c>
      <c r="F508" s="42" t="n">
        <v>0.33</v>
      </c>
      <c r="G508" s="42" t="n">
        <v>5</v>
      </c>
      <c r="H508" s="42" t="n"/>
    </row>
    <row r="509" ht="15" customHeight="1" s="37">
      <c r="A509" s="42" t="inlineStr">
        <is>
          <t>dior miss dior roller-pearl</t>
        </is>
      </c>
      <c r="B509" s="42" t="inlineStr">
        <is>
          <t>Informational</t>
        </is>
      </c>
      <c r="C509" s="55" t="n">
        <v>20</v>
      </c>
      <c r="D509" s="42" t="n">
        <v>15</v>
      </c>
      <c r="E509" s="56" t="n">
        <v>0</v>
      </c>
      <c r="F509" s="42" t="n">
        <v>1</v>
      </c>
      <c r="G509" s="42" t="n">
        <v>5</v>
      </c>
      <c r="H509" s="42" t="n"/>
    </row>
    <row r="510" ht="15" customHeight="1" s="37">
      <c r="A510" s="42" t="inlineStr">
        <is>
          <t>dkny be tempted eau de parfum</t>
        </is>
      </c>
      <c r="B510" s="42" t="inlineStr">
        <is>
          <t>Informational Transactional</t>
        </is>
      </c>
      <c r="C510" s="55" t="n">
        <v>20</v>
      </c>
      <c r="D510" s="42" t="n">
        <v>10</v>
      </c>
      <c r="E510" s="56" t="n">
        <v>0</v>
      </c>
      <c r="F510" s="42" t="n">
        <v>1</v>
      </c>
      <c r="G510" s="42" t="inlineStr">
        <is>
          <t>T2-1</t>
        </is>
      </c>
      <c r="H510" s="42" t="n"/>
    </row>
    <row r="511" ht="15" customHeight="1" s="37">
      <c r="A511" s="42" t="inlineStr">
        <is>
          <t>dkny be tempted notes</t>
        </is>
      </c>
      <c r="B511" s="42" t="inlineStr">
        <is>
          <t>Informational</t>
        </is>
      </c>
      <c r="C511" s="55" t="n">
        <v>20</v>
      </c>
      <c r="D511" s="42" t="n">
        <v>9</v>
      </c>
      <c r="E511" s="56" t="n">
        <v>0</v>
      </c>
      <c r="F511" s="42" t="n">
        <v>0.92</v>
      </c>
      <c r="G511" s="42" t="inlineStr">
        <is>
          <t>T3-2</t>
        </is>
      </c>
      <c r="H511" s="42" t="n"/>
    </row>
    <row r="512" ht="15" customHeight="1" s="37">
      <c r="A512" s="42" t="inlineStr">
        <is>
          <t>dkny be tempted review</t>
        </is>
      </c>
      <c r="B512" s="42" t="inlineStr">
        <is>
          <t>Commercial</t>
        </is>
      </c>
      <c r="C512" s="55" t="n">
        <v>20</v>
      </c>
      <c r="D512" s="42" t="n">
        <v>14</v>
      </c>
      <c r="E512" s="56" t="n">
        <v>0</v>
      </c>
      <c r="F512" s="42" t="n">
        <v>1</v>
      </c>
      <c r="G512" s="42" t="inlineStr">
        <is>
          <t>T3-2</t>
        </is>
      </c>
      <c r="H512" s="42" t="n"/>
    </row>
    <row r="513" ht="15" customHeight="1" s="37">
      <c r="A513" s="42" t="inlineStr">
        <is>
          <t>dolce &amp; gabbana devotion uk</t>
        </is>
      </c>
      <c r="B513" s="42" t="inlineStr">
        <is>
          <t>Informational</t>
        </is>
      </c>
      <c r="C513" s="55" t="n">
        <v>20</v>
      </c>
      <c r="D513" s="42" t="n">
        <v>13</v>
      </c>
      <c r="E513" s="56" t="n">
        <v>0</v>
      </c>
      <c r="F513" s="42" t="n">
        <v>1</v>
      </c>
      <c r="G513" s="42" t="inlineStr">
        <is>
          <t>T2-1</t>
        </is>
      </c>
      <c r="H513" s="42" t="n"/>
    </row>
    <row r="514" ht="15" customHeight="1" s="37">
      <c r="A514" s="42" t="inlineStr">
        <is>
          <t>dolce &amp; gabbana miniature set</t>
        </is>
      </c>
      <c r="B514" s="42" t="inlineStr">
        <is>
          <t>Informational</t>
        </is>
      </c>
      <c r="C514" s="55" t="n">
        <v>20</v>
      </c>
      <c r="D514" s="42" t="n">
        <v>13</v>
      </c>
      <c r="E514" s="56" t="n">
        <v>0</v>
      </c>
      <c r="F514" s="42" t="n">
        <v>1</v>
      </c>
      <c r="G514" s="42" t="n">
        <v>5</v>
      </c>
      <c r="H514" s="42" t="n"/>
    </row>
    <row r="515" ht="15" customHeight="1" s="37">
      <c r="A515" s="42" t="inlineStr">
        <is>
          <t>dolce &amp; gabbana perfume for women</t>
        </is>
      </c>
      <c r="B515" s="42" t="inlineStr">
        <is>
          <t>Informational</t>
        </is>
      </c>
      <c r="C515" s="55" t="n">
        <v>20</v>
      </c>
      <c r="D515" s="42" t="n">
        <v>16</v>
      </c>
      <c r="E515" s="56" t="n">
        <v>0.31</v>
      </c>
      <c r="F515" s="42" t="n">
        <v>1</v>
      </c>
      <c r="G515" s="42" t="n">
        <v>1</v>
      </c>
      <c r="H515" s="42" t="n"/>
    </row>
    <row r="516" ht="15" customHeight="1" s="37">
      <c r="A516" s="42" t="inlineStr">
        <is>
          <t>dolce &amp; gabbana q</t>
        </is>
      </c>
      <c r="B516" s="42" t="inlineStr">
        <is>
          <t>Informational Transactional</t>
        </is>
      </c>
      <c r="C516" s="55" t="n">
        <v>20</v>
      </c>
      <c r="D516" s="42" t="n">
        <v>19</v>
      </c>
      <c r="E516" s="56" t="n">
        <v>0.45</v>
      </c>
      <c r="F516" s="42" t="n">
        <v>1</v>
      </c>
      <c r="G516" s="42" t="n">
        <v>5</v>
      </c>
      <c r="H516" s="42" t="n"/>
    </row>
    <row r="517" ht="15" customHeight="1" s="37">
      <c r="A517" s="42" t="inlineStr">
        <is>
          <t>dolce &amp; gabbana the one intense eau de parfum</t>
        </is>
      </c>
      <c r="B517" s="42" t="inlineStr">
        <is>
          <t>Informational</t>
        </is>
      </c>
      <c r="C517" s="55" t="n">
        <v>20</v>
      </c>
      <c r="D517" s="42" t="n">
        <v>14</v>
      </c>
      <c r="E517" s="56" t="n">
        <v>0</v>
      </c>
      <c r="F517" s="42" t="n">
        <v>1</v>
      </c>
      <c r="G517" s="42" t="inlineStr">
        <is>
          <t>T2-2</t>
        </is>
      </c>
      <c r="H517" s="42" t="n"/>
    </row>
    <row r="518" ht="15" customHeight="1" s="37">
      <c r="A518" s="42" t="inlineStr">
        <is>
          <t>dolce &amp; gabbana the one uk</t>
        </is>
      </c>
      <c r="B518" s="42" t="inlineStr">
        <is>
          <t>Informational</t>
        </is>
      </c>
      <c r="C518" s="55" t="n">
        <v>20</v>
      </c>
      <c r="D518" s="42" t="n">
        <v>14</v>
      </c>
      <c r="E518" s="56" t="n">
        <v>0</v>
      </c>
      <c r="F518" s="42" t="n">
        <v>1</v>
      </c>
      <c r="G518" s="42" t="inlineStr">
        <is>
          <t>T2-1</t>
        </is>
      </c>
      <c r="H518" s="42" t="n"/>
    </row>
    <row r="519" ht="15" customHeight="1" s="37">
      <c r="A519" s="42" t="inlineStr">
        <is>
          <t>dunhill desire blue eau de toilette</t>
        </is>
      </c>
      <c r="B519" s="42" t="inlineStr">
        <is>
          <t>Informational</t>
        </is>
      </c>
      <c r="C519" s="55" t="n">
        <v>20</v>
      </c>
      <c r="D519" s="42" t="n">
        <v>18</v>
      </c>
      <c r="E519" s="56" t="n">
        <v>0</v>
      </c>
      <c r="F519" s="42" t="n">
        <v>1</v>
      </c>
      <c r="G519" s="42" t="inlineStr">
        <is>
          <t>T2-2</t>
        </is>
      </c>
      <c r="H519" s="42" t="n"/>
    </row>
    <row r="520" ht="15" customHeight="1" s="37">
      <c r="A520" s="42" t="inlineStr">
        <is>
          <t>dunhill desire blue uk</t>
        </is>
      </c>
      <c r="B520" s="42" t="inlineStr">
        <is>
          <t>Informational</t>
        </is>
      </c>
      <c r="C520" s="55" t="n">
        <v>20</v>
      </c>
      <c r="D520" s="42" t="n">
        <v>16</v>
      </c>
      <c r="E520" s="56" t="n">
        <v>0</v>
      </c>
      <c r="F520" s="42" t="n">
        <v>0</v>
      </c>
      <c r="G520" s="42" t="inlineStr">
        <is>
          <t>T2-2</t>
        </is>
      </c>
      <c r="H520" s="42" t="n"/>
    </row>
    <row r="521" ht="15" customHeight="1" s="37">
      <c r="A521" s="42" t="inlineStr">
        <is>
          <t>dunhill desire gold</t>
        </is>
      </c>
      <c r="B521" s="42" t="inlineStr">
        <is>
          <t>Navigational</t>
        </is>
      </c>
      <c r="C521" s="55" t="n">
        <v>20</v>
      </c>
      <c r="D521" s="42" t="n">
        <v>17</v>
      </c>
      <c r="E521" s="56" t="n">
        <v>0</v>
      </c>
      <c r="F521" s="42" t="n">
        <v>0.67</v>
      </c>
      <c r="G521" s="42" t="n">
        <v>5</v>
      </c>
      <c r="H521" s="42" t="n"/>
    </row>
    <row r="522" ht="15" customHeight="1" s="37">
      <c r="A522" s="42" t="inlineStr">
        <is>
          <t>dunhill desire silver</t>
        </is>
      </c>
      <c r="B522" s="42" t="inlineStr">
        <is>
          <t>Informational</t>
        </is>
      </c>
      <c r="C522" s="55" t="n">
        <v>20</v>
      </c>
      <c r="D522" s="42" t="n">
        <v>17</v>
      </c>
      <c r="E522" s="56" t="n">
        <v>0</v>
      </c>
      <c r="F522" s="42" t="n">
        <v>1</v>
      </c>
      <c r="G522" s="42" t="n">
        <v>5</v>
      </c>
      <c r="H522" s="42" t="n"/>
    </row>
    <row r="523" ht="15" customHeight="1" s="37">
      <c r="A523" s="42" t="inlineStr">
        <is>
          <t>dunhill signature collection agar wood</t>
        </is>
      </c>
      <c r="B523" s="42" t="inlineStr">
        <is>
          <t>Informational</t>
        </is>
      </c>
      <c r="C523" s="55" t="n">
        <v>20</v>
      </c>
      <c r="D523" s="42" t="n">
        <v>16</v>
      </c>
      <c r="E523" s="56" t="n">
        <v>0</v>
      </c>
      <c r="F523" s="42" t="n">
        <v>1</v>
      </c>
      <c r="G523" s="42" t="n">
        <v>5</v>
      </c>
      <c r="H523" s="42" t="n"/>
    </row>
    <row r="524" ht="15" customHeight="1" s="37">
      <c r="A524" s="42" t="inlineStr">
        <is>
          <t>dunhill signature collection amalfi citrus</t>
        </is>
      </c>
      <c r="B524" s="42" t="inlineStr">
        <is>
          <t>Navigational</t>
        </is>
      </c>
      <c r="C524" s="55" t="n">
        <v>20</v>
      </c>
      <c r="D524" s="42" t="n">
        <v>22</v>
      </c>
      <c r="E524" s="56" t="n">
        <v>0</v>
      </c>
      <c r="F524" s="42" t="n">
        <v>1</v>
      </c>
      <c r="G524" s="42" t="n">
        <v>5</v>
      </c>
      <c r="H524" s="42" t="n"/>
    </row>
    <row r="525" ht="15" customHeight="1" s="37">
      <c r="A525" s="42" t="inlineStr">
        <is>
          <t>dunhill signature collection arabian desert</t>
        </is>
      </c>
      <c r="B525" s="42" t="inlineStr">
        <is>
          <t>Informational Transactional</t>
        </is>
      </c>
      <c r="C525" s="55" t="n">
        <v>20</v>
      </c>
      <c r="D525" s="42" t="n">
        <v>16</v>
      </c>
      <c r="E525" s="56" t="n">
        <v>0</v>
      </c>
      <c r="F525" s="42" t="n">
        <v>1</v>
      </c>
      <c r="G525" s="42" t="n">
        <v>5</v>
      </c>
      <c r="H525" s="42" t="n"/>
    </row>
    <row r="526" ht="15" customHeight="1" s="37">
      <c r="A526" s="42" t="inlineStr">
        <is>
          <t>dunhill signature collection british leather</t>
        </is>
      </c>
      <c r="B526" s="42" t="inlineStr">
        <is>
          <t>Informational</t>
        </is>
      </c>
      <c r="C526" s="55" t="n">
        <v>20</v>
      </c>
      <c r="D526" s="42" t="n">
        <v>9</v>
      </c>
      <c r="E526" s="56" t="n">
        <v>0</v>
      </c>
      <c r="F526" s="42" t="n">
        <v>1</v>
      </c>
      <c r="G526" s="42" t="n">
        <v>5</v>
      </c>
      <c r="H526" s="42" t="n"/>
    </row>
    <row r="527" ht="15" customHeight="1" s="37">
      <c r="A527" s="42" t="inlineStr">
        <is>
          <t>dunhill signature collection egyptian smoke</t>
        </is>
      </c>
      <c r="B527" s="42" t="inlineStr">
        <is>
          <t>Navigational</t>
        </is>
      </c>
      <c r="C527" s="55" t="n">
        <v>20</v>
      </c>
      <c r="D527" s="42" t="n">
        <v>22</v>
      </c>
      <c r="E527" s="56" t="n">
        <v>0</v>
      </c>
      <c r="F527" s="42" t="n">
        <v>1</v>
      </c>
      <c r="G527" s="42" t="n">
        <v>5</v>
      </c>
      <c r="H527" s="42" t="n"/>
    </row>
    <row r="528" ht="15" customHeight="1" s="37">
      <c r="A528" s="42" t="inlineStr">
        <is>
          <t>dunhill signature collection indian sandalwood</t>
        </is>
      </c>
      <c r="B528" s="42" t="inlineStr">
        <is>
          <t>Informational</t>
        </is>
      </c>
      <c r="C528" s="55" t="n">
        <v>20</v>
      </c>
      <c r="D528" s="42" t="n">
        <v>16</v>
      </c>
      <c r="E528" s="56" t="n">
        <v>0</v>
      </c>
      <c r="F528" s="42" t="n">
        <v>0.99</v>
      </c>
      <c r="G528" s="42" t="n">
        <v>5</v>
      </c>
      <c r="H528" s="42" t="n"/>
    </row>
    <row r="529" ht="15" customHeight="1" s="37">
      <c r="A529" s="42" t="inlineStr">
        <is>
          <t>dunhill signature collection mongolian cashmere</t>
        </is>
      </c>
      <c r="B529" s="42" t="inlineStr">
        <is>
          <t>Informational</t>
        </is>
      </c>
      <c r="C529" s="55" t="n">
        <v>20</v>
      </c>
      <c r="D529" s="42" t="n">
        <v>14</v>
      </c>
      <c r="E529" s="56" t="n">
        <v>0</v>
      </c>
      <c r="F529" s="42" t="n">
        <v>0</v>
      </c>
      <c r="G529" s="42" t="n">
        <v>5</v>
      </c>
      <c r="H529" s="42" t="n"/>
    </row>
    <row r="530" ht="15" customHeight="1" s="37">
      <c r="A530" s="42" t="inlineStr">
        <is>
          <t>dunhill signature collection moroccan amber</t>
        </is>
      </c>
      <c r="B530" s="42" t="inlineStr">
        <is>
          <t>Navigational</t>
        </is>
      </c>
      <c r="C530" s="55" t="n">
        <v>20</v>
      </c>
      <c r="D530" s="42" t="n">
        <v>14</v>
      </c>
      <c r="E530" s="56" t="n">
        <v>0</v>
      </c>
      <c r="F530" s="42" t="n">
        <v>0.83</v>
      </c>
      <c r="G530" s="42" t="n">
        <v>5</v>
      </c>
      <c r="H530" s="42" t="n"/>
    </row>
    <row r="531" ht="15" customHeight="1" s="37">
      <c r="A531" s="42" t="inlineStr">
        <is>
          <t>dunhill signature collection nordic fougere</t>
        </is>
      </c>
      <c r="B531" s="42" t="inlineStr">
        <is>
          <t>Informational</t>
        </is>
      </c>
      <c r="C531" s="55" t="n">
        <v>20</v>
      </c>
      <c r="D531" s="42" t="n">
        <v>18</v>
      </c>
      <c r="E531" s="56" t="n">
        <v>0</v>
      </c>
      <c r="F531" s="42" t="n">
        <v>1</v>
      </c>
      <c r="G531" s="42" t="n">
        <v>5</v>
      </c>
      <c r="H531" s="42" t="n"/>
    </row>
    <row r="532" ht="15" customHeight="1" s="37">
      <c r="A532" s="42" t="inlineStr">
        <is>
          <t>dunhill signature collection valensole lavender</t>
        </is>
      </c>
      <c r="B532" s="42" t="inlineStr">
        <is>
          <t>Navigational</t>
        </is>
      </c>
      <c r="C532" s="55" t="n">
        <v>20</v>
      </c>
      <c r="D532" s="42" t="n">
        <v>13</v>
      </c>
      <c r="E532" s="56" t="n">
        <v>0</v>
      </c>
      <c r="F532" s="42" t="n">
        <v>1</v>
      </c>
      <c r="G532" s="42" t="n">
        <v>5</v>
      </c>
      <c r="H532" s="42" t="n"/>
    </row>
    <row r="533" ht="15" customHeight="1" s="37">
      <c r="A533" s="42" t="inlineStr">
        <is>
          <t>elie saab elixir eau de parfum</t>
        </is>
      </c>
      <c r="B533" s="42" t="inlineStr">
        <is>
          <t>Informational</t>
        </is>
      </c>
      <c r="C533" s="55" t="n">
        <v>20</v>
      </c>
      <c r="D533" s="42" t="n">
        <v>18</v>
      </c>
      <c r="E533" s="56" t="n">
        <v>0.46</v>
      </c>
      <c r="F533" s="42" t="n">
        <v>1</v>
      </c>
      <c r="G533" s="42" t="inlineStr">
        <is>
          <t>T2-1</t>
        </is>
      </c>
      <c r="H533" s="42" t="n"/>
    </row>
    <row r="534" ht="15" customHeight="1" s="37">
      <c r="A534" s="42" t="inlineStr">
        <is>
          <t>elie saab elixir notes</t>
        </is>
      </c>
      <c r="B534" s="42" t="inlineStr">
        <is>
          <t>Informational</t>
        </is>
      </c>
      <c r="C534" s="55" t="n">
        <v>20</v>
      </c>
      <c r="D534" s="42" t="n">
        <v>9</v>
      </c>
      <c r="E534" s="56" t="n">
        <v>0</v>
      </c>
      <c r="F534" s="42" t="n">
        <v>1</v>
      </c>
      <c r="G534" s="42" t="inlineStr">
        <is>
          <t>T3-1</t>
        </is>
      </c>
      <c r="H534" s="42" t="n"/>
    </row>
    <row r="535" ht="15" customHeight="1" s="37">
      <c r="A535" s="42" t="inlineStr">
        <is>
          <t>elie saab elixir reviews</t>
        </is>
      </c>
      <c r="B535" s="42" t="inlineStr">
        <is>
          <t>Commercial</t>
        </is>
      </c>
      <c r="C535" s="55" t="n">
        <v>20</v>
      </c>
      <c r="D535" s="42" t="n">
        <v>15</v>
      </c>
      <c r="E535" s="56" t="n">
        <v>0</v>
      </c>
      <c r="F535" s="42" t="n">
        <v>1</v>
      </c>
      <c r="G535" s="42" t="inlineStr">
        <is>
          <t>T3-1</t>
        </is>
      </c>
      <c r="H535" s="42" t="n"/>
    </row>
    <row r="536" ht="15" customHeight="1" s="37">
      <c r="A536" s="42" t="inlineStr">
        <is>
          <t>elie saab le</t>
        </is>
      </c>
      <c r="B536" s="42" t="inlineStr">
        <is>
          <t>Informational</t>
        </is>
      </c>
      <c r="C536" s="55" t="n">
        <v>20</v>
      </c>
      <c r="D536" s="42" t="n">
        <v>12</v>
      </c>
      <c r="E536" s="56" t="n">
        <v>0</v>
      </c>
      <c r="F536" s="42" t="n">
        <v>1</v>
      </c>
      <c r="G536" s="42" t="n">
        <v>6</v>
      </c>
      <c r="H536" s="42" t="n"/>
    </row>
    <row r="537" ht="15" customHeight="1" s="37">
      <c r="A537" s="42" t="inlineStr">
        <is>
          <t>elie saab le parfum lumiere gift set</t>
        </is>
      </c>
      <c r="B537" s="42" t="inlineStr">
        <is>
          <t>Informational</t>
        </is>
      </c>
      <c r="C537" s="55" t="n">
        <v>20</v>
      </c>
      <c r="D537" s="42" t="n">
        <v>12</v>
      </c>
      <c r="E537" s="56" t="n">
        <v>0</v>
      </c>
      <c r="F537" s="42" t="n">
        <v>1</v>
      </c>
      <c r="G537" s="42" t="n">
        <v>6</v>
      </c>
      <c r="H537" s="42" t="n"/>
    </row>
    <row r="538" ht="15" customHeight="1" s="37">
      <c r="A538" s="42" t="inlineStr">
        <is>
          <t>elie saab nuit noor eau de parfum</t>
        </is>
      </c>
      <c r="B538" s="42" t="inlineStr">
        <is>
          <t>Informational Transactional</t>
        </is>
      </c>
      <c r="C538" s="55" t="n">
        <v>20</v>
      </c>
      <c r="D538" s="42" t="n">
        <v>12</v>
      </c>
      <c r="E538" s="56" t="n">
        <v>0</v>
      </c>
      <c r="F538" s="42" t="n">
        <v>1</v>
      </c>
      <c r="G538" s="42" t="inlineStr">
        <is>
          <t>T2-2</t>
        </is>
      </c>
      <c r="H538" s="42" t="n"/>
    </row>
    <row r="539" ht="15" customHeight="1" s="37">
      <c r="A539" s="42" t="inlineStr">
        <is>
          <t>elie saab nuit noor uk</t>
        </is>
      </c>
      <c r="B539" s="42" t="inlineStr">
        <is>
          <t>Informational</t>
        </is>
      </c>
      <c r="C539" s="55" t="n">
        <v>20</v>
      </c>
      <c r="D539" s="42" t="n">
        <v>13</v>
      </c>
      <c r="E539" s="56" t="n">
        <v>0</v>
      </c>
      <c r="F539" s="42" t="n">
        <v>1</v>
      </c>
      <c r="G539" s="42" t="inlineStr">
        <is>
          <t>T2-2</t>
        </is>
      </c>
      <c r="H539" s="42" t="n"/>
    </row>
    <row r="540" ht="15" customHeight="1" s="37">
      <c r="A540" s="42" t="inlineStr">
        <is>
          <t>elizabeth arden beauty eau de parfum</t>
        </is>
      </c>
      <c r="B540" s="42" t="inlineStr">
        <is>
          <t>Informational</t>
        </is>
      </c>
      <c r="C540" s="55" t="n">
        <v>20</v>
      </c>
      <c r="D540" s="42" t="n">
        <v>11</v>
      </c>
      <c r="E540" s="56" t="n">
        <v>0.52</v>
      </c>
      <c r="F540" s="42" t="n">
        <v>1</v>
      </c>
      <c r="G540" s="42" t="inlineStr">
        <is>
          <t>T2-1</t>
        </is>
      </c>
      <c r="H540" s="42" t="n"/>
    </row>
    <row r="541" ht="15" customHeight="1" s="37">
      <c r="A541" s="42" t="inlineStr">
        <is>
          <t>escada magnetism eau de parfum</t>
        </is>
      </c>
      <c r="B541" s="42" t="inlineStr">
        <is>
          <t>Informational Transactional</t>
        </is>
      </c>
      <c r="C541" s="55" t="n">
        <v>20</v>
      </c>
      <c r="D541" s="42" t="n">
        <v>7</v>
      </c>
      <c r="E541" s="56" t="n">
        <v>0</v>
      </c>
      <c r="F541" s="42" t="n">
        <v>0.8</v>
      </c>
      <c r="G541" s="42" t="inlineStr">
        <is>
          <t>T2-1</t>
        </is>
      </c>
      <c r="H541" s="42" t="n"/>
    </row>
    <row r="542" ht="15" customHeight="1" s="37">
      <c r="A542" s="42" t="inlineStr">
        <is>
          <t>escada magnetism notes</t>
        </is>
      </c>
      <c r="B542" s="42" t="inlineStr">
        <is>
          <t>Informational</t>
        </is>
      </c>
      <c r="C542" s="55" t="n">
        <v>20</v>
      </c>
      <c r="D542" s="42" t="n">
        <v>9</v>
      </c>
      <c r="E542" s="56" t="n">
        <v>0</v>
      </c>
      <c r="F542" s="42" t="n">
        <v>0.39</v>
      </c>
      <c r="G542" s="42" t="inlineStr">
        <is>
          <t>T3-2</t>
        </is>
      </c>
      <c r="H542" s="42" t="n"/>
    </row>
    <row r="543" ht="15" customHeight="1" s="37">
      <c r="A543" s="42" t="inlineStr">
        <is>
          <t>escada magnetism review</t>
        </is>
      </c>
      <c r="B543" s="42" t="inlineStr">
        <is>
          <t>Commercial</t>
        </is>
      </c>
      <c r="C543" s="55" t="n">
        <v>20</v>
      </c>
      <c r="D543" s="42" t="n">
        <v>12</v>
      </c>
      <c r="E543" s="56" t="n">
        <v>0</v>
      </c>
      <c r="F543" s="42" t="n">
        <v>0.84</v>
      </c>
      <c r="G543" s="42" t="inlineStr">
        <is>
          <t>T3-2</t>
        </is>
      </c>
      <c r="H543" s="42" t="n"/>
    </row>
    <row r="544" ht="15" customHeight="1" s="37">
      <c r="A544" s="42" t="inlineStr">
        <is>
          <t>escada magnetism uk</t>
        </is>
      </c>
      <c r="B544" s="42" t="inlineStr">
        <is>
          <t>Commercial</t>
        </is>
      </c>
      <c r="C544" s="55" t="n">
        <v>20</v>
      </c>
      <c r="D544" s="42" t="n">
        <v>9</v>
      </c>
      <c r="E544" s="56" t="n">
        <v>0</v>
      </c>
      <c r="F544" s="42" t="n">
        <v>1</v>
      </c>
      <c r="G544" s="42" t="inlineStr">
        <is>
          <t>T2-1</t>
        </is>
      </c>
      <c r="H544" s="42" t="n"/>
    </row>
    <row r="545" ht="15" customHeight="1" s="37">
      <c r="A545" s="42" t="inlineStr">
        <is>
          <t>escada party love eau de parfum</t>
        </is>
      </c>
      <c r="B545" s="42" t="inlineStr">
        <is>
          <t>Informational Transactional</t>
        </is>
      </c>
      <c r="C545" s="55" t="n">
        <v>20</v>
      </c>
      <c r="D545" s="42" t="n">
        <v>12</v>
      </c>
      <c r="E545" s="56" t="n">
        <v>0</v>
      </c>
      <c r="F545" s="42" t="n">
        <v>0.89</v>
      </c>
      <c r="G545" s="42" t="inlineStr">
        <is>
          <t>T2-2</t>
        </is>
      </c>
      <c r="H545" s="42" t="n"/>
    </row>
    <row r="546" ht="15" customHeight="1" s="37">
      <c r="A546" s="42" t="inlineStr">
        <is>
          <t>estee lauder spellbound eau de parfum</t>
        </is>
      </c>
      <c r="B546" s="42" t="inlineStr">
        <is>
          <t>Navigational</t>
        </is>
      </c>
      <c r="C546" s="55" t="n">
        <v>20</v>
      </c>
      <c r="D546" s="42" t="n">
        <v>23</v>
      </c>
      <c r="E546" s="56" t="n">
        <v>0</v>
      </c>
      <c r="F546" s="42" t="n">
        <v>1</v>
      </c>
      <c r="G546" s="42" t="inlineStr">
        <is>
          <t>T2-1</t>
        </is>
      </c>
      <c r="H546" s="42" t="n"/>
    </row>
    <row r="547" ht="15" customHeight="1" s="37">
      <c r="A547" s="42" t="inlineStr">
        <is>
          <t>etienne aigner no. 1 intense</t>
        </is>
      </c>
      <c r="B547" s="42" t="inlineStr">
        <is>
          <t>Informational</t>
        </is>
      </c>
      <c r="C547" s="55" t="n">
        <v>20</v>
      </c>
      <c r="D547" s="42" t="n">
        <v>9</v>
      </c>
      <c r="E547" s="56" t="n">
        <v>0</v>
      </c>
      <c r="F547" s="42" t="n">
        <v>0</v>
      </c>
      <c r="G547" s="42" t="n">
        <v>6</v>
      </c>
      <c r="H547" s="42" t="n"/>
    </row>
    <row r="548" ht="15" customHeight="1" s="37">
      <c r="A548" s="42" t="inlineStr">
        <is>
          <t>etienne aigner perfume</t>
        </is>
      </c>
      <c r="B548" s="42" t="inlineStr">
        <is>
          <t>Informational</t>
        </is>
      </c>
      <c r="C548" s="55" t="n">
        <v>20</v>
      </c>
      <c r="D548" s="42" t="n">
        <v>9</v>
      </c>
      <c r="E548" s="56" t="n">
        <v>0</v>
      </c>
      <c r="F548" s="42" t="n">
        <v>1</v>
      </c>
      <c r="G548" s="42" t="n">
        <v>1</v>
      </c>
      <c r="H548" s="42" t="n"/>
    </row>
    <row r="549" ht="15" customHeight="1" s="37">
      <c r="A549" s="42" t="inlineStr">
        <is>
          <t>fresh perfume uk</t>
        </is>
      </c>
      <c r="B549" s="42" t="inlineStr">
        <is>
          <t>Informational</t>
        </is>
      </c>
      <c r="C549" s="55" t="n">
        <v>20</v>
      </c>
      <c r="D549" s="42" t="n">
        <v>10</v>
      </c>
      <c r="E549" s="56" t="n">
        <v>0</v>
      </c>
      <c r="F549" s="42" t="n">
        <v>1</v>
      </c>
      <c r="G549" s="42" t="n">
        <v>1</v>
      </c>
      <c r="H549" s="42" t="n"/>
    </row>
    <row r="550" ht="15" customHeight="1" s="37">
      <c r="A550" s="42" t="inlineStr">
        <is>
          <t>fumeri perfume</t>
        </is>
      </c>
      <c r="B550" s="42" t="inlineStr">
        <is>
          <t>Informational</t>
        </is>
      </c>
      <c r="C550" s="55" t="n">
        <v>20</v>
      </c>
      <c r="D550" s="42" t="n">
        <v>0</v>
      </c>
      <c r="E550" s="56" t="n">
        <v>0</v>
      </c>
      <c r="F550" s="42" t="n">
        <v>1</v>
      </c>
      <c r="G550" s="42" t="n">
        <v>1</v>
      </c>
      <c r="H550" s="42" t="n"/>
    </row>
    <row r="551" ht="15" customHeight="1" s="37">
      <c r="A551" s="42" t="inlineStr">
        <is>
          <t>game of spades full house dupe</t>
        </is>
      </c>
      <c r="B551" s="42" t="inlineStr">
        <is>
          <t>Informational</t>
        </is>
      </c>
      <c r="C551" s="55" t="n">
        <v>20</v>
      </c>
      <c r="D551" s="42" t="n">
        <v>21</v>
      </c>
      <c r="E551" s="56" t="n">
        <v>0</v>
      </c>
      <c r="F551" s="42" t="n">
        <v>0.82</v>
      </c>
      <c r="G551" s="42" t="inlineStr">
        <is>
          <t>T3-1</t>
        </is>
      </c>
      <c r="H551" s="42" t="n"/>
    </row>
    <row r="552" ht="15" customHeight="1" s="37">
      <c r="A552" s="42" t="inlineStr">
        <is>
          <t>game of spades full house price</t>
        </is>
      </c>
      <c r="B552" s="42" t="inlineStr">
        <is>
          <t>Transactional</t>
        </is>
      </c>
      <c r="C552" s="55" t="n">
        <v>20</v>
      </c>
      <c r="D552" s="42" t="n">
        <v>18</v>
      </c>
      <c r="E552" s="56" t="n">
        <v>0</v>
      </c>
      <c r="F552" s="42" t="n">
        <v>1</v>
      </c>
      <c r="G552" s="42" t="inlineStr">
        <is>
          <t>T3-1</t>
        </is>
      </c>
      <c r="H552" s="42" t="n"/>
    </row>
    <row r="553" ht="15" customHeight="1" s="37">
      <c r="A553" s="42" t="inlineStr">
        <is>
          <t>game of spades high roller</t>
        </is>
      </c>
      <c r="B553" s="42" t="inlineStr">
        <is>
          <t>Navigational</t>
        </is>
      </c>
      <c r="C553" s="55" t="n">
        <v>20</v>
      </c>
      <c r="D553" s="42" t="n">
        <v>25</v>
      </c>
      <c r="E553" s="56" t="n">
        <v>0</v>
      </c>
      <c r="F553" s="42" t="n">
        <v>0.99</v>
      </c>
      <c r="G553" s="42" t="n">
        <v>6</v>
      </c>
      <c r="H553" s="42" t="n"/>
    </row>
    <row r="554" ht="15" customHeight="1" s="37">
      <c r="A554" s="42" t="inlineStr">
        <is>
          <t>game of spades jackpot</t>
        </is>
      </c>
      <c r="B554" s="42" t="inlineStr">
        <is>
          <t>Informational Transactional</t>
        </is>
      </c>
      <c r="C554" s="55" t="n">
        <v>20</v>
      </c>
      <c r="D554" s="42" t="n">
        <v>15</v>
      </c>
      <c r="E554" s="56" t="n">
        <v>0</v>
      </c>
      <c r="F554" s="42" t="n">
        <v>0.86</v>
      </c>
      <c r="G554" s="42" t="n">
        <v>6</v>
      </c>
      <c r="H554" s="42" t="n"/>
    </row>
    <row r="555" ht="15" customHeight="1" s="37">
      <c r="A555" s="42" t="inlineStr">
        <is>
          <t>game of spades rouge extrait</t>
        </is>
      </c>
      <c r="B555" s="42" t="inlineStr">
        <is>
          <t>Informational Transactional</t>
        </is>
      </c>
      <c r="C555" s="55" t="n">
        <v>20</v>
      </c>
      <c r="D555" s="42" t="n">
        <v>20</v>
      </c>
      <c r="E555" s="56" t="n">
        <v>0</v>
      </c>
      <c r="F555" s="42" t="n">
        <v>1</v>
      </c>
      <c r="G555" s="42" t="n">
        <v>6</v>
      </c>
      <c r="H555" s="42" t="n"/>
    </row>
    <row r="556" ht="15" customHeight="1" s="37">
      <c r="A556" s="42" t="inlineStr">
        <is>
          <t>game of spades ruby</t>
        </is>
      </c>
      <c r="B556" s="42" t="inlineStr">
        <is>
          <t>Informational Transactional</t>
        </is>
      </c>
      <c r="C556" s="55" t="n">
        <v>20</v>
      </c>
      <c r="D556" s="42" t="n">
        <v>21</v>
      </c>
      <c r="E556" s="56" t="n">
        <v>0</v>
      </c>
      <c r="F556" s="42" t="n">
        <v>0.96</v>
      </c>
      <c r="G556" s="42" t="n">
        <v>6</v>
      </c>
      <c r="H556" s="42" t="n"/>
    </row>
    <row r="557" ht="15" customHeight="1" s="37">
      <c r="A557" s="42" t="inlineStr">
        <is>
          <t>game of spades wildcard uk</t>
        </is>
      </c>
      <c r="B557" s="42" t="inlineStr">
        <is>
          <t>Informational</t>
        </is>
      </c>
      <c r="C557" s="55" t="n">
        <v>20</v>
      </c>
      <c r="D557" s="42" t="n">
        <v>18</v>
      </c>
      <c r="E557" s="56" t="n">
        <v>0</v>
      </c>
      <c r="F557" s="42" t="n">
        <v>1</v>
      </c>
      <c r="G557" s="42" t="inlineStr">
        <is>
          <t>T2-1</t>
        </is>
      </c>
      <c r="H557" s="42" t="n"/>
    </row>
    <row r="558" ht="15" customHeight="1" s="37">
      <c r="A558" s="42" t="inlineStr">
        <is>
          <t>game of spades yellow sapphire</t>
        </is>
      </c>
      <c r="B558" s="42" t="inlineStr">
        <is>
          <t>Transactional Navigational</t>
        </is>
      </c>
      <c r="C558" s="55" t="n">
        <v>20</v>
      </c>
      <c r="D558" s="42" t="n">
        <v>22</v>
      </c>
      <c r="E558" s="56" t="n">
        <v>0</v>
      </c>
      <c r="F558" s="42" t="n">
        <v>1</v>
      </c>
      <c r="G558" s="42" t="n">
        <v>6</v>
      </c>
      <c r="H558" s="42" t="n"/>
    </row>
    <row r="559" ht="15" customHeight="1" s="37">
      <c r="A559" s="42" t="inlineStr">
        <is>
          <t>giorgio armani code refillable</t>
        </is>
      </c>
      <c r="B559" s="42" t="inlineStr">
        <is>
          <t>Informational</t>
        </is>
      </c>
      <c r="C559" s="55" t="n">
        <v>20</v>
      </c>
      <c r="D559" s="42" t="n">
        <v>13</v>
      </c>
      <c r="E559" s="56" t="n">
        <v>0.33</v>
      </c>
      <c r="F559" s="42" t="n">
        <v>1</v>
      </c>
      <c r="G559" s="42" t="n">
        <v>6</v>
      </c>
      <c r="H559" s="42" t="n"/>
    </row>
    <row r="560" ht="15" customHeight="1" s="37">
      <c r="A560" s="42" t="inlineStr">
        <is>
          <t>givenchy amarige notes</t>
        </is>
      </c>
      <c r="B560" s="42" t="inlineStr">
        <is>
          <t>Informational</t>
        </is>
      </c>
      <c r="C560" s="55" t="n">
        <v>20</v>
      </c>
      <c r="D560" s="42" t="n">
        <v>18</v>
      </c>
      <c r="E560" s="56" t="n">
        <v>0</v>
      </c>
      <c r="F560" s="42" t="n">
        <v>1</v>
      </c>
      <c r="G560" s="42" t="inlineStr">
        <is>
          <t>T3-1</t>
        </is>
      </c>
      <c r="H560" s="42" t="n"/>
    </row>
    <row r="561" ht="15" customHeight="1" s="37">
      <c r="A561" s="42" t="inlineStr">
        <is>
          <t>givenchy gentleman originale</t>
        </is>
      </c>
      <c r="B561" s="42" t="inlineStr">
        <is>
          <t>Informational</t>
        </is>
      </c>
      <c r="C561" s="55" t="n">
        <v>20</v>
      </c>
      <c r="D561" s="42" t="n">
        <v>18</v>
      </c>
      <c r="E561" s="56" t="n">
        <v>0.63</v>
      </c>
      <c r="F561" s="42" t="n">
        <v>1</v>
      </c>
      <c r="G561" s="42" t="n">
        <v>6</v>
      </c>
      <c r="H561" s="42" t="n"/>
    </row>
    <row r="562" ht="15" customHeight="1" s="37">
      <c r="A562" s="42" t="inlineStr">
        <is>
          <t>gucci flora gorgeous gardenia price</t>
        </is>
      </c>
      <c r="B562" s="42" t="inlineStr">
        <is>
          <t>Transactional</t>
        </is>
      </c>
      <c r="C562" s="55" t="n">
        <v>20</v>
      </c>
      <c r="D562" s="42" t="n">
        <v>13</v>
      </c>
      <c r="E562" s="56" t="n">
        <v>0</v>
      </c>
      <c r="F562" s="42" t="n">
        <v>1</v>
      </c>
      <c r="G562" s="42" t="inlineStr">
        <is>
          <t>T3-1</t>
        </is>
      </c>
      <c r="H562" s="42" t="n"/>
    </row>
    <row r="563" ht="15" customHeight="1" s="37">
      <c r="A563" s="42" t="inlineStr">
        <is>
          <t>gucci flora gorgeous gardenia uk</t>
        </is>
      </c>
      <c r="B563" s="42" t="inlineStr">
        <is>
          <t>Informational Transactional</t>
        </is>
      </c>
      <c r="C563" s="55" t="n">
        <v>20</v>
      </c>
      <c r="D563" s="42" t="n">
        <v>13</v>
      </c>
      <c r="E563" s="56" t="n">
        <v>0</v>
      </c>
      <c r="F563" s="42" t="n">
        <v>1</v>
      </c>
      <c r="G563" s="42" t="inlineStr">
        <is>
          <t>T2-1</t>
        </is>
      </c>
      <c r="H563" s="42" t="n"/>
    </row>
    <row r="564" ht="15" customHeight="1" s="37">
      <c r="A564" s="42" t="inlineStr">
        <is>
          <t>gucci guilty pour homme notes</t>
        </is>
      </c>
      <c r="B564" s="42" t="inlineStr">
        <is>
          <t>Informational Transactional</t>
        </is>
      </c>
      <c r="C564" s="55" t="n">
        <v>20</v>
      </c>
      <c r="D564" s="42" t="n">
        <v>18</v>
      </c>
      <c r="E564" s="56" t="n">
        <v>0</v>
      </c>
      <c r="F564" s="42" t="n">
        <v>1</v>
      </c>
      <c r="G564" s="42" t="inlineStr">
        <is>
          <t>T3-1</t>
        </is>
      </c>
      <c r="H564" s="42" t="n"/>
    </row>
    <row r="565" ht="15" customHeight="1" s="37">
      <c r="A565" s="42" t="inlineStr">
        <is>
          <t>gucci guilty pour homme price</t>
        </is>
      </c>
      <c r="B565" s="42" t="inlineStr">
        <is>
          <t>Transactional Navigational</t>
        </is>
      </c>
      <c r="C565" s="55" t="n">
        <v>20</v>
      </c>
      <c r="D565" s="42" t="n">
        <v>12</v>
      </c>
      <c r="E565" s="56" t="n">
        <v>0</v>
      </c>
      <c r="F565" s="42" t="n">
        <v>1</v>
      </c>
      <c r="G565" s="42" t="inlineStr">
        <is>
          <t>T3-1</t>
        </is>
      </c>
      <c r="H565" s="42" t="n"/>
    </row>
    <row r="566" ht="15" customHeight="1" s="37">
      <c r="A566" s="42" t="inlineStr">
        <is>
          <t>gucci guilty pour homme review</t>
        </is>
      </c>
      <c r="B566" s="42" t="inlineStr">
        <is>
          <t>Commercial</t>
        </is>
      </c>
      <c r="C566" s="55" t="n">
        <v>20</v>
      </c>
      <c r="D566" s="42" t="n">
        <v>12</v>
      </c>
      <c r="E566" s="56" t="n">
        <v>0</v>
      </c>
      <c r="F566" s="42" t="n">
        <v>1</v>
      </c>
      <c r="G566" s="42" t="inlineStr">
        <is>
          <t>T3-1</t>
        </is>
      </c>
      <c r="H566" s="42" t="n"/>
    </row>
    <row r="567" ht="15" customHeight="1" s="37">
      <c r="A567" s="42" t="inlineStr">
        <is>
          <t>gucci intense oud dupe</t>
        </is>
      </c>
      <c r="B567" s="42" t="inlineStr">
        <is>
          <t>Informational</t>
        </is>
      </c>
      <c r="C567" s="55" t="n">
        <v>20</v>
      </c>
      <c r="D567" s="42" t="n">
        <v>4</v>
      </c>
      <c r="E567" s="56" t="n">
        <v>0.57</v>
      </c>
      <c r="F567" s="42" t="n">
        <v>1</v>
      </c>
      <c r="G567" s="42" t="inlineStr">
        <is>
          <t>T3-1</t>
        </is>
      </c>
      <c r="H567" s="42" t="n"/>
    </row>
    <row r="568" ht="15" customHeight="1" s="37">
      <c r="A568" s="42" t="inlineStr">
        <is>
          <t>gucci intense oud uk</t>
        </is>
      </c>
      <c r="B568" s="42" t="inlineStr">
        <is>
          <t>Navigational</t>
        </is>
      </c>
      <c r="C568" s="55" t="n">
        <v>20</v>
      </c>
      <c r="D568" s="42" t="n">
        <v>16</v>
      </c>
      <c r="E568" s="56" t="n">
        <v>0.47</v>
      </c>
      <c r="F568" s="42" t="n">
        <v>1</v>
      </c>
      <c r="G568" s="42" t="inlineStr">
        <is>
          <t>T2-1</t>
        </is>
      </c>
      <c r="H568" s="42" t="n"/>
    </row>
    <row r="569" ht="15" customHeight="1" s="37">
      <c r="A569" s="42" t="inlineStr">
        <is>
          <t>guerlain epices exquises eau de parfum</t>
        </is>
      </c>
      <c r="B569" s="42" t="inlineStr">
        <is>
          <t>Commercial</t>
        </is>
      </c>
      <c r="C569" s="55" t="n">
        <v>20</v>
      </c>
      <c r="D569" s="42" t="n">
        <v>15</v>
      </c>
      <c r="E569" s="56" t="n">
        <v>0</v>
      </c>
      <c r="F569" s="42" t="n">
        <v>1</v>
      </c>
      <c r="G569" s="42" t="inlineStr">
        <is>
          <t>T2-2</t>
        </is>
      </c>
      <c r="H569" s="42" t="n"/>
    </row>
    <row r="570" ht="15" customHeight="1" s="37">
      <c r="A570" s="42" t="inlineStr">
        <is>
          <t>guerlain habit rouge edp</t>
        </is>
      </c>
      <c r="B570" s="42" t="inlineStr">
        <is>
          <t>Informational</t>
        </is>
      </c>
      <c r="C570" s="55" t="n">
        <v>20</v>
      </c>
      <c r="D570" s="42" t="n">
        <v>25</v>
      </c>
      <c r="E570" s="56" t="n">
        <v>0.93</v>
      </c>
      <c r="F570" s="42" t="n">
        <v>1</v>
      </c>
      <c r="G570" s="42" t="inlineStr">
        <is>
          <t>T3-1</t>
        </is>
      </c>
      <c r="H570" s="42" t="n"/>
    </row>
    <row r="571" ht="15" customHeight="1" s="37">
      <c r="A571" s="42" t="inlineStr">
        <is>
          <t>guerlain oud essentiel eau de parfum</t>
        </is>
      </c>
      <c r="B571" s="42" t="inlineStr">
        <is>
          <t>Informational Navigational</t>
        </is>
      </c>
      <c r="C571" s="55" t="n">
        <v>20</v>
      </c>
      <c r="D571" s="42" t="n">
        <v>18</v>
      </c>
      <c r="E571" s="56" t="n">
        <v>0.77</v>
      </c>
      <c r="F571" s="42" t="n">
        <v>1</v>
      </c>
      <c r="G571" s="42" t="inlineStr">
        <is>
          <t>T2-1</t>
        </is>
      </c>
      <c r="H571" s="42" t="n"/>
    </row>
    <row r="572" ht="15" customHeight="1" s="37">
      <c r="A572" s="42" t="inlineStr">
        <is>
          <t>guerlain oud essentiel notes</t>
        </is>
      </c>
      <c r="B572" s="42" t="inlineStr">
        <is>
          <t>Transactional Navigational</t>
        </is>
      </c>
      <c r="C572" s="55" t="n">
        <v>20</v>
      </c>
      <c r="D572" s="42" t="n">
        <v>10</v>
      </c>
      <c r="E572" s="56" t="n">
        <v>0</v>
      </c>
      <c r="F572" s="42" t="n">
        <v>0.86</v>
      </c>
      <c r="G572" s="42" t="inlineStr">
        <is>
          <t>T3-1</t>
        </is>
      </c>
      <c r="H572" s="42" t="n"/>
    </row>
    <row r="573" ht="15" customHeight="1" s="37">
      <c r="A573" s="42" t="inlineStr">
        <is>
          <t>guerlain oud essentiel review</t>
        </is>
      </c>
      <c r="B573" s="42" t="inlineStr">
        <is>
          <t>Commercial</t>
        </is>
      </c>
      <c r="C573" s="55" t="n">
        <v>20</v>
      </c>
      <c r="D573" s="42" t="n">
        <v>14</v>
      </c>
      <c r="E573" s="56" t="n">
        <v>0</v>
      </c>
      <c r="F573" s="42" t="n">
        <v>1</v>
      </c>
      <c r="G573" s="42" t="inlineStr">
        <is>
          <t>T3-1</t>
        </is>
      </c>
      <c r="H573" s="42" t="n"/>
    </row>
    <row r="574" ht="15" customHeight="1" s="37">
      <c r="A574" s="42" t="inlineStr">
        <is>
          <t>guerlain oud essentiel uk</t>
        </is>
      </c>
      <c r="B574" s="42" t="inlineStr">
        <is>
          <t>Navigational</t>
        </is>
      </c>
      <c r="C574" s="55" t="n">
        <v>20</v>
      </c>
      <c r="D574" s="42" t="n">
        <v>16</v>
      </c>
      <c r="E574" s="56" t="n">
        <v>0</v>
      </c>
      <c r="F574" s="42" t="n">
        <v>1</v>
      </c>
      <c r="G574" s="42" t="inlineStr">
        <is>
          <t>T2-1</t>
        </is>
      </c>
      <c r="H574" s="42" t="n"/>
    </row>
    <row r="575" ht="15" customHeight="1" s="37">
      <c r="A575" s="42" t="inlineStr">
        <is>
          <t>guerlain perfume for women</t>
        </is>
      </c>
      <c r="B575" s="42" t="inlineStr">
        <is>
          <t>Informational Transactional</t>
        </is>
      </c>
      <c r="C575" s="55" t="n">
        <v>20</v>
      </c>
      <c r="D575" s="42" t="n">
        <v>30</v>
      </c>
      <c r="E575" s="56" t="n">
        <v>0.43</v>
      </c>
      <c r="F575" s="42" t="n">
        <v>1</v>
      </c>
      <c r="G575" s="42" t="n">
        <v>2</v>
      </c>
      <c r="H575" s="42" t="n"/>
    </row>
    <row r="576" ht="15" customHeight="1" s="37">
      <c r="A576" s="42" t="inlineStr">
        <is>
          <t>guerlain samsara notes</t>
        </is>
      </c>
      <c r="B576" s="42" t="inlineStr">
        <is>
          <t>Informational</t>
        </is>
      </c>
      <c r="C576" s="55" t="n">
        <v>20</v>
      </c>
      <c r="D576" s="42" t="n">
        <v>17</v>
      </c>
      <c r="E576" s="56" t="n">
        <v>0</v>
      </c>
      <c r="F576" s="42" t="n">
        <v>1</v>
      </c>
      <c r="G576" s="42" t="inlineStr">
        <is>
          <t>T3-1</t>
        </is>
      </c>
      <c r="H576" s="42" t="n"/>
    </row>
    <row r="577" ht="15" customHeight="1" s="37">
      <c r="A577" s="42" t="inlineStr">
        <is>
          <t>guerlain samsara original</t>
        </is>
      </c>
      <c r="B577" s="42" t="inlineStr">
        <is>
          <t>Informational Transactional</t>
        </is>
      </c>
      <c r="C577" s="55" t="n">
        <v>20</v>
      </c>
      <c r="D577" s="42" t="n">
        <v>21</v>
      </c>
      <c r="E577" s="56" t="n">
        <v>0.64</v>
      </c>
      <c r="F577" s="42" t="n">
        <v>1</v>
      </c>
      <c r="G577" s="42" t="inlineStr">
        <is>
          <t>T3-2</t>
        </is>
      </c>
      <c r="H577" s="42" t="n"/>
    </row>
    <row r="578" ht="15" customHeight="1" s="37">
      <c r="A578" s="42" t="inlineStr">
        <is>
          <t>hemel patchouli for all</t>
        </is>
      </c>
      <c r="B578" s="42" t="inlineStr">
        <is>
          <t>Informational</t>
        </is>
      </c>
      <c r="C578" s="55" t="n">
        <v>20</v>
      </c>
      <c r="D578" s="42" t="n">
        <v>21</v>
      </c>
      <c r="E578" s="56" t="n">
        <v>0</v>
      </c>
      <c r="F578" s="42" t="n">
        <v>1</v>
      </c>
      <c r="G578" s="42" t="n">
        <v>6</v>
      </c>
      <c r="H578" s="42" t="n"/>
    </row>
    <row r="579" ht="15" customHeight="1" s="37">
      <c r="A579" s="42" t="inlineStr">
        <is>
          <t>hemel perfume</t>
        </is>
      </c>
      <c r="B579" s="42" t="inlineStr">
        <is>
          <t>Informational Transactional</t>
        </is>
      </c>
      <c r="C579" s="55" t="n">
        <v>20</v>
      </c>
      <c r="D579" s="42" t="n">
        <v>19</v>
      </c>
      <c r="E579" s="56" t="n">
        <v>0</v>
      </c>
      <c r="F579" s="42" t="n">
        <v>1</v>
      </c>
      <c r="G579" s="42" t="n">
        <v>2</v>
      </c>
      <c r="H579" s="42" t="n"/>
    </row>
    <row r="580" ht="15" customHeight="1" s="37">
      <c r="A580" s="42" t="inlineStr">
        <is>
          <t>hugo boss alive eau de parfum</t>
        </is>
      </c>
      <c r="B580" s="42" t="inlineStr">
        <is>
          <t>Informational</t>
        </is>
      </c>
      <c r="C580" s="55" t="n">
        <v>20</v>
      </c>
      <c r="D580" s="42" t="n">
        <v>16</v>
      </c>
      <c r="E580" s="56" t="n">
        <v>0.57</v>
      </c>
      <c r="F580" s="42" t="n">
        <v>1</v>
      </c>
      <c r="G580" s="42" t="inlineStr">
        <is>
          <t>T2-1</t>
        </is>
      </c>
      <c r="H580" s="42" t="n"/>
    </row>
    <row r="581" ht="15" customHeight="1" s="37">
      <c r="A581" s="42" t="inlineStr">
        <is>
          <t>hugo boss boss the scent tester</t>
        </is>
      </c>
      <c r="B581" s="42" t="inlineStr">
        <is>
          <t>Informational Transactional</t>
        </is>
      </c>
      <c r="C581" s="55" t="n">
        <v>20</v>
      </c>
      <c r="D581" s="42" t="n">
        <v>4</v>
      </c>
      <c r="E581" s="56" t="n">
        <v>0.45</v>
      </c>
      <c r="F581" s="42" t="n">
        <v>1</v>
      </c>
      <c r="G581" s="42" t="n">
        <v>6</v>
      </c>
      <c r="H581" s="42" t="n"/>
    </row>
    <row r="582" ht="15" customHeight="1" s="37">
      <c r="A582" s="42" t="inlineStr">
        <is>
          <t>hugo boss bottled price</t>
        </is>
      </c>
      <c r="B582" s="42" t="inlineStr">
        <is>
          <t>Transactional</t>
        </is>
      </c>
      <c r="C582" s="55" t="n">
        <v>20</v>
      </c>
      <c r="D582" s="42" t="n">
        <v>18</v>
      </c>
      <c r="E582" s="56" t="n">
        <v>0</v>
      </c>
      <c r="F582" s="42" t="n">
        <v>1</v>
      </c>
      <c r="G582" s="42" t="inlineStr">
        <is>
          <t>T3-1</t>
        </is>
      </c>
      <c r="H582" s="42" t="n"/>
    </row>
    <row r="583" ht="15" customHeight="1" s="37">
      <c r="A583" s="42" t="inlineStr">
        <is>
          <t>hugo boss bottled uk</t>
        </is>
      </c>
      <c r="B583" s="42" t="inlineStr">
        <is>
          <t>Informational</t>
        </is>
      </c>
      <c r="C583" s="55" t="n">
        <v>20</v>
      </c>
      <c r="D583" s="42" t="n">
        <v>22</v>
      </c>
      <c r="E583" s="56" t="n">
        <v>0.29</v>
      </c>
      <c r="F583" s="42" t="n">
        <v>1</v>
      </c>
      <c r="G583" s="42" t="inlineStr">
        <is>
          <t>T2-1</t>
        </is>
      </c>
      <c r="H583" s="42" t="n"/>
    </row>
    <row r="584" ht="15" customHeight="1" s="37">
      <c r="A584" s="42" t="inlineStr">
        <is>
          <t>jean paul gaultier scandal gold</t>
        </is>
      </c>
      <c r="B584" s="42" t="inlineStr">
        <is>
          <t>Informational</t>
        </is>
      </c>
      <c r="C584" s="55" t="n">
        <v>20</v>
      </c>
      <c r="D584" s="42" t="n">
        <v>16</v>
      </c>
      <c r="E584" s="56" t="n">
        <v>0</v>
      </c>
      <c r="F584" s="42" t="n">
        <v>1</v>
      </c>
      <c r="G584" s="42" t="n">
        <v>6</v>
      </c>
      <c r="H584" s="42" t="n"/>
    </row>
    <row r="585" ht="15" customHeight="1" s="37">
      <c r="A585" s="42" t="inlineStr">
        <is>
          <t>john varvatos artisan eau de toilette</t>
        </is>
      </c>
      <c r="B585" s="42" t="inlineStr">
        <is>
          <t>Informational</t>
        </is>
      </c>
      <c r="C585" s="55" t="n">
        <v>20</v>
      </c>
      <c r="D585" s="42" t="n">
        <v>18</v>
      </c>
      <c r="E585" s="56" t="n">
        <v>0</v>
      </c>
      <c r="F585" s="42" t="n">
        <v>0.92</v>
      </c>
      <c r="G585" s="42" t="inlineStr">
        <is>
          <t>T2-1</t>
        </is>
      </c>
      <c r="H585" s="42" t="n"/>
    </row>
    <row r="586" ht="15" customHeight="1" s="37">
      <c r="A586" s="42" t="inlineStr">
        <is>
          <t>joop homme perfume for men</t>
        </is>
      </c>
      <c r="B586" s="42" t="inlineStr">
        <is>
          <t>Informational</t>
        </is>
      </c>
      <c r="C586" s="55" t="n">
        <v>20</v>
      </c>
      <c r="D586" s="42" t="n">
        <v>15</v>
      </c>
      <c r="E586" s="56" t="n">
        <v>0.23</v>
      </c>
      <c r="F586" s="42" t="n">
        <v>1</v>
      </c>
      <c r="G586" s="42" t="n">
        <v>2</v>
      </c>
      <c r="H586" s="42" t="n"/>
    </row>
    <row r="587" ht="15" customHeight="1" s="37">
      <c r="A587" s="42" t="inlineStr">
        <is>
          <t>joop! homme uk</t>
        </is>
      </c>
      <c r="B587" s="42" t="inlineStr">
        <is>
          <t>Informational Commercial</t>
        </is>
      </c>
      <c r="C587" s="55" t="n">
        <v>20</v>
      </c>
      <c r="D587" s="42" t="n">
        <v>15</v>
      </c>
      <c r="E587" s="56" t="n">
        <v>0</v>
      </c>
      <c r="F587" s="42" t="n">
        <v>1</v>
      </c>
      <c r="G587" s="42" t="inlineStr">
        <is>
          <t>T2-1</t>
        </is>
      </c>
      <c r="H587" s="42" t="n"/>
    </row>
    <row r="588" ht="15" customHeight="1" s="37">
      <c r="A588" s="42" t="inlineStr">
        <is>
          <t>kenneth cole moonlight blue</t>
        </is>
      </c>
      <c r="B588" s="42" t="inlineStr">
        <is>
          <t>Informational Transactional</t>
        </is>
      </c>
      <c r="C588" s="55" t="n">
        <v>20</v>
      </c>
      <c r="D588" s="42" t="n">
        <v>18</v>
      </c>
      <c r="E588" s="56" t="n">
        <v>0</v>
      </c>
      <c r="F588" s="42" t="n">
        <v>1</v>
      </c>
      <c r="G588" s="42" t="n">
        <v>7</v>
      </c>
      <c r="H588" s="42" t="n"/>
    </row>
    <row r="589" ht="15" customHeight="1" s="37">
      <c r="A589" s="42" t="inlineStr">
        <is>
          <t>kenneth cole perfume for men</t>
        </is>
      </c>
      <c r="B589" s="42" t="inlineStr">
        <is>
          <t>Informational</t>
        </is>
      </c>
      <c r="C589" s="55" t="n">
        <v>20</v>
      </c>
      <c r="D589" s="42" t="n">
        <v>9</v>
      </c>
      <c r="E589" s="56" t="n">
        <v>0</v>
      </c>
      <c r="F589" s="42" t="n">
        <v>0.92</v>
      </c>
      <c r="G589" s="42" t="n">
        <v>2</v>
      </c>
      <c r="H589" s="42" t="n"/>
    </row>
    <row r="590" ht="15" customHeight="1" s="37">
      <c r="A590" s="42" t="inlineStr">
        <is>
          <t>korloff cuir mythique</t>
        </is>
      </c>
      <c r="B590" s="42" t="inlineStr">
        <is>
          <t>Informational</t>
        </is>
      </c>
      <c r="C590" s="55" t="n">
        <v>20</v>
      </c>
      <c r="D590" s="42" t="n">
        <v>9</v>
      </c>
      <c r="E590" s="56" t="n">
        <v>0</v>
      </c>
      <c r="F590" s="42" t="n">
        <v>0.86</v>
      </c>
      <c r="G590" s="42" t="n">
        <v>7</v>
      </c>
      <c r="H590" s="42" t="n"/>
    </row>
    <row r="591" ht="15" customHeight="1" s="37">
      <c r="A591" s="42" t="inlineStr">
        <is>
          <t>korloff in love</t>
        </is>
      </c>
      <c r="B591" s="42" t="inlineStr">
        <is>
          <t>Informational</t>
        </is>
      </c>
      <c r="C591" s="55" t="n">
        <v>20</v>
      </c>
      <c r="D591" s="42" t="n">
        <v>0</v>
      </c>
      <c r="E591" s="56" t="n">
        <v>0</v>
      </c>
      <c r="F591" s="42" t="n">
        <v>1</v>
      </c>
      <c r="G591" s="42" t="n">
        <v>7</v>
      </c>
      <c r="H591" s="42" t="n"/>
    </row>
    <row r="592" ht="15" customHeight="1" s="37">
      <c r="A592" s="42" t="inlineStr">
        <is>
          <t>korloff in white</t>
        </is>
      </c>
      <c r="B592" s="42" t="inlineStr">
        <is>
          <t>Navigational</t>
        </is>
      </c>
      <c r="C592" s="55" t="n">
        <v>20</v>
      </c>
      <c r="D592" s="42" t="n">
        <v>19</v>
      </c>
      <c r="E592" s="56" t="n">
        <v>0</v>
      </c>
      <c r="F592" s="42" t="n">
        <v>1</v>
      </c>
      <c r="G592" s="42" t="n">
        <v>7</v>
      </c>
      <c r="H592" s="42" t="n"/>
    </row>
    <row r="593" ht="15" customHeight="1" s="37">
      <c r="A593" s="42" t="inlineStr">
        <is>
          <t>korloff perfume</t>
        </is>
      </c>
      <c r="B593" s="42" t="inlineStr">
        <is>
          <t>Navigational</t>
        </is>
      </c>
      <c r="C593" s="55" t="n">
        <v>20</v>
      </c>
      <c r="D593" s="42" t="n">
        <v>9</v>
      </c>
      <c r="E593" s="56" t="n">
        <v>0</v>
      </c>
      <c r="F593" s="42" t="n">
        <v>1</v>
      </c>
      <c r="G593" s="42" t="n">
        <v>2</v>
      </c>
      <c r="H593" s="42" t="n"/>
    </row>
    <row r="594" ht="15" customHeight="1" s="37">
      <c r="A594" s="42" t="inlineStr">
        <is>
          <t>korloff royal rose</t>
        </is>
      </c>
      <c r="B594" s="42" t="inlineStr">
        <is>
          <t>Transactional Navigational</t>
        </is>
      </c>
      <c r="C594" s="55" t="n">
        <v>20</v>
      </c>
      <c r="D594" s="42" t="n">
        <v>12</v>
      </c>
      <c r="E594" s="56" t="n">
        <v>0</v>
      </c>
      <c r="F594" s="42" t="n">
        <v>1</v>
      </c>
      <c r="G594" s="42" t="n">
        <v>7</v>
      </c>
      <c r="H594" s="42" t="n"/>
    </row>
    <row r="595" ht="15" customHeight="1" s="37">
      <c r="A595" s="42" t="inlineStr">
        <is>
          <t>kumkumadi serum</t>
        </is>
      </c>
      <c r="B595" s="42" t="inlineStr">
        <is>
          <t>Informational</t>
        </is>
      </c>
      <c r="C595" s="55" t="n">
        <v>20</v>
      </c>
      <c r="D595" s="42" t="n">
        <v>9</v>
      </c>
      <c r="E595" s="56" t="n">
        <v>0</v>
      </c>
      <c r="F595" s="42" t="n">
        <v>1</v>
      </c>
      <c r="G595" s="42" t="inlineStr">
        <is>
          <t>T2-2</t>
        </is>
      </c>
      <c r="H595" s="42" t="n"/>
    </row>
    <row r="596" ht="15" customHeight="1" s="37">
      <c r="A596" s="42" t="inlineStr">
        <is>
          <t>la maison de la vanille absolu de vanille</t>
        </is>
      </c>
      <c r="B596" s="42" t="inlineStr">
        <is>
          <t>Informational Transactional</t>
        </is>
      </c>
      <c r="C596" s="55" t="n">
        <v>20</v>
      </c>
      <c r="D596" s="42" t="n">
        <v>8</v>
      </c>
      <c r="E596" s="56" t="n">
        <v>0</v>
      </c>
      <c r="F596" s="42" t="n">
        <v>0</v>
      </c>
      <c r="G596" s="42" t="n">
        <v>7</v>
      </c>
      <c r="H596" s="42" t="n"/>
    </row>
    <row r="597" ht="15" customHeight="1" s="37">
      <c r="A597" s="42" t="inlineStr">
        <is>
          <t>la maison de la vanille ambre secret</t>
        </is>
      </c>
      <c r="B597" s="42" t="inlineStr">
        <is>
          <t>Informational</t>
        </is>
      </c>
      <c r="C597" s="55" t="n">
        <v>20</v>
      </c>
      <c r="D597" s="42" t="n">
        <v>3</v>
      </c>
      <c r="E597" s="56" t="n">
        <v>0</v>
      </c>
      <c r="F597" s="42" t="n">
        <v>0</v>
      </c>
      <c r="G597" s="42" t="n">
        <v>7</v>
      </c>
      <c r="H597" s="42" t="n"/>
    </row>
    <row r="598" ht="15" customHeight="1" s="37">
      <c r="A598" s="42" t="inlineStr">
        <is>
          <t>lancome idole nectar dupe</t>
        </is>
      </c>
      <c r="B598" s="42" t="inlineStr">
        <is>
          <t>Informational</t>
        </is>
      </c>
      <c r="C598" s="55" t="n">
        <v>20</v>
      </c>
      <c r="D598" s="42" t="n">
        <v>23</v>
      </c>
      <c r="E598" s="56" t="n">
        <v>0</v>
      </c>
      <c r="F598" s="42" t="n">
        <v>1</v>
      </c>
      <c r="G598" s="42" t="inlineStr">
        <is>
          <t>T3-2</t>
        </is>
      </c>
      <c r="H598" s="42" t="n"/>
    </row>
    <row r="599" ht="15" customHeight="1" s="37">
      <c r="A599" s="42" t="inlineStr">
        <is>
          <t>lancome idole nectar notes</t>
        </is>
      </c>
      <c r="B599" s="42" t="inlineStr">
        <is>
          <t>Commercial</t>
        </is>
      </c>
      <c r="C599" s="55" t="n">
        <v>20</v>
      </c>
      <c r="D599" s="42" t="n">
        <v>10</v>
      </c>
      <c r="E599" s="56" t="n">
        <v>0</v>
      </c>
      <c r="F599" s="42" t="n">
        <v>1</v>
      </c>
      <c r="G599" s="42" t="inlineStr">
        <is>
          <t>T3-2</t>
        </is>
      </c>
      <c r="H599" s="42" t="n"/>
    </row>
    <row r="600" ht="15" customHeight="1" s="37">
      <c r="A600" s="42" t="inlineStr">
        <is>
          <t>lancome idole now florale</t>
        </is>
      </c>
      <c r="B600" s="42" t="inlineStr">
        <is>
          <t>Navigational</t>
        </is>
      </c>
      <c r="C600" s="55" t="n">
        <v>20</v>
      </c>
      <c r="D600" s="42" t="n">
        <v>17</v>
      </c>
      <c r="E600" s="56" t="n">
        <v>0</v>
      </c>
      <c r="F600" s="42" t="n">
        <v>1</v>
      </c>
      <c r="G600" s="42" t="n">
        <v>7</v>
      </c>
      <c r="H600" s="42" t="n"/>
    </row>
    <row r="601" ht="15" customHeight="1" s="37">
      <c r="A601" s="42" t="inlineStr">
        <is>
          <t>lip balm for pigmented lips</t>
        </is>
      </c>
      <c r="B601" s="42" t="inlineStr">
        <is>
          <t>Informational Commercial</t>
        </is>
      </c>
      <c r="C601" s="55" t="n">
        <v>20</v>
      </c>
      <c r="D601" s="42" t="n">
        <v>20</v>
      </c>
      <c r="E601" s="56" t="n">
        <v>0.37</v>
      </c>
      <c r="F601" s="42" t="n">
        <v>1</v>
      </c>
      <c r="G601" s="42" t="inlineStr">
        <is>
          <t>T2-2</t>
        </is>
      </c>
      <c r="H601" s="42" t="n"/>
    </row>
    <row r="602" ht="15" customHeight="1" s="37">
      <c r="A602" s="42" t="inlineStr">
        <is>
          <t>marc jacobs daisy love glow limited edition</t>
        </is>
      </c>
      <c r="B602" s="42" t="inlineStr">
        <is>
          <t>Informational Transactional</t>
        </is>
      </c>
      <c r="C602" s="55" t="n">
        <v>20</v>
      </c>
      <c r="D602" s="42" t="n">
        <v>16</v>
      </c>
      <c r="E602" s="56" t="n">
        <v>0</v>
      </c>
      <c r="F602" s="42" t="n">
        <v>1</v>
      </c>
      <c r="G602" s="42" t="n">
        <v>7</v>
      </c>
      <c r="H602" s="42" t="n"/>
    </row>
    <row r="603" ht="15" customHeight="1" s="37">
      <c r="A603" s="42" t="inlineStr">
        <is>
          <t>marc jacobs honey price</t>
        </is>
      </c>
      <c r="B603" s="42" t="inlineStr">
        <is>
          <t>Transactional</t>
        </is>
      </c>
      <c r="C603" s="55" t="n">
        <v>20</v>
      </c>
      <c r="D603" s="42" t="n">
        <v>13</v>
      </c>
      <c r="E603" s="56" t="n">
        <v>0</v>
      </c>
      <c r="F603" s="42" t="n">
        <v>1</v>
      </c>
      <c r="G603" s="42" t="inlineStr">
        <is>
          <t>T3-1</t>
        </is>
      </c>
      <c r="H603" s="42" t="n"/>
    </row>
    <row r="604" ht="15" customHeight="1" s="37">
      <c r="A604" s="42" t="inlineStr">
        <is>
          <t>marc jacobs honey uk</t>
        </is>
      </c>
      <c r="B604" s="42" t="inlineStr">
        <is>
          <t>Informational</t>
        </is>
      </c>
      <c r="C604" s="55" t="n">
        <v>20</v>
      </c>
      <c r="D604" s="42" t="n">
        <v>14</v>
      </c>
      <c r="E604" s="56" t="n">
        <v>0</v>
      </c>
      <c r="F604" s="42" t="n">
        <v>0.5</v>
      </c>
      <c r="G604" s="42" t="inlineStr">
        <is>
          <t>T2-1</t>
        </is>
      </c>
      <c r="H604" s="42" t="n"/>
    </row>
    <row r="605" ht="15" customHeight="1" s="37">
      <c r="A605" s="42" t="inlineStr">
        <is>
          <t>marc jacobs perfect miniature</t>
        </is>
      </c>
      <c r="B605" s="42" t="inlineStr">
        <is>
          <t>Informational</t>
        </is>
      </c>
      <c r="C605" s="55" t="n">
        <v>20</v>
      </c>
      <c r="D605" s="42" t="n">
        <v>17</v>
      </c>
      <c r="E605" s="56" t="n">
        <v>0</v>
      </c>
      <c r="F605" s="42" t="n">
        <v>1</v>
      </c>
      <c r="G605" s="42" t="n">
        <v>7</v>
      </c>
      <c r="H605" s="42" t="n"/>
    </row>
    <row r="606" ht="15" customHeight="1" s="37">
      <c r="A606" s="42" t="inlineStr">
        <is>
          <t>marc jacobs perfect price</t>
        </is>
      </c>
      <c r="B606" s="42" t="inlineStr">
        <is>
          <t>Transactional</t>
        </is>
      </c>
      <c r="C606" s="55" t="n">
        <v>20</v>
      </c>
      <c r="D606" s="42" t="n">
        <v>13</v>
      </c>
      <c r="E606" s="56" t="n">
        <v>0</v>
      </c>
      <c r="F606" s="42" t="n">
        <v>0.86</v>
      </c>
      <c r="G606" s="42" t="inlineStr">
        <is>
          <t>T3-1</t>
        </is>
      </c>
      <c r="H606" s="42" t="n"/>
    </row>
    <row r="607" ht="15" customHeight="1" s="37">
      <c r="A607" s="42" t="inlineStr">
        <is>
          <t>marc jacobs perfect uk</t>
        </is>
      </c>
      <c r="B607" s="42" t="inlineStr">
        <is>
          <t>Informational Transactional</t>
        </is>
      </c>
      <c r="C607" s="55" t="n">
        <v>20</v>
      </c>
      <c r="D607" s="42" t="n">
        <v>17</v>
      </c>
      <c r="E607" s="56" t="n">
        <v>0.39</v>
      </c>
      <c r="F607" s="42" t="n">
        <v>1</v>
      </c>
      <c r="G607" s="42" t="inlineStr">
        <is>
          <t>T2-1</t>
        </is>
      </c>
      <c r="H607" s="42" t="n"/>
    </row>
    <row r="608" ht="15" customHeight="1" s="37">
      <c r="A608" s="42" t="inlineStr">
        <is>
          <t>moisturiser for dark circles</t>
        </is>
      </c>
      <c r="B608" s="42" t="inlineStr">
        <is>
          <t>Commercial</t>
        </is>
      </c>
      <c r="C608" s="55" t="n">
        <v>20</v>
      </c>
      <c r="D608" s="42" t="n">
        <v>24</v>
      </c>
      <c r="E608" s="56" t="n">
        <v>0.73</v>
      </c>
      <c r="F608" s="42" t="n">
        <v>0.5</v>
      </c>
      <c r="G608" s="42" t="n">
        <v>3</v>
      </c>
      <c r="H608" s="42" t="n"/>
    </row>
    <row r="609" ht="15" customHeight="1" s="37">
      <c r="A609" s="42" t="inlineStr">
        <is>
          <t>montale aoud damascus</t>
        </is>
      </c>
      <c r="B609" s="42" t="inlineStr">
        <is>
          <t>Informational</t>
        </is>
      </c>
      <c r="C609" s="55" t="n">
        <v>20</v>
      </c>
      <c r="D609" s="42" t="n">
        <v>10</v>
      </c>
      <c r="E609" s="56" t="n">
        <v>0</v>
      </c>
      <c r="F609" s="42" t="n">
        <v>0.99</v>
      </c>
      <c r="G609" s="42" t="n">
        <v>7</v>
      </c>
      <c r="H609" s="42" t="n"/>
    </row>
    <row r="610" ht="15" customHeight="1" s="37">
      <c r="A610" s="42" t="inlineStr">
        <is>
          <t>montale aoud safran</t>
        </is>
      </c>
      <c r="B610" s="42" t="inlineStr">
        <is>
          <t>Informational Transactional</t>
        </is>
      </c>
      <c r="C610" s="55" t="n">
        <v>20</v>
      </c>
      <c r="D610" s="42" t="n">
        <v>10</v>
      </c>
      <c r="E610" s="56" t="n">
        <v>0</v>
      </c>
      <c r="F610" s="42" t="n">
        <v>1</v>
      </c>
      <c r="G610" s="42" t="n">
        <v>7</v>
      </c>
      <c r="H610" s="42" t="n"/>
    </row>
    <row r="611" ht="15" customHeight="1" s="37">
      <c r="A611" s="42" t="inlineStr">
        <is>
          <t>musk perfume uk</t>
        </is>
      </c>
      <c r="B611" s="42" t="inlineStr">
        <is>
          <t>Informational</t>
        </is>
      </c>
      <c r="C611" s="55" t="n">
        <v>20</v>
      </c>
      <c r="D611" s="42" t="n">
        <v>22</v>
      </c>
      <c r="E611" s="56" t="n">
        <v>0.63</v>
      </c>
      <c r="F611" s="42" t="n">
        <v>1</v>
      </c>
      <c r="G611" s="42" t="n">
        <v>2</v>
      </c>
      <c r="H611" s="42" t="n"/>
    </row>
    <row r="612" ht="15" customHeight="1" s="37">
      <c r="A612" s="42" t="inlineStr">
        <is>
          <t>natural body butter uk</t>
        </is>
      </c>
      <c r="B612" s="42" t="inlineStr">
        <is>
          <t>Informational</t>
        </is>
      </c>
      <c r="C612" s="55" t="n">
        <v>20</v>
      </c>
      <c r="D612" s="42" t="n">
        <v>4</v>
      </c>
      <c r="E612" s="56" t="n">
        <v>0.91</v>
      </c>
      <c r="F612" s="42" t="n">
        <v>1</v>
      </c>
      <c r="G612" s="42" t="n">
        <v>3</v>
      </c>
      <c r="H612" s="42" t="n"/>
    </row>
    <row r="613" ht="15" customHeight="1" s="37">
      <c r="A613" s="42" t="inlineStr">
        <is>
          <t>natural body oil uk</t>
        </is>
      </c>
      <c r="B613" s="42" t="inlineStr">
        <is>
          <t>Informational</t>
        </is>
      </c>
      <c r="C613" s="55" t="n">
        <v>20</v>
      </c>
      <c r="D613" s="42" t="n">
        <v>6</v>
      </c>
      <c r="E613" s="56" t="n">
        <v>0</v>
      </c>
      <c r="F613" s="42" t="n">
        <v>0.5</v>
      </c>
      <c r="G613" s="42" t="n">
        <v>3</v>
      </c>
      <c r="H613" s="42" t="n"/>
    </row>
    <row r="614" ht="15" customHeight="1" s="37">
      <c r="A614" s="42" t="inlineStr">
        <is>
          <t>natural conditioner uk</t>
        </is>
      </c>
      <c r="B614" s="42" t="inlineStr">
        <is>
          <t>Informational</t>
        </is>
      </c>
      <c r="C614" s="55" t="n">
        <v>20</v>
      </c>
      <c r="D614" s="42" t="n">
        <v>7</v>
      </c>
      <c r="E614" s="56" t="n">
        <v>0</v>
      </c>
      <c r="F614" s="42" t="n">
        <v>0.99</v>
      </c>
      <c r="G614" s="42" t="n">
        <v>3</v>
      </c>
      <c r="H614" s="42" t="n"/>
    </row>
    <row r="615" ht="15" customHeight="1" s="37">
      <c r="A615" s="42" t="inlineStr">
        <is>
          <t>natural hair oil uk</t>
        </is>
      </c>
      <c r="B615" s="42" t="inlineStr">
        <is>
          <t>Informational Commercial</t>
        </is>
      </c>
      <c r="C615" s="55" t="n">
        <v>20</v>
      </c>
      <c r="D615" s="42" t="n">
        <v>8</v>
      </c>
      <c r="E615" s="56" t="n">
        <v>0</v>
      </c>
      <c r="F615" s="42" t="n">
        <v>1</v>
      </c>
      <c r="G615" s="42" t="n">
        <v>3</v>
      </c>
      <c r="H615" s="42" t="n"/>
    </row>
    <row r="616" ht="15" customHeight="1" s="37">
      <c r="A616" s="42" t="inlineStr">
        <is>
          <t>natural hair serum uk</t>
        </is>
      </c>
      <c r="B616" s="42" t="inlineStr">
        <is>
          <t>Informational</t>
        </is>
      </c>
      <c r="C616" s="55" t="n">
        <v>20</v>
      </c>
      <c r="D616" s="42" t="n">
        <v>13</v>
      </c>
      <c r="E616" s="56" t="n">
        <v>0</v>
      </c>
      <c r="F616" s="42" t="n">
        <v>0.29</v>
      </c>
      <c r="G616" s="42" t="n">
        <v>3</v>
      </c>
      <c r="H616" s="42" t="n"/>
    </row>
    <row r="617" ht="15" customHeight="1" s="37">
      <c r="A617" s="42" t="inlineStr">
        <is>
          <t>nina ricci l'air du temps eau de toilette</t>
        </is>
      </c>
      <c r="B617" s="42" t="inlineStr">
        <is>
          <t>Informational Transactional</t>
        </is>
      </c>
      <c r="C617" s="55" t="n">
        <v>20</v>
      </c>
      <c r="D617" s="42" t="n">
        <v>16</v>
      </c>
      <c r="E617" s="56" t="n">
        <v>0.5</v>
      </c>
      <c r="F617" s="42" t="n">
        <v>1</v>
      </c>
      <c r="G617" s="42" t="inlineStr">
        <is>
          <t>T2-1</t>
        </is>
      </c>
      <c r="H617" s="42" t="n"/>
    </row>
    <row r="618" ht="15" customHeight="1" s="37">
      <c r="A618" s="42" t="inlineStr">
        <is>
          <t>nina ricci nina illusion</t>
        </is>
      </c>
      <c r="B618" s="42" t="inlineStr">
        <is>
          <t>Informational</t>
        </is>
      </c>
      <c r="C618" s="55" t="n">
        <v>20</v>
      </c>
      <c r="D618" s="42" t="n">
        <v>13</v>
      </c>
      <c r="E618" s="56" t="n">
        <v>0</v>
      </c>
      <c r="F618" s="42" t="n">
        <v>1</v>
      </c>
      <c r="G618" s="42" t="n">
        <v>7</v>
      </c>
      <c r="H618" s="42" t="n"/>
    </row>
    <row r="619" ht="15" customHeight="1" s="37">
      <c r="A619" s="42" t="inlineStr">
        <is>
          <t>nina ricci perfume for women</t>
        </is>
      </c>
      <c r="B619" s="42" t="inlineStr">
        <is>
          <t>Informational</t>
        </is>
      </c>
      <c r="C619" s="55" t="n">
        <v>20</v>
      </c>
      <c r="D619" s="42" t="n">
        <v>16</v>
      </c>
      <c r="E619" s="56" t="n">
        <v>0</v>
      </c>
      <c r="F619" s="42" t="n">
        <v>1</v>
      </c>
      <c r="G619" s="42" t="n">
        <v>2</v>
      </c>
      <c r="H619" s="42" t="n"/>
    </row>
    <row r="620" ht="15" customHeight="1" s="37">
      <c r="A620" s="42" t="inlineStr">
        <is>
          <t>oat milk face wash</t>
        </is>
      </c>
      <c r="B620" s="42" t="inlineStr">
        <is>
          <t>Informational Transactional</t>
        </is>
      </c>
      <c r="C620" s="55" t="n">
        <v>20</v>
      </c>
      <c r="D620" s="42" t="n">
        <v>5</v>
      </c>
      <c r="E620" s="56" t="n">
        <v>0.88</v>
      </c>
      <c r="F620" s="42" t="n">
        <v>1</v>
      </c>
      <c r="G620" s="42" t="inlineStr">
        <is>
          <t>T2-3</t>
        </is>
      </c>
      <c r="H620" s="42" t="n"/>
    </row>
    <row r="621" ht="15" customHeight="1" s="37">
      <c r="A621" s="42" t="inlineStr">
        <is>
          <t>paloma picasso eau de toilette</t>
        </is>
      </c>
      <c r="B621" s="42" t="inlineStr">
        <is>
          <t>Transactional</t>
        </is>
      </c>
      <c r="C621" s="55" t="n">
        <v>20</v>
      </c>
      <c r="D621" s="42" t="n">
        <v>13</v>
      </c>
      <c r="E621" s="56" t="n">
        <v>0.35</v>
      </c>
      <c r="F621" s="42" t="n">
        <v>0.95</v>
      </c>
      <c r="G621" s="42" t="inlineStr">
        <is>
          <t>T2-1</t>
        </is>
      </c>
      <c r="H621" s="42" t="n"/>
    </row>
    <row r="622" ht="15" customHeight="1" s="37">
      <c r="A622" s="42" t="inlineStr">
        <is>
          <t>paloma picasso price</t>
        </is>
      </c>
      <c r="B622" s="42" t="inlineStr">
        <is>
          <t>Commercial</t>
        </is>
      </c>
      <c r="C622" s="55" t="n">
        <v>20</v>
      </c>
      <c r="D622" s="42" t="n">
        <v>10</v>
      </c>
      <c r="E622" s="56" t="n">
        <v>0</v>
      </c>
      <c r="F622" s="42" t="n">
        <v>1</v>
      </c>
      <c r="G622" s="42" t="inlineStr">
        <is>
          <t>T3-1</t>
        </is>
      </c>
      <c r="H622" s="42" t="n"/>
    </row>
    <row r="623" ht="15" customHeight="1" s="37">
      <c r="A623" s="42" t="inlineStr">
        <is>
          <t>philipp plein no limits super fresh</t>
        </is>
      </c>
      <c r="B623" s="42" t="inlineStr">
        <is>
          <t>Informational Transactional</t>
        </is>
      </c>
      <c r="C623" s="55" t="n">
        <v>20</v>
      </c>
      <c r="D623" s="42" t="n">
        <v>17</v>
      </c>
      <c r="E623" s="56" t="n">
        <v>0</v>
      </c>
      <c r="F623" s="42" t="n">
        <v>1</v>
      </c>
      <c r="G623" s="42" t="n">
        <v>7</v>
      </c>
      <c r="H623" s="42" t="n"/>
    </row>
    <row r="624" ht="15" customHeight="1" s="37">
      <c r="A624" s="42" t="inlineStr">
        <is>
          <t>red sandalwood face pack</t>
        </is>
      </c>
      <c r="B624" s="42" t="inlineStr">
        <is>
          <t>Informational Transactional</t>
        </is>
      </c>
      <c r="C624" s="55" t="n">
        <v>20</v>
      </c>
      <c r="D624" s="42" t="n">
        <v>3</v>
      </c>
      <c r="E624" s="56" t="n">
        <v>0</v>
      </c>
      <c r="F624" s="42" t="n">
        <v>0.66</v>
      </c>
      <c r="G624" s="42" t="inlineStr">
        <is>
          <t>T2-2</t>
        </is>
      </c>
      <c r="H624" s="42" t="n"/>
    </row>
    <row r="625" ht="15" customHeight="1" s="37">
      <c r="A625" s="42" t="inlineStr">
        <is>
          <t>roll it 1</t>
        </is>
      </c>
      <c r="B625" s="42" t="inlineStr">
        <is>
          <t>Commercial</t>
        </is>
      </c>
      <c r="C625" s="55" t="n">
        <v>20</v>
      </c>
      <c r="D625" s="42" t="n">
        <v>20</v>
      </c>
      <c r="E625" s="56" t="n">
        <v>0</v>
      </c>
      <c r="F625" s="42" t="n">
        <v>0.33</v>
      </c>
      <c r="G625" s="42" t="n">
        <v>7</v>
      </c>
      <c r="H625" s="42" t="n"/>
    </row>
    <row r="626" ht="15" customHeight="1" s="37">
      <c r="A626" s="42" t="inlineStr">
        <is>
          <t>sap le roi</t>
        </is>
      </c>
      <c r="B626" s="42" t="inlineStr">
        <is>
          <t>Informational</t>
        </is>
      </c>
      <c r="C626" s="55" t="n">
        <v>20</v>
      </c>
      <c r="D626" s="42" t="n">
        <v>8</v>
      </c>
      <c r="E626" s="56" t="n">
        <v>0</v>
      </c>
      <c r="F626" s="42" t="n">
        <v>0.33</v>
      </c>
      <c r="G626" s="42" t="n">
        <v>7</v>
      </c>
      <c r="H626" s="42" t="n"/>
    </row>
    <row r="627" ht="15" customHeight="1" s="37">
      <c r="A627" s="42" t="inlineStr">
        <is>
          <t>sap patchouli intense</t>
        </is>
      </c>
      <c r="B627" s="42" t="inlineStr">
        <is>
          <t>Informational</t>
        </is>
      </c>
      <c r="C627" s="55" t="n">
        <v>20</v>
      </c>
      <c r="D627" s="42" t="n">
        <v>3</v>
      </c>
      <c r="E627" s="56" t="n">
        <v>0</v>
      </c>
      <c r="F627" s="42" t="n">
        <v>1</v>
      </c>
      <c r="G627" s="42" t="n">
        <v>7</v>
      </c>
      <c r="H627" s="42" t="n"/>
    </row>
    <row r="628" ht="15" customHeight="1" s="37">
      <c r="A628" s="42" t="inlineStr">
        <is>
          <t>sap saffron oud</t>
        </is>
      </c>
      <c r="B628" s="42" t="inlineStr">
        <is>
          <t>Navigational</t>
        </is>
      </c>
      <c r="C628" s="55" t="n">
        <v>20</v>
      </c>
      <c r="D628" s="42" t="n">
        <v>15</v>
      </c>
      <c r="E628" s="56" t="n">
        <v>0</v>
      </c>
      <c r="F628" s="42" t="n">
        <v>1</v>
      </c>
      <c r="G628" s="42" t="n">
        <v>7</v>
      </c>
      <c r="H628" s="42" t="n"/>
    </row>
    <row r="629" ht="15" customHeight="1" s="37">
      <c r="A629" s="42" t="inlineStr">
        <is>
          <t>shiseido zen eau de parfum</t>
        </is>
      </c>
      <c r="B629" s="42" t="inlineStr">
        <is>
          <t>Navigational</t>
        </is>
      </c>
      <c r="C629" s="55" t="n">
        <v>20</v>
      </c>
      <c r="D629" s="42" t="n">
        <v>18</v>
      </c>
      <c r="E629" s="56" t="n">
        <v>0</v>
      </c>
      <c r="F629" s="42" t="n">
        <v>1</v>
      </c>
      <c r="G629" s="42" t="inlineStr">
        <is>
          <t>T2-2</t>
        </is>
      </c>
      <c r="H629" s="42" t="n"/>
    </row>
    <row r="630" ht="15" customHeight="1" s="37">
      <c r="A630" s="42" t="inlineStr">
        <is>
          <t>shiseido zen uk</t>
        </is>
      </c>
      <c r="B630" s="42" t="inlineStr">
        <is>
          <t>Navigational</t>
        </is>
      </c>
      <c r="C630" s="55" t="n">
        <v>20</v>
      </c>
      <c r="D630" s="42" t="n">
        <v>9</v>
      </c>
      <c r="E630" s="56" t="n">
        <v>0</v>
      </c>
      <c r="F630" s="42" t="n">
        <v>1</v>
      </c>
      <c r="G630" s="42" t="inlineStr">
        <is>
          <t>T2-2</t>
        </is>
      </c>
      <c r="H630" s="42" t="n"/>
    </row>
    <row r="631" ht="15" customHeight="1" s="37">
      <c r="A631" s="42" t="inlineStr">
        <is>
          <t>signature aura</t>
        </is>
      </c>
      <c r="B631" s="42" t="inlineStr">
        <is>
          <t>Informational</t>
        </is>
      </c>
      <c r="C631" s="55" t="n">
        <v>20</v>
      </c>
      <c r="D631" s="42" t="n">
        <v>8</v>
      </c>
      <c r="E631" s="56" t="n">
        <v>0</v>
      </c>
      <c r="F631" s="42" t="n">
        <v>0.33</v>
      </c>
      <c r="G631" s="42" t="n">
        <v>7</v>
      </c>
      <c r="H631" s="42" t="n"/>
    </row>
    <row r="632" ht="15" customHeight="1" s="37">
      <c r="A632" s="42" t="inlineStr">
        <is>
          <t>signature discovery set</t>
        </is>
      </c>
      <c r="B632" s="42" t="inlineStr">
        <is>
          <t>Informational Transactional</t>
        </is>
      </c>
      <c r="C632" s="55" t="n">
        <v>20</v>
      </c>
      <c r="D632" s="42" t="n">
        <v>16</v>
      </c>
      <c r="E632" s="56" t="n">
        <v>0</v>
      </c>
      <c r="F632" s="42" t="n">
        <v>0</v>
      </c>
      <c r="G632" s="42" t="n">
        <v>7</v>
      </c>
      <c r="H632" s="42" t="n"/>
    </row>
    <row r="633" ht="15" customHeight="1" s="37">
      <c r="A633" s="42" t="inlineStr">
        <is>
          <t>signature jade</t>
        </is>
      </c>
      <c r="B633" s="42" t="inlineStr">
        <is>
          <t>Informational</t>
        </is>
      </c>
      <c r="C633" s="55" t="n">
        <v>20</v>
      </c>
      <c r="D633" s="42" t="n">
        <v>12</v>
      </c>
      <c r="E633" s="56" t="n">
        <v>0</v>
      </c>
      <c r="F633" s="42" t="n">
        <v>0.9399999999999999</v>
      </c>
      <c r="G633" s="42" t="n">
        <v>7</v>
      </c>
      <c r="H633" s="42" t="n"/>
    </row>
    <row r="634" ht="15" customHeight="1" s="37">
      <c r="A634" s="42" t="inlineStr">
        <is>
          <t>signature onyx</t>
        </is>
      </c>
      <c r="B634" s="42" t="inlineStr">
        <is>
          <t>Informational Transactional</t>
        </is>
      </c>
      <c r="C634" s="55" t="n">
        <v>20</v>
      </c>
      <c r="D634" s="42" t="n">
        <v>7</v>
      </c>
      <c r="E634" s="56" t="n">
        <v>0</v>
      </c>
      <c r="F634" s="42" t="n">
        <v>1</v>
      </c>
      <c r="G634" s="42" t="n">
        <v>7</v>
      </c>
      <c r="H634" s="42" t="n"/>
    </row>
    <row r="635" ht="15" customHeight="1" s="37">
      <c r="A635" s="42" t="inlineStr">
        <is>
          <t>signature opal</t>
        </is>
      </c>
      <c r="B635" s="42" t="inlineStr">
        <is>
          <t>Navigational</t>
        </is>
      </c>
      <c r="C635" s="55" t="n">
        <v>20</v>
      </c>
      <c r="D635" s="42" t="n">
        <v>28</v>
      </c>
      <c r="E635" s="56" t="n">
        <v>0</v>
      </c>
      <c r="F635" s="42" t="n">
        <v>0.71</v>
      </c>
      <c r="G635" s="42" t="n">
        <v>7</v>
      </c>
      <c r="H635" s="42" t="n"/>
    </row>
    <row r="636" ht="15" customHeight="1" s="37">
      <c r="A636" s="42" t="inlineStr">
        <is>
          <t>signature rose</t>
        </is>
      </c>
      <c r="B636" s="42" t="inlineStr">
        <is>
          <t>Informational Commercial</t>
        </is>
      </c>
      <c r="C636" s="55" t="n">
        <v>20</v>
      </c>
      <c r="D636" s="42" t="n">
        <v>6</v>
      </c>
      <c r="E636" s="56" t="n">
        <v>0</v>
      </c>
      <c r="F636" s="42" t="n">
        <v>0.43</v>
      </c>
      <c r="G636" s="42" t="n">
        <v>7</v>
      </c>
      <c r="H636" s="42" t="n"/>
    </row>
    <row r="637" ht="15" customHeight="1" s="37">
      <c r="A637" s="42" t="inlineStr">
        <is>
          <t>signature santal</t>
        </is>
      </c>
      <c r="B637" s="42" t="inlineStr">
        <is>
          <t>Informational</t>
        </is>
      </c>
      <c r="C637" s="55" t="n">
        <v>20</v>
      </c>
      <c r="D637" s="42" t="n">
        <v>16</v>
      </c>
      <c r="E637" s="56" t="n">
        <v>0</v>
      </c>
      <c r="F637" s="42" t="n">
        <v>1</v>
      </c>
      <c r="G637" s="42" t="n">
        <v>7</v>
      </c>
      <c r="H637" s="42" t="n"/>
    </row>
    <row r="638" ht="15" customHeight="1" s="37">
      <c r="A638" s="42" t="inlineStr">
        <is>
          <t>the woods collection azure</t>
        </is>
      </c>
      <c r="B638" s="42" t="inlineStr">
        <is>
          <t>Informational</t>
        </is>
      </c>
      <c r="C638" s="55" t="n">
        <v>20</v>
      </c>
      <c r="D638" s="42" t="n">
        <v>16</v>
      </c>
      <c r="E638" s="56" t="n">
        <v>0</v>
      </c>
      <c r="F638" s="42" t="n">
        <v>0</v>
      </c>
      <c r="G638" s="42" t="n">
        <v>7</v>
      </c>
      <c r="H638" s="42" t="n"/>
    </row>
    <row r="639" ht="15" customHeight="1" s="37">
      <c r="A639" s="42" t="inlineStr">
        <is>
          <t>the woods collection eden</t>
        </is>
      </c>
      <c r="B639" s="42" t="inlineStr">
        <is>
          <t>Navigational</t>
        </is>
      </c>
      <c r="C639" s="55" t="n">
        <v>20</v>
      </c>
      <c r="D639" s="42" t="n">
        <v>9</v>
      </c>
      <c r="E639" s="56" t="n">
        <v>0</v>
      </c>
      <c r="F639" s="42" t="n">
        <v>0.33</v>
      </c>
      <c r="G639" s="42" t="n">
        <v>7</v>
      </c>
      <c r="H639" s="42" t="n"/>
    </row>
    <row r="640" ht="15" customHeight="1" s="37">
      <c r="A640" s="42" t="inlineStr">
        <is>
          <t>the woods collection green walk</t>
        </is>
      </c>
      <c r="B640" s="42" t="inlineStr">
        <is>
          <t>Informational</t>
        </is>
      </c>
      <c r="C640" s="55" t="n">
        <v>20</v>
      </c>
      <c r="D640" s="42" t="n">
        <v>19</v>
      </c>
      <c r="E640" s="56" t="n">
        <v>0</v>
      </c>
      <c r="F640" s="42" t="n">
        <v>1</v>
      </c>
      <c r="G640" s="42" t="n">
        <v>7</v>
      </c>
      <c r="H640" s="42" t="n"/>
    </row>
    <row r="641" ht="15" customHeight="1" s="37">
      <c r="A641" s="42" t="inlineStr">
        <is>
          <t>the woods collection perfume</t>
        </is>
      </c>
      <c r="B641" s="42" t="inlineStr">
        <is>
          <t>Informational</t>
        </is>
      </c>
      <c r="C641" s="55" t="n">
        <v>20</v>
      </c>
      <c r="D641" s="42" t="n">
        <v>16</v>
      </c>
      <c r="E641" s="56" t="n">
        <v>0</v>
      </c>
      <c r="F641" s="42" t="n">
        <v>1</v>
      </c>
      <c r="G641" s="42" t="n">
        <v>2</v>
      </c>
      <c r="H641" s="42" t="n"/>
    </row>
    <row r="642" ht="15" customHeight="1" s="37">
      <c r="A642" s="42" t="inlineStr">
        <is>
          <t>the woods collection pure shine</t>
        </is>
      </c>
      <c r="B642" s="42" t="inlineStr">
        <is>
          <t>Informational</t>
        </is>
      </c>
      <c r="C642" s="55" t="n">
        <v>20</v>
      </c>
      <c r="D642" s="42" t="n">
        <v>8</v>
      </c>
      <c r="E642" s="56" t="n">
        <v>0</v>
      </c>
      <c r="F642" s="42" t="n">
        <v>0</v>
      </c>
      <c r="G642" s="42" t="n">
        <v>7</v>
      </c>
      <c r="H642" s="42" t="n"/>
    </row>
    <row r="643" ht="15" customHeight="1" s="37">
      <c r="A643" s="42" t="inlineStr">
        <is>
          <t>the woods collection secret source</t>
        </is>
      </c>
      <c r="B643" s="42" t="inlineStr">
        <is>
          <t>Informational</t>
        </is>
      </c>
      <c r="C643" s="55" t="n">
        <v>20</v>
      </c>
      <c r="D643" s="42" t="n">
        <v>13</v>
      </c>
      <c r="E643" s="56" t="n">
        <v>0</v>
      </c>
      <c r="F643" s="42" t="n">
        <v>1</v>
      </c>
      <c r="G643" s="42" t="n">
        <v>7</v>
      </c>
      <c r="H643" s="42" t="n"/>
    </row>
    <row r="644" ht="15" customHeight="1" s="37">
      <c r="A644" s="42" t="inlineStr">
        <is>
          <t>the woods collection sunrise</t>
        </is>
      </c>
      <c r="B644" s="42" t="inlineStr">
        <is>
          <t>Informational</t>
        </is>
      </c>
      <c r="C644" s="55" t="n">
        <v>20</v>
      </c>
      <c r="D644" s="42" t="n">
        <v>6</v>
      </c>
      <c r="E644" s="56" t="n">
        <v>0</v>
      </c>
      <c r="F644" s="42" t="n">
        <v>1</v>
      </c>
      <c r="G644" s="42" t="n">
        <v>7</v>
      </c>
      <c r="H644" s="42" t="n"/>
    </row>
    <row r="645" ht="15" customHeight="1" s="37">
      <c r="A645" s="42" t="inlineStr">
        <is>
          <t>the woods collection twilight</t>
        </is>
      </c>
      <c r="B645" s="42" t="inlineStr">
        <is>
          <t>Informational</t>
        </is>
      </c>
      <c r="C645" s="55" t="n">
        <v>20</v>
      </c>
      <c r="D645" s="42" t="n">
        <v>7</v>
      </c>
      <c r="E645" s="56" t="n">
        <v>0</v>
      </c>
      <c r="F645" s="42" t="n">
        <v>0</v>
      </c>
      <c r="G645" s="42" t="n">
        <v>7</v>
      </c>
      <c r="H645" s="42" t="n"/>
    </row>
    <row r="646" ht="15" customHeight="1" s="37">
      <c r="A646" s="42" t="inlineStr">
        <is>
          <t>the woods collection wild roses</t>
        </is>
      </c>
      <c r="B646" s="42" t="inlineStr">
        <is>
          <t>Navigational</t>
        </is>
      </c>
      <c r="C646" s="55" t="n">
        <v>20</v>
      </c>
      <c r="D646" s="42" t="n">
        <v>18</v>
      </c>
      <c r="E646" s="56" t="n">
        <v>0</v>
      </c>
      <c r="F646" s="42" t="n">
        <v>1</v>
      </c>
      <c r="G646" s="42" t="n">
        <v>7</v>
      </c>
      <c r="H646" s="42" t="n"/>
    </row>
    <row r="647" ht="15" customHeight="1" s="37">
      <c r="A647" s="42" t="inlineStr">
        <is>
          <t>tiziana terenzi akragas</t>
        </is>
      </c>
      <c r="B647" s="42" t="inlineStr">
        <is>
          <t>Informational</t>
        </is>
      </c>
      <c r="C647" s="55" t="n">
        <v>20</v>
      </c>
      <c r="D647" s="42" t="n">
        <v>12</v>
      </c>
      <c r="E647" s="56" t="n">
        <v>0</v>
      </c>
      <c r="F647" s="42" t="n">
        <v>1</v>
      </c>
      <c r="G647" s="42" t="n">
        <v>7</v>
      </c>
      <c r="H647" s="42" t="n"/>
    </row>
    <row r="648" ht="15" customHeight="1" s="37">
      <c r="A648" s="42" t="inlineStr">
        <is>
          <t>tiziana terenzi andromeda extrait de parfum</t>
        </is>
      </c>
      <c r="B648" s="42" t="inlineStr">
        <is>
          <t>Informational</t>
        </is>
      </c>
      <c r="C648" s="55" t="n">
        <v>20</v>
      </c>
      <c r="D648" s="42" t="n">
        <v>13</v>
      </c>
      <c r="E648" s="56" t="n">
        <v>0</v>
      </c>
      <c r="F648" s="42" t="n">
        <v>1</v>
      </c>
      <c r="G648" s="42" t="inlineStr">
        <is>
          <t>T2-2</t>
        </is>
      </c>
      <c r="H648" s="42" t="n"/>
    </row>
    <row r="649" ht="15" customHeight="1" s="37">
      <c r="A649" s="42" t="inlineStr">
        <is>
          <t>tiziana terenzi caput mundi</t>
        </is>
      </c>
      <c r="B649" s="42" t="inlineStr">
        <is>
          <t>Informational</t>
        </is>
      </c>
      <c r="C649" s="55" t="n">
        <v>20</v>
      </c>
      <c r="D649" s="42" t="n">
        <v>18</v>
      </c>
      <c r="E649" s="56" t="n">
        <v>0</v>
      </c>
      <c r="F649" s="42" t="n">
        <v>1</v>
      </c>
      <c r="G649" s="42" t="n">
        <v>7</v>
      </c>
      <c r="H649" s="42" t="n"/>
    </row>
    <row r="650" ht="15" customHeight="1" s="37">
      <c r="A650" s="42" t="inlineStr">
        <is>
          <t>tiziana terenzi draconis</t>
        </is>
      </c>
      <c r="B650" s="42" t="inlineStr">
        <is>
          <t>Commercial</t>
        </is>
      </c>
      <c r="C650" s="55" t="n">
        <v>20</v>
      </c>
      <c r="D650" s="42" t="n">
        <v>9</v>
      </c>
      <c r="E650" s="56" t="n">
        <v>0</v>
      </c>
      <c r="F650" s="42" t="n">
        <v>0.8</v>
      </c>
      <c r="G650" s="42" t="n">
        <v>7</v>
      </c>
      <c r="H650" s="42" t="n"/>
    </row>
    <row r="651" ht="15" customHeight="1" s="37">
      <c r="A651" s="42" t="inlineStr">
        <is>
          <t>tiziana terenzi dubhe assoluto</t>
        </is>
      </c>
      <c r="B651" s="42" t="inlineStr">
        <is>
          <t>Informational</t>
        </is>
      </c>
      <c r="C651" s="55" t="n">
        <v>20</v>
      </c>
      <c r="D651" s="42" t="n">
        <v>9</v>
      </c>
      <c r="E651" s="56" t="n">
        <v>0</v>
      </c>
      <c r="F651" s="42" t="n">
        <v>1</v>
      </c>
      <c r="G651" s="42" t="n">
        <v>7</v>
      </c>
      <c r="H651" s="42" t="n"/>
    </row>
    <row r="652" ht="15" customHeight="1" s="37">
      <c r="A652" s="42" t="inlineStr">
        <is>
          <t>tiziana terenzi gold rose oudh extrait de parfum</t>
        </is>
      </c>
      <c r="B652" s="42" t="inlineStr">
        <is>
          <t>Informational Transactional</t>
        </is>
      </c>
      <c r="C652" s="55" t="n">
        <v>20</v>
      </c>
      <c r="D652" s="42" t="n">
        <v>13</v>
      </c>
      <c r="E652" s="56" t="n">
        <v>0</v>
      </c>
      <c r="F652" s="42" t="n">
        <v>1</v>
      </c>
      <c r="G652" s="42" t="inlineStr">
        <is>
          <t>T2-2</t>
        </is>
      </c>
      <c r="H652" s="42" t="n"/>
    </row>
    <row r="653" ht="15" customHeight="1" s="37">
      <c r="A653" s="42" t="inlineStr">
        <is>
          <t>tiziana terenzi gumin</t>
        </is>
      </c>
      <c r="B653" s="42" t="inlineStr">
        <is>
          <t>Transactional Navigational</t>
        </is>
      </c>
      <c r="C653" s="55" t="n">
        <v>20</v>
      </c>
      <c r="D653" s="42" t="n">
        <v>12</v>
      </c>
      <c r="E653" s="56" t="n">
        <v>0</v>
      </c>
      <c r="F653" s="42" t="n">
        <v>0.95</v>
      </c>
      <c r="G653" s="42" t="n">
        <v>8</v>
      </c>
      <c r="H653" s="42" t="n"/>
    </row>
    <row r="654" ht="15" customHeight="1" s="37">
      <c r="A654" s="42" t="inlineStr">
        <is>
          <t>tiziana terenzi kaff</t>
        </is>
      </c>
      <c r="B654" s="42" t="inlineStr">
        <is>
          <t>Informational</t>
        </is>
      </c>
      <c r="C654" s="55" t="n">
        <v>20</v>
      </c>
      <c r="D654" s="42" t="n">
        <v>10</v>
      </c>
      <c r="E654" s="56" t="n">
        <v>0</v>
      </c>
      <c r="F654" s="42" t="n">
        <v>0.6</v>
      </c>
      <c r="G654" s="42" t="n">
        <v>8</v>
      </c>
      <c r="H654" s="42" t="n"/>
    </row>
    <row r="655" ht="15" customHeight="1" s="37">
      <c r="A655" s="42" t="inlineStr">
        <is>
          <t>tiziana terenzi kirke dupe</t>
        </is>
      </c>
      <c r="B655" s="42" t="inlineStr">
        <is>
          <t>Informational</t>
        </is>
      </c>
      <c r="C655" s="55" t="n">
        <v>20</v>
      </c>
      <c r="D655" s="42" t="n">
        <v>4</v>
      </c>
      <c r="E655" s="56" t="n">
        <v>0.8100000000000001</v>
      </c>
      <c r="F655" s="42" t="n">
        <v>1</v>
      </c>
      <c r="G655" s="42" t="inlineStr">
        <is>
          <t>T3-1</t>
        </is>
      </c>
      <c r="H655" s="42" t="n"/>
    </row>
    <row r="656" ht="15" customHeight="1" s="37">
      <c r="A656" s="42" t="inlineStr">
        <is>
          <t>tiziana terenzi kirke extrait de parfum</t>
        </is>
      </c>
      <c r="B656" s="42" t="inlineStr">
        <is>
          <t>Navigational</t>
        </is>
      </c>
      <c r="C656" s="55" t="n">
        <v>20</v>
      </c>
      <c r="D656" s="42" t="n">
        <v>16</v>
      </c>
      <c r="E656" s="56" t="n">
        <v>0.66</v>
      </c>
      <c r="F656" s="42" t="n">
        <v>1</v>
      </c>
      <c r="G656" s="42" t="inlineStr">
        <is>
          <t>T2-1</t>
        </is>
      </c>
      <c r="H656" s="42" t="n"/>
    </row>
    <row r="657" ht="15" customHeight="1" s="37">
      <c r="A657" s="42" t="inlineStr">
        <is>
          <t>tiziana terenzi kirke uk</t>
        </is>
      </c>
      <c r="B657" s="42" t="inlineStr">
        <is>
          <t>Informational</t>
        </is>
      </c>
      <c r="C657" s="55" t="n">
        <v>20</v>
      </c>
      <c r="D657" s="42" t="n">
        <v>11</v>
      </c>
      <c r="E657" s="56" t="n">
        <v>0</v>
      </c>
      <c r="F657" s="42" t="n">
        <v>1</v>
      </c>
      <c r="G657" s="42" t="inlineStr">
        <is>
          <t>T2-1</t>
        </is>
      </c>
      <c r="H657" s="42" t="n"/>
    </row>
    <row r="658" ht="15" customHeight="1" s="37">
      <c r="A658" s="42" t="inlineStr">
        <is>
          <t>tiziana terenzi leo</t>
        </is>
      </c>
      <c r="B658" s="42" t="inlineStr">
        <is>
          <t>Informational</t>
        </is>
      </c>
      <c r="C658" s="55" t="n">
        <v>20</v>
      </c>
      <c r="D658" s="42" t="n">
        <v>12</v>
      </c>
      <c r="E658" s="56" t="n">
        <v>0</v>
      </c>
      <c r="F658" s="42" t="n">
        <v>0.99</v>
      </c>
      <c r="G658" s="42" t="n">
        <v>8</v>
      </c>
      <c r="H658" s="42" t="n"/>
    </row>
    <row r="659" ht="15" customHeight="1" s="37">
      <c r="A659" s="42" t="inlineStr">
        <is>
          <t>tiziana terenzi moro di venezia</t>
        </is>
      </c>
      <c r="B659" s="42" t="inlineStr">
        <is>
          <t>Informational</t>
        </is>
      </c>
      <c r="C659" s="55" t="n">
        <v>20</v>
      </c>
      <c r="D659" s="42" t="n">
        <v>7</v>
      </c>
      <c r="E659" s="56" t="n">
        <v>0</v>
      </c>
      <c r="F659" s="42" t="n">
        <v>1</v>
      </c>
      <c r="G659" s="42" t="n">
        <v>8</v>
      </c>
      <c r="H659" s="42" t="n"/>
    </row>
    <row r="660" ht="15" customHeight="1" s="37">
      <c r="A660" s="42" t="inlineStr">
        <is>
          <t>tiziana terenzi porpora</t>
        </is>
      </c>
      <c r="B660" s="42" t="inlineStr">
        <is>
          <t>Commercial</t>
        </is>
      </c>
      <c r="C660" s="55" t="n">
        <v>20</v>
      </c>
      <c r="D660" s="42" t="n">
        <v>19</v>
      </c>
      <c r="E660" s="56" t="n">
        <v>0</v>
      </c>
      <c r="F660" s="42" t="n">
        <v>1</v>
      </c>
      <c r="G660" s="42" t="n">
        <v>8</v>
      </c>
      <c r="H660" s="42" t="n"/>
    </row>
    <row r="661" ht="15" customHeight="1" s="37">
      <c r="A661" s="42" t="inlineStr">
        <is>
          <t>tiziana terenzi saiph</t>
        </is>
      </c>
      <c r="B661" s="42" t="inlineStr">
        <is>
          <t>Informational</t>
        </is>
      </c>
      <c r="C661" s="55" t="n">
        <v>20</v>
      </c>
      <c r="D661" s="42" t="n">
        <v>5</v>
      </c>
      <c r="E661" s="56" t="n">
        <v>0</v>
      </c>
      <c r="F661" s="42" t="n">
        <v>1</v>
      </c>
      <c r="G661" s="42" t="n">
        <v>8</v>
      </c>
      <c r="H661" s="42" t="n"/>
    </row>
    <row r="662" ht="15" customHeight="1" s="37">
      <c r="A662" s="42" t="inlineStr">
        <is>
          <t>tiziana terenzi white fire</t>
        </is>
      </c>
      <c r="B662" s="42" t="inlineStr">
        <is>
          <t>Informational Transactional</t>
        </is>
      </c>
      <c r="C662" s="55" t="n">
        <v>20</v>
      </c>
      <c r="D662" s="42" t="n">
        <v>16</v>
      </c>
      <c r="E662" s="56" t="n">
        <v>0</v>
      </c>
      <c r="F662" s="42" t="n">
        <v>0.97</v>
      </c>
      <c r="G662" s="42" t="n">
        <v>8</v>
      </c>
      <c r="H662" s="42" t="n"/>
    </row>
    <row r="663" ht="15" customHeight="1" s="37">
      <c r="A663" s="42" t="inlineStr">
        <is>
          <t>tom ford ebene fume uk</t>
        </is>
      </c>
      <c r="B663" s="42" t="inlineStr">
        <is>
          <t>Informational</t>
        </is>
      </c>
      <c r="C663" s="55" t="n">
        <v>20</v>
      </c>
      <c r="D663" s="42" t="n">
        <v>18</v>
      </c>
      <c r="E663" s="56" t="n">
        <v>0</v>
      </c>
      <c r="F663" s="42" t="n">
        <v>1</v>
      </c>
      <c r="G663" s="42" t="inlineStr">
        <is>
          <t>T2-1</t>
        </is>
      </c>
      <c r="H663" s="42" t="n"/>
    </row>
    <row r="664" ht="15" customHeight="1" s="37">
      <c r="A664" s="42" t="inlineStr">
        <is>
          <t>tom ford neroli portofino price</t>
        </is>
      </c>
      <c r="B664" s="42" t="inlineStr">
        <is>
          <t>Transactional</t>
        </is>
      </c>
      <c r="C664" s="55" t="n">
        <v>20</v>
      </c>
      <c r="D664" s="42" t="n">
        <v>18</v>
      </c>
      <c r="E664" s="56" t="n">
        <v>0</v>
      </c>
      <c r="F664" s="42" t="n">
        <v>1</v>
      </c>
      <c r="G664" s="42" t="inlineStr">
        <is>
          <t>T3-1</t>
        </is>
      </c>
      <c r="H664" s="42" t="n"/>
    </row>
    <row r="665" ht="15" customHeight="1" s="37">
      <c r="A665" s="42" t="inlineStr">
        <is>
          <t>tom ford neroli portofino uk</t>
        </is>
      </c>
      <c r="B665" s="42" t="inlineStr">
        <is>
          <t>Informational</t>
        </is>
      </c>
      <c r="C665" s="55" t="n">
        <v>20</v>
      </c>
      <c r="D665" s="42" t="n">
        <v>12</v>
      </c>
      <c r="E665" s="56" t="n">
        <v>0.78</v>
      </c>
      <c r="F665" s="42" t="n">
        <v>1</v>
      </c>
      <c r="G665" s="42" t="inlineStr">
        <is>
          <t>T2-1</t>
        </is>
      </c>
      <c r="H665" s="42" t="n"/>
    </row>
    <row r="666" ht="15" customHeight="1" s="37">
      <c r="A666" s="42" t="inlineStr">
        <is>
          <t>tom ford noir extreme price</t>
        </is>
      </c>
      <c r="B666" s="42" t="inlineStr">
        <is>
          <t>Transactional</t>
        </is>
      </c>
      <c r="C666" s="55" t="n">
        <v>20</v>
      </c>
      <c r="D666" s="42" t="n">
        <v>13</v>
      </c>
      <c r="E666" s="56" t="n">
        <v>0.26</v>
      </c>
      <c r="F666" s="42" t="n">
        <v>0.95</v>
      </c>
      <c r="G666" s="42" t="inlineStr">
        <is>
          <t>T3-1</t>
        </is>
      </c>
      <c r="H666" s="42" t="n"/>
    </row>
    <row r="667" ht="15" customHeight="1" s="37">
      <c r="A667" s="42" t="inlineStr">
        <is>
          <t>tom ford noir extreme uk</t>
        </is>
      </c>
      <c r="B667" s="42" t="inlineStr">
        <is>
          <t>Informational</t>
        </is>
      </c>
      <c r="C667" s="55" t="n">
        <v>20</v>
      </c>
      <c r="D667" s="42" t="n">
        <v>12</v>
      </c>
      <c r="E667" s="56" t="n">
        <v>0.59</v>
      </c>
      <c r="F667" s="42" t="n">
        <v>1</v>
      </c>
      <c r="G667" s="42" t="inlineStr">
        <is>
          <t>T2-1</t>
        </is>
      </c>
      <c r="H667" s="42" t="n"/>
    </row>
    <row r="668" ht="15" customHeight="1" s="37">
      <c r="A668" s="42" t="inlineStr">
        <is>
          <t>trussardi delicate rose</t>
        </is>
      </c>
      <c r="B668" s="42" t="inlineStr">
        <is>
          <t>Informational</t>
        </is>
      </c>
      <c r="C668" s="55" t="n">
        <v>20</v>
      </c>
      <c r="D668" s="42" t="n">
        <v>20</v>
      </c>
      <c r="E668" s="56" t="n">
        <v>0</v>
      </c>
      <c r="F668" s="42" t="n">
        <v>1</v>
      </c>
      <c r="G668" s="42" t="n">
        <v>8</v>
      </c>
      <c r="H668" s="42" t="n"/>
    </row>
    <row r="669" ht="15" customHeight="1" s="37">
      <c r="A669" s="42" t="inlineStr">
        <is>
          <t>trussardi pure jasmine</t>
        </is>
      </c>
      <c r="B669" s="42" t="inlineStr">
        <is>
          <t>Informational</t>
        </is>
      </c>
      <c r="C669" s="55" t="n">
        <v>20</v>
      </c>
      <c r="D669" s="42" t="n">
        <v>16</v>
      </c>
      <c r="E669" s="56" t="n">
        <v>0</v>
      </c>
      <c r="F669" s="42" t="n">
        <v>1</v>
      </c>
      <c r="G669" s="42" t="n">
        <v>8</v>
      </c>
      <c r="H669" s="42" t="n"/>
    </row>
    <row r="670" ht="15" customHeight="1" s="37">
      <c r="A670" s="42" t="inlineStr">
        <is>
          <t>vilvah aloe vera gel</t>
        </is>
      </c>
      <c r="B670" s="42" t="inlineStr">
        <is>
          <t>Informational Transactional</t>
        </is>
      </c>
      <c r="C670" s="55" t="n">
        <v>20</v>
      </c>
      <c r="D670" s="42" t="n">
        <v>22</v>
      </c>
      <c r="E670" s="56" t="n">
        <v>0</v>
      </c>
      <c r="F670" s="42" t="n">
        <v>1</v>
      </c>
      <c r="G670" s="42" t="n">
        <v>8</v>
      </c>
      <c r="H670" s="42" t="n"/>
    </row>
    <row r="671" ht="15" customHeight="1" s="37">
      <c r="A671" s="42" t="inlineStr">
        <is>
          <t>vilvah better ageing serum</t>
        </is>
      </c>
      <c r="B671" s="42" t="inlineStr">
        <is>
          <t>Informational</t>
        </is>
      </c>
      <c r="C671" s="55" t="n">
        <v>20</v>
      </c>
      <c r="D671" s="42" t="n">
        <v>14</v>
      </c>
      <c r="E671" s="56" t="n">
        <v>0</v>
      </c>
      <c r="F671" s="42" t="n">
        <v>1</v>
      </c>
      <c r="G671" s="42" t="n">
        <v>8</v>
      </c>
      <c r="H671" s="42" t="n"/>
    </row>
    <row r="672" ht="15" customHeight="1" s="37">
      <c r="A672" s="42" t="inlineStr">
        <is>
          <t>vilvah conditioner</t>
        </is>
      </c>
      <c r="B672" s="42" t="inlineStr">
        <is>
          <t>Informational Transactional</t>
        </is>
      </c>
      <c r="C672" s="55" t="n">
        <v>20</v>
      </c>
      <c r="D672" s="42" t="n">
        <v>10</v>
      </c>
      <c r="E672" s="56" t="n">
        <v>0</v>
      </c>
      <c r="F672" s="42" t="n">
        <v>1</v>
      </c>
      <c r="G672" s="42" t="n">
        <v>3</v>
      </c>
      <c r="H672" s="42" t="n"/>
    </row>
    <row r="673" ht="15" customHeight="1" s="37">
      <c r="A673" s="42" t="inlineStr">
        <is>
          <t>vilvah face mask</t>
        </is>
      </c>
      <c r="B673" s="42" t="inlineStr">
        <is>
          <t>Informational Transactional</t>
        </is>
      </c>
      <c r="C673" s="55" t="n">
        <v>20</v>
      </c>
      <c r="D673" s="42" t="n">
        <v>8</v>
      </c>
      <c r="E673" s="56" t="n">
        <v>0</v>
      </c>
      <c r="F673" s="42" t="n">
        <v>0.9</v>
      </c>
      <c r="G673" s="42" t="n">
        <v>3</v>
      </c>
      <c r="H673" s="42" t="n"/>
    </row>
    <row r="674" ht="15" customHeight="1" s="37">
      <c r="A674" s="42" t="inlineStr">
        <is>
          <t>vilvah goat milk shampoo</t>
        </is>
      </c>
      <c r="B674" s="42" t="inlineStr">
        <is>
          <t>Transactional Navigational</t>
        </is>
      </c>
      <c r="C674" s="55" t="n">
        <v>20</v>
      </c>
      <c r="D674" s="42" t="n">
        <v>9</v>
      </c>
      <c r="E674" s="56" t="n">
        <v>0.3</v>
      </c>
      <c r="F674" s="42" t="n">
        <v>0.98</v>
      </c>
      <c r="G674" s="42" t="n">
        <v>8</v>
      </c>
      <c r="H674" s="42" t="n"/>
    </row>
    <row r="675" ht="15" customHeight="1" s="37">
      <c r="A675" s="42" t="inlineStr">
        <is>
          <t>vilvah goat milk shampoo review</t>
        </is>
      </c>
      <c r="B675" s="42" t="inlineStr">
        <is>
          <t>Navigational Commercial</t>
        </is>
      </c>
      <c r="C675" s="55" t="n">
        <v>20</v>
      </c>
      <c r="D675" s="42" t="n">
        <v>25</v>
      </c>
      <c r="E675" s="56" t="n">
        <v>0</v>
      </c>
      <c r="F675" s="42" t="n">
        <v>0.33</v>
      </c>
      <c r="G675" s="42" t="inlineStr">
        <is>
          <t>T3-2</t>
        </is>
      </c>
      <c r="H675" s="42" t="n"/>
    </row>
    <row r="676" ht="15" customHeight="1" s="37">
      <c r="A676" s="42" t="inlineStr">
        <is>
          <t>vilvah hair growth oil</t>
        </is>
      </c>
      <c r="B676" s="42" t="inlineStr">
        <is>
          <t>Informational Transactional</t>
        </is>
      </c>
      <c r="C676" s="55" t="n">
        <v>20</v>
      </c>
      <c r="D676" s="42" t="n">
        <v>26</v>
      </c>
      <c r="E676" s="56" t="n">
        <v>0.55</v>
      </c>
      <c r="F676" s="42" t="n">
        <v>1</v>
      </c>
      <c r="G676" s="42" t="n">
        <v>8</v>
      </c>
      <c r="H676" s="42" t="n"/>
    </row>
    <row r="677" ht="15" customHeight="1" s="37">
      <c r="A677" s="42" t="inlineStr">
        <is>
          <t>vilvah hair growth oil review</t>
        </is>
      </c>
      <c r="B677" s="42" t="inlineStr">
        <is>
          <t>Commercial</t>
        </is>
      </c>
      <c r="C677" s="55" t="n">
        <v>20</v>
      </c>
      <c r="D677" s="42" t="n">
        <v>18</v>
      </c>
      <c r="E677" s="56" t="n">
        <v>0</v>
      </c>
      <c r="F677" s="42" t="n">
        <v>0.71</v>
      </c>
      <c r="G677" s="42" t="inlineStr">
        <is>
          <t>T3-2</t>
        </is>
      </c>
      <c r="H677" s="42" t="n"/>
    </row>
    <row r="678" ht="15" customHeight="1" s="37">
      <c r="A678" s="42" t="inlineStr">
        <is>
          <t>vilvah hair mask</t>
        </is>
      </c>
      <c r="B678" s="42" t="inlineStr">
        <is>
          <t>Informational Transactional</t>
        </is>
      </c>
      <c r="C678" s="55" t="n">
        <v>20</v>
      </c>
      <c r="D678" s="42" t="n">
        <v>8</v>
      </c>
      <c r="E678" s="56" t="n">
        <v>0</v>
      </c>
      <c r="F678" s="42" t="n">
        <v>1</v>
      </c>
      <c r="G678" s="42" t="n">
        <v>3</v>
      </c>
      <c r="H678" s="42" t="n"/>
    </row>
    <row r="679" ht="15" customHeight="1" s="37">
      <c r="A679" s="42" t="inlineStr">
        <is>
          <t>vilvah hair oil</t>
        </is>
      </c>
      <c r="B679" s="42" t="inlineStr">
        <is>
          <t>Informational Transactional</t>
        </is>
      </c>
      <c r="C679" s="55" t="n">
        <v>20</v>
      </c>
      <c r="D679" s="42" t="n">
        <v>25</v>
      </c>
      <c r="E679" s="56" t="n">
        <v>0</v>
      </c>
      <c r="F679" s="42" t="n">
        <v>1</v>
      </c>
      <c r="G679" s="42" t="n">
        <v>3</v>
      </c>
      <c r="H679" s="42" t="n"/>
    </row>
    <row r="680" ht="15" customHeight="1" s="37">
      <c r="A680" s="42" t="inlineStr">
        <is>
          <t>vilvah hair serum</t>
        </is>
      </c>
      <c r="B680" s="42" t="inlineStr">
        <is>
          <t>Informational Transactional</t>
        </is>
      </c>
      <c r="C680" s="55" t="n">
        <v>20</v>
      </c>
      <c r="D680" s="42" t="n">
        <v>15</v>
      </c>
      <c r="E680" s="56" t="n">
        <v>0</v>
      </c>
      <c r="F680" s="42" t="n">
        <v>0.99</v>
      </c>
      <c r="G680" s="42" t="n">
        <v>3</v>
      </c>
      <c r="H680" s="42" t="n"/>
    </row>
    <row r="681" ht="15" customHeight="1" s="37">
      <c r="A681" s="42" t="inlineStr">
        <is>
          <t>vilvah lip balm</t>
        </is>
      </c>
      <c r="B681" s="42" t="inlineStr">
        <is>
          <t>Informational Transactional</t>
        </is>
      </c>
      <c r="C681" s="55" t="n">
        <v>20</v>
      </c>
      <c r="D681" s="42" t="n">
        <v>10</v>
      </c>
      <c r="E681" s="56" t="n">
        <v>0.29</v>
      </c>
      <c r="F681" s="42" t="n">
        <v>0.96</v>
      </c>
      <c r="G681" s="42" t="n">
        <v>3</v>
      </c>
      <c r="H681" s="42" t="n"/>
    </row>
    <row r="682" ht="15" customHeight="1" s="37">
      <c r="A682" s="42" t="inlineStr">
        <is>
          <t>vilvah milk mud mask</t>
        </is>
      </c>
      <c r="B682" s="42" t="inlineStr">
        <is>
          <t>Informational Transactional</t>
        </is>
      </c>
      <c r="C682" s="55" t="n">
        <v>20</v>
      </c>
      <c r="D682" s="42" t="n">
        <v>10</v>
      </c>
      <c r="E682" s="56" t="n">
        <v>0</v>
      </c>
      <c r="F682" s="42" t="n">
        <v>1</v>
      </c>
      <c r="G682" s="42" t="n">
        <v>8</v>
      </c>
      <c r="H682" s="42" t="n"/>
    </row>
    <row r="683" ht="15" customHeight="1" s="37">
      <c r="A683" s="42" t="inlineStr">
        <is>
          <t>vilvah milk powder face wash</t>
        </is>
      </c>
      <c r="B683" s="42" t="inlineStr">
        <is>
          <t>Informational</t>
        </is>
      </c>
      <c r="C683" s="55" t="n">
        <v>20</v>
      </c>
      <c r="D683" s="42" t="n">
        <v>17</v>
      </c>
      <c r="E683" s="56" t="n">
        <v>0.34</v>
      </c>
      <c r="F683" s="42" t="n">
        <v>1</v>
      </c>
      <c r="G683" s="42" t="n">
        <v>8</v>
      </c>
      <c r="H683" s="42" t="n"/>
    </row>
    <row r="684" ht="15" customHeight="1" s="37">
      <c r="A684" s="42" t="inlineStr">
        <is>
          <t>vilvah official website</t>
        </is>
      </c>
      <c r="B684" s="42" t="inlineStr">
        <is>
          <t>Commercial</t>
        </is>
      </c>
      <c r="C684" s="55" t="n">
        <v>20</v>
      </c>
      <c r="D684" s="42" t="n">
        <v>33</v>
      </c>
      <c r="E684" s="56" t="n">
        <v>0</v>
      </c>
      <c r="F684" s="42" t="n">
        <v>1</v>
      </c>
      <c r="G684" s="42" t="n">
        <v>1</v>
      </c>
      <c r="H684" s="42" t="n"/>
    </row>
    <row r="685" ht="15" customHeight="1" s="37">
      <c r="A685" s="42" t="inlineStr">
        <is>
          <t>vilvah products</t>
        </is>
      </c>
      <c r="B685" s="42" t="inlineStr">
        <is>
          <t>Commercial</t>
        </is>
      </c>
      <c r="C685" s="55" t="n">
        <v>20</v>
      </c>
      <c r="D685" s="42" t="n">
        <v>26</v>
      </c>
      <c r="E685" s="56" t="n">
        <v>0.36</v>
      </c>
      <c r="F685" s="42" t="n">
        <v>1</v>
      </c>
      <c r="G685" s="42" t="n">
        <v>1</v>
      </c>
      <c r="H685" s="42" t="n"/>
    </row>
    <row r="686" ht="15" customHeight="1" s="37">
      <c r="A686" s="42" t="inlineStr">
        <is>
          <t>vilvah shampoo</t>
        </is>
      </c>
      <c r="B686" s="42" t="inlineStr">
        <is>
          <t>Informational Transactional</t>
        </is>
      </c>
      <c r="C686" s="55" t="n">
        <v>20</v>
      </c>
      <c r="D686" s="42" t="n">
        <v>13</v>
      </c>
      <c r="E686" s="56" t="n">
        <v>0.47</v>
      </c>
      <c r="F686" s="42" t="n">
        <v>1</v>
      </c>
      <c r="G686" s="42" t="n">
        <v>3</v>
      </c>
      <c r="H686" s="42" t="n"/>
    </row>
    <row r="687" ht="15" customHeight="1" s="37">
      <c r="A687" s="42" t="inlineStr">
        <is>
          <t>vilvah sunscreen</t>
        </is>
      </c>
      <c r="B687" s="42" t="inlineStr">
        <is>
          <t>Informational Transactional</t>
        </is>
      </c>
      <c r="C687" s="55" t="n">
        <v>20</v>
      </c>
      <c r="D687" s="42" t="n">
        <v>18</v>
      </c>
      <c r="E687" s="56" t="n">
        <v>0</v>
      </c>
      <c r="F687" s="42" t="n">
        <v>1</v>
      </c>
      <c r="G687" s="42" t="n">
        <v>3</v>
      </c>
      <c r="H687" s="42" t="n"/>
    </row>
    <row r="688" ht="15" customHeight="1" s="37">
      <c r="A688" s="42" t="inlineStr">
        <is>
          <t>vilvah toner</t>
        </is>
      </c>
      <c r="B688" s="42" t="inlineStr">
        <is>
          <t>Informational Transactional</t>
        </is>
      </c>
      <c r="C688" s="55" t="n">
        <v>20</v>
      </c>
      <c r="D688" s="42" t="n">
        <v>16</v>
      </c>
      <c r="E688" s="56" t="n">
        <v>0</v>
      </c>
      <c r="F688" s="42" t="n">
        <v>1</v>
      </c>
      <c r="G688" s="42" t="n">
        <v>3</v>
      </c>
      <c r="H688" s="42" t="n"/>
    </row>
    <row r="689" ht="15" customHeight="1" s="37">
      <c r="A689" s="42" t="inlineStr">
        <is>
          <t>vilvah under eye cream</t>
        </is>
      </c>
      <c r="B689" s="42" t="inlineStr">
        <is>
          <t>Informational Navigational</t>
        </is>
      </c>
      <c r="C689" s="55" t="n">
        <v>20</v>
      </c>
      <c r="D689" s="42" t="n">
        <v>26</v>
      </c>
      <c r="E689" s="56" t="n">
        <v>0.42</v>
      </c>
      <c r="F689" s="42" t="n">
        <v>1</v>
      </c>
      <c r="G689" s="42" t="n">
        <v>3</v>
      </c>
      <c r="H689" s="42" t="n"/>
    </row>
    <row r="690" ht="15" customHeight="1" s="37">
      <c r="A690" s="42" t="inlineStr">
        <is>
          <t>acqua di parma colonia pura uk</t>
        </is>
      </c>
      <c r="B690" s="42" t="inlineStr">
        <is>
          <t>Informational</t>
        </is>
      </c>
      <c r="C690" s="55" t="n">
        <v>10</v>
      </c>
      <c r="D690" s="42" t="n">
        <v>8</v>
      </c>
      <c r="E690" s="56" t="n">
        <v>0</v>
      </c>
      <c r="F690" s="42" t="n">
        <v>0.33</v>
      </c>
      <c r="G690" s="42" t="n">
        <v>9</v>
      </c>
      <c r="H690" s="42" t="n"/>
    </row>
    <row r="691" ht="15" customHeight="1" s="37">
      <c r="A691" s="42" t="inlineStr">
        <is>
          <t>acqua di parma holiday discovery set</t>
        </is>
      </c>
      <c r="B691" s="42" t="inlineStr">
        <is>
          <t>Informational Transactional</t>
        </is>
      </c>
      <c r="C691" s="55" t="n">
        <v>10</v>
      </c>
      <c r="D691" s="42" t="n">
        <v>9</v>
      </c>
      <c r="E691" s="56" t="n">
        <v>0</v>
      </c>
      <c r="F691" s="42" t="n">
        <v>1</v>
      </c>
      <c r="G691" s="42" t="n">
        <v>4</v>
      </c>
      <c r="H691" s="42" t="n"/>
    </row>
    <row r="692" ht="15" customHeight="1" s="37">
      <c r="A692" s="42" t="inlineStr">
        <is>
          <t>al haramain l'aventure blanche</t>
        </is>
      </c>
      <c r="B692" s="42" t="inlineStr">
        <is>
          <t>Informational Transactional</t>
        </is>
      </c>
      <c r="C692" s="55" t="n">
        <v>10</v>
      </c>
      <c r="D692" s="42" t="n">
        <v>7</v>
      </c>
      <c r="E692" s="56" t="n">
        <v>0</v>
      </c>
      <c r="F692" s="42" t="n">
        <v>1</v>
      </c>
      <c r="G692" s="42" t="n">
        <v>4</v>
      </c>
      <c r="H692" s="42" t="n"/>
    </row>
    <row r="693" ht="15" customHeight="1" s="37">
      <c r="A693" s="42" t="inlineStr">
        <is>
          <t>al haramain l'aventure eau de parfum</t>
        </is>
      </c>
      <c r="B693" s="42" t="inlineStr">
        <is>
          <t>Informational Transactional</t>
        </is>
      </c>
      <c r="C693" s="55" t="n">
        <v>10</v>
      </c>
      <c r="D693" s="42" t="n">
        <v>9</v>
      </c>
      <c r="E693" s="56" t="n">
        <v>0</v>
      </c>
      <c r="F693" s="42" t="n">
        <v>1</v>
      </c>
      <c r="G693" s="42" t="inlineStr">
        <is>
          <t>T2-1</t>
        </is>
      </c>
      <c r="H693" s="42" t="n"/>
    </row>
    <row r="694" ht="15" customHeight="1" s="37">
      <c r="A694" s="42" t="inlineStr">
        <is>
          <t>al haramain l'aventure intense eau de parfum</t>
        </is>
      </c>
      <c r="B694" s="42" t="inlineStr">
        <is>
          <t>Informational Transactional</t>
        </is>
      </c>
      <c r="C694" s="55" t="n">
        <v>10</v>
      </c>
      <c r="D694" s="42" t="n">
        <v>10</v>
      </c>
      <c r="E694" s="56" t="n">
        <v>0</v>
      </c>
      <c r="F694" s="42" t="n">
        <v>0.9</v>
      </c>
      <c r="G694" s="42" t="inlineStr">
        <is>
          <t>T2-2</t>
        </is>
      </c>
      <c r="H694" s="42" t="n"/>
    </row>
    <row r="695" ht="15" customHeight="1" s="37">
      <c r="A695" s="42" t="inlineStr">
        <is>
          <t>al haramain l'aventure intense uk</t>
        </is>
      </c>
      <c r="B695" s="42" t="inlineStr">
        <is>
          <t>Informational Transactional</t>
        </is>
      </c>
      <c r="C695" s="55" t="n">
        <v>10</v>
      </c>
      <c r="D695" s="42" t="n">
        <v>17</v>
      </c>
      <c r="E695" s="56" t="n">
        <v>0</v>
      </c>
      <c r="F695" s="42" t="n">
        <v>1</v>
      </c>
      <c r="G695" s="42" t="n">
        <v>9</v>
      </c>
      <c r="H695" s="42" t="n"/>
    </row>
    <row r="696" ht="15" customHeight="1" s="37">
      <c r="A696" s="42" t="inlineStr">
        <is>
          <t>al haramain l'aventure uk</t>
        </is>
      </c>
      <c r="B696" s="42" t="inlineStr">
        <is>
          <t>Transactional Navigational</t>
        </is>
      </c>
      <c r="C696" s="55" t="n">
        <v>10</v>
      </c>
      <c r="D696" s="42" t="n">
        <v>10</v>
      </c>
      <c r="E696" s="56" t="n">
        <v>0</v>
      </c>
      <c r="F696" s="42" t="n">
        <v>0</v>
      </c>
      <c r="G696" s="42" t="n">
        <v>9</v>
      </c>
      <c r="H696" s="42" t="n"/>
    </row>
    <row r="697" ht="15" customHeight="1" s="37">
      <c r="A697" s="42" t="inlineStr">
        <is>
          <t>ariana grande perfume for women</t>
        </is>
      </c>
      <c r="B697" s="42" t="inlineStr">
        <is>
          <t>Informational</t>
        </is>
      </c>
      <c r="C697" s="55" t="n">
        <v>10</v>
      </c>
      <c r="D697" s="42" t="n">
        <v>24</v>
      </c>
      <c r="E697" s="56" t="n">
        <v>0.27</v>
      </c>
      <c r="F697" s="42" t="n">
        <v>1</v>
      </c>
      <c r="G697" s="42" t="n">
        <v>1</v>
      </c>
      <c r="H697" s="42" t="n"/>
    </row>
    <row r="698" ht="15" customHeight="1" s="37">
      <c r="A698" s="42" t="inlineStr">
        <is>
          <t>buy dior sauvage online</t>
        </is>
      </c>
      <c r="B698" s="42" t="inlineStr">
        <is>
          <t>Transactional</t>
        </is>
      </c>
      <c r="C698" s="55" t="n">
        <v>10</v>
      </c>
      <c r="D698" s="42" t="n">
        <v>33</v>
      </c>
      <c r="E698" s="56" t="n">
        <v>0</v>
      </c>
      <c r="F698" s="42" t="n">
        <v>0</v>
      </c>
      <c r="G698" s="42" t="inlineStr">
        <is>
          <t>T3-1</t>
        </is>
      </c>
      <c r="H698" s="42" t="n"/>
    </row>
    <row r="699" ht="15" customHeight="1" s="37">
      <c r="A699" s="42" t="inlineStr">
        <is>
          <t>bvlgari omnia amethyste eau de toilette</t>
        </is>
      </c>
      <c r="B699" s="42" t="inlineStr">
        <is>
          <t>Informational Transactional</t>
        </is>
      </c>
      <c r="C699" s="55" t="n">
        <v>10</v>
      </c>
      <c r="D699" s="42" t="n">
        <v>13</v>
      </c>
      <c r="E699" s="56" t="n">
        <v>0</v>
      </c>
      <c r="F699" s="42" t="n">
        <v>1</v>
      </c>
      <c r="G699" s="42" t="inlineStr">
        <is>
          <t>T2-1</t>
        </is>
      </c>
      <c r="H699" s="42" t="n"/>
    </row>
    <row r="700" ht="15" customHeight="1" s="37">
      <c r="A700" s="42" t="inlineStr">
        <is>
          <t>calvin klein defy review</t>
        </is>
      </c>
      <c r="B700" s="42" t="inlineStr">
        <is>
          <t>Commercial</t>
        </is>
      </c>
      <c r="C700" s="55" t="n">
        <v>10</v>
      </c>
      <c r="D700" s="42" t="n">
        <v>16</v>
      </c>
      <c r="E700" s="56" t="n">
        <v>0</v>
      </c>
      <c r="F700" s="42" t="n">
        <v>0.74</v>
      </c>
      <c r="G700" s="42" t="inlineStr">
        <is>
          <t>T3-1</t>
        </is>
      </c>
      <c r="H700" s="42" t="n"/>
    </row>
    <row r="701" ht="15" customHeight="1" s="37">
      <c r="A701" s="42" t="inlineStr">
        <is>
          <t>carolina herrera very good girl glam parfum</t>
        </is>
      </c>
      <c r="B701" s="42" t="inlineStr">
        <is>
          <t>Informational Transactional</t>
        </is>
      </c>
      <c r="C701" s="55" t="n">
        <v>10</v>
      </c>
      <c r="D701" s="42" t="n">
        <v>14</v>
      </c>
      <c r="E701" s="56" t="n">
        <v>0</v>
      </c>
      <c r="F701" s="42" t="n">
        <v>0</v>
      </c>
      <c r="G701" s="42" t="inlineStr">
        <is>
          <t>T2-1</t>
        </is>
      </c>
      <c r="H701" s="42" t="n"/>
    </row>
    <row r="702" ht="15" customHeight="1" s="37">
      <c r="A702" s="42" t="inlineStr">
        <is>
          <t>chloe nomade nuit d'egypte eau de parfum</t>
        </is>
      </c>
      <c r="B702" s="42" t="inlineStr">
        <is>
          <t>Informational Transactional</t>
        </is>
      </c>
      <c r="C702" s="55" t="n">
        <v>10</v>
      </c>
      <c r="D702" s="42" t="n">
        <v>17</v>
      </c>
      <c r="E702" s="56" t="n">
        <v>0</v>
      </c>
      <c r="F702" s="42" t="n">
        <v>1</v>
      </c>
      <c r="G702" s="42" t="inlineStr">
        <is>
          <t>T2-1</t>
        </is>
      </c>
      <c r="H702" s="42" t="n"/>
    </row>
    <row r="703" ht="15" customHeight="1" s="37">
      <c r="A703" s="42" t="inlineStr">
        <is>
          <t>chloe rose naturelle intense eau de parfum</t>
        </is>
      </c>
      <c r="B703" s="42" t="inlineStr">
        <is>
          <t>Navigational</t>
        </is>
      </c>
      <c r="C703" s="55" t="n">
        <v>10</v>
      </c>
      <c r="D703" s="42" t="n">
        <v>15</v>
      </c>
      <c r="E703" s="56" t="n">
        <v>0.44</v>
      </c>
      <c r="F703" s="42" t="n">
        <v>1</v>
      </c>
      <c r="G703" s="42" t="inlineStr">
        <is>
          <t>T2-2</t>
        </is>
      </c>
      <c r="H703" s="42" t="n"/>
    </row>
    <row r="704" ht="15" customHeight="1" s="37">
      <c r="A704" s="42" t="inlineStr">
        <is>
          <t>chopard oud malaki dupe</t>
        </is>
      </c>
      <c r="B704" s="42" t="inlineStr">
        <is>
          <t>Informational Transactional</t>
        </is>
      </c>
      <c r="C704" s="55" t="n">
        <v>10</v>
      </c>
      <c r="D704" s="42" t="n">
        <v>18</v>
      </c>
      <c r="E704" s="56" t="n">
        <v>0</v>
      </c>
      <c r="F704" s="42" t="n">
        <v>1</v>
      </c>
      <c r="G704" s="42" t="inlineStr">
        <is>
          <t>T3-1</t>
        </is>
      </c>
      <c r="H704" s="42" t="n"/>
    </row>
    <row r="705" ht="15" customHeight="1" s="37">
      <c r="A705" s="42" t="inlineStr">
        <is>
          <t>davidoff champion uk</t>
        </is>
      </c>
      <c r="B705" s="42" t="inlineStr">
        <is>
          <t>Informational</t>
        </is>
      </c>
      <c r="C705" s="55" t="n">
        <v>10</v>
      </c>
      <c r="D705" s="42" t="n">
        <v>12</v>
      </c>
      <c r="E705" s="56" t="n">
        <v>0</v>
      </c>
      <c r="F705" s="42" t="n">
        <v>1</v>
      </c>
      <c r="G705" s="42" t="n">
        <v>9</v>
      </c>
      <c r="H705" s="42" t="n"/>
    </row>
    <row r="706" ht="15" customHeight="1" s="37">
      <c r="A706" s="42" t="inlineStr">
        <is>
          <t>davidoff indigo eau de toilette</t>
        </is>
      </c>
      <c r="B706" s="42" t="inlineStr">
        <is>
          <t>Informational Transactional</t>
        </is>
      </c>
      <c r="C706" s="55" t="n">
        <v>10</v>
      </c>
      <c r="D706" s="42" t="n">
        <v>9</v>
      </c>
      <c r="E706" s="56" t="n">
        <v>0</v>
      </c>
      <c r="F706" s="42" t="n">
        <v>1</v>
      </c>
      <c r="G706" s="42" t="inlineStr">
        <is>
          <t>T2-1</t>
        </is>
      </c>
      <c r="H706" s="42" t="n"/>
    </row>
    <row r="707" ht="15" customHeight="1" s="37">
      <c r="A707" s="42" t="inlineStr">
        <is>
          <t>deyga charcoal face wash</t>
        </is>
      </c>
      <c r="B707" s="42" t="inlineStr">
        <is>
          <t>Transactional Navigational</t>
        </is>
      </c>
      <c r="C707" s="55" t="n">
        <v>10</v>
      </c>
      <c r="D707" s="42" t="n">
        <v>8</v>
      </c>
      <c r="E707" s="56" t="n">
        <v>0</v>
      </c>
      <c r="F707" s="42" t="n">
        <v>0</v>
      </c>
      <c r="G707" s="42" t="n">
        <v>5</v>
      </c>
      <c r="H707" s="42" t="n"/>
    </row>
    <row r="708" ht="15" customHeight="1" s="37">
      <c r="A708" s="42" t="inlineStr">
        <is>
          <t>deyga charcoal soap</t>
        </is>
      </c>
      <c r="B708" s="42" t="inlineStr">
        <is>
          <t>Transactional Navigational</t>
        </is>
      </c>
      <c r="C708" s="55" t="n">
        <v>10</v>
      </c>
      <c r="D708" s="42" t="n">
        <v>15</v>
      </c>
      <c r="E708" s="56" t="n">
        <v>0</v>
      </c>
      <c r="F708" s="42" t="n">
        <v>0.33</v>
      </c>
      <c r="G708" s="42" t="n">
        <v>3</v>
      </c>
      <c r="H708" s="42" t="n"/>
    </row>
    <row r="709" ht="15" customHeight="1" s="37">
      <c r="A709" s="42" t="inlineStr">
        <is>
          <t>deyga oat milk face wash</t>
        </is>
      </c>
      <c r="B709" s="42" t="inlineStr">
        <is>
          <t>Transactional Navigational</t>
        </is>
      </c>
      <c r="C709" s="55" t="n">
        <v>10</v>
      </c>
      <c r="D709" s="42" t="n">
        <v>22</v>
      </c>
      <c r="E709" s="56" t="n">
        <v>0</v>
      </c>
      <c r="F709" s="42" t="n">
        <v>1</v>
      </c>
      <c r="G709" s="42" t="n">
        <v>5</v>
      </c>
      <c r="H709" s="42" t="n"/>
    </row>
    <row r="710" ht="15" customHeight="1" s="37">
      <c r="A710" s="42" t="inlineStr">
        <is>
          <t>deyga sunscreen</t>
        </is>
      </c>
      <c r="B710" s="42" t="inlineStr">
        <is>
          <t>Transactional Navigational</t>
        </is>
      </c>
      <c r="C710" s="55" t="n">
        <v>10</v>
      </c>
      <c r="D710" s="42" t="n">
        <v>9</v>
      </c>
      <c r="E710" s="56" t="n">
        <v>0</v>
      </c>
      <c r="F710" s="42" t="n">
        <v>1</v>
      </c>
      <c r="G710" s="42" t="n">
        <v>5</v>
      </c>
      <c r="H710" s="42" t="n"/>
    </row>
    <row r="711" ht="15" customHeight="1" s="37">
      <c r="A711" s="42" t="inlineStr">
        <is>
          <t>dolce &amp; gabbana devotion gift set</t>
        </is>
      </c>
      <c r="B711" s="42" t="inlineStr">
        <is>
          <t>Informational Transactional</t>
        </is>
      </c>
      <c r="C711" s="55" t="n">
        <v>10</v>
      </c>
      <c r="D711" s="42" t="n">
        <v>11</v>
      </c>
      <c r="E711" s="56" t="n">
        <v>0</v>
      </c>
      <c r="F711" s="42" t="n">
        <v>1</v>
      </c>
      <c r="G711" s="42" t="n">
        <v>5</v>
      </c>
      <c r="H711" s="42" t="n"/>
    </row>
    <row r="712" ht="15" customHeight="1" s="37">
      <c r="A712" s="42" t="inlineStr">
        <is>
          <t>dolce &amp; gabbana perfume for men</t>
        </is>
      </c>
      <c r="B712" s="42" t="inlineStr">
        <is>
          <t>Informational Transactional</t>
        </is>
      </c>
      <c r="C712" s="55" t="n">
        <v>10</v>
      </c>
      <c r="D712" s="42" t="n">
        <v>14</v>
      </c>
      <c r="E712" s="56" t="n">
        <v>0.34</v>
      </c>
      <c r="F712" s="42" t="n">
        <v>1</v>
      </c>
      <c r="G712" s="42" t="n">
        <v>1</v>
      </c>
      <c r="H712" s="42" t="n"/>
    </row>
    <row r="713" ht="15" customHeight="1" s="37">
      <c r="A713" s="42" t="inlineStr">
        <is>
          <t>escada magnetic dream</t>
        </is>
      </c>
      <c r="B713" s="42" t="inlineStr">
        <is>
          <t>Navigational</t>
        </is>
      </c>
      <c r="C713" s="55" t="n">
        <v>10</v>
      </c>
      <c r="D713" s="42" t="n">
        <v>12</v>
      </c>
      <c r="E713" s="56" t="n">
        <v>0</v>
      </c>
      <c r="F713" s="42" t="n">
        <v>1</v>
      </c>
      <c r="G713" s="42" t="n">
        <v>6</v>
      </c>
      <c r="H713" s="42" t="n"/>
    </row>
    <row r="714" ht="15" customHeight="1" s="37">
      <c r="A714" s="42" t="inlineStr">
        <is>
          <t>face serum for dull skin</t>
        </is>
      </c>
      <c r="B714" s="42" t="inlineStr">
        <is>
          <t>Informational</t>
        </is>
      </c>
      <c r="C714" s="55" t="n">
        <v>10</v>
      </c>
      <c r="D714" s="42" t="n">
        <v>16</v>
      </c>
      <c r="E714" s="56" t="n">
        <v>0</v>
      </c>
      <c r="F714" s="42" t="n">
        <v>1</v>
      </c>
      <c r="G714" s="42" t="n">
        <v>3</v>
      </c>
      <c r="H714" s="42" t="n"/>
    </row>
    <row r="715" ht="15" customHeight="1" s="37">
      <c r="A715" s="42" t="inlineStr">
        <is>
          <t>fumeri ambre night</t>
        </is>
      </c>
      <c r="B715" s="42" t="inlineStr">
        <is>
          <t>Commercial</t>
        </is>
      </c>
      <c r="C715" s="55" t="n">
        <v>10</v>
      </c>
      <c r="D715" s="42" t="n">
        <v>25</v>
      </c>
      <c r="E715" s="56" t="n">
        <v>0</v>
      </c>
      <c r="F715" s="42" t="n">
        <v>0.86</v>
      </c>
      <c r="G715" s="42" t="n">
        <v>6</v>
      </c>
      <c r="H715" s="42" t="n"/>
    </row>
    <row r="716" ht="15" customHeight="1" s="37">
      <c r="A716" s="42" t="inlineStr">
        <is>
          <t>fumeri style 33</t>
        </is>
      </c>
      <c r="B716" s="42" t="inlineStr">
        <is>
          <t>Informational</t>
        </is>
      </c>
      <c r="C716" s="55" t="n">
        <v>10</v>
      </c>
      <c r="D716" s="42" t="n">
        <v>1</v>
      </c>
      <c r="E716" s="56" t="n">
        <v>0</v>
      </c>
      <c r="F716" s="42" t="n">
        <v>0.33</v>
      </c>
      <c r="G716" s="42" t="n">
        <v>6</v>
      </c>
      <c r="H716" s="42" t="n"/>
    </row>
    <row r="717" ht="15" customHeight="1" s="37">
      <c r="A717" s="42" t="inlineStr">
        <is>
          <t>game of spades blind-bid</t>
        </is>
      </c>
      <c r="B717" s="42" t="inlineStr">
        <is>
          <t>Transactional Navigational</t>
        </is>
      </c>
      <c r="C717" s="55" t="n">
        <v>10</v>
      </c>
      <c r="D717" s="42" t="n">
        <v>22</v>
      </c>
      <c r="E717" s="56" t="n">
        <v>0</v>
      </c>
      <c r="F717" s="42" t="n">
        <v>0.92</v>
      </c>
      <c r="G717" s="42" t="n">
        <v>6</v>
      </c>
      <c r="H717" s="42" t="n"/>
    </row>
    <row r="718" ht="15" customHeight="1" s="37">
      <c r="A718" s="42" t="inlineStr">
        <is>
          <t>game of spades king</t>
        </is>
      </c>
      <c r="B718" s="42" t="inlineStr">
        <is>
          <t>Transactional Navigational</t>
        </is>
      </c>
      <c r="C718" s="55" t="n">
        <v>10</v>
      </c>
      <c r="D718" s="42" t="n">
        <v>14</v>
      </c>
      <c r="E718" s="56" t="n">
        <v>0</v>
      </c>
      <c r="F718" s="42" t="n">
        <v>1</v>
      </c>
      <c r="G718" s="42" t="n">
        <v>6</v>
      </c>
      <c r="H718" s="42" t="n"/>
    </row>
    <row r="719" ht="15" customHeight="1" s="37">
      <c r="A719" s="42" t="inlineStr">
        <is>
          <t>game of spades wildcard dupe of</t>
        </is>
      </c>
      <c r="B719" s="42" t="inlineStr">
        <is>
          <t>Informational</t>
        </is>
      </c>
      <c r="C719" s="55" t="n">
        <v>10</v>
      </c>
      <c r="D719" s="42" t="n">
        <v>22</v>
      </c>
      <c r="E719" s="56" t="n">
        <v>0</v>
      </c>
      <c r="F719" s="42" t="n">
        <v>1</v>
      </c>
      <c r="G719" s="42" t="inlineStr">
        <is>
          <t>T3-1</t>
        </is>
      </c>
      <c r="H719" s="42" t="n"/>
    </row>
    <row r="720" ht="15" customHeight="1" s="37">
      <c r="A720" s="42" t="inlineStr">
        <is>
          <t>gucci flora gorgeous gardenia notes</t>
        </is>
      </c>
      <c r="B720" s="42" t="inlineStr">
        <is>
          <t>Informational</t>
        </is>
      </c>
      <c r="C720" s="55" t="n">
        <v>10</v>
      </c>
      <c r="D720" s="42" t="n">
        <v>13</v>
      </c>
      <c r="E720" s="56" t="n">
        <v>0</v>
      </c>
      <c r="F720" s="42" t="n">
        <v>0.32</v>
      </c>
      <c r="G720" s="42" t="inlineStr">
        <is>
          <t>T3-1</t>
        </is>
      </c>
      <c r="H720" s="42" t="n"/>
    </row>
    <row r="721" ht="15" customHeight="1" s="37">
      <c r="A721" s="42" t="inlineStr">
        <is>
          <t>guerlain l'instant de guerlain</t>
        </is>
      </c>
      <c r="B721" s="42" t="inlineStr">
        <is>
          <t>Informational Transactional</t>
        </is>
      </c>
      <c r="C721" s="55" t="n">
        <v>10</v>
      </c>
      <c r="D721" s="42" t="n">
        <v>13</v>
      </c>
      <c r="E721" s="56" t="n">
        <v>0.84</v>
      </c>
      <c r="F721" s="42" t="n">
        <v>1</v>
      </c>
      <c r="G721" s="42" t="n">
        <v>6</v>
      </c>
      <c r="H721" s="42" t="n"/>
    </row>
    <row r="722" ht="15" customHeight="1" s="37">
      <c r="A722" s="42" t="inlineStr">
        <is>
          <t>hemel favourite black</t>
        </is>
      </c>
      <c r="B722" s="42" t="inlineStr">
        <is>
          <t>Navigational</t>
        </is>
      </c>
      <c r="C722" s="55" t="n">
        <v>10</v>
      </c>
      <c r="D722" s="42" t="n">
        <v>8</v>
      </c>
      <c r="E722" s="56" t="n">
        <v>0</v>
      </c>
      <c r="F722" s="42" t="n">
        <v>1</v>
      </c>
      <c r="G722" s="42" t="n">
        <v>6</v>
      </c>
      <c r="H722" s="42" t="n"/>
    </row>
    <row r="723" ht="15" customHeight="1" s="37">
      <c r="A723" s="42" t="inlineStr">
        <is>
          <t>hemel valley of diamond</t>
        </is>
      </c>
      <c r="B723" s="42" t="inlineStr">
        <is>
          <t>Navigational</t>
        </is>
      </c>
      <c r="C723" s="55" t="n">
        <v>10</v>
      </c>
      <c r="D723" s="42" t="n">
        <v>9</v>
      </c>
      <c r="E723" s="56" t="n">
        <v>0</v>
      </c>
      <c r="F723" s="42" t="n">
        <v>0.16</v>
      </c>
      <c r="G723" s="42" t="n">
        <v>6</v>
      </c>
      <c r="H723" s="42" t="n"/>
    </row>
    <row r="724" ht="15" customHeight="1" s="37">
      <c r="A724" s="42" t="inlineStr">
        <is>
          <t>korloff un soir a paris</t>
        </is>
      </c>
      <c r="B724" s="42" t="inlineStr">
        <is>
          <t>Informational Transactional</t>
        </is>
      </c>
      <c r="C724" s="55" t="n">
        <v>10</v>
      </c>
      <c r="D724" s="42" t="n">
        <v>6</v>
      </c>
      <c r="E724" s="56" t="n">
        <v>0</v>
      </c>
      <c r="F724" s="42" t="n">
        <v>1</v>
      </c>
      <c r="G724" s="42" t="n">
        <v>7</v>
      </c>
      <c r="H724" s="42" t="n"/>
    </row>
    <row r="725" ht="15" customHeight="1" s="37">
      <c r="A725" s="42" t="inlineStr">
        <is>
          <t>natural face serum uk</t>
        </is>
      </c>
      <c r="B725" s="42" t="inlineStr">
        <is>
          <t>Informational</t>
        </is>
      </c>
      <c r="C725" s="55" t="n">
        <v>10</v>
      </c>
      <c r="D725" s="42" t="n">
        <v>6</v>
      </c>
      <c r="E725" s="56" t="n">
        <v>0</v>
      </c>
      <c r="F725" s="42" t="n">
        <v>0</v>
      </c>
      <c r="G725" s="42" t="n">
        <v>3</v>
      </c>
      <c r="H725" s="42" t="n"/>
    </row>
    <row r="726" ht="15" customHeight="1" s="37">
      <c r="A726" s="42" t="inlineStr">
        <is>
          <t>nina ricci l'air du temps notes</t>
        </is>
      </c>
      <c r="B726" s="42" t="inlineStr">
        <is>
          <t>Informational</t>
        </is>
      </c>
      <c r="C726" s="55" t="n">
        <v>10</v>
      </c>
      <c r="D726" s="42" t="n">
        <v>18</v>
      </c>
      <c r="E726" s="56" t="n">
        <v>0</v>
      </c>
      <c r="F726" s="42" t="n">
        <v>0.33</v>
      </c>
      <c r="G726" s="42" t="inlineStr">
        <is>
          <t>T3-1</t>
        </is>
      </c>
      <c r="H726" s="42" t="n"/>
    </row>
    <row r="727" ht="15" customHeight="1" s="37">
      <c r="A727" s="42" t="inlineStr">
        <is>
          <t>s.t. dupont perfume</t>
        </is>
      </c>
      <c r="B727" s="42" t="inlineStr">
        <is>
          <t>Informational Transactional</t>
        </is>
      </c>
      <c r="C727" s="55" t="n">
        <v>10</v>
      </c>
      <c r="D727" s="42" t="n">
        <v>13</v>
      </c>
      <c r="E727" s="56" t="n">
        <v>0</v>
      </c>
      <c r="F727" s="42" t="n">
        <v>1</v>
      </c>
      <c r="G727" s="42" t="n">
        <v>2</v>
      </c>
      <c r="H727" s="42" t="n"/>
    </row>
    <row r="728" ht="15" customHeight="1" s="37">
      <c r="A728" s="42" t="inlineStr">
        <is>
          <t>sap vert club</t>
        </is>
      </c>
      <c r="B728" s="42" t="inlineStr">
        <is>
          <t>Navigational</t>
        </is>
      </c>
      <c r="C728" s="55" t="n">
        <v>10</v>
      </c>
      <c r="D728" s="42" t="n">
        <v>5</v>
      </c>
      <c r="E728" s="56" t="n">
        <v>0</v>
      </c>
      <c r="F728" s="42" t="n">
        <v>0</v>
      </c>
      <c r="G728" s="42" t="n">
        <v>7</v>
      </c>
      <c r="H728" s="42" t="n"/>
    </row>
    <row r="729" ht="15" customHeight="1" s="37">
      <c r="A729" s="42" t="inlineStr">
        <is>
          <t>signature diamond</t>
        </is>
      </c>
      <c r="B729" s="42" t="inlineStr">
        <is>
          <t>Informational Transactional</t>
        </is>
      </c>
      <c r="C729" s="55" t="n">
        <v>10</v>
      </c>
      <c r="D729" s="42" t="n">
        <v>16</v>
      </c>
      <c r="E729" s="56" t="n">
        <v>0</v>
      </c>
      <c r="F729" s="42" t="n">
        <v>0.6</v>
      </c>
      <c r="G729" s="42" t="n">
        <v>7</v>
      </c>
      <c r="H729" s="42" t="n"/>
    </row>
    <row r="730" ht="15" customHeight="1" s="37">
      <c r="A730" s="42" t="inlineStr">
        <is>
          <t>signature paradiso</t>
        </is>
      </c>
      <c r="B730" s="42" t="inlineStr">
        <is>
          <t>Informational</t>
        </is>
      </c>
      <c r="C730" s="55" t="n">
        <v>10</v>
      </c>
      <c r="D730" s="42" t="n">
        <v>16</v>
      </c>
      <c r="E730" s="56" t="n">
        <v>0</v>
      </c>
      <c r="F730" s="42" t="n">
        <v>0</v>
      </c>
      <c r="G730" s="42" t="n">
        <v>7</v>
      </c>
      <c r="H730" s="42" t="n"/>
    </row>
    <row r="731" ht="15" customHeight="1" s="37">
      <c r="A731" s="42" t="inlineStr">
        <is>
          <t>signature sapphire</t>
        </is>
      </c>
      <c r="B731" s="42" t="inlineStr">
        <is>
          <t>Informational</t>
        </is>
      </c>
      <c r="C731" s="55" t="n">
        <v>10</v>
      </c>
      <c r="D731" s="42" t="n">
        <v>3</v>
      </c>
      <c r="E731" s="56" t="n">
        <v>0</v>
      </c>
      <c r="F731" s="42" t="n">
        <v>0.33</v>
      </c>
      <c r="G731" s="42" t="n">
        <v>7</v>
      </c>
      <c r="H731" s="42" t="n"/>
    </row>
    <row r="732" ht="15" customHeight="1" s="37">
      <c r="A732" s="42" t="inlineStr">
        <is>
          <t>tiziana terenzi ecstasy</t>
        </is>
      </c>
      <c r="B732" s="42" t="inlineStr">
        <is>
          <t>Transactional</t>
        </is>
      </c>
      <c r="C732" s="55" t="n">
        <v>10</v>
      </c>
      <c r="D732" s="42" t="n">
        <v>12</v>
      </c>
      <c r="E732" s="56" t="n">
        <v>0</v>
      </c>
      <c r="F732" s="42" t="n">
        <v>0</v>
      </c>
      <c r="G732" s="42" t="n">
        <v>8</v>
      </c>
      <c r="H732" s="42" t="n"/>
    </row>
    <row r="733" ht="15" customHeight="1" s="37">
      <c r="A733" s="42" t="inlineStr">
        <is>
          <t>tiziana terenzi kirke review</t>
        </is>
      </c>
      <c r="B733" s="42" t="inlineStr">
        <is>
          <t>Commercial</t>
        </is>
      </c>
      <c r="C733" s="55" t="n">
        <v>10</v>
      </c>
      <c r="D733" s="42" t="n">
        <v>18</v>
      </c>
      <c r="E733" s="56" t="n">
        <v>0</v>
      </c>
      <c r="F733" s="42" t="n">
        <v>1</v>
      </c>
      <c r="G733" s="42" t="inlineStr">
        <is>
          <t>T3-1</t>
        </is>
      </c>
      <c r="H733" s="42" t="n"/>
    </row>
    <row r="734" ht="15" customHeight="1" s="37">
      <c r="A734" s="42" t="inlineStr">
        <is>
          <t>tom ford ebene fume eau de parfum</t>
        </is>
      </c>
      <c r="B734" s="42" t="inlineStr">
        <is>
          <t>Transactional Navigational</t>
        </is>
      </c>
      <c r="C734" s="55" t="n">
        <v>10</v>
      </c>
      <c r="D734" s="42" t="n">
        <v>15</v>
      </c>
      <c r="E734" s="56" t="n">
        <v>0.52</v>
      </c>
      <c r="F734" s="42" t="n">
        <v>1</v>
      </c>
      <c r="G734" s="42" t="inlineStr">
        <is>
          <t>T2-1</t>
        </is>
      </c>
      <c r="H734" s="42" t="n"/>
    </row>
    <row r="735" ht="15" customHeight="1" s="37">
      <c r="A735" s="42" t="inlineStr">
        <is>
          <t>vilvah cream conditioner</t>
        </is>
      </c>
      <c r="B735" s="42" t="inlineStr">
        <is>
          <t>Informational Transactional</t>
        </is>
      </c>
      <c r="C735" s="55" t="n">
        <v>10</v>
      </c>
      <c r="D735" s="42" t="n">
        <v>16</v>
      </c>
      <c r="E735" s="56" t="n">
        <v>0</v>
      </c>
      <c r="F735" s="42" t="n">
        <v>0.33</v>
      </c>
      <c r="G735" s="42" t="n">
        <v>8</v>
      </c>
      <c r="H735" s="42" t="n"/>
    </row>
    <row r="736" ht="15" customHeight="1" s="37">
      <c r="A736" s="42" t="inlineStr">
        <is>
          <t>vilvah milk body lotion</t>
        </is>
      </c>
      <c r="B736" s="42" t="inlineStr">
        <is>
          <t>Informational Transactional</t>
        </is>
      </c>
      <c r="C736" s="55" t="n">
        <v>10</v>
      </c>
      <c r="D736" s="42" t="n">
        <v>7</v>
      </c>
      <c r="E736" s="56" t="n">
        <v>0</v>
      </c>
      <c r="F736" s="42" t="n">
        <v>0.5</v>
      </c>
      <c r="G736" s="42" t="n">
        <v>8</v>
      </c>
      <c r="H736" s="42" t="n"/>
    </row>
    <row r="737" ht="15" customHeight="1" s="37">
      <c r="A737" s="42" t="inlineStr">
        <is>
          <t>abercrombie &amp; fitch first instinct together uk</t>
        </is>
      </c>
      <c r="B737" s="42" t="inlineStr">
        <is>
          <t>Informational</t>
        </is>
      </c>
      <c r="C737" s="55" t="n">
        <v>0</v>
      </c>
      <c r="D737" s="42" t="n">
        <v>22</v>
      </c>
      <c r="E737" s="56" t="n"/>
      <c r="F737" s="42" t="n"/>
      <c r="G737" s="42" t="n">
        <v>9</v>
      </c>
      <c r="H737" s="42" t="inlineStr">
        <is>
          <t>No Semrush data (n/a)</t>
        </is>
      </c>
    </row>
    <row r="738" ht="15" customHeight="1" s="37">
      <c r="A738" s="42" t="inlineStr">
        <is>
          <t>abercrombie &amp; fitch naturally fierce uk</t>
        </is>
      </c>
      <c r="B738" s="42" t="inlineStr">
        <is>
          <t>Informational</t>
        </is>
      </c>
      <c r="C738" s="55" t="n">
        <v>0</v>
      </c>
      <c r="D738" s="42" t="n">
        <v>19</v>
      </c>
      <c r="E738" s="56" t="n"/>
      <c r="F738" s="42" t="n"/>
      <c r="G738" s="42" t="n">
        <v>9</v>
      </c>
      <c r="H738" s="42" t="inlineStr">
        <is>
          <t>No Semrush data (n/a)</t>
        </is>
      </c>
    </row>
    <row r="739" ht="15" customHeight="1" s="37">
      <c r="A739" s="42" t="inlineStr">
        <is>
          <t>abercrombie &amp; fitch perfume for women</t>
        </is>
      </c>
      <c r="B739" s="42" t="inlineStr">
        <is>
          <t>Informational Transactional</t>
        </is>
      </c>
      <c r="C739" s="55" t="n">
        <v>0</v>
      </c>
      <c r="D739" s="42" t="n">
        <v>20</v>
      </c>
      <c r="E739" s="56" t="n"/>
      <c r="F739" s="42" t="n"/>
      <c r="G739" s="42" t="n">
        <v>1</v>
      </c>
      <c r="H739" s="42" t="inlineStr">
        <is>
          <t>No Semrush data (n/a)</t>
        </is>
      </c>
    </row>
    <row r="740" ht="15" customHeight="1" s="37">
      <c r="A740" s="42" t="inlineStr">
        <is>
          <t>acqua di parma blu mediterraneo discovery set uk</t>
        </is>
      </c>
      <c r="B740" s="42" t="inlineStr">
        <is>
          <t>Informational Transactional</t>
        </is>
      </c>
      <c r="C740" s="55" t="n">
        <v>0</v>
      </c>
      <c r="D740" s="42" t="n">
        <v>16</v>
      </c>
      <c r="E740" s="56" t="n"/>
      <c r="F740" s="42" t="n"/>
      <c r="G740" s="42" t="n">
        <v>9</v>
      </c>
      <c r="H740" s="42" t="inlineStr">
        <is>
          <t>No Semrush data (n/a)</t>
        </is>
      </c>
    </row>
    <row r="741" ht="15" customHeight="1" s="37">
      <c r="A741" s="42" t="inlineStr">
        <is>
          <t>acqua di parma colonia essenza deodorant stick uk</t>
        </is>
      </c>
      <c r="B741" s="42" t="inlineStr">
        <is>
          <t>Informational</t>
        </is>
      </c>
      <c r="C741" s="55" t="n">
        <v>0</v>
      </c>
      <c r="D741" s="42" t="n">
        <v>16</v>
      </c>
      <c r="E741" s="56" t="n"/>
      <c r="F741" s="42" t="n"/>
      <c r="G741" s="42" t="n">
        <v>9</v>
      </c>
      <c r="H741" s="42" t="inlineStr">
        <is>
          <t>No Semrush data (n/a)</t>
        </is>
      </c>
    </row>
    <row r="742" ht="15" customHeight="1" s="37">
      <c r="A742" s="42" t="inlineStr">
        <is>
          <t>acqua di parma holiday discovery set uk</t>
        </is>
      </c>
      <c r="B742" s="42" t="inlineStr">
        <is>
          <t>Informational Transactional</t>
        </is>
      </c>
      <c r="C742" s="55" t="n">
        <v>0</v>
      </c>
      <c r="D742" s="42" t="n">
        <v>16</v>
      </c>
      <c r="E742" s="56" t="n"/>
      <c r="F742" s="42" t="n"/>
      <c r="G742" s="42" t="n">
        <v>9</v>
      </c>
      <c r="H742" s="42" t="inlineStr">
        <is>
          <t>No Semrush data (n/a)</t>
        </is>
      </c>
    </row>
    <row r="743" ht="15" customHeight="1" s="37">
      <c r="A743" s="42" t="inlineStr">
        <is>
          <t>acqua di parma oud &amp; spice edp</t>
        </is>
      </c>
      <c r="B743" s="42" t="inlineStr">
        <is>
          <t>Informational Transactional</t>
        </is>
      </c>
      <c r="C743" s="55" t="n">
        <v>0</v>
      </c>
      <c r="D743" s="42" t="n">
        <v>10</v>
      </c>
      <c r="E743" s="56" t="n">
        <v>0</v>
      </c>
      <c r="F743" s="42" t="n">
        <v>0</v>
      </c>
      <c r="G743" s="42" t="inlineStr">
        <is>
          <t>T2-2</t>
        </is>
      </c>
      <c r="H743" s="42" t="n"/>
    </row>
    <row r="744" ht="15" customHeight="1" s="37">
      <c r="A744" s="42" t="inlineStr">
        <is>
          <t>acqua di parma oud &amp; spice uk</t>
        </is>
      </c>
      <c r="B744" s="42" t="inlineStr">
        <is>
          <t>Informational</t>
        </is>
      </c>
      <c r="C744" s="55" t="n">
        <v>0</v>
      </c>
      <c r="D744" s="42" t="n">
        <v>16</v>
      </c>
      <c r="E744" s="56" t="n"/>
      <c r="F744" s="42" t="n"/>
      <c r="G744" s="42" t="n">
        <v>9</v>
      </c>
      <c r="H744" s="42" t="inlineStr">
        <is>
          <t>No Semrush data (n/a)</t>
        </is>
      </c>
    </row>
    <row r="745" ht="15" customHeight="1" s="37">
      <c r="A745" s="42" t="inlineStr">
        <is>
          <t>acqua di parma sakura notes</t>
        </is>
      </c>
      <c r="B745" s="42" t="inlineStr">
        <is>
          <t>Informational</t>
        </is>
      </c>
      <c r="C745" s="55" t="n">
        <v>0</v>
      </c>
      <c r="D745" s="42" t="n">
        <v>8</v>
      </c>
      <c r="E745" s="56" t="n">
        <v>0</v>
      </c>
      <c r="F745" s="42" t="n">
        <v>0</v>
      </c>
      <c r="G745" s="42" t="inlineStr">
        <is>
          <t>T3-2</t>
        </is>
      </c>
      <c r="H745" s="42" t="n"/>
    </row>
    <row r="746" ht="15" customHeight="1" s="37">
      <c r="A746" s="42" t="inlineStr">
        <is>
          <t>acqua di parma sakura uk</t>
        </is>
      </c>
      <c r="B746" s="42" t="inlineStr">
        <is>
          <t>Informational</t>
        </is>
      </c>
      <c r="C746" s="55" t="n">
        <v>0</v>
      </c>
      <c r="D746" s="42" t="n">
        <v>12</v>
      </c>
      <c r="E746" s="56" t="n">
        <v>0</v>
      </c>
      <c r="F746" s="42" t="n">
        <v>0</v>
      </c>
      <c r="G746" s="42" t="n">
        <v>9</v>
      </c>
      <c r="H746" s="42" t="n"/>
    </row>
    <row r="747" ht="15" customHeight="1" s="37">
      <c r="A747" s="42" t="inlineStr">
        <is>
          <t>al haramain amber musk uk</t>
        </is>
      </c>
      <c r="B747" s="42" t="inlineStr">
        <is>
          <t>Informational Transactional</t>
        </is>
      </c>
      <c r="C747" s="55" t="n">
        <v>0</v>
      </c>
      <c r="D747" s="42" t="n">
        <v>9</v>
      </c>
      <c r="E747" s="56" t="n"/>
      <c r="F747" s="42" t="n"/>
      <c r="G747" s="42" t="n">
        <v>9</v>
      </c>
      <c r="H747" s="42" t="inlineStr">
        <is>
          <t>No Semrush data (n/a)</t>
        </is>
      </c>
    </row>
    <row r="748" ht="15" customHeight="1" s="37">
      <c r="A748" s="42" t="inlineStr">
        <is>
          <t>al haramain amber oud black edition uk</t>
        </is>
      </c>
      <c r="B748" s="42" t="inlineStr">
        <is>
          <t>Transactional Navigational</t>
        </is>
      </c>
      <c r="C748" s="55" t="n">
        <v>0</v>
      </c>
      <c r="D748" s="42" t="n">
        <v>16</v>
      </c>
      <c r="E748" s="56" t="n"/>
      <c r="F748" s="42" t="n"/>
      <c r="G748" s="42" t="n">
        <v>9</v>
      </c>
      <c r="H748" s="42" t="inlineStr">
        <is>
          <t>No Semrush data (n/a)</t>
        </is>
      </c>
    </row>
    <row r="749" ht="15" customHeight="1" s="37">
      <c r="A749" s="42" t="inlineStr">
        <is>
          <t>al haramain amber oud bleu edition uk</t>
        </is>
      </c>
      <c r="B749" s="42" t="inlineStr">
        <is>
          <t>Navigational</t>
        </is>
      </c>
      <c r="C749" s="55" t="n">
        <v>0</v>
      </c>
      <c r="D749" s="42" t="n">
        <v>9</v>
      </c>
      <c r="E749" s="56" t="n"/>
      <c r="F749" s="42" t="n"/>
      <c r="G749" s="42" t="n">
        <v>9</v>
      </c>
      <c r="H749" s="42" t="inlineStr">
        <is>
          <t>No Semrush data (n/a)</t>
        </is>
      </c>
    </row>
    <row r="750" ht="15" customHeight="1" s="37">
      <c r="A750" s="42" t="inlineStr">
        <is>
          <t>al haramain amber oud carbon edition uk</t>
        </is>
      </c>
      <c r="B750" s="42" t="inlineStr">
        <is>
          <t>Informational</t>
        </is>
      </c>
      <c r="C750" s="55" t="n">
        <v>0</v>
      </c>
      <c r="D750" s="42" t="n">
        <v>18</v>
      </c>
      <c r="E750" s="56" t="n"/>
      <c r="F750" s="42" t="n"/>
      <c r="G750" s="42" t="n">
        <v>9</v>
      </c>
      <c r="H750" s="42" t="inlineStr">
        <is>
          <t>No Semrush data (n/a)</t>
        </is>
      </c>
    </row>
    <row r="751" ht="15" customHeight="1" s="37">
      <c r="A751" s="42" t="inlineStr">
        <is>
          <t>al haramain amber oud extreme gold edition uk</t>
        </is>
      </c>
      <c r="B751" s="42" t="inlineStr">
        <is>
          <t>Informational Navigational</t>
        </is>
      </c>
      <c r="C751" s="55" t="n">
        <v>0</v>
      </c>
      <c r="D751" s="42" t="n">
        <v>13</v>
      </c>
      <c r="E751" s="56" t="n"/>
      <c r="F751" s="42" t="n"/>
      <c r="G751" s="42" t="n">
        <v>9</v>
      </c>
      <c r="H751" s="42" t="inlineStr">
        <is>
          <t>No Semrush data (n/a)</t>
        </is>
      </c>
    </row>
    <row r="752" ht="15" customHeight="1" s="37">
      <c r="A752" s="42" t="inlineStr">
        <is>
          <t>al haramain amber oud ruby edition uk</t>
        </is>
      </c>
      <c r="B752" s="42" t="inlineStr">
        <is>
          <t>Transactional Navigational</t>
        </is>
      </c>
      <c r="C752" s="55" t="n">
        <v>0</v>
      </c>
      <c r="D752" s="42" t="n">
        <v>10</v>
      </c>
      <c r="E752" s="56" t="n"/>
      <c r="F752" s="42" t="n"/>
      <c r="G752" s="42" t="n">
        <v>9</v>
      </c>
      <c r="H752" s="42" t="inlineStr">
        <is>
          <t>No Semrush data (n/a)</t>
        </is>
      </c>
    </row>
    <row r="753" ht="15" customHeight="1" s="37">
      <c r="A753" s="42" t="inlineStr">
        <is>
          <t>al haramain amber oud white edition uk</t>
        </is>
      </c>
      <c r="B753" s="42" t="inlineStr">
        <is>
          <t>Informational Transactional</t>
        </is>
      </c>
      <c r="C753" s="55" t="n">
        <v>0</v>
      </c>
      <c r="D753" s="42" t="n">
        <v>14</v>
      </c>
      <c r="E753" s="56" t="n"/>
      <c r="F753" s="42" t="n"/>
      <c r="G753" s="42" t="n">
        <v>9</v>
      </c>
      <c r="H753" s="42" t="inlineStr">
        <is>
          <t>No Semrush data (n/a)</t>
        </is>
      </c>
    </row>
    <row r="754" ht="15" customHeight="1" s="37">
      <c r="A754" s="42" t="inlineStr">
        <is>
          <t>al haramain l'aventure blanche uk</t>
        </is>
      </c>
      <c r="B754" s="42" t="inlineStr">
        <is>
          <t>Informational</t>
        </is>
      </c>
      <c r="C754" s="55" t="n">
        <v>0</v>
      </c>
      <c r="D754" s="42" t="n">
        <v>11</v>
      </c>
      <c r="E754" s="56" t="n"/>
      <c r="F754" s="42" t="n"/>
      <c r="G754" s="42" t="n">
        <v>9</v>
      </c>
      <c r="H754" s="42" t="inlineStr">
        <is>
          <t>No Semrush data (n/a)</t>
        </is>
      </c>
    </row>
    <row r="755" ht="15" customHeight="1" s="37">
      <c r="A755" s="42" t="inlineStr">
        <is>
          <t>al haramain l'aventure dupe of</t>
        </is>
      </c>
      <c r="B755" s="42" t="inlineStr">
        <is>
          <t>Informational</t>
        </is>
      </c>
      <c r="C755" s="55" t="n">
        <v>0</v>
      </c>
      <c r="D755" s="42" t="n">
        <v>27</v>
      </c>
      <c r="E755" s="56" t="n"/>
      <c r="F755" s="42" t="n"/>
      <c r="G755" s="42" t="inlineStr">
        <is>
          <t>T3-1</t>
        </is>
      </c>
      <c r="H755" s="42" t="inlineStr">
        <is>
          <t>No Semrush data (n/a)</t>
        </is>
      </c>
    </row>
    <row r="756" ht="15" customHeight="1" s="37">
      <c r="A756" s="42" t="inlineStr">
        <is>
          <t>al haramain l'aventure femme eau de parfum</t>
        </is>
      </c>
      <c r="B756" s="42" t="inlineStr">
        <is>
          <t>Informational Transactional</t>
        </is>
      </c>
      <c r="C756" s="55" t="n">
        <v>0</v>
      </c>
      <c r="D756" s="42" t="n">
        <v>13</v>
      </c>
      <c r="E756" s="56" t="n"/>
      <c r="F756" s="42" t="n"/>
      <c r="G756" s="42" t="inlineStr">
        <is>
          <t>T2-2</t>
        </is>
      </c>
      <c r="H756" s="42" t="inlineStr">
        <is>
          <t>No Semrush data (n/a)</t>
        </is>
      </c>
    </row>
    <row r="757" ht="15" customHeight="1" s="37">
      <c r="A757" s="42" t="inlineStr">
        <is>
          <t>al haramain l'aventure femme uk</t>
        </is>
      </c>
      <c r="B757" s="42" t="inlineStr">
        <is>
          <t>Transactional Navigational</t>
        </is>
      </c>
      <c r="C757" s="55" t="n">
        <v>0</v>
      </c>
      <c r="D757" s="42" t="n">
        <v>17</v>
      </c>
      <c r="E757" s="56" t="n"/>
      <c r="F757" s="42" t="n"/>
      <c r="G757" s="42" t="n">
        <v>9</v>
      </c>
      <c r="H757" s="42" t="inlineStr">
        <is>
          <t>No Semrush data (n/a)</t>
        </is>
      </c>
    </row>
    <row r="758" ht="15" customHeight="1" s="37">
      <c r="A758" s="42" t="inlineStr">
        <is>
          <t>al haramain l'aventure gold uk</t>
        </is>
      </c>
      <c r="B758" s="42" t="inlineStr">
        <is>
          <t>Transactional Navigational</t>
        </is>
      </c>
      <c r="C758" s="55" t="n">
        <v>0</v>
      </c>
      <c r="D758" s="42" t="n">
        <v>12</v>
      </c>
      <c r="E758" s="56" t="n"/>
      <c r="F758" s="42" t="n"/>
      <c r="G758" s="42" t="n">
        <v>9</v>
      </c>
      <c r="H758" s="42" t="inlineStr">
        <is>
          <t>No Semrush data (n/a)</t>
        </is>
      </c>
    </row>
    <row r="759" ht="15" customHeight="1" s="37">
      <c r="A759" s="42" t="inlineStr">
        <is>
          <t>al haramain perfume for men</t>
        </is>
      </c>
      <c r="B759" s="42" t="inlineStr">
        <is>
          <t>Informational Transactional</t>
        </is>
      </c>
      <c r="C759" s="55" t="n">
        <v>0</v>
      </c>
      <c r="D759" s="42" t="n">
        <v>2</v>
      </c>
      <c r="E759" s="56" t="n">
        <v>0</v>
      </c>
      <c r="F759" s="42" t="n">
        <v>1</v>
      </c>
      <c r="G759" s="42" t="n">
        <v>1</v>
      </c>
      <c r="H759" s="42" t="n"/>
    </row>
    <row r="760" ht="15" customHeight="1" s="37">
      <c r="A760" s="42" t="inlineStr">
        <is>
          <t>amber perfume for men uk</t>
        </is>
      </c>
      <c r="B760" s="42" t="inlineStr">
        <is>
          <t>Informational</t>
        </is>
      </c>
      <c r="C760" s="55" t="n">
        <v>0</v>
      </c>
      <c r="D760" s="42" t="n">
        <v>15</v>
      </c>
      <c r="E760" s="56" t="n"/>
      <c r="F760" s="42" t="n"/>
      <c r="G760" s="42" t="n">
        <v>1</v>
      </c>
      <c r="H760" s="42" t="inlineStr">
        <is>
          <t>No Semrush data (n/a)</t>
        </is>
      </c>
    </row>
    <row r="761" ht="15" customHeight="1" s="37">
      <c r="A761" s="42" t="inlineStr">
        <is>
          <t>anatome balance</t>
        </is>
      </c>
      <c r="B761" s="42" t="inlineStr">
        <is>
          <t>Navigational</t>
        </is>
      </c>
      <c r="C761" s="55" t="n">
        <v>0</v>
      </c>
      <c r="D761" s="42" t="n">
        <v>17</v>
      </c>
      <c r="E761" s="56" t="n"/>
      <c r="F761" s="42" t="n"/>
      <c r="G761" s="42" t="n">
        <v>4</v>
      </c>
      <c r="H761" s="42" t="inlineStr">
        <is>
          <t>No Semrush data (n/a)</t>
        </is>
      </c>
    </row>
    <row r="762" ht="15" customHeight="1" s="37">
      <c r="A762" s="42" t="inlineStr">
        <is>
          <t>anatome balance uk</t>
        </is>
      </c>
      <c r="B762" s="42" t="inlineStr">
        <is>
          <t>Navigational</t>
        </is>
      </c>
      <c r="C762" s="55" t="n">
        <v>0</v>
      </c>
      <c r="D762" s="42" t="n">
        <v>17</v>
      </c>
      <c r="E762" s="56" t="n"/>
      <c r="F762" s="42" t="n"/>
      <c r="G762" s="42" t="n">
        <v>9</v>
      </c>
      <c r="H762" s="42" t="inlineStr">
        <is>
          <t>No Semrush data (n/a)</t>
        </is>
      </c>
    </row>
    <row r="763" ht="15" customHeight="1" s="37">
      <c r="A763" s="42" t="inlineStr">
        <is>
          <t>anatome energy</t>
        </is>
      </c>
      <c r="B763" s="42" t="inlineStr">
        <is>
          <t>Navigational</t>
        </is>
      </c>
      <c r="C763" s="55" t="n">
        <v>0</v>
      </c>
      <c r="D763" s="42" t="n">
        <v>12</v>
      </c>
      <c r="E763" s="56" t="n"/>
      <c r="F763" s="42" t="n"/>
      <c r="G763" s="42" t="n">
        <v>4</v>
      </c>
      <c r="H763" s="42" t="inlineStr">
        <is>
          <t>No Semrush data (n/a)</t>
        </is>
      </c>
    </row>
    <row r="764" ht="15" customHeight="1" s="37">
      <c r="A764" s="42" t="inlineStr">
        <is>
          <t>anatome energy uk</t>
        </is>
      </c>
      <c r="B764" s="42" t="inlineStr">
        <is>
          <t>Navigational</t>
        </is>
      </c>
      <c r="C764" s="55" t="n">
        <v>0</v>
      </c>
      <c r="D764" s="42" t="n">
        <v>11</v>
      </c>
      <c r="E764" s="56" t="n"/>
      <c r="F764" s="42" t="n"/>
      <c r="G764" s="42" t="n">
        <v>9</v>
      </c>
      <c r="H764" s="42" t="inlineStr">
        <is>
          <t>No Semrush data (n/a)</t>
        </is>
      </c>
    </row>
    <row r="765" ht="15" customHeight="1" s="37">
      <c r="A765" s="42" t="inlineStr">
        <is>
          <t>anatome expression</t>
        </is>
      </c>
      <c r="B765" s="42" t="inlineStr">
        <is>
          <t>Informational Navigational</t>
        </is>
      </c>
      <c r="C765" s="55" t="n">
        <v>0</v>
      </c>
      <c r="D765" s="42" t="n">
        <v>3</v>
      </c>
      <c r="E765" s="56" t="n">
        <v>0</v>
      </c>
      <c r="F765" s="42" t="n">
        <v>0</v>
      </c>
      <c r="G765" s="42" t="n">
        <v>4</v>
      </c>
      <c r="H765" s="42" t="n"/>
    </row>
    <row r="766" ht="15" customHeight="1" s="37">
      <c r="A766" s="42" t="inlineStr">
        <is>
          <t>anatome expression uk</t>
        </is>
      </c>
      <c r="B766" s="42" t="inlineStr">
        <is>
          <t>Informational Navigational</t>
        </is>
      </c>
      <c r="C766" s="55" t="n">
        <v>0</v>
      </c>
      <c r="D766" s="42" t="n">
        <v>11</v>
      </c>
      <c r="E766" s="56" t="n"/>
      <c r="F766" s="42" t="n"/>
      <c r="G766" s="42" t="n">
        <v>9</v>
      </c>
      <c r="H766" s="42" t="inlineStr">
        <is>
          <t>No Semrush data (n/a)</t>
        </is>
      </c>
    </row>
    <row r="767" ht="15" customHeight="1" s="37">
      <c r="A767" s="42" t="inlineStr">
        <is>
          <t>anatome focus</t>
        </is>
      </c>
      <c r="B767" s="42" t="inlineStr">
        <is>
          <t>Navigational</t>
        </is>
      </c>
      <c r="C767" s="55" t="n">
        <v>0</v>
      </c>
      <c r="D767" s="42" t="n">
        <v>12</v>
      </c>
      <c r="E767" s="56" t="n"/>
      <c r="F767" s="42" t="n"/>
      <c r="G767" s="42" t="n">
        <v>4</v>
      </c>
      <c r="H767" s="42" t="inlineStr">
        <is>
          <t>No Semrush data (n/a)</t>
        </is>
      </c>
    </row>
    <row r="768" ht="15" customHeight="1" s="37">
      <c r="A768" s="42" t="inlineStr">
        <is>
          <t>anatome focus uk</t>
        </is>
      </c>
      <c r="B768" s="42" t="inlineStr">
        <is>
          <t>Navigational</t>
        </is>
      </c>
      <c r="C768" s="55" t="n">
        <v>0</v>
      </c>
      <c r="D768" s="42" t="n">
        <v>11</v>
      </c>
      <c r="E768" s="56" t="n"/>
      <c r="F768" s="42" t="n"/>
      <c r="G768" s="42" t="n">
        <v>9</v>
      </c>
      <c r="H768" s="42" t="inlineStr">
        <is>
          <t>No Semrush data (n/a)</t>
        </is>
      </c>
    </row>
    <row r="769" ht="15" customHeight="1" s="37">
      <c r="A769" s="42" t="inlineStr">
        <is>
          <t>anatome support</t>
        </is>
      </c>
      <c r="B769" s="42" t="inlineStr">
        <is>
          <t>Navigational</t>
        </is>
      </c>
      <c r="C769" s="55" t="n">
        <v>0</v>
      </c>
      <c r="D769" s="42" t="n">
        <v>12</v>
      </c>
      <c r="E769" s="56" t="n"/>
      <c r="F769" s="42" t="n"/>
      <c r="G769" s="42" t="n">
        <v>4</v>
      </c>
      <c r="H769" s="42" t="inlineStr">
        <is>
          <t>No Semrush data (n/a)</t>
        </is>
      </c>
    </row>
    <row r="770" ht="15" customHeight="1" s="37">
      <c r="A770" s="42" t="inlineStr">
        <is>
          <t>anatome support uk</t>
        </is>
      </c>
      <c r="B770" s="42" t="inlineStr">
        <is>
          <t>Navigational</t>
        </is>
      </c>
      <c r="C770" s="55" t="n">
        <v>0</v>
      </c>
      <c r="D770" s="42" t="n">
        <v>16</v>
      </c>
      <c r="E770" s="56" t="n"/>
      <c r="F770" s="42" t="n"/>
      <c r="G770" s="42" t="n">
        <v>9</v>
      </c>
      <c r="H770" s="42" t="inlineStr">
        <is>
          <t>No Semrush data (n/a)</t>
        </is>
      </c>
    </row>
    <row r="771" ht="15" customHeight="1" s="37">
      <c r="A771" s="42" t="inlineStr">
        <is>
          <t>anna sui sky uk</t>
        </is>
      </c>
      <c r="B771" s="42" t="inlineStr">
        <is>
          <t>Informational</t>
        </is>
      </c>
      <c r="C771" s="55" t="n">
        <v>0</v>
      </c>
      <c r="D771" s="42" t="n">
        <v>9</v>
      </c>
      <c r="E771" s="56" t="n">
        <v>0</v>
      </c>
      <c r="F771" s="42" t="n">
        <v>0</v>
      </c>
      <c r="G771" s="42" t="n">
        <v>9</v>
      </c>
      <c r="H771" s="42" t="n"/>
    </row>
    <row r="772" ht="15" customHeight="1" s="37">
      <c r="A772" s="42" t="inlineStr">
        <is>
          <t>antonio banderas boucheron patchouli d'angkor</t>
        </is>
      </c>
      <c r="B772" s="42" t="inlineStr">
        <is>
          <t>Informational</t>
        </is>
      </c>
      <c r="C772" s="55" t="n">
        <v>0</v>
      </c>
      <c r="D772" s="42" t="n">
        <v>9</v>
      </c>
      <c r="E772" s="56" t="n"/>
      <c r="F772" s="42" t="n"/>
      <c r="G772" s="42" t="n">
        <v>4</v>
      </c>
      <c r="H772" s="42" t="inlineStr">
        <is>
          <t>No Semrush data (n/a)</t>
        </is>
      </c>
    </row>
    <row r="773" ht="15" customHeight="1" s="37">
      <c r="A773" s="42" t="inlineStr">
        <is>
          <t>antonio banderas boucheron patchouli d'angkor uk</t>
        </is>
      </c>
      <c r="B773" s="42" t="inlineStr">
        <is>
          <t>Informational</t>
        </is>
      </c>
      <c r="C773" s="55" t="n">
        <v>0</v>
      </c>
      <c r="D773" s="42" t="n">
        <v>8</v>
      </c>
      <c r="E773" s="56" t="n"/>
      <c r="F773" s="42" t="n"/>
      <c r="G773" s="42" t="n">
        <v>9</v>
      </c>
      <c r="H773" s="42" t="inlineStr">
        <is>
          <t>No Semrush data (n/a)</t>
        </is>
      </c>
    </row>
    <row r="774" ht="15" customHeight="1" s="37">
      <c r="A774" s="42" t="inlineStr">
        <is>
          <t>antonio banderas boucheron rose d'isparta</t>
        </is>
      </c>
      <c r="B774" s="42" t="inlineStr">
        <is>
          <t>Informational</t>
        </is>
      </c>
      <c r="C774" s="55" t="n">
        <v>0</v>
      </c>
      <c r="D774" s="42" t="n">
        <v>17</v>
      </c>
      <c r="E774" s="56" t="n"/>
      <c r="F774" s="42" t="n"/>
      <c r="G774" s="42" t="n">
        <v>4</v>
      </c>
      <c r="H774" s="42" t="inlineStr">
        <is>
          <t>No Semrush data (n/a)</t>
        </is>
      </c>
    </row>
    <row r="775" ht="15" customHeight="1" s="37">
      <c r="A775" s="42" t="inlineStr">
        <is>
          <t>antonio banderas boucheron rose d'isparta uk</t>
        </is>
      </c>
      <c r="B775" s="42" t="inlineStr">
        <is>
          <t>Informational</t>
        </is>
      </c>
      <c r="C775" s="55" t="n">
        <v>0</v>
      </c>
      <c r="D775" s="42" t="n">
        <v>8</v>
      </c>
      <c r="E775" s="56" t="n"/>
      <c r="F775" s="42" t="n"/>
      <c r="G775" s="42" t="n">
        <v>9</v>
      </c>
      <c r="H775" s="42" t="inlineStr">
        <is>
          <t>No Semrush data (n/a)</t>
        </is>
      </c>
    </row>
    <row r="776" ht="15" customHeight="1" s="37">
      <c r="A776" s="42" t="inlineStr">
        <is>
          <t>antonio banderas diavolo uk</t>
        </is>
      </c>
      <c r="B776" s="42" t="inlineStr">
        <is>
          <t>Informational</t>
        </is>
      </c>
      <c r="C776" s="55" t="n">
        <v>0</v>
      </c>
      <c r="D776" s="42" t="n">
        <v>11</v>
      </c>
      <c r="E776" s="56" t="n"/>
      <c r="F776" s="42" t="n"/>
      <c r="G776" s="42" t="n">
        <v>9</v>
      </c>
      <c r="H776" s="42" t="inlineStr">
        <is>
          <t>No Semrush data (n/a)</t>
        </is>
      </c>
    </row>
    <row r="777" ht="15" customHeight="1" s="37">
      <c r="A777" s="42" t="inlineStr">
        <is>
          <t>antonio banderas her secret desire uk</t>
        </is>
      </c>
      <c r="B777" s="42" t="inlineStr">
        <is>
          <t>Commercial</t>
        </is>
      </c>
      <c r="C777" s="55" t="n">
        <v>0</v>
      </c>
      <c r="D777" s="42" t="n">
        <v>13</v>
      </c>
      <c r="E777" s="56" t="n"/>
      <c r="F777" s="42" t="n"/>
      <c r="G777" s="42" t="n">
        <v>9</v>
      </c>
      <c r="H777" s="42" t="inlineStr">
        <is>
          <t>No Semrush data (n/a)</t>
        </is>
      </c>
    </row>
    <row r="778" ht="15" customHeight="1" s="37">
      <c r="A778" s="42" t="inlineStr">
        <is>
          <t>antonio banderas her secret temptation uk</t>
        </is>
      </c>
      <c r="B778" s="42" t="inlineStr">
        <is>
          <t>Informational</t>
        </is>
      </c>
      <c r="C778" s="55" t="n">
        <v>0</v>
      </c>
      <c r="D778" s="42" t="n">
        <v>17</v>
      </c>
      <c r="E778" s="56" t="n"/>
      <c r="F778" s="42" t="n"/>
      <c r="G778" s="42" t="n">
        <v>9</v>
      </c>
      <c r="H778" s="42" t="inlineStr">
        <is>
          <t>No Semrush data (n/a)</t>
        </is>
      </c>
    </row>
    <row r="779" ht="15" customHeight="1" s="37">
      <c r="A779" s="42" t="inlineStr">
        <is>
          <t>antonio banderas perfume for women</t>
        </is>
      </c>
      <c r="B779" s="42" t="inlineStr">
        <is>
          <t>Informational</t>
        </is>
      </c>
      <c r="C779" s="55" t="n">
        <v>0</v>
      </c>
      <c r="D779" s="42" t="n">
        <v>9</v>
      </c>
      <c r="E779" s="56" t="n">
        <v>0</v>
      </c>
      <c r="F779" s="42" t="n">
        <v>1</v>
      </c>
      <c r="G779" s="42" t="n">
        <v>1</v>
      </c>
      <c r="H779" s="42" t="n"/>
    </row>
    <row r="780" ht="15" customHeight="1" s="37">
      <c r="A780" s="42" t="inlineStr">
        <is>
          <t>antonio banderas power of seduction uk</t>
        </is>
      </c>
      <c r="B780" s="42" t="inlineStr">
        <is>
          <t>Informational</t>
        </is>
      </c>
      <c r="C780" s="55" t="n">
        <v>0</v>
      </c>
      <c r="D780" s="42" t="n">
        <v>12</v>
      </c>
      <c r="E780" s="56" t="n"/>
      <c r="F780" s="42" t="n"/>
      <c r="G780" s="42" t="n">
        <v>9</v>
      </c>
      <c r="H780" s="42" t="inlineStr">
        <is>
          <t>No Semrush data (n/a)</t>
        </is>
      </c>
    </row>
    <row r="781" ht="15" customHeight="1" s="37">
      <c r="A781" s="42" t="inlineStr">
        <is>
          <t>aquatic perfume uk</t>
        </is>
      </c>
      <c r="B781" s="42" t="inlineStr">
        <is>
          <t>Commercial</t>
        </is>
      </c>
      <c r="C781" s="55" t="n">
        <v>0</v>
      </c>
      <c r="D781" s="42" t="n">
        <v>22</v>
      </c>
      <c r="E781" s="56" t="n"/>
      <c r="F781" s="42" t="n"/>
      <c r="G781" s="42" t="n">
        <v>1</v>
      </c>
      <c r="H781" s="42" t="inlineStr">
        <is>
          <t>No Semrush data (n/a)</t>
        </is>
      </c>
    </row>
    <row r="782" ht="15" customHeight="1" s="37">
      <c r="A782" s="42" t="inlineStr">
        <is>
          <t>armaf hunter uk</t>
        </is>
      </c>
      <c r="B782" s="42" t="inlineStr">
        <is>
          <t>Informational</t>
        </is>
      </c>
      <c r="C782" s="55" t="n">
        <v>0</v>
      </c>
      <c r="D782" s="42" t="n">
        <v>18</v>
      </c>
      <c r="E782" s="56" t="n"/>
      <c r="F782" s="42" t="n"/>
      <c r="G782" s="42" t="n">
        <v>9</v>
      </c>
      <c r="H782" s="42" t="inlineStr">
        <is>
          <t>No Semrush data (n/a)</t>
        </is>
      </c>
    </row>
    <row r="783" ht="15" customHeight="1" s="37">
      <c r="A783" s="42" t="inlineStr">
        <is>
          <t>aromatic perfume for men uk</t>
        </is>
      </c>
      <c r="B783" s="42" t="inlineStr">
        <is>
          <t>Informational</t>
        </is>
      </c>
      <c r="C783" s="55" t="n">
        <v>0</v>
      </c>
      <c r="D783" s="42" t="n">
        <v>14</v>
      </c>
      <c r="E783" s="56" t="n"/>
      <c r="F783" s="42" t="n"/>
      <c r="G783" s="42" t="n">
        <v>1</v>
      </c>
      <c r="H783" s="42" t="inlineStr">
        <is>
          <t>No Semrush data (n/a)</t>
        </is>
      </c>
    </row>
    <row r="784" ht="15" customHeight="1" s="37">
      <c r="A784" s="42" t="inlineStr">
        <is>
          <t>bentley absolute uk</t>
        </is>
      </c>
      <c r="B784" s="42" t="inlineStr">
        <is>
          <t>Informational</t>
        </is>
      </c>
      <c r="C784" s="55" t="n">
        <v>0</v>
      </c>
      <c r="D784" s="42" t="n">
        <v>10</v>
      </c>
      <c r="E784" s="56" t="n">
        <v>0</v>
      </c>
      <c r="F784" s="42" t="n">
        <v>0.71</v>
      </c>
      <c r="G784" s="42" t="n">
        <v>9</v>
      </c>
      <c r="H784" s="42" t="n"/>
    </row>
    <row r="785" ht="15" customHeight="1" s="37">
      <c r="A785" s="42" t="inlineStr">
        <is>
          <t>bentley azure uk</t>
        </is>
      </c>
      <c r="B785" s="42" t="inlineStr">
        <is>
          <t>Commercial</t>
        </is>
      </c>
      <c r="C785" s="55" t="n">
        <v>0</v>
      </c>
      <c r="D785" s="42" t="n">
        <v>16</v>
      </c>
      <c r="E785" s="56" t="n"/>
      <c r="F785" s="42" t="n"/>
      <c r="G785" s="42" t="n">
        <v>9</v>
      </c>
      <c r="H785" s="42" t="inlineStr">
        <is>
          <t>No Semrush data (n/a)</t>
        </is>
      </c>
    </row>
    <row r="786" ht="15" customHeight="1" s="37">
      <c r="A786" s="42" t="inlineStr">
        <is>
          <t>bentley azzaro chrome legend</t>
        </is>
      </c>
      <c r="B786" s="42" t="inlineStr">
        <is>
          <t>Informational</t>
        </is>
      </c>
      <c r="C786" s="55" t="n">
        <v>0</v>
      </c>
      <c r="D786" s="42" t="n">
        <v>23</v>
      </c>
      <c r="E786" s="56" t="n"/>
      <c r="F786" s="42" t="n"/>
      <c r="G786" s="42" t="n">
        <v>4</v>
      </c>
      <c r="H786" s="42" t="inlineStr">
        <is>
          <t>No Semrush data (n/a)</t>
        </is>
      </c>
    </row>
    <row r="787" ht="15" customHeight="1" s="37">
      <c r="A787" s="42" t="inlineStr">
        <is>
          <t>bentley azzaro chrome legend uk</t>
        </is>
      </c>
      <c r="B787" s="42" t="inlineStr">
        <is>
          <t>Informational</t>
        </is>
      </c>
      <c r="C787" s="55" t="n">
        <v>0</v>
      </c>
      <c r="D787" s="42" t="n">
        <v>13</v>
      </c>
      <c r="E787" s="56" t="n"/>
      <c r="F787" s="42" t="n"/>
      <c r="G787" s="42" t="n">
        <v>9</v>
      </c>
      <c r="H787" s="42" t="inlineStr">
        <is>
          <t>No Semrush data (n/a)</t>
        </is>
      </c>
    </row>
    <row r="788" ht="15" customHeight="1" s="37">
      <c r="A788" s="42" t="inlineStr">
        <is>
          <t>bentley azzaro pour homme deodorant</t>
        </is>
      </c>
      <c r="B788" s="42" t="inlineStr">
        <is>
          <t>Informational Commercial</t>
        </is>
      </c>
      <c r="C788" s="55" t="n">
        <v>0</v>
      </c>
      <c r="D788" s="42" t="n">
        <v>13</v>
      </c>
      <c r="E788" s="56" t="n"/>
      <c r="F788" s="42" t="n"/>
      <c r="G788" s="42" t="n">
        <v>4</v>
      </c>
      <c r="H788" s="42" t="inlineStr">
        <is>
          <t>No Semrush data (n/a)</t>
        </is>
      </c>
    </row>
    <row r="789" ht="15" customHeight="1" s="37">
      <c r="A789" s="42" t="inlineStr">
        <is>
          <t>bentley azzaro pour homme deodorant uk</t>
        </is>
      </c>
      <c r="B789" s="42" t="inlineStr">
        <is>
          <t>Navigational</t>
        </is>
      </c>
      <c r="C789" s="55" t="n">
        <v>0</v>
      </c>
      <c r="D789" s="42" t="n">
        <v>9</v>
      </c>
      <c r="E789" s="56" t="n"/>
      <c r="F789" s="42" t="n"/>
      <c r="G789" s="42" t="n">
        <v>9</v>
      </c>
      <c r="H789" s="42" t="inlineStr">
        <is>
          <t>No Semrush data (n/a)</t>
        </is>
      </c>
    </row>
    <row r="790" ht="15" customHeight="1" s="37">
      <c r="A790" s="42" t="inlineStr">
        <is>
          <t>bentley azzaro the most wanted</t>
        </is>
      </c>
      <c r="B790" s="42" t="inlineStr">
        <is>
          <t>Informational</t>
        </is>
      </c>
      <c r="C790" s="55" t="n">
        <v>0</v>
      </c>
      <c r="D790" s="42" t="n">
        <v>13</v>
      </c>
      <c r="E790" s="56" t="n"/>
      <c r="F790" s="42" t="n"/>
      <c r="G790" s="42" t="n">
        <v>4</v>
      </c>
      <c r="H790" s="42" t="inlineStr">
        <is>
          <t>No Semrush data (n/a)</t>
        </is>
      </c>
    </row>
    <row r="791" ht="15" customHeight="1" s="37">
      <c r="A791" s="42" t="inlineStr">
        <is>
          <t>bentley azzaro the most wanted intense gift set</t>
        </is>
      </c>
      <c r="B791" s="42" t="inlineStr">
        <is>
          <t>Transactional</t>
        </is>
      </c>
      <c r="C791" s="55" t="n">
        <v>0</v>
      </c>
      <c r="D791" s="42" t="n">
        <v>13</v>
      </c>
      <c r="E791" s="56" t="n"/>
      <c r="F791" s="42" t="n"/>
      <c r="G791" s="42" t="n">
        <v>4</v>
      </c>
      <c r="H791" s="42" t="inlineStr">
        <is>
          <t>No Semrush data (n/a)</t>
        </is>
      </c>
    </row>
    <row r="792" ht="15" customHeight="1" s="37">
      <c r="A792" s="42" t="inlineStr">
        <is>
          <t>bentley azzaro the most wanted intense gift set uk</t>
        </is>
      </c>
      <c r="B792" s="42" t="inlineStr">
        <is>
          <t>Informational Transactional</t>
        </is>
      </c>
      <c r="C792" s="55" t="n">
        <v>0</v>
      </c>
      <c r="D792" s="42" t="n">
        <v>12</v>
      </c>
      <c r="E792" s="56" t="n"/>
      <c r="F792" s="42" t="n"/>
      <c r="G792" s="42" t="n">
        <v>9</v>
      </c>
      <c r="H792" s="42" t="inlineStr">
        <is>
          <t>No Semrush data (n/a)</t>
        </is>
      </c>
    </row>
    <row r="793" ht="15" customHeight="1" s="37">
      <c r="A793" s="42" t="inlineStr">
        <is>
          <t>bentley azzaro the most wanted uk</t>
        </is>
      </c>
      <c r="B793" s="42" t="inlineStr">
        <is>
          <t>Informational</t>
        </is>
      </c>
      <c r="C793" s="55" t="n">
        <v>0</v>
      </c>
      <c r="D793" s="42" t="n">
        <v>10</v>
      </c>
      <c r="E793" s="56" t="n"/>
      <c r="F793" s="42" t="n"/>
      <c r="G793" s="42" t="n">
        <v>9</v>
      </c>
      <c r="H793" s="42" t="inlineStr">
        <is>
          <t>No Semrush data (n/a)</t>
        </is>
      </c>
    </row>
    <row r="794" ht="15" customHeight="1" s="37">
      <c r="A794" s="42" t="inlineStr">
        <is>
          <t>bentley become uk</t>
        </is>
      </c>
      <c r="B794" s="42" t="inlineStr">
        <is>
          <t>Informational</t>
        </is>
      </c>
      <c r="C794" s="55" t="n">
        <v>0</v>
      </c>
      <c r="D794" s="42" t="n">
        <v>20</v>
      </c>
      <c r="E794" s="56" t="n"/>
      <c r="F794" s="42" t="n"/>
      <c r="G794" s="42" t="n">
        <v>9</v>
      </c>
      <c r="H794" s="42" t="inlineStr">
        <is>
          <t>No Semrush data (n/a)</t>
        </is>
      </c>
    </row>
    <row r="795" ht="15" customHeight="1" s="37">
      <c r="A795" s="42" t="inlineStr">
        <is>
          <t>bentley infinite uk</t>
        </is>
      </c>
      <c r="B795" s="42" t="inlineStr">
        <is>
          <t>Informational</t>
        </is>
      </c>
      <c r="C795" s="55" t="n">
        <v>0</v>
      </c>
      <c r="D795" s="42" t="n">
        <v>15</v>
      </c>
      <c r="E795" s="56" t="n"/>
      <c r="F795" s="42" t="n"/>
      <c r="G795" s="42" t="n">
        <v>9</v>
      </c>
      <c r="H795" s="42" t="inlineStr">
        <is>
          <t>No Semrush data (n/a)</t>
        </is>
      </c>
    </row>
    <row r="796" ht="15" customHeight="1" s="37">
      <c r="A796" s="42" t="inlineStr">
        <is>
          <t>bentley momentum unlimited uk</t>
        </is>
      </c>
      <c r="B796" s="42" t="inlineStr">
        <is>
          <t>Informational</t>
        </is>
      </c>
      <c r="C796" s="55" t="n">
        <v>0</v>
      </c>
      <c r="D796" s="42" t="n">
        <v>17</v>
      </c>
      <c r="E796" s="56" t="n"/>
      <c r="F796" s="42" t="n"/>
      <c r="G796" s="42" t="n">
        <v>9</v>
      </c>
      <c r="H796" s="42" t="inlineStr">
        <is>
          <t>No Semrush data (n/a)</t>
        </is>
      </c>
    </row>
    <row r="797" ht="15" customHeight="1" s="37">
      <c r="A797" s="42" t="inlineStr">
        <is>
          <t>body care for body hydration</t>
        </is>
      </c>
      <c r="B797" s="42" t="inlineStr">
        <is>
          <t>Informational</t>
        </is>
      </c>
      <c r="C797" s="55" t="n">
        <v>0</v>
      </c>
      <c r="D797" s="42" t="n">
        <v>15</v>
      </c>
      <c r="E797" s="56" t="n"/>
      <c r="F797" s="42" t="n"/>
      <c r="G797" s="42" t="n">
        <v>2</v>
      </c>
      <c r="H797" s="42" t="inlineStr">
        <is>
          <t>No Semrush data (n/a)</t>
        </is>
      </c>
    </row>
    <row r="798" ht="15" customHeight="1" s="37">
      <c r="A798" s="42" t="inlineStr">
        <is>
          <t>body oil for body hydration</t>
        </is>
      </c>
      <c r="B798" s="42" t="inlineStr">
        <is>
          <t>Informational Commercial</t>
        </is>
      </c>
      <c r="C798" s="55" t="n">
        <v>0</v>
      </c>
      <c r="D798" s="42" t="n">
        <v>20</v>
      </c>
      <c r="E798" s="56" t="n"/>
      <c r="F798" s="42" t="n"/>
      <c r="G798" s="42" t="n">
        <v>2</v>
      </c>
      <c r="H798" s="42" t="inlineStr">
        <is>
          <t>No Semrush data (n/a)</t>
        </is>
      </c>
    </row>
    <row r="799" ht="15" customHeight="1" s="37">
      <c r="A799" s="42" t="inlineStr">
        <is>
          <t>body scrub for dull skin</t>
        </is>
      </c>
      <c r="B799" s="42" t="inlineStr">
        <is>
          <t>Commercial</t>
        </is>
      </c>
      <c r="C799" s="55" t="n">
        <v>0</v>
      </c>
      <c r="D799" s="42" t="n">
        <v>31</v>
      </c>
      <c r="E799" s="56" t="n"/>
      <c r="F799" s="42" t="n"/>
      <c r="G799" s="42" t="n">
        <v>2</v>
      </c>
      <c r="H799" s="42" t="inlineStr">
        <is>
          <t>No Semrush data (n/a)</t>
        </is>
      </c>
    </row>
    <row r="800" ht="15" customHeight="1" s="37">
      <c r="A800" s="42" t="inlineStr">
        <is>
          <t>body wash for body cleansing</t>
        </is>
      </c>
      <c r="B800" s="42" t="inlineStr">
        <is>
          <t>Informational</t>
        </is>
      </c>
      <c r="C800" s="55" t="n">
        <v>0</v>
      </c>
      <c r="D800" s="42" t="n">
        <v>27</v>
      </c>
      <c r="E800" s="56" t="n"/>
      <c r="F800" s="42" t="n"/>
      <c r="G800" s="42" t="n">
        <v>2</v>
      </c>
      <c r="H800" s="42" t="inlineStr">
        <is>
          <t>No Semrush data (n/a)</t>
        </is>
      </c>
    </row>
    <row r="801" ht="15" customHeight="1" s="37">
      <c r="A801" s="42" t="inlineStr">
        <is>
          <t>burberry miniature set uk</t>
        </is>
      </c>
      <c r="B801" s="42" t="inlineStr">
        <is>
          <t>Informational</t>
        </is>
      </c>
      <c r="C801" s="55" t="n">
        <v>0</v>
      </c>
      <c r="D801" s="42" t="n">
        <v>22</v>
      </c>
      <c r="E801" s="56" t="n"/>
      <c r="F801" s="42" t="n"/>
      <c r="G801" s="42" t="n">
        <v>9</v>
      </c>
      <c r="H801" s="42" t="inlineStr">
        <is>
          <t>No Semrush data (n/a)</t>
        </is>
      </c>
    </row>
    <row r="802" ht="15" customHeight="1" s="37">
      <c r="A802" s="42" t="inlineStr">
        <is>
          <t>burberry my burberry black uk</t>
        </is>
      </c>
      <c r="B802" s="42" t="inlineStr">
        <is>
          <t>Navigational</t>
        </is>
      </c>
      <c r="C802" s="55" t="n">
        <v>0</v>
      </c>
      <c r="D802" s="42" t="n">
        <v>21</v>
      </c>
      <c r="E802" s="56" t="n"/>
      <c r="F802" s="42" t="n"/>
      <c r="G802" s="42" t="n">
        <v>9</v>
      </c>
      <c r="H802" s="42" t="inlineStr">
        <is>
          <t>No Semrush data (n/a)</t>
        </is>
      </c>
    </row>
    <row r="803" ht="15" customHeight="1" s="37">
      <c r="A803" s="42" t="inlineStr">
        <is>
          <t>burberry my burberry uk</t>
        </is>
      </c>
      <c r="B803" s="42" t="inlineStr">
        <is>
          <t>Navigational</t>
        </is>
      </c>
      <c r="C803" s="55" t="n">
        <v>0</v>
      </c>
      <c r="D803" s="42" t="n">
        <v>28</v>
      </c>
      <c r="E803" s="56" t="n"/>
      <c r="F803" s="42" t="n"/>
      <c r="G803" s="42" t="n">
        <v>9</v>
      </c>
      <c r="H803" s="42" t="inlineStr">
        <is>
          <t>No Semrush data (n/a)</t>
        </is>
      </c>
    </row>
    <row r="804" ht="15" customHeight="1" s="37">
      <c r="A804" s="42" t="inlineStr">
        <is>
          <t>buy al haramain amber oud online</t>
        </is>
      </c>
      <c r="B804" s="42" t="inlineStr">
        <is>
          <t>Transactional</t>
        </is>
      </c>
      <c r="C804" s="55" t="n">
        <v>0</v>
      </c>
      <c r="D804" s="42" t="n">
        <v>10</v>
      </c>
      <c r="E804" s="56" t="n"/>
      <c r="F804" s="42" t="n"/>
      <c r="G804" s="42" t="inlineStr">
        <is>
          <t>T3-1</t>
        </is>
      </c>
      <c r="H804" s="42" t="inlineStr">
        <is>
          <t>No Semrush data (n/a)</t>
        </is>
      </c>
    </row>
    <row r="805" ht="15" customHeight="1" s="37">
      <c r="A805" s="42" t="inlineStr">
        <is>
          <t>buy bentley azure online</t>
        </is>
      </c>
      <c r="B805" s="42" t="inlineStr">
        <is>
          <t>Transactional</t>
        </is>
      </c>
      <c r="C805" s="55" t="n">
        <v>0</v>
      </c>
      <c r="D805" s="42" t="n">
        <v>18</v>
      </c>
      <c r="E805" s="56" t="n"/>
      <c r="F805" s="42" t="n"/>
      <c r="G805" s="42" t="inlineStr">
        <is>
          <t>T3-1</t>
        </is>
      </c>
      <c r="H805" s="42" t="inlineStr">
        <is>
          <t>No Semrush data (n/a)</t>
        </is>
      </c>
    </row>
    <row r="806" ht="15" customHeight="1" s="37">
      <c r="A806" s="42" t="inlineStr">
        <is>
          <t>buy bvlgari man in black online</t>
        </is>
      </c>
      <c r="B806" s="42" t="inlineStr">
        <is>
          <t>Transactional</t>
        </is>
      </c>
      <c r="C806" s="55" t="n">
        <v>0</v>
      </c>
      <c r="D806" s="42" t="n">
        <v>18</v>
      </c>
      <c r="E806" s="56" t="n"/>
      <c r="F806" s="42" t="n"/>
      <c r="G806" s="42" t="inlineStr">
        <is>
          <t>T3-1</t>
        </is>
      </c>
      <c r="H806" s="42" t="inlineStr">
        <is>
          <t>No Semrush data (n/a)</t>
        </is>
      </c>
    </row>
    <row r="807" ht="15" customHeight="1" s="37">
      <c r="A807" s="42" t="inlineStr">
        <is>
          <t>buy calvin klein eternity online</t>
        </is>
      </c>
      <c r="B807" s="42" t="inlineStr">
        <is>
          <t>Transactional</t>
        </is>
      </c>
      <c r="C807" s="55" t="n">
        <v>0</v>
      </c>
      <c r="D807" s="42" t="n">
        <v>17</v>
      </c>
      <c r="E807" s="56" t="n"/>
      <c r="F807" s="42" t="n"/>
      <c r="G807" s="42" t="inlineStr">
        <is>
          <t>T3-1</t>
        </is>
      </c>
      <c r="H807" s="42" t="inlineStr">
        <is>
          <t>No Semrush data (n/a)</t>
        </is>
      </c>
    </row>
    <row r="808" ht="15" customHeight="1" s="37">
      <c r="A808" s="42" t="inlineStr">
        <is>
          <t>buy chloe nomade online</t>
        </is>
      </c>
      <c r="B808" s="42" t="inlineStr">
        <is>
          <t>Transactional</t>
        </is>
      </c>
      <c r="C808" s="55" t="n">
        <v>0</v>
      </c>
      <c r="D808" s="42" t="n">
        <v>23</v>
      </c>
      <c r="E808" s="56" t="n"/>
      <c r="F808" s="42" t="n"/>
      <c r="G808" s="42" t="inlineStr">
        <is>
          <t>T3-1</t>
        </is>
      </c>
      <c r="H808" s="42" t="inlineStr">
        <is>
          <t>No Semrush data (n/a)</t>
        </is>
      </c>
    </row>
    <row r="809" ht="15" customHeight="1" s="37">
      <c r="A809" s="42" t="inlineStr">
        <is>
          <t>buy deyga beetroot lip balm</t>
        </is>
      </c>
      <c r="B809" s="42" t="inlineStr">
        <is>
          <t>Transactional Navigational</t>
        </is>
      </c>
      <c r="C809" s="55" t="n">
        <v>0</v>
      </c>
      <c r="D809" s="42" t="n">
        <v>14</v>
      </c>
      <c r="E809" s="56" t="n"/>
      <c r="F809" s="42" t="n"/>
      <c r="G809" s="42" t="n">
        <v>3</v>
      </c>
      <c r="H809" s="42" t="inlineStr">
        <is>
          <t>No Semrush data (n/a)</t>
        </is>
      </c>
    </row>
    <row r="810" ht="15" customHeight="1" s="37">
      <c r="A810" s="42" t="inlineStr">
        <is>
          <t>buy deyga hair removal powder</t>
        </is>
      </c>
      <c r="B810" s="42" t="inlineStr">
        <is>
          <t>Transactional Navigational</t>
        </is>
      </c>
      <c r="C810" s="55" t="n">
        <v>0</v>
      </c>
      <c r="D810" s="42" t="n">
        <v>22</v>
      </c>
      <c r="E810" s="56" t="n"/>
      <c r="F810" s="42" t="n"/>
      <c r="G810" s="42" t="n">
        <v>3</v>
      </c>
      <c r="H810" s="42" t="inlineStr">
        <is>
          <t>No Semrush data (n/a)</t>
        </is>
      </c>
    </row>
    <row r="811" ht="15" customHeight="1" s="37">
      <c r="A811" s="42" t="inlineStr">
        <is>
          <t>buy deyga lip balm</t>
        </is>
      </c>
      <c r="B811" s="42" t="inlineStr">
        <is>
          <t>Transactional</t>
        </is>
      </c>
      <c r="C811" s="55" t="n">
        <v>0</v>
      </c>
      <c r="D811" s="42" t="n">
        <v>22</v>
      </c>
      <c r="E811" s="56" t="n"/>
      <c r="F811" s="42" t="n"/>
      <c r="G811" s="42" t="n">
        <v>3</v>
      </c>
      <c r="H811" s="42" t="inlineStr">
        <is>
          <t>No Semrush data (n/a)</t>
        </is>
      </c>
    </row>
    <row r="812" ht="15" customHeight="1" s="37">
      <c r="A812" s="42" t="inlineStr">
        <is>
          <t>buy deyga products online</t>
        </is>
      </c>
      <c r="B812" s="42" t="inlineStr">
        <is>
          <t>Transactional Navigational</t>
        </is>
      </c>
      <c r="C812" s="55" t="n">
        <v>0</v>
      </c>
      <c r="D812" s="42" t="n">
        <v>14</v>
      </c>
      <c r="E812" s="56" t="n"/>
      <c r="F812" s="42" t="n"/>
      <c r="G812" s="42" t="n">
        <v>1</v>
      </c>
      <c r="H812" s="42" t="inlineStr">
        <is>
          <t>No Semrush data (n/a)</t>
        </is>
      </c>
    </row>
    <row r="813" ht="15" customHeight="1" s="37">
      <c r="A813" s="42" t="inlineStr">
        <is>
          <t>buy game of spades full house online</t>
        </is>
      </c>
      <c r="B813" s="42" t="inlineStr">
        <is>
          <t>Transactional</t>
        </is>
      </c>
      <c r="C813" s="55" t="n">
        <v>0</v>
      </c>
      <c r="D813" s="42" t="n">
        <v>24</v>
      </c>
      <c r="E813" s="56" t="n"/>
      <c r="F813" s="42" t="n"/>
      <c r="G813" s="42" t="inlineStr">
        <is>
          <t>T3-1</t>
        </is>
      </c>
      <c r="H813" s="42" t="inlineStr">
        <is>
          <t>No Semrush data (n/a)</t>
        </is>
      </c>
    </row>
    <row r="814" ht="15" customHeight="1" s="37">
      <c r="A814" s="42" t="inlineStr">
        <is>
          <t>buy gucci flora gorgeous gardenia online</t>
        </is>
      </c>
      <c r="B814" s="42" t="inlineStr">
        <is>
          <t>Transactional</t>
        </is>
      </c>
      <c r="C814" s="55" t="n">
        <v>0</v>
      </c>
      <c r="D814" s="42" t="n">
        <v>16</v>
      </c>
      <c r="E814" s="56" t="n"/>
      <c r="F814" s="42" t="n"/>
      <c r="G814" s="42" t="inlineStr">
        <is>
          <t>T3-1</t>
        </is>
      </c>
      <c r="H814" s="42" t="inlineStr">
        <is>
          <t>No Semrush data (n/a)</t>
        </is>
      </c>
    </row>
    <row r="815" ht="15" customHeight="1" s="37">
      <c r="A815" s="42" t="inlineStr">
        <is>
          <t>buy gucci guilty pour homme online</t>
        </is>
      </c>
      <c r="B815" s="42" t="inlineStr">
        <is>
          <t>Transactional</t>
        </is>
      </c>
      <c r="C815" s="55" t="n">
        <v>0</v>
      </c>
      <c r="D815" s="42" t="n">
        <v>28</v>
      </c>
      <c r="E815" s="56" t="n"/>
      <c r="F815" s="42" t="n"/>
      <c r="G815" s="42" t="inlineStr">
        <is>
          <t>T3-1</t>
        </is>
      </c>
      <c r="H815" s="42" t="inlineStr">
        <is>
          <t>No Semrush data (n/a)</t>
        </is>
      </c>
    </row>
    <row r="816" ht="15" customHeight="1" s="37">
      <c r="A816" s="42" t="inlineStr">
        <is>
          <t>buy gucci intense oud online</t>
        </is>
      </c>
      <c r="B816" s="42" t="inlineStr">
        <is>
          <t>Transactional</t>
        </is>
      </c>
      <c r="C816" s="55" t="n">
        <v>0</v>
      </c>
      <c r="D816" s="42" t="n">
        <v>17</v>
      </c>
      <c r="E816" s="56" t="n"/>
      <c r="F816" s="42" t="n"/>
      <c r="G816" s="42" t="inlineStr">
        <is>
          <t>T3-1</t>
        </is>
      </c>
      <c r="H816" s="42" t="inlineStr">
        <is>
          <t>No Semrush data (n/a)</t>
        </is>
      </c>
    </row>
    <row r="817" ht="15" customHeight="1" s="37">
      <c r="A817" s="42" t="inlineStr">
        <is>
          <t>buy hugo boss bottled online</t>
        </is>
      </c>
      <c r="B817" s="42" t="inlineStr">
        <is>
          <t>Transactional</t>
        </is>
      </c>
      <c r="C817" s="55" t="n">
        <v>0</v>
      </c>
      <c r="D817" s="42" t="n">
        <v>28</v>
      </c>
      <c r="E817" s="56" t="n"/>
      <c r="F817" s="42" t="n"/>
      <c r="G817" s="42" t="inlineStr">
        <is>
          <t>T3-1</t>
        </is>
      </c>
      <c r="H817" s="42" t="inlineStr">
        <is>
          <t>No Semrush data (n/a)</t>
        </is>
      </c>
    </row>
    <row r="818" ht="15" customHeight="1" s="37">
      <c r="A818" s="42" t="inlineStr">
        <is>
          <t>buy joop! homme online</t>
        </is>
      </c>
      <c r="B818" s="42" t="inlineStr">
        <is>
          <t>Transactional</t>
        </is>
      </c>
      <c r="C818" s="55" t="n">
        <v>0</v>
      </c>
      <c r="D818" s="42" t="n">
        <v>18</v>
      </c>
      <c r="E818" s="56" t="n"/>
      <c r="F818" s="42" t="n"/>
      <c r="G818" s="42" t="inlineStr">
        <is>
          <t>T3-1</t>
        </is>
      </c>
      <c r="H818" s="42" t="inlineStr">
        <is>
          <t>No Semrush data (n/a)</t>
        </is>
      </c>
    </row>
    <row r="819" ht="15" customHeight="1" s="37">
      <c r="A819" s="42" t="inlineStr">
        <is>
          <t>buy marc jacobs honey online</t>
        </is>
      </c>
      <c r="B819" s="42" t="inlineStr">
        <is>
          <t>Transactional</t>
        </is>
      </c>
      <c r="C819" s="55" t="n">
        <v>0</v>
      </c>
      <c r="D819" s="42" t="n">
        <v>22</v>
      </c>
      <c r="E819" s="56" t="n"/>
      <c r="F819" s="42" t="n"/>
      <c r="G819" s="42" t="inlineStr">
        <is>
          <t>T3-1</t>
        </is>
      </c>
      <c r="H819" s="42" t="inlineStr">
        <is>
          <t>No Semrush data (n/a)</t>
        </is>
      </c>
    </row>
    <row r="820" ht="15" customHeight="1" s="37">
      <c r="A820" s="42" t="inlineStr">
        <is>
          <t>buy marc jacobs perfect online</t>
        </is>
      </c>
      <c r="B820" s="42" t="inlineStr">
        <is>
          <t>Transactional</t>
        </is>
      </c>
      <c r="C820" s="55" t="n">
        <v>0</v>
      </c>
      <c r="D820" s="42" t="n">
        <v>24</v>
      </c>
      <c r="E820" s="56" t="n"/>
      <c r="F820" s="42" t="n"/>
      <c r="G820" s="42" t="inlineStr">
        <is>
          <t>T3-1</t>
        </is>
      </c>
      <c r="H820" s="42" t="inlineStr">
        <is>
          <t>No Semrush data (n/a)</t>
        </is>
      </c>
    </row>
    <row r="821" ht="15" customHeight="1" s="37">
      <c r="A821" s="42" t="inlineStr">
        <is>
          <t>buy nina ricci l'air du temps online</t>
        </is>
      </c>
      <c r="B821" s="42" t="inlineStr">
        <is>
          <t>Transactional</t>
        </is>
      </c>
      <c r="C821" s="55" t="n">
        <v>0</v>
      </c>
      <c r="D821" s="42" t="n">
        <v>13</v>
      </c>
      <c r="E821" s="56" t="n"/>
      <c r="F821" s="42" t="n"/>
      <c r="G821" s="42" t="inlineStr">
        <is>
          <t>T3-1</t>
        </is>
      </c>
      <c r="H821" s="42" t="inlineStr">
        <is>
          <t>No Semrush data (n/a)</t>
        </is>
      </c>
    </row>
    <row r="822" ht="15" customHeight="1" s="37">
      <c r="A822" s="42" t="inlineStr">
        <is>
          <t>buy paloma picasso online</t>
        </is>
      </c>
      <c r="B822" s="42" t="inlineStr">
        <is>
          <t>Transactional</t>
        </is>
      </c>
      <c r="C822" s="55" t="n">
        <v>0</v>
      </c>
      <c r="D822" s="42" t="n">
        <v>17</v>
      </c>
      <c r="E822" s="56" t="n"/>
      <c r="F822" s="42" t="n"/>
      <c r="G822" s="42" t="inlineStr">
        <is>
          <t>T3-1</t>
        </is>
      </c>
      <c r="H822" s="42" t="inlineStr">
        <is>
          <t>No Semrush data (n/a)</t>
        </is>
      </c>
    </row>
    <row r="823" ht="15" customHeight="1" s="37">
      <c r="A823" s="42" t="inlineStr">
        <is>
          <t>buy tom ford black orchid online</t>
        </is>
      </c>
      <c r="B823" s="42" t="inlineStr">
        <is>
          <t>Transactional</t>
        </is>
      </c>
      <c r="C823" s="55" t="n">
        <v>0</v>
      </c>
      <c r="D823" s="42" t="n">
        <v>23</v>
      </c>
      <c r="E823" s="56" t="n"/>
      <c r="F823" s="42" t="n"/>
      <c r="G823" s="42" t="inlineStr">
        <is>
          <t>T3-1</t>
        </is>
      </c>
      <c r="H823" s="42" t="inlineStr">
        <is>
          <t>No Semrush data (n/a)</t>
        </is>
      </c>
    </row>
    <row r="824" ht="15" customHeight="1" s="37">
      <c r="A824" s="42" t="inlineStr">
        <is>
          <t>buy tom ford neroli portofino online</t>
        </is>
      </c>
      <c r="B824" s="42" t="inlineStr">
        <is>
          <t>Transactional</t>
        </is>
      </c>
      <c r="C824" s="55" t="n">
        <v>0</v>
      </c>
      <c r="D824" s="42" t="n">
        <v>22</v>
      </c>
      <c r="E824" s="56" t="n"/>
      <c r="F824" s="42" t="n"/>
      <c r="G824" s="42" t="inlineStr">
        <is>
          <t>T3-1</t>
        </is>
      </c>
      <c r="H824" s="42" t="inlineStr">
        <is>
          <t>No Semrush data (n/a)</t>
        </is>
      </c>
    </row>
    <row r="825" ht="15" customHeight="1" s="37">
      <c r="A825" s="42" t="inlineStr">
        <is>
          <t>buy tom ford noir extreme online</t>
        </is>
      </c>
      <c r="B825" s="42" t="inlineStr">
        <is>
          <t>Transactional</t>
        </is>
      </c>
      <c r="C825" s="55" t="n">
        <v>0</v>
      </c>
      <c r="D825" s="42" t="n">
        <v>20</v>
      </c>
      <c r="E825" s="56" t="n"/>
      <c r="F825" s="42" t="n"/>
      <c r="G825" s="42" t="inlineStr">
        <is>
          <t>T3-1</t>
        </is>
      </c>
      <c r="H825" s="42" t="inlineStr">
        <is>
          <t>No Semrush data (n/a)</t>
        </is>
      </c>
    </row>
    <row r="826" ht="15" customHeight="1" s="37">
      <c r="A826" s="42" t="inlineStr">
        <is>
          <t>buy tom ford oud wood online</t>
        </is>
      </c>
      <c r="B826" s="42" t="inlineStr">
        <is>
          <t>Transactional</t>
        </is>
      </c>
      <c r="C826" s="55" t="n">
        <v>0</v>
      </c>
      <c r="D826" s="42" t="n">
        <v>17</v>
      </c>
      <c r="E826" s="56" t="n"/>
      <c r="F826" s="42" t="n"/>
      <c r="G826" s="42" t="inlineStr">
        <is>
          <t>T3-1</t>
        </is>
      </c>
      <c r="H826" s="42" t="inlineStr">
        <is>
          <t>No Semrush data (n/a)</t>
        </is>
      </c>
    </row>
    <row r="827" ht="15" customHeight="1" s="37">
      <c r="A827" s="42" t="inlineStr">
        <is>
          <t>buy vilvah</t>
        </is>
      </c>
      <c r="B827" s="42" t="inlineStr">
        <is>
          <t>Transactional</t>
        </is>
      </c>
      <c r="C827" s="55" t="n">
        <v>0</v>
      </c>
      <c r="D827" s="42" t="n">
        <v>20</v>
      </c>
      <c r="E827" s="56" t="n"/>
      <c r="F827" s="42" t="n"/>
      <c r="G827" s="42" t="n">
        <v>3</v>
      </c>
      <c r="H827" s="42" t="inlineStr">
        <is>
          <t>No Semrush data (n/a)</t>
        </is>
      </c>
    </row>
    <row r="828" ht="15" customHeight="1" s="37">
      <c r="A828" s="42" t="inlineStr">
        <is>
          <t>buy vilvah aloe vera gel</t>
        </is>
      </c>
      <c r="B828" s="42" t="inlineStr">
        <is>
          <t>Transactional</t>
        </is>
      </c>
      <c r="C828" s="55" t="n">
        <v>0</v>
      </c>
      <c r="D828" s="42" t="n">
        <v>25</v>
      </c>
      <c r="E828" s="56" t="n"/>
      <c r="F828" s="42" t="n"/>
      <c r="G828" s="42" t="n">
        <v>3</v>
      </c>
      <c r="H828" s="42" t="inlineStr">
        <is>
          <t>No Semrush data (n/a)</t>
        </is>
      </c>
    </row>
    <row r="829" ht="15" customHeight="1" s="37">
      <c r="A829" s="42" t="inlineStr">
        <is>
          <t>buy vilvah face wash</t>
        </is>
      </c>
      <c r="B829" s="42" t="inlineStr">
        <is>
          <t>Transactional</t>
        </is>
      </c>
      <c r="C829" s="55" t="n">
        <v>0</v>
      </c>
      <c r="D829" s="42" t="n">
        <v>17</v>
      </c>
      <c r="E829" s="56" t="n"/>
      <c r="F829" s="42" t="n"/>
      <c r="G829" s="42" t="n">
        <v>3</v>
      </c>
      <c r="H829" s="42" t="inlineStr">
        <is>
          <t>No Semrush data (n/a)</t>
        </is>
      </c>
    </row>
    <row r="830" ht="15" customHeight="1" s="37">
      <c r="A830" s="42" t="inlineStr">
        <is>
          <t>buy vilvah foot cream</t>
        </is>
      </c>
      <c r="B830" s="42" t="inlineStr">
        <is>
          <t>Transactional</t>
        </is>
      </c>
      <c r="C830" s="55" t="n">
        <v>0</v>
      </c>
      <c r="D830" s="42" t="n">
        <v>30</v>
      </c>
      <c r="E830" s="56" t="n"/>
      <c r="F830" s="42" t="n"/>
      <c r="G830" s="42" t="n">
        <v>3</v>
      </c>
      <c r="H830" s="42" t="inlineStr">
        <is>
          <t>No Semrush data (n/a)</t>
        </is>
      </c>
    </row>
    <row r="831" ht="15" customHeight="1" s="37">
      <c r="A831" s="42" t="inlineStr">
        <is>
          <t>buy vilvah lip balm</t>
        </is>
      </c>
      <c r="B831" s="42" t="inlineStr">
        <is>
          <t>Transactional</t>
        </is>
      </c>
      <c r="C831" s="55" t="n">
        <v>0</v>
      </c>
      <c r="D831" s="42" t="n">
        <v>20</v>
      </c>
      <c r="E831" s="56" t="n"/>
      <c r="F831" s="42" t="n"/>
      <c r="G831" s="42" t="n">
        <v>3</v>
      </c>
      <c r="H831" s="42" t="inlineStr">
        <is>
          <t>No Semrush data (n/a)</t>
        </is>
      </c>
    </row>
    <row r="832" ht="15" customHeight="1" s="37">
      <c r="A832" s="42" t="inlineStr">
        <is>
          <t>buy vilvah milk drops</t>
        </is>
      </c>
      <c r="B832" s="42" t="inlineStr">
        <is>
          <t>Informational Transactional</t>
        </is>
      </c>
      <c r="C832" s="55" t="n">
        <v>0</v>
      </c>
      <c r="D832" s="42" t="n">
        <v>20</v>
      </c>
      <c r="E832" s="56" t="n"/>
      <c r="F832" s="42" t="n"/>
      <c r="G832" s="42" t="n">
        <v>3</v>
      </c>
      <c r="H832" s="42" t="inlineStr">
        <is>
          <t>No Semrush data (n/a)</t>
        </is>
      </c>
    </row>
    <row r="833" ht="15" customHeight="1" s="37">
      <c r="A833" s="42" t="inlineStr">
        <is>
          <t>buy vilvah milk drops serum</t>
        </is>
      </c>
      <c r="B833" s="42" t="inlineStr">
        <is>
          <t>Informational Transactional</t>
        </is>
      </c>
      <c r="C833" s="55" t="n">
        <v>0</v>
      </c>
      <c r="D833" s="42" t="n">
        <v>35</v>
      </c>
      <c r="E833" s="56" t="n"/>
      <c r="F833" s="42" t="n"/>
      <c r="G833" s="42" t="n">
        <v>3</v>
      </c>
      <c r="H833" s="42" t="inlineStr">
        <is>
          <t>No Semrush data (n/a)</t>
        </is>
      </c>
    </row>
    <row r="834" ht="15" customHeight="1" s="37">
      <c r="A834" s="42" t="inlineStr">
        <is>
          <t>buy vilvah products</t>
        </is>
      </c>
      <c r="B834" s="42" t="inlineStr">
        <is>
          <t>Transactional</t>
        </is>
      </c>
      <c r="C834" s="55" t="n">
        <v>0</v>
      </c>
      <c r="D834" s="42" t="n">
        <v>25</v>
      </c>
      <c r="E834" s="56" t="n"/>
      <c r="F834" s="42" t="n"/>
      <c r="G834" s="42" t="n">
        <v>3</v>
      </c>
      <c r="H834" s="42" t="inlineStr">
        <is>
          <t>No Semrush data (n/a)</t>
        </is>
      </c>
    </row>
    <row r="835" ht="15" customHeight="1" s="37">
      <c r="A835" s="42" t="inlineStr">
        <is>
          <t>buy vilvah products online</t>
        </is>
      </c>
      <c r="B835" s="42" t="inlineStr">
        <is>
          <t>Transactional</t>
        </is>
      </c>
      <c r="C835" s="55" t="n">
        <v>0</v>
      </c>
      <c r="D835" s="42" t="n">
        <v>19</v>
      </c>
      <c r="E835" s="56" t="n"/>
      <c r="F835" s="42" t="n"/>
      <c r="G835" s="42" t="n">
        <v>1</v>
      </c>
      <c r="H835" s="42" t="inlineStr">
        <is>
          <t>No Semrush data (n/a)</t>
        </is>
      </c>
    </row>
    <row r="836" ht="15" customHeight="1" s="37">
      <c r="A836" s="42" t="inlineStr">
        <is>
          <t>buy vilvah sunscreen</t>
        </is>
      </c>
      <c r="B836" s="42" t="inlineStr">
        <is>
          <t>Transactional</t>
        </is>
      </c>
      <c r="C836" s="55" t="n">
        <v>0</v>
      </c>
      <c r="D836" s="42" t="n">
        <v>13</v>
      </c>
      <c r="E836" s="56" t="n"/>
      <c r="F836" s="42" t="n"/>
      <c r="G836" s="42" t="n">
        <v>3</v>
      </c>
      <c r="H836" s="42" t="inlineStr">
        <is>
          <t>No Semrush data (n/a)</t>
        </is>
      </c>
    </row>
    <row r="837" ht="15" customHeight="1" s="37">
      <c r="A837" s="42" t="inlineStr">
        <is>
          <t>buy vilvah under eye cream</t>
        </is>
      </c>
      <c r="B837" s="42" t="inlineStr">
        <is>
          <t>Transactional</t>
        </is>
      </c>
      <c r="C837" s="55" t="n">
        <v>0</v>
      </c>
      <c r="D837" s="42" t="n">
        <v>21</v>
      </c>
      <c r="E837" s="56" t="n"/>
      <c r="F837" s="42" t="n"/>
      <c r="G837" s="42" t="n">
        <v>3</v>
      </c>
      <c r="H837" s="42" t="inlineStr">
        <is>
          <t>No Semrush data (n/a)</t>
        </is>
      </c>
    </row>
    <row r="838" ht="15" customHeight="1" s="37">
      <c r="A838" s="42" t="inlineStr">
        <is>
          <t>bvlgari man glacial essence gift set uk</t>
        </is>
      </c>
      <c r="B838" s="42" t="inlineStr">
        <is>
          <t>Informational</t>
        </is>
      </c>
      <c r="C838" s="55" t="n">
        <v>0</v>
      </c>
      <c r="D838" s="42" t="n">
        <v>17</v>
      </c>
      <c r="E838" s="56" t="n"/>
      <c r="F838" s="42" t="n"/>
      <c r="G838" s="42" t="n">
        <v>9</v>
      </c>
      <c r="H838" s="42" t="inlineStr">
        <is>
          <t>No Semrush data (n/a)</t>
        </is>
      </c>
    </row>
    <row r="839" ht="15" customHeight="1" s="37">
      <c r="A839" s="42" t="inlineStr">
        <is>
          <t>bvlgari man rain essence gift set uk</t>
        </is>
      </c>
      <c r="B839" s="42" t="inlineStr">
        <is>
          <t>Informational</t>
        </is>
      </c>
      <c r="C839" s="55" t="n">
        <v>0</v>
      </c>
      <c r="D839" s="42" t="n">
        <v>18</v>
      </c>
      <c r="E839" s="56" t="n"/>
      <c r="F839" s="42" t="n"/>
      <c r="G839" s="42" t="n">
        <v>9</v>
      </c>
      <c r="H839" s="42" t="inlineStr">
        <is>
          <t>No Semrush data (n/a)</t>
        </is>
      </c>
    </row>
    <row r="840" ht="15" customHeight="1" s="37">
      <c r="A840" s="42" t="inlineStr">
        <is>
          <t>bvlgari man terrae essence gift set uk</t>
        </is>
      </c>
      <c r="B840" s="42" t="inlineStr">
        <is>
          <t>Informational</t>
        </is>
      </c>
      <c r="C840" s="55" t="n">
        <v>0</v>
      </c>
      <c r="D840" s="42" t="n">
        <v>16</v>
      </c>
      <c r="E840" s="56" t="n"/>
      <c r="F840" s="42" t="n"/>
      <c r="G840" s="42" t="n">
        <v>9</v>
      </c>
      <c r="H840" s="42" t="inlineStr">
        <is>
          <t>No Semrush data (n/a)</t>
        </is>
      </c>
    </row>
    <row r="841" ht="15" customHeight="1" s="37">
      <c r="A841" s="42" t="inlineStr">
        <is>
          <t>bvlgari man wood essence gift set uk</t>
        </is>
      </c>
      <c r="B841" s="42" t="inlineStr">
        <is>
          <t>Informational Transactional</t>
        </is>
      </c>
      <c r="C841" s="55" t="n">
        <v>0</v>
      </c>
      <c r="D841" s="42" t="n">
        <v>17</v>
      </c>
      <c r="E841" s="56" t="n"/>
      <c r="F841" s="42" t="n"/>
      <c r="G841" s="42" t="n">
        <v>9</v>
      </c>
      <c r="H841" s="42" t="inlineStr">
        <is>
          <t>No Semrush data (n/a)</t>
        </is>
      </c>
    </row>
    <row r="842" ht="15" customHeight="1" s="37">
      <c r="A842" s="42" t="inlineStr">
        <is>
          <t>bvlgari rose goldea blossom delight gift set uk</t>
        </is>
      </c>
      <c r="B842" s="42" t="inlineStr">
        <is>
          <t>Informational Commercial</t>
        </is>
      </c>
      <c r="C842" s="55" t="n">
        <v>0</v>
      </c>
      <c r="D842" s="42" t="n">
        <v>16</v>
      </c>
      <c r="E842" s="56" t="n"/>
      <c r="F842" s="42" t="n"/>
      <c r="G842" s="42" t="n">
        <v>9</v>
      </c>
      <c r="H842" s="42" t="inlineStr">
        <is>
          <t>No Semrush data (n/a)</t>
        </is>
      </c>
    </row>
    <row r="843" ht="15" customHeight="1" s="37">
      <c r="A843" s="42" t="inlineStr">
        <is>
          <t>bvlgari splendida tubereuse mystique uk</t>
        </is>
      </c>
      <c r="B843" s="42" t="inlineStr">
        <is>
          <t>Informational</t>
        </is>
      </c>
      <c r="C843" s="55" t="n">
        <v>0</v>
      </c>
      <c r="D843" s="42" t="n">
        <v>22</v>
      </c>
      <c r="E843" s="56" t="n"/>
      <c r="F843" s="42" t="n"/>
      <c r="G843" s="42" t="n">
        <v>9</v>
      </c>
      <c r="H843" s="42" t="inlineStr">
        <is>
          <t>No Semrush data (n/a)</t>
        </is>
      </c>
    </row>
    <row r="844" ht="15" customHeight="1" s="37">
      <c r="A844" s="42" t="inlineStr">
        <is>
          <t>calvin klein defy miniature</t>
        </is>
      </c>
      <c r="B844" s="42" t="inlineStr">
        <is>
          <t>Informational Transactional</t>
        </is>
      </c>
      <c r="C844" s="55" t="n">
        <v>0</v>
      </c>
      <c r="D844" s="42" t="n">
        <v>19</v>
      </c>
      <c r="E844" s="56" t="n"/>
      <c r="F844" s="42" t="n"/>
      <c r="G844" s="42" t="n">
        <v>4</v>
      </c>
      <c r="H844" s="42" t="inlineStr">
        <is>
          <t>No Semrush data (n/a)</t>
        </is>
      </c>
    </row>
    <row r="845" ht="15" customHeight="1" s="37">
      <c r="A845" s="42" t="inlineStr">
        <is>
          <t>calvin klein defy miniature uk</t>
        </is>
      </c>
      <c r="B845" s="42" t="inlineStr">
        <is>
          <t>Informational</t>
        </is>
      </c>
      <c r="C845" s="55" t="n">
        <v>0</v>
      </c>
      <c r="D845" s="42" t="n">
        <v>17</v>
      </c>
      <c r="E845" s="56" t="n"/>
      <c r="F845" s="42" t="n"/>
      <c r="G845" s="42" t="n">
        <v>9</v>
      </c>
      <c r="H845" s="42" t="inlineStr">
        <is>
          <t>No Semrush data (n/a)</t>
        </is>
      </c>
    </row>
    <row r="846" ht="15" customHeight="1" s="37">
      <c r="A846" s="42" t="inlineStr">
        <is>
          <t>calvin klein defy parfum miniature</t>
        </is>
      </c>
      <c r="B846" s="42" t="inlineStr">
        <is>
          <t>Informational</t>
        </is>
      </c>
      <c r="C846" s="55" t="n">
        <v>0</v>
      </c>
      <c r="D846" s="42" t="n">
        <v>22</v>
      </c>
      <c r="E846" s="56" t="n"/>
      <c r="F846" s="42" t="n"/>
      <c r="G846" s="42" t="n">
        <v>4</v>
      </c>
      <c r="H846" s="42" t="inlineStr">
        <is>
          <t>No Semrush data (n/a)</t>
        </is>
      </c>
    </row>
    <row r="847" ht="15" customHeight="1" s="37">
      <c r="A847" s="42" t="inlineStr">
        <is>
          <t>calvin klein defy parfum miniature uk</t>
        </is>
      </c>
      <c r="B847" s="42" t="inlineStr">
        <is>
          <t>Informational</t>
        </is>
      </c>
      <c r="C847" s="55" t="n">
        <v>0</v>
      </c>
      <c r="D847" s="42" t="n">
        <v>17</v>
      </c>
      <c r="E847" s="56" t="n"/>
      <c r="F847" s="42" t="n"/>
      <c r="G847" s="42" t="n">
        <v>9</v>
      </c>
      <c r="H847" s="42" t="inlineStr">
        <is>
          <t>No Semrush data (n/a)</t>
        </is>
      </c>
    </row>
    <row r="848" ht="15" customHeight="1" s="37">
      <c r="A848" s="42" t="inlineStr">
        <is>
          <t>calvin klein eternity aromatic essence parfum intense miniature</t>
        </is>
      </c>
      <c r="B848" s="42" t="inlineStr">
        <is>
          <t>Informational Transactional</t>
        </is>
      </c>
      <c r="C848" s="55" t="n">
        <v>0</v>
      </c>
      <c r="D848" s="42" t="n">
        <v>17</v>
      </c>
      <c r="E848" s="56" t="n"/>
      <c r="F848" s="42" t="n"/>
      <c r="G848" s="42" t="n">
        <v>4</v>
      </c>
      <c r="H848" s="42" t="inlineStr">
        <is>
          <t>No Semrush data (n/a)</t>
        </is>
      </c>
    </row>
    <row r="849" ht="15" customHeight="1" s="37">
      <c r="A849" s="42" t="inlineStr">
        <is>
          <t>calvin klein eternity aromatic essence parfum intense miniature uk</t>
        </is>
      </c>
      <c r="B849" s="42" t="inlineStr">
        <is>
          <t>Informational Transactional</t>
        </is>
      </c>
      <c r="C849" s="55" t="n">
        <v>0</v>
      </c>
      <c r="D849" s="42" t="n">
        <v>17</v>
      </c>
      <c r="E849" s="56" t="n"/>
      <c r="F849" s="42" t="n"/>
      <c r="G849" s="42" t="n">
        <v>9</v>
      </c>
      <c r="H849" s="42" t="inlineStr">
        <is>
          <t>No Semrush data (n/a)</t>
        </is>
      </c>
    </row>
    <row r="850" ht="15" customHeight="1" s="37">
      <c r="A850" s="42" t="inlineStr">
        <is>
          <t>calvin klein eternity parfum miniature</t>
        </is>
      </c>
      <c r="B850" s="42" t="inlineStr">
        <is>
          <t>Informational</t>
        </is>
      </c>
      <c r="C850" s="55" t="n">
        <v>0</v>
      </c>
      <c r="D850" s="42" t="n">
        <v>16</v>
      </c>
      <c r="E850" s="56" t="n"/>
      <c r="F850" s="42" t="n"/>
      <c r="G850" s="42" t="n">
        <v>4</v>
      </c>
      <c r="H850" s="42" t="inlineStr">
        <is>
          <t>No Semrush data (n/a)</t>
        </is>
      </c>
    </row>
    <row r="851" ht="15" customHeight="1" s="37">
      <c r="A851" s="42" t="inlineStr">
        <is>
          <t>calvin klein eternity parfum miniature uk</t>
        </is>
      </c>
      <c r="B851" s="42" t="inlineStr">
        <is>
          <t>Informational Transactional</t>
        </is>
      </c>
      <c r="C851" s="55" t="n">
        <v>0</v>
      </c>
      <c r="D851" s="42" t="n">
        <v>16</v>
      </c>
      <c r="E851" s="56" t="n"/>
      <c r="F851" s="42" t="n"/>
      <c r="G851" s="42" t="n">
        <v>9</v>
      </c>
      <c r="H851" s="42" t="inlineStr">
        <is>
          <t>No Semrush data (n/a)</t>
        </is>
      </c>
    </row>
    <row r="852" ht="15" customHeight="1" s="37">
      <c r="A852" s="42" t="inlineStr">
        <is>
          <t>calvin klein miniature set uk</t>
        </is>
      </c>
      <c r="B852" s="42" t="inlineStr">
        <is>
          <t>Transactional</t>
        </is>
      </c>
      <c r="C852" s="55" t="n">
        <v>0</v>
      </c>
      <c r="D852" s="42" t="n">
        <v>17</v>
      </c>
      <c r="E852" s="56" t="n"/>
      <c r="F852" s="42" t="n"/>
      <c r="G852" s="42" t="n">
        <v>9</v>
      </c>
      <c r="H852" s="42" t="inlineStr">
        <is>
          <t>No Semrush data (n/a)</t>
        </is>
      </c>
    </row>
    <row r="853" ht="15" customHeight="1" s="37">
      <c r="A853" s="42" t="inlineStr">
        <is>
          <t>calvin klein my euphoria miniature</t>
        </is>
      </c>
      <c r="B853" s="42" t="inlineStr">
        <is>
          <t>Informational</t>
        </is>
      </c>
      <c r="C853" s="55" t="n">
        <v>0</v>
      </c>
      <c r="D853" s="42" t="n">
        <v>17</v>
      </c>
      <c r="E853" s="56" t="n"/>
      <c r="F853" s="42" t="n"/>
      <c r="G853" s="42" t="n">
        <v>4</v>
      </c>
      <c r="H853" s="42" t="inlineStr">
        <is>
          <t>No Semrush data (n/a)</t>
        </is>
      </c>
    </row>
    <row r="854" ht="15" customHeight="1" s="37">
      <c r="A854" s="42" t="inlineStr">
        <is>
          <t>calvin klein my euphoria miniature uk</t>
        </is>
      </c>
      <c r="B854" s="42" t="inlineStr">
        <is>
          <t>Informational</t>
        </is>
      </c>
      <c r="C854" s="55" t="n">
        <v>0</v>
      </c>
      <c r="D854" s="42" t="n">
        <v>16</v>
      </c>
      <c r="E854" s="56" t="n"/>
      <c r="F854" s="42" t="n"/>
      <c r="G854" s="42" t="n">
        <v>9</v>
      </c>
      <c r="H854" s="42" t="inlineStr">
        <is>
          <t>No Semrush data (n/a)</t>
        </is>
      </c>
    </row>
    <row r="855" ht="15" customHeight="1" s="37">
      <c r="A855" s="42" t="inlineStr">
        <is>
          <t>carolina herrera 212 sexy men uk</t>
        </is>
      </c>
      <c r="B855" s="42" t="inlineStr">
        <is>
          <t>Informational Transactional</t>
        </is>
      </c>
      <c r="C855" s="55" t="n">
        <v>0</v>
      </c>
      <c r="D855" s="42" t="n">
        <v>16</v>
      </c>
      <c r="E855" s="56" t="n"/>
      <c r="F855" s="42" t="n"/>
      <c r="G855" s="42" t="n">
        <v>9</v>
      </c>
      <c r="H855" s="42" t="inlineStr">
        <is>
          <t>No Semrush data (n/a)</t>
        </is>
      </c>
    </row>
    <row r="856" ht="15" customHeight="1" s="37">
      <c r="A856" s="42" t="inlineStr">
        <is>
          <t>carolina herrera 212 vip men uk</t>
        </is>
      </c>
      <c r="B856" s="42" t="inlineStr">
        <is>
          <t>Informational</t>
        </is>
      </c>
      <c r="C856" s="55" t="n">
        <v>0</v>
      </c>
      <c r="D856" s="42" t="n">
        <v>17</v>
      </c>
      <c r="E856" s="56" t="n"/>
      <c r="F856" s="42" t="n"/>
      <c r="G856" s="42" t="n">
        <v>9</v>
      </c>
      <c r="H856" s="42" t="inlineStr">
        <is>
          <t>No Semrush data (n/a)</t>
        </is>
      </c>
    </row>
    <row r="857" ht="15" customHeight="1" s="37">
      <c r="A857" s="42" t="inlineStr">
        <is>
          <t>carolina herrera 212 vip rose uk</t>
        </is>
      </c>
      <c r="B857" s="42" t="inlineStr">
        <is>
          <t>Informational</t>
        </is>
      </c>
      <c r="C857" s="55" t="n">
        <v>0</v>
      </c>
      <c r="D857" s="42" t="n">
        <v>9</v>
      </c>
      <c r="E857" s="56" t="n">
        <v>0</v>
      </c>
      <c r="F857" s="42" t="n">
        <v>0</v>
      </c>
      <c r="G857" s="42" t="n">
        <v>9</v>
      </c>
      <c r="H857" s="42" t="n"/>
    </row>
    <row r="858" ht="15" customHeight="1" s="37">
      <c r="A858" s="42" t="inlineStr">
        <is>
          <t>carolina herrera bad boy extreme notes</t>
        </is>
      </c>
      <c r="B858" s="42" t="inlineStr">
        <is>
          <t>Informational</t>
        </is>
      </c>
      <c r="C858" s="55" t="n">
        <v>0</v>
      </c>
      <c r="D858" s="42" t="n">
        <v>9</v>
      </c>
      <c r="E858" s="56" t="n">
        <v>0</v>
      </c>
      <c r="F858" s="42" t="n">
        <v>0</v>
      </c>
      <c r="G858" s="42" t="inlineStr">
        <is>
          <t>T3-2</t>
        </is>
      </c>
      <c r="H858" s="42" t="n"/>
    </row>
    <row r="859" ht="15" customHeight="1" s="37">
      <c r="A859" s="42" t="inlineStr">
        <is>
          <t>carolina herrera bad boy extreme review</t>
        </is>
      </c>
      <c r="B859" s="42" t="inlineStr">
        <is>
          <t>Commercial</t>
        </is>
      </c>
      <c r="C859" s="55" t="n">
        <v>0</v>
      </c>
      <c r="D859" s="42" t="n">
        <v>9</v>
      </c>
      <c r="E859" s="56" t="n">
        <v>0</v>
      </c>
      <c r="F859" s="42" t="n">
        <v>0</v>
      </c>
      <c r="G859" s="42" t="inlineStr">
        <is>
          <t>T3-2</t>
        </is>
      </c>
      <c r="H859" s="42" t="n"/>
    </row>
    <row r="860" ht="15" customHeight="1" s="37">
      <c r="A860" s="42" t="inlineStr">
        <is>
          <t>carolina herrera bad boy extreme uk</t>
        </is>
      </c>
      <c r="B860" s="42" t="inlineStr">
        <is>
          <t>Informational Transactional</t>
        </is>
      </c>
      <c r="C860" s="55" t="n">
        <v>0</v>
      </c>
      <c r="D860" s="42" t="n">
        <v>16</v>
      </c>
      <c r="E860" s="56" t="n"/>
      <c r="F860" s="42" t="n"/>
      <c r="G860" s="42" t="n">
        <v>9</v>
      </c>
      <c r="H860" s="42" t="inlineStr">
        <is>
          <t>No Semrush data (n/a)</t>
        </is>
      </c>
    </row>
    <row r="861" ht="15" customHeight="1" s="37">
      <c r="A861" s="42" t="inlineStr">
        <is>
          <t>carolina herrera bad boy le</t>
        </is>
      </c>
      <c r="B861" s="42" t="inlineStr">
        <is>
          <t>Informational Transactional</t>
        </is>
      </c>
      <c r="C861" s="55" t="n">
        <v>0</v>
      </c>
      <c r="D861" s="42" t="n">
        <v>9</v>
      </c>
      <c r="E861" s="56" t="n">
        <v>0</v>
      </c>
      <c r="F861" s="42" t="n">
        <v>0</v>
      </c>
      <c r="G861" s="42" t="n">
        <v>4</v>
      </c>
      <c r="H861" s="42" t="n"/>
    </row>
    <row r="862" ht="15" customHeight="1" s="37">
      <c r="A862" s="42" t="inlineStr">
        <is>
          <t>carolina herrera bad boy le uk</t>
        </is>
      </c>
      <c r="B862" s="42" t="inlineStr">
        <is>
          <t>Informational</t>
        </is>
      </c>
      <c r="C862" s="55" t="n">
        <v>0</v>
      </c>
      <c r="D862" s="42" t="n">
        <v>16</v>
      </c>
      <c r="E862" s="56" t="n"/>
      <c r="F862" s="42" t="n"/>
      <c r="G862" s="42" t="n">
        <v>9</v>
      </c>
      <c r="H862" s="42" t="inlineStr">
        <is>
          <t>No Semrush data (n/a)</t>
        </is>
      </c>
    </row>
    <row r="863" ht="15" customHeight="1" s="37">
      <c r="A863" s="42" t="inlineStr">
        <is>
          <t>carolina herrera very good girl glam dupe</t>
        </is>
      </c>
      <c r="B863" s="42" t="inlineStr">
        <is>
          <t>Informational Transactional</t>
        </is>
      </c>
      <c r="C863" s="55" t="n">
        <v>0</v>
      </c>
      <c r="D863" s="42" t="n">
        <v>5</v>
      </c>
      <c r="E863" s="56" t="n">
        <v>0</v>
      </c>
      <c r="F863" s="42" t="n">
        <v>0</v>
      </c>
      <c r="G863" s="42" t="inlineStr">
        <is>
          <t>T3-2</t>
        </is>
      </c>
      <c r="H863" s="42" t="n"/>
    </row>
    <row r="864" ht="15" customHeight="1" s="37">
      <c r="A864" s="42" t="inlineStr">
        <is>
          <t>carolina herrera very good girl glam notes</t>
        </is>
      </c>
      <c r="B864" s="42" t="inlineStr">
        <is>
          <t>Informational</t>
        </is>
      </c>
      <c r="C864" s="55" t="n">
        <v>0</v>
      </c>
      <c r="D864" s="42" t="n">
        <v>12</v>
      </c>
      <c r="E864" s="56" t="n">
        <v>0</v>
      </c>
      <c r="F864" s="42" t="n">
        <v>0</v>
      </c>
      <c r="G864" s="42" t="inlineStr">
        <is>
          <t>T3-2</t>
        </is>
      </c>
      <c r="H864" s="42" t="n"/>
    </row>
    <row r="865" ht="15" customHeight="1" s="37">
      <c r="A865" s="42" t="inlineStr">
        <is>
          <t>carolina herrera very good girl glam uk</t>
        </is>
      </c>
      <c r="B865" s="42" t="inlineStr">
        <is>
          <t>Informational Transactional</t>
        </is>
      </c>
      <c r="C865" s="55" t="n">
        <v>0</v>
      </c>
      <c r="D865" s="42" t="n">
        <v>9</v>
      </c>
      <c r="E865" s="56" t="n">
        <v>0</v>
      </c>
      <c r="F865" s="42" t="n">
        <v>0</v>
      </c>
      <c r="G865" s="42" t="n">
        <v>9</v>
      </c>
      <c r="H865" s="42" t="n"/>
    </row>
    <row r="866" ht="15" customHeight="1" s="37">
      <c r="A866" s="42" t="inlineStr">
        <is>
          <t>casanova anniversary</t>
        </is>
      </c>
      <c r="B866" s="42" t="inlineStr">
        <is>
          <t>Informational</t>
        </is>
      </c>
      <c r="C866" s="55" t="n">
        <v>0</v>
      </c>
      <c r="D866" s="42" t="n">
        <v>11</v>
      </c>
      <c r="E866" s="56" t="n"/>
      <c r="F866" s="42" t="n"/>
      <c r="G866" s="42" t="n">
        <v>4</v>
      </c>
      <c r="H866" s="42" t="inlineStr">
        <is>
          <t>No Semrush data (n/a)</t>
        </is>
      </c>
    </row>
    <row r="867" ht="15" customHeight="1" s="37">
      <c r="A867" s="42" t="inlineStr">
        <is>
          <t>casanova anniversary uk</t>
        </is>
      </c>
      <c r="B867" s="42" t="inlineStr">
        <is>
          <t>Informational</t>
        </is>
      </c>
      <c r="C867" s="55" t="n">
        <v>0</v>
      </c>
      <c r="D867" s="42" t="n">
        <v>14</v>
      </c>
      <c r="E867" s="56" t="n"/>
      <c r="F867" s="42" t="n"/>
      <c r="G867" s="42" t="n">
        <v>9</v>
      </c>
      <c r="H867" s="42" t="inlineStr">
        <is>
          <t>No Semrush data (n/a)</t>
        </is>
      </c>
    </row>
    <row r="868" ht="15" customHeight="1" s="37">
      <c r="A868" s="42" t="inlineStr">
        <is>
          <t>charcoal bath bar deyga review</t>
        </is>
      </c>
      <c r="B868" s="42" t="inlineStr">
        <is>
          <t>Commercial</t>
        </is>
      </c>
      <c r="C868" s="55" t="n">
        <v>0</v>
      </c>
      <c r="D868" s="42" t="n">
        <v>20</v>
      </c>
      <c r="E868" s="56" t="n"/>
      <c r="F868" s="42" t="n"/>
      <c r="G868" s="42" t="inlineStr">
        <is>
          <t>T3-2</t>
        </is>
      </c>
      <c r="H868" s="42" t="inlineStr">
        <is>
          <t>No Semrush data (n/a)</t>
        </is>
      </c>
    </row>
    <row r="869" ht="15" customHeight="1" s="37">
      <c r="A869" s="42" t="inlineStr">
        <is>
          <t>chloe miniature gift set</t>
        </is>
      </c>
      <c r="B869" s="42" t="inlineStr">
        <is>
          <t>Navigational</t>
        </is>
      </c>
      <c r="C869" s="55" t="n">
        <v>0</v>
      </c>
      <c r="D869" s="42" t="n">
        <v>18</v>
      </c>
      <c r="E869" s="56" t="n"/>
      <c r="F869" s="42" t="n"/>
      <c r="G869" s="42" t="n">
        <v>4</v>
      </c>
      <c r="H869" s="42" t="inlineStr">
        <is>
          <t>No Semrush data (n/a)</t>
        </is>
      </c>
    </row>
    <row r="870" ht="15" customHeight="1" s="37">
      <c r="A870" s="42" t="inlineStr">
        <is>
          <t>chloe miniature gift set uk</t>
        </is>
      </c>
      <c r="B870" s="42" t="inlineStr">
        <is>
          <t>Informational</t>
        </is>
      </c>
      <c r="C870" s="55" t="n">
        <v>0</v>
      </c>
      <c r="D870" s="42" t="n">
        <v>17</v>
      </c>
      <c r="E870" s="56" t="n"/>
      <c r="F870" s="42" t="n"/>
      <c r="G870" s="42" t="n">
        <v>9</v>
      </c>
      <c r="H870" s="42" t="inlineStr">
        <is>
          <t>No Semrush data (n/a)</t>
        </is>
      </c>
    </row>
    <row r="871" ht="15" customHeight="1" s="37">
      <c r="A871" s="42" t="inlineStr">
        <is>
          <t>chloe miniature set uk</t>
        </is>
      </c>
      <c r="B871" s="42" t="inlineStr">
        <is>
          <t>Informational Transactional</t>
        </is>
      </c>
      <c r="C871" s="55" t="n">
        <v>0</v>
      </c>
      <c r="D871" s="42" t="n">
        <v>18</v>
      </c>
      <c r="E871" s="56" t="n"/>
      <c r="F871" s="42" t="n"/>
      <c r="G871" s="42" t="n">
        <v>9</v>
      </c>
      <c r="H871" s="42" t="inlineStr">
        <is>
          <t>No Semrush data (n/a)</t>
        </is>
      </c>
    </row>
    <row r="872" ht="15" customHeight="1" s="37">
      <c r="A872" s="42" t="inlineStr">
        <is>
          <t>chloe nomade gift set uk</t>
        </is>
      </c>
      <c r="B872" s="42" t="inlineStr">
        <is>
          <t>Commercial</t>
        </is>
      </c>
      <c r="C872" s="55" t="n">
        <v>0</v>
      </c>
      <c r="D872" s="42" t="n">
        <v>9</v>
      </c>
      <c r="E872" s="56" t="n">
        <v>0</v>
      </c>
      <c r="F872" s="42" t="n">
        <v>1</v>
      </c>
      <c r="G872" s="42" t="n">
        <v>9</v>
      </c>
      <c r="H872" s="42" t="n"/>
    </row>
    <row r="873" ht="15" customHeight="1" s="37">
      <c r="A873" s="42" t="inlineStr">
        <is>
          <t>chloe nomade jasmin naturel intense eau de parfum</t>
        </is>
      </c>
      <c r="B873" s="42" t="inlineStr">
        <is>
          <t>Informational</t>
        </is>
      </c>
      <c r="C873" s="55" t="n">
        <v>0</v>
      </c>
      <c r="D873" s="42" t="n">
        <v>9</v>
      </c>
      <c r="E873" s="56" t="n">
        <v>0</v>
      </c>
      <c r="F873" s="42" t="n">
        <v>1</v>
      </c>
      <c r="G873" s="42" t="inlineStr">
        <is>
          <t>T2-2</t>
        </is>
      </c>
      <c r="H873" s="42" t="n"/>
    </row>
    <row r="874" ht="15" customHeight="1" s="37">
      <c r="A874" s="42" t="inlineStr">
        <is>
          <t>chloe nomade jasmin naturel intense uk</t>
        </is>
      </c>
      <c r="B874" s="42" t="inlineStr">
        <is>
          <t>Informational</t>
        </is>
      </c>
      <c r="C874" s="55" t="n">
        <v>0</v>
      </c>
      <c r="D874" s="42" t="n">
        <v>22</v>
      </c>
      <c r="E874" s="56" t="n"/>
      <c r="F874" s="42" t="n"/>
      <c r="G874" s="42" t="n">
        <v>9</v>
      </c>
      <c r="H874" s="42" t="inlineStr">
        <is>
          <t>No Semrush data (n/a)</t>
        </is>
      </c>
    </row>
    <row r="875" ht="15" customHeight="1" s="37">
      <c r="A875" s="42" t="inlineStr">
        <is>
          <t>chloe nomade nuit d'egypte uk</t>
        </is>
      </c>
      <c r="B875" s="42" t="inlineStr">
        <is>
          <t>Commercial</t>
        </is>
      </c>
      <c r="C875" s="55" t="n">
        <v>0</v>
      </c>
      <c r="D875" s="42" t="n">
        <v>15</v>
      </c>
      <c r="E875" s="56" t="n">
        <v>0</v>
      </c>
      <c r="F875" s="42" t="n">
        <v>0</v>
      </c>
      <c r="G875" s="42" t="n">
        <v>9</v>
      </c>
      <c r="H875" s="42" t="n"/>
    </row>
    <row r="876" ht="15" customHeight="1" s="37">
      <c r="A876" s="42" t="inlineStr">
        <is>
          <t>chloe rose naturelle intense uk</t>
        </is>
      </c>
      <c r="B876" s="42" t="inlineStr">
        <is>
          <t>Navigational</t>
        </is>
      </c>
      <c r="C876" s="55" t="n">
        <v>0</v>
      </c>
      <c r="D876" s="42" t="n">
        <v>9</v>
      </c>
      <c r="E876" s="56" t="n">
        <v>0</v>
      </c>
      <c r="F876" s="42" t="n">
        <v>1</v>
      </c>
      <c r="G876" s="42" t="n">
        <v>9</v>
      </c>
      <c r="H876" s="42" t="n"/>
    </row>
    <row r="877" ht="15" customHeight="1" s="37">
      <c r="A877" s="42" t="inlineStr">
        <is>
          <t>chopard amber malaki uk</t>
        </is>
      </c>
      <c r="B877" s="42" t="inlineStr">
        <is>
          <t>Informational</t>
        </is>
      </c>
      <c r="C877" s="55" t="n">
        <v>0</v>
      </c>
      <c r="D877" s="42" t="n">
        <v>23</v>
      </c>
      <c r="E877" s="56" t="n"/>
      <c r="F877" s="42" t="n"/>
      <c r="G877" s="42" t="n">
        <v>9</v>
      </c>
      <c r="H877" s="42" t="inlineStr">
        <is>
          <t>No Semrush data (n/a)</t>
        </is>
      </c>
    </row>
    <row r="878" ht="15" customHeight="1" s="37">
      <c r="A878" s="42" t="inlineStr">
        <is>
          <t>chopard black incense malaki uk</t>
        </is>
      </c>
      <c r="B878" s="42" t="inlineStr">
        <is>
          <t>Informational</t>
        </is>
      </c>
      <c r="C878" s="55" t="n">
        <v>0</v>
      </c>
      <c r="D878" s="42" t="n">
        <v>22</v>
      </c>
      <c r="E878" s="56" t="n"/>
      <c r="F878" s="42" t="n"/>
      <c r="G878" s="42" t="n">
        <v>9</v>
      </c>
      <c r="H878" s="42" t="inlineStr">
        <is>
          <t>No Semrush data (n/a)</t>
        </is>
      </c>
    </row>
    <row r="879" ht="15" customHeight="1" s="37">
      <c r="A879" s="42" t="inlineStr">
        <is>
          <t>chopard gardens of paradise discovery set</t>
        </is>
      </c>
      <c r="B879" s="42" t="inlineStr">
        <is>
          <t>Navigational</t>
        </is>
      </c>
      <c r="C879" s="55" t="n">
        <v>0</v>
      </c>
      <c r="D879" s="42" t="n">
        <v>8</v>
      </c>
      <c r="E879" s="56" t="n"/>
      <c r="F879" s="42" t="n"/>
      <c r="G879" s="42" t="n">
        <v>4</v>
      </c>
      <c r="H879" s="42" t="inlineStr">
        <is>
          <t>No Semrush data (n/a)</t>
        </is>
      </c>
    </row>
    <row r="880" ht="15" customHeight="1" s="37">
      <c r="A880" s="42" t="inlineStr">
        <is>
          <t>chopard gardens of paradise discovery set uk</t>
        </is>
      </c>
      <c r="B880" s="42" t="inlineStr">
        <is>
          <t>Informational</t>
        </is>
      </c>
      <c r="C880" s="55" t="n">
        <v>0</v>
      </c>
      <c r="D880" s="42" t="n">
        <v>15</v>
      </c>
      <c r="E880" s="56" t="n"/>
      <c r="F880" s="42" t="n"/>
      <c r="G880" s="42" t="n">
        <v>9</v>
      </c>
      <c r="H880" s="42" t="inlineStr">
        <is>
          <t>No Semrush data (n/a)</t>
        </is>
      </c>
    </row>
    <row r="881" ht="15" customHeight="1" s="37">
      <c r="A881" s="42" t="inlineStr">
        <is>
          <t>chopard imperiale iris malika uk</t>
        </is>
      </c>
      <c r="B881" s="42" t="inlineStr">
        <is>
          <t>Navigational</t>
        </is>
      </c>
      <c r="C881" s="55" t="n">
        <v>0</v>
      </c>
      <c r="D881" s="42" t="n">
        <v>15</v>
      </c>
      <c r="E881" s="56" t="n"/>
      <c r="F881" s="42" t="n"/>
      <c r="G881" s="42" t="n">
        <v>9</v>
      </c>
      <c r="H881" s="42" t="inlineStr">
        <is>
          <t>No Semrush data (n/a)</t>
        </is>
      </c>
    </row>
    <row r="882" ht="15" customHeight="1" s="37">
      <c r="A882" s="42" t="inlineStr">
        <is>
          <t>chopard perfume for men</t>
        </is>
      </c>
      <c r="B882" s="42" t="inlineStr">
        <is>
          <t>Informational Transactional</t>
        </is>
      </c>
      <c r="C882" s="55" t="n">
        <v>0</v>
      </c>
      <c r="D882" s="42" t="n">
        <v>16</v>
      </c>
      <c r="E882" s="56" t="n">
        <v>0</v>
      </c>
      <c r="F882" s="42" t="n">
        <v>1</v>
      </c>
      <c r="G882" s="42" t="n">
        <v>1</v>
      </c>
      <c r="H882" s="42" t="n"/>
    </row>
    <row r="883" ht="15" customHeight="1" s="37">
      <c r="A883" s="42" t="inlineStr">
        <is>
          <t>chopard perfume for women</t>
        </is>
      </c>
      <c r="B883" s="42" t="inlineStr">
        <is>
          <t>Informational Transactional</t>
        </is>
      </c>
      <c r="C883" s="55" t="n">
        <v>0</v>
      </c>
      <c r="D883" s="42" t="n">
        <v>9</v>
      </c>
      <c r="E883" s="56" t="n">
        <v>0.46</v>
      </c>
      <c r="F883" s="42" t="n">
        <v>1</v>
      </c>
      <c r="G883" s="42" t="n">
        <v>1</v>
      </c>
      <c r="H883" s="42" t="n"/>
    </row>
    <row r="884" ht="15" customHeight="1" s="37">
      <c r="A884" s="42" t="inlineStr">
        <is>
          <t>chris adams black shadow pour homme</t>
        </is>
      </c>
      <c r="B884" s="42" t="inlineStr">
        <is>
          <t>Informational</t>
        </is>
      </c>
      <c r="C884" s="55" t="n">
        <v>0</v>
      </c>
      <c r="D884" s="42" t="n">
        <v>10</v>
      </c>
      <c r="E884" s="56" t="n"/>
      <c r="F884" s="42" t="n"/>
      <c r="G884" s="42" t="n">
        <v>4</v>
      </c>
      <c r="H884" s="42" t="inlineStr">
        <is>
          <t>No Semrush data (n/a)</t>
        </is>
      </c>
    </row>
    <row r="885" ht="15" customHeight="1" s="37">
      <c r="A885" s="42" t="inlineStr">
        <is>
          <t>chris adams black shadow pour homme uk</t>
        </is>
      </c>
      <c r="B885" s="42" t="inlineStr">
        <is>
          <t>Informational</t>
        </is>
      </c>
      <c r="C885" s="55" t="n">
        <v>0</v>
      </c>
      <c r="D885" s="42" t="n">
        <v>13</v>
      </c>
      <c r="E885" s="56" t="n"/>
      <c r="F885" s="42" t="n"/>
      <c r="G885" s="42" t="n">
        <v>9</v>
      </c>
      <c r="H885" s="42" t="inlineStr">
        <is>
          <t>No Semrush data (n/a)</t>
        </is>
      </c>
    </row>
    <row r="886" ht="15" customHeight="1" s="37">
      <c r="A886" s="42" t="inlineStr">
        <is>
          <t>chris adams ca dx 77 pour homme</t>
        </is>
      </c>
      <c r="B886" s="42" t="inlineStr">
        <is>
          <t>Transactional Navigational</t>
        </is>
      </c>
      <c r="C886" s="55" t="n">
        <v>0</v>
      </c>
      <c r="D886" s="42" t="n">
        <v>28</v>
      </c>
      <c r="E886" s="56" t="n"/>
      <c r="F886" s="42" t="n"/>
      <c r="G886" s="42" t="n">
        <v>4</v>
      </c>
      <c r="H886" s="42" t="inlineStr">
        <is>
          <t>No Semrush data (n/a)</t>
        </is>
      </c>
    </row>
    <row r="887" ht="15" customHeight="1" s="37">
      <c r="A887" s="42" t="inlineStr">
        <is>
          <t>chris adams ca dx 77 pour homme uk</t>
        </is>
      </c>
      <c r="B887" s="42" t="inlineStr">
        <is>
          <t>Informational</t>
        </is>
      </c>
      <c r="C887" s="55" t="n">
        <v>0</v>
      </c>
      <c r="D887" s="42" t="n">
        <v>7</v>
      </c>
      <c r="E887" s="56" t="n"/>
      <c r="F887" s="42" t="n"/>
      <c r="G887" s="42" t="n">
        <v>9</v>
      </c>
      <c r="H887" s="42" t="inlineStr">
        <is>
          <t>No Semrush data (n/a)</t>
        </is>
      </c>
    </row>
    <row r="888" ht="15" customHeight="1" s="37">
      <c r="A888" s="42" t="inlineStr">
        <is>
          <t>chypre perfume for women uk</t>
        </is>
      </c>
      <c r="B888" s="42" t="inlineStr">
        <is>
          <t>Informational</t>
        </is>
      </c>
      <c r="C888" s="55" t="n">
        <v>0</v>
      </c>
      <c r="D888" s="42" t="n">
        <v>16</v>
      </c>
      <c r="E888" s="56" t="n"/>
      <c r="F888" s="42" t="n"/>
      <c r="G888" s="42" t="n">
        <v>1</v>
      </c>
      <c r="H888" s="42" t="inlineStr">
        <is>
          <t>No Semrush data (n/a)</t>
        </is>
      </c>
    </row>
    <row r="889" ht="15" customHeight="1" s="37">
      <c r="A889" s="42" t="inlineStr">
        <is>
          <t>citrus perfume for men uk</t>
        </is>
      </c>
      <c r="B889" s="42" t="inlineStr">
        <is>
          <t>Informational Commercial</t>
        </is>
      </c>
      <c r="C889" s="55" t="n">
        <v>0</v>
      </c>
      <c r="D889" s="42" t="n">
        <v>15</v>
      </c>
      <c r="E889" s="56" t="n"/>
      <c r="F889" s="42" t="n"/>
      <c r="G889" s="42" t="n">
        <v>1</v>
      </c>
      <c r="H889" s="42" t="inlineStr">
        <is>
          <t>No Semrush data (n/a)</t>
        </is>
      </c>
    </row>
    <row r="890" ht="15" customHeight="1" s="37">
      <c r="A890" s="42" t="inlineStr">
        <is>
          <t>conditioner for hair nourishment</t>
        </is>
      </c>
      <c r="B890" s="42" t="inlineStr">
        <is>
          <t>Commercial</t>
        </is>
      </c>
      <c r="C890" s="55" t="n">
        <v>0</v>
      </c>
      <c r="D890" s="42" t="n">
        <v>13</v>
      </c>
      <c r="E890" s="56" t="n"/>
      <c r="F890" s="42" t="n"/>
      <c r="G890" s="42" t="n">
        <v>2</v>
      </c>
      <c r="H890" s="42" t="inlineStr">
        <is>
          <t>No Semrush data (n/a)</t>
        </is>
      </c>
    </row>
    <row r="891" ht="15" customHeight="1" s="37">
      <c r="A891" s="42" t="inlineStr">
        <is>
          <t>davidoff cool water reborn intense uk</t>
        </is>
      </c>
      <c r="B891" s="42" t="inlineStr">
        <is>
          <t>Informational Commercial</t>
        </is>
      </c>
      <c r="C891" s="55" t="n">
        <v>0</v>
      </c>
      <c r="D891" s="42" t="n">
        <v>22</v>
      </c>
      <c r="E891" s="56" t="n"/>
      <c r="F891" s="42" t="n"/>
      <c r="G891" s="42" t="n">
        <v>9</v>
      </c>
      <c r="H891" s="42" t="inlineStr">
        <is>
          <t>No Semrush data (n/a)</t>
        </is>
      </c>
    </row>
    <row r="892" ht="15" customHeight="1" s="37">
      <c r="A892" s="42" t="inlineStr">
        <is>
          <t>davidoff the game uk</t>
        </is>
      </c>
      <c r="B892" s="42" t="inlineStr">
        <is>
          <t>Informational</t>
        </is>
      </c>
      <c r="C892" s="55" t="n">
        <v>0</v>
      </c>
      <c r="D892" s="42" t="n">
        <v>18</v>
      </c>
      <c r="E892" s="56" t="n"/>
      <c r="F892" s="42" t="n"/>
      <c r="G892" s="42" t="n">
        <v>9</v>
      </c>
      <c r="H892" s="42" t="inlineStr">
        <is>
          <t>No Semrush data (n/a)</t>
        </is>
      </c>
    </row>
    <row r="893" ht="15" customHeight="1" s="37">
      <c r="A893" s="42" t="inlineStr">
        <is>
          <t>deyga 10 vitamin c face serum</t>
        </is>
      </c>
      <c r="B893" s="42" t="inlineStr">
        <is>
          <t>Informational Transactional</t>
        </is>
      </c>
      <c r="C893" s="55" t="n">
        <v>0</v>
      </c>
      <c r="D893" s="42" t="n">
        <v>22</v>
      </c>
      <c r="E893" s="56" t="n"/>
      <c r="F893" s="42" t="n"/>
      <c r="G893" s="42" t="inlineStr">
        <is>
          <t>T3-2</t>
        </is>
      </c>
      <c r="H893" s="42" t="inlineStr">
        <is>
          <t>No Semrush data (n/a)</t>
        </is>
      </c>
    </row>
    <row r="894" ht="15" customHeight="1" s="37">
      <c r="A894" s="42" t="inlineStr">
        <is>
          <t>deyga 10% vitamin c face serum</t>
        </is>
      </c>
      <c r="B894" s="42" t="inlineStr">
        <is>
          <t>Informational Transactional</t>
        </is>
      </c>
      <c r="C894" s="55" t="n">
        <v>0</v>
      </c>
      <c r="D894" s="42" t="n">
        <v>14</v>
      </c>
      <c r="E894" s="56" t="n"/>
      <c r="F894" s="42" t="n"/>
      <c r="G894" s="42" t="n">
        <v>4</v>
      </c>
      <c r="H894" s="42" t="inlineStr">
        <is>
          <t>No Semrush data (n/a)</t>
        </is>
      </c>
    </row>
    <row r="895" ht="15" customHeight="1" s="37">
      <c r="A895" s="42" t="inlineStr">
        <is>
          <t>deyga 10% vitamin c face serum uk</t>
        </is>
      </c>
      <c r="B895" s="42" t="inlineStr">
        <is>
          <t>Navigational</t>
        </is>
      </c>
      <c r="C895" s="55" t="n">
        <v>0</v>
      </c>
      <c r="D895" s="42" t="n">
        <v>17</v>
      </c>
      <c r="E895" s="56" t="n"/>
      <c r="F895" s="42" t="n"/>
      <c r="G895" s="42" t="n">
        <v>9</v>
      </c>
      <c r="H895" s="42" t="inlineStr">
        <is>
          <t>No Semrush data (n/a)</t>
        </is>
      </c>
    </row>
    <row r="896" ht="15" customHeight="1" s="37">
      <c r="A896" s="42" t="inlineStr">
        <is>
          <t>deyga 100 plant based hair color black</t>
        </is>
      </c>
      <c r="B896" s="42" t="inlineStr">
        <is>
          <t>Transactional Navigational</t>
        </is>
      </c>
      <c r="C896" s="55" t="n">
        <v>0</v>
      </c>
      <c r="D896" s="42" t="n">
        <v>15</v>
      </c>
      <c r="E896" s="56" t="n"/>
      <c r="F896" s="42" t="n"/>
      <c r="G896" s="42" t="inlineStr">
        <is>
          <t>T3-2</t>
        </is>
      </c>
      <c r="H896" s="42" t="inlineStr">
        <is>
          <t>No Semrush data (n/a)</t>
        </is>
      </c>
    </row>
    <row r="897" ht="15" customHeight="1" s="37">
      <c r="A897" s="42" t="inlineStr">
        <is>
          <t>deyga 2% hyaluronic acid serum</t>
        </is>
      </c>
      <c r="B897" s="42" t="inlineStr">
        <is>
          <t>Informational Transactional</t>
        </is>
      </c>
      <c r="C897" s="55" t="n">
        <v>0</v>
      </c>
      <c r="D897" s="42" t="n">
        <v>18</v>
      </c>
      <c r="E897" s="56" t="n"/>
      <c r="F897" s="42" t="n"/>
      <c r="G897" s="42" t="n">
        <v>4</v>
      </c>
      <c r="H897" s="42" t="inlineStr">
        <is>
          <t>No Semrush data (n/a)</t>
        </is>
      </c>
    </row>
    <row r="898" ht="15" customHeight="1" s="37">
      <c r="A898" s="42" t="inlineStr">
        <is>
          <t>deyga 2% hyaluronic acid serum uk</t>
        </is>
      </c>
      <c r="B898" s="42" t="inlineStr">
        <is>
          <t>Informational</t>
        </is>
      </c>
      <c r="C898" s="55" t="n">
        <v>0</v>
      </c>
      <c r="D898" s="42" t="n">
        <v>13</v>
      </c>
      <c r="E898" s="56" t="n"/>
      <c r="F898" s="42" t="n"/>
      <c r="G898" s="42" t="n">
        <v>9</v>
      </c>
      <c r="H898" s="42" t="inlineStr">
        <is>
          <t>No Semrush data (n/a)</t>
        </is>
      </c>
    </row>
    <row r="899" ht="15" customHeight="1" s="37">
      <c r="A899" s="42" t="inlineStr">
        <is>
          <t>deyga abc kit</t>
        </is>
      </c>
      <c r="B899" s="42" t="inlineStr">
        <is>
          <t>Informational</t>
        </is>
      </c>
      <c r="C899" s="55" t="n">
        <v>0</v>
      </c>
      <c r="D899" s="42" t="n">
        <v>14</v>
      </c>
      <c r="E899" s="56" t="n"/>
      <c r="F899" s="42" t="n"/>
      <c r="G899" s="42" t="n">
        <v>4</v>
      </c>
      <c r="H899" s="42" t="inlineStr">
        <is>
          <t>No Semrush data (n/a)</t>
        </is>
      </c>
    </row>
    <row r="900" ht="15" customHeight="1" s="37">
      <c r="A900" s="42" t="inlineStr">
        <is>
          <t>deyga acne relief combo</t>
        </is>
      </c>
      <c r="B900" s="42" t="inlineStr">
        <is>
          <t>Transactional Navigational</t>
        </is>
      </c>
      <c r="C900" s="55" t="n">
        <v>0</v>
      </c>
      <c r="D900" s="42" t="n">
        <v>14</v>
      </c>
      <c r="E900" s="56" t="n"/>
      <c r="F900" s="42" t="n"/>
      <c r="G900" s="42" t="n">
        <v>4</v>
      </c>
      <c r="H900" s="42" t="inlineStr">
        <is>
          <t>No Semrush data (n/a)</t>
        </is>
      </c>
    </row>
    <row r="901" ht="15" customHeight="1" s="37">
      <c r="A901" s="42" t="inlineStr">
        <is>
          <t>deyga acne vanishing combo</t>
        </is>
      </c>
      <c r="B901" s="42" t="inlineStr">
        <is>
          <t>Transactional Navigational</t>
        </is>
      </c>
      <c r="C901" s="55" t="n">
        <v>0</v>
      </c>
      <c r="D901" s="42" t="n">
        <v>14</v>
      </c>
      <c r="E901" s="56" t="n"/>
      <c r="F901" s="42" t="n"/>
      <c r="G901" s="42" t="n">
        <v>4</v>
      </c>
      <c r="H901" s="42" t="inlineStr">
        <is>
          <t>No Semrush data (n/a)</t>
        </is>
      </c>
    </row>
    <row r="902" ht="15" customHeight="1" s="37">
      <c r="A902" s="42" t="inlineStr">
        <is>
          <t>deyga activated charcoal body wash</t>
        </is>
      </c>
      <c r="B902" s="42" t="inlineStr">
        <is>
          <t>Informational Navigational</t>
        </is>
      </c>
      <c r="C902" s="55" t="n">
        <v>0</v>
      </c>
      <c r="D902" s="42" t="n">
        <v>13</v>
      </c>
      <c r="E902" s="56" t="n"/>
      <c r="F902" s="42" t="n"/>
      <c r="G902" s="42" t="n">
        <v>4</v>
      </c>
      <c r="H902" s="42" t="inlineStr">
        <is>
          <t>No Semrush data (n/a)</t>
        </is>
      </c>
    </row>
    <row r="903" ht="15" customHeight="1" s="37">
      <c r="A903" s="42" t="inlineStr">
        <is>
          <t>deyga almond milk body lotion</t>
        </is>
      </c>
      <c r="B903" s="42" t="inlineStr">
        <is>
          <t>Informational Transactional</t>
        </is>
      </c>
      <c r="C903" s="55" t="n">
        <v>0</v>
      </c>
      <c r="D903" s="42" t="n">
        <v>15</v>
      </c>
      <c r="E903" s="56" t="n"/>
      <c r="F903" s="42" t="n"/>
      <c r="G903" s="42" t="n">
        <v>4</v>
      </c>
      <c r="H903" s="42" t="inlineStr">
        <is>
          <t>No Semrush data (n/a)</t>
        </is>
      </c>
    </row>
    <row r="904" ht="15" customHeight="1" s="37">
      <c r="A904" s="42" t="inlineStr">
        <is>
          <t>deyga aloe vera gel review</t>
        </is>
      </c>
      <c r="B904" s="42" t="inlineStr">
        <is>
          <t>Commercial</t>
        </is>
      </c>
      <c r="C904" s="55" t="n">
        <v>0</v>
      </c>
      <c r="D904" s="42" t="n">
        <v>14</v>
      </c>
      <c r="E904" s="56" t="n">
        <v>0</v>
      </c>
      <c r="F904" s="42" t="n">
        <v>0</v>
      </c>
      <c r="G904" s="42" t="inlineStr">
        <is>
          <t>T3-2</t>
        </is>
      </c>
      <c r="H904" s="42" t="n"/>
    </row>
    <row r="905" ht="15" customHeight="1" s="37">
      <c r="A905" s="42" t="inlineStr">
        <is>
          <t>deyga anti dandruff oil review</t>
        </is>
      </c>
      <c r="B905" s="42" t="inlineStr">
        <is>
          <t>Navigational Commercial</t>
        </is>
      </c>
      <c r="C905" s="55" t="n">
        <v>0</v>
      </c>
      <c r="D905" s="42" t="n">
        <v>28</v>
      </c>
      <c r="E905" s="56" t="n"/>
      <c r="F905" s="42" t="n"/>
      <c r="G905" s="42" t="inlineStr">
        <is>
          <t>T3-2</t>
        </is>
      </c>
      <c r="H905" s="42" t="inlineStr">
        <is>
          <t>No Semrush data (n/a)</t>
        </is>
      </c>
    </row>
    <row r="906" ht="15" customHeight="1" s="37">
      <c r="A906" s="42" t="inlineStr">
        <is>
          <t>deyga anti dandruff shampoo review</t>
        </is>
      </c>
      <c r="B906" s="42" t="inlineStr">
        <is>
          <t>Commercial</t>
        </is>
      </c>
      <c r="C906" s="55" t="n">
        <v>0</v>
      </c>
      <c r="D906" s="42" t="n">
        <v>18</v>
      </c>
      <c r="E906" s="56" t="n"/>
      <c r="F906" s="42" t="n"/>
      <c r="G906" s="42" t="inlineStr">
        <is>
          <t>T3-2</t>
        </is>
      </c>
      <c r="H906" s="42" t="inlineStr">
        <is>
          <t>No Semrush data (n/a)</t>
        </is>
      </c>
    </row>
    <row r="907" ht="15" customHeight="1" s="37">
      <c r="A907" s="42" t="inlineStr">
        <is>
          <t>deyga anti-dandruff oil</t>
        </is>
      </c>
      <c r="B907" s="42" t="inlineStr">
        <is>
          <t>Transactional Navigational</t>
        </is>
      </c>
      <c r="C907" s="55" t="n">
        <v>0</v>
      </c>
      <c r="D907" s="42" t="n">
        <v>14</v>
      </c>
      <c r="E907" s="56" t="n"/>
      <c r="F907" s="42" t="n"/>
      <c r="G907" s="42" t="n">
        <v>4</v>
      </c>
      <c r="H907" s="42" t="inlineStr">
        <is>
          <t>No Semrush data (n/a)</t>
        </is>
      </c>
    </row>
    <row r="908" ht="15" customHeight="1" s="37">
      <c r="A908" s="42" t="inlineStr">
        <is>
          <t>deyga baby bath bar</t>
        </is>
      </c>
      <c r="B908" s="42" t="inlineStr">
        <is>
          <t>Transactional Navigational</t>
        </is>
      </c>
      <c r="C908" s="55" t="n">
        <v>0</v>
      </c>
      <c r="D908" s="42" t="n">
        <v>14</v>
      </c>
      <c r="E908" s="56" t="n"/>
      <c r="F908" s="42" t="n"/>
      <c r="G908" s="42" t="n">
        <v>4</v>
      </c>
      <c r="H908" s="42" t="inlineStr">
        <is>
          <t>No Semrush data (n/a)</t>
        </is>
      </c>
    </row>
    <row r="909" ht="15" customHeight="1" s="37">
      <c r="A909" s="42" t="inlineStr">
        <is>
          <t>deyga beautifying serum</t>
        </is>
      </c>
      <c r="B909" s="42" t="inlineStr">
        <is>
          <t>Transactional</t>
        </is>
      </c>
      <c r="C909" s="55" t="n">
        <v>0</v>
      </c>
      <c r="D909" s="42" t="n">
        <v>16</v>
      </c>
      <c r="E909" s="56" t="n"/>
      <c r="F909" s="42" t="n"/>
      <c r="G909" s="42" t="n">
        <v>5</v>
      </c>
      <c r="H909" s="42" t="inlineStr">
        <is>
          <t>No Semrush data (n/a)</t>
        </is>
      </c>
    </row>
    <row r="910" ht="15" customHeight="1" s="37">
      <c r="A910" s="42" t="inlineStr">
        <is>
          <t>deyga beautifying serum review</t>
        </is>
      </c>
      <c r="B910" s="42" t="inlineStr">
        <is>
          <t>Commercial</t>
        </is>
      </c>
      <c r="C910" s="55" t="n">
        <v>0</v>
      </c>
      <c r="D910" s="42" t="n">
        <v>17</v>
      </c>
      <c r="E910" s="56" t="n"/>
      <c r="F910" s="42" t="n"/>
      <c r="G910" s="42" t="inlineStr">
        <is>
          <t>T3-2</t>
        </is>
      </c>
      <c r="H910" s="42" t="inlineStr">
        <is>
          <t>No Semrush data (n/a)</t>
        </is>
      </c>
    </row>
    <row r="911" ht="15" customHeight="1" s="37">
      <c r="A911" s="42" t="inlineStr">
        <is>
          <t>deyga beetroot lip balm classic</t>
        </is>
      </c>
      <c r="B911" s="42" t="inlineStr">
        <is>
          <t>Informational Transactional</t>
        </is>
      </c>
      <c r="C911" s="55" t="n">
        <v>0</v>
      </c>
      <c r="D911" s="42" t="n">
        <v>22</v>
      </c>
      <c r="E911" s="56" t="n"/>
      <c r="F911" s="42" t="n"/>
      <c r="G911" s="42" t="n">
        <v>5</v>
      </c>
      <c r="H911" s="42" t="inlineStr">
        <is>
          <t>No Semrush data (n/a)</t>
        </is>
      </c>
    </row>
    <row r="912" ht="15" customHeight="1" s="37">
      <c r="A912" s="42" t="inlineStr">
        <is>
          <t>deyga beetroot lip balm review</t>
        </is>
      </c>
      <c r="B912" s="42" t="inlineStr">
        <is>
          <t>Navigational Commercial</t>
        </is>
      </c>
      <c r="C912" s="55" t="n">
        <v>0</v>
      </c>
      <c r="D912" s="42" t="n">
        <v>24</v>
      </c>
      <c r="E912" s="56" t="n"/>
      <c r="F912" s="42" t="n"/>
      <c r="G912" s="42" t="inlineStr">
        <is>
          <t>T3-2</t>
        </is>
      </c>
      <c r="H912" s="42" t="inlineStr">
        <is>
          <t>No Semrush data (n/a)</t>
        </is>
      </c>
    </row>
    <row r="913" ht="15" customHeight="1" s="37">
      <c r="A913" s="42" t="inlineStr">
        <is>
          <t>deyga beetroot lip balm stick</t>
        </is>
      </c>
      <c r="B913" s="42" t="inlineStr">
        <is>
          <t>Informational Transactional</t>
        </is>
      </c>
      <c r="C913" s="55" t="n">
        <v>0</v>
      </c>
      <c r="D913" s="42" t="n">
        <v>18</v>
      </c>
      <c r="E913" s="56" t="n"/>
      <c r="F913" s="42" t="n"/>
      <c r="G913" s="42" t="n">
        <v>5</v>
      </c>
      <c r="H913" s="42" t="inlineStr">
        <is>
          <t>No Semrush data (n/a)</t>
        </is>
      </c>
    </row>
    <row r="914" ht="15" customHeight="1" s="37">
      <c r="A914" s="42" t="inlineStr">
        <is>
          <t>deyga beetroot lip balm stick review</t>
        </is>
      </c>
      <c r="B914" s="42" t="inlineStr">
        <is>
          <t>Commercial</t>
        </is>
      </c>
      <c r="C914" s="55" t="n">
        <v>0</v>
      </c>
      <c r="D914" s="42" t="n">
        <v>28</v>
      </c>
      <c r="E914" s="56" t="n"/>
      <c r="F914" s="42" t="n"/>
      <c r="G914" s="42" t="inlineStr">
        <is>
          <t>T3-2</t>
        </is>
      </c>
      <c r="H914" s="42" t="inlineStr">
        <is>
          <t>No Semrush data (n/a)</t>
        </is>
      </c>
    </row>
    <row r="915" ht="15" customHeight="1" s="37">
      <c r="A915" s="42" t="inlineStr">
        <is>
          <t>deyga best selling face care kit</t>
        </is>
      </c>
      <c r="B915" s="42" t="inlineStr">
        <is>
          <t>Commercial</t>
        </is>
      </c>
      <c r="C915" s="55" t="n">
        <v>0</v>
      </c>
      <c r="D915" s="42" t="n">
        <v>15</v>
      </c>
      <c r="E915" s="56" t="n"/>
      <c r="F915" s="42" t="n"/>
      <c r="G915" s="42" t="n">
        <v>5</v>
      </c>
      <c r="H915" s="42" t="inlineStr">
        <is>
          <t>No Semrush data (n/a)</t>
        </is>
      </c>
    </row>
    <row r="916" ht="15" customHeight="1" s="37">
      <c r="A916" s="42" t="inlineStr">
        <is>
          <t>deyga body butter</t>
        </is>
      </c>
      <c r="B916" s="42" t="inlineStr">
        <is>
          <t>Transactional Navigational</t>
        </is>
      </c>
      <c r="C916" s="55" t="n">
        <v>0</v>
      </c>
      <c r="D916" s="42" t="n">
        <v>6</v>
      </c>
      <c r="E916" s="56" t="n">
        <v>0</v>
      </c>
      <c r="F916" s="42" t="n">
        <v>0</v>
      </c>
      <c r="G916" s="42" t="n">
        <v>2</v>
      </c>
      <c r="H916" s="42" t="n"/>
    </row>
    <row r="917" ht="15" customHeight="1" s="37">
      <c r="A917" s="42" t="inlineStr">
        <is>
          <t>deyga body care</t>
        </is>
      </c>
      <c r="B917" s="42" t="inlineStr">
        <is>
          <t>Transactional Navigational</t>
        </is>
      </c>
      <c r="C917" s="55" t="n">
        <v>0</v>
      </c>
      <c r="D917" s="42" t="n">
        <v>17</v>
      </c>
      <c r="E917" s="56" t="n"/>
      <c r="F917" s="42" t="n"/>
      <c r="G917" s="42" t="n">
        <v>2</v>
      </c>
      <c r="H917" s="42" t="inlineStr">
        <is>
          <t>No Semrush data (n/a)</t>
        </is>
      </c>
    </row>
    <row r="918" ht="15" customHeight="1" s="37">
      <c r="A918" s="42" t="inlineStr">
        <is>
          <t>deyga body lotion</t>
        </is>
      </c>
      <c r="B918" s="42" t="inlineStr">
        <is>
          <t>Transactional Navigational</t>
        </is>
      </c>
      <c r="C918" s="55" t="n">
        <v>0</v>
      </c>
      <c r="D918" s="42" t="n">
        <v>14</v>
      </c>
      <c r="E918" s="56" t="n"/>
      <c r="F918" s="42" t="n"/>
      <c r="G918" s="42" t="n">
        <v>2</v>
      </c>
      <c r="H918" s="42" t="inlineStr">
        <is>
          <t>No Semrush data (n/a)</t>
        </is>
      </c>
    </row>
    <row r="919" ht="15" customHeight="1" s="37">
      <c r="A919" s="42" t="inlineStr">
        <is>
          <t>deyga body oil</t>
        </is>
      </c>
      <c r="B919" s="42" t="inlineStr">
        <is>
          <t>Transactional Navigational</t>
        </is>
      </c>
      <c r="C919" s="55" t="n">
        <v>0</v>
      </c>
      <c r="D919" s="42" t="n">
        <v>14</v>
      </c>
      <c r="E919" s="56" t="n"/>
      <c r="F919" s="42" t="n"/>
      <c r="G919" s="42" t="n">
        <v>2</v>
      </c>
      <c r="H919" s="42" t="inlineStr">
        <is>
          <t>No Semrush data (n/a)</t>
        </is>
      </c>
    </row>
    <row r="920" ht="15" customHeight="1" s="37">
      <c r="A920" s="42" t="inlineStr">
        <is>
          <t>deyga body scrub</t>
        </is>
      </c>
      <c r="B920" s="42" t="inlineStr">
        <is>
          <t>Transactional Navigational</t>
        </is>
      </c>
      <c r="C920" s="55" t="n">
        <v>0</v>
      </c>
      <c r="D920" s="42" t="n">
        <v>14</v>
      </c>
      <c r="E920" s="56" t="n"/>
      <c r="F920" s="42" t="n"/>
      <c r="G920" s="42" t="n">
        <v>5</v>
      </c>
      <c r="H920" s="42" t="inlineStr">
        <is>
          <t>No Semrush data (n/a)</t>
        </is>
      </c>
    </row>
    <row r="921" ht="15" customHeight="1" s="37">
      <c r="A921" s="42" t="inlineStr">
        <is>
          <t>deyga body wash</t>
        </is>
      </c>
      <c r="B921" s="42" t="inlineStr">
        <is>
          <t>Navigational</t>
        </is>
      </c>
      <c r="C921" s="55" t="n">
        <v>0</v>
      </c>
      <c r="D921" s="42" t="n">
        <v>14</v>
      </c>
      <c r="E921" s="56" t="n"/>
      <c r="F921" s="42" t="n"/>
      <c r="G921" s="42" t="n">
        <v>2</v>
      </c>
      <c r="H921" s="42" t="inlineStr">
        <is>
          <t>No Semrush data (n/a)</t>
        </is>
      </c>
    </row>
    <row r="922" ht="15" customHeight="1" s="37">
      <c r="A922" s="42" t="inlineStr">
        <is>
          <t>deyga body wash review</t>
        </is>
      </c>
      <c r="B922" s="42" t="inlineStr">
        <is>
          <t>Commercial</t>
        </is>
      </c>
      <c r="C922" s="55" t="n">
        <v>0</v>
      </c>
      <c r="D922" s="42" t="n">
        <v>16</v>
      </c>
      <c r="E922" s="56" t="n"/>
      <c r="F922" s="42" t="n"/>
      <c r="G922" s="42" t="inlineStr">
        <is>
          <t>T3-2</t>
        </is>
      </c>
      <c r="H922" s="42" t="inlineStr">
        <is>
          <t>No Semrush data (n/a)</t>
        </is>
      </c>
    </row>
    <row r="923" ht="15" customHeight="1" s="37">
      <c r="A923" s="42" t="inlineStr">
        <is>
          <t>deyga buy 5 at 999</t>
        </is>
      </c>
      <c r="B923" s="42" t="inlineStr">
        <is>
          <t>Transactional Navigational</t>
        </is>
      </c>
      <c r="C923" s="55" t="n">
        <v>0</v>
      </c>
      <c r="D923" s="42" t="n">
        <v>17</v>
      </c>
      <c r="E923" s="56" t="n"/>
      <c r="F923" s="42" t="n"/>
      <c r="G923" s="42" t="n">
        <v>3</v>
      </c>
      <c r="H923" s="42" t="inlineStr">
        <is>
          <t>No Semrush data (n/a)</t>
        </is>
      </c>
    </row>
    <row r="924" ht="15" customHeight="1" s="37">
      <c r="A924" s="42" t="inlineStr">
        <is>
          <t>deyga buy one get one</t>
        </is>
      </c>
      <c r="B924" s="42" t="inlineStr">
        <is>
          <t>Transactional Navigational</t>
        </is>
      </c>
      <c r="C924" s="55" t="n">
        <v>0</v>
      </c>
      <c r="D924" s="42" t="n">
        <v>16</v>
      </c>
      <c r="E924" s="56" t="n"/>
      <c r="F924" s="42" t="n"/>
      <c r="G924" s="42" t="n">
        <v>3</v>
      </c>
      <c r="H924" s="42" t="inlineStr">
        <is>
          <t>No Semrush data (n/a)</t>
        </is>
      </c>
    </row>
    <row r="925" ht="15" customHeight="1" s="37">
      <c r="A925" s="42" t="inlineStr">
        <is>
          <t>deyga charcoal bath bar</t>
        </is>
      </c>
      <c r="B925" s="42" t="inlineStr">
        <is>
          <t>Informational Navigational</t>
        </is>
      </c>
      <c r="C925" s="55" t="n">
        <v>0</v>
      </c>
      <c r="D925" s="42" t="n">
        <v>22</v>
      </c>
      <c r="E925" s="56" t="n"/>
      <c r="F925" s="42" t="n"/>
      <c r="G925" s="42" t="n">
        <v>5</v>
      </c>
      <c r="H925" s="42" t="inlineStr">
        <is>
          <t>No Semrush data (n/a)</t>
        </is>
      </c>
    </row>
    <row r="926" ht="15" customHeight="1" s="37">
      <c r="A926" s="42" t="inlineStr">
        <is>
          <t>deyga charcoal detox face mask</t>
        </is>
      </c>
      <c r="B926" s="42" t="inlineStr">
        <is>
          <t>Transactional Navigational</t>
        </is>
      </c>
      <c r="C926" s="55" t="n">
        <v>0</v>
      </c>
      <c r="D926" s="42" t="n">
        <v>15</v>
      </c>
      <c r="E926" s="56" t="n"/>
      <c r="F926" s="42" t="n"/>
      <c r="G926" s="42" t="n">
        <v>5</v>
      </c>
      <c r="H926" s="42" t="inlineStr">
        <is>
          <t>No Semrush data (n/a)</t>
        </is>
      </c>
    </row>
    <row r="927" ht="15" customHeight="1" s="37">
      <c r="A927" s="42" t="inlineStr">
        <is>
          <t>deyga charcoal face wash review</t>
        </is>
      </c>
      <c r="B927" s="42" t="inlineStr">
        <is>
          <t>Commercial</t>
        </is>
      </c>
      <c r="C927" s="55" t="n">
        <v>0</v>
      </c>
      <c r="D927" s="42" t="n">
        <v>22</v>
      </c>
      <c r="E927" s="56" t="n"/>
      <c r="F927" s="42" t="n"/>
      <c r="G927" s="42" t="inlineStr">
        <is>
          <t>T3-2</t>
        </is>
      </c>
      <c r="H927" s="42" t="inlineStr">
        <is>
          <t>No Semrush data (n/a)</t>
        </is>
      </c>
    </row>
    <row r="928" ht="15" customHeight="1" s="37">
      <c r="A928" s="42" t="inlineStr">
        <is>
          <t>deyga chocolate body butter</t>
        </is>
      </c>
      <c r="B928" s="42" t="inlineStr">
        <is>
          <t>Transactional Navigational</t>
        </is>
      </c>
      <c r="C928" s="55" t="n">
        <v>0</v>
      </c>
      <c r="D928" s="42" t="n">
        <v>14</v>
      </c>
      <c r="E928" s="56" t="n"/>
      <c r="F928" s="42" t="n"/>
      <c r="G928" s="42" t="n">
        <v>5</v>
      </c>
      <c r="H928" s="42" t="inlineStr">
        <is>
          <t>No Semrush data (n/a)</t>
        </is>
      </c>
    </row>
    <row r="929" ht="15" customHeight="1" s="37">
      <c r="A929" s="42" t="inlineStr">
        <is>
          <t>deyga clear skin kit</t>
        </is>
      </c>
      <c r="B929" s="42" t="inlineStr">
        <is>
          <t>Transactional Navigational</t>
        </is>
      </c>
      <c r="C929" s="55" t="n">
        <v>0</v>
      </c>
      <c r="D929" s="42" t="n">
        <v>18</v>
      </c>
      <c r="E929" s="56" t="n"/>
      <c r="F929" s="42" t="n"/>
      <c r="G929" s="42" t="n">
        <v>5</v>
      </c>
      <c r="H929" s="42" t="inlineStr">
        <is>
          <t>No Semrush data (n/a)</t>
        </is>
      </c>
    </row>
    <row r="930" ht="15" customHeight="1" s="37">
      <c r="A930" s="42" t="inlineStr">
        <is>
          <t>deyga conditioner</t>
        </is>
      </c>
      <c r="B930" s="42" t="inlineStr">
        <is>
          <t>Transactional Navigational</t>
        </is>
      </c>
      <c r="C930" s="55" t="n">
        <v>0</v>
      </c>
      <c r="D930" s="42" t="n">
        <v>30</v>
      </c>
      <c r="E930" s="56" t="n"/>
      <c r="F930" s="42" t="n"/>
      <c r="G930" s="42" t="n">
        <v>2</v>
      </c>
      <c r="H930" s="42" t="inlineStr">
        <is>
          <t>No Semrush data (n/a)</t>
        </is>
      </c>
    </row>
    <row r="931" ht="15" customHeight="1" s="37">
      <c r="A931" s="42" t="inlineStr">
        <is>
          <t>deyga daily essential kit</t>
        </is>
      </c>
      <c r="B931" s="42" t="inlineStr">
        <is>
          <t>Informational</t>
        </is>
      </c>
      <c r="C931" s="55" t="n">
        <v>0</v>
      </c>
      <c r="D931" s="42" t="n">
        <v>15</v>
      </c>
      <c r="E931" s="56" t="n"/>
      <c r="F931" s="42" t="n"/>
      <c r="G931" s="42" t="n">
        <v>5</v>
      </c>
      <c r="H931" s="42" t="inlineStr">
        <is>
          <t>No Semrush data (n/a)</t>
        </is>
      </c>
    </row>
    <row r="932" ht="15" customHeight="1" s="37">
      <c r="A932" s="42" t="inlineStr">
        <is>
          <t>deyga daily use healthy hair kit</t>
        </is>
      </c>
      <c r="B932" s="42" t="inlineStr">
        <is>
          <t>Transactional Navigational</t>
        </is>
      </c>
      <c r="C932" s="55" t="n">
        <v>0</v>
      </c>
      <c r="D932" s="42" t="n">
        <v>12</v>
      </c>
      <c r="E932" s="56" t="n"/>
      <c r="F932" s="42" t="n"/>
      <c r="G932" s="42" t="n">
        <v>5</v>
      </c>
      <c r="H932" s="42" t="inlineStr">
        <is>
          <t>No Semrush data (n/a)</t>
        </is>
      </c>
    </row>
    <row r="933" ht="15" customHeight="1" s="37">
      <c r="A933" s="42" t="inlineStr">
        <is>
          <t>deyga de- tan &amp; pigmentation kit</t>
        </is>
      </c>
      <c r="B933" s="42" t="inlineStr">
        <is>
          <t>Informational</t>
        </is>
      </c>
      <c r="C933" s="55" t="n">
        <v>0</v>
      </c>
      <c r="D933" s="42" t="n">
        <v>20</v>
      </c>
      <c r="E933" s="56" t="n"/>
      <c r="F933" s="42" t="n"/>
      <c r="G933" s="42" t="n">
        <v>5</v>
      </c>
      <c r="H933" s="42" t="inlineStr">
        <is>
          <t>No Semrush data (n/a)</t>
        </is>
      </c>
    </row>
    <row r="934" ht="15" customHeight="1" s="37">
      <c r="A934" s="42" t="inlineStr">
        <is>
          <t>deyga deep moisturising face cream</t>
        </is>
      </c>
      <c r="B934" s="42" t="inlineStr">
        <is>
          <t>Transactional Navigational</t>
        </is>
      </c>
      <c r="C934" s="55" t="n">
        <v>0</v>
      </c>
      <c r="D934" s="42" t="n">
        <v>19</v>
      </c>
      <c r="E934" s="56" t="n"/>
      <c r="F934" s="42" t="n"/>
      <c r="G934" s="42" t="n">
        <v>5</v>
      </c>
      <c r="H934" s="42" t="inlineStr">
        <is>
          <t>No Semrush data (n/a)</t>
        </is>
      </c>
    </row>
    <row r="935" ht="15" customHeight="1" s="37">
      <c r="A935" s="42" t="inlineStr">
        <is>
          <t>deyga double hydration kit</t>
        </is>
      </c>
      <c r="B935" s="42" t="inlineStr">
        <is>
          <t>Informational</t>
        </is>
      </c>
      <c r="C935" s="55" t="n">
        <v>0</v>
      </c>
      <c r="D935" s="42" t="n">
        <v>14</v>
      </c>
      <c r="E935" s="56" t="n"/>
      <c r="F935" s="42" t="n"/>
      <c r="G935" s="42" t="n">
        <v>5</v>
      </c>
      <c r="H935" s="42" t="inlineStr">
        <is>
          <t>No Semrush data (n/a)</t>
        </is>
      </c>
    </row>
    <row r="936" ht="15" customHeight="1" s="37">
      <c r="A936" s="42" t="inlineStr">
        <is>
          <t>deyga eyebrow growth oil</t>
        </is>
      </c>
      <c r="B936" s="42" t="inlineStr">
        <is>
          <t>Transactional Navigational</t>
        </is>
      </c>
      <c r="C936" s="55" t="n">
        <v>0</v>
      </c>
      <c r="D936" s="42" t="n">
        <v>6</v>
      </c>
      <c r="E936" s="56" t="n">
        <v>0</v>
      </c>
      <c r="F936" s="42" t="n">
        <v>0</v>
      </c>
      <c r="G936" s="42" t="n">
        <v>5</v>
      </c>
      <c r="H936" s="42" t="n"/>
    </row>
    <row r="937" ht="15" customHeight="1" s="37">
      <c r="A937" s="42" t="inlineStr">
        <is>
          <t>deyga eyebrow growth oil review</t>
        </is>
      </c>
      <c r="B937" s="42" t="inlineStr">
        <is>
          <t>Commercial</t>
        </is>
      </c>
      <c r="C937" s="55" t="n">
        <v>0</v>
      </c>
      <c r="D937" s="42" t="n">
        <v>14</v>
      </c>
      <c r="E937" s="56" t="n"/>
      <c r="F937" s="42" t="n"/>
      <c r="G937" s="42" t="inlineStr">
        <is>
          <t>T3-2</t>
        </is>
      </c>
      <c r="H937" s="42" t="inlineStr">
        <is>
          <t>No Semrush data (n/a)</t>
        </is>
      </c>
    </row>
    <row r="938" ht="15" customHeight="1" s="37">
      <c r="A938" s="42" t="inlineStr">
        <is>
          <t>deyga face &amp; body exfoliator powder</t>
        </is>
      </c>
      <c r="B938" s="42" t="inlineStr">
        <is>
          <t>Transactional Navigational</t>
        </is>
      </c>
      <c r="C938" s="55" t="n">
        <v>0</v>
      </c>
      <c r="D938" s="42" t="n">
        <v>13</v>
      </c>
      <c r="E938" s="56" t="n"/>
      <c r="F938" s="42" t="n"/>
      <c r="G938" s="42" t="n">
        <v>5</v>
      </c>
      <c r="H938" s="42" t="inlineStr">
        <is>
          <t>No Semrush data (n/a)</t>
        </is>
      </c>
    </row>
    <row r="939" ht="15" customHeight="1" s="37">
      <c r="A939" s="42" t="inlineStr">
        <is>
          <t>deyga face mask</t>
        </is>
      </c>
      <c r="B939" s="42" t="inlineStr">
        <is>
          <t>Transactional Navigational</t>
        </is>
      </c>
      <c r="C939" s="55" t="n">
        <v>0</v>
      </c>
      <c r="D939" s="42" t="n">
        <v>14</v>
      </c>
      <c r="E939" s="56" t="n"/>
      <c r="F939" s="42" t="n"/>
      <c r="G939" s="42" t="n">
        <v>2</v>
      </c>
      <c r="H939" s="42" t="inlineStr">
        <is>
          <t>No Semrush data (n/a)</t>
        </is>
      </c>
    </row>
    <row r="940" ht="15" customHeight="1" s="37">
      <c r="A940" s="42" t="inlineStr">
        <is>
          <t>deyga face wash</t>
        </is>
      </c>
      <c r="B940" s="42" t="inlineStr">
        <is>
          <t>Transactional Navigational</t>
        </is>
      </c>
      <c r="C940" s="55" t="n">
        <v>0</v>
      </c>
      <c r="D940" s="42" t="n">
        <v>14</v>
      </c>
      <c r="E940" s="56" t="n"/>
      <c r="F940" s="42" t="n"/>
      <c r="G940" s="42" t="n">
        <v>2</v>
      </c>
      <c r="H940" s="42" t="inlineStr">
        <is>
          <t>No Semrush data (n/a)</t>
        </is>
      </c>
    </row>
    <row r="941" ht="15" customHeight="1" s="37">
      <c r="A941" s="42" t="inlineStr">
        <is>
          <t>deyga foot butter</t>
        </is>
      </c>
      <c r="B941" s="42" t="inlineStr">
        <is>
          <t>Transactional Navigational</t>
        </is>
      </c>
      <c r="C941" s="55" t="n">
        <v>0</v>
      </c>
      <c r="D941" s="42" t="n">
        <v>13</v>
      </c>
      <c r="E941" s="56" t="n">
        <v>0</v>
      </c>
      <c r="F941" s="42" t="n">
        <v>0</v>
      </c>
      <c r="G941" s="42" t="n">
        <v>5</v>
      </c>
      <c r="H941" s="42" t="n"/>
    </row>
    <row r="942" ht="15" customHeight="1" s="37">
      <c r="A942" s="42" t="inlineStr">
        <is>
          <t>deyga foot butter review</t>
        </is>
      </c>
      <c r="B942" s="42" t="inlineStr">
        <is>
          <t>Commercial</t>
        </is>
      </c>
      <c r="C942" s="55" t="n">
        <v>0</v>
      </c>
      <c r="D942" s="42" t="n">
        <v>14</v>
      </c>
      <c r="E942" s="56" t="n"/>
      <c r="F942" s="42" t="n"/>
      <c r="G942" s="42" t="inlineStr">
        <is>
          <t>T3-2</t>
        </is>
      </c>
      <c r="H942" s="42" t="inlineStr">
        <is>
          <t>No Semrush data (n/a)</t>
        </is>
      </c>
    </row>
    <row r="943" ht="15" customHeight="1" s="37">
      <c r="A943" s="42" t="inlineStr">
        <is>
          <t>deyga foot scrub</t>
        </is>
      </c>
      <c r="B943" s="42" t="inlineStr">
        <is>
          <t>Navigational</t>
        </is>
      </c>
      <c r="C943" s="55" t="n">
        <v>0</v>
      </c>
      <c r="D943" s="42" t="n">
        <v>16</v>
      </c>
      <c r="E943" s="56" t="n"/>
      <c r="F943" s="42" t="n"/>
      <c r="G943" s="42" t="n">
        <v>5</v>
      </c>
      <c r="H943" s="42" t="inlineStr">
        <is>
          <t>No Semrush data (n/a)</t>
        </is>
      </c>
    </row>
    <row r="944" ht="15" customHeight="1" s="37">
      <c r="A944" s="42" t="inlineStr">
        <is>
          <t>deyga foot scrub how to use</t>
        </is>
      </c>
      <c r="B944" s="42" t="inlineStr">
        <is>
          <t>Transactional Navigational</t>
        </is>
      </c>
      <c r="C944" s="55" t="n">
        <v>0</v>
      </c>
      <c r="D944" s="42" t="n">
        <v>14</v>
      </c>
      <c r="E944" s="56" t="n"/>
      <c r="F944" s="42" t="n"/>
      <c r="G944" s="42" t="inlineStr">
        <is>
          <t>T3-2</t>
        </is>
      </c>
      <c r="H944" s="42" t="inlineStr">
        <is>
          <t>No Semrush data (n/a)</t>
        </is>
      </c>
    </row>
    <row r="945" ht="15" customHeight="1" s="37">
      <c r="A945" s="42" t="inlineStr">
        <is>
          <t>deyga foot soak powder</t>
        </is>
      </c>
      <c r="B945" s="42" t="inlineStr">
        <is>
          <t>Navigational</t>
        </is>
      </c>
      <c r="C945" s="55" t="n">
        <v>0</v>
      </c>
      <c r="D945" s="42" t="n">
        <v>14</v>
      </c>
      <c r="E945" s="56" t="n"/>
      <c r="F945" s="42" t="n"/>
      <c r="G945" s="42" t="n">
        <v>5</v>
      </c>
      <c r="H945" s="42" t="inlineStr">
        <is>
          <t>No Semrush data (n/a)</t>
        </is>
      </c>
    </row>
    <row r="946" ht="15" customHeight="1" s="37">
      <c r="A946" s="42" t="inlineStr">
        <is>
          <t>deyga game changer face care kit</t>
        </is>
      </c>
      <c r="B946" s="42" t="inlineStr">
        <is>
          <t>Informational</t>
        </is>
      </c>
      <c r="C946" s="55" t="n">
        <v>0</v>
      </c>
      <c r="D946" s="42" t="n">
        <v>27</v>
      </c>
      <c r="E946" s="56" t="n"/>
      <c r="F946" s="42" t="n"/>
      <c r="G946" s="42" t="n">
        <v>5</v>
      </c>
      <c r="H946" s="42" t="inlineStr">
        <is>
          <t>No Semrush data (n/a)</t>
        </is>
      </c>
    </row>
    <row r="947" ht="15" customHeight="1" s="37">
      <c r="A947" s="42" t="inlineStr">
        <is>
          <t>deyga hair care kit</t>
        </is>
      </c>
      <c r="B947" s="42" t="inlineStr">
        <is>
          <t>Transactional Navigational</t>
        </is>
      </c>
      <c r="C947" s="55" t="n">
        <v>0</v>
      </c>
      <c r="D947" s="42" t="n">
        <v>12</v>
      </c>
      <c r="E947" s="56" t="n">
        <v>0</v>
      </c>
      <c r="F947" s="42" t="n">
        <v>0</v>
      </c>
      <c r="G947" s="42" t="n">
        <v>5</v>
      </c>
      <c r="H947" s="42" t="n"/>
    </row>
    <row r="948" ht="15" customHeight="1" s="37">
      <c r="A948" s="42" t="inlineStr">
        <is>
          <t>deyga hair care kit review</t>
        </is>
      </c>
      <c r="B948" s="42" t="inlineStr">
        <is>
          <t>Commercial</t>
        </is>
      </c>
      <c r="C948" s="55" t="n">
        <v>0</v>
      </c>
      <c r="D948" s="42" t="n">
        <v>9</v>
      </c>
      <c r="E948" s="56" t="n"/>
      <c r="F948" s="42" t="n"/>
      <c r="G948" s="42" t="inlineStr">
        <is>
          <t>T3-2</t>
        </is>
      </c>
      <c r="H948" s="42" t="inlineStr">
        <is>
          <t>No Semrush data (n/a)</t>
        </is>
      </c>
    </row>
    <row r="949" ht="15" customHeight="1" s="37">
      <c r="A949" s="42" t="inlineStr">
        <is>
          <t>deyga hair growth oil review</t>
        </is>
      </c>
      <c r="B949" s="42" t="inlineStr">
        <is>
          <t>Commercial</t>
        </is>
      </c>
      <c r="C949" s="55" t="n">
        <v>0</v>
      </c>
      <c r="D949" s="42" t="n">
        <v>22</v>
      </c>
      <c r="E949" s="56" t="n"/>
      <c r="F949" s="42" t="n"/>
      <c r="G949" s="42" t="inlineStr">
        <is>
          <t>T3-2</t>
        </is>
      </c>
      <c r="H949" s="42" t="inlineStr">
        <is>
          <t>No Semrush data (n/a)</t>
        </is>
      </c>
    </row>
    <row r="950" ht="15" customHeight="1" s="37">
      <c r="A950" s="42" t="inlineStr">
        <is>
          <t>deyga hair nourishment kit</t>
        </is>
      </c>
      <c r="B950" s="42" t="inlineStr">
        <is>
          <t>Transactional Navigational</t>
        </is>
      </c>
      <c r="C950" s="55" t="n">
        <v>0</v>
      </c>
      <c r="D950" s="42" t="n">
        <v>16</v>
      </c>
      <c r="E950" s="56" t="n"/>
      <c r="F950" s="42" t="n"/>
      <c r="G950" s="42" t="n">
        <v>5</v>
      </c>
      <c r="H950" s="42" t="inlineStr">
        <is>
          <t>No Semrush data (n/a)</t>
        </is>
      </c>
    </row>
    <row r="951" ht="15" customHeight="1" s="37">
      <c r="A951" s="42" t="inlineStr">
        <is>
          <t>deyga hair removal powder review</t>
        </is>
      </c>
      <c r="B951" s="42" t="inlineStr">
        <is>
          <t>Navigational Commercial</t>
        </is>
      </c>
      <c r="C951" s="55" t="n">
        <v>0</v>
      </c>
      <c r="D951" s="42" t="n">
        <v>28</v>
      </c>
      <c r="E951" s="56" t="n"/>
      <c r="F951" s="42" t="n"/>
      <c r="G951" s="42" t="inlineStr">
        <is>
          <t>T3-2</t>
        </is>
      </c>
      <c r="H951" s="42" t="inlineStr">
        <is>
          <t>No Semrush data (n/a)</t>
        </is>
      </c>
    </row>
    <row r="952" ht="15" customHeight="1" s="37">
      <c r="A952" s="42" t="inlineStr">
        <is>
          <t>deyga hair strengthening kit</t>
        </is>
      </c>
      <c r="B952" s="42" t="inlineStr">
        <is>
          <t>Transactional Navigational</t>
        </is>
      </c>
      <c r="C952" s="55" t="n">
        <v>0</v>
      </c>
      <c r="D952" s="42" t="n">
        <v>20</v>
      </c>
      <c r="E952" s="56" t="n"/>
      <c r="F952" s="42" t="n"/>
      <c r="G952" s="42" t="n">
        <v>5</v>
      </c>
      <c r="H952" s="42" t="inlineStr">
        <is>
          <t>No Semrush data (n/a)</t>
        </is>
      </c>
    </row>
    <row r="953" ht="15" customHeight="1" s="37">
      <c r="A953" s="42" t="inlineStr">
        <is>
          <t>deyga hair treatment</t>
        </is>
      </c>
      <c r="B953" s="42" t="inlineStr">
        <is>
          <t>Transactional Navigational</t>
        </is>
      </c>
      <c r="C953" s="55" t="n">
        <v>0</v>
      </c>
      <c r="D953" s="42" t="n">
        <v>22</v>
      </c>
      <c r="E953" s="56" t="n"/>
      <c r="F953" s="42" t="n"/>
      <c r="G953" s="42" t="n">
        <v>2</v>
      </c>
      <c r="H953" s="42" t="inlineStr">
        <is>
          <t>No Semrush data (n/a)</t>
        </is>
      </c>
    </row>
    <row r="954" ht="15" customHeight="1" s="37">
      <c r="A954" s="42" t="inlineStr">
        <is>
          <t>deyga healthy glow kit</t>
        </is>
      </c>
      <c r="B954" s="42" t="inlineStr">
        <is>
          <t>Informational</t>
        </is>
      </c>
      <c r="C954" s="55" t="n">
        <v>0</v>
      </c>
      <c r="D954" s="42" t="n">
        <v>14</v>
      </c>
      <c r="E954" s="56" t="n"/>
      <c r="F954" s="42" t="n"/>
      <c r="G954" s="42" t="n">
        <v>5</v>
      </c>
      <c r="H954" s="42" t="inlineStr">
        <is>
          <t>No Semrush data (n/a)</t>
        </is>
      </c>
    </row>
    <row r="955" ht="15" customHeight="1" s="37">
      <c r="A955" s="42" t="inlineStr">
        <is>
          <t>deyga hydro boosting skin care kit</t>
        </is>
      </c>
      <c r="B955" s="42" t="inlineStr">
        <is>
          <t>Informational</t>
        </is>
      </c>
      <c r="C955" s="55" t="n">
        <v>0</v>
      </c>
      <c r="D955" s="42" t="n">
        <v>14</v>
      </c>
      <c r="E955" s="56" t="n"/>
      <c r="F955" s="42" t="n"/>
      <c r="G955" s="42" t="n">
        <v>5</v>
      </c>
      <c r="H955" s="42" t="inlineStr">
        <is>
          <t>No Semrush data (n/a)</t>
        </is>
      </c>
    </row>
    <row r="956" ht="15" customHeight="1" s="37">
      <c r="A956" s="42" t="inlineStr">
        <is>
          <t>deyga instant hair removal kit</t>
        </is>
      </c>
      <c r="B956" s="42" t="inlineStr">
        <is>
          <t>Transactional Navigational</t>
        </is>
      </c>
      <c r="C956" s="55" t="n">
        <v>0</v>
      </c>
      <c r="D956" s="42" t="n">
        <v>20</v>
      </c>
      <c r="E956" s="56" t="n"/>
      <c r="F956" s="42" t="n"/>
      <c r="G956" s="42" t="n">
        <v>5</v>
      </c>
      <c r="H956" s="42" t="inlineStr">
        <is>
          <t>No Semrush data (n/a)</t>
        </is>
      </c>
    </row>
    <row r="957" ht="15" customHeight="1" s="37">
      <c r="A957" s="42" t="inlineStr">
        <is>
          <t>deyga instant hair removal kit with toner</t>
        </is>
      </c>
      <c r="B957" s="42" t="inlineStr">
        <is>
          <t>Transactional Navigational</t>
        </is>
      </c>
      <c r="C957" s="55" t="n">
        <v>0</v>
      </c>
      <c r="D957" s="42" t="n">
        <v>27</v>
      </c>
      <c r="E957" s="56" t="n"/>
      <c r="F957" s="42" t="n"/>
      <c r="G957" s="42" t="n">
        <v>5</v>
      </c>
      <c r="H957" s="42" t="inlineStr">
        <is>
          <t>No Semrush data (n/a)</t>
        </is>
      </c>
    </row>
    <row r="958" ht="15" customHeight="1" s="37">
      <c r="A958" s="42" t="inlineStr">
        <is>
          <t>deyga light moisturising face cream</t>
        </is>
      </c>
      <c r="B958" s="42" t="inlineStr">
        <is>
          <t>Informational Transactional</t>
        </is>
      </c>
      <c r="C958" s="55" t="n">
        <v>0</v>
      </c>
      <c r="D958" s="42" t="n">
        <v>22</v>
      </c>
      <c r="E958" s="56" t="n"/>
      <c r="F958" s="42" t="n"/>
      <c r="G958" s="42" t="n">
        <v>5</v>
      </c>
      <c r="H958" s="42" t="inlineStr">
        <is>
          <t>No Semrush data (n/a)</t>
        </is>
      </c>
    </row>
    <row r="959" ht="15" customHeight="1" s="37">
      <c r="A959" s="42" t="inlineStr">
        <is>
          <t>deyga lip balm review</t>
        </is>
      </c>
      <c r="B959" s="42" t="inlineStr">
        <is>
          <t>Commercial</t>
        </is>
      </c>
      <c r="C959" s="55" t="n">
        <v>0</v>
      </c>
      <c r="D959" s="42" t="n">
        <v>15</v>
      </c>
      <c r="E959" s="56" t="n">
        <v>0</v>
      </c>
      <c r="F959" s="42" t="n">
        <v>1</v>
      </c>
      <c r="G959" s="42" t="inlineStr">
        <is>
          <t>T3-2</t>
        </is>
      </c>
      <c r="H959" s="42" t="n"/>
    </row>
    <row r="960" ht="15" customHeight="1" s="37">
      <c r="A960" s="42" t="inlineStr">
        <is>
          <t>deyga mini foot spa combo</t>
        </is>
      </c>
      <c r="B960" s="42" t="inlineStr">
        <is>
          <t>Navigational</t>
        </is>
      </c>
      <c r="C960" s="55" t="n">
        <v>0</v>
      </c>
      <c r="D960" s="42" t="n">
        <v>13</v>
      </c>
      <c r="E960" s="56" t="n"/>
      <c r="F960" s="42" t="n"/>
      <c r="G960" s="42" t="n">
        <v>5</v>
      </c>
      <c r="H960" s="42" t="inlineStr">
        <is>
          <t>No Semrush data (n/a)</t>
        </is>
      </c>
    </row>
    <row r="961" ht="15" customHeight="1" s="37">
      <c r="A961" s="42" t="inlineStr">
        <is>
          <t>deyga mint lip scrub</t>
        </is>
      </c>
      <c r="B961" s="42" t="inlineStr">
        <is>
          <t>Transactional</t>
        </is>
      </c>
      <c r="C961" s="55" t="n">
        <v>0</v>
      </c>
      <c r="D961" s="42" t="n">
        <v>18</v>
      </c>
      <c r="E961" s="56" t="n"/>
      <c r="F961" s="42" t="n"/>
      <c r="G961" s="42" t="n">
        <v>5</v>
      </c>
      <c r="H961" s="42" t="inlineStr">
        <is>
          <t>No Semrush data (n/a)</t>
        </is>
      </c>
    </row>
    <row r="962" ht="15" customHeight="1" s="37">
      <c r="A962" s="42" t="inlineStr">
        <is>
          <t>deyga moisturiser</t>
        </is>
      </c>
      <c r="B962" s="42" t="inlineStr">
        <is>
          <t>Transactional Navigational</t>
        </is>
      </c>
      <c r="C962" s="55" t="n">
        <v>0</v>
      </c>
      <c r="D962" s="42" t="n">
        <v>25</v>
      </c>
      <c r="E962" s="56" t="n"/>
      <c r="F962" s="42" t="n"/>
      <c r="G962" s="42" t="n">
        <v>2</v>
      </c>
      <c r="H962" s="42" t="inlineStr">
        <is>
          <t>No Semrush data (n/a)</t>
        </is>
      </c>
    </row>
    <row r="963" ht="15" customHeight="1" s="37">
      <c r="A963" s="42" t="inlineStr">
        <is>
          <t>deyga natural hair care kit</t>
        </is>
      </c>
      <c r="B963" s="42" t="inlineStr">
        <is>
          <t>Transactional Navigational</t>
        </is>
      </c>
      <c r="C963" s="55" t="n">
        <v>0</v>
      </c>
      <c r="D963" s="42" t="n">
        <v>21</v>
      </c>
      <c r="E963" s="56" t="n"/>
      <c r="F963" s="42" t="n"/>
      <c r="G963" s="42" t="n">
        <v>5</v>
      </c>
      <c r="H963" s="42" t="inlineStr">
        <is>
          <t>No Semrush data (n/a)</t>
        </is>
      </c>
    </row>
    <row r="964" ht="15" customHeight="1" s="37">
      <c r="A964" s="42" t="inlineStr">
        <is>
          <t>deyga natural lip balm</t>
        </is>
      </c>
      <c r="B964" s="42" t="inlineStr">
        <is>
          <t>Transactional Navigational</t>
        </is>
      </c>
      <c r="C964" s="55" t="n">
        <v>0</v>
      </c>
      <c r="D964" s="42" t="n">
        <v>18</v>
      </c>
      <c r="E964" s="56" t="n"/>
      <c r="F964" s="42" t="n"/>
      <c r="G964" s="42" t="n">
        <v>5</v>
      </c>
      <c r="H964" s="42" t="inlineStr">
        <is>
          <t>No Semrush data (n/a)</t>
        </is>
      </c>
    </row>
    <row r="965" ht="15" customHeight="1" s="37">
      <c r="A965" s="42" t="inlineStr">
        <is>
          <t>deyga natural loose setting powder</t>
        </is>
      </c>
      <c r="B965" s="42" t="inlineStr">
        <is>
          <t>Informational Transactional</t>
        </is>
      </c>
      <c r="C965" s="55" t="n">
        <v>0</v>
      </c>
      <c r="D965" s="42" t="n">
        <v>13</v>
      </c>
      <c r="E965" s="56" t="n"/>
      <c r="F965" s="42" t="n"/>
      <c r="G965" s="42" t="n">
        <v>5</v>
      </c>
      <c r="H965" s="42" t="inlineStr">
        <is>
          <t>No Semrush data (n/a)</t>
        </is>
      </c>
    </row>
    <row r="966" ht="15" customHeight="1" s="37">
      <c r="A966" s="42" t="inlineStr">
        <is>
          <t>deyga neem &amp; turmeric bath bar</t>
        </is>
      </c>
      <c r="B966" s="42" t="inlineStr">
        <is>
          <t>Navigational</t>
        </is>
      </c>
      <c r="C966" s="55" t="n">
        <v>0</v>
      </c>
      <c r="D966" s="42" t="n">
        <v>13</v>
      </c>
      <c r="E966" s="56" t="n"/>
      <c r="F966" s="42" t="n"/>
      <c r="G966" s="42" t="n">
        <v>5</v>
      </c>
      <c r="H966" s="42" t="inlineStr">
        <is>
          <t>No Semrush data (n/a)</t>
        </is>
      </c>
    </row>
    <row r="967" ht="15" customHeight="1" s="37">
      <c r="A967" s="42" t="inlineStr">
        <is>
          <t>deyga neem seed oil</t>
        </is>
      </c>
      <c r="B967" s="42" t="inlineStr">
        <is>
          <t>Transactional Navigational</t>
        </is>
      </c>
      <c r="C967" s="55" t="n">
        <v>0</v>
      </c>
      <c r="D967" s="42" t="n">
        <v>16</v>
      </c>
      <c r="E967" s="56" t="n"/>
      <c r="F967" s="42" t="n"/>
      <c r="G967" s="42" t="n">
        <v>5</v>
      </c>
      <c r="H967" s="42" t="inlineStr">
        <is>
          <t>No Semrush data (n/a)</t>
        </is>
      </c>
    </row>
    <row r="968" ht="15" customHeight="1" s="37">
      <c r="A968" s="42" t="inlineStr">
        <is>
          <t>deyga neem seed oil review</t>
        </is>
      </c>
      <c r="B968" s="42" t="inlineStr">
        <is>
          <t>Commercial</t>
        </is>
      </c>
      <c r="C968" s="55" t="n">
        <v>0</v>
      </c>
      <c r="D968" s="42" t="n">
        <v>16</v>
      </c>
      <c r="E968" s="56" t="n"/>
      <c r="F968" s="42" t="n"/>
      <c r="G968" s="42" t="inlineStr">
        <is>
          <t>T3-2</t>
        </is>
      </c>
      <c r="H968" s="42" t="inlineStr">
        <is>
          <t>No Semrush data (n/a)</t>
        </is>
      </c>
    </row>
    <row r="969" ht="15" customHeight="1" s="37">
      <c r="A969" s="42" t="inlineStr">
        <is>
          <t>deyga nourished lip care kit</t>
        </is>
      </c>
      <c r="B969" s="42" t="inlineStr">
        <is>
          <t>Informational</t>
        </is>
      </c>
      <c r="C969" s="55" t="n">
        <v>0</v>
      </c>
      <c r="D969" s="42" t="n">
        <v>17</v>
      </c>
      <c r="E969" s="56" t="n"/>
      <c r="F969" s="42" t="n"/>
      <c r="G969" s="42" t="n">
        <v>5</v>
      </c>
      <c r="H969" s="42" t="inlineStr">
        <is>
          <t>No Semrush data (n/a)</t>
        </is>
      </c>
    </row>
    <row r="970" ht="15" customHeight="1" s="37">
      <c r="A970" s="42" t="inlineStr">
        <is>
          <t>deyga nourished lips stick kit</t>
        </is>
      </c>
      <c r="B970" s="42" t="inlineStr">
        <is>
          <t>Informational</t>
        </is>
      </c>
      <c r="C970" s="55" t="n">
        <v>0</v>
      </c>
      <c r="D970" s="42" t="n">
        <v>14</v>
      </c>
      <c r="E970" s="56" t="n"/>
      <c r="F970" s="42" t="n"/>
      <c r="G970" s="42" t="n">
        <v>5</v>
      </c>
      <c r="H970" s="42" t="inlineStr">
        <is>
          <t>No Semrush data (n/a)</t>
        </is>
      </c>
    </row>
    <row r="971" ht="15" customHeight="1" s="37">
      <c r="A971" s="42" t="inlineStr">
        <is>
          <t>deyga official website</t>
        </is>
      </c>
      <c r="B971" s="42" t="inlineStr">
        <is>
          <t>Navigational</t>
        </is>
      </c>
      <c r="C971" s="55" t="n">
        <v>0</v>
      </c>
      <c r="D971" s="42" t="n">
        <v>22</v>
      </c>
      <c r="E971" s="56" t="n">
        <v>0</v>
      </c>
      <c r="F971" s="42" t="n">
        <v>0</v>
      </c>
      <c r="G971" s="42" t="n">
        <v>1</v>
      </c>
      <c r="H971" s="42" t="n"/>
    </row>
    <row r="972" ht="15" customHeight="1" s="37">
      <c r="A972" s="42" t="inlineStr">
        <is>
          <t>deyga orange &amp; almond face pack powder</t>
        </is>
      </c>
      <c r="B972" s="42" t="inlineStr">
        <is>
          <t>Informational Transactional</t>
        </is>
      </c>
      <c r="C972" s="55" t="n">
        <v>0</v>
      </c>
      <c r="D972" s="42" t="n">
        <v>13</v>
      </c>
      <c r="E972" s="56" t="n"/>
      <c r="F972" s="42" t="n"/>
      <c r="G972" s="42" t="n">
        <v>5</v>
      </c>
      <c r="H972" s="42" t="inlineStr">
        <is>
          <t>No Semrush data (n/a)</t>
        </is>
      </c>
    </row>
    <row r="973" ht="15" customHeight="1" s="37">
      <c r="A973" s="42" t="inlineStr">
        <is>
          <t>deyga organic loofah for body exfoliation</t>
        </is>
      </c>
      <c r="B973" s="42" t="inlineStr">
        <is>
          <t>Transactional Navigational</t>
        </is>
      </c>
      <c r="C973" s="55" t="n">
        <v>0</v>
      </c>
      <c r="D973" s="42" t="n">
        <v>12</v>
      </c>
      <c r="E973" s="56" t="n"/>
      <c r="F973" s="42" t="n"/>
      <c r="G973" s="42" t="n">
        <v>5</v>
      </c>
      <c r="H973" s="42" t="inlineStr">
        <is>
          <t>No Semrush data (n/a)</t>
        </is>
      </c>
    </row>
    <row r="974" ht="15" customHeight="1" s="37">
      <c r="A974" s="42" t="inlineStr">
        <is>
          <t>deyga organics uk</t>
        </is>
      </c>
      <c r="B974" s="42" t="inlineStr">
        <is>
          <t>Informational</t>
        </is>
      </c>
      <c r="C974" s="55" t="n">
        <v>0</v>
      </c>
      <c r="D974" s="42" t="n">
        <v>6</v>
      </c>
      <c r="E974" s="56" t="n">
        <v>0</v>
      </c>
      <c r="F974" s="42" t="n">
        <v>0</v>
      </c>
      <c r="G974" s="42" t="n">
        <v>3</v>
      </c>
      <c r="H974" s="42" t="n"/>
    </row>
    <row r="975" ht="15" customHeight="1" s="37">
      <c r="A975" s="42" t="inlineStr">
        <is>
          <t>deyga plant based hair color – black</t>
        </is>
      </c>
      <c r="B975" s="42" t="inlineStr">
        <is>
          <t>Informational Transactional</t>
        </is>
      </c>
      <c r="C975" s="55" t="n">
        <v>0</v>
      </c>
      <c r="D975" s="42" t="n">
        <v>14</v>
      </c>
      <c r="E975" s="56" t="n"/>
      <c r="F975" s="42" t="n"/>
      <c r="G975" s="42" t="n">
        <v>5</v>
      </c>
      <c r="H975" s="42" t="inlineStr">
        <is>
          <t>No Semrush data (n/a)</t>
        </is>
      </c>
    </row>
    <row r="976" ht="15" customHeight="1" s="37">
      <c r="A976" s="42" t="inlineStr">
        <is>
          <t>deyga premature greying hair oil</t>
        </is>
      </c>
      <c r="B976" s="42" t="inlineStr">
        <is>
          <t>Transactional Navigational</t>
        </is>
      </c>
      <c r="C976" s="55" t="n">
        <v>0</v>
      </c>
      <c r="D976" s="42" t="n">
        <v>13</v>
      </c>
      <c r="E976" s="56" t="n"/>
      <c r="F976" s="42" t="n"/>
      <c r="G976" s="42" t="n">
        <v>5</v>
      </c>
      <c r="H976" s="42" t="inlineStr">
        <is>
          <t>No Semrush data (n/a)</t>
        </is>
      </c>
    </row>
    <row r="977" ht="15" customHeight="1" s="37">
      <c r="A977" s="42" t="inlineStr">
        <is>
          <t>deyga products near me</t>
        </is>
      </c>
      <c r="B977" s="42" t="inlineStr">
        <is>
          <t>Transactional Navigational</t>
        </is>
      </c>
      <c r="C977" s="55" t="n">
        <v>0</v>
      </c>
      <c r="D977" s="42" t="n">
        <v>23</v>
      </c>
      <c r="E977" s="56" t="n"/>
      <c r="F977" s="42" t="n"/>
      <c r="G977" s="42" t="n">
        <v>3</v>
      </c>
      <c r="H977" s="42" t="inlineStr">
        <is>
          <t>No Semrush data (n/a)</t>
        </is>
      </c>
    </row>
    <row r="978" ht="15" customHeight="1" s="37">
      <c r="A978" s="42" t="inlineStr">
        <is>
          <t>deyga products uk</t>
        </is>
      </c>
      <c r="B978" s="42" t="inlineStr">
        <is>
          <t>Transactional Navigational</t>
        </is>
      </c>
      <c r="C978" s="55" t="n">
        <v>0</v>
      </c>
      <c r="D978" s="42" t="n">
        <v>16</v>
      </c>
      <c r="E978" s="56" t="n"/>
      <c r="F978" s="42" t="n"/>
      <c r="G978" s="42" t="n">
        <v>1</v>
      </c>
      <c r="H978" s="42" t="inlineStr">
        <is>
          <t>No Semrush data (n/a)</t>
        </is>
      </c>
    </row>
    <row r="979" ht="15" customHeight="1" s="37">
      <c r="A979" s="42" t="inlineStr">
        <is>
          <t>deyga pure aloe vera gel</t>
        </is>
      </c>
      <c r="B979" s="42" t="inlineStr">
        <is>
          <t>Informational</t>
        </is>
      </c>
      <c r="C979" s="55" t="n">
        <v>0</v>
      </c>
      <c r="D979" s="42" t="n">
        <v>22</v>
      </c>
      <c r="E979" s="56" t="n"/>
      <c r="F979" s="42" t="n"/>
      <c r="G979" s="42" t="n">
        <v>5</v>
      </c>
      <c r="H979" s="42" t="inlineStr">
        <is>
          <t>No Semrush data (n/a)</t>
        </is>
      </c>
    </row>
    <row r="980" ht="15" customHeight="1" s="37">
      <c r="A980" s="42" t="inlineStr">
        <is>
          <t>deyga pure rose water toner</t>
        </is>
      </c>
      <c r="B980" s="42" t="inlineStr">
        <is>
          <t>Navigational</t>
        </is>
      </c>
      <c r="C980" s="55" t="n">
        <v>0</v>
      </c>
      <c r="D980" s="42" t="n">
        <v>13</v>
      </c>
      <c r="E980" s="56" t="n"/>
      <c r="F980" s="42" t="n"/>
      <c r="G980" s="42" t="n">
        <v>5</v>
      </c>
      <c r="H980" s="42" t="inlineStr">
        <is>
          <t>No Semrush data (n/a)</t>
        </is>
      </c>
    </row>
    <row r="981" ht="15" customHeight="1" s="37">
      <c r="A981" s="42" t="inlineStr">
        <is>
          <t>deyga rice water shampoo review</t>
        </is>
      </c>
      <c r="B981" s="42" t="inlineStr">
        <is>
          <t>Transactional</t>
        </is>
      </c>
      <c r="C981" s="55" t="n">
        <v>0</v>
      </c>
      <c r="D981" s="42" t="n">
        <v>35</v>
      </c>
      <c r="E981" s="56" t="n"/>
      <c r="F981" s="42" t="n"/>
      <c r="G981" s="42" t="inlineStr">
        <is>
          <t>T3-2</t>
        </is>
      </c>
      <c r="H981" s="42" t="inlineStr">
        <is>
          <t>No Semrush data (n/a)</t>
        </is>
      </c>
    </row>
    <row r="982" ht="15" customHeight="1" s="37">
      <c r="A982" s="42" t="inlineStr">
        <is>
          <t>deyga rose &amp; geranium body butter</t>
        </is>
      </c>
      <c r="B982" s="42" t="inlineStr">
        <is>
          <t>Informational Transactional</t>
        </is>
      </c>
      <c r="C982" s="55" t="n">
        <v>0</v>
      </c>
      <c r="D982" s="42" t="n">
        <v>12</v>
      </c>
      <c r="E982" s="56" t="n"/>
      <c r="F982" s="42" t="n"/>
      <c r="G982" s="42" t="n">
        <v>5</v>
      </c>
      <c r="H982" s="42" t="inlineStr">
        <is>
          <t>No Semrush data (n/a)</t>
        </is>
      </c>
    </row>
    <row r="983" ht="15" customHeight="1" s="37">
      <c r="A983" s="42" t="inlineStr">
        <is>
          <t>deyga rose &amp; mulethi skin brightening pack</t>
        </is>
      </c>
      <c r="B983" s="42" t="inlineStr">
        <is>
          <t>Navigational</t>
        </is>
      </c>
      <c r="C983" s="55" t="n">
        <v>0</v>
      </c>
      <c r="D983" s="42" t="n">
        <v>15</v>
      </c>
      <c r="E983" s="56" t="n"/>
      <c r="F983" s="42" t="n"/>
      <c r="G983" s="42" t="n">
        <v>5</v>
      </c>
      <c r="H983" s="42" t="inlineStr">
        <is>
          <t>No Semrush data (n/a)</t>
        </is>
      </c>
    </row>
    <row r="984" ht="15" customHeight="1" s="37">
      <c r="A984" s="42" t="inlineStr">
        <is>
          <t>deyga rose glow serum</t>
        </is>
      </c>
      <c r="B984" s="42" t="inlineStr">
        <is>
          <t>Transactional Navigational</t>
        </is>
      </c>
      <c r="C984" s="55" t="n">
        <v>0</v>
      </c>
      <c r="D984" s="42" t="n">
        <v>13</v>
      </c>
      <c r="E984" s="56" t="n">
        <v>0</v>
      </c>
      <c r="F984" s="42" t="n">
        <v>0</v>
      </c>
      <c r="G984" s="42" t="n">
        <v>5</v>
      </c>
      <c r="H984" s="42" t="n"/>
    </row>
    <row r="985" ht="15" customHeight="1" s="37">
      <c r="A985" s="42" t="inlineStr">
        <is>
          <t>deyga rose glow serum review</t>
        </is>
      </c>
      <c r="B985" s="42" t="inlineStr">
        <is>
          <t>Navigational Commercial</t>
        </is>
      </c>
      <c r="C985" s="55" t="n">
        <v>0</v>
      </c>
      <c r="D985" s="42" t="n">
        <v>3</v>
      </c>
      <c r="E985" s="56" t="n">
        <v>0</v>
      </c>
      <c r="F985" s="42" t="n">
        <v>0</v>
      </c>
      <c r="G985" s="42" t="inlineStr">
        <is>
          <t>T3-2</t>
        </is>
      </c>
      <c r="H985" s="42" t="n"/>
    </row>
    <row r="986" ht="15" customHeight="1" s="37">
      <c r="A986" s="42" t="inlineStr">
        <is>
          <t>deyga rose pink clay bath bar</t>
        </is>
      </c>
      <c r="B986" s="42" t="inlineStr">
        <is>
          <t>Informational Transactional</t>
        </is>
      </c>
      <c r="C986" s="55" t="n">
        <v>0</v>
      </c>
      <c r="D986" s="42" t="n">
        <v>12</v>
      </c>
      <c r="E986" s="56" t="n"/>
      <c r="F986" s="42" t="n"/>
      <c r="G986" s="42" t="n">
        <v>5</v>
      </c>
      <c r="H986" s="42" t="inlineStr">
        <is>
          <t>No Semrush data (n/a)</t>
        </is>
      </c>
    </row>
    <row r="987" ht="15" customHeight="1" s="37">
      <c r="A987" s="42" t="inlineStr">
        <is>
          <t>deyga sensitive skin kit</t>
        </is>
      </c>
      <c r="B987" s="42" t="inlineStr">
        <is>
          <t>Informational</t>
        </is>
      </c>
      <c r="C987" s="55" t="n">
        <v>0</v>
      </c>
      <c r="D987" s="42" t="n">
        <v>14</v>
      </c>
      <c r="E987" s="56" t="n"/>
      <c r="F987" s="42" t="n"/>
      <c r="G987" s="42" t="n">
        <v>5</v>
      </c>
      <c r="H987" s="42" t="inlineStr">
        <is>
          <t>No Semrush data (n/a)</t>
        </is>
      </c>
    </row>
    <row r="988" ht="15" customHeight="1" s="37">
      <c r="A988" s="42" t="inlineStr">
        <is>
          <t>deyga shea saffron bath bar</t>
        </is>
      </c>
      <c r="B988" s="42" t="inlineStr">
        <is>
          <t>Informational Transactional</t>
        </is>
      </c>
      <c r="C988" s="55" t="n">
        <v>0</v>
      </c>
      <c r="D988" s="42" t="n">
        <v>22</v>
      </c>
      <c r="E988" s="56" t="n"/>
      <c r="F988" s="42" t="n"/>
      <c r="G988" s="42" t="n">
        <v>5</v>
      </c>
      <c r="H988" s="42" t="inlineStr">
        <is>
          <t>No Semrush data (n/a)</t>
        </is>
      </c>
    </row>
    <row r="989" ht="15" customHeight="1" s="37">
      <c r="A989" s="42" t="inlineStr">
        <is>
          <t>deyga shop near me</t>
        </is>
      </c>
      <c r="B989" s="42" t="inlineStr">
        <is>
          <t>Transactional Navigational</t>
        </is>
      </c>
      <c r="C989" s="55" t="n">
        <v>0</v>
      </c>
      <c r="D989" s="42" t="n">
        <v>21</v>
      </c>
      <c r="E989" s="56" t="n"/>
      <c r="F989" s="42" t="n"/>
      <c r="G989" s="42" t="n">
        <v>3</v>
      </c>
      <c r="H989" s="42" t="inlineStr">
        <is>
          <t>No Semrush data (n/a)</t>
        </is>
      </c>
    </row>
    <row r="990" ht="15" customHeight="1" s="37">
      <c r="A990" s="42" t="inlineStr">
        <is>
          <t>deyga skincare gift set</t>
        </is>
      </c>
      <c r="B990" s="42" t="inlineStr">
        <is>
          <t>Transactional Navigational</t>
        </is>
      </c>
      <c r="C990" s="55" t="n">
        <v>0</v>
      </c>
      <c r="D990" s="42" t="n">
        <v>23</v>
      </c>
      <c r="E990" s="56" t="n"/>
      <c r="F990" s="42" t="n"/>
      <c r="G990" s="42" t="n">
        <v>2</v>
      </c>
      <c r="H990" s="42" t="inlineStr">
        <is>
          <t>No Semrush data (n/a)</t>
        </is>
      </c>
    </row>
    <row r="991" ht="15" customHeight="1" s="37">
      <c r="A991" s="42" t="inlineStr">
        <is>
          <t>deyga soft lip combo</t>
        </is>
      </c>
      <c r="B991" s="42" t="inlineStr">
        <is>
          <t>Informational Transactional</t>
        </is>
      </c>
      <c r="C991" s="55" t="n">
        <v>0</v>
      </c>
      <c r="D991" s="42" t="n">
        <v>14</v>
      </c>
      <c r="E991" s="56" t="n"/>
      <c r="F991" s="42" t="n"/>
      <c r="G991" s="42" t="n">
        <v>5</v>
      </c>
      <c r="H991" s="42" t="inlineStr">
        <is>
          <t>No Semrush data (n/a)</t>
        </is>
      </c>
    </row>
    <row r="992" ht="15" customHeight="1" s="37">
      <c r="A992" s="42" t="inlineStr">
        <is>
          <t>deyga soy milk conditioner</t>
        </is>
      </c>
      <c r="B992" s="42" t="inlineStr">
        <is>
          <t>Transactional Navigational</t>
        </is>
      </c>
      <c r="C992" s="55" t="n">
        <v>0</v>
      </c>
      <c r="D992" s="42" t="n">
        <v>29</v>
      </c>
      <c r="E992" s="56" t="n"/>
      <c r="F992" s="42" t="n"/>
      <c r="G992" s="42" t="n">
        <v>5</v>
      </c>
      <c r="H992" s="42" t="inlineStr">
        <is>
          <t>No Semrush data (n/a)</t>
        </is>
      </c>
    </row>
    <row r="993" ht="15" customHeight="1" s="37">
      <c r="A993" s="42" t="inlineStr">
        <is>
          <t>deyga soy milk conditioner review</t>
        </is>
      </c>
      <c r="B993" s="42" t="inlineStr">
        <is>
          <t>Commercial</t>
        </is>
      </c>
      <c r="C993" s="55" t="n">
        <v>0</v>
      </c>
      <c r="D993" s="42" t="n">
        <v>29</v>
      </c>
      <c r="E993" s="56" t="n"/>
      <c r="F993" s="42" t="n"/>
      <c r="G993" s="42" t="inlineStr">
        <is>
          <t>T3-2</t>
        </is>
      </c>
      <c r="H993" s="42" t="inlineStr">
        <is>
          <t>No Semrush data (n/a)</t>
        </is>
      </c>
    </row>
    <row r="994" ht="15" customHeight="1" s="37">
      <c r="A994" s="42" t="inlineStr">
        <is>
          <t>deyga spinach &amp; cucumber bath bar</t>
        </is>
      </c>
      <c r="B994" s="42" t="inlineStr">
        <is>
          <t>Navigational</t>
        </is>
      </c>
      <c r="C994" s="55" t="n">
        <v>0</v>
      </c>
      <c r="D994" s="42" t="n">
        <v>12</v>
      </c>
      <c r="E994" s="56" t="n"/>
      <c r="F994" s="42" t="n"/>
      <c r="G994" s="42" t="n">
        <v>5</v>
      </c>
      <c r="H994" s="42" t="inlineStr">
        <is>
          <t>No Semrush data (n/a)</t>
        </is>
      </c>
    </row>
    <row r="995" ht="15" customHeight="1" s="37">
      <c r="A995" s="42" t="inlineStr">
        <is>
          <t>deyga spirulina matcha face pack</t>
        </is>
      </c>
      <c r="B995" s="42" t="inlineStr">
        <is>
          <t>Transactional Navigational</t>
        </is>
      </c>
      <c r="C995" s="55" t="n">
        <v>0</v>
      </c>
      <c r="D995" s="42" t="n">
        <v>20</v>
      </c>
      <c r="E995" s="56" t="n"/>
      <c r="F995" s="42" t="n"/>
      <c r="G995" s="42" t="n">
        <v>5</v>
      </c>
      <c r="H995" s="42" t="inlineStr">
        <is>
          <t>No Semrush data (n/a)</t>
        </is>
      </c>
    </row>
    <row r="996" ht="15" customHeight="1" s="37">
      <c r="A996" s="42" t="inlineStr">
        <is>
          <t>deyga strawberry lip scrub</t>
        </is>
      </c>
      <c r="B996" s="42" t="inlineStr">
        <is>
          <t>Informational Transactional</t>
        </is>
      </c>
      <c r="C996" s="55" t="n">
        <v>0</v>
      </c>
      <c r="D996" s="42" t="n">
        <v>6</v>
      </c>
      <c r="E996" s="56" t="n">
        <v>0</v>
      </c>
      <c r="F996" s="42" t="n">
        <v>0</v>
      </c>
      <c r="G996" s="42" t="n">
        <v>5</v>
      </c>
      <c r="H996" s="42" t="n"/>
    </row>
    <row r="997" ht="15" customHeight="1" s="37">
      <c r="A997" s="42" t="inlineStr">
        <is>
          <t>deyga sunscreen review</t>
        </is>
      </c>
      <c r="B997" s="42" t="inlineStr">
        <is>
          <t>Commercial</t>
        </is>
      </c>
      <c r="C997" s="55" t="n">
        <v>0</v>
      </c>
      <c r="D997" s="42" t="n">
        <v>7</v>
      </c>
      <c r="E997" s="56" t="n">
        <v>0</v>
      </c>
      <c r="F997" s="42" t="n">
        <v>0</v>
      </c>
      <c r="G997" s="42" t="inlineStr">
        <is>
          <t>T3-2</t>
        </is>
      </c>
      <c r="H997" s="42" t="n"/>
    </row>
    <row r="998" ht="15" customHeight="1" s="37">
      <c r="A998" s="42" t="inlineStr">
        <is>
          <t>deyga tangerine cleansing balm for makeup removal</t>
        </is>
      </c>
      <c r="B998" s="42" t="inlineStr">
        <is>
          <t>Informational Navigational</t>
        </is>
      </c>
      <c r="C998" s="55" t="n">
        <v>0</v>
      </c>
      <c r="D998" s="42" t="n">
        <v>12</v>
      </c>
      <c r="E998" s="56" t="n"/>
      <c r="F998" s="42" t="n"/>
      <c r="G998" s="42" t="n">
        <v>5</v>
      </c>
      <c r="H998" s="42" t="inlineStr">
        <is>
          <t>No Semrush data (n/a)</t>
        </is>
      </c>
    </row>
    <row r="999" ht="15" customHeight="1" s="37">
      <c r="A999" s="42" t="inlineStr">
        <is>
          <t>deyga tea tree facial toner</t>
        </is>
      </c>
      <c r="B999" s="42" t="inlineStr">
        <is>
          <t>Transactional Navigational</t>
        </is>
      </c>
      <c r="C999" s="55" t="n">
        <v>0</v>
      </c>
      <c r="D999" s="42" t="n">
        <v>13</v>
      </c>
      <c r="E999" s="56" t="n"/>
      <c r="F999" s="42" t="n"/>
      <c r="G999" s="42" t="n">
        <v>5</v>
      </c>
      <c r="H999" s="42" t="inlineStr">
        <is>
          <t>No Semrush data (n/a)</t>
        </is>
      </c>
    </row>
    <row r="1000" ht="15" customHeight="1" s="37">
      <c r="A1000" s="42" t="inlineStr">
        <is>
          <t>deyga toner</t>
        </is>
      </c>
      <c r="B1000" s="42" t="inlineStr">
        <is>
          <t>Informational Transactional</t>
        </is>
      </c>
      <c r="C1000" s="55" t="n">
        <v>0</v>
      </c>
      <c r="D1000" s="42" t="n">
        <v>18</v>
      </c>
      <c r="E1000" s="56" t="n"/>
      <c r="F1000" s="42" t="n"/>
      <c r="G1000" s="42" t="n">
        <v>2</v>
      </c>
      <c r="H1000" s="42" t="inlineStr">
        <is>
          <t>No Semrush data (n/a)</t>
        </is>
      </c>
    </row>
    <row r="1001" ht="15" customHeight="1" s="37">
      <c r="A1001" s="42" t="inlineStr">
        <is>
          <t>deyga uk</t>
        </is>
      </c>
      <c r="B1001" s="42" t="inlineStr">
        <is>
          <t>Navigational</t>
        </is>
      </c>
      <c r="C1001" s="55" t="n">
        <v>0</v>
      </c>
      <c r="D1001" s="42" t="n">
        <v>30</v>
      </c>
      <c r="E1001" s="56" t="n"/>
      <c r="F1001" s="42" t="n"/>
      <c r="G1001" s="42" t="n">
        <v>1</v>
      </c>
      <c r="H1001" s="42" t="inlineStr">
        <is>
          <t>No Semrush data (n/a)</t>
        </is>
      </c>
    </row>
    <row r="1002" ht="15" customHeight="1" s="37">
      <c r="A1002" s="42" t="inlineStr">
        <is>
          <t>deyga under eye cream review</t>
        </is>
      </c>
      <c r="B1002" s="42" t="inlineStr">
        <is>
          <t>Commercial</t>
        </is>
      </c>
      <c r="C1002" s="55" t="n">
        <v>0</v>
      </c>
      <c r="D1002" s="42" t="n">
        <v>21</v>
      </c>
      <c r="E1002" s="56" t="n"/>
      <c r="F1002" s="42" t="n"/>
      <c r="G1002" s="42" t="inlineStr">
        <is>
          <t>T3-2</t>
        </is>
      </c>
      <c r="H1002" s="42" t="inlineStr">
        <is>
          <t>No Semrush data (n/a)</t>
        </is>
      </c>
    </row>
    <row r="1003" ht="15" customHeight="1" s="37">
      <c r="A1003" s="42" t="inlineStr">
        <is>
          <t>deyga under eye mask</t>
        </is>
      </c>
      <c r="B1003" s="42" t="inlineStr">
        <is>
          <t>Transactional Navigational</t>
        </is>
      </c>
      <c r="C1003" s="55" t="n">
        <v>0</v>
      </c>
      <c r="D1003" s="42" t="n">
        <v>19</v>
      </c>
      <c r="E1003" s="56" t="n"/>
      <c r="F1003" s="42" t="n"/>
      <c r="G1003" s="42" t="n">
        <v>5</v>
      </c>
      <c r="H1003" s="42" t="inlineStr">
        <is>
          <t>No Semrush data (n/a)</t>
        </is>
      </c>
    </row>
    <row r="1004" ht="15" customHeight="1" s="37">
      <c r="A1004" s="42" t="inlineStr">
        <is>
          <t>deyga under eye mask review</t>
        </is>
      </c>
      <c r="B1004" s="42" t="inlineStr">
        <is>
          <t>Navigational Commercial</t>
        </is>
      </c>
      <c r="C1004" s="55" t="n">
        <v>0</v>
      </c>
      <c r="D1004" s="42" t="n">
        <v>22</v>
      </c>
      <c r="E1004" s="56" t="n"/>
      <c r="F1004" s="42" t="n"/>
      <c r="G1004" s="42" t="inlineStr">
        <is>
          <t>T3-2</t>
        </is>
      </c>
      <c r="H1004" s="42" t="inlineStr">
        <is>
          <t>No Semrush data (n/a)</t>
        </is>
      </c>
    </row>
    <row r="1005" ht="15" customHeight="1" s="37">
      <c r="A1005" s="42" t="inlineStr">
        <is>
          <t>deyga vitamin c daily glow combo</t>
        </is>
      </c>
      <c r="B1005" s="42" t="inlineStr">
        <is>
          <t>Informational</t>
        </is>
      </c>
      <c r="C1005" s="55" t="n">
        <v>0</v>
      </c>
      <c r="D1005" s="42" t="n">
        <v>28</v>
      </c>
      <c r="E1005" s="56" t="n"/>
      <c r="F1005" s="42" t="n"/>
      <c r="G1005" s="42" t="n">
        <v>5</v>
      </c>
      <c r="H1005" s="42" t="inlineStr">
        <is>
          <t>No Semrush data (n/a)</t>
        </is>
      </c>
    </row>
    <row r="1006" ht="15" customHeight="1" s="37">
      <c r="A1006" s="42" t="inlineStr">
        <is>
          <t>deyga vitamin c foaming face wash</t>
        </is>
      </c>
      <c r="B1006" s="42" t="inlineStr">
        <is>
          <t>Informational Transactional</t>
        </is>
      </c>
      <c r="C1006" s="55" t="n">
        <v>0</v>
      </c>
      <c r="D1006" s="42" t="n">
        <v>15</v>
      </c>
      <c r="E1006" s="56" t="n"/>
      <c r="F1006" s="42" t="n"/>
      <c r="G1006" s="42" t="n">
        <v>5</v>
      </c>
      <c r="H1006" s="42" t="inlineStr">
        <is>
          <t>No Semrush data (n/a)</t>
        </is>
      </c>
    </row>
    <row r="1007" ht="15" customHeight="1" s="37">
      <c r="A1007" s="42" t="inlineStr">
        <is>
          <t>deyga vitamin c foaming face wash review</t>
        </is>
      </c>
      <c r="B1007" s="42" t="inlineStr">
        <is>
          <t>Navigational Commercial</t>
        </is>
      </c>
      <c r="C1007" s="55" t="n">
        <v>0</v>
      </c>
      <c r="D1007" s="42" t="n">
        <v>25</v>
      </c>
      <c r="E1007" s="56" t="n"/>
      <c r="F1007" s="42" t="n"/>
      <c r="G1007" s="42" t="inlineStr">
        <is>
          <t>T3-2</t>
        </is>
      </c>
      <c r="H1007" s="42" t="inlineStr">
        <is>
          <t>No Semrush data (n/a)</t>
        </is>
      </c>
    </row>
    <row r="1008" ht="15" customHeight="1" s="37">
      <c r="A1008" s="42" t="inlineStr">
        <is>
          <t>deyga wild berry body wash</t>
        </is>
      </c>
      <c r="B1008" s="42" t="inlineStr">
        <is>
          <t>Transactional Navigational</t>
        </is>
      </c>
      <c r="C1008" s="55" t="n">
        <v>0</v>
      </c>
      <c r="D1008" s="42" t="n">
        <v>16</v>
      </c>
      <c r="E1008" s="56" t="n"/>
      <c r="F1008" s="42" t="n"/>
      <c r="G1008" s="42" t="n">
        <v>5</v>
      </c>
      <c r="H1008" s="42" t="inlineStr">
        <is>
          <t>No Semrush data (n/a)</t>
        </is>
      </c>
    </row>
    <row r="1009" ht="15" customHeight="1" s="37">
      <c r="A1009" s="42" t="inlineStr">
        <is>
          <t>deyga wild berry body wash review</t>
        </is>
      </c>
      <c r="B1009" s="42" t="inlineStr">
        <is>
          <t>Commercial</t>
        </is>
      </c>
      <c r="C1009" s="55" t="n">
        <v>0</v>
      </c>
      <c r="D1009" s="42" t="n">
        <v>28</v>
      </c>
      <c r="E1009" s="56" t="n"/>
      <c r="F1009" s="42" t="n"/>
      <c r="G1009" s="42" t="inlineStr">
        <is>
          <t>T3-2</t>
        </is>
      </c>
      <c r="H1009" s="42" t="inlineStr">
        <is>
          <t>No Semrush data (n/a)</t>
        </is>
      </c>
    </row>
    <row r="1010" ht="15" customHeight="1" s="37">
      <c r="A1010" s="42" t="inlineStr">
        <is>
          <t>dior iconics mini discovery set</t>
        </is>
      </c>
      <c r="B1010" s="42" t="inlineStr">
        <is>
          <t>Transactional Navigational</t>
        </is>
      </c>
      <c r="C1010" s="55" t="n">
        <v>0</v>
      </c>
      <c r="D1010" s="42" t="n">
        <v>24</v>
      </c>
      <c r="E1010" s="56" t="n"/>
      <c r="F1010" s="42" t="n"/>
      <c r="G1010" s="42" t="n">
        <v>5</v>
      </c>
      <c r="H1010" s="42" t="inlineStr">
        <is>
          <t>No Semrush data (n/a)</t>
        </is>
      </c>
    </row>
    <row r="1011" ht="15" customHeight="1" s="37">
      <c r="A1011" s="42" t="inlineStr">
        <is>
          <t>dkny be delicious &amp; be delicious fresh blossom gift set</t>
        </is>
      </c>
      <c r="B1011" s="42" t="inlineStr">
        <is>
          <t>Informational Transactional</t>
        </is>
      </c>
      <c r="C1011" s="55" t="n">
        <v>0</v>
      </c>
      <c r="D1011" s="42" t="n">
        <v>14</v>
      </c>
      <c r="E1011" s="56" t="n"/>
      <c r="F1011" s="42" t="n"/>
      <c r="G1011" s="42" t="n">
        <v>5</v>
      </c>
      <c r="H1011" s="42" t="inlineStr">
        <is>
          <t>No Semrush data (n/a)</t>
        </is>
      </c>
    </row>
    <row r="1012" ht="15" customHeight="1" s="37">
      <c r="A1012" s="42" t="inlineStr">
        <is>
          <t>dkny be delicious orchard street uk</t>
        </is>
      </c>
      <c r="B1012" s="42" t="inlineStr">
        <is>
          <t>Informational</t>
        </is>
      </c>
      <c r="C1012" s="55" t="n">
        <v>0</v>
      </c>
      <c r="D1012" s="42" t="n">
        <v>19</v>
      </c>
      <c r="E1012" s="56" t="n"/>
      <c r="F1012" s="42" t="n"/>
      <c r="G1012" s="42" t="inlineStr">
        <is>
          <t>T2-2</t>
        </is>
      </c>
      <c r="H1012" s="42" t="inlineStr">
        <is>
          <t>No Semrush data (n/a)</t>
        </is>
      </c>
    </row>
    <row r="1013" ht="15" customHeight="1" s="37">
      <c r="A1013" s="42" t="inlineStr">
        <is>
          <t>dkny be tempted uk</t>
        </is>
      </c>
      <c r="B1013" s="42" t="inlineStr">
        <is>
          <t>Informational</t>
        </is>
      </c>
      <c r="C1013" s="55" t="n">
        <v>0</v>
      </c>
      <c r="D1013" s="42" t="n">
        <v>10</v>
      </c>
      <c r="E1013" s="56" t="n">
        <v>0</v>
      </c>
      <c r="F1013" s="42" t="n">
        <v>0</v>
      </c>
      <c r="G1013" s="42" t="inlineStr">
        <is>
          <t>T2-1</t>
        </is>
      </c>
      <c r="H1013" s="42" t="n"/>
    </row>
    <row r="1014" ht="15" customHeight="1" s="37">
      <c r="A1014" s="42" t="inlineStr">
        <is>
          <t>dolce &amp; gabbana l'imperatrice uk</t>
        </is>
      </c>
      <c r="B1014" s="42" t="inlineStr">
        <is>
          <t>Informational</t>
        </is>
      </c>
      <c r="C1014" s="55" t="n">
        <v>0</v>
      </c>
      <c r="D1014" s="42" t="n">
        <v>10</v>
      </c>
      <c r="E1014" s="56" t="n">
        <v>0</v>
      </c>
      <c r="F1014" s="42" t="n">
        <v>0</v>
      </c>
      <c r="G1014" s="42" t="inlineStr">
        <is>
          <t>T2-1</t>
        </is>
      </c>
      <c r="H1014" s="42" t="n"/>
    </row>
    <row r="1015" ht="15" customHeight="1" s="37">
      <c r="A1015" s="42" t="inlineStr">
        <is>
          <t>dolce &amp; gabbana the one gift set uk</t>
        </is>
      </c>
      <c r="B1015" s="42" t="inlineStr">
        <is>
          <t>Informational</t>
        </is>
      </c>
      <c r="C1015" s="55" t="n">
        <v>0</v>
      </c>
      <c r="D1015" s="42" t="n">
        <v>16</v>
      </c>
      <c r="E1015" s="56" t="n"/>
      <c r="F1015" s="42" t="n"/>
      <c r="G1015" s="42" t="inlineStr">
        <is>
          <t>T2-2</t>
        </is>
      </c>
      <c r="H1015" s="42" t="inlineStr">
        <is>
          <t>No Semrush data (n/a)</t>
        </is>
      </c>
    </row>
    <row r="1016" ht="15" customHeight="1" s="37">
      <c r="A1016" s="42" t="inlineStr">
        <is>
          <t>dolce &amp; gabbana the one gold intense</t>
        </is>
      </c>
      <c r="B1016" s="42" t="inlineStr">
        <is>
          <t>Informational</t>
        </is>
      </c>
      <c r="C1016" s="55" t="n">
        <v>0</v>
      </c>
      <c r="D1016" s="42" t="n">
        <v>11</v>
      </c>
      <c r="E1016" s="56" t="n">
        <v>0</v>
      </c>
      <c r="F1016" s="42" t="n">
        <v>1</v>
      </c>
      <c r="G1016" s="42" t="n">
        <v>5</v>
      </c>
      <c r="H1016" s="42" t="n"/>
    </row>
    <row r="1017" ht="15" customHeight="1" s="37">
      <c r="A1017" s="42" t="inlineStr">
        <is>
          <t>dolce &amp; gabbana the one intense uk</t>
        </is>
      </c>
      <c r="B1017" s="42" t="inlineStr">
        <is>
          <t>Informational</t>
        </is>
      </c>
      <c r="C1017" s="55" t="n">
        <v>0</v>
      </c>
      <c r="D1017" s="42" t="n">
        <v>18</v>
      </c>
      <c r="E1017" s="56" t="n"/>
      <c r="F1017" s="42" t="n"/>
      <c r="G1017" s="42" t="inlineStr">
        <is>
          <t>T2-2</t>
        </is>
      </c>
      <c r="H1017" s="42" t="inlineStr">
        <is>
          <t>No Semrush data (n/a)</t>
        </is>
      </c>
    </row>
    <row r="1018" ht="15" customHeight="1" s="37">
      <c r="A1018" s="42" t="inlineStr">
        <is>
          <t>elie saab elixir uk</t>
        </is>
      </c>
      <c r="B1018" s="42" t="inlineStr">
        <is>
          <t>Informational</t>
        </is>
      </c>
      <c r="C1018" s="55" t="n">
        <v>0</v>
      </c>
      <c r="D1018" s="42" t="n">
        <v>23</v>
      </c>
      <c r="E1018" s="56" t="n"/>
      <c r="F1018" s="42" t="n"/>
      <c r="G1018" s="42" t="inlineStr">
        <is>
          <t>T2-1</t>
        </is>
      </c>
      <c r="H1018" s="42" t="inlineStr">
        <is>
          <t>No Semrush data (n/a)</t>
        </is>
      </c>
    </row>
    <row r="1019" ht="15" customHeight="1" s="37">
      <c r="A1019" s="42" t="inlineStr">
        <is>
          <t>elie saab girl of now lovely gift set</t>
        </is>
      </c>
      <c r="B1019" s="42" t="inlineStr">
        <is>
          <t>Informational Transactional</t>
        </is>
      </c>
      <c r="C1019" s="55" t="n">
        <v>0</v>
      </c>
      <c r="D1019" s="42" t="n">
        <v>9</v>
      </c>
      <c r="E1019" s="56" t="n">
        <v>0</v>
      </c>
      <c r="F1019" s="42" t="n">
        <v>0</v>
      </c>
      <c r="G1019" s="42" t="n">
        <v>5</v>
      </c>
      <c r="H1019" s="42" t="n"/>
    </row>
    <row r="1020" ht="15" customHeight="1" s="37">
      <c r="A1020" s="42" t="inlineStr">
        <is>
          <t>elie saab la collection des essences no. 1 rose</t>
        </is>
      </c>
      <c r="B1020" s="42" t="inlineStr">
        <is>
          <t>Informational</t>
        </is>
      </c>
      <c r="C1020" s="55" t="n">
        <v>0</v>
      </c>
      <c r="D1020" s="42" t="n">
        <v>12</v>
      </c>
      <c r="E1020" s="56" t="n"/>
      <c r="F1020" s="42" t="n"/>
      <c r="G1020" s="42" t="n">
        <v>6</v>
      </c>
      <c r="H1020" s="42" t="inlineStr">
        <is>
          <t>No Semrush data (n/a)</t>
        </is>
      </c>
    </row>
    <row r="1021" ht="15" customHeight="1" s="37">
      <c r="A1021" s="42" t="inlineStr">
        <is>
          <t>elie saab la collection des essences no. 4 oud</t>
        </is>
      </c>
      <c r="B1021" s="42" t="inlineStr">
        <is>
          <t>Informational Transactional</t>
        </is>
      </c>
      <c r="C1021" s="55" t="n">
        <v>0</v>
      </c>
      <c r="D1021" s="42" t="n">
        <v>17</v>
      </c>
      <c r="E1021" s="56" t="n"/>
      <c r="F1021" s="42" t="n"/>
      <c r="G1021" s="42" t="n">
        <v>6</v>
      </c>
      <c r="H1021" s="42" t="inlineStr">
        <is>
          <t>No Semrush data (n/a)</t>
        </is>
      </c>
    </row>
    <row r="1022" ht="15" customHeight="1" s="37">
      <c r="A1022" s="42" t="inlineStr">
        <is>
          <t>elie saab perfume for women</t>
        </is>
      </c>
      <c r="B1022" s="42" t="inlineStr">
        <is>
          <t>Informational Transactional</t>
        </is>
      </c>
      <c r="C1022" s="55" t="n">
        <v>0</v>
      </c>
      <c r="D1022" s="42" t="n">
        <v>24</v>
      </c>
      <c r="E1022" s="56" t="n">
        <v>0.3</v>
      </c>
      <c r="F1022" s="42" t="n">
        <v>1</v>
      </c>
      <c r="G1022" s="42" t="n">
        <v>1</v>
      </c>
      <c r="H1022" s="42" t="n"/>
    </row>
    <row r="1023" ht="15" customHeight="1" s="37">
      <c r="A1023" s="42" t="inlineStr">
        <is>
          <t>elizabeth arden beauty uk</t>
        </is>
      </c>
      <c r="B1023" s="42" t="inlineStr">
        <is>
          <t>Informational</t>
        </is>
      </c>
      <c r="C1023" s="55" t="n">
        <v>0</v>
      </c>
      <c r="D1023" s="42" t="n">
        <v>27</v>
      </c>
      <c r="E1023" s="56" t="n"/>
      <c r="F1023" s="42" t="n"/>
      <c r="G1023" s="42" t="inlineStr">
        <is>
          <t>T2-2</t>
        </is>
      </c>
      <c r="H1023" s="42" t="inlineStr">
        <is>
          <t>No Semrush data (n/a)</t>
        </is>
      </c>
    </row>
    <row r="1024" ht="15" customHeight="1" s="37">
      <c r="A1024" s="42" t="inlineStr">
        <is>
          <t>elizabeth arden perfume for women</t>
        </is>
      </c>
      <c r="B1024" s="42" t="inlineStr">
        <is>
          <t>Informational</t>
        </is>
      </c>
      <c r="C1024" s="55" t="n">
        <v>0</v>
      </c>
      <c r="D1024" s="42" t="n">
        <v>15</v>
      </c>
      <c r="E1024" s="56" t="n">
        <v>0.44</v>
      </c>
      <c r="F1024" s="42" t="n">
        <v>1</v>
      </c>
      <c r="G1024" s="42" t="n">
        <v>1</v>
      </c>
      <c r="H1024" s="42" t="n"/>
    </row>
    <row r="1025" ht="15" customHeight="1" s="37">
      <c r="A1025" s="42" t="inlineStr">
        <is>
          <t>escada party love uk</t>
        </is>
      </c>
      <c r="B1025" s="42" t="inlineStr">
        <is>
          <t>Commercial</t>
        </is>
      </c>
      <c r="C1025" s="55" t="n">
        <v>0</v>
      </c>
      <c r="D1025" s="42" t="n">
        <v>14</v>
      </c>
      <c r="E1025" s="56" t="n"/>
      <c r="F1025" s="42" t="n"/>
      <c r="G1025" s="42" t="inlineStr">
        <is>
          <t>T2-2</t>
        </is>
      </c>
      <c r="H1025" s="42" t="inlineStr">
        <is>
          <t>No Semrush data (n/a)</t>
        </is>
      </c>
    </row>
    <row r="1026" ht="15" customHeight="1" s="37">
      <c r="A1026" s="42" t="inlineStr">
        <is>
          <t>estee lauder spellbound uk</t>
        </is>
      </c>
      <c r="B1026" s="42" t="inlineStr">
        <is>
          <t>Informational Commercial</t>
        </is>
      </c>
      <c r="C1026" s="55" t="n">
        <v>0</v>
      </c>
      <c r="D1026" s="42" t="n">
        <v>10</v>
      </c>
      <c r="E1026" s="56" t="n">
        <v>0</v>
      </c>
      <c r="F1026" s="42" t="n">
        <v>0</v>
      </c>
      <c r="G1026" s="42" t="inlineStr">
        <is>
          <t>T2-1</t>
        </is>
      </c>
      <c r="H1026" s="42" t="n"/>
    </row>
    <row r="1027" ht="15" customHeight="1" s="37">
      <c r="A1027" s="42" t="inlineStr">
        <is>
          <t>etienne aigner first class explorer</t>
        </is>
      </c>
      <c r="B1027" s="42" t="inlineStr">
        <is>
          <t>Informational</t>
        </is>
      </c>
      <c r="C1027" s="55" t="n">
        <v>0</v>
      </c>
      <c r="D1027" s="42" t="n">
        <v>13</v>
      </c>
      <c r="E1027" s="56" t="n"/>
      <c r="F1027" s="42" t="n"/>
      <c r="G1027" s="42" t="n">
        <v>6</v>
      </c>
      <c r="H1027" s="42" t="inlineStr">
        <is>
          <t>No Semrush data (n/a)</t>
        </is>
      </c>
    </row>
    <row r="1028" ht="15" customHeight="1" s="37">
      <c r="A1028" s="42" t="inlineStr">
        <is>
          <t>etienne aigner perfume for men</t>
        </is>
      </c>
      <c r="B1028" s="42" t="inlineStr">
        <is>
          <t>Informational</t>
        </is>
      </c>
      <c r="C1028" s="55" t="n">
        <v>0</v>
      </c>
      <c r="D1028" s="42" t="n">
        <v>20</v>
      </c>
      <c r="E1028" s="56" t="n"/>
      <c r="F1028" s="42" t="n"/>
      <c r="G1028" s="42" t="n">
        <v>1</v>
      </c>
      <c r="H1028" s="42" t="inlineStr">
        <is>
          <t>No Semrush data (n/a)</t>
        </is>
      </c>
    </row>
    <row r="1029" ht="15" customHeight="1" s="37">
      <c r="A1029" s="42" t="inlineStr">
        <is>
          <t>face mask for skin nourishment</t>
        </is>
      </c>
      <c r="B1029" s="42" t="inlineStr">
        <is>
          <t>Informational</t>
        </is>
      </c>
      <c r="C1029" s="55" t="n">
        <v>0</v>
      </c>
      <c r="D1029" s="42" t="n">
        <v>38</v>
      </c>
      <c r="E1029" s="56" t="n"/>
      <c r="F1029" s="42" t="n"/>
      <c r="G1029" s="42" t="n">
        <v>2</v>
      </c>
      <c r="H1029" s="42" t="inlineStr">
        <is>
          <t>No Semrush data (n/a)</t>
        </is>
      </c>
    </row>
    <row r="1030" ht="15" customHeight="1" s="37">
      <c r="A1030" s="42" t="inlineStr">
        <is>
          <t>face serum for anti ageing</t>
        </is>
      </c>
      <c r="B1030" s="42" t="inlineStr">
        <is>
          <t>Informational Commercial</t>
        </is>
      </c>
      <c r="C1030" s="55" t="n">
        <v>0</v>
      </c>
      <c r="D1030" s="42" t="n">
        <v>31</v>
      </c>
      <c r="E1030" s="56" t="n"/>
      <c r="F1030" s="42" t="n"/>
      <c r="G1030" s="42" t="n">
        <v>2</v>
      </c>
      <c r="H1030" s="42" t="inlineStr">
        <is>
          <t>No Semrush data (n/a)</t>
        </is>
      </c>
    </row>
    <row r="1031" ht="15" customHeight="1" s="37">
      <c r="A1031" s="42" t="inlineStr">
        <is>
          <t>face wash for skin nourishment</t>
        </is>
      </c>
      <c r="B1031" s="42" t="inlineStr">
        <is>
          <t>Informational</t>
        </is>
      </c>
      <c r="C1031" s="55" t="n">
        <v>0</v>
      </c>
      <c r="D1031" s="42" t="n">
        <v>36</v>
      </c>
      <c r="E1031" s="56" t="n"/>
      <c r="F1031" s="42" t="n"/>
      <c r="G1031" s="42" t="n">
        <v>3</v>
      </c>
      <c r="H1031" s="42" t="inlineStr">
        <is>
          <t>No Semrush data (n/a)</t>
        </is>
      </c>
    </row>
    <row r="1032" ht="15" customHeight="1" s="37">
      <c r="A1032" s="42" t="inlineStr">
        <is>
          <t>floral perfume for women uk</t>
        </is>
      </c>
      <c r="B1032" s="42" t="inlineStr">
        <is>
          <t>Commercial</t>
        </is>
      </c>
      <c r="C1032" s="55" t="n">
        <v>0</v>
      </c>
      <c r="D1032" s="42" t="n">
        <v>17</v>
      </c>
      <c r="E1032" s="56" t="n"/>
      <c r="F1032" s="42" t="n"/>
      <c r="G1032" s="42" t="n">
        <v>1</v>
      </c>
      <c r="H1032" s="42" t="inlineStr">
        <is>
          <t>No Semrush data (n/a)</t>
        </is>
      </c>
    </row>
    <row r="1033" ht="15" customHeight="1" s="37">
      <c r="A1033" s="42" t="inlineStr">
        <is>
          <t>fresh perfume for men uk</t>
        </is>
      </c>
      <c r="B1033" s="42" t="inlineStr">
        <is>
          <t>Informational</t>
        </is>
      </c>
      <c r="C1033" s="55" t="n">
        <v>0</v>
      </c>
      <c r="D1033" s="42" t="n">
        <v>21</v>
      </c>
      <c r="E1033" s="56" t="n"/>
      <c r="F1033" s="42" t="n"/>
      <c r="G1033" s="42" t="n">
        <v>1</v>
      </c>
      <c r="H1033" s="42" t="inlineStr">
        <is>
          <t>No Semrush data (n/a)</t>
        </is>
      </c>
    </row>
    <row r="1034" ht="15" customHeight="1" s="37">
      <c r="A1034" s="42" t="inlineStr">
        <is>
          <t>fresh perfume for women uk</t>
        </is>
      </c>
      <c r="B1034" s="42" t="inlineStr">
        <is>
          <t>Informational</t>
        </is>
      </c>
      <c r="C1034" s="55" t="n">
        <v>0</v>
      </c>
      <c r="D1034" s="42" t="n">
        <v>17</v>
      </c>
      <c r="E1034" s="56" t="n"/>
      <c r="F1034" s="42" t="n"/>
      <c r="G1034" s="42" t="n">
        <v>1</v>
      </c>
      <c r="H1034" s="42" t="inlineStr">
        <is>
          <t>No Semrush data (n/a)</t>
        </is>
      </c>
    </row>
    <row r="1035" ht="15" customHeight="1" s="37">
      <c r="A1035" s="42" t="inlineStr">
        <is>
          <t>fruity perfume for women uk</t>
        </is>
      </c>
      <c r="B1035" s="42" t="inlineStr">
        <is>
          <t>Informational Commercial</t>
        </is>
      </c>
      <c r="C1035" s="55" t="n">
        <v>0</v>
      </c>
      <c r="D1035" s="42" t="n">
        <v>14</v>
      </c>
      <c r="E1035" s="56" t="n"/>
      <c r="F1035" s="42" t="n"/>
      <c r="G1035" s="42" t="n">
        <v>1</v>
      </c>
      <c r="H1035" s="42" t="inlineStr">
        <is>
          <t>No Semrush data (n/a)</t>
        </is>
      </c>
    </row>
    <row r="1036" ht="15" customHeight="1" s="37">
      <c r="A1036" s="42" t="inlineStr">
        <is>
          <t>fruity perfume uk</t>
        </is>
      </c>
      <c r="B1036" s="42" t="inlineStr">
        <is>
          <t>Commercial</t>
        </is>
      </c>
      <c r="C1036" s="55" t="n">
        <v>0</v>
      </c>
      <c r="D1036" s="42" t="n">
        <v>5</v>
      </c>
      <c r="E1036" s="56" t="n">
        <v>0</v>
      </c>
      <c r="F1036" s="42" t="n">
        <v>0</v>
      </c>
      <c r="G1036" s="42" t="n">
        <v>1</v>
      </c>
      <c r="H1036" s="42" t="n"/>
    </row>
    <row r="1037" ht="15" customHeight="1" s="37">
      <c r="A1037" s="42" t="inlineStr">
        <is>
          <t>fumeri 540</t>
        </is>
      </c>
      <c r="B1037" s="42" t="inlineStr">
        <is>
          <t>Informational</t>
        </is>
      </c>
      <c r="C1037" s="55" t="n">
        <v>0</v>
      </c>
      <c r="D1037" s="42" t="n">
        <v>15</v>
      </c>
      <c r="E1037" s="56" t="n"/>
      <c r="F1037" s="42" t="n"/>
      <c r="G1037" s="42" t="n">
        <v>6</v>
      </c>
      <c r="H1037" s="42" t="inlineStr">
        <is>
          <t>No Semrush data (n/a)</t>
        </is>
      </c>
    </row>
    <row r="1038" ht="15" customHeight="1" s="37">
      <c r="A1038" s="42" t="inlineStr">
        <is>
          <t>fumeri adore</t>
        </is>
      </c>
      <c r="B1038" s="42" t="inlineStr">
        <is>
          <t>Informational</t>
        </is>
      </c>
      <c r="C1038" s="55" t="n">
        <v>0</v>
      </c>
      <c r="D1038" s="42" t="n">
        <v>16</v>
      </c>
      <c r="E1038" s="56" t="n"/>
      <c r="F1038" s="42" t="n"/>
      <c r="G1038" s="42" t="n">
        <v>6</v>
      </c>
      <c r="H1038" s="42" t="inlineStr">
        <is>
          <t>No Semrush data (n/a)</t>
        </is>
      </c>
    </row>
    <row r="1039" ht="15" customHeight="1" s="37">
      <c r="A1039" s="42" t="inlineStr">
        <is>
          <t>fumeri angel</t>
        </is>
      </c>
      <c r="B1039" s="42" t="inlineStr">
        <is>
          <t>Informational</t>
        </is>
      </c>
      <c r="C1039" s="55" t="n">
        <v>0</v>
      </c>
      <c r="D1039" s="42" t="n">
        <v>14</v>
      </c>
      <c r="E1039" s="56" t="n"/>
      <c r="F1039" s="42" t="n"/>
      <c r="G1039" s="42" t="n">
        <v>6</v>
      </c>
      <c r="H1039" s="42" t="inlineStr">
        <is>
          <t>No Semrush data (n/a)</t>
        </is>
      </c>
    </row>
    <row r="1040" ht="15" customHeight="1" s="37">
      <c r="A1040" s="42" t="inlineStr">
        <is>
          <t>fumeri blue</t>
        </is>
      </c>
      <c r="B1040" s="42" t="inlineStr">
        <is>
          <t>Informational</t>
        </is>
      </c>
      <c r="C1040" s="55" t="n">
        <v>0</v>
      </c>
      <c r="D1040" s="42" t="n">
        <v>19</v>
      </c>
      <c r="E1040" s="56" t="n"/>
      <c r="F1040" s="42" t="n"/>
      <c r="G1040" s="42" t="n">
        <v>6</v>
      </c>
      <c r="H1040" s="42" t="inlineStr">
        <is>
          <t>No Semrush data (n/a)</t>
        </is>
      </c>
    </row>
    <row r="1041" ht="15" customHeight="1" s="37">
      <c r="A1041" s="42" t="inlineStr">
        <is>
          <t>fumeri elixir</t>
        </is>
      </c>
      <c r="B1041" s="42" t="inlineStr">
        <is>
          <t>Informational</t>
        </is>
      </c>
      <c r="C1041" s="55" t="n">
        <v>0</v>
      </c>
      <c r="D1041" s="42" t="n">
        <v>21</v>
      </c>
      <c r="E1041" s="56" t="n"/>
      <c r="F1041" s="42" t="n"/>
      <c r="G1041" s="42" t="n">
        <v>6</v>
      </c>
      <c r="H1041" s="42" t="inlineStr">
        <is>
          <t>No Semrush data (n/a)</t>
        </is>
      </c>
    </row>
    <row r="1042" ht="15" customHeight="1" s="37">
      <c r="A1042" s="42" t="inlineStr">
        <is>
          <t>fumeri flirt</t>
        </is>
      </c>
      <c r="B1042" s="42" t="inlineStr">
        <is>
          <t>Navigational</t>
        </is>
      </c>
      <c r="C1042" s="55" t="n">
        <v>0</v>
      </c>
      <c r="D1042" s="42" t="n">
        <v>9</v>
      </c>
      <c r="E1042" s="56" t="n">
        <v>0</v>
      </c>
      <c r="F1042" s="42" t="n">
        <v>0.79</v>
      </c>
      <c r="G1042" s="42" t="n">
        <v>6</v>
      </c>
      <c r="H1042" s="42" t="n"/>
    </row>
    <row r="1043" ht="15" customHeight="1" s="37">
      <c r="A1043" s="42" t="inlineStr">
        <is>
          <t>fumeri gabriella</t>
        </is>
      </c>
      <c r="B1043" s="42" t="inlineStr">
        <is>
          <t>Informational</t>
        </is>
      </c>
      <c r="C1043" s="55" t="n">
        <v>0</v>
      </c>
      <c r="D1043" s="42" t="n">
        <v>19</v>
      </c>
      <c r="E1043" s="56" t="n"/>
      <c r="F1043" s="42" t="n"/>
      <c r="G1043" s="42" t="n">
        <v>6</v>
      </c>
      <c r="H1043" s="42" t="inlineStr">
        <is>
          <t>No Semrush data (n/a)</t>
        </is>
      </c>
    </row>
    <row r="1044" ht="15" customHeight="1" s="37">
      <c r="A1044" s="42" t="inlineStr">
        <is>
          <t>fumeri gris</t>
        </is>
      </c>
      <c r="B1044" s="42" t="inlineStr">
        <is>
          <t>Informational</t>
        </is>
      </c>
      <c r="C1044" s="55" t="n">
        <v>0</v>
      </c>
      <c r="D1044" s="42" t="n">
        <v>13</v>
      </c>
      <c r="E1044" s="56" t="n"/>
      <c r="F1044" s="42" t="n"/>
      <c r="G1044" s="42" t="n">
        <v>6</v>
      </c>
      <c r="H1044" s="42" t="inlineStr">
        <is>
          <t>No Semrush data (n/a)</t>
        </is>
      </c>
    </row>
    <row r="1045" ht="15" customHeight="1" s="37">
      <c r="A1045" s="42" t="inlineStr">
        <is>
          <t>fumeri orchid noir</t>
        </is>
      </c>
      <c r="B1045" s="42" t="inlineStr">
        <is>
          <t>Informational</t>
        </is>
      </c>
      <c r="C1045" s="55" t="n">
        <v>0</v>
      </c>
      <c r="D1045" s="42" t="n">
        <v>5</v>
      </c>
      <c r="E1045" s="56" t="n">
        <v>0</v>
      </c>
      <c r="F1045" s="42" t="n">
        <v>0</v>
      </c>
      <c r="G1045" s="42" t="n">
        <v>6</v>
      </c>
      <c r="H1045" s="42" t="n"/>
    </row>
    <row r="1046" ht="15" customHeight="1" s="37">
      <c r="A1046" s="42" t="inlineStr">
        <is>
          <t>fumeri orpheon</t>
        </is>
      </c>
      <c r="B1046" s="42" t="inlineStr">
        <is>
          <t>Informational</t>
        </is>
      </c>
      <c r="C1046" s="55" t="n">
        <v>0</v>
      </c>
      <c r="D1046" s="42" t="n">
        <v>10</v>
      </c>
      <c r="E1046" s="56" t="n">
        <v>0</v>
      </c>
      <c r="F1046" s="42" t="n">
        <v>0</v>
      </c>
      <c r="G1046" s="42" t="n">
        <v>6</v>
      </c>
      <c r="H1046" s="42" t="n"/>
    </row>
    <row r="1047" ht="15" customHeight="1" s="37">
      <c r="A1047" s="42" t="inlineStr">
        <is>
          <t>fumeri oud saffron</t>
        </is>
      </c>
      <c r="B1047" s="42" t="inlineStr">
        <is>
          <t>Informational</t>
        </is>
      </c>
      <c r="C1047" s="55" t="n">
        <v>0</v>
      </c>
      <c r="D1047" s="42" t="n">
        <v>18</v>
      </c>
      <c r="E1047" s="56" t="n"/>
      <c r="F1047" s="42" t="n"/>
      <c r="G1047" s="42" t="n">
        <v>6</v>
      </c>
      <c r="H1047" s="42" t="inlineStr">
        <is>
          <t>No Semrush data (n/a)</t>
        </is>
      </c>
    </row>
    <row r="1048" ht="15" customHeight="1" s="37">
      <c r="A1048" s="42" t="inlineStr">
        <is>
          <t>fumeri peach</t>
        </is>
      </c>
      <c r="B1048" s="42" t="inlineStr">
        <is>
          <t>Navigational</t>
        </is>
      </c>
      <c r="C1048" s="55" t="n">
        <v>0</v>
      </c>
      <c r="D1048" s="42" t="n">
        <v>18</v>
      </c>
      <c r="E1048" s="56" t="n"/>
      <c r="F1048" s="42" t="n"/>
      <c r="G1048" s="42" t="n">
        <v>6</v>
      </c>
      <c r="H1048" s="42" t="inlineStr">
        <is>
          <t>No Semrush data (n/a)</t>
        </is>
      </c>
    </row>
    <row r="1049" ht="15" customHeight="1" s="37">
      <c r="A1049" s="42" t="inlineStr">
        <is>
          <t>fumeri perfume for men</t>
        </is>
      </c>
      <c r="B1049" s="42" t="inlineStr">
        <is>
          <t>Informational</t>
        </is>
      </c>
      <c r="C1049" s="55" t="n">
        <v>0</v>
      </c>
      <c r="D1049" s="42" t="n">
        <v>7</v>
      </c>
      <c r="E1049" s="56" t="n"/>
      <c r="F1049" s="42" t="n"/>
      <c r="G1049" s="42" t="n">
        <v>1</v>
      </c>
      <c r="H1049" s="42" t="inlineStr">
        <is>
          <t>No Semrush data (n/a)</t>
        </is>
      </c>
    </row>
    <row r="1050" ht="15" customHeight="1" s="37">
      <c r="A1050" s="42" t="inlineStr">
        <is>
          <t>fumeri perfume for women</t>
        </is>
      </c>
      <c r="B1050" s="42" t="inlineStr">
        <is>
          <t>Informational Transactional</t>
        </is>
      </c>
      <c r="C1050" s="55" t="n">
        <v>0</v>
      </c>
      <c r="D1050" s="42" t="n">
        <v>13</v>
      </c>
      <c r="E1050" s="56" t="n"/>
      <c r="F1050" s="42" t="n"/>
      <c r="G1050" s="42" t="n">
        <v>1</v>
      </c>
      <c r="H1050" s="42" t="inlineStr">
        <is>
          <t>No Semrush data (n/a)</t>
        </is>
      </c>
    </row>
    <row r="1051" ht="15" customHeight="1" s="37">
      <c r="A1051" s="42" t="inlineStr">
        <is>
          <t>fumeri smokey leather</t>
        </is>
      </c>
      <c r="B1051" s="42" t="inlineStr">
        <is>
          <t>Informational</t>
        </is>
      </c>
      <c r="C1051" s="55" t="n">
        <v>0</v>
      </c>
      <c r="D1051" s="42" t="n">
        <v>19</v>
      </c>
      <c r="E1051" s="56" t="n"/>
      <c r="F1051" s="42" t="n"/>
      <c r="G1051" s="42" t="n">
        <v>6</v>
      </c>
      <c r="H1051" s="42" t="inlineStr">
        <is>
          <t>No Semrush data (n/a)</t>
        </is>
      </c>
    </row>
    <row r="1052" ht="15" customHeight="1" s="37">
      <c r="A1052" s="42" t="inlineStr">
        <is>
          <t>fumeri victorious</t>
        </is>
      </c>
      <c r="B1052" s="42" t="inlineStr">
        <is>
          <t>Commercial</t>
        </is>
      </c>
      <c r="C1052" s="55" t="n">
        <v>0</v>
      </c>
      <c r="D1052" s="42" t="n">
        <v>15</v>
      </c>
      <c r="E1052" s="56" t="n"/>
      <c r="F1052" s="42" t="n"/>
      <c r="G1052" s="42" t="n">
        <v>6</v>
      </c>
      <c r="H1052" s="42" t="inlineStr">
        <is>
          <t>No Semrush data (n/a)</t>
        </is>
      </c>
    </row>
    <row r="1053" ht="15" customHeight="1" s="37">
      <c r="A1053" s="42" t="inlineStr">
        <is>
          <t>fumeri wild</t>
        </is>
      </c>
      <c r="B1053" s="42" t="inlineStr">
        <is>
          <t>Informational</t>
        </is>
      </c>
      <c r="C1053" s="55" t="n">
        <v>0</v>
      </c>
      <c r="D1053" s="42" t="n">
        <v>16</v>
      </c>
      <c r="E1053" s="56" t="n"/>
      <c r="F1053" s="42" t="n"/>
      <c r="G1053" s="42" t="n">
        <v>6</v>
      </c>
      <c r="H1053" s="42" t="inlineStr">
        <is>
          <t>No Semrush data (n/a)</t>
        </is>
      </c>
    </row>
    <row r="1054" ht="15" customHeight="1" s="37">
      <c r="A1054" s="42" t="inlineStr">
        <is>
          <t>game of spades bid eau de parfum</t>
        </is>
      </c>
      <c r="B1054" s="42" t="inlineStr">
        <is>
          <t>Informational</t>
        </is>
      </c>
      <c r="C1054" s="55" t="n">
        <v>0</v>
      </c>
      <c r="D1054" s="42" t="n">
        <v>22</v>
      </c>
      <c r="E1054" s="56" t="n"/>
      <c r="F1054" s="42" t="n"/>
      <c r="G1054" s="42" t="inlineStr">
        <is>
          <t>T2-2</t>
        </is>
      </c>
      <c r="H1054" s="42" t="inlineStr">
        <is>
          <t>No Semrush data (n/a)</t>
        </is>
      </c>
    </row>
    <row r="1055" ht="15" customHeight="1" s="37">
      <c r="A1055" s="42" t="inlineStr">
        <is>
          <t>game of spades bid uk</t>
        </is>
      </c>
      <c r="B1055" s="42" t="inlineStr">
        <is>
          <t>Informational</t>
        </is>
      </c>
      <c r="C1055" s="55" t="n">
        <v>0</v>
      </c>
      <c r="D1055" s="42" t="n">
        <v>17</v>
      </c>
      <c r="E1055" s="56" t="n"/>
      <c r="F1055" s="42" t="n"/>
      <c r="G1055" s="42" t="inlineStr">
        <is>
          <t>T2-2</t>
        </is>
      </c>
      <c r="H1055" s="42" t="inlineStr">
        <is>
          <t>No Semrush data (n/a)</t>
        </is>
      </c>
    </row>
    <row r="1056" ht="15" customHeight="1" s="37">
      <c r="A1056" s="42" t="inlineStr">
        <is>
          <t>game of spades full house eau de parfum</t>
        </is>
      </c>
      <c r="B1056" s="42" t="inlineStr">
        <is>
          <t>Informational</t>
        </is>
      </c>
      <c r="C1056" s="55" t="n">
        <v>0</v>
      </c>
      <c r="D1056" s="42" t="n">
        <v>28</v>
      </c>
      <c r="E1056" s="56" t="n"/>
      <c r="F1056" s="42" t="n"/>
      <c r="G1056" s="42" t="inlineStr">
        <is>
          <t>T2-1</t>
        </is>
      </c>
      <c r="H1056" s="42" t="inlineStr">
        <is>
          <t>No Semrush data (n/a)</t>
        </is>
      </c>
    </row>
    <row r="1057" ht="15" customHeight="1" s="37">
      <c r="A1057" s="42" t="inlineStr">
        <is>
          <t>game of spades moon eau de parfum</t>
        </is>
      </c>
      <c r="B1057" s="42" t="inlineStr">
        <is>
          <t>Informational</t>
        </is>
      </c>
      <c r="C1057" s="55" t="n">
        <v>0</v>
      </c>
      <c r="D1057" s="42" t="n">
        <v>22</v>
      </c>
      <c r="E1057" s="56" t="n"/>
      <c r="F1057" s="42" t="n"/>
      <c r="G1057" s="42" t="inlineStr">
        <is>
          <t>T2-1</t>
        </is>
      </c>
      <c r="H1057" s="42" t="inlineStr">
        <is>
          <t>No Semrush data (n/a)</t>
        </is>
      </c>
    </row>
    <row r="1058" ht="15" customHeight="1" s="37">
      <c r="A1058" s="42" t="inlineStr">
        <is>
          <t>game of spades moon uk</t>
        </is>
      </c>
      <c r="B1058" s="42" t="inlineStr">
        <is>
          <t>Informational</t>
        </is>
      </c>
      <c r="C1058" s="55" t="n">
        <v>0</v>
      </c>
      <c r="D1058" s="42" t="n">
        <v>25</v>
      </c>
      <c r="E1058" s="56" t="n"/>
      <c r="F1058" s="42" t="n"/>
      <c r="G1058" s="42" t="inlineStr">
        <is>
          <t>T2-1</t>
        </is>
      </c>
      <c r="H1058" s="42" t="inlineStr">
        <is>
          <t>No Semrush data (n/a)</t>
        </is>
      </c>
    </row>
    <row r="1059" ht="15" customHeight="1" s="37">
      <c r="A1059" s="42" t="inlineStr">
        <is>
          <t>game of spades opal eau de parfum</t>
        </is>
      </c>
      <c r="B1059" s="42" t="inlineStr">
        <is>
          <t>Informational Transactional</t>
        </is>
      </c>
      <c r="C1059" s="55" t="n">
        <v>0</v>
      </c>
      <c r="D1059" s="42" t="n">
        <v>16</v>
      </c>
      <c r="E1059" s="56" t="n"/>
      <c r="F1059" s="42" t="n"/>
      <c r="G1059" s="42" t="inlineStr">
        <is>
          <t>T2-2</t>
        </is>
      </c>
      <c r="H1059" s="42" t="inlineStr">
        <is>
          <t>No Semrush data (n/a)</t>
        </is>
      </c>
    </row>
    <row r="1060" ht="15" customHeight="1" s="37">
      <c r="A1060" s="42" t="inlineStr">
        <is>
          <t>game of spades opal uk</t>
        </is>
      </c>
      <c r="B1060" s="42" t="inlineStr">
        <is>
          <t>Informational</t>
        </is>
      </c>
      <c r="C1060" s="55" t="n">
        <v>0</v>
      </c>
      <c r="D1060" s="42" t="n">
        <v>14</v>
      </c>
      <c r="E1060" s="56" t="n"/>
      <c r="F1060" s="42" t="n"/>
      <c r="G1060" s="42" t="inlineStr">
        <is>
          <t>T2-2</t>
        </is>
      </c>
      <c r="H1060" s="42" t="inlineStr">
        <is>
          <t>No Semrush data (n/a)</t>
        </is>
      </c>
    </row>
    <row r="1061" ht="15" customHeight="1" s="37">
      <c r="A1061" s="42" t="inlineStr">
        <is>
          <t>game of spades rouge eau de parfum</t>
        </is>
      </c>
      <c r="B1061" s="42" t="inlineStr">
        <is>
          <t>Informational</t>
        </is>
      </c>
      <c r="C1061" s="55" t="n">
        <v>0</v>
      </c>
      <c r="D1061" s="42" t="n">
        <v>22</v>
      </c>
      <c r="E1061" s="56" t="n"/>
      <c r="F1061" s="42" t="n"/>
      <c r="G1061" s="42" t="inlineStr">
        <is>
          <t>T2-2</t>
        </is>
      </c>
      <c r="H1061" s="42" t="inlineStr">
        <is>
          <t>No Semrush data (n/a)</t>
        </is>
      </c>
    </row>
    <row r="1062" ht="15" customHeight="1" s="37">
      <c r="A1062" s="42" t="inlineStr">
        <is>
          <t>game of spades rouge uk</t>
        </is>
      </c>
      <c r="B1062" s="42" t="inlineStr">
        <is>
          <t>Informational Transactional</t>
        </is>
      </c>
      <c r="C1062" s="55" t="n">
        <v>0</v>
      </c>
      <c r="D1062" s="42" t="n">
        <v>22</v>
      </c>
      <c r="E1062" s="56" t="n"/>
      <c r="F1062" s="42" t="n"/>
      <c r="G1062" s="42" t="inlineStr">
        <is>
          <t>T2-2</t>
        </is>
      </c>
      <c r="H1062" s="42" t="inlineStr">
        <is>
          <t>No Semrush data (n/a)</t>
        </is>
      </c>
    </row>
    <row r="1063" ht="15" customHeight="1" s="37">
      <c r="A1063" s="42" t="inlineStr">
        <is>
          <t>game of spades royale eau de parfum</t>
        </is>
      </c>
      <c r="B1063" s="42" t="inlineStr">
        <is>
          <t>Informational</t>
        </is>
      </c>
      <c r="C1063" s="55" t="n">
        <v>0</v>
      </c>
      <c r="D1063" s="42" t="n">
        <v>17</v>
      </c>
      <c r="E1063" s="56" t="n"/>
      <c r="F1063" s="42" t="n"/>
      <c r="G1063" s="42" t="inlineStr">
        <is>
          <t>T2-2</t>
        </is>
      </c>
      <c r="H1063" s="42" t="inlineStr">
        <is>
          <t>No Semrush data (n/a)</t>
        </is>
      </c>
    </row>
    <row r="1064" ht="15" customHeight="1" s="37">
      <c r="A1064" s="42" t="inlineStr">
        <is>
          <t>game of spades royale uk</t>
        </is>
      </c>
      <c r="B1064" s="42" t="inlineStr">
        <is>
          <t>Informational Commercial</t>
        </is>
      </c>
      <c r="C1064" s="55" t="n">
        <v>0</v>
      </c>
      <c r="D1064" s="42" t="n">
        <v>17</v>
      </c>
      <c r="E1064" s="56" t="n"/>
      <c r="F1064" s="42" t="n"/>
      <c r="G1064" s="42" t="inlineStr">
        <is>
          <t>T2-2</t>
        </is>
      </c>
      <c r="H1064" s="42" t="inlineStr">
        <is>
          <t>No Semrush data (n/a)</t>
        </is>
      </c>
    </row>
    <row r="1065" ht="15" customHeight="1" s="37">
      <c r="A1065" s="42" t="inlineStr">
        <is>
          <t>game of spades wildcard eau de parfum</t>
        </is>
      </c>
      <c r="B1065" s="42" t="inlineStr">
        <is>
          <t>Informational</t>
        </is>
      </c>
      <c r="C1065" s="55" t="n">
        <v>0</v>
      </c>
      <c r="D1065" s="42" t="n">
        <v>20</v>
      </c>
      <c r="E1065" s="56" t="n"/>
      <c r="F1065" s="42" t="n"/>
      <c r="G1065" s="42" t="inlineStr">
        <is>
          <t>T2-1</t>
        </is>
      </c>
      <c r="H1065" s="42" t="inlineStr">
        <is>
          <t>No Semrush data (n/a)</t>
        </is>
      </c>
    </row>
    <row r="1066" ht="15" customHeight="1" s="37">
      <c r="A1066" s="42" t="inlineStr">
        <is>
          <t>game of spades win eau de parfum</t>
        </is>
      </c>
      <c r="B1066" s="42" t="inlineStr">
        <is>
          <t>Informational Transactional</t>
        </is>
      </c>
      <c r="C1066" s="55" t="n">
        <v>0</v>
      </c>
      <c r="D1066" s="42" t="n">
        <v>24</v>
      </c>
      <c r="E1066" s="56" t="n"/>
      <c r="F1066" s="42" t="n"/>
      <c r="G1066" s="42" t="inlineStr">
        <is>
          <t>T2-2</t>
        </is>
      </c>
      <c r="H1066" s="42" t="inlineStr">
        <is>
          <t>No Semrush data (n/a)</t>
        </is>
      </c>
    </row>
    <row r="1067" ht="15" customHeight="1" s="37">
      <c r="A1067" s="42" t="inlineStr">
        <is>
          <t>game of spades win uk</t>
        </is>
      </c>
      <c r="B1067" s="42" t="inlineStr">
        <is>
          <t>Informational</t>
        </is>
      </c>
      <c r="C1067" s="55" t="n">
        <v>0</v>
      </c>
      <c r="D1067" s="42" t="n">
        <v>28</v>
      </c>
      <c r="E1067" s="56" t="n"/>
      <c r="F1067" s="42" t="n"/>
      <c r="G1067" s="42" t="inlineStr">
        <is>
          <t>T2-2</t>
        </is>
      </c>
      <c r="H1067" s="42" t="inlineStr">
        <is>
          <t>No Semrush data (n/a)</t>
        </is>
      </c>
    </row>
    <row r="1068" ht="15" customHeight="1" s="37">
      <c r="A1068" s="42" t="inlineStr">
        <is>
          <t>giorgia armani giorgio armani code refillable</t>
        </is>
      </c>
      <c r="B1068" s="42" t="inlineStr">
        <is>
          <t>Informational</t>
        </is>
      </c>
      <c r="C1068" s="55" t="n">
        <v>0</v>
      </c>
      <c r="D1068" s="42" t="n">
        <v>16</v>
      </c>
      <c r="E1068" s="56" t="n"/>
      <c r="F1068" s="42" t="n"/>
      <c r="G1068" s="42" t="n">
        <v>6</v>
      </c>
      <c r="H1068" s="42" t="inlineStr">
        <is>
          <t>No Semrush data (n/a)</t>
        </is>
      </c>
    </row>
    <row r="1069" ht="15" customHeight="1" s="37">
      <c r="A1069" s="42" t="inlineStr">
        <is>
          <t>giorgia armani perfume for men</t>
        </is>
      </c>
      <c r="B1069" s="42" t="inlineStr">
        <is>
          <t>Informational Transactional</t>
        </is>
      </c>
      <c r="C1069" s="55" t="n">
        <v>0</v>
      </c>
      <c r="D1069" s="42" t="n">
        <v>29</v>
      </c>
      <c r="E1069" s="56" t="n"/>
      <c r="F1069" s="42" t="n"/>
      <c r="G1069" s="42" t="n">
        <v>1</v>
      </c>
      <c r="H1069" s="42" t="inlineStr">
        <is>
          <t>No Semrush data (n/a)</t>
        </is>
      </c>
    </row>
    <row r="1070" ht="15" customHeight="1" s="37">
      <c r="A1070" s="42" t="inlineStr">
        <is>
          <t>givenchy amarige uk</t>
        </is>
      </c>
      <c r="B1070" s="42" t="inlineStr">
        <is>
          <t>Informational</t>
        </is>
      </c>
      <c r="C1070" s="55" t="n">
        <v>0</v>
      </c>
      <c r="D1070" s="42" t="n">
        <v>17</v>
      </c>
      <c r="E1070" s="56" t="n"/>
      <c r="F1070" s="42" t="n"/>
      <c r="G1070" s="42" t="inlineStr">
        <is>
          <t>T2-1</t>
        </is>
      </c>
      <c r="H1070" s="42" t="inlineStr">
        <is>
          <t>No Semrush data (n/a)</t>
        </is>
      </c>
    </row>
    <row r="1071" ht="15" customHeight="1" s="37">
      <c r="A1071" s="42" t="inlineStr">
        <is>
          <t>gourmand perfume for women uk</t>
        </is>
      </c>
      <c r="B1071" s="42" t="inlineStr">
        <is>
          <t>Informational Commercial</t>
        </is>
      </c>
      <c r="C1071" s="55" t="n">
        <v>0</v>
      </c>
      <c r="D1071" s="42" t="n">
        <v>9</v>
      </c>
      <c r="E1071" s="56" t="n">
        <v>0</v>
      </c>
      <c r="F1071" s="42" t="n">
        <v>0</v>
      </c>
      <c r="G1071" s="42" t="n">
        <v>1</v>
      </c>
      <c r="H1071" s="42" t="n"/>
    </row>
    <row r="1072" ht="15" customHeight="1" s="37">
      <c r="A1072" s="42" t="inlineStr">
        <is>
          <t>green perfume uk</t>
        </is>
      </c>
      <c r="B1072" s="42" t="inlineStr">
        <is>
          <t>Informational</t>
        </is>
      </c>
      <c r="C1072" s="55" t="n">
        <v>0</v>
      </c>
      <c r="D1072" s="42" t="n">
        <v>21</v>
      </c>
      <c r="E1072" s="56" t="n"/>
      <c r="F1072" s="42" t="n"/>
      <c r="G1072" s="42" t="n">
        <v>1</v>
      </c>
      <c r="H1072" s="42" t="inlineStr">
        <is>
          <t>No Semrush data (n/a)</t>
        </is>
      </c>
    </row>
    <row r="1073" ht="15" customHeight="1" s="37">
      <c r="A1073" s="42" t="inlineStr">
        <is>
          <t>gucci bloom gift set uk</t>
        </is>
      </c>
      <c r="B1073" s="42" t="inlineStr">
        <is>
          <t>Informational Transactional</t>
        </is>
      </c>
      <c r="C1073" s="55" t="n">
        <v>0</v>
      </c>
      <c r="D1073" s="42" t="n">
        <v>15</v>
      </c>
      <c r="E1073" s="56" t="n">
        <v>0</v>
      </c>
      <c r="F1073" s="42" t="n">
        <v>1</v>
      </c>
      <c r="G1073" s="42" t="inlineStr">
        <is>
          <t>T2-1</t>
        </is>
      </c>
      <c r="H1073" s="42" t="n"/>
    </row>
    <row r="1074" ht="15" customHeight="1" s="37">
      <c r="A1074" s="42" t="inlineStr">
        <is>
          <t>gucci bloom miniature</t>
        </is>
      </c>
      <c r="B1074" s="42" t="inlineStr">
        <is>
          <t>Informational</t>
        </is>
      </c>
      <c r="C1074" s="55" t="n">
        <v>0</v>
      </c>
      <c r="D1074" s="42" t="n">
        <v>11</v>
      </c>
      <c r="E1074" s="56" t="n">
        <v>0</v>
      </c>
      <c r="F1074" s="42" t="n">
        <v>1</v>
      </c>
      <c r="G1074" s="42" t="n">
        <v>6</v>
      </c>
      <c r="H1074" s="42" t="n"/>
    </row>
    <row r="1075" ht="15" customHeight="1" s="37">
      <c r="A1075" s="42" t="inlineStr">
        <is>
          <t>gucci bloom parfum miniature</t>
        </is>
      </c>
      <c r="B1075" s="42" t="inlineStr">
        <is>
          <t>Informational</t>
        </is>
      </c>
      <c r="C1075" s="55" t="n">
        <v>0</v>
      </c>
      <c r="D1075" s="42" t="n">
        <v>17</v>
      </c>
      <c r="E1075" s="56" t="n"/>
      <c r="F1075" s="42" t="n"/>
      <c r="G1075" s="42" t="n">
        <v>6</v>
      </c>
      <c r="H1075" s="42" t="inlineStr">
        <is>
          <t>No Semrush data (n/a)</t>
        </is>
      </c>
    </row>
    <row r="1076" ht="15" customHeight="1" s="37">
      <c r="A1076" s="42" t="inlineStr">
        <is>
          <t>gucci bloom profumo di fiori pen</t>
        </is>
      </c>
      <c r="B1076" s="42" t="inlineStr">
        <is>
          <t>Commercial</t>
        </is>
      </c>
      <c r="C1076" s="55" t="n">
        <v>0</v>
      </c>
      <c r="D1076" s="42" t="n">
        <v>17</v>
      </c>
      <c r="E1076" s="56" t="n"/>
      <c r="F1076" s="42" t="n"/>
      <c r="G1076" s="42" t="n">
        <v>6</v>
      </c>
      <c r="H1076" s="42" t="inlineStr">
        <is>
          <t>No Semrush data (n/a)</t>
        </is>
      </c>
    </row>
    <row r="1077" ht="15" customHeight="1" s="37">
      <c r="A1077" s="42" t="inlineStr">
        <is>
          <t>gucci flora gorgeous miniature set</t>
        </is>
      </c>
      <c r="B1077" s="42" t="inlineStr">
        <is>
          <t>Informational Transactional</t>
        </is>
      </c>
      <c r="C1077" s="55" t="n">
        <v>0</v>
      </c>
      <c r="D1077" s="42" t="n">
        <v>17</v>
      </c>
      <c r="E1077" s="56" t="n"/>
      <c r="F1077" s="42" t="n"/>
      <c r="G1077" s="42" t="n">
        <v>6</v>
      </c>
      <c r="H1077" s="42" t="inlineStr">
        <is>
          <t>No Semrush data (n/a)</t>
        </is>
      </c>
    </row>
    <row r="1078" ht="15" customHeight="1" s="37">
      <c r="A1078" s="42" t="inlineStr">
        <is>
          <t>gucci flora gorgeous orchid miniature</t>
        </is>
      </c>
      <c r="B1078" s="42" t="inlineStr">
        <is>
          <t>Informational</t>
        </is>
      </c>
      <c r="C1078" s="55" t="n">
        <v>0</v>
      </c>
      <c r="D1078" s="42" t="n">
        <v>20</v>
      </c>
      <c r="E1078" s="56" t="n"/>
      <c r="F1078" s="42" t="n"/>
      <c r="G1078" s="42" t="n">
        <v>6</v>
      </c>
      <c r="H1078" s="42" t="inlineStr">
        <is>
          <t>No Semrush data (n/a)</t>
        </is>
      </c>
    </row>
    <row r="1079" ht="15" customHeight="1" s="37">
      <c r="A1079" s="42" t="inlineStr">
        <is>
          <t>gucci guilty pour femme miniature</t>
        </is>
      </c>
      <c r="B1079" s="42" t="inlineStr">
        <is>
          <t>Navigational</t>
        </is>
      </c>
      <c r="C1079" s="55" t="n">
        <v>0</v>
      </c>
      <c r="D1079" s="42" t="n">
        <v>20</v>
      </c>
      <c r="E1079" s="56" t="n"/>
      <c r="F1079" s="42" t="n"/>
      <c r="G1079" s="42" t="n">
        <v>6</v>
      </c>
      <c r="H1079" s="42" t="inlineStr">
        <is>
          <t>No Semrush data (n/a)</t>
        </is>
      </c>
    </row>
    <row r="1080" ht="15" customHeight="1" s="37">
      <c r="A1080" s="42" t="inlineStr">
        <is>
          <t>gucci guilty pour homme uk</t>
        </is>
      </c>
      <c r="B1080" s="42" t="inlineStr">
        <is>
          <t>Navigational</t>
        </is>
      </c>
      <c r="C1080" s="55" t="n">
        <v>0</v>
      </c>
      <c r="D1080" s="42" t="n">
        <v>28</v>
      </c>
      <c r="E1080" s="56" t="n"/>
      <c r="F1080" s="42" t="n"/>
      <c r="G1080" s="42" t="inlineStr">
        <is>
          <t>T2-1</t>
        </is>
      </c>
      <c r="H1080" s="42" t="inlineStr">
        <is>
          <t>No Semrush data (n/a)</t>
        </is>
      </c>
    </row>
    <row r="1081" ht="15" customHeight="1" s="37">
      <c r="A1081" s="42" t="inlineStr">
        <is>
          <t>gucci set uk</t>
        </is>
      </c>
      <c r="B1081" s="42" t="inlineStr">
        <is>
          <t>Transactional Navigational</t>
        </is>
      </c>
      <c r="C1081" s="55" t="n">
        <v>0</v>
      </c>
      <c r="D1081" s="42" t="n">
        <v>23</v>
      </c>
      <c r="E1081" s="56" t="n"/>
      <c r="F1081" s="42" t="n"/>
      <c r="G1081" s="42" t="inlineStr">
        <is>
          <t>T2-2</t>
        </is>
      </c>
      <c r="H1081" s="42" t="inlineStr">
        <is>
          <t>No Semrush data (n/a)</t>
        </is>
      </c>
    </row>
    <row r="1082" ht="15" customHeight="1" s="37">
      <c r="A1082" s="42" t="inlineStr">
        <is>
          <t>guerlain epices exquises uk</t>
        </is>
      </c>
      <c r="B1082" s="42" t="inlineStr">
        <is>
          <t>Informational Transactional</t>
        </is>
      </c>
      <c r="C1082" s="55" t="n">
        <v>0</v>
      </c>
      <c r="D1082" s="42" t="n">
        <v>10</v>
      </c>
      <c r="E1082" s="56" t="n"/>
      <c r="F1082" s="42" t="n"/>
      <c r="G1082" s="42" t="inlineStr">
        <is>
          <t>T2-2</t>
        </is>
      </c>
      <c r="H1082" s="42" t="inlineStr">
        <is>
          <t>No Semrush data (n/a)</t>
        </is>
      </c>
    </row>
    <row r="1083" ht="15" customHeight="1" s="37">
      <c r="A1083" s="42" t="inlineStr">
        <is>
          <t>guerlain habit rouge uk</t>
        </is>
      </c>
      <c r="B1083" s="42" t="inlineStr">
        <is>
          <t>Transactional Navigational</t>
        </is>
      </c>
      <c r="C1083" s="55" t="n">
        <v>0</v>
      </c>
      <c r="D1083" s="42" t="n">
        <v>24</v>
      </c>
      <c r="E1083" s="56" t="n"/>
      <c r="F1083" s="42" t="n"/>
      <c r="G1083" s="42" t="inlineStr">
        <is>
          <t>T2-1</t>
        </is>
      </c>
      <c r="H1083" s="42" t="inlineStr">
        <is>
          <t>No Semrush data (n/a)</t>
        </is>
      </c>
    </row>
    <row r="1084" ht="15" customHeight="1" s="37">
      <c r="A1084" s="42" t="inlineStr">
        <is>
          <t>guerlain la petite robe noire ma robe cocktail</t>
        </is>
      </c>
      <c r="B1084" s="42" t="inlineStr">
        <is>
          <t>Informational Transactional</t>
        </is>
      </c>
      <c r="C1084" s="55" t="n">
        <v>0</v>
      </c>
      <c r="D1084" s="42" t="n">
        <v>14</v>
      </c>
      <c r="E1084" s="56" t="n">
        <v>0</v>
      </c>
      <c r="F1084" s="42" t="n">
        <v>0</v>
      </c>
      <c r="G1084" s="42" t="n">
        <v>6</v>
      </c>
      <c r="H1084" s="42" t="n"/>
    </row>
    <row r="1085" ht="15" customHeight="1" s="37">
      <c r="A1085" s="42" t="inlineStr">
        <is>
          <t>guerlain mon guerlain miniature gift set</t>
        </is>
      </c>
      <c r="B1085" s="42" t="inlineStr">
        <is>
          <t>Informational Transactional</t>
        </is>
      </c>
      <c r="C1085" s="55" t="n">
        <v>0</v>
      </c>
      <c r="D1085" s="42" t="n">
        <v>19</v>
      </c>
      <c r="E1085" s="56" t="n"/>
      <c r="F1085" s="42" t="n"/>
      <c r="G1085" s="42" t="n">
        <v>6</v>
      </c>
      <c r="H1085" s="42" t="inlineStr">
        <is>
          <t>No Semrush data (n/a)</t>
        </is>
      </c>
    </row>
    <row r="1086" ht="15" customHeight="1" s="37">
      <c r="A1086" s="42" t="inlineStr">
        <is>
          <t>guerlain samsara uk</t>
        </is>
      </c>
      <c r="B1086" s="42" t="inlineStr">
        <is>
          <t>Navigational</t>
        </is>
      </c>
      <c r="C1086" s="55" t="n">
        <v>0</v>
      </c>
      <c r="D1086" s="42" t="n">
        <v>21</v>
      </c>
      <c r="E1086" s="56" t="n"/>
      <c r="F1086" s="42" t="n"/>
      <c r="G1086" s="42" t="inlineStr">
        <is>
          <t>T2-1</t>
        </is>
      </c>
      <c r="H1086" s="42" t="inlineStr">
        <is>
          <t>No Semrush data (n/a)</t>
        </is>
      </c>
    </row>
    <row r="1087" ht="15" customHeight="1" s="37">
      <c r="A1087" s="42" t="inlineStr">
        <is>
          <t>hair accessories for hair nourishment</t>
        </is>
      </c>
      <c r="B1087" s="42" t="inlineStr">
        <is>
          <t>Informational</t>
        </is>
      </c>
      <c r="C1087" s="55" t="n">
        <v>0</v>
      </c>
      <c r="D1087" s="42" t="n">
        <v>15</v>
      </c>
      <c r="E1087" s="56" t="n"/>
      <c r="F1087" s="42" t="n"/>
      <c r="G1087" s="42" t="n">
        <v>3</v>
      </c>
      <c r="H1087" s="42" t="inlineStr">
        <is>
          <t>No Semrush data (n/a)</t>
        </is>
      </c>
    </row>
    <row r="1088" ht="15" customHeight="1" s="37">
      <c r="A1088" s="42" t="inlineStr">
        <is>
          <t>hemel affair</t>
        </is>
      </c>
      <c r="B1088" s="42" t="inlineStr">
        <is>
          <t>Commercial</t>
        </is>
      </c>
      <c r="C1088" s="55" t="n">
        <v>0</v>
      </c>
      <c r="D1088" s="42" t="n">
        <v>25</v>
      </c>
      <c r="E1088" s="56" t="n"/>
      <c r="F1088" s="42" t="n"/>
      <c r="G1088" s="42" t="n">
        <v>6</v>
      </c>
      <c r="H1088" s="42" t="inlineStr">
        <is>
          <t>No Semrush data (n/a)</t>
        </is>
      </c>
    </row>
    <row r="1089" ht="15" customHeight="1" s="37">
      <c r="A1089" s="42" t="inlineStr">
        <is>
          <t>hemel amethyst dream</t>
        </is>
      </c>
      <c r="B1089" s="42" t="inlineStr">
        <is>
          <t>Transactional Navigational</t>
        </is>
      </c>
      <c r="C1089" s="55" t="n">
        <v>0</v>
      </c>
      <c r="D1089" s="42" t="n">
        <v>21</v>
      </c>
      <c r="E1089" s="56" t="n"/>
      <c r="F1089" s="42" t="n"/>
      <c r="G1089" s="42" t="n">
        <v>6</v>
      </c>
      <c r="H1089" s="42" t="inlineStr">
        <is>
          <t>No Semrush data (n/a)</t>
        </is>
      </c>
    </row>
    <row r="1090" ht="15" customHeight="1" s="37">
      <c r="A1090" s="42" t="inlineStr">
        <is>
          <t>hemel dorado</t>
        </is>
      </c>
      <c r="B1090" s="42" t="inlineStr">
        <is>
          <t>Informational</t>
        </is>
      </c>
      <c r="C1090" s="55" t="n">
        <v>0</v>
      </c>
      <c r="D1090" s="42" t="n">
        <v>23</v>
      </c>
      <c r="E1090" s="56" t="n"/>
      <c r="F1090" s="42" t="n"/>
      <c r="G1090" s="42" t="n">
        <v>6</v>
      </c>
      <c r="H1090" s="42" t="inlineStr">
        <is>
          <t>No Semrush data (n/a)</t>
        </is>
      </c>
    </row>
    <row r="1091" ht="15" customHeight="1" s="37">
      <c r="A1091" s="42" t="inlineStr">
        <is>
          <t>hemel gris</t>
        </is>
      </c>
      <c r="B1091" s="42" t="inlineStr">
        <is>
          <t>Informational Transactional</t>
        </is>
      </c>
      <c r="C1091" s="55" t="n">
        <v>0</v>
      </c>
      <c r="D1091" s="42" t="n">
        <v>10</v>
      </c>
      <c r="E1091" s="56" t="n">
        <v>0</v>
      </c>
      <c r="F1091" s="42" t="n">
        <v>0</v>
      </c>
      <c r="G1091" s="42" t="n">
        <v>6</v>
      </c>
      <c r="H1091" s="42" t="n"/>
    </row>
    <row r="1092" ht="15" customHeight="1" s="37">
      <c r="A1092" s="42" t="inlineStr">
        <is>
          <t>hemel paris dorado</t>
        </is>
      </c>
      <c r="B1092" s="42" t="inlineStr">
        <is>
          <t>Informational</t>
        </is>
      </c>
      <c r="C1092" s="55" t="n">
        <v>0</v>
      </c>
      <c r="D1092" s="42" t="n">
        <v>24</v>
      </c>
      <c r="E1092" s="56" t="n"/>
      <c r="F1092" s="42" t="n"/>
      <c r="G1092" s="42" t="n">
        <v>6</v>
      </c>
      <c r="H1092" s="42" t="inlineStr">
        <is>
          <t>No Semrush data (n/a)</t>
        </is>
      </c>
    </row>
    <row r="1093" ht="15" customHeight="1" s="37">
      <c r="A1093" s="42" t="inlineStr">
        <is>
          <t>hemel paris gris for all</t>
        </is>
      </c>
      <c r="B1093" s="42" t="inlineStr">
        <is>
          <t>Informational Transactional</t>
        </is>
      </c>
      <c r="C1093" s="55" t="n">
        <v>0</v>
      </c>
      <c r="D1093" s="42" t="n">
        <v>16</v>
      </c>
      <c r="E1093" s="56" t="n"/>
      <c r="F1093" s="42" t="n"/>
      <c r="G1093" s="42" t="n">
        <v>6</v>
      </c>
      <c r="H1093" s="42" t="inlineStr">
        <is>
          <t>No Semrush data (n/a)</t>
        </is>
      </c>
    </row>
    <row r="1094" ht="15" customHeight="1" s="37">
      <c r="A1094" s="42" t="inlineStr">
        <is>
          <t>hemel plateado</t>
        </is>
      </c>
      <c r="B1094" s="42" t="inlineStr">
        <is>
          <t>Informational</t>
        </is>
      </c>
      <c r="C1094" s="55" t="n">
        <v>0</v>
      </c>
      <c r="D1094" s="42" t="n">
        <v>10</v>
      </c>
      <c r="E1094" s="56" t="n"/>
      <c r="F1094" s="42" t="n"/>
      <c r="G1094" s="42" t="n">
        <v>6</v>
      </c>
      <c r="H1094" s="42" t="inlineStr">
        <is>
          <t>No Semrush data (n/a)</t>
        </is>
      </c>
    </row>
    <row r="1095" ht="15" customHeight="1" s="37">
      <c r="A1095" s="42" t="inlineStr">
        <is>
          <t>hemel rosado</t>
        </is>
      </c>
      <c r="B1095" s="42" t="inlineStr">
        <is>
          <t>Informational</t>
        </is>
      </c>
      <c r="C1095" s="55" t="n">
        <v>0</v>
      </c>
      <c r="D1095" s="42" t="n">
        <v>23</v>
      </c>
      <c r="E1095" s="56" t="n"/>
      <c r="F1095" s="42" t="n"/>
      <c r="G1095" s="42" t="n">
        <v>6</v>
      </c>
      <c r="H1095" s="42" t="inlineStr">
        <is>
          <t>No Semrush data (n/a)</t>
        </is>
      </c>
    </row>
    <row r="1096" ht="15" customHeight="1" s="37">
      <c r="A1096" s="42" t="inlineStr">
        <is>
          <t>hermes hermes un jardin a cythere miniature</t>
        </is>
      </c>
      <c r="B1096" s="42" t="inlineStr">
        <is>
          <t>Navigational</t>
        </is>
      </c>
      <c r="C1096" s="55" t="n">
        <v>0</v>
      </c>
      <c r="D1096" s="42" t="n">
        <v>19</v>
      </c>
      <c r="E1096" s="56" t="n"/>
      <c r="F1096" s="42" t="n"/>
      <c r="G1096" s="42" t="n">
        <v>6</v>
      </c>
      <c r="H1096" s="42" t="inlineStr">
        <is>
          <t>No Semrush data (n/a)</t>
        </is>
      </c>
    </row>
    <row r="1097" ht="15" customHeight="1" s="37">
      <c r="A1097" s="42" t="inlineStr">
        <is>
          <t>hermes miniature gift set 4 x fragrances</t>
        </is>
      </c>
      <c r="B1097" s="42" t="inlineStr">
        <is>
          <t>Navigational</t>
        </is>
      </c>
      <c r="C1097" s="55" t="n">
        <v>0</v>
      </c>
      <c r="D1097" s="42" t="n">
        <v>19</v>
      </c>
      <c r="E1097" s="56" t="n"/>
      <c r="F1097" s="42" t="n"/>
      <c r="G1097" s="42" t="n">
        <v>6</v>
      </c>
      <c r="H1097" s="42" t="inlineStr">
        <is>
          <t>No Semrush data (n/a)</t>
        </is>
      </c>
    </row>
    <row r="1098" ht="15" customHeight="1" s="37">
      <c r="A1098" s="42" t="inlineStr">
        <is>
          <t>hermes un jardin a cythere miniature</t>
        </is>
      </c>
      <c r="B1098" s="42" t="inlineStr">
        <is>
          <t>Navigational</t>
        </is>
      </c>
      <c r="C1098" s="55" t="n">
        <v>0</v>
      </c>
      <c r="D1098" s="42" t="n">
        <v>18</v>
      </c>
      <c r="E1098" s="56" t="n"/>
      <c r="F1098" s="42" t="n"/>
      <c r="G1098" s="42" t="n">
        <v>6</v>
      </c>
      <c r="H1098" s="42" t="inlineStr">
        <is>
          <t>No Semrush data (n/a)</t>
        </is>
      </c>
    </row>
    <row r="1099" ht="15" customHeight="1" s="37">
      <c r="A1099" s="42" t="inlineStr">
        <is>
          <t>hermes un jardin en mediterranee miniature</t>
        </is>
      </c>
      <c r="B1099" s="42" t="inlineStr">
        <is>
          <t>Navigational</t>
        </is>
      </c>
      <c r="C1099" s="55" t="n">
        <v>0</v>
      </c>
      <c r="D1099" s="42" t="n">
        <v>19</v>
      </c>
      <c r="E1099" s="56" t="n"/>
      <c r="F1099" s="42" t="n"/>
      <c r="G1099" s="42" t="n">
        <v>6</v>
      </c>
      <c r="H1099" s="42" t="inlineStr">
        <is>
          <t>No Semrush data (n/a)</t>
        </is>
      </c>
    </row>
    <row r="1100" ht="15" customHeight="1" s="37">
      <c r="A1100" s="42" t="inlineStr">
        <is>
          <t>hermes un jardin sur le toit miniature</t>
        </is>
      </c>
      <c r="B1100" s="42" t="inlineStr">
        <is>
          <t>Transactional</t>
        </is>
      </c>
      <c r="C1100" s="55" t="n">
        <v>0</v>
      </c>
      <c r="D1100" s="42" t="n">
        <v>12</v>
      </c>
      <c r="E1100" s="56" t="n"/>
      <c r="F1100" s="42" t="n"/>
      <c r="G1100" s="42" t="n">
        <v>6</v>
      </c>
      <c r="H1100" s="42" t="inlineStr">
        <is>
          <t>No Semrush data (n/a)</t>
        </is>
      </c>
    </row>
    <row r="1101" ht="15" customHeight="1" s="37">
      <c r="A1101" s="42" t="inlineStr">
        <is>
          <t>hollister festival vibes eau de toilette</t>
        </is>
      </c>
      <c r="B1101" s="42" t="inlineStr">
        <is>
          <t>Informational</t>
        </is>
      </c>
      <c r="C1101" s="55" t="n">
        <v>0</v>
      </c>
      <c r="D1101" s="42" t="n">
        <v>19</v>
      </c>
      <c r="E1101" s="56" t="n"/>
      <c r="F1101" s="42" t="n"/>
      <c r="G1101" s="42" t="inlineStr">
        <is>
          <t>T2-2</t>
        </is>
      </c>
      <c r="H1101" s="42" t="inlineStr">
        <is>
          <t>No Semrush data (n/a)</t>
        </is>
      </c>
    </row>
    <row r="1102" ht="15" customHeight="1" s="37">
      <c r="A1102" s="42" t="inlineStr">
        <is>
          <t>hollister festival vibes uk</t>
        </is>
      </c>
      <c r="B1102" s="42" t="inlineStr">
        <is>
          <t>Informational</t>
        </is>
      </c>
      <c r="C1102" s="55" t="n">
        <v>0</v>
      </c>
      <c r="D1102" s="42" t="n">
        <v>14</v>
      </c>
      <c r="E1102" s="56" t="n"/>
      <c r="F1102" s="42" t="n"/>
      <c r="G1102" s="42" t="inlineStr">
        <is>
          <t>T2-2</t>
        </is>
      </c>
      <c r="H1102" s="42" t="inlineStr">
        <is>
          <t>No Semrush data (n/a)</t>
        </is>
      </c>
    </row>
    <row r="1103" ht="15" customHeight="1" s="37">
      <c r="A1103" s="42" t="inlineStr">
        <is>
          <t>hollister perfume for men</t>
        </is>
      </c>
      <c r="B1103" s="42" t="inlineStr">
        <is>
          <t>Informational Transactional</t>
        </is>
      </c>
      <c r="C1103" s="55" t="n">
        <v>0</v>
      </c>
      <c r="D1103" s="42" t="n">
        <v>12</v>
      </c>
      <c r="E1103" s="56" t="n">
        <v>0.31</v>
      </c>
      <c r="F1103" s="42" t="n">
        <v>1</v>
      </c>
      <c r="G1103" s="42" t="n">
        <v>2</v>
      </c>
      <c r="H1103" s="42" t="n"/>
    </row>
    <row r="1104" ht="15" customHeight="1" s="37">
      <c r="A1104" s="42" t="inlineStr">
        <is>
          <t>how to use vilvah under eye cream</t>
        </is>
      </c>
      <c r="B1104" s="42" t="inlineStr">
        <is>
          <t>Informational</t>
        </is>
      </c>
      <c r="C1104" s="55" t="n">
        <v>0</v>
      </c>
      <c r="D1104" s="42" t="n">
        <v>28</v>
      </c>
      <c r="E1104" s="56" t="n"/>
      <c r="F1104" s="42" t="n"/>
      <c r="G1104" s="42" t="inlineStr">
        <is>
          <t>T3-2</t>
        </is>
      </c>
      <c r="H1104" s="42" t="inlineStr">
        <is>
          <t>No Semrush data (n/a)</t>
        </is>
      </c>
    </row>
    <row r="1105" ht="15" customHeight="1" s="37">
      <c r="A1105" s="42" t="inlineStr">
        <is>
          <t>hugo boss alive uk</t>
        </is>
      </c>
      <c r="B1105" s="42" t="inlineStr">
        <is>
          <t>Informational</t>
        </is>
      </c>
      <c r="C1105" s="55" t="n">
        <v>0</v>
      </c>
      <c r="D1105" s="42" t="n">
        <v>13</v>
      </c>
      <c r="E1105" s="56" t="n">
        <v>0</v>
      </c>
      <c r="F1105" s="42" t="n">
        <v>0</v>
      </c>
      <c r="G1105" s="42" t="inlineStr">
        <is>
          <t>T2-1</t>
        </is>
      </c>
      <c r="H1105" s="42" t="n"/>
    </row>
    <row r="1106" ht="15" customHeight="1" s="37">
      <c r="A1106" s="42" t="inlineStr">
        <is>
          <t>hugo boss hugo man uk</t>
        </is>
      </c>
      <c r="B1106" s="42" t="inlineStr">
        <is>
          <t>Informational</t>
        </is>
      </c>
      <c r="C1106" s="55" t="n">
        <v>0</v>
      </c>
      <c r="D1106" s="42" t="n">
        <v>27</v>
      </c>
      <c r="E1106" s="56" t="n"/>
      <c r="F1106" s="42" t="n"/>
      <c r="G1106" s="42" t="inlineStr">
        <is>
          <t>T2-1</t>
        </is>
      </c>
      <c r="H1106" s="42" t="inlineStr">
        <is>
          <t>No Semrush data (n/a)</t>
        </is>
      </c>
    </row>
    <row r="1107" ht="15" customHeight="1" s="37">
      <c r="A1107" s="42" t="inlineStr">
        <is>
          <t>hugo boss the collection confident oud intense</t>
        </is>
      </c>
      <c r="B1107" s="42" t="inlineStr">
        <is>
          <t>Informational</t>
        </is>
      </c>
      <c r="C1107" s="55" t="n">
        <v>0</v>
      </c>
      <c r="D1107" s="42" t="n">
        <v>19</v>
      </c>
      <c r="E1107" s="56" t="n"/>
      <c r="F1107" s="42" t="n"/>
      <c r="G1107" s="42" t="n">
        <v>6</v>
      </c>
      <c r="H1107" s="42" t="inlineStr">
        <is>
          <t>No Semrush data (n/a)</t>
        </is>
      </c>
    </row>
    <row r="1108" ht="15" customHeight="1" s="37">
      <c r="A1108" s="42" t="inlineStr">
        <is>
          <t>indian skincare brands uk</t>
        </is>
      </c>
      <c r="B1108" s="42" t="inlineStr">
        <is>
          <t>Commercial</t>
        </is>
      </c>
      <c r="C1108" s="55" t="n">
        <v>0</v>
      </c>
      <c r="D1108" s="42" t="n">
        <v>31</v>
      </c>
      <c r="E1108" s="56" t="n"/>
      <c r="F1108" s="42" t="n"/>
      <c r="G1108" s="42" t="inlineStr">
        <is>
          <t>T2-3</t>
        </is>
      </c>
      <c r="H1108" s="42" t="inlineStr">
        <is>
          <t>No Semrush data (n/a)</t>
        </is>
      </c>
    </row>
    <row r="1109" ht="15" customHeight="1" s="37">
      <c r="A1109" s="42" t="inlineStr">
        <is>
          <t>indian skincare uk</t>
        </is>
      </c>
      <c r="B1109" s="42" t="inlineStr">
        <is>
          <t>Informational Commercial</t>
        </is>
      </c>
      <c r="C1109" s="55" t="n">
        <v>0</v>
      </c>
      <c r="D1109" s="42" t="n">
        <v>33</v>
      </c>
      <c r="E1109" s="56" t="n"/>
      <c r="F1109" s="42" t="n"/>
      <c r="G1109" s="42" t="inlineStr">
        <is>
          <t>T2-3</t>
        </is>
      </c>
      <c r="H1109" s="42" t="inlineStr">
        <is>
          <t>No Semrush data (n/a)</t>
        </is>
      </c>
    </row>
    <row r="1110" ht="15" customHeight="1" s="37">
      <c r="A1110" s="42" t="inlineStr">
        <is>
          <t>jean paul gaultier classique perfumed shower gel</t>
        </is>
      </c>
      <c r="B1110" s="42" t="inlineStr">
        <is>
          <t>Informational Transactional</t>
        </is>
      </c>
      <c r="C1110" s="55" t="n">
        <v>0</v>
      </c>
      <c r="D1110" s="42" t="n">
        <v>16</v>
      </c>
      <c r="E1110" s="56" t="n"/>
      <c r="F1110" s="42" t="n"/>
      <c r="G1110" s="42" t="n">
        <v>6</v>
      </c>
      <c r="H1110" s="42" t="inlineStr">
        <is>
          <t>No Semrush data (n/a)</t>
        </is>
      </c>
    </row>
    <row r="1111" ht="15" customHeight="1" s="37">
      <c r="A1111" s="42" t="inlineStr">
        <is>
          <t>jimmy choo i want choo forever miniature</t>
        </is>
      </c>
      <c r="B1111" s="42" t="inlineStr">
        <is>
          <t>Informational</t>
        </is>
      </c>
      <c r="C1111" s="55" t="n">
        <v>0</v>
      </c>
      <c r="D1111" s="42" t="n">
        <v>16</v>
      </c>
      <c r="E1111" s="56" t="n"/>
      <c r="F1111" s="42" t="n"/>
      <c r="G1111" s="42" t="n">
        <v>6</v>
      </c>
      <c r="H1111" s="42" t="inlineStr">
        <is>
          <t>No Semrush data (n/a)</t>
        </is>
      </c>
    </row>
    <row r="1112" ht="15" customHeight="1" s="37">
      <c r="A1112" s="42" t="inlineStr">
        <is>
          <t>jimmy choo miniature gift set 5x4.</t>
        </is>
      </c>
      <c r="B1112" s="42" t="inlineStr">
        <is>
          <t>Informational</t>
        </is>
      </c>
      <c r="C1112" s="55" t="n">
        <v>0</v>
      </c>
      <c r="D1112" s="42" t="n">
        <v>17</v>
      </c>
      <c r="E1112" s="56" t="n"/>
      <c r="F1112" s="42" t="n"/>
      <c r="G1112" s="42" t="n">
        <v>6</v>
      </c>
      <c r="H1112" s="42" t="inlineStr">
        <is>
          <t>No Semrush data (n/a)</t>
        </is>
      </c>
    </row>
    <row r="1113" ht="15" customHeight="1" s="37">
      <c r="A1113" s="42" t="inlineStr">
        <is>
          <t>jo milano game of spades queen for</t>
        </is>
      </c>
      <c r="B1113" s="42" t="inlineStr">
        <is>
          <t>Informational Transactional</t>
        </is>
      </c>
      <c r="C1113" s="55" t="n">
        <v>0</v>
      </c>
      <c r="D1113" s="42" t="n">
        <v>23</v>
      </c>
      <c r="E1113" s="56" t="n"/>
      <c r="F1113" s="42" t="n"/>
      <c r="G1113" s="42" t="n">
        <v>7</v>
      </c>
      <c r="H1113" s="42" t="inlineStr">
        <is>
          <t>No Semrush data (n/a)</t>
        </is>
      </c>
    </row>
    <row r="1114" ht="15" customHeight="1" s="37">
      <c r="A1114" s="42" t="inlineStr">
        <is>
          <t>jo milano game of spades wildcard for parfum , 3.4 ounce</t>
        </is>
      </c>
      <c r="B1114" s="42" t="inlineStr">
        <is>
          <t>Informational Transactional</t>
        </is>
      </c>
      <c r="C1114" s="55" t="n">
        <v>0</v>
      </c>
      <c r="D1114" s="42" t="n">
        <v>34</v>
      </c>
      <c r="E1114" s="56" t="n"/>
      <c r="F1114" s="42" t="n"/>
      <c r="G1114" s="42" t="n">
        <v>7</v>
      </c>
      <c r="H1114" s="42" t="inlineStr">
        <is>
          <t>Semrush ran "jo milano game of spades wildcard for parfum" (it splits at commas); figures are for that shorter phrase</t>
        </is>
      </c>
    </row>
    <row r="1115" ht="15" customHeight="1" s="37">
      <c r="A1115" s="42" t="inlineStr">
        <is>
          <t>john varvatos artisan uk</t>
        </is>
      </c>
      <c r="B1115" s="42" t="inlineStr">
        <is>
          <t>Informational</t>
        </is>
      </c>
      <c r="C1115" s="55" t="n">
        <v>0</v>
      </c>
      <c r="D1115" s="42" t="n">
        <v>13</v>
      </c>
      <c r="E1115" s="56" t="n">
        <v>0</v>
      </c>
      <c r="F1115" s="42" t="n">
        <v>1</v>
      </c>
      <c r="G1115" s="42" t="inlineStr">
        <is>
          <t>T2-1</t>
        </is>
      </c>
      <c r="H1115" s="42" t="n"/>
    </row>
    <row r="1116" ht="15" customHeight="1" s="37">
      <c r="A1116" s="42" t="inlineStr">
        <is>
          <t>john varvatos perfume for men</t>
        </is>
      </c>
      <c r="B1116" s="42" t="inlineStr">
        <is>
          <t>Informational Transactional</t>
        </is>
      </c>
      <c r="C1116" s="55" t="n">
        <v>0</v>
      </c>
      <c r="D1116" s="42" t="n">
        <v>9</v>
      </c>
      <c r="E1116" s="56" t="n">
        <v>0</v>
      </c>
      <c r="F1116" s="42" t="n">
        <v>1</v>
      </c>
      <c r="G1116" s="42" t="n">
        <v>2</v>
      </c>
      <c r="H1116" s="42" t="n"/>
    </row>
    <row r="1117" ht="15" customHeight="1" s="37">
      <c r="A1117" s="42" t="inlineStr">
        <is>
          <t>joop! homme le</t>
        </is>
      </c>
      <c r="B1117" s="42" t="inlineStr">
        <is>
          <t>Informational</t>
        </is>
      </c>
      <c r="C1117" s="55" t="n">
        <v>0</v>
      </c>
      <c r="D1117" s="42" t="n">
        <v>21</v>
      </c>
      <c r="E1117" s="56" t="n"/>
      <c r="F1117" s="42" t="n"/>
      <c r="G1117" s="42" t="n">
        <v>7</v>
      </c>
      <c r="H1117" s="42" t="inlineStr">
        <is>
          <t>No Semrush data (n/a)</t>
        </is>
      </c>
    </row>
    <row r="1118" ht="15" customHeight="1" s="37">
      <c r="A1118" s="42" t="inlineStr">
        <is>
          <t>juicy couture perfume for women</t>
        </is>
      </c>
      <c r="B1118" s="42" t="inlineStr">
        <is>
          <t>Informational Transactional</t>
        </is>
      </c>
      <c r="C1118" s="55" t="n">
        <v>0</v>
      </c>
      <c r="D1118" s="42" t="n">
        <v>12</v>
      </c>
      <c r="E1118" s="56" t="n">
        <v>0.41</v>
      </c>
      <c r="F1118" s="42" t="n">
        <v>1</v>
      </c>
      <c r="G1118" s="42" t="n">
        <v>2</v>
      </c>
      <c r="H1118" s="42" t="n"/>
    </row>
    <row r="1119" ht="15" customHeight="1" s="37">
      <c r="A1119" s="42" t="inlineStr">
        <is>
          <t>korloff lady intense</t>
        </is>
      </c>
      <c r="B1119" s="42" t="inlineStr">
        <is>
          <t>Navigational</t>
        </is>
      </c>
      <c r="C1119" s="55" t="n">
        <v>0</v>
      </c>
      <c r="D1119" s="42" t="n">
        <v>13</v>
      </c>
      <c r="E1119" s="56" t="n"/>
      <c r="F1119" s="42" t="n"/>
      <c r="G1119" s="42" t="n">
        <v>7</v>
      </c>
      <c r="H1119" s="42" t="inlineStr">
        <is>
          <t>No Semrush data (n/a)</t>
        </is>
      </c>
    </row>
    <row r="1120" ht="15" customHeight="1" s="37">
      <c r="A1120" s="42" t="inlineStr">
        <is>
          <t>korloff miss korloff</t>
        </is>
      </c>
      <c r="B1120" s="42" t="inlineStr">
        <is>
          <t>Navigational</t>
        </is>
      </c>
      <c r="C1120" s="55" t="n">
        <v>0</v>
      </c>
      <c r="D1120" s="42" t="n">
        <v>6</v>
      </c>
      <c r="E1120" s="56" t="n">
        <v>0</v>
      </c>
      <c r="F1120" s="42" t="n">
        <v>0</v>
      </c>
      <c r="G1120" s="42" t="n">
        <v>7</v>
      </c>
      <c r="H1120" s="42" t="n"/>
    </row>
    <row r="1121" ht="15" customHeight="1" s="37">
      <c r="A1121" s="42" t="inlineStr">
        <is>
          <t>korloff paris discovery set</t>
        </is>
      </c>
      <c r="B1121" s="42" t="inlineStr">
        <is>
          <t>Informational</t>
        </is>
      </c>
      <c r="C1121" s="55" t="n">
        <v>0</v>
      </c>
      <c r="D1121" s="42" t="n">
        <v>16</v>
      </c>
      <c r="E1121" s="56" t="n"/>
      <c r="F1121" s="42" t="n"/>
      <c r="G1121" s="42" t="n">
        <v>7</v>
      </c>
      <c r="H1121" s="42" t="inlineStr">
        <is>
          <t>No Semrush data (n/a)</t>
        </is>
      </c>
    </row>
    <row r="1122" ht="15" customHeight="1" s="37">
      <c r="A1122" s="42" t="inlineStr">
        <is>
          <t>korloff royal oud korloff paris</t>
        </is>
      </c>
      <c r="B1122" s="42" t="inlineStr">
        <is>
          <t>Informational</t>
        </is>
      </c>
      <c r="C1122" s="55" t="n">
        <v>0</v>
      </c>
      <c r="D1122" s="42" t="n">
        <v>14</v>
      </c>
      <c r="E1122" s="56" t="n"/>
      <c r="F1122" s="42" t="n"/>
      <c r="G1122" s="42" t="n">
        <v>7</v>
      </c>
      <c r="H1122" s="42" t="inlineStr">
        <is>
          <t>No Semrush data (n/a)</t>
        </is>
      </c>
    </row>
    <row r="1123" ht="15" customHeight="1" s="37">
      <c r="A1123" s="42" t="inlineStr">
        <is>
          <t>la maison de la vanille royal oud</t>
        </is>
      </c>
      <c r="B1123" s="42" t="inlineStr">
        <is>
          <t>Informational</t>
        </is>
      </c>
      <c r="C1123" s="55" t="n">
        <v>0</v>
      </c>
      <c r="D1123" s="42" t="n">
        <v>12</v>
      </c>
      <c r="E1123" s="56" t="n"/>
      <c r="F1123" s="42" t="n"/>
      <c r="G1123" s="42" t="n">
        <v>7</v>
      </c>
      <c r="H1123" s="42" t="inlineStr">
        <is>
          <t>No Semrush data (n/a)</t>
        </is>
      </c>
    </row>
    <row r="1124" ht="15" customHeight="1" s="37">
      <c r="A1124" s="42" t="inlineStr">
        <is>
          <t>la maison de la wooden coffret</t>
        </is>
      </c>
      <c r="B1124" s="42" t="inlineStr">
        <is>
          <t>Informational</t>
        </is>
      </c>
      <c r="C1124" s="55" t="n">
        <v>0</v>
      </c>
      <c r="D1124" s="42" t="n">
        <v>9</v>
      </c>
      <c r="E1124" s="56" t="n"/>
      <c r="F1124" s="42" t="n"/>
      <c r="G1124" s="42" t="n">
        <v>7</v>
      </c>
      <c r="H1124" s="42" t="inlineStr">
        <is>
          <t>No Semrush data (n/a)</t>
        </is>
      </c>
    </row>
    <row r="1125" ht="15" customHeight="1" s="37">
      <c r="A1125" s="42" t="inlineStr">
        <is>
          <t>lancome idole nectar uk</t>
        </is>
      </c>
      <c r="B1125" s="42" t="inlineStr">
        <is>
          <t>Navigational</t>
        </is>
      </c>
      <c r="C1125" s="55" t="n">
        <v>0</v>
      </c>
      <c r="D1125" s="42" t="n">
        <v>16</v>
      </c>
      <c r="E1125" s="56" t="n"/>
      <c r="F1125" s="42" t="n"/>
      <c r="G1125" s="42" t="inlineStr">
        <is>
          <t>T2-1</t>
        </is>
      </c>
      <c r="H1125" s="42" t="inlineStr">
        <is>
          <t>No Semrush data (n/a)</t>
        </is>
      </c>
    </row>
    <row r="1126" ht="15" customHeight="1" s="37">
      <c r="A1126" s="42" t="inlineStr">
        <is>
          <t>leather perfume uk</t>
        </is>
      </c>
      <c r="B1126" s="42" t="inlineStr">
        <is>
          <t>Informational</t>
        </is>
      </c>
      <c r="C1126" s="55" t="n">
        <v>0</v>
      </c>
      <c r="D1126" s="42" t="n">
        <v>15</v>
      </c>
      <c r="E1126" s="56" t="n"/>
      <c r="F1126" s="42" t="n"/>
      <c r="G1126" s="42" t="n">
        <v>2</v>
      </c>
      <c r="H1126" s="42" t="inlineStr">
        <is>
          <t>No Semrush data (n/a)</t>
        </is>
      </c>
    </row>
    <row r="1127" ht="15" customHeight="1" s="37">
      <c r="A1127" s="42" t="inlineStr">
        <is>
          <t>maison de milan amalfi bleu</t>
        </is>
      </c>
      <c r="B1127" s="42" t="inlineStr">
        <is>
          <t>Informational</t>
        </is>
      </c>
      <c r="C1127" s="55" t="n">
        <v>0</v>
      </c>
      <c r="D1127" s="42" t="n">
        <v>27</v>
      </c>
      <c r="E1127" s="56" t="n"/>
      <c r="F1127" s="42" t="n"/>
      <c r="G1127" s="42" t="n">
        <v>7</v>
      </c>
      <c r="H1127" s="42" t="inlineStr">
        <is>
          <t>No Semrush data (n/a)</t>
        </is>
      </c>
    </row>
    <row r="1128" ht="15" customHeight="1" s="37">
      <c r="A1128" s="42" t="inlineStr">
        <is>
          <t>maison de milan bliss rouge</t>
        </is>
      </c>
      <c r="B1128" s="42" t="inlineStr">
        <is>
          <t>Navigational</t>
        </is>
      </c>
      <c r="C1128" s="55" t="n">
        <v>0</v>
      </c>
      <c r="D1128" s="42" t="n">
        <v>14</v>
      </c>
      <c r="E1128" s="56" t="n"/>
      <c r="F1128" s="42" t="n"/>
      <c r="G1128" s="42" t="n">
        <v>7</v>
      </c>
      <c r="H1128" s="42" t="inlineStr">
        <is>
          <t>No Semrush data (n/a)</t>
        </is>
      </c>
    </row>
    <row r="1129" ht="15" customHeight="1" s="37">
      <c r="A1129" s="42" t="inlineStr">
        <is>
          <t>maison de milan brave lad</t>
        </is>
      </c>
      <c r="B1129" s="42" t="inlineStr">
        <is>
          <t>Navigational</t>
        </is>
      </c>
      <c r="C1129" s="55" t="n">
        <v>0</v>
      </c>
      <c r="D1129" s="42" t="n">
        <v>22</v>
      </c>
      <c r="E1129" s="56" t="n"/>
      <c r="F1129" s="42" t="n"/>
      <c r="G1129" s="42" t="n">
        <v>7</v>
      </c>
      <c r="H1129" s="42" t="inlineStr">
        <is>
          <t>No Semrush data (n/a)</t>
        </is>
      </c>
    </row>
    <row r="1130" ht="15" customHeight="1" s="37">
      <c r="A1130" s="42" t="inlineStr">
        <is>
          <t>maison de milan delight pour femme</t>
        </is>
      </c>
      <c r="B1130" s="42" t="inlineStr">
        <is>
          <t>Informational</t>
        </is>
      </c>
      <c r="C1130" s="55" t="n">
        <v>0</v>
      </c>
      <c r="D1130" s="42" t="n">
        <v>24</v>
      </c>
      <c r="E1130" s="56" t="n"/>
      <c r="F1130" s="42" t="n"/>
      <c r="G1130" s="42" t="n">
        <v>7</v>
      </c>
      <c r="H1130" s="42" t="inlineStr">
        <is>
          <t>No Semrush data (n/a)</t>
        </is>
      </c>
    </row>
    <row r="1131" ht="15" customHeight="1" s="37">
      <c r="A1131" s="42" t="inlineStr">
        <is>
          <t>maison de milan elegance pour femme</t>
        </is>
      </c>
      <c r="B1131" s="42" t="inlineStr">
        <is>
          <t>Informational Transactional</t>
        </is>
      </c>
      <c r="C1131" s="55" t="n">
        <v>0</v>
      </c>
      <c r="D1131" s="42" t="n">
        <v>28</v>
      </c>
      <c r="E1131" s="56" t="n"/>
      <c r="F1131" s="42" t="n"/>
      <c r="G1131" s="42" t="n">
        <v>7</v>
      </c>
      <c r="H1131" s="42" t="inlineStr">
        <is>
          <t>No Semrush data (n/a)</t>
        </is>
      </c>
    </row>
    <row r="1132" ht="15" customHeight="1" s="37">
      <c r="A1132" s="42" t="inlineStr">
        <is>
          <t>maison de milan gossip pour femme</t>
        </is>
      </c>
      <c r="B1132" s="42" t="inlineStr">
        <is>
          <t>Informational</t>
        </is>
      </c>
      <c r="C1132" s="55" t="n">
        <v>0</v>
      </c>
      <c r="D1132" s="42" t="n">
        <v>24</v>
      </c>
      <c r="E1132" s="56" t="n"/>
      <c r="F1132" s="42" t="n"/>
      <c r="G1132" s="42" t="n">
        <v>7</v>
      </c>
      <c r="H1132" s="42" t="inlineStr">
        <is>
          <t>No Semrush data (n/a)</t>
        </is>
      </c>
    </row>
    <row r="1133" ht="15" customHeight="1" s="37">
      <c r="A1133" s="42" t="inlineStr">
        <is>
          <t>maison de milan invincible</t>
        </is>
      </c>
      <c r="B1133" s="42" t="inlineStr">
        <is>
          <t>Navigational</t>
        </is>
      </c>
      <c r="C1133" s="55" t="n">
        <v>0</v>
      </c>
      <c r="D1133" s="42" t="n">
        <v>35</v>
      </c>
      <c r="E1133" s="56" t="n"/>
      <c r="F1133" s="42" t="n"/>
      <c r="G1133" s="42" t="n">
        <v>7</v>
      </c>
      <c r="H1133" s="42" t="inlineStr">
        <is>
          <t>No Semrush data (n/a)</t>
        </is>
      </c>
    </row>
    <row r="1134" ht="15" customHeight="1" s="37">
      <c r="A1134" s="42" t="inlineStr">
        <is>
          <t>maison de milan l'homme suave</t>
        </is>
      </c>
      <c r="B1134" s="42" t="inlineStr">
        <is>
          <t>Transactional Navigational</t>
        </is>
      </c>
      <c r="C1134" s="55" t="n">
        <v>0</v>
      </c>
      <c r="D1134" s="42" t="n">
        <v>34</v>
      </c>
      <c r="E1134" s="56" t="n"/>
      <c r="F1134" s="42" t="n"/>
      <c r="G1134" s="42" t="n">
        <v>7</v>
      </c>
      <c r="H1134" s="42" t="inlineStr">
        <is>
          <t>No Semrush data (n/a)</t>
        </is>
      </c>
    </row>
    <row r="1135" ht="15" customHeight="1" s="37">
      <c r="A1135" s="42" t="inlineStr">
        <is>
          <t>maison de milan m</t>
        </is>
      </c>
      <c r="B1135" s="42" t="inlineStr">
        <is>
          <t>Informational</t>
        </is>
      </c>
      <c r="C1135" s="55" t="n">
        <v>0</v>
      </c>
      <c r="D1135" s="42" t="n">
        <v>28</v>
      </c>
      <c r="E1135" s="56" t="n"/>
      <c r="F1135" s="42" t="n"/>
      <c r="G1135" s="42" t="n">
        <v>7</v>
      </c>
      <c r="H1135" s="42" t="inlineStr">
        <is>
          <t>No Semrush data (n/a)</t>
        </is>
      </c>
    </row>
    <row r="1136" ht="15" customHeight="1" s="37">
      <c r="A1136" s="42" t="inlineStr">
        <is>
          <t>maison de milan milano girl black</t>
        </is>
      </c>
      <c r="B1136" s="42" t="inlineStr">
        <is>
          <t>Informational Transactional</t>
        </is>
      </c>
      <c r="C1136" s="55" t="n">
        <v>0</v>
      </c>
      <c r="D1136" s="42" t="n">
        <v>10</v>
      </c>
      <c r="E1136" s="56" t="n"/>
      <c r="F1136" s="42" t="n"/>
      <c r="G1136" s="42" t="n">
        <v>7</v>
      </c>
      <c r="H1136" s="42" t="inlineStr">
        <is>
          <t>No Semrush data (n/a)</t>
        </is>
      </c>
    </row>
    <row r="1137" ht="15" customHeight="1" s="37">
      <c r="A1137" s="42" t="inlineStr">
        <is>
          <t>maison de milan milano girl red</t>
        </is>
      </c>
      <c r="B1137" s="42" t="inlineStr">
        <is>
          <t>Informational</t>
        </is>
      </c>
      <c r="C1137" s="55" t="n">
        <v>0</v>
      </c>
      <c r="D1137" s="42" t="n">
        <v>24</v>
      </c>
      <c r="E1137" s="56" t="n"/>
      <c r="F1137" s="42" t="n"/>
      <c r="G1137" s="42" t="n">
        <v>7</v>
      </c>
      <c r="H1137" s="42" t="inlineStr">
        <is>
          <t>No Semrush data (n/a)</t>
        </is>
      </c>
    </row>
    <row r="1138" ht="15" customHeight="1" s="37">
      <c r="A1138" s="42" t="inlineStr">
        <is>
          <t>maison de milan milano girl white</t>
        </is>
      </c>
      <c r="B1138" s="42" t="inlineStr">
        <is>
          <t>Informational</t>
        </is>
      </c>
      <c r="C1138" s="55" t="n">
        <v>0</v>
      </c>
      <c r="D1138" s="42" t="n">
        <v>24</v>
      </c>
      <c r="E1138" s="56" t="n"/>
      <c r="F1138" s="42" t="n"/>
      <c r="G1138" s="42" t="n">
        <v>7</v>
      </c>
      <c r="H1138" s="42" t="inlineStr">
        <is>
          <t>No Semrush data (n/a)</t>
        </is>
      </c>
    </row>
    <row r="1139" ht="15" customHeight="1" s="37">
      <c r="A1139" s="42" t="inlineStr">
        <is>
          <t>maison de milan opulent gold</t>
        </is>
      </c>
      <c r="B1139" s="42" t="inlineStr">
        <is>
          <t>Navigational</t>
        </is>
      </c>
      <c r="C1139" s="55" t="n">
        <v>0</v>
      </c>
      <c r="D1139" s="42" t="n">
        <v>16</v>
      </c>
      <c r="E1139" s="56" t="n"/>
      <c r="F1139" s="42" t="n"/>
      <c r="G1139" s="42" t="n">
        <v>7</v>
      </c>
      <c r="H1139" s="42" t="inlineStr">
        <is>
          <t>No Semrush data (n/a)</t>
        </is>
      </c>
    </row>
    <row r="1140" ht="15" customHeight="1" s="37">
      <c r="A1140" s="42" t="inlineStr">
        <is>
          <t>maison de milan valiant pour homme</t>
        </is>
      </c>
      <c r="B1140" s="42" t="inlineStr">
        <is>
          <t>Informational</t>
        </is>
      </c>
      <c r="C1140" s="55" t="n">
        <v>0</v>
      </c>
      <c r="D1140" s="42" t="n">
        <v>28</v>
      </c>
      <c r="E1140" s="56" t="n"/>
      <c r="F1140" s="42" t="n"/>
      <c r="G1140" s="42" t="n">
        <v>7</v>
      </c>
      <c r="H1140" s="42" t="inlineStr">
        <is>
          <t>No Semrush data (n/a)</t>
        </is>
      </c>
    </row>
    <row r="1141" ht="15" customHeight="1" s="37">
      <c r="A1141" s="42" t="inlineStr">
        <is>
          <t>mancera intense red tobacco uk</t>
        </is>
      </c>
      <c r="B1141" s="42" t="inlineStr">
        <is>
          <t>Informational Transactional</t>
        </is>
      </c>
      <c r="C1141" s="55" t="n">
        <v>0</v>
      </c>
      <c r="D1141" s="42" t="n">
        <v>17</v>
      </c>
      <c r="E1141" s="56" t="n"/>
      <c r="F1141" s="42" t="n"/>
      <c r="G1141" s="42" t="inlineStr">
        <is>
          <t>T2-2</t>
        </is>
      </c>
      <c r="H1141" s="42" t="inlineStr">
        <is>
          <t>No Semrush data (n/a)</t>
        </is>
      </c>
    </row>
    <row r="1142" ht="15" customHeight="1" s="37">
      <c r="A1142" s="42" t="inlineStr">
        <is>
          <t>marc jacobs daisy love miniature</t>
        </is>
      </c>
      <c r="B1142" s="42" t="inlineStr">
        <is>
          <t>Informational Transactional</t>
        </is>
      </c>
      <c r="C1142" s="55" t="n">
        <v>0</v>
      </c>
      <c r="D1142" s="42" t="n">
        <v>24</v>
      </c>
      <c r="E1142" s="56" t="n"/>
      <c r="F1142" s="42" t="n"/>
      <c r="G1142" s="42" t="n">
        <v>7</v>
      </c>
      <c r="H1142" s="42" t="inlineStr">
        <is>
          <t>No Semrush data (n/a)</t>
        </is>
      </c>
    </row>
    <row r="1143" ht="15" customHeight="1" s="37">
      <c r="A1143" s="42" t="inlineStr">
        <is>
          <t>marc jacobs miniature gift set 2025</t>
        </is>
      </c>
      <c r="B1143" s="42" t="inlineStr">
        <is>
          <t>Transactional</t>
        </is>
      </c>
      <c r="C1143" s="55" t="n">
        <v>0</v>
      </c>
      <c r="D1143" s="42" t="n">
        <v>22</v>
      </c>
      <c r="E1143" s="56" t="n"/>
      <c r="F1143" s="42" t="n"/>
      <c r="G1143" s="42" t="n">
        <v>7</v>
      </c>
      <c r="H1143" s="42" t="inlineStr">
        <is>
          <t>No Semrush data (n/a)</t>
        </is>
      </c>
    </row>
    <row r="1144" ht="15" customHeight="1" s="37">
      <c r="A1144" s="42" t="inlineStr">
        <is>
          <t>marc jacobs perfect elixir miniature</t>
        </is>
      </c>
      <c r="B1144" s="42" t="inlineStr">
        <is>
          <t>Informational Transactional</t>
        </is>
      </c>
      <c r="C1144" s="55" t="n">
        <v>0</v>
      </c>
      <c r="D1144" s="42" t="n">
        <v>17</v>
      </c>
      <c r="E1144" s="56" t="n"/>
      <c r="F1144" s="42" t="n"/>
      <c r="G1144" s="42" t="n">
        <v>7</v>
      </c>
      <c r="H1144" s="42" t="inlineStr">
        <is>
          <t>No Semrush data (n/a)</t>
        </is>
      </c>
    </row>
    <row r="1145" ht="15" customHeight="1" s="37">
      <c r="A1145" s="42" t="inlineStr">
        <is>
          <t>moisturiser for skin nourishment</t>
        </is>
      </c>
      <c r="B1145" s="42" t="inlineStr">
        <is>
          <t>Informational</t>
        </is>
      </c>
      <c r="C1145" s="55" t="n">
        <v>0</v>
      </c>
      <c r="D1145" s="42" t="n">
        <v>22</v>
      </c>
      <c r="E1145" s="56" t="n"/>
      <c r="F1145" s="42" t="n"/>
      <c r="G1145" s="42" t="n">
        <v>3</v>
      </c>
      <c r="H1145" s="42" t="inlineStr">
        <is>
          <t>No Semrush data (n/a)</t>
        </is>
      </c>
    </row>
    <row r="1146" ht="15" customHeight="1" s="37">
      <c r="A1146" s="42" t="inlineStr">
        <is>
          <t>montale perfume for women</t>
        </is>
      </c>
      <c r="B1146" s="42" t="inlineStr">
        <is>
          <t>Commercial</t>
        </is>
      </c>
      <c r="C1146" s="55" t="n">
        <v>0</v>
      </c>
      <c r="D1146" s="42" t="n">
        <v>11</v>
      </c>
      <c r="E1146" s="56" t="n">
        <v>0.28</v>
      </c>
      <c r="F1146" s="42" t="n">
        <v>1</v>
      </c>
      <c r="G1146" s="42" t="n">
        <v>2</v>
      </c>
      <c r="H1146" s="42" t="n"/>
    </row>
    <row r="1147" ht="15" customHeight="1" s="37">
      <c r="A1147" s="42" t="inlineStr">
        <is>
          <t>natural body care uk</t>
        </is>
      </c>
      <c r="B1147" s="42" t="inlineStr">
        <is>
          <t>Informational</t>
        </is>
      </c>
      <c r="C1147" s="55" t="n">
        <v>0</v>
      </c>
      <c r="D1147" s="42" t="n">
        <v>53</v>
      </c>
      <c r="E1147" s="56" t="n">
        <v>0</v>
      </c>
      <c r="F1147" s="42" t="n">
        <v>0</v>
      </c>
      <c r="G1147" s="42" t="n">
        <v>3</v>
      </c>
      <c r="H1147" s="42" t="n"/>
    </row>
    <row r="1148" ht="15" customHeight="1" s="37">
      <c r="A1148" s="42" t="inlineStr">
        <is>
          <t>natural deodorant for body hydration</t>
        </is>
      </c>
      <c r="B1148" s="42" t="inlineStr">
        <is>
          <t>Informational</t>
        </is>
      </c>
      <c r="C1148" s="55" t="n">
        <v>0</v>
      </c>
      <c r="D1148" s="42" t="n">
        <v>29</v>
      </c>
      <c r="E1148" s="56" t="n"/>
      <c r="F1148" s="42" t="n"/>
      <c r="G1148" s="42" t="n">
        <v>3</v>
      </c>
      <c r="H1148" s="42" t="inlineStr">
        <is>
          <t>No Semrush data (n/a)</t>
        </is>
      </c>
    </row>
    <row r="1149" ht="15" customHeight="1" s="37">
      <c r="A1149" s="42" t="inlineStr">
        <is>
          <t>natural face mask uk</t>
        </is>
      </c>
      <c r="B1149" s="42" t="inlineStr">
        <is>
          <t>Informational</t>
        </is>
      </c>
      <c r="C1149" s="55" t="n">
        <v>0</v>
      </c>
      <c r="D1149" s="42" t="n">
        <v>11</v>
      </c>
      <c r="E1149" s="56" t="n"/>
      <c r="F1149" s="42" t="n"/>
      <c r="G1149" s="42" t="n">
        <v>3</v>
      </c>
      <c r="H1149" s="42" t="inlineStr">
        <is>
          <t>No Semrush data (n/a)</t>
        </is>
      </c>
    </row>
    <row r="1150" ht="15" customHeight="1" s="37">
      <c r="A1150" s="42" t="inlineStr">
        <is>
          <t>natural hair accessories uk</t>
        </is>
      </c>
      <c r="B1150" s="42" t="inlineStr">
        <is>
          <t>Informational</t>
        </is>
      </c>
      <c r="C1150" s="55" t="n">
        <v>0</v>
      </c>
      <c r="D1150" s="42" t="n">
        <v>18</v>
      </c>
      <c r="E1150" s="56" t="n"/>
      <c r="F1150" s="42" t="n"/>
      <c r="G1150" s="42" t="n">
        <v>3</v>
      </c>
      <c r="H1150" s="42" t="inlineStr">
        <is>
          <t>No Semrush data (n/a)</t>
        </is>
      </c>
    </row>
    <row r="1151" ht="15" customHeight="1" s="37">
      <c r="A1151" s="42" t="inlineStr">
        <is>
          <t>natural hair mask uk</t>
        </is>
      </c>
      <c r="B1151" s="42" t="inlineStr">
        <is>
          <t>Informational Commercial</t>
        </is>
      </c>
      <c r="C1151" s="55" t="n">
        <v>0</v>
      </c>
      <c r="D1151" s="42" t="n">
        <v>11</v>
      </c>
      <c r="E1151" s="56" t="n">
        <v>0</v>
      </c>
      <c r="F1151" s="42" t="n">
        <v>0</v>
      </c>
      <c r="G1151" s="42" t="n">
        <v>3</v>
      </c>
      <c r="H1151" s="42" t="n"/>
    </row>
    <row r="1152" ht="15" customHeight="1" s="37">
      <c r="A1152" s="42" t="inlineStr">
        <is>
          <t>natural hair treatment uk</t>
        </is>
      </c>
      <c r="B1152" s="42" t="inlineStr">
        <is>
          <t>Commercial</t>
        </is>
      </c>
      <c r="C1152" s="55" t="n">
        <v>0</v>
      </c>
      <c r="D1152" s="42" t="n">
        <v>22</v>
      </c>
      <c r="E1152" s="56" t="n"/>
      <c r="F1152" s="42" t="n"/>
      <c r="G1152" s="42" t="n">
        <v>3</v>
      </c>
      <c r="H1152" s="42" t="inlineStr">
        <is>
          <t>No Semrush data (n/a)</t>
        </is>
      </c>
    </row>
    <row r="1153" ht="15" customHeight="1" s="37">
      <c r="A1153" s="42" t="inlineStr">
        <is>
          <t>natural natural deodorant uk</t>
        </is>
      </c>
      <c r="B1153" s="42" t="inlineStr">
        <is>
          <t>Informational</t>
        </is>
      </c>
      <c r="C1153" s="55" t="n">
        <v>0</v>
      </c>
      <c r="D1153" s="42" t="n">
        <v>32</v>
      </c>
      <c r="E1153" s="56" t="n"/>
      <c r="F1153" s="42" t="n"/>
      <c r="G1153" s="42" t="n">
        <v>3</v>
      </c>
      <c r="H1153" s="42" t="inlineStr">
        <is>
          <t>No Semrush data (n/a)</t>
        </is>
      </c>
    </row>
    <row r="1154" ht="15" customHeight="1" s="37">
      <c r="A1154" s="42" t="inlineStr">
        <is>
          <t>natural toner uk</t>
        </is>
      </c>
      <c r="B1154" s="42" t="inlineStr">
        <is>
          <t>Informational</t>
        </is>
      </c>
      <c r="C1154" s="55" t="n">
        <v>0</v>
      </c>
      <c r="D1154" s="42" t="n">
        <v>11</v>
      </c>
      <c r="E1154" s="56" t="n"/>
      <c r="F1154" s="42" t="n"/>
      <c r="G1154" s="42" t="n">
        <v>3</v>
      </c>
      <c r="H1154" s="42" t="inlineStr">
        <is>
          <t>No Semrush data (n/a)</t>
        </is>
      </c>
    </row>
    <row r="1155" ht="15" customHeight="1" s="37">
      <c r="A1155" s="42" t="inlineStr">
        <is>
          <t>nina ricci l'air du temps price</t>
        </is>
      </c>
      <c r="B1155" s="42" t="inlineStr">
        <is>
          <t>Transactional</t>
        </is>
      </c>
      <c r="C1155" s="55" t="n">
        <v>0</v>
      </c>
      <c r="D1155" s="42" t="n">
        <v>9</v>
      </c>
      <c r="E1155" s="56" t="n">
        <v>0</v>
      </c>
      <c r="F1155" s="42" t="n">
        <v>0</v>
      </c>
      <c r="G1155" s="42" t="inlineStr">
        <is>
          <t>T3-1</t>
        </is>
      </c>
      <c r="H1155" s="42" t="n"/>
    </row>
    <row r="1156" ht="15" customHeight="1" s="37">
      <c r="A1156" s="42" t="inlineStr">
        <is>
          <t>nina ricci l'air du temps uk</t>
        </is>
      </c>
      <c r="B1156" s="42" t="inlineStr">
        <is>
          <t>Informational Transactional</t>
        </is>
      </c>
      <c r="C1156" s="55" t="n">
        <v>0</v>
      </c>
      <c r="D1156" s="42" t="n">
        <v>15</v>
      </c>
      <c r="E1156" s="56" t="n"/>
      <c r="F1156" s="42" t="n"/>
      <c r="G1156" s="42" t="inlineStr">
        <is>
          <t>T2-1</t>
        </is>
      </c>
      <c r="H1156" s="42" t="inlineStr">
        <is>
          <t>No Semrush data (n/a)</t>
        </is>
      </c>
    </row>
    <row r="1157" ht="15" customHeight="1" s="37">
      <c r="A1157" s="42" t="inlineStr">
        <is>
          <t>nina ricci nina precious gold</t>
        </is>
      </c>
      <c r="B1157" s="42" t="inlineStr">
        <is>
          <t>Informational</t>
        </is>
      </c>
      <c r="C1157" s="55" t="n">
        <v>0</v>
      </c>
      <c r="D1157" s="42" t="n">
        <v>10</v>
      </c>
      <c r="E1157" s="56" t="n">
        <v>0</v>
      </c>
      <c r="F1157" s="42" t="n">
        <v>1</v>
      </c>
      <c r="G1157" s="42" t="n">
        <v>7</v>
      </c>
      <c r="H1157" s="42" t="n"/>
    </row>
    <row r="1158" ht="15" customHeight="1" s="37">
      <c r="A1158" s="42" t="inlineStr">
        <is>
          <t>paloma perfume for women</t>
        </is>
      </c>
      <c r="B1158" s="42" t="inlineStr">
        <is>
          <t>Informational</t>
        </is>
      </c>
      <c r="C1158" s="55" t="n">
        <v>0</v>
      </c>
      <c r="D1158" s="42" t="n">
        <v>16</v>
      </c>
      <c r="E1158" s="56" t="n"/>
      <c r="F1158" s="42" t="n"/>
      <c r="G1158" s="42" t="n">
        <v>2</v>
      </c>
      <c r="H1158" s="42" t="inlineStr">
        <is>
          <t>No Semrush data (n/a)</t>
        </is>
      </c>
    </row>
    <row r="1159" ht="15" customHeight="1" s="37">
      <c r="A1159" s="42" t="inlineStr">
        <is>
          <t>paloma picasso uk</t>
        </is>
      </c>
      <c r="B1159" s="42" t="inlineStr">
        <is>
          <t>Informational</t>
        </is>
      </c>
      <c r="C1159" s="55" t="n">
        <v>0</v>
      </c>
      <c r="D1159" s="42" t="n">
        <v>18</v>
      </c>
      <c r="E1159" s="56" t="n"/>
      <c r="F1159" s="42" t="n"/>
      <c r="G1159" s="42" t="inlineStr">
        <is>
          <t>T2-1</t>
        </is>
      </c>
      <c r="H1159" s="42" t="inlineStr">
        <is>
          <t>No Semrush data (n/a)</t>
        </is>
      </c>
    </row>
    <row r="1160" ht="15" customHeight="1" s="37">
      <c r="A1160" s="42" t="inlineStr">
        <is>
          <t>philipp plein no limits after shave balm</t>
        </is>
      </c>
      <c r="B1160" s="42" t="inlineStr">
        <is>
          <t>Informational Transactional</t>
        </is>
      </c>
      <c r="C1160" s="55" t="n">
        <v>0</v>
      </c>
      <c r="D1160" s="42" t="n">
        <v>13</v>
      </c>
      <c r="E1160" s="56" t="n"/>
      <c r="F1160" s="42" t="n"/>
      <c r="G1160" s="42" t="n">
        <v>7</v>
      </c>
      <c r="H1160" s="42" t="inlineStr">
        <is>
          <t>No Semrush data (n/a)</t>
        </is>
      </c>
    </row>
    <row r="1161" ht="15" customHeight="1" s="37">
      <c r="A1161" s="42" t="inlineStr">
        <is>
          <t>philipp plein no limits deodorant stick</t>
        </is>
      </c>
      <c r="B1161" s="42" t="inlineStr">
        <is>
          <t>Navigational</t>
        </is>
      </c>
      <c r="C1161" s="55" t="n">
        <v>0</v>
      </c>
      <c r="D1161" s="42" t="n">
        <v>22</v>
      </c>
      <c r="E1161" s="56" t="n"/>
      <c r="F1161" s="42" t="n"/>
      <c r="G1161" s="42" t="n">
        <v>7</v>
      </c>
      <c r="H1161" s="42" t="inlineStr">
        <is>
          <t>No Semrush data (n/a)</t>
        </is>
      </c>
    </row>
    <row r="1162" ht="15" customHeight="1" s="37">
      <c r="A1162" s="42" t="inlineStr">
        <is>
          <t>philipp plein perfume for men</t>
        </is>
      </c>
      <c r="B1162" s="42" t="inlineStr">
        <is>
          <t>Informational Transactional</t>
        </is>
      </c>
      <c r="C1162" s="55" t="n">
        <v>0</v>
      </c>
      <c r="D1162" s="42" t="n">
        <v>19</v>
      </c>
      <c r="E1162" s="56" t="n"/>
      <c r="F1162" s="42" t="n"/>
      <c r="G1162" s="42" t="n">
        <v>2</v>
      </c>
      <c r="H1162" s="42" t="inlineStr">
        <is>
          <t>No Semrush data (n/a)</t>
        </is>
      </c>
    </row>
    <row r="1163" ht="15" customHeight="1" s="37">
      <c r="A1163" s="42" t="inlineStr">
        <is>
          <t>rihanah ajwaa oud</t>
        </is>
      </c>
      <c r="B1163" s="42" t="inlineStr">
        <is>
          <t>Informational</t>
        </is>
      </c>
      <c r="C1163" s="55" t="n">
        <v>0</v>
      </c>
      <c r="D1163" s="42" t="n">
        <v>16</v>
      </c>
      <c r="E1163" s="56" t="n"/>
      <c r="F1163" s="42" t="n"/>
      <c r="G1163" s="42" t="n">
        <v>7</v>
      </c>
      <c r="H1163" s="42" t="inlineStr">
        <is>
          <t>No Semrush data (n/a)</t>
        </is>
      </c>
    </row>
    <row r="1164" ht="15" customHeight="1" s="37">
      <c r="A1164" s="42" t="inlineStr">
        <is>
          <t>rihanah perfume</t>
        </is>
      </c>
      <c r="B1164" s="42" t="inlineStr">
        <is>
          <t>Informational</t>
        </is>
      </c>
      <c r="C1164" s="55" t="n">
        <v>0</v>
      </c>
      <c r="D1164" s="42" t="n">
        <v>7</v>
      </c>
      <c r="E1164" s="56" t="n">
        <v>0</v>
      </c>
      <c r="F1164" s="42" t="n">
        <v>1</v>
      </c>
      <c r="G1164" s="42" t="n">
        <v>2</v>
      </c>
      <c r="H1164" s="42" t="n"/>
    </row>
    <row r="1165" ht="15" customHeight="1" s="37">
      <c r="A1165" s="42" t="inlineStr">
        <is>
          <t>s.t. dupont perfect tobacco</t>
        </is>
      </c>
      <c r="B1165" s="42" t="inlineStr">
        <is>
          <t>Navigational</t>
        </is>
      </c>
      <c r="C1165" s="55" t="n">
        <v>0</v>
      </c>
      <c r="D1165" s="42" t="n">
        <v>15</v>
      </c>
      <c r="E1165" s="56" t="n">
        <v>0</v>
      </c>
      <c r="F1165" s="42" t="n">
        <v>0.33</v>
      </c>
      <c r="G1165" s="42" t="n">
        <v>7</v>
      </c>
      <c r="H1165" s="42" t="n"/>
    </row>
    <row r="1166" ht="15" customHeight="1" s="37">
      <c r="A1166" s="42" t="inlineStr">
        <is>
          <t>s.t. dupont perfume for women</t>
        </is>
      </c>
      <c r="B1166" s="42" t="inlineStr">
        <is>
          <t>Informational Transactional</t>
        </is>
      </c>
      <c r="C1166" s="55" t="n">
        <v>0</v>
      </c>
      <c r="D1166" s="42" t="n">
        <v>17</v>
      </c>
      <c r="E1166" s="56" t="n"/>
      <c r="F1166" s="42" t="n"/>
      <c r="G1166" s="42" t="n">
        <v>2</v>
      </c>
      <c r="H1166" s="42" t="inlineStr">
        <is>
          <t>No Semrush data (n/a)</t>
        </is>
      </c>
    </row>
    <row r="1167" ht="15" customHeight="1" s="37">
      <c r="A1167" s="42" t="inlineStr">
        <is>
          <t>s.t. dupont pure bloom</t>
        </is>
      </c>
      <c r="B1167" s="42" t="inlineStr">
        <is>
          <t>Informational</t>
        </is>
      </c>
      <c r="C1167" s="55" t="n">
        <v>0</v>
      </c>
      <c r="D1167" s="42" t="n">
        <v>14</v>
      </c>
      <c r="E1167" s="56" t="n"/>
      <c r="F1167" s="42" t="n"/>
      <c r="G1167" s="42" t="n">
        <v>7</v>
      </c>
      <c r="H1167" s="42" t="inlineStr">
        <is>
          <t>No Semrush data (n/a)</t>
        </is>
      </c>
    </row>
    <row r="1168" ht="15" customHeight="1" s="37">
      <c r="A1168" s="42" t="inlineStr">
        <is>
          <t>s.t. dupont royal amber</t>
        </is>
      </c>
      <c r="B1168" s="42" t="inlineStr">
        <is>
          <t>Transactional Navigational</t>
        </is>
      </c>
      <c r="C1168" s="55" t="n">
        <v>0</v>
      </c>
      <c r="D1168" s="42" t="n">
        <v>13</v>
      </c>
      <c r="E1168" s="56" t="n">
        <v>0</v>
      </c>
      <c r="F1168" s="42" t="n">
        <v>1</v>
      </c>
      <c r="G1168" s="42" t="n">
        <v>7</v>
      </c>
      <c r="H1168" s="42" t="n"/>
    </row>
    <row r="1169" ht="15" customHeight="1" s="37">
      <c r="A1169" s="42" t="inlineStr">
        <is>
          <t>sap oud leopard fr</t>
        </is>
      </c>
      <c r="B1169" s="42" t="inlineStr">
        <is>
          <t>Navigational</t>
        </is>
      </c>
      <c r="C1169" s="55" t="n">
        <v>0</v>
      </c>
      <c r="D1169" s="42" t="n">
        <v>21</v>
      </c>
      <c r="E1169" s="56" t="n"/>
      <c r="F1169" s="42" t="n"/>
      <c r="G1169" s="42" t="n">
        <v>7</v>
      </c>
      <c r="H1169" s="42" t="inlineStr">
        <is>
          <t>No Semrush data (n/a)</t>
        </is>
      </c>
    </row>
    <row r="1170" ht="15" customHeight="1" s="37">
      <c r="A1170" s="42" t="inlineStr">
        <is>
          <t>sap perfume</t>
        </is>
      </c>
      <c r="B1170" s="42" t="inlineStr">
        <is>
          <t>Informational</t>
        </is>
      </c>
      <c r="C1170" s="55" t="n">
        <v>0</v>
      </c>
      <c r="D1170" s="42" t="n">
        <v>6</v>
      </c>
      <c r="E1170" s="56" t="n">
        <v>0</v>
      </c>
      <c r="F1170" s="42" t="n">
        <v>1</v>
      </c>
      <c r="G1170" s="42" t="n">
        <v>2</v>
      </c>
      <c r="H1170" s="42" t="n"/>
    </row>
    <row r="1171" ht="15" customHeight="1" s="37">
      <c r="A1171" s="42" t="inlineStr">
        <is>
          <t>serge lutens la fille de berlin eau de parfum</t>
        </is>
      </c>
      <c r="B1171" s="42" t="inlineStr">
        <is>
          <t>Informational</t>
        </is>
      </c>
      <c r="C1171" s="55" t="n">
        <v>0</v>
      </c>
      <c r="D1171" s="42" t="n">
        <v>3</v>
      </c>
      <c r="E1171" s="56" t="n">
        <v>0</v>
      </c>
      <c r="F1171" s="42" t="n">
        <v>0</v>
      </c>
      <c r="G1171" s="42" t="inlineStr">
        <is>
          <t>T2-2</t>
        </is>
      </c>
      <c r="H1171" s="42" t="n"/>
    </row>
    <row r="1172" ht="15" customHeight="1" s="37">
      <c r="A1172" s="42" t="inlineStr">
        <is>
          <t>serge lutens la fille de berlin uk</t>
        </is>
      </c>
      <c r="B1172" s="42" t="inlineStr">
        <is>
          <t>Informational Transactional</t>
        </is>
      </c>
      <c r="C1172" s="55" t="n">
        <v>0</v>
      </c>
      <c r="D1172" s="42" t="n">
        <v>2</v>
      </c>
      <c r="E1172" s="56" t="n">
        <v>0</v>
      </c>
      <c r="F1172" s="42" t="n">
        <v>0</v>
      </c>
      <c r="G1172" s="42" t="inlineStr">
        <is>
          <t>T2-2</t>
        </is>
      </c>
      <c r="H1172" s="42" t="n"/>
    </row>
    <row r="1173" ht="15" customHeight="1" s="37">
      <c r="A1173" s="42" t="inlineStr">
        <is>
          <t>shampoo for hair nourishment</t>
        </is>
      </c>
      <c r="B1173" s="42" t="inlineStr">
        <is>
          <t>Commercial</t>
        </is>
      </c>
      <c r="C1173" s="55" t="n">
        <v>0</v>
      </c>
      <c r="D1173" s="42" t="n">
        <v>26</v>
      </c>
      <c r="E1173" s="56" t="n"/>
      <c r="F1173" s="42" t="n"/>
      <c r="G1173" s="42" t="n">
        <v>3</v>
      </c>
      <c r="H1173" s="42" t="inlineStr">
        <is>
          <t>No Semrush data (n/a)</t>
        </is>
      </c>
    </row>
    <row r="1174" ht="15" customHeight="1" s="37">
      <c r="A1174" s="42" t="inlineStr">
        <is>
          <t>shiseido perfume for women</t>
        </is>
      </c>
      <c r="B1174" s="42" t="inlineStr">
        <is>
          <t>Transactional Navigational</t>
        </is>
      </c>
      <c r="C1174" s="55" t="n">
        <v>0</v>
      </c>
      <c r="D1174" s="42" t="n">
        <v>13</v>
      </c>
      <c r="E1174" s="56" t="n">
        <v>0</v>
      </c>
      <c r="F1174" s="42" t="n">
        <v>1</v>
      </c>
      <c r="G1174" s="42" t="n">
        <v>2</v>
      </c>
      <c r="H1174" s="42" t="n"/>
    </row>
    <row r="1175" ht="15" customHeight="1" s="37">
      <c r="A1175" s="42" t="inlineStr">
        <is>
          <t>signature ambre</t>
        </is>
      </c>
      <c r="B1175" s="42" t="inlineStr">
        <is>
          <t>Informational</t>
        </is>
      </c>
      <c r="C1175" s="55" t="n">
        <v>0</v>
      </c>
      <c r="D1175" s="42" t="n">
        <v>14</v>
      </c>
      <c r="E1175" s="56" t="n">
        <v>0</v>
      </c>
      <c r="F1175" s="42" t="n">
        <v>0</v>
      </c>
      <c r="G1175" s="42" t="n">
        <v>7</v>
      </c>
      <c r="H1175" s="42" t="n"/>
    </row>
    <row r="1176" ht="15" customHeight="1" s="37">
      <c r="A1176" s="42" t="inlineStr">
        <is>
          <t>signature black pour homme</t>
        </is>
      </c>
      <c r="B1176" s="42" t="inlineStr">
        <is>
          <t>Informational</t>
        </is>
      </c>
      <c r="C1176" s="55" t="n">
        <v>0</v>
      </c>
      <c r="D1176" s="42" t="n">
        <v>23</v>
      </c>
      <c r="E1176" s="56" t="n"/>
      <c r="F1176" s="42" t="n"/>
      <c r="G1176" s="42" t="n">
        <v>7</v>
      </c>
      <c r="H1176" s="42" t="inlineStr">
        <is>
          <t>No Semrush data (n/a)</t>
        </is>
      </c>
    </row>
    <row r="1177" ht="15" customHeight="1" s="37">
      <c r="A1177" s="42" t="inlineStr">
        <is>
          <t>signature blue edp</t>
        </is>
      </c>
      <c r="B1177" s="42" t="inlineStr">
        <is>
          <t>Commercial</t>
        </is>
      </c>
      <c r="C1177" s="55" t="n">
        <v>0</v>
      </c>
      <c r="D1177" s="42" t="n">
        <v>19</v>
      </c>
      <c r="E1177" s="56" t="n"/>
      <c r="F1177" s="42" t="n"/>
      <c r="G1177" s="42" t="inlineStr">
        <is>
          <t>T2-2</t>
        </is>
      </c>
      <c r="H1177" s="42" t="inlineStr">
        <is>
          <t>No Semrush data (n/a)</t>
        </is>
      </c>
    </row>
    <row r="1178" ht="15" customHeight="1" s="37">
      <c r="A1178" s="42" t="inlineStr">
        <is>
          <t>signature blue uk</t>
        </is>
      </c>
      <c r="B1178" s="42" t="inlineStr">
        <is>
          <t>Informational Commercial</t>
        </is>
      </c>
      <c r="C1178" s="55" t="n">
        <v>0</v>
      </c>
      <c r="D1178" s="42" t="n">
        <v>10</v>
      </c>
      <c r="E1178" s="56" t="n"/>
      <c r="F1178" s="42" t="n"/>
      <c r="G1178" s="42" t="inlineStr">
        <is>
          <t>T2-2</t>
        </is>
      </c>
      <c r="H1178" s="42" t="inlineStr">
        <is>
          <t>No Semrush data (n/a)</t>
        </is>
      </c>
    </row>
    <row r="1179" ht="15" customHeight="1" s="37">
      <c r="A1179" s="42" t="inlineStr">
        <is>
          <t>signature charm</t>
        </is>
      </c>
      <c r="B1179" s="42" t="inlineStr">
        <is>
          <t>Informational</t>
        </is>
      </c>
      <c r="C1179" s="55" t="n">
        <v>0</v>
      </c>
      <c r="D1179" s="42" t="n">
        <v>3</v>
      </c>
      <c r="E1179" s="56" t="n">
        <v>0</v>
      </c>
      <c r="F1179" s="42" t="n">
        <v>1</v>
      </c>
      <c r="G1179" s="42" t="n">
        <v>7</v>
      </c>
      <c r="H1179" s="42" t="n"/>
    </row>
    <row r="1180" ht="15" customHeight="1" s="37">
      <c r="A1180" s="42" t="inlineStr">
        <is>
          <t>signature d'orient perfume</t>
        </is>
      </c>
      <c r="B1180" s="42" t="inlineStr">
        <is>
          <t>Informational</t>
        </is>
      </c>
      <c r="C1180" s="55" t="n">
        <v>0</v>
      </c>
      <c r="D1180" s="42" t="n">
        <v>13</v>
      </c>
      <c r="E1180" s="56" t="n"/>
      <c r="F1180" s="42" t="n"/>
      <c r="G1180" s="42" t="n">
        <v>2</v>
      </c>
      <c r="H1180" s="42" t="inlineStr">
        <is>
          <t>No Semrush data (n/a)</t>
        </is>
      </c>
    </row>
    <row r="1181" ht="15" customHeight="1" s="37">
      <c r="A1181" s="42" t="inlineStr">
        <is>
          <t>signature d'orient perfume for men</t>
        </is>
      </c>
      <c r="B1181" s="42" t="inlineStr">
        <is>
          <t>Informational</t>
        </is>
      </c>
      <c r="C1181" s="55" t="n">
        <v>0</v>
      </c>
      <c r="D1181" s="42" t="n">
        <v>12</v>
      </c>
      <c r="E1181" s="56" t="n"/>
      <c r="F1181" s="42" t="n"/>
      <c r="G1181" s="42" t="n">
        <v>2</v>
      </c>
      <c r="H1181" s="42" t="inlineStr">
        <is>
          <t>No Semrush data (n/a)</t>
        </is>
      </c>
    </row>
    <row r="1182" ht="15" customHeight="1" s="37">
      <c r="A1182" s="42" t="inlineStr">
        <is>
          <t>signature d'orient perfume for women</t>
        </is>
      </c>
      <c r="B1182" s="42" t="inlineStr">
        <is>
          <t>Informational</t>
        </is>
      </c>
      <c r="C1182" s="55" t="n">
        <v>0</v>
      </c>
      <c r="D1182" s="42" t="n">
        <v>18</v>
      </c>
      <c r="E1182" s="56" t="n"/>
      <c r="F1182" s="42" t="n"/>
      <c r="G1182" s="42" t="n">
        <v>2</v>
      </c>
      <c r="H1182" s="42" t="inlineStr">
        <is>
          <t>No Semrush data (n/a)</t>
        </is>
      </c>
    </row>
    <row r="1183" ht="15" customHeight="1" s="37">
      <c r="A1183" s="42" t="inlineStr">
        <is>
          <t>signature le femme gold</t>
        </is>
      </c>
      <c r="B1183" s="42" t="inlineStr">
        <is>
          <t>Informational</t>
        </is>
      </c>
      <c r="C1183" s="55" t="n">
        <v>0</v>
      </c>
      <c r="D1183" s="42" t="n">
        <v>22</v>
      </c>
      <c r="E1183" s="56" t="n"/>
      <c r="F1183" s="42" t="n"/>
      <c r="G1183" s="42" t="n">
        <v>7</v>
      </c>
      <c r="H1183" s="42" t="inlineStr">
        <is>
          <t>No Semrush data (n/a)</t>
        </is>
      </c>
    </row>
    <row r="1184" ht="15" customHeight="1" s="37">
      <c r="A1184" s="42" t="inlineStr">
        <is>
          <t>signature musk</t>
        </is>
      </c>
      <c r="B1184" s="42" t="inlineStr">
        <is>
          <t>Informational</t>
        </is>
      </c>
      <c r="C1184" s="55" t="n">
        <v>0</v>
      </c>
      <c r="D1184" s="42" t="n">
        <v>15</v>
      </c>
      <c r="E1184" s="56" t="n"/>
      <c r="F1184" s="42" t="n"/>
      <c r="G1184" s="42" t="n">
        <v>7</v>
      </c>
      <c r="H1184" s="42" t="inlineStr">
        <is>
          <t>No Semrush data (n/a)</t>
        </is>
      </c>
    </row>
    <row r="1185" ht="15" customHeight="1" s="37">
      <c r="A1185" s="42" t="inlineStr">
        <is>
          <t>skincare for skin nourishment</t>
        </is>
      </c>
      <c r="B1185" s="42" t="inlineStr">
        <is>
          <t>Informational</t>
        </is>
      </c>
      <c r="C1185" s="55" t="n">
        <v>0</v>
      </c>
      <c r="D1185" s="42" t="n">
        <v>29</v>
      </c>
      <c r="E1185" s="56" t="n"/>
      <c r="F1185" s="42" t="n"/>
      <c r="G1185" s="42" t="n">
        <v>3</v>
      </c>
      <c r="H1185" s="42" t="inlineStr">
        <is>
          <t>No Semrush data (n/a)</t>
        </is>
      </c>
    </row>
    <row r="1186" ht="15" customHeight="1" s="37">
      <c r="A1186" s="42" t="inlineStr">
        <is>
          <t>spicy perfume for men uk</t>
        </is>
      </c>
      <c r="B1186" s="42" t="inlineStr">
        <is>
          <t>Informational</t>
        </is>
      </c>
      <c r="C1186" s="55" t="n">
        <v>0</v>
      </c>
      <c r="D1186" s="42" t="n">
        <v>19</v>
      </c>
      <c r="E1186" s="56" t="n"/>
      <c r="F1186" s="42" t="n"/>
      <c r="G1186" s="42" t="n">
        <v>2</v>
      </c>
      <c r="H1186" s="42" t="inlineStr">
        <is>
          <t>No Semrush data (n/a)</t>
        </is>
      </c>
    </row>
    <row r="1187" ht="15" customHeight="1" s="37">
      <c r="A1187" s="42" t="inlineStr">
        <is>
          <t>spicy perfume uk</t>
        </is>
      </c>
      <c r="B1187" s="42" t="inlineStr">
        <is>
          <t>Informational</t>
        </is>
      </c>
      <c r="C1187" s="55" t="n">
        <v>0</v>
      </c>
      <c r="D1187" s="42" t="n">
        <v>19</v>
      </c>
      <c r="E1187" s="56" t="n"/>
      <c r="F1187" s="42" t="n"/>
      <c r="G1187" s="42" t="n">
        <v>2</v>
      </c>
      <c r="H1187" s="42" t="inlineStr">
        <is>
          <t>No Semrush data (n/a)</t>
        </is>
      </c>
    </row>
    <row r="1188" ht="15" customHeight="1" s="37">
      <c r="A1188" s="42" t="inlineStr">
        <is>
          <t>the woods collection elysian</t>
        </is>
      </c>
      <c r="B1188" s="42" t="inlineStr">
        <is>
          <t>Informational</t>
        </is>
      </c>
      <c r="C1188" s="55" t="n">
        <v>0</v>
      </c>
      <c r="D1188" s="42" t="n">
        <v>14</v>
      </c>
      <c r="E1188" s="56" t="n"/>
      <c r="F1188" s="42" t="n"/>
      <c r="G1188" s="42" t="n">
        <v>7</v>
      </c>
      <c r="H1188" s="42" t="inlineStr">
        <is>
          <t>No Semrush data (n/a)</t>
        </is>
      </c>
    </row>
    <row r="1189" ht="15" customHeight="1" s="37">
      <c r="A1189" s="42" t="inlineStr">
        <is>
          <t>the woods collection mirage</t>
        </is>
      </c>
      <c r="B1189" s="42" t="inlineStr">
        <is>
          <t>Informational</t>
        </is>
      </c>
      <c r="C1189" s="55" t="n">
        <v>0</v>
      </c>
      <c r="D1189" s="42" t="n">
        <v>7</v>
      </c>
      <c r="E1189" s="56" t="n">
        <v>0</v>
      </c>
      <c r="F1189" s="42" t="n">
        <v>0.71</v>
      </c>
      <c r="G1189" s="42" t="n">
        <v>7</v>
      </c>
      <c r="H1189" s="42" t="n"/>
    </row>
    <row r="1190" ht="15" customHeight="1" s="37">
      <c r="A1190" s="42" t="inlineStr">
        <is>
          <t>the woods collection timeless sands</t>
        </is>
      </c>
      <c r="B1190" s="42" t="inlineStr">
        <is>
          <t>Informational</t>
        </is>
      </c>
      <c r="C1190" s="55" t="n">
        <v>0</v>
      </c>
      <c r="D1190" s="42" t="n">
        <v>16</v>
      </c>
      <c r="E1190" s="56" t="n"/>
      <c r="F1190" s="42" t="n"/>
      <c r="G1190" s="42" t="n">
        <v>7</v>
      </c>
      <c r="H1190" s="42" t="inlineStr">
        <is>
          <t>No Semrush data (n/a)</t>
        </is>
      </c>
    </row>
    <row r="1191" ht="15" customHeight="1" s="37">
      <c r="A1191" s="42" t="inlineStr">
        <is>
          <t>tiziana terenzi andromeda uk</t>
        </is>
      </c>
      <c r="B1191" s="42" t="inlineStr">
        <is>
          <t>Commercial</t>
        </is>
      </c>
      <c r="C1191" s="55" t="n">
        <v>0</v>
      </c>
      <c r="D1191" s="42" t="n">
        <v>20</v>
      </c>
      <c r="E1191" s="56" t="n"/>
      <c r="F1191" s="42" t="n"/>
      <c r="G1191" s="42" t="inlineStr">
        <is>
          <t>T2-2</t>
        </is>
      </c>
      <c r="H1191" s="42" t="inlineStr">
        <is>
          <t>No Semrush data (n/a)</t>
        </is>
      </c>
    </row>
    <row r="1192" ht="15" customHeight="1" s="37">
      <c r="A1192" s="42" t="inlineStr">
        <is>
          <t>tiziana terenzi borelli linea tt</t>
        </is>
      </c>
      <c r="B1192" s="42" t="inlineStr">
        <is>
          <t>Informational</t>
        </is>
      </c>
      <c r="C1192" s="55" t="n">
        <v>0</v>
      </c>
      <c r="D1192" s="42" t="n">
        <v>13</v>
      </c>
      <c r="E1192" s="56" t="n"/>
      <c r="F1192" s="42" t="n"/>
      <c r="G1192" s="42" t="n">
        <v>7</v>
      </c>
      <c r="H1192" s="42" t="inlineStr">
        <is>
          <t>No Semrush data (n/a)</t>
        </is>
      </c>
    </row>
    <row r="1193" ht="15" customHeight="1" s="37">
      <c r="A1193" s="42" t="inlineStr">
        <is>
          <t>tiziana terenzi chimaera anniversary</t>
        </is>
      </c>
      <c r="B1193" s="42" t="inlineStr">
        <is>
          <t>Transactional Navigational</t>
        </is>
      </c>
      <c r="C1193" s="55" t="n">
        <v>0</v>
      </c>
      <c r="D1193" s="42" t="n">
        <v>25</v>
      </c>
      <c r="E1193" s="56" t="n"/>
      <c r="F1193" s="42" t="n"/>
      <c r="G1193" s="42" t="n">
        <v>7</v>
      </c>
      <c r="H1193" s="42" t="inlineStr">
        <is>
          <t>No Semrush data (n/a)</t>
        </is>
      </c>
    </row>
    <row r="1194" ht="15" customHeight="1" s="37">
      <c r="A1194" s="42" t="inlineStr">
        <is>
          <t>tiziana terenzi gold rose oudh uk</t>
        </is>
      </c>
      <c r="B1194" s="42" t="inlineStr">
        <is>
          <t>Informational</t>
        </is>
      </c>
      <c r="C1194" s="55" t="n">
        <v>0</v>
      </c>
      <c r="D1194" s="42" t="n">
        <v>16</v>
      </c>
      <c r="E1194" s="56" t="n"/>
      <c r="F1194" s="42" t="n"/>
      <c r="G1194" s="42" t="inlineStr">
        <is>
          <t>T2-2</t>
        </is>
      </c>
      <c r="H1194" s="42" t="inlineStr">
        <is>
          <t>No Semrush data (n/a)</t>
        </is>
      </c>
    </row>
    <row r="1195" ht="15" customHeight="1" s="37">
      <c r="A1195" s="42" t="inlineStr">
        <is>
          <t>tiziana terenzi orza linea tt</t>
        </is>
      </c>
      <c r="B1195" s="42" t="inlineStr">
        <is>
          <t>Commercial</t>
        </is>
      </c>
      <c r="C1195" s="55" t="n">
        <v>0</v>
      </c>
      <c r="D1195" s="42" t="n">
        <v>22</v>
      </c>
      <c r="E1195" s="56" t="n"/>
      <c r="F1195" s="42" t="n"/>
      <c r="G1195" s="42" t="n">
        <v>8</v>
      </c>
      <c r="H1195" s="42" t="inlineStr">
        <is>
          <t>No Semrush data (n/a)</t>
        </is>
      </c>
    </row>
    <row r="1196" ht="15" customHeight="1" s="37">
      <c r="A1196" s="42" t="inlineStr">
        <is>
          <t>tiziana terenzi sea stars collection deriva</t>
        </is>
      </c>
      <c r="B1196" s="42" t="inlineStr">
        <is>
          <t>Informational</t>
        </is>
      </c>
      <c r="C1196" s="55" t="n">
        <v>0</v>
      </c>
      <c r="D1196" s="42" t="n">
        <v>9</v>
      </c>
      <c r="E1196" s="56" t="n"/>
      <c r="F1196" s="42" t="n"/>
      <c r="G1196" s="42" t="n">
        <v>8</v>
      </c>
      <c r="H1196" s="42" t="inlineStr">
        <is>
          <t>No Semrush data (n/a)</t>
        </is>
      </c>
    </row>
    <row r="1197" ht="15" customHeight="1" s="37">
      <c r="A1197" s="42" t="inlineStr">
        <is>
          <t>toner for skin nourishment</t>
        </is>
      </c>
      <c r="B1197" s="42" t="inlineStr">
        <is>
          <t>Commercial</t>
        </is>
      </c>
      <c r="C1197" s="55" t="n">
        <v>0</v>
      </c>
      <c r="D1197" s="42" t="n">
        <v>24</v>
      </c>
      <c r="E1197" s="56" t="n"/>
      <c r="F1197" s="42" t="n"/>
      <c r="G1197" s="42" t="n">
        <v>3</v>
      </c>
      <c r="H1197" s="42" t="inlineStr">
        <is>
          <t>No Semrush data (n/a)</t>
        </is>
      </c>
    </row>
    <row r="1198" ht="15" customHeight="1" s="37">
      <c r="A1198" s="42" t="inlineStr">
        <is>
          <t>trussardi black extreme miniature</t>
        </is>
      </c>
      <c r="B1198" s="42" t="inlineStr">
        <is>
          <t>Informational Transactional</t>
        </is>
      </c>
      <c r="C1198" s="55" t="n">
        <v>0</v>
      </c>
      <c r="D1198" s="42" t="n">
        <v>22</v>
      </c>
      <c r="E1198" s="56" t="n"/>
      <c r="F1198" s="42" t="n"/>
      <c r="G1198" s="42" t="n">
        <v>8</v>
      </c>
      <c r="H1198" s="42" t="inlineStr">
        <is>
          <t>No Semrush data (n/a)</t>
        </is>
      </c>
    </row>
    <row r="1199" ht="15" customHeight="1" s="37">
      <c r="A1199" s="42" t="inlineStr">
        <is>
          <t>trussardi perfume for men</t>
        </is>
      </c>
      <c r="B1199" s="42" t="inlineStr">
        <is>
          <t>Informational</t>
        </is>
      </c>
      <c r="C1199" s="55" t="n">
        <v>0</v>
      </c>
      <c r="D1199" s="42" t="n">
        <v>6</v>
      </c>
      <c r="E1199" s="56" t="n">
        <v>0</v>
      </c>
      <c r="F1199" s="42" t="n">
        <v>0.8</v>
      </c>
      <c r="G1199" s="42" t="n">
        <v>2</v>
      </c>
      <c r="H1199" s="42" t="n"/>
    </row>
    <row r="1200" ht="15" customHeight="1" s="37">
      <c r="A1200" s="42" t="inlineStr">
        <is>
          <t>trussardi perfume for women</t>
        </is>
      </c>
      <c r="B1200" s="42" t="inlineStr">
        <is>
          <t>Informational Transactional</t>
        </is>
      </c>
      <c r="C1200" s="55" t="n">
        <v>0</v>
      </c>
      <c r="D1200" s="42" t="n">
        <v>18</v>
      </c>
      <c r="E1200" s="56" t="n">
        <v>0</v>
      </c>
      <c r="F1200" s="42" t="n">
        <v>0.79</v>
      </c>
      <c r="G1200" s="42" t="n">
        <v>2</v>
      </c>
      <c r="H1200" s="42" t="n"/>
    </row>
    <row r="1201" ht="15" customHeight="1" s="37">
      <c r="A1201" s="42" t="inlineStr">
        <is>
          <t>trussardi pure jasmine lifestyle mini gift set</t>
        </is>
      </c>
      <c r="B1201" s="42" t="inlineStr">
        <is>
          <t>Informational Transactional</t>
        </is>
      </c>
      <c r="C1201" s="55" t="n">
        <v>0</v>
      </c>
      <c r="D1201" s="42" t="n">
        <v>11</v>
      </c>
      <c r="E1201" s="56" t="n"/>
      <c r="F1201" s="42" t="n"/>
      <c r="G1201" s="42" t="n">
        <v>8</v>
      </c>
      <c r="H1201" s="42" t="inlineStr">
        <is>
          <t>No Semrush data (n/a)</t>
        </is>
      </c>
    </row>
    <row r="1202" ht="15" customHeight="1" s="37">
      <c r="A1202" s="42" t="inlineStr">
        <is>
          <t>trussardi pure jasmine miniature</t>
        </is>
      </c>
      <c r="B1202" s="42" t="inlineStr">
        <is>
          <t>Informational Transactional</t>
        </is>
      </c>
      <c r="C1202" s="55" t="n">
        <v>0</v>
      </c>
      <c r="D1202" s="42" t="n">
        <v>14</v>
      </c>
      <c r="E1202" s="56" t="n"/>
      <c r="F1202" s="42" t="n"/>
      <c r="G1202" s="42" t="n">
        <v>8</v>
      </c>
      <c r="H1202" s="42" t="inlineStr">
        <is>
          <t>No Semrush data (n/a)</t>
        </is>
      </c>
    </row>
    <row r="1203" ht="15" customHeight="1" s="37">
      <c r="A1203" s="42" t="inlineStr">
        <is>
          <t>trussardi ruby red gift set</t>
        </is>
      </c>
      <c r="B1203" s="42" t="inlineStr">
        <is>
          <t>Informational Transactional</t>
        </is>
      </c>
      <c r="C1203" s="55" t="n">
        <v>0</v>
      </c>
      <c r="D1203" s="42" t="n">
        <v>11</v>
      </c>
      <c r="E1203" s="56" t="n"/>
      <c r="F1203" s="42" t="n"/>
      <c r="G1203" s="42" t="n">
        <v>8</v>
      </c>
      <c r="H1203" s="42" t="inlineStr">
        <is>
          <t>No Semrush data (n/a)</t>
        </is>
      </c>
    </row>
    <row r="1204" ht="15" customHeight="1" s="37">
      <c r="A1204" s="42" t="inlineStr">
        <is>
          <t>viktor &amp; rolf good fortune miniature</t>
        </is>
      </c>
      <c r="B1204" s="42" t="inlineStr">
        <is>
          <t>Informational Transactional</t>
        </is>
      </c>
      <c r="C1204" s="55" t="n">
        <v>0</v>
      </c>
      <c r="D1204" s="42" t="n">
        <v>16</v>
      </c>
      <c r="E1204" s="56" t="n"/>
      <c r="F1204" s="42" t="n"/>
      <c r="G1204" s="42" t="n">
        <v>8</v>
      </c>
      <c r="H1204" s="42" t="inlineStr">
        <is>
          <t>No Semrush data (n/a)</t>
        </is>
      </c>
    </row>
    <row r="1205" ht="15" customHeight="1" s="37">
      <c r="A1205" s="42" t="inlineStr">
        <is>
          <t>viktor &amp; rolf perfume for women</t>
        </is>
      </c>
      <c r="B1205" s="42" t="inlineStr">
        <is>
          <t>Informational</t>
        </is>
      </c>
      <c r="C1205" s="55" t="n">
        <v>0</v>
      </c>
      <c r="D1205" s="42" t="n">
        <v>28</v>
      </c>
      <c r="E1205" s="56" t="n"/>
      <c r="F1205" s="42" t="n"/>
      <c r="G1205" s="42" t="n">
        <v>2</v>
      </c>
      <c r="H1205" s="42" t="inlineStr">
        <is>
          <t>No Semrush data (n/a)</t>
        </is>
      </c>
    </row>
    <row r="1206" ht="15" customHeight="1" s="37">
      <c r="A1206" s="42" t="inlineStr">
        <is>
          <t>vilvah aloe vera gel review</t>
        </is>
      </c>
      <c r="B1206" s="42" t="inlineStr">
        <is>
          <t>Commercial</t>
        </is>
      </c>
      <c r="C1206" s="55" t="n">
        <v>0</v>
      </c>
      <c r="D1206" s="42" t="n">
        <v>32</v>
      </c>
      <c r="E1206" s="56" t="n"/>
      <c r="F1206" s="42" t="n"/>
      <c r="G1206" s="42" t="inlineStr">
        <is>
          <t>T3-2</t>
        </is>
      </c>
      <c r="H1206" s="42" t="inlineStr">
        <is>
          <t>No Semrush data (n/a)</t>
        </is>
      </c>
    </row>
    <row r="1207" ht="15" customHeight="1" s="37">
      <c r="A1207" s="42" t="inlineStr">
        <is>
          <t>vilvah am brightening kit</t>
        </is>
      </c>
      <c r="B1207" s="42" t="inlineStr">
        <is>
          <t>Informational</t>
        </is>
      </c>
      <c r="C1207" s="55" t="n">
        <v>0</v>
      </c>
      <c r="D1207" s="42" t="n">
        <v>18</v>
      </c>
      <c r="E1207" s="56" t="n"/>
      <c r="F1207" s="42" t="n"/>
      <c r="G1207" s="42" t="n">
        <v>8</v>
      </c>
      <c r="H1207" s="42" t="inlineStr">
        <is>
          <t>No Semrush data (n/a)</t>
        </is>
      </c>
    </row>
    <row r="1208" ht="15" customHeight="1" s="37">
      <c r="A1208" s="42" t="inlineStr">
        <is>
          <t>vilvah am pm serum kit</t>
        </is>
      </c>
      <c r="B1208" s="42" t="inlineStr">
        <is>
          <t>Navigational</t>
        </is>
      </c>
      <c r="C1208" s="55" t="n">
        <v>0</v>
      </c>
      <c r="D1208" s="42" t="n">
        <v>19</v>
      </c>
      <c r="E1208" s="56" t="n"/>
      <c r="F1208" s="42" t="n"/>
      <c r="G1208" s="42" t="n">
        <v>8</v>
      </c>
      <c r="H1208" s="42" t="inlineStr">
        <is>
          <t>No Semrush data (n/a)</t>
        </is>
      </c>
    </row>
    <row r="1209" ht="15" customHeight="1" s="37">
      <c r="A1209" s="42" t="inlineStr">
        <is>
          <t>vilvah anti dandruff hair oil review</t>
        </is>
      </c>
      <c r="B1209" s="42" t="inlineStr">
        <is>
          <t>Navigational Commercial</t>
        </is>
      </c>
      <c r="C1209" s="55" t="n">
        <v>0</v>
      </c>
      <c r="D1209" s="42" t="n">
        <v>21</v>
      </c>
      <c r="E1209" s="56" t="n"/>
      <c r="F1209" s="42" t="n"/>
      <c r="G1209" s="42" t="inlineStr">
        <is>
          <t>T3-2</t>
        </is>
      </c>
      <c r="H1209" s="42" t="inlineStr">
        <is>
          <t>No Semrush data (n/a)</t>
        </is>
      </c>
    </row>
    <row r="1210" ht="15" customHeight="1" s="37">
      <c r="A1210" s="42" t="inlineStr">
        <is>
          <t>vilvah anti frizz hair kit</t>
        </is>
      </c>
      <c r="B1210" s="42" t="inlineStr">
        <is>
          <t>Informational</t>
        </is>
      </c>
      <c r="C1210" s="55" t="n">
        <v>0</v>
      </c>
      <c r="D1210" s="42" t="n">
        <v>16</v>
      </c>
      <c r="E1210" s="56" t="n"/>
      <c r="F1210" s="42" t="n"/>
      <c r="G1210" s="42" t="n">
        <v>8</v>
      </c>
      <c r="H1210" s="42" t="inlineStr">
        <is>
          <t>No Semrush data (n/a)</t>
        </is>
      </c>
    </row>
    <row r="1211" ht="15" customHeight="1" s="37">
      <c r="A1211" s="42" t="inlineStr">
        <is>
          <t>vilvah anti frizz hair serum review</t>
        </is>
      </c>
      <c r="B1211" s="42" t="inlineStr">
        <is>
          <t>Commercial</t>
        </is>
      </c>
      <c r="C1211" s="55" t="n">
        <v>0</v>
      </c>
      <c r="D1211" s="42" t="n">
        <v>16</v>
      </c>
      <c r="E1211" s="56" t="n">
        <v>0</v>
      </c>
      <c r="F1211" s="42" t="n">
        <v>0</v>
      </c>
      <c r="G1211" s="42" t="inlineStr">
        <is>
          <t>T3-2</t>
        </is>
      </c>
      <c r="H1211" s="42" t="n"/>
    </row>
    <row r="1212" ht="15" customHeight="1" s="37">
      <c r="A1212" s="42" t="inlineStr">
        <is>
          <t>vilvah anti-dandruff hair oil</t>
        </is>
      </c>
      <c r="B1212" s="42" t="inlineStr">
        <is>
          <t>Informational Transactional</t>
        </is>
      </c>
      <c r="C1212" s="55" t="n">
        <v>0</v>
      </c>
      <c r="D1212" s="42" t="n">
        <v>24</v>
      </c>
      <c r="E1212" s="56" t="n"/>
      <c r="F1212" s="42" t="n"/>
      <c r="G1212" s="42" t="n">
        <v>8</v>
      </c>
      <c r="H1212" s="42" t="inlineStr">
        <is>
          <t>No Semrush data (n/a)</t>
        </is>
      </c>
    </row>
    <row r="1213" ht="15" customHeight="1" s="37">
      <c r="A1213" s="42" t="inlineStr">
        <is>
          <t>vilvah anti-frizz hair serum</t>
        </is>
      </c>
      <c r="B1213" s="42" t="inlineStr">
        <is>
          <t>Informational Transactional</t>
        </is>
      </c>
      <c r="C1213" s="55" t="n">
        <v>0</v>
      </c>
      <c r="D1213" s="42" t="n">
        <v>11</v>
      </c>
      <c r="E1213" s="56" t="n">
        <v>0</v>
      </c>
      <c r="F1213" s="42" t="n">
        <v>1</v>
      </c>
      <c r="G1213" s="42" t="n">
        <v>8</v>
      </c>
      <c r="H1213" s="42" t="n"/>
    </row>
    <row r="1214" ht="15" customHeight="1" s="37">
      <c r="A1214" s="42" t="inlineStr">
        <is>
          <t>vilvah anti‑acne kit</t>
        </is>
      </c>
      <c r="B1214" s="42" t="inlineStr">
        <is>
          <t>Informational Transactional</t>
        </is>
      </c>
      <c r="C1214" s="55" t="n">
        <v>0</v>
      </c>
      <c r="D1214" s="42" t="n">
        <v>29</v>
      </c>
      <c r="E1214" s="56" t="n"/>
      <c r="F1214" s="42" t="n"/>
      <c r="G1214" s="42" t="n">
        <v>8</v>
      </c>
      <c r="H1214" s="42" t="inlineStr">
        <is>
          <t>No Semrush data (n/a)</t>
        </is>
      </c>
    </row>
    <row r="1215" ht="15" customHeight="1" s="37">
      <c r="A1215" s="42" t="inlineStr">
        <is>
          <t>vilvah anti‑dandruff haircare kit</t>
        </is>
      </c>
      <c r="B1215" s="42" t="inlineStr">
        <is>
          <t>Informational Transactional</t>
        </is>
      </c>
      <c r="C1215" s="55" t="n">
        <v>0</v>
      </c>
      <c r="D1215" s="42" t="n">
        <v>12</v>
      </c>
      <c r="E1215" s="56" t="n"/>
      <c r="F1215" s="42" t="n"/>
      <c r="G1215" s="42" t="n">
        <v>8</v>
      </c>
      <c r="H1215" s="42" t="inlineStr">
        <is>
          <t>No Semrush data (n/a)</t>
        </is>
      </c>
    </row>
    <row r="1216" ht="15" customHeight="1" s="37">
      <c r="A1216" s="42" t="inlineStr">
        <is>
          <t>vilvah bestseller hair kit</t>
        </is>
      </c>
      <c r="B1216" s="42" t="inlineStr">
        <is>
          <t>Informational</t>
        </is>
      </c>
      <c r="C1216" s="55" t="n">
        <v>0</v>
      </c>
      <c r="D1216" s="42" t="n">
        <v>19</v>
      </c>
      <c r="E1216" s="56" t="n"/>
      <c r="F1216" s="42" t="n"/>
      <c r="G1216" s="42" t="n">
        <v>8</v>
      </c>
      <c r="H1216" s="42" t="inlineStr">
        <is>
          <t>No Semrush data (n/a)</t>
        </is>
      </c>
    </row>
    <row r="1217" ht="15" customHeight="1" s="37">
      <c r="A1217" s="42" t="inlineStr">
        <is>
          <t>vilvah better ageing kit</t>
        </is>
      </c>
      <c r="B1217" s="42" t="inlineStr">
        <is>
          <t>Navigational</t>
        </is>
      </c>
      <c r="C1217" s="55" t="n">
        <v>0</v>
      </c>
      <c r="D1217" s="42" t="n">
        <v>15</v>
      </c>
      <c r="E1217" s="56" t="n"/>
      <c r="F1217" s="42" t="n"/>
      <c r="G1217" s="42" t="n">
        <v>8</v>
      </c>
      <c r="H1217" s="42" t="inlineStr">
        <is>
          <t>No Semrush data (n/a)</t>
        </is>
      </c>
    </row>
    <row r="1218" ht="15" customHeight="1" s="37">
      <c r="A1218" s="42" t="inlineStr">
        <is>
          <t>vilvah better ageing serum review</t>
        </is>
      </c>
      <c r="B1218" s="42" t="inlineStr">
        <is>
          <t>Commercial</t>
        </is>
      </c>
      <c r="C1218" s="55" t="n">
        <v>0</v>
      </c>
      <c r="D1218" s="42" t="n">
        <v>28</v>
      </c>
      <c r="E1218" s="56" t="n"/>
      <c r="F1218" s="42" t="n"/>
      <c r="G1218" s="42" t="inlineStr">
        <is>
          <t>T3-2</t>
        </is>
      </c>
      <c r="H1218" s="42" t="inlineStr">
        <is>
          <t>No Semrush data (n/a)</t>
        </is>
      </c>
    </row>
    <row r="1219" ht="15" customHeight="1" s="37">
      <c r="A1219" s="42" t="inlineStr">
        <is>
          <t>vilvah body lotion</t>
        </is>
      </c>
      <c r="B1219" s="42" t="inlineStr">
        <is>
          <t>Transactional</t>
        </is>
      </c>
      <c r="C1219" s="55" t="n">
        <v>0</v>
      </c>
      <c r="D1219" s="42" t="n">
        <v>13</v>
      </c>
      <c r="E1219" s="56" t="n"/>
      <c r="F1219" s="42" t="n"/>
      <c r="G1219" s="42" t="n">
        <v>3</v>
      </c>
      <c r="H1219" s="42" t="inlineStr">
        <is>
          <t>No Semrush data (n/a)</t>
        </is>
      </c>
    </row>
    <row r="1220" ht="15" customHeight="1" s="37">
      <c r="A1220" s="42" t="inlineStr">
        <is>
          <t>vilvah body polishing kit</t>
        </is>
      </c>
      <c r="B1220" s="42" t="inlineStr">
        <is>
          <t>Informational Transactional</t>
        </is>
      </c>
      <c r="C1220" s="55" t="n">
        <v>0</v>
      </c>
      <c r="D1220" s="42" t="n">
        <v>22</v>
      </c>
      <c r="E1220" s="56" t="n"/>
      <c r="F1220" s="42" t="n"/>
      <c r="G1220" s="42" t="n">
        <v>8</v>
      </c>
      <c r="H1220" s="42" t="inlineStr">
        <is>
          <t>No Semrush data (n/a)</t>
        </is>
      </c>
    </row>
    <row r="1221" ht="15" customHeight="1" s="37">
      <c r="A1221" s="42" t="inlineStr">
        <is>
          <t>vilvah body scrub</t>
        </is>
      </c>
      <c r="B1221" s="42" t="inlineStr">
        <is>
          <t>Transactional Navigational</t>
        </is>
      </c>
      <c r="C1221" s="55" t="n">
        <v>0</v>
      </c>
      <c r="D1221" s="42" t="n">
        <v>18</v>
      </c>
      <c r="E1221" s="56" t="n"/>
      <c r="F1221" s="42" t="n"/>
      <c r="G1221" s="42" t="n">
        <v>3</v>
      </c>
      <c r="H1221" s="42" t="inlineStr">
        <is>
          <t>No Semrush data (n/a)</t>
        </is>
      </c>
    </row>
    <row r="1222" ht="15" customHeight="1" s="37">
      <c r="A1222" s="42" t="inlineStr">
        <is>
          <t>vilvah body wash</t>
        </is>
      </c>
      <c r="B1222" s="42" t="inlineStr">
        <is>
          <t>Transactional</t>
        </is>
      </c>
      <c r="C1222" s="55" t="n">
        <v>0</v>
      </c>
      <c r="D1222" s="42" t="n">
        <v>22</v>
      </c>
      <c r="E1222" s="56" t="n"/>
      <c r="F1222" s="42" t="n"/>
      <c r="G1222" s="42" t="n">
        <v>3</v>
      </c>
      <c r="H1222" s="42" t="inlineStr">
        <is>
          <t>No Semrush data (n/a)</t>
        </is>
      </c>
    </row>
    <row r="1223" ht="15" customHeight="1" s="37">
      <c r="A1223" s="42" t="inlineStr">
        <is>
          <t>vilvah budget skincare combo</t>
        </is>
      </c>
      <c r="B1223" s="42" t="inlineStr">
        <is>
          <t>Informational Transactional</t>
        </is>
      </c>
      <c r="C1223" s="55" t="n">
        <v>0</v>
      </c>
      <c r="D1223" s="42" t="n">
        <v>14</v>
      </c>
      <c r="E1223" s="56" t="n"/>
      <c r="F1223" s="42" t="n"/>
      <c r="G1223" s="42" t="n">
        <v>8</v>
      </c>
      <c r="H1223" s="42" t="inlineStr">
        <is>
          <t>No Semrush data (n/a)</t>
        </is>
      </c>
    </row>
    <row r="1224" ht="15" customHeight="1" s="37">
      <c r="A1224" s="42" t="inlineStr">
        <is>
          <t>vilvah charcoal facemask</t>
        </is>
      </c>
      <c r="B1224" s="42" t="inlineStr">
        <is>
          <t>Informational Transactional</t>
        </is>
      </c>
      <c r="C1224" s="55" t="n">
        <v>0</v>
      </c>
      <c r="D1224" s="42" t="n">
        <v>31</v>
      </c>
      <c r="E1224" s="56" t="n"/>
      <c r="F1224" s="42" t="n"/>
      <c r="G1224" s="42" t="n">
        <v>8</v>
      </c>
      <c r="H1224" s="42" t="inlineStr">
        <is>
          <t>No Semrush data (n/a)</t>
        </is>
      </c>
    </row>
    <row r="1225" ht="15" customHeight="1" s="37">
      <c r="A1225" s="42" t="inlineStr">
        <is>
          <t>vilvah charcoal goatmilk soap</t>
        </is>
      </c>
      <c r="B1225" s="42" t="inlineStr">
        <is>
          <t>Informational Transactional</t>
        </is>
      </c>
      <c r="C1225" s="55" t="n">
        <v>0</v>
      </c>
      <c r="D1225" s="42" t="n">
        <v>20</v>
      </c>
      <c r="E1225" s="56" t="n"/>
      <c r="F1225" s="42" t="n"/>
      <c r="G1225" s="42" t="n">
        <v>8</v>
      </c>
      <c r="H1225" s="42" t="inlineStr">
        <is>
          <t>No Semrush data (n/a)</t>
        </is>
      </c>
    </row>
    <row r="1226" ht="15" customHeight="1" s="37">
      <c r="A1226" s="42" t="inlineStr">
        <is>
          <t>vilvah classic goatmilk soap</t>
        </is>
      </c>
      <c r="B1226" s="42" t="inlineStr">
        <is>
          <t>Informational Navigational</t>
        </is>
      </c>
      <c r="C1226" s="55" t="n">
        <v>0</v>
      </c>
      <c r="D1226" s="42" t="n">
        <v>20</v>
      </c>
      <c r="E1226" s="56" t="n"/>
      <c r="F1226" s="42" t="n"/>
      <c r="G1226" s="42" t="n">
        <v>8</v>
      </c>
      <c r="H1226" s="42" t="inlineStr">
        <is>
          <t>No Semrush data (n/a)</t>
        </is>
      </c>
    </row>
    <row r="1227" ht="15" customHeight="1" s="37">
      <c r="A1227" s="42" t="inlineStr">
        <is>
          <t>vilvah classic rose goatmilk soap</t>
        </is>
      </c>
      <c r="B1227" s="42" t="inlineStr">
        <is>
          <t>Informational Transactional</t>
        </is>
      </c>
      <c r="C1227" s="55" t="n">
        <v>0</v>
      </c>
      <c r="D1227" s="42" t="n">
        <v>12</v>
      </c>
      <c r="E1227" s="56" t="n"/>
      <c r="F1227" s="42" t="n"/>
      <c r="G1227" s="42" t="n">
        <v>8</v>
      </c>
      <c r="H1227" s="42" t="inlineStr">
        <is>
          <t>No Semrush data (n/a)</t>
        </is>
      </c>
    </row>
    <row r="1228" ht="15" customHeight="1" s="37">
      <c r="A1228" s="42" t="inlineStr">
        <is>
          <t>vilvah contact</t>
        </is>
      </c>
      <c r="B1228" s="42" t="inlineStr">
        <is>
          <t>Informational Navigational</t>
        </is>
      </c>
      <c r="C1228" s="55" t="n">
        <v>0</v>
      </c>
      <c r="D1228" s="42" t="n">
        <v>16</v>
      </c>
      <c r="E1228" s="56" t="n"/>
      <c r="F1228" s="42" t="n"/>
      <c r="G1228" s="42" t="n">
        <v>3</v>
      </c>
      <c r="H1228" s="42" t="inlineStr">
        <is>
          <t>No Semrush data (n/a)</t>
        </is>
      </c>
    </row>
    <row r="1229" ht="15" customHeight="1" s="37">
      <c r="A1229" s="42" t="inlineStr">
        <is>
          <t>vilvah cookie n cream body mask</t>
        </is>
      </c>
      <c r="B1229" s="42" t="inlineStr">
        <is>
          <t>Informational Transactional</t>
        </is>
      </c>
      <c r="C1229" s="55" t="n">
        <v>0</v>
      </c>
      <c r="D1229" s="42" t="n">
        <v>18</v>
      </c>
      <c r="E1229" s="56" t="n"/>
      <c r="F1229" s="42" t="n"/>
      <c r="G1229" s="42" t="n">
        <v>8</v>
      </c>
      <c r="H1229" s="42" t="inlineStr">
        <is>
          <t>No Semrush data (n/a)</t>
        </is>
      </c>
    </row>
    <row r="1230" ht="15" customHeight="1" s="37">
      <c r="A1230" s="42" t="inlineStr">
        <is>
          <t>vilvah cookie n cream body polish</t>
        </is>
      </c>
      <c r="B1230" s="42" t="inlineStr">
        <is>
          <t>Informational Transactional</t>
        </is>
      </c>
      <c r="C1230" s="55" t="n">
        <v>0</v>
      </c>
      <c r="D1230" s="42" t="n">
        <v>11</v>
      </c>
      <c r="E1230" s="56" t="n"/>
      <c r="F1230" s="42" t="n"/>
      <c r="G1230" s="42" t="n">
        <v>8</v>
      </c>
      <c r="H1230" s="42" t="inlineStr">
        <is>
          <t>No Semrush data (n/a)</t>
        </is>
      </c>
    </row>
    <row r="1231" ht="15" customHeight="1" s="37">
      <c r="A1231" s="42" t="inlineStr">
        <is>
          <t>vilvah cream bun lip balm</t>
        </is>
      </c>
      <c r="B1231" s="42" t="inlineStr">
        <is>
          <t>Informational Transactional</t>
        </is>
      </c>
      <c r="C1231" s="55" t="n">
        <v>0</v>
      </c>
      <c r="D1231" s="42" t="n">
        <v>19</v>
      </c>
      <c r="E1231" s="56" t="n"/>
      <c r="F1231" s="42" t="n"/>
      <c r="G1231" s="42" t="n">
        <v>8</v>
      </c>
      <c r="H1231" s="42" t="inlineStr">
        <is>
          <t>No Semrush data (n/a)</t>
        </is>
      </c>
    </row>
    <row r="1232" ht="15" customHeight="1" s="37">
      <c r="A1232" s="42" t="inlineStr">
        <is>
          <t>vilvah cream bun lip balm review</t>
        </is>
      </c>
      <c r="B1232" s="42" t="inlineStr">
        <is>
          <t>Commercial</t>
        </is>
      </c>
      <c r="C1232" s="55" t="n">
        <v>0</v>
      </c>
      <c r="D1232" s="42" t="n">
        <v>23</v>
      </c>
      <c r="E1232" s="56" t="n"/>
      <c r="F1232" s="42" t="n"/>
      <c r="G1232" s="42" t="inlineStr">
        <is>
          <t>T3-2</t>
        </is>
      </c>
      <c r="H1232" s="42" t="inlineStr">
        <is>
          <t>No Semrush data (n/a)</t>
        </is>
      </c>
    </row>
    <row r="1233" ht="15" customHeight="1" s="37">
      <c r="A1233" s="42" t="inlineStr">
        <is>
          <t>vilvah cream conditioner review</t>
        </is>
      </c>
      <c r="B1233" s="42" t="inlineStr">
        <is>
          <t>Commercial</t>
        </is>
      </c>
      <c r="C1233" s="55" t="n">
        <v>0</v>
      </c>
      <c r="D1233" s="42" t="n">
        <v>32</v>
      </c>
      <c r="E1233" s="56" t="n"/>
      <c r="F1233" s="42" t="n"/>
      <c r="G1233" s="42" t="inlineStr">
        <is>
          <t>T3-2</t>
        </is>
      </c>
      <c r="H1233" s="42" t="inlineStr">
        <is>
          <t>No Semrush data (n/a)</t>
        </is>
      </c>
    </row>
    <row r="1234" ht="15" customHeight="1" s="37">
      <c r="A1234" s="42" t="inlineStr">
        <is>
          <t>vilvah cream face wash (fragrance free)</t>
        </is>
      </c>
      <c r="B1234" s="42" t="inlineStr">
        <is>
          <t>Informational Transactional</t>
        </is>
      </c>
      <c r="C1234" s="55" t="n">
        <v>0</v>
      </c>
      <c r="D1234" s="42" t="n">
        <v>11</v>
      </c>
      <c r="E1234" s="56" t="n"/>
      <c r="F1234" s="42" t="n"/>
      <c r="G1234" s="42" t="n">
        <v>8</v>
      </c>
      <c r="H1234" s="42" t="inlineStr">
        <is>
          <t>No Semrush data (n/a)</t>
        </is>
      </c>
    </row>
    <row r="1235" ht="15" customHeight="1" s="37">
      <c r="A1235" s="42" t="inlineStr">
        <is>
          <t>vilvah cucumber, curd &amp; mint soap</t>
        </is>
      </c>
      <c r="B1235" s="42" t="inlineStr">
        <is>
          <t>Informational Transactional</t>
        </is>
      </c>
      <c r="C1235" s="55" t="n">
        <v>0</v>
      </c>
      <c r="D1235" s="42" t="n">
        <v>21</v>
      </c>
      <c r="E1235" s="56" t="n"/>
      <c r="F1235" s="42" t="n"/>
      <c r="G1235" s="42" t="n">
        <v>8</v>
      </c>
      <c r="H1235" s="42" t="inlineStr">
        <is>
          <t>Semrush ran "vilvah cucumber" (it splits at commas); figures are for that shorter phrase</t>
        </is>
      </c>
    </row>
    <row r="1236" ht="15" customHeight="1" s="37">
      <c r="A1236" s="42" t="inlineStr">
        <is>
          <t>vilvah deo shot - lavender and sage</t>
        </is>
      </c>
      <c r="B1236" s="42" t="inlineStr">
        <is>
          <t>Informational Transactional</t>
        </is>
      </c>
      <c r="C1236" s="55" t="n">
        <v>0</v>
      </c>
      <c r="D1236" s="42" t="n">
        <v>18</v>
      </c>
      <c r="E1236" s="56" t="n"/>
      <c r="F1236" s="42" t="n"/>
      <c r="G1236" s="42" t="n">
        <v>8</v>
      </c>
      <c r="H1236" s="42" t="inlineStr">
        <is>
          <t>No Semrush data (n/a)</t>
        </is>
      </c>
    </row>
    <row r="1237" ht="15" customHeight="1" s="37">
      <c r="A1237" s="42" t="inlineStr">
        <is>
          <t>vilvah deo shot - rose and vanilla</t>
        </is>
      </c>
      <c r="B1237" s="42" t="inlineStr">
        <is>
          <t>Navigational</t>
        </is>
      </c>
      <c r="C1237" s="55" t="n">
        <v>0</v>
      </c>
      <c r="D1237" s="42" t="n">
        <v>18</v>
      </c>
      <c r="E1237" s="56" t="n"/>
      <c r="F1237" s="42" t="n"/>
      <c r="G1237" s="42" t="n">
        <v>8</v>
      </c>
      <c r="H1237" s="42" t="inlineStr">
        <is>
          <t>No Semrush data (n/a)</t>
        </is>
      </c>
    </row>
    <row r="1238" ht="15" customHeight="1" s="37">
      <c r="A1238" s="42" t="inlineStr">
        <is>
          <t>vilvah everyday care milk kit</t>
        </is>
      </c>
      <c r="B1238" s="42" t="inlineStr">
        <is>
          <t>Informational Transactional</t>
        </is>
      </c>
      <c r="C1238" s="55" t="n">
        <v>0</v>
      </c>
      <c r="D1238" s="42" t="n">
        <v>13</v>
      </c>
      <c r="E1238" s="56" t="n"/>
      <c r="F1238" s="42" t="n"/>
      <c r="G1238" s="42" t="n">
        <v>8</v>
      </c>
      <c r="H1238" s="42" t="inlineStr">
        <is>
          <t>No Semrush data (n/a)</t>
        </is>
      </c>
    </row>
    <row r="1239" ht="15" customHeight="1" s="37">
      <c r="A1239" s="42" t="inlineStr">
        <is>
          <t>vilvah face brightening kit</t>
        </is>
      </c>
      <c r="B1239" s="42" t="inlineStr">
        <is>
          <t>Navigational</t>
        </is>
      </c>
      <c r="C1239" s="55" t="n">
        <v>0</v>
      </c>
      <c r="D1239" s="42" t="n">
        <v>20</v>
      </c>
      <c r="E1239" s="56" t="n"/>
      <c r="F1239" s="42" t="n"/>
      <c r="G1239" s="42" t="n">
        <v>8</v>
      </c>
      <c r="H1239" s="42" t="inlineStr">
        <is>
          <t>No Semrush data (n/a)</t>
        </is>
      </c>
    </row>
    <row r="1240" ht="15" customHeight="1" s="37">
      <c r="A1240" s="42" t="inlineStr">
        <is>
          <t>vilvah face brightening kit large</t>
        </is>
      </c>
      <c r="B1240" s="42" t="inlineStr">
        <is>
          <t>Navigational</t>
        </is>
      </c>
      <c r="C1240" s="55" t="n">
        <v>0</v>
      </c>
      <c r="D1240" s="42" t="n">
        <v>12</v>
      </c>
      <c r="E1240" s="56" t="n"/>
      <c r="F1240" s="42" t="n"/>
      <c r="G1240" s="42" t="n">
        <v>8</v>
      </c>
      <c r="H1240" s="42" t="inlineStr">
        <is>
          <t>No Semrush data (n/a)</t>
        </is>
      </c>
    </row>
    <row r="1241" ht="15" customHeight="1" s="37">
      <c r="A1241" s="42" t="inlineStr">
        <is>
          <t>vilvah face lift kit</t>
        </is>
      </c>
      <c r="B1241" s="42" t="inlineStr">
        <is>
          <t>Informational Transactional</t>
        </is>
      </c>
      <c r="C1241" s="55" t="n">
        <v>0</v>
      </c>
      <c r="D1241" s="42" t="n">
        <v>14</v>
      </c>
      <c r="E1241" s="56" t="n"/>
      <c r="F1241" s="42" t="n"/>
      <c r="G1241" s="42" t="n">
        <v>8</v>
      </c>
      <c r="H1241" s="42" t="inlineStr">
        <is>
          <t>No Semrush data (n/a)</t>
        </is>
      </c>
    </row>
    <row r="1242" ht="15" customHeight="1" s="37">
      <c r="A1242" s="42" t="inlineStr">
        <is>
          <t>vilvah face serum</t>
        </is>
      </c>
      <c r="B1242" s="42" t="inlineStr">
        <is>
          <t>Informational Transactional</t>
        </is>
      </c>
      <c r="C1242" s="55" t="n">
        <v>0</v>
      </c>
      <c r="D1242" s="42" t="n">
        <v>22</v>
      </c>
      <c r="E1242" s="56" t="n"/>
      <c r="F1242" s="42" t="n"/>
      <c r="G1242" s="42" t="n">
        <v>3</v>
      </c>
      <c r="H1242" s="42" t="inlineStr">
        <is>
          <t>No Semrush data (n/a)</t>
        </is>
      </c>
    </row>
    <row r="1243" ht="15" customHeight="1" s="37">
      <c r="A1243" s="42" t="inlineStr">
        <is>
          <t>vilvah filter kaapi lip balm</t>
        </is>
      </c>
      <c r="B1243" s="42" t="inlineStr">
        <is>
          <t>Informational Transactional</t>
        </is>
      </c>
      <c r="C1243" s="55" t="n">
        <v>0</v>
      </c>
      <c r="D1243" s="42" t="n">
        <v>23</v>
      </c>
      <c r="E1243" s="56" t="n"/>
      <c r="F1243" s="42" t="n"/>
      <c r="G1243" s="42" t="n">
        <v>8</v>
      </c>
      <c r="H1243" s="42" t="inlineStr">
        <is>
          <t>No Semrush data (n/a)</t>
        </is>
      </c>
    </row>
    <row r="1244" ht="15" customHeight="1" s="37">
      <c r="A1244" s="42" t="inlineStr">
        <is>
          <t>vilvah foot cream</t>
        </is>
      </c>
      <c r="B1244" s="42" t="inlineStr">
        <is>
          <t>Transactional Navigational</t>
        </is>
      </c>
      <c r="C1244" s="55" t="n">
        <v>0</v>
      </c>
      <c r="D1244" s="42" t="n">
        <v>33</v>
      </c>
      <c r="E1244" s="56" t="n"/>
      <c r="F1244" s="42" t="n"/>
      <c r="G1244" s="42" t="n">
        <v>8</v>
      </c>
      <c r="H1244" s="42" t="inlineStr">
        <is>
          <t>No Semrush data (n/a)</t>
        </is>
      </c>
    </row>
    <row r="1245" ht="15" customHeight="1" s="37">
      <c r="A1245" s="42" t="inlineStr">
        <is>
          <t>vilvah foot cream and body lotion kit</t>
        </is>
      </c>
      <c r="B1245" s="42" t="inlineStr">
        <is>
          <t>Informational Transactional</t>
        </is>
      </c>
      <c r="C1245" s="55" t="n">
        <v>0</v>
      </c>
      <c r="D1245" s="42" t="n">
        <v>18</v>
      </c>
      <c r="E1245" s="56" t="n"/>
      <c r="F1245" s="42" t="n"/>
      <c r="G1245" s="42" t="n">
        <v>8</v>
      </c>
      <c r="H1245" s="42" t="inlineStr">
        <is>
          <t>No Semrush data (n/a)</t>
        </is>
      </c>
    </row>
    <row r="1246" ht="15" customHeight="1" s="37">
      <c r="A1246" s="42" t="inlineStr">
        <is>
          <t>vilvah foot cream review</t>
        </is>
      </c>
      <c r="B1246" s="42" t="inlineStr">
        <is>
          <t>Commercial</t>
        </is>
      </c>
      <c r="C1246" s="55" t="n">
        <v>0</v>
      </c>
      <c r="D1246" s="42" t="n">
        <v>35</v>
      </c>
      <c r="E1246" s="56" t="n"/>
      <c r="F1246" s="42" t="n"/>
      <c r="G1246" s="42" t="inlineStr">
        <is>
          <t>T3-2</t>
        </is>
      </c>
      <c r="H1246" s="42" t="inlineStr">
        <is>
          <t>No Semrush data (n/a)</t>
        </is>
      </c>
    </row>
    <row r="1247" ht="15" customHeight="1" s="37">
      <c r="A1247" s="42" t="inlineStr">
        <is>
          <t>vilvah goat milk body wash</t>
        </is>
      </c>
      <c r="B1247" s="42" t="inlineStr">
        <is>
          <t>Informational Transactional</t>
        </is>
      </c>
      <c r="C1247" s="55" t="n">
        <v>0</v>
      </c>
      <c r="D1247" s="42" t="n">
        <v>11</v>
      </c>
      <c r="E1247" s="56" t="n">
        <v>0</v>
      </c>
      <c r="F1247" s="42" t="n">
        <v>0</v>
      </c>
      <c r="G1247" s="42" t="n">
        <v>8</v>
      </c>
      <c r="H1247" s="42" t="n"/>
    </row>
    <row r="1248" ht="15" customHeight="1" s="37">
      <c r="A1248" s="42" t="inlineStr">
        <is>
          <t>vilvah goat milk body wash review</t>
        </is>
      </c>
      <c r="B1248" s="42" t="inlineStr">
        <is>
          <t>Commercial</t>
        </is>
      </c>
      <c r="C1248" s="55" t="n">
        <v>0</v>
      </c>
      <c r="D1248" s="42" t="n">
        <v>13</v>
      </c>
      <c r="E1248" s="56" t="n">
        <v>0</v>
      </c>
      <c r="F1248" s="42" t="n">
        <v>0</v>
      </c>
      <c r="G1248" s="42" t="inlineStr">
        <is>
          <t>T3-2</t>
        </is>
      </c>
      <c r="H1248" s="42" t="n"/>
    </row>
    <row r="1249" ht="15" customHeight="1" s="37">
      <c r="A1249" s="42" t="inlineStr">
        <is>
          <t>vilvah goat milk hair kit</t>
        </is>
      </c>
      <c r="B1249" s="42" t="inlineStr">
        <is>
          <t>Navigational</t>
        </is>
      </c>
      <c r="C1249" s="55" t="n">
        <v>0</v>
      </c>
      <c r="D1249" s="42" t="n">
        <v>19</v>
      </c>
      <c r="E1249" s="56" t="n"/>
      <c r="F1249" s="42" t="n"/>
      <c r="G1249" s="42" t="n">
        <v>8</v>
      </c>
      <c r="H1249" s="42" t="inlineStr">
        <is>
          <t>No Semrush data (n/a)</t>
        </is>
      </c>
    </row>
    <row r="1250" ht="15" customHeight="1" s="37">
      <c r="A1250" s="42" t="inlineStr">
        <is>
          <t>vilvah goat milk hair mask</t>
        </is>
      </c>
      <c r="B1250" s="42" t="inlineStr">
        <is>
          <t>Informational Transactional</t>
        </is>
      </c>
      <c r="C1250" s="55" t="n">
        <v>0</v>
      </c>
      <c r="D1250" s="42" t="n">
        <v>35</v>
      </c>
      <c r="E1250" s="56" t="n"/>
      <c r="F1250" s="42" t="n"/>
      <c r="G1250" s="42" t="n">
        <v>8</v>
      </c>
      <c r="H1250" s="42" t="inlineStr">
        <is>
          <t>No Semrush data (n/a)</t>
        </is>
      </c>
    </row>
    <row r="1251" ht="15" customHeight="1" s="37">
      <c r="A1251" s="42" t="inlineStr">
        <is>
          <t>vilvah goat milk hair mask review</t>
        </is>
      </c>
      <c r="B1251" s="42" t="inlineStr">
        <is>
          <t>Commercial</t>
        </is>
      </c>
      <c r="C1251" s="55" t="n">
        <v>0</v>
      </c>
      <c r="D1251" s="42" t="n">
        <v>23</v>
      </c>
      <c r="E1251" s="56" t="n"/>
      <c r="F1251" s="42" t="n"/>
      <c r="G1251" s="42" t="inlineStr">
        <is>
          <t>T3-2</t>
        </is>
      </c>
      <c r="H1251" s="42" t="inlineStr">
        <is>
          <t>No Semrush data (n/a)</t>
        </is>
      </c>
    </row>
    <row r="1252" ht="15" customHeight="1" s="37">
      <c r="A1252" s="42" t="inlineStr">
        <is>
          <t>vilvah grapefruit lip balm review</t>
        </is>
      </c>
      <c r="B1252" s="42" t="inlineStr">
        <is>
          <t>Commercial</t>
        </is>
      </c>
      <c r="C1252" s="55" t="n">
        <v>0</v>
      </c>
      <c r="D1252" s="42" t="n">
        <v>14</v>
      </c>
      <c r="E1252" s="56" t="n">
        <v>0</v>
      </c>
      <c r="F1252" s="42" t="n">
        <v>0</v>
      </c>
      <c r="G1252" s="42" t="inlineStr">
        <is>
          <t>T3-2</t>
        </is>
      </c>
      <c r="H1252" s="42" t="n"/>
    </row>
    <row r="1253" ht="15" customHeight="1" s="37">
      <c r="A1253" s="42" t="inlineStr">
        <is>
          <t>vilvah hair accessories</t>
        </is>
      </c>
      <c r="B1253" s="42" t="inlineStr">
        <is>
          <t>Informational Transactional</t>
        </is>
      </c>
      <c r="C1253" s="55" t="n">
        <v>0</v>
      </c>
      <c r="D1253" s="42" t="n">
        <v>13</v>
      </c>
      <c r="E1253" s="56" t="n"/>
      <c r="F1253" s="42" t="n"/>
      <c r="G1253" s="42" t="n">
        <v>3</v>
      </c>
      <c r="H1253" s="42" t="inlineStr">
        <is>
          <t>No Semrush data (n/a)</t>
        </is>
      </c>
    </row>
    <row r="1254" ht="15" customHeight="1" s="37">
      <c r="A1254" s="42" t="inlineStr">
        <is>
          <t>vilvah hair strengthening kit</t>
        </is>
      </c>
      <c r="B1254" s="42" t="inlineStr">
        <is>
          <t>Transactional Navigational</t>
        </is>
      </c>
      <c r="C1254" s="55" t="n">
        <v>0</v>
      </c>
      <c r="D1254" s="42" t="n">
        <v>20</v>
      </c>
      <c r="E1254" s="56" t="n"/>
      <c r="F1254" s="42" t="n"/>
      <c r="G1254" s="42" t="n">
        <v>8</v>
      </c>
      <c r="H1254" s="42" t="inlineStr">
        <is>
          <t>No Semrush data (n/a)</t>
        </is>
      </c>
    </row>
    <row r="1255" ht="15" customHeight="1" s="37">
      <c r="A1255" s="42" t="inlineStr">
        <is>
          <t>vilvah hairfall control kit</t>
        </is>
      </c>
      <c r="B1255" s="42" t="inlineStr">
        <is>
          <t>Informational</t>
        </is>
      </c>
      <c r="C1255" s="55" t="n">
        <v>0</v>
      </c>
      <c r="D1255" s="42" t="n">
        <v>14</v>
      </c>
      <c r="E1255" s="56" t="n"/>
      <c r="F1255" s="42" t="n"/>
      <c r="G1255" s="42" t="n">
        <v>8</v>
      </c>
      <c r="H1255" s="42" t="inlineStr">
        <is>
          <t>No Semrush data (n/a)</t>
        </is>
      </c>
    </row>
    <row r="1256" ht="15" customHeight="1" s="37">
      <c r="A1256" s="42" t="inlineStr">
        <is>
          <t>vilvah herbal shampoo (dandruff control)</t>
        </is>
      </c>
      <c r="B1256" s="42" t="inlineStr">
        <is>
          <t>Informational Transactional</t>
        </is>
      </c>
      <c r="C1256" s="55" t="n">
        <v>0</v>
      </c>
      <c r="D1256" s="42" t="n">
        <v>12</v>
      </c>
      <c r="E1256" s="56" t="n"/>
      <c r="F1256" s="42" t="n"/>
      <c r="G1256" s="42" t="n">
        <v>8</v>
      </c>
      <c r="H1256" s="42" t="inlineStr">
        <is>
          <t>No Semrush data (n/a)</t>
        </is>
      </c>
    </row>
    <row r="1257" ht="15" customHeight="1" s="37">
      <c r="A1257" s="42" t="inlineStr">
        <is>
          <t>vilvah herbal shampoo dandruff control</t>
        </is>
      </c>
      <c r="B1257" s="42" t="inlineStr">
        <is>
          <t>Informational Transactional</t>
        </is>
      </c>
      <c r="C1257" s="55" t="n">
        <v>0</v>
      </c>
      <c r="D1257" s="42" t="n">
        <v>16</v>
      </c>
      <c r="E1257" s="56" t="n"/>
      <c r="F1257" s="42" t="n"/>
      <c r="G1257" s="42" t="inlineStr">
        <is>
          <t>T3-2</t>
        </is>
      </c>
      <c r="H1257" s="42" t="inlineStr">
        <is>
          <t>No Semrush data (n/a)</t>
        </is>
      </c>
    </row>
    <row r="1258" ht="15" customHeight="1" s="37">
      <c r="A1258" s="42" t="inlineStr">
        <is>
          <t>vilvah honey fix face wash</t>
        </is>
      </c>
      <c r="B1258" s="42" t="inlineStr">
        <is>
          <t>Informational Transactional</t>
        </is>
      </c>
      <c r="C1258" s="55" t="n">
        <v>0</v>
      </c>
      <c r="D1258" s="42" t="n">
        <v>23</v>
      </c>
      <c r="E1258" s="56" t="n"/>
      <c r="F1258" s="42" t="n"/>
      <c r="G1258" s="42" t="n">
        <v>8</v>
      </c>
      <c r="H1258" s="42" t="inlineStr">
        <is>
          <t>No Semrush data (n/a)</t>
        </is>
      </c>
    </row>
    <row r="1259" ht="15" customHeight="1" s="37">
      <c r="A1259" s="42" t="inlineStr">
        <is>
          <t>vilvah honey fix face wash review</t>
        </is>
      </c>
      <c r="B1259" s="42" t="inlineStr">
        <is>
          <t>Commercial</t>
        </is>
      </c>
      <c r="C1259" s="55" t="n">
        <v>0</v>
      </c>
      <c r="D1259" s="42" t="n">
        <v>19</v>
      </c>
      <c r="E1259" s="56" t="n"/>
      <c r="F1259" s="42" t="n"/>
      <c r="G1259" s="42" t="inlineStr">
        <is>
          <t>T3-2</t>
        </is>
      </c>
      <c r="H1259" s="42" t="inlineStr">
        <is>
          <t>No Semrush data (n/a)</t>
        </is>
      </c>
    </row>
    <row r="1260" ht="15" customHeight="1" s="37">
      <c r="A1260" s="42" t="inlineStr">
        <is>
          <t>vilvah lemon lip balm review</t>
        </is>
      </c>
      <c r="B1260" s="42" t="inlineStr">
        <is>
          <t>Commercial</t>
        </is>
      </c>
      <c r="C1260" s="55" t="n">
        <v>0</v>
      </c>
      <c r="D1260" s="42" t="n">
        <v>28</v>
      </c>
      <c r="E1260" s="56" t="n"/>
      <c r="F1260" s="42" t="n"/>
      <c r="G1260" s="42" t="inlineStr">
        <is>
          <t>T3-2</t>
        </is>
      </c>
      <c r="H1260" s="42" t="inlineStr">
        <is>
          <t>No Semrush data (n/a)</t>
        </is>
      </c>
    </row>
    <row r="1261" ht="15" customHeight="1" s="37">
      <c r="A1261" s="42" t="inlineStr">
        <is>
          <t>vilvah lip balm - grapefruit</t>
        </is>
      </c>
      <c r="B1261" s="42" t="inlineStr">
        <is>
          <t>Informational Transactional</t>
        </is>
      </c>
      <c r="C1261" s="55" t="n">
        <v>0</v>
      </c>
      <c r="D1261" s="42" t="n">
        <v>30</v>
      </c>
      <c r="E1261" s="56" t="n"/>
      <c r="F1261" s="42" t="n"/>
      <c r="G1261" s="42" t="n">
        <v>8</v>
      </c>
      <c r="H1261" s="42" t="inlineStr">
        <is>
          <t>No Semrush data (n/a)</t>
        </is>
      </c>
    </row>
    <row r="1262" ht="15" customHeight="1" s="37">
      <c r="A1262" s="42" t="inlineStr">
        <is>
          <t>vilvah lip balm - lemon</t>
        </is>
      </c>
      <c r="B1262" s="42" t="inlineStr">
        <is>
          <t>Informational Transactional</t>
        </is>
      </c>
      <c r="C1262" s="55" t="n">
        <v>0</v>
      </c>
      <c r="D1262" s="42" t="n">
        <v>28</v>
      </c>
      <c r="E1262" s="56" t="n"/>
      <c r="F1262" s="42" t="n"/>
      <c r="G1262" s="42" t="n">
        <v>8</v>
      </c>
      <c r="H1262" s="42" t="inlineStr">
        <is>
          <t>No Semrush data (n/a)</t>
        </is>
      </c>
    </row>
    <row r="1263" ht="15" customHeight="1" s="37">
      <c r="A1263" s="42" t="inlineStr">
        <is>
          <t>vilvah lip balm review</t>
        </is>
      </c>
      <c r="B1263" s="42" t="inlineStr">
        <is>
          <t>Commercial</t>
        </is>
      </c>
      <c r="C1263" s="55" t="n">
        <v>0</v>
      </c>
      <c r="D1263" s="42" t="n">
        <v>11</v>
      </c>
      <c r="E1263" s="56" t="n">
        <v>0</v>
      </c>
      <c r="F1263" s="42" t="n">
        <v>0</v>
      </c>
      <c r="G1263" s="42" t="inlineStr">
        <is>
          <t>T3-2</t>
        </is>
      </c>
      <c r="H1263" s="42" t="n"/>
    </row>
    <row r="1264" ht="15" customHeight="1" s="37">
      <c r="A1264" s="42" t="inlineStr">
        <is>
          <t>vilvah lip lightening kit</t>
        </is>
      </c>
      <c r="B1264" s="42" t="inlineStr">
        <is>
          <t>Informational Transactional</t>
        </is>
      </c>
      <c r="C1264" s="55" t="n">
        <v>0</v>
      </c>
      <c r="D1264" s="42" t="n">
        <v>14</v>
      </c>
      <c r="E1264" s="56" t="n"/>
      <c r="F1264" s="42" t="n"/>
      <c r="G1264" s="42" t="n">
        <v>8</v>
      </c>
      <c r="H1264" s="42" t="inlineStr">
        <is>
          <t>No Semrush data (n/a)</t>
        </is>
      </c>
    </row>
    <row r="1265" ht="15" customHeight="1" s="37">
      <c r="A1265" s="42" t="inlineStr">
        <is>
          <t>vilvah lip nourishing kit</t>
        </is>
      </c>
      <c r="B1265" s="42" t="inlineStr">
        <is>
          <t>Informational</t>
        </is>
      </c>
      <c r="C1265" s="55" t="n">
        <v>0</v>
      </c>
      <c r="D1265" s="42" t="n">
        <v>12</v>
      </c>
      <c r="E1265" s="56" t="n"/>
      <c r="F1265" s="42" t="n"/>
      <c r="G1265" s="42" t="n">
        <v>8</v>
      </c>
      <c r="H1265" s="42" t="inlineStr">
        <is>
          <t>No Semrush data (n/a)</t>
        </is>
      </c>
    </row>
    <row r="1266" ht="15" customHeight="1" s="37">
      <c r="A1266" s="42" t="inlineStr">
        <is>
          <t>vilvah lip scrub</t>
        </is>
      </c>
      <c r="B1266" s="42" t="inlineStr">
        <is>
          <t>Informational Transactional</t>
        </is>
      </c>
      <c r="C1266" s="55" t="n">
        <v>0</v>
      </c>
      <c r="D1266" s="42" t="n">
        <v>5</v>
      </c>
      <c r="E1266" s="56" t="n">
        <v>0</v>
      </c>
      <c r="F1266" s="42" t="n">
        <v>0</v>
      </c>
      <c r="G1266" s="42" t="n">
        <v>8</v>
      </c>
      <c r="H1266" s="42" t="n"/>
    </row>
    <row r="1267" ht="15" customHeight="1" s="37">
      <c r="A1267" s="42" t="inlineStr">
        <is>
          <t>vilvah lip scrub review</t>
        </is>
      </c>
      <c r="B1267" s="42" t="inlineStr">
        <is>
          <t>Commercial</t>
        </is>
      </c>
      <c r="C1267" s="55" t="n">
        <v>0</v>
      </c>
      <c r="D1267" s="42" t="n">
        <v>15</v>
      </c>
      <c r="E1267" s="56" t="n"/>
      <c r="F1267" s="42" t="n"/>
      <c r="G1267" s="42" t="inlineStr">
        <is>
          <t>T3-2</t>
        </is>
      </c>
      <c r="H1267" s="42" t="inlineStr">
        <is>
          <t>No Semrush data (n/a)</t>
        </is>
      </c>
    </row>
    <row r="1268" ht="15" customHeight="1" s="37">
      <c r="A1268" s="42" t="inlineStr">
        <is>
          <t>vilvah mango shake lip balm</t>
        </is>
      </c>
      <c r="B1268" s="42" t="inlineStr">
        <is>
          <t>Informational Transactional</t>
        </is>
      </c>
      <c r="C1268" s="55" t="n">
        <v>0</v>
      </c>
      <c r="D1268" s="42" t="n">
        <v>17</v>
      </c>
      <c r="E1268" s="56" t="n"/>
      <c r="F1268" s="42" t="n"/>
      <c r="G1268" s="42" t="n">
        <v>8</v>
      </c>
      <c r="H1268" s="42" t="inlineStr">
        <is>
          <t>No Semrush data (n/a)</t>
        </is>
      </c>
    </row>
    <row r="1269" ht="15" customHeight="1" s="37">
      <c r="A1269" s="42" t="inlineStr">
        <is>
          <t>vilvah men's comb / detangling comb</t>
        </is>
      </c>
      <c r="B1269" s="42" t="inlineStr">
        <is>
          <t>Navigational</t>
        </is>
      </c>
      <c r="C1269" s="55" t="n">
        <v>0</v>
      </c>
      <c r="D1269" s="42" t="n">
        <v>20</v>
      </c>
      <c r="E1269" s="56" t="n"/>
      <c r="F1269" s="42" t="n"/>
      <c r="G1269" s="42" t="n">
        <v>8</v>
      </c>
      <c r="H1269" s="42" t="inlineStr">
        <is>
          <t>No Semrush data (n/a)</t>
        </is>
      </c>
    </row>
    <row r="1270" ht="15" customHeight="1" s="37">
      <c r="A1270" s="42" t="inlineStr">
        <is>
          <t>vilvah milk body kit</t>
        </is>
      </c>
      <c r="B1270" s="42" t="inlineStr">
        <is>
          <t>Informational</t>
        </is>
      </c>
      <c r="C1270" s="55" t="n">
        <v>0</v>
      </c>
      <c r="D1270" s="42" t="n">
        <v>30</v>
      </c>
      <c r="E1270" s="56" t="n"/>
      <c r="F1270" s="42" t="n"/>
      <c r="G1270" s="42" t="n">
        <v>8</v>
      </c>
      <c r="H1270" s="42" t="inlineStr">
        <is>
          <t>No Semrush data (n/a)</t>
        </is>
      </c>
    </row>
    <row r="1271" ht="15" customHeight="1" s="37">
      <c r="A1271" s="42" t="inlineStr">
        <is>
          <t>vilvah milk body lotion review</t>
        </is>
      </c>
      <c r="B1271" s="42" t="inlineStr">
        <is>
          <t>Commercial</t>
        </is>
      </c>
      <c r="C1271" s="55" t="n">
        <v>0</v>
      </c>
      <c r="D1271" s="42" t="n">
        <v>32</v>
      </c>
      <c r="E1271" s="56" t="n"/>
      <c r="F1271" s="42" t="n"/>
      <c r="G1271" s="42" t="inlineStr">
        <is>
          <t>T3-2</t>
        </is>
      </c>
      <c r="H1271" s="42" t="inlineStr">
        <is>
          <t>No Semrush data (n/a)</t>
        </is>
      </c>
    </row>
    <row r="1272" ht="15" customHeight="1" s="37">
      <c r="A1272" s="42" t="inlineStr">
        <is>
          <t>vilvah milk drops brightening serum</t>
        </is>
      </c>
      <c r="B1272" s="42" t="inlineStr">
        <is>
          <t>Informational Transactional</t>
        </is>
      </c>
      <c r="C1272" s="55" t="n">
        <v>0</v>
      </c>
      <c r="D1272" s="42" t="n">
        <v>22</v>
      </c>
      <c r="E1272" s="56" t="n"/>
      <c r="F1272" s="42" t="n"/>
      <c r="G1272" s="42" t="n">
        <v>8</v>
      </c>
      <c r="H1272" s="42" t="inlineStr">
        <is>
          <t>No Semrush data (n/a)</t>
        </is>
      </c>
    </row>
    <row r="1273" ht="15" customHeight="1" s="37">
      <c r="A1273" s="42" t="inlineStr">
        <is>
          <t>vilvah milk drops brightening serum review</t>
        </is>
      </c>
      <c r="B1273" s="42" t="inlineStr">
        <is>
          <t>Commercial</t>
        </is>
      </c>
      <c r="C1273" s="55" t="n">
        <v>0</v>
      </c>
      <c r="D1273" s="42" t="n">
        <v>31</v>
      </c>
      <c r="E1273" s="56" t="n"/>
      <c r="F1273" s="42" t="n"/>
      <c r="G1273" s="42" t="inlineStr">
        <is>
          <t>T3-2</t>
        </is>
      </c>
      <c r="H1273" s="42" t="inlineStr">
        <is>
          <t>No Semrush data (n/a)</t>
        </is>
      </c>
    </row>
    <row r="1274" ht="15" customHeight="1" s="37">
      <c r="A1274" s="42" t="inlineStr">
        <is>
          <t>vilvah milk drops uk</t>
        </is>
      </c>
      <c r="B1274" s="42" t="inlineStr">
        <is>
          <t>Informational</t>
        </is>
      </c>
      <c r="C1274" s="55" t="n">
        <v>0</v>
      </c>
      <c r="D1274" s="42" t="n">
        <v>14</v>
      </c>
      <c r="E1274" s="56" t="n"/>
      <c r="F1274" s="42" t="n"/>
      <c r="G1274" s="42" t="n">
        <v>3</v>
      </c>
      <c r="H1274" s="42" t="inlineStr">
        <is>
          <t>No Semrush data (n/a)</t>
        </is>
      </c>
    </row>
    <row r="1275" ht="15" customHeight="1" s="37">
      <c r="A1275" s="42" t="inlineStr">
        <is>
          <t>vilvah milk face kit</t>
        </is>
      </c>
      <c r="B1275" s="42" t="inlineStr">
        <is>
          <t>Informational Transactional</t>
        </is>
      </c>
      <c r="C1275" s="55" t="n">
        <v>0</v>
      </c>
      <c r="D1275" s="42" t="n">
        <v>14</v>
      </c>
      <c r="E1275" s="56" t="n"/>
      <c r="F1275" s="42" t="n"/>
      <c r="G1275" s="42" t="n">
        <v>8</v>
      </c>
      <c r="H1275" s="42" t="inlineStr">
        <is>
          <t>No Semrush data (n/a)</t>
        </is>
      </c>
    </row>
    <row r="1276" ht="15" customHeight="1" s="37">
      <c r="A1276" s="42" t="inlineStr">
        <is>
          <t>vilvah milk face toner</t>
        </is>
      </c>
      <c r="B1276" s="42" t="inlineStr">
        <is>
          <t>Informational</t>
        </is>
      </c>
      <c r="C1276" s="55" t="n">
        <v>0</v>
      </c>
      <c r="D1276" s="42" t="n">
        <v>20</v>
      </c>
      <c r="E1276" s="56" t="n"/>
      <c r="F1276" s="42" t="n"/>
      <c r="G1276" s="42" t="n">
        <v>8</v>
      </c>
      <c r="H1276" s="42" t="inlineStr">
        <is>
          <t>No Semrush data (n/a)</t>
        </is>
      </c>
    </row>
    <row r="1277" ht="15" customHeight="1" s="37">
      <c r="A1277" s="42" t="inlineStr">
        <is>
          <t>vilvah milk face toner review</t>
        </is>
      </c>
      <c r="B1277" s="42" t="inlineStr">
        <is>
          <t>Commercial</t>
        </is>
      </c>
      <c r="C1277" s="55" t="n">
        <v>0</v>
      </c>
      <c r="D1277" s="42" t="n">
        <v>28</v>
      </c>
      <c r="E1277" s="56" t="n"/>
      <c r="F1277" s="42" t="n"/>
      <c r="G1277" s="42" t="inlineStr">
        <is>
          <t>T3-2</t>
        </is>
      </c>
      <c r="H1277" s="42" t="inlineStr">
        <is>
          <t>No Semrush data (n/a)</t>
        </is>
      </c>
    </row>
    <row r="1278" ht="15" customHeight="1" s="37">
      <c r="A1278" s="42" t="inlineStr">
        <is>
          <t>vilvah milk lip balm spf 30 pa+++</t>
        </is>
      </c>
      <c r="B1278" s="42" t="inlineStr">
        <is>
          <t>Informational Transactional</t>
        </is>
      </c>
      <c r="C1278" s="55" t="n">
        <v>0</v>
      </c>
      <c r="D1278" s="42" t="n">
        <v>22</v>
      </c>
      <c r="E1278" s="56" t="n"/>
      <c r="F1278" s="42" t="n"/>
      <c r="G1278" s="42" t="n">
        <v>8</v>
      </c>
      <c r="H1278" s="42" t="inlineStr">
        <is>
          <t>No Semrush data (n/a)</t>
        </is>
      </c>
    </row>
    <row r="1279" ht="15" customHeight="1" s="37">
      <c r="A1279" s="42" t="inlineStr">
        <is>
          <t>vilvah milk mud mask review</t>
        </is>
      </c>
      <c r="B1279" s="42" t="inlineStr">
        <is>
          <t>Commercial</t>
        </is>
      </c>
      <c r="C1279" s="55" t="n">
        <v>0</v>
      </c>
      <c r="D1279" s="42" t="n">
        <v>23</v>
      </c>
      <c r="E1279" s="56" t="n"/>
      <c r="F1279" s="42" t="n"/>
      <c r="G1279" s="42" t="inlineStr">
        <is>
          <t>T3-2</t>
        </is>
      </c>
      <c r="H1279" s="42" t="inlineStr">
        <is>
          <t>No Semrush data (n/a)</t>
        </is>
      </c>
    </row>
    <row r="1280" ht="15" customHeight="1" s="37">
      <c r="A1280" s="42" t="inlineStr">
        <is>
          <t>vilvah milk powder face wash review</t>
        </is>
      </c>
      <c r="B1280" s="42" t="inlineStr">
        <is>
          <t>Commercial</t>
        </is>
      </c>
      <c r="C1280" s="55" t="n">
        <v>0</v>
      </c>
      <c r="D1280" s="42" t="n">
        <v>31</v>
      </c>
      <c r="E1280" s="56" t="n"/>
      <c r="F1280" s="42" t="n"/>
      <c r="G1280" s="42" t="inlineStr">
        <is>
          <t>T3-2</t>
        </is>
      </c>
      <c r="H1280" s="42" t="inlineStr">
        <is>
          <t>No Semrush data (n/a)</t>
        </is>
      </c>
    </row>
    <row r="1281" ht="15" customHeight="1" s="37">
      <c r="A1281" s="42" t="inlineStr">
        <is>
          <t>vilvah milk serum</t>
        </is>
      </c>
      <c r="B1281" s="42" t="inlineStr">
        <is>
          <t>Informational Transactional</t>
        </is>
      </c>
      <c r="C1281" s="55" t="n">
        <v>0</v>
      </c>
      <c r="D1281" s="42" t="n">
        <v>25</v>
      </c>
      <c r="E1281" s="56" t="n"/>
      <c r="F1281" s="42" t="n"/>
      <c r="G1281" s="42" t="n">
        <v>3</v>
      </c>
      <c r="H1281" s="42" t="inlineStr">
        <is>
          <t>No Semrush data (n/a)</t>
        </is>
      </c>
    </row>
    <row r="1282" ht="15" customHeight="1" s="37">
      <c r="A1282" s="42" t="inlineStr">
        <is>
          <t>vilvah moisturiser</t>
        </is>
      </c>
      <c r="B1282" s="42" t="inlineStr">
        <is>
          <t>Informational Transactional</t>
        </is>
      </c>
      <c r="C1282" s="55" t="n">
        <v>0</v>
      </c>
      <c r="D1282" s="42" t="n">
        <v>30</v>
      </c>
      <c r="E1282" s="56" t="n"/>
      <c r="F1282" s="42" t="n"/>
      <c r="G1282" s="42" t="n">
        <v>3</v>
      </c>
      <c r="H1282" s="42" t="inlineStr">
        <is>
          <t>No Semrush data (n/a)</t>
        </is>
      </c>
    </row>
    <row r="1283" ht="15" customHeight="1" s="37">
      <c r="A1283" s="42" t="inlineStr">
        <is>
          <t>vilvah natural deodorant</t>
        </is>
      </c>
      <c r="B1283" s="42" t="inlineStr">
        <is>
          <t>Informational Transactional</t>
        </is>
      </c>
      <c r="C1283" s="55" t="n">
        <v>0</v>
      </c>
      <c r="D1283" s="42" t="n">
        <v>5</v>
      </c>
      <c r="E1283" s="56" t="n">
        <v>0</v>
      </c>
      <c r="F1283" s="42" t="n">
        <v>0</v>
      </c>
      <c r="G1283" s="42" t="n">
        <v>3</v>
      </c>
      <c r="H1283" s="42" t="n"/>
    </row>
    <row r="1284" ht="15" customHeight="1" s="37">
      <c r="A1284" s="42" t="inlineStr">
        <is>
          <t>vilvah near me</t>
        </is>
      </c>
      <c r="B1284" s="42" t="inlineStr">
        <is>
          <t>Transactional</t>
        </is>
      </c>
      <c r="C1284" s="55" t="n">
        <v>0</v>
      </c>
      <c r="D1284" s="42" t="n">
        <v>16</v>
      </c>
      <c r="E1284" s="56" t="n"/>
      <c r="F1284" s="42" t="n"/>
      <c r="G1284" s="42" t="n">
        <v>3</v>
      </c>
      <c r="H1284" s="42" t="inlineStr">
        <is>
          <t>No Semrush data (n/a)</t>
        </is>
      </c>
    </row>
    <row r="1285" ht="15" customHeight="1" s="37">
      <c r="A1285" s="42" t="inlineStr">
        <is>
          <t>vilvah neem wood comb (with handle)</t>
        </is>
      </c>
      <c r="B1285" s="42" t="inlineStr">
        <is>
          <t>Informational</t>
        </is>
      </c>
      <c r="C1285" s="55" t="n">
        <v>0</v>
      </c>
      <c r="D1285" s="42" t="n">
        <v>27</v>
      </c>
      <c r="E1285" s="56" t="n"/>
      <c r="F1285" s="42" t="n"/>
      <c r="G1285" s="42" t="n">
        <v>8</v>
      </c>
      <c r="H1285" s="42" t="inlineStr">
        <is>
          <t>No Semrush data (n/a)</t>
        </is>
      </c>
    </row>
    <row r="1286" ht="15" customHeight="1" s="37">
      <c r="A1286" s="42" t="inlineStr">
        <is>
          <t>vilvah neem wood comb(fine and wide tooth)</t>
        </is>
      </c>
      <c r="B1286" s="42" t="inlineStr">
        <is>
          <t>Informational</t>
        </is>
      </c>
      <c r="C1286" s="55" t="n">
        <v>0</v>
      </c>
      <c r="D1286" s="42" t="n">
        <v>10</v>
      </c>
      <c r="E1286" s="56" t="n"/>
      <c r="F1286" s="42" t="n"/>
      <c r="G1286" s="42" t="n">
        <v>8</v>
      </c>
      <c r="H1286" s="42" t="inlineStr">
        <is>
          <t>No Semrush data (n/a)</t>
        </is>
      </c>
    </row>
    <row r="1287" ht="15" customHeight="1" s="37">
      <c r="A1287" s="42" t="inlineStr">
        <is>
          <t>vilvah night repair kit</t>
        </is>
      </c>
      <c r="B1287" s="42" t="inlineStr">
        <is>
          <t>Informational Transactional</t>
        </is>
      </c>
      <c r="C1287" s="55" t="n">
        <v>0</v>
      </c>
      <c r="D1287" s="42" t="n">
        <v>12</v>
      </c>
      <c r="E1287" s="56" t="n"/>
      <c r="F1287" s="42" t="n"/>
      <c r="G1287" s="42" t="n">
        <v>8</v>
      </c>
      <c r="H1287" s="42" t="inlineStr">
        <is>
          <t>No Semrush data (n/a)</t>
        </is>
      </c>
    </row>
    <row r="1288" ht="15" customHeight="1" s="37">
      <c r="A1288" s="42" t="inlineStr">
        <is>
          <t>vilvah oil control kit</t>
        </is>
      </c>
      <c r="B1288" s="42" t="inlineStr">
        <is>
          <t>Informational</t>
        </is>
      </c>
      <c r="C1288" s="55" t="n">
        <v>0</v>
      </c>
      <c r="D1288" s="42" t="n">
        <v>12</v>
      </c>
      <c r="E1288" s="56" t="n"/>
      <c r="F1288" s="42" t="n"/>
      <c r="G1288" s="42" t="n">
        <v>8</v>
      </c>
      <c r="H1288" s="42" t="inlineStr">
        <is>
          <t>No Semrush data (n/a)</t>
        </is>
      </c>
    </row>
    <row r="1289" ht="15" customHeight="1" s="37">
      <c r="A1289" s="42" t="inlineStr">
        <is>
          <t>vilvah pore minimising kit</t>
        </is>
      </c>
      <c r="B1289" s="42" t="inlineStr">
        <is>
          <t>Informational Transactional</t>
        </is>
      </c>
      <c r="C1289" s="55" t="n">
        <v>0</v>
      </c>
      <c r="D1289" s="42" t="n">
        <v>12</v>
      </c>
      <c r="E1289" s="56" t="n"/>
      <c r="F1289" s="42" t="n"/>
      <c r="G1289" s="42" t="n">
        <v>8</v>
      </c>
      <c r="H1289" s="42" t="inlineStr">
        <is>
          <t>No Semrush data (n/a)</t>
        </is>
      </c>
    </row>
    <row r="1290" ht="15" customHeight="1" s="37">
      <c r="A1290" s="42" t="inlineStr">
        <is>
          <t>vilvah products uk</t>
        </is>
      </c>
      <c r="B1290" s="42" t="inlineStr">
        <is>
          <t>Informational</t>
        </is>
      </c>
      <c r="C1290" s="55" t="n">
        <v>0</v>
      </c>
      <c r="D1290" s="42" t="n">
        <v>21</v>
      </c>
      <c r="E1290" s="56" t="n"/>
      <c r="F1290" s="42" t="n"/>
      <c r="G1290" s="42" t="n">
        <v>1</v>
      </c>
      <c r="H1290" s="42" t="inlineStr">
        <is>
          <t>No Semrush data (n/a)</t>
        </is>
      </c>
    </row>
    <row r="1291" ht="15" customHeight="1" s="37">
      <c r="A1291" s="42" t="inlineStr">
        <is>
          <t>vilvah review</t>
        </is>
      </c>
      <c r="B1291" s="42" t="inlineStr">
        <is>
          <t>Commercial</t>
        </is>
      </c>
      <c r="C1291" s="55" t="n">
        <v>0</v>
      </c>
      <c r="D1291" s="42" t="n">
        <v>18</v>
      </c>
      <c r="E1291" s="56" t="n">
        <v>0</v>
      </c>
      <c r="F1291" s="42" t="n">
        <v>0.6899999999999999</v>
      </c>
      <c r="G1291" s="42" t="n">
        <v>3</v>
      </c>
      <c r="H1291" s="42" t="n"/>
    </row>
    <row r="1292" ht="15" customHeight="1" s="37">
      <c r="A1292" s="42" t="inlineStr">
        <is>
          <t>vilvah rose milk lip balm</t>
        </is>
      </c>
      <c r="B1292" s="42" t="inlineStr">
        <is>
          <t>Informational Transactional</t>
        </is>
      </c>
      <c r="C1292" s="55" t="n">
        <v>0</v>
      </c>
      <c r="D1292" s="42" t="n">
        <v>22</v>
      </c>
      <c r="E1292" s="56" t="n"/>
      <c r="F1292" s="42" t="n"/>
      <c r="G1292" s="42" t="n">
        <v>8</v>
      </c>
      <c r="H1292" s="42" t="inlineStr">
        <is>
          <t>No Semrush data (n/a)</t>
        </is>
      </c>
    </row>
    <row r="1293" ht="15" customHeight="1" s="37">
      <c r="A1293" s="42" t="inlineStr">
        <is>
          <t>vilvah rose milk lip balm review</t>
        </is>
      </c>
      <c r="B1293" s="42" t="inlineStr">
        <is>
          <t>Commercial</t>
        </is>
      </c>
      <c r="C1293" s="55" t="n">
        <v>0</v>
      </c>
      <c r="D1293" s="42" t="n">
        <v>22</v>
      </c>
      <c r="E1293" s="56" t="n"/>
      <c r="F1293" s="42" t="n"/>
      <c r="G1293" s="42" t="inlineStr">
        <is>
          <t>T3-2</t>
        </is>
      </c>
      <c r="H1293" s="42" t="inlineStr">
        <is>
          <t>No Semrush data (n/a)</t>
        </is>
      </c>
    </row>
    <row r="1294" ht="15" customHeight="1" s="37">
      <c r="A1294" s="42" t="inlineStr">
        <is>
          <t>vilvah rosewater facial toner</t>
        </is>
      </c>
      <c r="B1294" s="42" t="inlineStr">
        <is>
          <t>Informational</t>
        </is>
      </c>
      <c r="C1294" s="55" t="n">
        <v>0</v>
      </c>
      <c r="D1294" s="42" t="n">
        <v>16</v>
      </c>
      <c r="E1294" s="56" t="n"/>
      <c r="F1294" s="42" t="n"/>
      <c r="G1294" s="42" t="n">
        <v>8</v>
      </c>
      <c r="H1294" s="42" t="inlineStr">
        <is>
          <t>No Semrush data (n/a)</t>
        </is>
      </c>
    </row>
    <row r="1295" ht="15" customHeight="1" s="37">
      <c r="A1295" s="42" t="inlineStr">
        <is>
          <t>vilvah sensitive skin kit</t>
        </is>
      </c>
      <c r="B1295" s="42" t="inlineStr">
        <is>
          <t>Navigational</t>
        </is>
      </c>
      <c r="C1295" s="55" t="n">
        <v>0</v>
      </c>
      <c r="D1295" s="42" t="n">
        <v>12</v>
      </c>
      <c r="E1295" s="56" t="n"/>
      <c r="F1295" s="42" t="n"/>
      <c r="G1295" s="42" t="n">
        <v>8</v>
      </c>
      <c r="H1295" s="42" t="inlineStr">
        <is>
          <t>No Semrush data (n/a)</t>
        </is>
      </c>
    </row>
    <row r="1296" ht="15" customHeight="1" s="37">
      <c r="A1296" s="42" t="inlineStr">
        <is>
          <t>vilvah shampoo and hair serum kit</t>
        </is>
      </c>
      <c r="B1296" s="42" t="inlineStr">
        <is>
          <t>Informational</t>
        </is>
      </c>
      <c r="C1296" s="55" t="n">
        <v>0</v>
      </c>
      <c r="D1296" s="42" t="n">
        <v>15</v>
      </c>
      <c r="E1296" s="56" t="n"/>
      <c r="F1296" s="42" t="n"/>
      <c r="G1296" s="42" t="n">
        <v>8</v>
      </c>
      <c r="H1296" s="42" t="inlineStr">
        <is>
          <t>No Semrush data (n/a)</t>
        </is>
      </c>
    </row>
    <row r="1297" ht="15" customHeight="1" s="37">
      <c r="A1297" s="42" t="inlineStr">
        <is>
          <t>vilvah skin brightening kit</t>
        </is>
      </c>
      <c r="B1297" s="42" t="inlineStr">
        <is>
          <t>Transactional Navigational</t>
        </is>
      </c>
      <c r="C1297" s="55" t="n">
        <v>0</v>
      </c>
      <c r="D1297" s="42" t="n">
        <v>30</v>
      </c>
      <c r="E1297" s="56" t="n"/>
      <c r="F1297" s="42" t="n"/>
      <c r="G1297" s="42" t="n">
        <v>8</v>
      </c>
      <c r="H1297" s="42" t="inlineStr">
        <is>
          <t>No Semrush data (n/a)</t>
        </is>
      </c>
    </row>
    <row r="1298" ht="15" customHeight="1" s="37">
      <c r="A1298" s="42" t="inlineStr">
        <is>
          <t>vilvah skin finish sunscreen spf 50</t>
        </is>
      </c>
      <c r="B1298" s="42" t="inlineStr">
        <is>
          <t>Informational Transactional</t>
        </is>
      </c>
      <c r="C1298" s="55" t="n">
        <v>0</v>
      </c>
      <c r="D1298" s="42" t="n">
        <v>25</v>
      </c>
      <c r="E1298" s="56" t="n"/>
      <c r="F1298" s="42" t="n"/>
      <c r="G1298" s="42" t="n">
        <v>8</v>
      </c>
      <c r="H1298" s="42" t="inlineStr">
        <is>
          <t>No Semrush data (n/a)</t>
        </is>
      </c>
    </row>
    <row r="1299" ht="15" customHeight="1" s="37">
      <c r="A1299" s="42" t="inlineStr">
        <is>
          <t>vilvah skin hydration kit</t>
        </is>
      </c>
      <c r="B1299" s="42" t="inlineStr">
        <is>
          <t>Informational Transactional</t>
        </is>
      </c>
      <c r="C1299" s="55" t="n">
        <v>0</v>
      </c>
      <c r="D1299" s="42" t="n">
        <v>12</v>
      </c>
      <c r="E1299" s="56" t="n"/>
      <c r="F1299" s="42" t="n"/>
      <c r="G1299" s="42" t="n">
        <v>8</v>
      </c>
      <c r="H1299" s="42" t="inlineStr">
        <is>
          <t>No Semrush data (n/a)</t>
        </is>
      </c>
    </row>
    <row r="1300" ht="15" customHeight="1" s="37">
      <c r="A1300" s="42" t="inlineStr">
        <is>
          <t>vilvah skin radiance kit</t>
        </is>
      </c>
      <c r="B1300" s="42" t="inlineStr">
        <is>
          <t>Informational Transactional</t>
        </is>
      </c>
      <c r="C1300" s="55" t="n">
        <v>0</v>
      </c>
      <c r="D1300" s="42" t="n">
        <v>14</v>
      </c>
      <c r="E1300" s="56" t="n"/>
      <c r="F1300" s="42" t="n"/>
      <c r="G1300" s="42" t="n">
        <v>8</v>
      </c>
      <c r="H1300" s="42" t="inlineStr">
        <is>
          <t>No Semrush data (n/a)</t>
        </is>
      </c>
    </row>
    <row r="1301" ht="15" customHeight="1" s="37">
      <c r="A1301" s="42" t="inlineStr">
        <is>
          <t>vilvah skincare</t>
        </is>
      </c>
      <c r="B1301" s="42" t="inlineStr">
        <is>
          <t>Navigational</t>
        </is>
      </c>
      <c r="C1301" s="55" t="n">
        <v>0</v>
      </c>
      <c r="D1301" s="42" t="n">
        <v>33</v>
      </c>
      <c r="E1301" s="56" t="n"/>
      <c r="F1301" s="42" t="n"/>
      <c r="G1301" s="42" t="n">
        <v>1</v>
      </c>
      <c r="H1301" s="42" t="inlineStr">
        <is>
          <t>No Semrush data (n/a)</t>
        </is>
      </c>
    </row>
    <row r="1302" ht="15" customHeight="1" s="37">
      <c r="A1302" s="42" t="inlineStr">
        <is>
          <t>vilvah skincare gift set</t>
        </is>
      </c>
      <c r="B1302" s="42" t="inlineStr">
        <is>
          <t>Informational Transactional</t>
        </is>
      </c>
      <c r="C1302" s="55" t="n">
        <v>0</v>
      </c>
      <c r="D1302" s="42" t="n">
        <v>22</v>
      </c>
      <c r="E1302" s="56" t="n"/>
      <c r="F1302" s="42" t="n"/>
      <c r="G1302" s="42" t="n">
        <v>3</v>
      </c>
      <c r="H1302" s="42" t="inlineStr">
        <is>
          <t>No Semrush data (n/a)</t>
        </is>
      </c>
    </row>
    <row r="1303" ht="15" customHeight="1" s="37">
      <c r="A1303" s="42" t="inlineStr">
        <is>
          <t>vilvah store frizz free hair combo</t>
        </is>
      </c>
      <c r="B1303" s="42" t="inlineStr">
        <is>
          <t>Transactional Navigational</t>
        </is>
      </c>
      <c r="C1303" s="55" t="n">
        <v>0</v>
      </c>
      <c r="D1303" s="42" t="n">
        <v>11</v>
      </c>
      <c r="E1303" s="56" t="n"/>
      <c r="F1303" s="42" t="n"/>
      <c r="G1303" s="42" t="n">
        <v>8</v>
      </c>
      <c r="H1303" s="42" t="inlineStr">
        <is>
          <t>No Semrush data (n/a)</t>
        </is>
      </c>
    </row>
    <row r="1304" ht="15" customHeight="1" s="37">
      <c r="A1304" s="42" t="inlineStr">
        <is>
          <t>vilvah store uk</t>
        </is>
      </c>
      <c r="B1304" s="42" t="inlineStr">
        <is>
          <t>Informational Transactional</t>
        </is>
      </c>
      <c r="C1304" s="55" t="n">
        <v>0</v>
      </c>
      <c r="D1304" s="42" t="n">
        <v>29</v>
      </c>
      <c r="E1304" s="56" t="n"/>
      <c r="F1304" s="42" t="n"/>
      <c r="G1304" s="42" t="n">
        <v>3</v>
      </c>
      <c r="H1304" s="42" t="inlineStr">
        <is>
          <t>No Semrush data (n/a)</t>
        </is>
      </c>
    </row>
    <row r="1305" ht="15" customHeight="1" s="37">
      <c r="A1305" s="42" t="inlineStr">
        <is>
          <t>vilvah sun protection kit</t>
        </is>
      </c>
      <c r="B1305" s="42" t="inlineStr">
        <is>
          <t>Informational</t>
        </is>
      </c>
      <c r="C1305" s="55" t="n">
        <v>0</v>
      </c>
      <c r="D1305" s="42" t="n">
        <v>12</v>
      </c>
      <c r="E1305" s="56" t="n"/>
      <c r="F1305" s="42" t="n"/>
      <c r="G1305" s="42" t="n">
        <v>8</v>
      </c>
      <c r="H1305" s="42" t="inlineStr">
        <is>
          <t>No Semrush data (n/a)</t>
        </is>
      </c>
    </row>
    <row r="1306" ht="15" customHeight="1" s="37">
      <c r="A1306" s="42" t="inlineStr">
        <is>
          <t>vilvah tan protection kit</t>
        </is>
      </c>
      <c r="B1306" s="42" t="inlineStr">
        <is>
          <t>Informational</t>
        </is>
      </c>
      <c r="C1306" s="55" t="n">
        <v>0</v>
      </c>
      <c r="D1306" s="42" t="n">
        <v>12</v>
      </c>
      <c r="E1306" s="56" t="n"/>
      <c r="F1306" s="42" t="n"/>
      <c r="G1306" s="42" t="n">
        <v>8</v>
      </c>
      <c r="H1306" s="42" t="inlineStr">
        <is>
          <t>No Semrush data (n/a)</t>
        </is>
      </c>
    </row>
    <row r="1307" ht="15" customHeight="1" s="37">
      <c r="A1307" s="42" t="inlineStr">
        <is>
          <t>vilvah tinted lip balm kit</t>
        </is>
      </c>
      <c r="B1307" s="42" t="inlineStr">
        <is>
          <t>Informational</t>
        </is>
      </c>
      <c r="C1307" s="55" t="n">
        <v>0</v>
      </c>
      <c r="D1307" s="42" t="n">
        <v>17</v>
      </c>
      <c r="E1307" s="56" t="n"/>
      <c r="F1307" s="42" t="n"/>
      <c r="G1307" s="42" t="n">
        <v>8</v>
      </c>
      <c r="H1307" s="42" t="inlineStr">
        <is>
          <t>No Semrush data (n/a)</t>
        </is>
      </c>
    </row>
    <row r="1308" ht="15" customHeight="1" s="37">
      <c r="A1308" s="42" t="inlineStr">
        <is>
          <t>vilvah ultra moisturising cream</t>
        </is>
      </c>
      <c r="B1308" s="42" t="inlineStr">
        <is>
          <t>Informational</t>
        </is>
      </c>
      <c r="C1308" s="55" t="n">
        <v>0</v>
      </c>
      <c r="D1308" s="42" t="n">
        <v>20</v>
      </c>
      <c r="E1308" s="56" t="n"/>
      <c r="F1308" s="42" t="n"/>
      <c r="G1308" s="42" t="n">
        <v>8</v>
      </c>
      <c r="H1308" s="42" t="inlineStr">
        <is>
          <t>No Semrush data (n/a)</t>
        </is>
      </c>
    </row>
    <row r="1309" ht="15" customHeight="1" s="37">
      <c r="A1309" s="42" t="inlineStr">
        <is>
          <t>vilvah under eye cream (dark circles control)</t>
        </is>
      </c>
      <c r="B1309" s="42" t="inlineStr">
        <is>
          <t>Transactional</t>
        </is>
      </c>
      <c r="C1309" s="55" t="n">
        <v>0</v>
      </c>
      <c r="D1309" s="42" t="n">
        <v>32</v>
      </c>
      <c r="E1309" s="56" t="n"/>
      <c r="F1309" s="42" t="n"/>
      <c r="G1309" s="42" t="n">
        <v>8</v>
      </c>
      <c r="H1309" s="42" t="inlineStr">
        <is>
          <t>No Semrush data (n/a)</t>
        </is>
      </c>
    </row>
    <row r="1310" ht="15" customHeight="1" s="37">
      <c r="A1310" s="42" t="inlineStr">
        <is>
          <t>vilvah wild rose facemask</t>
        </is>
      </c>
      <c r="B1310" s="42" t="inlineStr">
        <is>
          <t>Navigational</t>
        </is>
      </c>
      <c r="C1310" s="55" t="n">
        <v>0</v>
      </c>
      <c r="D1310" s="42" t="n">
        <v>20</v>
      </c>
      <c r="E1310" s="56" t="n"/>
      <c r="F1310" s="42" t="n"/>
      <c r="G1310" s="42" t="n">
        <v>9</v>
      </c>
      <c r="H1310" s="42" t="inlineStr">
        <is>
          <t>No Semrush data (n/a)</t>
        </is>
      </c>
    </row>
    <row r="1311" ht="15" customHeight="1" s="37">
      <c r="A1311" s="42" t="inlineStr">
        <is>
          <t>vilvah x annapoorna gift box</t>
        </is>
      </c>
      <c r="B1311" s="42" t="inlineStr">
        <is>
          <t>Navigational</t>
        </is>
      </c>
      <c r="C1311" s="55" t="n">
        <v>0</v>
      </c>
      <c r="D1311" s="42" t="n">
        <v>12</v>
      </c>
      <c r="E1311" s="56" t="n"/>
      <c r="F1311" s="42" t="n"/>
      <c r="G1311" s="42" t="n">
        <v>9</v>
      </c>
      <c r="H1311" s="42" t="inlineStr">
        <is>
          <t>No Semrush data (n/a)</t>
        </is>
      </c>
    </row>
    <row r="1312" ht="15" customHeight="1" s="37">
      <c r="A1312" s="42" t="inlineStr">
        <is>
          <t>woody perfume for men uk</t>
        </is>
      </c>
      <c r="B1312" s="42" t="inlineStr">
        <is>
          <t>Informational</t>
        </is>
      </c>
      <c r="C1312" s="55" t="n">
        <v>0</v>
      </c>
      <c r="D1312" s="42" t="n">
        <v>14</v>
      </c>
      <c r="E1312" s="56" t="n"/>
      <c r="F1312" s="42" t="n"/>
      <c r="G1312" s="42" t="n">
        <v>2</v>
      </c>
      <c r="H1312" s="42" t="inlineStr">
        <is>
          <t>No Semrush data (n/a)</t>
        </is>
      </c>
    </row>
    <row r="1313" ht="15" customHeight="1" s="37">
      <c r="A1313" s="42" t="inlineStr">
        <is>
          <t>woody perfume for women uk</t>
        </is>
      </c>
      <c r="B1313" s="42" t="inlineStr">
        <is>
          <t>Informational</t>
        </is>
      </c>
      <c r="C1313" s="55" t="n">
        <v>0</v>
      </c>
      <c r="D1313" s="42" t="n">
        <v>21</v>
      </c>
      <c r="E1313" s="56" t="n"/>
      <c r="F1313" s="42" t="n"/>
      <c r="G1313" s="42" t="n">
        <v>2</v>
      </c>
      <c r="H1313" s="42" t="inlineStr">
        <is>
          <t>No Semrush data (n/a)</t>
        </is>
      </c>
    </row>
    <row r="1314" ht="15" customHeight="1" s="37">
      <c r="A1314" s="42" t="inlineStr">
        <is>
          <t>woody perfume uk</t>
        </is>
      </c>
      <c r="B1314" s="42" t="inlineStr">
        <is>
          <t>Informational</t>
        </is>
      </c>
      <c r="C1314" s="55" t="n">
        <v>0</v>
      </c>
      <c r="D1314" s="42" t="n">
        <v>17</v>
      </c>
      <c r="E1314" s="56" t="n"/>
      <c r="F1314" s="42" t="n"/>
      <c r="G1314" s="42" t="n">
        <v>2</v>
      </c>
      <c r="H1314" s="42" t="inlineStr">
        <is>
          <t>No Semrush data (n/a)</t>
        </is>
      </c>
    </row>
    <row r="1315" ht="15" customHeight="1" s="37">
      <c r="A1315" s="42" t="inlineStr">
        <is>
          <t>ysl yves saint laurent yvresse w</t>
        </is>
      </c>
      <c r="B1315" s="42" t="inlineStr">
        <is>
          <t>Informational</t>
        </is>
      </c>
      <c r="C1315" s="55" t="n">
        <v>0</v>
      </c>
      <c r="D1315" s="42" t="n">
        <v>24</v>
      </c>
      <c r="E1315" s="56" t="n"/>
      <c r="F1315" s="42" t="n"/>
      <c r="G1315" s="42" t="n">
        <v>9</v>
      </c>
      <c r="H1315" s="42" t="inlineStr">
        <is>
          <t>No Semrush data (n/a)</t>
        </is>
      </c>
    </row>
  </sheetData>
  <autoFilter ref="A1:H13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372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36" min="1" max="1"/>
    <col width="60" customWidth="1" style="36" min="2" max="2"/>
    <col width="12" customWidth="1" style="36" min="3" max="3"/>
  </cols>
  <sheetData>
    <row r="1" ht="31.5" customHeight="1" s="37">
      <c r="A1" s="43" t="inlineStr">
        <is>
          <t>Seed query (google.co.uk)</t>
        </is>
      </c>
      <c r="B1" s="43" t="inlineStr">
        <is>
          <t>Suggestion</t>
        </is>
      </c>
      <c r="C1" s="43" t="inlineStr">
        <is>
          <t>Used in keyword list</t>
        </is>
      </c>
    </row>
    <row r="2" ht="15" customHeight="1" s="37">
      <c r="A2" s="42" t="inlineStr">
        <is>
          <t>abercrombie &amp; fitch first instinct together</t>
        </is>
      </c>
      <c r="B2" s="42" t="inlineStr">
        <is>
          <t>abercrombie &amp; fitch first instinct together</t>
        </is>
      </c>
      <c r="C2" s="42" t="inlineStr">
        <is>
          <t>Yes</t>
        </is>
      </c>
    </row>
    <row r="3" ht="15" customHeight="1" s="37">
      <c r="A3" s="42" t="inlineStr">
        <is>
          <t>abercrombie &amp; fitch first instinct together</t>
        </is>
      </c>
      <c r="B3" s="42" t="inlineStr">
        <is>
          <t>abercrombie &amp; fitch first instinct together her eau de parfum 100ml</t>
        </is>
      </c>
      <c r="C3" s="42" t="n"/>
    </row>
    <row r="4" ht="15" customHeight="1" s="37">
      <c r="A4" s="42" t="inlineStr">
        <is>
          <t>abercrombie &amp; fitch first instinct together</t>
        </is>
      </c>
      <c r="B4" s="42" t="inlineStr">
        <is>
          <t>abercrombie &amp; fitch first instinct together for him</t>
        </is>
      </c>
      <c r="C4" s="42" t="n"/>
    </row>
    <row r="5" ht="15" customHeight="1" s="37">
      <c r="A5" s="42" t="inlineStr">
        <is>
          <t>abercrombie &amp; fitch first instinct together</t>
        </is>
      </c>
      <c r="B5" s="42" t="inlineStr">
        <is>
          <t>abercrombie &amp; fitch first instinct together for her</t>
        </is>
      </c>
      <c r="C5" s="42" t="n"/>
    </row>
    <row r="6" ht="15" customHeight="1" s="37">
      <c r="A6" s="42" t="inlineStr">
        <is>
          <t>abercrombie &amp; fitch first instinct together</t>
        </is>
      </c>
      <c r="B6" s="42" t="inlineStr">
        <is>
          <t>abercrombie &amp; fitch first instinct together men</t>
        </is>
      </c>
      <c r="C6" s="42" t="inlineStr">
        <is>
          <t>Yes</t>
        </is>
      </c>
    </row>
    <row r="7" ht="15" customHeight="1" s="37">
      <c r="A7" s="42" t="inlineStr">
        <is>
          <t>abercrombie &amp; fitch first instinct together</t>
        </is>
      </c>
      <c r="B7" s="42" t="inlineStr">
        <is>
          <t>abercrombie &amp; fitch first instinct together fragrantica</t>
        </is>
      </c>
      <c r="C7" s="42" t="n"/>
    </row>
    <row r="8" ht="15" customHeight="1" s="37">
      <c r="A8" s="42" t="inlineStr">
        <is>
          <t>abercrombie &amp; fitch first instinct together</t>
        </is>
      </c>
      <c r="B8" s="42" t="inlineStr">
        <is>
          <t>abercrombie &amp; fitch first instinct together man</t>
        </is>
      </c>
      <c r="C8" s="42" t="n"/>
    </row>
    <row r="9" ht="15" customHeight="1" s="37">
      <c r="A9" s="42" t="inlineStr">
        <is>
          <t>abercrombie &amp; fitch first instinct together</t>
        </is>
      </c>
      <c r="B9" s="42" t="inlineStr">
        <is>
          <t>abercrombie &amp; fitch first instinct together women</t>
        </is>
      </c>
      <c r="C9" s="42" t="inlineStr">
        <is>
          <t>Yes</t>
        </is>
      </c>
    </row>
    <row r="10" ht="15" customHeight="1" s="37">
      <c r="A10" s="42" t="inlineStr">
        <is>
          <t>abercrombie &amp; fitch first instinct together</t>
        </is>
      </c>
      <c r="B10" s="42" t="inlineStr">
        <is>
          <t>abercrombie &amp; fitch first instinct together eau de toilette</t>
        </is>
      </c>
      <c r="C10" s="42" t="n"/>
    </row>
    <row r="11" ht="15" customHeight="1" s="37">
      <c r="A11" s="42" t="inlineStr">
        <is>
          <t>abercrombie &amp; fitch first instinct together</t>
        </is>
      </c>
      <c r="B11" s="42" t="inlineStr">
        <is>
          <t>abercrombie &amp; fitch first instinct together her eau de parfum</t>
        </is>
      </c>
      <c r="C11" s="42" t="n"/>
    </row>
    <row r="12" ht="15" customHeight="1" s="37">
      <c r="A12" s="42" t="inlineStr">
        <is>
          <t>abercrombie &amp; fitch naturally fierce</t>
        </is>
      </c>
      <c r="B12" s="42" t="inlineStr">
        <is>
          <t>abercrombie &amp; fitch naturally fierce</t>
        </is>
      </c>
      <c r="C12" s="42" t="inlineStr">
        <is>
          <t>Yes</t>
        </is>
      </c>
    </row>
    <row r="13" ht="15" customHeight="1" s="37">
      <c r="A13" s="42" t="inlineStr">
        <is>
          <t>abercrombie &amp; fitch naturally fierce</t>
        </is>
      </c>
      <c r="B13" s="42" t="inlineStr">
        <is>
          <t>abercrombie &amp; fitch naturally fierce eau de parfum</t>
        </is>
      </c>
      <c r="C13" s="42" t="inlineStr">
        <is>
          <t>Yes</t>
        </is>
      </c>
    </row>
    <row r="14" ht="15" customHeight="1" s="37">
      <c r="A14" s="42" t="inlineStr">
        <is>
          <t>abercrombie &amp; fitch naturally fierce</t>
        </is>
      </c>
      <c r="B14" s="42" t="inlineStr">
        <is>
          <t>abercrombie &amp; fitch naturally fierce edp 100ml</t>
        </is>
      </c>
      <c r="C14" s="42" t="inlineStr">
        <is>
          <t>Yes</t>
        </is>
      </c>
    </row>
    <row r="15" ht="15" customHeight="1" s="37">
      <c r="A15" s="42" t="inlineStr">
        <is>
          <t>abercrombie &amp; fitch naturally fierce</t>
        </is>
      </c>
      <c r="B15" s="42" t="inlineStr">
        <is>
          <t>abercrombie &amp; fitch naturally fierce edp</t>
        </is>
      </c>
      <c r="C15" s="42" t="inlineStr">
        <is>
          <t>Yes</t>
        </is>
      </c>
    </row>
    <row r="16" ht="15" customHeight="1" s="37">
      <c r="A16" s="42" t="inlineStr">
        <is>
          <t>abercrombie &amp; fitch naturally fierce</t>
        </is>
      </c>
      <c r="B16" s="42" t="inlineStr">
        <is>
          <t>abercrombie &amp; fitch naturally fierce eau de parfum 100ml</t>
        </is>
      </c>
      <c r="C16" s="42" t="inlineStr">
        <is>
          <t>Yes</t>
        </is>
      </c>
    </row>
    <row r="17" ht="15" customHeight="1" s="37">
      <c r="A17" s="42" t="inlineStr">
        <is>
          <t>abercrombie &amp; fitch naturally fierce</t>
        </is>
      </c>
      <c r="B17" s="42" t="inlineStr">
        <is>
          <t>abercrombie &amp; fitch naturally fierce woman</t>
        </is>
      </c>
      <c r="C17" s="42" t="n"/>
    </row>
    <row r="18" ht="15" customHeight="1" s="37">
      <c r="A18" s="42" t="inlineStr">
        <is>
          <t>abercrombie &amp; fitch naturally fierce</t>
        </is>
      </c>
      <c r="B18" s="42" t="inlineStr">
        <is>
          <t>abercrombie &amp; fitch naturally fierce edp 50ml</t>
        </is>
      </c>
      <c r="C18" s="42" t="inlineStr">
        <is>
          <t>Yes</t>
        </is>
      </c>
    </row>
    <row r="19" ht="15" customHeight="1" s="37">
      <c r="A19" s="42" t="inlineStr">
        <is>
          <t>abercrombie &amp; fitch naturally fierce</t>
        </is>
      </c>
      <c r="B19" s="42" t="inlineStr">
        <is>
          <t>abercrombie &amp; fitch naturally fierce eau de parfum 30ml</t>
        </is>
      </c>
      <c r="C19" s="42" t="inlineStr">
        <is>
          <t>Yes</t>
        </is>
      </c>
    </row>
    <row r="20" ht="15" customHeight="1" s="37">
      <c r="A20" s="42" t="inlineStr">
        <is>
          <t>abercrombie &amp; fitch naturally fierce</t>
        </is>
      </c>
      <c r="B20" s="42" t="inlineStr">
        <is>
          <t>abercrombie &amp; fitch naturally fierce perfume</t>
        </is>
      </c>
      <c r="C20" s="42" t="n"/>
    </row>
    <row r="21" ht="15" customHeight="1" s="37">
      <c r="A21" s="42" t="inlineStr">
        <is>
          <t>abercrombie &amp; fitch naturally fierce</t>
        </is>
      </c>
      <c r="B21" s="42" t="inlineStr">
        <is>
          <t>abercrombie &amp; fitch naturally fierce edp 30ml</t>
        </is>
      </c>
      <c r="C21" s="42" t="n"/>
    </row>
    <row r="22" ht="15" customHeight="1" s="37">
      <c r="A22" s="42" t="inlineStr">
        <is>
          <t>abercrombie &amp; fitch perfume</t>
        </is>
      </c>
      <c r="B22" s="42" t="inlineStr">
        <is>
          <t>abercrombie &amp; fitch perfume</t>
        </is>
      </c>
      <c r="C22" s="42" t="inlineStr">
        <is>
          <t>Yes</t>
        </is>
      </c>
    </row>
    <row r="23" ht="15" customHeight="1" s="37">
      <c r="A23" s="42" t="inlineStr">
        <is>
          <t>abercrombie &amp; fitch perfume</t>
        </is>
      </c>
      <c r="B23" s="42" t="inlineStr">
        <is>
          <t>abercrombie &amp; fitch perfume men</t>
        </is>
      </c>
      <c r="C23" s="42" t="n"/>
    </row>
    <row r="24" ht="15" customHeight="1" s="37">
      <c r="A24" s="42" t="inlineStr">
        <is>
          <t>abercrombie &amp; fitch perfume</t>
        </is>
      </c>
      <c r="B24" s="42" t="inlineStr">
        <is>
          <t>abercrombie &amp; fitch perfume women</t>
        </is>
      </c>
      <c r="C24" s="42" t="n"/>
    </row>
    <row r="25" ht="15" customHeight="1" s="37">
      <c r="A25" s="42" t="inlineStr">
        <is>
          <t>abercrombie &amp; fitch perfume</t>
        </is>
      </c>
      <c r="B25" s="42" t="inlineStr">
        <is>
          <t>abercrombie &amp; fitch perfume authentic</t>
        </is>
      </c>
      <c r="C25" s="42" t="n"/>
    </row>
    <row r="26" ht="15" customHeight="1" s="37">
      <c r="A26" s="42" t="inlineStr">
        <is>
          <t>abercrombie &amp; fitch perfume</t>
        </is>
      </c>
      <c r="B26" s="42" t="inlineStr">
        <is>
          <t>abercrombie &amp; fitch perfume fierce</t>
        </is>
      </c>
      <c r="C26" s="42" t="n"/>
    </row>
    <row r="27" ht="15" customHeight="1" s="37">
      <c r="A27" s="42" t="inlineStr">
        <is>
          <t>abercrombie &amp; fitch perfume</t>
        </is>
      </c>
      <c r="B27" s="42" t="inlineStr">
        <is>
          <t>abercrombie &amp; fitch perfume first instinct</t>
        </is>
      </c>
      <c r="C27" s="42" t="n"/>
    </row>
    <row r="28" ht="15" customHeight="1" s="37">
      <c r="A28" s="42" t="inlineStr">
        <is>
          <t>abercrombie &amp; fitch perfume</t>
        </is>
      </c>
      <c r="B28" s="42" t="inlineStr">
        <is>
          <t>abercrombie &amp; fitch perfume price</t>
        </is>
      </c>
      <c r="C28" s="42" t="n"/>
    </row>
    <row r="29" ht="15" customHeight="1" s="37">
      <c r="A29" s="42" t="inlineStr">
        <is>
          <t>abercrombie &amp; fitch perfume</t>
        </is>
      </c>
      <c r="B29" s="42" t="inlineStr">
        <is>
          <t>abercrombie &amp; fitch perfume away</t>
        </is>
      </c>
      <c r="C29" s="42" t="n"/>
    </row>
    <row r="30" ht="15" customHeight="1" s="37">
      <c r="A30" s="42" t="inlineStr">
        <is>
          <t>abercrombie &amp; fitch perfume</t>
        </is>
      </c>
      <c r="B30" s="42" t="inlineStr">
        <is>
          <t>abercrombie &amp; fitch perfume authentic self</t>
        </is>
      </c>
      <c r="C30" s="42" t="n"/>
    </row>
    <row r="31" ht="15" customHeight="1" s="37">
      <c r="A31" s="42" t="inlineStr">
        <is>
          <t>abercrombie &amp; fitch perfume</t>
        </is>
      </c>
      <c r="B31" s="42" t="inlineStr">
        <is>
          <t>abercrombie &amp; fitch perfume away weekend</t>
        </is>
      </c>
      <c r="C31" s="42" t="n"/>
    </row>
    <row r="32" ht="15" customHeight="1" s="37">
      <c r="A32" s="42" t="inlineStr">
        <is>
          <t>acqua di parma blu mediterraneo discovery set</t>
        </is>
      </c>
      <c r="B32" s="42" t="inlineStr">
        <is>
          <t>acqua di parma blu mediterraneo discovery set</t>
        </is>
      </c>
      <c r="C32" s="42" t="inlineStr">
        <is>
          <t>Yes</t>
        </is>
      </c>
    </row>
    <row r="33" ht="15" customHeight="1" s="37">
      <c r="A33" s="42" t="inlineStr">
        <is>
          <t>acqua di parma blu mediterraneo discovery set</t>
        </is>
      </c>
      <c r="B33" s="42" t="inlineStr">
        <is>
          <t>acqua di parma blu mediterraneo discovery collection</t>
        </is>
      </c>
      <c r="C33" s="42" t="n"/>
    </row>
    <row r="34" ht="15" customHeight="1" s="37">
      <c r="A34" s="42" t="inlineStr">
        <is>
          <t>acqua di parma blu mediterraneo discovery set</t>
        </is>
      </c>
      <c r="B34" s="42" t="inlineStr">
        <is>
          <t>acqua di parma blu mediterraneo price</t>
        </is>
      </c>
      <c r="C34" s="42" t="inlineStr">
        <is>
          <t>Yes</t>
        </is>
      </c>
    </row>
    <row r="35" ht="15" customHeight="1" s="37">
      <c r="A35" s="42" t="inlineStr">
        <is>
          <t>acqua di parma blu mediterraneo discovery set</t>
        </is>
      </c>
      <c r="B35" s="42" t="inlineStr">
        <is>
          <t>acqua di parma blu mediterraneo review</t>
        </is>
      </c>
      <c r="C35" s="42" t="inlineStr">
        <is>
          <t>Yes</t>
        </is>
      </c>
    </row>
    <row r="36" ht="15" customHeight="1" s="37">
      <c r="A36" s="42" t="inlineStr">
        <is>
          <t>acqua di parma blu mediterraneo discovery set</t>
        </is>
      </c>
      <c r="B36" s="42" t="inlineStr">
        <is>
          <t>is acqua di parma worth it</t>
        </is>
      </c>
      <c r="C36" s="42" t="n"/>
    </row>
    <row r="37" ht="15" customHeight="1" s="37">
      <c r="A37" s="42" t="inlineStr">
        <is>
          <t>acqua di parma blu mediterraneo discovery set</t>
        </is>
      </c>
      <c r="B37" s="42" t="inlineStr">
        <is>
          <t>what is the most popular acqua di parma</t>
        </is>
      </c>
      <c r="C37" s="42" t="n"/>
    </row>
    <row r="38" ht="15" customHeight="1" s="37">
      <c r="A38" s="42" t="inlineStr">
        <is>
          <t>acqua di parma colonia essenza deodorant stick</t>
        </is>
      </c>
      <c r="B38" s="42" t="inlineStr">
        <is>
          <t>acqua di parma colonia essenza deodorant stick</t>
        </is>
      </c>
      <c r="C38" s="42" t="inlineStr">
        <is>
          <t>Yes</t>
        </is>
      </c>
    </row>
    <row r="39" ht="15" customHeight="1" s="37">
      <c r="A39" s="42" t="inlineStr">
        <is>
          <t>acqua di parma colonia essenza deodorant stick</t>
        </is>
      </c>
      <c r="B39" s="42" t="inlineStr">
        <is>
          <t>acqua di parma colonia essenza deodorant stick 75ml</t>
        </is>
      </c>
      <c r="C39" s="42" t="inlineStr">
        <is>
          <t>Yes</t>
        </is>
      </c>
    </row>
    <row r="40" ht="15" customHeight="1" s="37">
      <c r="A40" s="42" t="inlineStr">
        <is>
          <t>acqua di parma colonia essenza deodorant stick</t>
        </is>
      </c>
      <c r="B40" s="42" t="inlineStr">
        <is>
          <t>acqua di parma colonia essenza deodorant stick review</t>
        </is>
      </c>
      <c r="C40" s="42" t="inlineStr">
        <is>
          <t>Yes</t>
        </is>
      </c>
    </row>
    <row r="41" ht="15" customHeight="1" s="37">
      <c r="A41" s="42" t="inlineStr">
        <is>
          <t>acqua di parma colonia essenza deodorant stick</t>
        </is>
      </c>
      <c r="B41" s="42" t="inlineStr">
        <is>
          <t>acqua di parma colonia essenza deodorant stick 75 gr</t>
        </is>
      </c>
      <c r="C41" s="42" t="n"/>
    </row>
    <row r="42" ht="15" customHeight="1" s="37">
      <c r="A42" s="42" t="inlineStr">
        <is>
          <t>acqua di parma colonia essenza deodorant stick</t>
        </is>
      </c>
      <c r="B42" s="42" t="inlineStr">
        <is>
          <t>acqua di parma colonia essenza deodorant spray 150ml</t>
        </is>
      </c>
      <c r="C42" s="42" t="n"/>
    </row>
    <row r="43" ht="15" customHeight="1" s="37">
      <c r="A43" s="42" t="inlineStr">
        <is>
          <t>acqua di parma colonia essenza deodorant stick</t>
        </is>
      </c>
      <c r="B43" s="42" t="inlineStr">
        <is>
          <t>acqua di parma colonia essenza deodorant spray</t>
        </is>
      </c>
      <c r="C43" s="42" t="n"/>
    </row>
    <row r="44" ht="15" customHeight="1" s="37">
      <c r="A44" s="42" t="inlineStr">
        <is>
          <t>acqua di parma colonia essenza deodorant stick</t>
        </is>
      </c>
      <c r="B44" s="42" t="inlineStr">
        <is>
          <t>acqua di parma colonia essenza deodorant natural spray 5.0 ounce</t>
        </is>
      </c>
      <c r="C44" s="42" t="n"/>
    </row>
    <row r="45" ht="15" customHeight="1" s="37">
      <c r="A45" s="42" t="inlineStr">
        <is>
          <t>acqua di parma colonia essenza deodorant stick</t>
        </is>
      </c>
      <c r="B45" s="42" t="inlineStr">
        <is>
          <t>acqua di parma colonia essenza deo spray</t>
        </is>
      </c>
      <c r="C45" s="42" t="n"/>
    </row>
    <row r="46" ht="15" customHeight="1" s="37">
      <c r="A46" s="42" t="inlineStr">
        <is>
          <t>acqua di parma colonia essenza deodorant stick</t>
        </is>
      </c>
      <c r="B46" s="42" t="inlineStr">
        <is>
          <t>acqua di parma colonia essenza eau de cologne review</t>
        </is>
      </c>
      <c r="C46" s="42" t="n"/>
    </row>
    <row r="47" ht="15" customHeight="1" s="37">
      <c r="A47" s="42" t="inlineStr">
        <is>
          <t>acqua di parma colonia essenza deodorant stick</t>
        </is>
      </c>
      <c r="B47" s="42" t="inlineStr">
        <is>
          <t>acqua di parma colonia essenza review</t>
        </is>
      </c>
      <c r="C47" s="42" t="inlineStr">
        <is>
          <t>Yes</t>
        </is>
      </c>
    </row>
    <row r="48" ht="15" customHeight="1" s="37">
      <c r="A48" s="42" t="inlineStr">
        <is>
          <t>acqua di parma colonia pura</t>
        </is>
      </c>
      <c r="B48" s="42" t="inlineStr">
        <is>
          <t>acqua di parma colonia pura</t>
        </is>
      </c>
      <c r="C48" s="42" t="inlineStr">
        <is>
          <t>Yes</t>
        </is>
      </c>
    </row>
    <row r="49" ht="15" customHeight="1" s="37">
      <c r="A49" s="42" t="inlineStr">
        <is>
          <t>acqua di parma colonia pura</t>
        </is>
      </c>
      <c r="B49" s="42" t="inlineStr">
        <is>
          <t>acqua di parma colonia pura eau de cologne</t>
        </is>
      </c>
      <c r="C49" s="42" t="inlineStr">
        <is>
          <t>Yes</t>
        </is>
      </c>
    </row>
    <row r="50" ht="15" customHeight="1" s="37">
      <c r="A50" s="42" t="inlineStr">
        <is>
          <t>acqua di parma colonia pura</t>
        </is>
      </c>
      <c r="B50" s="42" t="inlineStr">
        <is>
          <t>acqua di parma colonia pura review</t>
        </is>
      </c>
      <c r="C50" s="42" t="inlineStr">
        <is>
          <t>Yes</t>
        </is>
      </c>
    </row>
    <row r="51" ht="15" customHeight="1" s="37">
      <c r="A51" s="42" t="inlineStr">
        <is>
          <t>acqua di parma colonia pura</t>
        </is>
      </c>
      <c r="B51" s="42" t="inlineStr">
        <is>
          <t>acqua di parma colonia pura 100ml</t>
        </is>
      </c>
      <c r="C51" s="42" t="inlineStr">
        <is>
          <t>Yes</t>
        </is>
      </c>
    </row>
    <row r="52" ht="15" customHeight="1" s="37">
      <c r="A52" s="42" t="inlineStr">
        <is>
          <t>acqua di parma colonia pura</t>
        </is>
      </c>
      <c r="B52" s="42" t="inlineStr">
        <is>
          <t>acqua di parma colonia pura 50ml</t>
        </is>
      </c>
      <c r="C52" s="42" t="inlineStr">
        <is>
          <t>Yes</t>
        </is>
      </c>
    </row>
    <row r="53" ht="15" customHeight="1" s="37">
      <c r="A53" s="42" t="inlineStr">
        <is>
          <t>acqua di parma colonia pura</t>
        </is>
      </c>
      <c r="B53" s="42" t="inlineStr">
        <is>
          <t>acqua di parma colonia pura edc 100 ml</t>
        </is>
      </c>
      <c r="C53" s="42" t="n"/>
    </row>
    <row r="54" ht="15" customHeight="1" s="37">
      <c r="A54" s="42" t="inlineStr">
        <is>
          <t>acqua di parma colonia pura</t>
        </is>
      </c>
      <c r="B54" s="42" t="inlineStr">
        <is>
          <t>acqua di parma colonia pura notes</t>
        </is>
      </c>
      <c r="C54" s="42" t="inlineStr">
        <is>
          <t>Yes</t>
        </is>
      </c>
    </row>
    <row r="55" ht="15" customHeight="1" s="37">
      <c r="A55" s="42" t="inlineStr">
        <is>
          <t>acqua di parma colonia pura</t>
        </is>
      </c>
      <c r="B55" s="42" t="inlineStr">
        <is>
          <t>acqua di parma colonia pura edc</t>
        </is>
      </c>
      <c r="C55" s="42" t="n"/>
    </row>
    <row r="56" ht="15" customHeight="1" s="37">
      <c r="A56" s="42" t="inlineStr">
        <is>
          <t>acqua di parma colonia pura</t>
        </is>
      </c>
      <c r="B56" s="42" t="inlineStr">
        <is>
          <t>acqua di parma colonia pura eau de cologne 100ml</t>
        </is>
      </c>
      <c r="C56" s="42" t="n"/>
    </row>
    <row r="57" ht="15" customHeight="1" s="37">
      <c r="A57" s="42" t="inlineStr">
        <is>
          <t>acqua di parma colonia pura</t>
        </is>
      </c>
      <c r="B57" s="42" t="inlineStr">
        <is>
          <t>acqua di parma colonia pura vs colonia</t>
        </is>
      </c>
      <c r="C57" s="42" t="n"/>
    </row>
    <row r="58" ht="15" customHeight="1" s="37">
      <c r="A58" s="42" t="inlineStr">
        <is>
          <t>acqua di parma holiday discovery set</t>
        </is>
      </c>
      <c r="B58" s="42" t="inlineStr">
        <is>
          <t>acqua di parma holiday discovery set</t>
        </is>
      </c>
      <c r="C58" s="42" t="inlineStr">
        <is>
          <t>Yes</t>
        </is>
      </c>
    </row>
    <row r="59" ht="15" customHeight="1" s="37">
      <c r="A59" s="42" t="inlineStr">
        <is>
          <t>acqua di parma holiday discovery set</t>
        </is>
      </c>
      <c r="B59" s="42" t="inlineStr">
        <is>
          <t>acqua di parma discount code</t>
        </is>
      </c>
      <c r="C59" s="42" t="n"/>
    </row>
    <row r="60" ht="15" customHeight="1" s="37">
      <c r="A60" s="42" t="inlineStr">
        <is>
          <t>acqua di parma holiday discovery set</t>
        </is>
      </c>
      <c r="B60" s="42" t="inlineStr">
        <is>
          <t>what is the original acqua di parma</t>
        </is>
      </c>
      <c r="C60" s="42" t="n"/>
    </row>
    <row r="61" ht="15" customHeight="1" s="37">
      <c r="A61" s="42" t="inlineStr">
        <is>
          <t>acqua di parma holiday discovery set</t>
        </is>
      </c>
      <c r="B61" s="42" t="inlineStr">
        <is>
          <t>how long does acqua di parma last</t>
        </is>
      </c>
      <c r="C61" s="42" t="n"/>
    </row>
    <row r="62" ht="15" customHeight="1" s="37">
      <c r="A62" s="42" t="inlineStr">
        <is>
          <t>acqua di parma holiday discovery set</t>
        </is>
      </c>
      <c r="B62" s="42" t="inlineStr">
        <is>
          <t>what is the most popular acqua di parma</t>
        </is>
      </c>
      <c r="C62" s="42" t="n"/>
    </row>
    <row r="63" ht="15" customHeight="1" s="37">
      <c r="A63" s="42" t="inlineStr">
        <is>
          <t>acqua di parma oud &amp; spice</t>
        </is>
      </c>
      <c r="B63" s="42" t="inlineStr">
        <is>
          <t>acqua di parma oud &amp; spice</t>
        </is>
      </c>
      <c r="C63" s="42" t="inlineStr">
        <is>
          <t>Yes</t>
        </is>
      </c>
    </row>
    <row r="64" ht="15" customHeight="1" s="37">
      <c r="A64" s="42" t="inlineStr">
        <is>
          <t>acqua di parma oud &amp; spice</t>
        </is>
      </c>
      <c r="B64" s="42" t="inlineStr">
        <is>
          <t>acqua di parma oud &amp; spice eau de parfum</t>
        </is>
      </c>
      <c r="C64" s="42" t="inlineStr">
        <is>
          <t>Yes</t>
        </is>
      </c>
    </row>
    <row r="65" ht="15" customHeight="1" s="37">
      <c r="A65" s="42" t="inlineStr">
        <is>
          <t>acqua di parma oud &amp; spice</t>
        </is>
      </c>
      <c r="B65" s="42" t="inlineStr">
        <is>
          <t>acqua di parma oud &amp; spice review</t>
        </is>
      </c>
      <c r="C65" s="42" t="inlineStr">
        <is>
          <t>Yes</t>
        </is>
      </c>
    </row>
    <row r="66" ht="15" customHeight="1" s="37">
      <c r="A66" s="42" t="inlineStr">
        <is>
          <t>acqua di parma oud &amp; spice</t>
        </is>
      </c>
      <c r="B66" s="42" t="inlineStr">
        <is>
          <t>acqua di parma oud &amp; spice 100ml</t>
        </is>
      </c>
      <c r="C66" s="42" t="inlineStr">
        <is>
          <t>Yes</t>
        </is>
      </c>
    </row>
    <row r="67" ht="15" customHeight="1" s="37">
      <c r="A67" s="42" t="inlineStr">
        <is>
          <t>acqua di parma oud &amp; spice</t>
        </is>
      </c>
      <c r="B67" s="42" t="inlineStr">
        <is>
          <t>acqua di parma oud &amp; spice edp</t>
        </is>
      </c>
      <c r="C67" s="42" t="inlineStr">
        <is>
          <t>Yes</t>
        </is>
      </c>
    </row>
    <row r="68" ht="15" customHeight="1" s="37">
      <c r="A68" s="42" t="inlineStr">
        <is>
          <t>acqua di parma oud &amp; spice</t>
        </is>
      </c>
      <c r="B68" s="42" t="inlineStr">
        <is>
          <t>acqua di parma oud spice 180ml</t>
        </is>
      </c>
      <c r="C68" s="42" t="inlineStr">
        <is>
          <t>Yes</t>
        </is>
      </c>
    </row>
    <row r="69" ht="15" customHeight="1" s="37">
      <c r="A69" s="42" t="inlineStr">
        <is>
          <t>acqua di parma oud &amp; spice</t>
        </is>
      </c>
      <c r="B69" s="42" t="inlineStr">
        <is>
          <t>acqua di parma oud spice fragrantica</t>
        </is>
      </c>
      <c r="C69" s="42" t="n"/>
    </row>
    <row r="70" ht="15" customHeight="1" s="37">
      <c r="A70" s="42" t="inlineStr">
        <is>
          <t>acqua di parma oud &amp; spice</t>
        </is>
      </c>
      <c r="B70" s="42" t="inlineStr">
        <is>
          <t>acqua di parma oud spice 50ml</t>
        </is>
      </c>
      <c r="C70" s="42" t="inlineStr">
        <is>
          <t>Yes</t>
        </is>
      </c>
    </row>
    <row r="71" ht="15" customHeight="1" s="37">
      <c r="A71" s="42" t="inlineStr">
        <is>
          <t>acqua di parma oud &amp; spice</t>
        </is>
      </c>
      <c r="B71" s="42" t="inlineStr">
        <is>
          <t>acqua di parma oud spice 20ml</t>
        </is>
      </c>
      <c r="C71" s="42" t="n"/>
    </row>
    <row r="72" ht="15" customHeight="1" s="37">
      <c r="A72" s="42" t="inlineStr">
        <is>
          <t>acqua di parma oud &amp; spice</t>
        </is>
      </c>
      <c r="B72" s="42" t="inlineStr">
        <is>
          <t>acqua di parma oud &amp; spice dupe</t>
        </is>
      </c>
      <c r="C72" s="42" t="n"/>
    </row>
    <row r="73" ht="15" customHeight="1" s="37">
      <c r="A73" s="42" t="inlineStr">
        <is>
          <t>acqua di parma perfume</t>
        </is>
      </c>
      <c r="B73" s="42" t="inlineStr">
        <is>
          <t>acqua di parma perfume</t>
        </is>
      </c>
      <c r="C73" s="42" t="inlineStr">
        <is>
          <t>Yes</t>
        </is>
      </c>
    </row>
    <row r="74" ht="15" customHeight="1" s="37">
      <c r="A74" s="42" t="inlineStr">
        <is>
          <t>acqua di parma perfume</t>
        </is>
      </c>
      <c r="B74" s="42" t="inlineStr">
        <is>
          <t>acqua di parma perfume price</t>
        </is>
      </c>
      <c r="C74" s="42" t="n"/>
    </row>
    <row r="75" ht="15" customHeight="1" s="37">
      <c r="A75" s="42" t="inlineStr">
        <is>
          <t>acqua di parma perfume</t>
        </is>
      </c>
      <c r="B75" s="42" t="inlineStr">
        <is>
          <t>acqua di parma perfume for him</t>
        </is>
      </c>
      <c r="C75" s="42" t="n"/>
    </row>
    <row r="76" ht="15" customHeight="1" s="37">
      <c r="A76" s="42" t="inlineStr">
        <is>
          <t>acqua di parma perfume</t>
        </is>
      </c>
      <c r="B76" s="42" t="inlineStr">
        <is>
          <t>acqua di parma perfume price in pakistan</t>
        </is>
      </c>
      <c r="C76" s="42" t="n"/>
    </row>
    <row r="77" ht="15" customHeight="1" s="37">
      <c r="A77" s="42" t="inlineStr">
        <is>
          <t>acqua di parma perfume</t>
        </is>
      </c>
      <c r="B77" s="42" t="inlineStr">
        <is>
          <t>acqua di parma perfume for women</t>
        </is>
      </c>
      <c r="C77" s="42" t="inlineStr">
        <is>
          <t>Yes</t>
        </is>
      </c>
    </row>
    <row r="78" ht="15" customHeight="1" s="37">
      <c r="A78" s="42" t="inlineStr">
        <is>
          <t>acqua di parma perfume</t>
        </is>
      </c>
      <c r="B78" s="42" t="inlineStr">
        <is>
          <t>acqua di parma perfume for her</t>
        </is>
      </c>
      <c r="C78" s="42" t="n"/>
    </row>
    <row r="79" ht="15" customHeight="1" s="37">
      <c r="A79" s="42" t="inlineStr">
        <is>
          <t>acqua di parma perfume</t>
        </is>
      </c>
      <c r="B79" s="42" t="inlineStr">
        <is>
          <t>acqua di parma perfume colonia</t>
        </is>
      </c>
      <c r="C79" s="42" t="n"/>
    </row>
    <row r="80" ht="15" customHeight="1" s="37">
      <c r="A80" s="42" t="inlineStr">
        <is>
          <t>acqua di parma perfume</t>
        </is>
      </c>
      <c r="B80" s="42" t="inlineStr">
        <is>
          <t>acqua di parma perfume review</t>
        </is>
      </c>
      <c r="C80" s="42" t="n"/>
    </row>
    <row r="81" ht="15" customHeight="1" s="37">
      <c r="A81" s="42" t="inlineStr">
        <is>
          <t>acqua di parma perfume</t>
        </is>
      </c>
      <c r="B81" s="42" t="inlineStr">
        <is>
          <t>acqua di parma perfume buongiorno</t>
        </is>
      </c>
      <c r="C81" s="42" t="n"/>
    </row>
    <row r="82" ht="15" customHeight="1" s="37">
      <c r="A82" s="42" t="inlineStr">
        <is>
          <t>acqua di parma perfume</t>
        </is>
      </c>
      <c r="B82" s="42" t="inlineStr">
        <is>
          <t>acqua di parma perfume price in nigeria</t>
        </is>
      </c>
      <c r="C82" s="42" t="n"/>
    </row>
    <row r="83" ht="15" customHeight="1" s="37">
      <c r="A83" s="42" t="inlineStr">
        <is>
          <t>acqua di parma rosa nobile</t>
        </is>
      </c>
      <c r="B83" s="42" t="inlineStr">
        <is>
          <t>acqua di parma rosa nobile</t>
        </is>
      </c>
      <c r="C83" s="42" t="inlineStr">
        <is>
          <t>Yes</t>
        </is>
      </c>
    </row>
    <row r="84" ht="15" customHeight="1" s="37">
      <c r="A84" s="42" t="inlineStr">
        <is>
          <t>acqua di parma rosa nobile</t>
        </is>
      </c>
      <c r="B84" s="42" t="inlineStr">
        <is>
          <t>acqua di parma rosa nobile eau de parfum</t>
        </is>
      </c>
      <c r="C84" s="42" t="inlineStr">
        <is>
          <t>Yes</t>
        </is>
      </c>
    </row>
    <row r="85" ht="15" customHeight="1" s="37">
      <c r="A85" s="42" t="inlineStr">
        <is>
          <t>acqua di parma rosa nobile</t>
        </is>
      </c>
      <c r="B85" s="42" t="inlineStr">
        <is>
          <t>acqua di parma rosa nobile 100ml</t>
        </is>
      </c>
      <c r="C85" s="42" t="inlineStr">
        <is>
          <t>Yes</t>
        </is>
      </c>
    </row>
    <row r="86" ht="15" customHeight="1" s="37">
      <c r="A86" s="42" t="inlineStr">
        <is>
          <t>acqua di parma rosa nobile</t>
        </is>
      </c>
      <c r="B86" s="42" t="inlineStr">
        <is>
          <t>acqua di parma rosa nobile price</t>
        </is>
      </c>
      <c r="C86" s="42" t="inlineStr">
        <is>
          <t>Yes</t>
        </is>
      </c>
    </row>
    <row r="87" ht="15" customHeight="1" s="37">
      <c r="A87" s="42" t="inlineStr">
        <is>
          <t>acqua di parma rosa nobile</t>
        </is>
      </c>
      <c r="B87" s="42" t="inlineStr">
        <is>
          <t>acqua di parma rosa nobile body cream</t>
        </is>
      </c>
      <c r="C87" s="42" t="n"/>
    </row>
    <row r="88" ht="15" customHeight="1" s="37">
      <c r="A88" s="42" t="inlineStr">
        <is>
          <t>acqua di parma rosa nobile</t>
        </is>
      </c>
      <c r="B88" s="42" t="inlineStr">
        <is>
          <t>acqua di parma rosa nobile review</t>
        </is>
      </c>
      <c r="C88" s="42" t="inlineStr">
        <is>
          <t>Yes</t>
        </is>
      </c>
    </row>
    <row r="89" ht="15" customHeight="1" s="37">
      <c r="A89" s="42" t="inlineStr">
        <is>
          <t>acqua di parma rosa nobile</t>
        </is>
      </c>
      <c r="B89" s="42" t="inlineStr">
        <is>
          <t>acqua di parma rosa nobile hair mist</t>
        </is>
      </c>
      <c r="C89" s="42" t="n"/>
    </row>
    <row r="90" ht="15" customHeight="1" s="37">
      <c r="A90" s="42" t="inlineStr">
        <is>
          <t>acqua di parma rosa nobile</t>
        </is>
      </c>
      <c r="B90" s="42" t="inlineStr">
        <is>
          <t>acqua di parma rosa nobile dupe</t>
        </is>
      </c>
      <c r="C90" s="42" t="inlineStr">
        <is>
          <t>Yes</t>
        </is>
      </c>
    </row>
    <row r="91" ht="15" customHeight="1" s="37">
      <c r="A91" s="42" t="inlineStr">
        <is>
          <t>acqua di parma rosa nobile</t>
        </is>
      </c>
      <c r="B91" s="42" t="inlineStr">
        <is>
          <t>acqua di parma rosa nobile notes</t>
        </is>
      </c>
      <c r="C91" s="42" t="inlineStr">
        <is>
          <t>Yes</t>
        </is>
      </c>
    </row>
    <row r="92" ht="15" customHeight="1" s="37">
      <c r="A92" s="42" t="inlineStr">
        <is>
          <t>acqua di parma rosa nobile</t>
        </is>
      </c>
      <c r="B92" s="42" t="inlineStr">
        <is>
          <t>acqua di parma rosa nobile fragrantica</t>
        </is>
      </c>
      <c r="C92" s="42" t="n"/>
    </row>
    <row r="93" ht="15" customHeight="1" s="37">
      <c r="A93" s="42" t="inlineStr">
        <is>
          <t>acqua di parma sakura</t>
        </is>
      </c>
      <c r="B93" s="42" t="inlineStr">
        <is>
          <t>acqua di parma sakura</t>
        </is>
      </c>
      <c r="C93" s="42" t="inlineStr">
        <is>
          <t>Yes</t>
        </is>
      </c>
    </row>
    <row r="94" ht="15" customHeight="1" s="37">
      <c r="A94" s="42" t="inlineStr">
        <is>
          <t>acqua di parma sakura</t>
        </is>
      </c>
      <c r="B94" s="42" t="inlineStr">
        <is>
          <t>acqua di parma sakura eau de parfum</t>
        </is>
      </c>
      <c r="C94" s="42" t="inlineStr">
        <is>
          <t>Yes</t>
        </is>
      </c>
    </row>
    <row r="95" ht="15" customHeight="1" s="37">
      <c r="A95" s="42" t="inlineStr">
        <is>
          <t>acqua di parma sakura</t>
        </is>
      </c>
      <c r="B95" s="42" t="inlineStr">
        <is>
          <t>acqua di parma sakura 100ml</t>
        </is>
      </c>
      <c r="C95" s="42" t="inlineStr">
        <is>
          <t>Yes</t>
        </is>
      </c>
    </row>
    <row r="96" ht="15" customHeight="1" s="37">
      <c r="A96" s="42" t="inlineStr">
        <is>
          <t>acqua di parma sakura</t>
        </is>
      </c>
      <c r="B96" s="42" t="inlineStr">
        <is>
          <t>acqua di parma sakura discontinued</t>
        </is>
      </c>
      <c r="C96" s="42" t="n"/>
    </row>
    <row r="97" ht="15" customHeight="1" s="37">
      <c r="A97" s="42" t="inlineStr">
        <is>
          <t>acqua di parma sakura</t>
        </is>
      </c>
      <c r="B97" s="42" t="inlineStr">
        <is>
          <t>acqua di parma sakura price</t>
        </is>
      </c>
      <c r="C97" s="42" t="inlineStr">
        <is>
          <t>Yes</t>
        </is>
      </c>
    </row>
    <row r="98" ht="15" customHeight="1" s="37">
      <c r="A98" s="42" t="inlineStr">
        <is>
          <t>acqua di parma sakura</t>
        </is>
      </c>
      <c r="B98" s="42" t="inlineStr">
        <is>
          <t>acqua di parma sakura edp</t>
        </is>
      </c>
      <c r="C98" s="42" t="inlineStr">
        <is>
          <t>Yes</t>
        </is>
      </c>
    </row>
    <row r="99" ht="15" customHeight="1" s="37">
      <c r="A99" s="42" t="inlineStr">
        <is>
          <t>acqua di parma sakura</t>
        </is>
      </c>
      <c r="B99" s="42" t="inlineStr">
        <is>
          <t>acqua di parma sakura notes</t>
        </is>
      </c>
      <c r="C99" s="42" t="inlineStr">
        <is>
          <t>Yes</t>
        </is>
      </c>
    </row>
    <row r="100" ht="15" customHeight="1" s="37">
      <c r="A100" s="42" t="inlineStr">
        <is>
          <t>acqua di parma sakura</t>
        </is>
      </c>
      <c r="B100" s="42" t="inlineStr">
        <is>
          <t>acqua di parma sakura review</t>
        </is>
      </c>
      <c r="C100" s="42" t="inlineStr">
        <is>
          <t>Yes</t>
        </is>
      </c>
    </row>
    <row r="101" ht="15" customHeight="1" s="37">
      <c r="A101" s="42" t="inlineStr">
        <is>
          <t>acqua di parma sakura</t>
        </is>
      </c>
      <c r="B101" s="42" t="inlineStr">
        <is>
          <t>acqua di parma sakura fragrantica</t>
        </is>
      </c>
      <c r="C101" s="42" t="n"/>
    </row>
    <row r="102" ht="15" customHeight="1" s="37">
      <c r="A102" s="42" t="inlineStr">
        <is>
          <t>acqua di parma sakura</t>
        </is>
      </c>
      <c r="B102" s="42" t="inlineStr">
        <is>
          <t>acqua di parma sakura 20ml</t>
        </is>
      </c>
      <c r="C102" s="42" t="n"/>
    </row>
    <row r="103" ht="15" customHeight="1" s="37">
      <c r="A103" s="42" t="inlineStr">
        <is>
          <t>acqua di parma sandalo</t>
        </is>
      </c>
      <c r="B103" s="42" t="inlineStr">
        <is>
          <t>acqua di parma sandalo</t>
        </is>
      </c>
      <c r="C103" s="42" t="inlineStr">
        <is>
          <t>Yes</t>
        </is>
      </c>
    </row>
    <row r="104" ht="15" customHeight="1" s="37">
      <c r="A104" s="42" t="inlineStr">
        <is>
          <t>acqua di parma sandalo</t>
        </is>
      </c>
      <c r="B104" s="42" t="inlineStr">
        <is>
          <t>acqua di parma sandalo eau de parfum</t>
        </is>
      </c>
      <c r="C104" s="42" t="inlineStr">
        <is>
          <t>Yes</t>
        </is>
      </c>
    </row>
    <row r="105" ht="15" customHeight="1" s="37">
      <c r="A105" s="42" t="inlineStr">
        <is>
          <t>acqua di parma sandalo</t>
        </is>
      </c>
      <c r="B105" s="42" t="inlineStr">
        <is>
          <t>acqua di parma sandalo 100ml</t>
        </is>
      </c>
      <c r="C105" s="42" t="inlineStr">
        <is>
          <t>Yes</t>
        </is>
      </c>
    </row>
    <row r="106" ht="15" customHeight="1" s="37">
      <c r="A106" s="42" t="inlineStr">
        <is>
          <t>acqua di parma sandalo</t>
        </is>
      </c>
      <c r="B106" s="42" t="inlineStr">
        <is>
          <t>acqua di parma sandalo review</t>
        </is>
      </c>
      <c r="C106" s="42" t="inlineStr">
        <is>
          <t>Yes</t>
        </is>
      </c>
    </row>
    <row r="107" ht="15" customHeight="1" s="37">
      <c r="A107" s="42" t="inlineStr">
        <is>
          <t>acqua di parma sandalo</t>
        </is>
      </c>
      <c r="B107" s="42" t="inlineStr">
        <is>
          <t>acqua di parma sandalo dupe</t>
        </is>
      </c>
      <c r="C107" s="42" t="inlineStr">
        <is>
          <t>Yes</t>
        </is>
      </c>
    </row>
    <row r="108" ht="15" customHeight="1" s="37">
      <c r="A108" s="42" t="inlineStr">
        <is>
          <t>acqua di parma sandalo</t>
        </is>
      </c>
      <c r="B108" s="42" t="inlineStr">
        <is>
          <t>acqua di parma sandalo 50ml</t>
        </is>
      </c>
      <c r="C108" s="42" t="inlineStr">
        <is>
          <t>Yes</t>
        </is>
      </c>
    </row>
    <row r="109" ht="15" customHeight="1" s="37">
      <c r="A109" s="42" t="inlineStr">
        <is>
          <t>acqua di parma sandalo</t>
        </is>
      </c>
      <c r="B109" s="42" t="inlineStr">
        <is>
          <t>acqua di parma sandalo sample</t>
        </is>
      </c>
      <c r="C109" s="42" t="n"/>
    </row>
    <row r="110" ht="15" customHeight="1" s="37">
      <c r="A110" s="42" t="inlineStr">
        <is>
          <t>acqua di parma sandalo</t>
        </is>
      </c>
      <c r="B110" s="42" t="inlineStr">
        <is>
          <t>acqua di parma sandalo edp</t>
        </is>
      </c>
      <c r="C110" s="42" t="inlineStr">
        <is>
          <t>Yes</t>
        </is>
      </c>
    </row>
    <row r="111" ht="15" customHeight="1" s="37">
      <c r="A111" s="42" t="inlineStr">
        <is>
          <t>acqua di parma sandalo</t>
        </is>
      </c>
      <c r="B111" s="42" t="inlineStr">
        <is>
          <t>acqua di parma sandalo notes</t>
        </is>
      </c>
      <c r="C111" s="42" t="n"/>
    </row>
    <row r="112" ht="15" customHeight="1" s="37">
      <c r="A112" s="42" t="inlineStr">
        <is>
          <t>acqua di parma sandalo</t>
        </is>
      </c>
      <c r="B112" s="42" t="inlineStr">
        <is>
          <t>acqua di parma sandalo fragrantica</t>
        </is>
      </c>
      <c r="C112" s="42" t="n"/>
    </row>
    <row r="113" ht="15" customHeight="1" s="37">
      <c r="A113" s="42" t="inlineStr">
        <is>
          <t>acqua di parma zafferano</t>
        </is>
      </c>
      <c r="B113" s="42" t="inlineStr">
        <is>
          <t>acqua di parma zafferano</t>
        </is>
      </c>
      <c r="C113" s="42" t="inlineStr">
        <is>
          <t>Yes</t>
        </is>
      </c>
    </row>
    <row r="114" ht="15" customHeight="1" s="37">
      <c r="A114" s="42" t="inlineStr">
        <is>
          <t>acqua di parma zafferano</t>
        </is>
      </c>
      <c r="B114" s="42" t="inlineStr">
        <is>
          <t>acqua di parma zafferano ambrosia</t>
        </is>
      </c>
      <c r="C114" s="42" t="n"/>
    </row>
    <row r="115" ht="15" customHeight="1" s="37">
      <c r="A115" s="42" t="inlineStr">
        <is>
          <t>acqua di parma zafferano</t>
        </is>
      </c>
      <c r="B115" s="42" t="inlineStr">
        <is>
          <t>acqua di parma zafferano review</t>
        </is>
      </c>
      <c r="C115" s="42" t="inlineStr">
        <is>
          <t>Yes</t>
        </is>
      </c>
    </row>
    <row r="116" ht="15" customHeight="1" s="37">
      <c r="A116" s="42" t="inlineStr">
        <is>
          <t>acqua di parma zafferano</t>
        </is>
      </c>
      <c r="B116" s="42" t="inlineStr">
        <is>
          <t>acqua di parma zafferano eau de parfum</t>
        </is>
      </c>
      <c r="C116" s="42" t="inlineStr">
        <is>
          <t>Yes</t>
        </is>
      </c>
    </row>
    <row r="117" ht="15" customHeight="1" s="37">
      <c r="A117" s="42" t="inlineStr">
        <is>
          <t>acqua di parma zafferano</t>
        </is>
      </c>
      <c r="B117" s="42" t="inlineStr">
        <is>
          <t>acqua di parma zafferano fragrantica</t>
        </is>
      </c>
      <c r="C117" s="42" t="n"/>
    </row>
    <row r="118" ht="15" customHeight="1" s="37">
      <c r="A118" s="42" t="inlineStr">
        <is>
          <t>acqua di parma zafferano</t>
        </is>
      </c>
      <c r="B118" s="42" t="inlineStr">
        <is>
          <t>acqua di parma zafferano 100ml</t>
        </is>
      </c>
      <c r="C118" s="42" t="inlineStr">
        <is>
          <t>Yes</t>
        </is>
      </c>
    </row>
    <row r="119" ht="15" customHeight="1" s="37">
      <c r="A119" s="42" t="inlineStr">
        <is>
          <t>acqua di parma zafferano</t>
        </is>
      </c>
      <c r="B119" s="42" t="inlineStr">
        <is>
          <t>acqua di parma zafferano ambrosia review</t>
        </is>
      </c>
      <c r="C119" s="42" t="n"/>
    </row>
    <row r="120" ht="15" customHeight="1" s="37">
      <c r="A120" s="42" t="inlineStr">
        <is>
          <t>acqua di parma zafferano</t>
        </is>
      </c>
      <c r="B120" s="42" t="inlineStr">
        <is>
          <t>acqua di parma zafferano dupe</t>
        </is>
      </c>
      <c r="C120" s="42" t="inlineStr">
        <is>
          <t>Yes</t>
        </is>
      </c>
    </row>
    <row r="121" ht="15" customHeight="1" s="37">
      <c r="A121" s="42" t="inlineStr">
        <is>
          <t>acqua di parma zafferano</t>
        </is>
      </c>
      <c r="B121" s="42" t="inlineStr">
        <is>
          <t>acqua di parma zafferano edp</t>
        </is>
      </c>
      <c r="C121" s="42" t="inlineStr">
        <is>
          <t>Yes</t>
        </is>
      </c>
    </row>
    <row r="122" ht="15" customHeight="1" s="37">
      <c r="A122" s="42" t="inlineStr">
        <is>
          <t>acqua di parma zafferano</t>
        </is>
      </c>
      <c r="B122" s="42" t="inlineStr">
        <is>
          <t>acqua di parma zafferano ambrosia extrait de parfum</t>
        </is>
      </c>
      <c r="C122" s="42" t="n"/>
    </row>
    <row r="123" ht="15" customHeight="1" s="37">
      <c r="A123" s="42" t="inlineStr">
        <is>
          <t>al haramain amber musk</t>
        </is>
      </c>
      <c r="B123" s="42" t="inlineStr">
        <is>
          <t>al haramain amber musk</t>
        </is>
      </c>
      <c r="C123" s="42" t="inlineStr">
        <is>
          <t>Yes</t>
        </is>
      </c>
    </row>
    <row r="124" ht="15" customHeight="1" s="37">
      <c r="A124" s="42" t="inlineStr">
        <is>
          <t>al haramain amber musk</t>
        </is>
      </c>
      <c r="B124" s="42" t="inlineStr">
        <is>
          <t>al haramain amber musk eau de parfum</t>
        </is>
      </c>
      <c r="C124" s="42" t="inlineStr">
        <is>
          <t>Yes</t>
        </is>
      </c>
    </row>
    <row r="125" ht="15" customHeight="1" s="37">
      <c r="A125" s="42" t="inlineStr">
        <is>
          <t>al haramain amber musk</t>
        </is>
      </c>
      <c r="B125" s="42" t="inlineStr">
        <is>
          <t>al haramain amber musk dupe of</t>
        </is>
      </c>
      <c r="C125" s="42" t="inlineStr">
        <is>
          <t>Yes</t>
        </is>
      </c>
    </row>
    <row r="126" ht="15" customHeight="1" s="37">
      <c r="A126" s="42" t="inlineStr">
        <is>
          <t>al haramain amber musk</t>
        </is>
      </c>
      <c r="B126" s="42" t="inlineStr">
        <is>
          <t>al haramain amber musk perfume</t>
        </is>
      </c>
      <c r="C126" s="42" t="inlineStr">
        <is>
          <t>Yes</t>
        </is>
      </c>
    </row>
    <row r="127" ht="15" customHeight="1" s="37">
      <c r="A127" s="42" t="inlineStr">
        <is>
          <t>al haramain amber musk</t>
        </is>
      </c>
      <c r="B127" s="42" t="inlineStr">
        <is>
          <t>al haramain amber musk review</t>
        </is>
      </c>
      <c r="C127" s="42" t="inlineStr">
        <is>
          <t>Yes</t>
        </is>
      </c>
    </row>
    <row r="128" ht="15" customHeight="1" s="37">
      <c r="A128" s="42" t="inlineStr">
        <is>
          <t>al haramain amber musk</t>
        </is>
      </c>
      <c r="B128" s="42" t="inlineStr">
        <is>
          <t>al haramain amber musk edp</t>
        </is>
      </c>
      <c r="C128" s="42" t="inlineStr">
        <is>
          <t>Yes</t>
        </is>
      </c>
    </row>
    <row r="129" ht="15" customHeight="1" s="37">
      <c r="A129" s="42" t="inlineStr">
        <is>
          <t>al haramain amber musk</t>
        </is>
      </c>
      <c r="B129" s="42" t="inlineStr">
        <is>
          <t>al haramain amber musk reddit</t>
        </is>
      </c>
      <c r="C129" s="42" t="n"/>
    </row>
    <row r="130" ht="15" customHeight="1" s="37">
      <c r="A130" s="42" t="inlineStr">
        <is>
          <t>al haramain amber musk</t>
        </is>
      </c>
      <c r="B130" s="42" t="inlineStr">
        <is>
          <t>al haramain amber musk notes</t>
        </is>
      </c>
      <c r="C130" s="42" t="inlineStr">
        <is>
          <t>Yes</t>
        </is>
      </c>
    </row>
    <row r="131" ht="15" customHeight="1" s="37">
      <c r="A131" s="42" t="inlineStr">
        <is>
          <t>al haramain amber musk</t>
        </is>
      </c>
      <c r="B131" s="42" t="inlineStr">
        <is>
          <t>al haramain amber musk fragrantica</t>
        </is>
      </c>
      <c r="C131" s="42" t="n"/>
    </row>
    <row r="132" ht="15" customHeight="1" s="37">
      <c r="A132" s="42" t="inlineStr">
        <is>
          <t>al haramain amber musk</t>
        </is>
      </c>
      <c r="B132" s="42" t="inlineStr">
        <is>
          <t>al haramain amber musk clone</t>
        </is>
      </c>
      <c r="C132" s="42" t="n"/>
    </row>
    <row r="133" ht="15" customHeight="1" s="37">
      <c r="A133" s="42" t="inlineStr">
        <is>
          <t>al haramain amber oud</t>
        </is>
      </c>
      <c r="B133" s="42" t="inlineStr">
        <is>
          <t>al haramain amber oud</t>
        </is>
      </c>
      <c r="C133" s="42" t="inlineStr">
        <is>
          <t>Yes</t>
        </is>
      </c>
    </row>
    <row r="134" ht="15" customHeight="1" s="37">
      <c r="A134" s="42" t="inlineStr">
        <is>
          <t>al haramain amber oud</t>
        </is>
      </c>
      <c r="B134" s="42" t="inlineStr">
        <is>
          <t>al haramain amber oud aqua dubai</t>
        </is>
      </c>
      <c r="C134" s="42" t="n"/>
    </row>
    <row r="135" ht="15" customHeight="1" s="37">
      <c r="A135" s="42" t="inlineStr">
        <is>
          <t>al haramain amber oud</t>
        </is>
      </c>
      <c r="B135" s="42" t="inlineStr">
        <is>
          <t>al haramain amber oud gold edition</t>
        </is>
      </c>
      <c r="C135" s="42" t="inlineStr">
        <is>
          <t>Yes</t>
        </is>
      </c>
    </row>
    <row r="136" ht="15" customHeight="1" s="37">
      <c r="A136" s="42" t="inlineStr">
        <is>
          <t>al haramain amber oud</t>
        </is>
      </c>
      <c r="B136" s="42" t="inlineStr">
        <is>
          <t>al haramain amber oud tobacco edition</t>
        </is>
      </c>
      <c r="C136" s="42" t="inlineStr">
        <is>
          <t>Yes</t>
        </is>
      </c>
    </row>
    <row r="137" ht="15" customHeight="1" s="37">
      <c r="A137" s="42" t="inlineStr">
        <is>
          <t>al haramain amber oud</t>
        </is>
      </c>
      <c r="B137" s="42" t="inlineStr">
        <is>
          <t>al haramain amber oud rouge</t>
        </is>
      </c>
      <c r="C137" s="42" t="n"/>
    </row>
    <row r="138" ht="15" customHeight="1" s="37">
      <c r="A138" s="42" t="inlineStr">
        <is>
          <t>al haramain amber oud</t>
        </is>
      </c>
      <c r="B138" s="42" t="inlineStr">
        <is>
          <t>al haramain amber oud gold</t>
        </is>
      </c>
      <c r="C138" s="42" t="n"/>
    </row>
    <row r="139" ht="15" customHeight="1" s="37">
      <c r="A139" s="42" t="inlineStr">
        <is>
          <t>al haramain amber oud</t>
        </is>
      </c>
      <c r="B139" s="42" t="inlineStr">
        <is>
          <t>al haramain amber oud ruby edition</t>
        </is>
      </c>
      <c r="C139" s="42" t="inlineStr">
        <is>
          <t>Yes</t>
        </is>
      </c>
    </row>
    <row r="140" ht="15" customHeight="1" s="37">
      <c r="A140" s="42" t="inlineStr">
        <is>
          <t>al haramain amber oud</t>
        </is>
      </c>
      <c r="B140" s="42" t="inlineStr">
        <is>
          <t>al haramain amber oud exclusif bleu</t>
        </is>
      </c>
      <c r="C140" s="42" t="n"/>
    </row>
    <row r="141" ht="15" customHeight="1" s="37">
      <c r="A141" s="42" t="inlineStr">
        <is>
          <t>al haramain amber oud</t>
        </is>
      </c>
      <c r="B141" s="42" t="inlineStr">
        <is>
          <t>al haramain amber oud dubai night</t>
        </is>
      </c>
      <c r="C141" s="42" t="n"/>
    </row>
    <row r="142" ht="15" customHeight="1" s="37">
      <c r="A142" s="42" t="inlineStr">
        <is>
          <t>al haramain amber oud</t>
        </is>
      </c>
      <c r="B142" s="42" t="inlineStr">
        <is>
          <t>al haramain amber oud carbon edition</t>
        </is>
      </c>
      <c r="C142" s="42" t="inlineStr">
        <is>
          <t>Yes</t>
        </is>
      </c>
    </row>
    <row r="143" ht="15" customHeight="1" s="37">
      <c r="A143" s="42" t="inlineStr">
        <is>
          <t>al haramain amber oud black edition</t>
        </is>
      </c>
      <c r="B143" s="42" t="inlineStr">
        <is>
          <t>al haramain amber oud black edition</t>
        </is>
      </c>
      <c r="C143" s="42" t="inlineStr">
        <is>
          <t>Yes</t>
        </is>
      </c>
    </row>
    <row r="144" ht="15" customHeight="1" s="37">
      <c r="A144" s="42" t="inlineStr">
        <is>
          <t>al haramain amber oud black edition</t>
        </is>
      </c>
      <c r="B144" s="42" t="inlineStr">
        <is>
          <t>al haramain amber oud black edition dupe of</t>
        </is>
      </c>
      <c r="C144" s="42" t="inlineStr">
        <is>
          <t>Yes</t>
        </is>
      </c>
    </row>
    <row r="145" ht="15" customHeight="1" s="37">
      <c r="A145" s="42" t="inlineStr">
        <is>
          <t>al haramain amber oud black edition</t>
        </is>
      </c>
      <c r="B145" s="42" t="inlineStr">
        <is>
          <t>al haramain amber oud black edition smells like</t>
        </is>
      </c>
      <c r="C145" s="42" t="inlineStr">
        <is>
          <t>Yes</t>
        </is>
      </c>
    </row>
    <row r="146" ht="15" customHeight="1" s="37">
      <c r="A146" s="42" t="inlineStr">
        <is>
          <t>al haramain amber oud black edition</t>
        </is>
      </c>
      <c r="B146" s="42" t="inlineStr">
        <is>
          <t>al haramain amber oud black edition review</t>
        </is>
      </c>
      <c r="C146" s="42" t="inlineStr">
        <is>
          <t>Yes</t>
        </is>
      </c>
    </row>
    <row r="147" ht="15" customHeight="1" s="37">
      <c r="A147" s="42" t="inlineStr">
        <is>
          <t>al haramain amber oud black edition</t>
        </is>
      </c>
      <c r="B147" s="42" t="inlineStr">
        <is>
          <t>al haramain amber oud black edition notes</t>
        </is>
      </c>
      <c r="C147" s="42" t="inlineStr">
        <is>
          <t>Yes</t>
        </is>
      </c>
    </row>
    <row r="148" ht="15" customHeight="1" s="37">
      <c r="A148" s="42" t="inlineStr">
        <is>
          <t>al haramain amber oud black edition</t>
        </is>
      </c>
      <c r="B148" s="42" t="inlineStr">
        <is>
          <t>al haramain amber oud black edition 200ml</t>
        </is>
      </c>
      <c r="C148" s="42" t="inlineStr">
        <is>
          <t>Yes</t>
        </is>
      </c>
    </row>
    <row r="149" ht="15" customHeight="1" s="37">
      <c r="A149" s="42" t="inlineStr">
        <is>
          <t>al haramain amber oud black edition</t>
        </is>
      </c>
      <c r="B149" s="42" t="inlineStr">
        <is>
          <t>al haramain amber oud black edition clone of</t>
        </is>
      </c>
      <c r="C149" s="42" t="n"/>
    </row>
    <row r="150" ht="15" customHeight="1" s="37">
      <c r="A150" s="42" t="inlineStr">
        <is>
          <t>al haramain amber oud black edition</t>
        </is>
      </c>
      <c r="B150" s="42" t="inlineStr">
        <is>
          <t>al haramain amber oud black edition eau de parfum</t>
        </is>
      </c>
      <c r="C150" s="42" t="inlineStr">
        <is>
          <t>Yes</t>
        </is>
      </c>
    </row>
    <row r="151" ht="15" customHeight="1" s="37">
      <c r="A151" s="42" t="inlineStr">
        <is>
          <t>al haramain amber oud black edition</t>
        </is>
      </c>
      <c r="B151" s="42" t="inlineStr">
        <is>
          <t>al haramain amber oud black edition reddit</t>
        </is>
      </c>
      <c r="C151" s="42" t="n"/>
    </row>
    <row r="152" ht="15" customHeight="1" s="37">
      <c r="A152" s="42" t="inlineStr">
        <is>
          <t>al haramain amber oud black edition</t>
        </is>
      </c>
      <c r="B152" s="42" t="inlineStr">
        <is>
          <t>al haramain amber oud black edition price</t>
        </is>
      </c>
      <c r="C152" s="42" t="inlineStr">
        <is>
          <t>Yes</t>
        </is>
      </c>
    </row>
    <row r="153" ht="15" customHeight="1" s="37">
      <c r="A153" s="42" t="inlineStr">
        <is>
          <t>al haramain amber oud bleu edition</t>
        </is>
      </c>
      <c r="B153" s="42" t="inlineStr">
        <is>
          <t>al haramain amber oud bleu edition</t>
        </is>
      </c>
      <c r="C153" s="42" t="inlineStr">
        <is>
          <t>Yes</t>
        </is>
      </c>
    </row>
    <row r="154" ht="15" customHeight="1" s="37">
      <c r="A154" s="42" t="inlineStr">
        <is>
          <t>al haramain amber oud bleu edition</t>
        </is>
      </c>
      <c r="B154" s="42" t="inlineStr">
        <is>
          <t>al haramain amber oud bleu edition dupe of</t>
        </is>
      </c>
      <c r="C154" s="42" t="inlineStr">
        <is>
          <t>Yes</t>
        </is>
      </c>
    </row>
    <row r="155" ht="15" customHeight="1" s="37">
      <c r="A155" s="42" t="inlineStr">
        <is>
          <t>al haramain amber oud bleu edition</t>
        </is>
      </c>
      <c r="B155" s="42" t="inlineStr">
        <is>
          <t>al haramain amber oud bleu edition eau de parfum</t>
        </is>
      </c>
      <c r="C155" s="42" t="inlineStr">
        <is>
          <t>Yes</t>
        </is>
      </c>
    </row>
    <row r="156" ht="15" customHeight="1" s="37">
      <c r="A156" s="42" t="inlineStr">
        <is>
          <t>al haramain amber oud bleu edition</t>
        </is>
      </c>
      <c r="B156" s="42" t="inlineStr">
        <is>
          <t>al haramain amber oud bleu edition 200ml</t>
        </is>
      </c>
      <c r="C156" s="42" t="inlineStr">
        <is>
          <t>Yes</t>
        </is>
      </c>
    </row>
    <row r="157" ht="15" customHeight="1" s="37">
      <c r="A157" s="42" t="inlineStr">
        <is>
          <t>al haramain amber oud bleu edition</t>
        </is>
      </c>
      <c r="B157" s="42" t="inlineStr">
        <is>
          <t>al haramain amber oud bleu edition review</t>
        </is>
      </c>
      <c r="C157" s="42" t="inlineStr">
        <is>
          <t>Yes</t>
        </is>
      </c>
    </row>
    <row r="158" ht="15" customHeight="1" s="37">
      <c r="A158" s="42" t="inlineStr">
        <is>
          <t>al haramain amber oud bleu edition</t>
        </is>
      </c>
      <c r="B158" s="42" t="inlineStr">
        <is>
          <t>al haramain amber oud bleu edition edp</t>
        </is>
      </c>
      <c r="C158" s="42" t="inlineStr">
        <is>
          <t>Yes</t>
        </is>
      </c>
    </row>
    <row r="159" ht="15" customHeight="1" s="37">
      <c r="A159" s="42" t="inlineStr">
        <is>
          <t>al haramain amber oud bleu edition</t>
        </is>
      </c>
      <c r="B159" s="42" t="inlineStr">
        <is>
          <t>al haramain amber oud bleu edition 100ml</t>
        </is>
      </c>
      <c r="C159" s="42" t="inlineStr">
        <is>
          <t>Yes</t>
        </is>
      </c>
    </row>
    <row r="160" ht="15" customHeight="1" s="37">
      <c r="A160" s="42" t="inlineStr">
        <is>
          <t>al haramain amber oud bleu edition</t>
        </is>
      </c>
      <c r="B160" s="42" t="inlineStr">
        <is>
          <t>al haramain amber oud bleu edition reddit</t>
        </is>
      </c>
      <c r="C160" s="42" t="n"/>
    </row>
    <row r="161" ht="15" customHeight="1" s="37">
      <c r="A161" s="42" t="inlineStr">
        <is>
          <t>al haramain amber oud bleu edition</t>
        </is>
      </c>
      <c r="B161" s="42" t="inlineStr">
        <is>
          <t>al haramain amber oud bleu edition notes</t>
        </is>
      </c>
      <c r="C161" s="42" t="n"/>
    </row>
    <row r="162" ht="15" customHeight="1" s="37">
      <c r="A162" s="42" t="inlineStr">
        <is>
          <t>al haramain amber oud bleu edition</t>
        </is>
      </c>
      <c r="B162" s="42" t="inlineStr">
        <is>
          <t>al haramain amber oud bleu edition vs iconic</t>
        </is>
      </c>
      <c r="C162" s="42" t="n"/>
    </row>
    <row r="163" ht="15" customHeight="1" s="37">
      <c r="A163" s="42" t="inlineStr">
        <is>
          <t>al haramain amber oud carbon edition</t>
        </is>
      </c>
      <c r="B163" s="42" t="inlineStr">
        <is>
          <t>al haramain amber oud carbon edition</t>
        </is>
      </c>
      <c r="C163" s="42" t="inlineStr">
        <is>
          <t>Yes</t>
        </is>
      </c>
    </row>
    <row r="164" ht="15" customHeight="1" s="37">
      <c r="A164" s="42" t="inlineStr">
        <is>
          <t>al haramain amber oud carbon edition</t>
        </is>
      </c>
      <c r="B164" s="42" t="inlineStr">
        <is>
          <t>al haramain amber oud carbon edition dupe of</t>
        </is>
      </c>
      <c r="C164" s="42" t="inlineStr">
        <is>
          <t>Yes</t>
        </is>
      </c>
    </row>
    <row r="165" ht="15" customHeight="1" s="37">
      <c r="A165" s="42" t="inlineStr">
        <is>
          <t>al haramain amber oud carbon edition</t>
        </is>
      </c>
      <c r="B165" s="42" t="inlineStr">
        <is>
          <t>al haramain amber oud carbon edition price in bangladesh</t>
        </is>
      </c>
      <c r="C165" s="42" t="n"/>
    </row>
    <row r="166" ht="15" customHeight="1" s="37">
      <c r="A166" s="42" t="inlineStr">
        <is>
          <t>al haramain amber oud carbon edition</t>
        </is>
      </c>
      <c r="B166" s="42" t="inlineStr">
        <is>
          <t>al haramain amber oud carbon edition review</t>
        </is>
      </c>
      <c r="C166" s="42" t="inlineStr">
        <is>
          <t>Yes</t>
        </is>
      </c>
    </row>
    <row r="167" ht="15" customHeight="1" s="37">
      <c r="A167" s="42" t="inlineStr">
        <is>
          <t>al haramain amber oud carbon edition</t>
        </is>
      </c>
      <c r="B167" s="42" t="inlineStr">
        <is>
          <t>al haramain amber oud carbon edition 200ml</t>
        </is>
      </c>
      <c r="C167" s="42" t="inlineStr">
        <is>
          <t>Yes</t>
        </is>
      </c>
    </row>
    <row r="168" ht="15" customHeight="1" s="37">
      <c r="A168" s="42" t="inlineStr">
        <is>
          <t>al haramain amber oud carbon edition</t>
        </is>
      </c>
      <c r="B168" s="42" t="inlineStr">
        <is>
          <t>al haramain amber oud carbon edition notes</t>
        </is>
      </c>
      <c r="C168" s="42" t="inlineStr">
        <is>
          <t>Yes</t>
        </is>
      </c>
    </row>
    <row r="169" ht="15" customHeight="1" s="37">
      <c r="A169" s="42" t="inlineStr">
        <is>
          <t>al haramain amber oud carbon edition</t>
        </is>
      </c>
      <c r="B169" s="42" t="inlineStr">
        <is>
          <t>al haramain amber oud carbon edition eau de parfum</t>
        </is>
      </c>
      <c r="C169" s="42" t="inlineStr">
        <is>
          <t>Yes</t>
        </is>
      </c>
    </row>
    <row r="170" ht="15" customHeight="1" s="37">
      <c r="A170" s="42" t="inlineStr">
        <is>
          <t>al haramain amber oud carbon edition</t>
        </is>
      </c>
      <c r="B170" s="42" t="inlineStr">
        <is>
          <t>al haramain amber oud carbon edition reddit</t>
        </is>
      </c>
      <c r="C170" s="42" t="n"/>
    </row>
    <row r="171" ht="15" customHeight="1" s="37">
      <c r="A171" s="42" t="inlineStr">
        <is>
          <t>al haramain amber oud carbon edition</t>
        </is>
      </c>
      <c r="B171" s="42" t="inlineStr">
        <is>
          <t>al haramain amber oud carbon edition vs l'aventure knight</t>
        </is>
      </c>
      <c r="C171" s="42" t="n"/>
    </row>
    <row r="172" ht="15" customHeight="1" s="37">
      <c r="A172" s="42" t="inlineStr">
        <is>
          <t>al haramain amber oud carbon edition</t>
        </is>
      </c>
      <c r="B172" s="42" t="inlineStr">
        <is>
          <t>al haramain amber oud carbon edition edp</t>
        </is>
      </c>
      <c r="C172" s="42" t="inlineStr">
        <is>
          <t>Yes</t>
        </is>
      </c>
    </row>
    <row r="173" ht="15" customHeight="1" s="37">
      <c r="A173" s="42" t="inlineStr">
        <is>
          <t>al haramain amber oud extreme gold edition</t>
        </is>
      </c>
      <c r="B173" s="42" t="inlineStr">
        <is>
          <t>al haramain amber oud extreme gold edition</t>
        </is>
      </c>
      <c r="C173" s="42" t="inlineStr">
        <is>
          <t>Yes</t>
        </is>
      </c>
    </row>
    <row r="174" ht="15" customHeight="1" s="37">
      <c r="A174" s="42" t="inlineStr">
        <is>
          <t>al haramain amber oud extreme gold edition</t>
        </is>
      </c>
      <c r="B174" s="42" t="inlineStr">
        <is>
          <t>al haramain amber oud extreme gold edition dupe of</t>
        </is>
      </c>
      <c r="C174" s="42" t="inlineStr">
        <is>
          <t>Yes</t>
        </is>
      </c>
    </row>
    <row r="175" ht="15" customHeight="1" s="37">
      <c r="A175" s="42" t="inlineStr">
        <is>
          <t>al haramain amber oud extreme gold edition</t>
        </is>
      </c>
      <c r="B175" s="42" t="inlineStr">
        <is>
          <t>al haramain amber oud extreme gold edition extrait de parfum</t>
        </is>
      </c>
      <c r="C175" s="42" t="inlineStr">
        <is>
          <t>Yes</t>
        </is>
      </c>
    </row>
    <row r="176" ht="15" customHeight="1" s="37">
      <c r="A176" s="42" t="inlineStr">
        <is>
          <t>al haramain amber oud extreme gold edition</t>
        </is>
      </c>
      <c r="B176" s="42" t="inlineStr">
        <is>
          <t>al haramain amber oud extreme gold edition review</t>
        </is>
      </c>
      <c r="C176" s="42" t="inlineStr">
        <is>
          <t>Yes</t>
        </is>
      </c>
    </row>
    <row r="177" ht="15" customHeight="1" s="37">
      <c r="A177" s="42" t="inlineStr">
        <is>
          <t>al haramain amber oud extreme gold edition</t>
        </is>
      </c>
      <c r="B177" s="42" t="inlineStr">
        <is>
          <t>al haramain amber oud extreme gold edition notes</t>
        </is>
      </c>
      <c r="C177" s="42" t="inlineStr">
        <is>
          <t>Yes</t>
        </is>
      </c>
    </row>
    <row r="178" ht="15" customHeight="1" s="37">
      <c r="A178" s="42" t="inlineStr">
        <is>
          <t>al haramain amber oud extreme gold edition</t>
        </is>
      </c>
      <c r="B178" s="42" t="inlineStr">
        <is>
          <t>al haramain amber oud extreme gold edition extrait</t>
        </is>
      </c>
      <c r="C178" s="42" t="inlineStr">
        <is>
          <t>Yes</t>
        </is>
      </c>
    </row>
    <row r="179" ht="15" customHeight="1" s="37">
      <c r="A179" s="42" t="inlineStr">
        <is>
          <t>al haramain amber oud extreme gold edition</t>
        </is>
      </c>
      <c r="B179" s="42" t="inlineStr">
        <is>
          <t>al haramain amber oud extreme gold edition 6.8 oz</t>
        </is>
      </c>
      <c r="C179" s="42" t="n"/>
    </row>
    <row r="180" ht="15" customHeight="1" s="37">
      <c r="A180" s="42" t="inlineStr">
        <is>
          <t>al haramain amber oud extreme gold edition</t>
        </is>
      </c>
      <c r="B180" s="42" t="inlineStr">
        <is>
          <t>al haramain amber oud gold extreme edition for man woman</t>
        </is>
      </c>
      <c r="C180" s="42" t="n"/>
    </row>
    <row r="181" ht="15" customHeight="1" s="37">
      <c r="A181" s="42" t="inlineStr">
        <is>
          <t>al haramain amber oud extreme gold edition</t>
        </is>
      </c>
      <c r="B181" s="42" t="inlineStr">
        <is>
          <t>perfume al haramain amber oud extreme gold edition</t>
        </is>
      </c>
      <c r="C181" s="42" t="inlineStr">
        <is>
          <t>Yes</t>
        </is>
      </c>
    </row>
    <row r="182" ht="15" customHeight="1" s="37">
      <c r="A182" s="42" t="inlineStr">
        <is>
          <t>al haramain amber oud extreme gold edition</t>
        </is>
      </c>
      <c r="B182" s="42" t="inlineStr">
        <is>
          <t>price of al haramain amber oud extreme gold edition</t>
        </is>
      </c>
      <c r="C182" s="42" t="n"/>
    </row>
    <row r="183" ht="15" customHeight="1" s="37">
      <c r="A183" s="42" t="inlineStr">
        <is>
          <t>al haramain amber oud gold edition</t>
        </is>
      </c>
      <c r="B183" s="42" t="inlineStr">
        <is>
          <t>al haramain amber oud gold edition</t>
        </is>
      </c>
      <c r="C183" s="42" t="inlineStr">
        <is>
          <t>Yes</t>
        </is>
      </c>
    </row>
    <row r="184" ht="15" customHeight="1" s="37">
      <c r="A184" s="42" t="inlineStr">
        <is>
          <t>al haramain amber oud gold edition</t>
        </is>
      </c>
      <c r="B184" s="42" t="inlineStr">
        <is>
          <t>al haramain amber oud gold edition dupe of</t>
        </is>
      </c>
      <c r="C184" s="42" t="inlineStr">
        <is>
          <t>Yes</t>
        </is>
      </c>
    </row>
    <row r="185" ht="15" customHeight="1" s="37">
      <c r="A185" s="42" t="inlineStr">
        <is>
          <t>al haramain amber oud gold edition</t>
        </is>
      </c>
      <c r="B185" s="42" t="inlineStr">
        <is>
          <t>al haramain amber oud gold edition extreme</t>
        </is>
      </c>
      <c r="C185" s="42" t="n"/>
    </row>
    <row r="186" ht="15" customHeight="1" s="37">
      <c r="A186" s="42" t="inlineStr">
        <is>
          <t>al haramain amber oud gold edition</t>
        </is>
      </c>
      <c r="B186" s="42" t="inlineStr">
        <is>
          <t>al haramain amber oud gold edition price in bangladesh</t>
        </is>
      </c>
      <c r="C186" s="42" t="n"/>
    </row>
    <row r="187" ht="15" customHeight="1" s="37">
      <c r="A187" s="42" t="inlineStr">
        <is>
          <t>al haramain amber oud gold edition</t>
        </is>
      </c>
      <c r="B187" s="42" t="inlineStr">
        <is>
          <t>al haramain amber oud gold edition eau de parfum</t>
        </is>
      </c>
      <c r="C187" s="42" t="inlineStr">
        <is>
          <t>Yes</t>
        </is>
      </c>
    </row>
    <row r="188" ht="15" customHeight="1" s="37">
      <c r="A188" s="42" t="inlineStr">
        <is>
          <t>al haramain amber oud gold edition</t>
        </is>
      </c>
      <c r="B188" s="42" t="inlineStr">
        <is>
          <t>al haramain amber oud gold edition 120ml</t>
        </is>
      </c>
      <c r="C188" s="42" t="inlineStr">
        <is>
          <t>Yes</t>
        </is>
      </c>
    </row>
    <row r="189" ht="15" customHeight="1" s="37">
      <c r="A189" s="42" t="inlineStr">
        <is>
          <t>al haramain amber oud gold edition</t>
        </is>
      </c>
      <c r="B189" s="42" t="inlineStr">
        <is>
          <t>al haramain amber oud gold edition notes</t>
        </is>
      </c>
      <c r="C189" s="42" t="inlineStr">
        <is>
          <t>Yes</t>
        </is>
      </c>
    </row>
    <row r="190" ht="15" customHeight="1" s="37">
      <c r="A190" s="42" t="inlineStr">
        <is>
          <t>al haramain amber oud gold edition</t>
        </is>
      </c>
      <c r="B190" s="42" t="inlineStr">
        <is>
          <t>al haramain amber oud gold edition review</t>
        </is>
      </c>
      <c r="C190" s="42" t="inlineStr">
        <is>
          <t>Yes</t>
        </is>
      </c>
    </row>
    <row r="191" ht="15" customHeight="1" s="37">
      <c r="A191" s="42" t="inlineStr">
        <is>
          <t>al haramain amber oud gold edition</t>
        </is>
      </c>
      <c r="B191" s="42" t="inlineStr">
        <is>
          <t>al haramain amber oud gold edition price</t>
        </is>
      </c>
      <c r="C191" s="42" t="inlineStr">
        <is>
          <t>Yes</t>
        </is>
      </c>
    </row>
    <row r="192" ht="15" customHeight="1" s="37">
      <c r="A192" s="42" t="inlineStr">
        <is>
          <t>al haramain amber oud gold edition</t>
        </is>
      </c>
      <c r="B192" s="42" t="inlineStr">
        <is>
          <t>al haramain amber oud gold edition is a clone of</t>
        </is>
      </c>
      <c r="C192" s="42" t="n"/>
    </row>
    <row r="193" ht="15" customHeight="1" s="37">
      <c r="A193" s="42" t="inlineStr">
        <is>
          <t>al haramain amber oud ruby edition</t>
        </is>
      </c>
      <c r="B193" s="42" t="inlineStr">
        <is>
          <t>al haramain amber oud ruby edition</t>
        </is>
      </c>
      <c r="C193" s="42" t="inlineStr">
        <is>
          <t>Yes</t>
        </is>
      </c>
    </row>
    <row r="194" ht="15" customHeight="1" s="37">
      <c r="A194" s="42" t="inlineStr">
        <is>
          <t>al haramain amber oud ruby edition</t>
        </is>
      </c>
      <c r="B194" s="42" t="inlineStr">
        <is>
          <t>al haramain amber oud ruby edition dupe of</t>
        </is>
      </c>
      <c r="C194" s="42" t="inlineStr">
        <is>
          <t>Yes</t>
        </is>
      </c>
    </row>
    <row r="195" ht="15" customHeight="1" s="37">
      <c r="A195" s="42" t="inlineStr">
        <is>
          <t>al haramain amber oud ruby edition</t>
        </is>
      </c>
      <c r="B195" s="42" t="inlineStr">
        <is>
          <t>al haramain amber oud ruby edition price in bangladesh</t>
        </is>
      </c>
      <c r="C195" s="42" t="n"/>
    </row>
    <row r="196" ht="15" customHeight="1" s="37">
      <c r="A196" s="42" t="inlineStr">
        <is>
          <t>al haramain amber oud ruby edition</t>
        </is>
      </c>
      <c r="B196" s="42" t="inlineStr">
        <is>
          <t>al haramain amber oud ruby edition eau de parfum</t>
        </is>
      </c>
      <c r="C196" s="42" t="inlineStr">
        <is>
          <t>Yes</t>
        </is>
      </c>
    </row>
    <row r="197" ht="15" customHeight="1" s="37">
      <c r="A197" s="42" t="inlineStr">
        <is>
          <t>al haramain amber oud ruby edition</t>
        </is>
      </c>
      <c r="B197" s="42" t="inlineStr">
        <is>
          <t>al haramain amber oud ruby edition review</t>
        </is>
      </c>
      <c r="C197" s="42" t="inlineStr">
        <is>
          <t>Yes</t>
        </is>
      </c>
    </row>
    <row r="198" ht="15" customHeight="1" s="37">
      <c r="A198" s="42" t="inlineStr">
        <is>
          <t>al haramain amber oud ruby edition</t>
        </is>
      </c>
      <c r="B198" s="42" t="inlineStr">
        <is>
          <t>al haramain amber oud ruby edition 100 ml</t>
        </is>
      </c>
      <c r="C198" s="42" t="inlineStr">
        <is>
          <t>Yes</t>
        </is>
      </c>
    </row>
    <row r="199" ht="15" customHeight="1" s="37">
      <c r="A199" s="42" t="inlineStr">
        <is>
          <t>al haramain amber oud ruby edition</t>
        </is>
      </c>
      <c r="B199" s="42" t="inlineStr">
        <is>
          <t>al haramain amber oud ruby edition 200ml</t>
        </is>
      </c>
      <c r="C199" s="42" t="inlineStr">
        <is>
          <t>Yes</t>
        </is>
      </c>
    </row>
    <row r="200" ht="15" customHeight="1" s="37">
      <c r="A200" s="42" t="inlineStr">
        <is>
          <t>al haramain amber oud ruby edition</t>
        </is>
      </c>
      <c r="B200" s="42" t="inlineStr">
        <is>
          <t>al haramain amber oud ruby edition edp</t>
        </is>
      </c>
      <c r="C200" s="42" t="inlineStr">
        <is>
          <t>Yes</t>
        </is>
      </c>
    </row>
    <row r="201" ht="15" customHeight="1" s="37">
      <c r="A201" s="42" t="inlineStr">
        <is>
          <t>al haramain amber oud ruby edition</t>
        </is>
      </c>
      <c r="B201" s="42" t="inlineStr">
        <is>
          <t>al haramain amber oud ruby edition vs untold</t>
        </is>
      </c>
      <c r="C201" s="42" t="n"/>
    </row>
    <row r="202" ht="15" customHeight="1" s="37">
      <c r="A202" s="42" t="inlineStr">
        <is>
          <t>al haramain amber oud ruby edition</t>
        </is>
      </c>
      <c r="B202" s="42" t="inlineStr">
        <is>
          <t>al haramain amber oud ruby edition notes</t>
        </is>
      </c>
      <c r="C202" s="42" t="n"/>
    </row>
    <row r="203" ht="15" customHeight="1" s="37">
      <c r="A203" s="42" t="inlineStr">
        <is>
          <t>al haramain amber oud tobacco edition</t>
        </is>
      </c>
      <c r="B203" s="42" t="inlineStr">
        <is>
          <t>al haramain amber oud tobacco edition</t>
        </is>
      </c>
      <c r="C203" s="42" t="inlineStr">
        <is>
          <t>Yes</t>
        </is>
      </c>
    </row>
    <row r="204" ht="15" customHeight="1" s="37">
      <c r="A204" s="42" t="inlineStr">
        <is>
          <t>al haramain amber oud tobacco edition</t>
        </is>
      </c>
      <c r="B204" s="42" t="inlineStr">
        <is>
          <t>al haramain amber oud tobacco edition 100ml</t>
        </is>
      </c>
      <c r="C204" s="42" t="inlineStr">
        <is>
          <t>Yes</t>
        </is>
      </c>
    </row>
    <row r="205" ht="15" customHeight="1" s="37">
      <c r="A205" s="42" t="inlineStr">
        <is>
          <t>al haramain amber oud tobacco edition</t>
        </is>
      </c>
      <c r="B205" s="42" t="inlineStr">
        <is>
          <t>al haramain amber oud tobacco edition dupe of</t>
        </is>
      </c>
      <c r="C205" s="42" t="inlineStr">
        <is>
          <t>Yes</t>
        </is>
      </c>
    </row>
    <row r="206" ht="15" customHeight="1" s="37">
      <c r="A206" s="42" t="inlineStr">
        <is>
          <t>al haramain amber oud tobacco edition</t>
        </is>
      </c>
      <c r="B206" s="42" t="inlineStr">
        <is>
          <t>al haramain amber oud tobacco edition review</t>
        </is>
      </c>
      <c r="C206" s="42" t="inlineStr">
        <is>
          <t>Yes</t>
        </is>
      </c>
    </row>
    <row r="207" ht="15" customHeight="1" s="37">
      <c r="A207" s="42" t="inlineStr">
        <is>
          <t>al haramain amber oud tobacco edition</t>
        </is>
      </c>
      <c r="B207" s="42" t="inlineStr">
        <is>
          <t>al haramain amber oud tobacco edition price in bangladesh</t>
        </is>
      </c>
      <c r="C207" s="42" t="n"/>
    </row>
    <row r="208" ht="15" customHeight="1" s="37">
      <c r="A208" s="42" t="inlineStr">
        <is>
          <t>al haramain amber oud tobacco edition</t>
        </is>
      </c>
      <c r="B208" s="42" t="inlineStr">
        <is>
          <t>al haramain amber oud tobacco edition eau de parfum</t>
        </is>
      </c>
      <c r="C208" s="42" t="inlineStr">
        <is>
          <t>Yes</t>
        </is>
      </c>
    </row>
    <row r="209" ht="15" customHeight="1" s="37">
      <c r="A209" s="42" t="inlineStr">
        <is>
          <t>al haramain amber oud tobacco edition</t>
        </is>
      </c>
      <c r="B209" s="42" t="inlineStr">
        <is>
          <t>al haramain amber oud tobacco edition reddit</t>
        </is>
      </c>
      <c r="C209" s="42" t="n"/>
    </row>
    <row r="210" ht="15" customHeight="1" s="37">
      <c r="A210" s="42" t="inlineStr">
        <is>
          <t>al haramain amber oud tobacco edition</t>
        </is>
      </c>
      <c r="B210" s="42" t="inlineStr">
        <is>
          <t>al haramain amber oud tobacco edition 200ml</t>
        </is>
      </c>
      <c r="C210" s="42" t="inlineStr">
        <is>
          <t>Yes</t>
        </is>
      </c>
    </row>
    <row r="211" ht="15" customHeight="1" s="37">
      <c r="A211" s="42" t="inlineStr">
        <is>
          <t>al haramain amber oud tobacco edition</t>
        </is>
      </c>
      <c r="B211" s="42" t="inlineStr">
        <is>
          <t>al haramain amber oud tobacco edition notes</t>
        </is>
      </c>
      <c r="C211" s="42" t="inlineStr">
        <is>
          <t>Yes</t>
        </is>
      </c>
    </row>
    <row r="212" ht="15" customHeight="1" s="37">
      <c r="A212" s="42" t="inlineStr">
        <is>
          <t>al haramain amber oud tobacco edition</t>
        </is>
      </c>
      <c r="B212" s="42" t="inlineStr">
        <is>
          <t>al haramain amber oud tobacco edition edp</t>
        </is>
      </c>
      <c r="C212" s="42" t="n"/>
    </row>
    <row r="213" ht="15" customHeight="1" s="37">
      <c r="A213" s="42" t="inlineStr">
        <is>
          <t>al haramain amber oud white edition</t>
        </is>
      </c>
      <c r="B213" s="42" t="inlineStr">
        <is>
          <t>al haramain amber oud white edition</t>
        </is>
      </c>
      <c r="C213" s="42" t="inlineStr">
        <is>
          <t>Yes</t>
        </is>
      </c>
    </row>
    <row r="214" ht="15" customHeight="1" s="37">
      <c r="A214" s="42" t="inlineStr">
        <is>
          <t>al haramain amber oud white edition</t>
        </is>
      </c>
      <c r="B214" s="42" t="inlineStr">
        <is>
          <t>al haramain amber oud white edition dupe of</t>
        </is>
      </c>
      <c r="C214" s="42" t="inlineStr">
        <is>
          <t>Yes</t>
        </is>
      </c>
    </row>
    <row r="215" ht="15" customHeight="1" s="37">
      <c r="A215" s="42" t="inlineStr">
        <is>
          <t>al haramain amber oud white edition</t>
        </is>
      </c>
      <c r="B215" s="42" t="inlineStr">
        <is>
          <t>al haramain amber oud white edition edp</t>
        </is>
      </c>
      <c r="C215" s="42" t="inlineStr">
        <is>
          <t>Yes</t>
        </is>
      </c>
    </row>
    <row r="216" ht="15" customHeight="1" s="37">
      <c r="A216" s="42" t="inlineStr">
        <is>
          <t>al haramain amber oud white edition</t>
        </is>
      </c>
      <c r="B216" s="42" t="inlineStr">
        <is>
          <t>al haramain amber oud white edition review</t>
        </is>
      </c>
      <c r="C216" s="42" t="inlineStr">
        <is>
          <t>Yes</t>
        </is>
      </c>
    </row>
    <row r="217" ht="15" customHeight="1" s="37">
      <c r="A217" s="42" t="inlineStr">
        <is>
          <t>al haramain amber oud white edition</t>
        </is>
      </c>
      <c r="B217" s="42" t="inlineStr">
        <is>
          <t>al haramain amber oud white edition eau de parfum</t>
        </is>
      </c>
      <c r="C217" s="42" t="inlineStr">
        <is>
          <t>Yes</t>
        </is>
      </c>
    </row>
    <row r="218" ht="15" customHeight="1" s="37">
      <c r="A218" s="42" t="inlineStr">
        <is>
          <t>al haramain amber oud white edition</t>
        </is>
      </c>
      <c r="B218" s="42" t="inlineStr">
        <is>
          <t>al haramain amber oud white edition fragrantica</t>
        </is>
      </c>
      <c r="C218" s="42" t="n"/>
    </row>
    <row r="219" ht="15" customHeight="1" s="37">
      <c r="A219" s="42" t="inlineStr">
        <is>
          <t>al haramain amber oud white edition</t>
        </is>
      </c>
      <c r="B219" s="42" t="inlineStr">
        <is>
          <t>al haramain amber oud white edition 200ml</t>
        </is>
      </c>
      <c r="C219" s="42" t="inlineStr">
        <is>
          <t>Yes</t>
        </is>
      </c>
    </row>
    <row r="220" ht="15" customHeight="1" s="37">
      <c r="A220" s="42" t="inlineStr">
        <is>
          <t>al haramain amber oud white edition</t>
        </is>
      </c>
      <c r="B220" s="42" t="inlineStr">
        <is>
          <t>al haramain amber oud white edition edp 100ml</t>
        </is>
      </c>
      <c r="C220" s="42" t="inlineStr">
        <is>
          <t>Yes</t>
        </is>
      </c>
    </row>
    <row r="221" ht="15" customHeight="1" s="37">
      <c r="A221" s="42" t="inlineStr">
        <is>
          <t>al haramain amber oud white edition</t>
        </is>
      </c>
      <c r="B221" s="42" t="inlineStr">
        <is>
          <t>al haramain amber oud white edition for man</t>
        </is>
      </c>
      <c r="C221" s="42" t="n"/>
    </row>
    <row r="222" ht="15" customHeight="1" s="37">
      <c r="A222" s="42" t="inlineStr">
        <is>
          <t>al haramain amber oud white edition</t>
        </is>
      </c>
      <c r="B222" s="42" t="inlineStr">
        <is>
          <t>al haramain amber oud white edition 60ml</t>
        </is>
      </c>
      <c r="C222" s="42" t="n"/>
    </row>
    <row r="223" ht="15" customHeight="1" s="37">
      <c r="A223" s="42" t="inlineStr">
        <is>
          <t>al haramain detour noir</t>
        </is>
      </c>
      <c r="B223" s="42" t="inlineStr">
        <is>
          <t>al haramain detour noir</t>
        </is>
      </c>
      <c r="C223" s="42" t="inlineStr">
        <is>
          <t>Yes</t>
        </is>
      </c>
    </row>
    <row r="224" ht="15" customHeight="1" s="37">
      <c r="A224" s="42" t="inlineStr">
        <is>
          <t>al haramain detour noir</t>
        </is>
      </c>
      <c r="B224" s="42" t="inlineStr">
        <is>
          <t>al haramain detour noir exclusif</t>
        </is>
      </c>
      <c r="C224" s="42" t="n"/>
    </row>
    <row r="225" ht="15" customHeight="1" s="37">
      <c r="A225" s="42" t="inlineStr">
        <is>
          <t>al haramain detour noir</t>
        </is>
      </c>
      <c r="B225" s="42" t="inlineStr">
        <is>
          <t>al haramain detour noir intense</t>
        </is>
      </c>
      <c r="C225" s="42" t="n"/>
    </row>
    <row r="226" ht="15" customHeight="1" s="37">
      <c r="A226" s="42" t="inlineStr">
        <is>
          <t>al haramain detour noir</t>
        </is>
      </c>
      <c r="B226" s="42" t="inlineStr">
        <is>
          <t>al haramain detour noir clone of</t>
        </is>
      </c>
      <c r="C226" s="42" t="n"/>
    </row>
    <row r="227" ht="15" customHeight="1" s="37">
      <c r="A227" s="42" t="inlineStr">
        <is>
          <t>al haramain detour noir</t>
        </is>
      </c>
      <c r="B227" s="42" t="inlineStr">
        <is>
          <t>al haramain detour noir dupe of</t>
        </is>
      </c>
      <c r="C227" s="42" t="inlineStr">
        <is>
          <t>Yes</t>
        </is>
      </c>
    </row>
    <row r="228" ht="15" customHeight="1" s="37">
      <c r="A228" s="42" t="inlineStr">
        <is>
          <t>al haramain detour noir</t>
        </is>
      </c>
      <c r="B228" s="42" t="inlineStr">
        <is>
          <t>al haramain detour noir eau de parfum</t>
        </is>
      </c>
      <c r="C228" s="42" t="inlineStr">
        <is>
          <t>Yes</t>
        </is>
      </c>
    </row>
    <row r="229" ht="15" customHeight="1" s="37">
      <c r="A229" s="42" t="inlineStr">
        <is>
          <t>al haramain detour noir</t>
        </is>
      </c>
      <c r="B229" s="42" t="inlineStr">
        <is>
          <t>al haramain detour noir intense dupe of</t>
        </is>
      </c>
      <c r="C229" s="42" t="n"/>
    </row>
    <row r="230" ht="15" customHeight="1" s="37">
      <c r="A230" s="42" t="inlineStr">
        <is>
          <t>al haramain detour noir</t>
        </is>
      </c>
      <c r="B230" s="42" t="inlineStr">
        <is>
          <t>al haramain detour noir exclusif dupe of</t>
        </is>
      </c>
      <c r="C230" s="42" t="n"/>
    </row>
    <row r="231" ht="15" customHeight="1" s="37">
      <c r="A231" s="42" t="inlineStr">
        <is>
          <t>al haramain detour noir</t>
        </is>
      </c>
      <c r="B231" s="42" t="inlineStr">
        <is>
          <t>al haramain detour noir eco</t>
        </is>
      </c>
      <c r="C231" s="42" t="n"/>
    </row>
    <row r="232" ht="15" customHeight="1" s="37">
      <c r="A232" s="42" t="inlineStr">
        <is>
          <t>al haramain detour noir</t>
        </is>
      </c>
      <c r="B232" s="42" t="inlineStr">
        <is>
          <t>al haramain detour noir price in bangladesh</t>
        </is>
      </c>
      <c r="C232" s="42" t="n"/>
    </row>
    <row r="233" ht="15" customHeight="1" s="37">
      <c r="A233" s="42" t="inlineStr">
        <is>
          <t>al haramain l'aventure</t>
        </is>
      </c>
      <c r="B233" s="42" t="inlineStr">
        <is>
          <t>al haramain l'aventure</t>
        </is>
      </c>
      <c r="C233" s="42" t="inlineStr">
        <is>
          <t>Yes</t>
        </is>
      </c>
    </row>
    <row r="234" ht="15" customHeight="1" s="37">
      <c r="A234" s="42" t="inlineStr">
        <is>
          <t>al haramain l'aventure</t>
        </is>
      </c>
      <c r="B234" s="42" t="inlineStr">
        <is>
          <t>al haramain l'aventure knight</t>
        </is>
      </c>
      <c r="C234" s="42" t="n"/>
    </row>
    <row r="235" ht="15" customHeight="1" s="37">
      <c r="A235" s="42" t="inlineStr">
        <is>
          <t>al haramain l'aventure</t>
        </is>
      </c>
      <c r="B235" s="42" t="inlineStr">
        <is>
          <t>al haramain l'aventure intense</t>
        </is>
      </c>
      <c r="C235" s="42" t="inlineStr">
        <is>
          <t>Yes</t>
        </is>
      </c>
    </row>
    <row r="236" ht="15" customHeight="1" s="37">
      <c r="A236" s="42" t="inlineStr">
        <is>
          <t>al haramain l'aventure</t>
        </is>
      </c>
      <c r="B236" s="42" t="inlineStr">
        <is>
          <t>al haramain l'aventure femme</t>
        </is>
      </c>
      <c r="C236" s="42" t="inlineStr">
        <is>
          <t>Yes</t>
        </is>
      </c>
    </row>
    <row r="237" ht="15" customHeight="1" s="37">
      <c r="A237" s="42" t="inlineStr">
        <is>
          <t>al haramain l'aventure</t>
        </is>
      </c>
      <c r="B237" s="42" t="inlineStr">
        <is>
          <t>al haramain l'aventure blanche</t>
        </is>
      </c>
      <c r="C237" s="42" t="inlineStr">
        <is>
          <t>Yes</t>
        </is>
      </c>
    </row>
    <row r="238" ht="15" customHeight="1" s="37">
      <c r="A238" s="42" t="inlineStr">
        <is>
          <t>al haramain l'aventure</t>
        </is>
      </c>
      <c r="B238" s="42" t="inlineStr">
        <is>
          <t>al haramain l'aventure fraiche</t>
        </is>
      </c>
      <c r="C238" s="42" t="n"/>
    </row>
    <row r="239" ht="15" customHeight="1" s="37">
      <c r="A239" s="42" t="inlineStr">
        <is>
          <t>al haramain l'aventure</t>
        </is>
      </c>
      <c r="B239" s="42" t="inlineStr">
        <is>
          <t>al haramain l'aventure gold</t>
        </is>
      </c>
      <c r="C239" s="42" t="inlineStr">
        <is>
          <t>Yes</t>
        </is>
      </c>
    </row>
    <row r="240" ht="15" customHeight="1" s="37">
      <c r="A240" s="42" t="inlineStr">
        <is>
          <t>al haramain l'aventure</t>
        </is>
      </c>
      <c r="B240" s="42" t="inlineStr">
        <is>
          <t>al haramain l'aventure dupe of</t>
        </is>
      </c>
      <c r="C240" s="42" t="inlineStr">
        <is>
          <t>Yes</t>
        </is>
      </c>
    </row>
    <row r="241" ht="15" customHeight="1" s="37">
      <c r="A241" s="42" t="inlineStr">
        <is>
          <t>al haramain l'aventure</t>
        </is>
      </c>
      <c r="B241" s="42" t="inlineStr">
        <is>
          <t>al haramain l'aventure rose</t>
        </is>
      </c>
      <c r="C241" s="42" t="n"/>
    </row>
    <row r="242" ht="15" customHeight="1" s="37">
      <c r="A242" s="42" t="inlineStr">
        <is>
          <t>al haramain l'aventure</t>
        </is>
      </c>
      <c r="B242" s="42" t="inlineStr">
        <is>
          <t>al haramain l'aventure price in bangladesh</t>
        </is>
      </c>
      <c r="C242" s="42" t="n"/>
    </row>
    <row r="243" ht="15" customHeight="1" s="37">
      <c r="A243" s="42" t="inlineStr">
        <is>
          <t>al haramain l'aventure blanche</t>
        </is>
      </c>
      <c r="B243" s="42" t="inlineStr">
        <is>
          <t>al haramain l'aventure blanche</t>
        </is>
      </c>
      <c r="C243" s="42" t="inlineStr">
        <is>
          <t>Yes</t>
        </is>
      </c>
    </row>
    <row r="244" ht="15" customHeight="1" s="37">
      <c r="A244" s="42" t="inlineStr">
        <is>
          <t>al haramain l'aventure blanche</t>
        </is>
      </c>
      <c r="B244" s="42" t="inlineStr">
        <is>
          <t>al haramain l'aventure blanche dupe of</t>
        </is>
      </c>
      <c r="C244" s="42" t="inlineStr">
        <is>
          <t>Yes</t>
        </is>
      </c>
    </row>
    <row r="245" ht="15" customHeight="1" s="37">
      <c r="A245" s="42" t="inlineStr">
        <is>
          <t>al haramain l'aventure blanche</t>
        </is>
      </c>
      <c r="B245" s="42" t="inlineStr">
        <is>
          <t>al haramain l'aventure blanche review</t>
        </is>
      </c>
      <c r="C245" s="42" t="inlineStr">
        <is>
          <t>Yes</t>
        </is>
      </c>
    </row>
    <row r="246" ht="15" customHeight="1" s="37">
      <c r="A246" s="42" t="inlineStr">
        <is>
          <t>al haramain l'aventure blanche</t>
        </is>
      </c>
      <c r="B246" s="42" t="inlineStr">
        <is>
          <t>al haramain l'aventure blanche eau de parfum</t>
        </is>
      </c>
      <c r="C246" s="42" t="inlineStr">
        <is>
          <t>Yes</t>
        </is>
      </c>
    </row>
    <row r="247" ht="15" customHeight="1" s="37">
      <c r="A247" s="42" t="inlineStr">
        <is>
          <t>al haramain l'aventure blanche</t>
        </is>
      </c>
      <c r="B247" s="42" t="inlineStr">
        <is>
          <t>al haramain l'aventure blanche price in bangladesh</t>
        </is>
      </c>
      <c r="C247" s="42" t="n"/>
    </row>
    <row r="248" ht="15" customHeight="1" s="37">
      <c r="A248" s="42" t="inlineStr">
        <is>
          <t>al haramain l'aventure blanche</t>
        </is>
      </c>
      <c r="B248" s="42" t="inlineStr">
        <is>
          <t>al haramain l aventure blanche men</t>
        </is>
      </c>
      <c r="C248" s="42" t="n"/>
    </row>
    <row r="249" ht="15" customHeight="1" s="37">
      <c r="A249" s="42" t="inlineStr">
        <is>
          <t>al haramain l'aventure blanche</t>
        </is>
      </c>
      <c r="B249" s="42" t="inlineStr">
        <is>
          <t>al haramain l'aventure blanche edp</t>
        </is>
      </c>
      <c r="C249" s="42" t="inlineStr">
        <is>
          <t>Yes</t>
        </is>
      </c>
    </row>
    <row r="250" ht="15" customHeight="1" s="37">
      <c r="A250" s="42" t="inlineStr">
        <is>
          <t>al haramain l'aventure blanche</t>
        </is>
      </c>
      <c r="B250" s="42" t="inlineStr">
        <is>
          <t>al haramain l aventure blanche m edp 100ml</t>
        </is>
      </c>
      <c r="C250" s="42" t="n"/>
    </row>
    <row r="251" ht="15" customHeight="1" s="37">
      <c r="A251" s="42" t="inlineStr">
        <is>
          <t>al haramain l'aventure blanche</t>
        </is>
      </c>
      <c r="B251" s="42" t="inlineStr">
        <is>
          <t>al haramain l'aventure blanche clone of</t>
        </is>
      </c>
      <c r="C251" s="42" t="n"/>
    </row>
    <row r="252" ht="15" customHeight="1" s="37">
      <c r="A252" s="42" t="inlineStr">
        <is>
          <t>al haramain l'aventure blanche</t>
        </is>
      </c>
      <c r="B252" s="42" t="inlineStr">
        <is>
          <t>al haramain l aventure blanche eau de parfum for men</t>
        </is>
      </c>
      <c r="C252" s="42" t="n"/>
    </row>
    <row r="253" ht="15" customHeight="1" s="37">
      <c r="A253" s="42" t="inlineStr">
        <is>
          <t>al haramain l'aventure femme</t>
        </is>
      </c>
      <c r="B253" s="42" t="inlineStr">
        <is>
          <t>al haramain l'aventure femme</t>
        </is>
      </c>
      <c r="C253" s="42" t="inlineStr">
        <is>
          <t>Yes</t>
        </is>
      </c>
    </row>
    <row r="254" ht="15" customHeight="1" s="37">
      <c r="A254" s="42" t="inlineStr">
        <is>
          <t>al haramain l'aventure femme</t>
        </is>
      </c>
      <c r="B254" s="42" t="inlineStr">
        <is>
          <t>al haramain l'aventure femme dupe</t>
        </is>
      </c>
      <c r="C254" s="42" t="inlineStr">
        <is>
          <t>Yes</t>
        </is>
      </c>
    </row>
    <row r="255" ht="15" customHeight="1" s="37">
      <c r="A255" s="42" t="inlineStr">
        <is>
          <t>al haramain l'aventure femme</t>
        </is>
      </c>
      <c r="B255" s="42" t="inlineStr">
        <is>
          <t>al haramain l'aventure femme eau de parfum</t>
        </is>
      </c>
      <c r="C255" s="42" t="inlineStr">
        <is>
          <t>Yes</t>
        </is>
      </c>
    </row>
    <row r="256" ht="15" customHeight="1" s="37">
      <c r="A256" s="42" t="inlineStr">
        <is>
          <t>al haramain l'aventure femme</t>
        </is>
      </c>
      <c r="B256" s="42" t="inlineStr">
        <is>
          <t>al haramain l'aventure femme notes</t>
        </is>
      </c>
      <c r="C256" s="42" t="inlineStr">
        <is>
          <t>Yes</t>
        </is>
      </c>
    </row>
    <row r="257" ht="15" customHeight="1" s="37">
      <c r="A257" s="42" t="inlineStr">
        <is>
          <t>al haramain l'aventure femme</t>
        </is>
      </c>
      <c r="B257" s="42" t="inlineStr">
        <is>
          <t>al haramain l'aventure femme white</t>
        </is>
      </c>
      <c r="C257" s="42" t="n"/>
    </row>
    <row r="258" ht="15" customHeight="1" s="37">
      <c r="A258" s="42" t="inlineStr">
        <is>
          <t>al haramain l'aventure femme</t>
        </is>
      </c>
      <c r="B258" s="42" t="inlineStr">
        <is>
          <t>al haramain l'&amp; l'aventure femme fragrantica</t>
        </is>
      </c>
      <c r="C258" s="42" t="n"/>
    </row>
    <row r="259" ht="15" customHeight="1" s="37">
      <c r="A259" s="42" t="inlineStr">
        <is>
          <t>al haramain l'aventure femme</t>
        </is>
      </c>
      <c r="B259" s="42" t="inlineStr">
        <is>
          <t>al haramain l aventure femme review</t>
        </is>
      </c>
      <c r="C259" s="42" t="n"/>
    </row>
    <row r="260" ht="15" customHeight="1" s="37">
      <c r="A260" s="42" t="inlineStr">
        <is>
          <t>al haramain l'aventure femme</t>
        </is>
      </c>
      <c r="B260" s="42" t="inlineStr">
        <is>
          <t>al haramain l aventure femme 200ml</t>
        </is>
      </c>
      <c r="C260" s="42" t="n"/>
    </row>
    <row r="261" ht="15" customHeight="1" s="37">
      <c r="A261" s="42" t="inlineStr">
        <is>
          <t>al haramain l'aventure femme</t>
        </is>
      </c>
      <c r="B261" s="42" t="inlineStr">
        <is>
          <t>al haramain - l'aventure femme edp</t>
        </is>
      </c>
      <c r="C261" s="42" t="inlineStr">
        <is>
          <t>Yes</t>
        </is>
      </c>
    </row>
    <row r="262" ht="15" customHeight="1" s="37">
      <c r="A262" s="42" t="inlineStr">
        <is>
          <t>al haramain l'aventure femme</t>
        </is>
      </c>
      <c r="B262" s="42" t="inlineStr">
        <is>
          <t>al haramain l aventure femme eau de parfum 100ml</t>
        </is>
      </c>
      <c r="C262" s="42" t="n"/>
    </row>
    <row r="263" ht="15" customHeight="1" s="37">
      <c r="A263" s="42" t="inlineStr">
        <is>
          <t>al haramain l'aventure gold</t>
        </is>
      </c>
      <c r="B263" s="42" t="inlineStr">
        <is>
          <t>al haramain l'aventure gold</t>
        </is>
      </c>
      <c r="C263" s="42" t="inlineStr">
        <is>
          <t>Yes</t>
        </is>
      </c>
    </row>
    <row r="264" ht="15" customHeight="1" s="37">
      <c r="A264" s="42" t="inlineStr">
        <is>
          <t>al haramain l'aventure gold</t>
        </is>
      </c>
      <c r="B264" s="42" t="inlineStr">
        <is>
          <t>al haramain l'aventure gold dupe</t>
        </is>
      </c>
      <c r="C264" s="42" t="inlineStr">
        <is>
          <t>Yes</t>
        </is>
      </c>
    </row>
    <row r="265" ht="15" customHeight="1" s="37">
      <c r="A265" s="42" t="inlineStr">
        <is>
          <t>al haramain l'aventure gold</t>
        </is>
      </c>
      <c r="B265" s="42" t="inlineStr">
        <is>
          <t>al haramain l'aventure gold perfume</t>
        </is>
      </c>
      <c r="C265" s="42" t="inlineStr">
        <is>
          <t>Yes</t>
        </is>
      </c>
    </row>
    <row r="266" ht="15" customHeight="1" s="37">
      <c r="A266" s="42" t="inlineStr">
        <is>
          <t>al haramain l'aventure gold</t>
        </is>
      </c>
      <c r="B266" s="42" t="inlineStr">
        <is>
          <t>al haramain l'aventure gold eau de parfum</t>
        </is>
      </c>
      <c r="C266" s="42" t="inlineStr">
        <is>
          <t>Yes</t>
        </is>
      </c>
    </row>
    <row r="267" ht="15" customHeight="1" s="37">
      <c r="A267" s="42" t="inlineStr">
        <is>
          <t>al haramain l'aventure gold</t>
        </is>
      </c>
      <c r="B267" s="42" t="inlineStr">
        <is>
          <t>al haramain l aventure gold review</t>
        </is>
      </c>
      <c r="C267" s="42" t="n"/>
    </row>
    <row r="268" ht="15" customHeight="1" s="37">
      <c r="A268" s="42" t="inlineStr">
        <is>
          <t>al haramain l'aventure gold</t>
        </is>
      </c>
      <c r="B268" s="42" t="inlineStr">
        <is>
          <t>al haramain l aventure gold edp</t>
        </is>
      </c>
      <c r="C268" s="42" t="n"/>
    </row>
    <row r="269" ht="15" customHeight="1" s="37">
      <c r="A269" s="42" t="inlineStr">
        <is>
          <t>al haramain l'aventure gold</t>
        </is>
      </c>
      <c r="B269" s="42" t="inlineStr">
        <is>
          <t>al haramain l'aventure gold clone of</t>
        </is>
      </c>
      <c r="C269" s="42" t="n"/>
    </row>
    <row r="270" ht="15" customHeight="1" s="37">
      <c r="A270" s="42" t="inlineStr">
        <is>
          <t>al haramain l'aventure gold</t>
        </is>
      </c>
      <c r="B270" s="42" t="inlineStr">
        <is>
          <t>al haramain l aventure gold for women</t>
        </is>
      </c>
      <c r="C270" s="42" t="n"/>
    </row>
    <row r="271" ht="15" customHeight="1" s="37">
      <c r="A271" s="42" t="inlineStr">
        <is>
          <t>al haramain l'aventure gold</t>
        </is>
      </c>
      <c r="B271" s="42" t="inlineStr">
        <is>
          <t>al haramain l aventure gold eau de parfum 100ml</t>
        </is>
      </c>
      <c r="C271" s="42" t="n"/>
    </row>
    <row r="272" ht="15" customHeight="1" s="37">
      <c r="A272" s="42" t="inlineStr">
        <is>
          <t>al haramain l'aventure gold</t>
        </is>
      </c>
      <c r="B272" s="42" t="inlineStr">
        <is>
          <t>al haramain l aventure gold notes</t>
        </is>
      </c>
      <c r="C272" s="42" t="n"/>
    </row>
    <row r="273" ht="15" customHeight="1" s="37">
      <c r="A273" s="42" t="inlineStr">
        <is>
          <t>al haramain l'aventure intense</t>
        </is>
      </c>
      <c r="B273" s="42" t="inlineStr">
        <is>
          <t>al haramain l'aventure intense</t>
        </is>
      </c>
      <c r="C273" s="42" t="inlineStr">
        <is>
          <t>Yes</t>
        </is>
      </c>
    </row>
    <row r="274" ht="15" customHeight="1" s="37">
      <c r="A274" s="42" t="inlineStr">
        <is>
          <t>al haramain l'aventure intense</t>
        </is>
      </c>
      <c r="B274" s="42" t="inlineStr">
        <is>
          <t>al haramain l'aventure intense dupe of</t>
        </is>
      </c>
      <c r="C274" s="42" t="inlineStr">
        <is>
          <t>Yes</t>
        </is>
      </c>
    </row>
    <row r="275" ht="15" customHeight="1" s="37">
      <c r="A275" s="42" t="inlineStr">
        <is>
          <t>al haramain l'aventure intense</t>
        </is>
      </c>
      <c r="B275" s="42" t="inlineStr">
        <is>
          <t>al haramain l'aventure intense eau de parfum</t>
        </is>
      </c>
      <c r="C275" s="42" t="inlineStr">
        <is>
          <t>Yes</t>
        </is>
      </c>
    </row>
    <row r="276" ht="15" customHeight="1" s="37">
      <c r="A276" s="42" t="inlineStr">
        <is>
          <t>al haramain l'aventure intense</t>
        </is>
      </c>
      <c r="B276" s="42" t="inlineStr">
        <is>
          <t>al haramain l'aventure intense clone of</t>
        </is>
      </c>
      <c r="C276" s="42" t="n"/>
    </row>
    <row r="277" ht="15" customHeight="1" s="37">
      <c r="A277" s="42" t="inlineStr">
        <is>
          <t>al haramain l'aventure intense</t>
        </is>
      </c>
      <c r="B277" s="42" t="inlineStr">
        <is>
          <t>al haramain l'aventure intense review</t>
        </is>
      </c>
      <c r="C277" s="42" t="inlineStr">
        <is>
          <t>Yes</t>
        </is>
      </c>
    </row>
    <row r="278" ht="15" customHeight="1" s="37">
      <c r="A278" s="42" t="inlineStr">
        <is>
          <t>al haramain l'aventure intense</t>
        </is>
      </c>
      <c r="B278" s="42" t="inlineStr">
        <is>
          <t>al haramain l'aventure intense price in bangladesh</t>
        </is>
      </c>
      <c r="C278" s="42" t="n"/>
    </row>
    <row r="279" ht="15" customHeight="1" s="37">
      <c r="A279" s="42" t="inlineStr">
        <is>
          <t>al haramain l'aventure intense</t>
        </is>
      </c>
      <c r="B279" s="42" t="inlineStr">
        <is>
          <t>al haramain l'aventure intense vs al haramain l'aventure</t>
        </is>
      </c>
      <c r="C279" s="42" t="n"/>
    </row>
    <row r="280" ht="15" customHeight="1" s="37">
      <c r="A280" s="42" t="inlineStr">
        <is>
          <t>al haramain l'aventure intense</t>
        </is>
      </c>
      <c r="B280" s="42" t="inlineStr">
        <is>
          <t>al haramain l'aventure intense reddit</t>
        </is>
      </c>
      <c r="C280" s="42" t="n"/>
    </row>
    <row r="281" ht="15" customHeight="1" s="37">
      <c r="A281" s="42" t="inlineStr">
        <is>
          <t>al haramain l'aventure intense</t>
        </is>
      </c>
      <c r="B281" s="42" t="inlineStr">
        <is>
          <t>al haramain l'aventure intense eau de parfum 100ml</t>
        </is>
      </c>
      <c r="C281" s="42" t="inlineStr">
        <is>
          <t>Yes</t>
        </is>
      </c>
    </row>
    <row r="282" ht="15" customHeight="1" s="37">
      <c r="A282" s="42" t="inlineStr">
        <is>
          <t>al haramain l'aventure intense</t>
        </is>
      </c>
      <c r="B282" s="42" t="inlineStr">
        <is>
          <t>al haramain l'aventure intense edp</t>
        </is>
      </c>
      <c r="C282" s="42" t="inlineStr">
        <is>
          <t>Yes</t>
        </is>
      </c>
    </row>
    <row r="283" ht="15" customHeight="1" s="37">
      <c r="A283" s="42" t="inlineStr">
        <is>
          <t>al haramain perfume</t>
        </is>
      </c>
      <c r="B283" s="42" t="inlineStr">
        <is>
          <t>al haramain perfumes</t>
        </is>
      </c>
      <c r="C283" s="42" t="n"/>
    </row>
    <row r="284" ht="15" customHeight="1" s="37">
      <c r="A284" s="42" t="inlineStr">
        <is>
          <t>al haramain perfume</t>
        </is>
      </c>
      <c r="B284" s="42" t="inlineStr">
        <is>
          <t>al haramain perfumes hyderabad</t>
        </is>
      </c>
      <c r="C284" s="42" t="n"/>
    </row>
    <row r="285" ht="15" customHeight="1" s="37">
      <c r="A285" s="42" t="inlineStr">
        <is>
          <t>al haramain perfume</t>
        </is>
      </c>
      <c r="B285" s="42" t="inlineStr">
        <is>
          <t>al haramain perfumes tolichowki</t>
        </is>
      </c>
      <c r="C285" s="42" t="n"/>
    </row>
    <row r="286" ht="15" customHeight="1" s="37">
      <c r="A286" s="42" t="inlineStr">
        <is>
          <t>al haramain perfume</t>
        </is>
      </c>
      <c r="B286" s="42" t="inlineStr">
        <is>
          <t>al haramain perfumes abids</t>
        </is>
      </c>
      <c r="C286" s="42" t="n"/>
    </row>
    <row r="287" ht="15" customHeight="1" s="37">
      <c r="A287" s="42" t="inlineStr">
        <is>
          <t>al haramain perfume</t>
        </is>
      </c>
      <c r="B287" s="42" t="inlineStr">
        <is>
          <t>al haramain perfumes price in bangladesh</t>
        </is>
      </c>
      <c r="C287" s="42" t="n"/>
    </row>
    <row r="288" ht="15" customHeight="1" s="37">
      <c r="A288" s="42" t="inlineStr">
        <is>
          <t>al haramain perfume</t>
        </is>
      </c>
      <c r="B288" s="42" t="inlineStr">
        <is>
          <t>al haramain perfumes owner</t>
        </is>
      </c>
      <c r="C288" s="42" t="n"/>
    </row>
    <row r="289" ht="15" customHeight="1" s="37">
      <c r="A289" s="42" t="inlineStr">
        <is>
          <t>al haramain perfume</t>
        </is>
      </c>
      <c r="B289" s="42" t="inlineStr">
        <is>
          <t>al haramain perfumes price</t>
        </is>
      </c>
      <c r="C289" s="42" t="n"/>
    </row>
    <row r="290" ht="15" customHeight="1" s="37">
      <c r="A290" s="42" t="inlineStr">
        <is>
          <t>al haramain perfume</t>
        </is>
      </c>
      <c r="B290" s="42" t="inlineStr">
        <is>
          <t>al haramain perfumes near me</t>
        </is>
      </c>
      <c r="C290" s="42" t="n"/>
    </row>
    <row r="291" ht="15" customHeight="1" s="37">
      <c r="A291" s="42" t="inlineStr">
        <is>
          <t>al haramain perfume</t>
        </is>
      </c>
      <c r="B291" s="42" t="inlineStr">
        <is>
          <t>al haramain perfumes india</t>
        </is>
      </c>
      <c r="C291" s="42" t="n"/>
    </row>
    <row r="292" ht="15" customHeight="1" s="37">
      <c r="A292" s="42" t="inlineStr">
        <is>
          <t>al haramain perfume</t>
        </is>
      </c>
      <c r="B292" s="42" t="inlineStr">
        <is>
          <t>al haramain perfumes qatar</t>
        </is>
      </c>
      <c r="C292" s="42" t="n"/>
    </row>
    <row r="293" ht="15" customHeight="1" s="37">
      <c r="A293" s="42" t="inlineStr">
        <is>
          <t>anatome balance</t>
        </is>
      </c>
      <c r="B293" s="42" t="inlineStr">
        <is>
          <t>anatome balance</t>
        </is>
      </c>
      <c r="C293" s="42" t="inlineStr">
        <is>
          <t>Yes</t>
        </is>
      </c>
    </row>
    <row r="294" ht="15" customHeight="1" s="37">
      <c r="A294" s="42" t="inlineStr">
        <is>
          <t>anatome balance</t>
        </is>
      </c>
      <c r="B294" s="42" t="inlineStr">
        <is>
          <t>anatome balance and stability</t>
        </is>
      </c>
      <c r="C294" s="42" t="n"/>
    </row>
    <row r="295" ht="15" customHeight="1" s="37">
      <c r="A295" s="42" t="inlineStr">
        <is>
          <t>anatome balance</t>
        </is>
      </c>
      <c r="B295" s="42" t="inlineStr">
        <is>
          <t>anatome balance perfume</t>
        </is>
      </c>
      <c r="C295" s="42" t="inlineStr">
        <is>
          <t>Yes</t>
        </is>
      </c>
    </row>
    <row r="296" ht="15" customHeight="1" s="37">
      <c r="A296" s="42" t="inlineStr">
        <is>
          <t>anatome balance</t>
        </is>
      </c>
      <c r="B296" s="42" t="inlineStr">
        <is>
          <t>anatomy balanced body</t>
        </is>
      </c>
      <c r="C296" s="42" t="n"/>
    </row>
    <row r="297" ht="15" customHeight="1" s="37">
      <c r="A297" s="42" t="inlineStr">
        <is>
          <t>anatome balance</t>
        </is>
      </c>
      <c r="B297" s="42" t="inlineStr">
        <is>
          <t>anatomy balance</t>
        </is>
      </c>
      <c r="C297" s="42" t="n"/>
    </row>
    <row r="298" ht="15" customHeight="1" s="37">
      <c r="A298" s="42" t="inlineStr">
        <is>
          <t>anatome balance</t>
        </is>
      </c>
      <c r="B298" s="42" t="inlineStr">
        <is>
          <t>line of balance example</t>
        </is>
      </c>
      <c r="C298" s="42" t="n"/>
    </row>
    <row r="299" ht="15" customHeight="1" s="37">
      <c r="A299" s="42" t="inlineStr">
        <is>
          <t>anatome balance</t>
        </is>
      </c>
      <c r="B299" s="42" t="inlineStr">
        <is>
          <t>line of balance technique</t>
        </is>
      </c>
      <c r="C299" s="42" t="n"/>
    </row>
    <row r="300" ht="15" customHeight="1" s="37">
      <c r="A300" s="42" t="inlineStr">
        <is>
          <t>anatome balance</t>
        </is>
      </c>
      <c r="B300" s="42" t="inlineStr">
        <is>
          <t>line of balance formula</t>
        </is>
      </c>
      <c r="C300" s="42" t="n"/>
    </row>
    <row r="301" ht="15" customHeight="1" s="37">
      <c r="A301" s="42" t="inlineStr">
        <is>
          <t>anatome energy</t>
        </is>
      </c>
      <c r="B301" s="42" t="inlineStr">
        <is>
          <t>anatome energy perfume</t>
        </is>
      </c>
      <c r="C301" s="42" t="inlineStr">
        <is>
          <t>Yes</t>
        </is>
      </c>
    </row>
    <row r="302" ht="15" customHeight="1" s="37">
      <c r="A302" s="42" t="inlineStr">
        <is>
          <t>anatome energy</t>
        </is>
      </c>
      <c r="B302" s="42" t="inlineStr">
        <is>
          <t>anatome energy</t>
        </is>
      </c>
      <c r="C302" s="42" t="inlineStr">
        <is>
          <t>Yes</t>
        </is>
      </c>
    </row>
    <row r="303" ht="15" customHeight="1" s="37">
      <c r="A303" s="42" t="inlineStr">
        <is>
          <t>anatome energy</t>
        </is>
      </c>
      <c r="B303" s="42" t="inlineStr">
        <is>
          <t>anatome energy and strength</t>
        </is>
      </c>
      <c r="C303" s="42" t="n"/>
    </row>
    <row r="304" ht="15" customHeight="1" s="37">
      <c r="A304" s="42" t="inlineStr">
        <is>
          <t>anatome energy</t>
        </is>
      </c>
      <c r="B304" s="42" t="inlineStr">
        <is>
          <t>anatome energy and strength oil</t>
        </is>
      </c>
      <c r="C304" s="42" t="n"/>
    </row>
    <row r="305" ht="15" customHeight="1" s="37">
      <c r="A305" s="42" t="inlineStr">
        <is>
          <t>anatome energy</t>
        </is>
      </c>
      <c r="B305" s="42" t="inlineStr">
        <is>
          <t>anatomy energy</t>
        </is>
      </c>
      <c r="C305" s="42" t="n"/>
    </row>
    <row r="306" ht="15" customHeight="1" s="37">
      <c r="A306" s="42" t="inlineStr">
        <is>
          <t>anatome energy</t>
        </is>
      </c>
      <c r="B306" s="42" t="inlineStr">
        <is>
          <t>si muscle energy technique</t>
        </is>
      </c>
      <c r="C306" s="42" t="n"/>
    </row>
    <row r="307" ht="15" customHeight="1" s="37">
      <c r="A307" s="42" t="inlineStr">
        <is>
          <t>anatome energy</t>
        </is>
      </c>
      <c r="B307" s="42" t="inlineStr">
        <is>
          <t>what is bioelectric energy</t>
        </is>
      </c>
      <c r="C307" s="42" t="n"/>
    </row>
    <row r="308" ht="15" customHeight="1" s="37">
      <c r="A308" s="42" t="inlineStr">
        <is>
          <t>anatome energy</t>
        </is>
      </c>
      <c r="B308" s="42" t="inlineStr">
        <is>
          <t>different energy bodies</t>
        </is>
      </c>
      <c r="C308" s="42" t="n"/>
    </row>
    <row r="309" ht="15" customHeight="1" s="37">
      <c r="A309" s="42" t="inlineStr">
        <is>
          <t>anatome expression</t>
        </is>
      </c>
      <c r="B309" s="42" t="inlineStr">
        <is>
          <t>anatome expression</t>
        </is>
      </c>
      <c r="C309" s="42" t="inlineStr">
        <is>
          <t>Yes</t>
        </is>
      </c>
    </row>
    <row r="310" ht="15" customHeight="1" s="37">
      <c r="A310" s="42" t="inlineStr">
        <is>
          <t>anatome expression</t>
        </is>
      </c>
      <c r="B310" s="42" t="inlineStr">
        <is>
          <t>anatome expression fragrantica</t>
        </is>
      </c>
      <c r="C310" s="42" t="n"/>
    </row>
    <row r="311" ht="15" customHeight="1" s="37">
      <c r="A311" s="42" t="inlineStr">
        <is>
          <t>anatome expression</t>
        </is>
      </c>
      <c r="B311" s="42" t="inlineStr">
        <is>
          <t>anatomy expression</t>
        </is>
      </c>
      <c r="C311" s="42" t="n"/>
    </row>
    <row r="312" ht="15" customHeight="1" s="37">
      <c r="A312" s="42" t="inlineStr">
        <is>
          <t>anatome focus</t>
        </is>
      </c>
      <c r="B312" s="42" t="inlineStr">
        <is>
          <t>anatome focus</t>
        </is>
      </c>
      <c r="C312" s="42" t="inlineStr">
        <is>
          <t>Yes</t>
        </is>
      </c>
    </row>
    <row r="313" ht="15" customHeight="1" s="37">
      <c r="A313" s="42" t="inlineStr">
        <is>
          <t>anatome focus</t>
        </is>
      </c>
      <c r="B313" s="42" t="inlineStr">
        <is>
          <t>anatome focus parfum</t>
        </is>
      </c>
      <c r="C313" s="42" t="inlineStr">
        <is>
          <t>Yes</t>
        </is>
      </c>
    </row>
    <row r="314" ht="15" customHeight="1" s="37">
      <c r="A314" s="42" t="inlineStr">
        <is>
          <t>anatome focus</t>
        </is>
      </c>
      <c r="B314" s="42" t="inlineStr">
        <is>
          <t>anatomy focuses on</t>
        </is>
      </c>
      <c r="C314" s="42" t="n"/>
    </row>
    <row r="315" ht="15" customHeight="1" s="37">
      <c r="A315" s="42" t="inlineStr">
        <is>
          <t>anatome focus</t>
        </is>
      </c>
      <c r="B315" s="42" t="inlineStr">
        <is>
          <t>anatomy focuses on structure</t>
        </is>
      </c>
      <c r="C315" s="42" t="n"/>
    </row>
    <row r="316" ht="15" customHeight="1" s="37">
      <c r="A316" s="42" t="inlineStr">
        <is>
          <t>anatome focus</t>
        </is>
      </c>
      <c r="B316" s="42" t="inlineStr">
        <is>
          <t>anatomy focuses on quizlet</t>
        </is>
      </c>
      <c r="C316" s="42" t="n"/>
    </row>
    <row r="317" ht="15" customHeight="1" s="37">
      <c r="A317" s="42" t="inlineStr">
        <is>
          <t>anatome focus</t>
        </is>
      </c>
      <c r="B317" s="42" t="inlineStr">
        <is>
          <t>anatomy focused careers</t>
        </is>
      </c>
      <c r="C317" s="42" t="n"/>
    </row>
    <row r="318" ht="15" customHeight="1" s="37">
      <c r="A318" s="42" t="inlineStr">
        <is>
          <t>anatome focus</t>
        </is>
      </c>
      <c r="B318" s="42" t="inlineStr">
        <is>
          <t>anatomy focused jobs</t>
        </is>
      </c>
      <c r="C318" s="42" t="n"/>
    </row>
    <row r="319" ht="15" customHeight="1" s="37">
      <c r="A319" s="42" t="inlineStr">
        <is>
          <t>anatome focus</t>
        </is>
      </c>
      <c r="B319" s="42" t="inlineStr">
        <is>
          <t>anatome focus and concentration</t>
        </is>
      </c>
      <c r="C319" s="42" t="n"/>
    </row>
    <row r="320" ht="15" customHeight="1" s="37">
      <c r="A320" s="42" t="inlineStr">
        <is>
          <t>anatome focus</t>
        </is>
      </c>
      <c r="B320" s="42" t="inlineStr">
        <is>
          <t>focus line up</t>
        </is>
      </c>
      <c r="C320" s="42" t="n"/>
    </row>
    <row r="321" ht="15" customHeight="1" s="37">
      <c r="A321" s="42" t="inlineStr">
        <is>
          <t>anatome perfume</t>
        </is>
      </c>
      <c r="B321" s="42" t="inlineStr">
        <is>
          <t>anatome perfume</t>
        </is>
      </c>
      <c r="C321" s="42" t="inlineStr">
        <is>
          <t>Yes</t>
        </is>
      </c>
    </row>
    <row r="322" ht="15" customHeight="1" s="37">
      <c r="A322" s="42" t="inlineStr">
        <is>
          <t>anatome perfume</t>
        </is>
      </c>
      <c r="B322" s="42" t="inlineStr">
        <is>
          <t>anatome perfume review</t>
        </is>
      </c>
      <c r="C322" s="42" t="n"/>
    </row>
    <row r="323" ht="15" customHeight="1" s="37">
      <c r="A323" s="42" t="inlineStr">
        <is>
          <t>anatome perfume</t>
        </is>
      </c>
      <c r="B323" s="42" t="inlineStr">
        <is>
          <t>anatome perfume fragrantica</t>
        </is>
      </c>
      <c r="C323" s="42" t="n"/>
    </row>
    <row r="324" ht="15" customHeight="1" s="37">
      <c r="A324" s="42" t="inlineStr">
        <is>
          <t>anatome perfume</t>
        </is>
      </c>
      <c r="B324" s="42" t="inlineStr">
        <is>
          <t>anatome focus parfum</t>
        </is>
      </c>
      <c r="C324" s="42" t="inlineStr">
        <is>
          <t>Yes</t>
        </is>
      </c>
    </row>
    <row r="325" ht="15" customHeight="1" s="37">
      <c r="A325" s="42" t="inlineStr">
        <is>
          <t>anatome perfume</t>
        </is>
      </c>
      <c r="B325" s="42" t="inlineStr">
        <is>
          <t>anatome order parfum</t>
        </is>
      </c>
      <c r="C325" s="42" t="n"/>
    </row>
    <row r="326" ht="15" customHeight="1" s="37">
      <c r="A326" s="42" t="inlineStr">
        <is>
          <t>anatome perfume</t>
        </is>
      </c>
      <c r="B326" s="42" t="inlineStr">
        <is>
          <t>anatome energy perfume</t>
        </is>
      </c>
      <c r="C326" s="42" t="inlineStr">
        <is>
          <t>Yes</t>
        </is>
      </c>
    </row>
    <row r="327" ht="15" customHeight="1" s="37">
      <c r="A327" s="42" t="inlineStr">
        <is>
          <t>anatome perfume</t>
        </is>
      </c>
      <c r="B327" s="42" t="inlineStr">
        <is>
          <t>anatome balance perfume</t>
        </is>
      </c>
      <c r="C327" s="42" t="inlineStr">
        <is>
          <t>Yes</t>
        </is>
      </c>
    </row>
    <row r="328" ht="15" customHeight="1" s="37">
      <c r="A328" s="42" t="inlineStr">
        <is>
          <t>anatome perfume</t>
        </is>
      </c>
      <c r="B328" s="42" t="inlineStr">
        <is>
          <t>what does rihanna perfume smell like</t>
        </is>
      </c>
      <c r="C328" s="42" t="n"/>
    </row>
    <row r="329" ht="15" customHeight="1" s="37">
      <c r="A329" s="42" t="inlineStr">
        <is>
          <t>anatome support</t>
        </is>
      </c>
      <c r="B329" s="42" t="inlineStr">
        <is>
          <t>anatome support</t>
        </is>
      </c>
      <c r="C329" s="42" t="inlineStr">
        <is>
          <t>Yes</t>
        </is>
      </c>
    </row>
    <row r="330" ht="15" customHeight="1" s="37">
      <c r="A330" s="42" t="inlineStr">
        <is>
          <t>anatome support</t>
        </is>
      </c>
      <c r="B330" s="42" t="inlineStr">
        <is>
          <t>anatome support and protection</t>
        </is>
      </c>
      <c r="C330" s="42" t="n"/>
    </row>
    <row r="331" ht="15" customHeight="1" s="37">
      <c r="A331" s="42" t="inlineStr">
        <is>
          <t>anatome support</t>
        </is>
      </c>
      <c r="B331" s="42" t="inlineStr">
        <is>
          <t>anatomy of support</t>
        </is>
      </c>
      <c r="C331" s="42" t="n"/>
    </row>
    <row r="332" ht="15" customHeight="1" s="37">
      <c r="A332" s="42" t="inlineStr">
        <is>
          <t>anatome support</t>
        </is>
      </c>
      <c r="B332" s="42" t="inlineStr">
        <is>
          <t>anatomy supports of uterus</t>
        </is>
      </c>
      <c r="C332" s="42" t="n"/>
    </row>
    <row r="333" ht="15" customHeight="1" s="37">
      <c r="A333" s="42" t="inlineStr">
        <is>
          <t>anatome support</t>
        </is>
      </c>
      <c r="B333" s="42" t="inlineStr">
        <is>
          <t>supports or support</t>
        </is>
      </c>
      <c r="C333" s="42" t="n"/>
    </row>
    <row r="334" ht="15" customHeight="1" s="37">
      <c r="A334" s="42" t="inlineStr">
        <is>
          <t>anatome support</t>
        </is>
      </c>
      <c r="B334" s="42" t="inlineStr">
        <is>
          <t>lines of support</t>
        </is>
      </c>
      <c r="C334" s="42" t="n"/>
    </row>
    <row r="335" ht="15" customHeight="1" s="37">
      <c r="A335" s="42" t="inlineStr">
        <is>
          <t>anatome support</t>
        </is>
      </c>
      <c r="B335" s="42" t="inlineStr">
        <is>
          <t>difference between main support and flex support</t>
        </is>
      </c>
      <c r="C335" s="42" t="n"/>
    </row>
    <row r="336" ht="15" customHeight="1" s="37">
      <c r="A336" s="42" t="inlineStr">
        <is>
          <t>anna sui perfume</t>
        </is>
      </c>
      <c r="B336" s="42" t="inlineStr">
        <is>
          <t>anna sui perfume</t>
        </is>
      </c>
      <c r="C336" s="42" t="inlineStr">
        <is>
          <t>Yes</t>
        </is>
      </c>
    </row>
    <row r="337" ht="15" customHeight="1" s="37">
      <c r="A337" s="42" t="inlineStr">
        <is>
          <t>anna sui perfume</t>
        </is>
      </c>
      <c r="B337" s="42" t="inlineStr">
        <is>
          <t>anna sui perfume sundae</t>
        </is>
      </c>
      <c r="C337" s="42" t="n"/>
    </row>
    <row r="338" ht="15" customHeight="1" s="37">
      <c r="A338" s="42" t="inlineStr">
        <is>
          <t>anna sui perfume</t>
        </is>
      </c>
      <c r="B338" s="42" t="inlineStr">
        <is>
          <t>anna sui perfume fantasia</t>
        </is>
      </c>
      <c r="C338" s="42" t="n"/>
    </row>
    <row r="339" ht="15" customHeight="1" s="37">
      <c r="A339" s="42" t="inlineStr">
        <is>
          <t>anna sui perfume</t>
        </is>
      </c>
      <c r="B339" s="42" t="inlineStr">
        <is>
          <t>anna sui perfume price</t>
        </is>
      </c>
      <c r="C339" s="42" t="n"/>
    </row>
    <row r="340" ht="15" customHeight="1" s="37">
      <c r="A340" s="42" t="inlineStr">
        <is>
          <t>anna sui perfume</t>
        </is>
      </c>
      <c r="B340" s="42" t="inlineStr">
        <is>
          <t>anna sui perfume secret wish</t>
        </is>
      </c>
      <c r="C340" s="42" t="n"/>
    </row>
    <row r="341" ht="15" customHeight="1" s="37">
      <c r="A341" s="42" t="inlineStr">
        <is>
          <t>anna sui perfume</t>
        </is>
      </c>
      <c r="B341" s="42" t="inlineStr">
        <is>
          <t>anna sui perfume sky</t>
        </is>
      </c>
      <c r="C341" s="42" t="n"/>
    </row>
    <row r="342" ht="15" customHeight="1" s="37">
      <c r="A342" s="42" t="inlineStr">
        <is>
          <t>anna sui perfume</t>
        </is>
      </c>
      <c r="B342" s="42" t="inlineStr">
        <is>
          <t>anna sui perfume dreams</t>
        </is>
      </c>
      <c r="C342" s="42" t="n"/>
    </row>
    <row r="343" ht="15" customHeight="1" s="37">
      <c r="A343" s="42" t="inlineStr">
        <is>
          <t>anna sui perfume</t>
        </is>
      </c>
      <c r="B343" s="42" t="inlineStr">
        <is>
          <t>anna sui perfume notes</t>
        </is>
      </c>
      <c r="C343" s="42" t="n"/>
    </row>
    <row r="344" ht="15" customHeight="1" s="37">
      <c r="A344" s="42" t="inlineStr">
        <is>
          <t>anna sui perfume</t>
        </is>
      </c>
      <c r="B344" s="42" t="inlineStr">
        <is>
          <t>anna sui perfume mermaid</t>
        </is>
      </c>
      <c r="C344" s="42" t="n"/>
    </row>
    <row r="345" ht="15" customHeight="1" s="37">
      <c r="A345" s="42" t="inlineStr">
        <is>
          <t>anna sui perfume</t>
        </is>
      </c>
      <c r="B345" s="42" t="inlineStr">
        <is>
          <t>anna sui perfume chemist warehouse</t>
        </is>
      </c>
      <c r="C345" s="42" t="n"/>
    </row>
    <row r="346" ht="15" customHeight="1" s="37">
      <c r="A346" s="42" t="inlineStr">
        <is>
          <t>anna sui sky</t>
        </is>
      </c>
      <c r="B346" s="42" t="inlineStr">
        <is>
          <t>anna sui sky</t>
        </is>
      </c>
      <c r="C346" s="42" t="inlineStr">
        <is>
          <t>Yes</t>
        </is>
      </c>
    </row>
    <row r="347" ht="15" customHeight="1" s="37">
      <c r="A347" s="42" t="inlineStr">
        <is>
          <t>anna sui sky</t>
        </is>
      </c>
      <c r="B347" s="42" t="inlineStr">
        <is>
          <t>anna sui sky perfume</t>
        </is>
      </c>
      <c r="C347" s="42" t="inlineStr">
        <is>
          <t>Yes</t>
        </is>
      </c>
    </row>
    <row r="348" ht="15" customHeight="1" s="37">
      <c r="A348" s="42" t="inlineStr">
        <is>
          <t>anna sui sky</t>
        </is>
      </c>
      <c r="B348" s="42" t="inlineStr">
        <is>
          <t>anna sui sky perfume review</t>
        </is>
      </c>
      <c r="C348" s="42" t="inlineStr">
        <is>
          <t>Yes</t>
        </is>
      </c>
    </row>
    <row r="349" ht="15" customHeight="1" s="37">
      <c r="A349" s="42" t="inlineStr">
        <is>
          <t>anna sui sky</t>
        </is>
      </c>
      <c r="B349" s="42" t="inlineStr">
        <is>
          <t>anna sui sky notes</t>
        </is>
      </c>
      <c r="C349" s="42" t="inlineStr">
        <is>
          <t>Yes</t>
        </is>
      </c>
    </row>
    <row r="350" ht="15" customHeight="1" s="37">
      <c r="A350" s="42" t="inlineStr">
        <is>
          <t>anna sui sky</t>
        </is>
      </c>
      <c r="B350" s="42" t="inlineStr">
        <is>
          <t>anna sui sky review</t>
        </is>
      </c>
      <c r="C350" s="42" t="inlineStr">
        <is>
          <t>Yes</t>
        </is>
      </c>
    </row>
    <row r="351" ht="15" customHeight="1" s="37">
      <c r="A351" s="42" t="inlineStr">
        <is>
          <t>anna sui sky</t>
        </is>
      </c>
      <c r="B351" s="42" t="inlineStr">
        <is>
          <t>anna sui sky 75ml</t>
        </is>
      </c>
      <c r="C351" s="42" t="inlineStr">
        <is>
          <t>Yes</t>
        </is>
      </c>
    </row>
    <row r="352" ht="15" customHeight="1" s="37">
      <c r="A352" s="42" t="inlineStr">
        <is>
          <t>anna sui sky</t>
        </is>
      </c>
      <c r="B352" s="42" t="inlineStr">
        <is>
          <t>anna sui sky eau de toilette</t>
        </is>
      </c>
      <c r="C352" s="42" t="inlineStr">
        <is>
          <t>Yes</t>
        </is>
      </c>
    </row>
    <row r="353" ht="15" customHeight="1" s="37">
      <c r="A353" s="42" t="inlineStr">
        <is>
          <t>anna sui sky</t>
        </is>
      </c>
      <c r="B353" s="42" t="inlineStr">
        <is>
          <t>anna sui sky perfume price</t>
        </is>
      </c>
      <c r="C353" s="42" t="inlineStr">
        <is>
          <t>Yes</t>
        </is>
      </c>
    </row>
    <row r="354" ht="15" customHeight="1" s="37">
      <c r="A354" s="42" t="inlineStr">
        <is>
          <t>anna sui sky</t>
        </is>
      </c>
      <c r="B354" s="42" t="inlineStr">
        <is>
          <t>anna sui sky fragrantica</t>
        </is>
      </c>
      <c r="C354" s="42" t="n"/>
    </row>
    <row r="355" ht="15" customHeight="1" s="37">
      <c r="A355" s="42" t="inlineStr">
        <is>
          <t>anna sui sky</t>
        </is>
      </c>
      <c r="B355" s="42" t="inlineStr">
        <is>
          <t>anna sui sky perfume notes</t>
        </is>
      </c>
      <c r="C355" s="42" t="n"/>
    </row>
    <row r="356" ht="15" customHeight="1" s="37">
      <c r="A356" s="42" t="inlineStr">
        <is>
          <t>antonio banderas diavolo</t>
        </is>
      </c>
      <c r="B356" s="42" t="inlineStr">
        <is>
          <t>antonio banderas diavolo</t>
        </is>
      </c>
      <c r="C356" s="42" t="inlineStr">
        <is>
          <t>Yes</t>
        </is>
      </c>
    </row>
    <row r="357" ht="15" customHeight="1" s="37">
      <c r="A357" s="42" t="inlineStr">
        <is>
          <t>antonio banderas diavolo</t>
        </is>
      </c>
      <c r="B357" s="42" t="inlineStr">
        <is>
          <t>antonio banderas diavolo eau de toilette</t>
        </is>
      </c>
      <c r="C357" s="42" t="inlineStr">
        <is>
          <t>Yes</t>
        </is>
      </c>
    </row>
    <row r="358" ht="15" customHeight="1" s="37">
      <c r="A358" s="42" t="inlineStr">
        <is>
          <t>antonio banderas diavolo</t>
        </is>
      </c>
      <c r="B358" s="42" t="inlineStr">
        <is>
          <t>antonio banderas diavolo deodorant spray</t>
        </is>
      </c>
      <c r="C358" s="42" t="n"/>
    </row>
    <row r="359" ht="15" customHeight="1" s="37">
      <c r="A359" s="42" t="inlineStr">
        <is>
          <t>antonio banderas diavolo</t>
        </is>
      </c>
      <c r="B359" s="42" t="inlineStr">
        <is>
          <t>antonio banderas diavolo review</t>
        </is>
      </c>
      <c r="C359" s="42" t="inlineStr">
        <is>
          <t>Yes</t>
        </is>
      </c>
    </row>
    <row r="360" ht="15" customHeight="1" s="37">
      <c r="A360" s="42" t="inlineStr">
        <is>
          <t>antonio banderas diavolo</t>
        </is>
      </c>
      <c r="B360" s="42" t="inlineStr">
        <is>
          <t>antonio banderas diavolo for women</t>
        </is>
      </c>
      <c r="C360" s="42" t="inlineStr">
        <is>
          <t>Yes</t>
        </is>
      </c>
    </row>
    <row r="361" ht="15" customHeight="1" s="37">
      <c r="A361" s="42" t="inlineStr">
        <is>
          <t>antonio banderas diavolo</t>
        </is>
      </c>
      <c r="B361" s="42" t="inlineStr">
        <is>
          <t>antonio banderas diavolo eau de toilette 200ml</t>
        </is>
      </c>
      <c r="C361" s="42" t="n"/>
    </row>
    <row r="362" ht="15" customHeight="1" s="37">
      <c r="A362" s="42" t="inlineStr">
        <is>
          <t>antonio banderas diavolo</t>
        </is>
      </c>
      <c r="B362" s="42" t="inlineStr">
        <is>
          <t>antonio banderas diavolo m edt 100ml</t>
        </is>
      </c>
      <c r="C362" s="42" t="n"/>
    </row>
    <row r="363" ht="15" customHeight="1" s="37">
      <c r="A363" s="42" t="inlineStr">
        <is>
          <t>antonio banderas diavolo</t>
        </is>
      </c>
      <c r="B363" s="42" t="inlineStr">
        <is>
          <t>antonio banderas diavolo lilly</t>
        </is>
      </c>
      <c r="C363" s="42" t="n"/>
    </row>
    <row r="364" ht="15" customHeight="1" s="37">
      <c r="A364" s="42" t="inlineStr">
        <is>
          <t>antonio banderas diavolo</t>
        </is>
      </c>
      <c r="B364" s="42" t="inlineStr">
        <is>
          <t>antonio banderas diavolo precio</t>
        </is>
      </c>
      <c r="C364" s="42" t="n"/>
    </row>
    <row r="365" ht="15" customHeight="1" s="37">
      <c r="A365" s="42" t="inlineStr">
        <is>
          <t>antonio banderas diavolo</t>
        </is>
      </c>
      <c r="B365" s="42" t="inlineStr">
        <is>
          <t>antonio banderas diavolo for men</t>
        </is>
      </c>
      <c r="C365" s="42" t="inlineStr">
        <is>
          <t>Yes</t>
        </is>
      </c>
    </row>
    <row r="366" ht="15" customHeight="1" s="37">
      <c r="A366" s="42" t="inlineStr">
        <is>
          <t>antonio banderas her secret desire</t>
        </is>
      </c>
      <c r="B366" s="42" t="inlineStr">
        <is>
          <t>antonio banderas her secret desire perfume</t>
        </is>
      </c>
      <c r="C366" s="42" t="inlineStr">
        <is>
          <t>Yes</t>
        </is>
      </c>
    </row>
    <row r="367" ht="15" customHeight="1" s="37">
      <c r="A367" s="42" t="inlineStr">
        <is>
          <t>antonio banderas her secret desire</t>
        </is>
      </c>
      <c r="B367" s="42" t="inlineStr">
        <is>
          <t>antonio banderas her secret desire review</t>
        </is>
      </c>
      <c r="C367" s="42" t="inlineStr">
        <is>
          <t>Yes</t>
        </is>
      </c>
    </row>
    <row r="368" ht="15" customHeight="1" s="37">
      <c r="A368" s="42" t="inlineStr">
        <is>
          <t>antonio banderas her secret desire</t>
        </is>
      </c>
      <c r="B368" s="42" t="inlineStr">
        <is>
          <t>antonio banderas her secret desire perfume review</t>
        </is>
      </c>
      <c r="C368" s="42" t="inlineStr">
        <is>
          <t>Yes</t>
        </is>
      </c>
    </row>
    <row r="369" ht="15" customHeight="1" s="37">
      <c r="A369" s="42" t="inlineStr">
        <is>
          <t>antonio banderas her secret desire</t>
        </is>
      </c>
      <c r="B369" s="42" t="inlineStr">
        <is>
          <t>antonio banderas her secret desire price</t>
        </is>
      </c>
      <c r="C369" s="42" t="inlineStr">
        <is>
          <t>Yes</t>
        </is>
      </c>
    </row>
    <row r="370" ht="15" customHeight="1" s="37">
      <c r="A370" s="42" t="inlineStr">
        <is>
          <t>antonio banderas her secret desire</t>
        </is>
      </c>
      <c r="B370" s="42" t="inlineStr">
        <is>
          <t>antonio banderas her secret desire edt 80ml spray</t>
        </is>
      </c>
      <c r="C370" s="42" t="n"/>
    </row>
    <row r="371" ht="15" customHeight="1" s="37">
      <c r="A371" s="42" t="inlineStr">
        <is>
          <t>antonio banderas her secret desire</t>
        </is>
      </c>
      <c r="B371" s="42" t="inlineStr">
        <is>
          <t>antonio banderas her secret desire edt 80 ml</t>
        </is>
      </c>
      <c r="C371" s="42" t="inlineStr">
        <is>
          <t>Yes</t>
        </is>
      </c>
    </row>
    <row r="372" ht="15" customHeight="1" s="37">
      <c r="A372" s="42" t="inlineStr">
        <is>
          <t>antonio banderas her secret desire</t>
        </is>
      </c>
      <c r="B372" s="42" t="inlineStr">
        <is>
          <t>antonio banderas her secret desire 80 ml</t>
        </is>
      </c>
      <c r="C372" s="42" t="inlineStr">
        <is>
          <t>Yes</t>
        </is>
      </c>
    </row>
    <row r="373" ht="15" customHeight="1" s="37">
      <c r="A373" s="42" t="inlineStr">
        <is>
          <t>antonio banderas her secret desire</t>
        </is>
      </c>
      <c r="B373" s="42" t="inlineStr">
        <is>
          <t>antonio banderas her secret desire notas</t>
        </is>
      </c>
      <c r="C373" s="42" t="n"/>
    </row>
    <row r="374" ht="15" customHeight="1" s="37">
      <c r="A374" s="42" t="inlineStr">
        <is>
          <t>antonio banderas her secret desire</t>
        </is>
      </c>
      <c r="B374" s="42" t="inlineStr">
        <is>
          <t>antonio banderas her secret desire отзывы</t>
        </is>
      </c>
      <c r="C374" s="42" t="n"/>
    </row>
    <row r="375" ht="15" customHeight="1" s="37">
      <c r="A375" s="42" t="inlineStr">
        <is>
          <t>antonio banderas her secret desire</t>
        </is>
      </c>
      <c r="B375" s="42" t="inlineStr">
        <is>
          <t>antonio banderas her secret desire eau de toilette</t>
        </is>
      </c>
      <c r="C375" s="42" t="inlineStr">
        <is>
          <t>Yes</t>
        </is>
      </c>
    </row>
    <row r="376" ht="15" customHeight="1" s="37">
      <c r="A376" s="42" t="inlineStr">
        <is>
          <t>antonio banderas her secret temptation</t>
        </is>
      </c>
      <c r="B376" s="42" t="inlineStr">
        <is>
          <t>antonio banderas her secret temptation</t>
        </is>
      </c>
      <c r="C376" s="42" t="inlineStr">
        <is>
          <t>Yes</t>
        </is>
      </c>
    </row>
    <row r="377" ht="15" customHeight="1" s="37">
      <c r="A377" s="42" t="inlineStr">
        <is>
          <t>antonio banderas her secret temptation</t>
        </is>
      </c>
      <c r="B377" s="42" t="inlineStr">
        <is>
          <t>antonio banderas her secret temptation deodorant spray</t>
        </is>
      </c>
      <c r="C377" s="42" t="n"/>
    </row>
    <row r="378" ht="15" customHeight="1" s="37">
      <c r="A378" s="42" t="inlineStr">
        <is>
          <t>antonio banderas her secret temptation</t>
        </is>
      </c>
      <c r="B378" s="42" t="inlineStr">
        <is>
          <t>antonio banderas her secret temptation perfume price</t>
        </is>
      </c>
      <c r="C378" s="42" t="inlineStr">
        <is>
          <t>Yes</t>
        </is>
      </c>
    </row>
    <row r="379" ht="15" customHeight="1" s="37">
      <c r="A379" s="42" t="inlineStr">
        <is>
          <t>antonio banderas her secret temptation</t>
        </is>
      </c>
      <c r="B379" s="42" t="inlineStr">
        <is>
          <t>antonio banderas her secret temptation perfume review</t>
        </is>
      </c>
      <c r="C379" s="42" t="inlineStr">
        <is>
          <t>Yes</t>
        </is>
      </c>
    </row>
    <row r="380" ht="15" customHeight="1" s="37">
      <c r="A380" s="42" t="inlineStr">
        <is>
          <t>antonio banderas her secret temptation</t>
        </is>
      </c>
      <c r="B380" s="42" t="inlineStr">
        <is>
          <t>antonio banderas her secret temptation notes</t>
        </is>
      </c>
      <c r="C380" s="42" t="inlineStr">
        <is>
          <t>Yes</t>
        </is>
      </c>
    </row>
    <row r="381" ht="15" customHeight="1" s="37">
      <c r="A381" s="42" t="inlineStr">
        <is>
          <t>antonio banderas her secret temptation</t>
        </is>
      </c>
      <c r="B381" s="42" t="inlineStr">
        <is>
          <t>antonio banderas her secret temptation review</t>
        </is>
      </c>
      <c r="C381" s="42" t="inlineStr">
        <is>
          <t>Yes</t>
        </is>
      </c>
    </row>
    <row r="382" ht="15" customHeight="1" s="37">
      <c r="A382" s="42" t="inlineStr">
        <is>
          <t>antonio banderas her secret temptation</t>
        </is>
      </c>
      <c r="B382" s="42" t="inlineStr">
        <is>
          <t>antonio banderas her secret temptation deodorant</t>
        </is>
      </c>
      <c r="C382" s="42" t="n"/>
    </row>
    <row r="383" ht="15" customHeight="1" s="37">
      <c r="A383" s="42" t="inlineStr">
        <is>
          <t>antonio banderas her secret temptation</t>
        </is>
      </c>
      <c r="B383" s="42" t="inlineStr">
        <is>
          <t>antonio banderas her secret temptation women</t>
        </is>
      </c>
      <c r="C383" s="42" t="inlineStr">
        <is>
          <t>Yes</t>
        </is>
      </c>
    </row>
    <row r="384" ht="15" customHeight="1" s="37">
      <c r="A384" s="42" t="inlineStr">
        <is>
          <t>antonio banderas her secret temptation</t>
        </is>
      </c>
      <c r="B384" s="42" t="inlineStr">
        <is>
          <t>antonio banderas her secret temptation deo</t>
        </is>
      </c>
      <c r="C384" s="42" t="n"/>
    </row>
    <row r="385" ht="15" customHeight="1" s="37">
      <c r="A385" s="42" t="inlineStr">
        <is>
          <t>antonio banderas her secret temptation</t>
        </is>
      </c>
      <c r="B385" s="42" t="inlineStr">
        <is>
          <t>antonio banderas her secret temptation eau de toilette 80ml</t>
        </is>
      </c>
      <c r="C385" s="42" t="n"/>
    </row>
    <row r="386" ht="15" customHeight="1" s="37">
      <c r="A386" s="42" t="inlineStr">
        <is>
          <t>antonio banderas perfume</t>
        </is>
      </c>
      <c r="B386" s="42" t="inlineStr">
        <is>
          <t>antonio banderas perfume</t>
        </is>
      </c>
      <c r="C386" s="42" t="inlineStr">
        <is>
          <t>Yes</t>
        </is>
      </c>
    </row>
    <row r="387" ht="15" customHeight="1" s="37">
      <c r="A387" s="42" t="inlineStr">
        <is>
          <t>antonio banderas perfume</t>
        </is>
      </c>
      <c r="B387" s="42" t="inlineStr">
        <is>
          <t>antonio banderas perfume price</t>
        </is>
      </c>
      <c r="C387" s="42" t="n"/>
    </row>
    <row r="388" ht="15" customHeight="1" s="37">
      <c r="A388" s="42" t="inlineStr">
        <is>
          <t>antonio banderas perfume</t>
        </is>
      </c>
      <c r="B388" s="42" t="inlineStr">
        <is>
          <t>antonio banderas perfume for him</t>
        </is>
      </c>
      <c r="C388" s="42" t="n"/>
    </row>
    <row r="389" ht="15" customHeight="1" s="37">
      <c r="A389" s="42" t="inlineStr">
        <is>
          <t>antonio banderas perfume</t>
        </is>
      </c>
      <c r="B389" s="42" t="inlineStr">
        <is>
          <t>antonio banderas perfume for her</t>
        </is>
      </c>
      <c r="C389" s="42" t="n"/>
    </row>
    <row r="390" ht="15" customHeight="1" s="37">
      <c r="A390" s="42" t="inlineStr">
        <is>
          <t>antonio banderas perfume</t>
        </is>
      </c>
      <c r="B390" s="42" t="inlineStr">
        <is>
          <t>antonio banderas perfume women</t>
        </is>
      </c>
      <c r="C390" s="42" t="n"/>
    </row>
    <row r="391" ht="15" customHeight="1" s="37">
      <c r="A391" s="42" t="inlineStr">
        <is>
          <t>antonio banderas perfume</t>
        </is>
      </c>
      <c r="B391" s="42" t="inlineStr">
        <is>
          <t>antonio banderas perfume icon</t>
        </is>
      </c>
      <c r="C391" s="42" t="n"/>
    </row>
    <row r="392" ht="15" customHeight="1" s="37">
      <c r="A392" s="42" t="inlineStr">
        <is>
          <t>antonio banderas perfume</t>
        </is>
      </c>
      <c r="B392" s="42" t="inlineStr">
        <is>
          <t>antonio banderas perfume mujer</t>
        </is>
      </c>
      <c r="C392" s="42" t="n"/>
    </row>
    <row r="393" ht="15" customHeight="1" s="37">
      <c r="A393" s="42" t="inlineStr">
        <is>
          <t>antonio banderas perfume</t>
        </is>
      </c>
      <c r="B393" s="42" t="inlineStr">
        <is>
          <t>antonio banderas perfume blue seduction</t>
        </is>
      </c>
      <c r="C393" s="42" t="n"/>
    </row>
    <row r="394" ht="15" customHeight="1" s="37">
      <c r="A394" s="42" t="inlineStr">
        <is>
          <t>antonio banderas perfume</t>
        </is>
      </c>
      <c r="B394" s="42" t="inlineStr">
        <is>
          <t>antonio banderas perfume the secret</t>
        </is>
      </c>
      <c r="C394" s="42" t="n"/>
    </row>
    <row r="395" ht="15" customHeight="1" s="37">
      <c r="A395" s="42" t="inlineStr">
        <is>
          <t>antonio banderas perfume</t>
        </is>
      </c>
      <c r="B395" s="42" t="inlineStr">
        <is>
          <t>antonio banderas perfume for men</t>
        </is>
      </c>
      <c r="C395" s="42" t="inlineStr">
        <is>
          <t>Yes</t>
        </is>
      </c>
    </row>
    <row r="396" ht="15" customHeight="1" s="37">
      <c r="A396" s="42" t="inlineStr">
        <is>
          <t>antonio banderas power of seduction</t>
        </is>
      </c>
      <c r="B396" s="42" t="inlineStr">
        <is>
          <t>antonio banderas power of seduction</t>
        </is>
      </c>
      <c r="C396" s="42" t="inlineStr">
        <is>
          <t>Yes</t>
        </is>
      </c>
    </row>
    <row r="397" ht="15" customHeight="1" s="37">
      <c r="A397" s="42" t="inlineStr">
        <is>
          <t>antonio banderas power of seduction</t>
        </is>
      </c>
      <c r="B397" s="42" t="inlineStr">
        <is>
          <t>antonio banderas power of seduction review</t>
        </is>
      </c>
      <c r="C397" s="42" t="inlineStr">
        <is>
          <t>Yes</t>
        </is>
      </c>
    </row>
    <row r="398" ht="15" customHeight="1" s="37">
      <c r="A398" s="42" t="inlineStr">
        <is>
          <t>antonio banderas power of seduction</t>
        </is>
      </c>
      <c r="B398" s="42" t="inlineStr">
        <is>
          <t>antonio banderas power of seduction perfume</t>
        </is>
      </c>
      <c r="C398" s="42" t="inlineStr">
        <is>
          <t>Yes</t>
        </is>
      </c>
    </row>
    <row r="399" ht="15" customHeight="1" s="37">
      <c r="A399" s="42" t="inlineStr">
        <is>
          <t>antonio banderas power of seduction</t>
        </is>
      </c>
      <c r="B399" s="42" t="inlineStr">
        <is>
          <t>antonio banderas power of seduction extreme</t>
        </is>
      </c>
      <c r="C399" s="42" t="n"/>
    </row>
    <row r="400" ht="15" customHeight="1" s="37">
      <c r="A400" s="42" t="inlineStr">
        <is>
          <t>antonio banderas power of seduction</t>
        </is>
      </c>
      <c r="B400" s="42" t="inlineStr">
        <is>
          <t>antonio banderas power of seduction edt</t>
        </is>
      </c>
      <c r="C400" s="42" t="inlineStr">
        <is>
          <t>Yes</t>
        </is>
      </c>
    </row>
    <row r="401" ht="15" customHeight="1" s="37">
      <c r="A401" s="42" t="inlineStr">
        <is>
          <t>antonio banderas power of seduction</t>
        </is>
      </c>
      <c r="B401" s="42" t="inlineStr">
        <is>
          <t>antonio banderas power of seduction notes</t>
        </is>
      </c>
      <c r="C401" s="42" t="inlineStr">
        <is>
          <t>Yes</t>
        </is>
      </c>
    </row>
    <row r="402" ht="15" customHeight="1" s="37">
      <c r="A402" s="42" t="inlineStr">
        <is>
          <t>antonio banderas power of seduction</t>
        </is>
      </c>
      <c r="B402" s="42" t="inlineStr">
        <is>
          <t>antonio banderas power of seduction urban</t>
        </is>
      </c>
      <c r="C402" s="42" t="n"/>
    </row>
    <row r="403" ht="15" customHeight="1" s="37">
      <c r="A403" s="42" t="inlineStr">
        <is>
          <t>antonio banderas power of seduction</t>
        </is>
      </c>
      <c r="B403" s="42" t="inlineStr">
        <is>
          <t>antonio banderas power of seduction 200ml</t>
        </is>
      </c>
      <c r="C403" s="42" t="inlineStr">
        <is>
          <t>Yes</t>
        </is>
      </c>
    </row>
    <row r="404" ht="15" customHeight="1" s="37">
      <c r="A404" s="42" t="inlineStr">
        <is>
          <t>antonio banderas power of seduction</t>
        </is>
      </c>
      <c r="B404" s="42" t="inlineStr">
        <is>
          <t>antonio banderas power of seduction eau de toilette</t>
        </is>
      </c>
      <c r="C404" s="42" t="inlineStr">
        <is>
          <t>Yes</t>
        </is>
      </c>
    </row>
    <row r="405" ht="15" customHeight="1" s="37">
      <c r="A405" s="42" t="inlineStr">
        <is>
          <t>antonio banderas power of seduction</t>
        </is>
      </c>
      <c r="B405" s="42" t="inlineStr">
        <is>
          <t>antonio banderas power of seduction price</t>
        </is>
      </c>
      <c r="C405" s="42" t="inlineStr">
        <is>
          <t>Yes</t>
        </is>
      </c>
    </row>
    <row r="406" ht="15" customHeight="1" s="37">
      <c r="A406" s="42" t="inlineStr">
        <is>
          <t>ariana grande perfume</t>
        </is>
      </c>
      <c r="B406" s="42" t="inlineStr">
        <is>
          <t>ariana grande perfume</t>
        </is>
      </c>
      <c r="C406" s="42" t="inlineStr">
        <is>
          <t>Yes</t>
        </is>
      </c>
    </row>
    <row r="407" ht="15" customHeight="1" s="37">
      <c r="A407" s="42" t="inlineStr">
        <is>
          <t>ariana grande perfume</t>
        </is>
      </c>
      <c r="B407" s="42" t="inlineStr">
        <is>
          <t>ariana grande perfume cloud</t>
        </is>
      </c>
      <c r="C407" s="42" t="n"/>
    </row>
    <row r="408" ht="15" customHeight="1" s="37">
      <c r="A408" s="42" t="inlineStr">
        <is>
          <t>ariana grande perfume</t>
        </is>
      </c>
      <c r="B408" s="42" t="inlineStr">
        <is>
          <t>ariana grande perfume sweet like candy</t>
        </is>
      </c>
      <c r="C408" s="42" t="n"/>
    </row>
    <row r="409" ht="15" customHeight="1" s="37">
      <c r="A409" s="42" t="inlineStr">
        <is>
          <t>ariana grande perfume</t>
        </is>
      </c>
      <c r="B409" s="42" t="inlineStr">
        <is>
          <t>ariana grande perfume thank you next</t>
        </is>
      </c>
      <c r="C409" s="42" t="n"/>
    </row>
    <row r="410" ht="15" customHeight="1" s="37">
      <c r="A410" s="42" t="inlineStr">
        <is>
          <t>ariana grande perfume</t>
        </is>
      </c>
      <c r="B410" s="42" t="inlineStr">
        <is>
          <t>ariana grande perfume set</t>
        </is>
      </c>
      <c r="C410" s="42" t="n"/>
    </row>
    <row r="411" ht="15" customHeight="1" s="37">
      <c r="A411" s="42" t="inlineStr">
        <is>
          <t>ariana grande perfume</t>
        </is>
      </c>
      <c r="B411" s="42" t="inlineStr">
        <is>
          <t>ariana grande perfume vanilla</t>
        </is>
      </c>
      <c r="C411" s="42" t="n"/>
    </row>
    <row r="412" ht="15" customHeight="1" s="37">
      <c r="A412" s="42" t="inlineStr">
        <is>
          <t>ariana grande perfume</t>
        </is>
      </c>
      <c r="B412" s="42" t="inlineStr">
        <is>
          <t>ariana grande perfume new</t>
        </is>
      </c>
      <c r="C412" s="42" t="n"/>
    </row>
    <row r="413" ht="15" customHeight="1" s="37">
      <c r="A413" s="42" t="inlineStr">
        <is>
          <t>ariana grande perfume</t>
        </is>
      </c>
      <c r="B413" s="42" t="inlineStr">
        <is>
          <t>ariana grande perfume cloud pink</t>
        </is>
      </c>
      <c r="C413" s="42" t="n"/>
    </row>
    <row r="414" ht="15" customHeight="1" s="37">
      <c r="A414" s="42" t="inlineStr">
        <is>
          <t>ariana grande perfume</t>
        </is>
      </c>
      <c r="B414" s="42" t="inlineStr">
        <is>
          <t>ariana grande perfume mod</t>
        </is>
      </c>
      <c r="C414" s="42" t="n"/>
    </row>
    <row r="415" ht="15" customHeight="1" s="37">
      <c r="A415" s="42" t="inlineStr">
        <is>
          <t>ariana grande perfume</t>
        </is>
      </c>
      <c r="B415" s="42" t="inlineStr">
        <is>
          <t>ariana grande perfume price</t>
        </is>
      </c>
      <c r="C415" s="42" t="n"/>
    </row>
    <row r="416" ht="15" customHeight="1" s="37">
      <c r="A416" s="42" t="inlineStr">
        <is>
          <t>ariana grande thank u, next</t>
        </is>
      </c>
      <c r="B416" s="42" t="inlineStr">
        <is>
          <t>ariana grande thank u next lyrics</t>
        </is>
      </c>
      <c r="C416" s="42" t="n"/>
    </row>
    <row r="417" ht="15" customHeight="1" s="37">
      <c r="A417" s="42" t="inlineStr">
        <is>
          <t>ariana grande thank u, next</t>
        </is>
      </c>
      <c r="B417" s="42" t="inlineStr">
        <is>
          <t>ariana grande thank u next</t>
        </is>
      </c>
      <c r="C417" s="42" t="inlineStr">
        <is>
          <t>Yes</t>
        </is>
      </c>
    </row>
    <row r="418" ht="15" customHeight="1" s="37">
      <c r="A418" s="42" t="inlineStr">
        <is>
          <t>ariana grande thank u, next</t>
        </is>
      </c>
      <c r="B418" s="42" t="inlineStr">
        <is>
          <t>ariana grande thank u next perfume</t>
        </is>
      </c>
      <c r="C418" s="42" t="inlineStr">
        <is>
          <t>Yes</t>
        </is>
      </c>
    </row>
    <row r="419" ht="15" customHeight="1" s="37">
      <c r="A419" s="42" t="inlineStr">
        <is>
          <t>ariana grande thank u, next</t>
        </is>
      </c>
      <c r="B419" s="42" t="inlineStr">
        <is>
          <t>ariana grande thank u next songs</t>
        </is>
      </c>
      <c r="C419" s="42" t="n"/>
    </row>
    <row r="420" ht="15" customHeight="1" s="37">
      <c r="A420" s="42" t="inlineStr">
        <is>
          <t>ariana grande thank u, next</t>
        </is>
      </c>
      <c r="B420" s="42" t="inlineStr">
        <is>
          <t>ariana grande thank u next album</t>
        </is>
      </c>
      <c r="C420" s="42" t="n"/>
    </row>
    <row r="421" ht="15" customHeight="1" s="37">
      <c r="A421" s="42" t="inlineStr">
        <is>
          <t>ariana grande thank u, next</t>
        </is>
      </c>
      <c r="B421" s="42" t="inlineStr">
        <is>
          <t>ariana grande thank u next 2.0 perfume</t>
        </is>
      </c>
      <c r="C421" s="42" t="inlineStr">
        <is>
          <t>Yes</t>
        </is>
      </c>
    </row>
    <row r="422" ht="15" customHeight="1" s="37">
      <c r="A422" s="42" t="inlineStr">
        <is>
          <t>ariana grande thank u, next</t>
        </is>
      </c>
      <c r="B422" s="42" t="inlineStr">
        <is>
          <t>ariana grande thank u next lyrics meaning</t>
        </is>
      </c>
      <c r="C422" s="42" t="n"/>
    </row>
    <row r="423" ht="15" customHeight="1" s="37">
      <c r="A423" s="42" t="inlineStr">
        <is>
          <t>ariana grande thank u, next</t>
        </is>
      </c>
      <c r="B423" s="42" t="inlineStr">
        <is>
          <t>ariana grande thank u next vinyl</t>
        </is>
      </c>
      <c r="C423" s="42" t="n"/>
    </row>
    <row r="424" ht="15" customHeight="1" s="37">
      <c r="A424" s="42" t="inlineStr">
        <is>
          <t>ariana grande thank u, next</t>
        </is>
      </c>
      <c r="B424" s="42" t="inlineStr">
        <is>
          <t>ariana grande thank u next 2.0</t>
        </is>
      </c>
      <c r="C424" s="42" t="inlineStr">
        <is>
          <t>Yes</t>
        </is>
      </c>
    </row>
    <row r="425" ht="15" customHeight="1" s="37">
      <c r="A425" s="42" t="inlineStr">
        <is>
          <t>ariana grande thank u, next</t>
        </is>
      </c>
      <c r="B425" s="42" t="inlineStr">
        <is>
          <t>ariana grande thank u next era</t>
        </is>
      </c>
      <c r="C425" s="42" t="n"/>
    </row>
    <row r="426" ht="15" customHeight="1" s="37">
      <c r="A426" s="42" t="inlineStr">
        <is>
          <t>armaf hunter</t>
        </is>
      </c>
      <c r="B426" s="42" t="inlineStr">
        <is>
          <t>armaf hunter intense</t>
        </is>
      </c>
      <c r="C426" s="42" t="n"/>
    </row>
    <row r="427" ht="15" customHeight="1" s="37">
      <c r="A427" s="42" t="inlineStr">
        <is>
          <t>armaf hunter</t>
        </is>
      </c>
      <c r="B427" s="42" t="inlineStr">
        <is>
          <t>armaf hunter</t>
        </is>
      </c>
      <c r="C427" s="42" t="inlineStr">
        <is>
          <t>Yes</t>
        </is>
      </c>
    </row>
    <row r="428" ht="15" customHeight="1" s="37">
      <c r="A428" s="42" t="inlineStr">
        <is>
          <t>armaf hunter</t>
        </is>
      </c>
      <c r="B428" s="42" t="inlineStr">
        <is>
          <t>armaf hunter killer</t>
        </is>
      </c>
      <c r="C428" s="42" t="n"/>
    </row>
    <row r="429" ht="15" customHeight="1" s="37">
      <c r="A429" s="42" t="inlineStr">
        <is>
          <t>armaf hunter</t>
        </is>
      </c>
      <c r="B429" s="42" t="inlineStr">
        <is>
          <t>armaf hunter dupe of</t>
        </is>
      </c>
      <c r="C429" s="42" t="inlineStr">
        <is>
          <t>Yes</t>
        </is>
      </c>
    </row>
    <row r="430" ht="15" customHeight="1" s="37">
      <c r="A430" s="42" t="inlineStr">
        <is>
          <t>armaf hunter</t>
        </is>
      </c>
      <c r="B430" s="42" t="inlineStr">
        <is>
          <t>armaf hunter intense dupe of</t>
        </is>
      </c>
      <c r="C430" s="42" t="n"/>
    </row>
    <row r="431" ht="15" customHeight="1" s="37">
      <c r="A431" s="42" t="inlineStr">
        <is>
          <t>armaf hunter</t>
        </is>
      </c>
      <c r="B431" s="42" t="inlineStr">
        <is>
          <t>armaf hunter men</t>
        </is>
      </c>
      <c r="C431" s="42" t="inlineStr">
        <is>
          <t>Yes</t>
        </is>
      </c>
    </row>
    <row r="432" ht="15" customHeight="1" s="37">
      <c r="A432" s="42" t="inlineStr">
        <is>
          <t>armaf hunter</t>
        </is>
      </c>
      <c r="B432" s="42" t="inlineStr">
        <is>
          <t>armaf hunter perfume</t>
        </is>
      </c>
      <c r="C432" s="42" t="inlineStr">
        <is>
          <t>Yes</t>
        </is>
      </c>
    </row>
    <row r="433" ht="15" customHeight="1" s="37">
      <c r="A433" s="42" t="inlineStr">
        <is>
          <t>armaf hunter</t>
        </is>
      </c>
      <c r="B433" s="42" t="inlineStr">
        <is>
          <t>armaf hunter jungle</t>
        </is>
      </c>
      <c r="C433" s="42" t="n"/>
    </row>
    <row r="434" ht="15" customHeight="1" s="37">
      <c r="A434" s="42" t="inlineStr">
        <is>
          <t>armaf hunter</t>
        </is>
      </c>
      <c r="B434" s="42" t="inlineStr">
        <is>
          <t>armaf hunter intense edp</t>
        </is>
      </c>
      <c r="C434" s="42" t="n"/>
    </row>
    <row r="435" ht="15" customHeight="1" s="37">
      <c r="A435" s="42" t="inlineStr">
        <is>
          <t>armaf hunter</t>
        </is>
      </c>
      <c r="B435" s="42" t="inlineStr">
        <is>
          <t>armaf hunter intense is a clone of</t>
        </is>
      </c>
      <c r="C435" s="42" t="n"/>
    </row>
    <row r="436" ht="15" customHeight="1" s="37">
      <c r="A436" s="42" t="inlineStr">
        <is>
          <t>armaf perfume</t>
        </is>
      </c>
      <c r="B436" s="42" t="inlineStr">
        <is>
          <t>armaf perfume</t>
        </is>
      </c>
      <c r="C436" s="42" t="inlineStr">
        <is>
          <t>Yes</t>
        </is>
      </c>
    </row>
    <row r="437" ht="15" customHeight="1" s="37">
      <c r="A437" s="42" t="inlineStr">
        <is>
          <t>armaf perfume</t>
        </is>
      </c>
      <c r="B437" s="42" t="inlineStr">
        <is>
          <t>armaf perfume for men</t>
        </is>
      </c>
      <c r="C437" s="42" t="inlineStr">
        <is>
          <t>Yes</t>
        </is>
      </c>
    </row>
    <row r="438" ht="15" customHeight="1" s="37">
      <c r="A438" s="42" t="inlineStr">
        <is>
          <t>armaf perfume</t>
        </is>
      </c>
      <c r="B438" s="42" t="inlineStr">
        <is>
          <t>armaf perfume women</t>
        </is>
      </c>
      <c r="C438" s="42" t="n"/>
    </row>
    <row r="439" ht="15" customHeight="1" s="37">
      <c r="A439" s="42" t="inlineStr">
        <is>
          <t>armaf perfume</t>
        </is>
      </c>
      <c r="B439" s="42" t="inlineStr">
        <is>
          <t>armaf perfume club de nuit</t>
        </is>
      </c>
      <c r="C439" s="42" t="n"/>
    </row>
    <row r="440" ht="15" customHeight="1" s="37">
      <c r="A440" s="42" t="inlineStr">
        <is>
          <t>armaf perfume</t>
        </is>
      </c>
      <c r="B440" s="42" t="inlineStr">
        <is>
          <t>armaf perfume price in pakistan</t>
        </is>
      </c>
      <c r="C440" s="42" t="n"/>
    </row>
    <row r="441" ht="15" customHeight="1" s="37">
      <c r="A441" s="42" t="inlineStr">
        <is>
          <t>armaf perfume</t>
        </is>
      </c>
      <c r="B441" s="42" t="inlineStr">
        <is>
          <t>armaf perfume price</t>
        </is>
      </c>
      <c r="C441" s="42" t="n"/>
    </row>
    <row r="442" ht="15" customHeight="1" s="37">
      <c r="A442" s="42" t="inlineStr">
        <is>
          <t>armaf perfume</t>
        </is>
      </c>
      <c r="B442" s="42" t="inlineStr">
        <is>
          <t>armaf perfume price in bangladesh</t>
        </is>
      </c>
      <c r="C442" s="42" t="n"/>
    </row>
    <row r="443" ht="15" customHeight="1" s="37">
      <c r="A443" s="42" t="inlineStr">
        <is>
          <t>armaf perfume</t>
        </is>
      </c>
      <c r="B443" s="42" t="inlineStr">
        <is>
          <t>armaf perfumes near me</t>
        </is>
      </c>
      <c r="C443" s="42" t="n"/>
    </row>
    <row r="444" ht="15" customHeight="1" s="37">
      <c r="A444" s="42" t="inlineStr">
        <is>
          <t>armaf perfume</t>
        </is>
      </c>
      <c r="B444" s="42" t="inlineStr">
        <is>
          <t>armaf perfumes dubai</t>
        </is>
      </c>
      <c r="C444" s="42" t="n"/>
    </row>
    <row r="445" ht="15" customHeight="1" s="37">
      <c r="A445" s="42" t="inlineStr">
        <is>
          <t>armaf perfume</t>
        </is>
      </c>
      <c r="B445" s="42" t="inlineStr">
        <is>
          <t>armaf perfumes owner</t>
        </is>
      </c>
      <c r="C445" s="42" t="n"/>
    </row>
    <row r="446" ht="15" customHeight="1" s="37">
      <c r="A446" s="42" t="inlineStr">
        <is>
          <t>bentley absolute</t>
        </is>
      </c>
      <c r="B446" s="42" t="inlineStr">
        <is>
          <t>bentley absolute</t>
        </is>
      </c>
      <c r="C446" s="42" t="inlineStr">
        <is>
          <t>Yes</t>
        </is>
      </c>
    </row>
    <row r="447" ht="15" customHeight="1" s="37">
      <c r="A447" s="42" t="inlineStr">
        <is>
          <t>bentley absolute</t>
        </is>
      </c>
      <c r="B447" s="42" t="inlineStr">
        <is>
          <t>bentley absolute for men</t>
        </is>
      </c>
      <c r="C447" s="42" t="inlineStr">
        <is>
          <t>Yes</t>
        </is>
      </c>
    </row>
    <row r="448" ht="15" customHeight="1" s="37">
      <c r="A448" s="42" t="inlineStr">
        <is>
          <t>bentley absolute</t>
        </is>
      </c>
      <c r="B448" s="42" t="inlineStr">
        <is>
          <t>bentley absolute men edp</t>
        </is>
      </c>
      <c r="C448" s="42" t="inlineStr">
        <is>
          <t>Yes</t>
        </is>
      </c>
    </row>
    <row r="449" ht="15" customHeight="1" s="37">
      <c r="A449" s="42" t="inlineStr">
        <is>
          <t>bentley absolute</t>
        </is>
      </c>
      <c r="B449" s="42" t="inlineStr">
        <is>
          <t>bentley absolute edp</t>
        </is>
      </c>
      <c r="C449" s="42" t="inlineStr">
        <is>
          <t>Yes</t>
        </is>
      </c>
    </row>
    <row r="450" ht="15" customHeight="1" s="37">
      <c r="A450" s="42" t="inlineStr">
        <is>
          <t>bentley absolute</t>
        </is>
      </c>
      <c r="B450" s="42" t="inlineStr">
        <is>
          <t>bentley absolute intense</t>
        </is>
      </c>
      <c r="C450" s="42" t="n"/>
    </row>
    <row r="451" ht="15" customHeight="1" s="37">
      <c r="A451" s="42" t="inlineStr">
        <is>
          <t>bentley absolute</t>
        </is>
      </c>
      <c r="B451" s="42" t="inlineStr">
        <is>
          <t>bentley absolute eau de parfum</t>
        </is>
      </c>
      <c r="C451" s="42" t="inlineStr">
        <is>
          <t>Yes</t>
        </is>
      </c>
    </row>
    <row r="452" ht="15" customHeight="1" s="37">
      <c r="A452" s="42" t="inlineStr">
        <is>
          <t>bentley absolute</t>
        </is>
      </c>
      <c r="B452" s="42" t="inlineStr">
        <is>
          <t>bentley absolute review</t>
        </is>
      </c>
      <c r="C452" s="42" t="inlineStr">
        <is>
          <t>Yes</t>
        </is>
      </c>
    </row>
    <row r="453" ht="15" customHeight="1" s="37">
      <c r="A453" s="42" t="inlineStr">
        <is>
          <t>bentley absolute</t>
        </is>
      </c>
      <c r="B453" s="42" t="inlineStr">
        <is>
          <t>bentley absolute cologne</t>
        </is>
      </c>
      <c r="C453" s="42" t="n"/>
    </row>
    <row r="454" ht="15" customHeight="1" s="37">
      <c r="A454" s="42" t="inlineStr">
        <is>
          <t>bentley absolute</t>
        </is>
      </c>
      <c r="B454" s="42" t="inlineStr">
        <is>
          <t>bentley absolute for men review</t>
        </is>
      </c>
      <c r="C454" s="42" t="inlineStr">
        <is>
          <t>Yes</t>
        </is>
      </c>
    </row>
    <row r="455" ht="15" customHeight="1" s="37">
      <c r="A455" s="42" t="inlineStr">
        <is>
          <t>bentley absolute</t>
        </is>
      </c>
      <c r="B455" s="42" t="inlineStr">
        <is>
          <t>bentley absolute perfume</t>
        </is>
      </c>
      <c r="C455" s="42" t="n"/>
    </row>
    <row r="456" ht="15" customHeight="1" s="37">
      <c r="A456" s="42" t="inlineStr">
        <is>
          <t>bentley azure</t>
        </is>
      </c>
      <c r="B456" s="42" t="inlineStr">
        <is>
          <t>bentley azure</t>
        </is>
      </c>
      <c r="C456" s="42" t="inlineStr">
        <is>
          <t>Yes</t>
        </is>
      </c>
    </row>
    <row r="457" ht="15" customHeight="1" s="37">
      <c r="A457" s="42" t="inlineStr">
        <is>
          <t>bentley azure</t>
        </is>
      </c>
      <c r="B457" s="42" t="inlineStr">
        <is>
          <t>bentley azure for sale</t>
        </is>
      </c>
      <c r="C457" s="42" t="inlineStr">
        <is>
          <t>Yes</t>
        </is>
      </c>
    </row>
    <row r="458" ht="15" customHeight="1" s="37">
      <c r="A458" s="42" t="inlineStr">
        <is>
          <t>bentley azure</t>
        </is>
      </c>
      <c r="B458" s="42" t="inlineStr">
        <is>
          <t>bentley azure 2026</t>
        </is>
      </c>
      <c r="C458" s="42" t="inlineStr">
        <is>
          <t>Yes</t>
        </is>
      </c>
    </row>
    <row r="459" ht="15" customHeight="1" s="37">
      <c r="A459" s="42" t="inlineStr">
        <is>
          <t>bentley azure</t>
        </is>
      </c>
      <c r="B459" s="42" t="inlineStr">
        <is>
          <t>bentley azure price</t>
        </is>
      </c>
      <c r="C459" s="42" t="inlineStr">
        <is>
          <t>Yes</t>
        </is>
      </c>
    </row>
    <row r="460" ht="15" customHeight="1" s="37">
      <c r="A460" s="42" t="inlineStr">
        <is>
          <t>bentley azure</t>
        </is>
      </c>
      <c r="B460" s="42" t="inlineStr">
        <is>
          <t>bentley azure perfume</t>
        </is>
      </c>
      <c r="C460" s="42" t="inlineStr">
        <is>
          <t>Yes</t>
        </is>
      </c>
    </row>
    <row r="461" ht="15" customHeight="1" s="37">
      <c r="A461" s="42" t="inlineStr">
        <is>
          <t>bentley azure</t>
        </is>
      </c>
      <c r="B461" s="42" t="inlineStr">
        <is>
          <t>bentley azure convertible</t>
        </is>
      </c>
      <c r="C461" s="42" t="n"/>
    </row>
    <row r="462" ht="15" customHeight="1" s="37">
      <c r="A462" s="42" t="inlineStr">
        <is>
          <t>bentley azure</t>
        </is>
      </c>
      <c r="B462" s="42" t="inlineStr">
        <is>
          <t>bentley azure convertible for sale</t>
        </is>
      </c>
      <c r="C462" s="42" t="n"/>
    </row>
    <row r="463" ht="15" customHeight="1" s="37">
      <c r="A463" s="42" t="inlineStr">
        <is>
          <t>bentley azure</t>
        </is>
      </c>
      <c r="B463" s="42" t="inlineStr">
        <is>
          <t>bentley azure 2026 price</t>
        </is>
      </c>
      <c r="C463" s="42" t="inlineStr">
        <is>
          <t>Yes</t>
        </is>
      </c>
    </row>
    <row r="464" ht="15" customHeight="1" s="37">
      <c r="A464" s="42" t="inlineStr">
        <is>
          <t>bentley azure</t>
        </is>
      </c>
      <c r="B464" s="42" t="inlineStr">
        <is>
          <t>bentley azure for men</t>
        </is>
      </c>
      <c r="C464" s="42" t="inlineStr">
        <is>
          <t>Yes</t>
        </is>
      </c>
    </row>
    <row r="465" ht="15" customHeight="1" s="37">
      <c r="A465" s="42" t="inlineStr">
        <is>
          <t>bentley azure</t>
        </is>
      </c>
      <c r="B465" s="42" t="inlineStr">
        <is>
          <t>bentley azure cologne</t>
        </is>
      </c>
      <c r="C465" s="42" t="n"/>
    </row>
    <row r="466" ht="15" customHeight="1" s="37">
      <c r="A466" s="42" t="inlineStr">
        <is>
          <t>bentley become</t>
        </is>
      </c>
      <c r="B466" s="42" t="inlineStr">
        <is>
          <t>bentley become</t>
        </is>
      </c>
      <c r="C466" s="42" t="inlineStr">
        <is>
          <t>Yes</t>
        </is>
      </c>
    </row>
    <row r="467" ht="15" customHeight="1" s="37">
      <c r="A467" s="42" t="inlineStr">
        <is>
          <t>bentley become</t>
        </is>
      </c>
      <c r="B467" s="42" t="inlineStr">
        <is>
          <t>bentley become perfume</t>
        </is>
      </c>
      <c r="C467" s="42" t="inlineStr">
        <is>
          <t>Yes</t>
        </is>
      </c>
    </row>
    <row r="468" ht="15" customHeight="1" s="37">
      <c r="A468" s="42" t="inlineStr">
        <is>
          <t>bentley become</t>
        </is>
      </c>
      <c r="B468" s="42" t="inlineStr">
        <is>
          <t>bentley become zenith</t>
        </is>
      </c>
      <c r="C468" s="42" t="n"/>
    </row>
    <row r="469" ht="15" customHeight="1" s="37">
      <c r="A469" s="42" t="inlineStr">
        <is>
          <t>bentley become</t>
        </is>
      </c>
      <c r="B469" s="42" t="inlineStr">
        <is>
          <t>bentley become odyssey</t>
        </is>
      </c>
      <c r="C469" s="42" t="n"/>
    </row>
    <row r="470" ht="15" customHeight="1" s="37">
      <c r="A470" s="42" t="inlineStr">
        <is>
          <t>bentley become</t>
        </is>
      </c>
      <c r="B470" s="42" t="inlineStr">
        <is>
          <t>bentley become perfume price</t>
        </is>
      </c>
      <c r="C470" s="42" t="inlineStr">
        <is>
          <t>Yes</t>
        </is>
      </c>
    </row>
    <row r="471" ht="15" customHeight="1" s="37">
      <c r="A471" s="42" t="inlineStr">
        <is>
          <t>bentley become</t>
        </is>
      </c>
      <c r="B471" s="42" t="inlineStr">
        <is>
          <t>bentley become review</t>
        </is>
      </c>
      <c r="C471" s="42" t="inlineStr">
        <is>
          <t>Yes</t>
        </is>
      </c>
    </row>
    <row r="472" ht="15" customHeight="1" s="37">
      <c r="A472" s="42" t="inlineStr">
        <is>
          <t>bentley become</t>
        </is>
      </c>
      <c r="B472" s="42" t="inlineStr">
        <is>
          <t>bentley become edp</t>
        </is>
      </c>
      <c r="C472" s="42" t="inlineStr">
        <is>
          <t>Yes</t>
        </is>
      </c>
    </row>
    <row r="473" ht="15" customHeight="1" s="37">
      <c r="A473" s="42" t="inlineStr">
        <is>
          <t>bentley become</t>
        </is>
      </c>
      <c r="B473" s="42" t="inlineStr">
        <is>
          <t>bentley become fragrantica</t>
        </is>
      </c>
      <c r="C473" s="42" t="n"/>
    </row>
    <row r="474" ht="15" customHeight="1" s="37">
      <c r="A474" s="42" t="inlineStr">
        <is>
          <t>bentley become</t>
        </is>
      </c>
      <c r="B474" s="42" t="inlineStr">
        <is>
          <t>bentley become fragrance</t>
        </is>
      </c>
      <c r="C474" s="42" t="n"/>
    </row>
    <row r="475" ht="15" customHeight="1" s="37">
      <c r="A475" s="42" t="inlineStr">
        <is>
          <t>bentley become</t>
        </is>
      </c>
      <c r="B475" s="42" t="inlineStr">
        <is>
          <t>bentley become for man</t>
        </is>
      </c>
      <c r="C475" s="42" t="n"/>
    </row>
    <row r="476" ht="15" customHeight="1" s="37">
      <c r="A476" s="42" t="inlineStr">
        <is>
          <t>bentley infinite</t>
        </is>
      </c>
      <c r="B476" s="42" t="inlineStr">
        <is>
          <t>bentley infinite intense</t>
        </is>
      </c>
      <c r="C476" s="42" t="n"/>
    </row>
    <row r="477" ht="15" customHeight="1" s="37">
      <c r="A477" s="42" t="inlineStr">
        <is>
          <t>bentley infinite</t>
        </is>
      </c>
      <c r="B477" s="42" t="inlineStr">
        <is>
          <t>bentley infinite rush</t>
        </is>
      </c>
      <c r="C477" s="42" t="n"/>
    </row>
    <row r="478" ht="15" customHeight="1" s="37">
      <c r="A478" s="42" t="inlineStr">
        <is>
          <t>bentley infinite</t>
        </is>
      </c>
      <c r="B478" s="42" t="inlineStr">
        <is>
          <t>bentley infinite</t>
        </is>
      </c>
      <c r="C478" s="42" t="inlineStr">
        <is>
          <t>Yes</t>
        </is>
      </c>
    </row>
    <row r="479" ht="15" customHeight="1" s="37">
      <c r="A479" s="42" t="inlineStr">
        <is>
          <t>bentley infinite</t>
        </is>
      </c>
      <c r="B479" s="42" t="inlineStr">
        <is>
          <t>bentley infinite rush white edition</t>
        </is>
      </c>
      <c r="C479" s="42" t="n"/>
    </row>
    <row r="480" ht="15" customHeight="1" s="37">
      <c r="A480" s="42" t="inlineStr">
        <is>
          <t>bentley infinite</t>
        </is>
      </c>
      <c r="B480" s="42" t="inlineStr">
        <is>
          <t>bentley infinite perfume</t>
        </is>
      </c>
      <c r="C480" s="42" t="inlineStr">
        <is>
          <t>Yes</t>
        </is>
      </c>
    </row>
    <row r="481" ht="15" customHeight="1" s="37">
      <c r="A481" s="42" t="inlineStr">
        <is>
          <t>bentley infinite</t>
        </is>
      </c>
      <c r="B481" s="42" t="inlineStr">
        <is>
          <t>bentley infinite intense edp</t>
        </is>
      </c>
      <c r="C481" s="42" t="n"/>
    </row>
    <row r="482" ht="15" customHeight="1" s="37">
      <c r="A482" s="42" t="inlineStr">
        <is>
          <t>bentley infinite</t>
        </is>
      </c>
      <c r="B482" s="42" t="inlineStr">
        <is>
          <t>bentley infinite intense eau de parfum</t>
        </is>
      </c>
      <c r="C482" s="42" t="n"/>
    </row>
    <row r="483" ht="15" customHeight="1" s="37">
      <c r="A483" s="42" t="inlineStr">
        <is>
          <t>bentley infinite</t>
        </is>
      </c>
      <c r="B483" s="42" t="inlineStr">
        <is>
          <t>bentley infinite edt</t>
        </is>
      </c>
      <c r="C483" s="42" t="inlineStr">
        <is>
          <t>Yes</t>
        </is>
      </c>
    </row>
    <row r="484" ht="15" customHeight="1" s="37">
      <c r="A484" s="42" t="inlineStr">
        <is>
          <t>bentley infinite</t>
        </is>
      </c>
      <c r="B484" s="42" t="inlineStr">
        <is>
          <t>bentley infinite intense review</t>
        </is>
      </c>
      <c r="C484" s="42" t="n"/>
    </row>
    <row r="485" ht="15" customHeight="1" s="37">
      <c r="A485" s="42" t="inlineStr">
        <is>
          <t>bentley infinite</t>
        </is>
      </c>
      <c r="B485" s="42" t="inlineStr">
        <is>
          <t>bentley infinite cologne</t>
        </is>
      </c>
      <c r="C485" s="42" t="n"/>
    </row>
    <row r="486" ht="15" customHeight="1" s="37">
      <c r="A486" s="42" t="inlineStr">
        <is>
          <t>bentley momentum unlimited</t>
        </is>
      </c>
      <c r="B486" s="42" t="inlineStr">
        <is>
          <t>bentley momentum unlimited</t>
        </is>
      </c>
      <c r="C486" s="42" t="inlineStr">
        <is>
          <t>Yes</t>
        </is>
      </c>
    </row>
    <row r="487" ht="15" customHeight="1" s="37">
      <c r="A487" s="42" t="inlineStr">
        <is>
          <t>bentley momentum unlimited</t>
        </is>
      </c>
      <c r="B487" s="42" t="inlineStr">
        <is>
          <t>bentley momentum unlimited edt</t>
        </is>
      </c>
      <c r="C487" s="42" t="inlineStr">
        <is>
          <t>Yes</t>
        </is>
      </c>
    </row>
    <row r="488" ht="15" customHeight="1" s="37">
      <c r="A488" s="42" t="inlineStr">
        <is>
          <t>bentley momentum unlimited</t>
        </is>
      </c>
      <c r="B488" s="42" t="inlineStr">
        <is>
          <t>bentley momentum unlimited review</t>
        </is>
      </c>
      <c r="C488" s="42" t="inlineStr">
        <is>
          <t>Yes</t>
        </is>
      </c>
    </row>
    <row r="489" ht="15" customHeight="1" s="37">
      <c r="A489" s="42" t="inlineStr">
        <is>
          <t>bentley momentum unlimited</t>
        </is>
      </c>
      <c r="B489" s="42" t="inlineStr">
        <is>
          <t>bentley momentum unlimited edt 100ml</t>
        </is>
      </c>
      <c r="C489" s="42" t="inlineStr">
        <is>
          <t>Yes</t>
        </is>
      </c>
    </row>
    <row r="490" ht="15" customHeight="1" s="37">
      <c r="A490" s="42" t="inlineStr">
        <is>
          <t>bentley momentum unlimited</t>
        </is>
      </c>
      <c r="B490" s="42" t="inlineStr">
        <is>
          <t>bentley momentum unlimited fragrantica</t>
        </is>
      </c>
      <c r="C490" s="42" t="n"/>
    </row>
    <row r="491" ht="15" customHeight="1" s="37">
      <c r="A491" s="42" t="inlineStr">
        <is>
          <t>bentley momentum unlimited</t>
        </is>
      </c>
      <c r="B491" s="42" t="inlineStr">
        <is>
          <t>bentley momentum unlimited price</t>
        </is>
      </c>
      <c r="C491" s="42" t="inlineStr">
        <is>
          <t>Yes</t>
        </is>
      </c>
    </row>
    <row r="492" ht="15" customHeight="1" s="37">
      <c r="A492" s="42" t="inlineStr">
        <is>
          <t>bentley momentum unlimited</t>
        </is>
      </c>
      <c r="B492" s="42" t="inlineStr">
        <is>
          <t>bentley momentum unlimited eau de toilette</t>
        </is>
      </c>
      <c r="C492" s="42" t="inlineStr">
        <is>
          <t>Yes</t>
        </is>
      </c>
    </row>
    <row r="493" ht="15" customHeight="1" s="37">
      <c r="A493" s="42" t="inlineStr">
        <is>
          <t>bentley momentum unlimited</t>
        </is>
      </c>
      <c r="B493" s="42" t="inlineStr">
        <is>
          <t>bentley momentum unlimited notes</t>
        </is>
      </c>
      <c r="C493" s="42" t="inlineStr">
        <is>
          <t>Yes</t>
        </is>
      </c>
    </row>
    <row r="494" ht="15" customHeight="1" s="37">
      <c r="A494" s="42" t="inlineStr">
        <is>
          <t>bentley momentum unlimited</t>
        </is>
      </c>
      <c r="B494" s="42" t="inlineStr">
        <is>
          <t>bentley momentum unlimited edp</t>
        </is>
      </c>
      <c r="C494" s="42" t="inlineStr">
        <is>
          <t>Yes</t>
        </is>
      </c>
    </row>
    <row r="495" ht="15" customHeight="1" s="37">
      <c r="A495" s="42" t="inlineStr">
        <is>
          <t>bentley momentum unlimited</t>
        </is>
      </c>
      <c r="B495" s="42" t="inlineStr">
        <is>
          <t>bentley momentum unlimited parfumo</t>
        </is>
      </c>
      <c r="C495" s="42" t="n"/>
    </row>
    <row r="496" ht="15" customHeight="1" s="37">
      <c r="A496" s="42" t="inlineStr">
        <is>
          <t>bentley perfume</t>
        </is>
      </c>
      <c r="B496" s="42" t="inlineStr">
        <is>
          <t>bentley perfume</t>
        </is>
      </c>
      <c r="C496" s="42" t="inlineStr">
        <is>
          <t>Yes</t>
        </is>
      </c>
    </row>
    <row r="497" ht="15" customHeight="1" s="37">
      <c r="A497" s="42" t="inlineStr">
        <is>
          <t>bentley perfume</t>
        </is>
      </c>
      <c r="B497" s="42" t="inlineStr">
        <is>
          <t>bentley perfume for men</t>
        </is>
      </c>
      <c r="C497" s="42" t="inlineStr">
        <is>
          <t>Yes</t>
        </is>
      </c>
    </row>
    <row r="498" ht="15" customHeight="1" s="37">
      <c r="A498" s="42" t="inlineStr">
        <is>
          <t>bentley perfume</t>
        </is>
      </c>
      <c r="B498" s="42" t="inlineStr">
        <is>
          <t>bentley perfume price</t>
        </is>
      </c>
      <c r="C498" s="42" t="n"/>
    </row>
    <row r="499" ht="15" customHeight="1" s="37">
      <c r="A499" s="42" t="inlineStr">
        <is>
          <t>bentley perfume</t>
        </is>
      </c>
      <c r="B499" s="42" t="inlineStr">
        <is>
          <t>bentley perfume price in pakistan</t>
        </is>
      </c>
      <c r="C499" s="42" t="n"/>
    </row>
    <row r="500" ht="15" customHeight="1" s="37">
      <c r="A500" s="42" t="inlineStr">
        <is>
          <t>bentley perfume</t>
        </is>
      </c>
      <c r="B500" s="42" t="inlineStr">
        <is>
          <t>bentley perfume intense</t>
        </is>
      </c>
      <c r="C500" s="42" t="n"/>
    </row>
    <row r="501" ht="15" customHeight="1" s="37">
      <c r="A501" s="42" t="inlineStr">
        <is>
          <t>bentley perfume</t>
        </is>
      </c>
      <c r="B501" s="42" t="inlineStr">
        <is>
          <t>bentley perfume price in bangladesh</t>
        </is>
      </c>
      <c r="C501" s="42" t="n"/>
    </row>
    <row r="502" ht="15" customHeight="1" s="37">
      <c r="A502" s="42" t="inlineStr">
        <is>
          <t>bentley perfume</t>
        </is>
      </c>
      <c r="B502" s="42" t="inlineStr">
        <is>
          <t>bentley perfume price in india</t>
        </is>
      </c>
      <c r="C502" s="42" t="n"/>
    </row>
    <row r="503" ht="15" customHeight="1" s="37">
      <c r="A503" s="42" t="inlineStr">
        <is>
          <t>bentley perfume</t>
        </is>
      </c>
      <c r="B503" s="42" t="inlineStr">
        <is>
          <t>bentley perfume for men intense</t>
        </is>
      </c>
      <c r="C503" s="42" t="n"/>
    </row>
    <row r="504" ht="15" customHeight="1" s="37">
      <c r="A504" s="42" t="inlineStr">
        <is>
          <t>bentley perfume</t>
        </is>
      </c>
      <c r="B504" s="42" t="inlineStr">
        <is>
          <t>bentley perfume original</t>
        </is>
      </c>
      <c r="C504" s="42" t="n"/>
    </row>
    <row r="505" ht="15" customHeight="1" s="37">
      <c r="A505" s="42" t="inlineStr">
        <is>
          <t>bentley perfume</t>
        </is>
      </c>
      <c r="B505" s="42" t="inlineStr">
        <is>
          <t>bentley perfume black edition</t>
        </is>
      </c>
      <c r="C505" s="42" t="n"/>
    </row>
    <row r="506" ht="15" customHeight="1" s="37">
      <c r="A506" s="42" t="inlineStr">
        <is>
          <t>bentley silverlake</t>
        </is>
      </c>
      <c r="B506" s="42" t="inlineStr">
        <is>
          <t>bentley silverlake</t>
        </is>
      </c>
      <c r="C506" s="42" t="inlineStr">
        <is>
          <t>Yes</t>
        </is>
      </c>
    </row>
    <row r="507" ht="15" customHeight="1" s="37">
      <c r="A507" s="42" t="inlineStr">
        <is>
          <t>bentley silverlake</t>
        </is>
      </c>
      <c r="B507" s="42" t="inlineStr">
        <is>
          <t>bentley silverlake price in bangladesh</t>
        </is>
      </c>
      <c r="C507" s="42" t="n"/>
    </row>
    <row r="508" ht="15" customHeight="1" s="37">
      <c r="A508" s="42" t="inlineStr">
        <is>
          <t>bentley silverlake</t>
        </is>
      </c>
      <c r="B508" s="42" t="inlineStr">
        <is>
          <t>bentley silverlake cologne</t>
        </is>
      </c>
      <c r="C508" s="42" t="n"/>
    </row>
    <row r="509" ht="15" customHeight="1" s="37">
      <c r="A509" s="42" t="inlineStr">
        <is>
          <t>bentley silverlake</t>
        </is>
      </c>
      <c r="B509" s="42" t="inlineStr">
        <is>
          <t>bentley silverlake perfume</t>
        </is>
      </c>
      <c r="C509" s="42" t="inlineStr">
        <is>
          <t>Yes</t>
        </is>
      </c>
    </row>
    <row r="510" ht="15" customHeight="1" s="37">
      <c r="A510" s="42" t="inlineStr">
        <is>
          <t>bentley silverlake</t>
        </is>
      </c>
      <c r="B510" s="42" t="inlineStr">
        <is>
          <t>bentley silverlake edp</t>
        </is>
      </c>
      <c r="C510" s="42" t="inlineStr">
        <is>
          <t>Yes</t>
        </is>
      </c>
    </row>
    <row r="511" ht="15" customHeight="1" s="37">
      <c r="A511" s="42" t="inlineStr">
        <is>
          <t>bentley silverlake</t>
        </is>
      </c>
      <c r="B511" s="42" t="inlineStr">
        <is>
          <t>bentley silverlake review</t>
        </is>
      </c>
      <c r="C511" s="42" t="inlineStr">
        <is>
          <t>Yes</t>
        </is>
      </c>
    </row>
    <row r="512" ht="15" customHeight="1" s="37">
      <c r="A512" s="42" t="inlineStr">
        <is>
          <t>bentley silverlake</t>
        </is>
      </c>
      <c r="B512" s="42" t="inlineStr">
        <is>
          <t>bentley silverlake price</t>
        </is>
      </c>
      <c r="C512" s="42" t="inlineStr">
        <is>
          <t>Yes</t>
        </is>
      </c>
    </row>
    <row r="513" ht="15" customHeight="1" s="37">
      <c r="A513" s="42" t="inlineStr">
        <is>
          <t>bentley silverlake</t>
        </is>
      </c>
      <c r="B513" s="42" t="inlineStr">
        <is>
          <t>bentley silverlake dupe of</t>
        </is>
      </c>
      <c r="C513" s="42" t="inlineStr">
        <is>
          <t>Yes</t>
        </is>
      </c>
    </row>
    <row r="514" ht="15" customHeight="1" s="37">
      <c r="A514" s="42" t="inlineStr">
        <is>
          <t>bentley silverlake</t>
        </is>
      </c>
      <c r="B514" s="42" t="inlineStr">
        <is>
          <t>bentley silverlake notes</t>
        </is>
      </c>
      <c r="C514" s="42" t="inlineStr">
        <is>
          <t>Yes</t>
        </is>
      </c>
    </row>
    <row r="515" ht="15" customHeight="1" s="37">
      <c r="A515" s="42" t="inlineStr">
        <is>
          <t>bentley silverlake</t>
        </is>
      </c>
      <c r="B515" s="42" t="inlineStr">
        <is>
          <t>bentley silverlake fragrantica</t>
        </is>
      </c>
      <c r="C515" s="42" t="n"/>
    </row>
    <row r="516" ht="15" customHeight="1" s="37">
      <c r="A516" s="42" t="inlineStr">
        <is>
          <t>burberry miniature set</t>
        </is>
      </c>
      <c r="B516" s="42" t="inlineStr">
        <is>
          <t>burberry miniature set</t>
        </is>
      </c>
      <c r="C516" s="42" t="inlineStr">
        <is>
          <t>Yes</t>
        </is>
      </c>
    </row>
    <row r="517" ht="15" customHeight="1" s="37">
      <c r="A517" s="42" t="inlineStr">
        <is>
          <t>burberry miniature set</t>
        </is>
      </c>
      <c r="B517" s="42" t="inlineStr">
        <is>
          <t>burberry mini set</t>
        </is>
      </c>
      <c r="C517" s="42" t="inlineStr">
        <is>
          <t>Yes</t>
        </is>
      </c>
    </row>
    <row r="518" ht="15" customHeight="1" s="37">
      <c r="A518" s="42" t="inlineStr">
        <is>
          <t>burberry miniature set</t>
        </is>
      </c>
      <c r="B518" s="42" t="inlineStr">
        <is>
          <t>burberry mini set perfume</t>
        </is>
      </c>
      <c r="C518" s="42" t="inlineStr">
        <is>
          <t>Yes</t>
        </is>
      </c>
    </row>
    <row r="519" ht="15" customHeight="1" s="37">
      <c r="A519" s="42" t="inlineStr">
        <is>
          <t>burberry miniature set</t>
        </is>
      </c>
      <c r="B519" s="42" t="inlineStr">
        <is>
          <t>burberry mini set sephora</t>
        </is>
      </c>
      <c r="C519" s="42" t="n"/>
    </row>
    <row r="520" ht="15" customHeight="1" s="37">
      <c r="A520" s="42" t="inlineStr">
        <is>
          <t>burberry miniature set</t>
        </is>
      </c>
      <c r="B520" s="42" t="inlineStr">
        <is>
          <t>burberry mini set ulta</t>
        </is>
      </c>
      <c r="C520" s="42" t="n"/>
    </row>
    <row r="521" ht="15" customHeight="1" s="37">
      <c r="A521" s="42" t="inlineStr">
        <is>
          <t>burberry miniature set</t>
        </is>
      </c>
      <c r="B521" s="42" t="inlineStr">
        <is>
          <t>burberry mini set her</t>
        </is>
      </c>
      <c r="C521" s="42" t="n"/>
    </row>
    <row r="522" ht="15" customHeight="1" s="37">
      <c r="A522" s="42" t="inlineStr">
        <is>
          <t>burberry miniature set</t>
        </is>
      </c>
      <c r="B522" s="42" t="inlineStr">
        <is>
          <t>burberry mini set 4</t>
        </is>
      </c>
      <c r="C522" s="42" t="inlineStr">
        <is>
          <t>Yes</t>
        </is>
      </c>
    </row>
    <row r="523" ht="15" customHeight="1" s="37">
      <c r="A523" s="42" t="inlineStr">
        <is>
          <t>burberry miniature set</t>
        </is>
      </c>
      <c r="B523" s="42" t="inlineStr">
        <is>
          <t>burberry mini set chemist warehouse</t>
        </is>
      </c>
      <c r="C523" s="42" t="n"/>
    </row>
    <row r="524" ht="15" customHeight="1" s="37">
      <c r="A524" s="42" t="inlineStr">
        <is>
          <t>burberry miniature set</t>
        </is>
      </c>
      <c r="B524" s="42" t="inlineStr">
        <is>
          <t>burberry small set</t>
        </is>
      </c>
      <c r="C524" s="42" t="n"/>
    </row>
    <row r="525" ht="15" customHeight="1" s="37">
      <c r="A525" s="42" t="inlineStr">
        <is>
          <t>burberry miniature set</t>
        </is>
      </c>
      <c r="B525" s="42" t="inlineStr">
        <is>
          <t>burberry miniature perfume set</t>
        </is>
      </c>
      <c r="C525" s="42" t="inlineStr">
        <is>
          <t>Yes</t>
        </is>
      </c>
    </row>
    <row r="526" ht="15" customHeight="1" s="37">
      <c r="A526" s="42" t="inlineStr">
        <is>
          <t>burberry my burberry</t>
        </is>
      </c>
      <c r="B526" s="42" t="inlineStr">
        <is>
          <t>burberry my burberry</t>
        </is>
      </c>
      <c r="C526" s="42" t="inlineStr">
        <is>
          <t>Yes</t>
        </is>
      </c>
    </row>
    <row r="527" ht="15" customHeight="1" s="37">
      <c r="A527" s="42" t="inlineStr">
        <is>
          <t>burberry my burberry</t>
        </is>
      </c>
      <c r="B527" s="42" t="inlineStr">
        <is>
          <t>burberry my burberry blush</t>
        </is>
      </c>
      <c r="C527" s="42" t="n"/>
    </row>
    <row r="528" ht="15" customHeight="1" s="37">
      <c r="A528" s="42" t="inlineStr">
        <is>
          <t>burberry my burberry</t>
        </is>
      </c>
      <c r="B528" s="42" t="inlineStr">
        <is>
          <t>burberry my burberry black</t>
        </is>
      </c>
      <c r="C528" s="42" t="inlineStr">
        <is>
          <t>Yes</t>
        </is>
      </c>
    </row>
    <row r="529" ht="15" customHeight="1" s="37">
      <c r="A529" s="42" t="inlineStr">
        <is>
          <t>burberry my burberry</t>
        </is>
      </c>
      <c r="B529" s="42" t="inlineStr">
        <is>
          <t>burberry my burberry perfume</t>
        </is>
      </c>
      <c r="C529" s="42" t="inlineStr">
        <is>
          <t>Yes</t>
        </is>
      </c>
    </row>
    <row r="530" ht="15" customHeight="1" s="37">
      <c r="A530" s="42" t="inlineStr">
        <is>
          <t>burberry my burberry</t>
        </is>
      </c>
      <c r="B530" s="42" t="inlineStr">
        <is>
          <t>burberry my burberry blush eau de parfum</t>
        </is>
      </c>
      <c r="C530" s="42" t="n"/>
    </row>
    <row r="531" ht="15" customHeight="1" s="37">
      <c r="A531" s="42" t="inlineStr">
        <is>
          <t>burberry my burberry</t>
        </is>
      </c>
      <c r="B531" s="42" t="inlineStr">
        <is>
          <t>burberry my burberry eau de parfum</t>
        </is>
      </c>
      <c r="C531" s="42" t="inlineStr">
        <is>
          <t>Yes</t>
        </is>
      </c>
    </row>
    <row r="532" ht="15" customHeight="1" s="37">
      <c r="A532" s="42" t="inlineStr">
        <is>
          <t>burberry my burberry</t>
        </is>
      </c>
      <c r="B532" s="42" t="inlineStr">
        <is>
          <t>burberry my burberry black parfum</t>
        </is>
      </c>
      <c r="C532" s="42" t="inlineStr">
        <is>
          <t>Yes</t>
        </is>
      </c>
    </row>
    <row r="533" ht="15" customHeight="1" s="37">
      <c r="A533" s="42" t="inlineStr">
        <is>
          <t>burberry my burberry</t>
        </is>
      </c>
      <c r="B533" s="42" t="inlineStr">
        <is>
          <t>burberry my burberry edp</t>
        </is>
      </c>
      <c r="C533" s="42" t="inlineStr">
        <is>
          <t>Yes</t>
        </is>
      </c>
    </row>
    <row r="534" ht="15" customHeight="1" s="37">
      <c r="A534" s="42" t="inlineStr">
        <is>
          <t>burberry my burberry</t>
        </is>
      </c>
      <c r="B534" s="42" t="inlineStr">
        <is>
          <t>burberry my burberry black eau de parfum</t>
        </is>
      </c>
      <c r="C534" s="42" t="inlineStr">
        <is>
          <t>Yes</t>
        </is>
      </c>
    </row>
    <row r="535" ht="15" customHeight="1" s="37">
      <c r="A535" s="42" t="inlineStr">
        <is>
          <t>burberry my burberry</t>
        </is>
      </c>
      <c r="B535" s="42" t="inlineStr">
        <is>
          <t>burberry my burberry eau de parfum 90ml</t>
        </is>
      </c>
      <c r="C535" s="42" t="inlineStr">
        <is>
          <t>Yes</t>
        </is>
      </c>
    </row>
    <row r="536" ht="15" customHeight="1" s="37">
      <c r="A536" s="42" t="inlineStr">
        <is>
          <t>burberry my burberry black</t>
        </is>
      </c>
      <c r="B536" s="42" t="inlineStr">
        <is>
          <t>burberry my burberry black</t>
        </is>
      </c>
      <c r="C536" s="42" t="inlineStr">
        <is>
          <t>Yes</t>
        </is>
      </c>
    </row>
    <row r="537" ht="15" customHeight="1" s="37">
      <c r="A537" s="42" t="inlineStr">
        <is>
          <t>burberry my burberry black</t>
        </is>
      </c>
      <c r="B537" s="42" t="inlineStr">
        <is>
          <t>burberry my burberry black parfum</t>
        </is>
      </c>
      <c r="C537" s="42" t="inlineStr">
        <is>
          <t>Yes</t>
        </is>
      </c>
    </row>
    <row r="538" ht="15" customHeight="1" s="37">
      <c r="A538" s="42" t="inlineStr">
        <is>
          <t>burberry my burberry black</t>
        </is>
      </c>
      <c r="B538" s="42" t="inlineStr">
        <is>
          <t>burberry my burberry black eau de parfum</t>
        </is>
      </c>
      <c r="C538" s="42" t="inlineStr">
        <is>
          <t>Yes</t>
        </is>
      </c>
    </row>
    <row r="539" ht="15" customHeight="1" s="37">
      <c r="A539" s="42" t="inlineStr">
        <is>
          <t>burberry my burberry black</t>
        </is>
      </c>
      <c r="B539" s="42" t="inlineStr">
        <is>
          <t>burberry my burberry black parfum 90ml</t>
        </is>
      </c>
      <c r="C539" s="42" t="inlineStr">
        <is>
          <t>Yes</t>
        </is>
      </c>
    </row>
    <row r="540" ht="15" customHeight="1" s="37">
      <c r="A540" s="42" t="inlineStr">
        <is>
          <t>burberry my burberry black</t>
        </is>
      </c>
      <c r="B540" s="42" t="inlineStr">
        <is>
          <t>burberry my burberry black eau de parfum 50ml</t>
        </is>
      </c>
      <c r="C540" s="42" t="inlineStr">
        <is>
          <t>Yes</t>
        </is>
      </c>
    </row>
    <row r="541" ht="15" customHeight="1" s="37">
      <c r="A541" s="42" t="inlineStr">
        <is>
          <t>burberry my burberry black</t>
        </is>
      </c>
      <c r="B541" s="42" t="inlineStr">
        <is>
          <t>burberry my burberry black eau de parfum 90ml</t>
        </is>
      </c>
      <c r="C541" s="42" t="inlineStr">
        <is>
          <t>Yes</t>
        </is>
      </c>
    </row>
    <row r="542" ht="15" customHeight="1" s="37">
      <c r="A542" s="42" t="inlineStr">
        <is>
          <t>burberry my burberry black</t>
        </is>
      </c>
      <c r="B542" s="42" t="inlineStr">
        <is>
          <t>burberry my burberry black edp</t>
        </is>
      </c>
      <c r="C542" s="42" t="inlineStr">
        <is>
          <t>Yes</t>
        </is>
      </c>
    </row>
    <row r="543" ht="15" customHeight="1" s="37">
      <c r="A543" s="42" t="inlineStr">
        <is>
          <t>burberry my burberry black</t>
        </is>
      </c>
      <c r="B543" s="42" t="inlineStr">
        <is>
          <t>burberry my burberry black edp 90ml</t>
        </is>
      </c>
      <c r="C543" s="42" t="n"/>
    </row>
    <row r="544" ht="15" customHeight="1" s="37">
      <c r="A544" s="42" t="inlineStr">
        <is>
          <t>burberry my burberry black</t>
        </is>
      </c>
      <c r="B544" s="42" t="inlineStr">
        <is>
          <t>burberry my burberry black notes</t>
        </is>
      </c>
      <c r="C544" s="42" t="n"/>
    </row>
    <row r="545" ht="15" customHeight="1" s="37">
      <c r="A545" s="42" t="inlineStr">
        <is>
          <t>burberry my burberry black</t>
        </is>
      </c>
      <c r="B545" s="42" t="inlineStr">
        <is>
          <t>burberry my burberry black in fragrantica</t>
        </is>
      </c>
      <c r="C545" s="42" t="n"/>
    </row>
    <row r="546" ht="15" customHeight="1" s="37">
      <c r="A546" s="42" t="inlineStr">
        <is>
          <t>burberry perfume</t>
        </is>
      </c>
      <c r="B546" s="42" t="inlineStr">
        <is>
          <t>burberry perfume</t>
        </is>
      </c>
      <c r="C546" s="42" t="inlineStr">
        <is>
          <t>Yes</t>
        </is>
      </c>
    </row>
    <row r="547" ht="15" customHeight="1" s="37">
      <c r="A547" s="42" t="inlineStr">
        <is>
          <t>burberry perfume</t>
        </is>
      </c>
      <c r="B547" s="42" t="inlineStr">
        <is>
          <t>burberry perfume women</t>
        </is>
      </c>
      <c r="C547" s="42" t="n"/>
    </row>
    <row r="548" ht="15" customHeight="1" s="37">
      <c r="A548" s="42" t="inlineStr">
        <is>
          <t>burberry perfume</t>
        </is>
      </c>
      <c r="B548" s="42" t="inlineStr">
        <is>
          <t>burberry perfume men</t>
        </is>
      </c>
      <c r="C548" s="42" t="n"/>
    </row>
    <row r="549" ht="15" customHeight="1" s="37">
      <c r="A549" s="42" t="inlineStr">
        <is>
          <t>burberry perfume</t>
        </is>
      </c>
      <c r="B549" s="42" t="inlineStr">
        <is>
          <t>burberry perfume goddess</t>
        </is>
      </c>
      <c r="C549" s="42" t="n"/>
    </row>
    <row r="550" ht="15" customHeight="1" s="37">
      <c r="A550" s="42" t="inlineStr">
        <is>
          <t>burberry perfume</t>
        </is>
      </c>
      <c r="B550" s="42" t="inlineStr">
        <is>
          <t>burberry perfume her</t>
        </is>
      </c>
      <c r="C550" s="42" t="n"/>
    </row>
    <row r="551" ht="15" customHeight="1" s="37">
      <c r="A551" s="42" t="inlineStr">
        <is>
          <t>burberry perfume</t>
        </is>
      </c>
      <c r="B551" s="42" t="inlineStr">
        <is>
          <t>burberry perfume price</t>
        </is>
      </c>
      <c r="C551" s="42" t="n"/>
    </row>
    <row r="552" ht="15" customHeight="1" s="37">
      <c r="A552" s="42" t="inlineStr">
        <is>
          <t>burberry perfume</t>
        </is>
      </c>
      <c r="B552" s="42" t="inlineStr">
        <is>
          <t>burberry perfume price in pakistan</t>
        </is>
      </c>
      <c r="C552" s="42" t="n"/>
    </row>
    <row r="553" ht="15" customHeight="1" s="37">
      <c r="A553" s="42" t="inlineStr">
        <is>
          <t>burberry perfume</t>
        </is>
      </c>
      <c r="B553" s="42" t="inlineStr">
        <is>
          <t>burberry perfume hero</t>
        </is>
      </c>
      <c r="C553" s="42" t="n"/>
    </row>
    <row r="554" ht="15" customHeight="1" s="37">
      <c r="A554" s="42" t="inlineStr">
        <is>
          <t>burberry perfume</t>
        </is>
      </c>
      <c r="B554" s="42" t="inlineStr">
        <is>
          <t>burberry perfume london</t>
        </is>
      </c>
      <c r="C554" s="42" t="n"/>
    </row>
    <row r="555" ht="15" customHeight="1" s="37">
      <c r="A555" s="42" t="inlineStr">
        <is>
          <t>burberry perfume</t>
        </is>
      </c>
      <c r="B555" s="42" t="inlineStr">
        <is>
          <t>burberry perfume weekend</t>
        </is>
      </c>
      <c r="C555" s="42" t="n"/>
    </row>
    <row r="556" ht="15" customHeight="1" s="37">
      <c r="A556" s="42" t="inlineStr">
        <is>
          <t>buy deyga</t>
        </is>
      </c>
      <c r="B556" s="42" t="inlineStr">
        <is>
          <t>buy deyga lip balm</t>
        </is>
      </c>
      <c r="C556" s="42" t="inlineStr">
        <is>
          <t>Yes</t>
        </is>
      </c>
    </row>
    <row r="557" ht="15" customHeight="1" s="37">
      <c r="A557" s="42" t="inlineStr">
        <is>
          <t>buy deyga</t>
        </is>
      </c>
      <c r="B557" s="42" t="inlineStr">
        <is>
          <t>buy deyga beetroot lip balm</t>
        </is>
      </c>
      <c r="C557" s="42" t="inlineStr">
        <is>
          <t>Yes</t>
        </is>
      </c>
    </row>
    <row r="558" ht="15" customHeight="1" s="37">
      <c r="A558" s="42" t="inlineStr">
        <is>
          <t>buy deyga</t>
        </is>
      </c>
      <c r="B558" s="42" t="inlineStr">
        <is>
          <t>buy deyga hair removal powder</t>
        </is>
      </c>
      <c r="C558" s="42" t="inlineStr">
        <is>
          <t>Yes</t>
        </is>
      </c>
    </row>
    <row r="559" ht="15" customHeight="1" s="37">
      <c r="A559" s="42" t="inlineStr">
        <is>
          <t>buy deyga</t>
        </is>
      </c>
      <c r="B559" s="42" t="inlineStr">
        <is>
          <t>deyga buy 5 at 999</t>
        </is>
      </c>
      <c r="C559" s="42" t="inlineStr">
        <is>
          <t>Yes</t>
        </is>
      </c>
    </row>
    <row r="560" ht="15" customHeight="1" s="37">
      <c r="A560" s="42" t="inlineStr">
        <is>
          <t>buy deyga</t>
        </is>
      </c>
      <c r="B560" s="42" t="inlineStr">
        <is>
          <t>deyga buy one get one</t>
        </is>
      </c>
      <c r="C560" s="42" t="inlineStr">
        <is>
          <t>Yes</t>
        </is>
      </c>
    </row>
    <row r="561" ht="15" customHeight="1" s="37">
      <c r="A561" s="42" t="inlineStr">
        <is>
          <t>buy deyga</t>
        </is>
      </c>
      <c r="B561" s="42" t="inlineStr">
        <is>
          <t>where to buy deyga products</t>
        </is>
      </c>
      <c r="C561" s="42" t="n"/>
    </row>
    <row r="562" ht="15" customHeight="1" s="37">
      <c r="A562" s="42" t="inlineStr">
        <is>
          <t>buy deyga</t>
        </is>
      </c>
      <c r="B562" s="42" t="inlineStr">
        <is>
          <t>is deyga a good brand</t>
        </is>
      </c>
      <c r="C562" s="42" t="n"/>
    </row>
    <row r="563" ht="15" customHeight="1" s="37">
      <c r="A563" s="42" t="inlineStr">
        <is>
          <t>buy deyga</t>
        </is>
      </c>
      <c r="B563" s="42" t="inlineStr">
        <is>
          <t>deyga shop near me</t>
        </is>
      </c>
      <c r="C563" s="42" t="inlineStr">
        <is>
          <t>Yes</t>
        </is>
      </c>
    </row>
    <row r="564" ht="15" customHeight="1" s="37">
      <c r="A564" s="42" t="inlineStr">
        <is>
          <t>buy vilvah</t>
        </is>
      </c>
      <c r="B564" s="42" t="inlineStr">
        <is>
          <t>buy vilvah milk drops</t>
        </is>
      </c>
      <c r="C564" s="42" t="inlineStr">
        <is>
          <t>Yes</t>
        </is>
      </c>
    </row>
    <row r="565" ht="15" customHeight="1" s="37">
      <c r="A565" s="42" t="inlineStr">
        <is>
          <t>buy vilvah</t>
        </is>
      </c>
      <c r="B565" s="42" t="inlineStr">
        <is>
          <t>buy vilvah lip balm</t>
        </is>
      </c>
      <c r="C565" s="42" t="inlineStr">
        <is>
          <t>Yes</t>
        </is>
      </c>
    </row>
    <row r="566" ht="15" customHeight="1" s="37">
      <c r="A566" s="42" t="inlineStr">
        <is>
          <t>buy vilvah</t>
        </is>
      </c>
      <c r="B566" s="42" t="inlineStr">
        <is>
          <t>buy vilvah products</t>
        </is>
      </c>
      <c r="C566" s="42" t="inlineStr">
        <is>
          <t>Yes</t>
        </is>
      </c>
    </row>
    <row r="567" ht="15" customHeight="1" s="37">
      <c r="A567" s="42" t="inlineStr">
        <is>
          <t>buy vilvah</t>
        </is>
      </c>
      <c r="B567" s="42" t="inlineStr">
        <is>
          <t>buy vilvah aloe vera gel</t>
        </is>
      </c>
      <c r="C567" s="42" t="inlineStr">
        <is>
          <t>Yes</t>
        </is>
      </c>
    </row>
    <row r="568" ht="15" customHeight="1" s="37">
      <c r="A568" s="42" t="inlineStr">
        <is>
          <t>buy vilvah</t>
        </is>
      </c>
      <c r="B568" s="42" t="inlineStr">
        <is>
          <t>buy vilvah</t>
        </is>
      </c>
      <c r="C568" s="42" t="inlineStr">
        <is>
          <t>Yes</t>
        </is>
      </c>
    </row>
    <row r="569" ht="15" customHeight="1" s="37">
      <c r="A569" s="42" t="inlineStr">
        <is>
          <t>buy vilvah</t>
        </is>
      </c>
      <c r="B569" s="42" t="inlineStr">
        <is>
          <t>buy vilvah face wash</t>
        </is>
      </c>
      <c r="C569" s="42" t="inlineStr">
        <is>
          <t>Yes</t>
        </is>
      </c>
    </row>
    <row r="570" ht="15" customHeight="1" s="37">
      <c r="A570" s="42" t="inlineStr">
        <is>
          <t>buy vilvah</t>
        </is>
      </c>
      <c r="B570" s="42" t="inlineStr">
        <is>
          <t>buy vilvah foot cream</t>
        </is>
      </c>
      <c r="C570" s="42" t="inlineStr">
        <is>
          <t>Yes</t>
        </is>
      </c>
    </row>
    <row r="571" ht="15" customHeight="1" s="37">
      <c r="A571" s="42" t="inlineStr">
        <is>
          <t>buy vilvah</t>
        </is>
      </c>
      <c r="B571" s="42" t="inlineStr">
        <is>
          <t>buy vilvah sunscreen</t>
        </is>
      </c>
      <c r="C571" s="42" t="inlineStr">
        <is>
          <t>Yes</t>
        </is>
      </c>
    </row>
    <row r="572" ht="15" customHeight="1" s="37">
      <c r="A572" s="42" t="inlineStr">
        <is>
          <t>buy vilvah</t>
        </is>
      </c>
      <c r="B572" s="42" t="inlineStr">
        <is>
          <t>buy vilvah under eye cream</t>
        </is>
      </c>
      <c r="C572" s="42" t="inlineStr">
        <is>
          <t>Yes</t>
        </is>
      </c>
    </row>
    <row r="573" ht="15" customHeight="1" s="37">
      <c r="A573" s="42" t="inlineStr">
        <is>
          <t>buy vilvah</t>
        </is>
      </c>
      <c r="B573" s="42" t="inlineStr">
        <is>
          <t>buy vilvah milk drops serum</t>
        </is>
      </c>
      <c r="C573" s="42" t="inlineStr">
        <is>
          <t>Yes</t>
        </is>
      </c>
    </row>
    <row r="574" ht="15" customHeight="1" s="37">
      <c r="A574" s="42" t="inlineStr">
        <is>
          <t>bvlgari man glacial essence gift set</t>
        </is>
      </c>
      <c r="B574" s="42" t="inlineStr">
        <is>
          <t>bvlgari man glacial essence gift set</t>
        </is>
      </c>
      <c r="C574" s="42" t="inlineStr">
        <is>
          <t>Yes</t>
        </is>
      </c>
    </row>
    <row r="575" ht="15" customHeight="1" s="37">
      <c r="A575" s="42" t="inlineStr">
        <is>
          <t>bvlgari man glacial essence gift set</t>
        </is>
      </c>
      <c r="B575" s="42" t="inlineStr">
        <is>
          <t>bvlgari man glacial essence set</t>
        </is>
      </c>
      <c r="C575" s="42" t="inlineStr">
        <is>
          <t>Yes</t>
        </is>
      </c>
    </row>
    <row r="576" ht="15" customHeight="1" s="37">
      <c r="A576" s="42" t="inlineStr">
        <is>
          <t>bvlgari man glacial essence gift set</t>
        </is>
      </c>
      <c r="B576" s="42" t="inlineStr">
        <is>
          <t>bvlgari man glacial essence eau de parfum gift set 100ml</t>
        </is>
      </c>
      <c r="C576" s="42" t="inlineStr">
        <is>
          <t>Yes</t>
        </is>
      </c>
    </row>
    <row r="577" ht="15" customHeight="1" s="37">
      <c r="A577" s="42" t="inlineStr">
        <is>
          <t>bvlgari man glacial essence gift set</t>
        </is>
      </c>
      <c r="B577" s="42" t="inlineStr">
        <is>
          <t>bvlgari man glacial essence m set edp 100ml edp 15ml</t>
        </is>
      </c>
      <c r="C577" s="42" t="n"/>
    </row>
    <row r="578" ht="15" customHeight="1" s="37">
      <c r="A578" s="42" t="inlineStr">
        <is>
          <t>bvlgari man glacial essence gift set</t>
        </is>
      </c>
      <c r="B578" s="42" t="inlineStr">
        <is>
          <t>bvlgari man glacial essence kit</t>
        </is>
      </c>
      <c r="C578" s="42" t="inlineStr">
        <is>
          <t>Yes</t>
        </is>
      </c>
    </row>
    <row r="579" ht="15" customHeight="1" s="37">
      <c r="A579" s="42" t="inlineStr">
        <is>
          <t>bvlgari man glacial essence gift set</t>
        </is>
      </c>
      <c r="B579" s="42" t="inlineStr">
        <is>
          <t>bvlgari man glacial essence review</t>
        </is>
      </c>
      <c r="C579" s="42" t="inlineStr">
        <is>
          <t>Yes</t>
        </is>
      </c>
    </row>
    <row r="580" ht="15" customHeight="1" s="37">
      <c r="A580" s="42" t="inlineStr">
        <is>
          <t>bvlgari man glacial essence gift set</t>
        </is>
      </c>
      <c r="B580" s="42" t="inlineStr">
        <is>
          <t>bvlgari glacial essence price</t>
        </is>
      </c>
      <c r="C580" s="42" t="inlineStr">
        <is>
          <t>Yes</t>
        </is>
      </c>
    </row>
    <row r="581" ht="15" customHeight="1" s="37">
      <c r="A581" s="42" t="inlineStr">
        <is>
          <t>bvlgari man glacial essence gift set</t>
        </is>
      </c>
      <c r="B581" s="42" t="inlineStr">
        <is>
          <t>bvlgari man glacial essence eau de parfum review</t>
        </is>
      </c>
      <c r="C581" s="42" t="inlineStr">
        <is>
          <t>Yes</t>
        </is>
      </c>
    </row>
    <row r="582" ht="15" customHeight="1" s="37">
      <c r="A582" s="42" t="inlineStr">
        <is>
          <t>bvlgari man glacial essence gift set</t>
        </is>
      </c>
      <c r="B582" s="42" t="inlineStr">
        <is>
          <t>bvlgari glacial essence review</t>
        </is>
      </c>
      <c r="C582" s="42" t="n"/>
    </row>
    <row r="583" ht="15" customHeight="1" s="37">
      <c r="A583" s="42" t="inlineStr">
        <is>
          <t>bvlgari man in black</t>
        </is>
      </c>
      <c r="B583" s="42" t="inlineStr">
        <is>
          <t>bvlgari man in black</t>
        </is>
      </c>
      <c r="C583" s="42" t="inlineStr">
        <is>
          <t>Yes</t>
        </is>
      </c>
    </row>
    <row r="584" ht="15" customHeight="1" s="37">
      <c r="A584" s="42" t="inlineStr">
        <is>
          <t>bvlgari man in black</t>
        </is>
      </c>
      <c r="B584" s="42" t="inlineStr">
        <is>
          <t>bvlgari man in black parfum</t>
        </is>
      </c>
      <c r="C584" s="42" t="inlineStr">
        <is>
          <t>Yes</t>
        </is>
      </c>
    </row>
    <row r="585" ht="15" customHeight="1" s="37">
      <c r="A585" s="42" t="inlineStr">
        <is>
          <t>bvlgari man in black</t>
        </is>
      </c>
      <c r="B585" s="42" t="inlineStr">
        <is>
          <t>bvlgari man in black perfume</t>
        </is>
      </c>
      <c r="C585" s="42" t="inlineStr">
        <is>
          <t>Yes</t>
        </is>
      </c>
    </row>
    <row r="586" ht="15" customHeight="1" s="37">
      <c r="A586" s="42" t="inlineStr">
        <is>
          <t>bvlgari man in black</t>
        </is>
      </c>
      <c r="B586" s="42" t="inlineStr">
        <is>
          <t>bvlgari man in black eau de parfum</t>
        </is>
      </c>
      <c r="C586" s="42" t="inlineStr">
        <is>
          <t>Yes</t>
        </is>
      </c>
    </row>
    <row r="587" ht="15" customHeight="1" s="37">
      <c r="A587" s="42" t="inlineStr">
        <is>
          <t>bvlgari man in black</t>
        </is>
      </c>
      <c r="B587" s="42" t="inlineStr">
        <is>
          <t>bvlgari man in black edp</t>
        </is>
      </c>
      <c r="C587" s="42" t="inlineStr">
        <is>
          <t>Yes</t>
        </is>
      </c>
    </row>
    <row r="588" ht="15" customHeight="1" s="37">
      <c r="A588" s="42" t="inlineStr">
        <is>
          <t>bvlgari man in black</t>
        </is>
      </c>
      <c r="B588" s="42" t="inlineStr">
        <is>
          <t>bvlgari man in black price</t>
        </is>
      </c>
      <c r="C588" s="42" t="inlineStr">
        <is>
          <t>Yes</t>
        </is>
      </c>
    </row>
    <row r="589" ht="15" customHeight="1" s="37">
      <c r="A589" s="42" t="inlineStr">
        <is>
          <t>bvlgari man in black</t>
        </is>
      </c>
      <c r="B589" s="42" t="inlineStr">
        <is>
          <t>bvlgari man in black notes</t>
        </is>
      </c>
      <c r="C589" s="42" t="inlineStr">
        <is>
          <t>Yes</t>
        </is>
      </c>
    </row>
    <row r="590" ht="15" customHeight="1" s="37">
      <c r="A590" s="42" t="inlineStr">
        <is>
          <t>bvlgari man in black</t>
        </is>
      </c>
      <c r="B590" s="42" t="inlineStr">
        <is>
          <t>bvlgari man in black 100ml price</t>
        </is>
      </c>
      <c r="C590" s="42" t="n"/>
    </row>
    <row r="591" ht="15" customHeight="1" s="37">
      <c r="A591" s="42" t="inlineStr">
        <is>
          <t>bvlgari man in black</t>
        </is>
      </c>
      <c r="B591" s="42" t="inlineStr">
        <is>
          <t>bvlgari man in black review</t>
        </is>
      </c>
      <c r="C591" s="42" t="n"/>
    </row>
    <row r="592" ht="15" customHeight="1" s="37">
      <c r="A592" s="42" t="inlineStr">
        <is>
          <t>bvlgari man in black</t>
        </is>
      </c>
      <c r="B592" s="42" t="inlineStr">
        <is>
          <t>bvlgari man in black cologne</t>
        </is>
      </c>
      <c r="C592" s="42" t="n"/>
    </row>
    <row r="593" ht="15" customHeight="1" s="37">
      <c r="A593" s="42" t="inlineStr">
        <is>
          <t>bvlgari man rain essence gift set</t>
        </is>
      </c>
      <c r="B593" s="42" t="inlineStr">
        <is>
          <t>bvlgari man rain essence gift set</t>
        </is>
      </c>
      <c r="C593" s="42" t="inlineStr">
        <is>
          <t>Yes</t>
        </is>
      </c>
    </row>
    <row r="594" ht="15" customHeight="1" s="37">
      <c r="A594" s="42" t="inlineStr">
        <is>
          <t>bvlgari man rain essence gift set</t>
        </is>
      </c>
      <c r="B594" s="42" t="inlineStr">
        <is>
          <t>bvlgari man rain essence gift set 100ml edp 15ml edp</t>
        </is>
      </c>
      <c r="C594" s="42" t="inlineStr">
        <is>
          <t>Yes</t>
        </is>
      </c>
    </row>
    <row r="595" ht="15" customHeight="1" s="37">
      <c r="A595" s="42" t="inlineStr">
        <is>
          <t>bvlgari man rain essence gift set</t>
        </is>
      </c>
      <c r="B595" s="42" t="inlineStr">
        <is>
          <t>bvlgari man rain essence eau de parfum gift set</t>
        </is>
      </c>
      <c r="C595" s="42" t="inlineStr">
        <is>
          <t>Yes</t>
        </is>
      </c>
    </row>
    <row r="596" ht="15" customHeight="1" s="37">
      <c r="A596" s="42" t="inlineStr">
        <is>
          <t>bvlgari man rain essence gift set</t>
        </is>
      </c>
      <c r="B596" s="42" t="inlineStr">
        <is>
          <t>bvlgari man rain essence eau de parfum gift set 100ml</t>
        </is>
      </c>
      <c r="C596" s="42" t="inlineStr">
        <is>
          <t>Yes</t>
        </is>
      </c>
    </row>
    <row r="597" ht="15" customHeight="1" s="37">
      <c r="A597" s="42" t="inlineStr">
        <is>
          <t>bvlgari man rain essence gift set</t>
        </is>
      </c>
      <c r="B597" s="42" t="inlineStr">
        <is>
          <t>bvlgari man rain essence m set edp 100ml edp 15ml</t>
        </is>
      </c>
      <c r="C597" s="42" t="n"/>
    </row>
    <row r="598" ht="15" customHeight="1" s="37">
      <c r="A598" s="42" t="inlineStr">
        <is>
          <t>bvlgari man rain essence gift set</t>
        </is>
      </c>
      <c r="B598" s="42" t="inlineStr">
        <is>
          <t>bvlgari man rain essence m set edp 100 ml edp 15 ml it</t>
        </is>
      </c>
      <c r="C598" s="42" t="n"/>
    </row>
    <row r="599" ht="15" customHeight="1" s="37">
      <c r="A599" s="42" t="inlineStr">
        <is>
          <t>bvlgari man rain essence gift set</t>
        </is>
      </c>
      <c r="B599" s="42" t="inlineStr">
        <is>
          <t>bvlgari man rain essence set</t>
        </is>
      </c>
      <c r="C599" s="42" t="inlineStr">
        <is>
          <t>Yes</t>
        </is>
      </c>
    </row>
    <row r="600" ht="15" customHeight="1" s="37">
      <c r="A600" s="42" t="inlineStr">
        <is>
          <t>bvlgari man rain essence gift set</t>
        </is>
      </c>
      <c r="B600" s="42" t="inlineStr">
        <is>
          <t>bvlgari man rain essence kit</t>
        </is>
      </c>
      <c r="C600" s="42" t="inlineStr">
        <is>
          <t>Yes</t>
        </is>
      </c>
    </row>
    <row r="601" ht="15" customHeight="1" s="37">
      <c r="A601" s="42" t="inlineStr">
        <is>
          <t>bvlgari man rain essence gift set</t>
        </is>
      </c>
      <c r="B601" s="42" t="inlineStr">
        <is>
          <t>bvlgari man rain essence set de regalo</t>
        </is>
      </c>
      <c r="C601" s="42" t="n"/>
    </row>
    <row r="602" ht="15" customHeight="1" s="37">
      <c r="A602" s="42" t="inlineStr">
        <is>
          <t>bvlgari man rain essence gift set</t>
        </is>
      </c>
      <c r="B602" s="42" t="inlineStr">
        <is>
          <t>bvlgari man wood essence perfume review</t>
        </is>
      </c>
      <c r="C602" s="42" t="n"/>
    </row>
    <row r="603" ht="15" customHeight="1" s="37">
      <c r="A603" s="42" t="inlineStr">
        <is>
          <t>bvlgari man terrae essence gift set</t>
        </is>
      </c>
      <c r="B603" s="42" t="inlineStr">
        <is>
          <t>bvlgari man terrae essence gift set</t>
        </is>
      </c>
      <c r="C603" s="42" t="inlineStr">
        <is>
          <t>Yes</t>
        </is>
      </c>
    </row>
    <row r="604" ht="15" customHeight="1" s="37">
      <c r="A604" s="42" t="inlineStr">
        <is>
          <t>bvlgari man terrae essence gift set</t>
        </is>
      </c>
      <c r="B604" s="42" t="inlineStr">
        <is>
          <t>bvlgari man terrae essence eau de parfum gift set</t>
        </is>
      </c>
      <c r="C604" s="42" t="inlineStr">
        <is>
          <t>Yes</t>
        </is>
      </c>
    </row>
    <row r="605" ht="15" customHeight="1" s="37">
      <c r="A605" s="42" t="inlineStr">
        <is>
          <t>bvlgari man terrae essence gift set</t>
        </is>
      </c>
      <c r="B605" s="42" t="inlineStr">
        <is>
          <t>bvlgari man terrae essence m set edp 100ml edp 15ml</t>
        </is>
      </c>
      <c r="C605" s="42" t="n"/>
    </row>
    <row r="606" ht="15" customHeight="1" s="37">
      <c r="A606" s="42" t="inlineStr">
        <is>
          <t>bvlgari man terrae essence gift set</t>
        </is>
      </c>
      <c r="B606" s="42" t="inlineStr">
        <is>
          <t>bvlgari man terrae essence set</t>
        </is>
      </c>
      <c r="C606" s="42" t="inlineStr">
        <is>
          <t>Yes</t>
        </is>
      </c>
    </row>
    <row r="607" ht="15" customHeight="1" s="37">
      <c r="A607" s="42" t="inlineStr">
        <is>
          <t>bvlgari man terrae essence gift set</t>
        </is>
      </c>
      <c r="B607" s="42" t="inlineStr">
        <is>
          <t>bvlgari man terrae essence edp set 115 ml</t>
        </is>
      </c>
      <c r="C607" s="42" t="inlineStr">
        <is>
          <t>Yes</t>
        </is>
      </c>
    </row>
    <row r="608" ht="15" customHeight="1" s="37">
      <c r="A608" s="42" t="inlineStr">
        <is>
          <t>bvlgari man terrae essence gift set</t>
        </is>
      </c>
      <c r="B608" s="42" t="inlineStr">
        <is>
          <t>bvlgari man wood essence perfume review</t>
        </is>
      </c>
      <c r="C608" s="42" t="n"/>
    </row>
    <row r="609" ht="15" customHeight="1" s="37">
      <c r="A609" s="42" t="inlineStr">
        <is>
          <t>bvlgari man wood essence gift set</t>
        </is>
      </c>
      <c r="B609" s="42" t="inlineStr">
        <is>
          <t>bvlgari man wood essence gift set</t>
        </is>
      </c>
      <c r="C609" s="42" t="inlineStr">
        <is>
          <t>Yes</t>
        </is>
      </c>
    </row>
    <row r="610" ht="15" customHeight="1" s="37">
      <c r="A610" s="42" t="inlineStr">
        <is>
          <t>bvlgari man wood essence gift set</t>
        </is>
      </c>
      <c r="B610" s="42" t="inlineStr">
        <is>
          <t>bvlgari man wood essence gift set 100ml edp 15ml edp</t>
        </is>
      </c>
      <c r="C610" s="42" t="inlineStr">
        <is>
          <t>Yes</t>
        </is>
      </c>
    </row>
    <row r="611" ht="15" customHeight="1" s="37">
      <c r="A611" s="42" t="inlineStr">
        <is>
          <t>bvlgari man wood essence gift set</t>
        </is>
      </c>
      <c r="B611" s="42" t="inlineStr">
        <is>
          <t>bvlgari man wood essence set</t>
        </is>
      </c>
      <c r="C611" s="42" t="inlineStr">
        <is>
          <t>Yes</t>
        </is>
      </c>
    </row>
    <row r="612" ht="15" customHeight="1" s="37">
      <c r="A612" s="42" t="inlineStr">
        <is>
          <t>bvlgari man wood essence gift set</t>
        </is>
      </c>
      <c r="B612" s="42" t="inlineStr">
        <is>
          <t>bvlgari man wood essence eau de parfum gift set 100ml</t>
        </is>
      </c>
      <c r="C612" s="42" t="inlineStr">
        <is>
          <t>Yes</t>
        </is>
      </c>
    </row>
    <row r="613" ht="15" customHeight="1" s="37">
      <c r="A613" s="42" t="inlineStr">
        <is>
          <t>bvlgari man wood essence gift set</t>
        </is>
      </c>
      <c r="B613" s="42" t="inlineStr">
        <is>
          <t>bvlgari man wood essence eau de parfum gift set</t>
        </is>
      </c>
      <c r="C613" s="42" t="inlineStr">
        <is>
          <t>Yes</t>
        </is>
      </c>
    </row>
    <row r="614" ht="15" customHeight="1" s="37">
      <c r="A614" s="42" t="inlineStr">
        <is>
          <t>bvlgari man wood essence gift set</t>
        </is>
      </c>
      <c r="B614" s="42" t="inlineStr">
        <is>
          <t>bvlgari man wood essence spring set</t>
        </is>
      </c>
      <c r="C614" s="42" t="n"/>
    </row>
    <row r="615" ht="15" customHeight="1" s="37">
      <c r="A615" s="42" t="inlineStr">
        <is>
          <t>bvlgari man wood essence gift set</t>
        </is>
      </c>
      <c r="B615" s="42" t="inlineStr">
        <is>
          <t>bvlgari man wood essence christmas set</t>
        </is>
      </c>
      <c r="C615" s="42" t="n"/>
    </row>
    <row r="616" ht="15" customHeight="1" s="37">
      <c r="A616" s="42" t="inlineStr">
        <is>
          <t>bvlgari man wood essence gift set</t>
        </is>
      </c>
      <c r="B616" s="42" t="inlineStr">
        <is>
          <t>bvlgari bvlgari man wood essence men 2 pc gift set</t>
        </is>
      </c>
      <c r="C616" s="42" t="n"/>
    </row>
    <row r="617" ht="15" customHeight="1" s="37">
      <c r="A617" s="42" t="inlineStr">
        <is>
          <t>bvlgari man wood essence gift set</t>
        </is>
      </c>
      <c r="B617" s="42" t="inlineStr">
        <is>
          <t>bvlgari man wood essence edp set</t>
        </is>
      </c>
      <c r="C617" s="42" t="inlineStr">
        <is>
          <t>Yes</t>
        </is>
      </c>
    </row>
    <row r="618" ht="15" customHeight="1" s="37">
      <c r="A618" s="42" t="inlineStr">
        <is>
          <t>bvlgari man wood essence gift set</t>
        </is>
      </c>
      <c r="B618" s="42" t="inlineStr">
        <is>
          <t>bvlgari man wood essence kit</t>
        </is>
      </c>
      <c r="C618" s="42" t="inlineStr">
        <is>
          <t>Yes</t>
        </is>
      </c>
    </row>
    <row r="619" ht="15" customHeight="1" s="37">
      <c r="A619" s="42" t="inlineStr">
        <is>
          <t>bvlgari omnia amethyste</t>
        </is>
      </c>
      <c r="B619" s="42" t="inlineStr">
        <is>
          <t>bvlgari omnia amethyste</t>
        </is>
      </c>
      <c r="C619" s="42" t="inlineStr">
        <is>
          <t>Yes</t>
        </is>
      </c>
    </row>
    <row r="620" ht="15" customHeight="1" s="37">
      <c r="A620" s="42" t="inlineStr">
        <is>
          <t>bvlgari omnia amethyste</t>
        </is>
      </c>
      <c r="B620" s="42" t="inlineStr">
        <is>
          <t>bvlgari omnia amethyste price</t>
        </is>
      </c>
      <c r="C620" s="42" t="inlineStr">
        <is>
          <t>Yes</t>
        </is>
      </c>
    </row>
    <row r="621" ht="15" customHeight="1" s="37">
      <c r="A621" s="42" t="inlineStr">
        <is>
          <t>bvlgari omnia amethyste</t>
        </is>
      </c>
      <c r="B621" s="42" t="inlineStr">
        <is>
          <t>bvlgari omnia amethyste notes</t>
        </is>
      </c>
      <c r="C621" s="42" t="inlineStr">
        <is>
          <t>Yes</t>
        </is>
      </c>
    </row>
    <row r="622" ht="15" customHeight="1" s="37">
      <c r="A622" s="42" t="inlineStr">
        <is>
          <t>bvlgari omnia amethyste</t>
        </is>
      </c>
      <c r="B622" s="42" t="inlineStr">
        <is>
          <t>bvlgari omnia amethyste dupe</t>
        </is>
      </c>
      <c r="C622" s="42" t="inlineStr">
        <is>
          <t>Yes</t>
        </is>
      </c>
    </row>
    <row r="623" ht="15" customHeight="1" s="37">
      <c r="A623" s="42" t="inlineStr">
        <is>
          <t>bvlgari omnia amethyste</t>
        </is>
      </c>
      <c r="B623" s="42" t="inlineStr">
        <is>
          <t>bvlgari omnia amethyste 100ml</t>
        </is>
      </c>
      <c r="C623" s="42" t="inlineStr">
        <is>
          <t>Yes</t>
        </is>
      </c>
    </row>
    <row r="624" ht="15" customHeight="1" s="37">
      <c r="A624" s="42" t="inlineStr">
        <is>
          <t>bvlgari omnia amethyste</t>
        </is>
      </c>
      <c r="B624" s="42" t="inlineStr">
        <is>
          <t>bvlgari omnia amethyste chemist warehouse</t>
        </is>
      </c>
      <c r="C624" s="42" t="n"/>
    </row>
    <row r="625" ht="15" customHeight="1" s="37">
      <c r="A625" s="42" t="inlineStr">
        <is>
          <t>bvlgari omnia amethyste</t>
        </is>
      </c>
      <c r="B625" s="42" t="inlineStr">
        <is>
          <t>bvlgari omnia amethyste edp</t>
        </is>
      </c>
      <c r="C625" s="42" t="inlineStr">
        <is>
          <t>Yes</t>
        </is>
      </c>
    </row>
    <row r="626" ht="15" customHeight="1" s="37">
      <c r="A626" s="42" t="inlineStr">
        <is>
          <t>bvlgari omnia amethyste</t>
        </is>
      </c>
      <c r="B626" s="42" t="inlineStr">
        <is>
          <t>bvlgari omnia amethyste 100ml price philippines</t>
        </is>
      </c>
      <c r="C626" s="42" t="n"/>
    </row>
    <row r="627" ht="15" customHeight="1" s="37">
      <c r="A627" s="42" t="inlineStr">
        <is>
          <t>bvlgari omnia amethyste</t>
        </is>
      </c>
      <c r="B627" s="42" t="inlineStr">
        <is>
          <t>bvlgari omnia amethyste review</t>
        </is>
      </c>
      <c r="C627" s="42" t="inlineStr">
        <is>
          <t>Yes</t>
        </is>
      </c>
    </row>
    <row r="628" ht="15" customHeight="1" s="37">
      <c r="A628" s="42" t="inlineStr">
        <is>
          <t>bvlgari omnia amethyste</t>
        </is>
      </c>
      <c r="B628" s="42" t="inlineStr">
        <is>
          <t>bvlgari omnia amethyste fake vs original</t>
        </is>
      </c>
      <c r="C628" s="42" t="n"/>
    </row>
    <row r="629" ht="15" customHeight="1" s="37">
      <c r="A629" s="42" t="inlineStr">
        <is>
          <t>bvlgari perfume</t>
        </is>
      </c>
      <c r="B629" s="42" t="inlineStr">
        <is>
          <t>bvlgari perfume</t>
        </is>
      </c>
      <c r="C629" s="42" t="inlineStr">
        <is>
          <t>Yes</t>
        </is>
      </c>
    </row>
    <row r="630" ht="15" customHeight="1" s="37">
      <c r="A630" s="42" t="inlineStr">
        <is>
          <t>bvlgari perfume</t>
        </is>
      </c>
      <c r="B630" s="42" t="inlineStr">
        <is>
          <t>bvlgari perfume men</t>
        </is>
      </c>
      <c r="C630" s="42" t="n"/>
    </row>
    <row r="631" ht="15" customHeight="1" s="37">
      <c r="A631" s="42" t="inlineStr">
        <is>
          <t>bvlgari perfume</t>
        </is>
      </c>
      <c r="B631" s="42" t="inlineStr">
        <is>
          <t>bvlgari perfume women</t>
        </is>
      </c>
      <c r="C631" s="42" t="n"/>
    </row>
    <row r="632" ht="15" customHeight="1" s="37">
      <c r="A632" s="42" t="inlineStr">
        <is>
          <t>bvlgari perfume</t>
        </is>
      </c>
      <c r="B632" s="42" t="inlineStr">
        <is>
          <t>bvlgari perfume price</t>
        </is>
      </c>
      <c r="C632" s="42" t="n"/>
    </row>
    <row r="633" ht="15" customHeight="1" s="37">
      <c r="A633" s="42" t="inlineStr">
        <is>
          <t>bvlgari perfume</t>
        </is>
      </c>
      <c r="B633" s="42" t="inlineStr">
        <is>
          <t>bvlgari perfumes for her</t>
        </is>
      </c>
      <c r="C633" s="42" t="n"/>
    </row>
    <row r="634" ht="15" customHeight="1" s="37">
      <c r="A634" s="42" t="inlineStr">
        <is>
          <t>bvlgari perfume</t>
        </is>
      </c>
      <c r="B634" s="42" t="inlineStr">
        <is>
          <t>bvlgari perfume omnia</t>
        </is>
      </c>
      <c r="C634" s="42" t="n"/>
    </row>
    <row r="635" ht="15" customHeight="1" s="37">
      <c r="A635" s="42" t="inlineStr">
        <is>
          <t>bvlgari perfume</t>
        </is>
      </c>
      <c r="B635" s="42" t="inlineStr">
        <is>
          <t>bvlgari perfume price in pakistan</t>
        </is>
      </c>
      <c r="C635" s="42" t="n"/>
    </row>
    <row r="636" ht="15" customHeight="1" s="37">
      <c r="A636" s="42" t="inlineStr">
        <is>
          <t>bvlgari perfume</t>
        </is>
      </c>
      <c r="B636" s="42" t="inlineStr">
        <is>
          <t>bvlgari perfumes for him</t>
        </is>
      </c>
      <c r="C636" s="42" t="n"/>
    </row>
    <row r="637" ht="15" customHeight="1" s="37">
      <c r="A637" s="42" t="inlineStr">
        <is>
          <t>bvlgari perfume</t>
        </is>
      </c>
      <c r="B637" s="42" t="inlineStr">
        <is>
          <t>bvlgari perfume rose goldea</t>
        </is>
      </c>
      <c r="C637" s="42" t="n"/>
    </row>
    <row r="638" ht="15" customHeight="1" s="37">
      <c r="A638" s="42" t="inlineStr">
        <is>
          <t>bvlgari perfume</t>
        </is>
      </c>
      <c r="B638" s="42" t="inlineStr">
        <is>
          <t>bvlgari perfume wood essence</t>
        </is>
      </c>
      <c r="C638" s="42" t="n"/>
    </row>
    <row r="639" ht="15" customHeight="1" s="37">
      <c r="A639" s="42" t="inlineStr">
        <is>
          <t>bvlgari rose goldea blossom delight gift set</t>
        </is>
      </c>
      <c r="B639" s="42" t="inlineStr">
        <is>
          <t>bvlgari rose goldea blossom delight gift set</t>
        </is>
      </c>
      <c r="C639" s="42" t="inlineStr">
        <is>
          <t>Yes</t>
        </is>
      </c>
    </row>
    <row r="640" ht="15" customHeight="1" s="37">
      <c r="A640" s="42" t="inlineStr">
        <is>
          <t>bvlgari rose goldea blossom delight gift set</t>
        </is>
      </c>
      <c r="B640" s="42" t="inlineStr">
        <is>
          <t>bvlgari rose goldea blossom delight set</t>
        </is>
      </c>
      <c r="C640" s="42" t="inlineStr">
        <is>
          <t>Yes</t>
        </is>
      </c>
    </row>
    <row r="641" ht="15" customHeight="1" s="37">
      <c r="A641" s="42" t="inlineStr">
        <is>
          <t>bvlgari rose goldea blossom delight gift set</t>
        </is>
      </c>
      <c r="B641" s="42" t="inlineStr">
        <is>
          <t>bvlgari rose goldea blossom delight eau de parfum gift set</t>
        </is>
      </c>
      <c r="C641" s="42" t="inlineStr">
        <is>
          <t>Yes</t>
        </is>
      </c>
    </row>
    <row r="642" ht="15" customHeight="1" s="37">
      <c r="A642" s="42" t="inlineStr">
        <is>
          <t>bvlgari rose goldea blossom delight gift set</t>
        </is>
      </c>
      <c r="B642" s="42" t="inlineStr">
        <is>
          <t>bvlgari rose goldea blossom delight w set edp 75ml edp 15ml</t>
        </is>
      </c>
      <c r="C642" s="42" t="n"/>
    </row>
    <row r="643" ht="15" customHeight="1" s="37">
      <c r="A643" s="42" t="inlineStr">
        <is>
          <t>bvlgari rose goldea blossom delight gift set</t>
        </is>
      </c>
      <c r="B643" s="42" t="inlineStr">
        <is>
          <t>bvlgari rose goldea blossom delight edp set</t>
        </is>
      </c>
      <c r="C643" s="42" t="inlineStr">
        <is>
          <t>Yes</t>
        </is>
      </c>
    </row>
    <row r="644" ht="15" customHeight="1" s="37">
      <c r="A644" s="42" t="inlineStr">
        <is>
          <t>bvlgari rose goldea blossom delight gift set</t>
        </is>
      </c>
      <c r="B644" s="42" t="inlineStr">
        <is>
          <t>bvlgari - rose goldea blossom delight kit</t>
        </is>
      </c>
      <c r="C644" s="42" t="inlineStr">
        <is>
          <t>Yes</t>
        </is>
      </c>
    </row>
    <row r="645" ht="15" customHeight="1" s="37">
      <c r="A645" s="42" t="inlineStr">
        <is>
          <t>bvlgari rose goldea blossom delight gift set</t>
        </is>
      </c>
      <c r="B645" s="42" t="inlineStr">
        <is>
          <t>bvlgari rose goldea blossom delight price</t>
        </is>
      </c>
      <c r="C645" s="42" t="inlineStr">
        <is>
          <t>Yes</t>
        </is>
      </c>
    </row>
    <row r="646" ht="15" customHeight="1" s="37">
      <c r="A646" s="42" t="inlineStr">
        <is>
          <t>bvlgari rose goldea blossom delight gift set</t>
        </is>
      </c>
      <c r="B646" s="42" t="inlineStr">
        <is>
          <t>bvlgari rose goldea blossom delight 75ml price</t>
        </is>
      </c>
      <c r="C646" s="42" t="inlineStr">
        <is>
          <t>Yes</t>
        </is>
      </c>
    </row>
    <row r="647" ht="15" customHeight="1" s="37">
      <c r="A647" s="42" t="inlineStr">
        <is>
          <t>bvlgari rose goldea blossom delight gift set</t>
        </is>
      </c>
      <c r="B647" s="42" t="inlineStr">
        <is>
          <t>rose goldea blossom delight price</t>
        </is>
      </c>
      <c r="C647" s="42" t="n"/>
    </row>
    <row r="648" ht="15" customHeight="1" s="37">
      <c r="A648" s="42" t="inlineStr">
        <is>
          <t>bvlgari splendida tubereuse mystique</t>
        </is>
      </c>
      <c r="B648" s="42" t="inlineStr">
        <is>
          <t>bvlgari splendida tubereuse mystique</t>
        </is>
      </c>
      <c r="C648" s="42" t="inlineStr">
        <is>
          <t>Yes</t>
        </is>
      </c>
    </row>
    <row r="649" ht="15" customHeight="1" s="37">
      <c r="A649" s="42" t="inlineStr">
        <is>
          <t>bvlgari splendida tubereuse mystique</t>
        </is>
      </c>
      <c r="B649" s="42" t="inlineStr">
        <is>
          <t>bvlgari splendida tubereuse mystique eau de parfum</t>
        </is>
      </c>
      <c r="C649" s="42" t="inlineStr">
        <is>
          <t>Yes</t>
        </is>
      </c>
    </row>
    <row r="650" ht="15" customHeight="1" s="37">
      <c r="A650" s="42" t="inlineStr">
        <is>
          <t>bvlgari splendida tubereuse mystique</t>
        </is>
      </c>
      <c r="B650" s="42" t="inlineStr">
        <is>
          <t>bvlgari splendida tubereuse mystique review</t>
        </is>
      </c>
      <c r="C650" s="42" t="inlineStr">
        <is>
          <t>Yes</t>
        </is>
      </c>
    </row>
    <row r="651" ht="15" customHeight="1" s="37">
      <c r="A651" s="42" t="inlineStr">
        <is>
          <t>bvlgari splendida tubereuse mystique</t>
        </is>
      </c>
      <c r="B651" s="42" t="inlineStr">
        <is>
          <t>bvlgari splendida tubereuse mystique 100ml</t>
        </is>
      </c>
      <c r="C651" s="42" t="inlineStr">
        <is>
          <t>Yes</t>
        </is>
      </c>
    </row>
    <row r="652" ht="15" customHeight="1" s="37">
      <c r="A652" s="42" t="inlineStr">
        <is>
          <t>bvlgari splendida tubereuse mystique</t>
        </is>
      </c>
      <c r="B652" s="42" t="inlineStr">
        <is>
          <t>bvlgari splendida tubereuse mystique eau de parfum 50ml</t>
        </is>
      </c>
      <c r="C652" s="42" t="inlineStr">
        <is>
          <t>Yes</t>
        </is>
      </c>
    </row>
    <row r="653" ht="15" customHeight="1" s="37">
      <c r="A653" s="42" t="inlineStr">
        <is>
          <t>bvlgari splendida tubereuse mystique</t>
        </is>
      </c>
      <c r="B653" s="42" t="inlineStr">
        <is>
          <t>bvlgari splendida tubereuse mystique notes</t>
        </is>
      </c>
      <c r="C653" s="42" t="inlineStr">
        <is>
          <t>Yes</t>
        </is>
      </c>
    </row>
    <row r="654" ht="15" customHeight="1" s="37">
      <c r="A654" s="42" t="inlineStr">
        <is>
          <t>bvlgari splendida tubereuse mystique</t>
        </is>
      </c>
      <c r="B654" s="42" t="inlineStr">
        <is>
          <t>bvlgari splendida tubereuse mystique edp</t>
        </is>
      </c>
      <c r="C654" s="42" t="inlineStr">
        <is>
          <t>Yes</t>
        </is>
      </c>
    </row>
    <row r="655" ht="15" customHeight="1" s="37">
      <c r="A655" s="42" t="inlineStr">
        <is>
          <t>bvlgari splendida tubereuse mystique</t>
        </is>
      </c>
      <c r="B655" s="42" t="inlineStr">
        <is>
          <t>bvlgari splendida tubereuse mystique fragrantica</t>
        </is>
      </c>
      <c r="C655" s="42" t="n"/>
    </row>
    <row r="656" ht="15" customHeight="1" s="37">
      <c r="A656" s="42" t="inlineStr">
        <is>
          <t>bvlgari splendida tubereuse mystique</t>
        </is>
      </c>
      <c r="B656" s="42" t="inlineStr">
        <is>
          <t>bvlgari splendida tubereuse mystique 50 ml</t>
        </is>
      </c>
      <c r="C656" s="42" t="n"/>
    </row>
    <row r="657" ht="15" customHeight="1" s="37">
      <c r="A657" s="42" t="inlineStr">
        <is>
          <t>bvlgari splendida tubereuse mystique</t>
        </is>
      </c>
      <c r="B657" s="42" t="inlineStr">
        <is>
          <t>bvlgari splendida tubereuse mystique price</t>
        </is>
      </c>
      <c r="C657" s="42" t="inlineStr">
        <is>
          <t>Yes</t>
        </is>
      </c>
    </row>
    <row r="658" ht="15" customHeight="1" s="37">
      <c r="A658" s="42" t="inlineStr">
        <is>
          <t>calvin klein defy</t>
        </is>
      </c>
      <c r="B658" s="42" t="inlineStr">
        <is>
          <t>calvin klein defy</t>
        </is>
      </c>
      <c r="C658" s="42" t="inlineStr">
        <is>
          <t>Yes</t>
        </is>
      </c>
    </row>
    <row r="659" ht="15" customHeight="1" s="37">
      <c r="A659" s="42" t="inlineStr">
        <is>
          <t>calvin klein defy</t>
        </is>
      </c>
      <c r="B659" s="42" t="inlineStr">
        <is>
          <t>calvin klein defy parfum</t>
        </is>
      </c>
      <c r="C659" s="42" t="inlineStr">
        <is>
          <t>Yes</t>
        </is>
      </c>
    </row>
    <row r="660" ht="15" customHeight="1" s="37">
      <c r="A660" s="42" t="inlineStr">
        <is>
          <t>calvin klein defy</t>
        </is>
      </c>
      <c r="B660" s="42" t="inlineStr">
        <is>
          <t>calvin klein defy perfume</t>
        </is>
      </c>
      <c r="C660" s="42" t="inlineStr">
        <is>
          <t>Yes</t>
        </is>
      </c>
    </row>
    <row r="661" ht="15" customHeight="1" s="37">
      <c r="A661" s="42" t="inlineStr">
        <is>
          <t>calvin klein defy</t>
        </is>
      </c>
      <c r="B661" s="42" t="inlineStr">
        <is>
          <t>calvin klein defy eau de parfum</t>
        </is>
      </c>
      <c r="C661" s="42" t="inlineStr">
        <is>
          <t>Yes</t>
        </is>
      </c>
    </row>
    <row r="662" ht="15" customHeight="1" s="37">
      <c r="A662" s="42" t="inlineStr">
        <is>
          <t>calvin klein defy</t>
        </is>
      </c>
      <c r="B662" s="42" t="inlineStr">
        <is>
          <t>calvin klein defy eau de toilette</t>
        </is>
      </c>
      <c r="C662" s="42" t="n"/>
    </row>
    <row r="663" ht="15" customHeight="1" s="37">
      <c r="A663" s="42" t="inlineStr">
        <is>
          <t>calvin klein defy</t>
        </is>
      </c>
      <c r="B663" s="42" t="inlineStr">
        <is>
          <t>calvin klein defy cologne</t>
        </is>
      </c>
      <c r="C663" s="42" t="n"/>
    </row>
    <row r="664" ht="15" customHeight="1" s="37">
      <c r="A664" s="42" t="inlineStr">
        <is>
          <t>calvin klein defy</t>
        </is>
      </c>
      <c r="B664" s="42" t="inlineStr">
        <is>
          <t>calvin klein defy perfume price</t>
        </is>
      </c>
      <c r="C664" s="42" t="inlineStr">
        <is>
          <t>Yes</t>
        </is>
      </c>
    </row>
    <row r="665" ht="15" customHeight="1" s="37">
      <c r="A665" s="42" t="inlineStr">
        <is>
          <t>calvin klein defy</t>
        </is>
      </c>
      <c r="B665" s="42" t="inlineStr">
        <is>
          <t>calvin klein defy edp</t>
        </is>
      </c>
      <c r="C665" s="42" t="inlineStr">
        <is>
          <t>Yes</t>
        </is>
      </c>
    </row>
    <row r="666" ht="15" customHeight="1" s="37">
      <c r="A666" s="42" t="inlineStr">
        <is>
          <t>calvin klein defy</t>
        </is>
      </c>
      <c r="B666" s="42" t="inlineStr">
        <is>
          <t>calvin klein defy review</t>
        </is>
      </c>
      <c r="C666" s="42" t="inlineStr">
        <is>
          <t>Yes</t>
        </is>
      </c>
    </row>
    <row r="667" ht="15" customHeight="1" s="37">
      <c r="A667" s="42" t="inlineStr">
        <is>
          <t>calvin klein defy</t>
        </is>
      </c>
      <c r="B667" s="42" t="inlineStr">
        <is>
          <t>calvin klein defy edt</t>
        </is>
      </c>
      <c r="C667" s="42" t="n"/>
    </row>
    <row r="668" ht="15" customHeight="1" s="37">
      <c r="A668" s="42" t="inlineStr">
        <is>
          <t>calvin klein defy miniature</t>
        </is>
      </c>
      <c r="B668" s="42" t="inlineStr">
        <is>
          <t>calvin klein defy small</t>
        </is>
      </c>
      <c r="C668" s="42" t="n"/>
    </row>
    <row r="669" ht="15" customHeight="1" s="37">
      <c r="A669" s="42" t="inlineStr">
        <is>
          <t>calvin klein defy miniature</t>
        </is>
      </c>
      <c r="B669" s="42" t="inlineStr">
        <is>
          <t>calvin klein defy small bottle</t>
        </is>
      </c>
      <c r="C669" s="42" t="n"/>
    </row>
    <row r="670" ht="15" customHeight="1" s="37">
      <c r="A670" s="42" t="inlineStr">
        <is>
          <t>calvin klein eternity</t>
        </is>
      </c>
      <c r="B670" s="42" t="inlineStr">
        <is>
          <t>calvin klein eternity</t>
        </is>
      </c>
      <c r="C670" s="42" t="inlineStr">
        <is>
          <t>Yes</t>
        </is>
      </c>
    </row>
    <row r="671" ht="15" customHeight="1" s="37">
      <c r="A671" s="42" t="inlineStr">
        <is>
          <t>calvin klein eternity</t>
        </is>
      </c>
      <c r="B671" s="42" t="inlineStr">
        <is>
          <t>calvin klein eternity for men</t>
        </is>
      </c>
      <c r="C671" s="42" t="inlineStr">
        <is>
          <t>Yes</t>
        </is>
      </c>
    </row>
    <row r="672" ht="15" customHeight="1" s="37">
      <c r="A672" s="42" t="inlineStr">
        <is>
          <t>calvin klein eternity</t>
        </is>
      </c>
      <c r="B672" s="42" t="inlineStr">
        <is>
          <t>calvin klein eternity for women</t>
        </is>
      </c>
      <c r="C672" s="42" t="inlineStr">
        <is>
          <t>Yes</t>
        </is>
      </c>
    </row>
    <row r="673" ht="15" customHeight="1" s="37">
      <c r="A673" s="42" t="inlineStr">
        <is>
          <t>calvin klein eternity</t>
        </is>
      </c>
      <c r="B673" s="42" t="inlineStr">
        <is>
          <t>calvin klein eternity moment</t>
        </is>
      </c>
      <c r="C673" s="42" t="n"/>
    </row>
    <row r="674" ht="15" customHeight="1" s="37">
      <c r="A674" s="42" t="inlineStr">
        <is>
          <t>calvin klein eternity</t>
        </is>
      </c>
      <c r="B674" s="42" t="inlineStr">
        <is>
          <t>calvin klein eternity aqua</t>
        </is>
      </c>
      <c r="C674" s="42" t="n"/>
    </row>
    <row r="675" ht="15" customHeight="1" s="37">
      <c r="A675" s="42" t="inlineStr">
        <is>
          <t>calvin klein eternity</t>
        </is>
      </c>
      <c r="B675" s="42" t="inlineStr">
        <is>
          <t>calvin klein eternity aqua for men</t>
        </is>
      </c>
      <c r="C675" s="42" t="n"/>
    </row>
    <row r="676" ht="15" customHeight="1" s="37">
      <c r="A676" s="42" t="inlineStr">
        <is>
          <t>calvin klein eternity</t>
        </is>
      </c>
      <c r="B676" s="42" t="inlineStr">
        <is>
          <t>calvin klein eternity perfume</t>
        </is>
      </c>
      <c r="C676" s="42" t="inlineStr">
        <is>
          <t>Yes</t>
        </is>
      </c>
    </row>
    <row r="677" ht="15" customHeight="1" s="37">
      <c r="A677" s="42" t="inlineStr">
        <is>
          <t>calvin klein eternity</t>
        </is>
      </c>
      <c r="B677" s="42" t="inlineStr">
        <is>
          <t>calvin klein eternity eau de parfum</t>
        </is>
      </c>
      <c r="C677" s="42" t="inlineStr">
        <is>
          <t>Yes</t>
        </is>
      </c>
    </row>
    <row r="678" ht="15" customHeight="1" s="37">
      <c r="A678" s="42" t="inlineStr">
        <is>
          <t>calvin klein eternity</t>
        </is>
      </c>
      <c r="B678" s="42" t="inlineStr">
        <is>
          <t>calvin klein eternity moment 100ml</t>
        </is>
      </c>
      <c r="C678" s="42" t="n"/>
    </row>
    <row r="679" ht="15" customHeight="1" s="37">
      <c r="A679" s="42" t="inlineStr">
        <is>
          <t>calvin klein eternity</t>
        </is>
      </c>
      <c r="B679" s="42" t="inlineStr">
        <is>
          <t>calvin klein eternity moment for women</t>
        </is>
      </c>
      <c r="C679" s="42" t="n"/>
    </row>
    <row r="680" ht="15" customHeight="1" s="37">
      <c r="A680" s="42" t="inlineStr">
        <is>
          <t>calvin klein eternity parfum miniature</t>
        </is>
      </c>
      <c r="B680" s="42" t="inlineStr">
        <is>
          <t>calvin klein eternity perfume small</t>
        </is>
      </c>
      <c r="C680" s="42" t="n"/>
    </row>
    <row r="681" ht="15" customHeight="1" s="37">
      <c r="A681" s="42" t="inlineStr">
        <is>
          <t>calvin klein eternity parfum miniature</t>
        </is>
      </c>
      <c r="B681" s="42" t="inlineStr">
        <is>
          <t>calvin klein perfume eternity mini</t>
        </is>
      </c>
      <c r="C681" s="42" t="inlineStr">
        <is>
          <t>Yes</t>
        </is>
      </c>
    </row>
    <row r="682" ht="15" customHeight="1" s="37">
      <c r="A682" s="42" t="inlineStr">
        <is>
          <t>calvin klein eternity parfum miniature</t>
        </is>
      </c>
      <c r="B682" s="42" t="inlineStr">
        <is>
          <t>cheapest calvin klein eternity perfume</t>
        </is>
      </c>
      <c r="C682" s="42" t="n"/>
    </row>
    <row r="683" ht="15" customHeight="1" s="37">
      <c r="A683" s="42" t="inlineStr">
        <is>
          <t>calvin klein eternity parfum miniature</t>
        </is>
      </c>
      <c r="B683" s="42" t="inlineStr">
        <is>
          <t>calvin klein eternity women's perfume review</t>
        </is>
      </c>
      <c r="C683" s="42" t="n"/>
    </row>
    <row r="684" ht="15" customHeight="1" s="37">
      <c r="A684" s="42" t="inlineStr">
        <is>
          <t>calvin klein miniature set</t>
        </is>
      </c>
      <c r="B684" s="42" t="inlineStr">
        <is>
          <t>calvin klein miniature set for men</t>
        </is>
      </c>
      <c r="C684" s="42" t="inlineStr">
        <is>
          <t>Yes</t>
        </is>
      </c>
    </row>
    <row r="685" ht="15" customHeight="1" s="37">
      <c r="A685" s="42" t="inlineStr">
        <is>
          <t>calvin klein miniature set</t>
        </is>
      </c>
      <c r="B685" s="42" t="inlineStr">
        <is>
          <t>calvin klein miniature set</t>
        </is>
      </c>
      <c r="C685" s="42" t="inlineStr">
        <is>
          <t>Yes</t>
        </is>
      </c>
    </row>
    <row r="686" ht="15" customHeight="1" s="37">
      <c r="A686" s="42" t="inlineStr">
        <is>
          <t>calvin klein miniature set</t>
        </is>
      </c>
      <c r="B686" s="42" t="inlineStr">
        <is>
          <t>calvin klein mini set</t>
        </is>
      </c>
      <c r="C686" s="42" t="inlineStr">
        <is>
          <t>Yes</t>
        </is>
      </c>
    </row>
    <row r="687" ht="15" customHeight="1" s="37">
      <c r="A687" s="42" t="inlineStr">
        <is>
          <t>calvin klein miniature set</t>
        </is>
      </c>
      <c r="B687" s="42" t="inlineStr">
        <is>
          <t>calvin klein mini set for him</t>
        </is>
      </c>
      <c r="C687" s="42" t="n"/>
    </row>
    <row r="688" ht="15" customHeight="1" s="37">
      <c r="A688" s="42" t="inlineStr">
        <is>
          <t>calvin klein miniature set</t>
        </is>
      </c>
      <c r="B688" s="42" t="inlineStr">
        <is>
          <t>calvin klein mini set for her</t>
        </is>
      </c>
      <c r="C688" s="42" t="n"/>
    </row>
    <row r="689" ht="15" customHeight="1" s="37">
      <c r="A689" s="42" t="inlineStr">
        <is>
          <t>calvin klein miniature set</t>
        </is>
      </c>
      <c r="B689" s="42" t="inlineStr">
        <is>
          <t>calvin klein mini set women</t>
        </is>
      </c>
      <c r="C689" s="42" t="inlineStr">
        <is>
          <t>Yes</t>
        </is>
      </c>
    </row>
    <row r="690" ht="15" customHeight="1" s="37">
      <c r="A690" s="42" t="inlineStr">
        <is>
          <t>calvin klein miniature set</t>
        </is>
      </c>
      <c r="B690" s="42" t="inlineStr">
        <is>
          <t>calvin klein mini set perfume</t>
        </is>
      </c>
      <c r="C690" s="42" t="inlineStr">
        <is>
          <t>Yes</t>
        </is>
      </c>
    </row>
    <row r="691" ht="15" customHeight="1" s="37">
      <c r="A691" s="42" t="inlineStr">
        <is>
          <t>calvin klein miniature set</t>
        </is>
      </c>
      <c r="B691" s="42" t="inlineStr">
        <is>
          <t>calvin klein miniature perfume set</t>
        </is>
      </c>
      <c r="C691" s="42" t="inlineStr">
        <is>
          <t>Yes</t>
        </is>
      </c>
    </row>
    <row r="692" ht="15" customHeight="1" s="37">
      <c r="A692" s="42" t="inlineStr">
        <is>
          <t>calvin klein miniature set</t>
        </is>
      </c>
      <c r="B692" s="42" t="inlineStr">
        <is>
          <t>calvin klein miniature aftershave set</t>
        </is>
      </c>
      <c r="C692" s="42" t="n"/>
    </row>
    <row r="693" ht="15" customHeight="1" s="37">
      <c r="A693" s="42" t="inlineStr">
        <is>
          <t>calvin klein miniature set</t>
        </is>
      </c>
      <c r="B693" s="42" t="inlineStr">
        <is>
          <t>calvin klein miniature perfume set for her</t>
        </is>
      </c>
      <c r="C693" s="42" t="n"/>
    </row>
    <row r="694" ht="15" customHeight="1" s="37">
      <c r="A694" s="42" t="inlineStr">
        <is>
          <t>calvin klein perfume</t>
        </is>
      </c>
      <c r="B694" s="42" t="inlineStr">
        <is>
          <t>calvin klein perfume</t>
        </is>
      </c>
      <c r="C694" s="42" t="inlineStr">
        <is>
          <t>Yes</t>
        </is>
      </c>
    </row>
    <row r="695" ht="15" customHeight="1" s="37">
      <c r="A695" s="42" t="inlineStr">
        <is>
          <t>calvin klein perfume</t>
        </is>
      </c>
      <c r="B695" s="42" t="inlineStr">
        <is>
          <t>calvin klein perfume women</t>
        </is>
      </c>
      <c r="C695" s="42" t="n"/>
    </row>
    <row r="696" ht="15" customHeight="1" s="37">
      <c r="A696" s="42" t="inlineStr">
        <is>
          <t>calvin klein perfume</t>
        </is>
      </c>
      <c r="B696" s="42" t="inlineStr">
        <is>
          <t>calvin klein perfume for men</t>
        </is>
      </c>
      <c r="C696" s="42" t="inlineStr">
        <is>
          <t>Yes</t>
        </is>
      </c>
    </row>
    <row r="697" ht="15" customHeight="1" s="37">
      <c r="A697" s="42" t="inlineStr">
        <is>
          <t>calvin klein perfume</t>
        </is>
      </c>
      <c r="B697" s="42" t="inlineStr">
        <is>
          <t>calvin klein perfume euphoria</t>
        </is>
      </c>
      <c r="C697" s="42" t="n"/>
    </row>
    <row r="698" ht="15" customHeight="1" s="37">
      <c r="A698" s="42" t="inlineStr">
        <is>
          <t>calvin klein perfume</t>
        </is>
      </c>
      <c r="B698" s="42" t="inlineStr">
        <is>
          <t>calvin klein perfume eternity</t>
        </is>
      </c>
      <c r="C698" s="42" t="n"/>
    </row>
    <row r="699" ht="15" customHeight="1" s="37">
      <c r="A699" s="42" t="inlineStr">
        <is>
          <t>calvin klein perfume</t>
        </is>
      </c>
      <c r="B699" s="42" t="inlineStr">
        <is>
          <t>calvin klein perfume price</t>
        </is>
      </c>
      <c r="C699" s="42" t="n"/>
    </row>
    <row r="700" ht="15" customHeight="1" s="37">
      <c r="A700" s="42" t="inlineStr">
        <is>
          <t>calvin klein perfume</t>
        </is>
      </c>
      <c r="B700" s="42" t="inlineStr">
        <is>
          <t>calvin klein perfume price in pakistan</t>
        </is>
      </c>
      <c r="C700" s="42" t="n"/>
    </row>
    <row r="701" ht="15" customHeight="1" s="37">
      <c r="A701" s="42" t="inlineStr">
        <is>
          <t>calvin klein perfume</t>
        </is>
      </c>
      <c r="B701" s="42" t="inlineStr">
        <is>
          <t>calvin klein perfume obsession</t>
        </is>
      </c>
      <c r="C701" s="42" t="n"/>
    </row>
    <row r="702" ht="15" customHeight="1" s="37">
      <c r="A702" s="42" t="inlineStr">
        <is>
          <t>calvin klein perfume</t>
        </is>
      </c>
      <c r="B702" s="42" t="inlineStr">
        <is>
          <t>calvin klein perfume one</t>
        </is>
      </c>
      <c r="C702" s="42" t="n"/>
    </row>
    <row r="703" ht="15" customHeight="1" s="37">
      <c r="A703" s="42" t="inlineStr">
        <is>
          <t>calvin klein perfume</t>
        </is>
      </c>
      <c r="B703" s="42" t="inlineStr">
        <is>
          <t>calvin klein perfume price in bangladesh</t>
        </is>
      </c>
      <c r="C703" s="42" t="n"/>
    </row>
    <row r="704" ht="15" customHeight="1" s="37">
      <c r="A704" s="42" t="inlineStr">
        <is>
          <t>carolina herrera 212 sexy men</t>
        </is>
      </c>
      <c r="B704" s="42" t="inlineStr">
        <is>
          <t>carolina herrera 212 sexy men</t>
        </is>
      </c>
      <c r="C704" s="42" t="inlineStr">
        <is>
          <t>Yes</t>
        </is>
      </c>
    </row>
    <row r="705" ht="15" customHeight="1" s="37">
      <c r="A705" s="42" t="inlineStr">
        <is>
          <t>carolina herrera 212 vip men</t>
        </is>
      </c>
      <c r="B705" s="42" t="inlineStr">
        <is>
          <t>carolina herrera 212 vip men</t>
        </is>
      </c>
      <c r="C705" s="42" t="inlineStr">
        <is>
          <t>Yes</t>
        </is>
      </c>
    </row>
    <row r="706" ht="15" customHeight="1" s="37">
      <c r="A706" s="42" t="inlineStr">
        <is>
          <t>carolina herrera 212 vip men</t>
        </is>
      </c>
      <c r="B706" s="42" t="inlineStr">
        <is>
          <t>carolina herrera 212 vip men black eau de parfum 50ml</t>
        </is>
      </c>
      <c r="C706" s="42" t="n"/>
    </row>
    <row r="707" ht="15" customHeight="1" s="37">
      <c r="A707" s="42" t="inlineStr">
        <is>
          <t>carolina herrera 212 vip men</t>
        </is>
      </c>
      <c r="B707" s="42" t="inlineStr">
        <is>
          <t>carolina herrera 212 vip men black eau de parfum</t>
        </is>
      </c>
      <c r="C707" s="42" t="n"/>
    </row>
    <row r="708" ht="15" customHeight="1" s="37">
      <c r="A708" s="42" t="inlineStr">
        <is>
          <t>carolina herrera 212 vip men</t>
        </is>
      </c>
      <c r="B708" s="42" t="inlineStr">
        <is>
          <t>carolina herrera 212 vip men black</t>
        </is>
      </c>
      <c r="C708" s="42" t="n"/>
    </row>
    <row r="709" ht="15" customHeight="1" s="37">
      <c r="A709" s="42" t="inlineStr">
        <is>
          <t>carolina herrera 212 vip men</t>
        </is>
      </c>
      <c r="B709" s="42" t="inlineStr">
        <is>
          <t>carolina herrera 212 vip men edt</t>
        </is>
      </c>
      <c r="C709" s="42" t="inlineStr">
        <is>
          <t>Yes</t>
        </is>
      </c>
    </row>
    <row r="710" ht="15" customHeight="1" s="37">
      <c r="A710" s="42" t="inlineStr">
        <is>
          <t>carolina herrera 212 vip men</t>
        </is>
      </c>
      <c r="B710" s="42" t="inlineStr">
        <is>
          <t>carolina herrera 212 vip men review</t>
        </is>
      </c>
      <c r="C710" s="42" t="inlineStr">
        <is>
          <t>Yes</t>
        </is>
      </c>
    </row>
    <row r="711" ht="15" customHeight="1" s="37">
      <c r="A711" s="42" t="inlineStr">
        <is>
          <t>carolina herrera 212 vip men</t>
        </is>
      </c>
      <c r="B711" s="42" t="inlineStr">
        <is>
          <t>carolina herrera 212 vip men eau de toilette</t>
        </is>
      </c>
      <c r="C711" s="42" t="inlineStr">
        <is>
          <t>Yes</t>
        </is>
      </c>
    </row>
    <row r="712" ht="15" customHeight="1" s="37">
      <c r="A712" s="42" t="inlineStr">
        <is>
          <t>carolina herrera 212 vip men</t>
        </is>
      </c>
      <c r="B712" s="42" t="inlineStr">
        <is>
          <t>carolina herrera 212 vip men notes</t>
        </is>
      </c>
      <c r="C712" s="42" t="inlineStr">
        <is>
          <t>Yes</t>
        </is>
      </c>
    </row>
    <row r="713" ht="15" customHeight="1" s="37">
      <c r="A713" s="42" t="inlineStr">
        <is>
          <t>carolina herrera 212 vip men</t>
        </is>
      </c>
      <c r="B713" s="42" t="inlineStr">
        <is>
          <t>carolina herrera 212 vip men club edition</t>
        </is>
      </c>
      <c r="C713" s="42" t="n"/>
    </row>
    <row r="714" ht="15" customHeight="1" s="37">
      <c r="A714" s="42" t="inlineStr">
        <is>
          <t>carolina herrera 212 vip men</t>
        </is>
      </c>
      <c r="B714" s="42" t="inlineStr">
        <is>
          <t>carolina herrera 212 vip men wild party</t>
        </is>
      </c>
      <c r="C714" s="42" t="n"/>
    </row>
    <row r="715" ht="15" customHeight="1" s="37">
      <c r="A715" s="42" t="inlineStr">
        <is>
          <t>carolina herrera 212 vip rose</t>
        </is>
      </c>
      <c r="B715" s="42" t="inlineStr">
        <is>
          <t>carolina herrera 212 vip rose</t>
        </is>
      </c>
      <c r="C715" s="42" t="inlineStr">
        <is>
          <t>Yes</t>
        </is>
      </c>
    </row>
    <row r="716" ht="15" customHeight="1" s="37">
      <c r="A716" s="42" t="inlineStr">
        <is>
          <t>carolina herrera 212 vip rose</t>
        </is>
      </c>
      <c r="B716" s="42" t="inlineStr">
        <is>
          <t>carolina herrera 212 vip rose eau de parfum 50ml</t>
        </is>
      </c>
      <c r="C716" s="42" t="inlineStr">
        <is>
          <t>Yes</t>
        </is>
      </c>
    </row>
    <row r="717" ht="15" customHeight="1" s="37">
      <c r="A717" s="42" t="inlineStr">
        <is>
          <t>carolina herrera 212 vip rose</t>
        </is>
      </c>
      <c r="B717" s="42" t="inlineStr">
        <is>
          <t>carolina herrera 212 vip rose elixir</t>
        </is>
      </c>
      <c r="C717" s="42" t="n"/>
    </row>
    <row r="718" ht="15" customHeight="1" s="37">
      <c r="A718" s="42" t="inlineStr">
        <is>
          <t>carolina herrera 212 vip rose</t>
        </is>
      </c>
      <c r="B718" s="42" t="inlineStr">
        <is>
          <t>carolina herrera 212 vip rose eau de parfum</t>
        </is>
      </c>
      <c r="C718" s="42" t="inlineStr">
        <is>
          <t>Yes</t>
        </is>
      </c>
    </row>
    <row r="719" ht="15" customHeight="1" s="37">
      <c r="A719" s="42" t="inlineStr">
        <is>
          <t>carolina herrera 212 vip rose</t>
        </is>
      </c>
      <c r="B719" s="42" t="inlineStr">
        <is>
          <t>carolina herrera 212 vip rose review</t>
        </is>
      </c>
      <c r="C719" s="42" t="inlineStr">
        <is>
          <t>Yes</t>
        </is>
      </c>
    </row>
    <row r="720" ht="15" customHeight="1" s="37">
      <c r="A720" s="42" t="inlineStr">
        <is>
          <t>carolina herrera 212 vip rose</t>
        </is>
      </c>
      <c r="B720" s="42" t="inlineStr">
        <is>
          <t>carolina herrera 212 vip rose 100ml</t>
        </is>
      </c>
      <c r="C720" s="42" t="inlineStr">
        <is>
          <t>Yes</t>
        </is>
      </c>
    </row>
    <row r="721" ht="15" customHeight="1" s="37">
      <c r="A721" s="42" t="inlineStr">
        <is>
          <t>carolina herrera 212 vip rose</t>
        </is>
      </c>
      <c r="B721" s="42" t="inlineStr">
        <is>
          <t>carolina herrera 212 vip rose nyc</t>
        </is>
      </c>
      <c r="C721" s="42" t="n"/>
    </row>
    <row r="722" ht="15" customHeight="1" s="37">
      <c r="A722" s="42" t="inlineStr">
        <is>
          <t>carolina herrera 212 vip rose</t>
        </is>
      </c>
      <c r="B722" s="42" t="inlineStr">
        <is>
          <t>carolina herrera 212 vip rose notes</t>
        </is>
      </c>
      <c r="C722" s="42" t="inlineStr">
        <is>
          <t>Yes</t>
        </is>
      </c>
    </row>
    <row r="723" ht="15" customHeight="1" s="37">
      <c r="A723" s="42" t="inlineStr">
        <is>
          <t>carolina herrera 212 vip rose</t>
        </is>
      </c>
      <c r="B723" s="42" t="inlineStr">
        <is>
          <t>carolina herrera 212 vip rose women</t>
        </is>
      </c>
      <c r="C723" s="42" t="inlineStr">
        <is>
          <t>Yes</t>
        </is>
      </c>
    </row>
    <row r="724" ht="15" customHeight="1" s="37">
      <c r="A724" s="42" t="inlineStr">
        <is>
          <t>carolina herrera 212 vip rose</t>
        </is>
      </c>
      <c r="B724" s="42" t="inlineStr">
        <is>
          <t>carolina herrera 212 vip rose price</t>
        </is>
      </c>
      <c r="C724" s="42" t="inlineStr">
        <is>
          <t>Yes</t>
        </is>
      </c>
    </row>
    <row r="725" ht="15" customHeight="1" s="37">
      <c r="A725" s="42" t="inlineStr">
        <is>
          <t>carolina herrera bad boy extreme</t>
        </is>
      </c>
      <c r="B725" s="42" t="inlineStr">
        <is>
          <t>carolina herrera bad boy extreme</t>
        </is>
      </c>
      <c r="C725" s="42" t="inlineStr">
        <is>
          <t>Yes</t>
        </is>
      </c>
    </row>
    <row r="726" ht="15" customHeight="1" s="37">
      <c r="A726" s="42" t="inlineStr">
        <is>
          <t>carolina herrera bad boy extreme</t>
        </is>
      </c>
      <c r="B726" s="42" t="inlineStr">
        <is>
          <t>carolina herrera bad boy extreme 100ml</t>
        </is>
      </c>
      <c r="C726" s="42" t="inlineStr">
        <is>
          <t>Yes</t>
        </is>
      </c>
    </row>
    <row r="727" ht="15" customHeight="1" s="37">
      <c r="A727" s="42" t="inlineStr">
        <is>
          <t>carolina herrera bad boy extreme</t>
        </is>
      </c>
      <c r="B727" s="42" t="inlineStr">
        <is>
          <t>carolina herrera bad boy extreme eau de parfum</t>
        </is>
      </c>
      <c r="C727" s="42" t="inlineStr">
        <is>
          <t>Yes</t>
        </is>
      </c>
    </row>
    <row r="728" ht="15" customHeight="1" s="37">
      <c r="A728" s="42" t="inlineStr">
        <is>
          <t>carolina herrera bad boy extreme</t>
        </is>
      </c>
      <c r="B728" s="42" t="inlineStr">
        <is>
          <t>carolina herrera bad boy extreme notes</t>
        </is>
      </c>
      <c r="C728" s="42" t="inlineStr">
        <is>
          <t>Yes</t>
        </is>
      </c>
    </row>
    <row r="729" ht="15" customHeight="1" s="37">
      <c r="A729" s="42" t="inlineStr">
        <is>
          <t>carolina herrera bad boy extreme</t>
        </is>
      </c>
      <c r="B729" s="42" t="inlineStr">
        <is>
          <t>carolina herrera bad boy extreme 1.7 oz</t>
        </is>
      </c>
      <c r="C729" s="42" t="n"/>
    </row>
    <row r="730" ht="15" customHeight="1" s="37">
      <c r="A730" s="42" t="inlineStr">
        <is>
          <t>carolina herrera bad boy extreme</t>
        </is>
      </c>
      <c r="B730" s="42" t="inlineStr">
        <is>
          <t>carolina herrera bad boy extreme 150ml</t>
        </is>
      </c>
      <c r="C730" s="42" t="inlineStr">
        <is>
          <t>Yes</t>
        </is>
      </c>
    </row>
    <row r="731" ht="15" customHeight="1" s="37">
      <c r="A731" s="42" t="inlineStr">
        <is>
          <t>carolina herrera bad boy extreme</t>
        </is>
      </c>
      <c r="B731" s="42" t="inlineStr">
        <is>
          <t>carolina herrera bad boy extreme edp</t>
        </is>
      </c>
      <c r="C731" s="42" t="inlineStr">
        <is>
          <t>Yes</t>
        </is>
      </c>
    </row>
    <row r="732" ht="15" customHeight="1" s="37">
      <c r="A732" s="42" t="inlineStr">
        <is>
          <t>carolina herrera bad boy extreme</t>
        </is>
      </c>
      <c r="B732" s="42" t="inlineStr">
        <is>
          <t>carolina herrera bad boy extreme review</t>
        </is>
      </c>
      <c r="C732" s="42" t="inlineStr">
        <is>
          <t>Yes</t>
        </is>
      </c>
    </row>
    <row r="733" ht="15" customHeight="1" s="37">
      <c r="A733" s="42" t="inlineStr">
        <is>
          <t>carolina herrera bad boy extreme</t>
        </is>
      </c>
      <c r="B733" s="42" t="inlineStr">
        <is>
          <t>carolina herrera bad boy extreme 5.1 oz</t>
        </is>
      </c>
      <c r="C733" s="42" t="n"/>
    </row>
    <row r="734" ht="15" customHeight="1" s="37">
      <c r="A734" s="42" t="inlineStr">
        <is>
          <t>carolina herrera bad boy extreme</t>
        </is>
      </c>
      <c r="B734" s="42" t="inlineStr">
        <is>
          <t>carolina herrera bad boy extreme eau de parfum 100ml</t>
        </is>
      </c>
      <c r="C734" s="42" t="n"/>
    </row>
    <row r="735" ht="15" customHeight="1" s="37">
      <c r="A735" s="42" t="inlineStr">
        <is>
          <t>carolina herrera bad boy le</t>
        </is>
      </c>
      <c r="B735" s="42" t="inlineStr">
        <is>
          <t>carolina herrera bad boy le parfum</t>
        </is>
      </c>
      <c r="C735" s="42" t="inlineStr">
        <is>
          <t>Yes</t>
        </is>
      </c>
    </row>
    <row r="736" ht="15" customHeight="1" s="37">
      <c r="A736" s="42" t="inlineStr">
        <is>
          <t>carolina herrera bad boy le</t>
        </is>
      </c>
      <c r="B736" s="42" t="inlineStr">
        <is>
          <t>carolina herrera bad boy le parfum 100ml</t>
        </is>
      </c>
      <c r="C736" s="42" t="inlineStr">
        <is>
          <t>Yes</t>
        </is>
      </c>
    </row>
    <row r="737" ht="15" customHeight="1" s="37">
      <c r="A737" s="42" t="inlineStr">
        <is>
          <t>carolina herrera bad boy le</t>
        </is>
      </c>
      <c r="B737" s="42" t="inlineStr">
        <is>
          <t>carolina herrera bad boy le parfum notes</t>
        </is>
      </c>
      <c r="C737" s="42" t="inlineStr">
        <is>
          <t>Yes</t>
        </is>
      </c>
    </row>
    <row r="738" ht="15" customHeight="1" s="37">
      <c r="A738" s="42" t="inlineStr">
        <is>
          <t>carolina herrera bad boy le</t>
        </is>
      </c>
      <c r="B738" s="42" t="inlineStr">
        <is>
          <t>carolina herrera bad boy le parfum review</t>
        </is>
      </c>
      <c r="C738" s="42" t="inlineStr">
        <is>
          <t>Yes</t>
        </is>
      </c>
    </row>
    <row r="739" ht="15" customHeight="1" s="37">
      <c r="A739" s="42" t="inlineStr">
        <is>
          <t>carolina herrera bad boy le</t>
        </is>
      </c>
      <c r="B739" s="42" t="inlineStr">
        <is>
          <t>carolina herrera bad boy le parfum eau de parfum</t>
        </is>
      </c>
      <c r="C739" s="42" t="inlineStr">
        <is>
          <t>Yes</t>
        </is>
      </c>
    </row>
    <row r="740" ht="15" customHeight="1" s="37">
      <c r="A740" s="42" t="inlineStr">
        <is>
          <t>carolina herrera bad boy le</t>
        </is>
      </c>
      <c r="B740" s="42" t="inlineStr">
        <is>
          <t>carolina herrera bad boy le parfum fragrantica</t>
        </is>
      </c>
      <c r="C740" s="42" t="n"/>
    </row>
    <row r="741" ht="15" customHeight="1" s="37">
      <c r="A741" s="42" t="inlineStr">
        <is>
          <t>carolina herrera bad boy le</t>
        </is>
      </c>
      <c r="B741" s="42" t="inlineStr">
        <is>
          <t>carolina herrera bad boy le parfum 150ml</t>
        </is>
      </c>
      <c r="C741" s="42" t="inlineStr">
        <is>
          <t>Yes</t>
        </is>
      </c>
    </row>
    <row r="742" ht="15" customHeight="1" s="37">
      <c r="A742" s="42" t="inlineStr">
        <is>
          <t>carolina herrera bad boy le</t>
        </is>
      </c>
      <c r="B742" s="42" t="inlineStr">
        <is>
          <t>carolina herrera bad boy le parfum 50ml</t>
        </is>
      </c>
      <c r="C742" s="42" t="n"/>
    </row>
    <row r="743" ht="15" customHeight="1" s="37">
      <c r="A743" s="42" t="inlineStr">
        <is>
          <t>carolina herrera bad boy le</t>
        </is>
      </c>
      <c r="B743" s="42" t="inlineStr">
        <is>
          <t>carolina herrera bad boy le parfum edp</t>
        </is>
      </c>
      <c r="C743" s="42" t="n"/>
    </row>
    <row r="744" ht="15" customHeight="1" s="37">
      <c r="A744" s="42" t="inlineStr">
        <is>
          <t>carolina herrera bad boy le</t>
        </is>
      </c>
      <c r="B744" s="42" t="inlineStr">
        <is>
          <t>carolina herrera bad boy le parfum dupe</t>
        </is>
      </c>
      <c r="C744" s="42" t="n"/>
    </row>
    <row r="745" ht="15" customHeight="1" s="37">
      <c r="A745" s="42" t="inlineStr">
        <is>
          <t>carolina herrera perfume</t>
        </is>
      </c>
      <c r="B745" s="42" t="inlineStr">
        <is>
          <t>carolina herrera perfume</t>
        </is>
      </c>
      <c r="C745" s="42" t="inlineStr">
        <is>
          <t>Yes</t>
        </is>
      </c>
    </row>
    <row r="746" ht="15" customHeight="1" s="37">
      <c r="A746" s="42" t="inlineStr">
        <is>
          <t>carolina herrera perfume</t>
        </is>
      </c>
      <c r="B746" s="42" t="inlineStr">
        <is>
          <t>carolina herrera perfume good girl</t>
        </is>
      </c>
      <c r="C746" s="42" t="n"/>
    </row>
    <row r="747" ht="15" customHeight="1" s="37">
      <c r="A747" s="42" t="inlineStr">
        <is>
          <t>carolina herrera perfume</t>
        </is>
      </c>
      <c r="B747" s="42" t="inlineStr">
        <is>
          <t>carolina herrera perfume women</t>
        </is>
      </c>
      <c r="C747" s="42" t="n"/>
    </row>
    <row r="748" ht="15" customHeight="1" s="37">
      <c r="A748" s="42" t="inlineStr">
        <is>
          <t>carolina herrera perfume</t>
        </is>
      </c>
      <c r="B748" s="42" t="inlineStr">
        <is>
          <t>carolina herrera perfume men</t>
        </is>
      </c>
      <c r="C748" s="42" t="n"/>
    </row>
    <row r="749" ht="15" customHeight="1" s="37">
      <c r="A749" s="42" t="inlineStr">
        <is>
          <t>carolina herrera perfume</t>
        </is>
      </c>
      <c r="B749" s="42" t="inlineStr">
        <is>
          <t>carolina herrera perfume la bomba</t>
        </is>
      </c>
      <c r="C749" s="42" t="n"/>
    </row>
    <row r="750" ht="15" customHeight="1" s="37">
      <c r="A750" s="42" t="inlineStr">
        <is>
          <t>carolina herrera perfume</t>
        </is>
      </c>
      <c r="B750" s="42" t="inlineStr">
        <is>
          <t>carolina herrera perfume 212</t>
        </is>
      </c>
      <c r="C750" s="42" t="n"/>
    </row>
    <row r="751" ht="15" customHeight="1" s="37">
      <c r="A751" s="42" t="inlineStr">
        <is>
          <t>carolina herrera perfume</t>
        </is>
      </c>
      <c r="B751" s="42" t="inlineStr">
        <is>
          <t>carolina herrera perfume price</t>
        </is>
      </c>
      <c r="C751" s="42" t="n"/>
    </row>
    <row r="752" ht="15" customHeight="1" s="37">
      <c r="A752" s="42" t="inlineStr">
        <is>
          <t>carolina herrera perfume</t>
        </is>
      </c>
      <c r="B752" s="42" t="inlineStr">
        <is>
          <t>carolina herrera perfume hombre</t>
        </is>
      </c>
      <c r="C752" s="42" t="n"/>
    </row>
    <row r="753" ht="15" customHeight="1" s="37">
      <c r="A753" s="42" t="inlineStr">
        <is>
          <t>carolina herrera perfume</t>
        </is>
      </c>
      <c r="B753" s="42" t="inlineStr">
        <is>
          <t>carolina herrera perfume set</t>
        </is>
      </c>
      <c r="C753" s="42" t="n"/>
    </row>
    <row r="754" ht="15" customHeight="1" s="37">
      <c r="A754" s="42" t="inlineStr">
        <is>
          <t>carolina herrera perfume</t>
        </is>
      </c>
      <c r="B754" s="42" t="inlineStr">
        <is>
          <t>carolina herrera perfume butterfly</t>
        </is>
      </c>
      <c r="C754" s="42" t="n"/>
    </row>
    <row r="755" ht="15" customHeight="1" s="37">
      <c r="A755" s="42" t="inlineStr">
        <is>
          <t>carolina herrera very good girl glam</t>
        </is>
      </c>
      <c r="B755" s="42" t="inlineStr">
        <is>
          <t>carolina herrera very good girl glam</t>
        </is>
      </c>
      <c r="C755" s="42" t="inlineStr">
        <is>
          <t>Yes</t>
        </is>
      </c>
    </row>
    <row r="756" ht="15" customHeight="1" s="37">
      <c r="A756" s="42" t="inlineStr">
        <is>
          <t>carolina herrera very good girl glam</t>
        </is>
      </c>
      <c r="B756" s="42" t="inlineStr">
        <is>
          <t>carolina herrera very good girl glam parfum</t>
        </is>
      </c>
      <c r="C756" s="42" t="inlineStr">
        <is>
          <t>Yes</t>
        </is>
      </c>
    </row>
    <row r="757" ht="15" customHeight="1" s="37">
      <c r="A757" s="42" t="inlineStr">
        <is>
          <t>carolina herrera very good girl glam</t>
        </is>
      </c>
      <c r="B757" s="42" t="inlineStr">
        <is>
          <t>carolina herrera very good girl glam 80ml</t>
        </is>
      </c>
      <c r="C757" s="42" t="inlineStr">
        <is>
          <t>Yes</t>
        </is>
      </c>
    </row>
    <row r="758" ht="15" customHeight="1" s="37">
      <c r="A758" s="42" t="inlineStr">
        <is>
          <t>carolina herrera very good girl glam</t>
        </is>
      </c>
      <c r="B758" s="42" t="inlineStr">
        <is>
          <t>carolina herrera very good girl glam notes</t>
        </is>
      </c>
      <c r="C758" s="42" t="inlineStr">
        <is>
          <t>Yes</t>
        </is>
      </c>
    </row>
    <row r="759" ht="15" customHeight="1" s="37">
      <c r="A759" s="42" t="inlineStr">
        <is>
          <t>carolina herrera very good girl glam</t>
        </is>
      </c>
      <c r="B759" s="42" t="inlineStr">
        <is>
          <t>carolina herrera very good girl glam eau de parfum</t>
        </is>
      </c>
      <c r="C759" s="42" t="inlineStr">
        <is>
          <t>Yes</t>
        </is>
      </c>
    </row>
    <row r="760" ht="15" customHeight="1" s="37">
      <c r="A760" s="42" t="inlineStr">
        <is>
          <t>carolina herrera very good girl glam</t>
        </is>
      </c>
      <c r="B760" s="42" t="inlineStr">
        <is>
          <t>carolina herrera very good girl glam discontinued</t>
        </is>
      </c>
      <c r="C760" s="42" t="n"/>
    </row>
    <row r="761" ht="15" customHeight="1" s="37">
      <c r="A761" s="42" t="inlineStr">
        <is>
          <t>carolina herrera very good girl glam</t>
        </is>
      </c>
      <c r="B761" s="42" t="inlineStr">
        <is>
          <t>carolina herrera very good girl glam dupe</t>
        </is>
      </c>
      <c r="C761" s="42" t="inlineStr">
        <is>
          <t>Yes</t>
        </is>
      </c>
    </row>
    <row r="762" ht="15" customHeight="1" s="37">
      <c r="A762" s="42" t="inlineStr">
        <is>
          <t>carolina herrera very good girl glam</t>
        </is>
      </c>
      <c r="B762" s="42" t="inlineStr">
        <is>
          <t>carolina herrera very good girl glam 100ml</t>
        </is>
      </c>
      <c r="C762" s="42" t="inlineStr">
        <is>
          <t>Yes</t>
        </is>
      </c>
    </row>
    <row r="763" ht="15" customHeight="1" s="37">
      <c r="A763" s="42" t="inlineStr">
        <is>
          <t>carolina herrera very good girl glam</t>
        </is>
      </c>
      <c r="B763" s="42" t="inlineStr">
        <is>
          <t>carolina herrera very good girl glam perfume</t>
        </is>
      </c>
      <c r="C763" s="42" t="n"/>
    </row>
    <row r="764" ht="15" customHeight="1" s="37">
      <c r="A764" s="42" t="inlineStr">
        <is>
          <t>carolina herrera very good girl glam</t>
        </is>
      </c>
      <c r="B764" s="42" t="inlineStr">
        <is>
          <t>carolina herrera very good girl glam eau de parfum 80ml</t>
        </is>
      </c>
      <c r="C764" s="42" t="n"/>
    </row>
    <row r="765" ht="15" customHeight="1" s="37">
      <c r="A765" s="42" t="inlineStr">
        <is>
          <t>casanova anniversary</t>
        </is>
      </c>
      <c r="B765" s="42" t="inlineStr">
        <is>
          <t>anniversary casanova</t>
        </is>
      </c>
      <c r="C765" s="42" t="inlineStr">
        <is>
          <t>Yes</t>
        </is>
      </c>
    </row>
    <row r="766" ht="15" customHeight="1" s="37">
      <c r="A766" s="42" t="inlineStr">
        <is>
          <t>casanova anniversary</t>
        </is>
      </c>
      <c r="B766" s="42" t="inlineStr">
        <is>
          <t>cast of the anniversary</t>
        </is>
      </c>
      <c r="C766" s="42" t="n"/>
    </row>
    <row r="767" ht="15" customHeight="1" s="37">
      <c r="A767" s="42" t="inlineStr">
        <is>
          <t>casanova anniversary</t>
        </is>
      </c>
      <c r="B767" s="42" t="inlineStr">
        <is>
          <t>cast of wedding anniversary</t>
        </is>
      </c>
      <c r="C767" s="42" t="n"/>
    </row>
    <row r="768" ht="15" customHeight="1" s="37">
      <c r="A768" s="42" t="inlineStr">
        <is>
          <t>casanova anniversary</t>
        </is>
      </c>
      <c r="B768" s="42" t="inlineStr">
        <is>
          <t>desserts for anniversary party</t>
        </is>
      </c>
      <c r="C768" s="42" t="n"/>
    </row>
    <row r="769" ht="15" customHeight="1" s="37">
      <c r="A769" s="42" t="inlineStr">
        <is>
          <t>chloe miniature gift set</t>
        </is>
      </c>
      <c r="B769" s="42" t="inlineStr">
        <is>
          <t>chloe miniature gift set</t>
        </is>
      </c>
      <c r="C769" s="42" t="inlineStr">
        <is>
          <t>Yes</t>
        </is>
      </c>
    </row>
    <row r="770" ht="15" customHeight="1" s="37">
      <c r="A770" s="42" t="inlineStr">
        <is>
          <t>chloe miniature gift set</t>
        </is>
      </c>
      <c r="B770" s="42" t="inlineStr">
        <is>
          <t>chloe mini gift set</t>
        </is>
      </c>
      <c r="C770" s="42" t="inlineStr">
        <is>
          <t>Yes</t>
        </is>
      </c>
    </row>
    <row r="771" ht="15" customHeight="1" s="37">
      <c r="A771" s="42" t="inlineStr">
        <is>
          <t>chloe miniature gift set</t>
        </is>
      </c>
      <c r="B771" s="42" t="inlineStr">
        <is>
          <t>chloe mini gift set perfume</t>
        </is>
      </c>
      <c r="C771" s="42" t="inlineStr">
        <is>
          <t>Yes</t>
        </is>
      </c>
    </row>
    <row r="772" ht="15" customHeight="1" s="37">
      <c r="A772" s="42" t="inlineStr">
        <is>
          <t>chloe miniature gift set</t>
        </is>
      </c>
      <c r="B772" s="42" t="inlineStr">
        <is>
          <t>chloe small gift set</t>
        </is>
      </c>
      <c r="C772" s="42" t="n"/>
    </row>
    <row r="773" ht="15" customHeight="1" s="37">
      <c r="A773" s="42" t="inlineStr">
        <is>
          <t>chloe miniature gift set</t>
        </is>
      </c>
      <c r="B773" s="42" t="inlineStr">
        <is>
          <t>chloe perfume miniature gift set</t>
        </is>
      </c>
      <c r="C773" s="42" t="inlineStr">
        <is>
          <t>Yes</t>
        </is>
      </c>
    </row>
    <row r="774" ht="15" customHeight="1" s="37">
      <c r="A774" s="42" t="inlineStr">
        <is>
          <t>chloe miniature gift set</t>
        </is>
      </c>
      <c r="B774" s="42" t="inlineStr">
        <is>
          <t>chloe miniature coffret gift set 4x5ml</t>
        </is>
      </c>
      <c r="C774" s="42" t="n"/>
    </row>
    <row r="775" ht="15" customHeight="1" s="37">
      <c r="A775" s="42" t="inlineStr">
        <is>
          <t>chloe miniature gift set</t>
        </is>
      </c>
      <c r="B775" s="42" t="inlineStr">
        <is>
          <t>chloe duo mini gift set</t>
        </is>
      </c>
      <c r="C775" s="42" t="n"/>
    </row>
    <row r="776" ht="15" customHeight="1" s="37">
      <c r="A776" s="42" t="inlineStr">
        <is>
          <t>chloe miniature gift set</t>
        </is>
      </c>
      <c r="B776" s="42" t="inlineStr">
        <is>
          <t>chloe variety mini gift set for women</t>
        </is>
      </c>
      <c r="C776" s="42" t="n"/>
    </row>
    <row r="777" ht="15" customHeight="1" s="37">
      <c r="A777" s="42" t="inlineStr">
        <is>
          <t>chloe miniature gift set</t>
        </is>
      </c>
      <c r="B777" s="42" t="inlineStr">
        <is>
          <t>chloe mini fragrances gift set 4 pieces</t>
        </is>
      </c>
      <c r="C777" s="42" t="n"/>
    </row>
    <row r="778" ht="15" customHeight="1" s="37">
      <c r="A778" s="42" t="inlineStr">
        <is>
          <t>chloe miniature gift set</t>
        </is>
      </c>
      <c r="B778" s="42" t="inlineStr">
        <is>
          <t>chloe mini spring gift set eau de parfum</t>
        </is>
      </c>
      <c r="C778" s="42" t="n"/>
    </row>
    <row r="779" ht="15" customHeight="1" s="37">
      <c r="A779" s="42" t="inlineStr">
        <is>
          <t>chloe miniature set</t>
        </is>
      </c>
      <c r="B779" s="42" t="inlineStr">
        <is>
          <t>chloe miniature set</t>
        </is>
      </c>
      <c r="C779" s="42" t="inlineStr">
        <is>
          <t>Yes</t>
        </is>
      </c>
    </row>
    <row r="780" ht="15" customHeight="1" s="37">
      <c r="A780" s="42" t="inlineStr">
        <is>
          <t>chloe miniature set</t>
        </is>
      </c>
      <c r="B780" s="42" t="inlineStr">
        <is>
          <t>chloe miniature set 4 pack</t>
        </is>
      </c>
      <c r="C780" s="42" t="n"/>
    </row>
    <row r="781" ht="15" customHeight="1" s="37">
      <c r="A781" s="42" t="inlineStr">
        <is>
          <t>chloe miniature set</t>
        </is>
      </c>
      <c r="B781" s="42" t="inlineStr">
        <is>
          <t>chloe mini set</t>
        </is>
      </c>
      <c r="C781" s="42" t="inlineStr">
        <is>
          <t>Yes</t>
        </is>
      </c>
    </row>
    <row r="782" ht="15" customHeight="1" s="37">
      <c r="A782" s="42" t="inlineStr">
        <is>
          <t>chloe miniature set</t>
        </is>
      </c>
      <c r="B782" s="42" t="inlineStr">
        <is>
          <t>chloe mini set perfume</t>
        </is>
      </c>
      <c r="C782" s="42" t="inlineStr">
        <is>
          <t>Yes</t>
        </is>
      </c>
    </row>
    <row r="783" ht="15" customHeight="1" s="37">
      <c r="A783" s="42" t="inlineStr">
        <is>
          <t>chloe miniature set</t>
        </is>
      </c>
      <c r="B783" s="42" t="inlineStr">
        <is>
          <t>chloe mini set chemist warehouse</t>
        </is>
      </c>
      <c r="C783" s="42" t="n"/>
    </row>
    <row r="784" ht="15" customHeight="1" s="37">
      <c r="A784" s="42" t="inlineStr">
        <is>
          <t>chloe miniature set</t>
        </is>
      </c>
      <c r="B784" s="42" t="inlineStr">
        <is>
          <t>chloe small set</t>
        </is>
      </c>
      <c r="C784" s="42" t="n"/>
    </row>
    <row r="785" ht="15" customHeight="1" s="37">
      <c r="A785" s="42" t="inlineStr">
        <is>
          <t>chloe miniature set</t>
        </is>
      </c>
      <c r="B785" s="42" t="inlineStr">
        <is>
          <t>chloe miniature perfume set</t>
        </is>
      </c>
      <c r="C785" s="42" t="inlineStr">
        <is>
          <t>Yes</t>
        </is>
      </c>
    </row>
    <row r="786" ht="15" customHeight="1" s="37">
      <c r="A786" s="42" t="inlineStr">
        <is>
          <t>chloe miniature set</t>
        </is>
      </c>
      <c r="B786" s="42" t="inlineStr">
        <is>
          <t>chloe miniature gift set</t>
        </is>
      </c>
      <c r="C786" s="42" t="inlineStr">
        <is>
          <t>Yes</t>
        </is>
      </c>
    </row>
    <row r="787" ht="15" customHeight="1" s="37">
      <c r="A787" s="42" t="inlineStr">
        <is>
          <t>chloe miniature set</t>
        </is>
      </c>
      <c r="B787" s="42" t="inlineStr">
        <is>
          <t>chloe women miniature set</t>
        </is>
      </c>
      <c r="C787" s="42" t="inlineStr">
        <is>
          <t>Yes</t>
        </is>
      </c>
    </row>
    <row r="788" ht="15" customHeight="1" s="37">
      <c r="A788" s="42" t="inlineStr">
        <is>
          <t>chloe miniature set</t>
        </is>
      </c>
      <c r="B788" s="42" t="inlineStr">
        <is>
          <t>chloe nomade miniature set</t>
        </is>
      </c>
      <c r="C788" s="42" t="n"/>
    </row>
    <row r="789" ht="15" customHeight="1" s="37">
      <c r="A789" s="42" t="inlineStr">
        <is>
          <t>chloe nomade</t>
        </is>
      </c>
      <c r="B789" s="42" t="inlineStr">
        <is>
          <t>chloe nomade</t>
        </is>
      </c>
      <c r="C789" s="42" t="inlineStr">
        <is>
          <t>Yes</t>
        </is>
      </c>
    </row>
    <row r="790" ht="15" customHeight="1" s="37">
      <c r="A790" s="42" t="inlineStr">
        <is>
          <t>chloe nomade</t>
        </is>
      </c>
      <c r="B790" s="42" t="inlineStr">
        <is>
          <t>chloe nomade perfume</t>
        </is>
      </c>
      <c r="C790" s="42" t="inlineStr">
        <is>
          <t>Yes</t>
        </is>
      </c>
    </row>
    <row r="791" ht="15" customHeight="1" s="37">
      <c r="A791" s="42" t="inlineStr">
        <is>
          <t>chloe nomade</t>
        </is>
      </c>
      <c r="B791" s="42" t="inlineStr">
        <is>
          <t>chloe nomade nuit d'egypte</t>
        </is>
      </c>
      <c r="C791" s="42" t="inlineStr">
        <is>
          <t>Yes</t>
        </is>
      </c>
    </row>
    <row r="792" ht="15" customHeight="1" s="37">
      <c r="A792" s="42" t="inlineStr">
        <is>
          <t>chloe nomade</t>
        </is>
      </c>
      <c r="B792" s="42" t="inlineStr">
        <is>
          <t>chloe nomade notes</t>
        </is>
      </c>
      <c r="C792" s="42" t="inlineStr">
        <is>
          <t>Yes</t>
        </is>
      </c>
    </row>
    <row r="793" ht="15" customHeight="1" s="37">
      <c r="A793" s="42" t="inlineStr">
        <is>
          <t>chloe nomade</t>
        </is>
      </c>
      <c r="B793" s="42" t="inlineStr">
        <is>
          <t>chloe nomade edp</t>
        </is>
      </c>
      <c r="C793" s="42" t="inlineStr">
        <is>
          <t>Yes</t>
        </is>
      </c>
    </row>
    <row r="794" ht="15" customHeight="1" s="37">
      <c r="A794" s="42" t="inlineStr">
        <is>
          <t>chloe nomade</t>
        </is>
      </c>
      <c r="B794" s="42" t="inlineStr">
        <is>
          <t>chloe nomade parfum</t>
        </is>
      </c>
      <c r="C794" s="42" t="inlineStr">
        <is>
          <t>Yes</t>
        </is>
      </c>
    </row>
    <row r="795" ht="15" customHeight="1" s="37">
      <c r="A795" s="42" t="inlineStr">
        <is>
          <t>chloe nomade</t>
        </is>
      </c>
      <c r="B795" s="42" t="inlineStr">
        <is>
          <t>chloe nomade jardin d'egypte</t>
        </is>
      </c>
      <c r="C795" s="42" t="n"/>
    </row>
    <row r="796" ht="15" customHeight="1" s="37">
      <c r="A796" s="42" t="inlineStr">
        <is>
          <t>chloe nomade</t>
        </is>
      </c>
      <c r="B796" s="42" t="inlineStr">
        <is>
          <t>chloe nomade lumiere d'egypte</t>
        </is>
      </c>
      <c r="C796" s="42" t="n"/>
    </row>
    <row r="797" ht="15" customHeight="1" s="37">
      <c r="A797" s="42" t="inlineStr">
        <is>
          <t>chloe nomade</t>
        </is>
      </c>
      <c r="B797" s="42" t="inlineStr">
        <is>
          <t>chloe nomade jasmin naturel</t>
        </is>
      </c>
      <c r="C797" s="42" t="n"/>
    </row>
    <row r="798" ht="15" customHeight="1" s="37">
      <c r="A798" s="42" t="inlineStr">
        <is>
          <t>chloe nomade</t>
        </is>
      </c>
      <c r="B798" s="42" t="inlineStr">
        <is>
          <t>chloe nomade naturelle</t>
        </is>
      </c>
      <c r="C798" s="42" t="n"/>
    </row>
    <row r="799" ht="15" customHeight="1" s="37">
      <c r="A799" s="42" t="inlineStr">
        <is>
          <t>chloe nomade gift set</t>
        </is>
      </c>
      <c r="B799" s="42" t="inlineStr">
        <is>
          <t>chloe nomade gift set</t>
        </is>
      </c>
      <c r="C799" s="42" t="inlineStr">
        <is>
          <t>Yes</t>
        </is>
      </c>
    </row>
    <row r="800" ht="15" customHeight="1" s="37">
      <c r="A800" s="42" t="inlineStr">
        <is>
          <t>chloe nomade gift set</t>
        </is>
      </c>
      <c r="B800" s="42" t="inlineStr">
        <is>
          <t>chloe nomade gift set 75ml</t>
        </is>
      </c>
      <c r="C800" s="42" t="inlineStr">
        <is>
          <t>Yes</t>
        </is>
      </c>
    </row>
    <row r="801" ht="15" customHeight="1" s="37">
      <c r="A801" s="42" t="inlineStr">
        <is>
          <t>chloe nomade gift set</t>
        </is>
      </c>
      <c r="B801" s="42" t="inlineStr">
        <is>
          <t>chloe nomade gift set perfume</t>
        </is>
      </c>
      <c r="C801" s="42" t="inlineStr">
        <is>
          <t>Yes</t>
        </is>
      </c>
    </row>
    <row r="802" ht="15" customHeight="1" s="37">
      <c r="A802" s="42" t="inlineStr">
        <is>
          <t>chloe nomade gift set</t>
        </is>
      </c>
      <c r="B802" s="42" t="inlineStr">
        <is>
          <t>chloe nomade eau de parfum gift set</t>
        </is>
      </c>
      <c r="C802" s="42" t="inlineStr">
        <is>
          <t>Yes</t>
        </is>
      </c>
    </row>
    <row r="803" ht="15" customHeight="1" s="37">
      <c r="A803" s="42" t="inlineStr">
        <is>
          <t>chloe nomade gift set</t>
        </is>
      </c>
      <c r="B803" s="42" t="inlineStr">
        <is>
          <t>chloe nomade sizes</t>
        </is>
      </c>
      <c r="C803" s="42" t="inlineStr">
        <is>
          <t>Yes</t>
        </is>
      </c>
    </row>
    <row r="804" ht="15" customHeight="1" s="37">
      <c r="A804" s="42" t="inlineStr">
        <is>
          <t>chloe nomade gift set</t>
        </is>
      </c>
      <c r="B804" s="42" t="inlineStr">
        <is>
          <t>chloe nomade price</t>
        </is>
      </c>
      <c r="C804" s="42" t="inlineStr">
        <is>
          <t>Yes</t>
        </is>
      </c>
    </row>
    <row r="805" ht="15" customHeight="1" s="37">
      <c r="A805" s="42" t="inlineStr">
        <is>
          <t>chloe nomade gift set</t>
        </is>
      </c>
      <c r="B805" s="42" t="inlineStr">
        <is>
          <t>chloe nomade ingredients</t>
        </is>
      </c>
      <c r="C805" s="42" t="inlineStr">
        <is>
          <t>Yes</t>
        </is>
      </c>
    </row>
    <row r="806" ht="15" customHeight="1" s="37">
      <c r="A806" s="42" t="inlineStr">
        <is>
          <t>chloe nomade gift set</t>
        </is>
      </c>
      <c r="B806" s="42" t="inlineStr">
        <is>
          <t>chloe nomade reviews</t>
        </is>
      </c>
      <c r="C806" s="42" t="n"/>
    </row>
    <row r="807" ht="15" customHeight="1" s="37">
      <c r="A807" s="42" t="inlineStr">
        <is>
          <t>chloe nomade jasmin naturel intense</t>
        </is>
      </c>
      <c r="B807" s="42" t="inlineStr">
        <is>
          <t>chloe nomade jasmin naturel intense</t>
        </is>
      </c>
      <c r="C807" s="42" t="inlineStr">
        <is>
          <t>Yes</t>
        </is>
      </c>
    </row>
    <row r="808" ht="15" customHeight="1" s="37">
      <c r="A808" s="42" t="inlineStr">
        <is>
          <t>chloe nomade jasmin naturel intense</t>
        </is>
      </c>
      <c r="B808" s="42" t="inlineStr">
        <is>
          <t>chloe nomade jasmin naturel intense review</t>
        </is>
      </c>
      <c r="C808" s="42" t="inlineStr">
        <is>
          <t>Yes</t>
        </is>
      </c>
    </row>
    <row r="809" ht="15" customHeight="1" s="37">
      <c r="A809" s="42" t="inlineStr">
        <is>
          <t>chloe nomade jasmin naturel intense</t>
        </is>
      </c>
      <c r="B809" s="42" t="inlineStr">
        <is>
          <t>chloe nomade jasmin naturel intense notes</t>
        </is>
      </c>
      <c r="C809" s="42" t="inlineStr">
        <is>
          <t>Yes</t>
        </is>
      </c>
    </row>
    <row r="810" ht="15" customHeight="1" s="37">
      <c r="A810" s="42" t="inlineStr">
        <is>
          <t>chloe nomade jasmin naturel intense</t>
        </is>
      </c>
      <c r="B810" s="42" t="inlineStr">
        <is>
          <t>chloe nomade jasmin naturel intense eau de parfum</t>
        </is>
      </c>
      <c r="C810" s="42" t="inlineStr">
        <is>
          <t>Yes</t>
        </is>
      </c>
    </row>
    <row r="811" ht="15" customHeight="1" s="37">
      <c r="A811" s="42" t="inlineStr">
        <is>
          <t>chloe nomade jasmin naturel intense</t>
        </is>
      </c>
      <c r="B811" s="42" t="inlineStr">
        <is>
          <t>chloe nomade jasmin naturel intense perfume</t>
        </is>
      </c>
      <c r="C811" s="42" t="inlineStr">
        <is>
          <t>Yes</t>
        </is>
      </c>
    </row>
    <row r="812" ht="15" customHeight="1" s="37">
      <c r="A812" s="42" t="inlineStr">
        <is>
          <t>chloe nomade jasmin naturel intense</t>
        </is>
      </c>
      <c r="B812" s="42" t="inlineStr">
        <is>
          <t>chloe nomade jasmin naturel intense edp</t>
        </is>
      </c>
      <c r="C812" s="42" t="inlineStr">
        <is>
          <t>Yes</t>
        </is>
      </c>
    </row>
    <row r="813" ht="15" customHeight="1" s="37">
      <c r="A813" s="42" t="inlineStr">
        <is>
          <t>chloe nomade jasmin naturel intense</t>
        </is>
      </c>
      <c r="B813" s="42" t="inlineStr">
        <is>
          <t>chloe nomade jasmin naturel intense 75ml</t>
        </is>
      </c>
      <c r="C813" s="42" t="inlineStr">
        <is>
          <t>Yes</t>
        </is>
      </c>
    </row>
    <row r="814" ht="15" customHeight="1" s="37">
      <c r="A814" s="42" t="inlineStr">
        <is>
          <t>chloe nomade jasmin naturel intense</t>
        </is>
      </c>
      <c r="B814" s="42" t="inlineStr">
        <is>
          <t>chloe nomade jasmin naturel intense eau de parfum 75ml</t>
        </is>
      </c>
      <c r="C814" s="42" t="n"/>
    </row>
    <row r="815" ht="15" customHeight="1" s="37">
      <c r="A815" s="42" t="inlineStr">
        <is>
          <t>chloe nomade jasmin naturel intense</t>
        </is>
      </c>
      <c r="B815" s="42" t="inlineStr">
        <is>
          <t>chloe nomade jasmin naturel intense 100ml</t>
        </is>
      </c>
      <c r="C815" s="42" t="n"/>
    </row>
    <row r="816" ht="15" customHeight="1" s="37">
      <c r="A816" s="42" t="inlineStr">
        <is>
          <t>chloe nomade jasmin naturel intense</t>
        </is>
      </c>
      <c r="B816" s="42" t="inlineStr">
        <is>
          <t>chloe nomade jasmin naturel intense sephora</t>
        </is>
      </c>
      <c r="C816" s="42" t="n"/>
    </row>
    <row r="817" ht="15" customHeight="1" s="37">
      <c r="A817" s="42" t="inlineStr">
        <is>
          <t>chloe nomade nuit d'egypte</t>
        </is>
      </c>
      <c r="B817" s="42" t="inlineStr">
        <is>
          <t>chloe nomade nuit d'egypte</t>
        </is>
      </c>
      <c r="C817" s="42" t="inlineStr">
        <is>
          <t>Yes</t>
        </is>
      </c>
    </row>
    <row r="818" ht="15" customHeight="1" s="37">
      <c r="A818" s="42" t="inlineStr">
        <is>
          <t>chloe nomade nuit d'egypte</t>
        </is>
      </c>
      <c r="B818" s="42" t="inlineStr">
        <is>
          <t>chloe nomade nuit d'egypte notes</t>
        </is>
      </c>
      <c r="C818" s="42" t="inlineStr">
        <is>
          <t>Yes</t>
        </is>
      </c>
    </row>
    <row r="819" ht="15" customHeight="1" s="37">
      <c r="A819" s="42" t="inlineStr">
        <is>
          <t>chloe nomade nuit d'egypte</t>
        </is>
      </c>
      <c r="B819" s="42" t="inlineStr">
        <is>
          <t>chloe nomade nuit d'egypte reviews</t>
        </is>
      </c>
      <c r="C819" s="42" t="inlineStr">
        <is>
          <t>Yes</t>
        </is>
      </c>
    </row>
    <row r="820" ht="15" customHeight="1" s="37">
      <c r="A820" s="42" t="inlineStr">
        <is>
          <t>chloe nomade nuit d'egypte</t>
        </is>
      </c>
      <c r="B820" s="42" t="inlineStr">
        <is>
          <t>chloe nomade nuit d'egypte perfume</t>
        </is>
      </c>
      <c r="C820" s="42" t="inlineStr">
        <is>
          <t>Yes</t>
        </is>
      </c>
    </row>
    <row r="821" ht="15" customHeight="1" s="37">
      <c r="A821" s="42" t="inlineStr">
        <is>
          <t>chloe nomade nuit d'egypte</t>
        </is>
      </c>
      <c r="B821" s="42" t="inlineStr">
        <is>
          <t>chloe nomade nuit d'egypte fragrantica</t>
        </is>
      </c>
      <c r="C821" s="42" t="n"/>
    </row>
    <row r="822" ht="15" customHeight="1" s="37">
      <c r="A822" s="42" t="inlineStr">
        <is>
          <t>chloe nomade nuit d'egypte</t>
        </is>
      </c>
      <c r="B822" s="42" t="inlineStr">
        <is>
          <t>chloe nomade nuit d'egypte 50ml</t>
        </is>
      </c>
      <c r="C822" s="42" t="inlineStr">
        <is>
          <t>Yes</t>
        </is>
      </c>
    </row>
    <row r="823" ht="15" customHeight="1" s="37">
      <c r="A823" s="42" t="inlineStr">
        <is>
          <t>chloe nomade nuit d'egypte</t>
        </is>
      </c>
      <c r="B823" s="42" t="inlineStr">
        <is>
          <t>chloe nomade nuit d'egypte 75ml</t>
        </is>
      </c>
      <c r="C823" s="42" t="inlineStr">
        <is>
          <t>Yes</t>
        </is>
      </c>
    </row>
    <row r="824" ht="15" customHeight="1" s="37">
      <c r="A824" s="42" t="inlineStr">
        <is>
          <t>chloe nomade nuit d'egypte</t>
        </is>
      </c>
      <c r="B824" s="42" t="inlineStr">
        <is>
          <t>chloe nomade nuit d'egypte dupe</t>
        </is>
      </c>
      <c r="C824" s="42" t="inlineStr">
        <is>
          <t>Yes</t>
        </is>
      </c>
    </row>
    <row r="825" ht="15" customHeight="1" s="37">
      <c r="A825" s="42" t="inlineStr">
        <is>
          <t>chloe nomade nuit d'egypte</t>
        </is>
      </c>
      <c r="B825" s="42" t="inlineStr">
        <is>
          <t>chloe nomade nuit d'egypte edp</t>
        </is>
      </c>
      <c r="C825" s="42" t="n"/>
    </row>
    <row r="826" ht="15" customHeight="1" s="37">
      <c r="A826" s="42" t="inlineStr">
        <is>
          <t>chloe nomade nuit d'egypte</t>
        </is>
      </c>
      <c r="B826" s="42" t="inlineStr">
        <is>
          <t>chloe nomade nuit d'egypte eau de parfum</t>
        </is>
      </c>
      <c r="C826" s="42" t="inlineStr">
        <is>
          <t>Yes</t>
        </is>
      </c>
    </row>
    <row r="827" ht="15" customHeight="1" s="37">
      <c r="A827" s="42" t="inlineStr">
        <is>
          <t>chloe perfume</t>
        </is>
      </c>
      <c r="B827" s="42" t="inlineStr">
        <is>
          <t>chloe perfume</t>
        </is>
      </c>
      <c r="C827" s="42" t="inlineStr">
        <is>
          <t>Yes</t>
        </is>
      </c>
    </row>
    <row r="828" ht="15" customHeight="1" s="37">
      <c r="A828" s="42" t="inlineStr">
        <is>
          <t>chloe perfume</t>
        </is>
      </c>
      <c r="B828" s="42" t="inlineStr">
        <is>
          <t>chloe perfume price</t>
        </is>
      </c>
      <c r="C828" s="42" t="n"/>
    </row>
    <row r="829" ht="15" customHeight="1" s="37">
      <c r="A829" s="42" t="inlineStr">
        <is>
          <t>chloe perfume</t>
        </is>
      </c>
      <c r="B829" s="42" t="inlineStr">
        <is>
          <t>chloe perfume women</t>
        </is>
      </c>
      <c r="C829" s="42" t="n"/>
    </row>
    <row r="830" ht="15" customHeight="1" s="37">
      <c r="A830" s="42" t="inlineStr">
        <is>
          <t>chloe perfume</t>
        </is>
      </c>
      <c r="B830" s="42" t="inlineStr">
        <is>
          <t>chloe perfume notes</t>
        </is>
      </c>
      <c r="C830" s="42" t="n"/>
    </row>
    <row r="831" ht="15" customHeight="1" s="37">
      <c r="A831" s="42" t="inlineStr">
        <is>
          <t>chloe perfume</t>
        </is>
      </c>
      <c r="B831" s="42" t="inlineStr">
        <is>
          <t>chloe perfume uk</t>
        </is>
      </c>
      <c r="C831" s="42" t="n"/>
    </row>
    <row r="832" ht="15" customHeight="1" s="37">
      <c r="A832" s="42" t="inlineStr">
        <is>
          <t>chloe perfume</t>
        </is>
      </c>
      <c r="B832" s="42" t="inlineStr">
        <is>
          <t>chloe perfume original</t>
        </is>
      </c>
      <c r="C832" s="42" t="n"/>
    </row>
    <row r="833" ht="15" customHeight="1" s="37">
      <c r="A833" s="42" t="inlineStr">
        <is>
          <t>chloe perfume</t>
        </is>
      </c>
      <c r="B833" s="42" t="inlineStr">
        <is>
          <t>chloe perfume set</t>
        </is>
      </c>
      <c r="C833" s="42" t="n"/>
    </row>
    <row r="834" ht="15" customHeight="1" s="37">
      <c r="A834" s="42" t="inlineStr">
        <is>
          <t>chloe perfume</t>
        </is>
      </c>
      <c r="B834" s="42" t="inlineStr">
        <is>
          <t>chloe perfume nomade</t>
        </is>
      </c>
      <c r="C834" s="42" t="n"/>
    </row>
    <row r="835" ht="15" customHeight="1" s="37">
      <c r="A835" s="42" t="inlineStr">
        <is>
          <t>chloe perfume</t>
        </is>
      </c>
      <c r="B835" s="42" t="inlineStr">
        <is>
          <t>chloe perfume love story</t>
        </is>
      </c>
      <c r="C835" s="42" t="n"/>
    </row>
    <row r="836" ht="15" customHeight="1" s="37">
      <c r="A836" s="42" t="inlineStr">
        <is>
          <t>chloe perfume</t>
        </is>
      </c>
      <c r="B836" s="42" t="inlineStr">
        <is>
          <t>chloe perfume atelier des fleurs</t>
        </is>
      </c>
      <c r="C836" s="42" t="n"/>
    </row>
    <row r="837" ht="15" customHeight="1" s="37">
      <c r="A837" s="42" t="inlineStr">
        <is>
          <t>chloe rose naturelle intense</t>
        </is>
      </c>
      <c r="B837" s="42" t="inlineStr">
        <is>
          <t>chloe rose naturelle intense</t>
        </is>
      </c>
      <c r="C837" s="42" t="inlineStr">
        <is>
          <t>Yes</t>
        </is>
      </c>
    </row>
    <row r="838" ht="15" customHeight="1" s="37">
      <c r="A838" s="42" t="inlineStr">
        <is>
          <t>chloe rose naturelle intense</t>
        </is>
      </c>
      <c r="B838" s="42" t="inlineStr">
        <is>
          <t>chloe rose naturelle intense 100ml</t>
        </is>
      </c>
      <c r="C838" s="42" t="inlineStr">
        <is>
          <t>Yes</t>
        </is>
      </c>
    </row>
    <row r="839" ht="15" customHeight="1" s="37">
      <c r="A839" s="42" t="inlineStr">
        <is>
          <t>chloe rose naturelle intense</t>
        </is>
      </c>
      <c r="B839" s="42" t="inlineStr">
        <is>
          <t>chloe rose naturelle intense eau de parfum</t>
        </is>
      </c>
      <c r="C839" s="42" t="inlineStr">
        <is>
          <t>Yes</t>
        </is>
      </c>
    </row>
    <row r="840" ht="15" customHeight="1" s="37">
      <c r="A840" s="42" t="inlineStr">
        <is>
          <t>chloe rose naturelle intense</t>
        </is>
      </c>
      <c r="B840" s="42" t="inlineStr">
        <is>
          <t>chloe rose naturelle intense eau de parfum reviews</t>
        </is>
      </c>
      <c r="C840" s="42" t="inlineStr">
        <is>
          <t>Yes</t>
        </is>
      </c>
    </row>
    <row r="841" ht="15" customHeight="1" s="37">
      <c r="A841" s="42" t="inlineStr">
        <is>
          <t>chloe rose naturelle intense</t>
        </is>
      </c>
      <c r="B841" s="42" t="inlineStr">
        <is>
          <t>chloe rose naturelle intense notes</t>
        </is>
      </c>
      <c r="C841" s="42" t="inlineStr">
        <is>
          <t>Yes</t>
        </is>
      </c>
    </row>
    <row r="842" ht="15" customHeight="1" s="37">
      <c r="A842" s="42" t="inlineStr">
        <is>
          <t>chloe rose naturelle intense</t>
        </is>
      </c>
      <c r="B842" s="42" t="inlineStr">
        <is>
          <t>chloe rose naturelle intense refill</t>
        </is>
      </c>
      <c r="C842" s="42" t="n"/>
    </row>
    <row r="843" ht="15" customHeight="1" s="37">
      <c r="A843" s="42" t="inlineStr">
        <is>
          <t>chloe rose naturelle intense</t>
        </is>
      </c>
      <c r="B843" s="42" t="inlineStr">
        <is>
          <t>chloe rose naturelle intense edp</t>
        </is>
      </c>
      <c r="C843" s="42" t="inlineStr">
        <is>
          <t>Yes</t>
        </is>
      </c>
    </row>
    <row r="844" ht="15" customHeight="1" s="37">
      <c r="A844" s="42" t="inlineStr">
        <is>
          <t>chloe rose naturelle intense</t>
        </is>
      </c>
      <c r="B844" s="42" t="inlineStr">
        <is>
          <t>chloe rose naturelle intense reddit</t>
        </is>
      </c>
      <c r="C844" s="42" t="n"/>
    </row>
    <row r="845" ht="15" customHeight="1" s="37">
      <c r="A845" s="42" t="inlineStr">
        <is>
          <t>chloe rose naturelle intense</t>
        </is>
      </c>
      <c r="B845" s="42" t="inlineStr">
        <is>
          <t>chloe rose naturelle intense dupe</t>
        </is>
      </c>
      <c r="C845" s="42" t="inlineStr">
        <is>
          <t>Yes</t>
        </is>
      </c>
    </row>
    <row r="846" ht="15" customHeight="1" s="37">
      <c r="A846" s="42" t="inlineStr">
        <is>
          <t>chloe rose naturelle intense</t>
        </is>
      </c>
      <c r="B846" s="42" t="inlineStr">
        <is>
          <t>chloe rose naturelle intense review</t>
        </is>
      </c>
      <c r="C846" s="42" t="n"/>
    </row>
    <row r="847" ht="15" customHeight="1" s="37">
      <c r="A847" s="42" t="inlineStr">
        <is>
          <t>chopard amber malaki</t>
        </is>
      </c>
      <c r="B847" s="42" t="inlineStr">
        <is>
          <t>chopard amber malaki</t>
        </is>
      </c>
      <c r="C847" s="42" t="inlineStr">
        <is>
          <t>Yes</t>
        </is>
      </c>
    </row>
    <row r="848" ht="15" customHeight="1" s="37">
      <c r="A848" s="42" t="inlineStr">
        <is>
          <t>chopard amber malaki</t>
        </is>
      </c>
      <c r="B848" s="42" t="inlineStr">
        <is>
          <t>chopard amber malaki price</t>
        </is>
      </c>
      <c r="C848" s="42" t="inlineStr">
        <is>
          <t>Yes</t>
        </is>
      </c>
    </row>
    <row r="849" ht="15" customHeight="1" s="37">
      <c r="A849" s="42" t="inlineStr">
        <is>
          <t>chopard amber malaki</t>
        </is>
      </c>
      <c r="B849" s="42" t="inlineStr">
        <is>
          <t>chopard amber malaki review</t>
        </is>
      </c>
      <c r="C849" s="42" t="inlineStr">
        <is>
          <t>Yes</t>
        </is>
      </c>
    </row>
    <row r="850" ht="15" customHeight="1" s="37">
      <c r="A850" s="42" t="inlineStr">
        <is>
          <t>chopard amber malaki</t>
        </is>
      </c>
      <c r="B850" s="42" t="inlineStr">
        <is>
          <t>chopard amber malaki notes</t>
        </is>
      </c>
      <c r="C850" s="42" t="inlineStr">
        <is>
          <t>Yes</t>
        </is>
      </c>
    </row>
    <row r="851" ht="15" customHeight="1" s="37">
      <c r="A851" s="42" t="inlineStr">
        <is>
          <t>chopard amber malaki</t>
        </is>
      </c>
      <c r="B851" s="42" t="inlineStr">
        <is>
          <t>chopard amber malaki eau de parfum</t>
        </is>
      </c>
      <c r="C851" s="42" t="inlineStr">
        <is>
          <t>Yes</t>
        </is>
      </c>
    </row>
    <row r="852" ht="15" customHeight="1" s="37">
      <c r="A852" s="42" t="inlineStr">
        <is>
          <t>chopard amber malaki</t>
        </is>
      </c>
      <c r="B852" s="42" t="inlineStr">
        <is>
          <t>chopard amber malaki fragrantica</t>
        </is>
      </c>
      <c r="C852" s="42" t="n"/>
    </row>
    <row r="853" ht="15" customHeight="1" s="37">
      <c r="A853" s="42" t="inlineStr">
        <is>
          <t>chopard amber malaki</t>
        </is>
      </c>
      <c r="B853" s="42" t="inlineStr">
        <is>
          <t>chopard amber malaki perfume</t>
        </is>
      </c>
      <c r="C853" s="42" t="inlineStr">
        <is>
          <t>Yes</t>
        </is>
      </c>
    </row>
    <row r="854" ht="15" customHeight="1" s="37">
      <c r="A854" s="42" t="inlineStr">
        <is>
          <t>chopard amber malaki</t>
        </is>
      </c>
      <c r="B854" s="42" t="inlineStr">
        <is>
          <t>chopard amber malaki edp</t>
        </is>
      </c>
      <c r="C854" s="42" t="inlineStr">
        <is>
          <t>Yes</t>
        </is>
      </c>
    </row>
    <row r="855" ht="15" customHeight="1" s="37">
      <c r="A855" s="42" t="inlineStr">
        <is>
          <t>chopard amber malaki</t>
        </is>
      </c>
      <c r="B855" s="42" t="inlineStr">
        <is>
          <t>chopard amber malaki 80ml</t>
        </is>
      </c>
      <c r="C855" s="42" t="n"/>
    </row>
    <row r="856" ht="15" customHeight="1" s="37">
      <c r="A856" s="42" t="inlineStr">
        <is>
          <t>chopard amber malaki</t>
        </is>
      </c>
      <c r="B856" s="42" t="inlineStr">
        <is>
          <t>chopard amber malaki edp 80ml</t>
        </is>
      </c>
      <c r="C856" s="42" t="n"/>
    </row>
    <row r="857" ht="15" customHeight="1" s="37">
      <c r="A857" s="42" t="inlineStr">
        <is>
          <t>chopard black incense malaki</t>
        </is>
      </c>
      <c r="B857" s="42" t="inlineStr">
        <is>
          <t>chopard black incense malaki</t>
        </is>
      </c>
      <c r="C857" s="42" t="inlineStr">
        <is>
          <t>Yes</t>
        </is>
      </c>
    </row>
    <row r="858" ht="15" customHeight="1" s="37">
      <c r="A858" s="42" t="inlineStr">
        <is>
          <t>chopard black incense malaki</t>
        </is>
      </c>
      <c r="B858" s="42" t="inlineStr">
        <is>
          <t>chopard black incense malaki review</t>
        </is>
      </c>
      <c r="C858" s="42" t="inlineStr">
        <is>
          <t>Yes</t>
        </is>
      </c>
    </row>
    <row r="859" ht="15" customHeight="1" s="37">
      <c r="A859" s="42" t="inlineStr">
        <is>
          <t>chopard black incense malaki</t>
        </is>
      </c>
      <c r="B859" s="42" t="inlineStr">
        <is>
          <t>chopard black incense malaki price</t>
        </is>
      </c>
      <c r="C859" s="42" t="inlineStr">
        <is>
          <t>Yes</t>
        </is>
      </c>
    </row>
    <row r="860" ht="15" customHeight="1" s="37">
      <c r="A860" s="42" t="inlineStr">
        <is>
          <t>chopard black incense malaki</t>
        </is>
      </c>
      <c r="B860" s="42" t="inlineStr">
        <is>
          <t>chopard black incense malaki notes</t>
        </is>
      </c>
      <c r="C860" s="42" t="inlineStr">
        <is>
          <t>Yes</t>
        </is>
      </c>
    </row>
    <row r="861" ht="15" customHeight="1" s="37">
      <c r="A861" s="42" t="inlineStr">
        <is>
          <t>chopard black incense malaki</t>
        </is>
      </c>
      <c r="B861" s="42" t="inlineStr">
        <is>
          <t>chopard black incense malaki eau de parfum</t>
        </is>
      </c>
      <c r="C861" s="42" t="inlineStr">
        <is>
          <t>Yes</t>
        </is>
      </c>
    </row>
    <row r="862" ht="15" customHeight="1" s="37">
      <c r="A862" s="42" t="inlineStr">
        <is>
          <t>chopard black incense malaki</t>
        </is>
      </c>
      <c r="B862" s="42" t="inlineStr">
        <is>
          <t>chopard black incense malaki vs oud malaki</t>
        </is>
      </c>
      <c r="C862" s="42" t="n"/>
    </row>
    <row r="863" ht="15" customHeight="1" s="37">
      <c r="A863" s="42" t="inlineStr">
        <is>
          <t>chopard black incense malaki</t>
        </is>
      </c>
      <c r="B863" s="42" t="inlineStr">
        <is>
          <t>chopard black incense malaki perfume</t>
        </is>
      </c>
      <c r="C863" s="42" t="inlineStr">
        <is>
          <t>Yes</t>
        </is>
      </c>
    </row>
    <row r="864" ht="15" customHeight="1" s="37">
      <c r="A864" s="42" t="inlineStr">
        <is>
          <t>chopard black incense malaki</t>
        </is>
      </c>
      <c r="B864" s="42" t="inlineStr">
        <is>
          <t>chopard black incense malaki fragrantica</t>
        </is>
      </c>
      <c r="C864" s="42" t="n"/>
    </row>
    <row r="865" ht="15" customHeight="1" s="37">
      <c r="A865" s="42" t="inlineStr">
        <is>
          <t>chopard black incense malaki</t>
        </is>
      </c>
      <c r="B865" s="42" t="inlineStr">
        <is>
          <t>chopard black incense malaki edp</t>
        </is>
      </c>
      <c r="C865" s="42" t="inlineStr">
        <is>
          <t>Yes</t>
        </is>
      </c>
    </row>
    <row r="866" ht="15" customHeight="1" s="37">
      <c r="A866" s="42" t="inlineStr">
        <is>
          <t>chopard black incense malaki</t>
        </is>
      </c>
      <c r="B866" s="42" t="inlineStr">
        <is>
          <t>chopard black incense malaki edp 80ml</t>
        </is>
      </c>
      <c r="C866" s="42" t="n"/>
    </row>
    <row r="867" ht="15" customHeight="1" s="37">
      <c r="A867" s="42" t="inlineStr">
        <is>
          <t>chopard imperiale iris malika</t>
        </is>
      </c>
      <c r="B867" s="42" t="inlineStr">
        <is>
          <t>chopard imperiale iris malika</t>
        </is>
      </c>
      <c r="C867" s="42" t="inlineStr">
        <is>
          <t>Yes</t>
        </is>
      </c>
    </row>
    <row r="868" ht="15" customHeight="1" s="37">
      <c r="A868" s="42" t="inlineStr">
        <is>
          <t>chopard imperiale iris malika</t>
        </is>
      </c>
      <c r="B868" s="42" t="inlineStr">
        <is>
          <t>chopard imperiale iris malika eau de parfum</t>
        </is>
      </c>
      <c r="C868" s="42" t="inlineStr">
        <is>
          <t>Yes</t>
        </is>
      </c>
    </row>
    <row r="869" ht="15" customHeight="1" s="37">
      <c r="A869" s="42" t="inlineStr">
        <is>
          <t>chopard imperiale iris malika</t>
        </is>
      </c>
      <c r="B869" s="42" t="inlineStr">
        <is>
          <t>chopard imperiale iris malika review</t>
        </is>
      </c>
      <c r="C869" s="42" t="inlineStr">
        <is>
          <t>Yes</t>
        </is>
      </c>
    </row>
    <row r="870" ht="15" customHeight="1" s="37">
      <c r="A870" s="42" t="inlineStr">
        <is>
          <t>chopard imperiale iris malika</t>
        </is>
      </c>
      <c r="B870" s="42" t="inlineStr">
        <is>
          <t>chopard imperiale iris malika fragrantica</t>
        </is>
      </c>
      <c r="C870" s="42" t="n"/>
    </row>
    <row r="871" ht="15" customHeight="1" s="37">
      <c r="A871" s="42" t="inlineStr">
        <is>
          <t>chopard imperiale iris malika</t>
        </is>
      </c>
      <c r="B871" s="42" t="inlineStr">
        <is>
          <t>chopard imperiale iris malika perfume</t>
        </is>
      </c>
      <c r="C871" s="42" t="inlineStr">
        <is>
          <t>Yes</t>
        </is>
      </c>
    </row>
    <row r="872" ht="15" customHeight="1" s="37">
      <c r="A872" s="42" t="inlineStr">
        <is>
          <t>chopard imperiale iris malika</t>
        </is>
      </c>
      <c r="B872" s="42" t="inlineStr">
        <is>
          <t>chopard imperiale iris malika price</t>
        </is>
      </c>
      <c r="C872" s="42" t="inlineStr">
        <is>
          <t>Yes</t>
        </is>
      </c>
    </row>
    <row r="873" ht="15" customHeight="1" s="37">
      <c r="A873" s="42" t="inlineStr">
        <is>
          <t>chopard imperiale iris malika</t>
        </is>
      </c>
      <c r="B873" s="42" t="inlineStr">
        <is>
          <t>chopard imperiale iris malika edp 100ml</t>
        </is>
      </c>
      <c r="C873" s="42" t="inlineStr">
        <is>
          <t>Yes</t>
        </is>
      </c>
    </row>
    <row r="874" ht="15" customHeight="1" s="37">
      <c r="A874" s="42" t="inlineStr">
        <is>
          <t>chopard imperiale iris malika</t>
        </is>
      </c>
      <c r="B874" s="42" t="inlineStr">
        <is>
          <t>chopard imperiale iris malika w edp 100ml</t>
        </is>
      </c>
      <c r="C874" s="42" t="n"/>
    </row>
    <row r="875" ht="15" customHeight="1" s="37">
      <c r="A875" s="42" t="inlineStr">
        <is>
          <t>chopard imperiale iris malika</t>
        </is>
      </c>
      <c r="B875" s="42" t="inlineStr">
        <is>
          <t>chopard imperiale iris malika 100ml</t>
        </is>
      </c>
      <c r="C875" s="42" t="inlineStr">
        <is>
          <t>Yes</t>
        </is>
      </c>
    </row>
    <row r="876" ht="15" customHeight="1" s="37">
      <c r="A876" s="42" t="inlineStr">
        <is>
          <t>chopard imperiale iris malika</t>
        </is>
      </c>
      <c r="B876" s="42" t="inlineStr">
        <is>
          <t>chopard imperiale iris malika notes</t>
        </is>
      </c>
      <c r="C876" s="42" t="n"/>
    </row>
    <row r="877" ht="15" customHeight="1" s="37">
      <c r="A877" s="42" t="inlineStr">
        <is>
          <t>chopard oud malaki</t>
        </is>
      </c>
      <c r="B877" s="42" t="inlineStr">
        <is>
          <t>chopard oud malaki</t>
        </is>
      </c>
      <c r="C877" s="42" t="inlineStr">
        <is>
          <t>Yes</t>
        </is>
      </c>
    </row>
    <row r="878" ht="15" customHeight="1" s="37">
      <c r="A878" s="42" t="inlineStr">
        <is>
          <t>chopard oud malaki</t>
        </is>
      </c>
      <c r="B878" s="42" t="inlineStr">
        <is>
          <t>chopard oud malaki price</t>
        </is>
      </c>
      <c r="C878" s="42" t="inlineStr">
        <is>
          <t>Yes</t>
        </is>
      </c>
    </row>
    <row r="879" ht="15" customHeight="1" s="37">
      <c r="A879" s="42" t="inlineStr">
        <is>
          <t>chopard oud malaki</t>
        </is>
      </c>
      <c r="B879" s="42" t="inlineStr">
        <is>
          <t>chopard oud malaki review</t>
        </is>
      </c>
      <c r="C879" s="42" t="inlineStr">
        <is>
          <t>Yes</t>
        </is>
      </c>
    </row>
    <row r="880" ht="15" customHeight="1" s="37">
      <c r="A880" s="42" t="inlineStr">
        <is>
          <t>chopard oud malaki</t>
        </is>
      </c>
      <c r="B880" s="42" t="inlineStr">
        <is>
          <t>chopard oud malaki notes</t>
        </is>
      </c>
      <c r="C880" s="42" t="inlineStr">
        <is>
          <t>Yes</t>
        </is>
      </c>
    </row>
    <row r="881" ht="15" customHeight="1" s="37">
      <c r="A881" s="42" t="inlineStr">
        <is>
          <t>chopard oud malaki</t>
        </is>
      </c>
      <c r="B881" s="42" t="inlineStr">
        <is>
          <t>chopard oud malaki perfume</t>
        </is>
      </c>
      <c r="C881" s="42" t="inlineStr">
        <is>
          <t>Yes</t>
        </is>
      </c>
    </row>
    <row r="882" ht="15" customHeight="1" s="37">
      <c r="A882" s="42" t="inlineStr">
        <is>
          <t>chopard oud malaki</t>
        </is>
      </c>
      <c r="B882" s="42" t="inlineStr">
        <is>
          <t>chopard oud malaki eau de parfum</t>
        </is>
      </c>
      <c r="C882" s="42" t="inlineStr">
        <is>
          <t>Yes</t>
        </is>
      </c>
    </row>
    <row r="883" ht="15" customHeight="1" s="37">
      <c r="A883" s="42" t="inlineStr">
        <is>
          <t>chopard oud malaki</t>
        </is>
      </c>
      <c r="B883" s="42" t="inlineStr">
        <is>
          <t>chopard oud malaki dupe</t>
        </is>
      </c>
      <c r="C883" s="42" t="inlineStr">
        <is>
          <t>Yes</t>
        </is>
      </c>
    </row>
    <row r="884" ht="15" customHeight="1" s="37">
      <c r="A884" s="42" t="inlineStr">
        <is>
          <t>chopard oud malaki</t>
        </is>
      </c>
      <c r="B884" s="42" t="inlineStr">
        <is>
          <t>chopard oud malaki price in pakistan</t>
        </is>
      </c>
      <c r="C884" s="42" t="n"/>
    </row>
    <row r="885" ht="15" customHeight="1" s="37">
      <c r="A885" s="42" t="inlineStr">
        <is>
          <t>chopard oud malaki</t>
        </is>
      </c>
      <c r="B885" s="42" t="inlineStr">
        <is>
          <t>chopard oud malaki decant</t>
        </is>
      </c>
      <c r="C885" s="42" t="n"/>
    </row>
    <row r="886" ht="15" customHeight="1" s="37">
      <c r="A886" s="42" t="inlineStr">
        <is>
          <t>chopard oud malaki</t>
        </is>
      </c>
      <c r="B886" s="42" t="inlineStr">
        <is>
          <t>chopard oud malaki edp</t>
        </is>
      </c>
      <c r="C886" s="42" t="n"/>
    </row>
    <row r="887" ht="15" customHeight="1" s="37">
      <c r="A887" s="42" t="inlineStr">
        <is>
          <t>chopard perfume</t>
        </is>
      </c>
      <c r="B887" s="42" t="inlineStr">
        <is>
          <t>chopard perfume</t>
        </is>
      </c>
      <c r="C887" s="42" t="inlineStr">
        <is>
          <t>Yes</t>
        </is>
      </c>
    </row>
    <row r="888" ht="15" customHeight="1" s="37">
      <c r="A888" s="42" t="inlineStr">
        <is>
          <t>chopard perfume</t>
        </is>
      </c>
      <c r="B888" s="42" t="inlineStr">
        <is>
          <t>chopard perfume women</t>
        </is>
      </c>
      <c r="C888" s="42" t="n"/>
    </row>
    <row r="889" ht="15" customHeight="1" s="37">
      <c r="A889" s="42" t="inlineStr">
        <is>
          <t>chopard perfume</t>
        </is>
      </c>
      <c r="B889" s="42" t="inlineStr">
        <is>
          <t>chopard perfume men</t>
        </is>
      </c>
      <c r="C889" s="42" t="n"/>
    </row>
    <row r="890" ht="15" customHeight="1" s="37">
      <c r="A890" s="42" t="inlineStr">
        <is>
          <t>chopard perfume</t>
        </is>
      </c>
      <c r="B890" s="42" t="inlineStr">
        <is>
          <t>chopard perfume price</t>
        </is>
      </c>
      <c r="C890" s="42" t="n"/>
    </row>
    <row r="891" ht="15" customHeight="1" s="37">
      <c r="A891" s="42" t="inlineStr">
        <is>
          <t>chopard perfume</t>
        </is>
      </c>
      <c r="B891" s="42" t="inlineStr">
        <is>
          <t>chopard perfume wish</t>
        </is>
      </c>
      <c r="C891" s="42" t="n"/>
    </row>
    <row r="892" ht="15" customHeight="1" s="37">
      <c r="A892" s="42" t="inlineStr">
        <is>
          <t>chopard perfume</t>
        </is>
      </c>
      <c r="B892" s="42" t="inlineStr">
        <is>
          <t>chopard perfume review</t>
        </is>
      </c>
      <c r="C892" s="42" t="n"/>
    </row>
    <row r="893" ht="15" customHeight="1" s="37">
      <c r="A893" s="42" t="inlineStr">
        <is>
          <t>chopard perfume</t>
        </is>
      </c>
      <c r="B893" s="42" t="inlineStr">
        <is>
          <t>chopard perfume happy spirit</t>
        </is>
      </c>
      <c r="C893" s="42" t="n"/>
    </row>
    <row r="894" ht="15" customHeight="1" s="37">
      <c r="A894" s="42" t="inlineStr">
        <is>
          <t>chopard perfume</t>
        </is>
      </c>
      <c r="B894" s="42" t="inlineStr">
        <is>
          <t>chopard perfume is from which country</t>
        </is>
      </c>
      <c r="C894" s="42" t="n"/>
    </row>
    <row r="895" ht="15" customHeight="1" s="37">
      <c r="A895" s="42" t="inlineStr">
        <is>
          <t>chopard perfume</t>
        </is>
      </c>
      <c r="B895" s="42" t="inlineStr">
        <is>
          <t>chopard perfume casmir</t>
        </is>
      </c>
      <c r="C895" s="42" t="n"/>
    </row>
    <row r="896" ht="15" customHeight="1" s="37">
      <c r="A896" s="42" t="inlineStr">
        <is>
          <t>chopard perfume</t>
        </is>
      </c>
      <c r="B896" s="42" t="inlineStr">
        <is>
          <t>chopard perfume price in pakistan</t>
        </is>
      </c>
      <c r="C896" s="42" t="n"/>
    </row>
    <row r="897" ht="15" customHeight="1" s="37">
      <c r="A897" s="42" t="inlineStr">
        <is>
          <t>chris adams perfume</t>
        </is>
      </c>
      <c r="B897" s="42" t="inlineStr">
        <is>
          <t>chris adams perfume</t>
        </is>
      </c>
      <c r="C897" s="42" t="inlineStr">
        <is>
          <t>Yes</t>
        </is>
      </c>
    </row>
    <row r="898" ht="15" customHeight="1" s="37">
      <c r="A898" s="42" t="inlineStr">
        <is>
          <t>chris adams perfume</t>
        </is>
      </c>
      <c r="B898" s="42" t="inlineStr">
        <is>
          <t>chris adams perfume price</t>
        </is>
      </c>
      <c r="C898" s="42" t="n"/>
    </row>
    <row r="899" ht="15" customHeight="1" s="37">
      <c r="A899" s="42" t="inlineStr">
        <is>
          <t>chris adams perfume</t>
        </is>
      </c>
      <c r="B899" s="42" t="inlineStr">
        <is>
          <t>chris adams perfume price in pakistan</t>
        </is>
      </c>
      <c r="C899" s="42" t="n"/>
    </row>
    <row r="900" ht="15" customHeight="1" s="37">
      <c r="A900" s="42" t="inlineStr">
        <is>
          <t>chris adams perfume</t>
        </is>
      </c>
      <c r="B900" s="42" t="inlineStr">
        <is>
          <t>chris adams perfume active man</t>
        </is>
      </c>
      <c r="C900" s="42" t="n"/>
    </row>
    <row r="901" ht="15" customHeight="1" s="37">
      <c r="A901" s="42" t="inlineStr">
        <is>
          <t>chris adams perfume</t>
        </is>
      </c>
      <c r="B901" s="42" t="inlineStr">
        <is>
          <t>chris adams perfumes for men</t>
        </is>
      </c>
      <c r="C901" s="42" t="n"/>
    </row>
    <row r="902" ht="15" customHeight="1" s="37">
      <c r="A902" s="42" t="inlineStr">
        <is>
          <t>chris adams perfume</t>
        </is>
      </c>
      <c r="B902" s="42" t="inlineStr">
        <is>
          <t>chris adams perfume active woman price</t>
        </is>
      </c>
      <c r="C902" s="42" t="n"/>
    </row>
    <row r="903" ht="15" customHeight="1" s="37">
      <c r="A903" s="42" t="inlineStr">
        <is>
          <t>chris adams perfume</t>
        </is>
      </c>
      <c r="B903" s="42" t="inlineStr">
        <is>
          <t>chris adams perfume price in bangladesh</t>
        </is>
      </c>
      <c r="C903" s="42" t="n"/>
    </row>
    <row r="904" ht="15" customHeight="1" s="37">
      <c r="A904" s="42" t="inlineStr">
        <is>
          <t>chris adams perfume</t>
        </is>
      </c>
      <c r="B904" s="42" t="inlineStr">
        <is>
          <t>chris adams perfumes price in kenya</t>
        </is>
      </c>
      <c r="C904" s="42" t="n"/>
    </row>
    <row r="905" ht="15" customHeight="1" s="37">
      <c r="A905" s="42" t="inlineStr">
        <is>
          <t>chris adams perfume</t>
        </is>
      </c>
      <c r="B905" s="42" t="inlineStr">
        <is>
          <t>chris adams perfume price in ghana</t>
        </is>
      </c>
      <c r="C905" s="42" t="n"/>
    </row>
    <row r="906" ht="15" customHeight="1" s="37">
      <c r="A906" s="42" t="inlineStr">
        <is>
          <t>chris adams perfume</t>
        </is>
      </c>
      <c r="B906" s="42" t="inlineStr">
        <is>
          <t>chris adams perfumes prices in uganda</t>
        </is>
      </c>
      <c r="C906" s="42" t="n"/>
    </row>
    <row r="907" ht="15" customHeight="1" s="37">
      <c r="A907" s="42" t="inlineStr">
        <is>
          <t>davidoff champion</t>
        </is>
      </c>
      <c r="B907" s="42" t="inlineStr">
        <is>
          <t>davidoff champion</t>
        </is>
      </c>
      <c r="C907" s="42" t="inlineStr">
        <is>
          <t>Yes</t>
        </is>
      </c>
    </row>
    <row r="908" ht="15" customHeight="1" s="37">
      <c r="A908" s="42" t="inlineStr">
        <is>
          <t>davidoff champion</t>
        </is>
      </c>
      <c r="B908" s="42" t="inlineStr">
        <is>
          <t>davidoff champion perfume</t>
        </is>
      </c>
      <c r="C908" s="42" t="inlineStr">
        <is>
          <t>Yes</t>
        </is>
      </c>
    </row>
    <row r="909" ht="15" customHeight="1" s="37">
      <c r="A909" s="42" t="inlineStr">
        <is>
          <t>davidoff champion</t>
        </is>
      </c>
      <c r="B909" s="42" t="inlineStr">
        <is>
          <t>davidoff champion price</t>
        </is>
      </c>
      <c r="C909" s="42" t="inlineStr">
        <is>
          <t>Yes</t>
        </is>
      </c>
    </row>
    <row r="910" ht="15" customHeight="1" s="37">
      <c r="A910" s="42" t="inlineStr">
        <is>
          <t>davidoff champion</t>
        </is>
      </c>
      <c r="B910" s="42" t="inlineStr">
        <is>
          <t>davidoff champion perfume price</t>
        </is>
      </c>
      <c r="C910" s="42" t="inlineStr">
        <is>
          <t>Yes</t>
        </is>
      </c>
    </row>
    <row r="911" ht="15" customHeight="1" s="37">
      <c r="A911" s="42" t="inlineStr">
        <is>
          <t>davidoff champion</t>
        </is>
      </c>
      <c r="B911" s="42" t="inlineStr">
        <is>
          <t>davidoff champion energy</t>
        </is>
      </c>
      <c r="C911" s="42" t="n"/>
    </row>
    <row r="912" ht="15" customHeight="1" s="37">
      <c r="A912" s="42" t="inlineStr">
        <is>
          <t>davidoff champion</t>
        </is>
      </c>
      <c r="B912" s="42" t="inlineStr">
        <is>
          <t>davidoff champion review</t>
        </is>
      </c>
      <c r="C912" s="42" t="inlineStr">
        <is>
          <t>Yes</t>
        </is>
      </c>
    </row>
    <row r="913" ht="15" customHeight="1" s="37">
      <c r="A913" s="42" t="inlineStr">
        <is>
          <t>davidoff champion</t>
        </is>
      </c>
      <c r="B913" s="42" t="inlineStr">
        <is>
          <t>davidoff champion notes</t>
        </is>
      </c>
      <c r="C913" s="42" t="inlineStr">
        <is>
          <t>Yes</t>
        </is>
      </c>
    </row>
    <row r="914" ht="15" customHeight="1" s="37">
      <c r="A914" s="42" t="inlineStr">
        <is>
          <t>davidoff champion</t>
        </is>
      </c>
      <c r="B914" s="42" t="inlineStr">
        <is>
          <t>davidoff champion 90ml</t>
        </is>
      </c>
      <c r="C914" s="42" t="inlineStr">
        <is>
          <t>Yes</t>
        </is>
      </c>
    </row>
    <row r="915" ht="15" customHeight="1" s="37">
      <c r="A915" s="42" t="inlineStr">
        <is>
          <t>davidoff champion</t>
        </is>
      </c>
      <c r="B915" s="42" t="inlineStr">
        <is>
          <t>davidoff champion perfume price in pakistan</t>
        </is>
      </c>
      <c r="C915" s="42" t="n"/>
    </row>
    <row r="916" ht="15" customHeight="1" s="37">
      <c r="A916" s="42" t="inlineStr">
        <is>
          <t>davidoff champion</t>
        </is>
      </c>
      <c r="B916" s="42" t="inlineStr">
        <is>
          <t>davidoff champion eau de toilette</t>
        </is>
      </c>
      <c r="C916" s="42" t="inlineStr">
        <is>
          <t>Yes</t>
        </is>
      </c>
    </row>
    <row r="917" ht="15" customHeight="1" s="37">
      <c r="A917" s="42" t="inlineStr">
        <is>
          <t>davidoff cool water reborn intense</t>
        </is>
      </c>
      <c r="B917" s="42" t="inlineStr">
        <is>
          <t>davidoff cool water reborn intense</t>
        </is>
      </c>
      <c r="C917" s="42" t="inlineStr">
        <is>
          <t>Yes</t>
        </is>
      </c>
    </row>
    <row r="918" ht="15" customHeight="1" s="37">
      <c r="A918" s="42" t="inlineStr">
        <is>
          <t>davidoff cool water reborn intense</t>
        </is>
      </c>
      <c r="B918" s="42" t="inlineStr">
        <is>
          <t>davidoff cool water reborn intense woman</t>
        </is>
      </c>
      <c r="C918" s="42" t="n"/>
    </row>
    <row r="919" ht="15" customHeight="1" s="37">
      <c r="A919" s="42" t="inlineStr">
        <is>
          <t>davidoff cool water reborn intense</t>
        </is>
      </c>
      <c r="B919" s="42" t="inlineStr">
        <is>
          <t>davidoff cool water reborn intense edp</t>
        </is>
      </c>
      <c r="C919" s="42" t="inlineStr">
        <is>
          <t>Yes</t>
        </is>
      </c>
    </row>
    <row r="920" ht="15" customHeight="1" s="37">
      <c r="A920" s="42" t="inlineStr">
        <is>
          <t>davidoff cool water reborn intense</t>
        </is>
      </c>
      <c r="B920" s="42" t="inlineStr">
        <is>
          <t>davidoff cool water reborn intense review</t>
        </is>
      </c>
      <c r="C920" s="42" t="inlineStr">
        <is>
          <t>Yes</t>
        </is>
      </c>
    </row>
    <row r="921" ht="15" customHeight="1" s="37">
      <c r="A921" s="42" t="inlineStr">
        <is>
          <t>davidoff cool water reborn intense</t>
        </is>
      </c>
      <c r="B921" s="42" t="inlineStr">
        <is>
          <t>davidoff cool water reborn intense notes</t>
        </is>
      </c>
      <c r="C921" s="42" t="inlineStr">
        <is>
          <t>Yes</t>
        </is>
      </c>
    </row>
    <row r="922" ht="15" customHeight="1" s="37">
      <c r="A922" s="42" t="inlineStr">
        <is>
          <t>davidoff cool water reborn intense</t>
        </is>
      </c>
      <c r="B922" s="42" t="inlineStr">
        <is>
          <t>davidoff cool water reborn intense eau de parfum</t>
        </is>
      </c>
      <c r="C922" s="42" t="inlineStr">
        <is>
          <t>Yes</t>
        </is>
      </c>
    </row>
    <row r="923" ht="15" customHeight="1" s="37">
      <c r="A923" s="42" t="inlineStr">
        <is>
          <t>davidoff cool water reborn intense</t>
        </is>
      </c>
      <c r="B923" s="42" t="inlineStr">
        <is>
          <t>davidoff cool water reborn intense woman review</t>
        </is>
      </c>
      <c r="C923" s="42" t="n"/>
    </row>
    <row r="924" ht="15" customHeight="1" s="37">
      <c r="A924" s="42" t="inlineStr">
        <is>
          <t>davidoff cool water reborn intense</t>
        </is>
      </c>
      <c r="B924" s="42" t="inlineStr">
        <is>
          <t>davidoff cool water reborn intense fragrantica</t>
        </is>
      </c>
      <c r="C924" s="42" t="n"/>
    </row>
    <row r="925" ht="15" customHeight="1" s="37">
      <c r="A925" s="42" t="inlineStr">
        <is>
          <t>davidoff cool water reborn intense</t>
        </is>
      </c>
      <c r="B925" s="42" t="inlineStr">
        <is>
          <t>davidoff cool water reborn intense women</t>
        </is>
      </c>
      <c r="C925" s="42" t="inlineStr">
        <is>
          <t>Yes</t>
        </is>
      </c>
    </row>
    <row r="926" ht="15" customHeight="1" s="37">
      <c r="A926" s="42" t="inlineStr">
        <is>
          <t>davidoff cool water reborn intense</t>
        </is>
      </c>
      <c r="B926" s="42" t="inlineStr">
        <is>
          <t>davidoff cool water reborn intense 100 ml</t>
        </is>
      </c>
      <c r="C926" s="42" t="inlineStr">
        <is>
          <t>Yes</t>
        </is>
      </c>
    </row>
    <row r="927" ht="15" customHeight="1" s="37">
      <c r="A927" s="42" t="inlineStr">
        <is>
          <t>davidoff indigo</t>
        </is>
      </c>
      <c r="B927" s="42" t="inlineStr">
        <is>
          <t>davidoff indigo</t>
        </is>
      </c>
      <c r="C927" s="42" t="inlineStr">
        <is>
          <t>Yes</t>
        </is>
      </c>
    </row>
    <row r="928" ht="15" customHeight="1" s="37">
      <c r="A928" s="42" t="inlineStr">
        <is>
          <t>davidoff indigo</t>
        </is>
      </c>
      <c r="B928" s="42" t="inlineStr">
        <is>
          <t>davidoff indigo price</t>
        </is>
      </c>
      <c r="C928" s="42" t="inlineStr">
        <is>
          <t>Yes</t>
        </is>
      </c>
    </row>
    <row r="929" ht="15" customHeight="1" s="37">
      <c r="A929" s="42" t="inlineStr">
        <is>
          <t>davidoff indigo</t>
        </is>
      </c>
      <c r="B929" s="42" t="inlineStr">
        <is>
          <t>davidoff indigo perfume</t>
        </is>
      </c>
      <c r="C929" s="42" t="inlineStr">
        <is>
          <t>Yes</t>
        </is>
      </c>
    </row>
    <row r="930" ht="15" customHeight="1" s="37">
      <c r="A930" s="42" t="inlineStr">
        <is>
          <t>davidoff indigo</t>
        </is>
      </c>
      <c r="B930" s="42" t="inlineStr">
        <is>
          <t>davidoff indigo 60ml price</t>
        </is>
      </c>
      <c r="C930" s="42" t="inlineStr">
        <is>
          <t>Yes</t>
        </is>
      </c>
    </row>
    <row r="931" ht="15" customHeight="1" s="37">
      <c r="A931" s="42" t="inlineStr">
        <is>
          <t>davidoff indigo</t>
        </is>
      </c>
      <c r="B931" s="42" t="inlineStr">
        <is>
          <t>davidoff indigo price in india</t>
        </is>
      </c>
      <c r="C931" s="42" t="n"/>
    </row>
    <row r="932" ht="15" customHeight="1" s="37">
      <c r="A932" s="42" t="inlineStr">
        <is>
          <t>davidoff indigo</t>
        </is>
      </c>
      <c r="B932" s="42" t="inlineStr">
        <is>
          <t>davidoff indigo 60ml</t>
        </is>
      </c>
      <c r="C932" s="42" t="inlineStr">
        <is>
          <t>Yes</t>
        </is>
      </c>
    </row>
    <row r="933" ht="15" customHeight="1" s="37">
      <c r="A933" s="42" t="inlineStr">
        <is>
          <t>davidoff indigo</t>
        </is>
      </c>
      <c r="B933" s="42" t="inlineStr">
        <is>
          <t>davidoff indigo review</t>
        </is>
      </c>
      <c r="C933" s="42" t="inlineStr">
        <is>
          <t>Yes</t>
        </is>
      </c>
    </row>
    <row r="934" ht="15" customHeight="1" s="37">
      <c r="A934" s="42" t="inlineStr">
        <is>
          <t>davidoff indigo</t>
        </is>
      </c>
      <c r="B934" s="42" t="inlineStr">
        <is>
          <t>davidoff indigo eau de toilette</t>
        </is>
      </c>
      <c r="C934" s="42" t="inlineStr">
        <is>
          <t>Yes</t>
        </is>
      </c>
    </row>
    <row r="935" ht="15" customHeight="1" s="37">
      <c r="A935" s="42" t="inlineStr">
        <is>
          <t>davidoff indigo</t>
        </is>
      </c>
      <c r="B935" s="42" t="inlineStr">
        <is>
          <t>davidoff indigo perfume price</t>
        </is>
      </c>
      <c r="C935" s="42" t="inlineStr">
        <is>
          <t>Yes</t>
        </is>
      </c>
    </row>
    <row r="936" ht="15" customHeight="1" s="37">
      <c r="A936" s="42" t="inlineStr">
        <is>
          <t>davidoff indigo</t>
        </is>
      </c>
      <c r="B936" s="42" t="inlineStr">
        <is>
          <t>davidoff indigo perfume price in india</t>
        </is>
      </c>
      <c r="C936" s="42" t="n"/>
    </row>
    <row r="937" ht="15" customHeight="1" s="37">
      <c r="A937" s="42" t="inlineStr">
        <is>
          <t>davidoff perfume</t>
        </is>
      </c>
      <c r="B937" s="42" t="inlineStr">
        <is>
          <t>davidoff perfume</t>
        </is>
      </c>
      <c r="C937" s="42" t="inlineStr">
        <is>
          <t>Yes</t>
        </is>
      </c>
    </row>
    <row r="938" ht="15" customHeight="1" s="37">
      <c r="A938" s="42" t="inlineStr">
        <is>
          <t>davidoff perfume</t>
        </is>
      </c>
      <c r="B938" s="42" t="inlineStr">
        <is>
          <t>davidoff perfume for men</t>
        </is>
      </c>
      <c r="C938" s="42" t="inlineStr">
        <is>
          <t>Yes</t>
        </is>
      </c>
    </row>
    <row r="939" ht="15" customHeight="1" s="37">
      <c r="A939" s="42" t="inlineStr">
        <is>
          <t>davidoff perfume</t>
        </is>
      </c>
      <c r="B939" s="42" t="inlineStr">
        <is>
          <t>davidoff perfume for women</t>
        </is>
      </c>
      <c r="C939" s="42" t="inlineStr">
        <is>
          <t>Yes</t>
        </is>
      </c>
    </row>
    <row r="940" ht="15" customHeight="1" s="37">
      <c r="A940" s="42" t="inlineStr">
        <is>
          <t>davidoff perfume</t>
        </is>
      </c>
      <c r="B940" s="42" t="inlineStr">
        <is>
          <t>davidoff perfume price</t>
        </is>
      </c>
      <c r="C940" s="42" t="n"/>
    </row>
    <row r="941" ht="15" customHeight="1" s="37">
      <c r="A941" s="42" t="inlineStr">
        <is>
          <t>davidoff perfume</t>
        </is>
      </c>
      <c r="B941" s="42" t="inlineStr">
        <is>
          <t>davidoff perfume cool water</t>
        </is>
      </c>
      <c r="C941" s="42" t="n"/>
    </row>
    <row r="942" ht="15" customHeight="1" s="37">
      <c r="A942" s="42" t="inlineStr">
        <is>
          <t>davidoff perfume</t>
        </is>
      </c>
      <c r="B942" s="42" t="inlineStr">
        <is>
          <t>davidoff perfume price in pakistan</t>
        </is>
      </c>
      <c r="C942" s="42" t="n"/>
    </row>
    <row r="943" ht="15" customHeight="1" s="37">
      <c r="A943" s="42" t="inlineStr">
        <is>
          <t>davidoff perfume</t>
        </is>
      </c>
      <c r="B943" s="42" t="inlineStr">
        <is>
          <t>davidoff perfume which country brand</t>
        </is>
      </c>
      <c r="C943" s="42" t="n"/>
    </row>
    <row r="944" ht="15" customHeight="1" s="37">
      <c r="A944" s="42" t="inlineStr">
        <is>
          <t>davidoff perfume</t>
        </is>
      </c>
      <c r="B944" s="42" t="inlineStr">
        <is>
          <t>davidoff perfume original</t>
        </is>
      </c>
      <c r="C944" s="42" t="n"/>
    </row>
    <row r="945" ht="15" customHeight="1" s="37">
      <c r="A945" s="42" t="inlineStr">
        <is>
          <t>davidoff perfume</t>
        </is>
      </c>
      <c r="B945" s="42" t="inlineStr">
        <is>
          <t>davidoff perfume cool elixir</t>
        </is>
      </c>
      <c r="C945" s="42" t="n"/>
    </row>
    <row r="946" ht="15" customHeight="1" s="37">
      <c r="A946" s="42" t="inlineStr">
        <is>
          <t>davidoff perfume</t>
        </is>
      </c>
      <c r="B946" s="42" t="inlineStr">
        <is>
          <t>davidoff perfume price in bangladesh</t>
        </is>
      </c>
      <c r="C946" s="42" t="n"/>
    </row>
    <row r="947" ht="15" customHeight="1" s="37">
      <c r="A947" s="42" t="inlineStr">
        <is>
          <t>davidoff the game</t>
        </is>
      </c>
      <c r="B947" s="42" t="inlineStr">
        <is>
          <t>davidoff the game</t>
        </is>
      </c>
      <c r="C947" s="42" t="inlineStr">
        <is>
          <t>Yes</t>
        </is>
      </c>
    </row>
    <row r="948" ht="15" customHeight="1" s="37">
      <c r="A948" s="42" t="inlineStr">
        <is>
          <t>davidoff the game</t>
        </is>
      </c>
      <c r="B948" s="42" t="inlineStr">
        <is>
          <t>davidoff the game perfume</t>
        </is>
      </c>
      <c r="C948" s="42" t="inlineStr">
        <is>
          <t>Yes</t>
        </is>
      </c>
    </row>
    <row r="949" ht="15" customHeight="1" s="37">
      <c r="A949" s="42" t="inlineStr">
        <is>
          <t>davidoff the game</t>
        </is>
      </c>
      <c r="B949" s="42" t="inlineStr">
        <is>
          <t>davidoff the game 100ml</t>
        </is>
      </c>
      <c r="C949" s="42" t="inlineStr">
        <is>
          <t>Yes</t>
        </is>
      </c>
    </row>
    <row r="950" ht="15" customHeight="1" s="37">
      <c r="A950" s="42" t="inlineStr">
        <is>
          <t>davidoff the game</t>
        </is>
      </c>
      <c r="B950" s="42" t="inlineStr">
        <is>
          <t>davidoff the game review</t>
        </is>
      </c>
      <c r="C950" s="42" t="inlineStr">
        <is>
          <t>Yes</t>
        </is>
      </c>
    </row>
    <row r="951" ht="15" customHeight="1" s="37">
      <c r="A951" s="42" t="inlineStr">
        <is>
          <t>davidoff the game</t>
        </is>
      </c>
      <c r="B951" s="42" t="inlineStr">
        <is>
          <t>davidoff the game intense</t>
        </is>
      </c>
      <c r="C951" s="42" t="n"/>
    </row>
    <row r="952" ht="15" customHeight="1" s="37">
      <c r="A952" s="42" t="inlineStr">
        <is>
          <t>davidoff the game</t>
        </is>
      </c>
      <c r="B952" s="42" t="inlineStr">
        <is>
          <t>davidoff the game price</t>
        </is>
      </c>
      <c r="C952" s="42" t="inlineStr">
        <is>
          <t>Yes</t>
        </is>
      </c>
    </row>
    <row r="953" ht="15" customHeight="1" s="37">
      <c r="A953" s="42" t="inlineStr">
        <is>
          <t>davidoff the game</t>
        </is>
      </c>
      <c r="B953" s="42" t="inlineStr">
        <is>
          <t>davidoff the game perfume price</t>
        </is>
      </c>
      <c r="C953" s="42" t="inlineStr">
        <is>
          <t>Yes</t>
        </is>
      </c>
    </row>
    <row r="954" ht="15" customHeight="1" s="37">
      <c r="A954" s="42" t="inlineStr">
        <is>
          <t>davidoff the game</t>
        </is>
      </c>
      <c r="B954" s="42" t="inlineStr">
        <is>
          <t>davidoff the game edt</t>
        </is>
      </c>
      <c r="C954" s="42" t="inlineStr">
        <is>
          <t>Yes</t>
        </is>
      </c>
    </row>
    <row r="955" ht="15" customHeight="1" s="37">
      <c r="A955" s="42" t="inlineStr">
        <is>
          <t>davidoff the game</t>
        </is>
      </c>
      <c r="B955" s="42" t="inlineStr">
        <is>
          <t>davidoff the game perfume review</t>
        </is>
      </c>
      <c r="C955" s="42" t="n"/>
    </row>
    <row r="956" ht="15" customHeight="1" s="37">
      <c r="A956" s="42" t="inlineStr">
        <is>
          <t>davidoff the game</t>
        </is>
      </c>
      <c r="B956" s="42" t="inlineStr">
        <is>
          <t>davidoff the game notes</t>
        </is>
      </c>
      <c r="C956" s="42" t="n"/>
    </row>
    <row r="957" ht="15" customHeight="1" s="37">
      <c r="A957" s="42" t="inlineStr">
        <is>
          <t>deyga</t>
        </is>
      </c>
      <c r="B957" s="42" t="inlineStr">
        <is>
          <t>deyga</t>
        </is>
      </c>
      <c r="C957" s="42" t="inlineStr">
        <is>
          <t>Yes</t>
        </is>
      </c>
    </row>
    <row r="958" ht="15" customHeight="1" s="37">
      <c r="A958" s="42" t="inlineStr">
        <is>
          <t>deyga</t>
        </is>
      </c>
      <c r="B958" s="42" t="inlineStr">
        <is>
          <t>deyga beetroot lip balm</t>
        </is>
      </c>
      <c r="C958" s="42" t="inlineStr">
        <is>
          <t>Yes</t>
        </is>
      </c>
    </row>
    <row r="959" ht="15" customHeight="1" s="37">
      <c r="A959" s="42" t="inlineStr">
        <is>
          <t>deyga</t>
        </is>
      </c>
      <c r="B959" s="42" t="inlineStr">
        <is>
          <t>deyga lip balm</t>
        </is>
      </c>
      <c r="C959" s="42" t="inlineStr">
        <is>
          <t>Yes</t>
        </is>
      </c>
    </row>
    <row r="960" ht="15" customHeight="1" s="37">
      <c r="A960" s="42" t="inlineStr">
        <is>
          <t>deyga</t>
        </is>
      </c>
      <c r="B960" s="42" t="inlineStr">
        <is>
          <t>deyga organics</t>
        </is>
      </c>
      <c r="C960" s="42" t="inlineStr">
        <is>
          <t>Yes</t>
        </is>
      </c>
    </row>
    <row r="961" ht="15" customHeight="1" s="37">
      <c r="A961" s="42" t="inlineStr">
        <is>
          <t>deyga</t>
        </is>
      </c>
      <c r="B961" s="42" t="inlineStr">
        <is>
          <t>deyga hair color</t>
        </is>
      </c>
      <c r="C961" s="42" t="inlineStr">
        <is>
          <t>Yes</t>
        </is>
      </c>
    </row>
    <row r="962" ht="15" customHeight="1" s="37">
      <c r="A962" s="42" t="inlineStr">
        <is>
          <t>deyga</t>
        </is>
      </c>
      <c r="B962" s="42" t="inlineStr">
        <is>
          <t>deyga shampoo</t>
        </is>
      </c>
      <c r="C962" s="42" t="inlineStr">
        <is>
          <t>Yes</t>
        </is>
      </c>
    </row>
    <row r="963" ht="15" customHeight="1" s="37">
      <c r="A963" s="42" t="inlineStr">
        <is>
          <t>deyga</t>
        </is>
      </c>
      <c r="B963" s="42" t="inlineStr">
        <is>
          <t>deyga products</t>
        </is>
      </c>
      <c r="C963" s="42" t="inlineStr">
        <is>
          <t>Yes</t>
        </is>
      </c>
    </row>
    <row r="964" ht="15" customHeight="1" s="37">
      <c r="A964" s="42" t="inlineStr">
        <is>
          <t>deyga</t>
        </is>
      </c>
      <c r="B964" s="42" t="inlineStr">
        <is>
          <t>deyga hair dye</t>
        </is>
      </c>
      <c r="C964" s="42" t="inlineStr">
        <is>
          <t>Yes</t>
        </is>
      </c>
    </row>
    <row r="965" ht="15" customHeight="1" s="37">
      <c r="A965" s="42" t="inlineStr">
        <is>
          <t>deyga</t>
        </is>
      </c>
      <c r="B965" s="42" t="inlineStr">
        <is>
          <t>deyga charcoal soap</t>
        </is>
      </c>
      <c r="C965" s="42" t="inlineStr">
        <is>
          <t>Yes</t>
        </is>
      </c>
    </row>
    <row r="966" ht="15" customHeight="1" s="37">
      <c r="A966" s="42" t="inlineStr">
        <is>
          <t>deyga</t>
        </is>
      </c>
      <c r="B966" s="42" t="inlineStr">
        <is>
          <t>deyga hair removal powder</t>
        </is>
      </c>
      <c r="C966" s="42" t="inlineStr">
        <is>
          <t>Yes</t>
        </is>
      </c>
    </row>
    <row r="967" ht="15" customHeight="1" s="37">
      <c r="A967" s="42" t="inlineStr">
        <is>
          <t>deyga 10% vitamin c face serum</t>
        </is>
      </c>
      <c r="B967" s="42" t="inlineStr">
        <is>
          <t>deyga 10 vitamin c face serum</t>
        </is>
      </c>
      <c r="C967" s="42" t="inlineStr">
        <is>
          <t>Yes</t>
        </is>
      </c>
    </row>
    <row r="968" ht="15" customHeight="1" s="37">
      <c r="A968" s="42" t="inlineStr">
        <is>
          <t>deyga 10% vitamin c face serum</t>
        </is>
      </c>
      <c r="B968" s="42" t="inlineStr">
        <is>
          <t>brand &amp; product vitamin c strength deyga – 10 vitamin c face serum</t>
        </is>
      </c>
      <c r="C968" s="42" t="n"/>
    </row>
    <row r="969" ht="15" customHeight="1" s="37">
      <c r="A969" s="42" t="inlineStr">
        <is>
          <t>deyga 10% vitamin c face serum</t>
        </is>
      </c>
      <c r="B969" s="42" t="inlineStr">
        <is>
          <t>is 10 vitamin c serum effective</t>
        </is>
      </c>
      <c r="C969" s="42" t="n"/>
    </row>
    <row r="970" ht="15" customHeight="1" s="37">
      <c r="A970" s="42" t="inlineStr">
        <is>
          <t>deyga 10% vitamin c face serum</t>
        </is>
      </c>
      <c r="B970" s="42" t="inlineStr">
        <is>
          <t>is vitamin c face serum good for skin</t>
        </is>
      </c>
      <c r="C970" s="42" t="n"/>
    </row>
    <row r="971" ht="15" customHeight="1" s="37">
      <c r="A971" s="42" t="inlineStr">
        <is>
          <t>deyga 10% vitamin c face serum</t>
        </is>
      </c>
      <c r="B971" s="42" t="inlineStr">
        <is>
          <t>what are the best vitamin c serums for face</t>
        </is>
      </c>
      <c r="C971" s="42" t="n"/>
    </row>
    <row r="972" ht="15" customHeight="1" s="37">
      <c r="A972" s="42" t="inlineStr">
        <is>
          <t>deyga 10% vitamin c face serum</t>
        </is>
      </c>
      <c r="B972" s="42" t="inlineStr">
        <is>
          <t>10 vitamin c serum benefits</t>
        </is>
      </c>
      <c r="C972" s="42" t="n"/>
    </row>
    <row r="973" ht="15" customHeight="1" s="37">
      <c r="A973" s="42" t="inlineStr">
        <is>
          <t>deyga almond milk body lotion</t>
        </is>
      </c>
      <c r="B973" s="42" t="inlineStr">
        <is>
          <t>deyga almond milk body lotion</t>
        </is>
      </c>
      <c r="C973" s="42" t="inlineStr">
        <is>
          <t>Yes</t>
        </is>
      </c>
    </row>
    <row r="974" ht="15" customHeight="1" s="37">
      <c r="A974" s="42" t="inlineStr">
        <is>
          <t>deyga almond milk body lotion</t>
        </is>
      </c>
      <c r="B974" s="42" t="inlineStr">
        <is>
          <t>almond milk lotion benefits</t>
        </is>
      </c>
      <c r="C974" s="42" t="n"/>
    </row>
    <row r="975" ht="15" customHeight="1" s="37">
      <c r="A975" s="42" t="inlineStr">
        <is>
          <t>deyga almond milk body lotion</t>
        </is>
      </c>
      <c r="B975" s="42" t="inlineStr">
        <is>
          <t>is nivea body milk a lotion</t>
        </is>
      </c>
      <c r="C975" s="42" t="n"/>
    </row>
    <row r="976" ht="15" customHeight="1" s="37">
      <c r="A976" s="42" t="inlineStr">
        <is>
          <t>deyga almond milk body lotion</t>
        </is>
      </c>
      <c r="B976" s="42" t="inlineStr">
        <is>
          <t>best body lotion for dry dehydrated skin</t>
        </is>
      </c>
      <c r="C976" s="42" t="n"/>
    </row>
    <row r="977" ht="15" customHeight="1" s="37">
      <c r="A977" s="42" t="inlineStr">
        <is>
          <t>deyga anti dandruff shampoo</t>
        </is>
      </c>
      <c r="B977" s="42" t="inlineStr">
        <is>
          <t>deyga anti dandruff shampoo</t>
        </is>
      </c>
      <c r="C977" s="42" t="inlineStr">
        <is>
          <t>Yes</t>
        </is>
      </c>
    </row>
    <row r="978" ht="15" customHeight="1" s="37">
      <c r="A978" s="42" t="inlineStr">
        <is>
          <t>deyga anti dandruff shampoo</t>
        </is>
      </c>
      <c r="B978" s="42" t="inlineStr">
        <is>
          <t>deyga anti dandruff shampoo review</t>
        </is>
      </c>
      <c r="C978" s="42" t="inlineStr">
        <is>
          <t>Yes</t>
        </is>
      </c>
    </row>
    <row r="979" ht="15" customHeight="1" s="37">
      <c r="A979" s="42" t="inlineStr">
        <is>
          <t>deyga anti dandruff shampoo</t>
        </is>
      </c>
      <c r="B979" s="42" t="inlineStr">
        <is>
          <t>deyga anti dandruff shampoo and conditioner</t>
        </is>
      </c>
      <c r="C979" s="42" t="n"/>
    </row>
    <row r="980" ht="15" customHeight="1" s="37">
      <c r="A980" s="42" t="inlineStr">
        <is>
          <t>deyga anti dandruff shampoo</t>
        </is>
      </c>
      <c r="B980" s="42" t="inlineStr">
        <is>
          <t>deyga anti dandruff shampoo side effects</t>
        </is>
      </c>
      <c r="C980" s="42" t="n"/>
    </row>
    <row r="981" ht="15" customHeight="1" s="37">
      <c r="A981" s="42" t="inlineStr">
        <is>
          <t>deyga anti dandruff shampoo</t>
        </is>
      </c>
      <c r="B981" s="42" t="inlineStr">
        <is>
          <t>deyga organics anti dandruff shampoo</t>
        </is>
      </c>
      <c r="C981" s="42" t="n"/>
    </row>
    <row r="982" ht="15" customHeight="1" s="37">
      <c r="A982" s="42" t="inlineStr">
        <is>
          <t>deyga anti dandruff shampoo</t>
        </is>
      </c>
      <c r="B982" s="42" t="inlineStr">
        <is>
          <t>is deyga anti dandruff shampoo good</t>
        </is>
      </c>
      <c r="C982" s="42" t="n"/>
    </row>
    <row r="983" ht="15" customHeight="1" s="37">
      <c r="A983" s="42" t="inlineStr">
        <is>
          <t>deyga anti dandruff shampoo</t>
        </is>
      </c>
      <c r="B983" s="42" t="inlineStr">
        <is>
          <t>product key ingredients deyga anti dandruff shampoo</t>
        </is>
      </c>
      <c r="C983" s="42" t="n"/>
    </row>
    <row r="984" ht="15" customHeight="1" s="37">
      <c r="A984" s="42" t="inlineStr">
        <is>
          <t>deyga anti dandruff shampoo</t>
        </is>
      </c>
      <c r="B984" s="42" t="inlineStr">
        <is>
          <t>deyga intensive scalp repair anti dandruff shampoo</t>
        </is>
      </c>
      <c r="C984" s="42" t="n"/>
    </row>
    <row r="985" ht="15" customHeight="1" s="37">
      <c r="A985" s="42" t="inlineStr">
        <is>
          <t>deyga anti dandruff shampoo</t>
        </is>
      </c>
      <c r="B985" s="42" t="inlineStr">
        <is>
          <t>how to use deyga anti dandruff shampoo</t>
        </is>
      </c>
      <c r="C985" s="42" t="inlineStr">
        <is>
          <t>Yes</t>
        </is>
      </c>
    </row>
    <row r="986" ht="15" customHeight="1" s="37">
      <c r="A986" s="42" t="inlineStr">
        <is>
          <t>deyga anti dandruff shampoo</t>
        </is>
      </c>
      <c r="B986" s="42" t="inlineStr">
        <is>
          <t>is anti dandruff shampoo good for dry scalp</t>
        </is>
      </c>
      <c r="C986" s="42" t="n"/>
    </row>
    <row r="987" ht="15" customHeight="1" s="37">
      <c r="A987" s="42" t="inlineStr">
        <is>
          <t>deyga anti-dandruff oil</t>
        </is>
      </c>
      <c r="B987" s="42" t="inlineStr">
        <is>
          <t>deyga anti dandruff oil</t>
        </is>
      </c>
      <c r="C987" s="42" t="inlineStr">
        <is>
          <t>Yes</t>
        </is>
      </c>
    </row>
    <row r="988" ht="15" customHeight="1" s="37">
      <c r="A988" s="42" t="inlineStr">
        <is>
          <t>deyga anti-dandruff oil</t>
        </is>
      </c>
      <c r="B988" s="42" t="inlineStr">
        <is>
          <t>deyga anti dandruff oil review</t>
        </is>
      </c>
      <c r="C988" s="42" t="inlineStr">
        <is>
          <t>Yes</t>
        </is>
      </c>
    </row>
    <row r="989" ht="15" customHeight="1" s="37">
      <c r="A989" s="42" t="inlineStr">
        <is>
          <t>deyga anti-dandruff oil</t>
        </is>
      </c>
      <c r="B989" s="42" t="inlineStr">
        <is>
          <t>deyga anti dandruff hair oil</t>
        </is>
      </c>
      <c r="C989" s="42" t="n"/>
    </row>
    <row r="990" ht="15" customHeight="1" s="37">
      <c r="A990" s="42" t="inlineStr">
        <is>
          <t>deyga anti-dandruff oil</t>
        </is>
      </c>
      <c r="B990" s="42" t="inlineStr">
        <is>
          <t>oil to remove dandruff</t>
        </is>
      </c>
      <c r="C990" s="42" t="n"/>
    </row>
    <row r="991" ht="15" customHeight="1" s="37">
      <c r="A991" s="42" t="inlineStr">
        <is>
          <t>deyga anti-dandruff oil</t>
        </is>
      </c>
      <c r="B991" s="42" t="inlineStr">
        <is>
          <t>oil causes dandruff</t>
        </is>
      </c>
      <c r="C991" s="42" t="n"/>
    </row>
    <row r="992" ht="15" customHeight="1" s="37">
      <c r="A992" s="42" t="inlineStr">
        <is>
          <t>deyga anti-dandruff oil</t>
        </is>
      </c>
      <c r="B992" s="42" t="inlineStr">
        <is>
          <t>what causes dandruff on oily scalp</t>
        </is>
      </c>
      <c r="C992" s="42" t="n"/>
    </row>
    <row r="993" ht="15" customHeight="1" s="37">
      <c r="A993" s="42" t="inlineStr">
        <is>
          <t>deyga baby bath bar</t>
        </is>
      </c>
      <c r="B993" s="42" t="inlineStr">
        <is>
          <t>deyga baby bath bar</t>
        </is>
      </c>
      <c r="C993" s="42" t="inlineStr">
        <is>
          <t>Yes</t>
        </is>
      </c>
    </row>
    <row r="994" ht="15" customHeight="1" s="37">
      <c r="A994" s="42" t="inlineStr">
        <is>
          <t>deyga baby bath bar</t>
        </is>
      </c>
      <c r="B994" s="42" t="inlineStr">
        <is>
          <t>baby bath products to avoid</t>
        </is>
      </c>
      <c r="C994" s="42" t="n"/>
    </row>
    <row r="995" ht="15" customHeight="1" s="37">
      <c r="A995" s="42" t="inlineStr">
        <is>
          <t>deyga beautifying serum</t>
        </is>
      </c>
      <c r="B995" s="42" t="inlineStr">
        <is>
          <t>deyga beautifying serum</t>
        </is>
      </c>
      <c r="C995" s="42" t="inlineStr">
        <is>
          <t>Yes</t>
        </is>
      </c>
    </row>
    <row r="996" ht="15" customHeight="1" s="37">
      <c r="A996" s="42" t="inlineStr">
        <is>
          <t>deyga beautifying serum</t>
        </is>
      </c>
      <c r="B996" s="42" t="inlineStr">
        <is>
          <t>deyga beautifying serum review</t>
        </is>
      </c>
      <c r="C996" s="42" t="inlineStr">
        <is>
          <t>Yes</t>
        </is>
      </c>
    </row>
    <row r="997" ht="15" customHeight="1" s="37">
      <c r="A997" s="42" t="inlineStr">
        <is>
          <t>deyga beautifying serum</t>
        </is>
      </c>
      <c r="B997" s="42" t="inlineStr">
        <is>
          <t>deyga beautifying serum benefits</t>
        </is>
      </c>
      <c r="C997" s="42" t="inlineStr">
        <is>
          <t>Yes</t>
        </is>
      </c>
    </row>
    <row r="998" ht="15" customHeight="1" s="37">
      <c r="A998" s="42" t="inlineStr">
        <is>
          <t>deyga beautifying serum</t>
        </is>
      </c>
      <c r="B998" s="42" t="inlineStr">
        <is>
          <t>deyga beauty serum review</t>
        </is>
      </c>
      <c r="C998" s="42" t="n"/>
    </row>
    <row r="999" ht="15" customHeight="1" s="37">
      <c r="A999" s="42" t="inlineStr">
        <is>
          <t>deyga beautifying serum</t>
        </is>
      </c>
      <c r="B999" s="42" t="inlineStr">
        <is>
          <t>deyga beauty serum</t>
        </is>
      </c>
      <c r="C999" s="42" t="n"/>
    </row>
    <row r="1000" ht="15" customHeight="1" s="37">
      <c r="A1000" s="42" t="inlineStr">
        <is>
          <t>deyga beautifying serum</t>
        </is>
      </c>
      <c r="B1000" s="42" t="inlineStr">
        <is>
          <t>deyga organics beautifying serum</t>
        </is>
      </c>
      <c r="C1000" s="42" t="n"/>
    </row>
    <row r="1001" ht="15" customHeight="1" s="37">
      <c r="A1001" s="42" t="inlineStr">
        <is>
          <t>deyga beetroot lip balm classic</t>
        </is>
      </c>
      <c r="B1001" s="42" t="inlineStr">
        <is>
          <t>deyga beetroot lip balm classic</t>
        </is>
      </c>
      <c r="C1001" s="42" t="inlineStr">
        <is>
          <t>Yes</t>
        </is>
      </c>
    </row>
    <row r="1002" ht="15" customHeight="1" s="37">
      <c r="A1002" s="42" t="inlineStr">
        <is>
          <t>deyga beetroot lip balm classic</t>
        </is>
      </c>
      <c r="B1002" s="42" t="inlineStr">
        <is>
          <t>deyga beetroot lip balm review</t>
        </is>
      </c>
      <c r="C1002" s="42" t="inlineStr">
        <is>
          <t>Yes</t>
        </is>
      </c>
    </row>
    <row r="1003" ht="15" customHeight="1" s="37">
      <c r="A1003" s="42" t="inlineStr">
        <is>
          <t>deyga beetroot lip balm stick</t>
        </is>
      </c>
      <c r="B1003" s="42" t="inlineStr">
        <is>
          <t>deyga beetroot lip balm stick</t>
        </is>
      </c>
      <c r="C1003" s="42" t="inlineStr">
        <is>
          <t>Yes</t>
        </is>
      </c>
    </row>
    <row r="1004" ht="15" customHeight="1" s="37">
      <c r="A1004" s="42" t="inlineStr">
        <is>
          <t>deyga beetroot lip balm stick</t>
        </is>
      </c>
      <c r="B1004" s="42" t="inlineStr">
        <is>
          <t>deyga beetroot lip balm stick review</t>
        </is>
      </c>
      <c r="C1004" s="42" t="inlineStr">
        <is>
          <t>Yes</t>
        </is>
      </c>
    </row>
    <row r="1005" ht="15" customHeight="1" s="37">
      <c r="A1005" s="42" t="inlineStr">
        <is>
          <t>deyga beetroot lip balm stick</t>
        </is>
      </c>
      <c r="B1005" s="42" t="inlineStr">
        <is>
          <t>deyga beetroot lip balm review</t>
        </is>
      </c>
      <c r="C1005" s="42" t="inlineStr">
        <is>
          <t>Yes</t>
        </is>
      </c>
    </row>
    <row r="1006" ht="15" customHeight="1" s="37">
      <c r="A1006" s="42" t="inlineStr">
        <is>
          <t>deyga body scrub</t>
        </is>
      </c>
      <c r="B1006" s="42" t="inlineStr">
        <is>
          <t>deyga body scrub</t>
        </is>
      </c>
      <c r="C1006" s="42" t="inlineStr">
        <is>
          <t>Yes</t>
        </is>
      </c>
    </row>
    <row r="1007" ht="15" customHeight="1" s="37">
      <c r="A1007" s="42" t="inlineStr">
        <is>
          <t>deyga body scrub</t>
        </is>
      </c>
      <c r="B1007" s="42" t="inlineStr">
        <is>
          <t>deyga body wash</t>
        </is>
      </c>
      <c r="C1007" s="42" t="inlineStr">
        <is>
          <t>Yes</t>
        </is>
      </c>
    </row>
    <row r="1008" ht="15" customHeight="1" s="37">
      <c r="A1008" s="42" t="inlineStr">
        <is>
          <t>deyga body scrub</t>
        </is>
      </c>
      <c r="B1008" s="42" t="inlineStr">
        <is>
          <t>deyga body wash review</t>
        </is>
      </c>
      <c r="C1008" s="42" t="inlineStr">
        <is>
          <t>Yes</t>
        </is>
      </c>
    </row>
    <row r="1009" ht="15" customHeight="1" s="37">
      <c r="A1009" s="42" t="inlineStr">
        <is>
          <t>deyga body scrub</t>
        </is>
      </c>
      <c r="B1009" s="42" t="inlineStr">
        <is>
          <t>deyga body wash ingredients</t>
        </is>
      </c>
      <c r="C1009" s="42" t="inlineStr">
        <is>
          <t>Yes</t>
        </is>
      </c>
    </row>
    <row r="1010" ht="15" customHeight="1" s="37">
      <c r="A1010" s="42" t="inlineStr">
        <is>
          <t>deyga body scrub</t>
        </is>
      </c>
      <c r="B1010" s="42" t="inlineStr">
        <is>
          <t>how to use deyga body scrub</t>
        </is>
      </c>
      <c r="C1010" s="42" t="inlineStr">
        <is>
          <t>Yes</t>
        </is>
      </c>
    </row>
    <row r="1011" ht="15" customHeight="1" s="37">
      <c r="A1011" s="42" t="inlineStr">
        <is>
          <t>deyga body scrub</t>
        </is>
      </c>
      <c r="B1011" s="42" t="inlineStr">
        <is>
          <t>do body scrubs exfoliate</t>
        </is>
      </c>
      <c r="C1011" s="42" t="n"/>
    </row>
    <row r="1012" ht="15" customHeight="1" s="37">
      <c r="A1012" s="42" t="inlineStr">
        <is>
          <t>deyga body scrub</t>
        </is>
      </c>
      <c r="B1012" s="42" t="inlineStr">
        <is>
          <t>does body scrub exfoliate skin</t>
        </is>
      </c>
      <c r="C1012" s="42" t="n"/>
    </row>
    <row r="1013" ht="15" customHeight="1" s="37">
      <c r="A1013" s="42" t="inlineStr">
        <is>
          <t>deyga body scrub</t>
        </is>
      </c>
      <c r="B1013" s="42" t="inlineStr">
        <is>
          <t>are body scrubs good for dry skin</t>
        </is>
      </c>
      <c r="C1013" s="42" t="n"/>
    </row>
    <row r="1014" ht="15" customHeight="1" s="37">
      <c r="A1014" s="42" t="inlineStr">
        <is>
          <t>deyga charcoal bath bar</t>
        </is>
      </c>
      <c r="B1014" s="42" t="inlineStr">
        <is>
          <t>deyga charcoal bath bar</t>
        </is>
      </c>
      <c r="C1014" s="42" t="inlineStr">
        <is>
          <t>Yes</t>
        </is>
      </c>
    </row>
    <row r="1015" ht="15" customHeight="1" s="37">
      <c r="A1015" s="42" t="inlineStr">
        <is>
          <t>deyga charcoal bath bar</t>
        </is>
      </c>
      <c r="B1015" s="42" t="inlineStr">
        <is>
          <t>charcoal bath bar deyga review</t>
        </is>
      </c>
      <c r="C1015" s="42" t="inlineStr">
        <is>
          <t>Yes</t>
        </is>
      </c>
    </row>
    <row r="1016" ht="15" customHeight="1" s="37">
      <c r="A1016" s="42" t="inlineStr">
        <is>
          <t>deyga charcoal bath bar</t>
        </is>
      </c>
      <c r="B1016" s="42" t="inlineStr">
        <is>
          <t>deyga charcoal soap ingredients</t>
        </is>
      </c>
      <c r="C1016" s="42" t="inlineStr">
        <is>
          <t>Yes</t>
        </is>
      </c>
    </row>
    <row r="1017" ht="15" customHeight="1" s="37">
      <c r="A1017" s="42" t="inlineStr">
        <is>
          <t>deyga charcoal bath bar</t>
        </is>
      </c>
      <c r="B1017" s="42" t="inlineStr">
        <is>
          <t>deyga charcoal soap review</t>
        </is>
      </c>
      <c r="C1017" s="42" t="inlineStr">
        <is>
          <t>Yes</t>
        </is>
      </c>
    </row>
    <row r="1018" ht="15" customHeight="1" s="37">
      <c r="A1018" s="42" t="inlineStr">
        <is>
          <t>deyga charcoal bath bar</t>
        </is>
      </c>
      <c r="B1018" s="42" t="inlineStr">
        <is>
          <t>deyga charcoal soap price</t>
        </is>
      </c>
      <c r="C1018" s="42" t="inlineStr">
        <is>
          <t>Yes</t>
        </is>
      </c>
    </row>
    <row r="1019" ht="15" customHeight="1" s="37">
      <c r="A1019" s="42" t="inlineStr">
        <is>
          <t>deyga charcoal face wash</t>
        </is>
      </c>
      <c r="B1019" s="42" t="inlineStr">
        <is>
          <t>deyga charcoal face wash</t>
        </is>
      </c>
      <c r="C1019" s="42" t="inlineStr">
        <is>
          <t>Yes</t>
        </is>
      </c>
    </row>
    <row r="1020" ht="15" customHeight="1" s="37">
      <c r="A1020" s="42" t="inlineStr">
        <is>
          <t>deyga charcoal face wash</t>
        </is>
      </c>
      <c r="B1020" s="42" t="inlineStr">
        <is>
          <t>deyga charcoal face wash review</t>
        </is>
      </c>
      <c r="C1020" s="42" t="inlineStr">
        <is>
          <t>Yes</t>
        </is>
      </c>
    </row>
    <row r="1021" ht="15" customHeight="1" s="37">
      <c r="A1021" s="42" t="inlineStr">
        <is>
          <t>deyga charcoal face wash</t>
        </is>
      </c>
      <c r="B1021" s="42" t="inlineStr">
        <is>
          <t>deyga charcoal face wash benefits</t>
        </is>
      </c>
      <c r="C1021" s="42" t="inlineStr">
        <is>
          <t>Yes</t>
        </is>
      </c>
    </row>
    <row r="1022" ht="15" customHeight="1" s="37">
      <c r="A1022" s="42" t="inlineStr">
        <is>
          <t>deyga charcoal face wash</t>
        </is>
      </c>
      <c r="B1022" s="42" t="inlineStr">
        <is>
          <t>deyga charcoal face wash ingredients</t>
        </is>
      </c>
      <c r="C1022" s="42" t="inlineStr">
        <is>
          <t>Yes</t>
        </is>
      </c>
    </row>
    <row r="1023" ht="15" customHeight="1" s="37">
      <c r="A1023" s="42" t="inlineStr">
        <is>
          <t>deyga charcoal face wash</t>
        </is>
      </c>
      <c r="B1023" s="42" t="inlineStr">
        <is>
          <t>deyga charcoal face wash side effects</t>
        </is>
      </c>
      <c r="C1023" s="42" t="n"/>
    </row>
    <row r="1024" ht="15" customHeight="1" s="37">
      <c r="A1024" s="42" t="inlineStr">
        <is>
          <t>deyga charcoal face wash</t>
        </is>
      </c>
      <c r="B1024" s="42" t="inlineStr">
        <is>
          <t>deyga charcoal face wash price</t>
        </is>
      </c>
      <c r="C1024" s="42" t="inlineStr">
        <is>
          <t>Yes</t>
        </is>
      </c>
    </row>
    <row r="1025" ht="15" customHeight="1" s="37">
      <c r="A1025" s="42" t="inlineStr">
        <is>
          <t>deyga charcoal face wash</t>
        </is>
      </c>
      <c r="B1025" s="42" t="inlineStr">
        <is>
          <t>deyga charcoal face wash for men</t>
        </is>
      </c>
      <c r="C1025" s="42" t="inlineStr">
        <is>
          <t>Yes</t>
        </is>
      </c>
    </row>
    <row r="1026" ht="15" customHeight="1" s="37">
      <c r="A1026" s="42" t="inlineStr">
        <is>
          <t>deyga charcoal face wash</t>
        </is>
      </c>
      <c r="B1026" s="42" t="inlineStr">
        <is>
          <t>deyga charcoal face wash best natural</t>
        </is>
      </c>
      <c r="C1026" s="42" t="n"/>
    </row>
    <row r="1027" ht="15" customHeight="1" s="37">
      <c r="A1027" s="42" t="inlineStr">
        <is>
          <t>deyga charcoal face wash</t>
        </is>
      </c>
      <c r="B1027" s="42" t="inlineStr">
        <is>
          <t>deyga charcoal face wash best</t>
        </is>
      </c>
      <c r="C1027" s="42" t="n"/>
    </row>
    <row r="1028" ht="15" customHeight="1" s="37">
      <c r="A1028" s="42" t="inlineStr">
        <is>
          <t>deyga charcoal face wash</t>
        </is>
      </c>
      <c r="B1028" s="42" t="inlineStr">
        <is>
          <t>deyga charcoal face wash amazon</t>
        </is>
      </c>
      <c r="C1028" s="42" t="inlineStr">
        <is>
          <t>Yes</t>
        </is>
      </c>
    </row>
    <row r="1029" ht="15" customHeight="1" s="37">
      <c r="A1029" s="42" t="inlineStr">
        <is>
          <t>deyga chocolate body butter</t>
        </is>
      </c>
      <c r="B1029" s="42" t="inlineStr">
        <is>
          <t>deyga chocolate body butter</t>
        </is>
      </c>
      <c r="C1029" s="42" t="inlineStr">
        <is>
          <t>Yes</t>
        </is>
      </c>
    </row>
    <row r="1030" ht="15" customHeight="1" s="37">
      <c r="A1030" s="42" t="inlineStr">
        <is>
          <t>deyga eyebrow growth oil</t>
        </is>
      </c>
      <c r="B1030" s="42" t="inlineStr">
        <is>
          <t>deyga eyebrow growth oil</t>
        </is>
      </c>
      <c r="C1030" s="42" t="inlineStr">
        <is>
          <t>Yes</t>
        </is>
      </c>
    </row>
    <row r="1031" ht="15" customHeight="1" s="37">
      <c r="A1031" s="42" t="inlineStr">
        <is>
          <t>deyga eyebrow growth oil</t>
        </is>
      </c>
      <c r="B1031" s="42" t="inlineStr">
        <is>
          <t>deyga eyebrow growth oil review</t>
        </is>
      </c>
      <c r="C1031" s="42" t="inlineStr">
        <is>
          <t>Yes</t>
        </is>
      </c>
    </row>
    <row r="1032" ht="15" customHeight="1" s="37">
      <c r="A1032" s="42" t="inlineStr">
        <is>
          <t>deyga eyebrow growth oil</t>
        </is>
      </c>
      <c r="B1032" s="42" t="inlineStr">
        <is>
          <t>oil to make eyebrows grow</t>
        </is>
      </c>
      <c r="C1032" s="42" t="n"/>
    </row>
    <row r="1033" ht="15" customHeight="1" s="37">
      <c r="A1033" s="42" t="inlineStr">
        <is>
          <t>deyga eyebrow growth oil</t>
        </is>
      </c>
      <c r="B1033" s="42" t="inlineStr">
        <is>
          <t>homemade eyebrow growth oil</t>
        </is>
      </c>
      <c r="C1033" s="42" t="n"/>
    </row>
    <row r="1034" ht="15" customHeight="1" s="37">
      <c r="A1034" s="42" t="inlineStr">
        <is>
          <t>deyga eyebrow growth oil</t>
        </is>
      </c>
      <c r="B1034" s="42" t="inlineStr">
        <is>
          <t>how to grow eyebrows oil</t>
        </is>
      </c>
      <c r="C1034" s="42" t="n"/>
    </row>
    <row r="1035" ht="15" customHeight="1" s="37">
      <c r="A1035" s="42" t="inlineStr">
        <is>
          <t>deyga foot butter</t>
        </is>
      </c>
      <c r="B1035" s="42" t="inlineStr">
        <is>
          <t>deyga foot butter</t>
        </is>
      </c>
      <c r="C1035" s="42" t="inlineStr">
        <is>
          <t>Yes</t>
        </is>
      </c>
    </row>
    <row r="1036" ht="15" customHeight="1" s="37">
      <c r="A1036" s="42" t="inlineStr">
        <is>
          <t>deyga foot butter</t>
        </is>
      </c>
      <c r="B1036" s="42" t="inlineStr">
        <is>
          <t>deyga foot butter review</t>
        </is>
      </c>
      <c r="C1036" s="42" t="inlineStr">
        <is>
          <t>Yes</t>
        </is>
      </c>
    </row>
    <row r="1037" ht="15" customHeight="1" s="37">
      <c r="A1037" s="42" t="inlineStr">
        <is>
          <t>deyga foot butter</t>
        </is>
      </c>
      <c r="B1037" s="42" t="inlineStr">
        <is>
          <t>deyga foot butter ingredients</t>
        </is>
      </c>
      <c r="C1037" s="42" t="inlineStr">
        <is>
          <t>Yes</t>
        </is>
      </c>
    </row>
    <row r="1038" ht="15" customHeight="1" s="37">
      <c r="A1038" s="42" t="inlineStr">
        <is>
          <t>deyga foot butter</t>
        </is>
      </c>
      <c r="B1038" s="42" t="inlineStr">
        <is>
          <t>deyga foot cream</t>
        </is>
      </c>
      <c r="C1038" s="42" t="inlineStr">
        <is>
          <t>Yes</t>
        </is>
      </c>
    </row>
    <row r="1039" ht="15" customHeight="1" s="37">
      <c r="A1039" s="42" t="inlineStr">
        <is>
          <t>deyga foot butter</t>
        </is>
      </c>
      <c r="B1039" s="42" t="inlineStr">
        <is>
          <t>deyga foot cream review</t>
        </is>
      </c>
      <c r="C1039" s="42" t="inlineStr">
        <is>
          <t>Yes</t>
        </is>
      </c>
    </row>
    <row r="1040" ht="15" customHeight="1" s="37">
      <c r="A1040" s="42" t="inlineStr">
        <is>
          <t>deyga foot butter</t>
        </is>
      </c>
      <c r="B1040" s="42" t="inlineStr">
        <is>
          <t>deyga foot cream ingredients</t>
        </is>
      </c>
      <c r="C1040" s="42" t="inlineStr">
        <is>
          <t>Yes</t>
        </is>
      </c>
    </row>
    <row r="1041" ht="15" customHeight="1" s="37">
      <c r="A1041" s="42" t="inlineStr">
        <is>
          <t>deyga foot butter</t>
        </is>
      </c>
      <c r="B1041" s="42" t="inlineStr">
        <is>
          <t>deyga organics foot butter</t>
        </is>
      </c>
      <c r="C1041" s="42" t="n"/>
    </row>
    <row r="1042" ht="15" customHeight="1" s="37">
      <c r="A1042" s="42" t="inlineStr">
        <is>
          <t>deyga foot butter</t>
        </is>
      </c>
      <c r="B1042" s="42" t="inlineStr">
        <is>
          <t>deyga foot butter cream</t>
        </is>
      </c>
      <c r="C1042" s="42" t="inlineStr">
        <is>
          <t>Yes</t>
        </is>
      </c>
    </row>
    <row r="1043" ht="15" customHeight="1" s="37">
      <c r="A1043" s="42" t="inlineStr">
        <is>
          <t>deyga foot butter</t>
        </is>
      </c>
      <c r="B1043" s="42" t="inlineStr">
        <is>
          <t>how to use deyga foot butter</t>
        </is>
      </c>
      <c r="C1043" s="42" t="n"/>
    </row>
    <row r="1044" ht="15" customHeight="1" s="37">
      <c r="A1044" s="42" t="inlineStr">
        <is>
          <t>deyga foot butter</t>
        </is>
      </c>
      <c r="B1044" s="42" t="inlineStr">
        <is>
          <t>dead skin on feet after beach</t>
        </is>
      </c>
      <c r="C1044" s="42" t="n"/>
    </row>
    <row r="1045" ht="15" customHeight="1" s="37">
      <c r="A1045" s="42" t="inlineStr">
        <is>
          <t>deyga foot scrub</t>
        </is>
      </c>
      <c r="B1045" s="42" t="inlineStr">
        <is>
          <t>deyga foot scrub</t>
        </is>
      </c>
      <c r="C1045" s="42" t="inlineStr">
        <is>
          <t>Yes</t>
        </is>
      </c>
    </row>
    <row r="1046" ht="15" customHeight="1" s="37">
      <c r="A1046" s="42" t="inlineStr">
        <is>
          <t>deyga foot scrub</t>
        </is>
      </c>
      <c r="B1046" s="42" t="inlineStr">
        <is>
          <t>deyga foot scrub how to use</t>
        </is>
      </c>
      <c r="C1046" s="42" t="inlineStr">
        <is>
          <t>Yes</t>
        </is>
      </c>
    </row>
    <row r="1047" ht="15" customHeight="1" s="37">
      <c r="A1047" s="42" t="inlineStr">
        <is>
          <t>deyga foot scrub</t>
        </is>
      </c>
      <c r="B1047" s="42" t="inlineStr">
        <is>
          <t>deyga foot soak</t>
        </is>
      </c>
      <c r="C1047" s="42" t="n"/>
    </row>
    <row r="1048" ht="15" customHeight="1" s="37">
      <c r="A1048" s="42" t="inlineStr">
        <is>
          <t>deyga foot scrub</t>
        </is>
      </c>
      <c r="B1048" s="42" t="inlineStr">
        <is>
          <t>foot scrub to remove dead skin</t>
        </is>
      </c>
      <c r="C1048" s="42" t="n"/>
    </row>
    <row r="1049" ht="15" customHeight="1" s="37">
      <c r="A1049" s="42" t="inlineStr">
        <is>
          <t>deyga foot scrub</t>
        </is>
      </c>
      <c r="B1049" s="42" t="inlineStr">
        <is>
          <t>scrub to remove dead skin</t>
        </is>
      </c>
      <c r="C1049" s="42" t="n"/>
    </row>
    <row r="1050" ht="15" customHeight="1" s="37">
      <c r="A1050" s="42" t="inlineStr">
        <is>
          <t>deyga foot scrub</t>
        </is>
      </c>
      <c r="B1050" s="42" t="inlineStr">
        <is>
          <t>what do salons use to remove dead skin from feet</t>
        </is>
      </c>
      <c r="C1050" s="42" t="n"/>
    </row>
    <row r="1051" ht="15" customHeight="1" s="37">
      <c r="A1051" s="42" t="inlineStr">
        <is>
          <t>deyga foot scrub</t>
        </is>
      </c>
      <c r="B1051" s="42" t="inlineStr">
        <is>
          <t>natural foot scrub to remove dead skin</t>
        </is>
      </c>
      <c r="C1051" s="42" t="n"/>
    </row>
    <row r="1052" ht="15" customHeight="1" s="37">
      <c r="A1052" s="42" t="inlineStr">
        <is>
          <t>deyga foot scrub</t>
        </is>
      </c>
      <c r="B1052" s="42" t="inlineStr">
        <is>
          <t>homemade foot scrub to remove dead skin</t>
        </is>
      </c>
      <c r="C1052" s="42" t="n"/>
    </row>
    <row r="1053" ht="15" customHeight="1" s="37">
      <c r="A1053" s="42" t="inlineStr">
        <is>
          <t>deyga hair care kit</t>
        </is>
      </c>
      <c r="B1053" s="42" t="inlineStr">
        <is>
          <t>deyga hair care kit review</t>
        </is>
      </c>
      <c r="C1053" s="42" t="inlineStr">
        <is>
          <t>Yes</t>
        </is>
      </c>
    </row>
    <row r="1054" ht="15" customHeight="1" s="37">
      <c r="A1054" s="42" t="inlineStr">
        <is>
          <t>deyga hair care kit</t>
        </is>
      </c>
      <c r="B1054" s="42" t="inlineStr">
        <is>
          <t>deyga hair care products</t>
        </is>
      </c>
      <c r="C1054" s="42" t="n"/>
    </row>
    <row r="1055" ht="15" customHeight="1" s="37">
      <c r="A1055" s="42" t="inlineStr">
        <is>
          <t>deyga hair care kit</t>
        </is>
      </c>
      <c r="B1055" s="42" t="inlineStr">
        <is>
          <t>is deyga a good brand</t>
        </is>
      </c>
      <c r="C1055" s="42" t="n"/>
    </row>
    <row r="1056" ht="15" customHeight="1" s="37">
      <c r="A1056" s="42" t="inlineStr">
        <is>
          <t>deyga hair growth oil</t>
        </is>
      </c>
      <c r="B1056" s="42" t="inlineStr">
        <is>
          <t>deyga hair growth oil</t>
        </is>
      </c>
      <c r="C1056" s="42" t="inlineStr">
        <is>
          <t>Yes</t>
        </is>
      </c>
    </row>
    <row r="1057" ht="15" customHeight="1" s="37">
      <c r="A1057" s="42" t="inlineStr">
        <is>
          <t>deyga hair growth oil</t>
        </is>
      </c>
      <c r="B1057" s="42" t="inlineStr">
        <is>
          <t>deyga hair growth oil review</t>
        </is>
      </c>
      <c r="C1057" s="42" t="inlineStr">
        <is>
          <t>Yes</t>
        </is>
      </c>
    </row>
    <row r="1058" ht="15" customHeight="1" s="37">
      <c r="A1058" s="42" t="inlineStr">
        <is>
          <t>deyga hair growth oil</t>
        </is>
      </c>
      <c r="B1058" s="42" t="inlineStr">
        <is>
          <t>deyga hair growth oil how to use</t>
        </is>
      </c>
      <c r="C1058" s="42" t="inlineStr">
        <is>
          <t>Yes</t>
        </is>
      </c>
    </row>
    <row r="1059" ht="15" customHeight="1" s="37">
      <c r="A1059" s="42" t="inlineStr">
        <is>
          <t>deyga hair growth oil</t>
        </is>
      </c>
      <c r="B1059" s="42" t="inlineStr">
        <is>
          <t>deyga hair growth oil ingredients</t>
        </is>
      </c>
      <c r="C1059" s="42" t="inlineStr">
        <is>
          <t>Yes</t>
        </is>
      </c>
    </row>
    <row r="1060" ht="15" customHeight="1" s="37">
      <c r="A1060" s="42" t="inlineStr">
        <is>
          <t>deyga hair growth oil</t>
        </is>
      </c>
      <c r="B1060" s="42" t="inlineStr">
        <is>
          <t>deyga hair growth oil benefits</t>
        </is>
      </c>
      <c r="C1060" s="42" t="inlineStr">
        <is>
          <t>Yes</t>
        </is>
      </c>
    </row>
    <row r="1061" ht="15" customHeight="1" s="37">
      <c r="A1061" s="42" t="inlineStr">
        <is>
          <t>deyga hair growth oil</t>
        </is>
      </c>
      <c r="B1061" s="42" t="inlineStr">
        <is>
          <t>deyga hair growth oil reddit</t>
        </is>
      </c>
      <c r="C1061" s="42" t="n"/>
    </row>
    <row r="1062" ht="15" customHeight="1" s="37">
      <c r="A1062" s="42" t="inlineStr">
        <is>
          <t>deyga hair growth oil</t>
        </is>
      </c>
      <c r="B1062" s="42" t="inlineStr">
        <is>
          <t>deyga hair growth oil side effects</t>
        </is>
      </c>
      <c r="C1062" s="42" t="n"/>
    </row>
    <row r="1063" ht="15" customHeight="1" s="37">
      <c r="A1063" s="42" t="inlineStr">
        <is>
          <t>deyga hair growth oil</t>
        </is>
      </c>
      <c r="B1063" s="42" t="inlineStr">
        <is>
          <t>deyga hair growth oil price</t>
        </is>
      </c>
      <c r="C1063" s="42" t="inlineStr">
        <is>
          <t>Yes</t>
        </is>
      </c>
    </row>
    <row r="1064" ht="15" customHeight="1" s="37">
      <c r="A1064" s="42" t="inlineStr">
        <is>
          <t>deyga hair growth oil</t>
        </is>
      </c>
      <c r="B1064" s="42" t="inlineStr">
        <is>
          <t>deyga organics hair growth oil review</t>
        </is>
      </c>
      <c r="C1064" s="42" t="n"/>
    </row>
    <row r="1065" ht="15" customHeight="1" s="37">
      <c r="A1065" s="42" t="inlineStr">
        <is>
          <t>deyga hair growth oil</t>
        </is>
      </c>
      <c r="B1065" s="42" t="inlineStr">
        <is>
          <t>deyga organics hair growth oil</t>
        </is>
      </c>
      <c r="C1065" s="42" t="n"/>
    </row>
    <row r="1066" ht="15" customHeight="1" s="37">
      <c r="A1066" s="42" t="inlineStr">
        <is>
          <t>deyga hair nourishment kit</t>
        </is>
      </c>
      <c r="B1066" s="42" t="inlineStr">
        <is>
          <t>deyga hair care kit review</t>
        </is>
      </c>
      <c r="C1066" s="42" t="inlineStr">
        <is>
          <t>Yes</t>
        </is>
      </c>
    </row>
    <row r="1067" ht="15" customHeight="1" s="37">
      <c r="A1067" s="42" t="inlineStr">
        <is>
          <t>deyga hair nourishment kit</t>
        </is>
      </c>
      <c r="B1067" s="42" t="inlineStr">
        <is>
          <t>deyga hair growth oil how to use</t>
        </is>
      </c>
      <c r="C1067" s="42" t="inlineStr">
        <is>
          <t>Yes</t>
        </is>
      </c>
    </row>
    <row r="1068" ht="15" customHeight="1" s="37">
      <c r="A1068" s="42" t="inlineStr">
        <is>
          <t>deyga hair removal powder</t>
        </is>
      </c>
      <c r="B1068" s="42" t="inlineStr">
        <is>
          <t>deyga hair removal powder</t>
        </is>
      </c>
      <c r="C1068" s="42" t="inlineStr">
        <is>
          <t>Yes</t>
        </is>
      </c>
    </row>
    <row r="1069" ht="15" customHeight="1" s="37">
      <c r="A1069" s="42" t="inlineStr">
        <is>
          <t>deyga hair removal powder</t>
        </is>
      </c>
      <c r="B1069" s="42" t="inlineStr">
        <is>
          <t>deyga hair removal powder review</t>
        </is>
      </c>
      <c r="C1069" s="42" t="inlineStr">
        <is>
          <t>Yes</t>
        </is>
      </c>
    </row>
    <row r="1070" ht="15" customHeight="1" s="37">
      <c r="A1070" s="42" t="inlineStr">
        <is>
          <t>deyga hair removal powder</t>
        </is>
      </c>
      <c r="B1070" s="42" t="inlineStr">
        <is>
          <t>deyga hair removal powder how to use</t>
        </is>
      </c>
      <c r="C1070" s="42" t="inlineStr">
        <is>
          <t>Yes</t>
        </is>
      </c>
    </row>
    <row r="1071" ht="15" customHeight="1" s="37">
      <c r="A1071" s="42" t="inlineStr">
        <is>
          <t>deyga hair removal powder</t>
        </is>
      </c>
      <c r="B1071" s="42" t="inlineStr">
        <is>
          <t>deyga hair removal powder for face</t>
        </is>
      </c>
      <c r="C1071" s="42" t="n"/>
    </row>
    <row r="1072" ht="15" customHeight="1" s="37">
      <c r="A1072" s="42" t="inlineStr">
        <is>
          <t>deyga hair removal powder</t>
        </is>
      </c>
      <c r="B1072" s="42" t="inlineStr">
        <is>
          <t>deyga hair removal powder ingredients</t>
        </is>
      </c>
      <c r="C1072" s="42" t="inlineStr">
        <is>
          <t>Yes</t>
        </is>
      </c>
    </row>
    <row r="1073" ht="15" customHeight="1" s="37">
      <c r="A1073" s="42" t="inlineStr">
        <is>
          <t>deyga hair removal powder</t>
        </is>
      </c>
      <c r="B1073" s="42" t="inlineStr">
        <is>
          <t>deyga hair removal powder can be used on face</t>
        </is>
      </c>
      <c r="C1073" s="42" t="n"/>
    </row>
    <row r="1074" ht="15" customHeight="1" s="37">
      <c r="A1074" s="42" t="inlineStr">
        <is>
          <t>deyga hair removal powder</t>
        </is>
      </c>
      <c r="B1074" s="42" t="inlineStr">
        <is>
          <t>deyga hair removal powder mini</t>
        </is>
      </c>
      <c r="C1074" s="42" t="inlineStr">
        <is>
          <t>Yes</t>
        </is>
      </c>
    </row>
    <row r="1075" ht="15" customHeight="1" s="37">
      <c r="A1075" s="42" t="inlineStr">
        <is>
          <t>deyga hair removal powder</t>
        </is>
      </c>
      <c r="B1075" s="42" t="inlineStr">
        <is>
          <t>deyga hair removal powder usage</t>
        </is>
      </c>
      <c r="C1075" s="42" t="n"/>
    </row>
    <row r="1076" ht="15" customHeight="1" s="37">
      <c r="A1076" s="42" t="inlineStr">
        <is>
          <t>deyga hair removal powder</t>
        </is>
      </c>
      <c r="B1076" s="42" t="inlineStr">
        <is>
          <t>deyga hair removal powder side effects reviews</t>
        </is>
      </c>
      <c r="C1076" s="42" t="n"/>
    </row>
    <row r="1077" ht="15" customHeight="1" s="37">
      <c r="A1077" s="42" t="inlineStr">
        <is>
          <t>deyga hair removal powder</t>
        </is>
      </c>
      <c r="B1077" s="42" t="inlineStr">
        <is>
          <t>deyga hair removal powder amazon</t>
        </is>
      </c>
      <c r="C1077" s="42" t="inlineStr">
        <is>
          <t>Yes</t>
        </is>
      </c>
    </row>
    <row r="1078" ht="15" customHeight="1" s="37">
      <c r="A1078" s="42" t="inlineStr">
        <is>
          <t>deyga light moisturising face cream</t>
        </is>
      </c>
      <c r="B1078" s="42" t="inlineStr">
        <is>
          <t>deyga light moisturising face cream</t>
        </is>
      </c>
      <c r="C1078" s="42" t="inlineStr">
        <is>
          <t>Yes</t>
        </is>
      </c>
    </row>
    <row r="1079" ht="15" customHeight="1" s="37">
      <c r="A1079" s="42" t="inlineStr">
        <is>
          <t>deyga light moisturising face cream</t>
        </is>
      </c>
      <c r="B1079" s="42" t="inlineStr">
        <is>
          <t>deyga light moisturizing face cream review</t>
        </is>
      </c>
      <c r="C1079" s="42" t="n"/>
    </row>
    <row r="1080" ht="15" customHeight="1" s="37">
      <c r="A1080" s="42" t="inlineStr">
        <is>
          <t>deyga light moisturising face cream</t>
        </is>
      </c>
      <c r="B1080" s="42" t="inlineStr">
        <is>
          <t>deyga light moisturizing face cream oily &amp; acne</t>
        </is>
      </c>
      <c r="C1080" s="42" t="n"/>
    </row>
    <row r="1081" ht="15" customHeight="1" s="37">
      <c r="A1081" s="42" t="inlineStr">
        <is>
          <t>deyga light moisturising face cream</t>
        </is>
      </c>
      <c r="B1081" s="42" t="inlineStr">
        <is>
          <t>deyga light moisturizing face cream oily &amp; acne prone skin</t>
        </is>
      </c>
      <c r="C1081" s="42" t="n"/>
    </row>
    <row r="1082" ht="15" customHeight="1" s="37">
      <c r="A1082" s="42" t="inlineStr">
        <is>
          <t>deyga light moisturising face cream</t>
        </is>
      </c>
      <c r="B1082" s="42" t="inlineStr">
        <is>
          <t>deyga light moisturizing face cream for oily skin</t>
        </is>
      </c>
      <c r="C1082" s="42" t="n"/>
    </row>
    <row r="1083" ht="15" customHeight="1" s="37">
      <c r="A1083" s="42" t="inlineStr">
        <is>
          <t>deyga light moisturising face cream</t>
        </is>
      </c>
      <c r="B1083" s="42" t="inlineStr">
        <is>
          <t>which face cream good for dry skin</t>
        </is>
      </c>
      <c r="C1083" s="42" t="n"/>
    </row>
    <row r="1084" ht="15" customHeight="1" s="37">
      <c r="A1084" s="42" t="inlineStr">
        <is>
          <t>deyga light moisturising face cream</t>
        </is>
      </c>
      <c r="B1084" s="42" t="inlineStr">
        <is>
          <t>moisturizer for dry patches on face</t>
        </is>
      </c>
      <c r="C1084" s="42" t="n"/>
    </row>
    <row r="1085" ht="15" customHeight="1" s="37">
      <c r="A1085" s="42" t="inlineStr">
        <is>
          <t>deyga light moisturising face cream</t>
        </is>
      </c>
      <c r="B1085" s="42" t="inlineStr">
        <is>
          <t>face care for dry skin</t>
        </is>
      </c>
      <c r="C1085" s="42" t="n"/>
    </row>
    <row r="1086" ht="15" customHeight="1" s="37">
      <c r="A1086" s="42" t="inlineStr">
        <is>
          <t>deyga natural lip balm</t>
        </is>
      </c>
      <c r="B1086" s="42" t="inlineStr">
        <is>
          <t>deyga natural lip balm</t>
        </is>
      </c>
      <c r="C1086" s="42" t="inlineStr">
        <is>
          <t>Yes</t>
        </is>
      </c>
    </row>
    <row r="1087" ht="15" customHeight="1" s="37">
      <c r="A1087" s="42" t="inlineStr">
        <is>
          <t>deyga natural lip balm</t>
        </is>
      </c>
      <c r="B1087" s="42" t="inlineStr">
        <is>
          <t>deyga organic lip balm</t>
        </is>
      </c>
      <c r="C1087" s="42" t="n"/>
    </row>
    <row r="1088" ht="15" customHeight="1" s="37">
      <c r="A1088" s="42" t="inlineStr">
        <is>
          <t>deyga natural lip balm</t>
        </is>
      </c>
      <c r="B1088" s="42" t="inlineStr">
        <is>
          <t>deyga natural beetroot lip balm</t>
        </is>
      </c>
      <c r="C1088" s="42" t="n"/>
    </row>
    <row r="1089" ht="15" customHeight="1" s="37">
      <c r="A1089" s="42" t="inlineStr">
        <is>
          <t>deyga natural lip balm</t>
        </is>
      </c>
      <c r="B1089" s="42" t="inlineStr">
        <is>
          <t>deyga natural skincare beetroot lip balm</t>
        </is>
      </c>
      <c r="C1089" s="42" t="n"/>
    </row>
    <row r="1090" ht="15" customHeight="1" s="37">
      <c r="A1090" s="42" t="inlineStr">
        <is>
          <t>deyga natural lip balm</t>
        </is>
      </c>
      <c r="B1090" s="42" t="inlineStr">
        <is>
          <t>deyga organic beetroot lip balm</t>
        </is>
      </c>
      <c r="C1090" s="42" t="n"/>
    </row>
    <row r="1091" ht="15" customHeight="1" s="37">
      <c r="A1091" s="42" t="inlineStr">
        <is>
          <t>deyga natural lip balm</t>
        </is>
      </c>
      <c r="B1091" s="42" t="inlineStr">
        <is>
          <t>deyga natural skin care lip balm</t>
        </is>
      </c>
      <c r="C1091" s="42" t="n"/>
    </row>
    <row r="1092" ht="15" customHeight="1" s="37">
      <c r="A1092" s="42" t="inlineStr">
        <is>
          <t>deyga natural lip balm</t>
        </is>
      </c>
      <c r="B1092" s="42" t="inlineStr">
        <is>
          <t>deyga natural skincare beetroot lip balm 10 g</t>
        </is>
      </c>
      <c r="C1092" s="42" t="n"/>
    </row>
    <row r="1093" ht="15" customHeight="1" s="37">
      <c r="A1093" s="42" t="inlineStr">
        <is>
          <t>deyga natural lip balm</t>
        </is>
      </c>
      <c r="B1093" s="42" t="inlineStr">
        <is>
          <t>deyga natural skincare beetroot lip balm 5.5 g</t>
        </is>
      </c>
      <c r="C1093" s="42" t="n"/>
    </row>
    <row r="1094" ht="15" customHeight="1" s="37">
      <c r="A1094" s="42" t="inlineStr">
        <is>
          <t>deyga natural lip balm</t>
        </is>
      </c>
      <c r="B1094" s="42" t="inlineStr">
        <is>
          <t>deyga lip balm ingredients</t>
        </is>
      </c>
      <c r="C1094" s="42" t="inlineStr">
        <is>
          <t>Yes</t>
        </is>
      </c>
    </row>
    <row r="1095" ht="15" customHeight="1" s="37">
      <c r="A1095" s="42" t="inlineStr">
        <is>
          <t>deyga natural lip balm</t>
        </is>
      </c>
      <c r="B1095" s="42" t="inlineStr">
        <is>
          <t>deyga lip balm review</t>
        </is>
      </c>
      <c r="C1095" s="42" t="inlineStr">
        <is>
          <t>Yes</t>
        </is>
      </c>
    </row>
    <row r="1096" ht="15" customHeight="1" s="37">
      <c r="A1096" s="42" t="inlineStr">
        <is>
          <t>deyga neem seed oil</t>
        </is>
      </c>
      <c r="B1096" s="42" t="inlineStr">
        <is>
          <t>deyga neem seed oil review</t>
        </is>
      </c>
      <c r="C1096" s="42" t="inlineStr">
        <is>
          <t>Yes</t>
        </is>
      </c>
    </row>
    <row r="1097" ht="15" customHeight="1" s="37">
      <c r="A1097" s="42" t="inlineStr">
        <is>
          <t>deyga neem seed oil</t>
        </is>
      </c>
      <c r="B1097" s="42" t="inlineStr">
        <is>
          <t>deyga neem seed oil</t>
        </is>
      </c>
      <c r="C1097" s="42" t="inlineStr">
        <is>
          <t>Yes</t>
        </is>
      </c>
    </row>
    <row r="1098" ht="15" customHeight="1" s="37">
      <c r="A1098" s="42" t="inlineStr">
        <is>
          <t>deyga neem seed oil</t>
        </is>
      </c>
      <c r="B1098" s="42" t="inlineStr">
        <is>
          <t>difference between neem oil and neem seed oil</t>
        </is>
      </c>
      <c r="C1098" s="42" t="n"/>
    </row>
    <row r="1099" ht="15" customHeight="1" s="37">
      <c r="A1099" s="42" t="inlineStr">
        <is>
          <t>deyga plant based hair color – black</t>
        </is>
      </c>
      <c r="B1099" s="42" t="inlineStr">
        <is>
          <t>deyga 100 plant based hair color black</t>
        </is>
      </c>
      <c r="C1099" s="42" t="inlineStr">
        <is>
          <t>Yes</t>
        </is>
      </c>
    </row>
    <row r="1100" ht="15" customHeight="1" s="37">
      <c r="A1100" s="42" t="inlineStr">
        <is>
          <t>deyga premature greying hair oil</t>
        </is>
      </c>
      <c r="B1100" s="42" t="inlineStr">
        <is>
          <t>deyga organics premature greying hair oil</t>
        </is>
      </c>
      <c r="C1100" s="42" t="n"/>
    </row>
    <row r="1101" ht="15" customHeight="1" s="37">
      <c r="A1101" s="42" t="inlineStr">
        <is>
          <t>deyga premature greying hair oil</t>
        </is>
      </c>
      <c r="B1101" s="42" t="inlineStr">
        <is>
          <t>oil to prevent premature greying of hair</t>
        </is>
      </c>
      <c r="C1101" s="42" t="n"/>
    </row>
    <row r="1102" ht="15" customHeight="1" s="37">
      <c r="A1102" s="42" t="inlineStr">
        <is>
          <t>deyga premature greying hair oil</t>
        </is>
      </c>
      <c r="B1102" s="42" t="inlineStr">
        <is>
          <t>best hair oil for premature greying</t>
        </is>
      </c>
      <c r="C1102" s="42" t="n"/>
    </row>
    <row r="1103" ht="15" customHeight="1" s="37">
      <c r="A1103" s="42" t="inlineStr">
        <is>
          <t>deyga pure aloe vera gel</t>
        </is>
      </c>
      <c r="B1103" s="42" t="inlineStr">
        <is>
          <t>deyga pure aloe vera gel</t>
        </is>
      </c>
      <c r="C1103" s="42" t="inlineStr">
        <is>
          <t>Yes</t>
        </is>
      </c>
    </row>
    <row r="1104" ht="15" customHeight="1" s="37">
      <c r="A1104" s="42" t="inlineStr">
        <is>
          <t>deyga pure aloe vera gel</t>
        </is>
      </c>
      <c r="B1104" s="42" t="inlineStr">
        <is>
          <t>deyga organic aloe vera gel</t>
        </is>
      </c>
      <c r="C1104" s="42" t="n"/>
    </row>
    <row r="1105" ht="15" customHeight="1" s="37">
      <c r="A1105" s="42" t="inlineStr">
        <is>
          <t>deyga pure aloe vera gel</t>
        </is>
      </c>
      <c r="B1105" s="42" t="inlineStr">
        <is>
          <t>deyga 100 pure aloe vera gel</t>
        </is>
      </c>
      <c r="C1105" s="42" t="inlineStr">
        <is>
          <t>Yes</t>
        </is>
      </c>
    </row>
    <row r="1106" ht="15" customHeight="1" s="37">
      <c r="A1106" s="42" t="inlineStr">
        <is>
          <t>deyga pure aloe vera gel</t>
        </is>
      </c>
      <c r="B1106" s="42" t="inlineStr">
        <is>
          <t>deyga organics pure aloe vera gel</t>
        </is>
      </c>
      <c r="C1106" s="42" t="n"/>
    </row>
    <row r="1107" ht="15" customHeight="1" s="37">
      <c r="A1107" s="42" t="inlineStr">
        <is>
          <t>deyga pure aloe vera gel</t>
        </is>
      </c>
      <c r="B1107" s="42" t="inlineStr">
        <is>
          <t>deyga 100 pure aloe vera gel for acne free skin</t>
        </is>
      </c>
      <c r="C1107" s="42" t="n"/>
    </row>
    <row r="1108" ht="15" customHeight="1" s="37">
      <c r="A1108" s="42" t="inlineStr">
        <is>
          <t>deyga pure aloe vera gel</t>
        </is>
      </c>
      <c r="B1108" s="42" t="inlineStr">
        <is>
          <t>deyga organics 100 pure aloe vera gel</t>
        </is>
      </c>
      <c r="C1108" s="42" t="n"/>
    </row>
    <row r="1109" ht="15" customHeight="1" s="37">
      <c r="A1109" s="42" t="inlineStr">
        <is>
          <t>deyga pure aloe vera gel</t>
        </is>
      </c>
      <c r="B1109" s="42" t="inlineStr">
        <is>
          <t>deyga aloe vera gel review</t>
        </is>
      </c>
      <c r="C1109" s="42" t="inlineStr">
        <is>
          <t>Yes</t>
        </is>
      </c>
    </row>
    <row r="1110" ht="15" customHeight="1" s="37">
      <c r="A1110" s="42" t="inlineStr">
        <is>
          <t>deyga pure aloe vera gel</t>
        </is>
      </c>
      <c r="B1110" s="42" t="inlineStr">
        <is>
          <t>how to use deyga aloe vera gel</t>
        </is>
      </c>
      <c r="C1110" s="42" t="inlineStr">
        <is>
          <t>Yes</t>
        </is>
      </c>
    </row>
    <row r="1111" ht="15" customHeight="1" s="37">
      <c r="A1111" s="42" t="inlineStr">
        <is>
          <t>deyga rice water shampoo</t>
        </is>
      </c>
      <c r="B1111" s="42" t="inlineStr">
        <is>
          <t>deyga rice water shampoo</t>
        </is>
      </c>
      <c r="C1111" s="42" t="inlineStr">
        <is>
          <t>Yes</t>
        </is>
      </c>
    </row>
    <row r="1112" ht="15" customHeight="1" s="37">
      <c r="A1112" s="42" t="inlineStr">
        <is>
          <t>deyga rice water shampoo</t>
        </is>
      </c>
      <c r="B1112" s="42" t="inlineStr">
        <is>
          <t>deyga rice water shampoo review</t>
        </is>
      </c>
      <c r="C1112" s="42" t="inlineStr">
        <is>
          <t>Yes</t>
        </is>
      </c>
    </row>
    <row r="1113" ht="15" customHeight="1" s="37">
      <c r="A1113" s="42" t="inlineStr">
        <is>
          <t>deyga rice water shampoo</t>
        </is>
      </c>
      <c r="B1113" s="42" t="inlineStr">
        <is>
          <t>deyga rice water shampoo and conditioner</t>
        </is>
      </c>
      <c r="C1113" s="42" t="n"/>
    </row>
    <row r="1114" ht="15" customHeight="1" s="37">
      <c r="A1114" s="42" t="inlineStr">
        <is>
          <t>deyga rice water shampoo</t>
        </is>
      </c>
      <c r="B1114" s="42" t="inlineStr">
        <is>
          <t>deyga rice water shampoo ingredients</t>
        </is>
      </c>
      <c r="C1114" s="42" t="inlineStr">
        <is>
          <t>Yes</t>
        </is>
      </c>
    </row>
    <row r="1115" ht="15" customHeight="1" s="37">
      <c r="A1115" s="42" t="inlineStr">
        <is>
          <t>deyga rice water shampoo</t>
        </is>
      </c>
      <c r="B1115" s="42" t="inlineStr">
        <is>
          <t>deyga rice water shampoo and conditioner review</t>
        </is>
      </c>
      <c r="C1115" s="42" t="n"/>
    </row>
    <row r="1116" ht="15" customHeight="1" s="37">
      <c r="A1116" s="42" t="inlineStr">
        <is>
          <t>deyga rice water shampoo</t>
        </is>
      </c>
      <c r="B1116" s="42" t="inlineStr">
        <is>
          <t>deyga rice water shampoo and soy milk conditioner</t>
        </is>
      </c>
      <c r="C1116" s="42" t="n"/>
    </row>
    <row r="1117" ht="15" customHeight="1" s="37">
      <c r="A1117" s="42" t="inlineStr">
        <is>
          <t>deyga rice water shampoo</t>
        </is>
      </c>
      <c r="B1117" s="42" t="inlineStr">
        <is>
          <t>deyga rice water shampoo price</t>
        </is>
      </c>
      <c r="C1117" s="42" t="inlineStr">
        <is>
          <t>Yes</t>
        </is>
      </c>
    </row>
    <row r="1118" ht="15" customHeight="1" s="37">
      <c r="A1118" s="42" t="inlineStr">
        <is>
          <t>deyga rice water shampoo</t>
        </is>
      </c>
      <c r="B1118" s="42" t="inlineStr">
        <is>
          <t>deyga rice water shampoo benefits</t>
        </is>
      </c>
      <c r="C1118" s="42" t="inlineStr">
        <is>
          <t>Yes</t>
        </is>
      </c>
    </row>
    <row r="1119" ht="15" customHeight="1" s="37">
      <c r="A1119" s="42" t="inlineStr">
        <is>
          <t>deyga rice water shampoo</t>
        </is>
      </c>
      <c r="B1119" s="42" t="inlineStr">
        <is>
          <t>deyga rice water shampoo side effects</t>
        </is>
      </c>
      <c r="C1119" s="42" t="n"/>
    </row>
    <row r="1120" ht="15" customHeight="1" s="37">
      <c r="A1120" s="42" t="inlineStr">
        <is>
          <t>deyga rice water shampoo</t>
        </is>
      </c>
      <c r="B1120" s="42" t="inlineStr">
        <is>
          <t>deyga rice water shampoo amazon</t>
        </is>
      </c>
      <c r="C1120" s="42" t="inlineStr">
        <is>
          <t>Yes</t>
        </is>
      </c>
    </row>
    <row r="1121" ht="15" customHeight="1" s="37">
      <c r="A1121" s="42" t="inlineStr">
        <is>
          <t>deyga rose glow serum</t>
        </is>
      </c>
      <c r="B1121" s="42" t="inlineStr">
        <is>
          <t>deyga rose glow serum review</t>
        </is>
      </c>
      <c r="C1121" s="42" t="inlineStr">
        <is>
          <t>Yes</t>
        </is>
      </c>
    </row>
    <row r="1122" ht="15" customHeight="1" s="37">
      <c r="A1122" s="42" t="inlineStr">
        <is>
          <t>deyga rose glow serum</t>
        </is>
      </c>
      <c r="B1122" s="42" t="inlineStr">
        <is>
          <t>deyga rose glow serum</t>
        </is>
      </c>
      <c r="C1122" s="42" t="inlineStr">
        <is>
          <t>Yes</t>
        </is>
      </c>
    </row>
    <row r="1123" ht="15" customHeight="1" s="37">
      <c r="A1123" s="42" t="inlineStr">
        <is>
          <t>deyga soy milk conditioner</t>
        </is>
      </c>
      <c r="B1123" s="42" t="inlineStr">
        <is>
          <t>deyga soy milk conditioner</t>
        </is>
      </c>
      <c r="C1123" s="42" t="inlineStr">
        <is>
          <t>Yes</t>
        </is>
      </c>
    </row>
    <row r="1124" ht="15" customHeight="1" s="37">
      <c r="A1124" s="42" t="inlineStr">
        <is>
          <t>deyga soy milk conditioner</t>
        </is>
      </c>
      <c r="B1124" s="42" t="inlineStr">
        <is>
          <t>deyga soy milk conditioner review</t>
        </is>
      </c>
      <c r="C1124" s="42" t="inlineStr">
        <is>
          <t>Yes</t>
        </is>
      </c>
    </row>
    <row r="1125" ht="15" customHeight="1" s="37">
      <c r="A1125" s="42" t="inlineStr">
        <is>
          <t>deyga soy milk conditioner</t>
        </is>
      </c>
      <c r="B1125" s="42" t="inlineStr">
        <is>
          <t>deyga soy milk conditioner ingredients</t>
        </is>
      </c>
      <c r="C1125" s="42" t="inlineStr">
        <is>
          <t>Yes</t>
        </is>
      </c>
    </row>
    <row r="1126" ht="15" customHeight="1" s="37">
      <c r="A1126" s="42" t="inlineStr">
        <is>
          <t>deyga soy milk conditioner</t>
        </is>
      </c>
      <c r="B1126" s="42" t="inlineStr">
        <is>
          <t>deyga soy milk conditioner 50ml</t>
        </is>
      </c>
      <c r="C1126" s="42" t="inlineStr">
        <is>
          <t>Yes</t>
        </is>
      </c>
    </row>
    <row r="1127" ht="15" customHeight="1" s="37">
      <c r="A1127" s="42" t="inlineStr">
        <is>
          <t>deyga soy milk conditioner</t>
        </is>
      </c>
      <c r="B1127" s="42" t="inlineStr">
        <is>
          <t>deyga soy milk conditioner benefits</t>
        </is>
      </c>
      <c r="C1127" s="42" t="inlineStr">
        <is>
          <t>Yes</t>
        </is>
      </c>
    </row>
    <row r="1128" ht="15" customHeight="1" s="37">
      <c r="A1128" s="42" t="inlineStr">
        <is>
          <t>deyga soy milk conditioner</t>
        </is>
      </c>
      <c r="B1128" s="42" t="inlineStr">
        <is>
          <t>deyga rice water shampoo and soy milk conditioner</t>
        </is>
      </c>
      <c r="C1128" s="42" t="n"/>
    </row>
    <row r="1129" ht="15" customHeight="1" s="37">
      <c r="A1129" s="42" t="inlineStr">
        <is>
          <t>deyga soy milk conditioner</t>
        </is>
      </c>
      <c r="B1129" s="42" t="inlineStr">
        <is>
          <t>is silk milk soy milk</t>
        </is>
      </c>
      <c r="C1129" s="42" t="n"/>
    </row>
    <row r="1130" ht="15" customHeight="1" s="37">
      <c r="A1130" s="42" t="inlineStr">
        <is>
          <t>deyga soy milk conditioner</t>
        </is>
      </c>
      <c r="B1130" s="42" t="inlineStr">
        <is>
          <t>soy milk silk ingredients</t>
        </is>
      </c>
      <c r="C1130" s="42" t="n"/>
    </row>
    <row r="1131" ht="15" customHeight="1" s="37">
      <c r="A1131" s="42" t="inlineStr">
        <is>
          <t>deyga soy milk conditioner</t>
        </is>
      </c>
      <c r="B1131" s="42" t="inlineStr">
        <is>
          <t>does silk soy milk have estrogen</t>
        </is>
      </c>
      <c r="C1131" s="42" t="n"/>
    </row>
    <row r="1132" ht="15" customHeight="1" s="37">
      <c r="A1132" s="42" t="inlineStr">
        <is>
          <t>deyga strawberry lip scrub</t>
        </is>
      </c>
      <c r="B1132" s="42" t="inlineStr">
        <is>
          <t>deyga strawberry lip scrub</t>
        </is>
      </c>
      <c r="C1132" s="42" t="inlineStr">
        <is>
          <t>Yes</t>
        </is>
      </c>
    </row>
    <row r="1133" ht="15" customHeight="1" s="37">
      <c r="A1133" s="42" t="inlineStr">
        <is>
          <t>deyga sunscreen</t>
        </is>
      </c>
      <c r="B1133" s="42" t="inlineStr">
        <is>
          <t>deyga sunscreen</t>
        </is>
      </c>
      <c r="C1133" s="42" t="inlineStr">
        <is>
          <t>Yes</t>
        </is>
      </c>
    </row>
    <row r="1134" ht="15" customHeight="1" s="37">
      <c r="A1134" s="42" t="inlineStr">
        <is>
          <t>deyga sunscreen</t>
        </is>
      </c>
      <c r="B1134" s="42" t="inlineStr">
        <is>
          <t>deyga sunscreen spf 50</t>
        </is>
      </c>
      <c r="C1134" s="42" t="n"/>
    </row>
    <row r="1135" ht="15" customHeight="1" s="37">
      <c r="A1135" s="42" t="inlineStr">
        <is>
          <t>deyga sunscreen</t>
        </is>
      </c>
      <c r="B1135" s="42" t="inlineStr">
        <is>
          <t>deyga sunscreen review</t>
        </is>
      </c>
      <c r="C1135" s="42" t="inlineStr">
        <is>
          <t>Yes</t>
        </is>
      </c>
    </row>
    <row r="1136" ht="15" customHeight="1" s="37">
      <c r="A1136" s="42" t="inlineStr">
        <is>
          <t>deyga sunscreen</t>
        </is>
      </c>
      <c r="B1136" s="42" t="inlineStr">
        <is>
          <t>deyga sunscreen spf 30</t>
        </is>
      </c>
      <c r="C1136" s="42" t="n"/>
    </row>
    <row r="1137" ht="15" customHeight="1" s="37">
      <c r="A1137" s="42" t="inlineStr">
        <is>
          <t>deyga sunscreen</t>
        </is>
      </c>
      <c r="B1137" s="42" t="inlineStr">
        <is>
          <t>deyga sunscreen ingredients</t>
        </is>
      </c>
      <c r="C1137" s="42" t="inlineStr">
        <is>
          <t>Yes</t>
        </is>
      </c>
    </row>
    <row r="1138" ht="15" customHeight="1" s="37">
      <c r="A1138" s="42" t="inlineStr">
        <is>
          <t>deyga sunscreen</t>
        </is>
      </c>
      <c r="B1138" s="42" t="inlineStr">
        <is>
          <t>deyga sunscreen spf 50 review</t>
        </is>
      </c>
      <c r="C1138" s="42" t="n"/>
    </row>
    <row r="1139" ht="15" customHeight="1" s="37">
      <c r="A1139" s="42" t="inlineStr">
        <is>
          <t>deyga sunscreen</t>
        </is>
      </c>
      <c r="B1139" s="42" t="inlineStr">
        <is>
          <t>deyga sunscreen for dry skin</t>
        </is>
      </c>
      <c r="C1139" s="42" t="n"/>
    </row>
    <row r="1140" ht="15" customHeight="1" s="37">
      <c r="A1140" s="42" t="inlineStr">
        <is>
          <t>deyga sunscreen</t>
        </is>
      </c>
      <c r="B1140" s="42" t="inlineStr">
        <is>
          <t>deyga sunscreen price</t>
        </is>
      </c>
      <c r="C1140" s="42" t="inlineStr">
        <is>
          <t>Yes</t>
        </is>
      </c>
    </row>
    <row r="1141" ht="15" customHeight="1" s="37">
      <c r="A1141" s="42" t="inlineStr">
        <is>
          <t>deyga sunscreen</t>
        </is>
      </c>
      <c r="B1141" s="42" t="inlineStr">
        <is>
          <t>deyga sunscreen for oily skin</t>
        </is>
      </c>
      <c r="C1141" s="42" t="n"/>
    </row>
    <row r="1142" ht="15" customHeight="1" s="37">
      <c r="A1142" s="42" t="inlineStr">
        <is>
          <t>deyga sunscreen</t>
        </is>
      </c>
      <c r="B1142" s="42" t="inlineStr">
        <is>
          <t>deyga sunscreen amazon</t>
        </is>
      </c>
      <c r="C1142" s="42" t="inlineStr">
        <is>
          <t>Yes</t>
        </is>
      </c>
    </row>
    <row r="1143" ht="15" customHeight="1" s="37">
      <c r="A1143" s="42" t="inlineStr">
        <is>
          <t>deyga uk</t>
        </is>
      </c>
      <c r="B1143" s="42" t="inlineStr">
        <is>
          <t>deyga uk</t>
        </is>
      </c>
      <c r="C1143" s="42" t="inlineStr">
        <is>
          <t>Yes</t>
        </is>
      </c>
    </row>
    <row r="1144" ht="15" customHeight="1" s="37">
      <c r="A1144" s="42" t="inlineStr">
        <is>
          <t>deyga uk</t>
        </is>
      </c>
      <c r="B1144" s="42" t="inlineStr">
        <is>
          <t>deyga organics uk</t>
        </is>
      </c>
      <c r="C1144" s="42" t="inlineStr">
        <is>
          <t>Yes</t>
        </is>
      </c>
    </row>
    <row r="1145" ht="15" customHeight="1" s="37">
      <c r="A1145" s="42" t="inlineStr">
        <is>
          <t>deyga uk</t>
        </is>
      </c>
      <c r="B1145" s="42" t="inlineStr">
        <is>
          <t>is deyga a good brand</t>
        </is>
      </c>
      <c r="C1145" s="42" t="n"/>
    </row>
    <row r="1146" ht="15" customHeight="1" s="37">
      <c r="A1146" s="42" t="inlineStr">
        <is>
          <t>deyga uk</t>
        </is>
      </c>
      <c r="B1146" s="42" t="inlineStr">
        <is>
          <t>is deyga products good</t>
        </is>
      </c>
      <c r="C1146" s="42" t="n"/>
    </row>
    <row r="1147" ht="15" customHeight="1" s="37">
      <c r="A1147" s="42" t="inlineStr">
        <is>
          <t>deyga uk</t>
        </is>
      </c>
      <c r="B1147" s="42" t="inlineStr">
        <is>
          <t>deyga products near me</t>
        </is>
      </c>
      <c r="C1147" s="42" t="inlineStr">
        <is>
          <t>Yes</t>
        </is>
      </c>
    </row>
    <row r="1148" ht="15" customHeight="1" s="37">
      <c r="A1148" s="42" t="inlineStr">
        <is>
          <t>deyga under eye cream</t>
        </is>
      </c>
      <c r="B1148" s="42" t="inlineStr">
        <is>
          <t>deyga under eye cream</t>
        </is>
      </c>
      <c r="C1148" s="42" t="inlineStr">
        <is>
          <t>Yes</t>
        </is>
      </c>
    </row>
    <row r="1149" ht="15" customHeight="1" s="37">
      <c r="A1149" s="42" t="inlineStr">
        <is>
          <t>deyga under eye cream</t>
        </is>
      </c>
      <c r="B1149" s="42" t="inlineStr">
        <is>
          <t>deyga under eye cream for dark circles</t>
        </is>
      </c>
      <c r="C1149" s="42" t="n"/>
    </row>
    <row r="1150" ht="15" customHeight="1" s="37">
      <c r="A1150" s="42" t="inlineStr">
        <is>
          <t>deyga under eye cream</t>
        </is>
      </c>
      <c r="B1150" s="42" t="inlineStr">
        <is>
          <t>deyga under eye cream side effects</t>
        </is>
      </c>
      <c r="C1150" s="42" t="n"/>
    </row>
    <row r="1151" ht="15" customHeight="1" s="37">
      <c r="A1151" s="42" t="inlineStr">
        <is>
          <t>deyga under eye cream</t>
        </is>
      </c>
      <c r="B1151" s="42" t="inlineStr">
        <is>
          <t>deyga under eye cream review</t>
        </is>
      </c>
      <c r="C1151" s="42" t="inlineStr">
        <is>
          <t>Yes</t>
        </is>
      </c>
    </row>
    <row r="1152" ht="15" customHeight="1" s="37">
      <c r="A1152" s="42" t="inlineStr">
        <is>
          <t>deyga under eye cream</t>
        </is>
      </c>
      <c r="B1152" s="42" t="inlineStr">
        <is>
          <t>deyga under eye cream amazon</t>
        </is>
      </c>
      <c r="C1152" s="42" t="inlineStr">
        <is>
          <t>Yes</t>
        </is>
      </c>
    </row>
    <row r="1153" ht="15" customHeight="1" s="37">
      <c r="A1153" s="42" t="inlineStr">
        <is>
          <t>deyga under eye cream</t>
        </is>
      </c>
      <c r="B1153" s="42" t="inlineStr">
        <is>
          <t>deyga under eye cream ingredients</t>
        </is>
      </c>
      <c r="C1153" s="42" t="inlineStr">
        <is>
          <t>Yes</t>
        </is>
      </c>
    </row>
    <row r="1154" ht="15" customHeight="1" s="37">
      <c r="A1154" s="42" t="inlineStr">
        <is>
          <t>deyga under eye cream</t>
        </is>
      </c>
      <c r="B1154" s="42" t="inlineStr">
        <is>
          <t>deyga under eye cream benefits</t>
        </is>
      </c>
      <c r="C1154" s="42" t="inlineStr">
        <is>
          <t>Yes</t>
        </is>
      </c>
    </row>
    <row r="1155" ht="15" customHeight="1" s="37">
      <c r="A1155" s="42" t="inlineStr">
        <is>
          <t>deyga under eye cream</t>
        </is>
      </c>
      <c r="B1155" s="42" t="inlineStr">
        <is>
          <t>deyga under eye cream top pick</t>
        </is>
      </c>
      <c r="C1155" s="42" t="n"/>
    </row>
    <row r="1156" ht="15" customHeight="1" s="37">
      <c r="A1156" s="42" t="inlineStr">
        <is>
          <t>deyga under eye cream</t>
        </is>
      </c>
      <c r="B1156" s="42" t="inlineStr">
        <is>
          <t>deyga under eye cream how to use</t>
        </is>
      </c>
      <c r="C1156" s="42" t="inlineStr">
        <is>
          <t>Yes</t>
        </is>
      </c>
    </row>
    <row r="1157" ht="15" customHeight="1" s="37">
      <c r="A1157" s="42" t="inlineStr">
        <is>
          <t>deyga under eye cream</t>
        </is>
      </c>
      <c r="B1157" s="42" t="inlineStr">
        <is>
          <t>deyga organics under eye cream</t>
        </is>
      </c>
      <c r="C1157" s="42" t="n"/>
    </row>
    <row r="1158" ht="15" customHeight="1" s="37">
      <c r="A1158" s="42" t="inlineStr">
        <is>
          <t>deyga under eye mask</t>
        </is>
      </c>
      <c r="B1158" s="42" t="inlineStr">
        <is>
          <t>deyga under eye mask</t>
        </is>
      </c>
      <c r="C1158" s="42" t="inlineStr">
        <is>
          <t>Yes</t>
        </is>
      </c>
    </row>
    <row r="1159" ht="15" customHeight="1" s="37">
      <c r="A1159" s="42" t="inlineStr">
        <is>
          <t>deyga under eye mask</t>
        </is>
      </c>
      <c r="B1159" s="42" t="inlineStr">
        <is>
          <t>deyga under eye mask review</t>
        </is>
      </c>
      <c r="C1159" s="42" t="inlineStr">
        <is>
          <t>Yes</t>
        </is>
      </c>
    </row>
    <row r="1160" ht="15" customHeight="1" s="37">
      <c r="A1160" s="42" t="inlineStr">
        <is>
          <t>deyga under eye mask</t>
        </is>
      </c>
      <c r="B1160" s="42" t="inlineStr">
        <is>
          <t>how to use deyga under eye mask</t>
        </is>
      </c>
      <c r="C1160" s="42" t="inlineStr">
        <is>
          <t>Yes</t>
        </is>
      </c>
    </row>
    <row r="1161" ht="15" customHeight="1" s="37">
      <c r="A1161" s="42" t="inlineStr">
        <is>
          <t>deyga vitamin c foaming face wash</t>
        </is>
      </c>
      <c r="B1161" s="42" t="inlineStr">
        <is>
          <t>deyga vitamin c foaming face wash</t>
        </is>
      </c>
      <c r="C1161" s="42" t="inlineStr">
        <is>
          <t>Yes</t>
        </is>
      </c>
    </row>
    <row r="1162" ht="15" customHeight="1" s="37">
      <c r="A1162" s="42" t="inlineStr">
        <is>
          <t>deyga vitamin c foaming face wash</t>
        </is>
      </c>
      <c r="B1162" s="42" t="inlineStr">
        <is>
          <t>deyga vitamin c foaming face wash review</t>
        </is>
      </c>
      <c r="C1162" s="42" t="inlineStr">
        <is>
          <t>Yes</t>
        </is>
      </c>
    </row>
    <row r="1163" ht="15" customHeight="1" s="37">
      <c r="A1163" s="42" t="inlineStr">
        <is>
          <t>deyga vitamin c foaming face wash</t>
        </is>
      </c>
      <c r="B1163" s="42" t="inlineStr">
        <is>
          <t>which foaming face wash is best</t>
        </is>
      </c>
      <c r="C1163" s="42" t="n"/>
    </row>
    <row r="1164" ht="15" customHeight="1" s="37">
      <c r="A1164" s="42" t="inlineStr">
        <is>
          <t>deyga vitamin c foaming face wash</t>
        </is>
      </c>
      <c r="B1164" s="42" t="inlineStr">
        <is>
          <t>is foaming face wash good for dry skin</t>
        </is>
      </c>
      <c r="C1164" s="42" t="n"/>
    </row>
    <row r="1165" ht="15" customHeight="1" s="37">
      <c r="A1165" s="42" t="inlineStr">
        <is>
          <t>deyga vitamin c foaming face wash</t>
        </is>
      </c>
      <c r="B1165" s="42" t="inlineStr">
        <is>
          <t>do foaming cleansers dry out skin</t>
        </is>
      </c>
      <c r="C1165" s="42" t="n"/>
    </row>
    <row r="1166" ht="15" customHeight="1" s="37">
      <c r="A1166" s="42" t="inlineStr">
        <is>
          <t>deyga vitamin c foaming face wash</t>
        </is>
      </c>
      <c r="B1166" s="42" t="inlineStr">
        <is>
          <t>is vitamin c face wash good for dry skin</t>
        </is>
      </c>
      <c r="C1166" s="42" t="n"/>
    </row>
    <row r="1167" ht="15" customHeight="1" s="37">
      <c r="A1167" s="42" t="inlineStr">
        <is>
          <t>deyga wild berry body wash</t>
        </is>
      </c>
      <c r="B1167" s="42" t="inlineStr">
        <is>
          <t>deyga wild berry body wash</t>
        </is>
      </c>
      <c r="C1167" s="42" t="inlineStr">
        <is>
          <t>Yes</t>
        </is>
      </c>
    </row>
    <row r="1168" ht="15" customHeight="1" s="37">
      <c r="A1168" s="42" t="inlineStr">
        <is>
          <t>deyga wild berry body wash</t>
        </is>
      </c>
      <c r="B1168" s="42" t="inlineStr">
        <is>
          <t>deyga wild berry body wash review</t>
        </is>
      </c>
      <c r="C1168" s="42" t="inlineStr">
        <is>
          <t>Yes</t>
        </is>
      </c>
    </row>
    <row r="1169" ht="15" customHeight="1" s="37">
      <c r="A1169" s="42" t="inlineStr">
        <is>
          <t>dior iconics mini discovery set</t>
        </is>
      </c>
      <c r="B1169" s="42" t="inlineStr">
        <is>
          <t>dior le mini 30 montaigne the iconics discovery set</t>
        </is>
      </c>
      <c r="C1169" s="42" t="n"/>
    </row>
    <row r="1170" ht="15" customHeight="1" s="37">
      <c r="A1170" s="42" t="inlineStr">
        <is>
          <t>dior iconics mini discovery set</t>
        </is>
      </c>
      <c r="B1170" s="42" t="inlineStr">
        <is>
          <t>dior mini bag price</t>
        </is>
      </c>
      <c r="C1170" s="42" t="n"/>
    </row>
    <row r="1171" ht="15" customHeight="1" s="37">
      <c r="A1171" s="42" t="inlineStr">
        <is>
          <t>dior iconics mini discovery set</t>
        </is>
      </c>
      <c r="B1171" s="42" t="inlineStr">
        <is>
          <t>dior diorama price</t>
        </is>
      </c>
      <c r="C1171" s="42" t="n"/>
    </row>
    <row r="1172" ht="15" customHeight="1" s="37">
      <c r="A1172" s="42" t="inlineStr">
        <is>
          <t>dior miss dior roller-pearl</t>
        </is>
      </c>
      <c r="B1172" s="42" t="inlineStr">
        <is>
          <t>dior miss dior roller-pearl</t>
        </is>
      </c>
      <c r="C1172" s="42" t="inlineStr">
        <is>
          <t>Yes</t>
        </is>
      </c>
    </row>
    <row r="1173" ht="15" customHeight="1" s="37">
      <c r="A1173" s="42" t="inlineStr">
        <is>
          <t>dior miss dior roller-pearl</t>
        </is>
      </c>
      <c r="B1173" s="42" t="inlineStr">
        <is>
          <t>dior miss dior roller pearl eau de parfum</t>
        </is>
      </c>
      <c r="C1173" s="42" t="inlineStr">
        <is>
          <t>Yes</t>
        </is>
      </c>
    </row>
    <row r="1174" ht="15" customHeight="1" s="37">
      <c r="A1174" s="42" t="inlineStr">
        <is>
          <t>dior miss dior roller-pearl</t>
        </is>
      </c>
      <c r="B1174" s="42" t="inlineStr">
        <is>
          <t>dior miss dior roller pearl edp 20ml</t>
        </is>
      </c>
      <c r="C1174" s="42" t="inlineStr">
        <is>
          <t>Yes</t>
        </is>
      </c>
    </row>
    <row r="1175" ht="15" customHeight="1" s="37">
      <c r="A1175" s="42" t="inlineStr">
        <is>
          <t>dior miss dior roller-pearl</t>
        </is>
      </c>
      <c r="B1175" s="42" t="inlineStr">
        <is>
          <t>dior miss dior roller pearl eau de parfum woman 20ml</t>
        </is>
      </c>
      <c r="C1175" s="42" t="n"/>
    </row>
    <row r="1176" ht="15" customHeight="1" s="37">
      <c r="A1176" s="42" t="inlineStr">
        <is>
          <t>dior miss dior roller-pearl</t>
        </is>
      </c>
      <c r="B1176" s="42" t="inlineStr">
        <is>
          <t>dior miss dior roller pearl eau de toilette</t>
        </is>
      </c>
      <c r="C1176" s="42" t="n"/>
    </row>
    <row r="1177" ht="15" customHeight="1" s="37">
      <c r="A1177" s="42" t="inlineStr">
        <is>
          <t>dior miss dior roller-pearl</t>
        </is>
      </c>
      <c r="B1177" s="42" t="inlineStr">
        <is>
          <t>dior miss dior roller pearl blooming bouquet</t>
        </is>
      </c>
      <c r="C1177" s="42" t="n"/>
    </row>
    <row r="1178" ht="15" customHeight="1" s="37">
      <c r="A1178" s="42" t="inlineStr">
        <is>
          <t>dior miss dior roller-pearl</t>
        </is>
      </c>
      <c r="B1178" s="42" t="inlineStr">
        <is>
          <t>dior miss dior roller pearl parfum</t>
        </is>
      </c>
      <c r="C1178" s="42" t="inlineStr">
        <is>
          <t>Yes</t>
        </is>
      </c>
    </row>
    <row r="1179" ht="15" customHeight="1" s="37">
      <c r="A1179" s="42" t="inlineStr">
        <is>
          <t>dior miss dior roller-pearl</t>
        </is>
      </c>
      <c r="B1179" s="42" t="inlineStr">
        <is>
          <t>dior miss dior roller pearl 20ml</t>
        </is>
      </c>
      <c r="C1179" s="42" t="inlineStr">
        <is>
          <t>Yes</t>
        </is>
      </c>
    </row>
    <row r="1180" ht="15" customHeight="1" s="37">
      <c r="A1180" s="42" t="inlineStr">
        <is>
          <t>dior miss dior roller-pearl</t>
        </is>
      </c>
      <c r="B1180" s="42" t="inlineStr">
        <is>
          <t>dior miss dior roller pearl rose n roses</t>
        </is>
      </c>
      <c r="C1180" s="42" t="n"/>
    </row>
    <row r="1181" ht="15" customHeight="1" s="37">
      <c r="A1181" s="42" t="inlineStr">
        <is>
          <t>dior miss dior roller-pearl</t>
        </is>
      </c>
      <c r="B1181" s="42" t="inlineStr">
        <is>
          <t>dior beauty miss dior roller pearl eau de toilette</t>
        </is>
      </c>
      <c r="C1181" s="42" t="n"/>
    </row>
    <row r="1182" ht="15" customHeight="1" s="37">
      <c r="A1182" s="42" t="inlineStr">
        <is>
          <t>dior perfume</t>
        </is>
      </c>
      <c r="B1182" s="42" t="inlineStr">
        <is>
          <t>dior perfume</t>
        </is>
      </c>
      <c r="C1182" s="42" t="inlineStr">
        <is>
          <t>Yes</t>
        </is>
      </c>
    </row>
    <row r="1183" ht="15" customHeight="1" s="37">
      <c r="A1183" s="42" t="inlineStr">
        <is>
          <t>dior perfume</t>
        </is>
      </c>
      <c r="B1183" s="42" t="inlineStr">
        <is>
          <t>dior perfume women</t>
        </is>
      </c>
      <c r="C1183" s="42" t="n"/>
    </row>
    <row r="1184" ht="15" customHeight="1" s="37">
      <c r="A1184" s="42" t="inlineStr">
        <is>
          <t>dior perfume</t>
        </is>
      </c>
      <c r="B1184" s="42" t="inlineStr">
        <is>
          <t>dior perfume men</t>
        </is>
      </c>
      <c r="C1184" s="42" t="n"/>
    </row>
    <row r="1185" ht="15" customHeight="1" s="37">
      <c r="A1185" s="42" t="inlineStr">
        <is>
          <t>dior perfume</t>
        </is>
      </c>
      <c r="B1185" s="42" t="inlineStr">
        <is>
          <t>dior perfume price</t>
        </is>
      </c>
      <c r="C1185" s="42" t="n"/>
    </row>
    <row r="1186" ht="15" customHeight="1" s="37">
      <c r="A1186" s="42" t="inlineStr">
        <is>
          <t>dior perfume</t>
        </is>
      </c>
      <c r="B1186" s="42" t="inlineStr">
        <is>
          <t>dior perfume price in pakistan</t>
        </is>
      </c>
      <c r="C1186" s="42" t="n"/>
    </row>
    <row r="1187" ht="15" customHeight="1" s="37">
      <c r="A1187" s="42" t="inlineStr">
        <is>
          <t>dior perfume</t>
        </is>
      </c>
      <c r="B1187" s="42" t="inlineStr">
        <is>
          <t>dior perfume set</t>
        </is>
      </c>
      <c r="C1187" s="42" t="n"/>
    </row>
    <row r="1188" ht="15" customHeight="1" s="37">
      <c r="A1188" s="42" t="inlineStr">
        <is>
          <t>dior perfume</t>
        </is>
      </c>
      <c r="B1188" s="42" t="inlineStr">
        <is>
          <t>dior perfume price in india</t>
        </is>
      </c>
      <c r="C1188" s="42" t="n"/>
    </row>
    <row r="1189" ht="15" customHeight="1" s="37">
      <c r="A1189" s="42" t="inlineStr">
        <is>
          <t>dior perfume</t>
        </is>
      </c>
      <c r="B1189" s="42" t="inlineStr">
        <is>
          <t>dior perfume price in bangladesh</t>
        </is>
      </c>
      <c r="C1189" s="42" t="n"/>
    </row>
    <row r="1190" ht="15" customHeight="1" s="37">
      <c r="A1190" s="42" t="inlineStr">
        <is>
          <t>dior perfume</t>
        </is>
      </c>
      <c r="B1190" s="42" t="inlineStr">
        <is>
          <t>dior perfume gift set</t>
        </is>
      </c>
      <c r="C1190" s="42" t="n"/>
    </row>
    <row r="1191" ht="15" customHeight="1" s="37">
      <c r="A1191" s="42" t="inlineStr">
        <is>
          <t>dior perfume</t>
        </is>
      </c>
      <c r="B1191" s="42" t="inlineStr">
        <is>
          <t>dior perfume sauvage</t>
        </is>
      </c>
      <c r="C1191" s="42" t="n"/>
    </row>
    <row r="1192" ht="15" customHeight="1" s="37">
      <c r="A1192" s="42" t="inlineStr">
        <is>
          <t>dior sauvage</t>
        </is>
      </c>
      <c r="B1192" s="42" t="inlineStr">
        <is>
          <t>dior sauvage</t>
        </is>
      </c>
      <c r="C1192" s="42" t="inlineStr">
        <is>
          <t>Yes</t>
        </is>
      </c>
    </row>
    <row r="1193" ht="15" customHeight="1" s="37">
      <c r="A1193" s="42" t="inlineStr">
        <is>
          <t>dior sauvage</t>
        </is>
      </c>
      <c r="B1193" s="42" t="inlineStr">
        <is>
          <t>dior sauvage elixir</t>
        </is>
      </c>
      <c r="C1193" s="42" t="n"/>
    </row>
    <row r="1194" ht="15" customHeight="1" s="37">
      <c r="A1194" s="42" t="inlineStr">
        <is>
          <t>dior sauvage</t>
        </is>
      </c>
      <c r="B1194" s="42" t="inlineStr">
        <is>
          <t>dior sauvage extrait</t>
        </is>
      </c>
      <c r="C1194" s="42" t="inlineStr">
        <is>
          <t>Yes</t>
        </is>
      </c>
    </row>
    <row r="1195" ht="15" customHeight="1" s="37">
      <c r="A1195" s="42" t="inlineStr">
        <is>
          <t>dior sauvage</t>
        </is>
      </c>
      <c r="B1195" s="42" t="inlineStr">
        <is>
          <t>dior sauvage parfum</t>
        </is>
      </c>
      <c r="C1195" s="42" t="inlineStr">
        <is>
          <t>Yes</t>
        </is>
      </c>
    </row>
    <row r="1196" ht="15" customHeight="1" s="37">
      <c r="A1196" s="42" t="inlineStr">
        <is>
          <t>dior sauvage</t>
        </is>
      </c>
      <c r="B1196" s="42" t="inlineStr">
        <is>
          <t>dior sauvage eau de parfum</t>
        </is>
      </c>
      <c r="C1196" s="42" t="inlineStr">
        <is>
          <t>Yes</t>
        </is>
      </c>
    </row>
    <row r="1197" ht="15" customHeight="1" s="37">
      <c r="A1197" s="42" t="inlineStr">
        <is>
          <t>dior sauvage</t>
        </is>
      </c>
      <c r="B1197" s="42" t="inlineStr">
        <is>
          <t>dior sauvage price</t>
        </is>
      </c>
      <c r="C1197" s="42" t="inlineStr">
        <is>
          <t>Yes</t>
        </is>
      </c>
    </row>
    <row r="1198" ht="15" customHeight="1" s="37">
      <c r="A1198" s="42" t="inlineStr">
        <is>
          <t>dior sauvage</t>
        </is>
      </c>
      <c r="B1198" s="42" t="inlineStr">
        <is>
          <t>dior sauvage edp</t>
        </is>
      </c>
      <c r="C1198" s="42" t="inlineStr">
        <is>
          <t>Yes</t>
        </is>
      </c>
    </row>
    <row r="1199" ht="15" customHeight="1" s="37">
      <c r="A1199" s="42" t="inlineStr">
        <is>
          <t>dior sauvage</t>
        </is>
      </c>
      <c r="B1199" s="42" t="inlineStr">
        <is>
          <t>dior sauvage edt</t>
        </is>
      </c>
      <c r="C1199" s="42" t="inlineStr">
        <is>
          <t>Yes</t>
        </is>
      </c>
    </row>
    <row r="1200" ht="15" customHeight="1" s="37">
      <c r="A1200" s="42" t="inlineStr">
        <is>
          <t>dior sauvage</t>
        </is>
      </c>
      <c r="B1200" s="42" t="inlineStr">
        <is>
          <t>dior sauvage price in bd</t>
        </is>
      </c>
      <c r="C1200" s="42" t="n"/>
    </row>
    <row r="1201" ht="15" customHeight="1" s="37">
      <c r="A1201" s="42" t="inlineStr">
        <is>
          <t>dior sauvage</t>
        </is>
      </c>
      <c r="B1201" s="42" t="inlineStr">
        <is>
          <t>dior sauvage notes</t>
        </is>
      </c>
      <c r="C1201" s="42" t="n"/>
    </row>
    <row r="1202" ht="15" customHeight="1" s="37">
      <c r="A1202" s="42" t="inlineStr">
        <is>
          <t>dkny be delicious &amp; be delicious fresh blossom gift set</t>
        </is>
      </c>
      <c r="B1202" s="42" t="inlineStr">
        <is>
          <t>dkny be delicious fresh blossom gift set</t>
        </is>
      </c>
      <c r="C1202" s="42" t="inlineStr">
        <is>
          <t>Yes</t>
        </is>
      </c>
    </row>
    <row r="1203" ht="15" customHeight="1" s="37">
      <c r="A1203" s="42" t="inlineStr">
        <is>
          <t>dkny be delicious &amp; be delicious fresh blossom gift set</t>
        </is>
      </c>
      <c r="B1203" s="42" t="inlineStr">
        <is>
          <t>dkny be delicious fresh blossom gift set 30ml edp 7ml edp</t>
        </is>
      </c>
      <c r="C1203" s="42" t="inlineStr">
        <is>
          <t>Yes</t>
        </is>
      </c>
    </row>
    <row r="1204" ht="15" customHeight="1" s="37">
      <c r="A1204" s="42" t="inlineStr">
        <is>
          <t>dkny be delicious &amp; be delicious fresh blossom gift set</t>
        </is>
      </c>
      <c r="B1204" s="42" t="inlineStr">
        <is>
          <t>dkny be delicious gift set 30ml be delicious edp 30ml fresh blossom edp</t>
        </is>
      </c>
      <c r="C1204" s="42" t="inlineStr">
        <is>
          <t>Yes</t>
        </is>
      </c>
    </row>
    <row r="1205" ht="15" customHeight="1" s="37">
      <c r="A1205" s="42" t="inlineStr">
        <is>
          <t>dkny be delicious &amp; be delicious fresh blossom gift set</t>
        </is>
      </c>
      <c r="B1205" s="42" t="inlineStr">
        <is>
          <t>what does dkny be delicious fresh blossom smell like</t>
        </is>
      </c>
      <c r="C1205" s="42" t="n"/>
    </row>
    <row r="1206" ht="15" customHeight="1" s="37">
      <c r="A1206" s="42" t="inlineStr">
        <is>
          <t>dkny be delicious &amp; be delicious fresh blossom gift set</t>
        </is>
      </c>
      <c r="B1206" s="42" t="inlineStr">
        <is>
          <t>dkny be delicious fresh blossom review</t>
        </is>
      </c>
      <c r="C1206" s="42" t="inlineStr">
        <is>
          <t>Yes</t>
        </is>
      </c>
    </row>
    <row r="1207" ht="15" customHeight="1" s="37">
      <c r="A1207" s="42" t="inlineStr">
        <is>
          <t>dkny be delicious &amp; be delicious fresh blossom gift set</t>
        </is>
      </c>
      <c r="B1207" s="42" t="inlineStr">
        <is>
          <t>what does dkny be delicious smell like</t>
        </is>
      </c>
      <c r="C1207" s="42" t="n"/>
    </row>
    <row r="1208" ht="15" customHeight="1" s="37">
      <c r="A1208" s="42" t="inlineStr">
        <is>
          <t>dkny be delicious &amp; be delicious fresh blossom gift set</t>
        </is>
      </c>
      <c r="B1208" s="42" t="inlineStr">
        <is>
          <t>which dkny be delicious perfume is the best</t>
        </is>
      </c>
      <c r="C1208" s="42" t="n"/>
    </row>
    <row r="1209" ht="15" customHeight="1" s="37">
      <c r="A1209" s="42" t="inlineStr">
        <is>
          <t>dkny be delicious orchard street</t>
        </is>
      </c>
      <c r="B1209" s="42" t="inlineStr">
        <is>
          <t>dkny be delicious orchard street</t>
        </is>
      </c>
      <c r="C1209" s="42" t="inlineStr">
        <is>
          <t>Yes</t>
        </is>
      </c>
    </row>
    <row r="1210" ht="15" customHeight="1" s="37">
      <c r="A1210" s="42" t="inlineStr">
        <is>
          <t>dkny be delicious orchard street</t>
        </is>
      </c>
      <c r="B1210" s="42" t="inlineStr">
        <is>
          <t>dkny be delicious orchard street eau de parfum</t>
        </is>
      </c>
      <c r="C1210" s="42" t="inlineStr">
        <is>
          <t>Yes</t>
        </is>
      </c>
    </row>
    <row r="1211" ht="15" customHeight="1" s="37">
      <c r="A1211" s="42" t="inlineStr">
        <is>
          <t>dkny be delicious orchard street</t>
        </is>
      </c>
      <c r="B1211" s="42" t="inlineStr">
        <is>
          <t>dkny be delicious orchard street edp</t>
        </is>
      </c>
      <c r="C1211" s="42" t="inlineStr">
        <is>
          <t>Yes</t>
        </is>
      </c>
    </row>
    <row r="1212" ht="15" customHeight="1" s="37">
      <c r="A1212" s="42" t="inlineStr">
        <is>
          <t>dkny be delicious orchard street</t>
        </is>
      </c>
      <c r="B1212" s="42" t="inlineStr">
        <is>
          <t>dkny be delicious orchard street edp 100ml</t>
        </is>
      </c>
      <c r="C1212" s="42" t="inlineStr">
        <is>
          <t>Yes</t>
        </is>
      </c>
    </row>
    <row r="1213" ht="15" customHeight="1" s="37">
      <c r="A1213" s="42" t="inlineStr">
        <is>
          <t>dkny be delicious orchard street</t>
        </is>
      </c>
      <c r="B1213" s="42" t="inlineStr">
        <is>
          <t>dkny be delicious orchard street edp 30ml</t>
        </is>
      </c>
      <c r="C1213" s="42" t="inlineStr">
        <is>
          <t>Yes</t>
        </is>
      </c>
    </row>
    <row r="1214" ht="15" customHeight="1" s="37">
      <c r="A1214" s="42" t="inlineStr">
        <is>
          <t>dkny be delicious orchard street</t>
        </is>
      </c>
      <c r="B1214" s="42" t="inlineStr">
        <is>
          <t>dkny be delicious orchard street body mist 250ml</t>
        </is>
      </c>
      <c r="C1214" s="42" t="n"/>
    </row>
    <row r="1215" ht="15" customHeight="1" s="37">
      <c r="A1215" s="42" t="inlineStr">
        <is>
          <t>dkny be delicious orchard street</t>
        </is>
      </c>
      <c r="B1215" s="42" t="inlineStr">
        <is>
          <t>dkny be delicious orchard street eau de parfum 100ml</t>
        </is>
      </c>
      <c r="C1215" s="42" t="inlineStr">
        <is>
          <t>Yes</t>
        </is>
      </c>
    </row>
    <row r="1216" ht="15" customHeight="1" s="37">
      <c r="A1216" s="42" t="inlineStr">
        <is>
          <t>dkny be delicious orchard street</t>
        </is>
      </c>
      <c r="B1216" s="42" t="inlineStr">
        <is>
          <t>dkny be delicious orchard street perfume</t>
        </is>
      </c>
      <c r="C1216" s="42" t="inlineStr">
        <is>
          <t>Yes</t>
        </is>
      </c>
    </row>
    <row r="1217" ht="15" customHeight="1" s="37">
      <c r="A1217" s="42" t="inlineStr">
        <is>
          <t>dkny be delicious orchard street</t>
        </is>
      </c>
      <c r="B1217" s="42" t="inlineStr">
        <is>
          <t>dkny be delicious orchard street eau de parfum 30ml</t>
        </is>
      </c>
      <c r="C1217" s="42" t="n"/>
    </row>
    <row r="1218" ht="15" customHeight="1" s="37">
      <c r="A1218" s="42" t="inlineStr">
        <is>
          <t>dkny be delicious orchard street</t>
        </is>
      </c>
      <c r="B1218" s="42" t="inlineStr">
        <is>
          <t>dkny be delicious orchard street review</t>
        </is>
      </c>
      <c r="C1218" s="42" t="n"/>
    </row>
    <row r="1219" ht="15" customHeight="1" s="37">
      <c r="A1219" s="42" t="inlineStr">
        <is>
          <t>dkny be tempted</t>
        </is>
      </c>
      <c r="B1219" s="42" t="inlineStr">
        <is>
          <t>dkny be tempted</t>
        </is>
      </c>
      <c r="C1219" s="42" t="inlineStr">
        <is>
          <t>Yes</t>
        </is>
      </c>
    </row>
    <row r="1220" ht="15" customHeight="1" s="37">
      <c r="A1220" s="42" t="inlineStr">
        <is>
          <t>dkny be tempted</t>
        </is>
      </c>
      <c r="B1220" s="42" t="inlineStr">
        <is>
          <t>dkny be tempted eau so blush</t>
        </is>
      </c>
      <c r="C1220" s="42" t="n"/>
    </row>
    <row r="1221" ht="15" customHeight="1" s="37">
      <c r="A1221" s="42" t="inlineStr">
        <is>
          <t>dkny be tempted</t>
        </is>
      </c>
      <c r="B1221" s="42" t="inlineStr">
        <is>
          <t>dkny be tempted perfume</t>
        </is>
      </c>
      <c r="C1221" s="42" t="inlineStr">
        <is>
          <t>Yes</t>
        </is>
      </c>
    </row>
    <row r="1222" ht="15" customHeight="1" s="37">
      <c r="A1222" s="42" t="inlineStr">
        <is>
          <t>dkny be tempted</t>
        </is>
      </c>
      <c r="B1222" s="42" t="inlineStr">
        <is>
          <t>dkny be tempted 100ml</t>
        </is>
      </c>
      <c r="C1222" s="42" t="inlineStr">
        <is>
          <t>Yes</t>
        </is>
      </c>
    </row>
    <row r="1223" ht="15" customHeight="1" s="37">
      <c r="A1223" s="42" t="inlineStr">
        <is>
          <t>dkny be tempted</t>
        </is>
      </c>
      <c r="B1223" s="42" t="inlineStr">
        <is>
          <t>dkny be tempted 50ml</t>
        </is>
      </c>
      <c r="C1223" s="42" t="inlineStr">
        <is>
          <t>Yes</t>
        </is>
      </c>
    </row>
    <row r="1224" ht="15" customHeight="1" s="37">
      <c r="A1224" s="42" t="inlineStr">
        <is>
          <t>dkny be tempted</t>
        </is>
      </c>
      <c r="B1224" s="42" t="inlineStr">
        <is>
          <t>dkny be tempted notes</t>
        </is>
      </c>
      <c r="C1224" s="42" t="inlineStr">
        <is>
          <t>Yes</t>
        </is>
      </c>
    </row>
    <row r="1225" ht="15" customHeight="1" s="37">
      <c r="A1225" s="42" t="inlineStr">
        <is>
          <t>dkny be tempted</t>
        </is>
      </c>
      <c r="B1225" s="42" t="inlineStr">
        <is>
          <t>dkny be tempted review</t>
        </is>
      </c>
      <c r="C1225" s="42" t="inlineStr">
        <is>
          <t>Yes</t>
        </is>
      </c>
    </row>
    <row r="1226" ht="15" customHeight="1" s="37">
      <c r="A1226" s="42" t="inlineStr">
        <is>
          <t>dkny be tempted</t>
        </is>
      </c>
      <c r="B1226" s="42" t="inlineStr">
        <is>
          <t>dkny be tempted eau de parfum</t>
        </is>
      </c>
      <c r="C1226" s="42" t="inlineStr">
        <is>
          <t>Yes</t>
        </is>
      </c>
    </row>
    <row r="1227" ht="15" customHeight="1" s="37">
      <c r="A1227" s="42" t="inlineStr">
        <is>
          <t>dkny be tempted</t>
        </is>
      </c>
      <c r="B1227" s="42" t="inlineStr">
        <is>
          <t>dkny be tempted blush</t>
        </is>
      </c>
      <c r="C1227" s="42" t="n"/>
    </row>
    <row r="1228" ht="15" customHeight="1" s="37">
      <c r="A1228" s="42" t="inlineStr">
        <is>
          <t>dkny be tempted</t>
        </is>
      </c>
      <c r="B1228" s="42" t="inlineStr">
        <is>
          <t>dkny be tempted eau so blush 50ml</t>
        </is>
      </c>
      <c r="C1228" s="42" t="n"/>
    </row>
    <row r="1229" ht="15" customHeight="1" s="37">
      <c r="A1229" s="42" t="inlineStr">
        <is>
          <t>dkny miniature set</t>
        </is>
      </c>
      <c r="B1229" s="42" t="inlineStr">
        <is>
          <t>dkny miniature set</t>
        </is>
      </c>
      <c r="C1229" s="42" t="inlineStr">
        <is>
          <t>Yes</t>
        </is>
      </c>
    </row>
    <row r="1230" ht="15" customHeight="1" s="37">
      <c r="A1230" s="42" t="inlineStr">
        <is>
          <t>dkny miniature set</t>
        </is>
      </c>
      <c r="B1230" s="42" t="inlineStr">
        <is>
          <t>dkny mini set</t>
        </is>
      </c>
      <c r="C1230" s="42" t="inlineStr">
        <is>
          <t>Yes</t>
        </is>
      </c>
    </row>
    <row r="1231" ht="15" customHeight="1" s="37">
      <c r="A1231" s="42" t="inlineStr">
        <is>
          <t>dkny miniature set</t>
        </is>
      </c>
      <c r="B1231" s="42" t="inlineStr">
        <is>
          <t>dkny mini set 4 x 7ml</t>
        </is>
      </c>
      <c r="C1231" s="42" t="n"/>
    </row>
    <row r="1232" ht="15" customHeight="1" s="37">
      <c r="A1232" s="42" t="inlineStr">
        <is>
          <t>dkny miniature set</t>
        </is>
      </c>
      <c r="B1232" s="42" t="inlineStr">
        <is>
          <t>dkny mini set perfume</t>
        </is>
      </c>
      <c r="C1232" s="42" t="inlineStr">
        <is>
          <t>Yes</t>
        </is>
      </c>
    </row>
    <row r="1233" ht="15" customHeight="1" s="37">
      <c r="A1233" s="42" t="inlineStr">
        <is>
          <t>dkny miniature set</t>
        </is>
      </c>
      <c r="B1233" s="42" t="inlineStr">
        <is>
          <t>dkny miniature perfume set</t>
        </is>
      </c>
      <c r="C1233" s="42" t="inlineStr">
        <is>
          <t>Yes</t>
        </is>
      </c>
    </row>
    <row r="1234" ht="15" customHeight="1" s="37">
      <c r="A1234" s="42" t="inlineStr">
        <is>
          <t>dkny miniature set</t>
        </is>
      </c>
      <c r="B1234" s="42" t="inlineStr">
        <is>
          <t>dkny miniature gift set</t>
        </is>
      </c>
      <c r="C1234" s="42" t="inlineStr">
        <is>
          <t>Yes</t>
        </is>
      </c>
    </row>
    <row r="1235" ht="15" customHeight="1" s="37">
      <c r="A1235" s="42" t="inlineStr">
        <is>
          <t>dkny miniature set</t>
        </is>
      </c>
      <c r="B1235" s="42" t="inlineStr">
        <is>
          <t>dkny mini coffret set</t>
        </is>
      </c>
      <c r="C1235" s="42" t="n"/>
    </row>
    <row r="1236" ht="15" customHeight="1" s="37">
      <c r="A1236" s="42" t="inlineStr">
        <is>
          <t>dkny miniature set</t>
        </is>
      </c>
      <c r="B1236" s="42" t="inlineStr">
        <is>
          <t>dkny delicious mini set</t>
        </is>
      </c>
      <c r="C1236" s="42" t="n"/>
    </row>
    <row r="1237" ht="15" customHeight="1" s="37">
      <c r="A1237" s="42" t="inlineStr">
        <is>
          <t>dkny miniature set</t>
        </is>
      </c>
      <c r="B1237" s="42" t="inlineStr">
        <is>
          <t>dkny mini perfume set edgars</t>
        </is>
      </c>
      <c r="C1237" s="42" t="n"/>
    </row>
    <row r="1238" ht="15" customHeight="1" s="37">
      <c r="A1238" s="42" t="inlineStr">
        <is>
          <t>dkny miniature set</t>
        </is>
      </c>
      <c r="B1238" s="42" t="inlineStr">
        <is>
          <t>dkny mini perfume set dischem</t>
        </is>
      </c>
      <c r="C1238" s="42" t="n"/>
    </row>
    <row r="1239" ht="15" customHeight="1" s="37">
      <c r="A1239" s="42" t="inlineStr">
        <is>
          <t>dkny perfume</t>
        </is>
      </c>
      <c r="B1239" s="42" t="inlineStr">
        <is>
          <t>dkny perfume</t>
        </is>
      </c>
      <c r="C1239" s="42" t="inlineStr">
        <is>
          <t>Yes</t>
        </is>
      </c>
    </row>
    <row r="1240" ht="15" customHeight="1" s="37">
      <c r="A1240" s="42" t="inlineStr">
        <is>
          <t>dkny perfume</t>
        </is>
      </c>
      <c r="B1240" s="42" t="inlineStr">
        <is>
          <t>dkny perfume women</t>
        </is>
      </c>
      <c r="C1240" s="42" t="n"/>
    </row>
    <row r="1241" ht="15" customHeight="1" s="37">
      <c r="A1241" s="42" t="inlineStr">
        <is>
          <t>dkny perfume</t>
        </is>
      </c>
      <c r="B1241" s="42" t="inlineStr">
        <is>
          <t>dkny perfume be delicious</t>
        </is>
      </c>
      <c r="C1241" s="42" t="n"/>
    </row>
    <row r="1242" ht="15" customHeight="1" s="37">
      <c r="A1242" s="42" t="inlineStr">
        <is>
          <t>dkny perfume</t>
        </is>
      </c>
      <c r="B1242" s="42" t="inlineStr">
        <is>
          <t>dkny perfume price</t>
        </is>
      </c>
      <c r="C1242" s="42" t="n"/>
    </row>
    <row r="1243" ht="15" customHeight="1" s="37">
      <c r="A1243" s="42" t="inlineStr">
        <is>
          <t>dkny perfume</t>
        </is>
      </c>
      <c r="B1243" s="42" t="inlineStr">
        <is>
          <t>dkny perfume men</t>
        </is>
      </c>
      <c r="C1243" s="42" t="n"/>
    </row>
    <row r="1244" ht="15" customHeight="1" s="37">
      <c r="A1244" s="42" t="inlineStr">
        <is>
          <t>dkny perfume</t>
        </is>
      </c>
      <c r="B1244" s="42" t="inlineStr">
        <is>
          <t>dkny perfume apple</t>
        </is>
      </c>
      <c r="C1244" s="42" t="n"/>
    </row>
    <row r="1245" ht="15" customHeight="1" s="37">
      <c r="A1245" s="42" t="inlineStr">
        <is>
          <t>dkny perfume</t>
        </is>
      </c>
      <c r="B1245" s="42" t="inlineStr">
        <is>
          <t>dkny perfume bea alonzo</t>
        </is>
      </c>
      <c r="C1245" s="42" t="n"/>
    </row>
    <row r="1246" ht="15" customHeight="1" s="37">
      <c r="A1246" s="42" t="inlineStr">
        <is>
          <t>dkny perfume</t>
        </is>
      </c>
      <c r="B1246" s="42" t="inlineStr">
        <is>
          <t>dkny perfume 100ml</t>
        </is>
      </c>
      <c r="C1246" s="42" t="n"/>
    </row>
    <row r="1247" ht="15" customHeight="1" s="37">
      <c r="A1247" s="42" t="inlineStr">
        <is>
          <t>dkny perfume</t>
        </is>
      </c>
      <c r="B1247" s="42" t="inlineStr">
        <is>
          <t>dkny perfume ice pop</t>
        </is>
      </c>
      <c r="C1247" s="42" t="n"/>
    </row>
    <row r="1248" ht="15" customHeight="1" s="37">
      <c r="A1248" s="42" t="inlineStr">
        <is>
          <t>dkny perfume</t>
        </is>
      </c>
      <c r="B1248" s="42" t="inlineStr">
        <is>
          <t>dkny perfume set</t>
        </is>
      </c>
      <c r="C1248" s="42" t="n"/>
    </row>
    <row r="1249" ht="15" customHeight="1" s="37">
      <c r="A1249" s="42" t="inlineStr">
        <is>
          <t>dolce &amp; gabbana devotion</t>
        </is>
      </c>
      <c r="B1249" s="42" t="inlineStr">
        <is>
          <t>dolce &amp; gabbana devotion</t>
        </is>
      </c>
      <c r="C1249" s="42" t="inlineStr">
        <is>
          <t>Yes</t>
        </is>
      </c>
    </row>
    <row r="1250" ht="15" customHeight="1" s="37">
      <c r="A1250" s="42" t="inlineStr">
        <is>
          <t>dolce &amp; gabbana devotion</t>
        </is>
      </c>
      <c r="B1250" s="42" t="inlineStr">
        <is>
          <t>dolce &amp; gabbana devotion man</t>
        </is>
      </c>
      <c r="C1250" s="42" t="n"/>
    </row>
    <row r="1251" ht="15" customHeight="1" s="37">
      <c r="A1251" s="42" t="inlineStr">
        <is>
          <t>dolce &amp; gabbana devotion</t>
        </is>
      </c>
      <c r="B1251" s="42" t="inlineStr">
        <is>
          <t>dolce &amp; gabbana devotion eau de parfum</t>
        </is>
      </c>
      <c r="C1251" s="42" t="inlineStr">
        <is>
          <t>Yes</t>
        </is>
      </c>
    </row>
    <row r="1252" ht="15" customHeight="1" s="37">
      <c r="A1252" s="42" t="inlineStr">
        <is>
          <t>dolce &amp; gabbana devotion</t>
        </is>
      </c>
      <c r="B1252" s="42" t="inlineStr">
        <is>
          <t>dolce &amp; gabbana devotion for men</t>
        </is>
      </c>
      <c r="C1252" s="42" t="inlineStr">
        <is>
          <t>Yes</t>
        </is>
      </c>
    </row>
    <row r="1253" ht="15" customHeight="1" s="37">
      <c r="A1253" s="42" t="inlineStr">
        <is>
          <t>dolce &amp; gabbana devotion</t>
        </is>
      </c>
      <c r="B1253" s="42" t="inlineStr">
        <is>
          <t>dolce &amp; gabbana devotion parfum</t>
        </is>
      </c>
      <c r="C1253" s="42" t="inlineStr">
        <is>
          <t>Yes</t>
        </is>
      </c>
    </row>
    <row r="1254" ht="15" customHeight="1" s="37">
      <c r="A1254" s="42" t="inlineStr">
        <is>
          <t>dolce &amp; gabbana devotion</t>
        </is>
      </c>
      <c r="B1254" s="42" t="inlineStr">
        <is>
          <t>dolce &amp; gabbana devotion intense</t>
        </is>
      </c>
      <c r="C1254" s="42" t="n"/>
    </row>
    <row r="1255" ht="15" customHeight="1" s="37">
      <c r="A1255" s="42" t="inlineStr">
        <is>
          <t>dolce &amp; gabbana devotion</t>
        </is>
      </c>
      <c r="B1255" s="42" t="inlineStr">
        <is>
          <t>dolce &amp; gabbana devotion perfume</t>
        </is>
      </c>
      <c r="C1255" s="42" t="inlineStr">
        <is>
          <t>Yes</t>
        </is>
      </c>
    </row>
    <row r="1256" ht="15" customHeight="1" s="37">
      <c r="A1256" s="42" t="inlineStr">
        <is>
          <t>dolce &amp; gabbana devotion</t>
        </is>
      </c>
      <c r="B1256" s="42" t="inlineStr">
        <is>
          <t>dolce &amp; gabbana devotion eau de parfum intense</t>
        </is>
      </c>
      <c r="C1256" s="42" t="n"/>
    </row>
    <row r="1257" ht="15" customHeight="1" s="37">
      <c r="A1257" s="42" t="inlineStr">
        <is>
          <t>dolce &amp; gabbana devotion</t>
        </is>
      </c>
      <c r="B1257" s="42" t="inlineStr">
        <is>
          <t>dolce &amp; gabbana devotion for women</t>
        </is>
      </c>
      <c r="C1257" s="42" t="inlineStr">
        <is>
          <t>Yes</t>
        </is>
      </c>
    </row>
    <row r="1258" ht="15" customHeight="1" s="37">
      <c r="A1258" s="42" t="inlineStr">
        <is>
          <t>dolce &amp; gabbana devotion</t>
        </is>
      </c>
      <c r="B1258" s="42" t="inlineStr">
        <is>
          <t>dolce &amp; gabbana devotion pour homme</t>
        </is>
      </c>
      <c r="C1258" s="42" t="n"/>
    </row>
    <row r="1259" ht="15" customHeight="1" s="37">
      <c r="A1259" s="42" t="inlineStr">
        <is>
          <t>dolce &amp; gabbana devotion gift set</t>
        </is>
      </c>
      <c r="B1259" s="42" t="inlineStr">
        <is>
          <t>dolce &amp; gabbana devotion gift set</t>
        </is>
      </c>
      <c r="C1259" s="42" t="inlineStr">
        <is>
          <t>Yes</t>
        </is>
      </c>
    </row>
    <row r="1260" ht="15" customHeight="1" s="37">
      <c r="A1260" s="42" t="inlineStr">
        <is>
          <t>dolce &amp; gabbana devotion gift set</t>
        </is>
      </c>
      <c r="B1260" s="42" t="inlineStr">
        <is>
          <t>dolce gabbana my devotion gift set</t>
        </is>
      </c>
      <c r="C1260" s="42" t="n"/>
    </row>
    <row r="1261" ht="15" customHeight="1" s="37">
      <c r="A1261" s="42" t="inlineStr">
        <is>
          <t>dolce &amp; gabbana devotion gift set</t>
        </is>
      </c>
      <c r="B1261" s="42" t="inlineStr">
        <is>
          <t>dolce gabbana devotion intense gift set</t>
        </is>
      </c>
      <c r="C1261" s="42" t="n"/>
    </row>
    <row r="1262" ht="15" customHeight="1" s="37">
      <c r="A1262" s="42" t="inlineStr">
        <is>
          <t>dolce &amp; gabbana devotion gift set</t>
        </is>
      </c>
      <c r="B1262" s="42" t="inlineStr">
        <is>
          <t>dolce gabbana devotion perfume gift set</t>
        </is>
      </c>
      <c r="C1262" s="42" t="inlineStr">
        <is>
          <t>Yes</t>
        </is>
      </c>
    </row>
    <row r="1263" ht="15" customHeight="1" s="37">
      <c r="A1263" s="42" t="inlineStr">
        <is>
          <t>dolce &amp; gabbana devotion gift set</t>
        </is>
      </c>
      <c r="B1263" s="42" t="inlineStr">
        <is>
          <t>dolce gabbana devotion men gift set</t>
        </is>
      </c>
      <c r="C1263" s="42" t="inlineStr">
        <is>
          <t>Yes</t>
        </is>
      </c>
    </row>
    <row r="1264" ht="15" customHeight="1" s="37">
      <c r="A1264" s="42" t="inlineStr">
        <is>
          <t>dolce &amp; gabbana devotion gift set</t>
        </is>
      </c>
      <c r="B1264" s="42" t="inlineStr">
        <is>
          <t>dolce gabbana devotion set</t>
        </is>
      </c>
      <c r="C1264" s="42" t="inlineStr">
        <is>
          <t>Yes</t>
        </is>
      </c>
    </row>
    <row r="1265" ht="15" customHeight="1" s="37">
      <c r="A1265" s="42" t="inlineStr">
        <is>
          <t>dolce &amp; gabbana devotion gift set</t>
        </is>
      </c>
      <c r="B1265" s="42" t="inlineStr">
        <is>
          <t>dolce &amp; gabbana my devotion intense gift set</t>
        </is>
      </c>
      <c r="C1265" s="42" t="n"/>
    </row>
    <row r="1266" ht="15" customHeight="1" s="37">
      <c r="A1266" s="42" t="inlineStr">
        <is>
          <t>dolce &amp; gabbana devotion gift set</t>
        </is>
      </c>
      <c r="B1266" s="42" t="inlineStr">
        <is>
          <t>dolce gabbana devotion set mini</t>
        </is>
      </c>
      <c r="C1266" s="42" t="inlineStr">
        <is>
          <t>Yes</t>
        </is>
      </c>
    </row>
    <row r="1267" ht="15" customHeight="1" s="37">
      <c r="A1267" s="42" t="inlineStr">
        <is>
          <t>dolce &amp; gabbana k gift set</t>
        </is>
      </c>
      <c r="B1267" s="42" t="inlineStr">
        <is>
          <t>dolce &amp; gabbana k gift set for men</t>
        </is>
      </c>
      <c r="C1267" s="42" t="inlineStr">
        <is>
          <t>Yes</t>
        </is>
      </c>
    </row>
    <row r="1268" ht="15" customHeight="1" s="37">
      <c r="A1268" s="42" t="inlineStr">
        <is>
          <t>dolce &amp; gabbana k gift set</t>
        </is>
      </c>
      <c r="B1268" s="42" t="inlineStr">
        <is>
          <t>dolce gabbana k gift set</t>
        </is>
      </c>
      <c r="C1268" s="42" t="inlineStr">
        <is>
          <t>Yes</t>
        </is>
      </c>
    </row>
    <row r="1269" ht="15" customHeight="1" s="37">
      <c r="A1269" s="42" t="inlineStr">
        <is>
          <t>dolce &amp; gabbana k gift set</t>
        </is>
      </c>
      <c r="B1269" s="42" t="inlineStr">
        <is>
          <t>dolce and gabbana k gift set 100ml</t>
        </is>
      </c>
      <c r="C1269" s="42" t="inlineStr">
        <is>
          <t>Yes</t>
        </is>
      </c>
    </row>
    <row r="1270" ht="15" customHeight="1" s="37">
      <c r="A1270" s="42" t="inlineStr">
        <is>
          <t>dolce &amp; gabbana k gift set</t>
        </is>
      </c>
      <c r="B1270" s="42" t="inlineStr">
        <is>
          <t>dolce gabbana k edp gift set</t>
        </is>
      </c>
      <c r="C1270" s="42" t="inlineStr">
        <is>
          <t>Yes</t>
        </is>
      </c>
    </row>
    <row r="1271" ht="15" customHeight="1" s="37">
      <c r="A1271" s="42" t="inlineStr">
        <is>
          <t>dolce &amp; gabbana k gift set</t>
        </is>
      </c>
      <c r="B1271" s="42" t="inlineStr">
        <is>
          <t>dolce gabbana k cologne gift set</t>
        </is>
      </c>
      <c r="C1271" s="42" t="n"/>
    </row>
    <row r="1272" ht="15" customHeight="1" s="37">
      <c r="A1272" s="42" t="inlineStr">
        <is>
          <t>dolce &amp; gabbana k gift set</t>
        </is>
      </c>
      <c r="B1272" s="42" t="inlineStr">
        <is>
          <t>dolce gabbana k intense gift set</t>
        </is>
      </c>
      <c r="C1272" s="42" t="n"/>
    </row>
    <row r="1273" ht="15" customHeight="1" s="37">
      <c r="A1273" s="42" t="inlineStr">
        <is>
          <t>dolce &amp; gabbana k gift set</t>
        </is>
      </c>
      <c r="B1273" s="42" t="inlineStr">
        <is>
          <t>dolce &amp; gabbana k edt gift set</t>
        </is>
      </c>
      <c r="C1273" s="42" t="inlineStr">
        <is>
          <t>Yes</t>
        </is>
      </c>
    </row>
    <row r="1274" ht="15" customHeight="1" s="37">
      <c r="A1274" s="42" t="inlineStr">
        <is>
          <t>dolce &amp; gabbana k gift set</t>
        </is>
      </c>
      <c r="B1274" s="42" t="inlineStr">
        <is>
          <t>dolce gabbana k pour homme gift set</t>
        </is>
      </c>
      <c r="C1274" s="42" t="n"/>
    </row>
    <row r="1275" ht="15" customHeight="1" s="37">
      <c r="A1275" s="42" t="inlineStr">
        <is>
          <t>dolce &amp; gabbana k gift set</t>
        </is>
      </c>
      <c r="B1275" s="42" t="inlineStr">
        <is>
          <t>dolce &amp; gabbana k eau de toilette gift set 100ml</t>
        </is>
      </c>
      <c r="C1275" s="42" t="n"/>
    </row>
    <row r="1276" ht="15" customHeight="1" s="37">
      <c r="A1276" s="42" t="inlineStr">
        <is>
          <t>dolce &amp; gabbana k gift set</t>
        </is>
      </c>
      <c r="B1276" s="42" t="inlineStr">
        <is>
          <t>dolce &amp; gabbana k eau de parfum gift set 100ml</t>
        </is>
      </c>
      <c r="C1276" s="42" t="inlineStr">
        <is>
          <t>Yes</t>
        </is>
      </c>
    </row>
    <row r="1277" ht="15" customHeight="1" s="37">
      <c r="A1277" s="42" t="inlineStr">
        <is>
          <t>dolce &amp; gabbana l'imperatrice</t>
        </is>
      </c>
      <c r="B1277" s="42" t="inlineStr">
        <is>
          <t>dolce &amp; gabbana l'imperatrice</t>
        </is>
      </c>
      <c r="C1277" s="42" t="inlineStr">
        <is>
          <t>Yes</t>
        </is>
      </c>
    </row>
    <row r="1278" ht="15" customHeight="1" s="37">
      <c r="A1278" s="42" t="inlineStr">
        <is>
          <t>dolce &amp; gabbana l'imperatrice</t>
        </is>
      </c>
      <c r="B1278" s="42" t="inlineStr">
        <is>
          <t>dolce &amp; gabbana l'imperatrice 3</t>
        </is>
      </c>
      <c r="C1278" s="42" t="inlineStr">
        <is>
          <t>Yes</t>
        </is>
      </c>
    </row>
    <row r="1279" ht="15" customHeight="1" s="37">
      <c r="A1279" s="42" t="inlineStr">
        <is>
          <t>dolce &amp; gabbana l'imperatrice</t>
        </is>
      </c>
      <c r="B1279" s="42" t="inlineStr">
        <is>
          <t>dolce &amp; gabbana l'imperatrice eau de toilette</t>
        </is>
      </c>
      <c r="C1279" s="42" t="inlineStr">
        <is>
          <t>Yes</t>
        </is>
      </c>
    </row>
    <row r="1280" ht="15" customHeight="1" s="37">
      <c r="A1280" s="42" t="inlineStr">
        <is>
          <t>dolce &amp; gabbana l'imperatrice</t>
        </is>
      </c>
      <c r="B1280" s="42" t="inlineStr">
        <is>
          <t>dolce &amp; gabbana l'imperatrice eau de toilette 100ml</t>
        </is>
      </c>
      <c r="C1280" s="42" t="n"/>
    </row>
    <row r="1281" ht="15" customHeight="1" s="37">
      <c r="A1281" s="42" t="inlineStr">
        <is>
          <t>dolce &amp; gabbana l'imperatrice</t>
        </is>
      </c>
      <c r="B1281" s="42" t="inlineStr">
        <is>
          <t>dolce &amp; gabbana l'imperatrice royale</t>
        </is>
      </c>
      <c r="C1281" s="42" t="n"/>
    </row>
    <row r="1282" ht="15" customHeight="1" s="37">
      <c r="A1282" s="42" t="inlineStr">
        <is>
          <t>dolce &amp; gabbana l'imperatrice</t>
        </is>
      </c>
      <c r="B1282" s="42" t="inlineStr">
        <is>
          <t>dolce &amp; gabbana l'imperatrice 100ml price</t>
        </is>
      </c>
      <c r="C1282" s="42" t="inlineStr">
        <is>
          <t>Yes</t>
        </is>
      </c>
    </row>
    <row r="1283" ht="15" customHeight="1" s="37">
      <c r="A1283" s="42" t="inlineStr">
        <is>
          <t>dolce &amp; gabbana l'imperatrice</t>
        </is>
      </c>
      <c r="B1283" s="42" t="inlineStr">
        <is>
          <t>dolce &amp; gabbana l'imperatrice edt</t>
        </is>
      </c>
      <c r="C1283" s="42" t="inlineStr">
        <is>
          <t>Yes</t>
        </is>
      </c>
    </row>
    <row r="1284" ht="15" customHeight="1" s="37">
      <c r="A1284" s="42" t="inlineStr">
        <is>
          <t>dolce &amp; gabbana l'imperatrice</t>
        </is>
      </c>
      <c r="B1284" s="42" t="inlineStr">
        <is>
          <t>dolce &amp; gabbana l'imperatrice 100ml</t>
        </is>
      </c>
      <c r="C1284" s="42" t="inlineStr">
        <is>
          <t>Yes</t>
        </is>
      </c>
    </row>
    <row r="1285" ht="15" customHeight="1" s="37">
      <c r="A1285" s="42" t="inlineStr">
        <is>
          <t>dolce &amp; gabbana l'imperatrice</t>
        </is>
      </c>
      <c r="B1285" s="42" t="inlineStr">
        <is>
          <t>dolce &amp; gabbana l'imperatrice limited edition</t>
        </is>
      </c>
      <c r="C1285" s="42" t="n"/>
    </row>
    <row r="1286" ht="15" customHeight="1" s="37">
      <c r="A1286" s="42" t="inlineStr">
        <is>
          <t>dolce &amp; gabbana l'imperatrice</t>
        </is>
      </c>
      <c r="B1286" s="42" t="inlineStr">
        <is>
          <t>dolce &amp; gabbana l'imperatrice perfume</t>
        </is>
      </c>
      <c r="C1286" s="42" t="inlineStr">
        <is>
          <t>Yes</t>
        </is>
      </c>
    </row>
    <row r="1287" ht="15" customHeight="1" s="37">
      <c r="A1287" s="42" t="inlineStr">
        <is>
          <t>dolce &amp; gabbana miniature set</t>
        </is>
      </c>
      <c r="B1287" s="42" t="inlineStr">
        <is>
          <t>dolce and gabbana miniature set</t>
        </is>
      </c>
      <c r="C1287" s="42" t="inlineStr">
        <is>
          <t>Yes</t>
        </is>
      </c>
    </row>
    <row r="1288" ht="15" customHeight="1" s="37">
      <c r="A1288" s="42" t="inlineStr">
        <is>
          <t>dolce &amp; gabbana miniature set</t>
        </is>
      </c>
      <c r="B1288" s="42" t="inlineStr">
        <is>
          <t>dolce gabbana mini set</t>
        </is>
      </c>
      <c r="C1288" s="42" t="inlineStr">
        <is>
          <t>Yes</t>
        </is>
      </c>
    </row>
    <row r="1289" ht="15" customHeight="1" s="37">
      <c r="A1289" s="42" t="inlineStr">
        <is>
          <t>dolce &amp; gabbana miniature set</t>
        </is>
      </c>
      <c r="B1289" s="42" t="inlineStr">
        <is>
          <t>dolce gabbana mini set perfume</t>
        </is>
      </c>
      <c r="C1289" s="42" t="inlineStr">
        <is>
          <t>Yes</t>
        </is>
      </c>
    </row>
    <row r="1290" ht="15" customHeight="1" s="37">
      <c r="A1290" s="42" t="inlineStr">
        <is>
          <t>dolce &amp; gabbana miniature set</t>
        </is>
      </c>
      <c r="B1290" s="42" t="inlineStr">
        <is>
          <t>dolce gabbana mini set men</t>
        </is>
      </c>
      <c r="C1290" s="42" t="inlineStr">
        <is>
          <t>Yes</t>
        </is>
      </c>
    </row>
    <row r="1291" ht="15" customHeight="1" s="37">
      <c r="A1291" s="42" t="inlineStr">
        <is>
          <t>dolce &amp; gabbana miniature set</t>
        </is>
      </c>
      <c r="B1291" s="42" t="inlineStr">
        <is>
          <t>dolce &amp; gabbana mini set female</t>
        </is>
      </c>
      <c r="C1291" s="42" t="n"/>
    </row>
    <row r="1292" ht="15" customHeight="1" s="37">
      <c r="A1292" s="42" t="inlineStr">
        <is>
          <t>dolce &amp; gabbana miniature set</t>
        </is>
      </c>
      <c r="B1292" s="42" t="inlineStr">
        <is>
          <t>dolce gabbana mini set ulta</t>
        </is>
      </c>
      <c r="C1292" s="42" t="n"/>
    </row>
    <row r="1293" ht="15" customHeight="1" s="37">
      <c r="A1293" s="42" t="inlineStr">
        <is>
          <t>dolce &amp; gabbana miniature set</t>
        </is>
      </c>
      <c r="B1293" s="42" t="inlineStr">
        <is>
          <t>dolce gabbana small set</t>
        </is>
      </c>
      <c r="C1293" s="42" t="n"/>
    </row>
    <row r="1294" ht="15" customHeight="1" s="37">
      <c r="A1294" s="42" t="inlineStr">
        <is>
          <t>dolce &amp; gabbana miniature set</t>
        </is>
      </c>
      <c r="B1294" s="42" t="inlineStr">
        <is>
          <t>dolce gabbana miniature perfume set</t>
        </is>
      </c>
      <c r="C1294" s="42" t="inlineStr">
        <is>
          <t>Yes</t>
        </is>
      </c>
    </row>
    <row r="1295" ht="15" customHeight="1" s="37">
      <c r="A1295" s="42" t="inlineStr">
        <is>
          <t>dolce &amp; gabbana miniature set</t>
        </is>
      </c>
      <c r="B1295" s="42" t="inlineStr">
        <is>
          <t>dolce and gabbana miniature gift set</t>
        </is>
      </c>
      <c r="C1295" s="42" t="inlineStr">
        <is>
          <t>Yes</t>
        </is>
      </c>
    </row>
    <row r="1296" ht="15" customHeight="1" s="37">
      <c r="A1296" s="42" t="inlineStr">
        <is>
          <t>dolce &amp; gabbana miniature set</t>
        </is>
      </c>
      <c r="B1296" s="42" t="inlineStr">
        <is>
          <t>dolce &amp; gabbana 5pc miniature set for women</t>
        </is>
      </c>
      <c r="C1296" s="42" t="n"/>
    </row>
    <row r="1297" ht="15" customHeight="1" s="37">
      <c r="A1297" s="42" t="inlineStr">
        <is>
          <t>dolce &amp; gabbana perfume</t>
        </is>
      </c>
      <c r="B1297" s="42" t="inlineStr">
        <is>
          <t>dolce &amp; gabbana perfume</t>
        </is>
      </c>
      <c r="C1297" s="42" t="inlineStr">
        <is>
          <t>Yes</t>
        </is>
      </c>
    </row>
    <row r="1298" ht="15" customHeight="1" s="37">
      <c r="A1298" s="42" t="inlineStr">
        <is>
          <t>dolce &amp; gabbana perfume</t>
        </is>
      </c>
      <c r="B1298" s="42" t="inlineStr">
        <is>
          <t>dolce &amp; gabbana perfume light blue</t>
        </is>
      </c>
      <c r="C1298" s="42" t="n"/>
    </row>
    <row r="1299" ht="15" customHeight="1" s="37">
      <c r="A1299" s="42" t="inlineStr">
        <is>
          <t>dolce &amp; gabbana perfume</t>
        </is>
      </c>
      <c r="B1299" s="42" t="inlineStr">
        <is>
          <t>dolce &amp; gabbana perfume for women</t>
        </is>
      </c>
      <c r="C1299" s="42" t="inlineStr">
        <is>
          <t>Yes</t>
        </is>
      </c>
    </row>
    <row r="1300" ht="15" customHeight="1" s="37">
      <c r="A1300" s="42" t="inlineStr">
        <is>
          <t>dolce &amp; gabbana perfume</t>
        </is>
      </c>
      <c r="B1300" s="42" t="inlineStr">
        <is>
          <t>dolce &amp; gabbana perfume man</t>
        </is>
      </c>
      <c r="C1300" s="42" t="n"/>
    </row>
    <row r="1301" ht="15" customHeight="1" s="37">
      <c r="A1301" s="42" t="inlineStr">
        <is>
          <t>dolce &amp; gabbana perfume</t>
        </is>
      </c>
      <c r="B1301" s="42" t="inlineStr">
        <is>
          <t>dolce &amp; gabbana perfume the one</t>
        </is>
      </c>
      <c r="C1301" s="42" t="n"/>
    </row>
    <row r="1302" ht="15" customHeight="1" s="37">
      <c r="A1302" s="42" t="inlineStr">
        <is>
          <t>dolce &amp; gabbana perfume</t>
        </is>
      </c>
      <c r="B1302" s="42" t="inlineStr">
        <is>
          <t>dolce &amp; gabbana perfume men</t>
        </is>
      </c>
      <c r="C1302" s="42" t="n"/>
    </row>
    <row r="1303" ht="15" customHeight="1" s="37">
      <c r="A1303" s="42" t="inlineStr">
        <is>
          <t>dolce &amp; gabbana perfume</t>
        </is>
      </c>
      <c r="B1303" s="42" t="inlineStr">
        <is>
          <t>dolce &amp; gabbana perfume price</t>
        </is>
      </c>
      <c r="C1303" s="42" t="n"/>
    </row>
    <row r="1304" ht="15" customHeight="1" s="37">
      <c r="A1304" s="42" t="inlineStr">
        <is>
          <t>dolce &amp; gabbana perfume</t>
        </is>
      </c>
      <c r="B1304" s="42" t="inlineStr">
        <is>
          <t>dolce &amp; gabbana perfume devotion</t>
        </is>
      </c>
      <c r="C1304" s="42" t="n"/>
    </row>
    <row r="1305" ht="15" customHeight="1" s="37">
      <c r="A1305" s="42" t="inlineStr">
        <is>
          <t>dolce &amp; gabbana perfume</t>
        </is>
      </c>
      <c r="B1305" s="42" t="inlineStr">
        <is>
          <t>dolce &amp; gabbana perfume price in pakistan</t>
        </is>
      </c>
      <c r="C1305" s="42" t="n"/>
    </row>
    <row r="1306" ht="15" customHeight="1" s="37">
      <c r="A1306" s="42" t="inlineStr">
        <is>
          <t>dolce &amp; gabbana perfume</t>
        </is>
      </c>
      <c r="B1306" s="42" t="inlineStr">
        <is>
          <t>dolce &amp; gabbana perfume for her</t>
        </is>
      </c>
      <c r="C1306" s="42" t="n"/>
    </row>
    <row r="1307" ht="15" customHeight="1" s="37">
      <c r="A1307" s="42" t="inlineStr">
        <is>
          <t>dolce &amp; gabbana q</t>
        </is>
      </c>
      <c r="B1307" s="42" t="inlineStr">
        <is>
          <t>dolce &amp; gabbana q</t>
        </is>
      </c>
      <c r="C1307" s="42" t="inlineStr">
        <is>
          <t>Yes</t>
        </is>
      </c>
    </row>
    <row r="1308" ht="15" customHeight="1" s="37">
      <c r="A1308" s="42" t="inlineStr">
        <is>
          <t>dolce &amp; gabbana q</t>
        </is>
      </c>
      <c r="B1308" s="42" t="inlineStr">
        <is>
          <t>dolce &amp; gabbana queen</t>
        </is>
      </c>
      <c r="C1308" s="42" t="n"/>
    </row>
    <row r="1309" ht="15" customHeight="1" s="37">
      <c r="A1309" s="42" t="inlineStr">
        <is>
          <t>dolce &amp; gabbana q</t>
        </is>
      </c>
      <c r="B1309" s="42" t="inlineStr">
        <is>
          <t>dolce &amp; gabbana q eau de parfum</t>
        </is>
      </c>
      <c r="C1309" s="42" t="inlineStr">
        <is>
          <t>Yes</t>
        </is>
      </c>
    </row>
    <row r="1310" ht="15" customHeight="1" s="37">
      <c r="A1310" s="42" t="inlineStr">
        <is>
          <t>dolce &amp; gabbana q</t>
        </is>
      </c>
      <c r="B1310" s="42" t="inlineStr">
        <is>
          <t>dolce &amp; gabbana queen perfume</t>
        </is>
      </c>
      <c r="C1310" s="42" t="n"/>
    </row>
    <row r="1311" ht="15" customHeight="1" s="37">
      <c r="A1311" s="42" t="inlineStr">
        <is>
          <t>dolce &amp; gabbana q</t>
        </is>
      </c>
      <c r="B1311" s="42" t="inlineStr">
        <is>
          <t>dolce &amp; gabbana queen perfume price</t>
        </is>
      </c>
      <c r="C1311" s="42" t="n"/>
    </row>
    <row r="1312" ht="15" customHeight="1" s="37">
      <c r="A1312" s="42" t="inlineStr">
        <is>
          <t>dolce &amp; gabbana q</t>
        </is>
      </c>
      <c r="B1312" s="42" t="inlineStr">
        <is>
          <t>dolce &amp; gabbana q eau de parfum intense</t>
        </is>
      </c>
      <c r="C1312" s="42" t="n"/>
    </row>
    <row r="1313" ht="15" customHeight="1" s="37">
      <c r="A1313" s="42" t="inlineStr">
        <is>
          <t>dolce &amp; gabbana q</t>
        </is>
      </c>
      <c r="B1313" s="42" t="inlineStr">
        <is>
          <t>dolce &amp; gabbana q parfum</t>
        </is>
      </c>
      <c r="C1313" s="42" t="inlineStr">
        <is>
          <t>Yes</t>
        </is>
      </c>
    </row>
    <row r="1314" ht="15" customHeight="1" s="37">
      <c r="A1314" s="42" t="inlineStr">
        <is>
          <t>dolce &amp; gabbana q</t>
        </is>
      </c>
      <c r="B1314" s="42" t="inlineStr">
        <is>
          <t>dolce &amp; gabbana q intense</t>
        </is>
      </c>
      <c r="C1314" s="42" t="n"/>
    </row>
    <row r="1315" ht="15" customHeight="1" s="37">
      <c r="A1315" s="42" t="inlineStr">
        <is>
          <t>dolce &amp; gabbana q</t>
        </is>
      </c>
      <c r="B1315" s="42" t="inlineStr">
        <is>
          <t>dolce &amp; gabbana queen intense</t>
        </is>
      </c>
      <c r="C1315" s="42" t="n"/>
    </row>
    <row r="1316" ht="15" customHeight="1" s="37">
      <c r="A1316" s="42" t="inlineStr">
        <is>
          <t>dolce &amp; gabbana q</t>
        </is>
      </c>
      <c r="B1316" s="42" t="inlineStr">
        <is>
          <t>dolce &amp; gabbana q perfume</t>
        </is>
      </c>
      <c r="C1316" s="42" t="inlineStr">
        <is>
          <t>Yes</t>
        </is>
      </c>
    </row>
    <row r="1317" ht="15" customHeight="1" s="37">
      <c r="A1317" s="42" t="inlineStr">
        <is>
          <t>dolce &amp; gabbana the one</t>
        </is>
      </c>
      <c r="B1317" s="42" t="inlineStr">
        <is>
          <t>dolce &amp; gabbana the one</t>
        </is>
      </c>
      <c r="C1317" s="42" t="inlineStr">
        <is>
          <t>Yes</t>
        </is>
      </c>
    </row>
    <row r="1318" ht="15" customHeight="1" s="37">
      <c r="A1318" s="42" t="inlineStr">
        <is>
          <t>dolce &amp; gabbana the one</t>
        </is>
      </c>
      <c r="B1318" s="42" t="inlineStr">
        <is>
          <t>dolce &amp; gabbana the one for men</t>
        </is>
      </c>
      <c r="C1318" s="42" t="inlineStr">
        <is>
          <t>Yes</t>
        </is>
      </c>
    </row>
    <row r="1319" ht="15" customHeight="1" s="37">
      <c r="A1319" s="42" t="inlineStr">
        <is>
          <t>dolce &amp; gabbana the one</t>
        </is>
      </c>
      <c r="B1319" s="42" t="inlineStr">
        <is>
          <t>dolce &amp; gabbana the one edp</t>
        </is>
      </c>
      <c r="C1319" s="42" t="inlineStr">
        <is>
          <t>Yes</t>
        </is>
      </c>
    </row>
    <row r="1320" ht="15" customHeight="1" s="37">
      <c r="A1320" s="42" t="inlineStr">
        <is>
          <t>dolce &amp; gabbana the one</t>
        </is>
      </c>
      <c r="B1320" s="42" t="inlineStr">
        <is>
          <t>dolce &amp; gabbana the one woman</t>
        </is>
      </c>
      <c r="C1320" s="42" t="n"/>
    </row>
    <row r="1321" ht="15" customHeight="1" s="37">
      <c r="A1321" s="42" t="inlineStr">
        <is>
          <t>dolce &amp; gabbana the one</t>
        </is>
      </c>
      <c r="B1321" s="42" t="inlineStr">
        <is>
          <t>dolce &amp; gabbana the one parfum</t>
        </is>
      </c>
      <c r="C1321" s="42" t="inlineStr">
        <is>
          <t>Yes</t>
        </is>
      </c>
    </row>
    <row r="1322" ht="15" customHeight="1" s="37">
      <c r="A1322" s="42" t="inlineStr">
        <is>
          <t>dolce &amp; gabbana the one</t>
        </is>
      </c>
      <c r="B1322" s="42" t="inlineStr">
        <is>
          <t>dolce &amp; gabbana the one eau de parfum</t>
        </is>
      </c>
      <c r="C1322" s="42" t="inlineStr">
        <is>
          <t>Yes</t>
        </is>
      </c>
    </row>
    <row r="1323" ht="15" customHeight="1" s="37">
      <c r="A1323" s="42" t="inlineStr">
        <is>
          <t>dolce &amp; gabbana the one</t>
        </is>
      </c>
      <c r="B1323" s="42" t="inlineStr">
        <is>
          <t>dolce &amp; gabbana the one for men eau de parfum</t>
        </is>
      </c>
      <c r="C1323" s="42" t="inlineStr">
        <is>
          <t>Yes</t>
        </is>
      </c>
    </row>
    <row r="1324" ht="15" customHeight="1" s="37">
      <c r="A1324" s="42" t="inlineStr">
        <is>
          <t>dolce &amp; gabbana the one</t>
        </is>
      </c>
      <c r="B1324" s="42" t="inlineStr">
        <is>
          <t>dolce &amp; gabbana the one homme</t>
        </is>
      </c>
      <c r="C1324" s="42" t="n"/>
    </row>
    <row r="1325" ht="15" customHeight="1" s="37">
      <c r="A1325" s="42" t="inlineStr">
        <is>
          <t>dolce &amp; gabbana the one</t>
        </is>
      </c>
      <c r="B1325" s="42" t="inlineStr">
        <is>
          <t>dolce &amp; gabbana the one for men edp</t>
        </is>
      </c>
      <c r="C1325" s="42" t="inlineStr">
        <is>
          <t>Yes</t>
        </is>
      </c>
    </row>
    <row r="1326" ht="15" customHeight="1" s="37">
      <c r="A1326" s="42" t="inlineStr">
        <is>
          <t>dolce &amp; gabbana the one</t>
        </is>
      </c>
      <c r="B1326" s="42" t="inlineStr">
        <is>
          <t>dolce &amp; gabbana the one pour homme parfum</t>
        </is>
      </c>
      <c r="C1326" s="42" t="n"/>
    </row>
    <row r="1327" ht="15" customHeight="1" s="37">
      <c r="A1327" s="42" t="inlineStr">
        <is>
          <t>dolce &amp; gabbana the one gift set</t>
        </is>
      </c>
      <c r="B1327" s="42" t="inlineStr">
        <is>
          <t>dolce &amp; gabbana the one gift set</t>
        </is>
      </c>
      <c r="C1327" s="42" t="inlineStr">
        <is>
          <t>Yes</t>
        </is>
      </c>
    </row>
    <row r="1328" ht="15" customHeight="1" s="37">
      <c r="A1328" s="42" t="inlineStr">
        <is>
          <t>dolce &amp; gabbana the one gift set</t>
        </is>
      </c>
      <c r="B1328" s="42" t="inlineStr">
        <is>
          <t>dolce gabbana the one gift set for him</t>
        </is>
      </c>
      <c r="C1328" s="42" t="n"/>
    </row>
    <row r="1329" ht="15" customHeight="1" s="37">
      <c r="A1329" s="42" t="inlineStr">
        <is>
          <t>dolce &amp; gabbana the one gift set</t>
        </is>
      </c>
      <c r="B1329" s="42" t="inlineStr">
        <is>
          <t>dolce gabbana the one gift set for her</t>
        </is>
      </c>
      <c r="C1329" s="42" t="n"/>
    </row>
    <row r="1330" ht="15" customHeight="1" s="37">
      <c r="A1330" s="42" t="inlineStr">
        <is>
          <t>dolce &amp; gabbana the one gift set</t>
        </is>
      </c>
      <c r="B1330" s="42" t="inlineStr">
        <is>
          <t>dolce gabbana the one gift set men</t>
        </is>
      </c>
      <c r="C1330" s="42" t="inlineStr">
        <is>
          <t>Yes</t>
        </is>
      </c>
    </row>
    <row r="1331" ht="15" customHeight="1" s="37">
      <c r="A1331" s="42" t="inlineStr">
        <is>
          <t>dolce &amp; gabbana the one gift set</t>
        </is>
      </c>
      <c r="B1331" s="42" t="inlineStr">
        <is>
          <t>dolce &amp; gabbana the only one gift set</t>
        </is>
      </c>
      <c r="C1331" s="42" t="n"/>
    </row>
    <row r="1332" ht="15" customHeight="1" s="37">
      <c r="A1332" s="42" t="inlineStr">
        <is>
          <t>dolce &amp; gabbana the one gift set</t>
        </is>
      </c>
      <c r="B1332" s="42" t="inlineStr">
        <is>
          <t>dolce gabbana the one woman gift set</t>
        </is>
      </c>
      <c r="C1332" s="42" t="n"/>
    </row>
    <row r="1333" ht="15" customHeight="1" s="37">
      <c r="A1333" s="42" t="inlineStr">
        <is>
          <t>dolce &amp; gabbana the one gift set</t>
        </is>
      </c>
      <c r="B1333" s="42" t="inlineStr">
        <is>
          <t>dolce gabbana the one set</t>
        </is>
      </c>
      <c r="C1333" s="42" t="inlineStr">
        <is>
          <t>Yes</t>
        </is>
      </c>
    </row>
    <row r="1334" ht="15" customHeight="1" s="37">
      <c r="A1334" s="42" t="inlineStr">
        <is>
          <t>dolce &amp; gabbana the one gift set</t>
        </is>
      </c>
      <c r="B1334" s="42" t="inlineStr">
        <is>
          <t>dolce gabbana the one set women</t>
        </is>
      </c>
      <c r="C1334" s="42" t="inlineStr">
        <is>
          <t>Yes</t>
        </is>
      </c>
    </row>
    <row r="1335" ht="15" customHeight="1" s="37">
      <c r="A1335" s="42" t="inlineStr">
        <is>
          <t>dolce &amp; gabbana the one gift set</t>
        </is>
      </c>
      <c r="B1335" s="42" t="inlineStr">
        <is>
          <t>dolce gabbana the one set men</t>
        </is>
      </c>
      <c r="C1335" s="42" t="inlineStr">
        <is>
          <t>Yes</t>
        </is>
      </c>
    </row>
    <row r="1336" ht="15" customHeight="1" s="37">
      <c r="A1336" s="42" t="inlineStr">
        <is>
          <t>dolce &amp; gabbana the one gift set</t>
        </is>
      </c>
      <c r="B1336" s="42" t="inlineStr">
        <is>
          <t>dolce &amp; gabbana the one for women eau de parfum gift set 75ml</t>
        </is>
      </c>
      <c r="C1336" s="42" t="inlineStr">
        <is>
          <t>Yes</t>
        </is>
      </c>
    </row>
    <row r="1337" ht="15" customHeight="1" s="37">
      <c r="A1337" s="42" t="inlineStr">
        <is>
          <t>dolce &amp; gabbana the one gold intense</t>
        </is>
      </c>
      <c r="B1337" s="42" t="inlineStr">
        <is>
          <t>dolce &amp; gabbana the one gold intense</t>
        </is>
      </c>
      <c r="C1337" s="42" t="inlineStr">
        <is>
          <t>Yes</t>
        </is>
      </c>
    </row>
    <row r="1338" ht="15" customHeight="1" s="37">
      <c r="A1338" s="42" t="inlineStr">
        <is>
          <t>dolce &amp; gabbana the one gold intense</t>
        </is>
      </c>
      <c r="B1338" s="42" t="inlineStr">
        <is>
          <t>dolce &amp; gabbana the one gold intense eau de parfum</t>
        </is>
      </c>
      <c r="C1338" s="42" t="inlineStr">
        <is>
          <t>Yes</t>
        </is>
      </c>
    </row>
    <row r="1339" ht="15" customHeight="1" s="37">
      <c r="A1339" s="42" t="inlineStr">
        <is>
          <t>dolce &amp; gabbana the one gold intense</t>
        </is>
      </c>
      <c r="B1339" s="42" t="inlineStr">
        <is>
          <t>dolce &amp; gabbana the one gold intense edp</t>
        </is>
      </c>
      <c r="C1339" s="42" t="inlineStr">
        <is>
          <t>Yes</t>
        </is>
      </c>
    </row>
    <row r="1340" ht="15" customHeight="1" s="37">
      <c r="A1340" s="42" t="inlineStr">
        <is>
          <t>dolce &amp; gabbana the one gold intense</t>
        </is>
      </c>
      <c r="B1340" s="42" t="inlineStr">
        <is>
          <t>dolce gabbana the one gold intense fragrantica</t>
        </is>
      </c>
      <c r="C1340" s="42" t="n"/>
    </row>
    <row r="1341" ht="15" customHeight="1" s="37">
      <c r="A1341" s="42" t="inlineStr">
        <is>
          <t>dolce &amp; gabbana the one gold intense</t>
        </is>
      </c>
      <c r="B1341" s="42" t="inlineStr">
        <is>
          <t>dolce gabbana the one gold intense women</t>
        </is>
      </c>
      <c r="C1341" s="42" t="inlineStr">
        <is>
          <t>Yes</t>
        </is>
      </c>
    </row>
    <row r="1342" ht="15" customHeight="1" s="37">
      <c r="A1342" s="42" t="inlineStr">
        <is>
          <t>dolce &amp; gabbana the one gold intense</t>
        </is>
      </c>
      <c r="B1342" s="42" t="inlineStr">
        <is>
          <t>dolce &amp; gabbana the one gold intense edp spray 1.6 oz</t>
        </is>
      </c>
      <c r="C1342" s="42" t="n"/>
    </row>
    <row r="1343" ht="15" customHeight="1" s="37">
      <c r="A1343" s="42" t="inlineStr">
        <is>
          <t>dolce &amp; gabbana the one gold intense</t>
        </is>
      </c>
      <c r="B1343" s="42" t="inlineStr">
        <is>
          <t>dolce gabbana the one gold intense 100ml</t>
        </is>
      </c>
      <c r="C1343" s="42" t="inlineStr">
        <is>
          <t>Yes</t>
        </is>
      </c>
    </row>
    <row r="1344" ht="15" customHeight="1" s="37">
      <c r="A1344" s="42" t="inlineStr">
        <is>
          <t>dolce &amp; gabbana the one gold intense</t>
        </is>
      </c>
      <c r="B1344" s="42" t="inlineStr">
        <is>
          <t>dolce gabbana the one gold intense men</t>
        </is>
      </c>
      <c r="C1344" s="42" t="inlineStr">
        <is>
          <t>Yes</t>
        </is>
      </c>
    </row>
    <row r="1345" ht="15" customHeight="1" s="37">
      <c r="A1345" s="42" t="inlineStr">
        <is>
          <t>dolce &amp; gabbana the one gold intense</t>
        </is>
      </c>
      <c r="B1345" s="42" t="inlineStr">
        <is>
          <t>dolce &amp; gabbana the one gold intense edp 100ml</t>
        </is>
      </c>
      <c r="C1345" s="42" t="inlineStr">
        <is>
          <t>Yes</t>
        </is>
      </c>
    </row>
    <row r="1346" ht="15" customHeight="1" s="37">
      <c r="A1346" s="42" t="inlineStr">
        <is>
          <t>dolce &amp; gabbana the one gold intense</t>
        </is>
      </c>
      <c r="B1346" s="42" t="inlineStr">
        <is>
          <t>dolce &amp; gabbana the one gold intense eau de parfum 100ml</t>
        </is>
      </c>
      <c r="C1346" s="42" t="n"/>
    </row>
    <row r="1347" ht="15" customHeight="1" s="37">
      <c r="A1347" s="42" t="inlineStr">
        <is>
          <t>dolce &amp; gabbana the one intense</t>
        </is>
      </c>
      <c r="B1347" s="42" t="inlineStr">
        <is>
          <t>dolce &amp; gabbana the one intense</t>
        </is>
      </c>
      <c r="C1347" s="42" t="inlineStr">
        <is>
          <t>Yes</t>
        </is>
      </c>
    </row>
    <row r="1348" ht="15" customHeight="1" s="37">
      <c r="A1348" s="42" t="inlineStr">
        <is>
          <t>dolce &amp; gabbana the one intense</t>
        </is>
      </c>
      <c r="B1348" s="42" t="inlineStr">
        <is>
          <t>dolce &amp; gabbana the one intense woman</t>
        </is>
      </c>
      <c r="C1348" s="42" t="n"/>
    </row>
    <row r="1349" ht="15" customHeight="1" s="37">
      <c r="A1349" s="42" t="inlineStr">
        <is>
          <t>dolce &amp; gabbana the one intense</t>
        </is>
      </c>
      <c r="B1349" s="42" t="inlineStr">
        <is>
          <t>dolce &amp; gabbana the one intense men</t>
        </is>
      </c>
      <c r="C1349" s="42" t="inlineStr">
        <is>
          <t>Yes</t>
        </is>
      </c>
    </row>
    <row r="1350" ht="15" customHeight="1" s="37">
      <c r="A1350" s="42" t="inlineStr">
        <is>
          <t>dolce &amp; gabbana the one intense</t>
        </is>
      </c>
      <c r="B1350" s="42" t="inlineStr">
        <is>
          <t>dolce &amp; gabbana the one intense eau de parfum</t>
        </is>
      </c>
      <c r="C1350" s="42" t="inlineStr">
        <is>
          <t>Yes</t>
        </is>
      </c>
    </row>
    <row r="1351" ht="15" customHeight="1" s="37">
      <c r="A1351" s="42" t="inlineStr">
        <is>
          <t>dolce &amp; gabbana the one intense</t>
        </is>
      </c>
      <c r="B1351" s="42" t="inlineStr">
        <is>
          <t>dolce &amp; gabbana the one intense eau de parfum spray fragrance for men</t>
        </is>
      </c>
      <c r="C1351" s="42" t="n"/>
    </row>
    <row r="1352" ht="15" customHeight="1" s="37">
      <c r="A1352" s="42" t="inlineStr">
        <is>
          <t>dolce &amp; gabbana the one intense</t>
        </is>
      </c>
      <c r="B1352" s="42" t="inlineStr">
        <is>
          <t>dolce &amp; gabbana the one intense edp</t>
        </is>
      </c>
      <c r="C1352" s="42" t="inlineStr">
        <is>
          <t>Yes</t>
        </is>
      </c>
    </row>
    <row r="1353" ht="15" customHeight="1" s="37">
      <c r="A1353" s="42" t="inlineStr">
        <is>
          <t>dolce &amp; gabbana the one intense</t>
        </is>
      </c>
      <c r="B1353" s="42" t="inlineStr">
        <is>
          <t>dolce &amp; gabbana the one intense woman review</t>
        </is>
      </c>
      <c r="C1353" s="42" t="n"/>
    </row>
    <row r="1354" ht="15" customHeight="1" s="37">
      <c r="A1354" s="42" t="inlineStr">
        <is>
          <t>dolce &amp; gabbana the one intense</t>
        </is>
      </c>
      <c r="B1354" s="42" t="inlineStr">
        <is>
          <t>dolce &amp; gabbana the one intense notes</t>
        </is>
      </c>
      <c r="C1354" s="42" t="inlineStr">
        <is>
          <t>Yes</t>
        </is>
      </c>
    </row>
    <row r="1355" ht="15" customHeight="1" s="37">
      <c r="A1355" s="42" t="inlineStr">
        <is>
          <t>dolce &amp; gabbana the one intense</t>
        </is>
      </c>
      <c r="B1355" s="42" t="inlineStr">
        <is>
          <t>dolce &amp; gabbana the one intense for women</t>
        </is>
      </c>
      <c r="C1355" s="42" t="inlineStr">
        <is>
          <t>Yes</t>
        </is>
      </c>
    </row>
    <row r="1356" ht="15" customHeight="1" s="37">
      <c r="A1356" s="42" t="inlineStr">
        <is>
          <t>dolce &amp; gabbana the one intense</t>
        </is>
      </c>
      <c r="B1356" s="42" t="inlineStr">
        <is>
          <t>dolce &amp; gabbana the one intense eau de parfum 100ml</t>
        </is>
      </c>
      <c r="C1356" s="42" t="inlineStr">
        <is>
          <t>Yes</t>
        </is>
      </c>
    </row>
    <row r="1357" ht="15" customHeight="1" s="37">
      <c r="A1357" s="42" t="inlineStr">
        <is>
          <t>dunhill desire black</t>
        </is>
      </c>
      <c r="B1357" s="42" t="inlineStr">
        <is>
          <t>dunhill desire black</t>
        </is>
      </c>
      <c r="C1357" s="42" t="inlineStr">
        <is>
          <t>Yes</t>
        </is>
      </c>
    </row>
    <row r="1358" ht="15" customHeight="1" s="37">
      <c r="A1358" s="42" t="inlineStr">
        <is>
          <t>dunhill desire black</t>
        </is>
      </c>
      <c r="B1358" s="42" t="inlineStr">
        <is>
          <t>dunhill desire black perfume price in pakistan</t>
        </is>
      </c>
      <c r="C1358" s="42" t="n"/>
    </row>
    <row r="1359" ht="15" customHeight="1" s="37">
      <c r="A1359" s="42" t="inlineStr">
        <is>
          <t>dunhill desire black</t>
        </is>
      </c>
      <c r="B1359" s="42" t="inlineStr">
        <is>
          <t>dunhill desire black perfume</t>
        </is>
      </c>
      <c r="C1359" s="42" t="inlineStr">
        <is>
          <t>Yes</t>
        </is>
      </c>
    </row>
    <row r="1360" ht="15" customHeight="1" s="37">
      <c r="A1360" s="42" t="inlineStr">
        <is>
          <t>dunhill desire black</t>
        </is>
      </c>
      <c r="B1360" s="42" t="inlineStr">
        <is>
          <t>dunhill desire black notes</t>
        </is>
      </c>
      <c r="C1360" s="42" t="inlineStr">
        <is>
          <t>Yes</t>
        </is>
      </c>
    </row>
    <row r="1361" ht="15" customHeight="1" s="37">
      <c r="A1361" s="42" t="inlineStr">
        <is>
          <t>dunhill desire black</t>
        </is>
      </c>
      <c r="B1361" s="42" t="inlineStr">
        <is>
          <t>dunhill desire black review</t>
        </is>
      </c>
      <c r="C1361" s="42" t="inlineStr">
        <is>
          <t>Yes</t>
        </is>
      </c>
    </row>
    <row r="1362" ht="15" customHeight="1" s="37">
      <c r="A1362" s="42" t="inlineStr">
        <is>
          <t>dunhill desire black</t>
        </is>
      </c>
      <c r="B1362" s="42" t="inlineStr">
        <is>
          <t>dunhill desire black price</t>
        </is>
      </c>
      <c r="C1362" s="42" t="inlineStr">
        <is>
          <t>Yes</t>
        </is>
      </c>
    </row>
    <row r="1363" ht="15" customHeight="1" s="37">
      <c r="A1363" s="42" t="inlineStr">
        <is>
          <t>dunhill desire black</t>
        </is>
      </c>
      <c r="B1363" s="42" t="inlineStr">
        <is>
          <t>dunhill desire black price in pakistan</t>
        </is>
      </c>
      <c r="C1363" s="42" t="n"/>
    </row>
    <row r="1364" ht="15" customHeight="1" s="37">
      <c r="A1364" s="42" t="inlineStr">
        <is>
          <t>dunhill desire black</t>
        </is>
      </c>
      <c r="B1364" s="42" t="inlineStr">
        <is>
          <t>dunhill desire black edt</t>
        </is>
      </c>
      <c r="C1364" s="42" t="inlineStr">
        <is>
          <t>Yes</t>
        </is>
      </c>
    </row>
    <row r="1365" ht="15" customHeight="1" s="37">
      <c r="A1365" s="42" t="inlineStr">
        <is>
          <t>dunhill desire black</t>
        </is>
      </c>
      <c r="B1365" s="42" t="inlineStr">
        <is>
          <t>dunhill desire black eau de toilette</t>
        </is>
      </c>
      <c r="C1365" s="42" t="inlineStr">
        <is>
          <t>Yes</t>
        </is>
      </c>
    </row>
    <row r="1366" ht="15" customHeight="1" s="37">
      <c r="A1366" s="42" t="inlineStr">
        <is>
          <t>dunhill desire black</t>
        </is>
      </c>
      <c r="B1366" s="42" t="inlineStr">
        <is>
          <t>dunhill desire black body spray</t>
        </is>
      </c>
      <c r="C1366" s="42" t="n"/>
    </row>
    <row r="1367" ht="15" customHeight="1" s="37">
      <c r="A1367" s="42" t="inlineStr">
        <is>
          <t>dunhill desire blue</t>
        </is>
      </c>
      <c r="B1367" s="42" t="inlineStr">
        <is>
          <t>dunhill desire blue</t>
        </is>
      </c>
      <c r="C1367" s="42" t="inlineStr">
        <is>
          <t>Yes</t>
        </is>
      </c>
    </row>
    <row r="1368" ht="15" customHeight="1" s="37">
      <c r="A1368" s="42" t="inlineStr">
        <is>
          <t>dunhill desire blue</t>
        </is>
      </c>
      <c r="B1368" s="42" t="inlineStr">
        <is>
          <t>dunhill desire blue price in bangladesh</t>
        </is>
      </c>
      <c r="C1368" s="42" t="n"/>
    </row>
    <row r="1369" ht="15" customHeight="1" s="37">
      <c r="A1369" s="42" t="inlineStr">
        <is>
          <t>dunhill desire blue</t>
        </is>
      </c>
      <c r="B1369" s="42" t="inlineStr">
        <is>
          <t>dunhill desire blue perfume price in pakistan</t>
        </is>
      </c>
      <c r="C1369" s="42" t="n"/>
    </row>
    <row r="1370" ht="15" customHeight="1" s="37">
      <c r="A1370" s="42" t="inlineStr">
        <is>
          <t>dunhill desire blue</t>
        </is>
      </c>
      <c r="B1370" s="42" t="inlineStr">
        <is>
          <t>dunhill desire blue perfume</t>
        </is>
      </c>
      <c r="C1370" s="42" t="inlineStr">
        <is>
          <t>Yes</t>
        </is>
      </c>
    </row>
    <row r="1371" ht="15" customHeight="1" s="37">
      <c r="A1371" s="42" t="inlineStr">
        <is>
          <t>dunhill desire blue</t>
        </is>
      </c>
      <c r="B1371" s="42" t="inlineStr">
        <is>
          <t>dunhill desire blue price</t>
        </is>
      </c>
      <c r="C1371" s="42" t="inlineStr">
        <is>
          <t>Yes</t>
        </is>
      </c>
    </row>
    <row r="1372" ht="15" customHeight="1" s="37">
      <c r="A1372" s="42" t="inlineStr">
        <is>
          <t>dunhill desire blue</t>
        </is>
      </c>
      <c r="B1372" s="42" t="inlineStr">
        <is>
          <t>dunhill desire blue notes</t>
        </is>
      </c>
      <c r="C1372" s="42" t="inlineStr">
        <is>
          <t>Yes</t>
        </is>
      </c>
    </row>
    <row r="1373" ht="15" customHeight="1" s="37">
      <c r="A1373" s="42" t="inlineStr">
        <is>
          <t>dunhill desire blue</t>
        </is>
      </c>
      <c r="B1373" s="42" t="inlineStr">
        <is>
          <t>dunhill desire blue original</t>
        </is>
      </c>
      <c r="C1373" s="42" t="inlineStr">
        <is>
          <t>Yes</t>
        </is>
      </c>
    </row>
    <row r="1374" ht="15" customHeight="1" s="37">
      <c r="A1374" s="42" t="inlineStr">
        <is>
          <t>dunhill desire blue</t>
        </is>
      </c>
      <c r="B1374" s="42" t="inlineStr">
        <is>
          <t>dunhill desire blue ocean</t>
        </is>
      </c>
      <c r="C1374" s="42" t="n"/>
    </row>
    <row r="1375" ht="15" customHeight="1" s="37">
      <c r="A1375" s="42" t="inlineStr">
        <is>
          <t>dunhill desire blue</t>
        </is>
      </c>
      <c r="B1375" s="42" t="inlineStr">
        <is>
          <t>dunhill desire blue price in pakistan</t>
        </is>
      </c>
      <c r="C1375" s="42" t="n"/>
    </row>
    <row r="1376" ht="15" customHeight="1" s="37">
      <c r="A1376" s="42" t="inlineStr">
        <is>
          <t>dunhill desire blue</t>
        </is>
      </c>
      <c r="B1376" s="42" t="inlineStr">
        <is>
          <t>dunhill desire blue review</t>
        </is>
      </c>
      <c r="C1376" s="42" t="inlineStr">
        <is>
          <t>Yes</t>
        </is>
      </c>
    </row>
    <row r="1377" ht="15" customHeight="1" s="37">
      <c r="A1377" s="42" t="inlineStr">
        <is>
          <t>dunhill desire gold</t>
        </is>
      </c>
      <c r="B1377" s="42" t="inlineStr">
        <is>
          <t>dunhill desire gold perfume</t>
        </is>
      </c>
      <c r="C1377" s="42" t="inlineStr">
        <is>
          <t>Yes</t>
        </is>
      </c>
    </row>
    <row r="1378" ht="15" customHeight="1" s="37">
      <c r="A1378" s="42" t="inlineStr">
        <is>
          <t>dunhill desire gold</t>
        </is>
      </c>
      <c r="B1378" s="42" t="inlineStr">
        <is>
          <t>dunhill desire gold for men</t>
        </is>
      </c>
      <c r="C1378" s="42" t="inlineStr">
        <is>
          <t>Yes</t>
        </is>
      </c>
    </row>
    <row r="1379" ht="15" customHeight="1" s="37">
      <c r="A1379" s="42" t="inlineStr">
        <is>
          <t>dunhill desire gold</t>
        </is>
      </c>
      <c r="B1379" s="42" t="inlineStr">
        <is>
          <t>dunhill desire gold perfume price in pakistan</t>
        </is>
      </c>
      <c r="C1379" s="42" t="n"/>
    </row>
    <row r="1380" ht="15" customHeight="1" s="37">
      <c r="A1380" s="42" t="inlineStr">
        <is>
          <t>dunhill desire gold</t>
        </is>
      </c>
      <c r="B1380" s="42" t="inlineStr">
        <is>
          <t>dunhill desire gold review</t>
        </is>
      </c>
      <c r="C1380" s="42" t="inlineStr">
        <is>
          <t>Yes</t>
        </is>
      </c>
    </row>
    <row r="1381" ht="15" customHeight="1" s="37">
      <c r="A1381" s="42" t="inlineStr">
        <is>
          <t>dunhill desire gold</t>
        </is>
      </c>
      <c r="B1381" s="42" t="inlineStr">
        <is>
          <t>dunhill desire gold price</t>
        </is>
      </c>
      <c r="C1381" s="42" t="inlineStr">
        <is>
          <t>Yes</t>
        </is>
      </c>
    </row>
    <row r="1382" ht="15" customHeight="1" s="37">
      <c r="A1382" s="42" t="inlineStr">
        <is>
          <t>dunhill desire gold</t>
        </is>
      </c>
      <c r="B1382" s="42" t="inlineStr">
        <is>
          <t>dunhill desire gold edt</t>
        </is>
      </c>
      <c r="C1382" s="42" t="inlineStr">
        <is>
          <t>Yes</t>
        </is>
      </c>
    </row>
    <row r="1383" ht="15" customHeight="1" s="37">
      <c r="A1383" s="42" t="inlineStr">
        <is>
          <t>dunhill desire gold</t>
        </is>
      </c>
      <c r="B1383" s="42" t="inlineStr">
        <is>
          <t>dunhill desire gold edt 100ml</t>
        </is>
      </c>
      <c r="C1383" s="42" t="inlineStr">
        <is>
          <t>Yes</t>
        </is>
      </c>
    </row>
    <row r="1384" ht="15" customHeight="1" s="37">
      <c r="A1384" s="42" t="inlineStr">
        <is>
          <t>dunhill desire gold</t>
        </is>
      </c>
      <c r="B1384" s="42" t="inlineStr">
        <is>
          <t>dunhill desire gold fragrantica</t>
        </is>
      </c>
      <c r="C1384" s="42" t="n"/>
    </row>
    <row r="1385" ht="15" customHeight="1" s="37">
      <c r="A1385" s="42" t="inlineStr">
        <is>
          <t>dunhill desire gold</t>
        </is>
      </c>
      <c r="B1385" s="42" t="inlineStr">
        <is>
          <t>dunhill desire gold m edt 100ml</t>
        </is>
      </c>
      <c r="C1385" s="42" t="n"/>
    </row>
    <row r="1386" ht="15" customHeight="1" s="37">
      <c r="A1386" s="42" t="inlineStr">
        <is>
          <t>dunhill desire gold</t>
        </is>
      </c>
      <c r="B1386" s="42" t="inlineStr">
        <is>
          <t>dunhill desire gold notes</t>
        </is>
      </c>
      <c r="C1386" s="42" t="n"/>
    </row>
    <row r="1387" ht="15" customHeight="1" s="37">
      <c r="A1387" s="42" t="inlineStr">
        <is>
          <t>dunhill desire silver</t>
        </is>
      </c>
      <c r="B1387" s="42" t="inlineStr">
        <is>
          <t>dunhill desire silver</t>
        </is>
      </c>
      <c r="C1387" s="42" t="inlineStr">
        <is>
          <t>Yes</t>
        </is>
      </c>
    </row>
    <row r="1388" ht="15" customHeight="1" s="37">
      <c r="A1388" s="42" t="inlineStr">
        <is>
          <t>dunhill desire silver</t>
        </is>
      </c>
      <c r="B1388" s="42" t="inlineStr">
        <is>
          <t>dunhill desire silver perfume price in pakistan</t>
        </is>
      </c>
      <c r="C1388" s="42" t="n"/>
    </row>
    <row r="1389" ht="15" customHeight="1" s="37">
      <c r="A1389" s="42" t="inlineStr">
        <is>
          <t>dunhill desire silver</t>
        </is>
      </c>
      <c r="B1389" s="42" t="inlineStr">
        <is>
          <t>dunhill desire silver perfume</t>
        </is>
      </c>
      <c r="C1389" s="42" t="inlineStr">
        <is>
          <t>Yes</t>
        </is>
      </c>
    </row>
    <row r="1390" ht="15" customHeight="1" s="37">
      <c r="A1390" s="42" t="inlineStr">
        <is>
          <t>dunhill desire silver</t>
        </is>
      </c>
      <c r="B1390" s="42" t="inlineStr">
        <is>
          <t>dunhill desire silver review</t>
        </is>
      </c>
      <c r="C1390" s="42" t="inlineStr">
        <is>
          <t>Yes</t>
        </is>
      </c>
    </row>
    <row r="1391" ht="15" customHeight="1" s="37">
      <c r="A1391" s="42" t="inlineStr">
        <is>
          <t>dunhill desire silver</t>
        </is>
      </c>
      <c r="B1391" s="42" t="inlineStr">
        <is>
          <t>dunhill desire silver eau de toilette</t>
        </is>
      </c>
      <c r="C1391" s="42" t="inlineStr">
        <is>
          <t>Yes</t>
        </is>
      </c>
    </row>
    <row r="1392" ht="15" customHeight="1" s="37">
      <c r="A1392" s="42" t="inlineStr">
        <is>
          <t>dunhill desire silver</t>
        </is>
      </c>
      <c r="B1392" s="42" t="inlineStr">
        <is>
          <t>dunhill desire silver 100ml</t>
        </is>
      </c>
      <c r="C1392" s="42" t="inlineStr">
        <is>
          <t>Yes</t>
        </is>
      </c>
    </row>
    <row r="1393" ht="15" customHeight="1" s="37">
      <c r="A1393" s="42" t="inlineStr">
        <is>
          <t>dunhill desire silver</t>
        </is>
      </c>
      <c r="B1393" s="42" t="inlineStr">
        <is>
          <t>dunhill desire silver notes</t>
        </is>
      </c>
      <c r="C1393" s="42" t="inlineStr">
        <is>
          <t>Yes</t>
        </is>
      </c>
    </row>
    <row r="1394" ht="15" customHeight="1" s="37">
      <c r="A1394" s="42" t="inlineStr">
        <is>
          <t>dunhill desire silver</t>
        </is>
      </c>
      <c r="B1394" s="42" t="inlineStr">
        <is>
          <t>dunhill desire silver edt</t>
        </is>
      </c>
      <c r="C1394" s="42" t="inlineStr">
        <is>
          <t>Yes</t>
        </is>
      </c>
    </row>
    <row r="1395" ht="15" customHeight="1" s="37">
      <c r="A1395" s="42" t="inlineStr">
        <is>
          <t>dunhill desire silver</t>
        </is>
      </c>
      <c r="B1395" s="42" t="inlineStr">
        <is>
          <t>dunhill desire silver body spray</t>
        </is>
      </c>
      <c r="C1395" s="42" t="n"/>
    </row>
    <row r="1396" ht="15" customHeight="1" s="37">
      <c r="A1396" s="42" t="inlineStr">
        <is>
          <t>dunhill desire silver</t>
        </is>
      </c>
      <c r="B1396" s="42" t="inlineStr">
        <is>
          <t>dunhill desire silver price</t>
        </is>
      </c>
      <c r="C1396" s="42" t="inlineStr">
        <is>
          <t>Yes</t>
        </is>
      </c>
    </row>
    <row r="1397" ht="15" customHeight="1" s="37">
      <c r="A1397" s="42" t="inlineStr">
        <is>
          <t>dunhill perfume</t>
        </is>
      </c>
      <c r="B1397" s="42" t="inlineStr">
        <is>
          <t>dunhill perfume</t>
        </is>
      </c>
      <c r="C1397" s="42" t="inlineStr">
        <is>
          <t>Yes</t>
        </is>
      </c>
    </row>
    <row r="1398" ht="15" customHeight="1" s="37">
      <c r="A1398" s="42" t="inlineStr">
        <is>
          <t>dunhill perfume</t>
        </is>
      </c>
      <c r="B1398" s="42" t="inlineStr">
        <is>
          <t>dunhill perfume price in pakistan</t>
        </is>
      </c>
      <c r="C1398" s="42" t="n"/>
    </row>
    <row r="1399" ht="15" customHeight="1" s="37">
      <c r="A1399" s="42" t="inlineStr">
        <is>
          <t>dunhill perfume</t>
        </is>
      </c>
      <c r="B1399" s="42" t="inlineStr">
        <is>
          <t>dunhill perfume price</t>
        </is>
      </c>
      <c r="C1399" s="42" t="n"/>
    </row>
    <row r="1400" ht="15" customHeight="1" s="37">
      <c r="A1400" s="42" t="inlineStr">
        <is>
          <t>dunhill perfume</t>
        </is>
      </c>
      <c r="B1400" s="42" t="inlineStr">
        <is>
          <t>dunhill perfume men</t>
        </is>
      </c>
      <c r="C1400" s="42" t="n"/>
    </row>
    <row r="1401" ht="15" customHeight="1" s="37">
      <c r="A1401" s="42" t="inlineStr">
        <is>
          <t>dunhill perfume</t>
        </is>
      </c>
      <c r="B1401" s="42" t="inlineStr">
        <is>
          <t>dunhill perfume srk</t>
        </is>
      </c>
      <c r="C1401" s="42" t="n"/>
    </row>
    <row r="1402" ht="15" customHeight="1" s="37">
      <c r="A1402" s="42" t="inlineStr">
        <is>
          <t>dunhill perfume</t>
        </is>
      </c>
      <c r="B1402" s="42" t="inlineStr">
        <is>
          <t>dunhill perfume price in bangladesh</t>
        </is>
      </c>
      <c r="C1402" s="42" t="n"/>
    </row>
    <row r="1403" ht="15" customHeight="1" s="37">
      <c r="A1403" s="42" t="inlineStr">
        <is>
          <t>dunhill perfume</t>
        </is>
      </c>
      <c r="B1403" s="42" t="inlineStr">
        <is>
          <t>dunhill perfume original</t>
        </is>
      </c>
      <c r="C1403" s="42" t="n"/>
    </row>
    <row r="1404" ht="15" customHeight="1" s="37">
      <c r="A1404" s="42" t="inlineStr">
        <is>
          <t>dunhill perfume</t>
        </is>
      </c>
      <c r="B1404" s="42" t="inlineStr">
        <is>
          <t>dunhill perfume red</t>
        </is>
      </c>
      <c r="C1404" s="42" t="n"/>
    </row>
    <row r="1405" ht="15" customHeight="1" s="37">
      <c r="A1405" s="42" t="inlineStr">
        <is>
          <t>dunhill perfume</t>
        </is>
      </c>
      <c r="B1405" s="42" t="inlineStr">
        <is>
          <t>dunhill perfume blue</t>
        </is>
      </c>
      <c r="C1405" s="42" t="n"/>
    </row>
    <row r="1406" ht="15" customHeight="1" s="37">
      <c r="A1406" s="42" t="inlineStr">
        <is>
          <t>dunhill perfume</t>
        </is>
      </c>
      <c r="B1406" s="42" t="inlineStr">
        <is>
          <t>dunhill perfume notes</t>
        </is>
      </c>
      <c r="C1406" s="42" t="n"/>
    </row>
    <row r="1407" ht="15" customHeight="1" s="37">
      <c r="A1407" s="42" t="inlineStr">
        <is>
          <t>dunhill signature collection agar wood</t>
        </is>
      </c>
      <c r="B1407" s="42" t="inlineStr">
        <is>
          <t>dunhill signature collection agar wood</t>
        </is>
      </c>
      <c r="C1407" s="42" t="inlineStr">
        <is>
          <t>Yes</t>
        </is>
      </c>
    </row>
    <row r="1408" ht="15" customHeight="1" s="37">
      <c r="A1408" s="42" t="inlineStr">
        <is>
          <t>dunhill signature collection agar wood</t>
        </is>
      </c>
      <c r="B1408" s="42" t="inlineStr">
        <is>
          <t>dunhill signature collection agar wood m edp 100ml</t>
        </is>
      </c>
      <c r="C1408" s="42" t="n"/>
    </row>
    <row r="1409" ht="15" customHeight="1" s="37">
      <c r="A1409" s="42" t="inlineStr">
        <is>
          <t>dunhill signature collection agar wood</t>
        </is>
      </c>
      <c r="B1409" s="42" t="inlineStr">
        <is>
          <t>dunhill signature collection agar wood edp</t>
        </is>
      </c>
      <c r="C1409" s="42" t="inlineStr">
        <is>
          <t>Yes</t>
        </is>
      </c>
    </row>
    <row r="1410" ht="15" customHeight="1" s="37">
      <c r="A1410" s="42" t="inlineStr">
        <is>
          <t>dunhill signature collection agar wood</t>
        </is>
      </c>
      <c r="B1410" s="42" t="inlineStr">
        <is>
          <t>dunhill signature collection agar wood edp 100ml</t>
        </is>
      </c>
      <c r="C1410" s="42" t="inlineStr">
        <is>
          <t>Yes</t>
        </is>
      </c>
    </row>
    <row r="1411" ht="15" customHeight="1" s="37">
      <c r="A1411" s="42" t="inlineStr">
        <is>
          <t>dunhill signature collection agar wood</t>
        </is>
      </c>
      <c r="B1411" s="42" t="inlineStr">
        <is>
          <t>dunhill signature collection agar wood review</t>
        </is>
      </c>
      <c r="C1411" s="42" t="inlineStr">
        <is>
          <t>Yes</t>
        </is>
      </c>
    </row>
    <row r="1412" ht="15" customHeight="1" s="37">
      <c r="A1412" s="42" t="inlineStr">
        <is>
          <t>dunhill signature collection agar wood</t>
        </is>
      </c>
      <c r="B1412" s="42" t="inlineStr">
        <is>
          <t>dunhill signature collection agar wood eau de parfum</t>
        </is>
      </c>
      <c r="C1412" s="42" t="inlineStr">
        <is>
          <t>Yes</t>
        </is>
      </c>
    </row>
    <row r="1413" ht="15" customHeight="1" s="37">
      <c r="A1413" s="42" t="inlineStr">
        <is>
          <t>dunhill signature collection agar wood</t>
        </is>
      </c>
      <c r="B1413" s="42" t="inlineStr">
        <is>
          <t>dunhill signature collection agar wood eau de parfum 100ml</t>
        </is>
      </c>
      <c r="C1413" s="42" t="inlineStr">
        <is>
          <t>Yes</t>
        </is>
      </c>
    </row>
    <row r="1414" ht="15" customHeight="1" s="37">
      <c r="A1414" s="42" t="inlineStr">
        <is>
          <t>dunhill signature collection agar wood</t>
        </is>
      </c>
      <c r="B1414" s="42" t="inlineStr">
        <is>
          <t>dunhill signature collection agar wood eau de parfum for men</t>
        </is>
      </c>
      <c r="C1414" s="42" t="inlineStr">
        <is>
          <t>Yes</t>
        </is>
      </c>
    </row>
    <row r="1415" ht="15" customHeight="1" s="37">
      <c r="A1415" s="42" t="inlineStr">
        <is>
          <t>dunhill signature collection agar wood</t>
        </is>
      </c>
      <c r="B1415" s="42" t="inlineStr">
        <is>
          <t>dunhill signature agar wood</t>
        </is>
      </c>
      <c r="C1415" s="42" t="n"/>
    </row>
    <row r="1416" ht="15" customHeight="1" s="37">
      <c r="A1416" s="42" t="inlineStr">
        <is>
          <t>dunhill signature collection agar wood</t>
        </is>
      </c>
      <c r="B1416" s="42" t="inlineStr">
        <is>
          <t>alfred dunhill men's signature collection agar wood</t>
        </is>
      </c>
      <c r="C1416" s="42" t="n"/>
    </row>
    <row r="1417" ht="15" customHeight="1" s="37">
      <c r="A1417" s="42" t="inlineStr">
        <is>
          <t>dunhill signature collection amalfi citrus</t>
        </is>
      </c>
      <c r="B1417" s="42" t="inlineStr">
        <is>
          <t>dunhill signature collection amalfi citrus</t>
        </is>
      </c>
      <c r="C1417" s="42" t="inlineStr">
        <is>
          <t>Yes</t>
        </is>
      </c>
    </row>
    <row r="1418" ht="15" customHeight="1" s="37">
      <c r="A1418" s="42" t="inlineStr">
        <is>
          <t>dunhill signature collection amalfi citrus</t>
        </is>
      </c>
      <c r="B1418" s="42" t="inlineStr">
        <is>
          <t>dunhill signature collection amalfi citrus eau de parfum</t>
        </is>
      </c>
      <c r="C1418" s="42" t="inlineStr">
        <is>
          <t>Yes</t>
        </is>
      </c>
    </row>
    <row r="1419" ht="15" customHeight="1" s="37">
      <c r="A1419" s="42" t="inlineStr">
        <is>
          <t>dunhill signature collection amalfi citrus</t>
        </is>
      </c>
      <c r="B1419" s="42" t="inlineStr">
        <is>
          <t>dunhill signature collection amalfi citrus m edp 100ml</t>
        </is>
      </c>
      <c r="C1419" s="42" t="n"/>
    </row>
    <row r="1420" ht="15" customHeight="1" s="37">
      <c r="A1420" s="42" t="inlineStr">
        <is>
          <t>dunhill signature collection amalfi citrus</t>
        </is>
      </c>
      <c r="B1420" s="42" t="inlineStr">
        <is>
          <t>dunhill signature collection amalfi citrus review</t>
        </is>
      </c>
      <c r="C1420" s="42" t="inlineStr">
        <is>
          <t>Yes</t>
        </is>
      </c>
    </row>
    <row r="1421" ht="15" customHeight="1" s="37">
      <c r="A1421" s="42" t="inlineStr">
        <is>
          <t>dunhill signature collection amalfi citrus</t>
        </is>
      </c>
      <c r="B1421" s="42" t="inlineStr">
        <is>
          <t>dunhill signature collection amalfi citrus edp</t>
        </is>
      </c>
      <c r="C1421" s="42" t="inlineStr">
        <is>
          <t>Yes</t>
        </is>
      </c>
    </row>
    <row r="1422" ht="15" customHeight="1" s="37">
      <c r="A1422" s="42" t="inlineStr">
        <is>
          <t>dunhill signature collection amalfi citrus</t>
        </is>
      </c>
      <c r="B1422" s="42" t="inlineStr">
        <is>
          <t>dunhill signature collection amalfi citrus cologne</t>
        </is>
      </c>
      <c r="C1422" s="42" t="n"/>
    </row>
    <row r="1423" ht="15" customHeight="1" s="37">
      <c r="A1423" s="42" t="inlineStr">
        <is>
          <t>dunhill signature collection amalfi citrus</t>
        </is>
      </c>
      <c r="B1423" s="42" t="inlineStr">
        <is>
          <t>dunhill signature collection amalfi citrus eau de parfum for men</t>
        </is>
      </c>
      <c r="C1423" s="42" t="inlineStr">
        <is>
          <t>Yes</t>
        </is>
      </c>
    </row>
    <row r="1424" ht="15" customHeight="1" s="37">
      <c r="A1424" s="42" t="inlineStr">
        <is>
          <t>dunhill signature collection amalfi citrus</t>
        </is>
      </c>
      <c r="B1424" s="42" t="inlineStr">
        <is>
          <t>dunhill london signature collection amalfi citrus</t>
        </is>
      </c>
      <c r="C1424" s="42" t="n"/>
    </row>
    <row r="1425" ht="15" customHeight="1" s="37">
      <c r="A1425" s="42" t="inlineStr">
        <is>
          <t>dunhill signature collection amalfi citrus</t>
        </is>
      </c>
      <c r="B1425" s="42" t="inlineStr">
        <is>
          <t>dunhill signature amalfi citrus</t>
        </is>
      </c>
      <c r="C1425" s="42" t="inlineStr">
        <is>
          <t>Yes</t>
        </is>
      </c>
    </row>
    <row r="1426" ht="15" customHeight="1" s="37">
      <c r="A1426" s="42" t="inlineStr">
        <is>
          <t>dunhill signature collection amalfi citrus</t>
        </is>
      </c>
      <c r="B1426" s="42" t="inlineStr">
        <is>
          <t>alfred dunhill men's signature collection amalfi citrus</t>
        </is>
      </c>
      <c r="C1426" s="42" t="n"/>
    </row>
    <row r="1427" ht="15" customHeight="1" s="37">
      <c r="A1427" s="42" t="inlineStr">
        <is>
          <t>dunhill signature collection arabian desert</t>
        </is>
      </c>
      <c r="B1427" s="42" t="inlineStr">
        <is>
          <t>dunhill signature collection arabian desert</t>
        </is>
      </c>
      <c r="C1427" s="42" t="inlineStr">
        <is>
          <t>Yes</t>
        </is>
      </c>
    </row>
    <row r="1428" ht="15" customHeight="1" s="37">
      <c r="A1428" s="42" t="inlineStr">
        <is>
          <t>dunhill signature collection arabian desert</t>
        </is>
      </c>
      <c r="B1428" s="42" t="inlineStr">
        <is>
          <t>dunhill signature collection arabian desert m edp 100ml</t>
        </is>
      </c>
      <c r="C1428" s="42" t="n"/>
    </row>
    <row r="1429" ht="15" customHeight="1" s="37">
      <c r="A1429" s="42" t="inlineStr">
        <is>
          <t>dunhill signature collection arabian desert</t>
        </is>
      </c>
      <c r="B1429" s="42" t="inlineStr">
        <is>
          <t>dunhill signature collection arabian desert eau de parfum</t>
        </is>
      </c>
      <c r="C1429" s="42" t="inlineStr">
        <is>
          <t>Yes</t>
        </is>
      </c>
    </row>
    <row r="1430" ht="15" customHeight="1" s="37">
      <c r="A1430" s="42" t="inlineStr">
        <is>
          <t>dunhill signature collection arabian desert</t>
        </is>
      </c>
      <c r="B1430" s="42" t="inlineStr">
        <is>
          <t>dunhill signature collection arabian desert review</t>
        </is>
      </c>
      <c r="C1430" s="42" t="inlineStr">
        <is>
          <t>Yes</t>
        </is>
      </c>
    </row>
    <row r="1431" ht="15" customHeight="1" s="37">
      <c r="A1431" s="42" t="inlineStr">
        <is>
          <t>dunhill signature collection arabian desert</t>
        </is>
      </c>
      <c r="B1431" s="42" t="inlineStr">
        <is>
          <t>dunhill signature collection arabian desert fragrantica</t>
        </is>
      </c>
      <c r="C1431" s="42" t="n"/>
    </row>
    <row r="1432" ht="15" customHeight="1" s="37">
      <c r="A1432" s="42" t="inlineStr">
        <is>
          <t>dunhill signature collection arabian desert</t>
        </is>
      </c>
      <c r="B1432" s="42" t="inlineStr">
        <is>
          <t>dunhill london signature collection arabian desert</t>
        </is>
      </c>
      <c r="C1432" s="42" t="n"/>
    </row>
    <row r="1433" ht="15" customHeight="1" s="37">
      <c r="A1433" s="42" t="inlineStr">
        <is>
          <t>dunhill signature collection arabian desert</t>
        </is>
      </c>
      <c r="B1433" s="42" t="inlineStr">
        <is>
          <t>dunhill signature arabian desert</t>
        </is>
      </c>
      <c r="C1433" s="42" t="inlineStr">
        <is>
          <t>Yes</t>
        </is>
      </c>
    </row>
    <row r="1434" ht="15" customHeight="1" s="37">
      <c r="A1434" s="42" t="inlineStr">
        <is>
          <t>dunhill signature collection arabian desert</t>
        </is>
      </c>
      <c r="B1434" s="42" t="inlineStr">
        <is>
          <t>dunhill signature arabian desert edp</t>
        </is>
      </c>
      <c r="C1434" s="42" t="inlineStr">
        <is>
          <t>Yes</t>
        </is>
      </c>
    </row>
    <row r="1435" ht="15" customHeight="1" s="37">
      <c r="A1435" s="42" t="inlineStr">
        <is>
          <t>dunhill signature collection arabian desert</t>
        </is>
      </c>
      <c r="B1435" s="42" t="inlineStr">
        <is>
          <t>alfred dunhill signature collection arabian desert</t>
        </is>
      </c>
      <c r="C1435" s="42" t="n"/>
    </row>
    <row r="1436" ht="15" customHeight="1" s="37">
      <c r="A1436" s="42" t="inlineStr">
        <is>
          <t>dunhill signature collection arabian desert</t>
        </is>
      </c>
      <c r="B1436" s="42" t="inlineStr">
        <is>
          <t>dunhill arabian desert review</t>
        </is>
      </c>
      <c r="C1436" s="42" t="inlineStr">
        <is>
          <t>Yes</t>
        </is>
      </c>
    </row>
    <row r="1437" ht="15" customHeight="1" s="37">
      <c r="A1437" s="42" t="inlineStr">
        <is>
          <t>dunhill signature collection british leather</t>
        </is>
      </c>
      <c r="B1437" s="42" t="inlineStr">
        <is>
          <t>dunhill signature collection british leather</t>
        </is>
      </c>
      <c r="C1437" s="42" t="inlineStr">
        <is>
          <t>Yes</t>
        </is>
      </c>
    </row>
    <row r="1438" ht="15" customHeight="1" s="37">
      <c r="A1438" s="42" t="inlineStr">
        <is>
          <t>dunhill signature collection british leather</t>
        </is>
      </c>
      <c r="B1438" s="42" t="inlineStr">
        <is>
          <t>dunhill signature collection british leather eau de parfum</t>
        </is>
      </c>
      <c r="C1438" s="42" t="inlineStr">
        <is>
          <t>Yes</t>
        </is>
      </c>
    </row>
    <row r="1439" ht="15" customHeight="1" s="37">
      <c r="A1439" s="42" t="inlineStr">
        <is>
          <t>dunhill signature collection british leather</t>
        </is>
      </c>
      <c r="B1439" s="42" t="inlineStr">
        <is>
          <t>dunhill signature collection british leather m edp 100ml</t>
        </is>
      </c>
      <c r="C1439" s="42" t="n"/>
    </row>
    <row r="1440" ht="15" customHeight="1" s="37">
      <c r="A1440" s="42" t="inlineStr">
        <is>
          <t>dunhill signature collection british leather</t>
        </is>
      </c>
      <c r="B1440" s="42" t="inlineStr">
        <is>
          <t>dunhill signature collection british leather review</t>
        </is>
      </c>
      <c r="C1440" s="42" t="inlineStr">
        <is>
          <t>Yes</t>
        </is>
      </c>
    </row>
    <row r="1441" ht="15" customHeight="1" s="37">
      <c r="A1441" s="42" t="inlineStr">
        <is>
          <t>dunhill signature collection british leather</t>
        </is>
      </c>
      <c r="B1441" s="42" t="inlineStr">
        <is>
          <t>dunhill signature collection british leather edp 100ml</t>
        </is>
      </c>
      <c r="C1441" s="42" t="inlineStr">
        <is>
          <t>Yes</t>
        </is>
      </c>
    </row>
    <row r="1442" ht="15" customHeight="1" s="37">
      <c r="A1442" s="42" t="inlineStr">
        <is>
          <t>dunhill signature collection british leather</t>
        </is>
      </c>
      <c r="B1442" s="42" t="inlineStr">
        <is>
          <t>dunhill signature collection british leather edp</t>
        </is>
      </c>
      <c r="C1442" s="42" t="inlineStr">
        <is>
          <t>Yes</t>
        </is>
      </c>
    </row>
    <row r="1443" ht="15" customHeight="1" s="37">
      <c r="A1443" s="42" t="inlineStr">
        <is>
          <t>dunhill signature collection british leather</t>
        </is>
      </c>
      <c r="B1443" s="42" t="inlineStr">
        <is>
          <t>dunhill london signature collection british leather</t>
        </is>
      </c>
      <c r="C1443" s="42" t="n"/>
    </row>
    <row r="1444" ht="15" customHeight="1" s="37">
      <c r="A1444" s="42" t="inlineStr">
        <is>
          <t>dunhill signature collection british leather</t>
        </is>
      </c>
      <c r="B1444" s="42" t="inlineStr">
        <is>
          <t>dunhill signature british leather</t>
        </is>
      </c>
      <c r="C1444" s="42" t="inlineStr">
        <is>
          <t>Yes</t>
        </is>
      </c>
    </row>
    <row r="1445" ht="15" customHeight="1" s="37">
      <c r="A1445" s="42" t="inlineStr">
        <is>
          <t>dunhill signature collection british leather</t>
        </is>
      </c>
      <c r="B1445" s="42" t="inlineStr">
        <is>
          <t>alfred dunhill signature collection british leather</t>
        </is>
      </c>
      <c r="C1445" s="42" t="n"/>
    </row>
    <row r="1446" ht="15" customHeight="1" s="37">
      <c r="A1446" s="42" t="inlineStr">
        <is>
          <t>dunhill signature collection british leather</t>
        </is>
      </c>
      <c r="B1446" s="42" t="inlineStr">
        <is>
          <t>dunhill british leather review</t>
        </is>
      </c>
      <c r="C1446" s="42" t="inlineStr">
        <is>
          <t>Yes</t>
        </is>
      </c>
    </row>
    <row r="1447" ht="15" customHeight="1" s="37">
      <c r="A1447" s="42" t="inlineStr">
        <is>
          <t>dunhill signature collection egyptian smoke</t>
        </is>
      </c>
      <c r="B1447" s="42" t="inlineStr">
        <is>
          <t>dunhill signature collection egyptian smoke</t>
        </is>
      </c>
      <c r="C1447" s="42" t="inlineStr">
        <is>
          <t>Yes</t>
        </is>
      </c>
    </row>
    <row r="1448" ht="15" customHeight="1" s="37">
      <c r="A1448" s="42" t="inlineStr">
        <is>
          <t>dunhill signature collection egyptian smoke</t>
        </is>
      </c>
      <c r="B1448" s="42" t="inlineStr">
        <is>
          <t>dunhill signature collection egyptian smoke eau de parfum</t>
        </is>
      </c>
      <c r="C1448" s="42" t="inlineStr">
        <is>
          <t>Yes</t>
        </is>
      </c>
    </row>
    <row r="1449" ht="15" customHeight="1" s="37">
      <c r="A1449" s="42" t="inlineStr">
        <is>
          <t>dunhill signature collection egyptian smoke</t>
        </is>
      </c>
      <c r="B1449" s="42" t="inlineStr">
        <is>
          <t>dunhill signature collection egyptian smoke edp 100ml</t>
        </is>
      </c>
      <c r="C1449" s="42" t="inlineStr">
        <is>
          <t>Yes</t>
        </is>
      </c>
    </row>
    <row r="1450" ht="15" customHeight="1" s="37">
      <c r="A1450" s="42" t="inlineStr">
        <is>
          <t>dunhill signature collection egyptian smoke</t>
        </is>
      </c>
      <c r="B1450" s="42" t="inlineStr">
        <is>
          <t>dunhill signature collection egyptian smoke cologne</t>
        </is>
      </c>
      <c r="C1450" s="42" t="n"/>
    </row>
    <row r="1451" ht="15" customHeight="1" s="37">
      <c r="A1451" s="42" t="inlineStr">
        <is>
          <t>dunhill signature collection egyptian smoke</t>
        </is>
      </c>
      <c r="B1451" s="42" t="inlineStr">
        <is>
          <t>dunhill signature collection egyptian smoke m edp 100ml</t>
        </is>
      </c>
      <c r="C1451" s="42" t="n"/>
    </row>
    <row r="1452" ht="15" customHeight="1" s="37">
      <c r="A1452" s="42" t="inlineStr">
        <is>
          <t>dunhill signature collection egyptian smoke</t>
        </is>
      </c>
      <c r="B1452" s="42" t="inlineStr">
        <is>
          <t>dunhill signature collection egyptian smoke review</t>
        </is>
      </c>
      <c r="C1452" s="42" t="inlineStr">
        <is>
          <t>Yes</t>
        </is>
      </c>
    </row>
    <row r="1453" ht="15" customHeight="1" s="37">
      <c r="A1453" s="42" t="inlineStr">
        <is>
          <t>dunhill signature collection egyptian smoke</t>
        </is>
      </c>
      <c r="B1453" s="42" t="inlineStr">
        <is>
          <t>dunhill london signature collection egyptian smoke</t>
        </is>
      </c>
      <c r="C1453" s="42" t="n"/>
    </row>
    <row r="1454" ht="15" customHeight="1" s="37">
      <c r="A1454" s="42" t="inlineStr">
        <is>
          <t>dunhill signature collection egyptian smoke</t>
        </is>
      </c>
      <c r="B1454" s="42" t="inlineStr">
        <is>
          <t>dunhill signature egyptian smoke</t>
        </is>
      </c>
      <c r="C1454" s="42" t="inlineStr">
        <is>
          <t>Yes</t>
        </is>
      </c>
    </row>
    <row r="1455" ht="15" customHeight="1" s="37">
      <c r="A1455" s="42" t="inlineStr">
        <is>
          <t>dunhill signature collection egyptian smoke</t>
        </is>
      </c>
      <c r="B1455" s="42" t="inlineStr">
        <is>
          <t>dunhill signature collection review</t>
        </is>
      </c>
      <c r="C1455" s="42" t="inlineStr">
        <is>
          <t>Yes</t>
        </is>
      </c>
    </row>
    <row r="1456" ht="15" customHeight="1" s="37">
      <c r="A1456" s="42" t="inlineStr">
        <is>
          <t>dunhill signature collection egyptian smoke</t>
        </is>
      </c>
      <c r="B1456" s="42" t="inlineStr">
        <is>
          <t>dunhill cigarettes color code</t>
        </is>
      </c>
      <c r="C1456" s="42" t="n"/>
    </row>
    <row r="1457" ht="15" customHeight="1" s="37">
      <c r="A1457" s="42" t="inlineStr">
        <is>
          <t>dunhill signature collection indian sandalwood</t>
        </is>
      </c>
      <c r="B1457" s="42" t="inlineStr">
        <is>
          <t>dunhill signature collection indian sandalwood</t>
        </is>
      </c>
      <c r="C1457" s="42" t="inlineStr">
        <is>
          <t>Yes</t>
        </is>
      </c>
    </row>
    <row r="1458" ht="15" customHeight="1" s="37">
      <c r="A1458" s="42" t="inlineStr">
        <is>
          <t>dunhill signature collection indian sandalwood</t>
        </is>
      </c>
      <c r="B1458" s="42" t="inlineStr">
        <is>
          <t>dunhill signature collection indian sandalwood eau de parfum</t>
        </is>
      </c>
      <c r="C1458" s="42" t="inlineStr">
        <is>
          <t>Yes</t>
        </is>
      </c>
    </row>
    <row r="1459" ht="15" customHeight="1" s="37">
      <c r="A1459" s="42" t="inlineStr">
        <is>
          <t>dunhill signature collection indian sandalwood</t>
        </is>
      </c>
      <c r="B1459" s="42" t="inlineStr">
        <is>
          <t>dunhill signature collection indian sandalwood edp</t>
        </is>
      </c>
      <c r="C1459" s="42" t="inlineStr">
        <is>
          <t>Yes</t>
        </is>
      </c>
    </row>
    <row r="1460" ht="15" customHeight="1" s="37">
      <c r="A1460" s="42" t="inlineStr">
        <is>
          <t>dunhill signature collection indian sandalwood</t>
        </is>
      </c>
      <c r="B1460" s="42" t="inlineStr">
        <is>
          <t>dunhill signature collection indian sandalwood review</t>
        </is>
      </c>
      <c r="C1460" s="42" t="inlineStr">
        <is>
          <t>Yes</t>
        </is>
      </c>
    </row>
    <row r="1461" ht="15" customHeight="1" s="37">
      <c r="A1461" s="42" t="inlineStr">
        <is>
          <t>dunhill signature collection indian sandalwood</t>
        </is>
      </c>
      <c r="B1461" s="42" t="inlineStr">
        <is>
          <t>dunhill signature collection indian sandalwood for men</t>
        </is>
      </c>
      <c r="C1461" s="42" t="inlineStr">
        <is>
          <t>Yes</t>
        </is>
      </c>
    </row>
    <row r="1462" ht="15" customHeight="1" s="37">
      <c r="A1462" s="42" t="inlineStr">
        <is>
          <t>dunhill signature collection indian sandalwood</t>
        </is>
      </c>
      <c r="B1462" s="42" t="inlineStr">
        <is>
          <t>dunhill signature collection indian sandalwood m edp 100ml</t>
        </is>
      </c>
      <c r="C1462" s="42" t="n"/>
    </row>
    <row r="1463" ht="15" customHeight="1" s="37">
      <c r="A1463" s="42" t="inlineStr">
        <is>
          <t>dunhill signature collection indian sandalwood</t>
        </is>
      </c>
      <c r="B1463" s="42" t="inlineStr">
        <is>
          <t>dunhill signature collection indian sandalwood edp 100ml</t>
        </is>
      </c>
      <c r="C1463" s="42" t="inlineStr">
        <is>
          <t>Yes</t>
        </is>
      </c>
    </row>
    <row r="1464" ht="15" customHeight="1" s="37">
      <c r="A1464" s="42" t="inlineStr">
        <is>
          <t>dunhill signature collection indian sandalwood</t>
        </is>
      </c>
      <c r="B1464" s="42" t="inlineStr">
        <is>
          <t>dunhill signature collection indian sandalwood eau de parfum 100ml</t>
        </is>
      </c>
      <c r="C1464" s="42" t="inlineStr">
        <is>
          <t>Yes</t>
        </is>
      </c>
    </row>
    <row r="1465" ht="15" customHeight="1" s="37">
      <c r="A1465" s="42" t="inlineStr">
        <is>
          <t>dunhill signature collection indian sandalwood</t>
        </is>
      </c>
      <c r="B1465" s="42" t="inlineStr">
        <is>
          <t>dunhill london signature collection indian sandalwood</t>
        </is>
      </c>
      <c r="C1465" s="42" t="n"/>
    </row>
    <row r="1466" ht="15" customHeight="1" s="37">
      <c r="A1466" s="42" t="inlineStr">
        <is>
          <t>dunhill signature collection indian sandalwood</t>
        </is>
      </c>
      <c r="B1466" s="42" t="inlineStr">
        <is>
          <t>dunhill signature indian sandalwood</t>
        </is>
      </c>
      <c r="C1466" s="42" t="n"/>
    </row>
    <row r="1467" ht="15" customHeight="1" s="37">
      <c r="A1467" s="42" t="inlineStr">
        <is>
          <t>dunhill signature collection mongolian cashmere</t>
        </is>
      </c>
      <c r="B1467" s="42" t="inlineStr">
        <is>
          <t>dunhill signature collection mongolian cashmere</t>
        </is>
      </c>
      <c r="C1467" s="42" t="inlineStr">
        <is>
          <t>Yes</t>
        </is>
      </c>
    </row>
    <row r="1468" ht="15" customHeight="1" s="37">
      <c r="A1468" s="42" t="inlineStr">
        <is>
          <t>dunhill signature collection mongolian cashmere</t>
        </is>
      </c>
      <c r="B1468" s="42" t="inlineStr">
        <is>
          <t>dunhill signature collection mongolian cashmere m edp 100ml</t>
        </is>
      </c>
      <c r="C1468" s="42" t="n"/>
    </row>
    <row r="1469" ht="15" customHeight="1" s="37">
      <c r="A1469" s="42" t="inlineStr">
        <is>
          <t>dunhill signature collection mongolian cashmere</t>
        </is>
      </c>
      <c r="B1469" s="42" t="inlineStr">
        <is>
          <t>dunhill signature collection mongolian cashmere eau de parfum</t>
        </is>
      </c>
      <c r="C1469" s="42" t="inlineStr">
        <is>
          <t>Yes</t>
        </is>
      </c>
    </row>
    <row r="1470" ht="15" customHeight="1" s="37">
      <c r="A1470" s="42" t="inlineStr">
        <is>
          <t>dunhill signature collection mongolian cashmere</t>
        </is>
      </c>
      <c r="B1470" s="42" t="inlineStr">
        <is>
          <t>dunhill signature collection mongolian cashmere eau de parfum 100ml</t>
        </is>
      </c>
      <c r="C1470" s="42" t="inlineStr">
        <is>
          <t>Yes</t>
        </is>
      </c>
    </row>
    <row r="1471" ht="15" customHeight="1" s="37">
      <c r="A1471" s="42" t="inlineStr">
        <is>
          <t>dunhill signature collection mongolian cashmere</t>
        </is>
      </c>
      <c r="B1471" s="42" t="inlineStr">
        <is>
          <t>dunhill signature mongolian cashmere</t>
        </is>
      </c>
      <c r="C1471" s="42" t="inlineStr">
        <is>
          <t>Yes</t>
        </is>
      </c>
    </row>
    <row r="1472" ht="15" customHeight="1" s="37">
      <c r="A1472" s="42" t="inlineStr">
        <is>
          <t>dunhill signature collection mongolian cashmere</t>
        </is>
      </c>
      <c r="B1472" s="42" t="inlineStr">
        <is>
          <t>alfred dunhill men's signature collection mongolian cashmere</t>
        </is>
      </c>
      <c r="C1472" s="42" t="n"/>
    </row>
    <row r="1473" ht="15" customHeight="1" s="37">
      <c r="A1473" s="42" t="inlineStr">
        <is>
          <t>dunhill signature collection mongolian cashmere</t>
        </is>
      </c>
      <c r="B1473" s="42" t="inlineStr">
        <is>
          <t>dunhill signature mongolian cashmere edp</t>
        </is>
      </c>
      <c r="C1473" s="42" t="inlineStr">
        <is>
          <t>Yes</t>
        </is>
      </c>
    </row>
    <row r="1474" ht="15" customHeight="1" s="37">
      <c r="A1474" s="42" t="inlineStr">
        <is>
          <t>dunhill signature collection mongolian cashmere</t>
        </is>
      </c>
      <c r="B1474" s="42" t="inlineStr">
        <is>
          <t>is mongolian cashmere good quality</t>
        </is>
      </c>
      <c r="C1474" s="42" t="n"/>
    </row>
    <row r="1475" ht="15" customHeight="1" s="37">
      <c r="A1475" s="42" t="inlineStr">
        <is>
          <t>dunhill signature collection mongolian cashmere</t>
        </is>
      </c>
      <c r="B1475" s="42" t="inlineStr">
        <is>
          <t>is mongolian cashmere the best</t>
        </is>
      </c>
      <c r="C1475" s="42" t="n"/>
    </row>
    <row r="1476" ht="15" customHeight="1" s="37">
      <c r="A1476" s="42" t="inlineStr">
        <is>
          <t>dunhill signature collection mongolian cashmere</t>
        </is>
      </c>
      <c r="B1476" s="42" t="inlineStr">
        <is>
          <t>mongolian cashmere brands</t>
        </is>
      </c>
      <c r="C1476" s="42" t="n"/>
    </row>
    <row r="1477" ht="15" customHeight="1" s="37">
      <c r="A1477" s="42" t="inlineStr">
        <is>
          <t>dunhill signature collection moroccan amber</t>
        </is>
      </c>
      <c r="B1477" s="42" t="inlineStr">
        <is>
          <t>dunhill signature collection moroccan amber</t>
        </is>
      </c>
      <c r="C1477" s="42" t="inlineStr">
        <is>
          <t>Yes</t>
        </is>
      </c>
    </row>
    <row r="1478" ht="15" customHeight="1" s="37">
      <c r="A1478" s="42" t="inlineStr">
        <is>
          <t>dunhill signature collection moroccan amber</t>
        </is>
      </c>
      <c r="B1478" s="42" t="inlineStr">
        <is>
          <t>dunhill signature collection moroccan amber review</t>
        </is>
      </c>
      <c r="C1478" s="42" t="inlineStr">
        <is>
          <t>Yes</t>
        </is>
      </c>
    </row>
    <row r="1479" ht="15" customHeight="1" s="37">
      <c r="A1479" s="42" t="inlineStr">
        <is>
          <t>dunhill signature collection moroccan amber</t>
        </is>
      </c>
      <c r="B1479" s="42" t="inlineStr">
        <is>
          <t>dunhill signature collection moroccan amber for men</t>
        </is>
      </c>
      <c r="C1479" s="42" t="inlineStr">
        <is>
          <t>Yes</t>
        </is>
      </c>
    </row>
    <row r="1480" ht="15" customHeight="1" s="37">
      <c r="A1480" s="42" t="inlineStr">
        <is>
          <t>dunhill signature collection moroccan amber</t>
        </is>
      </c>
      <c r="B1480" s="42" t="inlineStr">
        <is>
          <t>dunhill signature collection moroccan amber edp 100ml</t>
        </is>
      </c>
      <c r="C1480" s="42" t="inlineStr">
        <is>
          <t>Yes</t>
        </is>
      </c>
    </row>
    <row r="1481" ht="15" customHeight="1" s="37">
      <c r="A1481" s="42" t="inlineStr">
        <is>
          <t>dunhill signature collection moroccan amber</t>
        </is>
      </c>
      <c r="B1481" s="42" t="inlineStr">
        <is>
          <t>dunhill signature collection moroccan amber m edp 100ml</t>
        </is>
      </c>
      <c r="C1481" s="42" t="n"/>
    </row>
    <row r="1482" ht="15" customHeight="1" s="37">
      <c r="A1482" s="42" t="inlineStr">
        <is>
          <t>dunhill signature collection moroccan amber</t>
        </is>
      </c>
      <c r="B1482" s="42" t="inlineStr">
        <is>
          <t>dunhill signature collection moroccan amber eau de parfum</t>
        </is>
      </c>
      <c r="C1482" s="42" t="inlineStr">
        <is>
          <t>Yes</t>
        </is>
      </c>
    </row>
    <row r="1483" ht="15" customHeight="1" s="37">
      <c r="A1483" s="42" t="inlineStr">
        <is>
          <t>dunhill signature collection moroccan amber</t>
        </is>
      </c>
      <c r="B1483" s="42" t="inlineStr">
        <is>
          <t>dunhill london signature collection moroccan amber</t>
        </is>
      </c>
      <c r="C1483" s="42" t="n"/>
    </row>
    <row r="1484" ht="15" customHeight="1" s="37">
      <c r="A1484" s="42" t="inlineStr">
        <is>
          <t>dunhill signature collection moroccan amber</t>
        </is>
      </c>
      <c r="B1484" s="42" t="inlineStr">
        <is>
          <t>dunhill signature moroccan amber</t>
        </is>
      </c>
      <c r="C1484" s="42" t="inlineStr">
        <is>
          <t>Yes</t>
        </is>
      </c>
    </row>
    <row r="1485" ht="15" customHeight="1" s="37">
      <c r="A1485" s="42" t="inlineStr">
        <is>
          <t>dunhill signature collection moroccan amber</t>
        </is>
      </c>
      <c r="B1485" s="42" t="inlineStr">
        <is>
          <t>alfred dunhill men's signature collection moroccan amber</t>
        </is>
      </c>
      <c r="C1485" s="42" t="n"/>
    </row>
    <row r="1486" ht="15" customHeight="1" s="37">
      <c r="A1486" s="42" t="inlineStr">
        <is>
          <t>dunhill signature collection moroccan amber</t>
        </is>
      </c>
      <c r="B1486" s="42" t="inlineStr">
        <is>
          <t>alfred dunhill men's signature collection moroccan amber edp</t>
        </is>
      </c>
      <c r="C1486" s="42" t="n"/>
    </row>
    <row r="1487" ht="15" customHeight="1" s="37">
      <c r="A1487" s="42" t="inlineStr">
        <is>
          <t>dunhill signature collection nordic fougere</t>
        </is>
      </c>
      <c r="B1487" s="42" t="inlineStr">
        <is>
          <t>dunhill signature collection nordic fougere</t>
        </is>
      </c>
      <c r="C1487" s="42" t="inlineStr">
        <is>
          <t>Yes</t>
        </is>
      </c>
    </row>
    <row r="1488" ht="15" customHeight="1" s="37">
      <c r="A1488" s="42" t="inlineStr">
        <is>
          <t>dunhill signature collection nordic fougere</t>
        </is>
      </c>
      <c r="B1488" s="42" t="inlineStr">
        <is>
          <t>dunhill signature collection nordic fougere m edp 100ml</t>
        </is>
      </c>
      <c r="C1488" s="42" t="n"/>
    </row>
    <row r="1489" ht="15" customHeight="1" s="37">
      <c r="A1489" s="42" t="inlineStr">
        <is>
          <t>dunhill signature collection nordic fougere</t>
        </is>
      </c>
      <c r="B1489" s="42" t="inlineStr">
        <is>
          <t>dunhill signature collection nordic fougere eau de parfum</t>
        </is>
      </c>
      <c r="C1489" s="42" t="inlineStr">
        <is>
          <t>Yes</t>
        </is>
      </c>
    </row>
    <row r="1490" ht="15" customHeight="1" s="37">
      <c r="A1490" s="42" t="inlineStr">
        <is>
          <t>dunhill signature collection nordic fougere</t>
        </is>
      </c>
      <c r="B1490" s="42" t="inlineStr">
        <is>
          <t>dunhill signature collection nordic fougere edp</t>
        </is>
      </c>
      <c r="C1490" s="42" t="inlineStr">
        <is>
          <t>Yes</t>
        </is>
      </c>
    </row>
    <row r="1491" ht="15" customHeight="1" s="37">
      <c r="A1491" s="42" t="inlineStr">
        <is>
          <t>dunhill signature collection nordic fougere</t>
        </is>
      </c>
      <c r="B1491" s="42" t="inlineStr">
        <is>
          <t>dunhill signature collection nordic fougere edp 100ml</t>
        </is>
      </c>
      <c r="C1491" s="42" t="inlineStr">
        <is>
          <t>Yes</t>
        </is>
      </c>
    </row>
    <row r="1492" ht="15" customHeight="1" s="37">
      <c r="A1492" s="42" t="inlineStr">
        <is>
          <t>dunhill signature collection nordic fougere</t>
        </is>
      </c>
      <c r="B1492" s="42" t="inlineStr">
        <is>
          <t>dunhill london signature collection nordic fougere</t>
        </is>
      </c>
      <c r="C1492" s="42" t="n"/>
    </row>
    <row r="1493" ht="15" customHeight="1" s="37">
      <c r="A1493" s="42" t="inlineStr">
        <is>
          <t>dunhill signature collection nordic fougere</t>
        </is>
      </c>
      <c r="B1493" s="42" t="inlineStr">
        <is>
          <t>alfred dunhill men's signature collection nordic fougere</t>
        </is>
      </c>
      <c r="C1493" s="42" t="n"/>
    </row>
    <row r="1494" ht="15" customHeight="1" s="37">
      <c r="A1494" s="42" t="inlineStr">
        <is>
          <t>dunhill signature collection nordic fougere</t>
        </is>
      </c>
      <c r="B1494" s="42" t="inlineStr">
        <is>
          <t>dunhill signature nordic fougere edp</t>
        </is>
      </c>
      <c r="C1494" s="42" t="inlineStr">
        <is>
          <t>Yes</t>
        </is>
      </c>
    </row>
    <row r="1495" ht="15" customHeight="1" s="37">
      <c r="A1495" s="42" t="inlineStr">
        <is>
          <t>dunhill signature collection nordic fougere</t>
        </is>
      </c>
      <c r="B1495" s="42" t="inlineStr">
        <is>
          <t>dunhill signature collection review</t>
        </is>
      </c>
      <c r="C1495" s="42" t="inlineStr">
        <is>
          <t>Yes</t>
        </is>
      </c>
    </row>
    <row r="1496" ht="15" customHeight="1" s="37">
      <c r="A1496" s="42" t="inlineStr">
        <is>
          <t>dunhill signature collection nordic fougere</t>
        </is>
      </c>
      <c r="B1496" s="42" t="inlineStr">
        <is>
          <t>what is fougere scent</t>
        </is>
      </c>
      <c r="C1496" s="42" t="n"/>
    </row>
    <row r="1497" ht="15" customHeight="1" s="37">
      <c r="A1497" s="42" t="inlineStr">
        <is>
          <t>dunhill signature collection valensole lavender</t>
        </is>
      </c>
      <c r="B1497" s="42" t="inlineStr">
        <is>
          <t>dunhill signature collection valensole lavender</t>
        </is>
      </c>
      <c r="C1497" s="42" t="inlineStr">
        <is>
          <t>Yes</t>
        </is>
      </c>
    </row>
    <row r="1498" ht="15" customHeight="1" s="37">
      <c r="A1498" s="42" t="inlineStr">
        <is>
          <t>dunhill signature collection valensole lavender</t>
        </is>
      </c>
      <c r="B1498" s="42" t="inlineStr">
        <is>
          <t>dunhill signature collection valensole lavender eau de parfum</t>
        </is>
      </c>
      <c r="C1498" s="42" t="inlineStr">
        <is>
          <t>Yes</t>
        </is>
      </c>
    </row>
    <row r="1499" ht="15" customHeight="1" s="37">
      <c r="A1499" s="42" t="inlineStr">
        <is>
          <t>dunhill signature collection valensole lavender</t>
        </is>
      </c>
      <c r="B1499" s="42" t="inlineStr">
        <is>
          <t>dunhill signature collection valensole lavender m edp 100ml</t>
        </is>
      </c>
      <c r="C1499" s="42" t="n"/>
    </row>
    <row r="1500" ht="15" customHeight="1" s="37">
      <c r="A1500" s="42" t="inlineStr">
        <is>
          <t>dunhill signature collection valensole lavender</t>
        </is>
      </c>
      <c r="B1500" s="42" t="inlineStr">
        <is>
          <t>dunhill signature collection valensole lavender edp</t>
        </is>
      </c>
      <c r="C1500" s="42" t="inlineStr">
        <is>
          <t>Yes</t>
        </is>
      </c>
    </row>
    <row r="1501" ht="15" customHeight="1" s="37">
      <c r="A1501" s="42" t="inlineStr">
        <is>
          <t>dunhill signature collection valensole lavender</t>
        </is>
      </c>
      <c r="B1501" s="42" t="inlineStr">
        <is>
          <t>dunhill signature collection valensole lavender eau de parfum 100ml</t>
        </is>
      </c>
      <c r="C1501" s="42" t="inlineStr">
        <is>
          <t>Yes</t>
        </is>
      </c>
    </row>
    <row r="1502" ht="15" customHeight="1" s="37">
      <c r="A1502" s="42" t="inlineStr">
        <is>
          <t>dunhill signature collection valensole lavender</t>
        </is>
      </c>
      <c r="B1502" s="42" t="inlineStr">
        <is>
          <t>dunhill london signature collection valensole lavender</t>
        </is>
      </c>
      <c r="C1502" s="42" t="n"/>
    </row>
    <row r="1503" ht="15" customHeight="1" s="37">
      <c r="A1503" s="42" t="inlineStr">
        <is>
          <t>dunhill signature collection valensole lavender</t>
        </is>
      </c>
      <c r="B1503" s="42" t="inlineStr">
        <is>
          <t>dunhill signature valensole lavender</t>
        </is>
      </c>
      <c r="C1503" s="42" t="inlineStr">
        <is>
          <t>Yes</t>
        </is>
      </c>
    </row>
    <row r="1504" ht="15" customHeight="1" s="37">
      <c r="A1504" s="42" t="inlineStr">
        <is>
          <t>dunhill signature collection valensole lavender</t>
        </is>
      </c>
      <c r="B1504" s="42" t="inlineStr">
        <is>
          <t>dunhill signature valensole lavender for man</t>
        </is>
      </c>
      <c r="C1504" s="42" t="n"/>
    </row>
    <row r="1505" ht="15" customHeight="1" s="37">
      <c r="A1505" s="42" t="inlineStr">
        <is>
          <t>dunhill signature collection valensole lavender</t>
        </is>
      </c>
      <c r="B1505" s="42" t="inlineStr">
        <is>
          <t>alfred dunhill men's signature collection valensole lavender</t>
        </is>
      </c>
      <c r="C1505" s="42" t="n"/>
    </row>
    <row r="1506" ht="15" customHeight="1" s="37">
      <c r="A1506" s="42" t="inlineStr">
        <is>
          <t>dunhill signature collection valensole lavender</t>
        </is>
      </c>
      <c r="B1506" s="42" t="inlineStr">
        <is>
          <t>which lavender has the best fragrance</t>
        </is>
      </c>
      <c r="C1506" s="42" t="n"/>
    </row>
    <row r="1507" ht="15" customHeight="1" s="37">
      <c r="A1507" s="42" t="inlineStr">
        <is>
          <t>elie saab elixir</t>
        </is>
      </c>
      <c r="B1507" s="42" t="inlineStr">
        <is>
          <t>elie saab elixir</t>
        </is>
      </c>
      <c r="C1507" s="42" t="inlineStr">
        <is>
          <t>Yes</t>
        </is>
      </c>
    </row>
    <row r="1508" ht="15" customHeight="1" s="37">
      <c r="A1508" s="42" t="inlineStr">
        <is>
          <t>elie saab elixir</t>
        </is>
      </c>
      <c r="B1508" s="42" t="inlineStr">
        <is>
          <t>elie saab elixir love</t>
        </is>
      </c>
      <c r="C1508" s="42" t="n"/>
    </row>
    <row r="1509" ht="15" customHeight="1" s="37">
      <c r="A1509" s="42" t="inlineStr">
        <is>
          <t>elie saab elixir</t>
        </is>
      </c>
      <c r="B1509" s="42" t="inlineStr">
        <is>
          <t>elie saab elixir perfume</t>
        </is>
      </c>
      <c r="C1509" s="42" t="inlineStr">
        <is>
          <t>Yes</t>
        </is>
      </c>
    </row>
    <row r="1510" ht="15" customHeight="1" s="37">
      <c r="A1510" s="42" t="inlineStr">
        <is>
          <t>elie saab elixir</t>
        </is>
      </c>
      <c r="B1510" s="42" t="inlineStr">
        <is>
          <t>elie saab elixir eau de parfum</t>
        </is>
      </c>
      <c r="C1510" s="42" t="inlineStr">
        <is>
          <t>Yes</t>
        </is>
      </c>
    </row>
    <row r="1511" ht="15" customHeight="1" s="37">
      <c r="A1511" s="42" t="inlineStr">
        <is>
          <t>elie saab elixir</t>
        </is>
      </c>
      <c r="B1511" s="42" t="inlineStr">
        <is>
          <t>elie saab elixir 30ml</t>
        </is>
      </c>
      <c r="C1511" s="42" t="inlineStr">
        <is>
          <t>Yes</t>
        </is>
      </c>
    </row>
    <row r="1512" ht="15" customHeight="1" s="37">
      <c r="A1512" s="42" t="inlineStr">
        <is>
          <t>elie saab elixir</t>
        </is>
      </c>
      <c r="B1512" s="42" t="inlineStr">
        <is>
          <t>elie saab elixir 100ml</t>
        </is>
      </c>
      <c r="C1512" s="42" t="inlineStr">
        <is>
          <t>Yes</t>
        </is>
      </c>
    </row>
    <row r="1513" ht="15" customHeight="1" s="37">
      <c r="A1513" s="42" t="inlineStr">
        <is>
          <t>elie saab elixir</t>
        </is>
      </c>
      <c r="B1513" s="42" t="inlineStr">
        <is>
          <t>elie saab elixir notes</t>
        </is>
      </c>
      <c r="C1513" s="42" t="inlineStr">
        <is>
          <t>Yes</t>
        </is>
      </c>
    </row>
    <row r="1514" ht="15" customHeight="1" s="37">
      <c r="A1514" s="42" t="inlineStr">
        <is>
          <t>elie saab elixir</t>
        </is>
      </c>
      <c r="B1514" s="42" t="inlineStr">
        <is>
          <t>elie saab elixir reviews</t>
        </is>
      </c>
      <c r="C1514" s="42" t="inlineStr">
        <is>
          <t>Yes</t>
        </is>
      </c>
    </row>
    <row r="1515" ht="15" customHeight="1" s="37">
      <c r="A1515" s="42" t="inlineStr">
        <is>
          <t>elie saab elixir</t>
        </is>
      </c>
      <c r="B1515" s="42" t="inlineStr">
        <is>
          <t>elie saab elixir love review</t>
        </is>
      </c>
      <c r="C1515" s="42" t="n"/>
    </row>
    <row r="1516" ht="15" customHeight="1" s="37">
      <c r="A1516" s="42" t="inlineStr">
        <is>
          <t>elie saab elixir</t>
        </is>
      </c>
      <c r="B1516" s="42" t="inlineStr">
        <is>
          <t>elie saab elixir fragrantica</t>
        </is>
      </c>
      <c r="C1516" s="42" t="n"/>
    </row>
    <row r="1517" ht="15" customHeight="1" s="37">
      <c r="A1517" s="42" t="inlineStr">
        <is>
          <t>elie saab girl of now lovely gift set</t>
        </is>
      </c>
      <c r="B1517" s="42" t="inlineStr">
        <is>
          <t>elie saab girl of now lovely gift set</t>
        </is>
      </c>
      <c r="C1517" s="42" t="inlineStr">
        <is>
          <t>Yes</t>
        </is>
      </c>
    </row>
    <row r="1518" ht="15" customHeight="1" s="37">
      <c r="A1518" s="42" t="inlineStr">
        <is>
          <t>elie saab girl of now lovely gift set</t>
        </is>
      </c>
      <c r="B1518" s="42" t="inlineStr">
        <is>
          <t>elie saab girl of now lovely set</t>
        </is>
      </c>
      <c r="C1518" s="42" t="inlineStr">
        <is>
          <t>Yes</t>
        </is>
      </c>
    </row>
    <row r="1519" ht="15" customHeight="1" s="37">
      <c r="A1519" s="42" t="inlineStr">
        <is>
          <t>elie saab la collection des essences no. 1 rose</t>
        </is>
      </c>
      <c r="B1519" s="42" t="inlineStr">
        <is>
          <t>elie saab la collection des essences essence no 1 rose</t>
        </is>
      </c>
      <c r="C1519" s="42" t="n"/>
    </row>
    <row r="1520" ht="15" customHeight="1" s="37">
      <c r="A1520" s="42" t="inlineStr">
        <is>
          <t>elie saab la collection des essences no. 1 rose</t>
        </is>
      </c>
      <c r="B1520" s="42" t="inlineStr">
        <is>
          <t>elie saab essence no 1 rose review</t>
        </is>
      </c>
      <c r="C1520" s="42" t="n"/>
    </row>
    <row r="1521" ht="15" customHeight="1" s="37">
      <c r="A1521" s="42" t="inlineStr">
        <is>
          <t>elie saab la collection des essences no. 1 rose</t>
        </is>
      </c>
      <c r="B1521" s="42" t="inlineStr">
        <is>
          <t>elie saab le parfum essentiel price</t>
        </is>
      </c>
      <c r="C1521" s="42" t="n"/>
    </row>
    <row r="1522" ht="15" customHeight="1" s="37">
      <c r="A1522" s="42" t="inlineStr">
        <is>
          <t>elie saab le</t>
        </is>
      </c>
      <c r="B1522" s="42" t="inlineStr">
        <is>
          <t>elie saab le parfum</t>
        </is>
      </c>
      <c r="C1522" s="42" t="inlineStr">
        <is>
          <t>Yes</t>
        </is>
      </c>
    </row>
    <row r="1523" ht="15" customHeight="1" s="37">
      <c r="A1523" s="42" t="inlineStr">
        <is>
          <t>elie saab le</t>
        </is>
      </c>
      <c r="B1523" s="42" t="inlineStr">
        <is>
          <t>elie saab le parfum absolu</t>
        </is>
      </c>
      <c r="C1523" s="42" t="n"/>
    </row>
    <row r="1524" ht="15" customHeight="1" s="37">
      <c r="A1524" s="42" t="inlineStr">
        <is>
          <t>elie saab le</t>
        </is>
      </c>
      <c r="B1524" s="42" t="inlineStr">
        <is>
          <t>elie saab le parfum royal</t>
        </is>
      </c>
      <c r="C1524" s="42" t="n"/>
    </row>
    <row r="1525" ht="15" customHeight="1" s="37">
      <c r="A1525" s="42" t="inlineStr">
        <is>
          <t>elie saab le</t>
        </is>
      </c>
      <c r="B1525" s="42" t="inlineStr">
        <is>
          <t>elie saab le parfum lumiere</t>
        </is>
      </c>
      <c r="C1525" s="42" t="n"/>
    </row>
    <row r="1526" ht="15" customHeight="1" s="37">
      <c r="A1526" s="42" t="inlineStr">
        <is>
          <t>elie saab le</t>
        </is>
      </c>
      <c r="B1526" s="42" t="inlineStr">
        <is>
          <t>elie saab le parfum in white</t>
        </is>
      </c>
      <c r="C1526" s="42" t="n"/>
    </row>
    <row r="1527" ht="15" customHeight="1" s="37">
      <c r="A1527" s="42" t="inlineStr">
        <is>
          <t>elie saab le</t>
        </is>
      </c>
      <c r="B1527" s="42" t="inlineStr">
        <is>
          <t>elie saab le parfum bridal</t>
        </is>
      </c>
      <c r="C1527" s="42" t="inlineStr">
        <is>
          <t>Yes</t>
        </is>
      </c>
    </row>
    <row r="1528" ht="15" customHeight="1" s="37">
      <c r="A1528" s="42" t="inlineStr">
        <is>
          <t>elie saab le</t>
        </is>
      </c>
      <c r="B1528" s="42" t="inlineStr">
        <is>
          <t>elie saab le parfum essentiel</t>
        </is>
      </c>
      <c r="C1528" s="42" t="n"/>
    </row>
    <row r="1529" ht="15" customHeight="1" s="37">
      <c r="A1529" s="42" t="inlineStr">
        <is>
          <t>elie saab le</t>
        </is>
      </c>
      <c r="B1529" s="42" t="inlineStr">
        <is>
          <t>elie saab le parfum intense</t>
        </is>
      </c>
      <c r="C1529" s="42" t="inlineStr">
        <is>
          <t>Yes</t>
        </is>
      </c>
    </row>
    <row r="1530" ht="15" customHeight="1" s="37">
      <c r="A1530" s="42" t="inlineStr">
        <is>
          <t>elie saab le</t>
        </is>
      </c>
      <c r="B1530" s="42" t="inlineStr">
        <is>
          <t>elie saab le parfum notes</t>
        </is>
      </c>
      <c r="C1530" s="42" t="inlineStr">
        <is>
          <t>Yes</t>
        </is>
      </c>
    </row>
    <row r="1531" ht="15" customHeight="1" s="37">
      <c r="A1531" s="42" t="inlineStr">
        <is>
          <t>elie saab le</t>
        </is>
      </c>
      <c r="B1531" s="42" t="inlineStr">
        <is>
          <t>elie saab le parfum eau de parfum</t>
        </is>
      </c>
      <c r="C1531" s="42" t="inlineStr">
        <is>
          <t>Yes</t>
        </is>
      </c>
    </row>
    <row r="1532" ht="15" customHeight="1" s="37">
      <c r="A1532" s="42" t="inlineStr">
        <is>
          <t>elie saab le parfum bridal</t>
        </is>
      </c>
      <c r="B1532" s="42" t="inlineStr">
        <is>
          <t>elie saab le parfum bridal</t>
        </is>
      </c>
      <c r="C1532" s="42" t="inlineStr">
        <is>
          <t>Yes</t>
        </is>
      </c>
    </row>
    <row r="1533" ht="15" customHeight="1" s="37">
      <c r="A1533" s="42" t="inlineStr">
        <is>
          <t>elie saab le parfum bridal</t>
        </is>
      </c>
      <c r="B1533" s="42" t="inlineStr">
        <is>
          <t>elie saab le parfum bridal eau de parfum</t>
        </is>
      </c>
      <c r="C1533" s="42" t="inlineStr">
        <is>
          <t>Yes</t>
        </is>
      </c>
    </row>
    <row r="1534" ht="15" customHeight="1" s="37">
      <c r="A1534" s="42" t="inlineStr">
        <is>
          <t>elie saab le parfum bridal</t>
        </is>
      </c>
      <c r="B1534" s="42" t="inlineStr">
        <is>
          <t>elie saab le parfum bridal review</t>
        </is>
      </c>
      <c r="C1534" s="42" t="inlineStr">
        <is>
          <t>Yes</t>
        </is>
      </c>
    </row>
    <row r="1535" ht="15" customHeight="1" s="37">
      <c r="A1535" s="42" t="inlineStr">
        <is>
          <t>elie saab le parfum bridal</t>
        </is>
      </c>
      <c r="B1535" s="42" t="inlineStr">
        <is>
          <t>elie saab le parfum bridal notes</t>
        </is>
      </c>
      <c r="C1535" s="42" t="inlineStr">
        <is>
          <t>Yes</t>
        </is>
      </c>
    </row>
    <row r="1536" ht="15" customHeight="1" s="37">
      <c r="A1536" s="42" t="inlineStr">
        <is>
          <t>elie saab le parfum bridal</t>
        </is>
      </c>
      <c r="B1536" s="42" t="inlineStr">
        <is>
          <t>elie saab le parfum bridal edp</t>
        </is>
      </c>
      <c r="C1536" s="42" t="inlineStr">
        <is>
          <t>Yes</t>
        </is>
      </c>
    </row>
    <row r="1537" ht="15" customHeight="1" s="37">
      <c r="A1537" s="42" t="inlineStr">
        <is>
          <t>elie saab le parfum bridal</t>
        </is>
      </c>
      <c r="B1537" s="42" t="inlineStr">
        <is>
          <t>elie saab le parfum bridal fragrantica</t>
        </is>
      </c>
      <c r="C1537" s="42" t="n"/>
    </row>
    <row r="1538" ht="15" customHeight="1" s="37">
      <c r="A1538" s="42" t="inlineStr">
        <is>
          <t>elie saab le parfum bridal</t>
        </is>
      </c>
      <c r="B1538" s="42" t="inlineStr">
        <is>
          <t>elie saab le parfum bridal 90ml</t>
        </is>
      </c>
      <c r="C1538" s="42" t="inlineStr">
        <is>
          <t>Yes</t>
        </is>
      </c>
    </row>
    <row r="1539" ht="15" customHeight="1" s="37">
      <c r="A1539" s="42" t="inlineStr">
        <is>
          <t>elie saab le parfum bridal</t>
        </is>
      </c>
      <c r="B1539" s="42" t="inlineStr">
        <is>
          <t>elie saab le parfum bridal 30ml</t>
        </is>
      </c>
      <c r="C1539" s="42" t="inlineStr">
        <is>
          <t>Yes</t>
        </is>
      </c>
    </row>
    <row r="1540" ht="15" customHeight="1" s="37">
      <c r="A1540" s="42" t="inlineStr">
        <is>
          <t>elie saab le parfum bridal</t>
        </is>
      </c>
      <c r="B1540" s="42" t="inlineStr">
        <is>
          <t>elie saab le parfum bridal 50ml</t>
        </is>
      </c>
      <c r="C1540" s="42" t="n"/>
    </row>
    <row r="1541" ht="15" customHeight="1" s="37">
      <c r="A1541" s="42" t="inlineStr">
        <is>
          <t>elie saab le parfum bridal</t>
        </is>
      </c>
      <c r="B1541" s="42" t="inlineStr">
        <is>
          <t>elie saab le parfum bridal edp 90ml</t>
        </is>
      </c>
      <c r="C1541" s="42" t="n"/>
    </row>
    <row r="1542" ht="15" customHeight="1" s="37">
      <c r="A1542" s="42" t="inlineStr">
        <is>
          <t>elie saab le parfum gift set</t>
        </is>
      </c>
      <c r="B1542" s="42" t="inlineStr">
        <is>
          <t>elie saab le parfum gift set</t>
        </is>
      </c>
      <c r="C1542" s="42" t="inlineStr">
        <is>
          <t>Yes</t>
        </is>
      </c>
    </row>
    <row r="1543" ht="15" customHeight="1" s="37">
      <c r="A1543" s="42" t="inlineStr">
        <is>
          <t>elie saab le parfum gift set</t>
        </is>
      </c>
      <c r="B1543" s="42" t="inlineStr">
        <is>
          <t>elie saab le parfum gift set 90ml</t>
        </is>
      </c>
      <c r="C1543" s="42" t="inlineStr">
        <is>
          <t>Yes</t>
        </is>
      </c>
    </row>
    <row r="1544" ht="15" customHeight="1" s="37">
      <c r="A1544" s="42" t="inlineStr">
        <is>
          <t>elie saab le parfum gift set</t>
        </is>
      </c>
      <c r="B1544" s="42" t="inlineStr">
        <is>
          <t>elie saab le parfum gift set 50ml</t>
        </is>
      </c>
      <c r="C1544" s="42" t="inlineStr">
        <is>
          <t>Yes</t>
        </is>
      </c>
    </row>
    <row r="1545" ht="15" customHeight="1" s="37">
      <c r="A1545" s="42" t="inlineStr">
        <is>
          <t>elie saab le parfum gift set</t>
        </is>
      </c>
      <c r="B1545" s="42" t="inlineStr">
        <is>
          <t>elie saab eau de parfum gift set</t>
        </is>
      </c>
      <c r="C1545" s="42" t="inlineStr">
        <is>
          <t>Yes</t>
        </is>
      </c>
    </row>
    <row r="1546" ht="15" customHeight="1" s="37">
      <c r="A1546" s="42" t="inlineStr">
        <is>
          <t>elie saab le parfum gift set</t>
        </is>
      </c>
      <c r="B1546" s="42" t="inlineStr">
        <is>
          <t>elie saab le parfum lumiere gift set</t>
        </is>
      </c>
      <c r="C1546" s="42" t="inlineStr">
        <is>
          <t>Yes</t>
        </is>
      </c>
    </row>
    <row r="1547" ht="15" customHeight="1" s="37">
      <c r="A1547" s="42" t="inlineStr">
        <is>
          <t>elie saab le parfum gift set</t>
        </is>
      </c>
      <c r="B1547" s="42" t="inlineStr">
        <is>
          <t>elie saab le parfum essentiel gift set</t>
        </is>
      </c>
      <c r="C1547" s="42" t="n"/>
    </row>
    <row r="1548" ht="15" customHeight="1" s="37">
      <c r="A1548" s="42" t="inlineStr">
        <is>
          <t>elie saab le parfum gift set</t>
        </is>
      </c>
      <c r="B1548" s="42" t="inlineStr">
        <is>
          <t>elie saab le parfum eau de parfum gift set 50ml</t>
        </is>
      </c>
      <c r="C1548" s="42" t="inlineStr">
        <is>
          <t>Yes</t>
        </is>
      </c>
    </row>
    <row r="1549" ht="15" customHeight="1" s="37">
      <c r="A1549" s="42" t="inlineStr">
        <is>
          <t>elie saab le parfum gift set</t>
        </is>
      </c>
      <c r="B1549" s="42" t="inlineStr">
        <is>
          <t>elie saab elixir eau de parfum gift set 100ml</t>
        </is>
      </c>
      <c r="C1549" s="42" t="n"/>
    </row>
    <row r="1550" ht="15" customHeight="1" s="37">
      <c r="A1550" s="42" t="inlineStr">
        <is>
          <t>elie saab le parfum gift set</t>
        </is>
      </c>
      <c r="B1550" s="42" t="inlineStr">
        <is>
          <t>elie saab elixir eau de parfum gift set 50ml</t>
        </is>
      </c>
      <c r="C1550" s="42" t="n"/>
    </row>
    <row r="1551" ht="15" customHeight="1" s="37">
      <c r="A1551" s="42" t="inlineStr">
        <is>
          <t>elie saab le parfum gift set</t>
        </is>
      </c>
      <c r="B1551" s="42" t="inlineStr">
        <is>
          <t>elie saab le parfum set</t>
        </is>
      </c>
      <c r="C1551" s="42" t="inlineStr">
        <is>
          <t>Yes</t>
        </is>
      </c>
    </row>
    <row r="1552" ht="15" customHeight="1" s="37">
      <c r="A1552" s="42" t="inlineStr">
        <is>
          <t>elie saab le parfum intense</t>
        </is>
      </c>
      <c r="B1552" s="42" t="inlineStr">
        <is>
          <t>elie saab le parfum intense</t>
        </is>
      </c>
      <c r="C1552" s="42" t="inlineStr">
        <is>
          <t>Yes</t>
        </is>
      </c>
    </row>
    <row r="1553" ht="15" customHeight="1" s="37">
      <c r="A1553" s="42" t="inlineStr">
        <is>
          <t>elie saab le parfum intense</t>
        </is>
      </c>
      <c r="B1553" s="42" t="inlineStr">
        <is>
          <t>elie saab le parfum intense review</t>
        </is>
      </c>
      <c r="C1553" s="42" t="inlineStr">
        <is>
          <t>Yes</t>
        </is>
      </c>
    </row>
    <row r="1554" ht="15" customHeight="1" s="37">
      <c r="A1554" s="42" t="inlineStr">
        <is>
          <t>elie saab le parfum intense</t>
        </is>
      </c>
      <c r="B1554" s="42" t="inlineStr">
        <is>
          <t>elie saab le parfum intense notes</t>
        </is>
      </c>
      <c r="C1554" s="42" t="inlineStr">
        <is>
          <t>Yes</t>
        </is>
      </c>
    </row>
    <row r="1555" ht="15" customHeight="1" s="37">
      <c r="A1555" s="42" t="inlineStr">
        <is>
          <t>elie saab le parfum intense</t>
        </is>
      </c>
      <c r="B1555" s="42" t="inlineStr">
        <is>
          <t>elie saab le parfum intense discontinued</t>
        </is>
      </c>
      <c r="C1555" s="42" t="n"/>
    </row>
    <row r="1556" ht="15" customHeight="1" s="37">
      <c r="A1556" s="42" t="inlineStr">
        <is>
          <t>elie saab le parfum intense</t>
        </is>
      </c>
      <c r="B1556" s="42" t="inlineStr">
        <is>
          <t>elie saab le parfum intense fragrantica</t>
        </is>
      </c>
      <c r="C1556" s="42" t="n"/>
    </row>
    <row r="1557" ht="15" customHeight="1" s="37">
      <c r="A1557" s="42" t="inlineStr">
        <is>
          <t>elie saab le parfum intense</t>
        </is>
      </c>
      <c r="B1557" s="42" t="inlineStr">
        <is>
          <t>elie saab le parfum intense 90ml</t>
        </is>
      </c>
      <c r="C1557" s="42" t="inlineStr">
        <is>
          <t>Yes</t>
        </is>
      </c>
    </row>
    <row r="1558" ht="15" customHeight="1" s="37">
      <c r="A1558" s="42" t="inlineStr">
        <is>
          <t>elie saab le parfum intense</t>
        </is>
      </c>
      <c r="B1558" s="42" t="inlineStr">
        <is>
          <t>elie saab le parfum intense edp</t>
        </is>
      </c>
      <c r="C1558" s="42" t="inlineStr">
        <is>
          <t>Yes</t>
        </is>
      </c>
    </row>
    <row r="1559" ht="15" customHeight="1" s="37">
      <c r="A1559" s="42" t="inlineStr">
        <is>
          <t>elie saab le parfum intense</t>
        </is>
      </c>
      <c r="B1559" s="42" t="inlineStr">
        <is>
          <t>elie saab le parfum intense edp 90ml</t>
        </is>
      </c>
      <c r="C1559" s="42" t="inlineStr">
        <is>
          <t>Yes</t>
        </is>
      </c>
    </row>
    <row r="1560" ht="15" customHeight="1" s="37">
      <c r="A1560" s="42" t="inlineStr">
        <is>
          <t>elie saab le parfum intense</t>
        </is>
      </c>
      <c r="B1560" s="42" t="inlineStr">
        <is>
          <t>elie saab le parfum intense price</t>
        </is>
      </c>
      <c r="C1560" s="42" t="inlineStr">
        <is>
          <t>Yes</t>
        </is>
      </c>
    </row>
    <row r="1561" ht="15" customHeight="1" s="37">
      <c r="A1561" s="42" t="inlineStr">
        <is>
          <t>elie saab le parfum intense</t>
        </is>
      </c>
      <c r="B1561" s="42" t="inlineStr">
        <is>
          <t>elie saab le parfum intense 30 ml</t>
        </is>
      </c>
      <c r="C1561" s="42" t="n"/>
    </row>
    <row r="1562" ht="15" customHeight="1" s="37">
      <c r="A1562" s="42" t="inlineStr">
        <is>
          <t>elie saab le parfum lumiere gift set</t>
        </is>
      </c>
      <c r="B1562" s="42" t="inlineStr">
        <is>
          <t>elie saab le parfum lumiere gift set</t>
        </is>
      </c>
      <c r="C1562" s="42" t="inlineStr">
        <is>
          <t>Yes</t>
        </is>
      </c>
    </row>
    <row r="1563" ht="15" customHeight="1" s="37">
      <c r="A1563" s="42" t="inlineStr">
        <is>
          <t>elie saab le parfum lumiere gift set</t>
        </is>
      </c>
      <c r="B1563" s="42" t="inlineStr">
        <is>
          <t>elie saab le parfum lumiere set</t>
        </is>
      </c>
      <c r="C1563" s="42" t="inlineStr">
        <is>
          <t>Yes</t>
        </is>
      </c>
    </row>
    <row r="1564" ht="15" customHeight="1" s="37">
      <c r="A1564" s="42" t="inlineStr">
        <is>
          <t>elie saab le parfum lumiere gift set</t>
        </is>
      </c>
      <c r="B1564" s="42" t="inlineStr">
        <is>
          <t>is elie saab le parfum discontinued</t>
        </is>
      </c>
      <c r="C1564" s="42" t="n"/>
    </row>
    <row r="1565" ht="15" customHeight="1" s="37">
      <c r="A1565" s="42" t="inlineStr">
        <is>
          <t>elie saab le parfum lumiere gift set</t>
        </is>
      </c>
      <c r="B1565" s="42" t="inlineStr">
        <is>
          <t>elie saab le parfum essentiel price</t>
        </is>
      </c>
      <c r="C1565" s="42" t="n"/>
    </row>
    <row r="1566" ht="15" customHeight="1" s="37">
      <c r="A1566" s="42" t="inlineStr">
        <is>
          <t>elie saab nuit noor</t>
        </is>
      </c>
      <c r="B1566" s="42" t="inlineStr">
        <is>
          <t>elie saab nuit noor</t>
        </is>
      </c>
      <c r="C1566" s="42" t="inlineStr">
        <is>
          <t>Yes</t>
        </is>
      </c>
    </row>
    <row r="1567" ht="15" customHeight="1" s="37">
      <c r="A1567" s="42" t="inlineStr">
        <is>
          <t>elie saab nuit noor</t>
        </is>
      </c>
      <c r="B1567" s="42" t="inlineStr">
        <is>
          <t>elie saab nuit noor eau de parfum</t>
        </is>
      </c>
      <c r="C1567" s="42" t="inlineStr">
        <is>
          <t>Yes</t>
        </is>
      </c>
    </row>
    <row r="1568" ht="15" customHeight="1" s="37">
      <c r="A1568" s="42" t="inlineStr">
        <is>
          <t>elie saab nuit noor</t>
        </is>
      </c>
      <c r="B1568" s="42" t="inlineStr">
        <is>
          <t>elie saab nuit noor notes</t>
        </is>
      </c>
      <c r="C1568" s="42" t="inlineStr">
        <is>
          <t>Yes</t>
        </is>
      </c>
    </row>
    <row r="1569" ht="15" customHeight="1" s="37">
      <c r="A1569" s="42" t="inlineStr">
        <is>
          <t>elie saab nuit noor</t>
        </is>
      </c>
      <c r="B1569" s="42" t="inlineStr">
        <is>
          <t>elie saab nuit noor edp 90ml</t>
        </is>
      </c>
      <c r="C1569" s="42" t="inlineStr">
        <is>
          <t>Yes</t>
        </is>
      </c>
    </row>
    <row r="1570" ht="15" customHeight="1" s="37">
      <c r="A1570" s="42" t="inlineStr">
        <is>
          <t>elie saab nuit noor</t>
        </is>
      </c>
      <c r="B1570" s="42" t="inlineStr">
        <is>
          <t>elie saab nuit noor perfume</t>
        </is>
      </c>
      <c r="C1570" s="42" t="inlineStr">
        <is>
          <t>Yes</t>
        </is>
      </c>
    </row>
    <row r="1571" ht="15" customHeight="1" s="37">
      <c r="A1571" s="42" t="inlineStr">
        <is>
          <t>elie saab nuit noor</t>
        </is>
      </c>
      <c r="B1571" s="42" t="inlineStr">
        <is>
          <t>elie saab nuit noor edp</t>
        </is>
      </c>
      <c r="C1571" s="42" t="inlineStr">
        <is>
          <t>Yes</t>
        </is>
      </c>
    </row>
    <row r="1572" ht="15" customHeight="1" s="37">
      <c r="A1572" s="42" t="inlineStr">
        <is>
          <t>elie saab nuit noor</t>
        </is>
      </c>
      <c r="B1572" s="42" t="inlineStr">
        <is>
          <t>elie saab nuit noor for woman</t>
        </is>
      </c>
      <c r="C1572" s="42" t="n"/>
    </row>
    <row r="1573" ht="15" customHeight="1" s="37">
      <c r="A1573" s="42" t="inlineStr">
        <is>
          <t>elie saab nuit noor</t>
        </is>
      </c>
      <c r="B1573" s="42" t="inlineStr">
        <is>
          <t>elie saab nuit noor review</t>
        </is>
      </c>
      <c r="C1573" s="42" t="inlineStr">
        <is>
          <t>Yes</t>
        </is>
      </c>
    </row>
    <row r="1574" ht="15" customHeight="1" s="37">
      <c r="A1574" s="42" t="inlineStr">
        <is>
          <t>elie saab nuit noor</t>
        </is>
      </c>
      <c r="B1574" s="42" t="inlineStr">
        <is>
          <t>elie saab nuit noor discontinued</t>
        </is>
      </c>
      <c r="C1574" s="42" t="n"/>
    </row>
    <row r="1575" ht="15" customHeight="1" s="37">
      <c r="A1575" s="42" t="inlineStr">
        <is>
          <t>elie saab nuit noor</t>
        </is>
      </c>
      <c r="B1575" s="42" t="inlineStr">
        <is>
          <t>elie saab nuit noor price</t>
        </is>
      </c>
      <c r="C1575" s="42" t="inlineStr">
        <is>
          <t>Yes</t>
        </is>
      </c>
    </row>
    <row r="1576" ht="15" customHeight="1" s="37">
      <c r="A1576" s="42" t="inlineStr">
        <is>
          <t>elie saab perfume</t>
        </is>
      </c>
      <c r="B1576" s="42" t="inlineStr">
        <is>
          <t>elie saab perfume</t>
        </is>
      </c>
      <c r="C1576" s="42" t="inlineStr">
        <is>
          <t>Yes</t>
        </is>
      </c>
    </row>
    <row r="1577" ht="15" customHeight="1" s="37">
      <c r="A1577" s="42" t="inlineStr">
        <is>
          <t>elie saab perfume</t>
        </is>
      </c>
      <c r="B1577" s="42" t="inlineStr">
        <is>
          <t>elie saab perfume girl of now</t>
        </is>
      </c>
      <c r="C1577" s="42" t="n"/>
    </row>
    <row r="1578" ht="15" customHeight="1" s="37">
      <c r="A1578" s="42" t="inlineStr">
        <is>
          <t>elie saab perfume</t>
        </is>
      </c>
      <c r="B1578" s="42" t="inlineStr">
        <is>
          <t>elie saab perfume price</t>
        </is>
      </c>
      <c r="C1578" s="42" t="n"/>
    </row>
    <row r="1579" ht="15" customHeight="1" s="37">
      <c r="A1579" s="42" t="inlineStr">
        <is>
          <t>elie saab perfume</t>
        </is>
      </c>
      <c r="B1579" s="42" t="inlineStr">
        <is>
          <t>elie saab perfume in white</t>
        </is>
      </c>
      <c r="C1579" s="42" t="n"/>
    </row>
    <row r="1580" ht="15" customHeight="1" s="37">
      <c r="A1580" s="42" t="inlineStr">
        <is>
          <t>elie saab perfume</t>
        </is>
      </c>
      <c r="B1580" s="42" t="inlineStr">
        <is>
          <t>elie saab perfume men</t>
        </is>
      </c>
      <c r="C1580" s="42" t="n"/>
    </row>
    <row r="1581" ht="15" customHeight="1" s="37">
      <c r="A1581" s="42" t="inlineStr">
        <is>
          <t>elie saab perfume</t>
        </is>
      </c>
      <c r="B1581" s="42" t="inlineStr">
        <is>
          <t>elie saab perfume royal</t>
        </is>
      </c>
      <c r="C1581" s="42" t="n"/>
    </row>
    <row r="1582" ht="15" customHeight="1" s="37">
      <c r="A1582" s="42" t="inlineStr">
        <is>
          <t>elie saab perfume</t>
        </is>
      </c>
      <c r="B1582" s="42" t="inlineStr">
        <is>
          <t>elie saab perfume original</t>
        </is>
      </c>
      <c r="C1582" s="42" t="n"/>
    </row>
    <row r="1583" ht="15" customHeight="1" s="37">
      <c r="A1583" s="42" t="inlineStr">
        <is>
          <t>elie saab perfume</t>
        </is>
      </c>
      <c r="B1583" s="42" t="inlineStr">
        <is>
          <t>elie saab perfume elixir</t>
        </is>
      </c>
      <c r="C1583" s="42" t="n"/>
    </row>
    <row r="1584" ht="15" customHeight="1" s="37">
      <c r="A1584" s="42" t="inlineStr">
        <is>
          <t>elie saab perfume</t>
        </is>
      </c>
      <c r="B1584" s="42" t="inlineStr">
        <is>
          <t>elie saab perfume notes</t>
        </is>
      </c>
      <c r="C1584" s="42" t="n"/>
    </row>
    <row r="1585" ht="15" customHeight="1" s="37">
      <c r="A1585" s="42" t="inlineStr">
        <is>
          <t>elie saab perfume</t>
        </is>
      </c>
      <c r="B1585" s="42" t="inlineStr">
        <is>
          <t>elie saab perfume price in pakistan</t>
        </is>
      </c>
      <c r="C1585" s="42" t="n"/>
    </row>
    <row r="1586" ht="15" customHeight="1" s="37">
      <c r="A1586" s="42" t="inlineStr">
        <is>
          <t>elizabeth arden beauty</t>
        </is>
      </c>
      <c r="B1586" s="42" t="inlineStr">
        <is>
          <t>elizabeth arden beauty perfume</t>
        </is>
      </c>
      <c r="C1586" s="42" t="inlineStr">
        <is>
          <t>Yes</t>
        </is>
      </c>
    </row>
    <row r="1587" ht="15" customHeight="1" s="37">
      <c r="A1587" s="42" t="inlineStr">
        <is>
          <t>elizabeth arden beauty</t>
        </is>
      </c>
      <c r="B1587" s="42" t="inlineStr">
        <is>
          <t>elizabeth arden beauty</t>
        </is>
      </c>
      <c r="C1587" s="42" t="inlineStr">
        <is>
          <t>Yes</t>
        </is>
      </c>
    </row>
    <row r="1588" ht="15" customHeight="1" s="37">
      <c r="A1588" s="42" t="inlineStr">
        <is>
          <t>elizabeth arden beauty</t>
        </is>
      </c>
      <c r="B1588" s="42" t="inlineStr">
        <is>
          <t>elizabeth arden beauty perfume review</t>
        </is>
      </c>
      <c r="C1588" s="42" t="inlineStr">
        <is>
          <t>Yes</t>
        </is>
      </c>
    </row>
    <row r="1589" ht="15" customHeight="1" s="37">
      <c r="A1589" s="42" t="inlineStr">
        <is>
          <t>elizabeth arden beauty</t>
        </is>
      </c>
      <c r="B1589" s="42" t="inlineStr">
        <is>
          <t>elizabeth arden beauty perfume 100ml</t>
        </is>
      </c>
      <c r="C1589" s="42" t="inlineStr">
        <is>
          <t>Yes</t>
        </is>
      </c>
    </row>
    <row r="1590" ht="15" customHeight="1" s="37">
      <c r="A1590" s="42" t="inlineStr">
        <is>
          <t>elizabeth arden beauty</t>
        </is>
      </c>
      <c r="B1590" s="42" t="inlineStr">
        <is>
          <t>elizabeth arden beauty eau de parfum</t>
        </is>
      </c>
      <c r="C1590" s="42" t="inlineStr">
        <is>
          <t>Yes</t>
        </is>
      </c>
    </row>
    <row r="1591" ht="15" customHeight="1" s="37">
      <c r="A1591" s="42" t="inlineStr">
        <is>
          <t>elizabeth arden beauty</t>
        </is>
      </c>
      <c r="B1591" s="42" t="inlineStr">
        <is>
          <t>elizabeth arden beauty eau de parfum 100ml</t>
        </is>
      </c>
      <c r="C1591" s="42" t="inlineStr">
        <is>
          <t>Yes</t>
        </is>
      </c>
    </row>
    <row r="1592" ht="15" customHeight="1" s="37">
      <c r="A1592" s="42" t="inlineStr">
        <is>
          <t>elizabeth arden beauty</t>
        </is>
      </c>
      <c r="B1592" s="42" t="inlineStr">
        <is>
          <t>elizabeth arden beauty edp</t>
        </is>
      </c>
      <c r="C1592" s="42" t="inlineStr">
        <is>
          <t>Yes</t>
        </is>
      </c>
    </row>
    <row r="1593" ht="15" customHeight="1" s="37">
      <c r="A1593" s="42" t="inlineStr">
        <is>
          <t>elizabeth arden beauty</t>
        </is>
      </c>
      <c r="B1593" s="42" t="inlineStr">
        <is>
          <t>elizabeth arden beauty perfume price</t>
        </is>
      </c>
      <c r="C1593" s="42" t="n"/>
    </row>
    <row r="1594" ht="15" customHeight="1" s="37">
      <c r="A1594" s="42" t="inlineStr">
        <is>
          <t>elizabeth arden beauty</t>
        </is>
      </c>
      <c r="B1594" s="42" t="inlineStr">
        <is>
          <t>elizabeth arden beauty box</t>
        </is>
      </c>
      <c r="C1594" s="42" t="n"/>
    </row>
    <row r="1595" ht="15" customHeight="1" s="37">
      <c r="A1595" s="42" t="inlineStr">
        <is>
          <t>elizabeth arden beauty</t>
        </is>
      </c>
      <c r="B1595" s="42" t="inlineStr">
        <is>
          <t>elizabeth arden beauty products</t>
        </is>
      </c>
      <c r="C1595" s="42" t="n"/>
    </row>
    <row r="1596" ht="15" customHeight="1" s="37">
      <c r="A1596" s="42" t="inlineStr">
        <is>
          <t>elizabeth arden perfume</t>
        </is>
      </c>
      <c r="B1596" s="42" t="inlineStr">
        <is>
          <t>elizabeth arden perfume</t>
        </is>
      </c>
      <c r="C1596" s="42" t="inlineStr">
        <is>
          <t>Yes</t>
        </is>
      </c>
    </row>
    <row r="1597" ht="15" customHeight="1" s="37">
      <c r="A1597" s="42" t="inlineStr">
        <is>
          <t>elizabeth arden perfume</t>
        </is>
      </c>
      <c r="B1597" s="42" t="inlineStr">
        <is>
          <t>elizabeth arden perfume green tea</t>
        </is>
      </c>
      <c r="C1597" s="42" t="n"/>
    </row>
    <row r="1598" ht="15" customHeight="1" s="37">
      <c r="A1598" s="42" t="inlineStr">
        <is>
          <t>elizabeth arden perfume</t>
        </is>
      </c>
      <c r="B1598" s="42" t="inlineStr">
        <is>
          <t>elizabeth arden perfume 5th avenue</t>
        </is>
      </c>
      <c r="C1598" s="42" t="n"/>
    </row>
    <row r="1599" ht="15" customHeight="1" s="37">
      <c r="A1599" s="42" t="inlineStr">
        <is>
          <t>elizabeth arden perfume</t>
        </is>
      </c>
      <c r="B1599" s="42" t="inlineStr">
        <is>
          <t>elizabeth arden perfume red door</t>
        </is>
      </c>
      <c r="C1599" s="42" t="n"/>
    </row>
    <row r="1600" ht="15" customHeight="1" s="37">
      <c r="A1600" s="42" t="inlineStr">
        <is>
          <t>elizabeth arden perfume</t>
        </is>
      </c>
      <c r="B1600" s="42" t="inlineStr">
        <is>
          <t>elizabeth arden perfume white tea</t>
        </is>
      </c>
      <c r="C1600" s="42" t="n"/>
    </row>
    <row r="1601" ht="15" customHeight="1" s="37">
      <c r="A1601" s="42" t="inlineStr">
        <is>
          <t>elizabeth arden perfume</t>
        </is>
      </c>
      <c r="B1601" s="42" t="inlineStr">
        <is>
          <t>elizabeth arden perfume price</t>
        </is>
      </c>
      <c r="C1601" s="42" t="n"/>
    </row>
    <row r="1602" ht="15" customHeight="1" s="37">
      <c r="A1602" s="42" t="inlineStr">
        <is>
          <t>elizabeth arden perfume</t>
        </is>
      </c>
      <c r="B1602" s="42" t="inlineStr">
        <is>
          <t>elizabeth arden perfume sunflower</t>
        </is>
      </c>
      <c r="C1602" s="42" t="n"/>
    </row>
    <row r="1603" ht="15" customHeight="1" s="37">
      <c r="A1603" s="42" t="inlineStr">
        <is>
          <t>elizabeth arden perfume</t>
        </is>
      </c>
      <c r="B1603" s="42" t="inlineStr">
        <is>
          <t>elizabeth arden perfumes list</t>
        </is>
      </c>
      <c r="C1603" s="42" t="n"/>
    </row>
    <row r="1604" ht="15" customHeight="1" s="37">
      <c r="A1604" s="42" t="inlineStr">
        <is>
          <t>elizabeth arden perfume</t>
        </is>
      </c>
      <c r="B1604" s="42" t="inlineStr">
        <is>
          <t>elizabeth arden perfume pretty</t>
        </is>
      </c>
      <c r="C1604" s="42" t="n"/>
    </row>
    <row r="1605" ht="15" customHeight="1" s="37">
      <c r="A1605" s="42" t="inlineStr">
        <is>
          <t>elizabeth arden perfume</t>
        </is>
      </c>
      <c r="B1605" s="42" t="inlineStr">
        <is>
          <t>elizabeth arden perfume set</t>
        </is>
      </c>
      <c r="C1605" s="42" t="n"/>
    </row>
    <row r="1606" ht="15" customHeight="1" s="37">
      <c r="A1606" s="42" t="inlineStr">
        <is>
          <t>escada magnetic dream</t>
        </is>
      </c>
      <c r="B1606" s="42" t="inlineStr">
        <is>
          <t>escada magnetic dream</t>
        </is>
      </c>
      <c r="C1606" s="42" t="inlineStr">
        <is>
          <t>Yes</t>
        </is>
      </c>
    </row>
    <row r="1607" ht="15" customHeight="1" s="37">
      <c r="A1607" s="42" t="inlineStr">
        <is>
          <t>escada magnetic dream</t>
        </is>
      </c>
      <c r="B1607" s="42" t="inlineStr">
        <is>
          <t>escada magnetic dream fragrantica</t>
        </is>
      </c>
      <c r="C1607" s="42" t="n"/>
    </row>
    <row r="1608" ht="15" customHeight="1" s="37">
      <c r="A1608" s="42" t="inlineStr">
        <is>
          <t>escada magnetic dream</t>
        </is>
      </c>
      <c r="B1608" s="42" t="inlineStr">
        <is>
          <t>escada magnetic dream eau de parfum</t>
        </is>
      </c>
      <c r="C1608" s="42" t="inlineStr">
        <is>
          <t>Yes</t>
        </is>
      </c>
    </row>
    <row r="1609" ht="15" customHeight="1" s="37">
      <c r="A1609" s="42" t="inlineStr">
        <is>
          <t>escada magnetic dream</t>
        </is>
      </c>
      <c r="B1609" s="42" t="inlineStr">
        <is>
          <t>escada magnetic dream review</t>
        </is>
      </c>
      <c r="C1609" s="42" t="inlineStr">
        <is>
          <t>Yes</t>
        </is>
      </c>
    </row>
    <row r="1610" ht="15" customHeight="1" s="37">
      <c r="A1610" s="42" t="inlineStr">
        <is>
          <t>escada magnetic dream</t>
        </is>
      </c>
      <c r="B1610" s="42" t="inlineStr">
        <is>
          <t>escada magnetic dream notes</t>
        </is>
      </c>
      <c r="C1610" s="42" t="inlineStr">
        <is>
          <t>Yes</t>
        </is>
      </c>
    </row>
    <row r="1611" ht="15" customHeight="1" s="37">
      <c r="A1611" s="42" t="inlineStr">
        <is>
          <t>escada magnetic dream</t>
        </is>
      </c>
      <c r="B1611" s="42" t="inlineStr">
        <is>
          <t>escada magnetic dream edp 75ml</t>
        </is>
      </c>
      <c r="C1611" s="42" t="inlineStr">
        <is>
          <t>Yes</t>
        </is>
      </c>
    </row>
    <row r="1612" ht="15" customHeight="1" s="37">
      <c r="A1612" s="42" t="inlineStr">
        <is>
          <t>escada magnetic dream</t>
        </is>
      </c>
      <c r="B1612" s="42" t="inlineStr">
        <is>
          <t>escada magnetic dream w edp 75ml</t>
        </is>
      </c>
      <c r="C1612" s="42" t="n"/>
    </row>
    <row r="1613" ht="15" customHeight="1" s="37">
      <c r="A1613" s="42" t="inlineStr">
        <is>
          <t>escada magnetic dream</t>
        </is>
      </c>
      <c r="B1613" s="42" t="inlineStr">
        <is>
          <t>escada magnetic dream opinie</t>
        </is>
      </c>
      <c r="C1613" s="42" t="n"/>
    </row>
    <row r="1614" ht="15" customHeight="1" s="37">
      <c r="A1614" s="42" t="inlineStr">
        <is>
          <t>escada magnetic dream</t>
        </is>
      </c>
      <c r="B1614" s="42" t="inlineStr">
        <is>
          <t>escada magnetism dream woman</t>
        </is>
      </c>
      <c r="C1614" s="42" t="n"/>
    </row>
    <row r="1615" ht="15" customHeight="1" s="37">
      <c r="A1615" s="42" t="inlineStr">
        <is>
          <t>escada magnetic dream</t>
        </is>
      </c>
      <c r="B1615" s="42" t="inlineStr">
        <is>
          <t>escada magnetic dream parfumo</t>
        </is>
      </c>
      <c r="C1615" s="42" t="n"/>
    </row>
    <row r="1616" ht="15" customHeight="1" s="37">
      <c r="A1616" s="42" t="inlineStr">
        <is>
          <t>escada magnetism</t>
        </is>
      </c>
      <c r="B1616" s="42" t="inlineStr">
        <is>
          <t>escada magnetism</t>
        </is>
      </c>
      <c r="C1616" s="42" t="inlineStr">
        <is>
          <t>Yes</t>
        </is>
      </c>
    </row>
    <row r="1617" ht="15" customHeight="1" s="37">
      <c r="A1617" s="42" t="inlineStr">
        <is>
          <t>escada magnetism</t>
        </is>
      </c>
      <c r="B1617" s="42" t="inlineStr">
        <is>
          <t>escada magnetism perfume</t>
        </is>
      </c>
      <c r="C1617" s="42" t="inlineStr">
        <is>
          <t>Yes</t>
        </is>
      </c>
    </row>
    <row r="1618" ht="15" customHeight="1" s="37">
      <c r="A1618" s="42" t="inlineStr">
        <is>
          <t>escada magnetism</t>
        </is>
      </c>
      <c r="B1618" s="42" t="inlineStr">
        <is>
          <t>escada magnetism men</t>
        </is>
      </c>
      <c r="C1618" s="42" t="inlineStr">
        <is>
          <t>Yes</t>
        </is>
      </c>
    </row>
    <row r="1619" ht="15" customHeight="1" s="37">
      <c r="A1619" s="42" t="inlineStr">
        <is>
          <t>escada magnetism</t>
        </is>
      </c>
      <c r="B1619" s="42" t="inlineStr">
        <is>
          <t>escada magnetism notes</t>
        </is>
      </c>
      <c r="C1619" s="42" t="inlineStr">
        <is>
          <t>Yes</t>
        </is>
      </c>
    </row>
    <row r="1620" ht="15" customHeight="1" s="37">
      <c r="A1620" s="42" t="inlineStr">
        <is>
          <t>escada magnetism</t>
        </is>
      </c>
      <c r="B1620" s="42" t="inlineStr">
        <is>
          <t>escada magnetism price</t>
        </is>
      </c>
      <c r="C1620" s="42" t="inlineStr">
        <is>
          <t>Yes</t>
        </is>
      </c>
    </row>
    <row r="1621" ht="15" customHeight="1" s="37">
      <c r="A1621" s="42" t="inlineStr">
        <is>
          <t>escada magnetism</t>
        </is>
      </c>
      <c r="B1621" s="42" t="inlineStr">
        <is>
          <t>escada magnetism women</t>
        </is>
      </c>
      <c r="C1621" s="42" t="inlineStr">
        <is>
          <t>Yes</t>
        </is>
      </c>
    </row>
    <row r="1622" ht="15" customHeight="1" s="37">
      <c r="A1622" s="42" t="inlineStr">
        <is>
          <t>escada magnetism</t>
        </is>
      </c>
      <c r="B1622" s="42" t="inlineStr">
        <is>
          <t>escada magnetism review</t>
        </is>
      </c>
      <c r="C1622" s="42" t="inlineStr">
        <is>
          <t>Yes</t>
        </is>
      </c>
    </row>
    <row r="1623" ht="15" customHeight="1" s="37">
      <c r="A1623" s="42" t="inlineStr">
        <is>
          <t>escada magnetism</t>
        </is>
      </c>
      <c r="B1623" s="42" t="inlineStr">
        <is>
          <t>escada magnetism 75 ml</t>
        </is>
      </c>
      <c r="C1623" s="42" t="n"/>
    </row>
    <row r="1624" ht="15" customHeight="1" s="37">
      <c r="A1624" s="42" t="inlineStr">
        <is>
          <t>escada magnetism</t>
        </is>
      </c>
      <c r="B1624" s="42" t="inlineStr">
        <is>
          <t>escada magnetism fragrantica</t>
        </is>
      </c>
      <c r="C1624" s="42" t="n"/>
    </row>
    <row r="1625" ht="15" customHeight="1" s="37">
      <c r="A1625" s="42" t="inlineStr">
        <is>
          <t>escada magnetism</t>
        </is>
      </c>
      <c r="B1625" s="42" t="inlineStr">
        <is>
          <t>escada magnetism perfume price</t>
        </is>
      </c>
      <c r="C1625" s="42" t="n"/>
    </row>
    <row r="1626" ht="15" customHeight="1" s="37">
      <c r="A1626" s="42" t="inlineStr">
        <is>
          <t>escada party love</t>
        </is>
      </c>
      <c r="B1626" s="42" t="inlineStr">
        <is>
          <t>escada party love</t>
        </is>
      </c>
      <c r="C1626" s="42" t="inlineStr">
        <is>
          <t>Yes</t>
        </is>
      </c>
    </row>
    <row r="1627" ht="15" customHeight="1" s="37">
      <c r="A1627" s="42" t="inlineStr">
        <is>
          <t>escada party love</t>
        </is>
      </c>
      <c r="B1627" s="42" t="inlineStr">
        <is>
          <t>escada party love perfume</t>
        </is>
      </c>
      <c r="C1627" s="42" t="inlineStr">
        <is>
          <t>Yes</t>
        </is>
      </c>
    </row>
    <row r="1628" ht="15" customHeight="1" s="37">
      <c r="A1628" s="42" t="inlineStr">
        <is>
          <t>escada party love</t>
        </is>
      </c>
      <c r="B1628" s="42" t="inlineStr">
        <is>
          <t>escada party love notes</t>
        </is>
      </c>
      <c r="C1628" s="42" t="inlineStr">
        <is>
          <t>Yes</t>
        </is>
      </c>
    </row>
    <row r="1629" ht="15" customHeight="1" s="37">
      <c r="A1629" s="42" t="inlineStr">
        <is>
          <t>escada party love</t>
        </is>
      </c>
      <c r="B1629" s="42" t="inlineStr">
        <is>
          <t>escada party love limited edition</t>
        </is>
      </c>
      <c r="C1629" s="42" t="n"/>
    </row>
    <row r="1630" ht="15" customHeight="1" s="37">
      <c r="A1630" s="42" t="inlineStr">
        <is>
          <t>escada party love</t>
        </is>
      </c>
      <c r="B1630" s="42" t="inlineStr">
        <is>
          <t>escada party love 100ml</t>
        </is>
      </c>
      <c r="C1630" s="42" t="inlineStr">
        <is>
          <t>Yes</t>
        </is>
      </c>
    </row>
    <row r="1631" ht="15" customHeight="1" s="37">
      <c r="A1631" s="42" t="inlineStr">
        <is>
          <t>escada party love</t>
        </is>
      </c>
      <c r="B1631" s="42" t="inlineStr">
        <is>
          <t>escada party love perfume notes</t>
        </is>
      </c>
      <c r="C1631" s="42" t="inlineStr">
        <is>
          <t>Yes</t>
        </is>
      </c>
    </row>
    <row r="1632" ht="15" customHeight="1" s="37">
      <c r="A1632" s="42" t="inlineStr">
        <is>
          <t>escada party love</t>
        </is>
      </c>
      <c r="B1632" s="42" t="inlineStr">
        <is>
          <t>escada party love review</t>
        </is>
      </c>
      <c r="C1632" s="42" t="inlineStr">
        <is>
          <t>Yes</t>
        </is>
      </c>
    </row>
    <row r="1633" ht="15" customHeight="1" s="37">
      <c r="A1633" s="42" t="inlineStr">
        <is>
          <t>escada party love</t>
        </is>
      </c>
      <c r="B1633" s="42" t="inlineStr">
        <is>
          <t>escada party love price</t>
        </is>
      </c>
      <c r="C1633" s="42" t="inlineStr">
        <is>
          <t>Yes</t>
        </is>
      </c>
    </row>
    <row r="1634" ht="15" customHeight="1" s="37">
      <c r="A1634" s="42" t="inlineStr">
        <is>
          <t>escada party love</t>
        </is>
      </c>
      <c r="B1634" s="42" t="inlineStr">
        <is>
          <t>escada party love perfume review</t>
        </is>
      </c>
      <c r="C1634" s="42" t="n"/>
    </row>
    <row r="1635" ht="15" customHeight="1" s="37">
      <c r="A1635" s="42" t="inlineStr">
        <is>
          <t>escada perfume</t>
        </is>
      </c>
      <c r="B1635" s="42" t="inlineStr">
        <is>
          <t>escada perfume</t>
        </is>
      </c>
      <c r="C1635" s="42" t="inlineStr">
        <is>
          <t>Yes</t>
        </is>
      </c>
    </row>
    <row r="1636" ht="15" customHeight="1" s="37">
      <c r="A1636" s="42" t="inlineStr">
        <is>
          <t>escada perfume</t>
        </is>
      </c>
      <c r="B1636" s="42" t="inlineStr">
        <is>
          <t>escada perfume price</t>
        </is>
      </c>
      <c r="C1636" s="42" t="n"/>
    </row>
    <row r="1637" ht="15" customHeight="1" s="37">
      <c r="A1637" s="42" t="inlineStr">
        <is>
          <t>escada perfume</t>
        </is>
      </c>
      <c r="B1637" s="42" t="inlineStr">
        <is>
          <t>escada perfume for women</t>
        </is>
      </c>
      <c r="C1637" s="42" t="inlineStr">
        <is>
          <t>Yes</t>
        </is>
      </c>
    </row>
    <row r="1638" ht="15" customHeight="1" s="37">
      <c r="A1638" s="42" t="inlineStr">
        <is>
          <t>escada perfume</t>
        </is>
      </c>
      <c r="B1638" s="42" t="inlineStr">
        <is>
          <t>escada perfume for men</t>
        </is>
      </c>
      <c r="C1638" s="42" t="n"/>
    </row>
    <row r="1639" ht="15" customHeight="1" s="37">
      <c r="A1639" s="42" t="inlineStr">
        <is>
          <t>escada perfume</t>
        </is>
      </c>
      <c r="B1639" s="42" t="inlineStr">
        <is>
          <t>escada perfume original</t>
        </is>
      </c>
      <c r="C1639" s="42" t="n"/>
    </row>
    <row r="1640" ht="15" customHeight="1" s="37">
      <c r="A1640" s="42" t="inlineStr">
        <is>
          <t>escada perfume</t>
        </is>
      </c>
      <c r="B1640" s="42" t="inlineStr">
        <is>
          <t>escada perfume uk</t>
        </is>
      </c>
      <c r="C1640" s="42" t="n"/>
    </row>
    <row r="1641" ht="15" customHeight="1" s="37">
      <c r="A1641" s="42" t="inlineStr">
        <is>
          <t>escada perfume</t>
        </is>
      </c>
      <c r="B1641" s="42" t="inlineStr">
        <is>
          <t>escada perfume 2000s</t>
        </is>
      </c>
      <c r="C1641" s="42" t="n"/>
    </row>
    <row r="1642" ht="15" customHeight="1" s="37">
      <c r="A1642" s="42" t="inlineStr">
        <is>
          <t>escada perfume</t>
        </is>
      </c>
      <c r="B1642" s="42" t="inlineStr">
        <is>
          <t>escada perfume magnetism</t>
        </is>
      </c>
      <c r="C1642" s="42" t="n"/>
    </row>
    <row r="1643" ht="15" customHeight="1" s="37">
      <c r="A1643" s="42" t="inlineStr">
        <is>
          <t>escada perfume</t>
        </is>
      </c>
      <c r="B1643" s="42" t="inlineStr">
        <is>
          <t>escada perfume 2026</t>
        </is>
      </c>
      <c r="C1643" s="42" t="n"/>
    </row>
    <row r="1644" ht="15" customHeight="1" s="37">
      <c r="A1644" s="42" t="inlineStr">
        <is>
          <t>escada perfume</t>
        </is>
      </c>
      <c r="B1644" s="42" t="inlineStr">
        <is>
          <t>escada perfume discontinued</t>
        </is>
      </c>
      <c r="C1644" s="42" t="n"/>
    </row>
    <row r="1645" ht="15" customHeight="1" s="37">
      <c r="A1645" s="42" t="inlineStr">
        <is>
          <t>estee lauder perfume</t>
        </is>
      </c>
      <c r="B1645" s="42" t="inlineStr">
        <is>
          <t>estee lauder perfume</t>
        </is>
      </c>
      <c r="C1645" s="42" t="inlineStr">
        <is>
          <t>Yes</t>
        </is>
      </c>
    </row>
    <row r="1646" ht="15" customHeight="1" s="37">
      <c r="A1646" s="42" t="inlineStr">
        <is>
          <t>estee lauder perfume</t>
        </is>
      </c>
      <c r="B1646" s="42" t="inlineStr">
        <is>
          <t>estee lauder perfume for women</t>
        </is>
      </c>
      <c r="C1646" s="42" t="inlineStr">
        <is>
          <t>Yes</t>
        </is>
      </c>
    </row>
    <row r="1647" ht="15" customHeight="1" s="37">
      <c r="A1647" s="42" t="inlineStr">
        <is>
          <t>estee lauder perfume</t>
        </is>
      </c>
      <c r="B1647" s="42" t="inlineStr">
        <is>
          <t>estee lauder perfume pleasure</t>
        </is>
      </c>
      <c r="C1647" s="42" t="n"/>
    </row>
    <row r="1648" ht="15" customHeight="1" s="37">
      <c r="A1648" s="42" t="inlineStr">
        <is>
          <t>estee lauder perfume</t>
        </is>
      </c>
      <c r="B1648" s="42" t="inlineStr">
        <is>
          <t>estee lauder perfume list</t>
        </is>
      </c>
      <c r="C1648" s="42" t="n"/>
    </row>
    <row r="1649" ht="15" customHeight="1" s="37">
      <c r="A1649" s="42" t="inlineStr">
        <is>
          <t>estee lauder perfume</t>
        </is>
      </c>
      <c r="B1649" s="42" t="inlineStr">
        <is>
          <t>estee lauder perfume beautiful</t>
        </is>
      </c>
      <c r="C1649" s="42" t="n"/>
    </row>
    <row r="1650" ht="15" customHeight="1" s="37">
      <c r="A1650" s="42" t="inlineStr">
        <is>
          <t>estee lauder perfume</t>
        </is>
      </c>
      <c r="B1650" s="42" t="inlineStr">
        <is>
          <t>estee lauder perfume glimmer</t>
        </is>
      </c>
      <c r="C1650" s="42" t="n"/>
    </row>
    <row r="1651" ht="15" customHeight="1" s="37">
      <c r="A1651" s="42" t="inlineStr">
        <is>
          <t>estee lauder perfume</t>
        </is>
      </c>
      <c r="B1651" s="42" t="inlineStr">
        <is>
          <t>estee lauder perfume bronze goddess</t>
        </is>
      </c>
      <c r="C1651" s="42" t="n"/>
    </row>
    <row r="1652" ht="15" customHeight="1" s="37">
      <c r="A1652" s="42" t="inlineStr">
        <is>
          <t>estee lauder perfume</t>
        </is>
      </c>
      <c r="B1652" s="42" t="inlineStr">
        <is>
          <t>estee lauder perfume price</t>
        </is>
      </c>
      <c r="C1652" s="42" t="n"/>
    </row>
    <row r="1653" ht="15" customHeight="1" s="37">
      <c r="A1653" s="42" t="inlineStr">
        <is>
          <t>estee lauder perfume</t>
        </is>
      </c>
      <c r="B1653" s="42" t="inlineStr">
        <is>
          <t>estee lauder perfume modern muse</t>
        </is>
      </c>
      <c r="C1653" s="42" t="n"/>
    </row>
    <row r="1654" ht="15" customHeight="1" s="37">
      <c r="A1654" s="42" t="inlineStr">
        <is>
          <t>estee lauder perfume</t>
        </is>
      </c>
      <c r="B1654" s="42" t="inlineStr">
        <is>
          <t>estee lauder perfume chemist warehouse</t>
        </is>
      </c>
      <c r="C1654" s="42" t="n"/>
    </row>
    <row r="1655" ht="15" customHeight="1" s="37">
      <c r="A1655" s="42" t="inlineStr">
        <is>
          <t>estee lauder spellbound</t>
        </is>
      </c>
      <c r="B1655" s="42" t="inlineStr">
        <is>
          <t>estee lauder spellbound</t>
        </is>
      </c>
      <c r="C1655" s="42" t="inlineStr">
        <is>
          <t>Yes</t>
        </is>
      </c>
    </row>
    <row r="1656" ht="15" customHeight="1" s="37">
      <c r="A1656" s="42" t="inlineStr">
        <is>
          <t>estee lauder spellbound</t>
        </is>
      </c>
      <c r="B1656" s="42" t="inlineStr">
        <is>
          <t>estee lauder spellbound perfume</t>
        </is>
      </c>
      <c r="C1656" s="42" t="inlineStr">
        <is>
          <t>Yes</t>
        </is>
      </c>
    </row>
    <row r="1657" ht="15" customHeight="1" s="37">
      <c r="A1657" s="42" t="inlineStr">
        <is>
          <t>estee lauder spellbound</t>
        </is>
      </c>
      <c r="B1657" s="42" t="inlineStr">
        <is>
          <t>estee lauder spellbound review</t>
        </is>
      </c>
      <c r="C1657" s="42" t="inlineStr">
        <is>
          <t>Yes</t>
        </is>
      </c>
    </row>
    <row r="1658" ht="15" customHeight="1" s="37">
      <c r="A1658" s="42" t="inlineStr">
        <is>
          <t>estee lauder spellbound</t>
        </is>
      </c>
      <c r="B1658" s="42" t="inlineStr">
        <is>
          <t>estee lauder spellbound original</t>
        </is>
      </c>
      <c r="C1658" s="42" t="inlineStr">
        <is>
          <t>Yes</t>
        </is>
      </c>
    </row>
    <row r="1659" ht="15" customHeight="1" s="37">
      <c r="A1659" s="42" t="inlineStr">
        <is>
          <t>estee lauder spellbound</t>
        </is>
      </c>
      <c r="B1659" s="42" t="inlineStr">
        <is>
          <t>estee lauder spellbound dupe</t>
        </is>
      </c>
      <c r="C1659" s="42" t="inlineStr">
        <is>
          <t>Yes</t>
        </is>
      </c>
    </row>
    <row r="1660" ht="15" customHeight="1" s="37">
      <c r="A1660" s="42" t="inlineStr">
        <is>
          <t>estee lauder spellbound</t>
        </is>
      </c>
      <c r="B1660" s="42" t="inlineStr">
        <is>
          <t>estee lauder spellbound notes</t>
        </is>
      </c>
      <c r="C1660" s="42" t="inlineStr">
        <is>
          <t>Yes</t>
        </is>
      </c>
    </row>
    <row r="1661" ht="15" customHeight="1" s="37">
      <c r="A1661" s="42" t="inlineStr">
        <is>
          <t>estee lauder spellbound</t>
        </is>
      </c>
      <c r="B1661" s="42" t="inlineStr">
        <is>
          <t>estee lauder spellbound edp</t>
        </is>
      </c>
      <c r="C1661" s="42" t="inlineStr">
        <is>
          <t>Yes</t>
        </is>
      </c>
    </row>
    <row r="1662" ht="15" customHeight="1" s="37">
      <c r="A1662" s="42" t="inlineStr">
        <is>
          <t>estee lauder spellbound</t>
        </is>
      </c>
      <c r="B1662" s="42" t="inlineStr">
        <is>
          <t>estee lauder spellbound perfume notes</t>
        </is>
      </c>
      <c r="C1662" s="42" t="n"/>
    </row>
    <row r="1663" ht="15" customHeight="1" s="37">
      <c r="A1663" s="42" t="inlineStr">
        <is>
          <t>estee lauder spellbound</t>
        </is>
      </c>
      <c r="B1663" s="42" t="inlineStr">
        <is>
          <t>estee lauder spellbound perfume reviews</t>
        </is>
      </c>
      <c r="C1663" s="42" t="n"/>
    </row>
    <row r="1664" ht="15" customHeight="1" s="37">
      <c r="A1664" s="42" t="inlineStr">
        <is>
          <t>estee lauder spellbound</t>
        </is>
      </c>
      <c r="B1664" s="42" t="inlineStr">
        <is>
          <t>estee lauder spellbound discontinued</t>
        </is>
      </c>
      <c r="C1664" s="42" t="n"/>
    </row>
    <row r="1665" ht="15" customHeight="1" s="37">
      <c r="A1665" s="42" t="inlineStr">
        <is>
          <t>etienne aigner first class explorer</t>
        </is>
      </c>
      <c r="B1665" s="42" t="inlineStr">
        <is>
          <t>etienne aigner first class explorer</t>
        </is>
      </c>
      <c r="C1665" s="42" t="inlineStr">
        <is>
          <t>Yes</t>
        </is>
      </c>
    </row>
    <row r="1666" ht="15" customHeight="1" s="37">
      <c r="A1666" s="42" t="inlineStr">
        <is>
          <t>etienne aigner first class explorer</t>
        </is>
      </c>
      <c r="B1666" s="42" t="inlineStr">
        <is>
          <t>etienne aigner first class explorer eau de toilette</t>
        </is>
      </c>
      <c r="C1666" s="42" t="inlineStr">
        <is>
          <t>Yes</t>
        </is>
      </c>
    </row>
    <row r="1667" ht="15" customHeight="1" s="37">
      <c r="A1667" s="42" t="inlineStr">
        <is>
          <t>etienne aigner first class explorer</t>
        </is>
      </c>
      <c r="B1667" s="42" t="inlineStr">
        <is>
          <t>etienne aigner first class explorer m edt 100ml</t>
        </is>
      </c>
      <c r="C1667" s="42" t="n"/>
    </row>
    <row r="1668" ht="15" customHeight="1" s="37">
      <c r="A1668" s="42" t="inlineStr">
        <is>
          <t>etienne aigner first class explorer</t>
        </is>
      </c>
      <c r="B1668" s="42" t="inlineStr">
        <is>
          <t>first class explorer etienne aigner for men</t>
        </is>
      </c>
      <c r="C1668" s="42" t="inlineStr">
        <is>
          <t>Yes</t>
        </is>
      </c>
    </row>
    <row r="1669" ht="15" customHeight="1" s="37">
      <c r="A1669" s="42" t="inlineStr">
        <is>
          <t>etienne aigner first class explorer</t>
        </is>
      </c>
      <c r="B1669" s="42" t="inlineStr">
        <is>
          <t>does honda pilot have cabin watch</t>
        </is>
      </c>
      <c r="C1669" s="42" t="n"/>
    </row>
    <row r="1670" ht="15" customHeight="1" s="37">
      <c r="A1670" s="42" t="inlineStr">
        <is>
          <t>etienne aigner no. 1 intense</t>
        </is>
      </c>
      <c r="B1670" s="42" t="inlineStr">
        <is>
          <t>etienne aigner no 1 intense</t>
        </is>
      </c>
      <c r="C1670" s="42" t="inlineStr">
        <is>
          <t>Yes</t>
        </is>
      </c>
    </row>
    <row r="1671" ht="15" customHeight="1" s="37">
      <c r="A1671" s="42" t="inlineStr">
        <is>
          <t>etienne aigner no. 1 intense</t>
        </is>
      </c>
      <c r="B1671" s="42" t="inlineStr">
        <is>
          <t>etienne aigner no 1 intense m edt 100ml</t>
        </is>
      </c>
      <c r="C1671" s="42" t="n"/>
    </row>
    <row r="1672" ht="15" customHeight="1" s="37">
      <c r="A1672" s="42" t="inlineStr">
        <is>
          <t>etienne aigner no. 1 intense</t>
        </is>
      </c>
      <c r="B1672" s="42" t="inlineStr">
        <is>
          <t>etienne aigner jeans price</t>
        </is>
      </c>
      <c r="C1672" s="42" t="n"/>
    </row>
    <row r="1673" ht="15" customHeight="1" s="37">
      <c r="A1673" s="42" t="inlineStr">
        <is>
          <t>etienne aigner no. 1 intense</t>
        </is>
      </c>
      <c r="B1673" s="42" t="inlineStr">
        <is>
          <t>aigner perfume review</t>
        </is>
      </c>
      <c r="C1673" s="42" t="n"/>
    </row>
    <row r="1674" ht="15" customHeight="1" s="37">
      <c r="A1674" s="42" t="inlineStr">
        <is>
          <t>etienne aigner perfume</t>
        </is>
      </c>
      <c r="B1674" s="42" t="inlineStr">
        <is>
          <t>etienne aigner perfume</t>
        </is>
      </c>
      <c r="C1674" s="42" t="inlineStr">
        <is>
          <t>Yes</t>
        </is>
      </c>
    </row>
    <row r="1675" ht="15" customHeight="1" s="37">
      <c r="A1675" s="42" t="inlineStr">
        <is>
          <t>etienne aigner perfume</t>
        </is>
      </c>
      <c r="B1675" s="42" t="inlineStr">
        <is>
          <t>etienne aigner perfume private number</t>
        </is>
      </c>
      <c r="C1675" s="42" t="n"/>
    </row>
    <row r="1676" ht="15" customHeight="1" s="37">
      <c r="A1676" s="42" t="inlineStr">
        <is>
          <t>etienne aigner perfume</t>
        </is>
      </c>
      <c r="B1676" s="42" t="inlineStr">
        <is>
          <t>etienne aigner perfume pour femme</t>
        </is>
      </c>
      <c r="C1676" s="42" t="n"/>
    </row>
    <row r="1677" ht="15" customHeight="1" s="37">
      <c r="A1677" s="42" t="inlineStr">
        <is>
          <t>etienne aigner perfume</t>
        </is>
      </c>
      <c r="B1677" s="42" t="inlineStr">
        <is>
          <t>etienne aigner perfume price</t>
        </is>
      </c>
      <c r="C1677" s="42" t="n"/>
    </row>
    <row r="1678" ht="15" customHeight="1" s="37">
      <c r="A1678" s="42" t="inlineStr">
        <is>
          <t>etienne aigner perfume</t>
        </is>
      </c>
      <c r="B1678" s="42" t="inlineStr">
        <is>
          <t>etienne aigner perfume woman</t>
        </is>
      </c>
      <c r="C1678" s="42" t="n"/>
    </row>
    <row r="1679" ht="15" customHeight="1" s="37">
      <c r="A1679" s="42" t="inlineStr">
        <is>
          <t>etienne aigner perfume</t>
        </is>
      </c>
      <c r="B1679" s="42" t="inlineStr">
        <is>
          <t>etienne aigner perfume for men</t>
        </is>
      </c>
      <c r="C1679" s="42" t="inlineStr">
        <is>
          <t>Yes</t>
        </is>
      </c>
    </row>
    <row r="1680" ht="15" customHeight="1" s="37">
      <c r="A1680" s="42" t="inlineStr">
        <is>
          <t>etienne aigner perfume</t>
        </is>
      </c>
      <c r="B1680" s="42" t="inlineStr">
        <is>
          <t>etienne aigner perfume review</t>
        </is>
      </c>
      <c r="C1680" s="42" t="n"/>
    </row>
    <row r="1681" ht="15" customHeight="1" s="37">
      <c r="A1681" s="42" t="inlineStr">
        <is>
          <t>etienne aigner perfume</t>
        </is>
      </c>
      <c r="B1681" s="42" t="inlineStr">
        <is>
          <t>etienne aigner fragrance</t>
        </is>
      </c>
      <c r="C1681" s="42" t="n"/>
    </row>
    <row r="1682" ht="15" customHeight="1" s="37">
      <c r="A1682" s="42" t="inlineStr">
        <is>
          <t>etienne aigner perfume</t>
        </is>
      </c>
      <c r="B1682" s="42" t="inlineStr">
        <is>
          <t>etienne aigner cologne</t>
        </is>
      </c>
      <c r="C1682" s="42" t="n"/>
    </row>
    <row r="1683" ht="15" customHeight="1" s="37">
      <c r="A1683" s="42" t="inlineStr">
        <is>
          <t>etienne aigner perfume</t>
        </is>
      </c>
      <c r="B1683" s="42" t="inlineStr">
        <is>
          <t>etienne aigner explosive perfume</t>
        </is>
      </c>
      <c r="C1683" s="42" t="n"/>
    </row>
    <row r="1684" ht="15" customHeight="1" s="37">
      <c r="A1684" s="42" t="inlineStr">
        <is>
          <t>fumeri 540</t>
        </is>
      </c>
      <c r="B1684" s="42" t="inlineStr">
        <is>
          <t>fumari 540</t>
        </is>
      </c>
      <c r="C1684" s="42" t="n"/>
    </row>
    <row r="1685" ht="15" customHeight="1" s="37">
      <c r="A1685" s="42" t="inlineStr">
        <is>
          <t>fumeri 540</t>
        </is>
      </c>
      <c r="B1685" s="42" t="inlineStr">
        <is>
          <t>fumeri 540 perfume</t>
        </is>
      </c>
      <c r="C1685" s="42" t="inlineStr">
        <is>
          <t>Yes</t>
        </is>
      </c>
    </row>
    <row r="1686" ht="15" customHeight="1" s="37">
      <c r="A1686" s="42" t="inlineStr">
        <is>
          <t>fumeri adore</t>
        </is>
      </c>
      <c r="B1686" s="42" t="inlineStr">
        <is>
          <t>fumeri adore</t>
        </is>
      </c>
      <c r="C1686" s="42" t="inlineStr">
        <is>
          <t>Yes</t>
        </is>
      </c>
    </row>
    <row r="1687" ht="15" customHeight="1" s="37">
      <c r="A1687" s="42" t="inlineStr">
        <is>
          <t>fumeri adore</t>
        </is>
      </c>
      <c r="B1687" s="42" t="inlineStr">
        <is>
          <t>fumeri adore perfume</t>
        </is>
      </c>
      <c r="C1687" s="42" t="inlineStr">
        <is>
          <t>Yes</t>
        </is>
      </c>
    </row>
    <row r="1688" ht="15" customHeight="1" s="37">
      <c r="A1688" s="42" t="inlineStr">
        <is>
          <t>fumeri adore</t>
        </is>
      </c>
      <c r="B1688" s="42" t="inlineStr">
        <is>
          <t>fumari adore perfume price</t>
        </is>
      </c>
      <c r="C1688" s="42" t="n"/>
    </row>
    <row r="1689" ht="15" customHeight="1" s="37">
      <c r="A1689" s="42" t="inlineStr">
        <is>
          <t>fumeri adore</t>
        </is>
      </c>
      <c r="B1689" s="42" t="inlineStr">
        <is>
          <t>fumeri adore w edp 100ml</t>
        </is>
      </c>
      <c r="C1689" s="42" t="n"/>
    </row>
    <row r="1690" ht="15" customHeight="1" s="37">
      <c r="A1690" s="42" t="inlineStr">
        <is>
          <t>fumeri ambre night</t>
        </is>
      </c>
      <c r="B1690" s="42" t="inlineStr">
        <is>
          <t>fumeri ambre night</t>
        </is>
      </c>
      <c r="C1690" s="42" t="inlineStr">
        <is>
          <t>Yes</t>
        </is>
      </c>
    </row>
    <row r="1691" ht="15" customHeight="1" s="37">
      <c r="A1691" s="42" t="inlineStr">
        <is>
          <t>fumeri ambre night</t>
        </is>
      </c>
      <c r="B1691" s="42" t="inlineStr">
        <is>
          <t>fumeri ambre night perfume</t>
        </is>
      </c>
      <c r="C1691" s="42" t="inlineStr">
        <is>
          <t>Yes</t>
        </is>
      </c>
    </row>
    <row r="1692" ht="15" customHeight="1" s="37">
      <c r="A1692" s="42" t="inlineStr">
        <is>
          <t>fumeri ambre night</t>
        </is>
      </c>
      <c r="B1692" s="42" t="inlineStr">
        <is>
          <t>fumeri ambre night price</t>
        </is>
      </c>
      <c r="C1692" s="42" t="inlineStr">
        <is>
          <t>Yes</t>
        </is>
      </c>
    </row>
    <row r="1693" ht="15" customHeight="1" s="37">
      <c r="A1693" s="42" t="inlineStr">
        <is>
          <t>fumeri ambre night</t>
        </is>
      </c>
      <c r="B1693" s="42" t="inlineStr">
        <is>
          <t>what is the best color night light for sleep</t>
        </is>
      </c>
      <c r="C1693" s="42" t="n"/>
    </row>
    <row r="1694" ht="15" customHeight="1" s="37">
      <c r="A1694" s="42" t="inlineStr">
        <is>
          <t>fumeri ambre night</t>
        </is>
      </c>
      <c r="B1694" s="42" t="inlineStr">
        <is>
          <t>what color night light helps you sleep</t>
        </is>
      </c>
      <c r="C1694" s="42" t="n"/>
    </row>
    <row r="1695" ht="15" customHeight="1" s="37">
      <c r="A1695" s="42" t="inlineStr">
        <is>
          <t>fumeri ambre night</t>
        </is>
      </c>
      <c r="B1695" s="42" t="inlineStr">
        <is>
          <t>what color night light helps you sleep better</t>
        </is>
      </c>
      <c r="C1695" s="42" t="n"/>
    </row>
    <row r="1696" ht="15" customHeight="1" s="37">
      <c r="A1696" s="42" t="inlineStr">
        <is>
          <t>fumeri angel</t>
        </is>
      </c>
      <c r="B1696" s="42" t="inlineStr">
        <is>
          <t>fumeri angel perfume</t>
        </is>
      </c>
      <c r="C1696" s="42" t="inlineStr">
        <is>
          <t>Yes</t>
        </is>
      </c>
    </row>
    <row r="1697" ht="15" customHeight="1" s="37">
      <c r="A1697" s="42" t="inlineStr">
        <is>
          <t>fumeri angel</t>
        </is>
      </c>
      <c r="B1697" s="42" t="inlineStr">
        <is>
          <t>fumeri angel</t>
        </is>
      </c>
      <c r="C1697" s="42" t="inlineStr">
        <is>
          <t>Yes</t>
        </is>
      </c>
    </row>
    <row r="1698" ht="15" customHeight="1" s="37">
      <c r="A1698" s="42" t="inlineStr">
        <is>
          <t>fumeri blue</t>
        </is>
      </c>
      <c r="B1698" s="42" t="inlineStr">
        <is>
          <t>fumeri blue perfume</t>
        </is>
      </c>
      <c r="C1698" s="42" t="inlineStr">
        <is>
          <t>Yes</t>
        </is>
      </c>
    </row>
    <row r="1699" ht="15" customHeight="1" s="37">
      <c r="A1699" s="42" t="inlineStr">
        <is>
          <t>fumeri blue</t>
        </is>
      </c>
      <c r="B1699" s="42" t="inlineStr">
        <is>
          <t>fumeri blue</t>
        </is>
      </c>
      <c r="C1699" s="42" t="inlineStr">
        <is>
          <t>Yes</t>
        </is>
      </c>
    </row>
    <row r="1700" ht="15" customHeight="1" s="37">
      <c r="A1700" s="42" t="inlineStr">
        <is>
          <t>fumeri blue</t>
        </is>
      </c>
      <c r="B1700" s="42" t="inlineStr">
        <is>
          <t>fumeri blue perfume price</t>
        </is>
      </c>
      <c r="C1700" s="42" t="inlineStr">
        <is>
          <t>Yes</t>
        </is>
      </c>
    </row>
    <row r="1701" ht="15" customHeight="1" s="37">
      <c r="A1701" s="42" t="inlineStr">
        <is>
          <t>fumeri blue</t>
        </is>
      </c>
      <c r="B1701" s="42" t="inlineStr">
        <is>
          <t>fumeri blue m edp 100ml</t>
        </is>
      </c>
      <c r="C1701" s="42" t="n"/>
    </row>
    <row r="1702" ht="15" customHeight="1" s="37">
      <c r="A1702" s="42" t="inlineStr">
        <is>
          <t>fumeri blue</t>
        </is>
      </c>
      <c r="B1702" s="42" t="inlineStr">
        <is>
          <t>fumeri blue price</t>
        </is>
      </c>
      <c r="C1702" s="42" t="inlineStr">
        <is>
          <t>Yes</t>
        </is>
      </c>
    </row>
    <row r="1703" ht="15" customHeight="1" s="37">
      <c r="A1703" s="42" t="inlineStr">
        <is>
          <t>fumeri elixir</t>
        </is>
      </c>
      <c r="B1703" s="42" t="inlineStr">
        <is>
          <t>fumeri elixir perfume</t>
        </is>
      </c>
      <c r="C1703" s="42" t="inlineStr">
        <is>
          <t>Yes</t>
        </is>
      </c>
    </row>
    <row r="1704" ht="15" customHeight="1" s="37">
      <c r="A1704" s="42" t="inlineStr">
        <is>
          <t>fumeri elixir</t>
        </is>
      </c>
      <c r="B1704" s="42" t="inlineStr">
        <is>
          <t>fumeri elixir</t>
        </is>
      </c>
      <c r="C1704" s="42" t="inlineStr">
        <is>
          <t>Yes</t>
        </is>
      </c>
    </row>
    <row r="1705" ht="15" customHeight="1" s="37">
      <c r="A1705" s="42" t="inlineStr">
        <is>
          <t>fumeri elixir</t>
        </is>
      </c>
      <c r="B1705" s="42" t="inlineStr">
        <is>
          <t>fumeri elixir m edp 100ml</t>
        </is>
      </c>
      <c r="C1705" s="42" t="n"/>
    </row>
    <row r="1706" ht="15" customHeight="1" s="37">
      <c r="A1706" s="42" t="inlineStr">
        <is>
          <t>fumeri elixir</t>
        </is>
      </c>
      <c r="B1706" s="42" t="inlineStr">
        <is>
          <t>fumeri elixir perfume price</t>
        </is>
      </c>
      <c r="C1706" s="42" t="inlineStr">
        <is>
          <t>Yes</t>
        </is>
      </c>
    </row>
    <row r="1707" ht="15" customHeight="1" s="37">
      <c r="A1707" s="42" t="inlineStr">
        <is>
          <t>fumeri gabriella</t>
        </is>
      </c>
      <c r="B1707" s="42" t="inlineStr">
        <is>
          <t>fumeri gabriella</t>
        </is>
      </c>
      <c r="C1707" s="42" t="inlineStr">
        <is>
          <t>Yes</t>
        </is>
      </c>
    </row>
    <row r="1708" ht="15" customHeight="1" s="37">
      <c r="A1708" s="42" t="inlineStr">
        <is>
          <t>fumeri gabriella</t>
        </is>
      </c>
      <c r="B1708" s="42" t="inlineStr">
        <is>
          <t>fumeri gabrielle perfume</t>
        </is>
      </c>
      <c r="C1708" s="42" t="n"/>
    </row>
    <row r="1709" ht="15" customHeight="1" s="37">
      <c r="A1709" s="42" t="inlineStr">
        <is>
          <t>fumeri gris</t>
        </is>
      </c>
      <c r="B1709" s="42" t="inlineStr">
        <is>
          <t>fumeri gris perfume</t>
        </is>
      </c>
      <c r="C1709" s="42" t="inlineStr">
        <is>
          <t>Yes</t>
        </is>
      </c>
    </row>
    <row r="1710" ht="15" customHeight="1" s="37">
      <c r="A1710" s="42" t="inlineStr">
        <is>
          <t>fumeri gris</t>
        </is>
      </c>
      <c r="B1710" s="42" t="inlineStr">
        <is>
          <t>fumero gris</t>
        </is>
      </c>
      <c r="C1710" s="42" t="n"/>
    </row>
    <row r="1711" ht="15" customHeight="1" s="37">
      <c r="A1711" s="42" t="inlineStr">
        <is>
          <t>fumeri orchid noir</t>
        </is>
      </c>
      <c r="B1711" s="42" t="inlineStr">
        <is>
          <t>fumeri orchid noir</t>
        </is>
      </c>
      <c r="C1711" s="42" t="inlineStr">
        <is>
          <t>Yes</t>
        </is>
      </c>
    </row>
    <row r="1712" ht="15" customHeight="1" s="37">
      <c r="A1712" s="42" t="inlineStr">
        <is>
          <t>fumeri orchid noir</t>
        </is>
      </c>
      <c r="B1712" s="42" t="inlineStr">
        <is>
          <t>fumeri orchid noir perfume</t>
        </is>
      </c>
      <c r="C1712" s="42" t="inlineStr">
        <is>
          <t>Yes</t>
        </is>
      </c>
    </row>
    <row r="1713" ht="15" customHeight="1" s="37">
      <c r="A1713" s="42" t="inlineStr">
        <is>
          <t>fumeri orchid noir</t>
        </is>
      </c>
      <c r="B1713" s="42" t="inlineStr">
        <is>
          <t>fumeri orchid noir price</t>
        </is>
      </c>
      <c r="C1713" s="42" t="inlineStr">
        <is>
          <t>Yes</t>
        </is>
      </c>
    </row>
    <row r="1714" ht="15" customHeight="1" s="37">
      <c r="A1714" s="42" t="inlineStr">
        <is>
          <t>fumeri orchid noir</t>
        </is>
      </c>
      <c r="B1714" s="42" t="inlineStr">
        <is>
          <t>orchid bark vs orchid mix</t>
        </is>
      </c>
      <c r="C1714" s="42" t="n"/>
    </row>
    <row r="1715" ht="15" customHeight="1" s="37">
      <c r="A1715" s="42" t="inlineStr">
        <is>
          <t>fumeri orchid noir</t>
        </is>
      </c>
      <c r="B1715" s="42" t="inlineStr">
        <is>
          <t>orchard vs orchid pronunciation</t>
        </is>
      </c>
      <c r="C1715" s="42" t="n"/>
    </row>
    <row r="1716" ht="15" customHeight="1" s="37">
      <c r="A1716" s="42" t="inlineStr">
        <is>
          <t>fumeri orchid noir</t>
        </is>
      </c>
      <c r="B1716" s="42" t="inlineStr">
        <is>
          <t>difference between orchid and orchard</t>
        </is>
      </c>
      <c r="C1716" s="42" t="n"/>
    </row>
    <row r="1717" ht="15" customHeight="1" s="37">
      <c r="A1717" s="42" t="inlineStr">
        <is>
          <t>fumeri orpheon</t>
        </is>
      </c>
      <c r="B1717" s="42" t="inlineStr">
        <is>
          <t>fumeri orpheon</t>
        </is>
      </c>
      <c r="C1717" s="42" t="inlineStr">
        <is>
          <t>Yes</t>
        </is>
      </c>
    </row>
    <row r="1718" ht="15" customHeight="1" s="37">
      <c r="A1718" s="42" t="inlineStr">
        <is>
          <t>fumeri oud saffron</t>
        </is>
      </c>
      <c r="B1718" s="42" t="inlineStr">
        <is>
          <t>fumeri oud saffron</t>
        </is>
      </c>
      <c r="C1718" s="42" t="inlineStr">
        <is>
          <t>Yes</t>
        </is>
      </c>
    </row>
    <row r="1719" ht="15" customHeight="1" s="37">
      <c r="A1719" s="42" t="inlineStr">
        <is>
          <t>fumeri oud saffron</t>
        </is>
      </c>
      <c r="B1719" s="42" t="inlineStr">
        <is>
          <t>fumeri perfume oud saffron</t>
        </is>
      </c>
      <c r="C1719" s="42" t="inlineStr">
        <is>
          <t>Yes</t>
        </is>
      </c>
    </row>
    <row r="1720" ht="15" customHeight="1" s="37">
      <c r="A1720" s="42" t="inlineStr">
        <is>
          <t>fumeri oud saffron</t>
        </is>
      </c>
      <c r="B1720" s="42" t="inlineStr">
        <is>
          <t>oud malaki review</t>
        </is>
      </c>
      <c r="C1720" s="42" t="n"/>
    </row>
    <row r="1721" ht="15" customHeight="1" s="37">
      <c r="A1721" s="42" t="inlineStr">
        <is>
          <t>fumeri peach</t>
        </is>
      </c>
      <c r="B1721" s="42" t="inlineStr">
        <is>
          <t>fumari peach tree rascals</t>
        </is>
      </c>
      <c r="C1721" s="42" t="n"/>
    </row>
    <row r="1722" ht="15" customHeight="1" s="37">
      <c r="A1722" s="42" t="inlineStr">
        <is>
          <t>fumeri peach</t>
        </is>
      </c>
      <c r="B1722" s="42" t="inlineStr">
        <is>
          <t>fumari peach</t>
        </is>
      </c>
      <c r="C1722" s="42" t="n"/>
    </row>
    <row r="1723" ht="15" customHeight="1" s="37">
      <c r="A1723" s="42" t="inlineStr">
        <is>
          <t>fumeri peach</t>
        </is>
      </c>
      <c r="B1723" s="42" t="inlineStr">
        <is>
          <t>fumeri peach perfume</t>
        </is>
      </c>
      <c r="C1723" s="42" t="inlineStr">
        <is>
          <t>Yes</t>
        </is>
      </c>
    </row>
    <row r="1724" ht="15" customHeight="1" s="37">
      <c r="A1724" s="42" t="inlineStr">
        <is>
          <t>fumeri perfume</t>
        </is>
      </c>
      <c r="B1724" s="42" t="inlineStr">
        <is>
          <t>fumeri perfume</t>
        </is>
      </c>
      <c r="C1724" s="42" t="inlineStr">
        <is>
          <t>Yes</t>
        </is>
      </c>
    </row>
    <row r="1725" ht="15" customHeight="1" s="37">
      <c r="A1725" s="42" t="inlineStr">
        <is>
          <t>fumeri perfume</t>
        </is>
      </c>
      <c r="B1725" s="42" t="inlineStr">
        <is>
          <t>fumeri perfume price</t>
        </is>
      </c>
      <c r="C1725" s="42" t="n"/>
    </row>
    <row r="1726" ht="15" customHeight="1" s="37">
      <c r="A1726" s="42" t="inlineStr">
        <is>
          <t>fumeri perfume</t>
        </is>
      </c>
      <c r="B1726" s="42" t="inlineStr">
        <is>
          <t>fumeri perfume review</t>
        </is>
      </c>
      <c r="C1726" s="42" t="n"/>
    </row>
    <row r="1727" ht="15" customHeight="1" s="37">
      <c r="A1727" s="42" t="inlineStr">
        <is>
          <t>fumeri perfume</t>
        </is>
      </c>
      <c r="B1727" s="42" t="inlineStr">
        <is>
          <t>fumeri perfume amber night</t>
        </is>
      </c>
      <c r="C1727" s="42" t="n"/>
    </row>
    <row r="1728" ht="15" customHeight="1" s="37">
      <c r="A1728" s="42" t="inlineStr">
        <is>
          <t>fumeri perfume</t>
        </is>
      </c>
      <c r="B1728" s="42" t="inlineStr">
        <is>
          <t>fumeri perfume 540</t>
        </is>
      </c>
      <c r="C1728" s="42" t="n"/>
    </row>
    <row r="1729" ht="15" customHeight="1" s="37">
      <c r="A1729" s="42" t="inlineStr">
        <is>
          <t>fumeri perfume</t>
        </is>
      </c>
      <c r="B1729" s="42" t="inlineStr">
        <is>
          <t>fumeri perfume fragrantica</t>
        </is>
      </c>
      <c r="C1729" s="42" t="n"/>
    </row>
    <row r="1730" ht="15" customHeight="1" s="37">
      <c r="A1730" s="42" t="inlineStr">
        <is>
          <t>fumeri perfume</t>
        </is>
      </c>
      <c r="B1730" s="42" t="inlineStr">
        <is>
          <t>fumeri perfume blue</t>
        </is>
      </c>
      <c r="C1730" s="42" t="n"/>
    </row>
    <row r="1731" ht="15" customHeight="1" s="37">
      <c r="A1731" s="42" t="inlineStr">
        <is>
          <t>fumeri perfume</t>
        </is>
      </c>
      <c r="B1731" s="42" t="inlineStr">
        <is>
          <t>fumeri perfume elixir</t>
        </is>
      </c>
      <c r="C1731" s="42" t="n"/>
    </row>
    <row r="1732" ht="15" customHeight="1" s="37">
      <c r="A1732" s="42" t="inlineStr">
        <is>
          <t>fumeri perfume</t>
        </is>
      </c>
      <c r="B1732" s="42" t="inlineStr">
        <is>
          <t>fumeri wild parfum</t>
        </is>
      </c>
      <c r="C1732" s="42" t="n"/>
    </row>
    <row r="1733" ht="15" customHeight="1" s="37">
      <c r="A1733" s="42" t="inlineStr">
        <is>
          <t>fumeri perfume</t>
        </is>
      </c>
      <c r="B1733" s="42" t="inlineStr">
        <is>
          <t>fumeri perfume oud saffron</t>
        </is>
      </c>
      <c r="C1733" s="42" t="inlineStr">
        <is>
          <t>Yes</t>
        </is>
      </c>
    </row>
    <row r="1734" ht="15" customHeight="1" s="37">
      <c r="A1734" s="42" t="inlineStr">
        <is>
          <t>fumeri smokey leather</t>
        </is>
      </c>
      <c r="B1734" s="42" t="inlineStr">
        <is>
          <t>fumeri smoky leather</t>
        </is>
      </c>
      <c r="C1734" s="42" t="n"/>
    </row>
    <row r="1735" ht="15" customHeight="1" s="37">
      <c r="A1735" s="42" t="inlineStr">
        <is>
          <t>fumeri smokey leather</t>
        </is>
      </c>
      <c r="B1735" s="42" t="inlineStr">
        <is>
          <t>fumeri smoky leather (u) edp 100ml</t>
        </is>
      </c>
      <c r="C1735" s="42" t="n"/>
    </row>
    <row r="1736" ht="15" customHeight="1" s="37">
      <c r="A1736" s="42" t="inlineStr">
        <is>
          <t>fumeri smokey leather</t>
        </is>
      </c>
      <c r="B1736" s="42" t="inlineStr">
        <is>
          <t>fumeri smoky leather perfume</t>
        </is>
      </c>
      <c r="C1736" s="42" t="n"/>
    </row>
    <row r="1737" ht="15" customHeight="1" s="37">
      <c r="A1737" s="42" t="inlineStr">
        <is>
          <t>fumeri style 33</t>
        </is>
      </c>
      <c r="B1737" s="42" t="inlineStr">
        <is>
          <t>fumeri style 33</t>
        </is>
      </c>
      <c r="C1737" s="42" t="inlineStr">
        <is>
          <t>Yes</t>
        </is>
      </c>
    </row>
    <row r="1738" ht="15" customHeight="1" s="37">
      <c r="A1738" s="42" t="inlineStr">
        <is>
          <t>fumeri style 33</t>
        </is>
      </c>
      <c r="B1738" s="42" t="inlineStr">
        <is>
          <t>fumeri style 33 review</t>
        </is>
      </c>
      <c r="C1738" s="42" t="inlineStr">
        <is>
          <t>Yes</t>
        </is>
      </c>
    </row>
    <row r="1739" ht="15" customHeight="1" s="37">
      <c r="A1739" s="42" t="inlineStr">
        <is>
          <t>fumeri style 33</t>
        </is>
      </c>
      <c r="B1739" s="42" t="inlineStr">
        <is>
          <t>fumeri style 33 perfume</t>
        </is>
      </c>
      <c r="C1739" s="42" t="inlineStr">
        <is>
          <t>Yes</t>
        </is>
      </c>
    </row>
    <row r="1740" ht="15" customHeight="1" s="37">
      <c r="A1740" s="42" t="inlineStr">
        <is>
          <t>fumeri style 33</t>
        </is>
      </c>
      <c r="B1740" s="42" t="inlineStr">
        <is>
          <t>33 vs 35</t>
        </is>
      </c>
      <c r="C1740" s="42" t="n"/>
    </row>
    <row r="1741" ht="15" customHeight="1" s="37">
      <c r="A1741" s="42" t="inlineStr">
        <is>
          <t>fumeri style 33</t>
        </is>
      </c>
      <c r="B1741" s="42" t="inlineStr">
        <is>
          <t>33 of 34567</t>
        </is>
      </c>
      <c r="C1741" s="42" t="n"/>
    </row>
    <row r="1742" ht="15" customHeight="1" s="37">
      <c r="A1742" s="42" t="inlineStr">
        <is>
          <t>fumeri victorious</t>
        </is>
      </c>
      <c r="B1742" s="42" t="inlineStr">
        <is>
          <t>fumeri victorious perfume</t>
        </is>
      </c>
      <c r="C1742" s="42" t="inlineStr">
        <is>
          <t>Yes</t>
        </is>
      </c>
    </row>
    <row r="1743" ht="15" customHeight="1" s="37">
      <c r="A1743" s="42" t="inlineStr">
        <is>
          <t>fumeri victorious</t>
        </is>
      </c>
      <c r="B1743" s="42" t="inlineStr">
        <is>
          <t>fumeri victorious</t>
        </is>
      </c>
      <c r="C1743" s="42" t="inlineStr">
        <is>
          <t>Yes</t>
        </is>
      </c>
    </row>
    <row r="1744" ht="15" customHeight="1" s="37">
      <c r="A1744" s="42" t="inlineStr">
        <is>
          <t>fumeri victorious</t>
        </is>
      </c>
      <c r="B1744" s="42" t="inlineStr">
        <is>
          <t>fumeri victorious perfume price</t>
        </is>
      </c>
      <c r="C1744" s="42" t="inlineStr">
        <is>
          <t>Yes</t>
        </is>
      </c>
    </row>
    <row r="1745" ht="15" customHeight="1" s="37">
      <c r="A1745" s="42" t="inlineStr">
        <is>
          <t>fumeri wild</t>
        </is>
      </c>
      <c r="B1745" s="42" t="inlineStr">
        <is>
          <t>fumeri wild perfume</t>
        </is>
      </c>
      <c r="C1745" s="42" t="inlineStr">
        <is>
          <t>Yes</t>
        </is>
      </c>
    </row>
    <row r="1746" ht="15" customHeight="1" s="37">
      <c r="A1746" s="42" t="inlineStr">
        <is>
          <t>fumeri wild</t>
        </is>
      </c>
      <c r="B1746" s="42" t="inlineStr">
        <is>
          <t>fumari wild</t>
        </is>
      </c>
      <c r="C1746" s="42" t="n"/>
    </row>
    <row r="1747" ht="15" customHeight="1" s="37">
      <c r="A1747" s="42" t="inlineStr">
        <is>
          <t>fumeri wild</t>
        </is>
      </c>
      <c r="B1747" s="42" t="inlineStr">
        <is>
          <t>fumeri wild perfume price</t>
        </is>
      </c>
      <c r="C1747" s="42" t="inlineStr">
        <is>
          <t>Yes</t>
        </is>
      </c>
    </row>
    <row r="1748" ht="15" customHeight="1" s="37">
      <c r="A1748" s="42" t="inlineStr">
        <is>
          <t>fumeri wild</t>
        </is>
      </c>
      <c r="B1748" s="42" t="inlineStr">
        <is>
          <t>fumeri wild eau de parfum</t>
        </is>
      </c>
      <c r="C1748" s="42" t="inlineStr">
        <is>
          <t>Yes</t>
        </is>
      </c>
    </row>
    <row r="1749" ht="15" customHeight="1" s="37">
      <c r="A1749" s="42" t="inlineStr">
        <is>
          <t>game of spades bid</t>
        </is>
      </c>
      <c r="B1749" s="42" t="inlineStr">
        <is>
          <t>game of spades bid</t>
        </is>
      </c>
      <c r="C1749" s="42" t="inlineStr">
        <is>
          <t>Yes</t>
        </is>
      </c>
    </row>
    <row r="1750" ht="15" customHeight="1" s="37">
      <c r="A1750" s="42" t="inlineStr">
        <is>
          <t>game of spades bid</t>
        </is>
      </c>
      <c r="B1750" s="42" t="inlineStr">
        <is>
          <t>game of spades bid dupe of</t>
        </is>
      </c>
      <c r="C1750" s="42" t="inlineStr">
        <is>
          <t>Yes</t>
        </is>
      </c>
    </row>
    <row r="1751" ht="15" customHeight="1" s="37">
      <c r="A1751" s="42" t="inlineStr">
        <is>
          <t>game of spades bid</t>
        </is>
      </c>
      <c r="B1751" s="42" t="inlineStr">
        <is>
          <t>game of spades bid clone of</t>
        </is>
      </c>
      <c r="C1751" s="42" t="n"/>
    </row>
    <row r="1752" ht="15" customHeight="1" s="37">
      <c r="A1752" s="42" t="inlineStr">
        <is>
          <t>game of spades bid</t>
        </is>
      </c>
      <c r="B1752" s="42" t="inlineStr">
        <is>
          <t>game of spades bid perfume</t>
        </is>
      </c>
      <c r="C1752" s="42" t="inlineStr">
        <is>
          <t>Yes</t>
        </is>
      </c>
    </row>
    <row r="1753" ht="15" customHeight="1" s="37">
      <c r="A1753" s="42" t="inlineStr">
        <is>
          <t>game of spades bid</t>
        </is>
      </c>
      <c r="B1753" s="42" t="inlineStr">
        <is>
          <t>game of spades bid notes</t>
        </is>
      </c>
      <c r="C1753" s="42" t="inlineStr">
        <is>
          <t>Yes</t>
        </is>
      </c>
    </row>
    <row r="1754" ht="15" customHeight="1" s="37">
      <c r="A1754" s="42" t="inlineStr">
        <is>
          <t>game of spades bid</t>
        </is>
      </c>
      <c r="B1754" s="42" t="inlineStr">
        <is>
          <t>game of spades bid review</t>
        </is>
      </c>
      <c r="C1754" s="42" t="inlineStr">
        <is>
          <t>Yes</t>
        </is>
      </c>
    </row>
    <row r="1755" ht="15" customHeight="1" s="37">
      <c r="A1755" s="42" t="inlineStr">
        <is>
          <t>game of spades bid</t>
        </is>
      </c>
      <c r="B1755" s="42" t="inlineStr">
        <is>
          <t>game of spades bid parfum</t>
        </is>
      </c>
      <c r="C1755" s="42" t="inlineStr">
        <is>
          <t>Yes</t>
        </is>
      </c>
    </row>
    <row r="1756" ht="15" customHeight="1" s="37">
      <c r="A1756" s="42" t="inlineStr">
        <is>
          <t>game of spades bid</t>
        </is>
      </c>
      <c r="B1756" s="42" t="inlineStr">
        <is>
          <t>game of spades bid reddit</t>
        </is>
      </c>
      <c r="C1756" s="42" t="n"/>
    </row>
    <row r="1757" ht="15" customHeight="1" s="37">
      <c r="A1757" s="42" t="inlineStr">
        <is>
          <t>game of spades bid</t>
        </is>
      </c>
      <c r="B1757" s="42" t="inlineStr">
        <is>
          <t>game of spades bid jo milano</t>
        </is>
      </c>
      <c r="C1757" s="42" t="n"/>
    </row>
    <row r="1758" ht="15" customHeight="1" s="37">
      <c r="A1758" s="42" t="inlineStr">
        <is>
          <t>game of spades bid</t>
        </is>
      </c>
      <c r="B1758" s="42" t="inlineStr">
        <is>
          <t>game of spades bid fragrantica</t>
        </is>
      </c>
      <c r="C1758" s="42" t="n"/>
    </row>
    <row r="1759" ht="15" customHeight="1" s="37">
      <c r="A1759" s="42" t="inlineStr">
        <is>
          <t>game of spades blind-bid</t>
        </is>
      </c>
      <c r="B1759" s="42" t="inlineStr">
        <is>
          <t>game of spades blind-bid</t>
        </is>
      </c>
      <c r="C1759" s="42" t="inlineStr">
        <is>
          <t>Yes</t>
        </is>
      </c>
    </row>
    <row r="1760" ht="15" customHeight="1" s="37">
      <c r="A1760" s="42" t="inlineStr">
        <is>
          <t>game of spades blind-bid</t>
        </is>
      </c>
      <c r="B1760" s="42" t="inlineStr">
        <is>
          <t>game of spades blind bid dupe</t>
        </is>
      </c>
      <c r="C1760" s="42" t="inlineStr">
        <is>
          <t>Yes</t>
        </is>
      </c>
    </row>
    <row r="1761" ht="15" customHeight="1" s="37">
      <c r="A1761" s="42" t="inlineStr">
        <is>
          <t>game of spades blind-bid</t>
        </is>
      </c>
      <c r="B1761" s="42" t="inlineStr">
        <is>
          <t>game of spades blind bid notes</t>
        </is>
      </c>
      <c r="C1761" s="42" t="inlineStr">
        <is>
          <t>Yes</t>
        </is>
      </c>
    </row>
    <row r="1762" ht="15" customHeight="1" s="37">
      <c r="A1762" s="42" t="inlineStr">
        <is>
          <t>game of spades blind-bid</t>
        </is>
      </c>
      <c r="B1762" s="42" t="inlineStr">
        <is>
          <t>game of spades blind bid review</t>
        </is>
      </c>
      <c r="C1762" s="42" t="inlineStr">
        <is>
          <t>Yes</t>
        </is>
      </c>
    </row>
    <row r="1763" ht="15" customHeight="1" s="37">
      <c r="A1763" s="42" t="inlineStr">
        <is>
          <t>game of spades blind-bid</t>
        </is>
      </c>
      <c r="B1763" s="42" t="inlineStr">
        <is>
          <t>game of spades blind bid inspiration</t>
        </is>
      </c>
      <c r="C1763" s="42" t="n"/>
    </row>
    <row r="1764" ht="15" customHeight="1" s="37">
      <c r="A1764" s="42" t="inlineStr">
        <is>
          <t>game of spades blind-bid</t>
        </is>
      </c>
      <c r="B1764" s="42" t="inlineStr">
        <is>
          <t>game of spades blind bid smells like</t>
        </is>
      </c>
      <c r="C1764" s="42" t="inlineStr">
        <is>
          <t>Yes</t>
        </is>
      </c>
    </row>
    <row r="1765" ht="15" customHeight="1" s="37">
      <c r="A1765" s="42" t="inlineStr">
        <is>
          <t>game of spades blind-bid</t>
        </is>
      </c>
      <c r="B1765" s="42" t="inlineStr">
        <is>
          <t>game of spades blind bid jo milano</t>
        </is>
      </c>
      <c r="C1765" s="42" t="n"/>
    </row>
    <row r="1766" ht="15" customHeight="1" s="37">
      <c r="A1766" s="42" t="inlineStr">
        <is>
          <t>game of spades blind-bid</t>
        </is>
      </c>
      <c r="B1766" s="42" t="inlineStr">
        <is>
          <t>game of spades blind bid reddit</t>
        </is>
      </c>
      <c r="C1766" s="42" t="n"/>
    </row>
    <row r="1767" ht="15" customHeight="1" s="37">
      <c r="A1767" s="42" t="inlineStr">
        <is>
          <t>game of spades blind-bid</t>
        </is>
      </c>
      <c r="B1767" s="42" t="inlineStr">
        <is>
          <t>game of spades blind bid men or women</t>
        </is>
      </c>
      <c r="C1767" s="42" t="n"/>
    </row>
    <row r="1768" ht="15" customHeight="1" s="37">
      <c r="A1768" s="42" t="inlineStr">
        <is>
          <t>game of spades blind-bid</t>
        </is>
      </c>
      <c r="B1768" s="42" t="inlineStr">
        <is>
          <t>game of spades blind bid perfume review</t>
        </is>
      </c>
      <c r="C1768" s="42" t="inlineStr">
        <is>
          <t>Yes</t>
        </is>
      </c>
    </row>
    <row r="1769" ht="15" customHeight="1" s="37">
      <c r="A1769" s="42" t="inlineStr">
        <is>
          <t>game of spades boston</t>
        </is>
      </c>
      <c r="B1769" s="42" t="inlineStr">
        <is>
          <t>game of spades boston</t>
        </is>
      </c>
      <c r="C1769" s="42" t="inlineStr">
        <is>
          <t>Yes</t>
        </is>
      </c>
    </row>
    <row r="1770" ht="15" customHeight="1" s="37">
      <c r="A1770" s="42" t="inlineStr">
        <is>
          <t>game of spades boston</t>
        </is>
      </c>
      <c r="B1770" s="42" t="inlineStr">
        <is>
          <t>game of spades boston dupe of</t>
        </is>
      </c>
      <c r="C1770" s="42" t="inlineStr">
        <is>
          <t>Yes</t>
        </is>
      </c>
    </row>
    <row r="1771" ht="15" customHeight="1" s="37">
      <c r="A1771" s="42" t="inlineStr">
        <is>
          <t>game of spades boston</t>
        </is>
      </c>
      <c r="B1771" s="42" t="inlineStr">
        <is>
          <t>game of spades boston cologne</t>
        </is>
      </c>
      <c r="C1771" s="42" t="n"/>
    </row>
    <row r="1772" ht="15" customHeight="1" s="37">
      <c r="A1772" s="42" t="inlineStr">
        <is>
          <t>game of spades boston</t>
        </is>
      </c>
      <c r="B1772" s="42" t="inlineStr">
        <is>
          <t>game of spades boston notes</t>
        </is>
      </c>
      <c r="C1772" s="42" t="inlineStr">
        <is>
          <t>Yes</t>
        </is>
      </c>
    </row>
    <row r="1773" ht="15" customHeight="1" s="37">
      <c r="A1773" s="42" t="inlineStr">
        <is>
          <t>game of spades boston</t>
        </is>
      </c>
      <c r="B1773" s="42" t="inlineStr">
        <is>
          <t>game of spades boston clone of</t>
        </is>
      </c>
      <c r="C1773" s="42" t="n"/>
    </row>
    <row r="1774" ht="15" customHeight="1" s="37">
      <c r="A1774" s="42" t="inlineStr">
        <is>
          <t>game of spades boston</t>
        </is>
      </c>
      <c r="B1774" s="42" t="inlineStr">
        <is>
          <t>game of spades boston review</t>
        </is>
      </c>
      <c r="C1774" s="42" t="inlineStr">
        <is>
          <t>Yes</t>
        </is>
      </c>
    </row>
    <row r="1775" ht="15" customHeight="1" s="37">
      <c r="A1775" s="42" t="inlineStr">
        <is>
          <t>game of spades boston</t>
        </is>
      </c>
      <c r="B1775" s="42" t="inlineStr">
        <is>
          <t>game of spades boston inspired by</t>
        </is>
      </c>
      <c r="C1775" s="42" t="n"/>
    </row>
    <row r="1776" ht="15" customHeight="1" s="37">
      <c r="A1776" s="42" t="inlineStr">
        <is>
          <t>game of spades boston</t>
        </is>
      </c>
      <c r="B1776" s="42" t="inlineStr">
        <is>
          <t>game of spades boston reddit</t>
        </is>
      </c>
      <c r="C1776" s="42" t="n"/>
    </row>
    <row r="1777" ht="15" customHeight="1" s="37">
      <c r="A1777" s="42" t="inlineStr">
        <is>
          <t>game of spades boston</t>
        </is>
      </c>
      <c r="B1777" s="42" t="inlineStr">
        <is>
          <t>game of spades boston perfume</t>
        </is>
      </c>
      <c r="C1777" s="42" t="inlineStr">
        <is>
          <t>Yes</t>
        </is>
      </c>
    </row>
    <row r="1778" ht="15" customHeight="1" s="37">
      <c r="A1778" s="42" t="inlineStr">
        <is>
          <t>game of spades boston</t>
        </is>
      </c>
      <c r="B1778" s="42" t="inlineStr">
        <is>
          <t>game of spades boston longevity</t>
        </is>
      </c>
      <c r="C1778" s="42" t="n"/>
    </row>
    <row r="1779" ht="15" customHeight="1" s="37">
      <c r="A1779" s="42" t="inlineStr">
        <is>
          <t>game of spades diamond</t>
        </is>
      </c>
      <c r="B1779" s="42" t="inlineStr">
        <is>
          <t>game of spades diamond</t>
        </is>
      </c>
      <c r="C1779" s="42" t="inlineStr">
        <is>
          <t>Yes</t>
        </is>
      </c>
    </row>
    <row r="1780" ht="15" customHeight="1" s="37">
      <c r="A1780" s="42" t="inlineStr">
        <is>
          <t>game of spades diamond</t>
        </is>
      </c>
      <c r="B1780" s="42" t="inlineStr">
        <is>
          <t>game of spades diamond dupe of</t>
        </is>
      </c>
      <c r="C1780" s="42" t="inlineStr">
        <is>
          <t>Yes</t>
        </is>
      </c>
    </row>
    <row r="1781" ht="15" customHeight="1" s="37">
      <c r="A1781" s="42" t="inlineStr">
        <is>
          <t>game of spades diamond</t>
        </is>
      </c>
      <c r="B1781" s="42" t="inlineStr">
        <is>
          <t>game of spades diamond cologne</t>
        </is>
      </c>
      <c r="C1781" s="42" t="n"/>
    </row>
    <row r="1782" ht="15" customHeight="1" s="37">
      <c r="A1782" s="42" t="inlineStr">
        <is>
          <t>game of spades diamond</t>
        </is>
      </c>
      <c r="B1782" s="42" t="inlineStr">
        <is>
          <t>game of spades diamond notes</t>
        </is>
      </c>
      <c r="C1782" s="42" t="inlineStr">
        <is>
          <t>Yes</t>
        </is>
      </c>
    </row>
    <row r="1783" ht="15" customHeight="1" s="37">
      <c r="A1783" s="42" t="inlineStr">
        <is>
          <t>game of spades diamond</t>
        </is>
      </c>
      <c r="B1783" s="42" t="inlineStr">
        <is>
          <t>game of spades diamond clone of</t>
        </is>
      </c>
      <c r="C1783" s="42" t="n"/>
    </row>
    <row r="1784" ht="15" customHeight="1" s="37">
      <c r="A1784" s="42" t="inlineStr">
        <is>
          <t>game of spades diamond</t>
        </is>
      </c>
      <c r="B1784" s="42" t="inlineStr">
        <is>
          <t>game of spades diamond perfume</t>
        </is>
      </c>
      <c r="C1784" s="42" t="inlineStr">
        <is>
          <t>Yes</t>
        </is>
      </c>
    </row>
    <row r="1785" ht="15" customHeight="1" s="37">
      <c r="A1785" s="42" t="inlineStr">
        <is>
          <t>game of spades diamond</t>
        </is>
      </c>
      <c r="B1785" s="42" t="inlineStr">
        <is>
          <t>game of spades diamond review</t>
        </is>
      </c>
      <c r="C1785" s="42" t="inlineStr">
        <is>
          <t>Yes</t>
        </is>
      </c>
    </row>
    <row r="1786" ht="15" customHeight="1" s="37">
      <c r="A1786" s="42" t="inlineStr">
        <is>
          <t>game of spades diamond</t>
        </is>
      </c>
      <c r="B1786" s="42" t="inlineStr">
        <is>
          <t>game of spades diamond jo milano paris</t>
        </is>
      </c>
      <c r="C1786" s="42" t="n"/>
    </row>
    <row r="1787" ht="15" customHeight="1" s="37">
      <c r="A1787" s="42" t="inlineStr">
        <is>
          <t>game of spades diamond</t>
        </is>
      </c>
      <c r="B1787" s="42" t="inlineStr">
        <is>
          <t>game of spades diamond 30ml</t>
        </is>
      </c>
      <c r="C1787" s="42" t="inlineStr">
        <is>
          <t>Yes</t>
        </is>
      </c>
    </row>
    <row r="1788" ht="15" customHeight="1" s="37">
      <c r="A1788" s="42" t="inlineStr">
        <is>
          <t>game of spades diamond</t>
        </is>
      </c>
      <c r="B1788" s="42" t="inlineStr">
        <is>
          <t>game of spades diamond collection</t>
        </is>
      </c>
      <c r="C1788" s="42" t="n"/>
    </row>
    <row r="1789" ht="15" customHeight="1" s="37">
      <c r="A1789" s="42" t="inlineStr">
        <is>
          <t>game of spades full house</t>
        </is>
      </c>
      <c r="B1789" s="42" t="inlineStr">
        <is>
          <t>game of spades full house</t>
        </is>
      </c>
      <c r="C1789" s="42" t="inlineStr">
        <is>
          <t>Yes</t>
        </is>
      </c>
    </row>
    <row r="1790" ht="15" customHeight="1" s="37">
      <c r="A1790" s="42" t="inlineStr">
        <is>
          <t>game of spades full house</t>
        </is>
      </c>
      <c r="B1790" s="42" t="inlineStr">
        <is>
          <t>game of spades full house refresh</t>
        </is>
      </c>
      <c r="C1790" s="42" t="n"/>
    </row>
    <row r="1791" ht="15" customHeight="1" s="37">
      <c r="A1791" s="42" t="inlineStr">
        <is>
          <t>game of spades full house</t>
        </is>
      </c>
      <c r="B1791" s="42" t="inlineStr">
        <is>
          <t>game of spades full house dupe</t>
        </is>
      </c>
      <c r="C1791" s="42" t="inlineStr">
        <is>
          <t>Yes</t>
        </is>
      </c>
    </row>
    <row r="1792" ht="15" customHeight="1" s="37">
      <c r="A1792" s="42" t="inlineStr">
        <is>
          <t>game of spades full house</t>
        </is>
      </c>
      <c r="B1792" s="42" t="inlineStr">
        <is>
          <t>game of spades full house notes</t>
        </is>
      </c>
      <c r="C1792" s="42" t="inlineStr">
        <is>
          <t>Yes</t>
        </is>
      </c>
    </row>
    <row r="1793" ht="15" customHeight="1" s="37">
      <c r="A1793" s="42" t="inlineStr">
        <is>
          <t>game of spades full house</t>
        </is>
      </c>
      <c r="B1793" s="42" t="inlineStr">
        <is>
          <t>game of spades full house perfume</t>
        </is>
      </c>
      <c r="C1793" s="42" t="inlineStr">
        <is>
          <t>Yes</t>
        </is>
      </c>
    </row>
    <row r="1794" ht="15" customHeight="1" s="37">
      <c r="A1794" s="42" t="inlineStr">
        <is>
          <t>game of spades full house</t>
        </is>
      </c>
      <c r="B1794" s="42" t="inlineStr">
        <is>
          <t>game of spades full house refresh dupe of</t>
        </is>
      </c>
      <c r="C1794" s="42" t="n"/>
    </row>
    <row r="1795" ht="15" customHeight="1" s="37">
      <c r="A1795" s="42" t="inlineStr">
        <is>
          <t>game of spades full house</t>
        </is>
      </c>
      <c r="B1795" s="42" t="inlineStr">
        <is>
          <t>game of spades full house cologne</t>
        </is>
      </c>
      <c r="C1795" s="42" t="n"/>
    </row>
    <row r="1796" ht="15" customHeight="1" s="37">
      <c r="A1796" s="42" t="inlineStr">
        <is>
          <t>game of spades full house</t>
        </is>
      </c>
      <c r="B1796" s="42" t="inlineStr">
        <is>
          <t>game of spades full house price</t>
        </is>
      </c>
      <c r="C1796" s="42" t="inlineStr">
        <is>
          <t>Yes</t>
        </is>
      </c>
    </row>
    <row r="1797" ht="15" customHeight="1" s="37">
      <c r="A1797" s="42" t="inlineStr">
        <is>
          <t>game of spades full house</t>
        </is>
      </c>
      <c r="B1797" s="42" t="inlineStr">
        <is>
          <t>game of spades full house longevity</t>
        </is>
      </c>
      <c r="C1797" s="42" t="n"/>
    </row>
    <row r="1798" ht="15" customHeight="1" s="37">
      <c r="A1798" s="42" t="inlineStr">
        <is>
          <t>game of spades full house</t>
        </is>
      </c>
      <c r="B1798" s="42" t="inlineStr">
        <is>
          <t>game of spades full house review</t>
        </is>
      </c>
      <c r="C1798" s="42" t="inlineStr">
        <is>
          <t>Yes</t>
        </is>
      </c>
    </row>
    <row r="1799" ht="15" customHeight="1" s="37">
      <c r="A1799" s="42" t="inlineStr">
        <is>
          <t>game of spades high roller</t>
        </is>
      </c>
      <c r="B1799" s="42" t="inlineStr">
        <is>
          <t>game of spades high roller</t>
        </is>
      </c>
      <c r="C1799" s="42" t="inlineStr">
        <is>
          <t>Yes</t>
        </is>
      </c>
    </row>
    <row r="1800" ht="15" customHeight="1" s="37">
      <c r="A1800" s="42" t="inlineStr">
        <is>
          <t>game of spades high roller</t>
        </is>
      </c>
      <c r="B1800" s="42" t="inlineStr">
        <is>
          <t>game of spades high roller dupe of</t>
        </is>
      </c>
      <c r="C1800" s="42" t="inlineStr">
        <is>
          <t>Yes</t>
        </is>
      </c>
    </row>
    <row r="1801" ht="15" customHeight="1" s="37">
      <c r="A1801" s="42" t="inlineStr">
        <is>
          <t>game of spades high roller</t>
        </is>
      </c>
      <c r="B1801" s="42" t="inlineStr">
        <is>
          <t>game of spades high roller notes</t>
        </is>
      </c>
      <c r="C1801" s="42" t="inlineStr">
        <is>
          <t>Yes</t>
        </is>
      </c>
    </row>
    <row r="1802" ht="15" customHeight="1" s="37">
      <c r="A1802" s="42" t="inlineStr">
        <is>
          <t>game of spades high roller</t>
        </is>
      </c>
      <c r="B1802" s="42" t="inlineStr">
        <is>
          <t>game of spades high roller review</t>
        </is>
      </c>
      <c r="C1802" s="42" t="inlineStr">
        <is>
          <t>Yes</t>
        </is>
      </c>
    </row>
    <row r="1803" ht="15" customHeight="1" s="37">
      <c r="A1803" s="42" t="inlineStr">
        <is>
          <t>game of spades high roller</t>
        </is>
      </c>
      <c r="B1803" s="42" t="inlineStr">
        <is>
          <t>game of spades high roller longevity</t>
        </is>
      </c>
      <c r="C1803" s="42" t="n"/>
    </row>
    <row r="1804" ht="15" customHeight="1" s="37">
      <c r="A1804" s="42" t="inlineStr">
        <is>
          <t>game of spades high roller</t>
        </is>
      </c>
      <c r="B1804" s="42" t="inlineStr">
        <is>
          <t>game of spades high roller reddit</t>
        </is>
      </c>
      <c r="C1804" s="42" t="n"/>
    </row>
    <row r="1805" ht="15" customHeight="1" s="37">
      <c r="A1805" s="42" t="inlineStr">
        <is>
          <t>game of spades high roller</t>
        </is>
      </c>
      <c r="B1805" s="42" t="inlineStr">
        <is>
          <t>game of spades high roller vs afnan supremacy</t>
        </is>
      </c>
      <c r="C1805" s="42" t="n"/>
    </row>
    <row r="1806" ht="15" customHeight="1" s="37">
      <c r="A1806" s="42" t="inlineStr">
        <is>
          <t>game of spades high roller</t>
        </is>
      </c>
      <c r="B1806" s="42" t="inlineStr">
        <is>
          <t>game of spades high roller fragrantica</t>
        </is>
      </c>
      <c r="C1806" s="42" t="n"/>
    </row>
    <row r="1807" ht="15" customHeight="1" s="37">
      <c r="A1807" s="42" t="inlineStr">
        <is>
          <t>game of spades high roller</t>
        </is>
      </c>
      <c r="B1807" s="42" t="inlineStr">
        <is>
          <t>game of spades high roller cologne</t>
        </is>
      </c>
      <c r="C1807" s="42" t="n"/>
    </row>
    <row r="1808" ht="15" customHeight="1" s="37">
      <c r="A1808" s="42" t="inlineStr">
        <is>
          <t>game of spades high roller</t>
        </is>
      </c>
      <c r="B1808" s="42" t="inlineStr">
        <is>
          <t>game of spades high roller inspired by</t>
        </is>
      </c>
      <c r="C1808" s="42" t="n"/>
    </row>
    <row r="1809" ht="15" customHeight="1" s="37">
      <c r="A1809" s="42" t="inlineStr">
        <is>
          <t>game of spades jackpot</t>
        </is>
      </c>
      <c r="B1809" s="42" t="inlineStr">
        <is>
          <t>game of spades jackpot dupe of</t>
        </is>
      </c>
      <c r="C1809" s="42" t="inlineStr">
        <is>
          <t>Yes</t>
        </is>
      </c>
    </row>
    <row r="1810" ht="15" customHeight="1" s="37">
      <c r="A1810" s="42" t="inlineStr">
        <is>
          <t>game of spades jackpot</t>
        </is>
      </c>
      <c r="B1810" s="42" t="inlineStr">
        <is>
          <t>game of spades jackpot</t>
        </is>
      </c>
      <c r="C1810" s="42" t="inlineStr">
        <is>
          <t>Yes</t>
        </is>
      </c>
    </row>
    <row r="1811" ht="15" customHeight="1" s="37">
      <c r="A1811" s="42" t="inlineStr">
        <is>
          <t>game of spades jackpot</t>
        </is>
      </c>
      <c r="B1811" s="42" t="inlineStr">
        <is>
          <t>game of spades jackpot cologne</t>
        </is>
      </c>
      <c r="C1811" s="42" t="n"/>
    </row>
    <row r="1812" ht="15" customHeight="1" s="37">
      <c r="A1812" s="42" t="inlineStr">
        <is>
          <t>game of spades jackpot</t>
        </is>
      </c>
      <c r="B1812" s="42" t="inlineStr">
        <is>
          <t>game of spades jackpot notes</t>
        </is>
      </c>
      <c r="C1812" s="42" t="inlineStr">
        <is>
          <t>Yes</t>
        </is>
      </c>
    </row>
    <row r="1813" ht="15" customHeight="1" s="37">
      <c r="A1813" s="42" t="inlineStr">
        <is>
          <t>game of spades jackpot</t>
        </is>
      </c>
      <c r="B1813" s="42" t="inlineStr">
        <is>
          <t>game of spades jackpot clone of</t>
        </is>
      </c>
      <c r="C1813" s="42" t="n"/>
    </row>
    <row r="1814" ht="15" customHeight="1" s="37">
      <c r="A1814" s="42" t="inlineStr">
        <is>
          <t>game of spades jackpot</t>
        </is>
      </c>
      <c r="B1814" s="42" t="inlineStr">
        <is>
          <t>game of spades jackpot review</t>
        </is>
      </c>
      <c r="C1814" s="42" t="inlineStr">
        <is>
          <t>Yes</t>
        </is>
      </c>
    </row>
    <row r="1815" ht="15" customHeight="1" s="37">
      <c r="A1815" s="42" t="inlineStr">
        <is>
          <t>game of spades jackpot</t>
        </is>
      </c>
      <c r="B1815" s="42" t="inlineStr">
        <is>
          <t>game of spades jackpot inspired by</t>
        </is>
      </c>
      <c r="C1815" s="42" t="n"/>
    </row>
    <row r="1816" ht="15" customHeight="1" s="37">
      <c r="A1816" s="42" t="inlineStr">
        <is>
          <t>game of spades jackpot</t>
        </is>
      </c>
      <c r="B1816" s="42" t="inlineStr">
        <is>
          <t>game of spades jackpot vs king</t>
        </is>
      </c>
      <c r="C1816" s="42" t="n"/>
    </row>
    <row r="1817" ht="15" customHeight="1" s="37">
      <c r="A1817" s="42" t="inlineStr">
        <is>
          <t>game of spades jackpot</t>
        </is>
      </c>
      <c r="B1817" s="42" t="inlineStr">
        <is>
          <t>game of spades jackpot reddit</t>
        </is>
      </c>
      <c r="C1817" s="42" t="n"/>
    </row>
    <row r="1818" ht="15" customHeight="1" s="37">
      <c r="A1818" s="42" t="inlineStr">
        <is>
          <t>game of spades jackpot</t>
        </is>
      </c>
      <c r="B1818" s="42" t="inlineStr">
        <is>
          <t>game of spades jackpot prize</t>
        </is>
      </c>
      <c r="C1818" s="42" t="n"/>
    </row>
    <row r="1819" ht="15" customHeight="1" s="37">
      <c r="A1819" s="42" t="inlineStr">
        <is>
          <t>game of spades king</t>
        </is>
      </c>
      <c r="B1819" s="42" t="inlineStr">
        <is>
          <t>game of spades king</t>
        </is>
      </c>
      <c r="C1819" s="42" t="inlineStr">
        <is>
          <t>Yes</t>
        </is>
      </c>
    </row>
    <row r="1820" ht="15" customHeight="1" s="37">
      <c r="A1820" s="42" t="inlineStr">
        <is>
          <t>game of spades king</t>
        </is>
      </c>
      <c r="B1820" s="42" t="inlineStr">
        <is>
          <t>game of spades king dupe of</t>
        </is>
      </c>
      <c r="C1820" s="42" t="inlineStr">
        <is>
          <t>Yes</t>
        </is>
      </c>
    </row>
    <row r="1821" ht="15" customHeight="1" s="37">
      <c r="A1821" s="42" t="inlineStr">
        <is>
          <t>game of spades king</t>
        </is>
      </c>
      <c r="B1821" s="42" t="inlineStr">
        <is>
          <t>game of spades king cologne</t>
        </is>
      </c>
      <c r="C1821" s="42" t="n"/>
    </row>
    <row r="1822" ht="15" customHeight="1" s="37">
      <c r="A1822" s="42" t="inlineStr">
        <is>
          <t>game of spades king</t>
        </is>
      </c>
      <c r="B1822" s="42" t="inlineStr">
        <is>
          <t>game of spades king notes</t>
        </is>
      </c>
      <c r="C1822" s="42" t="inlineStr">
        <is>
          <t>Yes</t>
        </is>
      </c>
    </row>
    <row r="1823" ht="15" customHeight="1" s="37">
      <c r="A1823" s="42" t="inlineStr">
        <is>
          <t>game of spades king</t>
        </is>
      </c>
      <c r="B1823" s="42" t="inlineStr">
        <is>
          <t>game of spades king perfume</t>
        </is>
      </c>
      <c r="C1823" s="42" t="inlineStr">
        <is>
          <t>Yes</t>
        </is>
      </c>
    </row>
    <row r="1824" ht="15" customHeight="1" s="37">
      <c r="A1824" s="42" t="inlineStr">
        <is>
          <t>game of spades king</t>
        </is>
      </c>
      <c r="B1824" s="42" t="inlineStr">
        <is>
          <t>game of spades king clone of</t>
        </is>
      </c>
      <c r="C1824" s="42" t="n"/>
    </row>
    <row r="1825" ht="15" customHeight="1" s="37">
      <c r="A1825" s="42" t="inlineStr">
        <is>
          <t>game of spades king</t>
        </is>
      </c>
      <c r="B1825" s="42" t="inlineStr">
        <is>
          <t>game of spades king review</t>
        </is>
      </c>
      <c r="C1825" s="42" t="inlineStr">
        <is>
          <t>Yes</t>
        </is>
      </c>
    </row>
    <row r="1826" ht="15" customHeight="1" s="37">
      <c r="A1826" s="42" t="inlineStr">
        <is>
          <t>game of spades king</t>
        </is>
      </c>
      <c r="B1826" s="42" t="inlineStr">
        <is>
          <t>game of spades king inspired by</t>
        </is>
      </c>
      <c r="C1826" s="42" t="n"/>
    </row>
    <row r="1827" ht="15" customHeight="1" s="37">
      <c r="A1827" s="42" t="inlineStr">
        <is>
          <t>game of spades king</t>
        </is>
      </c>
      <c r="B1827" s="42" t="inlineStr">
        <is>
          <t>game of spades king 30ml</t>
        </is>
      </c>
      <c r="C1827" s="42" t="inlineStr">
        <is>
          <t>Yes</t>
        </is>
      </c>
    </row>
    <row r="1828" ht="15" customHeight="1" s="37">
      <c r="A1828" s="42" t="inlineStr">
        <is>
          <t>game of spades king</t>
        </is>
      </c>
      <c r="B1828" s="42" t="inlineStr">
        <is>
          <t>game of spades king price</t>
        </is>
      </c>
      <c r="C1828" s="42" t="inlineStr">
        <is>
          <t>Yes</t>
        </is>
      </c>
    </row>
    <row r="1829" ht="15" customHeight="1" s="37">
      <c r="A1829" s="42" t="inlineStr">
        <is>
          <t>game of spades moon</t>
        </is>
      </c>
      <c r="B1829" s="42" t="inlineStr">
        <is>
          <t>game of spades moon</t>
        </is>
      </c>
      <c r="C1829" s="42" t="inlineStr">
        <is>
          <t>Yes</t>
        </is>
      </c>
    </row>
    <row r="1830" ht="15" customHeight="1" s="37">
      <c r="A1830" s="42" t="inlineStr">
        <is>
          <t>game of spades moon</t>
        </is>
      </c>
      <c r="B1830" s="42" t="inlineStr">
        <is>
          <t>game of spades moon dupe of</t>
        </is>
      </c>
      <c r="C1830" s="42" t="inlineStr">
        <is>
          <t>Yes</t>
        </is>
      </c>
    </row>
    <row r="1831" ht="15" customHeight="1" s="37">
      <c r="A1831" s="42" t="inlineStr">
        <is>
          <t>game of spades moon</t>
        </is>
      </c>
      <c r="B1831" s="42" t="inlineStr">
        <is>
          <t>game of spades moon clone of</t>
        </is>
      </c>
      <c r="C1831" s="42" t="n"/>
    </row>
    <row r="1832" ht="15" customHeight="1" s="37">
      <c r="A1832" s="42" t="inlineStr">
        <is>
          <t>game of spades moon</t>
        </is>
      </c>
      <c r="B1832" s="42" t="inlineStr">
        <is>
          <t>game of spades moon notes</t>
        </is>
      </c>
      <c r="C1832" s="42" t="inlineStr">
        <is>
          <t>Yes</t>
        </is>
      </c>
    </row>
    <row r="1833" ht="15" customHeight="1" s="37">
      <c r="A1833" s="42" t="inlineStr">
        <is>
          <t>game of spades moon</t>
        </is>
      </c>
      <c r="B1833" s="42" t="inlineStr">
        <is>
          <t>game of spades moon cologne</t>
        </is>
      </c>
      <c r="C1833" s="42" t="n"/>
    </row>
    <row r="1834" ht="15" customHeight="1" s="37">
      <c r="A1834" s="42" t="inlineStr">
        <is>
          <t>game of spades moon</t>
        </is>
      </c>
      <c r="B1834" s="42" t="inlineStr">
        <is>
          <t>game of spades moon perfume</t>
        </is>
      </c>
      <c r="C1834" s="42" t="inlineStr">
        <is>
          <t>Yes</t>
        </is>
      </c>
    </row>
    <row r="1835" ht="15" customHeight="1" s="37">
      <c r="A1835" s="42" t="inlineStr">
        <is>
          <t>game of spades moon</t>
        </is>
      </c>
      <c r="B1835" s="42" t="inlineStr">
        <is>
          <t>game of spades moon review</t>
        </is>
      </c>
      <c r="C1835" s="42" t="inlineStr">
        <is>
          <t>Yes</t>
        </is>
      </c>
    </row>
    <row r="1836" ht="15" customHeight="1" s="37">
      <c r="A1836" s="42" t="inlineStr">
        <is>
          <t>game of spades moon</t>
        </is>
      </c>
      <c r="B1836" s="42" t="inlineStr">
        <is>
          <t>game of spades moon price</t>
        </is>
      </c>
      <c r="C1836" s="42" t="inlineStr">
        <is>
          <t>Yes</t>
        </is>
      </c>
    </row>
    <row r="1837" ht="15" customHeight="1" s="37">
      <c r="A1837" s="42" t="inlineStr">
        <is>
          <t>game of spades moon</t>
        </is>
      </c>
      <c r="B1837" s="42" t="inlineStr">
        <is>
          <t>game of spades moon fragrantica</t>
        </is>
      </c>
      <c r="C1837" s="42" t="n"/>
    </row>
    <row r="1838" ht="15" customHeight="1" s="37">
      <c r="A1838" s="42" t="inlineStr">
        <is>
          <t>game of spades moon</t>
        </is>
      </c>
      <c r="B1838" s="42" t="inlineStr">
        <is>
          <t>game of spades moon reddit</t>
        </is>
      </c>
      <c r="C1838" s="42" t="n"/>
    </row>
    <row r="1839" ht="15" customHeight="1" s="37">
      <c r="A1839" s="42" t="inlineStr">
        <is>
          <t>game of spades opal</t>
        </is>
      </c>
      <c r="B1839" s="42" t="inlineStr">
        <is>
          <t>game of spades opal</t>
        </is>
      </c>
      <c r="C1839" s="42" t="inlineStr">
        <is>
          <t>Yes</t>
        </is>
      </c>
    </row>
    <row r="1840" ht="15" customHeight="1" s="37">
      <c r="A1840" s="42" t="inlineStr">
        <is>
          <t>game of spades opal</t>
        </is>
      </c>
      <c r="B1840" s="42" t="inlineStr">
        <is>
          <t>game of spades opal dupe of</t>
        </is>
      </c>
      <c r="C1840" s="42" t="inlineStr">
        <is>
          <t>Yes</t>
        </is>
      </c>
    </row>
    <row r="1841" ht="15" customHeight="1" s="37">
      <c r="A1841" s="42" t="inlineStr">
        <is>
          <t>game of spades opal</t>
        </is>
      </c>
      <c r="B1841" s="42" t="inlineStr">
        <is>
          <t>game of spades opal notes</t>
        </is>
      </c>
      <c r="C1841" s="42" t="inlineStr">
        <is>
          <t>Yes</t>
        </is>
      </c>
    </row>
    <row r="1842" ht="15" customHeight="1" s="37">
      <c r="A1842" s="42" t="inlineStr">
        <is>
          <t>game of spades opal</t>
        </is>
      </c>
      <c r="B1842" s="42" t="inlineStr">
        <is>
          <t>game of spades opal review</t>
        </is>
      </c>
      <c r="C1842" s="42" t="inlineStr">
        <is>
          <t>Yes</t>
        </is>
      </c>
    </row>
    <row r="1843" ht="15" customHeight="1" s="37">
      <c r="A1843" s="42" t="inlineStr">
        <is>
          <t>game of spades opal</t>
        </is>
      </c>
      <c r="B1843" s="42" t="inlineStr">
        <is>
          <t>game of spades opal cologne</t>
        </is>
      </c>
      <c r="C1843" s="42" t="n"/>
    </row>
    <row r="1844" ht="15" customHeight="1" s="37">
      <c r="A1844" s="42" t="inlineStr">
        <is>
          <t>game of spades opal</t>
        </is>
      </c>
      <c r="B1844" s="42" t="inlineStr">
        <is>
          <t>game of spades opal inspired by</t>
        </is>
      </c>
      <c r="C1844" s="42" t="n"/>
    </row>
    <row r="1845" ht="15" customHeight="1" s="37">
      <c r="A1845" s="42" t="inlineStr">
        <is>
          <t>game of spades opal</t>
        </is>
      </c>
      <c r="B1845" s="42" t="inlineStr">
        <is>
          <t>game of spades opal clone of</t>
        </is>
      </c>
      <c r="C1845" s="42" t="n"/>
    </row>
    <row r="1846" ht="15" customHeight="1" s="37">
      <c r="A1846" s="42" t="inlineStr">
        <is>
          <t>game of spades opal</t>
        </is>
      </c>
      <c r="B1846" s="42" t="inlineStr">
        <is>
          <t>game of spades opal jo milano paris</t>
        </is>
      </c>
      <c r="C1846" s="42" t="n"/>
    </row>
    <row r="1847" ht="15" customHeight="1" s="37">
      <c r="A1847" s="42" t="inlineStr">
        <is>
          <t>game of spades opal</t>
        </is>
      </c>
      <c r="B1847" s="42" t="inlineStr">
        <is>
          <t>game of spades opal smells like</t>
        </is>
      </c>
      <c r="C1847" s="42" t="inlineStr">
        <is>
          <t>Yes</t>
        </is>
      </c>
    </row>
    <row r="1848" ht="15" customHeight="1" s="37">
      <c r="A1848" s="42" t="inlineStr">
        <is>
          <t>game of spades opal</t>
        </is>
      </c>
      <c r="B1848" s="42" t="inlineStr">
        <is>
          <t>game of spades opal by jo milano</t>
        </is>
      </c>
      <c r="C1848" s="42" t="n"/>
    </row>
    <row r="1849" ht="15" customHeight="1" s="37">
      <c r="A1849" s="42" t="inlineStr">
        <is>
          <t>game of spades rouge</t>
        </is>
      </c>
      <c r="B1849" s="42" t="inlineStr">
        <is>
          <t>game of spades rouge</t>
        </is>
      </c>
      <c r="C1849" s="42" t="inlineStr">
        <is>
          <t>Yes</t>
        </is>
      </c>
    </row>
    <row r="1850" ht="15" customHeight="1" s="37">
      <c r="A1850" s="42" t="inlineStr">
        <is>
          <t>game of spades rouge</t>
        </is>
      </c>
      <c r="B1850" s="42" t="inlineStr">
        <is>
          <t>game of spades rouge extrait</t>
        </is>
      </c>
      <c r="C1850" s="42" t="inlineStr">
        <is>
          <t>Yes</t>
        </is>
      </c>
    </row>
    <row r="1851" ht="15" customHeight="1" s="37">
      <c r="A1851" s="42" t="inlineStr">
        <is>
          <t>game of spades rouge</t>
        </is>
      </c>
      <c r="B1851" s="42" t="inlineStr">
        <is>
          <t>game of spades rouge dupe of</t>
        </is>
      </c>
      <c r="C1851" s="42" t="inlineStr">
        <is>
          <t>Yes</t>
        </is>
      </c>
    </row>
    <row r="1852" ht="15" customHeight="1" s="37">
      <c r="A1852" s="42" t="inlineStr">
        <is>
          <t>game of spades rouge</t>
        </is>
      </c>
      <c r="B1852" s="42" t="inlineStr">
        <is>
          <t>game of spades rouge extrait de parfum</t>
        </is>
      </c>
      <c r="C1852" s="42" t="inlineStr">
        <is>
          <t>Yes</t>
        </is>
      </c>
    </row>
    <row r="1853" ht="15" customHeight="1" s="37">
      <c r="A1853" s="42" t="inlineStr">
        <is>
          <t>game of spades rouge</t>
        </is>
      </c>
      <c r="B1853" s="42" t="inlineStr">
        <is>
          <t>game of spades rouge notes</t>
        </is>
      </c>
      <c r="C1853" s="42" t="inlineStr">
        <is>
          <t>Yes</t>
        </is>
      </c>
    </row>
    <row r="1854" ht="15" customHeight="1" s="37">
      <c r="A1854" s="42" t="inlineStr">
        <is>
          <t>game of spades rouge</t>
        </is>
      </c>
      <c r="B1854" s="42" t="inlineStr">
        <is>
          <t>game of spades rouge parfum</t>
        </is>
      </c>
      <c r="C1854" s="42" t="inlineStr">
        <is>
          <t>Yes</t>
        </is>
      </c>
    </row>
    <row r="1855" ht="15" customHeight="1" s="37">
      <c r="A1855" s="42" t="inlineStr">
        <is>
          <t>game of spades rouge</t>
        </is>
      </c>
      <c r="B1855" s="42" t="inlineStr">
        <is>
          <t>game of spades rouge review</t>
        </is>
      </c>
      <c r="C1855" s="42" t="inlineStr">
        <is>
          <t>Yes</t>
        </is>
      </c>
    </row>
    <row r="1856" ht="15" customHeight="1" s="37">
      <c r="A1856" s="42" t="inlineStr">
        <is>
          <t>game of spades rouge</t>
        </is>
      </c>
      <c r="B1856" s="42" t="inlineStr">
        <is>
          <t>game of spades rouge extrait notes</t>
        </is>
      </c>
      <c r="C1856" s="42" t="inlineStr">
        <is>
          <t>Yes</t>
        </is>
      </c>
    </row>
    <row r="1857" ht="15" customHeight="1" s="37">
      <c r="A1857" s="42" t="inlineStr">
        <is>
          <t>game of spades rouge</t>
        </is>
      </c>
      <c r="B1857" s="42" t="inlineStr">
        <is>
          <t>game of spades rouge vs rouge extrait</t>
        </is>
      </c>
      <c r="C1857" s="42" t="n"/>
    </row>
    <row r="1858" ht="15" customHeight="1" s="37">
      <c r="A1858" s="42" t="inlineStr">
        <is>
          <t>game of spades rouge</t>
        </is>
      </c>
      <c r="B1858" s="42" t="inlineStr">
        <is>
          <t>game of spades rouge extrait dupe of</t>
        </is>
      </c>
      <c r="C1858" s="42" t="inlineStr">
        <is>
          <t>Yes</t>
        </is>
      </c>
    </row>
    <row r="1859" ht="15" customHeight="1" s="37">
      <c r="A1859" s="42" t="inlineStr">
        <is>
          <t>game of spades rouge extrait</t>
        </is>
      </c>
      <c r="B1859" s="42" t="inlineStr">
        <is>
          <t>game of spades rouge extrait</t>
        </is>
      </c>
      <c r="C1859" s="42" t="inlineStr">
        <is>
          <t>Yes</t>
        </is>
      </c>
    </row>
    <row r="1860" ht="15" customHeight="1" s="37">
      <c r="A1860" s="42" t="inlineStr">
        <is>
          <t>game of spades rouge extrait</t>
        </is>
      </c>
      <c r="B1860" s="42" t="inlineStr">
        <is>
          <t>game of spades rouge extrait de parfum</t>
        </is>
      </c>
      <c r="C1860" s="42" t="inlineStr">
        <is>
          <t>Yes</t>
        </is>
      </c>
    </row>
    <row r="1861" ht="15" customHeight="1" s="37">
      <c r="A1861" s="42" t="inlineStr">
        <is>
          <t>game of spades rouge extrait</t>
        </is>
      </c>
      <c r="B1861" s="42" t="inlineStr">
        <is>
          <t>game of spades rouge extrait notes</t>
        </is>
      </c>
      <c r="C1861" s="42" t="inlineStr">
        <is>
          <t>Yes</t>
        </is>
      </c>
    </row>
    <row r="1862" ht="15" customHeight="1" s="37">
      <c r="A1862" s="42" t="inlineStr">
        <is>
          <t>game of spades rouge extrait</t>
        </is>
      </c>
      <c r="B1862" s="42" t="inlineStr">
        <is>
          <t>game of spades rouge extrait dupe of</t>
        </is>
      </c>
      <c r="C1862" s="42" t="inlineStr">
        <is>
          <t>Yes</t>
        </is>
      </c>
    </row>
    <row r="1863" ht="15" customHeight="1" s="37">
      <c r="A1863" s="42" t="inlineStr">
        <is>
          <t>game of spades rouge extrait</t>
        </is>
      </c>
      <c r="B1863" s="42" t="inlineStr">
        <is>
          <t>game of spades rouge extrait review</t>
        </is>
      </c>
      <c r="C1863" s="42" t="inlineStr">
        <is>
          <t>Yes</t>
        </is>
      </c>
    </row>
    <row r="1864" ht="15" customHeight="1" s="37">
      <c r="A1864" s="42" t="inlineStr">
        <is>
          <t>game of spades rouge extrait</t>
        </is>
      </c>
      <c r="B1864" s="42" t="inlineStr">
        <is>
          <t>game of spades rouge extrait reddit</t>
        </is>
      </c>
      <c r="C1864" s="42" t="n"/>
    </row>
    <row r="1865" ht="15" customHeight="1" s="37">
      <c r="A1865" s="42" t="inlineStr">
        <is>
          <t>game of spades rouge extrait</t>
        </is>
      </c>
      <c r="B1865" s="42" t="inlineStr">
        <is>
          <t>game of spades rouge extrait de parfum notes</t>
        </is>
      </c>
      <c r="C1865" s="42" t="inlineStr">
        <is>
          <t>Yes</t>
        </is>
      </c>
    </row>
    <row r="1866" ht="15" customHeight="1" s="37">
      <c r="A1866" s="42" t="inlineStr">
        <is>
          <t>game of spades rouge extrait</t>
        </is>
      </c>
      <c r="B1866" s="42" t="inlineStr">
        <is>
          <t>game of spades rouge extrait fragrantica</t>
        </is>
      </c>
      <c r="C1866" s="42" t="n"/>
    </row>
    <row r="1867" ht="15" customHeight="1" s="37">
      <c r="A1867" s="42" t="inlineStr">
        <is>
          <t>game of spades rouge extrait</t>
        </is>
      </c>
      <c r="B1867" s="42" t="inlineStr">
        <is>
          <t>game of spades rouge extrait longevity</t>
        </is>
      </c>
      <c r="C1867" s="42" t="n"/>
    </row>
    <row r="1868" ht="15" customHeight="1" s="37">
      <c r="A1868" s="42" t="inlineStr">
        <is>
          <t>game of spades rouge extrait</t>
        </is>
      </c>
      <c r="B1868" s="42" t="inlineStr">
        <is>
          <t>game of spades rouge extrait vs parfum</t>
        </is>
      </c>
      <c r="C1868" s="42" t="n"/>
    </row>
    <row r="1869" ht="15" customHeight="1" s="37">
      <c r="A1869" s="42" t="inlineStr">
        <is>
          <t>game of spades royale</t>
        </is>
      </c>
      <c r="B1869" s="42" t="inlineStr">
        <is>
          <t>game of spades royale</t>
        </is>
      </c>
      <c r="C1869" s="42" t="inlineStr">
        <is>
          <t>Yes</t>
        </is>
      </c>
    </row>
    <row r="1870" ht="15" customHeight="1" s="37">
      <c r="A1870" s="42" t="inlineStr">
        <is>
          <t>game of spades royale</t>
        </is>
      </c>
      <c r="B1870" s="42" t="inlineStr">
        <is>
          <t>game of spades royale dupe of</t>
        </is>
      </c>
      <c r="C1870" s="42" t="inlineStr">
        <is>
          <t>Yes</t>
        </is>
      </c>
    </row>
    <row r="1871" ht="15" customHeight="1" s="37">
      <c r="A1871" s="42" t="inlineStr">
        <is>
          <t>game of spades royale</t>
        </is>
      </c>
      <c r="B1871" s="42" t="inlineStr">
        <is>
          <t>game of spades royale cologne</t>
        </is>
      </c>
      <c r="C1871" s="42" t="n"/>
    </row>
    <row r="1872" ht="15" customHeight="1" s="37">
      <c r="A1872" s="42" t="inlineStr">
        <is>
          <t>game of spades royale</t>
        </is>
      </c>
      <c r="B1872" s="42" t="inlineStr">
        <is>
          <t>game of spades royale notes</t>
        </is>
      </c>
      <c r="C1872" s="42" t="inlineStr">
        <is>
          <t>Yes</t>
        </is>
      </c>
    </row>
    <row r="1873" ht="15" customHeight="1" s="37">
      <c r="A1873" s="42" t="inlineStr">
        <is>
          <t>game of spades royale</t>
        </is>
      </c>
      <c r="B1873" s="42" t="inlineStr">
        <is>
          <t>game of spades royale perfume</t>
        </is>
      </c>
      <c r="C1873" s="42" t="inlineStr">
        <is>
          <t>Yes</t>
        </is>
      </c>
    </row>
    <row r="1874" ht="15" customHeight="1" s="37">
      <c r="A1874" s="42" t="inlineStr">
        <is>
          <t>game of spades royale</t>
        </is>
      </c>
      <c r="B1874" s="42" t="inlineStr">
        <is>
          <t>game of spades royale inspired by</t>
        </is>
      </c>
      <c r="C1874" s="42" t="n"/>
    </row>
    <row r="1875" ht="15" customHeight="1" s="37">
      <c r="A1875" s="42" t="inlineStr">
        <is>
          <t>game of spades royale</t>
        </is>
      </c>
      <c r="B1875" s="42" t="inlineStr">
        <is>
          <t>game of spades royale clone of</t>
        </is>
      </c>
      <c r="C1875" s="42" t="n"/>
    </row>
    <row r="1876" ht="15" customHeight="1" s="37">
      <c r="A1876" s="42" t="inlineStr">
        <is>
          <t>game of spades royale</t>
        </is>
      </c>
      <c r="B1876" s="42" t="inlineStr">
        <is>
          <t>game of spades royale parfum</t>
        </is>
      </c>
      <c r="C1876" s="42" t="inlineStr">
        <is>
          <t>Yes</t>
        </is>
      </c>
    </row>
    <row r="1877" ht="15" customHeight="1" s="37">
      <c r="A1877" s="42" t="inlineStr">
        <is>
          <t>game of spades royale</t>
        </is>
      </c>
      <c r="B1877" s="42" t="inlineStr">
        <is>
          <t>game of spades royale review</t>
        </is>
      </c>
      <c r="C1877" s="42" t="inlineStr">
        <is>
          <t>Yes</t>
        </is>
      </c>
    </row>
    <row r="1878" ht="15" customHeight="1" s="37">
      <c r="A1878" s="42" t="inlineStr">
        <is>
          <t>game of spades royale</t>
        </is>
      </c>
      <c r="B1878" s="42" t="inlineStr">
        <is>
          <t>game of spades royale price</t>
        </is>
      </c>
      <c r="C1878" s="42" t="inlineStr">
        <is>
          <t>Yes</t>
        </is>
      </c>
    </row>
    <row r="1879" ht="15" customHeight="1" s="37">
      <c r="A1879" s="42" t="inlineStr">
        <is>
          <t>game of spades ruby</t>
        </is>
      </c>
      <c r="B1879" s="42" t="inlineStr">
        <is>
          <t>game of spades ruby</t>
        </is>
      </c>
      <c r="C1879" s="42" t="inlineStr">
        <is>
          <t>Yes</t>
        </is>
      </c>
    </row>
    <row r="1880" ht="15" customHeight="1" s="37">
      <c r="A1880" s="42" t="inlineStr">
        <is>
          <t>game of spades ruby</t>
        </is>
      </c>
      <c r="B1880" s="42" t="inlineStr">
        <is>
          <t>game of spades ruby dupe of</t>
        </is>
      </c>
      <c r="C1880" s="42" t="inlineStr">
        <is>
          <t>Yes</t>
        </is>
      </c>
    </row>
    <row r="1881" ht="15" customHeight="1" s="37">
      <c r="A1881" s="42" t="inlineStr">
        <is>
          <t>game of spades ruby</t>
        </is>
      </c>
      <c r="B1881" s="42" t="inlineStr">
        <is>
          <t>game of spades ruby notes</t>
        </is>
      </c>
      <c r="C1881" s="42" t="inlineStr">
        <is>
          <t>Yes</t>
        </is>
      </c>
    </row>
    <row r="1882" ht="15" customHeight="1" s="37">
      <c r="A1882" s="42" t="inlineStr">
        <is>
          <t>game of spades ruby</t>
        </is>
      </c>
      <c r="B1882" s="42" t="inlineStr">
        <is>
          <t>game of spades ruby clone of</t>
        </is>
      </c>
      <c r="C1882" s="42" t="n"/>
    </row>
    <row r="1883" ht="15" customHeight="1" s="37">
      <c r="A1883" s="42" t="inlineStr">
        <is>
          <t>game of spades ruby</t>
        </is>
      </c>
      <c r="B1883" s="42" t="inlineStr">
        <is>
          <t>game of spades ruby parfum</t>
        </is>
      </c>
      <c r="C1883" s="42" t="inlineStr">
        <is>
          <t>Yes</t>
        </is>
      </c>
    </row>
    <row r="1884" ht="15" customHeight="1" s="37">
      <c r="A1884" s="42" t="inlineStr">
        <is>
          <t>game of spades ruby</t>
        </is>
      </c>
      <c r="B1884" s="42" t="inlineStr">
        <is>
          <t>game of spades ruby review</t>
        </is>
      </c>
      <c r="C1884" s="42" t="inlineStr">
        <is>
          <t>Yes</t>
        </is>
      </c>
    </row>
    <row r="1885" ht="15" customHeight="1" s="37">
      <c r="A1885" s="42" t="inlineStr">
        <is>
          <t>game of spades ruby</t>
        </is>
      </c>
      <c r="B1885" s="42" t="inlineStr">
        <is>
          <t>game of spades ruby inspired by</t>
        </is>
      </c>
      <c r="C1885" s="42" t="n"/>
    </row>
    <row r="1886" ht="15" customHeight="1" s="37">
      <c r="A1886" s="42" t="inlineStr">
        <is>
          <t>game of spades ruby</t>
        </is>
      </c>
      <c r="B1886" s="42" t="inlineStr">
        <is>
          <t>game of spades ruby jo milano</t>
        </is>
      </c>
      <c r="C1886" s="42" t="n"/>
    </row>
    <row r="1887" ht="15" customHeight="1" s="37">
      <c r="A1887" s="42" t="inlineStr">
        <is>
          <t>game of spades ruby</t>
        </is>
      </c>
      <c r="B1887" s="42" t="inlineStr">
        <is>
          <t>game of spades ruby cologne</t>
        </is>
      </c>
      <c r="C1887" s="42" t="n"/>
    </row>
    <row r="1888" ht="15" customHeight="1" s="37">
      <c r="A1888" s="42" t="inlineStr">
        <is>
          <t>game of spades ruby</t>
        </is>
      </c>
      <c r="B1888" s="42" t="inlineStr">
        <is>
          <t>game of spades ruby vs rouge</t>
        </is>
      </c>
      <c r="C1888" s="42" t="n"/>
    </row>
    <row r="1889" ht="15" customHeight="1" s="37">
      <c r="A1889" s="42" t="inlineStr">
        <is>
          <t>game of spades wildcard</t>
        </is>
      </c>
      <c r="B1889" s="42" t="inlineStr">
        <is>
          <t>game of spades wildcard</t>
        </is>
      </c>
      <c r="C1889" s="42" t="inlineStr">
        <is>
          <t>Yes</t>
        </is>
      </c>
    </row>
    <row r="1890" ht="15" customHeight="1" s="37">
      <c r="A1890" s="42" t="inlineStr">
        <is>
          <t>game of spades wildcard</t>
        </is>
      </c>
      <c r="B1890" s="42" t="inlineStr">
        <is>
          <t>game of spades wildcard dupe of</t>
        </is>
      </c>
      <c r="C1890" s="42" t="inlineStr">
        <is>
          <t>Yes</t>
        </is>
      </c>
    </row>
    <row r="1891" ht="15" customHeight="1" s="37">
      <c r="A1891" s="42" t="inlineStr">
        <is>
          <t>game of spades wildcard</t>
        </is>
      </c>
      <c r="B1891" s="42" t="inlineStr">
        <is>
          <t>game of spades wildcard cologne</t>
        </is>
      </c>
      <c r="C1891" s="42" t="n"/>
    </row>
    <row r="1892" ht="15" customHeight="1" s="37">
      <c r="A1892" s="42" t="inlineStr">
        <is>
          <t>game of spades wildcard</t>
        </is>
      </c>
      <c r="B1892" s="42" t="inlineStr">
        <is>
          <t>game of spades wildcard notes</t>
        </is>
      </c>
      <c r="C1892" s="42" t="inlineStr">
        <is>
          <t>Yes</t>
        </is>
      </c>
    </row>
    <row r="1893" ht="15" customHeight="1" s="37">
      <c r="A1893" s="42" t="inlineStr">
        <is>
          <t>game of spades wildcard</t>
        </is>
      </c>
      <c r="B1893" s="42" t="inlineStr">
        <is>
          <t>game of spades wildcard price</t>
        </is>
      </c>
      <c r="C1893" s="42" t="inlineStr">
        <is>
          <t>Yes</t>
        </is>
      </c>
    </row>
    <row r="1894" ht="15" customHeight="1" s="37">
      <c r="A1894" s="42" t="inlineStr">
        <is>
          <t>game of spades wildcard</t>
        </is>
      </c>
      <c r="B1894" s="42" t="inlineStr">
        <is>
          <t>game of spades wildcard jo milano paris</t>
        </is>
      </c>
      <c r="C1894" s="42" t="n"/>
    </row>
    <row r="1895" ht="15" customHeight="1" s="37">
      <c r="A1895" s="42" t="inlineStr">
        <is>
          <t>game of spades wildcard</t>
        </is>
      </c>
      <c r="B1895" s="42" t="inlineStr">
        <is>
          <t>game of spades wildcard review</t>
        </is>
      </c>
      <c r="C1895" s="42" t="inlineStr">
        <is>
          <t>Yes</t>
        </is>
      </c>
    </row>
    <row r="1896" ht="15" customHeight="1" s="37">
      <c r="A1896" s="42" t="inlineStr">
        <is>
          <t>game of spades wildcard</t>
        </is>
      </c>
      <c r="B1896" s="42" t="inlineStr">
        <is>
          <t>game of spades wildcard inspired by</t>
        </is>
      </c>
      <c r="C1896" s="42" t="n"/>
    </row>
    <row r="1897" ht="15" customHeight="1" s="37">
      <c r="A1897" s="42" t="inlineStr">
        <is>
          <t>game of spades wildcard</t>
        </is>
      </c>
      <c r="B1897" s="42" t="inlineStr">
        <is>
          <t>game of spades wildcard parfum</t>
        </is>
      </c>
      <c r="C1897" s="42" t="inlineStr">
        <is>
          <t>Yes</t>
        </is>
      </c>
    </row>
    <row r="1898" ht="15" customHeight="1" s="37">
      <c r="A1898" s="42" t="inlineStr">
        <is>
          <t>game of spades wildcard</t>
        </is>
      </c>
      <c r="B1898" s="42" t="inlineStr">
        <is>
          <t>game of spades wildcard perfume</t>
        </is>
      </c>
      <c r="C1898" s="42" t="inlineStr">
        <is>
          <t>Yes</t>
        </is>
      </c>
    </row>
    <row r="1899" ht="15" customHeight="1" s="37">
      <c r="A1899" s="42" t="inlineStr">
        <is>
          <t>game of spades win</t>
        </is>
      </c>
      <c r="B1899" s="42" t="inlineStr">
        <is>
          <t>game of spades win</t>
        </is>
      </c>
      <c r="C1899" s="42" t="inlineStr">
        <is>
          <t>Yes</t>
        </is>
      </c>
    </row>
    <row r="1900" ht="15" customHeight="1" s="37">
      <c r="A1900" s="42" t="inlineStr">
        <is>
          <t>game of spades win</t>
        </is>
      </c>
      <c r="B1900" s="42" t="inlineStr">
        <is>
          <t>game of spades win cologne</t>
        </is>
      </c>
      <c r="C1900" s="42" t="n"/>
    </row>
    <row r="1901" ht="15" customHeight="1" s="37">
      <c r="A1901" s="42" t="inlineStr">
        <is>
          <t>game of spades win</t>
        </is>
      </c>
      <c r="B1901" s="42" t="inlineStr">
        <is>
          <t>game of spades win notes</t>
        </is>
      </c>
      <c r="C1901" s="42" t="inlineStr">
        <is>
          <t>Yes</t>
        </is>
      </c>
    </row>
    <row r="1902" ht="15" customHeight="1" s="37">
      <c r="A1902" s="42" t="inlineStr">
        <is>
          <t>game of spades win</t>
        </is>
      </c>
      <c r="B1902" s="42" t="inlineStr">
        <is>
          <t>game of spades win perfume</t>
        </is>
      </c>
      <c r="C1902" s="42" t="inlineStr">
        <is>
          <t>Yes</t>
        </is>
      </c>
    </row>
    <row r="1903" ht="15" customHeight="1" s="37">
      <c r="A1903" s="42" t="inlineStr">
        <is>
          <t>game of spades win</t>
        </is>
      </c>
      <c r="B1903" s="42" t="inlineStr">
        <is>
          <t>game of spades win by jo milano</t>
        </is>
      </c>
      <c r="C1903" s="42" t="n"/>
    </row>
    <row r="1904" ht="15" customHeight="1" s="37">
      <c r="A1904" s="42" t="inlineStr">
        <is>
          <t>game of spades win</t>
        </is>
      </c>
      <c r="B1904" s="42" t="inlineStr">
        <is>
          <t>game of spades win review</t>
        </is>
      </c>
      <c r="C1904" s="42" t="inlineStr">
        <is>
          <t>Yes</t>
        </is>
      </c>
    </row>
    <row r="1905" ht="15" customHeight="1" s="37">
      <c r="A1905" s="42" t="inlineStr">
        <is>
          <t>game of spades win</t>
        </is>
      </c>
      <c r="B1905" s="42" t="inlineStr">
        <is>
          <t>game of spades win jo milano paris</t>
        </is>
      </c>
      <c r="C1905" s="42" t="n"/>
    </row>
    <row r="1906" ht="15" customHeight="1" s="37">
      <c r="A1906" s="42" t="inlineStr">
        <is>
          <t>game of spades win</t>
        </is>
      </c>
      <c r="B1906" s="42" t="inlineStr">
        <is>
          <t>game of spades win inspired by</t>
        </is>
      </c>
      <c r="C1906" s="42" t="n"/>
    </row>
    <row r="1907" ht="15" customHeight="1" s="37">
      <c r="A1907" s="42" t="inlineStr">
        <is>
          <t>game of spades win</t>
        </is>
      </c>
      <c r="B1907" s="42" t="inlineStr">
        <is>
          <t>game of spades win 30ml</t>
        </is>
      </c>
      <c r="C1907" s="42" t="inlineStr">
        <is>
          <t>Yes</t>
        </is>
      </c>
    </row>
    <row r="1908" ht="15" customHeight="1" s="37">
      <c r="A1908" s="42" t="inlineStr">
        <is>
          <t>game of spades win</t>
        </is>
      </c>
      <c r="B1908" s="42" t="inlineStr">
        <is>
          <t>game of spades win fragrantica</t>
        </is>
      </c>
      <c r="C1908" s="42" t="n"/>
    </row>
    <row r="1909" ht="15" customHeight="1" s="37">
      <c r="A1909" s="42" t="inlineStr">
        <is>
          <t>game of spades yellow sapphire</t>
        </is>
      </c>
      <c r="B1909" s="42" t="inlineStr">
        <is>
          <t>game of spades yellow sapphire dupe of</t>
        </is>
      </c>
      <c r="C1909" s="42" t="inlineStr">
        <is>
          <t>Yes</t>
        </is>
      </c>
    </row>
    <row r="1910" ht="15" customHeight="1" s="37">
      <c r="A1910" s="42" t="inlineStr">
        <is>
          <t>game of spades yellow sapphire</t>
        </is>
      </c>
      <c r="B1910" s="42" t="inlineStr">
        <is>
          <t>game of spades yellow sapphire</t>
        </is>
      </c>
      <c r="C1910" s="42" t="inlineStr">
        <is>
          <t>Yes</t>
        </is>
      </c>
    </row>
    <row r="1911" ht="15" customHeight="1" s="37">
      <c r="A1911" s="42" t="inlineStr">
        <is>
          <t>game of spades yellow sapphire</t>
        </is>
      </c>
      <c r="B1911" s="42" t="inlineStr">
        <is>
          <t>game of spades yellow sapphire notes</t>
        </is>
      </c>
      <c r="C1911" s="42" t="inlineStr">
        <is>
          <t>Yes</t>
        </is>
      </c>
    </row>
    <row r="1912" ht="15" customHeight="1" s="37">
      <c r="A1912" s="42" t="inlineStr">
        <is>
          <t>game of spades yellow sapphire</t>
        </is>
      </c>
      <c r="B1912" s="42" t="inlineStr">
        <is>
          <t>game of spades yellow sapphire clone of</t>
        </is>
      </c>
      <c r="C1912" s="42" t="n"/>
    </row>
    <row r="1913" ht="15" customHeight="1" s="37">
      <c r="A1913" s="42" t="inlineStr">
        <is>
          <t>game of spades yellow sapphire</t>
        </is>
      </c>
      <c r="B1913" s="42" t="inlineStr">
        <is>
          <t>game of spades yellow sapphire jo milano</t>
        </is>
      </c>
      <c r="C1913" s="42" t="n"/>
    </row>
    <row r="1914" ht="15" customHeight="1" s="37">
      <c r="A1914" s="42" t="inlineStr">
        <is>
          <t>game of spades yellow sapphire</t>
        </is>
      </c>
      <c r="B1914" s="42" t="inlineStr">
        <is>
          <t>game of spades yellow sapphire inspiration</t>
        </is>
      </c>
      <c r="C1914" s="42" t="n"/>
    </row>
    <row r="1915" ht="15" customHeight="1" s="37">
      <c r="A1915" s="42" t="inlineStr">
        <is>
          <t>game of spades yellow sapphire</t>
        </is>
      </c>
      <c r="B1915" s="42" t="inlineStr">
        <is>
          <t>game of spades yellow sapphire reddit</t>
        </is>
      </c>
      <c r="C1915" s="42" t="n"/>
    </row>
    <row r="1916" ht="15" customHeight="1" s="37">
      <c r="A1916" s="42" t="inlineStr">
        <is>
          <t>game of spades yellow sapphire</t>
        </is>
      </c>
      <c r="B1916" s="42" t="inlineStr">
        <is>
          <t>game.of.spades.yellow sapphire smells like</t>
        </is>
      </c>
      <c r="C1916" s="42" t="inlineStr">
        <is>
          <t>Yes</t>
        </is>
      </c>
    </row>
    <row r="1917" ht="15" customHeight="1" s="37">
      <c r="A1917" s="42" t="inlineStr">
        <is>
          <t>game of spades yellow sapphire</t>
        </is>
      </c>
      <c r="B1917" s="42" t="inlineStr">
        <is>
          <t>game of spades yellow sapphire fragrantica</t>
        </is>
      </c>
      <c r="C1917" s="42" t="n"/>
    </row>
    <row r="1918" ht="15" customHeight="1" s="37">
      <c r="A1918" s="42" t="inlineStr">
        <is>
          <t>game of spades yellow sapphire</t>
        </is>
      </c>
      <c r="B1918" s="42" t="inlineStr">
        <is>
          <t>game of spades yellow sapphire notas</t>
        </is>
      </c>
      <c r="C1918" s="42" t="n"/>
    </row>
    <row r="1919" ht="15" customHeight="1" s="37">
      <c r="A1919" s="42" t="inlineStr">
        <is>
          <t>giorgia armani perfume</t>
        </is>
      </c>
      <c r="B1919" s="42" t="inlineStr">
        <is>
          <t>giorgio armani perfume</t>
        </is>
      </c>
      <c r="C1919" s="42" t="inlineStr">
        <is>
          <t>Yes</t>
        </is>
      </c>
    </row>
    <row r="1920" ht="15" customHeight="1" s="37">
      <c r="A1920" s="42" t="inlineStr">
        <is>
          <t>giorgia armani perfume</t>
        </is>
      </c>
      <c r="B1920" s="42" t="inlineStr">
        <is>
          <t>giorgio armani perfume women</t>
        </is>
      </c>
      <c r="C1920" s="42" t="n"/>
    </row>
    <row r="1921" ht="15" customHeight="1" s="37">
      <c r="A1921" s="42" t="inlineStr">
        <is>
          <t>giorgia armani perfume</t>
        </is>
      </c>
      <c r="B1921" s="42" t="inlineStr">
        <is>
          <t>giorgio armani perfume men</t>
        </is>
      </c>
      <c r="C1921" s="42" t="n"/>
    </row>
    <row r="1922" ht="15" customHeight="1" s="37">
      <c r="A1922" s="42" t="inlineStr">
        <is>
          <t>giorgia armani perfume</t>
        </is>
      </c>
      <c r="B1922" s="42" t="inlineStr">
        <is>
          <t>giorgio armani perfume si</t>
        </is>
      </c>
      <c r="C1922" s="42" t="n"/>
    </row>
    <row r="1923" ht="15" customHeight="1" s="37">
      <c r="A1923" s="42" t="inlineStr">
        <is>
          <t>giorgia armani perfume</t>
        </is>
      </c>
      <c r="B1923" s="42" t="inlineStr">
        <is>
          <t>giorgio armani perfume my way</t>
        </is>
      </c>
      <c r="C1923" s="42" t="n"/>
    </row>
    <row r="1924" ht="15" customHeight="1" s="37">
      <c r="A1924" s="42" t="inlineStr">
        <is>
          <t>giorgia armani perfume</t>
        </is>
      </c>
      <c r="B1924" s="42" t="inlineStr">
        <is>
          <t>giorgio armani perfume price</t>
        </is>
      </c>
      <c r="C1924" s="42" t="n"/>
    </row>
    <row r="1925" ht="15" customHeight="1" s="37">
      <c r="A1925" s="42" t="inlineStr">
        <is>
          <t>giorgia armani perfume</t>
        </is>
      </c>
      <c r="B1925" s="42" t="inlineStr">
        <is>
          <t>giorgio armani perfume price in pakistan</t>
        </is>
      </c>
      <c r="C1925" s="42" t="n"/>
    </row>
    <row r="1926" ht="15" customHeight="1" s="37">
      <c r="A1926" s="42" t="inlineStr">
        <is>
          <t>giorgia armani perfume</t>
        </is>
      </c>
      <c r="B1926" s="42" t="inlineStr">
        <is>
          <t>giorgio armani perfume acqua di gio</t>
        </is>
      </c>
      <c r="C1926" s="42" t="n"/>
    </row>
    <row r="1927" ht="15" customHeight="1" s="37">
      <c r="A1927" s="42" t="inlineStr">
        <is>
          <t>giorgia armani perfume</t>
        </is>
      </c>
      <c r="B1927" s="42" t="inlineStr">
        <is>
          <t>giorgio armani perfume i will</t>
        </is>
      </c>
      <c r="C1927" s="42" t="n"/>
    </row>
    <row r="1928" ht="15" customHeight="1" s="37">
      <c r="A1928" s="42" t="inlineStr">
        <is>
          <t>giorgia armani perfume</t>
        </is>
      </c>
      <c r="B1928" s="42" t="inlineStr">
        <is>
          <t>giorgio armani perfume stronger with you</t>
        </is>
      </c>
      <c r="C1928" s="42" t="n"/>
    </row>
    <row r="1929" ht="15" customHeight="1" s="37">
      <c r="A1929" s="42" t="inlineStr">
        <is>
          <t>giorgio armani code refillable</t>
        </is>
      </c>
      <c r="B1929" s="42" t="inlineStr">
        <is>
          <t>giorgio armani code refillable edt 75ml</t>
        </is>
      </c>
      <c r="C1929" s="42" t="inlineStr">
        <is>
          <t>Yes</t>
        </is>
      </c>
    </row>
    <row r="1930" ht="15" customHeight="1" s="37">
      <c r="A1930" s="42" t="inlineStr">
        <is>
          <t>giorgio armani code refillable</t>
        </is>
      </c>
      <c r="B1930" s="42" t="inlineStr">
        <is>
          <t>giorgio armani code refillable parfum</t>
        </is>
      </c>
      <c r="C1930" s="42" t="inlineStr">
        <is>
          <t>Yes</t>
        </is>
      </c>
    </row>
    <row r="1931" ht="15" customHeight="1" s="37">
      <c r="A1931" s="42" t="inlineStr">
        <is>
          <t>giorgio armani code refillable</t>
        </is>
      </c>
      <c r="B1931" s="42" t="inlineStr">
        <is>
          <t>giorgio armani perfume refillable</t>
        </is>
      </c>
      <c r="C1931" s="42" t="inlineStr">
        <is>
          <t>Yes</t>
        </is>
      </c>
    </row>
    <row r="1932" ht="15" customHeight="1" s="37">
      <c r="A1932" s="42" t="inlineStr">
        <is>
          <t>giorgio armani code refillable</t>
        </is>
      </c>
      <c r="B1932" s="42" t="inlineStr">
        <is>
          <t>giorgio armani code refill</t>
        </is>
      </c>
      <c r="C1932" s="42" t="n"/>
    </row>
    <row r="1933" ht="15" customHeight="1" s="37">
      <c r="A1933" s="42" t="inlineStr">
        <is>
          <t>giorgio armani code refillable</t>
        </is>
      </c>
      <c r="B1933" s="42" t="inlineStr">
        <is>
          <t>giorgio armani code refill 150ml</t>
        </is>
      </c>
      <c r="C1933" s="42" t="n"/>
    </row>
    <row r="1934" ht="15" customHeight="1" s="37">
      <c r="A1934" s="42" t="inlineStr">
        <is>
          <t>giorgio armani code refillable</t>
        </is>
      </c>
      <c r="B1934" s="42" t="inlineStr">
        <is>
          <t>giorgio armani code refill bottle</t>
        </is>
      </c>
      <c r="C1934" s="42" t="n"/>
    </row>
    <row r="1935" ht="15" customHeight="1" s="37">
      <c r="A1935" s="42" t="inlineStr">
        <is>
          <t>giorgio armani code refillable</t>
        </is>
      </c>
      <c r="B1935" s="42" t="inlineStr">
        <is>
          <t>giorgio armani code edt refillable spray 4.2 oz</t>
        </is>
      </c>
      <c r="C1935" s="42" t="n"/>
    </row>
    <row r="1936" ht="15" customHeight="1" s="37">
      <c r="A1936" s="42" t="inlineStr">
        <is>
          <t>giorgio armani code refillable</t>
        </is>
      </c>
      <c r="B1936" s="42" t="inlineStr">
        <is>
          <t>giorgio armani code edt refillable spray</t>
        </is>
      </c>
      <c r="C1936" s="42" t="n"/>
    </row>
    <row r="1937" ht="15" customHeight="1" s="37">
      <c r="A1937" s="42" t="inlineStr">
        <is>
          <t>giorgio armani code refillable</t>
        </is>
      </c>
      <c r="B1937" s="42" t="inlineStr">
        <is>
          <t>giorgio armani perfume refill price</t>
        </is>
      </c>
      <c r="C1937" s="42" t="n"/>
    </row>
    <row r="1938" ht="15" customHeight="1" s="37">
      <c r="A1938" s="42" t="inlineStr">
        <is>
          <t>giorgio armani code refillable</t>
        </is>
      </c>
      <c r="B1938" s="42" t="inlineStr">
        <is>
          <t>giorgio armani perfume refill bottle</t>
        </is>
      </c>
      <c r="C1938" s="42" t="n"/>
    </row>
    <row r="1939" ht="15" customHeight="1" s="37">
      <c r="A1939" s="42" t="inlineStr">
        <is>
          <t>giorgio armani perfume</t>
        </is>
      </c>
      <c r="B1939" s="42" t="inlineStr">
        <is>
          <t>giorgio armani perfume</t>
        </is>
      </c>
      <c r="C1939" s="42" t="inlineStr">
        <is>
          <t>Yes</t>
        </is>
      </c>
    </row>
    <row r="1940" ht="15" customHeight="1" s="37">
      <c r="A1940" s="42" t="inlineStr">
        <is>
          <t>giorgio armani perfume</t>
        </is>
      </c>
      <c r="B1940" s="42" t="inlineStr">
        <is>
          <t>giorgio armani perfume women</t>
        </is>
      </c>
      <c r="C1940" s="42" t="n"/>
    </row>
    <row r="1941" ht="15" customHeight="1" s="37">
      <c r="A1941" s="42" t="inlineStr">
        <is>
          <t>giorgio armani perfume</t>
        </is>
      </c>
      <c r="B1941" s="42" t="inlineStr">
        <is>
          <t>giorgio armani perfume men</t>
        </is>
      </c>
      <c r="C1941" s="42" t="n"/>
    </row>
    <row r="1942" ht="15" customHeight="1" s="37">
      <c r="A1942" s="42" t="inlineStr">
        <is>
          <t>giorgio armani perfume</t>
        </is>
      </c>
      <c r="B1942" s="42" t="inlineStr">
        <is>
          <t>giorgio armani perfume si</t>
        </is>
      </c>
      <c r="C1942" s="42" t="n"/>
    </row>
    <row r="1943" ht="15" customHeight="1" s="37">
      <c r="A1943" s="42" t="inlineStr">
        <is>
          <t>giorgio armani perfume</t>
        </is>
      </c>
      <c r="B1943" s="42" t="inlineStr">
        <is>
          <t>giorgio armani perfume my way</t>
        </is>
      </c>
      <c r="C1943" s="42" t="n"/>
    </row>
    <row r="1944" ht="15" customHeight="1" s="37">
      <c r="A1944" s="42" t="inlineStr">
        <is>
          <t>giorgio armani perfume</t>
        </is>
      </c>
      <c r="B1944" s="42" t="inlineStr">
        <is>
          <t>giorgio armani perfume price</t>
        </is>
      </c>
      <c r="C1944" s="42" t="n"/>
    </row>
    <row r="1945" ht="15" customHeight="1" s="37">
      <c r="A1945" s="42" t="inlineStr">
        <is>
          <t>giorgio armani perfume</t>
        </is>
      </c>
      <c r="B1945" s="42" t="inlineStr">
        <is>
          <t>giorgio armani perfume price in pakistan</t>
        </is>
      </c>
      <c r="C1945" s="42" t="n"/>
    </row>
    <row r="1946" ht="15" customHeight="1" s="37">
      <c r="A1946" s="42" t="inlineStr">
        <is>
          <t>giorgio armani perfume</t>
        </is>
      </c>
      <c r="B1946" s="42" t="inlineStr">
        <is>
          <t>giorgio armani perfume acqua di gio</t>
        </is>
      </c>
      <c r="C1946" s="42" t="n"/>
    </row>
    <row r="1947" ht="15" customHeight="1" s="37">
      <c r="A1947" s="42" t="inlineStr">
        <is>
          <t>giorgio armani perfume</t>
        </is>
      </c>
      <c r="B1947" s="42" t="inlineStr">
        <is>
          <t>giorgio armani perfume i will</t>
        </is>
      </c>
      <c r="C1947" s="42" t="n"/>
    </row>
    <row r="1948" ht="15" customHeight="1" s="37">
      <c r="A1948" s="42" t="inlineStr">
        <is>
          <t>giorgio armani perfume</t>
        </is>
      </c>
      <c r="B1948" s="42" t="inlineStr">
        <is>
          <t>giorgio armani perfume stronger with you</t>
        </is>
      </c>
      <c r="C1948" s="42" t="n"/>
    </row>
    <row r="1949" ht="15" customHeight="1" s="37">
      <c r="A1949" s="42" t="inlineStr">
        <is>
          <t>givenchy amarige</t>
        </is>
      </c>
      <c r="B1949" s="42" t="inlineStr">
        <is>
          <t>givenchy amarige</t>
        </is>
      </c>
      <c r="C1949" s="42" t="inlineStr">
        <is>
          <t>Yes</t>
        </is>
      </c>
    </row>
    <row r="1950" ht="15" customHeight="1" s="37">
      <c r="A1950" s="42" t="inlineStr">
        <is>
          <t>givenchy amarige</t>
        </is>
      </c>
      <c r="B1950" s="42" t="inlineStr">
        <is>
          <t>givenchy amarige perfume</t>
        </is>
      </c>
      <c r="C1950" s="42" t="inlineStr">
        <is>
          <t>Yes</t>
        </is>
      </c>
    </row>
    <row r="1951" ht="15" customHeight="1" s="37">
      <c r="A1951" s="42" t="inlineStr">
        <is>
          <t>givenchy amarige</t>
        </is>
      </c>
      <c r="B1951" s="42" t="inlineStr">
        <is>
          <t>givenchy amarige eau de parfum</t>
        </is>
      </c>
      <c r="C1951" s="42" t="inlineStr">
        <is>
          <t>Yes</t>
        </is>
      </c>
    </row>
    <row r="1952" ht="15" customHeight="1" s="37">
      <c r="A1952" s="42" t="inlineStr">
        <is>
          <t>givenchy amarige</t>
        </is>
      </c>
      <c r="B1952" s="42" t="inlineStr">
        <is>
          <t>givenchy amarige 100ml</t>
        </is>
      </c>
      <c r="C1952" s="42" t="inlineStr">
        <is>
          <t>Yes</t>
        </is>
      </c>
    </row>
    <row r="1953" ht="15" customHeight="1" s="37">
      <c r="A1953" s="42" t="inlineStr">
        <is>
          <t>givenchy amarige</t>
        </is>
      </c>
      <c r="B1953" s="42" t="inlineStr">
        <is>
          <t>givenchy amarige eau de toilette 100ml</t>
        </is>
      </c>
      <c r="C1953" s="42" t="n"/>
    </row>
    <row r="1954" ht="15" customHeight="1" s="37">
      <c r="A1954" s="42" t="inlineStr">
        <is>
          <t>givenchy amarige</t>
        </is>
      </c>
      <c r="B1954" s="42" t="inlineStr">
        <is>
          <t>givenchy amarige eau de toilette</t>
        </is>
      </c>
      <c r="C1954" s="42" t="inlineStr">
        <is>
          <t>Yes</t>
        </is>
      </c>
    </row>
    <row r="1955" ht="15" customHeight="1" s="37">
      <c r="A1955" s="42" t="inlineStr">
        <is>
          <t>givenchy amarige</t>
        </is>
      </c>
      <c r="B1955" s="42" t="inlineStr">
        <is>
          <t>givenchy amarige edt 100ml</t>
        </is>
      </c>
      <c r="C1955" s="42" t="inlineStr">
        <is>
          <t>Yes</t>
        </is>
      </c>
    </row>
    <row r="1956" ht="15" customHeight="1" s="37">
      <c r="A1956" s="42" t="inlineStr">
        <is>
          <t>givenchy amarige</t>
        </is>
      </c>
      <c r="B1956" s="42" t="inlineStr">
        <is>
          <t>givenchy amarige notes</t>
        </is>
      </c>
      <c r="C1956" s="42" t="inlineStr">
        <is>
          <t>Yes</t>
        </is>
      </c>
    </row>
    <row r="1957" ht="15" customHeight="1" s="37">
      <c r="A1957" s="42" t="inlineStr">
        <is>
          <t>givenchy amarige</t>
        </is>
      </c>
      <c r="B1957" s="42" t="inlineStr">
        <is>
          <t>givenchy amarige mariage</t>
        </is>
      </c>
      <c r="C1957" s="42" t="n"/>
    </row>
    <row r="1958" ht="15" customHeight="1" s="37">
      <c r="A1958" s="42" t="inlineStr">
        <is>
          <t>givenchy amarige</t>
        </is>
      </c>
      <c r="B1958" s="42" t="inlineStr">
        <is>
          <t>givenchy amarige edp 100ml</t>
        </is>
      </c>
      <c r="C1958" s="42" t="inlineStr">
        <is>
          <t>Yes</t>
        </is>
      </c>
    </row>
    <row r="1959" ht="15" customHeight="1" s="37">
      <c r="A1959" s="42" t="inlineStr">
        <is>
          <t>givenchy gentleman originale</t>
        </is>
      </c>
      <c r="B1959" s="42" t="inlineStr">
        <is>
          <t>givenchy gentleman originale</t>
        </is>
      </c>
      <c r="C1959" s="42" t="inlineStr">
        <is>
          <t>Yes</t>
        </is>
      </c>
    </row>
    <row r="1960" ht="15" customHeight="1" s="37">
      <c r="A1960" s="42" t="inlineStr">
        <is>
          <t>givenchy gentleman originale</t>
        </is>
      </c>
      <c r="B1960" s="42" t="inlineStr">
        <is>
          <t>givenchy gentleman originale edt</t>
        </is>
      </c>
      <c r="C1960" s="42" t="inlineStr">
        <is>
          <t>Yes</t>
        </is>
      </c>
    </row>
    <row r="1961" ht="15" customHeight="1" s="37">
      <c r="A1961" s="42" t="inlineStr">
        <is>
          <t>givenchy gentleman originale</t>
        </is>
      </c>
      <c r="B1961" s="42" t="inlineStr">
        <is>
          <t>givenchy gentleman originale for men edt</t>
        </is>
      </c>
      <c r="C1961" s="42" t="inlineStr">
        <is>
          <t>Yes</t>
        </is>
      </c>
    </row>
    <row r="1962" ht="15" customHeight="1" s="37">
      <c r="A1962" s="42" t="inlineStr">
        <is>
          <t>givenchy gentleman originale</t>
        </is>
      </c>
      <c r="B1962" s="42" t="inlineStr">
        <is>
          <t>givenchy gentleman originale eau de toilette</t>
        </is>
      </c>
      <c r="C1962" s="42" t="inlineStr">
        <is>
          <t>Yes</t>
        </is>
      </c>
    </row>
    <row r="1963" ht="15" customHeight="1" s="37">
      <c r="A1963" s="42" t="inlineStr">
        <is>
          <t>givenchy gentleman originale</t>
        </is>
      </c>
      <c r="B1963" s="42" t="inlineStr">
        <is>
          <t>givenchy gentleman original eau de toilette 100ml</t>
        </is>
      </c>
      <c r="C1963" s="42" t="n"/>
    </row>
    <row r="1964" ht="15" customHeight="1" s="37">
      <c r="A1964" s="42" t="inlineStr">
        <is>
          <t>givenchy gentleman originale</t>
        </is>
      </c>
      <c r="B1964" s="42" t="inlineStr">
        <is>
          <t>givenchy gentleman original review</t>
        </is>
      </c>
      <c r="C1964" s="42" t="inlineStr">
        <is>
          <t>Yes</t>
        </is>
      </c>
    </row>
    <row r="1965" ht="15" customHeight="1" s="37">
      <c r="A1965" s="42" t="inlineStr">
        <is>
          <t>givenchy gentleman originale</t>
        </is>
      </c>
      <c r="B1965" s="42" t="inlineStr">
        <is>
          <t>givenchy gentleman original 2024</t>
        </is>
      </c>
      <c r="C1965" s="42" t="inlineStr">
        <is>
          <t>Yes</t>
        </is>
      </c>
    </row>
    <row r="1966" ht="15" customHeight="1" s="37">
      <c r="A1966" s="42" t="inlineStr">
        <is>
          <t>givenchy gentleman originale</t>
        </is>
      </c>
      <c r="B1966" s="42" t="inlineStr">
        <is>
          <t>givenchy gentleman originale 100ml</t>
        </is>
      </c>
      <c r="C1966" s="42" t="inlineStr">
        <is>
          <t>Yes</t>
        </is>
      </c>
    </row>
    <row r="1967" ht="15" customHeight="1" s="37">
      <c r="A1967" s="42" t="inlineStr">
        <is>
          <t>givenchy gentleman originale</t>
        </is>
      </c>
      <c r="B1967" s="42" t="inlineStr">
        <is>
          <t>givenchy gentleman originale edp</t>
        </is>
      </c>
      <c r="C1967" s="42" t="inlineStr">
        <is>
          <t>Yes</t>
        </is>
      </c>
    </row>
    <row r="1968" ht="15" customHeight="1" s="37">
      <c r="A1968" s="42" t="inlineStr">
        <is>
          <t>givenchy gentleman originale</t>
        </is>
      </c>
      <c r="B1968" s="42" t="inlineStr">
        <is>
          <t>givenchy gentleman original</t>
        </is>
      </c>
      <c r="C1968" s="42" t="n"/>
    </row>
    <row r="1969" ht="15" customHeight="1" s="37">
      <c r="A1969" s="42" t="inlineStr">
        <is>
          <t>givenchy perfume</t>
        </is>
      </c>
      <c r="B1969" s="42" t="inlineStr">
        <is>
          <t>givenchy perfume</t>
        </is>
      </c>
      <c r="C1969" s="42" t="inlineStr">
        <is>
          <t>Yes</t>
        </is>
      </c>
    </row>
    <row r="1970" ht="15" customHeight="1" s="37">
      <c r="A1970" s="42" t="inlineStr">
        <is>
          <t>givenchy perfume</t>
        </is>
      </c>
      <c r="B1970" s="42" t="inlineStr">
        <is>
          <t>givenchy perfume women</t>
        </is>
      </c>
      <c r="C1970" s="42" t="n"/>
    </row>
    <row r="1971" ht="15" customHeight="1" s="37">
      <c r="A1971" s="42" t="inlineStr">
        <is>
          <t>givenchy perfume</t>
        </is>
      </c>
      <c r="B1971" s="42" t="inlineStr">
        <is>
          <t>givenchy perfume men</t>
        </is>
      </c>
      <c r="C1971" s="42" t="n"/>
    </row>
    <row r="1972" ht="15" customHeight="1" s="37">
      <c r="A1972" s="42" t="inlineStr">
        <is>
          <t>givenchy perfume</t>
        </is>
      </c>
      <c r="B1972" s="42" t="inlineStr">
        <is>
          <t>givenchy perfume irresistible</t>
        </is>
      </c>
      <c r="C1972" s="42" t="n"/>
    </row>
    <row r="1973" ht="15" customHeight="1" s="37">
      <c r="A1973" s="42" t="inlineStr">
        <is>
          <t>givenchy perfume</t>
        </is>
      </c>
      <c r="B1973" s="42" t="inlineStr">
        <is>
          <t>givenchy perfume l interdit</t>
        </is>
      </c>
      <c r="C1973" s="42" t="n"/>
    </row>
    <row r="1974" ht="15" customHeight="1" s="37">
      <c r="A1974" s="42" t="inlineStr">
        <is>
          <t>givenchy perfume</t>
        </is>
      </c>
      <c r="B1974" s="42" t="inlineStr">
        <is>
          <t>givenchy perfume price</t>
        </is>
      </c>
      <c r="C1974" s="42" t="n"/>
    </row>
    <row r="1975" ht="15" customHeight="1" s="37">
      <c r="A1975" s="42" t="inlineStr">
        <is>
          <t>givenchy perfume</t>
        </is>
      </c>
      <c r="B1975" s="42" t="inlineStr">
        <is>
          <t>givenchy perfume price in pakistan</t>
        </is>
      </c>
      <c r="C1975" s="42" t="n"/>
    </row>
    <row r="1976" ht="15" customHeight="1" s="37">
      <c r="A1976" s="42" t="inlineStr">
        <is>
          <t>givenchy perfume</t>
        </is>
      </c>
      <c r="B1976" s="42" t="inlineStr">
        <is>
          <t>givenchy perfume gentlemen</t>
        </is>
      </c>
      <c r="C1976" s="42" t="n"/>
    </row>
    <row r="1977" ht="15" customHeight="1" s="37">
      <c r="A1977" s="42" t="inlineStr">
        <is>
          <t>givenchy perfume</t>
        </is>
      </c>
      <c r="B1977" s="42" t="inlineStr">
        <is>
          <t>givenchy perfume set</t>
        </is>
      </c>
      <c r="C1977" s="42" t="n"/>
    </row>
    <row r="1978" ht="15" customHeight="1" s="37">
      <c r="A1978" s="42" t="inlineStr">
        <is>
          <t>givenchy perfume</t>
        </is>
      </c>
      <c r="B1978" s="42" t="inlineStr">
        <is>
          <t>givenchy perfumes for her</t>
        </is>
      </c>
      <c r="C1978" s="42" t="n"/>
    </row>
    <row r="1979" ht="15" customHeight="1" s="37">
      <c r="A1979" s="42" t="inlineStr">
        <is>
          <t>gucci bloom gift set</t>
        </is>
      </c>
      <c r="B1979" s="42" t="inlineStr">
        <is>
          <t>gucci bloom gift set</t>
        </is>
      </c>
      <c r="C1979" s="42" t="inlineStr">
        <is>
          <t>Yes</t>
        </is>
      </c>
    </row>
    <row r="1980" ht="15" customHeight="1" s="37">
      <c r="A1980" s="42" t="inlineStr">
        <is>
          <t>gucci bloom gift set</t>
        </is>
      </c>
      <c r="B1980" s="42" t="inlineStr">
        <is>
          <t>gucci bloom gift set chemist warehouse</t>
        </is>
      </c>
      <c r="C1980" s="42" t="n"/>
    </row>
    <row r="1981" ht="15" customHeight="1" s="37">
      <c r="A1981" s="42" t="inlineStr">
        <is>
          <t>gucci bloom gift set</t>
        </is>
      </c>
      <c r="B1981" s="42" t="inlineStr">
        <is>
          <t>gucci bloom gift set 100ml</t>
        </is>
      </c>
      <c r="C1981" s="42" t="inlineStr">
        <is>
          <t>Yes</t>
        </is>
      </c>
    </row>
    <row r="1982" ht="15" customHeight="1" s="37">
      <c r="A1982" s="42" t="inlineStr">
        <is>
          <t>gucci bloom gift set</t>
        </is>
      </c>
      <c r="B1982" s="42" t="inlineStr">
        <is>
          <t>gucci bloom gift set with lotion</t>
        </is>
      </c>
      <c r="C1982" s="42" t="n"/>
    </row>
    <row r="1983" ht="15" customHeight="1" s="37">
      <c r="A1983" s="42" t="inlineStr">
        <is>
          <t>gucci bloom gift set</t>
        </is>
      </c>
      <c r="B1983" s="42" t="inlineStr">
        <is>
          <t>gucci bloom gift set 50ml</t>
        </is>
      </c>
      <c r="C1983" s="42" t="inlineStr">
        <is>
          <t>Yes</t>
        </is>
      </c>
    </row>
    <row r="1984" ht="15" customHeight="1" s="37">
      <c r="A1984" s="42" t="inlineStr">
        <is>
          <t>gucci bloom gift set</t>
        </is>
      </c>
      <c r="B1984" s="42" t="inlineStr">
        <is>
          <t>gucci bloom gift set myer</t>
        </is>
      </c>
      <c r="C1984" s="42" t="n"/>
    </row>
    <row r="1985" ht="15" customHeight="1" s="37">
      <c r="A1985" s="42" t="inlineStr">
        <is>
          <t>gucci bloom gift set</t>
        </is>
      </c>
      <c r="B1985" s="42" t="inlineStr">
        <is>
          <t>gucci bloom gift set macy's</t>
        </is>
      </c>
      <c r="C1985" s="42" t="n"/>
    </row>
    <row r="1986" ht="15" customHeight="1" s="37">
      <c r="A1986" s="42" t="inlineStr">
        <is>
          <t>gucci bloom gift set</t>
        </is>
      </c>
      <c r="B1986" s="42" t="inlineStr">
        <is>
          <t>gucci bloom gift set sale</t>
        </is>
      </c>
      <c r="C1986" s="42" t="inlineStr">
        <is>
          <t>Yes</t>
        </is>
      </c>
    </row>
    <row r="1987" ht="15" customHeight="1" s="37">
      <c r="A1987" s="42" t="inlineStr">
        <is>
          <t>gucci bloom gift set</t>
        </is>
      </c>
      <c r="B1987" s="42" t="inlineStr">
        <is>
          <t>gucci bloom gift set price</t>
        </is>
      </c>
      <c r="C1987" s="42" t="inlineStr">
        <is>
          <t>Yes</t>
        </is>
      </c>
    </row>
    <row r="1988" ht="15" customHeight="1" s="37">
      <c r="A1988" s="42" t="inlineStr">
        <is>
          <t>gucci bloom gift set</t>
        </is>
      </c>
      <c r="B1988" s="42" t="inlineStr">
        <is>
          <t>gucci bloom gift set boots</t>
        </is>
      </c>
      <c r="C1988" s="42" t="inlineStr">
        <is>
          <t>Yes</t>
        </is>
      </c>
    </row>
    <row r="1989" ht="15" customHeight="1" s="37">
      <c r="A1989" s="42" t="inlineStr">
        <is>
          <t>gucci bloom miniature</t>
        </is>
      </c>
      <c r="B1989" s="42" t="inlineStr">
        <is>
          <t>gucci bloom miniature</t>
        </is>
      </c>
      <c r="C1989" s="42" t="inlineStr">
        <is>
          <t>Yes</t>
        </is>
      </c>
    </row>
    <row r="1990" ht="15" customHeight="1" s="37">
      <c r="A1990" s="42" t="inlineStr">
        <is>
          <t>gucci bloom miniature</t>
        </is>
      </c>
      <c r="B1990" s="42" t="inlineStr">
        <is>
          <t>gucci bloom miniature set</t>
        </is>
      </c>
      <c r="C1990" s="42" t="inlineStr">
        <is>
          <t>Yes</t>
        </is>
      </c>
    </row>
    <row r="1991" ht="15" customHeight="1" s="37">
      <c r="A1991" s="42" t="inlineStr">
        <is>
          <t>gucci bloom miniature</t>
        </is>
      </c>
      <c r="B1991" s="42" t="inlineStr">
        <is>
          <t>gucci bloom miniature perfume</t>
        </is>
      </c>
      <c r="C1991" s="42" t="inlineStr">
        <is>
          <t>Yes</t>
        </is>
      </c>
    </row>
    <row r="1992" ht="15" customHeight="1" s="37">
      <c r="A1992" s="42" t="inlineStr">
        <is>
          <t>gucci bloom miniature</t>
        </is>
      </c>
      <c r="B1992" s="42" t="inlineStr">
        <is>
          <t>gucci bloom small</t>
        </is>
      </c>
      <c r="C1992" s="42" t="n"/>
    </row>
    <row r="1993" ht="15" customHeight="1" s="37">
      <c r="A1993" s="42" t="inlineStr">
        <is>
          <t>gucci bloom miniature</t>
        </is>
      </c>
      <c r="B1993" s="42" t="inlineStr">
        <is>
          <t>gucci bloom small bottle</t>
        </is>
      </c>
      <c r="C1993" s="42" t="n"/>
    </row>
    <row r="1994" ht="15" customHeight="1" s="37">
      <c r="A1994" s="42" t="inlineStr">
        <is>
          <t>gucci bloom miniature</t>
        </is>
      </c>
      <c r="B1994" s="42" t="inlineStr">
        <is>
          <t>gucci bloom mini</t>
        </is>
      </c>
      <c r="C1994" s="42" t="inlineStr">
        <is>
          <t>Yes</t>
        </is>
      </c>
    </row>
    <row r="1995" ht="15" customHeight="1" s="37">
      <c r="A1995" s="42" t="inlineStr">
        <is>
          <t>gucci bloom miniature</t>
        </is>
      </c>
      <c r="B1995" s="42" t="inlineStr">
        <is>
          <t>gucci bloom small size</t>
        </is>
      </c>
      <c r="C1995" s="42" t="n"/>
    </row>
    <row r="1996" ht="15" customHeight="1" s="37">
      <c r="A1996" s="42" t="inlineStr">
        <is>
          <t>gucci bloom miniature</t>
        </is>
      </c>
      <c r="B1996" s="42" t="inlineStr">
        <is>
          <t>gucci bloom small perfume</t>
        </is>
      </c>
      <c r="C1996" s="42" t="n"/>
    </row>
    <row r="1997" ht="15" customHeight="1" s="37">
      <c r="A1997" s="42" t="inlineStr">
        <is>
          <t>gucci bloom miniature</t>
        </is>
      </c>
      <c r="B1997" s="42" t="inlineStr">
        <is>
          <t>gucci bloom small bag</t>
        </is>
      </c>
      <c r="C1997" s="42" t="n"/>
    </row>
    <row r="1998" ht="15" customHeight="1" s="37">
      <c r="A1998" s="42" t="inlineStr">
        <is>
          <t>gucci bloom miniature</t>
        </is>
      </c>
      <c r="B1998" s="42" t="inlineStr">
        <is>
          <t>gucci bloom small spray</t>
        </is>
      </c>
      <c r="C1998" s="42" t="n"/>
    </row>
    <row r="1999" ht="15" customHeight="1" s="37">
      <c r="A1999" s="42" t="inlineStr">
        <is>
          <t>gucci bloom parfum miniature</t>
        </is>
      </c>
      <c r="B1999" s="42" t="inlineStr">
        <is>
          <t>gucci bloom perfume miniature</t>
        </is>
      </c>
      <c r="C1999" s="42" t="inlineStr">
        <is>
          <t>Yes</t>
        </is>
      </c>
    </row>
    <row r="2000" ht="15" customHeight="1" s="37">
      <c r="A2000" s="42" t="inlineStr">
        <is>
          <t>gucci bloom parfum miniature</t>
        </is>
      </c>
      <c r="B2000" s="42" t="inlineStr">
        <is>
          <t>gucci bloom parfum small</t>
        </is>
      </c>
      <c r="C2000" s="42" t="n"/>
    </row>
    <row r="2001" ht="15" customHeight="1" s="37">
      <c r="A2001" s="42" t="inlineStr">
        <is>
          <t>gucci bloom parfum miniature</t>
        </is>
      </c>
      <c r="B2001" s="42" t="inlineStr">
        <is>
          <t>gucci bloom perfume mini</t>
        </is>
      </c>
      <c r="C2001" s="42" t="inlineStr">
        <is>
          <t>Yes</t>
        </is>
      </c>
    </row>
    <row r="2002" ht="15" customHeight="1" s="37">
      <c r="A2002" s="42" t="inlineStr">
        <is>
          <t>gucci bloom parfum miniature</t>
        </is>
      </c>
      <c r="B2002" s="42" t="inlineStr">
        <is>
          <t>gucci bloom perfume mini set</t>
        </is>
      </c>
      <c r="C2002" s="42" t="inlineStr">
        <is>
          <t>Yes</t>
        </is>
      </c>
    </row>
    <row r="2003" ht="15" customHeight="1" s="37">
      <c r="A2003" s="42" t="inlineStr">
        <is>
          <t>gucci bloom parfum miniature</t>
        </is>
      </c>
      <c r="B2003" s="42" t="inlineStr">
        <is>
          <t>gucci bloom eau de parfum miniature</t>
        </is>
      </c>
      <c r="C2003" s="42" t="inlineStr">
        <is>
          <t>Yes</t>
        </is>
      </c>
    </row>
    <row r="2004" ht="15" customHeight="1" s="37">
      <c r="A2004" s="42" t="inlineStr">
        <is>
          <t>gucci bloom parfum miniature</t>
        </is>
      </c>
      <c r="B2004" s="42" t="inlineStr">
        <is>
          <t>gucci bloom mini perfume price</t>
        </is>
      </c>
      <c r="C2004" s="42" t="inlineStr">
        <is>
          <t>Yes</t>
        </is>
      </c>
    </row>
    <row r="2005" ht="15" customHeight="1" s="37">
      <c r="A2005" s="42" t="inlineStr">
        <is>
          <t>gucci bloom parfum miniature</t>
        </is>
      </c>
      <c r="B2005" s="42" t="inlineStr">
        <is>
          <t>gucci flower parfum mini</t>
        </is>
      </c>
      <c r="C2005" s="42" t="n"/>
    </row>
    <row r="2006" ht="15" customHeight="1" s="37">
      <c r="A2006" s="42" t="inlineStr">
        <is>
          <t>gucci bloom parfum miniature</t>
        </is>
      </c>
      <c r="B2006" s="42" t="inlineStr">
        <is>
          <t>miniature parfum gucci bloom</t>
        </is>
      </c>
      <c r="C2006" s="42" t="inlineStr">
        <is>
          <t>Yes</t>
        </is>
      </c>
    </row>
    <row r="2007" ht="15" customHeight="1" s="37">
      <c r="A2007" s="42" t="inlineStr">
        <is>
          <t>gucci bloom parfum miniature</t>
        </is>
      </c>
      <c r="B2007" s="42" t="inlineStr">
        <is>
          <t>how long does gucci bloom perfume last</t>
        </is>
      </c>
      <c r="C2007" s="42" t="n"/>
    </row>
    <row r="2008" ht="15" customHeight="1" s="37">
      <c r="A2008" s="42" t="inlineStr">
        <is>
          <t>gucci bloom parfum miniature</t>
        </is>
      </c>
      <c r="B2008" s="42" t="inlineStr">
        <is>
          <t>what is the price of gucci bloom perfume</t>
        </is>
      </c>
      <c r="C2008" s="42" t="n"/>
    </row>
    <row r="2009" ht="15" customHeight="1" s="37">
      <c r="A2009" s="42" t="inlineStr">
        <is>
          <t>gucci flora gorgeous gardenia</t>
        </is>
      </c>
      <c r="B2009" s="42" t="inlineStr">
        <is>
          <t>gucci flora gorgeous gardenia</t>
        </is>
      </c>
      <c r="C2009" s="42" t="inlineStr">
        <is>
          <t>Yes</t>
        </is>
      </c>
    </row>
    <row r="2010" ht="15" customHeight="1" s="37">
      <c r="A2010" s="42" t="inlineStr">
        <is>
          <t>gucci flora gorgeous gardenia</t>
        </is>
      </c>
      <c r="B2010" s="42" t="inlineStr">
        <is>
          <t>gucci flora gorgeous gardenia intense</t>
        </is>
      </c>
      <c r="C2010" s="42" t="n"/>
    </row>
    <row r="2011" ht="15" customHeight="1" s="37">
      <c r="A2011" s="42" t="inlineStr">
        <is>
          <t>gucci flora gorgeous gardenia</t>
        </is>
      </c>
      <c r="B2011" s="42" t="inlineStr">
        <is>
          <t>gucci flora gorgeous gardenia eau de parfum</t>
        </is>
      </c>
      <c r="C2011" s="42" t="inlineStr">
        <is>
          <t>Yes</t>
        </is>
      </c>
    </row>
    <row r="2012" ht="15" customHeight="1" s="37">
      <c r="A2012" s="42" t="inlineStr">
        <is>
          <t>gucci flora gorgeous gardenia</t>
        </is>
      </c>
      <c r="B2012" s="42" t="inlineStr">
        <is>
          <t>gucci flora gorgeous gardenia notes</t>
        </is>
      </c>
      <c r="C2012" s="42" t="inlineStr">
        <is>
          <t>Yes</t>
        </is>
      </c>
    </row>
    <row r="2013" ht="15" customHeight="1" s="37">
      <c r="A2013" s="42" t="inlineStr">
        <is>
          <t>gucci flora gorgeous gardenia</t>
        </is>
      </c>
      <c r="B2013" s="42" t="inlineStr">
        <is>
          <t>gucci flora gorgeous gardenia dupe</t>
        </is>
      </c>
      <c r="C2013" s="42" t="inlineStr">
        <is>
          <t>Yes</t>
        </is>
      </c>
    </row>
    <row r="2014" ht="15" customHeight="1" s="37">
      <c r="A2014" s="42" t="inlineStr">
        <is>
          <t>gucci flora gorgeous gardenia</t>
        </is>
      </c>
      <c r="B2014" s="42" t="inlineStr">
        <is>
          <t>gucci flora gorgeous gardenia 100ml</t>
        </is>
      </c>
      <c r="C2014" s="42" t="inlineStr">
        <is>
          <t>Yes</t>
        </is>
      </c>
    </row>
    <row r="2015" ht="15" customHeight="1" s="37">
      <c r="A2015" s="42" t="inlineStr">
        <is>
          <t>gucci flora gorgeous gardenia</t>
        </is>
      </c>
      <c r="B2015" s="42" t="inlineStr">
        <is>
          <t>gucci flora gorgeous gardenia 50ml</t>
        </is>
      </c>
      <c r="C2015" s="42" t="inlineStr">
        <is>
          <t>Yes</t>
        </is>
      </c>
    </row>
    <row r="2016" ht="15" customHeight="1" s="37">
      <c r="A2016" s="42" t="inlineStr">
        <is>
          <t>gucci flora gorgeous gardenia</t>
        </is>
      </c>
      <c r="B2016" s="42" t="inlineStr">
        <is>
          <t>gucci flora gorgeous gardenia eau de parfum intense</t>
        </is>
      </c>
      <c r="C2016" s="42" t="n"/>
    </row>
    <row r="2017" ht="15" customHeight="1" s="37">
      <c r="A2017" s="42" t="inlineStr">
        <is>
          <t>gucci flora gorgeous gardenia</t>
        </is>
      </c>
      <c r="B2017" s="42" t="inlineStr">
        <is>
          <t>gucci flora gorgeous gardenia perfume</t>
        </is>
      </c>
      <c r="C2017" s="42" t="inlineStr">
        <is>
          <t>Yes</t>
        </is>
      </c>
    </row>
    <row r="2018" ht="15" customHeight="1" s="37">
      <c r="A2018" s="42" t="inlineStr">
        <is>
          <t>gucci flora gorgeous gardenia</t>
        </is>
      </c>
      <c r="B2018" s="42" t="inlineStr">
        <is>
          <t>gucci flora gorgeous gardenia price</t>
        </is>
      </c>
      <c r="C2018" s="42" t="inlineStr">
        <is>
          <t>Yes</t>
        </is>
      </c>
    </row>
    <row r="2019" ht="15" customHeight="1" s="37">
      <c r="A2019" s="42" t="inlineStr">
        <is>
          <t>gucci flora gorgeous miniature set</t>
        </is>
      </c>
      <c r="B2019" s="42" t="inlineStr">
        <is>
          <t>gucci flora gorgeous mini set</t>
        </is>
      </c>
      <c r="C2019" s="42" t="inlineStr">
        <is>
          <t>Yes</t>
        </is>
      </c>
    </row>
    <row r="2020" ht="15" customHeight="1" s="37">
      <c r="A2020" s="42" t="inlineStr">
        <is>
          <t>gucci flora gorgeous miniature set</t>
        </is>
      </c>
      <c r="B2020" s="42" t="inlineStr">
        <is>
          <t>gucci flora gorgeous miniature gift set</t>
        </is>
      </c>
      <c r="C2020" s="42" t="inlineStr">
        <is>
          <t>Yes</t>
        </is>
      </c>
    </row>
    <row r="2021" ht="15" customHeight="1" s="37">
      <c r="A2021" s="42" t="inlineStr">
        <is>
          <t>gucci flora gorgeous miniature set</t>
        </is>
      </c>
      <c r="B2021" s="42" t="inlineStr">
        <is>
          <t>gucci flora gorgeous gardenia mini set</t>
        </is>
      </c>
      <c r="C2021" s="42" t="n"/>
    </row>
    <row r="2022" ht="15" customHeight="1" s="37">
      <c r="A2022" s="42" t="inlineStr">
        <is>
          <t>gucci flora gorgeous miniature set</t>
        </is>
      </c>
      <c r="B2022" s="42" t="inlineStr">
        <is>
          <t>gucci flora gorgeous mini fragrance set 5ml</t>
        </is>
      </c>
      <c r="C2022" s="42" t="n"/>
    </row>
    <row r="2023" ht="15" customHeight="1" s="37">
      <c r="A2023" s="42" t="inlineStr">
        <is>
          <t>gucci flora gorgeous miniature set</t>
        </is>
      </c>
      <c r="B2023" s="42" t="inlineStr">
        <is>
          <t>gucci flora gorgeous 4 piece mini set</t>
        </is>
      </c>
      <c r="C2023" s="42" t="n"/>
    </row>
    <row r="2024" ht="15" customHeight="1" s="37">
      <c r="A2024" s="42" t="inlineStr">
        <is>
          <t>gucci flora gorgeous miniature set</t>
        </is>
      </c>
      <c r="B2024" s="42" t="inlineStr">
        <is>
          <t>gucci flora gorgeous gardenia mini gift set</t>
        </is>
      </c>
      <c r="C2024" s="42" t="n"/>
    </row>
    <row r="2025" ht="15" customHeight="1" s="37">
      <c r="A2025" s="42" t="inlineStr">
        <is>
          <t>gucci flora gorgeous miniature set</t>
        </is>
      </c>
      <c r="B2025" s="42" t="inlineStr">
        <is>
          <t>gucci flora gorgeous 4pc miniature collection edp set</t>
        </is>
      </c>
      <c r="C2025" s="42" t="n"/>
    </row>
    <row r="2026" ht="15" customHeight="1" s="37">
      <c r="A2026" s="42" t="inlineStr">
        <is>
          <t>gucci flora gorgeous miniature set</t>
        </is>
      </c>
      <c r="B2026" s="42" t="inlineStr">
        <is>
          <t>gucci flora gorgeous gardenia miniature set 20ml</t>
        </is>
      </c>
      <c r="C2026" s="42" t="n"/>
    </row>
    <row r="2027" ht="15" customHeight="1" s="37">
      <c r="A2027" s="42" t="inlineStr">
        <is>
          <t>gucci flora gorgeous miniature set</t>
        </is>
      </c>
      <c r="B2027" s="42" t="inlineStr">
        <is>
          <t>which gucci flora is the best</t>
        </is>
      </c>
      <c r="C2027" s="42" t="n"/>
    </row>
    <row r="2028" ht="15" customHeight="1" s="37">
      <c r="A2028" s="42" t="inlineStr">
        <is>
          <t>gucci flora gorgeous miniature set</t>
        </is>
      </c>
      <c r="B2028" s="42" t="inlineStr">
        <is>
          <t>gucci flora rating</t>
        </is>
      </c>
      <c r="C2028" s="42" t="n"/>
    </row>
    <row r="2029" ht="15" customHeight="1" s="37">
      <c r="A2029" s="42" t="inlineStr">
        <is>
          <t>gucci flora gorgeous orchid miniature</t>
        </is>
      </c>
      <c r="B2029" s="42" t="inlineStr">
        <is>
          <t>gucci flora gorgeous orchid miniature</t>
        </is>
      </c>
      <c r="C2029" s="42" t="inlineStr">
        <is>
          <t>Yes</t>
        </is>
      </c>
    </row>
    <row r="2030" ht="15" customHeight="1" s="37">
      <c r="A2030" s="42" t="inlineStr">
        <is>
          <t>gucci flora gorgeous orchid miniature</t>
        </is>
      </c>
      <c r="B2030" s="42" t="inlineStr">
        <is>
          <t>gucci flora gorgeous orchid small</t>
        </is>
      </c>
      <c r="C2030" s="42" t="n"/>
    </row>
    <row r="2031" ht="15" customHeight="1" s="37">
      <c r="A2031" s="42" t="inlineStr">
        <is>
          <t>gucci flora gorgeous orchid miniature</t>
        </is>
      </c>
      <c r="B2031" s="42" t="inlineStr">
        <is>
          <t>gucci flora gorgeous orchid w edp 5ml miniature</t>
        </is>
      </c>
      <c r="C2031" s="42" t="n"/>
    </row>
    <row r="2032" ht="15" customHeight="1" s="37">
      <c r="A2032" s="42" t="inlineStr">
        <is>
          <t>gucci flora gorgeous orchid miniature</t>
        </is>
      </c>
      <c r="B2032" s="42" t="inlineStr">
        <is>
          <t>what is the best gucci flora perfume</t>
        </is>
      </c>
      <c r="C2032" s="42" t="n"/>
    </row>
    <row r="2033" ht="15" customHeight="1" s="37">
      <c r="A2033" s="42" t="inlineStr">
        <is>
          <t>gucci flora gorgeous orchid miniature</t>
        </is>
      </c>
      <c r="B2033" s="42" t="inlineStr">
        <is>
          <t>gucci flora gorgeous gardenia 100ml price</t>
        </is>
      </c>
      <c r="C2033" s="42" t="n"/>
    </row>
    <row r="2034" ht="15" customHeight="1" s="37">
      <c r="A2034" s="42" t="inlineStr">
        <is>
          <t>gucci flora gorgeous orchid miniature</t>
        </is>
      </c>
      <c r="B2034" s="42" t="inlineStr">
        <is>
          <t>gucci flora gorgeous gardenia 50ml price</t>
        </is>
      </c>
      <c r="C2034" s="42" t="n"/>
    </row>
    <row r="2035" ht="15" customHeight="1" s="37">
      <c r="A2035" s="42" t="inlineStr">
        <is>
          <t>gucci flora gorgeous orchid miniature</t>
        </is>
      </c>
      <c r="B2035" s="42" t="inlineStr">
        <is>
          <t>gucci flora perfume gorgeous gardenia review</t>
        </is>
      </c>
      <c r="C2035" s="42" t="n"/>
    </row>
    <row r="2036" ht="15" customHeight="1" s="37">
      <c r="A2036" s="42" t="inlineStr">
        <is>
          <t>gucci flora gorgeous orchid miniature</t>
        </is>
      </c>
      <c r="B2036" s="42" t="inlineStr">
        <is>
          <t>gucci flora gorgeous gardenia perfume price</t>
        </is>
      </c>
      <c r="C2036" s="42" t="n"/>
    </row>
    <row r="2037" ht="15" customHeight="1" s="37">
      <c r="A2037" s="42" t="inlineStr">
        <is>
          <t>gucci guilty pour femme gift set</t>
        </is>
      </c>
      <c r="B2037" s="42" t="inlineStr">
        <is>
          <t>gucci guilty pour femme gift set</t>
        </is>
      </c>
      <c r="C2037" s="42" t="inlineStr">
        <is>
          <t>Yes</t>
        </is>
      </c>
    </row>
    <row r="2038" ht="15" customHeight="1" s="37">
      <c r="A2038" s="42" t="inlineStr">
        <is>
          <t>gucci guilty pour femme gift set</t>
        </is>
      </c>
      <c r="B2038" s="42" t="inlineStr">
        <is>
          <t>gucci guilty pour homme gift set</t>
        </is>
      </c>
      <c r="C2038" s="42" t="n"/>
    </row>
    <row r="2039" ht="15" customHeight="1" s="37">
      <c r="A2039" s="42" t="inlineStr">
        <is>
          <t>gucci guilty pour femme gift set</t>
        </is>
      </c>
      <c r="B2039" s="42" t="inlineStr">
        <is>
          <t>gucci guilty pour homme gift set for men</t>
        </is>
      </c>
      <c r="C2039" s="42" t="n"/>
    </row>
    <row r="2040" ht="15" customHeight="1" s="37">
      <c r="A2040" s="42" t="inlineStr">
        <is>
          <t>gucci guilty pour femme gift set</t>
        </is>
      </c>
      <c r="B2040" s="42" t="inlineStr">
        <is>
          <t>gucci guilty absolute pour femme gift set</t>
        </is>
      </c>
      <c r="C2040" s="42" t="n"/>
    </row>
    <row r="2041" ht="15" customHeight="1" s="37">
      <c r="A2041" s="42" t="inlineStr">
        <is>
          <t>gucci guilty pour femme gift set</t>
        </is>
      </c>
      <c r="B2041" s="42" t="inlineStr">
        <is>
          <t>gucci guilty pour homme trio gift set</t>
        </is>
      </c>
      <c r="C2041" s="42" t="n"/>
    </row>
    <row r="2042" ht="15" customHeight="1" s="37">
      <c r="A2042" s="42" t="inlineStr">
        <is>
          <t>gucci guilty pour femme gift set</t>
        </is>
      </c>
      <c r="B2042" s="42" t="inlineStr">
        <is>
          <t>gucci guilty edp pour homme gift set</t>
        </is>
      </c>
      <c r="C2042" s="42" t="n"/>
    </row>
    <row r="2043" ht="15" customHeight="1" s="37">
      <c r="A2043" s="42" t="inlineStr">
        <is>
          <t>gucci guilty pour femme gift set</t>
        </is>
      </c>
      <c r="B2043" s="42" t="inlineStr">
        <is>
          <t>gucci guilty pour femme set</t>
        </is>
      </c>
      <c r="C2043" s="42" t="inlineStr">
        <is>
          <t>Yes</t>
        </is>
      </c>
    </row>
    <row r="2044" ht="15" customHeight="1" s="37">
      <c r="A2044" s="42" t="inlineStr">
        <is>
          <t>gucci guilty pour femme gift set</t>
        </is>
      </c>
      <c r="B2044" s="42" t="inlineStr">
        <is>
          <t>gucci guilty pour homme 2 piece gift set</t>
        </is>
      </c>
      <c r="C2044" s="42" t="n"/>
    </row>
    <row r="2045" ht="15" customHeight="1" s="37">
      <c r="A2045" s="42" t="inlineStr">
        <is>
          <t>gucci guilty pour femme gift set</t>
        </is>
      </c>
      <c r="B2045" s="42" t="inlineStr">
        <is>
          <t>gucci guilty pour femme eau de parfum gift set</t>
        </is>
      </c>
      <c r="C2045" s="42" t="inlineStr">
        <is>
          <t>Yes</t>
        </is>
      </c>
    </row>
    <row r="2046" ht="15" customHeight="1" s="37">
      <c r="A2046" s="42" t="inlineStr">
        <is>
          <t>gucci guilty pour femme gift set</t>
        </is>
      </c>
      <c r="B2046" s="42" t="inlineStr">
        <is>
          <t>gucci guilty pour homme set</t>
        </is>
      </c>
      <c r="C2046" s="42" t="n"/>
    </row>
    <row r="2047" ht="15" customHeight="1" s="37">
      <c r="A2047" s="42" t="inlineStr">
        <is>
          <t>gucci guilty pour femme miniature</t>
        </is>
      </c>
      <c r="B2047" s="42" t="inlineStr">
        <is>
          <t>gucci guilty pour homme miniature</t>
        </is>
      </c>
      <c r="C2047" s="42" t="n"/>
    </row>
    <row r="2048" ht="15" customHeight="1" s="37">
      <c r="A2048" s="42" t="inlineStr">
        <is>
          <t>gucci guilty pour femme miniature</t>
        </is>
      </c>
      <c r="B2048" s="42" t="inlineStr">
        <is>
          <t>gucci guilty pour femme small</t>
        </is>
      </c>
      <c r="C2048" s="42" t="n"/>
    </row>
    <row r="2049" ht="15" customHeight="1" s="37">
      <c r="A2049" s="42" t="inlineStr">
        <is>
          <t>gucci guilty pour femme miniature</t>
        </is>
      </c>
      <c r="B2049" s="42" t="inlineStr">
        <is>
          <t>gucci guilty pour homme small bottle</t>
        </is>
      </c>
      <c r="C2049" s="42" t="n"/>
    </row>
    <row r="2050" ht="15" customHeight="1" s="37">
      <c r="A2050" s="42" t="inlineStr">
        <is>
          <t>gucci guilty pour femme miniature</t>
        </is>
      </c>
      <c r="B2050" s="42" t="inlineStr">
        <is>
          <t>gucci guilty pour homme small</t>
        </is>
      </c>
      <c r="C2050" s="42" t="n"/>
    </row>
    <row r="2051" ht="15" customHeight="1" s="37">
      <c r="A2051" s="42" t="inlineStr">
        <is>
          <t>gucci guilty pour femme miniature</t>
        </is>
      </c>
      <c r="B2051" s="42" t="inlineStr">
        <is>
          <t>gucci guilty pour femme edp intense 5ml miniature</t>
        </is>
      </c>
      <c r="C2051" s="42" t="n"/>
    </row>
    <row r="2052" ht="15" customHeight="1" s="37">
      <c r="A2052" s="42" t="inlineStr">
        <is>
          <t>gucci guilty pour femme miniature</t>
        </is>
      </c>
      <c r="B2052" s="42" t="inlineStr">
        <is>
          <t>gucci guilty pour femme elixir de parfum 5ml miniature</t>
        </is>
      </c>
      <c r="C2052" s="42" t="n"/>
    </row>
    <row r="2053" ht="15" customHeight="1" s="37">
      <c r="A2053" s="42" t="inlineStr">
        <is>
          <t>gucci guilty pour femme miniature</t>
        </is>
      </c>
      <c r="B2053" s="42" t="inlineStr">
        <is>
          <t>gucci guilty pour femme price</t>
        </is>
      </c>
      <c r="C2053" s="42" t="inlineStr">
        <is>
          <t>Yes</t>
        </is>
      </c>
    </row>
    <row r="2054" ht="15" customHeight="1" s="37">
      <c r="A2054" s="42" t="inlineStr">
        <is>
          <t>gucci guilty pour femme miniature</t>
        </is>
      </c>
      <c r="B2054" s="42" t="inlineStr">
        <is>
          <t>gucci guilty absolute pour femme price</t>
        </is>
      </c>
      <c r="C2054" s="42" t="n"/>
    </row>
    <row r="2055" ht="15" customHeight="1" s="37">
      <c r="A2055" s="42" t="inlineStr">
        <is>
          <t>gucci guilty pour homme</t>
        </is>
      </c>
      <c r="B2055" s="42" t="inlineStr">
        <is>
          <t>gucci guilty pour homme</t>
        </is>
      </c>
      <c r="C2055" s="42" t="inlineStr">
        <is>
          <t>Yes</t>
        </is>
      </c>
    </row>
    <row r="2056" ht="15" customHeight="1" s="37">
      <c r="A2056" s="42" t="inlineStr">
        <is>
          <t>gucci guilty pour homme</t>
        </is>
      </c>
      <c r="B2056" s="42" t="inlineStr">
        <is>
          <t>gucci guilty pour homme eau de parfum</t>
        </is>
      </c>
      <c r="C2056" s="42" t="inlineStr">
        <is>
          <t>Yes</t>
        </is>
      </c>
    </row>
    <row r="2057" ht="15" customHeight="1" s="37">
      <c r="A2057" s="42" t="inlineStr">
        <is>
          <t>gucci guilty pour homme</t>
        </is>
      </c>
      <c r="B2057" s="42" t="inlineStr">
        <is>
          <t>gucci guilty pour homme eau de toilette</t>
        </is>
      </c>
      <c r="C2057" s="42" t="inlineStr">
        <is>
          <t>Yes</t>
        </is>
      </c>
    </row>
    <row r="2058" ht="15" customHeight="1" s="37">
      <c r="A2058" s="42" t="inlineStr">
        <is>
          <t>gucci guilty pour homme</t>
        </is>
      </c>
      <c r="B2058" s="42" t="inlineStr">
        <is>
          <t>gucci guilty pour homme parfum</t>
        </is>
      </c>
      <c r="C2058" s="42" t="inlineStr">
        <is>
          <t>Yes</t>
        </is>
      </c>
    </row>
    <row r="2059" ht="15" customHeight="1" s="37">
      <c r="A2059" s="42" t="inlineStr">
        <is>
          <t>gucci guilty pour homme</t>
        </is>
      </c>
      <c r="B2059" s="42" t="inlineStr">
        <is>
          <t>gucci guilty pour homme edt</t>
        </is>
      </c>
      <c r="C2059" s="42" t="inlineStr">
        <is>
          <t>Yes</t>
        </is>
      </c>
    </row>
    <row r="2060" ht="15" customHeight="1" s="37">
      <c r="A2060" s="42" t="inlineStr">
        <is>
          <t>gucci guilty pour homme</t>
        </is>
      </c>
      <c r="B2060" s="42" t="inlineStr">
        <is>
          <t>gucci guilty pour homme edp</t>
        </is>
      </c>
      <c r="C2060" s="42" t="inlineStr">
        <is>
          <t>Yes</t>
        </is>
      </c>
    </row>
    <row r="2061" ht="15" customHeight="1" s="37">
      <c r="A2061" s="42" t="inlineStr">
        <is>
          <t>gucci guilty pour homme</t>
        </is>
      </c>
      <c r="B2061" s="42" t="inlineStr">
        <is>
          <t>gucci guilty pour homme notes</t>
        </is>
      </c>
      <c r="C2061" s="42" t="inlineStr">
        <is>
          <t>Yes</t>
        </is>
      </c>
    </row>
    <row r="2062" ht="15" customHeight="1" s="37">
      <c r="A2062" s="42" t="inlineStr">
        <is>
          <t>gucci guilty pour homme</t>
        </is>
      </c>
      <c r="B2062" s="42" t="inlineStr">
        <is>
          <t>gucci guilty pour homme elixir</t>
        </is>
      </c>
      <c r="C2062" s="42" t="n"/>
    </row>
    <row r="2063" ht="15" customHeight="1" s="37">
      <c r="A2063" s="42" t="inlineStr">
        <is>
          <t>gucci guilty pour homme</t>
        </is>
      </c>
      <c r="B2063" s="42" t="inlineStr">
        <is>
          <t>gucci guilty pour homme review</t>
        </is>
      </c>
      <c r="C2063" s="42" t="inlineStr">
        <is>
          <t>Yes</t>
        </is>
      </c>
    </row>
    <row r="2064" ht="15" customHeight="1" s="37">
      <c r="A2064" s="42" t="inlineStr">
        <is>
          <t>gucci guilty pour homme</t>
        </is>
      </c>
      <c r="B2064" s="42" t="inlineStr">
        <is>
          <t>gucci guilty pour homme love edition</t>
        </is>
      </c>
      <c r="C2064" s="42" t="n"/>
    </row>
    <row r="2065" ht="15" customHeight="1" s="37">
      <c r="A2065" s="42" t="inlineStr">
        <is>
          <t>gucci intense oud</t>
        </is>
      </c>
      <c r="B2065" s="42" t="inlineStr">
        <is>
          <t>gucci intense oud</t>
        </is>
      </c>
      <c r="C2065" s="42" t="inlineStr">
        <is>
          <t>Yes</t>
        </is>
      </c>
    </row>
    <row r="2066" ht="15" customHeight="1" s="37">
      <c r="A2066" s="42" t="inlineStr">
        <is>
          <t>gucci intense oud</t>
        </is>
      </c>
      <c r="B2066" s="42" t="inlineStr">
        <is>
          <t>gucci intense oud price</t>
        </is>
      </c>
      <c r="C2066" s="42" t="inlineStr">
        <is>
          <t>Yes</t>
        </is>
      </c>
    </row>
    <row r="2067" ht="15" customHeight="1" s="37">
      <c r="A2067" s="42" t="inlineStr">
        <is>
          <t>gucci intense oud</t>
        </is>
      </c>
      <c r="B2067" s="42" t="inlineStr">
        <is>
          <t>gucci intense oud review</t>
        </is>
      </c>
      <c r="C2067" s="42" t="inlineStr">
        <is>
          <t>Yes</t>
        </is>
      </c>
    </row>
    <row r="2068" ht="15" customHeight="1" s="37">
      <c r="A2068" s="42" t="inlineStr">
        <is>
          <t>gucci intense oud</t>
        </is>
      </c>
      <c r="B2068" s="42" t="inlineStr">
        <is>
          <t>gucci intense oud price in pakistan</t>
        </is>
      </c>
      <c r="C2068" s="42" t="n"/>
    </row>
    <row r="2069" ht="15" customHeight="1" s="37">
      <c r="A2069" s="42" t="inlineStr">
        <is>
          <t>gucci intense oud</t>
        </is>
      </c>
      <c r="B2069" s="42" t="inlineStr">
        <is>
          <t>gucci intense oud dupe</t>
        </is>
      </c>
      <c r="C2069" s="42" t="inlineStr">
        <is>
          <t>Yes</t>
        </is>
      </c>
    </row>
    <row r="2070" ht="15" customHeight="1" s="37">
      <c r="A2070" s="42" t="inlineStr">
        <is>
          <t>gucci intense oud</t>
        </is>
      </c>
      <c r="B2070" s="42" t="inlineStr">
        <is>
          <t>gucci intense oud notes</t>
        </is>
      </c>
      <c r="C2070" s="42" t="inlineStr">
        <is>
          <t>Yes</t>
        </is>
      </c>
    </row>
    <row r="2071" ht="15" customHeight="1" s="37">
      <c r="A2071" s="42" t="inlineStr">
        <is>
          <t>gucci intense oud</t>
        </is>
      </c>
      <c r="B2071" s="42" t="inlineStr">
        <is>
          <t>gucci intense oud eau de parfum</t>
        </is>
      </c>
      <c r="C2071" s="42" t="inlineStr">
        <is>
          <t>Yes</t>
        </is>
      </c>
    </row>
    <row r="2072" ht="15" customHeight="1" s="37">
      <c r="A2072" s="42" t="inlineStr">
        <is>
          <t>gucci intense oud</t>
        </is>
      </c>
      <c r="B2072" s="42" t="inlineStr">
        <is>
          <t>gucci intense oud 90ml</t>
        </is>
      </c>
      <c r="C2072" s="42" t="inlineStr">
        <is>
          <t>Yes</t>
        </is>
      </c>
    </row>
    <row r="2073" ht="15" customHeight="1" s="37">
      <c r="A2073" s="42" t="inlineStr">
        <is>
          <t>gucci intense oud</t>
        </is>
      </c>
      <c r="B2073" s="42" t="inlineStr">
        <is>
          <t>gucci intense oud men</t>
        </is>
      </c>
      <c r="C2073" s="42" t="n"/>
    </row>
    <row r="2074" ht="15" customHeight="1" s="37">
      <c r="A2074" s="42" t="inlineStr">
        <is>
          <t>gucci intense oud</t>
        </is>
      </c>
      <c r="B2074" s="42" t="inlineStr">
        <is>
          <t>gucci intense oud price in nigeria</t>
        </is>
      </c>
      <c r="C2074" s="42" t="n"/>
    </row>
    <row r="2075" ht="15" customHeight="1" s="37">
      <c r="A2075" s="42" t="inlineStr">
        <is>
          <t>gucci miniature set</t>
        </is>
      </c>
      <c r="B2075" s="42" t="inlineStr">
        <is>
          <t>gucci miniature set</t>
        </is>
      </c>
      <c r="C2075" s="42" t="inlineStr">
        <is>
          <t>Yes</t>
        </is>
      </c>
    </row>
    <row r="2076" ht="15" customHeight="1" s="37">
      <c r="A2076" s="42" t="inlineStr">
        <is>
          <t>gucci miniature set</t>
        </is>
      </c>
      <c r="B2076" s="42" t="inlineStr">
        <is>
          <t>gucci mini set</t>
        </is>
      </c>
      <c r="C2076" s="42" t="inlineStr">
        <is>
          <t>Yes</t>
        </is>
      </c>
    </row>
    <row r="2077" ht="15" customHeight="1" s="37">
      <c r="A2077" s="42" t="inlineStr">
        <is>
          <t>gucci miniature set</t>
        </is>
      </c>
      <c r="B2077" s="42" t="inlineStr">
        <is>
          <t>gucci mini set perfume</t>
        </is>
      </c>
      <c r="C2077" s="42" t="inlineStr">
        <is>
          <t>Yes</t>
        </is>
      </c>
    </row>
    <row r="2078" ht="15" customHeight="1" s="37">
      <c r="A2078" s="42" t="inlineStr">
        <is>
          <t>gucci miniature set</t>
        </is>
      </c>
      <c r="B2078" s="42" t="inlineStr">
        <is>
          <t>gucci mini set flora</t>
        </is>
      </c>
      <c r="C2078" s="42" t="n"/>
    </row>
    <row r="2079" ht="15" customHeight="1" s="37">
      <c r="A2079" s="42" t="inlineStr">
        <is>
          <t>gucci miniature set</t>
        </is>
      </c>
      <c r="B2079" s="42" t="inlineStr">
        <is>
          <t>gucci mini set sephora</t>
        </is>
      </c>
      <c r="C2079" s="42" t="n"/>
    </row>
    <row r="2080" ht="15" customHeight="1" s="37">
      <c r="A2080" s="42" t="inlineStr">
        <is>
          <t>gucci miniature set</t>
        </is>
      </c>
      <c r="B2080" s="42" t="inlineStr">
        <is>
          <t>gucci mini set ulta</t>
        </is>
      </c>
      <c r="C2080" s="42" t="n"/>
    </row>
    <row r="2081" ht="15" customHeight="1" s="37">
      <c r="A2081" s="42" t="inlineStr">
        <is>
          <t>gucci miniature set</t>
        </is>
      </c>
      <c r="B2081" s="42" t="inlineStr">
        <is>
          <t>gucci mini set chemist warehouse</t>
        </is>
      </c>
      <c r="C2081" s="42" t="n"/>
    </row>
    <row r="2082" ht="15" customHeight="1" s="37">
      <c r="A2082" s="42" t="inlineStr">
        <is>
          <t>gucci miniature set</t>
        </is>
      </c>
      <c r="B2082" s="42" t="inlineStr">
        <is>
          <t>gucci mini set of 4</t>
        </is>
      </c>
      <c r="C2082" s="42" t="inlineStr">
        <is>
          <t>Yes</t>
        </is>
      </c>
    </row>
    <row r="2083" ht="15" customHeight="1" s="37">
      <c r="A2083" s="42" t="inlineStr">
        <is>
          <t>gucci miniature set</t>
        </is>
      </c>
      <c r="B2083" s="42" t="inlineStr">
        <is>
          <t>gucci mini set men</t>
        </is>
      </c>
      <c r="C2083" s="42" t="inlineStr">
        <is>
          <t>Yes</t>
        </is>
      </c>
    </row>
    <row r="2084" ht="15" customHeight="1" s="37">
      <c r="A2084" s="42" t="inlineStr">
        <is>
          <t>gucci miniature set</t>
        </is>
      </c>
      <c r="B2084" s="42" t="inlineStr">
        <is>
          <t>gucci small set</t>
        </is>
      </c>
      <c r="C2084" s="42" t="n"/>
    </row>
    <row r="2085" ht="15" customHeight="1" s="37">
      <c r="A2085" s="42" t="inlineStr">
        <is>
          <t>gucci perfume</t>
        </is>
      </c>
      <c r="B2085" s="42" t="inlineStr">
        <is>
          <t>gucci perfume</t>
        </is>
      </c>
      <c r="C2085" s="42" t="inlineStr">
        <is>
          <t>Yes</t>
        </is>
      </c>
    </row>
    <row r="2086" ht="15" customHeight="1" s="37">
      <c r="A2086" s="42" t="inlineStr">
        <is>
          <t>gucci perfume</t>
        </is>
      </c>
      <c r="B2086" s="42" t="inlineStr">
        <is>
          <t>gucci perfume women</t>
        </is>
      </c>
      <c r="C2086" s="42" t="n"/>
    </row>
    <row r="2087" ht="15" customHeight="1" s="37">
      <c r="A2087" s="42" t="inlineStr">
        <is>
          <t>gucci perfume</t>
        </is>
      </c>
      <c r="B2087" s="42" t="inlineStr">
        <is>
          <t>gucci perfume for men</t>
        </is>
      </c>
      <c r="C2087" s="42" t="inlineStr">
        <is>
          <t>Yes</t>
        </is>
      </c>
    </row>
    <row r="2088" ht="15" customHeight="1" s="37">
      <c r="A2088" s="42" t="inlineStr">
        <is>
          <t>gucci perfume</t>
        </is>
      </c>
      <c r="B2088" s="42" t="inlineStr">
        <is>
          <t>gucci perfume price</t>
        </is>
      </c>
      <c r="C2088" s="42" t="n"/>
    </row>
    <row r="2089" ht="15" customHeight="1" s="37">
      <c r="A2089" s="42" t="inlineStr">
        <is>
          <t>gucci perfume</t>
        </is>
      </c>
      <c r="B2089" s="42" t="inlineStr">
        <is>
          <t>gucci perfume flora</t>
        </is>
      </c>
      <c r="C2089" s="42" t="n"/>
    </row>
    <row r="2090" ht="15" customHeight="1" s="37">
      <c r="A2090" s="42" t="inlineStr">
        <is>
          <t>gucci perfume</t>
        </is>
      </c>
      <c r="B2090" s="42" t="inlineStr">
        <is>
          <t>gucci perfume price in pakistan</t>
        </is>
      </c>
      <c r="C2090" s="42" t="n"/>
    </row>
    <row r="2091" ht="15" customHeight="1" s="37">
      <c r="A2091" s="42" t="inlineStr">
        <is>
          <t>gucci perfume</t>
        </is>
      </c>
      <c r="B2091" s="42" t="inlineStr">
        <is>
          <t>gucci perfume guilty</t>
        </is>
      </c>
      <c r="C2091" s="42" t="n"/>
    </row>
    <row r="2092" ht="15" customHeight="1" s="37">
      <c r="A2092" s="42" t="inlineStr">
        <is>
          <t>gucci perfume</t>
        </is>
      </c>
      <c r="B2092" s="42" t="inlineStr">
        <is>
          <t>gucci perfume set</t>
        </is>
      </c>
      <c r="C2092" s="42" t="n"/>
    </row>
    <row r="2093" ht="15" customHeight="1" s="37">
      <c r="A2093" s="42" t="inlineStr">
        <is>
          <t>gucci perfume</t>
        </is>
      </c>
      <c r="B2093" s="42" t="inlineStr">
        <is>
          <t>gucci perfume bloom</t>
        </is>
      </c>
      <c r="C2093" s="42" t="n"/>
    </row>
    <row r="2094" ht="15" customHeight="1" s="37">
      <c r="A2094" s="42" t="inlineStr">
        <is>
          <t>gucci perfume</t>
        </is>
      </c>
      <c r="B2094" s="42" t="inlineStr">
        <is>
          <t>gucci perfume for women price</t>
        </is>
      </c>
      <c r="C2094" s="42" t="n"/>
    </row>
    <row r="2095" ht="15" customHeight="1" s="37">
      <c r="A2095" s="42" t="inlineStr">
        <is>
          <t>gucci set</t>
        </is>
      </c>
      <c r="B2095" s="42" t="inlineStr">
        <is>
          <t>gucci set</t>
        </is>
      </c>
      <c r="C2095" s="42" t="inlineStr">
        <is>
          <t>Yes</t>
        </is>
      </c>
    </row>
    <row r="2096" ht="15" customHeight="1" s="37">
      <c r="A2096" s="42" t="inlineStr">
        <is>
          <t>gucci set</t>
        </is>
      </c>
      <c r="B2096" s="42" t="inlineStr">
        <is>
          <t>gucci set mens</t>
        </is>
      </c>
      <c r="C2096" s="42" t="n"/>
    </row>
    <row r="2097" ht="15" customHeight="1" s="37">
      <c r="A2097" s="42" t="inlineStr">
        <is>
          <t>gucci set</t>
        </is>
      </c>
      <c r="B2097" s="42" t="inlineStr">
        <is>
          <t>gucci set women</t>
        </is>
      </c>
      <c r="C2097" s="42" t="inlineStr">
        <is>
          <t>Yes</t>
        </is>
      </c>
    </row>
    <row r="2098" ht="15" customHeight="1" s="37">
      <c r="A2098" s="42" t="inlineStr">
        <is>
          <t>gucci set</t>
        </is>
      </c>
      <c r="B2098" s="42" t="inlineStr">
        <is>
          <t>gucci setting spray</t>
        </is>
      </c>
      <c r="C2098" s="42" t="n"/>
    </row>
    <row r="2099" ht="15" customHeight="1" s="37">
      <c r="A2099" s="42" t="inlineStr">
        <is>
          <t>gucci set</t>
        </is>
      </c>
      <c r="B2099" s="42" t="inlineStr">
        <is>
          <t>gucci setting powder</t>
        </is>
      </c>
      <c r="C2099" s="42" t="n"/>
    </row>
    <row r="2100" ht="15" customHeight="1" s="37">
      <c r="A2100" s="42" t="inlineStr">
        <is>
          <t>gucci set</t>
        </is>
      </c>
      <c r="B2100" s="42" t="inlineStr">
        <is>
          <t>gucci set perfume</t>
        </is>
      </c>
      <c r="C2100" s="42" t="inlineStr">
        <is>
          <t>Yes</t>
        </is>
      </c>
    </row>
    <row r="2101" ht="15" customHeight="1" s="37">
      <c r="A2101" s="42" t="inlineStr">
        <is>
          <t>gucci set</t>
        </is>
      </c>
      <c r="B2101" s="42" t="inlineStr">
        <is>
          <t>gucci set clothes</t>
        </is>
      </c>
      <c r="C2101" s="42" t="n"/>
    </row>
    <row r="2102" ht="15" customHeight="1" s="37">
      <c r="A2102" s="42" t="inlineStr">
        <is>
          <t>gucci set</t>
        </is>
      </c>
      <c r="B2102" s="42" t="inlineStr">
        <is>
          <t>gucci set clothes women</t>
        </is>
      </c>
      <c r="C2102" s="42" t="n"/>
    </row>
    <row r="2103" ht="15" customHeight="1" s="37">
      <c r="A2103" s="42" t="inlineStr">
        <is>
          <t>gucci set</t>
        </is>
      </c>
      <c r="B2103" s="42" t="inlineStr">
        <is>
          <t>gucci set clothes men</t>
        </is>
      </c>
      <c r="C2103" s="42" t="n"/>
    </row>
    <row r="2104" ht="15" customHeight="1" s="37">
      <c r="A2104" s="42" t="inlineStr">
        <is>
          <t>gucci set</t>
        </is>
      </c>
      <c r="B2104" s="42" t="inlineStr">
        <is>
          <t>gucci set perfume for women</t>
        </is>
      </c>
      <c r="C2104" s="42" t="inlineStr">
        <is>
          <t>Yes</t>
        </is>
      </c>
    </row>
    <row r="2105" ht="15" customHeight="1" s="37">
      <c r="A2105" s="42" t="inlineStr">
        <is>
          <t>guerlain epices exquises</t>
        </is>
      </c>
      <c r="B2105" s="42" t="inlineStr">
        <is>
          <t>guerlain epices exquises</t>
        </is>
      </c>
      <c r="C2105" s="42" t="inlineStr">
        <is>
          <t>Yes</t>
        </is>
      </c>
    </row>
    <row r="2106" ht="15" customHeight="1" s="37">
      <c r="A2106" s="42" t="inlineStr">
        <is>
          <t>guerlain epices exquises</t>
        </is>
      </c>
      <c r="B2106" s="42" t="inlineStr">
        <is>
          <t>guerlain epices exquises eau de parfum</t>
        </is>
      </c>
      <c r="C2106" s="42" t="inlineStr">
        <is>
          <t>Yes</t>
        </is>
      </c>
    </row>
    <row r="2107" ht="15" customHeight="1" s="37">
      <c r="A2107" s="42" t="inlineStr">
        <is>
          <t>guerlain epices exquises</t>
        </is>
      </c>
      <c r="B2107" s="42" t="inlineStr">
        <is>
          <t>guerlain epices exquises review</t>
        </is>
      </c>
      <c r="C2107" s="42" t="inlineStr">
        <is>
          <t>Yes</t>
        </is>
      </c>
    </row>
    <row r="2108" ht="15" customHeight="1" s="37">
      <c r="A2108" s="42" t="inlineStr">
        <is>
          <t>guerlain epices exquises</t>
        </is>
      </c>
      <c r="B2108" s="42" t="inlineStr">
        <is>
          <t>guerlain epices exquises edp</t>
        </is>
      </c>
      <c r="C2108" s="42" t="inlineStr">
        <is>
          <t>Yes</t>
        </is>
      </c>
    </row>
    <row r="2109" ht="15" customHeight="1" s="37">
      <c r="A2109" s="42" t="inlineStr">
        <is>
          <t>guerlain epices exquises</t>
        </is>
      </c>
      <c r="B2109" s="42" t="inlineStr">
        <is>
          <t>guerlain epices exquises notes</t>
        </is>
      </c>
      <c r="C2109" s="42" t="inlineStr">
        <is>
          <t>Yes</t>
        </is>
      </c>
    </row>
    <row r="2110" ht="15" customHeight="1" s="37">
      <c r="A2110" s="42" t="inlineStr">
        <is>
          <t>guerlain epices exquises</t>
        </is>
      </c>
      <c r="B2110" s="42" t="inlineStr">
        <is>
          <t>guerlain epices exquises edp 125ml</t>
        </is>
      </c>
      <c r="C2110" s="42" t="inlineStr">
        <is>
          <t>Yes</t>
        </is>
      </c>
    </row>
    <row r="2111" ht="15" customHeight="1" s="37">
      <c r="A2111" s="42" t="inlineStr">
        <is>
          <t>guerlain epices exquises</t>
        </is>
      </c>
      <c r="B2111" s="42" t="inlineStr">
        <is>
          <t>guerlain epices exquises eau de parfum 125ml</t>
        </is>
      </c>
      <c r="C2111" s="42" t="inlineStr">
        <is>
          <t>Yes</t>
        </is>
      </c>
    </row>
    <row r="2112" ht="15" customHeight="1" s="37">
      <c r="A2112" s="42" t="inlineStr">
        <is>
          <t>guerlain epices exquises</t>
        </is>
      </c>
      <c r="B2112" s="42" t="inlineStr">
        <is>
          <t>guerlain epices exquises (u) edp 125ml</t>
        </is>
      </c>
      <c r="C2112" s="42" t="n"/>
    </row>
    <row r="2113" ht="15" customHeight="1" s="37">
      <c r="A2113" s="42" t="inlineStr">
        <is>
          <t>guerlain epices exquises</t>
        </is>
      </c>
      <c r="B2113" s="42" t="inlineStr">
        <is>
          <t>guerlain epices exquises dupe</t>
        </is>
      </c>
      <c r="C2113" s="42" t="n"/>
    </row>
    <row r="2114" ht="15" customHeight="1" s="37">
      <c r="A2114" s="42" t="inlineStr">
        <is>
          <t>guerlain epices exquises</t>
        </is>
      </c>
      <c r="B2114" s="42" t="inlineStr">
        <is>
          <t>guerlain epices exquises for man/woman</t>
        </is>
      </c>
      <c r="C2114" s="42" t="n"/>
    </row>
    <row r="2115" ht="15" customHeight="1" s="37">
      <c r="A2115" s="42" t="inlineStr">
        <is>
          <t>guerlain habit rouge</t>
        </is>
      </c>
      <c r="B2115" s="42" t="inlineStr">
        <is>
          <t>guerlain habit rouge</t>
        </is>
      </c>
      <c r="C2115" s="42" t="inlineStr">
        <is>
          <t>Yes</t>
        </is>
      </c>
    </row>
    <row r="2116" ht="15" customHeight="1" s="37">
      <c r="A2116" s="42" t="inlineStr">
        <is>
          <t>guerlain habit rouge</t>
        </is>
      </c>
      <c r="B2116" s="42" t="inlineStr">
        <is>
          <t>guerlain habit rouge parfum</t>
        </is>
      </c>
      <c r="C2116" s="42" t="inlineStr">
        <is>
          <t>Yes</t>
        </is>
      </c>
    </row>
    <row r="2117" ht="15" customHeight="1" s="37">
      <c r="A2117" s="42" t="inlineStr">
        <is>
          <t>guerlain habit rouge</t>
        </is>
      </c>
      <c r="B2117" s="42" t="inlineStr">
        <is>
          <t>guerlain habit rouge rouge prive</t>
        </is>
      </c>
      <c r="C2117" s="42" t="n"/>
    </row>
    <row r="2118" ht="15" customHeight="1" s="37">
      <c r="A2118" s="42" t="inlineStr">
        <is>
          <t>guerlain habit rouge</t>
        </is>
      </c>
      <c r="B2118" s="42" t="inlineStr">
        <is>
          <t>guerlain habit rouge edp</t>
        </is>
      </c>
      <c r="C2118" s="42" t="inlineStr">
        <is>
          <t>Yes</t>
        </is>
      </c>
    </row>
    <row r="2119" ht="15" customHeight="1" s="37">
      <c r="A2119" s="42" t="inlineStr">
        <is>
          <t>guerlain habit rouge</t>
        </is>
      </c>
      <c r="B2119" s="42" t="inlineStr">
        <is>
          <t>guerlain habit rouge edt</t>
        </is>
      </c>
      <c r="C2119" s="42" t="inlineStr">
        <is>
          <t>Yes</t>
        </is>
      </c>
    </row>
    <row r="2120" ht="15" customHeight="1" s="37">
      <c r="A2120" s="42" t="inlineStr">
        <is>
          <t>guerlain habit rouge</t>
        </is>
      </c>
      <c r="B2120" s="42" t="inlineStr">
        <is>
          <t>guerlain habit rouge spirit</t>
        </is>
      </c>
      <c r="C2120" s="42" t="n"/>
    </row>
    <row r="2121" ht="15" customHeight="1" s="37">
      <c r="A2121" s="42" t="inlineStr">
        <is>
          <t>guerlain habit rouge</t>
        </is>
      </c>
      <c r="B2121" s="42" t="inlineStr">
        <is>
          <t>guerlain habit rouge eau de parfum</t>
        </is>
      </c>
      <c r="C2121" s="42" t="inlineStr">
        <is>
          <t>Yes</t>
        </is>
      </c>
    </row>
    <row r="2122" ht="15" customHeight="1" s="37">
      <c r="A2122" s="42" t="inlineStr">
        <is>
          <t>guerlain habit rouge</t>
        </is>
      </c>
      <c r="B2122" s="42" t="inlineStr">
        <is>
          <t>guerlain habit rouge l'instinct</t>
        </is>
      </c>
      <c r="C2122" s="42" t="n"/>
    </row>
    <row r="2123" ht="15" customHeight="1" s="37">
      <c r="A2123" s="42" t="inlineStr">
        <is>
          <t>guerlain habit rouge</t>
        </is>
      </c>
      <c r="B2123" s="42" t="inlineStr">
        <is>
          <t>guerlain habit rouge eau de toilette</t>
        </is>
      </c>
      <c r="C2123" s="42" t="n"/>
    </row>
    <row r="2124" ht="15" customHeight="1" s="37">
      <c r="A2124" s="42" t="inlineStr">
        <is>
          <t>guerlain habit rouge</t>
        </is>
      </c>
      <c r="B2124" s="42" t="inlineStr">
        <is>
          <t>guerlain habit rouge parfum 100ml</t>
        </is>
      </c>
      <c r="C2124" s="42" t="inlineStr">
        <is>
          <t>Yes</t>
        </is>
      </c>
    </row>
    <row r="2125" ht="15" customHeight="1" s="37">
      <c r="A2125" s="42" t="inlineStr">
        <is>
          <t>guerlain l'instant de guerlain</t>
        </is>
      </c>
      <c r="B2125" s="42" t="inlineStr">
        <is>
          <t>guerlain l'instant de guerlain</t>
        </is>
      </c>
      <c r="C2125" s="42" t="inlineStr">
        <is>
          <t>Yes</t>
        </is>
      </c>
    </row>
    <row r="2126" ht="15" customHeight="1" s="37">
      <c r="A2126" s="42" t="inlineStr">
        <is>
          <t>guerlain l'instant de guerlain</t>
        </is>
      </c>
      <c r="B2126" s="42" t="inlineStr">
        <is>
          <t>guerlain l'instant de guerlain pour homme</t>
        </is>
      </c>
      <c r="C2126" s="42" t="n"/>
    </row>
    <row r="2127" ht="15" customHeight="1" s="37">
      <c r="A2127" s="42" t="inlineStr">
        <is>
          <t>guerlain l'instant de guerlain</t>
        </is>
      </c>
      <c r="B2127" s="42" t="inlineStr">
        <is>
          <t>guerlain l'instant de guerlain eau de parfum</t>
        </is>
      </c>
      <c r="C2127" s="42" t="inlineStr">
        <is>
          <t>Yes</t>
        </is>
      </c>
    </row>
    <row r="2128" ht="15" customHeight="1" s="37">
      <c r="A2128" s="42" t="inlineStr">
        <is>
          <t>guerlain l'instant de guerlain</t>
        </is>
      </c>
      <c r="B2128" s="42" t="inlineStr">
        <is>
          <t>guerlain l'instant de guerlain pour homme eau de parfum</t>
        </is>
      </c>
      <c r="C2128" s="42" t="n"/>
    </row>
    <row r="2129" ht="15" customHeight="1" s="37">
      <c r="A2129" s="42" t="inlineStr">
        <is>
          <t>guerlain l'instant de guerlain</t>
        </is>
      </c>
      <c r="B2129" s="42" t="inlineStr">
        <is>
          <t>guerlain l'instant de guerlain edp</t>
        </is>
      </c>
      <c r="C2129" s="42" t="inlineStr">
        <is>
          <t>Yes</t>
        </is>
      </c>
    </row>
    <row r="2130" ht="15" customHeight="1" s="37">
      <c r="A2130" s="42" t="inlineStr">
        <is>
          <t>guerlain l'instant de guerlain</t>
        </is>
      </c>
      <c r="B2130" s="42" t="inlineStr">
        <is>
          <t>guerlain l'instant de guerlain pour homme edp</t>
        </is>
      </c>
      <c r="C2130" s="42" t="n"/>
    </row>
    <row r="2131" ht="15" customHeight="1" s="37">
      <c r="A2131" s="42" t="inlineStr">
        <is>
          <t>guerlain l'instant de guerlain</t>
        </is>
      </c>
      <c r="B2131" s="42" t="inlineStr">
        <is>
          <t>guerlain l'instant de guerlain pour homme edt</t>
        </is>
      </c>
      <c r="C2131" s="42" t="n"/>
    </row>
    <row r="2132" ht="15" customHeight="1" s="37">
      <c r="A2132" s="42" t="inlineStr">
        <is>
          <t>guerlain l'instant de guerlain</t>
        </is>
      </c>
      <c r="B2132" s="42" t="inlineStr">
        <is>
          <t>guerlain l'instant de guerlain pour homme eau extreme</t>
        </is>
      </c>
      <c r="C2132" s="42" t="n"/>
    </row>
    <row r="2133" ht="15" customHeight="1" s="37">
      <c r="A2133" s="42" t="inlineStr">
        <is>
          <t>guerlain l'instant de guerlain</t>
        </is>
      </c>
      <c r="B2133" s="42" t="inlineStr">
        <is>
          <t>guerlain l'instant de guerlain pour homme eau de toilette</t>
        </is>
      </c>
      <c r="C2133" s="42" t="n"/>
    </row>
    <row r="2134" ht="15" customHeight="1" s="37">
      <c r="A2134" s="42" t="inlineStr">
        <is>
          <t>guerlain l'instant de guerlain</t>
        </is>
      </c>
      <c r="B2134" s="42" t="inlineStr">
        <is>
          <t>guerlain l'instant de guerlain edt</t>
        </is>
      </c>
      <c r="C2134" s="42" t="inlineStr">
        <is>
          <t>Yes</t>
        </is>
      </c>
    </row>
    <row r="2135" ht="15" customHeight="1" s="37">
      <c r="A2135" s="42" t="inlineStr">
        <is>
          <t>guerlain la petite robe noire ma robe cocktail</t>
        </is>
      </c>
      <c r="B2135" s="42" t="inlineStr">
        <is>
          <t>guerlain la petite robe noire ma robe cocktail</t>
        </is>
      </c>
      <c r="C2135" s="42" t="inlineStr">
        <is>
          <t>Yes</t>
        </is>
      </c>
    </row>
    <row r="2136" ht="15" customHeight="1" s="37">
      <c r="A2136" s="42" t="inlineStr">
        <is>
          <t>guerlain la petite robe noire ma robe cocktail</t>
        </is>
      </c>
      <c r="B2136" s="42" t="inlineStr">
        <is>
          <t>guerlain la petite robe noire ma robe cocktail fragrantica</t>
        </is>
      </c>
      <c r="C2136" s="42" t="n"/>
    </row>
    <row r="2137" ht="15" customHeight="1" s="37">
      <c r="A2137" s="42" t="inlineStr">
        <is>
          <t>guerlain la petite robe noire ma robe cocktail</t>
        </is>
      </c>
      <c r="B2137" s="42" t="inlineStr">
        <is>
          <t>guerlain la petite robe noire ma robe cocktail edt</t>
        </is>
      </c>
      <c r="C2137" s="42" t="inlineStr">
        <is>
          <t>Yes</t>
        </is>
      </c>
    </row>
    <row r="2138" ht="15" customHeight="1" s="37">
      <c r="A2138" s="42" t="inlineStr">
        <is>
          <t>guerlain la petite robe noire ma robe cocktail</t>
        </is>
      </c>
      <c r="B2138" s="42" t="inlineStr">
        <is>
          <t>guerlain la petite robe noire ma robe cocktail w edt 100ml</t>
        </is>
      </c>
      <c r="C2138" s="42" t="n"/>
    </row>
    <row r="2139" ht="15" customHeight="1" s="37">
      <c r="A2139" s="42" t="inlineStr">
        <is>
          <t>guerlain la petite robe noire ma robe cocktail</t>
        </is>
      </c>
      <c r="B2139" s="42" t="inlineStr">
        <is>
          <t>guerlain la petite robe noire ma robe cocktail отзывы</t>
        </is>
      </c>
      <c r="C2139" s="42" t="inlineStr">
        <is>
          <t>Yes</t>
        </is>
      </c>
    </row>
    <row r="2140" ht="15" customHeight="1" s="37">
      <c r="A2140" s="42" t="inlineStr">
        <is>
          <t>guerlain la petite robe noire ma robe cocktail</t>
        </is>
      </c>
      <c r="B2140" s="42" t="inlineStr">
        <is>
          <t>guerlain perfume la petite robe noire price</t>
        </is>
      </c>
      <c r="C2140" s="42" t="inlineStr">
        <is>
          <t>Yes</t>
        </is>
      </c>
    </row>
    <row r="2141" ht="15" customHeight="1" s="37">
      <c r="A2141" s="42" t="inlineStr">
        <is>
          <t>guerlain la petite robe noire ma robe cocktail</t>
        </is>
      </c>
      <c r="B2141" s="42" t="inlineStr">
        <is>
          <t>guerlain la petite robe noire review</t>
        </is>
      </c>
      <c r="C2141" s="42" t="inlineStr">
        <is>
          <t>Yes</t>
        </is>
      </c>
    </row>
    <row r="2142" ht="15" customHeight="1" s="37">
      <c r="A2142" s="42" t="inlineStr">
        <is>
          <t>guerlain musc noble</t>
        </is>
      </c>
      <c r="B2142" s="42" t="inlineStr">
        <is>
          <t>guerlain musc noble</t>
        </is>
      </c>
      <c r="C2142" s="42" t="inlineStr">
        <is>
          <t>Yes</t>
        </is>
      </c>
    </row>
    <row r="2143" ht="15" customHeight="1" s="37">
      <c r="A2143" s="42" t="inlineStr">
        <is>
          <t>guerlain musc noble</t>
        </is>
      </c>
      <c r="B2143" s="42" t="inlineStr">
        <is>
          <t>guerlain musc noble eau de parfum</t>
        </is>
      </c>
      <c r="C2143" s="42" t="inlineStr">
        <is>
          <t>Yes</t>
        </is>
      </c>
    </row>
    <row r="2144" ht="15" customHeight="1" s="37">
      <c r="A2144" s="42" t="inlineStr">
        <is>
          <t>guerlain musc noble</t>
        </is>
      </c>
      <c r="B2144" s="42" t="inlineStr">
        <is>
          <t>guerlain musc noble review</t>
        </is>
      </c>
      <c r="C2144" s="42" t="inlineStr">
        <is>
          <t>Yes</t>
        </is>
      </c>
    </row>
    <row r="2145" ht="15" customHeight="1" s="37">
      <c r="A2145" s="42" t="inlineStr">
        <is>
          <t>guerlain musc noble</t>
        </is>
      </c>
      <c r="B2145" s="42" t="inlineStr">
        <is>
          <t>guerlain musc noble notes</t>
        </is>
      </c>
      <c r="C2145" s="42" t="inlineStr">
        <is>
          <t>Yes</t>
        </is>
      </c>
    </row>
    <row r="2146" ht="15" customHeight="1" s="37">
      <c r="A2146" s="42" t="inlineStr">
        <is>
          <t>guerlain musc noble</t>
        </is>
      </c>
      <c r="B2146" s="42" t="inlineStr">
        <is>
          <t>guerlain musc noble edp</t>
        </is>
      </c>
      <c r="C2146" s="42" t="inlineStr">
        <is>
          <t>Yes</t>
        </is>
      </c>
    </row>
    <row r="2147" ht="15" customHeight="1" s="37">
      <c r="A2147" s="42" t="inlineStr">
        <is>
          <t>guerlain musc noble</t>
        </is>
      </c>
      <c r="B2147" s="42" t="inlineStr">
        <is>
          <t>guerlain musc noble in fragrantica and parfumo</t>
        </is>
      </c>
      <c r="C2147" s="42" t="n"/>
    </row>
    <row r="2148" ht="15" customHeight="1" s="37">
      <c r="A2148" s="42" t="inlineStr">
        <is>
          <t>guerlain musc noble</t>
        </is>
      </c>
      <c r="B2148" s="42" t="inlineStr">
        <is>
          <t>guerlain musc noble dupe</t>
        </is>
      </c>
      <c r="C2148" s="42" t="inlineStr">
        <is>
          <t>Yes</t>
        </is>
      </c>
    </row>
    <row r="2149" ht="15" customHeight="1" s="37">
      <c r="A2149" s="42" t="inlineStr">
        <is>
          <t>guerlain musc noble</t>
        </is>
      </c>
      <c r="B2149" s="42" t="inlineStr">
        <is>
          <t>guerlain musc noble fragrantica</t>
        </is>
      </c>
      <c r="C2149" s="42" t="n"/>
    </row>
    <row r="2150" ht="15" customHeight="1" s="37">
      <c r="A2150" s="42" t="inlineStr">
        <is>
          <t>guerlain musc noble</t>
        </is>
      </c>
      <c r="B2150" s="42" t="inlineStr">
        <is>
          <t>guerlain musc noble discontinued</t>
        </is>
      </c>
      <c r="C2150" s="42" t="n"/>
    </row>
    <row r="2151" ht="15" customHeight="1" s="37">
      <c r="A2151" s="42" t="inlineStr">
        <is>
          <t>guerlain musc noble</t>
        </is>
      </c>
      <c r="B2151" s="42" t="inlineStr">
        <is>
          <t>guerlain musc noble ingredients</t>
        </is>
      </c>
      <c r="C2151" s="42" t="inlineStr">
        <is>
          <t>Yes</t>
        </is>
      </c>
    </row>
    <row r="2152" ht="15" customHeight="1" s="37">
      <c r="A2152" s="42" t="inlineStr">
        <is>
          <t>guerlain oud essentiel</t>
        </is>
      </c>
      <c r="B2152" s="42" t="inlineStr">
        <is>
          <t>guerlain oud essentiel</t>
        </is>
      </c>
      <c r="C2152" s="42" t="inlineStr">
        <is>
          <t>Yes</t>
        </is>
      </c>
    </row>
    <row r="2153" ht="15" customHeight="1" s="37">
      <c r="A2153" s="42" t="inlineStr">
        <is>
          <t>guerlain oud essentiel</t>
        </is>
      </c>
      <c r="B2153" s="42" t="inlineStr">
        <is>
          <t>guerlain oud essentiel eau de parfum</t>
        </is>
      </c>
      <c r="C2153" s="42" t="inlineStr">
        <is>
          <t>Yes</t>
        </is>
      </c>
    </row>
    <row r="2154" ht="15" customHeight="1" s="37">
      <c r="A2154" s="42" t="inlineStr">
        <is>
          <t>guerlain oud essentiel</t>
        </is>
      </c>
      <c r="B2154" s="42" t="inlineStr">
        <is>
          <t>guerlain oud essentiel review</t>
        </is>
      </c>
      <c r="C2154" s="42" t="inlineStr">
        <is>
          <t>Yes</t>
        </is>
      </c>
    </row>
    <row r="2155" ht="15" customHeight="1" s="37">
      <c r="A2155" s="42" t="inlineStr">
        <is>
          <t>guerlain oud essentiel</t>
        </is>
      </c>
      <c r="B2155" s="42" t="inlineStr">
        <is>
          <t>guerlain oud essentiel perfume</t>
        </is>
      </c>
      <c r="C2155" s="42" t="inlineStr">
        <is>
          <t>Yes</t>
        </is>
      </c>
    </row>
    <row r="2156" ht="15" customHeight="1" s="37">
      <c r="A2156" s="42" t="inlineStr">
        <is>
          <t>guerlain oud essentiel</t>
        </is>
      </c>
      <c r="B2156" s="42" t="inlineStr">
        <is>
          <t>guerlain oud essentiel notes</t>
        </is>
      </c>
      <c r="C2156" s="42" t="inlineStr">
        <is>
          <t>Yes</t>
        </is>
      </c>
    </row>
    <row r="2157" ht="15" customHeight="1" s="37">
      <c r="A2157" s="42" t="inlineStr">
        <is>
          <t>guerlain oud essentiel</t>
        </is>
      </c>
      <c r="B2157" s="42" t="inlineStr">
        <is>
          <t>guerlain oud essentiel price</t>
        </is>
      </c>
      <c r="C2157" s="42" t="inlineStr">
        <is>
          <t>Yes</t>
        </is>
      </c>
    </row>
    <row r="2158" ht="15" customHeight="1" s="37">
      <c r="A2158" s="42" t="inlineStr">
        <is>
          <t>guerlain oud essentiel</t>
        </is>
      </c>
      <c r="B2158" s="42" t="inlineStr">
        <is>
          <t>guerlain oud essentiel edp</t>
        </is>
      </c>
      <c r="C2158" s="42" t="inlineStr">
        <is>
          <t>Yes</t>
        </is>
      </c>
    </row>
    <row r="2159" ht="15" customHeight="1" s="37">
      <c r="A2159" s="42" t="inlineStr">
        <is>
          <t>guerlain oud essentiel</t>
        </is>
      </c>
      <c r="B2159" s="42" t="inlineStr">
        <is>
          <t>guerlain oud essentiel dupe</t>
        </is>
      </c>
      <c r="C2159" s="42" t="n"/>
    </row>
    <row r="2160" ht="15" customHeight="1" s="37">
      <c r="A2160" s="42" t="inlineStr">
        <is>
          <t>guerlain oud essentiel</t>
        </is>
      </c>
      <c r="B2160" s="42" t="inlineStr">
        <is>
          <t>guerlain oud essentiel fragrantica</t>
        </is>
      </c>
      <c r="C2160" s="42" t="n"/>
    </row>
    <row r="2161" ht="15" customHeight="1" s="37">
      <c r="A2161" s="42" t="inlineStr">
        <is>
          <t>guerlain oud essentiel</t>
        </is>
      </c>
      <c r="B2161" s="42" t="inlineStr">
        <is>
          <t>guerlain oud essentiel edp 125ml</t>
        </is>
      </c>
      <c r="C2161" s="42" t="n"/>
    </row>
    <row r="2162" ht="15" customHeight="1" s="37">
      <c r="A2162" s="42" t="inlineStr">
        <is>
          <t>guerlain perfume</t>
        </is>
      </c>
      <c r="B2162" s="42" t="inlineStr">
        <is>
          <t>guerlain perfume</t>
        </is>
      </c>
      <c r="C2162" s="42" t="inlineStr">
        <is>
          <t>Yes</t>
        </is>
      </c>
    </row>
    <row r="2163" ht="15" customHeight="1" s="37">
      <c r="A2163" s="42" t="inlineStr">
        <is>
          <t>guerlain perfume</t>
        </is>
      </c>
      <c r="B2163" s="42" t="inlineStr">
        <is>
          <t>guerlain perfume price</t>
        </is>
      </c>
      <c r="C2163" s="42" t="n"/>
    </row>
    <row r="2164" ht="15" customHeight="1" s="37">
      <c r="A2164" s="42" t="inlineStr">
        <is>
          <t>guerlain perfume</t>
        </is>
      </c>
      <c r="B2164" s="42" t="inlineStr">
        <is>
          <t>guerlain perfume men</t>
        </is>
      </c>
      <c r="C2164" s="42" t="n"/>
    </row>
    <row r="2165" ht="15" customHeight="1" s="37">
      <c r="A2165" s="42" t="inlineStr">
        <is>
          <t>guerlain perfume</t>
        </is>
      </c>
      <c r="B2165" s="42" t="inlineStr">
        <is>
          <t>guerlain perfume women</t>
        </is>
      </c>
      <c r="C2165" s="42" t="n"/>
    </row>
    <row r="2166" ht="15" customHeight="1" s="37">
      <c r="A2166" s="42" t="inlineStr">
        <is>
          <t>guerlain perfume</t>
        </is>
      </c>
      <c r="B2166" s="42" t="inlineStr">
        <is>
          <t>guerlain perfume vanilla</t>
        </is>
      </c>
      <c r="C2166" s="42" t="n"/>
    </row>
    <row r="2167" ht="15" customHeight="1" s="37">
      <c r="A2167" s="42" t="inlineStr">
        <is>
          <t>guerlain perfume</t>
        </is>
      </c>
      <c r="B2167" s="42" t="inlineStr">
        <is>
          <t>guerlain perfume aqua allegoria</t>
        </is>
      </c>
      <c r="C2167" s="42" t="n"/>
    </row>
    <row r="2168" ht="15" customHeight="1" s="37">
      <c r="A2168" s="42" t="inlineStr">
        <is>
          <t>guerlain perfume</t>
        </is>
      </c>
      <c r="B2168" s="42" t="inlineStr">
        <is>
          <t>guerlain perfume florabloom</t>
        </is>
      </c>
      <c r="C2168" s="42" t="n"/>
    </row>
    <row r="2169" ht="15" customHeight="1" s="37">
      <c r="A2169" s="42" t="inlineStr">
        <is>
          <t>guerlain perfume</t>
        </is>
      </c>
      <c r="B2169" s="42" t="inlineStr">
        <is>
          <t>guerlain perfume uk</t>
        </is>
      </c>
      <c r="C2169" s="42" t="n"/>
    </row>
    <row r="2170" ht="15" customHeight="1" s="37">
      <c r="A2170" s="42" t="inlineStr">
        <is>
          <t>guerlain perfume</t>
        </is>
      </c>
      <c r="B2170" s="42" t="inlineStr">
        <is>
          <t>guerlain perfume insolence</t>
        </is>
      </c>
      <c r="C2170" s="42" t="n"/>
    </row>
    <row r="2171" ht="15" customHeight="1" s="37">
      <c r="A2171" s="42" t="inlineStr">
        <is>
          <t>guerlain perfume</t>
        </is>
      </c>
      <c r="B2171" s="42" t="inlineStr">
        <is>
          <t>guerlain perfumes for her</t>
        </is>
      </c>
      <c r="C2171" s="42" t="n"/>
    </row>
    <row r="2172" ht="15" customHeight="1" s="37">
      <c r="A2172" s="42" t="inlineStr">
        <is>
          <t>guerlain samsara</t>
        </is>
      </c>
      <c r="B2172" s="42" t="inlineStr">
        <is>
          <t>guerlain samsara</t>
        </is>
      </c>
      <c r="C2172" s="42" t="inlineStr">
        <is>
          <t>Yes</t>
        </is>
      </c>
    </row>
    <row r="2173" ht="15" customHeight="1" s="37">
      <c r="A2173" s="42" t="inlineStr">
        <is>
          <t>guerlain samsara</t>
        </is>
      </c>
      <c r="B2173" s="42" t="inlineStr">
        <is>
          <t>guerlain samsara perfume</t>
        </is>
      </c>
      <c r="C2173" s="42" t="inlineStr">
        <is>
          <t>Yes</t>
        </is>
      </c>
    </row>
    <row r="2174" ht="15" customHeight="1" s="37">
      <c r="A2174" s="42" t="inlineStr">
        <is>
          <t>guerlain samsara</t>
        </is>
      </c>
      <c r="B2174" s="42" t="inlineStr">
        <is>
          <t>guerlain samsara eau de parfum</t>
        </is>
      </c>
      <c r="C2174" s="42" t="inlineStr">
        <is>
          <t>Yes</t>
        </is>
      </c>
    </row>
    <row r="2175" ht="15" customHeight="1" s="37">
      <c r="A2175" s="42" t="inlineStr">
        <is>
          <t>guerlain samsara</t>
        </is>
      </c>
      <c r="B2175" s="42" t="inlineStr">
        <is>
          <t>guerlain samsara edp</t>
        </is>
      </c>
      <c r="C2175" s="42" t="inlineStr">
        <is>
          <t>Yes</t>
        </is>
      </c>
    </row>
    <row r="2176" ht="15" customHeight="1" s="37">
      <c r="A2176" s="42" t="inlineStr">
        <is>
          <t>guerlain samsara</t>
        </is>
      </c>
      <c r="B2176" s="42" t="inlineStr">
        <is>
          <t>guerlain samsara edt</t>
        </is>
      </c>
      <c r="C2176" s="42" t="inlineStr">
        <is>
          <t>Yes</t>
        </is>
      </c>
    </row>
    <row r="2177" ht="15" customHeight="1" s="37">
      <c r="A2177" s="42" t="inlineStr">
        <is>
          <t>guerlain samsara</t>
        </is>
      </c>
      <c r="B2177" s="42" t="inlineStr">
        <is>
          <t>guerlain samsara original</t>
        </is>
      </c>
      <c r="C2177" s="42" t="inlineStr">
        <is>
          <t>Yes</t>
        </is>
      </c>
    </row>
    <row r="2178" ht="15" customHeight="1" s="37">
      <c r="A2178" s="42" t="inlineStr">
        <is>
          <t>guerlain samsara</t>
        </is>
      </c>
      <c r="B2178" s="42" t="inlineStr">
        <is>
          <t>guerlain samsara notes</t>
        </is>
      </c>
      <c r="C2178" s="42" t="inlineStr">
        <is>
          <t>Yes</t>
        </is>
      </c>
    </row>
    <row r="2179" ht="15" customHeight="1" s="37">
      <c r="A2179" s="42" t="inlineStr">
        <is>
          <t>guerlain samsara</t>
        </is>
      </c>
      <c r="B2179" s="42" t="inlineStr">
        <is>
          <t>guerlain samsara fragrantica</t>
        </is>
      </c>
      <c r="C2179" s="42" t="n"/>
    </row>
    <row r="2180" ht="15" customHeight="1" s="37">
      <c r="A2180" s="42" t="inlineStr">
        <is>
          <t>guerlain samsara</t>
        </is>
      </c>
      <c r="B2180" s="42" t="inlineStr">
        <is>
          <t>guerlain samsara eau de toilette</t>
        </is>
      </c>
      <c r="C2180" s="42" t="n"/>
    </row>
    <row r="2181" ht="15" customHeight="1" s="37">
      <c r="A2181" s="42" t="inlineStr">
        <is>
          <t>guerlain samsara</t>
        </is>
      </c>
      <c r="B2181" s="42" t="inlineStr">
        <is>
          <t>guerlain samsara dupe</t>
        </is>
      </c>
      <c r="C2181" s="42" t="n"/>
    </row>
    <row r="2182" ht="15" customHeight="1" s="37">
      <c r="A2182" s="42" t="inlineStr">
        <is>
          <t>hemel affair</t>
        </is>
      </c>
      <c r="B2182" s="42" t="inlineStr">
        <is>
          <t>hemel affair</t>
        </is>
      </c>
      <c r="C2182" s="42" t="inlineStr">
        <is>
          <t>Yes</t>
        </is>
      </c>
    </row>
    <row r="2183" ht="15" customHeight="1" s="37">
      <c r="A2183" s="42" t="inlineStr">
        <is>
          <t>hemel affair</t>
        </is>
      </c>
      <c r="B2183" s="42" t="inlineStr">
        <is>
          <t>hemel fragrance affair</t>
        </is>
      </c>
      <c r="C2183" s="42" t="n"/>
    </row>
    <row r="2184" ht="15" customHeight="1" s="37">
      <c r="A2184" s="42" t="inlineStr">
        <is>
          <t>hemel affair</t>
        </is>
      </c>
      <c r="B2184" s="42" t="inlineStr">
        <is>
          <t>hemel fragrance affair review</t>
        </is>
      </c>
      <c r="C2184" s="42" t="n"/>
    </row>
    <row r="2185" ht="15" customHeight="1" s="37">
      <c r="A2185" s="42" t="inlineStr">
        <is>
          <t>hemel affair</t>
        </is>
      </c>
      <c r="B2185" s="42" t="inlineStr">
        <is>
          <t>fragrance affair hemel paris</t>
        </is>
      </c>
      <c r="C2185" s="42" t="n"/>
    </row>
    <row r="2186" ht="15" customHeight="1" s="37">
      <c r="A2186" s="42" t="inlineStr">
        <is>
          <t>hemel amethyst dream</t>
        </is>
      </c>
      <c r="B2186" s="42" t="inlineStr">
        <is>
          <t>hemel amethyst dream</t>
        </is>
      </c>
      <c r="C2186" s="42" t="inlineStr">
        <is>
          <t>Yes</t>
        </is>
      </c>
    </row>
    <row r="2187" ht="15" customHeight="1" s="37">
      <c r="A2187" s="42" t="inlineStr">
        <is>
          <t>hemel amethyst dream</t>
        </is>
      </c>
      <c r="B2187" s="42" t="inlineStr">
        <is>
          <t>hemel amethyst dream u edp 100ml</t>
        </is>
      </c>
      <c r="C2187" s="42" t="n"/>
    </row>
    <row r="2188" ht="15" customHeight="1" s="37">
      <c r="A2188" s="42" t="inlineStr">
        <is>
          <t>hemel amethyst dream</t>
        </is>
      </c>
      <c r="B2188" s="42" t="inlineStr">
        <is>
          <t>hemel paris amethyst dream</t>
        </is>
      </c>
      <c r="C2188" s="42" t="n"/>
    </row>
    <row r="2189" ht="15" customHeight="1" s="37">
      <c r="A2189" s="42" t="inlineStr">
        <is>
          <t>hemel amethyst dream</t>
        </is>
      </c>
      <c r="B2189" s="42" t="inlineStr">
        <is>
          <t>hemel niche amethyst dream</t>
        </is>
      </c>
      <c r="C2189" s="42" t="n"/>
    </row>
    <row r="2190" ht="15" customHeight="1" s="37">
      <c r="A2190" s="42" t="inlineStr">
        <is>
          <t>hemel amethyst dream</t>
        </is>
      </c>
      <c r="B2190" s="42" t="inlineStr">
        <is>
          <t>what does dream amethyst do</t>
        </is>
      </c>
      <c r="C2190" s="42" t="n"/>
    </row>
    <row r="2191" ht="15" customHeight="1" s="37">
      <c r="A2191" s="42" t="inlineStr">
        <is>
          <t>hemel amethyst dream</t>
        </is>
      </c>
      <c r="B2191" s="42" t="inlineStr">
        <is>
          <t>difference between dream amethyst and amethyst</t>
        </is>
      </c>
      <c r="C2191" s="42" t="n"/>
    </row>
    <row r="2192" ht="15" customHeight="1" s="37">
      <c r="A2192" s="42" t="inlineStr">
        <is>
          <t>hemel dorado</t>
        </is>
      </c>
      <c r="B2192" s="42" t="inlineStr">
        <is>
          <t>hemel dorado</t>
        </is>
      </c>
      <c r="C2192" s="42" t="inlineStr">
        <is>
          <t>Yes</t>
        </is>
      </c>
    </row>
    <row r="2193" ht="15" customHeight="1" s="37">
      <c r="A2193" s="42" t="inlineStr">
        <is>
          <t>hemel dorado</t>
        </is>
      </c>
      <c r="B2193" s="42" t="inlineStr">
        <is>
          <t>hemel dorado perfume</t>
        </is>
      </c>
      <c r="C2193" s="42" t="inlineStr">
        <is>
          <t>Yes</t>
        </is>
      </c>
    </row>
    <row r="2194" ht="15" customHeight="1" s="37">
      <c r="A2194" s="42" t="inlineStr">
        <is>
          <t>hemel favourite black</t>
        </is>
      </c>
      <c r="B2194" s="42" t="inlineStr">
        <is>
          <t>hemel favourite black</t>
        </is>
      </c>
      <c r="C2194" s="42" t="inlineStr">
        <is>
          <t>Yes</t>
        </is>
      </c>
    </row>
    <row r="2195" ht="15" customHeight="1" s="37">
      <c r="A2195" s="42" t="inlineStr">
        <is>
          <t>hemel favourite black</t>
        </is>
      </c>
      <c r="B2195" s="42" t="inlineStr">
        <is>
          <t>hemel paris favourite black</t>
        </is>
      </c>
      <c r="C2195" s="42" t="n"/>
    </row>
    <row r="2196" ht="15" customHeight="1" s="37">
      <c r="A2196" s="42" t="inlineStr">
        <is>
          <t>hemel gris</t>
        </is>
      </c>
      <c r="B2196" s="42" t="inlineStr">
        <is>
          <t>hemel gris</t>
        </is>
      </c>
      <c r="C2196" s="42" t="inlineStr">
        <is>
          <t>Yes</t>
        </is>
      </c>
    </row>
    <row r="2197" ht="15" customHeight="1" s="37">
      <c r="A2197" s="42" t="inlineStr">
        <is>
          <t>hemel gris</t>
        </is>
      </c>
      <c r="B2197" s="42" t="inlineStr">
        <is>
          <t>hemel gris perfume</t>
        </is>
      </c>
      <c r="C2197" s="42" t="inlineStr">
        <is>
          <t>Yes</t>
        </is>
      </c>
    </row>
    <row r="2198" ht="15" customHeight="1" s="37">
      <c r="A2198" s="42" t="inlineStr">
        <is>
          <t>hemel gris</t>
        </is>
      </c>
      <c r="B2198" s="42" t="inlineStr">
        <is>
          <t>hemel gris u edp 100ml</t>
        </is>
      </c>
      <c r="C2198" s="42" t="n"/>
    </row>
    <row r="2199" ht="15" customHeight="1" s="37">
      <c r="A2199" s="42" t="inlineStr">
        <is>
          <t>hemel gris</t>
        </is>
      </c>
      <c r="B2199" s="42" t="inlineStr">
        <is>
          <t>hemel gris edp</t>
        </is>
      </c>
      <c r="C2199" s="42" t="inlineStr">
        <is>
          <t>Yes</t>
        </is>
      </c>
    </row>
    <row r="2200" ht="15" customHeight="1" s="37">
      <c r="A2200" s="42" t="inlineStr">
        <is>
          <t>hemel gris</t>
        </is>
      </c>
      <c r="B2200" s="42" t="inlineStr">
        <is>
          <t>hemel gris eau de parfum</t>
        </is>
      </c>
      <c r="C2200" s="42" t="inlineStr">
        <is>
          <t>Yes</t>
        </is>
      </c>
    </row>
    <row r="2201" ht="15" customHeight="1" s="37">
      <c r="A2201" s="42" t="inlineStr">
        <is>
          <t>hemel gris</t>
        </is>
      </c>
      <c r="B2201" s="42" t="inlineStr">
        <is>
          <t>hemel paris gris</t>
        </is>
      </c>
      <c r="C2201" s="42" t="n"/>
    </row>
    <row r="2202" ht="15" customHeight="1" s="37">
      <c r="A2202" s="42" t="inlineStr">
        <is>
          <t>hemel patchouli for all</t>
        </is>
      </c>
      <c r="B2202" s="42" t="inlineStr">
        <is>
          <t>hemel patchouli for all</t>
        </is>
      </c>
      <c r="C2202" s="42" t="inlineStr">
        <is>
          <t>Yes</t>
        </is>
      </c>
    </row>
    <row r="2203" ht="15" customHeight="1" s="37">
      <c r="A2203" s="42" t="inlineStr">
        <is>
          <t>hemel patchouli for all</t>
        </is>
      </c>
      <c r="B2203" s="42" t="inlineStr">
        <is>
          <t>hemel patchouli for all eau de parfum</t>
        </is>
      </c>
      <c r="C2203" s="42" t="inlineStr">
        <is>
          <t>Yes</t>
        </is>
      </c>
    </row>
    <row r="2204" ht="15" customHeight="1" s="37">
      <c r="A2204" s="42" t="inlineStr">
        <is>
          <t>hemel patchouli for all</t>
        </is>
      </c>
      <c r="B2204" s="42" t="inlineStr">
        <is>
          <t>hemel patchouli for all price</t>
        </is>
      </c>
      <c r="C2204" s="42" t="inlineStr">
        <is>
          <t>Yes</t>
        </is>
      </c>
    </row>
    <row r="2205" ht="15" customHeight="1" s="37">
      <c r="A2205" s="42" t="inlineStr">
        <is>
          <t>hemel patchouli for all</t>
        </is>
      </c>
      <c r="B2205" s="42" t="inlineStr">
        <is>
          <t>hemel patchouli for all review</t>
        </is>
      </c>
      <c r="C2205" s="42" t="inlineStr">
        <is>
          <t>Yes</t>
        </is>
      </c>
    </row>
    <row r="2206" ht="15" customHeight="1" s="37">
      <c r="A2206" s="42" t="inlineStr">
        <is>
          <t>hemel patchouli for all</t>
        </is>
      </c>
      <c r="B2206" s="42" t="inlineStr">
        <is>
          <t>hemel patchouli for all u edp 100ml</t>
        </is>
      </c>
      <c r="C2206" s="42" t="n"/>
    </row>
    <row r="2207" ht="15" customHeight="1" s="37">
      <c r="A2207" s="42" t="inlineStr">
        <is>
          <t>hemel patchouli for all</t>
        </is>
      </c>
      <c r="B2207" s="42" t="inlineStr">
        <is>
          <t>hemel patchouli for all fragrantica</t>
        </is>
      </c>
      <c r="C2207" s="42" t="n"/>
    </row>
    <row r="2208" ht="15" customHeight="1" s="37">
      <c r="A2208" s="42" t="inlineStr">
        <is>
          <t>hemel patchouli for all</t>
        </is>
      </c>
      <c r="B2208" s="42" t="inlineStr">
        <is>
          <t>hemel paris patchouli for all</t>
        </is>
      </c>
      <c r="C2208" s="42" t="n"/>
    </row>
    <row r="2209" ht="15" customHeight="1" s="37">
      <c r="A2209" s="42" t="inlineStr">
        <is>
          <t>hemel patchouli for all</t>
        </is>
      </c>
      <c r="B2209" s="42" t="inlineStr">
        <is>
          <t>hemel patchouli for all punmiris</t>
        </is>
      </c>
      <c r="C2209" s="42" t="n"/>
    </row>
    <row r="2210" ht="15" customHeight="1" s="37">
      <c r="A2210" s="42" t="inlineStr">
        <is>
          <t>hemel patchouli for all</t>
        </is>
      </c>
      <c r="B2210" s="42" t="inlineStr">
        <is>
          <t>patchouli garden reviews</t>
        </is>
      </c>
      <c r="C2210" s="42" t="n"/>
    </row>
    <row r="2211" ht="15" customHeight="1" s="37">
      <c r="A2211" s="42" t="inlineStr">
        <is>
          <t>hemel patchouli for all</t>
        </is>
      </c>
      <c r="B2211" s="42" t="inlineStr">
        <is>
          <t>who wears patchouli</t>
        </is>
      </c>
      <c r="C2211" s="42" t="n"/>
    </row>
    <row r="2212" ht="15" customHeight="1" s="37">
      <c r="A2212" s="42" t="inlineStr">
        <is>
          <t>hemel perfume</t>
        </is>
      </c>
      <c r="B2212" s="42" t="inlineStr">
        <is>
          <t>hemel perfume</t>
        </is>
      </c>
      <c r="C2212" s="42" t="inlineStr">
        <is>
          <t>Yes</t>
        </is>
      </c>
    </row>
    <row r="2213" ht="15" customHeight="1" s="37">
      <c r="A2213" s="42" t="inlineStr">
        <is>
          <t>hemel perfume</t>
        </is>
      </c>
      <c r="B2213" s="42" t="inlineStr">
        <is>
          <t>hemel perfume price</t>
        </is>
      </c>
      <c r="C2213" s="42" t="n"/>
    </row>
    <row r="2214" ht="15" customHeight="1" s="37">
      <c r="A2214" s="42" t="inlineStr">
        <is>
          <t>hemel perfume</t>
        </is>
      </c>
      <c r="B2214" s="42" t="inlineStr">
        <is>
          <t>hemel perfume price in pakistan</t>
        </is>
      </c>
      <c r="C2214" s="42" t="n"/>
    </row>
    <row r="2215" ht="15" customHeight="1" s="37">
      <c r="A2215" s="42" t="inlineStr">
        <is>
          <t>hemel perfume</t>
        </is>
      </c>
      <c r="B2215" s="42" t="inlineStr">
        <is>
          <t>hemel perfume shop</t>
        </is>
      </c>
      <c r="C2215" s="42" t="n"/>
    </row>
    <row r="2216" ht="15" customHeight="1" s="37">
      <c r="A2216" s="42" t="inlineStr">
        <is>
          <t>hemel perfume</t>
        </is>
      </c>
      <c r="B2216" s="42" t="inlineStr">
        <is>
          <t>hemel perfume review</t>
        </is>
      </c>
      <c r="C2216" s="42" t="n"/>
    </row>
    <row r="2217" ht="15" customHeight="1" s="37">
      <c r="A2217" s="42" t="inlineStr">
        <is>
          <t>hemel perfume</t>
        </is>
      </c>
      <c r="B2217" s="42" t="inlineStr">
        <is>
          <t>hemel perfume arrogance</t>
        </is>
      </c>
      <c r="C2217" s="42" t="n"/>
    </row>
    <row r="2218" ht="15" customHeight="1" s="37">
      <c r="A2218" s="42" t="inlineStr">
        <is>
          <t>hemel perfume</t>
        </is>
      </c>
      <c r="B2218" s="42" t="inlineStr">
        <is>
          <t>perfume hemel hempstead</t>
        </is>
      </c>
      <c r="C2218" s="42" t="n"/>
    </row>
    <row r="2219" ht="15" customHeight="1" s="37">
      <c r="A2219" s="42" t="inlineStr">
        <is>
          <t>hemel perfume</t>
        </is>
      </c>
      <c r="B2219" s="42" t="inlineStr">
        <is>
          <t>hemel paris perfume</t>
        </is>
      </c>
      <c r="C2219" s="42" t="n"/>
    </row>
    <row r="2220" ht="15" customHeight="1" s="37">
      <c r="A2220" s="42" t="inlineStr">
        <is>
          <t>hemel perfume</t>
        </is>
      </c>
      <c r="B2220" s="42" t="inlineStr">
        <is>
          <t>hemel gratitude perfume</t>
        </is>
      </c>
      <c r="C2220" s="42" t="n"/>
    </row>
    <row r="2221" ht="15" customHeight="1" s="37">
      <c r="A2221" s="42" t="inlineStr">
        <is>
          <t>hemel perfume</t>
        </is>
      </c>
      <c r="B2221" s="42" t="inlineStr">
        <is>
          <t>hemel gris perfume</t>
        </is>
      </c>
      <c r="C2221" s="42" t="inlineStr">
        <is>
          <t>Yes</t>
        </is>
      </c>
    </row>
    <row r="2222" ht="15" customHeight="1" s="37">
      <c r="A2222" s="42" t="inlineStr">
        <is>
          <t>hemel plateado</t>
        </is>
      </c>
      <c r="B2222" s="42" t="inlineStr">
        <is>
          <t>hemel plateado</t>
        </is>
      </c>
      <c r="C2222" s="42" t="inlineStr">
        <is>
          <t>Yes</t>
        </is>
      </c>
    </row>
    <row r="2223" ht="15" customHeight="1" s="37">
      <c r="A2223" s="42" t="inlineStr">
        <is>
          <t>hemel plateado</t>
        </is>
      </c>
      <c r="B2223" s="42" t="inlineStr">
        <is>
          <t>hemel plateado u edp 100ml</t>
        </is>
      </c>
      <c r="C2223" s="42" t="n"/>
    </row>
    <row r="2224" ht="15" customHeight="1" s="37">
      <c r="A2224" s="42" t="inlineStr">
        <is>
          <t>hemel plateado</t>
        </is>
      </c>
      <c r="B2224" s="42" t="inlineStr">
        <is>
          <t>hemel paris plateado</t>
        </is>
      </c>
      <c r="C2224" s="42" t="n"/>
    </row>
    <row r="2225" ht="15" customHeight="1" s="37">
      <c r="A2225" s="42" t="inlineStr">
        <is>
          <t>hemel rosado</t>
        </is>
      </c>
      <c r="B2225" s="42" t="inlineStr">
        <is>
          <t>hemel rosado</t>
        </is>
      </c>
      <c r="C2225" s="42" t="inlineStr">
        <is>
          <t>Yes</t>
        </is>
      </c>
    </row>
    <row r="2226" ht="15" customHeight="1" s="37">
      <c r="A2226" s="42" t="inlineStr">
        <is>
          <t>hemel rosado</t>
        </is>
      </c>
      <c r="B2226" s="42" t="inlineStr">
        <is>
          <t>hemel rosado perfume</t>
        </is>
      </c>
      <c r="C2226" s="42" t="inlineStr">
        <is>
          <t>Yes</t>
        </is>
      </c>
    </row>
    <row r="2227" ht="15" customHeight="1" s="37">
      <c r="A2227" s="42" t="inlineStr">
        <is>
          <t>hemel valley of diamond</t>
        </is>
      </c>
      <c r="B2227" s="42" t="inlineStr">
        <is>
          <t>hemel valley of diamond</t>
        </is>
      </c>
      <c r="C2227" s="42" t="inlineStr">
        <is>
          <t>Yes</t>
        </is>
      </c>
    </row>
    <row r="2228" ht="15" customHeight="1" s="37">
      <c r="A2228" s="42" t="inlineStr">
        <is>
          <t>hemel valley of diamond</t>
        </is>
      </c>
      <c r="B2228" s="42" t="inlineStr">
        <is>
          <t>hemel valley of diamond fragrance</t>
        </is>
      </c>
      <c r="C2228" s="42" t="n"/>
    </row>
    <row r="2229" ht="15" customHeight="1" s="37">
      <c r="A2229" s="42" t="inlineStr">
        <is>
          <t>hemel valley of diamond</t>
        </is>
      </c>
      <c r="B2229" s="42" t="inlineStr">
        <is>
          <t>hemel valley of diamond edp</t>
        </is>
      </c>
      <c r="C2229" s="42" t="inlineStr">
        <is>
          <t>Yes</t>
        </is>
      </c>
    </row>
    <row r="2230" ht="15" customHeight="1" s="37">
      <c r="A2230" s="42" t="inlineStr">
        <is>
          <t>hemel valley of diamond</t>
        </is>
      </c>
      <c r="B2230" s="42" t="inlineStr">
        <is>
          <t>hemel paris valley of diamond</t>
        </is>
      </c>
      <c r="C2230" s="42" t="n"/>
    </row>
    <row r="2231" ht="15" customHeight="1" s="37">
      <c r="A2231" s="42" t="inlineStr">
        <is>
          <t>hemel valley of diamond</t>
        </is>
      </c>
      <c r="B2231" s="42" t="inlineStr">
        <is>
          <t>blood diamond gem price</t>
        </is>
      </c>
      <c r="C2231" s="42" t="n"/>
    </row>
    <row r="2232" ht="15" customHeight="1" s="37">
      <c r="A2232" s="42" t="inlineStr">
        <is>
          <t>hemel valley of diamond</t>
        </is>
      </c>
      <c r="B2232" s="42" t="inlineStr">
        <is>
          <t>value of diamond today</t>
        </is>
      </c>
      <c r="C2232" s="42" t="n"/>
    </row>
    <row r="2233" ht="15" customHeight="1" s="37">
      <c r="A2233" s="42" t="inlineStr">
        <is>
          <t>hermes perfume</t>
        </is>
      </c>
      <c r="B2233" s="42" t="inlineStr">
        <is>
          <t>hermes perfume</t>
        </is>
      </c>
      <c r="C2233" s="42" t="inlineStr">
        <is>
          <t>Yes</t>
        </is>
      </c>
    </row>
    <row r="2234" ht="15" customHeight="1" s="37">
      <c r="A2234" s="42" t="inlineStr">
        <is>
          <t>hermes perfume</t>
        </is>
      </c>
      <c r="B2234" s="42" t="inlineStr">
        <is>
          <t>hermes perfume women</t>
        </is>
      </c>
      <c r="C2234" s="42" t="n"/>
    </row>
    <row r="2235" ht="15" customHeight="1" s="37">
      <c r="A2235" s="42" t="inlineStr">
        <is>
          <t>hermes perfume</t>
        </is>
      </c>
      <c r="B2235" s="42" t="inlineStr">
        <is>
          <t>hermes perfume men</t>
        </is>
      </c>
      <c r="C2235" s="42" t="n"/>
    </row>
    <row r="2236" ht="15" customHeight="1" s="37">
      <c r="A2236" s="42" t="inlineStr">
        <is>
          <t>hermes perfume</t>
        </is>
      </c>
      <c r="B2236" s="42" t="inlineStr">
        <is>
          <t>hermes perfume price</t>
        </is>
      </c>
      <c r="C2236" s="42" t="n"/>
    </row>
    <row r="2237" ht="15" customHeight="1" s="37">
      <c r="A2237" s="42" t="inlineStr">
        <is>
          <t>hermes perfume</t>
        </is>
      </c>
      <c r="B2237" s="42" t="inlineStr">
        <is>
          <t>hermes perfume set</t>
        </is>
      </c>
      <c r="C2237" s="42" t="n"/>
    </row>
    <row r="2238" ht="15" customHeight="1" s="37">
      <c r="A2238" s="42" t="inlineStr">
        <is>
          <t>hermes perfume</t>
        </is>
      </c>
      <c r="B2238" s="42" t="inlineStr">
        <is>
          <t>hermes perfume barenia</t>
        </is>
      </c>
      <c r="C2238" s="42" t="n"/>
    </row>
    <row r="2239" ht="15" customHeight="1" s="37">
      <c r="A2239" s="42" t="inlineStr">
        <is>
          <t>hermes perfume</t>
        </is>
      </c>
      <c r="B2239" s="42" t="inlineStr">
        <is>
          <t>hermes perfume twilly</t>
        </is>
      </c>
      <c r="C2239" s="42" t="n"/>
    </row>
    <row r="2240" ht="15" customHeight="1" s="37">
      <c r="A2240" s="42" t="inlineStr">
        <is>
          <t>hermes perfume</t>
        </is>
      </c>
      <c r="B2240" s="42" t="inlineStr">
        <is>
          <t>hermes perfume gift set</t>
        </is>
      </c>
      <c r="C2240" s="42" t="n"/>
    </row>
    <row r="2241" ht="15" customHeight="1" s="37">
      <c r="A2241" s="42" t="inlineStr">
        <is>
          <t>hermes perfume</t>
        </is>
      </c>
      <c r="B2241" s="42" t="inlineStr">
        <is>
          <t>hermes perfume malaysia</t>
        </is>
      </c>
      <c r="C2241" s="42" t="n"/>
    </row>
    <row r="2242" ht="15" customHeight="1" s="37">
      <c r="A2242" s="42" t="inlineStr">
        <is>
          <t>hermes perfume</t>
        </is>
      </c>
      <c r="B2242" s="42" t="inlineStr">
        <is>
          <t>hermes perfume price in pakistan</t>
        </is>
      </c>
      <c r="C2242" s="42" t="n"/>
    </row>
    <row r="2243" ht="15" customHeight="1" s="37">
      <c r="A2243" s="42" t="inlineStr">
        <is>
          <t>hermes un jardin sur le toit miniature</t>
        </is>
      </c>
      <c r="B2243" s="42" t="inlineStr">
        <is>
          <t>hermes un jardin sur le toit mini</t>
        </is>
      </c>
      <c r="C2243" s="42" t="inlineStr">
        <is>
          <t>Yes</t>
        </is>
      </c>
    </row>
    <row r="2244" ht="15" customHeight="1" s="37">
      <c r="A2244" s="42" t="inlineStr">
        <is>
          <t>hermes un jardin sur le toit miniature</t>
        </is>
      </c>
      <c r="B2244" s="42" t="inlineStr">
        <is>
          <t>hermes un jardin sur le nil price</t>
        </is>
      </c>
      <c r="C2244" s="42" t="n"/>
    </row>
    <row r="2245" ht="15" customHeight="1" s="37">
      <c r="A2245" s="42" t="inlineStr">
        <is>
          <t>hermes un jardin sur le toit miniature</t>
        </is>
      </c>
      <c r="B2245" s="42" t="inlineStr">
        <is>
          <t>hermes un jardin sur le nil ingredients</t>
        </is>
      </c>
      <c r="C2245" s="42" t="n"/>
    </row>
    <row r="2246" ht="15" customHeight="1" s="37">
      <c r="A2246" s="42" t="inlineStr">
        <is>
          <t>hollister festival vibes</t>
        </is>
      </c>
      <c r="B2246" s="42" t="inlineStr">
        <is>
          <t>hollister festival vibes</t>
        </is>
      </c>
      <c r="C2246" s="42" t="inlineStr">
        <is>
          <t>Yes</t>
        </is>
      </c>
    </row>
    <row r="2247" ht="15" customHeight="1" s="37">
      <c r="A2247" s="42" t="inlineStr">
        <is>
          <t>hollister festival vibes</t>
        </is>
      </c>
      <c r="B2247" s="42" t="inlineStr">
        <is>
          <t>hollister festival vibes for her</t>
        </is>
      </c>
      <c r="C2247" s="42" t="n"/>
    </row>
    <row r="2248" ht="15" customHeight="1" s="37">
      <c r="A2248" s="42" t="inlineStr">
        <is>
          <t>hollister festival vibes</t>
        </is>
      </c>
      <c r="B2248" s="42" t="inlineStr">
        <is>
          <t>hollister festival vibes for him</t>
        </is>
      </c>
      <c r="C2248" s="42" t="n"/>
    </row>
    <row r="2249" ht="15" customHeight="1" s="37">
      <c r="A2249" s="42" t="inlineStr">
        <is>
          <t>hollister festival vibes</t>
        </is>
      </c>
      <c r="B2249" s="42" t="inlineStr">
        <is>
          <t>hollister festival vibes perfume</t>
        </is>
      </c>
      <c r="C2249" s="42" t="inlineStr">
        <is>
          <t>Yes</t>
        </is>
      </c>
    </row>
    <row r="2250" ht="15" customHeight="1" s="37">
      <c r="A2250" s="42" t="inlineStr">
        <is>
          <t>hollister festival vibes</t>
        </is>
      </c>
      <c r="B2250" s="42" t="inlineStr">
        <is>
          <t>hollister festival vibes notes</t>
        </is>
      </c>
      <c r="C2250" s="42" t="inlineStr">
        <is>
          <t>Yes</t>
        </is>
      </c>
    </row>
    <row r="2251" ht="15" customHeight="1" s="37">
      <c r="A2251" s="42" t="inlineStr">
        <is>
          <t>hollister festival vibes</t>
        </is>
      </c>
      <c r="B2251" s="42" t="inlineStr">
        <is>
          <t>hollister festival vibes price</t>
        </is>
      </c>
      <c r="C2251" s="42" t="inlineStr">
        <is>
          <t>Yes</t>
        </is>
      </c>
    </row>
    <row r="2252" ht="15" customHeight="1" s="37">
      <c r="A2252" s="42" t="inlineStr">
        <is>
          <t>hollister festival vibes</t>
        </is>
      </c>
      <c r="B2252" s="42" t="inlineStr">
        <is>
          <t>hollister festival vibes for her review</t>
        </is>
      </c>
      <c r="C2252" s="42" t="n"/>
    </row>
    <row r="2253" ht="15" customHeight="1" s="37">
      <c r="A2253" s="42" t="inlineStr">
        <is>
          <t>hollister festival vibes</t>
        </is>
      </c>
      <c r="B2253" s="42" t="inlineStr">
        <is>
          <t>hollister festival vibes scent</t>
        </is>
      </c>
      <c r="C2253" s="42" t="n"/>
    </row>
    <row r="2254" ht="15" customHeight="1" s="37">
      <c r="A2254" s="42" t="inlineStr">
        <is>
          <t>hollister festival vibes</t>
        </is>
      </c>
      <c r="B2254" s="42" t="inlineStr">
        <is>
          <t>hollister festival vibes review</t>
        </is>
      </c>
      <c r="C2254" s="42" t="inlineStr">
        <is>
          <t>Yes</t>
        </is>
      </c>
    </row>
    <row r="2255" ht="15" customHeight="1" s="37">
      <c r="A2255" s="42" t="inlineStr">
        <is>
          <t>hollister festival vibes</t>
        </is>
      </c>
      <c r="B2255" s="42" t="inlineStr">
        <is>
          <t>hollister festival vibes for her notes</t>
        </is>
      </c>
      <c r="C2255" s="42" t="n"/>
    </row>
    <row r="2256" ht="15" customHeight="1" s="37">
      <c r="A2256" s="42" t="inlineStr">
        <is>
          <t>hollister perfume</t>
        </is>
      </c>
      <c r="B2256" s="42" t="inlineStr">
        <is>
          <t>hollister perfume</t>
        </is>
      </c>
      <c r="C2256" s="42" t="inlineStr">
        <is>
          <t>Yes</t>
        </is>
      </c>
    </row>
    <row r="2257" ht="15" customHeight="1" s="37">
      <c r="A2257" s="42" t="inlineStr">
        <is>
          <t>hollister perfume</t>
        </is>
      </c>
      <c r="B2257" s="42" t="inlineStr">
        <is>
          <t>hollister perfume women</t>
        </is>
      </c>
      <c r="C2257" s="42" t="n"/>
    </row>
    <row r="2258" ht="15" customHeight="1" s="37">
      <c r="A2258" s="42" t="inlineStr">
        <is>
          <t>hollister perfume</t>
        </is>
      </c>
      <c r="B2258" s="42" t="inlineStr">
        <is>
          <t>hollister perfume men</t>
        </is>
      </c>
      <c r="C2258" s="42" t="n"/>
    </row>
    <row r="2259" ht="15" customHeight="1" s="37">
      <c r="A2259" s="42" t="inlineStr">
        <is>
          <t>hollister perfume</t>
        </is>
      </c>
      <c r="B2259" s="42" t="inlineStr">
        <is>
          <t>hollister perfume 2000s</t>
        </is>
      </c>
      <c r="C2259" s="42" t="n"/>
    </row>
    <row r="2260" ht="15" customHeight="1" s="37">
      <c r="A2260" s="42" t="inlineStr">
        <is>
          <t>hollister perfume</t>
        </is>
      </c>
      <c r="B2260" s="42" t="inlineStr">
        <is>
          <t>hollister perfume malaia</t>
        </is>
      </c>
      <c r="C2260" s="42" t="n"/>
    </row>
    <row r="2261" ht="15" customHeight="1" s="37">
      <c r="A2261" s="42" t="inlineStr">
        <is>
          <t>hollister perfume</t>
        </is>
      </c>
      <c r="B2261" s="42" t="inlineStr">
        <is>
          <t>hollister perfume price</t>
        </is>
      </c>
      <c r="C2261" s="42" t="n"/>
    </row>
    <row r="2262" ht="15" customHeight="1" s="37">
      <c r="A2262" s="42" t="inlineStr">
        <is>
          <t>hollister perfume</t>
        </is>
      </c>
      <c r="B2262" s="42" t="inlineStr">
        <is>
          <t>hollister perfume festival vibes</t>
        </is>
      </c>
      <c r="C2262" s="42" t="n"/>
    </row>
    <row r="2263" ht="15" customHeight="1" s="37">
      <c r="A2263" s="42" t="inlineStr">
        <is>
          <t>hollister perfume</t>
        </is>
      </c>
      <c r="B2263" s="42" t="inlineStr">
        <is>
          <t>hollister perfume honey kissed</t>
        </is>
      </c>
      <c r="C2263" s="42" t="n"/>
    </row>
    <row r="2264" ht="15" customHeight="1" s="37">
      <c r="A2264" s="42" t="inlineStr">
        <is>
          <t>hollister perfume</t>
        </is>
      </c>
      <c r="B2264" s="42" t="inlineStr">
        <is>
          <t>hollister perfume vanilla amour</t>
        </is>
      </c>
      <c r="C2264" s="42" t="n"/>
    </row>
    <row r="2265" ht="15" customHeight="1" s="37">
      <c r="A2265" s="42" t="inlineStr">
        <is>
          <t>hollister perfume</t>
        </is>
      </c>
      <c r="B2265" s="42" t="inlineStr">
        <is>
          <t>hollister perfume uk</t>
        </is>
      </c>
      <c r="C2265" s="42" t="n"/>
    </row>
    <row r="2266" ht="15" customHeight="1" s="37">
      <c r="A2266" s="42" t="inlineStr">
        <is>
          <t>hugo boss alive</t>
        </is>
      </c>
      <c r="B2266" s="42" t="inlineStr">
        <is>
          <t>hugo boss alive</t>
        </is>
      </c>
      <c r="C2266" s="42" t="inlineStr">
        <is>
          <t>Yes</t>
        </is>
      </c>
    </row>
    <row r="2267" ht="15" customHeight="1" s="37">
      <c r="A2267" s="42" t="inlineStr">
        <is>
          <t>hugo boss alive</t>
        </is>
      </c>
      <c r="B2267" s="42" t="inlineStr">
        <is>
          <t>hugo boss alive perfume</t>
        </is>
      </c>
      <c r="C2267" s="42" t="n"/>
    </row>
    <row r="2268" ht="15" customHeight="1" s="37">
      <c r="A2268" s="42" t="inlineStr">
        <is>
          <t>hugo boss alive</t>
        </is>
      </c>
      <c r="B2268" s="42" t="inlineStr">
        <is>
          <t>hugo boss alive intense</t>
        </is>
      </c>
      <c r="C2268" s="42" t="n"/>
    </row>
    <row r="2269" ht="15" customHeight="1" s="37">
      <c r="A2269" s="42" t="inlineStr">
        <is>
          <t>hugo boss alive</t>
        </is>
      </c>
      <c r="B2269" s="42" t="inlineStr">
        <is>
          <t>hugo boss alive parfum</t>
        </is>
      </c>
      <c r="C2269" s="42" t="n"/>
    </row>
    <row r="2270" ht="15" customHeight="1" s="37">
      <c r="A2270" s="42" t="inlineStr">
        <is>
          <t>hugo boss alive</t>
        </is>
      </c>
      <c r="B2270" s="42" t="inlineStr">
        <is>
          <t>hugo boss alive eau de parfum</t>
        </is>
      </c>
      <c r="C2270" s="42" t="inlineStr">
        <is>
          <t>Yes</t>
        </is>
      </c>
    </row>
    <row r="2271" ht="15" customHeight="1" s="37">
      <c r="A2271" s="42" t="inlineStr">
        <is>
          <t>hugo boss alive</t>
        </is>
      </c>
      <c r="B2271" s="42" t="inlineStr">
        <is>
          <t>hugo boss alive absolu</t>
        </is>
      </c>
      <c r="C2271" s="42" t="n"/>
    </row>
    <row r="2272" ht="15" customHeight="1" s="37">
      <c r="A2272" s="42" t="inlineStr">
        <is>
          <t>hugo boss alive</t>
        </is>
      </c>
      <c r="B2272" s="42" t="inlineStr">
        <is>
          <t>hugo boss alive sparkling lavender</t>
        </is>
      </c>
      <c r="C2272" s="42" t="n"/>
    </row>
    <row r="2273" ht="15" customHeight="1" s="37">
      <c r="A2273" s="42" t="inlineStr">
        <is>
          <t>hugo boss alive</t>
        </is>
      </c>
      <c r="B2273" s="42" t="inlineStr">
        <is>
          <t>hugo boss alive perfume 100ml</t>
        </is>
      </c>
      <c r="C2273" s="42" t="n"/>
    </row>
    <row r="2274" ht="15" customHeight="1" s="37">
      <c r="A2274" s="42" t="inlineStr">
        <is>
          <t>hugo boss alive</t>
        </is>
      </c>
      <c r="B2274" s="42" t="inlineStr">
        <is>
          <t>hugo boss alive edp</t>
        </is>
      </c>
      <c r="C2274" s="42" t="n"/>
    </row>
    <row r="2275" ht="15" customHeight="1" s="37">
      <c r="A2275" s="42" t="inlineStr">
        <is>
          <t>hugo boss alive</t>
        </is>
      </c>
      <c r="B2275" s="42" t="inlineStr">
        <is>
          <t>hugo boss alive notes</t>
        </is>
      </c>
      <c r="C2275" s="42" t="n"/>
    </row>
    <row r="2276" ht="15" customHeight="1" s="37">
      <c r="A2276" s="42" t="inlineStr">
        <is>
          <t>hugo boss boss the scent tester</t>
        </is>
      </c>
      <c r="B2276" s="42" t="inlineStr">
        <is>
          <t>hugo boss boss the scent tester</t>
        </is>
      </c>
      <c r="C2276" s="42" t="inlineStr">
        <is>
          <t>Yes</t>
        </is>
      </c>
    </row>
    <row r="2277" ht="15" customHeight="1" s="37">
      <c r="A2277" s="42" t="inlineStr">
        <is>
          <t>hugo boss boss the scent tester</t>
        </is>
      </c>
      <c r="B2277" s="42" t="inlineStr">
        <is>
          <t>hugo boss boss the scent m parfum 100ml tester</t>
        </is>
      </c>
      <c r="C2277" s="42" t="n"/>
    </row>
    <row r="2278" ht="15" customHeight="1" s="37">
      <c r="A2278" s="42" t="inlineStr">
        <is>
          <t>hugo boss boss the scent tester</t>
        </is>
      </c>
      <c r="B2278" s="42" t="inlineStr">
        <is>
          <t>hugo boss boss the scent magnetic m edp 100ml tester</t>
        </is>
      </c>
      <c r="C2278" s="42" t="n"/>
    </row>
    <row r="2279" ht="15" customHeight="1" s="37">
      <c r="A2279" s="42" t="inlineStr">
        <is>
          <t>hugo boss boss the scent tester</t>
        </is>
      </c>
      <c r="B2279" s="42" t="inlineStr">
        <is>
          <t>hugo boss elixir the scent tester</t>
        </is>
      </c>
      <c r="C2279" s="42" t="n"/>
    </row>
    <row r="2280" ht="15" customHeight="1" s="37">
      <c r="A2280" s="42" t="inlineStr">
        <is>
          <t>hugo boss boss the scent tester</t>
        </is>
      </c>
      <c r="B2280" s="42" t="inlineStr">
        <is>
          <t>hugo boss boss the scent le parfum m parfum 100ml tester</t>
        </is>
      </c>
      <c r="C2280" s="42" t="n"/>
    </row>
    <row r="2281" ht="15" customHeight="1" s="37">
      <c r="A2281" s="42" t="inlineStr">
        <is>
          <t>hugo boss boss the scent tester</t>
        </is>
      </c>
      <c r="B2281" s="42" t="inlineStr">
        <is>
          <t>hugo boss the scent tester 100ml</t>
        </is>
      </c>
      <c r="C2281" s="42" t="n"/>
    </row>
    <row r="2282" ht="15" customHeight="1" s="37">
      <c r="A2282" s="42" t="inlineStr">
        <is>
          <t>hugo boss boss the scent tester</t>
        </is>
      </c>
      <c r="B2282" s="42" t="inlineStr">
        <is>
          <t>hugo boss the scent rating</t>
        </is>
      </c>
      <c r="C2282" s="42" t="n"/>
    </row>
    <row r="2283" ht="15" customHeight="1" s="37">
      <c r="A2283" s="42" t="inlineStr">
        <is>
          <t>hugo boss boss the scent tester</t>
        </is>
      </c>
      <c r="B2283" s="42" t="inlineStr">
        <is>
          <t>hugo boss the scent review</t>
        </is>
      </c>
      <c r="C2283" s="42" t="n"/>
    </row>
    <row r="2284" ht="15" customHeight="1" s="37">
      <c r="A2284" s="42" t="inlineStr">
        <is>
          <t>hugo boss boss the scent tester</t>
        </is>
      </c>
      <c r="B2284" s="42" t="inlineStr">
        <is>
          <t>hugo boss the scent ingredients</t>
        </is>
      </c>
      <c r="C2284" s="42" t="n"/>
    </row>
    <row r="2285" ht="15" customHeight="1" s="37">
      <c r="A2285" s="42" t="inlineStr">
        <is>
          <t>hugo boss bottled</t>
        </is>
      </c>
      <c r="B2285" s="42" t="inlineStr">
        <is>
          <t>hugo boss bottled absolu</t>
        </is>
      </c>
      <c r="C2285" s="42" t="n"/>
    </row>
    <row r="2286" ht="15" customHeight="1" s="37">
      <c r="A2286" s="42" t="inlineStr">
        <is>
          <t>hugo boss bottled</t>
        </is>
      </c>
      <c r="B2286" s="42" t="inlineStr">
        <is>
          <t>hugo boss bottled</t>
        </is>
      </c>
      <c r="C2286" s="42" t="inlineStr">
        <is>
          <t>Yes</t>
        </is>
      </c>
    </row>
    <row r="2287" ht="15" customHeight="1" s="37">
      <c r="A2287" s="42" t="inlineStr">
        <is>
          <t>hugo boss bottled</t>
        </is>
      </c>
      <c r="B2287" s="42" t="inlineStr">
        <is>
          <t>hugo boss bottled night</t>
        </is>
      </c>
      <c r="C2287" s="42" t="n"/>
    </row>
    <row r="2288" ht="15" customHeight="1" s="37">
      <c r="A2288" s="42" t="inlineStr">
        <is>
          <t>hugo boss bottled</t>
        </is>
      </c>
      <c r="B2288" s="42" t="inlineStr">
        <is>
          <t>hugo boss bottled elixir</t>
        </is>
      </c>
      <c r="C2288" s="42" t="n"/>
    </row>
    <row r="2289" ht="15" customHeight="1" s="37">
      <c r="A2289" s="42" t="inlineStr">
        <is>
          <t>hugo boss bottled</t>
        </is>
      </c>
      <c r="B2289" s="42" t="inlineStr">
        <is>
          <t>hugo boss bottled beyond</t>
        </is>
      </c>
      <c r="C2289" s="42" t="n"/>
    </row>
    <row r="2290" ht="15" customHeight="1" s="37">
      <c r="A2290" s="42" t="inlineStr">
        <is>
          <t>hugo boss bottled</t>
        </is>
      </c>
      <c r="B2290" s="42" t="inlineStr">
        <is>
          <t>hugo boss bottled parfum</t>
        </is>
      </c>
      <c r="C2290" s="42" t="n"/>
    </row>
    <row r="2291" ht="15" customHeight="1" s="37">
      <c r="A2291" s="42" t="inlineStr">
        <is>
          <t>hugo boss bottled</t>
        </is>
      </c>
      <c r="B2291" s="42" t="inlineStr">
        <is>
          <t>hugo boss bottled night 200ml</t>
        </is>
      </c>
      <c r="C2291" s="42" t="n"/>
    </row>
    <row r="2292" ht="15" customHeight="1" s="37">
      <c r="A2292" s="42" t="inlineStr">
        <is>
          <t>hugo boss bottled</t>
        </is>
      </c>
      <c r="B2292" s="42" t="inlineStr">
        <is>
          <t>hugo boss bottled infinite</t>
        </is>
      </c>
      <c r="C2292" s="42" t="n"/>
    </row>
    <row r="2293" ht="15" customHeight="1" s="37">
      <c r="A2293" s="42" t="inlineStr">
        <is>
          <t>hugo boss bottled</t>
        </is>
      </c>
      <c r="B2293" s="42" t="inlineStr">
        <is>
          <t>hugo boss bottled edt</t>
        </is>
      </c>
      <c r="C2293" s="42" t="n"/>
    </row>
    <row r="2294" ht="15" customHeight="1" s="37">
      <c r="A2294" s="42" t="inlineStr">
        <is>
          <t>hugo boss bottled</t>
        </is>
      </c>
      <c r="B2294" s="42" t="inlineStr">
        <is>
          <t>hugo boss bottled edp</t>
        </is>
      </c>
      <c r="C2294" s="42" t="n"/>
    </row>
    <row r="2295" ht="15" customHeight="1" s="37">
      <c r="A2295" s="42" t="inlineStr">
        <is>
          <t>hugo boss hugo man</t>
        </is>
      </c>
      <c r="B2295" s="42" t="inlineStr">
        <is>
          <t>hugo boss hugo man</t>
        </is>
      </c>
      <c r="C2295" s="42" t="inlineStr">
        <is>
          <t>Yes</t>
        </is>
      </c>
    </row>
    <row r="2296" ht="15" customHeight="1" s="37">
      <c r="A2296" s="42" t="inlineStr">
        <is>
          <t>hugo boss hugo man</t>
        </is>
      </c>
      <c r="B2296" s="42" t="inlineStr">
        <is>
          <t>hugo boss hugo man eau de toilette</t>
        </is>
      </c>
      <c r="C2296" s="42" t="inlineStr">
        <is>
          <t>Yes</t>
        </is>
      </c>
    </row>
    <row r="2297" ht="15" customHeight="1" s="37">
      <c r="A2297" s="42" t="inlineStr">
        <is>
          <t>hugo boss hugo man</t>
        </is>
      </c>
      <c r="B2297" s="42" t="inlineStr">
        <is>
          <t>hugo boss hugo man edt</t>
        </is>
      </c>
      <c r="C2297" s="42" t="n"/>
    </row>
    <row r="2298" ht="15" customHeight="1" s="37">
      <c r="A2298" s="42" t="inlineStr">
        <is>
          <t>hugo boss hugo man</t>
        </is>
      </c>
      <c r="B2298" s="42" t="inlineStr">
        <is>
          <t>hugo boss hugo man perfume</t>
        </is>
      </c>
      <c r="C2298" s="42" t="n"/>
    </row>
    <row r="2299" ht="15" customHeight="1" s="37">
      <c r="A2299" s="42" t="inlineStr">
        <is>
          <t>hugo boss hugo man</t>
        </is>
      </c>
      <c r="B2299" s="42" t="inlineStr">
        <is>
          <t>hugo boss hugo man 200ml</t>
        </is>
      </c>
      <c r="C2299" s="42" t="n"/>
    </row>
    <row r="2300" ht="15" customHeight="1" s="37">
      <c r="A2300" s="42" t="inlineStr">
        <is>
          <t>hugo boss hugo man</t>
        </is>
      </c>
      <c r="B2300" s="42" t="inlineStr">
        <is>
          <t>hugo boss hugo man eau de toilette 200ml</t>
        </is>
      </c>
      <c r="C2300" s="42" t="n"/>
    </row>
    <row r="2301" ht="15" customHeight="1" s="37">
      <c r="A2301" s="42" t="inlineStr">
        <is>
          <t>hugo boss hugo man</t>
        </is>
      </c>
      <c r="B2301" s="42" t="inlineStr">
        <is>
          <t>hugo boss hugo man eau de toilette for men</t>
        </is>
      </c>
      <c r="C2301" s="42" t="n"/>
    </row>
    <row r="2302" ht="15" customHeight="1" s="37">
      <c r="A2302" s="42" t="inlineStr">
        <is>
          <t>hugo boss hugo man</t>
        </is>
      </c>
      <c r="B2302" s="42" t="inlineStr">
        <is>
          <t>hugo boss hugo man eau de toilette 125ml</t>
        </is>
      </c>
      <c r="C2302" s="42" t="n"/>
    </row>
    <row r="2303" ht="15" customHeight="1" s="37">
      <c r="A2303" s="42" t="inlineStr">
        <is>
          <t>hugo boss hugo man</t>
        </is>
      </c>
      <c r="B2303" s="42" t="inlineStr">
        <is>
          <t>hugo boss hugo man eau de toilette 75ml</t>
        </is>
      </c>
      <c r="C2303" s="42" t="n"/>
    </row>
    <row r="2304" ht="15" customHeight="1" s="37">
      <c r="A2304" s="42" t="inlineStr">
        <is>
          <t>hugo boss hugo man</t>
        </is>
      </c>
      <c r="B2304" s="42" t="inlineStr">
        <is>
          <t>hugo boss hugo man eau de toilette review</t>
        </is>
      </c>
      <c r="C2304" s="42" t="n"/>
    </row>
    <row r="2305" ht="15" customHeight="1" s="37">
      <c r="A2305" s="42" t="inlineStr">
        <is>
          <t>hugo boss perfume</t>
        </is>
      </c>
      <c r="B2305" s="42" t="inlineStr">
        <is>
          <t>hugo boss perfume</t>
        </is>
      </c>
      <c r="C2305" s="42" t="inlineStr">
        <is>
          <t>Yes</t>
        </is>
      </c>
    </row>
    <row r="2306" ht="15" customHeight="1" s="37">
      <c r="A2306" s="42" t="inlineStr">
        <is>
          <t>hugo boss perfume</t>
        </is>
      </c>
      <c r="B2306" s="42" t="inlineStr">
        <is>
          <t>hugo boss perfume men</t>
        </is>
      </c>
      <c r="C2306" s="42" t="n"/>
    </row>
    <row r="2307" ht="15" customHeight="1" s="37">
      <c r="A2307" s="42" t="inlineStr">
        <is>
          <t>hugo boss perfume</t>
        </is>
      </c>
      <c r="B2307" s="42" t="inlineStr">
        <is>
          <t>hugo boss perfume women</t>
        </is>
      </c>
      <c r="C2307" s="42" t="n"/>
    </row>
    <row r="2308" ht="15" customHeight="1" s="37">
      <c r="A2308" s="42" t="inlineStr">
        <is>
          <t>hugo boss perfume</t>
        </is>
      </c>
      <c r="B2308" s="42" t="inlineStr">
        <is>
          <t>hugo boss perfume price in pakistan</t>
        </is>
      </c>
      <c r="C2308" s="42" t="n"/>
    </row>
    <row r="2309" ht="15" customHeight="1" s="37">
      <c r="A2309" s="42" t="inlineStr">
        <is>
          <t>hugo boss perfume</t>
        </is>
      </c>
      <c r="B2309" s="42" t="inlineStr">
        <is>
          <t>hugo boss perfume price</t>
        </is>
      </c>
      <c r="C2309" s="42" t="n"/>
    </row>
    <row r="2310" ht="15" customHeight="1" s="37">
      <c r="A2310" s="42" t="inlineStr">
        <is>
          <t>hugo boss perfume</t>
        </is>
      </c>
      <c r="B2310" s="42" t="inlineStr">
        <is>
          <t>hugo boss perfume 100ml price</t>
        </is>
      </c>
      <c r="C2310" s="42" t="n"/>
    </row>
    <row r="2311" ht="15" customHeight="1" s="37">
      <c r="A2311" s="42" t="inlineStr">
        <is>
          <t>hugo boss perfume</t>
        </is>
      </c>
      <c r="B2311" s="42" t="inlineStr">
        <is>
          <t>hugo boss perfume price edgars</t>
        </is>
      </c>
      <c r="C2311" s="42" t="n"/>
    </row>
    <row r="2312" ht="15" customHeight="1" s="37">
      <c r="A2312" s="42" t="inlineStr">
        <is>
          <t>hugo boss perfume</t>
        </is>
      </c>
      <c r="B2312" s="42" t="inlineStr">
        <is>
          <t>hugo boss perfume the scent</t>
        </is>
      </c>
      <c r="C2312" s="42" t="n"/>
    </row>
    <row r="2313" ht="15" customHeight="1" s="37">
      <c r="A2313" s="42" t="inlineStr">
        <is>
          <t>hugo boss perfume</t>
        </is>
      </c>
      <c r="B2313" s="42" t="inlineStr">
        <is>
          <t>hugo boss perfume elixir</t>
        </is>
      </c>
      <c r="C2313" s="42" t="n"/>
    </row>
    <row r="2314" ht="15" customHeight="1" s="37">
      <c r="A2314" s="42" t="inlineStr">
        <is>
          <t>hugo boss perfume</t>
        </is>
      </c>
      <c r="B2314" s="42" t="inlineStr">
        <is>
          <t>hugo boss perfume notes</t>
        </is>
      </c>
      <c r="C2314" s="42" t="n"/>
    </row>
    <row r="2315" ht="15" customHeight="1" s="37">
      <c r="A2315" s="42" t="inlineStr">
        <is>
          <t>hugo boss the collection confident oud intense</t>
        </is>
      </c>
      <c r="B2315" s="42" t="inlineStr">
        <is>
          <t>hugo boss the collection confident oud intense</t>
        </is>
      </c>
      <c r="C2315" s="42" t="inlineStr">
        <is>
          <t>Yes</t>
        </is>
      </c>
    </row>
    <row r="2316" ht="15" customHeight="1" s="37">
      <c r="A2316" s="42" t="inlineStr">
        <is>
          <t>hugo boss the collection confident oud intense</t>
        </is>
      </c>
      <c r="B2316" s="42" t="inlineStr">
        <is>
          <t>hugo boss the collection confident oud intense edp</t>
        </is>
      </c>
      <c r="C2316" s="42" t="n"/>
    </row>
    <row r="2317" ht="15" customHeight="1" s="37">
      <c r="A2317" s="42" t="inlineStr">
        <is>
          <t>hugo boss the collection confident oud intense</t>
        </is>
      </c>
      <c r="B2317" s="42" t="inlineStr">
        <is>
          <t>hugo boss the collection confident oud eau de parfum intense</t>
        </is>
      </c>
      <c r="C2317" s="42" t="n"/>
    </row>
    <row r="2318" ht="15" customHeight="1" s="37">
      <c r="A2318" s="42" t="inlineStr">
        <is>
          <t>hugo boss the collection confident oud intense</t>
        </is>
      </c>
      <c r="B2318" s="42" t="inlineStr">
        <is>
          <t>hugo boss the collection confident oud eau de parfum intense 100ml</t>
        </is>
      </c>
      <c r="C2318" s="42" t="n"/>
    </row>
    <row r="2319" ht="15" customHeight="1" s="37">
      <c r="A2319" s="42" t="inlineStr">
        <is>
          <t>hugo boss the collection confident oud intense</t>
        </is>
      </c>
      <c r="B2319" s="42" t="inlineStr">
        <is>
          <t>hugo boss the collection confident oud eau de parfum intense review</t>
        </is>
      </c>
      <c r="C2319" s="42" t="n"/>
    </row>
    <row r="2320" ht="15" customHeight="1" s="37">
      <c r="A2320" s="42" t="inlineStr">
        <is>
          <t>hugo boss the collection confident oud intense</t>
        </is>
      </c>
      <c r="B2320" s="42" t="inlineStr">
        <is>
          <t>hugo boss boss the collection confident oud m edp intense 100ml</t>
        </is>
      </c>
      <c r="C2320" s="42" t="n"/>
    </row>
    <row r="2321" ht="15" customHeight="1" s="37">
      <c r="A2321" s="42" t="inlineStr">
        <is>
          <t>hugo boss the collection confident oud intense</t>
        </is>
      </c>
      <c r="B2321" s="42" t="inlineStr">
        <is>
          <t>hugo boss the scent price</t>
        </is>
      </c>
      <c r="C2321" s="42" t="n"/>
    </row>
    <row r="2322" ht="15" customHeight="1" s="37">
      <c r="A2322" s="42" t="inlineStr">
        <is>
          <t>jean paul gaultier classique perfumed shower gel</t>
        </is>
      </c>
      <c r="B2322" s="42" t="inlineStr">
        <is>
          <t>jean.paul.gaultier perfume and shower gel</t>
        </is>
      </c>
      <c r="C2322" s="42" t="inlineStr">
        <is>
          <t>Yes</t>
        </is>
      </c>
    </row>
    <row r="2323" ht="15" customHeight="1" s="37">
      <c r="A2323" s="42" t="inlineStr">
        <is>
          <t>jean paul gaultier classique perfumed shower gel</t>
        </is>
      </c>
      <c r="B2323" s="42" t="inlineStr">
        <is>
          <t>what does jean paul gaultier classique smell like</t>
        </is>
      </c>
      <c r="C2323" s="42" t="n"/>
    </row>
    <row r="2324" ht="15" customHeight="1" s="37">
      <c r="A2324" s="42" t="inlineStr">
        <is>
          <t>jean paul gaultier classique perfumed shower gel</t>
        </is>
      </c>
      <c r="B2324" s="42" t="inlineStr">
        <is>
          <t>what perfume smells like jean paul gaultier classique</t>
        </is>
      </c>
      <c r="C2324" s="42" t="n"/>
    </row>
    <row r="2325" ht="15" customHeight="1" s="37">
      <c r="A2325" s="42" t="inlineStr">
        <is>
          <t>jean paul gaultier classique perfumed shower gel</t>
        </is>
      </c>
      <c r="B2325" s="42" t="inlineStr">
        <is>
          <t>which jean paul gaultier perfume is best</t>
        </is>
      </c>
      <c r="C2325" s="42" t="n"/>
    </row>
    <row r="2326" ht="15" customHeight="1" s="37">
      <c r="A2326" s="42" t="inlineStr">
        <is>
          <t>jean paul gaultier classique perfumed shower gel</t>
        </is>
      </c>
      <c r="B2326" s="42" t="inlineStr">
        <is>
          <t>jean paul gaultier classique ingredients</t>
        </is>
      </c>
      <c r="C2326" s="42" t="inlineStr">
        <is>
          <t>Yes</t>
        </is>
      </c>
    </row>
    <row r="2327" ht="15" customHeight="1" s="37">
      <c r="A2327" s="42" t="inlineStr">
        <is>
          <t>jean paul gaultier scandal gold</t>
        </is>
      </c>
      <c r="B2327" s="42" t="inlineStr">
        <is>
          <t>jean paul gaultier scandal gold</t>
        </is>
      </c>
      <c r="C2327" s="42" t="inlineStr">
        <is>
          <t>Yes</t>
        </is>
      </c>
    </row>
    <row r="2328" ht="15" customHeight="1" s="37">
      <c r="A2328" s="42" t="inlineStr">
        <is>
          <t>jean paul gaultier scandal gold</t>
        </is>
      </c>
      <c r="B2328" s="42" t="inlineStr">
        <is>
          <t>jean paul gaultier scandal gold eau de parfum</t>
        </is>
      </c>
      <c r="C2328" s="42" t="inlineStr">
        <is>
          <t>Yes</t>
        </is>
      </c>
    </row>
    <row r="2329" ht="15" customHeight="1" s="37">
      <c r="A2329" s="42" t="inlineStr">
        <is>
          <t>jean paul gaultier scandal gold</t>
        </is>
      </c>
      <c r="B2329" s="42" t="inlineStr">
        <is>
          <t>jean paul gaultier scandal gold edp</t>
        </is>
      </c>
      <c r="C2329" s="42" t="inlineStr">
        <is>
          <t>Yes</t>
        </is>
      </c>
    </row>
    <row r="2330" ht="15" customHeight="1" s="37">
      <c r="A2330" s="42" t="inlineStr">
        <is>
          <t>jean paul gaultier scandal gold</t>
        </is>
      </c>
      <c r="B2330" s="42" t="inlineStr">
        <is>
          <t>jean paul gaultier scandal gold perfume</t>
        </is>
      </c>
      <c r="C2330" s="42" t="inlineStr">
        <is>
          <t>Yes</t>
        </is>
      </c>
    </row>
    <row r="2331" ht="15" customHeight="1" s="37">
      <c r="A2331" s="42" t="inlineStr">
        <is>
          <t>jean paul gaultier scandal gold</t>
        </is>
      </c>
      <c r="B2331" s="42" t="inlineStr">
        <is>
          <t>jean paul gaultier scandal gold men</t>
        </is>
      </c>
      <c r="C2331" s="42" t="inlineStr">
        <is>
          <t>Yes</t>
        </is>
      </c>
    </row>
    <row r="2332" ht="15" customHeight="1" s="37">
      <c r="A2332" s="42" t="inlineStr">
        <is>
          <t>jean paul gaultier scandal gold</t>
        </is>
      </c>
      <c r="B2332" s="42" t="inlineStr">
        <is>
          <t>jean paul gaultier scandal gold bottle</t>
        </is>
      </c>
      <c r="C2332" s="42" t="n"/>
    </row>
    <row r="2333" ht="15" customHeight="1" s="37">
      <c r="A2333" s="42" t="inlineStr">
        <is>
          <t>jean paul gaultier scandal gold</t>
        </is>
      </c>
      <c r="B2333" s="42" t="inlineStr">
        <is>
          <t>jean paul gaultier scandal gold eau de parfum 80ml</t>
        </is>
      </c>
      <c r="C2333" s="42" t="inlineStr">
        <is>
          <t>Yes</t>
        </is>
      </c>
    </row>
    <row r="2334" ht="15" customHeight="1" s="37">
      <c r="A2334" s="42" t="inlineStr">
        <is>
          <t>jean paul gaultier scandal gold</t>
        </is>
      </c>
      <c r="B2334" s="42" t="inlineStr">
        <is>
          <t>jean paul gaultier scandal gold fragrantica</t>
        </is>
      </c>
      <c r="C2334" s="42" t="n"/>
    </row>
    <row r="2335" ht="15" customHeight="1" s="37">
      <c r="A2335" s="42" t="inlineStr">
        <is>
          <t>jean paul gaultier scandal gold</t>
        </is>
      </c>
      <c r="B2335" s="42" t="inlineStr">
        <is>
          <t>jean paul gaultier scandal gold edp 80ml</t>
        </is>
      </c>
      <c r="C2335" s="42" t="inlineStr">
        <is>
          <t>Yes</t>
        </is>
      </c>
    </row>
    <row r="2336" ht="15" customHeight="1" s="37">
      <c r="A2336" s="42" t="inlineStr">
        <is>
          <t>jean paul gaultier scandal gold</t>
        </is>
      </c>
      <c r="B2336" s="42" t="inlineStr">
        <is>
          <t>jean paul gaultier scandal gold 80ml</t>
        </is>
      </c>
      <c r="C2336" s="42" t="n"/>
    </row>
    <row r="2337" ht="15" customHeight="1" s="37">
      <c r="A2337" s="42" t="inlineStr">
        <is>
          <t>jean paul perfume</t>
        </is>
      </c>
      <c r="B2337" s="42" t="inlineStr">
        <is>
          <t>jean paul perfume</t>
        </is>
      </c>
      <c r="C2337" s="42" t="inlineStr">
        <is>
          <t>Yes</t>
        </is>
      </c>
    </row>
    <row r="2338" ht="15" customHeight="1" s="37">
      <c r="A2338" s="42" t="inlineStr">
        <is>
          <t>jean paul perfume</t>
        </is>
      </c>
      <c r="B2338" s="42" t="inlineStr">
        <is>
          <t>jean paul perfume men</t>
        </is>
      </c>
      <c r="C2338" s="42" t="n"/>
    </row>
    <row r="2339" ht="15" customHeight="1" s="37">
      <c r="A2339" s="42" t="inlineStr">
        <is>
          <t>jean paul perfume</t>
        </is>
      </c>
      <c r="B2339" s="42" t="inlineStr">
        <is>
          <t>jean paul perfume women</t>
        </is>
      </c>
      <c r="C2339" s="42" t="n"/>
    </row>
    <row r="2340" ht="15" customHeight="1" s="37">
      <c r="A2340" s="42" t="inlineStr">
        <is>
          <t>jean paul perfume</t>
        </is>
      </c>
      <c r="B2340" s="42" t="inlineStr">
        <is>
          <t>jean paul perfume price</t>
        </is>
      </c>
      <c r="C2340" s="42" t="n"/>
    </row>
    <row r="2341" ht="15" customHeight="1" s="37">
      <c r="A2341" s="42" t="inlineStr">
        <is>
          <t>jean paul perfume</t>
        </is>
      </c>
      <c r="B2341" s="42" t="inlineStr">
        <is>
          <t>jean paul perfume female</t>
        </is>
      </c>
      <c r="C2341" s="42" t="n"/>
    </row>
    <row r="2342" ht="15" customHeight="1" s="37">
      <c r="A2342" s="42" t="inlineStr">
        <is>
          <t>jean paul perfume</t>
        </is>
      </c>
      <c r="B2342" s="42" t="inlineStr">
        <is>
          <t>jean paul perfume man</t>
        </is>
      </c>
      <c r="C2342" s="42" t="n"/>
    </row>
    <row r="2343" ht="15" customHeight="1" s="37">
      <c r="A2343" s="42" t="inlineStr">
        <is>
          <t>jean paul perfume</t>
        </is>
      </c>
      <c r="B2343" s="42" t="inlineStr">
        <is>
          <t>jean paul perfume price in pakistan</t>
        </is>
      </c>
      <c r="C2343" s="42" t="n"/>
    </row>
    <row r="2344" ht="15" customHeight="1" s="37">
      <c r="A2344" s="42" t="inlineStr">
        <is>
          <t>jean paul perfume</t>
        </is>
      </c>
      <c r="B2344" s="42" t="inlineStr">
        <is>
          <t>jean paul perfume la belle</t>
        </is>
      </c>
      <c r="C2344" s="42" t="n"/>
    </row>
    <row r="2345" ht="15" customHeight="1" s="37">
      <c r="A2345" s="42" t="inlineStr">
        <is>
          <t>jean paul perfume</t>
        </is>
      </c>
      <c r="B2345" s="42" t="inlineStr">
        <is>
          <t>jean paul perfume scandal</t>
        </is>
      </c>
      <c r="C2345" s="42" t="n"/>
    </row>
    <row r="2346" ht="15" customHeight="1" s="37">
      <c r="A2346" s="42" t="inlineStr">
        <is>
          <t>jean paul perfume</t>
        </is>
      </c>
      <c r="B2346" s="42" t="inlineStr">
        <is>
          <t>jean paul perfume elixir</t>
        </is>
      </c>
      <c r="C2346" s="42" t="n"/>
    </row>
    <row r="2347" ht="15" customHeight="1" s="37">
      <c r="A2347" s="42" t="inlineStr">
        <is>
          <t>jimmy choo i want choo forever miniature</t>
        </is>
      </c>
      <c r="B2347" s="42" t="inlineStr">
        <is>
          <t>jimmy choo i want choo forever miniature</t>
        </is>
      </c>
      <c r="C2347" s="42" t="inlineStr">
        <is>
          <t>Yes</t>
        </is>
      </c>
    </row>
    <row r="2348" ht="15" customHeight="1" s="37">
      <c r="A2348" s="42" t="inlineStr">
        <is>
          <t>jimmy choo i want choo forever miniature</t>
        </is>
      </c>
      <c r="B2348" s="42" t="inlineStr">
        <is>
          <t>jimmy choo i want choo forever small</t>
        </is>
      </c>
      <c r="C2348" s="42" t="n"/>
    </row>
    <row r="2349" ht="15" customHeight="1" s="37">
      <c r="A2349" s="42" t="inlineStr">
        <is>
          <t>jimmy choo perfume</t>
        </is>
      </c>
      <c r="B2349" s="42" t="inlineStr">
        <is>
          <t>jimmy choo perfume</t>
        </is>
      </c>
      <c r="C2349" s="42" t="inlineStr">
        <is>
          <t>Yes</t>
        </is>
      </c>
    </row>
    <row r="2350" ht="15" customHeight="1" s="37">
      <c r="A2350" s="42" t="inlineStr">
        <is>
          <t>jimmy choo perfume</t>
        </is>
      </c>
      <c r="B2350" s="42" t="inlineStr">
        <is>
          <t>jimmy choo perfume women</t>
        </is>
      </c>
      <c r="C2350" s="42" t="n"/>
    </row>
    <row r="2351" ht="15" customHeight="1" s="37">
      <c r="A2351" s="42" t="inlineStr">
        <is>
          <t>jimmy choo perfume</t>
        </is>
      </c>
      <c r="B2351" s="42" t="inlineStr">
        <is>
          <t>jimmy choo perfume men</t>
        </is>
      </c>
      <c r="C2351" s="42" t="n"/>
    </row>
    <row r="2352" ht="15" customHeight="1" s="37">
      <c r="A2352" s="42" t="inlineStr">
        <is>
          <t>jimmy choo perfume</t>
        </is>
      </c>
      <c r="B2352" s="42" t="inlineStr">
        <is>
          <t>jimmy choo perfume i want choo</t>
        </is>
      </c>
      <c r="C2352" s="42" t="n"/>
    </row>
    <row r="2353" ht="15" customHeight="1" s="37">
      <c r="A2353" s="42" t="inlineStr">
        <is>
          <t>jimmy choo perfume</t>
        </is>
      </c>
      <c r="B2353" s="42" t="inlineStr">
        <is>
          <t>jimmy choo perfume price</t>
        </is>
      </c>
      <c r="C2353" s="42" t="n"/>
    </row>
    <row r="2354" ht="15" customHeight="1" s="37">
      <c r="A2354" s="42" t="inlineStr">
        <is>
          <t>jimmy choo perfume</t>
        </is>
      </c>
      <c r="B2354" s="42" t="inlineStr">
        <is>
          <t>jimmy choo perfume blossom</t>
        </is>
      </c>
      <c r="C2354" s="42" t="n"/>
    </row>
    <row r="2355" ht="15" customHeight="1" s="37">
      <c r="A2355" s="42" t="inlineStr">
        <is>
          <t>jimmy choo perfume</t>
        </is>
      </c>
      <c r="B2355" s="42" t="inlineStr">
        <is>
          <t>jimmy choo perfume price in pakistan</t>
        </is>
      </c>
      <c r="C2355" s="42" t="n"/>
    </row>
    <row r="2356" ht="15" customHeight="1" s="37">
      <c r="A2356" s="42" t="inlineStr">
        <is>
          <t>jimmy choo perfume</t>
        </is>
      </c>
      <c r="B2356" s="42" t="inlineStr">
        <is>
          <t>jimmy choo perfume illicit</t>
        </is>
      </c>
      <c r="C2356" s="42" t="n"/>
    </row>
    <row r="2357" ht="15" customHeight="1" s="37">
      <c r="A2357" s="42" t="inlineStr">
        <is>
          <t>jimmy choo perfume</t>
        </is>
      </c>
      <c r="B2357" s="42" t="inlineStr">
        <is>
          <t>jimmy choo perfume set</t>
        </is>
      </c>
      <c r="C2357" s="42" t="n"/>
    </row>
    <row r="2358" ht="15" customHeight="1" s="37">
      <c r="A2358" s="42" t="inlineStr">
        <is>
          <t>jimmy choo perfume</t>
        </is>
      </c>
      <c r="B2358" s="42" t="inlineStr">
        <is>
          <t>jimmy choo perfume fever</t>
        </is>
      </c>
      <c r="C2358" s="42" t="n"/>
    </row>
    <row r="2359" ht="15" customHeight="1" s="37">
      <c r="A2359" s="42" t="inlineStr">
        <is>
          <t>jo milano game of spades wildcard for parfum , 3.4 ounce</t>
        </is>
      </c>
      <c r="B2359" s="42" t="inlineStr">
        <is>
          <t>jo milano game of spades wildcard for unisex parfum spray 3.4 ounce</t>
        </is>
      </c>
      <c r="C2359" s="42" t="n"/>
    </row>
    <row r="2360" ht="15" customHeight="1" s="37">
      <c r="A2360" s="42" t="inlineStr">
        <is>
          <t>jo milano game of spades wildcard for parfum , 3.4 ounce</t>
        </is>
      </c>
      <c r="B2360" s="42" t="inlineStr">
        <is>
          <t>jo milano game of spades wildcard parfum spray 3.4 ounce</t>
        </is>
      </c>
      <c r="C2360" s="42" t="n"/>
    </row>
    <row r="2361" ht="15" customHeight="1" s="37">
      <c r="A2361" s="42" t="inlineStr">
        <is>
          <t>jo milano game of spades wildcard for parfum , 3.4 ounce</t>
        </is>
      </c>
      <c r="B2361" s="42" t="inlineStr">
        <is>
          <t>jo milano unisex game of spades wildcard parfum 3.4 oz fragrances</t>
        </is>
      </c>
      <c r="C2361" s="42" t="n"/>
    </row>
    <row r="2362" ht="15" customHeight="1" s="37">
      <c r="A2362" s="42" t="inlineStr">
        <is>
          <t>jo milano game of spades wildcard for parfum , 3.4 ounce</t>
        </is>
      </c>
      <c r="B2362" s="42" t="inlineStr">
        <is>
          <t>jo milano game of spades wildcard parfum spray 3.4 oz 100ml</t>
        </is>
      </c>
      <c r="C2362" s="42" t="n"/>
    </row>
    <row r="2363" ht="15" customHeight="1" s="37">
      <c r="A2363" s="42" t="inlineStr">
        <is>
          <t>jo milano game of spades wildcard for parfum , 3.4 ounce</t>
        </is>
      </c>
      <c r="B2363" s="42" t="inlineStr">
        <is>
          <t>jo milano game of spades wildcard 3.4 oz parfum for men</t>
        </is>
      </c>
      <c r="C2363" s="42" t="n"/>
    </row>
    <row r="2364" ht="15" customHeight="1" s="37">
      <c r="A2364" s="42" t="inlineStr">
        <is>
          <t>jo milano game of spades wildcard for parfum , 3.4 ounce</t>
        </is>
      </c>
      <c r="B2364" s="42" t="inlineStr">
        <is>
          <t>can you play 3 man spades</t>
        </is>
      </c>
      <c r="C2364" s="42" t="n"/>
    </row>
    <row r="2365" ht="15" customHeight="1" s="37">
      <c r="A2365" s="42" t="inlineStr">
        <is>
          <t>jo milano perfume</t>
        </is>
      </c>
      <c r="B2365" s="42" t="inlineStr">
        <is>
          <t>jo milano perfume</t>
        </is>
      </c>
      <c r="C2365" s="42" t="inlineStr">
        <is>
          <t>Yes</t>
        </is>
      </c>
    </row>
    <row r="2366" ht="15" customHeight="1" s="37">
      <c r="A2366" s="42" t="inlineStr">
        <is>
          <t>jo milano perfume</t>
        </is>
      </c>
      <c r="B2366" s="42" t="inlineStr">
        <is>
          <t>jo milano perfume women</t>
        </is>
      </c>
      <c r="C2366" s="42" t="n"/>
    </row>
    <row r="2367" ht="15" customHeight="1" s="37">
      <c r="A2367" s="42" t="inlineStr">
        <is>
          <t>jo milano perfume</t>
        </is>
      </c>
      <c r="B2367" s="42" t="inlineStr">
        <is>
          <t>jo milano perfume uk</t>
        </is>
      </c>
      <c r="C2367" s="42" t="n"/>
    </row>
    <row r="2368" ht="15" customHeight="1" s="37">
      <c r="A2368" s="42" t="inlineStr">
        <is>
          <t>jo milano perfume</t>
        </is>
      </c>
      <c r="B2368" s="42" t="inlineStr">
        <is>
          <t>jo milano perfume game of spades</t>
        </is>
      </c>
      <c r="C2368" s="42" t="n"/>
    </row>
    <row r="2369" ht="15" customHeight="1" s="37">
      <c r="A2369" s="42" t="inlineStr">
        <is>
          <t>jo milano perfume</t>
        </is>
      </c>
      <c r="B2369" s="42" t="inlineStr">
        <is>
          <t>jo milano perfume notes</t>
        </is>
      </c>
      <c r="C2369" s="42" t="n"/>
    </row>
    <row r="2370" ht="15" customHeight="1" s="37">
      <c r="A2370" s="42" t="inlineStr">
        <is>
          <t>jo milano perfume</t>
        </is>
      </c>
      <c r="B2370" s="42" t="inlineStr">
        <is>
          <t>jo milano perfume near me</t>
        </is>
      </c>
      <c r="C2370" s="42" t="n"/>
    </row>
    <row r="2371" ht="15" customHeight="1" s="37">
      <c r="A2371" s="42" t="inlineStr">
        <is>
          <t>jo milano perfume</t>
        </is>
      </c>
      <c r="B2371" s="42" t="inlineStr">
        <is>
          <t>jo milano perfume price</t>
        </is>
      </c>
      <c r="C2371" s="42" t="n"/>
    </row>
    <row r="2372" ht="15" customHeight="1" s="37">
      <c r="A2372" s="42" t="inlineStr">
        <is>
          <t>jo milano perfume</t>
        </is>
      </c>
      <c r="B2372" s="42" t="inlineStr">
        <is>
          <t>jo milano perfume dupe list</t>
        </is>
      </c>
      <c r="C2372" s="42" t="n"/>
    </row>
    <row r="2373" ht="15" customHeight="1" s="37">
      <c r="A2373" s="42" t="inlineStr">
        <is>
          <t>jo milano perfume</t>
        </is>
      </c>
      <c r="B2373" s="42" t="inlineStr">
        <is>
          <t>jo milano perfume men</t>
        </is>
      </c>
      <c r="C2373" s="42" t="n"/>
    </row>
    <row r="2374" ht="15" customHeight="1" s="37">
      <c r="A2374" s="42" t="inlineStr">
        <is>
          <t>jo milano perfume</t>
        </is>
      </c>
      <c r="B2374" s="42" t="inlineStr">
        <is>
          <t>jo milano perfume price in pakistan</t>
        </is>
      </c>
      <c r="C2374" s="42" t="n"/>
    </row>
    <row r="2375" ht="15" customHeight="1" s="37">
      <c r="A2375" s="42" t="inlineStr">
        <is>
          <t>john varvatos artisan</t>
        </is>
      </c>
      <c r="B2375" s="42" t="inlineStr">
        <is>
          <t>john varvatos artisan</t>
        </is>
      </c>
      <c r="C2375" s="42" t="inlineStr">
        <is>
          <t>Yes</t>
        </is>
      </c>
    </row>
    <row r="2376" ht="15" customHeight="1" s="37">
      <c r="A2376" s="42" t="inlineStr">
        <is>
          <t>john varvatos artisan</t>
        </is>
      </c>
      <c r="B2376" s="42" t="inlineStr">
        <is>
          <t>john varvatos artisan pure</t>
        </is>
      </c>
      <c r="C2376" s="42" t="n"/>
    </row>
    <row r="2377" ht="15" customHeight="1" s="37">
      <c r="A2377" s="42" t="inlineStr">
        <is>
          <t>john varvatos artisan</t>
        </is>
      </c>
      <c r="B2377" s="42" t="inlineStr">
        <is>
          <t>john varvatos artisan black</t>
        </is>
      </c>
      <c r="C2377" s="42" t="n"/>
    </row>
    <row r="2378" ht="15" customHeight="1" s="37">
      <c r="A2378" s="42" t="inlineStr">
        <is>
          <t>john varvatos artisan</t>
        </is>
      </c>
      <c r="B2378" s="42" t="inlineStr">
        <is>
          <t>john varvatos artisan blu</t>
        </is>
      </c>
      <c r="C2378" s="42" t="n"/>
    </row>
    <row r="2379" ht="15" customHeight="1" s="37">
      <c r="A2379" s="42" t="inlineStr">
        <is>
          <t>john varvatos artisan</t>
        </is>
      </c>
      <c r="B2379" s="42" t="inlineStr">
        <is>
          <t>john varvatos artisan costiero</t>
        </is>
      </c>
      <c r="C2379" s="42" t="n"/>
    </row>
    <row r="2380" ht="15" customHeight="1" s="37">
      <c r="A2380" s="42" t="inlineStr">
        <is>
          <t>john varvatos artisan</t>
        </is>
      </c>
      <c r="B2380" s="42" t="inlineStr">
        <is>
          <t>john varvatos artisan teal</t>
        </is>
      </c>
      <c r="C2380" s="42" t="n"/>
    </row>
    <row r="2381" ht="15" customHeight="1" s="37">
      <c r="A2381" s="42" t="inlineStr">
        <is>
          <t>john varvatos artisan</t>
        </is>
      </c>
      <c r="B2381" s="42" t="inlineStr">
        <is>
          <t>john varvatos artisan forest</t>
        </is>
      </c>
      <c r="C2381" s="42" t="n"/>
    </row>
    <row r="2382" ht="15" customHeight="1" s="37">
      <c r="A2382" s="42" t="inlineStr">
        <is>
          <t>john varvatos artisan</t>
        </is>
      </c>
      <c r="B2382" s="42" t="inlineStr">
        <is>
          <t>john varvatos artisan acqua</t>
        </is>
      </c>
      <c r="C2382" s="42" t="n"/>
    </row>
    <row r="2383" ht="15" customHeight="1" s="37">
      <c r="A2383" s="42" t="inlineStr">
        <is>
          <t>john varvatos artisan</t>
        </is>
      </c>
      <c r="B2383" s="42" t="inlineStr">
        <is>
          <t>john varvatos artisan pure notes</t>
        </is>
      </c>
      <c r="C2383" s="42" t="n"/>
    </row>
    <row r="2384" ht="15" customHeight="1" s="37">
      <c r="A2384" s="42" t="inlineStr">
        <is>
          <t>john varvatos artisan</t>
        </is>
      </c>
      <c r="B2384" s="42" t="inlineStr">
        <is>
          <t>john varvatos artisan black review</t>
        </is>
      </c>
      <c r="C2384" s="42" t="n"/>
    </row>
    <row r="2385" ht="15" customHeight="1" s="37">
      <c r="A2385" s="42" t="inlineStr">
        <is>
          <t>john varvatos perfume</t>
        </is>
      </c>
      <c r="B2385" s="42" t="inlineStr">
        <is>
          <t>john varvatos perfume</t>
        </is>
      </c>
      <c r="C2385" s="42" t="inlineStr">
        <is>
          <t>Yes</t>
        </is>
      </c>
    </row>
    <row r="2386" ht="15" customHeight="1" s="37">
      <c r="A2386" s="42" t="inlineStr">
        <is>
          <t>john varvatos perfume</t>
        </is>
      </c>
      <c r="B2386" s="42" t="inlineStr">
        <is>
          <t>john varvatos perfume price</t>
        </is>
      </c>
      <c r="C2386" s="42" t="n"/>
    </row>
    <row r="2387" ht="15" customHeight="1" s="37">
      <c r="A2387" s="42" t="inlineStr">
        <is>
          <t>john varvatos perfume</t>
        </is>
      </c>
      <c r="B2387" s="42" t="inlineStr">
        <is>
          <t>john varvatos perfume for men</t>
        </is>
      </c>
      <c r="C2387" s="42" t="inlineStr">
        <is>
          <t>Yes</t>
        </is>
      </c>
    </row>
    <row r="2388" ht="15" customHeight="1" s="37">
      <c r="A2388" s="42" t="inlineStr">
        <is>
          <t>john varvatos perfume</t>
        </is>
      </c>
      <c r="B2388" s="42" t="inlineStr">
        <is>
          <t>john varvatos perfume artisan</t>
        </is>
      </c>
      <c r="C2388" s="42" t="n"/>
    </row>
    <row r="2389" ht="15" customHeight="1" s="37">
      <c r="A2389" s="42" t="inlineStr">
        <is>
          <t>john varvatos perfume</t>
        </is>
      </c>
      <c r="B2389" s="42" t="inlineStr">
        <is>
          <t>john varvatos perfume price in pakistan</t>
        </is>
      </c>
      <c r="C2389" s="42" t="n"/>
    </row>
    <row r="2390" ht="15" customHeight="1" s="37">
      <c r="A2390" s="42" t="inlineStr">
        <is>
          <t>john varvatos perfume</t>
        </is>
      </c>
      <c r="B2390" s="42" t="inlineStr">
        <is>
          <t>john varvatos perfume for women</t>
        </is>
      </c>
      <c r="C2390" s="42" t="n"/>
    </row>
    <row r="2391" ht="15" customHeight="1" s="37">
      <c r="A2391" s="42" t="inlineStr">
        <is>
          <t>john varvatos perfume</t>
        </is>
      </c>
      <c r="B2391" s="42" t="inlineStr">
        <is>
          <t>john varvatos perfume review</t>
        </is>
      </c>
      <c r="C2391" s="42" t="n"/>
    </row>
    <row r="2392" ht="15" customHeight="1" s="37">
      <c r="A2392" s="42" t="inlineStr">
        <is>
          <t>john varvatos perfume</t>
        </is>
      </c>
      <c r="B2392" s="42" t="inlineStr">
        <is>
          <t>john varvatos perfume vintage</t>
        </is>
      </c>
      <c r="C2392" s="42" t="n"/>
    </row>
    <row r="2393" ht="15" customHeight="1" s="37">
      <c r="A2393" s="42" t="inlineStr">
        <is>
          <t>john varvatos perfume</t>
        </is>
      </c>
      <c r="B2393" s="42" t="inlineStr">
        <is>
          <t>john varvatos perfume artisan pure</t>
        </is>
      </c>
      <c r="C2393" s="42" t="n"/>
    </row>
    <row r="2394" ht="15" customHeight="1" s="37">
      <c r="A2394" s="42" t="inlineStr">
        <is>
          <t>john varvatos perfume</t>
        </is>
      </c>
      <c r="B2394" s="42" t="inlineStr">
        <is>
          <t>john varvatos perfume price in india</t>
        </is>
      </c>
      <c r="C2394" s="42" t="n"/>
    </row>
    <row r="2395" ht="15" customHeight="1" s="37">
      <c r="A2395" s="42" t="inlineStr">
        <is>
          <t>joop homme perfume</t>
        </is>
      </c>
      <c r="B2395" s="42" t="inlineStr">
        <is>
          <t>joop homme perfume</t>
        </is>
      </c>
      <c r="C2395" s="42" t="inlineStr">
        <is>
          <t>Yes</t>
        </is>
      </c>
    </row>
    <row r="2396" ht="15" customHeight="1" s="37">
      <c r="A2396" s="42" t="inlineStr">
        <is>
          <t>joop homme perfume</t>
        </is>
      </c>
      <c r="B2396" s="42" t="inlineStr">
        <is>
          <t>joop homme perfume price</t>
        </is>
      </c>
      <c r="C2396" s="42" t="n"/>
    </row>
    <row r="2397" ht="15" customHeight="1" s="37">
      <c r="A2397" s="42" t="inlineStr">
        <is>
          <t>joop homme perfume</t>
        </is>
      </c>
      <c r="B2397" s="42" t="inlineStr">
        <is>
          <t>joop homme perfume price in pakistan</t>
        </is>
      </c>
      <c r="C2397" s="42" t="n"/>
    </row>
    <row r="2398" ht="15" customHeight="1" s="37">
      <c r="A2398" s="42" t="inlineStr">
        <is>
          <t>joop homme perfume</t>
        </is>
      </c>
      <c r="B2398" s="42" t="inlineStr">
        <is>
          <t>joop homme perfume for men</t>
        </is>
      </c>
      <c r="C2398" s="42" t="inlineStr">
        <is>
          <t>Yes</t>
        </is>
      </c>
    </row>
    <row r="2399" ht="15" customHeight="1" s="37">
      <c r="A2399" s="42" t="inlineStr">
        <is>
          <t>joop homme perfume</t>
        </is>
      </c>
      <c r="B2399" s="42" t="inlineStr">
        <is>
          <t>joop homme perfume review</t>
        </is>
      </c>
      <c r="C2399" s="42" t="n"/>
    </row>
    <row r="2400" ht="15" customHeight="1" s="37">
      <c r="A2400" s="42" t="inlineStr">
        <is>
          <t>joop homme perfume</t>
        </is>
      </c>
      <c r="B2400" s="42" t="inlineStr">
        <is>
          <t>joop homme perfume notes</t>
        </is>
      </c>
      <c r="C2400" s="42" t="n"/>
    </row>
    <row r="2401" ht="15" customHeight="1" s="37">
      <c r="A2401" s="42" t="inlineStr">
        <is>
          <t>joop homme perfume</t>
        </is>
      </c>
      <c r="B2401" s="42" t="inlineStr">
        <is>
          <t>joop homme perfume for women</t>
        </is>
      </c>
      <c r="C2401" s="42" t="n"/>
    </row>
    <row r="2402" ht="15" customHeight="1" s="37">
      <c r="A2402" s="42" t="inlineStr">
        <is>
          <t>joop homme perfume</t>
        </is>
      </c>
      <c r="B2402" s="42" t="inlineStr">
        <is>
          <t>joop homme perfume 125ml</t>
        </is>
      </c>
      <c r="C2402" s="42" t="n"/>
    </row>
    <row r="2403" ht="15" customHeight="1" s="37">
      <c r="A2403" s="42" t="inlineStr">
        <is>
          <t>joop homme perfume</t>
        </is>
      </c>
      <c r="B2403" s="42" t="inlineStr">
        <is>
          <t>joop homme perfume price in india</t>
        </is>
      </c>
      <c r="C2403" s="42" t="n"/>
    </row>
    <row r="2404" ht="15" customHeight="1" s="37">
      <c r="A2404" s="42" t="inlineStr">
        <is>
          <t>joop homme perfume</t>
        </is>
      </c>
      <c r="B2404" s="42" t="inlineStr">
        <is>
          <t>joop homme perfume is for men or women</t>
        </is>
      </c>
      <c r="C2404" s="42" t="n"/>
    </row>
    <row r="2405" ht="15" customHeight="1" s="37">
      <c r="A2405" s="42" t="inlineStr">
        <is>
          <t>joop! homme</t>
        </is>
      </c>
      <c r="B2405" s="42" t="inlineStr">
        <is>
          <t>joop homme</t>
        </is>
      </c>
      <c r="C2405" s="42" t="inlineStr">
        <is>
          <t>Yes</t>
        </is>
      </c>
    </row>
    <row r="2406" ht="15" customHeight="1" s="37">
      <c r="A2406" s="42" t="inlineStr">
        <is>
          <t>joop! homme</t>
        </is>
      </c>
      <c r="B2406" s="42" t="inlineStr">
        <is>
          <t>joop homme le parfum</t>
        </is>
      </c>
      <c r="C2406" s="42" t="inlineStr">
        <is>
          <t>Yes</t>
        </is>
      </c>
    </row>
    <row r="2407" ht="15" customHeight="1" s="37">
      <c r="A2407" s="42" t="inlineStr">
        <is>
          <t>joop! homme</t>
        </is>
      </c>
      <c r="B2407" s="42" t="inlineStr">
        <is>
          <t>joop homme 200ml</t>
        </is>
      </c>
      <c r="C2407" s="42" t="inlineStr">
        <is>
          <t>Yes</t>
        </is>
      </c>
    </row>
    <row r="2408" ht="15" customHeight="1" s="37">
      <c r="A2408" s="42" t="inlineStr">
        <is>
          <t>joop! homme</t>
        </is>
      </c>
      <c r="B2408" s="42" t="inlineStr">
        <is>
          <t>joop homme wild</t>
        </is>
      </c>
      <c r="C2408" s="42" t="n"/>
    </row>
    <row r="2409" ht="15" customHeight="1" s="37">
      <c r="A2409" s="42" t="inlineStr">
        <is>
          <t>joop! homme</t>
        </is>
      </c>
      <c r="B2409" s="42" t="inlineStr">
        <is>
          <t>joop homme perfume</t>
        </is>
      </c>
      <c r="C2409" s="42" t="inlineStr">
        <is>
          <t>Yes</t>
        </is>
      </c>
    </row>
    <row r="2410" ht="15" customHeight="1" s="37">
      <c r="A2410" s="42" t="inlineStr">
        <is>
          <t>joop! homme</t>
        </is>
      </c>
      <c r="B2410" s="42" t="inlineStr">
        <is>
          <t>joop homme eau de parfum</t>
        </is>
      </c>
      <c r="C2410" s="42" t="inlineStr">
        <is>
          <t>Yes</t>
        </is>
      </c>
    </row>
    <row r="2411" ht="15" customHeight="1" s="37">
      <c r="A2411" s="42" t="inlineStr">
        <is>
          <t>joop! homme</t>
        </is>
      </c>
      <c r="B2411" s="42" t="inlineStr">
        <is>
          <t>joop homme edp</t>
        </is>
      </c>
      <c r="C2411" s="42" t="inlineStr">
        <is>
          <t>Yes</t>
        </is>
      </c>
    </row>
    <row r="2412" ht="15" customHeight="1" s="37">
      <c r="A2412" s="42" t="inlineStr">
        <is>
          <t>joop! homme</t>
        </is>
      </c>
      <c r="B2412" s="42" t="inlineStr">
        <is>
          <t>joop homme notes</t>
        </is>
      </c>
      <c r="C2412" s="42" t="inlineStr">
        <is>
          <t>Yes</t>
        </is>
      </c>
    </row>
    <row r="2413" ht="15" customHeight="1" s="37">
      <c r="A2413" s="42" t="inlineStr">
        <is>
          <t>joop! homme</t>
        </is>
      </c>
      <c r="B2413" s="42" t="inlineStr">
        <is>
          <t>joop homme absolute</t>
        </is>
      </c>
      <c r="C2413" s="42" t="n"/>
    </row>
    <row r="2414" ht="15" customHeight="1" s="37">
      <c r="A2414" s="42" t="inlineStr">
        <is>
          <t>joop! homme</t>
        </is>
      </c>
      <c r="B2414" s="42" t="inlineStr">
        <is>
          <t>joop homme men</t>
        </is>
      </c>
      <c r="C2414" s="42" t="n"/>
    </row>
    <row r="2415" ht="15" customHeight="1" s="37">
      <c r="A2415" s="42" t="inlineStr">
        <is>
          <t>joop! homme le</t>
        </is>
      </c>
      <c r="B2415" s="42" t="inlineStr">
        <is>
          <t>joop homme le parfum</t>
        </is>
      </c>
      <c r="C2415" s="42" t="inlineStr">
        <is>
          <t>Yes</t>
        </is>
      </c>
    </row>
    <row r="2416" ht="15" customHeight="1" s="37">
      <c r="A2416" s="42" t="inlineStr">
        <is>
          <t>joop! homme le</t>
        </is>
      </c>
      <c r="B2416" s="42" t="inlineStr">
        <is>
          <t>joop homme le parfum 125ml</t>
        </is>
      </c>
      <c r="C2416" s="42" t="inlineStr">
        <is>
          <t>Yes</t>
        </is>
      </c>
    </row>
    <row r="2417" ht="15" customHeight="1" s="37">
      <c r="A2417" s="42" t="inlineStr">
        <is>
          <t>joop! homme le</t>
        </is>
      </c>
      <c r="B2417" s="42" t="inlineStr">
        <is>
          <t>joop homme le parfum price</t>
        </is>
      </c>
      <c r="C2417" s="42" t="inlineStr">
        <is>
          <t>Yes</t>
        </is>
      </c>
    </row>
    <row r="2418" ht="15" customHeight="1" s="37">
      <c r="A2418" s="42" t="inlineStr">
        <is>
          <t>joop! homme le</t>
        </is>
      </c>
      <c r="B2418" s="42" t="inlineStr">
        <is>
          <t>joop homme le parfum review</t>
        </is>
      </c>
      <c r="C2418" s="42" t="inlineStr">
        <is>
          <t>Yes</t>
        </is>
      </c>
    </row>
    <row r="2419" ht="15" customHeight="1" s="37">
      <c r="A2419" s="42" t="inlineStr">
        <is>
          <t>joop! homme le</t>
        </is>
      </c>
      <c r="B2419" s="42" t="inlineStr">
        <is>
          <t>joop homme le parfum notes</t>
        </is>
      </c>
      <c r="C2419" s="42" t="inlineStr">
        <is>
          <t>Yes</t>
        </is>
      </c>
    </row>
    <row r="2420" ht="15" customHeight="1" s="37">
      <c r="A2420" s="42" t="inlineStr">
        <is>
          <t>joop! homme le</t>
        </is>
      </c>
      <c r="B2420" s="42" t="inlineStr">
        <is>
          <t>joop homme le parfum chemist warehouse</t>
        </is>
      </c>
      <c r="C2420" s="42" t="n"/>
    </row>
    <row r="2421" ht="15" customHeight="1" s="37">
      <c r="A2421" s="42" t="inlineStr">
        <is>
          <t>joop! homme le</t>
        </is>
      </c>
      <c r="B2421" s="42" t="inlineStr">
        <is>
          <t>joop homme le parfum for men</t>
        </is>
      </c>
      <c r="C2421" s="42" t="inlineStr">
        <is>
          <t>Yes</t>
        </is>
      </c>
    </row>
    <row r="2422" ht="15" customHeight="1" s="37">
      <c r="A2422" s="42" t="inlineStr">
        <is>
          <t>joop! homme le</t>
        </is>
      </c>
      <c r="B2422" s="42" t="inlineStr">
        <is>
          <t>joop homme le parfum 200ml</t>
        </is>
      </c>
      <c r="C2422" s="42" t="n"/>
    </row>
    <row r="2423" ht="15" customHeight="1" s="37">
      <c r="A2423" s="42" t="inlineStr">
        <is>
          <t>joop! homme le</t>
        </is>
      </c>
      <c r="B2423" s="42" t="inlineStr">
        <is>
          <t>joop homme le parfum 75ml</t>
        </is>
      </c>
      <c r="C2423" s="42" t="n"/>
    </row>
    <row r="2424" ht="15" customHeight="1" s="37">
      <c r="A2424" s="42" t="inlineStr">
        <is>
          <t>joop! homme le</t>
        </is>
      </c>
      <c r="B2424" s="42" t="inlineStr">
        <is>
          <t>joop homme le parfum price in pakistan</t>
        </is>
      </c>
      <c r="C2424" s="42" t="n"/>
    </row>
    <row r="2425" ht="15" customHeight="1" s="37">
      <c r="A2425" s="42" t="inlineStr">
        <is>
          <t>juicy couture perfume</t>
        </is>
      </c>
      <c r="B2425" s="42" t="inlineStr">
        <is>
          <t>juicy couture perfume</t>
        </is>
      </c>
      <c r="C2425" s="42" t="inlineStr">
        <is>
          <t>Yes</t>
        </is>
      </c>
    </row>
    <row r="2426" ht="15" customHeight="1" s="37">
      <c r="A2426" s="42" t="inlineStr">
        <is>
          <t>juicy couture perfume</t>
        </is>
      </c>
      <c r="B2426" s="42" t="inlineStr">
        <is>
          <t>juicy couture perfume viva la juicy</t>
        </is>
      </c>
      <c r="C2426" s="42" t="n"/>
    </row>
    <row r="2427" ht="15" customHeight="1" s="37">
      <c r="A2427" s="42" t="inlineStr">
        <is>
          <t>juicy couture perfume</t>
        </is>
      </c>
      <c r="B2427" s="42" t="inlineStr">
        <is>
          <t>juicy couture perfume original</t>
        </is>
      </c>
      <c r="C2427" s="42" t="n"/>
    </row>
    <row r="2428" ht="15" customHeight="1" s="37">
      <c r="A2428" s="42" t="inlineStr">
        <is>
          <t>juicy couture perfume</t>
        </is>
      </c>
      <c r="B2428" s="42" t="inlineStr">
        <is>
          <t>juicy couture perfume oui</t>
        </is>
      </c>
      <c r="C2428" s="42" t="n"/>
    </row>
    <row r="2429" ht="15" customHeight="1" s="37">
      <c r="A2429" s="42" t="inlineStr">
        <is>
          <t>juicy couture perfume</t>
        </is>
      </c>
      <c r="B2429" s="42" t="inlineStr">
        <is>
          <t>juicy couture perfume gold</t>
        </is>
      </c>
      <c r="C2429" s="42" t="n"/>
    </row>
    <row r="2430" ht="15" customHeight="1" s="37">
      <c r="A2430" s="42" t="inlineStr">
        <is>
          <t>juicy couture perfume</t>
        </is>
      </c>
      <c r="B2430" s="42" t="inlineStr">
        <is>
          <t>juicy couture perfume notes</t>
        </is>
      </c>
      <c r="C2430" s="42" t="n"/>
    </row>
    <row r="2431" ht="15" customHeight="1" s="37">
      <c r="A2431" s="42" t="inlineStr">
        <is>
          <t>juicy couture perfume</t>
        </is>
      </c>
      <c r="B2431" s="42" t="inlineStr">
        <is>
          <t>juicy couture perfume just moi</t>
        </is>
      </c>
      <c r="C2431" s="42" t="n"/>
    </row>
    <row r="2432" ht="15" customHeight="1" s="37">
      <c r="A2432" s="42" t="inlineStr">
        <is>
          <t>juicy couture perfume</t>
        </is>
      </c>
      <c r="B2432" s="42" t="inlineStr">
        <is>
          <t>juicy couture perfume set</t>
        </is>
      </c>
      <c r="C2432" s="42" t="n"/>
    </row>
    <row r="2433" ht="15" customHeight="1" s="37">
      <c r="A2433" s="42" t="inlineStr">
        <is>
          <t>juicy couture perfume</t>
        </is>
      </c>
      <c r="B2433" s="42" t="inlineStr">
        <is>
          <t>juicy couture perfume price</t>
        </is>
      </c>
      <c r="C2433" s="42" t="n"/>
    </row>
    <row r="2434" ht="15" customHeight="1" s="37">
      <c r="A2434" s="42" t="inlineStr">
        <is>
          <t>juicy couture perfume</t>
        </is>
      </c>
      <c r="B2434" s="42" t="inlineStr">
        <is>
          <t>juicy couture perfume 100ml</t>
        </is>
      </c>
      <c r="C2434" s="42" t="n"/>
    </row>
    <row r="2435" ht="15" customHeight="1" s="37">
      <c r="A2435" s="42" t="inlineStr">
        <is>
          <t>juicy couture viva la juicy rose</t>
        </is>
      </c>
      <c r="B2435" s="42" t="inlineStr">
        <is>
          <t>juicy couture viva la juicy rose</t>
        </is>
      </c>
      <c r="C2435" s="42" t="inlineStr">
        <is>
          <t>Yes</t>
        </is>
      </c>
    </row>
    <row r="2436" ht="15" customHeight="1" s="37">
      <c r="A2436" s="42" t="inlineStr">
        <is>
          <t>juicy couture viva la juicy rose</t>
        </is>
      </c>
      <c r="B2436" s="42" t="inlineStr">
        <is>
          <t>juicy couture viva la juicy rose eau de parfum</t>
        </is>
      </c>
      <c r="C2436" s="42" t="inlineStr">
        <is>
          <t>Yes</t>
        </is>
      </c>
    </row>
    <row r="2437" ht="15" customHeight="1" s="37">
      <c r="A2437" s="42" t="inlineStr">
        <is>
          <t>juicy couture viva la juicy rose</t>
        </is>
      </c>
      <c r="B2437" s="42" t="inlineStr">
        <is>
          <t>juicy couture viva la juicy rose edp 100ml</t>
        </is>
      </c>
      <c r="C2437" s="42" t="inlineStr">
        <is>
          <t>Yes</t>
        </is>
      </c>
    </row>
    <row r="2438" ht="15" customHeight="1" s="37">
      <c r="A2438" s="42" t="inlineStr">
        <is>
          <t>juicy couture viva la juicy rose</t>
        </is>
      </c>
      <c r="B2438" s="42" t="inlineStr">
        <is>
          <t>juicy couture viva la juicy rose edp</t>
        </is>
      </c>
      <c r="C2438" s="42" t="inlineStr">
        <is>
          <t>Yes</t>
        </is>
      </c>
    </row>
    <row r="2439" ht="15" customHeight="1" s="37">
      <c r="A2439" s="42" t="inlineStr">
        <is>
          <t>juicy couture viva la juicy rose</t>
        </is>
      </c>
      <c r="B2439" s="42" t="inlineStr">
        <is>
          <t>juicy couture viva la juicy rose eau de parfum spray</t>
        </is>
      </c>
      <c r="C2439" s="42" t="n"/>
    </row>
    <row r="2440" ht="15" customHeight="1" s="37">
      <c r="A2440" s="42" t="inlineStr">
        <is>
          <t>juicy couture viva la juicy rose</t>
        </is>
      </c>
      <c r="B2440" s="42" t="inlineStr">
        <is>
          <t>juicy couture viva la juicy rose notes</t>
        </is>
      </c>
      <c r="C2440" s="42" t="inlineStr">
        <is>
          <t>Yes</t>
        </is>
      </c>
    </row>
    <row r="2441" ht="15" customHeight="1" s="37">
      <c r="A2441" s="42" t="inlineStr">
        <is>
          <t>juicy couture viva la juicy rose</t>
        </is>
      </c>
      <c r="B2441" s="42" t="inlineStr">
        <is>
          <t>juicy couture viva la juicy rose 100ml</t>
        </is>
      </c>
      <c r="C2441" s="42" t="inlineStr">
        <is>
          <t>Yes</t>
        </is>
      </c>
    </row>
    <row r="2442" ht="15" customHeight="1" s="37">
      <c r="A2442" s="42" t="inlineStr">
        <is>
          <t>juicy couture viva la juicy rose</t>
        </is>
      </c>
      <c r="B2442" s="42" t="inlineStr">
        <is>
          <t>juicy couture viva la juicy rose eau de parfum 100ml</t>
        </is>
      </c>
      <c r="C2442" s="42" t="inlineStr">
        <is>
          <t>Yes</t>
        </is>
      </c>
    </row>
    <row r="2443" ht="15" customHeight="1" s="37">
      <c r="A2443" s="42" t="inlineStr">
        <is>
          <t>juicy couture viva la juicy rose</t>
        </is>
      </c>
      <c r="B2443" s="42" t="inlineStr">
        <is>
          <t>juicy couture viva la juicy rose perfume</t>
        </is>
      </c>
      <c r="C2443" s="42" t="n"/>
    </row>
    <row r="2444" ht="15" customHeight="1" s="37">
      <c r="A2444" s="42" t="inlineStr">
        <is>
          <t>juicy couture viva la juicy rose</t>
        </is>
      </c>
      <c r="B2444" s="42" t="inlineStr">
        <is>
          <t>juicy couture viva la juicy rose review</t>
        </is>
      </c>
      <c r="C2444" s="42" t="n"/>
    </row>
    <row r="2445" ht="15" customHeight="1" s="37">
      <c r="A2445" s="42" t="inlineStr">
        <is>
          <t>kenneth cole moonlight blue</t>
        </is>
      </c>
      <c r="B2445" s="42" t="inlineStr">
        <is>
          <t>kenneth cole moonlight blue</t>
        </is>
      </c>
      <c r="C2445" s="42" t="inlineStr">
        <is>
          <t>Yes</t>
        </is>
      </c>
    </row>
    <row r="2446" ht="15" customHeight="1" s="37">
      <c r="A2446" s="42" t="inlineStr">
        <is>
          <t>kenneth cole moonlight blue</t>
        </is>
      </c>
      <c r="B2446" s="42" t="inlineStr">
        <is>
          <t>kenneth cole moonlight blue review</t>
        </is>
      </c>
      <c r="C2446" s="42" t="inlineStr">
        <is>
          <t>Yes</t>
        </is>
      </c>
    </row>
    <row r="2447" ht="15" customHeight="1" s="37">
      <c r="A2447" s="42" t="inlineStr">
        <is>
          <t>kenneth cole moonlight blue</t>
        </is>
      </c>
      <c r="B2447" s="42" t="inlineStr">
        <is>
          <t>kenneth cole moonlight blue notes</t>
        </is>
      </c>
      <c r="C2447" s="42" t="inlineStr">
        <is>
          <t>Yes</t>
        </is>
      </c>
    </row>
    <row r="2448" ht="15" customHeight="1" s="37">
      <c r="A2448" s="42" t="inlineStr">
        <is>
          <t>kenneth cole moonlight blue</t>
        </is>
      </c>
      <c r="B2448" s="42" t="inlineStr">
        <is>
          <t>kenneth cole moonlight blue body spray</t>
        </is>
      </c>
      <c r="C2448" s="42" t="n"/>
    </row>
    <row r="2449" ht="15" customHeight="1" s="37">
      <c r="A2449" s="42" t="inlineStr">
        <is>
          <t>kenneth cole moonlight blue</t>
        </is>
      </c>
      <c r="B2449" s="42" t="inlineStr">
        <is>
          <t>kenneth cole moonlight blue cologne</t>
        </is>
      </c>
      <c r="C2449" s="42" t="n"/>
    </row>
    <row r="2450" ht="15" customHeight="1" s="37">
      <c r="A2450" s="42" t="inlineStr">
        <is>
          <t>kenneth cole moonlight blue</t>
        </is>
      </c>
      <c r="B2450" s="42" t="inlineStr">
        <is>
          <t>kenneth cole moonlight blue eau de toilette</t>
        </is>
      </c>
      <c r="C2450" s="42" t="inlineStr">
        <is>
          <t>Yes</t>
        </is>
      </c>
    </row>
    <row r="2451" ht="15" customHeight="1" s="37">
      <c r="A2451" s="42" t="inlineStr">
        <is>
          <t>kenneth cole moonlight blue</t>
        </is>
      </c>
      <c r="B2451" s="42" t="inlineStr">
        <is>
          <t>kenneth cole moonlight blue fragrantica</t>
        </is>
      </c>
      <c r="C2451" s="42" t="n"/>
    </row>
    <row r="2452" ht="15" customHeight="1" s="37">
      <c r="A2452" s="42" t="inlineStr">
        <is>
          <t>kenneth cole moonlight blue</t>
        </is>
      </c>
      <c r="B2452" s="42" t="inlineStr">
        <is>
          <t>kenneth cole moonlight blue 1.7 oz</t>
        </is>
      </c>
      <c r="C2452" s="42" t="n"/>
    </row>
    <row r="2453" ht="15" customHeight="1" s="37">
      <c r="A2453" s="42" t="inlineStr">
        <is>
          <t>kenneth cole moonlight blue</t>
        </is>
      </c>
      <c r="B2453" s="42" t="inlineStr">
        <is>
          <t>kenneth cole moonlight blue m edt 100ml</t>
        </is>
      </c>
      <c r="C2453" s="42" t="n"/>
    </row>
    <row r="2454" ht="15" customHeight="1" s="37">
      <c r="A2454" s="42" t="inlineStr">
        <is>
          <t>kenneth cole moonlight blue</t>
        </is>
      </c>
      <c r="B2454" s="42" t="inlineStr">
        <is>
          <t>moonlight blue kenneth cole reddit</t>
        </is>
      </c>
      <c r="C2454" s="42" t="n"/>
    </row>
    <row r="2455" ht="15" customHeight="1" s="37">
      <c r="A2455" s="42" t="inlineStr">
        <is>
          <t>kenneth cole perfume</t>
        </is>
      </c>
      <c r="B2455" s="42" t="inlineStr">
        <is>
          <t>kenneth cole perfume</t>
        </is>
      </c>
      <c r="C2455" s="42" t="inlineStr">
        <is>
          <t>Yes</t>
        </is>
      </c>
    </row>
    <row r="2456" ht="15" customHeight="1" s="37">
      <c r="A2456" s="42" t="inlineStr">
        <is>
          <t>kenneth cole perfume</t>
        </is>
      </c>
      <c r="B2456" s="42" t="inlineStr">
        <is>
          <t>kenneth cole perfume for her</t>
        </is>
      </c>
      <c r="C2456" s="42" t="n"/>
    </row>
    <row r="2457" ht="15" customHeight="1" s="37">
      <c r="A2457" s="42" t="inlineStr">
        <is>
          <t>kenneth cole perfume</t>
        </is>
      </c>
      <c r="B2457" s="42" t="inlineStr">
        <is>
          <t>kenneth cole perfume for men</t>
        </is>
      </c>
      <c r="C2457" s="42" t="inlineStr">
        <is>
          <t>Yes</t>
        </is>
      </c>
    </row>
    <row r="2458" ht="15" customHeight="1" s="37">
      <c r="A2458" s="42" t="inlineStr">
        <is>
          <t>kenneth cole perfume</t>
        </is>
      </c>
      <c r="B2458" s="42" t="inlineStr">
        <is>
          <t>kenneth cole perfume for him</t>
        </is>
      </c>
      <c r="C2458" s="42" t="n"/>
    </row>
    <row r="2459" ht="15" customHeight="1" s="37">
      <c r="A2459" s="42" t="inlineStr">
        <is>
          <t>kenneth cole perfume</t>
        </is>
      </c>
      <c r="B2459" s="42" t="inlineStr">
        <is>
          <t>kenneth cole perfume for women</t>
        </is>
      </c>
      <c r="C2459" s="42" t="n"/>
    </row>
    <row r="2460" ht="15" customHeight="1" s="37">
      <c r="A2460" s="42" t="inlineStr">
        <is>
          <t>kenneth cole perfume</t>
        </is>
      </c>
      <c r="B2460" s="42" t="inlineStr">
        <is>
          <t>kenneth cole perfume black</t>
        </is>
      </c>
      <c r="C2460" s="42" t="n"/>
    </row>
    <row r="2461" ht="15" customHeight="1" s="37">
      <c r="A2461" s="42" t="inlineStr">
        <is>
          <t>kenneth cole perfume</t>
        </is>
      </c>
      <c r="B2461" s="42" t="inlineStr">
        <is>
          <t>kenneth cole perfume price</t>
        </is>
      </c>
      <c r="C2461" s="42" t="n"/>
    </row>
    <row r="2462" ht="15" customHeight="1" s="37">
      <c r="A2462" s="42" t="inlineStr">
        <is>
          <t>kenneth cole perfume</t>
        </is>
      </c>
      <c r="B2462" s="42" t="inlineStr">
        <is>
          <t>kenneth cole perfume reaction</t>
        </is>
      </c>
      <c r="C2462" s="42" t="n"/>
    </row>
    <row r="2463" ht="15" customHeight="1" s="37">
      <c r="A2463" s="42" t="inlineStr">
        <is>
          <t>kenneth cole perfume</t>
        </is>
      </c>
      <c r="B2463" s="42" t="inlineStr">
        <is>
          <t>kenneth cole perfume price in pakistan</t>
        </is>
      </c>
      <c r="C2463" s="42" t="n"/>
    </row>
    <row r="2464" ht="15" customHeight="1" s="37">
      <c r="A2464" s="42" t="inlineStr">
        <is>
          <t>kenneth cole perfume</t>
        </is>
      </c>
      <c r="B2464" s="42" t="inlineStr">
        <is>
          <t>kenneth cole perfume white</t>
        </is>
      </c>
      <c r="C2464" s="42" t="n"/>
    </row>
    <row r="2465" ht="15" customHeight="1" s="37">
      <c r="A2465" s="42" t="inlineStr">
        <is>
          <t>korloff cuir mythique</t>
        </is>
      </c>
      <c r="B2465" s="42" t="inlineStr">
        <is>
          <t>korloff cuir mythique</t>
        </is>
      </c>
      <c r="C2465" s="42" t="inlineStr">
        <is>
          <t>Yes</t>
        </is>
      </c>
    </row>
    <row r="2466" ht="15" customHeight="1" s="37">
      <c r="A2466" s="42" t="inlineStr">
        <is>
          <t>korloff cuir mythique</t>
        </is>
      </c>
      <c r="B2466" s="42" t="inlineStr">
        <is>
          <t>korloff cuir mythique eau de parfum</t>
        </is>
      </c>
      <c r="C2466" s="42" t="inlineStr">
        <is>
          <t>Yes</t>
        </is>
      </c>
    </row>
    <row r="2467" ht="15" customHeight="1" s="37">
      <c r="A2467" s="42" t="inlineStr">
        <is>
          <t>korloff cuir mythique</t>
        </is>
      </c>
      <c r="B2467" s="42" t="inlineStr">
        <is>
          <t>korloff cuir mythique fragrantica</t>
        </is>
      </c>
      <c r="C2467" s="42" t="n"/>
    </row>
    <row r="2468" ht="15" customHeight="1" s="37">
      <c r="A2468" s="42" t="inlineStr">
        <is>
          <t>korloff cuir mythique</t>
        </is>
      </c>
      <c r="B2468" s="42" t="inlineStr">
        <is>
          <t>korloff cuir mythique review</t>
        </is>
      </c>
      <c r="C2468" s="42" t="inlineStr">
        <is>
          <t>Yes</t>
        </is>
      </c>
    </row>
    <row r="2469" ht="15" customHeight="1" s="37">
      <c r="A2469" s="42" t="inlineStr">
        <is>
          <t>korloff cuir mythique</t>
        </is>
      </c>
      <c r="B2469" s="42" t="inlineStr">
        <is>
          <t>korloff cuir mythique edp</t>
        </is>
      </c>
      <c r="C2469" s="42" t="inlineStr">
        <is>
          <t>Yes</t>
        </is>
      </c>
    </row>
    <row r="2470" ht="15" customHeight="1" s="37">
      <c r="A2470" s="42" t="inlineStr">
        <is>
          <t>korloff cuir mythique</t>
        </is>
      </c>
      <c r="B2470" s="42" t="inlineStr">
        <is>
          <t>korloff cuir mythique отзывы</t>
        </is>
      </c>
      <c r="C2470" s="42" t="inlineStr">
        <is>
          <t>Yes</t>
        </is>
      </c>
    </row>
    <row r="2471" ht="15" customHeight="1" s="37">
      <c r="A2471" s="42" t="inlineStr">
        <is>
          <t>korloff cuir mythique</t>
        </is>
      </c>
      <c r="B2471" s="42" t="inlineStr">
        <is>
          <t>korloff paris cuir mythique</t>
        </is>
      </c>
      <c r="C2471" s="42" t="n"/>
    </row>
    <row r="2472" ht="15" customHeight="1" s="37">
      <c r="A2472" s="42" t="inlineStr">
        <is>
          <t>korloff cuir mythique</t>
        </is>
      </c>
      <c r="B2472" s="42" t="inlineStr">
        <is>
          <t>korloff perfume cuir mythique</t>
        </is>
      </c>
      <c r="C2472" s="42" t="inlineStr">
        <is>
          <t>Yes</t>
        </is>
      </c>
    </row>
    <row r="2473" ht="15" customHeight="1" s="37">
      <c r="A2473" s="42" t="inlineStr">
        <is>
          <t>korloff in love</t>
        </is>
      </c>
      <c r="B2473" s="42" t="inlineStr">
        <is>
          <t>korloff in love</t>
        </is>
      </c>
      <c r="C2473" s="42" t="inlineStr">
        <is>
          <t>Yes</t>
        </is>
      </c>
    </row>
    <row r="2474" ht="15" customHeight="1" s="37">
      <c r="A2474" s="42" t="inlineStr">
        <is>
          <t>korloff in love</t>
        </is>
      </c>
      <c r="B2474" s="42" t="inlineStr">
        <is>
          <t>korloff in love perfume price</t>
        </is>
      </c>
      <c r="C2474" s="42" t="inlineStr">
        <is>
          <t>Yes</t>
        </is>
      </c>
    </row>
    <row r="2475" ht="15" customHeight="1" s="37">
      <c r="A2475" s="42" t="inlineStr">
        <is>
          <t>korloff in love</t>
        </is>
      </c>
      <c r="B2475" s="42" t="inlineStr">
        <is>
          <t>korloff in love perfume</t>
        </is>
      </c>
      <c r="C2475" s="42" t="inlineStr">
        <is>
          <t>Yes</t>
        </is>
      </c>
    </row>
    <row r="2476" ht="15" customHeight="1" s="37">
      <c r="A2476" s="42" t="inlineStr">
        <is>
          <t>korloff in love</t>
        </is>
      </c>
      <c r="B2476" s="42" t="inlineStr">
        <is>
          <t>korloff in love edp 100ml</t>
        </is>
      </c>
      <c r="C2476" s="42" t="inlineStr">
        <is>
          <t>Yes</t>
        </is>
      </c>
    </row>
    <row r="2477" ht="15" customHeight="1" s="37">
      <c r="A2477" s="42" t="inlineStr">
        <is>
          <t>korloff in love</t>
        </is>
      </c>
      <c r="B2477" s="42" t="inlineStr">
        <is>
          <t>korloff in love eau de parfum</t>
        </is>
      </c>
      <c r="C2477" s="42" t="inlineStr">
        <is>
          <t>Yes</t>
        </is>
      </c>
    </row>
    <row r="2478" ht="15" customHeight="1" s="37">
      <c r="A2478" s="42" t="inlineStr">
        <is>
          <t>korloff in love</t>
        </is>
      </c>
      <c r="B2478" s="42" t="inlineStr">
        <is>
          <t>korloff love review</t>
        </is>
      </c>
      <c r="C2478" s="42" t="inlineStr">
        <is>
          <t>Yes</t>
        </is>
      </c>
    </row>
    <row r="2479" ht="15" customHeight="1" s="37">
      <c r="A2479" s="42" t="inlineStr">
        <is>
          <t>korloff in love</t>
        </is>
      </c>
      <c r="B2479" s="42" t="inlineStr">
        <is>
          <t>korloff paris in love</t>
        </is>
      </c>
      <c r="C2479" s="42" t="n"/>
    </row>
    <row r="2480" ht="15" customHeight="1" s="37">
      <c r="A2480" s="42" t="inlineStr">
        <is>
          <t>korloff in love</t>
        </is>
      </c>
      <c r="B2480" s="42" t="inlineStr">
        <is>
          <t>korloff paris in love отзывы</t>
        </is>
      </c>
      <c r="C2480" s="42" t="n"/>
    </row>
    <row r="2481" ht="15" customHeight="1" s="37">
      <c r="A2481" s="42" t="inlineStr">
        <is>
          <t>korloff in white</t>
        </is>
      </c>
      <c r="B2481" s="42" t="inlineStr">
        <is>
          <t>korloff in white</t>
        </is>
      </c>
      <c r="C2481" s="42" t="inlineStr">
        <is>
          <t>Yes</t>
        </is>
      </c>
    </row>
    <row r="2482" ht="15" customHeight="1" s="37">
      <c r="A2482" s="42" t="inlineStr">
        <is>
          <t>korloff in white</t>
        </is>
      </c>
      <c r="B2482" s="42" t="inlineStr">
        <is>
          <t>korloff in white intense</t>
        </is>
      </c>
      <c r="C2482" s="42" t="n"/>
    </row>
    <row r="2483" ht="15" customHeight="1" s="37">
      <c r="A2483" s="42" t="inlineStr">
        <is>
          <t>korloff in white</t>
        </is>
      </c>
      <c r="B2483" s="42" t="inlineStr">
        <is>
          <t>korloff in white perfume</t>
        </is>
      </c>
      <c r="C2483" s="42" t="inlineStr">
        <is>
          <t>Yes</t>
        </is>
      </c>
    </row>
    <row r="2484" ht="15" customHeight="1" s="37">
      <c r="A2484" s="42" t="inlineStr">
        <is>
          <t>korloff in white</t>
        </is>
      </c>
      <c r="B2484" s="42" t="inlineStr">
        <is>
          <t>korloff in white eau de toilette</t>
        </is>
      </c>
      <c r="C2484" s="42" t="inlineStr">
        <is>
          <t>Yes</t>
        </is>
      </c>
    </row>
    <row r="2485" ht="15" customHeight="1" s="37">
      <c r="A2485" s="42" t="inlineStr">
        <is>
          <t>korloff in white</t>
        </is>
      </c>
      <c r="B2485" s="42" t="inlineStr">
        <is>
          <t>korloff in white price</t>
        </is>
      </c>
      <c r="C2485" s="42" t="inlineStr">
        <is>
          <t>Yes</t>
        </is>
      </c>
    </row>
    <row r="2486" ht="15" customHeight="1" s="37">
      <c r="A2486" s="42" t="inlineStr">
        <is>
          <t>korloff in white</t>
        </is>
      </c>
      <c r="B2486" s="42" t="inlineStr">
        <is>
          <t>korloff in white lady</t>
        </is>
      </c>
      <c r="C2486" s="42" t="n"/>
    </row>
    <row r="2487" ht="15" customHeight="1" s="37">
      <c r="A2487" s="42" t="inlineStr">
        <is>
          <t>korloff in white</t>
        </is>
      </c>
      <c r="B2487" s="42" t="inlineStr">
        <is>
          <t>korloff in white for men eau de toilette</t>
        </is>
      </c>
      <c r="C2487" s="42" t="n"/>
    </row>
    <row r="2488" ht="15" customHeight="1" s="37">
      <c r="A2488" s="42" t="inlineStr">
        <is>
          <t>korloff in white</t>
        </is>
      </c>
      <c r="B2488" s="42" t="inlineStr">
        <is>
          <t>korloff in white fragrantica</t>
        </is>
      </c>
      <c r="C2488" s="42" t="n"/>
    </row>
    <row r="2489" ht="15" customHeight="1" s="37">
      <c r="A2489" s="42" t="inlineStr">
        <is>
          <t>korloff in white</t>
        </is>
      </c>
      <c r="B2489" s="42" t="inlineStr">
        <is>
          <t>korloff in white intense eau de parfum</t>
        </is>
      </c>
      <c r="C2489" s="42" t="n"/>
    </row>
    <row r="2490" ht="15" customHeight="1" s="37">
      <c r="A2490" s="42" t="inlineStr">
        <is>
          <t>korloff in white</t>
        </is>
      </c>
      <c r="B2490" s="42" t="inlineStr">
        <is>
          <t>korloff in white intense price</t>
        </is>
      </c>
      <c r="C2490" s="42" t="n"/>
    </row>
    <row r="2491" ht="15" customHeight="1" s="37">
      <c r="A2491" s="42" t="inlineStr">
        <is>
          <t>korloff lady intense</t>
        </is>
      </c>
      <c r="B2491" s="42" t="inlineStr">
        <is>
          <t>korloff lady intense</t>
        </is>
      </c>
      <c r="C2491" s="42" t="inlineStr">
        <is>
          <t>Yes</t>
        </is>
      </c>
    </row>
    <row r="2492" ht="15" customHeight="1" s="37">
      <c r="A2492" s="42" t="inlineStr">
        <is>
          <t>korloff lady intense</t>
        </is>
      </c>
      <c r="B2492" s="42" t="inlineStr">
        <is>
          <t>korloff lady intense fragrantica</t>
        </is>
      </c>
      <c r="C2492" s="42" t="n"/>
    </row>
    <row r="2493" ht="15" customHeight="1" s="37">
      <c r="A2493" s="42" t="inlineStr">
        <is>
          <t>korloff lady intense</t>
        </is>
      </c>
      <c r="B2493" s="42" t="inlineStr">
        <is>
          <t>korloff lady intense review</t>
        </is>
      </c>
      <c r="C2493" s="42" t="inlineStr">
        <is>
          <t>Yes</t>
        </is>
      </c>
    </row>
    <row r="2494" ht="15" customHeight="1" s="37">
      <c r="A2494" s="42" t="inlineStr">
        <is>
          <t>korloff lady intense</t>
        </is>
      </c>
      <c r="B2494" s="42" t="inlineStr">
        <is>
          <t>korloff lady intense price</t>
        </is>
      </c>
      <c r="C2494" s="42" t="inlineStr">
        <is>
          <t>Yes</t>
        </is>
      </c>
    </row>
    <row r="2495" ht="15" customHeight="1" s="37">
      <c r="A2495" s="42" t="inlineStr">
        <is>
          <t>korloff lady intense</t>
        </is>
      </c>
      <c r="B2495" s="42" t="inlineStr">
        <is>
          <t>korloff lady intense edp</t>
        </is>
      </c>
      <c r="C2495" s="42" t="inlineStr">
        <is>
          <t>Yes</t>
        </is>
      </c>
    </row>
    <row r="2496" ht="15" customHeight="1" s="37">
      <c r="A2496" s="42" t="inlineStr">
        <is>
          <t>korloff lady intense</t>
        </is>
      </c>
      <c r="B2496" s="42" t="inlineStr">
        <is>
          <t>lady korloff intense perfume</t>
        </is>
      </c>
      <c r="C2496" s="42" t="inlineStr">
        <is>
          <t>Yes</t>
        </is>
      </c>
    </row>
    <row r="2497" ht="15" customHeight="1" s="37">
      <c r="A2497" s="42" t="inlineStr">
        <is>
          <t>korloff lady intense</t>
        </is>
      </c>
      <c r="B2497" s="42" t="inlineStr">
        <is>
          <t>lady korloff intense отзывы</t>
        </is>
      </c>
      <c r="C2497" s="42" t="inlineStr">
        <is>
          <t>Yes</t>
        </is>
      </c>
    </row>
    <row r="2498" ht="15" customHeight="1" s="37">
      <c r="A2498" s="42" t="inlineStr">
        <is>
          <t>korloff lady intense</t>
        </is>
      </c>
      <c r="B2498" s="42" t="inlineStr">
        <is>
          <t>lady korloff intense notes</t>
        </is>
      </c>
      <c r="C2498" s="42" t="inlineStr">
        <is>
          <t>Yes</t>
        </is>
      </c>
    </row>
    <row r="2499" ht="15" customHeight="1" s="37">
      <c r="A2499" s="42" t="inlineStr">
        <is>
          <t>korloff lady intense</t>
        </is>
      </c>
      <c r="B2499" s="42" t="inlineStr">
        <is>
          <t>korloff paris lady intense</t>
        </is>
      </c>
      <c r="C2499" s="42" t="n"/>
    </row>
    <row r="2500" ht="15" customHeight="1" s="37">
      <c r="A2500" s="42" t="inlineStr">
        <is>
          <t>korloff lady intense</t>
        </is>
      </c>
      <c r="B2500" s="42" t="inlineStr">
        <is>
          <t>harga parfum lady korloff intense original</t>
        </is>
      </c>
      <c r="C2500" s="42" t="n"/>
    </row>
    <row r="2501" ht="15" customHeight="1" s="37">
      <c r="A2501" s="42" t="inlineStr">
        <is>
          <t>korloff miss korloff</t>
        </is>
      </c>
      <c r="B2501" s="42" t="inlineStr">
        <is>
          <t>korloff miss korloff</t>
        </is>
      </c>
      <c r="C2501" s="42" t="inlineStr">
        <is>
          <t>Yes</t>
        </is>
      </c>
    </row>
    <row r="2502" ht="15" customHeight="1" s="37">
      <c r="A2502" s="42" t="inlineStr">
        <is>
          <t>korloff miss korloff</t>
        </is>
      </c>
      <c r="B2502" s="42" t="inlineStr">
        <is>
          <t>korloff miss korloff lady discovery set</t>
        </is>
      </c>
      <c r="C2502" s="42" t="n"/>
    </row>
    <row r="2503" ht="15" customHeight="1" s="37">
      <c r="A2503" s="42" t="inlineStr">
        <is>
          <t>korloff miss korloff</t>
        </is>
      </c>
      <c r="B2503" s="42" t="inlineStr">
        <is>
          <t>miss korloff korloff paris</t>
        </is>
      </c>
      <c r="C2503" s="42" t="n"/>
    </row>
    <row r="2504" ht="15" customHeight="1" s="37">
      <c r="A2504" s="42" t="inlineStr">
        <is>
          <t>korloff paris discovery set</t>
        </is>
      </c>
      <c r="B2504" s="42" t="inlineStr">
        <is>
          <t>korloff paris discovery set</t>
        </is>
      </c>
      <c r="C2504" s="42" t="inlineStr">
        <is>
          <t>Yes</t>
        </is>
      </c>
    </row>
    <row r="2505" ht="15" customHeight="1" s="37">
      <c r="A2505" s="42" t="inlineStr">
        <is>
          <t>korloff perfume</t>
        </is>
      </c>
      <c r="B2505" s="42" t="inlineStr">
        <is>
          <t>korloff perfume</t>
        </is>
      </c>
      <c r="C2505" s="42" t="inlineStr">
        <is>
          <t>Yes</t>
        </is>
      </c>
    </row>
    <row r="2506" ht="15" customHeight="1" s="37">
      <c r="A2506" s="42" t="inlineStr">
        <is>
          <t>korloff perfume</t>
        </is>
      </c>
      <c r="B2506" s="42" t="inlineStr">
        <is>
          <t>korloff perfume price</t>
        </is>
      </c>
      <c r="C2506" s="42" t="n"/>
    </row>
    <row r="2507" ht="15" customHeight="1" s="37">
      <c r="A2507" s="42" t="inlineStr">
        <is>
          <t>korloff perfume</t>
        </is>
      </c>
      <c r="B2507" s="42" t="inlineStr">
        <is>
          <t>korloff perfume lady</t>
        </is>
      </c>
      <c r="C2507" s="42" t="n"/>
    </row>
    <row r="2508" ht="15" customHeight="1" s="37">
      <c r="A2508" s="42" t="inlineStr">
        <is>
          <t>korloff perfume</t>
        </is>
      </c>
      <c r="B2508" s="42" t="inlineStr">
        <is>
          <t>korloff perfume miss</t>
        </is>
      </c>
      <c r="C2508" s="42" t="n"/>
    </row>
    <row r="2509" ht="15" customHeight="1" s="37">
      <c r="A2509" s="42" t="inlineStr">
        <is>
          <t>korloff perfume</t>
        </is>
      </c>
      <c r="B2509" s="42" t="inlineStr">
        <is>
          <t>korloff perfume man</t>
        </is>
      </c>
      <c r="C2509" s="42" t="n"/>
    </row>
    <row r="2510" ht="15" customHeight="1" s="37">
      <c r="A2510" s="42" t="inlineStr">
        <is>
          <t>korloff perfume</t>
        </is>
      </c>
      <c r="B2510" s="42" t="inlineStr">
        <is>
          <t>korloff perfume iris dore</t>
        </is>
      </c>
      <c r="C2510" s="42" t="n"/>
    </row>
    <row r="2511" ht="15" customHeight="1" s="37">
      <c r="A2511" s="42" t="inlineStr">
        <is>
          <t>korloff perfume</t>
        </is>
      </c>
      <c r="B2511" s="42" t="inlineStr">
        <is>
          <t>korloff perfume women</t>
        </is>
      </c>
      <c r="C2511" s="42" t="n"/>
    </row>
    <row r="2512" ht="15" customHeight="1" s="37">
      <c r="A2512" s="42" t="inlineStr">
        <is>
          <t>korloff perfume</t>
        </is>
      </c>
      <c r="B2512" s="42" t="inlineStr">
        <is>
          <t>korloff perfume royal oud</t>
        </is>
      </c>
      <c r="C2512" s="42" t="n"/>
    </row>
    <row r="2513" ht="15" customHeight="1" s="37">
      <c r="A2513" s="42" t="inlineStr">
        <is>
          <t>korloff perfume</t>
        </is>
      </c>
      <c r="B2513" s="42" t="inlineStr">
        <is>
          <t>korloff perfume price in pakistan</t>
        </is>
      </c>
      <c r="C2513" s="42" t="n"/>
    </row>
    <row r="2514" ht="15" customHeight="1" s="37">
      <c r="A2514" s="42" t="inlineStr">
        <is>
          <t>korloff perfume</t>
        </is>
      </c>
      <c r="B2514" s="42" t="inlineStr">
        <is>
          <t>korloff perfume review</t>
        </is>
      </c>
      <c r="C2514" s="42" t="n"/>
    </row>
    <row r="2515" ht="15" customHeight="1" s="37">
      <c r="A2515" s="42" t="inlineStr">
        <is>
          <t>korloff royal oud korloff paris</t>
        </is>
      </c>
      <c r="B2515" s="42" t="inlineStr">
        <is>
          <t>royal oud korloff paris</t>
        </is>
      </c>
      <c r="C2515" s="42" t="inlineStr">
        <is>
          <t>Yes</t>
        </is>
      </c>
    </row>
    <row r="2516" ht="15" customHeight="1" s="37">
      <c r="A2516" s="42" t="inlineStr">
        <is>
          <t>korloff royal oud korloff paris</t>
        </is>
      </c>
      <c r="B2516" s="42" t="inlineStr">
        <is>
          <t>korloff royal oud price</t>
        </is>
      </c>
      <c r="C2516" s="42" t="inlineStr">
        <is>
          <t>Yes</t>
        </is>
      </c>
    </row>
    <row r="2517" ht="15" customHeight="1" s="37">
      <c r="A2517" s="42" t="inlineStr">
        <is>
          <t>korloff royal rose</t>
        </is>
      </c>
      <c r="B2517" s="42" t="inlineStr">
        <is>
          <t>korloff royal rose</t>
        </is>
      </c>
      <c r="C2517" s="42" t="inlineStr">
        <is>
          <t>Yes</t>
        </is>
      </c>
    </row>
    <row r="2518" ht="15" customHeight="1" s="37">
      <c r="A2518" s="42" t="inlineStr">
        <is>
          <t>korloff royal rose</t>
        </is>
      </c>
      <c r="B2518" s="42" t="inlineStr">
        <is>
          <t>korloff royal rose price</t>
        </is>
      </c>
      <c r="C2518" s="42" t="inlineStr">
        <is>
          <t>Yes</t>
        </is>
      </c>
    </row>
    <row r="2519" ht="15" customHeight="1" s="37">
      <c r="A2519" s="42" t="inlineStr">
        <is>
          <t>korloff royal rose</t>
        </is>
      </c>
      <c r="B2519" s="42" t="inlineStr">
        <is>
          <t>korloff royal rose review</t>
        </is>
      </c>
      <c r="C2519" s="42" t="inlineStr">
        <is>
          <t>Yes</t>
        </is>
      </c>
    </row>
    <row r="2520" ht="15" customHeight="1" s="37">
      <c r="A2520" s="42" t="inlineStr">
        <is>
          <t>korloff royal rose</t>
        </is>
      </c>
      <c r="B2520" s="42" t="inlineStr">
        <is>
          <t>korloff royal rose fragrantica</t>
        </is>
      </c>
      <c r="C2520" s="42" t="n"/>
    </row>
    <row r="2521" ht="15" customHeight="1" s="37">
      <c r="A2521" s="42" t="inlineStr">
        <is>
          <t>korloff royal rose</t>
        </is>
      </c>
      <c r="B2521" s="42" t="inlineStr">
        <is>
          <t>korloff royal rose edp 88ml</t>
        </is>
      </c>
      <c r="C2521" s="42" t="inlineStr">
        <is>
          <t>Yes</t>
        </is>
      </c>
    </row>
    <row r="2522" ht="15" customHeight="1" s="37">
      <c r="A2522" s="42" t="inlineStr">
        <is>
          <t>korloff royal rose</t>
        </is>
      </c>
      <c r="B2522" s="42" t="inlineStr">
        <is>
          <t>korloff royal rose отзывы</t>
        </is>
      </c>
      <c r="C2522" s="42" t="inlineStr">
        <is>
          <t>Yes</t>
        </is>
      </c>
    </row>
    <row r="2523" ht="15" customHeight="1" s="37">
      <c r="A2523" s="42" t="inlineStr">
        <is>
          <t>korloff royal rose</t>
        </is>
      </c>
      <c r="B2523" s="42" t="inlineStr">
        <is>
          <t>korloff royal rose eau de parfum</t>
        </is>
      </c>
      <c r="C2523" s="42" t="inlineStr">
        <is>
          <t>Yes</t>
        </is>
      </c>
    </row>
    <row r="2524" ht="15" customHeight="1" s="37">
      <c r="A2524" s="42" t="inlineStr">
        <is>
          <t>korloff royal rose</t>
        </is>
      </c>
      <c r="B2524" s="42" t="inlineStr">
        <is>
          <t>korloff royal rose prix</t>
        </is>
      </c>
      <c r="C2524" s="42" t="n"/>
    </row>
    <row r="2525" ht="15" customHeight="1" s="37">
      <c r="A2525" s="42" t="inlineStr">
        <is>
          <t>korloff royal rose</t>
        </is>
      </c>
      <c r="B2525" s="42" t="inlineStr">
        <is>
          <t>korloff royal rose qiymeti</t>
        </is>
      </c>
      <c r="C2525" s="42" t="n"/>
    </row>
    <row r="2526" ht="15" customHeight="1" s="37">
      <c r="A2526" s="42" t="inlineStr">
        <is>
          <t>korloff royal rose</t>
        </is>
      </c>
      <c r="B2526" s="42" t="inlineStr">
        <is>
          <t>korloff perfume royal rose</t>
        </is>
      </c>
      <c r="C2526" s="42" t="inlineStr">
        <is>
          <t>Yes</t>
        </is>
      </c>
    </row>
    <row r="2527" ht="15" customHeight="1" s="37">
      <c r="A2527" s="42" t="inlineStr">
        <is>
          <t>korloff un soir a paris</t>
        </is>
      </c>
      <c r="B2527" s="42" t="inlineStr">
        <is>
          <t>korloff un soir a paris</t>
        </is>
      </c>
      <c r="C2527" s="42" t="inlineStr">
        <is>
          <t>Yes</t>
        </is>
      </c>
    </row>
    <row r="2528" ht="15" customHeight="1" s="37">
      <c r="A2528" s="42" t="inlineStr">
        <is>
          <t>korloff un soir a paris</t>
        </is>
      </c>
      <c r="B2528" s="42" t="inlineStr">
        <is>
          <t>korloff un soir a paris fragrantica</t>
        </is>
      </c>
      <c r="C2528" s="42" t="n"/>
    </row>
    <row r="2529" ht="15" customHeight="1" s="37">
      <c r="A2529" s="42" t="inlineStr">
        <is>
          <t>korloff un soir a paris</t>
        </is>
      </c>
      <c r="B2529" s="42" t="inlineStr">
        <is>
          <t>korloff un soir a paris eau de parfum</t>
        </is>
      </c>
      <c r="C2529" s="42" t="inlineStr">
        <is>
          <t>Yes</t>
        </is>
      </c>
    </row>
    <row r="2530" ht="15" customHeight="1" s="37">
      <c r="A2530" s="42" t="inlineStr">
        <is>
          <t>korloff un soir a paris</t>
        </is>
      </c>
      <c r="B2530" s="42" t="inlineStr">
        <is>
          <t>parfum korloff un soir a paris</t>
        </is>
      </c>
      <c r="C2530" s="42" t="inlineStr">
        <is>
          <t>Yes</t>
        </is>
      </c>
    </row>
    <row r="2531" ht="15" customHeight="1" s="37">
      <c r="A2531" s="42" t="inlineStr">
        <is>
          <t>korloff un soir a paris</t>
        </is>
      </c>
      <c r="B2531" s="42" t="inlineStr">
        <is>
          <t>korloff un soir a paris отзывы</t>
        </is>
      </c>
      <c r="C2531" s="42" t="inlineStr">
        <is>
          <t>Yes</t>
        </is>
      </c>
    </row>
    <row r="2532" ht="15" customHeight="1" s="37">
      <c r="A2532" s="42" t="inlineStr">
        <is>
          <t>korloff un soir a paris</t>
        </is>
      </c>
      <c r="B2532" s="42" t="inlineStr">
        <is>
          <t>is there an american library in paris</t>
        </is>
      </c>
      <c r="C2532" s="42" t="n"/>
    </row>
    <row r="2533" ht="15" customHeight="1" s="37">
      <c r="A2533" s="42" t="inlineStr">
        <is>
          <t>korloff un soir a paris</t>
        </is>
      </c>
      <c r="B2533" s="42" t="inlineStr">
        <is>
          <t>how to pronounce soir in french</t>
        </is>
      </c>
      <c r="C2533" s="42" t="n"/>
    </row>
    <row r="2534" ht="15" customHeight="1" s="37">
      <c r="A2534" s="42" t="inlineStr">
        <is>
          <t>la maison de la vanille absolu de vanille</t>
        </is>
      </c>
      <c r="B2534" s="42" t="inlineStr">
        <is>
          <t>la maison de la vanille absolu de vanille</t>
        </is>
      </c>
      <c r="C2534" s="42" t="inlineStr">
        <is>
          <t>Yes</t>
        </is>
      </c>
    </row>
    <row r="2535" ht="15" customHeight="1" s="37">
      <c r="A2535" s="42" t="inlineStr">
        <is>
          <t>la maison de la vanille absolu de vanille</t>
        </is>
      </c>
      <c r="B2535" s="42" t="inlineStr">
        <is>
          <t>la maison de la vanille absolu de vanille отзывы</t>
        </is>
      </c>
      <c r="C2535" s="42" t="inlineStr">
        <is>
          <t>Yes</t>
        </is>
      </c>
    </row>
    <row r="2536" ht="15" customHeight="1" s="37">
      <c r="A2536" s="42" t="inlineStr">
        <is>
          <t>la maison de la vanille absolu de vanille</t>
        </is>
      </c>
      <c r="B2536" s="42" t="inlineStr">
        <is>
          <t>la maison de la vanille absolu de vanille edp 100 ml</t>
        </is>
      </c>
      <c r="C2536" s="42" t="inlineStr">
        <is>
          <t>Yes</t>
        </is>
      </c>
    </row>
    <row r="2537" ht="15" customHeight="1" s="37">
      <c r="A2537" s="42" t="inlineStr">
        <is>
          <t>la maison de la vanille absolu de vanille</t>
        </is>
      </c>
      <c r="B2537" s="42" t="inlineStr">
        <is>
          <t>la maison de la vanille absolu de vanille eau de parfum</t>
        </is>
      </c>
      <c r="C2537" s="42" t="inlineStr">
        <is>
          <t>Yes</t>
        </is>
      </c>
    </row>
    <row r="2538" ht="15" customHeight="1" s="37">
      <c r="A2538" s="42" t="inlineStr">
        <is>
          <t>la maison de la vanille ambre secret</t>
        </is>
      </c>
      <c r="B2538" s="42" t="inlineStr">
        <is>
          <t>la maison de la vanille ambre secret</t>
        </is>
      </c>
      <c r="C2538" s="42" t="inlineStr">
        <is>
          <t>Yes</t>
        </is>
      </c>
    </row>
    <row r="2539" ht="15" customHeight="1" s="37">
      <c r="A2539" s="42" t="inlineStr">
        <is>
          <t>la maison de la vanille ambre secret</t>
        </is>
      </c>
      <c r="B2539" s="42" t="inlineStr">
        <is>
          <t>la maison de la vanille ambre secret fragrantica</t>
        </is>
      </c>
      <c r="C2539" s="42" t="n"/>
    </row>
    <row r="2540" ht="15" customHeight="1" s="37">
      <c r="A2540" s="42" t="inlineStr">
        <is>
          <t>la maison de la vanille ambre secret</t>
        </is>
      </c>
      <c r="B2540" s="42" t="inlineStr">
        <is>
          <t>la maison de la vanille ambre secret eau de parfum</t>
        </is>
      </c>
      <c r="C2540" s="42" t="inlineStr">
        <is>
          <t>Yes</t>
        </is>
      </c>
    </row>
    <row r="2541" ht="15" customHeight="1" s="37">
      <c r="A2541" s="42" t="inlineStr">
        <is>
          <t>la maison de la vanille ambre secret</t>
        </is>
      </c>
      <c r="B2541" s="42" t="inlineStr">
        <is>
          <t>la maison de la vanille ambre secret отзывы</t>
        </is>
      </c>
      <c r="C2541" s="42" t="inlineStr">
        <is>
          <t>Yes</t>
        </is>
      </c>
    </row>
    <row r="2542" ht="15" customHeight="1" s="37">
      <c r="A2542" s="42" t="inlineStr">
        <is>
          <t>la maison de la vanille ambre secret</t>
        </is>
      </c>
      <c r="B2542" s="42" t="inlineStr">
        <is>
          <t>what does bare vanilla victoria secret smell like</t>
        </is>
      </c>
      <c r="C2542" s="42" t="n"/>
    </row>
    <row r="2543" ht="15" customHeight="1" s="37">
      <c r="A2543" s="42" t="inlineStr">
        <is>
          <t>la maison de la vanille ambre secret</t>
        </is>
      </c>
      <c r="B2543" s="42" t="inlineStr">
        <is>
          <t>which victoria secret perfume smells like vanilla</t>
        </is>
      </c>
      <c r="C2543" s="42" t="n"/>
    </row>
    <row r="2544" ht="15" customHeight="1" s="37">
      <c r="A2544" s="42" t="inlineStr">
        <is>
          <t>la maison de la vanille royal oud</t>
        </is>
      </c>
      <c r="B2544" s="42" t="inlineStr">
        <is>
          <t>la maison de la vanille royal oud</t>
        </is>
      </c>
      <c r="C2544" s="42" t="inlineStr">
        <is>
          <t>Yes</t>
        </is>
      </c>
    </row>
    <row r="2545" ht="15" customHeight="1" s="37">
      <c r="A2545" s="42" t="inlineStr">
        <is>
          <t>la maison de la vanille royal oud</t>
        </is>
      </c>
      <c r="B2545" s="42" t="inlineStr">
        <is>
          <t>la maison de la vanille royal oud and oriental wood</t>
        </is>
      </c>
      <c r="C2545" s="42" t="n"/>
    </row>
    <row r="2546" ht="15" customHeight="1" s="37">
      <c r="A2546" s="42" t="inlineStr">
        <is>
          <t>la maison de la vanille royal oud</t>
        </is>
      </c>
      <c r="B2546" s="42" t="inlineStr">
        <is>
          <t>la maison de la vanille royal oud u edp 100ml</t>
        </is>
      </c>
      <c r="C2546" s="42" t="n"/>
    </row>
    <row r="2547" ht="15" customHeight="1" s="37">
      <c r="A2547" s="42" t="inlineStr">
        <is>
          <t>la maison de la vanille royal oud</t>
        </is>
      </c>
      <c r="B2547" s="42" t="inlineStr">
        <is>
          <t>la maison de la vanille royal oud eau de parfum</t>
        </is>
      </c>
      <c r="C2547" s="42" t="inlineStr">
        <is>
          <t>Yes</t>
        </is>
      </c>
    </row>
    <row r="2548" ht="15" customHeight="1" s="37">
      <c r="A2548" s="42" t="inlineStr">
        <is>
          <t>la maison de la vanille royal oud</t>
        </is>
      </c>
      <c r="B2548" s="42" t="inlineStr">
        <is>
          <t>royal oud perfume la maison de la vanille</t>
        </is>
      </c>
      <c r="C2548" s="42" t="inlineStr">
        <is>
          <t>Yes</t>
        </is>
      </c>
    </row>
    <row r="2549" ht="15" customHeight="1" s="37">
      <c r="A2549" s="42" t="inlineStr">
        <is>
          <t>la maison de la vanille royal oud</t>
        </is>
      </c>
      <c r="B2549" s="42" t="inlineStr">
        <is>
          <t>la maison de la vanille royal oud отзывы</t>
        </is>
      </c>
      <c r="C2549" s="42" t="inlineStr">
        <is>
          <t>Yes</t>
        </is>
      </c>
    </row>
    <row r="2550" ht="15" customHeight="1" s="37">
      <c r="A2550" s="42" t="inlineStr">
        <is>
          <t>la maison perfume</t>
        </is>
      </c>
      <c r="B2550" s="42" t="inlineStr">
        <is>
          <t>la maison perfume</t>
        </is>
      </c>
      <c r="C2550" s="42" t="inlineStr">
        <is>
          <t>Yes</t>
        </is>
      </c>
    </row>
    <row r="2551" ht="15" customHeight="1" s="37">
      <c r="A2551" s="42" t="inlineStr">
        <is>
          <t>la maison perfume</t>
        </is>
      </c>
      <c r="B2551" s="42" t="inlineStr">
        <is>
          <t>la maison perfume price</t>
        </is>
      </c>
      <c r="C2551" s="42" t="n"/>
    </row>
    <row r="2552" ht="15" customHeight="1" s="37">
      <c r="A2552" s="42" t="inlineStr">
        <is>
          <t>la maison perfume</t>
        </is>
      </c>
      <c r="B2552" s="42" t="inlineStr">
        <is>
          <t>la maison perfume sephora</t>
        </is>
      </c>
      <c r="C2552" s="42" t="n"/>
    </row>
    <row r="2553" ht="15" customHeight="1" s="37">
      <c r="A2553" s="42" t="inlineStr">
        <is>
          <t>la maison perfume</t>
        </is>
      </c>
      <c r="B2553" s="42" t="inlineStr">
        <is>
          <t>la maison perfume oil</t>
        </is>
      </c>
      <c r="C2553" s="42" t="n"/>
    </row>
    <row r="2554" ht="15" customHeight="1" s="37">
      <c r="A2554" s="42" t="inlineStr">
        <is>
          <t>la maison perfume</t>
        </is>
      </c>
      <c r="B2554" s="42" t="inlineStr">
        <is>
          <t>la maison perfume discount code</t>
        </is>
      </c>
      <c r="C2554" s="42" t="n"/>
    </row>
    <row r="2555" ht="15" customHeight="1" s="37">
      <c r="A2555" s="42" t="inlineStr">
        <is>
          <t>la maison perfume</t>
        </is>
      </c>
      <c r="B2555" s="42" t="inlineStr">
        <is>
          <t>la maison perfume rose</t>
        </is>
      </c>
      <c r="C2555" s="42" t="n"/>
    </row>
    <row r="2556" ht="15" customHeight="1" s="37">
      <c r="A2556" s="42" t="inlineStr">
        <is>
          <t>la maison perfume</t>
        </is>
      </c>
      <c r="B2556" s="42" t="inlineStr">
        <is>
          <t>la maison perfume no 4</t>
        </is>
      </c>
      <c r="C2556" s="42" t="n"/>
    </row>
    <row r="2557" ht="15" customHeight="1" s="37">
      <c r="A2557" s="42" t="inlineStr">
        <is>
          <t>la maison perfume</t>
        </is>
      </c>
      <c r="B2557" s="42" t="inlineStr">
        <is>
          <t>la maison perfume men</t>
        </is>
      </c>
      <c r="C2557" s="42" t="n"/>
    </row>
    <row r="2558" ht="15" customHeight="1" s="37">
      <c r="A2558" s="42" t="inlineStr">
        <is>
          <t>la maison perfume</t>
        </is>
      </c>
      <c r="B2558" s="42" t="inlineStr">
        <is>
          <t>la maison perfume women</t>
        </is>
      </c>
      <c r="C2558" s="42" t="n"/>
    </row>
    <row r="2559" ht="15" customHeight="1" s="37">
      <c r="A2559" s="42" t="inlineStr">
        <is>
          <t>la maison perfume</t>
        </is>
      </c>
      <c r="B2559" s="42" t="inlineStr">
        <is>
          <t>la maison perfume oud</t>
        </is>
      </c>
      <c r="C2559" s="42" t="n"/>
    </row>
    <row r="2560" ht="15" customHeight="1" s="37">
      <c r="A2560" s="42" t="inlineStr">
        <is>
          <t>lancome idole nectar</t>
        </is>
      </c>
      <c r="B2560" s="42" t="inlineStr">
        <is>
          <t>lancome idole nectar</t>
        </is>
      </c>
      <c r="C2560" s="42" t="inlineStr">
        <is>
          <t>Yes</t>
        </is>
      </c>
    </row>
    <row r="2561" ht="15" customHeight="1" s="37">
      <c r="A2561" s="42" t="inlineStr">
        <is>
          <t>lancome idole nectar</t>
        </is>
      </c>
      <c r="B2561" s="42" t="inlineStr">
        <is>
          <t>lancome idole nectar perfume</t>
        </is>
      </c>
      <c r="C2561" s="42" t="inlineStr">
        <is>
          <t>Yes</t>
        </is>
      </c>
    </row>
    <row r="2562" ht="15" customHeight="1" s="37">
      <c r="A2562" s="42" t="inlineStr">
        <is>
          <t>lancome idole nectar</t>
        </is>
      </c>
      <c r="B2562" s="42" t="inlineStr">
        <is>
          <t>lancome idole nectar eau de parfum</t>
        </is>
      </c>
      <c r="C2562" s="42" t="inlineStr">
        <is>
          <t>Yes</t>
        </is>
      </c>
    </row>
    <row r="2563" ht="15" customHeight="1" s="37">
      <c r="A2563" s="42" t="inlineStr">
        <is>
          <t>lancome idole nectar</t>
        </is>
      </c>
      <c r="B2563" s="42" t="inlineStr">
        <is>
          <t>lancome idole nectar dupe</t>
        </is>
      </c>
      <c r="C2563" s="42" t="inlineStr">
        <is>
          <t>Yes</t>
        </is>
      </c>
    </row>
    <row r="2564" ht="15" customHeight="1" s="37">
      <c r="A2564" s="42" t="inlineStr">
        <is>
          <t>lancome idole nectar</t>
        </is>
      </c>
      <c r="B2564" s="42" t="inlineStr">
        <is>
          <t>lancome idole nectar eau de parfum 100ml</t>
        </is>
      </c>
      <c r="C2564" s="42" t="inlineStr">
        <is>
          <t>Yes</t>
        </is>
      </c>
    </row>
    <row r="2565" ht="15" customHeight="1" s="37">
      <c r="A2565" s="42" t="inlineStr">
        <is>
          <t>lancome idole nectar</t>
        </is>
      </c>
      <c r="B2565" s="42" t="inlineStr">
        <is>
          <t>lancome idole nectar notes</t>
        </is>
      </c>
      <c r="C2565" s="42" t="inlineStr">
        <is>
          <t>Yes</t>
        </is>
      </c>
    </row>
    <row r="2566" ht="15" customHeight="1" s="37">
      <c r="A2566" s="42" t="inlineStr">
        <is>
          <t>lancome idole nectar</t>
        </is>
      </c>
      <c r="B2566" s="42" t="inlineStr">
        <is>
          <t>lancome idole nectar discontinued</t>
        </is>
      </c>
      <c r="C2566" s="42" t="n"/>
    </row>
    <row r="2567" ht="15" customHeight="1" s="37">
      <c r="A2567" s="42" t="inlineStr">
        <is>
          <t>lancome idole nectar</t>
        </is>
      </c>
      <c r="B2567" s="42" t="inlineStr">
        <is>
          <t>lancome idole nectar 50ml</t>
        </is>
      </c>
      <c r="C2567" s="42" t="inlineStr">
        <is>
          <t>Yes</t>
        </is>
      </c>
    </row>
    <row r="2568" ht="15" customHeight="1" s="37">
      <c r="A2568" s="42" t="inlineStr">
        <is>
          <t>lancome idole nectar</t>
        </is>
      </c>
      <c r="B2568" s="42" t="inlineStr">
        <is>
          <t>lancome idole nectar fragrantica</t>
        </is>
      </c>
      <c r="C2568" s="42" t="n"/>
    </row>
    <row r="2569" ht="15" customHeight="1" s="37">
      <c r="A2569" s="42" t="inlineStr">
        <is>
          <t>lancome idole nectar</t>
        </is>
      </c>
      <c r="B2569" s="42" t="inlineStr">
        <is>
          <t>lancome idole nectar 25ml</t>
        </is>
      </c>
      <c r="C2569" s="42" t="n"/>
    </row>
    <row r="2570" ht="15" customHeight="1" s="37">
      <c r="A2570" s="42" t="inlineStr">
        <is>
          <t>lancome idole now florale</t>
        </is>
      </c>
      <c r="B2570" s="42" t="inlineStr">
        <is>
          <t>lancome idole now florale</t>
        </is>
      </c>
      <c r="C2570" s="42" t="inlineStr">
        <is>
          <t>Yes</t>
        </is>
      </c>
    </row>
    <row r="2571" ht="15" customHeight="1" s="37">
      <c r="A2571" s="42" t="inlineStr">
        <is>
          <t>lancome idole now florale</t>
        </is>
      </c>
      <c r="B2571" s="42" t="inlineStr">
        <is>
          <t>lancome idole now florale perfume</t>
        </is>
      </c>
      <c r="C2571" s="42" t="inlineStr">
        <is>
          <t>Yes</t>
        </is>
      </c>
    </row>
    <row r="2572" ht="15" customHeight="1" s="37">
      <c r="A2572" s="42" t="inlineStr">
        <is>
          <t>lancome idole now florale</t>
        </is>
      </c>
      <c r="B2572" s="42" t="inlineStr">
        <is>
          <t>lancome idole now florale edp 100ml</t>
        </is>
      </c>
      <c r="C2572" s="42" t="inlineStr">
        <is>
          <t>Yes</t>
        </is>
      </c>
    </row>
    <row r="2573" ht="15" customHeight="1" s="37">
      <c r="A2573" s="42" t="inlineStr">
        <is>
          <t>lancome idole now florale</t>
        </is>
      </c>
      <c r="B2573" s="42" t="inlineStr">
        <is>
          <t>lancome idole now florale fragrantica</t>
        </is>
      </c>
      <c r="C2573" s="42" t="n"/>
    </row>
    <row r="2574" ht="15" customHeight="1" s="37">
      <c r="A2574" s="42" t="inlineStr">
        <is>
          <t>lancome idole now florale</t>
        </is>
      </c>
      <c r="B2574" s="42" t="inlineStr">
        <is>
          <t>lancome idole now florale eau de parfum</t>
        </is>
      </c>
      <c r="C2574" s="42" t="inlineStr">
        <is>
          <t>Yes</t>
        </is>
      </c>
    </row>
    <row r="2575" ht="15" customHeight="1" s="37">
      <c r="A2575" s="42" t="inlineStr">
        <is>
          <t>lancome idole now florale</t>
        </is>
      </c>
      <c r="B2575" s="42" t="inlineStr">
        <is>
          <t>lancome idole now florale 50ml</t>
        </is>
      </c>
      <c r="C2575" s="42" t="inlineStr">
        <is>
          <t>Yes</t>
        </is>
      </c>
    </row>
    <row r="2576" ht="15" customHeight="1" s="37">
      <c r="A2576" s="42" t="inlineStr">
        <is>
          <t>lancome idole now florale</t>
        </is>
      </c>
      <c r="B2576" s="42" t="inlineStr">
        <is>
          <t>lancome idole now florale 100ml</t>
        </is>
      </c>
      <c r="C2576" s="42" t="inlineStr">
        <is>
          <t>Yes</t>
        </is>
      </c>
    </row>
    <row r="2577" ht="15" customHeight="1" s="37">
      <c r="A2577" s="42" t="inlineStr">
        <is>
          <t>lancome idole now florale</t>
        </is>
      </c>
      <c r="B2577" s="42" t="inlineStr">
        <is>
          <t>lancome idole now edp florale</t>
        </is>
      </c>
      <c r="C2577" s="42" t="inlineStr">
        <is>
          <t>Yes</t>
        </is>
      </c>
    </row>
    <row r="2578" ht="15" customHeight="1" s="37">
      <c r="A2578" s="42" t="inlineStr">
        <is>
          <t>lancome idole now florale</t>
        </is>
      </c>
      <c r="B2578" s="42" t="inlineStr">
        <is>
          <t>lancome idole now edp florale 50ml</t>
        </is>
      </c>
      <c r="C2578" s="42" t="n"/>
    </row>
    <row r="2579" ht="15" customHeight="1" s="37">
      <c r="A2579" s="42" t="inlineStr">
        <is>
          <t>lancome idole now florale</t>
        </is>
      </c>
      <c r="B2579" s="42" t="inlineStr">
        <is>
          <t>lancome idole now w edp florale 100ml</t>
        </is>
      </c>
      <c r="C2579" s="42" t="n"/>
    </row>
    <row r="2580" ht="15" customHeight="1" s="37">
      <c r="A2580" s="42" t="inlineStr">
        <is>
          <t>lancome perfume</t>
        </is>
      </c>
      <c r="B2580" s="42" t="inlineStr">
        <is>
          <t>lancome perfume</t>
        </is>
      </c>
      <c r="C2580" s="42" t="inlineStr">
        <is>
          <t>Yes</t>
        </is>
      </c>
    </row>
    <row r="2581" ht="15" customHeight="1" s="37">
      <c r="A2581" s="42" t="inlineStr">
        <is>
          <t>lancome perfume</t>
        </is>
      </c>
      <c r="B2581" s="42" t="inlineStr">
        <is>
          <t>lancome perfume idole</t>
        </is>
      </c>
      <c r="C2581" s="42" t="n"/>
    </row>
    <row r="2582" ht="15" customHeight="1" s="37">
      <c r="A2582" s="42" t="inlineStr">
        <is>
          <t>lancome perfume</t>
        </is>
      </c>
      <c r="B2582" s="42" t="inlineStr">
        <is>
          <t>lancome perfume for women</t>
        </is>
      </c>
      <c r="C2582" s="42" t="inlineStr">
        <is>
          <t>Yes</t>
        </is>
      </c>
    </row>
    <row r="2583" ht="15" customHeight="1" s="37">
      <c r="A2583" s="42" t="inlineStr">
        <is>
          <t>lancome perfume</t>
        </is>
      </c>
      <c r="B2583" s="42" t="inlineStr">
        <is>
          <t>lancome perfume la vie est belle</t>
        </is>
      </c>
      <c r="C2583" s="42" t="n"/>
    </row>
    <row r="2584" ht="15" customHeight="1" s="37">
      <c r="A2584" s="42" t="inlineStr">
        <is>
          <t>lancome perfume</t>
        </is>
      </c>
      <c r="B2584" s="42" t="inlineStr">
        <is>
          <t>lancome perfume price</t>
        </is>
      </c>
      <c r="C2584" s="42" t="n"/>
    </row>
    <row r="2585" ht="15" customHeight="1" s="37">
      <c r="A2585" s="42" t="inlineStr">
        <is>
          <t>lancome perfume</t>
        </is>
      </c>
      <c r="B2585" s="42" t="inlineStr">
        <is>
          <t>lancome perfume set</t>
        </is>
      </c>
      <c r="C2585" s="42" t="n"/>
    </row>
    <row r="2586" ht="15" customHeight="1" s="37">
      <c r="A2586" s="42" t="inlineStr">
        <is>
          <t>lancome perfume</t>
        </is>
      </c>
      <c r="B2586" s="42" t="inlineStr">
        <is>
          <t>lancome perfume gift set</t>
        </is>
      </c>
      <c r="C2586" s="42" t="n"/>
    </row>
    <row r="2587" ht="15" customHeight="1" s="37">
      <c r="A2587" s="42" t="inlineStr">
        <is>
          <t>lancome perfume</t>
        </is>
      </c>
      <c r="B2587" s="42" t="inlineStr">
        <is>
          <t>lancome perfume cherry</t>
        </is>
      </c>
      <c r="C2587" s="42" t="n"/>
    </row>
    <row r="2588" ht="15" customHeight="1" s="37">
      <c r="A2588" s="42" t="inlineStr">
        <is>
          <t>lancome perfume</t>
        </is>
      </c>
      <c r="B2588" s="42" t="inlineStr">
        <is>
          <t>lancome perfume chemist warehouse</t>
        </is>
      </c>
      <c r="C2588" s="42" t="n"/>
    </row>
    <row r="2589" ht="15" customHeight="1" s="37">
      <c r="A2589" s="42" t="inlineStr">
        <is>
          <t>lancome perfume</t>
        </is>
      </c>
      <c r="B2589" s="42" t="inlineStr">
        <is>
          <t>lancome perfume sale</t>
        </is>
      </c>
      <c r="C2589" s="42" t="n"/>
    </row>
    <row r="2590" ht="15" customHeight="1" s="37">
      <c r="A2590" s="42" t="inlineStr">
        <is>
          <t>maison de milan amalfi bleu</t>
        </is>
      </c>
      <c r="B2590" s="42" t="inlineStr">
        <is>
          <t>maison de milan amalfi bleu</t>
        </is>
      </c>
      <c r="C2590" s="42" t="inlineStr">
        <is>
          <t>Yes</t>
        </is>
      </c>
    </row>
    <row r="2591" ht="15" customHeight="1" s="37">
      <c r="A2591" s="42" t="inlineStr">
        <is>
          <t>maison de milan amalfi bleu</t>
        </is>
      </c>
      <c r="B2591" s="42" t="inlineStr">
        <is>
          <t>how to say amalfi coast in italian</t>
        </is>
      </c>
      <c r="C2591" s="42" t="n"/>
    </row>
    <row r="2592" ht="15" customHeight="1" s="37">
      <c r="A2592" s="42" t="inlineStr">
        <is>
          <t>maison de milan amalfi bleu</t>
        </is>
      </c>
      <c r="B2592" s="42" t="inlineStr">
        <is>
          <t>how to get from milan to amalfi coast</t>
        </is>
      </c>
      <c r="C2592" s="42" t="n"/>
    </row>
    <row r="2593" ht="15" customHeight="1" s="37">
      <c r="A2593" s="42" t="inlineStr">
        <is>
          <t>maison de milan amalfi bleu</t>
        </is>
      </c>
      <c r="B2593" s="42" t="inlineStr">
        <is>
          <t>distance naples to amalfi</t>
        </is>
      </c>
      <c r="C2593" s="42" t="n"/>
    </row>
    <row r="2594" ht="15" customHeight="1" s="37">
      <c r="A2594" s="42" t="inlineStr">
        <is>
          <t>maison de milan bliss rouge</t>
        </is>
      </c>
      <c r="B2594" s="42" t="inlineStr">
        <is>
          <t>maison de milan bliss rouge</t>
        </is>
      </c>
      <c r="C2594" s="42" t="inlineStr">
        <is>
          <t>Yes</t>
        </is>
      </c>
    </row>
    <row r="2595" ht="15" customHeight="1" s="37">
      <c r="A2595" s="42" t="inlineStr">
        <is>
          <t>maison de milan brave lad</t>
        </is>
      </c>
      <c r="B2595" s="42" t="inlineStr">
        <is>
          <t>maison de milan brave lad</t>
        </is>
      </c>
      <c r="C2595" s="42" t="inlineStr">
        <is>
          <t>Yes</t>
        </is>
      </c>
    </row>
    <row r="2596" ht="15" customHeight="1" s="37">
      <c r="A2596" s="42" t="inlineStr">
        <is>
          <t>maison de milan delight pour femme</t>
        </is>
      </c>
      <c r="B2596" s="42" t="inlineStr">
        <is>
          <t>maison de milan delight pour femme</t>
        </is>
      </c>
      <c r="C2596" s="42" t="inlineStr">
        <is>
          <t>Yes</t>
        </is>
      </c>
    </row>
    <row r="2597" ht="15" customHeight="1" s="37">
      <c r="A2597" s="42" t="inlineStr">
        <is>
          <t>maison de milan elegance pour femme</t>
        </is>
      </c>
      <c r="B2597" s="42" t="inlineStr">
        <is>
          <t>maison de milan elegance pour femme</t>
        </is>
      </c>
      <c r="C2597" s="42" t="inlineStr">
        <is>
          <t>Yes</t>
        </is>
      </c>
    </row>
    <row r="2598" ht="15" customHeight="1" s="37">
      <c r="A2598" s="42" t="inlineStr">
        <is>
          <t>maison de milan gossip pour femme</t>
        </is>
      </c>
      <c r="B2598" s="42" t="inlineStr">
        <is>
          <t>maison de milan gossip pour femme</t>
        </is>
      </c>
      <c r="C2598" s="42" t="inlineStr">
        <is>
          <t>Yes</t>
        </is>
      </c>
    </row>
    <row r="2599" ht="15" customHeight="1" s="37">
      <c r="A2599" s="42" t="inlineStr">
        <is>
          <t>maison de milan invincible</t>
        </is>
      </c>
      <c r="B2599" s="42" t="inlineStr">
        <is>
          <t>invincible maison de milan</t>
        </is>
      </c>
      <c r="C2599" s="42" t="inlineStr">
        <is>
          <t>Yes</t>
        </is>
      </c>
    </row>
    <row r="2600" ht="15" customHeight="1" s="37">
      <c r="A2600" s="42" t="inlineStr">
        <is>
          <t>maison de milan invincible</t>
        </is>
      </c>
      <c r="B2600" s="42" t="inlineStr">
        <is>
          <t>maison de milan invincible 100ml</t>
        </is>
      </c>
      <c r="C2600" s="42" t="inlineStr">
        <is>
          <t>Yes</t>
        </is>
      </c>
    </row>
    <row r="2601" ht="15" customHeight="1" s="37">
      <c r="A2601" s="42" t="inlineStr">
        <is>
          <t>maison de milan invincible</t>
        </is>
      </c>
      <c r="B2601" s="42" t="inlineStr">
        <is>
          <t>invincible perfume maison de milan</t>
        </is>
      </c>
      <c r="C2601" s="42" t="inlineStr">
        <is>
          <t>Yes</t>
        </is>
      </c>
    </row>
    <row r="2602" ht="15" customHeight="1" s="37">
      <c r="A2602" s="42" t="inlineStr">
        <is>
          <t>maison de milan l'homme suave</t>
        </is>
      </c>
      <c r="B2602" s="42" t="inlineStr">
        <is>
          <t>maison de milan l homme suave</t>
        </is>
      </c>
      <c r="C2602" s="42" t="n"/>
    </row>
    <row r="2603" ht="15" customHeight="1" s="37">
      <c r="A2603" s="42" t="inlineStr">
        <is>
          <t>maison de milan l'homme suave</t>
        </is>
      </c>
      <c r="B2603" s="42" t="inlineStr">
        <is>
          <t>maison de milan l'homme suave absolu</t>
        </is>
      </c>
      <c r="C2603" s="42" t="n"/>
    </row>
    <row r="2604" ht="15" customHeight="1" s="37">
      <c r="A2604" s="42" t="inlineStr">
        <is>
          <t>maison de milan l'homme suave</t>
        </is>
      </c>
      <c r="B2604" s="42" t="inlineStr">
        <is>
          <t>maison de milan l homme suave 100ml</t>
        </is>
      </c>
      <c r="C2604" s="42" t="n"/>
    </row>
    <row r="2605" ht="15" customHeight="1" s="37">
      <c r="A2605" s="42" t="inlineStr">
        <is>
          <t>maison de milan l'homme suave</t>
        </is>
      </c>
      <c r="B2605" s="42" t="inlineStr">
        <is>
          <t>perfume maison de milao l'homme suave</t>
        </is>
      </c>
      <c r="C2605" s="42" t="n"/>
    </row>
    <row r="2606" ht="15" customHeight="1" s="37">
      <c r="A2606" s="42" t="inlineStr">
        <is>
          <t>maison de milan l'homme suave</t>
        </is>
      </c>
      <c r="B2606" s="42" t="inlineStr">
        <is>
          <t>difference between prada l'homme and l'homme intense</t>
        </is>
      </c>
      <c r="C2606" s="42" t="n"/>
    </row>
    <row r="2607" ht="15" customHeight="1" s="37">
      <c r="A2607" s="42" t="inlineStr">
        <is>
          <t>maison de milan m</t>
        </is>
      </c>
      <c r="B2607" s="42" t="inlineStr">
        <is>
          <t>maison de milan my scent</t>
        </is>
      </c>
      <c r="C2607" s="42" t="n"/>
    </row>
    <row r="2608" ht="15" customHeight="1" s="37">
      <c r="A2608" s="42" t="inlineStr">
        <is>
          <t>maison de milan m</t>
        </is>
      </c>
      <c r="B2608" s="42" t="inlineStr">
        <is>
          <t>morning maison de milan</t>
        </is>
      </c>
      <c r="C2608" s="42" t="n"/>
    </row>
    <row r="2609" ht="15" customHeight="1" s="37">
      <c r="A2609" s="42" t="inlineStr">
        <is>
          <t>maison de milan m</t>
        </is>
      </c>
      <c r="B2609" s="42" t="inlineStr">
        <is>
          <t>maison de milan my love intense</t>
        </is>
      </c>
      <c r="C2609" s="42" t="n"/>
    </row>
    <row r="2610" ht="15" customHeight="1" s="37">
      <c r="A2610" s="42" t="inlineStr">
        <is>
          <t>maison de milan m</t>
        </is>
      </c>
      <c r="B2610" s="42" t="inlineStr">
        <is>
          <t>maison de milan my love</t>
        </is>
      </c>
      <c r="C2610" s="42" t="n"/>
    </row>
    <row r="2611" ht="15" customHeight="1" s="37">
      <c r="A2611" s="42" t="inlineStr">
        <is>
          <t>maison de milan m</t>
        </is>
      </c>
      <c r="B2611" s="42" t="inlineStr">
        <is>
          <t>maison de milan mdm</t>
        </is>
      </c>
      <c r="C2611" s="42" t="n"/>
    </row>
    <row r="2612" ht="15" customHeight="1" s="37">
      <c r="A2612" s="42" t="inlineStr">
        <is>
          <t>maison de milan m</t>
        </is>
      </c>
      <c r="B2612" s="42" t="inlineStr">
        <is>
          <t>maison de milan made to mesmerize</t>
        </is>
      </c>
      <c r="C2612" s="42" t="n"/>
    </row>
    <row r="2613" ht="15" customHeight="1" s="37">
      <c r="A2613" s="42" t="inlineStr">
        <is>
          <t>maison de milan m</t>
        </is>
      </c>
      <c r="B2613" s="42" t="inlineStr">
        <is>
          <t>maison de marie milan</t>
        </is>
      </c>
      <c r="C2613" s="42" t="n"/>
    </row>
    <row r="2614" ht="15" customHeight="1" s="37">
      <c r="A2614" s="42" t="inlineStr">
        <is>
          <t>maison de milan m</t>
        </is>
      </c>
      <c r="B2614" s="42" t="inlineStr">
        <is>
          <t>maison du monde milan</t>
        </is>
      </c>
      <c r="C2614" s="42" t="n"/>
    </row>
    <row r="2615" ht="15" customHeight="1" s="37">
      <c r="A2615" s="42" t="inlineStr">
        <is>
          <t>maison de milan m</t>
        </is>
      </c>
      <c r="B2615" s="42" t="inlineStr">
        <is>
          <t>maison milan mystique extrait de parfum</t>
        </is>
      </c>
      <c r="C2615" s="42" t="n"/>
    </row>
    <row r="2616" ht="15" customHeight="1" s="37">
      <c r="A2616" s="42" t="inlineStr">
        <is>
          <t>maison de milan m</t>
        </is>
      </c>
      <c r="B2616" s="42" t="inlineStr">
        <is>
          <t>maison milan mystique eau de perfume</t>
        </is>
      </c>
      <c r="C2616" s="42" t="n"/>
    </row>
    <row r="2617" ht="15" customHeight="1" s="37">
      <c r="A2617" s="42" t="inlineStr">
        <is>
          <t>maison de milan opulent gold</t>
        </is>
      </c>
      <c r="B2617" s="42" t="inlineStr">
        <is>
          <t>maison de milan opulent gold</t>
        </is>
      </c>
      <c r="C2617" s="42" t="inlineStr">
        <is>
          <t>Yes</t>
        </is>
      </c>
    </row>
    <row r="2618" ht="15" customHeight="1" s="37">
      <c r="A2618" s="42" t="inlineStr">
        <is>
          <t>maison de milan valiant pour homme</t>
        </is>
      </c>
      <c r="B2618" s="42" t="inlineStr">
        <is>
          <t>maison de milan valiant pour homme</t>
        </is>
      </c>
      <c r="C2618" s="42" t="inlineStr">
        <is>
          <t>Yes</t>
        </is>
      </c>
    </row>
    <row r="2619" ht="15" customHeight="1" s="37">
      <c r="A2619" s="42" t="inlineStr">
        <is>
          <t>maison de milan valiant pour homme</t>
        </is>
      </c>
      <c r="B2619" s="42" t="inlineStr">
        <is>
          <t>de noir pour homme price</t>
        </is>
      </c>
      <c r="C2619" s="42" t="n"/>
    </row>
    <row r="2620" ht="15" customHeight="1" s="37">
      <c r="A2620" s="42" t="inlineStr">
        <is>
          <t>maison de milan valiant pour homme</t>
        </is>
      </c>
      <c r="B2620" s="42" t="inlineStr">
        <is>
          <t>difference between perfume and pour homme</t>
        </is>
      </c>
      <c r="C2620" s="42" t="n"/>
    </row>
    <row r="2621" ht="15" customHeight="1" s="37">
      <c r="A2621" s="42" t="inlineStr">
        <is>
          <t>maison de milan valiant pour homme</t>
        </is>
      </c>
      <c r="B2621" s="42" t="inlineStr">
        <is>
          <t>difference between pour homme and eau de parfum</t>
        </is>
      </c>
      <c r="C2621" s="42" t="n"/>
    </row>
    <row r="2622" ht="15" customHeight="1" s="37">
      <c r="A2622" s="42" t="inlineStr">
        <is>
          <t>mancera black noir</t>
        </is>
      </c>
      <c r="B2622" s="42" t="inlineStr">
        <is>
          <t>mancera black noir</t>
        </is>
      </c>
      <c r="C2622" s="42" t="inlineStr">
        <is>
          <t>Yes</t>
        </is>
      </c>
    </row>
    <row r="2623" ht="15" customHeight="1" s="37">
      <c r="A2623" s="42" t="inlineStr">
        <is>
          <t>mancera black noir</t>
        </is>
      </c>
      <c r="B2623" s="42" t="inlineStr">
        <is>
          <t>mancera black noir review</t>
        </is>
      </c>
      <c r="C2623" s="42" t="inlineStr">
        <is>
          <t>Yes</t>
        </is>
      </c>
    </row>
    <row r="2624" ht="15" customHeight="1" s="37">
      <c r="A2624" s="42" t="inlineStr">
        <is>
          <t>mancera black noir</t>
        </is>
      </c>
      <c r="B2624" s="42" t="inlineStr">
        <is>
          <t>mancera black noir notes</t>
        </is>
      </c>
      <c r="C2624" s="42" t="inlineStr">
        <is>
          <t>Yes</t>
        </is>
      </c>
    </row>
    <row r="2625" ht="15" customHeight="1" s="37">
      <c r="A2625" s="42" t="inlineStr">
        <is>
          <t>mancera black noir</t>
        </is>
      </c>
      <c r="B2625" s="42" t="inlineStr">
        <is>
          <t>mancera black noir fragrantica</t>
        </is>
      </c>
      <c r="C2625" s="42" t="n"/>
    </row>
    <row r="2626" ht="15" customHeight="1" s="37">
      <c r="A2626" s="42" t="inlineStr">
        <is>
          <t>mancera black noir</t>
        </is>
      </c>
      <c r="B2626" s="42" t="inlineStr">
        <is>
          <t>mancera black noir eau de parfum</t>
        </is>
      </c>
      <c r="C2626" s="42" t="inlineStr">
        <is>
          <t>Yes</t>
        </is>
      </c>
    </row>
    <row r="2627" ht="15" customHeight="1" s="37">
      <c r="A2627" s="42" t="inlineStr">
        <is>
          <t>mancera black noir</t>
        </is>
      </c>
      <c r="B2627" s="42" t="inlineStr">
        <is>
          <t>mancera black noir edp</t>
        </is>
      </c>
      <c r="C2627" s="42" t="inlineStr">
        <is>
          <t>Yes</t>
        </is>
      </c>
    </row>
    <row r="2628" ht="15" customHeight="1" s="37">
      <c r="A2628" s="42" t="inlineStr">
        <is>
          <t>mancera black noir</t>
        </is>
      </c>
      <c r="B2628" s="42" t="inlineStr">
        <is>
          <t>mancera black noir price</t>
        </is>
      </c>
      <c r="C2628" s="42" t="inlineStr">
        <is>
          <t>Yes</t>
        </is>
      </c>
    </row>
    <row r="2629" ht="15" customHeight="1" s="37">
      <c r="A2629" s="42" t="inlineStr">
        <is>
          <t>mancera black noir</t>
        </is>
      </c>
      <c r="B2629" s="42" t="inlineStr">
        <is>
          <t>mancera black noir edp 120ml</t>
        </is>
      </c>
      <c r="C2629" s="42" t="inlineStr">
        <is>
          <t>Yes</t>
        </is>
      </c>
    </row>
    <row r="2630" ht="15" customHeight="1" s="37">
      <c r="A2630" s="42" t="inlineStr">
        <is>
          <t>mancera black noir</t>
        </is>
      </c>
      <c r="B2630" s="42" t="inlineStr">
        <is>
          <t>mancera black noir parfumo</t>
        </is>
      </c>
      <c r="C2630" s="42" t="n"/>
    </row>
    <row r="2631" ht="15" customHeight="1" s="37">
      <c r="A2631" s="42" t="inlineStr">
        <is>
          <t>mancera black noir</t>
        </is>
      </c>
      <c r="B2631" s="42" t="inlineStr">
        <is>
          <t>mancera black noir u edp 120ml</t>
        </is>
      </c>
      <c r="C2631" s="42" t="n"/>
    </row>
    <row r="2632" ht="15" customHeight="1" s="37">
      <c r="A2632" s="42" t="inlineStr">
        <is>
          <t>mancera intense red tobacco</t>
        </is>
      </c>
      <c r="B2632" s="42" t="inlineStr">
        <is>
          <t>mancera intense red tobacco</t>
        </is>
      </c>
      <c r="C2632" s="42" t="inlineStr">
        <is>
          <t>Yes</t>
        </is>
      </c>
    </row>
    <row r="2633" ht="15" customHeight="1" s="37">
      <c r="A2633" s="42" t="inlineStr">
        <is>
          <t>mancera intense red tobacco</t>
        </is>
      </c>
      <c r="B2633" s="42" t="inlineStr">
        <is>
          <t>mancera intense red tobacco extrait de parfum</t>
        </is>
      </c>
      <c r="C2633" s="42" t="inlineStr">
        <is>
          <t>Yes</t>
        </is>
      </c>
    </row>
    <row r="2634" ht="15" customHeight="1" s="37">
      <c r="A2634" s="42" t="inlineStr">
        <is>
          <t>mancera intense red tobacco</t>
        </is>
      </c>
      <c r="B2634" s="42" t="inlineStr">
        <is>
          <t>mancera intense red tobacco review</t>
        </is>
      </c>
      <c r="C2634" s="42" t="inlineStr">
        <is>
          <t>Yes</t>
        </is>
      </c>
    </row>
    <row r="2635" ht="15" customHeight="1" s="37">
      <c r="A2635" s="42" t="inlineStr">
        <is>
          <t>mancera intense red tobacco</t>
        </is>
      </c>
      <c r="B2635" s="42" t="inlineStr">
        <is>
          <t>mancera intense red tobacco vs red tobacco</t>
        </is>
      </c>
      <c r="C2635" s="42" t="n"/>
    </row>
    <row r="2636" ht="15" customHeight="1" s="37">
      <c r="A2636" s="42" t="inlineStr">
        <is>
          <t>mancera intense red tobacco</t>
        </is>
      </c>
      <c r="B2636" s="42" t="inlineStr">
        <is>
          <t>mancera intense red tobacco price</t>
        </is>
      </c>
      <c r="C2636" s="42" t="inlineStr">
        <is>
          <t>Yes</t>
        </is>
      </c>
    </row>
    <row r="2637" ht="15" customHeight="1" s="37">
      <c r="A2637" s="42" t="inlineStr">
        <is>
          <t>mancera intense red tobacco</t>
        </is>
      </c>
      <c r="B2637" s="42" t="inlineStr">
        <is>
          <t>mancera intense red tobacco fragrantica</t>
        </is>
      </c>
      <c r="C2637" s="42" t="n"/>
    </row>
    <row r="2638" ht="15" customHeight="1" s="37">
      <c r="A2638" s="42" t="inlineStr">
        <is>
          <t>mancera intense red tobacco</t>
        </is>
      </c>
      <c r="B2638" s="42" t="inlineStr">
        <is>
          <t>mancera intense red tobacco 120ml</t>
        </is>
      </c>
      <c r="C2638" s="42" t="inlineStr">
        <is>
          <t>Yes</t>
        </is>
      </c>
    </row>
    <row r="2639" ht="15" customHeight="1" s="37">
      <c r="A2639" s="42" t="inlineStr">
        <is>
          <t>mancera intense red tobacco</t>
        </is>
      </c>
      <c r="B2639" s="42" t="inlineStr">
        <is>
          <t>mancera intense red tobacco eau de parfum</t>
        </is>
      </c>
      <c r="C2639" s="42" t="inlineStr">
        <is>
          <t>Yes</t>
        </is>
      </c>
    </row>
    <row r="2640" ht="15" customHeight="1" s="37">
      <c r="A2640" s="42" t="inlineStr">
        <is>
          <t>mancera intense red tobacco</t>
        </is>
      </c>
      <c r="B2640" s="42" t="inlineStr">
        <is>
          <t>mancera intense red tobacco edp 120ml</t>
        </is>
      </c>
      <c r="C2640" s="42" t="inlineStr">
        <is>
          <t>Yes</t>
        </is>
      </c>
    </row>
    <row r="2641" ht="15" customHeight="1" s="37">
      <c r="A2641" s="42" t="inlineStr">
        <is>
          <t>mancera intense red tobacco</t>
        </is>
      </c>
      <c r="B2641" s="42" t="inlineStr">
        <is>
          <t>mancera intense red tobacco edp</t>
        </is>
      </c>
      <c r="C2641" s="42" t="n"/>
    </row>
    <row r="2642" ht="15" customHeight="1" s="37">
      <c r="A2642" s="42" t="inlineStr">
        <is>
          <t>mancera perfume</t>
        </is>
      </c>
      <c r="B2642" s="42" t="inlineStr">
        <is>
          <t>mancera perfume</t>
        </is>
      </c>
      <c r="C2642" s="42" t="inlineStr">
        <is>
          <t>Yes</t>
        </is>
      </c>
    </row>
    <row r="2643" ht="15" customHeight="1" s="37">
      <c r="A2643" s="42" t="inlineStr">
        <is>
          <t>mancera perfume</t>
        </is>
      </c>
      <c r="B2643" s="42" t="inlineStr">
        <is>
          <t>mancera perfume price</t>
        </is>
      </c>
      <c r="C2643" s="42" t="n"/>
    </row>
    <row r="2644" ht="15" customHeight="1" s="37">
      <c r="A2644" s="42" t="inlineStr">
        <is>
          <t>mancera perfume</t>
        </is>
      </c>
      <c r="B2644" s="42" t="inlineStr">
        <is>
          <t>mancera perfume price in pakistan</t>
        </is>
      </c>
      <c r="C2644" s="42" t="n"/>
    </row>
    <row r="2645" ht="15" customHeight="1" s="37">
      <c r="A2645" s="42" t="inlineStr">
        <is>
          <t>mancera perfume</t>
        </is>
      </c>
      <c r="B2645" s="42" t="inlineStr">
        <is>
          <t>mancera perfume roses vanille</t>
        </is>
      </c>
      <c r="C2645" s="42" t="n"/>
    </row>
    <row r="2646" ht="15" customHeight="1" s="37">
      <c r="A2646" s="42" t="inlineStr">
        <is>
          <t>mancera perfume</t>
        </is>
      </c>
      <c r="B2646" s="42" t="inlineStr">
        <is>
          <t>mancera perfume for men</t>
        </is>
      </c>
      <c r="C2646" s="42" t="n"/>
    </row>
    <row r="2647" ht="15" customHeight="1" s="37">
      <c r="A2647" s="42" t="inlineStr">
        <is>
          <t>mancera perfume</t>
        </is>
      </c>
      <c r="B2647" s="42" t="inlineStr">
        <is>
          <t>mancera perfume for women</t>
        </is>
      </c>
      <c r="C2647" s="42" t="n"/>
    </row>
    <row r="2648" ht="15" customHeight="1" s="37">
      <c r="A2648" s="42" t="inlineStr">
        <is>
          <t>mancera perfume</t>
        </is>
      </c>
      <c r="B2648" s="42" t="inlineStr">
        <is>
          <t>mancera perfume price in bangladesh</t>
        </is>
      </c>
      <c r="C2648" s="42" t="n"/>
    </row>
    <row r="2649" ht="15" customHeight="1" s="37">
      <c r="A2649" s="42" t="inlineStr">
        <is>
          <t>mancera perfume</t>
        </is>
      </c>
      <c r="B2649" s="42" t="inlineStr">
        <is>
          <t>mancera perfume cedrat boise</t>
        </is>
      </c>
      <c r="C2649" s="42" t="n"/>
    </row>
    <row r="2650" ht="15" customHeight="1" s="37">
      <c r="A2650" s="42" t="inlineStr">
        <is>
          <t>mancera perfume</t>
        </is>
      </c>
      <c r="B2650" s="42" t="inlineStr">
        <is>
          <t>mancera perfume instant crush</t>
        </is>
      </c>
      <c r="C2650" s="42" t="n"/>
    </row>
    <row r="2651" ht="15" customHeight="1" s="37">
      <c r="A2651" s="42" t="inlineStr">
        <is>
          <t>mancera perfume</t>
        </is>
      </c>
      <c r="B2651" s="42" t="inlineStr">
        <is>
          <t>mancera perfume red tobacco</t>
        </is>
      </c>
      <c r="C2651" s="42" t="n"/>
    </row>
    <row r="2652" ht="15" customHeight="1" s="37">
      <c r="A2652" s="42" t="inlineStr">
        <is>
          <t>marc jacobs daisy love glow limited edition</t>
        </is>
      </c>
      <c r="B2652" s="42" t="inlineStr">
        <is>
          <t>marc jacobs daisy love glow limited edition</t>
        </is>
      </c>
      <c r="C2652" s="42" t="inlineStr">
        <is>
          <t>Yes</t>
        </is>
      </c>
    </row>
    <row r="2653" ht="15" customHeight="1" s="37">
      <c r="A2653" s="42" t="inlineStr">
        <is>
          <t>marc jacobs daisy love glow limited edition</t>
        </is>
      </c>
      <c r="B2653" s="42" t="inlineStr">
        <is>
          <t>marc jacobs daisy love glow limited edition eau de toilette</t>
        </is>
      </c>
      <c r="C2653" s="42" t="inlineStr">
        <is>
          <t>Yes</t>
        </is>
      </c>
    </row>
    <row r="2654" ht="15" customHeight="1" s="37">
      <c r="A2654" s="42" t="inlineStr">
        <is>
          <t>marc jacobs daisy love glow limited edition</t>
        </is>
      </c>
      <c r="B2654" s="42" t="inlineStr">
        <is>
          <t>marc jacobs daisy love glow limited edition w edt 50ml</t>
        </is>
      </c>
      <c r="C2654" s="42" t="n"/>
    </row>
    <row r="2655" ht="15" customHeight="1" s="37">
      <c r="A2655" s="42" t="inlineStr">
        <is>
          <t>marc jacobs daisy love glow limited edition</t>
        </is>
      </c>
      <c r="B2655" s="42" t="inlineStr">
        <is>
          <t>marc jacobs daisy love glow limited edition edt 50 ml</t>
        </is>
      </c>
      <c r="C2655" s="42" t="inlineStr">
        <is>
          <t>Yes</t>
        </is>
      </c>
    </row>
    <row r="2656" ht="15" customHeight="1" s="37">
      <c r="A2656" s="42" t="inlineStr">
        <is>
          <t>marc jacobs daisy love glow limited edition</t>
        </is>
      </c>
      <c r="B2656" s="42" t="inlineStr">
        <is>
          <t>daisy love marc jacobs price</t>
        </is>
      </c>
      <c r="C2656" s="42" t="inlineStr">
        <is>
          <t>Yes</t>
        </is>
      </c>
    </row>
    <row r="2657" ht="15" customHeight="1" s="37">
      <c r="A2657" s="42" t="inlineStr">
        <is>
          <t>marc jacobs daisy love glow limited edition</t>
        </is>
      </c>
      <c r="B2657" s="42" t="inlineStr">
        <is>
          <t>does marc jacobs daisy last long</t>
        </is>
      </c>
      <c r="C2657" s="42" t="n"/>
    </row>
    <row r="2658" ht="15" customHeight="1" s="37">
      <c r="A2658" s="42" t="inlineStr">
        <is>
          <t>marc jacobs daisy love miniature</t>
        </is>
      </c>
      <c r="B2658" s="42" t="inlineStr">
        <is>
          <t>marc jacobs daisy love small bottle</t>
        </is>
      </c>
      <c r="C2658" s="42" t="n"/>
    </row>
    <row r="2659" ht="15" customHeight="1" s="37">
      <c r="A2659" s="42" t="inlineStr">
        <is>
          <t>marc jacobs daisy love miniature</t>
        </is>
      </c>
      <c r="B2659" s="42" t="inlineStr">
        <is>
          <t>marc jacobs daisy love small</t>
        </is>
      </c>
      <c r="C2659" s="42" t="n"/>
    </row>
    <row r="2660" ht="15" customHeight="1" s="37">
      <c r="A2660" s="42" t="inlineStr">
        <is>
          <t>marc jacobs daisy love miniature</t>
        </is>
      </c>
      <c r="B2660" s="42" t="inlineStr">
        <is>
          <t>marc jacobs daisy love perfume small</t>
        </is>
      </c>
      <c r="C2660" s="42" t="n"/>
    </row>
    <row r="2661" ht="15" customHeight="1" s="37">
      <c r="A2661" s="42" t="inlineStr">
        <is>
          <t>marc jacobs daisy love miniature</t>
        </is>
      </c>
      <c r="B2661" s="42" t="inlineStr">
        <is>
          <t>difference between marc jacobs daisy and daisy love</t>
        </is>
      </c>
      <c r="C2661" s="42" t="n"/>
    </row>
    <row r="2662" ht="15" customHeight="1" s="37">
      <c r="A2662" s="42" t="inlineStr">
        <is>
          <t>marc jacobs daisy love miniature</t>
        </is>
      </c>
      <c r="B2662" s="42" t="inlineStr">
        <is>
          <t>daisy love marc jacobs price</t>
        </is>
      </c>
      <c r="C2662" s="42" t="inlineStr">
        <is>
          <t>Yes</t>
        </is>
      </c>
    </row>
    <row r="2663" ht="15" customHeight="1" s="37">
      <c r="A2663" s="42" t="inlineStr">
        <is>
          <t>marc jacobs honey</t>
        </is>
      </c>
      <c r="B2663" s="42" t="inlineStr">
        <is>
          <t>marc jacobs honey</t>
        </is>
      </c>
      <c r="C2663" s="42" t="inlineStr">
        <is>
          <t>Yes</t>
        </is>
      </c>
    </row>
    <row r="2664" ht="15" customHeight="1" s="37">
      <c r="A2664" s="42" t="inlineStr">
        <is>
          <t>marc jacobs honey</t>
        </is>
      </c>
      <c r="B2664" s="42" t="inlineStr">
        <is>
          <t>marc jacobs honey perfume</t>
        </is>
      </c>
      <c r="C2664" s="42" t="inlineStr">
        <is>
          <t>Yes</t>
        </is>
      </c>
    </row>
    <row r="2665" ht="15" customHeight="1" s="37">
      <c r="A2665" s="42" t="inlineStr">
        <is>
          <t>marc jacobs honey</t>
        </is>
      </c>
      <c r="B2665" s="42" t="inlineStr">
        <is>
          <t>marc jacobs honey 100ml</t>
        </is>
      </c>
      <c r="C2665" s="42" t="inlineStr">
        <is>
          <t>Yes</t>
        </is>
      </c>
    </row>
    <row r="2666" ht="15" customHeight="1" s="37">
      <c r="A2666" s="42" t="inlineStr">
        <is>
          <t>marc jacobs honey</t>
        </is>
      </c>
      <c r="B2666" s="42" t="inlineStr">
        <is>
          <t>marc jacobs honey notes</t>
        </is>
      </c>
      <c r="C2666" s="42" t="inlineStr">
        <is>
          <t>Yes</t>
        </is>
      </c>
    </row>
    <row r="2667" ht="15" customHeight="1" s="37">
      <c r="A2667" s="42" t="inlineStr">
        <is>
          <t>marc jacobs honey</t>
        </is>
      </c>
      <c r="B2667" s="42" t="inlineStr">
        <is>
          <t>marc jacobs honey review</t>
        </is>
      </c>
      <c r="C2667" s="42" t="inlineStr">
        <is>
          <t>Yes</t>
        </is>
      </c>
    </row>
    <row r="2668" ht="15" customHeight="1" s="37">
      <c r="A2668" s="42" t="inlineStr">
        <is>
          <t>marc jacobs honey</t>
        </is>
      </c>
      <c r="B2668" s="42" t="inlineStr">
        <is>
          <t>marc jacobs honey eau de parfum</t>
        </is>
      </c>
      <c r="C2668" s="42" t="inlineStr">
        <is>
          <t>Yes</t>
        </is>
      </c>
    </row>
    <row r="2669" ht="15" customHeight="1" s="37">
      <c r="A2669" s="42" t="inlineStr">
        <is>
          <t>marc jacobs honey</t>
        </is>
      </c>
      <c r="B2669" s="42" t="inlineStr">
        <is>
          <t>marc jacobs honey discontinued</t>
        </is>
      </c>
      <c r="C2669" s="42" t="n"/>
    </row>
    <row r="2670" ht="15" customHeight="1" s="37">
      <c r="A2670" s="42" t="inlineStr">
        <is>
          <t>marc jacobs honey</t>
        </is>
      </c>
      <c r="B2670" s="42" t="inlineStr">
        <is>
          <t>marc jacobs honey edp spray 100ml</t>
        </is>
      </c>
      <c r="C2670" s="42" t="n"/>
    </row>
    <row r="2671" ht="15" customHeight="1" s="37">
      <c r="A2671" s="42" t="inlineStr">
        <is>
          <t>marc jacobs honey</t>
        </is>
      </c>
      <c r="B2671" s="42" t="inlineStr">
        <is>
          <t>marc jacobs honey edp 100ml</t>
        </is>
      </c>
      <c r="C2671" s="42" t="inlineStr">
        <is>
          <t>Yes</t>
        </is>
      </c>
    </row>
    <row r="2672" ht="15" customHeight="1" s="37">
      <c r="A2672" s="42" t="inlineStr">
        <is>
          <t>marc jacobs honey</t>
        </is>
      </c>
      <c r="B2672" s="42" t="inlineStr">
        <is>
          <t>marc jacobs honey eau de parfum 100ml</t>
        </is>
      </c>
      <c r="C2672" s="42" t="n"/>
    </row>
    <row r="2673" ht="15" customHeight="1" s="37">
      <c r="A2673" s="42" t="inlineStr">
        <is>
          <t>marc jacobs perfect</t>
        </is>
      </c>
      <c r="B2673" s="42" t="inlineStr">
        <is>
          <t>marc jacobs perfect</t>
        </is>
      </c>
      <c r="C2673" s="42" t="inlineStr">
        <is>
          <t>Yes</t>
        </is>
      </c>
    </row>
    <row r="2674" ht="15" customHeight="1" s="37">
      <c r="A2674" s="42" t="inlineStr">
        <is>
          <t>marc jacobs perfect</t>
        </is>
      </c>
      <c r="B2674" s="42" t="inlineStr">
        <is>
          <t>marc jacobs perfect perfume</t>
        </is>
      </c>
      <c r="C2674" s="42" t="inlineStr">
        <is>
          <t>Yes</t>
        </is>
      </c>
    </row>
    <row r="2675" ht="15" customHeight="1" s="37">
      <c r="A2675" s="42" t="inlineStr">
        <is>
          <t>marc jacobs perfect</t>
        </is>
      </c>
      <c r="B2675" s="42" t="inlineStr">
        <is>
          <t>marc jacobs perfect absolute</t>
        </is>
      </c>
      <c r="C2675" s="42" t="n"/>
    </row>
    <row r="2676" ht="15" customHeight="1" s="37">
      <c r="A2676" s="42" t="inlineStr">
        <is>
          <t>marc jacobs perfect</t>
        </is>
      </c>
      <c r="B2676" s="42" t="inlineStr">
        <is>
          <t>marc jacobs perfect elixir</t>
        </is>
      </c>
      <c r="C2676" s="42" t="n"/>
    </row>
    <row r="2677" ht="15" customHeight="1" s="37">
      <c r="A2677" s="42" t="inlineStr">
        <is>
          <t>marc jacobs perfect</t>
        </is>
      </c>
      <c r="B2677" s="42" t="inlineStr">
        <is>
          <t>marc jacobs perfect intense</t>
        </is>
      </c>
      <c r="C2677" s="42" t="n"/>
    </row>
    <row r="2678" ht="15" customHeight="1" s="37">
      <c r="A2678" s="42" t="inlineStr">
        <is>
          <t>marc jacobs perfect</t>
        </is>
      </c>
      <c r="B2678" s="42" t="inlineStr">
        <is>
          <t>marc jacobs perfect notes</t>
        </is>
      </c>
      <c r="C2678" s="42" t="inlineStr">
        <is>
          <t>Yes</t>
        </is>
      </c>
    </row>
    <row r="2679" ht="15" customHeight="1" s="37">
      <c r="A2679" s="42" t="inlineStr">
        <is>
          <t>marc jacobs perfect</t>
        </is>
      </c>
      <c r="B2679" s="42" t="inlineStr">
        <is>
          <t>marc jacobs perfect eau de parfum</t>
        </is>
      </c>
      <c r="C2679" s="42" t="inlineStr">
        <is>
          <t>Yes</t>
        </is>
      </c>
    </row>
    <row r="2680" ht="15" customHeight="1" s="37">
      <c r="A2680" s="42" t="inlineStr">
        <is>
          <t>marc jacobs perfect</t>
        </is>
      </c>
      <c r="B2680" s="42" t="inlineStr">
        <is>
          <t>marc jacobs perfect 100ml</t>
        </is>
      </c>
      <c r="C2680" s="42" t="inlineStr">
        <is>
          <t>Yes</t>
        </is>
      </c>
    </row>
    <row r="2681" ht="15" customHeight="1" s="37">
      <c r="A2681" s="42" t="inlineStr">
        <is>
          <t>marc jacobs perfect</t>
        </is>
      </c>
      <c r="B2681" s="42" t="inlineStr">
        <is>
          <t>marc jacobs perfect wallet</t>
        </is>
      </c>
      <c r="C2681" s="42" t="n"/>
    </row>
    <row r="2682" ht="15" customHeight="1" s="37">
      <c r="A2682" s="42" t="inlineStr">
        <is>
          <t>marc jacobs perfect</t>
        </is>
      </c>
      <c r="B2682" s="42" t="inlineStr">
        <is>
          <t>marc jacobs perfect edp</t>
        </is>
      </c>
      <c r="C2682" s="42" t="inlineStr">
        <is>
          <t>Yes</t>
        </is>
      </c>
    </row>
    <row r="2683" ht="15" customHeight="1" s="37">
      <c r="A2683" s="42" t="inlineStr">
        <is>
          <t>marc jacobs perfect elixir miniature</t>
        </is>
      </c>
      <c r="B2683" s="42" t="inlineStr">
        <is>
          <t>marc jacobs perfect elixir miniature</t>
        </is>
      </c>
      <c r="C2683" s="42" t="inlineStr">
        <is>
          <t>Yes</t>
        </is>
      </c>
    </row>
    <row r="2684" ht="15" customHeight="1" s="37">
      <c r="A2684" s="42" t="inlineStr">
        <is>
          <t>marc jacobs perfect elixir miniature</t>
        </is>
      </c>
      <c r="B2684" s="42" t="inlineStr">
        <is>
          <t>marc jacobs perfect elixir w edp 10ml miniature</t>
        </is>
      </c>
      <c r="C2684" s="42" t="n"/>
    </row>
    <row r="2685" ht="15" customHeight="1" s="37">
      <c r="A2685" s="42" t="inlineStr">
        <is>
          <t>marc jacobs perfect elixir miniature</t>
        </is>
      </c>
      <c r="B2685" s="42" t="inlineStr">
        <is>
          <t>perfect marc jacobs description</t>
        </is>
      </c>
      <c r="C2685" s="42" t="n"/>
    </row>
    <row r="2686" ht="15" customHeight="1" s="37">
      <c r="A2686" s="42" t="inlineStr">
        <is>
          <t>marc jacobs perfect miniature</t>
        </is>
      </c>
      <c r="B2686" s="42" t="inlineStr">
        <is>
          <t>marc jacobs perfect miniature</t>
        </is>
      </c>
      <c r="C2686" s="42" t="inlineStr">
        <is>
          <t>Yes</t>
        </is>
      </c>
    </row>
    <row r="2687" ht="15" customHeight="1" s="37">
      <c r="A2687" s="42" t="inlineStr">
        <is>
          <t>marc jacobs perfect miniature</t>
        </is>
      </c>
      <c r="B2687" s="42" t="inlineStr">
        <is>
          <t>marc jacobs perfect small bottle</t>
        </is>
      </c>
      <c r="C2687" s="42" t="n"/>
    </row>
    <row r="2688" ht="15" customHeight="1" s="37">
      <c r="A2688" s="42" t="inlineStr">
        <is>
          <t>marc jacobs perfect miniature</t>
        </is>
      </c>
      <c r="B2688" s="42" t="inlineStr">
        <is>
          <t>marc jacobs perfect small</t>
        </is>
      </c>
      <c r="C2688" s="42" t="n"/>
    </row>
    <row r="2689" ht="15" customHeight="1" s="37">
      <c r="A2689" s="42" t="inlineStr">
        <is>
          <t>marc jacobs perfect miniature</t>
        </is>
      </c>
      <c r="B2689" s="42" t="inlineStr">
        <is>
          <t>marc jacobs perfect minis</t>
        </is>
      </c>
      <c r="C2689" s="42" t="n"/>
    </row>
    <row r="2690" ht="15" customHeight="1" s="37">
      <c r="A2690" s="42" t="inlineStr">
        <is>
          <t>marc jacobs perfect miniature</t>
        </is>
      </c>
      <c r="B2690" s="42" t="inlineStr">
        <is>
          <t>marc jacobs perfect small size</t>
        </is>
      </c>
      <c r="C2690" s="42" t="n"/>
    </row>
    <row r="2691" ht="15" customHeight="1" s="37">
      <c r="A2691" s="42" t="inlineStr">
        <is>
          <t>marc jacobs perfect miniature</t>
        </is>
      </c>
      <c r="B2691" s="42" t="inlineStr">
        <is>
          <t>marc jacobs perfect small perfume</t>
        </is>
      </c>
      <c r="C2691" s="42" t="n"/>
    </row>
    <row r="2692" ht="15" customHeight="1" s="37">
      <c r="A2692" s="42" t="inlineStr">
        <is>
          <t>marc jacobs perfect miniature</t>
        </is>
      </c>
      <c r="B2692" s="42" t="inlineStr">
        <is>
          <t>marc jacobs perfect absolute miniature</t>
        </is>
      </c>
      <c r="C2692" s="42" t="n"/>
    </row>
    <row r="2693" ht="15" customHeight="1" s="37">
      <c r="A2693" s="42" t="inlineStr">
        <is>
          <t>marc jacobs perfect miniature</t>
        </is>
      </c>
      <c r="B2693" s="42" t="inlineStr">
        <is>
          <t>marc jacobs perfume perfect small bottle</t>
        </is>
      </c>
      <c r="C2693" s="42" t="n"/>
    </row>
    <row r="2694" ht="15" customHeight="1" s="37">
      <c r="A2694" s="42" t="inlineStr">
        <is>
          <t>marc jacobs perfect miniature</t>
        </is>
      </c>
      <c r="B2694" s="42" t="inlineStr">
        <is>
          <t>marc jacobs perfect elixir w edp 10ml miniature</t>
        </is>
      </c>
      <c r="C2694" s="42" t="n"/>
    </row>
    <row r="2695" ht="15" customHeight="1" s="37">
      <c r="A2695" s="42" t="inlineStr">
        <is>
          <t>marc jacobs perfect miniature</t>
        </is>
      </c>
      <c r="B2695" s="42" t="inlineStr">
        <is>
          <t>marc jacobs perfect elixir miniature</t>
        </is>
      </c>
      <c r="C2695" s="42" t="inlineStr">
        <is>
          <t>Yes</t>
        </is>
      </c>
    </row>
    <row r="2696" ht="15" customHeight="1" s="37">
      <c r="A2696" s="42" t="inlineStr">
        <is>
          <t>marc jacobs perfume</t>
        </is>
      </c>
      <c r="B2696" s="42" t="inlineStr">
        <is>
          <t>marc jacobs perfume</t>
        </is>
      </c>
      <c r="C2696" s="42" t="inlineStr">
        <is>
          <t>Yes</t>
        </is>
      </c>
    </row>
    <row r="2697" ht="15" customHeight="1" s="37">
      <c r="A2697" s="42" t="inlineStr">
        <is>
          <t>marc jacobs perfume</t>
        </is>
      </c>
      <c r="B2697" s="42" t="inlineStr">
        <is>
          <t>marc jacobs perfume daisy</t>
        </is>
      </c>
      <c r="C2697" s="42" t="n"/>
    </row>
    <row r="2698" ht="15" customHeight="1" s="37">
      <c r="A2698" s="42" t="inlineStr">
        <is>
          <t>marc jacobs perfume</t>
        </is>
      </c>
      <c r="B2698" s="42" t="inlineStr">
        <is>
          <t>marc jacobs perfume perfect</t>
        </is>
      </c>
      <c r="C2698" s="42" t="n"/>
    </row>
    <row r="2699" ht="15" customHeight="1" s="37">
      <c r="A2699" s="42" t="inlineStr">
        <is>
          <t>marc jacobs perfume</t>
        </is>
      </c>
      <c r="B2699" s="42" t="inlineStr">
        <is>
          <t>marc jacobs perfume for women</t>
        </is>
      </c>
      <c r="C2699" s="42" t="inlineStr">
        <is>
          <t>Yes</t>
        </is>
      </c>
    </row>
    <row r="2700" ht="15" customHeight="1" s="37">
      <c r="A2700" s="42" t="inlineStr">
        <is>
          <t>marc jacobs perfume</t>
        </is>
      </c>
      <c r="B2700" s="42" t="inlineStr">
        <is>
          <t>marc jacobs perfume set</t>
        </is>
      </c>
      <c r="C2700" s="42" t="n"/>
    </row>
    <row r="2701" ht="15" customHeight="1" s="37">
      <c r="A2701" s="42" t="inlineStr">
        <is>
          <t>marc jacobs perfume</t>
        </is>
      </c>
      <c r="B2701" s="42" t="inlineStr">
        <is>
          <t>marc jacobs perfume decadence</t>
        </is>
      </c>
      <c r="C2701" s="42" t="n"/>
    </row>
    <row r="2702" ht="15" customHeight="1" s="37">
      <c r="A2702" s="42" t="inlineStr">
        <is>
          <t>marc jacobs perfume</t>
        </is>
      </c>
      <c r="B2702" s="42" t="inlineStr">
        <is>
          <t>marc jacobs perfume murakami</t>
        </is>
      </c>
      <c r="C2702" s="42" t="n"/>
    </row>
    <row r="2703" ht="15" customHeight="1" s="37">
      <c r="A2703" s="42" t="inlineStr">
        <is>
          <t>marc jacobs perfume</t>
        </is>
      </c>
      <c r="B2703" s="42" t="inlineStr">
        <is>
          <t>marc jacobs perfume dot</t>
        </is>
      </c>
      <c r="C2703" s="42" t="n"/>
    </row>
    <row r="2704" ht="15" customHeight="1" s="37">
      <c r="A2704" s="42" t="inlineStr">
        <is>
          <t>marc jacobs perfume</t>
        </is>
      </c>
      <c r="B2704" s="42" t="inlineStr">
        <is>
          <t>marc jacobs perfume daisy dream</t>
        </is>
      </c>
      <c r="C2704" s="42" t="n"/>
    </row>
    <row r="2705" ht="15" customHeight="1" s="37">
      <c r="A2705" s="42" t="inlineStr">
        <is>
          <t>marc jacobs perfume</t>
        </is>
      </c>
      <c r="B2705" s="42" t="inlineStr">
        <is>
          <t>marc jacobs perfume daisy wild</t>
        </is>
      </c>
      <c r="C2705" s="42" t="n"/>
    </row>
    <row r="2706" ht="15" customHeight="1" s="37">
      <c r="A2706" s="42" t="inlineStr">
        <is>
          <t>montale aoud damascus</t>
        </is>
      </c>
      <c r="B2706" s="42" t="inlineStr">
        <is>
          <t>montale aoud damascus</t>
        </is>
      </c>
      <c r="C2706" s="42" t="inlineStr">
        <is>
          <t>Yes</t>
        </is>
      </c>
    </row>
    <row r="2707" ht="15" customHeight="1" s="37">
      <c r="A2707" s="42" t="inlineStr">
        <is>
          <t>montale aoud damascus</t>
        </is>
      </c>
      <c r="B2707" s="42" t="inlineStr">
        <is>
          <t>montale aoud damascus eau de parfum</t>
        </is>
      </c>
      <c r="C2707" s="42" t="inlineStr">
        <is>
          <t>Yes</t>
        </is>
      </c>
    </row>
    <row r="2708" ht="15" customHeight="1" s="37">
      <c r="A2708" s="42" t="inlineStr">
        <is>
          <t>montale aoud damascus</t>
        </is>
      </c>
      <c r="B2708" s="42" t="inlineStr">
        <is>
          <t>montale aoud damascus fragrantica</t>
        </is>
      </c>
      <c r="C2708" s="42" t="n"/>
    </row>
    <row r="2709" ht="15" customHeight="1" s="37">
      <c r="A2709" s="42" t="inlineStr">
        <is>
          <t>montale aoud damascus</t>
        </is>
      </c>
      <c r="B2709" s="42" t="inlineStr">
        <is>
          <t>montale aoud damascus edp</t>
        </is>
      </c>
      <c r="C2709" s="42" t="inlineStr">
        <is>
          <t>Yes</t>
        </is>
      </c>
    </row>
    <row r="2710" ht="15" customHeight="1" s="37">
      <c r="A2710" s="42" t="inlineStr">
        <is>
          <t>montale aoud damascus</t>
        </is>
      </c>
      <c r="B2710" s="42" t="inlineStr">
        <is>
          <t>montale aoud damascus review</t>
        </is>
      </c>
      <c r="C2710" s="42" t="inlineStr">
        <is>
          <t>Yes</t>
        </is>
      </c>
    </row>
    <row r="2711" ht="15" customHeight="1" s="37">
      <c r="A2711" s="42" t="inlineStr">
        <is>
          <t>montale aoud damascus</t>
        </is>
      </c>
      <c r="B2711" s="42" t="inlineStr">
        <is>
          <t>montale aoud damascus edp 100ml</t>
        </is>
      </c>
      <c r="C2711" s="42" t="inlineStr">
        <is>
          <t>Yes</t>
        </is>
      </c>
    </row>
    <row r="2712" ht="15" customHeight="1" s="37">
      <c r="A2712" s="42" t="inlineStr">
        <is>
          <t>montale aoud damascus</t>
        </is>
      </c>
      <c r="B2712" s="42" t="inlineStr">
        <is>
          <t>montale aoud damascus w edp 100ml</t>
        </is>
      </c>
      <c r="C2712" s="42" t="n"/>
    </row>
    <row r="2713" ht="15" customHeight="1" s="37">
      <c r="A2713" s="42" t="inlineStr">
        <is>
          <t>montale aoud damascus</t>
        </is>
      </c>
      <c r="B2713" s="42" t="inlineStr">
        <is>
          <t>montale aoud damascus perfume</t>
        </is>
      </c>
      <c r="C2713" s="42" t="inlineStr">
        <is>
          <t>Yes</t>
        </is>
      </c>
    </row>
    <row r="2714" ht="15" customHeight="1" s="37">
      <c r="A2714" s="42" t="inlineStr">
        <is>
          <t>montale aoud damascus</t>
        </is>
      </c>
      <c r="B2714" s="42" t="inlineStr">
        <is>
          <t>montale aoud damascus отзывы</t>
        </is>
      </c>
      <c r="C2714" s="42" t="inlineStr">
        <is>
          <t>Yes</t>
        </is>
      </c>
    </row>
    <row r="2715" ht="15" customHeight="1" s="37">
      <c r="A2715" s="42" t="inlineStr">
        <is>
          <t>montale aoud damascus</t>
        </is>
      </c>
      <c r="B2715" s="42" t="inlineStr">
        <is>
          <t>montale paris aoud damascus</t>
        </is>
      </c>
      <c r="C2715" s="42" t="n"/>
    </row>
    <row r="2716" ht="15" customHeight="1" s="37">
      <c r="A2716" s="42" t="inlineStr">
        <is>
          <t>montale aoud safran</t>
        </is>
      </c>
      <c r="B2716" s="42" t="inlineStr">
        <is>
          <t>montale aoud safran</t>
        </is>
      </c>
      <c r="C2716" s="42" t="inlineStr">
        <is>
          <t>Yes</t>
        </is>
      </c>
    </row>
    <row r="2717" ht="15" customHeight="1" s="37">
      <c r="A2717" s="42" t="inlineStr">
        <is>
          <t>montale aoud safran</t>
        </is>
      </c>
      <c r="B2717" s="42" t="inlineStr">
        <is>
          <t>montale aoud safran review</t>
        </is>
      </c>
      <c r="C2717" s="42" t="inlineStr">
        <is>
          <t>Yes</t>
        </is>
      </c>
    </row>
    <row r="2718" ht="15" customHeight="1" s="37">
      <c r="A2718" s="42" t="inlineStr">
        <is>
          <t>montale aoud safran</t>
        </is>
      </c>
      <c r="B2718" s="42" t="inlineStr">
        <is>
          <t>montale aoud safran fragrantica</t>
        </is>
      </c>
      <c r="C2718" s="42" t="n"/>
    </row>
    <row r="2719" ht="15" customHeight="1" s="37">
      <c r="A2719" s="42" t="inlineStr">
        <is>
          <t>montale aoud safran</t>
        </is>
      </c>
      <c r="B2719" s="42" t="inlineStr">
        <is>
          <t>montale aoud safran edp</t>
        </is>
      </c>
      <c r="C2719" s="42" t="inlineStr">
        <is>
          <t>Yes</t>
        </is>
      </c>
    </row>
    <row r="2720" ht="15" customHeight="1" s="37">
      <c r="A2720" s="42" t="inlineStr">
        <is>
          <t>montale aoud safran</t>
        </is>
      </c>
      <c r="B2720" s="42" t="inlineStr">
        <is>
          <t>montale aoud safran notes</t>
        </is>
      </c>
      <c r="C2720" s="42" t="inlineStr">
        <is>
          <t>Yes</t>
        </is>
      </c>
    </row>
    <row r="2721" ht="15" customHeight="1" s="37">
      <c r="A2721" s="42" t="inlineStr">
        <is>
          <t>montale aoud safran</t>
        </is>
      </c>
      <c r="B2721" s="42" t="inlineStr">
        <is>
          <t>montale aoud safran отзывы</t>
        </is>
      </c>
      <c r="C2721" s="42" t="inlineStr">
        <is>
          <t>Yes</t>
        </is>
      </c>
    </row>
    <row r="2722" ht="15" customHeight="1" s="37">
      <c r="A2722" s="42" t="inlineStr">
        <is>
          <t>montale aoud safran</t>
        </is>
      </c>
      <c r="B2722" s="42" t="inlineStr">
        <is>
          <t>montale aoud safran eau de parfum</t>
        </is>
      </c>
      <c r="C2722" s="42" t="inlineStr">
        <is>
          <t>Yes</t>
        </is>
      </c>
    </row>
    <row r="2723" ht="15" customHeight="1" s="37">
      <c r="A2723" s="42" t="inlineStr">
        <is>
          <t>montale aoud safran</t>
        </is>
      </c>
      <c r="B2723" s="42" t="inlineStr">
        <is>
          <t>montale aoud safran edp 100ml</t>
        </is>
      </c>
      <c r="C2723" s="42" t="inlineStr">
        <is>
          <t>Yes</t>
        </is>
      </c>
    </row>
    <row r="2724" ht="15" customHeight="1" s="37">
      <c r="A2724" s="42" t="inlineStr">
        <is>
          <t>montale aoud safran</t>
        </is>
      </c>
      <c r="B2724" s="42" t="inlineStr">
        <is>
          <t>montale aoud safran perfume</t>
        </is>
      </c>
      <c r="C2724" s="42" t="n"/>
    </row>
    <row r="2725" ht="15" customHeight="1" s="37">
      <c r="A2725" s="42" t="inlineStr">
        <is>
          <t>montale aoud safran</t>
        </is>
      </c>
      <c r="B2725" s="42" t="inlineStr">
        <is>
          <t>montale paris aoud safran 50ml</t>
        </is>
      </c>
      <c r="C2725" s="42" t="n"/>
    </row>
    <row r="2726" ht="15" customHeight="1" s="37">
      <c r="A2726" s="42" t="inlineStr">
        <is>
          <t>montale perfume</t>
        </is>
      </c>
      <c r="B2726" s="42" t="inlineStr">
        <is>
          <t>montale perfume</t>
        </is>
      </c>
      <c r="C2726" s="42" t="inlineStr">
        <is>
          <t>Yes</t>
        </is>
      </c>
    </row>
    <row r="2727" ht="15" customHeight="1" s="37">
      <c r="A2727" s="42" t="inlineStr">
        <is>
          <t>montale perfume</t>
        </is>
      </c>
      <c r="B2727" s="42" t="inlineStr">
        <is>
          <t>montale perfume price</t>
        </is>
      </c>
      <c r="C2727" s="42" t="n"/>
    </row>
    <row r="2728" ht="15" customHeight="1" s="37">
      <c r="A2728" s="42" t="inlineStr">
        <is>
          <t>montale perfume</t>
        </is>
      </c>
      <c r="B2728" s="42" t="inlineStr">
        <is>
          <t>montale perfume men</t>
        </is>
      </c>
      <c r="C2728" s="42" t="n"/>
    </row>
    <row r="2729" ht="15" customHeight="1" s="37">
      <c r="A2729" s="42" t="inlineStr">
        <is>
          <t>montale perfume</t>
        </is>
      </c>
      <c r="B2729" s="42" t="inlineStr">
        <is>
          <t>montale perfume arabian tonka</t>
        </is>
      </c>
      <c r="C2729" s="42" t="n"/>
    </row>
    <row r="2730" ht="15" customHeight="1" s="37">
      <c r="A2730" s="42" t="inlineStr">
        <is>
          <t>montale perfume</t>
        </is>
      </c>
      <c r="B2730" s="42" t="inlineStr">
        <is>
          <t>montale perfume roses musk</t>
        </is>
      </c>
      <c r="C2730" s="42" t="n"/>
    </row>
    <row r="2731" ht="15" customHeight="1" s="37">
      <c r="A2731" s="42" t="inlineStr">
        <is>
          <t>montale perfume</t>
        </is>
      </c>
      <c r="B2731" s="42" t="inlineStr">
        <is>
          <t>montale perfume women</t>
        </is>
      </c>
      <c r="C2731" s="42" t="n"/>
    </row>
    <row r="2732" ht="15" customHeight="1" s="37">
      <c r="A2732" s="42" t="inlineStr">
        <is>
          <t>montale perfume</t>
        </is>
      </c>
      <c r="B2732" s="42" t="inlineStr">
        <is>
          <t>montale perfume durban</t>
        </is>
      </c>
      <c r="C2732" s="42" t="n"/>
    </row>
    <row r="2733" ht="15" customHeight="1" s="37">
      <c r="A2733" s="42" t="inlineStr">
        <is>
          <t>montale perfume</t>
        </is>
      </c>
      <c r="B2733" s="42" t="inlineStr">
        <is>
          <t>montale perfume price in pakistan</t>
        </is>
      </c>
      <c r="C2733" s="42" t="n"/>
    </row>
    <row r="2734" ht="15" customHeight="1" s="37">
      <c r="A2734" s="42" t="inlineStr">
        <is>
          <t>montale perfume</t>
        </is>
      </c>
      <c r="B2734" s="42" t="inlineStr">
        <is>
          <t>montale perfume vanilla</t>
        </is>
      </c>
      <c r="C2734" s="42" t="n"/>
    </row>
    <row r="2735" ht="15" customHeight="1" s="37">
      <c r="A2735" s="42" t="inlineStr">
        <is>
          <t>montale perfume</t>
        </is>
      </c>
      <c r="B2735" s="42" t="inlineStr">
        <is>
          <t>montale perfume uk</t>
        </is>
      </c>
      <c r="C2735" s="42" t="n"/>
    </row>
    <row r="2736" ht="15" customHeight="1" s="37">
      <c r="A2736" s="42" t="inlineStr">
        <is>
          <t>nina ricci l'air du temps</t>
        </is>
      </c>
      <c r="B2736" s="42" t="inlineStr">
        <is>
          <t>nina ricci l'air du temps</t>
        </is>
      </c>
      <c r="C2736" s="42" t="inlineStr">
        <is>
          <t>Yes</t>
        </is>
      </c>
    </row>
    <row r="2737" ht="15" customHeight="1" s="37">
      <c r="A2737" s="42" t="inlineStr">
        <is>
          <t>nina ricci l'air du temps</t>
        </is>
      </c>
      <c r="B2737" s="42" t="inlineStr">
        <is>
          <t>nina ricci l'air du temps perfume</t>
        </is>
      </c>
      <c r="C2737" s="42" t="inlineStr">
        <is>
          <t>Yes</t>
        </is>
      </c>
    </row>
    <row r="2738" ht="15" customHeight="1" s="37">
      <c r="A2738" s="42" t="inlineStr">
        <is>
          <t>nina ricci l'air du temps</t>
        </is>
      </c>
      <c r="B2738" s="42" t="inlineStr">
        <is>
          <t>nina ricci l'air du temps eau de toilette</t>
        </is>
      </c>
      <c r="C2738" s="42" t="inlineStr">
        <is>
          <t>Yes</t>
        </is>
      </c>
    </row>
    <row r="2739" ht="15" customHeight="1" s="37">
      <c r="A2739" s="42" t="inlineStr">
        <is>
          <t>nina ricci l'air du temps</t>
        </is>
      </c>
      <c r="B2739" s="42" t="inlineStr">
        <is>
          <t>nina ricci l'air du temps eau de parfum</t>
        </is>
      </c>
      <c r="C2739" s="42" t="inlineStr">
        <is>
          <t>Yes</t>
        </is>
      </c>
    </row>
    <row r="2740" ht="15" customHeight="1" s="37">
      <c r="A2740" s="42" t="inlineStr">
        <is>
          <t>nina ricci l'air du temps</t>
        </is>
      </c>
      <c r="B2740" s="42" t="inlineStr">
        <is>
          <t>nina ricci l'air du temps 100ml</t>
        </is>
      </c>
      <c r="C2740" s="42" t="inlineStr">
        <is>
          <t>Yes</t>
        </is>
      </c>
    </row>
    <row r="2741" ht="15" customHeight="1" s="37">
      <c r="A2741" s="42" t="inlineStr">
        <is>
          <t>nina ricci l'air du temps</t>
        </is>
      </c>
      <c r="B2741" s="42" t="inlineStr">
        <is>
          <t>nina ricci l'air du temps eau de toilette 100ml</t>
        </is>
      </c>
      <c r="C2741" s="42" t="n"/>
    </row>
    <row r="2742" ht="15" customHeight="1" s="37">
      <c r="A2742" s="42" t="inlineStr">
        <is>
          <t>nina ricci l'air du temps</t>
        </is>
      </c>
      <c r="B2742" s="42" t="inlineStr">
        <is>
          <t>nina ricci l'air du temps fragrantica</t>
        </is>
      </c>
      <c r="C2742" s="42" t="n"/>
    </row>
    <row r="2743" ht="15" customHeight="1" s="37">
      <c r="A2743" s="42" t="inlineStr">
        <is>
          <t>nina ricci l'air du temps</t>
        </is>
      </c>
      <c r="B2743" s="42" t="inlineStr">
        <is>
          <t>nina ricci l'air du temps notes</t>
        </is>
      </c>
      <c r="C2743" s="42" t="inlineStr">
        <is>
          <t>Yes</t>
        </is>
      </c>
    </row>
    <row r="2744" ht="15" customHeight="1" s="37">
      <c r="A2744" s="42" t="inlineStr">
        <is>
          <t>nina ricci l'air du temps</t>
        </is>
      </c>
      <c r="B2744" s="42" t="inlineStr">
        <is>
          <t>nina ricci l'air du temps edp spray 100 ml</t>
        </is>
      </c>
      <c r="C2744" s="42" t="n"/>
    </row>
    <row r="2745" ht="15" customHeight="1" s="37">
      <c r="A2745" s="42" t="inlineStr">
        <is>
          <t>nina ricci l'air du temps</t>
        </is>
      </c>
      <c r="B2745" s="42" t="inlineStr">
        <is>
          <t>nina ricci l'air du temps white orchid</t>
        </is>
      </c>
      <c r="C2745" s="42" t="n"/>
    </row>
    <row r="2746" ht="15" customHeight="1" s="37">
      <c r="A2746" s="42" t="inlineStr">
        <is>
          <t>nina ricci nina illusion</t>
        </is>
      </c>
      <c r="B2746" s="42" t="inlineStr">
        <is>
          <t>nina ricci nina illusion</t>
        </is>
      </c>
      <c r="C2746" s="42" t="inlineStr">
        <is>
          <t>Yes</t>
        </is>
      </c>
    </row>
    <row r="2747" ht="15" customHeight="1" s="37">
      <c r="A2747" s="42" t="inlineStr">
        <is>
          <t>nina ricci nina illusion</t>
        </is>
      </c>
      <c r="B2747" s="42" t="inlineStr">
        <is>
          <t>nina ricci nina illusion eau de parfum</t>
        </is>
      </c>
      <c r="C2747" s="42" t="inlineStr">
        <is>
          <t>Yes</t>
        </is>
      </c>
    </row>
    <row r="2748" ht="15" customHeight="1" s="37">
      <c r="A2748" s="42" t="inlineStr">
        <is>
          <t>nina ricci nina illusion</t>
        </is>
      </c>
      <c r="B2748" s="42" t="inlineStr">
        <is>
          <t>nina ricci nina illusion eau de parfum fragrantica</t>
        </is>
      </c>
      <c r="C2748" s="42" t="n"/>
    </row>
    <row r="2749" ht="15" customHeight="1" s="37">
      <c r="A2749" s="42" t="inlineStr">
        <is>
          <t>nina ricci nina illusion</t>
        </is>
      </c>
      <c r="B2749" s="42" t="inlineStr">
        <is>
          <t>nina ricci nina illusion eau de parfum spray</t>
        </is>
      </c>
      <c r="C2749" s="42" t="n"/>
    </row>
    <row r="2750" ht="15" customHeight="1" s="37">
      <c r="A2750" s="42" t="inlineStr">
        <is>
          <t>nina ricci nina illusion</t>
        </is>
      </c>
      <c r="B2750" s="42" t="inlineStr">
        <is>
          <t>nina ricci nina illusion review</t>
        </is>
      </c>
      <c r="C2750" s="42" t="inlineStr">
        <is>
          <t>Yes</t>
        </is>
      </c>
    </row>
    <row r="2751" ht="15" customHeight="1" s="37">
      <c r="A2751" s="42" t="inlineStr">
        <is>
          <t>nina ricci nina illusion</t>
        </is>
      </c>
      <c r="B2751" s="42" t="inlineStr">
        <is>
          <t>nina ricci nina illusion отзывы</t>
        </is>
      </c>
      <c r="C2751" s="42" t="inlineStr">
        <is>
          <t>Yes</t>
        </is>
      </c>
    </row>
    <row r="2752" ht="15" customHeight="1" s="37">
      <c r="A2752" s="42" t="inlineStr">
        <is>
          <t>nina ricci nina illusion</t>
        </is>
      </c>
      <c r="B2752" s="42" t="inlineStr">
        <is>
          <t>nina ricci nina illusion edp</t>
        </is>
      </c>
      <c r="C2752" s="42" t="inlineStr">
        <is>
          <t>Yes</t>
        </is>
      </c>
    </row>
    <row r="2753" ht="15" customHeight="1" s="37">
      <c r="A2753" s="42" t="inlineStr">
        <is>
          <t>nina ricci nina illusion</t>
        </is>
      </c>
      <c r="B2753" s="42" t="inlineStr">
        <is>
          <t>nina ricci nina illusion eau de parfum 30 ml</t>
        </is>
      </c>
      <c r="C2753" s="42" t="inlineStr">
        <is>
          <t>Yes</t>
        </is>
      </c>
    </row>
    <row r="2754" ht="15" customHeight="1" s="37">
      <c r="A2754" s="42" t="inlineStr">
        <is>
          <t>nina ricci nina illusion</t>
        </is>
      </c>
      <c r="B2754" s="42" t="inlineStr">
        <is>
          <t>nina ricci nina illusion fragrantica</t>
        </is>
      </c>
      <c r="C2754" s="42" t="n"/>
    </row>
    <row r="2755" ht="15" customHeight="1" s="37">
      <c r="A2755" s="42" t="inlineStr">
        <is>
          <t>nina ricci nina illusion</t>
        </is>
      </c>
      <c r="B2755" s="42" t="inlineStr">
        <is>
          <t>nina ricci nina illusion купить</t>
        </is>
      </c>
      <c r="C2755" s="42" t="inlineStr">
        <is>
          <t>Yes</t>
        </is>
      </c>
    </row>
    <row r="2756" ht="15" customHeight="1" s="37">
      <c r="A2756" s="42" t="inlineStr">
        <is>
          <t>nina ricci nina precious gold</t>
        </is>
      </c>
      <c r="B2756" s="42" t="inlineStr">
        <is>
          <t>nina ricci nina precious gold</t>
        </is>
      </c>
      <c r="C2756" s="42" t="inlineStr">
        <is>
          <t>Yes</t>
        </is>
      </c>
    </row>
    <row r="2757" ht="15" customHeight="1" s="37">
      <c r="A2757" s="42" t="inlineStr">
        <is>
          <t>nina ricci nina precious gold</t>
        </is>
      </c>
      <c r="B2757" s="42" t="inlineStr">
        <is>
          <t>nina ricci nina precious gold eau de parfum</t>
        </is>
      </c>
      <c r="C2757" s="42" t="inlineStr">
        <is>
          <t>Yes</t>
        </is>
      </c>
    </row>
    <row r="2758" ht="15" customHeight="1" s="37">
      <c r="A2758" s="42" t="inlineStr">
        <is>
          <t>nina ricci nina precious gold</t>
        </is>
      </c>
      <c r="B2758" s="42" t="inlineStr">
        <is>
          <t>nina ricci nina precious gold edp</t>
        </is>
      </c>
      <c r="C2758" s="42" t="inlineStr">
        <is>
          <t>Yes</t>
        </is>
      </c>
    </row>
    <row r="2759" ht="15" customHeight="1" s="37">
      <c r="A2759" s="42" t="inlineStr">
        <is>
          <t>nina ricci nina precious gold</t>
        </is>
      </c>
      <c r="B2759" s="42" t="inlineStr">
        <is>
          <t>nina ricci precious gold notes</t>
        </is>
      </c>
      <c r="C2759" s="42" t="inlineStr">
        <is>
          <t>Yes</t>
        </is>
      </c>
    </row>
    <row r="2760" ht="15" customHeight="1" s="37">
      <c r="A2760" s="42" t="inlineStr">
        <is>
          <t>nina ricci nina precious gold</t>
        </is>
      </c>
      <c r="B2760" s="42" t="inlineStr">
        <is>
          <t>nina ricci perfume precious gold</t>
        </is>
      </c>
      <c r="C2760" s="42" t="inlineStr">
        <is>
          <t>Yes</t>
        </is>
      </c>
    </row>
    <row r="2761" ht="15" customHeight="1" s="37">
      <c r="A2761" s="42" t="inlineStr">
        <is>
          <t>nina ricci nina precious gold</t>
        </is>
      </c>
      <c r="B2761" s="42" t="inlineStr">
        <is>
          <t>nina ricci precious gold notas</t>
        </is>
      </c>
      <c r="C2761" s="42" t="n"/>
    </row>
    <row r="2762" ht="15" customHeight="1" s="37">
      <c r="A2762" s="42" t="inlineStr">
        <is>
          <t>nina ricci nina precious gold</t>
        </is>
      </c>
      <c r="B2762" s="42" t="inlineStr">
        <is>
          <t>nina ricci precious gold fragrantica</t>
        </is>
      </c>
      <c r="C2762" s="42" t="n"/>
    </row>
    <row r="2763" ht="15" customHeight="1" s="37">
      <c r="A2763" s="42" t="inlineStr">
        <is>
          <t>nina ricci nina precious gold</t>
        </is>
      </c>
      <c r="B2763" s="42" t="inlineStr">
        <is>
          <t>nina ricci precious gold resenha</t>
        </is>
      </c>
      <c r="C2763" s="42" t="n"/>
    </row>
    <row r="2764" ht="15" customHeight="1" s="37">
      <c r="A2764" s="42" t="inlineStr">
        <is>
          <t>nina ricci nina precious gold</t>
        </is>
      </c>
      <c r="B2764" s="42" t="inlineStr">
        <is>
          <t>nina ricci precious gold отзывы</t>
        </is>
      </c>
      <c r="C2764" s="42" t="inlineStr">
        <is>
          <t>Yes</t>
        </is>
      </c>
    </row>
    <row r="2765" ht="15" customHeight="1" s="37">
      <c r="A2765" s="42" t="inlineStr">
        <is>
          <t>nina ricci nina precious gold</t>
        </is>
      </c>
      <c r="B2765" s="42" t="inlineStr">
        <is>
          <t>nina ricci precious gold 50ml</t>
        </is>
      </c>
      <c r="C2765" s="42" t="inlineStr">
        <is>
          <t>Yes</t>
        </is>
      </c>
    </row>
    <row r="2766" ht="15" customHeight="1" s="37">
      <c r="A2766" s="42" t="inlineStr">
        <is>
          <t>nina ricci perfume</t>
        </is>
      </c>
      <c r="B2766" s="42" t="inlineStr">
        <is>
          <t>nina ricci perfume</t>
        </is>
      </c>
      <c r="C2766" s="42" t="inlineStr">
        <is>
          <t>Yes</t>
        </is>
      </c>
    </row>
    <row r="2767" ht="15" customHeight="1" s="37">
      <c r="A2767" s="42" t="inlineStr">
        <is>
          <t>nina ricci perfume</t>
        </is>
      </c>
      <c r="B2767" s="42" t="inlineStr">
        <is>
          <t>nina ricci perfume price</t>
        </is>
      </c>
      <c r="C2767" s="42" t="n"/>
    </row>
    <row r="2768" ht="15" customHeight="1" s="37">
      <c r="A2768" s="42" t="inlineStr">
        <is>
          <t>nina ricci perfume</t>
        </is>
      </c>
      <c r="B2768" s="42" t="inlineStr">
        <is>
          <t>nina ricci perfume original</t>
        </is>
      </c>
      <c r="C2768" s="42" t="n"/>
    </row>
    <row r="2769" ht="15" customHeight="1" s="37">
      <c r="A2769" s="42" t="inlineStr">
        <is>
          <t>nina ricci perfume</t>
        </is>
      </c>
      <c r="B2769" s="42" t="inlineStr">
        <is>
          <t>nina ricci perfume uk</t>
        </is>
      </c>
      <c r="C2769" s="42" t="n"/>
    </row>
    <row r="2770" ht="15" customHeight="1" s="37">
      <c r="A2770" s="42" t="inlineStr">
        <is>
          <t>nina ricci perfume</t>
        </is>
      </c>
      <c r="B2770" s="42" t="inlineStr">
        <is>
          <t>nina ricci perfume venus</t>
        </is>
      </c>
      <c r="C2770" s="42" t="n"/>
    </row>
    <row r="2771" ht="15" customHeight="1" s="37">
      <c r="A2771" s="42" t="inlineStr">
        <is>
          <t>nina ricci perfume</t>
        </is>
      </c>
      <c r="B2771" s="42" t="inlineStr">
        <is>
          <t>nina ricci perfume l'air du temps</t>
        </is>
      </c>
      <c r="C2771" s="42" t="n"/>
    </row>
    <row r="2772" ht="15" customHeight="1" s="37">
      <c r="A2772" s="42" t="inlineStr">
        <is>
          <t>nina ricci perfume</t>
        </is>
      </c>
      <c r="B2772" s="42" t="inlineStr">
        <is>
          <t>nina ricci perfume premier jour</t>
        </is>
      </c>
      <c r="C2772" s="42" t="n"/>
    </row>
    <row r="2773" ht="15" customHeight="1" s="37">
      <c r="A2773" s="42" t="inlineStr">
        <is>
          <t>nina ricci perfume</t>
        </is>
      </c>
      <c r="B2773" s="42" t="inlineStr">
        <is>
          <t>nina ricci perfume discontinued</t>
        </is>
      </c>
      <c r="C2773" s="42" t="n"/>
    </row>
    <row r="2774" ht="15" customHeight="1" s="37">
      <c r="A2774" s="42" t="inlineStr">
        <is>
          <t>nina ricci perfume</t>
        </is>
      </c>
      <c r="B2774" s="42" t="inlineStr">
        <is>
          <t>nina ricci perfume apple</t>
        </is>
      </c>
      <c r="C2774" s="42" t="n"/>
    </row>
    <row r="2775" ht="15" customHeight="1" s="37">
      <c r="A2775" s="42" t="inlineStr">
        <is>
          <t>nina ricci perfume</t>
        </is>
      </c>
      <c r="B2775" s="42" t="inlineStr">
        <is>
          <t>nina ricci perfume notes</t>
        </is>
      </c>
      <c r="C2775" s="42" t="n"/>
    </row>
    <row r="2776" ht="15" customHeight="1" s="37">
      <c r="A2776" s="42" t="inlineStr">
        <is>
          <t>paloma perfume</t>
        </is>
      </c>
      <c r="B2776" s="42" t="inlineStr">
        <is>
          <t>paloma perfume</t>
        </is>
      </c>
      <c r="C2776" s="42" t="inlineStr">
        <is>
          <t>Yes</t>
        </is>
      </c>
    </row>
    <row r="2777" ht="15" customHeight="1" s="37">
      <c r="A2777" s="42" t="inlineStr">
        <is>
          <t>paloma perfume</t>
        </is>
      </c>
      <c r="B2777" s="42" t="inlineStr">
        <is>
          <t>paloma perfume near me</t>
        </is>
      </c>
      <c r="C2777" s="42" t="n"/>
    </row>
    <row r="2778" ht="15" customHeight="1" s="37">
      <c r="A2778" s="42" t="inlineStr">
        <is>
          <t>paloma perfume</t>
        </is>
      </c>
      <c r="B2778" s="42" t="inlineStr">
        <is>
          <t>paloma perfume ulta</t>
        </is>
      </c>
      <c r="C2778" s="42" t="n"/>
    </row>
    <row r="2779" ht="15" customHeight="1" s="37">
      <c r="A2779" s="42" t="inlineStr">
        <is>
          <t>paloma perfume</t>
        </is>
      </c>
      <c r="B2779" s="42" t="inlineStr">
        <is>
          <t>paloma perfume shop</t>
        </is>
      </c>
      <c r="C2779" s="42" t="n"/>
    </row>
    <row r="2780" ht="15" customHeight="1" s="37">
      <c r="A2780" s="42" t="inlineStr">
        <is>
          <t>paloma perfume</t>
        </is>
      </c>
      <c r="B2780" s="42" t="inlineStr">
        <is>
          <t>paloma perfume notes</t>
        </is>
      </c>
      <c r="C2780" s="42" t="n"/>
    </row>
    <row r="2781" ht="15" customHeight="1" s="37">
      <c r="A2781" s="42" t="inlineStr">
        <is>
          <t>paloma perfume</t>
        </is>
      </c>
      <c r="B2781" s="42" t="inlineStr">
        <is>
          <t>paloma perfume melbourne</t>
        </is>
      </c>
      <c r="C2781" s="42" t="n"/>
    </row>
    <row r="2782" ht="15" customHeight="1" s="37">
      <c r="A2782" s="42" t="inlineStr">
        <is>
          <t>paloma perfume</t>
        </is>
      </c>
      <c r="B2782" s="42" t="inlineStr">
        <is>
          <t>paloma perfume sydney</t>
        </is>
      </c>
      <c r="C2782" s="42" t="n"/>
    </row>
    <row r="2783" ht="15" customHeight="1" s="37">
      <c r="A2783" s="42" t="inlineStr">
        <is>
          <t>paloma perfume</t>
        </is>
      </c>
      <c r="B2783" s="42" t="inlineStr">
        <is>
          <t>paloma perfume dupe</t>
        </is>
      </c>
      <c r="C2783" s="42" t="n"/>
    </row>
    <row r="2784" ht="15" customHeight="1" s="37">
      <c r="A2784" s="42" t="inlineStr">
        <is>
          <t>paloma perfume</t>
        </is>
      </c>
      <c r="B2784" s="42" t="inlineStr">
        <is>
          <t>what perfume is similar to paloma picasso</t>
        </is>
      </c>
      <c r="C2784" s="42" t="n"/>
    </row>
    <row r="2785" ht="15" customHeight="1" s="37">
      <c r="A2785" s="42" t="inlineStr">
        <is>
          <t>paloma perfume</t>
        </is>
      </c>
      <c r="B2785" s="42" t="inlineStr">
        <is>
          <t>what does paloma picasso perfume smell like</t>
        </is>
      </c>
      <c r="C2785" s="42" t="n"/>
    </row>
    <row r="2786" ht="15" customHeight="1" s="37">
      <c r="A2786" s="42" t="inlineStr">
        <is>
          <t>paloma picasso</t>
        </is>
      </c>
      <c r="B2786" s="42" t="inlineStr">
        <is>
          <t>paloma picasso</t>
        </is>
      </c>
      <c r="C2786" s="42" t="inlineStr">
        <is>
          <t>Yes</t>
        </is>
      </c>
    </row>
    <row r="2787" ht="15" customHeight="1" s="37">
      <c r="A2787" s="42" t="inlineStr">
        <is>
          <t>paloma picasso</t>
        </is>
      </c>
      <c r="B2787" s="42" t="inlineStr">
        <is>
          <t>paloma picasso perfume</t>
        </is>
      </c>
      <c r="C2787" s="42" t="inlineStr">
        <is>
          <t>Yes</t>
        </is>
      </c>
    </row>
    <row r="2788" ht="15" customHeight="1" s="37">
      <c r="A2788" s="42" t="inlineStr">
        <is>
          <t>paloma picasso</t>
        </is>
      </c>
      <c r="B2788" s="42" t="inlineStr">
        <is>
          <t>paloma picasso jewelry</t>
        </is>
      </c>
      <c r="C2788" s="42" t="n"/>
    </row>
    <row r="2789" ht="15" customHeight="1" s="37">
      <c r="A2789" s="42" t="inlineStr">
        <is>
          <t>paloma picasso</t>
        </is>
      </c>
      <c r="B2789" s="42" t="inlineStr">
        <is>
          <t>paloma picasso bag</t>
        </is>
      </c>
      <c r="C2789" s="42" t="n"/>
    </row>
    <row r="2790" ht="15" customHeight="1" s="37">
      <c r="A2790" s="42" t="inlineStr">
        <is>
          <t>paloma picasso</t>
        </is>
      </c>
      <c r="B2790" s="42" t="inlineStr">
        <is>
          <t>paloma picasso purse</t>
        </is>
      </c>
      <c r="C2790" s="42" t="n"/>
    </row>
    <row r="2791" ht="15" customHeight="1" s="37">
      <c r="A2791" s="42" t="inlineStr">
        <is>
          <t>paloma picasso</t>
        </is>
      </c>
      <c r="B2791" s="42" t="inlineStr">
        <is>
          <t>paloma picasso minotaure</t>
        </is>
      </c>
      <c r="C2791" s="42" t="n"/>
    </row>
    <row r="2792" ht="15" customHeight="1" s="37">
      <c r="A2792" s="42" t="inlineStr">
        <is>
          <t>paloma picasso</t>
        </is>
      </c>
      <c r="B2792" s="42" t="inlineStr">
        <is>
          <t>paloma picasso net worth</t>
        </is>
      </c>
      <c r="C2792" s="42" t="n"/>
    </row>
    <row r="2793" ht="15" customHeight="1" s="37">
      <c r="A2793" s="42" t="inlineStr">
        <is>
          <t>paloma picasso</t>
        </is>
      </c>
      <c r="B2793" s="42" t="inlineStr">
        <is>
          <t>paloma picasso perfume 100ml</t>
        </is>
      </c>
      <c r="C2793" s="42" t="inlineStr">
        <is>
          <t>Yes</t>
        </is>
      </c>
    </row>
    <row r="2794" ht="15" customHeight="1" s="37">
      <c r="A2794" s="42" t="inlineStr">
        <is>
          <t>paloma picasso</t>
        </is>
      </c>
      <c r="B2794" s="42" t="inlineStr">
        <is>
          <t>paloma picasso tiffany necklace</t>
        </is>
      </c>
      <c r="C2794" s="42" t="n"/>
    </row>
    <row r="2795" ht="15" customHeight="1" s="37">
      <c r="A2795" s="42" t="inlineStr">
        <is>
          <t>paloma picasso</t>
        </is>
      </c>
      <c r="B2795" s="42" t="inlineStr">
        <is>
          <t>paloma picasso eau de parfum</t>
        </is>
      </c>
      <c r="C2795" s="42" t="inlineStr">
        <is>
          <t>Yes</t>
        </is>
      </c>
    </row>
    <row r="2796" ht="15" customHeight="1" s="37">
      <c r="A2796" s="42" t="inlineStr">
        <is>
          <t>philipp plein no limits after shave balm</t>
        </is>
      </c>
      <c r="B2796" s="42" t="inlineStr">
        <is>
          <t>philipp plein no limits after shave balm</t>
        </is>
      </c>
      <c r="C2796" s="42" t="inlineStr">
        <is>
          <t>Yes</t>
        </is>
      </c>
    </row>
    <row r="2797" ht="15" customHeight="1" s="37">
      <c r="A2797" s="42" t="inlineStr">
        <is>
          <t>philipp plein no limits deodorant stick</t>
        </is>
      </c>
      <c r="B2797" s="42" t="inlineStr">
        <is>
          <t>philipp plein no limits deodorant stick</t>
        </is>
      </c>
      <c r="C2797" s="42" t="inlineStr">
        <is>
          <t>Yes</t>
        </is>
      </c>
    </row>
    <row r="2798" ht="15" customHeight="1" s="37">
      <c r="A2798" s="42" t="inlineStr">
        <is>
          <t>philipp plein no limits deodorant stick</t>
        </is>
      </c>
      <c r="B2798" s="42" t="inlineStr">
        <is>
          <t>philipp plein no limits deo stick</t>
        </is>
      </c>
      <c r="C2798" s="42" t="n"/>
    </row>
    <row r="2799" ht="15" customHeight="1" s="37">
      <c r="A2799" s="42" t="inlineStr">
        <is>
          <t>philipp plein no limits super fresh</t>
        </is>
      </c>
      <c r="B2799" s="42" t="inlineStr">
        <is>
          <t>philipp plein no limits super fresh</t>
        </is>
      </c>
      <c r="C2799" s="42" t="inlineStr">
        <is>
          <t>Yes</t>
        </is>
      </c>
    </row>
    <row r="2800" ht="15" customHeight="1" s="37">
      <c r="A2800" s="42" t="inlineStr">
        <is>
          <t>philipp plein no limits super fresh</t>
        </is>
      </c>
      <c r="B2800" s="42" t="inlineStr">
        <is>
          <t>philipp plein no limits super fresh fragrantica</t>
        </is>
      </c>
      <c r="C2800" s="42" t="n"/>
    </row>
    <row r="2801" ht="15" customHeight="1" s="37">
      <c r="A2801" s="42" t="inlineStr">
        <is>
          <t>philipp plein no limits super fresh</t>
        </is>
      </c>
      <c r="B2801" s="42" t="inlineStr">
        <is>
          <t>philipp plein no limits super fresh review</t>
        </is>
      </c>
      <c r="C2801" s="42" t="n"/>
    </row>
    <row r="2802" ht="15" customHeight="1" s="37">
      <c r="A2802" s="42" t="inlineStr">
        <is>
          <t>philipp plein no limits super fresh</t>
        </is>
      </c>
      <c r="B2802" s="42" t="inlineStr">
        <is>
          <t>philipp plein no limits super fresh 50ml</t>
        </is>
      </c>
      <c r="C2802" s="42" t="n"/>
    </row>
    <row r="2803" ht="15" customHeight="1" s="37">
      <c r="A2803" s="42" t="inlineStr">
        <is>
          <t>philipp plein no limits super fresh</t>
        </is>
      </c>
      <c r="B2803" s="42" t="inlineStr">
        <is>
          <t>philipp plein no limits super fresh eau de toilette 50ml</t>
        </is>
      </c>
      <c r="C2803" s="42" t="n"/>
    </row>
    <row r="2804" ht="15" customHeight="1" s="37">
      <c r="A2804" s="42" t="inlineStr">
        <is>
          <t>philipp plein no limits super fresh</t>
        </is>
      </c>
      <c r="B2804" s="42" t="inlineStr">
        <is>
          <t>philipp plein no limits super fresh m edt 90ml</t>
        </is>
      </c>
      <c r="C2804" s="42" t="n"/>
    </row>
    <row r="2805" ht="15" customHeight="1" s="37">
      <c r="A2805" s="42" t="inlineStr">
        <is>
          <t>philipp plein no limits super fresh</t>
        </is>
      </c>
      <c r="B2805" s="42" t="inlineStr">
        <is>
          <t>philipp plein no limits super fresh 90ml</t>
        </is>
      </c>
      <c r="C2805" s="42" t="n"/>
    </row>
    <row r="2806" ht="15" customHeight="1" s="37">
      <c r="A2806" s="42" t="inlineStr">
        <is>
          <t>philipp plein no limits super fresh</t>
        </is>
      </c>
      <c r="B2806" s="42" t="inlineStr">
        <is>
          <t>philipp plein no limits super fresh edt</t>
        </is>
      </c>
      <c r="C2806" s="42" t="n"/>
    </row>
    <row r="2807" ht="15" customHeight="1" s="37">
      <c r="A2807" s="42" t="inlineStr">
        <is>
          <t>philipp plein no limits super fresh</t>
        </is>
      </c>
      <c r="B2807" s="42" t="inlineStr">
        <is>
          <t>philipp plein no limits super fresh eau de parfum</t>
        </is>
      </c>
      <c r="C2807" s="42" t="n"/>
    </row>
    <row r="2808" ht="15" customHeight="1" s="37">
      <c r="A2808" s="42" t="inlineStr">
        <is>
          <t>philipp plein no limits super fresh</t>
        </is>
      </c>
      <c r="B2808" s="42" t="inlineStr">
        <is>
          <t>philipp plein no limit$ super fresh eau de toilette</t>
        </is>
      </c>
      <c r="C2808" s="42" t="n"/>
    </row>
    <row r="2809" ht="15" customHeight="1" s="37">
      <c r="A2809" s="42" t="inlineStr">
        <is>
          <t>philipp plein perfume</t>
        </is>
      </c>
      <c r="B2809" s="42" t="inlineStr">
        <is>
          <t>philipp plein perfume</t>
        </is>
      </c>
      <c r="C2809" s="42" t="inlineStr">
        <is>
          <t>Yes</t>
        </is>
      </c>
    </row>
    <row r="2810" ht="15" customHeight="1" s="37">
      <c r="A2810" s="42" t="inlineStr">
        <is>
          <t>philipp plein perfume</t>
        </is>
      </c>
      <c r="B2810" s="42" t="inlineStr">
        <is>
          <t>philipp plein perfume no limit</t>
        </is>
      </c>
      <c r="C2810" s="42" t="n"/>
    </row>
    <row r="2811" ht="15" customHeight="1" s="37">
      <c r="A2811" s="42" t="inlineStr">
        <is>
          <t>philipp plein perfume</t>
        </is>
      </c>
      <c r="B2811" s="42" t="inlineStr">
        <is>
          <t>philipp plein perfume fatale</t>
        </is>
      </c>
      <c r="C2811" s="42" t="n"/>
    </row>
    <row r="2812" ht="15" customHeight="1" s="37">
      <c r="A2812" s="42" t="inlineStr">
        <is>
          <t>philipp plein perfume</t>
        </is>
      </c>
      <c r="B2812" s="42" t="inlineStr">
        <is>
          <t>philipp plein perfume no limit gold</t>
        </is>
      </c>
      <c r="C2812" s="42" t="n"/>
    </row>
    <row r="2813" ht="15" customHeight="1" s="37">
      <c r="A2813" s="42" t="inlineStr">
        <is>
          <t>philipp plein perfume</t>
        </is>
      </c>
      <c r="B2813" s="42" t="inlineStr">
        <is>
          <t>philipp plein perfume no limit notes</t>
        </is>
      </c>
      <c r="C2813" s="42" t="n"/>
    </row>
    <row r="2814" ht="15" customHeight="1" s="37">
      <c r="A2814" s="42" t="inlineStr">
        <is>
          <t>philipp plein perfume</t>
        </is>
      </c>
      <c r="B2814" s="42" t="inlineStr">
        <is>
          <t>philipp plein perfume skull</t>
        </is>
      </c>
      <c r="C2814" s="42" t="n"/>
    </row>
    <row r="2815" ht="15" customHeight="1" s="37">
      <c r="A2815" s="42" t="inlineStr">
        <is>
          <t>philipp plein perfume</t>
        </is>
      </c>
      <c r="B2815" s="42" t="inlineStr">
        <is>
          <t>philipp plein perfume price</t>
        </is>
      </c>
      <c r="C2815" s="42" t="n"/>
    </row>
    <row r="2816" ht="15" customHeight="1" s="37">
      <c r="A2816" s="42" t="inlineStr">
        <is>
          <t>philipp plein perfume</t>
        </is>
      </c>
      <c r="B2816" s="42" t="inlineStr">
        <is>
          <t>philipp plein perfume woman</t>
        </is>
      </c>
      <c r="C2816" s="42" t="n"/>
    </row>
    <row r="2817" ht="15" customHeight="1" s="37">
      <c r="A2817" s="42" t="inlineStr">
        <is>
          <t>philipp plein perfume</t>
        </is>
      </c>
      <c r="B2817" s="42" t="inlineStr">
        <is>
          <t>philipp plein perfume fatale rose</t>
        </is>
      </c>
      <c r="C2817" s="42" t="n"/>
    </row>
    <row r="2818" ht="15" customHeight="1" s="37">
      <c r="A2818" s="42" t="inlineStr">
        <is>
          <t>philipp plein perfume</t>
        </is>
      </c>
      <c r="B2818" s="42" t="inlineStr">
        <is>
          <t>philipp plein perfume review</t>
        </is>
      </c>
      <c r="C2818" s="42" t="n"/>
    </row>
    <row r="2819" ht="15" customHeight="1" s="37">
      <c r="A2819" s="42" t="inlineStr">
        <is>
          <t>rihanah ajwaa oud</t>
        </is>
      </c>
      <c r="B2819" s="42" t="inlineStr">
        <is>
          <t>rihanah ajwaa oud</t>
        </is>
      </c>
      <c r="C2819" s="42" t="inlineStr">
        <is>
          <t>Yes</t>
        </is>
      </c>
    </row>
    <row r="2820" ht="15" customHeight="1" s="37">
      <c r="A2820" s="42" t="inlineStr">
        <is>
          <t>rihanah ajwaa oud</t>
        </is>
      </c>
      <c r="B2820" s="42" t="inlineStr">
        <is>
          <t>was ist oud</t>
        </is>
      </c>
      <c r="C2820" s="42" t="n"/>
    </row>
    <row r="2821" ht="15" customHeight="1" s="37">
      <c r="A2821" s="42" t="inlineStr">
        <is>
          <t>rihanah ajwaa oud</t>
        </is>
      </c>
      <c r="B2821" s="42" t="inlineStr">
        <is>
          <t>hoe oud is boef</t>
        </is>
      </c>
      <c r="C2821" s="42" t="n"/>
    </row>
    <row r="2822" ht="15" customHeight="1" s="37">
      <c r="A2822" s="42" t="inlineStr">
        <is>
          <t>rihanah ajwaa oud</t>
        </is>
      </c>
      <c r="B2822" s="42" t="inlineStr">
        <is>
          <t>oud nedir</t>
        </is>
      </c>
      <c r="C2822" s="42" t="n"/>
    </row>
    <row r="2823" ht="15" customHeight="1" s="37">
      <c r="A2823" s="42" t="inlineStr">
        <is>
          <t>rihanah ajwaa oud</t>
        </is>
      </c>
      <c r="B2823" s="42" t="inlineStr">
        <is>
          <t>oud elite locations</t>
        </is>
      </c>
      <c r="C2823" s="42" t="n"/>
    </row>
    <row r="2824" ht="15" customHeight="1" s="37">
      <c r="A2824" s="42" t="inlineStr">
        <is>
          <t>rihanah perfume</t>
        </is>
      </c>
      <c r="B2824" s="42" t="inlineStr">
        <is>
          <t>rihanah perfume</t>
        </is>
      </c>
      <c r="C2824" s="42" t="inlineStr">
        <is>
          <t>Yes</t>
        </is>
      </c>
    </row>
    <row r="2825" ht="15" customHeight="1" s="37">
      <c r="A2825" s="42" t="inlineStr">
        <is>
          <t>rihanah perfume</t>
        </is>
      </c>
      <c r="B2825" s="42" t="inlineStr">
        <is>
          <t>rihanah perfume arabe</t>
        </is>
      </c>
      <c r="C2825" s="42" t="n"/>
    </row>
    <row r="2826" ht="15" customHeight="1" s="37">
      <c r="A2826" s="42" t="inlineStr">
        <is>
          <t>rihanah perfume</t>
        </is>
      </c>
      <c r="B2826" s="42" t="inlineStr">
        <is>
          <t>rihanah oud perfume</t>
        </is>
      </c>
      <c r="C2826" s="42" t="n"/>
    </row>
    <row r="2827" ht="15" customHeight="1" s="37">
      <c r="A2827" s="42" t="inlineStr">
        <is>
          <t>rihanah perfume</t>
        </is>
      </c>
      <c r="B2827" s="42" t="inlineStr">
        <is>
          <t>rihanah mukhalat perfume</t>
        </is>
      </c>
      <c r="C2827" s="42" t="n"/>
    </row>
    <row r="2828" ht="15" customHeight="1" s="37">
      <c r="A2828" s="42" t="inlineStr">
        <is>
          <t>rihanah perfume</t>
        </is>
      </c>
      <c r="B2828" s="42" t="inlineStr">
        <is>
          <t>rihanah private musk perfume</t>
        </is>
      </c>
      <c r="C2828" s="42" t="n"/>
    </row>
    <row r="2829" ht="15" customHeight="1" s="37">
      <c r="A2829" s="42" t="inlineStr">
        <is>
          <t>rihanah perfume</t>
        </is>
      </c>
      <c r="B2829" s="42" t="inlineStr">
        <is>
          <t>rihanah secret musk perfume</t>
        </is>
      </c>
      <c r="C2829" s="42" t="n"/>
    </row>
    <row r="2830" ht="15" customHeight="1" s="37">
      <c r="A2830" s="42" t="inlineStr">
        <is>
          <t>rihanah perfume</t>
        </is>
      </c>
      <c r="B2830" s="42" t="inlineStr">
        <is>
          <t>rihanah ispahan oud perfume</t>
        </is>
      </c>
      <c r="C2830" s="42" t="n"/>
    </row>
    <row r="2831" ht="15" customHeight="1" s="37">
      <c r="A2831" s="42" t="inlineStr">
        <is>
          <t>rihanah perfume</t>
        </is>
      </c>
      <c r="B2831" s="42" t="inlineStr">
        <is>
          <t>rihanah private oud perfume</t>
        </is>
      </c>
      <c r="C2831" s="42" t="n"/>
    </row>
    <row r="2832" ht="15" customHeight="1" s="37">
      <c r="A2832" s="42" t="inlineStr">
        <is>
          <t>rihanah perfume</t>
        </is>
      </c>
      <c r="B2832" s="42" t="inlineStr">
        <is>
          <t>perfume rihanah areej al zahoor</t>
        </is>
      </c>
      <c r="C2832" s="42" t="n"/>
    </row>
    <row r="2833" ht="15" customHeight="1" s="37">
      <c r="A2833" s="42" t="inlineStr">
        <is>
          <t>rihanah perfume</t>
        </is>
      </c>
      <c r="B2833" s="42" t="inlineStr">
        <is>
          <t>strongest perfume in the world</t>
        </is>
      </c>
      <c r="C2833" s="42" t="n"/>
    </row>
    <row r="2834" ht="15" customHeight="1" s="37">
      <c r="A2834" s="42" t="inlineStr">
        <is>
          <t>roll it 1</t>
        </is>
      </c>
      <c r="B2834" s="42" t="inlineStr">
        <is>
          <t>roll it 1</t>
        </is>
      </c>
      <c r="C2834" s="42" t="inlineStr">
        <is>
          <t>Yes</t>
        </is>
      </c>
    </row>
    <row r="2835" ht="15" customHeight="1" s="37">
      <c r="A2835" s="42" t="inlineStr">
        <is>
          <t>roll it 1</t>
        </is>
      </c>
      <c r="B2835" s="42" t="inlineStr">
        <is>
          <t>roll it 18</t>
        </is>
      </c>
      <c r="C2835" s="42" t="inlineStr">
        <is>
          <t>Yes</t>
        </is>
      </c>
    </row>
    <row r="2836" ht="15" customHeight="1" s="37">
      <c r="A2836" s="42" t="inlineStr">
        <is>
          <t>roll it 1</t>
        </is>
      </c>
      <c r="B2836" s="42" t="inlineStr">
        <is>
          <t>roll it 1 jo milano</t>
        </is>
      </c>
      <c r="C2836" s="42" t="n"/>
    </row>
    <row r="2837" ht="15" customHeight="1" s="37">
      <c r="A2837" s="42" t="inlineStr">
        <is>
          <t>roll it 1</t>
        </is>
      </c>
      <c r="B2837" s="42" t="inlineStr">
        <is>
          <t>roll it 18 dupe of</t>
        </is>
      </c>
      <c r="C2837" s="42" t="inlineStr">
        <is>
          <t>Yes</t>
        </is>
      </c>
    </row>
    <row r="2838" ht="15" customHeight="1" s="37">
      <c r="A2838" s="42" t="inlineStr">
        <is>
          <t>roll it 1</t>
        </is>
      </c>
      <c r="B2838" s="42" t="inlineStr">
        <is>
          <t>roll it 1 dupe of</t>
        </is>
      </c>
      <c r="C2838" s="42" t="inlineStr">
        <is>
          <t>Yes</t>
        </is>
      </c>
    </row>
    <row r="2839" ht="15" customHeight="1" s="37">
      <c r="A2839" s="42" t="inlineStr">
        <is>
          <t>roll it 1</t>
        </is>
      </c>
      <c r="B2839" s="42" t="inlineStr">
        <is>
          <t>roll it 18 jo milano</t>
        </is>
      </c>
      <c r="C2839" s="42" t="n"/>
    </row>
    <row r="2840" ht="15" customHeight="1" s="37">
      <c r="A2840" s="42" t="inlineStr">
        <is>
          <t>roll it 1</t>
        </is>
      </c>
      <c r="B2840" s="42" t="inlineStr">
        <is>
          <t>roll it 1 cologne</t>
        </is>
      </c>
      <c r="C2840" s="42" t="n"/>
    </row>
    <row r="2841" ht="15" customHeight="1" s="37">
      <c r="A2841" s="42" t="inlineStr">
        <is>
          <t>roll it 1</t>
        </is>
      </c>
      <c r="B2841" s="42" t="inlineStr">
        <is>
          <t>roll it number 1</t>
        </is>
      </c>
      <c r="C2841" s="42" t="n"/>
    </row>
    <row r="2842" ht="15" customHeight="1" s="37">
      <c r="A2842" s="42" t="inlineStr">
        <is>
          <t>roll it 1</t>
        </is>
      </c>
      <c r="B2842" s="42" t="inlineStr">
        <is>
          <t>roll it no 1</t>
        </is>
      </c>
      <c r="C2842" s="42" t="n"/>
    </row>
    <row r="2843" ht="15" customHeight="1" s="37">
      <c r="A2843" s="42" t="inlineStr">
        <is>
          <t>roll it 1</t>
        </is>
      </c>
      <c r="B2843" s="42" t="inlineStr">
        <is>
          <t>roll 1d20</t>
        </is>
      </c>
      <c r="C2843" s="42" t="n"/>
    </row>
    <row r="2844" ht="15" customHeight="1" s="37">
      <c r="A2844" s="42" t="inlineStr">
        <is>
          <t>s.t. dupont perfect tobacco</t>
        </is>
      </c>
      <c r="B2844" s="42" t="inlineStr">
        <is>
          <t>s.t. dupont perfect tobacco</t>
        </is>
      </c>
      <c r="C2844" s="42" t="inlineStr">
        <is>
          <t>Yes</t>
        </is>
      </c>
    </row>
    <row r="2845" ht="15" customHeight="1" s="37">
      <c r="A2845" s="42" t="inlineStr">
        <is>
          <t>s.t. dupont perfect tobacco</t>
        </is>
      </c>
      <c r="B2845" s="42" t="inlineStr">
        <is>
          <t>st dupont perfect tobacco price</t>
        </is>
      </c>
      <c r="C2845" s="42" t="n"/>
    </row>
    <row r="2846" ht="15" customHeight="1" s="37">
      <c r="A2846" s="42" t="inlineStr">
        <is>
          <t>s.t. dupont perfect tobacco</t>
        </is>
      </c>
      <c r="B2846" s="42" t="inlineStr">
        <is>
          <t>st dupont perfect tobacco eau de parfum</t>
        </is>
      </c>
      <c r="C2846" s="42" t="n"/>
    </row>
    <row r="2847" ht="15" customHeight="1" s="37">
      <c r="A2847" s="42" t="inlineStr">
        <is>
          <t>s.t. dupont perfect tobacco</t>
        </is>
      </c>
      <c r="B2847" s="42" t="inlineStr">
        <is>
          <t>st dupont perfect tobacco edp</t>
        </is>
      </c>
      <c r="C2847" s="42" t="n"/>
    </row>
    <row r="2848" ht="15" customHeight="1" s="37">
      <c r="A2848" s="42" t="inlineStr">
        <is>
          <t>s.t. dupont perfect tobacco</t>
        </is>
      </c>
      <c r="B2848" s="42" t="inlineStr">
        <is>
          <t>st dupont perfect tobacco review</t>
        </is>
      </c>
      <c r="C2848" s="42" t="n"/>
    </row>
    <row r="2849" ht="15" customHeight="1" s="37">
      <c r="A2849" s="42" t="inlineStr">
        <is>
          <t>s.t. dupont perfect tobacco</t>
        </is>
      </c>
      <c r="B2849" s="42" t="inlineStr">
        <is>
          <t>st dupont perfect tobacco edp 100ml</t>
        </is>
      </c>
      <c r="C2849" s="42" t="n"/>
    </row>
    <row r="2850" ht="15" customHeight="1" s="37">
      <c r="A2850" s="42" t="inlineStr">
        <is>
          <t>s.t. dupont perfect tobacco</t>
        </is>
      </c>
      <c r="B2850" s="42" t="inlineStr">
        <is>
          <t>st dupont perfect tobacco fragrantica</t>
        </is>
      </c>
      <c r="C2850" s="42" t="n"/>
    </row>
    <row r="2851" ht="15" customHeight="1" s="37">
      <c r="A2851" s="42" t="inlineStr">
        <is>
          <t>s.t. dupont perfect tobacco</t>
        </is>
      </c>
      <c r="B2851" s="42" t="inlineStr">
        <is>
          <t>st dupont perfect tobacco 100ml</t>
        </is>
      </c>
      <c r="C2851" s="42" t="n"/>
    </row>
    <row r="2852" ht="15" customHeight="1" s="37">
      <c r="A2852" s="42" t="inlineStr">
        <is>
          <t>s.t. dupont perfect tobacco</t>
        </is>
      </c>
      <c r="B2852" s="42" t="inlineStr">
        <is>
          <t>st dupont perfect tobacco notes</t>
        </is>
      </c>
      <c r="C2852" s="42" t="n"/>
    </row>
    <row r="2853" ht="15" customHeight="1" s="37">
      <c r="A2853" s="42" t="inlineStr">
        <is>
          <t>s.t. dupont perfect tobacco</t>
        </is>
      </c>
      <c r="B2853" s="42" t="inlineStr">
        <is>
          <t>st dupont perfect tobacco qatar</t>
        </is>
      </c>
      <c r="C2853" s="42" t="n"/>
    </row>
    <row r="2854" ht="15" customHeight="1" s="37">
      <c r="A2854" s="42" t="inlineStr">
        <is>
          <t>s.t. dupont perfume</t>
        </is>
      </c>
      <c r="B2854" s="42" t="inlineStr">
        <is>
          <t>s.t. dupont perfume</t>
        </is>
      </c>
      <c r="C2854" s="42" t="inlineStr">
        <is>
          <t>Yes</t>
        </is>
      </c>
    </row>
    <row r="2855" ht="15" customHeight="1" s="37">
      <c r="A2855" s="42" t="inlineStr">
        <is>
          <t>s.t. dupont perfume</t>
        </is>
      </c>
      <c r="B2855" s="42" t="inlineStr">
        <is>
          <t>s.t. dupont perfume women</t>
        </is>
      </c>
      <c r="C2855" s="42" t="n"/>
    </row>
    <row r="2856" ht="15" customHeight="1" s="37">
      <c r="A2856" s="42" t="inlineStr">
        <is>
          <t>s.t. dupont perfume</t>
        </is>
      </c>
      <c r="B2856" s="42" t="inlineStr">
        <is>
          <t>s.t. dupont perfume kuwait</t>
        </is>
      </c>
      <c r="C2856" s="42" t="n"/>
    </row>
    <row r="2857" ht="15" customHeight="1" s="37">
      <c r="A2857" s="42" t="inlineStr">
        <is>
          <t>s.t. dupont perfume</t>
        </is>
      </c>
      <c r="B2857" s="42" t="inlineStr">
        <is>
          <t>s.t. dupont perfume men</t>
        </is>
      </c>
      <c r="C2857" s="42" t="n"/>
    </row>
    <row r="2858" ht="15" customHeight="1" s="37">
      <c r="A2858" s="42" t="inlineStr">
        <is>
          <t>s.t. dupont perfume</t>
        </is>
      </c>
      <c r="B2858" s="42" t="inlineStr">
        <is>
          <t>s.t. dupont perfume essence pure</t>
        </is>
      </c>
      <c r="C2858" s="42" t="n"/>
    </row>
    <row r="2859" ht="15" customHeight="1" s="37">
      <c r="A2859" s="42" t="inlineStr">
        <is>
          <t>s.t. dupont perfume</t>
        </is>
      </c>
      <c r="B2859" s="42" t="inlineStr">
        <is>
          <t>s t dupont paris perfume price</t>
        </is>
      </c>
      <c r="C2859" s="42" t="n"/>
    </row>
    <row r="2860" ht="15" customHeight="1" s="37">
      <c r="A2860" s="42" t="inlineStr">
        <is>
          <t>s.t. dupont perfume</t>
        </is>
      </c>
      <c r="B2860" s="42" t="inlineStr">
        <is>
          <t>are st dupont pens good</t>
        </is>
      </c>
      <c r="C2860" s="42" t="n"/>
    </row>
    <row r="2861" ht="15" customHeight="1" s="37">
      <c r="A2861" s="42" t="inlineStr">
        <is>
          <t>s.t. dupont pure bloom</t>
        </is>
      </c>
      <c r="B2861" s="42" t="inlineStr">
        <is>
          <t>st dupont pure bloom</t>
        </is>
      </c>
      <c r="C2861" s="42" t="n"/>
    </row>
    <row r="2862" ht="15" customHeight="1" s="37">
      <c r="A2862" s="42" t="inlineStr">
        <is>
          <t>s.t. dupont pure bloom</t>
        </is>
      </c>
      <c r="B2862" s="42" t="inlineStr">
        <is>
          <t>st dupont pure bloom perfume</t>
        </is>
      </c>
      <c r="C2862" s="42" t="n"/>
    </row>
    <row r="2863" ht="15" customHeight="1" s="37">
      <c r="A2863" s="42" t="inlineStr">
        <is>
          <t>s.t. dupont pure bloom</t>
        </is>
      </c>
      <c r="B2863" s="42" t="inlineStr">
        <is>
          <t>st dupont pure bloom eau de parfum</t>
        </is>
      </c>
      <c r="C2863" s="42" t="n"/>
    </row>
    <row r="2864" ht="15" customHeight="1" s="37">
      <c r="A2864" s="42" t="inlineStr">
        <is>
          <t>s.t. dupont pure bloom</t>
        </is>
      </c>
      <c r="B2864" s="42" t="inlineStr">
        <is>
          <t>st dupont pure bloom notes</t>
        </is>
      </c>
      <c r="C2864" s="42" t="n"/>
    </row>
    <row r="2865" ht="15" customHeight="1" s="37">
      <c r="A2865" s="42" t="inlineStr">
        <is>
          <t>s.t. dupont pure bloom</t>
        </is>
      </c>
      <c r="B2865" s="42" t="inlineStr">
        <is>
          <t>st dupont pure bloom fragrantica</t>
        </is>
      </c>
      <c r="C2865" s="42" t="n"/>
    </row>
    <row r="2866" ht="15" customHeight="1" s="37">
      <c r="A2866" s="42" t="inlineStr">
        <is>
          <t>s.t. dupont royal amber</t>
        </is>
      </c>
      <c r="B2866" s="42" t="inlineStr">
        <is>
          <t>st dupont royal amber</t>
        </is>
      </c>
      <c r="C2866" s="42" t="n"/>
    </row>
    <row r="2867" ht="15" customHeight="1" s="37">
      <c r="A2867" s="42" t="inlineStr">
        <is>
          <t>s.t. dupont royal amber</t>
        </is>
      </c>
      <c r="B2867" s="42" t="inlineStr">
        <is>
          <t>st dupont royal amber price</t>
        </is>
      </c>
      <c r="C2867" s="42" t="n"/>
    </row>
    <row r="2868" ht="15" customHeight="1" s="37">
      <c r="A2868" s="42" t="inlineStr">
        <is>
          <t>s.t. dupont royal amber</t>
        </is>
      </c>
      <c r="B2868" s="42" t="inlineStr">
        <is>
          <t>st dupont royal amber perfume</t>
        </is>
      </c>
      <c r="C2868" s="42" t="n"/>
    </row>
    <row r="2869" ht="15" customHeight="1" s="37">
      <c r="A2869" s="42" t="inlineStr">
        <is>
          <t>s.t. dupont royal amber</t>
        </is>
      </c>
      <c r="B2869" s="42" t="inlineStr">
        <is>
          <t>st dupont royal amber edp</t>
        </is>
      </c>
      <c r="C2869" s="42" t="n"/>
    </row>
    <row r="2870" ht="15" customHeight="1" s="37">
      <c r="A2870" s="42" t="inlineStr">
        <is>
          <t>s.t. dupont royal amber</t>
        </is>
      </c>
      <c r="B2870" s="42" t="inlineStr">
        <is>
          <t>st dupont royal amber edp 100ml</t>
        </is>
      </c>
      <c r="C2870" s="42" t="n"/>
    </row>
    <row r="2871" ht="15" customHeight="1" s="37">
      <c r="A2871" s="42" t="inlineStr">
        <is>
          <t>s.t. dupont royal amber</t>
        </is>
      </c>
      <c r="B2871" s="42" t="inlineStr">
        <is>
          <t>st dupont royal amber 100ml</t>
        </is>
      </c>
      <c r="C2871" s="42" t="n"/>
    </row>
    <row r="2872" ht="15" customHeight="1" s="37">
      <c r="A2872" s="42" t="inlineStr">
        <is>
          <t>sap le roi</t>
        </is>
      </c>
      <c r="B2872" s="42" t="inlineStr">
        <is>
          <t>sap le roi</t>
        </is>
      </c>
      <c r="C2872" s="42" t="inlineStr">
        <is>
          <t>Yes</t>
        </is>
      </c>
    </row>
    <row r="2873" ht="15" customHeight="1" s="37">
      <c r="A2873" s="42" t="inlineStr">
        <is>
          <t>sap le roi</t>
        </is>
      </c>
      <c r="B2873" s="42" t="inlineStr">
        <is>
          <t>sap le roi extrait de parfum</t>
        </is>
      </c>
      <c r="C2873" s="42" t="inlineStr">
        <is>
          <t>Yes</t>
        </is>
      </c>
    </row>
    <row r="2874" ht="15" customHeight="1" s="37">
      <c r="A2874" s="42" t="inlineStr">
        <is>
          <t>sap le roi</t>
        </is>
      </c>
      <c r="B2874" s="42" t="inlineStr">
        <is>
          <t>sap le roi perfume</t>
        </is>
      </c>
      <c r="C2874" s="42" t="inlineStr">
        <is>
          <t>Yes</t>
        </is>
      </c>
    </row>
    <row r="2875" ht="15" customHeight="1" s="37">
      <c r="A2875" s="42" t="inlineStr">
        <is>
          <t>sap le roi</t>
        </is>
      </c>
      <c r="B2875" s="42" t="inlineStr">
        <is>
          <t>sap le roi fragrantica</t>
        </is>
      </c>
      <c r="C2875" s="42" t="n"/>
    </row>
    <row r="2876" ht="15" customHeight="1" s="37">
      <c r="A2876" s="42" t="inlineStr">
        <is>
          <t>sap le roi</t>
        </is>
      </c>
      <c r="B2876" s="42" t="inlineStr">
        <is>
          <t>sap le roi extrait</t>
        </is>
      </c>
      <c r="C2876" s="42" t="inlineStr">
        <is>
          <t>Yes</t>
        </is>
      </c>
    </row>
    <row r="2877" ht="15" customHeight="1" s="37">
      <c r="A2877" s="42" t="inlineStr">
        <is>
          <t>sap le roi</t>
        </is>
      </c>
      <c r="B2877" s="42" t="inlineStr">
        <is>
          <t>sap le roi parfum</t>
        </is>
      </c>
      <c r="C2877" s="42" t="inlineStr">
        <is>
          <t>Yes</t>
        </is>
      </c>
    </row>
    <row r="2878" ht="15" customHeight="1" s="37">
      <c r="A2878" s="42" t="inlineStr">
        <is>
          <t>sap le roi</t>
        </is>
      </c>
      <c r="B2878" s="42" t="inlineStr">
        <is>
          <t>sap le roi extrait de parfum 100ml</t>
        </is>
      </c>
      <c r="C2878" s="42" t="inlineStr">
        <is>
          <t>Yes</t>
        </is>
      </c>
    </row>
    <row r="2879" ht="15" customHeight="1" s="37">
      <c r="A2879" s="42" t="inlineStr">
        <is>
          <t>sap le roi</t>
        </is>
      </c>
      <c r="B2879" s="42" t="inlineStr">
        <is>
          <t>j sap le roi</t>
        </is>
      </c>
      <c r="C2879" s="42" t="n"/>
    </row>
    <row r="2880" ht="15" customHeight="1" s="37">
      <c r="A2880" s="42" t="inlineStr">
        <is>
          <t>sap le roi</t>
        </is>
      </c>
      <c r="B2880" s="42" t="inlineStr">
        <is>
          <t>sap unisex le roi extrait de parfum</t>
        </is>
      </c>
      <c r="C2880" s="42" t="n"/>
    </row>
    <row r="2881" ht="15" customHeight="1" s="37">
      <c r="A2881" s="42" t="inlineStr">
        <is>
          <t>sap le roi</t>
        </is>
      </c>
      <c r="B2881" s="42" t="inlineStr">
        <is>
          <t>sap villeneuve le roi</t>
        </is>
      </c>
      <c r="C2881" s="42" t="n"/>
    </row>
    <row r="2882" ht="15" customHeight="1" s="37">
      <c r="A2882" s="42" t="inlineStr">
        <is>
          <t>sap patchouli intense</t>
        </is>
      </c>
      <c r="B2882" s="42" t="inlineStr">
        <is>
          <t>sap patchouli intense</t>
        </is>
      </c>
      <c r="C2882" s="42" t="inlineStr">
        <is>
          <t>Yes</t>
        </is>
      </c>
    </row>
    <row r="2883" ht="15" customHeight="1" s="37">
      <c r="A2883" s="42" t="inlineStr">
        <is>
          <t>sap patchouli intense</t>
        </is>
      </c>
      <c r="B2883" s="42" t="inlineStr">
        <is>
          <t>sap patchouli intense extrait de parfum 100ml</t>
        </is>
      </c>
      <c r="C2883" s="42" t="inlineStr">
        <is>
          <t>Yes</t>
        </is>
      </c>
    </row>
    <row r="2884" ht="15" customHeight="1" s="37">
      <c r="A2884" s="42" t="inlineStr">
        <is>
          <t>sap patchouli intense</t>
        </is>
      </c>
      <c r="B2884" s="42" t="inlineStr">
        <is>
          <t>sap patchouli intense extrait de parfum</t>
        </is>
      </c>
      <c r="C2884" s="42" t="inlineStr">
        <is>
          <t>Yes</t>
        </is>
      </c>
    </row>
    <row r="2885" ht="15" customHeight="1" s="37">
      <c r="A2885" s="42" t="inlineStr">
        <is>
          <t>sap patchouli intense</t>
        </is>
      </c>
      <c r="B2885" s="42" t="inlineStr">
        <is>
          <t>sap perfume patchouli intense</t>
        </is>
      </c>
      <c r="C2885" s="42" t="inlineStr">
        <is>
          <t>Yes</t>
        </is>
      </c>
    </row>
    <row r="2886" ht="15" customHeight="1" s="37">
      <c r="A2886" s="42" t="inlineStr">
        <is>
          <t>sap patchouli intense</t>
        </is>
      </c>
      <c r="B2886" s="42" t="inlineStr">
        <is>
          <t>what scents go with patchouli</t>
        </is>
      </c>
      <c r="C2886" s="42" t="n"/>
    </row>
    <row r="2887" ht="15" customHeight="1" s="37">
      <c r="A2887" s="42" t="inlineStr">
        <is>
          <t>sap patchouli intense</t>
        </is>
      </c>
      <c r="B2887" s="42" t="inlineStr">
        <is>
          <t>what scent pairs well with patchouli</t>
        </is>
      </c>
      <c r="C2887" s="42" t="n"/>
    </row>
    <row r="2888" ht="15" customHeight="1" s="37">
      <c r="A2888" s="42" t="inlineStr">
        <is>
          <t>sap patchouli intense</t>
        </is>
      </c>
      <c r="B2888" s="42" t="inlineStr">
        <is>
          <t>patchouli scent meaning</t>
        </is>
      </c>
      <c r="C2888" s="42" t="n"/>
    </row>
    <row r="2889" ht="15" customHeight="1" s="37">
      <c r="A2889" s="42" t="inlineStr">
        <is>
          <t>sap patchouli intense</t>
        </is>
      </c>
      <c r="B2889" s="42" t="inlineStr">
        <is>
          <t>describe the smell of patchouli</t>
        </is>
      </c>
      <c r="C2889" s="42" t="n"/>
    </row>
    <row r="2890" ht="15" customHeight="1" s="37">
      <c r="A2890" s="42" t="inlineStr">
        <is>
          <t>sap perfume</t>
        </is>
      </c>
      <c r="B2890" s="42" t="inlineStr">
        <is>
          <t>sap perfume</t>
        </is>
      </c>
      <c r="C2890" s="42" t="inlineStr">
        <is>
          <t>Yes</t>
        </is>
      </c>
    </row>
    <row r="2891" ht="15" customHeight="1" s="37">
      <c r="A2891" s="42" t="inlineStr">
        <is>
          <t>sap perfume</t>
        </is>
      </c>
      <c r="B2891" s="42" t="inlineStr">
        <is>
          <t>sap perfume dubai</t>
        </is>
      </c>
      <c r="C2891" s="42" t="n"/>
    </row>
    <row r="2892" ht="15" customHeight="1" s="37">
      <c r="A2892" s="42" t="inlineStr">
        <is>
          <t>sap perfume</t>
        </is>
      </c>
      <c r="B2892" s="42" t="inlineStr">
        <is>
          <t>sap perfume vert club</t>
        </is>
      </c>
      <c r="C2892" s="42" t="inlineStr">
        <is>
          <t>Yes</t>
        </is>
      </c>
    </row>
    <row r="2893" ht="15" customHeight="1" s="37">
      <c r="A2893" s="42" t="inlineStr">
        <is>
          <t>sap perfume</t>
        </is>
      </c>
      <c r="B2893" s="42" t="inlineStr">
        <is>
          <t>sap perfume patchouli intense</t>
        </is>
      </c>
      <c r="C2893" s="42" t="inlineStr">
        <is>
          <t>Yes</t>
        </is>
      </c>
    </row>
    <row r="2894" ht="15" customHeight="1" s="37">
      <c r="A2894" s="42" t="inlineStr">
        <is>
          <t>sap perfume</t>
        </is>
      </c>
      <c r="B2894" s="42" t="inlineStr">
        <is>
          <t>sap perfume le roi</t>
        </is>
      </c>
      <c r="C2894" s="42" t="n"/>
    </row>
    <row r="2895" ht="15" customHeight="1" s="37">
      <c r="A2895" s="42" t="inlineStr">
        <is>
          <t>sap perfume</t>
        </is>
      </c>
      <c r="B2895" s="42" t="inlineStr">
        <is>
          <t>sap perfume oud leopard</t>
        </is>
      </c>
      <c r="C2895" s="42" t="n"/>
    </row>
    <row r="2896" ht="15" customHeight="1" s="37">
      <c r="A2896" s="42" t="inlineStr">
        <is>
          <t>sap perfume</t>
        </is>
      </c>
      <c r="B2896" s="42" t="inlineStr">
        <is>
          <t>sap perfume saffron oud</t>
        </is>
      </c>
      <c r="C2896" s="42" t="inlineStr">
        <is>
          <t>Yes</t>
        </is>
      </c>
    </row>
    <row r="2897" ht="15" customHeight="1" s="37">
      <c r="A2897" s="42" t="inlineStr">
        <is>
          <t>sap perfume</t>
        </is>
      </c>
      <c r="B2897" s="42" t="inlineStr">
        <is>
          <t>sap perfumes deira</t>
        </is>
      </c>
      <c r="C2897" s="42" t="n"/>
    </row>
    <row r="2898" ht="15" customHeight="1" s="37">
      <c r="A2898" s="42" t="inlineStr">
        <is>
          <t>sap perfume</t>
        </is>
      </c>
      <c r="B2898" s="42" t="inlineStr">
        <is>
          <t>tree sap perfume</t>
        </is>
      </c>
      <c r="C2898" s="42" t="n"/>
    </row>
    <row r="2899" ht="15" customHeight="1" s="37">
      <c r="A2899" s="42" t="inlineStr">
        <is>
          <t>sap perfume</t>
        </is>
      </c>
      <c r="B2899" s="42" t="inlineStr">
        <is>
          <t>pine sap perfume</t>
        </is>
      </c>
      <c r="C2899" s="42" t="n"/>
    </row>
    <row r="2900" ht="15" customHeight="1" s="37">
      <c r="A2900" s="42" t="inlineStr">
        <is>
          <t>sap saffron oud</t>
        </is>
      </c>
      <c r="B2900" s="42" t="inlineStr">
        <is>
          <t>sap saffron oud</t>
        </is>
      </c>
      <c r="C2900" s="42" t="inlineStr">
        <is>
          <t>Yes</t>
        </is>
      </c>
    </row>
    <row r="2901" ht="15" customHeight="1" s="37">
      <c r="A2901" s="42" t="inlineStr">
        <is>
          <t>sap saffron oud</t>
        </is>
      </c>
      <c r="B2901" s="42" t="inlineStr">
        <is>
          <t>sap saffron oud extrait de parfum</t>
        </is>
      </c>
      <c r="C2901" s="42" t="inlineStr">
        <is>
          <t>Yes</t>
        </is>
      </c>
    </row>
    <row r="2902" ht="15" customHeight="1" s="37">
      <c r="A2902" s="42" t="inlineStr">
        <is>
          <t>sap saffron oud</t>
        </is>
      </c>
      <c r="B2902" s="42" t="inlineStr">
        <is>
          <t>sap perfume saffron oud</t>
        </is>
      </c>
      <c r="C2902" s="42" t="inlineStr">
        <is>
          <t>Yes</t>
        </is>
      </c>
    </row>
    <row r="2903" ht="15" customHeight="1" s="37">
      <c r="A2903" s="42" t="inlineStr">
        <is>
          <t>sap saffron oud</t>
        </is>
      </c>
      <c r="B2903" s="42" t="inlineStr">
        <is>
          <t>j sap saffron oud</t>
        </is>
      </c>
      <c r="C2903" s="42" t="n"/>
    </row>
    <row r="2904" ht="15" customHeight="1" s="37">
      <c r="A2904" s="42" t="inlineStr">
        <is>
          <t>sap vert club</t>
        </is>
      </c>
      <c r="B2904" s="42" t="inlineStr">
        <is>
          <t>sap vert club</t>
        </is>
      </c>
      <c r="C2904" s="42" t="inlineStr">
        <is>
          <t>Yes</t>
        </is>
      </c>
    </row>
    <row r="2905" ht="15" customHeight="1" s="37">
      <c r="A2905" s="42" t="inlineStr">
        <is>
          <t>sap vert club</t>
        </is>
      </c>
      <c r="B2905" s="42" t="inlineStr">
        <is>
          <t>sap perfume vert club</t>
        </is>
      </c>
      <c r="C2905" s="42" t="inlineStr">
        <is>
          <t>Yes</t>
        </is>
      </c>
    </row>
    <row r="2906" ht="15" customHeight="1" s="37">
      <c r="A2906" s="42" t="inlineStr">
        <is>
          <t>sap vert club</t>
        </is>
      </c>
      <c r="B2906" s="42" t="inlineStr">
        <is>
          <t>j sap vert club</t>
        </is>
      </c>
      <c r="C2906" s="42" t="n"/>
    </row>
    <row r="2907" ht="15" customHeight="1" s="37">
      <c r="A2907" s="42" t="inlineStr">
        <is>
          <t>serge lutens la fille de berlin</t>
        </is>
      </c>
      <c r="B2907" s="42" t="inlineStr">
        <is>
          <t>serge lutens la fille de berlin</t>
        </is>
      </c>
      <c r="C2907" s="42" t="inlineStr">
        <is>
          <t>Yes</t>
        </is>
      </c>
    </row>
    <row r="2908" ht="15" customHeight="1" s="37">
      <c r="A2908" s="42" t="inlineStr">
        <is>
          <t>serge lutens la fille de berlin</t>
        </is>
      </c>
      <c r="B2908" s="42" t="inlineStr">
        <is>
          <t>serge lutens la fille de berlin fragrantica</t>
        </is>
      </c>
      <c r="C2908" s="42" t="n"/>
    </row>
    <row r="2909" ht="15" customHeight="1" s="37">
      <c r="A2909" s="42" t="inlineStr">
        <is>
          <t>serge lutens la fille de berlin</t>
        </is>
      </c>
      <c r="B2909" s="42" t="inlineStr">
        <is>
          <t>serge lutens la fille de berlin notes</t>
        </is>
      </c>
      <c r="C2909" s="42" t="inlineStr">
        <is>
          <t>Yes</t>
        </is>
      </c>
    </row>
    <row r="2910" ht="15" customHeight="1" s="37">
      <c r="A2910" s="42" t="inlineStr">
        <is>
          <t>serge lutens la fille de berlin</t>
        </is>
      </c>
      <c r="B2910" s="42" t="inlineStr">
        <is>
          <t>serge lutens la fille de berlin eau de parfum</t>
        </is>
      </c>
      <c r="C2910" s="42" t="inlineStr">
        <is>
          <t>Yes</t>
        </is>
      </c>
    </row>
    <row r="2911" ht="15" customHeight="1" s="37">
      <c r="A2911" s="42" t="inlineStr">
        <is>
          <t>serge lutens la fille de berlin</t>
        </is>
      </c>
      <c r="B2911" s="42" t="inlineStr">
        <is>
          <t>serge lutens la fille de berlin review</t>
        </is>
      </c>
      <c r="C2911" s="42" t="inlineStr">
        <is>
          <t>Yes</t>
        </is>
      </c>
    </row>
    <row r="2912" ht="15" customHeight="1" s="37">
      <c r="A2912" s="42" t="inlineStr">
        <is>
          <t>serge lutens la fille de berlin</t>
        </is>
      </c>
      <c r="B2912" s="42" t="inlineStr">
        <is>
          <t>serge lutens la fille de berlin edp</t>
        </is>
      </c>
      <c r="C2912" s="42" t="inlineStr">
        <is>
          <t>Yes</t>
        </is>
      </c>
    </row>
    <row r="2913" ht="15" customHeight="1" s="37">
      <c r="A2913" s="42" t="inlineStr">
        <is>
          <t>serge lutens la fille de berlin</t>
        </is>
      </c>
      <c r="B2913" s="42" t="inlineStr">
        <is>
          <t>serge lutens la fille de berlin sample</t>
        </is>
      </c>
      <c r="C2913" s="42" t="n"/>
    </row>
    <row r="2914" ht="15" customHeight="1" s="37">
      <c r="A2914" s="42" t="inlineStr">
        <is>
          <t>serge lutens la fille de berlin</t>
        </is>
      </c>
      <c r="B2914" s="42" t="inlineStr">
        <is>
          <t>serge lutens la fille de berlin dupe</t>
        </is>
      </c>
      <c r="C2914" s="42" t="inlineStr">
        <is>
          <t>Yes</t>
        </is>
      </c>
    </row>
    <row r="2915" ht="15" customHeight="1" s="37">
      <c r="A2915" s="42" t="inlineStr">
        <is>
          <t>serge lutens la fille de berlin</t>
        </is>
      </c>
      <c r="B2915" s="42" t="inlineStr">
        <is>
          <t>serge lutens la fille de berlin 100ml</t>
        </is>
      </c>
      <c r="C2915" s="42" t="inlineStr">
        <is>
          <t>Yes</t>
        </is>
      </c>
    </row>
    <row r="2916" ht="15" customHeight="1" s="37">
      <c r="A2916" s="42" t="inlineStr">
        <is>
          <t>serge lutens la fille de berlin</t>
        </is>
      </c>
      <c r="B2916" s="42" t="inlineStr">
        <is>
          <t>serge lutens la fille de berlin parfumo</t>
        </is>
      </c>
      <c r="C2916" s="42" t="n"/>
    </row>
    <row r="2917" ht="15" customHeight="1" s="37">
      <c r="A2917" s="42" t="inlineStr">
        <is>
          <t>serge lutens perfume</t>
        </is>
      </c>
      <c r="B2917" s="42" t="inlineStr">
        <is>
          <t>serge lutens perfume</t>
        </is>
      </c>
      <c r="C2917" s="42" t="inlineStr">
        <is>
          <t>Yes</t>
        </is>
      </c>
    </row>
    <row r="2918" ht="15" customHeight="1" s="37">
      <c r="A2918" s="42" t="inlineStr">
        <is>
          <t>serge lutens perfume</t>
        </is>
      </c>
      <c r="B2918" s="42" t="inlineStr">
        <is>
          <t>serge lutens perfume price</t>
        </is>
      </c>
      <c r="C2918" s="42" t="n"/>
    </row>
    <row r="2919" ht="15" customHeight="1" s="37">
      <c r="A2919" s="42" t="inlineStr">
        <is>
          <t>serge lutens perfume</t>
        </is>
      </c>
      <c r="B2919" s="42" t="inlineStr">
        <is>
          <t>serge lutens perfume chergui</t>
        </is>
      </c>
      <c r="C2919" s="42" t="n"/>
    </row>
    <row r="2920" ht="15" customHeight="1" s="37">
      <c r="A2920" s="42" t="inlineStr">
        <is>
          <t>serge lutens perfume</t>
        </is>
      </c>
      <c r="B2920" s="42" t="inlineStr">
        <is>
          <t>serge lutens perfume samples</t>
        </is>
      </c>
      <c r="C2920" s="42" t="n"/>
    </row>
    <row r="2921" ht="15" customHeight="1" s="37">
      <c r="A2921" s="42" t="inlineStr">
        <is>
          <t>serge lutens perfume</t>
        </is>
      </c>
      <c r="B2921" s="42" t="inlineStr">
        <is>
          <t>serge lutens perfume review</t>
        </is>
      </c>
      <c r="C2921" s="42" t="n"/>
    </row>
    <row r="2922" ht="15" customHeight="1" s="37">
      <c r="A2922" s="42" t="inlineStr">
        <is>
          <t>serge lutens perfume</t>
        </is>
      </c>
      <c r="B2922" s="42" t="inlineStr">
        <is>
          <t>serge lutens perfume l'orpheline</t>
        </is>
      </c>
      <c r="C2922" s="42" t="n"/>
    </row>
    <row r="2923" ht="15" customHeight="1" s="37">
      <c r="A2923" s="42" t="inlineStr">
        <is>
          <t>serge lutens perfume</t>
        </is>
      </c>
      <c r="B2923" s="42" t="inlineStr">
        <is>
          <t>serge lutens perfume ambre sultan</t>
        </is>
      </c>
      <c r="C2923" s="42" t="n"/>
    </row>
    <row r="2924" ht="15" customHeight="1" s="37">
      <c r="A2924" s="42" t="inlineStr">
        <is>
          <t>serge lutens perfume</t>
        </is>
      </c>
      <c r="B2924" s="42" t="inlineStr">
        <is>
          <t>serge lutens perfume a la nuit</t>
        </is>
      </c>
      <c r="C2924" s="42" t="n"/>
    </row>
    <row r="2925" ht="15" customHeight="1" s="37">
      <c r="A2925" s="42" t="inlineStr">
        <is>
          <t>serge lutens perfume</t>
        </is>
      </c>
      <c r="B2925" s="42" t="inlineStr">
        <is>
          <t>serge lutens perfume reddit</t>
        </is>
      </c>
      <c r="C2925" s="42" t="n"/>
    </row>
    <row r="2926" ht="15" customHeight="1" s="37">
      <c r="A2926" s="42" t="inlineStr">
        <is>
          <t>serge lutens perfume</t>
        </is>
      </c>
      <c r="B2926" s="42" t="inlineStr">
        <is>
          <t>serge lutens perfume ecrin de fumee</t>
        </is>
      </c>
      <c r="C2926" s="42" t="n"/>
    </row>
    <row r="2927" ht="15" customHeight="1" s="37">
      <c r="A2927" s="42" t="inlineStr">
        <is>
          <t>shiseido perfume</t>
        </is>
      </c>
      <c r="B2927" s="42" t="inlineStr">
        <is>
          <t>shiseido perfume</t>
        </is>
      </c>
      <c r="C2927" s="42" t="inlineStr">
        <is>
          <t>Yes</t>
        </is>
      </c>
    </row>
    <row r="2928" ht="15" customHeight="1" s="37">
      <c r="A2928" s="42" t="inlineStr">
        <is>
          <t>shiseido perfume</t>
        </is>
      </c>
      <c r="B2928" s="42" t="inlineStr">
        <is>
          <t>shiseido perfume zen</t>
        </is>
      </c>
      <c r="C2928" s="42" t="n"/>
    </row>
    <row r="2929" ht="15" customHeight="1" s="37">
      <c r="A2929" s="42" t="inlineStr">
        <is>
          <t>shiseido perfume</t>
        </is>
      </c>
      <c r="B2929" s="42" t="inlineStr">
        <is>
          <t>shiseido perfume ginza</t>
        </is>
      </c>
      <c r="C2929" s="42" t="n"/>
    </row>
    <row r="2930" ht="15" customHeight="1" s="37">
      <c r="A2930" s="42" t="inlineStr">
        <is>
          <t>shiseido perfume</t>
        </is>
      </c>
      <c r="B2930" s="42" t="inlineStr">
        <is>
          <t>shiseido perfume discontinued</t>
        </is>
      </c>
      <c r="C2930" s="42" t="n"/>
    </row>
    <row r="2931" ht="15" customHeight="1" s="37">
      <c r="A2931" s="42" t="inlineStr">
        <is>
          <t>shiseido perfume</t>
        </is>
      </c>
      <c r="B2931" s="42" t="inlineStr">
        <is>
          <t>shiseido perfume price</t>
        </is>
      </c>
      <c r="C2931" s="42" t="n"/>
    </row>
    <row r="2932" ht="15" customHeight="1" s="37">
      <c r="A2932" s="42" t="inlineStr">
        <is>
          <t>shiseido perfume</t>
        </is>
      </c>
      <c r="B2932" s="42" t="inlineStr">
        <is>
          <t>shiseido perfume men</t>
        </is>
      </c>
      <c r="C2932" s="42" t="n"/>
    </row>
    <row r="2933" ht="15" customHeight="1" s="37">
      <c r="A2933" s="42" t="inlineStr">
        <is>
          <t>shiseido perfume</t>
        </is>
      </c>
      <c r="B2933" s="42" t="inlineStr">
        <is>
          <t>shiseido perfume women</t>
        </is>
      </c>
      <c r="C2933" s="42" t="n"/>
    </row>
    <row r="2934" ht="15" customHeight="1" s="37">
      <c r="A2934" s="42" t="inlineStr">
        <is>
          <t>shiseido perfume</t>
        </is>
      </c>
      <c r="B2934" s="42" t="inlineStr">
        <is>
          <t>shiseido perfume australia</t>
        </is>
      </c>
      <c r="C2934" s="42" t="n"/>
    </row>
    <row r="2935" ht="15" customHeight="1" s="37">
      <c r="A2935" s="42" t="inlineStr">
        <is>
          <t>shiseido perfume</t>
        </is>
      </c>
      <c r="B2935" s="42" t="inlineStr">
        <is>
          <t>shiseido perfume ginza night</t>
        </is>
      </c>
      <c r="C2935" s="42" t="n"/>
    </row>
    <row r="2936" ht="15" customHeight="1" s="37">
      <c r="A2936" s="42" t="inlineStr">
        <is>
          <t>shiseido perfume</t>
        </is>
      </c>
      <c r="B2936" s="42" t="inlineStr">
        <is>
          <t>shiseido perfume ever bloom</t>
        </is>
      </c>
      <c r="C2936" s="42" t="n"/>
    </row>
    <row r="2937" ht="15" customHeight="1" s="37">
      <c r="A2937" s="42" t="inlineStr">
        <is>
          <t>shiseido zen</t>
        </is>
      </c>
      <c r="B2937" s="42" t="inlineStr">
        <is>
          <t>shiseido zen</t>
        </is>
      </c>
      <c r="C2937" s="42" t="inlineStr">
        <is>
          <t>Yes</t>
        </is>
      </c>
    </row>
    <row r="2938" ht="15" customHeight="1" s="37">
      <c r="A2938" s="42" t="inlineStr">
        <is>
          <t>shiseido zen</t>
        </is>
      </c>
      <c r="B2938" s="42" t="inlineStr">
        <is>
          <t>shiseido zen perfume</t>
        </is>
      </c>
      <c r="C2938" s="42" t="inlineStr">
        <is>
          <t>Yes</t>
        </is>
      </c>
    </row>
    <row r="2939" ht="15" customHeight="1" s="37">
      <c r="A2939" s="42" t="inlineStr">
        <is>
          <t>shiseido zen</t>
        </is>
      </c>
      <c r="B2939" s="42" t="inlineStr">
        <is>
          <t>shiseido zen essence</t>
        </is>
      </c>
      <c r="C2939" s="42" t="n"/>
    </row>
    <row r="2940" ht="15" customHeight="1" s="37">
      <c r="A2940" s="42" t="inlineStr">
        <is>
          <t>shiseido zen</t>
        </is>
      </c>
      <c r="B2940" s="42" t="inlineStr">
        <is>
          <t>shiseido zen parfem</t>
        </is>
      </c>
      <c r="C2940" s="42" t="n"/>
    </row>
    <row r="2941" ht="15" customHeight="1" s="37">
      <c r="A2941" s="42" t="inlineStr">
        <is>
          <t>shiseido zen</t>
        </is>
      </c>
      <c r="B2941" s="42" t="inlineStr">
        <is>
          <t>shiseido zen eau de parfum</t>
        </is>
      </c>
      <c r="C2941" s="42" t="inlineStr">
        <is>
          <t>Yes</t>
        </is>
      </c>
    </row>
    <row r="2942" ht="15" customHeight="1" s="37">
      <c r="A2942" s="42" t="inlineStr">
        <is>
          <t>shiseido zen</t>
        </is>
      </c>
      <c r="B2942" s="42" t="inlineStr">
        <is>
          <t>shiseido zen for men</t>
        </is>
      </c>
      <c r="C2942" s="42" t="inlineStr">
        <is>
          <t>Yes</t>
        </is>
      </c>
    </row>
    <row r="2943" ht="15" customHeight="1" s="37">
      <c r="A2943" s="42" t="inlineStr">
        <is>
          <t>shiseido zen</t>
        </is>
      </c>
      <c r="B2943" s="42" t="inlineStr">
        <is>
          <t>shiseido zen fragrantica</t>
        </is>
      </c>
      <c r="C2943" s="42" t="n"/>
    </row>
    <row r="2944" ht="15" customHeight="1" s="37">
      <c r="A2944" s="42" t="inlineStr">
        <is>
          <t>shiseido zen</t>
        </is>
      </c>
      <c r="B2944" s="42" t="inlineStr">
        <is>
          <t>shiseido zen essence eau de parfum</t>
        </is>
      </c>
      <c r="C2944" s="42" t="n"/>
    </row>
    <row r="2945" ht="15" customHeight="1" s="37">
      <c r="A2945" s="42" t="inlineStr">
        <is>
          <t>shiseido zen</t>
        </is>
      </c>
      <c r="B2945" s="42" t="inlineStr">
        <is>
          <t>shiseido zen perfume price</t>
        </is>
      </c>
      <c r="C2945" s="42" t="inlineStr">
        <is>
          <t>Yes</t>
        </is>
      </c>
    </row>
    <row r="2946" ht="15" customHeight="1" s="37">
      <c r="A2946" s="42" t="inlineStr">
        <is>
          <t>shiseido zen</t>
        </is>
      </c>
      <c r="B2946" s="42" t="inlineStr">
        <is>
          <t>shiseido zen parfum</t>
        </is>
      </c>
      <c r="C2946" s="42" t="inlineStr">
        <is>
          <t>Yes</t>
        </is>
      </c>
    </row>
    <row r="2947" ht="15" customHeight="1" s="37">
      <c r="A2947" s="42" t="inlineStr">
        <is>
          <t>signature ambre</t>
        </is>
      </c>
      <c r="B2947" s="42" t="inlineStr">
        <is>
          <t>signature ambre</t>
        </is>
      </c>
      <c r="C2947" s="42" t="inlineStr">
        <is>
          <t>Yes</t>
        </is>
      </c>
    </row>
    <row r="2948" ht="15" customHeight="1" s="37">
      <c r="A2948" s="42" t="inlineStr">
        <is>
          <t>signature ambre</t>
        </is>
      </c>
      <c r="B2948" s="42" t="inlineStr">
        <is>
          <t>signature ambre perfume</t>
        </is>
      </c>
      <c r="C2948" s="42" t="inlineStr">
        <is>
          <t>Yes</t>
        </is>
      </c>
    </row>
    <row r="2949" ht="15" customHeight="1" s="37">
      <c r="A2949" s="42" t="inlineStr">
        <is>
          <t>signature ambre</t>
        </is>
      </c>
      <c r="B2949" s="42" t="inlineStr">
        <is>
          <t>signature ambre perfume for men</t>
        </is>
      </c>
      <c r="C2949" s="42" t="inlineStr">
        <is>
          <t>Yes</t>
        </is>
      </c>
    </row>
    <row r="2950" ht="15" customHeight="1" s="37">
      <c r="A2950" s="42" t="inlineStr">
        <is>
          <t>signature ambre</t>
        </is>
      </c>
      <c r="B2950" s="42" t="inlineStr">
        <is>
          <t>signature ambre отзывы</t>
        </is>
      </c>
      <c r="C2950" s="42" t="inlineStr">
        <is>
          <t>Yes</t>
        </is>
      </c>
    </row>
    <row r="2951" ht="15" customHeight="1" s="37">
      <c r="A2951" s="42" t="inlineStr">
        <is>
          <t>signature ambre</t>
        </is>
      </c>
      <c r="B2951" s="42" t="inlineStr">
        <is>
          <t>signature ambre eau de parfum</t>
        </is>
      </c>
      <c r="C2951" s="42" t="inlineStr">
        <is>
          <t>Yes</t>
        </is>
      </c>
    </row>
    <row r="2952" ht="15" customHeight="1" s="37">
      <c r="A2952" s="42" t="inlineStr">
        <is>
          <t>signature ambre</t>
        </is>
      </c>
      <c r="B2952" s="42" t="inlineStr">
        <is>
          <t>signature ambre parfum</t>
        </is>
      </c>
      <c r="C2952" s="42" t="inlineStr">
        <is>
          <t>Yes</t>
        </is>
      </c>
    </row>
    <row r="2953" ht="15" customHeight="1" s="37">
      <c r="A2953" s="42" t="inlineStr">
        <is>
          <t>signature ambre</t>
        </is>
      </c>
      <c r="B2953" s="42" t="inlineStr">
        <is>
          <t>ambreen signature</t>
        </is>
      </c>
      <c r="C2953" s="42" t="n"/>
    </row>
    <row r="2954" ht="15" customHeight="1" s="37">
      <c r="A2954" s="42" t="inlineStr">
        <is>
          <t>signature ambre</t>
        </is>
      </c>
      <c r="B2954" s="42" t="inlineStr">
        <is>
          <t>signature sillage ambre</t>
        </is>
      </c>
      <c r="C2954" s="42" t="n"/>
    </row>
    <row r="2955" ht="15" customHeight="1" s="37">
      <c r="A2955" s="42" t="inlineStr">
        <is>
          <t>signature ambre</t>
        </is>
      </c>
      <c r="B2955" s="42" t="inlineStr">
        <is>
          <t>signature d'orient ambre</t>
        </is>
      </c>
      <c r="C2955" s="42" t="inlineStr">
        <is>
          <t>Yes</t>
        </is>
      </c>
    </row>
    <row r="2956" ht="15" customHeight="1" s="37">
      <c r="A2956" s="42" t="inlineStr">
        <is>
          <t>signature ambre</t>
        </is>
      </c>
      <c r="B2956" s="42" t="inlineStr">
        <is>
          <t>ambre signature by sillage d orient</t>
        </is>
      </c>
      <c r="C2956" s="42" t="n"/>
    </row>
    <row r="2957" ht="15" customHeight="1" s="37">
      <c r="A2957" s="42" t="inlineStr">
        <is>
          <t>signature aura</t>
        </is>
      </c>
      <c r="B2957" s="42" t="inlineStr">
        <is>
          <t>signature aura</t>
        </is>
      </c>
      <c r="C2957" s="42" t="inlineStr">
        <is>
          <t>Yes</t>
        </is>
      </c>
    </row>
    <row r="2958" ht="15" customHeight="1" s="37">
      <c r="A2958" s="42" t="inlineStr">
        <is>
          <t>signature aura</t>
        </is>
      </c>
      <c r="B2958" s="42" t="inlineStr">
        <is>
          <t>signature aura perfume</t>
        </is>
      </c>
      <c r="C2958" s="42" t="inlineStr">
        <is>
          <t>Yes</t>
        </is>
      </c>
    </row>
    <row r="2959" ht="15" customHeight="1" s="37">
      <c r="A2959" s="42" t="inlineStr">
        <is>
          <t>signature aura</t>
        </is>
      </c>
      <c r="B2959" s="42" t="inlineStr">
        <is>
          <t>signature aura luxury pg for women</t>
        </is>
      </c>
      <c r="C2959" s="42" t="n"/>
    </row>
    <row r="2960" ht="15" customHeight="1" s="37">
      <c r="A2960" s="42" t="inlineStr">
        <is>
          <t>signature aura</t>
        </is>
      </c>
      <c r="B2960" s="42" t="inlineStr">
        <is>
          <t>signature aura luxury pg for women photos</t>
        </is>
      </c>
      <c r="C2960" s="42" t="n"/>
    </row>
    <row r="2961" ht="15" customHeight="1" s="37">
      <c r="A2961" s="42" t="inlineStr">
        <is>
          <t>signature aura</t>
        </is>
      </c>
      <c r="B2961" s="42" t="inlineStr">
        <is>
          <t>signature aura luxury pg for women reviews</t>
        </is>
      </c>
      <c r="C2961" s="42" t="n"/>
    </row>
    <row r="2962" ht="15" customHeight="1" s="37">
      <c r="A2962" s="42" t="inlineStr">
        <is>
          <t>signature aura</t>
        </is>
      </c>
      <c r="B2962" s="42" t="inlineStr">
        <is>
          <t>signature aura 4 pcs set</t>
        </is>
      </c>
      <c r="C2962" s="42" t="n"/>
    </row>
    <row r="2963" ht="15" customHeight="1" s="37">
      <c r="A2963" s="42" t="inlineStr">
        <is>
          <t>signature aura</t>
        </is>
      </c>
      <c r="B2963" s="42" t="inlineStr">
        <is>
          <t>signature aura bedsheet</t>
        </is>
      </c>
      <c r="C2963" s="42" t="n"/>
    </row>
    <row r="2964" ht="15" customHeight="1" s="37">
      <c r="A2964" s="42" t="inlineStr">
        <is>
          <t>signature aura</t>
        </is>
      </c>
      <c r="B2964" s="42" t="inlineStr">
        <is>
          <t>signature aura luxury pg</t>
        </is>
      </c>
      <c r="C2964" s="42" t="n"/>
    </row>
    <row r="2965" ht="15" customHeight="1" s="37">
      <c r="A2965" s="42" t="inlineStr">
        <is>
          <t>signature aura</t>
        </is>
      </c>
      <c r="B2965" s="42" t="inlineStr">
        <is>
          <t>signature aura fragrantica</t>
        </is>
      </c>
      <c r="C2965" s="42" t="n"/>
    </row>
    <row r="2966" ht="15" customHeight="1" s="37">
      <c r="A2966" s="42" t="inlineStr">
        <is>
          <t>signature aura</t>
        </is>
      </c>
      <c r="B2966" s="42" t="inlineStr">
        <is>
          <t>signature aura comforter set</t>
        </is>
      </c>
      <c r="C2966" s="42" t="n"/>
    </row>
    <row r="2967" ht="15" customHeight="1" s="37">
      <c r="A2967" s="42" t="inlineStr">
        <is>
          <t>signature black pour homme</t>
        </is>
      </c>
      <c r="B2967" s="42" t="inlineStr">
        <is>
          <t>signature black perfume pour homme</t>
        </is>
      </c>
      <c r="C2967" s="42" t="inlineStr">
        <is>
          <t>Yes</t>
        </is>
      </c>
    </row>
    <row r="2968" ht="15" customHeight="1" s="37">
      <c r="A2968" s="42" t="inlineStr">
        <is>
          <t>signature black pour homme</t>
        </is>
      </c>
      <c r="B2968" s="42" t="inlineStr">
        <is>
          <t>signature pour homme black</t>
        </is>
      </c>
      <c r="C2968" s="42" t="inlineStr">
        <is>
          <t>Yes</t>
        </is>
      </c>
    </row>
    <row r="2969" ht="15" customHeight="1" s="37">
      <c r="A2969" s="42" t="inlineStr">
        <is>
          <t>signature black pour homme</t>
        </is>
      </c>
      <c r="B2969" s="42" t="inlineStr">
        <is>
          <t>difference between pour homme and eau de toilette</t>
        </is>
      </c>
      <c r="C2969" s="42" t="n"/>
    </row>
    <row r="2970" ht="15" customHeight="1" s="37">
      <c r="A2970" s="42" t="inlineStr">
        <is>
          <t>signature black pour homme</t>
        </is>
      </c>
      <c r="B2970" s="42" t="inlineStr">
        <is>
          <t>difference between pour homme and eau de parfum</t>
        </is>
      </c>
      <c r="C2970" s="42" t="n"/>
    </row>
    <row r="2971" ht="15" customHeight="1" s="37">
      <c r="A2971" s="42" t="inlineStr">
        <is>
          <t>signature black pour homme</t>
        </is>
      </c>
      <c r="B2971" s="42" t="inlineStr">
        <is>
          <t>difference between pour homme and pour femme</t>
        </is>
      </c>
      <c r="C2971" s="42" t="n"/>
    </row>
    <row r="2972" ht="15" customHeight="1" s="37">
      <c r="A2972" s="42" t="inlineStr">
        <is>
          <t>signature blue</t>
        </is>
      </c>
      <c r="B2972" s="42" t="inlineStr">
        <is>
          <t>signature blue</t>
        </is>
      </c>
      <c r="C2972" s="42" t="inlineStr">
        <is>
          <t>Yes</t>
        </is>
      </c>
    </row>
    <row r="2973" ht="15" customHeight="1" s="37">
      <c r="A2973" s="42" t="inlineStr">
        <is>
          <t>signature blue</t>
        </is>
      </c>
      <c r="B2973" s="42" t="inlineStr">
        <is>
          <t>signature blue cigars</t>
        </is>
      </c>
      <c r="C2973" s="42" t="n"/>
    </row>
    <row r="2974" ht="15" customHeight="1" s="37">
      <c r="A2974" s="42" t="inlineStr">
        <is>
          <t>signature blue</t>
        </is>
      </c>
      <c r="B2974" s="42" t="inlineStr">
        <is>
          <t>signature bluetooth</t>
        </is>
      </c>
      <c r="C2974" s="42" t="n"/>
    </row>
    <row r="2975" ht="15" customHeight="1" s="37">
      <c r="A2975" s="42" t="inlineStr">
        <is>
          <t>signature blue</t>
        </is>
      </c>
      <c r="B2975" s="42" t="inlineStr">
        <is>
          <t>signature blue resort</t>
        </is>
      </c>
      <c r="C2975" s="42" t="n"/>
    </row>
    <row r="2976" ht="15" customHeight="1" s="37">
      <c r="A2976" s="42" t="inlineStr">
        <is>
          <t>signature blue</t>
        </is>
      </c>
      <c r="B2976" s="42" t="inlineStr">
        <is>
          <t>signature blue resort kusadasi</t>
        </is>
      </c>
      <c r="C2976" s="42" t="n"/>
    </row>
    <row r="2977" ht="15" customHeight="1" s="37">
      <c r="A2977" s="42" t="inlineStr">
        <is>
          <t>signature blue</t>
        </is>
      </c>
      <c r="B2977" s="42" t="inlineStr">
        <is>
          <t>signature bluetooth price</t>
        </is>
      </c>
      <c r="C2977" s="42" t="n"/>
    </row>
    <row r="2978" ht="15" customHeight="1" s="37">
      <c r="A2978" s="42" t="inlineStr">
        <is>
          <t>signature blue</t>
        </is>
      </c>
      <c r="B2978" s="42" t="inlineStr">
        <is>
          <t>signature blue cigarettes</t>
        </is>
      </c>
      <c r="C2978" s="42" t="n"/>
    </row>
    <row r="2979" ht="15" customHeight="1" s="37">
      <c r="A2979" s="42" t="inlineStr">
        <is>
          <t>signature blue</t>
        </is>
      </c>
      <c r="B2979" s="42" t="inlineStr">
        <is>
          <t>signature blue perfume</t>
        </is>
      </c>
      <c r="C2979" s="42" t="inlineStr">
        <is>
          <t>Yes</t>
        </is>
      </c>
    </row>
    <row r="2980" ht="15" customHeight="1" s="37">
      <c r="A2980" s="42" t="inlineStr">
        <is>
          <t>signature blue</t>
        </is>
      </c>
      <c r="B2980" s="42" t="inlineStr">
        <is>
          <t>signature blue to black</t>
        </is>
      </c>
      <c r="C2980" s="42" t="n"/>
    </row>
    <row r="2981" ht="15" customHeight="1" s="37">
      <c r="A2981" s="42" t="inlineStr">
        <is>
          <t>signature blue</t>
        </is>
      </c>
      <c r="B2981" s="42" t="inlineStr">
        <is>
          <t>signature bluetooth speaker</t>
        </is>
      </c>
      <c r="C2981" s="42" t="n"/>
    </row>
    <row r="2982" ht="15" customHeight="1" s="37">
      <c r="A2982" s="42" t="inlineStr">
        <is>
          <t>signature charm</t>
        </is>
      </c>
      <c r="B2982" s="42" t="inlineStr">
        <is>
          <t>signature charm</t>
        </is>
      </c>
      <c r="C2982" s="42" t="inlineStr">
        <is>
          <t>Yes</t>
        </is>
      </c>
    </row>
    <row r="2983" ht="15" customHeight="1" s="37">
      <c r="A2983" s="42" t="inlineStr">
        <is>
          <t>signature charm</t>
        </is>
      </c>
      <c r="B2983" s="42" t="inlineStr">
        <is>
          <t>signature charm perfume</t>
        </is>
      </c>
      <c r="C2983" s="42" t="inlineStr">
        <is>
          <t>Yes</t>
        </is>
      </c>
    </row>
    <row r="2984" ht="15" customHeight="1" s="37">
      <c r="A2984" s="42" t="inlineStr">
        <is>
          <t>signature charm</t>
        </is>
      </c>
      <c r="B2984" s="42" t="inlineStr">
        <is>
          <t>signature charmeuse carpet</t>
        </is>
      </c>
      <c r="C2984" s="42" t="n"/>
    </row>
    <row r="2985" ht="15" customHeight="1" s="37">
      <c r="A2985" s="42" t="inlineStr">
        <is>
          <t>signature charm</t>
        </is>
      </c>
      <c r="B2985" s="42" t="inlineStr">
        <is>
          <t>signature charmeuse</t>
        </is>
      </c>
      <c r="C2985" s="42" t="n"/>
    </row>
    <row r="2986" ht="15" customHeight="1" s="37">
      <c r="A2986" s="42" t="inlineStr">
        <is>
          <t>signature charm</t>
        </is>
      </c>
      <c r="B2986" s="42" t="inlineStr">
        <is>
          <t>signature charm sewing machine</t>
        </is>
      </c>
      <c r="C2986" s="42" t="n"/>
    </row>
    <row r="2987" ht="15" customHeight="1" s="37">
      <c r="A2987" s="42" t="inlineStr">
        <is>
          <t>signature charm</t>
        </is>
      </c>
      <c r="B2987" s="42" t="inlineStr">
        <is>
          <t>signature charm janome</t>
        </is>
      </c>
      <c r="C2987" s="42" t="n"/>
    </row>
    <row r="2988" ht="15" customHeight="1" s="37">
      <c r="A2988" s="42" t="inlineStr">
        <is>
          <t>signature charm</t>
        </is>
      </c>
      <c r="B2988" s="42" t="inlineStr">
        <is>
          <t>signature charm fragrantica</t>
        </is>
      </c>
      <c r="C2988" s="42" t="n"/>
    </row>
    <row r="2989" ht="15" customHeight="1" s="37">
      <c r="A2989" s="42" t="inlineStr">
        <is>
          <t>signature charm</t>
        </is>
      </c>
      <c r="B2989" s="42" t="inlineStr">
        <is>
          <t>signature charm meaning</t>
        </is>
      </c>
      <c r="C2989" s="42" t="n"/>
    </row>
    <row r="2990" ht="15" customHeight="1" s="37">
      <c r="A2990" s="42" t="inlineStr">
        <is>
          <t>signature charm</t>
        </is>
      </c>
      <c r="B2990" s="42" t="inlineStr">
        <is>
          <t>signature charm bracelet</t>
        </is>
      </c>
      <c r="C2990" s="42" t="n"/>
    </row>
    <row r="2991" ht="15" customHeight="1" s="37">
      <c r="A2991" s="42" t="inlineStr">
        <is>
          <t>signature charm</t>
        </is>
      </c>
      <c r="B2991" s="42" t="inlineStr">
        <is>
          <t>signature charm perfume fragrantica</t>
        </is>
      </c>
      <c r="C2991" s="42" t="n"/>
    </row>
    <row r="2992" ht="15" customHeight="1" s="37">
      <c r="A2992" s="42" t="inlineStr">
        <is>
          <t>signature d'orient perfume</t>
        </is>
      </c>
      <c r="B2992" s="42" t="inlineStr">
        <is>
          <t>signature sillage d'orient perfume</t>
        </is>
      </c>
      <c r="C2992" s="42" t="n"/>
    </row>
    <row r="2993" ht="15" customHeight="1" s="37">
      <c r="A2993" s="42" t="inlineStr">
        <is>
          <t>signature d'orient perfume</t>
        </is>
      </c>
      <c r="B2993" s="42" t="inlineStr">
        <is>
          <t>signature sillage d'orient charm perfume</t>
        </is>
      </c>
      <c r="C2993" s="42" t="n"/>
    </row>
    <row r="2994" ht="15" customHeight="1" s="37">
      <c r="A2994" s="42" t="inlineStr">
        <is>
          <t>signature d'orient perfume</t>
        </is>
      </c>
      <c r="B2994" s="42" t="inlineStr">
        <is>
          <t>signature d orient parfum</t>
        </is>
      </c>
      <c r="C2994" s="42" t="n"/>
    </row>
    <row r="2995" ht="15" customHeight="1" s="37">
      <c r="A2995" s="42" t="inlineStr">
        <is>
          <t>signature d'orient perfume</t>
        </is>
      </c>
      <c r="B2995" s="42" t="inlineStr">
        <is>
          <t>signature sillage d orient parfum</t>
        </is>
      </c>
      <c r="C2995" s="42" t="n"/>
    </row>
    <row r="2996" ht="15" customHeight="1" s="37">
      <c r="A2996" s="42" t="inlineStr">
        <is>
          <t>signature d'orient perfume</t>
        </is>
      </c>
      <c r="B2996" s="42" t="inlineStr">
        <is>
          <t>signature perfume review</t>
        </is>
      </c>
      <c r="C2996" s="42" t="n"/>
    </row>
    <row r="2997" ht="15" customHeight="1" s="37">
      <c r="A2997" s="42" t="inlineStr">
        <is>
          <t>signature d'orient perfume</t>
        </is>
      </c>
      <c r="B2997" s="42" t="inlineStr">
        <is>
          <t>signature perfume price</t>
        </is>
      </c>
      <c r="C2997" s="42" t="n"/>
    </row>
    <row r="2998" ht="15" customHeight="1" s="37">
      <c r="A2998" s="42" t="inlineStr">
        <is>
          <t>signature d'orient perfume</t>
        </is>
      </c>
      <c r="B2998" s="42" t="inlineStr">
        <is>
          <t>signature perfume meaning</t>
        </is>
      </c>
      <c r="C2998" s="42" t="n"/>
    </row>
    <row r="2999" ht="15" customHeight="1" s="37">
      <c r="A2999" s="42" t="inlineStr">
        <is>
          <t>signature d'orient perfume</t>
        </is>
      </c>
      <c r="B2999" s="42" t="inlineStr">
        <is>
          <t>what is my signature perfume</t>
        </is>
      </c>
      <c r="C2999" s="42" t="n"/>
    </row>
    <row r="3000" ht="15" customHeight="1" s="37">
      <c r="A3000" s="42" t="inlineStr">
        <is>
          <t>signature diamond</t>
        </is>
      </c>
      <c r="B3000" s="42" t="inlineStr">
        <is>
          <t>signature diamonds</t>
        </is>
      </c>
      <c r="C3000" s="42" t="n"/>
    </row>
    <row r="3001" ht="15" customHeight="1" s="37">
      <c r="A3001" s="42" t="inlineStr">
        <is>
          <t>signature diamond</t>
        </is>
      </c>
      <c r="B3001" s="42" t="inlineStr">
        <is>
          <t>signature diamond lodge haven</t>
        </is>
      </c>
      <c r="C3001" s="42" t="n"/>
    </row>
    <row r="3002" ht="15" customHeight="1" s="37">
      <c r="A3002" s="42" t="inlineStr">
        <is>
          <t>signature diamond</t>
        </is>
      </c>
      <c r="B3002" s="42" t="inlineStr">
        <is>
          <t>signature diamond art</t>
        </is>
      </c>
      <c r="C3002" s="42" t="n"/>
    </row>
    <row r="3003" ht="15" customHeight="1" s="37">
      <c r="A3003" s="42" t="inlineStr">
        <is>
          <t>signature diamond</t>
        </is>
      </c>
      <c r="B3003" s="42" t="inlineStr">
        <is>
          <t>signature diamond perfume</t>
        </is>
      </c>
      <c r="C3003" s="42" t="inlineStr">
        <is>
          <t>Yes</t>
        </is>
      </c>
    </row>
    <row r="3004" ht="15" customHeight="1" s="37">
      <c r="A3004" s="42" t="inlineStr">
        <is>
          <t>signature diamond</t>
        </is>
      </c>
      <c r="B3004" s="42" t="inlineStr">
        <is>
          <t>signature diamonds colorado mills</t>
        </is>
      </c>
      <c r="C3004" s="42" t="n"/>
    </row>
    <row r="3005" ht="15" customHeight="1" s="37">
      <c r="A3005" s="42" t="inlineStr">
        <is>
          <t>signature diamond</t>
        </is>
      </c>
      <c r="B3005" s="42" t="inlineStr">
        <is>
          <t>signature diamond glow facial</t>
        </is>
      </c>
      <c r="C3005" s="42" t="n"/>
    </row>
    <row r="3006" ht="15" customHeight="1" s="37">
      <c r="A3006" s="42" t="inlineStr">
        <is>
          <t>signature diamond</t>
        </is>
      </c>
      <c r="B3006" s="42" t="inlineStr">
        <is>
          <t>signature diamond lodge haggerston castle</t>
        </is>
      </c>
      <c r="C3006" s="42" t="n"/>
    </row>
    <row r="3007" ht="15" customHeight="1" s="37">
      <c r="A3007" s="42" t="inlineStr">
        <is>
          <t>signature diamond</t>
        </is>
      </c>
      <c r="B3007" s="42" t="inlineStr">
        <is>
          <t>signature diamonds knoxville</t>
        </is>
      </c>
      <c r="C3007" s="42" t="n"/>
    </row>
    <row r="3008" ht="15" customHeight="1" s="37">
      <c r="A3008" s="42" t="inlineStr">
        <is>
          <t>signature diamond</t>
        </is>
      </c>
      <c r="B3008" s="42" t="inlineStr">
        <is>
          <t>signature diamond real estate</t>
        </is>
      </c>
      <c r="C3008" s="42" t="n"/>
    </row>
    <row r="3009" ht="15" customHeight="1" s="37">
      <c r="A3009" s="42" t="inlineStr">
        <is>
          <t>signature diamond</t>
        </is>
      </c>
      <c r="B3009" s="42" t="inlineStr">
        <is>
          <t>signature diamond lodge haven craig tara</t>
        </is>
      </c>
      <c r="C3009" s="42" t="n"/>
    </row>
    <row r="3010" ht="15" customHeight="1" s="37">
      <c r="A3010" s="42" t="inlineStr">
        <is>
          <t>signature discovery set</t>
        </is>
      </c>
      <c r="B3010" s="42" t="inlineStr">
        <is>
          <t>signature discovery set</t>
        </is>
      </c>
      <c r="C3010" s="42" t="inlineStr">
        <is>
          <t>Yes</t>
        </is>
      </c>
    </row>
    <row r="3011" ht="15" customHeight="1" s="37">
      <c r="A3011" s="42" t="inlineStr">
        <is>
          <t>signature discovery set</t>
        </is>
      </c>
      <c r="B3011" s="42" t="inlineStr">
        <is>
          <t>signature discovery set tom ford</t>
        </is>
      </c>
      <c r="C3011" s="42" t="n"/>
    </row>
    <row r="3012" ht="15" customHeight="1" s="37">
      <c r="A3012" s="42" t="inlineStr">
        <is>
          <t>signature discovery set</t>
        </is>
      </c>
      <c r="B3012" s="42" t="inlineStr">
        <is>
          <t>autograph discovery set</t>
        </is>
      </c>
      <c r="C3012" s="42" t="n"/>
    </row>
    <row r="3013" ht="15" customHeight="1" s="37">
      <c r="A3013" s="42" t="inlineStr">
        <is>
          <t>signature discovery set</t>
        </is>
      </c>
      <c r="B3013" s="42" t="inlineStr">
        <is>
          <t>signature mini discovery set</t>
        </is>
      </c>
      <c r="C3013" s="42" t="inlineStr">
        <is>
          <t>Yes</t>
        </is>
      </c>
    </row>
    <row r="3014" ht="15" customHeight="1" s="37">
      <c r="A3014" s="42" t="inlineStr">
        <is>
          <t>signature discovery set</t>
        </is>
      </c>
      <c r="B3014" s="42" t="inlineStr">
        <is>
          <t>ghawali signature discovery set</t>
        </is>
      </c>
      <c r="C3014" s="42" t="n"/>
    </row>
    <row r="3015" ht="15" customHeight="1" s="37">
      <c r="A3015" s="42" t="inlineStr">
        <is>
          <t>signature discovery set</t>
        </is>
      </c>
      <c r="B3015" s="42" t="inlineStr">
        <is>
          <t>signature mini discovery set tom ford</t>
        </is>
      </c>
      <c r="C3015" s="42" t="n"/>
    </row>
    <row r="3016" ht="15" customHeight="1" s="37">
      <c r="A3016" s="42" t="inlineStr">
        <is>
          <t>signature discovery set</t>
        </is>
      </c>
      <c r="B3016" s="42" t="inlineStr">
        <is>
          <t>signature parfum discovery set</t>
        </is>
      </c>
      <c r="C3016" s="42" t="inlineStr">
        <is>
          <t>Yes</t>
        </is>
      </c>
    </row>
    <row r="3017" ht="15" customHeight="1" s="37">
      <c r="A3017" s="42" t="inlineStr">
        <is>
          <t>signature discovery set</t>
        </is>
      </c>
      <c r="B3017" s="42" t="inlineStr">
        <is>
          <t>dunhill signature discovery set</t>
        </is>
      </c>
      <c r="C3017" s="42" t="n"/>
    </row>
    <row r="3018" ht="15" customHeight="1" s="37">
      <c r="A3018" s="42" t="inlineStr">
        <is>
          <t>signature discovery set</t>
        </is>
      </c>
      <c r="B3018" s="42" t="inlineStr">
        <is>
          <t>signature collection discovery set</t>
        </is>
      </c>
      <c r="C3018" s="42" t="n"/>
    </row>
    <row r="3019" ht="15" customHeight="1" s="37">
      <c r="A3019" s="42" t="inlineStr">
        <is>
          <t>signature discovery set</t>
        </is>
      </c>
      <c r="B3019" s="42" t="inlineStr">
        <is>
          <t>signature scent discovery set</t>
        </is>
      </c>
      <c r="C3019" s="42" t="n"/>
    </row>
    <row r="3020" ht="15" customHeight="1" s="37">
      <c r="A3020" s="42" t="inlineStr">
        <is>
          <t>signature jade</t>
        </is>
      </c>
      <c r="B3020" s="42" t="inlineStr">
        <is>
          <t>signature jade</t>
        </is>
      </c>
      <c r="C3020" s="42" t="inlineStr">
        <is>
          <t>Yes</t>
        </is>
      </c>
    </row>
    <row r="3021" ht="15" customHeight="1" s="37">
      <c r="A3021" s="42" t="inlineStr">
        <is>
          <t>signature jade</t>
        </is>
      </c>
      <c r="B3021" s="42" t="inlineStr">
        <is>
          <t>signature jade perfume</t>
        </is>
      </c>
      <c r="C3021" s="42" t="inlineStr">
        <is>
          <t>Yes</t>
        </is>
      </c>
    </row>
    <row r="3022" ht="15" customHeight="1" s="37">
      <c r="A3022" s="42" t="inlineStr">
        <is>
          <t>signature jade</t>
        </is>
      </c>
      <c r="B3022" s="42" t="inlineStr">
        <is>
          <t>signature jade eau de parfum</t>
        </is>
      </c>
      <c r="C3022" s="42" t="inlineStr">
        <is>
          <t>Yes</t>
        </is>
      </c>
    </row>
    <row r="3023" ht="15" customHeight="1" s="37">
      <c r="A3023" s="42" t="inlineStr">
        <is>
          <t>signature jade</t>
        </is>
      </c>
      <c r="B3023" s="42" t="inlineStr">
        <is>
          <t>signature jade kvepalai</t>
        </is>
      </c>
      <c r="C3023" s="42" t="n"/>
    </row>
    <row r="3024" ht="15" customHeight="1" s="37">
      <c r="A3024" s="42" t="inlineStr">
        <is>
          <t>signature jade</t>
        </is>
      </c>
      <c r="B3024" s="42" t="inlineStr">
        <is>
          <t>signature jade by sillage d orient</t>
        </is>
      </c>
      <c r="C3024" s="42" t="n"/>
    </row>
    <row r="3025" ht="15" customHeight="1" s="37">
      <c r="A3025" s="42" t="inlineStr">
        <is>
          <t>signature jade</t>
        </is>
      </c>
      <c r="B3025" s="42" t="inlineStr">
        <is>
          <t>signature jade perfume price</t>
        </is>
      </c>
      <c r="C3025" s="42" t="inlineStr">
        <is>
          <t>Yes</t>
        </is>
      </c>
    </row>
    <row r="3026" ht="15" customHeight="1" s="37">
      <c r="A3026" s="42" t="inlineStr">
        <is>
          <t>signature jade</t>
        </is>
      </c>
      <c r="B3026" s="42" t="inlineStr">
        <is>
          <t>signature jade hair mist</t>
        </is>
      </c>
      <c r="C3026" s="42" t="n"/>
    </row>
    <row r="3027" ht="15" customHeight="1" s="37">
      <c r="A3027" s="42" t="inlineStr">
        <is>
          <t>signature jade</t>
        </is>
      </c>
      <c r="B3027" s="42" t="inlineStr">
        <is>
          <t>signature jade edp</t>
        </is>
      </c>
      <c r="C3027" s="42" t="inlineStr">
        <is>
          <t>Yes</t>
        </is>
      </c>
    </row>
    <row r="3028" ht="15" customHeight="1" s="37">
      <c r="A3028" s="42" t="inlineStr">
        <is>
          <t>signature jade</t>
        </is>
      </c>
      <c r="B3028" s="42" t="inlineStr">
        <is>
          <t>signature jade edp 100ml</t>
        </is>
      </c>
      <c r="C3028" s="42" t="inlineStr">
        <is>
          <t>Yes</t>
        </is>
      </c>
    </row>
    <row r="3029" ht="15" customHeight="1" s="37">
      <c r="A3029" s="42" t="inlineStr">
        <is>
          <t>signature jade</t>
        </is>
      </c>
      <c r="B3029" s="42" t="inlineStr">
        <is>
          <t>signature jade fragrantica</t>
        </is>
      </c>
      <c r="C3029" s="42" t="n"/>
    </row>
    <row r="3030" ht="15" customHeight="1" s="37">
      <c r="A3030" s="42" t="inlineStr">
        <is>
          <t>signature musk</t>
        </is>
      </c>
      <c r="B3030" s="42" t="inlineStr">
        <is>
          <t>signature musk perfume</t>
        </is>
      </c>
      <c r="C3030" s="42" t="inlineStr">
        <is>
          <t>Yes</t>
        </is>
      </c>
    </row>
    <row r="3031" ht="15" customHeight="1" s="37">
      <c r="A3031" s="42" t="inlineStr">
        <is>
          <t>signature musk</t>
        </is>
      </c>
      <c r="B3031" s="42" t="inlineStr">
        <is>
          <t>signature musk</t>
        </is>
      </c>
      <c r="C3031" s="42" t="inlineStr">
        <is>
          <t>Yes</t>
        </is>
      </c>
    </row>
    <row r="3032" ht="15" customHeight="1" s="37">
      <c r="A3032" s="42" t="inlineStr">
        <is>
          <t>signature musk</t>
        </is>
      </c>
      <c r="B3032" s="42" t="inlineStr">
        <is>
          <t>signature muskan</t>
        </is>
      </c>
      <c r="C3032" s="42" t="n"/>
    </row>
    <row r="3033" ht="15" customHeight="1" s="37">
      <c r="A3033" s="42" t="inlineStr">
        <is>
          <t>signature musk</t>
        </is>
      </c>
      <c r="B3033" s="42" t="inlineStr">
        <is>
          <t>signature muskan name</t>
        </is>
      </c>
      <c r="C3033" s="42" t="n"/>
    </row>
    <row r="3034" ht="15" customHeight="1" s="37">
      <c r="A3034" s="42" t="inlineStr">
        <is>
          <t>signature musk</t>
        </is>
      </c>
      <c r="B3034" s="42" t="inlineStr">
        <is>
          <t>signature musk by sillage d orient</t>
        </is>
      </c>
      <c r="C3034" s="42" t="n"/>
    </row>
    <row r="3035" ht="15" customHeight="1" s="37">
      <c r="A3035" s="42" t="inlineStr">
        <is>
          <t>signature musk</t>
        </is>
      </c>
      <c r="B3035" s="42" t="inlineStr">
        <is>
          <t>signature musk fragrantica</t>
        </is>
      </c>
      <c r="C3035" s="42" t="n"/>
    </row>
    <row r="3036" ht="15" customHeight="1" s="37">
      <c r="A3036" s="42" t="inlineStr">
        <is>
          <t>signature musk</t>
        </is>
      </c>
      <c r="B3036" s="42" t="inlineStr">
        <is>
          <t>muskan signature style</t>
        </is>
      </c>
      <c r="C3036" s="42" t="n"/>
    </row>
    <row r="3037" ht="15" customHeight="1" s="37">
      <c r="A3037" s="42" t="inlineStr">
        <is>
          <t>signature musk</t>
        </is>
      </c>
      <c r="B3037" s="42" t="inlineStr">
        <is>
          <t>muskan signature style name</t>
        </is>
      </c>
      <c r="C3037" s="42" t="n"/>
    </row>
    <row r="3038" ht="15" customHeight="1" s="37">
      <c r="A3038" s="42" t="inlineStr">
        <is>
          <t>signature musk</t>
        </is>
      </c>
      <c r="B3038" s="42" t="inlineStr">
        <is>
          <t>musk signature hamidi</t>
        </is>
      </c>
      <c r="C3038" s="42" t="n"/>
    </row>
    <row r="3039" ht="15" customHeight="1" s="37">
      <c r="A3039" s="42" t="inlineStr">
        <is>
          <t>signature musk</t>
        </is>
      </c>
      <c r="B3039" s="42" t="inlineStr">
        <is>
          <t>muskaan signature</t>
        </is>
      </c>
      <c r="C3039" s="42" t="n"/>
    </row>
    <row r="3040" ht="15" customHeight="1" s="37">
      <c r="A3040" s="42" t="inlineStr">
        <is>
          <t>signature onyx</t>
        </is>
      </c>
      <c r="B3040" s="42" t="inlineStr">
        <is>
          <t>signature onyx perfume</t>
        </is>
      </c>
      <c r="C3040" s="42" t="inlineStr">
        <is>
          <t>Yes</t>
        </is>
      </c>
    </row>
    <row r="3041" ht="15" customHeight="1" s="37">
      <c r="A3041" s="42" t="inlineStr">
        <is>
          <t>signature onyx</t>
        </is>
      </c>
      <c r="B3041" s="42" t="inlineStr">
        <is>
          <t>signature onyx</t>
        </is>
      </c>
      <c r="C3041" s="42" t="inlineStr">
        <is>
          <t>Yes</t>
        </is>
      </c>
    </row>
    <row r="3042" ht="15" customHeight="1" s="37">
      <c r="A3042" s="42" t="inlineStr">
        <is>
          <t>signature onyx</t>
        </is>
      </c>
      <c r="B3042" s="42" t="inlineStr">
        <is>
          <t>signature onyx eau de parfum</t>
        </is>
      </c>
      <c r="C3042" s="42" t="inlineStr">
        <is>
          <t>Yes</t>
        </is>
      </c>
    </row>
    <row r="3043" ht="15" customHeight="1" s="37">
      <c r="A3043" s="42" t="inlineStr">
        <is>
          <t>signature onyx</t>
        </is>
      </c>
      <c r="B3043" s="42" t="inlineStr">
        <is>
          <t>signature onyx perfume price</t>
        </is>
      </c>
      <c r="C3043" s="42" t="inlineStr">
        <is>
          <t>Yes</t>
        </is>
      </c>
    </row>
    <row r="3044" ht="15" customHeight="1" s="37">
      <c r="A3044" s="42" t="inlineStr">
        <is>
          <t>signature onyx</t>
        </is>
      </c>
      <c r="B3044" s="42" t="inlineStr">
        <is>
          <t>signature onyxia</t>
        </is>
      </c>
      <c r="C3044" s="42" t="n"/>
    </row>
    <row r="3045" ht="15" customHeight="1" s="37">
      <c r="A3045" s="42" t="inlineStr">
        <is>
          <t>signature onyx</t>
        </is>
      </c>
      <c r="B3045" s="42" t="inlineStr">
        <is>
          <t>signature onyx fragrantica</t>
        </is>
      </c>
      <c r="C3045" s="42" t="n"/>
    </row>
    <row r="3046" ht="15" customHeight="1" s="37">
      <c r="A3046" s="42" t="inlineStr">
        <is>
          <t>signature onyx</t>
        </is>
      </c>
      <c r="B3046" s="42" t="inlineStr">
        <is>
          <t>signature onyx black</t>
        </is>
      </c>
      <c r="C3046" s="42" t="n"/>
    </row>
    <row r="3047" ht="15" customHeight="1" s="37">
      <c r="A3047" s="42" t="inlineStr">
        <is>
          <t>signature onyx</t>
        </is>
      </c>
      <c r="B3047" s="42" t="inlineStr">
        <is>
          <t>signature onyx towel</t>
        </is>
      </c>
      <c r="C3047" s="42" t="n"/>
    </row>
    <row r="3048" ht="15" customHeight="1" s="37">
      <c r="A3048" s="42" t="inlineStr">
        <is>
          <t>signature onyx</t>
        </is>
      </c>
      <c r="B3048" s="42" t="inlineStr">
        <is>
          <t>signature onyx 100ml</t>
        </is>
      </c>
      <c r="C3048" s="42" t="inlineStr">
        <is>
          <t>Yes</t>
        </is>
      </c>
    </row>
    <row r="3049" ht="15" customHeight="1" s="37">
      <c r="A3049" s="42" t="inlineStr">
        <is>
          <t>signature onyx</t>
        </is>
      </c>
      <c r="B3049" s="42" t="inlineStr">
        <is>
          <t>signature onyx edp</t>
        </is>
      </c>
      <c r="C3049" s="42" t="inlineStr">
        <is>
          <t>Yes</t>
        </is>
      </c>
    </row>
    <row r="3050" ht="15" customHeight="1" s="37">
      <c r="A3050" s="42" t="inlineStr">
        <is>
          <t>signature opal</t>
        </is>
      </c>
      <c r="B3050" s="42" t="inlineStr">
        <is>
          <t>signature opal</t>
        </is>
      </c>
      <c r="C3050" s="42" t="inlineStr">
        <is>
          <t>Yes</t>
        </is>
      </c>
    </row>
    <row r="3051" ht="15" customHeight="1" s="37">
      <c r="A3051" s="42" t="inlineStr">
        <is>
          <t>signature opal</t>
        </is>
      </c>
      <c r="B3051" s="42" t="inlineStr">
        <is>
          <t>signature opal perfume</t>
        </is>
      </c>
      <c r="C3051" s="42" t="inlineStr">
        <is>
          <t>Yes</t>
        </is>
      </c>
    </row>
    <row r="3052" ht="15" customHeight="1" s="37">
      <c r="A3052" s="42" t="inlineStr">
        <is>
          <t>signature opal</t>
        </is>
      </c>
      <c r="B3052" s="42" t="inlineStr">
        <is>
          <t>signature opal edp</t>
        </is>
      </c>
      <c r="C3052" s="42" t="inlineStr">
        <is>
          <t>Yes</t>
        </is>
      </c>
    </row>
    <row r="3053" ht="15" customHeight="1" s="37">
      <c r="A3053" s="42" t="inlineStr">
        <is>
          <t>signature opal</t>
        </is>
      </c>
      <c r="B3053" s="42" t="inlineStr">
        <is>
          <t>signature opal glow</t>
        </is>
      </c>
      <c r="C3053" s="42" t="n"/>
    </row>
    <row r="3054" ht="15" customHeight="1" s="37">
      <c r="A3054" s="42" t="inlineStr">
        <is>
          <t>signature opal</t>
        </is>
      </c>
      <c r="B3054" s="42" t="inlineStr">
        <is>
          <t>signature opal australia</t>
        </is>
      </c>
      <c r="C3054" s="42" t="n"/>
    </row>
    <row r="3055" ht="15" customHeight="1" s="37">
      <c r="A3055" s="42" t="inlineStr">
        <is>
          <t>signature opal</t>
        </is>
      </c>
      <c r="B3055" s="42" t="inlineStr">
        <is>
          <t>signature opal отзывы</t>
        </is>
      </c>
      <c r="C3055" s="42" t="inlineStr">
        <is>
          <t>Yes</t>
        </is>
      </c>
    </row>
    <row r="3056" ht="15" customHeight="1" s="37">
      <c r="A3056" s="42" t="inlineStr">
        <is>
          <t>signature opal</t>
        </is>
      </c>
      <c r="B3056" s="42" t="inlineStr">
        <is>
          <t>signature opal kvepalai</t>
        </is>
      </c>
      <c r="C3056" s="42" t="n"/>
    </row>
    <row r="3057" ht="15" customHeight="1" s="37">
      <c r="A3057" s="42" t="inlineStr">
        <is>
          <t>signature opal</t>
        </is>
      </c>
      <c r="B3057" s="42" t="inlineStr">
        <is>
          <t>signature opal fragrantica</t>
        </is>
      </c>
      <c r="C3057" s="42" t="n"/>
    </row>
    <row r="3058" ht="15" customHeight="1" s="37">
      <c r="A3058" s="42" t="inlineStr">
        <is>
          <t>signature opal</t>
        </is>
      </c>
      <c r="B3058" s="42" t="inlineStr">
        <is>
          <t>signature opal parfum</t>
        </is>
      </c>
      <c r="C3058" s="42" t="inlineStr">
        <is>
          <t>Yes</t>
        </is>
      </c>
    </row>
    <row r="3059" ht="15" customHeight="1" s="37">
      <c r="A3059" s="42" t="inlineStr">
        <is>
          <t>signature opal</t>
        </is>
      </c>
      <c r="B3059" s="42" t="inlineStr">
        <is>
          <t>signature collection opal glow</t>
        </is>
      </c>
      <c r="C3059" s="42" t="n"/>
    </row>
    <row r="3060" ht="15" customHeight="1" s="37">
      <c r="A3060" s="42" t="inlineStr">
        <is>
          <t>signature paradiso</t>
        </is>
      </c>
      <c r="B3060" s="42" t="inlineStr">
        <is>
          <t>signature paradiso perfume</t>
        </is>
      </c>
      <c r="C3060" s="42" t="inlineStr">
        <is>
          <t>Yes</t>
        </is>
      </c>
    </row>
    <row r="3061" ht="15" customHeight="1" s="37">
      <c r="A3061" s="42" t="inlineStr">
        <is>
          <t>signature paradiso</t>
        </is>
      </c>
      <c r="B3061" s="42" t="inlineStr">
        <is>
          <t>signature paradiso</t>
        </is>
      </c>
      <c r="C3061" s="42" t="inlineStr">
        <is>
          <t>Yes</t>
        </is>
      </c>
    </row>
    <row r="3062" ht="15" customHeight="1" s="37">
      <c r="A3062" s="42" t="inlineStr">
        <is>
          <t>signature paradiso</t>
        </is>
      </c>
      <c r="B3062" s="42" t="inlineStr">
        <is>
          <t>signature paradiso eau de parfum</t>
        </is>
      </c>
      <c r="C3062" s="42" t="inlineStr">
        <is>
          <t>Yes</t>
        </is>
      </c>
    </row>
    <row r="3063" ht="15" customHeight="1" s="37">
      <c r="A3063" s="42" t="inlineStr">
        <is>
          <t>signature paradiso</t>
        </is>
      </c>
      <c r="B3063" s="42" t="inlineStr">
        <is>
          <t>signature paradiso edt</t>
        </is>
      </c>
      <c r="C3063" s="42" t="inlineStr">
        <is>
          <t>Yes</t>
        </is>
      </c>
    </row>
    <row r="3064" ht="15" customHeight="1" s="37">
      <c r="A3064" s="42" t="inlineStr">
        <is>
          <t>signature paradiso</t>
        </is>
      </c>
      <c r="B3064" s="42" t="inlineStr">
        <is>
          <t>signature paradiso parfum</t>
        </is>
      </c>
      <c r="C3064" s="42" t="inlineStr">
        <is>
          <t>Yes</t>
        </is>
      </c>
    </row>
    <row r="3065" ht="15" customHeight="1" s="37">
      <c r="A3065" s="42" t="inlineStr">
        <is>
          <t>signature paradiso</t>
        </is>
      </c>
      <c r="B3065" s="42" t="inlineStr">
        <is>
          <t>signature paradiso fragrantica</t>
        </is>
      </c>
      <c r="C3065" s="42" t="n"/>
    </row>
    <row r="3066" ht="15" customHeight="1" s="37">
      <c r="A3066" s="42" t="inlineStr">
        <is>
          <t>signature paradiso</t>
        </is>
      </c>
      <c r="B3066" s="42" t="inlineStr">
        <is>
          <t>signature paradiso отзывы</t>
        </is>
      </c>
      <c r="C3066" s="42" t="inlineStr">
        <is>
          <t>Yes</t>
        </is>
      </c>
    </row>
    <row r="3067" ht="15" customHeight="1" s="37">
      <c r="A3067" s="42" t="inlineStr">
        <is>
          <t>signature paradiso</t>
        </is>
      </c>
      <c r="B3067" s="42" t="inlineStr">
        <is>
          <t>paradiso signature lounge</t>
        </is>
      </c>
      <c r="C3067" s="42" t="n"/>
    </row>
    <row r="3068" ht="15" customHeight="1" s="37">
      <c r="A3068" s="42" t="inlineStr">
        <is>
          <t>signature paradiso</t>
        </is>
      </c>
      <c r="B3068" s="42" t="inlineStr">
        <is>
          <t>bw signature paradiso naples</t>
        </is>
      </c>
      <c r="C3068" s="42" t="n"/>
    </row>
    <row r="3069" ht="15" customHeight="1" s="37">
      <c r="A3069" s="42" t="inlineStr">
        <is>
          <t>signature paradiso</t>
        </is>
      </c>
      <c r="B3069" s="42" t="inlineStr">
        <is>
          <t>signature by sillage paradiso</t>
        </is>
      </c>
      <c r="C3069" s="42" t="n"/>
    </row>
    <row r="3070" ht="15" customHeight="1" s="37">
      <c r="A3070" s="42" t="inlineStr">
        <is>
          <t>signature rose</t>
        </is>
      </c>
      <c r="B3070" s="42" t="inlineStr">
        <is>
          <t>signature rose gold perfume</t>
        </is>
      </c>
      <c r="C3070" s="42" t="n"/>
    </row>
    <row r="3071" ht="15" customHeight="1" s="37">
      <c r="A3071" s="42" t="inlineStr">
        <is>
          <t>signature rose</t>
        </is>
      </c>
      <c r="B3071" s="42" t="inlineStr">
        <is>
          <t>signature rose gold</t>
        </is>
      </c>
      <c r="C3071" s="42" t="n"/>
    </row>
    <row r="3072" ht="15" customHeight="1" s="37">
      <c r="A3072" s="42" t="inlineStr">
        <is>
          <t>signature rose</t>
        </is>
      </c>
      <c r="B3072" s="42" t="inlineStr">
        <is>
          <t>signature rose gold perfume price</t>
        </is>
      </c>
      <c r="C3072" s="42" t="n"/>
    </row>
    <row r="3073" ht="15" customHeight="1" s="37">
      <c r="A3073" s="42" t="inlineStr">
        <is>
          <t>signature rose</t>
        </is>
      </c>
      <c r="B3073" s="42" t="inlineStr">
        <is>
          <t>signature roselia sector 95a</t>
        </is>
      </c>
      <c r="C3073" s="42" t="n"/>
    </row>
    <row r="3074" ht="15" customHeight="1" s="37">
      <c r="A3074" s="42" t="inlineStr">
        <is>
          <t>signature rose</t>
        </is>
      </c>
      <c r="B3074" s="42" t="inlineStr">
        <is>
          <t>signature rose gold perfume price in pakistan</t>
        </is>
      </c>
      <c r="C3074" s="42" t="n"/>
    </row>
    <row r="3075" ht="15" customHeight="1" s="37">
      <c r="A3075" s="42" t="inlineStr">
        <is>
          <t>signature rose</t>
        </is>
      </c>
      <c r="B3075" s="42" t="inlineStr">
        <is>
          <t>signature rose</t>
        </is>
      </c>
      <c r="C3075" s="42" t="inlineStr">
        <is>
          <t>Yes</t>
        </is>
      </c>
    </row>
    <row r="3076" ht="15" customHeight="1" s="37">
      <c r="A3076" s="42" t="inlineStr">
        <is>
          <t>signature rose</t>
        </is>
      </c>
      <c r="B3076" s="42" t="inlineStr">
        <is>
          <t>signature roselia</t>
        </is>
      </c>
      <c r="C3076" s="42" t="n"/>
    </row>
    <row r="3077" ht="15" customHeight="1" s="37">
      <c r="A3077" s="42" t="inlineStr">
        <is>
          <t>signature rose</t>
        </is>
      </c>
      <c r="B3077" s="42" t="inlineStr">
        <is>
          <t>signature rose perfume</t>
        </is>
      </c>
      <c r="C3077" s="42" t="inlineStr">
        <is>
          <t>Yes</t>
        </is>
      </c>
    </row>
    <row r="3078" ht="15" customHeight="1" s="37">
      <c r="A3078" s="42" t="inlineStr">
        <is>
          <t>signature rose</t>
        </is>
      </c>
      <c r="B3078" s="42" t="inlineStr">
        <is>
          <t>signature rose gold perfume price in ksa</t>
        </is>
      </c>
      <c r="C3078" s="42" t="n"/>
    </row>
    <row r="3079" ht="15" customHeight="1" s="37">
      <c r="A3079" s="42" t="inlineStr">
        <is>
          <t>signature rose</t>
        </is>
      </c>
      <c r="B3079" s="42" t="inlineStr">
        <is>
          <t>signature rose gold dkhoon emirates</t>
        </is>
      </c>
      <c r="C3079" s="42" t="n"/>
    </row>
    <row r="3080" ht="15" customHeight="1" s="37">
      <c r="A3080" s="42" t="inlineStr">
        <is>
          <t>signature santal</t>
        </is>
      </c>
      <c r="B3080" s="42" t="inlineStr">
        <is>
          <t>signature santal</t>
        </is>
      </c>
      <c r="C3080" s="42" t="inlineStr">
        <is>
          <t>Yes</t>
        </is>
      </c>
    </row>
    <row r="3081" ht="15" customHeight="1" s="37">
      <c r="A3081" s="42" t="inlineStr">
        <is>
          <t>signature santal</t>
        </is>
      </c>
      <c r="B3081" s="42" t="inlineStr">
        <is>
          <t>signature santal perfume</t>
        </is>
      </c>
      <c r="C3081" s="42" t="inlineStr">
        <is>
          <t>Yes</t>
        </is>
      </c>
    </row>
    <row r="3082" ht="15" customHeight="1" s="37">
      <c r="A3082" s="42" t="inlineStr">
        <is>
          <t>signature santal</t>
        </is>
      </c>
      <c r="B3082" s="42" t="inlineStr">
        <is>
          <t>signature santal edp</t>
        </is>
      </c>
      <c r="C3082" s="42" t="inlineStr">
        <is>
          <t>Yes</t>
        </is>
      </c>
    </row>
    <row r="3083" ht="15" customHeight="1" s="37">
      <c r="A3083" s="42" t="inlineStr">
        <is>
          <t>signature santal</t>
        </is>
      </c>
      <c r="B3083" s="42" t="inlineStr">
        <is>
          <t>signature santal fragrantica</t>
        </is>
      </c>
      <c r="C3083" s="42" t="n"/>
    </row>
    <row r="3084" ht="15" customHeight="1" s="37">
      <c r="A3084" s="42" t="inlineStr">
        <is>
          <t>signature santal</t>
        </is>
      </c>
      <c r="B3084" s="42" t="inlineStr">
        <is>
          <t>signature santal sandalwood</t>
        </is>
      </c>
      <c r="C3084" s="42" t="n"/>
    </row>
    <row r="3085" ht="15" customHeight="1" s="37">
      <c r="A3085" s="42" t="inlineStr">
        <is>
          <t>signature santal</t>
        </is>
      </c>
      <c r="B3085" s="42" t="inlineStr">
        <is>
          <t>signature santal notes</t>
        </is>
      </c>
      <c r="C3085" s="42" t="inlineStr">
        <is>
          <t>Yes</t>
        </is>
      </c>
    </row>
    <row r="3086" ht="15" customHeight="1" s="37">
      <c r="A3086" s="42" t="inlineStr">
        <is>
          <t>signature santal</t>
        </is>
      </c>
      <c r="B3086" s="42" t="inlineStr">
        <is>
          <t>signature santal oil</t>
        </is>
      </c>
      <c r="C3086" s="42" t="inlineStr">
        <is>
          <t>Yes</t>
        </is>
      </c>
    </row>
    <row r="3087" ht="15" customHeight="1" s="37">
      <c r="A3087" s="42" t="inlineStr">
        <is>
          <t>signature santal</t>
        </is>
      </c>
      <c r="B3087" s="42" t="inlineStr">
        <is>
          <t>signature santal eau de parfum</t>
        </is>
      </c>
      <c r="C3087" s="42" t="inlineStr">
        <is>
          <t>Yes</t>
        </is>
      </c>
    </row>
    <row r="3088" ht="15" customHeight="1" s="37">
      <c r="A3088" s="42" t="inlineStr">
        <is>
          <t>signature santal</t>
        </is>
      </c>
      <c r="B3088" s="42" t="inlineStr">
        <is>
          <t>signature santal отзывы</t>
        </is>
      </c>
      <c r="C3088" s="42" t="inlineStr">
        <is>
          <t>Yes</t>
        </is>
      </c>
    </row>
    <row r="3089" ht="15" customHeight="1" s="37">
      <c r="A3089" s="42" t="inlineStr">
        <is>
          <t>signature santal</t>
        </is>
      </c>
      <c r="B3089" s="42" t="inlineStr">
        <is>
          <t>signature santal kvepalai</t>
        </is>
      </c>
      <c r="C3089" s="42" t="n"/>
    </row>
    <row r="3090" ht="15" customHeight="1" s="37">
      <c r="A3090" s="42" t="inlineStr">
        <is>
          <t>signature sapphire</t>
        </is>
      </c>
      <c r="B3090" s="42" t="inlineStr">
        <is>
          <t>signature sapphire</t>
        </is>
      </c>
      <c r="C3090" s="42" t="inlineStr">
        <is>
          <t>Yes</t>
        </is>
      </c>
    </row>
    <row r="3091" ht="15" customHeight="1" s="37">
      <c r="A3091" s="42" t="inlineStr">
        <is>
          <t>signature sapphire</t>
        </is>
      </c>
      <c r="B3091" s="42" t="inlineStr">
        <is>
          <t>signature sapphire perfume</t>
        </is>
      </c>
      <c r="C3091" s="42" t="inlineStr">
        <is>
          <t>Yes</t>
        </is>
      </c>
    </row>
    <row r="3092" ht="15" customHeight="1" s="37">
      <c r="A3092" s="42" t="inlineStr">
        <is>
          <t>signature sapphire</t>
        </is>
      </c>
      <c r="B3092" s="42" t="inlineStr">
        <is>
          <t>signature sapphire eau de parfum</t>
        </is>
      </c>
      <c r="C3092" s="42" t="inlineStr">
        <is>
          <t>Yes</t>
        </is>
      </c>
    </row>
    <row r="3093" ht="15" customHeight="1" s="37">
      <c r="A3093" s="42" t="inlineStr">
        <is>
          <t>signature sapphire</t>
        </is>
      </c>
      <c r="B3093" s="42" t="inlineStr">
        <is>
          <t>signature sapphire watch</t>
        </is>
      </c>
      <c r="C3093" s="42" t="n"/>
    </row>
    <row r="3094" ht="15" customHeight="1" s="37">
      <c r="A3094" s="42" t="inlineStr">
        <is>
          <t>signature sapphire</t>
        </is>
      </c>
      <c r="B3094" s="42" t="inlineStr">
        <is>
          <t>signature sapphire edp</t>
        </is>
      </c>
      <c r="C3094" s="42" t="inlineStr">
        <is>
          <t>Yes</t>
        </is>
      </c>
    </row>
    <row r="3095" ht="15" customHeight="1" s="37">
      <c r="A3095" s="42" t="inlineStr">
        <is>
          <t>signature sapphire</t>
        </is>
      </c>
      <c r="B3095" s="42" t="inlineStr">
        <is>
          <t>sapphire signature collection</t>
        </is>
      </c>
      <c r="C3095" s="42" t="n"/>
    </row>
    <row r="3096" ht="15" customHeight="1" s="37">
      <c r="A3096" s="42" t="inlineStr">
        <is>
          <t>signature sapphire</t>
        </is>
      </c>
      <c r="B3096" s="42" t="inlineStr">
        <is>
          <t>sapphire signature 3 piece embroidered</t>
        </is>
      </c>
      <c r="C3096" s="42" t="n"/>
    </row>
    <row r="3097" ht="15" customHeight="1" s="37">
      <c r="A3097" s="42" t="inlineStr">
        <is>
          <t>signature sapphire</t>
        </is>
      </c>
      <c r="B3097" s="42" t="inlineStr">
        <is>
          <t>sapphire signature collection 2025</t>
        </is>
      </c>
      <c r="C3097" s="42" t="n"/>
    </row>
    <row r="3098" ht="15" customHeight="1" s="37">
      <c r="A3098" s="42" t="inlineStr">
        <is>
          <t>signature sapphire</t>
        </is>
      </c>
      <c r="B3098" s="42" t="inlineStr">
        <is>
          <t>sapphire signature unstitched</t>
        </is>
      </c>
      <c r="C3098" s="42" t="n"/>
    </row>
    <row r="3099" ht="15" customHeight="1" s="37">
      <c r="A3099" s="42" t="inlineStr">
        <is>
          <t>signature sapphire</t>
        </is>
      </c>
      <c r="B3099" s="42" t="inlineStr">
        <is>
          <t>sapphire signature sale</t>
        </is>
      </c>
      <c r="C3099" s="42" t="inlineStr">
        <is>
          <t>Yes</t>
        </is>
      </c>
    </row>
    <row r="3100" ht="15" customHeight="1" s="37">
      <c r="A3100" s="42" t="inlineStr">
        <is>
          <t>the woods collection azure</t>
        </is>
      </c>
      <c r="B3100" s="42" t="inlineStr">
        <is>
          <t>the woods collection azure</t>
        </is>
      </c>
      <c r="C3100" s="42" t="inlineStr">
        <is>
          <t>Yes</t>
        </is>
      </c>
    </row>
    <row r="3101" ht="15" customHeight="1" s="37">
      <c r="A3101" s="42" t="inlineStr">
        <is>
          <t>the woods collection azure</t>
        </is>
      </c>
      <c r="B3101" s="42" t="inlineStr">
        <is>
          <t>the woods collection azure review</t>
        </is>
      </c>
      <c r="C3101" s="42" t="inlineStr">
        <is>
          <t>Yes</t>
        </is>
      </c>
    </row>
    <row r="3102" ht="15" customHeight="1" s="37">
      <c r="A3102" s="42" t="inlineStr">
        <is>
          <t>the woods collection azure</t>
        </is>
      </c>
      <c r="B3102" s="42" t="inlineStr">
        <is>
          <t>the woods collection azure eau de parfum</t>
        </is>
      </c>
      <c r="C3102" s="42" t="inlineStr">
        <is>
          <t>Yes</t>
        </is>
      </c>
    </row>
    <row r="3103" ht="15" customHeight="1" s="37">
      <c r="A3103" s="42" t="inlineStr">
        <is>
          <t>the woods collection azure</t>
        </is>
      </c>
      <c r="B3103" s="42" t="inlineStr">
        <is>
          <t>the woods collection azure fragrantica</t>
        </is>
      </c>
      <c r="C3103" s="42" t="n"/>
    </row>
    <row r="3104" ht="15" customHeight="1" s="37">
      <c r="A3104" s="42" t="inlineStr">
        <is>
          <t>the woods collection azure</t>
        </is>
      </c>
      <c r="B3104" s="42" t="inlineStr">
        <is>
          <t>the woods collection azure reddit</t>
        </is>
      </c>
      <c r="C3104" s="42" t="n"/>
    </row>
    <row r="3105" ht="15" customHeight="1" s="37">
      <c r="A3105" s="42" t="inlineStr">
        <is>
          <t>the woods collection azure</t>
        </is>
      </c>
      <c r="B3105" s="42" t="inlineStr">
        <is>
          <t>the woods collection azure u edp 100ml</t>
        </is>
      </c>
      <c r="C3105" s="42" t="n"/>
    </row>
    <row r="3106" ht="15" customHeight="1" s="37">
      <c r="A3106" s="42" t="inlineStr">
        <is>
          <t>the woods collection azure</t>
        </is>
      </c>
      <c r="B3106" s="42" t="inlineStr">
        <is>
          <t>the woods collection unisex azure</t>
        </is>
      </c>
      <c r="C3106" s="42" t="n"/>
    </row>
    <row r="3107" ht="15" customHeight="1" s="37">
      <c r="A3107" s="42" t="inlineStr">
        <is>
          <t>the woods collection azure</t>
        </is>
      </c>
      <c r="B3107" s="42" t="inlineStr">
        <is>
          <t>the woods collection azure отзывы</t>
        </is>
      </c>
      <c r="C3107" s="42" t="inlineStr">
        <is>
          <t>Yes</t>
        </is>
      </c>
    </row>
    <row r="3108" ht="15" customHeight="1" s="37">
      <c r="A3108" s="42" t="inlineStr">
        <is>
          <t>the woods collection azure</t>
        </is>
      </c>
      <c r="B3108" s="42" t="inlineStr">
        <is>
          <t>the woods collection azure фрагрантика</t>
        </is>
      </c>
      <c r="C3108" s="42" t="inlineStr">
        <is>
          <t>Yes</t>
        </is>
      </c>
    </row>
    <row r="3109" ht="15" customHeight="1" s="37">
      <c r="A3109" s="42" t="inlineStr">
        <is>
          <t>the woods collection eden</t>
        </is>
      </c>
      <c r="B3109" s="42" t="inlineStr">
        <is>
          <t>the woods collection eden</t>
        </is>
      </c>
      <c r="C3109" s="42" t="inlineStr">
        <is>
          <t>Yes</t>
        </is>
      </c>
    </row>
    <row r="3110" ht="15" customHeight="1" s="37">
      <c r="A3110" s="42" t="inlineStr">
        <is>
          <t>the woods collection eden</t>
        </is>
      </c>
      <c r="B3110" s="42" t="inlineStr">
        <is>
          <t>the woods collection eden fragrantica</t>
        </is>
      </c>
      <c r="C3110" s="42" t="n"/>
    </row>
    <row r="3111" ht="15" customHeight="1" s="37">
      <c r="A3111" s="42" t="inlineStr">
        <is>
          <t>the woods collection eden</t>
        </is>
      </c>
      <c r="B3111" s="42" t="inlineStr">
        <is>
          <t>the woods collection eden review</t>
        </is>
      </c>
      <c r="C3111" s="42" t="inlineStr">
        <is>
          <t>Yes</t>
        </is>
      </c>
    </row>
    <row r="3112" ht="15" customHeight="1" s="37">
      <c r="A3112" s="42" t="inlineStr">
        <is>
          <t>the woods collection eden</t>
        </is>
      </c>
      <c r="B3112" s="42" t="inlineStr">
        <is>
          <t>the woods collection eden eau de parfum</t>
        </is>
      </c>
      <c r="C3112" s="42" t="inlineStr">
        <is>
          <t>Yes</t>
        </is>
      </c>
    </row>
    <row r="3113" ht="15" customHeight="1" s="37">
      <c r="A3113" s="42" t="inlineStr">
        <is>
          <t>the woods collection eden</t>
        </is>
      </c>
      <c r="B3113" s="42" t="inlineStr">
        <is>
          <t>the woods collection eden отзывы</t>
        </is>
      </c>
      <c r="C3113" s="42" t="inlineStr">
        <is>
          <t>Yes</t>
        </is>
      </c>
    </row>
    <row r="3114" ht="15" customHeight="1" s="37">
      <c r="A3114" s="42" t="inlineStr">
        <is>
          <t>the woods collection eden</t>
        </is>
      </c>
      <c r="B3114" s="42" t="inlineStr">
        <is>
          <t>the woods collection eden edp 100ml</t>
        </is>
      </c>
      <c r="C3114" s="42" t="inlineStr">
        <is>
          <t>Yes</t>
        </is>
      </c>
    </row>
    <row r="3115" ht="15" customHeight="1" s="37">
      <c r="A3115" s="42" t="inlineStr">
        <is>
          <t>the woods collection eden</t>
        </is>
      </c>
      <c r="B3115" s="42" t="inlineStr">
        <is>
          <t>the woods collection unisex eden</t>
        </is>
      </c>
      <c r="C3115" s="42" t="n"/>
    </row>
    <row r="3116" ht="15" customHeight="1" s="37">
      <c r="A3116" s="42" t="inlineStr">
        <is>
          <t>the woods collection eden</t>
        </is>
      </c>
      <c r="B3116" s="42" t="inlineStr">
        <is>
          <t>عطر the woods collection eden</t>
        </is>
      </c>
      <c r="C3116" s="42" t="inlineStr">
        <is>
          <t>Yes</t>
        </is>
      </c>
    </row>
    <row r="3117" ht="15" customHeight="1" s="37">
      <c r="A3117" s="42" t="inlineStr">
        <is>
          <t>the woods collection eden</t>
        </is>
      </c>
      <c r="B3117" s="42" t="inlineStr">
        <is>
          <t>the woods collection eden фрагрантика</t>
        </is>
      </c>
      <c r="C3117" s="42" t="inlineStr">
        <is>
          <t>Yes</t>
        </is>
      </c>
    </row>
    <row r="3118" ht="15" customHeight="1" s="37">
      <c r="A3118" s="42" t="inlineStr">
        <is>
          <t>the woods collection eden</t>
        </is>
      </c>
      <c r="B3118" s="42" t="inlineStr">
        <is>
          <t>the woods collection eden купить</t>
        </is>
      </c>
      <c r="C3118" s="42" t="n"/>
    </row>
    <row r="3119" ht="15" customHeight="1" s="37">
      <c r="A3119" s="42" t="inlineStr">
        <is>
          <t>the woods collection elysian</t>
        </is>
      </c>
      <c r="B3119" s="42" t="inlineStr">
        <is>
          <t>the woods collection elysian</t>
        </is>
      </c>
      <c r="C3119" s="42" t="inlineStr">
        <is>
          <t>Yes</t>
        </is>
      </c>
    </row>
    <row r="3120" ht="15" customHeight="1" s="37">
      <c r="A3120" s="42" t="inlineStr">
        <is>
          <t>the woods collection elysian</t>
        </is>
      </c>
      <c r="B3120" s="42" t="inlineStr">
        <is>
          <t>the woods collection elysian u edp 100ml</t>
        </is>
      </c>
      <c r="C3120" s="42" t="n"/>
    </row>
    <row r="3121" ht="15" customHeight="1" s="37">
      <c r="A3121" s="42" t="inlineStr">
        <is>
          <t>the woods collection elysian</t>
        </is>
      </c>
      <c r="B3121" s="42" t="inlineStr">
        <is>
          <t>the woods collection unisex elysian</t>
        </is>
      </c>
      <c r="C3121" s="42" t="n"/>
    </row>
    <row r="3122" ht="15" customHeight="1" s="37">
      <c r="A3122" s="42" t="inlineStr">
        <is>
          <t>the woods collection green walk</t>
        </is>
      </c>
      <c r="B3122" s="42" t="inlineStr">
        <is>
          <t>the woods collection green walk</t>
        </is>
      </c>
      <c r="C3122" s="42" t="inlineStr">
        <is>
          <t>Yes</t>
        </is>
      </c>
    </row>
    <row r="3123" ht="15" customHeight="1" s="37">
      <c r="A3123" s="42" t="inlineStr">
        <is>
          <t>the woods collection green walk</t>
        </is>
      </c>
      <c r="B3123" s="42" t="inlineStr">
        <is>
          <t>the woods collection green walk eau de parfum</t>
        </is>
      </c>
      <c r="C3123" s="42" t="inlineStr">
        <is>
          <t>Yes</t>
        </is>
      </c>
    </row>
    <row r="3124" ht="15" customHeight="1" s="37">
      <c r="A3124" s="42" t="inlineStr">
        <is>
          <t>the woods collection green walk</t>
        </is>
      </c>
      <c r="B3124" s="42" t="inlineStr">
        <is>
          <t>the woods collection green walk u edp 100ml</t>
        </is>
      </c>
      <c r="C3124" s="42" t="n"/>
    </row>
    <row r="3125" ht="15" customHeight="1" s="37">
      <c r="A3125" s="42" t="inlineStr">
        <is>
          <t>the woods collection green walk</t>
        </is>
      </c>
      <c r="B3125" s="42" t="inlineStr">
        <is>
          <t>the woods collection green walk review</t>
        </is>
      </c>
      <c r="C3125" s="42" t="inlineStr">
        <is>
          <t>Yes</t>
        </is>
      </c>
    </row>
    <row r="3126" ht="15" customHeight="1" s="37">
      <c r="A3126" s="42" t="inlineStr">
        <is>
          <t>the woods collection green walk</t>
        </is>
      </c>
      <c r="B3126" s="42" t="inlineStr">
        <is>
          <t>the woods collection green walk отзывы</t>
        </is>
      </c>
      <c r="C3126" s="42" t="inlineStr">
        <is>
          <t>Yes</t>
        </is>
      </c>
    </row>
    <row r="3127" ht="15" customHeight="1" s="37">
      <c r="A3127" s="42" t="inlineStr">
        <is>
          <t>the woods collection green walk</t>
        </is>
      </c>
      <c r="B3127" s="42" t="inlineStr">
        <is>
          <t>the woods collection unisex green walk</t>
        </is>
      </c>
      <c r="C3127" s="42" t="n"/>
    </row>
    <row r="3128" ht="15" customHeight="1" s="37">
      <c r="A3128" s="42" t="inlineStr">
        <is>
          <t>the woods collection green walk</t>
        </is>
      </c>
      <c r="B3128" s="42" t="inlineStr">
        <is>
          <t>the woods green walk</t>
        </is>
      </c>
      <c r="C3128" s="42" t="inlineStr">
        <is>
          <t>Yes</t>
        </is>
      </c>
    </row>
    <row r="3129" ht="15" customHeight="1" s="37">
      <c r="A3129" s="42" t="inlineStr">
        <is>
          <t>the woods collection green walk</t>
        </is>
      </c>
      <c r="B3129" s="42" t="inlineStr">
        <is>
          <t>the green walk from the woods collection house</t>
        </is>
      </c>
      <c r="C3129" s="42" t="n"/>
    </row>
    <row r="3130" ht="15" customHeight="1" s="37">
      <c r="A3130" s="42" t="inlineStr">
        <is>
          <t>the woods collection green walk</t>
        </is>
      </c>
      <c r="B3130" s="42" t="inlineStr">
        <is>
          <t>why hasn't my green bin been collected</t>
        </is>
      </c>
      <c r="C3130" s="42" t="n"/>
    </row>
    <row r="3131" ht="15" customHeight="1" s="37">
      <c r="A3131" s="42" t="inlineStr">
        <is>
          <t>the woods collection green walk</t>
        </is>
      </c>
      <c r="B3131" s="42" t="inlineStr">
        <is>
          <t>why my green bin not collected</t>
        </is>
      </c>
      <c r="C3131" s="42" t="n"/>
    </row>
    <row r="3132" ht="15" customHeight="1" s="37">
      <c r="A3132" s="42" t="inlineStr">
        <is>
          <t>the woods collection mirage</t>
        </is>
      </c>
      <c r="B3132" s="42" t="inlineStr">
        <is>
          <t>the woods collection mirage</t>
        </is>
      </c>
      <c r="C3132" s="42" t="inlineStr">
        <is>
          <t>Yes</t>
        </is>
      </c>
    </row>
    <row r="3133" ht="15" customHeight="1" s="37">
      <c r="A3133" s="42" t="inlineStr">
        <is>
          <t>the woods collection mirage</t>
        </is>
      </c>
      <c r="B3133" s="42" t="inlineStr">
        <is>
          <t>the woods collection mirage fragrantica</t>
        </is>
      </c>
      <c r="C3133" s="42" t="n"/>
    </row>
    <row r="3134" ht="15" customHeight="1" s="37">
      <c r="A3134" s="42" t="inlineStr">
        <is>
          <t>the woods collection mirage</t>
        </is>
      </c>
      <c r="B3134" s="42" t="inlineStr">
        <is>
          <t>the woods collection mirage review</t>
        </is>
      </c>
      <c r="C3134" s="42" t="inlineStr">
        <is>
          <t>Yes</t>
        </is>
      </c>
    </row>
    <row r="3135" ht="15" customHeight="1" s="37">
      <c r="A3135" s="42" t="inlineStr">
        <is>
          <t>the woods collection mirage</t>
        </is>
      </c>
      <c r="B3135" s="42" t="inlineStr">
        <is>
          <t>the woods collection mirage notes</t>
        </is>
      </c>
      <c r="C3135" s="42" t="inlineStr">
        <is>
          <t>Yes</t>
        </is>
      </c>
    </row>
    <row r="3136" ht="15" customHeight="1" s="37">
      <c r="A3136" s="42" t="inlineStr">
        <is>
          <t>the woods collection mirage</t>
        </is>
      </c>
      <c r="B3136" s="42" t="inlineStr">
        <is>
          <t>the woods collection mirage отзывы</t>
        </is>
      </c>
      <c r="C3136" s="42" t="inlineStr">
        <is>
          <t>Yes</t>
        </is>
      </c>
    </row>
    <row r="3137" ht="15" customHeight="1" s="37">
      <c r="A3137" s="42" t="inlineStr">
        <is>
          <t>the woods collection mirage</t>
        </is>
      </c>
      <c r="B3137" s="42" t="inlineStr">
        <is>
          <t>the woods collection mirage eau de parfum</t>
        </is>
      </c>
      <c r="C3137" s="42" t="inlineStr">
        <is>
          <t>Yes</t>
        </is>
      </c>
    </row>
    <row r="3138" ht="15" customHeight="1" s="37">
      <c r="A3138" s="42" t="inlineStr">
        <is>
          <t>the woods collection mirage</t>
        </is>
      </c>
      <c r="B3138" s="42" t="inlineStr">
        <is>
          <t>the woods collection mirage edp</t>
        </is>
      </c>
      <c r="C3138" s="42" t="inlineStr">
        <is>
          <t>Yes</t>
        </is>
      </c>
    </row>
    <row r="3139" ht="15" customHeight="1" s="37">
      <c r="A3139" s="42" t="inlineStr">
        <is>
          <t>the woods collection perfume</t>
        </is>
      </c>
      <c r="B3139" s="42" t="inlineStr">
        <is>
          <t>the woods collection perfume</t>
        </is>
      </c>
      <c r="C3139" s="42" t="inlineStr">
        <is>
          <t>Yes</t>
        </is>
      </c>
    </row>
    <row r="3140" ht="15" customHeight="1" s="37">
      <c r="A3140" s="42" t="inlineStr">
        <is>
          <t>the woods collection pure shine</t>
        </is>
      </c>
      <c r="B3140" s="42" t="inlineStr">
        <is>
          <t>the woods collection pure shine</t>
        </is>
      </c>
      <c r="C3140" s="42" t="inlineStr">
        <is>
          <t>Yes</t>
        </is>
      </c>
    </row>
    <row r="3141" ht="15" customHeight="1" s="37">
      <c r="A3141" s="42" t="inlineStr">
        <is>
          <t>the woods collection pure shine</t>
        </is>
      </c>
      <c r="B3141" s="42" t="inlineStr">
        <is>
          <t>the woods collection pure shine edp</t>
        </is>
      </c>
      <c r="C3141" s="42" t="inlineStr">
        <is>
          <t>Yes</t>
        </is>
      </c>
    </row>
    <row r="3142" ht="15" customHeight="1" s="37">
      <c r="A3142" s="42" t="inlineStr">
        <is>
          <t>the woods collection pure shine</t>
        </is>
      </c>
      <c r="B3142" s="42" t="inlineStr">
        <is>
          <t>the woods collection pure shine eau de parfum</t>
        </is>
      </c>
      <c r="C3142" s="42" t="inlineStr">
        <is>
          <t>Yes</t>
        </is>
      </c>
    </row>
    <row r="3143" ht="15" customHeight="1" s="37">
      <c r="A3143" s="42" t="inlineStr">
        <is>
          <t>the woods collection pure shine</t>
        </is>
      </c>
      <c r="B3143" s="42" t="inlineStr">
        <is>
          <t>the woods collection pure shine fragrantica</t>
        </is>
      </c>
      <c r="C3143" s="42" t="n"/>
    </row>
    <row r="3144" ht="15" customHeight="1" s="37">
      <c r="A3144" s="42" t="inlineStr">
        <is>
          <t>the woods collection pure shine</t>
        </is>
      </c>
      <c r="B3144" s="42" t="inlineStr">
        <is>
          <t>the woods collection pure shine review</t>
        </is>
      </c>
      <c r="C3144" s="42" t="inlineStr">
        <is>
          <t>Yes</t>
        </is>
      </c>
    </row>
    <row r="3145" ht="15" customHeight="1" s="37">
      <c r="A3145" s="42" t="inlineStr">
        <is>
          <t>the woods collection pure shine</t>
        </is>
      </c>
      <c r="B3145" s="42" t="inlineStr">
        <is>
          <t>the woods collection pure shine отзывы</t>
        </is>
      </c>
      <c r="C3145" s="42" t="inlineStr">
        <is>
          <t>Yes</t>
        </is>
      </c>
    </row>
    <row r="3146" ht="15" customHeight="1" s="37">
      <c r="A3146" s="42" t="inlineStr">
        <is>
          <t>the woods collection pure shine</t>
        </is>
      </c>
      <c r="B3146" s="42" t="inlineStr">
        <is>
          <t>the woods collection pure shine edp 100ml</t>
        </is>
      </c>
      <c r="C3146" s="42" t="inlineStr">
        <is>
          <t>Yes</t>
        </is>
      </c>
    </row>
    <row r="3147" ht="15" customHeight="1" s="37">
      <c r="A3147" s="42" t="inlineStr">
        <is>
          <t>the woods collection pure shine</t>
        </is>
      </c>
      <c r="B3147" s="42" t="inlineStr">
        <is>
          <t>the woods collection unisex pure shine</t>
        </is>
      </c>
      <c r="C3147" s="42" t="n"/>
    </row>
    <row r="3148" ht="15" customHeight="1" s="37">
      <c r="A3148" s="42" t="inlineStr">
        <is>
          <t>the woods collection pure shine</t>
        </is>
      </c>
      <c r="B3148" s="42" t="inlineStr">
        <is>
          <t>the woods pure shine</t>
        </is>
      </c>
      <c r="C3148" s="42" t="inlineStr">
        <is>
          <t>Yes</t>
        </is>
      </c>
    </row>
    <row r="3149" ht="15" customHeight="1" s="37">
      <c r="A3149" s="42" t="inlineStr">
        <is>
          <t>the woods collection pure shine</t>
        </is>
      </c>
      <c r="B3149" s="42" t="inlineStr">
        <is>
          <t>the woods collection pure shine купить</t>
        </is>
      </c>
      <c r="C3149" s="42" t="n"/>
    </row>
    <row r="3150" ht="15" customHeight="1" s="37">
      <c r="A3150" s="42" t="inlineStr">
        <is>
          <t>the woods collection secret source</t>
        </is>
      </c>
      <c r="B3150" s="42" t="inlineStr">
        <is>
          <t>the woods collection secret source</t>
        </is>
      </c>
      <c r="C3150" s="42" t="inlineStr">
        <is>
          <t>Yes</t>
        </is>
      </c>
    </row>
    <row r="3151" ht="15" customHeight="1" s="37">
      <c r="A3151" s="42" t="inlineStr">
        <is>
          <t>the woods collection secret source</t>
        </is>
      </c>
      <c r="B3151" s="42" t="inlineStr">
        <is>
          <t>the woods collection secret source eau de parfum</t>
        </is>
      </c>
      <c r="C3151" s="42" t="inlineStr">
        <is>
          <t>Yes</t>
        </is>
      </c>
    </row>
    <row r="3152" ht="15" customHeight="1" s="37">
      <c r="A3152" s="42" t="inlineStr">
        <is>
          <t>the woods collection secret source</t>
        </is>
      </c>
      <c r="B3152" s="42" t="inlineStr">
        <is>
          <t>the woods collection secret source perfume</t>
        </is>
      </c>
      <c r="C3152" s="42" t="inlineStr">
        <is>
          <t>Yes</t>
        </is>
      </c>
    </row>
    <row r="3153" ht="15" customHeight="1" s="37">
      <c r="A3153" s="42" t="inlineStr">
        <is>
          <t>the woods collection secret source</t>
        </is>
      </c>
      <c r="B3153" s="42" t="inlineStr">
        <is>
          <t>the woods collection secret source edp</t>
        </is>
      </c>
      <c r="C3153" s="42" t="inlineStr">
        <is>
          <t>Yes</t>
        </is>
      </c>
    </row>
    <row r="3154" ht="15" customHeight="1" s="37">
      <c r="A3154" s="42" t="inlineStr">
        <is>
          <t>the woods collection secret source</t>
        </is>
      </c>
      <c r="B3154" s="42" t="inlineStr">
        <is>
          <t>the woods collection unisex secret source</t>
        </is>
      </c>
      <c r="C3154" s="42" t="n"/>
    </row>
    <row r="3155" ht="15" customHeight="1" s="37">
      <c r="A3155" s="42" t="inlineStr">
        <is>
          <t>the woods collection secret source</t>
        </is>
      </c>
      <c r="B3155" s="42" t="inlineStr">
        <is>
          <t>the woods secret source</t>
        </is>
      </c>
      <c r="C3155" s="42" t="inlineStr">
        <is>
          <t>Yes</t>
        </is>
      </c>
    </row>
    <row r="3156" ht="15" customHeight="1" s="37">
      <c r="A3156" s="42" t="inlineStr">
        <is>
          <t>the woods collection secret source</t>
        </is>
      </c>
      <c r="B3156" s="42" t="inlineStr">
        <is>
          <t>secret source the woods collection фрагрантика</t>
        </is>
      </c>
      <c r="C3156" s="42" t="inlineStr">
        <is>
          <t>Yes</t>
        </is>
      </c>
    </row>
    <row r="3157" ht="15" customHeight="1" s="37">
      <c r="A3157" s="42" t="inlineStr">
        <is>
          <t>the woods collection secret source</t>
        </is>
      </c>
      <c r="B3157" s="42" t="inlineStr">
        <is>
          <t>the woods collection secret source отзывы</t>
        </is>
      </c>
      <c r="C3157" s="42" t="inlineStr">
        <is>
          <t>Yes</t>
        </is>
      </c>
    </row>
    <row r="3158" ht="15" customHeight="1" s="37">
      <c r="A3158" s="42" t="inlineStr">
        <is>
          <t>the woods collection secret source</t>
        </is>
      </c>
      <c r="B3158" s="42" t="inlineStr">
        <is>
          <t>парфюмерная вода the woods collection secret source</t>
        </is>
      </c>
      <c r="C3158" s="42" t="n"/>
    </row>
    <row r="3159" ht="15" customHeight="1" s="37">
      <c r="A3159" s="42" t="inlineStr">
        <is>
          <t>the woods collection sunrise</t>
        </is>
      </c>
      <c r="B3159" s="42" t="inlineStr">
        <is>
          <t>the woods collection sunrise</t>
        </is>
      </c>
      <c r="C3159" s="42" t="inlineStr">
        <is>
          <t>Yes</t>
        </is>
      </c>
    </row>
    <row r="3160" ht="15" customHeight="1" s="37">
      <c r="A3160" s="42" t="inlineStr">
        <is>
          <t>the woods collection sunrise</t>
        </is>
      </c>
      <c r="B3160" s="42" t="inlineStr">
        <is>
          <t>the woods collection sunrise review</t>
        </is>
      </c>
      <c r="C3160" s="42" t="inlineStr">
        <is>
          <t>Yes</t>
        </is>
      </c>
    </row>
    <row r="3161" ht="15" customHeight="1" s="37">
      <c r="A3161" s="42" t="inlineStr">
        <is>
          <t>the woods collection sunrise</t>
        </is>
      </c>
      <c r="B3161" s="42" t="inlineStr">
        <is>
          <t>the woods collection sunrise eau de parfum</t>
        </is>
      </c>
      <c r="C3161" s="42" t="inlineStr">
        <is>
          <t>Yes</t>
        </is>
      </c>
    </row>
    <row r="3162" ht="15" customHeight="1" s="37">
      <c r="A3162" s="42" t="inlineStr">
        <is>
          <t>the woods collection sunrise</t>
        </is>
      </c>
      <c r="B3162" s="42" t="inlineStr">
        <is>
          <t>the woods collection sunrise fragrantica</t>
        </is>
      </c>
      <c r="C3162" s="42" t="n"/>
    </row>
    <row r="3163" ht="15" customHeight="1" s="37">
      <c r="A3163" s="42" t="inlineStr">
        <is>
          <t>the woods collection sunrise</t>
        </is>
      </c>
      <c r="B3163" s="42" t="inlineStr">
        <is>
          <t>the woods collection sunrise edp</t>
        </is>
      </c>
      <c r="C3163" s="42" t="inlineStr">
        <is>
          <t>Yes</t>
        </is>
      </c>
    </row>
    <row r="3164" ht="15" customHeight="1" s="37">
      <c r="A3164" s="42" t="inlineStr">
        <is>
          <t>the woods collection sunrise</t>
        </is>
      </c>
      <c r="B3164" s="42" t="inlineStr">
        <is>
          <t>the woods collection unisex sunrise</t>
        </is>
      </c>
      <c r="C3164" s="42" t="n"/>
    </row>
    <row r="3165" ht="15" customHeight="1" s="37">
      <c r="A3165" s="42" t="inlineStr">
        <is>
          <t>the woods collection sunrise</t>
        </is>
      </c>
      <c r="B3165" s="42" t="inlineStr">
        <is>
          <t>the woods collection sunrise отзывы</t>
        </is>
      </c>
      <c r="C3165" s="42" t="inlineStr">
        <is>
          <t>Yes</t>
        </is>
      </c>
    </row>
    <row r="3166" ht="15" customHeight="1" s="37">
      <c r="A3166" s="42" t="inlineStr">
        <is>
          <t>the woods collection sunrise</t>
        </is>
      </c>
      <c r="B3166" s="42" t="inlineStr">
        <is>
          <t>the woods collection sunrise фрагрантика</t>
        </is>
      </c>
      <c r="C3166" s="42" t="inlineStr">
        <is>
          <t>Yes</t>
        </is>
      </c>
    </row>
    <row r="3167" ht="15" customHeight="1" s="37">
      <c r="A3167" s="42" t="inlineStr">
        <is>
          <t>the woods collection timeless sands</t>
        </is>
      </c>
      <c r="B3167" s="42" t="inlineStr">
        <is>
          <t>the woods collection timeless sands</t>
        </is>
      </c>
      <c r="C3167" s="42" t="inlineStr">
        <is>
          <t>Yes</t>
        </is>
      </c>
    </row>
    <row r="3168" ht="15" customHeight="1" s="37">
      <c r="A3168" s="42" t="inlineStr">
        <is>
          <t>the woods collection timeless sands</t>
        </is>
      </c>
      <c r="B3168" s="42" t="inlineStr">
        <is>
          <t>the woods collection timeless sands eau de parfum</t>
        </is>
      </c>
      <c r="C3168" s="42" t="inlineStr">
        <is>
          <t>Yes</t>
        </is>
      </c>
    </row>
    <row r="3169" ht="15" customHeight="1" s="37">
      <c r="A3169" s="42" t="inlineStr">
        <is>
          <t>the woods collection timeless sands</t>
        </is>
      </c>
      <c r="B3169" s="42" t="inlineStr">
        <is>
          <t>the woods collection timeless sands review</t>
        </is>
      </c>
      <c r="C3169" s="42" t="inlineStr">
        <is>
          <t>Yes</t>
        </is>
      </c>
    </row>
    <row r="3170" ht="15" customHeight="1" s="37">
      <c r="A3170" s="42" t="inlineStr">
        <is>
          <t>the woods collection timeless sands</t>
        </is>
      </c>
      <c r="B3170" s="42" t="inlineStr">
        <is>
          <t>the woods collection timeless sands edp</t>
        </is>
      </c>
      <c r="C3170" s="42" t="inlineStr">
        <is>
          <t>Yes</t>
        </is>
      </c>
    </row>
    <row r="3171" ht="15" customHeight="1" s="37">
      <c r="A3171" s="42" t="inlineStr">
        <is>
          <t>the woods collection timeless sands</t>
        </is>
      </c>
      <c r="B3171" s="42" t="inlineStr">
        <is>
          <t>the woods timeless sands</t>
        </is>
      </c>
      <c r="C3171" s="42" t="inlineStr">
        <is>
          <t>Yes</t>
        </is>
      </c>
    </row>
    <row r="3172" ht="15" customHeight="1" s="37">
      <c r="A3172" s="42" t="inlineStr">
        <is>
          <t>the woods collection timeless sands</t>
        </is>
      </c>
      <c r="B3172" s="42" t="inlineStr">
        <is>
          <t>the woods collection timeless sands отзывы</t>
        </is>
      </c>
      <c r="C3172" s="42" t="inlineStr">
        <is>
          <t>Yes</t>
        </is>
      </c>
    </row>
    <row r="3173" ht="15" customHeight="1" s="37">
      <c r="A3173" s="42" t="inlineStr">
        <is>
          <t>the woods collection timeless sands</t>
        </is>
      </c>
      <c r="B3173" s="42" t="inlineStr">
        <is>
          <t>the woods collection timeless sands фрагрантика</t>
        </is>
      </c>
      <c r="C3173" s="42" t="inlineStr">
        <is>
          <t>Yes</t>
        </is>
      </c>
    </row>
    <row r="3174" ht="15" customHeight="1" s="37">
      <c r="A3174" s="42" t="inlineStr">
        <is>
          <t>the woods collection twilight</t>
        </is>
      </c>
      <c r="B3174" s="42" t="inlineStr">
        <is>
          <t>the woods collection twilight</t>
        </is>
      </c>
      <c r="C3174" s="42" t="inlineStr">
        <is>
          <t>Yes</t>
        </is>
      </c>
    </row>
    <row r="3175" ht="15" customHeight="1" s="37">
      <c r="A3175" s="42" t="inlineStr">
        <is>
          <t>the woods collection twilight</t>
        </is>
      </c>
      <c r="B3175" s="42" t="inlineStr">
        <is>
          <t>the woods collection twilight eau de parfum</t>
        </is>
      </c>
      <c r="C3175" s="42" t="inlineStr">
        <is>
          <t>Yes</t>
        </is>
      </c>
    </row>
    <row r="3176" ht="15" customHeight="1" s="37">
      <c r="A3176" s="42" t="inlineStr">
        <is>
          <t>the woods collection twilight</t>
        </is>
      </c>
      <c r="B3176" s="42" t="inlineStr">
        <is>
          <t>the woods collection twilight fragrantica</t>
        </is>
      </c>
      <c r="C3176" s="42" t="n"/>
    </row>
    <row r="3177" ht="15" customHeight="1" s="37">
      <c r="A3177" s="42" t="inlineStr">
        <is>
          <t>the woods collection twilight</t>
        </is>
      </c>
      <c r="B3177" s="42" t="inlineStr">
        <is>
          <t>the woods collection twilight perfume</t>
        </is>
      </c>
      <c r="C3177" s="42" t="inlineStr">
        <is>
          <t>Yes</t>
        </is>
      </c>
    </row>
    <row r="3178" ht="15" customHeight="1" s="37">
      <c r="A3178" s="42" t="inlineStr">
        <is>
          <t>the woods collection twilight</t>
        </is>
      </c>
      <c r="B3178" s="42" t="inlineStr">
        <is>
          <t>the woods collection twilight edp</t>
        </is>
      </c>
      <c r="C3178" s="42" t="inlineStr">
        <is>
          <t>Yes</t>
        </is>
      </c>
    </row>
    <row r="3179" ht="15" customHeight="1" s="37">
      <c r="A3179" s="42" t="inlineStr">
        <is>
          <t>the woods collection twilight</t>
        </is>
      </c>
      <c r="B3179" s="42" t="inlineStr">
        <is>
          <t>the woods collection twilight review</t>
        </is>
      </c>
      <c r="C3179" s="42" t="inlineStr">
        <is>
          <t>Yes</t>
        </is>
      </c>
    </row>
    <row r="3180" ht="15" customHeight="1" s="37">
      <c r="A3180" s="42" t="inlineStr">
        <is>
          <t>the woods collection twilight</t>
        </is>
      </c>
      <c r="B3180" s="42" t="inlineStr">
        <is>
          <t>the woods collection twilight hair mist</t>
        </is>
      </c>
      <c r="C3180" s="42" t="n"/>
    </row>
    <row r="3181" ht="15" customHeight="1" s="37">
      <c r="A3181" s="42" t="inlineStr">
        <is>
          <t>the woods collection twilight</t>
        </is>
      </c>
      <c r="B3181" s="42" t="inlineStr">
        <is>
          <t>the woods collection twilight dupe of</t>
        </is>
      </c>
      <c r="C3181" s="42" t="inlineStr">
        <is>
          <t>Yes</t>
        </is>
      </c>
    </row>
    <row r="3182" ht="15" customHeight="1" s="37">
      <c r="A3182" s="42" t="inlineStr">
        <is>
          <t>the woods collection wild roses</t>
        </is>
      </c>
      <c r="B3182" s="42" t="inlineStr">
        <is>
          <t>the woods collection wild roses</t>
        </is>
      </c>
      <c r="C3182" s="42" t="inlineStr">
        <is>
          <t>Yes</t>
        </is>
      </c>
    </row>
    <row r="3183" ht="15" customHeight="1" s="37">
      <c r="A3183" s="42" t="inlineStr">
        <is>
          <t>the woods collection wild roses</t>
        </is>
      </c>
      <c r="B3183" s="42" t="inlineStr">
        <is>
          <t>the woods collection wild roses price</t>
        </is>
      </c>
      <c r="C3183" s="42" t="inlineStr">
        <is>
          <t>Yes</t>
        </is>
      </c>
    </row>
    <row r="3184" ht="15" customHeight="1" s="37">
      <c r="A3184" s="42" t="inlineStr">
        <is>
          <t>the woods collection wild roses</t>
        </is>
      </c>
      <c r="B3184" s="42" t="inlineStr">
        <is>
          <t>the woods collection wild roses edp</t>
        </is>
      </c>
      <c r="C3184" s="42" t="inlineStr">
        <is>
          <t>Yes</t>
        </is>
      </c>
    </row>
    <row r="3185" ht="15" customHeight="1" s="37">
      <c r="A3185" s="42" t="inlineStr">
        <is>
          <t>the woods collection wild roses</t>
        </is>
      </c>
      <c r="B3185" s="42" t="inlineStr">
        <is>
          <t>the woods collection wild roses отзывы</t>
        </is>
      </c>
      <c r="C3185" s="42" t="inlineStr">
        <is>
          <t>Yes</t>
        </is>
      </c>
    </row>
    <row r="3186" ht="15" customHeight="1" s="37">
      <c r="A3186" s="42" t="inlineStr">
        <is>
          <t>the woods collection wild roses</t>
        </is>
      </c>
      <c r="B3186" s="42" t="inlineStr">
        <is>
          <t>the woods collection wild roses eau de parfum</t>
        </is>
      </c>
      <c r="C3186" s="42" t="inlineStr">
        <is>
          <t>Yes</t>
        </is>
      </c>
    </row>
    <row r="3187" ht="15" customHeight="1" s="37">
      <c r="A3187" s="42" t="inlineStr">
        <is>
          <t>the woods collection wild roses</t>
        </is>
      </c>
      <c r="B3187" s="42" t="inlineStr">
        <is>
          <t>the woods collection unisex wild roses</t>
        </is>
      </c>
      <c r="C3187" s="42" t="n"/>
    </row>
    <row r="3188" ht="15" customHeight="1" s="37">
      <c r="A3188" s="42" t="inlineStr">
        <is>
          <t>the woods collection wild roses</t>
        </is>
      </c>
      <c r="B3188" s="42" t="inlineStr">
        <is>
          <t>the woods wild roses</t>
        </is>
      </c>
      <c r="C3188" s="42" t="inlineStr">
        <is>
          <t>Yes</t>
        </is>
      </c>
    </row>
    <row r="3189" ht="15" customHeight="1" s="37">
      <c r="A3189" s="42" t="inlineStr">
        <is>
          <t>the woods collection wild roses</t>
        </is>
      </c>
      <c r="B3189" s="42" t="inlineStr">
        <is>
          <t>the woods collection wild roses 🥰</t>
        </is>
      </c>
      <c r="C3189" s="42" t="inlineStr">
        <is>
          <t>Yes</t>
        </is>
      </c>
    </row>
    <row r="3190" ht="15" customHeight="1" s="37">
      <c r="A3190" s="42" t="inlineStr">
        <is>
          <t>tiziana terenzi akragas</t>
        </is>
      </c>
      <c r="B3190" s="42" t="inlineStr">
        <is>
          <t>tiziana terenzi akragas</t>
        </is>
      </c>
      <c r="C3190" s="42" t="inlineStr">
        <is>
          <t>Yes</t>
        </is>
      </c>
    </row>
    <row r="3191" ht="15" customHeight="1" s="37">
      <c r="A3191" s="42" t="inlineStr">
        <is>
          <t>tiziana terenzi akragas</t>
        </is>
      </c>
      <c r="B3191" s="42" t="inlineStr">
        <is>
          <t>tiziana terenzi akragas extrait de parfum</t>
        </is>
      </c>
      <c r="C3191" s="42" t="inlineStr">
        <is>
          <t>Yes</t>
        </is>
      </c>
    </row>
    <row r="3192" ht="15" customHeight="1" s="37">
      <c r="A3192" s="42" t="inlineStr">
        <is>
          <t>tiziana terenzi akragas</t>
        </is>
      </c>
      <c r="B3192" s="42" t="inlineStr">
        <is>
          <t>tiziana terenzi akragas review</t>
        </is>
      </c>
      <c r="C3192" s="42" t="inlineStr">
        <is>
          <t>Yes</t>
        </is>
      </c>
    </row>
    <row r="3193" ht="15" customHeight="1" s="37">
      <c r="A3193" s="42" t="inlineStr">
        <is>
          <t>tiziana terenzi akragas</t>
        </is>
      </c>
      <c r="B3193" s="42" t="inlineStr">
        <is>
          <t>tiziana terenzi akragas fragrantica</t>
        </is>
      </c>
      <c r="C3193" s="42" t="n"/>
    </row>
    <row r="3194" ht="15" customHeight="1" s="37">
      <c r="A3194" s="42" t="inlineStr">
        <is>
          <t>tiziana terenzi akragas</t>
        </is>
      </c>
      <c r="B3194" s="42" t="inlineStr">
        <is>
          <t>tiziana terenzi akragas extrait de parfum 100ml</t>
        </is>
      </c>
      <c r="C3194" s="42" t="inlineStr">
        <is>
          <t>Yes</t>
        </is>
      </c>
    </row>
    <row r="3195" ht="15" customHeight="1" s="37">
      <c r="A3195" s="42" t="inlineStr">
        <is>
          <t>tiziana terenzi akragas</t>
        </is>
      </c>
      <c r="B3195" s="42" t="inlineStr">
        <is>
          <t>tiziana terenzi akragas отзывы</t>
        </is>
      </c>
      <c r="C3195" s="42" t="inlineStr">
        <is>
          <t>Yes</t>
        </is>
      </c>
    </row>
    <row r="3196" ht="15" customHeight="1" s="37">
      <c r="A3196" s="42" t="inlineStr">
        <is>
          <t>tiziana terenzi akragas</t>
        </is>
      </c>
      <c r="B3196" s="42" t="inlineStr">
        <is>
          <t>tiziana terenzi akragas extrait</t>
        </is>
      </c>
      <c r="C3196" s="42" t="inlineStr">
        <is>
          <t>Yes</t>
        </is>
      </c>
    </row>
    <row r="3197" ht="15" customHeight="1" s="37">
      <c r="A3197" s="42" t="inlineStr">
        <is>
          <t>tiziana terenzi akragas</t>
        </is>
      </c>
      <c r="B3197" s="42" t="inlineStr">
        <is>
          <t>tiziana terenzi akragas edp 100ml</t>
        </is>
      </c>
      <c r="C3197" s="42" t="inlineStr">
        <is>
          <t>Yes</t>
        </is>
      </c>
    </row>
    <row r="3198" ht="15" customHeight="1" s="37">
      <c r="A3198" s="42" t="inlineStr">
        <is>
          <t>tiziana terenzi akragas</t>
        </is>
      </c>
      <c r="B3198" s="42" t="inlineStr">
        <is>
          <t>tiziana terenzi akragas parfumo</t>
        </is>
      </c>
      <c r="C3198" s="42" t="n"/>
    </row>
    <row r="3199" ht="15" customHeight="1" s="37">
      <c r="A3199" s="42" t="inlineStr">
        <is>
          <t>tiziana terenzi akragas</t>
        </is>
      </c>
      <c r="B3199" s="42" t="inlineStr">
        <is>
          <t>tiziana terenzi akragas parfum</t>
        </is>
      </c>
      <c r="C3199" s="42" t="n"/>
    </row>
    <row r="3200" ht="15" customHeight="1" s="37">
      <c r="A3200" s="42" t="inlineStr">
        <is>
          <t>tiziana terenzi andromeda</t>
        </is>
      </c>
      <c r="B3200" s="42" t="inlineStr">
        <is>
          <t>tiziana terenzi andromeda</t>
        </is>
      </c>
      <c r="C3200" s="42" t="inlineStr">
        <is>
          <t>Yes</t>
        </is>
      </c>
    </row>
    <row r="3201" ht="15" customHeight="1" s="37">
      <c r="A3201" s="42" t="inlineStr">
        <is>
          <t>tiziana terenzi andromeda</t>
        </is>
      </c>
      <c r="B3201" s="42" t="inlineStr">
        <is>
          <t>tiziana terenzi andromeda extrait de parfum</t>
        </is>
      </c>
      <c r="C3201" s="42" t="inlineStr">
        <is>
          <t>Yes</t>
        </is>
      </c>
    </row>
    <row r="3202" ht="15" customHeight="1" s="37">
      <c r="A3202" s="42" t="inlineStr">
        <is>
          <t>tiziana terenzi andromeda</t>
        </is>
      </c>
      <c r="B3202" s="42" t="inlineStr">
        <is>
          <t>tiziana terenzi andromeda price</t>
        </is>
      </c>
      <c r="C3202" s="42" t="inlineStr">
        <is>
          <t>Yes</t>
        </is>
      </c>
    </row>
    <row r="3203" ht="15" customHeight="1" s="37">
      <c r="A3203" s="42" t="inlineStr">
        <is>
          <t>tiziana terenzi andromeda</t>
        </is>
      </c>
      <c r="B3203" s="42" t="inlineStr">
        <is>
          <t>tiziana terenzi andromeda notes</t>
        </is>
      </c>
      <c r="C3203" s="42" t="inlineStr">
        <is>
          <t>Yes</t>
        </is>
      </c>
    </row>
    <row r="3204" ht="15" customHeight="1" s="37">
      <c r="A3204" s="42" t="inlineStr">
        <is>
          <t>tiziana terenzi andromeda</t>
        </is>
      </c>
      <c r="B3204" s="42" t="inlineStr">
        <is>
          <t>tiziana terenzi andromeda dupe</t>
        </is>
      </c>
      <c r="C3204" s="42" t="inlineStr">
        <is>
          <t>Yes</t>
        </is>
      </c>
    </row>
    <row r="3205" ht="15" customHeight="1" s="37">
      <c r="A3205" s="42" t="inlineStr">
        <is>
          <t>tiziana terenzi andromeda</t>
        </is>
      </c>
      <c r="B3205" s="42" t="inlineStr">
        <is>
          <t>tiziana terenzi andromeda review</t>
        </is>
      </c>
      <c r="C3205" s="42" t="inlineStr">
        <is>
          <t>Yes</t>
        </is>
      </c>
    </row>
    <row r="3206" ht="15" customHeight="1" s="37">
      <c r="A3206" s="42" t="inlineStr">
        <is>
          <t>tiziana terenzi andromeda</t>
        </is>
      </c>
      <c r="B3206" s="42" t="inlineStr">
        <is>
          <t>tiziana terenzi andromeda fragrantica</t>
        </is>
      </c>
      <c r="C3206" s="42" t="n"/>
    </row>
    <row r="3207" ht="15" customHeight="1" s="37">
      <c r="A3207" s="42" t="inlineStr">
        <is>
          <t>tiziana terenzi andromeda</t>
        </is>
      </c>
      <c r="B3207" s="42" t="inlineStr">
        <is>
          <t>tiziana terenzi andromeda edp 100ml</t>
        </is>
      </c>
      <c r="C3207" s="42" t="inlineStr">
        <is>
          <t>Yes</t>
        </is>
      </c>
    </row>
    <row r="3208" ht="15" customHeight="1" s="37">
      <c r="A3208" s="42" t="inlineStr">
        <is>
          <t>tiziana terenzi andromeda</t>
        </is>
      </c>
      <c r="B3208" s="42" t="inlineStr">
        <is>
          <t>tiziana terenzi andromeda pun miris</t>
        </is>
      </c>
      <c r="C3208" s="42" t="n"/>
    </row>
    <row r="3209" ht="15" customHeight="1" s="37">
      <c r="A3209" s="42" t="inlineStr">
        <is>
          <t>tiziana terenzi andromeda</t>
        </is>
      </c>
      <c r="B3209" s="42" t="inlineStr">
        <is>
          <t>tiziana terenzi andromeda perfume</t>
        </is>
      </c>
      <c r="C3209" s="42" t="n"/>
    </row>
    <row r="3210" ht="15" customHeight="1" s="37">
      <c r="A3210" s="42" t="inlineStr">
        <is>
          <t>tiziana terenzi caput mundi</t>
        </is>
      </c>
      <c r="B3210" s="42" t="inlineStr">
        <is>
          <t>tiziana terenzi caput mundi</t>
        </is>
      </c>
      <c r="C3210" s="42" t="inlineStr">
        <is>
          <t>Yes</t>
        </is>
      </c>
    </row>
    <row r="3211" ht="15" customHeight="1" s="37">
      <c r="A3211" s="42" t="inlineStr">
        <is>
          <t>tiziana terenzi caput mundi</t>
        </is>
      </c>
      <c r="B3211" s="42" t="inlineStr">
        <is>
          <t>tiziana terenzi caput mundi extrait de parfum</t>
        </is>
      </c>
      <c r="C3211" s="42" t="inlineStr">
        <is>
          <t>Yes</t>
        </is>
      </c>
    </row>
    <row r="3212" ht="15" customHeight="1" s="37">
      <c r="A3212" s="42" t="inlineStr">
        <is>
          <t>tiziana terenzi caput mundi</t>
        </is>
      </c>
      <c r="B3212" s="42" t="inlineStr">
        <is>
          <t>tiziana terenzi caput mundi review</t>
        </is>
      </c>
      <c r="C3212" s="42" t="inlineStr">
        <is>
          <t>Yes</t>
        </is>
      </c>
    </row>
    <row r="3213" ht="15" customHeight="1" s="37">
      <c r="A3213" s="42" t="inlineStr">
        <is>
          <t>tiziana terenzi caput mundi</t>
        </is>
      </c>
      <c r="B3213" s="42" t="inlineStr">
        <is>
          <t>tiziana terenzi caput mundi fragrantica</t>
        </is>
      </c>
      <c r="C3213" s="42" t="n"/>
    </row>
    <row r="3214" ht="15" customHeight="1" s="37">
      <c r="A3214" s="42" t="inlineStr">
        <is>
          <t>tiziana terenzi caput mundi</t>
        </is>
      </c>
      <c r="B3214" s="42" t="inlineStr">
        <is>
          <t>tiziana terenzi caput mundi extrait</t>
        </is>
      </c>
      <c r="C3214" s="42" t="inlineStr">
        <is>
          <t>Yes</t>
        </is>
      </c>
    </row>
    <row r="3215" ht="15" customHeight="1" s="37">
      <c r="A3215" s="42" t="inlineStr">
        <is>
          <t>tiziana terenzi caput mundi</t>
        </is>
      </c>
      <c r="B3215" s="42" t="inlineStr">
        <is>
          <t>tiziana terenzi caput mundi edp 100ml</t>
        </is>
      </c>
      <c r="C3215" s="42" t="inlineStr">
        <is>
          <t>Yes</t>
        </is>
      </c>
    </row>
    <row r="3216" ht="15" customHeight="1" s="37">
      <c r="A3216" s="42" t="inlineStr">
        <is>
          <t>tiziana terenzi caput mundi</t>
        </is>
      </c>
      <c r="B3216" s="42" t="inlineStr">
        <is>
          <t>tiziana terenzi caput mundi notes</t>
        </is>
      </c>
      <c r="C3216" s="42" t="inlineStr">
        <is>
          <t>Yes</t>
        </is>
      </c>
    </row>
    <row r="3217" ht="15" customHeight="1" s="37">
      <c r="A3217" s="42" t="inlineStr">
        <is>
          <t>tiziana terenzi caput mundi</t>
        </is>
      </c>
      <c r="B3217" s="42" t="inlineStr">
        <is>
          <t>tiziana terenzi caput mundi отзывы</t>
        </is>
      </c>
      <c r="C3217" s="42" t="inlineStr">
        <is>
          <t>Yes</t>
        </is>
      </c>
    </row>
    <row r="3218" ht="15" customHeight="1" s="37">
      <c r="A3218" s="42" t="inlineStr">
        <is>
          <t>tiziana terenzi caput mundi</t>
        </is>
      </c>
      <c r="B3218" s="42" t="inlineStr">
        <is>
          <t>tiziana terenzi luna collection caput mundi</t>
        </is>
      </c>
      <c r="C3218" s="42" t="n"/>
    </row>
    <row r="3219" ht="15" customHeight="1" s="37">
      <c r="A3219" s="42" t="inlineStr">
        <is>
          <t>tiziana terenzi caput mundi</t>
        </is>
      </c>
      <c r="B3219" s="42" t="inlineStr">
        <is>
          <t>tiziana terenzi caput mundi купить</t>
        </is>
      </c>
      <c r="C3219" s="42" t="n"/>
    </row>
    <row r="3220" ht="15" customHeight="1" s="37">
      <c r="A3220" s="42" t="inlineStr">
        <is>
          <t>tiziana terenzi chimaera anniversary</t>
        </is>
      </c>
      <c r="B3220" s="42" t="inlineStr">
        <is>
          <t>tiziana terenzi chimaera anniversary collection</t>
        </is>
      </c>
      <c r="C3220" s="42" t="n"/>
    </row>
    <row r="3221" ht="15" customHeight="1" s="37">
      <c r="A3221" s="42" t="inlineStr">
        <is>
          <t>tiziana terenzi chimaera anniversary</t>
        </is>
      </c>
      <c r="B3221" s="42" t="inlineStr">
        <is>
          <t>tiziana terenzi chimaera anniversary collection eau de parfum 100ml</t>
        </is>
      </c>
      <c r="C3221" s="42" t="n"/>
    </row>
    <row r="3222" ht="15" customHeight="1" s="37">
      <c r="A3222" s="42" t="inlineStr">
        <is>
          <t>tiziana terenzi chimaera anniversary</t>
        </is>
      </c>
      <c r="B3222" s="42" t="inlineStr">
        <is>
          <t>jade empire release date</t>
        </is>
      </c>
      <c r="C3222" s="42" t="n"/>
    </row>
    <row r="3223" ht="15" customHeight="1" s="37">
      <c r="A3223" s="42" t="inlineStr">
        <is>
          <t>tiziana terenzi chimaera anniversary</t>
        </is>
      </c>
      <c r="B3223" s="42" t="inlineStr">
        <is>
          <t>zhuo yifan wife</t>
        </is>
      </c>
      <c r="C3223" s="42" t="n"/>
    </row>
    <row r="3224" ht="15" customHeight="1" s="37">
      <c r="A3224" s="42" t="inlineStr">
        <is>
          <t>tiziana terenzi draconis</t>
        </is>
      </c>
      <c r="B3224" s="42" t="inlineStr">
        <is>
          <t>tiziana terenzi draconis</t>
        </is>
      </c>
      <c r="C3224" s="42" t="inlineStr">
        <is>
          <t>Yes</t>
        </is>
      </c>
    </row>
    <row r="3225" ht="15" customHeight="1" s="37">
      <c r="A3225" s="42" t="inlineStr">
        <is>
          <t>tiziana terenzi draconis</t>
        </is>
      </c>
      <c r="B3225" s="42" t="inlineStr">
        <is>
          <t>tiziana terenzi draconis extrait de parfum</t>
        </is>
      </c>
      <c r="C3225" s="42" t="inlineStr">
        <is>
          <t>Yes</t>
        </is>
      </c>
    </row>
    <row r="3226" ht="15" customHeight="1" s="37">
      <c r="A3226" s="42" t="inlineStr">
        <is>
          <t>tiziana terenzi draconis</t>
        </is>
      </c>
      <c r="B3226" s="42" t="inlineStr">
        <is>
          <t>tiziana terenzi draconis review</t>
        </is>
      </c>
      <c r="C3226" s="42" t="inlineStr">
        <is>
          <t>Yes</t>
        </is>
      </c>
    </row>
    <row r="3227" ht="15" customHeight="1" s="37">
      <c r="A3227" s="42" t="inlineStr">
        <is>
          <t>tiziana terenzi draconis</t>
        </is>
      </c>
      <c r="B3227" s="42" t="inlineStr">
        <is>
          <t>tiziana terenzi draconis fragrantica</t>
        </is>
      </c>
      <c r="C3227" s="42" t="n"/>
    </row>
    <row r="3228" ht="15" customHeight="1" s="37">
      <c r="A3228" s="42" t="inlineStr">
        <is>
          <t>tiziana terenzi draconis</t>
        </is>
      </c>
      <c r="B3228" s="42" t="inlineStr">
        <is>
          <t>tiziana terenzi draconis extrait de parfum 100ml</t>
        </is>
      </c>
      <c r="C3228" s="42" t="inlineStr">
        <is>
          <t>Yes</t>
        </is>
      </c>
    </row>
    <row r="3229" ht="15" customHeight="1" s="37">
      <c r="A3229" s="42" t="inlineStr">
        <is>
          <t>tiziana terenzi draconis</t>
        </is>
      </c>
      <c r="B3229" s="42" t="inlineStr">
        <is>
          <t>tiziana terenzi draconis 100ml</t>
        </is>
      </c>
      <c r="C3229" s="42" t="inlineStr">
        <is>
          <t>Yes</t>
        </is>
      </c>
    </row>
    <row r="3230" ht="15" customHeight="1" s="37">
      <c r="A3230" s="42" t="inlineStr">
        <is>
          <t>tiziana terenzi draconis</t>
        </is>
      </c>
      <c r="B3230" s="42" t="inlineStr">
        <is>
          <t>tiziana terenzi draconis price</t>
        </is>
      </c>
      <c r="C3230" s="42" t="inlineStr">
        <is>
          <t>Yes</t>
        </is>
      </c>
    </row>
    <row r="3231" ht="15" customHeight="1" s="37">
      <c r="A3231" s="42" t="inlineStr">
        <is>
          <t>tiziana terenzi draconis</t>
        </is>
      </c>
      <c r="B3231" s="42" t="inlineStr">
        <is>
          <t>tiziana terenzi draconis edp 100ml</t>
        </is>
      </c>
      <c r="C3231" s="42" t="inlineStr">
        <is>
          <t>Yes</t>
        </is>
      </c>
    </row>
    <row r="3232" ht="15" customHeight="1" s="37">
      <c r="A3232" s="42" t="inlineStr">
        <is>
          <t>tiziana terenzi draconis</t>
        </is>
      </c>
      <c r="B3232" s="42" t="inlineStr">
        <is>
          <t>tiziana terenzi draconis extrait</t>
        </is>
      </c>
      <c r="C3232" s="42" t="n"/>
    </row>
    <row r="3233" ht="15" customHeight="1" s="37">
      <c r="A3233" s="42" t="inlineStr">
        <is>
          <t>tiziana terenzi draconis</t>
        </is>
      </c>
      <c r="B3233" s="42" t="inlineStr">
        <is>
          <t>tiziana terenzi draconis perfume</t>
        </is>
      </c>
      <c r="C3233" s="42" t="n"/>
    </row>
    <row r="3234" ht="15" customHeight="1" s="37">
      <c r="A3234" s="42" t="inlineStr">
        <is>
          <t>tiziana terenzi dubhe assoluto</t>
        </is>
      </c>
      <c r="B3234" s="42" t="inlineStr">
        <is>
          <t>tiziana terenzi dubhe assoluto</t>
        </is>
      </c>
      <c r="C3234" s="42" t="inlineStr">
        <is>
          <t>Yes</t>
        </is>
      </c>
    </row>
    <row r="3235" ht="15" customHeight="1" s="37">
      <c r="A3235" s="42" t="inlineStr">
        <is>
          <t>tiziana terenzi dubhe assoluto</t>
        </is>
      </c>
      <c r="B3235" s="42" t="inlineStr">
        <is>
          <t>tiziana terenzi dubhe assoluto extrait de parfum</t>
        </is>
      </c>
      <c r="C3235" s="42" t="inlineStr">
        <is>
          <t>Yes</t>
        </is>
      </c>
    </row>
    <row r="3236" ht="15" customHeight="1" s="37">
      <c r="A3236" s="42" t="inlineStr">
        <is>
          <t>tiziana terenzi dubhe assoluto</t>
        </is>
      </c>
      <c r="B3236" s="42" t="inlineStr">
        <is>
          <t>tiziana terenzi dubhe assoluto u extrait de parfum 100ml</t>
        </is>
      </c>
      <c r="C3236" s="42" t="n"/>
    </row>
    <row r="3237" ht="15" customHeight="1" s="37">
      <c r="A3237" s="42" t="inlineStr">
        <is>
          <t>tiziana terenzi ecstasy</t>
        </is>
      </c>
      <c r="B3237" s="42" t="inlineStr">
        <is>
          <t>tiziana terenzi ecstasy</t>
        </is>
      </c>
      <c r="C3237" s="42" t="inlineStr">
        <is>
          <t>Yes</t>
        </is>
      </c>
    </row>
    <row r="3238" ht="15" customHeight="1" s="37">
      <c r="A3238" s="42" t="inlineStr">
        <is>
          <t>tiziana terenzi ecstasy</t>
        </is>
      </c>
      <c r="B3238" s="42" t="inlineStr">
        <is>
          <t>tiziana terenzi ecstasy extrait de parfum</t>
        </is>
      </c>
      <c r="C3238" s="42" t="inlineStr">
        <is>
          <t>Yes</t>
        </is>
      </c>
    </row>
    <row r="3239" ht="15" customHeight="1" s="37">
      <c r="A3239" s="42" t="inlineStr">
        <is>
          <t>tiziana terenzi ecstasy</t>
        </is>
      </c>
      <c r="B3239" s="42" t="inlineStr">
        <is>
          <t>tiziana terenzi ecstasy review</t>
        </is>
      </c>
      <c r="C3239" s="42" t="inlineStr">
        <is>
          <t>Yes</t>
        </is>
      </c>
    </row>
    <row r="3240" ht="15" customHeight="1" s="37">
      <c r="A3240" s="42" t="inlineStr">
        <is>
          <t>tiziana terenzi ecstasy</t>
        </is>
      </c>
      <c r="B3240" s="42" t="inlineStr">
        <is>
          <t>tiziana terenzi ecstasy fragrantica</t>
        </is>
      </c>
      <c r="C3240" s="42" t="n"/>
    </row>
    <row r="3241" ht="15" customHeight="1" s="37">
      <c r="A3241" s="42" t="inlineStr">
        <is>
          <t>tiziana terenzi ecstasy</t>
        </is>
      </c>
      <c r="B3241" s="42" t="inlineStr">
        <is>
          <t>tiziana terenzi ecstasy perfume</t>
        </is>
      </c>
      <c r="C3241" s="42" t="inlineStr">
        <is>
          <t>Yes</t>
        </is>
      </c>
    </row>
    <row r="3242" ht="15" customHeight="1" s="37">
      <c r="A3242" s="42" t="inlineStr">
        <is>
          <t>tiziana terenzi ecstasy</t>
        </is>
      </c>
      <c r="B3242" s="42" t="inlineStr">
        <is>
          <t>tiziana terenzi ecstasy extrait de parfum 100ml</t>
        </is>
      </c>
      <c r="C3242" s="42" t="inlineStr">
        <is>
          <t>Yes</t>
        </is>
      </c>
    </row>
    <row r="3243" ht="15" customHeight="1" s="37">
      <c r="A3243" s="42" t="inlineStr">
        <is>
          <t>tiziana terenzi ecstasy</t>
        </is>
      </c>
      <c r="B3243" s="42" t="inlineStr">
        <is>
          <t>tiziana terenzi ecstasy extrait</t>
        </is>
      </c>
      <c r="C3243" s="42" t="inlineStr">
        <is>
          <t>Yes</t>
        </is>
      </c>
    </row>
    <row r="3244" ht="15" customHeight="1" s="37">
      <c r="A3244" s="42" t="inlineStr">
        <is>
          <t>tiziana terenzi ecstasy</t>
        </is>
      </c>
      <c r="B3244" s="42" t="inlineStr">
        <is>
          <t>tiziana terenzi ecstasy parfumo</t>
        </is>
      </c>
      <c r="C3244" s="42" t="n"/>
    </row>
    <row r="3245" ht="15" customHeight="1" s="37">
      <c r="A3245" s="42" t="inlineStr">
        <is>
          <t>tiziana terenzi ecstasy</t>
        </is>
      </c>
      <c r="B3245" s="42" t="inlineStr">
        <is>
          <t>tiziana terenzi ecstasy notes</t>
        </is>
      </c>
      <c r="C3245" s="42" t="inlineStr">
        <is>
          <t>Yes</t>
        </is>
      </c>
    </row>
    <row r="3246" ht="15" customHeight="1" s="37">
      <c r="A3246" s="42" t="inlineStr">
        <is>
          <t>tiziana terenzi ecstasy</t>
        </is>
      </c>
      <c r="B3246" s="42" t="inlineStr">
        <is>
          <t>tiziana terenzi ecstasy price</t>
        </is>
      </c>
      <c r="C3246" s="42" t="inlineStr">
        <is>
          <t>Yes</t>
        </is>
      </c>
    </row>
    <row r="3247" ht="15" customHeight="1" s="37">
      <c r="A3247" s="42" t="inlineStr">
        <is>
          <t>tiziana terenzi gold rose oudh</t>
        </is>
      </c>
      <c r="B3247" s="42" t="inlineStr">
        <is>
          <t>tiziana terenzi gold rose oudh</t>
        </is>
      </c>
      <c r="C3247" s="42" t="inlineStr">
        <is>
          <t>Yes</t>
        </is>
      </c>
    </row>
    <row r="3248" ht="15" customHeight="1" s="37">
      <c r="A3248" s="42" t="inlineStr">
        <is>
          <t>tiziana terenzi gold rose oudh</t>
        </is>
      </c>
      <c r="B3248" s="42" t="inlineStr">
        <is>
          <t>tiziana terenzi gold rose oudh extrait de parfum</t>
        </is>
      </c>
      <c r="C3248" s="42" t="inlineStr">
        <is>
          <t>Yes</t>
        </is>
      </c>
    </row>
    <row r="3249" ht="15" customHeight="1" s="37">
      <c r="A3249" s="42" t="inlineStr">
        <is>
          <t>tiziana terenzi gold rose oudh</t>
        </is>
      </c>
      <c r="B3249" s="42" t="inlineStr">
        <is>
          <t>tiziana terenzi gold rose oudh review</t>
        </is>
      </c>
      <c r="C3249" s="42" t="inlineStr">
        <is>
          <t>Yes</t>
        </is>
      </c>
    </row>
    <row r="3250" ht="15" customHeight="1" s="37">
      <c r="A3250" s="42" t="inlineStr">
        <is>
          <t>tiziana terenzi gold rose oudh</t>
        </is>
      </c>
      <c r="B3250" s="42" t="inlineStr">
        <is>
          <t>tiziana terenzi gold rose oudh price</t>
        </is>
      </c>
      <c r="C3250" s="42" t="inlineStr">
        <is>
          <t>Yes</t>
        </is>
      </c>
    </row>
    <row r="3251" ht="15" customHeight="1" s="37">
      <c r="A3251" s="42" t="inlineStr">
        <is>
          <t>tiziana terenzi gold rose oudh</t>
        </is>
      </c>
      <c r="B3251" s="42" t="inlineStr">
        <is>
          <t>tiziana terenzi gold rose oudh extrait de parfum 100ml</t>
        </is>
      </c>
      <c r="C3251" s="42" t="inlineStr">
        <is>
          <t>Yes</t>
        </is>
      </c>
    </row>
    <row r="3252" ht="15" customHeight="1" s="37">
      <c r="A3252" s="42" t="inlineStr">
        <is>
          <t>tiziana terenzi gold rose oudh</t>
        </is>
      </c>
      <c r="B3252" s="42" t="inlineStr">
        <is>
          <t>tiziana terenzi gold rose oudh fragrantica</t>
        </is>
      </c>
      <c r="C3252" s="42" t="n"/>
    </row>
    <row r="3253" ht="15" customHeight="1" s="37">
      <c r="A3253" s="42" t="inlineStr">
        <is>
          <t>tiziana terenzi gold rose oudh</t>
        </is>
      </c>
      <c r="B3253" s="42" t="inlineStr">
        <is>
          <t>tiziana terenzi gold rose oudh perfume</t>
        </is>
      </c>
      <c r="C3253" s="42" t="inlineStr">
        <is>
          <t>Yes</t>
        </is>
      </c>
    </row>
    <row r="3254" ht="15" customHeight="1" s="37">
      <c r="A3254" s="42" t="inlineStr">
        <is>
          <t>tiziana terenzi gold rose oudh</t>
        </is>
      </c>
      <c r="B3254" s="42" t="inlineStr">
        <is>
          <t>tiziana terenzi gold rose oudh 50ml</t>
        </is>
      </c>
      <c r="C3254" s="42" t="inlineStr">
        <is>
          <t>Yes</t>
        </is>
      </c>
    </row>
    <row r="3255" ht="15" customHeight="1" s="37">
      <c r="A3255" s="42" t="inlineStr">
        <is>
          <t>tiziana terenzi gold rose oudh</t>
        </is>
      </c>
      <c r="B3255" s="42" t="inlineStr">
        <is>
          <t>tiziana terenzi gold rose oudh notes</t>
        </is>
      </c>
      <c r="C3255" s="42" t="n"/>
    </row>
    <row r="3256" ht="15" customHeight="1" s="37">
      <c r="A3256" s="42" t="inlineStr">
        <is>
          <t>tiziana terenzi gold rose oudh</t>
        </is>
      </c>
      <c r="B3256" s="42" t="inlineStr">
        <is>
          <t>tiziana terenzi gold rose oudh extrait</t>
        </is>
      </c>
      <c r="C3256" s="42" t="n"/>
    </row>
    <row r="3257" ht="15" customHeight="1" s="37">
      <c r="A3257" s="42" t="inlineStr">
        <is>
          <t>tiziana terenzi gumin</t>
        </is>
      </c>
      <c r="B3257" s="42" t="inlineStr">
        <is>
          <t>tiziana terenzi gumin</t>
        </is>
      </c>
      <c r="C3257" s="42" t="inlineStr">
        <is>
          <t>Yes</t>
        </is>
      </c>
    </row>
    <row r="3258" ht="15" customHeight="1" s="37">
      <c r="A3258" s="42" t="inlineStr">
        <is>
          <t>tiziana terenzi gumin</t>
        </is>
      </c>
      <c r="B3258" s="42" t="inlineStr">
        <is>
          <t>tiziana terenzi gumin extrait de parfum</t>
        </is>
      </c>
      <c r="C3258" s="42" t="inlineStr">
        <is>
          <t>Yes</t>
        </is>
      </c>
    </row>
    <row r="3259" ht="15" customHeight="1" s="37">
      <c r="A3259" s="42" t="inlineStr">
        <is>
          <t>tiziana terenzi gumin</t>
        </is>
      </c>
      <c r="B3259" s="42" t="inlineStr">
        <is>
          <t>tiziana terenzi gumin price</t>
        </is>
      </c>
      <c r="C3259" s="42" t="inlineStr">
        <is>
          <t>Yes</t>
        </is>
      </c>
    </row>
    <row r="3260" ht="15" customHeight="1" s="37">
      <c r="A3260" s="42" t="inlineStr">
        <is>
          <t>tiziana terenzi gumin</t>
        </is>
      </c>
      <c r="B3260" s="42" t="inlineStr">
        <is>
          <t>tiziana terenzi gumin review</t>
        </is>
      </c>
      <c r="C3260" s="42" t="inlineStr">
        <is>
          <t>Yes</t>
        </is>
      </c>
    </row>
    <row r="3261" ht="15" customHeight="1" s="37">
      <c r="A3261" s="42" t="inlineStr">
        <is>
          <t>tiziana terenzi gumin</t>
        </is>
      </c>
      <c r="B3261" s="42" t="inlineStr">
        <is>
          <t>tiziana terenzi gumin notes</t>
        </is>
      </c>
      <c r="C3261" s="42" t="inlineStr">
        <is>
          <t>Yes</t>
        </is>
      </c>
    </row>
    <row r="3262" ht="15" customHeight="1" s="37">
      <c r="A3262" s="42" t="inlineStr">
        <is>
          <t>tiziana terenzi gumin</t>
        </is>
      </c>
      <c r="B3262" s="42" t="inlineStr">
        <is>
          <t>tiziana terenzi gumin fragrantica</t>
        </is>
      </c>
      <c r="C3262" s="42" t="n"/>
    </row>
    <row r="3263" ht="15" customHeight="1" s="37">
      <c r="A3263" s="42" t="inlineStr">
        <is>
          <t>tiziana terenzi gumin</t>
        </is>
      </c>
      <c r="B3263" s="42" t="inlineStr">
        <is>
          <t>tiziana terenzi gumin perfume</t>
        </is>
      </c>
      <c r="C3263" s="42" t="inlineStr">
        <is>
          <t>Yes</t>
        </is>
      </c>
    </row>
    <row r="3264" ht="15" customHeight="1" s="37">
      <c r="A3264" s="42" t="inlineStr">
        <is>
          <t>tiziana terenzi gumin</t>
        </is>
      </c>
      <c r="B3264" s="42" t="inlineStr">
        <is>
          <t>tiziana terenzi gumin perfume price</t>
        </is>
      </c>
      <c r="C3264" s="42" t="inlineStr">
        <is>
          <t>Yes</t>
        </is>
      </c>
    </row>
    <row r="3265" ht="15" customHeight="1" s="37">
      <c r="A3265" s="42" t="inlineStr">
        <is>
          <t>tiziana terenzi gumin</t>
        </is>
      </c>
      <c r="B3265" s="42" t="inlineStr">
        <is>
          <t>tiziana terenzi gumin qiymeti</t>
        </is>
      </c>
      <c r="C3265" s="42" t="n"/>
    </row>
    <row r="3266" ht="15" customHeight="1" s="37">
      <c r="A3266" s="42" t="inlineStr">
        <is>
          <t>tiziana terenzi gumin</t>
        </is>
      </c>
      <c r="B3266" s="42" t="inlineStr">
        <is>
          <t>tiziana terenzi price</t>
        </is>
      </c>
      <c r="C3266" s="42" t="n"/>
    </row>
    <row r="3267" ht="15" customHeight="1" s="37">
      <c r="A3267" s="42" t="inlineStr">
        <is>
          <t>tiziana terenzi kaff</t>
        </is>
      </c>
      <c r="B3267" s="42" t="inlineStr">
        <is>
          <t>tiziana terenzi kaff</t>
        </is>
      </c>
      <c r="C3267" s="42" t="inlineStr">
        <is>
          <t>Yes</t>
        </is>
      </c>
    </row>
    <row r="3268" ht="15" customHeight="1" s="37">
      <c r="A3268" s="42" t="inlineStr">
        <is>
          <t>tiziana terenzi kaff</t>
        </is>
      </c>
      <c r="B3268" s="42" t="inlineStr">
        <is>
          <t>tiziana terenzi kaff extrait de parfum</t>
        </is>
      </c>
      <c r="C3268" s="42" t="inlineStr">
        <is>
          <t>Yes</t>
        </is>
      </c>
    </row>
    <row r="3269" ht="15" customHeight="1" s="37">
      <c r="A3269" s="42" t="inlineStr">
        <is>
          <t>tiziana terenzi kaff</t>
        </is>
      </c>
      <c r="B3269" s="42" t="inlineStr">
        <is>
          <t>tiziana terenzi kaff parfum</t>
        </is>
      </c>
      <c r="C3269" s="42" t="inlineStr">
        <is>
          <t>Yes</t>
        </is>
      </c>
    </row>
    <row r="3270" ht="15" customHeight="1" s="37">
      <c r="A3270" s="42" t="inlineStr">
        <is>
          <t>tiziana terenzi kaff</t>
        </is>
      </c>
      <c r="B3270" s="42" t="inlineStr">
        <is>
          <t>tiziana terenzi kaff attar</t>
        </is>
      </c>
      <c r="C3270" s="42" t="n"/>
    </row>
    <row r="3271" ht="15" customHeight="1" s="37">
      <c r="A3271" s="42" t="inlineStr">
        <is>
          <t>tiziana terenzi kaff</t>
        </is>
      </c>
      <c r="B3271" s="42" t="inlineStr">
        <is>
          <t>tiziana terenzi kaff fragrantica</t>
        </is>
      </c>
      <c r="C3271" s="42" t="n"/>
    </row>
    <row r="3272" ht="15" customHeight="1" s="37">
      <c r="A3272" s="42" t="inlineStr">
        <is>
          <t>tiziana terenzi kaff</t>
        </is>
      </c>
      <c r="B3272" s="42" t="inlineStr">
        <is>
          <t>tiziana terenzi kaff review</t>
        </is>
      </c>
      <c r="C3272" s="42" t="inlineStr">
        <is>
          <t>Yes</t>
        </is>
      </c>
    </row>
    <row r="3273" ht="15" customHeight="1" s="37">
      <c r="A3273" s="42" t="inlineStr">
        <is>
          <t>tiziana terenzi kaff</t>
        </is>
      </c>
      <c r="B3273" s="42" t="inlineStr">
        <is>
          <t>tiziana terenzi kaff extrait de parfum 100ml</t>
        </is>
      </c>
      <c r="C3273" s="42" t="inlineStr">
        <is>
          <t>Yes</t>
        </is>
      </c>
    </row>
    <row r="3274" ht="15" customHeight="1" s="37">
      <c r="A3274" s="42" t="inlineStr">
        <is>
          <t>tiziana terenzi kaff</t>
        </is>
      </c>
      <c r="B3274" s="42" t="inlineStr">
        <is>
          <t>tiziana terenzi kaff perfume</t>
        </is>
      </c>
      <c r="C3274" s="42" t="inlineStr">
        <is>
          <t>Yes</t>
        </is>
      </c>
    </row>
    <row r="3275" ht="15" customHeight="1" s="37">
      <c r="A3275" s="42" t="inlineStr">
        <is>
          <t>tiziana terenzi kaff</t>
        </is>
      </c>
      <c r="B3275" s="42" t="inlineStr">
        <is>
          <t>tiziana terenzi kaff price</t>
        </is>
      </c>
      <c r="C3275" s="42" t="inlineStr">
        <is>
          <t>Yes</t>
        </is>
      </c>
    </row>
    <row r="3276" ht="15" customHeight="1" s="37">
      <c r="A3276" s="42" t="inlineStr">
        <is>
          <t>tiziana terenzi kaff</t>
        </is>
      </c>
      <c r="B3276" s="42" t="inlineStr">
        <is>
          <t>tiziana terenzi kaff extrait</t>
        </is>
      </c>
      <c r="C3276" s="42" t="n"/>
    </row>
    <row r="3277" ht="15" customHeight="1" s="37">
      <c r="A3277" s="42" t="inlineStr">
        <is>
          <t>tiziana terenzi kirke</t>
        </is>
      </c>
      <c r="B3277" s="42" t="inlineStr">
        <is>
          <t>tiziana terenzi kirke</t>
        </is>
      </c>
      <c r="C3277" s="42" t="inlineStr">
        <is>
          <t>Yes</t>
        </is>
      </c>
    </row>
    <row r="3278" ht="15" customHeight="1" s="37">
      <c r="A3278" s="42" t="inlineStr">
        <is>
          <t>tiziana terenzi kirke</t>
        </is>
      </c>
      <c r="B3278" s="42" t="inlineStr">
        <is>
          <t>tiziana terenzi kirke overdose</t>
        </is>
      </c>
      <c r="C3278" s="42" t="n"/>
    </row>
    <row r="3279" ht="15" customHeight="1" s="37">
      <c r="A3279" s="42" t="inlineStr">
        <is>
          <t>tiziana terenzi kirke</t>
        </is>
      </c>
      <c r="B3279" s="42" t="inlineStr">
        <is>
          <t>tiziana terenzi kirke extrait de parfum</t>
        </is>
      </c>
      <c r="C3279" s="42" t="inlineStr">
        <is>
          <t>Yes</t>
        </is>
      </c>
    </row>
    <row r="3280" ht="15" customHeight="1" s="37">
      <c r="A3280" s="42" t="inlineStr">
        <is>
          <t>tiziana terenzi kirke</t>
        </is>
      </c>
      <c r="B3280" s="42" t="inlineStr">
        <is>
          <t>tiziana terenzi kirke price</t>
        </is>
      </c>
      <c r="C3280" s="42" t="inlineStr">
        <is>
          <t>Yes</t>
        </is>
      </c>
    </row>
    <row r="3281" ht="15" customHeight="1" s="37">
      <c r="A3281" s="42" t="inlineStr">
        <is>
          <t>tiziana terenzi kirke</t>
        </is>
      </c>
      <c r="B3281" s="42" t="inlineStr">
        <is>
          <t>tiziana terenzi kirke perfume</t>
        </is>
      </c>
      <c r="C3281" s="42" t="inlineStr">
        <is>
          <t>Yes</t>
        </is>
      </c>
    </row>
    <row r="3282" ht="15" customHeight="1" s="37">
      <c r="A3282" s="42" t="inlineStr">
        <is>
          <t>tiziana terenzi kirke</t>
        </is>
      </c>
      <c r="B3282" s="42" t="inlineStr">
        <is>
          <t>tiziana terenzi kirke notes</t>
        </is>
      </c>
      <c r="C3282" s="42" t="inlineStr">
        <is>
          <t>Yes</t>
        </is>
      </c>
    </row>
    <row r="3283" ht="15" customHeight="1" s="37">
      <c r="A3283" s="42" t="inlineStr">
        <is>
          <t>tiziana terenzi kirke</t>
        </is>
      </c>
      <c r="B3283" s="42" t="inlineStr">
        <is>
          <t>tiziana terenzi kirke dupe</t>
        </is>
      </c>
      <c r="C3283" s="42" t="inlineStr">
        <is>
          <t>Yes</t>
        </is>
      </c>
    </row>
    <row r="3284" ht="15" customHeight="1" s="37">
      <c r="A3284" s="42" t="inlineStr">
        <is>
          <t>tiziana terenzi kirke</t>
        </is>
      </c>
      <c r="B3284" s="42" t="inlineStr">
        <is>
          <t>tiziana terenzi kirke fragrantica</t>
        </is>
      </c>
      <c r="C3284" s="42" t="n"/>
    </row>
    <row r="3285" ht="15" customHeight="1" s="37">
      <c r="A3285" s="42" t="inlineStr">
        <is>
          <t>tiziana terenzi kirke</t>
        </is>
      </c>
      <c r="B3285" s="42" t="inlineStr">
        <is>
          <t>tiziana terenzi kirke review</t>
        </is>
      </c>
      <c r="C3285" s="42" t="inlineStr">
        <is>
          <t>Yes</t>
        </is>
      </c>
    </row>
    <row r="3286" ht="15" customHeight="1" s="37">
      <c r="A3286" s="42" t="inlineStr">
        <is>
          <t>tiziana terenzi kirke</t>
        </is>
      </c>
      <c r="B3286" s="42" t="inlineStr">
        <is>
          <t>tiziana terenzi kirke overdose extrait de parfum</t>
        </is>
      </c>
      <c r="C3286" s="42" t="n"/>
    </row>
    <row r="3287" ht="15" customHeight="1" s="37">
      <c r="A3287" s="42" t="inlineStr">
        <is>
          <t>tiziana terenzi leo</t>
        </is>
      </c>
      <c r="B3287" s="42" t="inlineStr">
        <is>
          <t>tiziana terenzi leo</t>
        </is>
      </c>
      <c r="C3287" s="42" t="inlineStr">
        <is>
          <t>Yes</t>
        </is>
      </c>
    </row>
    <row r="3288" ht="15" customHeight="1" s="37">
      <c r="A3288" s="42" t="inlineStr">
        <is>
          <t>tiziana terenzi leo</t>
        </is>
      </c>
      <c r="B3288" s="42" t="inlineStr">
        <is>
          <t>tiziana terenzi leonis</t>
        </is>
      </c>
      <c r="C3288" s="42" t="n"/>
    </row>
    <row r="3289" ht="15" customHeight="1" s="37">
      <c r="A3289" s="42" t="inlineStr">
        <is>
          <t>tiziana terenzi leo</t>
        </is>
      </c>
      <c r="B3289" s="42" t="inlineStr">
        <is>
          <t>tiziana terenzi leo review</t>
        </is>
      </c>
      <c r="C3289" s="42" t="inlineStr">
        <is>
          <t>Yes</t>
        </is>
      </c>
    </row>
    <row r="3290" ht="15" customHeight="1" s="37">
      <c r="A3290" s="42" t="inlineStr">
        <is>
          <t>tiziana terenzi leo</t>
        </is>
      </c>
      <c r="B3290" s="42" t="inlineStr">
        <is>
          <t>tiziana terenzi leo extrait de parfum</t>
        </is>
      </c>
      <c r="C3290" s="42" t="inlineStr">
        <is>
          <t>Yes</t>
        </is>
      </c>
    </row>
    <row r="3291" ht="15" customHeight="1" s="37">
      <c r="A3291" s="42" t="inlineStr">
        <is>
          <t>tiziana terenzi leo</t>
        </is>
      </c>
      <c r="B3291" s="42" t="inlineStr">
        <is>
          <t>tiziana terenzi leonis 1</t>
        </is>
      </c>
      <c r="C3291" s="42" t="n"/>
    </row>
    <row r="3292" ht="15" customHeight="1" s="37">
      <c r="A3292" s="42" t="inlineStr">
        <is>
          <t>tiziana terenzi leo</t>
        </is>
      </c>
      <c r="B3292" s="42" t="inlineStr">
        <is>
          <t>tiziana terenzi leo fragrantica</t>
        </is>
      </c>
      <c r="C3292" s="42" t="n"/>
    </row>
    <row r="3293" ht="15" customHeight="1" s="37">
      <c r="A3293" s="42" t="inlineStr">
        <is>
          <t>tiziana terenzi leo</t>
        </is>
      </c>
      <c r="B3293" s="42" t="inlineStr">
        <is>
          <t>tiziana terenzi leo perfume</t>
        </is>
      </c>
      <c r="C3293" s="42" t="inlineStr">
        <is>
          <t>Yes</t>
        </is>
      </c>
    </row>
    <row r="3294" ht="15" customHeight="1" s="37">
      <c r="A3294" s="42" t="inlineStr">
        <is>
          <t>tiziana terenzi leo</t>
        </is>
      </c>
      <c r="B3294" s="42" t="inlineStr">
        <is>
          <t>tiziana terenzi leo price</t>
        </is>
      </c>
      <c r="C3294" s="42" t="inlineStr">
        <is>
          <t>Yes</t>
        </is>
      </c>
    </row>
    <row r="3295" ht="15" customHeight="1" s="37">
      <c r="A3295" s="42" t="inlineStr">
        <is>
          <t>tiziana terenzi leo</t>
        </is>
      </c>
      <c r="B3295" s="42" t="inlineStr">
        <is>
          <t>tiziana terenzi leo notes</t>
        </is>
      </c>
      <c r="C3295" s="42" t="inlineStr">
        <is>
          <t>Yes</t>
        </is>
      </c>
    </row>
    <row r="3296" ht="15" customHeight="1" s="37">
      <c r="A3296" s="42" t="inlineStr">
        <is>
          <t>tiziana terenzi leo</t>
        </is>
      </c>
      <c r="B3296" s="42" t="inlineStr">
        <is>
          <t>tiziana terenzi leo extrait de parfum 100ml</t>
        </is>
      </c>
      <c r="C3296" s="42" t="inlineStr">
        <is>
          <t>Yes</t>
        </is>
      </c>
    </row>
    <row r="3297" ht="15" customHeight="1" s="37">
      <c r="A3297" s="42" t="inlineStr">
        <is>
          <t>tiziana terenzi moro di venezia</t>
        </is>
      </c>
      <c r="B3297" s="42" t="inlineStr">
        <is>
          <t>tiziana terenzi moro di venezia</t>
        </is>
      </c>
      <c r="C3297" s="42" t="inlineStr">
        <is>
          <t>Yes</t>
        </is>
      </c>
    </row>
    <row r="3298" ht="15" customHeight="1" s="37">
      <c r="A3298" s="42" t="inlineStr">
        <is>
          <t>tiziana terenzi moro di venezia</t>
        </is>
      </c>
      <c r="B3298" s="42" t="inlineStr">
        <is>
          <t>tiziana terenzi moro di venezia fragrantica</t>
        </is>
      </c>
      <c r="C3298" s="42" t="n"/>
    </row>
    <row r="3299" ht="15" customHeight="1" s="37">
      <c r="A3299" s="42" t="inlineStr">
        <is>
          <t>tiziana terenzi moro di venezia</t>
        </is>
      </c>
      <c r="B3299" s="42" t="inlineStr">
        <is>
          <t>tiziana terenzi moro di venezia extrait de parfum</t>
        </is>
      </c>
      <c r="C3299" s="42" t="inlineStr">
        <is>
          <t>Yes</t>
        </is>
      </c>
    </row>
    <row r="3300" ht="15" customHeight="1" s="37">
      <c r="A3300" s="42" t="inlineStr">
        <is>
          <t>tiziana terenzi moro di venezia</t>
        </is>
      </c>
      <c r="B3300" s="42" t="inlineStr">
        <is>
          <t>tiziana terenzi moro di venezia extrait de parfum 100ml</t>
        </is>
      </c>
      <c r="C3300" s="42" t="inlineStr">
        <is>
          <t>Yes</t>
        </is>
      </c>
    </row>
    <row r="3301" ht="15" customHeight="1" s="37">
      <c r="A3301" s="42" t="inlineStr">
        <is>
          <t>tiziana terenzi moro di venezia</t>
        </is>
      </c>
      <c r="B3301" s="42" t="inlineStr">
        <is>
          <t>tiziana terenzi moro di venezia perfume</t>
        </is>
      </c>
      <c r="C3301" s="42" t="inlineStr">
        <is>
          <t>Yes</t>
        </is>
      </c>
    </row>
    <row r="3302" ht="15" customHeight="1" s="37">
      <c r="A3302" s="42" t="inlineStr">
        <is>
          <t>tiziana terenzi moro di venezia</t>
        </is>
      </c>
      <c r="B3302" s="42" t="inlineStr">
        <is>
          <t>tiziana terenzi moro di venezia extrait</t>
        </is>
      </c>
      <c r="C3302" s="42" t="inlineStr">
        <is>
          <t>Yes</t>
        </is>
      </c>
    </row>
    <row r="3303" ht="15" customHeight="1" s="37">
      <c r="A3303" s="42" t="inlineStr">
        <is>
          <t>tiziana terenzi moro di venezia</t>
        </is>
      </c>
      <c r="B3303" s="42" t="inlineStr">
        <is>
          <t>tiziana terenzi moro di venezia notes</t>
        </is>
      </c>
      <c r="C3303" s="42" t="inlineStr">
        <is>
          <t>Yes</t>
        </is>
      </c>
    </row>
    <row r="3304" ht="15" customHeight="1" s="37">
      <c r="A3304" s="42" t="inlineStr">
        <is>
          <t>tiziana terenzi moro di venezia</t>
        </is>
      </c>
      <c r="B3304" s="42" t="inlineStr">
        <is>
          <t>tiziana terenzi moro di venezia 100ml</t>
        </is>
      </c>
      <c r="C3304" s="42" t="inlineStr">
        <is>
          <t>Yes</t>
        </is>
      </c>
    </row>
    <row r="3305" ht="15" customHeight="1" s="37">
      <c r="A3305" s="42" t="inlineStr">
        <is>
          <t>tiziana terenzi moro di venezia</t>
        </is>
      </c>
      <c r="B3305" s="42" t="inlineStr">
        <is>
          <t>moro di venezia tiziana terenzi отзывы</t>
        </is>
      </c>
      <c r="C3305" s="42" t="n"/>
    </row>
    <row r="3306" ht="15" customHeight="1" s="37">
      <c r="A3306" s="42" t="inlineStr">
        <is>
          <t>tiziana terenzi moro di venezia</t>
        </is>
      </c>
      <c r="B3306" s="42" t="inlineStr">
        <is>
          <t>tiziana terenzi moro di venezia фрагрантика</t>
        </is>
      </c>
      <c r="C3306" s="42" t="n"/>
    </row>
    <row r="3307" ht="15" customHeight="1" s="37">
      <c r="A3307" s="42" t="inlineStr">
        <is>
          <t>tiziana terenzi orion</t>
        </is>
      </c>
      <c r="B3307" s="42" t="inlineStr">
        <is>
          <t>tiziana terenzi orion</t>
        </is>
      </c>
      <c r="C3307" s="42" t="inlineStr">
        <is>
          <t>Yes</t>
        </is>
      </c>
    </row>
    <row r="3308" ht="15" customHeight="1" s="37">
      <c r="A3308" s="42" t="inlineStr">
        <is>
          <t>tiziana terenzi orion</t>
        </is>
      </c>
      <c r="B3308" s="42" t="inlineStr">
        <is>
          <t>tiziana terenzi orion extrait de parfum</t>
        </is>
      </c>
      <c r="C3308" s="42" t="inlineStr">
        <is>
          <t>Yes</t>
        </is>
      </c>
    </row>
    <row r="3309" ht="15" customHeight="1" s="37">
      <c r="A3309" s="42" t="inlineStr">
        <is>
          <t>tiziana terenzi orion</t>
        </is>
      </c>
      <c r="B3309" s="42" t="inlineStr">
        <is>
          <t>tiziana terenzi orionis</t>
        </is>
      </c>
      <c r="C3309" s="42" t="n"/>
    </row>
    <row r="3310" ht="15" customHeight="1" s="37">
      <c r="A3310" s="42" t="inlineStr">
        <is>
          <t>tiziana terenzi orion</t>
        </is>
      </c>
      <c r="B3310" s="42" t="inlineStr">
        <is>
          <t>tiziana terenzi orion notes</t>
        </is>
      </c>
      <c r="C3310" s="42" t="inlineStr">
        <is>
          <t>Yes</t>
        </is>
      </c>
    </row>
    <row r="3311" ht="15" customHeight="1" s="37">
      <c r="A3311" s="42" t="inlineStr">
        <is>
          <t>tiziana terenzi orion</t>
        </is>
      </c>
      <c r="B3311" s="42" t="inlineStr">
        <is>
          <t>tiziana terenzi orion fragrantica</t>
        </is>
      </c>
      <c r="C3311" s="42" t="n"/>
    </row>
    <row r="3312" ht="15" customHeight="1" s="37">
      <c r="A3312" s="42" t="inlineStr">
        <is>
          <t>tiziana terenzi orion</t>
        </is>
      </c>
      <c r="B3312" s="42" t="inlineStr">
        <is>
          <t>tiziana terenzi orionis assoluto</t>
        </is>
      </c>
      <c r="C3312" s="42" t="n"/>
    </row>
    <row r="3313" ht="15" customHeight="1" s="37">
      <c r="A3313" s="42" t="inlineStr">
        <is>
          <t>tiziana terenzi orion</t>
        </is>
      </c>
      <c r="B3313" s="42" t="inlineStr">
        <is>
          <t>tiziana terenzi orion review</t>
        </is>
      </c>
      <c r="C3313" s="42" t="inlineStr">
        <is>
          <t>Yes</t>
        </is>
      </c>
    </row>
    <row r="3314" ht="15" customHeight="1" s="37">
      <c r="A3314" s="42" t="inlineStr">
        <is>
          <t>tiziana terenzi orion</t>
        </is>
      </c>
      <c r="B3314" s="42" t="inlineStr">
        <is>
          <t>tiziana terenzi orion cena</t>
        </is>
      </c>
      <c r="C3314" s="42" t="n"/>
    </row>
    <row r="3315" ht="15" customHeight="1" s="37">
      <c r="A3315" s="42" t="inlineStr">
        <is>
          <t>tiziana terenzi orion</t>
        </is>
      </c>
      <c r="B3315" s="42" t="inlineStr">
        <is>
          <t>tiziana terenzi orion price</t>
        </is>
      </c>
      <c r="C3315" s="42" t="inlineStr">
        <is>
          <t>Yes</t>
        </is>
      </c>
    </row>
    <row r="3316" ht="15" customHeight="1" s="37">
      <c r="A3316" s="42" t="inlineStr">
        <is>
          <t>tiziana terenzi perfume</t>
        </is>
      </c>
      <c r="B3316" s="42" t="inlineStr">
        <is>
          <t>tiziana terenzi perfume</t>
        </is>
      </c>
      <c r="C3316" s="42" t="inlineStr">
        <is>
          <t>Yes</t>
        </is>
      </c>
    </row>
    <row r="3317" ht="15" customHeight="1" s="37">
      <c r="A3317" s="42" t="inlineStr">
        <is>
          <t>tiziana terenzi perfume</t>
        </is>
      </c>
      <c r="B3317" s="42" t="inlineStr">
        <is>
          <t>tiziana terenzi perfume price</t>
        </is>
      </c>
      <c r="C3317" s="42" t="n"/>
    </row>
    <row r="3318" ht="15" customHeight="1" s="37">
      <c r="A3318" s="42" t="inlineStr">
        <is>
          <t>tiziana terenzi perfume</t>
        </is>
      </c>
      <c r="B3318" s="42" t="inlineStr">
        <is>
          <t>tiziana terenzi perfume review</t>
        </is>
      </c>
      <c r="C3318" s="42" t="n"/>
    </row>
    <row r="3319" ht="15" customHeight="1" s="37">
      <c r="A3319" s="42" t="inlineStr">
        <is>
          <t>tiziana terenzi perfume</t>
        </is>
      </c>
      <c r="B3319" s="42" t="inlineStr">
        <is>
          <t>tiziana terenzi perfume kirke</t>
        </is>
      </c>
      <c r="C3319" s="42" t="n"/>
    </row>
    <row r="3320" ht="15" customHeight="1" s="37">
      <c r="A3320" s="42" t="inlineStr">
        <is>
          <t>tiziana terenzi perfume</t>
        </is>
      </c>
      <c r="B3320" s="42" t="inlineStr">
        <is>
          <t>tiziana terenzi perfume men</t>
        </is>
      </c>
      <c r="C3320" s="42" t="n"/>
    </row>
    <row r="3321" ht="15" customHeight="1" s="37">
      <c r="A3321" s="42" t="inlineStr">
        <is>
          <t>tiziana terenzi perfume</t>
        </is>
      </c>
      <c r="B3321" s="42" t="inlineStr">
        <is>
          <t>tiziana terenzi perfume best seller</t>
        </is>
      </c>
      <c r="C3321" s="42" t="n"/>
    </row>
    <row r="3322" ht="15" customHeight="1" s="37">
      <c r="A3322" s="42" t="inlineStr">
        <is>
          <t>tiziana terenzi perfume</t>
        </is>
      </c>
      <c r="B3322" s="42" t="inlineStr">
        <is>
          <t>tiziana terenzi perfume price in pakistan</t>
        </is>
      </c>
      <c r="C3322" s="42" t="n"/>
    </row>
    <row r="3323" ht="15" customHeight="1" s="37">
      <c r="A3323" s="42" t="inlineStr">
        <is>
          <t>tiziana terenzi perfume</t>
        </is>
      </c>
      <c r="B3323" s="42" t="inlineStr">
        <is>
          <t>tiziana terenzi perfume halley</t>
        </is>
      </c>
      <c r="C3323" s="42" t="n"/>
    </row>
    <row r="3324" ht="15" customHeight="1" s="37">
      <c r="A3324" s="42" t="inlineStr">
        <is>
          <t>tiziana terenzi perfume</t>
        </is>
      </c>
      <c r="B3324" s="42" t="inlineStr">
        <is>
          <t>tiziana terenzi perfume cassiopea</t>
        </is>
      </c>
      <c r="C3324" s="42" t="n"/>
    </row>
    <row r="3325" ht="15" customHeight="1" s="37">
      <c r="A3325" s="42" t="inlineStr">
        <is>
          <t>tiziana terenzi perfume</t>
        </is>
      </c>
      <c r="B3325" s="42" t="inlineStr">
        <is>
          <t>tiziana terenzi perfume andromeda</t>
        </is>
      </c>
      <c r="C3325" s="42" t="n"/>
    </row>
    <row r="3326" ht="15" customHeight="1" s="37">
      <c r="A3326" s="42" t="inlineStr">
        <is>
          <t>tiziana terenzi porpora</t>
        </is>
      </c>
      <c r="B3326" s="42" t="inlineStr">
        <is>
          <t>tiziana terenzi porpora</t>
        </is>
      </c>
      <c r="C3326" s="42" t="inlineStr">
        <is>
          <t>Yes</t>
        </is>
      </c>
    </row>
    <row r="3327" ht="15" customHeight="1" s="37">
      <c r="A3327" s="42" t="inlineStr">
        <is>
          <t>tiziana terenzi porpora</t>
        </is>
      </c>
      <c r="B3327" s="42" t="inlineStr">
        <is>
          <t>tiziana terenzi porpora extrait de parfum</t>
        </is>
      </c>
      <c r="C3327" s="42" t="inlineStr">
        <is>
          <t>Yes</t>
        </is>
      </c>
    </row>
    <row r="3328" ht="15" customHeight="1" s="37">
      <c r="A3328" s="42" t="inlineStr">
        <is>
          <t>tiziana terenzi porpora</t>
        </is>
      </c>
      <c r="B3328" s="42" t="inlineStr">
        <is>
          <t>tiziana terenzi porpora fragrantica</t>
        </is>
      </c>
      <c r="C3328" s="42" t="n"/>
    </row>
    <row r="3329" ht="15" customHeight="1" s="37">
      <c r="A3329" s="42" t="inlineStr">
        <is>
          <t>tiziana terenzi porpora</t>
        </is>
      </c>
      <c r="B3329" s="42" t="inlineStr">
        <is>
          <t>tiziana terenzi porpora perfume</t>
        </is>
      </c>
      <c r="C3329" s="42" t="inlineStr">
        <is>
          <t>Yes</t>
        </is>
      </c>
    </row>
    <row r="3330" ht="15" customHeight="1" s="37">
      <c r="A3330" s="42" t="inlineStr">
        <is>
          <t>tiziana terenzi porpora</t>
        </is>
      </c>
      <c r="B3330" s="42" t="inlineStr">
        <is>
          <t>tiziana terenzi porpora vs portrait of a lady</t>
        </is>
      </c>
      <c r="C3330" s="42" t="n"/>
    </row>
    <row r="3331" ht="15" customHeight="1" s="37">
      <c r="A3331" s="42" t="inlineStr">
        <is>
          <t>tiziana terenzi porpora</t>
        </is>
      </c>
      <c r="B3331" s="42" t="inlineStr">
        <is>
          <t>tiziana terenzi porpora extrait de parfum 100ml</t>
        </is>
      </c>
      <c r="C3331" s="42" t="inlineStr">
        <is>
          <t>Yes</t>
        </is>
      </c>
    </row>
    <row r="3332" ht="15" customHeight="1" s="37">
      <c r="A3332" s="42" t="inlineStr">
        <is>
          <t>tiziana terenzi porpora</t>
        </is>
      </c>
      <c r="B3332" s="42" t="inlineStr">
        <is>
          <t>tiziana terenzi porpora extrait</t>
        </is>
      </c>
      <c r="C3332" s="42" t="inlineStr">
        <is>
          <t>Yes</t>
        </is>
      </c>
    </row>
    <row r="3333" ht="15" customHeight="1" s="37">
      <c r="A3333" s="42" t="inlineStr">
        <is>
          <t>tiziana terenzi porpora</t>
        </is>
      </c>
      <c r="B3333" s="42" t="inlineStr">
        <is>
          <t>tiziana terenzi porpora review</t>
        </is>
      </c>
      <c r="C3333" s="42" t="inlineStr">
        <is>
          <t>Yes</t>
        </is>
      </c>
    </row>
    <row r="3334" ht="15" customHeight="1" s="37">
      <c r="A3334" s="42" t="inlineStr">
        <is>
          <t>tiziana terenzi porpora</t>
        </is>
      </c>
      <c r="B3334" s="42" t="inlineStr">
        <is>
          <t>tiziana terenzi porpora notes</t>
        </is>
      </c>
      <c r="C3334" s="42" t="inlineStr">
        <is>
          <t>Yes</t>
        </is>
      </c>
    </row>
    <row r="3335" ht="15" customHeight="1" s="37">
      <c r="A3335" s="42" t="inlineStr">
        <is>
          <t>tiziana terenzi porpora</t>
        </is>
      </c>
      <c r="B3335" s="42" t="inlineStr">
        <is>
          <t>tiziana terenzi porpora dupe</t>
        </is>
      </c>
      <c r="C3335" s="42" t="n"/>
    </row>
    <row r="3336" ht="15" customHeight="1" s="37">
      <c r="A3336" s="42" t="inlineStr">
        <is>
          <t>tiziana terenzi saiph</t>
        </is>
      </c>
      <c r="B3336" s="42" t="inlineStr">
        <is>
          <t>tiziana terenzi saiph</t>
        </is>
      </c>
      <c r="C3336" s="42" t="inlineStr">
        <is>
          <t>Yes</t>
        </is>
      </c>
    </row>
    <row r="3337" ht="15" customHeight="1" s="37">
      <c r="A3337" s="42" t="inlineStr">
        <is>
          <t>tiziana terenzi saiph</t>
        </is>
      </c>
      <c r="B3337" s="42" t="inlineStr">
        <is>
          <t>tiziana terenzi saiph extrait de parfum</t>
        </is>
      </c>
      <c r="C3337" s="42" t="inlineStr">
        <is>
          <t>Yes</t>
        </is>
      </c>
    </row>
    <row r="3338" ht="15" customHeight="1" s="37">
      <c r="A3338" s="42" t="inlineStr">
        <is>
          <t>tiziana terenzi saiph</t>
        </is>
      </c>
      <c r="B3338" s="42" t="inlineStr">
        <is>
          <t>tiziana terenzi saiph review</t>
        </is>
      </c>
      <c r="C3338" s="42" t="inlineStr">
        <is>
          <t>Yes</t>
        </is>
      </c>
    </row>
    <row r="3339" ht="15" customHeight="1" s="37">
      <c r="A3339" s="42" t="inlineStr">
        <is>
          <t>tiziana terenzi saiph</t>
        </is>
      </c>
      <c r="B3339" s="42" t="inlineStr">
        <is>
          <t>tiziana terenzi saiph attar</t>
        </is>
      </c>
      <c r="C3339" s="42" t="n"/>
    </row>
    <row r="3340" ht="15" customHeight="1" s="37">
      <c r="A3340" s="42" t="inlineStr">
        <is>
          <t>tiziana terenzi saiph</t>
        </is>
      </c>
      <c r="B3340" s="42" t="inlineStr">
        <is>
          <t>tiziana terenzi saiph fragrantica</t>
        </is>
      </c>
      <c r="C3340" s="42" t="n"/>
    </row>
    <row r="3341" ht="15" customHeight="1" s="37">
      <c r="A3341" s="42" t="inlineStr">
        <is>
          <t>tiziana terenzi saiph</t>
        </is>
      </c>
      <c r="B3341" s="42" t="inlineStr">
        <is>
          <t>tiziana terenzi saiph extrait de parfum 100ml</t>
        </is>
      </c>
      <c r="C3341" s="42" t="inlineStr">
        <is>
          <t>Yes</t>
        </is>
      </c>
    </row>
    <row r="3342" ht="15" customHeight="1" s="37">
      <c r="A3342" s="42" t="inlineStr">
        <is>
          <t>tiziana terenzi saiph</t>
        </is>
      </c>
      <c r="B3342" s="42" t="inlineStr">
        <is>
          <t>tiziana terenzi saiph perfume</t>
        </is>
      </c>
      <c r="C3342" s="42" t="inlineStr">
        <is>
          <t>Yes</t>
        </is>
      </c>
    </row>
    <row r="3343" ht="15" customHeight="1" s="37">
      <c r="A3343" s="42" t="inlineStr">
        <is>
          <t>tiziana terenzi saiph</t>
        </is>
      </c>
      <c r="B3343" s="42" t="inlineStr">
        <is>
          <t>tiziana terenzi saiph price</t>
        </is>
      </c>
      <c r="C3343" s="42" t="inlineStr">
        <is>
          <t>Yes</t>
        </is>
      </c>
    </row>
    <row r="3344" ht="15" customHeight="1" s="37">
      <c r="A3344" s="42" t="inlineStr">
        <is>
          <t>tiziana terenzi saiph</t>
        </is>
      </c>
      <c r="B3344" s="42" t="inlineStr">
        <is>
          <t>tiziana terenzi saiph extrait</t>
        </is>
      </c>
      <c r="C3344" s="42" t="inlineStr">
        <is>
          <t>Yes</t>
        </is>
      </c>
    </row>
    <row r="3345" ht="15" customHeight="1" s="37">
      <c r="A3345" s="42" t="inlineStr">
        <is>
          <t>tiziana terenzi saiph</t>
        </is>
      </c>
      <c r="B3345" s="42" t="inlineStr">
        <is>
          <t>tiziana terenzi saiph edp 100ml</t>
        </is>
      </c>
      <c r="C3345" s="42" t="n"/>
    </row>
    <row r="3346" ht="15" customHeight="1" s="37">
      <c r="A3346" s="42" t="inlineStr">
        <is>
          <t>tiziana terenzi sea stars collection deriva</t>
        </is>
      </c>
      <c r="B3346" s="42" t="inlineStr">
        <is>
          <t>tiziana terenzi sea stars collection abbrivio &amp; deriva</t>
        </is>
      </c>
      <c r="C3346" s="42" t="n"/>
    </row>
    <row r="3347" ht="15" customHeight="1" s="37">
      <c r="A3347" s="42" t="inlineStr">
        <is>
          <t>tiziana terenzi sea stars collection deriva</t>
        </is>
      </c>
      <c r="B3347" s="42" t="inlineStr">
        <is>
          <t>tiziana terenzi orion price</t>
        </is>
      </c>
      <c r="C3347" s="42" t="inlineStr">
        <is>
          <t>Yes</t>
        </is>
      </c>
    </row>
    <row r="3348" ht="15" customHeight="1" s="37">
      <c r="A3348" s="42" t="inlineStr">
        <is>
          <t>tiziana terenzi sea stars collection deriva</t>
        </is>
      </c>
      <c r="B3348" s="42" t="inlineStr">
        <is>
          <t>orion tiziana terenzi review</t>
        </is>
      </c>
      <c r="C3348" s="42" t="n"/>
    </row>
    <row r="3349" ht="15" customHeight="1" s="37">
      <c r="A3349" s="42" t="inlineStr">
        <is>
          <t>tiziana terenzi white fire</t>
        </is>
      </c>
      <c r="B3349" s="42" t="inlineStr">
        <is>
          <t>tiziana terenzi white fire</t>
        </is>
      </c>
      <c r="C3349" s="42" t="inlineStr">
        <is>
          <t>Yes</t>
        </is>
      </c>
    </row>
    <row r="3350" ht="15" customHeight="1" s="37">
      <c r="A3350" s="42" t="inlineStr">
        <is>
          <t>tiziana terenzi white fire</t>
        </is>
      </c>
      <c r="B3350" s="42" t="inlineStr">
        <is>
          <t>tiziana terenzi white fire review</t>
        </is>
      </c>
      <c r="C3350" s="42" t="inlineStr">
        <is>
          <t>Yes</t>
        </is>
      </c>
    </row>
    <row r="3351" ht="15" customHeight="1" s="37">
      <c r="A3351" s="42" t="inlineStr">
        <is>
          <t>tiziana terenzi white fire</t>
        </is>
      </c>
      <c r="B3351" s="42" t="inlineStr">
        <is>
          <t>tiziana terenzi white fire extrait de parfum</t>
        </is>
      </c>
      <c r="C3351" s="42" t="inlineStr">
        <is>
          <t>Yes</t>
        </is>
      </c>
    </row>
    <row r="3352" ht="15" customHeight="1" s="37">
      <c r="A3352" s="42" t="inlineStr">
        <is>
          <t>tiziana terenzi white fire</t>
        </is>
      </c>
      <c r="B3352" s="42" t="inlineStr">
        <is>
          <t>tiziana terenzi white fire fragrantica</t>
        </is>
      </c>
      <c r="C3352" s="42" t="n"/>
    </row>
    <row r="3353" ht="15" customHeight="1" s="37">
      <c r="A3353" s="42" t="inlineStr">
        <is>
          <t>tiziana terenzi white fire</t>
        </is>
      </c>
      <c r="B3353" s="42" t="inlineStr">
        <is>
          <t>tiziana terenzi white fire price</t>
        </is>
      </c>
      <c r="C3353" s="42" t="inlineStr">
        <is>
          <t>Yes</t>
        </is>
      </c>
    </row>
    <row r="3354" ht="15" customHeight="1" s="37">
      <c r="A3354" s="42" t="inlineStr">
        <is>
          <t>tiziana terenzi white fire</t>
        </is>
      </c>
      <c r="B3354" s="42" t="inlineStr">
        <is>
          <t>tiziana terenzi white fire extrait</t>
        </is>
      </c>
      <c r="C3354" s="42" t="inlineStr">
        <is>
          <t>Yes</t>
        </is>
      </c>
    </row>
    <row r="3355" ht="15" customHeight="1" s="37">
      <c r="A3355" s="42" t="inlineStr">
        <is>
          <t>tiziana terenzi white fire</t>
        </is>
      </c>
      <c r="B3355" s="42" t="inlineStr">
        <is>
          <t>tiziana terenzi white fire notes</t>
        </is>
      </c>
      <c r="C3355" s="42" t="inlineStr">
        <is>
          <t>Yes</t>
        </is>
      </c>
    </row>
    <row r="3356" ht="15" customHeight="1" s="37">
      <c r="A3356" s="42" t="inlineStr">
        <is>
          <t>tiziana terenzi white fire</t>
        </is>
      </c>
      <c r="B3356" s="42" t="inlineStr">
        <is>
          <t>tiziana terenzi white fire edp 100ml</t>
        </is>
      </c>
      <c r="C3356" s="42" t="inlineStr">
        <is>
          <t>Yes</t>
        </is>
      </c>
    </row>
    <row r="3357" ht="15" customHeight="1" s="37">
      <c r="A3357" s="42" t="inlineStr">
        <is>
          <t>tiziana terenzi white fire</t>
        </is>
      </c>
      <c r="B3357" s="42" t="inlineStr">
        <is>
          <t>tiziana terenzi white fire hair mist</t>
        </is>
      </c>
      <c r="C3357" s="42" t="n"/>
    </row>
    <row r="3358" ht="15" customHeight="1" s="37">
      <c r="A3358" s="42" t="inlineStr">
        <is>
          <t>tiziana terenzi white fire</t>
        </is>
      </c>
      <c r="B3358" s="42" t="inlineStr">
        <is>
          <t>tiziana terenzi white fire perfume</t>
        </is>
      </c>
      <c r="C3358" s="42" t="n"/>
    </row>
    <row r="3359" ht="15" customHeight="1" s="37">
      <c r="A3359" s="42" t="inlineStr">
        <is>
          <t>tom ford black orchid</t>
        </is>
      </c>
      <c r="B3359" s="42" t="inlineStr">
        <is>
          <t>tom ford black orchid</t>
        </is>
      </c>
      <c r="C3359" s="42" t="inlineStr">
        <is>
          <t>Yes</t>
        </is>
      </c>
    </row>
    <row r="3360" ht="15" customHeight="1" s="37">
      <c r="A3360" s="42" t="inlineStr">
        <is>
          <t>tom ford black orchid</t>
        </is>
      </c>
      <c r="B3360" s="42" t="inlineStr">
        <is>
          <t>tom ford black orchid for men</t>
        </is>
      </c>
      <c r="C3360" s="42" t="n"/>
    </row>
    <row r="3361" ht="15" customHeight="1" s="37">
      <c r="A3361" s="42" t="inlineStr">
        <is>
          <t>tom ford black orchid</t>
        </is>
      </c>
      <c r="B3361" s="42" t="inlineStr">
        <is>
          <t>tom ford black orchid for women</t>
        </is>
      </c>
      <c r="C3361" s="42" t="n"/>
    </row>
    <row r="3362" ht="15" customHeight="1" s="37">
      <c r="A3362" s="42" t="inlineStr">
        <is>
          <t>tom ford black orchid</t>
        </is>
      </c>
      <c r="B3362" s="42" t="inlineStr">
        <is>
          <t>tom ford black orchid parfum</t>
        </is>
      </c>
      <c r="C3362" s="42" t="inlineStr">
        <is>
          <t>Yes</t>
        </is>
      </c>
    </row>
    <row r="3363" ht="15" customHeight="1" s="37">
      <c r="A3363" s="42" t="inlineStr">
        <is>
          <t>tom ford black orchid</t>
        </is>
      </c>
      <c r="B3363" s="42" t="inlineStr">
        <is>
          <t>tom ford black orchid reserve</t>
        </is>
      </c>
      <c r="C3363" s="42" t="n"/>
    </row>
    <row r="3364" ht="15" customHeight="1" s="37">
      <c r="A3364" s="42" t="inlineStr">
        <is>
          <t>tom ford black orchid</t>
        </is>
      </c>
      <c r="B3364" s="42" t="inlineStr">
        <is>
          <t>tom ford black orchid 100ml</t>
        </is>
      </c>
      <c r="C3364" s="42" t="n"/>
    </row>
    <row r="3365" ht="15" customHeight="1" s="37">
      <c r="A3365" s="42" t="inlineStr">
        <is>
          <t>tom ford black orchid</t>
        </is>
      </c>
      <c r="B3365" s="42" t="inlineStr">
        <is>
          <t>tom ford black orchid price</t>
        </is>
      </c>
      <c r="C3365" s="42" t="inlineStr">
        <is>
          <t>Yes</t>
        </is>
      </c>
    </row>
    <row r="3366" ht="15" customHeight="1" s="37">
      <c r="A3366" s="42" t="inlineStr">
        <is>
          <t>tom ford black orchid</t>
        </is>
      </c>
      <c r="B3366" s="42" t="inlineStr">
        <is>
          <t>tom ford black orchid eau de parfum</t>
        </is>
      </c>
      <c r="C3366" s="42" t="n"/>
    </row>
    <row r="3367" ht="15" customHeight="1" s="37">
      <c r="A3367" s="42" t="inlineStr">
        <is>
          <t>tom ford black orchid</t>
        </is>
      </c>
      <c r="B3367" s="42" t="inlineStr">
        <is>
          <t>tom ford black orchid notes</t>
        </is>
      </c>
      <c r="C3367" s="42" t="n"/>
    </row>
    <row r="3368" ht="15" customHeight="1" s="37">
      <c r="A3368" s="42" t="inlineStr">
        <is>
          <t>tom ford black orchid</t>
        </is>
      </c>
      <c r="B3368" s="42" t="inlineStr">
        <is>
          <t>tom ford black orchid men or women</t>
        </is>
      </c>
      <c r="C3368" s="42" t="n"/>
    </row>
    <row r="3369" ht="15" customHeight="1" s="37">
      <c r="A3369" s="42" t="inlineStr">
        <is>
          <t>tom ford ebene fume</t>
        </is>
      </c>
      <c r="B3369" s="42" t="inlineStr">
        <is>
          <t>tom ford ebene fume</t>
        </is>
      </c>
      <c r="C3369" s="42" t="inlineStr">
        <is>
          <t>Yes</t>
        </is>
      </c>
    </row>
    <row r="3370" ht="15" customHeight="1" s="37">
      <c r="A3370" s="42" t="inlineStr">
        <is>
          <t>tom ford ebene fume</t>
        </is>
      </c>
      <c r="B3370" s="42" t="inlineStr">
        <is>
          <t>tom ford ebene fume 100ml</t>
        </is>
      </c>
      <c r="C3370" s="42" t="n"/>
    </row>
    <row r="3371" ht="15" customHeight="1" s="37">
      <c r="A3371" s="42" t="inlineStr">
        <is>
          <t>tom ford ebene fume</t>
        </is>
      </c>
      <c r="B3371" s="42" t="inlineStr">
        <is>
          <t>tom ford ebene fume dupe</t>
        </is>
      </c>
      <c r="C3371" s="42" t="n"/>
    </row>
    <row r="3372" ht="15" customHeight="1" s="37">
      <c r="A3372" s="42" t="inlineStr">
        <is>
          <t>tom ford ebene fume</t>
        </is>
      </c>
      <c r="B3372" s="42" t="inlineStr">
        <is>
          <t>tom ford ebene fume notes</t>
        </is>
      </c>
      <c r="C3372" s="42" t="n"/>
    </row>
    <row r="3373" ht="15" customHeight="1" s="37">
      <c r="A3373" s="42" t="inlineStr">
        <is>
          <t>tom ford ebene fume</t>
        </is>
      </c>
      <c r="B3373" s="42" t="inlineStr">
        <is>
          <t>tom ford ebene fume review</t>
        </is>
      </c>
      <c r="C3373" s="42" t="n"/>
    </row>
    <row r="3374" ht="15" customHeight="1" s="37">
      <c r="A3374" s="42" t="inlineStr">
        <is>
          <t>tom ford ebene fume</t>
        </is>
      </c>
      <c r="B3374" s="42" t="inlineStr">
        <is>
          <t>tom ford ebene fume candle</t>
        </is>
      </c>
      <c r="C3374" s="42" t="n"/>
    </row>
    <row r="3375" ht="15" customHeight="1" s="37">
      <c r="A3375" s="42" t="inlineStr">
        <is>
          <t>tom ford ebene fume</t>
        </is>
      </c>
      <c r="B3375" s="42" t="inlineStr">
        <is>
          <t>tom ford ebene fume for men or women</t>
        </is>
      </c>
      <c r="C3375" s="42" t="n"/>
    </row>
    <row r="3376" ht="15" customHeight="1" s="37">
      <c r="A3376" s="42" t="inlineStr">
        <is>
          <t>tom ford ebene fume</t>
        </is>
      </c>
      <c r="B3376" s="42" t="inlineStr">
        <is>
          <t>tom ford ebene fume 50 ml</t>
        </is>
      </c>
      <c r="C3376" s="42" t="n"/>
    </row>
    <row r="3377" ht="15" customHeight="1" s="37">
      <c r="A3377" s="42" t="inlineStr">
        <is>
          <t>tom ford ebene fume</t>
        </is>
      </c>
      <c r="B3377" s="42" t="inlineStr">
        <is>
          <t>tom ford ebene fume 30ml</t>
        </is>
      </c>
      <c r="C3377" s="42" t="n"/>
    </row>
    <row r="3378" ht="15" customHeight="1" s="37">
      <c r="A3378" s="42" t="inlineStr">
        <is>
          <t>tom ford ebene fume</t>
        </is>
      </c>
      <c r="B3378" s="42" t="inlineStr">
        <is>
          <t>tom ford ebene fume fragrantica</t>
        </is>
      </c>
      <c r="C3378" s="42" t="n"/>
    </row>
    <row r="3379" ht="15" customHeight="1" s="37">
      <c r="A3379" s="42" t="inlineStr">
        <is>
          <t>tom ford neroli portofino</t>
        </is>
      </c>
      <c r="B3379" s="42" t="inlineStr">
        <is>
          <t>tom ford neroli portofino</t>
        </is>
      </c>
      <c r="C3379" s="42" t="inlineStr">
        <is>
          <t>Yes</t>
        </is>
      </c>
    </row>
    <row r="3380" ht="15" customHeight="1" s="37">
      <c r="A3380" s="42" t="inlineStr">
        <is>
          <t>tom ford neroli portofino</t>
        </is>
      </c>
      <c r="B3380" s="42" t="inlineStr">
        <is>
          <t>tom ford neroli portofino 100ml</t>
        </is>
      </c>
      <c r="C3380" s="42" t="n"/>
    </row>
    <row r="3381" ht="15" customHeight="1" s="37">
      <c r="A3381" s="42" t="inlineStr">
        <is>
          <t>tom ford neroli portofino</t>
        </is>
      </c>
      <c r="B3381" s="42" t="inlineStr">
        <is>
          <t>tom ford neroli portofino dupe</t>
        </is>
      </c>
      <c r="C3381" s="42" t="n"/>
    </row>
    <row r="3382" ht="15" customHeight="1" s="37">
      <c r="A3382" s="42" t="inlineStr">
        <is>
          <t>tom ford neroli portofino</t>
        </is>
      </c>
      <c r="B3382" s="42" t="inlineStr">
        <is>
          <t>tom ford neroli portofino acqua</t>
        </is>
      </c>
      <c r="C3382" s="42" t="n"/>
    </row>
    <row r="3383" ht="15" customHeight="1" s="37">
      <c r="A3383" s="42" t="inlineStr">
        <is>
          <t>tom ford neroli portofino</t>
        </is>
      </c>
      <c r="B3383" s="42" t="inlineStr">
        <is>
          <t>tom ford neroli portofino parfum</t>
        </is>
      </c>
      <c r="C3383" s="42" t="n"/>
    </row>
    <row r="3384" ht="15" customHeight="1" s="37">
      <c r="A3384" s="42" t="inlineStr">
        <is>
          <t>tom ford neroli portofino</t>
        </is>
      </c>
      <c r="B3384" s="42" t="inlineStr">
        <is>
          <t>tom ford neroli portofino eau de parfum</t>
        </is>
      </c>
      <c r="C3384" s="42" t="inlineStr">
        <is>
          <t>Yes</t>
        </is>
      </c>
    </row>
    <row r="3385" ht="15" customHeight="1" s="37">
      <c r="A3385" s="42" t="inlineStr">
        <is>
          <t>tom ford neroli portofino</t>
        </is>
      </c>
      <c r="B3385" s="42" t="inlineStr">
        <is>
          <t>tom ford neroli portofino notes</t>
        </is>
      </c>
      <c r="C3385" s="42" t="n"/>
    </row>
    <row r="3386" ht="15" customHeight="1" s="37">
      <c r="A3386" s="42" t="inlineStr">
        <is>
          <t>tom ford neroli portofino</t>
        </is>
      </c>
      <c r="B3386" s="42" t="inlineStr">
        <is>
          <t>tom ford neroli portofino 50ml</t>
        </is>
      </c>
      <c r="C3386" s="42" t="n"/>
    </row>
    <row r="3387" ht="15" customHeight="1" s="37">
      <c r="A3387" s="42" t="inlineStr">
        <is>
          <t>tom ford neroli portofino</t>
        </is>
      </c>
      <c r="B3387" s="42" t="inlineStr">
        <is>
          <t>tom ford neroli portofino review</t>
        </is>
      </c>
      <c r="C3387" s="42" t="n"/>
    </row>
    <row r="3388" ht="15" customHeight="1" s="37">
      <c r="A3388" s="42" t="inlineStr">
        <is>
          <t>tom ford neroli portofino</t>
        </is>
      </c>
      <c r="B3388" s="42" t="inlineStr">
        <is>
          <t>tom ford neroli portofino price</t>
        </is>
      </c>
      <c r="C3388" s="42" t="inlineStr">
        <is>
          <t>Yes</t>
        </is>
      </c>
    </row>
    <row r="3389" ht="15" customHeight="1" s="37">
      <c r="A3389" s="42" t="inlineStr">
        <is>
          <t>tom ford noir extreme</t>
        </is>
      </c>
      <c r="B3389" s="42" t="inlineStr">
        <is>
          <t>tom ford noir extreme</t>
        </is>
      </c>
      <c r="C3389" s="42" t="inlineStr">
        <is>
          <t>Yes</t>
        </is>
      </c>
    </row>
    <row r="3390" ht="15" customHeight="1" s="37">
      <c r="A3390" s="42" t="inlineStr">
        <is>
          <t>tom ford noir extreme</t>
        </is>
      </c>
      <c r="B3390" s="42" t="inlineStr">
        <is>
          <t>tom ford noir extreme parfum</t>
        </is>
      </c>
      <c r="C3390" s="42" t="inlineStr">
        <is>
          <t>Yes</t>
        </is>
      </c>
    </row>
    <row r="3391" ht="15" customHeight="1" s="37">
      <c r="A3391" s="42" t="inlineStr">
        <is>
          <t>tom ford noir extreme</t>
        </is>
      </c>
      <c r="B3391" s="42" t="inlineStr">
        <is>
          <t>tom ford noir extreme 100ml</t>
        </is>
      </c>
      <c r="C3391" s="42" t="n"/>
    </row>
    <row r="3392" ht="15" customHeight="1" s="37">
      <c r="A3392" s="42" t="inlineStr">
        <is>
          <t>tom ford noir extreme</t>
        </is>
      </c>
      <c r="B3392" s="42" t="inlineStr">
        <is>
          <t>tom ford noir extreme dupe</t>
        </is>
      </c>
      <c r="C3392" s="42" t="n"/>
    </row>
    <row r="3393" ht="15" customHeight="1" s="37">
      <c r="A3393" s="42" t="inlineStr">
        <is>
          <t>tom ford noir extreme</t>
        </is>
      </c>
      <c r="B3393" s="42" t="inlineStr">
        <is>
          <t>tom ford noir extreme edp</t>
        </is>
      </c>
      <c r="C3393" s="42" t="n"/>
    </row>
    <row r="3394" ht="15" customHeight="1" s="37">
      <c r="A3394" s="42" t="inlineStr">
        <is>
          <t>tom ford noir extreme</t>
        </is>
      </c>
      <c r="B3394" s="42" t="inlineStr">
        <is>
          <t>tom ford noir extreme eau de parfum</t>
        </is>
      </c>
      <c r="C3394" s="42" t="n"/>
    </row>
    <row r="3395" ht="15" customHeight="1" s="37">
      <c r="A3395" s="42" t="inlineStr">
        <is>
          <t>tom ford noir extreme</t>
        </is>
      </c>
      <c r="B3395" s="42" t="inlineStr">
        <is>
          <t>tom ford noir extreme notes</t>
        </is>
      </c>
      <c r="C3395" s="42" t="n"/>
    </row>
    <row r="3396" ht="15" customHeight="1" s="37">
      <c r="A3396" s="42" t="inlineStr">
        <is>
          <t>tom ford noir extreme</t>
        </is>
      </c>
      <c r="B3396" s="42" t="inlineStr">
        <is>
          <t>tom ford noir extreme 50ml</t>
        </is>
      </c>
      <c r="C3396" s="42" t="n"/>
    </row>
    <row r="3397" ht="15" customHeight="1" s="37">
      <c r="A3397" s="42" t="inlineStr">
        <is>
          <t>tom ford noir extreme</t>
        </is>
      </c>
      <c r="B3397" s="42" t="inlineStr">
        <is>
          <t>tom ford noir extreme price</t>
        </is>
      </c>
      <c r="C3397" s="42" t="inlineStr">
        <is>
          <t>Yes</t>
        </is>
      </c>
    </row>
    <row r="3398" ht="15" customHeight="1" s="37">
      <c r="A3398" s="42" t="inlineStr">
        <is>
          <t>tom ford noir extreme</t>
        </is>
      </c>
      <c r="B3398" s="42" t="inlineStr">
        <is>
          <t>tom ford noir extreme review</t>
        </is>
      </c>
      <c r="C3398" s="42" t="n"/>
    </row>
    <row r="3399" ht="15" customHeight="1" s="37">
      <c r="A3399" s="42" t="inlineStr">
        <is>
          <t>tom ford oud wood</t>
        </is>
      </c>
      <c r="B3399" s="42" t="inlineStr">
        <is>
          <t>tom ford oud wood</t>
        </is>
      </c>
      <c r="C3399" s="42" t="inlineStr">
        <is>
          <t>Yes</t>
        </is>
      </c>
    </row>
    <row r="3400" ht="15" customHeight="1" s="37">
      <c r="A3400" s="42" t="inlineStr">
        <is>
          <t>tom ford oud wood</t>
        </is>
      </c>
      <c r="B3400" s="42" t="inlineStr">
        <is>
          <t>tom ford oud wood 100ml</t>
        </is>
      </c>
      <c r="C3400" s="42" t="n"/>
    </row>
    <row r="3401" ht="15" customHeight="1" s="37">
      <c r="A3401" s="42" t="inlineStr">
        <is>
          <t>tom ford oud wood</t>
        </is>
      </c>
      <c r="B3401" s="42" t="inlineStr">
        <is>
          <t>tom ford oud wood price</t>
        </is>
      </c>
      <c r="C3401" s="42" t="inlineStr">
        <is>
          <t>Yes</t>
        </is>
      </c>
    </row>
    <row r="3402" ht="15" customHeight="1" s="37">
      <c r="A3402" s="42" t="inlineStr">
        <is>
          <t>tom ford oud wood</t>
        </is>
      </c>
      <c r="B3402" s="42" t="inlineStr">
        <is>
          <t>tom ford oud wood dupe</t>
        </is>
      </c>
      <c r="C3402" s="42" t="n"/>
    </row>
    <row r="3403" ht="15" customHeight="1" s="37">
      <c r="A3403" s="42" t="inlineStr">
        <is>
          <t>tom ford oud wood</t>
        </is>
      </c>
      <c r="B3403" s="42" t="inlineStr">
        <is>
          <t>tom ford oud wood parfum</t>
        </is>
      </c>
      <c r="C3403" s="42" t="n"/>
    </row>
    <row r="3404" ht="15" customHeight="1" s="37">
      <c r="A3404" s="42" t="inlineStr">
        <is>
          <t>tom ford oud wood</t>
        </is>
      </c>
      <c r="B3404" s="42" t="inlineStr">
        <is>
          <t>tom ford oud wood eau de parfum</t>
        </is>
      </c>
      <c r="C3404" s="42" t="inlineStr">
        <is>
          <t>Yes</t>
        </is>
      </c>
    </row>
    <row r="3405" ht="15" customHeight="1" s="37">
      <c r="A3405" s="42" t="inlineStr">
        <is>
          <t>tom ford oud wood</t>
        </is>
      </c>
      <c r="B3405" s="42" t="inlineStr">
        <is>
          <t>tom ford oud wood 50ml</t>
        </is>
      </c>
      <c r="C3405" s="42" t="n"/>
    </row>
    <row r="3406" ht="15" customHeight="1" s="37">
      <c r="A3406" s="42" t="inlineStr">
        <is>
          <t>tom ford oud wood</t>
        </is>
      </c>
      <c r="B3406" s="42" t="inlineStr">
        <is>
          <t>tom ford oud wood notes</t>
        </is>
      </c>
      <c r="C3406" s="42" t="n"/>
    </row>
    <row r="3407" ht="15" customHeight="1" s="37">
      <c r="A3407" s="42" t="inlineStr">
        <is>
          <t>tom ford oud wood</t>
        </is>
      </c>
      <c r="B3407" s="42" t="inlineStr">
        <is>
          <t>tom ford oud wood review</t>
        </is>
      </c>
      <c r="C3407" s="42" t="n"/>
    </row>
    <row r="3408" ht="15" customHeight="1" s="37">
      <c r="A3408" s="42" t="inlineStr">
        <is>
          <t>tom ford oud wood</t>
        </is>
      </c>
      <c r="B3408" s="42" t="inlineStr">
        <is>
          <t>tom ford oud wood perfume</t>
        </is>
      </c>
      <c r="C3408" s="42" t="n"/>
    </row>
    <row r="3409" ht="15" customHeight="1" s="37">
      <c r="A3409" s="42" t="inlineStr">
        <is>
          <t>tom ford perfume</t>
        </is>
      </c>
      <c r="B3409" s="42" t="inlineStr">
        <is>
          <t>tom ford perfume</t>
        </is>
      </c>
      <c r="C3409" s="42" t="inlineStr">
        <is>
          <t>Yes</t>
        </is>
      </c>
    </row>
    <row r="3410" ht="15" customHeight="1" s="37">
      <c r="A3410" s="42" t="inlineStr">
        <is>
          <t>tom ford perfume</t>
        </is>
      </c>
      <c r="B3410" s="42" t="inlineStr">
        <is>
          <t>tom ford perfume for men</t>
        </is>
      </c>
      <c r="C3410" s="42" t="inlineStr">
        <is>
          <t>Yes</t>
        </is>
      </c>
    </row>
    <row r="3411" ht="15" customHeight="1" s="37">
      <c r="A3411" s="42" t="inlineStr">
        <is>
          <t>tom ford perfume</t>
        </is>
      </c>
      <c r="B3411" s="42" t="inlineStr">
        <is>
          <t>tom ford perfume women</t>
        </is>
      </c>
      <c r="C3411" s="42" t="n"/>
    </row>
    <row r="3412" ht="15" customHeight="1" s="37">
      <c r="A3412" s="42" t="inlineStr">
        <is>
          <t>tom ford perfume</t>
        </is>
      </c>
      <c r="B3412" s="42" t="inlineStr">
        <is>
          <t>tom ford perfume price</t>
        </is>
      </c>
      <c r="C3412" s="42" t="n"/>
    </row>
    <row r="3413" ht="15" customHeight="1" s="37">
      <c r="A3413" s="42" t="inlineStr">
        <is>
          <t>tom ford perfume</t>
        </is>
      </c>
      <c r="B3413" s="42" t="inlineStr">
        <is>
          <t>tom ford perfume price in pakistan</t>
        </is>
      </c>
      <c r="C3413" s="42" t="n"/>
    </row>
    <row r="3414" ht="15" customHeight="1" s="37">
      <c r="A3414" s="42" t="inlineStr">
        <is>
          <t>tom ford perfume</t>
        </is>
      </c>
      <c r="B3414" s="42" t="inlineStr">
        <is>
          <t>tom ford perfume oud wood</t>
        </is>
      </c>
      <c r="C3414" s="42" t="n"/>
    </row>
    <row r="3415" ht="15" customHeight="1" s="37">
      <c r="A3415" s="42" t="inlineStr">
        <is>
          <t>tom ford perfume</t>
        </is>
      </c>
      <c r="B3415" s="42" t="inlineStr">
        <is>
          <t>tom ford perfume black orchid</t>
        </is>
      </c>
      <c r="C3415" s="42" t="n"/>
    </row>
    <row r="3416" ht="15" customHeight="1" s="37">
      <c r="A3416" s="42" t="inlineStr">
        <is>
          <t>tom ford perfume</t>
        </is>
      </c>
      <c r="B3416" s="42" t="inlineStr">
        <is>
          <t>tom ford perfume ombre leather</t>
        </is>
      </c>
      <c r="C3416" s="42" t="n"/>
    </row>
    <row r="3417" ht="15" customHeight="1" s="37">
      <c r="A3417" s="42" t="inlineStr">
        <is>
          <t>tom ford perfume</t>
        </is>
      </c>
      <c r="B3417" s="42" t="inlineStr">
        <is>
          <t>tom ford perfume lost cherry</t>
        </is>
      </c>
      <c r="C3417" s="42" t="n"/>
    </row>
    <row r="3418" ht="15" customHeight="1" s="37">
      <c r="A3418" s="42" t="inlineStr">
        <is>
          <t>tom ford perfume</t>
        </is>
      </c>
      <c r="B3418" s="42" t="inlineStr">
        <is>
          <t>tom ford perfume tobacco vanille</t>
        </is>
      </c>
      <c r="C3418" s="42" t="n"/>
    </row>
    <row r="3419" ht="15" customHeight="1" s="37">
      <c r="A3419" s="42" t="inlineStr">
        <is>
          <t>trussardi delicate rose</t>
        </is>
      </c>
      <c r="B3419" s="42" t="inlineStr">
        <is>
          <t>trussardi delicate rose</t>
        </is>
      </c>
      <c r="C3419" s="42" t="inlineStr">
        <is>
          <t>Yes</t>
        </is>
      </c>
    </row>
    <row r="3420" ht="15" customHeight="1" s="37">
      <c r="A3420" s="42" t="inlineStr">
        <is>
          <t>trussardi delicate rose</t>
        </is>
      </c>
      <c r="B3420" s="42" t="inlineStr">
        <is>
          <t>trussardi delicate rose perfume</t>
        </is>
      </c>
      <c r="C3420" s="42" t="inlineStr">
        <is>
          <t>Yes</t>
        </is>
      </c>
    </row>
    <row r="3421" ht="15" customHeight="1" s="37">
      <c r="A3421" s="42" t="inlineStr">
        <is>
          <t>trussardi delicate rose</t>
        </is>
      </c>
      <c r="B3421" s="42" t="inlineStr">
        <is>
          <t>trussardi delicate rose price</t>
        </is>
      </c>
      <c r="C3421" s="42" t="inlineStr">
        <is>
          <t>Yes</t>
        </is>
      </c>
    </row>
    <row r="3422" ht="15" customHeight="1" s="37">
      <c r="A3422" s="42" t="inlineStr">
        <is>
          <t>trussardi delicate rose</t>
        </is>
      </c>
      <c r="B3422" s="42" t="inlineStr">
        <is>
          <t>trussardi delicate rose review</t>
        </is>
      </c>
      <c r="C3422" s="42" t="inlineStr">
        <is>
          <t>Yes</t>
        </is>
      </c>
    </row>
    <row r="3423" ht="15" customHeight="1" s="37">
      <c r="A3423" s="42" t="inlineStr">
        <is>
          <t>trussardi delicate rose</t>
        </is>
      </c>
      <c r="B3423" s="42" t="inlineStr">
        <is>
          <t>trussardi delicate rose eau de toilette</t>
        </is>
      </c>
      <c r="C3423" s="42" t="inlineStr">
        <is>
          <t>Yes</t>
        </is>
      </c>
    </row>
    <row r="3424" ht="15" customHeight="1" s="37">
      <c r="A3424" s="42" t="inlineStr">
        <is>
          <t>trussardi delicate rose</t>
        </is>
      </c>
      <c r="B3424" s="42" t="inlineStr">
        <is>
          <t>trussardi delicate rose fragrantica</t>
        </is>
      </c>
      <c r="C3424" s="42" t="n"/>
    </row>
    <row r="3425" ht="15" customHeight="1" s="37">
      <c r="A3425" s="42" t="inlineStr">
        <is>
          <t>trussardi delicate rose</t>
        </is>
      </c>
      <c r="B3425" s="42" t="inlineStr">
        <is>
          <t>trussardi delicate rose edt</t>
        </is>
      </c>
      <c r="C3425" s="42" t="inlineStr">
        <is>
          <t>Yes</t>
        </is>
      </c>
    </row>
    <row r="3426" ht="15" customHeight="1" s="37">
      <c r="A3426" s="42" t="inlineStr">
        <is>
          <t>trussardi delicate rose</t>
        </is>
      </c>
      <c r="B3426" s="42" t="inlineStr">
        <is>
          <t>trussardi delicate rose notes</t>
        </is>
      </c>
      <c r="C3426" s="42" t="inlineStr">
        <is>
          <t>Yes</t>
        </is>
      </c>
    </row>
    <row r="3427" ht="15" customHeight="1" s="37">
      <c r="A3427" s="42" t="inlineStr">
        <is>
          <t>trussardi delicate rose</t>
        </is>
      </c>
      <c r="B3427" s="42" t="inlineStr">
        <is>
          <t>trussardi delicate rose 100ml</t>
        </is>
      </c>
      <c r="C3427" s="42" t="inlineStr">
        <is>
          <t>Yes</t>
        </is>
      </c>
    </row>
    <row r="3428" ht="15" customHeight="1" s="37">
      <c r="A3428" s="42" t="inlineStr">
        <is>
          <t>trussardi delicate rose</t>
        </is>
      </c>
      <c r="B3428" s="42" t="inlineStr">
        <is>
          <t>trussardi delicate rose edt 100ml</t>
        </is>
      </c>
      <c r="C3428" s="42" t="n"/>
    </row>
    <row r="3429" ht="15" customHeight="1" s="37">
      <c r="A3429" s="42" t="inlineStr">
        <is>
          <t>trussardi perfume</t>
        </is>
      </c>
      <c r="B3429" s="42" t="inlineStr">
        <is>
          <t>trussardi perfume</t>
        </is>
      </c>
      <c r="C3429" s="42" t="inlineStr">
        <is>
          <t>Yes</t>
        </is>
      </c>
    </row>
    <row r="3430" ht="15" customHeight="1" s="37">
      <c r="A3430" s="42" t="inlineStr">
        <is>
          <t>trussardi perfume</t>
        </is>
      </c>
      <c r="B3430" s="42" t="inlineStr">
        <is>
          <t>trussardi perfume price</t>
        </is>
      </c>
      <c r="C3430" s="42" t="n"/>
    </row>
    <row r="3431" ht="15" customHeight="1" s="37">
      <c r="A3431" s="42" t="inlineStr">
        <is>
          <t>trussardi perfume</t>
        </is>
      </c>
      <c r="B3431" s="42" t="inlineStr">
        <is>
          <t>trussardi perfume woman</t>
        </is>
      </c>
      <c r="C3431" s="42" t="n"/>
    </row>
    <row r="3432" ht="15" customHeight="1" s="37">
      <c r="A3432" s="42" t="inlineStr">
        <is>
          <t>trussardi perfume</t>
        </is>
      </c>
      <c r="B3432" s="42" t="inlineStr">
        <is>
          <t>trussardi perfume man</t>
        </is>
      </c>
      <c r="C3432" s="42" t="n"/>
    </row>
    <row r="3433" ht="15" customHeight="1" s="37">
      <c r="A3433" s="42" t="inlineStr">
        <is>
          <t>trussardi perfume</t>
        </is>
      </c>
      <c r="B3433" s="42" t="inlineStr">
        <is>
          <t>trussardi perfume donna</t>
        </is>
      </c>
      <c r="C3433" s="42" t="n"/>
    </row>
    <row r="3434" ht="15" customHeight="1" s="37">
      <c r="A3434" s="42" t="inlineStr">
        <is>
          <t>trussardi perfume</t>
        </is>
      </c>
      <c r="B3434" s="42" t="inlineStr">
        <is>
          <t>trussardi perfume my name</t>
        </is>
      </c>
      <c r="C3434" s="42" t="n"/>
    </row>
    <row r="3435" ht="15" customHeight="1" s="37">
      <c r="A3435" s="42" t="inlineStr">
        <is>
          <t>trussardi perfume</t>
        </is>
      </c>
      <c r="B3435" s="42" t="inlineStr">
        <is>
          <t>trussardi perfume men</t>
        </is>
      </c>
      <c r="C3435" s="42" t="n"/>
    </row>
    <row r="3436" ht="15" customHeight="1" s="37">
      <c r="A3436" s="42" t="inlineStr">
        <is>
          <t>trussardi perfume</t>
        </is>
      </c>
      <c r="B3436" s="42" t="inlineStr">
        <is>
          <t>trussardi perfume price in pakistan</t>
        </is>
      </c>
      <c r="C3436" s="42" t="n"/>
    </row>
    <row r="3437" ht="15" customHeight="1" s="37">
      <c r="A3437" s="42" t="inlineStr">
        <is>
          <t>trussardi perfume</t>
        </is>
      </c>
      <c r="B3437" s="42" t="inlineStr">
        <is>
          <t>trussardi perfume uomo</t>
        </is>
      </c>
      <c r="C3437" s="42" t="n"/>
    </row>
    <row r="3438" ht="15" customHeight="1" s="37">
      <c r="A3438" s="42" t="inlineStr">
        <is>
          <t>trussardi perfume</t>
        </is>
      </c>
      <c r="B3438" s="42" t="inlineStr">
        <is>
          <t>trussardi perfume delicate rose</t>
        </is>
      </c>
      <c r="C3438" s="42" t="n"/>
    </row>
    <row r="3439" ht="15" customHeight="1" s="37">
      <c r="A3439" s="42" t="inlineStr">
        <is>
          <t>trussardi pure jasmine</t>
        </is>
      </c>
      <c r="B3439" s="42" t="inlineStr">
        <is>
          <t>trussardi pure jasmine</t>
        </is>
      </c>
      <c r="C3439" s="42" t="inlineStr">
        <is>
          <t>Yes</t>
        </is>
      </c>
    </row>
    <row r="3440" ht="15" customHeight="1" s="37">
      <c r="A3440" s="42" t="inlineStr">
        <is>
          <t>trussardi pure jasmine</t>
        </is>
      </c>
      <c r="B3440" s="42" t="inlineStr">
        <is>
          <t>trussardi pure jasmine eau de parfum</t>
        </is>
      </c>
      <c r="C3440" s="42" t="inlineStr">
        <is>
          <t>Yes</t>
        </is>
      </c>
    </row>
    <row r="3441" ht="15" customHeight="1" s="37">
      <c r="A3441" s="42" t="inlineStr">
        <is>
          <t>trussardi pure jasmine</t>
        </is>
      </c>
      <c r="B3441" s="42" t="inlineStr">
        <is>
          <t>trussardi pure jasmine review</t>
        </is>
      </c>
      <c r="C3441" s="42" t="inlineStr">
        <is>
          <t>Yes</t>
        </is>
      </c>
    </row>
    <row r="3442" ht="15" customHeight="1" s="37">
      <c r="A3442" s="42" t="inlineStr">
        <is>
          <t>trussardi pure jasmine</t>
        </is>
      </c>
      <c r="B3442" s="42" t="inlineStr">
        <is>
          <t>trussardi pure jasmine price</t>
        </is>
      </c>
      <c r="C3442" s="42" t="inlineStr">
        <is>
          <t>Yes</t>
        </is>
      </c>
    </row>
    <row r="3443" ht="15" customHeight="1" s="37">
      <c r="A3443" s="42" t="inlineStr">
        <is>
          <t>trussardi pure jasmine</t>
        </is>
      </c>
      <c r="B3443" s="42" t="inlineStr">
        <is>
          <t>trussardi pure jasmine edp</t>
        </is>
      </c>
      <c r="C3443" s="42" t="inlineStr">
        <is>
          <t>Yes</t>
        </is>
      </c>
    </row>
    <row r="3444" ht="15" customHeight="1" s="37">
      <c r="A3444" s="42" t="inlineStr">
        <is>
          <t>trussardi pure jasmine</t>
        </is>
      </c>
      <c r="B3444" s="42" t="inlineStr">
        <is>
          <t>trussardi pure jasmine perfume</t>
        </is>
      </c>
      <c r="C3444" s="42" t="inlineStr">
        <is>
          <t>Yes</t>
        </is>
      </c>
    </row>
    <row r="3445" ht="15" customHeight="1" s="37">
      <c r="A3445" s="42" t="inlineStr">
        <is>
          <t>trussardi pure jasmine</t>
        </is>
      </c>
      <c r="B3445" s="42" t="inlineStr">
        <is>
          <t>trussardi pure jasmine отзывы</t>
        </is>
      </c>
      <c r="C3445" s="42" t="inlineStr">
        <is>
          <t>Yes</t>
        </is>
      </c>
    </row>
    <row r="3446" ht="15" customHeight="1" s="37">
      <c r="A3446" s="42" t="inlineStr">
        <is>
          <t>trussardi pure jasmine</t>
        </is>
      </c>
      <c r="B3446" s="42" t="inlineStr">
        <is>
          <t>trussardi pure jasmine fragrantica</t>
        </is>
      </c>
      <c r="C3446" s="42" t="n"/>
    </row>
    <row r="3447" ht="15" customHeight="1" s="37">
      <c r="A3447" s="42" t="inlineStr">
        <is>
          <t>trussardi pure jasmine</t>
        </is>
      </c>
      <c r="B3447" s="42" t="inlineStr">
        <is>
          <t>trussardi pure jasmine set</t>
        </is>
      </c>
      <c r="C3447" s="42" t="n"/>
    </row>
    <row r="3448" ht="15" customHeight="1" s="37">
      <c r="A3448" s="42" t="inlineStr">
        <is>
          <t>trussardi pure jasmine</t>
        </is>
      </c>
      <c r="B3448" s="42" t="inlineStr">
        <is>
          <t>trussardi pure jasmine 30ml</t>
        </is>
      </c>
      <c r="C3448" s="42" t="n"/>
    </row>
    <row r="3449" ht="15" customHeight="1" s="37">
      <c r="A3449" s="42" t="inlineStr">
        <is>
          <t>trussardi ruby red gift set</t>
        </is>
      </c>
      <c r="B3449" s="42" t="inlineStr">
        <is>
          <t>trussardi ruby red set</t>
        </is>
      </c>
      <c r="C3449" s="42" t="inlineStr">
        <is>
          <t>Yes</t>
        </is>
      </c>
    </row>
    <row r="3450" ht="15" customHeight="1" s="37">
      <c r="A3450" s="42" t="inlineStr">
        <is>
          <t>trussardi ruby red gift set</t>
        </is>
      </c>
      <c r="B3450" s="42" t="inlineStr">
        <is>
          <t>trussardi ruby red set(edp 60 shimmering body emulsion 100)</t>
        </is>
      </c>
      <c r="C3450" s="42" t="n"/>
    </row>
    <row r="3451" ht="15" customHeight="1" s="37">
      <c r="A3451" s="42" t="inlineStr">
        <is>
          <t>trussardi ruby red gift set</t>
        </is>
      </c>
      <c r="B3451" s="42" t="inlineStr">
        <is>
          <t>ruby red gift ideas</t>
        </is>
      </c>
      <c r="C3451" s="42" t="n"/>
    </row>
    <row r="3452" ht="15" customHeight="1" s="37">
      <c r="A3452" s="42" t="inlineStr">
        <is>
          <t>trussardi ruby red gift set</t>
        </is>
      </c>
      <c r="B3452" s="42" t="inlineStr">
        <is>
          <t>what do red rubies symbolize</t>
        </is>
      </c>
      <c r="C3452" s="42" t="n"/>
    </row>
    <row r="3453" ht="15" customHeight="1" s="37">
      <c r="A3453" s="42" t="inlineStr">
        <is>
          <t>trussardi ruby red gift set</t>
        </is>
      </c>
      <c r="B3453" s="42" t="inlineStr">
        <is>
          <t>are red diamonds rubies</t>
        </is>
      </c>
      <c r="C3453" s="42" t="n"/>
    </row>
    <row r="3454" ht="15" customHeight="1" s="37">
      <c r="A3454" s="42" t="inlineStr">
        <is>
          <t>viktor &amp; rolf perfume</t>
        </is>
      </c>
      <c r="B3454" s="42" t="inlineStr">
        <is>
          <t>viktor &amp; rolf perfume</t>
        </is>
      </c>
      <c r="C3454" s="42" t="inlineStr">
        <is>
          <t>Yes</t>
        </is>
      </c>
    </row>
    <row r="3455" ht="15" customHeight="1" s="37">
      <c r="A3455" s="42" t="inlineStr">
        <is>
          <t>viktor &amp; rolf perfume</t>
        </is>
      </c>
      <c r="B3455" s="42" t="inlineStr">
        <is>
          <t>viktor &amp; rolf perfume good fortune</t>
        </is>
      </c>
      <c r="C3455" s="42" t="n"/>
    </row>
    <row r="3456" ht="15" customHeight="1" s="37">
      <c r="A3456" s="42" t="inlineStr">
        <is>
          <t>viktor &amp; rolf perfume</t>
        </is>
      </c>
      <c r="B3456" s="42" t="inlineStr">
        <is>
          <t>viktor &amp; rolf perfume men</t>
        </is>
      </c>
      <c r="C3456" s="42" t="n"/>
    </row>
    <row r="3457" ht="15" customHeight="1" s="37">
      <c r="A3457" s="42" t="inlineStr">
        <is>
          <t>viktor &amp; rolf perfume</t>
        </is>
      </c>
      <c r="B3457" s="42" t="inlineStr">
        <is>
          <t>viktor &amp; rolf perfume bonbon</t>
        </is>
      </c>
      <c r="C3457" s="42" t="n"/>
    </row>
    <row r="3458" ht="15" customHeight="1" s="37">
      <c r="A3458" s="42" t="inlineStr">
        <is>
          <t>viktor &amp; rolf perfume</t>
        </is>
      </c>
      <c r="B3458" s="42" t="inlineStr">
        <is>
          <t>viktor &amp; rolf perfume price</t>
        </is>
      </c>
      <c r="C3458" s="42" t="n"/>
    </row>
    <row r="3459" ht="15" customHeight="1" s="37">
      <c r="A3459" s="42" t="inlineStr">
        <is>
          <t>viktor &amp; rolf perfume</t>
        </is>
      </c>
      <c r="B3459" s="42" t="inlineStr">
        <is>
          <t>viktor &amp; rolf perfume flowerbomb</t>
        </is>
      </c>
      <c r="C3459" s="42" t="n"/>
    </row>
    <row r="3460" ht="15" customHeight="1" s="37">
      <c r="A3460" s="42" t="inlineStr">
        <is>
          <t>viktor &amp; rolf perfume</t>
        </is>
      </c>
      <c r="B3460" s="42" t="inlineStr">
        <is>
          <t>viktor &amp; rolf perfume spicebomb</t>
        </is>
      </c>
      <c r="C3460" s="42" t="n"/>
    </row>
    <row r="3461" ht="15" customHeight="1" s="37">
      <c r="A3461" s="42" t="inlineStr">
        <is>
          <t>viktor &amp; rolf perfume</t>
        </is>
      </c>
      <c r="B3461" s="42" t="inlineStr">
        <is>
          <t>viktor rolf perfume set</t>
        </is>
      </c>
      <c r="C3461" s="42" t="n"/>
    </row>
    <row r="3462" ht="15" customHeight="1" s="37">
      <c r="A3462" s="42" t="inlineStr">
        <is>
          <t>viktor &amp; rolf perfume</t>
        </is>
      </c>
      <c r="B3462" s="42" t="inlineStr">
        <is>
          <t>viktor rolf perfume women</t>
        </is>
      </c>
      <c r="C3462" s="42" t="n"/>
    </row>
    <row r="3463" ht="15" customHeight="1" s="37">
      <c r="A3463" s="42" t="inlineStr">
        <is>
          <t>viktor &amp; rolf perfume</t>
        </is>
      </c>
      <c r="B3463" s="42" t="inlineStr">
        <is>
          <t>viktor rolf perfume tiger lily</t>
        </is>
      </c>
      <c r="C3463" s="42" t="n"/>
    </row>
    <row r="3464" ht="15" customHeight="1" s="37">
      <c r="A3464" s="42" t="inlineStr">
        <is>
          <t>vilvah</t>
        </is>
      </c>
      <c r="B3464" s="42" t="inlineStr">
        <is>
          <t>vilvah</t>
        </is>
      </c>
      <c r="C3464" s="42" t="inlineStr">
        <is>
          <t>Yes</t>
        </is>
      </c>
    </row>
    <row r="3465" ht="15" customHeight="1" s="37">
      <c r="A3465" s="42" t="inlineStr">
        <is>
          <t>vilvah</t>
        </is>
      </c>
      <c r="B3465" s="42" t="inlineStr">
        <is>
          <t>vilvah milk drops</t>
        </is>
      </c>
      <c r="C3465" s="42" t="inlineStr">
        <is>
          <t>Yes</t>
        </is>
      </c>
    </row>
    <row r="3466" ht="15" customHeight="1" s="37">
      <c r="A3466" s="42" t="inlineStr">
        <is>
          <t>vilvah</t>
        </is>
      </c>
      <c r="B3466" s="42" t="inlineStr">
        <is>
          <t>vilvah store</t>
        </is>
      </c>
      <c r="C3466" s="42" t="inlineStr">
        <is>
          <t>Yes</t>
        </is>
      </c>
    </row>
    <row r="3467" ht="15" customHeight="1" s="37">
      <c r="A3467" s="42" t="inlineStr">
        <is>
          <t>vilvah</t>
        </is>
      </c>
      <c r="B3467" s="42" t="inlineStr">
        <is>
          <t>vilvah under eye cream</t>
        </is>
      </c>
      <c r="C3467" s="42" t="inlineStr">
        <is>
          <t>Yes</t>
        </is>
      </c>
    </row>
    <row r="3468" ht="15" customHeight="1" s="37">
      <c r="A3468" s="42" t="inlineStr">
        <is>
          <t>vilvah</t>
        </is>
      </c>
      <c r="B3468" s="42" t="inlineStr">
        <is>
          <t>vilvah products</t>
        </is>
      </c>
      <c r="C3468" s="42" t="inlineStr">
        <is>
          <t>Yes</t>
        </is>
      </c>
    </row>
    <row r="3469" ht="15" customHeight="1" s="37">
      <c r="A3469" s="42" t="inlineStr">
        <is>
          <t>vilvah</t>
        </is>
      </c>
      <c r="B3469" s="42" t="inlineStr">
        <is>
          <t>vilvah milk serum</t>
        </is>
      </c>
      <c r="C3469" s="42" t="inlineStr">
        <is>
          <t>Yes</t>
        </is>
      </c>
    </row>
    <row r="3470" ht="15" customHeight="1" s="37">
      <c r="A3470" s="42" t="inlineStr">
        <is>
          <t>vilvah</t>
        </is>
      </c>
      <c r="B3470" s="42" t="inlineStr">
        <is>
          <t>vilvah sunscreen</t>
        </is>
      </c>
      <c r="C3470" s="42" t="inlineStr">
        <is>
          <t>Yes</t>
        </is>
      </c>
    </row>
    <row r="3471" ht="15" customHeight="1" s="37">
      <c r="A3471" s="42" t="inlineStr">
        <is>
          <t>vilvah</t>
        </is>
      </c>
      <c r="B3471" s="42" t="inlineStr">
        <is>
          <t>vilvah milk powder face wash</t>
        </is>
      </c>
      <c r="C3471" s="42" t="inlineStr">
        <is>
          <t>Yes</t>
        </is>
      </c>
    </row>
    <row r="3472" ht="15" customHeight="1" s="37">
      <c r="A3472" s="42" t="inlineStr">
        <is>
          <t>vilvah</t>
        </is>
      </c>
      <c r="B3472" s="42" t="inlineStr">
        <is>
          <t>vilvah lip balm</t>
        </is>
      </c>
      <c r="C3472" s="42" t="inlineStr">
        <is>
          <t>Yes</t>
        </is>
      </c>
    </row>
    <row r="3473" ht="15" customHeight="1" s="37">
      <c r="A3473" s="42" t="inlineStr">
        <is>
          <t>vilvah</t>
        </is>
      </c>
      <c r="B3473" s="42" t="inlineStr">
        <is>
          <t>vilvah goat milk shampoo</t>
        </is>
      </c>
      <c r="C3473" s="42" t="inlineStr">
        <is>
          <t>Yes</t>
        </is>
      </c>
    </row>
    <row r="3474" ht="15" customHeight="1" s="37">
      <c r="A3474" s="42" t="inlineStr">
        <is>
          <t>vilvah aloe vera gel</t>
        </is>
      </c>
      <c r="B3474" s="42" t="inlineStr">
        <is>
          <t>vilvah aloe vera gel</t>
        </is>
      </c>
      <c r="C3474" s="42" t="inlineStr">
        <is>
          <t>Yes</t>
        </is>
      </c>
    </row>
    <row r="3475" ht="15" customHeight="1" s="37">
      <c r="A3475" s="42" t="inlineStr">
        <is>
          <t>vilvah aloe vera gel</t>
        </is>
      </c>
      <c r="B3475" s="42" t="inlineStr">
        <is>
          <t>vilvah aloe vera gel for face</t>
        </is>
      </c>
      <c r="C3475" s="42" t="n"/>
    </row>
    <row r="3476" ht="15" customHeight="1" s="37">
      <c r="A3476" s="42" t="inlineStr">
        <is>
          <t>vilvah aloe vera gel</t>
        </is>
      </c>
      <c r="B3476" s="42" t="inlineStr">
        <is>
          <t>vilvah aloe vera gel review</t>
        </is>
      </c>
      <c r="C3476" s="42" t="inlineStr">
        <is>
          <t>Yes</t>
        </is>
      </c>
    </row>
    <row r="3477" ht="15" customHeight="1" s="37">
      <c r="A3477" s="42" t="inlineStr">
        <is>
          <t>vilvah aloe vera gel</t>
        </is>
      </c>
      <c r="B3477" s="42" t="inlineStr">
        <is>
          <t>vilvah aloe vera gel ingredients</t>
        </is>
      </c>
      <c r="C3477" s="42" t="inlineStr">
        <is>
          <t>Yes</t>
        </is>
      </c>
    </row>
    <row r="3478" ht="15" customHeight="1" s="37">
      <c r="A3478" s="42" t="inlineStr">
        <is>
          <t>vilvah aloe vera gel</t>
        </is>
      </c>
      <c r="B3478" s="42" t="inlineStr">
        <is>
          <t>vilvah aloe vera gel benefits</t>
        </is>
      </c>
      <c r="C3478" s="42" t="inlineStr">
        <is>
          <t>Yes</t>
        </is>
      </c>
    </row>
    <row r="3479" ht="15" customHeight="1" s="37">
      <c r="A3479" s="42" t="inlineStr">
        <is>
          <t>vilvah aloe vera gel</t>
        </is>
      </c>
      <c r="B3479" s="42" t="inlineStr">
        <is>
          <t>vilvah aloe vera gel price</t>
        </is>
      </c>
      <c r="C3479" s="42" t="inlineStr">
        <is>
          <t>Yes</t>
        </is>
      </c>
    </row>
    <row r="3480" ht="15" customHeight="1" s="37">
      <c r="A3480" s="42" t="inlineStr">
        <is>
          <t>vilvah aloe vera gel</t>
        </is>
      </c>
      <c r="B3480" s="42" t="inlineStr">
        <is>
          <t>vilvah aloe vera gel for hair</t>
        </is>
      </c>
      <c r="C3480" s="42" t="n"/>
    </row>
    <row r="3481" ht="15" customHeight="1" s="37">
      <c r="A3481" s="42" t="inlineStr">
        <is>
          <t>vilvah aloe vera gel</t>
        </is>
      </c>
      <c r="B3481" s="42" t="inlineStr">
        <is>
          <t>vilvah aloe vera gel how to use</t>
        </is>
      </c>
      <c r="C3481" s="42" t="inlineStr">
        <is>
          <t>Yes</t>
        </is>
      </c>
    </row>
    <row r="3482" ht="15" customHeight="1" s="37">
      <c r="A3482" s="42" t="inlineStr">
        <is>
          <t>vilvah aloe vera gel</t>
        </is>
      </c>
      <c r="B3482" s="42" t="inlineStr">
        <is>
          <t>vilvah aloe vera gel flipkart</t>
        </is>
      </c>
      <c r="C3482" s="42" t="n"/>
    </row>
    <row r="3483" ht="15" customHeight="1" s="37">
      <c r="A3483" s="42" t="inlineStr">
        <is>
          <t>vilvah aloe vera gel</t>
        </is>
      </c>
      <c r="B3483" s="42" t="inlineStr">
        <is>
          <t>vilvah aloe vera gel india</t>
        </is>
      </c>
      <c r="C3483" s="42" t="inlineStr">
        <is>
          <t>Yes</t>
        </is>
      </c>
    </row>
    <row r="3484" ht="15" customHeight="1" s="37">
      <c r="A3484" s="42" t="inlineStr">
        <is>
          <t>vilvah anti-dandruff hair oil</t>
        </is>
      </c>
      <c r="B3484" s="42" t="inlineStr">
        <is>
          <t>vilvah anti-dandruff hair oil</t>
        </is>
      </c>
      <c r="C3484" s="42" t="inlineStr">
        <is>
          <t>Yes</t>
        </is>
      </c>
    </row>
    <row r="3485" ht="15" customHeight="1" s="37">
      <c r="A3485" s="42" t="inlineStr">
        <is>
          <t>vilvah anti-dandruff hair oil</t>
        </is>
      </c>
      <c r="B3485" s="42" t="inlineStr">
        <is>
          <t>vilvah anti dandruff hair oil review</t>
        </is>
      </c>
      <c r="C3485" s="42" t="inlineStr">
        <is>
          <t>Yes</t>
        </is>
      </c>
    </row>
    <row r="3486" ht="15" customHeight="1" s="37">
      <c r="A3486" s="42" t="inlineStr">
        <is>
          <t>vilvah anti-dandruff hair oil</t>
        </is>
      </c>
      <c r="B3486" s="42" t="inlineStr">
        <is>
          <t>vilvah store anti dandruff hair oil</t>
        </is>
      </c>
      <c r="C3486" s="42" t="n"/>
    </row>
    <row r="3487" ht="15" customHeight="1" s="37">
      <c r="A3487" s="42" t="inlineStr">
        <is>
          <t>vilvah anti-dandruff hair oil</t>
        </is>
      </c>
      <c r="B3487" s="42" t="inlineStr">
        <is>
          <t>vilvah anti dandruff oil review</t>
        </is>
      </c>
      <c r="C3487" s="42" t="inlineStr">
        <is>
          <t>Yes</t>
        </is>
      </c>
    </row>
    <row r="3488" ht="15" customHeight="1" s="37">
      <c r="A3488" s="42" t="inlineStr">
        <is>
          <t>vilvah anti-dandruff hair oil</t>
        </is>
      </c>
      <c r="B3488" s="42" t="inlineStr">
        <is>
          <t>can we apply hair oil for dandruff</t>
        </is>
      </c>
      <c r="C3488" s="42" t="n"/>
    </row>
    <row r="3489" ht="15" customHeight="1" s="37">
      <c r="A3489" s="42" t="inlineStr">
        <is>
          <t>vilvah anti-dandruff hair oil</t>
        </is>
      </c>
      <c r="B3489" s="42" t="inlineStr">
        <is>
          <t>how to apply coconut oil on hair for dandruff</t>
        </is>
      </c>
      <c r="C3489" s="42" t="n"/>
    </row>
    <row r="3490" ht="15" customHeight="1" s="37">
      <c r="A3490" s="42" t="inlineStr">
        <is>
          <t>vilvah anti-frizz hair serum</t>
        </is>
      </c>
      <c r="B3490" s="42" t="inlineStr">
        <is>
          <t>vilvah anti-frizz hair serum</t>
        </is>
      </c>
      <c r="C3490" s="42" t="inlineStr">
        <is>
          <t>Yes</t>
        </is>
      </c>
    </row>
    <row r="3491" ht="15" customHeight="1" s="37">
      <c r="A3491" s="42" t="inlineStr">
        <is>
          <t>vilvah anti-frizz hair serum</t>
        </is>
      </c>
      <c r="B3491" s="42" t="inlineStr">
        <is>
          <t>vilvah anti frizz hair serum review</t>
        </is>
      </c>
      <c r="C3491" s="42" t="inlineStr">
        <is>
          <t>Yes</t>
        </is>
      </c>
    </row>
    <row r="3492" ht="15" customHeight="1" s="37">
      <c r="A3492" s="42" t="inlineStr">
        <is>
          <t>vilvah anti-frizz hair serum</t>
        </is>
      </c>
      <c r="B3492" s="42" t="inlineStr">
        <is>
          <t>vilvah anti frizz hair serum reddit</t>
        </is>
      </c>
      <c r="C3492" s="42" t="n"/>
    </row>
    <row r="3493" ht="15" customHeight="1" s="37">
      <c r="A3493" s="42" t="inlineStr">
        <is>
          <t>vilvah anti-frizz hair serum</t>
        </is>
      </c>
      <c r="B3493" s="42" t="inlineStr">
        <is>
          <t>vilvah anti frizz hair serum price</t>
        </is>
      </c>
      <c r="C3493" s="42" t="inlineStr">
        <is>
          <t>Yes</t>
        </is>
      </c>
    </row>
    <row r="3494" ht="15" customHeight="1" s="37">
      <c r="A3494" s="42" t="inlineStr">
        <is>
          <t>vilvah anti-frizz hair serum</t>
        </is>
      </c>
      <c r="B3494" s="42" t="inlineStr">
        <is>
          <t>vilvah store anti frizz hair serum</t>
        </is>
      </c>
      <c r="C3494" s="42" t="n"/>
    </row>
    <row r="3495" ht="15" customHeight="1" s="37">
      <c r="A3495" s="42" t="inlineStr">
        <is>
          <t>vilvah anti-frizz hair serum</t>
        </is>
      </c>
      <c r="B3495" s="42" t="inlineStr">
        <is>
          <t>how to use vilvah anti frizz hair serum</t>
        </is>
      </c>
      <c r="C3495" s="42" t="inlineStr">
        <is>
          <t>Yes</t>
        </is>
      </c>
    </row>
    <row r="3496" ht="15" customHeight="1" s="37">
      <c r="A3496" s="42" t="inlineStr">
        <is>
          <t>vilvah anti-frizz hair serum</t>
        </is>
      </c>
      <c r="B3496" s="42" t="inlineStr">
        <is>
          <t>does hair serum help frizz</t>
        </is>
      </c>
      <c r="C3496" s="42" t="n"/>
    </row>
    <row r="3497" ht="15" customHeight="1" s="37">
      <c r="A3497" s="42" t="inlineStr">
        <is>
          <t>vilvah anti-frizz hair serum</t>
        </is>
      </c>
      <c r="B3497" s="42" t="inlineStr">
        <is>
          <t>is serum good for frizzy hair</t>
        </is>
      </c>
      <c r="C3497" s="42" t="n"/>
    </row>
    <row r="3498" ht="15" customHeight="1" s="37">
      <c r="A3498" s="42" t="inlineStr">
        <is>
          <t>vilvah anti-frizz hair serum</t>
        </is>
      </c>
      <c r="B3498" s="42" t="inlineStr">
        <is>
          <t>top 5 hair serum for frizzy hair</t>
        </is>
      </c>
      <c r="C3498" s="42" t="n"/>
    </row>
    <row r="3499" ht="15" customHeight="1" s="37">
      <c r="A3499" s="42" t="inlineStr">
        <is>
          <t>vilvah anti-frizz hair serum</t>
        </is>
      </c>
      <c r="B3499" s="42" t="inlineStr">
        <is>
          <t>is anti frizz serum bad for hair</t>
        </is>
      </c>
      <c r="C3499" s="42" t="n"/>
    </row>
    <row r="3500" ht="15" customHeight="1" s="37">
      <c r="A3500" s="42" t="inlineStr">
        <is>
          <t>vilvah better ageing serum</t>
        </is>
      </c>
      <c r="B3500" s="42" t="inlineStr">
        <is>
          <t>vilvah better ageing serum</t>
        </is>
      </c>
      <c r="C3500" s="42" t="inlineStr">
        <is>
          <t>Yes</t>
        </is>
      </c>
    </row>
    <row r="3501" ht="15" customHeight="1" s="37">
      <c r="A3501" s="42" t="inlineStr">
        <is>
          <t>vilvah better ageing serum</t>
        </is>
      </c>
      <c r="B3501" s="42" t="inlineStr">
        <is>
          <t>vilvah better ageing serum review</t>
        </is>
      </c>
      <c r="C3501" s="42" t="inlineStr">
        <is>
          <t>Yes</t>
        </is>
      </c>
    </row>
    <row r="3502" ht="15" customHeight="1" s="37">
      <c r="A3502" s="42" t="inlineStr">
        <is>
          <t>vilvah better ageing serum</t>
        </is>
      </c>
      <c r="B3502" s="42" t="inlineStr">
        <is>
          <t>vilvah better aging serum side effects</t>
        </is>
      </c>
      <c r="C3502" s="42" t="n"/>
    </row>
    <row r="3503" ht="15" customHeight="1" s="37">
      <c r="A3503" s="42" t="inlineStr">
        <is>
          <t>vilvah better ageing serum</t>
        </is>
      </c>
      <c r="B3503" s="42" t="inlineStr">
        <is>
          <t>vilvah better aging serum benefits</t>
        </is>
      </c>
      <c r="C3503" s="42" t="n"/>
    </row>
    <row r="3504" ht="15" customHeight="1" s="37">
      <c r="A3504" s="42" t="inlineStr">
        <is>
          <t>vilvah better ageing serum</t>
        </is>
      </c>
      <c r="B3504" s="42" t="inlineStr">
        <is>
          <t>vilvah better aging serum ingredients</t>
        </is>
      </c>
      <c r="C3504" s="42" t="n"/>
    </row>
    <row r="3505" ht="15" customHeight="1" s="37">
      <c r="A3505" s="42" t="inlineStr">
        <is>
          <t>vilvah better ageing serum</t>
        </is>
      </c>
      <c r="B3505" s="42" t="inlineStr">
        <is>
          <t>vilvah better aging serum benefits in tamil</t>
        </is>
      </c>
      <c r="C3505" s="42" t="n"/>
    </row>
    <row r="3506" ht="15" customHeight="1" s="37">
      <c r="A3506" s="42" t="inlineStr">
        <is>
          <t>vilvah better ageing serum</t>
        </is>
      </c>
      <c r="B3506" s="42" t="inlineStr">
        <is>
          <t>vilvah better aging serum price</t>
        </is>
      </c>
      <c r="C3506" s="42" t="n"/>
    </row>
    <row r="3507" ht="15" customHeight="1" s="37">
      <c r="A3507" s="42" t="inlineStr">
        <is>
          <t>vilvah better ageing serum</t>
        </is>
      </c>
      <c r="B3507" s="42" t="inlineStr">
        <is>
          <t>vilvah better aging serum review quora</t>
        </is>
      </c>
      <c r="C3507" s="42" t="n"/>
    </row>
    <row r="3508" ht="15" customHeight="1" s="37">
      <c r="A3508" s="42" t="inlineStr">
        <is>
          <t>vilvah better ageing serum</t>
        </is>
      </c>
      <c r="B3508" s="42" t="inlineStr">
        <is>
          <t>vilvah better aging serum review in tamil</t>
        </is>
      </c>
      <c r="C3508" s="42" t="n"/>
    </row>
    <row r="3509" ht="15" customHeight="1" s="37">
      <c r="A3509" s="42" t="inlineStr">
        <is>
          <t>vilvah better ageing serum</t>
        </is>
      </c>
      <c r="B3509" s="42" t="inlineStr">
        <is>
          <t>vilvah store better aging serum for face</t>
        </is>
      </c>
      <c r="C3509" s="42" t="n"/>
    </row>
    <row r="3510" ht="15" customHeight="1" s="37">
      <c r="A3510" s="42" t="inlineStr">
        <is>
          <t>vilvah charcoal facemask</t>
        </is>
      </c>
      <c r="B3510" s="42" t="inlineStr">
        <is>
          <t>vilvah charcoal face mask</t>
        </is>
      </c>
      <c r="C3510" s="42" t="n"/>
    </row>
    <row r="3511" ht="15" customHeight="1" s="37">
      <c r="A3511" s="42" t="inlineStr">
        <is>
          <t>vilvah charcoal facemask</t>
        </is>
      </c>
      <c r="B3511" s="42" t="inlineStr">
        <is>
          <t>can activated charcoal be used as a face mask</t>
        </is>
      </c>
      <c r="C3511" s="42" t="n"/>
    </row>
    <row r="3512" ht="15" customHeight="1" s="37">
      <c r="A3512" s="42" t="inlineStr">
        <is>
          <t>vilvah charcoal facemask</t>
        </is>
      </c>
      <c r="B3512" s="42" t="inlineStr">
        <is>
          <t>what to do before applying charcoal face mask</t>
        </is>
      </c>
      <c r="C3512" s="42" t="n"/>
    </row>
    <row r="3513" ht="15" customHeight="1" s="37">
      <c r="A3513" s="42" t="inlineStr">
        <is>
          <t>vilvah charcoal goatmilk soap</t>
        </is>
      </c>
      <c r="B3513" s="42" t="inlineStr">
        <is>
          <t>vilvah charcoal goat milk soap</t>
        </is>
      </c>
      <c r="C3513" s="42" t="n"/>
    </row>
    <row r="3514" ht="15" customHeight="1" s="37">
      <c r="A3514" s="42" t="inlineStr">
        <is>
          <t>vilvah charcoal goatmilk soap</t>
        </is>
      </c>
      <c r="B3514" s="42" t="inlineStr">
        <is>
          <t>vilvah goat milk soap review</t>
        </is>
      </c>
      <c r="C3514" s="42" t="inlineStr">
        <is>
          <t>Yes</t>
        </is>
      </c>
    </row>
    <row r="3515" ht="15" customHeight="1" s="37">
      <c r="A3515" s="42" t="inlineStr">
        <is>
          <t>vilvah charcoal goatmilk soap</t>
        </is>
      </c>
      <c r="B3515" s="42" t="inlineStr">
        <is>
          <t>is charcoal soap good for your skin</t>
        </is>
      </c>
      <c r="C3515" s="42" t="n"/>
    </row>
    <row r="3516" ht="15" customHeight="1" s="37">
      <c r="A3516" s="42" t="inlineStr">
        <is>
          <t>vilvah classic goatmilk soap</t>
        </is>
      </c>
      <c r="B3516" s="42" t="inlineStr">
        <is>
          <t>vilvah classic goat milk soap</t>
        </is>
      </c>
      <c r="C3516" s="42" t="n"/>
    </row>
    <row r="3517" ht="15" customHeight="1" s="37">
      <c r="A3517" s="42" t="inlineStr">
        <is>
          <t>vilvah classic goatmilk soap</t>
        </is>
      </c>
      <c r="B3517" s="42" t="inlineStr">
        <is>
          <t>vilvah goat milk soap review</t>
        </is>
      </c>
      <c r="C3517" s="42" t="inlineStr">
        <is>
          <t>Yes</t>
        </is>
      </c>
    </row>
    <row r="3518" ht="15" customHeight="1" s="37">
      <c r="A3518" s="42" t="inlineStr">
        <is>
          <t>vilvah cookie n cream body polish</t>
        </is>
      </c>
      <c r="B3518" s="42" t="inlineStr">
        <is>
          <t>vilvah cookie n cream body polish</t>
        </is>
      </c>
      <c r="C3518" s="42" t="inlineStr">
        <is>
          <t>Yes</t>
        </is>
      </c>
    </row>
    <row r="3519" ht="15" customHeight="1" s="37">
      <c r="A3519" s="42" t="inlineStr">
        <is>
          <t>vilvah cream bun lip balm</t>
        </is>
      </c>
      <c r="B3519" s="42" t="inlineStr">
        <is>
          <t>vilvah cream bun lip balm</t>
        </is>
      </c>
      <c r="C3519" s="42" t="inlineStr">
        <is>
          <t>Yes</t>
        </is>
      </c>
    </row>
    <row r="3520" ht="15" customHeight="1" s="37">
      <c r="A3520" s="42" t="inlineStr">
        <is>
          <t>vilvah cream bun lip balm</t>
        </is>
      </c>
      <c r="B3520" s="42" t="inlineStr">
        <is>
          <t>vilvah cream bun lip balm review</t>
        </is>
      </c>
      <c r="C3520" s="42" t="inlineStr">
        <is>
          <t>Yes</t>
        </is>
      </c>
    </row>
    <row r="3521" ht="15" customHeight="1" s="37">
      <c r="A3521" s="42" t="inlineStr">
        <is>
          <t>vilvah cream bun lip balm</t>
        </is>
      </c>
      <c r="B3521" s="42" t="inlineStr">
        <is>
          <t>vilvah lip balm price</t>
        </is>
      </c>
      <c r="C3521" s="42" t="inlineStr">
        <is>
          <t>Yes</t>
        </is>
      </c>
    </row>
    <row r="3522" ht="15" customHeight="1" s="37">
      <c r="A3522" s="42" t="inlineStr">
        <is>
          <t>vilvah cream bun lip balm</t>
        </is>
      </c>
      <c r="B3522" s="42" t="inlineStr">
        <is>
          <t>vilvah lip balm review</t>
        </is>
      </c>
      <c r="C3522" s="42" t="inlineStr">
        <is>
          <t>Yes</t>
        </is>
      </c>
    </row>
    <row r="3523" ht="15" customHeight="1" s="37">
      <c r="A3523" s="42" t="inlineStr">
        <is>
          <t>vilvah cream conditioner</t>
        </is>
      </c>
      <c r="B3523" s="42" t="inlineStr">
        <is>
          <t>vilvah cream conditioner</t>
        </is>
      </c>
      <c r="C3523" s="42" t="inlineStr">
        <is>
          <t>Yes</t>
        </is>
      </c>
    </row>
    <row r="3524" ht="15" customHeight="1" s="37">
      <c r="A3524" s="42" t="inlineStr">
        <is>
          <t>vilvah cream conditioner</t>
        </is>
      </c>
      <c r="B3524" s="42" t="inlineStr">
        <is>
          <t>vilvah cream conditioner review</t>
        </is>
      </c>
      <c r="C3524" s="42" t="inlineStr">
        <is>
          <t>Yes</t>
        </is>
      </c>
    </row>
    <row r="3525" ht="15" customHeight="1" s="37">
      <c r="A3525" s="42" t="inlineStr">
        <is>
          <t>vilvah cream conditioner</t>
        </is>
      </c>
      <c r="B3525" s="42" t="inlineStr">
        <is>
          <t>vilvah cream conditioner ingredients</t>
        </is>
      </c>
      <c r="C3525" s="42" t="inlineStr">
        <is>
          <t>Yes</t>
        </is>
      </c>
    </row>
    <row r="3526" ht="15" customHeight="1" s="37">
      <c r="A3526" s="42" t="inlineStr">
        <is>
          <t>vilvah cream conditioner</t>
        </is>
      </c>
      <c r="B3526" s="42" t="inlineStr">
        <is>
          <t>vilvah store cream conditioner</t>
        </is>
      </c>
      <c r="C3526" s="42" t="n"/>
    </row>
    <row r="3527" ht="15" customHeight="1" s="37">
      <c r="A3527" s="42" t="inlineStr">
        <is>
          <t>vilvah cream conditioner</t>
        </is>
      </c>
      <c r="B3527" s="42" t="inlineStr">
        <is>
          <t>how to use vilvah cream conditioner</t>
        </is>
      </c>
      <c r="C3527" s="42" t="inlineStr">
        <is>
          <t>Yes</t>
        </is>
      </c>
    </row>
    <row r="3528" ht="15" customHeight="1" s="37">
      <c r="A3528" s="42" t="inlineStr">
        <is>
          <t>vilvah cream conditioner</t>
        </is>
      </c>
      <c r="B3528" s="42" t="inlineStr">
        <is>
          <t>vilvah goat milk shampoo cream conditioner</t>
        </is>
      </c>
      <c r="C3528" s="42" t="n"/>
    </row>
    <row r="3529" ht="15" customHeight="1" s="37">
      <c r="A3529" s="42" t="inlineStr">
        <is>
          <t>vilvah cream conditioner</t>
        </is>
      </c>
      <c r="B3529" s="42" t="inlineStr">
        <is>
          <t>vilvah conditioner review</t>
        </is>
      </c>
      <c r="C3529" s="42" t="inlineStr">
        <is>
          <t>Yes</t>
        </is>
      </c>
    </row>
    <row r="3530" ht="15" customHeight="1" s="37">
      <c r="A3530" s="42" t="inlineStr">
        <is>
          <t>vilvah cream conditioner</t>
        </is>
      </c>
      <c r="B3530" s="42" t="inlineStr">
        <is>
          <t>how to use vilvah hair mask</t>
        </is>
      </c>
      <c r="C3530" s="42" t="inlineStr">
        <is>
          <t>Yes</t>
        </is>
      </c>
    </row>
    <row r="3531" ht="15" customHeight="1" s="37">
      <c r="A3531" s="42" t="inlineStr">
        <is>
          <t>vilvah cream conditioner</t>
        </is>
      </c>
      <c r="B3531" s="42" t="inlineStr">
        <is>
          <t>vilvah hair products review</t>
        </is>
      </c>
      <c r="C3531" s="42" t="n"/>
    </row>
    <row r="3532" ht="15" customHeight="1" s="37">
      <c r="A3532" s="42" t="inlineStr">
        <is>
          <t>vilvah cream conditioner</t>
        </is>
      </c>
      <c r="B3532" s="42" t="inlineStr">
        <is>
          <t>vilvah shampoo and conditioner review</t>
        </is>
      </c>
      <c r="C3532" s="42" t="n"/>
    </row>
    <row r="3533" ht="15" customHeight="1" s="37">
      <c r="A3533" s="42" t="inlineStr">
        <is>
          <t>vilvah face brightening kit</t>
        </is>
      </c>
      <c r="B3533" s="42" t="inlineStr">
        <is>
          <t>vilvah face brightening kit</t>
        </is>
      </c>
      <c r="C3533" s="42" t="inlineStr">
        <is>
          <t>Yes</t>
        </is>
      </c>
    </row>
    <row r="3534" ht="15" customHeight="1" s="37">
      <c r="A3534" s="42" t="inlineStr">
        <is>
          <t>vilvah face brightening kit</t>
        </is>
      </c>
      <c r="B3534" s="42" t="inlineStr">
        <is>
          <t>vilvah face mask review</t>
        </is>
      </c>
      <c r="C3534" s="42" t="n"/>
    </row>
    <row r="3535" ht="15" customHeight="1" s="37">
      <c r="A3535" s="42" t="inlineStr">
        <is>
          <t>vilvah face brightening kit</t>
        </is>
      </c>
      <c r="B3535" s="42" t="inlineStr">
        <is>
          <t>face brightening drink</t>
        </is>
      </c>
      <c r="C3535" s="42" t="n"/>
    </row>
    <row r="3536" ht="15" customHeight="1" s="37">
      <c r="A3536" s="42" t="inlineStr">
        <is>
          <t>vilvah face brightening kit</t>
        </is>
      </c>
      <c r="B3536" s="42" t="inlineStr">
        <is>
          <t>face brightening home remedies</t>
        </is>
      </c>
      <c r="C3536" s="42" t="n"/>
    </row>
    <row r="3537" ht="15" customHeight="1" s="37">
      <c r="A3537" s="42" t="inlineStr">
        <is>
          <t>vilvah filter kaapi lip balm</t>
        </is>
      </c>
      <c r="B3537" s="42" t="inlineStr">
        <is>
          <t>vilvah filter coffee lip balm</t>
        </is>
      </c>
      <c r="C3537" s="42" t="n"/>
    </row>
    <row r="3538" ht="15" customHeight="1" s="37">
      <c r="A3538" s="42" t="inlineStr">
        <is>
          <t>vilvah filter kaapi lip balm</t>
        </is>
      </c>
      <c r="B3538" s="42" t="inlineStr">
        <is>
          <t>vilvah lip balm review</t>
        </is>
      </c>
      <c r="C3538" s="42" t="inlineStr">
        <is>
          <t>Yes</t>
        </is>
      </c>
    </row>
    <row r="3539" ht="15" customHeight="1" s="37">
      <c r="A3539" s="42" t="inlineStr">
        <is>
          <t>vilvah filter kaapi lip balm</t>
        </is>
      </c>
      <c r="B3539" s="42" t="inlineStr">
        <is>
          <t>vilvah lip balm price</t>
        </is>
      </c>
      <c r="C3539" s="42" t="inlineStr">
        <is>
          <t>Yes</t>
        </is>
      </c>
    </row>
    <row r="3540" ht="15" customHeight="1" s="37">
      <c r="A3540" s="42" t="inlineStr">
        <is>
          <t>vilvah filter kaapi lip balm</t>
        </is>
      </c>
      <c r="B3540" s="42" t="inlineStr">
        <is>
          <t>vilvah lemon lip balm review</t>
        </is>
      </c>
      <c r="C3540" s="42" t="inlineStr">
        <is>
          <t>Yes</t>
        </is>
      </c>
    </row>
    <row r="3541" ht="15" customHeight="1" s="37">
      <c r="A3541" s="42" t="inlineStr">
        <is>
          <t>vilvah filter kaapi lip balm</t>
        </is>
      </c>
      <c r="B3541" s="42" t="inlineStr">
        <is>
          <t>vilvah grapefruit lip balm review</t>
        </is>
      </c>
      <c r="C3541" s="42" t="inlineStr">
        <is>
          <t>Yes</t>
        </is>
      </c>
    </row>
    <row r="3542" ht="15" customHeight="1" s="37">
      <c r="A3542" s="42" t="inlineStr">
        <is>
          <t>vilvah foot cream</t>
        </is>
      </c>
      <c r="B3542" s="42" t="inlineStr">
        <is>
          <t>vilvah foot cream</t>
        </is>
      </c>
      <c r="C3542" s="42" t="inlineStr">
        <is>
          <t>Yes</t>
        </is>
      </c>
    </row>
    <row r="3543" ht="15" customHeight="1" s="37">
      <c r="A3543" s="42" t="inlineStr">
        <is>
          <t>vilvah foot cream</t>
        </is>
      </c>
      <c r="B3543" s="42" t="inlineStr">
        <is>
          <t>vilvah foot cream review</t>
        </is>
      </c>
      <c r="C3543" s="42" t="inlineStr">
        <is>
          <t>Yes</t>
        </is>
      </c>
    </row>
    <row r="3544" ht="15" customHeight="1" s="37">
      <c r="A3544" s="42" t="inlineStr">
        <is>
          <t>vilvah foot cream</t>
        </is>
      </c>
      <c r="B3544" s="42" t="inlineStr">
        <is>
          <t>vilvah foot cream uses</t>
        </is>
      </c>
      <c r="C3544" s="42" t="n"/>
    </row>
    <row r="3545" ht="15" customHeight="1" s="37">
      <c r="A3545" s="42" t="inlineStr">
        <is>
          <t>vilvah foot cream</t>
        </is>
      </c>
      <c r="B3545" s="42" t="inlineStr">
        <is>
          <t>vilvah foot cream price</t>
        </is>
      </c>
      <c r="C3545" s="42" t="inlineStr">
        <is>
          <t>Yes</t>
        </is>
      </c>
    </row>
    <row r="3546" ht="15" customHeight="1" s="37">
      <c r="A3546" s="42" t="inlineStr">
        <is>
          <t>vilvah foot cream</t>
        </is>
      </c>
      <c r="B3546" s="42" t="inlineStr">
        <is>
          <t>vilvah foot cream uses in tamil</t>
        </is>
      </c>
      <c r="C3546" s="42" t="n"/>
    </row>
    <row r="3547" ht="15" customHeight="1" s="37">
      <c r="A3547" s="42" t="inlineStr">
        <is>
          <t>vilvah foot cream</t>
        </is>
      </c>
      <c r="B3547" s="42" t="inlineStr">
        <is>
          <t>vilvah foot cream ingredients</t>
        </is>
      </c>
      <c r="C3547" s="42" t="inlineStr">
        <is>
          <t>Yes</t>
        </is>
      </c>
    </row>
    <row r="3548" ht="15" customHeight="1" s="37">
      <c r="A3548" s="42" t="inlineStr">
        <is>
          <t>vilvah foot cream</t>
        </is>
      </c>
      <c r="B3548" s="42" t="inlineStr">
        <is>
          <t>vilvah foot cream review in tamil</t>
        </is>
      </c>
      <c r="C3548" s="42" t="n"/>
    </row>
    <row r="3549" ht="15" customHeight="1" s="37">
      <c r="A3549" s="42" t="inlineStr">
        <is>
          <t>vilvah foot cream</t>
        </is>
      </c>
      <c r="B3549" s="42" t="inlineStr">
        <is>
          <t>vilvah foot cream side effects</t>
        </is>
      </c>
      <c r="C3549" s="42" t="n"/>
    </row>
    <row r="3550" ht="15" customHeight="1" s="37">
      <c r="A3550" s="42" t="inlineStr">
        <is>
          <t>vilvah foot cream</t>
        </is>
      </c>
      <c r="B3550" s="42" t="inlineStr">
        <is>
          <t>is vilvah a good brand</t>
        </is>
      </c>
      <c r="C3550" s="42" t="n"/>
    </row>
    <row r="3551" ht="15" customHeight="1" s="37">
      <c r="A3551" s="42" t="inlineStr">
        <is>
          <t>vilvah foot cream</t>
        </is>
      </c>
      <c r="B3551" s="42" t="inlineStr">
        <is>
          <t>fungal infection on foot treatment cream</t>
        </is>
      </c>
      <c r="C3551" s="42" t="n"/>
    </row>
    <row r="3552" ht="15" customHeight="1" s="37">
      <c r="A3552" s="42" t="inlineStr">
        <is>
          <t>vilvah goat milk body wash</t>
        </is>
      </c>
      <c r="B3552" s="42" t="inlineStr">
        <is>
          <t>vilvah goat milk body wash</t>
        </is>
      </c>
      <c r="C3552" s="42" t="inlineStr">
        <is>
          <t>Yes</t>
        </is>
      </c>
    </row>
    <row r="3553" ht="15" customHeight="1" s="37">
      <c r="A3553" s="42" t="inlineStr">
        <is>
          <t>vilvah goat milk body wash</t>
        </is>
      </c>
      <c r="B3553" s="42" t="inlineStr">
        <is>
          <t>vilvah goat milk body wash review</t>
        </is>
      </c>
      <c r="C3553" s="42" t="inlineStr">
        <is>
          <t>Yes</t>
        </is>
      </c>
    </row>
    <row r="3554" ht="15" customHeight="1" s="37">
      <c r="A3554" s="42" t="inlineStr">
        <is>
          <t>vilvah goat milk body wash</t>
        </is>
      </c>
      <c r="B3554" s="42" t="inlineStr">
        <is>
          <t>vilvah goat milk body wash ingredients</t>
        </is>
      </c>
      <c r="C3554" s="42" t="inlineStr">
        <is>
          <t>Yes</t>
        </is>
      </c>
    </row>
    <row r="3555" ht="15" customHeight="1" s="37">
      <c r="A3555" s="42" t="inlineStr">
        <is>
          <t>vilvah goat milk body wash</t>
        </is>
      </c>
      <c r="B3555" s="42" t="inlineStr">
        <is>
          <t>vilvah goat milk body wash benefits</t>
        </is>
      </c>
      <c r="C3555" s="42" t="inlineStr">
        <is>
          <t>Yes</t>
        </is>
      </c>
    </row>
    <row r="3556" ht="15" customHeight="1" s="37">
      <c r="A3556" s="42" t="inlineStr">
        <is>
          <t>vilvah goat milk body wash</t>
        </is>
      </c>
      <c r="B3556" s="42" t="inlineStr">
        <is>
          <t>vilvah goat milk body soap</t>
        </is>
      </c>
      <c r="C3556" s="42" t="inlineStr">
        <is>
          <t>Yes</t>
        </is>
      </c>
    </row>
    <row r="3557" ht="15" customHeight="1" s="37">
      <c r="A3557" s="42" t="inlineStr">
        <is>
          <t>vilvah goat milk body wash</t>
        </is>
      </c>
      <c r="B3557" s="42" t="inlineStr">
        <is>
          <t>vilvah goat milk shampoo ingredients</t>
        </is>
      </c>
      <c r="C3557" s="42" t="inlineStr">
        <is>
          <t>Yes</t>
        </is>
      </c>
    </row>
    <row r="3558" ht="15" customHeight="1" s="37">
      <c r="A3558" s="42" t="inlineStr">
        <is>
          <t>vilvah goat milk body wash</t>
        </is>
      </c>
      <c r="B3558" s="42" t="inlineStr">
        <is>
          <t>vilvah goat milk soap review</t>
        </is>
      </c>
      <c r="C3558" s="42" t="inlineStr">
        <is>
          <t>Yes</t>
        </is>
      </c>
    </row>
    <row r="3559" ht="15" customHeight="1" s="37">
      <c r="A3559" s="42" t="inlineStr">
        <is>
          <t>vilvah goat milk body wash</t>
        </is>
      </c>
      <c r="B3559" s="42" t="inlineStr">
        <is>
          <t>how to use goat milk soap for skin</t>
        </is>
      </c>
      <c r="C3559" s="42" t="n"/>
    </row>
    <row r="3560" ht="15" customHeight="1" s="37">
      <c r="A3560" s="42" t="inlineStr">
        <is>
          <t>vilvah goat milk body wash</t>
        </is>
      </c>
      <c r="B3560" s="42" t="inlineStr">
        <is>
          <t>is goat milk soap good for your skin</t>
        </is>
      </c>
      <c r="C3560" s="42" t="n"/>
    </row>
    <row r="3561" ht="15" customHeight="1" s="37">
      <c r="A3561" s="42" t="inlineStr">
        <is>
          <t>vilvah goat milk hair mask</t>
        </is>
      </c>
      <c r="B3561" s="42" t="inlineStr">
        <is>
          <t>vilvah goat milk hair mask</t>
        </is>
      </c>
      <c r="C3561" s="42" t="inlineStr">
        <is>
          <t>Yes</t>
        </is>
      </c>
    </row>
    <row r="3562" ht="15" customHeight="1" s="37">
      <c r="A3562" s="42" t="inlineStr">
        <is>
          <t>vilvah goat milk hair mask</t>
        </is>
      </c>
      <c r="B3562" s="42" t="inlineStr">
        <is>
          <t>vilvah goat milk hair mask review</t>
        </is>
      </c>
      <c r="C3562" s="42" t="inlineStr">
        <is>
          <t>Yes</t>
        </is>
      </c>
    </row>
    <row r="3563" ht="15" customHeight="1" s="37">
      <c r="A3563" s="42" t="inlineStr">
        <is>
          <t>vilvah goat milk hair mask</t>
        </is>
      </c>
      <c r="B3563" s="42" t="inlineStr">
        <is>
          <t>vilvah goat milk hair mask ingredients</t>
        </is>
      </c>
      <c r="C3563" s="42" t="inlineStr">
        <is>
          <t>Yes</t>
        </is>
      </c>
    </row>
    <row r="3564" ht="15" customHeight="1" s="37">
      <c r="A3564" s="42" t="inlineStr">
        <is>
          <t>vilvah goat milk hair mask</t>
        </is>
      </c>
      <c r="B3564" s="42" t="inlineStr">
        <is>
          <t>how to use vilvah goat milk hair mask</t>
        </is>
      </c>
      <c r="C3564" s="42" t="inlineStr">
        <is>
          <t>Yes</t>
        </is>
      </c>
    </row>
    <row r="3565" ht="15" customHeight="1" s="37">
      <c r="A3565" s="42" t="inlineStr">
        <is>
          <t>vilvah goat milk hair mask</t>
        </is>
      </c>
      <c r="B3565" s="42" t="inlineStr">
        <is>
          <t>ziaja goat milk hair mask review</t>
        </is>
      </c>
      <c r="C3565" s="42" t="n"/>
    </row>
    <row r="3566" ht="15" customHeight="1" s="37">
      <c r="A3566" s="42" t="inlineStr">
        <is>
          <t>vilvah goat milk hair mask</t>
        </is>
      </c>
      <c r="B3566" s="42" t="inlineStr">
        <is>
          <t>vilvah goat milk shampoo ingredients</t>
        </is>
      </c>
      <c r="C3566" s="42" t="inlineStr">
        <is>
          <t>Yes</t>
        </is>
      </c>
    </row>
    <row r="3567" ht="15" customHeight="1" s="37">
      <c r="A3567" s="42" t="inlineStr">
        <is>
          <t>vilvah goat milk hair mask</t>
        </is>
      </c>
      <c r="B3567" s="42" t="inlineStr">
        <is>
          <t>how to use vilvah hair mask</t>
        </is>
      </c>
      <c r="C3567" s="42" t="inlineStr">
        <is>
          <t>Yes</t>
        </is>
      </c>
    </row>
    <row r="3568" ht="15" customHeight="1" s="37">
      <c r="A3568" s="42" t="inlineStr">
        <is>
          <t>vilvah goat milk hair mask</t>
        </is>
      </c>
      <c r="B3568" s="42" t="inlineStr">
        <is>
          <t>vilvah goat milk shampoo review</t>
        </is>
      </c>
      <c r="C3568" s="42" t="inlineStr">
        <is>
          <t>Yes</t>
        </is>
      </c>
    </row>
    <row r="3569" ht="15" customHeight="1" s="37">
      <c r="A3569" s="42" t="inlineStr">
        <is>
          <t>vilvah goat milk shampoo</t>
        </is>
      </c>
      <c r="B3569" s="42" t="inlineStr">
        <is>
          <t>vilvah goat milk shampoo</t>
        </is>
      </c>
      <c r="C3569" s="42" t="inlineStr">
        <is>
          <t>Yes</t>
        </is>
      </c>
    </row>
    <row r="3570" ht="15" customHeight="1" s="37">
      <c r="A3570" s="42" t="inlineStr">
        <is>
          <t>vilvah goat milk shampoo</t>
        </is>
      </c>
      <c r="B3570" s="42" t="inlineStr">
        <is>
          <t>vilvah goat milk shampoo review</t>
        </is>
      </c>
      <c r="C3570" s="42" t="inlineStr">
        <is>
          <t>Yes</t>
        </is>
      </c>
    </row>
    <row r="3571" ht="15" customHeight="1" s="37">
      <c r="A3571" s="42" t="inlineStr">
        <is>
          <t>vilvah goat milk shampoo</t>
        </is>
      </c>
      <c r="B3571" s="42" t="inlineStr">
        <is>
          <t>vilvah goat milk shampoo and conditioner</t>
        </is>
      </c>
      <c r="C3571" s="42" t="n"/>
    </row>
    <row r="3572" ht="15" customHeight="1" s="37">
      <c r="A3572" s="42" t="inlineStr">
        <is>
          <t>vilvah goat milk shampoo</t>
        </is>
      </c>
      <c r="B3572" s="42" t="inlineStr">
        <is>
          <t>vilvah goat milk shampoo price</t>
        </is>
      </c>
      <c r="C3572" s="42" t="inlineStr">
        <is>
          <t>Yes</t>
        </is>
      </c>
    </row>
    <row r="3573" ht="15" customHeight="1" s="37">
      <c r="A3573" s="42" t="inlineStr">
        <is>
          <t>vilvah goat milk shampoo</t>
        </is>
      </c>
      <c r="B3573" s="42" t="inlineStr">
        <is>
          <t>vilvah goat milk shampoo benefits</t>
        </is>
      </c>
      <c r="C3573" s="42" t="inlineStr">
        <is>
          <t>Yes</t>
        </is>
      </c>
    </row>
    <row r="3574" ht="15" customHeight="1" s="37">
      <c r="A3574" s="42" t="inlineStr">
        <is>
          <t>vilvah goat milk shampoo</t>
        </is>
      </c>
      <c r="B3574" s="42" t="inlineStr">
        <is>
          <t>vilvah goat milk shampoo ingredients</t>
        </is>
      </c>
      <c r="C3574" s="42" t="inlineStr">
        <is>
          <t>Yes</t>
        </is>
      </c>
    </row>
    <row r="3575" ht="15" customHeight="1" s="37">
      <c r="A3575" s="42" t="inlineStr">
        <is>
          <t>vilvah goat milk shampoo</t>
        </is>
      </c>
      <c r="B3575" s="42" t="inlineStr">
        <is>
          <t>vilvah goat milk shampoo for kids</t>
        </is>
      </c>
      <c r="C3575" s="42" t="n"/>
    </row>
    <row r="3576" ht="15" customHeight="1" s="37">
      <c r="A3576" s="42" t="inlineStr">
        <is>
          <t>vilvah goat milk shampoo</t>
        </is>
      </c>
      <c r="B3576" s="42" t="inlineStr">
        <is>
          <t>vilvah goat milk shampoo side effects</t>
        </is>
      </c>
      <c r="C3576" s="42" t="n"/>
    </row>
    <row r="3577" ht="15" customHeight="1" s="37">
      <c r="A3577" s="42" t="inlineStr">
        <is>
          <t>vilvah goat milk shampoo</t>
        </is>
      </c>
      <c r="B3577" s="42" t="inlineStr">
        <is>
          <t>vilvah goat milk shampoo review hair loss</t>
        </is>
      </c>
      <c r="C3577" s="42" t="n"/>
    </row>
    <row r="3578" ht="15" customHeight="1" s="37">
      <c r="A3578" s="42" t="inlineStr">
        <is>
          <t>vilvah goat milk shampoo</t>
        </is>
      </c>
      <c r="B3578" s="42" t="inlineStr">
        <is>
          <t>vilvah goat milk shampoo ph level</t>
        </is>
      </c>
      <c r="C3578" s="42" t="n"/>
    </row>
    <row r="3579" ht="15" customHeight="1" s="37">
      <c r="A3579" s="42" t="inlineStr">
        <is>
          <t>vilvah hair growth oil</t>
        </is>
      </c>
      <c r="B3579" s="42" t="inlineStr">
        <is>
          <t>vilvah hair growth oil</t>
        </is>
      </c>
      <c r="C3579" s="42" t="inlineStr">
        <is>
          <t>Yes</t>
        </is>
      </c>
    </row>
    <row r="3580" ht="15" customHeight="1" s="37">
      <c r="A3580" s="42" t="inlineStr">
        <is>
          <t>vilvah hair growth oil</t>
        </is>
      </c>
      <c r="B3580" s="42" t="inlineStr">
        <is>
          <t>vilvah hair growth oil review</t>
        </is>
      </c>
      <c r="C3580" s="42" t="inlineStr">
        <is>
          <t>Yes</t>
        </is>
      </c>
    </row>
    <row r="3581" ht="15" customHeight="1" s="37">
      <c r="A3581" s="42" t="inlineStr">
        <is>
          <t>vilvah hair growth oil</t>
        </is>
      </c>
      <c r="B3581" s="42" t="inlineStr">
        <is>
          <t>vilvah hair growth oil how to use</t>
        </is>
      </c>
      <c r="C3581" s="42" t="inlineStr">
        <is>
          <t>Yes</t>
        </is>
      </c>
    </row>
    <row r="3582" ht="15" customHeight="1" s="37">
      <c r="A3582" s="42" t="inlineStr">
        <is>
          <t>vilvah hair growth oil</t>
        </is>
      </c>
      <c r="B3582" s="42" t="inlineStr">
        <is>
          <t>vilvah hair growth oil benefits</t>
        </is>
      </c>
      <c r="C3582" s="42" t="inlineStr">
        <is>
          <t>Yes</t>
        </is>
      </c>
    </row>
    <row r="3583" ht="15" customHeight="1" s="37">
      <c r="A3583" s="42" t="inlineStr">
        <is>
          <t>vilvah hair growth oil</t>
        </is>
      </c>
      <c r="B3583" s="42" t="inlineStr">
        <is>
          <t>vilvah hair growth oil india</t>
        </is>
      </c>
      <c r="C3583" s="42" t="inlineStr">
        <is>
          <t>Yes</t>
        </is>
      </c>
    </row>
    <row r="3584" ht="15" customHeight="1" s="37">
      <c r="A3584" s="42" t="inlineStr">
        <is>
          <t>vilvah hair growth oil</t>
        </is>
      </c>
      <c r="B3584" s="42" t="inlineStr">
        <is>
          <t>vilvah hair growth oil side effects</t>
        </is>
      </c>
      <c r="C3584" s="42" t="n"/>
    </row>
    <row r="3585" ht="15" customHeight="1" s="37">
      <c r="A3585" s="42" t="inlineStr">
        <is>
          <t>vilvah hair growth oil</t>
        </is>
      </c>
      <c r="B3585" s="42" t="inlineStr">
        <is>
          <t>vilvah hair growth oil review in tamil</t>
        </is>
      </c>
      <c r="C3585" s="42" t="n"/>
    </row>
    <row r="3586" ht="15" customHeight="1" s="37">
      <c r="A3586" s="42" t="inlineStr">
        <is>
          <t>vilvah hair growth oil</t>
        </is>
      </c>
      <c r="B3586" s="42" t="inlineStr">
        <is>
          <t>vilvah hair growth oil review before and after</t>
        </is>
      </c>
      <c r="C3586" s="42" t="inlineStr">
        <is>
          <t>Yes</t>
        </is>
      </c>
    </row>
    <row r="3587" ht="15" customHeight="1" s="37">
      <c r="A3587" s="42" t="inlineStr">
        <is>
          <t>vilvah hair growth oil</t>
        </is>
      </c>
      <c r="B3587" s="42" t="inlineStr">
        <is>
          <t>vilvah hair growth oil amazon</t>
        </is>
      </c>
      <c r="C3587" s="42" t="inlineStr">
        <is>
          <t>Yes</t>
        </is>
      </c>
    </row>
    <row r="3588" ht="15" customHeight="1" s="37">
      <c r="A3588" s="42" t="inlineStr">
        <is>
          <t>vilvah hair growth oil</t>
        </is>
      </c>
      <c r="B3588" s="42" t="inlineStr">
        <is>
          <t>vilvah hair growth oil price</t>
        </is>
      </c>
      <c r="C3588" s="42" t="inlineStr">
        <is>
          <t>Yes</t>
        </is>
      </c>
    </row>
    <row r="3589" ht="15" customHeight="1" s="37">
      <c r="A3589" s="42" t="inlineStr">
        <is>
          <t>vilvah hairfall control kit</t>
        </is>
      </c>
      <c r="B3589" s="42" t="inlineStr">
        <is>
          <t>vilvah hair fall control shampoo</t>
        </is>
      </c>
      <c r="C3589" s="42" t="n"/>
    </row>
    <row r="3590" ht="15" customHeight="1" s="37">
      <c r="A3590" s="42" t="inlineStr">
        <is>
          <t>vilvah hairfall control kit</t>
        </is>
      </c>
      <c r="B3590" s="42" t="inlineStr">
        <is>
          <t>how to use vilvah hair mask</t>
        </is>
      </c>
      <c r="C3590" s="42" t="inlineStr">
        <is>
          <t>Yes</t>
        </is>
      </c>
    </row>
    <row r="3591" ht="15" customHeight="1" s="37">
      <c r="A3591" s="42" t="inlineStr">
        <is>
          <t>vilvah hairfall control kit</t>
        </is>
      </c>
      <c r="B3591" s="42" t="inlineStr">
        <is>
          <t>is vilvah a good brand</t>
        </is>
      </c>
      <c r="C3591" s="42" t="n"/>
    </row>
    <row r="3592" ht="15" customHeight="1" s="37">
      <c r="A3592" s="42" t="inlineStr">
        <is>
          <t>vilvah herbal shampoo (dandruff control)</t>
        </is>
      </c>
      <c r="B3592" s="42" t="inlineStr">
        <is>
          <t>vilvah herbal shampoo dandruff control</t>
        </is>
      </c>
      <c r="C3592" s="42" t="inlineStr">
        <is>
          <t>Yes</t>
        </is>
      </c>
    </row>
    <row r="3593" ht="15" customHeight="1" s="37">
      <c r="A3593" s="42" t="inlineStr">
        <is>
          <t>vilvah herbal shampoo (dandruff control)</t>
        </is>
      </c>
      <c r="B3593" s="42" t="inlineStr">
        <is>
          <t>which herbal essences shampoo is best for dandruff</t>
        </is>
      </c>
      <c r="C3593" s="42" t="n"/>
    </row>
    <row r="3594" ht="15" customHeight="1" s="37">
      <c r="A3594" s="42" t="inlineStr">
        <is>
          <t>vilvah herbal shampoo (dandruff control)</t>
        </is>
      </c>
      <c r="B3594" s="42" t="inlineStr">
        <is>
          <t>which herbal shampoo is best for dandruff and hair fall</t>
        </is>
      </c>
      <c r="C3594" s="42" t="n"/>
    </row>
    <row r="3595" ht="15" customHeight="1" s="37">
      <c r="A3595" s="42" t="inlineStr">
        <is>
          <t>vilvah honey fix face wash</t>
        </is>
      </c>
      <c r="B3595" s="42" t="inlineStr">
        <is>
          <t>vilvah honey fix face wash</t>
        </is>
      </c>
      <c r="C3595" s="42" t="inlineStr">
        <is>
          <t>Yes</t>
        </is>
      </c>
    </row>
    <row r="3596" ht="15" customHeight="1" s="37">
      <c r="A3596" s="42" t="inlineStr">
        <is>
          <t>vilvah honey fix face wash</t>
        </is>
      </c>
      <c r="B3596" s="42" t="inlineStr">
        <is>
          <t>vilvah honey fix face wash review</t>
        </is>
      </c>
      <c r="C3596" s="42" t="inlineStr">
        <is>
          <t>Yes</t>
        </is>
      </c>
    </row>
    <row r="3597" ht="15" customHeight="1" s="37">
      <c r="A3597" s="42" t="inlineStr">
        <is>
          <t>vilvah honey fix face wash</t>
        </is>
      </c>
      <c r="B3597" s="42" t="inlineStr">
        <is>
          <t>vilvah honey fix face cleanser 100ml</t>
        </is>
      </c>
      <c r="C3597" s="42" t="n"/>
    </row>
    <row r="3598" ht="15" customHeight="1" s="37">
      <c r="A3598" s="42" t="inlineStr">
        <is>
          <t>vilvah honey fix face wash</t>
        </is>
      </c>
      <c r="B3598" s="42" t="inlineStr">
        <is>
          <t>vilvah store honey fix face cleanser</t>
        </is>
      </c>
      <c r="C3598" s="42" t="n"/>
    </row>
    <row r="3599" ht="15" customHeight="1" s="37">
      <c r="A3599" s="42" t="inlineStr">
        <is>
          <t>vilvah lip balm - grapefruit</t>
        </is>
      </c>
      <c r="B3599" s="42" t="inlineStr">
        <is>
          <t>vilvah lip balm grapefruit</t>
        </is>
      </c>
      <c r="C3599" s="42" t="inlineStr">
        <is>
          <t>Yes</t>
        </is>
      </c>
    </row>
    <row r="3600" ht="15" customHeight="1" s="37">
      <c r="A3600" s="42" t="inlineStr">
        <is>
          <t>vilvah lip balm - grapefruit</t>
        </is>
      </c>
      <c r="B3600" s="42" t="inlineStr">
        <is>
          <t>vilvah grapefruit lip balm review</t>
        </is>
      </c>
      <c r="C3600" s="42" t="inlineStr">
        <is>
          <t>Yes</t>
        </is>
      </c>
    </row>
    <row r="3601" ht="15" customHeight="1" s="37">
      <c r="A3601" s="42" t="inlineStr">
        <is>
          <t>vilvah lip balm - grapefruit</t>
        </is>
      </c>
      <c r="B3601" s="42" t="inlineStr">
        <is>
          <t>vilvah grapefruit lip balm 10g</t>
        </is>
      </c>
      <c r="C3601" s="42" t="inlineStr">
        <is>
          <t>Yes</t>
        </is>
      </c>
    </row>
    <row r="3602" ht="15" customHeight="1" s="37">
      <c r="A3602" s="42" t="inlineStr">
        <is>
          <t>vilvah lip balm - grapefruit</t>
        </is>
      </c>
      <c r="B3602" s="42" t="inlineStr">
        <is>
          <t>vilvah grapefruit lip balm benefits</t>
        </is>
      </c>
      <c r="C3602" s="42" t="inlineStr">
        <is>
          <t>Yes</t>
        </is>
      </c>
    </row>
    <row r="3603" ht="15" customHeight="1" s="37">
      <c r="A3603" s="42" t="inlineStr">
        <is>
          <t>vilvah lip balm - grapefruit</t>
        </is>
      </c>
      <c r="B3603" s="42" t="inlineStr">
        <is>
          <t>vilvah grapefruit lip balm amazon</t>
        </is>
      </c>
      <c r="C3603" s="42" t="inlineStr">
        <is>
          <t>Yes</t>
        </is>
      </c>
    </row>
    <row r="3604" ht="15" customHeight="1" s="37">
      <c r="A3604" s="42" t="inlineStr">
        <is>
          <t>vilvah lip balm - grapefruit</t>
        </is>
      </c>
      <c r="B3604" s="42" t="inlineStr">
        <is>
          <t>vilvah store grapefruit lip balm</t>
        </is>
      </c>
      <c r="C3604" s="42" t="n"/>
    </row>
    <row r="3605" ht="15" customHeight="1" s="37">
      <c r="A3605" s="42" t="inlineStr">
        <is>
          <t>vilvah lip balm - grapefruit</t>
        </is>
      </c>
      <c r="B3605" s="42" t="inlineStr">
        <is>
          <t>vilvah lip balm review</t>
        </is>
      </c>
      <c r="C3605" s="42" t="inlineStr">
        <is>
          <t>Yes</t>
        </is>
      </c>
    </row>
    <row r="3606" ht="15" customHeight="1" s="37">
      <c r="A3606" s="42" t="inlineStr">
        <is>
          <t>vilvah lip balm - grapefruit</t>
        </is>
      </c>
      <c r="B3606" s="42" t="inlineStr">
        <is>
          <t>is beetroot lip balm good for lips</t>
        </is>
      </c>
      <c r="C3606" s="42" t="n"/>
    </row>
    <row r="3607" ht="15" customHeight="1" s="37">
      <c r="A3607" s="42" t="inlineStr">
        <is>
          <t>vilvah lip balm - grapefruit</t>
        </is>
      </c>
      <c r="B3607" s="42" t="inlineStr">
        <is>
          <t>vilvah lemon lip balm review</t>
        </is>
      </c>
      <c r="C3607" s="42" t="inlineStr">
        <is>
          <t>Yes</t>
        </is>
      </c>
    </row>
    <row r="3608" ht="15" customHeight="1" s="37">
      <c r="A3608" s="42" t="inlineStr">
        <is>
          <t>vilvah lip balm - lemon</t>
        </is>
      </c>
      <c r="B3608" s="42" t="inlineStr">
        <is>
          <t>vilvah lip balm lemon</t>
        </is>
      </c>
      <c r="C3608" s="42" t="inlineStr">
        <is>
          <t>Yes</t>
        </is>
      </c>
    </row>
    <row r="3609" ht="15" customHeight="1" s="37">
      <c r="A3609" s="42" t="inlineStr">
        <is>
          <t>vilvah lip balm - lemon</t>
        </is>
      </c>
      <c r="B3609" s="42" t="inlineStr">
        <is>
          <t>vilvah lemon lip balm review</t>
        </is>
      </c>
      <c r="C3609" s="42" t="inlineStr">
        <is>
          <t>Yes</t>
        </is>
      </c>
    </row>
    <row r="3610" ht="15" customHeight="1" s="37">
      <c r="A3610" s="42" t="inlineStr">
        <is>
          <t>vilvah lip balm - lemon</t>
        </is>
      </c>
      <c r="B3610" s="42" t="inlineStr">
        <is>
          <t>vilvah lip balm review</t>
        </is>
      </c>
      <c r="C3610" s="42" t="inlineStr">
        <is>
          <t>Yes</t>
        </is>
      </c>
    </row>
    <row r="3611" ht="15" customHeight="1" s="37">
      <c r="A3611" s="42" t="inlineStr">
        <is>
          <t>vilvah lip balm - lemon</t>
        </is>
      </c>
      <c r="B3611" s="42" t="inlineStr">
        <is>
          <t>vilvah lip balm price</t>
        </is>
      </c>
      <c r="C3611" s="42" t="inlineStr">
        <is>
          <t>Yes</t>
        </is>
      </c>
    </row>
    <row r="3612" ht="15" customHeight="1" s="37">
      <c r="A3612" s="42" t="inlineStr">
        <is>
          <t>vilvah lip balm - lemon</t>
        </is>
      </c>
      <c r="B3612" s="42" t="inlineStr">
        <is>
          <t>vilvah grapefruit lip balm review</t>
        </is>
      </c>
      <c r="C3612" s="42" t="inlineStr">
        <is>
          <t>Yes</t>
        </is>
      </c>
    </row>
    <row r="3613" ht="15" customHeight="1" s="37">
      <c r="A3613" s="42" t="inlineStr">
        <is>
          <t>vilvah lip scrub</t>
        </is>
      </c>
      <c r="B3613" s="42" t="inlineStr">
        <is>
          <t>vilvah lip scrub</t>
        </is>
      </c>
      <c r="C3613" s="42" t="inlineStr">
        <is>
          <t>Yes</t>
        </is>
      </c>
    </row>
    <row r="3614" ht="15" customHeight="1" s="37">
      <c r="A3614" s="42" t="inlineStr">
        <is>
          <t>vilvah lip scrub</t>
        </is>
      </c>
      <c r="B3614" s="42" t="inlineStr">
        <is>
          <t>vilvah lip scrub how to use</t>
        </is>
      </c>
      <c r="C3614" s="42" t="inlineStr">
        <is>
          <t>Yes</t>
        </is>
      </c>
    </row>
    <row r="3615" ht="15" customHeight="1" s="37">
      <c r="A3615" s="42" t="inlineStr">
        <is>
          <t>vilvah lip scrub</t>
        </is>
      </c>
      <c r="B3615" s="42" t="inlineStr">
        <is>
          <t>vilvah lip scrub review</t>
        </is>
      </c>
      <c r="C3615" s="42" t="inlineStr">
        <is>
          <t>Yes</t>
        </is>
      </c>
    </row>
    <row r="3616" ht="15" customHeight="1" s="37">
      <c r="A3616" s="42" t="inlineStr">
        <is>
          <t>vilvah lip scrub</t>
        </is>
      </c>
      <c r="B3616" s="42" t="inlineStr">
        <is>
          <t>vilvah lip scrub ingredients</t>
        </is>
      </c>
      <c r="C3616" s="42" t="inlineStr">
        <is>
          <t>Yes</t>
        </is>
      </c>
    </row>
    <row r="3617" ht="15" customHeight="1" s="37">
      <c r="A3617" s="42" t="inlineStr">
        <is>
          <t>vilvah lip scrub</t>
        </is>
      </c>
      <c r="B3617" s="42" t="inlineStr">
        <is>
          <t>vilvah store lip scrub</t>
        </is>
      </c>
      <c r="C3617" s="42" t="n"/>
    </row>
    <row r="3618" ht="15" customHeight="1" s="37">
      <c r="A3618" s="42" t="inlineStr">
        <is>
          <t>vilvah lip scrub</t>
        </is>
      </c>
      <c r="B3618" s="42" t="inlineStr">
        <is>
          <t>vilvah store lip scrub 10g</t>
        </is>
      </c>
      <c r="C3618" s="42" t="n"/>
    </row>
    <row r="3619" ht="15" customHeight="1" s="37">
      <c r="A3619" s="42" t="inlineStr">
        <is>
          <t>vilvah lip scrub</t>
        </is>
      </c>
      <c r="B3619" s="42" t="inlineStr">
        <is>
          <t>vilvah organic lip scrub</t>
        </is>
      </c>
      <c r="C3619" s="42" t="n"/>
    </row>
    <row r="3620" ht="15" customHeight="1" s="37">
      <c r="A3620" s="42" t="inlineStr">
        <is>
          <t>vilvah lip scrub</t>
        </is>
      </c>
      <c r="B3620" s="42" t="inlineStr">
        <is>
          <t>vilvah lip scrub and lip balm</t>
        </is>
      </c>
      <c r="C3620" s="42" t="inlineStr">
        <is>
          <t>Yes</t>
        </is>
      </c>
    </row>
    <row r="3621" ht="15" customHeight="1" s="37">
      <c r="A3621" s="42" t="inlineStr">
        <is>
          <t>vilvah lip scrub</t>
        </is>
      </c>
      <c r="B3621" s="42" t="inlineStr">
        <is>
          <t>vilvah lip balm price</t>
        </is>
      </c>
      <c r="C3621" s="42" t="inlineStr">
        <is>
          <t>Yes</t>
        </is>
      </c>
    </row>
    <row r="3622" ht="15" customHeight="1" s="37">
      <c r="A3622" s="42" t="inlineStr">
        <is>
          <t>vilvah lip scrub</t>
        </is>
      </c>
      <c r="B3622" s="42" t="inlineStr">
        <is>
          <t>vilvah lip balm review</t>
        </is>
      </c>
      <c r="C3622" s="42" t="inlineStr">
        <is>
          <t>Yes</t>
        </is>
      </c>
    </row>
    <row r="3623" ht="15" customHeight="1" s="37">
      <c r="A3623" s="42" t="inlineStr">
        <is>
          <t>vilvah mango shake lip balm</t>
        </is>
      </c>
      <c r="B3623" s="42" t="inlineStr">
        <is>
          <t>vilvah mango milkshake lip balm</t>
        </is>
      </c>
      <c r="C3623" s="42" t="n"/>
    </row>
    <row r="3624" ht="15" customHeight="1" s="37">
      <c r="A3624" s="42" t="inlineStr">
        <is>
          <t>vilvah mango shake lip balm</t>
        </is>
      </c>
      <c r="B3624" s="42" t="inlineStr">
        <is>
          <t>vilvah lip balm review</t>
        </is>
      </c>
      <c r="C3624" s="42" t="inlineStr">
        <is>
          <t>Yes</t>
        </is>
      </c>
    </row>
    <row r="3625" ht="15" customHeight="1" s="37">
      <c r="A3625" s="42" t="inlineStr">
        <is>
          <t>vilvah mango shake lip balm</t>
        </is>
      </c>
      <c r="B3625" s="42" t="inlineStr">
        <is>
          <t>vilvah lip balm price</t>
        </is>
      </c>
      <c r="C3625" s="42" t="inlineStr">
        <is>
          <t>Yes</t>
        </is>
      </c>
    </row>
    <row r="3626" ht="15" customHeight="1" s="37">
      <c r="A3626" s="42" t="inlineStr">
        <is>
          <t>vilvah mango shake lip balm</t>
        </is>
      </c>
      <c r="B3626" s="42" t="inlineStr">
        <is>
          <t>vilvah lemon lip balm review</t>
        </is>
      </c>
      <c r="C3626" s="42" t="inlineStr">
        <is>
          <t>Yes</t>
        </is>
      </c>
    </row>
    <row r="3627" ht="15" customHeight="1" s="37">
      <c r="A3627" s="42" t="inlineStr">
        <is>
          <t>vilvah mango shake lip balm</t>
        </is>
      </c>
      <c r="B3627" s="42" t="inlineStr">
        <is>
          <t>mango reaction on lips</t>
        </is>
      </c>
      <c r="C3627" s="42" t="n"/>
    </row>
    <row r="3628" ht="15" customHeight="1" s="37">
      <c r="A3628" s="42" t="inlineStr">
        <is>
          <t>vilvah mango shake lip balm</t>
        </is>
      </c>
      <c r="B3628" s="42" t="inlineStr">
        <is>
          <t>vilvah grapefruit lip balm review</t>
        </is>
      </c>
      <c r="C3628" s="42" t="inlineStr">
        <is>
          <t>Yes</t>
        </is>
      </c>
    </row>
    <row r="3629" ht="15" customHeight="1" s="37">
      <c r="A3629" s="42" t="inlineStr">
        <is>
          <t>vilvah milk body lotion</t>
        </is>
      </c>
      <c r="B3629" s="42" t="inlineStr">
        <is>
          <t>vilvah milk body lotion</t>
        </is>
      </c>
      <c r="C3629" s="42" t="inlineStr">
        <is>
          <t>Yes</t>
        </is>
      </c>
    </row>
    <row r="3630" ht="15" customHeight="1" s="37">
      <c r="A3630" s="42" t="inlineStr">
        <is>
          <t>vilvah milk body lotion</t>
        </is>
      </c>
      <c r="B3630" s="42" t="inlineStr">
        <is>
          <t>vilvah milk body lotion review</t>
        </is>
      </c>
      <c r="C3630" s="42" t="inlineStr">
        <is>
          <t>Yes</t>
        </is>
      </c>
    </row>
    <row r="3631" ht="15" customHeight="1" s="37">
      <c r="A3631" s="42" t="inlineStr">
        <is>
          <t>vilvah milk body lotion</t>
        </is>
      </c>
      <c r="B3631" s="42" t="inlineStr">
        <is>
          <t>vilvah milk body lotion price</t>
        </is>
      </c>
      <c r="C3631" s="42" t="inlineStr">
        <is>
          <t>Yes</t>
        </is>
      </c>
    </row>
    <row r="3632" ht="15" customHeight="1" s="37">
      <c r="A3632" s="42" t="inlineStr">
        <is>
          <t>vilvah milk body lotion</t>
        </is>
      </c>
      <c r="B3632" s="42" t="inlineStr">
        <is>
          <t>vilvah goat milk body lotion</t>
        </is>
      </c>
      <c r="C3632" s="42" t="n"/>
    </row>
    <row r="3633" ht="15" customHeight="1" s="37">
      <c r="A3633" s="42" t="inlineStr">
        <is>
          <t>vilvah milk body lotion</t>
        </is>
      </c>
      <c r="B3633" s="42" t="inlineStr">
        <is>
          <t>vilvah store milk body lotion</t>
        </is>
      </c>
      <c r="C3633" s="42" t="n"/>
    </row>
    <row r="3634" ht="15" customHeight="1" s="37">
      <c r="A3634" s="42" t="inlineStr">
        <is>
          <t>vilvah milk body lotion</t>
        </is>
      </c>
      <c r="B3634" s="42" t="inlineStr">
        <is>
          <t>vilvah milk drops body lotion</t>
        </is>
      </c>
      <c r="C3634" s="42" t="n"/>
    </row>
    <row r="3635" ht="15" customHeight="1" s="37">
      <c r="A3635" s="42" t="inlineStr">
        <is>
          <t>vilvah milk body lotion</t>
        </is>
      </c>
      <c r="B3635" s="42" t="inlineStr">
        <is>
          <t>vilvah oat milk body lotion</t>
        </is>
      </c>
      <c r="C3635" s="42" t="n"/>
    </row>
    <row r="3636" ht="15" customHeight="1" s="37">
      <c r="A3636" s="42" t="inlineStr">
        <is>
          <t>vilvah milk body lotion</t>
        </is>
      </c>
      <c r="B3636" s="42" t="inlineStr">
        <is>
          <t>vilvah goat milk shampoo ingredients</t>
        </is>
      </c>
      <c r="C3636" s="42" t="inlineStr">
        <is>
          <t>Yes</t>
        </is>
      </c>
    </row>
    <row r="3637" ht="15" customHeight="1" s="37">
      <c r="A3637" s="42" t="inlineStr">
        <is>
          <t>vilvah milk body lotion</t>
        </is>
      </c>
      <c r="B3637" s="42" t="inlineStr">
        <is>
          <t>vilvah goat milk soap review</t>
        </is>
      </c>
      <c r="C3637" s="42" t="inlineStr">
        <is>
          <t>Yes</t>
        </is>
      </c>
    </row>
    <row r="3638" ht="15" customHeight="1" s="37">
      <c r="A3638" s="42" t="inlineStr">
        <is>
          <t>vilvah milk body lotion</t>
        </is>
      </c>
      <c r="B3638" s="42" t="inlineStr">
        <is>
          <t>does milk cream lighten skin</t>
        </is>
      </c>
      <c r="C3638" s="42" t="n"/>
    </row>
    <row r="3639" ht="15" customHeight="1" s="37">
      <c r="A3639" s="42" t="inlineStr">
        <is>
          <t>vilvah milk drops brightening serum</t>
        </is>
      </c>
      <c r="B3639" s="42" t="inlineStr">
        <is>
          <t>vilvah milk drops brightening serum</t>
        </is>
      </c>
      <c r="C3639" s="42" t="inlineStr">
        <is>
          <t>Yes</t>
        </is>
      </c>
    </row>
    <row r="3640" ht="15" customHeight="1" s="37">
      <c r="A3640" s="42" t="inlineStr">
        <is>
          <t>vilvah milk drops brightening serum</t>
        </is>
      </c>
      <c r="B3640" s="42" t="inlineStr">
        <is>
          <t>vilvah milk drops brightening serum review</t>
        </is>
      </c>
      <c r="C3640" s="42" t="inlineStr">
        <is>
          <t>Yes</t>
        </is>
      </c>
    </row>
    <row r="3641" ht="15" customHeight="1" s="37">
      <c r="A3641" s="42" t="inlineStr">
        <is>
          <t>vilvah milk drops brightening serum</t>
        </is>
      </c>
      <c r="B3641" s="42" t="inlineStr">
        <is>
          <t>vilvah milk drops brightening serum price in sri lanka</t>
        </is>
      </c>
      <c r="C3641" s="42" t="n"/>
    </row>
    <row r="3642" ht="15" customHeight="1" s="37">
      <c r="A3642" s="42" t="inlineStr">
        <is>
          <t>vilvah milk drops brightening serum</t>
        </is>
      </c>
      <c r="B3642" s="42" t="inlineStr">
        <is>
          <t>vilvah milk drops brightening serum how to use</t>
        </is>
      </c>
      <c r="C3642" s="42" t="inlineStr">
        <is>
          <t>Yes</t>
        </is>
      </c>
    </row>
    <row r="3643" ht="15" customHeight="1" s="37">
      <c r="A3643" s="42" t="inlineStr">
        <is>
          <t>vilvah milk drops brightening serum</t>
        </is>
      </c>
      <c r="B3643" s="42" t="inlineStr">
        <is>
          <t>vilvah milk drops brightening serum side effects</t>
        </is>
      </c>
      <c r="C3643" s="42" t="n"/>
    </row>
    <row r="3644" ht="15" customHeight="1" s="37">
      <c r="A3644" s="42" t="inlineStr">
        <is>
          <t>vilvah milk drops brightening serum</t>
        </is>
      </c>
      <c r="B3644" s="42" t="inlineStr">
        <is>
          <t>vilvah milk drops brightening serum flipkart</t>
        </is>
      </c>
      <c r="C3644" s="42" t="n"/>
    </row>
    <row r="3645" ht="15" customHeight="1" s="37">
      <c r="A3645" s="42" t="inlineStr">
        <is>
          <t>vilvah milk drops brightening serum</t>
        </is>
      </c>
      <c r="B3645" s="42" t="inlineStr">
        <is>
          <t>vilvah milk drops brightening serum ingredients</t>
        </is>
      </c>
      <c r="C3645" s="42" t="inlineStr">
        <is>
          <t>Yes</t>
        </is>
      </c>
    </row>
    <row r="3646" ht="15" customHeight="1" s="37">
      <c r="A3646" s="42" t="inlineStr">
        <is>
          <t>vilvah milk drops brightening serum</t>
        </is>
      </c>
      <c r="B3646" s="42" t="inlineStr">
        <is>
          <t>vilvah milk drops brightening serum benefits</t>
        </is>
      </c>
      <c r="C3646" s="42" t="inlineStr">
        <is>
          <t>Yes</t>
        </is>
      </c>
    </row>
    <row r="3647" ht="15" customHeight="1" s="37">
      <c r="A3647" s="42" t="inlineStr">
        <is>
          <t>vilvah milk drops brightening serum</t>
        </is>
      </c>
      <c r="B3647" s="42" t="inlineStr">
        <is>
          <t>vilvah milk drops brightening serum price in india</t>
        </is>
      </c>
      <c r="C3647" s="42" t="n"/>
    </row>
    <row r="3648" ht="15" customHeight="1" s="37">
      <c r="A3648" s="42" t="inlineStr">
        <is>
          <t>vilvah milk drops brightening serum</t>
        </is>
      </c>
      <c r="B3648" s="42" t="inlineStr">
        <is>
          <t>vilvah milk drops brightening serum how to use in tamil</t>
        </is>
      </c>
      <c r="C3648" s="42" t="n"/>
    </row>
    <row r="3649" ht="15" customHeight="1" s="37">
      <c r="A3649" s="42" t="inlineStr">
        <is>
          <t>vilvah milk face kit</t>
        </is>
      </c>
      <c r="B3649" s="42" t="inlineStr">
        <is>
          <t>vilvah milk face pack</t>
        </is>
      </c>
      <c r="C3649" s="42" t="n"/>
    </row>
    <row r="3650" ht="15" customHeight="1" s="37">
      <c r="A3650" s="42" t="inlineStr">
        <is>
          <t>vilvah milk face kit</t>
        </is>
      </c>
      <c r="B3650" s="42" t="inlineStr">
        <is>
          <t>vilvah milk mud face pack</t>
        </is>
      </c>
      <c r="C3650" s="42" t="n"/>
    </row>
    <row r="3651" ht="15" customHeight="1" s="37">
      <c r="A3651" s="42" t="inlineStr">
        <is>
          <t>vilvah milk face kit</t>
        </is>
      </c>
      <c r="B3651" s="42" t="inlineStr">
        <is>
          <t>how to do milk facial at home</t>
        </is>
      </c>
      <c r="C3651" s="42" t="n"/>
    </row>
    <row r="3652" ht="15" customHeight="1" s="37">
      <c r="A3652" s="42" t="inlineStr">
        <is>
          <t>vilvah milk face kit</t>
        </is>
      </c>
      <c r="B3652" s="42" t="inlineStr">
        <is>
          <t>how can i apply milk on my face</t>
        </is>
      </c>
      <c r="C3652" s="42" t="n"/>
    </row>
    <row r="3653" ht="15" customHeight="1" s="37">
      <c r="A3653" s="42" t="inlineStr">
        <is>
          <t>vilvah milk face toner</t>
        </is>
      </c>
      <c r="B3653" s="42" t="inlineStr">
        <is>
          <t>vilvah milk face toner</t>
        </is>
      </c>
      <c r="C3653" s="42" t="inlineStr">
        <is>
          <t>Yes</t>
        </is>
      </c>
    </row>
    <row r="3654" ht="15" customHeight="1" s="37">
      <c r="A3654" s="42" t="inlineStr">
        <is>
          <t>vilvah milk face toner</t>
        </is>
      </c>
      <c r="B3654" s="42" t="inlineStr">
        <is>
          <t>vilvah milk face toner review</t>
        </is>
      </c>
      <c r="C3654" s="42" t="inlineStr">
        <is>
          <t>Yes</t>
        </is>
      </c>
    </row>
    <row r="3655" ht="15" customHeight="1" s="37">
      <c r="A3655" s="42" t="inlineStr">
        <is>
          <t>vilvah milk face toner</t>
        </is>
      </c>
      <c r="B3655" s="42" t="inlineStr">
        <is>
          <t>vilvah store milk face toner</t>
        </is>
      </c>
      <c r="C3655" s="42" t="n"/>
    </row>
    <row r="3656" ht="15" customHeight="1" s="37">
      <c r="A3656" s="42" t="inlineStr">
        <is>
          <t>vilvah milk face toner</t>
        </is>
      </c>
      <c r="B3656" s="42" t="inlineStr">
        <is>
          <t>is milk toner good for skin</t>
        </is>
      </c>
      <c r="C3656" s="42" t="n"/>
    </row>
    <row r="3657" ht="15" customHeight="1" s="37">
      <c r="A3657" s="42" t="inlineStr">
        <is>
          <t>vilvah milk face toner</t>
        </is>
      </c>
      <c r="B3657" s="42" t="inlineStr">
        <is>
          <t>vilvah toner review</t>
        </is>
      </c>
      <c r="C3657" s="42" t="inlineStr">
        <is>
          <t>Yes</t>
        </is>
      </c>
    </row>
    <row r="3658" ht="15" customHeight="1" s="37">
      <c r="A3658" s="42" t="inlineStr">
        <is>
          <t>vilvah milk mud mask</t>
        </is>
      </c>
      <c r="B3658" s="42" t="inlineStr">
        <is>
          <t>vilvah milk mud mask</t>
        </is>
      </c>
      <c r="C3658" s="42" t="inlineStr">
        <is>
          <t>Yes</t>
        </is>
      </c>
    </row>
    <row r="3659" ht="15" customHeight="1" s="37">
      <c r="A3659" s="42" t="inlineStr">
        <is>
          <t>vilvah milk mud mask</t>
        </is>
      </c>
      <c r="B3659" s="42" t="inlineStr">
        <is>
          <t>vilvah milk mud mask review</t>
        </is>
      </c>
      <c r="C3659" s="42" t="inlineStr">
        <is>
          <t>Yes</t>
        </is>
      </c>
    </row>
    <row r="3660" ht="15" customHeight="1" s="37">
      <c r="A3660" s="42" t="inlineStr">
        <is>
          <t>vilvah milk mud mask</t>
        </is>
      </c>
      <c r="B3660" s="42" t="inlineStr">
        <is>
          <t>vilvah milk mud mask benefits</t>
        </is>
      </c>
      <c r="C3660" s="42" t="inlineStr">
        <is>
          <t>Yes</t>
        </is>
      </c>
    </row>
    <row r="3661" ht="15" customHeight="1" s="37">
      <c r="A3661" s="42" t="inlineStr">
        <is>
          <t>vilvah milk mud mask</t>
        </is>
      </c>
      <c r="B3661" s="42" t="inlineStr">
        <is>
          <t>vilvah milk mud mask ingredients</t>
        </is>
      </c>
      <c r="C3661" s="42" t="inlineStr">
        <is>
          <t>Yes</t>
        </is>
      </c>
    </row>
    <row r="3662" ht="15" customHeight="1" s="37">
      <c r="A3662" s="42" t="inlineStr">
        <is>
          <t>vilvah milk mud mask</t>
        </is>
      </c>
      <c r="B3662" s="42" t="inlineStr">
        <is>
          <t>vilvah milk mud mask how to use</t>
        </is>
      </c>
      <c r="C3662" s="42" t="inlineStr">
        <is>
          <t>Yes</t>
        </is>
      </c>
    </row>
    <row r="3663" ht="15" customHeight="1" s="37">
      <c r="A3663" s="42" t="inlineStr">
        <is>
          <t>vilvah milk mud mask</t>
        </is>
      </c>
      <c r="B3663" s="42" t="inlineStr">
        <is>
          <t>vilvah milk mud mask amazon</t>
        </is>
      </c>
      <c r="C3663" s="42" t="inlineStr">
        <is>
          <t>Yes</t>
        </is>
      </c>
    </row>
    <row r="3664" ht="15" customHeight="1" s="37">
      <c r="A3664" s="42" t="inlineStr">
        <is>
          <t>vilvah milk mud mask</t>
        </is>
      </c>
      <c r="B3664" s="42" t="inlineStr">
        <is>
          <t>vilvah milk mud mask price</t>
        </is>
      </c>
      <c r="C3664" s="42" t="inlineStr">
        <is>
          <t>Yes</t>
        </is>
      </c>
    </row>
    <row r="3665" ht="15" customHeight="1" s="37">
      <c r="A3665" s="42" t="inlineStr">
        <is>
          <t>vilvah milk mud mask</t>
        </is>
      </c>
      <c r="B3665" s="42" t="inlineStr">
        <is>
          <t>vilvah milk mud mask usage</t>
        </is>
      </c>
      <c r="C3665" s="42" t="n"/>
    </row>
    <row r="3666" ht="15" customHeight="1" s="37">
      <c r="A3666" s="42" t="inlineStr">
        <is>
          <t>vilvah milk mud mask</t>
        </is>
      </c>
      <c r="B3666" s="42" t="inlineStr">
        <is>
          <t>vilvah milk mud mask flipkart</t>
        </is>
      </c>
      <c r="C3666" s="42" t="n"/>
    </row>
    <row r="3667" ht="15" customHeight="1" s="37">
      <c r="A3667" s="42" t="inlineStr">
        <is>
          <t>vilvah milk mud mask</t>
        </is>
      </c>
      <c r="B3667" s="42" t="inlineStr">
        <is>
          <t>vilvah milk mud face mask</t>
        </is>
      </c>
      <c r="C3667" s="42" t="n"/>
    </row>
    <row r="3668" ht="15" customHeight="1" s="37">
      <c r="A3668" s="42" t="inlineStr">
        <is>
          <t>vilvah milk powder face wash</t>
        </is>
      </c>
      <c r="B3668" s="42" t="inlineStr">
        <is>
          <t>vilvah milk powder face wash</t>
        </is>
      </c>
      <c r="C3668" s="42" t="inlineStr">
        <is>
          <t>Yes</t>
        </is>
      </c>
    </row>
    <row r="3669" ht="15" customHeight="1" s="37">
      <c r="A3669" s="42" t="inlineStr">
        <is>
          <t>vilvah milk powder face wash</t>
        </is>
      </c>
      <c r="B3669" s="42" t="inlineStr">
        <is>
          <t>vilvah milk powder face wash review</t>
        </is>
      </c>
      <c r="C3669" s="42" t="inlineStr">
        <is>
          <t>Yes</t>
        </is>
      </c>
    </row>
    <row r="3670" ht="15" customHeight="1" s="37">
      <c r="A3670" s="42" t="inlineStr">
        <is>
          <t>vilvah milk powder face wash</t>
        </is>
      </c>
      <c r="B3670" s="42" t="inlineStr">
        <is>
          <t>vilvah milk powder face wash benefits</t>
        </is>
      </c>
      <c r="C3670" s="42" t="inlineStr">
        <is>
          <t>Yes</t>
        </is>
      </c>
    </row>
    <row r="3671" ht="15" customHeight="1" s="37">
      <c r="A3671" s="42" t="inlineStr">
        <is>
          <t>vilvah milk powder face wash</t>
        </is>
      </c>
      <c r="B3671" s="42" t="inlineStr">
        <is>
          <t>vilvah milk powder face wash price</t>
        </is>
      </c>
      <c r="C3671" s="42" t="inlineStr">
        <is>
          <t>Yes</t>
        </is>
      </c>
    </row>
    <row r="3672" ht="15" customHeight="1" s="37">
      <c r="A3672" s="42" t="inlineStr">
        <is>
          <t>vilvah milk powder face wash</t>
        </is>
      </c>
      <c r="B3672" s="42" t="inlineStr">
        <is>
          <t>vilvah milk powder face wash how to use</t>
        </is>
      </c>
      <c r="C3672" s="42" t="inlineStr">
        <is>
          <t>Yes</t>
        </is>
      </c>
    </row>
    <row r="3673" ht="15" customHeight="1" s="37">
      <c r="A3673" s="42" t="inlineStr">
        <is>
          <t>vilvah milk powder face wash</t>
        </is>
      </c>
      <c r="B3673" s="42" t="inlineStr">
        <is>
          <t>vilvah milk powder face wash and serum</t>
        </is>
      </c>
      <c r="C3673" s="42" t="inlineStr">
        <is>
          <t>Yes</t>
        </is>
      </c>
    </row>
    <row r="3674" ht="15" customHeight="1" s="37">
      <c r="A3674" s="42" t="inlineStr">
        <is>
          <t>vilvah milk powder face wash</t>
        </is>
      </c>
      <c r="B3674" s="42" t="inlineStr">
        <is>
          <t>vilvah milk powder face wash in meesho</t>
        </is>
      </c>
      <c r="C3674" s="42" t="n"/>
    </row>
    <row r="3675" ht="15" customHeight="1" s="37">
      <c r="A3675" s="42" t="inlineStr">
        <is>
          <t>vilvah milk powder face wash</t>
        </is>
      </c>
      <c r="B3675" s="42" t="inlineStr">
        <is>
          <t>vilvah milk powder face wash for oily skin</t>
        </is>
      </c>
      <c r="C3675" s="42" t="n"/>
    </row>
    <row r="3676" ht="15" customHeight="1" s="37">
      <c r="A3676" s="42" t="inlineStr">
        <is>
          <t>vilvah milk powder face wash</t>
        </is>
      </c>
      <c r="B3676" s="42" t="inlineStr">
        <is>
          <t>vilvah milk powder face wash benefits in tamil</t>
        </is>
      </c>
      <c r="C3676" s="42" t="n"/>
    </row>
    <row r="3677" ht="15" customHeight="1" s="37">
      <c r="A3677" s="42" t="inlineStr">
        <is>
          <t>vilvah milk powder face wash</t>
        </is>
      </c>
      <c r="B3677" s="42" t="inlineStr">
        <is>
          <t>vilvah milk powder face wash amazon</t>
        </is>
      </c>
      <c r="C3677" s="42" t="inlineStr">
        <is>
          <t>Yes</t>
        </is>
      </c>
    </row>
    <row r="3678" ht="15" customHeight="1" s="37">
      <c r="A3678" s="42" t="inlineStr">
        <is>
          <t>vilvah rose milk lip balm</t>
        </is>
      </c>
      <c r="B3678" s="42" t="inlineStr">
        <is>
          <t>vilvah rose milk lip balm</t>
        </is>
      </c>
      <c r="C3678" s="42" t="inlineStr">
        <is>
          <t>Yes</t>
        </is>
      </c>
    </row>
    <row r="3679" ht="15" customHeight="1" s="37">
      <c r="A3679" s="42" t="inlineStr">
        <is>
          <t>vilvah rose milk lip balm</t>
        </is>
      </c>
      <c r="B3679" s="42" t="inlineStr">
        <is>
          <t>vilvah rose milk lip balm review</t>
        </is>
      </c>
      <c r="C3679" s="42" t="inlineStr">
        <is>
          <t>Yes</t>
        </is>
      </c>
    </row>
    <row r="3680" ht="15" customHeight="1" s="37">
      <c r="A3680" s="42" t="inlineStr">
        <is>
          <t>vilvah rose milk lip balm</t>
        </is>
      </c>
      <c r="B3680" s="42" t="inlineStr">
        <is>
          <t>vilvah rose milk lip balm ingredients</t>
        </is>
      </c>
      <c r="C3680" s="42" t="inlineStr">
        <is>
          <t>Yes</t>
        </is>
      </c>
    </row>
    <row r="3681" ht="15" customHeight="1" s="37">
      <c r="A3681" s="42" t="inlineStr">
        <is>
          <t>vilvah rose milk lip balm</t>
        </is>
      </c>
      <c r="B3681" s="42" t="inlineStr">
        <is>
          <t>vilvah rose milk lip balm price</t>
        </is>
      </c>
      <c r="C3681" s="42" t="inlineStr">
        <is>
          <t>Yes</t>
        </is>
      </c>
    </row>
    <row r="3682" ht="15" customHeight="1" s="37">
      <c r="A3682" s="42" t="inlineStr">
        <is>
          <t>vilvah rose milk lip balm</t>
        </is>
      </c>
      <c r="B3682" s="42" t="inlineStr">
        <is>
          <t>vilvah annapoorna rose milk lip balm</t>
        </is>
      </c>
      <c r="C3682" s="42" t="n"/>
    </row>
    <row r="3683" ht="15" customHeight="1" s="37">
      <c r="A3683" s="42" t="inlineStr">
        <is>
          <t>vilvah rose milk lip balm</t>
        </is>
      </c>
      <c r="B3683" s="42" t="inlineStr">
        <is>
          <t>vilvah lip balm review</t>
        </is>
      </c>
      <c r="C3683" s="42" t="inlineStr">
        <is>
          <t>Yes</t>
        </is>
      </c>
    </row>
    <row r="3684" ht="15" customHeight="1" s="37">
      <c r="A3684" s="42" t="inlineStr">
        <is>
          <t>vilvah rose milk lip balm</t>
        </is>
      </c>
      <c r="B3684" s="42" t="inlineStr">
        <is>
          <t>vilvah lip balm price</t>
        </is>
      </c>
      <c r="C3684" s="42" t="inlineStr">
        <is>
          <t>Yes</t>
        </is>
      </c>
    </row>
    <row r="3685" ht="15" customHeight="1" s="37">
      <c r="A3685" s="42" t="inlineStr">
        <is>
          <t>vilvah rose milk lip balm</t>
        </is>
      </c>
      <c r="B3685" s="42" t="inlineStr">
        <is>
          <t>how to use vilvah lip scrub</t>
        </is>
      </c>
      <c r="C3685" s="42" t="n"/>
    </row>
    <row r="3686" ht="15" customHeight="1" s="37">
      <c r="A3686" s="42" t="inlineStr">
        <is>
          <t>vilvah rose milk lip balm</t>
        </is>
      </c>
      <c r="B3686" s="42" t="inlineStr">
        <is>
          <t>vilvah lemon lip balm review</t>
        </is>
      </c>
      <c r="C3686" s="42" t="inlineStr">
        <is>
          <t>Yes</t>
        </is>
      </c>
    </row>
    <row r="3687" ht="15" customHeight="1" s="37">
      <c r="A3687" s="42" t="inlineStr">
        <is>
          <t>vilvah rosewater facial toner</t>
        </is>
      </c>
      <c r="B3687" s="42" t="inlineStr">
        <is>
          <t>vilvah rose water facial toner</t>
        </is>
      </c>
      <c r="C3687" s="42" t="n"/>
    </row>
    <row r="3688" ht="15" customHeight="1" s="37">
      <c r="A3688" s="42" t="inlineStr">
        <is>
          <t>vilvah rosewater facial toner</t>
        </is>
      </c>
      <c r="B3688" s="42" t="inlineStr">
        <is>
          <t>what does rose water toner do for the face</t>
        </is>
      </c>
      <c r="C3688" s="42" t="n"/>
    </row>
    <row r="3689" ht="15" customHeight="1" s="37">
      <c r="A3689" s="42" t="inlineStr">
        <is>
          <t>vilvah rosewater facial toner</t>
        </is>
      </c>
      <c r="B3689" s="42" t="inlineStr">
        <is>
          <t>what is rose water facial toner</t>
        </is>
      </c>
      <c r="C3689" s="42" t="n"/>
    </row>
    <row r="3690" ht="15" customHeight="1" s="37">
      <c r="A3690" s="42" t="inlineStr">
        <is>
          <t>vilvah skin brightening kit</t>
        </is>
      </c>
      <c r="B3690" s="42" t="inlineStr">
        <is>
          <t>vilvah skin brightening kit</t>
        </is>
      </c>
      <c r="C3690" s="42" t="inlineStr">
        <is>
          <t>Yes</t>
        </is>
      </c>
    </row>
    <row r="3691" ht="15" customHeight="1" s="37">
      <c r="A3691" s="42" t="inlineStr">
        <is>
          <t>vilvah skin brightening kit</t>
        </is>
      </c>
      <c r="B3691" s="42" t="inlineStr">
        <is>
          <t>is skin brightening the same as bleaching</t>
        </is>
      </c>
      <c r="C3691" s="42" t="n"/>
    </row>
    <row r="3692" ht="15" customHeight="1" s="37">
      <c r="A3692" s="42" t="inlineStr">
        <is>
          <t>vilvah skin brightening kit</t>
        </is>
      </c>
      <c r="B3692" s="42" t="inlineStr">
        <is>
          <t>skin brightening vs skin whitening</t>
        </is>
      </c>
      <c r="C3692" s="42" t="n"/>
    </row>
    <row r="3693" ht="15" customHeight="1" s="37">
      <c r="A3693" s="42" t="inlineStr">
        <is>
          <t>vilvah skin finish sunscreen spf 50</t>
        </is>
      </c>
      <c r="B3693" s="42" t="inlineStr">
        <is>
          <t>vilvah skin finish sunscreen spf 50 pa++++</t>
        </is>
      </c>
      <c r="C3693" s="42" t="n"/>
    </row>
    <row r="3694" ht="15" customHeight="1" s="37">
      <c r="A3694" s="42" t="inlineStr">
        <is>
          <t>vilvah skin finish sunscreen spf 50</t>
        </is>
      </c>
      <c r="B3694" s="42" t="inlineStr">
        <is>
          <t>vilvah skin finish sunscreen spf 50</t>
        </is>
      </c>
      <c r="C3694" s="42" t="inlineStr">
        <is>
          <t>Yes</t>
        </is>
      </c>
    </row>
    <row r="3695" ht="15" customHeight="1" s="37">
      <c r="A3695" s="42" t="inlineStr">
        <is>
          <t>vilvah skin finish sunscreen spf 50</t>
        </is>
      </c>
      <c r="B3695" s="42" t="inlineStr">
        <is>
          <t>la roche-posay sunscreen spf 50 reviews</t>
        </is>
      </c>
      <c r="C3695" s="42" t="n"/>
    </row>
    <row r="3696" ht="15" customHeight="1" s="37">
      <c r="A3696" s="42" t="inlineStr">
        <is>
          <t>vilvah skin finish sunscreen spf 50</t>
        </is>
      </c>
      <c r="B3696" s="42" t="inlineStr">
        <is>
          <t>what spf sunscreen should you use on your face</t>
        </is>
      </c>
      <c r="C3696" s="42" t="n"/>
    </row>
    <row r="3697" ht="15" customHeight="1" s="37">
      <c r="A3697" s="42" t="inlineStr">
        <is>
          <t>vilvah skin finish sunscreen spf 50</t>
        </is>
      </c>
      <c r="B3697" s="42" t="inlineStr">
        <is>
          <t>la roche-posay sunscreen spf 50 price</t>
        </is>
      </c>
      <c r="C3697" s="42" t="n"/>
    </row>
    <row r="3698" ht="15" customHeight="1" s="37">
      <c r="A3698" s="42" t="inlineStr">
        <is>
          <t>vilvah skin finish sunscreen spf 50</t>
        </is>
      </c>
      <c r="B3698" s="42" t="inlineStr">
        <is>
          <t>which spf sunscreen is best for indian skin</t>
        </is>
      </c>
      <c r="C3698" s="42" t="n"/>
    </row>
    <row r="3699" ht="15" customHeight="1" s="37">
      <c r="A3699" s="42" t="inlineStr">
        <is>
          <t>vilvah uk</t>
        </is>
      </c>
      <c r="B3699" s="42" t="inlineStr">
        <is>
          <t>vilvah uk</t>
        </is>
      </c>
      <c r="C3699" s="42" t="inlineStr">
        <is>
          <t>Yes</t>
        </is>
      </c>
    </row>
    <row r="3700" ht="15" customHeight="1" s="37">
      <c r="A3700" s="42" t="inlineStr">
        <is>
          <t>vilvah uk</t>
        </is>
      </c>
      <c r="B3700" s="42" t="inlineStr">
        <is>
          <t>vilvah products uk</t>
        </is>
      </c>
      <c r="C3700" s="42" t="inlineStr">
        <is>
          <t>Yes</t>
        </is>
      </c>
    </row>
    <row r="3701" ht="15" customHeight="1" s="37">
      <c r="A3701" s="42" t="inlineStr">
        <is>
          <t>vilvah uk</t>
        </is>
      </c>
      <c r="B3701" s="42" t="inlineStr">
        <is>
          <t>vilvah store uk</t>
        </is>
      </c>
      <c r="C3701" s="42" t="inlineStr">
        <is>
          <t>Yes</t>
        </is>
      </c>
    </row>
    <row r="3702" ht="15" customHeight="1" s="37">
      <c r="A3702" s="42" t="inlineStr">
        <is>
          <t>vilvah uk</t>
        </is>
      </c>
      <c r="B3702" s="42" t="inlineStr">
        <is>
          <t>vilvah milk drops uk</t>
        </is>
      </c>
      <c r="C3702" s="42" t="inlineStr">
        <is>
          <t>Yes</t>
        </is>
      </c>
    </row>
    <row r="3703" ht="15" customHeight="1" s="37">
      <c r="A3703" s="42" t="inlineStr">
        <is>
          <t>vilvah uk</t>
        </is>
      </c>
      <c r="B3703" s="42" t="inlineStr">
        <is>
          <t>is vilvah a good brand</t>
        </is>
      </c>
      <c r="C3703" s="42" t="n"/>
    </row>
    <row r="3704" ht="15" customHeight="1" s="37">
      <c r="A3704" s="42" t="inlineStr">
        <is>
          <t>vilvah uk</t>
        </is>
      </c>
      <c r="B3704" s="42" t="inlineStr">
        <is>
          <t>vilvah contact</t>
        </is>
      </c>
      <c r="C3704" s="42" t="inlineStr">
        <is>
          <t>Yes</t>
        </is>
      </c>
    </row>
    <row r="3705" ht="15" customHeight="1" s="37">
      <c r="A3705" s="42" t="inlineStr">
        <is>
          <t>vilvah uk</t>
        </is>
      </c>
      <c r="B3705" s="42" t="inlineStr">
        <is>
          <t>vilvah near me</t>
        </is>
      </c>
      <c r="C3705" s="42" t="inlineStr">
        <is>
          <t>Yes</t>
        </is>
      </c>
    </row>
    <row r="3706" ht="15" customHeight="1" s="37">
      <c r="A3706" s="42" t="inlineStr">
        <is>
          <t>vilvah uk</t>
        </is>
      </c>
      <c r="B3706" s="42" t="inlineStr">
        <is>
          <t>vilvah review</t>
        </is>
      </c>
      <c r="C3706" s="42" t="inlineStr">
        <is>
          <t>Yes</t>
        </is>
      </c>
    </row>
    <row r="3707" ht="15" customHeight="1" s="37">
      <c r="A3707" s="42" t="inlineStr">
        <is>
          <t>vilvah uk</t>
        </is>
      </c>
      <c r="B3707" s="42" t="inlineStr">
        <is>
          <t>is vilvah organic</t>
        </is>
      </c>
      <c r="C3707" s="42" t="n"/>
    </row>
    <row r="3708" ht="15" customHeight="1" s="37">
      <c r="A3708" s="42" t="inlineStr">
        <is>
          <t>vilvah ultra moisturising cream</t>
        </is>
      </c>
      <c r="B3708" s="42" t="inlineStr">
        <is>
          <t>vilvah ultra moisturising cream</t>
        </is>
      </c>
      <c r="C3708" s="42" t="inlineStr">
        <is>
          <t>Yes</t>
        </is>
      </c>
    </row>
    <row r="3709" ht="15" customHeight="1" s="37">
      <c r="A3709" s="42" t="inlineStr">
        <is>
          <t>vilvah ultra moisturising cream</t>
        </is>
      </c>
      <c r="B3709" s="42" t="inlineStr">
        <is>
          <t>vilvah ultra moisturizing cream review</t>
        </is>
      </c>
      <c r="C3709" s="42" t="n"/>
    </row>
    <row r="3710" ht="15" customHeight="1" s="37">
      <c r="A3710" s="42" t="inlineStr">
        <is>
          <t>vilvah ultra moisturising cream</t>
        </is>
      </c>
      <c r="B3710" s="42" t="inlineStr">
        <is>
          <t>vilvah ultra moisturizing cream ingredients</t>
        </is>
      </c>
      <c r="C3710" s="42" t="n"/>
    </row>
    <row r="3711" ht="15" customHeight="1" s="37">
      <c r="A3711" s="42" t="inlineStr">
        <is>
          <t>vilvah ultra moisturising cream</t>
        </is>
      </c>
      <c r="B3711" s="42" t="inlineStr">
        <is>
          <t>vilvah store ultra moisturising cream</t>
        </is>
      </c>
      <c r="C3711" s="42" t="n"/>
    </row>
    <row r="3712" ht="15" customHeight="1" s="37">
      <c r="A3712" s="42" t="inlineStr">
        <is>
          <t>vilvah ultra moisturising cream</t>
        </is>
      </c>
      <c r="B3712" s="42" t="inlineStr">
        <is>
          <t>ceramedx ultra moisturizing cream review</t>
        </is>
      </c>
      <c r="C3712" s="42" t="n"/>
    </row>
    <row r="3713" ht="15" customHeight="1" s="37">
      <c r="A3713" s="42" t="inlineStr">
        <is>
          <t>vilvah under eye cream (dark circles control)</t>
        </is>
      </c>
      <c r="B3713" s="42" t="inlineStr">
        <is>
          <t>vilvah under eye cream dark circles control</t>
        </is>
      </c>
      <c r="C3713" s="42" t="inlineStr">
        <is>
          <t>Yes</t>
        </is>
      </c>
    </row>
    <row r="3714" ht="15" customHeight="1" s="37">
      <c r="A3714" s="42" t="inlineStr">
        <is>
          <t>vilvah under eye cream (dark circles control)</t>
        </is>
      </c>
      <c r="B3714" s="42" t="inlineStr">
        <is>
          <t>how to use vilvah under eye cream</t>
        </is>
      </c>
      <c r="C3714" s="42" t="inlineStr">
        <is>
          <t>Yes</t>
        </is>
      </c>
    </row>
    <row r="3715" ht="15" customHeight="1" s="37">
      <c r="A3715" s="42" t="inlineStr">
        <is>
          <t>vilvah under eye cream (dark circles control)</t>
        </is>
      </c>
      <c r="B3715" s="42" t="inlineStr">
        <is>
          <t>does under eye cream reduce dark circles</t>
        </is>
      </c>
      <c r="C3715" s="42" t="n"/>
    </row>
    <row r="3716" ht="15" customHeight="1" s="37">
      <c r="A3716" s="42" t="inlineStr">
        <is>
          <t>vilvah under eye cream (dark circles control)</t>
        </is>
      </c>
      <c r="B3716" s="42" t="inlineStr">
        <is>
          <t>which cream is best for under eye dark circles</t>
        </is>
      </c>
      <c r="C3716" s="42" t="n"/>
    </row>
    <row r="3717" ht="15" customHeight="1" s="37">
      <c r="A3717" s="42" t="inlineStr">
        <is>
          <t>vilvah wild rose facemask</t>
        </is>
      </c>
      <c r="B3717" s="42" t="inlineStr">
        <is>
          <t>vilvah wild rose face mask</t>
        </is>
      </c>
      <c r="C3717" s="42" t="n"/>
    </row>
    <row r="3718" ht="15" customHeight="1" s="37">
      <c r="A3718" s="42" t="inlineStr">
        <is>
          <t>vilvah wild rose facemask</t>
        </is>
      </c>
      <c r="B3718" s="42" t="inlineStr">
        <is>
          <t>vilvah wild rose face mask review</t>
        </is>
      </c>
      <c r="C3718" s="42" t="n"/>
    </row>
    <row r="3719" ht="15" customHeight="1" s="37">
      <c r="A3719" s="42" t="inlineStr">
        <is>
          <t>vilvah wild rose facemask</t>
        </is>
      </c>
      <c r="B3719" s="42" t="inlineStr">
        <is>
          <t>vilvah face mask review</t>
        </is>
      </c>
      <c r="C3719" s="42" t="n"/>
    </row>
    <row r="3720" ht="15" customHeight="1" s="37">
      <c r="A3720" s="42" t="inlineStr">
        <is>
          <t>ysl perfume</t>
        </is>
      </c>
      <c r="B3720" s="42" t="inlineStr">
        <is>
          <t>ysl perfume</t>
        </is>
      </c>
      <c r="C3720" s="42" t="inlineStr">
        <is>
          <t>Yes</t>
        </is>
      </c>
    </row>
    <row r="3721" ht="15" customHeight="1" s="37">
      <c r="A3721" s="42" t="inlineStr">
        <is>
          <t>ysl perfume</t>
        </is>
      </c>
      <c r="B3721" s="42" t="inlineStr">
        <is>
          <t>ysl perfume women</t>
        </is>
      </c>
      <c r="C3721" s="42" t="n"/>
    </row>
    <row r="3722" ht="15" customHeight="1" s="37">
      <c r="A3722" s="42" t="inlineStr">
        <is>
          <t>ysl perfume</t>
        </is>
      </c>
      <c r="B3722" s="42" t="inlineStr">
        <is>
          <t>ysl perfume men</t>
        </is>
      </c>
      <c r="C3722" s="42" t="n"/>
    </row>
    <row r="3723" ht="15" customHeight="1" s="37">
      <c r="A3723" s="42" t="inlineStr">
        <is>
          <t>ysl perfume</t>
        </is>
      </c>
      <c r="B3723" s="42" t="inlineStr">
        <is>
          <t>ysl perfume price</t>
        </is>
      </c>
      <c r="C3723" s="42" t="n"/>
    </row>
    <row r="3724" ht="15" customHeight="1" s="37">
      <c r="A3724" s="42" t="inlineStr">
        <is>
          <t>ysl perfume</t>
        </is>
      </c>
      <c r="B3724" s="42" t="inlineStr">
        <is>
          <t>ysl perfume libre</t>
        </is>
      </c>
      <c r="C3724" s="42" t="n"/>
    </row>
    <row r="3725" ht="15" customHeight="1" s="37">
      <c r="A3725" s="42" t="inlineStr">
        <is>
          <t>ysl perfume</t>
        </is>
      </c>
      <c r="B3725" s="42" t="inlineStr">
        <is>
          <t>ysl perfume price in pakistan</t>
        </is>
      </c>
      <c r="C3725" s="42" t="n"/>
    </row>
    <row r="3726" ht="15" customHeight="1" s="37">
      <c r="A3726" s="42" t="inlineStr">
        <is>
          <t>ysl perfume</t>
        </is>
      </c>
      <c r="B3726" s="42" t="inlineStr">
        <is>
          <t>ysl perfume myself</t>
        </is>
      </c>
      <c r="C3726" s="42" t="n"/>
    </row>
    <row r="3727" ht="15" customHeight="1" s="37">
      <c r="A3727" s="42" t="inlineStr">
        <is>
          <t>ysl perfume</t>
        </is>
      </c>
      <c r="B3727" s="42" t="inlineStr">
        <is>
          <t>ysl perfume mon paris</t>
        </is>
      </c>
      <c r="C3727" s="42" t="n"/>
    </row>
    <row r="3728" ht="15" customHeight="1" s="37">
      <c r="A3728" s="42" t="inlineStr">
        <is>
          <t>ysl perfume</t>
        </is>
      </c>
      <c r="B3728" s="42" t="inlineStr">
        <is>
          <t>ysl perfume set</t>
        </is>
      </c>
      <c r="C3728" s="42" t="n"/>
    </row>
    <row r="3729" ht="15" customHeight="1" s="37">
      <c r="A3729" s="42" t="inlineStr">
        <is>
          <t>ysl perfume</t>
        </is>
      </c>
      <c r="B3729" s="42" t="inlineStr">
        <is>
          <t>ysl perfume price in india</t>
        </is>
      </c>
      <c r="C3729" s="42" t="n"/>
    </row>
  </sheetData>
  <autoFilter ref="A1:C37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2026-10-18T11:51:30Z</dcterms:created>
  <dcterms:modified xmlns:dcterms="http://purl.org/dc/terms/" xmlns:xsi="http://www.w3.org/2001/XMLSchema-instance" xsi:type="dcterms:W3CDTF">2026-10-19T09:22:42Z</dcterms:modified>
  <cp:revision>0</cp:revision>
</cp:coreProperties>
</file>